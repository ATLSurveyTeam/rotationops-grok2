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10.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5.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age Rules" sheetId="1" state="visible" r:id="rId3"/>
    <sheet name="Tier1 Break Conflict Check" sheetId="2" state="visible" r:id="rId4"/>
    <sheet name="Full Coverage Board" sheetId="3" state="visible" r:id="rId5"/>
    <sheet name="Employee Master" sheetId="4" state="visible" r:id="rId6"/>
    <sheet name="Position Library" sheetId="5" state="visible" r:id="rId7"/>
    <sheet name="Position Relationships" sheetId="6" state="visible" r:id="rId8"/>
    <sheet name="Qualification Matrix" sheetId="7" state="visible" r:id="rId9"/>
    <sheet name="Daily Workforce" sheetId="8" state="visible" r:id="rId10"/>
    <sheet name="Daily Schedule" sheetId="9" state="visible" r:id="rId11"/>
    <sheet name="Rotation History" sheetId="10" state="visible" r:id="rId12"/>
    <sheet name="Manager Dashboard" sheetId="11" state="visible" r:id="rId13"/>
    <sheet name="Lists" sheetId="12" state="visible" r:id="rId14"/>
    <sheet name="AM Handoff Plan" sheetId="13" state="visible" r:id="rId15"/>
    <sheet name="Divest Coverage Plan" sheetId="14" state="visible" r:id="rId16"/>
  </sheets>
  <definedNames>
    <definedName function="false" hidden="false" name="DaysOffList" vbProcedure="false">Lists!$M$2:$M$12</definedName>
    <definedName function="false" hidden="false" name="DivestList" vbProcedure="false">Lists!$G$2:$G$3</definedName>
    <definedName function="false" hidden="false" name="DivestRoleList" vbProcedure="false">Lists!$LS$2:$LS$6</definedName>
    <definedName function="false" hidden="false" name="InformationDeskList" vbProcedure="false">Lists!$D$2:$D$3</definedName>
    <definedName function="false" hidden="false" name="LunchPreferenceList" vbProcedure="false">Lists!$C$2:$C$12</definedName>
    <definedName function="false" hidden="false" name="MainInsideList" vbProcedure="false">Lists!$E$2:$E$5</definedName>
    <definedName function="false" hidden="false" name="PositionIDList" vbProcedure="false">Lists!$L$2:$L$53</definedName>
    <definedName function="false" hidden="false" name="QualificationList" vbProcedure="false">Lists!$N$2:$N$4</definedName>
    <definedName function="false" hidden="false" name="ShiftGroupList" vbProcedure="false">Lists!$I$2:$I$4</definedName>
    <definedName function="false" hidden="false" name="ShiftList" vbProcedure="false">Lists!$A$2:$A$6</definedName>
    <definedName function="false" hidden="false" name="ShiftOrderList" vbProcedure="false">Lists!$J$2:$J$6</definedName>
    <definedName function="false" hidden="false" name="SurveyList" vbProcedure="false">Lists!$F$2:$F$3</definedName>
    <definedName function="false" hidden="false" name="TierList" vbProcedure="false">Lists!$K$2:$K$5</definedName>
    <definedName function="false" hidden="false" name="WorkforceStatusList" vbProcedure="false">Lists!$H$2:$H$5</definedName>
    <definedName function="false" hidden="false" name="YesNoList" vbProcedure="false">Lists!$B$2:$B$3</definedName>
  </definedName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<sst xmlns="http://schemas.openxmlformats.org/spreadsheetml/2006/main" count="3091" uniqueCount="850">
  <si>
    <t xml:space="preserve">RotationOps – Hard Coverage Rules (v1.1)</t>
  </si>
  <si>
    <t xml:space="preserve">These rules are mandatory. Any schedule that violates them is invalid. The Tier1 Break Conflict Check sheet will flag violations automatically.</t>
  </si>
  <si>
    <t xml:space="preserve">1. Non-Negotiable Priority</t>
  </si>
  <si>
    <t xml:space="preserve">Tier 1 positions must never be left unstaffed for any time interval (including lunch/break windows). Any schedule that leaves a Tier 1 empty is invalid and must be rejected or repaired.</t>
  </si>
  <si>
    <t xml:space="preserve">2. Input Data Required</t>
  </si>
  <si>
    <t xml:space="preserve">Employee Master + Daily Workforce (Present status, shift start, qualifications, Lead/Mentor)
Position Library (Tier, Priority Relief Required)
Position Relationships (ordered relief chain Priority 1–5)
Designated lunch windows by shift start
Qualification Matrix (especially Divest = Y)
30-day fairness metrics (for Divest ranking only)</t>
  </si>
  <si>
    <t xml:space="preserve">3. Assignment Order (strict)</t>
  </si>
  <si>
    <t xml:space="preserve">1. Assign all Tier 1 positions first (including Divest 46–52).
2. Assign remaining positions by Tier (2 → 3 → 4).
3. Only after every position has a primary assignee, assign lunches.
4. Lower-tier positions may be left temporarily empty only if required to keep a Tier 1 covered.</t>
  </si>
  <si>
    <t xml:space="preserve">4. Divest-Specific Rules (Positions 46–52)</t>
  </si>
  <si>
    <t xml:space="preserve">• All seven Divest positions must open with qualified 3:45 AM staff only.
• At 5:45 AM a fairness-ranked qualified employee takes over each Divest position.
• The original 3:45 opener is released to the takeover employee’s previous position.
• Every Divest core employee must receive a dedicated lunch reliever who:
    – Is Divest-qualified (or meets the relief qualification),
    – Comes from a lower-tier position,
    – Has a DIFFERENT lunch wave than the core employee.
• No two Divest cores (or a core and its only remaining valid reliever) may share the same lunch wave.</t>
  </si>
  <si>
    <t xml:space="preserve">5. General Lunch Assignment Rules</t>
  </si>
  <si>
    <t xml:space="preserve">• Preferred lunch windows come from the designated break times by shift start.
• Preference is SECONDARY to coverage. If the preferred window would leave any Tier 1 uncovered, move the lunch to a different valid window.
• Before finalizing any lunch, build the live relief graph from Position Relationships + current assignments.
• Mutual-exclusion constraint: Two employees may NOT share a lunch wave if they are the only remaining valid coverage for the same Tier 1, or if they sit in each other’s critical relief chain such that simultaneous absence would leave a Tier 1 empty.
• After all lunches are assigned, simulate the entire day in 15-minute increments. Any Tier 1 that would be empty → schedule is invalid → force re-assignment of conflicting lunches.</t>
  </si>
  <si>
    <t xml:space="preserve">6. Relief Selection Order</t>
  </si>
  <si>
    <t xml:space="preserve">When choosing a lunch reliever for a Tier 1:
1. Prefer someone already assigned to a Priority 1–5 position listed in Position Relationships for that Tier 1.
2. The reliever must be free during the exact lunch window of the person being relieved.
3. The reliever’s own home position must either also receive coverage, or be low enough tier that a temporary gap is acceptable (Tier 3 or 4 only).</t>
  </si>
  <si>
    <t xml:space="preserve">7. Failure Handling</t>
  </si>
  <si>
    <t xml:space="preserve">If no combination of lunch windows satisfies the mutual-exclusion rules while keeping every Tier 1 covered, the engine must:
• Flag the schedule as “UNCOVERABLE under current attendance”,
• List the specific Tier 1 positions and time windows that cannot be covered,
• Do NOT silently produce a schedule with gaps.</t>
  </si>
  <si>
    <t xml:space="preserve">8. Fairness (Divest only)</t>
  </si>
  <si>
    <t xml:space="preserve">When ranking 5:45 AM takeover candidates for Divest, use 30-day metrics in this order:
1. Lowest 30-day Divest hours
2. Lowest number of Divest days
3. Lowest consecutive Divest days
4. Lowest number of opening assignments
5. Lowest lunch-relief assignments</t>
  </si>
  <si>
    <t xml:space="preserve">Tier 1 Break / Lunch Conflict Detector</t>
  </si>
  <si>
    <t xml:space="preserve">This sheet automatically flags any Tier 1 position where the assigned employee and their designated relief share the same lunch window, or where Break Coverage is not COVERED. Red = VIOLATION. Green = OK. Yellow = needs attention (no relief assigned).</t>
  </si>
  <si>
    <t xml:space="preserve">Position ID</t>
  </si>
  <si>
    <t xml:space="preserve">Area</t>
  </si>
  <si>
    <t xml:space="preserve">Position</t>
  </si>
  <si>
    <t xml:space="preserve">Tier</t>
  </si>
  <si>
    <t xml:space="preserve">Assigned Employee ID</t>
  </si>
  <si>
    <t xml:space="preserve">Assigned Employee</t>
  </si>
  <si>
    <t xml:space="preserve">Assigned Lunch</t>
  </si>
  <si>
    <t xml:space="preserve">Relief Position ID</t>
  </si>
  <si>
    <t xml:space="preserve">Relief Employee</t>
  </si>
  <si>
    <t xml:space="preserve">Relief Lunch (lookup)</t>
  </si>
  <si>
    <t xml:space="preserve">Break Coverage Status</t>
  </si>
  <si>
    <t xml:space="preserve">CONFLICT FLAG</t>
  </si>
  <si>
    <t xml:space="preserve">Legend:</t>
  </si>
  <si>
    <t xml:space="preserve">VIOLATION – SAME LUNCH  = Primary and Relief share the same lunch window → Tier 1 uncovered during that hour</t>
  </si>
  <si>
    <t xml:space="preserve">VIOLATION – NO RELIEF   = Tier 1 has an assignee but no relief person assigned</t>
  </si>
  <si>
    <t xml:space="preserve">OK                     = Break Coverage shows COVERED and lunches differ</t>
  </si>
  <si>
    <t xml:space="preserve">CHECK MANUALLY / NO ASSIGNEE = Review the Daily Schedule row for that position</t>
  </si>
  <si>
    <t xml:space="preserve">Action required when violations appear:</t>
  </si>
  <si>
    <t xml:space="preserve">1. Change the Assigned Lunch of either the primary or the relief employee so the windows no longer overlap.</t>
  </si>
  <si>
    <t xml:space="preserve">2. Or assign a different relief person who is free during the primary’s lunch window and is listed in the Position Relationships relief chain.</t>
  </si>
  <si>
    <t xml:space="preserve">3. Re-run the schedule generation only after all CONFLICT FLAG cells show OK or acceptable status.</t>
  </si>
  <si>
    <t xml:space="preserve">Full Position Coverage Board – All Positions with Break Relief by Name</t>
  </si>
  <si>
    <t xml:space="preserve">Shows every position, the assigned employee (by name), their lunch window, and the named break relief agent. Tier 1 rows are highlighted. Relief names come from the Daily Schedule; if a relief is missing the cell will be blank and flagged.</t>
  </si>
  <si>
    <t xml:space="preserve">Pos #</t>
  </si>
  <si>
    <t xml:space="preserve">Position Name</t>
  </si>
  <si>
    <t xml:space="preserve">Shift</t>
  </si>
  <si>
    <t xml:space="preserve">Break Relief Agent</t>
  </si>
  <si>
    <t xml:space="preserve">Relief From Position (Name)</t>
  </si>
  <si>
    <t xml:space="preserve">Relief Lunch</t>
  </si>
  <si>
    <t xml:space="preserve">Break Coverage</t>
  </si>
  <si>
    <t xml:space="preserve">Status</t>
  </si>
  <si>
    <t xml:space="preserve">Legend / Status meanings:</t>
  </si>
  <si>
    <t xml:space="preserve">OK</t>
  </si>
  <si>
    <t xml:space="preserve">Primary has coverage and (if relief exists) lunches do not overlap</t>
  </si>
  <si>
    <t xml:space="preserve">SAME LUNCH</t>
  </si>
  <si>
    <t xml:space="preserve">Primary and Break Relief Agent share the same lunch window → position uncovered during that hour</t>
  </si>
  <si>
    <t xml:space="preserve">NO RELIEF</t>
  </si>
  <si>
    <t xml:space="preserve">Tier 1 position has an assignee but no named break relief agent</t>
  </si>
  <si>
    <t xml:space="preserve">UNFILLED</t>
  </si>
  <si>
    <t xml:space="preserve">No employee currently assigned to this position</t>
  </si>
  <si>
    <t xml:space="preserve">RELIEF GAP / other</t>
  </si>
  <si>
    <t xml:space="preserve">See Break Coverage column and Daily Schedule for details</t>
  </si>
  <si>
    <t xml:space="preserve">Note: Tier 1 positions (mandatory coverage) appear with orange-tinted rows after you open the file in Excel if you apply a filter or conditional format on the Tier column = "Tier 1".</t>
  </si>
  <si>
    <t xml:space="preserve">Employee ID</t>
  </si>
  <si>
    <t xml:space="preserve">Employee Name</t>
  </si>
  <si>
    <t xml:space="preserve">Days Off</t>
  </si>
  <si>
    <t xml:space="preserve">Lead</t>
  </si>
  <si>
    <t xml:space="preserve">Mentor</t>
  </si>
  <si>
    <t xml:space="preserve">Active</t>
  </si>
  <si>
    <t xml:space="preserve">Lunch Preference</t>
  </si>
  <si>
    <t xml:space="preserve">Shift Group</t>
  </si>
  <si>
    <t xml:space="preserve">Shift Order</t>
  </si>
  <si>
    <t xml:space="preserve">EMP-0001</t>
  </si>
  <si>
    <t xml:space="preserve">Aaliyah Snider</t>
  </si>
  <si>
    <t xml:space="preserve">2:00 PM</t>
  </si>
  <si>
    <t xml:space="preserve">Wed, Thu</t>
  </si>
  <si>
    <t xml:space="preserve">N</t>
  </si>
  <si>
    <t xml:space="preserve">Y</t>
  </si>
  <si>
    <t xml:space="preserve">None</t>
  </si>
  <si>
    <t xml:space="preserve">EMP-0002</t>
  </si>
  <si>
    <t xml:space="preserve">Abdou Mballo</t>
  </si>
  <si>
    <t xml:space="preserve">5:45 AM</t>
  </si>
  <si>
    <t xml:space="preserve">Mon, Tue, Wed, Thu, Fri</t>
  </si>
  <si>
    <t xml:space="preserve">EMP-0003</t>
  </si>
  <si>
    <t xml:space="preserve">Abebe Ambaye</t>
  </si>
  <si>
    <t xml:space="preserve">Sat, Sun</t>
  </si>
  <si>
    <t xml:space="preserve">EMP-0004</t>
  </si>
  <si>
    <t xml:space="preserve">Adeyeye Opaaje</t>
  </si>
  <si>
    <t xml:space="preserve">EMP-0005</t>
  </si>
  <si>
    <t xml:space="preserve">Adrian Franklin</t>
  </si>
  <si>
    <t xml:space="preserve">12:15 PM</t>
  </si>
  <si>
    <t xml:space="preserve">Sun, Mon</t>
  </si>
  <si>
    <t xml:space="preserve">EMP-0006</t>
  </si>
  <si>
    <t xml:space="preserve">Agnes Bammannage</t>
  </si>
  <si>
    <t xml:space="preserve">Fri, Sat</t>
  </si>
  <si>
    <t xml:space="preserve">EMP-0007</t>
  </si>
  <si>
    <t xml:space="preserve">Ahamed John</t>
  </si>
  <si>
    <t xml:space="preserve">3:45 AM</t>
  </si>
  <si>
    <t xml:space="preserve">Thu, Fri</t>
  </si>
  <si>
    <t xml:space="preserve">EMP-0008</t>
  </si>
  <si>
    <t xml:space="preserve">Akuugo Nduaguba</t>
  </si>
  <si>
    <t xml:space="preserve">EMP-0009</t>
  </si>
  <si>
    <t xml:space="preserve">Aleah Mckinnon</t>
  </si>
  <si>
    <t xml:space="preserve">EMP-0010</t>
  </si>
  <si>
    <t xml:space="preserve">Allen Suggs</t>
  </si>
  <si>
    <t xml:space="preserve">EMP-0011</t>
  </si>
  <si>
    <t xml:space="preserve">Alyssa Prince</t>
  </si>
  <si>
    <t xml:space="preserve">EMP-0012</t>
  </si>
  <si>
    <t xml:space="preserve">Amadou Diallo</t>
  </si>
  <si>
    <t xml:space="preserve">EMP-0013</t>
  </si>
  <si>
    <t xml:space="preserve">Amanda Scott</t>
  </si>
  <si>
    <t xml:space="preserve">Mon, Tue</t>
  </si>
  <si>
    <t xml:space="preserve">EMP-0014</t>
  </si>
  <si>
    <t xml:space="preserve">Anariah Daniel</t>
  </si>
  <si>
    <t xml:space="preserve">EMP-0015</t>
  </si>
  <si>
    <t xml:space="preserve">Angella White-Lennon</t>
  </si>
  <si>
    <t xml:space="preserve">EMP-0016</t>
  </si>
  <si>
    <t xml:space="preserve">Ann-marie White</t>
  </si>
  <si>
    <t xml:space="preserve">EMP-0017</t>
  </si>
  <si>
    <t xml:space="preserve">Anthony Fernandez</t>
  </si>
  <si>
    <t xml:space="preserve">EMP-0018</t>
  </si>
  <si>
    <t xml:space="preserve">Ashia Norman</t>
  </si>
  <si>
    <t xml:space="preserve">EMP-0019</t>
  </si>
  <si>
    <t xml:space="preserve">Ashley Lazenby</t>
  </si>
  <si>
    <t xml:space="preserve">EMP-0020</t>
  </si>
  <si>
    <t xml:space="preserve">Ashtin Keys</t>
  </si>
  <si>
    <t xml:space="preserve">9:15 PM</t>
  </si>
  <si>
    <t xml:space="preserve">EMP-0021</t>
  </si>
  <si>
    <t xml:space="preserve">Auniyah Bell</t>
  </si>
  <si>
    <t xml:space="preserve">EMP-0022</t>
  </si>
  <si>
    <t xml:space="preserve">Benjamin Crosby</t>
  </si>
  <si>
    <t xml:space="preserve">EMP-0023</t>
  </si>
  <si>
    <t xml:space="preserve">Betelhem Wubshet</t>
  </si>
  <si>
    <t xml:space="preserve">EMP-0024</t>
  </si>
  <si>
    <t xml:space="preserve">Beverly Felton</t>
  </si>
  <si>
    <t xml:space="preserve">Sun, Mon, Tue</t>
  </si>
  <si>
    <t xml:space="preserve">EMP-0025</t>
  </si>
  <si>
    <t xml:space="preserve">Bintou Gueye</t>
  </si>
  <si>
    <t xml:space="preserve">EMP-0026</t>
  </si>
  <si>
    <t xml:space="preserve">Birhanu Hailu</t>
  </si>
  <si>
    <t xml:space="preserve">EMP-0027</t>
  </si>
  <si>
    <t xml:space="preserve">Braheem Wooden</t>
  </si>
  <si>
    <t xml:space="preserve">Tue, Wed</t>
  </si>
  <si>
    <t xml:space="preserve">EMP-0028</t>
  </si>
  <si>
    <t xml:space="preserve">Brain Lee</t>
  </si>
  <si>
    <t xml:space="preserve">EMP-0029</t>
  </si>
  <si>
    <t xml:space="preserve">Brianna Bryant</t>
  </si>
  <si>
    <t xml:space="preserve">EMP-0030</t>
  </si>
  <si>
    <t xml:space="preserve">Brittany Gaither</t>
  </si>
  <si>
    <t xml:space="preserve">EMP-0031</t>
  </si>
  <si>
    <t xml:space="preserve">Brittney Quave</t>
  </si>
  <si>
    <t xml:space="preserve">EMP-0032</t>
  </si>
  <si>
    <t xml:space="preserve">Camille Muhammad</t>
  </si>
  <si>
    <t xml:space="preserve">EMP-0033</t>
  </si>
  <si>
    <t xml:space="preserve">Camille Underwood</t>
  </si>
  <si>
    <t xml:space="preserve">EMP-0034</t>
  </si>
  <si>
    <t xml:space="preserve">Carrie Weaver</t>
  </si>
  <si>
    <t xml:space="preserve">EMP-0035</t>
  </si>
  <si>
    <t xml:space="preserve">Cathy Foster</t>
  </si>
  <si>
    <t xml:space="preserve">EMP-0036</t>
  </si>
  <si>
    <t xml:space="preserve">Cheikh Sylla</t>
  </si>
  <si>
    <t xml:space="preserve">EMP-0037</t>
  </si>
  <si>
    <t xml:space="preserve">Chiedu Memeh</t>
  </si>
  <si>
    <t xml:space="preserve">EMP-0038</t>
  </si>
  <si>
    <t xml:space="preserve">Chris Jungson</t>
  </si>
  <si>
    <t xml:space="preserve">EMP-0039</t>
  </si>
  <si>
    <t xml:space="preserve">Christopher White</t>
  </si>
  <si>
    <t xml:space="preserve">EMP-0040</t>
  </si>
  <si>
    <t xml:space="preserve">Chrystal Harvey</t>
  </si>
  <si>
    <t xml:space="preserve">EMP-0041</t>
  </si>
  <si>
    <t xml:space="preserve">Cicely Thicklin</t>
  </si>
  <si>
    <t xml:space="preserve">EMP-0042</t>
  </si>
  <si>
    <t xml:space="preserve">Crosby Pavon-Lacayo</t>
  </si>
  <si>
    <t xml:space="preserve">EMP-0043</t>
  </si>
  <si>
    <t xml:space="preserve">Curtis Raiford</t>
  </si>
  <si>
    <t xml:space="preserve">EMP-0044</t>
  </si>
  <si>
    <t xml:space="preserve">Danielle Holmes</t>
  </si>
  <si>
    <t xml:space="preserve">EMP-0045</t>
  </si>
  <si>
    <t xml:space="preserve">Darrius Dunlap</t>
  </si>
  <si>
    <t xml:space="preserve">EMP-0046</t>
  </si>
  <si>
    <t xml:space="preserve">David Holloman</t>
  </si>
  <si>
    <t xml:space="preserve">EMP-0047</t>
  </si>
  <si>
    <t xml:space="preserve">David Scoggin</t>
  </si>
  <si>
    <t xml:space="preserve">EMP-0048</t>
  </si>
  <si>
    <t xml:space="preserve">De'Anna Reese</t>
  </si>
  <si>
    <t xml:space="preserve">EMP-0049</t>
  </si>
  <si>
    <t xml:space="preserve">Demetrius Thomas</t>
  </si>
  <si>
    <t xml:space="preserve">EMP-0050</t>
  </si>
  <si>
    <t xml:space="preserve">Dennis Colton</t>
  </si>
  <si>
    <t xml:space="preserve">EMP-0051</t>
  </si>
  <si>
    <t xml:space="preserve">Dequavius Parker</t>
  </si>
  <si>
    <t xml:space="preserve">EMP-0052</t>
  </si>
  <si>
    <t xml:space="preserve">Derika Phipps</t>
  </si>
  <si>
    <t xml:space="preserve">EMP-0053</t>
  </si>
  <si>
    <t xml:space="preserve">Dezeraye Fedrick</t>
  </si>
  <si>
    <t xml:space="preserve">EMP-0054</t>
  </si>
  <si>
    <t xml:space="preserve">Diane Nails</t>
  </si>
  <si>
    <t xml:space="preserve">EMP-0055</t>
  </si>
  <si>
    <t xml:space="preserve">Duntavia Sensley</t>
  </si>
  <si>
    <t xml:space="preserve">EMP-0056</t>
  </si>
  <si>
    <t xml:space="preserve">Elena Thomas</t>
  </si>
  <si>
    <t xml:space="preserve">EMP-0057</t>
  </si>
  <si>
    <t xml:space="preserve">Elizabeth Harlee</t>
  </si>
  <si>
    <t xml:space="preserve">EMP-0058</t>
  </si>
  <si>
    <t xml:space="preserve">Emmett Smith</t>
  </si>
  <si>
    <t xml:space="preserve">EMP-0059</t>
  </si>
  <si>
    <t xml:space="preserve">Emonnie Dorsey</t>
  </si>
  <si>
    <t xml:space="preserve">EMP-0060</t>
  </si>
  <si>
    <t xml:space="preserve">Ermias Belayneh</t>
  </si>
  <si>
    <t xml:space="preserve">EMP-0061</t>
  </si>
  <si>
    <t xml:space="preserve">Eyerusalem Esubaluw</t>
  </si>
  <si>
    <t xml:space="preserve">EMP-0062</t>
  </si>
  <si>
    <t xml:space="preserve">Falana Broughton</t>
  </si>
  <si>
    <t xml:space="preserve">EMP-0063</t>
  </si>
  <si>
    <t xml:space="preserve">Feleke Tekle</t>
  </si>
  <si>
    <t xml:space="preserve">EMP-0064</t>
  </si>
  <si>
    <t xml:space="preserve">Fikre Hadera</t>
  </si>
  <si>
    <t xml:space="preserve">EMP-0065</t>
  </si>
  <si>
    <t xml:space="preserve">Gregory Mallett</t>
  </si>
  <si>
    <t xml:space="preserve">EMP-0066</t>
  </si>
  <si>
    <t xml:space="preserve">Habtewold Daba</t>
  </si>
  <si>
    <t xml:space="preserve">EMP-0067</t>
  </si>
  <si>
    <t xml:space="preserve">Haddyjatou Ndure</t>
  </si>
  <si>
    <t xml:space="preserve">EMP-0068</t>
  </si>
  <si>
    <t xml:space="preserve">Heather Wray</t>
  </si>
  <si>
    <t xml:space="preserve">EMP-0069</t>
  </si>
  <si>
    <t xml:space="preserve">Heavyn Moore</t>
  </si>
  <si>
    <t xml:space="preserve">EMP-0070</t>
  </si>
  <si>
    <t xml:space="preserve">Isaiah Williams</t>
  </si>
  <si>
    <t xml:space="preserve">EMP-0071</t>
  </si>
  <si>
    <t xml:space="preserve">Ivelisse Falcon</t>
  </si>
  <si>
    <t xml:space="preserve">EMP-0072</t>
  </si>
  <si>
    <t xml:space="preserve">Ivory Johnson</t>
  </si>
  <si>
    <t xml:space="preserve">EMP-0073</t>
  </si>
  <si>
    <t xml:space="preserve">Jacquatta Green</t>
  </si>
  <si>
    <t xml:space="preserve">EMP-0074</t>
  </si>
  <si>
    <t xml:space="preserve">Jada Batiste</t>
  </si>
  <si>
    <t xml:space="preserve">EMP-0075</t>
  </si>
  <si>
    <t xml:space="preserve">Jalea Keith</t>
  </si>
  <si>
    <t xml:space="preserve">EMP-0076</t>
  </si>
  <si>
    <t xml:space="preserve">Jamal Reynolds</t>
  </si>
  <si>
    <t xml:space="preserve">EMP-0077</t>
  </si>
  <si>
    <t xml:space="preserve">Jessika Williams</t>
  </si>
  <si>
    <t xml:space="preserve">EMP-0078</t>
  </si>
  <si>
    <t xml:space="preserve">John Davis</t>
  </si>
  <si>
    <t xml:space="preserve">EMP-0079</t>
  </si>
  <si>
    <t xml:space="preserve">Kaba Diop</t>
  </si>
  <si>
    <t xml:space="preserve">EMP-0080</t>
  </si>
  <si>
    <t xml:space="preserve">Kaci Cosper</t>
  </si>
  <si>
    <t xml:space="preserve">EMP-0081</t>
  </si>
  <si>
    <t xml:space="preserve">Keera Moore</t>
  </si>
  <si>
    <t xml:space="preserve">EMP-0082</t>
  </si>
  <si>
    <t xml:space="preserve">Kelon Arnold</t>
  </si>
  <si>
    <t xml:space="preserve">EMP-0083</t>
  </si>
  <si>
    <t xml:space="preserve">Khadijah Van Holten</t>
  </si>
  <si>
    <t xml:space="preserve">EMP-0084</t>
  </si>
  <si>
    <t xml:space="preserve">Khalia Mitchell</t>
  </si>
  <si>
    <t xml:space="preserve">EMP-0085</t>
  </si>
  <si>
    <t xml:space="preserve">Khursheeda Nasreen</t>
  </si>
  <si>
    <t xml:space="preserve">EMP-0086</t>
  </si>
  <si>
    <t xml:space="preserve">Kidest Solomon</t>
  </si>
  <si>
    <t xml:space="preserve">EMP-0087</t>
  </si>
  <si>
    <t xml:space="preserve">Kimberly Morrison</t>
  </si>
  <si>
    <t xml:space="preserve">EMP-0088</t>
  </si>
  <si>
    <t xml:space="preserve">Kimberly Smoot</t>
  </si>
  <si>
    <t xml:space="preserve">EMP-0089</t>
  </si>
  <si>
    <t xml:space="preserve">Kimora Mcnair</t>
  </si>
  <si>
    <t xml:space="preserve">EMP-0090</t>
  </si>
  <si>
    <t xml:space="preserve">Kori Jenkins</t>
  </si>
  <si>
    <t xml:space="preserve">EMP-0091</t>
  </si>
  <si>
    <t xml:space="preserve">Larry Fuller</t>
  </si>
  <si>
    <t xml:space="preserve">EMP-0092</t>
  </si>
  <si>
    <t xml:space="preserve">Lawrence Bonner</t>
  </si>
  <si>
    <t xml:space="preserve">EMP-0093</t>
  </si>
  <si>
    <t xml:space="preserve">Lazaro Lopez</t>
  </si>
  <si>
    <t xml:space="preserve">EMP-0094</t>
  </si>
  <si>
    <t xml:space="preserve">Linda Rachel</t>
  </si>
  <si>
    <t xml:space="preserve">EMP-0095</t>
  </si>
  <si>
    <t xml:space="preserve">Linton Brereton</t>
  </si>
  <si>
    <t xml:space="preserve">EMP-0096</t>
  </si>
  <si>
    <t xml:space="preserve">Lynn Yi-Smith</t>
  </si>
  <si>
    <t xml:space="preserve">Tue, Wed, Thu, Fri</t>
  </si>
  <si>
    <t xml:space="preserve">EMP-0097</t>
  </si>
  <si>
    <t xml:space="preserve">Maglorie Jean</t>
  </si>
  <si>
    <t xml:space="preserve">EMP-0098</t>
  </si>
  <si>
    <t xml:space="preserve">Mamadou Seck</t>
  </si>
  <si>
    <t xml:space="preserve">EMP-0099</t>
  </si>
  <si>
    <t xml:space="preserve">Mariana Garduno</t>
  </si>
  <si>
    <t xml:space="preserve">EMP-0100</t>
  </si>
  <si>
    <t xml:space="preserve">Marquise Jackson</t>
  </si>
  <si>
    <t xml:space="preserve">EMP-0101</t>
  </si>
  <si>
    <t xml:space="preserve">Marquita Howard</t>
  </si>
  <si>
    <t xml:space="preserve">EMP-0102</t>
  </si>
  <si>
    <t xml:space="preserve">Maryse Camille</t>
  </si>
  <si>
    <t xml:space="preserve">EMP-0103</t>
  </si>
  <si>
    <t xml:space="preserve">Micheal Manning</t>
  </si>
  <si>
    <t xml:space="preserve">EMP-0104</t>
  </si>
  <si>
    <t xml:space="preserve">Micheal Watkins</t>
  </si>
  <si>
    <t xml:space="preserve">EMP-0105</t>
  </si>
  <si>
    <t xml:space="preserve">Mildred Tarres</t>
  </si>
  <si>
    <t xml:space="preserve">EMP-0106</t>
  </si>
  <si>
    <t xml:space="preserve">Miya Ross</t>
  </si>
  <si>
    <t xml:space="preserve">EMP-0107</t>
  </si>
  <si>
    <t xml:space="preserve">Moneshia Echols</t>
  </si>
  <si>
    <t xml:space="preserve">EMP-0108</t>
  </si>
  <si>
    <t xml:space="preserve">Monica Ortiz</t>
  </si>
  <si>
    <t xml:space="preserve">EMP-0109</t>
  </si>
  <si>
    <t xml:space="preserve">Monique Hicks</t>
  </si>
  <si>
    <t xml:space="preserve">EMP-0110</t>
  </si>
  <si>
    <t xml:space="preserve">Mosrur Jafer</t>
  </si>
  <si>
    <t xml:space="preserve">EMP-0111</t>
  </si>
  <si>
    <t xml:space="preserve">Mwasiti Sadiki</t>
  </si>
  <si>
    <t xml:space="preserve">EMP-0112</t>
  </si>
  <si>
    <t xml:space="preserve">Natasha Carbon</t>
  </si>
  <si>
    <t xml:space="preserve">EMP-0113</t>
  </si>
  <si>
    <t xml:space="preserve">Oumou Sane</t>
  </si>
  <si>
    <t xml:space="preserve">EMP-0114</t>
  </si>
  <si>
    <t xml:space="preserve">Patrick Chin</t>
  </si>
  <si>
    <t xml:space="preserve">EMP-0115</t>
  </si>
  <si>
    <t xml:space="preserve">Paulette Laman</t>
  </si>
  <si>
    <t xml:space="preserve">EMP-0116</t>
  </si>
  <si>
    <t xml:space="preserve">Phenica Peterson</t>
  </si>
  <si>
    <t xml:space="preserve">EMP-0117</t>
  </si>
  <si>
    <t xml:space="preserve">Prince Destin</t>
  </si>
  <si>
    <t xml:space="preserve">EMP-0118</t>
  </si>
  <si>
    <t xml:space="preserve">Princess Vance</t>
  </si>
  <si>
    <t xml:space="preserve">EMP-0119</t>
  </si>
  <si>
    <t xml:space="preserve">Quintavious Battle</t>
  </si>
  <si>
    <t xml:space="preserve">EMP-0120</t>
  </si>
  <si>
    <t xml:space="preserve">Reginald Mundy</t>
  </si>
  <si>
    <t xml:space="preserve">EMP-0121</t>
  </si>
  <si>
    <t xml:space="preserve">Renetheia Denson</t>
  </si>
  <si>
    <t xml:space="preserve">EMP-0122</t>
  </si>
  <si>
    <t xml:space="preserve">Richard Soro</t>
  </si>
  <si>
    <t xml:space="preserve">EMP-0123</t>
  </si>
  <si>
    <t xml:space="preserve">Rihana Ababulla</t>
  </si>
  <si>
    <t xml:space="preserve">EMP-0124</t>
  </si>
  <si>
    <t xml:space="preserve">Rinku Das</t>
  </si>
  <si>
    <t xml:space="preserve">EMP-0125</t>
  </si>
  <si>
    <t xml:space="preserve">Roget Rodriguez</t>
  </si>
  <si>
    <t xml:space="preserve">EMP-0126</t>
  </si>
  <si>
    <t xml:space="preserve">Rozita Davis</t>
  </si>
  <si>
    <t xml:space="preserve">Sun, Fri</t>
  </si>
  <si>
    <t xml:space="preserve">EMP-0127</t>
  </si>
  <si>
    <t xml:space="preserve">Samiroe Ford</t>
  </si>
  <si>
    <t xml:space="preserve">EMP-0128</t>
  </si>
  <si>
    <t xml:space="preserve">Sandra Gerson</t>
  </si>
  <si>
    <t xml:space="preserve">EMP-0129</t>
  </si>
  <si>
    <t xml:space="preserve">Sara Alemu</t>
  </si>
  <si>
    <t xml:space="preserve">EMP-0130</t>
  </si>
  <si>
    <t xml:space="preserve">Sarah Harden</t>
  </si>
  <si>
    <t xml:space="preserve">EMP-0131</t>
  </si>
  <si>
    <t xml:space="preserve">Sarita Jewell</t>
  </si>
  <si>
    <t xml:space="preserve">EMP-0132</t>
  </si>
  <si>
    <t xml:space="preserve">Shanta Harvey</t>
  </si>
  <si>
    <t xml:space="preserve">EMP-0133</t>
  </si>
  <si>
    <t xml:space="preserve">Shanta Islam</t>
  </si>
  <si>
    <t xml:space="preserve">EMP-0134</t>
  </si>
  <si>
    <t xml:space="preserve">Shawanda Webb</t>
  </si>
  <si>
    <t xml:space="preserve">EMP-0135</t>
  </si>
  <si>
    <t xml:space="preserve">Tanya Organ</t>
  </si>
  <si>
    <t xml:space="preserve">EMP-0136</t>
  </si>
  <si>
    <t xml:space="preserve">Teaera Freeman</t>
  </si>
  <si>
    <t xml:space="preserve">EMP-0137</t>
  </si>
  <si>
    <t xml:space="preserve">Teasia Arnold</t>
  </si>
  <si>
    <t xml:space="preserve">EMP-0138</t>
  </si>
  <si>
    <t xml:space="preserve">Terrell Leath</t>
  </si>
  <si>
    <t xml:space="preserve">EMP-0139</t>
  </si>
  <si>
    <t xml:space="preserve">Terry Freeman</t>
  </si>
  <si>
    <t xml:space="preserve">EMP-0140</t>
  </si>
  <si>
    <t xml:space="preserve">Theresa Logan</t>
  </si>
  <si>
    <t xml:space="preserve">EMP-0141</t>
  </si>
  <si>
    <t xml:space="preserve">Tiffany Felton</t>
  </si>
  <si>
    <t xml:space="preserve">EMP-0142</t>
  </si>
  <si>
    <t xml:space="preserve">Timicha Marshll</t>
  </si>
  <si>
    <t xml:space="preserve">EMP-0143</t>
  </si>
  <si>
    <t xml:space="preserve">Tomekia Bryant</t>
  </si>
  <si>
    <t xml:space="preserve">EMP-0144</t>
  </si>
  <si>
    <t xml:space="preserve">Trecia Willocks</t>
  </si>
  <si>
    <t xml:space="preserve">EMP-0145</t>
  </si>
  <si>
    <t xml:space="preserve">Troy Titus</t>
  </si>
  <si>
    <t xml:space="preserve">EMP-0146</t>
  </si>
  <si>
    <t xml:space="preserve">Tyana Gutzmore</t>
  </si>
  <si>
    <t xml:space="preserve">EMP-0147</t>
  </si>
  <si>
    <t xml:space="preserve">Vanessa Cortes</t>
  </si>
  <si>
    <t xml:space="preserve">EMP-0148</t>
  </si>
  <si>
    <t xml:space="preserve">Vanessa Forrest</t>
  </si>
  <si>
    <t xml:space="preserve">EMP-0149</t>
  </si>
  <si>
    <t xml:space="preserve">Veronda Jones</t>
  </si>
  <si>
    <t xml:space="preserve">EMP-0150</t>
  </si>
  <si>
    <t xml:space="preserve">Veronica Laster</t>
  </si>
  <si>
    <t xml:space="preserve">EMP-0151</t>
  </si>
  <si>
    <t xml:space="preserve">Vinnie Petrov</t>
  </si>
  <si>
    <t xml:space="preserve">EMP-0152</t>
  </si>
  <si>
    <t xml:space="preserve">Yahkirah Manggrum</t>
  </si>
  <si>
    <t xml:space="preserve">EMP-0153</t>
  </si>
  <si>
    <t xml:space="preserve">Yen Vuong</t>
  </si>
  <si>
    <t xml:space="preserve">EMP-0154</t>
  </si>
  <si>
    <t xml:space="preserve">Yitshhaq Sagahon</t>
  </si>
  <si>
    <t xml:space="preserve">EMP-0155</t>
  </si>
  <si>
    <t xml:space="preserve">Youba Coly</t>
  </si>
  <si>
    <t xml:space="preserve">EMP-0156</t>
  </si>
  <si>
    <t xml:space="preserve">Youssouf Traore</t>
  </si>
  <si>
    <t xml:space="preserve">EMP-0157</t>
  </si>
  <si>
    <t xml:space="preserve">Zinash Shiferaw</t>
  </si>
  <si>
    <t xml:space="preserve">EMP-0158</t>
  </si>
  <si>
    <t xml:space="preserve">Salma Bardai</t>
  </si>
  <si>
    <t xml:space="preserve">Position #</t>
  </si>
  <si>
    <t xml:space="preserve">Priority Relief Required</t>
  </si>
  <si>
    <t xml:space="preserve">Main Security Checkpoint</t>
  </si>
  <si>
    <t xml:space="preserve">Front Entrance </t>
  </si>
  <si>
    <t xml:space="preserve">Tier 1</t>
  </si>
  <si>
    <t xml:space="preserve">ADA Entrance </t>
  </si>
  <si>
    <t xml:space="preserve">Lanes 17 - 18 </t>
  </si>
  <si>
    <t xml:space="preserve">Tier 2</t>
  </si>
  <si>
    <t xml:space="preserve">Inside Center </t>
  </si>
  <si>
    <t xml:space="preserve">Lanes 1 - 3 / Pre-Check </t>
  </si>
  <si>
    <t xml:space="preserve">MSC Escalator</t>
  </si>
  <si>
    <t xml:space="preserve">Tier 4</t>
  </si>
  <si>
    <t xml:space="preserve">MSC Escalator </t>
  </si>
  <si>
    <t xml:space="preserve">Atrium</t>
  </si>
  <si>
    <t xml:space="preserve">KIA </t>
  </si>
  <si>
    <t xml:space="preserve">West Elevator </t>
  </si>
  <si>
    <t xml:space="preserve">KIA</t>
  </si>
  <si>
    <t xml:space="preserve">West Elevator</t>
  </si>
  <si>
    <t xml:space="preserve">South Security Checkpoint</t>
  </si>
  <si>
    <t xml:space="preserve">Checkpoint – Inside </t>
  </si>
  <si>
    <t xml:space="preserve">Checkpoint – Front Entrance</t>
  </si>
  <si>
    <t xml:space="preserve">Pre-check Overflow</t>
  </si>
  <si>
    <t xml:space="preserve">South Restroom </t>
  </si>
  <si>
    <t xml:space="preserve">IHOP </t>
  </si>
  <si>
    <t xml:space="preserve">Tier 3</t>
  </si>
  <si>
    <t xml:space="preserve">Piedmont / West Crossover</t>
  </si>
  <si>
    <t xml:space="preserve">West Crossover </t>
  </si>
  <si>
    <t xml:space="preserve">North Security Checkpoint</t>
  </si>
  <si>
    <t xml:space="preserve">North Corridor </t>
  </si>
  <si>
    <t xml:space="preserve">North Restroom </t>
  </si>
  <si>
    <t xml:space="preserve">We Juice It </t>
  </si>
  <si>
    <t xml:space="preserve">TGIF / West Crossover</t>
  </si>
  <si>
    <t xml:space="preserve">First class </t>
  </si>
  <si>
    <t xml:space="preserve">North Corridor</t>
  </si>
  <si>
    <t xml:space="preserve">Lower North Security Checkpoint</t>
  </si>
  <si>
    <t xml:space="preserve">LN2 Elevator </t>
  </si>
  <si>
    <t xml:space="preserve">N5 Door</t>
  </si>
  <si>
    <t xml:space="preserve">AGT Level</t>
  </si>
  <si>
    <t xml:space="preserve">Checkpoint – Glass Doors</t>
  </si>
  <si>
    <t xml:space="preserve">T Platform Train Door 1</t>
  </si>
  <si>
    <t xml:space="preserve">T Platform Train Door 2</t>
  </si>
  <si>
    <t xml:space="preserve">T--Platform</t>
  </si>
  <si>
    <t xml:space="preserve">Domestic Baggage Claim</t>
  </si>
  <si>
    <t xml:space="preserve">T Bridge Landing</t>
  </si>
  <si>
    <t xml:space="preserve">Alpha West</t>
  </si>
  <si>
    <t xml:space="preserve">Bravo West</t>
  </si>
  <si>
    <t xml:space="preserve">Charlie West</t>
  </si>
  <si>
    <t xml:space="preserve">Delta West</t>
  </si>
  <si>
    <t xml:space="preserve">Information Desk</t>
  </si>
  <si>
    <t xml:space="preserve">Information Desk Personnel</t>
  </si>
  <si>
    <t xml:space="preserve">Divest </t>
  </si>
  <si>
    <t xml:space="preserve">Divest</t>
  </si>
  <si>
    <t xml:space="preserve">Priority 1</t>
  </si>
  <si>
    <t xml:space="preserve">Priority 2</t>
  </si>
  <si>
    <t xml:space="preserve">Priority 3</t>
  </si>
  <si>
    <t xml:space="preserve">Priority 4</t>
  </si>
  <si>
    <t xml:space="preserve">Priority 5</t>
  </si>
  <si>
    <t xml:space="preserve">9</t>
  </si>
  <si>
    <t xml:space="preserve">5</t>
  </si>
  <si>
    <t xml:space="preserve">3</t>
  </si>
  <si>
    <t xml:space="preserve">4</t>
  </si>
  <si>
    <t xml:space="preserve">1</t>
  </si>
  <si>
    <t xml:space="preserve">16</t>
  </si>
  <si>
    <t xml:space="preserve">17</t>
  </si>
  <si>
    <t xml:space="preserve">14</t>
  </si>
  <si>
    <t xml:space="preserve">15</t>
  </si>
  <si>
    <t xml:space="preserve">19</t>
  </si>
  <si>
    <t xml:space="preserve">20</t>
  </si>
  <si>
    <t xml:space="preserve">21</t>
  </si>
  <si>
    <t xml:space="preserve">29</t>
  </si>
  <si>
    <t xml:space="preserve">49</t>
  </si>
  <si>
    <t xml:space="preserve">50</t>
  </si>
  <si>
    <t xml:space="preserve">51</t>
  </si>
  <si>
    <t xml:space="preserve">52</t>
  </si>
  <si>
    <t xml:space="preserve">27</t>
  </si>
  <si>
    <t xml:space="preserve">30</t>
  </si>
  <si>
    <t xml:space="preserve">28</t>
  </si>
  <si>
    <t xml:space="preserve">25</t>
  </si>
  <si>
    <t xml:space="preserve">31</t>
  </si>
  <si>
    <t xml:space="preserve">36</t>
  </si>
  <si>
    <t xml:space="preserve">37</t>
  </si>
  <si>
    <t xml:space="preserve">35</t>
  </si>
  <si>
    <t xml:space="preserve">40</t>
  </si>
  <si>
    <t xml:space="preserve">39</t>
  </si>
  <si>
    <t xml:space="preserve">47</t>
  </si>
  <si>
    <t xml:space="preserve">48</t>
  </si>
  <si>
    <t xml:space="preserve">46</t>
  </si>
  <si>
    <t xml:space="preserve">Main Inside</t>
  </si>
  <si>
    <t xml:space="preserve">Survey</t>
  </si>
  <si>
    <t xml:space="preserve"># of days</t>
  </si>
  <si>
    <t xml:space="preserve">General Qualifications</t>
  </si>
  <si>
    <t xml:space="preserve">EMP-0159</t>
  </si>
  <si>
    <t xml:space="preserve">EMP-0160</t>
  </si>
  <si>
    <t xml:space="preserve">EMP-0161</t>
  </si>
  <si>
    <t xml:space="preserve">EMP-0162</t>
  </si>
  <si>
    <t xml:space="preserve">EMP-0163</t>
  </si>
  <si>
    <t xml:space="preserve">EMP-0164</t>
  </si>
  <si>
    <t xml:space="preserve">EMP-0165</t>
  </si>
  <si>
    <t xml:space="preserve">EMP-0166</t>
  </si>
  <si>
    <t xml:space="preserve">EMP-0167</t>
  </si>
  <si>
    <t xml:space="preserve">Daily Workforce</t>
  </si>
  <si>
    <t xml:space="preserve">Schedule Date</t>
  </si>
  <si>
    <t xml:space="preserve">Scheduled</t>
  </si>
  <si>
    <t xml:space="preserve">Present</t>
  </si>
  <si>
    <t xml:space="preserve">Leads</t>
  </si>
  <si>
    <t xml:space="preserve">Assignment Eligible</t>
  </si>
  <si>
    <t xml:space="preserve">Select the schedule date and, if needed, a shift group. Blank Shift Group shows the full day. Set these before changing attendance status.</t>
  </si>
  <si>
    <t xml:space="preserve">Date</t>
  </si>
  <si>
    <t xml:space="preserve">Notes</t>
  </si>
  <si>
    <t xml:space="preserve">30-Day Divest Hours</t>
  </si>
  <si>
    <t xml:space="preserve">30-Day Divest Days</t>
  </si>
  <si>
    <t xml:space="preserve">Consecutive Divest Days</t>
  </si>
  <si>
    <t xml:space="preserve">30-Day Opening Assignments</t>
  </si>
  <si>
    <t xml:space="preserve">30-Day Lunch Relief Assignments</t>
  </si>
  <si>
    <t xml:space="preserve">Divest Fairness Score</t>
  </si>
  <si>
    <t xml:space="preserve">Daily Schedule Assignment, Handoff &amp; Break Engine</t>
  </si>
  <si>
    <t xml:space="preserve">Eligible Employees</t>
  </si>
  <si>
    <t xml:space="preserve">Filled Positions</t>
  </si>
  <si>
    <t xml:space="preserve">Unfilled Positions</t>
  </si>
  <si>
    <t xml:space="preserve">Lunches Assigned</t>
  </si>
  <si>
    <t xml:space="preserve">Opening Tier 1 Gaps</t>
  </si>
  <si>
    <t xml:space="preserve">RULES v1.1 ACTIVE: Tier 1 positions must never go unstaffed. Lunches are assigned under mutual-exclusion constraints (see Coverage Rules sheet). Check “Tier1 Break Conflict Check” sheet for any SAME-LUNCH or NO-RELIEF violations before accepting the schedule. All seven Divest openings reserved for qualified 3:45 AM staff; 5:45 AM takeovers fairness-ranked; each Divest lunch has a separate qualified lower-tier reliever on a different wave.</t>
  </si>
  <si>
    <t xml:space="preserve">Required Qualification</t>
  </si>
  <si>
    <t xml:space="preserve">Start</t>
  </si>
  <si>
    <t xml:space="preserve">End</t>
  </si>
  <si>
    <t xml:space="preserve">Qualification Check</t>
  </si>
  <si>
    <t xml:space="preserve">Coverage Status</t>
  </si>
  <si>
    <t xml:space="preserve">Opening Coverage</t>
  </si>
  <si>
    <t xml:space="preserve">See Divest Coverage Plan</t>
  </si>
  <si>
    <t xml:space="preserve">Hours</t>
  </si>
  <si>
    <t xml:space="preserve">Break</t>
  </si>
  <si>
    <t xml:space="preserve">Lunch</t>
  </si>
  <si>
    <t xml:space="preserve">Actual Assignment</t>
  </si>
  <si>
    <t xml:space="preserve">Reason</t>
  </si>
  <si>
    <t xml:space="preserve">Divest Role</t>
  </si>
  <si>
    <t xml:space="preserve">Planned Divest Hours</t>
  </si>
  <si>
    <t xml:space="preserve">Actual Divest Hours</t>
  </si>
  <si>
    <t xml:space="preserve">RotationOps v1.1 – Coverage Rules Enforced</t>
  </si>
  <si>
    <t xml:space="preserve">Mandatory sheets to review after every schedule generation:</t>
  </si>
  <si>
    <t xml:space="preserve">1. Coverage Rules – the authoritative hard constraints</t>
  </si>
  <si>
    <t xml:space="preserve">2. Tier1 Break Conflict Check – automatic violation detector (look for any red VIOLATION flags)</t>
  </si>
  <si>
    <t xml:space="preserve">3. Divest Coverage Plan – confirm Continuous Coverage = COVERED for all 7 Divest positions</t>
  </si>
  <si>
    <t xml:space="preserve">4. Daily Schedule – final assignment view</t>
  </si>
  <si>
    <t xml:space="preserve">5. Full Coverage Board – complete view of every position with assigned employee and named break relief agent</t>
  </si>
  <si>
    <t xml:space="preserve">If Tier1 Break Conflict Check shows any “VIOLATION – SAME LUNCH” or “VIOLATION – NO RELIEF”, the schedule is invalid and must be repaired before use.</t>
  </si>
  <si>
    <t xml:space="preserve">ShiftList</t>
  </si>
  <si>
    <t xml:space="preserve">YesNoList</t>
  </si>
  <si>
    <t xml:space="preserve">LunchPreferenceList</t>
  </si>
  <si>
    <t xml:space="preserve">InformationDeskList</t>
  </si>
  <si>
    <t xml:space="preserve">MainInsideList</t>
  </si>
  <si>
    <t xml:space="preserve">SurveyList</t>
  </si>
  <si>
    <t xml:space="preserve">DivestList</t>
  </si>
  <si>
    <t xml:space="preserve">WorkforceStatusList</t>
  </si>
  <si>
    <t xml:space="preserve">ShiftGroupList</t>
  </si>
  <si>
    <t xml:space="preserve">ShiftOrderList</t>
  </si>
  <si>
    <t xml:space="preserve">TierList</t>
  </si>
  <si>
    <t xml:space="preserve">PositionIDList</t>
  </si>
  <si>
    <t xml:space="preserve">DaysOffList</t>
  </si>
  <si>
    <t xml:space="preserve">QualificationList</t>
  </si>
  <si>
    <t xml:space="preserve">DailyWorkforceEligibleKey</t>
  </si>
  <si>
    <t xml:space="preserve">DailyWorkforceRank</t>
  </si>
  <si>
    <t xml:space="preserve">Candidate 1</t>
  </si>
  <si>
    <t xml:space="preserve">Candidate 2</t>
  </si>
  <si>
    <t xml:space="preserve">Candidate 3</t>
  </si>
  <si>
    <t xml:space="preserve">Candidate 4</t>
  </si>
  <si>
    <t xml:space="preserve">Candidate 5</t>
  </si>
  <si>
    <t xml:space="preserve">Candidate 6</t>
  </si>
  <si>
    <t xml:space="preserve">Candidate 7</t>
  </si>
  <si>
    <t xml:space="preserve">Candidate 8</t>
  </si>
  <si>
    <t xml:space="preserve">Candidate 9</t>
  </si>
  <si>
    <t xml:space="preserve">Candidate 10</t>
  </si>
  <si>
    <t xml:space="preserve">Candidate 11</t>
  </si>
  <si>
    <t xml:space="preserve">Candidate 12</t>
  </si>
  <si>
    <t xml:space="preserve">Candidate 13</t>
  </si>
  <si>
    <t xml:space="preserve">Candidate 14</t>
  </si>
  <si>
    <t xml:space="preserve">Candidate 15</t>
  </si>
  <si>
    <t xml:space="preserve">Candidate 16</t>
  </si>
  <si>
    <t xml:space="preserve">Candidate 17</t>
  </si>
  <si>
    <t xml:space="preserve">Candidate 18</t>
  </si>
  <si>
    <t xml:space="preserve">Candidate 19</t>
  </si>
  <si>
    <t xml:space="preserve">Candidate 20</t>
  </si>
  <si>
    <t xml:space="preserve">Candidate 21</t>
  </si>
  <si>
    <t xml:space="preserve">Candidate 22</t>
  </si>
  <si>
    <t xml:space="preserve">Candidate 23</t>
  </si>
  <si>
    <t xml:space="preserve">Candidate 24</t>
  </si>
  <si>
    <t xml:space="preserve">Candidate 25</t>
  </si>
  <si>
    <t xml:space="preserve">Candidate 26</t>
  </si>
  <si>
    <t xml:space="preserve">Candidate 27</t>
  </si>
  <si>
    <t xml:space="preserve">Candidate 28</t>
  </si>
  <si>
    <t xml:space="preserve">Candidate 29</t>
  </si>
  <si>
    <t xml:space="preserve">Candidate 30</t>
  </si>
  <si>
    <t xml:space="preserve">Candidate 31</t>
  </si>
  <si>
    <t xml:space="preserve">Candidate 32</t>
  </si>
  <si>
    <t xml:space="preserve">Candidate 33</t>
  </si>
  <si>
    <t xml:space="preserve">Candidate 34</t>
  </si>
  <si>
    <t xml:space="preserve">Candidate 35</t>
  </si>
  <si>
    <t xml:space="preserve">Candidate 36</t>
  </si>
  <si>
    <t xml:space="preserve">Candidate 37</t>
  </si>
  <si>
    <t xml:space="preserve">Candidate 38</t>
  </si>
  <si>
    <t xml:space="preserve">Candidate 39</t>
  </si>
  <si>
    <t xml:space="preserve">Candidate 40</t>
  </si>
  <si>
    <t xml:space="preserve">Candidate 41</t>
  </si>
  <si>
    <t xml:space="preserve">Candidate 42</t>
  </si>
  <si>
    <t xml:space="preserve">Candidate 43</t>
  </si>
  <si>
    <t xml:space="preserve">Candidate 44</t>
  </si>
  <si>
    <t xml:space="preserve">Candidate 45</t>
  </si>
  <si>
    <t xml:space="preserve">Candidate 46</t>
  </si>
  <si>
    <t xml:space="preserve">Candidate 47</t>
  </si>
  <si>
    <t xml:space="preserve">Candidate 48</t>
  </si>
  <si>
    <t xml:space="preserve">Candidate 49</t>
  </si>
  <si>
    <t xml:space="preserve">Candidate 50</t>
  </si>
  <si>
    <t xml:space="preserve">Candidate 51</t>
  </si>
  <si>
    <t xml:space="preserve">Candidate 52</t>
  </si>
  <si>
    <t xml:space="preserve">Candidate 53</t>
  </si>
  <si>
    <t xml:space="preserve">Candidate 54</t>
  </si>
  <si>
    <t xml:space="preserve">Candidate 55</t>
  </si>
  <si>
    <t xml:space="preserve">Candidate 56</t>
  </si>
  <si>
    <t xml:space="preserve">Candidate 57</t>
  </si>
  <si>
    <t xml:space="preserve">Candidate 58</t>
  </si>
  <si>
    <t xml:space="preserve">Candidate 59</t>
  </si>
  <si>
    <t xml:space="preserve">Candidate 60</t>
  </si>
  <si>
    <t xml:space="preserve">Candidate 61</t>
  </si>
  <si>
    <t xml:space="preserve">Candidate 62</t>
  </si>
  <si>
    <t xml:space="preserve">Candidate 63</t>
  </si>
  <si>
    <t xml:space="preserve">Candidate 64</t>
  </si>
  <si>
    <t xml:space="preserve">Candidate 65</t>
  </si>
  <si>
    <t xml:space="preserve">Candidate 66</t>
  </si>
  <si>
    <t xml:space="preserve">Candidate 67</t>
  </si>
  <si>
    <t xml:space="preserve">Candidate 68</t>
  </si>
  <si>
    <t xml:space="preserve">Candidate 69</t>
  </si>
  <si>
    <t xml:space="preserve">Candidate 70</t>
  </si>
  <si>
    <t xml:space="preserve">Candidate 71</t>
  </si>
  <si>
    <t xml:space="preserve">Candidate 72</t>
  </si>
  <si>
    <t xml:space="preserve">Candidate 73</t>
  </si>
  <si>
    <t xml:space="preserve">Candidate 74</t>
  </si>
  <si>
    <t xml:space="preserve">Candidate 75</t>
  </si>
  <si>
    <t xml:space="preserve">Candidate 76</t>
  </si>
  <si>
    <t xml:space="preserve">Candidate 77</t>
  </si>
  <si>
    <t xml:space="preserve">Candidate 78</t>
  </si>
  <si>
    <t xml:space="preserve">Candidate 79</t>
  </si>
  <si>
    <t xml:space="preserve">Candidate 80</t>
  </si>
  <si>
    <t xml:space="preserve">Candidate 81</t>
  </si>
  <si>
    <t xml:space="preserve">Candidate 82</t>
  </si>
  <si>
    <t xml:space="preserve">Candidate 83</t>
  </si>
  <si>
    <t xml:space="preserve">Candidate 84</t>
  </si>
  <si>
    <t xml:space="preserve">Candidate 85</t>
  </si>
  <si>
    <t xml:space="preserve">Candidate 86</t>
  </si>
  <si>
    <t xml:space="preserve">Candidate 87</t>
  </si>
  <si>
    <t xml:space="preserve">Candidate 88</t>
  </si>
  <si>
    <t xml:space="preserve">Candidate 89</t>
  </si>
  <si>
    <t xml:space="preserve">Candidate 90</t>
  </si>
  <si>
    <t xml:space="preserve">Candidate 91</t>
  </si>
  <si>
    <t xml:space="preserve">Candidate 92</t>
  </si>
  <si>
    <t xml:space="preserve">Candidate 93</t>
  </si>
  <si>
    <t xml:space="preserve">Candidate 94</t>
  </si>
  <si>
    <t xml:space="preserve">Candidate 95</t>
  </si>
  <si>
    <t xml:space="preserve">Candidate 96</t>
  </si>
  <si>
    <t xml:space="preserve">Candidate 97</t>
  </si>
  <si>
    <t xml:space="preserve">Candidate 98</t>
  </si>
  <si>
    <t xml:space="preserve">Candidate 99</t>
  </si>
  <si>
    <t xml:space="preserve">Candidate 100</t>
  </si>
  <si>
    <t xml:space="preserve">Candidate 101</t>
  </si>
  <si>
    <t xml:space="preserve">Candidate 102</t>
  </si>
  <si>
    <t xml:space="preserve">Candidate 103</t>
  </si>
  <si>
    <t xml:space="preserve">Candidate 104</t>
  </si>
  <si>
    <t xml:space="preserve">Candidate 105</t>
  </si>
  <si>
    <t xml:space="preserve">Candidate 106</t>
  </si>
  <si>
    <t xml:space="preserve">Candidate 107</t>
  </si>
  <si>
    <t xml:space="preserve">Candidate 108</t>
  </si>
  <si>
    <t xml:space="preserve">Candidate 109</t>
  </si>
  <si>
    <t xml:space="preserve">Candidate 110</t>
  </si>
  <si>
    <t xml:space="preserve">Candidate 111</t>
  </si>
  <si>
    <t xml:space="preserve">Candidate 112</t>
  </si>
  <si>
    <t xml:space="preserve">Candidate 113</t>
  </si>
  <si>
    <t xml:space="preserve">Candidate 114</t>
  </si>
  <si>
    <t xml:space="preserve">Candidate 115</t>
  </si>
  <si>
    <t xml:space="preserve">Candidate 116</t>
  </si>
  <si>
    <t xml:space="preserve">Candidate 117</t>
  </si>
  <si>
    <t xml:space="preserve">Candidate 118</t>
  </si>
  <si>
    <t xml:space="preserve">Candidate 119</t>
  </si>
  <si>
    <t xml:space="preserve">Candidate 120</t>
  </si>
  <si>
    <t xml:space="preserve">Candidate 121</t>
  </si>
  <si>
    <t xml:space="preserve">Candidate 122</t>
  </si>
  <si>
    <t xml:space="preserve">Candidate 123</t>
  </si>
  <si>
    <t xml:space="preserve">Candidate 124</t>
  </si>
  <si>
    <t xml:space="preserve">Candidate 125</t>
  </si>
  <si>
    <t xml:space="preserve">Candidate 126</t>
  </si>
  <si>
    <t xml:space="preserve">Candidate 127</t>
  </si>
  <si>
    <t xml:space="preserve">Candidate 128</t>
  </si>
  <si>
    <t xml:space="preserve">Candidate 129</t>
  </si>
  <si>
    <t xml:space="preserve">Candidate 130</t>
  </si>
  <si>
    <t xml:space="preserve">Candidate 131</t>
  </si>
  <si>
    <t xml:space="preserve">Candidate 132</t>
  </si>
  <si>
    <t xml:space="preserve">Candidate 133</t>
  </si>
  <si>
    <t xml:space="preserve">Candidate 134</t>
  </si>
  <si>
    <t xml:space="preserve">Candidate 135</t>
  </si>
  <si>
    <t xml:space="preserve">Candidate 136</t>
  </si>
  <si>
    <t xml:space="preserve">Candidate 137</t>
  </si>
  <si>
    <t xml:space="preserve">Candidate 138</t>
  </si>
  <si>
    <t xml:space="preserve">Candidate 139</t>
  </si>
  <si>
    <t xml:space="preserve">Candidate 140</t>
  </si>
  <si>
    <t xml:space="preserve">Candidate 141</t>
  </si>
  <si>
    <t xml:space="preserve">Candidate 142</t>
  </si>
  <si>
    <t xml:space="preserve">Candidate 143</t>
  </si>
  <si>
    <t xml:space="preserve">Candidate 144</t>
  </si>
  <si>
    <t xml:space="preserve">Candidate 145</t>
  </si>
  <si>
    <t xml:space="preserve">Candidate 146</t>
  </si>
  <si>
    <t xml:space="preserve">Candidate 147</t>
  </si>
  <si>
    <t xml:space="preserve">Candidate 148</t>
  </si>
  <si>
    <t xml:space="preserve">Candidate 149</t>
  </si>
  <si>
    <t xml:space="preserve">Candidate 150</t>
  </si>
  <si>
    <t xml:space="preserve">Candidate 151</t>
  </si>
  <si>
    <t xml:space="preserve">Candidate 152</t>
  </si>
  <si>
    <t xml:space="preserve">Candidate 153</t>
  </si>
  <si>
    <t xml:space="preserve">Candidate 154</t>
  </si>
  <si>
    <t xml:space="preserve">Candidate 155</t>
  </si>
  <si>
    <t xml:space="preserve">Candidate 156</t>
  </si>
  <si>
    <t xml:space="preserve">Candidate 157</t>
  </si>
  <si>
    <t xml:space="preserve">Candidate 158</t>
  </si>
  <si>
    <t xml:space="preserve">Candidate 159</t>
  </si>
  <si>
    <t xml:space="preserve">Candidate 160</t>
  </si>
  <si>
    <t xml:space="preserve">Candidate 161</t>
  </si>
  <si>
    <t xml:space="preserve">Candidate 162</t>
  </si>
  <si>
    <t xml:space="preserve">Candidate 163</t>
  </si>
  <si>
    <t xml:space="preserve">Candidate 164</t>
  </si>
  <si>
    <t xml:space="preserve">Candidate 165</t>
  </si>
  <si>
    <t xml:space="preserve">Candidate 166</t>
  </si>
  <si>
    <t xml:space="preserve">Candidate 167</t>
  </si>
  <si>
    <t xml:space="preserve">Candidate 168</t>
  </si>
  <si>
    <t xml:space="preserve">Candidate 169</t>
  </si>
  <si>
    <t xml:space="preserve">Candidate 170</t>
  </si>
  <si>
    <t xml:space="preserve">Candidate 171</t>
  </si>
  <si>
    <t xml:space="preserve">Candidate 172</t>
  </si>
  <si>
    <t xml:space="preserve">Candidate 173</t>
  </si>
  <si>
    <t xml:space="preserve">Candidate 174</t>
  </si>
  <si>
    <t xml:space="preserve">Candidate 175</t>
  </si>
  <si>
    <t xml:space="preserve">Candidate 176</t>
  </si>
  <si>
    <t xml:space="preserve">Candidate 177</t>
  </si>
  <si>
    <t xml:space="preserve">Candidate 178</t>
  </si>
  <si>
    <t xml:space="preserve">Candidate 179</t>
  </si>
  <si>
    <t xml:space="preserve">Candidate 180</t>
  </si>
  <si>
    <t xml:space="preserve">Candidate 181</t>
  </si>
  <si>
    <t xml:space="preserve">Candidate 182</t>
  </si>
  <si>
    <t xml:space="preserve">Candidate 183</t>
  </si>
  <si>
    <t xml:space="preserve">Candidate 184</t>
  </si>
  <si>
    <t xml:space="preserve">Candidate 185</t>
  </si>
  <si>
    <t xml:space="preserve">Candidate 186</t>
  </si>
  <si>
    <t xml:space="preserve">Candidate 187</t>
  </si>
  <si>
    <t xml:space="preserve">Candidate 188</t>
  </si>
  <si>
    <t xml:space="preserve">Candidate 189</t>
  </si>
  <si>
    <t xml:space="preserve">Candidate 190</t>
  </si>
  <si>
    <t xml:space="preserve">Candidate 191</t>
  </si>
  <si>
    <t xml:space="preserve">Candidate 192</t>
  </si>
  <si>
    <t xml:space="preserve">Candidate 193</t>
  </si>
  <si>
    <t xml:space="preserve">Candidate 194</t>
  </si>
  <si>
    <t xml:space="preserve">Candidate 195</t>
  </si>
  <si>
    <t xml:space="preserve">Candidate 196</t>
  </si>
  <si>
    <t xml:space="preserve">Candidate 197</t>
  </si>
  <si>
    <t xml:space="preserve">Candidate 198</t>
  </si>
  <si>
    <t xml:space="preserve">Candidate 199</t>
  </si>
  <si>
    <t xml:space="preserve">Candidate 200</t>
  </si>
  <si>
    <t xml:space="preserve">AM Divest Position</t>
  </si>
  <si>
    <t xml:space="preserve">Takeover Employee</t>
  </si>
  <si>
    <t xml:space="preserve">Takeover Original Position</t>
  </si>
  <si>
    <t xml:space="preserve">Divest Position</t>
  </si>
  <si>
    <t xml:space="preserve">Core Employee</t>
  </si>
  <si>
    <t xml:space="preserve">Core Lunch</t>
  </si>
  <si>
    <t xml:space="preserve">Lunch Relief Employee</t>
  </si>
  <si>
    <t xml:space="preserve">Relief Home Position</t>
  </si>
  <si>
    <t xml:space="preserve">Continuous Coverage</t>
  </si>
  <si>
    <t xml:space="preserve">DivestRoleList</t>
  </si>
  <si>
    <t xml:space="preserve">AM</t>
  </si>
  <si>
    <t xml:space="preserve">8:00 AM</t>
  </si>
  <si>
    <t xml:space="preserve">Called Out</t>
  </si>
  <si>
    <t xml:space="preserve">PM</t>
  </si>
  <si>
    <t xml:space="preserve">2</t>
  </si>
  <si>
    <t xml:space="preserve">Opening</t>
  </si>
  <si>
    <t xml:space="preserve">9:00 AM</t>
  </si>
  <si>
    <t xml:space="preserve">PTO</t>
  </si>
  <si>
    <t xml:space="preserve">Overnight</t>
  </si>
  <si>
    <t xml:space="preserve">Core</t>
  </si>
  <si>
    <t xml:space="preserve">10:00 AM</t>
  </si>
  <si>
    <t xml:space="preserve">Excused</t>
  </si>
  <si>
    <t xml:space="preserve">Lunch Relief</t>
  </si>
  <si>
    <t xml:space="preserve">3:00 PM</t>
  </si>
  <si>
    <t xml:space="preserve">End of Shift</t>
  </si>
  <si>
    <t xml:space="preserve">4:00 PM</t>
  </si>
  <si>
    <t xml:space="preserve">6</t>
  </si>
  <si>
    <t xml:space="preserve">5:00 PM</t>
  </si>
  <si>
    <t xml:space="preserve">7</t>
  </si>
  <si>
    <t xml:space="preserve">6:00 PM</t>
  </si>
  <si>
    <t xml:space="preserve">8</t>
  </si>
  <si>
    <t xml:space="preserve">7:00 PM</t>
  </si>
  <si>
    <t xml:space="preserve">1:00 AM</t>
  </si>
  <si>
    <t xml:space="preserve">10</t>
  </si>
  <si>
    <t xml:space="preserve">2:00 AM</t>
  </si>
  <si>
    <t xml:space="preserve">11</t>
  </si>
  <si>
    <t xml:space="preserve">12</t>
  </si>
  <si>
    <t xml:space="preserve">13</t>
  </si>
  <si>
    <t xml:space="preserve">18</t>
  </si>
  <si>
    <t xml:space="preserve">22</t>
  </si>
  <si>
    <t xml:space="preserve">23</t>
  </si>
  <si>
    <t xml:space="preserve">24</t>
  </si>
  <si>
    <t xml:space="preserve">26</t>
  </si>
  <si>
    <t xml:space="preserve">32</t>
  </si>
  <si>
    <t xml:space="preserve">33</t>
  </si>
  <si>
    <t xml:space="preserve">34</t>
  </si>
  <si>
    <t xml:space="preserve">38</t>
  </si>
  <si>
    <t xml:space="preserve">41</t>
  </si>
  <si>
    <t xml:space="preserve">42</t>
  </si>
  <si>
    <t xml:space="preserve">43</t>
  </si>
  <si>
    <t xml:space="preserve">44</t>
  </si>
  <si>
    <t xml:space="preserve">45</t>
  </si>
  <si>
    <t xml:space="preserve">AM First Duty / Second Duty Handoff Plan</t>
  </si>
  <si>
    <t xml:space="preserve">All seven Divest positions open with qualified 3:45 AM staff. At 5:45 AM, fairness-ranked qualified employees take over; released openers move to the takeover employees’ former Tier 2–4 duties. Dedicated lunch relief is shown on Divest Coverage Plan.</t>
  </si>
  <si>
    <t xml:space="preserve">Employee</t>
  </si>
  <si>
    <t xml:space="preserve">First Duty Start</t>
  </si>
  <si>
    <t xml:space="preserve">First Duty Position ID</t>
  </si>
  <si>
    <t xml:space="preserve">First Duty</t>
  </si>
  <si>
    <t xml:space="preserve">Second Duty Start</t>
  </si>
  <si>
    <t xml:space="preserve">Second Duty Position ID</t>
  </si>
  <si>
    <t xml:space="preserve">Second Duty</t>
  </si>
  <si>
    <t xml:space="preserve">Handoff Detail</t>
  </si>
  <si>
    <t xml:space="preserve">Coverage Check</t>
  </si>
  <si>
    <t xml:space="preserve">Divest Continuous Coverage &amp; Fairness Plan</t>
  </si>
  <si>
    <t xml:space="preserve">Openings Filled / Lunch Coverage must keep Continuous Coverage = COVERED. Core and Lunch Reliever MUST have different lunch waves. Any SAME-LUNCH conflict is a hard violation (see Tier1 Break Conflict Check). Fairness Basis: 30-day actual hours, days, consecutive-day burden, openings, and lunch relief.</t>
  </si>
  <si>
    <t xml:space="preserve">Lunch Coverage Gaps</t>
  </si>
  <si>
    <t xml:space="preserve">Qualified Core Employees</t>
  </si>
  <si>
    <t xml:space="preserve">Fairness Basis</t>
  </si>
  <si>
    <t xml:space="preserve">30-day actual hours, days, consecutive-day burden, openings, and lunch relief</t>
  </si>
  <si>
    <t xml:space="preserve">Opening assignments and 5:45 AM takeovers favor the lowest burden among qualified employees. Every core employee receives a named Divest-qualified lunch reliever with a different lunch wave. No four-hour Divest cap is applied.</t>
  </si>
  <si>
    <t xml:space="preserve">Opening Employee ID</t>
  </si>
  <si>
    <t xml:space="preserve">Opening Employee</t>
  </si>
  <si>
    <t xml:space="preserve">Opening Check</t>
  </si>
  <si>
    <t xml:space="preserve">5:45 Core Employee ID</t>
  </si>
  <si>
    <t xml:space="preserve">Lunch Reliever ID</t>
  </si>
  <si>
    <t xml:space="preserve">Lunch Reliever</t>
  </si>
  <si>
    <t xml:space="preserve">Reliever Home Position</t>
  </si>
  <si>
    <t xml:space="preserve">Reliever Lunch</t>
  </si>
  <si>
    <t xml:space="preserve">Divest Days</t>
  </si>
  <si>
    <t xml:space="preserve">Consecutive Days</t>
  </si>
  <si>
    <t xml:space="preserve">Opening Assignments</t>
  </si>
  <si>
    <t xml:space="preserve">Fairness Score</t>
  </si>
</sst>
</file>

<file path=xl/styles.xml><?xml version="1.0" encoding="utf-8"?>
<styleSheet xmlns="http://schemas.openxmlformats.org/spreadsheetml/2006/main">
  <numFmts count="4">
    <numFmt numFmtId="164" formatCode="General"/>
    <numFmt numFmtId="165" formatCode="General"/>
    <numFmt numFmtId="166" formatCode="mmm\ d&quot;, &quot;yyyy"/>
    <numFmt numFmtId="167" formatCode="0"/>
  </numFmts>
  <fonts count="26">
    <font>
      <sz val="10"/>
      <name val="Arial"/>
      <family val="2"/>
      <charset val="1"/>
    </font>
    <font>
      <sz val="10"/>
      <name val="Arial"/>
      <family val="0"/>
    </font>
    <font>
      <sz val="10"/>
      <name val="Arial"/>
      <family val="0"/>
    </font>
    <font>
      <sz val="10"/>
      <name val="Arial"/>
      <family val="0"/>
    </font>
    <font>
      <b val="true"/>
      <sz val="16"/>
      <color rgb="FF1F4E79"/>
      <name val="Arial"/>
      <family val="0"/>
      <charset val="1"/>
    </font>
    <font>
      <i val="true"/>
      <sz val="10"/>
      <name val="Arial"/>
      <family val="0"/>
      <charset val="1"/>
    </font>
    <font>
      <b val="true"/>
      <sz val="11"/>
      <color rgb="FF1F4E79"/>
      <name val="Arial"/>
      <family val="0"/>
      <charset val="1"/>
    </font>
    <font>
      <sz val="10"/>
      <name val="Arial"/>
      <family val="0"/>
      <charset val="1"/>
    </font>
    <font>
      <b val="true"/>
      <sz val="14"/>
      <color rgb="FF1F4E79"/>
      <name val="Arial"/>
      <family val="0"/>
      <charset val="1"/>
    </font>
    <font>
      <i val="true"/>
      <sz val="9"/>
      <name val="Arial"/>
      <family val="0"/>
      <charset val="1"/>
    </font>
    <font>
      <b val="true"/>
      <sz val="12"/>
      <color rgb="FFFFFFFF"/>
      <name val="Arial"/>
      <family val="0"/>
      <charset val="1"/>
    </font>
    <font>
      <b val="true"/>
      <sz val="10"/>
      <color rgb="FFC00000"/>
      <name val="Arial"/>
      <family val="0"/>
      <charset val="1"/>
    </font>
    <font>
      <sz val="10"/>
      <color rgb="FF006600"/>
      <name val="Arial"/>
      <family val="0"/>
      <charset val="1"/>
    </font>
    <font>
      <sz val="10"/>
      <color rgb="FFBF8F00"/>
      <name val="Arial"/>
      <family val="0"/>
      <charset val="1"/>
    </font>
    <font>
      <b val="true"/>
      <sz val="11"/>
      <color rgb="FFFFFFFF"/>
      <name val="Arial"/>
      <family val="0"/>
      <charset val="1"/>
    </font>
    <font>
      <b val="true"/>
      <sz val="10"/>
      <name val="Arial"/>
      <family val="0"/>
      <charset val="1"/>
    </font>
    <font>
      <b val="true"/>
      <sz val="10"/>
      <color rgb="FF006600"/>
      <name val="Arial"/>
      <family val="0"/>
      <charset val="1"/>
    </font>
    <font>
      <b val="true"/>
      <sz val="10"/>
      <color rgb="FFBF8F00"/>
      <name val="Arial"/>
      <family val="0"/>
      <charset val="1"/>
    </font>
    <font>
      <b val="true"/>
      <sz val="11"/>
      <name val="Calibri"/>
      <family val="0"/>
      <charset val="1"/>
    </font>
    <font>
      <sz val="11"/>
      <color theme="1"/>
      <name val="Calibri"/>
      <family val="0"/>
      <charset val="1"/>
    </font>
    <font>
      <b val="true"/>
      <sz val="16"/>
      <color rgb="FFFFFFFF"/>
      <name val="Calibri"/>
      <family val="0"/>
      <charset val="1"/>
    </font>
    <font>
      <b val="true"/>
      <sz val="11"/>
      <color rgb="FF1F1F1F"/>
      <name val="Calibri"/>
      <family val="0"/>
      <charset val="1"/>
    </font>
    <font>
      <i val="true"/>
      <sz val="11"/>
      <color rgb="FF595959"/>
      <name val="Calibri"/>
      <family val="0"/>
      <charset val="1"/>
    </font>
    <font>
      <b val="true"/>
      <sz val="11"/>
      <color rgb="FFFFFFFF"/>
      <name val="Calibri"/>
      <family val="0"/>
      <charset val="1"/>
    </font>
    <font>
      <i val="true"/>
      <sz val="9"/>
      <color rgb="FF1F4E79"/>
      <name val="Arial"/>
      <family val="0"/>
      <charset val="1"/>
    </font>
    <font>
      <i val="true"/>
      <sz val="11"/>
      <color rgb="FF7F6000"/>
      <name val="Calibri"/>
      <family val="0"/>
      <charset val="1"/>
    </font>
  </fonts>
  <fills count="14">
    <fill>
      <patternFill patternType="none"/>
    </fill>
    <fill>
      <patternFill patternType="gray125"/>
    </fill>
    <fill>
      <patternFill patternType="solid">
        <fgColor rgb="FFDDEBF7"/>
        <bgColor rgb="FFD9EAF7"/>
      </patternFill>
    </fill>
    <fill>
      <patternFill patternType="solid">
        <fgColor rgb="FF1F4E79"/>
        <bgColor rgb="FF1F4E78"/>
      </patternFill>
    </fill>
    <fill>
      <patternFill patternType="solid">
        <fgColor rgb="FFD9EAD3"/>
        <bgColor rgb="FFE2F0D9"/>
      </patternFill>
    </fill>
    <fill>
      <patternFill patternType="solid">
        <fgColor rgb="FF1F4E78"/>
        <bgColor rgb="FF1F4E79"/>
      </patternFill>
    </fill>
    <fill>
      <patternFill patternType="solid">
        <fgColor rgb="FFFFF2CC"/>
        <bgColor rgb="FFFCE4D6"/>
      </patternFill>
    </fill>
    <fill>
      <patternFill patternType="solid">
        <fgColor rgb="FFEAF2F8"/>
        <bgColor rgb="FFF2F2F2"/>
      </patternFill>
    </fill>
    <fill>
      <patternFill patternType="solid">
        <fgColor rgb="FFF2F2F2"/>
        <bgColor rgb="FFEAF2F8"/>
      </patternFill>
    </fill>
    <fill>
      <patternFill patternType="solid">
        <fgColor rgb="FFE2F0D9"/>
        <bgColor rgb="FFD9EAD3"/>
      </patternFill>
    </fill>
    <fill>
      <patternFill patternType="solid">
        <fgColor rgb="FFD9EAF7"/>
        <bgColor rgb="FFDDEBF7"/>
      </patternFill>
    </fill>
    <fill>
      <patternFill patternType="solid">
        <fgColor rgb="FF4F81BD"/>
        <bgColor rgb="FF5B9BD5"/>
      </patternFill>
    </fill>
    <fill>
      <patternFill patternType="solid">
        <fgColor rgb="FFFCE4D6"/>
        <bgColor rgb="FFFCE8E6"/>
      </patternFill>
    </fill>
    <fill>
      <patternFill patternType="solid">
        <fgColor rgb="FF5B9BD5"/>
        <bgColor rgb="FF4F81BD"/>
      </patternFill>
    </fill>
  </fills>
  <borders count="3">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18" fillId="4" borderId="0" xfId="0" applyFont="true" applyBorder="false" applyAlignment="true" applyProtection="false">
      <alignment horizontal="center" vertical="bottom" textRotation="0" wrapText="false" indent="0" shrinkToFit="false"/>
      <protection locked="true" hidden="false"/>
    </xf>
    <xf numFmtId="164" fontId="20" fillId="5" borderId="0" xfId="0" applyFont="true" applyBorder="true" applyAlignment="true" applyProtection="false">
      <alignment horizontal="general" vertical="center" textRotation="0" wrapText="false" indent="0" shrinkToFit="false"/>
      <protection locked="true" hidden="false"/>
    </xf>
    <xf numFmtId="164" fontId="21" fillId="4" borderId="2" xfId="0" applyFont="true" applyBorder="true" applyAlignment="true" applyProtection="false">
      <alignment horizontal="general" vertical="center" textRotation="0" wrapText="false" indent="0" shrinkToFit="false"/>
      <protection locked="true" hidden="false"/>
    </xf>
    <xf numFmtId="166" fontId="21" fillId="6" borderId="2" xfId="0" applyFont="true" applyBorder="tru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21" fillId="6" borderId="2" xfId="0" applyFont="true" applyBorder="true" applyAlignment="true" applyProtection="false">
      <alignment horizontal="general" vertical="center" textRotation="0" wrapText="false" indent="0" shrinkToFit="false"/>
      <protection locked="true" hidden="false"/>
    </xf>
    <xf numFmtId="165" fontId="21" fillId="7" borderId="2" xfId="0" applyFont="true" applyBorder="true" applyAlignment="true" applyProtection="false">
      <alignment horizontal="center" vertical="center" textRotation="0" wrapText="false" indent="0" shrinkToFit="false"/>
      <protection locked="true" hidden="false"/>
    </xf>
    <xf numFmtId="164" fontId="22" fillId="8" borderId="0" xfId="0" applyFont="true" applyBorder="tru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center" vertical="bottom" textRotation="0" wrapText="tru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4" fontId="19" fillId="6" borderId="0" xfId="0" applyFont="true" applyBorder="false" applyAlignment="true" applyProtection="false">
      <alignment horizontal="center" vertical="bottom" textRotation="0" wrapText="false" indent="0" shrinkToFit="false"/>
      <protection locked="true" hidden="false"/>
    </xf>
    <xf numFmtId="164" fontId="19" fillId="6" borderId="0" xfId="0" applyFont="true" applyBorder="false" applyAlignment="true" applyProtection="false">
      <alignment horizontal="general" vertical="bottom" textRotation="0" wrapText="false" indent="0" shrinkToFit="false"/>
      <protection locked="true" hidden="false"/>
    </xf>
    <xf numFmtId="165" fontId="19" fillId="9" borderId="0" xfId="0" applyFont="true" applyBorder="false" applyAlignment="true" applyProtection="false">
      <alignment horizontal="general" vertical="bottom" textRotation="0" wrapText="true" indent="0" shrinkToFit="false"/>
      <protection locked="true" hidden="false"/>
    </xf>
    <xf numFmtId="167" fontId="19" fillId="9" borderId="0" xfId="0" applyFont="true" applyBorder="false" applyAlignment="true" applyProtection="false">
      <alignment horizontal="general" vertical="bottom" textRotation="0" wrapText="true" indent="0" shrinkToFit="false"/>
      <protection locked="true" hidden="false"/>
    </xf>
    <xf numFmtId="164" fontId="23" fillId="5" borderId="0" xfId="0" applyFont="true" applyBorder="true" applyAlignment="true" applyProtection="false">
      <alignment horizontal="center" vertical="center" textRotation="0" wrapText="false" indent="0" shrinkToFit="false"/>
      <protection locked="true" hidden="false"/>
    </xf>
    <xf numFmtId="164" fontId="21" fillId="10" borderId="0" xfId="0" applyFont="true" applyBorder="false" applyAlignment="true" applyProtection="false">
      <alignment horizontal="general" vertical="center" textRotation="0" wrapText="false" indent="0" shrinkToFit="false"/>
      <protection locked="true" hidden="false"/>
    </xf>
    <xf numFmtId="166" fontId="21" fillId="10" borderId="0" xfId="0" applyFont="true" applyBorder="false" applyAlignment="true" applyProtection="false">
      <alignment horizontal="center" vertical="center" textRotation="0" wrapText="false" indent="0" shrinkToFit="false"/>
      <protection locked="true" hidden="false"/>
    </xf>
    <xf numFmtId="164" fontId="21" fillId="10" borderId="0" xfId="0" applyFont="true" applyBorder="false" applyAlignment="true" applyProtection="false">
      <alignment horizontal="center" vertical="center" textRotation="0" wrapText="false" indent="0" shrinkToFit="false"/>
      <protection locked="true" hidden="false"/>
    </xf>
    <xf numFmtId="164" fontId="24" fillId="6" borderId="0" xfId="0" applyFont="true" applyBorder="true" applyAlignment="true" applyProtection="false">
      <alignment horizontal="general" vertical="top" textRotation="0" wrapText="true" indent="0" shrinkToFit="false"/>
      <protection locked="true" hidden="false"/>
    </xf>
    <xf numFmtId="164" fontId="23" fillId="11" borderId="0" xfId="0" applyFont="true" applyBorder="false" applyAlignment="true" applyProtection="false">
      <alignment horizontal="center" vertical="center" textRotation="0" wrapText="true" indent="0" shrinkToFit="false"/>
      <protection locked="true" hidden="false"/>
    </xf>
    <xf numFmtId="165" fontId="19" fillId="12" borderId="0" xfId="0" applyFont="true" applyBorder="false" applyAlignment="true" applyProtection="false">
      <alignment horizontal="general" vertical="bottom" textRotation="0" wrapText="true" indent="0" shrinkToFit="false"/>
      <protection locked="true" hidden="false"/>
    </xf>
    <xf numFmtId="164" fontId="19" fillId="12" borderId="0" xfId="0" applyFont="true" applyBorder="fals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3" fillId="13"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25" fillId="6" borderId="0" xfId="0" applyFont="true" applyBorder="true" applyAlignment="true" applyProtection="false">
      <alignment horizontal="general" vertical="center" textRotation="0" wrapText="true" indent="0" shrinkToFit="false"/>
      <protection locked="true" hidden="false"/>
    </xf>
    <xf numFmtId="164" fontId="24" fillId="10" borderId="0" xfId="0" applyFont="true" applyBorder="false" applyAlignment="true" applyProtection="false">
      <alignment horizontal="general" vertical="top" textRotation="0" wrapText="true" indent="0" shrinkToFit="false"/>
      <protection locked="true" hidden="false"/>
    </xf>
    <xf numFmtId="165" fontId="21" fillId="10" borderId="0" xfId="0" applyFont="true" applyBorder="false" applyAlignment="true" applyProtection="false">
      <alignment horizontal="general" vertical="center" textRotation="0" wrapText="true" indent="0" shrinkToFit="false"/>
      <protection locked="true" hidden="false"/>
    </xf>
    <xf numFmtId="167" fontId="19"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4">
    <dxf>
      <fill>
        <patternFill patternType="solid">
          <fgColor rgb="FFD9EAD3"/>
          <bgColor rgb="FF000000"/>
        </patternFill>
      </fill>
    </dxf>
    <dxf>
      <fill>
        <patternFill patternType="solid">
          <bgColor rgb="FF000000"/>
        </patternFill>
      </fill>
    </dxf>
    <dxf>
      <fill>
        <patternFill patternType="solid">
          <fgColor rgb="FF000000"/>
          <bgColor rgb="FF000000"/>
        </patternFill>
      </fill>
    </dxf>
    <dxf>
      <fill>
        <patternFill patternType="solid">
          <fgColor rgb="FFE2F0D9"/>
          <bgColor rgb="FF000000"/>
        </patternFill>
      </fill>
    </dxf>
    <dxf>
      <fill>
        <patternFill patternType="solid">
          <fgColor rgb="FFFFF2CC"/>
          <bgColor rgb="FF000000"/>
        </patternFill>
      </fill>
    </dxf>
    <dxf>
      <fill>
        <patternFill patternType="solid">
          <fgColor rgb="FF375623"/>
          <bgColor rgb="FF000000"/>
        </patternFill>
      </fill>
    </dxf>
    <dxf>
      <fill>
        <patternFill patternType="solid">
          <fgColor rgb="FFF4CCCC"/>
          <bgColor rgb="FF000000"/>
        </patternFill>
      </fill>
    </dxf>
    <dxf>
      <fill>
        <patternFill patternType="solid">
          <fgColor rgb="FF9C0006"/>
          <bgColor rgb="FF000000"/>
        </patternFill>
      </fill>
    </dxf>
    <dxf>
      <font>
        <color rgb="FF375623"/>
      </font>
      <fill>
        <patternFill>
          <bgColor rgb="FFE2F0D9"/>
        </patternFill>
      </fill>
    </dxf>
    <dxf>
      <font>
        <b val="1"/>
        <color rgb="FF9C0006"/>
      </font>
      <fill>
        <patternFill>
          <bgColor rgb="FFFCE4D6"/>
        </patternFill>
      </fill>
    </dxf>
    <dxf>
      <font>
        <b val="1"/>
        <color rgb="FF9C0006"/>
      </font>
      <fill>
        <patternFill>
          <bgColor rgb="FFF4CCCC"/>
        </patternFill>
      </fill>
    </dxf>
    <dxf>
      <fill>
        <patternFill patternType="solid">
          <fgColor rgb="FF4F81BD"/>
          <bgColor rgb="FF000000"/>
        </patternFill>
      </fill>
    </dxf>
    <dxf>
      <fill>
        <patternFill patternType="solid">
          <fgColor rgb="FFFFFFFF"/>
          <bgColor rgb="FF000000"/>
        </patternFill>
      </fill>
    </dxf>
    <dxf>
      <fill>
        <patternFill patternType="solid">
          <fgColor rgb="FFFCE8E6"/>
          <bgColor rgb="FF000000"/>
        </patternFill>
      </fill>
    </dxf>
    <dxf>
      <fill>
        <patternFill patternType="solid">
          <fgColor rgb="FFFCE4D6"/>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ont>
        <b val="1"/>
        <color rgb="FF375623"/>
      </font>
      <fill>
        <patternFill>
          <bgColor rgb="FFE2F0D9"/>
        </patternFill>
      </fill>
    </dxf>
    <dxf>
      <font>
        <b val="1"/>
        <color rgb="FF9C0006"/>
      </font>
      <fill>
        <patternFill>
          <bgColor rgb="FFFCE8E6"/>
        </patternFill>
      </fill>
    </dxf>
    <dxf>
      <font>
        <b val="1"/>
        <color rgb="FF006100"/>
      </font>
      <fill>
        <patternFill>
          <bgColor rgb="FFC6EFCE"/>
        </patternFill>
      </fill>
    </dxf>
    <dxf>
      <font>
        <b val="1"/>
        <color rgb="FF9C0006"/>
      </font>
      <fill>
        <patternFill>
          <bgColor rgb="FFFFC7CE"/>
        </patternFill>
      </fill>
    </dxf>
    <dxf>
      <font>
        <b val="1"/>
        <color rgb="FF9C6500"/>
      </font>
      <fill>
        <patternFill>
          <bgColor rgb="FFFFEB9C"/>
        </patternFill>
      </fill>
    </dxf>
    <dxf>
      <fill>
        <patternFill patternType="solid">
          <fgColor rgb="FF5B9BD5"/>
          <bgColor rgb="FF000000"/>
        </patternFill>
      </fill>
    </dxf>
  </dxfs>
  <colors>
    <indexedColors>
      <rgbColor rgb="FF000000"/>
      <rgbColor rgb="FFFFFFFF"/>
      <rgbColor rgb="FFC00000"/>
      <rgbColor rgb="FF00FF00"/>
      <rgbColor rgb="FF0000FF"/>
      <rgbColor rgb="FFFCE8E6"/>
      <rgbColor rgb="FFFF00FF"/>
      <rgbColor rgb="FF00FFFF"/>
      <rgbColor rgb="FF9C0006"/>
      <rgbColor rgb="FF006600"/>
      <rgbColor rgb="FF000080"/>
      <rgbColor rgb="FF7F6000"/>
      <rgbColor rgb="FF800080"/>
      <rgbColor rgb="FF008080"/>
      <rgbColor rgb="FFB0B0B0"/>
      <rgbColor rgb="FF4F81BD"/>
      <rgbColor rgb="FF5B9BD5"/>
      <rgbColor rgb="FF993366"/>
      <rgbColor rgb="FFFFF2CC"/>
      <rgbColor rgb="FFD9EAF7"/>
      <rgbColor rgb="FF660066"/>
      <rgbColor rgb="FFFF8080"/>
      <rgbColor rgb="FF0066CC"/>
      <rgbColor rgb="FFD9EAD3"/>
      <rgbColor rgb="FF000080"/>
      <rgbColor rgb="FFFF00FF"/>
      <rgbColor rgb="FFF2F2F2"/>
      <rgbColor rgb="FF00FFFF"/>
      <rgbColor rgb="FF800080"/>
      <rgbColor rgb="FF800000"/>
      <rgbColor rgb="FF008080"/>
      <rgbColor rgb="FF0000FF"/>
      <rgbColor rgb="FF00CCFF"/>
      <rgbColor rgb="FFDDEBF7"/>
      <rgbColor rgb="FFC6EFCE"/>
      <rgbColor rgb="FFFFEB9C"/>
      <rgbColor rgb="FFE2F0D9"/>
      <rgbColor rgb="FFFFC7CE"/>
      <rgbColor rgb="FFFCE4D6"/>
      <rgbColor rgb="FFF4CCCC"/>
      <rgbColor rgb="FF3366FF"/>
      <rgbColor rgb="FF33CCCC"/>
      <rgbColor rgb="FF99CC00"/>
      <rgbColor rgb="FFEAF2F8"/>
      <rgbColor rgb="FFBF8F00"/>
      <rgbColor rgb="FFFF6600"/>
      <rgbColor rgb="FF595959"/>
      <rgbColor rgb="FFA6A6A6"/>
      <rgbColor rgb="FF1F4E78"/>
      <rgbColor rgb="FF339966"/>
      <rgbColor rgb="FF006100"/>
      <rgbColor rgb="FF375623"/>
      <rgbColor rgb="FF9C6500"/>
      <rgbColor rgb="FF993366"/>
      <rgbColor rgb="FF1F4E7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ables/table1.xml><?xml version="1.0" encoding="utf-8"?>
<table xmlns="http://schemas.openxmlformats.org/spreadsheetml/2006/main" id="1" name="AMHandoffTable" displayName="AMHandoffTable" ref="A4:L56" headerRowCount="1" totalsRowCount="0" totalsRowShown="0">
  <tableColumns count="12">
    <tableColumn id="1" name="Employee ID"/>
    <tableColumn id="2" name="Employee"/>
    <tableColumn id="3" name="Shift"/>
    <tableColumn id="4" name="First Duty Start"/>
    <tableColumn id="5" name="First Duty Position ID"/>
    <tableColumn id="6" name="First Duty"/>
    <tableColumn id="7" name="Second Duty Start"/>
    <tableColumn id="8" name="Second Duty Position ID"/>
    <tableColumn id="9" name="Second Duty"/>
    <tableColumn id="10" name="Assigned Lunch"/>
    <tableColumn id="11" name="Handoff Detail"/>
    <tableColumn id="12" name="Coverage Check"/>
  </tableColumns>
</table>
</file>

<file path=xl/tables/table2.xml><?xml version="1.0" encoding="utf-8"?>
<table xmlns="http://schemas.openxmlformats.org/spreadsheetml/2006/main" id="2" name="DailyScheduleTable" displayName="DailyScheduleTable" ref="A5:S57" headerRowCount="1" totalsRowCount="0" totalsRowShown="0">
  <autoFilter ref="A5:S57"/>
  <tableColumns count="19">
    <tableColumn id="1" name="Position ID"/>
    <tableColumn id="2" name="Area"/>
    <tableColumn id="3" name="Position"/>
    <tableColumn id="4" name="Tier"/>
    <tableColumn id="5" name="Required Qualification"/>
    <tableColumn id="6" name="Employee ID"/>
    <tableColumn id="7" name="Assigned Employee"/>
    <tableColumn id="8" name="Shift"/>
    <tableColumn id="9" name="Start"/>
    <tableColumn id="10" name="End"/>
    <tableColumn id="11" name="Lunch Preference"/>
    <tableColumn id="12" name="Qualification Check"/>
    <tableColumn id="13" name="Coverage Status"/>
    <tableColumn id="14" name="Assigned Lunch"/>
    <tableColumn id="15" name="Relief Position ID"/>
    <tableColumn id="16" name="Relief Employee"/>
    <tableColumn id="17" name="Break Coverage"/>
    <tableColumn id="18" name="Opening Coverage"/>
    <tableColumn id="19" name="Notes"/>
  </tableColumns>
</table>
</file>

<file path=xl/tables/table3.xml><?xml version="1.0" encoding="utf-8"?>
<table xmlns="http://schemas.openxmlformats.org/spreadsheetml/2006/main" id="3" name="DailyWorkforceTable" displayName="DailyWorkforceTable" ref="A5:V205" headerRowCount="1" totalsRowCount="0" totalsRowShown="0">
  <autoFilter ref="A5:V205"/>
  <tableColumns count="22">
    <tableColumn id="1" name="Date"/>
    <tableColumn id="2" name="Employee ID"/>
    <tableColumn id="3" name="Employee Name"/>
    <tableColumn id="4" name="Shift"/>
    <tableColumn id="5" name="Shift Group"/>
    <tableColumn id="6" name="Lead"/>
    <tableColumn id="7" name="Mentor"/>
    <tableColumn id="8" name="Status"/>
    <tableColumn id="9" name="Lunch Preference"/>
    <tableColumn id="10" name="Information Desk"/>
    <tableColumn id="11" name="Main Inside"/>
    <tableColumn id="12" name="Survey"/>
    <tableColumn id="13" name="Divest"/>
    <tableColumn id="14" name="Assignment Eligible"/>
    <tableColumn id="15" name="Notes"/>
    <tableColumn id="16" name="General Qualifications"/>
    <tableColumn id="17" name="30-Day Divest Hours"/>
    <tableColumn id="18" name="30-Day Divest Days"/>
    <tableColumn id="19" name="Consecutive Divest Days"/>
    <tableColumn id="20" name="30-Day Opening Assignments"/>
    <tableColumn id="21" name="30-Day Lunch Relief Assignments"/>
    <tableColumn id="22" name="Divest Fairness Score"/>
  </tableColumns>
</table>
</file>

<file path=xl/tables/table4.xml><?xml version="1.0" encoding="utf-8"?>
<table xmlns="http://schemas.openxmlformats.org/spreadsheetml/2006/main" id="4" name="DivestCoverageTable" displayName="DivestCoverageTable" ref="A4:R11" headerRowCount="1" totalsRowCount="0" totalsRowShown="0">
  <autoFilter ref="A4:R11"/>
  <tableColumns count="18">
    <tableColumn id="1" name="Position ID"/>
    <tableColumn id="2" name="Area"/>
    <tableColumn id="3" name="Opening Employee ID"/>
    <tableColumn id="4" name="Opening Employee"/>
    <tableColumn id="5" name="Opening Check"/>
    <tableColumn id="6" name="5:45 Core Employee ID"/>
    <tableColumn id="7" name="Core Employee"/>
    <tableColumn id="8" name="Core Lunch"/>
    <tableColumn id="9" name="Lunch Reliever ID"/>
    <tableColumn id="10" name="Lunch Reliever"/>
    <tableColumn id="11" name="Reliever Home Position"/>
    <tableColumn id="12" name="Reliever Lunch"/>
    <tableColumn id="13" name="30-Day Divest Hours"/>
    <tableColumn id="14" name="Divest Days"/>
    <tableColumn id="15" name="Consecutive Days"/>
    <tableColumn id="16" name="Opening Assignments"/>
    <tableColumn id="17" name="Fairness Score"/>
    <tableColumn id="18" name="Continuous Coverage"/>
  </tableColumns>
</table>
</file>

<file path=xl/tables/table5.xml><?xml version="1.0" encoding="utf-8"?>
<table xmlns="http://schemas.openxmlformats.org/spreadsheetml/2006/main" id="5" name="EmployeeMasterTable" displayName="EmployeeMasterTable" ref="A1:I159" headerRowCount="1" totalsRowCount="0" totalsRowShown="0">
  <tableColumns count="9">
    <tableColumn id="1" name="Employee ID"/>
    <tableColumn id="2" name="Employee Name"/>
    <tableColumn id="3" name="Shift"/>
    <tableColumn id="4" name="Days Off"/>
    <tableColumn id="5" name="Lead"/>
    <tableColumn id="6" name="Mentor"/>
    <tableColumn id="7" name="Active"/>
    <tableColumn id="8" name="Lunch Preference"/>
    <tableColumn id="9" name="Shift Group"/>
  </tableColumns>
</table>
</file>

<file path=xl/tables/table6.xml><?xml version="1.0" encoding="utf-8"?>
<table xmlns="http://schemas.openxmlformats.org/spreadsheetml/2006/main" id="6" name="RotationHistoryTable" displayName="RotationHistoryTable" ref="A1:N1" headerRowCount="1" totalsRowCount="0" totalsRowShown="0">
  <autoFilter ref="A1:N1"/>
  <tableColumns count="14">
    <tableColumn id="1" name="Date"/>
    <tableColumn id="2" name="Employee ID"/>
    <tableColumn id="3" name="Employee Name"/>
    <tableColumn id="4" name="Position"/>
    <tableColumn id="5" name="Hours"/>
    <tableColumn id="6" name="Break"/>
    <tableColumn id="7" name="Lunch"/>
    <tableColumn id="8" name="Actual Assignment"/>
    <tableColumn id="9" name="Reason"/>
    <tableColumn id="10" name="Position ID"/>
    <tableColumn id="11" name="Divest Role"/>
    <tableColumn id="12" name="Planned Divest Hours"/>
    <tableColumn id="13" name="Actual Divest Hours"/>
    <tableColumn id="14"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table" Target="../tables/table5.xml"/>
</Relationships>
</file>

<file path=xl/worksheets/_rels/sheet8.xml.rels><?xml version="1.0" encoding="UTF-8"?>
<Relationships xmlns="http://schemas.openxmlformats.org/package/2006/relationships"><Relationship Id="rId1" Type="http://schemas.openxmlformats.org/officeDocument/2006/relationships/table" Target="../tables/table3.xml"/>
</Relationships>
</file>

<file path=xl/worksheets/_rels/sheet9.xml.rels><?xml version="1.0" encoding="UTF-8"?>
<Relationships xmlns="http://schemas.openxmlformats.org/package/2006/relationships"><Relationship Id="rId1" Type="http://schemas.openxmlformats.org/officeDocument/2006/relationships/table" Target="../tables/table2.xml"/>
</Relationships>
</file>

<file path=xl/worksheets/_rels/sheet10.xml.rels><?xml version="1.0" encoding="UTF-8"?>
<Relationships xmlns="http://schemas.openxmlformats.org/package/2006/relationships"><Relationship Id="rId1" Type="http://schemas.openxmlformats.org/officeDocument/2006/relationships/table" Target="../tables/table6.xml"/>
</Relationships>
</file>

<file path=xl/worksheets/_rels/sheet13.xml.rels><?xml version="1.0" encoding="UTF-8"?>
<Relationships xmlns="http://schemas.openxmlformats.org/package/2006/relationships"><Relationship Id="rId1" Type="http://schemas.openxmlformats.org/officeDocument/2006/relationships/table" Target="../tables/table1.xml"/>
</Relationships>
</file>

<file path=xl/worksheets/_rels/sheet14.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 collapsed="false" customWidth="true" hidden="false" outlineLevel="0" max="2" min="2" style="1" width="20"/>
  </cols>
  <sheetData>
    <row r="1" customFormat="false" ht="19.5" hidden="false" customHeight="true" outlineLevel="0" collapsed="false">
      <c r="A1" s="2" t="s">
        <v>0</v>
      </c>
      <c r="B1" s="2"/>
    </row>
    <row r="2" customFormat="false" ht="15" hidden="false" customHeight="true" outlineLevel="0" collapsed="false">
      <c r="A2" s="3" t="s">
        <v>1</v>
      </c>
      <c r="B2" s="3"/>
    </row>
    <row r="4" customFormat="false" ht="15" hidden="false" customHeight="true" outlineLevel="0" collapsed="false">
      <c r="A4" s="4" t="s">
        <v>2</v>
      </c>
      <c r="B4" s="4"/>
    </row>
    <row r="5" customFormat="false" ht="54.75" hidden="false" customHeight="true" outlineLevel="0" collapsed="false">
      <c r="A5" s="5" t="s">
        <v>3</v>
      </c>
      <c r="B5" s="5"/>
    </row>
    <row r="7" customFormat="false" ht="15" hidden="false" customHeight="true" outlineLevel="0" collapsed="false">
      <c r="A7" s="4" t="s">
        <v>4</v>
      </c>
      <c r="B7" s="4"/>
    </row>
    <row r="8" customFormat="false" ht="79.5" hidden="false" customHeight="true" outlineLevel="0" collapsed="false">
      <c r="A8" s="5" t="s">
        <v>5</v>
      </c>
      <c r="B8" s="5"/>
    </row>
    <row r="10" customFormat="false" ht="15" hidden="false" customHeight="true" outlineLevel="0" collapsed="false">
      <c r="A10" s="4" t="s">
        <v>6</v>
      </c>
      <c r="B10" s="4"/>
    </row>
    <row r="11" customFormat="false" ht="79.5" hidden="false" customHeight="true" outlineLevel="0" collapsed="false">
      <c r="A11" s="5" t="s">
        <v>7</v>
      </c>
      <c r="B11" s="5"/>
    </row>
    <row r="13" customFormat="false" ht="15" hidden="false" customHeight="true" outlineLevel="0" collapsed="false">
      <c r="A13" s="4" t="s">
        <v>8</v>
      </c>
      <c r="B13" s="4"/>
    </row>
    <row r="14" customFormat="false" ht="79.5" hidden="false" customHeight="true" outlineLevel="0" collapsed="false">
      <c r="A14" s="5" t="s">
        <v>9</v>
      </c>
      <c r="B14" s="5"/>
    </row>
    <row r="16" customFormat="false" ht="15" hidden="false" customHeight="true" outlineLevel="0" collapsed="false">
      <c r="A16" s="4" t="s">
        <v>10</v>
      </c>
      <c r="B16" s="4"/>
    </row>
    <row r="17" customFormat="false" ht="79.5" hidden="false" customHeight="true" outlineLevel="0" collapsed="false">
      <c r="A17" s="5" t="s">
        <v>11</v>
      </c>
      <c r="B17" s="5"/>
    </row>
    <row r="19" customFormat="false" ht="15" hidden="false" customHeight="true" outlineLevel="0" collapsed="false">
      <c r="A19" s="4" t="s">
        <v>12</v>
      </c>
      <c r="B19" s="4"/>
    </row>
    <row r="20" customFormat="false" ht="79.5" hidden="false" customHeight="true" outlineLevel="0" collapsed="false">
      <c r="A20" s="5" t="s">
        <v>13</v>
      </c>
      <c r="B20" s="5"/>
    </row>
    <row r="22" customFormat="false" ht="15" hidden="false" customHeight="true" outlineLevel="0" collapsed="false">
      <c r="A22" s="4" t="s">
        <v>14</v>
      </c>
      <c r="B22" s="4"/>
    </row>
    <row r="23" customFormat="false" ht="79.5" hidden="false" customHeight="true" outlineLevel="0" collapsed="false">
      <c r="A23" s="5" t="s">
        <v>15</v>
      </c>
      <c r="B23" s="5"/>
    </row>
    <row r="25" customFormat="false" ht="15" hidden="false" customHeight="true" outlineLevel="0" collapsed="false">
      <c r="A25" s="4" t="s">
        <v>16</v>
      </c>
      <c r="B25" s="4"/>
    </row>
    <row r="26" customFormat="false" ht="79.5" hidden="false" customHeight="true" outlineLevel="0" collapsed="false">
      <c r="A26" s="5" t="s">
        <v>17</v>
      </c>
      <c r="B26" s="5"/>
    </row>
  </sheetData>
  <mergeCells count="18">
    <mergeCell ref="A1:B1"/>
    <mergeCell ref="A2:B2"/>
    <mergeCell ref="A4:B4"/>
    <mergeCell ref="A5:B5"/>
    <mergeCell ref="A7:B7"/>
    <mergeCell ref="A8:B8"/>
    <mergeCell ref="A10:B10"/>
    <mergeCell ref="A11:B11"/>
    <mergeCell ref="A13:B13"/>
    <mergeCell ref="A14:B14"/>
    <mergeCell ref="A16:B16"/>
    <mergeCell ref="A17:B17"/>
    <mergeCell ref="A19:B19"/>
    <mergeCell ref="A20:B20"/>
    <mergeCell ref="A22:B22"/>
    <mergeCell ref="A23:B23"/>
    <mergeCell ref="A25:B25"/>
    <mergeCell ref="A26:B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3" min="2" style="1" width="28"/>
    <col collapsed="false" customWidth="true" hidden="false" outlineLevel="0" max="4" min="4" style="1" width="10"/>
    <col collapsed="false" customWidth="true" hidden="false" outlineLevel="0" max="5" min="5" style="1" width="16"/>
    <col collapsed="false" customWidth="true" hidden="false" outlineLevel="0" max="6" min="6" style="1" width="18"/>
    <col collapsed="false" customWidth="true" hidden="false" outlineLevel="0" max="8" min="7" style="1" width="14"/>
    <col collapsed="false" customWidth="true" hidden="false" outlineLevel="0" max="10" min="9" style="1" width="16"/>
    <col collapsed="false" customWidth="true" hidden="false" outlineLevel="0" max="11" min="11" style="1" width="18"/>
    <col collapsed="false" customWidth="true" hidden="false" outlineLevel="0" max="12" min="12" style="1" width="22"/>
  </cols>
  <sheetData>
    <row r="1" customFormat="false" ht="17.25" hidden="false" customHeight="true" outlineLevel="0" collapsed="false">
      <c r="A1" s="6" t="s">
        <v>18</v>
      </c>
      <c r="B1" s="6"/>
      <c r="C1" s="6"/>
      <c r="D1" s="6"/>
      <c r="E1" s="6"/>
      <c r="F1" s="6"/>
      <c r="G1" s="6"/>
      <c r="H1" s="6"/>
      <c r="I1" s="6"/>
      <c r="J1" s="6"/>
      <c r="K1" s="6"/>
      <c r="L1" s="6"/>
    </row>
    <row r="2" customFormat="false" ht="34.5" hidden="false" customHeight="true" outlineLevel="0" collapsed="false">
      <c r="A2" s="7" t="s">
        <v>19</v>
      </c>
      <c r="B2" s="7"/>
      <c r="C2" s="7"/>
      <c r="D2" s="7"/>
      <c r="E2" s="7"/>
      <c r="F2" s="7"/>
      <c r="G2" s="7"/>
      <c r="H2" s="7"/>
      <c r="I2" s="7"/>
      <c r="J2" s="7"/>
      <c r="K2" s="7"/>
      <c r="L2" s="7"/>
    </row>
    <row r="4" customFormat="false" ht="30" hidden="false" customHeight="true" outlineLevel="0" collapsed="false">
      <c r="A4" s="8" t="s">
        <v>20</v>
      </c>
      <c r="B4" s="8" t="s">
        <v>21</v>
      </c>
      <c r="C4" s="8" t="s">
        <v>22</v>
      </c>
      <c r="D4" s="8" t="s">
        <v>23</v>
      </c>
      <c r="E4" s="8" t="s">
        <v>24</v>
      </c>
      <c r="F4" s="8" t="s">
        <v>25</v>
      </c>
      <c r="G4" s="8" t="s">
        <v>26</v>
      </c>
      <c r="H4" s="8" t="s">
        <v>27</v>
      </c>
      <c r="I4" s="8" t="s">
        <v>28</v>
      </c>
      <c r="J4" s="8" t="s">
        <v>29</v>
      </c>
      <c r="K4" s="8" t="s">
        <v>30</v>
      </c>
      <c r="L4" s="8" t="s">
        <v>31</v>
      </c>
    </row>
    <row r="5" customFormat="false" ht="15" hidden="false" customHeight="true" outlineLevel="0" collapsed="false">
      <c r="A5" s="9" t="n">
        <v>1</v>
      </c>
      <c r="B5" s="9" t="str">
        <f aca="false">IFERROR(INDEX('Position Library'!$B$2:$B$53,MATCH(A5,'Position Library'!$A$2:$A$53,0)),"")</f>
        <v>Main Security Checkpoint</v>
      </c>
      <c r="C5" s="9" t="str">
        <f aca="false">IFERROR(INDEX('Position Library'!$C$2:$C$53,MATCH(A5,'Position Library'!$A$2:$A$53,0)),"")</f>
        <v>Front Entrance </v>
      </c>
      <c r="D5" s="9" t="str">
        <f aca="false">IFERROR(INDEX('Position Library'!$D$2:$D$53,MATCH(A5,'Position Library'!$A$2:$A$53,0)),"")</f>
        <v>Tier 1</v>
      </c>
      <c r="E5" s="9" t="str">
        <f aca="false">IFERROR(INDEX('Daily Schedule'!$F$6:$F$57,MATCH(A5,'Daily Schedule'!$A$6:$A$57,0)),"")</f>
        <v>EMP-0059</v>
      </c>
      <c r="F5" s="9" t="str">
        <f aca="false">IFERROR(INDEX('Daily Schedule'!$G$6:$G$57,MATCH(A5,'Daily Schedule'!$A$6:$A$57,0)),"")</f>
        <v>Emonnie Dorsey</v>
      </c>
      <c r="G5" s="9" t="str">
        <f aca="false">IFERROR(INDEX('Daily Schedule'!$N$6:$N$57,MATCH(A5,'Daily Schedule'!$A$6:$A$57,0)),"")</f>
        <v>8:00 AM</v>
      </c>
      <c r="H5" s="9" t="n">
        <f aca="false">IFERROR(INDEX('Daily Schedule'!$O$6:$O$57,MATCH(A5,'Daily Schedule'!$A$6:$A$57,0)),"")</f>
        <v>9</v>
      </c>
      <c r="I5" s="9" t="str">
        <f aca="false">IFERROR(INDEX('Daily Schedule'!$P$6:$P$57,MATCH(A5,'Daily Schedule'!$A$6:$A$57,0)),"")</f>
        <v>EMP-0018</v>
      </c>
      <c r="J5" s="9" t="str">
        <f aca="false">IF(I5="","",IFERROR(INDEX('Daily Schedule'!$N$6:$N$57,MATCH(I5,'Daily Schedule'!$G$6:$G$57,0)),IFERROR(INDEX('Daily Schedule'!$N$6:$N$57,MATCH(I5,'Daily Schedule'!$F$6:$F$57,0)),"")))</f>
        <v>9:00 AM</v>
      </c>
      <c r="K5" s="9" t="str">
        <f aca="false">IFERROR(INDEX('Daily Schedule'!$Q$6:$Q$57,MATCH(A5,'Daily Schedule'!$A$6:$A$57,0)),"")</f>
        <v>COVERED</v>
      </c>
      <c r="L5" s="10" t="str">
        <f aca="false">IF(E5="","NO ASSIGNEE",IF(AND(G5&lt;&gt;"",J5&lt;&gt;"",G5=J5),"VIOLATION – SAME LUNCH",IF(OR(K5="RELIEF GAP",K5="POSITION UNFILLED",K5=""),IF(OR(H5="",I5=""),"VIOLATION – NO RELIEF","CHECK MANUALLY"),IF(K5="COVERED","OK","CHECK MANUALLY"))))</f>
        <v>OK</v>
      </c>
    </row>
    <row r="6" customFormat="false" ht="15" hidden="false" customHeight="true" outlineLevel="0" collapsed="false">
      <c r="A6" s="9" t="n">
        <v>2</v>
      </c>
      <c r="B6" s="9" t="str">
        <f aca="false">IFERROR(INDEX('Position Library'!$B$2:$B$53,MATCH(A6,'Position Library'!$A$2:$A$53,0)),"")</f>
        <v>Main Security Checkpoint</v>
      </c>
      <c r="C6" s="9" t="str">
        <f aca="false">IFERROR(INDEX('Position Library'!$C$2:$C$53,MATCH(A6,'Position Library'!$A$2:$A$53,0)),"")</f>
        <v>ADA Entrance </v>
      </c>
      <c r="D6" s="9" t="str">
        <f aca="false">IFERROR(INDEX('Position Library'!$D$2:$D$53,MATCH(A6,'Position Library'!$A$2:$A$53,0)),"")</f>
        <v>Tier 1</v>
      </c>
      <c r="E6" s="9" t="str">
        <f aca="false">IFERROR(INDEX('Daily Schedule'!$F$6:$F$57,MATCH(A6,'Daily Schedule'!$A$6:$A$57,0)),"")</f>
        <v>EMP-0067</v>
      </c>
      <c r="F6" s="9" t="str">
        <f aca="false">IFERROR(INDEX('Daily Schedule'!$G$6:$G$57,MATCH(A6,'Daily Schedule'!$A$6:$A$57,0)),"")</f>
        <v>Haddyjatou Ndure</v>
      </c>
      <c r="G6" s="9" t="str">
        <f aca="false">IFERROR(INDEX('Daily Schedule'!$N$6:$N$57,MATCH(A6,'Daily Schedule'!$A$6:$A$57,0)),"")</f>
        <v>9:00 AM</v>
      </c>
      <c r="H6" s="9" t="str">
        <f aca="false">IFERROR(INDEX('Daily Schedule'!$O$6:$O$57,MATCH(A6,'Daily Schedule'!$A$6:$A$57,0)),"")</f>
        <v/>
      </c>
      <c r="I6" s="9" t="str">
        <f aca="false">IFERROR(INDEX('Daily Schedule'!$P$6:$P$57,MATCH(A6,'Daily Schedule'!$A$6:$A$57,0)),"")</f>
        <v/>
      </c>
      <c r="J6" s="9" t="str">
        <f aca="false">IF(I6="","",IFERROR(INDEX('Daily Schedule'!$N$6:$N$57,MATCH(I6,'Daily Schedule'!$G$6:$G$57,0)),IFERROR(INDEX('Daily Schedule'!$N$6:$N$57,MATCH(I6,'Daily Schedule'!$F$6:$F$57,0)),"")))</f>
        <v/>
      </c>
      <c r="K6" s="9" t="str">
        <f aca="false">IFERROR(INDEX('Daily Schedule'!$Q$6:$Q$57,MATCH(A6,'Daily Schedule'!$A$6:$A$57,0)),"")</f>
        <v>RELIEF GAP</v>
      </c>
      <c r="L6" s="10" t="str">
        <f aca="false">IF(E6="","NO ASSIGNEE",IF(AND(G6&lt;&gt;"",J6&lt;&gt;"",G6=J6),"VIOLATION – SAME LUNCH",IF(OR(K6="RELIEF GAP",K6="POSITION UNFILLED",K6=""),IF(OR(H6="",I6=""),"VIOLATION – NO RELIEF","CHECK MANUALLY"),IF(K6="COVERED","OK","CHECK MANUALLY"))))</f>
        <v>VIOLATION – NO RELIEF</v>
      </c>
    </row>
    <row r="7" customFormat="false" ht="23.25" hidden="false" customHeight="true" outlineLevel="0" collapsed="false">
      <c r="A7" s="9" t="n">
        <v>4</v>
      </c>
      <c r="B7" s="9" t="str">
        <f aca="false">IFERROR(INDEX('Position Library'!$B$2:$B$53,MATCH(A7,'Position Library'!$A$2:$A$53,0)),"")</f>
        <v>Main Security Checkpoint</v>
      </c>
      <c r="C7" s="9" t="str">
        <f aca="false">IFERROR(INDEX('Position Library'!$C$2:$C$53,MATCH(A7,'Position Library'!$A$2:$A$53,0)),"")</f>
        <v>Inside Center </v>
      </c>
      <c r="D7" s="9" t="str">
        <f aca="false">IFERROR(INDEX('Position Library'!$D$2:$D$53,MATCH(A7,'Position Library'!$A$2:$A$53,0)),"")</f>
        <v>Tier 1</v>
      </c>
      <c r="E7" s="9" t="str">
        <f aca="false">IFERROR(INDEX('Daily Schedule'!$F$6:$F$57,MATCH(A7,'Daily Schedule'!$A$6:$A$57,0)),"")</f>
        <v/>
      </c>
      <c r="F7" s="9" t="str">
        <f aca="false">IFERROR(INDEX('Daily Schedule'!$G$6:$G$57,MATCH(A7,'Daily Schedule'!$A$6:$A$57,0)),"")</f>
        <v/>
      </c>
      <c r="G7" s="9" t="str">
        <f aca="false">IFERROR(INDEX('Daily Schedule'!$N$6:$N$57,MATCH(A7,'Daily Schedule'!$A$6:$A$57,0)),"")</f>
        <v/>
      </c>
      <c r="H7" s="9" t="n">
        <f aca="false">IFERROR(INDEX('Daily Schedule'!$O$6:$O$57,MATCH(A7,'Daily Schedule'!$A$6:$A$57,0)),"")</f>
        <v>5</v>
      </c>
      <c r="I7" s="9" t="str">
        <f aca="false">IFERROR(INDEX('Daily Schedule'!$P$6:$P$57,MATCH(A7,'Daily Schedule'!$A$6:$A$57,0)),"")</f>
        <v>EMP-0082</v>
      </c>
      <c r="J7" s="9" t="str">
        <f aca="false">IF(I7="","",IFERROR(INDEX('Daily Schedule'!$N$6:$N$57,MATCH(I7,'Daily Schedule'!$G$6:$G$57,0)),IFERROR(INDEX('Daily Schedule'!$N$6:$N$57,MATCH(I7,'Daily Schedule'!$F$6:$F$57,0)),"")))</f>
        <v>8:00 AM</v>
      </c>
      <c r="K7" s="9" t="str">
        <f aca="false">IFERROR(INDEX('Daily Schedule'!$Q$6:$Q$57,MATCH(A7,'Daily Schedule'!$A$6:$A$57,0)),"")</f>
        <v>POSITION UNFILLED</v>
      </c>
      <c r="L7" s="10" t="str">
        <f aca="false">IF(E7="","NO ASSIGNEE",IF(AND(G7&lt;&gt;"",J7&lt;&gt;"",G7=J7),"VIOLATION – SAME LUNCH",IF(OR(K7="RELIEF GAP",K7="POSITION UNFILLED",K7=""),IF(OR(H7="",I7=""),"VIOLATION – NO RELIEF","CHECK MANUALLY"),IF(K7="COVERED","OK","CHECK MANUALLY"))))</f>
        <v>NO ASSIGNEE</v>
      </c>
    </row>
    <row r="8" customFormat="false" ht="15" hidden="false" customHeight="true" outlineLevel="0" collapsed="false">
      <c r="A8" s="9" t="n">
        <v>5</v>
      </c>
      <c r="B8" s="9" t="str">
        <f aca="false">IFERROR(INDEX('Position Library'!$B$2:$B$53,MATCH(A8,'Position Library'!$A$2:$A$53,0)),"")</f>
        <v>Main Security Checkpoint</v>
      </c>
      <c r="C8" s="9" t="str">
        <f aca="false">IFERROR(INDEX('Position Library'!$C$2:$C$53,MATCH(A8,'Position Library'!$A$2:$A$53,0)),"")</f>
        <v>Lanes 1 - 3 / Pre-Check </v>
      </c>
      <c r="D8" s="9" t="str">
        <f aca="false">IFERROR(INDEX('Position Library'!$D$2:$D$53,MATCH(A8,'Position Library'!$A$2:$A$53,0)),"")</f>
        <v>Tier 1</v>
      </c>
      <c r="E8" s="9" t="str">
        <f aca="false">IFERROR(INDEX('Daily Schedule'!$F$6:$F$57,MATCH(A8,'Daily Schedule'!$A$6:$A$57,0)),"")</f>
        <v>EMP-0082</v>
      </c>
      <c r="F8" s="9" t="str">
        <f aca="false">IFERROR(INDEX('Daily Schedule'!$G$6:$G$57,MATCH(A8,'Daily Schedule'!$A$6:$A$57,0)),"")</f>
        <v>Kelon Arnold</v>
      </c>
      <c r="G8" s="9" t="str">
        <f aca="false">IFERROR(INDEX('Daily Schedule'!$N$6:$N$57,MATCH(A8,'Daily Schedule'!$A$6:$A$57,0)),"")</f>
        <v>8:00 AM</v>
      </c>
      <c r="H8" s="9" t="n">
        <f aca="false">IFERROR(INDEX('Daily Schedule'!$O$6:$O$57,MATCH(A8,'Daily Schedule'!$A$6:$A$57,0)),"")</f>
        <v>3</v>
      </c>
      <c r="I8" s="9" t="str">
        <f aca="false">IFERROR(INDEX('Daily Schedule'!$P$6:$P$57,MATCH(A8,'Daily Schedule'!$A$6:$A$57,0)),"")</f>
        <v>EMP-0009</v>
      </c>
      <c r="J8" s="9" t="str">
        <f aca="false">IF(I8="","",IFERROR(INDEX('Daily Schedule'!$N$6:$N$57,MATCH(I8,'Daily Schedule'!$G$6:$G$57,0)),IFERROR(INDEX('Daily Schedule'!$N$6:$N$57,MATCH(I8,'Daily Schedule'!$F$6:$F$57,0)),"")))</f>
        <v>10:00 AM</v>
      </c>
      <c r="K8" s="9" t="str">
        <f aca="false">IFERROR(INDEX('Daily Schedule'!$Q$6:$Q$57,MATCH(A8,'Daily Schedule'!$A$6:$A$57,0)),"")</f>
        <v>COVERED</v>
      </c>
      <c r="L8" s="10" t="str">
        <f aca="false">IF(E8="","NO ASSIGNEE",IF(AND(G8&lt;&gt;"",J8&lt;&gt;"",G8=J8),"VIOLATION – SAME LUNCH",IF(OR(K8="RELIEF GAP",K8="POSITION UNFILLED",K8=""),IF(OR(H8="",I8=""),"VIOLATION – NO RELIEF","CHECK MANUALLY"),IF(K8="COVERED","OK","CHECK MANUALLY"))))</f>
        <v>OK</v>
      </c>
    </row>
    <row r="9" customFormat="false" ht="23.25" hidden="false" customHeight="true" outlineLevel="0" collapsed="false">
      <c r="A9" s="9" t="n">
        <v>8</v>
      </c>
      <c r="B9" s="9" t="str">
        <f aca="false">IFERROR(INDEX('Position Library'!$B$2:$B$53,MATCH(A9,'Position Library'!$A$2:$A$53,0)),"")</f>
        <v>Main Security Checkpoint</v>
      </c>
      <c r="C9" s="9" t="str">
        <f aca="false">IFERROR(INDEX('Position Library'!$C$2:$C$53,MATCH(A9,'Position Library'!$A$2:$A$53,0)),"")</f>
        <v>Inside Center </v>
      </c>
      <c r="D9" s="9" t="str">
        <f aca="false">IFERROR(INDEX('Position Library'!$D$2:$D$53,MATCH(A9,'Position Library'!$A$2:$A$53,0)),"")</f>
        <v>Tier 1</v>
      </c>
      <c r="E9" s="9" t="str">
        <f aca="false">IFERROR(INDEX('Daily Schedule'!$F$6:$F$57,MATCH(A9,'Daily Schedule'!$A$6:$A$57,0)),"")</f>
        <v/>
      </c>
      <c r="F9" s="9" t="str">
        <f aca="false">IFERROR(INDEX('Daily Schedule'!$G$6:$G$57,MATCH(A9,'Daily Schedule'!$A$6:$A$57,0)),"")</f>
        <v/>
      </c>
      <c r="G9" s="9" t="str">
        <f aca="false">IFERROR(INDEX('Daily Schedule'!$N$6:$N$57,MATCH(A9,'Daily Schedule'!$A$6:$A$57,0)),"")</f>
        <v/>
      </c>
      <c r="H9" s="9" t="n">
        <f aca="false">IFERROR(INDEX('Daily Schedule'!$O$6:$O$57,MATCH(A9,'Daily Schedule'!$A$6:$A$57,0)),"")</f>
        <v>3</v>
      </c>
      <c r="I9" s="9" t="str">
        <f aca="false">IFERROR(INDEX('Daily Schedule'!$P$6:$P$57,MATCH(A9,'Daily Schedule'!$A$6:$A$57,0)),"")</f>
        <v>EMP-0009</v>
      </c>
      <c r="J9" s="9" t="str">
        <f aca="false">IF(I9="","",IFERROR(INDEX('Daily Schedule'!$N$6:$N$57,MATCH(I9,'Daily Schedule'!$G$6:$G$57,0)),IFERROR(INDEX('Daily Schedule'!$N$6:$N$57,MATCH(I9,'Daily Schedule'!$F$6:$F$57,0)),"")))</f>
        <v>10:00 AM</v>
      </c>
      <c r="K9" s="9" t="str">
        <f aca="false">IFERROR(INDEX('Daily Schedule'!$Q$6:$Q$57,MATCH(A9,'Daily Schedule'!$A$6:$A$57,0)),"")</f>
        <v>POSITION UNFILLED</v>
      </c>
      <c r="L9" s="10" t="str">
        <f aca="false">IF(E9="","NO ASSIGNEE",IF(AND(G9&lt;&gt;"",J9&lt;&gt;"",G9=J9),"VIOLATION – SAME LUNCH",IF(OR(K9="RELIEF GAP",K9="POSITION UNFILLED",K9=""),IF(OR(H9="",I9=""),"VIOLATION – NO RELIEF","CHECK MANUALLY"),IF(K9="COVERED","OK","CHECK MANUALLY"))))</f>
        <v>NO ASSIGNEE</v>
      </c>
    </row>
    <row r="10" customFormat="false" ht="15" hidden="false" customHeight="true" outlineLevel="0" collapsed="false">
      <c r="A10" s="9" t="n">
        <v>14</v>
      </c>
      <c r="B10" s="9" t="str">
        <f aca="false">IFERROR(INDEX('Position Library'!$B$2:$B$53,MATCH(A10,'Position Library'!$A$2:$A$53,0)),"")</f>
        <v>South Security Checkpoint</v>
      </c>
      <c r="C10" s="9" t="str">
        <f aca="false">IFERROR(INDEX('Position Library'!$C$2:$C$53,MATCH(A10,'Position Library'!$A$2:$A$53,0)),"")</f>
        <v>Checkpoint – Inside </v>
      </c>
      <c r="D10" s="9" t="str">
        <f aca="false">IFERROR(INDEX('Position Library'!$D$2:$D$53,MATCH(A10,'Position Library'!$A$2:$A$53,0)),"")</f>
        <v>Tier 1</v>
      </c>
      <c r="E10" s="9" t="str">
        <f aca="false">IFERROR(INDEX('Daily Schedule'!$F$6:$F$57,MATCH(A10,'Daily Schedule'!$A$6:$A$57,0)),"")</f>
        <v>EMP-0087</v>
      </c>
      <c r="F10" s="9" t="str">
        <f aca="false">IFERROR(INDEX('Daily Schedule'!$G$6:$G$57,MATCH(A10,'Daily Schedule'!$A$6:$A$57,0)),"")</f>
        <v>Kimberly Morrison</v>
      </c>
      <c r="G10" s="9" t="str">
        <f aca="false">IFERROR(INDEX('Daily Schedule'!$N$6:$N$57,MATCH(A10,'Daily Schedule'!$A$6:$A$57,0)),"")</f>
        <v>8:00 AM</v>
      </c>
      <c r="H10" s="9" t="n">
        <f aca="false">IFERROR(INDEX('Daily Schedule'!$O$6:$O$57,MATCH(A10,'Daily Schedule'!$A$6:$A$57,0)),"")</f>
        <v>16</v>
      </c>
      <c r="I10" s="9" t="str">
        <f aca="false">IFERROR(INDEX('Daily Schedule'!$P$6:$P$57,MATCH(A10,'Daily Schedule'!$A$6:$A$57,0)),"")</f>
        <v>EMP-0091</v>
      </c>
      <c r="J10" s="9" t="str">
        <f aca="false">IF(I10="","",IFERROR(INDEX('Daily Schedule'!$N$6:$N$57,MATCH(I10,'Daily Schedule'!$G$6:$G$57,0)),IFERROR(INDEX('Daily Schedule'!$N$6:$N$57,MATCH(I10,'Daily Schedule'!$F$6:$F$57,0)),"")))</f>
        <v>9:00 AM</v>
      </c>
      <c r="K10" s="9" t="str">
        <f aca="false">IFERROR(INDEX('Daily Schedule'!$Q$6:$Q$57,MATCH(A10,'Daily Schedule'!$A$6:$A$57,0)),"")</f>
        <v>COVERED</v>
      </c>
      <c r="L10" s="10" t="str">
        <f aca="false">IF(E10="","NO ASSIGNEE",IF(AND(G10&lt;&gt;"",J10&lt;&gt;"",G10=J10),"VIOLATION – SAME LUNCH",IF(OR(K10="RELIEF GAP",K10="POSITION UNFILLED",K10=""),IF(OR(H10="",I10=""),"VIOLATION – NO RELIEF","CHECK MANUALLY"),IF(K10="COVERED","OK","CHECK MANUALLY"))))</f>
        <v>OK</v>
      </c>
    </row>
    <row r="11" customFormat="false" ht="15" hidden="false" customHeight="true" outlineLevel="0" collapsed="false">
      <c r="A11" s="9" t="n">
        <v>16</v>
      </c>
      <c r="B11" s="9" t="str">
        <f aca="false">IFERROR(INDEX('Position Library'!$B$2:$B$53,MATCH(A11,'Position Library'!$A$2:$A$53,0)),"")</f>
        <v>South Security Checkpoint</v>
      </c>
      <c r="C11" s="9" t="str">
        <f aca="false">IFERROR(INDEX('Position Library'!$C$2:$C$53,MATCH(A11,'Position Library'!$A$2:$A$53,0)),"")</f>
        <v>Checkpoint – Front Entrance</v>
      </c>
      <c r="D11" s="9" t="str">
        <f aca="false">IFERROR(INDEX('Position Library'!$D$2:$D$53,MATCH(A11,'Position Library'!$A$2:$A$53,0)),"")</f>
        <v>Tier 1</v>
      </c>
      <c r="E11" s="9" t="str">
        <f aca="false">IFERROR(INDEX('Daily Schedule'!$F$6:$F$57,MATCH(A11,'Daily Schedule'!$A$6:$A$57,0)),"")</f>
        <v>EMP-0091</v>
      </c>
      <c r="F11" s="9" t="str">
        <f aca="false">IFERROR(INDEX('Daily Schedule'!$G$6:$G$57,MATCH(A11,'Daily Schedule'!$A$6:$A$57,0)),"")</f>
        <v>Larry Fuller</v>
      </c>
      <c r="G11" s="9" t="str">
        <f aca="false">IFERROR(INDEX('Daily Schedule'!$N$6:$N$57,MATCH(A11,'Daily Schedule'!$A$6:$A$57,0)),"")</f>
        <v>9:00 AM</v>
      </c>
      <c r="H11" s="9" t="n">
        <f aca="false">IFERROR(INDEX('Daily Schedule'!$O$6:$O$57,MATCH(A11,'Daily Schedule'!$A$6:$A$57,0)),"")</f>
        <v>17</v>
      </c>
      <c r="I11" s="9" t="str">
        <f aca="false">IFERROR(INDEX('Daily Schedule'!$P$6:$P$57,MATCH(A11,'Daily Schedule'!$A$6:$A$57,0)),"")</f>
        <v>EMP-0026</v>
      </c>
      <c r="J11" s="9" t="str">
        <f aca="false">IF(I11="","",IFERROR(INDEX('Daily Schedule'!$N$6:$N$57,MATCH(I11,'Daily Schedule'!$G$6:$G$57,0)),IFERROR(INDEX('Daily Schedule'!$N$6:$N$57,MATCH(I11,'Daily Schedule'!$F$6:$F$57,0)),"")))</f>
        <v>10:00 AM</v>
      </c>
      <c r="K11" s="9" t="str">
        <f aca="false">IFERROR(INDEX('Daily Schedule'!$Q$6:$Q$57,MATCH(A11,'Daily Schedule'!$A$6:$A$57,0)),"")</f>
        <v>COVERED</v>
      </c>
      <c r="L11" s="10" t="str">
        <f aca="false">IF(E11="","NO ASSIGNEE",IF(AND(G11&lt;&gt;"",J11&lt;&gt;"",G11=J11),"VIOLATION – SAME LUNCH",IF(OR(K11="RELIEF GAP",K11="POSITION UNFILLED",K11=""),IF(OR(H11="",I11=""),"VIOLATION – NO RELIEF","CHECK MANUALLY"),IF(K11="COVERED","OK","CHECK MANUALLY"))))</f>
        <v>OK</v>
      </c>
    </row>
    <row r="12" customFormat="false" ht="15" hidden="false" customHeight="true" outlineLevel="0" collapsed="false">
      <c r="A12" s="9" t="n">
        <v>19</v>
      </c>
      <c r="B12" s="9" t="str">
        <f aca="false">IFERROR(INDEX('Position Library'!$B$2:$B$53,MATCH(A12,'Position Library'!$A$2:$A$53,0)),"")</f>
        <v>South Security Checkpoint</v>
      </c>
      <c r="C12" s="9" t="str">
        <f aca="false">IFERROR(INDEX('Position Library'!$C$2:$C$53,MATCH(A12,'Position Library'!$A$2:$A$53,0)),"")</f>
        <v>South Restroom </v>
      </c>
      <c r="D12" s="9" t="str">
        <f aca="false">IFERROR(INDEX('Position Library'!$D$2:$D$53,MATCH(A12,'Position Library'!$A$2:$A$53,0)),"")</f>
        <v>Tier 1</v>
      </c>
      <c r="E12" s="9" t="str">
        <f aca="false">IFERROR(INDEX('Daily Schedule'!$F$6:$F$57,MATCH(A12,'Daily Schedule'!$A$6:$A$57,0)),"")</f>
        <v>EMP-0094</v>
      </c>
      <c r="F12" s="9" t="str">
        <f aca="false">IFERROR(INDEX('Daily Schedule'!$G$6:$G$57,MATCH(A12,'Daily Schedule'!$A$6:$A$57,0)),"")</f>
        <v>Linda Rachel</v>
      </c>
      <c r="G12" s="9" t="str">
        <f aca="false">IFERROR(INDEX('Daily Schedule'!$N$6:$N$57,MATCH(A12,'Daily Schedule'!$A$6:$A$57,0)),"")</f>
        <v>8:00 AM</v>
      </c>
      <c r="H12" s="9" t="n">
        <f aca="false">IFERROR(INDEX('Daily Schedule'!$O$6:$O$57,MATCH(A12,'Daily Schedule'!$A$6:$A$57,0)),"")</f>
        <v>20</v>
      </c>
      <c r="I12" s="9" t="str">
        <f aca="false">IFERROR(INDEX('Daily Schedule'!$P$6:$P$57,MATCH(A12,'Daily Schedule'!$A$6:$A$57,0)),"")</f>
        <v>EMP-0066</v>
      </c>
      <c r="J12" s="9" t="str">
        <f aca="false">IF(I12="","",IFERROR(INDEX('Daily Schedule'!$N$6:$N$57,MATCH(I12,'Daily Schedule'!$G$6:$G$57,0)),IFERROR(INDEX('Daily Schedule'!$N$6:$N$57,MATCH(I12,'Daily Schedule'!$F$6:$F$57,0)),"")))</f>
        <v>10:00 AM</v>
      </c>
      <c r="K12" s="9" t="str">
        <f aca="false">IFERROR(INDEX('Daily Schedule'!$Q$6:$Q$57,MATCH(A12,'Daily Schedule'!$A$6:$A$57,0)),"")</f>
        <v>COVERED</v>
      </c>
      <c r="L12" s="10" t="str">
        <f aca="false">IF(E12="","NO ASSIGNEE",IF(AND(G12&lt;&gt;"",J12&lt;&gt;"",G12=J12),"VIOLATION – SAME LUNCH",IF(OR(K12="RELIEF GAP",K12="POSITION UNFILLED",K12=""),IF(OR(H12="",I12=""),"VIOLATION – NO RELIEF","CHECK MANUALLY"),IF(K12="COVERED","OK","CHECK MANUALLY"))))</f>
        <v>OK</v>
      </c>
    </row>
    <row r="13" customFormat="false" ht="15" hidden="false" customHeight="true" outlineLevel="0" collapsed="false">
      <c r="A13" s="9" t="n">
        <v>24</v>
      </c>
      <c r="B13" s="9" t="str">
        <f aca="false">IFERROR(INDEX('Position Library'!$B$2:$B$53,MATCH(A13,'Position Library'!$A$2:$A$53,0)),"")</f>
        <v>North Security Checkpoint</v>
      </c>
      <c r="C13" s="9" t="str">
        <f aca="false">IFERROR(INDEX('Position Library'!$C$2:$C$53,MATCH(A13,'Position Library'!$A$2:$A$53,0)),"")</f>
        <v>Checkpoint – Inside </v>
      </c>
      <c r="D13" s="9" t="str">
        <f aca="false">IFERROR(INDEX('Position Library'!$D$2:$D$53,MATCH(A13,'Position Library'!$A$2:$A$53,0)),"")</f>
        <v>Tier 1</v>
      </c>
      <c r="E13" s="9" t="str">
        <f aca="false">IFERROR(INDEX('Daily Schedule'!$F$6:$F$57,MATCH(A13,'Daily Schedule'!$A$6:$A$57,0)),"")</f>
        <v>EMP-0102</v>
      </c>
      <c r="F13" s="9" t="str">
        <f aca="false">IFERROR(INDEX('Daily Schedule'!$G$6:$G$57,MATCH(A13,'Daily Schedule'!$A$6:$A$57,0)),"")</f>
        <v>Maryse Camille</v>
      </c>
      <c r="G13" s="9" t="str">
        <f aca="false">IFERROR(INDEX('Daily Schedule'!$N$6:$N$57,MATCH(A13,'Daily Schedule'!$A$6:$A$57,0)),"")</f>
        <v>8:00 AM</v>
      </c>
      <c r="H13" s="9" t="n">
        <f aca="false">IFERROR(INDEX('Daily Schedule'!$O$6:$O$57,MATCH(A13,'Daily Schedule'!$A$6:$A$57,0)),"")</f>
        <v>29</v>
      </c>
      <c r="I13" s="9" t="str">
        <f aca="false">IFERROR(INDEX('Daily Schedule'!$P$6:$P$57,MATCH(A13,'Daily Schedule'!$A$6:$A$57,0)),"")</f>
        <v>EMP-0040</v>
      </c>
      <c r="J13" s="9" t="str">
        <f aca="false">IF(I13="","",IFERROR(INDEX('Daily Schedule'!$N$6:$N$57,MATCH(I13,'Daily Schedule'!$G$6:$G$57,0)),IFERROR(INDEX('Daily Schedule'!$N$6:$N$57,MATCH(I13,'Daily Schedule'!$F$6:$F$57,0)),"")))</f>
        <v>9:00 AM</v>
      </c>
      <c r="K13" s="9" t="str">
        <f aca="false">IFERROR(INDEX('Daily Schedule'!$Q$6:$Q$57,MATCH(A13,'Daily Schedule'!$A$6:$A$57,0)),"")</f>
        <v>COVERED</v>
      </c>
      <c r="L13" s="10" t="str">
        <f aca="false">IF(E13="","NO ASSIGNEE",IF(AND(G13&lt;&gt;"",J13&lt;&gt;"",G13=J13),"VIOLATION – SAME LUNCH",IF(OR(K13="RELIEF GAP",K13="POSITION UNFILLED",K13=""),IF(OR(H13="",I13=""),"VIOLATION – NO RELIEF","CHECK MANUALLY"),IF(K13="COVERED","OK","CHECK MANUALLY"))))</f>
        <v>OK</v>
      </c>
    </row>
    <row r="14" customFormat="false" ht="15" hidden="false" customHeight="true" outlineLevel="0" collapsed="false">
      <c r="A14" s="9" t="n">
        <v>25</v>
      </c>
      <c r="B14" s="9" t="str">
        <f aca="false">IFERROR(INDEX('Position Library'!$B$2:$B$53,MATCH(A14,'Position Library'!$A$2:$A$53,0)),"")</f>
        <v>North Security Checkpoint</v>
      </c>
      <c r="C14" s="9" t="str">
        <f aca="false">IFERROR(INDEX('Position Library'!$C$2:$C$53,MATCH(A14,'Position Library'!$A$2:$A$53,0)),"")</f>
        <v>North Corridor </v>
      </c>
      <c r="D14" s="9" t="str">
        <f aca="false">IFERROR(INDEX('Position Library'!$D$2:$D$53,MATCH(A14,'Position Library'!$A$2:$A$53,0)),"")</f>
        <v>Tier 1</v>
      </c>
      <c r="E14" s="9" t="str">
        <f aca="false">IFERROR(INDEX('Daily Schedule'!$F$6:$F$57,MATCH(A14,'Daily Schedule'!$A$6:$A$57,0)),"")</f>
        <v>EMP-0107</v>
      </c>
      <c r="F14" s="9" t="str">
        <f aca="false">IFERROR(INDEX('Daily Schedule'!$G$6:$G$57,MATCH(A14,'Daily Schedule'!$A$6:$A$57,0)),"")</f>
        <v>Moneshia Echols</v>
      </c>
      <c r="G14" s="9" t="str">
        <f aca="false">IFERROR(INDEX('Daily Schedule'!$N$6:$N$57,MATCH(A14,'Daily Schedule'!$A$6:$A$57,0)),"")</f>
        <v>9:00 AM</v>
      </c>
      <c r="H14" s="9" t="n">
        <f aca="false">IFERROR(INDEX('Daily Schedule'!$O$6:$O$57,MATCH(A14,'Daily Schedule'!$A$6:$A$57,0)),"")</f>
        <v>30</v>
      </c>
      <c r="I14" s="9" t="str">
        <f aca="false">IFERROR(INDEX('Daily Schedule'!$P$6:$P$57,MATCH(A14,'Daily Schedule'!$A$6:$A$57,0)),"")</f>
        <v>EMP-0073</v>
      </c>
      <c r="J14" s="9" t="str">
        <f aca="false">IF(I14="","",IFERROR(INDEX('Daily Schedule'!$N$6:$N$57,MATCH(I14,'Daily Schedule'!$G$6:$G$57,0)),IFERROR(INDEX('Daily Schedule'!$N$6:$N$57,MATCH(I14,'Daily Schedule'!$F$6:$F$57,0)),"")))</f>
        <v>10:00 AM</v>
      </c>
      <c r="K14" s="9" t="str">
        <f aca="false">IFERROR(INDEX('Daily Schedule'!$Q$6:$Q$57,MATCH(A14,'Daily Schedule'!$A$6:$A$57,0)),"")</f>
        <v>COVERED</v>
      </c>
      <c r="L14" s="10" t="str">
        <f aca="false">IF(E14="","NO ASSIGNEE",IF(AND(G14&lt;&gt;"",J14&lt;&gt;"",G14=J14),"VIOLATION – SAME LUNCH",IF(OR(K14="RELIEF GAP",K14="POSITION UNFILLED",K14=""),IF(OR(H14="",I14=""),"VIOLATION – NO RELIEF","CHECK MANUALLY"),IF(K14="COVERED","OK","CHECK MANUALLY"))))</f>
        <v>OK</v>
      </c>
    </row>
    <row r="15" customFormat="false" ht="15" hidden="false" customHeight="true" outlineLevel="0" collapsed="false">
      <c r="A15" s="9" t="n">
        <v>26</v>
      </c>
      <c r="B15" s="9" t="str">
        <f aca="false">IFERROR(INDEX('Position Library'!$B$2:$B$53,MATCH(A15,'Position Library'!$A$2:$A$53,0)),"")</f>
        <v>North Security Checkpoint</v>
      </c>
      <c r="C15" s="9" t="str">
        <f aca="false">IFERROR(INDEX('Position Library'!$C$2:$C$53,MATCH(A15,'Position Library'!$A$2:$A$53,0)),"")</f>
        <v>North Restroom </v>
      </c>
      <c r="D15" s="9" t="str">
        <f aca="false">IFERROR(INDEX('Position Library'!$D$2:$D$53,MATCH(A15,'Position Library'!$A$2:$A$53,0)),"")</f>
        <v>Tier 1</v>
      </c>
      <c r="E15" s="9" t="str">
        <f aca="false">IFERROR(INDEX('Daily Schedule'!$F$6:$F$57,MATCH(A15,'Daily Schedule'!$A$6:$A$57,0)),"")</f>
        <v>EMP-0112</v>
      </c>
      <c r="F15" s="9" t="str">
        <f aca="false">IFERROR(INDEX('Daily Schedule'!$G$6:$G$57,MATCH(A15,'Daily Schedule'!$A$6:$A$57,0)),"")</f>
        <v>Natasha Carbon</v>
      </c>
      <c r="G15" s="9" t="str">
        <f aca="false">IFERROR(INDEX('Daily Schedule'!$N$6:$N$57,MATCH(A15,'Daily Schedule'!$A$6:$A$57,0)),"")</f>
        <v>8:00 AM</v>
      </c>
      <c r="H15" s="9" t="n">
        <f aca="false">IFERROR(INDEX('Daily Schedule'!$O$6:$O$57,MATCH(A15,'Daily Schedule'!$A$6:$A$57,0)),"")</f>
        <v>27</v>
      </c>
      <c r="I15" s="9" t="str">
        <f aca="false">IFERROR(INDEX('Daily Schedule'!$P$6:$P$57,MATCH(A15,'Daily Schedule'!$A$6:$A$57,0)),"")</f>
        <v>EMP-0070</v>
      </c>
      <c r="J15" s="9" t="str">
        <f aca="false">IF(I15="","",IFERROR(INDEX('Daily Schedule'!$N$6:$N$57,MATCH(I15,'Daily Schedule'!$G$6:$G$57,0)),IFERROR(INDEX('Daily Schedule'!$N$6:$N$57,MATCH(I15,'Daily Schedule'!$F$6:$F$57,0)),"")))</f>
        <v>9:00 AM</v>
      </c>
      <c r="K15" s="9" t="str">
        <f aca="false">IFERROR(INDEX('Daily Schedule'!$Q$6:$Q$57,MATCH(A15,'Daily Schedule'!$A$6:$A$57,0)),"")</f>
        <v>COVERED</v>
      </c>
      <c r="L15" s="10" t="str">
        <f aca="false">IF(E15="","NO ASSIGNEE",IF(AND(G15&lt;&gt;"",J15&lt;&gt;"",G15=J15),"VIOLATION – SAME LUNCH",IF(OR(K15="RELIEF GAP",K15="POSITION UNFILLED",K15=""),IF(OR(H15="",I15=""),"VIOLATION – NO RELIEF","CHECK MANUALLY"),IF(K15="COVERED","OK","CHECK MANUALLY"))))</f>
        <v>OK</v>
      </c>
    </row>
    <row r="16" customFormat="false" ht="15" hidden="false" customHeight="true" outlineLevel="0" collapsed="false">
      <c r="A16" s="9" t="n">
        <v>32</v>
      </c>
      <c r="B16" s="9" t="str">
        <f aca="false">IFERROR(INDEX('Position Library'!$B$2:$B$53,MATCH(A16,'Position Library'!$A$2:$A$53,0)),"")</f>
        <v>Lower North Security Checkpoint</v>
      </c>
      <c r="C16" s="9" t="str">
        <f aca="false">IFERROR(INDEX('Position Library'!$C$2:$C$53,MATCH(A16,'Position Library'!$A$2:$A$53,0)),"")</f>
        <v>Checkpoint – Inside </v>
      </c>
      <c r="D16" s="9" t="str">
        <f aca="false">IFERROR(INDEX('Position Library'!$D$2:$D$53,MATCH(A16,'Position Library'!$A$2:$A$53,0)),"")</f>
        <v>Tier 1</v>
      </c>
      <c r="E16" s="9" t="str">
        <f aca="false">IFERROR(INDEX('Daily Schedule'!$F$6:$F$57,MATCH(A16,'Daily Schedule'!$A$6:$A$57,0)),"")</f>
        <v>EMP-0116</v>
      </c>
      <c r="F16" s="9" t="str">
        <f aca="false">IFERROR(INDEX('Daily Schedule'!$G$6:$G$57,MATCH(A16,'Daily Schedule'!$A$6:$A$57,0)),"")</f>
        <v>Phenica Peterson</v>
      </c>
      <c r="G16" s="9" t="str">
        <f aca="false">IFERROR(INDEX('Daily Schedule'!$N$6:$N$57,MATCH(A16,'Daily Schedule'!$A$6:$A$57,0)),"")</f>
        <v>8:00 AM</v>
      </c>
      <c r="H16" s="9" t="n">
        <f aca="false">IFERROR(INDEX('Daily Schedule'!$O$6:$O$57,MATCH(A16,'Daily Schedule'!$A$6:$A$57,0)),"")</f>
        <v>31</v>
      </c>
      <c r="I16" s="9" t="str">
        <f aca="false">IFERROR(INDEX('Daily Schedule'!$P$6:$P$57,MATCH(A16,'Daily Schedule'!$A$6:$A$57,0)),"")</f>
        <v>EMP-0041</v>
      </c>
      <c r="J16" s="9" t="str">
        <f aca="false">IF(I16="","",IFERROR(INDEX('Daily Schedule'!$N$6:$N$57,MATCH(I16,'Daily Schedule'!$G$6:$G$57,0)),IFERROR(INDEX('Daily Schedule'!$N$6:$N$57,MATCH(I16,'Daily Schedule'!$F$6:$F$57,0)),"")))</f>
        <v>10:00 AM</v>
      </c>
      <c r="K16" s="9" t="str">
        <f aca="false">IFERROR(INDEX('Daily Schedule'!$Q$6:$Q$57,MATCH(A16,'Daily Schedule'!$A$6:$A$57,0)),"")</f>
        <v>COVERED</v>
      </c>
      <c r="L16" s="10" t="str">
        <f aca="false">IF(E16="","NO ASSIGNEE",IF(AND(G16&lt;&gt;"",J16&lt;&gt;"",G16=J16),"VIOLATION – SAME LUNCH",IF(OR(K16="RELIEF GAP",K16="POSITION UNFILLED",K16=""),IF(OR(H16="",I16=""),"VIOLATION – NO RELIEF","CHECK MANUALLY"),IF(K16="COVERED","OK","CHECK MANUALLY"))))</f>
        <v>OK</v>
      </c>
    </row>
    <row r="17" customFormat="false" ht="15" hidden="false" customHeight="true" outlineLevel="0" collapsed="false">
      <c r="A17" s="9" t="n">
        <v>33</v>
      </c>
      <c r="B17" s="9" t="str">
        <f aca="false">IFERROR(INDEX('Position Library'!$B$2:$B$53,MATCH(A17,'Position Library'!$A$2:$A$53,0)),"")</f>
        <v>Lower North Security Checkpoint</v>
      </c>
      <c r="C17" s="9" t="str">
        <f aca="false">IFERROR(INDEX('Position Library'!$C$2:$C$53,MATCH(A17,'Position Library'!$A$2:$A$53,0)),"")</f>
        <v>N5 Door</v>
      </c>
      <c r="D17" s="9" t="str">
        <f aca="false">IFERROR(INDEX('Position Library'!$D$2:$D$53,MATCH(A17,'Position Library'!$A$2:$A$53,0)),"")</f>
        <v>Tier 1</v>
      </c>
      <c r="E17" s="9" t="str">
        <f aca="false">IFERROR(INDEX('Daily Schedule'!$F$6:$F$57,MATCH(A17,'Daily Schedule'!$A$6:$A$57,0)),"")</f>
        <v>EMP-0135</v>
      </c>
      <c r="F17" s="9" t="str">
        <f aca="false">IFERROR(INDEX('Daily Schedule'!$G$6:$G$57,MATCH(A17,'Daily Schedule'!$A$6:$A$57,0)),"")</f>
        <v>Tanya Organ</v>
      </c>
      <c r="G17" s="9" t="str">
        <f aca="false">IFERROR(INDEX('Daily Schedule'!$N$6:$N$57,MATCH(A17,'Daily Schedule'!$A$6:$A$57,0)),"")</f>
        <v>9:00 AM</v>
      </c>
      <c r="H17" s="9" t="n">
        <f aca="false">IFERROR(INDEX('Daily Schedule'!$O$6:$O$57,MATCH(A17,'Daily Schedule'!$A$6:$A$57,0)),"")</f>
        <v>31</v>
      </c>
      <c r="I17" s="9" t="str">
        <f aca="false">IFERROR(INDEX('Daily Schedule'!$P$6:$P$57,MATCH(A17,'Daily Schedule'!$A$6:$A$57,0)),"")</f>
        <v>EMP-0041</v>
      </c>
      <c r="J17" s="9" t="str">
        <f aca="false">IF(I17="","",IFERROR(INDEX('Daily Schedule'!$N$6:$N$57,MATCH(I17,'Daily Schedule'!$G$6:$G$57,0)),IFERROR(INDEX('Daily Schedule'!$N$6:$N$57,MATCH(I17,'Daily Schedule'!$F$6:$F$57,0)),"")))</f>
        <v>10:00 AM</v>
      </c>
      <c r="K17" s="9" t="str">
        <f aca="false">IFERROR(INDEX('Daily Schedule'!$Q$6:$Q$57,MATCH(A17,'Daily Schedule'!$A$6:$A$57,0)),"")</f>
        <v>COVERED</v>
      </c>
      <c r="L17" s="10" t="str">
        <f aca="false">IF(E17="","NO ASSIGNEE",IF(AND(G17&lt;&gt;"",J17&lt;&gt;"",G17=J17),"VIOLATION – SAME LUNCH",IF(OR(K17="RELIEF GAP",K17="POSITION UNFILLED",K17=""),IF(OR(H17="",I17=""),"VIOLATION – NO RELIEF","CHECK MANUALLY"),IF(K17="COVERED","OK","CHECK MANUALLY"))))</f>
        <v>OK</v>
      </c>
    </row>
    <row r="18" customFormat="false" ht="15" hidden="false" customHeight="true" outlineLevel="0" collapsed="false">
      <c r="A18" s="9" t="n">
        <v>35</v>
      </c>
      <c r="B18" s="9" t="str">
        <f aca="false">IFERROR(INDEX('Position Library'!$B$2:$B$53,MATCH(A18,'Position Library'!$A$2:$A$53,0)),"")</f>
        <v>AGT Level</v>
      </c>
      <c r="C18" s="9" t="str">
        <f aca="false">IFERROR(INDEX('Position Library'!$C$2:$C$53,MATCH(A18,'Position Library'!$A$2:$A$53,0)),"")</f>
        <v>T Platform Train Door 1</v>
      </c>
      <c r="D18" s="9" t="str">
        <f aca="false">IFERROR(INDEX('Position Library'!$D$2:$D$53,MATCH(A18,'Position Library'!$A$2:$A$53,0)),"")</f>
        <v>Tier 1</v>
      </c>
      <c r="E18" s="9" t="str">
        <f aca="false">IFERROR(INDEX('Daily Schedule'!$F$6:$F$57,MATCH(A18,'Daily Schedule'!$A$6:$A$57,0)),"")</f>
        <v>EMP-0136</v>
      </c>
      <c r="F18" s="9" t="str">
        <f aca="false">IFERROR(INDEX('Daily Schedule'!$G$6:$G$57,MATCH(A18,'Daily Schedule'!$A$6:$A$57,0)),"")</f>
        <v>Teaera Freeman</v>
      </c>
      <c r="G18" s="9" t="str">
        <f aca="false">IFERROR(INDEX('Daily Schedule'!$N$6:$N$57,MATCH(A18,'Daily Schedule'!$A$6:$A$57,0)),"")</f>
        <v>8:00 AM</v>
      </c>
      <c r="H18" s="9" t="n">
        <f aca="false">IFERROR(INDEX('Daily Schedule'!$O$6:$O$57,MATCH(A18,'Daily Schedule'!$A$6:$A$57,0)),"")</f>
        <v>36</v>
      </c>
      <c r="I18" s="9" t="str">
        <f aca="false">IFERROR(INDEX('Daily Schedule'!$P$6:$P$57,MATCH(A18,'Daily Schedule'!$A$6:$A$57,0)),"")</f>
        <v>EMP-0051</v>
      </c>
      <c r="J18" s="9" t="str">
        <f aca="false">IF(I18="","",IFERROR(INDEX('Daily Schedule'!$N$6:$N$57,MATCH(I18,'Daily Schedule'!$G$6:$G$57,0)),IFERROR(INDEX('Daily Schedule'!$N$6:$N$57,MATCH(I18,'Daily Schedule'!$F$6:$F$57,0)),"")))</f>
        <v>10:00 AM</v>
      </c>
      <c r="K18" s="9" t="str">
        <f aca="false">IFERROR(INDEX('Daily Schedule'!$Q$6:$Q$57,MATCH(A18,'Daily Schedule'!$A$6:$A$57,0)),"")</f>
        <v>COVERED</v>
      </c>
      <c r="L18" s="10" t="str">
        <f aca="false">IF(E18="","NO ASSIGNEE",IF(AND(G18&lt;&gt;"",J18&lt;&gt;"",G18=J18),"VIOLATION – SAME LUNCH",IF(OR(K18="RELIEF GAP",K18="POSITION UNFILLED",K18=""),IF(OR(H18="",I18=""),"VIOLATION – NO RELIEF","CHECK MANUALLY"),IF(K18="COVERED","OK","CHECK MANUALLY"))))</f>
        <v>OK</v>
      </c>
    </row>
    <row r="19" customFormat="false" ht="15" hidden="false" customHeight="true" outlineLevel="0" collapsed="false">
      <c r="A19" s="9" t="n">
        <v>38</v>
      </c>
      <c r="B19" s="9" t="str">
        <f aca="false">IFERROR(INDEX('Position Library'!$B$2:$B$53,MATCH(A19,'Position Library'!$A$2:$A$53,0)),"")</f>
        <v>AGT Level</v>
      </c>
      <c r="C19" s="9" t="str">
        <f aca="false">IFERROR(INDEX('Position Library'!$C$2:$C$53,MATCH(A19,'Position Library'!$A$2:$A$53,0)),"")</f>
        <v>Domestic Baggage Claim</v>
      </c>
      <c r="D19" s="9" t="str">
        <f aca="false">IFERROR(INDEX('Position Library'!$D$2:$D$53,MATCH(A19,'Position Library'!$A$2:$A$53,0)),"")</f>
        <v>Tier 1</v>
      </c>
      <c r="E19" s="9" t="str">
        <f aca="false">IFERROR(INDEX('Daily Schedule'!$F$6:$F$57,MATCH(A19,'Daily Schedule'!$A$6:$A$57,0)),"")</f>
        <v>EMP-0141</v>
      </c>
      <c r="F19" s="9" t="str">
        <f aca="false">IFERROR(INDEX('Daily Schedule'!$G$6:$G$57,MATCH(A19,'Daily Schedule'!$A$6:$A$57,0)),"")</f>
        <v>Tiffany Felton</v>
      </c>
      <c r="G19" s="9" t="str">
        <f aca="false">IFERROR(INDEX('Daily Schedule'!$N$6:$N$57,MATCH(A19,'Daily Schedule'!$A$6:$A$57,0)),"")</f>
        <v>8:00 AM</v>
      </c>
      <c r="H19" s="9" t="n">
        <f aca="false">IFERROR(INDEX('Daily Schedule'!$O$6:$O$57,MATCH(A19,'Daily Schedule'!$A$6:$A$57,0)),"")</f>
        <v>36</v>
      </c>
      <c r="I19" s="9" t="str">
        <f aca="false">IFERROR(INDEX('Daily Schedule'!$P$6:$P$57,MATCH(A19,'Daily Schedule'!$A$6:$A$57,0)),"")</f>
        <v>EMP-0051</v>
      </c>
      <c r="J19" s="9" t="str">
        <f aca="false">IF(I19="","",IFERROR(INDEX('Daily Schedule'!$N$6:$N$57,MATCH(I19,'Daily Schedule'!$G$6:$G$57,0)),IFERROR(INDEX('Daily Schedule'!$N$6:$N$57,MATCH(I19,'Daily Schedule'!$F$6:$F$57,0)),"")))</f>
        <v>10:00 AM</v>
      </c>
      <c r="K19" s="9" t="str">
        <f aca="false">IFERROR(INDEX('Daily Schedule'!$Q$6:$Q$57,MATCH(A19,'Daily Schedule'!$A$6:$A$57,0)),"")</f>
        <v>COVERED</v>
      </c>
      <c r="L19" s="10" t="str">
        <f aca="false">IF(E19="","NO ASSIGNEE",IF(AND(G19&lt;&gt;"",J19&lt;&gt;"",G19=J19),"VIOLATION – SAME LUNCH",IF(OR(K19="RELIEF GAP",K19="POSITION UNFILLED",K19=""),IF(OR(H19="",I19=""),"VIOLATION – NO RELIEF","CHECK MANUALLY"),IF(K19="COVERED","OK","CHECK MANUALLY"))))</f>
        <v>OK</v>
      </c>
    </row>
    <row r="20" customFormat="false" ht="15" hidden="false" customHeight="true" outlineLevel="0" collapsed="false">
      <c r="A20" s="9" t="n">
        <v>39</v>
      </c>
      <c r="B20" s="9" t="str">
        <f aca="false">IFERROR(INDEX('Position Library'!$B$2:$B$53,MATCH(A20,'Position Library'!$A$2:$A$53,0)),"")</f>
        <v>AGT Level</v>
      </c>
      <c r="C20" s="9" t="str">
        <f aca="false">IFERROR(INDEX('Position Library'!$C$2:$C$53,MATCH(A20,'Position Library'!$A$2:$A$53,0)),"")</f>
        <v>T Bridge Landing</v>
      </c>
      <c r="D20" s="9" t="str">
        <f aca="false">IFERROR(INDEX('Position Library'!$D$2:$D$53,MATCH(A20,'Position Library'!$A$2:$A$53,0)),"")</f>
        <v>Tier 1</v>
      </c>
      <c r="E20" s="9" t="str">
        <f aca="false">IFERROR(INDEX('Daily Schedule'!$F$6:$F$57,MATCH(A20,'Daily Schedule'!$A$6:$A$57,0)),"")</f>
        <v>EMP-0004</v>
      </c>
      <c r="F20" s="9" t="str">
        <f aca="false">IFERROR(INDEX('Daily Schedule'!$G$6:$G$57,MATCH(A20,'Daily Schedule'!$A$6:$A$57,0)),"")</f>
        <v>Adeyeye Opaaje</v>
      </c>
      <c r="G20" s="9" t="str">
        <f aca="false">IFERROR(INDEX('Daily Schedule'!$N$6:$N$57,MATCH(A20,'Daily Schedule'!$A$6:$A$57,0)),"")</f>
        <v>10:00 AM</v>
      </c>
      <c r="H20" s="9" t="str">
        <f aca="false">IFERROR(INDEX('Daily Schedule'!$O$6:$O$57,MATCH(A20,'Daily Schedule'!$A$6:$A$57,0)),"")</f>
        <v/>
      </c>
      <c r="I20" s="9" t="str">
        <f aca="false">IFERROR(INDEX('Daily Schedule'!$P$6:$P$57,MATCH(A20,'Daily Schedule'!$A$6:$A$57,0)),"")</f>
        <v/>
      </c>
      <c r="J20" s="9" t="str">
        <f aca="false">IF(I20="","",IFERROR(INDEX('Daily Schedule'!$N$6:$N$57,MATCH(I20,'Daily Schedule'!$G$6:$G$57,0)),IFERROR(INDEX('Daily Schedule'!$N$6:$N$57,MATCH(I20,'Daily Schedule'!$F$6:$F$57,0)),"")))</f>
        <v/>
      </c>
      <c r="K20" s="9" t="str">
        <f aca="false">IFERROR(INDEX('Daily Schedule'!$Q$6:$Q$57,MATCH(A20,'Daily Schedule'!$A$6:$A$57,0)),"")</f>
        <v>RELIEF GAP</v>
      </c>
      <c r="L20" s="10" t="str">
        <f aca="false">IF(E20="","NO ASSIGNEE",IF(AND(G20&lt;&gt;"",J20&lt;&gt;"",G20=J20),"VIOLATION – SAME LUNCH",IF(OR(K20="RELIEF GAP",K20="POSITION UNFILLED",K20=""),IF(OR(H20="",I20=""),"VIOLATION – NO RELIEF","CHECK MANUALLY"),IF(K20="COVERED","OK","CHECK MANUALLY"))))</f>
        <v>VIOLATION – NO RELIEF</v>
      </c>
    </row>
    <row r="21" customFormat="false" ht="23.25" hidden="false" customHeight="true" outlineLevel="0" collapsed="false">
      <c r="A21" s="9" t="n">
        <v>45</v>
      </c>
      <c r="B21" s="9" t="str">
        <f aca="false">IFERROR(INDEX('Position Library'!$B$2:$B$53,MATCH(A21,'Position Library'!$A$2:$A$53,0)),"")</f>
        <v>Information Desk</v>
      </c>
      <c r="C21" s="9" t="str">
        <f aca="false">IFERROR(INDEX('Position Library'!$C$2:$C$53,MATCH(A21,'Position Library'!$A$2:$A$53,0)),"")</f>
        <v>Information Desk Personnel</v>
      </c>
      <c r="D21" s="9" t="str">
        <f aca="false">IFERROR(INDEX('Position Library'!$D$2:$D$53,MATCH(A21,'Position Library'!$A$2:$A$53,0)),"")</f>
        <v>Tier 1</v>
      </c>
      <c r="E21" s="9" t="str">
        <f aca="false">IFERROR(INDEX('Daily Schedule'!$F$6:$F$57,MATCH(A21,'Daily Schedule'!$A$6:$A$57,0)),"")</f>
        <v/>
      </c>
      <c r="F21" s="9" t="str">
        <f aca="false">IFERROR(INDEX('Daily Schedule'!$G$6:$G$57,MATCH(A21,'Daily Schedule'!$A$6:$A$57,0)),"")</f>
        <v/>
      </c>
      <c r="G21" s="9" t="str">
        <f aca="false">IFERROR(INDEX('Daily Schedule'!$N$6:$N$57,MATCH(A21,'Daily Schedule'!$A$6:$A$57,0)),"")</f>
        <v/>
      </c>
      <c r="H21" s="9" t="str">
        <f aca="false">IFERROR(INDEX('Daily Schedule'!$O$6:$O$57,MATCH(A21,'Daily Schedule'!$A$6:$A$57,0)),"")</f>
        <v/>
      </c>
      <c r="I21" s="9" t="str">
        <f aca="false">IFERROR(INDEX('Daily Schedule'!$P$6:$P$57,MATCH(A21,'Daily Schedule'!$A$6:$A$57,0)),"")</f>
        <v/>
      </c>
      <c r="J21" s="9" t="str">
        <f aca="false">IF(I21="","",IFERROR(INDEX('Daily Schedule'!$N$6:$N$57,MATCH(I21,'Daily Schedule'!$G$6:$G$57,0)),IFERROR(INDEX('Daily Schedule'!$N$6:$N$57,MATCH(I21,'Daily Schedule'!$F$6:$F$57,0)),"")))</f>
        <v/>
      </c>
      <c r="K21" s="9" t="str">
        <f aca="false">IFERROR(INDEX('Daily Schedule'!$Q$6:$Q$57,MATCH(A21,'Daily Schedule'!$A$6:$A$57,0)),"")</f>
        <v>POSITION UNFILLED</v>
      </c>
      <c r="L21" s="10" t="str">
        <f aca="false">IF(E21="","NO ASSIGNEE",IF(AND(G21&lt;&gt;"",J21&lt;&gt;"",G21=J21),"VIOLATION – SAME LUNCH",IF(OR(K21="RELIEF GAP",K21="POSITION UNFILLED",K21=""),IF(OR(H21="",I21=""),"VIOLATION – NO RELIEF","CHECK MANUALLY"),IF(K21="COVERED","OK","CHECK MANUALLY"))))</f>
        <v>NO ASSIGNEE</v>
      </c>
    </row>
    <row r="22" customFormat="false" ht="15" hidden="false" customHeight="true" outlineLevel="0" collapsed="false">
      <c r="A22" s="9" t="n">
        <v>46</v>
      </c>
      <c r="B22" s="9" t="str">
        <f aca="false">IFERROR(INDEX('Position Library'!$B$2:$B$53,MATCH(A22,'Position Library'!$A$2:$A$53,0)),"")</f>
        <v>North Security Checkpoint</v>
      </c>
      <c r="C22" s="9" t="str">
        <f aca="false">IFERROR(INDEX('Position Library'!$C$2:$C$53,MATCH(A22,'Position Library'!$A$2:$A$53,0)),"")</f>
        <v>Divest </v>
      </c>
      <c r="D22" s="9" t="str">
        <f aca="false">IFERROR(INDEX('Position Library'!$D$2:$D$53,MATCH(A22,'Position Library'!$A$2:$A$53,0)),"")</f>
        <v>Tier 1</v>
      </c>
      <c r="E22" s="9" t="str">
        <f aca="false">IFERROR(INDEX('Daily Schedule'!$F$6:$F$57,MATCH(A22,'Daily Schedule'!$A$6:$A$57,0)),"")</f>
        <v>EMP-0007</v>
      </c>
      <c r="F22" s="9" t="str">
        <f aca="false">IFERROR(INDEX('Daily Schedule'!$G$6:$G$57,MATCH(A22,'Daily Schedule'!$A$6:$A$57,0)),"")</f>
        <v>Ahamed John</v>
      </c>
      <c r="G22" s="9" t="str">
        <f aca="false">IFERROR(INDEX('Daily Schedule'!$N$6:$N$57,MATCH(A22,'Daily Schedule'!$A$6:$A$57,0)),"")</f>
        <v>8:00 AM</v>
      </c>
      <c r="H22" s="9" t="n">
        <f aca="false">IFERROR(INDEX('Daily Schedule'!$O$6:$O$57,MATCH(A22,'Daily Schedule'!$A$6:$A$57,0)),"")</f>
        <v>7</v>
      </c>
      <c r="I22" s="9" t="str">
        <f aca="false">IFERROR(INDEX('Daily Schedule'!$P$6:$P$57,MATCH(A22,'Daily Schedule'!$A$6:$A$57,0)),"")</f>
        <v>EMP-0076</v>
      </c>
      <c r="J22" s="9" t="str">
        <f aca="false">IF(I22="","",IFERROR(INDEX('Daily Schedule'!$N$6:$N$57,MATCH(I22,'Daily Schedule'!$G$6:$G$57,0)),IFERROR(INDEX('Daily Schedule'!$N$6:$N$57,MATCH(I22,'Daily Schedule'!$F$6:$F$57,0)),"")))</f>
        <v>9:00 AM</v>
      </c>
      <c r="K22" s="9" t="str">
        <f aca="false">IFERROR(INDEX('Daily Schedule'!$Q$6:$Q$57,MATCH(A22,'Daily Schedule'!$A$6:$A$57,0)),"")</f>
        <v>COVERED</v>
      </c>
      <c r="L22" s="10" t="str">
        <f aca="false">IF(E22="","NO ASSIGNEE",IF(AND(G22&lt;&gt;"",J22&lt;&gt;"",G22=J22),"VIOLATION – SAME LUNCH",IF(OR(K22="RELIEF GAP",K22="POSITION UNFILLED",K22=""),IF(OR(H22="",I22=""),"VIOLATION – NO RELIEF","CHECK MANUALLY"),IF(K22="COVERED","OK","CHECK MANUALLY"))))</f>
        <v>OK</v>
      </c>
    </row>
    <row r="23" customFormat="false" ht="15" hidden="false" customHeight="true" outlineLevel="0" collapsed="false">
      <c r="A23" s="9" t="n">
        <v>47</v>
      </c>
      <c r="B23" s="9" t="str">
        <f aca="false">IFERROR(INDEX('Position Library'!$B$2:$B$53,MATCH(A23,'Position Library'!$A$2:$A$53,0)),"")</f>
        <v>North Security Checkpoint</v>
      </c>
      <c r="C23" s="9" t="str">
        <f aca="false">IFERROR(INDEX('Position Library'!$C$2:$C$53,MATCH(A23,'Position Library'!$A$2:$A$53,0)),"")</f>
        <v>Divest</v>
      </c>
      <c r="D23" s="9" t="str">
        <f aca="false">IFERROR(INDEX('Position Library'!$D$2:$D$53,MATCH(A23,'Position Library'!$A$2:$A$53,0)),"")</f>
        <v>Tier 1</v>
      </c>
      <c r="E23" s="9" t="str">
        <f aca="false">IFERROR(INDEX('Daily Schedule'!$F$6:$F$57,MATCH(A23,'Daily Schedule'!$A$6:$A$57,0)),"")</f>
        <v>EMP-0010</v>
      </c>
      <c r="F23" s="9" t="str">
        <f aca="false">IFERROR(INDEX('Daily Schedule'!$G$6:$G$57,MATCH(A23,'Daily Schedule'!$A$6:$A$57,0)),"")</f>
        <v>Allen Suggs</v>
      </c>
      <c r="G23" s="9" t="str">
        <f aca="false">IFERROR(INDEX('Daily Schedule'!$N$6:$N$57,MATCH(A23,'Daily Schedule'!$A$6:$A$57,0)),"")</f>
        <v>8:00 AM</v>
      </c>
      <c r="H23" s="9" t="n">
        <f aca="false">IFERROR(INDEX('Daily Schedule'!$O$6:$O$57,MATCH(A23,'Daily Schedule'!$A$6:$A$57,0)),"")</f>
        <v>6</v>
      </c>
      <c r="I23" s="9" t="str">
        <f aca="false">IFERROR(INDEX('Daily Schedule'!$P$6:$P$57,MATCH(A23,'Daily Schedule'!$A$6:$A$57,0)),"")</f>
        <v>EMP-0074</v>
      </c>
      <c r="J23" s="9" t="str">
        <f aca="false">IF(I23="","",IFERROR(INDEX('Daily Schedule'!$N$6:$N$57,MATCH(I23,'Daily Schedule'!$G$6:$G$57,0)),IFERROR(INDEX('Daily Schedule'!$N$6:$N$57,MATCH(I23,'Daily Schedule'!$F$6:$F$57,0)),"")))</f>
        <v>10:00 AM</v>
      </c>
      <c r="K23" s="9" t="str">
        <f aca="false">IFERROR(INDEX('Daily Schedule'!$Q$6:$Q$57,MATCH(A23,'Daily Schedule'!$A$6:$A$57,0)),"")</f>
        <v>COVERED</v>
      </c>
      <c r="L23" s="10" t="str">
        <f aca="false">IF(E23="","NO ASSIGNEE",IF(AND(G23&lt;&gt;"",J23&lt;&gt;"",G23=J23),"VIOLATION – SAME LUNCH",IF(OR(K23="RELIEF GAP",K23="POSITION UNFILLED",K23=""),IF(OR(H23="",I23=""),"VIOLATION – NO RELIEF","CHECK MANUALLY"),IF(K23="COVERED","OK","CHECK MANUALLY"))))</f>
        <v>OK</v>
      </c>
    </row>
    <row r="24" customFormat="false" ht="15" hidden="false" customHeight="true" outlineLevel="0" collapsed="false">
      <c r="A24" s="9" t="n">
        <v>48</v>
      </c>
      <c r="B24" s="9" t="str">
        <f aca="false">IFERROR(INDEX('Position Library'!$B$2:$B$53,MATCH(A24,'Position Library'!$A$2:$A$53,0)),"")</f>
        <v>North Security Checkpoint</v>
      </c>
      <c r="C24" s="9" t="str">
        <f aca="false">IFERROR(INDEX('Position Library'!$C$2:$C$53,MATCH(A24,'Position Library'!$A$2:$A$53,0)),"")</f>
        <v>Divest</v>
      </c>
      <c r="D24" s="9" t="str">
        <f aca="false">IFERROR(INDEX('Position Library'!$D$2:$D$53,MATCH(A24,'Position Library'!$A$2:$A$53,0)),"")</f>
        <v>Tier 1</v>
      </c>
      <c r="E24" s="9" t="str">
        <f aca="false">IFERROR(INDEX('Daily Schedule'!$F$6:$F$57,MATCH(A24,'Daily Schedule'!$A$6:$A$57,0)),"")</f>
        <v>EMP-0022</v>
      </c>
      <c r="F24" s="9" t="str">
        <f aca="false">IFERROR(INDEX('Daily Schedule'!$G$6:$G$57,MATCH(A24,'Daily Schedule'!$A$6:$A$57,0)),"")</f>
        <v>Benjamin Crosby</v>
      </c>
      <c r="G24" s="9" t="str">
        <f aca="false">IFERROR(INDEX('Daily Schedule'!$N$6:$N$57,MATCH(A24,'Daily Schedule'!$A$6:$A$57,0)),"")</f>
        <v>9:00 AM</v>
      </c>
      <c r="H24" s="9" t="n">
        <f aca="false">IFERROR(INDEX('Daily Schedule'!$O$6:$O$57,MATCH(A24,'Daily Schedule'!$A$6:$A$57,0)),"")</f>
        <v>12</v>
      </c>
      <c r="I24" s="9" t="str">
        <f aca="false">IFERROR(INDEX('Daily Schedule'!$P$6:$P$57,MATCH(A24,'Daily Schedule'!$A$6:$A$57,0)),"")</f>
        <v>EMP-0095</v>
      </c>
      <c r="J24" s="9" t="str">
        <f aca="false">IF(I24="","",IFERROR(INDEX('Daily Schedule'!$N$6:$N$57,MATCH(I24,'Daily Schedule'!$G$6:$G$57,0)),IFERROR(INDEX('Daily Schedule'!$N$6:$N$57,MATCH(I24,'Daily Schedule'!$F$6:$F$57,0)),"")))</f>
        <v>9:00 AM</v>
      </c>
      <c r="K24" s="9" t="str">
        <f aca="false">IFERROR(INDEX('Daily Schedule'!$Q$6:$Q$57,MATCH(A24,'Daily Schedule'!$A$6:$A$57,0)),"")</f>
        <v>COVERED</v>
      </c>
      <c r="L24" s="10" t="str">
        <f aca="false">IF(E24="","NO ASSIGNEE",IF(AND(G24&lt;&gt;"",J24&lt;&gt;"",G24=J24),"VIOLATION – SAME LUNCH",IF(OR(K24="RELIEF GAP",K24="POSITION UNFILLED",K24=""),IF(OR(H24="",I24=""),"VIOLATION – NO RELIEF","CHECK MANUALLY"),IF(K24="COVERED","OK","CHECK MANUALLY"))))</f>
        <v>VIOLATION – SAME LUNCH</v>
      </c>
    </row>
    <row r="25" customFormat="false" ht="23.25" hidden="false" customHeight="true" outlineLevel="0" collapsed="false">
      <c r="A25" s="9" t="n">
        <v>49</v>
      </c>
      <c r="B25" s="9" t="str">
        <f aca="false">IFERROR(INDEX('Position Library'!$B$2:$B$53,MATCH(A25,'Position Library'!$A$2:$A$53,0)),"")</f>
        <v>North Security Checkpoint</v>
      </c>
      <c r="C25" s="9" t="str">
        <f aca="false">IFERROR(INDEX('Position Library'!$C$2:$C$53,MATCH(A25,'Position Library'!$A$2:$A$53,0)),"")</f>
        <v>Divest</v>
      </c>
      <c r="D25" s="9" t="str">
        <f aca="false">IFERROR(INDEX('Position Library'!$D$2:$D$53,MATCH(A25,'Position Library'!$A$2:$A$53,0)),"")</f>
        <v>Tier 1</v>
      </c>
      <c r="E25" s="9" t="str">
        <f aca="false">IFERROR(INDEX('Daily Schedule'!$F$6:$F$57,MATCH(A25,'Daily Schedule'!$A$6:$A$57,0)),"")</f>
        <v>EMP-0042</v>
      </c>
      <c r="F25" s="9" t="str">
        <f aca="false">IFERROR(INDEX('Daily Schedule'!$G$6:$G$57,MATCH(A25,'Daily Schedule'!$A$6:$A$57,0)),"")</f>
        <v>Crosby Pavon-Lacayo</v>
      </c>
      <c r="G25" s="9" t="str">
        <f aca="false">IFERROR(INDEX('Daily Schedule'!$N$6:$N$57,MATCH(A25,'Daily Schedule'!$A$6:$A$57,0)),"")</f>
        <v>8:00 AM</v>
      </c>
      <c r="H25" s="9" t="n">
        <f aca="false">IFERROR(INDEX('Daily Schedule'!$O$6:$O$57,MATCH(A25,'Daily Schedule'!$A$6:$A$57,0)),"")</f>
        <v>21</v>
      </c>
      <c r="I25" s="9" t="str">
        <f aca="false">IFERROR(INDEX('Daily Schedule'!$P$6:$P$57,MATCH(A25,'Daily Schedule'!$A$6:$A$57,0)),"")</f>
        <v>EMP-0105</v>
      </c>
      <c r="J25" s="9" t="str">
        <f aca="false">IF(I25="","",IFERROR(INDEX('Daily Schedule'!$N$6:$N$57,MATCH(I25,'Daily Schedule'!$G$6:$G$57,0)),IFERROR(INDEX('Daily Schedule'!$N$6:$N$57,MATCH(I25,'Daily Schedule'!$F$6:$F$57,0)),"")))</f>
        <v>9:00 AM</v>
      </c>
      <c r="K25" s="9" t="str">
        <f aca="false">IFERROR(INDEX('Daily Schedule'!$Q$6:$Q$57,MATCH(A25,'Daily Schedule'!$A$6:$A$57,0)),"")</f>
        <v>COVERED</v>
      </c>
      <c r="L25" s="10" t="str">
        <f aca="false">IF(E25="","NO ASSIGNEE",IF(AND(G25&lt;&gt;"",J25&lt;&gt;"",G25=J25),"VIOLATION – SAME LUNCH",IF(OR(K25="RELIEF GAP",K25="POSITION UNFILLED",K25=""),IF(OR(H25="",I25=""),"VIOLATION – NO RELIEF","CHECK MANUALLY"),IF(K25="COVERED","OK","CHECK MANUALLY"))))</f>
        <v>OK</v>
      </c>
    </row>
    <row r="26" customFormat="false" ht="15" hidden="false" customHeight="true" outlineLevel="0" collapsed="false">
      <c r="A26" s="9" t="n">
        <v>50</v>
      </c>
      <c r="B26" s="9" t="str">
        <f aca="false">IFERROR(INDEX('Position Library'!$B$2:$B$53,MATCH(A26,'Position Library'!$A$2:$A$53,0)),"")</f>
        <v>Lower North Security Checkpoint</v>
      </c>
      <c r="C26" s="9" t="str">
        <f aca="false">IFERROR(INDEX('Position Library'!$C$2:$C$53,MATCH(A26,'Position Library'!$A$2:$A$53,0)),"")</f>
        <v>Divest </v>
      </c>
      <c r="D26" s="9" t="str">
        <f aca="false">IFERROR(INDEX('Position Library'!$D$2:$D$53,MATCH(A26,'Position Library'!$A$2:$A$53,0)),"")</f>
        <v>Tier 1</v>
      </c>
      <c r="E26" s="9" t="str">
        <f aca="false">IFERROR(INDEX('Daily Schedule'!$F$6:$F$57,MATCH(A26,'Daily Schedule'!$A$6:$A$57,0)),"")</f>
        <v>EMP-0044</v>
      </c>
      <c r="F26" s="9" t="str">
        <f aca="false">IFERROR(INDEX('Daily Schedule'!$G$6:$G$57,MATCH(A26,'Daily Schedule'!$A$6:$A$57,0)),"")</f>
        <v>Danielle Holmes</v>
      </c>
      <c r="G26" s="9" t="str">
        <f aca="false">IFERROR(INDEX('Daily Schedule'!$N$6:$N$57,MATCH(A26,'Daily Schedule'!$A$6:$A$57,0)),"")</f>
        <v>8:00 AM</v>
      </c>
      <c r="H26" s="9" t="n">
        <f aca="false">IFERROR(INDEX('Daily Schedule'!$O$6:$O$57,MATCH(A26,'Daily Schedule'!$A$6:$A$57,0)),"")</f>
        <v>10</v>
      </c>
      <c r="I26" s="9" t="str">
        <f aca="false">IFERROR(INDEX('Daily Schedule'!$P$6:$P$57,MATCH(A26,'Daily Schedule'!$A$6:$A$57,0)),"")</f>
        <v>EMP-0086</v>
      </c>
      <c r="J26" s="9" t="str">
        <f aca="false">IF(I26="","",IFERROR(INDEX('Daily Schedule'!$N$6:$N$57,MATCH(I26,'Daily Schedule'!$G$6:$G$57,0)),IFERROR(INDEX('Daily Schedule'!$N$6:$N$57,MATCH(I26,'Daily Schedule'!$F$6:$F$57,0)),"")))</f>
        <v>10:00 AM</v>
      </c>
      <c r="K26" s="9" t="str">
        <f aca="false">IFERROR(INDEX('Daily Schedule'!$Q$6:$Q$57,MATCH(A26,'Daily Schedule'!$A$6:$A$57,0)),"")</f>
        <v>COVERED</v>
      </c>
      <c r="L26" s="10" t="str">
        <f aca="false">IF(E26="","NO ASSIGNEE",IF(AND(G26&lt;&gt;"",J26&lt;&gt;"",G26=J26),"VIOLATION – SAME LUNCH",IF(OR(K26="RELIEF GAP",K26="POSITION UNFILLED",K26=""),IF(OR(H26="",I26=""),"VIOLATION – NO RELIEF","CHECK MANUALLY"),IF(K26="COVERED","OK","CHECK MANUALLY"))))</f>
        <v>OK</v>
      </c>
    </row>
    <row r="27" customFormat="false" ht="15" hidden="false" customHeight="true" outlineLevel="0" collapsed="false">
      <c r="A27" s="9" t="n">
        <v>51</v>
      </c>
      <c r="B27" s="9" t="str">
        <f aca="false">IFERROR(INDEX('Position Library'!$B$2:$B$53,MATCH(A27,'Position Library'!$A$2:$A$53,0)),"")</f>
        <v>Lower North Security Checkpoint</v>
      </c>
      <c r="C27" s="9" t="str">
        <f aca="false">IFERROR(INDEX('Position Library'!$C$2:$C$53,MATCH(A27,'Position Library'!$A$2:$A$53,0)),"")</f>
        <v>Divest</v>
      </c>
      <c r="D27" s="9" t="str">
        <f aca="false">IFERROR(INDEX('Position Library'!$D$2:$D$53,MATCH(A27,'Position Library'!$A$2:$A$53,0)),"")</f>
        <v>Tier 1</v>
      </c>
      <c r="E27" s="9" t="str">
        <f aca="false">IFERROR(INDEX('Daily Schedule'!$F$6:$F$57,MATCH(A27,'Daily Schedule'!$A$6:$A$57,0)),"")</f>
        <v>EMP-0049</v>
      </c>
      <c r="F27" s="9" t="str">
        <f aca="false">IFERROR(INDEX('Daily Schedule'!$G$6:$G$57,MATCH(A27,'Daily Schedule'!$A$6:$A$57,0)),"")</f>
        <v>Demetrius Thomas</v>
      </c>
      <c r="G27" s="9" t="str">
        <f aca="false">IFERROR(INDEX('Daily Schedule'!$N$6:$N$57,MATCH(A27,'Daily Schedule'!$A$6:$A$57,0)),"")</f>
        <v>9:00 AM</v>
      </c>
      <c r="H27" s="9" t="n">
        <f aca="false">IFERROR(INDEX('Daily Schedule'!$O$6:$O$57,MATCH(A27,'Daily Schedule'!$A$6:$A$57,0)),"")</f>
        <v>28</v>
      </c>
      <c r="I27" s="9" t="str">
        <f aca="false">IFERROR(INDEX('Daily Schedule'!$P$6:$P$57,MATCH(A27,'Daily Schedule'!$A$6:$A$57,0)),"")</f>
        <v>EMP-0129</v>
      </c>
      <c r="J27" s="9" t="str">
        <f aca="false">IF(I27="","",IFERROR(INDEX('Daily Schedule'!$N$6:$N$57,MATCH(I27,'Daily Schedule'!$G$6:$G$57,0)),IFERROR(INDEX('Daily Schedule'!$N$6:$N$57,MATCH(I27,'Daily Schedule'!$F$6:$F$57,0)),"")))</f>
        <v>9:00 AM</v>
      </c>
      <c r="K27" s="9" t="str">
        <f aca="false">IFERROR(INDEX('Daily Schedule'!$Q$6:$Q$57,MATCH(A27,'Daily Schedule'!$A$6:$A$57,0)),"")</f>
        <v>COVERED</v>
      </c>
      <c r="L27" s="10" t="str">
        <f aca="false">IF(E27="","NO ASSIGNEE",IF(AND(G27&lt;&gt;"",J27&lt;&gt;"",G27=J27),"VIOLATION – SAME LUNCH",IF(OR(K27="RELIEF GAP",K27="POSITION UNFILLED",K27=""),IF(OR(H27="",I27=""),"VIOLATION – NO RELIEF","CHECK MANUALLY"),IF(K27="COVERED","OK","CHECK MANUALLY"))))</f>
        <v>VIOLATION – SAME LUNCH</v>
      </c>
    </row>
    <row r="28" customFormat="false" ht="15" hidden="false" customHeight="true" outlineLevel="0" collapsed="false">
      <c r="A28" s="9" t="n">
        <v>52</v>
      </c>
      <c r="B28" s="9" t="str">
        <f aca="false">IFERROR(INDEX('Position Library'!$B$2:$B$53,MATCH(A28,'Position Library'!$A$2:$A$53,0)),"")</f>
        <v>Lower North Security Checkpoint</v>
      </c>
      <c r="C28" s="9" t="str">
        <f aca="false">IFERROR(INDEX('Position Library'!$C$2:$C$53,MATCH(A28,'Position Library'!$A$2:$A$53,0)),"")</f>
        <v>Divest </v>
      </c>
      <c r="D28" s="9" t="str">
        <f aca="false">IFERROR(INDEX('Position Library'!$D$2:$D$53,MATCH(A28,'Position Library'!$A$2:$A$53,0)),"")</f>
        <v>Tier 1</v>
      </c>
      <c r="E28" s="9" t="str">
        <f aca="false">IFERROR(INDEX('Daily Schedule'!$F$6:$F$57,MATCH(A28,'Daily Schedule'!$A$6:$A$57,0)),"")</f>
        <v>EMP-0054</v>
      </c>
      <c r="F28" s="9" t="str">
        <f aca="false">IFERROR(INDEX('Daily Schedule'!$G$6:$G$57,MATCH(A28,'Daily Schedule'!$A$6:$A$57,0)),"")</f>
        <v>Diane Nails</v>
      </c>
      <c r="G28" s="9" t="str">
        <f aca="false">IFERROR(INDEX('Daily Schedule'!$N$6:$N$57,MATCH(A28,'Daily Schedule'!$A$6:$A$57,0)),"")</f>
        <v>8:00 AM</v>
      </c>
      <c r="H28" s="9" t="n">
        <f aca="false">IFERROR(INDEX('Daily Schedule'!$O$6:$O$57,MATCH(A28,'Daily Schedule'!$A$6:$A$57,0)),"")</f>
        <v>42</v>
      </c>
      <c r="I28" s="9" t="str">
        <f aca="false">IFERROR(INDEX('Daily Schedule'!$P$6:$P$57,MATCH(A28,'Daily Schedule'!$A$6:$A$57,0)),"")</f>
        <v>EMP-0134</v>
      </c>
      <c r="J28" s="9" t="str">
        <f aca="false">IF(I28="","",IFERROR(INDEX('Daily Schedule'!$N$6:$N$57,MATCH(I28,'Daily Schedule'!$G$6:$G$57,0)),IFERROR(INDEX('Daily Schedule'!$N$6:$N$57,MATCH(I28,'Daily Schedule'!$F$6:$F$57,0)),"")))</f>
        <v>9:00 AM</v>
      </c>
      <c r="K28" s="9" t="str">
        <f aca="false">IFERROR(INDEX('Daily Schedule'!$Q$6:$Q$57,MATCH(A28,'Daily Schedule'!$A$6:$A$57,0)),"")</f>
        <v>COVERED</v>
      </c>
      <c r="L28" s="10" t="str">
        <f aca="false">IF(E28="","NO ASSIGNEE",IF(AND(G28&lt;&gt;"",J28&lt;&gt;"",G28=J28),"VIOLATION – SAME LUNCH",IF(OR(K28="RELIEF GAP",K28="POSITION UNFILLED",K28=""),IF(OR(H28="",I28=""),"VIOLATION – NO RELIEF","CHECK MANUALLY"),IF(K28="COVERED","OK","CHECK MANUALLY"))))</f>
        <v>OK</v>
      </c>
    </row>
    <row r="30" customFormat="false" ht="15" hidden="false" customHeight="true" outlineLevel="0" collapsed="false">
      <c r="A30" s="11" t="s">
        <v>32</v>
      </c>
    </row>
    <row r="31" customFormat="false" ht="15" hidden="false" customHeight="true" outlineLevel="0" collapsed="false">
      <c r="A31" s="12" t="s">
        <v>33</v>
      </c>
    </row>
    <row r="32" customFormat="false" ht="15" hidden="false" customHeight="true" outlineLevel="0" collapsed="false">
      <c r="A32" s="12" t="s">
        <v>34</v>
      </c>
    </row>
    <row r="33" customFormat="false" ht="15" hidden="false" customHeight="true" outlineLevel="0" collapsed="false">
      <c r="A33" s="13" t="s">
        <v>35</v>
      </c>
    </row>
    <row r="34" customFormat="false" ht="15" hidden="false" customHeight="true" outlineLevel="0" collapsed="false">
      <c r="A34" s="14" t="s">
        <v>36</v>
      </c>
    </row>
    <row r="36" customFormat="false" ht="15" hidden="false" customHeight="true" outlineLevel="0" collapsed="false">
      <c r="A36" s="11" t="s">
        <v>37</v>
      </c>
    </row>
    <row r="37" customFormat="false" ht="15" hidden="false" customHeight="true" outlineLevel="0" collapsed="false">
      <c r="A37" s="15" t="s">
        <v>38</v>
      </c>
    </row>
    <row r="38" customFormat="false" ht="15" hidden="false" customHeight="true" outlineLevel="0" collapsed="false">
      <c r="A38" s="15" t="s">
        <v>39</v>
      </c>
    </row>
    <row r="39" customFormat="false" ht="15" hidden="false" customHeight="true" outlineLevel="0" collapsed="false">
      <c r="A39" s="15" t="s">
        <v>40</v>
      </c>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32"/>
    <col collapsed="false" customWidth="true" hidden="false" outlineLevel="0" max="4" min="4" style="1" width="10"/>
    <col collapsed="false" customWidth="true" hidden="false" outlineLevel="0" max="5" min="5" style="1" width="20"/>
    <col collapsed="false" customWidth="true" hidden="false" outlineLevel="0" max="6" min="6" style="1" width="12"/>
    <col collapsed="false" customWidth="true" hidden="false" outlineLevel="0" max="7" min="7" style="1" width="14"/>
    <col collapsed="false" customWidth="true" hidden="false" outlineLevel="0" max="8" min="8" style="1" width="20"/>
    <col collapsed="false" customWidth="true" hidden="false" outlineLevel="0" max="10" min="9" style="1" width="34"/>
    <col collapsed="false" customWidth="true" hidden="false" outlineLevel="0" max="11" min="11" style="1" width="14"/>
    <col collapsed="false" customWidth="true" hidden="false" outlineLevel="0" max="12" min="12" style="1" width="12"/>
  </cols>
  <sheetData>
    <row r="1" customFormat="false" ht="17.25" hidden="false" customHeight="true" outlineLevel="0" collapsed="false">
      <c r="A1" s="6" t="s">
        <v>41</v>
      </c>
      <c r="B1" s="6"/>
      <c r="C1" s="6"/>
      <c r="D1" s="6"/>
      <c r="E1" s="6"/>
      <c r="F1" s="6"/>
      <c r="G1" s="6"/>
      <c r="H1" s="6"/>
      <c r="I1" s="6"/>
      <c r="J1" s="6"/>
      <c r="K1" s="6"/>
      <c r="L1" s="6"/>
    </row>
    <row r="2" customFormat="false" ht="31.5" hidden="false" customHeight="true" outlineLevel="0" collapsed="false">
      <c r="A2" s="16" t="s">
        <v>42</v>
      </c>
      <c r="B2" s="16"/>
      <c r="C2" s="16"/>
      <c r="D2" s="16"/>
      <c r="E2" s="16"/>
      <c r="F2" s="16"/>
      <c r="G2" s="16"/>
      <c r="H2" s="16"/>
      <c r="I2" s="16"/>
      <c r="J2" s="16"/>
      <c r="K2" s="16"/>
      <c r="L2" s="16"/>
    </row>
    <row r="4" customFormat="false" ht="27.75" hidden="false" customHeight="true" outlineLevel="0" collapsed="false">
      <c r="A4" s="17" t="s">
        <v>43</v>
      </c>
      <c r="B4" s="17" t="s">
        <v>21</v>
      </c>
      <c r="C4" s="17" t="s">
        <v>44</v>
      </c>
      <c r="D4" s="17" t="s">
        <v>23</v>
      </c>
      <c r="E4" s="17" t="s">
        <v>25</v>
      </c>
      <c r="F4" s="17" t="s">
        <v>45</v>
      </c>
      <c r="G4" s="17" t="s">
        <v>26</v>
      </c>
      <c r="H4" s="17" t="s">
        <v>46</v>
      </c>
      <c r="I4" s="17" t="s">
        <v>47</v>
      </c>
      <c r="J4" s="17" t="s">
        <v>48</v>
      </c>
      <c r="K4" s="17" t="s">
        <v>49</v>
      </c>
      <c r="L4" s="17" t="s">
        <v>50</v>
      </c>
    </row>
    <row r="5" customFormat="false" ht="15" hidden="false" customHeight="true" outlineLevel="0" collapsed="false">
      <c r="A5" s="18" t="n">
        <f aca="false">'Daily Schedule'!A6</f>
        <v>46</v>
      </c>
      <c r="B5" s="9" t="str">
        <f aca="false">'Daily Schedule'!B6</f>
        <v>North Security Checkpoint</v>
      </c>
      <c r="C5" s="9" t="str">
        <f aca="false">'Daily Schedule'!C6</f>
        <v>Divest </v>
      </c>
      <c r="D5" s="19" t="str">
        <f aca="false">'Daily Schedule'!D6</f>
        <v>Tier 1</v>
      </c>
      <c r="E5" s="20" t="str">
        <f aca="false">'Daily Schedule'!G6</f>
        <v>Ahamed John</v>
      </c>
      <c r="F5" s="19" t="str">
        <f aca="false">'Daily Schedule'!H6</f>
        <v>3:45 AM</v>
      </c>
      <c r="G5" s="19" t="str">
        <f aca="false">'Daily Schedule'!N6</f>
        <v>8:00 AM</v>
      </c>
      <c r="H5" s="20" t="str">
        <f aca="false">IF('Daily Schedule'!P6="","",IF(LEFT('Daily Schedule'!P6,4)="EMP-",IFERROR(INDEX('Daily Workforce'!$C$6:$C$205,MATCH('Daily Schedule'!P6,'Daily Workforce'!$B$6:$B$205,0)),IFERROR(INDEX('Employee Master'!$B$2:$B$159,MATCH('Daily Schedule'!P6,'Employee Master'!$A$2:$A$159,0)),'Daily Schedule'!P6)),'Daily Schedule'!P6))</f>
        <v>Jamal Reynolds</v>
      </c>
      <c r="I5" s="9" t="str">
        <f aca="false">IF('Daily Schedule'!O6="","",IFERROR(INDEX('Daily Schedule'!$C$6:$C$57,MATCH('Daily Schedule'!O6,'Daily Schedule'!$A$6:$A$57,0)),IFERROR(INDEX('Position Library'!$C$2:$C$53,MATCH('Daily Schedule'!O6,'Position Library'!$A$2:$A$53,0)),'Daily Schedule'!O6)))</f>
        <v>MSC Escalator </v>
      </c>
      <c r="J5" s="21" t="str">
        <f aca="false">IF('Daily Schedule'!P6="","",IFERROR(INDEX('Daily Schedule'!$N$6:$N$57,MATCH(IF(LEFT('Daily Schedule'!P6,4)="EMP-",IFERROR(INDEX('Daily Workforce'!$C$6:$C$205,MATCH('Daily Schedule'!P6,'Daily Workforce'!$B$6:$B$205,0)),'Daily Schedule'!P6),'Daily Schedule'!P6),'Daily Schedule'!$G$6:$G$57,0)),IFERROR(INDEX('Daily Schedule'!$N$6:$N$57,MATCH('Daily Schedule'!P6,'Daily Schedule'!$F$6:$F$57,0)),"")))</f>
        <v>9:00 AM</v>
      </c>
      <c r="K5" s="19" t="str">
        <f aca="false">'Daily Schedule'!Q6</f>
        <v>COVERED</v>
      </c>
      <c r="L5" s="22" t="str">
        <f aca="false">IF('Daily Schedule'!G6="","UNFILLED",IF(AND('Daily Schedule'!N6&lt;&gt;"",J5&lt;&gt;"",'Daily Schedule'!N6=J5),"SAME LUNCH",IF(AND('Daily Schedule'!D6="Tier 1",OR('Daily Schedule'!P6="",'Daily Schedule'!Q6="RELIEF GAP")),"NO RELIEF",IF('Daily Schedule'!Q6="COVERED","OK",IF('Daily Schedule'!Q6="","CHECK",'Daily Schedule'!Q6)))))</f>
        <v>OK</v>
      </c>
    </row>
    <row r="6" customFormat="false" ht="15" hidden="false" customHeight="true" outlineLevel="0" collapsed="false">
      <c r="A6" s="18" t="n">
        <f aca="false">'Daily Schedule'!A7</f>
        <v>47</v>
      </c>
      <c r="B6" s="9" t="str">
        <f aca="false">'Daily Schedule'!B7</f>
        <v>North Security Checkpoint</v>
      </c>
      <c r="C6" s="9" t="str">
        <f aca="false">'Daily Schedule'!C7</f>
        <v>Divest</v>
      </c>
      <c r="D6" s="19" t="str">
        <f aca="false">'Daily Schedule'!D7</f>
        <v>Tier 1</v>
      </c>
      <c r="E6" s="20" t="str">
        <f aca="false">'Daily Schedule'!G7</f>
        <v>Allen Suggs</v>
      </c>
      <c r="F6" s="19" t="str">
        <f aca="false">'Daily Schedule'!H7</f>
        <v>3:45 AM</v>
      </c>
      <c r="G6" s="19" t="str">
        <f aca="false">'Daily Schedule'!N7</f>
        <v>8:00 AM</v>
      </c>
      <c r="H6" s="20" t="str">
        <f aca="false">IF('Daily Schedule'!P7="","",IF(LEFT('Daily Schedule'!P7,4)="EMP-",IFERROR(INDEX('Daily Workforce'!$C$6:$C$205,MATCH('Daily Schedule'!P7,'Daily Workforce'!$B$6:$B$205,0)),IFERROR(INDEX('Employee Master'!$B$2:$B$159,MATCH('Daily Schedule'!P7,'Employee Master'!$A$2:$A$159,0)),'Daily Schedule'!P7)),'Daily Schedule'!P7))</f>
        <v>Jada Batiste</v>
      </c>
      <c r="I6" s="9" t="str">
        <f aca="false">IF('Daily Schedule'!O7="","",IFERROR(INDEX('Daily Schedule'!$C$6:$C$57,MATCH('Daily Schedule'!O7,'Daily Schedule'!$A$6:$A$57,0)),IFERROR(INDEX('Position Library'!$C$2:$C$53,MATCH('Daily Schedule'!O7,'Position Library'!$A$2:$A$53,0)),'Daily Schedule'!O7)))</f>
        <v>MSC Escalator</v>
      </c>
      <c r="J6" s="21" t="str">
        <f aca="false">IF('Daily Schedule'!P7="","",IFERROR(INDEX('Daily Schedule'!$N$6:$N$57,MATCH(IF(LEFT('Daily Schedule'!P7,4)="EMP-",IFERROR(INDEX('Daily Workforce'!$C$6:$C$205,MATCH('Daily Schedule'!P7,'Daily Workforce'!$B$6:$B$205,0)),'Daily Schedule'!P7),'Daily Schedule'!P7),'Daily Schedule'!$G$6:$G$57,0)),IFERROR(INDEX('Daily Schedule'!$N$6:$N$57,MATCH('Daily Schedule'!P7,'Daily Schedule'!$F$6:$F$57,0)),"")))</f>
        <v>10:00 AM</v>
      </c>
      <c r="K6" s="19" t="str">
        <f aca="false">'Daily Schedule'!Q7</f>
        <v>COVERED</v>
      </c>
      <c r="L6" s="22" t="str">
        <f aca="false">IF('Daily Schedule'!G7="","UNFILLED",IF(AND('Daily Schedule'!N7&lt;&gt;"",J6&lt;&gt;"",'Daily Schedule'!N7=J6),"SAME LUNCH",IF(AND('Daily Schedule'!D7="Tier 1",OR('Daily Schedule'!P7="",'Daily Schedule'!Q7="RELIEF GAP")),"NO RELIEF",IF('Daily Schedule'!Q7="COVERED","OK",IF('Daily Schedule'!Q7="","CHECK",'Daily Schedule'!Q7)))))</f>
        <v>OK</v>
      </c>
    </row>
    <row r="7" customFormat="false" ht="15" hidden="false" customHeight="true" outlineLevel="0" collapsed="false">
      <c r="A7" s="18" t="n">
        <f aca="false">'Daily Schedule'!A8</f>
        <v>48</v>
      </c>
      <c r="B7" s="9" t="str">
        <f aca="false">'Daily Schedule'!B8</f>
        <v>North Security Checkpoint</v>
      </c>
      <c r="C7" s="9" t="str">
        <f aca="false">'Daily Schedule'!C8</f>
        <v>Divest</v>
      </c>
      <c r="D7" s="19" t="str">
        <f aca="false">'Daily Schedule'!D8</f>
        <v>Tier 1</v>
      </c>
      <c r="E7" s="20" t="str">
        <f aca="false">'Daily Schedule'!G8</f>
        <v>Benjamin Crosby</v>
      </c>
      <c r="F7" s="19" t="str">
        <f aca="false">'Daily Schedule'!H8</f>
        <v>3:45 AM</v>
      </c>
      <c r="G7" s="19" t="str">
        <f aca="false">'Daily Schedule'!N8</f>
        <v>9:00 AM</v>
      </c>
      <c r="H7" s="20" t="str">
        <f aca="false">IF('Daily Schedule'!P8="","",IF(LEFT('Daily Schedule'!P8,4)="EMP-",IFERROR(INDEX('Daily Workforce'!$C$6:$C$205,MATCH('Daily Schedule'!P8,'Daily Workforce'!$B$6:$B$205,0)),IFERROR(INDEX('Employee Master'!$B$2:$B$159,MATCH('Daily Schedule'!P8,'Employee Master'!$A$2:$A$159,0)),'Daily Schedule'!P8)),'Daily Schedule'!P8))</f>
        <v>Linton Brereton</v>
      </c>
      <c r="I7" s="9" t="str">
        <f aca="false">IF('Daily Schedule'!O8="","",IFERROR(INDEX('Daily Schedule'!$C$6:$C$57,MATCH('Daily Schedule'!O8,'Daily Schedule'!$A$6:$A$57,0)),IFERROR(INDEX('Position Library'!$C$2:$C$53,MATCH('Daily Schedule'!O8,'Position Library'!$A$2:$A$53,0)),'Daily Schedule'!O8)))</f>
        <v>KIA</v>
      </c>
      <c r="J7" s="21" t="str">
        <f aca="false">IF('Daily Schedule'!P8="","",IFERROR(INDEX('Daily Schedule'!$N$6:$N$57,MATCH(IF(LEFT('Daily Schedule'!P8,4)="EMP-",IFERROR(INDEX('Daily Workforce'!$C$6:$C$205,MATCH('Daily Schedule'!P8,'Daily Workforce'!$B$6:$B$205,0)),'Daily Schedule'!P8),'Daily Schedule'!P8),'Daily Schedule'!$G$6:$G$57,0)),IFERROR(INDEX('Daily Schedule'!$N$6:$N$57,MATCH('Daily Schedule'!P8,'Daily Schedule'!$F$6:$F$57,0)),"")))</f>
        <v>9:00 AM</v>
      </c>
      <c r="K7" s="19" t="str">
        <f aca="false">'Daily Schedule'!Q8</f>
        <v>COVERED</v>
      </c>
      <c r="L7" s="22" t="str">
        <f aca="false">IF('Daily Schedule'!G8="","UNFILLED",IF(AND('Daily Schedule'!N8&lt;&gt;"",J7&lt;&gt;"",'Daily Schedule'!N8=J7),"SAME LUNCH",IF(AND('Daily Schedule'!D8="Tier 1",OR('Daily Schedule'!P8="",'Daily Schedule'!Q8="RELIEF GAP")),"NO RELIEF",IF('Daily Schedule'!Q8="COVERED","OK",IF('Daily Schedule'!Q8="","CHECK",'Daily Schedule'!Q8)))))</f>
        <v>SAME LUNCH</v>
      </c>
    </row>
    <row r="8" customFormat="false" ht="15" hidden="false" customHeight="true" outlineLevel="0" collapsed="false">
      <c r="A8" s="18" t="n">
        <f aca="false">'Daily Schedule'!A9</f>
        <v>49</v>
      </c>
      <c r="B8" s="9" t="str">
        <f aca="false">'Daily Schedule'!B9</f>
        <v>North Security Checkpoint</v>
      </c>
      <c r="C8" s="9" t="str">
        <f aca="false">'Daily Schedule'!C9</f>
        <v>Divest</v>
      </c>
      <c r="D8" s="19" t="str">
        <f aca="false">'Daily Schedule'!D9</f>
        <v>Tier 1</v>
      </c>
      <c r="E8" s="20" t="str">
        <f aca="false">'Daily Schedule'!G9</f>
        <v>Crosby Pavon-Lacayo</v>
      </c>
      <c r="F8" s="19" t="str">
        <f aca="false">'Daily Schedule'!H9</f>
        <v>3:45 AM</v>
      </c>
      <c r="G8" s="19" t="str">
        <f aca="false">'Daily Schedule'!N9</f>
        <v>8:00 AM</v>
      </c>
      <c r="H8" s="20" t="str">
        <f aca="false">IF('Daily Schedule'!P9="","",IF(LEFT('Daily Schedule'!P9,4)="EMP-",IFERROR(INDEX('Daily Workforce'!$C$6:$C$205,MATCH('Daily Schedule'!P9,'Daily Workforce'!$B$6:$B$205,0)),IFERROR(INDEX('Employee Master'!$B$2:$B$159,MATCH('Daily Schedule'!P9,'Employee Master'!$A$2:$A$159,0)),'Daily Schedule'!P9)),'Daily Schedule'!P9))</f>
        <v>Mildred Tarres</v>
      </c>
      <c r="I8" s="9" t="str">
        <f aca="false">IF('Daily Schedule'!O9="","",IFERROR(INDEX('Daily Schedule'!$C$6:$C$57,MATCH('Daily Schedule'!O9,'Daily Schedule'!$A$6:$A$57,0)),IFERROR(INDEX('Position Library'!$C$2:$C$53,MATCH('Daily Schedule'!O9,'Position Library'!$A$2:$A$53,0)),'Daily Schedule'!O9)))</f>
        <v>Piedmont / West Crossover</v>
      </c>
      <c r="J8" s="21" t="str">
        <f aca="false">IF('Daily Schedule'!P9="","",IFERROR(INDEX('Daily Schedule'!$N$6:$N$57,MATCH(IF(LEFT('Daily Schedule'!P9,4)="EMP-",IFERROR(INDEX('Daily Workforce'!$C$6:$C$205,MATCH('Daily Schedule'!P9,'Daily Workforce'!$B$6:$B$205,0)),'Daily Schedule'!P9),'Daily Schedule'!P9),'Daily Schedule'!$G$6:$G$57,0)),IFERROR(INDEX('Daily Schedule'!$N$6:$N$57,MATCH('Daily Schedule'!P9,'Daily Schedule'!$F$6:$F$57,0)),"")))</f>
        <v>9:00 AM</v>
      </c>
      <c r="K8" s="19" t="str">
        <f aca="false">'Daily Schedule'!Q9</f>
        <v>COVERED</v>
      </c>
      <c r="L8" s="22" t="str">
        <f aca="false">IF('Daily Schedule'!G9="","UNFILLED",IF(AND('Daily Schedule'!N9&lt;&gt;"",J8&lt;&gt;"",'Daily Schedule'!N9=J8),"SAME LUNCH",IF(AND('Daily Schedule'!D9="Tier 1",OR('Daily Schedule'!P9="",'Daily Schedule'!Q9="RELIEF GAP")),"NO RELIEF",IF('Daily Schedule'!Q9="COVERED","OK",IF('Daily Schedule'!Q9="","CHECK",'Daily Schedule'!Q9)))))</f>
        <v>OK</v>
      </c>
    </row>
    <row r="9" customFormat="false" ht="15" hidden="false" customHeight="true" outlineLevel="0" collapsed="false">
      <c r="A9" s="18" t="n">
        <f aca="false">'Daily Schedule'!A10</f>
        <v>50</v>
      </c>
      <c r="B9" s="9" t="str">
        <f aca="false">'Daily Schedule'!B10</f>
        <v>Lower North Security Checkpoint</v>
      </c>
      <c r="C9" s="9" t="str">
        <f aca="false">'Daily Schedule'!C10</f>
        <v>Divest </v>
      </c>
      <c r="D9" s="19" t="str">
        <f aca="false">'Daily Schedule'!D10</f>
        <v>Tier 1</v>
      </c>
      <c r="E9" s="20" t="str">
        <f aca="false">'Daily Schedule'!G10</f>
        <v>Danielle Holmes</v>
      </c>
      <c r="F9" s="19" t="str">
        <f aca="false">'Daily Schedule'!H10</f>
        <v>3:45 AM</v>
      </c>
      <c r="G9" s="19" t="str">
        <f aca="false">'Daily Schedule'!N10</f>
        <v>8:00 AM</v>
      </c>
      <c r="H9" s="20" t="str">
        <f aca="false">IF('Daily Schedule'!P10="","",IF(LEFT('Daily Schedule'!P10,4)="EMP-",IFERROR(INDEX('Daily Workforce'!$C$6:$C$205,MATCH('Daily Schedule'!P10,'Daily Workforce'!$B$6:$B$205,0)),IFERROR(INDEX('Employee Master'!$B$2:$B$159,MATCH('Daily Schedule'!P10,'Employee Master'!$A$2:$A$159,0)),'Daily Schedule'!P10)),'Daily Schedule'!P10))</f>
        <v>Kidest Solomon</v>
      </c>
      <c r="I9" s="9" t="str">
        <f aca="false">IF('Daily Schedule'!O10="","",IFERROR(INDEX('Daily Schedule'!$C$6:$C$57,MATCH('Daily Schedule'!O10,'Daily Schedule'!$A$6:$A$57,0)),IFERROR(INDEX('Position Library'!$C$2:$C$53,MATCH('Daily Schedule'!O10,'Position Library'!$A$2:$A$53,0)),'Daily Schedule'!O10)))</f>
        <v>KIA </v>
      </c>
      <c r="J9" s="21" t="str">
        <f aca="false">IF('Daily Schedule'!P10="","",IFERROR(INDEX('Daily Schedule'!$N$6:$N$57,MATCH(IF(LEFT('Daily Schedule'!P10,4)="EMP-",IFERROR(INDEX('Daily Workforce'!$C$6:$C$205,MATCH('Daily Schedule'!P10,'Daily Workforce'!$B$6:$B$205,0)),'Daily Schedule'!P10),'Daily Schedule'!P10),'Daily Schedule'!$G$6:$G$57,0)),IFERROR(INDEX('Daily Schedule'!$N$6:$N$57,MATCH('Daily Schedule'!P10,'Daily Schedule'!$F$6:$F$57,0)),"")))</f>
        <v>10:00 AM</v>
      </c>
      <c r="K9" s="19" t="str">
        <f aca="false">'Daily Schedule'!Q10</f>
        <v>COVERED</v>
      </c>
      <c r="L9" s="22" t="str">
        <f aca="false">IF('Daily Schedule'!G10="","UNFILLED",IF(AND('Daily Schedule'!N10&lt;&gt;"",J9&lt;&gt;"",'Daily Schedule'!N10=J9),"SAME LUNCH",IF(AND('Daily Schedule'!D10="Tier 1",OR('Daily Schedule'!P10="",'Daily Schedule'!Q10="RELIEF GAP")),"NO RELIEF",IF('Daily Schedule'!Q10="COVERED","OK",IF('Daily Schedule'!Q10="","CHECK",'Daily Schedule'!Q10)))))</f>
        <v>OK</v>
      </c>
    </row>
    <row r="10" customFormat="false" ht="15" hidden="false" customHeight="true" outlineLevel="0" collapsed="false">
      <c r="A10" s="18" t="n">
        <f aca="false">'Daily Schedule'!A11</f>
        <v>51</v>
      </c>
      <c r="B10" s="9" t="str">
        <f aca="false">'Daily Schedule'!B11</f>
        <v>Lower North Security Checkpoint</v>
      </c>
      <c r="C10" s="9" t="str">
        <f aca="false">'Daily Schedule'!C11</f>
        <v>Divest</v>
      </c>
      <c r="D10" s="19" t="str">
        <f aca="false">'Daily Schedule'!D11</f>
        <v>Tier 1</v>
      </c>
      <c r="E10" s="20" t="str">
        <f aca="false">'Daily Schedule'!G11</f>
        <v>Demetrius Thomas</v>
      </c>
      <c r="F10" s="19" t="str">
        <f aca="false">'Daily Schedule'!H11</f>
        <v>3:45 AM</v>
      </c>
      <c r="G10" s="19" t="str">
        <f aca="false">'Daily Schedule'!N11</f>
        <v>9:00 AM</v>
      </c>
      <c r="H10" s="20" t="str">
        <f aca="false">IF('Daily Schedule'!P11="","",IF(LEFT('Daily Schedule'!P11,4)="EMP-",IFERROR(INDEX('Daily Workforce'!$C$6:$C$205,MATCH('Daily Schedule'!P11,'Daily Workforce'!$B$6:$B$205,0)),IFERROR(INDEX('Employee Master'!$B$2:$B$159,MATCH('Daily Schedule'!P11,'Employee Master'!$A$2:$A$159,0)),'Daily Schedule'!P11)),'Daily Schedule'!P11))</f>
        <v>Sara Alemu</v>
      </c>
      <c r="I10" s="9" t="str">
        <f aca="false">IF('Daily Schedule'!O11="","",IFERROR(INDEX('Daily Schedule'!$C$6:$C$57,MATCH('Daily Schedule'!O11,'Daily Schedule'!$A$6:$A$57,0)),IFERROR(INDEX('Position Library'!$C$2:$C$53,MATCH('Daily Schedule'!O11,'Position Library'!$A$2:$A$53,0)),'Daily Schedule'!O11)))</f>
        <v>TGIF / West Crossover</v>
      </c>
      <c r="J10" s="21" t="str">
        <f aca="false">IF('Daily Schedule'!P11="","",IFERROR(INDEX('Daily Schedule'!$N$6:$N$57,MATCH(IF(LEFT('Daily Schedule'!P11,4)="EMP-",IFERROR(INDEX('Daily Workforce'!$C$6:$C$205,MATCH('Daily Schedule'!P11,'Daily Workforce'!$B$6:$B$205,0)),'Daily Schedule'!P11),'Daily Schedule'!P11),'Daily Schedule'!$G$6:$G$57,0)),IFERROR(INDEX('Daily Schedule'!$N$6:$N$57,MATCH('Daily Schedule'!P11,'Daily Schedule'!$F$6:$F$57,0)),"")))</f>
        <v>9:00 AM</v>
      </c>
      <c r="K10" s="19" t="str">
        <f aca="false">'Daily Schedule'!Q11</f>
        <v>COVERED</v>
      </c>
      <c r="L10" s="22" t="str">
        <f aca="false">IF('Daily Schedule'!G11="","UNFILLED",IF(AND('Daily Schedule'!N11&lt;&gt;"",J10&lt;&gt;"",'Daily Schedule'!N11=J10),"SAME LUNCH",IF(AND('Daily Schedule'!D11="Tier 1",OR('Daily Schedule'!P11="",'Daily Schedule'!Q11="RELIEF GAP")),"NO RELIEF",IF('Daily Schedule'!Q11="COVERED","OK",IF('Daily Schedule'!Q11="","CHECK",'Daily Schedule'!Q11)))))</f>
        <v>SAME LUNCH</v>
      </c>
    </row>
    <row r="11" customFormat="false" ht="15" hidden="false" customHeight="true" outlineLevel="0" collapsed="false">
      <c r="A11" s="18" t="n">
        <f aca="false">'Daily Schedule'!A12</f>
        <v>52</v>
      </c>
      <c r="B11" s="9" t="str">
        <f aca="false">'Daily Schedule'!B12</f>
        <v>Lower North Security Checkpoint</v>
      </c>
      <c r="C11" s="9" t="str">
        <f aca="false">'Daily Schedule'!C12</f>
        <v>Divest </v>
      </c>
      <c r="D11" s="19" t="str">
        <f aca="false">'Daily Schedule'!D12</f>
        <v>Tier 1</v>
      </c>
      <c r="E11" s="20" t="str">
        <f aca="false">'Daily Schedule'!G12</f>
        <v>Diane Nails</v>
      </c>
      <c r="F11" s="19" t="str">
        <f aca="false">'Daily Schedule'!H12</f>
        <v>3:45 AM</v>
      </c>
      <c r="G11" s="19" t="str">
        <f aca="false">'Daily Schedule'!N12</f>
        <v>8:00 AM</v>
      </c>
      <c r="H11" s="20" t="str">
        <f aca="false">IF('Daily Schedule'!P12="","",IF(LEFT('Daily Schedule'!P12,4)="EMP-",IFERROR(INDEX('Daily Workforce'!$C$6:$C$205,MATCH('Daily Schedule'!P12,'Daily Workforce'!$B$6:$B$205,0)),IFERROR(INDEX('Employee Master'!$B$2:$B$159,MATCH('Daily Schedule'!P12,'Employee Master'!$A$2:$A$159,0)),'Daily Schedule'!P12)),'Daily Schedule'!P12))</f>
        <v>Shawanda Webb</v>
      </c>
      <c r="I11" s="9" t="str">
        <f aca="false">IF('Daily Schedule'!O12="","",IFERROR(INDEX('Daily Schedule'!$C$6:$C$57,MATCH('Daily Schedule'!O12,'Daily Schedule'!$A$6:$A$57,0)),IFERROR(INDEX('Position Library'!$C$2:$C$53,MATCH('Daily Schedule'!O12,'Position Library'!$A$2:$A$53,0)),'Daily Schedule'!O12)))</f>
        <v>Bravo West</v>
      </c>
      <c r="J11" s="21" t="str">
        <f aca="false">IF('Daily Schedule'!P12="","",IFERROR(INDEX('Daily Schedule'!$N$6:$N$57,MATCH(IF(LEFT('Daily Schedule'!P12,4)="EMP-",IFERROR(INDEX('Daily Workforce'!$C$6:$C$205,MATCH('Daily Schedule'!P12,'Daily Workforce'!$B$6:$B$205,0)),'Daily Schedule'!P12),'Daily Schedule'!P12),'Daily Schedule'!$G$6:$G$57,0)),IFERROR(INDEX('Daily Schedule'!$N$6:$N$57,MATCH('Daily Schedule'!P12,'Daily Schedule'!$F$6:$F$57,0)),"")))</f>
        <v>9:00 AM</v>
      </c>
      <c r="K11" s="19" t="str">
        <f aca="false">'Daily Schedule'!Q12</f>
        <v>COVERED</v>
      </c>
      <c r="L11" s="22" t="str">
        <f aca="false">IF('Daily Schedule'!G12="","UNFILLED",IF(AND('Daily Schedule'!N12&lt;&gt;"",J11&lt;&gt;"",'Daily Schedule'!N12=J11),"SAME LUNCH",IF(AND('Daily Schedule'!D12="Tier 1",OR('Daily Schedule'!P12="",'Daily Schedule'!Q12="RELIEF GAP")),"NO RELIEF",IF('Daily Schedule'!Q12="COVERED","OK",IF('Daily Schedule'!Q12="","CHECK",'Daily Schedule'!Q12)))))</f>
        <v>OK</v>
      </c>
    </row>
    <row r="12" customFormat="false" ht="15" hidden="false" customHeight="true" outlineLevel="0" collapsed="false">
      <c r="A12" s="18" t="n">
        <f aca="false">'Daily Schedule'!A13</f>
        <v>1</v>
      </c>
      <c r="B12" s="9" t="str">
        <f aca="false">'Daily Schedule'!B13</f>
        <v>Main Security Checkpoint</v>
      </c>
      <c r="C12" s="9" t="str">
        <f aca="false">'Daily Schedule'!C13</f>
        <v>Front Entrance </v>
      </c>
      <c r="D12" s="19" t="str">
        <f aca="false">'Daily Schedule'!D13</f>
        <v>Tier 1</v>
      </c>
      <c r="E12" s="20" t="str">
        <f aca="false">'Daily Schedule'!G13</f>
        <v>Emonnie Dorsey</v>
      </c>
      <c r="F12" s="19" t="str">
        <f aca="false">'Daily Schedule'!H13</f>
        <v>3:45 AM</v>
      </c>
      <c r="G12" s="19" t="str">
        <f aca="false">'Daily Schedule'!N13</f>
        <v>8:00 AM</v>
      </c>
      <c r="H12" s="20" t="str">
        <f aca="false">IF('Daily Schedule'!P13="","",IF(LEFT('Daily Schedule'!P13,4)="EMP-",IFERROR(INDEX('Daily Workforce'!$C$6:$C$205,MATCH('Daily Schedule'!P13,'Daily Workforce'!$B$6:$B$205,0)),IFERROR(INDEX('Employee Master'!$B$2:$B$159,MATCH('Daily Schedule'!P13,'Employee Master'!$A$2:$A$159,0)),'Daily Schedule'!P13)),'Daily Schedule'!P13))</f>
        <v>Ashia Norman</v>
      </c>
      <c r="I12" s="9" t="str">
        <f aca="false">IF('Daily Schedule'!O13="","",IFERROR(INDEX('Daily Schedule'!$C$6:$C$57,MATCH('Daily Schedule'!O13,'Daily Schedule'!$A$6:$A$57,0)),IFERROR(INDEX('Position Library'!$C$2:$C$53,MATCH('Daily Schedule'!O13,'Position Library'!$A$2:$A$53,0)),'Daily Schedule'!O13)))</f>
        <v>Front Entrance </v>
      </c>
      <c r="J12" s="21" t="str">
        <f aca="false">IF('Daily Schedule'!P13="","",IFERROR(INDEX('Daily Schedule'!$N$6:$N$57,MATCH(IF(LEFT('Daily Schedule'!P13,4)="EMP-",IFERROR(INDEX('Daily Workforce'!$C$6:$C$205,MATCH('Daily Schedule'!P13,'Daily Workforce'!$B$6:$B$205,0)),'Daily Schedule'!P13),'Daily Schedule'!P13),'Daily Schedule'!$G$6:$G$57,0)),IFERROR(INDEX('Daily Schedule'!$N$6:$N$57,MATCH('Daily Schedule'!P13,'Daily Schedule'!$F$6:$F$57,0)),"")))</f>
        <v>9:00 AM</v>
      </c>
      <c r="K12" s="19" t="str">
        <f aca="false">'Daily Schedule'!Q13</f>
        <v>COVERED</v>
      </c>
      <c r="L12" s="22" t="str">
        <f aca="false">IF('Daily Schedule'!G13="","UNFILLED",IF(AND('Daily Schedule'!N13&lt;&gt;"",J12&lt;&gt;"",'Daily Schedule'!N13=J12),"SAME LUNCH",IF(AND('Daily Schedule'!D13="Tier 1",OR('Daily Schedule'!P13="",'Daily Schedule'!Q13="RELIEF GAP")),"NO RELIEF",IF('Daily Schedule'!Q13="COVERED","OK",IF('Daily Schedule'!Q13="","CHECK",'Daily Schedule'!Q13)))))</f>
        <v>OK</v>
      </c>
    </row>
    <row r="13" customFormat="false" ht="15" hidden="false" customHeight="true" outlineLevel="0" collapsed="false">
      <c r="A13" s="18" t="n">
        <f aca="false">'Daily Schedule'!A14</f>
        <v>2</v>
      </c>
      <c r="B13" s="9" t="str">
        <f aca="false">'Daily Schedule'!B14</f>
        <v>Main Security Checkpoint</v>
      </c>
      <c r="C13" s="9" t="str">
        <f aca="false">'Daily Schedule'!C14</f>
        <v>ADA Entrance </v>
      </c>
      <c r="D13" s="19" t="str">
        <f aca="false">'Daily Schedule'!D14</f>
        <v>Tier 1</v>
      </c>
      <c r="E13" s="20" t="str">
        <f aca="false">'Daily Schedule'!G14</f>
        <v>Haddyjatou Ndure</v>
      </c>
      <c r="F13" s="19" t="str">
        <f aca="false">'Daily Schedule'!H14</f>
        <v>3:45 AM</v>
      </c>
      <c r="G13" s="19" t="str">
        <f aca="false">'Daily Schedule'!N14</f>
        <v>9:00 AM</v>
      </c>
      <c r="H13" s="20" t="str">
        <f aca="false">IF('Daily Schedule'!P14="","",IF(LEFT('Daily Schedule'!P14,4)="EMP-",IFERROR(INDEX('Daily Workforce'!$C$6:$C$205,MATCH('Daily Schedule'!P14,'Daily Workforce'!$B$6:$B$205,0)),IFERROR(INDEX('Employee Master'!$B$2:$B$159,MATCH('Daily Schedule'!P14,'Employee Master'!$A$2:$A$159,0)),'Daily Schedule'!P14)),'Daily Schedule'!P14))</f>
        <v/>
      </c>
      <c r="I13" s="9" t="str">
        <f aca="false">IF('Daily Schedule'!O14="","",IFERROR(INDEX('Daily Schedule'!$C$6:$C$57,MATCH('Daily Schedule'!O14,'Daily Schedule'!$A$6:$A$57,0)),IFERROR(INDEX('Position Library'!$C$2:$C$53,MATCH('Daily Schedule'!O14,'Position Library'!$A$2:$A$53,0)),'Daily Schedule'!O14)))</f>
        <v/>
      </c>
      <c r="J13" s="21" t="str">
        <f aca="false">IF('Daily Schedule'!P14="","",IFERROR(INDEX('Daily Schedule'!$N$6:$N$57,MATCH(IF(LEFT('Daily Schedule'!P14,4)="EMP-",IFERROR(INDEX('Daily Workforce'!$C$6:$C$205,MATCH('Daily Schedule'!P14,'Daily Workforce'!$B$6:$B$205,0)),'Daily Schedule'!P14),'Daily Schedule'!P14),'Daily Schedule'!$G$6:$G$57,0)),IFERROR(INDEX('Daily Schedule'!$N$6:$N$57,MATCH('Daily Schedule'!P14,'Daily Schedule'!$F$6:$F$57,0)),"")))</f>
        <v/>
      </c>
      <c r="K13" s="19" t="str">
        <f aca="false">'Daily Schedule'!Q14</f>
        <v>RELIEF GAP</v>
      </c>
      <c r="L13" s="22" t="str">
        <f aca="false">IF('Daily Schedule'!G14="","UNFILLED",IF(AND('Daily Schedule'!N14&lt;&gt;"",J13&lt;&gt;"",'Daily Schedule'!N14=J13),"SAME LUNCH",IF(AND('Daily Schedule'!D14="Tier 1",OR('Daily Schedule'!P14="",'Daily Schedule'!Q14="RELIEF GAP")),"NO RELIEF",IF('Daily Schedule'!Q14="COVERED","OK",IF('Daily Schedule'!Q14="","CHECK",'Daily Schedule'!Q14)))))</f>
        <v>NO RELIEF</v>
      </c>
    </row>
    <row r="14" customFormat="false" ht="23.25" hidden="false" customHeight="true" outlineLevel="0" collapsed="false">
      <c r="A14" s="18" t="n">
        <f aca="false">'Daily Schedule'!A15</f>
        <v>4</v>
      </c>
      <c r="B14" s="9" t="str">
        <f aca="false">'Daily Schedule'!B15</f>
        <v>Main Security Checkpoint</v>
      </c>
      <c r="C14" s="9" t="str">
        <f aca="false">'Daily Schedule'!C15</f>
        <v>Inside Center </v>
      </c>
      <c r="D14" s="19" t="str">
        <f aca="false">'Daily Schedule'!D15</f>
        <v>Tier 1</v>
      </c>
      <c r="E14" s="20" t="str">
        <f aca="false">'Daily Schedule'!G15</f>
        <v/>
      </c>
      <c r="F14" s="19" t="str">
        <f aca="false">'Daily Schedule'!H15</f>
        <v/>
      </c>
      <c r="G14" s="19" t="str">
        <f aca="false">'Daily Schedule'!N15</f>
        <v/>
      </c>
      <c r="H14" s="20" t="str">
        <f aca="false">IF('Daily Schedule'!P15="","",IF(LEFT('Daily Schedule'!P15,4)="EMP-",IFERROR(INDEX('Daily Workforce'!$C$6:$C$205,MATCH('Daily Schedule'!P15,'Daily Workforce'!$B$6:$B$205,0)),IFERROR(INDEX('Employee Master'!$B$2:$B$159,MATCH('Daily Schedule'!P15,'Employee Master'!$A$2:$A$159,0)),'Daily Schedule'!P15)),'Daily Schedule'!P15))</f>
        <v>Kelon Arnold</v>
      </c>
      <c r="I14" s="9" t="str">
        <f aca="false">IF('Daily Schedule'!O15="","",IFERROR(INDEX('Daily Schedule'!$C$6:$C$57,MATCH('Daily Schedule'!O15,'Daily Schedule'!$A$6:$A$57,0)),IFERROR(INDEX('Position Library'!$C$2:$C$53,MATCH('Daily Schedule'!O15,'Position Library'!$A$2:$A$53,0)),'Daily Schedule'!O15)))</f>
        <v>Lanes 1 - 3 / Pre-Check </v>
      </c>
      <c r="J14" s="21" t="str">
        <f aca="false">IF('Daily Schedule'!P15="","",IFERROR(INDEX('Daily Schedule'!$N$6:$N$57,MATCH(IF(LEFT('Daily Schedule'!P15,4)="EMP-",IFERROR(INDEX('Daily Workforce'!$C$6:$C$205,MATCH('Daily Schedule'!P15,'Daily Workforce'!$B$6:$B$205,0)),'Daily Schedule'!P15),'Daily Schedule'!P15),'Daily Schedule'!$G$6:$G$57,0)),IFERROR(INDEX('Daily Schedule'!$N$6:$N$57,MATCH('Daily Schedule'!P15,'Daily Schedule'!$F$6:$F$57,0)),"")))</f>
        <v>8:00 AM</v>
      </c>
      <c r="K14" s="19" t="str">
        <f aca="false">'Daily Schedule'!Q15</f>
        <v>POSITION UNFILLED</v>
      </c>
      <c r="L14" s="22" t="str">
        <f aca="false">IF('Daily Schedule'!G15="","UNFILLED",IF(AND('Daily Schedule'!N15&lt;&gt;"",J14&lt;&gt;"",'Daily Schedule'!N15=J14),"SAME LUNCH",IF(AND('Daily Schedule'!D15="Tier 1",OR('Daily Schedule'!P15="",'Daily Schedule'!Q15="RELIEF GAP")),"NO RELIEF",IF('Daily Schedule'!Q15="COVERED","OK",IF('Daily Schedule'!Q15="","CHECK",'Daily Schedule'!Q15)))))</f>
        <v>UNFILLED</v>
      </c>
    </row>
    <row r="15" customFormat="false" ht="15" hidden="false" customHeight="true" outlineLevel="0" collapsed="false">
      <c r="A15" s="18" t="n">
        <f aca="false">'Daily Schedule'!A16</f>
        <v>5</v>
      </c>
      <c r="B15" s="9" t="str">
        <f aca="false">'Daily Schedule'!B16</f>
        <v>Main Security Checkpoint</v>
      </c>
      <c r="C15" s="9" t="str">
        <f aca="false">'Daily Schedule'!C16</f>
        <v>Lanes 1 - 3 / Pre-Check </v>
      </c>
      <c r="D15" s="19" t="str">
        <f aca="false">'Daily Schedule'!D16</f>
        <v>Tier 1</v>
      </c>
      <c r="E15" s="20" t="str">
        <f aca="false">'Daily Schedule'!G16</f>
        <v>Kelon Arnold</v>
      </c>
      <c r="F15" s="19" t="str">
        <f aca="false">'Daily Schedule'!H16</f>
        <v>3:45 AM</v>
      </c>
      <c r="G15" s="19" t="str">
        <f aca="false">'Daily Schedule'!N16</f>
        <v>8:00 AM</v>
      </c>
      <c r="H15" s="20" t="str">
        <f aca="false">IF('Daily Schedule'!P16="","",IF(LEFT('Daily Schedule'!P16,4)="EMP-",IFERROR(INDEX('Daily Workforce'!$C$6:$C$205,MATCH('Daily Schedule'!P16,'Daily Workforce'!$B$6:$B$205,0)),IFERROR(INDEX('Employee Master'!$B$2:$B$159,MATCH('Daily Schedule'!P16,'Employee Master'!$A$2:$A$159,0)),'Daily Schedule'!P16)),'Daily Schedule'!P16))</f>
        <v>Aleah Mckinnon</v>
      </c>
      <c r="I15" s="9" t="str">
        <f aca="false">IF('Daily Schedule'!O16="","",IFERROR(INDEX('Daily Schedule'!$C$6:$C$57,MATCH('Daily Schedule'!O16,'Daily Schedule'!$A$6:$A$57,0)),IFERROR(INDEX('Position Library'!$C$2:$C$53,MATCH('Daily Schedule'!O16,'Position Library'!$A$2:$A$53,0)),'Daily Schedule'!O16)))</f>
        <v>Lanes 17 - 18 </v>
      </c>
      <c r="J15" s="21" t="str">
        <f aca="false">IF('Daily Schedule'!P16="","",IFERROR(INDEX('Daily Schedule'!$N$6:$N$57,MATCH(IF(LEFT('Daily Schedule'!P16,4)="EMP-",IFERROR(INDEX('Daily Workforce'!$C$6:$C$205,MATCH('Daily Schedule'!P16,'Daily Workforce'!$B$6:$B$205,0)),'Daily Schedule'!P16),'Daily Schedule'!P16),'Daily Schedule'!$G$6:$G$57,0)),IFERROR(INDEX('Daily Schedule'!$N$6:$N$57,MATCH('Daily Schedule'!P16,'Daily Schedule'!$F$6:$F$57,0)),"")))</f>
        <v>10:00 AM</v>
      </c>
      <c r="K15" s="19" t="str">
        <f aca="false">'Daily Schedule'!Q16</f>
        <v>COVERED</v>
      </c>
      <c r="L15" s="22" t="str">
        <f aca="false">IF('Daily Schedule'!G16="","UNFILLED",IF(AND('Daily Schedule'!N16&lt;&gt;"",J15&lt;&gt;"",'Daily Schedule'!N16=J15),"SAME LUNCH",IF(AND('Daily Schedule'!D16="Tier 1",OR('Daily Schedule'!P16="",'Daily Schedule'!Q16="RELIEF GAP")),"NO RELIEF",IF('Daily Schedule'!Q16="COVERED","OK",IF('Daily Schedule'!Q16="","CHECK",'Daily Schedule'!Q16)))))</f>
        <v>OK</v>
      </c>
    </row>
    <row r="16" customFormat="false" ht="23.25" hidden="false" customHeight="true" outlineLevel="0" collapsed="false">
      <c r="A16" s="18" t="n">
        <f aca="false">'Daily Schedule'!A17</f>
        <v>8</v>
      </c>
      <c r="B16" s="9" t="str">
        <f aca="false">'Daily Schedule'!B17</f>
        <v>Main Security Checkpoint</v>
      </c>
      <c r="C16" s="9" t="str">
        <f aca="false">'Daily Schedule'!C17</f>
        <v>Inside Center </v>
      </c>
      <c r="D16" s="19" t="str">
        <f aca="false">'Daily Schedule'!D17</f>
        <v>Tier 1</v>
      </c>
      <c r="E16" s="20" t="str">
        <f aca="false">'Daily Schedule'!G17</f>
        <v/>
      </c>
      <c r="F16" s="19" t="str">
        <f aca="false">'Daily Schedule'!H17</f>
        <v/>
      </c>
      <c r="G16" s="19" t="str">
        <f aca="false">'Daily Schedule'!N17</f>
        <v/>
      </c>
      <c r="H16" s="20" t="str">
        <f aca="false">IF('Daily Schedule'!P17="","",IF(LEFT('Daily Schedule'!P17,4)="EMP-",IFERROR(INDEX('Daily Workforce'!$C$6:$C$205,MATCH('Daily Schedule'!P17,'Daily Workforce'!$B$6:$B$205,0)),IFERROR(INDEX('Employee Master'!$B$2:$B$159,MATCH('Daily Schedule'!P17,'Employee Master'!$A$2:$A$159,0)),'Daily Schedule'!P17)),'Daily Schedule'!P17))</f>
        <v>Aleah Mckinnon</v>
      </c>
      <c r="I16" s="9" t="str">
        <f aca="false">IF('Daily Schedule'!O17="","",IFERROR(INDEX('Daily Schedule'!$C$6:$C$57,MATCH('Daily Schedule'!O17,'Daily Schedule'!$A$6:$A$57,0)),IFERROR(INDEX('Position Library'!$C$2:$C$53,MATCH('Daily Schedule'!O17,'Position Library'!$A$2:$A$53,0)),'Daily Schedule'!O17)))</f>
        <v>Lanes 17 - 18 </v>
      </c>
      <c r="J16" s="21" t="str">
        <f aca="false">IF('Daily Schedule'!P17="","",IFERROR(INDEX('Daily Schedule'!$N$6:$N$57,MATCH(IF(LEFT('Daily Schedule'!P17,4)="EMP-",IFERROR(INDEX('Daily Workforce'!$C$6:$C$205,MATCH('Daily Schedule'!P17,'Daily Workforce'!$B$6:$B$205,0)),'Daily Schedule'!P17),'Daily Schedule'!P17),'Daily Schedule'!$G$6:$G$57,0)),IFERROR(INDEX('Daily Schedule'!$N$6:$N$57,MATCH('Daily Schedule'!P17,'Daily Schedule'!$F$6:$F$57,0)),"")))</f>
        <v>10:00 AM</v>
      </c>
      <c r="K16" s="19" t="str">
        <f aca="false">'Daily Schedule'!Q17</f>
        <v>POSITION UNFILLED</v>
      </c>
      <c r="L16" s="22" t="str">
        <f aca="false">IF('Daily Schedule'!G17="","UNFILLED",IF(AND('Daily Schedule'!N17&lt;&gt;"",J16&lt;&gt;"",'Daily Schedule'!N17=J16),"SAME LUNCH",IF(AND('Daily Schedule'!D17="Tier 1",OR('Daily Schedule'!P17="",'Daily Schedule'!Q17="RELIEF GAP")),"NO RELIEF",IF('Daily Schedule'!Q17="COVERED","OK",IF('Daily Schedule'!Q17="","CHECK",'Daily Schedule'!Q17)))))</f>
        <v>UNFILLED</v>
      </c>
    </row>
    <row r="17" customFormat="false" ht="15" hidden="false" customHeight="true" outlineLevel="0" collapsed="false">
      <c r="A17" s="18" t="n">
        <f aca="false">'Daily Schedule'!A18</f>
        <v>14</v>
      </c>
      <c r="B17" s="9" t="str">
        <f aca="false">'Daily Schedule'!B18</f>
        <v>South Security Checkpoint</v>
      </c>
      <c r="C17" s="9" t="str">
        <f aca="false">'Daily Schedule'!C18</f>
        <v>Checkpoint – Inside </v>
      </c>
      <c r="D17" s="19" t="str">
        <f aca="false">'Daily Schedule'!D18</f>
        <v>Tier 1</v>
      </c>
      <c r="E17" s="20" t="str">
        <f aca="false">'Daily Schedule'!G18</f>
        <v>Kimberly Morrison</v>
      </c>
      <c r="F17" s="19" t="str">
        <f aca="false">'Daily Schedule'!H18</f>
        <v>3:45 AM</v>
      </c>
      <c r="G17" s="19" t="str">
        <f aca="false">'Daily Schedule'!N18</f>
        <v>8:00 AM</v>
      </c>
      <c r="H17" s="20" t="str">
        <f aca="false">IF('Daily Schedule'!P18="","",IF(LEFT('Daily Schedule'!P18,4)="EMP-",IFERROR(INDEX('Daily Workforce'!$C$6:$C$205,MATCH('Daily Schedule'!P18,'Daily Workforce'!$B$6:$B$205,0)),IFERROR(INDEX('Employee Master'!$B$2:$B$159,MATCH('Daily Schedule'!P18,'Employee Master'!$A$2:$A$159,0)),'Daily Schedule'!P18)),'Daily Schedule'!P18))</f>
        <v>Larry Fuller</v>
      </c>
      <c r="I17" s="9" t="str">
        <f aca="false">IF('Daily Schedule'!O18="","",IFERROR(INDEX('Daily Schedule'!$C$6:$C$57,MATCH('Daily Schedule'!O18,'Daily Schedule'!$A$6:$A$57,0)),IFERROR(INDEX('Position Library'!$C$2:$C$53,MATCH('Daily Schedule'!O18,'Position Library'!$A$2:$A$53,0)),'Daily Schedule'!O18)))</f>
        <v>Checkpoint – Front Entrance</v>
      </c>
      <c r="J17" s="21" t="str">
        <f aca="false">IF('Daily Schedule'!P18="","",IFERROR(INDEX('Daily Schedule'!$N$6:$N$57,MATCH(IF(LEFT('Daily Schedule'!P18,4)="EMP-",IFERROR(INDEX('Daily Workforce'!$C$6:$C$205,MATCH('Daily Schedule'!P18,'Daily Workforce'!$B$6:$B$205,0)),'Daily Schedule'!P18),'Daily Schedule'!P18),'Daily Schedule'!$G$6:$G$57,0)),IFERROR(INDEX('Daily Schedule'!$N$6:$N$57,MATCH('Daily Schedule'!P18,'Daily Schedule'!$F$6:$F$57,0)),"")))</f>
        <v>9:00 AM</v>
      </c>
      <c r="K17" s="19" t="str">
        <f aca="false">'Daily Schedule'!Q18</f>
        <v>COVERED</v>
      </c>
      <c r="L17" s="22" t="str">
        <f aca="false">IF('Daily Schedule'!G18="","UNFILLED",IF(AND('Daily Schedule'!N18&lt;&gt;"",J17&lt;&gt;"",'Daily Schedule'!N18=J17),"SAME LUNCH",IF(AND('Daily Schedule'!D18="Tier 1",OR('Daily Schedule'!P18="",'Daily Schedule'!Q18="RELIEF GAP")),"NO RELIEF",IF('Daily Schedule'!Q18="COVERED","OK",IF('Daily Schedule'!Q18="","CHECK",'Daily Schedule'!Q18)))))</f>
        <v>OK</v>
      </c>
    </row>
    <row r="18" customFormat="false" ht="15" hidden="false" customHeight="true" outlineLevel="0" collapsed="false">
      <c r="A18" s="18" t="n">
        <f aca="false">'Daily Schedule'!A19</f>
        <v>16</v>
      </c>
      <c r="B18" s="9" t="str">
        <f aca="false">'Daily Schedule'!B19</f>
        <v>South Security Checkpoint</v>
      </c>
      <c r="C18" s="9" t="str">
        <f aca="false">'Daily Schedule'!C19</f>
        <v>Checkpoint – Front Entrance</v>
      </c>
      <c r="D18" s="19" t="str">
        <f aca="false">'Daily Schedule'!D19</f>
        <v>Tier 1</v>
      </c>
      <c r="E18" s="20" t="str">
        <f aca="false">'Daily Schedule'!G19</f>
        <v>Larry Fuller</v>
      </c>
      <c r="F18" s="19" t="str">
        <f aca="false">'Daily Schedule'!H19</f>
        <v>3:45 AM</v>
      </c>
      <c r="G18" s="19" t="str">
        <f aca="false">'Daily Schedule'!N19</f>
        <v>9:00 AM</v>
      </c>
      <c r="H18" s="20" t="str">
        <f aca="false">IF('Daily Schedule'!P19="","",IF(LEFT('Daily Schedule'!P19,4)="EMP-",IFERROR(INDEX('Daily Workforce'!$C$6:$C$205,MATCH('Daily Schedule'!P19,'Daily Workforce'!$B$6:$B$205,0)),IFERROR(INDEX('Employee Master'!$B$2:$B$159,MATCH('Daily Schedule'!P19,'Employee Master'!$A$2:$A$159,0)),'Daily Schedule'!P19)),'Daily Schedule'!P19))</f>
        <v>Birhanu Hailu</v>
      </c>
      <c r="I18" s="9" t="str">
        <f aca="false">IF('Daily Schedule'!O19="","",IFERROR(INDEX('Daily Schedule'!$C$6:$C$57,MATCH('Daily Schedule'!O19,'Daily Schedule'!$A$6:$A$57,0)),IFERROR(INDEX('Position Library'!$C$2:$C$53,MATCH('Daily Schedule'!O19,'Position Library'!$A$2:$A$53,0)),'Daily Schedule'!O19)))</f>
        <v>Checkpoint – Front Entrance</v>
      </c>
      <c r="J18" s="21" t="str">
        <f aca="false">IF('Daily Schedule'!P19="","",IFERROR(INDEX('Daily Schedule'!$N$6:$N$57,MATCH(IF(LEFT('Daily Schedule'!P19,4)="EMP-",IFERROR(INDEX('Daily Workforce'!$C$6:$C$205,MATCH('Daily Schedule'!P19,'Daily Workforce'!$B$6:$B$205,0)),'Daily Schedule'!P19),'Daily Schedule'!P19),'Daily Schedule'!$G$6:$G$57,0)),IFERROR(INDEX('Daily Schedule'!$N$6:$N$57,MATCH('Daily Schedule'!P19,'Daily Schedule'!$F$6:$F$57,0)),"")))</f>
        <v>10:00 AM</v>
      </c>
      <c r="K18" s="19" t="str">
        <f aca="false">'Daily Schedule'!Q19</f>
        <v>COVERED</v>
      </c>
      <c r="L18" s="22" t="str">
        <f aca="false">IF('Daily Schedule'!G19="","UNFILLED",IF(AND('Daily Schedule'!N19&lt;&gt;"",J18&lt;&gt;"",'Daily Schedule'!N19=J18),"SAME LUNCH",IF(AND('Daily Schedule'!D19="Tier 1",OR('Daily Schedule'!P19="",'Daily Schedule'!Q19="RELIEF GAP")),"NO RELIEF",IF('Daily Schedule'!Q19="COVERED","OK",IF('Daily Schedule'!Q19="","CHECK",'Daily Schedule'!Q19)))))</f>
        <v>OK</v>
      </c>
    </row>
    <row r="19" customFormat="false" ht="15" hidden="false" customHeight="true" outlineLevel="0" collapsed="false">
      <c r="A19" s="18" t="n">
        <f aca="false">'Daily Schedule'!A20</f>
        <v>19</v>
      </c>
      <c r="B19" s="9" t="str">
        <f aca="false">'Daily Schedule'!B20</f>
        <v>South Security Checkpoint</v>
      </c>
      <c r="C19" s="9" t="str">
        <f aca="false">'Daily Schedule'!C20</f>
        <v>South Restroom </v>
      </c>
      <c r="D19" s="19" t="str">
        <f aca="false">'Daily Schedule'!D20</f>
        <v>Tier 1</v>
      </c>
      <c r="E19" s="20" t="str">
        <f aca="false">'Daily Schedule'!G20</f>
        <v>Linda Rachel</v>
      </c>
      <c r="F19" s="19" t="str">
        <f aca="false">'Daily Schedule'!H20</f>
        <v>3:45 AM</v>
      </c>
      <c r="G19" s="19" t="str">
        <f aca="false">'Daily Schedule'!N20</f>
        <v>8:00 AM</v>
      </c>
      <c r="H19" s="20" t="str">
        <f aca="false">IF('Daily Schedule'!P20="","",IF(LEFT('Daily Schedule'!P20,4)="EMP-",IFERROR(INDEX('Daily Workforce'!$C$6:$C$205,MATCH('Daily Schedule'!P20,'Daily Workforce'!$B$6:$B$205,0)),IFERROR(INDEX('Employee Master'!$B$2:$B$159,MATCH('Daily Schedule'!P20,'Employee Master'!$A$2:$A$159,0)),'Daily Schedule'!P20)),'Daily Schedule'!P20))</f>
        <v>Habtewold Daba</v>
      </c>
      <c r="I19" s="9" t="str">
        <f aca="false">IF('Daily Schedule'!O20="","",IFERROR(INDEX('Daily Schedule'!$C$6:$C$57,MATCH('Daily Schedule'!O20,'Daily Schedule'!$A$6:$A$57,0)),IFERROR(INDEX('Position Library'!$C$2:$C$53,MATCH('Daily Schedule'!O20,'Position Library'!$A$2:$A$53,0)),'Daily Schedule'!O20)))</f>
        <v>IHOP </v>
      </c>
      <c r="J19" s="21" t="str">
        <f aca="false">IF('Daily Schedule'!P20="","",IFERROR(INDEX('Daily Schedule'!$N$6:$N$57,MATCH(IF(LEFT('Daily Schedule'!P20,4)="EMP-",IFERROR(INDEX('Daily Workforce'!$C$6:$C$205,MATCH('Daily Schedule'!P20,'Daily Workforce'!$B$6:$B$205,0)),'Daily Schedule'!P20),'Daily Schedule'!P20),'Daily Schedule'!$G$6:$G$57,0)),IFERROR(INDEX('Daily Schedule'!$N$6:$N$57,MATCH('Daily Schedule'!P20,'Daily Schedule'!$F$6:$F$57,0)),"")))</f>
        <v>10:00 AM</v>
      </c>
      <c r="K19" s="19" t="str">
        <f aca="false">'Daily Schedule'!Q20</f>
        <v>COVERED</v>
      </c>
      <c r="L19" s="22" t="str">
        <f aca="false">IF('Daily Schedule'!G20="","UNFILLED",IF(AND('Daily Schedule'!N20&lt;&gt;"",J19&lt;&gt;"",'Daily Schedule'!N20=J19),"SAME LUNCH",IF(AND('Daily Schedule'!D20="Tier 1",OR('Daily Schedule'!P20="",'Daily Schedule'!Q20="RELIEF GAP")),"NO RELIEF",IF('Daily Schedule'!Q20="COVERED","OK",IF('Daily Schedule'!Q20="","CHECK",'Daily Schedule'!Q20)))))</f>
        <v>OK</v>
      </c>
    </row>
    <row r="20" customFormat="false" ht="15" hidden="false" customHeight="true" outlineLevel="0" collapsed="false">
      <c r="A20" s="18" t="n">
        <f aca="false">'Daily Schedule'!A21</f>
        <v>24</v>
      </c>
      <c r="B20" s="9" t="str">
        <f aca="false">'Daily Schedule'!B21</f>
        <v>North Security Checkpoint</v>
      </c>
      <c r="C20" s="9" t="str">
        <f aca="false">'Daily Schedule'!C21</f>
        <v>Checkpoint – Inside </v>
      </c>
      <c r="D20" s="19" t="str">
        <f aca="false">'Daily Schedule'!D21</f>
        <v>Tier 1</v>
      </c>
      <c r="E20" s="20" t="str">
        <f aca="false">'Daily Schedule'!G21</f>
        <v>Maryse Camille</v>
      </c>
      <c r="F20" s="19" t="str">
        <f aca="false">'Daily Schedule'!H21</f>
        <v>3:45 AM</v>
      </c>
      <c r="G20" s="19" t="str">
        <f aca="false">'Daily Schedule'!N21</f>
        <v>8:00 AM</v>
      </c>
      <c r="H20" s="20" t="str">
        <f aca="false">IF('Daily Schedule'!P21="","",IF(LEFT('Daily Schedule'!P21,4)="EMP-",IFERROR(INDEX('Daily Workforce'!$C$6:$C$205,MATCH('Daily Schedule'!P21,'Daily Workforce'!$B$6:$B$205,0)),IFERROR(INDEX('Employee Master'!$B$2:$B$159,MATCH('Daily Schedule'!P21,'Employee Master'!$A$2:$A$159,0)),'Daily Schedule'!P21)),'Daily Schedule'!P21))</f>
        <v>Chrystal Harvey</v>
      </c>
      <c r="I20" s="9" t="str">
        <f aca="false">IF('Daily Schedule'!O21="","",IFERROR(INDEX('Daily Schedule'!$C$6:$C$57,MATCH('Daily Schedule'!O21,'Daily Schedule'!$A$6:$A$57,0)),IFERROR(INDEX('Position Library'!$C$2:$C$53,MATCH('Daily Schedule'!O21,'Position Library'!$A$2:$A$53,0)),'Daily Schedule'!O21)))</f>
        <v>First class </v>
      </c>
      <c r="J20" s="21" t="str">
        <f aca="false">IF('Daily Schedule'!P21="","",IFERROR(INDEX('Daily Schedule'!$N$6:$N$57,MATCH(IF(LEFT('Daily Schedule'!P21,4)="EMP-",IFERROR(INDEX('Daily Workforce'!$C$6:$C$205,MATCH('Daily Schedule'!P21,'Daily Workforce'!$B$6:$B$205,0)),'Daily Schedule'!P21),'Daily Schedule'!P21),'Daily Schedule'!$G$6:$G$57,0)),IFERROR(INDEX('Daily Schedule'!$N$6:$N$57,MATCH('Daily Schedule'!P21,'Daily Schedule'!$F$6:$F$57,0)),"")))</f>
        <v>9:00 AM</v>
      </c>
      <c r="K20" s="19" t="str">
        <f aca="false">'Daily Schedule'!Q21</f>
        <v>COVERED</v>
      </c>
      <c r="L20" s="22" t="str">
        <f aca="false">IF('Daily Schedule'!G21="","UNFILLED",IF(AND('Daily Schedule'!N21&lt;&gt;"",J20&lt;&gt;"",'Daily Schedule'!N21=J20),"SAME LUNCH",IF(AND('Daily Schedule'!D21="Tier 1",OR('Daily Schedule'!P21="",'Daily Schedule'!Q21="RELIEF GAP")),"NO RELIEF",IF('Daily Schedule'!Q21="COVERED","OK",IF('Daily Schedule'!Q21="","CHECK",'Daily Schedule'!Q21)))))</f>
        <v>OK</v>
      </c>
    </row>
    <row r="21" customFormat="false" ht="15" hidden="false" customHeight="true" outlineLevel="0" collapsed="false">
      <c r="A21" s="18" t="n">
        <f aca="false">'Daily Schedule'!A22</f>
        <v>25</v>
      </c>
      <c r="B21" s="9" t="str">
        <f aca="false">'Daily Schedule'!B22</f>
        <v>North Security Checkpoint</v>
      </c>
      <c r="C21" s="9" t="str">
        <f aca="false">'Daily Schedule'!C22</f>
        <v>North Corridor </v>
      </c>
      <c r="D21" s="19" t="str">
        <f aca="false">'Daily Schedule'!D22</f>
        <v>Tier 1</v>
      </c>
      <c r="E21" s="20" t="str">
        <f aca="false">'Daily Schedule'!G22</f>
        <v>Moneshia Echols</v>
      </c>
      <c r="F21" s="19" t="str">
        <f aca="false">'Daily Schedule'!H22</f>
        <v>3:45 AM</v>
      </c>
      <c r="G21" s="19" t="str">
        <f aca="false">'Daily Schedule'!N22</f>
        <v>9:00 AM</v>
      </c>
      <c r="H21" s="20" t="str">
        <f aca="false">IF('Daily Schedule'!P22="","",IF(LEFT('Daily Schedule'!P22,4)="EMP-",IFERROR(INDEX('Daily Workforce'!$C$6:$C$205,MATCH('Daily Schedule'!P22,'Daily Workforce'!$B$6:$B$205,0)),IFERROR(INDEX('Employee Master'!$B$2:$B$159,MATCH('Daily Schedule'!P22,'Employee Master'!$A$2:$A$159,0)),'Daily Schedule'!P22)),'Daily Schedule'!P22))</f>
        <v>Jacquatta Green</v>
      </c>
      <c r="I21" s="9" t="str">
        <f aca="false">IF('Daily Schedule'!O22="","",IFERROR(INDEX('Daily Schedule'!$C$6:$C$57,MATCH('Daily Schedule'!O22,'Daily Schedule'!$A$6:$A$57,0)),IFERROR(INDEX('Position Library'!$C$2:$C$53,MATCH('Daily Schedule'!O22,'Position Library'!$A$2:$A$53,0)),'Daily Schedule'!O22)))</f>
        <v>North Corridor</v>
      </c>
      <c r="J21" s="21" t="str">
        <f aca="false">IF('Daily Schedule'!P22="","",IFERROR(INDEX('Daily Schedule'!$N$6:$N$57,MATCH(IF(LEFT('Daily Schedule'!P22,4)="EMP-",IFERROR(INDEX('Daily Workforce'!$C$6:$C$205,MATCH('Daily Schedule'!P22,'Daily Workforce'!$B$6:$B$205,0)),'Daily Schedule'!P22),'Daily Schedule'!P22),'Daily Schedule'!$G$6:$G$57,0)),IFERROR(INDEX('Daily Schedule'!$N$6:$N$57,MATCH('Daily Schedule'!P22,'Daily Schedule'!$F$6:$F$57,0)),"")))</f>
        <v>10:00 AM</v>
      </c>
      <c r="K21" s="19" t="str">
        <f aca="false">'Daily Schedule'!Q22</f>
        <v>COVERED</v>
      </c>
      <c r="L21" s="22" t="str">
        <f aca="false">IF('Daily Schedule'!G22="","UNFILLED",IF(AND('Daily Schedule'!N22&lt;&gt;"",J21&lt;&gt;"",'Daily Schedule'!N22=J21),"SAME LUNCH",IF(AND('Daily Schedule'!D22="Tier 1",OR('Daily Schedule'!P22="",'Daily Schedule'!Q22="RELIEF GAP")),"NO RELIEF",IF('Daily Schedule'!Q22="COVERED","OK",IF('Daily Schedule'!Q22="","CHECK",'Daily Schedule'!Q22)))))</f>
        <v>OK</v>
      </c>
    </row>
    <row r="22" customFormat="false" ht="15" hidden="false" customHeight="true" outlineLevel="0" collapsed="false">
      <c r="A22" s="18" t="n">
        <f aca="false">'Daily Schedule'!A23</f>
        <v>26</v>
      </c>
      <c r="B22" s="9" t="str">
        <f aca="false">'Daily Schedule'!B23</f>
        <v>North Security Checkpoint</v>
      </c>
      <c r="C22" s="9" t="str">
        <f aca="false">'Daily Schedule'!C23</f>
        <v>North Restroom </v>
      </c>
      <c r="D22" s="19" t="str">
        <f aca="false">'Daily Schedule'!D23</f>
        <v>Tier 1</v>
      </c>
      <c r="E22" s="20" t="str">
        <f aca="false">'Daily Schedule'!G23</f>
        <v>Natasha Carbon</v>
      </c>
      <c r="F22" s="19" t="str">
        <f aca="false">'Daily Schedule'!H23</f>
        <v>3:45 AM</v>
      </c>
      <c r="G22" s="19" t="str">
        <f aca="false">'Daily Schedule'!N23</f>
        <v>8:00 AM</v>
      </c>
      <c r="H22" s="20" t="str">
        <f aca="false">IF('Daily Schedule'!P23="","",IF(LEFT('Daily Schedule'!P23,4)="EMP-",IFERROR(INDEX('Daily Workforce'!$C$6:$C$205,MATCH('Daily Schedule'!P23,'Daily Workforce'!$B$6:$B$205,0)),IFERROR(INDEX('Employee Master'!$B$2:$B$159,MATCH('Daily Schedule'!P23,'Employee Master'!$A$2:$A$159,0)),'Daily Schedule'!P23)),'Daily Schedule'!P23))</f>
        <v>Isaiah Williams</v>
      </c>
      <c r="I22" s="9" t="str">
        <f aca="false">IF('Daily Schedule'!O23="","",IFERROR(INDEX('Daily Schedule'!$C$6:$C$57,MATCH('Daily Schedule'!O23,'Daily Schedule'!$A$6:$A$57,0)),IFERROR(INDEX('Position Library'!$C$2:$C$53,MATCH('Daily Schedule'!O23,'Position Library'!$A$2:$A$53,0)),'Daily Schedule'!O23)))</f>
        <v>We Juice It </v>
      </c>
      <c r="J22" s="21" t="str">
        <f aca="false">IF('Daily Schedule'!P23="","",IFERROR(INDEX('Daily Schedule'!$N$6:$N$57,MATCH(IF(LEFT('Daily Schedule'!P23,4)="EMP-",IFERROR(INDEX('Daily Workforce'!$C$6:$C$205,MATCH('Daily Schedule'!P23,'Daily Workforce'!$B$6:$B$205,0)),'Daily Schedule'!P23),'Daily Schedule'!P23),'Daily Schedule'!$G$6:$G$57,0)),IFERROR(INDEX('Daily Schedule'!$N$6:$N$57,MATCH('Daily Schedule'!P23,'Daily Schedule'!$F$6:$F$57,0)),"")))</f>
        <v>9:00 AM</v>
      </c>
      <c r="K22" s="19" t="str">
        <f aca="false">'Daily Schedule'!Q23</f>
        <v>COVERED</v>
      </c>
      <c r="L22" s="22" t="str">
        <f aca="false">IF('Daily Schedule'!G23="","UNFILLED",IF(AND('Daily Schedule'!N23&lt;&gt;"",J22&lt;&gt;"",'Daily Schedule'!N23=J22),"SAME LUNCH",IF(AND('Daily Schedule'!D23="Tier 1",OR('Daily Schedule'!P23="",'Daily Schedule'!Q23="RELIEF GAP")),"NO RELIEF",IF('Daily Schedule'!Q23="COVERED","OK",IF('Daily Schedule'!Q23="","CHECK",'Daily Schedule'!Q23)))))</f>
        <v>OK</v>
      </c>
    </row>
    <row r="23" customFormat="false" ht="15" hidden="false" customHeight="true" outlineLevel="0" collapsed="false">
      <c r="A23" s="18" t="n">
        <f aca="false">'Daily Schedule'!A24</f>
        <v>32</v>
      </c>
      <c r="B23" s="9" t="str">
        <f aca="false">'Daily Schedule'!B24</f>
        <v>Lower North Security Checkpoint</v>
      </c>
      <c r="C23" s="9" t="str">
        <f aca="false">'Daily Schedule'!C24</f>
        <v>Checkpoint – Inside </v>
      </c>
      <c r="D23" s="19" t="str">
        <f aca="false">'Daily Schedule'!D24</f>
        <v>Tier 1</v>
      </c>
      <c r="E23" s="20" t="str">
        <f aca="false">'Daily Schedule'!G24</f>
        <v>Phenica Peterson</v>
      </c>
      <c r="F23" s="19" t="str">
        <f aca="false">'Daily Schedule'!H24</f>
        <v>3:45 AM</v>
      </c>
      <c r="G23" s="19" t="str">
        <f aca="false">'Daily Schedule'!N24</f>
        <v>8:00 AM</v>
      </c>
      <c r="H23" s="20" t="str">
        <f aca="false">IF('Daily Schedule'!P24="","",IF(LEFT('Daily Schedule'!P24,4)="EMP-",IFERROR(INDEX('Daily Workforce'!$C$6:$C$205,MATCH('Daily Schedule'!P24,'Daily Workforce'!$B$6:$B$205,0)),IFERROR(INDEX('Employee Master'!$B$2:$B$159,MATCH('Daily Schedule'!P24,'Employee Master'!$A$2:$A$159,0)),'Daily Schedule'!P24)),'Daily Schedule'!P24))</f>
        <v>Cicely Thicklin</v>
      </c>
      <c r="I23" s="9" t="str">
        <f aca="false">IF('Daily Schedule'!O24="","",IFERROR(INDEX('Daily Schedule'!$C$6:$C$57,MATCH('Daily Schedule'!O24,'Daily Schedule'!$A$6:$A$57,0)),IFERROR(INDEX('Position Library'!$C$2:$C$53,MATCH('Daily Schedule'!O24,'Position Library'!$A$2:$A$53,0)),'Daily Schedule'!O24)))</f>
        <v>LN2 Elevator </v>
      </c>
      <c r="J23" s="21" t="str">
        <f aca="false">IF('Daily Schedule'!P24="","",IFERROR(INDEX('Daily Schedule'!$N$6:$N$57,MATCH(IF(LEFT('Daily Schedule'!P24,4)="EMP-",IFERROR(INDEX('Daily Workforce'!$C$6:$C$205,MATCH('Daily Schedule'!P24,'Daily Workforce'!$B$6:$B$205,0)),'Daily Schedule'!P24),'Daily Schedule'!P24),'Daily Schedule'!$G$6:$G$57,0)),IFERROR(INDEX('Daily Schedule'!$N$6:$N$57,MATCH('Daily Schedule'!P24,'Daily Schedule'!$F$6:$F$57,0)),"")))</f>
        <v>10:00 AM</v>
      </c>
      <c r="K23" s="19" t="str">
        <f aca="false">'Daily Schedule'!Q24</f>
        <v>COVERED</v>
      </c>
      <c r="L23" s="22" t="str">
        <f aca="false">IF('Daily Schedule'!G24="","UNFILLED",IF(AND('Daily Schedule'!N24&lt;&gt;"",J23&lt;&gt;"",'Daily Schedule'!N24=J23),"SAME LUNCH",IF(AND('Daily Schedule'!D24="Tier 1",OR('Daily Schedule'!P24="",'Daily Schedule'!Q24="RELIEF GAP")),"NO RELIEF",IF('Daily Schedule'!Q24="COVERED","OK",IF('Daily Schedule'!Q24="","CHECK",'Daily Schedule'!Q24)))))</f>
        <v>OK</v>
      </c>
    </row>
    <row r="24" customFormat="false" ht="15" hidden="false" customHeight="true" outlineLevel="0" collapsed="false">
      <c r="A24" s="18" t="n">
        <f aca="false">'Daily Schedule'!A25</f>
        <v>33</v>
      </c>
      <c r="B24" s="9" t="str">
        <f aca="false">'Daily Schedule'!B25</f>
        <v>Lower North Security Checkpoint</v>
      </c>
      <c r="C24" s="9" t="str">
        <f aca="false">'Daily Schedule'!C25</f>
        <v>N5 Door</v>
      </c>
      <c r="D24" s="19" t="str">
        <f aca="false">'Daily Schedule'!D25</f>
        <v>Tier 1</v>
      </c>
      <c r="E24" s="20" t="str">
        <f aca="false">'Daily Schedule'!G25</f>
        <v>Tanya Organ</v>
      </c>
      <c r="F24" s="19" t="str">
        <f aca="false">'Daily Schedule'!H25</f>
        <v>3:45 AM</v>
      </c>
      <c r="G24" s="19" t="str">
        <f aca="false">'Daily Schedule'!N25</f>
        <v>9:00 AM</v>
      </c>
      <c r="H24" s="20" t="str">
        <f aca="false">IF('Daily Schedule'!P25="","",IF(LEFT('Daily Schedule'!P25,4)="EMP-",IFERROR(INDEX('Daily Workforce'!$C$6:$C$205,MATCH('Daily Schedule'!P25,'Daily Workforce'!$B$6:$B$205,0)),IFERROR(INDEX('Employee Master'!$B$2:$B$159,MATCH('Daily Schedule'!P25,'Employee Master'!$A$2:$A$159,0)),'Daily Schedule'!P25)),'Daily Schedule'!P25))</f>
        <v>Cicely Thicklin</v>
      </c>
      <c r="I24" s="9" t="str">
        <f aca="false">IF('Daily Schedule'!O25="","",IFERROR(INDEX('Daily Schedule'!$C$6:$C$57,MATCH('Daily Schedule'!O25,'Daily Schedule'!$A$6:$A$57,0)),IFERROR(INDEX('Position Library'!$C$2:$C$53,MATCH('Daily Schedule'!O25,'Position Library'!$A$2:$A$53,0)),'Daily Schedule'!O25)))</f>
        <v>LN2 Elevator </v>
      </c>
      <c r="J24" s="21" t="str">
        <f aca="false">IF('Daily Schedule'!P25="","",IFERROR(INDEX('Daily Schedule'!$N$6:$N$57,MATCH(IF(LEFT('Daily Schedule'!P25,4)="EMP-",IFERROR(INDEX('Daily Workforce'!$C$6:$C$205,MATCH('Daily Schedule'!P25,'Daily Workforce'!$B$6:$B$205,0)),'Daily Schedule'!P25),'Daily Schedule'!P25),'Daily Schedule'!$G$6:$G$57,0)),IFERROR(INDEX('Daily Schedule'!$N$6:$N$57,MATCH('Daily Schedule'!P25,'Daily Schedule'!$F$6:$F$57,0)),"")))</f>
        <v>10:00 AM</v>
      </c>
      <c r="K24" s="19" t="str">
        <f aca="false">'Daily Schedule'!Q25</f>
        <v>COVERED</v>
      </c>
      <c r="L24" s="22" t="str">
        <f aca="false">IF('Daily Schedule'!G25="","UNFILLED",IF(AND('Daily Schedule'!N25&lt;&gt;"",J24&lt;&gt;"",'Daily Schedule'!N25=J24),"SAME LUNCH",IF(AND('Daily Schedule'!D25="Tier 1",OR('Daily Schedule'!P25="",'Daily Schedule'!Q25="RELIEF GAP")),"NO RELIEF",IF('Daily Schedule'!Q25="COVERED","OK",IF('Daily Schedule'!Q25="","CHECK",'Daily Schedule'!Q25)))))</f>
        <v>OK</v>
      </c>
    </row>
    <row r="25" customFormat="false" ht="15" hidden="false" customHeight="true" outlineLevel="0" collapsed="false">
      <c r="A25" s="18" t="n">
        <f aca="false">'Daily Schedule'!A26</f>
        <v>35</v>
      </c>
      <c r="B25" s="9" t="str">
        <f aca="false">'Daily Schedule'!B26</f>
        <v>AGT Level</v>
      </c>
      <c r="C25" s="9" t="str">
        <f aca="false">'Daily Schedule'!C26</f>
        <v>T Platform Train Door 1</v>
      </c>
      <c r="D25" s="19" t="str">
        <f aca="false">'Daily Schedule'!D26</f>
        <v>Tier 1</v>
      </c>
      <c r="E25" s="20" t="str">
        <f aca="false">'Daily Schedule'!G26</f>
        <v>Teaera Freeman</v>
      </c>
      <c r="F25" s="19" t="str">
        <f aca="false">'Daily Schedule'!H26</f>
        <v>3:45 AM</v>
      </c>
      <c r="G25" s="19" t="str">
        <f aca="false">'Daily Schedule'!N26</f>
        <v>8:00 AM</v>
      </c>
      <c r="H25" s="20" t="str">
        <f aca="false">IF('Daily Schedule'!P26="","",IF(LEFT('Daily Schedule'!P26,4)="EMP-",IFERROR(INDEX('Daily Workforce'!$C$6:$C$205,MATCH('Daily Schedule'!P26,'Daily Workforce'!$B$6:$B$205,0)),IFERROR(INDEX('Employee Master'!$B$2:$B$159,MATCH('Daily Schedule'!P26,'Employee Master'!$A$2:$A$159,0)),'Daily Schedule'!P26)),'Daily Schedule'!P26))</f>
        <v>Dequavius Parker</v>
      </c>
      <c r="I25" s="9" t="str">
        <f aca="false">IF('Daily Schedule'!O26="","",IFERROR(INDEX('Daily Schedule'!$C$6:$C$57,MATCH('Daily Schedule'!O26,'Daily Schedule'!$A$6:$A$57,0)),IFERROR(INDEX('Position Library'!$C$2:$C$53,MATCH('Daily Schedule'!O26,'Position Library'!$A$2:$A$53,0)),'Daily Schedule'!O26)))</f>
        <v>T Platform Train Door 2</v>
      </c>
      <c r="J25" s="21" t="str">
        <f aca="false">IF('Daily Schedule'!P26="","",IFERROR(INDEX('Daily Schedule'!$N$6:$N$57,MATCH(IF(LEFT('Daily Schedule'!P26,4)="EMP-",IFERROR(INDEX('Daily Workforce'!$C$6:$C$205,MATCH('Daily Schedule'!P26,'Daily Workforce'!$B$6:$B$205,0)),'Daily Schedule'!P26),'Daily Schedule'!P26),'Daily Schedule'!$G$6:$G$57,0)),IFERROR(INDEX('Daily Schedule'!$N$6:$N$57,MATCH('Daily Schedule'!P26,'Daily Schedule'!$F$6:$F$57,0)),"")))</f>
        <v>10:00 AM</v>
      </c>
      <c r="K25" s="19" t="str">
        <f aca="false">'Daily Schedule'!Q26</f>
        <v>COVERED</v>
      </c>
      <c r="L25" s="22" t="str">
        <f aca="false">IF('Daily Schedule'!G26="","UNFILLED",IF(AND('Daily Schedule'!N26&lt;&gt;"",J25&lt;&gt;"",'Daily Schedule'!N26=J25),"SAME LUNCH",IF(AND('Daily Schedule'!D26="Tier 1",OR('Daily Schedule'!P26="",'Daily Schedule'!Q26="RELIEF GAP")),"NO RELIEF",IF('Daily Schedule'!Q26="COVERED","OK",IF('Daily Schedule'!Q26="","CHECK",'Daily Schedule'!Q26)))))</f>
        <v>OK</v>
      </c>
    </row>
    <row r="26" customFormat="false" ht="15" hidden="false" customHeight="true" outlineLevel="0" collapsed="false">
      <c r="A26" s="18" t="n">
        <f aca="false">'Daily Schedule'!A27</f>
        <v>38</v>
      </c>
      <c r="B26" s="9" t="str">
        <f aca="false">'Daily Schedule'!B27</f>
        <v>AGT Level</v>
      </c>
      <c r="C26" s="9" t="str">
        <f aca="false">'Daily Schedule'!C27</f>
        <v>Domestic Baggage Claim</v>
      </c>
      <c r="D26" s="19" t="str">
        <f aca="false">'Daily Schedule'!D27</f>
        <v>Tier 1</v>
      </c>
      <c r="E26" s="20" t="str">
        <f aca="false">'Daily Schedule'!G27</f>
        <v>Tiffany Felton</v>
      </c>
      <c r="F26" s="19" t="str">
        <f aca="false">'Daily Schedule'!H27</f>
        <v>3:45 AM</v>
      </c>
      <c r="G26" s="19" t="str">
        <f aca="false">'Daily Schedule'!N27</f>
        <v>8:00 AM</v>
      </c>
      <c r="H26" s="20" t="str">
        <f aca="false">IF('Daily Schedule'!P27="","",IF(LEFT('Daily Schedule'!P27,4)="EMP-",IFERROR(INDEX('Daily Workforce'!$C$6:$C$205,MATCH('Daily Schedule'!P27,'Daily Workforce'!$B$6:$B$205,0)),IFERROR(INDEX('Employee Master'!$B$2:$B$159,MATCH('Daily Schedule'!P27,'Employee Master'!$A$2:$A$159,0)),'Daily Schedule'!P27)),'Daily Schedule'!P27))</f>
        <v>Dequavius Parker</v>
      </c>
      <c r="I26" s="9" t="str">
        <f aca="false">IF('Daily Schedule'!O27="","",IFERROR(INDEX('Daily Schedule'!$C$6:$C$57,MATCH('Daily Schedule'!O27,'Daily Schedule'!$A$6:$A$57,0)),IFERROR(INDEX('Position Library'!$C$2:$C$53,MATCH('Daily Schedule'!O27,'Position Library'!$A$2:$A$53,0)),'Daily Schedule'!O27)))</f>
        <v>T Platform Train Door 2</v>
      </c>
      <c r="J26" s="21" t="str">
        <f aca="false">IF('Daily Schedule'!P27="","",IFERROR(INDEX('Daily Schedule'!$N$6:$N$57,MATCH(IF(LEFT('Daily Schedule'!P27,4)="EMP-",IFERROR(INDEX('Daily Workforce'!$C$6:$C$205,MATCH('Daily Schedule'!P27,'Daily Workforce'!$B$6:$B$205,0)),'Daily Schedule'!P27),'Daily Schedule'!P27),'Daily Schedule'!$G$6:$G$57,0)),IFERROR(INDEX('Daily Schedule'!$N$6:$N$57,MATCH('Daily Schedule'!P27,'Daily Schedule'!$F$6:$F$57,0)),"")))</f>
        <v>10:00 AM</v>
      </c>
      <c r="K26" s="19" t="str">
        <f aca="false">'Daily Schedule'!Q27</f>
        <v>COVERED</v>
      </c>
      <c r="L26" s="22" t="str">
        <f aca="false">IF('Daily Schedule'!G27="","UNFILLED",IF(AND('Daily Schedule'!N27&lt;&gt;"",J26&lt;&gt;"",'Daily Schedule'!N27=J26),"SAME LUNCH",IF(AND('Daily Schedule'!D27="Tier 1",OR('Daily Schedule'!P27="",'Daily Schedule'!Q27="RELIEF GAP")),"NO RELIEF",IF('Daily Schedule'!Q27="COVERED","OK",IF('Daily Schedule'!Q27="","CHECK",'Daily Schedule'!Q27)))))</f>
        <v>OK</v>
      </c>
    </row>
    <row r="27" customFormat="false" ht="15" hidden="false" customHeight="true" outlineLevel="0" collapsed="false">
      <c r="A27" s="18" t="n">
        <f aca="false">'Daily Schedule'!A28</f>
        <v>39</v>
      </c>
      <c r="B27" s="9" t="str">
        <f aca="false">'Daily Schedule'!B28</f>
        <v>AGT Level</v>
      </c>
      <c r="C27" s="9" t="str">
        <f aca="false">'Daily Schedule'!C28</f>
        <v>T Bridge Landing</v>
      </c>
      <c r="D27" s="19" t="str">
        <f aca="false">'Daily Schedule'!D28</f>
        <v>Tier 1</v>
      </c>
      <c r="E27" s="20" t="str">
        <f aca="false">'Daily Schedule'!G28</f>
        <v>Adeyeye Opaaje</v>
      </c>
      <c r="F27" s="19" t="str">
        <f aca="false">'Daily Schedule'!H28</f>
        <v>5:45 AM</v>
      </c>
      <c r="G27" s="19" t="str">
        <f aca="false">'Daily Schedule'!N28</f>
        <v>10:00 AM</v>
      </c>
      <c r="H27" s="20" t="str">
        <f aca="false">IF('Daily Schedule'!P28="","",IF(LEFT('Daily Schedule'!P28,4)="EMP-",IFERROR(INDEX('Daily Workforce'!$C$6:$C$205,MATCH('Daily Schedule'!P28,'Daily Workforce'!$B$6:$B$205,0)),IFERROR(INDEX('Employee Master'!$B$2:$B$159,MATCH('Daily Schedule'!P28,'Employee Master'!$A$2:$A$159,0)),'Daily Schedule'!P28)),'Daily Schedule'!P28))</f>
        <v/>
      </c>
      <c r="I27" s="9" t="str">
        <f aca="false">IF('Daily Schedule'!O28="","",IFERROR(INDEX('Daily Schedule'!$C$6:$C$57,MATCH('Daily Schedule'!O28,'Daily Schedule'!$A$6:$A$57,0)),IFERROR(INDEX('Position Library'!$C$2:$C$53,MATCH('Daily Schedule'!O28,'Position Library'!$A$2:$A$53,0)),'Daily Schedule'!O28)))</f>
        <v/>
      </c>
      <c r="J27" s="21" t="str">
        <f aca="false">IF('Daily Schedule'!P28="","",IFERROR(INDEX('Daily Schedule'!$N$6:$N$57,MATCH(IF(LEFT('Daily Schedule'!P28,4)="EMP-",IFERROR(INDEX('Daily Workforce'!$C$6:$C$205,MATCH('Daily Schedule'!P28,'Daily Workforce'!$B$6:$B$205,0)),'Daily Schedule'!P28),'Daily Schedule'!P28),'Daily Schedule'!$G$6:$G$57,0)),IFERROR(INDEX('Daily Schedule'!$N$6:$N$57,MATCH('Daily Schedule'!P28,'Daily Schedule'!$F$6:$F$57,0)),"")))</f>
        <v/>
      </c>
      <c r="K27" s="19" t="str">
        <f aca="false">'Daily Schedule'!Q28</f>
        <v>RELIEF GAP</v>
      </c>
      <c r="L27" s="22" t="str">
        <f aca="false">IF('Daily Schedule'!G28="","UNFILLED",IF(AND('Daily Schedule'!N28&lt;&gt;"",J27&lt;&gt;"",'Daily Schedule'!N28=J27),"SAME LUNCH",IF(AND('Daily Schedule'!D28="Tier 1",OR('Daily Schedule'!P28="",'Daily Schedule'!Q28="RELIEF GAP")),"NO RELIEF",IF('Daily Schedule'!Q28="COVERED","OK",IF('Daily Schedule'!Q28="","CHECK",'Daily Schedule'!Q28)))))</f>
        <v>NO RELIEF</v>
      </c>
    </row>
    <row r="28" customFormat="false" ht="23.25" hidden="false" customHeight="true" outlineLevel="0" collapsed="false">
      <c r="A28" s="18" t="n">
        <f aca="false">'Daily Schedule'!A29</f>
        <v>45</v>
      </c>
      <c r="B28" s="9" t="str">
        <f aca="false">'Daily Schedule'!B29</f>
        <v>Information Desk</v>
      </c>
      <c r="C28" s="9" t="str">
        <f aca="false">'Daily Schedule'!C29</f>
        <v>Information Desk Personnel</v>
      </c>
      <c r="D28" s="19" t="str">
        <f aca="false">'Daily Schedule'!D29</f>
        <v>Tier 1</v>
      </c>
      <c r="E28" s="20" t="str">
        <f aca="false">'Daily Schedule'!G29</f>
        <v/>
      </c>
      <c r="F28" s="19" t="str">
        <f aca="false">'Daily Schedule'!H29</f>
        <v/>
      </c>
      <c r="G28" s="19" t="str">
        <f aca="false">'Daily Schedule'!N29</f>
        <v/>
      </c>
      <c r="H28" s="20" t="str">
        <f aca="false">IF('Daily Schedule'!P29="","",IF(LEFT('Daily Schedule'!P29,4)="EMP-",IFERROR(INDEX('Daily Workforce'!$C$6:$C$205,MATCH('Daily Schedule'!P29,'Daily Workforce'!$B$6:$B$205,0)),IFERROR(INDEX('Employee Master'!$B$2:$B$159,MATCH('Daily Schedule'!P29,'Employee Master'!$A$2:$A$159,0)),'Daily Schedule'!P29)),'Daily Schedule'!P29))</f>
        <v/>
      </c>
      <c r="I28" s="9" t="str">
        <f aca="false">IF('Daily Schedule'!O29="","",IFERROR(INDEX('Daily Schedule'!$C$6:$C$57,MATCH('Daily Schedule'!O29,'Daily Schedule'!$A$6:$A$57,0)),IFERROR(INDEX('Position Library'!$C$2:$C$53,MATCH('Daily Schedule'!O29,'Position Library'!$A$2:$A$53,0)),'Daily Schedule'!O29)))</f>
        <v/>
      </c>
      <c r="J28" s="21" t="str">
        <f aca="false">IF('Daily Schedule'!P29="","",IFERROR(INDEX('Daily Schedule'!$N$6:$N$57,MATCH(IF(LEFT('Daily Schedule'!P29,4)="EMP-",IFERROR(INDEX('Daily Workforce'!$C$6:$C$205,MATCH('Daily Schedule'!P29,'Daily Workforce'!$B$6:$B$205,0)),'Daily Schedule'!P29),'Daily Schedule'!P29),'Daily Schedule'!$G$6:$G$57,0)),IFERROR(INDEX('Daily Schedule'!$N$6:$N$57,MATCH('Daily Schedule'!P29,'Daily Schedule'!$F$6:$F$57,0)),"")))</f>
        <v/>
      </c>
      <c r="K28" s="19" t="str">
        <f aca="false">'Daily Schedule'!Q29</f>
        <v>POSITION UNFILLED</v>
      </c>
      <c r="L28" s="22" t="str">
        <f aca="false">IF('Daily Schedule'!G29="","UNFILLED",IF(AND('Daily Schedule'!N29&lt;&gt;"",J28&lt;&gt;"",'Daily Schedule'!N29=J28),"SAME LUNCH",IF(AND('Daily Schedule'!D29="Tier 1",OR('Daily Schedule'!P29="",'Daily Schedule'!Q29="RELIEF GAP")),"NO RELIEF",IF('Daily Schedule'!Q29="COVERED","OK",IF('Daily Schedule'!Q29="","CHECK",'Daily Schedule'!Q29)))))</f>
        <v>UNFILLED</v>
      </c>
    </row>
    <row r="29" customFormat="false" ht="15" hidden="false" customHeight="true" outlineLevel="0" collapsed="false">
      <c r="A29" s="18" t="n">
        <f aca="false">'Daily Schedule'!A30</f>
        <v>3</v>
      </c>
      <c r="B29" s="9" t="str">
        <f aca="false">'Daily Schedule'!B30</f>
        <v>Main Security Checkpoint</v>
      </c>
      <c r="C29" s="9" t="str">
        <f aca="false">'Daily Schedule'!C30</f>
        <v>Lanes 17 - 18 </v>
      </c>
      <c r="D29" s="19" t="str">
        <f aca="false">'Daily Schedule'!D30</f>
        <v>Tier 2</v>
      </c>
      <c r="E29" s="20" t="str">
        <f aca="false">'Daily Schedule'!G30</f>
        <v>Aleah Mckinnon</v>
      </c>
      <c r="F29" s="19" t="str">
        <f aca="false">'Daily Schedule'!H30</f>
        <v>5:45 AM</v>
      </c>
      <c r="G29" s="19" t="str">
        <f aca="false">'Daily Schedule'!N30</f>
        <v>10:00 AM</v>
      </c>
      <c r="H29" s="20" t="str">
        <f aca="false">IF('Daily Schedule'!P30="","",IF(LEFT('Daily Schedule'!P30,4)="EMP-",IFERROR(INDEX('Daily Workforce'!$C$6:$C$205,MATCH('Daily Schedule'!P30,'Daily Workforce'!$B$6:$B$205,0)),IFERROR(INDEX('Employee Master'!$B$2:$B$159,MATCH('Daily Schedule'!P30,'Employee Master'!$A$2:$A$159,0)),'Daily Schedule'!P30)),'Daily Schedule'!P30))</f>
        <v>Kelon Arnold</v>
      </c>
      <c r="I29" s="9" t="str">
        <f aca="false">IF('Daily Schedule'!O30="","",IFERROR(INDEX('Daily Schedule'!$C$6:$C$57,MATCH('Daily Schedule'!O30,'Daily Schedule'!$A$6:$A$57,0)),IFERROR(INDEX('Position Library'!$C$2:$C$53,MATCH('Daily Schedule'!O30,'Position Library'!$A$2:$A$53,0)),'Daily Schedule'!O30)))</f>
        <v>Lanes 1 - 3 / Pre-Check </v>
      </c>
      <c r="J29" s="21" t="str">
        <f aca="false">IF('Daily Schedule'!P30="","",IFERROR(INDEX('Daily Schedule'!$N$6:$N$57,MATCH(IF(LEFT('Daily Schedule'!P30,4)="EMP-",IFERROR(INDEX('Daily Workforce'!$C$6:$C$205,MATCH('Daily Schedule'!P30,'Daily Workforce'!$B$6:$B$205,0)),'Daily Schedule'!P30),'Daily Schedule'!P30),'Daily Schedule'!$G$6:$G$57,0)),IFERROR(INDEX('Daily Schedule'!$N$6:$N$57,MATCH('Daily Schedule'!P30,'Daily Schedule'!$F$6:$F$57,0)),"")))</f>
        <v>8:00 AM</v>
      </c>
      <c r="K29" s="19" t="str">
        <f aca="false">'Daily Schedule'!Q30</f>
        <v>COVERED</v>
      </c>
      <c r="L29" s="22" t="str">
        <f aca="false">IF('Daily Schedule'!G30="","UNFILLED",IF(AND('Daily Schedule'!N30&lt;&gt;"",J29&lt;&gt;"",'Daily Schedule'!N30=J29),"SAME LUNCH",IF(AND('Daily Schedule'!D30="Tier 1",OR('Daily Schedule'!P30="",'Daily Schedule'!Q30="RELIEF GAP")),"NO RELIEF",IF('Daily Schedule'!Q30="COVERED","OK",IF('Daily Schedule'!Q30="","CHECK",'Daily Schedule'!Q30)))))</f>
        <v>OK</v>
      </c>
    </row>
    <row r="30" customFormat="false" ht="15" hidden="false" customHeight="true" outlineLevel="0" collapsed="false">
      <c r="A30" s="18" t="n">
        <f aca="false">'Daily Schedule'!A31</f>
        <v>9</v>
      </c>
      <c r="B30" s="9" t="str">
        <f aca="false">'Daily Schedule'!B31</f>
        <v>Main Security Checkpoint</v>
      </c>
      <c r="C30" s="9" t="str">
        <f aca="false">'Daily Schedule'!C31</f>
        <v>Front Entrance </v>
      </c>
      <c r="D30" s="19" t="str">
        <f aca="false">'Daily Schedule'!D31</f>
        <v>Tier 2</v>
      </c>
      <c r="E30" s="20" t="str">
        <f aca="false">'Daily Schedule'!G31</f>
        <v>Ashia Norman</v>
      </c>
      <c r="F30" s="19" t="str">
        <f aca="false">'Daily Schedule'!H31</f>
        <v>5:45 AM</v>
      </c>
      <c r="G30" s="19" t="str">
        <f aca="false">'Daily Schedule'!N31</f>
        <v>9:00 AM</v>
      </c>
      <c r="H30" s="20" t="str">
        <f aca="false">IF('Daily Schedule'!P31="","",IF(LEFT('Daily Schedule'!P31,4)="EMP-",IFERROR(INDEX('Daily Workforce'!$C$6:$C$205,MATCH('Daily Schedule'!P31,'Daily Workforce'!$B$6:$B$205,0)),IFERROR(INDEX('Employee Master'!$B$2:$B$159,MATCH('Daily Schedule'!P31,'Employee Master'!$A$2:$A$159,0)),'Daily Schedule'!P31)),'Daily Schedule'!P31))</f>
        <v>Emonnie Dorsey</v>
      </c>
      <c r="I30" s="9" t="str">
        <f aca="false">IF('Daily Schedule'!O31="","",IFERROR(INDEX('Daily Schedule'!$C$6:$C$57,MATCH('Daily Schedule'!O31,'Daily Schedule'!$A$6:$A$57,0)),IFERROR(INDEX('Position Library'!$C$2:$C$53,MATCH('Daily Schedule'!O31,'Position Library'!$A$2:$A$53,0)),'Daily Schedule'!O31)))</f>
        <v>Front Entrance </v>
      </c>
      <c r="J30" s="21" t="str">
        <f aca="false">IF('Daily Schedule'!P31="","",IFERROR(INDEX('Daily Schedule'!$N$6:$N$57,MATCH(IF(LEFT('Daily Schedule'!P31,4)="EMP-",IFERROR(INDEX('Daily Workforce'!$C$6:$C$205,MATCH('Daily Schedule'!P31,'Daily Workforce'!$B$6:$B$205,0)),'Daily Schedule'!P31),'Daily Schedule'!P31),'Daily Schedule'!$G$6:$G$57,0)),IFERROR(INDEX('Daily Schedule'!$N$6:$N$57,MATCH('Daily Schedule'!P31,'Daily Schedule'!$F$6:$F$57,0)),"")))</f>
        <v>8:00 AM</v>
      </c>
      <c r="K30" s="19" t="str">
        <f aca="false">'Daily Schedule'!Q31</f>
        <v>COVERED</v>
      </c>
      <c r="L30" s="22" t="str">
        <f aca="false">IF('Daily Schedule'!G31="","UNFILLED",IF(AND('Daily Schedule'!N31&lt;&gt;"",J30&lt;&gt;"",'Daily Schedule'!N31=J30),"SAME LUNCH",IF(AND('Daily Schedule'!D31="Tier 1",OR('Daily Schedule'!P31="",'Daily Schedule'!Q31="RELIEF GAP")),"NO RELIEF",IF('Daily Schedule'!Q31="COVERED","OK",IF('Daily Schedule'!Q31="","CHECK",'Daily Schedule'!Q31)))))</f>
        <v>OK</v>
      </c>
    </row>
    <row r="31" customFormat="false" ht="15" hidden="false" customHeight="true" outlineLevel="0" collapsed="false">
      <c r="A31" s="18" t="n">
        <f aca="false">'Daily Schedule'!A32</f>
        <v>17</v>
      </c>
      <c r="B31" s="9" t="str">
        <f aca="false">'Daily Schedule'!B32</f>
        <v>South Security Checkpoint</v>
      </c>
      <c r="C31" s="9" t="str">
        <f aca="false">'Daily Schedule'!C32</f>
        <v>Checkpoint – Front Entrance</v>
      </c>
      <c r="D31" s="19" t="str">
        <f aca="false">'Daily Schedule'!D32</f>
        <v>Tier 2</v>
      </c>
      <c r="E31" s="20" t="str">
        <f aca="false">'Daily Schedule'!G32</f>
        <v>Birhanu Hailu</v>
      </c>
      <c r="F31" s="19" t="str">
        <f aca="false">'Daily Schedule'!H32</f>
        <v>5:45 AM</v>
      </c>
      <c r="G31" s="19" t="str">
        <f aca="false">'Daily Schedule'!N32</f>
        <v>10:00 AM</v>
      </c>
      <c r="H31" s="20" t="str">
        <f aca="false">IF('Daily Schedule'!P32="","",IF(LEFT('Daily Schedule'!P32,4)="EMP-",IFERROR(INDEX('Daily Workforce'!$C$6:$C$205,MATCH('Daily Schedule'!P32,'Daily Workforce'!$B$6:$B$205,0)),IFERROR(INDEX('Employee Master'!$B$2:$B$159,MATCH('Daily Schedule'!P32,'Employee Master'!$A$2:$A$159,0)),'Daily Schedule'!P32)),'Daily Schedule'!P32))</f>
        <v>Larry Fuller</v>
      </c>
      <c r="I31" s="9" t="str">
        <f aca="false">IF('Daily Schedule'!O32="","",IFERROR(INDEX('Daily Schedule'!$C$6:$C$57,MATCH('Daily Schedule'!O32,'Daily Schedule'!$A$6:$A$57,0)),IFERROR(INDEX('Position Library'!$C$2:$C$53,MATCH('Daily Schedule'!O32,'Position Library'!$A$2:$A$53,0)),'Daily Schedule'!O32)))</f>
        <v>Checkpoint – Front Entrance</v>
      </c>
      <c r="J31" s="21" t="str">
        <f aca="false">IF('Daily Schedule'!P32="","",IFERROR(INDEX('Daily Schedule'!$N$6:$N$57,MATCH(IF(LEFT('Daily Schedule'!P32,4)="EMP-",IFERROR(INDEX('Daily Workforce'!$C$6:$C$205,MATCH('Daily Schedule'!P32,'Daily Workforce'!$B$6:$B$205,0)),'Daily Schedule'!P32),'Daily Schedule'!P32),'Daily Schedule'!$G$6:$G$57,0)),IFERROR(INDEX('Daily Schedule'!$N$6:$N$57,MATCH('Daily Schedule'!P32,'Daily Schedule'!$F$6:$F$57,0)),"")))</f>
        <v>9:00 AM</v>
      </c>
      <c r="K31" s="19" t="str">
        <f aca="false">'Daily Schedule'!Q32</f>
        <v>COVERED</v>
      </c>
      <c r="L31" s="22" t="str">
        <f aca="false">IF('Daily Schedule'!G32="","UNFILLED",IF(AND('Daily Schedule'!N32&lt;&gt;"",J31&lt;&gt;"",'Daily Schedule'!N32=J31),"SAME LUNCH",IF(AND('Daily Schedule'!D32="Tier 1",OR('Daily Schedule'!P32="",'Daily Schedule'!Q32="RELIEF GAP")),"NO RELIEF",IF('Daily Schedule'!Q32="COVERED","OK",IF('Daily Schedule'!Q32="","CHECK",'Daily Schedule'!Q32)))))</f>
        <v>OK</v>
      </c>
    </row>
    <row r="32" customFormat="false" ht="15" hidden="false" customHeight="true" outlineLevel="0" collapsed="false">
      <c r="A32" s="18" t="n">
        <f aca="false">'Daily Schedule'!A33</f>
        <v>18</v>
      </c>
      <c r="B32" s="9" t="str">
        <f aca="false">'Daily Schedule'!B33</f>
        <v>South Security Checkpoint</v>
      </c>
      <c r="C32" s="9" t="str">
        <f aca="false">'Daily Schedule'!C33</f>
        <v>Pre-check Overflow</v>
      </c>
      <c r="D32" s="19" t="str">
        <f aca="false">'Daily Schedule'!D33</f>
        <v>Tier 2</v>
      </c>
      <c r="E32" s="20" t="str">
        <f aca="false">'Daily Schedule'!G33</f>
        <v>Brain Lee</v>
      </c>
      <c r="F32" s="19" t="str">
        <f aca="false">'Daily Schedule'!H33</f>
        <v>5:45 AM</v>
      </c>
      <c r="G32" s="19" t="str">
        <f aca="false">'Daily Schedule'!N33</f>
        <v>10:00 AM</v>
      </c>
      <c r="H32" s="20" t="str">
        <f aca="false">IF('Daily Schedule'!P33="","",IF(LEFT('Daily Schedule'!P33,4)="EMP-",IFERROR(INDEX('Daily Workforce'!$C$6:$C$205,MATCH('Daily Schedule'!P33,'Daily Workforce'!$B$6:$B$205,0)),IFERROR(INDEX('Employee Master'!$B$2:$B$159,MATCH('Daily Schedule'!P33,'Employee Master'!$A$2:$A$159,0)),'Daily Schedule'!P33)),'Daily Schedule'!P33))</f>
        <v>Linda Rachel</v>
      </c>
      <c r="I32" s="9" t="str">
        <f aca="false">IF('Daily Schedule'!O33="","",IFERROR(INDEX('Daily Schedule'!$C$6:$C$57,MATCH('Daily Schedule'!O33,'Daily Schedule'!$A$6:$A$57,0)),IFERROR(INDEX('Position Library'!$C$2:$C$53,MATCH('Daily Schedule'!O33,'Position Library'!$A$2:$A$53,0)),'Daily Schedule'!O33)))</f>
        <v>South Restroom </v>
      </c>
      <c r="J32" s="21" t="str">
        <f aca="false">IF('Daily Schedule'!P33="","",IFERROR(INDEX('Daily Schedule'!$N$6:$N$57,MATCH(IF(LEFT('Daily Schedule'!P33,4)="EMP-",IFERROR(INDEX('Daily Workforce'!$C$6:$C$205,MATCH('Daily Schedule'!P33,'Daily Workforce'!$B$6:$B$205,0)),'Daily Schedule'!P33),'Daily Schedule'!P33),'Daily Schedule'!$G$6:$G$57,0)),IFERROR(INDEX('Daily Schedule'!$N$6:$N$57,MATCH('Daily Schedule'!P33,'Daily Schedule'!$F$6:$F$57,0)),"")))</f>
        <v>8:00 AM</v>
      </c>
      <c r="K32" s="19" t="str">
        <f aca="false">'Daily Schedule'!Q33</f>
        <v>COVERED</v>
      </c>
      <c r="L32" s="22" t="str">
        <f aca="false">IF('Daily Schedule'!G33="","UNFILLED",IF(AND('Daily Schedule'!N33&lt;&gt;"",J32&lt;&gt;"",'Daily Schedule'!N33=J32),"SAME LUNCH",IF(AND('Daily Schedule'!D33="Tier 1",OR('Daily Schedule'!P33="",'Daily Schedule'!Q33="RELIEF GAP")),"NO RELIEF",IF('Daily Schedule'!Q33="COVERED","OK",IF('Daily Schedule'!Q33="","CHECK",'Daily Schedule'!Q33)))))</f>
        <v>OK</v>
      </c>
    </row>
    <row r="33" customFormat="false" ht="23.25" hidden="false" customHeight="true" outlineLevel="0" collapsed="false">
      <c r="A33" s="18" t="n">
        <f aca="false">'Daily Schedule'!A34</f>
        <v>29</v>
      </c>
      <c r="B33" s="9" t="str">
        <f aca="false">'Daily Schedule'!B34</f>
        <v>North Security Checkpoint</v>
      </c>
      <c r="C33" s="9" t="str">
        <f aca="false">'Daily Schedule'!C34</f>
        <v>First class </v>
      </c>
      <c r="D33" s="19" t="str">
        <f aca="false">'Daily Schedule'!D34</f>
        <v>Tier 2</v>
      </c>
      <c r="E33" s="20" t="str">
        <f aca="false">'Daily Schedule'!G34</f>
        <v>Chrystal Harvey</v>
      </c>
      <c r="F33" s="19" t="str">
        <f aca="false">'Daily Schedule'!H34</f>
        <v>5:45 AM</v>
      </c>
      <c r="G33" s="19" t="str">
        <f aca="false">'Daily Schedule'!N34</f>
        <v>9:00 AM</v>
      </c>
      <c r="H33" s="20" t="str">
        <f aca="false">IF('Daily Schedule'!P34="","",IF(LEFT('Daily Schedule'!P34,4)="EMP-",IFERROR(INDEX('Daily Workforce'!$C$6:$C$205,MATCH('Daily Schedule'!P34,'Daily Workforce'!$B$6:$B$205,0)),IFERROR(INDEX('Employee Master'!$B$2:$B$159,MATCH('Daily Schedule'!P34,'Employee Master'!$A$2:$A$159,0)),'Daily Schedule'!P34)),'Daily Schedule'!P34))</f>
        <v/>
      </c>
      <c r="I33" s="9" t="str">
        <f aca="false">IF('Daily Schedule'!O34="","",IFERROR(INDEX('Daily Schedule'!$C$6:$C$57,MATCH('Daily Schedule'!O34,'Daily Schedule'!$A$6:$A$57,0)),IFERROR(INDEX('Position Library'!$C$2:$C$53,MATCH('Daily Schedule'!O34,'Position Library'!$A$2:$A$53,0)),'Daily Schedule'!O34)))</f>
        <v/>
      </c>
      <c r="J33" s="21" t="str">
        <f aca="false">IF('Daily Schedule'!P34="","",IFERROR(INDEX('Daily Schedule'!$N$6:$N$57,MATCH(IF(LEFT('Daily Schedule'!P34,4)="EMP-",IFERROR(INDEX('Daily Workforce'!$C$6:$C$205,MATCH('Daily Schedule'!P34,'Daily Workforce'!$B$6:$B$205,0)),'Daily Schedule'!P34),'Daily Schedule'!P34),'Daily Schedule'!$G$6:$G$57,0)),IFERROR(INDEX('Daily Schedule'!$N$6:$N$57,MATCH('Daily Schedule'!P34,'Daily Schedule'!$F$6:$F$57,0)),"")))</f>
        <v/>
      </c>
      <c r="K33" s="19" t="str">
        <f aca="false">'Daily Schedule'!Q34</f>
        <v>NOT REQUIRED</v>
      </c>
      <c r="L33" s="22" t="str">
        <f aca="false">IF('Daily Schedule'!G34="","UNFILLED",IF(AND('Daily Schedule'!N34&lt;&gt;"",J33&lt;&gt;"",'Daily Schedule'!N34=J33),"SAME LUNCH",IF(AND('Daily Schedule'!D34="Tier 1",OR('Daily Schedule'!P34="",'Daily Schedule'!Q34="RELIEF GAP")),"NO RELIEF",IF('Daily Schedule'!Q34="COVERED","OK",IF('Daily Schedule'!Q34="","CHECK",'Daily Schedule'!Q34)))))</f>
        <v>NOT REQUIRED</v>
      </c>
    </row>
    <row r="34" customFormat="false" ht="23.25" hidden="false" customHeight="true" outlineLevel="0" collapsed="false">
      <c r="A34" s="18" t="n">
        <f aca="false">'Daily Schedule'!A35</f>
        <v>31</v>
      </c>
      <c r="B34" s="9" t="str">
        <f aca="false">'Daily Schedule'!B35</f>
        <v>Lower North Security Checkpoint</v>
      </c>
      <c r="C34" s="9" t="str">
        <f aca="false">'Daily Schedule'!C35</f>
        <v>LN2 Elevator </v>
      </c>
      <c r="D34" s="19" t="str">
        <f aca="false">'Daily Schedule'!D35</f>
        <v>Tier 2</v>
      </c>
      <c r="E34" s="20" t="str">
        <f aca="false">'Daily Schedule'!G35</f>
        <v>Cicely Thicklin</v>
      </c>
      <c r="F34" s="19" t="str">
        <f aca="false">'Daily Schedule'!H35</f>
        <v>5:45 AM</v>
      </c>
      <c r="G34" s="19" t="str">
        <f aca="false">'Daily Schedule'!N35</f>
        <v>10:00 AM</v>
      </c>
      <c r="H34" s="20" t="str">
        <f aca="false">IF('Daily Schedule'!P35="","",IF(LEFT('Daily Schedule'!P35,4)="EMP-",IFERROR(INDEX('Daily Workforce'!$C$6:$C$205,MATCH('Daily Schedule'!P35,'Daily Workforce'!$B$6:$B$205,0)),IFERROR(INDEX('Employee Master'!$B$2:$B$159,MATCH('Daily Schedule'!P35,'Employee Master'!$A$2:$A$159,0)),'Daily Schedule'!P35)),'Daily Schedule'!P35))</f>
        <v/>
      </c>
      <c r="I34" s="9" t="str">
        <f aca="false">IF('Daily Schedule'!O35="","",IFERROR(INDEX('Daily Schedule'!$C$6:$C$57,MATCH('Daily Schedule'!O35,'Daily Schedule'!$A$6:$A$57,0)),IFERROR(INDEX('Position Library'!$C$2:$C$53,MATCH('Daily Schedule'!O35,'Position Library'!$A$2:$A$53,0)),'Daily Schedule'!O35)))</f>
        <v/>
      </c>
      <c r="J34" s="21" t="str">
        <f aca="false">IF('Daily Schedule'!P35="","",IFERROR(INDEX('Daily Schedule'!$N$6:$N$57,MATCH(IF(LEFT('Daily Schedule'!P35,4)="EMP-",IFERROR(INDEX('Daily Workforce'!$C$6:$C$205,MATCH('Daily Schedule'!P35,'Daily Workforce'!$B$6:$B$205,0)),'Daily Schedule'!P35),'Daily Schedule'!P35),'Daily Schedule'!$G$6:$G$57,0)),IFERROR(INDEX('Daily Schedule'!$N$6:$N$57,MATCH('Daily Schedule'!P35,'Daily Schedule'!$F$6:$F$57,0)),"")))</f>
        <v/>
      </c>
      <c r="K34" s="19" t="str">
        <f aca="false">'Daily Schedule'!Q35</f>
        <v>NOT REQUIRED</v>
      </c>
      <c r="L34" s="22" t="str">
        <f aca="false">IF('Daily Schedule'!G35="","UNFILLED",IF(AND('Daily Schedule'!N35&lt;&gt;"",J34&lt;&gt;"",'Daily Schedule'!N35=J34),"SAME LUNCH",IF(AND('Daily Schedule'!D35="Tier 1",OR('Daily Schedule'!P35="",'Daily Schedule'!Q35="RELIEF GAP")),"NO RELIEF",IF('Daily Schedule'!Q35="COVERED","OK",IF('Daily Schedule'!Q35="","CHECK",'Daily Schedule'!Q35)))))</f>
        <v>NOT REQUIRED</v>
      </c>
    </row>
    <row r="35" customFormat="false" ht="15" hidden="false" customHeight="true" outlineLevel="0" collapsed="false">
      <c r="A35" s="18" t="n">
        <f aca="false">'Daily Schedule'!A36</f>
        <v>36</v>
      </c>
      <c r="B35" s="9" t="str">
        <f aca="false">'Daily Schedule'!B36</f>
        <v>AGT Level</v>
      </c>
      <c r="C35" s="9" t="str">
        <f aca="false">'Daily Schedule'!C36</f>
        <v>T Platform Train Door 2</v>
      </c>
      <c r="D35" s="19" t="str">
        <f aca="false">'Daily Schedule'!D36</f>
        <v>Tier 2</v>
      </c>
      <c r="E35" s="20" t="str">
        <f aca="false">'Daily Schedule'!G36</f>
        <v>Dequavius Parker</v>
      </c>
      <c r="F35" s="19" t="str">
        <f aca="false">'Daily Schedule'!H36</f>
        <v>5:45 AM</v>
      </c>
      <c r="G35" s="19" t="str">
        <f aca="false">'Daily Schedule'!N36</f>
        <v>10:00 AM</v>
      </c>
      <c r="H35" s="20" t="str">
        <f aca="false">IF('Daily Schedule'!P36="","",IF(LEFT('Daily Schedule'!P36,4)="EMP-",IFERROR(INDEX('Daily Workforce'!$C$6:$C$205,MATCH('Daily Schedule'!P36,'Daily Workforce'!$B$6:$B$205,0)),IFERROR(INDEX('Employee Master'!$B$2:$B$159,MATCH('Daily Schedule'!P36,'Employee Master'!$A$2:$A$159,0)),'Daily Schedule'!P36)),'Daily Schedule'!P36))</f>
        <v/>
      </c>
      <c r="I35" s="9" t="str">
        <f aca="false">IF('Daily Schedule'!O36="","",IFERROR(INDEX('Daily Schedule'!$C$6:$C$57,MATCH('Daily Schedule'!O36,'Daily Schedule'!$A$6:$A$57,0)),IFERROR(INDEX('Position Library'!$C$2:$C$53,MATCH('Daily Schedule'!O36,'Position Library'!$A$2:$A$53,0)),'Daily Schedule'!O36)))</f>
        <v/>
      </c>
      <c r="J35" s="21" t="str">
        <f aca="false">IF('Daily Schedule'!P36="","",IFERROR(INDEX('Daily Schedule'!$N$6:$N$57,MATCH(IF(LEFT('Daily Schedule'!P36,4)="EMP-",IFERROR(INDEX('Daily Workforce'!$C$6:$C$205,MATCH('Daily Schedule'!P36,'Daily Workforce'!$B$6:$B$205,0)),'Daily Schedule'!P36),'Daily Schedule'!P36),'Daily Schedule'!$G$6:$G$57,0)),IFERROR(INDEX('Daily Schedule'!$N$6:$N$57,MATCH('Daily Schedule'!P36,'Daily Schedule'!$F$6:$F$57,0)),"")))</f>
        <v/>
      </c>
      <c r="K35" s="19" t="str">
        <f aca="false">'Daily Schedule'!Q36</f>
        <v>RELIEF GAP</v>
      </c>
      <c r="L35" s="22" t="str">
        <f aca="false">IF('Daily Schedule'!G36="","UNFILLED",IF(AND('Daily Schedule'!N36&lt;&gt;"",J35&lt;&gt;"",'Daily Schedule'!N36=J35),"SAME LUNCH",IF(AND('Daily Schedule'!D36="Tier 1",OR('Daily Schedule'!P36="",'Daily Schedule'!Q36="RELIEF GAP")),"NO RELIEF",IF('Daily Schedule'!Q36="COVERED","OK",IF('Daily Schedule'!Q36="","CHECK",'Daily Schedule'!Q36)))))</f>
        <v>RELIEF GAP</v>
      </c>
    </row>
    <row r="36" customFormat="false" ht="15" hidden="false" customHeight="true" outlineLevel="0" collapsed="false">
      <c r="A36" s="18" t="n">
        <f aca="false">'Daily Schedule'!A37</f>
        <v>37</v>
      </c>
      <c r="B36" s="9" t="str">
        <f aca="false">'Daily Schedule'!B37</f>
        <v>AGT Level</v>
      </c>
      <c r="C36" s="9" t="str">
        <f aca="false">'Daily Schedule'!C37</f>
        <v>T--Platform</v>
      </c>
      <c r="D36" s="19" t="str">
        <f aca="false">'Daily Schedule'!D37</f>
        <v>Tier 2</v>
      </c>
      <c r="E36" s="20" t="str">
        <f aca="false">'Daily Schedule'!G37</f>
        <v>Feleke Tekle</v>
      </c>
      <c r="F36" s="19" t="str">
        <f aca="false">'Daily Schedule'!H37</f>
        <v>5:45 AM</v>
      </c>
      <c r="G36" s="19" t="str">
        <f aca="false">'Daily Schedule'!N37</f>
        <v>9:00 AM</v>
      </c>
      <c r="H36" s="20" t="str">
        <f aca="false">IF('Daily Schedule'!P37="","",IF(LEFT('Daily Schedule'!P37,4)="EMP-",IFERROR(INDEX('Daily Workforce'!$C$6:$C$205,MATCH('Daily Schedule'!P37,'Daily Workforce'!$B$6:$B$205,0)),IFERROR(INDEX('Employee Master'!$B$2:$B$159,MATCH('Daily Schedule'!P37,'Employee Master'!$A$2:$A$159,0)),'Daily Schedule'!P37)),'Daily Schedule'!P37))</f>
        <v>Teaera Freeman</v>
      </c>
      <c r="I36" s="9" t="str">
        <f aca="false">IF('Daily Schedule'!O37="","",IFERROR(INDEX('Daily Schedule'!$C$6:$C$57,MATCH('Daily Schedule'!O37,'Daily Schedule'!$A$6:$A$57,0)),IFERROR(INDEX('Position Library'!$C$2:$C$53,MATCH('Daily Schedule'!O37,'Position Library'!$A$2:$A$53,0)),'Daily Schedule'!O37)))</f>
        <v>T Platform Train Door 1</v>
      </c>
      <c r="J36" s="21" t="str">
        <f aca="false">IF('Daily Schedule'!P37="","",IFERROR(INDEX('Daily Schedule'!$N$6:$N$57,MATCH(IF(LEFT('Daily Schedule'!P37,4)="EMP-",IFERROR(INDEX('Daily Workforce'!$C$6:$C$205,MATCH('Daily Schedule'!P37,'Daily Workforce'!$B$6:$B$205,0)),'Daily Schedule'!P37),'Daily Schedule'!P37),'Daily Schedule'!$G$6:$G$57,0)),IFERROR(INDEX('Daily Schedule'!$N$6:$N$57,MATCH('Daily Schedule'!P37,'Daily Schedule'!$F$6:$F$57,0)),"")))</f>
        <v>8:00 AM</v>
      </c>
      <c r="K36" s="19" t="str">
        <f aca="false">'Daily Schedule'!Q37</f>
        <v>COVERED</v>
      </c>
      <c r="L36" s="22" t="str">
        <f aca="false">IF('Daily Schedule'!G37="","UNFILLED",IF(AND('Daily Schedule'!N37&lt;&gt;"",J36&lt;&gt;"",'Daily Schedule'!N37=J36),"SAME LUNCH",IF(AND('Daily Schedule'!D37="Tier 1",OR('Daily Schedule'!P37="",'Daily Schedule'!Q37="RELIEF GAP")),"NO RELIEF",IF('Daily Schedule'!Q37="COVERED","OK",IF('Daily Schedule'!Q37="","CHECK",'Daily Schedule'!Q37)))))</f>
        <v>OK</v>
      </c>
    </row>
    <row r="37" customFormat="false" ht="15" hidden="false" customHeight="true" outlineLevel="0" collapsed="false">
      <c r="A37" s="18" t="n">
        <f aca="false">'Daily Schedule'!A38</f>
        <v>40</v>
      </c>
      <c r="B37" s="9" t="str">
        <f aca="false">'Daily Schedule'!B38</f>
        <v>AGT Level</v>
      </c>
      <c r="C37" s="9" t="str">
        <f aca="false">'Daily Schedule'!C38</f>
        <v>T Bridge Landing</v>
      </c>
      <c r="D37" s="19" t="str">
        <f aca="false">'Daily Schedule'!D38</f>
        <v>Tier 2</v>
      </c>
      <c r="E37" s="20" t="str">
        <f aca="false">'Daily Schedule'!G38</f>
        <v>Gregory Mallett</v>
      </c>
      <c r="F37" s="19" t="str">
        <f aca="false">'Daily Schedule'!H38</f>
        <v>5:45 AM</v>
      </c>
      <c r="G37" s="19" t="str">
        <f aca="false">'Daily Schedule'!N38</f>
        <v>10:00 AM</v>
      </c>
      <c r="H37" s="20" t="str">
        <f aca="false">IF('Daily Schedule'!P38="","",IF(LEFT('Daily Schedule'!P38,4)="EMP-",IFERROR(INDEX('Daily Workforce'!$C$6:$C$205,MATCH('Daily Schedule'!P38,'Daily Workforce'!$B$6:$B$205,0)),IFERROR(INDEX('Employee Master'!$B$2:$B$159,MATCH('Daily Schedule'!P38,'Employee Master'!$A$2:$A$159,0)),'Daily Schedule'!P38)),'Daily Schedule'!P38))</f>
        <v/>
      </c>
      <c r="I37" s="9" t="str">
        <f aca="false">IF('Daily Schedule'!O38="","",IFERROR(INDEX('Daily Schedule'!$C$6:$C$57,MATCH('Daily Schedule'!O38,'Daily Schedule'!$A$6:$A$57,0)),IFERROR(INDEX('Position Library'!$C$2:$C$53,MATCH('Daily Schedule'!O38,'Position Library'!$A$2:$A$53,0)),'Daily Schedule'!O38)))</f>
        <v/>
      </c>
      <c r="J37" s="21" t="str">
        <f aca="false">IF('Daily Schedule'!P38="","",IFERROR(INDEX('Daily Schedule'!$N$6:$N$57,MATCH(IF(LEFT('Daily Schedule'!P38,4)="EMP-",IFERROR(INDEX('Daily Workforce'!$C$6:$C$205,MATCH('Daily Schedule'!P38,'Daily Workforce'!$B$6:$B$205,0)),'Daily Schedule'!P38),'Daily Schedule'!P38),'Daily Schedule'!$G$6:$G$57,0)),IFERROR(INDEX('Daily Schedule'!$N$6:$N$57,MATCH('Daily Schedule'!P38,'Daily Schedule'!$F$6:$F$57,0)),"")))</f>
        <v/>
      </c>
      <c r="K37" s="19" t="str">
        <f aca="false">'Daily Schedule'!Q38</f>
        <v>RELIEF GAP</v>
      </c>
      <c r="L37" s="22" t="str">
        <f aca="false">IF('Daily Schedule'!G38="","UNFILLED",IF(AND('Daily Schedule'!N38&lt;&gt;"",J37&lt;&gt;"",'Daily Schedule'!N38=J37),"SAME LUNCH",IF(AND('Daily Schedule'!D38="Tier 1",OR('Daily Schedule'!P38="",'Daily Schedule'!Q38="RELIEF GAP")),"NO RELIEF",IF('Daily Schedule'!Q38="COVERED","OK",IF('Daily Schedule'!Q38="","CHECK",'Daily Schedule'!Q38)))))</f>
        <v>RELIEF GAP</v>
      </c>
    </row>
    <row r="38" customFormat="false" ht="15" hidden="false" customHeight="true" outlineLevel="0" collapsed="false">
      <c r="A38" s="18" t="n">
        <f aca="false">'Daily Schedule'!A39</f>
        <v>20</v>
      </c>
      <c r="B38" s="9" t="str">
        <f aca="false">'Daily Schedule'!B39</f>
        <v>South Security Checkpoint</v>
      </c>
      <c r="C38" s="9" t="str">
        <f aca="false">'Daily Schedule'!C39</f>
        <v>IHOP </v>
      </c>
      <c r="D38" s="19" t="str">
        <f aca="false">'Daily Schedule'!D39</f>
        <v>Tier 3</v>
      </c>
      <c r="E38" s="20" t="str">
        <f aca="false">'Daily Schedule'!G39</f>
        <v>Habtewold Daba</v>
      </c>
      <c r="F38" s="19" t="str">
        <f aca="false">'Daily Schedule'!H39</f>
        <v>5:45 AM</v>
      </c>
      <c r="G38" s="19" t="str">
        <f aca="false">'Daily Schedule'!N39</f>
        <v>10:00 AM</v>
      </c>
      <c r="H38" s="20" t="str">
        <f aca="false">IF('Daily Schedule'!P39="","",IF(LEFT('Daily Schedule'!P39,4)="EMP-",IFERROR(INDEX('Daily Workforce'!$C$6:$C$205,MATCH('Daily Schedule'!P39,'Daily Workforce'!$B$6:$B$205,0)),IFERROR(INDEX('Employee Master'!$B$2:$B$159,MATCH('Daily Schedule'!P39,'Employee Master'!$A$2:$A$159,0)),'Daily Schedule'!P39)),'Daily Schedule'!P39))</f>
        <v>Mildred Tarres</v>
      </c>
      <c r="I38" s="9" t="str">
        <f aca="false">IF('Daily Schedule'!O39="","",IFERROR(INDEX('Daily Schedule'!$C$6:$C$57,MATCH('Daily Schedule'!O39,'Daily Schedule'!$A$6:$A$57,0)),IFERROR(INDEX('Position Library'!$C$2:$C$53,MATCH('Daily Schedule'!O39,'Position Library'!$A$2:$A$53,0)),'Daily Schedule'!O39)))</f>
        <v>Piedmont / West Crossover</v>
      </c>
      <c r="J38" s="21" t="str">
        <f aca="false">IF('Daily Schedule'!P39="","",IFERROR(INDEX('Daily Schedule'!$N$6:$N$57,MATCH(IF(LEFT('Daily Schedule'!P39,4)="EMP-",IFERROR(INDEX('Daily Workforce'!$C$6:$C$205,MATCH('Daily Schedule'!P39,'Daily Workforce'!$B$6:$B$205,0)),'Daily Schedule'!P39),'Daily Schedule'!P39),'Daily Schedule'!$G$6:$G$57,0)),IFERROR(INDEX('Daily Schedule'!$N$6:$N$57,MATCH('Daily Schedule'!P39,'Daily Schedule'!$F$6:$F$57,0)),"")))</f>
        <v>9:00 AM</v>
      </c>
      <c r="K38" s="19" t="str">
        <f aca="false">'Daily Schedule'!Q39</f>
        <v>COVERED</v>
      </c>
      <c r="L38" s="22" t="str">
        <f aca="false">IF('Daily Schedule'!G39="","UNFILLED",IF(AND('Daily Schedule'!N39&lt;&gt;"",J38&lt;&gt;"",'Daily Schedule'!N39=J38),"SAME LUNCH",IF(AND('Daily Schedule'!D39="Tier 1",OR('Daily Schedule'!P39="",'Daily Schedule'!Q39="RELIEF GAP")),"NO RELIEF",IF('Daily Schedule'!Q39="COVERED","OK",IF('Daily Schedule'!Q39="","CHECK",'Daily Schedule'!Q39)))))</f>
        <v>OK</v>
      </c>
    </row>
    <row r="39" customFormat="false" ht="23.25" hidden="false" customHeight="true" outlineLevel="0" collapsed="false">
      <c r="A39" s="18" t="n">
        <f aca="false">'Daily Schedule'!A40</f>
        <v>27</v>
      </c>
      <c r="B39" s="9" t="str">
        <f aca="false">'Daily Schedule'!B40</f>
        <v>North Security Checkpoint</v>
      </c>
      <c r="C39" s="9" t="str">
        <f aca="false">'Daily Schedule'!C40</f>
        <v>We Juice It </v>
      </c>
      <c r="D39" s="19" t="str">
        <f aca="false">'Daily Schedule'!D40</f>
        <v>Tier 3</v>
      </c>
      <c r="E39" s="20" t="str">
        <f aca="false">'Daily Schedule'!G40</f>
        <v>Isaiah Williams</v>
      </c>
      <c r="F39" s="19" t="str">
        <f aca="false">'Daily Schedule'!H40</f>
        <v>5:45 AM</v>
      </c>
      <c r="G39" s="19" t="str">
        <f aca="false">'Daily Schedule'!N40</f>
        <v>9:00 AM</v>
      </c>
      <c r="H39" s="20" t="str">
        <f aca="false">IF('Daily Schedule'!P40="","",IF(LEFT('Daily Schedule'!P40,4)="EMP-",IFERROR(INDEX('Daily Workforce'!$C$6:$C$205,MATCH('Daily Schedule'!P40,'Daily Workforce'!$B$6:$B$205,0)),IFERROR(INDEX('Employee Master'!$B$2:$B$159,MATCH('Daily Schedule'!P40,'Employee Master'!$A$2:$A$159,0)),'Daily Schedule'!P40)),'Daily Schedule'!P40))</f>
        <v/>
      </c>
      <c r="I39" s="9" t="str">
        <f aca="false">IF('Daily Schedule'!O40="","",IFERROR(INDEX('Daily Schedule'!$C$6:$C$57,MATCH('Daily Schedule'!O40,'Daily Schedule'!$A$6:$A$57,0)),IFERROR(INDEX('Position Library'!$C$2:$C$53,MATCH('Daily Schedule'!O40,'Position Library'!$A$2:$A$53,0)),'Daily Schedule'!O40)))</f>
        <v/>
      </c>
      <c r="J39" s="21" t="str">
        <f aca="false">IF('Daily Schedule'!P40="","",IFERROR(INDEX('Daily Schedule'!$N$6:$N$57,MATCH(IF(LEFT('Daily Schedule'!P40,4)="EMP-",IFERROR(INDEX('Daily Workforce'!$C$6:$C$205,MATCH('Daily Schedule'!P40,'Daily Workforce'!$B$6:$B$205,0)),'Daily Schedule'!P40),'Daily Schedule'!P40),'Daily Schedule'!$G$6:$G$57,0)),IFERROR(INDEX('Daily Schedule'!$N$6:$N$57,MATCH('Daily Schedule'!P40,'Daily Schedule'!$F$6:$F$57,0)),"")))</f>
        <v/>
      </c>
      <c r="K39" s="19" t="str">
        <f aca="false">'Daily Schedule'!Q40</f>
        <v>NOT REQUIRED</v>
      </c>
      <c r="L39" s="22" t="str">
        <f aca="false">IF('Daily Schedule'!G40="","UNFILLED",IF(AND('Daily Schedule'!N40&lt;&gt;"",J39&lt;&gt;"",'Daily Schedule'!N40=J39),"SAME LUNCH",IF(AND('Daily Schedule'!D40="Tier 1",OR('Daily Schedule'!P40="",'Daily Schedule'!Q40="RELIEF GAP")),"NO RELIEF",IF('Daily Schedule'!Q40="COVERED","OK",IF('Daily Schedule'!Q40="","CHECK",'Daily Schedule'!Q40)))))</f>
        <v>NOT REQUIRED</v>
      </c>
    </row>
    <row r="40" customFormat="false" ht="15" hidden="false" customHeight="true" outlineLevel="0" collapsed="false">
      <c r="A40" s="18" t="n">
        <f aca="false">'Daily Schedule'!A41</f>
        <v>30</v>
      </c>
      <c r="B40" s="9" t="str">
        <f aca="false">'Daily Schedule'!B41</f>
        <v>North Security Checkpoint</v>
      </c>
      <c r="C40" s="9" t="str">
        <f aca="false">'Daily Schedule'!C41</f>
        <v>North Corridor</v>
      </c>
      <c r="D40" s="19" t="str">
        <f aca="false">'Daily Schedule'!D41</f>
        <v>Tier 3</v>
      </c>
      <c r="E40" s="20" t="str">
        <f aca="false">'Daily Schedule'!G41</f>
        <v>Jacquatta Green</v>
      </c>
      <c r="F40" s="19" t="str">
        <f aca="false">'Daily Schedule'!H41</f>
        <v>5:45 AM</v>
      </c>
      <c r="G40" s="19" t="str">
        <f aca="false">'Daily Schedule'!N41</f>
        <v>10:00 AM</v>
      </c>
      <c r="H40" s="20" t="str">
        <f aca="false">IF('Daily Schedule'!P41="","",IF(LEFT('Daily Schedule'!P41,4)="EMP-",IFERROR(INDEX('Daily Workforce'!$C$6:$C$205,MATCH('Daily Schedule'!P41,'Daily Workforce'!$B$6:$B$205,0)),IFERROR(INDEX('Employee Master'!$B$2:$B$159,MATCH('Daily Schedule'!P41,'Employee Master'!$A$2:$A$159,0)),'Daily Schedule'!P41)),'Daily Schedule'!P41))</f>
        <v>Moneshia Echols</v>
      </c>
      <c r="I40" s="9" t="str">
        <f aca="false">IF('Daily Schedule'!O41="","",IFERROR(INDEX('Daily Schedule'!$C$6:$C$57,MATCH('Daily Schedule'!O41,'Daily Schedule'!$A$6:$A$57,0)),IFERROR(INDEX('Position Library'!$C$2:$C$53,MATCH('Daily Schedule'!O41,'Position Library'!$A$2:$A$53,0)),'Daily Schedule'!O41)))</f>
        <v>North Corridor </v>
      </c>
      <c r="J40" s="21" t="str">
        <f aca="false">IF('Daily Schedule'!P41="","",IFERROR(INDEX('Daily Schedule'!$N$6:$N$57,MATCH(IF(LEFT('Daily Schedule'!P41,4)="EMP-",IFERROR(INDEX('Daily Workforce'!$C$6:$C$205,MATCH('Daily Schedule'!P41,'Daily Workforce'!$B$6:$B$205,0)),'Daily Schedule'!P41),'Daily Schedule'!P41),'Daily Schedule'!$G$6:$G$57,0)),IFERROR(INDEX('Daily Schedule'!$N$6:$N$57,MATCH('Daily Schedule'!P41,'Daily Schedule'!$F$6:$F$57,0)),"")))</f>
        <v>9:00 AM</v>
      </c>
      <c r="K40" s="19" t="str">
        <f aca="false">'Daily Schedule'!Q41</f>
        <v>COVERED</v>
      </c>
      <c r="L40" s="22" t="str">
        <f aca="false">IF('Daily Schedule'!G41="","UNFILLED",IF(AND('Daily Schedule'!N41&lt;&gt;"",J40&lt;&gt;"",'Daily Schedule'!N41=J40),"SAME LUNCH",IF(AND('Daily Schedule'!D41="Tier 1",OR('Daily Schedule'!P41="",'Daily Schedule'!Q41="RELIEF GAP")),"NO RELIEF",IF('Daily Schedule'!Q41="COVERED","OK",IF('Daily Schedule'!Q41="","CHECK",'Daily Schedule'!Q41)))))</f>
        <v>OK</v>
      </c>
    </row>
    <row r="41" customFormat="false" ht="23.25" hidden="false" customHeight="true" outlineLevel="0" collapsed="false">
      <c r="A41" s="18" t="n">
        <f aca="false">'Daily Schedule'!A42</f>
        <v>6</v>
      </c>
      <c r="B41" s="9" t="str">
        <f aca="false">'Daily Schedule'!B42</f>
        <v>Main Security Checkpoint</v>
      </c>
      <c r="C41" s="9" t="str">
        <f aca="false">'Daily Schedule'!C42</f>
        <v>MSC Escalator</v>
      </c>
      <c r="D41" s="19" t="str">
        <f aca="false">'Daily Schedule'!D42</f>
        <v>Tier 4</v>
      </c>
      <c r="E41" s="20" t="str">
        <f aca="false">'Daily Schedule'!G42</f>
        <v>Jada Batiste</v>
      </c>
      <c r="F41" s="19" t="str">
        <f aca="false">'Daily Schedule'!H42</f>
        <v>5:45 AM</v>
      </c>
      <c r="G41" s="19" t="str">
        <f aca="false">'Daily Schedule'!N42</f>
        <v>10:00 AM</v>
      </c>
      <c r="H41" s="20" t="str">
        <f aca="false">IF('Daily Schedule'!P42="","",IF(LEFT('Daily Schedule'!P42,4)="EMP-",IFERROR(INDEX('Daily Workforce'!$C$6:$C$205,MATCH('Daily Schedule'!P42,'Daily Workforce'!$B$6:$B$205,0)),IFERROR(INDEX('Employee Master'!$B$2:$B$159,MATCH('Daily Schedule'!P42,'Employee Master'!$A$2:$A$159,0)),'Daily Schedule'!P42)),'Daily Schedule'!P42))</f>
        <v/>
      </c>
      <c r="I41" s="9" t="str">
        <f aca="false">IF('Daily Schedule'!O42="","",IFERROR(INDEX('Daily Schedule'!$C$6:$C$57,MATCH('Daily Schedule'!O42,'Daily Schedule'!$A$6:$A$57,0)),IFERROR(INDEX('Position Library'!$C$2:$C$53,MATCH('Daily Schedule'!O42,'Position Library'!$A$2:$A$53,0)),'Daily Schedule'!O42)))</f>
        <v/>
      </c>
      <c r="J41" s="21" t="str">
        <f aca="false">IF('Daily Schedule'!P42="","",IFERROR(INDEX('Daily Schedule'!$N$6:$N$57,MATCH(IF(LEFT('Daily Schedule'!P42,4)="EMP-",IFERROR(INDEX('Daily Workforce'!$C$6:$C$205,MATCH('Daily Schedule'!P42,'Daily Workforce'!$B$6:$B$205,0)),'Daily Schedule'!P42),'Daily Schedule'!P42),'Daily Schedule'!$G$6:$G$57,0)),IFERROR(INDEX('Daily Schedule'!$N$6:$N$57,MATCH('Daily Schedule'!P42,'Daily Schedule'!$F$6:$F$57,0)),"")))</f>
        <v/>
      </c>
      <c r="K41" s="19" t="str">
        <f aca="false">'Daily Schedule'!Q42</f>
        <v>NOT REQUIRED</v>
      </c>
      <c r="L41" s="22" t="str">
        <f aca="false">IF('Daily Schedule'!G42="","UNFILLED",IF(AND('Daily Schedule'!N42&lt;&gt;"",J41&lt;&gt;"",'Daily Schedule'!N42=J41),"SAME LUNCH",IF(AND('Daily Schedule'!D42="Tier 1",OR('Daily Schedule'!P42="",'Daily Schedule'!Q42="RELIEF GAP")),"NO RELIEF",IF('Daily Schedule'!Q42="COVERED","OK",IF('Daily Schedule'!Q42="","CHECK",'Daily Schedule'!Q42)))))</f>
        <v>NOT REQUIRED</v>
      </c>
    </row>
    <row r="42" customFormat="false" ht="23.25" hidden="false" customHeight="true" outlineLevel="0" collapsed="false">
      <c r="A42" s="18" t="n">
        <f aca="false">'Daily Schedule'!A43</f>
        <v>7</v>
      </c>
      <c r="B42" s="9" t="str">
        <f aca="false">'Daily Schedule'!B43</f>
        <v>Main Security Checkpoint</v>
      </c>
      <c r="C42" s="9" t="str">
        <f aca="false">'Daily Schedule'!C43</f>
        <v>MSC Escalator </v>
      </c>
      <c r="D42" s="19" t="str">
        <f aca="false">'Daily Schedule'!D43</f>
        <v>Tier 4</v>
      </c>
      <c r="E42" s="20" t="str">
        <f aca="false">'Daily Schedule'!G43</f>
        <v>Jamal Reynolds</v>
      </c>
      <c r="F42" s="19" t="str">
        <f aca="false">'Daily Schedule'!H43</f>
        <v>5:45 AM</v>
      </c>
      <c r="G42" s="19" t="str">
        <f aca="false">'Daily Schedule'!N43</f>
        <v>9:00 AM</v>
      </c>
      <c r="H42" s="20" t="str">
        <f aca="false">IF('Daily Schedule'!P43="","",IF(LEFT('Daily Schedule'!P43,4)="EMP-",IFERROR(INDEX('Daily Workforce'!$C$6:$C$205,MATCH('Daily Schedule'!P43,'Daily Workforce'!$B$6:$B$205,0)),IFERROR(INDEX('Employee Master'!$B$2:$B$159,MATCH('Daily Schedule'!P43,'Employee Master'!$A$2:$A$159,0)),'Daily Schedule'!P43)),'Daily Schedule'!P43))</f>
        <v/>
      </c>
      <c r="I42" s="9" t="str">
        <f aca="false">IF('Daily Schedule'!O43="","",IFERROR(INDEX('Daily Schedule'!$C$6:$C$57,MATCH('Daily Schedule'!O43,'Daily Schedule'!$A$6:$A$57,0)),IFERROR(INDEX('Position Library'!$C$2:$C$53,MATCH('Daily Schedule'!O43,'Position Library'!$A$2:$A$53,0)),'Daily Schedule'!O43)))</f>
        <v/>
      </c>
      <c r="J42" s="21" t="str">
        <f aca="false">IF('Daily Schedule'!P43="","",IFERROR(INDEX('Daily Schedule'!$N$6:$N$57,MATCH(IF(LEFT('Daily Schedule'!P43,4)="EMP-",IFERROR(INDEX('Daily Workforce'!$C$6:$C$205,MATCH('Daily Schedule'!P43,'Daily Workforce'!$B$6:$B$205,0)),'Daily Schedule'!P43),'Daily Schedule'!P43),'Daily Schedule'!$G$6:$G$57,0)),IFERROR(INDEX('Daily Schedule'!$N$6:$N$57,MATCH('Daily Schedule'!P43,'Daily Schedule'!$F$6:$F$57,0)),"")))</f>
        <v/>
      </c>
      <c r="K42" s="19" t="str">
        <f aca="false">'Daily Schedule'!Q43</f>
        <v>NOT REQUIRED</v>
      </c>
      <c r="L42" s="22" t="str">
        <f aca="false">IF('Daily Schedule'!G43="","UNFILLED",IF(AND('Daily Schedule'!N43&lt;&gt;"",J42&lt;&gt;"",'Daily Schedule'!N43=J42),"SAME LUNCH",IF(AND('Daily Schedule'!D43="Tier 1",OR('Daily Schedule'!P43="",'Daily Schedule'!Q43="RELIEF GAP")),"NO RELIEF",IF('Daily Schedule'!Q43="COVERED","OK",IF('Daily Schedule'!Q43="","CHECK",'Daily Schedule'!Q43)))))</f>
        <v>NOT REQUIRED</v>
      </c>
    </row>
    <row r="43" customFormat="false" ht="23.25" hidden="false" customHeight="true" outlineLevel="0" collapsed="false">
      <c r="A43" s="18" t="n">
        <f aca="false">'Daily Schedule'!A44</f>
        <v>10</v>
      </c>
      <c r="B43" s="9" t="str">
        <f aca="false">'Daily Schedule'!B44</f>
        <v>Atrium</v>
      </c>
      <c r="C43" s="9" t="str">
        <f aca="false">'Daily Schedule'!C44</f>
        <v>KIA </v>
      </c>
      <c r="D43" s="19" t="str">
        <f aca="false">'Daily Schedule'!D44</f>
        <v>Tier 4</v>
      </c>
      <c r="E43" s="20" t="str">
        <f aca="false">'Daily Schedule'!G44</f>
        <v>Kidest Solomon</v>
      </c>
      <c r="F43" s="19" t="str">
        <f aca="false">'Daily Schedule'!H44</f>
        <v>5:45 AM</v>
      </c>
      <c r="G43" s="19" t="str">
        <f aca="false">'Daily Schedule'!N44</f>
        <v>10:00 AM</v>
      </c>
      <c r="H43" s="20" t="str">
        <f aca="false">IF('Daily Schedule'!P44="","",IF(LEFT('Daily Schedule'!P44,4)="EMP-",IFERROR(INDEX('Daily Workforce'!$C$6:$C$205,MATCH('Daily Schedule'!P44,'Daily Workforce'!$B$6:$B$205,0)),IFERROR(INDEX('Employee Master'!$B$2:$B$159,MATCH('Daily Schedule'!P44,'Employee Master'!$A$2:$A$159,0)),'Daily Schedule'!P44)),'Daily Schedule'!P44))</f>
        <v/>
      </c>
      <c r="I43" s="9" t="str">
        <f aca="false">IF('Daily Schedule'!O44="","",IFERROR(INDEX('Daily Schedule'!$C$6:$C$57,MATCH('Daily Schedule'!O44,'Daily Schedule'!$A$6:$A$57,0)),IFERROR(INDEX('Position Library'!$C$2:$C$53,MATCH('Daily Schedule'!O44,'Position Library'!$A$2:$A$53,0)),'Daily Schedule'!O44)))</f>
        <v/>
      </c>
      <c r="J43" s="21" t="str">
        <f aca="false">IF('Daily Schedule'!P44="","",IFERROR(INDEX('Daily Schedule'!$N$6:$N$57,MATCH(IF(LEFT('Daily Schedule'!P44,4)="EMP-",IFERROR(INDEX('Daily Workforce'!$C$6:$C$205,MATCH('Daily Schedule'!P44,'Daily Workforce'!$B$6:$B$205,0)),'Daily Schedule'!P44),'Daily Schedule'!P44),'Daily Schedule'!$G$6:$G$57,0)),IFERROR(INDEX('Daily Schedule'!$N$6:$N$57,MATCH('Daily Schedule'!P44,'Daily Schedule'!$F$6:$F$57,0)),"")))</f>
        <v/>
      </c>
      <c r="K43" s="19" t="str">
        <f aca="false">'Daily Schedule'!Q44</f>
        <v>NOT REQUIRED</v>
      </c>
      <c r="L43" s="22" t="str">
        <f aca="false">IF('Daily Schedule'!G44="","UNFILLED",IF(AND('Daily Schedule'!N44&lt;&gt;"",J43&lt;&gt;"",'Daily Schedule'!N44=J43),"SAME LUNCH",IF(AND('Daily Schedule'!D44="Tier 1",OR('Daily Schedule'!P44="",'Daily Schedule'!Q44="RELIEF GAP")),"NO RELIEF",IF('Daily Schedule'!Q44="COVERED","OK",IF('Daily Schedule'!Q44="","CHECK",'Daily Schedule'!Q44)))))</f>
        <v>NOT REQUIRED</v>
      </c>
    </row>
    <row r="44" customFormat="false" ht="23.25" hidden="false" customHeight="true" outlineLevel="0" collapsed="false">
      <c r="A44" s="18" t="n">
        <f aca="false">'Daily Schedule'!A45</f>
        <v>11</v>
      </c>
      <c r="B44" s="9" t="str">
        <f aca="false">'Daily Schedule'!B45</f>
        <v>Atrium</v>
      </c>
      <c r="C44" s="9" t="str">
        <f aca="false">'Daily Schedule'!C45</f>
        <v>West Elevator </v>
      </c>
      <c r="D44" s="19" t="str">
        <f aca="false">'Daily Schedule'!D45</f>
        <v>Tier 4</v>
      </c>
      <c r="E44" s="20" t="str">
        <f aca="false">'Daily Schedule'!G45</f>
        <v>Kimberly Smoot</v>
      </c>
      <c r="F44" s="19" t="str">
        <f aca="false">'Daily Schedule'!H45</f>
        <v>5:45 AM</v>
      </c>
      <c r="G44" s="19" t="str">
        <f aca="false">'Daily Schedule'!N45</f>
        <v>10:00 AM</v>
      </c>
      <c r="H44" s="20" t="str">
        <f aca="false">IF('Daily Schedule'!P45="","",IF(LEFT('Daily Schedule'!P45,4)="EMP-",IFERROR(INDEX('Daily Workforce'!$C$6:$C$205,MATCH('Daily Schedule'!P45,'Daily Workforce'!$B$6:$B$205,0)),IFERROR(INDEX('Employee Master'!$B$2:$B$159,MATCH('Daily Schedule'!P45,'Employee Master'!$A$2:$A$159,0)),'Daily Schedule'!P45)),'Daily Schedule'!P45))</f>
        <v/>
      </c>
      <c r="I44" s="9" t="str">
        <f aca="false">IF('Daily Schedule'!O45="","",IFERROR(INDEX('Daily Schedule'!$C$6:$C$57,MATCH('Daily Schedule'!O45,'Daily Schedule'!$A$6:$A$57,0)),IFERROR(INDEX('Position Library'!$C$2:$C$53,MATCH('Daily Schedule'!O45,'Position Library'!$A$2:$A$53,0)),'Daily Schedule'!O45)))</f>
        <v/>
      </c>
      <c r="J44" s="21" t="str">
        <f aca="false">IF('Daily Schedule'!P45="","",IFERROR(INDEX('Daily Schedule'!$N$6:$N$57,MATCH(IF(LEFT('Daily Schedule'!P45,4)="EMP-",IFERROR(INDEX('Daily Workforce'!$C$6:$C$205,MATCH('Daily Schedule'!P45,'Daily Workforce'!$B$6:$B$205,0)),'Daily Schedule'!P45),'Daily Schedule'!P45),'Daily Schedule'!$G$6:$G$57,0)),IFERROR(INDEX('Daily Schedule'!$N$6:$N$57,MATCH('Daily Schedule'!P45,'Daily Schedule'!$F$6:$F$57,0)),"")))</f>
        <v/>
      </c>
      <c r="K44" s="19" t="str">
        <f aca="false">'Daily Schedule'!Q45</f>
        <v>NOT REQUIRED</v>
      </c>
      <c r="L44" s="22" t="str">
        <f aca="false">IF('Daily Schedule'!G45="","UNFILLED",IF(AND('Daily Schedule'!N45&lt;&gt;"",J44&lt;&gt;"",'Daily Schedule'!N45=J44),"SAME LUNCH",IF(AND('Daily Schedule'!D45="Tier 1",OR('Daily Schedule'!P45="",'Daily Schedule'!Q45="RELIEF GAP")),"NO RELIEF",IF('Daily Schedule'!Q45="COVERED","OK",IF('Daily Schedule'!Q45="","CHECK",'Daily Schedule'!Q45)))))</f>
        <v>NOT REQUIRED</v>
      </c>
    </row>
    <row r="45" customFormat="false" ht="23.25" hidden="false" customHeight="true" outlineLevel="0" collapsed="false">
      <c r="A45" s="18" t="n">
        <f aca="false">'Daily Schedule'!A46</f>
        <v>12</v>
      </c>
      <c r="B45" s="9" t="str">
        <f aca="false">'Daily Schedule'!B46</f>
        <v>Atrium</v>
      </c>
      <c r="C45" s="9" t="str">
        <f aca="false">'Daily Schedule'!C46</f>
        <v>KIA</v>
      </c>
      <c r="D45" s="19" t="str">
        <f aca="false">'Daily Schedule'!D46</f>
        <v>Tier 4</v>
      </c>
      <c r="E45" s="20" t="str">
        <f aca="false">'Daily Schedule'!G46</f>
        <v>Linton Brereton</v>
      </c>
      <c r="F45" s="19" t="str">
        <f aca="false">'Daily Schedule'!H46</f>
        <v>5:45 AM</v>
      </c>
      <c r="G45" s="19" t="str">
        <f aca="false">'Daily Schedule'!N46</f>
        <v>9:00 AM</v>
      </c>
      <c r="H45" s="20" t="str">
        <f aca="false">IF('Daily Schedule'!P46="","",IF(LEFT('Daily Schedule'!P46,4)="EMP-",IFERROR(INDEX('Daily Workforce'!$C$6:$C$205,MATCH('Daily Schedule'!P46,'Daily Workforce'!$B$6:$B$205,0)),IFERROR(INDEX('Employee Master'!$B$2:$B$159,MATCH('Daily Schedule'!P46,'Employee Master'!$A$2:$A$159,0)),'Daily Schedule'!P46)),'Daily Schedule'!P46))</f>
        <v/>
      </c>
      <c r="I45" s="9" t="str">
        <f aca="false">IF('Daily Schedule'!O46="","",IFERROR(INDEX('Daily Schedule'!$C$6:$C$57,MATCH('Daily Schedule'!O46,'Daily Schedule'!$A$6:$A$57,0)),IFERROR(INDEX('Position Library'!$C$2:$C$53,MATCH('Daily Schedule'!O46,'Position Library'!$A$2:$A$53,0)),'Daily Schedule'!O46)))</f>
        <v/>
      </c>
      <c r="J45" s="21" t="str">
        <f aca="false">IF('Daily Schedule'!P46="","",IFERROR(INDEX('Daily Schedule'!$N$6:$N$57,MATCH(IF(LEFT('Daily Schedule'!P46,4)="EMP-",IFERROR(INDEX('Daily Workforce'!$C$6:$C$205,MATCH('Daily Schedule'!P46,'Daily Workforce'!$B$6:$B$205,0)),'Daily Schedule'!P46),'Daily Schedule'!P46),'Daily Schedule'!$G$6:$G$57,0)),IFERROR(INDEX('Daily Schedule'!$N$6:$N$57,MATCH('Daily Schedule'!P46,'Daily Schedule'!$F$6:$F$57,0)),"")))</f>
        <v/>
      </c>
      <c r="K45" s="19" t="str">
        <f aca="false">'Daily Schedule'!Q46</f>
        <v>NOT REQUIRED</v>
      </c>
      <c r="L45" s="22" t="str">
        <f aca="false">IF('Daily Schedule'!G46="","UNFILLED",IF(AND('Daily Schedule'!N46&lt;&gt;"",J45&lt;&gt;"",'Daily Schedule'!N46=J45),"SAME LUNCH",IF(AND('Daily Schedule'!D46="Tier 1",OR('Daily Schedule'!P46="",'Daily Schedule'!Q46="RELIEF GAP")),"NO RELIEF",IF('Daily Schedule'!Q46="COVERED","OK",IF('Daily Schedule'!Q46="","CHECK",'Daily Schedule'!Q46)))))</f>
        <v>NOT REQUIRED</v>
      </c>
    </row>
    <row r="46" customFormat="false" ht="23.25" hidden="false" customHeight="true" outlineLevel="0" collapsed="false">
      <c r="A46" s="18" t="n">
        <f aca="false">'Daily Schedule'!A47</f>
        <v>13</v>
      </c>
      <c r="B46" s="9" t="str">
        <f aca="false">'Daily Schedule'!B47</f>
        <v>Atrium</v>
      </c>
      <c r="C46" s="9" t="str">
        <f aca="false">'Daily Schedule'!C47</f>
        <v>West Elevator</v>
      </c>
      <c r="D46" s="19" t="str">
        <f aca="false">'Daily Schedule'!D47</f>
        <v>Tier 4</v>
      </c>
      <c r="E46" s="20" t="str">
        <f aca="false">'Daily Schedule'!G47</f>
        <v>Mamadou Seck</v>
      </c>
      <c r="F46" s="19" t="str">
        <f aca="false">'Daily Schedule'!H47</f>
        <v>5:45 AM</v>
      </c>
      <c r="G46" s="19" t="str">
        <f aca="false">'Daily Schedule'!N47</f>
        <v>10:00 AM</v>
      </c>
      <c r="H46" s="20" t="str">
        <f aca="false">IF('Daily Schedule'!P47="","",IF(LEFT('Daily Schedule'!P47,4)="EMP-",IFERROR(INDEX('Daily Workforce'!$C$6:$C$205,MATCH('Daily Schedule'!P47,'Daily Workforce'!$B$6:$B$205,0)),IFERROR(INDEX('Employee Master'!$B$2:$B$159,MATCH('Daily Schedule'!P47,'Employee Master'!$A$2:$A$159,0)),'Daily Schedule'!P47)),'Daily Schedule'!P47))</f>
        <v/>
      </c>
      <c r="I46" s="9" t="str">
        <f aca="false">IF('Daily Schedule'!O47="","",IFERROR(INDEX('Daily Schedule'!$C$6:$C$57,MATCH('Daily Schedule'!O47,'Daily Schedule'!$A$6:$A$57,0)),IFERROR(INDEX('Position Library'!$C$2:$C$53,MATCH('Daily Schedule'!O47,'Position Library'!$A$2:$A$53,0)),'Daily Schedule'!O47)))</f>
        <v/>
      </c>
      <c r="J46" s="21" t="str">
        <f aca="false">IF('Daily Schedule'!P47="","",IFERROR(INDEX('Daily Schedule'!$N$6:$N$57,MATCH(IF(LEFT('Daily Schedule'!P47,4)="EMP-",IFERROR(INDEX('Daily Workforce'!$C$6:$C$205,MATCH('Daily Schedule'!P47,'Daily Workforce'!$B$6:$B$205,0)),'Daily Schedule'!P47),'Daily Schedule'!P47),'Daily Schedule'!$G$6:$G$57,0)),IFERROR(INDEX('Daily Schedule'!$N$6:$N$57,MATCH('Daily Schedule'!P47,'Daily Schedule'!$F$6:$F$57,0)),"")))</f>
        <v/>
      </c>
      <c r="K46" s="19" t="str">
        <f aca="false">'Daily Schedule'!Q47</f>
        <v>NOT REQUIRED</v>
      </c>
      <c r="L46" s="22" t="str">
        <f aca="false">IF('Daily Schedule'!G47="","UNFILLED",IF(AND('Daily Schedule'!N47&lt;&gt;"",J46&lt;&gt;"",'Daily Schedule'!N47=J46),"SAME LUNCH",IF(AND('Daily Schedule'!D47="Tier 1",OR('Daily Schedule'!P47="",'Daily Schedule'!Q47="RELIEF GAP")),"NO RELIEF",IF('Daily Schedule'!Q47="COVERED","OK",IF('Daily Schedule'!Q47="","CHECK",'Daily Schedule'!Q47)))))</f>
        <v>NOT REQUIRED</v>
      </c>
    </row>
    <row r="47" customFormat="false" ht="15" hidden="false" customHeight="true" outlineLevel="0" collapsed="false">
      <c r="A47" s="18" t="n">
        <f aca="false">'Daily Schedule'!A48</f>
        <v>15</v>
      </c>
      <c r="B47" s="9" t="str">
        <f aca="false">'Daily Schedule'!B48</f>
        <v>South Security Checkpoint</v>
      </c>
      <c r="C47" s="9" t="str">
        <f aca="false">'Daily Schedule'!C48</f>
        <v>Checkpoint – Inside </v>
      </c>
      <c r="D47" s="19" t="str">
        <f aca="false">'Daily Schedule'!D48</f>
        <v>Tier 4</v>
      </c>
      <c r="E47" s="20" t="str">
        <f aca="false">'Daily Schedule'!G48</f>
        <v>Marquise Jackson</v>
      </c>
      <c r="F47" s="19" t="str">
        <f aca="false">'Daily Schedule'!H48</f>
        <v>5:45 AM</v>
      </c>
      <c r="G47" s="19" t="str">
        <f aca="false">'Daily Schedule'!N48</f>
        <v>10:00 AM</v>
      </c>
      <c r="H47" s="20" t="str">
        <f aca="false">IF('Daily Schedule'!P48="","",IF(LEFT('Daily Schedule'!P48,4)="EMP-",IFERROR(INDEX('Daily Workforce'!$C$6:$C$205,MATCH('Daily Schedule'!P48,'Daily Workforce'!$B$6:$B$205,0)),IFERROR(INDEX('Employee Master'!$B$2:$B$159,MATCH('Daily Schedule'!P48,'Employee Master'!$A$2:$A$159,0)),'Daily Schedule'!P48)),'Daily Schedule'!P48))</f>
        <v>Kimberly Morrison</v>
      </c>
      <c r="I47" s="9" t="str">
        <f aca="false">IF('Daily Schedule'!O48="","",IFERROR(INDEX('Daily Schedule'!$C$6:$C$57,MATCH('Daily Schedule'!O48,'Daily Schedule'!$A$6:$A$57,0)),IFERROR(INDEX('Position Library'!$C$2:$C$53,MATCH('Daily Schedule'!O48,'Position Library'!$A$2:$A$53,0)),'Daily Schedule'!O48)))</f>
        <v>Checkpoint – Inside </v>
      </c>
      <c r="J47" s="21" t="str">
        <f aca="false">IF('Daily Schedule'!P48="","",IFERROR(INDEX('Daily Schedule'!$N$6:$N$57,MATCH(IF(LEFT('Daily Schedule'!P48,4)="EMP-",IFERROR(INDEX('Daily Workforce'!$C$6:$C$205,MATCH('Daily Schedule'!P48,'Daily Workforce'!$B$6:$B$205,0)),'Daily Schedule'!P48),'Daily Schedule'!P48),'Daily Schedule'!$G$6:$G$57,0)),IFERROR(INDEX('Daily Schedule'!$N$6:$N$57,MATCH('Daily Schedule'!P48,'Daily Schedule'!$F$6:$F$57,0)),"")))</f>
        <v>8:00 AM</v>
      </c>
      <c r="K47" s="19" t="str">
        <f aca="false">'Daily Schedule'!Q48</f>
        <v>COVERED</v>
      </c>
      <c r="L47" s="22" t="str">
        <f aca="false">IF('Daily Schedule'!G48="","UNFILLED",IF(AND('Daily Schedule'!N48&lt;&gt;"",J47&lt;&gt;"",'Daily Schedule'!N48=J47),"SAME LUNCH",IF(AND('Daily Schedule'!D48="Tier 1",OR('Daily Schedule'!P48="",'Daily Schedule'!Q48="RELIEF GAP")),"NO RELIEF",IF('Daily Schedule'!Q48="COVERED","OK",IF('Daily Schedule'!Q48="","CHECK",'Daily Schedule'!Q48)))))</f>
        <v>OK</v>
      </c>
    </row>
    <row r="48" customFormat="false" ht="23.25" hidden="false" customHeight="true" outlineLevel="0" collapsed="false">
      <c r="A48" s="18" t="n">
        <f aca="false">'Daily Schedule'!A49</f>
        <v>21</v>
      </c>
      <c r="B48" s="9" t="str">
        <f aca="false">'Daily Schedule'!B49</f>
        <v>South Security Checkpoint</v>
      </c>
      <c r="C48" s="9" t="str">
        <f aca="false">'Daily Schedule'!C49</f>
        <v>Piedmont / West Crossover</v>
      </c>
      <c r="D48" s="19" t="str">
        <f aca="false">'Daily Schedule'!D49</f>
        <v>Tier 4</v>
      </c>
      <c r="E48" s="20" t="str">
        <f aca="false">'Daily Schedule'!G49</f>
        <v>Mildred Tarres</v>
      </c>
      <c r="F48" s="19" t="str">
        <f aca="false">'Daily Schedule'!H49</f>
        <v>5:45 AM</v>
      </c>
      <c r="G48" s="19" t="str">
        <f aca="false">'Daily Schedule'!N49</f>
        <v>9:00 AM</v>
      </c>
      <c r="H48" s="20" t="str">
        <f aca="false">IF('Daily Schedule'!P49="","",IF(LEFT('Daily Schedule'!P49,4)="EMP-",IFERROR(INDEX('Daily Workforce'!$C$6:$C$205,MATCH('Daily Schedule'!P49,'Daily Workforce'!$B$6:$B$205,0)),IFERROR(INDEX('Employee Master'!$B$2:$B$159,MATCH('Daily Schedule'!P49,'Employee Master'!$A$2:$A$159,0)),'Daily Schedule'!P49)),'Daily Schedule'!P49))</f>
        <v/>
      </c>
      <c r="I48" s="9" t="str">
        <f aca="false">IF('Daily Schedule'!O49="","",IFERROR(INDEX('Daily Schedule'!$C$6:$C$57,MATCH('Daily Schedule'!O49,'Daily Schedule'!$A$6:$A$57,0)),IFERROR(INDEX('Position Library'!$C$2:$C$53,MATCH('Daily Schedule'!O49,'Position Library'!$A$2:$A$53,0)),'Daily Schedule'!O49)))</f>
        <v/>
      </c>
      <c r="J48" s="21" t="str">
        <f aca="false">IF('Daily Schedule'!P49="","",IFERROR(INDEX('Daily Schedule'!$N$6:$N$57,MATCH(IF(LEFT('Daily Schedule'!P49,4)="EMP-",IFERROR(INDEX('Daily Workforce'!$C$6:$C$205,MATCH('Daily Schedule'!P49,'Daily Workforce'!$B$6:$B$205,0)),'Daily Schedule'!P49),'Daily Schedule'!P49),'Daily Schedule'!$G$6:$G$57,0)),IFERROR(INDEX('Daily Schedule'!$N$6:$N$57,MATCH('Daily Schedule'!P49,'Daily Schedule'!$F$6:$F$57,0)),"")))</f>
        <v/>
      </c>
      <c r="K48" s="19" t="str">
        <f aca="false">'Daily Schedule'!Q49</f>
        <v>NOT REQUIRED</v>
      </c>
      <c r="L48" s="22" t="str">
        <f aca="false">IF('Daily Schedule'!G49="","UNFILLED",IF(AND('Daily Schedule'!N49&lt;&gt;"",J48&lt;&gt;"",'Daily Schedule'!N49=J48),"SAME LUNCH",IF(AND('Daily Schedule'!D49="Tier 1",OR('Daily Schedule'!P49="",'Daily Schedule'!Q49="RELIEF GAP")),"NO RELIEF",IF('Daily Schedule'!Q49="COVERED","OK",IF('Daily Schedule'!Q49="","CHECK",'Daily Schedule'!Q49)))))</f>
        <v>NOT REQUIRED</v>
      </c>
    </row>
    <row r="49" customFormat="false" ht="23.25" hidden="false" customHeight="true" outlineLevel="0" collapsed="false">
      <c r="A49" s="18" t="n">
        <f aca="false">'Daily Schedule'!A50</f>
        <v>22</v>
      </c>
      <c r="B49" s="9" t="str">
        <f aca="false">'Daily Schedule'!B50</f>
        <v>South Security Checkpoint</v>
      </c>
      <c r="C49" s="9" t="str">
        <f aca="false">'Daily Schedule'!C50</f>
        <v>West Crossover </v>
      </c>
      <c r="D49" s="19" t="str">
        <f aca="false">'Daily Schedule'!D50</f>
        <v>Tier 4</v>
      </c>
      <c r="E49" s="20" t="str">
        <f aca="false">'Daily Schedule'!G50</f>
        <v>Samiroe Ford</v>
      </c>
      <c r="F49" s="19" t="str">
        <f aca="false">'Daily Schedule'!H50</f>
        <v>5:45 AM</v>
      </c>
      <c r="G49" s="19" t="str">
        <f aca="false">'Daily Schedule'!N50</f>
        <v>10:00 AM</v>
      </c>
      <c r="H49" s="20" t="str">
        <f aca="false">IF('Daily Schedule'!P50="","",IF(LEFT('Daily Schedule'!P50,4)="EMP-",IFERROR(INDEX('Daily Workforce'!$C$6:$C$205,MATCH('Daily Schedule'!P50,'Daily Workforce'!$B$6:$B$205,0)),IFERROR(INDEX('Employee Master'!$B$2:$B$159,MATCH('Daily Schedule'!P50,'Employee Master'!$A$2:$A$159,0)),'Daily Schedule'!P50)),'Daily Schedule'!P50))</f>
        <v/>
      </c>
      <c r="I49" s="9" t="str">
        <f aca="false">IF('Daily Schedule'!O50="","",IFERROR(INDEX('Daily Schedule'!$C$6:$C$57,MATCH('Daily Schedule'!O50,'Daily Schedule'!$A$6:$A$57,0)),IFERROR(INDEX('Position Library'!$C$2:$C$53,MATCH('Daily Schedule'!O50,'Position Library'!$A$2:$A$53,0)),'Daily Schedule'!O50)))</f>
        <v/>
      </c>
      <c r="J49" s="21" t="str">
        <f aca="false">IF('Daily Schedule'!P50="","",IFERROR(INDEX('Daily Schedule'!$N$6:$N$57,MATCH(IF(LEFT('Daily Schedule'!P50,4)="EMP-",IFERROR(INDEX('Daily Workforce'!$C$6:$C$205,MATCH('Daily Schedule'!P50,'Daily Workforce'!$B$6:$B$205,0)),'Daily Schedule'!P50),'Daily Schedule'!P50),'Daily Schedule'!$G$6:$G$57,0)),IFERROR(INDEX('Daily Schedule'!$N$6:$N$57,MATCH('Daily Schedule'!P50,'Daily Schedule'!$F$6:$F$57,0)),"")))</f>
        <v/>
      </c>
      <c r="K49" s="19" t="str">
        <f aca="false">'Daily Schedule'!Q50</f>
        <v>NOT REQUIRED</v>
      </c>
      <c r="L49" s="22" t="str">
        <f aca="false">IF('Daily Schedule'!G50="","UNFILLED",IF(AND('Daily Schedule'!N50&lt;&gt;"",J49&lt;&gt;"",'Daily Schedule'!N50=J49),"SAME LUNCH",IF(AND('Daily Schedule'!D50="Tier 1",OR('Daily Schedule'!P50="",'Daily Schedule'!Q50="RELIEF GAP")),"NO RELIEF",IF('Daily Schedule'!Q50="COVERED","OK",IF('Daily Schedule'!Q50="","CHECK",'Daily Schedule'!Q50)))))</f>
        <v>NOT REQUIRED</v>
      </c>
    </row>
    <row r="50" customFormat="false" ht="23.25" hidden="false" customHeight="true" outlineLevel="0" collapsed="false">
      <c r="A50" s="18" t="n">
        <f aca="false">'Daily Schedule'!A51</f>
        <v>23</v>
      </c>
      <c r="B50" s="9" t="str">
        <f aca="false">'Daily Schedule'!B51</f>
        <v>South Security Checkpoint</v>
      </c>
      <c r="C50" s="9" t="str">
        <f aca="false">'Daily Schedule'!C51</f>
        <v>West Crossover </v>
      </c>
      <c r="D50" s="19" t="str">
        <f aca="false">'Daily Schedule'!D51</f>
        <v>Tier 4</v>
      </c>
      <c r="E50" s="20" t="str">
        <f aca="false">'Daily Schedule'!G51</f>
        <v>Sandra Gerson</v>
      </c>
      <c r="F50" s="19" t="str">
        <f aca="false">'Daily Schedule'!H51</f>
        <v>5:45 AM</v>
      </c>
      <c r="G50" s="19" t="str">
        <f aca="false">'Daily Schedule'!N51</f>
        <v>10:00 AM</v>
      </c>
      <c r="H50" s="20" t="str">
        <f aca="false">IF('Daily Schedule'!P51="","",IF(LEFT('Daily Schedule'!P51,4)="EMP-",IFERROR(INDEX('Daily Workforce'!$C$6:$C$205,MATCH('Daily Schedule'!P51,'Daily Workforce'!$B$6:$B$205,0)),IFERROR(INDEX('Employee Master'!$B$2:$B$159,MATCH('Daily Schedule'!P51,'Employee Master'!$A$2:$A$159,0)),'Daily Schedule'!P51)),'Daily Schedule'!P51))</f>
        <v/>
      </c>
      <c r="I50" s="9" t="str">
        <f aca="false">IF('Daily Schedule'!O51="","",IFERROR(INDEX('Daily Schedule'!$C$6:$C$57,MATCH('Daily Schedule'!O51,'Daily Schedule'!$A$6:$A$57,0)),IFERROR(INDEX('Position Library'!$C$2:$C$53,MATCH('Daily Schedule'!O51,'Position Library'!$A$2:$A$53,0)),'Daily Schedule'!O51)))</f>
        <v/>
      </c>
      <c r="J50" s="21" t="str">
        <f aca="false">IF('Daily Schedule'!P51="","",IFERROR(INDEX('Daily Schedule'!$N$6:$N$57,MATCH(IF(LEFT('Daily Schedule'!P51,4)="EMP-",IFERROR(INDEX('Daily Workforce'!$C$6:$C$205,MATCH('Daily Schedule'!P51,'Daily Workforce'!$B$6:$B$205,0)),'Daily Schedule'!P51),'Daily Schedule'!P51),'Daily Schedule'!$G$6:$G$57,0)),IFERROR(INDEX('Daily Schedule'!$N$6:$N$57,MATCH('Daily Schedule'!P51,'Daily Schedule'!$F$6:$F$57,0)),"")))</f>
        <v/>
      </c>
      <c r="K50" s="19" t="str">
        <f aca="false">'Daily Schedule'!Q51</f>
        <v>NOT REQUIRED</v>
      </c>
      <c r="L50" s="22" t="str">
        <f aca="false">IF('Daily Schedule'!G51="","UNFILLED",IF(AND('Daily Schedule'!N51&lt;&gt;"",J50&lt;&gt;"",'Daily Schedule'!N51=J50),"SAME LUNCH",IF(AND('Daily Schedule'!D51="Tier 1",OR('Daily Schedule'!P51="",'Daily Schedule'!Q51="RELIEF GAP")),"NO RELIEF",IF('Daily Schedule'!Q51="COVERED","OK",IF('Daily Schedule'!Q51="","CHECK",'Daily Schedule'!Q51)))))</f>
        <v>NOT REQUIRED</v>
      </c>
    </row>
    <row r="51" customFormat="false" ht="23.25" hidden="false" customHeight="true" outlineLevel="0" collapsed="false">
      <c r="A51" s="18" t="n">
        <f aca="false">'Daily Schedule'!A52</f>
        <v>28</v>
      </c>
      <c r="B51" s="9" t="str">
        <f aca="false">'Daily Schedule'!B52</f>
        <v>North Security Checkpoint</v>
      </c>
      <c r="C51" s="9" t="str">
        <f aca="false">'Daily Schedule'!C52</f>
        <v>TGIF / West Crossover</v>
      </c>
      <c r="D51" s="19" t="str">
        <f aca="false">'Daily Schedule'!D52</f>
        <v>Tier 4</v>
      </c>
      <c r="E51" s="20" t="str">
        <f aca="false">'Daily Schedule'!G52</f>
        <v>Sara Alemu</v>
      </c>
      <c r="F51" s="19" t="str">
        <f aca="false">'Daily Schedule'!H52</f>
        <v>5:45 AM</v>
      </c>
      <c r="G51" s="19" t="str">
        <f aca="false">'Daily Schedule'!N52</f>
        <v>9:00 AM</v>
      </c>
      <c r="H51" s="20" t="str">
        <f aca="false">IF('Daily Schedule'!P52="","",IF(LEFT('Daily Schedule'!P52,4)="EMP-",IFERROR(INDEX('Daily Workforce'!$C$6:$C$205,MATCH('Daily Schedule'!P52,'Daily Workforce'!$B$6:$B$205,0)),IFERROR(INDEX('Employee Master'!$B$2:$B$159,MATCH('Daily Schedule'!P52,'Employee Master'!$A$2:$A$159,0)),'Daily Schedule'!P52)),'Daily Schedule'!P52))</f>
        <v/>
      </c>
      <c r="I51" s="9" t="str">
        <f aca="false">IF('Daily Schedule'!O52="","",IFERROR(INDEX('Daily Schedule'!$C$6:$C$57,MATCH('Daily Schedule'!O52,'Daily Schedule'!$A$6:$A$57,0)),IFERROR(INDEX('Position Library'!$C$2:$C$53,MATCH('Daily Schedule'!O52,'Position Library'!$A$2:$A$53,0)),'Daily Schedule'!O52)))</f>
        <v/>
      </c>
      <c r="J51" s="21" t="str">
        <f aca="false">IF('Daily Schedule'!P52="","",IFERROR(INDEX('Daily Schedule'!$N$6:$N$57,MATCH(IF(LEFT('Daily Schedule'!P52,4)="EMP-",IFERROR(INDEX('Daily Workforce'!$C$6:$C$205,MATCH('Daily Schedule'!P52,'Daily Workforce'!$B$6:$B$205,0)),'Daily Schedule'!P52),'Daily Schedule'!P52),'Daily Schedule'!$G$6:$G$57,0)),IFERROR(INDEX('Daily Schedule'!$N$6:$N$57,MATCH('Daily Schedule'!P52,'Daily Schedule'!$F$6:$F$57,0)),"")))</f>
        <v/>
      </c>
      <c r="K51" s="19" t="str">
        <f aca="false">'Daily Schedule'!Q52</f>
        <v>NOT REQUIRED</v>
      </c>
      <c r="L51" s="22" t="str">
        <f aca="false">IF('Daily Schedule'!G52="","UNFILLED",IF(AND('Daily Schedule'!N52&lt;&gt;"",J51&lt;&gt;"",'Daily Schedule'!N52=J51),"SAME LUNCH",IF(AND('Daily Schedule'!D52="Tier 1",OR('Daily Schedule'!P52="",'Daily Schedule'!Q52="RELIEF GAP")),"NO RELIEF",IF('Daily Schedule'!Q52="COVERED","OK",IF('Daily Schedule'!Q52="","CHECK",'Daily Schedule'!Q52)))))</f>
        <v>NOT REQUIRED</v>
      </c>
    </row>
    <row r="52" customFormat="false" ht="23.25" hidden="false" customHeight="true" outlineLevel="0" collapsed="false">
      <c r="A52" s="18" t="n">
        <f aca="false">'Daily Schedule'!A53</f>
        <v>34</v>
      </c>
      <c r="B52" s="9" t="str">
        <f aca="false">'Daily Schedule'!B53</f>
        <v>AGT Level</v>
      </c>
      <c r="C52" s="9" t="str">
        <f aca="false">'Daily Schedule'!C53</f>
        <v>Checkpoint – Glass Doors</v>
      </c>
      <c r="D52" s="19" t="str">
        <f aca="false">'Daily Schedule'!D53</f>
        <v>Tier 4</v>
      </c>
      <c r="E52" s="20" t="str">
        <f aca="false">'Daily Schedule'!G53</f>
        <v>Shanta Harvey</v>
      </c>
      <c r="F52" s="19" t="str">
        <f aca="false">'Daily Schedule'!H53</f>
        <v>5:45 AM</v>
      </c>
      <c r="G52" s="19" t="str">
        <f aca="false">'Daily Schedule'!N53</f>
        <v>10:00 AM</v>
      </c>
      <c r="H52" s="20" t="str">
        <f aca="false">IF('Daily Schedule'!P53="","",IF(LEFT('Daily Schedule'!P53,4)="EMP-",IFERROR(INDEX('Daily Workforce'!$C$6:$C$205,MATCH('Daily Schedule'!P53,'Daily Workforce'!$B$6:$B$205,0)),IFERROR(INDEX('Employee Master'!$B$2:$B$159,MATCH('Daily Schedule'!P53,'Employee Master'!$A$2:$A$159,0)),'Daily Schedule'!P53)),'Daily Schedule'!P53))</f>
        <v/>
      </c>
      <c r="I52" s="9" t="str">
        <f aca="false">IF('Daily Schedule'!O53="","",IFERROR(INDEX('Daily Schedule'!$C$6:$C$57,MATCH('Daily Schedule'!O53,'Daily Schedule'!$A$6:$A$57,0)),IFERROR(INDEX('Position Library'!$C$2:$C$53,MATCH('Daily Schedule'!O53,'Position Library'!$A$2:$A$53,0)),'Daily Schedule'!O53)))</f>
        <v/>
      </c>
      <c r="J52" s="21" t="str">
        <f aca="false">IF('Daily Schedule'!P53="","",IFERROR(INDEX('Daily Schedule'!$N$6:$N$57,MATCH(IF(LEFT('Daily Schedule'!P53,4)="EMP-",IFERROR(INDEX('Daily Workforce'!$C$6:$C$205,MATCH('Daily Schedule'!P53,'Daily Workforce'!$B$6:$B$205,0)),'Daily Schedule'!P53),'Daily Schedule'!P53),'Daily Schedule'!$G$6:$G$57,0)),IFERROR(INDEX('Daily Schedule'!$N$6:$N$57,MATCH('Daily Schedule'!P53,'Daily Schedule'!$F$6:$F$57,0)),"")))</f>
        <v/>
      </c>
      <c r="K52" s="19" t="str">
        <f aca="false">'Daily Schedule'!Q53</f>
        <v>NOT REQUIRED</v>
      </c>
      <c r="L52" s="22" t="str">
        <f aca="false">IF('Daily Schedule'!G53="","UNFILLED",IF(AND('Daily Schedule'!N53&lt;&gt;"",J52&lt;&gt;"",'Daily Schedule'!N53=J52),"SAME LUNCH",IF(AND('Daily Schedule'!D53="Tier 1",OR('Daily Schedule'!P53="",'Daily Schedule'!Q53="RELIEF GAP")),"NO RELIEF",IF('Daily Schedule'!Q53="COVERED","OK",IF('Daily Schedule'!Q53="","CHECK",'Daily Schedule'!Q53)))))</f>
        <v>NOT REQUIRED</v>
      </c>
    </row>
    <row r="53" customFormat="false" ht="23.25" hidden="false" customHeight="true" outlineLevel="0" collapsed="false">
      <c r="A53" s="18" t="n">
        <f aca="false">'Daily Schedule'!A54</f>
        <v>41</v>
      </c>
      <c r="B53" s="9" t="str">
        <f aca="false">'Daily Schedule'!B54</f>
        <v>AGT Level</v>
      </c>
      <c r="C53" s="9" t="str">
        <f aca="false">'Daily Schedule'!C54</f>
        <v>Alpha West</v>
      </c>
      <c r="D53" s="19" t="str">
        <f aca="false">'Daily Schedule'!D54</f>
        <v>Tier 4</v>
      </c>
      <c r="E53" s="20" t="str">
        <f aca="false">'Daily Schedule'!G54</f>
        <v>Shanta Islam</v>
      </c>
      <c r="F53" s="19" t="str">
        <f aca="false">'Daily Schedule'!H54</f>
        <v>5:45 AM</v>
      </c>
      <c r="G53" s="19" t="str">
        <f aca="false">'Daily Schedule'!N54</f>
        <v>10:00 AM</v>
      </c>
      <c r="H53" s="20" t="str">
        <f aca="false">IF('Daily Schedule'!P54="","",IF(LEFT('Daily Schedule'!P54,4)="EMP-",IFERROR(INDEX('Daily Workforce'!$C$6:$C$205,MATCH('Daily Schedule'!P54,'Daily Workforce'!$B$6:$B$205,0)),IFERROR(INDEX('Employee Master'!$B$2:$B$159,MATCH('Daily Schedule'!P54,'Employee Master'!$A$2:$A$159,0)),'Daily Schedule'!P54)),'Daily Schedule'!P54))</f>
        <v/>
      </c>
      <c r="I53" s="9" t="str">
        <f aca="false">IF('Daily Schedule'!O54="","",IFERROR(INDEX('Daily Schedule'!$C$6:$C$57,MATCH('Daily Schedule'!O54,'Daily Schedule'!$A$6:$A$57,0)),IFERROR(INDEX('Position Library'!$C$2:$C$53,MATCH('Daily Schedule'!O54,'Position Library'!$A$2:$A$53,0)),'Daily Schedule'!O54)))</f>
        <v/>
      </c>
      <c r="J53" s="21" t="str">
        <f aca="false">IF('Daily Schedule'!P54="","",IFERROR(INDEX('Daily Schedule'!$N$6:$N$57,MATCH(IF(LEFT('Daily Schedule'!P54,4)="EMP-",IFERROR(INDEX('Daily Workforce'!$C$6:$C$205,MATCH('Daily Schedule'!P54,'Daily Workforce'!$B$6:$B$205,0)),'Daily Schedule'!P54),'Daily Schedule'!P54),'Daily Schedule'!$G$6:$G$57,0)),IFERROR(INDEX('Daily Schedule'!$N$6:$N$57,MATCH('Daily Schedule'!P54,'Daily Schedule'!$F$6:$F$57,0)),"")))</f>
        <v/>
      </c>
      <c r="K53" s="19" t="str">
        <f aca="false">'Daily Schedule'!Q54</f>
        <v>NOT REQUIRED</v>
      </c>
      <c r="L53" s="22" t="str">
        <f aca="false">IF('Daily Schedule'!G54="","UNFILLED",IF(AND('Daily Schedule'!N54&lt;&gt;"",J53&lt;&gt;"",'Daily Schedule'!N54=J53),"SAME LUNCH",IF(AND('Daily Schedule'!D54="Tier 1",OR('Daily Schedule'!P54="",'Daily Schedule'!Q54="RELIEF GAP")),"NO RELIEF",IF('Daily Schedule'!Q54="COVERED","OK",IF('Daily Schedule'!Q54="","CHECK",'Daily Schedule'!Q54)))))</f>
        <v>NOT REQUIRED</v>
      </c>
    </row>
    <row r="54" customFormat="false" ht="23.25" hidden="false" customHeight="true" outlineLevel="0" collapsed="false">
      <c r="A54" s="18" t="n">
        <f aca="false">'Daily Schedule'!A55</f>
        <v>42</v>
      </c>
      <c r="B54" s="9" t="str">
        <f aca="false">'Daily Schedule'!B55</f>
        <v>AGT Level</v>
      </c>
      <c r="C54" s="9" t="str">
        <f aca="false">'Daily Schedule'!C55</f>
        <v>Bravo West</v>
      </c>
      <c r="D54" s="19" t="str">
        <f aca="false">'Daily Schedule'!D55</f>
        <v>Tier 4</v>
      </c>
      <c r="E54" s="20" t="str">
        <f aca="false">'Daily Schedule'!G55</f>
        <v>Shawanda Webb</v>
      </c>
      <c r="F54" s="19" t="str">
        <f aca="false">'Daily Schedule'!H55</f>
        <v>5:45 AM</v>
      </c>
      <c r="G54" s="19" t="str">
        <f aca="false">'Daily Schedule'!N55</f>
        <v>9:00 AM</v>
      </c>
      <c r="H54" s="20" t="str">
        <f aca="false">IF('Daily Schedule'!P55="","",IF(LEFT('Daily Schedule'!P55,4)="EMP-",IFERROR(INDEX('Daily Workforce'!$C$6:$C$205,MATCH('Daily Schedule'!P55,'Daily Workforce'!$B$6:$B$205,0)),IFERROR(INDEX('Employee Master'!$B$2:$B$159,MATCH('Daily Schedule'!P55,'Employee Master'!$A$2:$A$159,0)),'Daily Schedule'!P55)),'Daily Schedule'!P55))</f>
        <v/>
      </c>
      <c r="I54" s="9" t="str">
        <f aca="false">IF('Daily Schedule'!O55="","",IFERROR(INDEX('Daily Schedule'!$C$6:$C$57,MATCH('Daily Schedule'!O55,'Daily Schedule'!$A$6:$A$57,0)),IFERROR(INDEX('Position Library'!$C$2:$C$53,MATCH('Daily Schedule'!O55,'Position Library'!$A$2:$A$53,0)),'Daily Schedule'!O55)))</f>
        <v/>
      </c>
      <c r="J54" s="21" t="str">
        <f aca="false">IF('Daily Schedule'!P55="","",IFERROR(INDEX('Daily Schedule'!$N$6:$N$57,MATCH(IF(LEFT('Daily Schedule'!P55,4)="EMP-",IFERROR(INDEX('Daily Workforce'!$C$6:$C$205,MATCH('Daily Schedule'!P55,'Daily Workforce'!$B$6:$B$205,0)),'Daily Schedule'!P55),'Daily Schedule'!P55),'Daily Schedule'!$G$6:$G$57,0)),IFERROR(INDEX('Daily Schedule'!$N$6:$N$57,MATCH('Daily Schedule'!P55,'Daily Schedule'!$F$6:$F$57,0)),"")))</f>
        <v/>
      </c>
      <c r="K54" s="19" t="str">
        <f aca="false">'Daily Schedule'!Q55</f>
        <v>NOT REQUIRED</v>
      </c>
      <c r="L54" s="22" t="str">
        <f aca="false">IF('Daily Schedule'!G55="","UNFILLED",IF(AND('Daily Schedule'!N55&lt;&gt;"",J54&lt;&gt;"",'Daily Schedule'!N55=J54),"SAME LUNCH",IF(AND('Daily Schedule'!D55="Tier 1",OR('Daily Schedule'!P55="",'Daily Schedule'!Q55="RELIEF GAP")),"NO RELIEF",IF('Daily Schedule'!Q55="COVERED","OK",IF('Daily Schedule'!Q55="","CHECK",'Daily Schedule'!Q55)))))</f>
        <v>NOT REQUIRED</v>
      </c>
    </row>
    <row r="55" customFormat="false" ht="23.25" hidden="false" customHeight="true" outlineLevel="0" collapsed="false">
      <c r="A55" s="18" t="n">
        <f aca="false">'Daily Schedule'!A56</f>
        <v>43</v>
      </c>
      <c r="B55" s="9" t="str">
        <f aca="false">'Daily Schedule'!B56</f>
        <v>AGT Level</v>
      </c>
      <c r="C55" s="9" t="str">
        <f aca="false">'Daily Schedule'!C56</f>
        <v>Charlie West</v>
      </c>
      <c r="D55" s="19" t="str">
        <f aca="false">'Daily Schedule'!D56</f>
        <v>Tier 4</v>
      </c>
      <c r="E55" s="20" t="str">
        <f aca="false">'Daily Schedule'!G56</f>
        <v>Tyana Gutzmore</v>
      </c>
      <c r="F55" s="19" t="str">
        <f aca="false">'Daily Schedule'!H56</f>
        <v>5:45 AM</v>
      </c>
      <c r="G55" s="19" t="str">
        <f aca="false">'Daily Schedule'!N56</f>
        <v>10:00 AM</v>
      </c>
      <c r="H55" s="20" t="str">
        <f aca="false">IF('Daily Schedule'!P56="","",IF(LEFT('Daily Schedule'!P56,4)="EMP-",IFERROR(INDEX('Daily Workforce'!$C$6:$C$205,MATCH('Daily Schedule'!P56,'Daily Workforce'!$B$6:$B$205,0)),IFERROR(INDEX('Employee Master'!$B$2:$B$159,MATCH('Daily Schedule'!P56,'Employee Master'!$A$2:$A$159,0)),'Daily Schedule'!P56)),'Daily Schedule'!P56))</f>
        <v/>
      </c>
      <c r="I55" s="9" t="str">
        <f aca="false">IF('Daily Schedule'!O56="","",IFERROR(INDEX('Daily Schedule'!$C$6:$C$57,MATCH('Daily Schedule'!O56,'Daily Schedule'!$A$6:$A$57,0)),IFERROR(INDEX('Position Library'!$C$2:$C$53,MATCH('Daily Schedule'!O56,'Position Library'!$A$2:$A$53,0)),'Daily Schedule'!O56)))</f>
        <v/>
      </c>
      <c r="J55" s="21" t="str">
        <f aca="false">IF('Daily Schedule'!P56="","",IFERROR(INDEX('Daily Schedule'!$N$6:$N$57,MATCH(IF(LEFT('Daily Schedule'!P56,4)="EMP-",IFERROR(INDEX('Daily Workforce'!$C$6:$C$205,MATCH('Daily Schedule'!P56,'Daily Workforce'!$B$6:$B$205,0)),'Daily Schedule'!P56),'Daily Schedule'!P56),'Daily Schedule'!$G$6:$G$57,0)),IFERROR(INDEX('Daily Schedule'!$N$6:$N$57,MATCH('Daily Schedule'!P56,'Daily Schedule'!$F$6:$F$57,0)),"")))</f>
        <v/>
      </c>
      <c r="K55" s="19" t="str">
        <f aca="false">'Daily Schedule'!Q56</f>
        <v>NOT REQUIRED</v>
      </c>
      <c r="L55" s="22" t="str">
        <f aca="false">IF('Daily Schedule'!G56="","UNFILLED",IF(AND('Daily Schedule'!N56&lt;&gt;"",J55&lt;&gt;"",'Daily Schedule'!N56=J55),"SAME LUNCH",IF(AND('Daily Schedule'!D56="Tier 1",OR('Daily Schedule'!P56="",'Daily Schedule'!Q56="RELIEF GAP")),"NO RELIEF",IF('Daily Schedule'!Q56="COVERED","OK",IF('Daily Schedule'!Q56="","CHECK",'Daily Schedule'!Q56)))))</f>
        <v>NOT REQUIRED</v>
      </c>
    </row>
    <row r="56" customFormat="false" ht="23.25" hidden="false" customHeight="true" outlineLevel="0" collapsed="false">
      <c r="A56" s="18" t="n">
        <f aca="false">'Daily Schedule'!A57</f>
        <v>44</v>
      </c>
      <c r="B56" s="9" t="str">
        <f aca="false">'Daily Schedule'!B57</f>
        <v>AGT Level</v>
      </c>
      <c r="C56" s="9" t="str">
        <f aca="false">'Daily Schedule'!C57</f>
        <v>Delta West</v>
      </c>
      <c r="D56" s="19" t="str">
        <f aca="false">'Daily Schedule'!D57</f>
        <v>Tier 4</v>
      </c>
      <c r="E56" s="20" t="str">
        <f aca="false">'Daily Schedule'!G57</f>
        <v>Vanessa Cortes</v>
      </c>
      <c r="F56" s="19" t="str">
        <f aca="false">'Daily Schedule'!H57</f>
        <v>5:45 AM</v>
      </c>
      <c r="G56" s="19" t="str">
        <f aca="false">'Daily Schedule'!N57</f>
        <v>10:00 AM</v>
      </c>
      <c r="H56" s="20" t="str">
        <f aca="false">IF('Daily Schedule'!P57="","",IF(LEFT('Daily Schedule'!P57,4)="EMP-",IFERROR(INDEX('Daily Workforce'!$C$6:$C$205,MATCH('Daily Schedule'!P57,'Daily Workforce'!$B$6:$B$205,0)),IFERROR(INDEX('Employee Master'!$B$2:$B$159,MATCH('Daily Schedule'!P57,'Employee Master'!$A$2:$A$159,0)),'Daily Schedule'!P57)),'Daily Schedule'!P57))</f>
        <v/>
      </c>
      <c r="I56" s="9" t="str">
        <f aca="false">IF('Daily Schedule'!O57="","",IFERROR(INDEX('Daily Schedule'!$C$6:$C$57,MATCH('Daily Schedule'!O57,'Daily Schedule'!$A$6:$A$57,0)),IFERROR(INDEX('Position Library'!$C$2:$C$53,MATCH('Daily Schedule'!O57,'Position Library'!$A$2:$A$53,0)),'Daily Schedule'!O57)))</f>
        <v/>
      </c>
      <c r="J56" s="21" t="str">
        <f aca="false">IF('Daily Schedule'!P57="","",IFERROR(INDEX('Daily Schedule'!$N$6:$N$57,MATCH(IF(LEFT('Daily Schedule'!P57,4)="EMP-",IFERROR(INDEX('Daily Workforce'!$C$6:$C$205,MATCH('Daily Schedule'!P57,'Daily Workforce'!$B$6:$B$205,0)),'Daily Schedule'!P57),'Daily Schedule'!P57),'Daily Schedule'!$G$6:$G$57,0)),IFERROR(INDEX('Daily Schedule'!$N$6:$N$57,MATCH('Daily Schedule'!P57,'Daily Schedule'!$F$6:$F$57,0)),"")))</f>
        <v/>
      </c>
      <c r="K56" s="19" t="str">
        <f aca="false">'Daily Schedule'!Q57</f>
        <v>NOT REQUIRED</v>
      </c>
      <c r="L56" s="22" t="str">
        <f aca="false">IF('Daily Schedule'!G57="","UNFILLED",IF(AND('Daily Schedule'!N57&lt;&gt;"",J56&lt;&gt;"",'Daily Schedule'!N57=J56),"SAME LUNCH",IF(AND('Daily Schedule'!D57="Tier 1",OR('Daily Schedule'!P57="",'Daily Schedule'!Q57="RELIEF GAP")),"NO RELIEF",IF('Daily Schedule'!Q57="COVERED","OK",IF('Daily Schedule'!Q57="","CHECK",'Daily Schedule'!Q57)))))</f>
        <v>NOT REQUIRED</v>
      </c>
    </row>
    <row r="58" customFormat="false" ht="15" hidden="false" customHeight="true" outlineLevel="0" collapsed="false">
      <c r="A58" s="23" t="s">
        <v>51</v>
      </c>
      <c r="B58" s="23"/>
      <c r="C58" s="23"/>
      <c r="D58" s="23"/>
    </row>
    <row r="59" customFormat="false" ht="15" hidden="false" customHeight="true" outlineLevel="0" collapsed="false">
      <c r="A59" s="24" t="s">
        <v>52</v>
      </c>
      <c r="B59" s="15" t="s">
        <v>53</v>
      </c>
    </row>
    <row r="60" customFormat="false" ht="15" hidden="false" customHeight="true" outlineLevel="0" collapsed="false">
      <c r="A60" s="12" t="s">
        <v>54</v>
      </c>
      <c r="B60" s="15" t="s">
        <v>55</v>
      </c>
    </row>
    <row r="61" customFormat="false" ht="15" hidden="false" customHeight="true" outlineLevel="0" collapsed="false">
      <c r="A61" s="12" t="s">
        <v>56</v>
      </c>
      <c r="B61" s="15" t="s">
        <v>57</v>
      </c>
    </row>
    <row r="62" customFormat="false" ht="15" hidden="false" customHeight="true" outlineLevel="0" collapsed="false">
      <c r="A62" s="25" t="s">
        <v>58</v>
      </c>
      <c r="B62" s="15" t="s">
        <v>59</v>
      </c>
    </row>
    <row r="63" customFormat="false" ht="15" hidden="false" customHeight="true" outlineLevel="0" collapsed="false">
      <c r="A63" s="25" t="s">
        <v>60</v>
      </c>
      <c r="B63" s="15" t="s">
        <v>61</v>
      </c>
    </row>
    <row r="65" customFormat="false" ht="15" hidden="false" customHeight="true" outlineLevel="0" collapsed="false">
      <c r="A65" s="26" t="s">
        <v>62</v>
      </c>
      <c r="B65" s="26"/>
      <c r="C65" s="26"/>
      <c r="D65" s="26"/>
      <c r="E65" s="26"/>
      <c r="F65" s="26"/>
    </row>
  </sheetData>
  <mergeCells count="4">
    <mergeCell ref="A1:L1"/>
    <mergeCell ref="A2:L2"/>
    <mergeCell ref="A58:D58"/>
    <mergeCell ref="A65:F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2" min="2" style="1" width="21.11"/>
    <col collapsed="false" customWidth="true" hidden="false" outlineLevel="0" max="8" min="8" style="1" width="18"/>
    <col collapsed="false" customWidth="true" hidden="false" outlineLevel="0" max="10" min="9" style="1" width="15"/>
    <col collapsed="false" customWidth="true" hidden="true" outlineLevel="0" max="11" min="11" style="1" width="15"/>
  </cols>
  <sheetData>
    <row r="1" customFormat="false" ht="14.25" hidden="false" customHeight="true" outlineLevel="0" collapsed="false">
      <c r="A1" s="27" t="s">
        <v>63</v>
      </c>
      <c r="B1" s="27" t="s">
        <v>64</v>
      </c>
      <c r="C1" s="27" t="s">
        <v>45</v>
      </c>
      <c r="D1" s="27" t="s">
        <v>65</v>
      </c>
      <c r="E1" s="27" t="s">
        <v>66</v>
      </c>
      <c r="F1" s="27" t="s">
        <v>67</v>
      </c>
      <c r="G1" s="27" t="s">
        <v>68</v>
      </c>
      <c r="H1" s="27" t="s">
        <v>69</v>
      </c>
      <c r="I1" s="1" t="s">
        <v>70</v>
      </c>
      <c r="K1" s="1" t="s">
        <v>71</v>
      </c>
    </row>
    <row r="2" customFormat="false" ht="14.25" hidden="false" customHeight="true" outlineLevel="0" collapsed="false">
      <c r="A2" s="1" t="s">
        <v>72</v>
      </c>
      <c r="B2" s="1" t="s">
        <v>73</v>
      </c>
      <c r="C2" s="28" t="s">
        <v>74</v>
      </c>
      <c r="D2" s="28" t="s">
        <v>75</v>
      </c>
      <c r="E2" s="28" t="s">
        <v>76</v>
      </c>
      <c r="F2" s="28" t="s">
        <v>76</v>
      </c>
      <c r="G2" s="28" t="s">
        <v>77</v>
      </c>
      <c r="H2" s="28" t="s">
        <v>78</v>
      </c>
      <c r="I2" s="1" t="str">
        <f aca="false">IF(C2="","",IF(OR(C2="3:45 AM",C2="5:45 AM"),"AM",IF(OR(C2="12:15 PM",C2="2:00 PM"),"PM","Overnight")))</f>
        <v>PM</v>
      </c>
      <c r="K2" s="1" t="n">
        <f aca="false">IF(C2="","",IF(C2="3:45 AM",1,IF(C2="5:45 AM",2,IF(C2="12:15 PM",3,IF(C2="2:00 PM",4,IF(C2="9:15 PM",5,""))))))</f>
        <v>4</v>
      </c>
    </row>
    <row r="3" customFormat="false" ht="14.25" hidden="false" customHeight="true" outlineLevel="0" collapsed="false">
      <c r="A3" s="1" t="s">
        <v>79</v>
      </c>
      <c r="B3" s="1" t="s">
        <v>80</v>
      </c>
      <c r="C3" s="28" t="s">
        <v>81</v>
      </c>
      <c r="D3" s="28" t="s">
        <v>82</v>
      </c>
      <c r="E3" s="28" t="s">
        <v>76</v>
      </c>
      <c r="F3" s="28" t="s">
        <v>76</v>
      </c>
      <c r="G3" s="28" t="s">
        <v>77</v>
      </c>
      <c r="H3" s="28" t="s">
        <v>78</v>
      </c>
      <c r="I3" s="1" t="str">
        <f aca="false">IF(C3="","",IF(OR(C3="3:45 AM",C3="5:45 AM"),"AM",IF(OR(C3="12:15 PM",C3="2:00 PM"),"PM","Overnight")))</f>
        <v>AM</v>
      </c>
      <c r="K3" s="1" t="n">
        <f aca="false">IF(C3="","",IF(C3="3:45 AM",1,IF(C3="5:45 AM",2,IF(C3="12:15 PM",3,IF(C3="2:00 PM",4,IF(C3="9:15 PM",5,""))))))</f>
        <v>2</v>
      </c>
    </row>
    <row r="4" customFormat="false" ht="14.25" hidden="false" customHeight="true" outlineLevel="0" collapsed="false">
      <c r="A4" s="1" t="s">
        <v>83</v>
      </c>
      <c r="B4" s="1" t="s">
        <v>84</v>
      </c>
      <c r="C4" s="28" t="s">
        <v>81</v>
      </c>
      <c r="D4" s="28" t="s">
        <v>85</v>
      </c>
      <c r="E4" s="28" t="s">
        <v>77</v>
      </c>
      <c r="F4" s="28" t="s">
        <v>76</v>
      </c>
      <c r="G4" s="28" t="s">
        <v>77</v>
      </c>
      <c r="H4" s="28" t="s">
        <v>78</v>
      </c>
      <c r="I4" s="1" t="str">
        <f aca="false">IF(C4="","",IF(OR(C4="3:45 AM",C4="5:45 AM"),"AM",IF(OR(C4="12:15 PM",C4="2:00 PM"),"PM","Overnight")))</f>
        <v>AM</v>
      </c>
      <c r="K4" s="1" t="n">
        <f aca="false">IF(C4="","",IF(C4="3:45 AM",1,IF(C4="5:45 AM",2,IF(C4="12:15 PM",3,IF(C4="2:00 PM",4,IF(C4="9:15 PM",5,""))))))</f>
        <v>2</v>
      </c>
    </row>
    <row r="5" customFormat="false" ht="14.25" hidden="false" customHeight="true" outlineLevel="0" collapsed="false">
      <c r="A5" s="1" t="s">
        <v>86</v>
      </c>
      <c r="B5" s="1" t="s">
        <v>87</v>
      </c>
      <c r="C5" s="28" t="s">
        <v>81</v>
      </c>
      <c r="D5" s="28" t="s">
        <v>85</v>
      </c>
      <c r="E5" s="28" t="s">
        <v>76</v>
      </c>
      <c r="F5" s="28" t="s">
        <v>76</v>
      </c>
      <c r="G5" s="28" t="s">
        <v>77</v>
      </c>
      <c r="H5" s="28" t="s">
        <v>78</v>
      </c>
      <c r="I5" s="1" t="str">
        <f aca="false">IF(C5="","",IF(OR(C5="3:45 AM",C5="5:45 AM"),"AM",IF(OR(C5="12:15 PM",C5="2:00 PM"),"PM","Overnight")))</f>
        <v>AM</v>
      </c>
      <c r="K5" s="1" t="n">
        <f aca="false">IF(C5="","",IF(C5="3:45 AM",1,IF(C5="5:45 AM",2,IF(C5="12:15 PM",3,IF(C5="2:00 PM",4,IF(C5="9:15 PM",5,""))))))</f>
        <v>2</v>
      </c>
    </row>
    <row r="6" customFormat="false" ht="14.25" hidden="false" customHeight="true" outlineLevel="0" collapsed="false">
      <c r="A6" s="1" t="s">
        <v>88</v>
      </c>
      <c r="B6" s="1" t="s">
        <v>89</v>
      </c>
      <c r="C6" s="28" t="s">
        <v>90</v>
      </c>
      <c r="D6" s="28" t="s">
        <v>91</v>
      </c>
      <c r="E6" s="28" t="s">
        <v>77</v>
      </c>
      <c r="F6" s="28" t="s">
        <v>76</v>
      </c>
      <c r="G6" s="28" t="s">
        <v>77</v>
      </c>
      <c r="H6" s="28" t="s">
        <v>78</v>
      </c>
      <c r="I6" s="1" t="str">
        <f aca="false">IF(C6="","",IF(OR(C6="3:45 AM",C6="5:45 AM"),"AM",IF(OR(C6="12:15 PM",C6="2:00 PM"),"PM","Overnight")))</f>
        <v>PM</v>
      </c>
      <c r="K6" s="1" t="n">
        <f aca="false">IF(C6="","",IF(C6="3:45 AM",1,IF(C6="5:45 AM",2,IF(C6="12:15 PM",3,IF(C6="2:00 PM",4,IF(C6="9:15 PM",5,""))))))</f>
        <v>3</v>
      </c>
    </row>
    <row r="7" customFormat="false" ht="14.25" hidden="false" customHeight="true" outlineLevel="0" collapsed="false">
      <c r="A7" s="1" t="s">
        <v>92</v>
      </c>
      <c r="B7" s="1" t="s">
        <v>93</v>
      </c>
      <c r="C7" s="28" t="s">
        <v>90</v>
      </c>
      <c r="D7" s="28" t="s">
        <v>94</v>
      </c>
      <c r="E7" s="28" t="s">
        <v>76</v>
      </c>
      <c r="F7" s="28" t="s">
        <v>76</v>
      </c>
      <c r="G7" s="28" t="s">
        <v>77</v>
      </c>
      <c r="H7" s="28" t="s">
        <v>78</v>
      </c>
      <c r="I7" s="1" t="str">
        <f aca="false">IF(C7="","",IF(OR(C7="3:45 AM",C7="5:45 AM"),"AM",IF(OR(C7="12:15 PM",C7="2:00 PM"),"PM","Overnight")))</f>
        <v>PM</v>
      </c>
      <c r="K7" s="1" t="n">
        <f aca="false">IF(C7="","",IF(C7="3:45 AM",1,IF(C7="5:45 AM",2,IF(C7="12:15 PM",3,IF(C7="2:00 PM",4,IF(C7="9:15 PM",5,""))))))</f>
        <v>3</v>
      </c>
    </row>
    <row r="8" customFormat="false" ht="14.25" hidden="false" customHeight="true" outlineLevel="0" collapsed="false">
      <c r="A8" s="1" t="s">
        <v>95</v>
      </c>
      <c r="B8" s="1" t="s">
        <v>96</v>
      </c>
      <c r="C8" s="28" t="s">
        <v>97</v>
      </c>
      <c r="D8" s="28" t="s">
        <v>98</v>
      </c>
      <c r="E8" s="28" t="s">
        <v>76</v>
      </c>
      <c r="F8" s="28" t="s">
        <v>76</v>
      </c>
      <c r="G8" s="28" t="s">
        <v>77</v>
      </c>
      <c r="H8" s="28" t="s">
        <v>78</v>
      </c>
      <c r="I8" s="1" t="str">
        <f aca="false">IF(C8="","",IF(OR(C8="3:45 AM",C8="5:45 AM"),"AM",IF(OR(C8="12:15 PM",C8="2:00 PM"),"PM","Overnight")))</f>
        <v>AM</v>
      </c>
      <c r="K8" s="1" t="n">
        <f aca="false">IF(C8="","",IF(C8="3:45 AM",1,IF(C8="5:45 AM",2,IF(C8="12:15 PM",3,IF(C8="2:00 PM",4,IF(C8="9:15 PM",5,""))))))</f>
        <v>1</v>
      </c>
    </row>
    <row r="9" customFormat="false" ht="14.25" hidden="false" customHeight="true" outlineLevel="0" collapsed="false">
      <c r="A9" s="1" t="s">
        <v>99</v>
      </c>
      <c r="B9" s="1" t="s">
        <v>100</v>
      </c>
      <c r="C9" s="28" t="s">
        <v>74</v>
      </c>
      <c r="D9" s="28" t="s">
        <v>75</v>
      </c>
      <c r="E9" s="28" t="s">
        <v>76</v>
      </c>
      <c r="F9" s="28" t="s">
        <v>76</v>
      </c>
      <c r="G9" s="28" t="s">
        <v>77</v>
      </c>
      <c r="H9" s="28" t="s">
        <v>78</v>
      </c>
      <c r="I9" s="1" t="str">
        <f aca="false">IF(C9="","",IF(OR(C9="3:45 AM",C9="5:45 AM"),"AM",IF(OR(C9="12:15 PM",C9="2:00 PM"),"PM","Overnight")))</f>
        <v>PM</v>
      </c>
      <c r="K9" s="1" t="n">
        <f aca="false">IF(C9="","",IF(C9="3:45 AM",1,IF(C9="5:45 AM",2,IF(C9="12:15 PM",3,IF(C9="2:00 PM",4,IF(C9="9:15 PM",5,""))))))</f>
        <v>4</v>
      </c>
    </row>
    <row r="10" customFormat="false" ht="14.25" hidden="false" customHeight="true" outlineLevel="0" collapsed="false">
      <c r="A10" s="1" t="s">
        <v>101</v>
      </c>
      <c r="B10" s="1" t="s">
        <v>102</v>
      </c>
      <c r="C10" s="28" t="s">
        <v>81</v>
      </c>
      <c r="D10" s="28" t="s">
        <v>98</v>
      </c>
      <c r="E10" s="28" t="s">
        <v>76</v>
      </c>
      <c r="F10" s="28" t="s">
        <v>76</v>
      </c>
      <c r="G10" s="28" t="s">
        <v>77</v>
      </c>
      <c r="H10" s="28" t="s">
        <v>78</v>
      </c>
      <c r="I10" s="1" t="str">
        <f aca="false">IF(C10="","",IF(OR(C10="3:45 AM",C10="5:45 AM"),"AM",IF(OR(C10="12:15 PM",C10="2:00 PM"),"PM","Overnight")))</f>
        <v>AM</v>
      </c>
      <c r="K10" s="1" t="n">
        <f aca="false">IF(C10="","",IF(C10="3:45 AM",1,IF(C10="5:45 AM",2,IF(C10="12:15 PM",3,IF(C10="2:00 PM",4,IF(C10="9:15 PM",5,""))))))</f>
        <v>2</v>
      </c>
    </row>
    <row r="11" customFormat="false" ht="14.25" hidden="false" customHeight="true" outlineLevel="0" collapsed="false">
      <c r="A11" s="1" t="s">
        <v>103</v>
      </c>
      <c r="B11" s="1" t="s">
        <v>104</v>
      </c>
      <c r="C11" s="28" t="s">
        <v>97</v>
      </c>
      <c r="D11" s="28" t="s">
        <v>94</v>
      </c>
      <c r="E11" s="28" t="s">
        <v>76</v>
      </c>
      <c r="F11" s="28" t="s">
        <v>76</v>
      </c>
      <c r="G11" s="28" t="s">
        <v>77</v>
      </c>
      <c r="H11" s="28" t="s">
        <v>78</v>
      </c>
      <c r="I11" s="1" t="str">
        <f aca="false">IF(C11="","",IF(OR(C11="3:45 AM",C11="5:45 AM"),"AM",IF(OR(C11="12:15 PM",C11="2:00 PM"),"PM","Overnight")))</f>
        <v>AM</v>
      </c>
      <c r="K11" s="1" t="n">
        <f aca="false">IF(C11="","",IF(C11="3:45 AM",1,IF(C11="5:45 AM",2,IF(C11="12:15 PM",3,IF(C11="2:00 PM",4,IF(C11="9:15 PM",5,""))))))</f>
        <v>1</v>
      </c>
    </row>
    <row r="12" customFormat="false" ht="14.25" hidden="false" customHeight="true" outlineLevel="0" collapsed="false">
      <c r="A12" s="1" t="s">
        <v>105</v>
      </c>
      <c r="B12" s="1" t="s">
        <v>106</v>
      </c>
      <c r="C12" s="28" t="s">
        <v>90</v>
      </c>
      <c r="D12" s="28" t="s">
        <v>75</v>
      </c>
      <c r="E12" s="28" t="s">
        <v>76</v>
      </c>
      <c r="F12" s="28" t="s">
        <v>76</v>
      </c>
      <c r="G12" s="28" t="s">
        <v>77</v>
      </c>
      <c r="H12" s="28" t="s">
        <v>78</v>
      </c>
      <c r="I12" s="1" t="str">
        <f aca="false">IF(C12="","",IF(OR(C12="3:45 AM",C12="5:45 AM"),"AM",IF(OR(C12="12:15 PM",C12="2:00 PM"),"PM","Overnight")))</f>
        <v>PM</v>
      </c>
      <c r="K12" s="1" t="n">
        <f aca="false">IF(C12="","",IF(C12="3:45 AM",1,IF(C12="5:45 AM",2,IF(C12="12:15 PM",3,IF(C12="2:00 PM",4,IF(C12="9:15 PM",5,""))))))</f>
        <v>3</v>
      </c>
    </row>
    <row r="13" customFormat="false" ht="14.25" hidden="false" customHeight="true" outlineLevel="0" collapsed="false">
      <c r="A13" s="1" t="s">
        <v>107</v>
      </c>
      <c r="B13" s="1" t="s">
        <v>108</v>
      </c>
      <c r="C13" s="28" t="s">
        <v>90</v>
      </c>
      <c r="D13" s="28" t="s">
        <v>98</v>
      </c>
      <c r="E13" s="28" t="s">
        <v>76</v>
      </c>
      <c r="F13" s="28" t="s">
        <v>76</v>
      </c>
      <c r="G13" s="28" t="s">
        <v>77</v>
      </c>
      <c r="H13" s="28" t="s">
        <v>78</v>
      </c>
      <c r="I13" s="1" t="str">
        <f aca="false">IF(C13="","",IF(OR(C13="3:45 AM",C13="5:45 AM"),"AM",IF(OR(C13="12:15 PM",C13="2:00 PM"),"PM","Overnight")))</f>
        <v>PM</v>
      </c>
      <c r="K13" s="1" t="n">
        <f aca="false">IF(C13="","",IF(C13="3:45 AM",1,IF(C13="5:45 AM",2,IF(C13="12:15 PM",3,IF(C13="2:00 PM",4,IF(C13="9:15 PM",5,""))))))</f>
        <v>3</v>
      </c>
    </row>
    <row r="14" customFormat="false" ht="14.25" hidden="false" customHeight="true" outlineLevel="0" collapsed="false">
      <c r="A14" s="1" t="s">
        <v>109</v>
      </c>
      <c r="B14" s="1" t="s">
        <v>110</v>
      </c>
      <c r="C14" s="28" t="s">
        <v>74</v>
      </c>
      <c r="D14" s="28" t="s">
        <v>111</v>
      </c>
      <c r="E14" s="28" t="s">
        <v>76</v>
      </c>
      <c r="F14" s="28" t="s">
        <v>76</v>
      </c>
      <c r="G14" s="28" t="s">
        <v>77</v>
      </c>
      <c r="H14" s="28" t="s">
        <v>78</v>
      </c>
      <c r="I14" s="1" t="str">
        <f aca="false">IF(C14="","",IF(OR(C14="3:45 AM",C14="5:45 AM"),"AM",IF(OR(C14="12:15 PM",C14="2:00 PM"),"PM","Overnight")))</f>
        <v>PM</v>
      </c>
      <c r="K14" s="1" t="n">
        <f aca="false">IF(C14="","",IF(C14="3:45 AM",1,IF(C14="5:45 AM",2,IF(C14="12:15 PM",3,IF(C14="2:00 PM",4,IF(C14="9:15 PM",5,""))))))</f>
        <v>4</v>
      </c>
    </row>
    <row r="15" customFormat="false" ht="14.25" hidden="false" customHeight="true" outlineLevel="0" collapsed="false">
      <c r="A15" s="1" t="s">
        <v>112</v>
      </c>
      <c r="B15" s="1" t="s">
        <v>113</v>
      </c>
      <c r="C15" s="28" t="s">
        <v>90</v>
      </c>
      <c r="D15" s="28" t="s">
        <v>75</v>
      </c>
      <c r="E15" s="28" t="s">
        <v>76</v>
      </c>
      <c r="F15" s="28" t="s">
        <v>76</v>
      </c>
      <c r="G15" s="28" t="s">
        <v>77</v>
      </c>
      <c r="H15" s="28" t="s">
        <v>78</v>
      </c>
      <c r="I15" s="1" t="str">
        <f aca="false">IF(C15="","",IF(OR(C15="3:45 AM",C15="5:45 AM"),"AM",IF(OR(C15="12:15 PM",C15="2:00 PM"),"PM","Overnight")))</f>
        <v>PM</v>
      </c>
      <c r="K15" s="1" t="n">
        <f aca="false">IF(C15="","",IF(C15="3:45 AM",1,IF(C15="5:45 AM",2,IF(C15="12:15 PM",3,IF(C15="2:00 PM",4,IF(C15="9:15 PM",5,""))))))</f>
        <v>3</v>
      </c>
    </row>
    <row r="16" customFormat="false" ht="14.25" hidden="false" customHeight="true" outlineLevel="0" collapsed="false">
      <c r="A16" s="1" t="s">
        <v>114</v>
      </c>
      <c r="B16" s="1" t="s">
        <v>115</v>
      </c>
      <c r="C16" s="28" t="s">
        <v>90</v>
      </c>
      <c r="D16" s="28" t="s">
        <v>91</v>
      </c>
      <c r="E16" s="28" t="s">
        <v>76</v>
      </c>
      <c r="F16" s="28" t="s">
        <v>76</v>
      </c>
      <c r="G16" s="28" t="s">
        <v>77</v>
      </c>
      <c r="H16" s="28" t="s">
        <v>78</v>
      </c>
      <c r="I16" s="1" t="str">
        <f aca="false">IF(C16="","",IF(OR(C16="3:45 AM",C16="5:45 AM"),"AM",IF(OR(C16="12:15 PM",C16="2:00 PM"),"PM","Overnight")))</f>
        <v>PM</v>
      </c>
      <c r="K16" s="1" t="n">
        <f aca="false">IF(C16="","",IF(C16="3:45 AM",1,IF(C16="5:45 AM",2,IF(C16="12:15 PM",3,IF(C16="2:00 PM",4,IF(C16="9:15 PM",5,""))))))</f>
        <v>3</v>
      </c>
    </row>
    <row r="17" customFormat="false" ht="14.25" hidden="false" customHeight="true" outlineLevel="0" collapsed="false">
      <c r="A17" s="1" t="s">
        <v>116</v>
      </c>
      <c r="B17" s="1" t="s">
        <v>117</v>
      </c>
      <c r="C17" s="28" t="s">
        <v>74</v>
      </c>
      <c r="D17" s="28" t="s">
        <v>91</v>
      </c>
      <c r="E17" s="28" t="s">
        <v>76</v>
      </c>
      <c r="F17" s="28" t="s">
        <v>76</v>
      </c>
      <c r="G17" s="28" t="s">
        <v>77</v>
      </c>
      <c r="H17" s="28" t="s">
        <v>78</v>
      </c>
      <c r="I17" s="1" t="str">
        <f aca="false">IF(C17="","",IF(OR(C17="3:45 AM",C17="5:45 AM"),"AM",IF(OR(C17="12:15 PM",C17="2:00 PM"),"PM","Overnight")))</f>
        <v>PM</v>
      </c>
      <c r="K17" s="1" t="n">
        <f aca="false">IF(C17="","",IF(C17="3:45 AM",1,IF(C17="5:45 AM",2,IF(C17="12:15 PM",3,IF(C17="2:00 PM",4,IF(C17="9:15 PM",5,""))))))</f>
        <v>4</v>
      </c>
    </row>
    <row r="18" customFormat="false" ht="14.25" hidden="false" customHeight="true" outlineLevel="0" collapsed="false">
      <c r="A18" s="1" t="s">
        <v>118</v>
      </c>
      <c r="B18" s="1" t="s">
        <v>119</v>
      </c>
      <c r="C18" s="28" t="s">
        <v>90</v>
      </c>
      <c r="D18" s="28" t="s">
        <v>91</v>
      </c>
      <c r="E18" s="28" t="s">
        <v>76</v>
      </c>
      <c r="F18" s="28" t="s">
        <v>76</v>
      </c>
      <c r="G18" s="28" t="s">
        <v>77</v>
      </c>
      <c r="H18" s="28" t="s">
        <v>78</v>
      </c>
      <c r="I18" s="1" t="str">
        <f aca="false">IF(C18="","",IF(OR(C18="3:45 AM",C18="5:45 AM"),"AM",IF(OR(C18="12:15 PM",C18="2:00 PM"),"PM","Overnight")))</f>
        <v>PM</v>
      </c>
      <c r="K18" s="1" t="n">
        <f aca="false">IF(C18="","",IF(C18="3:45 AM",1,IF(C18="5:45 AM",2,IF(C18="12:15 PM",3,IF(C18="2:00 PM",4,IF(C18="9:15 PM",5,""))))))</f>
        <v>3</v>
      </c>
    </row>
    <row r="19" customFormat="false" ht="14.25" hidden="false" customHeight="true" outlineLevel="0" collapsed="false">
      <c r="A19" s="1" t="s">
        <v>120</v>
      </c>
      <c r="B19" s="1" t="s">
        <v>121</v>
      </c>
      <c r="C19" s="28" t="s">
        <v>81</v>
      </c>
      <c r="D19" s="28" t="s">
        <v>75</v>
      </c>
      <c r="E19" s="28" t="s">
        <v>76</v>
      </c>
      <c r="F19" s="28" t="s">
        <v>76</v>
      </c>
      <c r="G19" s="28" t="s">
        <v>77</v>
      </c>
      <c r="H19" s="28" t="s">
        <v>78</v>
      </c>
      <c r="I19" s="1" t="str">
        <f aca="false">IF(C19="","",IF(OR(C19="3:45 AM",C19="5:45 AM"),"AM",IF(OR(C19="12:15 PM",C19="2:00 PM"),"PM","Overnight")))</f>
        <v>AM</v>
      </c>
      <c r="K19" s="1" t="n">
        <f aca="false">IF(C19="","",IF(C19="3:45 AM",1,IF(C19="5:45 AM",2,IF(C19="12:15 PM",3,IF(C19="2:00 PM",4,IF(C19="9:15 PM",5,""))))))</f>
        <v>2</v>
      </c>
    </row>
    <row r="20" customFormat="false" ht="14.25" hidden="false" customHeight="true" outlineLevel="0" collapsed="false">
      <c r="A20" s="1" t="s">
        <v>122</v>
      </c>
      <c r="B20" s="1" t="s">
        <v>123</v>
      </c>
      <c r="C20" s="28" t="s">
        <v>74</v>
      </c>
      <c r="D20" s="28" t="s">
        <v>75</v>
      </c>
      <c r="E20" s="28" t="s">
        <v>76</v>
      </c>
      <c r="F20" s="28" t="s">
        <v>76</v>
      </c>
      <c r="G20" s="28" t="s">
        <v>77</v>
      </c>
      <c r="H20" s="28" t="s">
        <v>78</v>
      </c>
      <c r="I20" s="1" t="str">
        <f aca="false">IF(C20="","",IF(OR(C20="3:45 AM",C20="5:45 AM"),"AM",IF(OR(C20="12:15 PM",C20="2:00 PM"),"PM","Overnight")))</f>
        <v>PM</v>
      </c>
      <c r="K20" s="1" t="n">
        <f aca="false">IF(C20="","",IF(C20="3:45 AM",1,IF(C20="5:45 AM",2,IF(C20="12:15 PM",3,IF(C20="2:00 PM",4,IF(C20="9:15 PM",5,""))))))</f>
        <v>4</v>
      </c>
    </row>
    <row r="21" customFormat="false" ht="14.25" hidden="false" customHeight="true" outlineLevel="0" collapsed="false">
      <c r="A21" s="1" t="s">
        <v>124</v>
      </c>
      <c r="B21" s="1" t="s">
        <v>125</v>
      </c>
      <c r="C21" s="28" t="s">
        <v>126</v>
      </c>
      <c r="D21" s="28"/>
      <c r="E21" s="28" t="s">
        <v>76</v>
      </c>
      <c r="F21" s="28" t="s">
        <v>76</v>
      </c>
      <c r="G21" s="28" t="s">
        <v>77</v>
      </c>
      <c r="H21" s="28" t="s">
        <v>78</v>
      </c>
      <c r="I21" s="1" t="str">
        <f aca="false">IF(C21="","",IF(OR(C21="3:45 AM",C21="5:45 AM"),"AM",IF(OR(C21="12:15 PM",C21="2:00 PM"),"PM","Overnight")))</f>
        <v>Overnight</v>
      </c>
      <c r="K21" s="1" t="n">
        <f aca="false">IF(C21="","",IF(C21="3:45 AM",1,IF(C21="5:45 AM",2,IF(C21="12:15 PM",3,IF(C21="2:00 PM",4,IF(C21="9:15 PM",5,""))))))</f>
        <v>5</v>
      </c>
    </row>
    <row r="22" customFormat="false" ht="14.25" hidden="false" customHeight="true" outlineLevel="0" collapsed="false">
      <c r="A22" s="1" t="s">
        <v>127</v>
      </c>
      <c r="B22" s="1" t="s">
        <v>128</v>
      </c>
      <c r="C22" s="28" t="s">
        <v>74</v>
      </c>
      <c r="D22" s="28" t="s">
        <v>111</v>
      </c>
      <c r="E22" s="28" t="s">
        <v>77</v>
      </c>
      <c r="F22" s="28" t="s">
        <v>76</v>
      </c>
      <c r="G22" s="28" t="s">
        <v>77</v>
      </c>
      <c r="H22" s="28" t="s">
        <v>78</v>
      </c>
      <c r="I22" s="1" t="str">
        <f aca="false">IF(C22="","",IF(OR(C22="3:45 AM",C22="5:45 AM"),"AM",IF(OR(C22="12:15 PM",C22="2:00 PM"),"PM","Overnight")))</f>
        <v>PM</v>
      </c>
      <c r="K22" s="1" t="n">
        <f aca="false">IF(C22="","",IF(C22="3:45 AM",1,IF(C22="5:45 AM",2,IF(C22="12:15 PM",3,IF(C22="2:00 PM",4,IF(C22="9:15 PM",5,""))))))</f>
        <v>4</v>
      </c>
    </row>
    <row r="23" customFormat="false" ht="14.25" hidden="false" customHeight="true" outlineLevel="0" collapsed="false">
      <c r="A23" s="1" t="s">
        <v>129</v>
      </c>
      <c r="B23" s="1" t="s">
        <v>130</v>
      </c>
      <c r="C23" s="28" t="s">
        <v>97</v>
      </c>
      <c r="D23" s="28" t="s">
        <v>75</v>
      </c>
      <c r="E23" s="28" t="s">
        <v>76</v>
      </c>
      <c r="F23" s="28" t="s">
        <v>76</v>
      </c>
      <c r="G23" s="28" t="s">
        <v>77</v>
      </c>
      <c r="H23" s="28" t="s">
        <v>78</v>
      </c>
      <c r="I23" s="1" t="str">
        <f aca="false">IF(C23="","",IF(OR(C23="3:45 AM",C23="5:45 AM"),"AM",IF(OR(C23="12:15 PM",C23="2:00 PM"),"PM","Overnight")))</f>
        <v>AM</v>
      </c>
      <c r="K23" s="1" t="n">
        <f aca="false">IF(C23="","",IF(C23="3:45 AM",1,IF(C23="5:45 AM",2,IF(C23="12:15 PM",3,IF(C23="2:00 PM",4,IF(C23="9:15 PM",5,""))))))</f>
        <v>1</v>
      </c>
    </row>
    <row r="24" customFormat="false" ht="14.25" hidden="false" customHeight="true" outlineLevel="0" collapsed="false">
      <c r="A24" s="1" t="s">
        <v>131</v>
      </c>
      <c r="B24" s="1" t="s">
        <v>132</v>
      </c>
      <c r="C24" s="28" t="s">
        <v>90</v>
      </c>
      <c r="D24" s="28" t="s">
        <v>111</v>
      </c>
      <c r="E24" s="28" t="s">
        <v>76</v>
      </c>
      <c r="F24" s="28" t="s">
        <v>76</v>
      </c>
      <c r="G24" s="28" t="s">
        <v>77</v>
      </c>
      <c r="H24" s="28" t="s">
        <v>78</v>
      </c>
      <c r="I24" s="1" t="str">
        <f aca="false">IF(C24="","",IF(OR(C24="3:45 AM",C24="5:45 AM"),"AM",IF(OR(C24="12:15 PM",C24="2:00 PM"),"PM","Overnight")))</f>
        <v>PM</v>
      </c>
      <c r="K24" s="1" t="n">
        <f aca="false">IF(C24="","",IF(C24="3:45 AM",1,IF(C24="5:45 AM",2,IF(C24="12:15 PM",3,IF(C24="2:00 PM",4,IF(C24="9:15 PM",5,""))))))</f>
        <v>3</v>
      </c>
    </row>
    <row r="25" customFormat="false" ht="14.25" hidden="false" customHeight="true" outlineLevel="0" collapsed="false">
      <c r="A25" s="1" t="s">
        <v>133</v>
      </c>
      <c r="B25" s="1" t="s">
        <v>134</v>
      </c>
      <c r="C25" s="28" t="s">
        <v>97</v>
      </c>
      <c r="D25" s="28" t="s">
        <v>135</v>
      </c>
      <c r="E25" s="28" t="s">
        <v>76</v>
      </c>
      <c r="F25" s="28" t="s">
        <v>76</v>
      </c>
      <c r="G25" s="28" t="s">
        <v>77</v>
      </c>
      <c r="H25" s="28" t="s">
        <v>78</v>
      </c>
      <c r="I25" s="1" t="str">
        <f aca="false">IF(C25="","",IF(OR(C25="3:45 AM",C25="5:45 AM"),"AM",IF(OR(C25="12:15 PM",C25="2:00 PM"),"PM","Overnight")))</f>
        <v>AM</v>
      </c>
      <c r="K25" s="1" t="n">
        <f aca="false">IF(C25="","",IF(C25="3:45 AM",1,IF(C25="5:45 AM",2,IF(C25="12:15 PM",3,IF(C25="2:00 PM",4,IF(C25="9:15 PM",5,""))))))</f>
        <v>1</v>
      </c>
    </row>
    <row r="26" customFormat="false" ht="14.25" hidden="false" customHeight="true" outlineLevel="0" collapsed="false">
      <c r="A26" s="1" t="s">
        <v>136</v>
      </c>
      <c r="B26" s="1" t="s">
        <v>137</v>
      </c>
      <c r="C26" s="28" t="s">
        <v>81</v>
      </c>
      <c r="D26" s="28" t="s">
        <v>111</v>
      </c>
      <c r="E26" s="28" t="s">
        <v>76</v>
      </c>
      <c r="F26" s="28" t="s">
        <v>76</v>
      </c>
      <c r="G26" s="28" t="s">
        <v>77</v>
      </c>
      <c r="H26" s="28" t="s">
        <v>78</v>
      </c>
      <c r="I26" s="1" t="str">
        <f aca="false">IF(C26="","",IF(OR(C26="3:45 AM",C26="5:45 AM"),"AM",IF(OR(C26="12:15 PM",C26="2:00 PM"),"PM","Overnight")))</f>
        <v>AM</v>
      </c>
      <c r="K26" s="1" t="n">
        <f aca="false">IF(C26="","",IF(C26="3:45 AM",1,IF(C26="5:45 AM",2,IF(C26="12:15 PM",3,IF(C26="2:00 PM",4,IF(C26="9:15 PM",5,""))))))</f>
        <v>2</v>
      </c>
    </row>
    <row r="27" customFormat="false" ht="14.25" hidden="false" customHeight="true" outlineLevel="0" collapsed="false">
      <c r="A27" s="1" t="s">
        <v>138</v>
      </c>
      <c r="B27" s="1" t="s">
        <v>139</v>
      </c>
      <c r="C27" s="28" t="s">
        <v>81</v>
      </c>
      <c r="D27" s="28" t="s">
        <v>98</v>
      </c>
      <c r="E27" s="28" t="s">
        <v>76</v>
      </c>
      <c r="F27" s="28" t="s">
        <v>76</v>
      </c>
      <c r="G27" s="28" t="s">
        <v>77</v>
      </c>
      <c r="H27" s="28" t="s">
        <v>78</v>
      </c>
      <c r="I27" s="1" t="str">
        <f aca="false">IF(C27="","",IF(OR(C27="3:45 AM",C27="5:45 AM"),"AM",IF(OR(C27="12:15 PM",C27="2:00 PM"),"PM","Overnight")))</f>
        <v>AM</v>
      </c>
      <c r="K27" s="1" t="n">
        <f aca="false">IF(C27="","",IF(C27="3:45 AM",1,IF(C27="5:45 AM",2,IF(C27="12:15 PM",3,IF(C27="2:00 PM",4,IF(C27="9:15 PM",5,""))))))</f>
        <v>2</v>
      </c>
    </row>
    <row r="28" customFormat="false" ht="14.25" hidden="false" customHeight="true" outlineLevel="0" collapsed="false">
      <c r="A28" s="1" t="s">
        <v>140</v>
      </c>
      <c r="B28" s="1" t="s">
        <v>141</v>
      </c>
      <c r="C28" s="28" t="s">
        <v>74</v>
      </c>
      <c r="D28" s="28" t="s">
        <v>142</v>
      </c>
      <c r="E28" s="28" t="s">
        <v>76</v>
      </c>
      <c r="F28" s="28" t="s">
        <v>76</v>
      </c>
      <c r="G28" s="28" t="s">
        <v>77</v>
      </c>
      <c r="H28" s="28" t="s">
        <v>78</v>
      </c>
      <c r="I28" s="1" t="str">
        <f aca="false">IF(C28="","",IF(OR(C28="3:45 AM",C28="5:45 AM"),"AM",IF(OR(C28="12:15 PM",C28="2:00 PM"),"PM","Overnight")))</f>
        <v>PM</v>
      </c>
      <c r="K28" s="1" t="n">
        <f aca="false">IF(C28="","",IF(C28="3:45 AM",1,IF(C28="5:45 AM",2,IF(C28="12:15 PM",3,IF(C28="2:00 PM",4,IF(C28="9:15 PM",5,""))))))</f>
        <v>4</v>
      </c>
    </row>
    <row r="29" customFormat="false" ht="14.25" hidden="false" customHeight="true" outlineLevel="0" collapsed="false">
      <c r="A29" s="1" t="s">
        <v>143</v>
      </c>
      <c r="B29" s="1" t="s">
        <v>144</v>
      </c>
      <c r="C29" s="28" t="s">
        <v>81</v>
      </c>
      <c r="D29" s="28" t="s">
        <v>98</v>
      </c>
      <c r="E29" s="28" t="s">
        <v>76</v>
      </c>
      <c r="F29" s="28" t="s">
        <v>76</v>
      </c>
      <c r="G29" s="28" t="s">
        <v>77</v>
      </c>
      <c r="H29" s="28" t="s">
        <v>78</v>
      </c>
      <c r="I29" s="1" t="str">
        <f aca="false">IF(C29="","",IF(OR(C29="3:45 AM",C29="5:45 AM"),"AM",IF(OR(C29="12:15 PM",C29="2:00 PM"),"PM","Overnight")))</f>
        <v>AM</v>
      </c>
      <c r="K29" s="1" t="n">
        <f aca="false">IF(C29="","",IF(C29="3:45 AM",1,IF(C29="5:45 AM",2,IF(C29="12:15 PM",3,IF(C29="2:00 PM",4,IF(C29="9:15 PM",5,""))))))</f>
        <v>2</v>
      </c>
    </row>
    <row r="30" customFormat="false" ht="14.25" hidden="false" customHeight="true" outlineLevel="0" collapsed="false">
      <c r="A30" s="1" t="s">
        <v>145</v>
      </c>
      <c r="B30" s="1" t="s">
        <v>146</v>
      </c>
      <c r="C30" s="28" t="s">
        <v>97</v>
      </c>
      <c r="D30" s="28" t="s">
        <v>142</v>
      </c>
      <c r="E30" s="28" t="s">
        <v>76</v>
      </c>
      <c r="F30" s="28" t="s">
        <v>76</v>
      </c>
      <c r="G30" s="28" t="s">
        <v>77</v>
      </c>
      <c r="H30" s="28" t="s">
        <v>78</v>
      </c>
      <c r="I30" s="1" t="str">
        <f aca="false">IF(C30="","",IF(OR(C30="3:45 AM",C30="5:45 AM"),"AM",IF(OR(C30="12:15 PM",C30="2:00 PM"),"PM","Overnight")))</f>
        <v>AM</v>
      </c>
      <c r="K30" s="1" t="n">
        <f aca="false">IF(C30="","",IF(C30="3:45 AM",1,IF(C30="5:45 AM",2,IF(C30="12:15 PM",3,IF(C30="2:00 PM",4,IF(C30="9:15 PM",5,""))))))</f>
        <v>1</v>
      </c>
    </row>
    <row r="31" customFormat="false" ht="14.25" hidden="false" customHeight="true" outlineLevel="0" collapsed="false">
      <c r="A31" s="1" t="s">
        <v>147</v>
      </c>
      <c r="B31" s="1" t="s">
        <v>148</v>
      </c>
      <c r="C31" s="28" t="s">
        <v>74</v>
      </c>
      <c r="D31" s="28" t="s">
        <v>111</v>
      </c>
      <c r="E31" s="28" t="s">
        <v>76</v>
      </c>
      <c r="F31" s="28" t="s">
        <v>76</v>
      </c>
      <c r="G31" s="28" t="s">
        <v>77</v>
      </c>
      <c r="H31" s="28" t="s">
        <v>78</v>
      </c>
      <c r="I31" s="1" t="str">
        <f aca="false">IF(C31="","",IF(OR(C31="3:45 AM",C31="5:45 AM"),"AM",IF(OR(C31="12:15 PM",C31="2:00 PM"),"PM","Overnight")))</f>
        <v>PM</v>
      </c>
      <c r="K31" s="1" t="n">
        <f aca="false">IF(C31="","",IF(C31="3:45 AM",1,IF(C31="5:45 AM",2,IF(C31="12:15 PM",3,IF(C31="2:00 PM",4,IF(C31="9:15 PM",5,""))))))</f>
        <v>4</v>
      </c>
    </row>
    <row r="32" customFormat="false" ht="14.25" hidden="false" customHeight="true" outlineLevel="0" collapsed="false">
      <c r="A32" s="1" t="s">
        <v>149</v>
      </c>
      <c r="B32" s="1" t="s">
        <v>150</v>
      </c>
      <c r="C32" s="28" t="s">
        <v>90</v>
      </c>
      <c r="D32" s="28" t="s">
        <v>98</v>
      </c>
      <c r="E32" s="28" t="s">
        <v>76</v>
      </c>
      <c r="F32" s="28" t="s">
        <v>76</v>
      </c>
      <c r="G32" s="28" t="s">
        <v>77</v>
      </c>
      <c r="H32" s="28" t="s">
        <v>78</v>
      </c>
      <c r="I32" s="1" t="str">
        <f aca="false">IF(C32="","",IF(OR(C32="3:45 AM",C32="5:45 AM"),"AM",IF(OR(C32="12:15 PM",C32="2:00 PM"),"PM","Overnight")))</f>
        <v>PM</v>
      </c>
      <c r="K32" s="1" t="n">
        <f aca="false">IF(C32="","",IF(C32="3:45 AM",1,IF(C32="5:45 AM",2,IF(C32="12:15 PM",3,IF(C32="2:00 PM",4,IF(C32="9:15 PM",5,""))))))</f>
        <v>3</v>
      </c>
    </row>
    <row r="33" customFormat="false" ht="14.25" hidden="false" customHeight="true" outlineLevel="0" collapsed="false">
      <c r="A33" s="1" t="s">
        <v>151</v>
      </c>
      <c r="B33" s="1" t="s">
        <v>152</v>
      </c>
      <c r="C33" s="28" t="s">
        <v>126</v>
      </c>
      <c r="D33" s="28"/>
      <c r="E33" s="28" t="s">
        <v>76</v>
      </c>
      <c r="F33" s="28" t="s">
        <v>76</v>
      </c>
      <c r="G33" s="28" t="s">
        <v>77</v>
      </c>
      <c r="H33" s="28" t="s">
        <v>78</v>
      </c>
      <c r="I33" s="1" t="str">
        <f aca="false">IF(C33="","",IF(OR(C33="3:45 AM",C33="5:45 AM"),"AM",IF(OR(C33="12:15 PM",C33="2:00 PM"),"PM","Overnight")))</f>
        <v>Overnight</v>
      </c>
      <c r="K33" s="1" t="n">
        <f aca="false">IF(C33="","",IF(C33="3:45 AM",1,IF(C33="5:45 AM",2,IF(C33="12:15 PM",3,IF(C33="2:00 PM",4,IF(C33="9:15 PM",5,""))))))</f>
        <v>5</v>
      </c>
    </row>
    <row r="34" customFormat="false" ht="14.25" hidden="false" customHeight="true" outlineLevel="0" collapsed="false">
      <c r="A34" s="1" t="s">
        <v>153</v>
      </c>
      <c r="B34" s="1" t="s">
        <v>154</v>
      </c>
      <c r="C34" s="28" t="s">
        <v>126</v>
      </c>
      <c r="D34" s="28"/>
      <c r="E34" s="28" t="s">
        <v>76</v>
      </c>
      <c r="F34" s="28" t="s">
        <v>76</v>
      </c>
      <c r="G34" s="28" t="s">
        <v>77</v>
      </c>
      <c r="H34" s="28" t="s">
        <v>78</v>
      </c>
      <c r="I34" s="1" t="str">
        <f aca="false">IF(C34="","",IF(OR(C34="3:45 AM",C34="5:45 AM"),"AM",IF(OR(C34="12:15 PM",C34="2:00 PM"),"PM","Overnight")))</f>
        <v>Overnight</v>
      </c>
      <c r="K34" s="1" t="n">
        <f aca="false">IF(C34="","",IF(C34="3:45 AM",1,IF(C34="5:45 AM",2,IF(C34="12:15 PM",3,IF(C34="2:00 PM",4,IF(C34="9:15 PM",5,""))))))</f>
        <v>5</v>
      </c>
    </row>
    <row r="35" customFormat="false" ht="14.25" hidden="false" customHeight="true" outlineLevel="0" collapsed="false">
      <c r="A35" s="1" t="s">
        <v>155</v>
      </c>
      <c r="B35" s="1" t="s">
        <v>156</v>
      </c>
      <c r="C35" s="28" t="s">
        <v>90</v>
      </c>
      <c r="D35" s="28" t="s">
        <v>85</v>
      </c>
      <c r="E35" s="28" t="s">
        <v>76</v>
      </c>
      <c r="F35" s="28" t="s">
        <v>76</v>
      </c>
      <c r="G35" s="28" t="s">
        <v>77</v>
      </c>
      <c r="H35" s="28" t="s">
        <v>78</v>
      </c>
      <c r="I35" s="1" t="str">
        <f aca="false">IF(C35="","",IF(OR(C35="3:45 AM",C35="5:45 AM"),"AM",IF(OR(C35="12:15 PM",C35="2:00 PM"),"PM","Overnight")))</f>
        <v>PM</v>
      </c>
      <c r="K35" s="1" t="n">
        <f aca="false">IF(C35="","",IF(C35="3:45 AM",1,IF(C35="5:45 AM",2,IF(C35="12:15 PM",3,IF(C35="2:00 PM",4,IF(C35="9:15 PM",5,""))))))</f>
        <v>3</v>
      </c>
    </row>
    <row r="36" customFormat="false" ht="14.25" hidden="false" customHeight="true" outlineLevel="0" collapsed="false">
      <c r="A36" s="1" t="s">
        <v>157</v>
      </c>
      <c r="B36" s="1" t="s">
        <v>158</v>
      </c>
      <c r="C36" s="28" t="s">
        <v>97</v>
      </c>
      <c r="D36" s="28" t="s">
        <v>111</v>
      </c>
      <c r="E36" s="28" t="s">
        <v>77</v>
      </c>
      <c r="F36" s="28" t="s">
        <v>76</v>
      </c>
      <c r="G36" s="28" t="s">
        <v>77</v>
      </c>
      <c r="H36" s="28" t="s">
        <v>78</v>
      </c>
      <c r="I36" s="1" t="str">
        <f aca="false">IF(C36="","",IF(OR(C36="3:45 AM",C36="5:45 AM"),"AM",IF(OR(C36="12:15 PM",C36="2:00 PM"),"PM","Overnight")))</f>
        <v>AM</v>
      </c>
      <c r="K36" s="1" t="n">
        <f aca="false">IF(C36="","",IF(C36="3:45 AM",1,IF(C36="5:45 AM",2,IF(C36="12:15 PM",3,IF(C36="2:00 PM",4,IF(C36="9:15 PM",5,""))))))</f>
        <v>1</v>
      </c>
    </row>
    <row r="37" customFormat="false" ht="14.25" hidden="false" customHeight="true" outlineLevel="0" collapsed="false">
      <c r="A37" s="1" t="s">
        <v>159</v>
      </c>
      <c r="B37" s="1" t="s">
        <v>160</v>
      </c>
      <c r="C37" s="28" t="s">
        <v>74</v>
      </c>
      <c r="D37" s="28" t="s">
        <v>98</v>
      </c>
      <c r="E37" s="28" t="s">
        <v>76</v>
      </c>
      <c r="F37" s="28" t="s">
        <v>76</v>
      </c>
      <c r="G37" s="28" t="s">
        <v>77</v>
      </c>
      <c r="H37" s="28" t="s">
        <v>78</v>
      </c>
      <c r="I37" s="1" t="str">
        <f aca="false">IF(C37="","",IF(OR(C37="3:45 AM",C37="5:45 AM"),"AM",IF(OR(C37="12:15 PM",C37="2:00 PM"),"PM","Overnight")))</f>
        <v>PM</v>
      </c>
      <c r="K37" s="1" t="n">
        <f aca="false">IF(C37="","",IF(C37="3:45 AM",1,IF(C37="5:45 AM",2,IF(C37="12:15 PM",3,IF(C37="2:00 PM",4,IF(C37="9:15 PM",5,""))))))</f>
        <v>4</v>
      </c>
    </row>
    <row r="38" customFormat="false" ht="14.25" hidden="false" customHeight="true" outlineLevel="0" collapsed="false">
      <c r="A38" s="1" t="s">
        <v>161</v>
      </c>
      <c r="B38" s="1" t="s">
        <v>162</v>
      </c>
      <c r="C38" s="28" t="s">
        <v>90</v>
      </c>
      <c r="D38" s="28" t="s">
        <v>94</v>
      </c>
      <c r="E38" s="28" t="s">
        <v>76</v>
      </c>
      <c r="F38" s="28" t="s">
        <v>76</v>
      </c>
      <c r="G38" s="28" t="s">
        <v>77</v>
      </c>
      <c r="H38" s="28" t="s">
        <v>78</v>
      </c>
      <c r="I38" s="1" t="str">
        <f aca="false">IF(C38="","",IF(OR(C38="3:45 AM",C38="5:45 AM"),"AM",IF(OR(C38="12:15 PM",C38="2:00 PM"),"PM","Overnight")))</f>
        <v>PM</v>
      </c>
      <c r="K38" s="1" t="n">
        <f aca="false">IF(C38="","",IF(C38="3:45 AM",1,IF(C38="5:45 AM",2,IF(C38="12:15 PM",3,IF(C38="2:00 PM",4,IF(C38="9:15 PM",5,""))))))</f>
        <v>3</v>
      </c>
    </row>
    <row r="39" customFormat="false" ht="14.25" hidden="false" customHeight="true" outlineLevel="0" collapsed="false">
      <c r="A39" s="1" t="s">
        <v>163</v>
      </c>
      <c r="B39" s="1" t="s">
        <v>164</v>
      </c>
      <c r="C39" s="28" t="s">
        <v>74</v>
      </c>
      <c r="D39" s="28" t="s">
        <v>111</v>
      </c>
      <c r="E39" s="28" t="s">
        <v>76</v>
      </c>
      <c r="F39" s="28" t="s">
        <v>76</v>
      </c>
      <c r="G39" s="28" t="s">
        <v>77</v>
      </c>
      <c r="H39" s="28" t="s">
        <v>78</v>
      </c>
      <c r="I39" s="1" t="str">
        <f aca="false">IF(C39="","",IF(OR(C39="3:45 AM",C39="5:45 AM"),"AM",IF(OR(C39="12:15 PM",C39="2:00 PM"),"PM","Overnight")))</f>
        <v>PM</v>
      </c>
      <c r="K39" s="1" t="n">
        <f aca="false">IF(C39="","",IF(C39="3:45 AM",1,IF(C39="5:45 AM",2,IF(C39="12:15 PM",3,IF(C39="2:00 PM",4,IF(C39="9:15 PM",5,""))))))</f>
        <v>4</v>
      </c>
    </row>
    <row r="40" customFormat="false" ht="14.25" hidden="false" customHeight="true" outlineLevel="0" collapsed="false">
      <c r="A40" s="1" t="s">
        <v>165</v>
      </c>
      <c r="B40" s="1" t="s">
        <v>166</v>
      </c>
      <c r="C40" s="28" t="s">
        <v>74</v>
      </c>
      <c r="D40" s="28" t="s">
        <v>91</v>
      </c>
      <c r="E40" s="28" t="s">
        <v>76</v>
      </c>
      <c r="F40" s="28" t="s">
        <v>76</v>
      </c>
      <c r="G40" s="28" t="s">
        <v>77</v>
      </c>
      <c r="H40" s="28" t="s">
        <v>78</v>
      </c>
      <c r="I40" s="1" t="str">
        <f aca="false">IF(C40="","",IF(OR(C40="3:45 AM",C40="5:45 AM"),"AM",IF(OR(C40="12:15 PM",C40="2:00 PM"),"PM","Overnight")))</f>
        <v>PM</v>
      </c>
      <c r="K40" s="1" t="n">
        <f aca="false">IF(C40="","",IF(C40="3:45 AM",1,IF(C40="5:45 AM",2,IF(C40="12:15 PM",3,IF(C40="2:00 PM",4,IF(C40="9:15 PM",5,""))))))</f>
        <v>4</v>
      </c>
    </row>
    <row r="41" customFormat="false" ht="14.25" hidden="false" customHeight="true" outlineLevel="0" collapsed="false">
      <c r="A41" s="1" t="s">
        <v>167</v>
      </c>
      <c r="B41" s="1" t="s">
        <v>168</v>
      </c>
      <c r="C41" s="28" t="s">
        <v>81</v>
      </c>
      <c r="D41" s="28" t="s">
        <v>98</v>
      </c>
      <c r="E41" s="28" t="s">
        <v>76</v>
      </c>
      <c r="F41" s="28" t="s">
        <v>76</v>
      </c>
      <c r="G41" s="28" t="s">
        <v>77</v>
      </c>
      <c r="H41" s="28" t="s">
        <v>78</v>
      </c>
      <c r="I41" s="1" t="str">
        <f aca="false">IF(C41="","",IF(OR(C41="3:45 AM",C41="5:45 AM"),"AM",IF(OR(C41="12:15 PM",C41="2:00 PM"),"PM","Overnight")))</f>
        <v>AM</v>
      </c>
      <c r="K41" s="1" t="n">
        <f aca="false">IF(C41="","",IF(C41="3:45 AM",1,IF(C41="5:45 AM",2,IF(C41="12:15 PM",3,IF(C41="2:00 PM",4,IF(C41="9:15 PM",5,""))))))</f>
        <v>2</v>
      </c>
    </row>
    <row r="42" customFormat="false" ht="14.25" hidden="false" customHeight="true" outlineLevel="0" collapsed="false">
      <c r="A42" s="1" t="s">
        <v>169</v>
      </c>
      <c r="B42" s="1" t="s">
        <v>170</v>
      </c>
      <c r="C42" s="28" t="s">
        <v>81</v>
      </c>
      <c r="D42" s="28" t="s">
        <v>85</v>
      </c>
      <c r="E42" s="28" t="s">
        <v>76</v>
      </c>
      <c r="F42" s="28" t="s">
        <v>76</v>
      </c>
      <c r="G42" s="28" t="s">
        <v>77</v>
      </c>
      <c r="H42" s="28" t="s">
        <v>78</v>
      </c>
      <c r="I42" s="1" t="str">
        <f aca="false">IF(C42="","",IF(OR(C42="3:45 AM",C42="5:45 AM"),"AM",IF(OR(C42="12:15 PM",C42="2:00 PM"),"PM","Overnight")))</f>
        <v>AM</v>
      </c>
      <c r="K42" s="1" t="n">
        <f aca="false">IF(C42="","",IF(C42="3:45 AM",1,IF(C42="5:45 AM",2,IF(C42="12:15 PM",3,IF(C42="2:00 PM",4,IF(C42="9:15 PM",5,""))))))</f>
        <v>2</v>
      </c>
    </row>
    <row r="43" customFormat="false" ht="14.25" hidden="false" customHeight="true" outlineLevel="0" collapsed="false">
      <c r="A43" s="1" t="s">
        <v>171</v>
      </c>
      <c r="B43" s="1" t="s">
        <v>172</v>
      </c>
      <c r="C43" s="28" t="s">
        <v>97</v>
      </c>
      <c r="D43" s="28" t="s">
        <v>75</v>
      </c>
      <c r="E43" s="28" t="s">
        <v>76</v>
      </c>
      <c r="F43" s="28" t="s">
        <v>76</v>
      </c>
      <c r="G43" s="28" t="s">
        <v>77</v>
      </c>
      <c r="H43" s="28" t="s">
        <v>78</v>
      </c>
      <c r="I43" s="1" t="str">
        <f aca="false">IF(C43="","",IF(OR(C43="3:45 AM",C43="5:45 AM"),"AM",IF(OR(C43="12:15 PM",C43="2:00 PM"),"PM","Overnight")))</f>
        <v>AM</v>
      </c>
      <c r="K43" s="1" t="n">
        <f aca="false">IF(C43="","",IF(C43="3:45 AM",1,IF(C43="5:45 AM",2,IF(C43="12:15 PM",3,IF(C43="2:00 PM",4,IF(C43="9:15 PM",5,""))))))</f>
        <v>1</v>
      </c>
    </row>
    <row r="44" customFormat="false" ht="14.25" hidden="false" customHeight="true" outlineLevel="0" collapsed="false">
      <c r="A44" s="1" t="s">
        <v>173</v>
      </c>
      <c r="B44" s="1" t="s">
        <v>174</v>
      </c>
      <c r="C44" s="28" t="s">
        <v>97</v>
      </c>
      <c r="D44" s="28" t="s">
        <v>142</v>
      </c>
      <c r="E44" s="28" t="s">
        <v>77</v>
      </c>
      <c r="F44" s="28" t="s">
        <v>76</v>
      </c>
      <c r="G44" s="28" t="s">
        <v>77</v>
      </c>
      <c r="H44" s="28" t="s">
        <v>78</v>
      </c>
      <c r="I44" s="1" t="str">
        <f aca="false">IF(C44="","",IF(OR(C44="3:45 AM",C44="5:45 AM"),"AM",IF(OR(C44="12:15 PM",C44="2:00 PM"),"PM","Overnight")))</f>
        <v>AM</v>
      </c>
      <c r="K44" s="1" t="n">
        <f aca="false">IF(C44="","",IF(C44="3:45 AM",1,IF(C44="5:45 AM",2,IF(C44="12:15 PM",3,IF(C44="2:00 PM",4,IF(C44="9:15 PM",5,""))))))</f>
        <v>1</v>
      </c>
    </row>
    <row r="45" customFormat="false" ht="14.25" hidden="false" customHeight="true" outlineLevel="0" collapsed="false">
      <c r="A45" s="1" t="s">
        <v>175</v>
      </c>
      <c r="B45" s="1" t="s">
        <v>176</v>
      </c>
      <c r="C45" s="28" t="s">
        <v>97</v>
      </c>
      <c r="D45" s="28" t="s">
        <v>91</v>
      </c>
      <c r="E45" s="28" t="s">
        <v>76</v>
      </c>
      <c r="F45" s="28" t="s">
        <v>76</v>
      </c>
      <c r="G45" s="28" t="s">
        <v>77</v>
      </c>
      <c r="H45" s="28" t="s">
        <v>78</v>
      </c>
      <c r="I45" s="1" t="str">
        <f aca="false">IF(C45="","",IF(OR(C45="3:45 AM",C45="5:45 AM"),"AM",IF(OR(C45="12:15 PM",C45="2:00 PM"),"PM","Overnight")))</f>
        <v>AM</v>
      </c>
      <c r="K45" s="1" t="n">
        <f aca="false">IF(C45="","",IF(C45="3:45 AM",1,IF(C45="5:45 AM",2,IF(C45="12:15 PM",3,IF(C45="2:00 PM",4,IF(C45="9:15 PM",5,""))))))</f>
        <v>1</v>
      </c>
    </row>
    <row r="46" customFormat="false" ht="14.25" hidden="false" customHeight="true" outlineLevel="0" collapsed="false">
      <c r="A46" s="1" t="s">
        <v>177</v>
      </c>
      <c r="B46" s="1" t="s">
        <v>178</v>
      </c>
      <c r="C46" s="28" t="s">
        <v>90</v>
      </c>
      <c r="D46" s="28" t="s">
        <v>94</v>
      </c>
      <c r="E46" s="28" t="s">
        <v>76</v>
      </c>
      <c r="F46" s="28" t="s">
        <v>76</v>
      </c>
      <c r="G46" s="28" t="s">
        <v>77</v>
      </c>
      <c r="H46" s="28" t="s">
        <v>78</v>
      </c>
      <c r="I46" s="1" t="str">
        <f aca="false">IF(C46="","",IF(OR(C46="3:45 AM",C46="5:45 AM"),"AM",IF(OR(C46="12:15 PM",C46="2:00 PM"),"PM","Overnight")))</f>
        <v>PM</v>
      </c>
      <c r="K46" s="1" t="n">
        <f aca="false">IF(C46="","",IF(C46="3:45 AM",1,IF(C46="5:45 AM",2,IF(C46="12:15 PM",3,IF(C46="2:00 PM",4,IF(C46="9:15 PM",5,""))))))</f>
        <v>3</v>
      </c>
    </row>
    <row r="47" customFormat="false" ht="14.25" hidden="false" customHeight="true" outlineLevel="0" collapsed="false">
      <c r="A47" s="1" t="s">
        <v>179</v>
      </c>
      <c r="B47" s="1" t="s">
        <v>180</v>
      </c>
      <c r="C47" s="28" t="s">
        <v>90</v>
      </c>
      <c r="D47" s="28" t="s">
        <v>98</v>
      </c>
      <c r="E47" s="28" t="s">
        <v>76</v>
      </c>
      <c r="F47" s="28" t="s">
        <v>76</v>
      </c>
      <c r="G47" s="28" t="s">
        <v>77</v>
      </c>
      <c r="H47" s="28" t="s">
        <v>78</v>
      </c>
      <c r="I47" s="1" t="str">
        <f aca="false">IF(C47="","",IF(OR(C47="3:45 AM",C47="5:45 AM"),"AM",IF(OR(C47="12:15 PM",C47="2:00 PM"),"PM","Overnight")))</f>
        <v>PM</v>
      </c>
      <c r="K47" s="1" t="n">
        <f aca="false">IF(C47="","",IF(C47="3:45 AM",1,IF(C47="5:45 AM",2,IF(C47="12:15 PM",3,IF(C47="2:00 PM",4,IF(C47="9:15 PM",5,""))))))</f>
        <v>3</v>
      </c>
    </row>
    <row r="48" customFormat="false" ht="14.25" hidden="false" customHeight="true" outlineLevel="0" collapsed="false">
      <c r="A48" s="1" t="s">
        <v>181</v>
      </c>
      <c r="B48" s="1" t="s">
        <v>182</v>
      </c>
      <c r="C48" s="28" t="s">
        <v>81</v>
      </c>
      <c r="D48" s="28" t="s">
        <v>111</v>
      </c>
      <c r="E48" s="28" t="s">
        <v>76</v>
      </c>
      <c r="F48" s="28" t="s">
        <v>76</v>
      </c>
      <c r="G48" s="28" t="s">
        <v>77</v>
      </c>
      <c r="H48" s="28" t="s">
        <v>78</v>
      </c>
      <c r="I48" s="1" t="str">
        <f aca="false">IF(C48="","",IF(OR(C48="3:45 AM",C48="5:45 AM"),"AM",IF(OR(C48="12:15 PM",C48="2:00 PM"),"PM","Overnight")))</f>
        <v>AM</v>
      </c>
      <c r="K48" s="1" t="n">
        <f aca="false">IF(C48="","",IF(C48="3:45 AM",1,IF(C48="5:45 AM",2,IF(C48="12:15 PM",3,IF(C48="2:00 PM",4,IF(C48="9:15 PM",5,""))))))</f>
        <v>2</v>
      </c>
    </row>
    <row r="49" customFormat="false" ht="14.25" hidden="false" customHeight="true" outlineLevel="0" collapsed="false">
      <c r="A49" s="1" t="s">
        <v>183</v>
      </c>
      <c r="B49" s="1" t="s">
        <v>184</v>
      </c>
      <c r="C49" s="28" t="s">
        <v>74</v>
      </c>
      <c r="D49" s="28" t="s">
        <v>75</v>
      </c>
      <c r="E49" s="28" t="s">
        <v>76</v>
      </c>
      <c r="F49" s="28" t="s">
        <v>76</v>
      </c>
      <c r="G49" s="28" t="s">
        <v>77</v>
      </c>
      <c r="H49" s="28" t="s">
        <v>78</v>
      </c>
      <c r="I49" s="1" t="str">
        <f aca="false">IF(C49="","",IF(OR(C49="3:45 AM",C49="5:45 AM"),"AM",IF(OR(C49="12:15 PM",C49="2:00 PM"),"PM","Overnight")))</f>
        <v>PM</v>
      </c>
      <c r="K49" s="1" t="n">
        <f aca="false">IF(C49="","",IF(C49="3:45 AM",1,IF(C49="5:45 AM",2,IF(C49="12:15 PM",3,IF(C49="2:00 PM",4,IF(C49="9:15 PM",5,""))))))</f>
        <v>4</v>
      </c>
    </row>
    <row r="50" customFormat="false" ht="14.25" hidden="false" customHeight="true" outlineLevel="0" collapsed="false">
      <c r="A50" s="1" t="s">
        <v>185</v>
      </c>
      <c r="B50" s="1" t="s">
        <v>186</v>
      </c>
      <c r="C50" s="28" t="s">
        <v>97</v>
      </c>
      <c r="D50" s="28" t="s">
        <v>94</v>
      </c>
      <c r="E50" s="28" t="s">
        <v>76</v>
      </c>
      <c r="F50" s="28" t="s">
        <v>76</v>
      </c>
      <c r="G50" s="28" t="s">
        <v>77</v>
      </c>
      <c r="H50" s="28" t="s">
        <v>78</v>
      </c>
      <c r="I50" s="1" t="str">
        <f aca="false">IF(C50="","",IF(OR(C50="3:45 AM",C50="5:45 AM"),"AM",IF(OR(C50="12:15 PM",C50="2:00 PM"),"PM","Overnight")))</f>
        <v>AM</v>
      </c>
      <c r="K50" s="1" t="n">
        <f aca="false">IF(C50="","",IF(C50="3:45 AM",1,IF(C50="5:45 AM",2,IF(C50="12:15 PM",3,IF(C50="2:00 PM",4,IF(C50="9:15 PM",5,""))))))</f>
        <v>1</v>
      </c>
    </row>
    <row r="51" customFormat="false" ht="14.25" hidden="false" customHeight="true" outlineLevel="0" collapsed="false">
      <c r="A51" s="1" t="s">
        <v>187</v>
      </c>
      <c r="B51" s="1" t="s">
        <v>188</v>
      </c>
      <c r="C51" s="28" t="s">
        <v>90</v>
      </c>
      <c r="D51" s="28" t="s">
        <v>111</v>
      </c>
      <c r="E51" s="28" t="s">
        <v>76</v>
      </c>
      <c r="F51" s="28" t="s">
        <v>76</v>
      </c>
      <c r="G51" s="28" t="s">
        <v>77</v>
      </c>
      <c r="H51" s="28" t="s">
        <v>78</v>
      </c>
      <c r="I51" s="1" t="str">
        <f aca="false">IF(C51="","",IF(OR(C51="3:45 AM",C51="5:45 AM"),"AM",IF(OR(C51="12:15 PM",C51="2:00 PM"),"PM","Overnight")))</f>
        <v>PM</v>
      </c>
      <c r="K51" s="1" t="n">
        <f aca="false">IF(C51="","",IF(C51="3:45 AM",1,IF(C51="5:45 AM",2,IF(C51="12:15 PM",3,IF(C51="2:00 PM",4,IF(C51="9:15 PM",5,""))))))</f>
        <v>3</v>
      </c>
    </row>
    <row r="52" customFormat="false" ht="14.25" hidden="false" customHeight="true" outlineLevel="0" collapsed="false">
      <c r="A52" s="1" t="s">
        <v>189</v>
      </c>
      <c r="B52" s="1" t="s">
        <v>190</v>
      </c>
      <c r="C52" s="28" t="s">
        <v>81</v>
      </c>
      <c r="D52" s="28" t="s">
        <v>94</v>
      </c>
      <c r="E52" s="28" t="s">
        <v>76</v>
      </c>
      <c r="F52" s="28" t="s">
        <v>76</v>
      </c>
      <c r="G52" s="28" t="s">
        <v>77</v>
      </c>
      <c r="H52" s="28" t="s">
        <v>78</v>
      </c>
      <c r="I52" s="1" t="str">
        <f aca="false">IF(C52="","",IF(OR(C52="3:45 AM",C52="5:45 AM"),"AM",IF(OR(C52="12:15 PM",C52="2:00 PM"),"PM","Overnight")))</f>
        <v>AM</v>
      </c>
      <c r="K52" s="1" t="n">
        <f aca="false">IF(C52="","",IF(C52="3:45 AM",1,IF(C52="5:45 AM",2,IF(C52="12:15 PM",3,IF(C52="2:00 PM",4,IF(C52="9:15 PM",5,""))))))</f>
        <v>2</v>
      </c>
    </row>
    <row r="53" customFormat="false" ht="14.25" hidden="false" customHeight="true" outlineLevel="0" collapsed="false">
      <c r="A53" s="1" t="s">
        <v>191</v>
      </c>
      <c r="B53" s="1" t="s">
        <v>192</v>
      </c>
      <c r="C53" s="28" t="s">
        <v>81</v>
      </c>
      <c r="D53" s="28" t="s">
        <v>111</v>
      </c>
      <c r="E53" s="28" t="s">
        <v>76</v>
      </c>
      <c r="F53" s="28" t="s">
        <v>76</v>
      </c>
      <c r="G53" s="28" t="s">
        <v>77</v>
      </c>
      <c r="H53" s="28" t="s">
        <v>78</v>
      </c>
      <c r="I53" s="1" t="str">
        <f aca="false">IF(C53="","",IF(OR(C53="3:45 AM",C53="5:45 AM"),"AM",IF(OR(C53="12:15 PM",C53="2:00 PM"),"PM","Overnight")))</f>
        <v>AM</v>
      </c>
      <c r="K53" s="1" t="n">
        <f aca="false">IF(C53="","",IF(C53="3:45 AM",1,IF(C53="5:45 AM",2,IF(C53="12:15 PM",3,IF(C53="2:00 PM",4,IF(C53="9:15 PM",5,""))))))</f>
        <v>2</v>
      </c>
    </row>
    <row r="54" customFormat="false" ht="14.25" hidden="false" customHeight="true" outlineLevel="0" collapsed="false">
      <c r="A54" s="1" t="s">
        <v>193</v>
      </c>
      <c r="B54" s="1" t="s">
        <v>194</v>
      </c>
      <c r="C54" s="28" t="s">
        <v>74</v>
      </c>
      <c r="D54" s="28" t="s">
        <v>111</v>
      </c>
      <c r="E54" s="28" t="s">
        <v>76</v>
      </c>
      <c r="F54" s="28" t="s">
        <v>76</v>
      </c>
      <c r="G54" s="28" t="s">
        <v>77</v>
      </c>
      <c r="H54" s="28" t="s">
        <v>78</v>
      </c>
      <c r="I54" s="1" t="str">
        <f aca="false">IF(C54="","",IF(OR(C54="3:45 AM",C54="5:45 AM"),"AM",IF(OR(C54="12:15 PM",C54="2:00 PM"),"PM","Overnight")))</f>
        <v>PM</v>
      </c>
      <c r="K54" s="1" t="n">
        <f aca="false">IF(C54="","",IF(C54="3:45 AM",1,IF(C54="5:45 AM",2,IF(C54="12:15 PM",3,IF(C54="2:00 PM",4,IF(C54="9:15 PM",5,""))))))</f>
        <v>4</v>
      </c>
    </row>
    <row r="55" customFormat="false" ht="14.25" hidden="false" customHeight="true" outlineLevel="0" collapsed="false">
      <c r="A55" s="1" t="s">
        <v>195</v>
      </c>
      <c r="B55" s="1" t="s">
        <v>196</v>
      </c>
      <c r="C55" s="28" t="s">
        <v>97</v>
      </c>
      <c r="D55" s="28" t="s">
        <v>75</v>
      </c>
      <c r="E55" s="28" t="s">
        <v>76</v>
      </c>
      <c r="F55" s="28" t="s">
        <v>76</v>
      </c>
      <c r="G55" s="28" t="s">
        <v>77</v>
      </c>
      <c r="H55" s="28" t="s">
        <v>78</v>
      </c>
      <c r="I55" s="1" t="str">
        <f aca="false">IF(C55="","",IF(OR(C55="3:45 AM",C55="5:45 AM"),"AM",IF(OR(C55="12:15 PM",C55="2:00 PM"),"PM","Overnight")))</f>
        <v>AM</v>
      </c>
      <c r="K55" s="1" t="n">
        <f aca="false">IF(C55="","",IF(C55="3:45 AM",1,IF(C55="5:45 AM",2,IF(C55="12:15 PM",3,IF(C55="2:00 PM",4,IF(C55="9:15 PM",5,""))))))</f>
        <v>1</v>
      </c>
    </row>
    <row r="56" customFormat="false" ht="14.25" hidden="false" customHeight="true" outlineLevel="0" collapsed="false">
      <c r="A56" s="1" t="s">
        <v>197</v>
      </c>
      <c r="B56" s="1" t="s">
        <v>198</v>
      </c>
      <c r="C56" s="28" t="s">
        <v>90</v>
      </c>
      <c r="D56" s="28" t="s">
        <v>75</v>
      </c>
      <c r="E56" s="28" t="s">
        <v>76</v>
      </c>
      <c r="F56" s="28" t="s">
        <v>76</v>
      </c>
      <c r="G56" s="28" t="s">
        <v>77</v>
      </c>
      <c r="H56" s="28" t="s">
        <v>78</v>
      </c>
      <c r="I56" s="1" t="str">
        <f aca="false">IF(C56="","",IF(OR(C56="3:45 AM",C56="5:45 AM"),"AM",IF(OR(C56="12:15 PM",C56="2:00 PM"),"PM","Overnight")))</f>
        <v>PM</v>
      </c>
      <c r="K56" s="1" t="n">
        <f aca="false">IF(C56="","",IF(C56="3:45 AM",1,IF(C56="5:45 AM",2,IF(C56="12:15 PM",3,IF(C56="2:00 PM",4,IF(C56="9:15 PM",5,""))))))</f>
        <v>3</v>
      </c>
    </row>
    <row r="57" customFormat="false" ht="14.25" hidden="false" customHeight="true" outlineLevel="0" collapsed="false">
      <c r="A57" s="1" t="s">
        <v>199</v>
      </c>
      <c r="B57" s="1" t="s">
        <v>200</v>
      </c>
      <c r="C57" s="28" t="s">
        <v>90</v>
      </c>
      <c r="D57" s="28" t="s">
        <v>85</v>
      </c>
      <c r="E57" s="28" t="s">
        <v>76</v>
      </c>
      <c r="F57" s="28" t="s">
        <v>76</v>
      </c>
      <c r="G57" s="28" t="s">
        <v>77</v>
      </c>
      <c r="H57" s="28" t="s">
        <v>78</v>
      </c>
      <c r="I57" s="1" t="str">
        <f aca="false">IF(C57="","",IF(OR(C57="3:45 AM",C57="5:45 AM"),"AM",IF(OR(C57="12:15 PM",C57="2:00 PM"),"PM","Overnight")))</f>
        <v>PM</v>
      </c>
      <c r="K57" s="1" t="n">
        <f aca="false">IF(C57="","",IF(C57="3:45 AM",1,IF(C57="5:45 AM",2,IF(C57="12:15 PM",3,IF(C57="2:00 PM",4,IF(C57="9:15 PM",5,""))))))</f>
        <v>3</v>
      </c>
    </row>
    <row r="58" customFormat="false" ht="14.25" hidden="false" customHeight="true" outlineLevel="0" collapsed="false">
      <c r="A58" s="1" t="s">
        <v>201</v>
      </c>
      <c r="B58" s="1" t="s">
        <v>202</v>
      </c>
      <c r="C58" s="28" t="s">
        <v>74</v>
      </c>
      <c r="D58" s="28" t="s">
        <v>142</v>
      </c>
      <c r="E58" s="28" t="s">
        <v>76</v>
      </c>
      <c r="F58" s="28" t="s">
        <v>76</v>
      </c>
      <c r="G58" s="28" t="s">
        <v>77</v>
      </c>
      <c r="H58" s="28" t="s">
        <v>78</v>
      </c>
      <c r="I58" s="1" t="str">
        <f aca="false">IF(C58="","",IF(OR(C58="3:45 AM",C58="5:45 AM"),"AM",IF(OR(C58="12:15 PM",C58="2:00 PM"),"PM","Overnight")))</f>
        <v>PM</v>
      </c>
      <c r="K58" s="1" t="n">
        <f aca="false">IF(C58="","",IF(C58="3:45 AM",1,IF(C58="5:45 AM",2,IF(C58="12:15 PM",3,IF(C58="2:00 PM",4,IF(C58="9:15 PM",5,""))))))</f>
        <v>4</v>
      </c>
    </row>
    <row r="59" customFormat="false" ht="14.25" hidden="false" customHeight="true" outlineLevel="0" collapsed="false">
      <c r="A59" s="1" t="s">
        <v>203</v>
      </c>
      <c r="B59" s="1" t="s">
        <v>204</v>
      </c>
      <c r="C59" s="28" t="s">
        <v>74</v>
      </c>
      <c r="D59" s="28" t="s">
        <v>98</v>
      </c>
      <c r="E59" s="28" t="s">
        <v>76</v>
      </c>
      <c r="F59" s="28" t="s">
        <v>76</v>
      </c>
      <c r="G59" s="28" t="s">
        <v>77</v>
      </c>
      <c r="H59" s="28" t="s">
        <v>78</v>
      </c>
      <c r="I59" s="1" t="str">
        <f aca="false">IF(C59="","",IF(OR(C59="3:45 AM",C59="5:45 AM"),"AM",IF(OR(C59="12:15 PM",C59="2:00 PM"),"PM","Overnight")))</f>
        <v>PM</v>
      </c>
      <c r="K59" s="1" t="n">
        <f aca="false">IF(C59="","",IF(C59="3:45 AM",1,IF(C59="5:45 AM",2,IF(C59="12:15 PM",3,IF(C59="2:00 PM",4,IF(C59="9:15 PM",5,""))))))</f>
        <v>4</v>
      </c>
    </row>
    <row r="60" customFormat="false" ht="14.25" hidden="false" customHeight="true" outlineLevel="0" collapsed="false">
      <c r="A60" s="1" t="s">
        <v>205</v>
      </c>
      <c r="B60" s="1" t="s">
        <v>206</v>
      </c>
      <c r="C60" s="28" t="s">
        <v>97</v>
      </c>
      <c r="D60" s="28" t="s">
        <v>91</v>
      </c>
      <c r="E60" s="28" t="s">
        <v>76</v>
      </c>
      <c r="F60" s="28" t="s">
        <v>76</v>
      </c>
      <c r="G60" s="28" t="s">
        <v>77</v>
      </c>
      <c r="H60" s="28" t="s">
        <v>78</v>
      </c>
      <c r="I60" s="1" t="str">
        <f aca="false">IF(C60="","",IF(OR(C60="3:45 AM",C60="5:45 AM"),"AM",IF(OR(C60="12:15 PM",C60="2:00 PM"),"PM","Overnight")))</f>
        <v>AM</v>
      </c>
      <c r="K60" s="1" t="n">
        <f aca="false">IF(C60="","",IF(C60="3:45 AM",1,IF(C60="5:45 AM",2,IF(C60="12:15 PM",3,IF(C60="2:00 PM",4,IF(C60="9:15 PM",5,""))))))</f>
        <v>1</v>
      </c>
    </row>
    <row r="61" customFormat="false" ht="14.25" hidden="false" customHeight="true" outlineLevel="0" collapsed="false">
      <c r="A61" s="1" t="s">
        <v>207</v>
      </c>
      <c r="B61" s="1" t="s">
        <v>208</v>
      </c>
      <c r="C61" s="28" t="s">
        <v>90</v>
      </c>
      <c r="D61" s="28" t="s">
        <v>91</v>
      </c>
      <c r="E61" s="28" t="s">
        <v>76</v>
      </c>
      <c r="F61" s="28" t="s">
        <v>76</v>
      </c>
      <c r="G61" s="28" t="s">
        <v>77</v>
      </c>
      <c r="H61" s="28" t="s">
        <v>78</v>
      </c>
      <c r="I61" s="1" t="str">
        <f aca="false">IF(C61="","",IF(OR(C61="3:45 AM",C61="5:45 AM"),"AM",IF(OR(C61="12:15 PM",C61="2:00 PM"),"PM","Overnight")))</f>
        <v>PM</v>
      </c>
      <c r="K61" s="1" t="n">
        <f aca="false">IF(C61="","",IF(C61="3:45 AM",1,IF(C61="5:45 AM",2,IF(C61="12:15 PM",3,IF(C61="2:00 PM",4,IF(C61="9:15 PM",5,""))))))</f>
        <v>3</v>
      </c>
    </row>
    <row r="62" customFormat="false" ht="14.25" hidden="false" customHeight="true" outlineLevel="0" collapsed="false">
      <c r="A62" s="1" t="s">
        <v>209</v>
      </c>
      <c r="B62" s="1" t="s">
        <v>210</v>
      </c>
      <c r="C62" s="28" t="s">
        <v>90</v>
      </c>
      <c r="D62" s="28" t="s">
        <v>75</v>
      </c>
      <c r="E62" s="28" t="s">
        <v>76</v>
      </c>
      <c r="F62" s="28" t="s">
        <v>76</v>
      </c>
      <c r="G62" s="28" t="s">
        <v>77</v>
      </c>
      <c r="H62" s="28" t="s">
        <v>78</v>
      </c>
      <c r="I62" s="1" t="str">
        <f aca="false">IF(C62="","",IF(OR(C62="3:45 AM",C62="5:45 AM"),"AM",IF(OR(C62="12:15 PM",C62="2:00 PM"),"PM","Overnight")))</f>
        <v>PM</v>
      </c>
      <c r="K62" s="1" t="n">
        <f aca="false">IF(C62="","",IF(C62="3:45 AM",1,IF(C62="5:45 AM",2,IF(C62="12:15 PM",3,IF(C62="2:00 PM",4,IF(C62="9:15 PM",5,""))))))</f>
        <v>3</v>
      </c>
    </row>
    <row r="63" customFormat="false" ht="14.25" hidden="false" customHeight="true" outlineLevel="0" collapsed="false">
      <c r="A63" s="1" t="s">
        <v>211</v>
      </c>
      <c r="B63" s="1" t="s">
        <v>212</v>
      </c>
      <c r="C63" s="28" t="s">
        <v>90</v>
      </c>
      <c r="D63" s="28" t="s">
        <v>94</v>
      </c>
      <c r="E63" s="28" t="s">
        <v>76</v>
      </c>
      <c r="F63" s="28" t="s">
        <v>76</v>
      </c>
      <c r="G63" s="28" t="s">
        <v>77</v>
      </c>
      <c r="H63" s="28" t="s">
        <v>78</v>
      </c>
      <c r="I63" s="1" t="str">
        <f aca="false">IF(C63="","",IF(OR(C63="3:45 AM",C63="5:45 AM"),"AM",IF(OR(C63="12:15 PM",C63="2:00 PM"),"PM","Overnight")))</f>
        <v>PM</v>
      </c>
      <c r="K63" s="1" t="n">
        <f aca="false">IF(C63="","",IF(C63="3:45 AM",1,IF(C63="5:45 AM",2,IF(C63="12:15 PM",3,IF(C63="2:00 PM",4,IF(C63="9:15 PM",5,""))))))</f>
        <v>3</v>
      </c>
    </row>
    <row r="64" customFormat="false" ht="14.25" hidden="false" customHeight="true" outlineLevel="0" collapsed="false">
      <c r="A64" s="1" t="s">
        <v>213</v>
      </c>
      <c r="B64" s="1" t="s">
        <v>214</v>
      </c>
      <c r="C64" s="28" t="s">
        <v>81</v>
      </c>
      <c r="D64" s="28" t="s">
        <v>75</v>
      </c>
      <c r="E64" s="28" t="s">
        <v>76</v>
      </c>
      <c r="F64" s="28" t="s">
        <v>76</v>
      </c>
      <c r="G64" s="28" t="s">
        <v>77</v>
      </c>
      <c r="H64" s="28" t="s">
        <v>78</v>
      </c>
      <c r="I64" s="1" t="str">
        <f aca="false">IF(C64="","",IF(OR(C64="3:45 AM",C64="5:45 AM"),"AM",IF(OR(C64="12:15 PM",C64="2:00 PM"),"PM","Overnight")))</f>
        <v>AM</v>
      </c>
      <c r="K64" s="1" t="n">
        <f aca="false">IF(C64="","",IF(C64="3:45 AM",1,IF(C64="5:45 AM",2,IF(C64="12:15 PM",3,IF(C64="2:00 PM",4,IF(C64="9:15 PM",5,""))))))</f>
        <v>2</v>
      </c>
    </row>
    <row r="65" customFormat="false" ht="14.25" hidden="false" customHeight="true" outlineLevel="0" collapsed="false">
      <c r="A65" s="1" t="s">
        <v>215</v>
      </c>
      <c r="B65" s="1" t="s">
        <v>216</v>
      </c>
      <c r="C65" s="28" t="s">
        <v>81</v>
      </c>
      <c r="D65" s="28" t="s">
        <v>142</v>
      </c>
      <c r="E65" s="28" t="s">
        <v>76</v>
      </c>
      <c r="F65" s="28" t="s">
        <v>76</v>
      </c>
      <c r="G65" s="28" t="s">
        <v>77</v>
      </c>
      <c r="H65" s="28" t="s">
        <v>78</v>
      </c>
      <c r="I65" s="1" t="str">
        <f aca="false">IF(C65="","",IF(OR(C65="3:45 AM",C65="5:45 AM"),"AM",IF(OR(C65="12:15 PM",C65="2:00 PM"),"PM","Overnight")))</f>
        <v>AM</v>
      </c>
      <c r="K65" s="1" t="n">
        <f aca="false">IF(C65="","",IF(C65="3:45 AM",1,IF(C65="5:45 AM",2,IF(C65="12:15 PM",3,IF(C65="2:00 PM",4,IF(C65="9:15 PM",5,""))))))</f>
        <v>2</v>
      </c>
    </row>
    <row r="66" customFormat="false" ht="14.25" hidden="false" customHeight="true" outlineLevel="0" collapsed="false">
      <c r="A66" s="1" t="s">
        <v>217</v>
      </c>
      <c r="B66" s="1" t="s">
        <v>218</v>
      </c>
      <c r="C66" s="28" t="s">
        <v>81</v>
      </c>
      <c r="D66" s="28" t="s">
        <v>91</v>
      </c>
      <c r="E66" s="28" t="s">
        <v>76</v>
      </c>
      <c r="F66" s="28" t="s">
        <v>76</v>
      </c>
      <c r="G66" s="28" t="s">
        <v>77</v>
      </c>
      <c r="H66" s="28" t="s">
        <v>78</v>
      </c>
      <c r="I66" s="1" t="str">
        <f aca="false">IF(C66="","",IF(OR(C66="3:45 AM",C66="5:45 AM"),"AM",IF(OR(C66="12:15 PM",C66="2:00 PM"),"PM","Overnight")))</f>
        <v>AM</v>
      </c>
      <c r="K66" s="1" t="n">
        <f aca="false">IF(C66="","",IF(C66="3:45 AM",1,IF(C66="5:45 AM",2,IF(C66="12:15 PM",3,IF(C66="2:00 PM",4,IF(C66="9:15 PM",5,""))))))</f>
        <v>2</v>
      </c>
    </row>
    <row r="67" customFormat="false" ht="14.25" hidden="false" customHeight="true" outlineLevel="0" collapsed="false">
      <c r="A67" s="1" t="s">
        <v>219</v>
      </c>
      <c r="B67" s="1" t="s">
        <v>220</v>
      </c>
      <c r="C67" s="28" t="s">
        <v>81</v>
      </c>
      <c r="D67" s="28" t="s">
        <v>94</v>
      </c>
      <c r="E67" s="28" t="s">
        <v>76</v>
      </c>
      <c r="F67" s="28" t="s">
        <v>76</v>
      </c>
      <c r="G67" s="28" t="s">
        <v>77</v>
      </c>
      <c r="H67" s="28" t="s">
        <v>78</v>
      </c>
      <c r="I67" s="1" t="str">
        <f aca="false">IF(C67="","",IF(OR(C67="3:45 AM",C67="5:45 AM"),"AM",IF(OR(C67="12:15 PM",C67="2:00 PM"),"PM","Overnight")))</f>
        <v>AM</v>
      </c>
      <c r="K67" s="1" t="n">
        <f aca="false">IF(C67="","",IF(C67="3:45 AM",1,IF(C67="5:45 AM",2,IF(C67="12:15 PM",3,IF(C67="2:00 PM",4,IF(C67="9:15 PM",5,""))))))</f>
        <v>2</v>
      </c>
    </row>
    <row r="68" customFormat="false" ht="14.25" hidden="false" customHeight="true" outlineLevel="0" collapsed="false">
      <c r="A68" s="1" t="s">
        <v>221</v>
      </c>
      <c r="B68" s="1" t="s">
        <v>222</v>
      </c>
      <c r="C68" s="28" t="s">
        <v>97</v>
      </c>
      <c r="D68" s="28" t="s">
        <v>91</v>
      </c>
      <c r="E68" s="28" t="s">
        <v>76</v>
      </c>
      <c r="F68" s="28" t="s">
        <v>76</v>
      </c>
      <c r="G68" s="28" t="s">
        <v>77</v>
      </c>
      <c r="H68" s="28" t="s">
        <v>78</v>
      </c>
      <c r="I68" s="1" t="str">
        <f aca="false">IF(C68="","",IF(OR(C68="3:45 AM",C68="5:45 AM"),"AM",IF(OR(C68="12:15 PM",C68="2:00 PM"),"PM","Overnight")))</f>
        <v>AM</v>
      </c>
      <c r="K68" s="1" t="n">
        <f aca="false">IF(C68="","",IF(C68="3:45 AM",1,IF(C68="5:45 AM",2,IF(C68="12:15 PM",3,IF(C68="2:00 PM",4,IF(C68="9:15 PM",5,""))))))</f>
        <v>1</v>
      </c>
    </row>
    <row r="69" customFormat="false" ht="14.25" hidden="false" customHeight="true" outlineLevel="0" collapsed="false">
      <c r="A69" s="1" t="s">
        <v>223</v>
      </c>
      <c r="B69" s="1" t="s">
        <v>224</v>
      </c>
      <c r="C69" s="28" t="s">
        <v>74</v>
      </c>
      <c r="D69" s="28" t="s">
        <v>85</v>
      </c>
      <c r="E69" s="28" t="s">
        <v>76</v>
      </c>
      <c r="F69" s="28" t="s">
        <v>76</v>
      </c>
      <c r="G69" s="28" t="s">
        <v>77</v>
      </c>
      <c r="H69" s="28" t="s">
        <v>78</v>
      </c>
      <c r="I69" s="1" t="str">
        <f aca="false">IF(C69="","",IF(OR(C69="3:45 AM",C69="5:45 AM"),"AM",IF(OR(C69="12:15 PM",C69="2:00 PM"),"PM","Overnight")))</f>
        <v>PM</v>
      </c>
      <c r="K69" s="1" t="n">
        <f aca="false">IF(C69="","",IF(C69="3:45 AM",1,IF(C69="5:45 AM",2,IF(C69="12:15 PM",3,IF(C69="2:00 PM",4,IF(C69="9:15 PM",5,""))))))</f>
        <v>4</v>
      </c>
    </row>
    <row r="70" customFormat="false" ht="14.25" hidden="false" customHeight="true" outlineLevel="0" collapsed="false">
      <c r="A70" s="1" t="s">
        <v>225</v>
      </c>
      <c r="B70" s="1" t="s">
        <v>226</v>
      </c>
      <c r="C70" s="28" t="s">
        <v>90</v>
      </c>
      <c r="D70" s="28" t="s">
        <v>111</v>
      </c>
      <c r="E70" s="28" t="s">
        <v>76</v>
      </c>
      <c r="F70" s="28" t="s">
        <v>76</v>
      </c>
      <c r="G70" s="28" t="s">
        <v>77</v>
      </c>
      <c r="H70" s="28" t="s">
        <v>78</v>
      </c>
      <c r="I70" s="1" t="str">
        <f aca="false">IF(C70="","",IF(OR(C70="3:45 AM",C70="5:45 AM"),"AM",IF(OR(C70="12:15 PM",C70="2:00 PM"),"PM","Overnight")))</f>
        <v>PM</v>
      </c>
      <c r="K70" s="1" t="n">
        <f aca="false">IF(C70="","",IF(C70="3:45 AM",1,IF(C70="5:45 AM",2,IF(C70="12:15 PM",3,IF(C70="2:00 PM",4,IF(C70="9:15 PM",5,""))))))</f>
        <v>3</v>
      </c>
    </row>
    <row r="71" customFormat="false" ht="14.25" hidden="false" customHeight="true" outlineLevel="0" collapsed="false">
      <c r="A71" s="1" t="s">
        <v>227</v>
      </c>
      <c r="B71" s="1" t="s">
        <v>228</v>
      </c>
      <c r="C71" s="28" t="s">
        <v>81</v>
      </c>
      <c r="D71" s="28" t="s">
        <v>98</v>
      </c>
      <c r="E71" s="28" t="s">
        <v>76</v>
      </c>
      <c r="F71" s="28" t="s">
        <v>76</v>
      </c>
      <c r="G71" s="28" t="s">
        <v>77</v>
      </c>
      <c r="H71" s="28" t="s">
        <v>78</v>
      </c>
      <c r="I71" s="1" t="str">
        <f aca="false">IF(C71="","",IF(OR(C71="3:45 AM",C71="5:45 AM"),"AM",IF(OR(C71="12:15 PM",C71="2:00 PM"),"PM","Overnight")))</f>
        <v>AM</v>
      </c>
      <c r="K71" s="1" t="n">
        <f aca="false">IF(C71="","",IF(C71="3:45 AM",1,IF(C71="5:45 AM",2,IF(C71="12:15 PM",3,IF(C71="2:00 PM",4,IF(C71="9:15 PM",5,""))))))</f>
        <v>2</v>
      </c>
    </row>
    <row r="72" customFormat="false" ht="14.25" hidden="false" customHeight="true" outlineLevel="0" collapsed="false">
      <c r="A72" s="1" t="s">
        <v>229</v>
      </c>
      <c r="B72" s="1" t="s">
        <v>230</v>
      </c>
      <c r="C72" s="28" t="s">
        <v>81</v>
      </c>
      <c r="D72" s="28" t="s">
        <v>142</v>
      </c>
      <c r="E72" s="28" t="s">
        <v>76</v>
      </c>
      <c r="F72" s="28" t="s">
        <v>76</v>
      </c>
      <c r="G72" s="28" t="s">
        <v>77</v>
      </c>
      <c r="H72" s="28" t="s">
        <v>78</v>
      </c>
      <c r="I72" s="1" t="str">
        <f aca="false">IF(C72="","",IF(OR(C72="3:45 AM",C72="5:45 AM"),"AM",IF(OR(C72="12:15 PM",C72="2:00 PM"),"PM","Overnight")))</f>
        <v>AM</v>
      </c>
      <c r="K72" s="1" t="n">
        <f aca="false">IF(C72="","",IF(C72="3:45 AM",1,IF(C72="5:45 AM",2,IF(C72="12:15 PM",3,IF(C72="2:00 PM",4,IF(C72="9:15 PM",5,""))))))</f>
        <v>2</v>
      </c>
    </row>
    <row r="73" customFormat="false" ht="14.25" hidden="false" customHeight="true" outlineLevel="0" collapsed="false">
      <c r="A73" s="1" t="s">
        <v>231</v>
      </c>
      <c r="B73" s="1" t="s">
        <v>232</v>
      </c>
      <c r="C73" s="28" t="s">
        <v>90</v>
      </c>
      <c r="D73" s="28" t="s">
        <v>94</v>
      </c>
      <c r="E73" s="28" t="s">
        <v>76</v>
      </c>
      <c r="F73" s="28" t="s">
        <v>76</v>
      </c>
      <c r="G73" s="28" t="s">
        <v>77</v>
      </c>
      <c r="H73" s="28" t="s">
        <v>78</v>
      </c>
      <c r="I73" s="1" t="str">
        <f aca="false">IF(C73="","",IF(OR(C73="3:45 AM",C73="5:45 AM"),"AM",IF(OR(C73="12:15 PM",C73="2:00 PM"),"PM","Overnight")))</f>
        <v>PM</v>
      </c>
      <c r="K73" s="1" t="n">
        <f aca="false">IF(C73="","",IF(C73="3:45 AM",1,IF(C73="5:45 AM",2,IF(C73="12:15 PM",3,IF(C73="2:00 PM",4,IF(C73="9:15 PM",5,""))))))</f>
        <v>3</v>
      </c>
    </row>
    <row r="74" customFormat="false" ht="14.25" hidden="false" customHeight="true" outlineLevel="0" collapsed="false">
      <c r="A74" s="1" t="s">
        <v>233</v>
      </c>
      <c r="B74" s="1" t="s">
        <v>234</v>
      </c>
      <c r="C74" s="28" t="s">
        <v>81</v>
      </c>
      <c r="D74" s="28" t="s">
        <v>85</v>
      </c>
      <c r="E74" s="28" t="s">
        <v>76</v>
      </c>
      <c r="F74" s="28" t="s">
        <v>76</v>
      </c>
      <c r="G74" s="28" t="s">
        <v>77</v>
      </c>
      <c r="H74" s="28" t="s">
        <v>78</v>
      </c>
      <c r="I74" s="1" t="str">
        <f aca="false">IF(C74="","",IF(OR(C74="3:45 AM",C74="5:45 AM"),"AM",IF(OR(C74="12:15 PM",C74="2:00 PM"),"PM","Overnight")))</f>
        <v>AM</v>
      </c>
      <c r="K74" s="1" t="n">
        <f aca="false">IF(C74="","",IF(C74="3:45 AM",1,IF(C74="5:45 AM",2,IF(C74="12:15 PM",3,IF(C74="2:00 PM",4,IF(C74="9:15 PM",5,""))))))</f>
        <v>2</v>
      </c>
    </row>
    <row r="75" customFormat="false" ht="14.25" hidden="false" customHeight="true" outlineLevel="0" collapsed="false">
      <c r="A75" s="1" t="s">
        <v>235</v>
      </c>
      <c r="B75" s="1" t="s">
        <v>236</v>
      </c>
      <c r="C75" s="28" t="s">
        <v>81</v>
      </c>
      <c r="D75" s="28" t="s">
        <v>75</v>
      </c>
      <c r="E75" s="28" t="s">
        <v>76</v>
      </c>
      <c r="F75" s="28" t="s">
        <v>76</v>
      </c>
      <c r="G75" s="28" t="s">
        <v>77</v>
      </c>
      <c r="H75" s="28" t="s">
        <v>78</v>
      </c>
      <c r="I75" s="1" t="str">
        <f aca="false">IF(C75="","",IF(OR(C75="3:45 AM",C75="5:45 AM"),"AM",IF(OR(C75="12:15 PM",C75="2:00 PM"),"PM","Overnight")))</f>
        <v>AM</v>
      </c>
      <c r="K75" s="1" t="n">
        <f aca="false">IF(C75="","",IF(C75="3:45 AM",1,IF(C75="5:45 AM",2,IF(C75="12:15 PM",3,IF(C75="2:00 PM",4,IF(C75="9:15 PM",5,""))))))</f>
        <v>2</v>
      </c>
    </row>
    <row r="76" customFormat="false" ht="14.25" hidden="false" customHeight="true" outlineLevel="0" collapsed="false">
      <c r="A76" s="1" t="s">
        <v>237</v>
      </c>
      <c r="B76" s="1" t="s">
        <v>238</v>
      </c>
      <c r="C76" s="28" t="s">
        <v>81</v>
      </c>
      <c r="D76" s="28" t="s">
        <v>111</v>
      </c>
      <c r="E76" s="28" t="s">
        <v>76</v>
      </c>
      <c r="F76" s="28" t="s">
        <v>76</v>
      </c>
      <c r="G76" s="28" t="s">
        <v>77</v>
      </c>
      <c r="H76" s="28" t="s">
        <v>78</v>
      </c>
      <c r="I76" s="1" t="str">
        <f aca="false">IF(C76="","",IF(OR(C76="3:45 AM",C76="5:45 AM"),"AM",IF(OR(C76="12:15 PM",C76="2:00 PM"),"PM","Overnight")))</f>
        <v>AM</v>
      </c>
      <c r="K76" s="1" t="n">
        <f aca="false">IF(C76="","",IF(C76="3:45 AM",1,IF(C76="5:45 AM",2,IF(C76="12:15 PM",3,IF(C76="2:00 PM",4,IF(C76="9:15 PM",5,""))))))</f>
        <v>2</v>
      </c>
    </row>
    <row r="77" customFormat="false" ht="14.25" hidden="false" customHeight="true" outlineLevel="0" collapsed="false">
      <c r="A77" s="1" t="s">
        <v>239</v>
      </c>
      <c r="B77" s="1" t="s">
        <v>240</v>
      </c>
      <c r="C77" s="28" t="s">
        <v>81</v>
      </c>
      <c r="D77" s="28" t="s">
        <v>75</v>
      </c>
      <c r="E77" s="28" t="s">
        <v>76</v>
      </c>
      <c r="F77" s="28" t="s">
        <v>76</v>
      </c>
      <c r="G77" s="28" t="s">
        <v>77</v>
      </c>
      <c r="H77" s="28" t="s">
        <v>78</v>
      </c>
      <c r="I77" s="1" t="str">
        <f aca="false">IF(C77="","",IF(OR(C77="3:45 AM",C77="5:45 AM"),"AM",IF(OR(C77="12:15 PM",C77="2:00 PM"),"PM","Overnight")))</f>
        <v>AM</v>
      </c>
      <c r="K77" s="1" t="n">
        <f aca="false">IF(C77="","",IF(C77="3:45 AM",1,IF(C77="5:45 AM",2,IF(C77="12:15 PM",3,IF(C77="2:00 PM",4,IF(C77="9:15 PM",5,""))))))</f>
        <v>2</v>
      </c>
    </row>
    <row r="78" customFormat="false" ht="14.25" hidden="false" customHeight="true" outlineLevel="0" collapsed="false">
      <c r="A78" s="1" t="s">
        <v>241</v>
      </c>
      <c r="B78" s="1" t="s">
        <v>242</v>
      </c>
      <c r="C78" s="28" t="s">
        <v>97</v>
      </c>
      <c r="D78" s="28" t="s">
        <v>142</v>
      </c>
      <c r="E78" s="28" t="s">
        <v>76</v>
      </c>
      <c r="F78" s="28" t="s">
        <v>76</v>
      </c>
      <c r="G78" s="28" t="s">
        <v>77</v>
      </c>
      <c r="H78" s="28" t="s">
        <v>78</v>
      </c>
      <c r="I78" s="1" t="str">
        <f aca="false">IF(C78="","",IF(OR(C78="3:45 AM",C78="5:45 AM"),"AM",IF(OR(C78="12:15 PM",C78="2:00 PM"),"PM","Overnight")))</f>
        <v>AM</v>
      </c>
      <c r="K78" s="1" t="n">
        <f aca="false">IF(C78="","",IF(C78="3:45 AM",1,IF(C78="5:45 AM",2,IF(C78="12:15 PM",3,IF(C78="2:00 PM",4,IF(C78="9:15 PM",5,""))))))</f>
        <v>1</v>
      </c>
    </row>
    <row r="79" customFormat="false" ht="14.25" hidden="false" customHeight="true" outlineLevel="0" collapsed="false">
      <c r="A79" s="1" t="s">
        <v>243</v>
      </c>
      <c r="B79" s="1" t="s">
        <v>244</v>
      </c>
      <c r="C79" s="28" t="s">
        <v>90</v>
      </c>
      <c r="D79" s="28" t="s">
        <v>75</v>
      </c>
      <c r="E79" s="28" t="s">
        <v>76</v>
      </c>
      <c r="F79" s="28" t="s">
        <v>76</v>
      </c>
      <c r="G79" s="28" t="s">
        <v>77</v>
      </c>
      <c r="H79" s="28" t="s">
        <v>78</v>
      </c>
      <c r="I79" s="1" t="str">
        <f aca="false">IF(C79="","",IF(OR(C79="3:45 AM",C79="5:45 AM"),"AM",IF(OR(C79="12:15 PM",C79="2:00 PM"),"PM","Overnight")))</f>
        <v>PM</v>
      </c>
      <c r="K79" s="1" t="n">
        <f aca="false">IF(C79="","",IF(C79="3:45 AM",1,IF(C79="5:45 AM",2,IF(C79="12:15 PM",3,IF(C79="2:00 PM",4,IF(C79="9:15 PM",5,""))))))</f>
        <v>3</v>
      </c>
    </row>
    <row r="80" customFormat="false" ht="14.25" hidden="false" customHeight="true" outlineLevel="0" collapsed="false">
      <c r="A80" s="1" t="s">
        <v>245</v>
      </c>
      <c r="B80" s="1" t="s">
        <v>246</v>
      </c>
      <c r="C80" s="28" t="s">
        <v>90</v>
      </c>
      <c r="D80" s="28" t="s">
        <v>142</v>
      </c>
      <c r="E80" s="28" t="s">
        <v>76</v>
      </c>
      <c r="F80" s="28" t="s">
        <v>76</v>
      </c>
      <c r="G80" s="28" t="s">
        <v>77</v>
      </c>
      <c r="H80" s="28" t="s">
        <v>78</v>
      </c>
      <c r="I80" s="1" t="str">
        <f aca="false">IF(C80="","",IF(OR(C80="3:45 AM",C80="5:45 AM"),"AM",IF(OR(C80="12:15 PM",C80="2:00 PM"),"PM","Overnight")))</f>
        <v>PM</v>
      </c>
      <c r="K80" s="1" t="n">
        <f aca="false">IF(C80="","",IF(C80="3:45 AM",1,IF(C80="5:45 AM",2,IF(C80="12:15 PM",3,IF(C80="2:00 PM",4,IF(C80="9:15 PM",5,""))))))</f>
        <v>3</v>
      </c>
    </row>
    <row r="81" customFormat="false" ht="14.25" hidden="false" customHeight="true" outlineLevel="0" collapsed="false">
      <c r="A81" s="1" t="s">
        <v>247</v>
      </c>
      <c r="B81" s="1" t="s">
        <v>248</v>
      </c>
      <c r="C81" s="28" t="s">
        <v>74</v>
      </c>
      <c r="D81" s="28" t="s">
        <v>75</v>
      </c>
      <c r="E81" s="28" t="s">
        <v>76</v>
      </c>
      <c r="F81" s="28" t="s">
        <v>76</v>
      </c>
      <c r="G81" s="28" t="s">
        <v>77</v>
      </c>
      <c r="H81" s="28" t="s">
        <v>78</v>
      </c>
      <c r="I81" s="1" t="str">
        <f aca="false">IF(C81="","",IF(OR(C81="3:45 AM",C81="5:45 AM"),"AM",IF(OR(C81="12:15 PM",C81="2:00 PM"),"PM","Overnight")))</f>
        <v>PM</v>
      </c>
      <c r="K81" s="1" t="n">
        <f aca="false">IF(C81="","",IF(C81="3:45 AM",1,IF(C81="5:45 AM",2,IF(C81="12:15 PM",3,IF(C81="2:00 PM",4,IF(C81="9:15 PM",5,""))))))</f>
        <v>4</v>
      </c>
    </row>
    <row r="82" customFormat="false" ht="14.25" hidden="false" customHeight="true" outlineLevel="0" collapsed="false">
      <c r="A82" s="1" t="s">
        <v>249</v>
      </c>
      <c r="B82" s="1" t="s">
        <v>250</v>
      </c>
      <c r="C82" s="28" t="s">
        <v>97</v>
      </c>
      <c r="D82" s="28" t="s">
        <v>98</v>
      </c>
      <c r="E82" s="28" t="s">
        <v>77</v>
      </c>
      <c r="F82" s="28" t="s">
        <v>76</v>
      </c>
      <c r="G82" s="28" t="s">
        <v>77</v>
      </c>
      <c r="H82" s="28" t="s">
        <v>78</v>
      </c>
      <c r="I82" s="1" t="str">
        <f aca="false">IF(C82="","",IF(OR(C82="3:45 AM",C82="5:45 AM"),"AM",IF(OR(C82="12:15 PM",C82="2:00 PM"),"PM","Overnight")))</f>
        <v>AM</v>
      </c>
      <c r="K82" s="1" t="n">
        <f aca="false">IF(C82="","",IF(C82="3:45 AM",1,IF(C82="5:45 AM",2,IF(C82="12:15 PM",3,IF(C82="2:00 PM",4,IF(C82="9:15 PM",5,""))))))</f>
        <v>1</v>
      </c>
    </row>
    <row r="83" customFormat="false" ht="14.25" hidden="false" customHeight="true" outlineLevel="0" collapsed="false">
      <c r="A83" s="1" t="s">
        <v>251</v>
      </c>
      <c r="B83" s="1" t="s">
        <v>252</v>
      </c>
      <c r="C83" s="28" t="s">
        <v>97</v>
      </c>
      <c r="D83" s="28" t="s">
        <v>91</v>
      </c>
      <c r="E83" s="28" t="s">
        <v>76</v>
      </c>
      <c r="F83" s="28" t="s">
        <v>76</v>
      </c>
      <c r="G83" s="28" t="s">
        <v>77</v>
      </c>
      <c r="H83" s="28" t="s">
        <v>78</v>
      </c>
      <c r="I83" s="1" t="str">
        <f aca="false">IF(C83="","",IF(OR(C83="3:45 AM",C83="5:45 AM"),"AM",IF(OR(C83="12:15 PM",C83="2:00 PM"),"PM","Overnight")))</f>
        <v>AM</v>
      </c>
      <c r="K83" s="1" t="n">
        <f aca="false">IF(C83="","",IF(C83="3:45 AM",1,IF(C83="5:45 AM",2,IF(C83="12:15 PM",3,IF(C83="2:00 PM",4,IF(C83="9:15 PM",5,""))))))</f>
        <v>1</v>
      </c>
    </row>
    <row r="84" customFormat="false" ht="14.25" hidden="false" customHeight="true" outlineLevel="0" collapsed="false">
      <c r="A84" s="1" t="s">
        <v>253</v>
      </c>
      <c r="B84" s="1" t="s">
        <v>254</v>
      </c>
      <c r="C84" s="28" t="s">
        <v>97</v>
      </c>
      <c r="D84" s="28" t="s">
        <v>142</v>
      </c>
      <c r="E84" s="28" t="s">
        <v>76</v>
      </c>
      <c r="F84" s="28" t="s">
        <v>76</v>
      </c>
      <c r="G84" s="28" t="s">
        <v>77</v>
      </c>
      <c r="H84" s="28" t="s">
        <v>78</v>
      </c>
      <c r="I84" s="1" t="str">
        <f aca="false">IF(C84="","",IF(OR(C84="3:45 AM",C84="5:45 AM"),"AM",IF(OR(C84="12:15 PM",C84="2:00 PM"),"PM","Overnight")))</f>
        <v>AM</v>
      </c>
      <c r="K84" s="1" t="n">
        <f aca="false">IF(C84="","",IF(C84="3:45 AM",1,IF(C84="5:45 AM",2,IF(C84="12:15 PM",3,IF(C84="2:00 PM",4,IF(C84="9:15 PM",5,""))))))</f>
        <v>1</v>
      </c>
    </row>
    <row r="85" customFormat="false" ht="14.25" hidden="false" customHeight="true" outlineLevel="0" collapsed="false">
      <c r="A85" s="1" t="s">
        <v>255</v>
      </c>
      <c r="B85" s="1" t="s">
        <v>256</v>
      </c>
      <c r="C85" s="28" t="s">
        <v>74</v>
      </c>
      <c r="D85" s="28" t="s">
        <v>85</v>
      </c>
      <c r="E85" s="28" t="s">
        <v>76</v>
      </c>
      <c r="F85" s="28" t="s">
        <v>76</v>
      </c>
      <c r="G85" s="28" t="s">
        <v>77</v>
      </c>
      <c r="H85" s="28" t="s">
        <v>78</v>
      </c>
      <c r="I85" s="1" t="str">
        <f aca="false">IF(C85="","",IF(OR(C85="3:45 AM",C85="5:45 AM"),"AM",IF(OR(C85="12:15 PM",C85="2:00 PM"),"PM","Overnight")))</f>
        <v>PM</v>
      </c>
      <c r="K85" s="1" t="n">
        <f aca="false">IF(C85="","",IF(C85="3:45 AM",1,IF(C85="5:45 AM",2,IF(C85="12:15 PM",3,IF(C85="2:00 PM",4,IF(C85="9:15 PM",5,""))))))</f>
        <v>4</v>
      </c>
    </row>
    <row r="86" customFormat="false" ht="14.25" hidden="false" customHeight="true" outlineLevel="0" collapsed="false">
      <c r="A86" s="1" t="s">
        <v>257</v>
      </c>
      <c r="B86" s="1" t="s">
        <v>258</v>
      </c>
      <c r="C86" s="28" t="s">
        <v>126</v>
      </c>
      <c r="D86" s="28"/>
      <c r="E86" s="28" t="s">
        <v>76</v>
      </c>
      <c r="F86" s="28" t="s">
        <v>76</v>
      </c>
      <c r="G86" s="28" t="s">
        <v>77</v>
      </c>
      <c r="H86" s="28" t="s">
        <v>78</v>
      </c>
      <c r="I86" s="1" t="str">
        <f aca="false">IF(C86="","",IF(OR(C86="3:45 AM",C86="5:45 AM"),"AM",IF(OR(C86="12:15 PM",C86="2:00 PM"),"PM","Overnight")))</f>
        <v>Overnight</v>
      </c>
      <c r="K86" s="1" t="n">
        <f aca="false">IF(C86="","",IF(C86="3:45 AM",1,IF(C86="5:45 AM",2,IF(C86="12:15 PM",3,IF(C86="2:00 PM",4,IF(C86="9:15 PM",5,""))))))</f>
        <v>5</v>
      </c>
    </row>
    <row r="87" customFormat="false" ht="14.25" hidden="false" customHeight="true" outlineLevel="0" collapsed="false">
      <c r="A87" s="1" t="s">
        <v>259</v>
      </c>
      <c r="B87" s="1" t="s">
        <v>260</v>
      </c>
      <c r="C87" s="28" t="s">
        <v>81</v>
      </c>
      <c r="D87" s="28" t="s">
        <v>98</v>
      </c>
      <c r="E87" s="28" t="s">
        <v>76</v>
      </c>
      <c r="F87" s="28" t="s">
        <v>76</v>
      </c>
      <c r="G87" s="28" t="s">
        <v>77</v>
      </c>
      <c r="H87" s="28" t="s">
        <v>78</v>
      </c>
      <c r="I87" s="1" t="str">
        <f aca="false">IF(C87="","",IF(OR(C87="3:45 AM",C87="5:45 AM"),"AM",IF(OR(C87="12:15 PM",C87="2:00 PM"),"PM","Overnight")))</f>
        <v>AM</v>
      </c>
      <c r="K87" s="1" t="n">
        <f aca="false">IF(C87="","",IF(C87="3:45 AM",1,IF(C87="5:45 AM",2,IF(C87="12:15 PM",3,IF(C87="2:00 PM",4,IF(C87="9:15 PM",5,""))))))</f>
        <v>2</v>
      </c>
    </row>
    <row r="88" customFormat="false" ht="14.25" hidden="false" customHeight="true" outlineLevel="0" collapsed="false">
      <c r="A88" s="1" t="s">
        <v>261</v>
      </c>
      <c r="B88" s="1" t="s">
        <v>262</v>
      </c>
      <c r="C88" s="28" t="s">
        <v>97</v>
      </c>
      <c r="D88" s="28" t="s">
        <v>98</v>
      </c>
      <c r="E88" s="28" t="s">
        <v>76</v>
      </c>
      <c r="F88" s="28" t="s">
        <v>76</v>
      </c>
      <c r="G88" s="28" t="s">
        <v>77</v>
      </c>
      <c r="H88" s="28" t="s">
        <v>78</v>
      </c>
      <c r="I88" s="1" t="str">
        <f aca="false">IF(C88="","",IF(OR(C88="3:45 AM",C88="5:45 AM"),"AM",IF(OR(C88="12:15 PM",C88="2:00 PM"),"PM","Overnight")))</f>
        <v>AM</v>
      </c>
      <c r="K88" s="1" t="n">
        <f aca="false">IF(C88="","",IF(C88="3:45 AM",1,IF(C88="5:45 AM",2,IF(C88="12:15 PM",3,IF(C88="2:00 PM",4,IF(C88="9:15 PM",5,""))))))</f>
        <v>1</v>
      </c>
    </row>
    <row r="89" customFormat="false" ht="14.25" hidden="false" customHeight="true" outlineLevel="0" collapsed="false">
      <c r="A89" s="1" t="s">
        <v>263</v>
      </c>
      <c r="B89" s="1" t="s">
        <v>264</v>
      </c>
      <c r="C89" s="28" t="s">
        <v>81</v>
      </c>
      <c r="D89" s="28" t="s">
        <v>75</v>
      </c>
      <c r="E89" s="28" t="s">
        <v>76</v>
      </c>
      <c r="F89" s="28" t="s">
        <v>76</v>
      </c>
      <c r="G89" s="28" t="s">
        <v>77</v>
      </c>
      <c r="H89" s="28" t="s">
        <v>78</v>
      </c>
      <c r="I89" s="1" t="str">
        <f aca="false">IF(C89="","",IF(OR(C89="3:45 AM",C89="5:45 AM"),"AM",IF(OR(C89="12:15 PM",C89="2:00 PM"),"PM","Overnight")))</f>
        <v>AM</v>
      </c>
      <c r="K89" s="1" t="n">
        <f aca="false">IF(C89="","",IF(C89="3:45 AM",1,IF(C89="5:45 AM",2,IF(C89="12:15 PM",3,IF(C89="2:00 PM",4,IF(C89="9:15 PM",5,""))))))</f>
        <v>2</v>
      </c>
    </row>
    <row r="90" customFormat="false" ht="14.25" hidden="false" customHeight="true" outlineLevel="0" collapsed="false">
      <c r="A90" s="1" t="s">
        <v>265</v>
      </c>
      <c r="B90" s="1" t="s">
        <v>266</v>
      </c>
      <c r="C90" s="28" t="s">
        <v>81</v>
      </c>
      <c r="D90" s="28" t="s">
        <v>111</v>
      </c>
      <c r="E90" s="28" t="s">
        <v>76</v>
      </c>
      <c r="F90" s="28" t="s">
        <v>76</v>
      </c>
      <c r="G90" s="28" t="s">
        <v>77</v>
      </c>
      <c r="H90" s="28" t="s">
        <v>78</v>
      </c>
      <c r="I90" s="1" t="str">
        <f aca="false">IF(C90="","",IF(OR(C90="3:45 AM",C90="5:45 AM"),"AM",IF(OR(C90="12:15 PM",C90="2:00 PM"),"PM","Overnight")))</f>
        <v>AM</v>
      </c>
      <c r="K90" s="1" t="n">
        <f aca="false">IF(C90="","",IF(C90="3:45 AM",1,IF(C90="5:45 AM",2,IF(C90="12:15 PM",3,IF(C90="2:00 PM",4,IF(C90="9:15 PM",5,""))))))</f>
        <v>2</v>
      </c>
    </row>
    <row r="91" customFormat="false" ht="14.25" hidden="false" customHeight="true" outlineLevel="0" collapsed="false">
      <c r="A91" s="1" t="s">
        <v>267</v>
      </c>
      <c r="B91" s="1" t="s">
        <v>268</v>
      </c>
      <c r="C91" s="28" t="s">
        <v>74</v>
      </c>
      <c r="D91" s="28" t="s">
        <v>98</v>
      </c>
      <c r="E91" s="28" t="s">
        <v>76</v>
      </c>
      <c r="F91" s="28" t="s">
        <v>76</v>
      </c>
      <c r="G91" s="28" t="s">
        <v>77</v>
      </c>
      <c r="H91" s="28" t="s">
        <v>78</v>
      </c>
      <c r="I91" s="1" t="str">
        <f aca="false">IF(C91="","",IF(OR(C91="3:45 AM",C91="5:45 AM"),"AM",IF(OR(C91="12:15 PM",C91="2:00 PM"),"PM","Overnight")))</f>
        <v>PM</v>
      </c>
      <c r="K91" s="1" t="n">
        <f aca="false">IF(C91="","",IF(C91="3:45 AM",1,IF(C91="5:45 AM",2,IF(C91="12:15 PM",3,IF(C91="2:00 PM",4,IF(C91="9:15 PM",5,""))))))</f>
        <v>4</v>
      </c>
    </row>
    <row r="92" customFormat="false" ht="14.25" hidden="false" customHeight="true" outlineLevel="0" collapsed="false">
      <c r="A92" s="1" t="s">
        <v>269</v>
      </c>
      <c r="B92" s="1" t="s">
        <v>270</v>
      </c>
      <c r="C92" s="28" t="s">
        <v>97</v>
      </c>
      <c r="D92" s="28" t="s">
        <v>85</v>
      </c>
      <c r="E92" s="28" t="s">
        <v>76</v>
      </c>
      <c r="F92" s="28" t="s">
        <v>76</v>
      </c>
      <c r="G92" s="28" t="s">
        <v>77</v>
      </c>
      <c r="H92" s="28" t="s">
        <v>78</v>
      </c>
      <c r="I92" s="1" t="str">
        <f aca="false">IF(C92="","",IF(OR(C92="3:45 AM",C92="5:45 AM"),"AM",IF(OR(C92="12:15 PM",C92="2:00 PM"),"PM","Overnight")))</f>
        <v>AM</v>
      </c>
      <c r="K92" s="1" t="n">
        <f aca="false">IF(C92="","",IF(C92="3:45 AM",1,IF(C92="5:45 AM",2,IF(C92="12:15 PM",3,IF(C92="2:00 PM",4,IF(C92="9:15 PM",5,""))))))</f>
        <v>1</v>
      </c>
    </row>
    <row r="93" customFormat="false" ht="14.25" hidden="false" customHeight="true" outlineLevel="0" collapsed="false">
      <c r="A93" s="1" t="s">
        <v>271</v>
      </c>
      <c r="B93" s="1" t="s">
        <v>272</v>
      </c>
      <c r="C93" s="28" t="s">
        <v>126</v>
      </c>
      <c r="D93" s="28"/>
      <c r="E93" s="28" t="s">
        <v>76</v>
      </c>
      <c r="F93" s="28" t="s">
        <v>76</v>
      </c>
      <c r="G93" s="28" t="s">
        <v>77</v>
      </c>
      <c r="H93" s="28" t="s">
        <v>78</v>
      </c>
      <c r="I93" s="1" t="str">
        <f aca="false">IF(C93="","",IF(OR(C93="3:45 AM",C93="5:45 AM"),"AM",IF(OR(C93="12:15 PM",C93="2:00 PM"),"PM","Overnight")))</f>
        <v>Overnight</v>
      </c>
      <c r="K93" s="1" t="n">
        <f aca="false">IF(C93="","",IF(C93="3:45 AM",1,IF(C93="5:45 AM",2,IF(C93="12:15 PM",3,IF(C93="2:00 PM",4,IF(C93="9:15 PM",5,""))))))</f>
        <v>5</v>
      </c>
    </row>
    <row r="94" customFormat="false" ht="14.25" hidden="false" customHeight="true" outlineLevel="0" collapsed="false">
      <c r="A94" s="1" t="s">
        <v>273</v>
      </c>
      <c r="B94" s="1" t="s">
        <v>274</v>
      </c>
      <c r="C94" s="28" t="s">
        <v>97</v>
      </c>
      <c r="D94" s="28" t="s">
        <v>111</v>
      </c>
      <c r="E94" s="28" t="s">
        <v>76</v>
      </c>
      <c r="F94" s="28" t="s">
        <v>76</v>
      </c>
      <c r="G94" s="28" t="s">
        <v>77</v>
      </c>
      <c r="H94" s="28" t="s">
        <v>78</v>
      </c>
      <c r="I94" s="1" t="str">
        <f aca="false">IF(C94="","",IF(OR(C94="3:45 AM",C94="5:45 AM"),"AM",IF(OR(C94="12:15 PM",C94="2:00 PM"),"PM","Overnight")))</f>
        <v>AM</v>
      </c>
      <c r="K94" s="1" t="n">
        <f aca="false">IF(C94="","",IF(C94="3:45 AM",1,IF(C94="5:45 AM",2,IF(C94="12:15 PM",3,IF(C94="2:00 PM",4,IF(C94="9:15 PM",5,""))))))</f>
        <v>1</v>
      </c>
    </row>
    <row r="95" customFormat="false" ht="14.25" hidden="false" customHeight="true" outlineLevel="0" collapsed="false">
      <c r="A95" s="1" t="s">
        <v>275</v>
      </c>
      <c r="B95" s="1" t="s">
        <v>276</v>
      </c>
      <c r="C95" s="28" t="s">
        <v>97</v>
      </c>
      <c r="D95" s="28" t="s">
        <v>91</v>
      </c>
      <c r="E95" s="28" t="s">
        <v>76</v>
      </c>
      <c r="F95" s="28" t="s">
        <v>76</v>
      </c>
      <c r="G95" s="28" t="s">
        <v>77</v>
      </c>
      <c r="H95" s="28" t="s">
        <v>78</v>
      </c>
      <c r="I95" s="1" t="str">
        <f aca="false">IF(C95="","",IF(OR(C95="3:45 AM",C95="5:45 AM"),"AM",IF(OR(C95="12:15 PM",C95="2:00 PM"),"PM","Overnight")))</f>
        <v>AM</v>
      </c>
      <c r="K95" s="1" t="n">
        <f aca="false">IF(C95="","",IF(C95="3:45 AM",1,IF(C95="5:45 AM",2,IF(C95="12:15 PM",3,IF(C95="2:00 PM",4,IF(C95="9:15 PM",5,""))))))</f>
        <v>1</v>
      </c>
    </row>
    <row r="96" customFormat="false" ht="14.25" hidden="false" customHeight="true" outlineLevel="0" collapsed="false">
      <c r="A96" s="1" t="s">
        <v>277</v>
      </c>
      <c r="B96" s="1" t="s">
        <v>278</v>
      </c>
      <c r="C96" s="28" t="s">
        <v>81</v>
      </c>
      <c r="D96" s="28" t="s">
        <v>91</v>
      </c>
      <c r="E96" s="28" t="s">
        <v>76</v>
      </c>
      <c r="F96" s="28" t="s">
        <v>76</v>
      </c>
      <c r="G96" s="28" t="s">
        <v>77</v>
      </c>
      <c r="H96" s="28" t="s">
        <v>78</v>
      </c>
      <c r="I96" s="1" t="str">
        <f aca="false">IF(C96="","",IF(OR(C96="3:45 AM",C96="5:45 AM"),"AM",IF(OR(C96="12:15 PM",C96="2:00 PM"),"PM","Overnight")))</f>
        <v>AM</v>
      </c>
      <c r="K96" s="1" t="n">
        <f aca="false">IF(C96="","",IF(C96="3:45 AM",1,IF(C96="5:45 AM",2,IF(C96="12:15 PM",3,IF(C96="2:00 PM",4,IF(C96="9:15 PM",5,""))))))</f>
        <v>2</v>
      </c>
    </row>
    <row r="97" customFormat="false" ht="14.25" hidden="false" customHeight="true" outlineLevel="0" collapsed="false">
      <c r="A97" s="1" t="s">
        <v>279</v>
      </c>
      <c r="B97" s="1" t="s">
        <v>280</v>
      </c>
      <c r="C97" s="28" t="s">
        <v>81</v>
      </c>
      <c r="D97" s="28" t="s">
        <v>281</v>
      </c>
      <c r="E97" s="28" t="s">
        <v>76</v>
      </c>
      <c r="F97" s="28" t="s">
        <v>76</v>
      </c>
      <c r="G97" s="28" t="s">
        <v>77</v>
      </c>
      <c r="H97" s="28" t="s">
        <v>78</v>
      </c>
      <c r="I97" s="1" t="str">
        <f aca="false">IF(C97="","",IF(OR(C97="3:45 AM",C97="5:45 AM"),"AM",IF(OR(C97="12:15 PM",C97="2:00 PM"),"PM","Overnight")))</f>
        <v>AM</v>
      </c>
      <c r="K97" s="1" t="n">
        <f aca="false">IF(C97="","",IF(C97="3:45 AM",1,IF(C97="5:45 AM",2,IF(C97="12:15 PM",3,IF(C97="2:00 PM",4,IF(C97="9:15 PM",5,""))))))</f>
        <v>2</v>
      </c>
    </row>
    <row r="98" customFormat="false" ht="14.25" hidden="false" customHeight="true" outlineLevel="0" collapsed="false">
      <c r="A98" s="1" t="s">
        <v>282</v>
      </c>
      <c r="B98" s="1" t="s">
        <v>283</v>
      </c>
      <c r="C98" s="28" t="s">
        <v>90</v>
      </c>
      <c r="D98" s="28" t="s">
        <v>91</v>
      </c>
      <c r="E98" s="28" t="s">
        <v>76</v>
      </c>
      <c r="F98" s="28" t="s">
        <v>76</v>
      </c>
      <c r="G98" s="28" t="s">
        <v>77</v>
      </c>
      <c r="H98" s="28" t="s">
        <v>78</v>
      </c>
      <c r="I98" s="1" t="str">
        <f aca="false">IF(C98="","",IF(OR(C98="3:45 AM",C98="5:45 AM"),"AM",IF(OR(C98="12:15 PM",C98="2:00 PM"),"PM","Overnight")))</f>
        <v>PM</v>
      </c>
      <c r="K98" s="1" t="n">
        <f aca="false">IF(C98="","",IF(C98="3:45 AM",1,IF(C98="5:45 AM",2,IF(C98="12:15 PM",3,IF(C98="2:00 PM",4,IF(C98="9:15 PM",5,""))))))</f>
        <v>3</v>
      </c>
    </row>
    <row r="99" customFormat="false" ht="14.25" hidden="false" customHeight="true" outlineLevel="0" collapsed="false">
      <c r="A99" s="1" t="s">
        <v>284</v>
      </c>
      <c r="B99" s="1" t="s">
        <v>285</v>
      </c>
      <c r="C99" s="28" t="s">
        <v>81</v>
      </c>
      <c r="D99" s="28" t="s">
        <v>98</v>
      </c>
      <c r="E99" s="28" t="s">
        <v>76</v>
      </c>
      <c r="F99" s="28" t="s">
        <v>76</v>
      </c>
      <c r="G99" s="28" t="s">
        <v>77</v>
      </c>
      <c r="H99" s="28" t="s">
        <v>78</v>
      </c>
      <c r="I99" s="1" t="str">
        <f aca="false">IF(C99="","",IF(OR(C99="3:45 AM",C99="5:45 AM"),"AM",IF(OR(C99="12:15 PM",C99="2:00 PM"),"PM","Overnight")))</f>
        <v>AM</v>
      </c>
      <c r="K99" s="1" t="n">
        <f aca="false">IF(C99="","",IF(C99="3:45 AM",1,IF(C99="5:45 AM",2,IF(C99="12:15 PM",3,IF(C99="2:00 PM",4,IF(C99="9:15 PM",5,""))))))</f>
        <v>2</v>
      </c>
    </row>
    <row r="100" customFormat="false" ht="14.25" hidden="false" customHeight="true" outlineLevel="0" collapsed="false">
      <c r="A100" s="1" t="s">
        <v>286</v>
      </c>
      <c r="B100" s="1" t="s">
        <v>287</v>
      </c>
      <c r="C100" s="28" t="s">
        <v>81</v>
      </c>
      <c r="D100" s="28" t="s">
        <v>91</v>
      </c>
      <c r="E100" s="28" t="s">
        <v>77</v>
      </c>
      <c r="F100" s="28" t="s">
        <v>76</v>
      </c>
      <c r="G100" s="28" t="s">
        <v>77</v>
      </c>
      <c r="H100" s="28" t="s">
        <v>78</v>
      </c>
      <c r="I100" s="1" t="str">
        <f aca="false">IF(C100="","",IF(OR(C100="3:45 AM",C100="5:45 AM"),"AM",IF(OR(C100="12:15 PM",C100="2:00 PM"),"PM","Overnight")))</f>
        <v>AM</v>
      </c>
      <c r="K100" s="1" t="n">
        <f aca="false">IF(C100="","",IF(C100="3:45 AM",1,IF(C100="5:45 AM",2,IF(C100="12:15 PM",3,IF(C100="2:00 PM",4,IF(C100="9:15 PM",5,""))))))</f>
        <v>2</v>
      </c>
    </row>
    <row r="101" customFormat="false" ht="14.25" hidden="false" customHeight="true" outlineLevel="0" collapsed="false">
      <c r="A101" s="1" t="s">
        <v>288</v>
      </c>
      <c r="B101" s="1" t="s">
        <v>289</v>
      </c>
      <c r="C101" s="28" t="s">
        <v>81</v>
      </c>
      <c r="D101" s="28" t="s">
        <v>85</v>
      </c>
      <c r="E101" s="28" t="s">
        <v>76</v>
      </c>
      <c r="F101" s="28" t="s">
        <v>76</v>
      </c>
      <c r="G101" s="28" t="s">
        <v>77</v>
      </c>
      <c r="H101" s="28" t="s">
        <v>78</v>
      </c>
      <c r="I101" s="1" t="str">
        <f aca="false">IF(C101="","",IF(OR(C101="3:45 AM",C101="5:45 AM"),"AM",IF(OR(C101="12:15 PM",C101="2:00 PM"),"PM","Overnight")))</f>
        <v>AM</v>
      </c>
      <c r="K101" s="1" t="n">
        <f aca="false">IF(C101="","",IF(C101="3:45 AM",1,IF(C101="5:45 AM",2,IF(C101="12:15 PM",3,IF(C101="2:00 PM",4,IF(C101="9:15 PM",5,""))))))</f>
        <v>2</v>
      </c>
    </row>
    <row r="102" customFormat="false" ht="14.25" hidden="false" customHeight="true" outlineLevel="0" collapsed="false">
      <c r="A102" s="1" t="s">
        <v>290</v>
      </c>
      <c r="B102" s="1" t="s">
        <v>291</v>
      </c>
      <c r="C102" s="28" t="s">
        <v>126</v>
      </c>
      <c r="D102" s="28"/>
      <c r="E102" s="28" t="s">
        <v>76</v>
      </c>
      <c r="F102" s="28" t="s">
        <v>76</v>
      </c>
      <c r="G102" s="28" t="s">
        <v>77</v>
      </c>
      <c r="H102" s="28" t="s">
        <v>78</v>
      </c>
      <c r="I102" s="1" t="str">
        <f aca="false">IF(C102="","",IF(OR(C102="3:45 AM",C102="5:45 AM"),"AM",IF(OR(C102="12:15 PM",C102="2:00 PM"),"PM","Overnight")))</f>
        <v>Overnight</v>
      </c>
      <c r="K102" s="1" t="n">
        <f aca="false">IF(C102="","",IF(C102="3:45 AM",1,IF(C102="5:45 AM",2,IF(C102="12:15 PM",3,IF(C102="2:00 PM",4,IF(C102="9:15 PM",5,""))))))</f>
        <v>5</v>
      </c>
    </row>
    <row r="103" customFormat="false" ht="14.25" hidden="false" customHeight="true" outlineLevel="0" collapsed="false">
      <c r="A103" s="1" t="s">
        <v>292</v>
      </c>
      <c r="B103" s="1" t="s">
        <v>293</v>
      </c>
      <c r="C103" s="28" t="s">
        <v>97</v>
      </c>
      <c r="D103" s="28" t="s">
        <v>94</v>
      </c>
      <c r="E103" s="28" t="s">
        <v>76</v>
      </c>
      <c r="F103" s="28" t="s">
        <v>76</v>
      </c>
      <c r="G103" s="28" t="s">
        <v>77</v>
      </c>
      <c r="H103" s="28" t="s">
        <v>78</v>
      </c>
      <c r="I103" s="1" t="str">
        <f aca="false">IF(C103="","",IF(OR(C103="3:45 AM",C103="5:45 AM"),"AM",IF(OR(C103="12:15 PM",C103="2:00 PM"),"PM","Overnight")))</f>
        <v>AM</v>
      </c>
      <c r="K103" s="1" t="n">
        <f aca="false">IF(C103="","",IF(C103="3:45 AM",1,IF(C103="5:45 AM",2,IF(C103="12:15 PM",3,IF(C103="2:00 PM",4,IF(C103="9:15 PM",5,""))))))</f>
        <v>1</v>
      </c>
    </row>
    <row r="104" customFormat="false" ht="14.25" hidden="false" customHeight="true" outlineLevel="0" collapsed="false">
      <c r="A104" s="1" t="s">
        <v>294</v>
      </c>
      <c r="B104" s="1" t="s">
        <v>295</v>
      </c>
      <c r="C104" s="28" t="s">
        <v>81</v>
      </c>
      <c r="D104" s="28" t="s">
        <v>142</v>
      </c>
      <c r="E104" s="28" t="s">
        <v>76</v>
      </c>
      <c r="F104" s="28" t="s">
        <v>76</v>
      </c>
      <c r="G104" s="28" t="s">
        <v>77</v>
      </c>
      <c r="H104" s="28" t="s">
        <v>78</v>
      </c>
      <c r="I104" s="1" t="str">
        <f aca="false">IF(C104="","",IF(OR(C104="3:45 AM",C104="5:45 AM"),"AM",IF(OR(C104="12:15 PM",C104="2:00 PM"),"PM","Overnight")))</f>
        <v>AM</v>
      </c>
      <c r="K104" s="1" t="n">
        <f aca="false">IF(C104="","",IF(C104="3:45 AM",1,IF(C104="5:45 AM",2,IF(C104="12:15 PM",3,IF(C104="2:00 PM",4,IF(C104="9:15 PM",5,""))))))</f>
        <v>2</v>
      </c>
    </row>
    <row r="105" customFormat="false" ht="14.25" hidden="false" customHeight="true" outlineLevel="0" collapsed="false">
      <c r="A105" s="1" t="s">
        <v>296</v>
      </c>
      <c r="B105" s="1" t="s">
        <v>297</v>
      </c>
      <c r="C105" s="28" t="s">
        <v>97</v>
      </c>
      <c r="D105" s="28" t="s">
        <v>142</v>
      </c>
      <c r="E105" s="28" t="s">
        <v>76</v>
      </c>
      <c r="F105" s="28" t="s">
        <v>76</v>
      </c>
      <c r="G105" s="28" t="s">
        <v>77</v>
      </c>
      <c r="H105" s="28" t="s">
        <v>78</v>
      </c>
      <c r="I105" s="1" t="str">
        <f aca="false">IF(C105="","",IF(OR(C105="3:45 AM",C105="5:45 AM"),"AM",IF(OR(C105="12:15 PM",C105="2:00 PM"),"PM","Overnight")))</f>
        <v>AM</v>
      </c>
      <c r="K105" s="1" t="n">
        <f aca="false">IF(C105="","",IF(C105="3:45 AM",1,IF(C105="5:45 AM",2,IF(C105="12:15 PM",3,IF(C105="2:00 PM",4,IF(C105="9:15 PM",5,""))))))</f>
        <v>1</v>
      </c>
    </row>
    <row r="106" customFormat="false" ht="14.25" hidden="false" customHeight="true" outlineLevel="0" collapsed="false">
      <c r="A106" s="1" t="s">
        <v>298</v>
      </c>
      <c r="B106" s="1" t="s">
        <v>299</v>
      </c>
      <c r="C106" s="28" t="s">
        <v>81</v>
      </c>
      <c r="D106" s="28" t="s">
        <v>75</v>
      </c>
      <c r="E106" s="28" t="s">
        <v>76</v>
      </c>
      <c r="F106" s="28" t="s">
        <v>76</v>
      </c>
      <c r="G106" s="28" t="s">
        <v>77</v>
      </c>
      <c r="H106" s="28" t="s">
        <v>78</v>
      </c>
      <c r="I106" s="1" t="str">
        <f aca="false">IF(C106="","",IF(OR(C106="3:45 AM",C106="5:45 AM"),"AM",IF(OR(C106="12:15 PM",C106="2:00 PM"),"PM","Overnight")))</f>
        <v>AM</v>
      </c>
      <c r="K106" s="1" t="n">
        <f aca="false">IF(C106="","",IF(C106="3:45 AM",1,IF(C106="5:45 AM",2,IF(C106="12:15 PM",3,IF(C106="2:00 PM",4,IF(C106="9:15 PM",5,""))))))</f>
        <v>2</v>
      </c>
    </row>
    <row r="107" customFormat="false" ht="14.25" hidden="false" customHeight="true" outlineLevel="0" collapsed="false">
      <c r="A107" s="1" t="s">
        <v>300</v>
      </c>
      <c r="B107" s="1" t="s">
        <v>301</v>
      </c>
      <c r="C107" s="28" t="s">
        <v>81</v>
      </c>
      <c r="D107" s="28" t="s">
        <v>142</v>
      </c>
      <c r="E107" s="28" t="s">
        <v>76</v>
      </c>
      <c r="F107" s="28" t="s">
        <v>76</v>
      </c>
      <c r="G107" s="28" t="s">
        <v>77</v>
      </c>
      <c r="H107" s="28" t="s">
        <v>78</v>
      </c>
      <c r="I107" s="1" t="str">
        <f aca="false">IF(C107="","",IF(OR(C107="3:45 AM",C107="5:45 AM"),"AM",IF(OR(C107="12:15 PM",C107="2:00 PM"),"PM","Overnight")))</f>
        <v>AM</v>
      </c>
      <c r="K107" s="1" t="n">
        <f aca="false">IF(C107="","",IF(C107="3:45 AM",1,IF(C107="5:45 AM",2,IF(C107="12:15 PM",3,IF(C107="2:00 PM",4,IF(C107="9:15 PM",5,""))))))</f>
        <v>2</v>
      </c>
    </row>
    <row r="108" customFormat="false" ht="14.25" hidden="false" customHeight="true" outlineLevel="0" collapsed="false">
      <c r="A108" s="1" t="s">
        <v>302</v>
      </c>
      <c r="B108" s="1" t="s">
        <v>303</v>
      </c>
      <c r="C108" s="28" t="s">
        <v>97</v>
      </c>
      <c r="D108" s="28" t="s">
        <v>98</v>
      </c>
      <c r="E108" s="28" t="s">
        <v>76</v>
      </c>
      <c r="F108" s="28" t="s">
        <v>76</v>
      </c>
      <c r="G108" s="28" t="s">
        <v>77</v>
      </c>
      <c r="H108" s="28" t="s">
        <v>78</v>
      </c>
      <c r="I108" s="1" t="str">
        <f aca="false">IF(C108="","",IF(OR(C108="3:45 AM",C108="5:45 AM"),"AM",IF(OR(C108="12:15 PM",C108="2:00 PM"),"PM","Overnight")))</f>
        <v>AM</v>
      </c>
      <c r="K108" s="1" t="n">
        <f aca="false">IF(C108="","",IF(C108="3:45 AM",1,IF(C108="5:45 AM",2,IF(C108="12:15 PM",3,IF(C108="2:00 PM",4,IF(C108="9:15 PM",5,""))))))</f>
        <v>1</v>
      </c>
    </row>
    <row r="109" customFormat="false" ht="14.25" hidden="false" customHeight="true" outlineLevel="0" collapsed="false">
      <c r="A109" s="1" t="s">
        <v>304</v>
      </c>
      <c r="B109" s="1" t="s">
        <v>305</v>
      </c>
      <c r="C109" s="28" t="s">
        <v>81</v>
      </c>
      <c r="D109" s="28" t="s">
        <v>142</v>
      </c>
      <c r="E109" s="28" t="s">
        <v>76</v>
      </c>
      <c r="F109" s="28" t="s">
        <v>76</v>
      </c>
      <c r="G109" s="28" t="s">
        <v>77</v>
      </c>
      <c r="H109" s="28" t="s">
        <v>78</v>
      </c>
      <c r="I109" s="1" t="str">
        <f aca="false">IF(C109="","",IF(OR(C109="3:45 AM",C109="5:45 AM"),"AM",IF(OR(C109="12:15 PM",C109="2:00 PM"),"PM","Overnight")))</f>
        <v>AM</v>
      </c>
      <c r="K109" s="1" t="n">
        <f aca="false">IF(C109="","",IF(C109="3:45 AM",1,IF(C109="5:45 AM",2,IF(C109="12:15 PM",3,IF(C109="2:00 PM",4,IF(C109="9:15 PM",5,""))))))</f>
        <v>2</v>
      </c>
    </row>
    <row r="110" customFormat="false" ht="14.25" hidden="false" customHeight="true" outlineLevel="0" collapsed="false">
      <c r="A110" s="1" t="s">
        <v>306</v>
      </c>
      <c r="B110" s="1" t="s">
        <v>307</v>
      </c>
      <c r="C110" s="28" t="s">
        <v>81</v>
      </c>
      <c r="D110" s="28" t="s">
        <v>142</v>
      </c>
      <c r="E110" s="28" t="s">
        <v>76</v>
      </c>
      <c r="F110" s="28" t="s">
        <v>76</v>
      </c>
      <c r="G110" s="28" t="s">
        <v>77</v>
      </c>
      <c r="H110" s="28" t="s">
        <v>78</v>
      </c>
      <c r="I110" s="1" t="str">
        <f aca="false">IF(C110="","",IF(OR(C110="3:45 AM",C110="5:45 AM"),"AM",IF(OR(C110="12:15 PM",C110="2:00 PM"),"PM","Overnight")))</f>
        <v>AM</v>
      </c>
      <c r="K110" s="1" t="n">
        <f aca="false">IF(C110="","",IF(C110="3:45 AM",1,IF(C110="5:45 AM",2,IF(C110="12:15 PM",3,IF(C110="2:00 PM",4,IF(C110="9:15 PM",5,""))))))</f>
        <v>2</v>
      </c>
    </row>
    <row r="111" customFormat="false" ht="14.25" hidden="false" customHeight="true" outlineLevel="0" collapsed="false">
      <c r="A111" s="1" t="s">
        <v>308</v>
      </c>
      <c r="B111" s="1" t="s">
        <v>309</v>
      </c>
      <c r="C111" s="28" t="s">
        <v>81</v>
      </c>
      <c r="D111" s="28" t="s">
        <v>111</v>
      </c>
      <c r="E111" s="28" t="s">
        <v>76</v>
      </c>
      <c r="F111" s="28" t="s">
        <v>76</v>
      </c>
      <c r="G111" s="28" t="s">
        <v>77</v>
      </c>
      <c r="H111" s="28" t="s">
        <v>78</v>
      </c>
      <c r="I111" s="1" t="str">
        <f aca="false">IF(C111="","",IF(OR(C111="3:45 AM",C111="5:45 AM"),"AM",IF(OR(C111="12:15 PM",C111="2:00 PM"),"PM","Overnight")))</f>
        <v>AM</v>
      </c>
      <c r="K111" s="1" t="n">
        <f aca="false">IF(C111="","",IF(C111="3:45 AM",1,IF(C111="5:45 AM",2,IF(C111="12:15 PM",3,IF(C111="2:00 PM",4,IF(C111="9:15 PM",5,""))))))</f>
        <v>2</v>
      </c>
    </row>
    <row r="112" customFormat="false" ht="14.25" hidden="false" customHeight="true" outlineLevel="0" collapsed="false">
      <c r="A112" s="1" t="s">
        <v>310</v>
      </c>
      <c r="B112" s="1" t="s">
        <v>311</v>
      </c>
      <c r="C112" s="28" t="s">
        <v>81</v>
      </c>
      <c r="D112" s="28" t="s">
        <v>111</v>
      </c>
      <c r="E112" s="28" t="s">
        <v>76</v>
      </c>
      <c r="F112" s="28" t="s">
        <v>76</v>
      </c>
      <c r="G112" s="28" t="s">
        <v>77</v>
      </c>
      <c r="H112" s="28" t="s">
        <v>78</v>
      </c>
      <c r="I112" s="1" t="str">
        <f aca="false">IF(C112="","",IF(OR(C112="3:45 AM",C112="5:45 AM"),"AM",IF(OR(C112="12:15 PM",C112="2:00 PM"),"PM","Overnight")))</f>
        <v>AM</v>
      </c>
      <c r="K112" s="1" t="n">
        <f aca="false">IF(C112="","",IF(C112="3:45 AM",1,IF(C112="5:45 AM",2,IF(C112="12:15 PM",3,IF(C112="2:00 PM",4,IF(C112="9:15 PM",5,""))))))</f>
        <v>2</v>
      </c>
    </row>
    <row r="113" customFormat="false" ht="14.25" hidden="false" customHeight="true" outlineLevel="0" collapsed="false">
      <c r="A113" s="1" t="s">
        <v>312</v>
      </c>
      <c r="B113" s="1" t="s">
        <v>313</v>
      </c>
      <c r="C113" s="28" t="s">
        <v>97</v>
      </c>
      <c r="D113" s="28" t="s">
        <v>98</v>
      </c>
      <c r="E113" s="28" t="s">
        <v>76</v>
      </c>
      <c r="F113" s="28" t="s">
        <v>76</v>
      </c>
      <c r="G113" s="28" t="s">
        <v>77</v>
      </c>
      <c r="H113" s="28" t="s">
        <v>78</v>
      </c>
      <c r="I113" s="1" t="str">
        <f aca="false">IF(C113="","",IF(OR(C113="3:45 AM",C113="5:45 AM"),"AM",IF(OR(C113="12:15 PM",C113="2:00 PM"),"PM","Overnight")))</f>
        <v>AM</v>
      </c>
      <c r="K113" s="1" t="n">
        <f aca="false">IF(C113="","",IF(C113="3:45 AM",1,IF(C113="5:45 AM",2,IF(C113="12:15 PM",3,IF(C113="2:00 PM",4,IF(C113="9:15 PM",5,""))))))</f>
        <v>1</v>
      </c>
    </row>
    <row r="114" customFormat="false" ht="14.25" hidden="false" customHeight="true" outlineLevel="0" collapsed="false">
      <c r="A114" s="1" t="s">
        <v>314</v>
      </c>
      <c r="B114" s="1" t="s">
        <v>315</v>
      </c>
      <c r="C114" s="28" t="s">
        <v>74</v>
      </c>
      <c r="D114" s="28" t="s">
        <v>111</v>
      </c>
      <c r="E114" s="28" t="s">
        <v>76</v>
      </c>
      <c r="F114" s="28" t="s">
        <v>76</v>
      </c>
      <c r="G114" s="28" t="s">
        <v>77</v>
      </c>
      <c r="H114" s="28" t="s">
        <v>78</v>
      </c>
      <c r="I114" s="1" t="str">
        <f aca="false">IF(C114="","",IF(OR(C114="3:45 AM",C114="5:45 AM"),"AM",IF(OR(C114="12:15 PM",C114="2:00 PM"),"PM","Overnight")))</f>
        <v>PM</v>
      </c>
      <c r="K114" s="1" t="n">
        <f aca="false">IF(C114="","",IF(C114="3:45 AM",1,IF(C114="5:45 AM",2,IF(C114="12:15 PM",3,IF(C114="2:00 PM",4,IF(C114="9:15 PM",5,""))))))</f>
        <v>4</v>
      </c>
    </row>
    <row r="115" customFormat="false" ht="14.25" hidden="false" customHeight="true" outlineLevel="0" collapsed="false">
      <c r="A115" s="1" t="s">
        <v>316</v>
      </c>
      <c r="B115" s="1" t="s">
        <v>317</v>
      </c>
      <c r="C115" s="28" t="s">
        <v>90</v>
      </c>
      <c r="D115" s="28" t="s">
        <v>91</v>
      </c>
      <c r="E115" s="28" t="s">
        <v>76</v>
      </c>
      <c r="F115" s="28" t="s">
        <v>76</v>
      </c>
      <c r="G115" s="28" t="s">
        <v>77</v>
      </c>
      <c r="H115" s="28" t="s">
        <v>78</v>
      </c>
      <c r="I115" s="1" t="str">
        <f aca="false">IF(C115="","",IF(OR(C115="3:45 AM",C115="5:45 AM"),"AM",IF(OR(C115="12:15 PM",C115="2:00 PM"),"PM","Overnight")))</f>
        <v>PM</v>
      </c>
      <c r="K115" s="1" t="n">
        <f aca="false">IF(C115="","",IF(C115="3:45 AM",1,IF(C115="5:45 AM",2,IF(C115="12:15 PM",3,IF(C115="2:00 PM",4,IF(C115="9:15 PM",5,""))))))</f>
        <v>3</v>
      </c>
    </row>
    <row r="116" customFormat="false" ht="14.25" hidden="false" customHeight="true" outlineLevel="0" collapsed="false">
      <c r="A116" s="1" t="s">
        <v>318</v>
      </c>
      <c r="B116" s="1" t="s">
        <v>319</v>
      </c>
      <c r="C116" s="28" t="s">
        <v>74</v>
      </c>
      <c r="D116" s="28" t="s">
        <v>91</v>
      </c>
      <c r="E116" s="28" t="s">
        <v>76</v>
      </c>
      <c r="F116" s="28" t="s">
        <v>76</v>
      </c>
      <c r="G116" s="28" t="s">
        <v>77</v>
      </c>
      <c r="H116" s="28" t="s">
        <v>78</v>
      </c>
      <c r="I116" s="1" t="str">
        <f aca="false">IF(C116="","",IF(OR(C116="3:45 AM",C116="5:45 AM"),"AM",IF(OR(C116="12:15 PM",C116="2:00 PM"),"PM","Overnight")))</f>
        <v>PM</v>
      </c>
      <c r="K116" s="1" t="n">
        <f aca="false">IF(C116="","",IF(C116="3:45 AM",1,IF(C116="5:45 AM",2,IF(C116="12:15 PM",3,IF(C116="2:00 PM",4,IF(C116="9:15 PM",5,""))))))</f>
        <v>4</v>
      </c>
    </row>
    <row r="117" customFormat="false" ht="14.25" hidden="false" customHeight="true" outlineLevel="0" collapsed="false">
      <c r="A117" s="1" t="s">
        <v>320</v>
      </c>
      <c r="B117" s="1" t="s">
        <v>321</v>
      </c>
      <c r="C117" s="28" t="s">
        <v>97</v>
      </c>
      <c r="D117" s="28" t="s">
        <v>91</v>
      </c>
      <c r="E117" s="28" t="s">
        <v>76</v>
      </c>
      <c r="F117" s="28" t="s">
        <v>76</v>
      </c>
      <c r="G117" s="28" t="s">
        <v>77</v>
      </c>
      <c r="H117" s="28" t="s">
        <v>78</v>
      </c>
      <c r="I117" s="1" t="str">
        <f aca="false">IF(C117="","",IF(OR(C117="3:45 AM",C117="5:45 AM"),"AM",IF(OR(C117="12:15 PM",C117="2:00 PM"),"PM","Overnight")))</f>
        <v>AM</v>
      </c>
      <c r="K117" s="1" t="n">
        <f aca="false">IF(C117="","",IF(C117="3:45 AM",1,IF(C117="5:45 AM",2,IF(C117="12:15 PM",3,IF(C117="2:00 PM",4,IF(C117="9:15 PM",5,""))))))</f>
        <v>1</v>
      </c>
    </row>
    <row r="118" customFormat="false" ht="14.25" hidden="false" customHeight="true" outlineLevel="0" collapsed="false">
      <c r="A118" s="1" t="s">
        <v>322</v>
      </c>
      <c r="B118" s="1" t="s">
        <v>323</v>
      </c>
      <c r="C118" s="28" t="s">
        <v>74</v>
      </c>
      <c r="D118" s="28" t="s">
        <v>75</v>
      </c>
      <c r="E118" s="28" t="s">
        <v>76</v>
      </c>
      <c r="F118" s="28" t="s">
        <v>76</v>
      </c>
      <c r="G118" s="28" t="s">
        <v>77</v>
      </c>
      <c r="H118" s="28" t="s">
        <v>78</v>
      </c>
      <c r="I118" s="1" t="str">
        <f aca="false">IF(C118="","",IF(OR(C118="3:45 AM",C118="5:45 AM"),"AM",IF(OR(C118="12:15 PM",C118="2:00 PM"),"PM","Overnight")))</f>
        <v>PM</v>
      </c>
      <c r="K118" s="1" t="n">
        <f aca="false">IF(C118="","",IF(C118="3:45 AM",1,IF(C118="5:45 AM",2,IF(C118="12:15 PM",3,IF(C118="2:00 PM",4,IF(C118="9:15 PM",5,""))))))</f>
        <v>4</v>
      </c>
    </row>
    <row r="119" customFormat="false" ht="14.25" hidden="false" customHeight="true" outlineLevel="0" collapsed="false">
      <c r="A119" s="1" t="s">
        <v>324</v>
      </c>
      <c r="B119" s="1" t="s">
        <v>325</v>
      </c>
      <c r="C119" s="28" t="s">
        <v>74</v>
      </c>
      <c r="D119" s="28" t="s">
        <v>142</v>
      </c>
      <c r="E119" s="28" t="s">
        <v>76</v>
      </c>
      <c r="F119" s="28" t="s">
        <v>76</v>
      </c>
      <c r="G119" s="28" t="s">
        <v>77</v>
      </c>
      <c r="H119" s="28" t="s">
        <v>78</v>
      </c>
      <c r="I119" s="1" t="str">
        <f aca="false">IF(C119="","",IF(OR(C119="3:45 AM",C119="5:45 AM"),"AM",IF(OR(C119="12:15 PM",C119="2:00 PM"),"PM","Overnight")))</f>
        <v>PM</v>
      </c>
      <c r="K119" s="1" t="n">
        <f aca="false">IF(C119="","",IF(C119="3:45 AM",1,IF(C119="5:45 AM",2,IF(C119="12:15 PM",3,IF(C119="2:00 PM",4,IF(C119="9:15 PM",5,""))))))</f>
        <v>4</v>
      </c>
    </row>
    <row r="120" customFormat="false" ht="14.25" hidden="false" customHeight="true" outlineLevel="0" collapsed="false">
      <c r="A120" s="1" t="s">
        <v>326</v>
      </c>
      <c r="B120" s="1" t="s">
        <v>327</v>
      </c>
      <c r="C120" s="28" t="s">
        <v>126</v>
      </c>
      <c r="D120" s="28"/>
      <c r="E120" s="28" t="s">
        <v>76</v>
      </c>
      <c r="F120" s="28" t="s">
        <v>76</v>
      </c>
      <c r="G120" s="28" t="s">
        <v>77</v>
      </c>
      <c r="H120" s="28" t="s">
        <v>78</v>
      </c>
      <c r="I120" s="1" t="str">
        <f aca="false">IF(C120="","",IF(OR(C120="3:45 AM",C120="5:45 AM"),"AM",IF(OR(C120="12:15 PM",C120="2:00 PM"),"PM","Overnight")))</f>
        <v>Overnight</v>
      </c>
      <c r="K120" s="1" t="n">
        <f aca="false">IF(C120="","",IF(C120="3:45 AM",1,IF(C120="5:45 AM",2,IF(C120="12:15 PM",3,IF(C120="2:00 PM",4,IF(C120="9:15 PM",5,""))))))</f>
        <v>5</v>
      </c>
    </row>
    <row r="121" customFormat="false" ht="14.25" hidden="false" customHeight="true" outlineLevel="0" collapsed="false">
      <c r="A121" s="1" t="s">
        <v>328</v>
      </c>
      <c r="B121" s="1" t="s">
        <v>329</v>
      </c>
      <c r="C121" s="28" t="s">
        <v>126</v>
      </c>
      <c r="D121" s="28"/>
      <c r="E121" s="28" t="s">
        <v>76</v>
      </c>
      <c r="F121" s="28" t="s">
        <v>76</v>
      </c>
      <c r="G121" s="28" t="s">
        <v>77</v>
      </c>
      <c r="H121" s="28" t="s">
        <v>78</v>
      </c>
      <c r="I121" s="1" t="str">
        <f aca="false">IF(C121="","",IF(OR(C121="3:45 AM",C121="5:45 AM"),"AM",IF(OR(C121="12:15 PM",C121="2:00 PM"),"PM","Overnight")))</f>
        <v>Overnight</v>
      </c>
      <c r="K121" s="1" t="n">
        <f aca="false">IF(C121="","",IF(C121="3:45 AM",1,IF(C121="5:45 AM",2,IF(C121="12:15 PM",3,IF(C121="2:00 PM",4,IF(C121="9:15 PM",5,""))))))</f>
        <v>5</v>
      </c>
    </row>
    <row r="122" customFormat="false" ht="14.25" hidden="false" customHeight="true" outlineLevel="0" collapsed="false">
      <c r="A122" s="1" t="s">
        <v>330</v>
      </c>
      <c r="B122" s="1" t="s">
        <v>331</v>
      </c>
      <c r="C122" s="28" t="s">
        <v>81</v>
      </c>
      <c r="D122" s="28" t="s">
        <v>94</v>
      </c>
      <c r="E122" s="28" t="s">
        <v>77</v>
      </c>
      <c r="F122" s="28" t="s">
        <v>76</v>
      </c>
      <c r="G122" s="28" t="s">
        <v>77</v>
      </c>
      <c r="H122" s="28" t="s">
        <v>78</v>
      </c>
      <c r="I122" s="1" t="str">
        <f aca="false">IF(C122="","",IF(OR(C122="3:45 AM",C122="5:45 AM"),"AM",IF(OR(C122="12:15 PM",C122="2:00 PM"),"PM","Overnight")))</f>
        <v>AM</v>
      </c>
      <c r="K122" s="1" t="n">
        <f aca="false">IF(C122="","",IF(C122="3:45 AM",1,IF(C122="5:45 AM",2,IF(C122="12:15 PM",3,IF(C122="2:00 PM",4,IF(C122="9:15 PM",5,""))))))</f>
        <v>2</v>
      </c>
    </row>
    <row r="123" customFormat="false" ht="14.25" hidden="false" customHeight="true" outlineLevel="0" collapsed="false">
      <c r="A123" s="1" t="s">
        <v>332</v>
      </c>
      <c r="B123" s="1" t="s">
        <v>333</v>
      </c>
      <c r="C123" s="28" t="s">
        <v>74</v>
      </c>
      <c r="D123" s="28" t="s">
        <v>85</v>
      </c>
      <c r="E123" s="28" t="s">
        <v>76</v>
      </c>
      <c r="F123" s="28" t="s">
        <v>76</v>
      </c>
      <c r="G123" s="28" t="s">
        <v>77</v>
      </c>
      <c r="H123" s="28" t="s">
        <v>78</v>
      </c>
      <c r="I123" s="1" t="str">
        <f aca="false">IF(C123="","",IF(OR(C123="3:45 AM",C123="5:45 AM"),"AM",IF(OR(C123="12:15 PM",C123="2:00 PM"),"PM","Overnight")))</f>
        <v>PM</v>
      </c>
      <c r="K123" s="1" t="n">
        <f aca="false">IF(C123="","",IF(C123="3:45 AM",1,IF(C123="5:45 AM",2,IF(C123="12:15 PM",3,IF(C123="2:00 PM",4,IF(C123="9:15 PM",5,""))))))</f>
        <v>4</v>
      </c>
    </row>
    <row r="124" customFormat="false" ht="14.25" hidden="false" customHeight="true" outlineLevel="0" collapsed="false">
      <c r="A124" s="1" t="s">
        <v>334</v>
      </c>
      <c r="B124" s="1" t="s">
        <v>335</v>
      </c>
      <c r="C124" s="28" t="s">
        <v>90</v>
      </c>
      <c r="D124" s="28" t="s">
        <v>98</v>
      </c>
      <c r="E124" s="28" t="s">
        <v>76</v>
      </c>
      <c r="F124" s="28" t="s">
        <v>76</v>
      </c>
      <c r="G124" s="28" t="s">
        <v>77</v>
      </c>
      <c r="H124" s="28" t="s">
        <v>78</v>
      </c>
      <c r="I124" s="1" t="str">
        <f aca="false">IF(C124="","",IF(OR(C124="3:45 AM",C124="5:45 AM"),"AM",IF(OR(C124="12:15 PM",C124="2:00 PM"),"PM","Overnight")))</f>
        <v>PM</v>
      </c>
      <c r="K124" s="1" t="n">
        <f aca="false">IF(C124="","",IF(C124="3:45 AM",1,IF(C124="5:45 AM",2,IF(C124="12:15 PM",3,IF(C124="2:00 PM",4,IF(C124="9:15 PM",5,""))))))</f>
        <v>3</v>
      </c>
    </row>
    <row r="125" customFormat="false" ht="14.25" hidden="false" customHeight="true" outlineLevel="0" collapsed="false">
      <c r="A125" s="1" t="s">
        <v>336</v>
      </c>
      <c r="B125" s="1" t="s">
        <v>337</v>
      </c>
      <c r="C125" s="28" t="s">
        <v>90</v>
      </c>
      <c r="D125" s="28" t="s">
        <v>94</v>
      </c>
      <c r="E125" s="28" t="s">
        <v>77</v>
      </c>
      <c r="F125" s="28" t="s">
        <v>76</v>
      </c>
      <c r="G125" s="28" t="s">
        <v>77</v>
      </c>
      <c r="H125" s="28" t="s">
        <v>78</v>
      </c>
      <c r="I125" s="1" t="str">
        <f aca="false">IF(C125="","",IF(OR(C125="3:45 AM",C125="5:45 AM"),"AM",IF(OR(C125="12:15 PM",C125="2:00 PM"),"PM","Overnight")))</f>
        <v>PM</v>
      </c>
      <c r="K125" s="1" t="n">
        <f aca="false">IF(C125="","",IF(C125="3:45 AM",1,IF(C125="5:45 AM",2,IF(C125="12:15 PM",3,IF(C125="2:00 PM",4,IF(C125="9:15 PM",5,""))))))</f>
        <v>3</v>
      </c>
    </row>
    <row r="126" customFormat="false" ht="14.25" hidden="false" customHeight="true" outlineLevel="0" collapsed="false">
      <c r="A126" s="1" t="s">
        <v>338</v>
      </c>
      <c r="B126" s="1" t="s">
        <v>339</v>
      </c>
      <c r="C126" s="28" t="s">
        <v>74</v>
      </c>
      <c r="D126" s="28" t="s">
        <v>142</v>
      </c>
      <c r="E126" s="28" t="s">
        <v>77</v>
      </c>
      <c r="F126" s="28" t="s">
        <v>76</v>
      </c>
      <c r="G126" s="28" t="s">
        <v>77</v>
      </c>
      <c r="H126" s="28" t="s">
        <v>78</v>
      </c>
      <c r="I126" s="1" t="str">
        <f aca="false">IF(C126="","",IF(OR(C126="3:45 AM",C126="5:45 AM"),"AM",IF(OR(C126="12:15 PM",C126="2:00 PM"),"PM","Overnight")))</f>
        <v>PM</v>
      </c>
      <c r="K126" s="1" t="n">
        <f aca="false">IF(C126="","",IF(C126="3:45 AM",1,IF(C126="5:45 AM",2,IF(C126="12:15 PM",3,IF(C126="2:00 PM",4,IF(C126="9:15 PM",5,""))))))</f>
        <v>4</v>
      </c>
    </row>
    <row r="127" customFormat="false" ht="14.25" hidden="false" customHeight="true" outlineLevel="0" collapsed="false">
      <c r="A127" s="1" t="s">
        <v>340</v>
      </c>
      <c r="B127" s="1" t="s">
        <v>341</v>
      </c>
      <c r="C127" s="28" t="s">
        <v>74</v>
      </c>
      <c r="D127" s="28" t="s">
        <v>342</v>
      </c>
      <c r="E127" s="28" t="s">
        <v>76</v>
      </c>
      <c r="F127" s="28" t="s">
        <v>76</v>
      </c>
      <c r="G127" s="28" t="s">
        <v>77</v>
      </c>
      <c r="H127" s="28" t="s">
        <v>78</v>
      </c>
      <c r="I127" s="1" t="str">
        <f aca="false">IF(C127="","",IF(OR(C127="3:45 AM",C127="5:45 AM"),"AM",IF(OR(C127="12:15 PM",C127="2:00 PM"),"PM","Overnight")))</f>
        <v>PM</v>
      </c>
      <c r="K127" s="1" t="n">
        <f aca="false">IF(C127="","",IF(C127="3:45 AM",1,IF(C127="5:45 AM",2,IF(C127="12:15 PM",3,IF(C127="2:00 PM",4,IF(C127="9:15 PM",5,""))))))</f>
        <v>4</v>
      </c>
    </row>
    <row r="128" customFormat="false" ht="14.25" hidden="false" customHeight="true" outlineLevel="0" collapsed="false">
      <c r="A128" s="1" t="s">
        <v>343</v>
      </c>
      <c r="B128" s="1" t="s">
        <v>344</v>
      </c>
      <c r="C128" s="28" t="s">
        <v>81</v>
      </c>
      <c r="D128" s="28" t="s">
        <v>75</v>
      </c>
      <c r="E128" s="28" t="s">
        <v>76</v>
      </c>
      <c r="F128" s="28" t="s">
        <v>76</v>
      </c>
      <c r="G128" s="28" t="s">
        <v>77</v>
      </c>
      <c r="H128" s="28" t="s">
        <v>78</v>
      </c>
      <c r="I128" s="1" t="str">
        <f aca="false">IF(C128="","",IF(OR(C128="3:45 AM",C128="5:45 AM"),"AM",IF(OR(C128="12:15 PM",C128="2:00 PM"),"PM","Overnight")))</f>
        <v>AM</v>
      </c>
      <c r="K128" s="1" t="n">
        <f aca="false">IF(C128="","",IF(C128="3:45 AM",1,IF(C128="5:45 AM",2,IF(C128="12:15 PM",3,IF(C128="2:00 PM",4,IF(C128="9:15 PM",5,""))))))</f>
        <v>2</v>
      </c>
    </row>
    <row r="129" customFormat="false" ht="14.25" hidden="false" customHeight="true" outlineLevel="0" collapsed="false">
      <c r="A129" s="1" t="s">
        <v>345</v>
      </c>
      <c r="B129" s="1" t="s">
        <v>346</v>
      </c>
      <c r="C129" s="28" t="s">
        <v>81</v>
      </c>
      <c r="D129" s="28" t="s">
        <v>85</v>
      </c>
      <c r="E129" s="28" t="s">
        <v>76</v>
      </c>
      <c r="F129" s="28" t="s">
        <v>76</v>
      </c>
      <c r="G129" s="28" t="s">
        <v>77</v>
      </c>
      <c r="H129" s="28" t="s">
        <v>78</v>
      </c>
      <c r="I129" s="1" t="str">
        <f aca="false">IF(C129="","",IF(OR(C129="3:45 AM",C129="5:45 AM"),"AM",IF(OR(C129="12:15 PM",C129="2:00 PM"),"PM","Overnight")))</f>
        <v>AM</v>
      </c>
      <c r="K129" s="1" t="n">
        <f aca="false">IF(C129="","",IF(C129="3:45 AM",1,IF(C129="5:45 AM",2,IF(C129="12:15 PM",3,IF(C129="2:00 PM",4,IF(C129="9:15 PM",5,""))))))</f>
        <v>2</v>
      </c>
    </row>
    <row r="130" customFormat="false" ht="14.25" hidden="false" customHeight="true" outlineLevel="0" collapsed="false">
      <c r="A130" s="1" t="s">
        <v>347</v>
      </c>
      <c r="B130" s="1" t="s">
        <v>348</v>
      </c>
      <c r="C130" s="28" t="s">
        <v>81</v>
      </c>
      <c r="D130" s="28" t="s">
        <v>75</v>
      </c>
      <c r="E130" s="28" t="s">
        <v>76</v>
      </c>
      <c r="F130" s="28" t="s">
        <v>76</v>
      </c>
      <c r="G130" s="28" t="s">
        <v>77</v>
      </c>
      <c r="H130" s="28" t="s">
        <v>78</v>
      </c>
      <c r="I130" s="1" t="str">
        <f aca="false">IF(C130="","",IF(OR(C130="3:45 AM",C130="5:45 AM"),"AM",IF(OR(C130="12:15 PM",C130="2:00 PM"),"PM","Overnight")))</f>
        <v>AM</v>
      </c>
      <c r="K130" s="1" t="n">
        <f aca="false">IF(C130="","",IF(C130="3:45 AM",1,IF(C130="5:45 AM",2,IF(C130="12:15 PM",3,IF(C130="2:00 PM",4,IF(C130="9:15 PM",5,""))))))</f>
        <v>2</v>
      </c>
    </row>
    <row r="131" customFormat="false" ht="14.25" hidden="false" customHeight="true" outlineLevel="0" collapsed="false">
      <c r="A131" s="1" t="s">
        <v>349</v>
      </c>
      <c r="B131" s="1" t="s">
        <v>350</v>
      </c>
      <c r="C131" s="28" t="s">
        <v>90</v>
      </c>
      <c r="D131" s="28" t="s">
        <v>91</v>
      </c>
      <c r="E131" s="28" t="s">
        <v>76</v>
      </c>
      <c r="F131" s="28" t="s">
        <v>76</v>
      </c>
      <c r="G131" s="28" t="s">
        <v>77</v>
      </c>
      <c r="H131" s="28" t="s">
        <v>78</v>
      </c>
      <c r="I131" s="1" t="str">
        <f aca="false">IF(C131="","",IF(OR(C131="3:45 AM",C131="5:45 AM"),"AM",IF(OR(C131="12:15 PM",C131="2:00 PM"),"PM","Overnight")))</f>
        <v>PM</v>
      </c>
      <c r="K131" s="1" t="n">
        <f aca="false">IF(C131="","",IF(C131="3:45 AM",1,IF(C131="5:45 AM",2,IF(C131="12:15 PM",3,IF(C131="2:00 PM",4,IF(C131="9:15 PM",5,""))))))</f>
        <v>3</v>
      </c>
    </row>
    <row r="132" customFormat="false" ht="14.25" hidden="false" customHeight="true" outlineLevel="0" collapsed="false">
      <c r="A132" s="1" t="s">
        <v>351</v>
      </c>
      <c r="B132" s="1" t="s">
        <v>352</v>
      </c>
      <c r="C132" s="28" t="s">
        <v>81</v>
      </c>
      <c r="D132" s="28" t="s">
        <v>142</v>
      </c>
      <c r="E132" s="28" t="s">
        <v>76</v>
      </c>
      <c r="F132" s="28" t="s">
        <v>76</v>
      </c>
      <c r="G132" s="28" t="s">
        <v>77</v>
      </c>
      <c r="H132" s="28" t="s">
        <v>78</v>
      </c>
      <c r="I132" s="1" t="str">
        <f aca="false">IF(C132="","",IF(OR(C132="3:45 AM",C132="5:45 AM"),"AM",IF(OR(C132="12:15 PM",C132="2:00 PM"),"PM","Overnight")))</f>
        <v>AM</v>
      </c>
      <c r="K132" s="1" t="n">
        <f aca="false">IF(C132="","",IF(C132="3:45 AM",1,IF(C132="5:45 AM",2,IF(C132="12:15 PM",3,IF(C132="2:00 PM",4,IF(C132="9:15 PM",5,""))))))</f>
        <v>2</v>
      </c>
    </row>
    <row r="133" customFormat="false" ht="14.25" hidden="false" customHeight="true" outlineLevel="0" collapsed="false">
      <c r="A133" s="1" t="s">
        <v>353</v>
      </c>
      <c r="B133" s="1" t="s">
        <v>354</v>
      </c>
      <c r="C133" s="28" t="s">
        <v>81</v>
      </c>
      <c r="D133" s="28" t="s">
        <v>91</v>
      </c>
      <c r="E133" s="28" t="s">
        <v>76</v>
      </c>
      <c r="F133" s="28" t="s">
        <v>76</v>
      </c>
      <c r="G133" s="28" t="s">
        <v>77</v>
      </c>
      <c r="H133" s="28" t="s">
        <v>78</v>
      </c>
      <c r="I133" s="1" t="str">
        <f aca="false">IF(C133="","",IF(OR(C133="3:45 AM",C133="5:45 AM"),"AM",IF(OR(C133="12:15 PM",C133="2:00 PM"),"PM","Overnight")))</f>
        <v>AM</v>
      </c>
      <c r="K133" s="1" t="n">
        <f aca="false">IF(C133="","",IF(C133="3:45 AM",1,IF(C133="5:45 AM",2,IF(C133="12:15 PM",3,IF(C133="2:00 PM",4,IF(C133="9:15 PM",5,""))))))</f>
        <v>2</v>
      </c>
    </row>
    <row r="134" customFormat="false" ht="14.25" hidden="false" customHeight="true" outlineLevel="0" collapsed="false">
      <c r="A134" s="1" t="s">
        <v>355</v>
      </c>
      <c r="B134" s="1" t="s">
        <v>356</v>
      </c>
      <c r="C134" s="28" t="s">
        <v>81</v>
      </c>
      <c r="D134" s="28" t="s">
        <v>98</v>
      </c>
      <c r="E134" s="28" t="s">
        <v>76</v>
      </c>
      <c r="F134" s="28" t="s">
        <v>76</v>
      </c>
      <c r="G134" s="28" t="s">
        <v>77</v>
      </c>
      <c r="H134" s="28" t="s">
        <v>78</v>
      </c>
      <c r="I134" s="1" t="str">
        <f aca="false">IF(C134="","",IF(OR(C134="3:45 AM",C134="5:45 AM"),"AM",IF(OR(C134="12:15 PM",C134="2:00 PM"),"PM","Overnight")))</f>
        <v>AM</v>
      </c>
      <c r="K134" s="1" t="n">
        <f aca="false">IF(C134="","",IF(C134="3:45 AM",1,IF(C134="5:45 AM",2,IF(C134="12:15 PM",3,IF(C134="2:00 PM",4,IF(C134="9:15 PM",5,""))))))</f>
        <v>2</v>
      </c>
    </row>
    <row r="135" customFormat="false" ht="14.25" hidden="false" customHeight="true" outlineLevel="0" collapsed="false">
      <c r="A135" s="1" t="s">
        <v>357</v>
      </c>
      <c r="B135" s="1" t="s">
        <v>358</v>
      </c>
      <c r="C135" s="28" t="s">
        <v>81</v>
      </c>
      <c r="D135" s="28" t="s">
        <v>85</v>
      </c>
      <c r="E135" s="28" t="s">
        <v>76</v>
      </c>
      <c r="F135" s="28" t="s">
        <v>76</v>
      </c>
      <c r="G135" s="28" t="s">
        <v>77</v>
      </c>
      <c r="H135" s="28" t="s">
        <v>78</v>
      </c>
      <c r="I135" s="1" t="str">
        <f aca="false">IF(C135="","",IF(OR(C135="3:45 AM",C135="5:45 AM"),"AM",IF(OR(C135="12:15 PM",C135="2:00 PM"),"PM","Overnight")))</f>
        <v>AM</v>
      </c>
      <c r="K135" s="1" t="n">
        <f aca="false">IF(C135="","",IF(C135="3:45 AM",1,IF(C135="5:45 AM",2,IF(C135="12:15 PM",3,IF(C135="2:00 PM",4,IF(C135="9:15 PM",5,""))))))</f>
        <v>2</v>
      </c>
    </row>
    <row r="136" customFormat="false" ht="14.25" hidden="false" customHeight="true" outlineLevel="0" collapsed="false">
      <c r="A136" s="1" t="s">
        <v>359</v>
      </c>
      <c r="B136" s="1" t="s">
        <v>360</v>
      </c>
      <c r="C136" s="28" t="s">
        <v>97</v>
      </c>
      <c r="D136" s="28" t="s">
        <v>94</v>
      </c>
      <c r="E136" s="28" t="s">
        <v>76</v>
      </c>
      <c r="F136" s="28" t="s">
        <v>76</v>
      </c>
      <c r="G136" s="28" t="s">
        <v>77</v>
      </c>
      <c r="H136" s="28" t="s">
        <v>78</v>
      </c>
      <c r="I136" s="1" t="str">
        <f aca="false">IF(C136="","",IF(OR(C136="3:45 AM",C136="5:45 AM"),"AM",IF(OR(C136="12:15 PM",C136="2:00 PM"),"PM","Overnight")))</f>
        <v>AM</v>
      </c>
      <c r="K136" s="1" t="n">
        <f aca="false">IF(C136="","",IF(C136="3:45 AM",1,IF(C136="5:45 AM",2,IF(C136="12:15 PM",3,IF(C136="2:00 PM",4,IF(C136="9:15 PM",5,""))))))</f>
        <v>1</v>
      </c>
    </row>
    <row r="137" customFormat="false" ht="14.25" hidden="false" customHeight="true" outlineLevel="0" collapsed="false">
      <c r="A137" s="1" t="s">
        <v>361</v>
      </c>
      <c r="B137" s="1" t="s">
        <v>362</v>
      </c>
      <c r="C137" s="28" t="s">
        <v>97</v>
      </c>
      <c r="D137" s="28" t="s">
        <v>91</v>
      </c>
      <c r="E137" s="28" t="s">
        <v>76</v>
      </c>
      <c r="F137" s="28" t="s">
        <v>76</v>
      </c>
      <c r="G137" s="28" t="s">
        <v>77</v>
      </c>
      <c r="H137" s="28" t="s">
        <v>78</v>
      </c>
      <c r="I137" s="1" t="str">
        <f aca="false">IF(C137="","",IF(OR(C137="3:45 AM",C137="5:45 AM"),"AM",IF(OR(C137="12:15 PM",C137="2:00 PM"),"PM","Overnight")))</f>
        <v>AM</v>
      </c>
      <c r="K137" s="1" t="n">
        <f aca="false">IF(C137="","",IF(C137="3:45 AM",1,IF(C137="5:45 AM",2,IF(C137="12:15 PM",3,IF(C137="2:00 PM",4,IF(C137="9:15 PM",5,""))))))</f>
        <v>1</v>
      </c>
    </row>
    <row r="138" customFormat="false" ht="14.25" hidden="false" customHeight="true" outlineLevel="0" collapsed="false">
      <c r="A138" s="1" t="s">
        <v>363</v>
      </c>
      <c r="B138" s="1" t="s">
        <v>364</v>
      </c>
      <c r="C138" s="28" t="s">
        <v>81</v>
      </c>
      <c r="D138" s="28" t="s">
        <v>111</v>
      </c>
      <c r="E138" s="28" t="s">
        <v>76</v>
      </c>
      <c r="F138" s="28" t="s">
        <v>76</v>
      </c>
      <c r="G138" s="28" t="s">
        <v>77</v>
      </c>
      <c r="H138" s="28" t="s">
        <v>78</v>
      </c>
      <c r="I138" s="1" t="str">
        <f aca="false">IF(C138="","",IF(OR(C138="3:45 AM",C138="5:45 AM"),"AM",IF(OR(C138="12:15 PM",C138="2:00 PM"),"PM","Overnight")))</f>
        <v>AM</v>
      </c>
      <c r="K138" s="1" t="n">
        <f aca="false">IF(C138="","",IF(C138="3:45 AM",1,IF(C138="5:45 AM",2,IF(C138="12:15 PM",3,IF(C138="2:00 PM",4,IF(C138="9:15 PM",5,""))))))</f>
        <v>2</v>
      </c>
    </row>
    <row r="139" customFormat="false" ht="14.25" hidden="false" customHeight="true" outlineLevel="0" collapsed="false">
      <c r="A139" s="1" t="s">
        <v>365</v>
      </c>
      <c r="B139" s="1" t="s">
        <v>366</v>
      </c>
      <c r="C139" s="28" t="s">
        <v>81</v>
      </c>
      <c r="D139" s="28" t="s">
        <v>111</v>
      </c>
      <c r="E139" s="28" t="s">
        <v>76</v>
      </c>
      <c r="F139" s="28" t="s">
        <v>76</v>
      </c>
      <c r="G139" s="28" t="s">
        <v>77</v>
      </c>
      <c r="H139" s="28" t="s">
        <v>78</v>
      </c>
      <c r="I139" s="1" t="str">
        <f aca="false">IF(C139="","",IF(OR(C139="3:45 AM",C139="5:45 AM"),"AM",IF(OR(C139="12:15 PM",C139="2:00 PM"),"PM","Overnight")))</f>
        <v>AM</v>
      </c>
      <c r="K139" s="1" t="n">
        <f aca="false">IF(C139="","",IF(C139="3:45 AM",1,IF(C139="5:45 AM",2,IF(C139="12:15 PM",3,IF(C139="2:00 PM",4,IF(C139="9:15 PM",5,""))))))</f>
        <v>2</v>
      </c>
    </row>
    <row r="140" customFormat="false" ht="14.25" hidden="false" customHeight="true" outlineLevel="0" collapsed="false">
      <c r="A140" s="1" t="s">
        <v>367</v>
      </c>
      <c r="B140" s="1" t="s">
        <v>368</v>
      </c>
      <c r="C140" s="28" t="s">
        <v>90</v>
      </c>
      <c r="D140" s="28" t="s">
        <v>85</v>
      </c>
      <c r="E140" s="28" t="s">
        <v>77</v>
      </c>
      <c r="F140" s="28" t="s">
        <v>76</v>
      </c>
      <c r="G140" s="28" t="s">
        <v>77</v>
      </c>
      <c r="H140" s="28" t="s">
        <v>78</v>
      </c>
      <c r="I140" s="1" t="str">
        <f aca="false">IF(C140="","",IF(OR(C140="3:45 AM",C140="5:45 AM"),"AM",IF(OR(C140="12:15 PM",C140="2:00 PM"),"PM","Overnight")))</f>
        <v>PM</v>
      </c>
      <c r="K140" s="1" t="n">
        <f aca="false">IF(C140="","",IF(C140="3:45 AM",1,IF(C140="5:45 AM",2,IF(C140="12:15 PM",3,IF(C140="2:00 PM",4,IF(C140="9:15 PM",5,""))))))</f>
        <v>3</v>
      </c>
    </row>
    <row r="141" customFormat="false" ht="14.25" hidden="false" customHeight="true" outlineLevel="0" collapsed="false">
      <c r="A141" s="1" t="s">
        <v>369</v>
      </c>
      <c r="B141" s="1" t="s">
        <v>370</v>
      </c>
      <c r="C141" s="28" t="s">
        <v>74</v>
      </c>
      <c r="D141" s="28" t="s">
        <v>75</v>
      </c>
      <c r="E141" s="28" t="s">
        <v>76</v>
      </c>
      <c r="F141" s="28" t="s">
        <v>76</v>
      </c>
      <c r="G141" s="28" t="s">
        <v>77</v>
      </c>
      <c r="H141" s="28" t="s">
        <v>78</v>
      </c>
      <c r="I141" s="1" t="str">
        <f aca="false">IF(C141="","",IF(OR(C141="3:45 AM",C141="5:45 AM"),"AM",IF(OR(C141="12:15 PM",C141="2:00 PM"),"PM","Overnight")))</f>
        <v>PM</v>
      </c>
      <c r="K141" s="1" t="n">
        <f aca="false">IF(C141="","",IF(C141="3:45 AM",1,IF(C141="5:45 AM",2,IF(C141="12:15 PM",3,IF(C141="2:00 PM",4,IF(C141="9:15 PM",5,""))))))</f>
        <v>4</v>
      </c>
    </row>
    <row r="142" customFormat="false" ht="14.25" hidden="false" customHeight="true" outlineLevel="0" collapsed="false">
      <c r="A142" s="1" t="s">
        <v>371</v>
      </c>
      <c r="B142" s="1" t="s">
        <v>372</v>
      </c>
      <c r="C142" s="28" t="s">
        <v>97</v>
      </c>
      <c r="D142" s="28" t="s">
        <v>85</v>
      </c>
      <c r="E142" s="28" t="s">
        <v>76</v>
      </c>
      <c r="F142" s="28" t="s">
        <v>76</v>
      </c>
      <c r="G142" s="28" t="s">
        <v>77</v>
      </c>
      <c r="H142" s="28" t="s">
        <v>78</v>
      </c>
      <c r="I142" s="1" t="str">
        <f aca="false">IF(C142="","",IF(OR(C142="3:45 AM",C142="5:45 AM"),"AM",IF(OR(C142="12:15 PM",C142="2:00 PM"),"PM","Overnight")))</f>
        <v>AM</v>
      </c>
      <c r="K142" s="1" t="n">
        <f aca="false">IF(C142="","",IF(C142="3:45 AM",1,IF(C142="5:45 AM",2,IF(C142="12:15 PM",3,IF(C142="2:00 PM",4,IF(C142="9:15 PM",5,""))))))</f>
        <v>1</v>
      </c>
    </row>
    <row r="143" customFormat="false" ht="14.25" hidden="false" customHeight="true" outlineLevel="0" collapsed="false">
      <c r="A143" s="1" t="s">
        <v>373</v>
      </c>
      <c r="B143" s="1" t="s">
        <v>374</v>
      </c>
      <c r="C143" s="28" t="s">
        <v>74</v>
      </c>
      <c r="D143" s="28" t="s">
        <v>142</v>
      </c>
      <c r="E143" s="28" t="s">
        <v>76</v>
      </c>
      <c r="F143" s="28" t="s">
        <v>76</v>
      </c>
      <c r="G143" s="28" t="s">
        <v>77</v>
      </c>
      <c r="H143" s="28" t="s">
        <v>78</v>
      </c>
      <c r="I143" s="1" t="str">
        <f aca="false">IF(C143="","",IF(OR(C143="3:45 AM",C143="5:45 AM"),"AM",IF(OR(C143="12:15 PM",C143="2:00 PM"),"PM","Overnight")))</f>
        <v>PM</v>
      </c>
      <c r="K143" s="1" t="n">
        <f aca="false">IF(C143="","",IF(C143="3:45 AM",1,IF(C143="5:45 AM",2,IF(C143="12:15 PM",3,IF(C143="2:00 PM",4,IF(C143="9:15 PM",5,""))))))</f>
        <v>4</v>
      </c>
    </row>
    <row r="144" customFormat="false" ht="14.25" hidden="false" customHeight="true" outlineLevel="0" collapsed="false">
      <c r="A144" s="1" t="s">
        <v>375</v>
      </c>
      <c r="B144" s="1" t="s">
        <v>376</v>
      </c>
      <c r="C144" s="28" t="s">
        <v>90</v>
      </c>
      <c r="D144" s="28" t="s">
        <v>111</v>
      </c>
      <c r="E144" s="28" t="s">
        <v>76</v>
      </c>
      <c r="F144" s="28" t="s">
        <v>76</v>
      </c>
      <c r="G144" s="28" t="s">
        <v>77</v>
      </c>
      <c r="H144" s="28" t="s">
        <v>78</v>
      </c>
      <c r="I144" s="1" t="str">
        <f aca="false">IF(C144="","",IF(OR(C144="3:45 AM",C144="5:45 AM"),"AM",IF(OR(C144="12:15 PM",C144="2:00 PM"),"PM","Overnight")))</f>
        <v>PM</v>
      </c>
      <c r="K144" s="1" t="n">
        <f aca="false">IF(C144="","",IF(C144="3:45 AM",1,IF(C144="5:45 AM",2,IF(C144="12:15 PM",3,IF(C144="2:00 PM",4,IF(C144="9:15 PM",5,""))))))</f>
        <v>3</v>
      </c>
    </row>
    <row r="145" customFormat="false" ht="14.25" hidden="false" customHeight="true" outlineLevel="0" collapsed="false">
      <c r="A145" s="1" t="s">
        <v>377</v>
      </c>
      <c r="B145" s="1" t="s">
        <v>378</v>
      </c>
      <c r="C145" s="28" t="s">
        <v>74</v>
      </c>
      <c r="D145" s="28" t="s">
        <v>111</v>
      </c>
      <c r="E145" s="28" t="s">
        <v>76</v>
      </c>
      <c r="F145" s="28" t="s">
        <v>76</v>
      </c>
      <c r="G145" s="28" t="s">
        <v>77</v>
      </c>
      <c r="H145" s="28" t="s">
        <v>78</v>
      </c>
      <c r="I145" s="1" t="str">
        <f aca="false">IF(C145="","",IF(OR(C145="3:45 AM",C145="5:45 AM"),"AM",IF(OR(C145="12:15 PM",C145="2:00 PM"),"PM","Overnight")))</f>
        <v>PM</v>
      </c>
      <c r="K145" s="1" t="n">
        <f aca="false">IF(C145="","",IF(C145="3:45 AM",1,IF(C145="5:45 AM",2,IF(C145="12:15 PM",3,IF(C145="2:00 PM",4,IF(C145="9:15 PM",5,""))))))</f>
        <v>4</v>
      </c>
    </row>
    <row r="146" customFormat="false" ht="14.25" hidden="false" customHeight="true" outlineLevel="0" collapsed="false">
      <c r="A146" s="1" t="s">
        <v>379</v>
      </c>
      <c r="B146" s="1" t="s">
        <v>380</v>
      </c>
      <c r="C146" s="28" t="s">
        <v>81</v>
      </c>
      <c r="D146" s="28" t="s">
        <v>75</v>
      </c>
      <c r="E146" s="28" t="s">
        <v>77</v>
      </c>
      <c r="F146" s="28" t="s">
        <v>76</v>
      </c>
      <c r="G146" s="28" t="s">
        <v>77</v>
      </c>
      <c r="H146" s="28" t="s">
        <v>78</v>
      </c>
      <c r="I146" s="1" t="str">
        <f aca="false">IF(C146="","",IF(OR(C146="3:45 AM",C146="5:45 AM"),"AM",IF(OR(C146="12:15 PM",C146="2:00 PM"),"PM","Overnight")))</f>
        <v>AM</v>
      </c>
      <c r="K146" s="1" t="n">
        <f aca="false">IF(C146="","",IF(C146="3:45 AM",1,IF(C146="5:45 AM",2,IF(C146="12:15 PM",3,IF(C146="2:00 PM",4,IF(C146="9:15 PM",5,""))))))</f>
        <v>2</v>
      </c>
    </row>
    <row r="147" customFormat="false" ht="14.25" hidden="false" customHeight="true" outlineLevel="0" collapsed="false">
      <c r="A147" s="1" t="s">
        <v>381</v>
      </c>
      <c r="B147" s="1" t="s">
        <v>382</v>
      </c>
      <c r="C147" s="28" t="s">
        <v>81</v>
      </c>
      <c r="D147" s="28" t="s">
        <v>98</v>
      </c>
      <c r="E147" s="28" t="s">
        <v>76</v>
      </c>
      <c r="F147" s="28" t="s">
        <v>76</v>
      </c>
      <c r="G147" s="28" t="s">
        <v>77</v>
      </c>
      <c r="H147" s="28" t="s">
        <v>78</v>
      </c>
      <c r="I147" s="1" t="str">
        <f aca="false">IF(C147="","",IF(OR(C147="3:45 AM",C147="5:45 AM"),"AM",IF(OR(C147="12:15 PM",C147="2:00 PM"),"PM","Overnight")))</f>
        <v>AM</v>
      </c>
      <c r="K147" s="1" t="n">
        <f aca="false">IF(C147="","",IF(C147="3:45 AM",1,IF(C147="5:45 AM",2,IF(C147="12:15 PM",3,IF(C147="2:00 PM",4,IF(C147="9:15 PM",5,""))))))</f>
        <v>2</v>
      </c>
    </row>
    <row r="148" customFormat="false" ht="14.25" hidden="false" customHeight="true" outlineLevel="0" collapsed="false">
      <c r="A148" s="1" t="s">
        <v>383</v>
      </c>
      <c r="B148" s="1" t="s">
        <v>384</v>
      </c>
      <c r="C148" s="28" t="s">
        <v>81</v>
      </c>
      <c r="D148" s="28" t="s">
        <v>98</v>
      </c>
      <c r="E148" s="28" t="s">
        <v>76</v>
      </c>
      <c r="F148" s="28" t="s">
        <v>76</v>
      </c>
      <c r="G148" s="28" t="s">
        <v>77</v>
      </c>
      <c r="H148" s="28" t="s">
        <v>78</v>
      </c>
      <c r="I148" s="1" t="str">
        <f aca="false">IF(C148="","",IF(OR(C148="3:45 AM",C148="5:45 AM"),"AM",IF(OR(C148="12:15 PM",C148="2:00 PM"),"PM","Overnight")))</f>
        <v>AM</v>
      </c>
      <c r="K148" s="1" t="n">
        <f aca="false">IF(C148="","",IF(C148="3:45 AM",1,IF(C148="5:45 AM",2,IF(C148="12:15 PM",3,IF(C148="2:00 PM",4,IF(C148="9:15 PM",5,""))))))</f>
        <v>2</v>
      </c>
    </row>
    <row r="149" customFormat="false" ht="14.25" hidden="false" customHeight="true" outlineLevel="0" collapsed="false">
      <c r="A149" s="1" t="s">
        <v>385</v>
      </c>
      <c r="B149" s="1" t="s">
        <v>386</v>
      </c>
      <c r="C149" s="28" t="s">
        <v>74</v>
      </c>
      <c r="D149" s="28" t="s">
        <v>91</v>
      </c>
      <c r="E149" s="28" t="s">
        <v>76</v>
      </c>
      <c r="F149" s="28" t="s">
        <v>76</v>
      </c>
      <c r="G149" s="28" t="s">
        <v>77</v>
      </c>
      <c r="H149" s="28" t="s">
        <v>78</v>
      </c>
      <c r="I149" s="1" t="str">
        <f aca="false">IF(C149="","",IF(OR(C149="3:45 AM",C149="5:45 AM"),"AM",IF(OR(C149="12:15 PM",C149="2:00 PM"),"PM","Overnight")))</f>
        <v>PM</v>
      </c>
      <c r="K149" s="1" t="n">
        <f aca="false">IF(C149="","",IF(C149="3:45 AM",1,IF(C149="5:45 AM",2,IF(C149="12:15 PM",3,IF(C149="2:00 PM",4,IF(C149="9:15 PM",5,""))))))</f>
        <v>4</v>
      </c>
    </row>
    <row r="150" customFormat="false" ht="14.25" hidden="false" customHeight="true" outlineLevel="0" collapsed="false">
      <c r="A150" s="1" t="s">
        <v>387</v>
      </c>
      <c r="B150" s="1" t="s">
        <v>388</v>
      </c>
      <c r="C150" s="28" t="s">
        <v>81</v>
      </c>
      <c r="D150" s="28" t="s">
        <v>85</v>
      </c>
      <c r="E150" s="28" t="s">
        <v>76</v>
      </c>
      <c r="F150" s="28" t="s">
        <v>76</v>
      </c>
      <c r="G150" s="28" t="s">
        <v>77</v>
      </c>
      <c r="H150" s="28" t="s">
        <v>78</v>
      </c>
      <c r="I150" s="1" t="str">
        <f aca="false">IF(C150="","",IF(OR(C150="3:45 AM",C150="5:45 AM"),"AM",IF(OR(C150="12:15 PM",C150="2:00 PM"),"PM","Overnight")))</f>
        <v>AM</v>
      </c>
      <c r="K150" s="1" t="n">
        <f aca="false">IF(C150="","",IF(C150="3:45 AM",1,IF(C150="5:45 AM",2,IF(C150="12:15 PM",3,IF(C150="2:00 PM",4,IF(C150="9:15 PM",5,""))))))</f>
        <v>2</v>
      </c>
    </row>
    <row r="151" customFormat="false" ht="14.25" hidden="false" customHeight="true" outlineLevel="0" collapsed="false">
      <c r="A151" s="1" t="s">
        <v>389</v>
      </c>
      <c r="B151" s="1" t="s">
        <v>390</v>
      </c>
      <c r="C151" s="28" t="s">
        <v>90</v>
      </c>
      <c r="D151" s="28" t="s">
        <v>85</v>
      </c>
      <c r="E151" s="28" t="s">
        <v>76</v>
      </c>
      <c r="F151" s="28" t="s">
        <v>76</v>
      </c>
      <c r="G151" s="28" t="s">
        <v>77</v>
      </c>
      <c r="H151" s="28" t="s">
        <v>78</v>
      </c>
      <c r="I151" s="1" t="str">
        <f aca="false">IF(C151="","",IF(OR(C151="3:45 AM",C151="5:45 AM"),"AM",IF(OR(C151="12:15 PM",C151="2:00 PM"),"PM","Overnight")))</f>
        <v>PM</v>
      </c>
      <c r="K151" s="1" t="n">
        <f aca="false">IF(C151="","",IF(C151="3:45 AM",1,IF(C151="5:45 AM",2,IF(C151="12:15 PM",3,IF(C151="2:00 PM",4,IF(C151="9:15 PM",5,""))))))</f>
        <v>3</v>
      </c>
    </row>
    <row r="152" customFormat="false" ht="14.25" hidden="false" customHeight="true" outlineLevel="0" collapsed="false">
      <c r="A152" s="1" t="s">
        <v>391</v>
      </c>
      <c r="B152" s="1" t="s">
        <v>392</v>
      </c>
      <c r="C152" s="28" t="s">
        <v>74</v>
      </c>
      <c r="D152" s="28" t="s">
        <v>98</v>
      </c>
      <c r="E152" s="28" t="s">
        <v>77</v>
      </c>
      <c r="F152" s="28" t="s">
        <v>76</v>
      </c>
      <c r="G152" s="28" t="s">
        <v>77</v>
      </c>
      <c r="H152" s="28" t="s">
        <v>78</v>
      </c>
      <c r="I152" s="1" t="str">
        <f aca="false">IF(C152="","",IF(OR(C152="3:45 AM",C152="5:45 AM"),"AM",IF(OR(C152="12:15 PM",C152="2:00 PM"),"PM","Overnight")))</f>
        <v>PM</v>
      </c>
      <c r="K152" s="1" t="n">
        <f aca="false">IF(C152="","",IF(C152="3:45 AM",1,IF(C152="5:45 AM",2,IF(C152="12:15 PM",3,IF(C152="2:00 PM",4,IF(C152="9:15 PM",5,""))))))</f>
        <v>4</v>
      </c>
    </row>
    <row r="153" customFormat="false" ht="14.25" hidden="false" customHeight="true" outlineLevel="0" collapsed="false">
      <c r="A153" s="1" t="s">
        <v>393</v>
      </c>
      <c r="B153" s="1" t="s">
        <v>394</v>
      </c>
      <c r="C153" s="28" t="s">
        <v>74</v>
      </c>
      <c r="D153" s="28" t="s">
        <v>142</v>
      </c>
      <c r="E153" s="28" t="s">
        <v>76</v>
      </c>
      <c r="F153" s="28" t="s">
        <v>76</v>
      </c>
      <c r="G153" s="28" t="s">
        <v>77</v>
      </c>
      <c r="H153" s="28" t="s">
        <v>78</v>
      </c>
      <c r="I153" s="1" t="str">
        <f aca="false">IF(C153="","",IF(OR(C153="3:45 AM",C153="5:45 AM"),"AM",IF(OR(C153="12:15 PM",C153="2:00 PM"),"PM","Overnight")))</f>
        <v>PM</v>
      </c>
      <c r="K153" s="1" t="n">
        <f aca="false">IF(C153="","",IF(C153="3:45 AM",1,IF(C153="5:45 AM",2,IF(C153="12:15 PM",3,IF(C153="2:00 PM",4,IF(C153="9:15 PM",5,""))))))</f>
        <v>4</v>
      </c>
    </row>
    <row r="154" customFormat="false" ht="14.25" hidden="false" customHeight="true" outlineLevel="0" collapsed="false">
      <c r="A154" s="1" t="s">
        <v>395</v>
      </c>
      <c r="B154" s="1" t="s">
        <v>396</v>
      </c>
      <c r="C154" s="28" t="s">
        <v>74</v>
      </c>
      <c r="D154" s="28" t="s">
        <v>85</v>
      </c>
      <c r="E154" s="28" t="s">
        <v>76</v>
      </c>
      <c r="F154" s="28" t="s">
        <v>76</v>
      </c>
      <c r="G154" s="28" t="s">
        <v>77</v>
      </c>
      <c r="H154" s="28" t="s">
        <v>78</v>
      </c>
      <c r="I154" s="1" t="str">
        <f aca="false">IF(C154="","",IF(OR(C154="3:45 AM",C154="5:45 AM"),"AM",IF(OR(C154="12:15 PM",C154="2:00 PM"),"PM","Overnight")))</f>
        <v>PM</v>
      </c>
      <c r="K154" s="1" t="n">
        <f aca="false">IF(C154="","",IF(C154="3:45 AM",1,IF(C154="5:45 AM",2,IF(C154="12:15 PM",3,IF(C154="2:00 PM",4,IF(C154="9:15 PM",5,""))))))</f>
        <v>4</v>
      </c>
    </row>
    <row r="155" customFormat="false" ht="14.25" hidden="false" customHeight="true" outlineLevel="0" collapsed="false">
      <c r="A155" s="1" t="s">
        <v>397</v>
      </c>
      <c r="B155" s="1" t="s">
        <v>398</v>
      </c>
      <c r="C155" s="28" t="s">
        <v>74</v>
      </c>
      <c r="D155" s="28" t="s">
        <v>98</v>
      </c>
      <c r="E155" s="28" t="s">
        <v>76</v>
      </c>
      <c r="F155" s="28" t="s">
        <v>76</v>
      </c>
      <c r="G155" s="28" t="s">
        <v>77</v>
      </c>
      <c r="H155" s="28" t="s">
        <v>78</v>
      </c>
      <c r="I155" s="1" t="str">
        <f aca="false">IF(C155="","",IF(OR(C155="3:45 AM",C155="5:45 AM"),"AM",IF(OR(C155="12:15 PM",C155="2:00 PM"),"PM","Overnight")))</f>
        <v>PM</v>
      </c>
      <c r="K155" s="1" t="n">
        <f aca="false">IF(C155="","",IF(C155="3:45 AM",1,IF(C155="5:45 AM",2,IF(C155="12:15 PM",3,IF(C155="2:00 PM",4,IF(C155="9:15 PM",5,""))))))</f>
        <v>4</v>
      </c>
    </row>
    <row r="156" customFormat="false" ht="14.25" hidden="false" customHeight="true" outlineLevel="0" collapsed="false">
      <c r="A156" s="1" t="s">
        <v>399</v>
      </c>
      <c r="B156" s="1" t="s">
        <v>400</v>
      </c>
      <c r="C156" s="28" t="s">
        <v>74</v>
      </c>
      <c r="D156" s="28" t="s">
        <v>94</v>
      </c>
      <c r="E156" s="28" t="s">
        <v>76</v>
      </c>
      <c r="F156" s="28" t="s">
        <v>76</v>
      </c>
      <c r="G156" s="28" t="s">
        <v>77</v>
      </c>
      <c r="H156" s="28" t="s">
        <v>78</v>
      </c>
      <c r="I156" s="1" t="str">
        <f aca="false">IF(C156="","",IF(OR(C156="3:45 AM",C156="5:45 AM"),"AM",IF(OR(C156="12:15 PM",C156="2:00 PM"),"PM","Overnight")))</f>
        <v>PM</v>
      </c>
      <c r="K156" s="1" t="n">
        <f aca="false">IF(C156="","",IF(C156="3:45 AM",1,IF(C156="5:45 AM",2,IF(C156="12:15 PM",3,IF(C156="2:00 PM",4,IF(C156="9:15 PM",5,""))))))</f>
        <v>4</v>
      </c>
    </row>
    <row r="157" customFormat="false" ht="14.25" hidden="false" customHeight="true" outlineLevel="0" collapsed="false">
      <c r="A157" s="1" t="s">
        <v>401</v>
      </c>
      <c r="B157" s="1" t="s">
        <v>402</v>
      </c>
      <c r="C157" s="28" t="s">
        <v>74</v>
      </c>
      <c r="D157" s="28" t="s">
        <v>75</v>
      </c>
      <c r="E157" s="28" t="s">
        <v>76</v>
      </c>
      <c r="F157" s="28" t="s">
        <v>76</v>
      </c>
      <c r="G157" s="28" t="s">
        <v>77</v>
      </c>
      <c r="H157" s="28" t="s">
        <v>78</v>
      </c>
      <c r="I157" s="1" t="str">
        <f aca="false">IF(C157="","",IF(OR(C157="3:45 AM",C157="5:45 AM"),"AM",IF(OR(C157="12:15 PM",C157="2:00 PM"),"PM","Overnight")))</f>
        <v>PM</v>
      </c>
      <c r="K157" s="1" t="n">
        <f aca="false">IF(C157="","",IF(C157="3:45 AM",1,IF(C157="5:45 AM",2,IF(C157="12:15 PM",3,IF(C157="2:00 PM",4,IF(C157="9:15 PM",5,""))))))</f>
        <v>4</v>
      </c>
    </row>
    <row r="158" customFormat="false" ht="14.25" hidden="false" customHeight="true" outlineLevel="0" collapsed="false">
      <c r="A158" s="1" t="s">
        <v>403</v>
      </c>
      <c r="B158" s="1" t="s">
        <v>404</v>
      </c>
      <c r="C158" s="28" t="s">
        <v>90</v>
      </c>
      <c r="D158" s="28" t="s">
        <v>142</v>
      </c>
      <c r="E158" s="28" t="s">
        <v>76</v>
      </c>
      <c r="F158" s="28" t="s">
        <v>76</v>
      </c>
      <c r="G158" s="28" t="s">
        <v>77</v>
      </c>
      <c r="H158" s="28" t="s">
        <v>78</v>
      </c>
      <c r="I158" s="1" t="str">
        <f aca="false">IF(C158="","",IF(OR(C158="3:45 AM",C158="5:45 AM"),"AM",IF(OR(C158="12:15 PM",C158="2:00 PM"),"PM","Overnight")))</f>
        <v>PM</v>
      </c>
      <c r="K158" s="1" t="n">
        <f aca="false">IF(C158="","",IF(C158="3:45 AM",1,IF(C158="5:45 AM",2,IF(C158="12:15 PM",3,IF(C158="2:00 PM",4,IF(C158="9:15 PM",5,""))))))</f>
        <v>3</v>
      </c>
    </row>
    <row r="159" customFormat="false" ht="14.25" hidden="false" customHeight="true" outlineLevel="0" collapsed="false">
      <c r="A159" s="1" t="s">
        <v>405</v>
      </c>
      <c r="B159" s="1" t="s">
        <v>406</v>
      </c>
      <c r="C159" s="28" t="s">
        <v>81</v>
      </c>
      <c r="D159" s="28" t="s">
        <v>111</v>
      </c>
      <c r="E159" s="28" t="s">
        <v>76</v>
      </c>
      <c r="F159" s="28" t="s">
        <v>76</v>
      </c>
      <c r="G159" s="28" t="s">
        <v>77</v>
      </c>
      <c r="H159" s="28" t="s">
        <v>78</v>
      </c>
      <c r="I159" s="1" t="str">
        <f aca="false">IF(C159="","",IF(OR(C159="3:45 AM",C159="5:45 AM"),"AM",IF(OR(C159="12:15 PM",C159="2:00 PM"),"PM","Overnight")))</f>
        <v>AM</v>
      </c>
      <c r="K159" s="1" t="n">
        <f aca="false">IF(C159="","",IF(C159="3:45 AM",1,IF(C159="5:45 AM",2,IF(C159="12:15 PM",3,IF(C159="2:00 PM",4,IF(C159="9:15 PM",5,""))))))</f>
        <v>2</v>
      </c>
    </row>
    <row r="160" customFormat="false" ht="14.25" hidden="false" customHeight="true" outlineLevel="0" collapsed="false">
      <c r="C160" s="28"/>
      <c r="D160" s="28"/>
      <c r="E160" s="28"/>
      <c r="F160" s="28"/>
      <c r="G160" s="28"/>
      <c r="H160" s="28"/>
    </row>
    <row r="161" customFormat="false" ht="14.25" hidden="false" customHeight="true" outlineLevel="0" collapsed="false">
      <c r="C161" s="28"/>
      <c r="D161" s="28"/>
      <c r="E161" s="28"/>
      <c r="F161" s="28"/>
      <c r="G161" s="28"/>
      <c r="H161" s="28"/>
    </row>
    <row r="162" customFormat="false" ht="14.25" hidden="false" customHeight="true" outlineLevel="0" collapsed="false">
      <c r="C162" s="28"/>
      <c r="D162" s="28"/>
      <c r="E162" s="28"/>
      <c r="F162" s="28"/>
      <c r="G162" s="28"/>
      <c r="H162" s="28"/>
    </row>
    <row r="163" customFormat="false" ht="14.25" hidden="false" customHeight="true" outlineLevel="0" collapsed="false">
      <c r="C163" s="28"/>
      <c r="D163" s="28"/>
      <c r="E163" s="28"/>
      <c r="F163" s="28"/>
      <c r="G163" s="28"/>
      <c r="H163" s="28"/>
    </row>
    <row r="164" customFormat="false" ht="14.25" hidden="false" customHeight="true" outlineLevel="0" collapsed="false">
      <c r="C164" s="28"/>
      <c r="D164" s="28"/>
      <c r="E164" s="28"/>
      <c r="F164" s="28"/>
      <c r="G164" s="28"/>
      <c r="H164" s="28"/>
    </row>
    <row r="165" customFormat="false" ht="14.25" hidden="false" customHeight="true" outlineLevel="0" collapsed="false">
      <c r="C165" s="28"/>
      <c r="D165" s="28"/>
      <c r="E165" s="28"/>
      <c r="F165" s="28"/>
      <c r="G165" s="28"/>
      <c r="H165" s="28"/>
    </row>
    <row r="166" customFormat="false" ht="14.25" hidden="false" customHeight="true" outlineLevel="0" collapsed="false">
      <c r="C166" s="28"/>
      <c r="D166" s="28"/>
      <c r="E166" s="28"/>
      <c r="F166" s="28"/>
      <c r="G166" s="28"/>
      <c r="H166" s="28"/>
    </row>
    <row r="167" customFormat="false" ht="14.25" hidden="false" customHeight="true" outlineLevel="0" collapsed="false">
      <c r="C167" s="28"/>
      <c r="D167" s="28"/>
      <c r="E167" s="28"/>
      <c r="F167" s="28"/>
      <c r="G167" s="28"/>
      <c r="H167" s="28"/>
    </row>
    <row r="168" customFormat="false" ht="14.25" hidden="false" customHeight="true" outlineLevel="0" collapsed="false">
      <c r="C168" s="28"/>
      <c r="D168" s="28"/>
      <c r="E168" s="28"/>
      <c r="F168" s="28"/>
      <c r="G168" s="28"/>
      <c r="H168" s="28"/>
    </row>
    <row r="169" customFormat="false" ht="14.25" hidden="false" customHeight="true" outlineLevel="0" collapsed="false">
      <c r="C169" s="28"/>
      <c r="D169" s="28"/>
      <c r="E169" s="28"/>
      <c r="F169" s="28"/>
      <c r="G169" s="28"/>
      <c r="H169" s="28"/>
    </row>
    <row r="170" customFormat="false" ht="14.25" hidden="false" customHeight="true" outlineLevel="0" collapsed="false">
      <c r="C170" s="28"/>
      <c r="D170" s="28"/>
      <c r="E170" s="28"/>
      <c r="F170" s="28"/>
      <c r="G170" s="28"/>
      <c r="H170" s="28"/>
    </row>
    <row r="171" customFormat="false" ht="14.25" hidden="false" customHeight="true" outlineLevel="0" collapsed="false">
      <c r="C171" s="28"/>
      <c r="D171" s="28"/>
      <c r="E171" s="28"/>
      <c r="F171" s="28"/>
      <c r="G171" s="28"/>
      <c r="H171" s="28"/>
    </row>
    <row r="172" customFormat="false" ht="14.25" hidden="false" customHeight="true" outlineLevel="0" collapsed="false">
      <c r="C172" s="28"/>
      <c r="D172" s="28"/>
      <c r="E172" s="28"/>
      <c r="F172" s="28"/>
      <c r="G172" s="28"/>
      <c r="H172" s="28"/>
    </row>
    <row r="173" customFormat="false" ht="14.25" hidden="false" customHeight="true" outlineLevel="0" collapsed="false">
      <c r="C173" s="28"/>
      <c r="D173" s="28"/>
      <c r="E173" s="28"/>
      <c r="F173" s="28"/>
      <c r="G173" s="28"/>
      <c r="H173" s="28"/>
    </row>
    <row r="174" customFormat="false" ht="14.25" hidden="false" customHeight="true" outlineLevel="0" collapsed="false">
      <c r="C174" s="28"/>
      <c r="D174" s="28"/>
      <c r="E174" s="28"/>
      <c r="F174" s="28"/>
      <c r="G174" s="28"/>
      <c r="H174" s="28"/>
    </row>
    <row r="175" customFormat="false" ht="14.25" hidden="false" customHeight="true" outlineLevel="0" collapsed="false">
      <c r="C175" s="28"/>
      <c r="D175" s="28"/>
      <c r="E175" s="28"/>
      <c r="F175" s="28"/>
      <c r="G175" s="28"/>
      <c r="H175" s="28"/>
    </row>
    <row r="176" customFormat="false" ht="14.25" hidden="false" customHeight="true" outlineLevel="0" collapsed="false">
      <c r="C176" s="28"/>
      <c r="D176" s="28"/>
      <c r="E176" s="28"/>
      <c r="F176" s="28"/>
      <c r="G176" s="28"/>
      <c r="H176" s="28"/>
    </row>
    <row r="177" customFormat="false" ht="14.25" hidden="false" customHeight="true" outlineLevel="0" collapsed="false">
      <c r="C177" s="28"/>
      <c r="D177" s="28"/>
      <c r="E177" s="28"/>
      <c r="F177" s="28"/>
      <c r="G177" s="28"/>
      <c r="H177" s="28"/>
    </row>
    <row r="178" customFormat="false" ht="14.25" hidden="false" customHeight="true" outlineLevel="0" collapsed="false">
      <c r="C178" s="28"/>
      <c r="D178" s="28"/>
      <c r="E178" s="28"/>
      <c r="F178" s="28"/>
      <c r="G178" s="28"/>
      <c r="H178" s="28"/>
    </row>
    <row r="179" customFormat="false" ht="14.25" hidden="false" customHeight="true" outlineLevel="0" collapsed="false">
      <c r="C179" s="28"/>
      <c r="D179" s="28"/>
      <c r="E179" s="28"/>
      <c r="F179" s="28"/>
      <c r="G179" s="28"/>
      <c r="H179" s="28"/>
    </row>
    <row r="180" customFormat="false" ht="14.25" hidden="false" customHeight="true" outlineLevel="0" collapsed="false">
      <c r="C180" s="28"/>
      <c r="D180" s="28"/>
      <c r="E180" s="28"/>
      <c r="F180" s="28"/>
      <c r="G180" s="28"/>
      <c r="H180" s="28"/>
    </row>
    <row r="181" customFormat="false" ht="14.25" hidden="false" customHeight="true" outlineLevel="0" collapsed="false">
      <c r="C181" s="28"/>
      <c r="D181" s="28"/>
      <c r="E181" s="28"/>
      <c r="F181" s="28"/>
      <c r="G181" s="28"/>
      <c r="H181" s="28"/>
    </row>
    <row r="182" customFormat="false" ht="14.25" hidden="false" customHeight="true" outlineLevel="0" collapsed="false">
      <c r="C182" s="28"/>
      <c r="D182" s="28"/>
      <c r="E182" s="28"/>
      <c r="F182" s="28"/>
      <c r="G182" s="28"/>
      <c r="H182" s="28"/>
    </row>
    <row r="183" customFormat="false" ht="14.25" hidden="false" customHeight="true" outlineLevel="0" collapsed="false">
      <c r="C183" s="28"/>
      <c r="D183" s="28"/>
      <c r="E183" s="28"/>
      <c r="F183" s="28"/>
      <c r="G183" s="28"/>
      <c r="H183" s="28"/>
    </row>
    <row r="184" customFormat="false" ht="14.25" hidden="false" customHeight="true" outlineLevel="0" collapsed="false">
      <c r="C184" s="28"/>
      <c r="D184" s="28"/>
      <c r="E184" s="28"/>
      <c r="F184" s="28"/>
      <c r="G184" s="28"/>
      <c r="H184" s="28"/>
    </row>
    <row r="185" customFormat="false" ht="14.25" hidden="false" customHeight="true" outlineLevel="0" collapsed="false">
      <c r="C185" s="28"/>
      <c r="D185" s="28"/>
      <c r="E185" s="28"/>
      <c r="F185" s="28"/>
      <c r="G185" s="28"/>
      <c r="H185" s="28"/>
    </row>
    <row r="186" customFormat="false" ht="14.25" hidden="false" customHeight="true" outlineLevel="0" collapsed="false">
      <c r="C186" s="28"/>
      <c r="D186" s="28"/>
      <c r="E186" s="28"/>
      <c r="F186" s="28"/>
      <c r="G186" s="28"/>
      <c r="H186" s="28"/>
    </row>
    <row r="187" customFormat="false" ht="14.25" hidden="false" customHeight="true" outlineLevel="0" collapsed="false">
      <c r="C187" s="28"/>
      <c r="D187" s="28"/>
      <c r="E187" s="28"/>
      <c r="F187" s="28"/>
      <c r="G187" s="28"/>
      <c r="H187" s="28"/>
    </row>
    <row r="188" customFormat="false" ht="14.25" hidden="false" customHeight="true" outlineLevel="0" collapsed="false">
      <c r="C188" s="28"/>
      <c r="D188" s="28"/>
      <c r="E188" s="28"/>
      <c r="F188" s="28"/>
      <c r="G188" s="28"/>
      <c r="H188" s="28"/>
    </row>
    <row r="189" customFormat="false" ht="14.25" hidden="false" customHeight="true" outlineLevel="0" collapsed="false">
      <c r="C189" s="28"/>
      <c r="D189" s="28"/>
      <c r="E189" s="28"/>
      <c r="F189" s="28"/>
      <c r="G189" s="28"/>
      <c r="H189" s="28"/>
    </row>
    <row r="190" customFormat="false" ht="14.25" hidden="false" customHeight="true" outlineLevel="0" collapsed="false">
      <c r="C190" s="28"/>
      <c r="D190" s="28"/>
      <c r="E190" s="28"/>
      <c r="F190" s="28"/>
      <c r="G190" s="28"/>
      <c r="H190" s="28"/>
    </row>
    <row r="191" customFormat="false" ht="14.25" hidden="false" customHeight="true" outlineLevel="0" collapsed="false">
      <c r="C191" s="28"/>
      <c r="D191" s="28"/>
      <c r="E191" s="28"/>
      <c r="F191" s="28"/>
      <c r="G191" s="28"/>
      <c r="H191" s="28"/>
    </row>
    <row r="192" customFormat="false" ht="14.25" hidden="false" customHeight="true" outlineLevel="0" collapsed="false">
      <c r="C192" s="28"/>
      <c r="D192" s="28"/>
      <c r="E192" s="28"/>
      <c r="F192" s="28"/>
      <c r="G192" s="28"/>
      <c r="H192" s="28"/>
    </row>
    <row r="193" customFormat="false" ht="14.25" hidden="false" customHeight="true" outlineLevel="0" collapsed="false">
      <c r="C193" s="28"/>
      <c r="D193" s="28"/>
      <c r="E193" s="28"/>
      <c r="F193" s="28"/>
      <c r="G193" s="28"/>
      <c r="H193" s="28"/>
    </row>
    <row r="194" customFormat="false" ht="14.25" hidden="false" customHeight="true" outlineLevel="0" collapsed="false">
      <c r="C194" s="28"/>
      <c r="D194" s="28"/>
      <c r="E194" s="28"/>
      <c r="F194" s="28"/>
      <c r="G194" s="28"/>
      <c r="H194" s="28"/>
    </row>
    <row r="195" customFormat="false" ht="14.25" hidden="false" customHeight="true" outlineLevel="0" collapsed="false">
      <c r="C195" s="28"/>
      <c r="D195" s="28"/>
      <c r="E195" s="28"/>
      <c r="F195" s="28"/>
      <c r="G195" s="28"/>
      <c r="H195" s="28"/>
    </row>
    <row r="196" customFormat="false" ht="14.25" hidden="false" customHeight="true" outlineLevel="0" collapsed="false">
      <c r="C196" s="28"/>
      <c r="D196" s="28"/>
      <c r="E196" s="28"/>
      <c r="F196" s="28"/>
      <c r="G196" s="28"/>
      <c r="H196" s="28"/>
    </row>
    <row r="197" customFormat="false" ht="14.25" hidden="false" customHeight="true" outlineLevel="0" collapsed="false">
      <c r="C197" s="28"/>
      <c r="D197" s="28"/>
      <c r="E197" s="28"/>
      <c r="F197" s="28"/>
      <c r="G197" s="28"/>
      <c r="H197" s="28"/>
    </row>
    <row r="198" customFormat="false" ht="14.25" hidden="false" customHeight="true" outlineLevel="0" collapsed="false">
      <c r="C198" s="28"/>
      <c r="D198" s="28"/>
      <c r="E198" s="28"/>
      <c r="F198" s="28"/>
      <c r="G198" s="28"/>
      <c r="H198" s="28"/>
    </row>
    <row r="199" customFormat="false" ht="14.25" hidden="false" customHeight="true" outlineLevel="0" collapsed="false">
      <c r="C199" s="28"/>
      <c r="D199" s="28"/>
      <c r="E199" s="28"/>
      <c r="F199" s="28"/>
      <c r="G199" s="28"/>
      <c r="H199" s="28"/>
    </row>
    <row r="200" customFormat="false" ht="14.25" hidden="false" customHeight="true" outlineLevel="0" collapsed="false">
      <c r="C200" s="28"/>
      <c r="D200" s="28"/>
      <c r="E200" s="28"/>
      <c r="F200" s="28"/>
      <c r="G200" s="28"/>
      <c r="H200" s="28"/>
    </row>
    <row r="201" customFormat="false" ht="14.25" hidden="false" customHeight="true" outlineLevel="0" collapsed="false">
      <c r="C201" s="28"/>
      <c r="D201" s="28"/>
      <c r="E201" s="28"/>
      <c r="F201" s="28"/>
      <c r="G201" s="28"/>
      <c r="H201" s="28"/>
    </row>
    <row r="202" customFormat="false" ht="14.25" hidden="false" customHeight="true" outlineLevel="0" collapsed="false">
      <c r="C202" s="28"/>
      <c r="D202" s="28"/>
      <c r="E202" s="28"/>
      <c r="F202" s="28"/>
      <c r="G202" s="28"/>
      <c r="H202" s="28"/>
    </row>
    <row r="203" customFormat="false" ht="14.25" hidden="false" customHeight="true" outlineLevel="0" collapsed="false">
      <c r="C203" s="28"/>
      <c r="D203" s="28"/>
      <c r="E203" s="28"/>
      <c r="F203" s="28"/>
      <c r="G203" s="28"/>
      <c r="H203" s="28"/>
    </row>
    <row r="204" customFormat="false" ht="14.25" hidden="false" customHeight="true" outlineLevel="0" collapsed="false">
      <c r="C204" s="28"/>
      <c r="D204" s="28"/>
      <c r="E204" s="28"/>
      <c r="F204" s="28"/>
      <c r="G204" s="28"/>
      <c r="H204" s="28"/>
    </row>
    <row r="205" customFormat="false" ht="14.25" hidden="false" customHeight="true" outlineLevel="0" collapsed="false">
      <c r="C205" s="28"/>
      <c r="D205" s="28"/>
      <c r="E205" s="28"/>
      <c r="F205" s="28"/>
      <c r="G205" s="28"/>
      <c r="H205" s="28"/>
    </row>
    <row r="206" customFormat="false" ht="14.25" hidden="false" customHeight="true" outlineLevel="0" collapsed="false">
      <c r="C206" s="28"/>
      <c r="D206" s="28"/>
      <c r="E206" s="28"/>
      <c r="F206" s="28"/>
      <c r="G206" s="28"/>
      <c r="H206" s="28"/>
    </row>
    <row r="207" customFormat="false" ht="14.25" hidden="false" customHeight="true" outlineLevel="0" collapsed="false">
      <c r="C207" s="28"/>
      <c r="D207" s="28"/>
      <c r="E207" s="28"/>
      <c r="F207" s="28"/>
      <c r="G207" s="28"/>
      <c r="H207" s="28"/>
    </row>
    <row r="208" customFormat="false" ht="14.25" hidden="false" customHeight="true" outlineLevel="0" collapsed="false">
      <c r="C208" s="28"/>
      <c r="D208" s="28"/>
      <c r="E208" s="28"/>
      <c r="F208" s="28"/>
      <c r="G208" s="28"/>
      <c r="H208" s="28"/>
    </row>
    <row r="209" customFormat="false" ht="14.25" hidden="false" customHeight="true" outlineLevel="0" collapsed="false">
      <c r="C209" s="28"/>
      <c r="D209" s="28"/>
      <c r="E209" s="28"/>
      <c r="F209" s="28"/>
      <c r="G209" s="28"/>
      <c r="H209" s="28"/>
    </row>
    <row r="210" customFormat="false" ht="14.25" hidden="false" customHeight="true" outlineLevel="0" collapsed="false">
      <c r="C210" s="28"/>
      <c r="D210" s="28"/>
      <c r="E210" s="28"/>
      <c r="F210" s="28"/>
      <c r="G210" s="28"/>
      <c r="H210" s="28"/>
    </row>
    <row r="211" customFormat="false" ht="14.25" hidden="false" customHeight="true" outlineLevel="0" collapsed="false">
      <c r="C211" s="28"/>
      <c r="D211" s="28"/>
      <c r="E211" s="28"/>
      <c r="F211" s="28"/>
      <c r="G211" s="28"/>
      <c r="H211" s="28"/>
    </row>
    <row r="212" customFormat="false" ht="14.25" hidden="false" customHeight="true" outlineLevel="0" collapsed="false">
      <c r="C212" s="28"/>
      <c r="D212" s="28"/>
      <c r="E212" s="28"/>
      <c r="F212" s="28"/>
      <c r="G212" s="28"/>
      <c r="H212" s="28"/>
    </row>
    <row r="213" customFormat="false" ht="14.25" hidden="false" customHeight="true" outlineLevel="0" collapsed="false">
      <c r="C213" s="28"/>
      <c r="D213" s="28"/>
      <c r="E213" s="28"/>
      <c r="F213" s="28"/>
      <c r="G213" s="28"/>
      <c r="H213" s="28"/>
    </row>
    <row r="214" customFormat="false" ht="14.25" hidden="false" customHeight="true" outlineLevel="0" collapsed="false">
      <c r="C214" s="28"/>
      <c r="D214" s="28"/>
      <c r="E214" s="28"/>
      <c r="F214" s="28"/>
      <c r="G214" s="28"/>
      <c r="H214" s="28"/>
    </row>
    <row r="215" customFormat="false" ht="14.25" hidden="false" customHeight="true" outlineLevel="0" collapsed="false">
      <c r="C215" s="28"/>
      <c r="D215" s="28"/>
      <c r="E215" s="28"/>
      <c r="F215" s="28"/>
      <c r="G215" s="28"/>
      <c r="H215" s="28"/>
    </row>
    <row r="216" customFormat="false" ht="14.25" hidden="false" customHeight="true" outlineLevel="0" collapsed="false">
      <c r="C216" s="28"/>
      <c r="D216" s="28"/>
      <c r="E216" s="28"/>
      <c r="F216" s="28"/>
      <c r="G216" s="28"/>
      <c r="H216" s="28"/>
    </row>
    <row r="217" customFormat="false" ht="14.25" hidden="false" customHeight="true" outlineLevel="0" collapsed="false">
      <c r="C217" s="28"/>
      <c r="D217" s="28"/>
      <c r="E217" s="28"/>
      <c r="F217" s="28"/>
      <c r="G217" s="28"/>
      <c r="H217" s="28"/>
    </row>
    <row r="218" customFormat="false" ht="14.25" hidden="false" customHeight="true" outlineLevel="0" collapsed="false">
      <c r="C218" s="28"/>
      <c r="D218" s="28"/>
      <c r="E218" s="28"/>
      <c r="F218" s="28"/>
      <c r="G218" s="28"/>
      <c r="H218" s="28"/>
    </row>
    <row r="219" customFormat="false" ht="14.25" hidden="false" customHeight="true" outlineLevel="0" collapsed="false">
      <c r="C219" s="28"/>
      <c r="D219" s="28"/>
      <c r="E219" s="28"/>
      <c r="F219" s="28"/>
      <c r="G219" s="28"/>
      <c r="H219" s="28"/>
    </row>
    <row r="220" customFormat="false" ht="14.25" hidden="false" customHeight="true" outlineLevel="0" collapsed="false">
      <c r="C220" s="28"/>
      <c r="D220" s="28"/>
      <c r="E220" s="28"/>
      <c r="F220" s="28"/>
      <c r="G220" s="28"/>
      <c r="H220" s="28"/>
    </row>
    <row r="221" customFormat="false" ht="14.25" hidden="false" customHeight="true" outlineLevel="0" collapsed="false">
      <c r="C221" s="28"/>
      <c r="D221" s="28"/>
      <c r="E221" s="28"/>
      <c r="F221" s="28"/>
      <c r="G221" s="28"/>
      <c r="H221" s="28"/>
    </row>
    <row r="222" customFormat="false" ht="14.25" hidden="false" customHeight="true" outlineLevel="0" collapsed="false">
      <c r="C222" s="28"/>
      <c r="D222" s="28"/>
      <c r="E222" s="28"/>
      <c r="F222" s="28"/>
      <c r="G222" s="28"/>
      <c r="H222" s="28"/>
    </row>
    <row r="223" customFormat="false" ht="14.25" hidden="false" customHeight="true" outlineLevel="0" collapsed="false">
      <c r="C223" s="28"/>
      <c r="D223" s="28"/>
      <c r="E223" s="28"/>
      <c r="F223" s="28"/>
      <c r="G223" s="28"/>
      <c r="H223" s="28"/>
    </row>
    <row r="224" customFormat="false" ht="14.25" hidden="false" customHeight="true" outlineLevel="0" collapsed="false">
      <c r="C224" s="28"/>
      <c r="D224" s="28"/>
      <c r="E224" s="28"/>
      <c r="F224" s="28"/>
      <c r="G224" s="28"/>
      <c r="H224" s="28"/>
    </row>
    <row r="225" customFormat="false" ht="14.25" hidden="false" customHeight="true" outlineLevel="0" collapsed="false">
      <c r="C225" s="28"/>
      <c r="D225" s="28"/>
      <c r="E225" s="28"/>
      <c r="F225" s="28"/>
      <c r="G225" s="28"/>
      <c r="H225" s="28"/>
    </row>
    <row r="226" customFormat="false" ht="14.25" hidden="false" customHeight="true" outlineLevel="0" collapsed="false">
      <c r="C226" s="28"/>
      <c r="D226" s="28"/>
      <c r="E226" s="28"/>
      <c r="F226" s="28"/>
      <c r="G226" s="28"/>
      <c r="H226" s="28"/>
    </row>
    <row r="227" customFormat="false" ht="14.25" hidden="false" customHeight="true" outlineLevel="0" collapsed="false">
      <c r="C227" s="28"/>
      <c r="D227" s="28"/>
      <c r="E227" s="28"/>
      <c r="F227" s="28"/>
      <c r="G227" s="28"/>
      <c r="H227" s="28"/>
    </row>
    <row r="228" customFormat="false" ht="14.25" hidden="false" customHeight="true" outlineLevel="0" collapsed="false">
      <c r="C228" s="28"/>
      <c r="D228" s="28"/>
      <c r="E228" s="28"/>
      <c r="F228" s="28"/>
      <c r="G228" s="28"/>
      <c r="H228" s="28"/>
    </row>
    <row r="229" customFormat="false" ht="14.25" hidden="false" customHeight="true" outlineLevel="0" collapsed="false">
      <c r="C229" s="28"/>
      <c r="D229" s="28"/>
      <c r="E229" s="28"/>
      <c r="F229" s="28"/>
      <c r="G229" s="28"/>
      <c r="H229" s="28"/>
    </row>
    <row r="230" customFormat="false" ht="14.25" hidden="false" customHeight="true" outlineLevel="0" collapsed="false">
      <c r="C230" s="28"/>
      <c r="D230" s="28"/>
      <c r="E230" s="28"/>
      <c r="F230" s="28"/>
      <c r="G230" s="28"/>
      <c r="H230" s="28"/>
    </row>
    <row r="231" customFormat="false" ht="14.25" hidden="false" customHeight="true" outlineLevel="0" collapsed="false">
      <c r="C231" s="28"/>
      <c r="D231" s="28"/>
      <c r="E231" s="28"/>
      <c r="F231" s="28"/>
      <c r="G231" s="28"/>
      <c r="H231" s="28"/>
    </row>
    <row r="232" customFormat="false" ht="14.25" hidden="false" customHeight="true" outlineLevel="0" collapsed="false">
      <c r="C232" s="28"/>
      <c r="D232" s="28"/>
      <c r="E232" s="28"/>
      <c r="F232" s="28"/>
      <c r="G232" s="28"/>
      <c r="H232" s="28"/>
    </row>
    <row r="233" customFormat="false" ht="14.25" hidden="false" customHeight="true" outlineLevel="0" collapsed="false">
      <c r="C233" s="28"/>
      <c r="D233" s="28"/>
      <c r="E233" s="28"/>
      <c r="F233" s="28"/>
      <c r="G233" s="28"/>
      <c r="H233" s="28"/>
    </row>
    <row r="234" customFormat="false" ht="14.25" hidden="false" customHeight="true" outlineLevel="0" collapsed="false">
      <c r="C234" s="28"/>
      <c r="D234" s="28"/>
      <c r="E234" s="28"/>
      <c r="F234" s="28"/>
      <c r="G234" s="28"/>
      <c r="H234" s="28"/>
    </row>
    <row r="235" customFormat="false" ht="14.25" hidden="false" customHeight="true" outlineLevel="0" collapsed="false">
      <c r="C235" s="28"/>
      <c r="D235" s="28"/>
      <c r="E235" s="28"/>
      <c r="F235" s="28"/>
      <c r="G235" s="28"/>
      <c r="H235" s="28"/>
    </row>
    <row r="236" customFormat="false" ht="14.25" hidden="false" customHeight="true" outlineLevel="0" collapsed="false">
      <c r="C236" s="28"/>
      <c r="D236" s="28"/>
      <c r="E236" s="28"/>
      <c r="F236" s="28"/>
      <c r="G236" s="28"/>
      <c r="H236" s="28"/>
    </row>
    <row r="237" customFormat="false" ht="14.25" hidden="false" customHeight="true" outlineLevel="0" collapsed="false">
      <c r="C237" s="28"/>
      <c r="D237" s="28"/>
      <c r="E237" s="28"/>
      <c r="F237" s="28"/>
      <c r="G237" s="28"/>
      <c r="H237" s="28"/>
    </row>
    <row r="238" customFormat="false" ht="14.25" hidden="false" customHeight="true" outlineLevel="0" collapsed="false">
      <c r="C238" s="28"/>
      <c r="D238" s="28"/>
      <c r="E238" s="28"/>
      <c r="F238" s="28"/>
      <c r="G238" s="28"/>
      <c r="H238" s="28"/>
    </row>
    <row r="239" customFormat="false" ht="14.25" hidden="false" customHeight="true" outlineLevel="0" collapsed="false">
      <c r="C239" s="28"/>
      <c r="D239" s="28"/>
      <c r="E239" s="28"/>
      <c r="F239" s="28"/>
      <c r="G239" s="28"/>
      <c r="H239" s="28"/>
    </row>
    <row r="240" customFormat="false" ht="14.25" hidden="false" customHeight="true" outlineLevel="0" collapsed="false">
      <c r="C240" s="28"/>
      <c r="D240" s="28"/>
      <c r="E240" s="28"/>
      <c r="F240" s="28"/>
      <c r="G240" s="28"/>
      <c r="H240" s="28"/>
    </row>
    <row r="241" customFormat="false" ht="14.25" hidden="false" customHeight="true" outlineLevel="0" collapsed="false">
      <c r="C241" s="28"/>
      <c r="D241" s="28"/>
      <c r="E241" s="28"/>
      <c r="F241" s="28"/>
      <c r="G241" s="28"/>
      <c r="H241" s="28"/>
    </row>
    <row r="242" customFormat="false" ht="14.25" hidden="false" customHeight="true" outlineLevel="0" collapsed="false">
      <c r="C242" s="28"/>
      <c r="D242" s="28"/>
      <c r="E242" s="28"/>
      <c r="F242" s="28"/>
      <c r="G242" s="28"/>
      <c r="H242" s="28"/>
    </row>
    <row r="243" customFormat="false" ht="14.25" hidden="false" customHeight="true" outlineLevel="0" collapsed="false">
      <c r="C243" s="28"/>
      <c r="D243" s="28"/>
      <c r="E243" s="28"/>
      <c r="F243" s="28"/>
      <c r="G243" s="28"/>
      <c r="H243" s="28"/>
    </row>
    <row r="244" customFormat="false" ht="14.25" hidden="false" customHeight="true" outlineLevel="0" collapsed="false">
      <c r="C244" s="28"/>
      <c r="D244" s="28"/>
      <c r="E244" s="28"/>
      <c r="F244" s="28"/>
      <c r="G244" s="28"/>
      <c r="H244" s="28"/>
    </row>
    <row r="245" customFormat="false" ht="14.25" hidden="false" customHeight="true" outlineLevel="0" collapsed="false">
      <c r="C245" s="28"/>
      <c r="D245" s="28"/>
      <c r="E245" s="28"/>
      <c r="F245" s="28"/>
      <c r="G245" s="28"/>
      <c r="H245" s="28"/>
    </row>
    <row r="246" customFormat="false" ht="14.25" hidden="false" customHeight="true" outlineLevel="0" collapsed="false">
      <c r="C246" s="28"/>
      <c r="D246" s="28"/>
      <c r="E246" s="28"/>
      <c r="F246" s="28"/>
      <c r="G246" s="28"/>
      <c r="H246" s="28"/>
    </row>
    <row r="247" customFormat="false" ht="14.25" hidden="false" customHeight="true" outlineLevel="0" collapsed="false">
      <c r="C247" s="28"/>
      <c r="D247" s="28"/>
      <c r="E247" s="28"/>
      <c r="F247" s="28"/>
      <c r="G247" s="28"/>
      <c r="H247" s="28"/>
    </row>
    <row r="248" customFormat="false" ht="14.25" hidden="false" customHeight="true" outlineLevel="0" collapsed="false">
      <c r="C248" s="28"/>
      <c r="D248" s="28"/>
      <c r="E248" s="28"/>
      <c r="F248" s="28"/>
      <c r="G248" s="28"/>
      <c r="H248" s="28"/>
    </row>
    <row r="249" customFormat="false" ht="14.25" hidden="false" customHeight="true" outlineLevel="0" collapsed="false">
      <c r="C249" s="28"/>
      <c r="D249" s="28"/>
      <c r="E249" s="28"/>
      <c r="F249" s="28"/>
      <c r="G249" s="28"/>
      <c r="H249" s="28"/>
    </row>
    <row r="250" customFormat="false" ht="14.25" hidden="false" customHeight="true" outlineLevel="0" collapsed="false">
      <c r="C250" s="28"/>
      <c r="D250" s="28"/>
      <c r="E250" s="28"/>
      <c r="F250" s="28"/>
      <c r="G250" s="28"/>
      <c r="H250" s="28"/>
    </row>
    <row r="251" customFormat="false" ht="14.25" hidden="false" customHeight="true" outlineLevel="0" collapsed="false">
      <c r="C251" s="28"/>
      <c r="D251" s="28"/>
      <c r="E251" s="28"/>
      <c r="F251" s="28"/>
      <c r="G251" s="28"/>
      <c r="H251" s="28"/>
    </row>
    <row r="252" customFormat="false" ht="14.25" hidden="false" customHeight="true" outlineLevel="0" collapsed="false">
      <c r="C252" s="28"/>
      <c r="D252" s="28"/>
      <c r="E252" s="28"/>
      <c r="F252" s="28"/>
      <c r="G252" s="28"/>
      <c r="H252" s="28"/>
    </row>
    <row r="253" customFormat="false" ht="14.25" hidden="false" customHeight="true" outlineLevel="0" collapsed="false">
      <c r="C253" s="28"/>
      <c r="D253" s="28"/>
      <c r="E253" s="28"/>
      <c r="F253" s="28"/>
      <c r="G253" s="28"/>
      <c r="H253" s="28"/>
    </row>
    <row r="254" customFormat="false" ht="14.25" hidden="false" customHeight="true" outlineLevel="0" collapsed="false">
      <c r="C254" s="28"/>
      <c r="D254" s="28"/>
      <c r="E254" s="28"/>
      <c r="F254" s="28"/>
      <c r="G254" s="28"/>
      <c r="H254" s="28"/>
    </row>
    <row r="255" customFormat="false" ht="14.25" hidden="false" customHeight="true" outlineLevel="0" collapsed="false">
      <c r="C255" s="28"/>
      <c r="D255" s="28"/>
      <c r="E255" s="28"/>
      <c r="F255" s="28"/>
      <c r="G255" s="28"/>
      <c r="H255" s="28"/>
    </row>
    <row r="256" customFormat="false" ht="14.25" hidden="false" customHeight="true" outlineLevel="0" collapsed="false">
      <c r="C256" s="28"/>
      <c r="D256" s="28"/>
      <c r="E256" s="28"/>
      <c r="F256" s="28"/>
      <c r="G256" s="28"/>
      <c r="H256" s="28"/>
    </row>
    <row r="257" customFormat="false" ht="14.25" hidden="false" customHeight="true" outlineLevel="0" collapsed="false">
      <c r="C257" s="28"/>
      <c r="D257" s="28"/>
      <c r="E257" s="28"/>
      <c r="F257" s="28"/>
      <c r="G257" s="28"/>
      <c r="H257" s="28"/>
    </row>
    <row r="258" customFormat="false" ht="14.25" hidden="false" customHeight="true" outlineLevel="0" collapsed="false">
      <c r="C258" s="28"/>
      <c r="D258" s="28"/>
      <c r="E258" s="28"/>
      <c r="F258" s="28"/>
      <c r="G258" s="28"/>
      <c r="H258" s="28"/>
    </row>
    <row r="259" customFormat="false" ht="14.25" hidden="false" customHeight="true" outlineLevel="0" collapsed="false">
      <c r="C259" s="28"/>
      <c r="D259" s="28"/>
      <c r="E259" s="28"/>
      <c r="F259" s="28"/>
      <c r="G259" s="28"/>
      <c r="H259" s="28"/>
    </row>
    <row r="260" customFormat="false" ht="14.25" hidden="false" customHeight="true" outlineLevel="0" collapsed="false">
      <c r="C260" s="28"/>
      <c r="D260" s="28"/>
      <c r="E260" s="28"/>
      <c r="F260" s="28"/>
      <c r="G260" s="28"/>
      <c r="H260" s="28"/>
    </row>
    <row r="261" customFormat="false" ht="14.25" hidden="false" customHeight="true" outlineLevel="0" collapsed="false">
      <c r="C261" s="28"/>
      <c r="D261" s="28"/>
      <c r="E261" s="28"/>
      <c r="F261" s="28"/>
      <c r="G261" s="28"/>
      <c r="H261" s="28"/>
    </row>
    <row r="262" customFormat="false" ht="14.25" hidden="false" customHeight="true" outlineLevel="0" collapsed="false">
      <c r="C262" s="28"/>
      <c r="D262" s="28"/>
      <c r="E262" s="28"/>
      <c r="F262" s="28"/>
      <c r="G262" s="28"/>
      <c r="H262" s="28"/>
    </row>
    <row r="263" customFormat="false" ht="14.25" hidden="false" customHeight="true" outlineLevel="0" collapsed="false">
      <c r="C263" s="28"/>
      <c r="D263" s="28"/>
      <c r="E263" s="28"/>
      <c r="F263" s="28"/>
      <c r="G263" s="28"/>
      <c r="H263" s="28"/>
    </row>
    <row r="264" customFormat="false" ht="14.25" hidden="false" customHeight="true" outlineLevel="0" collapsed="false">
      <c r="C264" s="28"/>
      <c r="D264" s="28"/>
      <c r="E264" s="28"/>
      <c r="F264" s="28"/>
      <c r="G264" s="28"/>
      <c r="H264" s="28"/>
    </row>
    <row r="265" customFormat="false" ht="14.25" hidden="false" customHeight="true" outlineLevel="0" collapsed="false">
      <c r="C265" s="28"/>
      <c r="D265" s="28"/>
      <c r="E265" s="28"/>
      <c r="F265" s="28"/>
      <c r="G265" s="28"/>
      <c r="H265" s="28"/>
    </row>
    <row r="266" customFormat="false" ht="14.25" hidden="false" customHeight="true" outlineLevel="0" collapsed="false">
      <c r="C266" s="28"/>
      <c r="D266" s="28"/>
      <c r="E266" s="28"/>
      <c r="F266" s="28"/>
      <c r="G266" s="28"/>
      <c r="H266" s="28"/>
    </row>
    <row r="267" customFormat="false" ht="14.25" hidden="false" customHeight="true" outlineLevel="0" collapsed="false">
      <c r="C267" s="28"/>
      <c r="D267" s="28"/>
      <c r="E267" s="28"/>
      <c r="F267" s="28"/>
      <c r="G267" s="28"/>
      <c r="H267" s="28"/>
    </row>
    <row r="268" customFormat="false" ht="14.25" hidden="false" customHeight="true" outlineLevel="0" collapsed="false">
      <c r="C268" s="28"/>
      <c r="D268" s="28"/>
      <c r="E268" s="28"/>
      <c r="F268" s="28"/>
      <c r="G268" s="28"/>
      <c r="H268" s="28"/>
    </row>
    <row r="269" customFormat="false" ht="14.25" hidden="false" customHeight="true" outlineLevel="0" collapsed="false">
      <c r="C269" s="28"/>
      <c r="D269" s="28"/>
      <c r="E269" s="28"/>
      <c r="F269" s="28"/>
      <c r="G269" s="28"/>
      <c r="H269" s="28"/>
    </row>
    <row r="270" customFormat="false" ht="14.25" hidden="false" customHeight="true" outlineLevel="0" collapsed="false">
      <c r="C270" s="28"/>
      <c r="D270" s="28"/>
      <c r="E270" s="28"/>
      <c r="F270" s="28"/>
      <c r="G270" s="28"/>
      <c r="H270" s="28"/>
    </row>
    <row r="271" customFormat="false" ht="14.25" hidden="false" customHeight="true" outlineLevel="0" collapsed="false">
      <c r="C271" s="28"/>
      <c r="D271" s="28"/>
      <c r="E271" s="28"/>
      <c r="F271" s="28"/>
      <c r="G271" s="28"/>
      <c r="H271" s="28"/>
    </row>
    <row r="272" customFormat="false" ht="14.25" hidden="false" customHeight="true" outlineLevel="0" collapsed="false">
      <c r="C272" s="28"/>
      <c r="D272" s="28"/>
      <c r="E272" s="28"/>
      <c r="F272" s="28"/>
      <c r="G272" s="28"/>
      <c r="H272" s="28"/>
    </row>
    <row r="273" customFormat="false" ht="14.25" hidden="false" customHeight="true" outlineLevel="0" collapsed="false">
      <c r="C273" s="28"/>
      <c r="D273" s="28"/>
      <c r="E273" s="28"/>
      <c r="F273" s="28"/>
      <c r="G273" s="28"/>
      <c r="H273" s="28"/>
    </row>
    <row r="274" customFormat="false" ht="14.25" hidden="false" customHeight="true" outlineLevel="0" collapsed="false">
      <c r="C274" s="28"/>
      <c r="D274" s="28"/>
      <c r="E274" s="28"/>
      <c r="F274" s="28"/>
      <c r="G274" s="28"/>
      <c r="H274" s="28"/>
    </row>
    <row r="275" customFormat="false" ht="14.25" hidden="false" customHeight="true" outlineLevel="0" collapsed="false">
      <c r="C275" s="28"/>
      <c r="D275" s="28"/>
      <c r="E275" s="28"/>
      <c r="F275" s="28"/>
      <c r="G275" s="28"/>
      <c r="H275" s="28"/>
    </row>
    <row r="276" customFormat="false" ht="14.25" hidden="false" customHeight="true" outlineLevel="0" collapsed="false">
      <c r="C276" s="28"/>
      <c r="D276" s="28"/>
      <c r="E276" s="28"/>
      <c r="F276" s="28"/>
      <c r="G276" s="28"/>
      <c r="H276" s="28"/>
    </row>
    <row r="277" customFormat="false" ht="14.25" hidden="false" customHeight="true" outlineLevel="0" collapsed="false">
      <c r="C277" s="28"/>
      <c r="D277" s="28"/>
      <c r="E277" s="28"/>
      <c r="F277" s="28"/>
      <c r="G277" s="28"/>
      <c r="H277" s="28"/>
    </row>
    <row r="278" customFormat="false" ht="14.25" hidden="false" customHeight="true" outlineLevel="0" collapsed="false">
      <c r="C278" s="28"/>
      <c r="D278" s="28"/>
      <c r="E278" s="28"/>
      <c r="F278" s="28"/>
      <c r="G278" s="28"/>
      <c r="H278" s="28"/>
    </row>
    <row r="279" customFormat="false" ht="14.25" hidden="false" customHeight="true" outlineLevel="0" collapsed="false">
      <c r="C279" s="28"/>
      <c r="D279" s="28"/>
      <c r="E279" s="28"/>
      <c r="F279" s="28"/>
      <c r="G279" s="28"/>
      <c r="H279" s="28"/>
    </row>
    <row r="280" customFormat="false" ht="14.25" hidden="false" customHeight="true" outlineLevel="0" collapsed="false">
      <c r="C280" s="28"/>
      <c r="D280" s="28"/>
      <c r="E280" s="28"/>
      <c r="F280" s="28"/>
      <c r="G280" s="28"/>
      <c r="H280" s="28"/>
    </row>
    <row r="281" customFormat="false" ht="14.25" hidden="false" customHeight="true" outlineLevel="0" collapsed="false">
      <c r="C281" s="28"/>
      <c r="D281" s="28"/>
      <c r="E281" s="28"/>
      <c r="F281" s="28"/>
      <c r="G281" s="28"/>
      <c r="H281" s="28"/>
    </row>
    <row r="282" customFormat="false" ht="14.25" hidden="false" customHeight="true" outlineLevel="0" collapsed="false">
      <c r="C282" s="28"/>
      <c r="D282" s="28"/>
      <c r="E282" s="28"/>
      <c r="F282" s="28"/>
      <c r="G282" s="28"/>
      <c r="H282" s="28"/>
    </row>
    <row r="283" customFormat="false" ht="14.25" hidden="false" customHeight="true" outlineLevel="0" collapsed="false">
      <c r="C283" s="28"/>
      <c r="D283" s="28"/>
      <c r="E283" s="28"/>
      <c r="F283" s="28"/>
      <c r="G283" s="28"/>
      <c r="H283" s="28"/>
    </row>
    <row r="284" customFormat="false" ht="14.25" hidden="false" customHeight="true" outlineLevel="0" collapsed="false">
      <c r="C284" s="28"/>
      <c r="D284" s="28"/>
      <c r="E284" s="28"/>
      <c r="F284" s="28"/>
      <c r="G284" s="28"/>
      <c r="H284" s="28"/>
    </row>
    <row r="285" customFormat="false" ht="14.25" hidden="false" customHeight="true" outlineLevel="0" collapsed="false">
      <c r="C285" s="28"/>
      <c r="D285" s="28"/>
      <c r="E285" s="28"/>
      <c r="F285" s="28"/>
      <c r="G285" s="28"/>
      <c r="H285" s="28"/>
    </row>
    <row r="286" customFormat="false" ht="14.25" hidden="false" customHeight="true" outlineLevel="0" collapsed="false">
      <c r="C286" s="28"/>
      <c r="D286" s="28"/>
      <c r="E286" s="28"/>
      <c r="F286" s="28"/>
      <c r="G286" s="28"/>
      <c r="H286" s="28"/>
    </row>
    <row r="287" customFormat="false" ht="14.25" hidden="false" customHeight="true" outlineLevel="0" collapsed="false">
      <c r="C287" s="28"/>
      <c r="D287" s="28"/>
      <c r="E287" s="28"/>
      <c r="F287" s="28"/>
      <c r="G287" s="28"/>
      <c r="H287" s="28"/>
    </row>
    <row r="288" customFormat="false" ht="14.25" hidden="false" customHeight="true" outlineLevel="0" collapsed="false">
      <c r="C288" s="28"/>
      <c r="D288" s="28"/>
      <c r="E288" s="28"/>
      <c r="F288" s="28"/>
      <c r="G288" s="28"/>
      <c r="H288" s="28"/>
    </row>
    <row r="289" customFormat="false" ht="14.25" hidden="false" customHeight="true" outlineLevel="0" collapsed="false">
      <c r="C289" s="28"/>
      <c r="D289" s="28"/>
      <c r="E289" s="28"/>
      <c r="F289" s="28"/>
      <c r="G289" s="28"/>
      <c r="H289" s="28"/>
    </row>
    <row r="290" customFormat="false" ht="14.25" hidden="false" customHeight="true" outlineLevel="0" collapsed="false">
      <c r="C290" s="28"/>
      <c r="D290" s="28"/>
      <c r="E290" s="28"/>
      <c r="F290" s="28"/>
      <c r="G290" s="28"/>
      <c r="H290" s="28"/>
    </row>
    <row r="291" customFormat="false" ht="14.25" hidden="false" customHeight="true" outlineLevel="0" collapsed="false">
      <c r="C291" s="28"/>
      <c r="D291" s="28"/>
      <c r="E291" s="28"/>
      <c r="F291" s="28"/>
      <c r="G291" s="28"/>
      <c r="H291" s="28"/>
    </row>
    <row r="292" customFormat="false" ht="14.25" hidden="false" customHeight="true" outlineLevel="0" collapsed="false">
      <c r="C292" s="28"/>
      <c r="D292" s="28"/>
      <c r="E292" s="28"/>
      <c r="F292" s="28"/>
      <c r="G292" s="28"/>
      <c r="H292" s="28"/>
    </row>
    <row r="293" customFormat="false" ht="14.25" hidden="false" customHeight="true" outlineLevel="0" collapsed="false">
      <c r="C293" s="28"/>
      <c r="D293" s="28"/>
      <c r="E293" s="28"/>
      <c r="F293" s="28"/>
      <c r="G293" s="28"/>
      <c r="H293" s="28"/>
    </row>
    <row r="294" customFormat="false" ht="14.25" hidden="false" customHeight="true" outlineLevel="0" collapsed="false">
      <c r="C294" s="28"/>
      <c r="D294" s="28"/>
      <c r="E294" s="28"/>
      <c r="F294" s="28"/>
      <c r="G294" s="28"/>
      <c r="H294" s="28"/>
    </row>
    <row r="295" customFormat="false" ht="14.25" hidden="false" customHeight="true" outlineLevel="0" collapsed="false">
      <c r="C295" s="28"/>
      <c r="D295" s="28"/>
      <c r="E295" s="28"/>
      <c r="F295" s="28"/>
      <c r="G295" s="28"/>
      <c r="H295" s="28"/>
    </row>
    <row r="296" customFormat="false" ht="14.25" hidden="false" customHeight="true" outlineLevel="0" collapsed="false">
      <c r="C296" s="28"/>
      <c r="D296" s="28"/>
      <c r="E296" s="28"/>
      <c r="F296" s="28"/>
      <c r="G296" s="28"/>
      <c r="H296" s="28"/>
    </row>
    <row r="297" customFormat="false" ht="14.25" hidden="false" customHeight="true" outlineLevel="0" collapsed="false">
      <c r="C297" s="28"/>
      <c r="D297" s="28"/>
      <c r="E297" s="28"/>
      <c r="F297" s="28"/>
      <c r="G297" s="28"/>
      <c r="H297" s="28"/>
    </row>
    <row r="298" customFormat="false" ht="14.25" hidden="false" customHeight="true" outlineLevel="0" collapsed="false">
      <c r="C298" s="28"/>
      <c r="D298" s="28"/>
      <c r="E298" s="28"/>
      <c r="F298" s="28"/>
      <c r="G298" s="28"/>
      <c r="H298" s="28"/>
    </row>
    <row r="299" customFormat="false" ht="14.25" hidden="false" customHeight="true" outlineLevel="0" collapsed="false">
      <c r="C299" s="28"/>
      <c r="D299" s="28"/>
      <c r="E299" s="28"/>
      <c r="F299" s="28"/>
      <c r="G299" s="28"/>
      <c r="H299" s="28"/>
    </row>
    <row r="300" customFormat="false" ht="14.25" hidden="false" customHeight="true" outlineLevel="0" collapsed="false">
      <c r="C300" s="28"/>
      <c r="D300" s="28"/>
      <c r="E300" s="28"/>
      <c r="F300" s="28"/>
      <c r="G300" s="28"/>
      <c r="H300" s="28"/>
    </row>
    <row r="301" customFormat="false" ht="14.25" hidden="false" customHeight="true" outlineLevel="0" collapsed="false">
      <c r="C301" s="28"/>
      <c r="D301" s="28"/>
      <c r="E301" s="28"/>
      <c r="F301" s="28"/>
      <c r="G301" s="28"/>
      <c r="H301" s="28"/>
    </row>
    <row r="302" customFormat="false" ht="14.25" hidden="false" customHeight="true" outlineLevel="0" collapsed="false">
      <c r="C302" s="28"/>
      <c r="D302" s="28"/>
      <c r="E302" s="28"/>
      <c r="F302" s="28"/>
      <c r="G302" s="28"/>
      <c r="H302" s="28"/>
    </row>
    <row r="303" customFormat="false" ht="14.25" hidden="false" customHeight="true" outlineLevel="0" collapsed="false">
      <c r="C303" s="28"/>
      <c r="D303" s="28"/>
      <c r="E303" s="28"/>
      <c r="F303" s="28"/>
      <c r="G303" s="28"/>
      <c r="H303" s="28"/>
    </row>
    <row r="304" customFormat="false" ht="14.25" hidden="false" customHeight="true" outlineLevel="0" collapsed="false">
      <c r="C304" s="28"/>
      <c r="D304" s="28"/>
      <c r="E304" s="28"/>
      <c r="F304" s="28"/>
      <c r="G304" s="28"/>
      <c r="H304" s="28"/>
    </row>
    <row r="305" customFormat="false" ht="14.25" hidden="false" customHeight="true" outlineLevel="0" collapsed="false">
      <c r="C305" s="28"/>
      <c r="D305" s="28"/>
      <c r="E305" s="28"/>
      <c r="F305" s="28"/>
      <c r="G305" s="28"/>
      <c r="H305" s="28"/>
    </row>
    <row r="306" customFormat="false" ht="14.25" hidden="false" customHeight="true" outlineLevel="0" collapsed="false">
      <c r="C306" s="28"/>
      <c r="D306" s="28"/>
      <c r="E306" s="28"/>
      <c r="F306" s="28"/>
      <c r="G306" s="28"/>
      <c r="H306" s="28"/>
    </row>
    <row r="307" customFormat="false" ht="14.25" hidden="false" customHeight="true" outlineLevel="0" collapsed="false">
      <c r="C307" s="28"/>
      <c r="D307" s="28"/>
      <c r="E307" s="28"/>
      <c r="F307" s="28"/>
      <c r="G307" s="28"/>
      <c r="H307" s="28"/>
    </row>
    <row r="308" customFormat="false" ht="14.25" hidden="false" customHeight="true" outlineLevel="0" collapsed="false">
      <c r="C308" s="28"/>
      <c r="D308" s="28"/>
      <c r="E308" s="28"/>
      <c r="F308" s="28"/>
      <c r="G308" s="28"/>
      <c r="H308" s="28"/>
    </row>
    <row r="309" customFormat="false" ht="14.25" hidden="false" customHeight="true" outlineLevel="0" collapsed="false">
      <c r="C309" s="28"/>
      <c r="D309" s="28"/>
      <c r="E309" s="28"/>
      <c r="F309" s="28"/>
      <c r="G309" s="28"/>
      <c r="H309" s="28"/>
    </row>
    <row r="310" customFormat="false" ht="14.25" hidden="false" customHeight="true" outlineLevel="0" collapsed="false">
      <c r="C310" s="28"/>
      <c r="D310" s="28"/>
      <c r="E310" s="28"/>
      <c r="F310" s="28"/>
      <c r="G310" s="28"/>
      <c r="H310" s="28"/>
    </row>
    <row r="311" customFormat="false" ht="14.25" hidden="false" customHeight="true" outlineLevel="0" collapsed="false">
      <c r="C311" s="28"/>
      <c r="D311" s="28"/>
      <c r="E311" s="28"/>
      <c r="F311" s="28"/>
      <c r="G311" s="28"/>
      <c r="H311" s="28"/>
    </row>
    <row r="312" customFormat="false" ht="14.25" hidden="false" customHeight="true" outlineLevel="0" collapsed="false">
      <c r="C312" s="28"/>
      <c r="D312" s="28"/>
      <c r="E312" s="28"/>
      <c r="F312" s="28"/>
      <c r="G312" s="28"/>
      <c r="H312" s="28"/>
    </row>
    <row r="313" customFormat="false" ht="14.25" hidden="false" customHeight="true" outlineLevel="0" collapsed="false">
      <c r="C313" s="28"/>
      <c r="D313" s="28"/>
      <c r="E313" s="28"/>
      <c r="F313" s="28"/>
      <c r="G313" s="28"/>
      <c r="H313" s="28"/>
    </row>
    <row r="314" customFormat="false" ht="14.25" hidden="false" customHeight="true" outlineLevel="0" collapsed="false">
      <c r="C314" s="28"/>
      <c r="D314" s="28"/>
      <c r="E314" s="28"/>
      <c r="F314" s="28"/>
      <c r="G314" s="28"/>
      <c r="H314" s="28"/>
    </row>
    <row r="315" customFormat="false" ht="14.25" hidden="false" customHeight="true" outlineLevel="0" collapsed="false">
      <c r="C315" s="28"/>
      <c r="D315" s="28"/>
      <c r="E315" s="28"/>
      <c r="F315" s="28"/>
      <c r="G315" s="28"/>
      <c r="H315" s="28"/>
    </row>
    <row r="316" customFormat="false" ht="14.25" hidden="false" customHeight="true" outlineLevel="0" collapsed="false">
      <c r="C316" s="28"/>
      <c r="D316" s="28"/>
      <c r="E316" s="28"/>
      <c r="F316" s="28"/>
      <c r="G316" s="28"/>
      <c r="H316" s="28"/>
    </row>
    <row r="317" customFormat="false" ht="14.25" hidden="false" customHeight="true" outlineLevel="0" collapsed="false">
      <c r="C317" s="28"/>
      <c r="D317" s="28"/>
      <c r="E317" s="28"/>
      <c r="F317" s="28"/>
      <c r="G317" s="28"/>
      <c r="H317" s="28"/>
    </row>
    <row r="318" customFormat="false" ht="14.25" hidden="false" customHeight="true" outlineLevel="0" collapsed="false">
      <c r="C318" s="28"/>
      <c r="D318" s="28"/>
      <c r="E318" s="28"/>
      <c r="F318" s="28"/>
      <c r="G318" s="28"/>
      <c r="H318" s="28"/>
    </row>
    <row r="319" customFormat="false" ht="14.25" hidden="false" customHeight="true" outlineLevel="0" collapsed="false">
      <c r="C319" s="28"/>
      <c r="D319" s="28"/>
      <c r="E319" s="28"/>
      <c r="F319" s="28"/>
      <c r="G319" s="28"/>
      <c r="H319" s="28"/>
    </row>
    <row r="320" customFormat="false" ht="14.25" hidden="false" customHeight="true" outlineLevel="0" collapsed="false">
      <c r="C320" s="28"/>
      <c r="D320" s="28"/>
      <c r="E320" s="28"/>
      <c r="F320" s="28"/>
      <c r="G320" s="28"/>
      <c r="H320" s="28"/>
    </row>
    <row r="321" customFormat="false" ht="14.25" hidden="false" customHeight="true" outlineLevel="0" collapsed="false">
      <c r="C321" s="28"/>
      <c r="D321" s="28"/>
      <c r="E321" s="28"/>
      <c r="F321" s="28"/>
      <c r="G321" s="28"/>
      <c r="H321" s="28"/>
    </row>
    <row r="322" customFormat="false" ht="14.25" hidden="false" customHeight="true" outlineLevel="0" collapsed="false">
      <c r="C322" s="28"/>
      <c r="D322" s="28"/>
      <c r="E322" s="28"/>
      <c r="F322" s="28"/>
      <c r="G322" s="28"/>
      <c r="H322" s="28"/>
    </row>
    <row r="323" customFormat="false" ht="14.25" hidden="false" customHeight="true" outlineLevel="0" collapsed="false">
      <c r="C323" s="28"/>
      <c r="D323" s="28"/>
      <c r="E323" s="28"/>
      <c r="F323" s="28"/>
      <c r="G323" s="28"/>
      <c r="H323" s="28"/>
    </row>
    <row r="324" customFormat="false" ht="14.25" hidden="false" customHeight="true" outlineLevel="0" collapsed="false">
      <c r="C324" s="28"/>
      <c r="D324" s="28"/>
      <c r="E324" s="28"/>
      <c r="F324" s="28"/>
      <c r="G324" s="28"/>
      <c r="H324" s="28"/>
    </row>
    <row r="325" customFormat="false" ht="14.25" hidden="false" customHeight="true" outlineLevel="0" collapsed="false">
      <c r="C325" s="28"/>
      <c r="D325" s="28"/>
      <c r="E325" s="28"/>
      <c r="F325" s="28"/>
      <c r="G325" s="28"/>
      <c r="H325" s="28"/>
    </row>
    <row r="326" customFormat="false" ht="14.25" hidden="false" customHeight="true" outlineLevel="0" collapsed="false">
      <c r="C326" s="28"/>
      <c r="D326" s="28"/>
      <c r="E326" s="28"/>
      <c r="F326" s="28"/>
      <c r="G326" s="28"/>
      <c r="H326" s="28"/>
    </row>
    <row r="327" customFormat="false" ht="14.25" hidden="false" customHeight="true" outlineLevel="0" collapsed="false">
      <c r="C327" s="28"/>
      <c r="D327" s="28"/>
      <c r="E327" s="28"/>
      <c r="F327" s="28"/>
      <c r="G327" s="28"/>
      <c r="H327" s="28"/>
    </row>
    <row r="328" customFormat="false" ht="14.25" hidden="false" customHeight="true" outlineLevel="0" collapsed="false">
      <c r="C328" s="28"/>
      <c r="D328" s="28"/>
      <c r="E328" s="28"/>
      <c r="F328" s="28"/>
      <c r="G328" s="28"/>
      <c r="H328" s="28"/>
    </row>
    <row r="329" customFormat="false" ht="14.25" hidden="false" customHeight="true" outlineLevel="0" collapsed="false">
      <c r="C329" s="28"/>
      <c r="D329" s="28"/>
      <c r="E329" s="28"/>
      <c r="F329" s="28"/>
      <c r="G329" s="28"/>
      <c r="H329" s="28"/>
    </row>
    <row r="330" customFormat="false" ht="14.25" hidden="false" customHeight="true" outlineLevel="0" collapsed="false">
      <c r="C330" s="28"/>
      <c r="D330" s="28"/>
      <c r="E330" s="28"/>
      <c r="F330" s="28"/>
      <c r="G330" s="28"/>
      <c r="H330" s="28"/>
    </row>
    <row r="331" customFormat="false" ht="14.25" hidden="false" customHeight="true" outlineLevel="0" collapsed="false">
      <c r="C331" s="28"/>
      <c r="D331" s="28"/>
      <c r="E331" s="28"/>
      <c r="F331" s="28"/>
      <c r="G331" s="28"/>
      <c r="H331" s="28"/>
    </row>
    <row r="332" customFormat="false" ht="14.25" hidden="false" customHeight="true" outlineLevel="0" collapsed="false">
      <c r="C332" s="28"/>
      <c r="D332" s="28"/>
      <c r="E332" s="28"/>
      <c r="F332" s="28"/>
      <c r="G332" s="28"/>
      <c r="H332" s="28"/>
    </row>
    <row r="333" customFormat="false" ht="14.25" hidden="false" customHeight="true" outlineLevel="0" collapsed="false">
      <c r="C333" s="28"/>
      <c r="D333" s="28"/>
      <c r="E333" s="28"/>
      <c r="F333" s="28"/>
      <c r="G333" s="28"/>
      <c r="H333" s="28"/>
    </row>
    <row r="334" customFormat="false" ht="14.25" hidden="false" customHeight="true" outlineLevel="0" collapsed="false">
      <c r="C334" s="28"/>
      <c r="D334" s="28"/>
      <c r="E334" s="28"/>
      <c r="F334" s="28"/>
      <c r="G334" s="28"/>
      <c r="H334" s="28"/>
    </row>
    <row r="335" customFormat="false" ht="14.25" hidden="false" customHeight="true" outlineLevel="0" collapsed="false">
      <c r="C335" s="28"/>
      <c r="D335" s="28"/>
      <c r="E335" s="28"/>
      <c r="F335" s="28"/>
      <c r="G335" s="28"/>
      <c r="H335" s="28"/>
    </row>
    <row r="336" customFormat="false" ht="14.25" hidden="false" customHeight="true" outlineLevel="0" collapsed="false">
      <c r="C336" s="28"/>
      <c r="D336" s="28"/>
      <c r="E336" s="28"/>
      <c r="F336" s="28"/>
      <c r="G336" s="28"/>
      <c r="H336" s="28"/>
    </row>
    <row r="337" customFormat="false" ht="14.25" hidden="false" customHeight="true" outlineLevel="0" collapsed="false">
      <c r="C337" s="28"/>
      <c r="D337" s="28"/>
      <c r="E337" s="28"/>
      <c r="F337" s="28"/>
      <c r="G337" s="28"/>
      <c r="H337" s="28"/>
    </row>
    <row r="338" customFormat="false" ht="14.25" hidden="false" customHeight="true" outlineLevel="0" collapsed="false">
      <c r="C338" s="28"/>
      <c r="D338" s="28"/>
      <c r="E338" s="28"/>
      <c r="F338" s="28"/>
      <c r="G338" s="28"/>
      <c r="H338" s="28"/>
    </row>
    <row r="339" customFormat="false" ht="14.25" hidden="false" customHeight="true" outlineLevel="0" collapsed="false">
      <c r="C339" s="28"/>
      <c r="D339" s="28"/>
      <c r="E339" s="28"/>
      <c r="F339" s="28"/>
      <c r="G339" s="28"/>
      <c r="H339" s="28"/>
    </row>
    <row r="340" customFormat="false" ht="14.25" hidden="false" customHeight="true" outlineLevel="0" collapsed="false">
      <c r="C340" s="28"/>
      <c r="D340" s="28"/>
      <c r="E340" s="28"/>
      <c r="F340" s="28"/>
      <c r="G340" s="28"/>
      <c r="H340" s="28"/>
    </row>
    <row r="341" customFormat="false" ht="14.25" hidden="false" customHeight="true" outlineLevel="0" collapsed="false">
      <c r="C341" s="28"/>
      <c r="D341" s="28"/>
      <c r="E341" s="28"/>
      <c r="F341" s="28"/>
      <c r="G341" s="28"/>
      <c r="H341" s="28"/>
    </row>
    <row r="342" customFormat="false" ht="14.25" hidden="false" customHeight="true" outlineLevel="0" collapsed="false">
      <c r="C342" s="28"/>
      <c r="D342" s="28"/>
      <c r="E342" s="28"/>
      <c r="F342" s="28"/>
      <c r="G342" s="28"/>
      <c r="H342" s="28"/>
    </row>
    <row r="343" customFormat="false" ht="14.25" hidden="false" customHeight="true" outlineLevel="0" collapsed="false">
      <c r="C343" s="28"/>
      <c r="D343" s="28"/>
      <c r="E343" s="28"/>
      <c r="F343" s="28"/>
      <c r="G343" s="28"/>
      <c r="H343" s="28"/>
    </row>
    <row r="344" customFormat="false" ht="14.25" hidden="false" customHeight="true" outlineLevel="0" collapsed="false">
      <c r="C344" s="28"/>
      <c r="D344" s="28"/>
      <c r="E344" s="28"/>
      <c r="F344" s="28"/>
      <c r="G344" s="28"/>
      <c r="H344" s="28"/>
    </row>
    <row r="345" customFormat="false" ht="14.25" hidden="false" customHeight="true" outlineLevel="0" collapsed="false">
      <c r="C345" s="28"/>
      <c r="D345" s="28"/>
      <c r="E345" s="28"/>
      <c r="F345" s="28"/>
      <c r="G345" s="28"/>
      <c r="H345" s="28"/>
    </row>
    <row r="346" customFormat="false" ht="14.25" hidden="false" customHeight="true" outlineLevel="0" collapsed="false">
      <c r="C346" s="28"/>
      <c r="D346" s="28"/>
      <c r="E346" s="28"/>
      <c r="F346" s="28"/>
      <c r="G346" s="28"/>
      <c r="H346" s="28"/>
    </row>
    <row r="347" customFormat="false" ht="14.25" hidden="false" customHeight="true" outlineLevel="0" collapsed="false">
      <c r="C347" s="28"/>
      <c r="D347" s="28"/>
      <c r="E347" s="28"/>
      <c r="F347" s="28"/>
      <c r="G347" s="28"/>
      <c r="H347" s="28"/>
    </row>
    <row r="348" customFormat="false" ht="14.25" hidden="false" customHeight="true" outlineLevel="0" collapsed="false">
      <c r="C348" s="28"/>
      <c r="D348" s="28"/>
      <c r="E348" s="28"/>
      <c r="F348" s="28"/>
      <c r="G348" s="28"/>
      <c r="H348" s="28"/>
    </row>
    <row r="349" customFormat="false" ht="14.25" hidden="false" customHeight="true" outlineLevel="0" collapsed="false">
      <c r="C349" s="28"/>
      <c r="D349" s="28"/>
      <c r="E349" s="28"/>
      <c r="F349" s="28"/>
      <c r="G349" s="28"/>
      <c r="H349" s="28"/>
    </row>
    <row r="350" customFormat="false" ht="14.25" hidden="false" customHeight="true" outlineLevel="0" collapsed="false">
      <c r="C350" s="28"/>
      <c r="D350" s="28"/>
      <c r="E350" s="28"/>
      <c r="F350" s="28"/>
      <c r="G350" s="28"/>
      <c r="H350" s="28"/>
    </row>
    <row r="351" customFormat="false" ht="14.25" hidden="false" customHeight="true" outlineLevel="0" collapsed="false">
      <c r="C351" s="28"/>
      <c r="D351" s="28"/>
      <c r="E351" s="28"/>
      <c r="F351" s="28"/>
      <c r="G351" s="28"/>
      <c r="H351" s="28"/>
    </row>
    <row r="352" customFormat="false" ht="14.25" hidden="false" customHeight="true" outlineLevel="0" collapsed="false">
      <c r="C352" s="28"/>
      <c r="D352" s="28"/>
      <c r="E352" s="28"/>
      <c r="F352" s="28"/>
      <c r="G352" s="28"/>
      <c r="H352" s="28"/>
    </row>
    <row r="353" customFormat="false" ht="14.25" hidden="false" customHeight="true" outlineLevel="0" collapsed="false">
      <c r="C353" s="28"/>
      <c r="D353" s="28"/>
      <c r="E353" s="28"/>
      <c r="F353" s="28"/>
      <c r="G353" s="28"/>
      <c r="H353" s="28"/>
    </row>
    <row r="354" customFormat="false" ht="14.25" hidden="false" customHeight="true" outlineLevel="0" collapsed="false">
      <c r="C354" s="28"/>
      <c r="D354" s="28"/>
      <c r="E354" s="28"/>
      <c r="F354" s="28"/>
      <c r="G354" s="28"/>
      <c r="H354" s="28"/>
    </row>
    <row r="355" customFormat="false" ht="14.25" hidden="false" customHeight="true" outlineLevel="0" collapsed="false">
      <c r="C355" s="28"/>
      <c r="D355" s="28"/>
      <c r="E355" s="28"/>
      <c r="F355" s="28"/>
      <c r="G355" s="28"/>
      <c r="H355" s="28"/>
    </row>
    <row r="356" customFormat="false" ht="14.25" hidden="false" customHeight="true" outlineLevel="0" collapsed="false">
      <c r="C356" s="28"/>
      <c r="D356" s="28"/>
      <c r="E356" s="28"/>
      <c r="F356" s="28"/>
      <c r="G356" s="28"/>
      <c r="H356" s="28"/>
    </row>
    <row r="357" customFormat="false" ht="14.25" hidden="false" customHeight="true" outlineLevel="0" collapsed="false">
      <c r="C357" s="28"/>
      <c r="D357" s="28"/>
      <c r="E357" s="28"/>
      <c r="F357" s="28"/>
      <c r="G357" s="28"/>
      <c r="H357" s="28"/>
    </row>
    <row r="358" customFormat="false" ht="14.25" hidden="false" customHeight="true" outlineLevel="0" collapsed="false">
      <c r="C358" s="28"/>
      <c r="D358" s="28"/>
      <c r="E358" s="28"/>
      <c r="F358" s="28"/>
      <c r="G358" s="28"/>
      <c r="H358" s="28"/>
    </row>
    <row r="359" customFormat="false" ht="14.25" hidden="false" customHeight="true" outlineLevel="0" collapsed="false">
      <c r="C359" s="28"/>
      <c r="D359" s="28"/>
      <c r="E359" s="28"/>
      <c r="F359" s="28"/>
      <c r="G359" s="28"/>
      <c r="H359" s="28"/>
    </row>
    <row r="360" customFormat="false" ht="14.25" hidden="false" customHeight="true" outlineLevel="0" collapsed="false">
      <c r="C360" s="28"/>
      <c r="D360" s="28"/>
      <c r="E360" s="28"/>
      <c r="F360" s="28"/>
      <c r="G360" s="28"/>
      <c r="H360" s="28"/>
    </row>
    <row r="361" customFormat="false" ht="14.25" hidden="false" customHeight="true" outlineLevel="0" collapsed="false">
      <c r="C361" s="28"/>
      <c r="D361" s="28"/>
      <c r="E361" s="28"/>
      <c r="F361" s="28"/>
      <c r="G361" s="28"/>
      <c r="H361" s="28"/>
    </row>
    <row r="362" customFormat="false" ht="14.25" hidden="false" customHeight="true" outlineLevel="0" collapsed="false">
      <c r="C362" s="28"/>
      <c r="D362" s="28"/>
      <c r="E362" s="28"/>
      <c r="F362" s="28"/>
      <c r="G362" s="28"/>
      <c r="H362" s="28"/>
    </row>
    <row r="363" customFormat="false" ht="14.25" hidden="false" customHeight="true" outlineLevel="0" collapsed="false">
      <c r="C363" s="28"/>
      <c r="D363" s="28"/>
      <c r="E363" s="28"/>
      <c r="F363" s="28"/>
      <c r="G363" s="28"/>
      <c r="H363" s="28"/>
    </row>
    <row r="364" customFormat="false" ht="14.25" hidden="false" customHeight="true" outlineLevel="0" collapsed="false">
      <c r="C364" s="28"/>
      <c r="D364" s="28"/>
      <c r="E364" s="28"/>
      <c r="F364" s="28"/>
      <c r="G364" s="28"/>
      <c r="H364" s="28"/>
    </row>
    <row r="365" customFormat="false" ht="14.25" hidden="false" customHeight="true" outlineLevel="0" collapsed="false">
      <c r="C365" s="28"/>
      <c r="D365" s="28"/>
      <c r="E365" s="28"/>
      <c r="F365" s="28"/>
      <c r="G365" s="28"/>
      <c r="H365" s="28"/>
    </row>
    <row r="366" customFormat="false" ht="14.25" hidden="false" customHeight="true" outlineLevel="0" collapsed="false">
      <c r="C366" s="28"/>
      <c r="D366" s="28"/>
      <c r="E366" s="28"/>
      <c r="F366" s="28"/>
      <c r="G366" s="28"/>
      <c r="H366" s="28"/>
    </row>
    <row r="367" customFormat="false" ht="14.25" hidden="false" customHeight="true" outlineLevel="0" collapsed="false">
      <c r="C367" s="28"/>
      <c r="D367" s="28"/>
      <c r="E367" s="28"/>
      <c r="F367" s="28"/>
      <c r="G367" s="28"/>
      <c r="H367" s="28"/>
    </row>
    <row r="368" customFormat="false" ht="14.25" hidden="false" customHeight="true" outlineLevel="0" collapsed="false">
      <c r="C368" s="28"/>
      <c r="D368" s="28"/>
      <c r="E368" s="28"/>
      <c r="F368" s="28"/>
      <c r="G368" s="28"/>
      <c r="H368" s="28"/>
    </row>
    <row r="369" customFormat="false" ht="14.25" hidden="false" customHeight="true" outlineLevel="0" collapsed="false">
      <c r="C369" s="28"/>
      <c r="D369" s="28"/>
      <c r="E369" s="28"/>
      <c r="F369" s="28"/>
      <c r="G369" s="28"/>
      <c r="H369" s="28"/>
    </row>
    <row r="370" customFormat="false" ht="14.25" hidden="false" customHeight="true" outlineLevel="0" collapsed="false">
      <c r="C370" s="28"/>
      <c r="D370" s="28"/>
      <c r="E370" s="28"/>
      <c r="F370" s="28"/>
      <c r="G370" s="28"/>
      <c r="H370" s="28"/>
    </row>
    <row r="371" customFormat="false" ht="14.25" hidden="false" customHeight="true" outlineLevel="0" collapsed="false">
      <c r="C371" s="28"/>
      <c r="D371" s="28"/>
      <c r="E371" s="28"/>
      <c r="F371" s="28"/>
      <c r="G371" s="28"/>
      <c r="H371" s="28"/>
    </row>
    <row r="372" customFormat="false" ht="14.25" hidden="false" customHeight="true" outlineLevel="0" collapsed="false">
      <c r="C372" s="28"/>
      <c r="D372" s="28"/>
      <c r="E372" s="28"/>
      <c r="F372" s="28"/>
      <c r="G372" s="28"/>
      <c r="H372" s="28"/>
    </row>
    <row r="373" customFormat="false" ht="14.25" hidden="false" customHeight="true" outlineLevel="0" collapsed="false">
      <c r="C373" s="28"/>
      <c r="D373" s="28"/>
      <c r="E373" s="28"/>
      <c r="F373" s="28"/>
      <c r="G373" s="28"/>
      <c r="H373" s="28"/>
    </row>
    <row r="374" customFormat="false" ht="14.25" hidden="false" customHeight="true" outlineLevel="0" collapsed="false">
      <c r="C374" s="28"/>
      <c r="D374" s="28"/>
      <c r="E374" s="28"/>
      <c r="F374" s="28"/>
      <c r="G374" s="28"/>
      <c r="H374" s="28"/>
    </row>
    <row r="375" customFormat="false" ht="14.25" hidden="false" customHeight="true" outlineLevel="0" collapsed="false">
      <c r="C375" s="28"/>
      <c r="D375" s="28"/>
      <c r="E375" s="28"/>
      <c r="F375" s="28"/>
      <c r="G375" s="28"/>
      <c r="H375" s="28"/>
    </row>
    <row r="376" customFormat="false" ht="14.25" hidden="false" customHeight="true" outlineLevel="0" collapsed="false">
      <c r="C376" s="28"/>
      <c r="D376" s="28"/>
      <c r="E376" s="28"/>
      <c r="F376" s="28"/>
      <c r="G376" s="28"/>
      <c r="H376" s="28"/>
    </row>
    <row r="377" customFormat="false" ht="14.25" hidden="false" customHeight="true" outlineLevel="0" collapsed="false">
      <c r="C377" s="28"/>
      <c r="D377" s="28"/>
      <c r="E377" s="28"/>
      <c r="F377" s="28"/>
      <c r="G377" s="28"/>
      <c r="H377" s="28"/>
    </row>
    <row r="378" customFormat="false" ht="14.25" hidden="false" customHeight="true" outlineLevel="0" collapsed="false">
      <c r="C378" s="28"/>
      <c r="D378" s="28"/>
      <c r="E378" s="28"/>
      <c r="F378" s="28"/>
      <c r="G378" s="28"/>
      <c r="H378" s="28"/>
    </row>
    <row r="379" customFormat="false" ht="14.25" hidden="false" customHeight="true" outlineLevel="0" collapsed="false">
      <c r="C379" s="28"/>
      <c r="D379" s="28"/>
      <c r="E379" s="28"/>
      <c r="F379" s="28"/>
      <c r="G379" s="28"/>
      <c r="H379" s="28"/>
    </row>
    <row r="380" customFormat="false" ht="14.25" hidden="false" customHeight="true" outlineLevel="0" collapsed="false">
      <c r="C380" s="28"/>
      <c r="D380" s="28"/>
      <c r="E380" s="28"/>
      <c r="F380" s="28"/>
      <c r="G380" s="28"/>
      <c r="H380" s="28"/>
    </row>
    <row r="381" customFormat="false" ht="14.25" hidden="false" customHeight="true" outlineLevel="0" collapsed="false">
      <c r="C381" s="28"/>
      <c r="D381" s="28"/>
      <c r="E381" s="28"/>
      <c r="F381" s="28"/>
      <c r="G381" s="28"/>
      <c r="H381" s="28"/>
    </row>
    <row r="382" customFormat="false" ht="14.25" hidden="false" customHeight="true" outlineLevel="0" collapsed="false">
      <c r="C382" s="28"/>
      <c r="D382" s="28"/>
      <c r="E382" s="28"/>
      <c r="F382" s="28"/>
      <c r="G382" s="28"/>
      <c r="H382" s="28"/>
    </row>
    <row r="383" customFormat="false" ht="14.25" hidden="false" customHeight="true" outlineLevel="0" collapsed="false">
      <c r="C383" s="28"/>
      <c r="D383" s="28"/>
      <c r="E383" s="28"/>
      <c r="F383" s="28"/>
      <c r="G383" s="28"/>
      <c r="H383" s="28"/>
    </row>
    <row r="384" customFormat="false" ht="14.25" hidden="false" customHeight="true" outlineLevel="0" collapsed="false">
      <c r="C384" s="28"/>
      <c r="D384" s="28"/>
      <c r="E384" s="28"/>
      <c r="F384" s="28"/>
      <c r="G384" s="28"/>
      <c r="H384" s="28"/>
    </row>
    <row r="385" customFormat="false" ht="14.25" hidden="false" customHeight="true" outlineLevel="0" collapsed="false">
      <c r="C385" s="28"/>
      <c r="D385" s="28"/>
      <c r="E385" s="28"/>
      <c r="F385" s="28"/>
      <c r="G385" s="28"/>
      <c r="H385" s="28"/>
    </row>
    <row r="386" customFormat="false" ht="14.25" hidden="false" customHeight="true" outlineLevel="0" collapsed="false">
      <c r="C386" s="28"/>
      <c r="D386" s="28"/>
      <c r="E386" s="28"/>
      <c r="F386" s="28"/>
      <c r="G386" s="28"/>
      <c r="H386" s="28"/>
    </row>
    <row r="387" customFormat="false" ht="14.25" hidden="false" customHeight="true" outlineLevel="0" collapsed="false">
      <c r="C387" s="28"/>
      <c r="D387" s="28"/>
      <c r="E387" s="28"/>
      <c r="F387" s="28"/>
      <c r="G387" s="28"/>
      <c r="H387" s="28"/>
    </row>
    <row r="388" customFormat="false" ht="14.25" hidden="false" customHeight="true" outlineLevel="0" collapsed="false">
      <c r="C388" s="28"/>
      <c r="D388" s="28"/>
      <c r="E388" s="28"/>
      <c r="F388" s="28"/>
      <c r="G388" s="28"/>
      <c r="H388" s="28"/>
    </row>
    <row r="389" customFormat="false" ht="14.25" hidden="false" customHeight="true" outlineLevel="0" collapsed="false">
      <c r="C389" s="28"/>
      <c r="D389" s="28"/>
      <c r="E389" s="28"/>
      <c r="F389" s="28"/>
      <c r="G389" s="28"/>
      <c r="H389" s="28"/>
    </row>
    <row r="390" customFormat="false" ht="14.25" hidden="false" customHeight="true" outlineLevel="0" collapsed="false">
      <c r="C390" s="28"/>
      <c r="D390" s="28"/>
      <c r="E390" s="28"/>
      <c r="F390" s="28"/>
      <c r="G390" s="28"/>
      <c r="H390" s="28"/>
    </row>
    <row r="391" customFormat="false" ht="14.25" hidden="false" customHeight="true" outlineLevel="0" collapsed="false">
      <c r="C391" s="28"/>
      <c r="D391" s="28"/>
      <c r="E391" s="28"/>
      <c r="F391" s="28"/>
      <c r="G391" s="28"/>
      <c r="H391" s="28"/>
    </row>
    <row r="392" customFormat="false" ht="14.25" hidden="false" customHeight="true" outlineLevel="0" collapsed="false">
      <c r="C392" s="28"/>
      <c r="D392" s="28"/>
      <c r="E392" s="28"/>
      <c r="F392" s="28"/>
      <c r="G392" s="28"/>
      <c r="H392" s="28"/>
    </row>
    <row r="393" customFormat="false" ht="14.25" hidden="false" customHeight="true" outlineLevel="0" collapsed="false">
      <c r="C393" s="28"/>
      <c r="D393" s="28"/>
      <c r="E393" s="28"/>
      <c r="F393" s="28"/>
      <c r="G393" s="28"/>
      <c r="H393" s="28"/>
    </row>
    <row r="394" customFormat="false" ht="14.25" hidden="false" customHeight="true" outlineLevel="0" collapsed="false">
      <c r="C394" s="28"/>
      <c r="D394" s="28"/>
      <c r="E394" s="28"/>
      <c r="F394" s="28"/>
      <c r="G394" s="28"/>
      <c r="H394" s="28"/>
    </row>
    <row r="395" customFormat="false" ht="14.25" hidden="false" customHeight="true" outlineLevel="0" collapsed="false">
      <c r="C395" s="28"/>
      <c r="D395" s="28"/>
      <c r="E395" s="28"/>
      <c r="F395" s="28"/>
      <c r="G395" s="28"/>
      <c r="H395" s="28"/>
    </row>
    <row r="396" customFormat="false" ht="14.25" hidden="false" customHeight="true" outlineLevel="0" collapsed="false">
      <c r="C396" s="28"/>
      <c r="D396" s="28"/>
      <c r="E396" s="28"/>
      <c r="F396" s="28"/>
      <c r="G396" s="28"/>
      <c r="H396" s="28"/>
    </row>
    <row r="397" customFormat="false" ht="14.25" hidden="false" customHeight="true" outlineLevel="0" collapsed="false">
      <c r="C397" s="28"/>
      <c r="D397" s="28"/>
      <c r="E397" s="28"/>
      <c r="F397" s="28"/>
      <c r="G397" s="28"/>
      <c r="H397" s="28"/>
    </row>
    <row r="398" customFormat="false" ht="14.25" hidden="false" customHeight="true" outlineLevel="0" collapsed="false">
      <c r="C398" s="28"/>
      <c r="D398" s="28"/>
      <c r="E398" s="28"/>
      <c r="F398" s="28"/>
      <c r="G398" s="28"/>
      <c r="H398" s="28"/>
    </row>
    <row r="399" customFormat="false" ht="14.25" hidden="false" customHeight="true" outlineLevel="0" collapsed="false">
      <c r="C399" s="28"/>
      <c r="D399" s="28"/>
      <c r="E399" s="28"/>
      <c r="F399" s="28"/>
      <c r="G399" s="28"/>
      <c r="H399" s="28"/>
    </row>
    <row r="400" customFormat="false" ht="14.25" hidden="false" customHeight="true" outlineLevel="0" collapsed="false">
      <c r="C400" s="28"/>
      <c r="D400" s="28"/>
      <c r="E400" s="28"/>
      <c r="F400" s="28"/>
      <c r="G400" s="28"/>
      <c r="H400" s="28"/>
    </row>
    <row r="401" customFormat="false" ht="14.25" hidden="false" customHeight="true" outlineLevel="0" collapsed="false">
      <c r="C401" s="28"/>
      <c r="D401" s="28"/>
      <c r="E401" s="28"/>
      <c r="F401" s="28"/>
      <c r="G401" s="28"/>
      <c r="H401" s="28"/>
    </row>
    <row r="402" customFormat="false" ht="14.25" hidden="false" customHeight="true" outlineLevel="0" collapsed="false">
      <c r="C402" s="28"/>
      <c r="D402" s="28"/>
      <c r="E402" s="28"/>
      <c r="F402" s="28"/>
      <c r="G402" s="28"/>
      <c r="H402" s="28"/>
    </row>
    <row r="403" customFormat="false" ht="14.25" hidden="false" customHeight="true" outlineLevel="0" collapsed="false">
      <c r="C403" s="28"/>
      <c r="D403" s="28"/>
      <c r="E403" s="28"/>
      <c r="F403" s="28"/>
      <c r="G403" s="28"/>
      <c r="H403" s="28"/>
    </row>
    <row r="404" customFormat="false" ht="14.25" hidden="false" customHeight="true" outlineLevel="0" collapsed="false">
      <c r="C404" s="28"/>
      <c r="D404" s="28"/>
      <c r="E404" s="28"/>
      <c r="F404" s="28"/>
      <c r="G404" s="28"/>
      <c r="H404" s="28"/>
    </row>
    <row r="405" customFormat="false" ht="14.25" hidden="false" customHeight="true" outlineLevel="0" collapsed="false">
      <c r="C405" s="28"/>
      <c r="D405" s="28"/>
      <c r="E405" s="28"/>
      <c r="F405" s="28"/>
      <c r="G405" s="28"/>
      <c r="H405" s="28"/>
    </row>
    <row r="406" customFormat="false" ht="14.25" hidden="false" customHeight="true" outlineLevel="0" collapsed="false">
      <c r="C406" s="28"/>
      <c r="D406" s="28"/>
      <c r="E406" s="28"/>
      <c r="F406" s="28"/>
      <c r="G406" s="28"/>
      <c r="H406" s="28"/>
    </row>
    <row r="407" customFormat="false" ht="14.25" hidden="false" customHeight="true" outlineLevel="0" collapsed="false">
      <c r="C407" s="28"/>
      <c r="D407" s="28"/>
      <c r="E407" s="28"/>
      <c r="F407" s="28"/>
      <c r="G407" s="28"/>
      <c r="H407" s="28"/>
    </row>
    <row r="408" customFormat="false" ht="14.25" hidden="false" customHeight="true" outlineLevel="0" collapsed="false">
      <c r="C408" s="28"/>
      <c r="D408" s="28"/>
      <c r="E408" s="28"/>
      <c r="F408" s="28"/>
      <c r="G408" s="28"/>
      <c r="H408" s="28"/>
    </row>
    <row r="409" customFormat="false" ht="14.25" hidden="false" customHeight="true" outlineLevel="0" collapsed="false">
      <c r="C409" s="28"/>
      <c r="D409" s="28"/>
      <c r="E409" s="28"/>
      <c r="F409" s="28"/>
      <c r="G409" s="28"/>
      <c r="H409" s="28"/>
    </row>
    <row r="410" customFormat="false" ht="14.25" hidden="false" customHeight="true" outlineLevel="0" collapsed="false">
      <c r="C410" s="28"/>
      <c r="D410" s="28"/>
      <c r="E410" s="28"/>
      <c r="F410" s="28"/>
      <c r="G410" s="28"/>
      <c r="H410" s="28"/>
    </row>
    <row r="411" customFormat="false" ht="14.25" hidden="false" customHeight="true" outlineLevel="0" collapsed="false">
      <c r="C411" s="28"/>
      <c r="D411" s="28"/>
      <c r="E411" s="28"/>
      <c r="F411" s="28"/>
      <c r="G411" s="28"/>
      <c r="H411" s="28"/>
    </row>
    <row r="412" customFormat="false" ht="14.25" hidden="false" customHeight="true" outlineLevel="0" collapsed="false">
      <c r="C412" s="28"/>
      <c r="D412" s="28"/>
      <c r="E412" s="28"/>
      <c r="F412" s="28"/>
      <c r="G412" s="28"/>
      <c r="H412" s="28"/>
    </row>
    <row r="413" customFormat="false" ht="14.25" hidden="false" customHeight="true" outlineLevel="0" collapsed="false">
      <c r="C413" s="28"/>
      <c r="D413" s="28"/>
      <c r="E413" s="28"/>
      <c r="F413" s="28"/>
      <c r="G413" s="28"/>
      <c r="H413" s="28"/>
    </row>
    <row r="414" customFormat="false" ht="14.25" hidden="false" customHeight="true" outlineLevel="0" collapsed="false">
      <c r="C414" s="28"/>
      <c r="D414" s="28"/>
      <c r="E414" s="28"/>
      <c r="F414" s="28"/>
      <c r="G414" s="28"/>
      <c r="H414" s="28"/>
    </row>
    <row r="415" customFormat="false" ht="14.25" hidden="false" customHeight="true" outlineLevel="0" collapsed="false">
      <c r="C415" s="28"/>
      <c r="D415" s="28"/>
      <c r="E415" s="28"/>
      <c r="F415" s="28"/>
      <c r="G415" s="28"/>
      <c r="H415" s="28"/>
    </row>
    <row r="416" customFormat="false" ht="14.25" hidden="false" customHeight="true" outlineLevel="0" collapsed="false">
      <c r="C416" s="28"/>
      <c r="D416" s="28"/>
      <c r="E416" s="28"/>
      <c r="F416" s="28"/>
      <c r="G416" s="28"/>
      <c r="H416" s="28"/>
    </row>
    <row r="417" customFormat="false" ht="14.25" hidden="false" customHeight="true" outlineLevel="0" collapsed="false">
      <c r="C417" s="28"/>
      <c r="D417" s="28"/>
      <c r="E417" s="28"/>
      <c r="F417" s="28"/>
      <c r="G417" s="28"/>
      <c r="H417" s="28"/>
    </row>
    <row r="418" customFormat="false" ht="14.25" hidden="false" customHeight="true" outlineLevel="0" collapsed="false">
      <c r="C418" s="28"/>
      <c r="D418" s="28"/>
      <c r="E418" s="28"/>
      <c r="F418" s="28"/>
      <c r="G418" s="28"/>
      <c r="H418" s="28"/>
    </row>
    <row r="419" customFormat="false" ht="14.25" hidden="false" customHeight="true" outlineLevel="0" collapsed="false">
      <c r="C419" s="28"/>
      <c r="D419" s="28"/>
      <c r="E419" s="28"/>
      <c r="F419" s="28"/>
      <c r="G419" s="28"/>
      <c r="H419" s="28"/>
    </row>
    <row r="420" customFormat="false" ht="14.25" hidden="false" customHeight="true" outlineLevel="0" collapsed="false">
      <c r="C420" s="28"/>
      <c r="D420" s="28"/>
      <c r="E420" s="28"/>
      <c r="F420" s="28"/>
      <c r="G420" s="28"/>
      <c r="H420" s="28"/>
    </row>
    <row r="421" customFormat="false" ht="14.25" hidden="false" customHeight="true" outlineLevel="0" collapsed="false">
      <c r="C421" s="28"/>
      <c r="D421" s="28"/>
      <c r="E421" s="28"/>
      <c r="F421" s="28"/>
      <c r="G421" s="28"/>
      <c r="H421" s="28"/>
    </row>
    <row r="422" customFormat="false" ht="14.25" hidden="false" customHeight="true" outlineLevel="0" collapsed="false">
      <c r="C422" s="28"/>
      <c r="D422" s="28"/>
      <c r="E422" s="28"/>
      <c r="F422" s="28"/>
      <c r="G422" s="28"/>
      <c r="H422" s="28"/>
    </row>
    <row r="423" customFormat="false" ht="14.25" hidden="false" customHeight="true" outlineLevel="0" collapsed="false">
      <c r="C423" s="28"/>
      <c r="D423" s="28"/>
      <c r="E423" s="28"/>
      <c r="F423" s="28"/>
      <c r="G423" s="28"/>
      <c r="H423" s="28"/>
    </row>
    <row r="424" customFormat="false" ht="14.25" hidden="false" customHeight="true" outlineLevel="0" collapsed="false">
      <c r="C424" s="28"/>
      <c r="D424" s="28"/>
      <c r="E424" s="28"/>
      <c r="F424" s="28"/>
      <c r="G424" s="28"/>
      <c r="H424" s="28"/>
    </row>
    <row r="425" customFormat="false" ht="14.25" hidden="false" customHeight="true" outlineLevel="0" collapsed="false">
      <c r="C425" s="28"/>
      <c r="D425" s="28"/>
      <c r="E425" s="28"/>
      <c r="F425" s="28"/>
      <c r="G425" s="28"/>
      <c r="H425" s="28"/>
    </row>
    <row r="426" customFormat="false" ht="14.25" hidden="false" customHeight="true" outlineLevel="0" collapsed="false">
      <c r="C426" s="28"/>
      <c r="D426" s="28"/>
      <c r="E426" s="28"/>
      <c r="F426" s="28"/>
      <c r="G426" s="28"/>
      <c r="H426" s="28"/>
    </row>
    <row r="427" customFormat="false" ht="14.25" hidden="false" customHeight="true" outlineLevel="0" collapsed="false">
      <c r="C427" s="28"/>
      <c r="D427" s="28"/>
      <c r="E427" s="28"/>
      <c r="F427" s="28"/>
      <c r="G427" s="28"/>
      <c r="H427" s="28"/>
    </row>
    <row r="428" customFormat="false" ht="14.25" hidden="false" customHeight="true" outlineLevel="0" collapsed="false">
      <c r="C428" s="28"/>
      <c r="D428" s="28"/>
      <c r="E428" s="28"/>
      <c r="F428" s="28"/>
      <c r="G428" s="28"/>
      <c r="H428" s="28"/>
    </row>
    <row r="429" customFormat="false" ht="14.25" hidden="false" customHeight="true" outlineLevel="0" collapsed="false">
      <c r="C429" s="28"/>
      <c r="D429" s="28"/>
      <c r="E429" s="28"/>
      <c r="F429" s="28"/>
      <c r="G429" s="28"/>
      <c r="H429" s="28"/>
    </row>
    <row r="430" customFormat="false" ht="14.25" hidden="false" customHeight="true" outlineLevel="0" collapsed="false">
      <c r="C430" s="28"/>
      <c r="D430" s="28"/>
      <c r="E430" s="28"/>
      <c r="F430" s="28"/>
      <c r="G430" s="28"/>
      <c r="H430" s="28"/>
    </row>
    <row r="431" customFormat="false" ht="14.25" hidden="false" customHeight="true" outlineLevel="0" collapsed="false">
      <c r="C431" s="28"/>
      <c r="D431" s="28"/>
      <c r="E431" s="28"/>
      <c r="F431" s="28"/>
      <c r="G431" s="28"/>
      <c r="H431" s="28"/>
    </row>
    <row r="432" customFormat="false" ht="14.25" hidden="false" customHeight="true" outlineLevel="0" collapsed="false">
      <c r="C432" s="28"/>
      <c r="D432" s="28"/>
      <c r="E432" s="28"/>
      <c r="F432" s="28"/>
      <c r="G432" s="28"/>
      <c r="H432" s="28"/>
    </row>
    <row r="433" customFormat="false" ht="14.25" hidden="false" customHeight="true" outlineLevel="0" collapsed="false">
      <c r="C433" s="28"/>
      <c r="D433" s="28"/>
      <c r="E433" s="28"/>
      <c r="F433" s="28"/>
      <c r="G433" s="28"/>
      <c r="H433" s="28"/>
    </row>
    <row r="434" customFormat="false" ht="14.25" hidden="false" customHeight="true" outlineLevel="0" collapsed="false">
      <c r="C434" s="28"/>
      <c r="D434" s="28"/>
      <c r="E434" s="28"/>
      <c r="F434" s="28"/>
      <c r="G434" s="28"/>
      <c r="H434" s="28"/>
    </row>
    <row r="435" customFormat="false" ht="14.25" hidden="false" customHeight="true" outlineLevel="0" collapsed="false">
      <c r="C435" s="28"/>
      <c r="D435" s="28"/>
      <c r="E435" s="28"/>
      <c r="F435" s="28"/>
      <c r="G435" s="28"/>
      <c r="H435" s="28"/>
    </row>
    <row r="436" customFormat="false" ht="14.25" hidden="false" customHeight="true" outlineLevel="0" collapsed="false">
      <c r="C436" s="28"/>
      <c r="D436" s="28"/>
      <c r="E436" s="28"/>
      <c r="F436" s="28"/>
      <c r="G436" s="28"/>
      <c r="H436" s="28"/>
    </row>
    <row r="437" customFormat="false" ht="14.25" hidden="false" customHeight="true" outlineLevel="0" collapsed="false">
      <c r="C437" s="28"/>
      <c r="D437" s="28"/>
      <c r="E437" s="28"/>
      <c r="F437" s="28"/>
      <c r="G437" s="28"/>
      <c r="H437" s="28"/>
    </row>
    <row r="438" customFormat="false" ht="14.25" hidden="false" customHeight="true" outlineLevel="0" collapsed="false">
      <c r="C438" s="28"/>
      <c r="D438" s="28"/>
      <c r="E438" s="28"/>
      <c r="F438" s="28"/>
      <c r="G438" s="28"/>
      <c r="H438" s="28"/>
    </row>
    <row r="439" customFormat="false" ht="14.25" hidden="false" customHeight="true" outlineLevel="0" collapsed="false">
      <c r="C439" s="28"/>
      <c r="D439" s="28"/>
      <c r="E439" s="28"/>
      <c r="F439" s="28"/>
      <c r="G439" s="28"/>
      <c r="H439" s="28"/>
    </row>
    <row r="440" customFormat="false" ht="14.25" hidden="false" customHeight="true" outlineLevel="0" collapsed="false">
      <c r="C440" s="28"/>
      <c r="D440" s="28"/>
      <c r="E440" s="28"/>
      <c r="F440" s="28"/>
      <c r="G440" s="28"/>
      <c r="H440" s="28"/>
    </row>
    <row r="441" customFormat="false" ht="14.25" hidden="false" customHeight="true" outlineLevel="0" collapsed="false">
      <c r="C441" s="28"/>
      <c r="D441" s="28"/>
      <c r="E441" s="28"/>
      <c r="F441" s="28"/>
      <c r="G441" s="28"/>
      <c r="H441" s="28"/>
    </row>
    <row r="442" customFormat="false" ht="14.25" hidden="false" customHeight="true" outlineLevel="0" collapsed="false">
      <c r="C442" s="28"/>
      <c r="D442" s="28"/>
      <c r="E442" s="28"/>
      <c r="F442" s="28"/>
      <c r="G442" s="28"/>
      <c r="H442" s="28"/>
    </row>
    <row r="443" customFormat="false" ht="14.25" hidden="false" customHeight="true" outlineLevel="0" collapsed="false">
      <c r="C443" s="28"/>
      <c r="D443" s="28"/>
      <c r="E443" s="28"/>
      <c r="F443" s="28"/>
      <c r="G443" s="28"/>
      <c r="H443" s="28"/>
    </row>
    <row r="444" customFormat="false" ht="14.25" hidden="false" customHeight="true" outlineLevel="0" collapsed="false">
      <c r="C444" s="28"/>
      <c r="D444" s="28"/>
      <c r="E444" s="28"/>
      <c r="F444" s="28"/>
      <c r="G444" s="28"/>
      <c r="H444" s="28"/>
    </row>
    <row r="445" customFormat="false" ht="14.25" hidden="false" customHeight="true" outlineLevel="0" collapsed="false">
      <c r="C445" s="28"/>
      <c r="D445" s="28"/>
      <c r="E445" s="28"/>
      <c r="F445" s="28"/>
      <c r="G445" s="28"/>
      <c r="H445" s="28"/>
    </row>
    <row r="446" customFormat="false" ht="14.25" hidden="false" customHeight="true" outlineLevel="0" collapsed="false">
      <c r="C446" s="28"/>
      <c r="D446" s="28"/>
      <c r="E446" s="28"/>
      <c r="F446" s="28"/>
      <c r="G446" s="28"/>
      <c r="H446" s="28"/>
    </row>
    <row r="447" customFormat="false" ht="14.25" hidden="false" customHeight="true" outlineLevel="0" collapsed="false">
      <c r="C447" s="28"/>
      <c r="D447" s="28"/>
      <c r="E447" s="28"/>
      <c r="F447" s="28"/>
      <c r="G447" s="28"/>
      <c r="H447" s="28"/>
    </row>
    <row r="448" customFormat="false" ht="14.25" hidden="false" customHeight="true" outlineLevel="0" collapsed="false">
      <c r="C448" s="28"/>
      <c r="D448" s="28"/>
      <c r="E448" s="28"/>
      <c r="F448" s="28"/>
      <c r="G448" s="28"/>
      <c r="H448" s="28"/>
    </row>
    <row r="449" customFormat="false" ht="14.25" hidden="false" customHeight="true" outlineLevel="0" collapsed="false">
      <c r="C449" s="28"/>
      <c r="D449" s="28"/>
      <c r="E449" s="28"/>
      <c r="F449" s="28"/>
      <c r="G449" s="28"/>
      <c r="H449" s="28"/>
    </row>
    <row r="450" customFormat="false" ht="14.25" hidden="false" customHeight="true" outlineLevel="0" collapsed="false">
      <c r="C450" s="28"/>
      <c r="D450" s="28"/>
      <c r="E450" s="28"/>
      <c r="F450" s="28"/>
      <c r="G450" s="28"/>
      <c r="H450" s="28"/>
    </row>
    <row r="451" customFormat="false" ht="14.25" hidden="false" customHeight="true" outlineLevel="0" collapsed="false">
      <c r="C451" s="28"/>
      <c r="D451" s="28"/>
      <c r="E451" s="28"/>
      <c r="F451" s="28"/>
      <c r="G451" s="28"/>
      <c r="H451" s="28"/>
    </row>
    <row r="452" customFormat="false" ht="14.25" hidden="false" customHeight="true" outlineLevel="0" collapsed="false">
      <c r="C452" s="28"/>
      <c r="D452" s="28"/>
      <c r="E452" s="28"/>
      <c r="F452" s="28"/>
      <c r="G452" s="28"/>
      <c r="H452" s="28"/>
    </row>
    <row r="453" customFormat="false" ht="14.25" hidden="false" customHeight="true" outlineLevel="0" collapsed="false">
      <c r="C453" s="28"/>
      <c r="D453" s="28"/>
      <c r="E453" s="28"/>
      <c r="F453" s="28"/>
      <c r="G453" s="28"/>
      <c r="H453" s="28"/>
    </row>
    <row r="454" customFormat="false" ht="14.25" hidden="false" customHeight="true" outlineLevel="0" collapsed="false">
      <c r="C454" s="28"/>
      <c r="D454" s="28"/>
      <c r="E454" s="28"/>
      <c r="F454" s="28"/>
      <c r="G454" s="28"/>
      <c r="H454" s="28"/>
    </row>
    <row r="455" customFormat="false" ht="14.25" hidden="false" customHeight="true" outlineLevel="0" collapsed="false">
      <c r="C455" s="28"/>
      <c r="D455" s="28"/>
      <c r="E455" s="28"/>
      <c r="F455" s="28"/>
      <c r="G455" s="28"/>
      <c r="H455" s="28"/>
    </row>
    <row r="456" customFormat="false" ht="14.25" hidden="false" customHeight="true" outlineLevel="0" collapsed="false">
      <c r="C456" s="28"/>
      <c r="D456" s="28"/>
      <c r="E456" s="28"/>
      <c r="F456" s="28"/>
      <c r="G456" s="28"/>
      <c r="H456" s="28"/>
    </row>
    <row r="457" customFormat="false" ht="14.25" hidden="false" customHeight="true" outlineLevel="0" collapsed="false">
      <c r="C457" s="28"/>
      <c r="D457" s="28"/>
      <c r="E457" s="28"/>
      <c r="F457" s="28"/>
      <c r="G457" s="28"/>
      <c r="H457" s="28"/>
    </row>
    <row r="458" customFormat="false" ht="14.25" hidden="false" customHeight="true" outlineLevel="0" collapsed="false">
      <c r="C458" s="28"/>
      <c r="D458" s="28"/>
      <c r="E458" s="28"/>
      <c r="F458" s="28"/>
      <c r="G458" s="28"/>
      <c r="H458" s="28"/>
    </row>
    <row r="459" customFormat="false" ht="14.25" hidden="false" customHeight="true" outlineLevel="0" collapsed="false">
      <c r="C459" s="28"/>
      <c r="D459" s="28"/>
      <c r="E459" s="28"/>
      <c r="F459" s="28"/>
      <c r="G459" s="28"/>
      <c r="H459" s="28"/>
    </row>
    <row r="460" customFormat="false" ht="14.25" hidden="false" customHeight="true" outlineLevel="0" collapsed="false">
      <c r="C460" s="28"/>
      <c r="D460" s="28"/>
      <c r="E460" s="28"/>
      <c r="F460" s="28"/>
      <c r="G460" s="28"/>
      <c r="H460" s="28"/>
    </row>
    <row r="461" customFormat="false" ht="14.25" hidden="false" customHeight="true" outlineLevel="0" collapsed="false">
      <c r="C461" s="28"/>
      <c r="D461" s="28"/>
      <c r="E461" s="28"/>
      <c r="F461" s="28"/>
      <c r="G461" s="28"/>
      <c r="H461" s="28"/>
    </row>
    <row r="462" customFormat="false" ht="14.25" hidden="false" customHeight="true" outlineLevel="0" collapsed="false">
      <c r="C462" s="28"/>
      <c r="D462" s="28"/>
      <c r="E462" s="28"/>
      <c r="F462" s="28"/>
      <c r="G462" s="28"/>
      <c r="H462" s="28"/>
    </row>
    <row r="463" customFormat="false" ht="14.25" hidden="false" customHeight="true" outlineLevel="0" collapsed="false">
      <c r="C463" s="28"/>
      <c r="D463" s="28"/>
      <c r="E463" s="28"/>
      <c r="F463" s="28"/>
      <c r="G463" s="28"/>
      <c r="H463" s="28"/>
    </row>
    <row r="464" customFormat="false" ht="14.25" hidden="false" customHeight="true" outlineLevel="0" collapsed="false">
      <c r="C464" s="28"/>
      <c r="D464" s="28"/>
      <c r="E464" s="28"/>
      <c r="F464" s="28"/>
      <c r="G464" s="28"/>
      <c r="H464" s="28"/>
    </row>
    <row r="465" customFormat="false" ht="14.25" hidden="false" customHeight="true" outlineLevel="0" collapsed="false">
      <c r="C465" s="28"/>
      <c r="D465" s="28"/>
      <c r="E465" s="28"/>
      <c r="F465" s="28"/>
      <c r="G465" s="28"/>
      <c r="H465" s="28"/>
    </row>
    <row r="466" customFormat="false" ht="14.25" hidden="false" customHeight="true" outlineLevel="0" collapsed="false">
      <c r="C466" s="28"/>
      <c r="D466" s="28"/>
      <c r="E466" s="28"/>
      <c r="F466" s="28"/>
      <c r="G466" s="28"/>
      <c r="H466" s="28"/>
    </row>
    <row r="467" customFormat="false" ht="14.25" hidden="false" customHeight="true" outlineLevel="0" collapsed="false">
      <c r="C467" s="28"/>
      <c r="D467" s="28"/>
      <c r="E467" s="28"/>
      <c r="F467" s="28"/>
      <c r="G467" s="28"/>
      <c r="H467" s="28"/>
    </row>
    <row r="468" customFormat="false" ht="14.25" hidden="false" customHeight="true" outlineLevel="0" collapsed="false">
      <c r="C468" s="28"/>
      <c r="D468" s="28"/>
      <c r="E468" s="28"/>
      <c r="F468" s="28"/>
      <c r="G468" s="28"/>
      <c r="H468" s="28"/>
    </row>
    <row r="469" customFormat="false" ht="14.25" hidden="false" customHeight="true" outlineLevel="0" collapsed="false">
      <c r="C469" s="28"/>
      <c r="D469" s="28"/>
      <c r="E469" s="28"/>
      <c r="F469" s="28"/>
      <c r="G469" s="28"/>
      <c r="H469" s="28"/>
    </row>
    <row r="470" customFormat="false" ht="14.25" hidden="false" customHeight="true" outlineLevel="0" collapsed="false">
      <c r="C470" s="28"/>
      <c r="D470" s="28"/>
      <c r="E470" s="28"/>
      <c r="F470" s="28"/>
      <c r="G470" s="28"/>
      <c r="H470" s="28"/>
    </row>
    <row r="471" customFormat="false" ht="14.25" hidden="false" customHeight="true" outlineLevel="0" collapsed="false">
      <c r="C471" s="28"/>
      <c r="D471" s="28"/>
      <c r="E471" s="28"/>
      <c r="F471" s="28"/>
      <c r="G471" s="28"/>
      <c r="H471" s="28"/>
    </row>
    <row r="472" customFormat="false" ht="14.25" hidden="false" customHeight="true" outlineLevel="0" collapsed="false">
      <c r="C472" s="28"/>
      <c r="D472" s="28"/>
      <c r="E472" s="28"/>
      <c r="F472" s="28"/>
      <c r="G472" s="28"/>
      <c r="H472" s="28"/>
    </row>
    <row r="473" customFormat="false" ht="14.25" hidden="false" customHeight="true" outlineLevel="0" collapsed="false">
      <c r="C473" s="28"/>
      <c r="D473" s="28"/>
      <c r="E473" s="28"/>
      <c r="F473" s="28"/>
      <c r="G473" s="28"/>
      <c r="H473" s="28"/>
    </row>
    <row r="474" customFormat="false" ht="14.25" hidden="false" customHeight="true" outlineLevel="0" collapsed="false">
      <c r="C474" s="28"/>
      <c r="D474" s="28"/>
      <c r="E474" s="28"/>
      <c r="F474" s="28"/>
      <c r="G474" s="28"/>
      <c r="H474" s="28"/>
    </row>
    <row r="475" customFormat="false" ht="14.25" hidden="false" customHeight="true" outlineLevel="0" collapsed="false">
      <c r="C475" s="28"/>
      <c r="D475" s="28"/>
      <c r="E475" s="28"/>
      <c r="F475" s="28"/>
      <c r="G475" s="28"/>
      <c r="H475" s="28"/>
    </row>
    <row r="476" customFormat="false" ht="14.25" hidden="false" customHeight="true" outlineLevel="0" collapsed="false">
      <c r="C476" s="28"/>
      <c r="D476" s="28"/>
      <c r="E476" s="28"/>
      <c r="F476" s="28"/>
      <c r="G476" s="28"/>
      <c r="H476" s="28"/>
    </row>
    <row r="477" customFormat="false" ht="14.25" hidden="false" customHeight="true" outlineLevel="0" collapsed="false">
      <c r="C477" s="28"/>
      <c r="D477" s="28"/>
      <c r="E477" s="28"/>
      <c r="F477" s="28"/>
      <c r="G477" s="28"/>
      <c r="H477" s="28"/>
    </row>
    <row r="478" customFormat="false" ht="14.25" hidden="false" customHeight="true" outlineLevel="0" collapsed="false">
      <c r="C478" s="28"/>
      <c r="D478" s="28"/>
      <c r="E478" s="28"/>
      <c r="F478" s="28"/>
      <c r="G478" s="28"/>
      <c r="H478" s="28"/>
    </row>
    <row r="479" customFormat="false" ht="14.25" hidden="false" customHeight="true" outlineLevel="0" collapsed="false">
      <c r="C479" s="28"/>
      <c r="D479" s="28"/>
      <c r="E479" s="28"/>
      <c r="F479" s="28"/>
      <c r="G479" s="28"/>
      <c r="H479" s="28"/>
    </row>
    <row r="480" customFormat="false" ht="14.25" hidden="false" customHeight="true" outlineLevel="0" collapsed="false">
      <c r="C480" s="28"/>
      <c r="D480" s="28"/>
      <c r="E480" s="28"/>
      <c r="F480" s="28"/>
      <c r="G480" s="28"/>
      <c r="H480" s="28"/>
    </row>
    <row r="481" customFormat="false" ht="14.25" hidden="false" customHeight="true" outlineLevel="0" collapsed="false">
      <c r="C481" s="28"/>
      <c r="D481" s="28"/>
      <c r="E481" s="28"/>
      <c r="F481" s="28"/>
      <c r="G481" s="28"/>
      <c r="H481" s="28"/>
    </row>
    <row r="482" customFormat="false" ht="14.25" hidden="false" customHeight="true" outlineLevel="0" collapsed="false">
      <c r="C482" s="28"/>
      <c r="D482" s="28"/>
      <c r="E482" s="28"/>
      <c r="F482" s="28"/>
      <c r="G482" s="28"/>
      <c r="H482" s="28"/>
    </row>
    <row r="483" customFormat="false" ht="14.25" hidden="false" customHeight="true" outlineLevel="0" collapsed="false">
      <c r="C483" s="28"/>
      <c r="D483" s="28"/>
      <c r="E483" s="28"/>
      <c r="F483" s="28"/>
      <c r="G483" s="28"/>
      <c r="H483" s="28"/>
    </row>
    <row r="484" customFormat="false" ht="14.25" hidden="false" customHeight="true" outlineLevel="0" collapsed="false">
      <c r="C484" s="28"/>
      <c r="D484" s="28"/>
      <c r="E484" s="28"/>
      <c r="F484" s="28"/>
      <c r="G484" s="28"/>
      <c r="H484" s="28"/>
    </row>
    <row r="485" customFormat="false" ht="14.25" hidden="false" customHeight="true" outlineLevel="0" collapsed="false">
      <c r="C485" s="28"/>
      <c r="D485" s="28"/>
      <c r="E485" s="28"/>
      <c r="F485" s="28"/>
      <c r="G485" s="28"/>
      <c r="H485" s="28"/>
    </row>
    <row r="486" customFormat="false" ht="14.25" hidden="false" customHeight="true" outlineLevel="0" collapsed="false">
      <c r="C486" s="28"/>
      <c r="D486" s="28"/>
      <c r="E486" s="28"/>
      <c r="F486" s="28"/>
      <c r="G486" s="28"/>
      <c r="H486" s="28"/>
    </row>
    <row r="487" customFormat="false" ht="14.25" hidden="false" customHeight="true" outlineLevel="0" collapsed="false">
      <c r="C487" s="28"/>
      <c r="D487" s="28"/>
      <c r="E487" s="28"/>
      <c r="F487" s="28"/>
      <c r="G487" s="28"/>
      <c r="H487" s="28"/>
    </row>
    <row r="488" customFormat="false" ht="14.25" hidden="false" customHeight="true" outlineLevel="0" collapsed="false">
      <c r="C488" s="28"/>
      <c r="D488" s="28"/>
      <c r="E488" s="28"/>
      <c r="F488" s="28"/>
      <c r="G488" s="28"/>
      <c r="H488" s="28"/>
    </row>
    <row r="489" customFormat="false" ht="14.25" hidden="false" customHeight="true" outlineLevel="0" collapsed="false">
      <c r="C489" s="28"/>
      <c r="D489" s="28"/>
      <c r="E489" s="28"/>
      <c r="F489" s="28"/>
      <c r="G489" s="28"/>
      <c r="H489" s="28"/>
    </row>
    <row r="490" customFormat="false" ht="14.25" hidden="false" customHeight="true" outlineLevel="0" collapsed="false">
      <c r="C490" s="28"/>
      <c r="D490" s="28"/>
      <c r="E490" s="28"/>
      <c r="F490" s="28"/>
      <c r="G490" s="28"/>
      <c r="H490" s="28"/>
    </row>
    <row r="491" customFormat="false" ht="14.25" hidden="false" customHeight="true" outlineLevel="0" collapsed="false">
      <c r="C491" s="28"/>
      <c r="D491" s="28"/>
      <c r="E491" s="28"/>
      <c r="F491" s="28"/>
      <c r="G491" s="28"/>
      <c r="H491" s="28"/>
    </row>
    <row r="492" customFormat="false" ht="14.25" hidden="false" customHeight="true" outlineLevel="0" collapsed="false">
      <c r="C492" s="28"/>
      <c r="D492" s="28"/>
      <c r="E492" s="28"/>
      <c r="F492" s="28"/>
      <c r="G492" s="28"/>
      <c r="H492" s="28"/>
    </row>
    <row r="493" customFormat="false" ht="14.25" hidden="false" customHeight="true" outlineLevel="0" collapsed="false">
      <c r="C493" s="28"/>
      <c r="D493" s="28"/>
      <c r="E493" s="28"/>
      <c r="F493" s="28"/>
      <c r="G493" s="28"/>
      <c r="H493" s="28"/>
    </row>
    <row r="494" customFormat="false" ht="14.25" hidden="false" customHeight="true" outlineLevel="0" collapsed="false">
      <c r="C494" s="28"/>
      <c r="D494" s="28"/>
      <c r="E494" s="28"/>
      <c r="F494" s="28"/>
      <c r="G494" s="28"/>
      <c r="H494" s="28"/>
    </row>
    <row r="495" customFormat="false" ht="14.25" hidden="false" customHeight="true" outlineLevel="0" collapsed="false">
      <c r="C495" s="28"/>
      <c r="D495" s="28"/>
      <c r="E495" s="28"/>
      <c r="F495" s="28"/>
      <c r="G495" s="28"/>
      <c r="H495" s="28"/>
    </row>
    <row r="496" customFormat="false" ht="14.25" hidden="false" customHeight="true" outlineLevel="0" collapsed="false">
      <c r="C496" s="28"/>
      <c r="D496" s="28"/>
      <c r="E496" s="28"/>
      <c r="F496" s="28"/>
      <c r="G496" s="28"/>
      <c r="H496" s="28"/>
    </row>
    <row r="497" customFormat="false" ht="14.25" hidden="false" customHeight="true" outlineLevel="0" collapsed="false">
      <c r="C497" s="28"/>
      <c r="D497" s="28"/>
      <c r="E497" s="28"/>
      <c r="F497" s="28"/>
      <c r="G497" s="28"/>
      <c r="H497" s="28"/>
    </row>
    <row r="498" customFormat="false" ht="14.25" hidden="false" customHeight="true" outlineLevel="0" collapsed="false">
      <c r="C498" s="28"/>
      <c r="D498" s="28"/>
      <c r="E498" s="28"/>
      <c r="F498" s="28"/>
      <c r="G498" s="28"/>
      <c r="H498" s="28"/>
    </row>
    <row r="499" customFormat="false" ht="14.25" hidden="false" customHeight="true" outlineLevel="0" collapsed="false">
      <c r="C499" s="28"/>
      <c r="D499" s="28"/>
      <c r="E499" s="28"/>
      <c r="F499" s="28"/>
      <c r="G499" s="28"/>
      <c r="H499" s="28"/>
    </row>
    <row r="500" customFormat="false" ht="14.25" hidden="false" customHeight="true" outlineLevel="0" collapsed="false">
      <c r="C500" s="28"/>
      <c r="D500" s="28"/>
      <c r="E500" s="28"/>
      <c r="F500" s="28"/>
      <c r="G500" s="28"/>
      <c r="H500" s="28"/>
    </row>
    <row r="501" customFormat="false" ht="14.25" hidden="false" customHeight="true" outlineLevel="0" collapsed="false">
      <c r="C501" s="28"/>
      <c r="D501" s="28"/>
      <c r="E501" s="28"/>
      <c r="F501" s="28"/>
      <c r="G501" s="28"/>
      <c r="H501" s="28"/>
    </row>
    <row r="502" customFormat="false" ht="14.25" hidden="false" customHeight="true" outlineLevel="0" collapsed="false">
      <c r="C502" s="28"/>
      <c r="D502" s="28"/>
      <c r="E502" s="28"/>
      <c r="F502" s="28"/>
      <c r="G502" s="28"/>
      <c r="H502" s="28"/>
    </row>
    <row r="503" customFormat="false" ht="14.25" hidden="false" customHeight="true" outlineLevel="0" collapsed="false">
      <c r="C503" s="28"/>
      <c r="D503" s="28"/>
      <c r="E503" s="28"/>
      <c r="F503" s="28"/>
      <c r="G503" s="28"/>
      <c r="H503" s="28"/>
    </row>
    <row r="504" customFormat="false" ht="14.25" hidden="false" customHeight="true" outlineLevel="0" collapsed="false">
      <c r="C504" s="28"/>
      <c r="D504" s="28"/>
      <c r="E504" s="28"/>
      <c r="F504" s="28"/>
      <c r="G504" s="28"/>
      <c r="H504" s="28"/>
    </row>
    <row r="505" customFormat="false" ht="14.25" hidden="false" customHeight="true" outlineLevel="0" collapsed="false">
      <c r="C505" s="28"/>
      <c r="D505" s="28"/>
      <c r="E505" s="28"/>
      <c r="F505" s="28"/>
      <c r="G505" s="28"/>
      <c r="H505" s="28"/>
    </row>
    <row r="506" customFormat="false" ht="14.25" hidden="false" customHeight="true" outlineLevel="0" collapsed="false">
      <c r="C506" s="28"/>
      <c r="D506" s="28"/>
      <c r="E506" s="28"/>
      <c r="F506" s="28"/>
      <c r="G506" s="28"/>
      <c r="H506" s="28"/>
    </row>
    <row r="507" customFormat="false" ht="14.25" hidden="false" customHeight="true" outlineLevel="0" collapsed="false">
      <c r="C507" s="28"/>
      <c r="D507" s="28"/>
      <c r="E507" s="28"/>
      <c r="F507" s="28"/>
      <c r="G507" s="28"/>
      <c r="H507" s="28"/>
    </row>
    <row r="508" customFormat="false" ht="14.25" hidden="false" customHeight="true" outlineLevel="0" collapsed="false">
      <c r="C508" s="28"/>
      <c r="D508" s="28"/>
      <c r="E508" s="28"/>
      <c r="F508" s="28"/>
      <c r="G508" s="28"/>
      <c r="H508" s="28"/>
    </row>
    <row r="509" customFormat="false" ht="14.25" hidden="false" customHeight="true" outlineLevel="0" collapsed="false">
      <c r="C509" s="28"/>
      <c r="D509" s="28"/>
      <c r="E509" s="28"/>
      <c r="F509" s="28"/>
      <c r="G509" s="28"/>
      <c r="H509" s="28"/>
    </row>
    <row r="510" customFormat="false" ht="14.25" hidden="false" customHeight="true" outlineLevel="0" collapsed="false">
      <c r="C510" s="28"/>
      <c r="D510" s="28"/>
      <c r="E510" s="28"/>
      <c r="F510" s="28"/>
      <c r="G510" s="28"/>
      <c r="H510" s="28"/>
    </row>
    <row r="511" customFormat="false" ht="14.25" hidden="false" customHeight="true" outlineLevel="0" collapsed="false">
      <c r="C511" s="28"/>
      <c r="D511" s="28"/>
      <c r="E511" s="28"/>
      <c r="F511" s="28"/>
      <c r="G511" s="28"/>
      <c r="H511" s="28"/>
    </row>
    <row r="512" customFormat="false" ht="14.25" hidden="false" customHeight="true" outlineLevel="0" collapsed="false">
      <c r="C512" s="28"/>
      <c r="D512" s="28"/>
      <c r="E512" s="28"/>
      <c r="F512" s="28"/>
      <c r="G512" s="28"/>
      <c r="H512" s="28"/>
    </row>
    <row r="513" customFormat="false" ht="14.25" hidden="false" customHeight="true" outlineLevel="0" collapsed="false">
      <c r="C513" s="28"/>
      <c r="D513" s="28"/>
      <c r="E513" s="28"/>
      <c r="F513" s="28"/>
      <c r="G513" s="28"/>
      <c r="H513" s="28"/>
    </row>
    <row r="514" customFormat="false" ht="14.25" hidden="false" customHeight="true" outlineLevel="0" collapsed="false">
      <c r="C514" s="28"/>
      <c r="D514" s="28"/>
      <c r="E514" s="28"/>
      <c r="F514" s="28"/>
      <c r="G514" s="28"/>
      <c r="H514" s="28"/>
    </row>
    <row r="515" customFormat="false" ht="14.25" hidden="false" customHeight="true" outlineLevel="0" collapsed="false">
      <c r="C515" s="28"/>
      <c r="D515" s="28"/>
      <c r="E515" s="28"/>
      <c r="F515" s="28"/>
      <c r="G515" s="28"/>
      <c r="H515" s="28"/>
    </row>
    <row r="516" customFormat="false" ht="14.25" hidden="false" customHeight="true" outlineLevel="0" collapsed="false">
      <c r="C516" s="28"/>
      <c r="D516" s="28"/>
      <c r="E516" s="28"/>
      <c r="F516" s="28"/>
      <c r="G516" s="28"/>
      <c r="H516" s="28"/>
    </row>
    <row r="517" customFormat="false" ht="14.25" hidden="false" customHeight="true" outlineLevel="0" collapsed="false">
      <c r="C517" s="28"/>
      <c r="D517" s="28"/>
      <c r="E517" s="28"/>
      <c r="F517" s="28"/>
      <c r="G517" s="28"/>
      <c r="H517" s="28"/>
    </row>
    <row r="518" customFormat="false" ht="14.25" hidden="false" customHeight="true" outlineLevel="0" collapsed="false">
      <c r="C518" s="28"/>
      <c r="D518" s="28"/>
      <c r="E518" s="28"/>
      <c r="F518" s="28"/>
      <c r="G518" s="28"/>
      <c r="H518" s="28"/>
    </row>
    <row r="519" customFormat="false" ht="14.25" hidden="false" customHeight="true" outlineLevel="0" collapsed="false">
      <c r="C519" s="28"/>
      <c r="D519" s="28"/>
      <c r="E519" s="28"/>
      <c r="F519" s="28"/>
      <c r="G519" s="28"/>
      <c r="H519" s="28"/>
    </row>
    <row r="520" customFormat="false" ht="14.25" hidden="false" customHeight="true" outlineLevel="0" collapsed="false">
      <c r="C520" s="28"/>
      <c r="D520" s="28"/>
      <c r="E520" s="28"/>
      <c r="F520" s="28"/>
      <c r="G520" s="28"/>
      <c r="H520" s="28"/>
    </row>
    <row r="521" customFormat="false" ht="14.25" hidden="false" customHeight="true" outlineLevel="0" collapsed="false">
      <c r="C521" s="28"/>
      <c r="D521" s="28"/>
      <c r="E521" s="28"/>
      <c r="F521" s="28"/>
      <c r="G521" s="28"/>
      <c r="H521" s="28"/>
    </row>
    <row r="522" customFormat="false" ht="14.25" hidden="false" customHeight="true" outlineLevel="0" collapsed="false">
      <c r="C522" s="28"/>
      <c r="D522" s="28"/>
      <c r="E522" s="28"/>
      <c r="F522" s="28"/>
      <c r="G522" s="28"/>
      <c r="H522" s="28"/>
    </row>
    <row r="523" customFormat="false" ht="14.25" hidden="false" customHeight="true" outlineLevel="0" collapsed="false">
      <c r="C523" s="28"/>
      <c r="D523" s="28"/>
      <c r="E523" s="28"/>
      <c r="F523" s="28"/>
      <c r="G523" s="28"/>
      <c r="H523" s="28"/>
    </row>
    <row r="524" customFormat="false" ht="14.25" hidden="false" customHeight="true" outlineLevel="0" collapsed="false">
      <c r="C524" s="28"/>
      <c r="D524" s="28"/>
      <c r="E524" s="28"/>
      <c r="F524" s="28"/>
      <c r="G524" s="28"/>
      <c r="H524" s="28"/>
    </row>
    <row r="525" customFormat="false" ht="14.25" hidden="false" customHeight="true" outlineLevel="0" collapsed="false">
      <c r="C525" s="28"/>
      <c r="D525" s="28"/>
      <c r="E525" s="28"/>
      <c r="F525" s="28"/>
      <c r="G525" s="28"/>
      <c r="H525" s="28"/>
    </row>
    <row r="526" customFormat="false" ht="14.25" hidden="false" customHeight="true" outlineLevel="0" collapsed="false">
      <c r="C526" s="28"/>
      <c r="D526" s="28"/>
      <c r="E526" s="28"/>
      <c r="F526" s="28"/>
      <c r="G526" s="28"/>
      <c r="H526" s="28"/>
    </row>
    <row r="527" customFormat="false" ht="14.25" hidden="false" customHeight="true" outlineLevel="0" collapsed="false">
      <c r="C527" s="28"/>
      <c r="D527" s="28"/>
      <c r="E527" s="28"/>
      <c r="F527" s="28"/>
      <c r="G527" s="28"/>
      <c r="H527" s="28"/>
    </row>
    <row r="528" customFormat="false" ht="14.25" hidden="false" customHeight="true" outlineLevel="0" collapsed="false">
      <c r="C528" s="28"/>
      <c r="D528" s="28"/>
      <c r="E528" s="28"/>
      <c r="F528" s="28"/>
      <c r="G528" s="28"/>
      <c r="H528" s="28"/>
    </row>
    <row r="529" customFormat="false" ht="14.25" hidden="false" customHeight="true" outlineLevel="0" collapsed="false">
      <c r="C529" s="28"/>
      <c r="D529" s="28"/>
      <c r="E529" s="28"/>
      <c r="F529" s="28"/>
      <c r="G529" s="28"/>
      <c r="H529" s="28"/>
    </row>
    <row r="530" customFormat="false" ht="14.25" hidden="false" customHeight="true" outlineLevel="0" collapsed="false">
      <c r="C530" s="28"/>
      <c r="D530" s="28"/>
      <c r="E530" s="28"/>
      <c r="F530" s="28"/>
      <c r="G530" s="28"/>
      <c r="H530" s="28"/>
    </row>
    <row r="531" customFormat="false" ht="14.25" hidden="false" customHeight="true" outlineLevel="0" collapsed="false">
      <c r="C531" s="28"/>
      <c r="D531" s="28"/>
      <c r="E531" s="28"/>
      <c r="F531" s="28"/>
      <c r="G531" s="28"/>
      <c r="H531" s="28"/>
    </row>
    <row r="532" customFormat="false" ht="14.25" hidden="false" customHeight="true" outlineLevel="0" collapsed="false">
      <c r="C532" s="28"/>
      <c r="D532" s="28"/>
      <c r="E532" s="28"/>
      <c r="F532" s="28"/>
      <c r="G532" s="28"/>
      <c r="H532" s="28"/>
    </row>
    <row r="533" customFormat="false" ht="14.25" hidden="false" customHeight="true" outlineLevel="0" collapsed="false">
      <c r="C533" s="28"/>
      <c r="D533" s="28"/>
      <c r="E533" s="28"/>
      <c r="F533" s="28"/>
      <c r="G533" s="28"/>
      <c r="H533" s="28"/>
    </row>
    <row r="534" customFormat="false" ht="14.25" hidden="false" customHeight="true" outlineLevel="0" collapsed="false">
      <c r="C534" s="28"/>
      <c r="D534" s="28"/>
      <c r="E534" s="28"/>
      <c r="F534" s="28"/>
      <c r="G534" s="28"/>
      <c r="H534" s="28"/>
    </row>
    <row r="535" customFormat="false" ht="14.25" hidden="false" customHeight="true" outlineLevel="0" collapsed="false">
      <c r="C535" s="28"/>
      <c r="D535" s="28"/>
      <c r="E535" s="28"/>
      <c r="F535" s="28"/>
      <c r="G535" s="28"/>
      <c r="H535" s="28"/>
    </row>
    <row r="536" customFormat="false" ht="14.25" hidden="false" customHeight="true" outlineLevel="0" collapsed="false">
      <c r="C536" s="28"/>
      <c r="D536" s="28"/>
      <c r="E536" s="28"/>
      <c r="F536" s="28"/>
      <c r="G536" s="28"/>
      <c r="H536" s="28"/>
    </row>
    <row r="537" customFormat="false" ht="14.25" hidden="false" customHeight="true" outlineLevel="0" collapsed="false">
      <c r="C537" s="28"/>
      <c r="D537" s="28"/>
      <c r="E537" s="28"/>
      <c r="F537" s="28"/>
      <c r="G537" s="28"/>
      <c r="H537" s="28"/>
    </row>
    <row r="538" customFormat="false" ht="14.25" hidden="false" customHeight="true" outlineLevel="0" collapsed="false">
      <c r="C538" s="28"/>
      <c r="D538" s="28"/>
      <c r="E538" s="28"/>
      <c r="F538" s="28"/>
      <c r="G538" s="28"/>
      <c r="H538" s="28"/>
    </row>
    <row r="539" customFormat="false" ht="14.25" hidden="false" customHeight="true" outlineLevel="0" collapsed="false">
      <c r="C539" s="28"/>
      <c r="D539" s="28"/>
      <c r="E539" s="28"/>
      <c r="F539" s="28"/>
      <c r="G539" s="28"/>
      <c r="H539" s="28"/>
    </row>
    <row r="540" customFormat="false" ht="14.25" hidden="false" customHeight="true" outlineLevel="0" collapsed="false">
      <c r="C540" s="28"/>
      <c r="D540" s="28"/>
      <c r="E540" s="28"/>
      <c r="F540" s="28"/>
      <c r="G540" s="28"/>
      <c r="H540" s="28"/>
    </row>
    <row r="541" customFormat="false" ht="14.25" hidden="false" customHeight="true" outlineLevel="0" collapsed="false">
      <c r="C541" s="28"/>
      <c r="D541" s="28"/>
      <c r="E541" s="28"/>
      <c r="F541" s="28"/>
      <c r="G541" s="28"/>
      <c r="H541" s="28"/>
    </row>
    <row r="542" customFormat="false" ht="14.25" hidden="false" customHeight="true" outlineLevel="0" collapsed="false">
      <c r="C542" s="28"/>
      <c r="D542" s="28"/>
      <c r="E542" s="28"/>
      <c r="F542" s="28"/>
      <c r="G542" s="28"/>
      <c r="H542" s="28"/>
    </row>
    <row r="543" customFormat="false" ht="14.25" hidden="false" customHeight="true" outlineLevel="0" collapsed="false">
      <c r="C543" s="28"/>
      <c r="D543" s="28"/>
      <c r="E543" s="28"/>
      <c r="F543" s="28"/>
      <c r="G543" s="28"/>
      <c r="H543" s="28"/>
    </row>
    <row r="544" customFormat="false" ht="14.25" hidden="false" customHeight="true" outlineLevel="0" collapsed="false">
      <c r="C544" s="28"/>
      <c r="D544" s="28"/>
      <c r="E544" s="28"/>
      <c r="F544" s="28"/>
      <c r="G544" s="28"/>
      <c r="H544" s="28"/>
    </row>
    <row r="545" customFormat="false" ht="14.25" hidden="false" customHeight="true" outlineLevel="0" collapsed="false">
      <c r="C545" s="28"/>
      <c r="D545" s="28"/>
      <c r="E545" s="28"/>
      <c r="F545" s="28"/>
      <c r="G545" s="28"/>
      <c r="H545" s="28"/>
    </row>
    <row r="546" customFormat="false" ht="14.25" hidden="false" customHeight="true" outlineLevel="0" collapsed="false">
      <c r="C546" s="28"/>
      <c r="D546" s="28"/>
      <c r="E546" s="28"/>
      <c r="F546" s="28"/>
      <c r="G546" s="28"/>
      <c r="H546" s="28"/>
    </row>
    <row r="547" customFormat="false" ht="14.25" hidden="false" customHeight="true" outlineLevel="0" collapsed="false">
      <c r="C547" s="28"/>
      <c r="D547" s="28"/>
      <c r="E547" s="28"/>
      <c r="F547" s="28"/>
      <c r="G547" s="28"/>
      <c r="H547" s="28"/>
    </row>
    <row r="548" customFormat="false" ht="14.25" hidden="false" customHeight="true" outlineLevel="0" collapsed="false">
      <c r="C548" s="28"/>
      <c r="D548" s="28"/>
      <c r="E548" s="28"/>
      <c r="F548" s="28"/>
      <c r="G548" s="28"/>
      <c r="H548" s="28"/>
    </row>
    <row r="549" customFormat="false" ht="14.25" hidden="false" customHeight="true" outlineLevel="0" collapsed="false">
      <c r="C549" s="28"/>
      <c r="D549" s="28"/>
      <c r="E549" s="28"/>
      <c r="F549" s="28"/>
      <c r="G549" s="28"/>
      <c r="H549" s="28"/>
    </row>
    <row r="550" customFormat="false" ht="14.25" hidden="false" customHeight="true" outlineLevel="0" collapsed="false">
      <c r="C550" s="28"/>
      <c r="D550" s="28"/>
      <c r="E550" s="28"/>
      <c r="F550" s="28"/>
      <c r="G550" s="28"/>
      <c r="H550" s="28"/>
    </row>
    <row r="551" customFormat="false" ht="14.25" hidden="false" customHeight="true" outlineLevel="0" collapsed="false">
      <c r="C551" s="28"/>
      <c r="D551" s="28"/>
      <c r="E551" s="28"/>
      <c r="F551" s="28"/>
      <c r="G551" s="28"/>
      <c r="H551" s="28"/>
    </row>
    <row r="552" customFormat="false" ht="14.25" hidden="false" customHeight="true" outlineLevel="0" collapsed="false">
      <c r="C552" s="28"/>
      <c r="D552" s="28"/>
      <c r="E552" s="28"/>
      <c r="F552" s="28"/>
      <c r="G552" s="28"/>
      <c r="H552" s="28"/>
    </row>
    <row r="553" customFormat="false" ht="14.25" hidden="false" customHeight="true" outlineLevel="0" collapsed="false">
      <c r="C553" s="28"/>
      <c r="D553" s="28"/>
      <c r="E553" s="28"/>
      <c r="F553" s="28"/>
      <c r="G553" s="28"/>
      <c r="H553" s="28"/>
    </row>
    <row r="554" customFormat="false" ht="14.25" hidden="false" customHeight="true" outlineLevel="0" collapsed="false">
      <c r="C554" s="28"/>
      <c r="D554" s="28"/>
      <c r="E554" s="28"/>
      <c r="F554" s="28"/>
      <c r="G554" s="28"/>
      <c r="H554" s="28"/>
    </row>
    <row r="555" customFormat="false" ht="14.25" hidden="false" customHeight="true" outlineLevel="0" collapsed="false">
      <c r="C555" s="28"/>
      <c r="D555" s="28"/>
      <c r="E555" s="28"/>
      <c r="F555" s="28"/>
      <c r="G555" s="28"/>
      <c r="H555" s="28"/>
    </row>
    <row r="556" customFormat="false" ht="14.25" hidden="false" customHeight="true" outlineLevel="0" collapsed="false">
      <c r="C556" s="28"/>
      <c r="D556" s="28"/>
      <c r="E556" s="28"/>
      <c r="F556" s="28"/>
      <c r="G556" s="28"/>
      <c r="H556" s="28"/>
    </row>
    <row r="557" customFormat="false" ht="14.25" hidden="false" customHeight="true" outlineLevel="0" collapsed="false">
      <c r="C557" s="28"/>
      <c r="D557" s="28"/>
      <c r="E557" s="28"/>
      <c r="F557" s="28"/>
      <c r="G557" s="28"/>
      <c r="H557" s="28"/>
    </row>
    <row r="558" customFormat="false" ht="14.25" hidden="false" customHeight="true" outlineLevel="0" collapsed="false">
      <c r="C558" s="28"/>
      <c r="D558" s="28"/>
      <c r="E558" s="28"/>
      <c r="F558" s="28"/>
      <c r="G558" s="28"/>
      <c r="H558" s="28"/>
    </row>
    <row r="559" customFormat="false" ht="14.25" hidden="false" customHeight="true" outlineLevel="0" collapsed="false">
      <c r="C559" s="28"/>
      <c r="D559" s="28"/>
      <c r="E559" s="28"/>
      <c r="F559" s="28"/>
      <c r="G559" s="28"/>
      <c r="H559" s="28"/>
    </row>
    <row r="560" customFormat="false" ht="14.25" hidden="false" customHeight="true" outlineLevel="0" collapsed="false">
      <c r="C560" s="28"/>
      <c r="D560" s="28"/>
      <c r="E560" s="28"/>
      <c r="F560" s="28"/>
      <c r="G560" s="28"/>
      <c r="H560" s="28"/>
    </row>
    <row r="561" customFormat="false" ht="14.25" hidden="false" customHeight="true" outlineLevel="0" collapsed="false">
      <c r="C561" s="28"/>
      <c r="D561" s="28"/>
      <c r="E561" s="28"/>
      <c r="F561" s="28"/>
      <c r="G561" s="28"/>
      <c r="H561" s="28"/>
    </row>
    <row r="562" customFormat="false" ht="14.25" hidden="false" customHeight="true" outlineLevel="0" collapsed="false">
      <c r="C562" s="28"/>
      <c r="D562" s="28"/>
      <c r="E562" s="28"/>
      <c r="F562" s="28"/>
      <c r="G562" s="28"/>
      <c r="H562" s="28"/>
    </row>
    <row r="563" customFormat="false" ht="14.25" hidden="false" customHeight="true" outlineLevel="0" collapsed="false">
      <c r="C563" s="28"/>
      <c r="D563" s="28"/>
      <c r="E563" s="28"/>
      <c r="F563" s="28"/>
      <c r="G563" s="28"/>
      <c r="H563" s="28"/>
    </row>
    <row r="564" customFormat="false" ht="14.25" hidden="false" customHeight="true" outlineLevel="0" collapsed="false">
      <c r="C564" s="28"/>
      <c r="D564" s="28"/>
      <c r="E564" s="28"/>
      <c r="F564" s="28"/>
      <c r="G564" s="28"/>
      <c r="H564" s="28"/>
    </row>
    <row r="565" customFormat="false" ht="14.25" hidden="false" customHeight="true" outlineLevel="0" collapsed="false">
      <c r="C565" s="28"/>
      <c r="D565" s="28"/>
      <c r="E565" s="28"/>
      <c r="F565" s="28"/>
      <c r="G565" s="28"/>
      <c r="H565" s="28"/>
    </row>
    <row r="566" customFormat="false" ht="14.25" hidden="false" customHeight="true" outlineLevel="0" collapsed="false">
      <c r="C566" s="28"/>
      <c r="D566" s="28"/>
      <c r="E566" s="28"/>
      <c r="F566" s="28"/>
      <c r="G566" s="28"/>
      <c r="H566" s="28"/>
    </row>
    <row r="567" customFormat="false" ht="14.25" hidden="false" customHeight="true" outlineLevel="0" collapsed="false">
      <c r="C567" s="28"/>
      <c r="D567" s="28"/>
      <c r="E567" s="28"/>
      <c r="F567" s="28"/>
      <c r="G567" s="28"/>
      <c r="H567" s="28"/>
    </row>
    <row r="568" customFormat="false" ht="14.25" hidden="false" customHeight="true" outlineLevel="0" collapsed="false">
      <c r="C568" s="28"/>
      <c r="D568" s="28"/>
      <c r="E568" s="28"/>
      <c r="F568" s="28"/>
      <c r="G568" s="28"/>
      <c r="H568" s="28"/>
    </row>
    <row r="569" customFormat="false" ht="14.25" hidden="false" customHeight="true" outlineLevel="0" collapsed="false">
      <c r="C569" s="28"/>
      <c r="D569" s="28"/>
      <c r="E569" s="28"/>
      <c r="F569" s="28"/>
      <c r="G569" s="28"/>
      <c r="H569" s="28"/>
    </row>
    <row r="570" customFormat="false" ht="14.25" hidden="false" customHeight="true" outlineLevel="0" collapsed="false">
      <c r="C570" s="28"/>
      <c r="D570" s="28"/>
      <c r="E570" s="28"/>
      <c r="F570" s="28"/>
      <c r="G570" s="28"/>
      <c r="H570" s="28"/>
    </row>
    <row r="571" customFormat="false" ht="14.25" hidden="false" customHeight="true" outlineLevel="0" collapsed="false">
      <c r="C571" s="28"/>
      <c r="D571" s="28"/>
      <c r="E571" s="28"/>
      <c r="F571" s="28"/>
      <c r="G571" s="28"/>
      <c r="H571" s="28"/>
    </row>
    <row r="572" customFormat="false" ht="14.25" hidden="false" customHeight="true" outlineLevel="0" collapsed="false">
      <c r="C572" s="28"/>
      <c r="D572" s="28"/>
      <c r="E572" s="28"/>
      <c r="F572" s="28"/>
      <c r="G572" s="28"/>
      <c r="H572" s="28"/>
    </row>
    <row r="573" customFormat="false" ht="14.25" hidden="false" customHeight="true" outlineLevel="0" collapsed="false">
      <c r="C573" s="28"/>
      <c r="D573" s="28"/>
      <c r="E573" s="28"/>
      <c r="F573" s="28"/>
      <c r="G573" s="28"/>
      <c r="H573" s="28"/>
    </row>
    <row r="574" customFormat="false" ht="14.25" hidden="false" customHeight="true" outlineLevel="0" collapsed="false">
      <c r="C574" s="28"/>
      <c r="D574" s="28"/>
      <c r="E574" s="28"/>
      <c r="F574" s="28"/>
      <c r="G574" s="28"/>
      <c r="H574" s="28"/>
    </row>
    <row r="575" customFormat="false" ht="14.25" hidden="false" customHeight="true" outlineLevel="0" collapsed="false">
      <c r="C575" s="28"/>
      <c r="D575" s="28"/>
      <c r="E575" s="28"/>
      <c r="F575" s="28"/>
      <c r="G575" s="28"/>
      <c r="H575" s="28"/>
    </row>
    <row r="576" customFormat="false" ht="14.25" hidden="false" customHeight="true" outlineLevel="0" collapsed="false">
      <c r="C576" s="28"/>
      <c r="D576" s="28"/>
      <c r="E576" s="28"/>
      <c r="F576" s="28"/>
      <c r="G576" s="28"/>
      <c r="H576" s="28"/>
    </row>
    <row r="577" customFormat="false" ht="14.25" hidden="false" customHeight="true" outlineLevel="0" collapsed="false">
      <c r="C577" s="28"/>
      <c r="D577" s="28"/>
      <c r="E577" s="28"/>
      <c r="F577" s="28"/>
      <c r="G577" s="28"/>
      <c r="H577" s="28"/>
    </row>
    <row r="578" customFormat="false" ht="14.25" hidden="false" customHeight="true" outlineLevel="0" collapsed="false">
      <c r="C578" s="28"/>
      <c r="D578" s="28"/>
      <c r="E578" s="28"/>
      <c r="F578" s="28"/>
      <c r="G578" s="28"/>
      <c r="H578" s="28"/>
    </row>
    <row r="579" customFormat="false" ht="14.25" hidden="false" customHeight="true" outlineLevel="0" collapsed="false">
      <c r="C579" s="28"/>
      <c r="D579" s="28"/>
      <c r="E579" s="28"/>
      <c r="F579" s="28"/>
      <c r="G579" s="28"/>
      <c r="H579" s="28"/>
    </row>
    <row r="580" customFormat="false" ht="14.25" hidden="false" customHeight="true" outlineLevel="0" collapsed="false">
      <c r="C580" s="28"/>
      <c r="D580" s="28"/>
      <c r="E580" s="28"/>
      <c r="F580" s="28"/>
      <c r="G580" s="28"/>
      <c r="H580" s="28"/>
    </row>
    <row r="581" customFormat="false" ht="14.25" hidden="false" customHeight="true" outlineLevel="0" collapsed="false">
      <c r="C581" s="28"/>
      <c r="D581" s="28"/>
      <c r="E581" s="28"/>
      <c r="F581" s="28"/>
      <c r="G581" s="28"/>
      <c r="H581" s="28"/>
    </row>
    <row r="582" customFormat="false" ht="14.25" hidden="false" customHeight="true" outlineLevel="0" collapsed="false">
      <c r="C582" s="28"/>
      <c r="D582" s="28"/>
      <c r="E582" s="28"/>
      <c r="F582" s="28"/>
      <c r="G582" s="28"/>
      <c r="H582" s="28"/>
    </row>
    <row r="583" customFormat="false" ht="14.25" hidden="false" customHeight="true" outlineLevel="0" collapsed="false">
      <c r="C583" s="28"/>
      <c r="D583" s="28"/>
      <c r="E583" s="28"/>
      <c r="F583" s="28"/>
      <c r="G583" s="28"/>
      <c r="H583" s="28"/>
    </row>
    <row r="584" customFormat="false" ht="14.25" hidden="false" customHeight="true" outlineLevel="0" collapsed="false">
      <c r="C584" s="28"/>
      <c r="D584" s="28"/>
      <c r="E584" s="28"/>
      <c r="F584" s="28"/>
      <c r="G584" s="28"/>
      <c r="H584" s="28"/>
    </row>
    <row r="585" customFormat="false" ht="14.25" hidden="false" customHeight="true" outlineLevel="0" collapsed="false">
      <c r="C585" s="28"/>
      <c r="D585" s="28"/>
      <c r="E585" s="28"/>
      <c r="F585" s="28"/>
      <c r="G585" s="28"/>
      <c r="H585" s="28"/>
    </row>
    <row r="586" customFormat="false" ht="14.25" hidden="false" customHeight="true" outlineLevel="0" collapsed="false">
      <c r="C586" s="28"/>
      <c r="D586" s="28"/>
      <c r="E586" s="28"/>
      <c r="F586" s="28"/>
      <c r="G586" s="28"/>
      <c r="H586" s="28"/>
    </row>
    <row r="587" customFormat="false" ht="14.25" hidden="false" customHeight="true" outlineLevel="0" collapsed="false">
      <c r="C587" s="28"/>
      <c r="D587" s="28"/>
      <c r="E587" s="28"/>
      <c r="F587" s="28"/>
      <c r="G587" s="28"/>
      <c r="H587" s="28"/>
    </row>
    <row r="588" customFormat="false" ht="14.25" hidden="false" customHeight="true" outlineLevel="0" collapsed="false">
      <c r="C588" s="28"/>
      <c r="D588" s="28"/>
      <c r="E588" s="28"/>
      <c r="F588" s="28"/>
      <c r="G588" s="28"/>
      <c r="H588" s="28"/>
    </row>
    <row r="589" customFormat="false" ht="14.25" hidden="false" customHeight="true" outlineLevel="0" collapsed="false">
      <c r="C589" s="28"/>
      <c r="D589" s="28"/>
      <c r="E589" s="28"/>
      <c r="F589" s="28"/>
      <c r="G589" s="28"/>
      <c r="H589" s="28"/>
    </row>
    <row r="590" customFormat="false" ht="14.25" hidden="false" customHeight="true" outlineLevel="0" collapsed="false">
      <c r="C590" s="28"/>
      <c r="D590" s="28"/>
      <c r="E590" s="28"/>
      <c r="F590" s="28"/>
      <c r="G590" s="28"/>
      <c r="H590" s="28"/>
    </row>
    <row r="591" customFormat="false" ht="14.25" hidden="false" customHeight="true" outlineLevel="0" collapsed="false">
      <c r="C591" s="28"/>
      <c r="D591" s="28"/>
      <c r="E591" s="28"/>
      <c r="F591" s="28"/>
      <c r="G591" s="28"/>
      <c r="H591" s="28"/>
    </row>
    <row r="592" customFormat="false" ht="14.25" hidden="false" customHeight="true" outlineLevel="0" collapsed="false">
      <c r="C592" s="28"/>
      <c r="D592" s="28"/>
      <c r="E592" s="28"/>
      <c r="F592" s="28"/>
      <c r="G592" s="28"/>
      <c r="H592" s="28"/>
    </row>
    <row r="593" customFormat="false" ht="14.25" hidden="false" customHeight="true" outlineLevel="0" collapsed="false">
      <c r="C593" s="28"/>
      <c r="D593" s="28"/>
      <c r="E593" s="28"/>
      <c r="F593" s="28"/>
      <c r="G593" s="28"/>
      <c r="H593" s="28"/>
    </row>
    <row r="594" customFormat="false" ht="14.25" hidden="false" customHeight="true" outlineLevel="0" collapsed="false">
      <c r="C594" s="28"/>
      <c r="D594" s="28"/>
      <c r="E594" s="28"/>
      <c r="F594" s="28"/>
      <c r="G594" s="28"/>
      <c r="H594" s="28"/>
    </row>
    <row r="595" customFormat="false" ht="14.25" hidden="false" customHeight="true" outlineLevel="0" collapsed="false">
      <c r="C595" s="28"/>
      <c r="D595" s="28"/>
      <c r="E595" s="28"/>
      <c r="F595" s="28"/>
      <c r="G595" s="28"/>
      <c r="H595" s="28"/>
    </row>
    <row r="596" customFormat="false" ht="14.25" hidden="false" customHeight="true" outlineLevel="0" collapsed="false">
      <c r="C596" s="28"/>
      <c r="D596" s="28"/>
      <c r="E596" s="28"/>
      <c r="F596" s="28"/>
      <c r="G596" s="28"/>
      <c r="H596" s="28"/>
    </row>
    <row r="597" customFormat="false" ht="14.25" hidden="false" customHeight="true" outlineLevel="0" collapsed="false">
      <c r="C597" s="28"/>
      <c r="D597" s="28"/>
      <c r="E597" s="28"/>
      <c r="F597" s="28"/>
      <c r="G597" s="28"/>
      <c r="H597" s="28"/>
    </row>
    <row r="598" customFormat="false" ht="14.25" hidden="false" customHeight="true" outlineLevel="0" collapsed="false">
      <c r="C598" s="28"/>
      <c r="D598" s="28"/>
      <c r="E598" s="28"/>
      <c r="F598" s="28"/>
      <c r="G598" s="28"/>
      <c r="H598" s="28"/>
    </row>
    <row r="599" customFormat="false" ht="14.25" hidden="false" customHeight="true" outlineLevel="0" collapsed="false">
      <c r="C599" s="28"/>
      <c r="D599" s="28"/>
      <c r="E599" s="28"/>
      <c r="F599" s="28"/>
      <c r="G599" s="28"/>
      <c r="H599" s="28"/>
    </row>
    <row r="600" customFormat="false" ht="14.25" hidden="false" customHeight="true" outlineLevel="0" collapsed="false">
      <c r="C600" s="28"/>
      <c r="D600" s="28"/>
      <c r="E600" s="28"/>
      <c r="F600" s="28"/>
      <c r="G600" s="28"/>
      <c r="H600" s="28"/>
    </row>
    <row r="601" customFormat="false" ht="14.25" hidden="false" customHeight="true" outlineLevel="0" collapsed="false">
      <c r="C601" s="28"/>
      <c r="D601" s="28"/>
      <c r="E601" s="28"/>
      <c r="F601" s="28"/>
      <c r="G601" s="28"/>
      <c r="H601" s="28"/>
    </row>
    <row r="602" customFormat="false" ht="14.25" hidden="false" customHeight="true" outlineLevel="0" collapsed="false">
      <c r="C602" s="28"/>
      <c r="D602" s="28"/>
      <c r="E602" s="28"/>
      <c r="F602" s="28"/>
      <c r="G602" s="28"/>
      <c r="H602" s="28"/>
    </row>
    <row r="603" customFormat="false" ht="14.25" hidden="false" customHeight="true" outlineLevel="0" collapsed="false">
      <c r="C603" s="28"/>
      <c r="D603" s="28"/>
      <c r="E603" s="28"/>
      <c r="F603" s="28"/>
      <c r="G603" s="28"/>
      <c r="H603" s="28"/>
    </row>
    <row r="604" customFormat="false" ht="14.25" hidden="false" customHeight="true" outlineLevel="0" collapsed="false">
      <c r="C604" s="28"/>
      <c r="D604" s="28"/>
      <c r="E604" s="28"/>
      <c r="F604" s="28"/>
      <c r="G604" s="28"/>
      <c r="H604" s="28"/>
    </row>
    <row r="605" customFormat="false" ht="14.25" hidden="false" customHeight="true" outlineLevel="0" collapsed="false">
      <c r="C605" s="28"/>
      <c r="D605" s="28"/>
      <c r="E605" s="28"/>
      <c r="F605" s="28"/>
      <c r="G605" s="28"/>
      <c r="H605" s="28"/>
    </row>
    <row r="606" customFormat="false" ht="14.25" hidden="false" customHeight="true" outlineLevel="0" collapsed="false">
      <c r="C606" s="28"/>
      <c r="D606" s="28"/>
      <c r="E606" s="28"/>
      <c r="F606" s="28"/>
      <c r="G606" s="28"/>
      <c r="H606" s="28"/>
    </row>
    <row r="607" customFormat="false" ht="14.25" hidden="false" customHeight="true" outlineLevel="0" collapsed="false">
      <c r="C607" s="28"/>
      <c r="D607" s="28"/>
      <c r="E607" s="28"/>
      <c r="F607" s="28"/>
      <c r="G607" s="28"/>
      <c r="H607" s="28"/>
    </row>
    <row r="608" customFormat="false" ht="14.25" hidden="false" customHeight="true" outlineLevel="0" collapsed="false">
      <c r="C608" s="28"/>
      <c r="D608" s="28"/>
      <c r="E608" s="28"/>
      <c r="F608" s="28"/>
      <c r="G608" s="28"/>
      <c r="H608" s="28"/>
    </row>
    <row r="609" customFormat="false" ht="14.25" hidden="false" customHeight="true" outlineLevel="0" collapsed="false">
      <c r="C609" s="28"/>
      <c r="D609" s="28"/>
      <c r="E609" s="28"/>
      <c r="F609" s="28"/>
      <c r="G609" s="28"/>
      <c r="H609" s="28"/>
    </row>
    <row r="610" customFormat="false" ht="14.25" hidden="false" customHeight="true" outlineLevel="0" collapsed="false">
      <c r="C610" s="28"/>
      <c r="D610" s="28"/>
      <c r="E610" s="28"/>
      <c r="F610" s="28"/>
      <c r="G610" s="28"/>
      <c r="H610" s="28"/>
    </row>
    <row r="611" customFormat="false" ht="14.25" hidden="false" customHeight="true" outlineLevel="0" collapsed="false">
      <c r="C611" s="28"/>
      <c r="D611" s="28"/>
      <c r="E611" s="28"/>
      <c r="F611" s="28"/>
      <c r="G611" s="28"/>
      <c r="H611" s="28"/>
    </row>
    <row r="612" customFormat="false" ht="14.25" hidden="false" customHeight="true" outlineLevel="0" collapsed="false">
      <c r="C612" s="28"/>
      <c r="D612" s="28"/>
      <c r="E612" s="28"/>
      <c r="F612" s="28"/>
      <c r="G612" s="28"/>
      <c r="H612" s="28"/>
    </row>
    <row r="613" customFormat="false" ht="14.25" hidden="false" customHeight="true" outlineLevel="0" collapsed="false">
      <c r="C613" s="28"/>
      <c r="D613" s="28"/>
      <c r="E613" s="28"/>
      <c r="F613" s="28"/>
      <c r="G613" s="28"/>
      <c r="H613" s="28"/>
    </row>
    <row r="614" customFormat="false" ht="14.25" hidden="false" customHeight="true" outlineLevel="0" collapsed="false">
      <c r="C614" s="28"/>
      <c r="D614" s="28"/>
      <c r="E614" s="28"/>
      <c r="F614" s="28"/>
      <c r="G614" s="28"/>
      <c r="H614" s="28"/>
    </row>
    <row r="615" customFormat="false" ht="14.25" hidden="false" customHeight="true" outlineLevel="0" collapsed="false">
      <c r="C615" s="28"/>
      <c r="D615" s="28"/>
      <c r="E615" s="28"/>
      <c r="F615" s="28"/>
      <c r="G615" s="28"/>
      <c r="H615" s="28"/>
    </row>
    <row r="616" customFormat="false" ht="14.25" hidden="false" customHeight="true" outlineLevel="0" collapsed="false">
      <c r="C616" s="28"/>
      <c r="D616" s="28"/>
      <c r="E616" s="28"/>
      <c r="F616" s="28"/>
      <c r="G616" s="28"/>
      <c r="H616" s="28"/>
    </row>
    <row r="617" customFormat="false" ht="14.25" hidden="false" customHeight="true" outlineLevel="0" collapsed="false">
      <c r="C617" s="28"/>
      <c r="D617" s="28"/>
      <c r="E617" s="28"/>
      <c r="F617" s="28"/>
      <c r="G617" s="28"/>
      <c r="H617" s="28"/>
    </row>
    <row r="618" customFormat="false" ht="14.25" hidden="false" customHeight="true" outlineLevel="0" collapsed="false">
      <c r="C618" s="28"/>
      <c r="D618" s="28"/>
      <c r="E618" s="28"/>
      <c r="F618" s="28"/>
      <c r="G618" s="28"/>
      <c r="H618" s="28"/>
    </row>
    <row r="619" customFormat="false" ht="14.25" hidden="false" customHeight="true" outlineLevel="0" collapsed="false">
      <c r="C619" s="28"/>
      <c r="D619" s="28"/>
      <c r="E619" s="28"/>
      <c r="F619" s="28"/>
      <c r="G619" s="28"/>
      <c r="H619" s="28"/>
    </row>
    <row r="620" customFormat="false" ht="14.25" hidden="false" customHeight="true" outlineLevel="0" collapsed="false">
      <c r="C620" s="28"/>
      <c r="D620" s="28"/>
      <c r="E620" s="28"/>
      <c r="F620" s="28"/>
      <c r="G620" s="28"/>
      <c r="H620" s="28"/>
    </row>
    <row r="621" customFormat="false" ht="14.25" hidden="false" customHeight="true" outlineLevel="0" collapsed="false">
      <c r="C621" s="28"/>
      <c r="D621" s="28"/>
      <c r="E621" s="28"/>
      <c r="F621" s="28"/>
      <c r="G621" s="28"/>
      <c r="H621" s="28"/>
    </row>
    <row r="622" customFormat="false" ht="14.25" hidden="false" customHeight="true" outlineLevel="0" collapsed="false">
      <c r="C622" s="28"/>
      <c r="D622" s="28"/>
      <c r="E622" s="28"/>
      <c r="F622" s="28"/>
      <c r="G622" s="28"/>
      <c r="H622" s="28"/>
    </row>
    <row r="623" customFormat="false" ht="14.25" hidden="false" customHeight="true" outlineLevel="0" collapsed="false">
      <c r="C623" s="28"/>
      <c r="D623" s="28"/>
      <c r="E623" s="28"/>
      <c r="F623" s="28"/>
      <c r="G623" s="28"/>
      <c r="H623" s="28"/>
    </row>
    <row r="624" customFormat="false" ht="14.25" hidden="false" customHeight="true" outlineLevel="0" collapsed="false">
      <c r="C624" s="28"/>
      <c r="D624" s="28"/>
      <c r="E624" s="28"/>
      <c r="F624" s="28"/>
      <c r="G624" s="28"/>
      <c r="H624" s="28"/>
    </row>
    <row r="625" customFormat="false" ht="14.25" hidden="false" customHeight="true" outlineLevel="0" collapsed="false">
      <c r="C625" s="28"/>
      <c r="D625" s="28"/>
      <c r="E625" s="28"/>
      <c r="F625" s="28"/>
      <c r="G625" s="28"/>
      <c r="H625" s="28"/>
    </row>
    <row r="626" customFormat="false" ht="14.25" hidden="false" customHeight="true" outlineLevel="0" collapsed="false">
      <c r="C626" s="28"/>
      <c r="D626" s="28"/>
      <c r="E626" s="28"/>
      <c r="F626" s="28"/>
      <c r="G626" s="28"/>
      <c r="H626" s="28"/>
    </row>
    <row r="627" customFormat="false" ht="14.25" hidden="false" customHeight="true" outlineLevel="0" collapsed="false">
      <c r="C627" s="28"/>
      <c r="D627" s="28"/>
      <c r="E627" s="28"/>
      <c r="F627" s="28"/>
      <c r="G627" s="28"/>
      <c r="H627" s="28"/>
    </row>
    <row r="628" customFormat="false" ht="14.25" hidden="false" customHeight="true" outlineLevel="0" collapsed="false">
      <c r="C628" s="28"/>
      <c r="D628" s="28"/>
      <c r="E628" s="28"/>
      <c r="F628" s="28"/>
      <c r="G628" s="28"/>
      <c r="H628" s="28"/>
    </row>
    <row r="629" customFormat="false" ht="14.25" hidden="false" customHeight="true" outlineLevel="0" collapsed="false">
      <c r="C629" s="28"/>
      <c r="D629" s="28"/>
      <c r="E629" s="28"/>
      <c r="F629" s="28"/>
      <c r="G629" s="28"/>
      <c r="H629" s="28"/>
    </row>
    <row r="630" customFormat="false" ht="14.25" hidden="false" customHeight="true" outlineLevel="0" collapsed="false">
      <c r="C630" s="28"/>
      <c r="D630" s="28"/>
      <c r="E630" s="28"/>
      <c r="F630" s="28"/>
      <c r="G630" s="28"/>
      <c r="H630" s="28"/>
    </row>
    <row r="631" customFormat="false" ht="14.25" hidden="false" customHeight="true" outlineLevel="0" collapsed="false">
      <c r="C631" s="28"/>
      <c r="D631" s="28"/>
      <c r="E631" s="28"/>
      <c r="F631" s="28"/>
      <c r="G631" s="28"/>
      <c r="H631" s="28"/>
    </row>
    <row r="632" customFormat="false" ht="14.25" hidden="false" customHeight="true" outlineLevel="0" collapsed="false">
      <c r="C632" s="28"/>
      <c r="D632" s="28"/>
      <c r="E632" s="28"/>
      <c r="F632" s="28"/>
      <c r="G632" s="28"/>
      <c r="H632" s="28"/>
    </row>
    <row r="633" customFormat="false" ht="14.25" hidden="false" customHeight="true" outlineLevel="0" collapsed="false">
      <c r="C633" s="28"/>
      <c r="D633" s="28"/>
      <c r="E633" s="28"/>
      <c r="F633" s="28"/>
      <c r="G633" s="28"/>
      <c r="H633" s="28"/>
    </row>
    <row r="634" customFormat="false" ht="14.25" hidden="false" customHeight="true" outlineLevel="0" collapsed="false">
      <c r="C634" s="28"/>
      <c r="D634" s="28"/>
      <c r="E634" s="28"/>
      <c r="F634" s="28"/>
      <c r="G634" s="28"/>
      <c r="H634" s="28"/>
    </row>
    <row r="635" customFormat="false" ht="14.25" hidden="false" customHeight="true" outlineLevel="0" collapsed="false">
      <c r="C635" s="28"/>
      <c r="D635" s="28"/>
      <c r="E635" s="28"/>
      <c r="F635" s="28"/>
      <c r="G635" s="28"/>
      <c r="H635" s="28"/>
    </row>
    <row r="636" customFormat="false" ht="14.25" hidden="false" customHeight="true" outlineLevel="0" collapsed="false">
      <c r="C636" s="28"/>
      <c r="D636" s="28"/>
      <c r="E636" s="28"/>
      <c r="F636" s="28"/>
      <c r="G636" s="28"/>
      <c r="H636" s="28"/>
    </row>
    <row r="637" customFormat="false" ht="14.25" hidden="false" customHeight="true" outlineLevel="0" collapsed="false">
      <c r="C637" s="28"/>
      <c r="D637" s="28"/>
      <c r="E637" s="28"/>
      <c r="F637" s="28"/>
      <c r="G637" s="28"/>
      <c r="H637" s="28"/>
    </row>
    <row r="638" customFormat="false" ht="14.25" hidden="false" customHeight="true" outlineLevel="0" collapsed="false">
      <c r="C638" s="28"/>
      <c r="D638" s="28"/>
      <c r="E638" s="28"/>
      <c r="F638" s="28"/>
      <c r="G638" s="28"/>
      <c r="H638" s="28"/>
    </row>
    <row r="639" customFormat="false" ht="14.25" hidden="false" customHeight="true" outlineLevel="0" collapsed="false">
      <c r="C639" s="28"/>
      <c r="D639" s="28"/>
      <c r="E639" s="28"/>
      <c r="F639" s="28"/>
      <c r="G639" s="28"/>
      <c r="H639" s="28"/>
    </row>
    <row r="640" customFormat="false" ht="14.25" hidden="false" customHeight="true" outlineLevel="0" collapsed="false">
      <c r="C640" s="28"/>
      <c r="D640" s="28"/>
      <c r="E640" s="28"/>
      <c r="F640" s="28"/>
      <c r="G640" s="28"/>
      <c r="H640" s="28"/>
    </row>
    <row r="641" customFormat="false" ht="14.25" hidden="false" customHeight="true" outlineLevel="0" collapsed="false">
      <c r="C641" s="28"/>
      <c r="D641" s="28"/>
      <c r="E641" s="28"/>
      <c r="F641" s="28"/>
      <c r="G641" s="28"/>
      <c r="H641" s="28"/>
    </row>
    <row r="642" customFormat="false" ht="14.25" hidden="false" customHeight="true" outlineLevel="0" collapsed="false">
      <c r="C642" s="28"/>
      <c r="D642" s="28"/>
      <c r="E642" s="28"/>
      <c r="F642" s="28"/>
      <c r="G642" s="28"/>
      <c r="H642" s="28"/>
    </row>
    <row r="643" customFormat="false" ht="14.25" hidden="false" customHeight="true" outlineLevel="0" collapsed="false">
      <c r="C643" s="28"/>
      <c r="D643" s="28"/>
      <c r="E643" s="28"/>
      <c r="F643" s="28"/>
      <c r="G643" s="28"/>
      <c r="H643" s="28"/>
    </row>
    <row r="644" customFormat="false" ht="14.25" hidden="false" customHeight="true" outlineLevel="0" collapsed="false">
      <c r="C644" s="28"/>
      <c r="D644" s="28"/>
      <c r="E644" s="28"/>
      <c r="F644" s="28"/>
      <c r="G644" s="28"/>
      <c r="H644" s="28"/>
    </row>
    <row r="645" customFormat="false" ht="14.25" hidden="false" customHeight="true" outlineLevel="0" collapsed="false">
      <c r="C645" s="28"/>
      <c r="D645" s="28"/>
      <c r="E645" s="28"/>
      <c r="F645" s="28"/>
      <c r="G645" s="28"/>
      <c r="H645" s="28"/>
    </row>
    <row r="646" customFormat="false" ht="14.25" hidden="false" customHeight="true" outlineLevel="0" collapsed="false">
      <c r="C646" s="28"/>
      <c r="D646" s="28"/>
      <c r="E646" s="28"/>
      <c r="F646" s="28"/>
      <c r="G646" s="28"/>
      <c r="H646" s="28"/>
    </row>
    <row r="647" customFormat="false" ht="14.25" hidden="false" customHeight="true" outlineLevel="0" collapsed="false">
      <c r="C647" s="28"/>
      <c r="D647" s="28"/>
      <c r="E647" s="28"/>
      <c r="F647" s="28"/>
      <c r="G647" s="28"/>
      <c r="H647" s="28"/>
    </row>
    <row r="648" customFormat="false" ht="14.25" hidden="false" customHeight="true" outlineLevel="0" collapsed="false">
      <c r="C648" s="28"/>
      <c r="D648" s="28"/>
      <c r="E648" s="28"/>
      <c r="F648" s="28"/>
      <c r="G648" s="28"/>
      <c r="H648" s="28"/>
    </row>
    <row r="649" customFormat="false" ht="14.25" hidden="false" customHeight="true" outlineLevel="0" collapsed="false">
      <c r="C649" s="28"/>
      <c r="D649" s="28"/>
      <c r="E649" s="28"/>
      <c r="F649" s="28"/>
      <c r="G649" s="28"/>
      <c r="H649" s="28"/>
    </row>
    <row r="650" customFormat="false" ht="14.25" hidden="false" customHeight="true" outlineLevel="0" collapsed="false">
      <c r="C650" s="28"/>
      <c r="D650" s="28"/>
      <c r="E650" s="28"/>
      <c r="F650" s="28"/>
      <c r="G650" s="28"/>
      <c r="H650" s="28"/>
    </row>
    <row r="651" customFormat="false" ht="14.25" hidden="false" customHeight="true" outlineLevel="0" collapsed="false">
      <c r="C651" s="28"/>
      <c r="D651" s="28"/>
      <c r="E651" s="28"/>
      <c r="F651" s="28"/>
      <c r="G651" s="28"/>
      <c r="H651" s="28"/>
    </row>
    <row r="652" customFormat="false" ht="14.25" hidden="false" customHeight="true" outlineLevel="0" collapsed="false">
      <c r="C652" s="28"/>
      <c r="D652" s="28"/>
      <c r="E652" s="28"/>
      <c r="F652" s="28"/>
      <c r="G652" s="28"/>
      <c r="H652" s="28"/>
    </row>
    <row r="653" customFormat="false" ht="14.25" hidden="false" customHeight="true" outlineLevel="0" collapsed="false">
      <c r="C653" s="28"/>
      <c r="D653" s="28"/>
      <c r="E653" s="28"/>
      <c r="F653" s="28"/>
      <c r="G653" s="28"/>
      <c r="H653" s="28"/>
    </row>
    <row r="654" customFormat="false" ht="14.25" hidden="false" customHeight="true" outlineLevel="0" collapsed="false">
      <c r="C654" s="28"/>
      <c r="D654" s="28"/>
      <c r="E654" s="28"/>
      <c r="F654" s="28"/>
      <c r="G654" s="28"/>
      <c r="H654" s="28"/>
    </row>
    <row r="655" customFormat="false" ht="14.25" hidden="false" customHeight="true" outlineLevel="0" collapsed="false">
      <c r="C655" s="28"/>
      <c r="D655" s="28"/>
      <c r="E655" s="28"/>
      <c r="F655" s="28"/>
      <c r="G655" s="28"/>
      <c r="H655" s="28"/>
    </row>
    <row r="656" customFormat="false" ht="14.25" hidden="false" customHeight="true" outlineLevel="0" collapsed="false">
      <c r="C656" s="28"/>
      <c r="D656" s="28"/>
      <c r="E656" s="28"/>
      <c r="F656" s="28"/>
      <c r="G656" s="28"/>
      <c r="H656" s="28"/>
    </row>
    <row r="657" customFormat="false" ht="14.25" hidden="false" customHeight="true" outlineLevel="0" collapsed="false">
      <c r="C657" s="28"/>
      <c r="D657" s="28"/>
      <c r="E657" s="28"/>
      <c r="F657" s="28"/>
      <c r="G657" s="28"/>
      <c r="H657" s="28"/>
    </row>
    <row r="658" customFormat="false" ht="14.25" hidden="false" customHeight="true" outlineLevel="0" collapsed="false">
      <c r="C658" s="28"/>
      <c r="D658" s="28"/>
      <c r="E658" s="28"/>
      <c r="F658" s="28"/>
      <c r="G658" s="28"/>
      <c r="H658" s="28"/>
    </row>
    <row r="659" customFormat="false" ht="14.25" hidden="false" customHeight="true" outlineLevel="0" collapsed="false">
      <c r="C659" s="28"/>
      <c r="D659" s="28"/>
      <c r="E659" s="28"/>
      <c r="F659" s="28"/>
      <c r="G659" s="28"/>
      <c r="H659" s="28"/>
    </row>
    <row r="660" customFormat="false" ht="14.25" hidden="false" customHeight="true" outlineLevel="0" collapsed="false">
      <c r="C660" s="28"/>
      <c r="D660" s="28"/>
      <c r="E660" s="28"/>
      <c r="F660" s="28"/>
      <c r="G660" s="28"/>
      <c r="H660" s="28"/>
    </row>
    <row r="661" customFormat="false" ht="14.25" hidden="false" customHeight="true" outlineLevel="0" collapsed="false">
      <c r="C661" s="28"/>
      <c r="D661" s="28"/>
      <c r="E661" s="28"/>
      <c r="F661" s="28"/>
      <c r="G661" s="28"/>
      <c r="H661" s="28"/>
    </row>
    <row r="662" customFormat="false" ht="14.25" hidden="false" customHeight="true" outlineLevel="0" collapsed="false">
      <c r="C662" s="28"/>
      <c r="D662" s="28"/>
      <c r="E662" s="28"/>
      <c r="F662" s="28"/>
      <c r="G662" s="28"/>
      <c r="H662" s="28"/>
    </row>
    <row r="663" customFormat="false" ht="14.25" hidden="false" customHeight="true" outlineLevel="0" collapsed="false">
      <c r="C663" s="28"/>
      <c r="D663" s="28"/>
      <c r="E663" s="28"/>
      <c r="F663" s="28"/>
      <c r="G663" s="28"/>
      <c r="H663" s="28"/>
    </row>
    <row r="664" customFormat="false" ht="14.25" hidden="false" customHeight="true" outlineLevel="0" collapsed="false">
      <c r="C664" s="28"/>
      <c r="D664" s="28"/>
      <c r="E664" s="28"/>
      <c r="F664" s="28"/>
      <c r="G664" s="28"/>
      <c r="H664" s="28"/>
    </row>
    <row r="665" customFormat="false" ht="14.25" hidden="false" customHeight="true" outlineLevel="0" collapsed="false">
      <c r="C665" s="28"/>
      <c r="D665" s="28"/>
      <c r="E665" s="28"/>
      <c r="F665" s="28"/>
      <c r="G665" s="28"/>
      <c r="H665" s="28"/>
    </row>
    <row r="666" customFormat="false" ht="14.25" hidden="false" customHeight="true" outlineLevel="0" collapsed="false">
      <c r="C666" s="28"/>
      <c r="D666" s="28"/>
      <c r="E666" s="28"/>
      <c r="F666" s="28"/>
      <c r="G666" s="28"/>
      <c r="H666" s="28"/>
    </row>
    <row r="667" customFormat="false" ht="14.25" hidden="false" customHeight="true" outlineLevel="0" collapsed="false">
      <c r="C667" s="28"/>
      <c r="D667" s="28"/>
      <c r="E667" s="28"/>
      <c r="F667" s="28"/>
      <c r="G667" s="28"/>
      <c r="H667" s="28"/>
    </row>
    <row r="668" customFormat="false" ht="14.25" hidden="false" customHeight="true" outlineLevel="0" collapsed="false">
      <c r="C668" s="28"/>
      <c r="D668" s="28"/>
      <c r="E668" s="28"/>
      <c r="F668" s="28"/>
      <c r="G668" s="28"/>
      <c r="H668" s="28"/>
    </row>
    <row r="669" customFormat="false" ht="14.25" hidden="false" customHeight="true" outlineLevel="0" collapsed="false">
      <c r="C669" s="28"/>
      <c r="D669" s="28"/>
      <c r="E669" s="28"/>
      <c r="F669" s="28"/>
      <c r="G669" s="28"/>
      <c r="H669" s="28"/>
    </row>
    <row r="670" customFormat="false" ht="14.25" hidden="false" customHeight="true" outlineLevel="0" collapsed="false">
      <c r="C670" s="28"/>
      <c r="D670" s="28"/>
      <c r="E670" s="28"/>
      <c r="F670" s="28"/>
      <c r="G670" s="28"/>
      <c r="H670" s="28"/>
    </row>
    <row r="671" customFormat="false" ht="14.25" hidden="false" customHeight="true" outlineLevel="0" collapsed="false">
      <c r="C671" s="28"/>
      <c r="D671" s="28"/>
      <c r="E671" s="28"/>
      <c r="F671" s="28"/>
      <c r="G671" s="28"/>
      <c r="H671" s="28"/>
    </row>
    <row r="672" customFormat="false" ht="14.25" hidden="false" customHeight="true" outlineLevel="0" collapsed="false">
      <c r="C672" s="28"/>
      <c r="D672" s="28"/>
      <c r="E672" s="28"/>
      <c r="F672" s="28"/>
      <c r="G672" s="28"/>
      <c r="H672" s="28"/>
    </row>
    <row r="673" customFormat="false" ht="14.25" hidden="false" customHeight="true" outlineLevel="0" collapsed="false">
      <c r="C673" s="28"/>
      <c r="D673" s="28"/>
      <c r="E673" s="28"/>
      <c r="F673" s="28"/>
      <c r="G673" s="28"/>
      <c r="H673" s="28"/>
    </row>
    <row r="674" customFormat="false" ht="14.25" hidden="false" customHeight="true" outlineLevel="0" collapsed="false">
      <c r="C674" s="28"/>
      <c r="D674" s="28"/>
      <c r="E674" s="28"/>
      <c r="F674" s="28"/>
      <c r="G674" s="28"/>
      <c r="H674" s="28"/>
    </row>
    <row r="675" customFormat="false" ht="14.25" hidden="false" customHeight="true" outlineLevel="0" collapsed="false">
      <c r="C675" s="28"/>
      <c r="D675" s="28"/>
      <c r="E675" s="28"/>
      <c r="F675" s="28"/>
      <c r="G675" s="28"/>
      <c r="H675" s="28"/>
    </row>
    <row r="676" customFormat="false" ht="14.25" hidden="false" customHeight="true" outlineLevel="0" collapsed="false">
      <c r="C676" s="28"/>
      <c r="D676" s="28"/>
      <c r="E676" s="28"/>
      <c r="F676" s="28"/>
      <c r="G676" s="28"/>
      <c r="H676" s="28"/>
    </row>
    <row r="677" customFormat="false" ht="14.25" hidden="false" customHeight="true" outlineLevel="0" collapsed="false">
      <c r="C677" s="28"/>
      <c r="D677" s="28"/>
      <c r="E677" s="28"/>
      <c r="F677" s="28"/>
      <c r="G677" s="28"/>
      <c r="H677" s="28"/>
    </row>
    <row r="678" customFormat="false" ht="14.25" hidden="false" customHeight="true" outlineLevel="0" collapsed="false">
      <c r="C678" s="28"/>
      <c r="D678" s="28"/>
      <c r="E678" s="28"/>
      <c r="F678" s="28"/>
      <c r="G678" s="28"/>
      <c r="H678" s="28"/>
    </row>
    <row r="679" customFormat="false" ht="14.25" hidden="false" customHeight="true" outlineLevel="0" collapsed="false">
      <c r="C679" s="28"/>
      <c r="D679" s="28"/>
      <c r="E679" s="28"/>
      <c r="F679" s="28"/>
      <c r="G679" s="28"/>
      <c r="H679" s="28"/>
    </row>
    <row r="680" customFormat="false" ht="14.25" hidden="false" customHeight="true" outlineLevel="0" collapsed="false">
      <c r="C680" s="28"/>
      <c r="D680" s="28"/>
      <c r="E680" s="28"/>
      <c r="F680" s="28"/>
      <c r="G680" s="28"/>
      <c r="H680" s="28"/>
    </row>
    <row r="681" customFormat="false" ht="14.25" hidden="false" customHeight="true" outlineLevel="0" collapsed="false">
      <c r="C681" s="28"/>
      <c r="D681" s="28"/>
      <c r="E681" s="28"/>
      <c r="F681" s="28"/>
      <c r="G681" s="28"/>
      <c r="H681" s="28"/>
    </row>
    <row r="682" customFormat="false" ht="14.25" hidden="false" customHeight="true" outlineLevel="0" collapsed="false">
      <c r="C682" s="28"/>
      <c r="D682" s="28"/>
      <c r="E682" s="28"/>
      <c r="F682" s="28"/>
      <c r="G682" s="28"/>
      <c r="H682" s="28"/>
    </row>
    <row r="683" customFormat="false" ht="14.25" hidden="false" customHeight="true" outlineLevel="0" collapsed="false">
      <c r="C683" s="28"/>
      <c r="D683" s="28"/>
      <c r="E683" s="28"/>
      <c r="F683" s="28"/>
      <c r="G683" s="28"/>
      <c r="H683" s="28"/>
    </row>
    <row r="684" customFormat="false" ht="14.25" hidden="false" customHeight="true" outlineLevel="0" collapsed="false">
      <c r="C684" s="28"/>
      <c r="D684" s="28"/>
      <c r="E684" s="28"/>
      <c r="F684" s="28"/>
      <c r="G684" s="28"/>
      <c r="H684" s="28"/>
    </row>
    <row r="685" customFormat="false" ht="14.25" hidden="false" customHeight="true" outlineLevel="0" collapsed="false">
      <c r="C685" s="28"/>
      <c r="D685" s="28"/>
      <c r="E685" s="28"/>
      <c r="F685" s="28"/>
      <c r="G685" s="28"/>
      <c r="H685" s="28"/>
    </row>
    <row r="686" customFormat="false" ht="14.25" hidden="false" customHeight="true" outlineLevel="0" collapsed="false">
      <c r="C686" s="28"/>
      <c r="D686" s="28"/>
      <c r="E686" s="28"/>
      <c r="F686" s="28"/>
      <c r="G686" s="28"/>
      <c r="H686" s="28"/>
    </row>
    <row r="687" customFormat="false" ht="14.25" hidden="false" customHeight="true" outlineLevel="0" collapsed="false">
      <c r="C687" s="28"/>
      <c r="D687" s="28"/>
      <c r="E687" s="28"/>
      <c r="F687" s="28"/>
      <c r="G687" s="28"/>
      <c r="H687" s="28"/>
    </row>
    <row r="688" customFormat="false" ht="14.25" hidden="false" customHeight="true" outlineLevel="0" collapsed="false">
      <c r="C688" s="28"/>
      <c r="D688" s="28"/>
      <c r="E688" s="28"/>
      <c r="F688" s="28"/>
      <c r="G688" s="28"/>
      <c r="H688" s="28"/>
    </row>
    <row r="689" customFormat="false" ht="14.25" hidden="false" customHeight="true" outlineLevel="0" collapsed="false">
      <c r="C689" s="28"/>
      <c r="D689" s="28"/>
      <c r="E689" s="28"/>
      <c r="F689" s="28"/>
      <c r="G689" s="28"/>
      <c r="H689" s="28"/>
    </row>
    <row r="690" customFormat="false" ht="14.25" hidden="false" customHeight="true" outlineLevel="0" collapsed="false">
      <c r="C690" s="28"/>
      <c r="D690" s="28"/>
      <c r="E690" s="28"/>
      <c r="F690" s="28"/>
      <c r="G690" s="28"/>
      <c r="H690" s="28"/>
    </row>
    <row r="691" customFormat="false" ht="14.25" hidden="false" customHeight="true" outlineLevel="0" collapsed="false">
      <c r="C691" s="28"/>
      <c r="D691" s="28"/>
      <c r="E691" s="28"/>
      <c r="F691" s="28"/>
      <c r="G691" s="28"/>
      <c r="H691" s="28"/>
    </row>
    <row r="692" customFormat="false" ht="14.25" hidden="false" customHeight="true" outlineLevel="0" collapsed="false">
      <c r="C692" s="28"/>
      <c r="D692" s="28"/>
      <c r="E692" s="28"/>
      <c r="F692" s="28"/>
      <c r="G692" s="28"/>
      <c r="H692" s="28"/>
    </row>
    <row r="693" customFormat="false" ht="14.25" hidden="false" customHeight="true" outlineLevel="0" collapsed="false">
      <c r="C693" s="28"/>
      <c r="D693" s="28"/>
      <c r="E693" s="28"/>
      <c r="F693" s="28"/>
      <c r="G693" s="28"/>
      <c r="H693" s="28"/>
    </row>
    <row r="694" customFormat="false" ht="14.25" hidden="false" customHeight="true" outlineLevel="0" collapsed="false">
      <c r="C694" s="28"/>
      <c r="D694" s="28"/>
      <c r="E694" s="28"/>
      <c r="F694" s="28"/>
      <c r="G694" s="28"/>
      <c r="H694" s="28"/>
    </row>
    <row r="695" customFormat="false" ht="14.25" hidden="false" customHeight="true" outlineLevel="0" collapsed="false">
      <c r="C695" s="28"/>
      <c r="D695" s="28"/>
      <c r="E695" s="28"/>
      <c r="F695" s="28"/>
      <c r="G695" s="28"/>
      <c r="H695" s="28"/>
    </row>
    <row r="696" customFormat="false" ht="14.25" hidden="false" customHeight="true" outlineLevel="0" collapsed="false">
      <c r="C696" s="28"/>
      <c r="D696" s="28"/>
      <c r="E696" s="28"/>
      <c r="F696" s="28"/>
      <c r="G696" s="28"/>
      <c r="H696" s="28"/>
    </row>
    <row r="697" customFormat="false" ht="14.25" hidden="false" customHeight="true" outlineLevel="0" collapsed="false">
      <c r="C697" s="28"/>
      <c r="D697" s="28"/>
      <c r="E697" s="28"/>
      <c r="F697" s="28"/>
      <c r="G697" s="28"/>
      <c r="H697" s="28"/>
    </row>
    <row r="698" customFormat="false" ht="14.25" hidden="false" customHeight="true" outlineLevel="0" collapsed="false">
      <c r="C698" s="28"/>
      <c r="D698" s="28"/>
      <c r="E698" s="28"/>
      <c r="F698" s="28"/>
      <c r="G698" s="28"/>
      <c r="H698" s="28"/>
    </row>
    <row r="699" customFormat="false" ht="14.25" hidden="false" customHeight="true" outlineLevel="0" collapsed="false">
      <c r="C699" s="28"/>
      <c r="D699" s="28"/>
      <c r="E699" s="28"/>
      <c r="F699" s="28"/>
      <c r="G699" s="28"/>
      <c r="H699" s="28"/>
    </row>
    <row r="700" customFormat="false" ht="14.25" hidden="false" customHeight="true" outlineLevel="0" collapsed="false">
      <c r="C700" s="28"/>
      <c r="D700" s="28"/>
      <c r="E700" s="28"/>
      <c r="F700" s="28"/>
      <c r="G700" s="28"/>
      <c r="H700" s="28"/>
    </row>
    <row r="701" customFormat="false" ht="14.25" hidden="false" customHeight="true" outlineLevel="0" collapsed="false">
      <c r="C701" s="28"/>
      <c r="D701" s="28"/>
      <c r="E701" s="28"/>
      <c r="F701" s="28"/>
      <c r="G701" s="28"/>
      <c r="H701" s="28"/>
    </row>
    <row r="702" customFormat="false" ht="14.25" hidden="false" customHeight="true" outlineLevel="0" collapsed="false">
      <c r="C702" s="28"/>
      <c r="D702" s="28"/>
      <c r="E702" s="28"/>
      <c r="F702" s="28"/>
      <c r="G702" s="28"/>
      <c r="H702" s="28"/>
    </row>
    <row r="703" customFormat="false" ht="14.25" hidden="false" customHeight="true" outlineLevel="0" collapsed="false">
      <c r="C703" s="28"/>
      <c r="D703" s="28"/>
      <c r="E703" s="28"/>
      <c r="F703" s="28"/>
      <c r="G703" s="28"/>
      <c r="H703" s="28"/>
    </row>
    <row r="704" customFormat="false" ht="14.25" hidden="false" customHeight="true" outlineLevel="0" collapsed="false">
      <c r="C704" s="28"/>
      <c r="D704" s="28"/>
      <c r="E704" s="28"/>
      <c r="F704" s="28"/>
      <c r="G704" s="28"/>
      <c r="H704" s="28"/>
    </row>
    <row r="705" customFormat="false" ht="14.25" hidden="false" customHeight="true" outlineLevel="0" collapsed="false">
      <c r="C705" s="28"/>
      <c r="D705" s="28"/>
      <c r="E705" s="28"/>
      <c r="F705" s="28"/>
      <c r="G705" s="28"/>
      <c r="H705" s="28"/>
    </row>
    <row r="706" customFormat="false" ht="14.25" hidden="false" customHeight="true" outlineLevel="0" collapsed="false">
      <c r="C706" s="28"/>
      <c r="D706" s="28"/>
      <c r="E706" s="28"/>
      <c r="F706" s="28"/>
      <c r="G706" s="28"/>
      <c r="H706" s="28"/>
    </row>
    <row r="707" customFormat="false" ht="14.25" hidden="false" customHeight="true" outlineLevel="0" collapsed="false">
      <c r="C707" s="28"/>
      <c r="D707" s="28"/>
      <c r="E707" s="28"/>
      <c r="F707" s="28"/>
      <c r="G707" s="28"/>
      <c r="H707" s="28"/>
    </row>
    <row r="708" customFormat="false" ht="14.25" hidden="false" customHeight="true" outlineLevel="0" collapsed="false">
      <c r="C708" s="28"/>
      <c r="D708" s="28"/>
      <c r="E708" s="28"/>
      <c r="F708" s="28"/>
      <c r="G708" s="28"/>
      <c r="H708" s="28"/>
    </row>
    <row r="709" customFormat="false" ht="14.25" hidden="false" customHeight="true" outlineLevel="0" collapsed="false">
      <c r="C709" s="28"/>
      <c r="D709" s="28"/>
      <c r="E709" s="28"/>
      <c r="F709" s="28"/>
      <c r="G709" s="28"/>
      <c r="H709" s="28"/>
    </row>
    <row r="710" customFormat="false" ht="14.25" hidden="false" customHeight="true" outlineLevel="0" collapsed="false">
      <c r="C710" s="28"/>
      <c r="D710" s="28"/>
      <c r="E710" s="28"/>
      <c r="F710" s="28"/>
      <c r="G710" s="28"/>
      <c r="H710" s="28"/>
    </row>
    <row r="711" customFormat="false" ht="14.25" hidden="false" customHeight="true" outlineLevel="0" collapsed="false">
      <c r="C711" s="28"/>
      <c r="D711" s="28"/>
      <c r="E711" s="28"/>
      <c r="F711" s="28"/>
      <c r="G711" s="28"/>
      <c r="H711" s="28"/>
    </row>
    <row r="712" customFormat="false" ht="14.25" hidden="false" customHeight="true" outlineLevel="0" collapsed="false">
      <c r="C712" s="28"/>
      <c r="D712" s="28"/>
      <c r="E712" s="28"/>
      <c r="F712" s="28"/>
      <c r="G712" s="28"/>
      <c r="H712" s="28"/>
    </row>
    <row r="713" customFormat="false" ht="14.25" hidden="false" customHeight="true" outlineLevel="0" collapsed="false">
      <c r="C713" s="28"/>
      <c r="D713" s="28"/>
      <c r="E713" s="28"/>
      <c r="F713" s="28"/>
      <c r="G713" s="28"/>
      <c r="H713" s="28"/>
    </row>
    <row r="714" customFormat="false" ht="14.25" hidden="false" customHeight="true" outlineLevel="0" collapsed="false">
      <c r="C714" s="28"/>
      <c r="D714" s="28"/>
      <c r="E714" s="28"/>
      <c r="F714" s="28"/>
      <c r="G714" s="28"/>
      <c r="H714" s="28"/>
    </row>
    <row r="715" customFormat="false" ht="14.25" hidden="false" customHeight="true" outlineLevel="0" collapsed="false">
      <c r="C715" s="28"/>
      <c r="D715" s="28"/>
      <c r="E715" s="28"/>
      <c r="F715" s="28"/>
      <c r="G715" s="28"/>
      <c r="H715" s="28"/>
    </row>
    <row r="716" customFormat="false" ht="14.25" hidden="false" customHeight="true" outlineLevel="0" collapsed="false">
      <c r="C716" s="28"/>
      <c r="D716" s="28"/>
      <c r="E716" s="28"/>
      <c r="F716" s="28"/>
      <c r="G716" s="28"/>
      <c r="H716" s="28"/>
    </row>
    <row r="717" customFormat="false" ht="14.25" hidden="false" customHeight="true" outlineLevel="0" collapsed="false">
      <c r="C717" s="28"/>
      <c r="D717" s="28"/>
      <c r="E717" s="28"/>
      <c r="F717" s="28"/>
      <c r="G717" s="28"/>
      <c r="H717" s="28"/>
    </row>
    <row r="718" customFormat="false" ht="14.25" hidden="false" customHeight="true" outlineLevel="0" collapsed="false">
      <c r="C718" s="28"/>
      <c r="D718" s="28"/>
      <c r="E718" s="28"/>
      <c r="F718" s="28"/>
      <c r="G718" s="28"/>
      <c r="H718" s="28"/>
    </row>
    <row r="719" customFormat="false" ht="14.25" hidden="false" customHeight="true" outlineLevel="0" collapsed="false">
      <c r="C719" s="28"/>
      <c r="D719" s="28"/>
      <c r="E719" s="28"/>
      <c r="F719" s="28"/>
      <c r="G719" s="28"/>
      <c r="H719" s="28"/>
    </row>
    <row r="720" customFormat="false" ht="14.25" hidden="false" customHeight="true" outlineLevel="0" collapsed="false">
      <c r="C720" s="28"/>
      <c r="D720" s="28"/>
      <c r="E720" s="28"/>
      <c r="F720" s="28"/>
      <c r="G720" s="28"/>
      <c r="H720" s="28"/>
    </row>
    <row r="721" customFormat="false" ht="14.25" hidden="false" customHeight="true" outlineLevel="0" collapsed="false">
      <c r="C721" s="28"/>
      <c r="D721" s="28"/>
      <c r="E721" s="28"/>
      <c r="F721" s="28"/>
      <c r="G721" s="28"/>
      <c r="H721" s="28"/>
    </row>
    <row r="722" customFormat="false" ht="14.25" hidden="false" customHeight="true" outlineLevel="0" collapsed="false">
      <c r="C722" s="28"/>
      <c r="D722" s="28"/>
      <c r="E722" s="28"/>
      <c r="F722" s="28"/>
      <c r="G722" s="28"/>
      <c r="H722" s="28"/>
    </row>
    <row r="723" customFormat="false" ht="14.25" hidden="false" customHeight="true" outlineLevel="0" collapsed="false">
      <c r="C723" s="28"/>
      <c r="D723" s="28"/>
      <c r="E723" s="28"/>
      <c r="F723" s="28"/>
      <c r="G723" s="28"/>
      <c r="H723" s="28"/>
    </row>
    <row r="724" customFormat="false" ht="14.25" hidden="false" customHeight="true" outlineLevel="0" collapsed="false">
      <c r="C724" s="28"/>
      <c r="D724" s="28"/>
      <c r="E724" s="28"/>
      <c r="F724" s="28"/>
      <c r="G724" s="28"/>
      <c r="H724" s="28"/>
    </row>
    <row r="725" customFormat="false" ht="14.25" hidden="false" customHeight="true" outlineLevel="0" collapsed="false">
      <c r="C725" s="28"/>
      <c r="D725" s="28"/>
      <c r="E725" s="28"/>
      <c r="F725" s="28"/>
      <c r="G725" s="28"/>
      <c r="H725" s="28"/>
    </row>
    <row r="726" customFormat="false" ht="14.25" hidden="false" customHeight="true" outlineLevel="0" collapsed="false">
      <c r="C726" s="28"/>
      <c r="D726" s="28"/>
      <c r="E726" s="28"/>
      <c r="F726" s="28"/>
      <c r="G726" s="28"/>
      <c r="H726" s="28"/>
    </row>
    <row r="727" customFormat="false" ht="14.25" hidden="false" customHeight="true" outlineLevel="0" collapsed="false">
      <c r="C727" s="28"/>
      <c r="D727" s="28"/>
      <c r="E727" s="28"/>
      <c r="F727" s="28"/>
      <c r="G727" s="28"/>
      <c r="H727" s="28"/>
    </row>
    <row r="728" customFormat="false" ht="14.25" hidden="false" customHeight="true" outlineLevel="0" collapsed="false">
      <c r="C728" s="28"/>
      <c r="D728" s="28"/>
      <c r="E728" s="28"/>
      <c r="F728" s="28"/>
      <c r="G728" s="28"/>
      <c r="H728" s="28"/>
    </row>
    <row r="729" customFormat="false" ht="14.25" hidden="false" customHeight="true" outlineLevel="0" collapsed="false">
      <c r="C729" s="28"/>
      <c r="D729" s="28"/>
      <c r="E729" s="28"/>
      <c r="F729" s="28"/>
      <c r="G729" s="28"/>
      <c r="H729" s="28"/>
    </row>
    <row r="730" customFormat="false" ht="14.25" hidden="false" customHeight="true" outlineLevel="0" collapsed="false">
      <c r="C730" s="28"/>
      <c r="D730" s="28"/>
      <c r="E730" s="28"/>
      <c r="F730" s="28"/>
      <c r="G730" s="28"/>
      <c r="H730" s="28"/>
    </row>
    <row r="731" customFormat="false" ht="14.25" hidden="false" customHeight="true" outlineLevel="0" collapsed="false">
      <c r="C731" s="28"/>
      <c r="D731" s="28"/>
      <c r="E731" s="28"/>
      <c r="F731" s="28"/>
      <c r="G731" s="28"/>
      <c r="H731" s="28"/>
    </row>
    <row r="732" customFormat="false" ht="14.25" hidden="false" customHeight="true" outlineLevel="0" collapsed="false">
      <c r="C732" s="28"/>
      <c r="D732" s="28"/>
      <c r="E732" s="28"/>
      <c r="F732" s="28"/>
      <c r="G732" s="28"/>
      <c r="H732" s="28"/>
    </row>
    <row r="733" customFormat="false" ht="14.25" hidden="false" customHeight="true" outlineLevel="0" collapsed="false">
      <c r="C733" s="28"/>
      <c r="D733" s="28"/>
      <c r="E733" s="28"/>
      <c r="F733" s="28"/>
      <c r="G733" s="28"/>
      <c r="H733" s="28"/>
    </row>
    <row r="734" customFormat="false" ht="14.25" hidden="false" customHeight="true" outlineLevel="0" collapsed="false">
      <c r="C734" s="28"/>
      <c r="D734" s="28"/>
      <c r="E734" s="28"/>
      <c r="F734" s="28"/>
      <c r="G734" s="28"/>
      <c r="H734" s="28"/>
    </row>
    <row r="735" customFormat="false" ht="14.25" hidden="false" customHeight="true" outlineLevel="0" collapsed="false">
      <c r="C735" s="28"/>
      <c r="D735" s="28"/>
      <c r="E735" s="28"/>
      <c r="F735" s="28"/>
      <c r="G735" s="28"/>
      <c r="H735" s="28"/>
    </row>
    <row r="736" customFormat="false" ht="14.25" hidden="false" customHeight="true" outlineLevel="0" collapsed="false">
      <c r="C736" s="28"/>
      <c r="D736" s="28"/>
      <c r="E736" s="28"/>
      <c r="F736" s="28"/>
      <c r="G736" s="28"/>
      <c r="H736" s="28"/>
    </row>
    <row r="737" customFormat="false" ht="14.25" hidden="false" customHeight="true" outlineLevel="0" collapsed="false">
      <c r="C737" s="28"/>
      <c r="D737" s="28"/>
      <c r="E737" s="28"/>
      <c r="F737" s="28"/>
      <c r="G737" s="28"/>
      <c r="H737" s="28"/>
    </row>
    <row r="738" customFormat="false" ht="14.25" hidden="false" customHeight="true" outlineLevel="0" collapsed="false">
      <c r="C738" s="28"/>
      <c r="D738" s="28"/>
      <c r="E738" s="28"/>
      <c r="F738" s="28"/>
      <c r="G738" s="28"/>
      <c r="H738" s="28"/>
    </row>
    <row r="739" customFormat="false" ht="14.25" hidden="false" customHeight="true" outlineLevel="0" collapsed="false">
      <c r="C739" s="28"/>
      <c r="D739" s="28"/>
      <c r="E739" s="28"/>
      <c r="F739" s="28"/>
      <c r="G739" s="28"/>
      <c r="H739" s="28"/>
    </row>
    <row r="740" customFormat="false" ht="14.25" hidden="false" customHeight="true" outlineLevel="0" collapsed="false">
      <c r="C740" s="28"/>
      <c r="D740" s="28"/>
      <c r="E740" s="28"/>
      <c r="F740" s="28"/>
      <c r="G740" s="28"/>
      <c r="H740" s="28"/>
    </row>
    <row r="741" customFormat="false" ht="14.25" hidden="false" customHeight="true" outlineLevel="0" collapsed="false">
      <c r="C741" s="28"/>
      <c r="D741" s="28"/>
      <c r="E741" s="28"/>
      <c r="F741" s="28"/>
      <c r="G741" s="28"/>
      <c r="H741" s="28"/>
    </row>
    <row r="742" customFormat="false" ht="14.25" hidden="false" customHeight="true" outlineLevel="0" collapsed="false">
      <c r="C742" s="28"/>
      <c r="D742" s="28"/>
      <c r="E742" s="28"/>
      <c r="F742" s="28"/>
      <c r="G742" s="28"/>
      <c r="H742" s="28"/>
    </row>
    <row r="743" customFormat="false" ht="14.25" hidden="false" customHeight="true" outlineLevel="0" collapsed="false">
      <c r="C743" s="28"/>
      <c r="D743" s="28"/>
      <c r="E743" s="28"/>
      <c r="F743" s="28"/>
      <c r="G743" s="28"/>
      <c r="H743" s="28"/>
    </row>
    <row r="744" customFormat="false" ht="14.25" hidden="false" customHeight="true" outlineLevel="0" collapsed="false">
      <c r="C744" s="28"/>
      <c r="D744" s="28"/>
      <c r="E744" s="28"/>
      <c r="F744" s="28"/>
      <c r="G744" s="28"/>
      <c r="H744" s="28"/>
    </row>
    <row r="745" customFormat="false" ht="14.25" hidden="false" customHeight="true" outlineLevel="0" collapsed="false">
      <c r="C745" s="28"/>
      <c r="D745" s="28"/>
      <c r="E745" s="28"/>
      <c r="F745" s="28"/>
      <c r="G745" s="28"/>
      <c r="H745" s="28"/>
    </row>
    <row r="746" customFormat="false" ht="14.25" hidden="false" customHeight="true" outlineLevel="0" collapsed="false">
      <c r="C746" s="28"/>
      <c r="D746" s="28"/>
      <c r="E746" s="28"/>
      <c r="F746" s="28"/>
      <c r="G746" s="28"/>
      <c r="H746" s="28"/>
    </row>
    <row r="747" customFormat="false" ht="14.25" hidden="false" customHeight="true" outlineLevel="0" collapsed="false">
      <c r="C747" s="28"/>
      <c r="D747" s="28"/>
      <c r="E747" s="28"/>
      <c r="F747" s="28"/>
      <c r="G747" s="28"/>
      <c r="H747" s="28"/>
    </row>
    <row r="748" customFormat="false" ht="14.25" hidden="false" customHeight="true" outlineLevel="0" collapsed="false">
      <c r="C748" s="28"/>
      <c r="D748" s="28"/>
      <c r="E748" s="28"/>
      <c r="F748" s="28"/>
      <c r="G748" s="28"/>
      <c r="H748" s="28"/>
    </row>
    <row r="749" customFormat="false" ht="14.25" hidden="false" customHeight="true" outlineLevel="0" collapsed="false">
      <c r="C749" s="28"/>
      <c r="D749" s="28"/>
      <c r="E749" s="28"/>
      <c r="F749" s="28"/>
      <c r="G749" s="28"/>
      <c r="H749" s="28"/>
    </row>
    <row r="750" customFormat="false" ht="14.25" hidden="false" customHeight="true" outlineLevel="0" collapsed="false">
      <c r="C750" s="28"/>
      <c r="D750" s="28"/>
      <c r="E750" s="28"/>
      <c r="F750" s="28"/>
      <c r="G750" s="28"/>
      <c r="H750" s="28"/>
    </row>
    <row r="751" customFormat="false" ht="14.25" hidden="false" customHeight="true" outlineLevel="0" collapsed="false">
      <c r="C751" s="28"/>
      <c r="D751" s="28"/>
      <c r="E751" s="28"/>
      <c r="F751" s="28"/>
      <c r="G751" s="28"/>
      <c r="H751" s="28"/>
    </row>
    <row r="752" customFormat="false" ht="14.25" hidden="false" customHeight="true" outlineLevel="0" collapsed="false">
      <c r="C752" s="28"/>
      <c r="D752" s="28"/>
      <c r="E752" s="28"/>
      <c r="F752" s="28"/>
      <c r="G752" s="28"/>
      <c r="H752" s="28"/>
    </row>
    <row r="753" customFormat="false" ht="14.25" hidden="false" customHeight="true" outlineLevel="0" collapsed="false">
      <c r="C753" s="28"/>
      <c r="D753" s="28"/>
      <c r="E753" s="28"/>
      <c r="F753" s="28"/>
      <c r="G753" s="28"/>
      <c r="H753" s="28"/>
    </row>
    <row r="754" customFormat="false" ht="14.25" hidden="false" customHeight="true" outlineLevel="0" collapsed="false">
      <c r="C754" s="28"/>
      <c r="D754" s="28"/>
      <c r="E754" s="28"/>
      <c r="F754" s="28"/>
      <c r="G754" s="28"/>
      <c r="H754" s="28"/>
    </row>
    <row r="755" customFormat="false" ht="14.25" hidden="false" customHeight="true" outlineLevel="0" collapsed="false">
      <c r="C755" s="28"/>
      <c r="D755" s="28"/>
      <c r="E755" s="28"/>
      <c r="F755" s="28"/>
      <c r="G755" s="28"/>
      <c r="H755" s="28"/>
    </row>
    <row r="756" customFormat="false" ht="14.25" hidden="false" customHeight="true" outlineLevel="0" collapsed="false">
      <c r="C756" s="28"/>
      <c r="D756" s="28"/>
      <c r="E756" s="28"/>
      <c r="F756" s="28"/>
      <c r="G756" s="28"/>
      <c r="H756" s="28"/>
    </row>
    <row r="757" customFormat="false" ht="14.25" hidden="false" customHeight="true" outlineLevel="0" collapsed="false">
      <c r="C757" s="28"/>
      <c r="D757" s="28"/>
      <c r="E757" s="28"/>
      <c r="F757" s="28"/>
      <c r="G757" s="28"/>
      <c r="H757" s="28"/>
    </row>
    <row r="758" customFormat="false" ht="14.25" hidden="false" customHeight="true" outlineLevel="0" collapsed="false">
      <c r="C758" s="28"/>
      <c r="D758" s="28"/>
      <c r="E758" s="28"/>
      <c r="F758" s="28"/>
      <c r="G758" s="28"/>
      <c r="H758" s="28"/>
    </row>
    <row r="759" customFormat="false" ht="14.25" hidden="false" customHeight="true" outlineLevel="0" collapsed="false">
      <c r="C759" s="28"/>
      <c r="D759" s="28"/>
      <c r="E759" s="28"/>
      <c r="F759" s="28"/>
      <c r="G759" s="28"/>
      <c r="H759" s="28"/>
    </row>
    <row r="760" customFormat="false" ht="14.25" hidden="false" customHeight="true" outlineLevel="0" collapsed="false">
      <c r="C760" s="28"/>
      <c r="D760" s="28"/>
      <c r="E760" s="28"/>
      <c r="F760" s="28"/>
      <c r="G760" s="28"/>
      <c r="H760" s="28"/>
    </row>
    <row r="761" customFormat="false" ht="14.25" hidden="false" customHeight="true" outlineLevel="0" collapsed="false">
      <c r="C761" s="28"/>
      <c r="D761" s="28"/>
      <c r="E761" s="28"/>
      <c r="F761" s="28"/>
      <c r="G761" s="28"/>
      <c r="H761" s="28"/>
    </row>
    <row r="762" customFormat="false" ht="14.25" hidden="false" customHeight="true" outlineLevel="0" collapsed="false">
      <c r="C762" s="28"/>
      <c r="D762" s="28"/>
      <c r="E762" s="28"/>
      <c r="F762" s="28"/>
      <c r="G762" s="28"/>
      <c r="H762" s="28"/>
    </row>
    <row r="763" customFormat="false" ht="14.25" hidden="false" customHeight="true" outlineLevel="0" collapsed="false">
      <c r="C763" s="28"/>
      <c r="D763" s="28"/>
      <c r="E763" s="28"/>
      <c r="F763" s="28"/>
      <c r="G763" s="28"/>
      <c r="H763" s="28"/>
    </row>
    <row r="764" customFormat="false" ht="14.25" hidden="false" customHeight="true" outlineLevel="0" collapsed="false">
      <c r="C764" s="28"/>
      <c r="D764" s="28"/>
      <c r="E764" s="28"/>
      <c r="F764" s="28"/>
      <c r="G764" s="28"/>
      <c r="H764" s="28"/>
    </row>
    <row r="765" customFormat="false" ht="14.25" hidden="false" customHeight="true" outlineLevel="0" collapsed="false">
      <c r="C765" s="28"/>
      <c r="D765" s="28"/>
      <c r="E765" s="28"/>
      <c r="F765" s="28"/>
      <c r="G765" s="28"/>
      <c r="H765" s="28"/>
    </row>
    <row r="766" customFormat="false" ht="14.25" hidden="false" customHeight="true" outlineLevel="0" collapsed="false">
      <c r="C766" s="28"/>
      <c r="D766" s="28"/>
      <c r="E766" s="28"/>
      <c r="F766" s="28"/>
      <c r="G766" s="28"/>
      <c r="H766" s="28"/>
    </row>
    <row r="767" customFormat="false" ht="14.25" hidden="false" customHeight="true" outlineLevel="0" collapsed="false">
      <c r="C767" s="28"/>
      <c r="D767" s="28"/>
      <c r="E767" s="28"/>
      <c r="F767" s="28"/>
      <c r="G767" s="28"/>
      <c r="H767" s="28"/>
    </row>
    <row r="768" customFormat="false" ht="14.25" hidden="false" customHeight="true" outlineLevel="0" collapsed="false">
      <c r="C768" s="28"/>
      <c r="D768" s="28"/>
      <c r="E768" s="28"/>
      <c r="F768" s="28"/>
      <c r="G768" s="28"/>
      <c r="H768" s="28"/>
    </row>
    <row r="769" customFormat="false" ht="14.25" hidden="false" customHeight="true" outlineLevel="0" collapsed="false">
      <c r="C769" s="28"/>
      <c r="D769" s="28"/>
      <c r="E769" s="28"/>
      <c r="F769" s="28"/>
      <c r="G769" s="28"/>
      <c r="H769" s="28"/>
    </row>
    <row r="770" customFormat="false" ht="14.25" hidden="false" customHeight="true" outlineLevel="0" collapsed="false">
      <c r="C770" s="28"/>
      <c r="D770" s="28"/>
      <c r="E770" s="28"/>
      <c r="F770" s="28"/>
      <c r="G770" s="28"/>
      <c r="H770" s="28"/>
    </row>
    <row r="771" customFormat="false" ht="14.25" hidden="false" customHeight="true" outlineLevel="0" collapsed="false">
      <c r="C771" s="28"/>
      <c r="D771" s="28"/>
      <c r="E771" s="28"/>
      <c r="F771" s="28"/>
      <c r="G771" s="28"/>
      <c r="H771" s="28"/>
    </row>
    <row r="772" customFormat="false" ht="14.25" hidden="false" customHeight="true" outlineLevel="0" collapsed="false">
      <c r="C772" s="28"/>
      <c r="D772" s="28"/>
      <c r="E772" s="28"/>
      <c r="F772" s="28"/>
      <c r="G772" s="28"/>
      <c r="H772" s="28"/>
    </row>
    <row r="773" customFormat="false" ht="14.25" hidden="false" customHeight="true" outlineLevel="0" collapsed="false">
      <c r="C773" s="28"/>
      <c r="D773" s="28"/>
      <c r="E773" s="28"/>
      <c r="F773" s="28"/>
      <c r="G773" s="28"/>
      <c r="H773" s="28"/>
    </row>
    <row r="774" customFormat="false" ht="14.25" hidden="false" customHeight="true" outlineLevel="0" collapsed="false">
      <c r="C774" s="28"/>
      <c r="D774" s="28"/>
      <c r="E774" s="28"/>
      <c r="F774" s="28"/>
      <c r="G774" s="28"/>
      <c r="H774" s="28"/>
    </row>
    <row r="775" customFormat="false" ht="14.25" hidden="false" customHeight="true" outlineLevel="0" collapsed="false">
      <c r="C775" s="28"/>
      <c r="D775" s="28"/>
      <c r="E775" s="28"/>
      <c r="F775" s="28"/>
      <c r="G775" s="28"/>
      <c r="H775" s="28"/>
    </row>
    <row r="776" customFormat="false" ht="14.25" hidden="false" customHeight="true" outlineLevel="0" collapsed="false">
      <c r="C776" s="28"/>
      <c r="D776" s="28"/>
      <c r="E776" s="28"/>
      <c r="F776" s="28"/>
      <c r="G776" s="28"/>
      <c r="H776" s="28"/>
    </row>
    <row r="777" customFormat="false" ht="14.25" hidden="false" customHeight="true" outlineLevel="0" collapsed="false">
      <c r="C777" s="28"/>
      <c r="D777" s="28"/>
      <c r="E777" s="28"/>
      <c r="F777" s="28"/>
      <c r="G777" s="28"/>
      <c r="H777" s="28"/>
    </row>
    <row r="778" customFormat="false" ht="14.25" hidden="false" customHeight="true" outlineLevel="0" collapsed="false">
      <c r="C778" s="28"/>
      <c r="D778" s="28"/>
      <c r="E778" s="28"/>
      <c r="F778" s="28"/>
      <c r="G778" s="28"/>
      <c r="H778" s="28"/>
    </row>
    <row r="779" customFormat="false" ht="14.25" hidden="false" customHeight="true" outlineLevel="0" collapsed="false">
      <c r="C779" s="28"/>
      <c r="D779" s="28"/>
      <c r="E779" s="28"/>
      <c r="F779" s="28"/>
      <c r="G779" s="28"/>
      <c r="H779" s="28"/>
    </row>
    <row r="780" customFormat="false" ht="14.25" hidden="false" customHeight="true" outlineLevel="0" collapsed="false">
      <c r="C780" s="28"/>
      <c r="D780" s="28"/>
      <c r="E780" s="28"/>
      <c r="F780" s="28"/>
      <c r="G780" s="28"/>
      <c r="H780" s="28"/>
    </row>
    <row r="781" customFormat="false" ht="14.25" hidden="false" customHeight="true" outlineLevel="0" collapsed="false">
      <c r="C781" s="28"/>
      <c r="D781" s="28"/>
      <c r="E781" s="28"/>
      <c r="F781" s="28"/>
      <c r="G781" s="28"/>
      <c r="H781" s="28"/>
    </row>
    <row r="782" customFormat="false" ht="14.25" hidden="false" customHeight="true" outlineLevel="0" collapsed="false">
      <c r="C782" s="28"/>
      <c r="D782" s="28"/>
      <c r="E782" s="28"/>
      <c r="F782" s="28"/>
      <c r="G782" s="28"/>
      <c r="H782" s="28"/>
    </row>
    <row r="783" customFormat="false" ht="14.25" hidden="false" customHeight="true" outlineLevel="0" collapsed="false">
      <c r="C783" s="28"/>
      <c r="D783" s="28"/>
      <c r="E783" s="28"/>
      <c r="F783" s="28"/>
      <c r="G783" s="28"/>
      <c r="H783" s="28"/>
    </row>
    <row r="784" customFormat="false" ht="14.25" hidden="false" customHeight="true" outlineLevel="0" collapsed="false">
      <c r="C784" s="28"/>
      <c r="D784" s="28"/>
      <c r="E784" s="28"/>
      <c r="F784" s="28"/>
      <c r="G784" s="28"/>
      <c r="H784" s="28"/>
    </row>
    <row r="785" customFormat="false" ht="14.25" hidden="false" customHeight="true" outlineLevel="0" collapsed="false">
      <c r="C785" s="28"/>
      <c r="D785" s="28"/>
      <c r="E785" s="28"/>
      <c r="F785" s="28"/>
      <c r="G785" s="28"/>
      <c r="H785" s="28"/>
    </row>
    <row r="786" customFormat="false" ht="14.25" hidden="false" customHeight="true" outlineLevel="0" collapsed="false">
      <c r="C786" s="28"/>
      <c r="D786" s="28"/>
      <c r="E786" s="28"/>
      <c r="F786" s="28"/>
      <c r="G786" s="28"/>
      <c r="H786" s="28"/>
    </row>
    <row r="787" customFormat="false" ht="14.25" hidden="false" customHeight="true" outlineLevel="0" collapsed="false">
      <c r="C787" s="28"/>
      <c r="D787" s="28"/>
      <c r="E787" s="28"/>
      <c r="F787" s="28"/>
      <c r="G787" s="28"/>
      <c r="H787" s="28"/>
    </row>
    <row r="788" customFormat="false" ht="14.25" hidden="false" customHeight="true" outlineLevel="0" collapsed="false">
      <c r="C788" s="28"/>
      <c r="D788" s="28"/>
      <c r="E788" s="28"/>
      <c r="F788" s="28"/>
      <c r="G788" s="28"/>
      <c r="H788" s="28"/>
    </row>
    <row r="789" customFormat="false" ht="14.25" hidden="false" customHeight="true" outlineLevel="0" collapsed="false">
      <c r="C789" s="28"/>
      <c r="D789" s="28"/>
      <c r="E789" s="28"/>
      <c r="F789" s="28"/>
      <c r="G789" s="28"/>
      <c r="H789" s="28"/>
    </row>
    <row r="790" customFormat="false" ht="14.25" hidden="false" customHeight="true" outlineLevel="0" collapsed="false">
      <c r="C790" s="28"/>
      <c r="D790" s="28"/>
      <c r="E790" s="28"/>
      <c r="F790" s="28"/>
      <c r="G790" s="28"/>
      <c r="H790" s="28"/>
    </row>
    <row r="791" customFormat="false" ht="14.25" hidden="false" customHeight="true" outlineLevel="0" collapsed="false">
      <c r="C791" s="28"/>
      <c r="D791" s="28"/>
      <c r="E791" s="28"/>
      <c r="F791" s="28"/>
      <c r="G791" s="28"/>
      <c r="H791" s="28"/>
    </row>
    <row r="792" customFormat="false" ht="14.25" hidden="false" customHeight="true" outlineLevel="0" collapsed="false">
      <c r="C792" s="28"/>
      <c r="D792" s="28"/>
      <c r="E792" s="28"/>
      <c r="F792" s="28"/>
      <c r="G792" s="28"/>
      <c r="H792" s="28"/>
    </row>
    <row r="793" customFormat="false" ht="14.25" hidden="false" customHeight="true" outlineLevel="0" collapsed="false">
      <c r="C793" s="28"/>
      <c r="D793" s="28"/>
      <c r="E793" s="28"/>
      <c r="F793" s="28"/>
      <c r="G793" s="28"/>
      <c r="H793" s="28"/>
    </row>
    <row r="794" customFormat="false" ht="14.25" hidden="false" customHeight="true" outlineLevel="0" collapsed="false">
      <c r="C794" s="28"/>
      <c r="D794" s="28"/>
      <c r="E794" s="28"/>
      <c r="F794" s="28"/>
      <c r="G794" s="28"/>
      <c r="H794" s="28"/>
    </row>
    <row r="795" customFormat="false" ht="14.25" hidden="false" customHeight="true" outlineLevel="0" collapsed="false">
      <c r="C795" s="28"/>
      <c r="D795" s="28"/>
      <c r="E795" s="28"/>
      <c r="F795" s="28"/>
      <c r="G795" s="28"/>
      <c r="H795" s="28"/>
    </row>
    <row r="796" customFormat="false" ht="14.25" hidden="false" customHeight="true" outlineLevel="0" collapsed="false">
      <c r="C796" s="28"/>
      <c r="D796" s="28"/>
      <c r="E796" s="28"/>
      <c r="F796" s="28"/>
      <c r="G796" s="28"/>
      <c r="H796" s="28"/>
    </row>
    <row r="797" customFormat="false" ht="14.25" hidden="false" customHeight="true" outlineLevel="0" collapsed="false">
      <c r="C797" s="28"/>
      <c r="D797" s="28"/>
      <c r="E797" s="28"/>
      <c r="F797" s="28"/>
      <c r="G797" s="28"/>
      <c r="H797" s="28"/>
    </row>
    <row r="798" customFormat="false" ht="14.25" hidden="false" customHeight="true" outlineLevel="0" collapsed="false">
      <c r="C798" s="28"/>
      <c r="D798" s="28"/>
      <c r="E798" s="28"/>
      <c r="F798" s="28"/>
      <c r="G798" s="28"/>
      <c r="H798" s="28"/>
    </row>
    <row r="799" customFormat="false" ht="14.25" hidden="false" customHeight="true" outlineLevel="0" collapsed="false">
      <c r="C799" s="28"/>
      <c r="D799" s="28"/>
      <c r="E799" s="28"/>
      <c r="F799" s="28"/>
      <c r="G799" s="28"/>
      <c r="H799" s="28"/>
    </row>
    <row r="800" customFormat="false" ht="14.25" hidden="false" customHeight="true" outlineLevel="0" collapsed="false">
      <c r="C800" s="28"/>
      <c r="D800" s="28"/>
      <c r="E800" s="28"/>
      <c r="F800" s="28"/>
      <c r="G800" s="28"/>
      <c r="H800" s="28"/>
    </row>
    <row r="801" customFormat="false" ht="14.25" hidden="false" customHeight="true" outlineLevel="0" collapsed="false">
      <c r="C801" s="28"/>
      <c r="D801" s="28"/>
      <c r="E801" s="28"/>
      <c r="F801" s="28"/>
      <c r="G801" s="28"/>
      <c r="H801" s="28"/>
    </row>
    <row r="802" customFormat="false" ht="14.25" hidden="false" customHeight="true" outlineLevel="0" collapsed="false">
      <c r="C802" s="28"/>
      <c r="D802" s="28"/>
      <c r="E802" s="28"/>
      <c r="F802" s="28"/>
      <c r="G802" s="28"/>
      <c r="H802" s="28"/>
    </row>
    <row r="803" customFormat="false" ht="14.25" hidden="false" customHeight="true" outlineLevel="0" collapsed="false">
      <c r="C803" s="28"/>
      <c r="D803" s="28"/>
      <c r="E803" s="28"/>
      <c r="F803" s="28"/>
      <c r="G803" s="28"/>
      <c r="H803" s="28"/>
    </row>
    <row r="804" customFormat="false" ht="14.25" hidden="false" customHeight="true" outlineLevel="0" collapsed="false">
      <c r="C804" s="28"/>
      <c r="D804" s="28"/>
      <c r="E804" s="28"/>
      <c r="F804" s="28"/>
      <c r="G804" s="28"/>
      <c r="H804" s="28"/>
    </row>
    <row r="805" customFormat="false" ht="14.25" hidden="false" customHeight="true" outlineLevel="0" collapsed="false">
      <c r="C805" s="28"/>
      <c r="D805" s="28"/>
      <c r="E805" s="28"/>
      <c r="F805" s="28"/>
      <c r="G805" s="28"/>
      <c r="H805" s="28"/>
    </row>
    <row r="806" customFormat="false" ht="14.25" hidden="false" customHeight="true" outlineLevel="0" collapsed="false">
      <c r="C806" s="28"/>
      <c r="D806" s="28"/>
      <c r="E806" s="28"/>
      <c r="F806" s="28"/>
      <c r="G806" s="28"/>
      <c r="H806" s="28"/>
    </row>
    <row r="807" customFormat="false" ht="14.25" hidden="false" customHeight="true" outlineLevel="0" collapsed="false">
      <c r="C807" s="28"/>
      <c r="D807" s="28"/>
      <c r="E807" s="28"/>
      <c r="F807" s="28"/>
      <c r="G807" s="28"/>
      <c r="H807" s="28"/>
    </row>
    <row r="808" customFormat="false" ht="14.25" hidden="false" customHeight="true" outlineLevel="0" collapsed="false">
      <c r="C808" s="28"/>
      <c r="D808" s="28"/>
      <c r="E808" s="28"/>
      <c r="F808" s="28"/>
      <c r="G808" s="28"/>
      <c r="H808" s="28"/>
    </row>
    <row r="809" customFormat="false" ht="14.25" hidden="false" customHeight="true" outlineLevel="0" collapsed="false">
      <c r="C809" s="28"/>
      <c r="D809" s="28"/>
      <c r="E809" s="28"/>
      <c r="F809" s="28"/>
      <c r="G809" s="28"/>
      <c r="H809" s="28"/>
    </row>
    <row r="810" customFormat="false" ht="14.25" hidden="false" customHeight="true" outlineLevel="0" collapsed="false">
      <c r="C810" s="28"/>
      <c r="D810" s="28"/>
      <c r="E810" s="28"/>
      <c r="F810" s="28"/>
      <c r="G810" s="28"/>
      <c r="H810" s="28"/>
    </row>
    <row r="811" customFormat="false" ht="14.25" hidden="false" customHeight="true" outlineLevel="0" collapsed="false">
      <c r="C811" s="28"/>
      <c r="D811" s="28"/>
      <c r="E811" s="28"/>
      <c r="F811" s="28"/>
      <c r="G811" s="28"/>
      <c r="H811" s="28"/>
    </row>
    <row r="812" customFormat="false" ht="14.25" hidden="false" customHeight="true" outlineLevel="0" collapsed="false">
      <c r="C812" s="28"/>
      <c r="D812" s="28"/>
      <c r="E812" s="28"/>
      <c r="F812" s="28"/>
      <c r="G812" s="28"/>
      <c r="H812" s="28"/>
    </row>
    <row r="813" customFormat="false" ht="14.25" hidden="false" customHeight="true" outlineLevel="0" collapsed="false">
      <c r="C813" s="28"/>
      <c r="D813" s="28"/>
      <c r="E813" s="28"/>
      <c r="F813" s="28"/>
      <c r="G813" s="28"/>
      <c r="H813" s="28"/>
    </row>
    <row r="814" customFormat="false" ht="14.25" hidden="false" customHeight="true" outlineLevel="0" collapsed="false">
      <c r="C814" s="28"/>
      <c r="D814" s="28"/>
      <c r="E814" s="28"/>
      <c r="F814" s="28"/>
      <c r="G814" s="28"/>
      <c r="H814" s="28"/>
    </row>
    <row r="815" customFormat="false" ht="14.25" hidden="false" customHeight="true" outlineLevel="0" collapsed="false">
      <c r="C815" s="28"/>
      <c r="D815" s="28"/>
      <c r="E815" s="28"/>
      <c r="F815" s="28"/>
      <c r="G815" s="28"/>
      <c r="H815" s="28"/>
    </row>
    <row r="816" customFormat="false" ht="14.25" hidden="false" customHeight="true" outlineLevel="0" collapsed="false">
      <c r="C816" s="28"/>
      <c r="D816" s="28"/>
      <c r="E816" s="28"/>
      <c r="F816" s="28"/>
      <c r="G816" s="28"/>
      <c r="H816" s="28"/>
    </row>
    <row r="817" customFormat="false" ht="14.25" hidden="false" customHeight="true" outlineLevel="0" collapsed="false">
      <c r="C817" s="28"/>
      <c r="D817" s="28"/>
      <c r="E817" s="28"/>
      <c r="F817" s="28"/>
      <c r="G817" s="28"/>
      <c r="H817" s="28"/>
    </row>
    <row r="818" customFormat="false" ht="14.25" hidden="false" customHeight="true" outlineLevel="0" collapsed="false">
      <c r="C818" s="28"/>
      <c r="D818" s="28"/>
      <c r="E818" s="28"/>
      <c r="F818" s="28"/>
      <c r="G818" s="28"/>
      <c r="H818" s="28"/>
    </row>
    <row r="819" customFormat="false" ht="14.25" hidden="false" customHeight="true" outlineLevel="0" collapsed="false">
      <c r="C819" s="28"/>
      <c r="D819" s="28"/>
      <c r="E819" s="28"/>
      <c r="F819" s="28"/>
      <c r="G819" s="28"/>
      <c r="H819" s="28"/>
    </row>
    <row r="820" customFormat="false" ht="14.25" hidden="false" customHeight="true" outlineLevel="0" collapsed="false">
      <c r="C820" s="28"/>
      <c r="D820" s="28"/>
      <c r="E820" s="28"/>
      <c r="F820" s="28"/>
      <c r="G820" s="28"/>
      <c r="H820" s="28"/>
    </row>
    <row r="821" customFormat="false" ht="14.25" hidden="false" customHeight="true" outlineLevel="0" collapsed="false">
      <c r="C821" s="28"/>
      <c r="D821" s="28"/>
      <c r="E821" s="28"/>
      <c r="F821" s="28"/>
      <c r="G821" s="28"/>
      <c r="H821" s="28"/>
    </row>
    <row r="822" customFormat="false" ht="14.25" hidden="false" customHeight="true" outlineLevel="0" collapsed="false">
      <c r="C822" s="28"/>
      <c r="D822" s="28"/>
      <c r="E822" s="28"/>
      <c r="F822" s="28"/>
      <c r="G822" s="28"/>
      <c r="H822" s="28"/>
    </row>
    <row r="823" customFormat="false" ht="14.25" hidden="false" customHeight="true" outlineLevel="0" collapsed="false">
      <c r="C823" s="28"/>
      <c r="D823" s="28"/>
      <c r="E823" s="28"/>
      <c r="F823" s="28"/>
      <c r="G823" s="28"/>
      <c r="H823" s="28"/>
    </row>
    <row r="824" customFormat="false" ht="14.25" hidden="false" customHeight="true" outlineLevel="0" collapsed="false">
      <c r="C824" s="28"/>
      <c r="D824" s="28"/>
      <c r="E824" s="28"/>
      <c r="F824" s="28"/>
      <c r="G824" s="28"/>
      <c r="H824" s="28"/>
    </row>
    <row r="825" customFormat="false" ht="14.25" hidden="false" customHeight="true" outlineLevel="0" collapsed="false">
      <c r="C825" s="28"/>
      <c r="D825" s="28"/>
      <c r="E825" s="28"/>
      <c r="F825" s="28"/>
      <c r="G825" s="28"/>
      <c r="H825" s="28"/>
    </row>
    <row r="826" customFormat="false" ht="14.25" hidden="false" customHeight="true" outlineLevel="0" collapsed="false">
      <c r="C826" s="28"/>
      <c r="D826" s="28"/>
      <c r="E826" s="28"/>
      <c r="F826" s="28"/>
      <c r="G826" s="28"/>
      <c r="H826" s="28"/>
    </row>
    <row r="827" customFormat="false" ht="14.25" hidden="false" customHeight="true" outlineLevel="0" collapsed="false">
      <c r="C827" s="28"/>
      <c r="D827" s="28"/>
      <c r="E827" s="28"/>
      <c r="F827" s="28"/>
      <c r="G827" s="28"/>
      <c r="H827" s="28"/>
    </row>
    <row r="828" customFormat="false" ht="14.25" hidden="false" customHeight="true" outlineLevel="0" collapsed="false">
      <c r="C828" s="28"/>
      <c r="D828" s="28"/>
      <c r="E828" s="28"/>
      <c r="F828" s="28"/>
      <c r="G828" s="28"/>
      <c r="H828" s="28"/>
    </row>
    <row r="829" customFormat="false" ht="14.25" hidden="false" customHeight="true" outlineLevel="0" collapsed="false">
      <c r="C829" s="28"/>
      <c r="D829" s="28"/>
      <c r="E829" s="28"/>
      <c r="F829" s="28"/>
      <c r="G829" s="28"/>
      <c r="H829" s="28"/>
    </row>
    <row r="830" customFormat="false" ht="14.25" hidden="false" customHeight="true" outlineLevel="0" collapsed="false">
      <c r="C830" s="28"/>
      <c r="D830" s="28"/>
      <c r="E830" s="28"/>
      <c r="F830" s="28"/>
      <c r="G830" s="28"/>
      <c r="H830" s="28"/>
    </row>
    <row r="831" customFormat="false" ht="14.25" hidden="false" customHeight="true" outlineLevel="0" collapsed="false">
      <c r="C831" s="28"/>
      <c r="D831" s="28"/>
      <c r="E831" s="28"/>
      <c r="F831" s="28"/>
      <c r="G831" s="28"/>
      <c r="H831" s="28"/>
    </row>
    <row r="832" customFormat="false" ht="14.25" hidden="false" customHeight="true" outlineLevel="0" collapsed="false">
      <c r="C832" s="28"/>
      <c r="D832" s="28"/>
      <c r="E832" s="28"/>
      <c r="F832" s="28"/>
      <c r="G832" s="28"/>
      <c r="H832" s="28"/>
    </row>
    <row r="833" customFormat="false" ht="14.25" hidden="false" customHeight="true" outlineLevel="0" collapsed="false">
      <c r="C833" s="28"/>
      <c r="D833" s="28"/>
      <c r="E833" s="28"/>
      <c r="F833" s="28"/>
      <c r="G833" s="28"/>
      <c r="H833" s="28"/>
    </row>
    <row r="834" customFormat="false" ht="14.25" hidden="false" customHeight="true" outlineLevel="0" collapsed="false">
      <c r="C834" s="28"/>
      <c r="D834" s="28"/>
      <c r="E834" s="28"/>
      <c r="F834" s="28"/>
      <c r="G834" s="28"/>
      <c r="H834" s="28"/>
    </row>
    <row r="835" customFormat="false" ht="14.25" hidden="false" customHeight="true" outlineLevel="0" collapsed="false">
      <c r="C835" s="28"/>
      <c r="D835" s="28"/>
      <c r="E835" s="28"/>
      <c r="F835" s="28"/>
      <c r="G835" s="28"/>
      <c r="H835" s="28"/>
    </row>
    <row r="836" customFormat="false" ht="14.25" hidden="false" customHeight="true" outlineLevel="0" collapsed="false">
      <c r="C836" s="28"/>
      <c r="D836" s="28"/>
      <c r="E836" s="28"/>
      <c r="F836" s="28"/>
      <c r="G836" s="28"/>
      <c r="H836" s="28"/>
    </row>
    <row r="837" customFormat="false" ht="14.25" hidden="false" customHeight="true" outlineLevel="0" collapsed="false">
      <c r="C837" s="28"/>
      <c r="D837" s="28"/>
      <c r="E837" s="28"/>
      <c r="F837" s="28"/>
      <c r="G837" s="28"/>
      <c r="H837" s="28"/>
    </row>
    <row r="838" customFormat="false" ht="14.25" hidden="false" customHeight="true" outlineLevel="0" collapsed="false">
      <c r="C838" s="28"/>
      <c r="D838" s="28"/>
      <c r="E838" s="28"/>
      <c r="F838" s="28"/>
      <c r="G838" s="28"/>
      <c r="H838" s="28"/>
    </row>
    <row r="839" customFormat="false" ht="14.25" hidden="false" customHeight="true" outlineLevel="0" collapsed="false">
      <c r="C839" s="28"/>
      <c r="D839" s="28"/>
      <c r="E839" s="28"/>
      <c r="F839" s="28"/>
      <c r="G839" s="28"/>
      <c r="H839" s="28"/>
    </row>
    <row r="840" customFormat="false" ht="14.25" hidden="false" customHeight="true" outlineLevel="0" collapsed="false">
      <c r="C840" s="28"/>
      <c r="D840" s="28"/>
      <c r="E840" s="28"/>
      <c r="F840" s="28"/>
      <c r="G840" s="28"/>
      <c r="H840" s="28"/>
    </row>
    <row r="841" customFormat="false" ht="14.25" hidden="false" customHeight="true" outlineLevel="0" collapsed="false">
      <c r="C841" s="28"/>
      <c r="D841" s="28"/>
      <c r="E841" s="28"/>
      <c r="F841" s="28"/>
      <c r="G841" s="28"/>
      <c r="H841" s="28"/>
    </row>
    <row r="842" customFormat="false" ht="14.25" hidden="false" customHeight="true" outlineLevel="0" collapsed="false">
      <c r="C842" s="28"/>
      <c r="D842" s="28"/>
      <c r="E842" s="28"/>
      <c r="F842" s="28"/>
      <c r="G842" s="28"/>
      <c r="H842" s="28"/>
    </row>
    <row r="843" customFormat="false" ht="14.25" hidden="false" customHeight="true" outlineLevel="0" collapsed="false">
      <c r="C843" s="28"/>
      <c r="D843" s="28"/>
      <c r="E843" s="28"/>
      <c r="F843" s="28"/>
      <c r="G843" s="28"/>
      <c r="H843" s="28"/>
    </row>
    <row r="844" customFormat="false" ht="14.25" hidden="false" customHeight="true" outlineLevel="0" collapsed="false">
      <c r="C844" s="28"/>
      <c r="D844" s="28"/>
      <c r="E844" s="28"/>
      <c r="F844" s="28"/>
      <c r="G844" s="28"/>
      <c r="H844" s="28"/>
    </row>
    <row r="845" customFormat="false" ht="14.25" hidden="false" customHeight="true" outlineLevel="0" collapsed="false">
      <c r="C845" s="28"/>
      <c r="D845" s="28"/>
      <c r="E845" s="28"/>
      <c r="F845" s="28"/>
      <c r="G845" s="28"/>
      <c r="H845" s="28"/>
    </row>
    <row r="846" customFormat="false" ht="14.25" hidden="false" customHeight="true" outlineLevel="0" collapsed="false">
      <c r="C846" s="28"/>
      <c r="D846" s="28"/>
      <c r="E846" s="28"/>
      <c r="F846" s="28"/>
      <c r="G846" s="28"/>
      <c r="H846" s="28"/>
    </row>
    <row r="847" customFormat="false" ht="14.25" hidden="false" customHeight="true" outlineLevel="0" collapsed="false">
      <c r="C847" s="28"/>
      <c r="D847" s="28"/>
      <c r="E847" s="28"/>
      <c r="F847" s="28"/>
      <c r="G847" s="28"/>
      <c r="H847" s="28"/>
    </row>
    <row r="848" customFormat="false" ht="14.25" hidden="false" customHeight="true" outlineLevel="0" collapsed="false">
      <c r="C848" s="28"/>
      <c r="D848" s="28"/>
      <c r="E848" s="28"/>
      <c r="F848" s="28"/>
      <c r="G848" s="28"/>
      <c r="H848" s="28"/>
    </row>
    <row r="849" customFormat="false" ht="14.25" hidden="false" customHeight="true" outlineLevel="0" collapsed="false">
      <c r="C849" s="28"/>
      <c r="D849" s="28"/>
      <c r="E849" s="28"/>
      <c r="F849" s="28"/>
      <c r="G849" s="28"/>
      <c r="H849" s="28"/>
    </row>
    <row r="850" customFormat="false" ht="14.25" hidden="false" customHeight="true" outlineLevel="0" collapsed="false">
      <c r="C850" s="28"/>
      <c r="D850" s="28"/>
      <c r="E850" s="28"/>
      <c r="F850" s="28"/>
      <c r="G850" s="28"/>
      <c r="H850" s="28"/>
    </row>
    <row r="851" customFormat="false" ht="14.25" hidden="false" customHeight="true" outlineLevel="0" collapsed="false">
      <c r="C851" s="28"/>
      <c r="D851" s="28"/>
      <c r="E851" s="28"/>
      <c r="F851" s="28"/>
      <c r="G851" s="28"/>
      <c r="H851" s="28"/>
    </row>
    <row r="852" customFormat="false" ht="14.25" hidden="false" customHeight="true" outlineLevel="0" collapsed="false">
      <c r="C852" s="28"/>
      <c r="D852" s="28"/>
      <c r="E852" s="28"/>
      <c r="F852" s="28"/>
      <c r="G852" s="28"/>
      <c r="H852" s="28"/>
    </row>
    <row r="853" customFormat="false" ht="14.25" hidden="false" customHeight="true" outlineLevel="0" collapsed="false">
      <c r="C853" s="28"/>
      <c r="D853" s="28"/>
      <c r="E853" s="28"/>
      <c r="F853" s="28"/>
      <c r="G853" s="28"/>
      <c r="H853" s="28"/>
    </row>
    <row r="854" customFormat="false" ht="14.25" hidden="false" customHeight="true" outlineLevel="0" collapsed="false">
      <c r="C854" s="28"/>
      <c r="D854" s="28"/>
      <c r="E854" s="28"/>
      <c r="F854" s="28"/>
      <c r="G854" s="28"/>
      <c r="H854" s="28"/>
    </row>
    <row r="855" customFormat="false" ht="14.25" hidden="false" customHeight="true" outlineLevel="0" collapsed="false">
      <c r="C855" s="28"/>
      <c r="D855" s="28"/>
      <c r="E855" s="28"/>
      <c r="F855" s="28"/>
      <c r="G855" s="28"/>
      <c r="H855" s="28"/>
    </row>
    <row r="856" customFormat="false" ht="14.25" hidden="false" customHeight="true" outlineLevel="0" collapsed="false">
      <c r="C856" s="28"/>
      <c r="D856" s="28"/>
      <c r="E856" s="28"/>
      <c r="F856" s="28"/>
      <c r="G856" s="28"/>
      <c r="H856" s="28"/>
    </row>
    <row r="857" customFormat="false" ht="14.25" hidden="false" customHeight="true" outlineLevel="0" collapsed="false">
      <c r="C857" s="28"/>
      <c r="D857" s="28"/>
      <c r="E857" s="28"/>
      <c r="F857" s="28"/>
      <c r="G857" s="28"/>
      <c r="H857" s="28"/>
    </row>
    <row r="858" customFormat="false" ht="14.25" hidden="false" customHeight="true" outlineLevel="0" collapsed="false">
      <c r="C858" s="28"/>
      <c r="D858" s="28"/>
      <c r="E858" s="28"/>
      <c r="F858" s="28"/>
      <c r="G858" s="28"/>
      <c r="H858" s="28"/>
    </row>
    <row r="859" customFormat="false" ht="14.25" hidden="false" customHeight="true" outlineLevel="0" collapsed="false">
      <c r="C859" s="28"/>
      <c r="D859" s="28"/>
      <c r="E859" s="28"/>
      <c r="F859" s="28"/>
      <c r="G859" s="28"/>
      <c r="H859" s="28"/>
    </row>
    <row r="860" customFormat="false" ht="14.25" hidden="false" customHeight="true" outlineLevel="0" collapsed="false">
      <c r="C860" s="28"/>
      <c r="D860" s="28"/>
      <c r="E860" s="28"/>
      <c r="F860" s="28"/>
      <c r="G860" s="28"/>
      <c r="H860" s="28"/>
    </row>
    <row r="861" customFormat="false" ht="14.25" hidden="false" customHeight="true" outlineLevel="0" collapsed="false">
      <c r="C861" s="28"/>
      <c r="D861" s="28"/>
      <c r="E861" s="28"/>
      <c r="F861" s="28"/>
      <c r="G861" s="28"/>
      <c r="H861" s="28"/>
    </row>
    <row r="862" customFormat="false" ht="14.25" hidden="false" customHeight="true" outlineLevel="0" collapsed="false">
      <c r="C862" s="28"/>
      <c r="D862" s="28"/>
      <c r="E862" s="28"/>
      <c r="F862" s="28"/>
      <c r="G862" s="28"/>
      <c r="H862" s="28"/>
    </row>
    <row r="863" customFormat="false" ht="14.25" hidden="false" customHeight="true" outlineLevel="0" collapsed="false">
      <c r="C863" s="28"/>
      <c r="D863" s="28"/>
      <c r="E863" s="28"/>
      <c r="F863" s="28"/>
      <c r="G863" s="28"/>
      <c r="H863" s="28"/>
    </row>
    <row r="864" customFormat="false" ht="14.25" hidden="false" customHeight="true" outlineLevel="0" collapsed="false">
      <c r="C864" s="28"/>
      <c r="D864" s="28"/>
      <c r="E864" s="28"/>
      <c r="F864" s="28"/>
      <c r="G864" s="28"/>
      <c r="H864" s="28"/>
    </row>
    <row r="865" customFormat="false" ht="14.25" hidden="false" customHeight="true" outlineLevel="0" collapsed="false">
      <c r="C865" s="28"/>
      <c r="D865" s="28"/>
      <c r="E865" s="28"/>
      <c r="F865" s="28"/>
      <c r="G865" s="28"/>
      <c r="H865" s="28"/>
    </row>
    <row r="866" customFormat="false" ht="14.25" hidden="false" customHeight="true" outlineLevel="0" collapsed="false">
      <c r="C866" s="28"/>
      <c r="D866" s="28"/>
      <c r="E866" s="28"/>
      <c r="F866" s="28"/>
      <c r="G866" s="28"/>
      <c r="H866" s="28"/>
    </row>
    <row r="867" customFormat="false" ht="14.25" hidden="false" customHeight="true" outlineLevel="0" collapsed="false">
      <c r="C867" s="28"/>
      <c r="D867" s="28"/>
      <c r="E867" s="28"/>
      <c r="F867" s="28"/>
      <c r="G867" s="28"/>
      <c r="H867" s="28"/>
    </row>
    <row r="868" customFormat="false" ht="14.25" hidden="false" customHeight="true" outlineLevel="0" collapsed="false">
      <c r="C868" s="28"/>
      <c r="D868" s="28"/>
      <c r="E868" s="28"/>
      <c r="F868" s="28"/>
      <c r="G868" s="28"/>
      <c r="H868" s="28"/>
    </row>
    <row r="869" customFormat="false" ht="14.25" hidden="false" customHeight="true" outlineLevel="0" collapsed="false">
      <c r="C869" s="28"/>
      <c r="D869" s="28"/>
      <c r="E869" s="28"/>
      <c r="F869" s="28"/>
      <c r="G869" s="28"/>
      <c r="H869" s="28"/>
    </row>
    <row r="870" customFormat="false" ht="14.25" hidden="false" customHeight="true" outlineLevel="0" collapsed="false">
      <c r="C870" s="28"/>
      <c r="D870" s="28"/>
      <c r="E870" s="28"/>
      <c r="F870" s="28"/>
      <c r="G870" s="28"/>
      <c r="H870" s="28"/>
    </row>
    <row r="871" customFormat="false" ht="14.25" hidden="false" customHeight="true" outlineLevel="0" collapsed="false">
      <c r="C871" s="28"/>
      <c r="D871" s="28"/>
      <c r="E871" s="28"/>
      <c r="F871" s="28"/>
      <c r="G871" s="28"/>
      <c r="H871" s="28"/>
    </row>
    <row r="872" customFormat="false" ht="14.25" hidden="false" customHeight="true" outlineLevel="0" collapsed="false">
      <c r="C872" s="28"/>
      <c r="D872" s="28"/>
      <c r="E872" s="28"/>
      <c r="F872" s="28"/>
      <c r="G872" s="28"/>
      <c r="H872" s="28"/>
    </row>
    <row r="873" customFormat="false" ht="14.25" hidden="false" customHeight="true" outlineLevel="0" collapsed="false">
      <c r="C873" s="28"/>
      <c r="D873" s="28"/>
      <c r="E873" s="28"/>
      <c r="F873" s="28"/>
      <c r="G873" s="28"/>
      <c r="H873" s="28"/>
    </row>
    <row r="874" customFormat="false" ht="14.25" hidden="false" customHeight="true" outlineLevel="0" collapsed="false">
      <c r="C874" s="28"/>
      <c r="D874" s="28"/>
      <c r="E874" s="28"/>
      <c r="F874" s="28"/>
      <c r="G874" s="28"/>
      <c r="H874" s="28"/>
    </row>
    <row r="875" customFormat="false" ht="14.25" hidden="false" customHeight="true" outlineLevel="0" collapsed="false">
      <c r="C875" s="28"/>
      <c r="D875" s="28"/>
      <c r="E875" s="28"/>
      <c r="F875" s="28"/>
      <c r="G875" s="28"/>
      <c r="H875" s="28"/>
    </row>
    <row r="876" customFormat="false" ht="14.25" hidden="false" customHeight="true" outlineLevel="0" collapsed="false">
      <c r="C876" s="28"/>
      <c r="D876" s="28"/>
      <c r="E876" s="28"/>
      <c r="F876" s="28"/>
      <c r="G876" s="28"/>
      <c r="H876" s="28"/>
    </row>
    <row r="877" customFormat="false" ht="14.25" hidden="false" customHeight="true" outlineLevel="0" collapsed="false">
      <c r="C877" s="28"/>
      <c r="D877" s="28"/>
      <c r="E877" s="28"/>
      <c r="F877" s="28"/>
      <c r="G877" s="28"/>
      <c r="H877" s="28"/>
    </row>
    <row r="878" customFormat="false" ht="14.25" hidden="false" customHeight="true" outlineLevel="0" collapsed="false">
      <c r="C878" s="28"/>
      <c r="D878" s="28"/>
      <c r="E878" s="28"/>
      <c r="F878" s="28"/>
      <c r="G878" s="28"/>
      <c r="H878" s="28"/>
    </row>
    <row r="879" customFormat="false" ht="14.25" hidden="false" customHeight="true" outlineLevel="0" collapsed="false">
      <c r="C879" s="28"/>
      <c r="D879" s="28"/>
      <c r="E879" s="28"/>
      <c r="F879" s="28"/>
      <c r="G879" s="28"/>
      <c r="H879" s="28"/>
    </row>
    <row r="880" customFormat="false" ht="14.25" hidden="false" customHeight="true" outlineLevel="0" collapsed="false">
      <c r="C880" s="28"/>
      <c r="D880" s="28"/>
      <c r="E880" s="28"/>
      <c r="F880" s="28"/>
      <c r="G880" s="28"/>
      <c r="H880" s="28"/>
    </row>
    <row r="881" customFormat="false" ht="14.25" hidden="false" customHeight="true" outlineLevel="0" collapsed="false">
      <c r="C881" s="28"/>
      <c r="D881" s="28"/>
      <c r="E881" s="28"/>
      <c r="F881" s="28"/>
      <c r="G881" s="28"/>
      <c r="H881" s="28"/>
    </row>
    <row r="882" customFormat="false" ht="14.25" hidden="false" customHeight="true" outlineLevel="0" collapsed="false">
      <c r="C882" s="28"/>
      <c r="D882" s="28"/>
      <c r="E882" s="28"/>
      <c r="F882" s="28"/>
      <c r="G882" s="28"/>
      <c r="H882" s="28"/>
    </row>
    <row r="883" customFormat="false" ht="14.25" hidden="false" customHeight="true" outlineLevel="0" collapsed="false">
      <c r="C883" s="28"/>
      <c r="D883" s="28"/>
      <c r="E883" s="28"/>
      <c r="F883" s="28"/>
      <c r="G883" s="28"/>
      <c r="H883" s="28"/>
    </row>
    <row r="884" customFormat="false" ht="14.25" hidden="false" customHeight="true" outlineLevel="0" collapsed="false">
      <c r="C884" s="28"/>
      <c r="D884" s="28"/>
      <c r="E884" s="28"/>
      <c r="F884" s="28"/>
      <c r="G884" s="28"/>
      <c r="H884" s="28"/>
    </row>
    <row r="885" customFormat="false" ht="14.25" hidden="false" customHeight="true" outlineLevel="0" collapsed="false">
      <c r="C885" s="28"/>
      <c r="D885" s="28"/>
      <c r="E885" s="28"/>
      <c r="F885" s="28"/>
      <c r="G885" s="28"/>
      <c r="H885" s="28"/>
    </row>
    <row r="886" customFormat="false" ht="14.25" hidden="false" customHeight="true" outlineLevel="0" collapsed="false">
      <c r="C886" s="28"/>
      <c r="D886" s="28"/>
      <c r="E886" s="28"/>
      <c r="F886" s="28"/>
      <c r="G886" s="28"/>
      <c r="H886" s="28"/>
    </row>
    <row r="887" customFormat="false" ht="14.25" hidden="false" customHeight="true" outlineLevel="0" collapsed="false">
      <c r="C887" s="28"/>
      <c r="D887" s="28"/>
      <c r="E887" s="28"/>
      <c r="F887" s="28"/>
      <c r="G887" s="28"/>
      <c r="H887" s="28"/>
    </row>
    <row r="888" customFormat="false" ht="14.25" hidden="false" customHeight="true" outlineLevel="0" collapsed="false">
      <c r="C888" s="28"/>
      <c r="D888" s="28"/>
      <c r="E888" s="28"/>
      <c r="F888" s="28"/>
      <c r="G888" s="28"/>
      <c r="H888" s="28"/>
    </row>
    <row r="889" customFormat="false" ht="14.25" hidden="false" customHeight="true" outlineLevel="0" collapsed="false">
      <c r="C889" s="28"/>
      <c r="D889" s="28"/>
      <c r="E889" s="28"/>
      <c r="F889" s="28"/>
      <c r="G889" s="28"/>
      <c r="H889" s="28"/>
    </row>
    <row r="890" customFormat="false" ht="14.25" hidden="false" customHeight="true" outlineLevel="0" collapsed="false">
      <c r="C890" s="28"/>
      <c r="D890" s="28"/>
      <c r="E890" s="28"/>
      <c r="F890" s="28"/>
      <c r="G890" s="28"/>
      <c r="H890" s="28"/>
    </row>
    <row r="891" customFormat="false" ht="14.25" hidden="false" customHeight="true" outlineLevel="0" collapsed="false">
      <c r="C891" s="28"/>
      <c r="D891" s="28"/>
      <c r="E891" s="28"/>
      <c r="F891" s="28"/>
      <c r="G891" s="28"/>
      <c r="H891" s="28"/>
    </row>
    <row r="892" customFormat="false" ht="14.25" hidden="false" customHeight="true" outlineLevel="0" collapsed="false">
      <c r="C892" s="28"/>
      <c r="D892" s="28"/>
      <c r="E892" s="28"/>
      <c r="F892" s="28"/>
      <c r="G892" s="28"/>
      <c r="H892" s="28"/>
    </row>
    <row r="893" customFormat="false" ht="14.25" hidden="false" customHeight="true" outlineLevel="0" collapsed="false">
      <c r="C893" s="28"/>
      <c r="D893" s="28"/>
      <c r="E893" s="28"/>
      <c r="F893" s="28"/>
      <c r="G893" s="28"/>
      <c r="H893" s="28"/>
    </row>
    <row r="894" customFormat="false" ht="14.25" hidden="false" customHeight="true" outlineLevel="0" collapsed="false">
      <c r="C894" s="28"/>
      <c r="D894" s="28"/>
      <c r="E894" s="28"/>
      <c r="F894" s="28"/>
      <c r="G894" s="28"/>
      <c r="H894" s="28"/>
    </row>
    <row r="895" customFormat="false" ht="14.25" hidden="false" customHeight="true" outlineLevel="0" collapsed="false">
      <c r="C895" s="28"/>
      <c r="D895" s="28"/>
      <c r="E895" s="28"/>
      <c r="F895" s="28"/>
      <c r="G895" s="28"/>
      <c r="H895" s="28"/>
    </row>
    <row r="896" customFormat="false" ht="14.25" hidden="false" customHeight="true" outlineLevel="0" collapsed="false">
      <c r="C896" s="28"/>
      <c r="D896" s="28"/>
      <c r="E896" s="28"/>
      <c r="F896" s="28"/>
      <c r="G896" s="28"/>
      <c r="H896" s="28"/>
    </row>
    <row r="897" customFormat="false" ht="14.25" hidden="false" customHeight="true" outlineLevel="0" collapsed="false">
      <c r="C897" s="28"/>
      <c r="D897" s="28"/>
      <c r="E897" s="28"/>
      <c r="F897" s="28"/>
      <c r="G897" s="28"/>
      <c r="H897" s="28"/>
    </row>
    <row r="898" customFormat="false" ht="14.25" hidden="false" customHeight="true" outlineLevel="0" collapsed="false">
      <c r="C898" s="28"/>
      <c r="D898" s="28"/>
      <c r="E898" s="28"/>
      <c r="F898" s="28"/>
      <c r="G898" s="28"/>
      <c r="H898" s="28"/>
    </row>
    <row r="899" customFormat="false" ht="14.25" hidden="false" customHeight="true" outlineLevel="0" collapsed="false">
      <c r="C899" s="28"/>
      <c r="D899" s="28"/>
      <c r="E899" s="28"/>
      <c r="F899" s="28"/>
      <c r="G899" s="28"/>
      <c r="H899" s="28"/>
    </row>
    <row r="900" customFormat="false" ht="14.25" hidden="false" customHeight="true" outlineLevel="0" collapsed="false">
      <c r="C900" s="28"/>
      <c r="D900" s="28"/>
      <c r="E900" s="28"/>
      <c r="F900" s="28"/>
      <c r="G900" s="28"/>
      <c r="H900" s="28"/>
    </row>
    <row r="901" customFormat="false" ht="14.25" hidden="false" customHeight="true" outlineLevel="0" collapsed="false">
      <c r="C901" s="28"/>
      <c r="D901" s="28"/>
      <c r="E901" s="28"/>
      <c r="F901" s="28"/>
      <c r="G901" s="28"/>
      <c r="H901" s="28"/>
    </row>
    <row r="902" customFormat="false" ht="14.25" hidden="false" customHeight="true" outlineLevel="0" collapsed="false">
      <c r="C902" s="28"/>
      <c r="D902" s="28"/>
      <c r="E902" s="28"/>
      <c r="F902" s="28"/>
      <c r="G902" s="28"/>
      <c r="H902" s="28"/>
    </row>
    <row r="903" customFormat="false" ht="14.25" hidden="false" customHeight="true" outlineLevel="0" collapsed="false">
      <c r="C903" s="28"/>
      <c r="D903" s="28"/>
      <c r="E903" s="28"/>
      <c r="F903" s="28"/>
      <c r="G903" s="28"/>
      <c r="H903" s="28"/>
    </row>
    <row r="904" customFormat="false" ht="14.25" hidden="false" customHeight="true" outlineLevel="0" collapsed="false">
      <c r="C904" s="28"/>
      <c r="D904" s="28"/>
      <c r="E904" s="28"/>
      <c r="F904" s="28"/>
      <c r="G904" s="28"/>
      <c r="H904" s="28"/>
    </row>
    <row r="905" customFormat="false" ht="14.25" hidden="false" customHeight="true" outlineLevel="0" collapsed="false">
      <c r="C905" s="28"/>
      <c r="D905" s="28"/>
      <c r="E905" s="28"/>
      <c r="F905" s="28"/>
      <c r="G905" s="28"/>
      <c r="H905" s="28"/>
    </row>
    <row r="906" customFormat="false" ht="14.25" hidden="false" customHeight="true" outlineLevel="0" collapsed="false">
      <c r="C906" s="28"/>
      <c r="D906" s="28"/>
      <c r="E906" s="28"/>
      <c r="F906" s="28"/>
      <c r="G906" s="28"/>
      <c r="H906" s="28"/>
    </row>
    <row r="907" customFormat="false" ht="14.25" hidden="false" customHeight="true" outlineLevel="0" collapsed="false">
      <c r="C907" s="28"/>
      <c r="D907" s="28"/>
      <c r="E907" s="28"/>
      <c r="F907" s="28"/>
      <c r="G907" s="28"/>
      <c r="H907" s="28"/>
    </row>
    <row r="908" customFormat="false" ht="14.25" hidden="false" customHeight="true" outlineLevel="0" collapsed="false">
      <c r="C908" s="28"/>
      <c r="D908" s="28"/>
      <c r="E908" s="28"/>
      <c r="F908" s="28"/>
      <c r="G908" s="28"/>
      <c r="H908" s="28"/>
    </row>
    <row r="909" customFormat="false" ht="14.25" hidden="false" customHeight="true" outlineLevel="0" collapsed="false">
      <c r="C909" s="28"/>
      <c r="D909" s="28"/>
      <c r="E909" s="28"/>
      <c r="F909" s="28"/>
      <c r="G909" s="28"/>
      <c r="H909" s="28"/>
    </row>
    <row r="910" customFormat="false" ht="14.25" hidden="false" customHeight="true" outlineLevel="0" collapsed="false">
      <c r="C910" s="28"/>
      <c r="D910" s="28"/>
      <c r="E910" s="28"/>
      <c r="F910" s="28"/>
      <c r="G910" s="28"/>
      <c r="H910" s="28"/>
    </row>
    <row r="911" customFormat="false" ht="14.25" hidden="false" customHeight="true" outlineLevel="0" collapsed="false">
      <c r="C911" s="28"/>
      <c r="D911" s="28"/>
      <c r="E911" s="28"/>
      <c r="F911" s="28"/>
      <c r="G911" s="28"/>
      <c r="H911" s="28"/>
    </row>
    <row r="912" customFormat="false" ht="14.25" hidden="false" customHeight="true" outlineLevel="0" collapsed="false">
      <c r="C912" s="28"/>
      <c r="D912" s="28"/>
      <c r="E912" s="28"/>
      <c r="F912" s="28"/>
      <c r="G912" s="28"/>
      <c r="H912" s="28"/>
    </row>
    <row r="913" customFormat="false" ht="14.25" hidden="false" customHeight="true" outlineLevel="0" collapsed="false">
      <c r="C913" s="28"/>
      <c r="D913" s="28"/>
      <c r="E913" s="28"/>
      <c r="F913" s="28"/>
      <c r="G913" s="28"/>
      <c r="H913" s="28"/>
    </row>
    <row r="914" customFormat="false" ht="14.25" hidden="false" customHeight="true" outlineLevel="0" collapsed="false">
      <c r="C914" s="28"/>
      <c r="D914" s="28"/>
      <c r="E914" s="28"/>
      <c r="F914" s="28"/>
      <c r="G914" s="28"/>
      <c r="H914" s="28"/>
    </row>
    <row r="915" customFormat="false" ht="14.25" hidden="false" customHeight="true" outlineLevel="0" collapsed="false">
      <c r="C915" s="28"/>
      <c r="D915" s="28"/>
      <c r="E915" s="28"/>
      <c r="F915" s="28"/>
      <c r="G915" s="28"/>
      <c r="H915" s="28"/>
    </row>
    <row r="916" customFormat="false" ht="14.25" hidden="false" customHeight="true" outlineLevel="0" collapsed="false">
      <c r="C916" s="28"/>
      <c r="D916" s="28"/>
      <c r="E916" s="28"/>
      <c r="F916" s="28"/>
      <c r="G916" s="28"/>
      <c r="H916" s="28"/>
    </row>
    <row r="917" customFormat="false" ht="14.25" hidden="false" customHeight="true" outlineLevel="0" collapsed="false">
      <c r="C917" s="28"/>
      <c r="D917" s="28"/>
      <c r="E917" s="28"/>
      <c r="F917" s="28"/>
      <c r="G917" s="28"/>
      <c r="H917" s="28"/>
    </row>
    <row r="918" customFormat="false" ht="14.25" hidden="false" customHeight="true" outlineLevel="0" collapsed="false">
      <c r="C918" s="28"/>
      <c r="D918" s="28"/>
      <c r="E918" s="28"/>
      <c r="F918" s="28"/>
      <c r="G918" s="28"/>
      <c r="H918" s="28"/>
    </row>
    <row r="919" customFormat="false" ht="14.25" hidden="false" customHeight="true" outlineLevel="0" collapsed="false">
      <c r="C919" s="28"/>
      <c r="D919" s="28"/>
      <c r="E919" s="28"/>
      <c r="F919" s="28"/>
      <c r="G919" s="28"/>
      <c r="H919" s="28"/>
    </row>
    <row r="920" customFormat="false" ht="14.25" hidden="false" customHeight="true" outlineLevel="0" collapsed="false">
      <c r="C920" s="28"/>
      <c r="D920" s="28"/>
      <c r="E920" s="28"/>
      <c r="F920" s="28"/>
      <c r="G920" s="28"/>
      <c r="H920" s="28"/>
    </row>
    <row r="921" customFormat="false" ht="14.25" hidden="false" customHeight="true" outlineLevel="0" collapsed="false">
      <c r="C921" s="28"/>
      <c r="D921" s="28"/>
      <c r="E921" s="28"/>
      <c r="F921" s="28"/>
      <c r="G921" s="28"/>
      <c r="H921" s="28"/>
    </row>
    <row r="922" customFormat="false" ht="14.25" hidden="false" customHeight="true" outlineLevel="0" collapsed="false">
      <c r="C922" s="28"/>
      <c r="D922" s="28"/>
      <c r="E922" s="28"/>
      <c r="F922" s="28"/>
      <c r="G922" s="28"/>
      <c r="H922" s="28"/>
    </row>
    <row r="923" customFormat="false" ht="14.25" hidden="false" customHeight="true" outlineLevel="0" collapsed="false">
      <c r="C923" s="28"/>
      <c r="D923" s="28"/>
      <c r="E923" s="28"/>
      <c r="F923" s="28"/>
      <c r="G923" s="28"/>
      <c r="H923" s="28"/>
    </row>
    <row r="924" customFormat="false" ht="14.25" hidden="false" customHeight="true" outlineLevel="0" collapsed="false">
      <c r="C924" s="28"/>
      <c r="D924" s="28"/>
      <c r="E924" s="28"/>
      <c r="F924" s="28"/>
      <c r="G924" s="28"/>
      <c r="H924" s="28"/>
    </row>
    <row r="925" customFormat="false" ht="14.25" hidden="false" customHeight="true" outlineLevel="0" collapsed="false">
      <c r="C925" s="28"/>
      <c r="D925" s="28"/>
      <c r="E925" s="28"/>
      <c r="F925" s="28"/>
      <c r="G925" s="28"/>
      <c r="H925" s="28"/>
    </row>
    <row r="926" customFormat="false" ht="14.25" hidden="false" customHeight="true" outlineLevel="0" collapsed="false">
      <c r="C926" s="28"/>
      <c r="D926" s="28"/>
      <c r="E926" s="28"/>
      <c r="F926" s="28"/>
      <c r="G926" s="28"/>
      <c r="H926" s="28"/>
    </row>
    <row r="927" customFormat="false" ht="14.25" hidden="false" customHeight="true" outlineLevel="0" collapsed="false">
      <c r="C927" s="28"/>
      <c r="D927" s="28"/>
      <c r="E927" s="28"/>
      <c r="F927" s="28"/>
      <c r="G927" s="28"/>
      <c r="H927" s="28"/>
    </row>
    <row r="928" customFormat="false" ht="14.25" hidden="false" customHeight="true" outlineLevel="0" collapsed="false">
      <c r="C928" s="28"/>
      <c r="D928" s="28"/>
      <c r="E928" s="28"/>
      <c r="F928" s="28"/>
      <c r="G928" s="28"/>
      <c r="H928" s="28"/>
    </row>
    <row r="929" customFormat="false" ht="14.25" hidden="false" customHeight="true" outlineLevel="0" collapsed="false">
      <c r="C929" s="28"/>
      <c r="D929" s="28"/>
      <c r="E929" s="28"/>
      <c r="F929" s="28"/>
      <c r="G929" s="28"/>
      <c r="H929" s="28"/>
    </row>
    <row r="930" customFormat="false" ht="14.25" hidden="false" customHeight="true" outlineLevel="0" collapsed="false">
      <c r="C930" s="28"/>
      <c r="D930" s="28"/>
      <c r="E930" s="28"/>
      <c r="F930" s="28"/>
      <c r="G930" s="28"/>
      <c r="H930" s="28"/>
    </row>
    <row r="931" customFormat="false" ht="14.25" hidden="false" customHeight="true" outlineLevel="0" collapsed="false">
      <c r="C931" s="28"/>
      <c r="D931" s="28"/>
      <c r="E931" s="28"/>
      <c r="F931" s="28"/>
      <c r="G931" s="28"/>
      <c r="H931" s="28"/>
    </row>
    <row r="932" customFormat="false" ht="14.25" hidden="false" customHeight="true" outlineLevel="0" collapsed="false">
      <c r="C932" s="28"/>
      <c r="D932" s="28"/>
      <c r="E932" s="28"/>
      <c r="F932" s="28"/>
      <c r="G932" s="28"/>
      <c r="H932" s="28"/>
    </row>
    <row r="933" customFormat="false" ht="14.25" hidden="false" customHeight="true" outlineLevel="0" collapsed="false">
      <c r="C933" s="28"/>
      <c r="D933" s="28"/>
      <c r="E933" s="28"/>
      <c r="F933" s="28"/>
      <c r="G933" s="28"/>
      <c r="H933" s="28"/>
    </row>
    <row r="934" customFormat="false" ht="14.25" hidden="false" customHeight="true" outlineLevel="0" collapsed="false">
      <c r="C934" s="28"/>
      <c r="D934" s="28"/>
      <c r="E934" s="28"/>
      <c r="F934" s="28"/>
      <c r="G934" s="28"/>
      <c r="H934" s="28"/>
    </row>
    <row r="935" customFormat="false" ht="14.25" hidden="false" customHeight="true" outlineLevel="0" collapsed="false">
      <c r="C935" s="28"/>
      <c r="D935" s="28"/>
      <c r="E935" s="28"/>
      <c r="F935" s="28"/>
      <c r="G935" s="28"/>
      <c r="H935" s="28"/>
    </row>
    <row r="936" customFormat="false" ht="14.25" hidden="false" customHeight="true" outlineLevel="0" collapsed="false">
      <c r="C936" s="28"/>
      <c r="D936" s="28"/>
      <c r="E936" s="28"/>
      <c r="F936" s="28"/>
      <c r="G936" s="28"/>
      <c r="H936" s="28"/>
    </row>
    <row r="937" customFormat="false" ht="14.25" hidden="false" customHeight="true" outlineLevel="0" collapsed="false">
      <c r="C937" s="28"/>
      <c r="D937" s="28"/>
      <c r="E937" s="28"/>
      <c r="F937" s="28"/>
      <c r="G937" s="28"/>
      <c r="H937" s="28"/>
    </row>
    <row r="938" customFormat="false" ht="14.25" hidden="false" customHeight="true" outlineLevel="0" collapsed="false">
      <c r="C938" s="28"/>
      <c r="D938" s="28"/>
      <c r="E938" s="28"/>
      <c r="F938" s="28"/>
      <c r="G938" s="28"/>
      <c r="H938" s="28"/>
    </row>
    <row r="939" customFormat="false" ht="14.25" hidden="false" customHeight="true" outlineLevel="0" collapsed="false">
      <c r="C939" s="28"/>
      <c r="D939" s="28"/>
      <c r="E939" s="28"/>
      <c r="F939" s="28"/>
      <c r="G939" s="28"/>
      <c r="H939" s="28"/>
    </row>
    <row r="940" customFormat="false" ht="14.25" hidden="false" customHeight="true" outlineLevel="0" collapsed="false">
      <c r="C940" s="28"/>
      <c r="D940" s="28"/>
      <c r="E940" s="28"/>
      <c r="F940" s="28"/>
      <c r="G940" s="28"/>
      <c r="H940" s="28"/>
    </row>
    <row r="941" customFormat="false" ht="14.25" hidden="false" customHeight="true" outlineLevel="0" collapsed="false">
      <c r="C941" s="28"/>
      <c r="D941" s="28"/>
      <c r="E941" s="28"/>
      <c r="F941" s="28"/>
      <c r="G941" s="28"/>
      <c r="H941" s="28"/>
    </row>
    <row r="942" customFormat="false" ht="14.25" hidden="false" customHeight="true" outlineLevel="0" collapsed="false">
      <c r="C942" s="28"/>
      <c r="D942" s="28"/>
      <c r="E942" s="28"/>
      <c r="F942" s="28"/>
      <c r="G942" s="28"/>
      <c r="H942" s="28"/>
    </row>
    <row r="943" customFormat="false" ht="14.25" hidden="false" customHeight="true" outlineLevel="0" collapsed="false">
      <c r="C943" s="28"/>
      <c r="D943" s="28"/>
      <c r="E943" s="28"/>
      <c r="F943" s="28"/>
      <c r="G943" s="28"/>
      <c r="H943" s="28"/>
    </row>
    <row r="944" customFormat="false" ht="14.25" hidden="false" customHeight="true" outlineLevel="0" collapsed="false">
      <c r="C944" s="28"/>
      <c r="D944" s="28"/>
      <c r="E944" s="28"/>
      <c r="F944" s="28"/>
      <c r="G944" s="28"/>
      <c r="H944" s="28"/>
    </row>
    <row r="945" customFormat="false" ht="14.25" hidden="false" customHeight="true" outlineLevel="0" collapsed="false">
      <c r="C945" s="28"/>
      <c r="D945" s="28"/>
      <c r="E945" s="28"/>
      <c r="F945" s="28"/>
      <c r="G945" s="28"/>
      <c r="H945" s="28"/>
    </row>
    <row r="946" customFormat="false" ht="14.25" hidden="false" customHeight="true" outlineLevel="0" collapsed="false">
      <c r="C946" s="28"/>
      <c r="D946" s="28"/>
      <c r="E946" s="28"/>
      <c r="F946" s="28"/>
      <c r="G946" s="28"/>
      <c r="H946" s="28"/>
    </row>
    <row r="947" customFormat="false" ht="14.25" hidden="false" customHeight="true" outlineLevel="0" collapsed="false">
      <c r="C947" s="28"/>
      <c r="D947" s="28"/>
      <c r="E947" s="28"/>
      <c r="F947" s="28"/>
      <c r="G947" s="28"/>
      <c r="H947" s="28"/>
    </row>
    <row r="948" customFormat="false" ht="14.25" hidden="false" customHeight="true" outlineLevel="0" collapsed="false">
      <c r="C948" s="28"/>
      <c r="D948" s="28"/>
      <c r="E948" s="28"/>
      <c r="F948" s="28"/>
      <c r="G948" s="28"/>
      <c r="H948" s="28"/>
    </row>
    <row r="949" customFormat="false" ht="14.25" hidden="false" customHeight="true" outlineLevel="0" collapsed="false">
      <c r="C949" s="28"/>
      <c r="D949" s="28"/>
      <c r="E949" s="28"/>
      <c r="F949" s="28"/>
      <c r="G949" s="28"/>
      <c r="H949" s="28"/>
    </row>
    <row r="950" customFormat="false" ht="14.25" hidden="false" customHeight="true" outlineLevel="0" collapsed="false">
      <c r="C950" s="28"/>
      <c r="D950" s="28"/>
      <c r="E950" s="28"/>
      <c r="F950" s="28"/>
      <c r="G950" s="28"/>
      <c r="H950" s="28"/>
    </row>
    <row r="951" customFormat="false" ht="14.25" hidden="false" customHeight="true" outlineLevel="0" collapsed="false">
      <c r="C951" s="28"/>
      <c r="D951" s="28"/>
      <c r="E951" s="28"/>
      <c r="F951" s="28"/>
      <c r="G951" s="28"/>
      <c r="H951" s="28"/>
    </row>
    <row r="952" customFormat="false" ht="14.25" hidden="false" customHeight="true" outlineLevel="0" collapsed="false">
      <c r="C952" s="28"/>
      <c r="D952" s="28"/>
      <c r="E952" s="28"/>
      <c r="F952" s="28"/>
      <c r="G952" s="28"/>
      <c r="H952" s="28"/>
    </row>
    <row r="953" customFormat="false" ht="14.25" hidden="false" customHeight="true" outlineLevel="0" collapsed="false">
      <c r="C953" s="28"/>
      <c r="D953" s="28"/>
      <c r="E953" s="28"/>
      <c r="F953" s="28"/>
      <c r="G953" s="28"/>
      <c r="H953" s="28"/>
    </row>
    <row r="954" customFormat="false" ht="14.25" hidden="false" customHeight="true" outlineLevel="0" collapsed="false">
      <c r="C954" s="28"/>
      <c r="D954" s="28"/>
      <c r="E954" s="28"/>
      <c r="F954" s="28"/>
      <c r="G954" s="28"/>
      <c r="H954" s="28"/>
    </row>
    <row r="955" customFormat="false" ht="14.25" hidden="false" customHeight="true" outlineLevel="0" collapsed="false">
      <c r="C955" s="28"/>
      <c r="D955" s="28"/>
      <c r="E955" s="28"/>
      <c r="F955" s="28"/>
      <c r="G955" s="28"/>
      <c r="H955" s="28"/>
    </row>
    <row r="956" customFormat="false" ht="14.25" hidden="false" customHeight="true" outlineLevel="0" collapsed="false">
      <c r="C956" s="28"/>
      <c r="D956" s="28"/>
      <c r="E956" s="28"/>
      <c r="F956" s="28"/>
      <c r="G956" s="28"/>
      <c r="H956" s="28"/>
    </row>
    <row r="957" customFormat="false" ht="14.25" hidden="false" customHeight="true" outlineLevel="0" collapsed="false">
      <c r="C957" s="28"/>
      <c r="D957" s="28"/>
      <c r="E957" s="28"/>
      <c r="F957" s="28"/>
      <c r="G957" s="28"/>
      <c r="H957" s="28"/>
    </row>
    <row r="958" customFormat="false" ht="14.25" hidden="false" customHeight="true" outlineLevel="0" collapsed="false">
      <c r="C958" s="28"/>
      <c r="D958" s="28"/>
      <c r="E958" s="28"/>
      <c r="F958" s="28"/>
      <c r="G958" s="28"/>
      <c r="H958" s="28"/>
    </row>
    <row r="959" customFormat="false" ht="14.25" hidden="false" customHeight="true" outlineLevel="0" collapsed="false">
      <c r="C959" s="28"/>
      <c r="D959" s="28"/>
      <c r="E959" s="28"/>
      <c r="F959" s="28"/>
      <c r="G959" s="28"/>
      <c r="H959" s="28"/>
    </row>
    <row r="960" customFormat="false" ht="14.25" hidden="false" customHeight="true" outlineLevel="0" collapsed="false">
      <c r="C960" s="28"/>
      <c r="D960" s="28"/>
      <c r="E960" s="28"/>
      <c r="F960" s="28"/>
      <c r="G960" s="28"/>
      <c r="H960" s="28"/>
    </row>
    <row r="961" customFormat="false" ht="14.25" hidden="false" customHeight="true" outlineLevel="0" collapsed="false">
      <c r="C961" s="28"/>
      <c r="D961" s="28"/>
      <c r="E961" s="28"/>
      <c r="F961" s="28"/>
      <c r="G961" s="28"/>
      <c r="H961" s="28"/>
    </row>
    <row r="962" customFormat="false" ht="14.25" hidden="false" customHeight="true" outlineLevel="0" collapsed="false">
      <c r="C962" s="28"/>
      <c r="D962" s="28"/>
      <c r="E962" s="28"/>
      <c r="F962" s="28"/>
      <c r="G962" s="28"/>
      <c r="H962" s="28"/>
    </row>
    <row r="963" customFormat="false" ht="14.25" hidden="false" customHeight="true" outlineLevel="0" collapsed="false">
      <c r="C963" s="28"/>
      <c r="D963" s="28"/>
      <c r="E963" s="28"/>
      <c r="F963" s="28"/>
      <c r="G963" s="28"/>
      <c r="H963" s="28"/>
    </row>
    <row r="964" customFormat="false" ht="14.25" hidden="false" customHeight="true" outlineLevel="0" collapsed="false">
      <c r="C964" s="28"/>
      <c r="D964" s="28"/>
      <c r="E964" s="28"/>
      <c r="F964" s="28"/>
      <c r="G964" s="28"/>
      <c r="H964" s="28"/>
    </row>
    <row r="965" customFormat="false" ht="14.25" hidden="false" customHeight="true" outlineLevel="0" collapsed="false">
      <c r="C965" s="28"/>
      <c r="D965" s="28"/>
      <c r="E965" s="28"/>
      <c r="F965" s="28"/>
      <c r="G965" s="28"/>
      <c r="H965" s="28"/>
    </row>
    <row r="966" customFormat="false" ht="14.25" hidden="false" customHeight="true" outlineLevel="0" collapsed="false">
      <c r="C966" s="28"/>
      <c r="D966" s="28"/>
      <c r="E966" s="28"/>
      <c r="F966" s="28"/>
      <c r="G966" s="28"/>
      <c r="H966" s="28"/>
    </row>
    <row r="967" customFormat="false" ht="14.25" hidden="false" customHeight="true" outlineLevel="0" collapsed="false">
      <c r="C967" s="28"/>
      <c r="D967" s="28"/>
      <c r="E967" s="28"/>
      <c r="F967" s="28"/>
      <c r="G967" s="28"/>
      <c r="H967" s="28"/>
    </row>
    <row r="968" customFormat="false" ht="14.25" hidden="false" customHeight="true" outlineLevel="0" collapsed="false">
      <c r="C968" s="28"/>
      <c r="D968" s="28"/>
      <c r="E968" s="28"/>
      <c r="F968" s="28"/>
      <c r="G968" s="28"/>
      <c r="H968" s="28"/>
    </row>
    <row r="969" customFormat="false" ht="14.25" hidden="false" customHeight="true" outlineLevel="0" collapsed="false">
      <c r="C969" s="28"/>
      <c r="D969" s="28"/>
      <c r="E969" s="28"/>
      <c r="F969" s="28"/>
      <c r="G969" s="28"/>
      <c r="H969" s="28"/>
    </row>
    <row r="970" customFormat="false" ht="14.25" hidden="false" customHeight="true" outlineLevel="0" collapsed="false">
      <c r="C970" s="28"/>
      <c r="D970" s="28"/>
      <c r="E970" s="28"/>
      <c r="F970" s="28"/>
      <c r="G970" s="28"/>
      <c r="H970" s="28"/>
    </row>
    <row r="971" customFormat="false" ht="14.25" hidden="false" customHeight="true" outlineLevel="0" collapsed="false">
      <c r="C971" s="28"/>
      <c r="D971" s="28"/>
      <c r="E971" s="28"/>
      <c r="F971" s="28"/>
      <c r="G971" s="28"/>
      <c r="H971" s="28"/>
    </row>
    <row r="972" customFormat="false" ht="14.25" hidden="false" customHeight="true" outlineLevel="0" collapsed="false">
      <c r="C972" s="28"/>
      <c r="D972" s="28"/>
      <c r="E972" s="28"/>
      <c r="F972" s="28"/>
      <c r="G972" s="28"/>
      <c r="H972" s="28"/>
    </row>
    <row r="973" customFormat="false" ht="14.25" hidden="false" customHeight="true" outlineLevel="0" collapsed="false">
      <c r="C973" s="28"/>
      <c r="D973" s="28"/>
      <c r="E973" s="28"/>
      <c r="F973" s="28"/>
      <c r="G973" s="28"/>
      <c r="H973" s="28"/>
    </row>
    <row r="974" customFormat="false" ht="14.25" hidden="false" customHeight="true" outlineLevel="0" collapsed="false">
      <c r="C974" s="28"/>
      <c r="D974" s="28"/>
      <c r="E974" s="28"/>
      <c r="F974" s="28"/>
      <c r="G974" s="28"/>
      <c r="H974" s="28"/>
    </row>
    <row r="975" customFormat="false" ht="14.25" hidden="false" customHeight="true" outlineLevel="0" collapsed="false">
      <c r="C975" s="28"/>
      <c r="D975" s="28"/>
      <c r="E975" s="28"/>
      <c r="F975" s="28"/>
      <c r="G975" s="28"/>
      <c r="H975" s="28"/>
    </row>
    <row r="976" customFormat="false" ht="14.25" hidden="false" customHeight="true" outlineLevel="0" collapsed="false">
      <c r="C976" s="28"/>
      <c r="D976" s="28"/>
      <c r="E976" s="28"/>
      <c r="F976" s="28"/>
      <c r="G976" s="28"/>
      <c r="H976" s="28"/>
    </row>
    <row r="977" customFormat="false" ht="14.25" hidden="false" customHeight="true" outlineLevel="0" collapsed="false">
      <c r="C977" s="28"/>
      <c r="D977" s="28"/>
      <c r="E977" s="28"/>
      <c r="F977" s="28"/>
      <c r="G977" s="28"/>
      <c r="H977" s="28"/>
    </row>
    <row r="978" customFormat="false" ht="14.25" hidden="false" customHeight="true" outlineLevel="0" collapsed="false">
      <c r="C978" s="28"/>
      <c r="D978" s="28"/>
      <c r="E978" s="28"/>
      <c r="F978" s="28"/>
      <c r="G978" s="28"/>
      <c r="H978" s="28"/>
    </row>
    <row r="979" customFormat="false" ht="14.25" hidden="false" customHeight="true" outlineLevel="0" collapsed="false">
      <c r="C979" s="28"/>
      <c r="D979" s="28"/>
      <c r="E979" s="28"/>
      <c r="F979" s="28"/>
      <c r="G979" s="28"/>
      <c r="H979" s="28"/>
    </row>
    <row r="980" customFormat="false" ht="14.25" hidden="false" customHeight="true" outlineLevel="0" collapsed="false">
      <c r="C980" s="28"/>
      <c r="D980" s="28"/>
      <c r="E980" s="28"/>
      <c r="F980" s="28"/>
      <c r="G980" s="28"/>
      <c r="H980" s="28"/>
    </row>
    <row r="981" customFormat="false" ht="14.25" hidden="false" customHeight="true" outlineLevel="0" collapsed="false">
      <c r="C981" s="28"/>
      <c r="D981" s="28"/>
      <c r="E981" s="28"/>
      <c r="F981" s="28"/>
      <c r="G981" s="28"/>
      <c r="H981" s="28"/>
    </row>
    <row r="982" customFormat="false" ht="14.25" hidden="false" customHeight="true" outlineLevel="0" collapsed="false">
      <c r="C982" s="28"/>
      <c r="D982" s="28"/>
      <c r="E982" s="28"/>
      <c r="F982" s="28"/>
      <c r="G982" s="28"/>
      <c r="H982" s="28"/>
    </row>
    <row r="983" customFormat="false" ht="14.25" hidden="false" customHeight="true" outlineLevel="0" collapsed="false">
      <c r="C983" s="28"/>
      <c r="D983" s="28"/>
      <c r="E983" s="28"/>
      <c r="F983" s="28"/>
      <c r="G983" s="28"/>
      <c r="H983" s="28"/>
    </row>
    <row r="984" customFormat="false" ht="14.25" hidden="false" customHeight="true" outlineLevel="0" collapsed="false">
      <c r="C984" s="28"/>
      <c r="D984" s="28"/>
      <c r="E984" s="28"/>
      <c r="F984" s="28"/>
      <c r="G984" s="28"/>
      <c r="H984" s="28"/>
    </row>
    <row r="985" customFormat="false" ht="14.25" hidden="false" customHeight="true" outlineLevel="0" collapsed="false">
      <c r="C985" s="28"/>
      <c r="D985" s="28"/>
      <c r="E985" s="28"/>
      <c r="F985" s="28"/>
      <c r="G985" s="28"/>
      <c r="H985" s="28"/>
    </row>
    <row r="986" customFormat="false" ht="14.25" hidden="false" customHeight="true" outlineLevel="0" collapsed="false">
      <c r="C986" s="28"/>
      <c r="D986" s="28"/>
      <c r="E986" s="28"/>
      <c r="F986" s="28"/>
      <c r="G986" s="28"/>
      <c r="H986" s="28"/>
    </row>
    <row r="987" customFormat="false" ht="14.25" hidden="false" customHeight="true" outlineLevel="0" collapsed="false">
      <c r="C987" s="28"/>
      <c r="D987" s="28"/>
      <c r="E987" s="28"/>
      <c r="F987" s="28"/>
      <c r="G987" s="28"/>
      <c r="H987" s="28"/>
    </row>
    <row r="988" customFormat="false" ht="14.25" hidden="false" customHeight="true" outlineLevel="0" collapsed="false">
      <c r="C988" s="28"/>
      <c r="D988" s="28"/>
      <c r="E988" s="28"/>
      <c r="F988" s="28"/>
      <c r="G988" s="28"/>
      <c r="H988" s="28"/>
    </row>
    <row r="989" customFormat="false" ht="14.25" hidden="false" customHeight="true" outlineLevel="0" collapsed="false">
      <c r="C989" s="28"/>
      <c r="D989" s="28"/>
      <c r="E989" s="28"/>
      <c r="F989" s="28"/>
      <c r="G989" s="28"/>
      <c r="H989" s="28"/>
    </row>
    <row r="990" customFormat="false" ht="14.25" hidden="false" customHeight="true" outlineLevel="0" collapsed="false">
      <c r="C990" s="28"/>
      <c r="D990" s="28"/>
      <c r="E990" s="28"/>
      <c r="F990" s="28"/>
      <c r="G990" s="28"/>
      <c r="H990" s="28"/>
    </row>
    <row r="991" customFormat="false" ht="14.25" hidden="false" customHeight="true" outlineLevel="0" collapsed="false">
      <c r="C991" s="28"/>
      <c r="D991" s="28"/>
      <c r="E991" s="28"/>
      <c r="F991" s="28"/>
      <c r="G991" s="28"/>
      <c r="H991" s="28"/>
    </row>
    <row r="992" customFormat="false" ht="14.25" hidden="false" customHeight="true" outlineLevel="0" collapsed="false">
      <c r="C992" s="28"/>
      <c r="D992" s="28"/>
      <c r="E992" s="28"/>
      <c r="F992" s="28"/>
      <c r="G992" s="28"/>
      <c r="H992" s="28"/>
    </row>
    <row r="993" customFormat="false" ht="14.25" hidden="false" customHeight="true" outlineLevel="0" collapsed="false">
      <c r="C993" s="28"/>
      <c r="D993" s="28"/>
      <c r="E993" s="28"/>
      <c r="F993" s="28"/>
      <c r="G993" s="28"/>
      <c r="H993" s="28"/>
    </row>
    <row r="994" customFormat="false" ht="14.25" hidden="false" customHeight="true" outlineLevel="0" collapsed="false">
      <c r="C994" s="28"/>
      <c r="D994" s="28"/>
      <c r="E994" s="28"/>
      <c r="F994" s="28"/>
      <c r="G994" s="28"/>
      <c r="H994" s="28"/>
    </row>
    <row r="995" customFormat="false" ht="14.25" hidden="false" customHeight="true" outlineLevel="0" collapsed="false">
      <c r="C995" s="28"/>
      <c r="D995" s="28"/>
      <c r="E995" s="28"/>
      <c r="F995" s="28"/>
      <c r="G995" s="28"/>
      <c r="H995" s="28"/>
    </row>
    <row r="996" customFormat="false" ht="14.25" hidden="false" customHeight="true" outlineLevel="0" collapsed="false">
      <c r="C996" s="28"/>
      <c r="D996" s="28"/>
      <c r="E996" s="28"/>
      <c r="F996" s="28"/>
      <c r="G996" s="28"/>
      <c r="H996" s="28"/>
    </row>
    <row r="997" customFormat="false" ht="14.25" hidden="false" customHeight="true" outlineLevel="0" collapsed="false">
      <c r="C997" s="28"/>
      <c r="D997" s="28"/>
      <c r="E997" s="28"/>
      <c r="F997" s="28"/>
      <c r="G997" s="28"/>
      <c r="H997" s="28"/>
    </row>
    <row r="998" customFormat="false" ht="14.25" hidden="false" customHeight="true" outlineLevel="0" collapsed="false">
      <c r="C998" s="28"/>
      <c r="D998" s="28"/>
      <c r="E998" s="28"/>
      <c r="F998" s="28"/>
      <c r="G998" s="28"/>
      <c r="H998" s="28"/>
    </row>
    <row r="999" customFormat="false" ht="14.25" hidden="false" customHeight="true" outlineLevel="0" collapsed="false">
      <c r="C999" s="28"/>
      <c r="D999" s="28"/>
      <c r="E999" s="28"/>
      <c r="F999" s="28"/>
      <c r="G999" s="28"/>
      <c r="H999" s="28"/>
    </row>
    <row r="1000" customFormat="false" ht="14.25" hidden="false" customHeight="true" outlineLevel="0" collapsed="false">
      <c r="C1000" s="28"/>
      <c r="D1000" s="28"/>
      <c r="E1000" s="28"/>
      <c r="F1000" s="28"/>
      <c r="G1000" s="28"/>
      <c r="H1000" s="28"/>
    </row>
  </sheetData>
  <dataValidations count="6">
    <dataValidation allowBlank="true" error="Select a shift from the approved list." errorStyle="stop" errorTitle="Invalid shift" operator="between" showDropDown="false" showErrorMessage="true" showInputMessage="false" sqref="C2:C1000" type="list">
      <formula1>ShiftList</formula1>
      <formula2>0</formula2>
    </dataValidation>
    <dataValidation allowBlank="true" error="Select an approved days-off grouping." errorStyle="stop" errorTitle="Invalid days off" operator="between" showDropDown="false" showErrorMessage="true" showInputMessage="false" sqref="D2:D1000" type="list">
      <formula1>DaysOffList</formula1>
      <formula2>0</formula2>
    </dataValidation>
    <dataValidation allowBlank="true" error="Select Y or N." errorStyle="stop" errorTitle="Invalid value" operator="between" showDropDown="false" showErrorMessage="true" showInputMessage="false" sqref="E2:E1000" type="list">
      <formula1>YesNoList</formula1>
      <formula2>0</formula2>
    </dataValidation>
    <dataValidation allowBlank="true" error="Select Y or N." errorStyle="stop" errorTitle="Invalid value" operator="between" showDropDown="false" showErrorMessage="true" showInputMessage="false" sqref="F2:F1000" type="list">
      <formula1>YesNoList</formula1>
      <formula2>0</formula2>
    </dataValidation>
    <dataValidation allowBlank="true" error="Select Y or N." errorStyle="stop" errorTitle="Invalid value" operator="between" showDropDown="false" showErrorMessage="true" showInputMessage="false" sqref="G2:G1000" type="list">
      <formula1>YesNoList</formula1>
      <formula2>0</formula2>
    </dataValidation>
    <dataValidation allowBlank="true" error="Select an approved lunch preference." errorStyle="stop" errorTitle="Invalid lunch preference" operator="between" showDropDown="false" showErrorMessage="true" showInputMessage="false" sqref="H2:H1000" type="list">
      <formula1>LunchPreferenceList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2" min="2" style="1" width="30.67"/>
    <col collapsed="false" customWidth="true" hidden="false" outlineLevel="0" max="3" min="3" style="1" width="29.11"/>
    <col collapsed="false" customWidth="true" hidden="false" outlineLevel="0" max="5" min="5" style="1" width="22.33"/>
  </cols>
  <sheetData>
    <row r="1" customFormat="false" ht="14.25" hidden="false" customHeight="true" outlineLevel="0" collapsed="false">
      <c r="A1" s="27" t="s">
        <v>407</v>
      </c>
      <c r="B1" s="27" t="s">
        <v>21</v>
      </c>
      <c r="C1" s="27" t="s">
        <v>44</v>
      </c>
      <c r="D1" s="27" t="s">
        <v>23</v>
      </c>
      <c r="E1" s="27" t="s">
        <v>408</v>
      </c>
    </row>
    <row r="2" customFormat="false" ht="14.25" hidden="false" customHeight="true" outlineLevel="0" collapsed="false">
      <c r="A2" s="1" t="n">
        <v>1</v>
      </c>
      <c r="B2" s="1" t="s">
        <v>409</v>
      </c>
      <c r="C2" s="1" t="s">
        <v>410</v>
      </c>
      <c r="D2" s="28" t="s">
        <v>411</v>
      </c>
      <c r="E2" s="28" t="s">
        <v>77</v>
      </c>
    </row>
    <row r="3" customFormat="false" ht="14.25" hidden="false" customHeight="true" outlineLevel="0" collapsed="false">
      <c r="A3" s="1" t="n">
        <v>2</v>
      </c>
      <c r="B3" s="1" t="s">
        <v>409</v>
      </c>
      <c r="C3" s="1" t="s">
        <v>412</v>
      </c>
      <c r="D3" s="28" t="s">
        <v>411</v>
      </c>
      <c r="E3" s="28" t="s">
        <v>77</v>
      </c>
    </row>
    <row r="4" customFormat="false" ht="14.25" hidden="false" customHeight="true" outlineLevel="0" collapsed="false">
      <c r="A4" s="1" t="n">
        <v>3</v>
      </c>
      <c r="B4" s="1" t="s">
        <v>409</v>
      </c>
      <c r="C4" s="1" t="s">
        <v>413</v>
      </c>
      <c r="D4" s="28" t="s">
        <v>414</v>
      </c>
      <c r="E4" s="28" t="s">
        <v>77</v>
      </c>
    </row>
    <row r="5" customFormat="false" ht="14.25" hidden="false" customHeight="true" outlineLevel="0" collapsed="false">
      <c r="A5" s="1" t="n">
        <v>4</v>
      </c>
      <c r="B5" s="1" t="s">
        <v>409</v>
      </c>
      <c r="C5" s="1" t="s">
        <v>415</v>
      </c>
      <c r="D5" s="28" t="s">
        <v>411</v>
      </c>
      <c r="E5" s="28" t="s">
        <v>77</v>
      </c>
    </row>
    <row r="6" customFormat="false" ht="14.25" hidden="false" customHeight="true" outlineLevel="0" collapsed="false">
      <c r="A6" s="1" t="n">
        <v>5</v>
      </c>
      <c r="B6" s="1" t="s">
        <v>409</v>
      </c>
      <c r="C6" s="1" t="s">
        <v>416</v>
      </c>
      <c r="D6" s="28" t="s">
        <v>411</v>
      </c>
      <c r="E6" s="28" t="s">
        <v>77</v>
      </c>
    </row>
    <row r="7" customFormat="false" ht="14.25" hidden="false" customHeight="true" outlineLevel="0" collapsed="false">
      <c r="A7" s="1" t="n">
        <v>6</v>
      </c>
      <c r="B7" s="1" t="s">
        <v>409</v>
      </c>
      <c r="C7" s="1" t="s">
        <v>417</v>
      </c>
      <c r="D7" s="28" t="s">
        <v>418</v>
      </c>
      <c r="E7" s="28" t="s">
        <v>76</v>
      </c>
    </row>
    <row r="8" customFormat="false" ht="14.25" hidden="false" customHeight="true" outlineLevel="0" collapsed="false">
      <c r="A8" s="1" t="n">
        <v>7</v>
      </c>
      <c r="B8" s="1" t="s">
        <v>409</v>
      </c>
      <c r="C8" s="1" t="s">
        <v>419</v>
      </c>
      <c r="D8" s="28" t="s">
        <v>418</v>
      </c>
      <c r="E8" s="28" t="s">
        <v>76</v>
      </c>
    </row>
    <row r="9" customFormat="false" ht="14.25" hidden="false" customHeight="true" outlineLevel="0" collapsed="false">
      <c r="A9" s="1" t="n">
        <v>8</v>
      </c>
      <c r="B9" s="1" t="s">
        <v>409</v>
      </c>
      <c r="C9" s="1" t="s">
        <v>415</v>
      </c>
      <c r="D9" s="28" t="s">
        <v>411</v>
      </c>
      <c r="E9" s="28" t="s">
        <v>77</v>
      </c>
    </row>
    <row r="10" customFormat="false" ht="14.25" hidden="false" customHeight="true" outlineLevel="0" collapsed="false">
      <c r="A10" s="1" t="n">
        <v>9</v>
      </c>
      <c r="B10" s="1" t="s">
        <v>409</v>
      </c>
      <c r="C10" s="1" t="s">
        <v>410</v>
      </c>
      <c r="D10" s="28" t="s">
        <v>414</v>
      </c>
      <c r="E10" s="28" t="s">
        <v>77</v>
      </c>
    </row>
    <row r="11" customFormat="false" ht="14.25" hidden="false" customHeight="true" outlineLevel="0" collapsed="false">
      <c r="A11" s="1" t="n">
        <v>10</v>
      </c>
      <c r="B11" s="1" t="s">
        <v>420</v>
      </c>
      <c r="C11" s="1" t="s">
        <v>421</v>
      </c>
      <c r="D11" s="28" t="s">
        <v>418</v>
      </c>
      <c r="E11" s="28" t="s">
        <v>76</v>
      </c>
    </row>
    <row r="12" customFormat="false" ht="14.25" hidden="false" customHeight="true" outlineLevel="0" collapsed="false">
      <c r="A12" s="1" t="n">
        <v>11</v>
      </c>
      <c r="B12" s="1" t="s">
        <v>420</v>
      </c>
      <c r="C12" s="1" t="s">
        <v>422</v>
      </c>
      <c r="D12" s="28" t="s">
        <v>418</v>
      </c>
      <c r="E12" s="28" t="s">
        <v>76</v>
      </c>
    </row>
    <row r="13" customFormat="false" ht="14.25" hidden="false" customHeight="true" outlineLevel="0" collapsed="false">
      <c r="A13" s="1" t="n">
        <v>12</v>
      </c>
      <c r="B13" s="1" t="s">
        <v>420</v>
      </c>
      <c r="C13" s="1" t="s">
        <v>423</v>
      </c>
      <c r="D13" s="28" t="s">
        <v>418</v>
      </c>
      <c r="E13" s="28" t="s">
        <v>76</v>
      </c>
    </row>
    <row r="14" customFormat="false" ht="14.25" hidden="false" customHeight="true" outlineLevel="0" collapsed="false">
      <c r="A14" s="1" t="n">
        <v>13</v>
      </c>
      <c r="B14" s="1" t="s">
        <v>420</v>
      </c>
      <c r="C14" s="1" t="s">
        <v>424</v>
      </c>
      <c r="D14" s="28" t="s">
        <v>418</v>
      </c>
      <c r="E14" s="28" t="s">
        <v>76</v>
      </c>
    </row>
    <row r="15" customFormat="false" ht="14.25" hidden="false" customHeight="true" outlineLevel="0" collapsed="false">
      <c r="A15" s="1" t="n">
        <v>14</v>
      </c>
      <c r="B15" s="1" t="s">
        <v>425</v>
      </c>
      <c r="C15" s="1" t="s">
        <v>426</v>
      </c>
      <c r="D15" s="28" t="s">
        <v>411</v>
      </c>
      <c r="E15" s="28" t="s">
        <v>77</v>
      </c>
    </row>
    <row r="16" customFormat="false" ht="14.25" hidden="false" customHeight="true" outlineLevel="0" collapsed="false">
      <c r="A16" s="1" t="n">
        <v>15</v>
      </c>
      <c r="B16" s="1" t="s">
        <v>425</v>
      </c>
      <c r="C16" s="1" t="s">
        <v>426</v>
      </c>
      <c r="D16" s="28" t="s">
        <v>418</v>
      </c>
      <c r="E16" s="28" t="s">
        <v>77</v>
      </c>
    </row>
    <row r="17" customFormat="false" ht="14.25" hidden="false" customHeight="true" outlineLevel="0" collapsed="false">
      <c r="A17" s="1" t="n">
        <v>16</v>
      </c>
      <c r="B17" s="1" t="s">
        <v>425</v>
      </c>
      <c r="C17" s="1" t="s">
        <v>427</v>
      </c>
      <c r="D17" s="28" t="s">
        <v>411</v>
      </c>
      <c r="E17" s="28" t="s">
        <v>77</v>
      </c>
    </row>
    <row r="18" customFormat="false" ht="14.25" hidden="false" customHeight="true" outlineLevel="0" collapsed="false">
      <c r="A18" s="1" t="n">
        <v>17</v>
      </c>
      <c r="B18" s="1" t="s">
        <v>425</v>
      </c>
      <c r="C18" s="1" t="s">
        <v>427</v>
      </c>
      <c r="D18" s="28" t="s">
        <v>414</v>
      </c>
      <c r="E18" s="28" t="s">
        <v>77</v>
      </c>
    </row>
    <row r="19" customFormat="false" ht="14.25" hidden="false" customHeight="true" outlineLevel="0" collapsed="false">
      <c r="A19" s="1" t="n">
        <v>18</v>
      </c>
      <c r="B19" s="1" t="s">
        <v>425</v>
      </c>
      <c r="C19" s="1" t="s">
        <v>428</v>
      </c>
      <c r="D19" s="28" t="s">
        <v>414</v>
      </c>
      <c r="E19" s="28" t="s">
        <v>77</v>
      </c>
    </row>
    <row r="20" customFormat="false" ht="14.25" hidden="false" customHeight="true" outlineLevel="0" collapsed="false">
      <c r="A20" s="1" t="n">
        <v>19</v>
      </c>
      <c r="B20" s="1" t="s">
        <v>425</v>
      </c>
      <c r="C20" s="1" t="s">
        <v>429</v>
      </c>
      <c r="D20" s="28" t="s">
        <v>411</v>
      </c>
      <c r="E20" s="28" t="s">
        <v>77</v>
      </c>
    </row>
    <row r="21" customFormat="false" ht="14.25" hidden="false" customHeight="true" outlineLevel="0" collapsed="false">
      <c r="A21" s="1" t="n">
        <v>20</v>
      </c>
      <c r="B21" s="1" t="s">
        <v>425</v>
      </c>
      <c r="C21" s="1" t="s">
        <v>430</v>
      </c>
      <c r="D21" s="28" t="s">
        <v>431</v>
      </c>
      <c r="E21" s="28" t="s">
        <v>77</v>
      </c>
    </row>
    <row r="22" customFormat="false" ht="14.25" hidden="false" customHeight="true" outlineLevel="0" collapsed="false">
      <c r="A22" s="1" t="n">
        <v>21</v>
      </c>
      <c r="B22" s="1" t="s">
        <v>425</v>
      </c>
      <c r="C22" s="1" t="s">
        <v>432</v>
      </c>
      <c r="D22" s="28" t="s">
        <v>418</v>
      </c>
      <c r="E22" s="28" t="s">
        <v>76</v>
      </c>
    </row>
    <row r="23" customFormat="false" ht="14.25" hidden="false" customHeight="true" outlineLevel="0" collapsed="false">
      <c r="A23" s="1" t="n">
        <v>22</v>
      </c>
      <c r="B23" s="1" t="s">
        <v>425</v>
      </c>
      <c r="C23" s="1" t="s">
        <v>433</v>
      </c>
      <c r="D23" s="28" t="s">
        <v>418</v>
      </c>
      <c r="E23" s="28" t="s">
        <v>76</v>
      </c>
    </row>
    <row r="24" customFormat="false" ht="14.25" hidden="false" customHeight="true" outlineLevel="0" collapsed="false">
      <c r="A24" s="1" t="n">
        <v>23</v>
      </c>
      <c r="B24" s="1" t="s">
        <v>425</v>
      </c>
      <c r="C24" s="1" t="s">
        <v>433</v>
      </c>
      <c r="D24" s="28" t="s">
        <v>418</v>
      </c>
      <c r="E24" s="28" t="s">
        <v>76</v>
      </c>
    </row>
    <row r="25" customFormat="false" ht="14.25" hidden="false" customHeight="true" outlineLevel="0" collapsed="false">
      <c r="A25" s="1" t="n">
        <v>24</v>
      </c>
      <c r="B25" s="1" t="s">
        <v>434</v>
      </c>
      <c r="C25" s="1" t="s">
        <v>426</v>
      </c>
      <c r="D25" s="28" t="s">
        <v>411</v>
      </c>
      <c r="E25" s="28" t="s">
        <v>77</v>
      </c>
    </row>
    <row r="26" customFormat="false" ht="14.25" hidden="false" customHeight="true" outlineLevel="0" collapsed="false">
      <c r="A26" s="1" t="n">
        <v>25</v>
      </c>
      <c r="B26" s="1" t="s">
        <v>434</v>
      </c>
      <c r="C26" s="1" t="s">
        <v>435</v>
      </c>
      <c r="D26" s="28" t="s">
        <v>411</v>
      </c>
      <c r="E26" s="28" t="s">
        <v>77</v>
      </c>
    </row>
    <row r="27" customFormat="false" ht="14.25" hidden="false" customHeight="true" outlineLevel="0" collapsed="false">
      <c r="A27" s="1" t="n">
        <v>26</v>
      </c>
      <c r="B27" s="1" t="s">
        <v>434</v>
      </c>
      <c r="C27" s="1" t="s">
        <v>436</v>
      </c>
      <c r="D27" s="28" t="s">
        <v>411</v>
      </c>
      <c r="E27" s="28" t="s">
        <v>77</v>
      </c>
    </row>
    <row r="28" customFormat="false" ht="14.25" hidden="false" customHeight="true" outlineLevel="0" collapsed="false">
      <c r="A28" s="1" t="n">
        <v>27</v>
      </c>
      <c r="B28" s="1" t="s">
        <v>434</v>
      </c>
      <c r="C28" s="1" t="s">
        <v>437</v>
      </c>
      <c r="D28" s="28" t="s">
        <v>431</v>
      </c>
      <c r="E28" s="28" t="s">
        <v>76</v>
      </c>
    </row>
    <row r="29" customFormat="false" ht="14.25" hidden="false" customHeight="true" outlineLevel="0" collapsed="false">
      <c r="A29" s="1" t="n">
        <v>28</v>
      </c>
      <c r="B29" s="1" t="s">
        <v>434</v>
      </c>
      <c r="C29" s="1" t="s">
        <v>438</v>
      </c>
      <c r="D29" s="28" t="s">
        <v>418</v>
      </c>
      <c r="E29" s="28" t="s">
        <v>76</v>
      </c>
    </row>
    <row r="30" customFormat="false" ht="14.25" hidden="false" customHeight="true" outlineLevel="0" collapsed="false">
      <c r="A30" s="1" t="n">
        <v>29</v>
      </c>
      <c r="B30" s="1" t="s">
        <v>434</v>
      </c>
      <c r="C30" s="1" t="s">
        <v>439</v>
      </c>
      <c r="D30" s="28" t="s">
        <v>414</v>
      </c>
      <c r="E30" s="28" t="s">
        <v>76</v>
      </c>
    </row>
    <row r="31" customFormat="false" ht="14.25" hidden="false" customHeight="true" outlineLevel="0" collapsed="false">
      <c r="A31" s="1" t="n">
        <v>30</v>
      </c>
      <c r="B31" s="1" t="s">
        <v>434</v>
      </c>
      <c r="C31" s="1" t="s">
        <v>440</v>
      </c>
      <c r="D31" s="28" t="s">
        <v>431</v>
      </c>
      <c r="E31" s="28" t="s">
        <v>77</v>
      </c>
    </row>
    <row r="32" customFormat="false" ht="14.25" hidden="false" customHeight="true" outlineLevel="0" collapsed="false">
      <c r="A32" s="1" t="n">
        <v>31</v>
      </c>
      <c r="B32" s="1" t="s">
        <v>441</v>
      </c>
      <c r="C32" s="1" t="s">
        <v>442</v>
      </c>
      <c r="D32" s="28" t="s">
        <v>414</v>
      </c>
      <c r="E32" s="28" t="s">
        <v>76</v>
      </c>
    </row>
    <row r="33" customFormat="false" ht="14.25" hidden="false" customHeight="true" outlineLevel="0" collapsed="false">
      <c r="A33" s="1" t="n">
        <v>32</v>
      </c>
      <c r="B33" s="1" t="s">
        <v>441</v>
      </c>
      <c r="C33" s="1" t="s">
        <v>426</v>
      </c>
      <c r="D33" s="28" t="s">
        <v>411</v>
      </c>
      <c r="E33" s="28" t="s">
        <v>77</v>
      </c>
    </row>
    <row r="34" customFormat="false" ht="14.25" hidden="false" customHeight="true" outlineLevel="0" collapsed="false">
      <c r="A34" s="1" t="n">
        <v>33</v>
      </c>
      <c r="B34" s="1" t="s">
        <v>441</v>
      </c>
      <c r="C34" s="1" t="s">
        <v>443</v>
      </c>
      <c r="D34" s="28" t="s">
        <v>411</v>
      </c>
      <c r="E34" s="28" t="s">
        <v>77</v>
      </c>
    </row>
    <row r="35" customFormat="false" ht="14.25" hidden="false" customHeight="true" outlineLevel="0" collapsed="false">
      <c r="A35" s="1" t="n">
        <v>34</v>
      </c>
      <c r="B35" s="1" t="s">
        <v>444</v>
      </c>
      <c r="C35" s="1" t="s">
        <v>445</v>
      </c>
      <c r="D35" s="28" t="s">
        <v>418</v>
      </c>
      <c r="E35" s="28" t="s">
        <v>76</v>
      </c>
    </row>
    <row r="36" customFormat="false" ht="14.25" hidden="false" customHeight="true" outlineLevel="0" collapsed="false">
      <c r="A36" s="1" t="n">
        <v>35</v>
      </c>
      <c r="B36" s="1" t="s">
        <v>444</v>
      </c>
      <c r="C36" s="1" t="s">
        <v>446</v>
      </c>
      <c r="D36" s="28" t="s">
        <v>411</v>
      </c>
      <c r="E36" s="28" t="s">
        <v>77</v>
      </c>
    </row>
    <row r="37" customFormat="false" ht="14.25" hidden="false" customHeight="true" outlineLevel="0" collapsed="false">
      <c r="A37" s="1" t="n">
        <v>36</v>
      </c>
      <c r="B37" s="1" t="s">
        <v>444</v>
      </c>
      <c r="C37" s="1" t="s">
        <v>447</v>
      </c>
      <c r="D37" s="28" t="s">
        <v>414</v>
      </c>
      <c r="E37" s="28" t="s">
        <v>77</v>
      </c>
    </row>
    <row r="38" customFormat="false" ht="14.25" hidden="false" customHeight="true" outlineLevel="0" collapsed="false">
      <c r="A38" s="1" t="n">
        <v>37</v>
      </c>
      <c r="B38" s="1" t="s">
        <v>444</v>
      </c>
      <c r="C38" s="1" t="s">
        <v>448</v>
      </c>
      <c r="D38" s="28" t="s">
        <v>414</v>
      </c>
      <c r="E38" s="28" t="s">
        <v>77</v>
      </c>
    </row>
    <row r="39" customFormat="false" ht="14.25" hidden="false" customHeight="true" outlineLevel="0" collapsed="false">
      <c r="A39" s="1" t="n">
        <v>38</v>
      </c>
      <c r="B39" s="1" t="s">
        <v>444</v>
      </c>
      <c r="C39" s="1" t="s">
        <v>449</v>
      </c>
      <c r="D39" s="28" t="s">
        <v>411</v>
      </c>
      <c r="E39" s="28" t="s">
        <v>77</v>
      </c>
    </row>
    <row r="40" customFormat="false" ht="14.25" hidden="false" customHeight="true" outlineLevel="0" collapsed="false">
      <c r="A40" s="1" t="n">
        <v>39</v>
      </c>
      <c r="B40" s="1" t="s">
        <v>444</v>
      </c>
      <c r="C40" s="1" t="s">
        <v>450</v>
      </c>
      <c r="D40" s="28" t="s">
        <v>411</v>
      </c>
      <c r="E40" s="28" t="s">
        <v>77</v>
      </c>
    </row>
    <row r="41" customFormat="false" ht="14.25" hidden="false" customHeight="true" outlineLevel="0" collapsed="false">
      <c r="A41" s="1" t="n">
        <v>40</v>
      </c>
      <c r="B41" s="1" t="s">
        <v>444</v>
      </c>
      <c r="C41" s="1" t="s">
        <v>450</v>
      </c>
      <c r="D41" s="28" t="s">
        <v>414</v>
      </c>
      <c r="E41" s="28" t="s">
        <v>77</v>
      </c>
    </row>
    <row r="42" customFormat="false" ht="14.25" hidden="false" customHeight="true" outlineLevel="0" collapsed="false">
      <c r="A42" s="1" t="n">
        <v>41</v>
      </c>
      <c r="B42" s="1" t="s">
        <v>444</v>
      </c>
      <c r="C42" s="1" t="s">
        <v>451</v>
      </c>
      <c r="D42" s="28" t="s">
        <v>418</v>
      </c>
      <c r="E42" s="28" t="s">
        <v>76</v>
      </c>
    </row>
    <row r="43" customFormat="false" ht="14.25" hidden="false" customHeight="true" outlineLevel="0" collapsed="false">
      <c r="A43" s="1" t="n">
        <v>42</v>
      </c>
      <c r="B43" s="1" t="s">
        <v>444</v>
      </c>
      <c r="C43" s="1" t="s">
        <v>452</v>
      </c>
      <c r="D43" s="28" t="s">
        <v>418</v>
      </c>
      <c r="E43" s="28" t="s">
        <v>76</v>
      </c>
    </row>
    <row r="44" customFormat="false" ht="14.25" hidden="false" customHeight="true" outlineLevel="0" collapsed="false">
      <c r="A44" s="1" t="n">
        <v>43</v>
      </c>
      <c r="B44" s="1" t="s">
        <v>444</v>
      </c>
      <c r="C44" s="1" t="s">
        <v>453</v>
      </c>
      <c r="D44" s="28" t="s">
        <v>418</v>
      </c>
      <c r="E44" s="28" t="s">
        <v>76</v>
      </c>
    </row>
    <row r="45" customFormat="false" ht="14.25" hidden="false" customHeight="true" outlineLevel="0" collapsed="false">
      <c r="A45" s="1" t="n">
        <v>44</v>
      </c>
      <c r="B45" s="1" t="s">
        <v>444</v>
      </c>
      <c r="C45" s="1" t="s">
        <v>454</v>
      </c>
      <c r="D45" s="28" t="s">
        <v>418</v>
      </c>
      <c r="E45" s="28" t="s">
        <v>76</v>
      </c>
    </row>
    <row r="46" customFormat="false" ht="14.25" hidden="false" customHeight="true" outlineLevel="0" collapsed="false">
      <c r="A46" s="1" t="n">
        <v>45</v>
      </c>
      <c r="B46" s="1" t="s">
        <v>455</v>
      </c>
      <c r="C46" s="1" t="s">
        <v>456</v>
      </c>
      <c r="D46" s="28" t="s">
        <v>411</v>
      </c>
      <c r="E46" s="28" t="s">
        <v>76</v>
      </c>
    </row>
    <row r="47" customFormat="false" ht="14.25" hidden="false" customHeight="true" outlineLevel="0" collapsed="false">
      <c r="A47" s="1" t="n">
        <v>46</v>
      </c>
      <c r="B47" s="1" t="s">
        <v>434</v>
      </c>
      <c r="C47" s="1" t="s">
        <v>457</v>
      </c>
      <c r="D47" s="28" t="s">
        <v>411</v>
      </c>
      <c r="E47" s="28" t="s">
        <v>77</v>
      </c>
    </row>
    <row r="48" customFormat="false" ht="14.25" hidden="false" customHeight="true" outlineLevel="0" collapsed="false">
      <c r="A48" s="1" t="n">
        <v>47</v>
      </c>
      <c r="B48" s="1" t="s">
        <v>434</v>
      </c>
      <c r="C48" s="1" t="s">
        <v>458</v>
      </c>
      <c r="D48" s="28" t="s">
        <v>411</v>
      </c>
      <c r="E48" s="28" t="s">
        <v>77</v>
      </c>
    </row>
    <row r="49" customFormat="false" ht="14.25" hidden="false" customHeight="true" outlineLevel="0" collapsed="false">
      <c r="A49" s="1" t="n">
        <v>48</v>
      </c>
      <c r="B49" s="1" t="s">
        <v>434</v>
      </c>
      <c r="C49" s="1" t="s">
        <v>458</v>
      </c>
      <c r="D49" s="28" t="s">
        <v>411</v>
      </c>
      <c r="E49" s="28" t="s">
        <v>77</v>
      </c>
    </row>
    <row r="50" customFormat="false" ht="14.25" hidden="false" customHeight="true" outlineLevel="0" collapsed="false">
      <c r="A50" s="1" t="n">
        <v>49</v>
      </c>
      <c r="B50" s="1" t="s">
        <v>434</v>
      </c>
      <c r="C50" s="1" t="s">
        <v>458</v>
      </c>
      <c r="D50" s="28" t="s">
        <v>411</v>
      </c>
      <c r="E50" s="28" t="s">
        <v>77</v>
      </c>
    </row>
    <row r="51" customFormat="false" ht="14.25" hidden="false" customHeight="true" outlineLevel="0" collapsed="false">
      <c r="A51" s="1" t="n">
        <v>50</v>
      </c>
      <c r="B51" s="1" t="s">
        <v>441</v>
      </c>
      <c r="C51" s="1" t="s">
        <v>457</v>
      </c>
      <c r="D51" s="28" t="s">
        <v>411</v>
      </c>
      <c r="E51" s="28" t="s">
        <v>77</v>
      </c>
    </row>
    <row r="52" customFormat="false" ht="14.25" hidden="false" customHeight="true" outlineLevel="0" collapsed="false">
      <c r="A52" s="1" t="n">
        <v>51</v>
      </c>
      <c r="B52" s="1" t="s">
        <v>441</v>
      </c>
      <c r="C52" s="1" t="s">
        <v>458</v>
      </c>
      <c r="D52" s="28" t="s">
        <v>411</v>
      </c>
      <c r="E52" s="28" t="s">
        <v>77</v>
      </c>
    </row>
    <row r="53" customFormat="false" ht="14.25" hidden="false" customHeight="true" outlineLevel="0" collapsed="false">
      <c r="A53" s="1" t="n">
        <v>52</v>
      </c>
      <c r="B53" s="1" t="s">
        <v>441</v>
      </c>
      <c r="C53" s="1" t="s">
        <v>457</v>
      </c>
      <c r="D53" s="28" t="s">
        <v>411</v>
      </c>
      <c r="E53" s="28" t="s">
        <v>77</v>
      </c>
    </row>
    <row r="54" customFormat="false" ht="14.25" hidden="false" customHeight="true" outlineLevel="0" collapsed="false">
      <c r="D54" s="28"/>
      <c r="E54" s="28"/>
    </row>
    <row r="55" customFormat="false" ht="14.25" hidden="false" customHeight="true" outlineLevel="0" collapsed="false">
      <c r="D55" s="28"/>
      <c r="E55" s="28"/>
    </row>
    <row r="56" customFormat="false" ht="14.25" hidden="false" customHeight="true" outlineLevel="0" collapsed="false">
      <c r="D56" s="28"/>
      <c r="E56" s="28"/>
    </row>
    <row r="57" customFormat="false" ht="14.25" hidden="false" customHeight="true" outlineLevel="0" collapsed="false">
      <c r="D57" s="28"/>
      <c r="E57" s="28"/>
    </row>
    <row r="58" customFormat="false" ht="14.25" hidden="false" customHeight="true" outlineLevel="0" collapsed="false">
      <c r="D58" s="28"/>
      <c r="E58" s="28"/>
    </row>
    <row r="59" customFormat="false" ht="14.25" hidden="false" customHeight="true" outlineLevel="0" collapsed="false">
      <c r="D59" s="28"/>
      <c r="E59" s="28"/>
    </row>
    <row r="60" customFormat="false" ht="14.25" hidden="false" customHeight="true" outlineLevel="0" collapsed="false">
      <c r="D60" s="28"/>
      <c r="E60" s="28"/>
    </row>
    <row r="61" customFormat="false" ht="14.25" hidden="false" customHeight="true" outlineLevel="0" collapsed="false">
      <c r="D61" s="28"/>
      <c r="E61" s="28"/>
    </row>
    <row r="62" customFormat="false" ht="14.25" hidden="false" customHeight="true" outlineLevel="0" collapsed="false">
      <c r="D62" s="28"/>
      <c r="E62" s="28"/>
    </row>
    <row r="63" customFormat="false" ht="14.25" hidden="false" customHeight="true" outlineLevel="0" collapsed="false">
      <c r="D63" s="28"/>
      <c r="E63" s="28"/>
    </row>
    <row r="64" customFormat="false" ht="14.25" hidden="false" customHeight="true" outlineLevel="0" collapsed="false">
      <c r="D64" s="28"/>
      <c r="E64" s="28"/>
    </row>
    <row r="65" customFormat="false" ht="14.25" hidden="false" customHeight="true" outlineLevel="0" collapsed="false">
      <c r="D65" s="28"/>
      <c r="E65" s="28"/>
    </row>
    <row r="66" customFormat="false" ht="14.25" hidden="false" customHeight="true" outlineLevel="0" collapsed="false">
      <c r="D66" s="28"/>
      <c r="E66" s="28"/>
    </row>
    <row r="67" customFormat="false" ht="14.25" hidden="false" customHeight="true" outlineLevel="0" collapsed="false">
      <c r="D67" s="28"/>
      <c r="E67" s="28"/>
    </row>
    <row r="68" customFormat="false" ht="14.25" hidden="false" customHeight="true" outlineLevel="0" collapsed="false">
      <c r="D68" s="28"/>
      <c r="E68" s="28"/>
    </row>
    <row r="69" customFormat="false" ht="14.25" hidden="false" customHeight="true" outlineLevel="0" collapsed="false">
      <c r="D69" s="28"/>
      <c r="E69" s="28"/>
    </row>
    <row r="70" customFormat="false" ht="14.25" hidden="false" customHeight="true" outlineLevel="0" collapsed="false">
      <c r="D70" s="28"/>
      <c r="E70" s="28"/>
    </row>
    <row r="71" customFormat="false" ht="14.25" hidden="false" customHeight="true" outlineLevel="0" collapsed="false">
      <c r="D71" s="28"/>
      <c r="E71" s="28"/>
    </row>
    <row r="72" customFormat="false" ht="14.25" hidden="false" customHeight="true" outlineLevel="0" collapsed="false">
      <c r="D72" s="28"/>
      <c r="E72" s="28"/>
    </row>
    <row r="73" customFormat="false" ht="14.25" hidden="false" customHeight="true" outlineLevel="0" collapsed="false">
      <c r="D73" s="28"/>
      <c r="E73" s="28"/>
    </row>
    <row r="74" customFormat="false" ht="14.25" hidden="false" customHeight="true" outlineLevel="0" collapsed="false">
      <c r="D74" s="28"/>
      <c r="E74" s="28"/>
    </row>
    <row r="75" customFormat="false" ht="14.25" hidden="false" customHeight="true" outlineLevel="0" collapsed="false">
      <c r="D75" s="28"/>
      <c r="E75" s="28"/>
    </row>
    <row r="76" customFormat="false" ht="14.25" hidden="false" customHeight="true" outlineLevel="0" collapsed="false">
      <c r="D76" s="28"/>
      <c r="E76" s="28"/>
    </row>
    <row r="77" customFormat="false" ht="14.25" hidden="false" customHeight="true" outlineLevel="0" collapsed="false">
      <c r="D77" s="28"/>
      <c r="E77" s="28"/>
    </row>
    <row r="78" customFormat="false" ht="14.25" hidden="false" customHeight="true" outlineLevel="0" collapsed="false">
      <c r="D78" s="28"/>
      <c r="E78" s="28"/>
    </row>
    <row r="79" customFormat="false" ht="14.25" hidden="false" customHeight="true" outlineLevel="0" collapsed="false">
      <c r="D79" s="28"/>
      <c r="E79" s="28"/>
    </row>
    <row r="80" customFormat="false" ht="14.25" hidden="false" customHeight="true" outlineLevel="0" collapsed="false">
      <c r="D80" s="28"/>
      <c r="E80" s="28"/>
    </row>
    <row r="81" customFormat="false" ht="14.25" hidden="false" customHeight="true" outlineLevel="0" collapsed="false">
      <c r="D81" s="28"/>
      <c r="E81" s="28"/>
    </row>
    <row r="82" customFormat="false" ht="14.25" hidden="false" customHeight="true" outlineLevel="0" collapsed="false">
      <c r="D82" s="28"/>
      <c r="E82" s="28"/>
    </row>
    <row r="83" customFormat="false" ht="14.25" hidden="false" customHeight="true" outlineLevel="0" collapsed="false">
      <c r="D83" s="28"/>
      <c r="E83" s="28"/>
    </row>
    <row r="84" customFormat="false" ht="14.25" hidden="false" customHeight="true" outlineLevel="0" collapsed="false">
      <c r="D84" s="28"/>
      <c r="E84" s="28"/>
    </row>
    <row r="85" customFormat="false" ht="14.25" hidden="false" customHeight="true" outlineLevel="0" collapsed="false">
      <c r="D85" s="28"/>
      <c r="E85" s="28"/>
    </row>
    <row r="86" customFormat="false" ht="14.25" hidden="false" customHeight="true" outlineLevel="0" collapsed="false">
      <c r="D86" s="28"/>
      <c r="E86" s="28"/>
    </row>
    <row r="87" customFormat="false" ht="14.25" hidden="false" customHeight="true" outlineLevel="0" collapsed="false">
      <c r="D87" s="28"/>
      <c r="E87" s="28"/>
    </row>
    <row r="88" customFormat="false" ht="14.25" hidden="false" customHeight="true" outlineLevel="0" collapsed="false">
      <c r="D88" s="28"/>
      <c r="E88" s="28"/>
    </row>
    <row r="89" customFormat="false" ht="14.25" hidden="false" customHeight="true" outlineLevel="0" collapsed="false">
      <c r="D89" s="28"/>
      <c r="E89" s="28"/>
    </row>
    <row r="90" customFormat="false" ht="14.25" hidden="false" customHeight="true" outlineLevel="0" collapsed="false">
      <c r="D90" s="28"/>
      <c r="E90" s="28"/>
    </row>
    <row r="91" customFormat="false" ht="14.25" hidden="false" customHeight="true" outlineLevel="0" collapsed="false">
      <c r="D91" s="28"/>
      <c r="E91" s="28"/>
    </row>
    <row r="92" customFormat="false" ht="14.25" hidden="false" customHeight="true" outlineLevel="0" collapsed="false">
      <c r="D92" s="28"/>
      <c r="E92" s="28"/>
    </row>
    <row r="93" customFormat="false" ht="14.25" hidden="false" customHeight="true" outlineLevel="0" collapsed="false">
      <c r="D93" s="28"/>
      <c r="E93" s="28"/>
    </row>
    <row r="94" customFormat="false" ht="14.25" hidden="false" customHeight="true" outlineLevel="0" collapsed="false">
      <c r="D94" s="28"/>
      <c r="E94" s="28"/>
    </row>
    <row r="95" customFormat="false" ht="14.25" hidden="false" customHeight="true" outlineLevel="0" collapsed="false">
      <c r="D95" s="28"/>
      <c r="E95" s="28"/>
    </row>
    <row r="96" customFormat="false" ht="14.25" hidden="false" customHeight="true" outlineLevel="0" collapsed="false">
      <c r="D96" s="28"/>
      <c r="E96" s="28"/>
    </row>
    <row r="97" customFormat="false" ht="14.25" hidden="false" customHeight="true" outlineLevel="0" collapsed="false">
      <c r="D97" s="28"/>
      <c r="E97" s="28"/>
    </row>
    <row r="98" customFormat="false" ht="14.25" hidden="false" customHeight="true" outlineLevel="0" collapsed="false">
      <c r="D98" s="28"/>
      <c r="E98" s="28"/>
    </row>
    <row r="99" customFormat="false" ht="14.25" hidden="false" customHeight="true" outlineLevel="0" collapsed="false">
      <c r="D99" s="28"/>
      <c r="E99" s="28"/>
    </row>
    <row r="100" customFormat="false" ht="14.25" hidden="false" customHeight="true" outlineLevel="0" collapsed="false">
      <c r="D100" s="28"/>
      <c r="E100" s="28"/>
    </row>
    <row r="101" customFormat="false" ht="14.25" hidden="false" customHeight="true" outlineLevel="0" collapsed="false">
      <c r="D101" s="28"/>
      <c r="E101" s="28"/>
    </row>
    <row r="102" customFormat="false" ht="14.25" hidden="false" customHeight="true" outlineLevel="0" collapsed="false">
      <c r="D102" s="28"/>
      <c r="E102" s="28"/>
    </row>
    <row r="103" customFormat="false" ht="14.25" hidden="false" customHeight="true" outlineLevel="0" collapsed="false">
      <c r="D103" s="28"/>
      <c r="E103" s="28"/>
    </row>
    <row r="104" customFormat="false" ht="14.25" hidden="false" customHeight="true" outlineLevel="0" collapsed="false">
      <c r="D104" s="28"/>
      <c r="E104" s="28"/>
    </row>
    <row r="105" customFormat="false" ht="14.25" hidden="false" customHeight="true" outlineLevel="0" collapsed="false">
      <c r="D105" s="28"/>
      <c r="E105" s="28"/>
    </row>
    <row r="106" customFormat="false" ht="14.25" hidden="false" customHeight="true" outlineLevel="0" collapsed="false">
      <c r="D106" s="28"/>
      <c r="E106" s="28"/>
    </row>
    <row r="107" customFormat="false" ht="14.25" hidden="false" customHeight="true" outlineLevel="0" collapsed="false">
      <c r="D107" s="28"/>
      <c r="E107" s="28"/>
    </row>
    <row r="108" customFormat="false" ht="14.25" hidden="false" customHeight="true" outlineLevel="0" collapsed="false">
      <c r="D108" s="28"/>
      <c r="E108" s="28"/>
    </row>
    <row r="109" customFormat="false" ht="14.25" hidden="false" customHeight="true" outlineLevel="0" collapsed="false">
      <c r="D109" s="28"/>
      <c r="E109" s="28"/>
    </row>
    <row r="110" customFormat="false" ht="14.25" hidden="false" customHeight="true" outlineLevel="0" collapsed="false">
      <c r="D110" s="28"/>
      <c r="E110" s="28"/>
    </row>
    <row r="111" customFormat="false" ht="14.25" hidden="false" customHeight="true" outlineLevel="0" collapsed="false">
      <c r="D111" s="28"/>
      <c r="E111" s="28"/>
    </row>
    <row r="112" customFormat="false" ht="14.25" hidden="false" customHeight="true" outlineLevel="0" collapsed="false">
      <c r="D112" s="28"/>
      <c r="E112" s="28"/>
    </row>
    <row r="113" customFormat="false" ht="14.25" hidden="false" customHeight="true" outlineLevel="0" collapsed="false">
      <c r="D113" s="28"/>
      <c r="E113" s="28"/>
    </row>
    <row r="114" customFormat="false" ht="14.25" hidden="false" customHeight="true" outlineLevel="0" collapsed="false">
      <c r="D114" s="28"/>
      <c r="E114" s="28"/>
    </row>
    <row r="115" customFormat="false" ht="14.25" hidden="false" customHeight="true" outlineLevel="0" collapsed="false">
      <c r="D115" s="28"/>
      <c r="E115" s="28"/>
    </row>
    <row r="116" customFormat="false" ht="14.25" hidden="false" customHeight="true" outlineLevel="0" collapsed="false">
      <c r="D116" s="28"/>
      <c r="E116" s="28"/>
    </row>
    <row r="117" customFormat="false" ht="14.25" hidden="false" customHeight="true" outlineLevel="0" collapsed="false">
      <c r="D117" s="28"/>
      <c r="E117" s="28"/>
    </row>
    <row r="118" customFormat="false" ht="14.25" hidden="false" customHeight="true" outlineLevel="0" collapsed="false">
      <c r="D118" s="28"/>
      <c r="E118" s="28"/>
    </row>
    <row r="119" customFormat="false" ht="14.25" hidden="false" customHeight="true" outlineLevel="0" collapsed="false">
      <c r="D119" s="28"/>
      <c r="E119" s="28"/>
    </row>
    <row r="120" customFormat="false" ht="14.25" hidden="false" customHeight="true" outlineLevel="0" collapsed="false">
      <c r="D120" s="28"/>
      <c r="E120" s="28"/>
    </row>
    <row r="121" customFormat="false" ht="14.25" hidden="false" customHeight="true" outlineLevel="0" collapsed="false">
      <c r="D121" s="28"/>
      <c r="E121" s="28"/>
    </row>
    <row r="122" customFormat="false" ht="14.25" hidden="false" customHeight="true" outlineLevel="0" collapsed="false">
      <c r="D122" s="28"/>
      <c r="E122" s="28"/>
    </row>
    <row r="123" customFormat="false" ht="14.25" hidden="false" customHeight="true" outlineLevel="0" collapsed="false">
      <c r="D123" s="28"/>
      <c r="E123" s="28"/>
    </row>
    <row r="124" customFormat="false" ht="14.25" hidden="false" customHeight="true" outlineLevel="0" collapsed="false">
      <c r="D124" s="28"/>
      <c r="E124" s="28"/>
    </row>
    <row r="125" customFormat="false" ht="14.25" hidden="false" customHeight="true" outlineLevel="0" collapsed="false">
      <c r="D125" s="28"/>
      <c r="E125" s="28"/>
    </row>
    <row r="126" customFormat="false" ht="14.25" hidden="false" customHeight="true" outlineLevel="0" collapsed="false">
      <c r="D126" s="28"/>
      <c r="E126" s="28"/>
    </row>
    <row r="127" customFormat="false" ht="14.25" hidden="false" customHeight="true" outlineLevel="0" collapsed="false">
      <c r="D127" s="28"/>
      <c r="E127" s="28"/>
    </row>
    <row r="128" customFormat="false" ht="14.25" hidden="false" customHeight="true" outlineLevel="0" collapsed="false">
      <c r="D128" s="28"/>
      <c r="E128" s="28"/>
    </row>
    <row r="129" customFormat="false" ht="14.25" hidden="false" customHeight="true" outlineLevel="0" collapsed="false">
      <c r="D129" s="28"/>
      <c r="E129" s="28"/>
    </row>
    <row r="130" customFormat="false" ht="14.25" hidden="false" customHeight="true" outlineLevel="0" collapsed="false">
      <c r="D130" s="28"/>
      <c r="E130" s="28"/>
    </row>
    <row r="131" customFormat="false" ht="14.25" hidden="false" customHeight="true" outlineLevel="0" collapsed="false">
      <c r="D131" s="28"/>
      <c r="E131" s="28"/>
    </row>
    <row r="132" customFormat="false" ht="14.25" hidden="false" customHeight="true" outlineLevel="0" collapsed="false">
      <c r="D132" s="28"/>
      <c r="E132" s="28"/>
    </row>
    <row r="133" customFormat="false" ht="14.25" hidden="false" customHeight="true" outlineLevel="0" collapsed="false">
      <c r="D133" s="28"/>
      <c r="E133" s="28"/>
    </row>
    <row r="134" customFormat="false" ht="14.25" hidden="false" customHeight="true" outlineLevel="0" collapsed="false">
      <c r="D134" s="28"/>
      <c r="E134" s="28"/>
    </row>
    <row r="135" customFormat="false" ht="14.25" hidden="false" customHeight="true" outlineLevel="0" collapsed="false">
      <c r="D135" s="28"/>
      <c r="E135" s="28"/>
    </row>
    <row r="136" customFormat="false" ht="14.25" hidden="false" customHeight="true" outlineLevel="0" collapsed="false">
      <c r="D136" s="28"/>
      <c r="E136" s="28"/>
    </row>
    <row r="137" customFormat="false" ht="14.25" hidden="false" customHeight="true" outlineLevel="0" collapsed="false">
      <c r="D137" s="28"/>
      <c r="E137" s="28"/>
    </row>
    <row r="138" customFormat="false" ht="14.25" hidden="false" customHeight="true" outlineLevel="0" collapsed="false">
      <c r="D138" s="28"/>
      <c r="E138" s="28"/>
    </row>
    <row r="139" customFormat="false" ht="14.25" hidden="false" customHeight="true" outlineLevel="0" collapsed="false">
      <c r="D139" s="28"/>
      <c r="E139" s="28"/>
    </row>
    <row r="140" customFormat="false" ht="14.25" hidden="false" customHeight="true" outlineLevel="0" collapsed="false">
      <c r="D140" s="28"/>
      <c r="E140" s="28"/>
    </row>
    <row r="141" customFormat="false" ht="14.25" hidden="false" customHeight="true" outlineLevel="0" collapsed="false">
      <c r="D141" s="28"/>
      <c r="E141" s="28"/>
    </row>
    <row r="142" customFormat="false" ht="14.25" hidden="false" customHeight="true" outlineLevel="0" collapsed="false">
      <c r="D142" s="28"/>
      <c r="E142" s="28"/>
    </row>
    <row r="143" customFormat="false" ht="14.25" hidden="false" customHeight="true" outlineLevel="0" collapsed="false">
      <c r="D143" s="28"/>
      <c r="E143" s="28"/>
    </row>
    <row r="144" customFormat="false" ht="14.25" hidden="false" customHeight="true" outlineLevel="0" collapsed="false">
      <c r="D144" s="28"/>
      <c r="E144" s="28"/>
    </row>
    <row r="145" customFormat="false" ht="14.25" hidden="false" customHeight="true" outlineLevel="0" collapsed="false">
      <c r="D145" s="28"/>
      <c r="E145" s="28"/>
    </row>
    <row r="146" customFormat="false" ht="14.25" hidden="false" customHeight="true" outlineLevel="0" collapsed="false">
      <c r="D146" s="28"/>
      <c r="E146" s="28"/>
    </row>
    <row r="147" customFormat="false" ht="14.25" hidden="false" customHeight="true" outlineLevel="0" collapsed="false">
      <c r="D147" s="28"/>
      <c r="E147" s="28"/>
    </row>
    <row r="148" customFormat="false" ht="14.25" hidden="false" customHeight="true" outlineLevel="0" collapsed="false">
      <c r="D148" s="28"/>
      <c r="E148" s="28"/>
    </row>
    <row r="149" customFormat="false" ht="14.25" hidden="false" customHeight="true" outlineLevel="0" collapsed="false">
      <c r="D149" s="28"/>
      <c r="E149" s="28"/>
    </row>
    <row r="150" customFormat="false" ht="14.25" hidden="false" customHeight="true" outlineLevel="0" collapsed="false">
      <c r="D150" s="28"/>
      <c r="E150" s="28"/>
    </row>
    <row r="151" customFormat="false" ht="14.25" hidden="false" customHeight="true" outlineLevel="0" collapsed="false">
      <c r="D151" s="28"/>
      <c r="E151" s="28"/>
    </row>
    <row r="152" customFormat="false" ht="14.25" hidden="false" customHeight="true" outlineLevel="0" collapsed="false">
      <c r="D152" s="28"/>
      <c r="E152" s="28"/>
    </row>
    <row r="153" customFormat="false" ht="14.25" hidden="false" customHeight="true" outlineLevel="0" collapsed="false">
      <c r="D153" s="28"/>
      <c r="E153" s="28"/>
    </row>
    <row r="154" customFormat="false" ht="14.25" hidden="false" customHeight="true" outlineLevel="0" collapsed="false">
      <c r="D154" s="28"/>
      <c r="E154" s="28"/>
    </row>
    <row r="155" customFormat="false" ht="14.25" hidden="false" customHeight="true" outlineLevel="0" collapsed="false">
      <c r="D155" s="28"/>
      <c r="E155" s="28"/>
    </row>
    <row r="156" customFormat="false" ht="14.25" hidden="false" customHeight="true" outlineLevel="0" collapsed="false">
      <c r="D156" s="28"/>
      <c r="E156" s="28"/>
    </row>
    <row r="157" customFormat="false" ht="14.25" hidden="false" customHeight="true" outlineLevel="0" collapsed="false">
      <c r="D157" s="28"/>
      <c r="E157" s="28"/>
    </row>
    <row r="158" customFormat="false" ht="14.25" hidden="false" customHeight="true" outlineLevel="0" collapsed="false">
      <c r="D158" s="28"/>
      <c r="E158" s="28"/>
    </row>
    <row r="159" customFormat="false" ht="14.25" hidden="false" customHeight="true" outlineLevel="0" collapsed="false">
      <c r="D159" s="28"/>
      <c r="E159" s="28"/>
    </row>
    <row r="160" customFormat="false" ht="14.25" hidden="false" customHeight="true" outlineLevel="0" collapsed="false">
      <c r="D160" s="28"/>
      <c r="E160" s="28"/>
    </row>
    <row r="161" customFormat="false" ht="14.25" hidden="false" customHeight="true" outlineLevel="0" collapsed="false">
      <c r="D161" s="28"/>
      <c r="E161" s="28"/>
    </row>
    <row r="162" customFormat="false" ht="14.25" hidden="false" customHeight="true" outlineLevel="0" collapsed="false">
      <c r="D162" s="28"/>
      <c r="E162" s="28"/>
    </row>
    <row r="163" customFormat="false" ht="14.25" hidden="false" customHeight="true" outlineLevel="0" collapsed="false">
      <c r="D163" s="28"/>
      <c r="E163" s="28"/>
    </row>
    <row r="164" customFormat="false" ht="14.25" hidden="false" customHeight="true" outlineLevel="0" collapsed="false">
      <c r="D164" s="28"/>
      <c r="E164" s="28"/>
    </row>
    <row r="165" customFormat="false" ht="14.25" hidden="false" customHeight="true" outlineLevel="0" collapsed="false">
      <c r="D165" s="28"/>
      <c r="E165" s="28"/>
    </row>
    <row r="166" customFormat="false" ht="14.25" hidden="false" customHeight="true" outlineLevel="0" collapsed="false">
      <c r="D166" s="28"/>
      <c r="E166" s="28"/>
    </row>
    <row r="167" customFormat="false" ht="14.25" hidden="false" customHeight="true" outlineLevel="0" collapsed="false">
      <c r="D167" s="28"/>
      <c r="E167" s="28"/>
    </row>
    <row r="168" customFormat="false" ht="14.25" hidden="false" customHeight="true" outlineLevel="0" collapsed="false">
      <c r="D168" s="28"/>
      <c r="E168" s="28"/>
    </row>
    <row r="169" customFormat="false" ht="14.25" hidden="false" customHeight="true" outlineLevel="0" collapsed="false">
      <c r="D169" s="28"/>
      <c r="E169" s="28"/>
    </row>
    <row r="170" customFormat="false" ht="14.25" hidden="false" customHeight="true" outlineLevel="0" collapsed="false">
      <c r="D170" s="28"/>
      <c r="E170" s="28"/>
    </row>
    <row r="171" customFormat="false" ht="14.25" hidden="false" customHeight="true" outlineLevel="0" collapsed="false">
      <c r="D171" s="28"/>
      <c r="E171" s="28"/>
    </row>
    <row r="172" customFormat="false" ht="14.25" hidden="false" customHeight="true" outlineLevel="0" collapsed="false">
      <c r="D172" s="28"/>
      <c r="E172" s="28"/>
    </row>
    <row r="173" customFormat="false" ht="14.25" hidden="false" customHeight="true" outlineLevel="0" collapsed="false">
      <c r="D173" s="28"/>
      <c r="E173" s="28"/>
    </row>
    <row r="174" customFormat="false" ht="14.25" hidden="false" customHeight="true" outlineLevel="0" collapsed="false">
      <c r="D174" s="28"/>
      <c r="E174" s="28"/>
    </row>
    <row r="175" customFormat="false" ht="14.25" hidden="false" customHeight="true" outlineLevel="0" collapsed="false">
      <c r="D175" s="28"/>
      <c r="E175" s="28"/>
    </row>
    <row r="176" customFormat="false" ht="14.25" hidden="false" customHeight="true" outlineLevel="0" collapsed="false">
      <c r="D176" s="28"/>
      <c r="E176" s="28"/>
    </row>
    <row r="177" customFormat="false" ht="14.25" hidden="false" customHeight="true" outlineLevel="0" collapsed="false">
      <c r="D177" s="28"/>
      <c r="E177" s="28"/>
    </row>
    <row r="178" customFormat="false" ht="14.25" hidden="false" customHeight="true" outlineLevel="0" collapsed="false">
      <c r="D178" s="28"/>
      <c r="E178" s="28"/>
    </row>
    <row r="179" customFormat="false" ht="14.25" hidden="false" customHeight="true" outlineLevel="0" collapsed="false">
      <c r="D179" s="28"/>
      <c r="E179" s="28"/>
    </row>
    <row r="180" customFormat="false" ht="14.25" hidden="false" customHeight="true" outlineLevel="0" collapsed="false">
      <c r="D180" s="28"/>
      <c r="E180" s="28"/>
    </row>
    <row r="181" customFormat="false" ht="14.25" hidden="false" customHeight="true" outlineLevel="0" collapsed="false">
      <c r="D181" s="28"/>
      <c r="E181" s="28"/>
    </row>
    <row r="182" customFormat="false" ht="14.25" hidden="false" customHeight="true" outlineLevel="0" collapsed="false">
      <c r="D182" s="28"/>
      <c r="E182" s="28"/>
    </row>
    <row r="183" customFormat="false" ht="14.25" hidden="false" customHeight="true" outlineLevel="0" collapsed="false">
      <c r="D183" s="28"/>
      <c r="E183" s="28"/>
    </row>
    <row r="184" customFormat="false" ht="14.25" hidden="false" customHeight="true" outlineLevel="0" collapsed="false">
      <c r="D184" s="28"/>
      <c r="E184" s="28"/>
    </row>
    <row r="185" customFormat="false" ht="14.25" hidden="false" customHeight="true" outlineLevel="0" collapsed="false">
      <c r="D185" s="28"/>
      <c r="E185" s="28"/>
    </row>
    <row r="186" customFormat="false" ht="14.25" hidden="false" customHeight="true" outlineLevel="0" collapsed="false">
      <c r="D186" s="28"/>
      <c r="E186" s="28"/>
    </row>
    <row r="187" customFormat="false" ht="14.25" hidden="false" customHeight="true" outlineLevel="0" collapsed="false">
      <c r="D187" s="28"/>
      <c r="E187" s="28"/>
    </row>
    <row r="188" customFormat="false" ht="14.25" hidden="false" customHeight="true" outlineLevel="0" collapsed="false">
      <c r="D188" s="28"/>
      <c r="E188" s="28"/>
    </row>
    <row r="189" customFormat="false" ht="14.25" hidden="false" customHeight="true" outlineLevel="0" collapsed="false">
      <c r="D189" s="28"/>
      <c r="E189" s="28"/>
    </row>
    <row r="190" customFormat="false" ht="14.25" hidden="false" customHeight="true" outlineLevel="0" collapsed="false">
      <c r="D190" s="28"/>
      <c r="E190" s="28"/>
    </row>
    <row r="191" customFormat="false" ht="14.25" hidden="false" customHeight="true" outlineLevel="0" collapsed="false">
      <c r="D191" s="28"/>
      <c r="E191" s="28"/>
    </row>
    <row r="192" customFormat="false" ht="14.25" hidden="false" customHeight="true" outlineLevel="0" collapsed="false">
      <c r="D192" s="28"/>
      <c r="E192" s="28"/>
    </row>
    <row r="193" customFormat="false" ht="14.25" hidden="false" customHeight="true" outlineLevel="0" collapsed="false">
      <c r="D193" s="28"/>
      <c r="E193" s="28"/>
    </row>
    <row r="194" customFormat="false" ht="14.25" hidden="false" customHeight="true" outlineLevel="0" collapsed="false">
      <c r="D194" s="28"/>
      <c r="E194" s="28"/>
    </row>
    <row r="195" customFormat="false" ht="14.25" hidden="false" customHeight="true" outlineLevel="0" collapsed="false">
      <c r="D195" s="28"/>
      <c r="E195" s="28"/>
    </row>
    <row r="196" customFormat="false" ht="14.25" hidden="false" customHeight="true" outlineLevel="0" collapsed="false">
      <c r="D196" s="28"/>
      <c r="E196" s="28"/>
    </row>
    <row r="197" customFormat="false" ht="14.25" hidden="false" customHeight="true" outlineLevel="0" collapsed="false">
      <c r="D197" s="28"/>
      <c r="E197" s="28"/>
    </row>
    <row r="198" customFormat="false" ht="14.25" hidden="false" customHeight="true" outlineLevel="0" collapsed="false">
      <c r="D198" s="28"/>
      <c r="E198" s="28"/>
    </row>
    <row r="199" customFormat="false" ht="14.25" hidden="false" customHeight="true" outlineLevel="0" collapsed="false">
      <c r="D199" s="28"/>
      <c r="E199" s="28"/>
    </row>
    <row r="200" customFormat="false" ht="14.25" hidden="false" customHeight="true" outlineLevel="0" collapsed="false">
      <c r="D200" s="28"/>
      <c r="E200" s="28"/>
    </row>
    <row r="201" customFormat="false" ht="14.25" hidden="false" customHeight="true" outlineLevel="0" collapsed="false">
      <c r="D201" s="28"/>
      <c r="E201" s="28"/>
    </row>
    <row r="202" customFormat="false" ht="14.25" hidden="false" customHeight="true" outlineLevel="0" collapsed="false">
      <c r="D202" s="28"/>
      <c r="E202" s="28"/>
    </row>
    <row r="203" customFormat="false" ht="14.25" hidden="false" customHeight="true" outlineLevel="0" collapsed="false">
      <c r="D203" s="28"/>
      <c r="E203" s="28"/>
    </row>
    <row r="204" customFormat="false" ht="14.25" hidden="false" customHeight="true" outlineLevel="0" collapsed="false">
      <c r="D204" s="28"/>
      <c r="E204" s="28"/>
    </row>
    <row r="205" customFormat="false" ht="14.25" hidden="false" customHeight="true" outlineLevel="0" collapsed="false">
      <c r="D205" s="28"/>
      <c r="E205" s="28"/>
    </row>
    <row r="206" customFormat="false" ht="14.25" hidden="false" customHeight="true" outlineLevel="0" collapsed="false">
      <c r="D206" s="28"/>
      <c r="E206" s="28"/>
    </row>
    <row r="207" customFormat="false" ht="14.25" hidden="false" customHeight="true" outlineLevel="0" collapsed="false">
      <c r="D207" s="28"/>
      <c r="E207" s="28"/>
    </row>
    <row r="208" customFormat="false" ht="14.25" hidden="false" customHeight="true" outlineLevel="0" collapsed="false">
      <c r="D208" s="28"/>
      <c r="E208" s="28"/>
    </row>
    <row r="209" customFormat="false" ht="14.25" hidden="false" customHeight="true" outlineLevel="0" collapsed="false">
      <c r="D209" s="28"/>
      <c r="E209" s="28"/>
    </row>
    <row r="210" customFormat="false" ht="14.25" hidden="false" customHeight="true" outlineLevel="0" collapsed="false">
      <c r="D210" s="28"/>
      <c r="E210" s="28"/>
    </row>
    <row r="211" customFormat="false" ht="14.25" hidden="false" customHeight="true" outlineLevel="0" collapsed="false">
      <c r="D211" s="28"/>
      <c r="E211" s="28"/>
    </row>
    <row r="212" customFormat="false" ht="14.25" hidden="false" customHeight="true" outlineLevel="0" collapsed="false">
      <c r="D212" s="28"/>
      <c r="E212" s="28"/>
    </row>
    <row r="213" customFormat="false" ht="14.25" hidden="false" customHeight="true" outlineLevel="0" collapsed="false">
      <c r="D213" s="28"/>
      <c r="E213" s="28"/>
    </row>
    <row r="214" customFormat="false" ht="14.25" hidden="false" customHeight="true" outlineLevel="0" collapsed="false">
      <c r="D214" s="28"/>
      <c r="E214" s="28"/>
    </row>
    <row r="215" customFormat="false" ht="14.25" hidden="false" customHeight="true" outlineLevel="0" collapsed="false">
      <c r="D215" s="28"/>
      <c r="E215" s="28"/>
    </row>
    <row r="216" customFormat="false" ht="14.25" hidden="false" customHeight="true" outlineLevel="0" collapsed="false">
      <c r="D216" s="28"/>
      <c r="E216" s="28"/>
    </row>
    <row r="217" customFormat="false" ht="14.25" hidden="false" customHeight="true" outlineLevel="0" collapsed="false">
      <c r="D217" s="28"/>
      <c r="E217" s="28"/>
    </row>
    <row r="218" customFormat="false" ht="14.25" hidden="false" customHeight="true" outlineLevel="0" collapsed="false">
      <c r="D218" s="28"/>
      <c r="E218" s="28"/>
    </row>
    <row r="219" customFormat="false" ht="14.25" hidden="false" customHeight="true" outlineLevel="0" collapsed="false">
      <c r="D219" s="28"/>
      <c r="E219" s="28"/>
    </row>
    <row r="220" customFormat="false" ht="14.25" hidden="false" customHeight="true" outlineLevel="0" collapsed="false">
      <c r="D220" s="28"/>
      <c r="E220" s="28"/>
    </row>
    <row r="221" customFormat="false" ht="14.25" hidden="false" customHeight="true" outlineLevel="0" collapsed="false">
      <c r="D221" s="28"/>
      <c r="E221" s="28"/>
    </row>
    <row r="222" customFormat="false" ht="14.25" hidden="false" customHeight="true" outlineLevel="0" collapsed="false">
      <c r="D222" s="28"/>
      <c r="E222" s="28"/>
    </row>
    <row r="223" customFormat="false" ht="14.25" hidden="false" customHeight="true" outlineLevel="0" collapsed="false">
      <c r="D223" s="28"/>
      <c r="E223" s="28"/>
    </row>
    <row r="224" customFormat="false" ht="14.25" hidden="false" customHeight="true" outlineLevel="0" collapsed="false">
      <c r="D224" s="28"/>
      <c r="E224" s="28"/>
    </row>
    <row r="225" customFormat="false" ht="14.25" hidden="false" customHeight="true" outlineLevel="0" collapsed="false">
      <c r="D225" s="28"/>
      <c r="E225" s="28"/>
    </row>
    <row r="226" customFormat="false" ht="14.25" hidden="false" customHeight="true" outlineLevel="0" collapsed="false">
      <c r="D226" s="28"/>
      <c r="E226" s="28"/>
    </row>
    <row r="227" customFormat="false" ht="14.25" hidden="false" customHeight="true" outlineLevel="0" collapsed="false">
      <c r="D227" s="28"/>
      <c r="E227" s="28"/>
    </row>
    <row r="228" customFormat="false" ht="14.25" hidden="false" customHeight="true" outlineLevel="0" collapsed="false">
      <c r="D228" s="28"/>
      <c r="E228" s="28"/>
    </row>
    <row r="229" customFormat="false" ht="14.25" hidden="false" customHeight="true" outlineLevel="0" collapsed="false">
      <c r="D229" s="28"/>
      <c r="E229" s="28"/>
    </row>
    <row r="230" customFormat="false" ht="14.25" hidden="false" customHeight="true" outlineLevel="0" collapsed="false">
      <c r="D230" s="28"/>
      <c r="E230" s="28"/>
    </row>
    <row r="231" customFormat="false" ht="14.25" hidden="false" customHeight="true" outlineLevel="0" collapsed="false">
      <c r="D231" s="28"/>
      <c r="E231" s="28"/>
    </row>
    <row r="232" customFormat="false" ht="14.25" hidden="false" customHeight="true" outlineLevel="0" collapsed="false">
      <c r="D232" s="28"/>
      <c r="E232" s="28"/>
    </row>
    <row r="233" customFormat="false" ht="14.25" hidden="false" customHeight="true" outlineLevel="0" collapsed="false">
      <c r="D233" s="28"/>
      <c r="E233" s="28"/>
    </row>
    <row r="234" customFormat="false" ht="14.25" hidden="false" customHeight="true" outlineLevel="0" collapsed="false">
      <c r="D234" s="28"/>
      <c r="E234" s="28"/>
    </row>
    <row r="235" customFormat="false" ht="14.25" hidden="false" customHeight="true" outlineLevel="0" collapsed="false">
      <c r="D235" s="28"/>
      <c r="E235" s="28"/>
    </row>
    <row r="236" customFormat="false" ht="14.25" hidden="false" customHeight="true" outlineLevel="0" collapsed="false">
      <c r="D236" s="28"/>
      <c r="E236" s="28"/>
    </row>
    <row r="237" customFormat="false" ht="14.25" hidden="false" customHeight="true" outlineLevel="0" collapsed="false">
      <c r="D237" s="28"/>
      <c r="E237" s="28"/>
    </row>
    <row r="238" customFormat="false" ht="14.25" hidden="false" customHeight="true" outlineLevel="0" collapsed="false">
      <c r="D238" s="28"/>
      <c r="E238" s="28"/>
    </row>
    <row r="239" customFormat="false" ht="14.25" hidden="false" customHeight="true" outlineLevel="0" collapsed="false">
      <c r="D239" s="28"/>
      <c r="E239" s="28"/>
    </row>
    <row r="240" customFormat="false" ht="14.25" hidden="false" customHeight="true" outlineLevel="0" collapsed="false">
      <c r="D240" s="28"/>
      <c r="E240" s="28"/>
    </row>
    <row r="241" customFormat="false" ht="14.25" hidden="false" customHeight="true" outlineLevel="0" collapsed="false">
      <c r="D241" s="28"/>
      <c r="E241" s="28"/>
    </row>
    <row r="242" customFormat="false" ht="14.25" hidden="false" customHeight="true" outlineLevel="0" collapsed="false">
      <c r="D242" s="28"/>
      <c r="E242" s="28"/>
    </row>
    <row r="243" customFormat="false" ht="14.25" hidden="false" customHeight="true" outlineLevel="0" collapsed="false">
      <c r="D243" s="28"/>
      <c r="E243" s="28"/>
    </row>
    <row r="244" customFormat="false" ht="14.25" hidden="false" customHeight="true" outlineLevel="0" collapsed="false">
      <c r="D244" s="28"/>
      <c r="E244" s="28"/>
    </row>
    <row r="245" customFormat="false" ht="14.25" hidden="false" customHeight="true" outlineLevel="0" collapsed="false">
      <c r="D245" s="28"/>
      <c r="E245" s="28"/>
    </row>
    <row r="246" customFormat="false" ht="14.25" hidden="false" customHeight="true" outlineLevel="0" collapsed="false">
      <c r="D246" s="28"/>
      <c r="E246" s="28"/>
    </row>
    <row r="247" customFormat="false" ht="14.25" hidden="false" customHeight="true" outlineLevel="0" collapsed="false">
      <c r="D247" s="28"/>
      <c r="E247" s="28"/>
    </row>
    <row r="248" customFormat="false" ht="14.25" hidden="false" customHeight="true" outlineLevel="0" collapsed="false">
      <c r="D248" s="28"/>
      <c r="E248" s="28"/>
    </row>
    <row r="249" customFormat="false" ht="14.25" hidden="false" customHeight="true" outlineLevel="0" collapsed="false">
      <c r="D249" s="28"/>
      <c r="E249" s="28"/>
    </row>
    <row r="250" customFormat="false" ht="14.25" hidden="false" customHeight="true" outlineLevel="0" collapsed="false">
      <c r="D250" s="28"/>
      <c r="E250" s="28"/>
    </row>
    <row r="251" customFormat="false" ht="14.25" hidden="false" customHeight="true" outlineLevel="0" collapsed="false">
      <c r="D251" s="28"/>
      <c r="E251" s="28"/>
    </row>
    <row r="252" customFormat="false" ht="14.25" hidden="false" customHeight="true" outlineLevel="0" collapsed="false">
      <c r="D252" s="28"/>
      <c r="E252" s="28"/>
    </row>
    <row r="253" customFormat="false" ht="14.25" hidden="false" customHeight="true" outlineLevel="0" collapsed="false">
      <c r="D253" s="28"/>
      <c r="E253" s="28"/>
    </row>
    <row r="254" customFormat="false" ht="14.25" hidden="false" customHeight="true" outlineLevel="0" collapsed="false">
      <c r="D254" s="28"/>
      <c r="E254" s="28"/>
    </row>
    <row r="255" customFormat="false" ht="14.25" hidden="false" customHeight="true" outlineLevel="0" collapsed="false">
      <c r="D255" s="28"/>
      <c r="E255" s="28"/>
    </row>
    <row r="256" customFormat="false" ht="14.25" hidden="false" customHeight="true" outlineLevel="0" collapsed="false">
      <c r="D256" s="28"/>
      <c r="E256" s="28"/>
    </row>
    <row r="257" customFormat="false" ht="14.25" hidden="false" customHeight="true" outlineLevel="0" collapsed="false">
      <c r="D257" s="28"/>
      <c r="E257" s="28"/>
    </row>
    <row r="258" customFormat="false" ht="14.25" hidden="false" customHeight="true" outlineLevel="0" collapsed="false">
      <c r="D258" s="28"/>
      <c r="E258" s="28"/>
    </row>
    <row r="259" customFormat="false" ht="14.25" hidden="false" customHeight="true" outlineLevel="0" collapsed="false">
      <c r="D259" s="28"/>
      <c r="E259" s="28"/>
    </row>
    <row r="260" customFormat="false" ht="14.25" hidden="false" customHeight="true" outlineLevel="0" collapsed="false">
      <c r="D260" s="28"/>
      <c r="E260" s="28"/>
    </row>
    <row r="261" customFormat="false" ht="14.25" hidden="false" customHeight="true" outlineLevel="0" collapsed="false">
      <c r="D261" s="28"/>
      <c r="E261" s="28"/>
    </row>
    <row r="262" customFormat="false" ht="14.25" hidden="false" customHeight="true" outlineLevel="0" collapsed="false">
      <c r="D262" s="28"/>
      <c r="E262" s="28"/>
    </row>
    <row r="263" customFormat="false" ht="14.25" hidden="false" customHeight="true" outlineLevel="0" collapsed="false">
      <c r="D263" s="28"/>
      <c r="E263" s="28"/>
    </row>
    <row r="264" customFormat="false" ht="14.25" hidden="false" customHeight="true" outlineLevel="0" collapsed="false">
      <c r="D264" s="28"/>
      <c r="E264" s="28"/>
    </row>
    <row r="265" customFormat="false" ht="14.25" hidden="false" customHeight="true" outlineLevel="0" collapsed="false">
      <c r="D265" s="28"/>
      <c r="E265" s="28"/>
    </row>
    <row r="266" customFormat="false" ht="14.25" hidden="false" customHeight="true" outlineLevel="0" collapsed="false">
      <c r="D266" s="28"/>
      <c r="E266" s="28"/>
    </row>
    <row r="267" customFormat="false" ht="14.25" hidden="false" customHeight="true" outlineLevel="0" collapsed="false">
      <c r="D267" s="28"/>
      <c r="E267" s="28"/>
    </row>
    <row r="268" customFormat="false" ht="14.25" hidden="false" customHeight="true" outlineLevel="0" collapsed="false">
      <c r="D268" s="28"/>
      <c r="E268" s="28"/>
    </row>
    <row r="269" customFormat="false" ht="14.25" hidden="false" customHeight="true" outlineLevel="0" collapsed="false">
      <c r="D269" s="28"/>
      <c r="E269" s="28"/>
    </row>
    <row r="270" customFormat="false" ht="14.25" hidden="false" customHeight="true" outlineLevel="0" collapsed="false">
      <c r="D270" s="28"/>
      <c r="E270" s="28"/>
    </row>
    <row r="271" customFormat="false" ht="14.25" hidden="false" customHeight="true" outlineLevel="0" collapsed="false">
      <c r="D271" s="28"/>
      <c r="E271" s="28"/>
    </row>
    <row r="272" customFormat="false" ht="14.25" hidden="false" customHeight="true" outlineLevel="0" collapsed="false">
      <c r="D272" s="28"/>
      <c r="E272" s="28"/>
    </row>
    <row r="273" customFormat="false" ht="14.25" hidden="false" customHeight="true" outlineLevel="0" collapsed="false">
      <c r="D273" s="28"/>
      <c r="E273" s="28"/>
    </row>
    <row r="274" customFormat="false" ht="14.25" hidden="false" customHeight="true" outlineLevel="0" collapsed="false">
      <c r="D274" s="28"/>
      <c r="E274" s="28"/>
    </row>
    <row r="275" customFormat="false" ht="14.25" hidden="false" customHeight="true" outlineLevel="0" collapsed="false">
      <c r="D275" s="28"/>
      <c r="E275" s="28"/>
    </row>
    <row r="276" customFormat="false" ht="14.25" hidden="false" customHeight="true" outlineLevel="0" collapsed="false">
      <c r="D276" s="28"/>
      <c r="E276" s="28"/>
    </row>
    <row r="277" customFormat="false" ht="14.25" hidden="false" customHeight="true" outlineLevel="0" collapsed="false">
      <c r="D277" s="28"/>
      <c r="E277" s="28"/>
    </row>
    <row r="278" customFormat="false" ht="14.25" hidden="false" customHeight="true" outlineLevel="0" collapsed="false">
      <c r="D278" s="28"/>
      <c r="E278" s="28"/>
    </row>
    <row r="279" customFormat="false" ht="14.25" hidden="false" customHeight="true" outlineLevel="0" collapsed="false">
      <c r="D279" s="28"/>
      <c r="E279" s="28"/>
    </row>
    <row r="280" customFormat="false" ht="14.25" hidden="false" customHeight="true" outlineLevel="0" collapsed="false">
      <c r="D280" s="28"/>
      <c r="E280" s="28"/>
    </row>
    <row r="281" customFormat="false" ht="14.25" hidden="false" customHeight="true" outlineLevel="0" collapsed="false">
      <c r="D281" s="28"/>
      <c r="E281" s="28"/>
    </row>
    <row r="282" customFormat="false" ht="14.25" hidden="false" customHeight="true" outlineLevel="0" collapsed="false">
      <c r="D282" s="28"/>
      <c r="E282" s="28"/>
    </row>
    <row r="283" customFormat="false" ht="14.25" hidden="false" customHeight="true" outlineLevel="0" collapsed="false">
      <c r="D283" s="28"/>
      <c r="E283" s="28"/>
    </row>
    <row r="284" customFormat="false" ht="14.25" hidden="false" customHeight="true" outlineLevel="0" collapsed="false">
      <c r="D284" s="28"/>
      <c r="E284" s="28"/>
    </row>
    <row r="285" customFormat="false" ht="14.25" hidden="false" customHeight="true" outlineLevel="0" collapsed="false">
      <c r="D285" s="28"/>
      <c r="E285" s="28"/>
    </row>
    <row r="286" customFormat="false" ht="14.25" hidden="false" customHeight="true" outlineLevel="0" collapsed="false">
      <c r="D286" s="28"/>
      <c r="E286" s="28"/>
    </row>
    <row r="287" customFormat="false" ht="14.25" hidden="false" customHeight="true" outlineLevel="0" collapsed="false">
      <c r="D287" s="28"/>
      <c r="E287" s="28"/>
    </row>
    <row r="288" customFormat="false" ht="14.25" hidden="false" customHeight="true" outlineLevel="0" collapsed="false">
      <c r="D288" s="28"/>
      <c r="E288" s="28"/>
    </row>
    <row r="289" customFormat="false" ht="14.25" hidden="false" customHeight="true" outlineLevel="0" collapsed="false">
      <c r="D289" s="28"/>
      <c r="E289" s="28"/>
    </row>
    <row r="290" customFormat="false" ht="14.25" hidden="false" customHeight="true" outlineLevel="0" collapsed="false">
      <c r="D290" s="28"/>
      <c r="E290" s="28"/>
    </row>
    <row r="291" customFormat="false" ht="14.25" hidden="false" customHeight="true" outlineLevel="0" collapsed="false">
      <c r="D291" s="28"/>
      <c r="E291" s="28"/>
    </row>
    <row r="292" customFormat="false" ht="14.25" hidden="false" customHeight="true" outlineLevel="0" collapsed="false">
      <c r="D292" s="28"/>
      <c r="E292" s="28"/>
    </row>
    <row r="293" customFormat="false" ht="14.25" hidden="false" customHeight="true" outlineLevel="0" collapsed="false">
      <c r="D293" s="28"/>
      <c r="E293" s="28"/>
    </row>
    <row r="294" customFormat="false" ht="14.25" hidden="false" customHeight="true" outlineLevel="0" collapsed="false">
      <c r="D294" s="28"/>
      <c r="E294" s="28"/>
    </row>
    <row r="295" customFormat="false" ht="14.25" hidden="false" customHeight="true" outlineLevel="0" collapsed="false">
      <c r="D295" s="28"/>
      <c r="E295" s="28"/>
    </row>
    <row r="296" customFormat="false" ht="14.25" hidden="false" customHeight="true" outlineLevel="0" collapsed="false">
      <c r="D296" s="28"/>
      <c r="E296" s="28"/>
    </row>
    <row r="297" customFormat="false" ht="14.25" hidden="false" customHeight="true" outlineLevel="0" collapsed="false">
      <c r="D297" s="28"/>
      <c r="E297" s="28"/>
    </row>
    <row r="298" customFormat="false" ht="14.25" hidden="false" customHeight="true" outlineLevel="0" collapsed="false">
      <c r="D298" s="28"/>
      <c r="E298" s="28"/>
    </row>
    <row r="299" customFormat="false" ht="14.25" hidden="false" customHeight="true" outlineLevel="0" collapsed="false">
      <c r="D299" s="28"/>
      <c r="E299" s="28"/>
    </row>
    <row r="300" customFormat="false" ht="14.25" hidden="false" customHeight="true" outlineLevel="0" collapsed="false">
      <c r="D300" s="28"/>
      <c r="E300" s="28"/>
    </row>
    <row r="301" customFormat="false" ht="14.25" hidden="false" customHeight="true" outlineLevel="0" collapsed="false">
      <c r="D301" s="28"/>
      <c r="E301" s="28"/>
    </row>
    <row r="302" customFormat="false" ht="14.25" hidden="false" customHeight="true" outlineLevel="0" collapsed="false">
      <c r="D302" s="28"/>
      <c r="E302" s="28"/>
    </row>
    <row r="303" customFormat="false" ht="14.25" hidden="false" customHeight="true" outlineLevel="0" collapsed="false">
      <c r="D303" s="28"/>
      <c r="E303" s="28"/>
    </row>
    <row r="304" customFormat="false" ht="14.25" hidden="false" customHeight="true" outlineLevel="0" collapsed="false">
      <c r="D304" s="28"/>
      <c r="E304" s="28"/>
    </row>
    <row r="305" customFormat="false" ht="14.25" hidden="false" customHeight="true" outlineLevel="0" collapsed="false">
      <c r="D305" s="28"/>
      <c r="E305" s="28"/>
    </row>
    <row r="306" customFormat="false" ht="14.25" hidden="false" customHeight="true" outlineLevel="0" collapsed="false">
      <c r="D306" s="28"/>
      <c r="E306" s="28"/>
    </row>
    <row r="307" customFormat="false" ht="14.25" hidden="false" customHeight="true" outlineLevel="0" collapsed="false">
      <c r="D307" s="28"/>
      <c r="E307" s="28"/>
    </row>
    <row r="308" customFormat="false" ht="14.25" hidden="false" customHeight="true" outlineLevel="0" collapsed="false">
      <c r="D308" s="28"/>
      <c r="E308" s="28"/>
    </row>
    <row r="309" customFormat="false" ht="14.25" hidden="false" customHeight="true" outlineLevel="0" collapsed="false">
      <c r="D309" s="28"/>
      <c r="E309" s="28"/>
    </row>
    <row r="310" customFormat="false" ht="14.25" hidden="false" customHeight="true" outlineLevel="0" collapsed="false">
      <c r="D310" s="28"/>
      <c r="E310" s="28"/>
    </row>
    <row r="311" customFormat="false" ht="14.25" hidden="false" customHeight="true" outlineLevel="0" collapsed="false">
      <c r="D311" s="28"/>
      <c r="E311" s="28"/>
    </row>
    <row r="312" customFormat="false" ht="14.25" hidden="false" customHeight="true" outlineLevel="0" collapsed="false">
      <c r="D312" s="28"/>
      <c r="E312" s="28"/>
    </row>
    <row r="313" customFormat="false" ht="14.25" hidden="false" customHeight="true" outlineLevel="0" collapsed="false">
      <c r="D313" s="28"/>
      <c r="E313" s="28"/>
    </row>
    <row r="314" customFormat="false" ht="14.25" hidden="false" customHeight="true" outlineLevel="0" collapsed="false">
      <c r="D314" s="28"/>
      <c r="E314" s="28"/>
    </row>
    <row r="315" customFormat="false" ht="14.25" hidden="false" customHeight="true" outlineLevel="0" collapsed="false">
      <c r="D315" s="28"/>
      <c r="E315" s="28"/>
    </row>
    <row r="316" customFormat="false" ht="14.25" hidden="false" customHeight="true" outlineLevel="0" collapsed="false">
      <c r="D316" s="28"/>
      <c r="E316" s="28"/>
    </row>
    <row r="317" customFormat="false" ht="14.25" hidden="false" customHeight="true" outlineLevel="0" collapsed="false">
      <c r="D317" s="28"/>
      <c r="E317" s="28"/>
    </row>
    <row r="318" customFormat="false" ht="14.25" hidden="false" customHeight="true" outlineLevel="0" collapsed="false">
      <c r="D318" s="28"/>
      <c r="E318" s="28"/>
    </row>
    <row r="319" customFormat="false" ht="14.25" hidden="false" customHeight="true" outlineLevel="0" collapsed="false">
      <c r="D319" s="28"/>
      <c r="E319" s="28"/>
    </row>
    <row r="320" customFormat="false" ht="14.25" hidden="false" customHeight="true" outlineLevel="0" collapsed="false">
      <c r="D320" s="28"/>
      <c r="E320" s="28"/>
    </row>
    <row r="321" customFormat="false" ht="14.25" hidden="false" customHeight="true" outlineLevel="0" collapsed="false">
      <c r="D321" s="28"/>
      <c r="E321" s="28"/>
    </row>
    <row r="322" customFormat="false" ht="14.25" hidden="false" customHeight="true" outlineLevel="0" collapsed="false">
      <c r="D322" s="28"/>
      <c r="E322" s="28"/>
    </row>
    <row r="323" customFormat="false" ht="14.25" hidden="false" customHeight="true" outlineLevel="0" collapsed="false">
      <c r="D323" s="28"/>
      <c r="E323" s="28"/>
    </row>
    <row r="324" customFormat="false" ht="14.25" hidden="false" customHeight="true" outlineLevel="0" collapsed="false">
      <c r="D324" s="28"/>
      <c r="E324" s="28"/>
    </row>
    <row r="325" customFormat="false" ht="14.25" hidden="false" customHeight="true" outlineLevel="0" collapsed="false">
      <c r="D325" s="28"/>
      <c r="E325" s="28"/>
    </row>
    <row r="326" customFormat="false" ht="14.25" hidden="false" customHeight="true" outlineLevel="0" collapsed="false">
      <c r="D326" s="28"/>
      <c r="E326" s="28"/>
    </row>
    <row r="327" customFormat="false" ht="14.25" hidden="false" customHeight="true" outlineLevel="0" collapsed="false">
      <c r="D327" s="28"/>
      <c r="E327" s="28"/>
    </row>
    <row r="328" customFormat="false" ht="14.25" hidden="false" customHeight="true" outlineLevel="0" collapsed="false">
      <c r="D328" s="28"/>
      <c r="E328" s="28"/>
    </row>
    <row r="329" customFormat="false" ht="14.25" hidden="false" customHeight="true" outlineLevel="0" collapsed="false">
      <c r="D329" s="28"/>
      <c r="E329" s="28"/>
    </row>
    <row r="330" customFormat="false" ht="14.25" hidden="false" customHeight="true" outlineLevel="0" collapsed="false">
      <c r="D330" s="28"/>
      <c r="E330" s="28"/>
    </row>
    <row r="331" customFormat="false" ht="14.25" hidden="false" customHeight="true" outlineLevel="0" collapsed="false">
      <c r="D331" s="28"/>
      <c r="E331" s="28"/>
    </row>
    <row r="332" customFormat="false" ht="14.25" hidden="false" customHeight="true" outlineLevel="0" collapsed="false">
      <c r="D332" s="28"/>
      <c r="E332" s="28"/>
    </row>
    <row r="333" customFormat="false" ht="14.25" hidden="false" customHeight="true" outlineLevel="0" collapsed="false">
      <c r="D333" s="28"/>
      <c r="E333" s="28"/>
    </row>
    <row r="334" customFormat="false" ht="14.25" hidden="false" customHeight="true" outlineLevel="0" collapsed="false">
      <c r="D334" s="28"/>
      <c r="E334" s="28"/>
    </row>
    <row r="335" customFormat="false" ht="14.25" hidden="false" customHeight="true" outlineLevel="0" collapsed="false">
      <c r="D335" s="28"/>
      <c r="E335" s="28"/>
    </row>
    <row r="336" customFormat="false" ht="14.25" hidden="false" customHeight="true" outlineLevel="0" collapsed="false">
      <c r="D336" s="28"/>
      <c r="E336" s="28"/>
    </row>
    <row r="337" customFormat="false" ht="14.25" hidden="false" customHeight="true" outlineLevel="0" collapsed="false">
      <c r="D337" s="28"/>
      <c r="E337" s="28"/>
    </row>
    <row r="338" customFormat="false" ht="14.25" hidden="false" customHeight="true" outlineLevel="0" collapsed="false">
      <c r="D338" s="28"/>
      <c r="E338" s="28"/>
    </row>
    <row r="339" customFormat="false" ht="14.25" hidden="false" customHeight="true" outlineLevel="0" collapsed="false">
      <c r="D339" s="28"/>
      <c r="E339" s="28"/>
    </row>
    <row r="340" customFormat="false" ht="14.25" hidden="false" customHeight="true" outlineLevel="0" collapsed="false">
      <c r="D340" s="28"/>
      <c r="E340" s="28"/>
    </row>
    <row r="341" customFormat="false" ht="14.25" hidden="false" customHeight="true" outlineLevel="0" collapsed="false">
      <c r="D341" s="28"/>
      <c r="E341" s="28"/>
    </row>
    <row r="342" customFormat="false" ht="14.25" hidden="false" customHeight="true" outlineLevel="0" collapsed="false">
      <c r="D342" s="28"/>
      <c r="E342" s="28"/>
    </row>
    <row r="343" customFormat="false" ht="14.25" hidden="false" customHeight="true" outlineLevel="0" collapsed="false">
      <c r="D343" s="28"/>
      <c r="E343" s="28"/>
    </row>
    <row r="344" customFormat="false" ht="14.25" hidden="false" customHeight="true" outlineLevel="0" collapsed="false">
      <c r="D344" s="28"/>
      <c r="E344" s="28"/>
    </row>
    <row r="345" customFormat="false" ht="14.25" hidden="false" customHeight="true" outlineLevel="0" collapsed="false">
      <c r="D345" s="28"/>
      <c r="E345" s="28"/>
    </row>
    <row r="346" customFormat="false" ht="14.25" hidden="false" customHeight="true" outlineLevel="0" collapsed="false">
      <c r="D346" s="28"/>
      <c r="E346" s="28"/>
    </row>
    <row r="347" customFormat="false" ht="14.25" hidden="false" customHeight="true" outlineLevel="0" collapsed="false">
      <c r="D347" s="28"/>
      <c r="E347" s="28"/>
    </row>
    <row r="348" customFormat="false" ht="14.25" hidden="false" customHeight="true" outlineLevel="0" collapsed="false">
      <c r="D348" s="28"/>
      <c r="E348" s="28"/>
    </row>
    <row r="349" customFormat="false" ht="14.25" hidden="false" customHeight="true" outlineLevel="0" collapsed="false">
      <c r="D349" s="28"/>
      <c r="E349" s="28"/>
    </row>
    <row r="350" customFormat="false" ht="14.25" hidden="false" customHeight="true" outlineLevel="0" collapsed="false">
      <c r="D350" s="28"/>
      <c r="E350" s="28"/>
    </row>
    <row r="351" customFormat="false" ht="14.25" hidden="false" customHeight="true" outlineLevel="0" collapsed="false">
      <c r="D351" s="28"/>
      <c r="E351" s="28"/>
    </row>
    <row r="352" customFormat="false" ht="14.25" hidden="false" customHeight="true" outlineLevel="0" collapsed="false">
      <c r="D352" s="28"/>
      <c r="E352" s="28"/>
    </row>
    <row r="353" customFormat="false" ht="14.25" hidden="false" customHeight="true" outlineLevel="0" collapsed="false">
      <c r="D353" s="28"/>
      <c r="E353" s="28"/>
    </row>
    <row r="354" customFormat="false" ht="14.25" hidden="false" customHeight="true" outlineLevel="0" collapsed="false">
      <c r="D354" s="28"/>
      <c r="E354" s="28"/>
    </row>
    <row r="355" customFormat="false" ht="14.25" hidden="false" customHeight="true" outlineLevel="0" collapsed="false">
      <c r="D355" s="28"/>
      <c r="E355" s="28"/>
    </row>
    <row r="356" customFormat="false" ht="14.25" hidden="false" customHeight="true" outlineLevel="0" collapsed="false">
      <c r="D356" s="28"/>
      <c r="E356" s="28"/>
    </row>
    <row r="357" customFormat="false" ht="14.25" hidden="false" customHeight="true" outlineLevel="0" collapsed="false">
      <c r="D357" s="28"/>
      <c r="E357" s="28"/>
    </row>
    <row r="358" customFormat="false" ht="14.25" hidden="false" customHeight="true" outlineLevel="0" collapsed="false">
      <c r="D358" s="28"/>
      <c r="E358" s="28"/>
    </row>
    <row r="359" customFormat="false" ht="14.25" hidden="false" customHeight="true" outlineLevel="0" collapsed="false">
      <c r="D359" s="28"/>
      <c r="E359" s="28"/>
    </row>
    <row r="360" customFormat="false" ht="14.25" hidden="false" customHeight="true" outlineLevel="0" collapsed="false">
      <c r="D360" s="28"/>
      <c r="E360" s="28"/>
    </row>
    <row r="361" customFormat="false" ht="14.25" hidden="false" customHeight="true" outlineLevel="0" collapsed="false">
      <c r="D361" s="28"/>
      <c r="E361" s="28"/>
    </row>
    <row r="362" customFormat="false" ht="14.25" hidden="false" customHeight="true" outlineLevel="0" collapsed="false">
      <c r="D362" s="28"/>
      <c r="E362" s="28"/>
    </row>
    <row r="363" customFormat="false" ht="14.25" hidden="false" customHeight="true" outlineLevel="0" collapsed="false">
      <c r="D363" s="28"/>
      <c r="E363" s="28"/>
    </row>
    <row r="364" customFormat="false" ht="14.25" hidden="false" customHeight="true" outlineLevel="0" collapsed="false">
      <c r="D364" s="28"/>
      <c r="E364" s="28"/>
    </row>
    <row r="365" customFormat="false" ht="14.25" hidden="false" customHeight="true" outlineLevel="0" collapsed="false">
      <c r="D365" s="28"/>
      <c r="E365" s="28"/>
    </row>
    <row r="366" customFormat="false" ht="14.25" hidden="false" customHeight="true" outlineLevel="0" collapsed="false">
      <c r="D366" s="28"/>
      <c r="E366" s="28"/>
    </row>
    <row r="367" customFormat="false" ht="14.25" hidden="false" customHeight="true" outlineLevel="0" collapsed="false">
      <c r="D367" s="28"/>
      <c r="E367" s="28"/>
    </row>
    <row r="368" customFormat="false" ht="14.25" hidden="false" customHeight="true" outlineLevel="0" collapsed="false">
      <c r="D368" s="28"/>
      <c r="E368" s="28"/>
    </row>
    <row r="369" customFormat="false" ht="14.25" hidden="false" customHeight="true" outlineLevel="0" collapsed="false">
      <c r="D369" s="28"/>
      <c r="E369" s="28"/>
    </row>
    <row r="370" customFormat="false" ht="14.25" hidden="false" customHeight="true" outlineLevel="0" collapsed="false">
      <c r="D370" s="28"/>
      <c r="E370" s="28"/>
    </row>
    <row r="371" customFormat="false" ht="14.25" hidden="false" customHeight="true" outlineLevel="0" collapsed="false">
      <c r="D371" s="28"/>
      <c r="E371" s="28"/>
    </row>
    <row r="372" customFormat="false" ht="14.25" hidden="false" customHeight="true" outlineLevel="0" collapsed="false">
      <c r="D372" s="28"/>
      <c r="E372" s="28"/>
    </row>
    <row r="373" customFormat="false" ht="14.25" hidden="false" customHeight="true" outlineLevel="0" collapsed="false">
      <c r="D373" s="28"/>
      <c r="E373" s="28"/>
    </row>
    <row r="374" customFormat="false" ht="14.25" hidden="false" customHeight="true" outlineLevel="0" collapsed="false">
      <c r="D374" s="28"/>
      <c r="E374" s="28"/>
    </row>
    <row r="375" customFormat="false" ht="14.25" hidden="false" customHeight="true" outlineLevel="0" collapsed="false">
      <c r="D375" s="28"/>
      <c r="E375" s="28"/>
    </row>
    <row r="376" customFormat="false" ht="14.25" hidden="false" customHeight="true" outlineLevel="0" collapsed="false">
      <c r="D376" s="28"/>
      <c r="E376" s="28"/>
    </row>
    <row r="377" customFormat="false" ht="14.25" hidden="false" customHeight="true" outlineLevel="0" collapsed="false">
      <c r="D377" s="28"/>
      <c r="E377" s="28"/>
    </row>
    <row r="378" customFormat="false" ht="14.25" hidden="false" customHeight="true" outlineLevel="0" collapsed="false">
      <c r="D378" s="28"/>
      <c r="E378" s="28"/>
    </row>
    <row r="379" customFormat="false" ht="14.25" hidden="false" customHeight="true" outlineLevel="0" collapsed="false">
      <c r="D379" s="28"/>
      <c r="E379" s="28"/>
    </row>
    <row r="380" customFormat="false" ht="14.25" hidden="false" customHeight="true" outlineLevel="0" collapsed="false">
      <c r="D380" s="28"/>
      <c r="E380" s="28"/>
    </row>
    <row r="381" customFormat="false" ht="14.25" hidden="false" customHeight="true" outlineLevel="0" collapsed="false">
      <c r="D381" s="28"/>
      <c r="E381" s="28"/>
    </row>
    <row r="382" customFormat="false" ht="14.25" hidden="false" customHeight="true" outlineLevel="0" collapsed="false">
      <c r="D382" s="28"/>
      <c r="E382" s="28"/>
    </row>
    <row r="383" customFormat="false" ht="14.25" hidden="false" customHeight="true" outlineLevel="0" collapsed="false">
      <c r="D383" s="28"/>
      <c r="E383" s="28"/>
    </row>
    <row r="384" customFormat="false" ht="14.25" hidden="false" customHeight="true" outlineLevel="0" collapsed="false">
      <c r="D384" s="28"/>
      <c r="E384" s="28"/>
    </row>
    <row r="385" customFormat="false" ht="14.25" hidden="false" customHeight="true" outlineLevel="0" collapsed="false">
      <c r="D385" s="28"/>
      <c r="E385" s="28"/>
    </row>
    <row r="386" customFormat="false" ht="14.25" hidden="false" customHeight="true" outlineLevel="0" collapsed="false">
      <c r="D386" s="28"/>
      <c r="E386" s="28"/>
    </row>
    <row r="387" customFormat="false" ht="14.25" hidden="false" customHeight="true" outlineLevel="0" collapsed="false">
      <c r="D387" s="28"/>
      <c r="E387" s="28"/>
    </row>
    <row r="388" customFormat="false" ht="14.25" hidden="false" customHeight="true" outlineLevel="0" collapsed="false">
      <c r="D388" s="28"/>
      <c r="E388" s="28"/>
    </row>
    <row r="389" customFormat="false" ht="14.25" hidden="false" customHeight="true" outlineLevel="0" collapsed="false">
      <c r="D389" s="28"/>
      <c r="E389" s="28"/>
    </row>
    <row r="390" customFormat="false" ht="14.25" hidden="false" customHeight="true" outlineLevel="0" collapsed="false">
      <c r="D390" s="28"/>
      <c r="E390" s="28"/>
    </row>
    <row r="391" customFormat="false" ht="14.25" hidden="false" customHeight="true" outlineLevel="0" collapsed="false">
      <c r="D391" s="28"/>
      <c r="E391" s="28"/>
    </row>
    <row r="392" customFormat="false" ht="14.25" hidden="false" customHeight="true" outlineLevel="0" collapsed="false">
      <c r="D392" s="28"/>
      <c r="E392" s="28"/>
    </row>
    <row r="393" customFormat="false" ht="14.25" hidden="false" customHeight="true" outlineLevel="0" collapsed="false">
      <c r="D393" s="28"/>
      <c r="E393" s="28"/>
    </row>
    <row r="394" customFormat="false" ht="14.25" hidden="false" customHeight="true" outlineLevel="0" collapsed="false">
      <c r="D394" s="28"/>
      <c r="E394" s="28"/>
    </row>
    <row r="395" customFormat="false" ht="14.25" hidden="false" customHeight="true" outlineLevel="0" collapsed="false">
      <c r="D395" s="28"/>
      <c r="E395" s="28"/>
    </row>
    <row r="396" customFormat="false" ht="14.25" hidden="false" customHeight="true" outlineLevel="0" collapsed="false">
      <c r="D396" s="28"/>
      <c r="E396" s="28"/>
    </row>
    <row r="397" customFormat="false" ht="14.25" hidden="false" customHeight="true" outlineLevel="0" collapsed="false">
      <c r="D397" s="28"/>
      <c r="E397" s="28"/>
    </row>
    <row r="398" customFormat="false" ht="14.25" hidden="false" customHeight="true" outlineLevel="0" collapsed="false">
      <c r="D398" s="28"/>
      <c r="E398" s="28"/>
    </row>
    <row r="399" customFormat="false" ht="14.25" hidden="false" customHeight="true" outlineLevel="0" collapsed="false">
      <c r="D399" s="28"/>
      <c r="E399" s="28"/>
    </row>
    <row r="400" customFormat="false" ht="14.25" hidden="false" customHeight="true" outlineLevel="0" collapsed="false">
      <c r="D400" s="28"/>
      <c r="E400" s="28"/>
    </row>
    <row r="401" customFormat="false" ht="14.25" hidden="false" customHeight="true" outlineLevel="0" collapsed="false">
      <c r="D401" s="28"/>
      <c r="E401" s="28"/>
    </row>
    <row r="402" customFormat="false" ht="14.25" hidden="false" customHeight="true" outlineLevel="0" collapsed="false">
      <c r="D402" s="28"/>
      <c r="E402" s="28"/>
    </row>
    <row r="403" customFormat="false" ht="14.25" hidden="false" customHeight="true" outlineLevel="0" collapsed="false">
      <c r="D403" s="28"/>
      <c r="E403" s="28"/>
    </row>
    <row r="404" customFormat="false" ht="14.25" hidden="false" customHeight="true" outlineLevel="0" collapsed="false">
      <c r="D404" s="28"/>
      <c r="E404" s="28"/>
    </row>
    <row r="405" customFormat="false" ht="14.25" hidden="false" customHeight="true" outlineLevel="0" collapsed="false">
      <c r="D405" s="28"/>
      <c r="E405" s="28"/>
    </row>
    <row r="406" customFormat="false" ht="14.25" hidden="false" customHeight="true" outlineLevel="0" collapsed="false">
      <c r="D406" s="28"/>
      <c r="E406" s="28"/>
    </row>
    <row r="407" customFormat="false" ht="14.25" hidden="false" customHeight="true" outlineLevel="0" collapsed="false">
      <c r="D407" s="28"/>
      <c r="E407" s="28"/>
    </row>
    <row r="408" customFormat="false" ht="14.25" hidden="false" customHeight="true" outlineLevel="0" collapsed="false">
      <c r="D408" s="28"/>
      <c r="E408" s="28"/>
    </row>
    <row r="409" customFormat="false" ht="14.25" hidden="false" customHeight="true" outlineLevel="0" collapsed="false">
      <c r="D409" s="28"/>
      <c r="E409" s="28"/>
    </row>
    <row r="410" customFormat="false" ht="14.25" hidden="false" customHeight="true" outlineLevel="0" collapsed="false">
      <c r="D410" s="28"/>
      <c r="E410" s="28"/>
    </row>
    <row r="411" customFormat="false" ht="14.25" hidden="false" customHeight="true" outlineLevel="0" collapsed="false">
      <c r="D411" s="28"/>
      <c r="E411" s="28"/>
    </row>
    <row r="412" customFormat="false" ht="14.25" hidden="false" customHeight="true" outlineLevel="0" collapsed="false">
      <c r="D412" s="28"/>
      <c r="E412" s="28"/>
    </row>
    <row r="413" customFormat="false" ht="14.25" hidden="false" customHeight="true" outlineLevel="0" collapsed="false">
      <c r="D413" s="28"/>
      <c r="E413" s="28"/>
    </row>
    <row r="414" customFormat="false" ht="14.25" hidden="false" customHeight="true" outlineLevel="0" collapsed="false">
      <c r="D414" s="28"/>
      <c r="E414" s="28"/>
    </row>
    <row r="415" customFormat="false" ht="14.25" hidden="false" customHeight="true" outlineLevel="0" collapsed="false">
      <c r="D415" s="28"/>
      <c r="E415" s="28"/>
    </row>
    <row r="416" customFormat="false" ht="14.25" hidden="false" customHeight="true" outlineLevel="0" collapsed="false">
      <c r="D416" s="28"/>
      <c r="E416" s="28"/>
    </row>
    <row r="417" customFormat="false" ht="14.25" hidden="false" customHeight="true" outlineLevel="0" collapsed="false">
      <c r="D417" s="28"/>
      <c r="E417" s="28"/>
    </row>
    <row r="418" customFormat="false" ht="14.25" hidden="false" customHeight="true" outlineLevel="0" collapsed="false">
      <c r="D418" s="28"/>
      <c r="E418" s="28"/>
    </row>
    <row r="419" customFormat="false" ht="14.25" hidden="false" customHeight="true" outlineLevel="0" collapsed="false">
      <c r="D419" s="28"/>
      <c r="E419" s="28"/>
    </row>
    <row r="420" customFormat="false" ht="14.25" hidden="false" customHeight="true" outlineLevel="0" collapsed="false">
      <c r="D420" s="28"/>
      <c r="E420" s="28"/>
    </row>
    <row r="421" customFormat="false" ht="14.25" hidden="false" customHeight="true" outlineLevel="0" collapsed="false">
      <c r="D421" s="28"/>
      <c r="E421" s="28"/>
    </row>
    <row r="422" customFormat="false" ht="14.25" hidden="false" customHeight="true" outlineLevel="0" collapsed="false">
      <c r="D422" s="28"/>
      <c r="E422" s="28"/>
    </row>
    <row r="423" customFormat="false" ht="14.25" hidden="false" customHeight="true" outlineLevel="0" collapsed="false">
      <c r="D423" s="28"/>
      <c r="E423" s="28"/>
    </row>
    <row r="424" customFormat="false" ht="14.25" hidden="false" customHeight="true" outlineLevel="0" collapsed="false">
      <c r="D424" s="28"/>
      <c r="E424" s="28"/>
    </row>
    <row r="425" customFormat="false" ht="14.25" hidden="false" customHeight="true" outlineLevel="0" collapsed="false">
      <c r="D425" s="28"/>
      <c r="E425" s="28"/>
    </row>
    <row r="426" customFormat="false" ht="14.25" hidden="false" customHeight="true" outlineLevel="0" collapsed="false">
      <c r="D426" s="28"/>
      <c r="E426" s="28"/>
    </row>
    <row r="427" customFormat="false" ht="14.25" hidden="false" customHeight="true" outlineLevel="0" collapsed="false">
      <c r="D427" s="28"/>
      <c r="E427" s="28"/>
    </row>
    <row r="428" customFormat="false" ht="14.25" hidden="false" customHeight="true" outlineLevel="0" collapsed="false">
      <c r="D428" s="28"/>
      <c r="E428" s="28"/>
    </row>
    <row r="429" customFormat="false" ht="14.25" hidden="false" customHeight="true" outlineLevel="0" collapsed="false">
      <c r="D429" s="28"/>
      <c r="E429" s="28"/>
    </row>
    <row r="430" customFormat="false" ht="14.25" hidden="false" customHeight="true" outlineLevel="0" collapsed="false">
      <c r="D430" s="28"/>
      <c r="E430" s="28"/>
    </row>
    <row r="431" customFormat="false" ht="14.25" hidden="false" customHeight="true" outlineLevel="0" collapsed="false">
      <c r="D431" s="28"/>
      <c r="E431" s="28"/>
    </row>
    <row r="432" customFormat="false" ht="14.25" hidden="false" customHeight="true" outlineLevel="0" collapsed="false">
      <c r="D432" s="28"/>
      <c r="E432" s="28"/>
    </row>
    <row r="433" customFormat="false" ht="14.25" hidden="false" customHeight="true" outlineLevel="0" collapsed="false">
      <c r="D433" s="28"/>
      <c r="E433" s="28"/>
    </row>
    <row r="434" customFormat="false" ht="14.25" hidden="false" customHeight="true" outlineLevel="0" collapsed="false">
      <c r="D434" s="28"/>
      <c r="E434" s="28"/>
    </row>
    <row r="435" customFormat="false" ht="14.25" hidden="false" customHeight="true" outlineLevel="0" collapsed="false">
      <c r="D435" s="28"/>
      <c r="E435" s="28"/>
    </row>
    <row r="436" customFormat="false" ht="14.25" hidden="false" customHeight="true" outlineLevel="0" collapsed="false">
      <c r="D436" s="28"/>
      <c r="E436" s="28"/>
    </row>
    <row r="437" customFormat="false" ht="14.25" hidden="false" customHeight="true" outlineLevel="0" collapsed="false">
      <c r="D437" s="28"/>
      <c r="E437" s="28"/>
    </row>
    <row r="438" customFormat="false" ht="14.25" hidden="false" customHeight="true" outlineLevel="0" collapsed="false">
      <c r="D438" s="28"/>
      <c r="E438" s="28"/>
    </row>
    <row r="439" customFormat="false" ht="14.25" hidden="false" customHeight="true" outlineLevel="0" collapsed="false">
      <c r="D439" s="28"/>
      <c r="E439" s="28"/>
    </row>
    <row r="440" customFormat="false" ht="14.25" hidden="false" customHeight="true" outlineLevel="0" collapsed="false">
      <c r="D440" s="28"/>
      <c r="E440" s="28"/>
    </row>
    <row r="441" customFormat="false" ht="14.25" hidden="false" customHeight="true" outlineLevel="0" collapsed="false">
      <c r="D441" s="28"/>
      <c r="E441" s="28"/>
    </row>
    <row r="442" customFormat="false" ht="14.25" hidden="false" customHeight="true" outlineLevel="0" collapsed="false">
      <c r="D442" s="28"/>
      <c r="E442" s="28"/>
    </row>
    <row r="443" customFormat="false" ht="14.25" hidden="false" customHeight="true" outlineLevel="0" collapsed="false">
      <c r="D443" s="28"/>
      <c r="E443" s="28"/>
    </row>
    <row r="444" customFormat="false" ht="14.25" hidden="false" customHeight="true" outlineLevel="0" collapsed="false">
      <c r="D444" s="28"/>
      <c r="E444" s="28"/>
    </row>
    <row r="445" customFormat="false" ht="14.25" hidden="false" customHeight="true" outlineLevel="0" collapsed="false">
      <c r="D445" s="28"/>
      <c r="E445" s="28"/>
    </row>
    <row r="446" customFormat="false" ht="14.25" hidden="false" customHeight="true" outlineLevel="0" collapsed="false">
      <c r="D446" s="28"/>
      <c r="E446" s="28"/>
    </row>
    <row r="447" customFormat="false" ht="14.25" hidden="false" customHeight="true" outlineLevel="0" collapsed="false">
      <c r="D447" s="28"/>
      <c r="E447" s="28"/>
    </row>
    <row r="448" customFormat="false" ht="14.25" hidden="false" customHeight="true" outlineLevel="0" collapsed="false">
      <c r="D448" s="28"/>
      <c r="E448" s="28"/>
    </row>
    <row r="449" customFormat="false" ht="14.25" hidden="false" customHeight="true" outlineLevel="0" collapsed="false">
      <c r="D449" s="28"/>
      <c r="E449" s="28"/>
    </row>
    <row r="450" customFormat="false" ht="14.25" hidden="false" customHeight="true" outlineLevel="0" collapsed="false">
      <c r="D450" s="28"/>
      <c r="E450" s="28"/>
    </row>
    <row r="451" customFormat="false" ht="14.25" hidden="false" customHeight="true" outlineLevel="0" collapsed="false">
      <c r="D451" s="28"/>
      <c r="E451" s="28"/>
    </row>
    <row r="452" customFormat="false" ht="14.25" hidden="false" customHeight="true" outlineLevel="0" collapsed="false">
      <c r="D452" s="28"/>
      <c r="E452" s="28"/>
    </row>
    <row r="453" customFormat="false" ht="14.25" hidden="false" customHeight="true" outlineLevel="0" collapsed="false">
      <c r="D453" s="28"/>
      <c r="E453" s="28"/>
    </row>
    <row r="454" customFormat="false" ht="14.25" hidden="false" customHeight="true" outlineLevel="0" collapsed="false">
      <c r="D454" s="28"/>
      <c r="E454" s="28"/>
    </row>
    <row r="455" customFormat="false" ht="14.25" hidden="false" customHeight="true" outlineLevel="0" collapsed="false">
      <c r="D455" s="28"/>
      <c r="E455" s="28"/>
    </row>
    <row r="456" customFormat="false" ht="14.25" hidden="false" customHeight="true" outlineLevel="0" collapsed="false">
      <c r="D456" s="28"/>
      <c r="E456" s="28"/>
    </row>
    <row r="457" customFormat="false" ht="14.25" hidden="false" customHeight="true" outlineLevel="0" collapsed="false">
      <c r="D457" s="28"/>
      <c r="E457" s="28"/>
    </row>
    <row r="458" customFormat="false" ht="14.25" hidden="false" customHeight="true" outlineLevel="0" collapsed="false">
      <c r="D458" s="28"/>
      <c r="E458" s="28"/>
    </row>
    <row r="459" customFormat="false" ht="14.25" hidden="false" customHeight="true" outlineLevel="0" collapsed="false">
      <c r="D459" s="28"/>
      <c r="E459" s="28"/>
    </row>
    <row r="460" customFormat="false" ht="14.25" hidden="false" customHeight="true" outlineLevel="0" collapsed="false">
      <c r="D460" s="28"/>
      <c r="E460" s="28"/>
    </row>
    <row r="461" customFormat="false" ht="14.25" hidden="false" customHeight="true" outlineLevel="0" collapsed="false">
      <c r="D461" s="28"/>
      <c r="E461" s="28"/>
    </row>
    <row r="462" customFormat="false" ht="14.25" hidden="false" customHeight="true" outlineLevel="0" collapsed="false">
      <c r="D462" s="28"/>
      <c r="E462" s="28"/>
    </row>
    <row r="463" customFormat="false" ht="14.25" hidden="false" customHeight="true" outlineLevel="0" collapsed="false">
      <c r="D463" s="28"/>
      <c r="E463" s="28"/>
    </row>
    <row r="464" customFormat="false" ht="14.25" hidden="false" customHeight="true" outlineLevel="0" collapsed="false">
      <c r="D464" s="28"/>
      <c r="E464" s="28"/>
    </row>
    <row r="465" customFormat="false" ht="14.25" hidden="false" customHeight="true" outlineLevel="0" collapsed="false">
      <c r="D465" s="28"/>
      <c r="E465" s="28"/>
    </row>
    <row r="466" customFormat="false" ht="14.25" hidden="false" customHeight="true" outlineLevel="0" collapsed="false">
      <c r="D466" s="28"/>
      <c r="E466" s="28"/>
    </row>
    <row r="467" customFormat="false" ht="14.25" hidden="false" customHeight="true" outlineLevel="0" collapsed="false">
      <c r="D467" s="28"/>
      <c r="E467" s="28"/>
    </row>
    <row r="468" customFormat="false" ht="14.25" hidden="false" customHeight="true" outlineLevel="0" collapsed="false">
      <c r="D468" s="28"/>
      <c r="E468" s="28"/>
    </row>
    <row r="469" customFormat="false" ht="14.25" hidden="false" customHeight="true" outlineLevel="0" collapsed="false">
      <c r="D469" s="28"/>
      <c r="E469" s="28"/>
    </row>
    <row r="470" customFormat="false" ht="14.25" hidden="false" customHeight="true" outlineLevel="0" collapsed="false">
      <c r="D470" s="28"/>
      <c r="E470" s="28"/>
    </row>
    <row r="471" customFormat="false" ht="14.25" hidden="false" customHeight="true" outlineLevel="0" collapsed="false">
      <c r="D471" s="28"/>
      <c r="E471" s="28"/>
    </row>
    <row r="472" customFormat="false" ht="14.25" hidden="false" customHeight="true" outlineLevel="0" collapsed="false">
      <c r="D472" s="28"/>
      <c r="E472" s="28"/>
    </row>
    <row r="473" customFormat="false" ht="14.25" hidden="false" customHeight="true" outlineLevel="0" collapsed="false">
      <c r="D473" s="28"/>
      <c r="E473" s="28"/>
    </row>
    <row r="474" customFormat="false" ht="14.25" hidden="false" customHeight="true" outlineLevel="0" collapsed="false">
      <c r="D474" s="28"/>
      <c r="E474" s="28"/>
    </row>
    <row r="475" customFormat="false" ht="14.25" hidden="false" customHeight="true" outlineLevel="0" collapsed="false">
      <c r="D475" s="28"/>
      <c r="E475" s="28"/>
    </row>
    <row r="476" customFormat="false" ht="14.25" hidden="false" customHeight="true" outlineLevel="0" collapsed="false">
      <c r="D476" s="28"/>
      <c r="E476" s="28"/>
    </row>
    <row r="477" customFormat="false" ht="14.25" hidden="false" customHeight="true" outlineLevel="0" collapsed="false">
      <c r="D477" s="28"/>
      <c r="E477" s="28"/>
    </row>
    <row r="478" customFormat="false" ht="14.25" hidden="false" customHeight="true" outlineLevel="0" collapsed="false">
      <c r="D478" s="28"/>
      <c r="E478" s="28"/>
    </row>
    <row r="479" customFormat="false" ht="14.25" hidden="false" customHeight="true" outlineLevel="0" collapsed="false">
      <c r="D479" s="28"/>
      <c r="E479" s="28"/>
    </row>
    <row r="480" customFormat="false" ht="14.25" hidden="false" customHeight="true" outlineLevel="0" collapsed="false">
      <c r="D480" s="28"/>
      <c r="E480" s="28"/>
    </row>
    <row r="481" customFormat="false" ht="14.25" hidden="false" customHeight="true" outlineLevel="0" collapsed="false">
      <c r="D481" s="28"/>
      <c r="E481" s="28"/>
    </row>
    <row r="482" customFormat="false" ht="14.25" hidden="false" customHeight="true" outlineLevel="0" collapsed="false">
      <c r="D482" s="28"/>
      <c r="E482" s="28"/>
    </row>
    <row r="483" customFormat="false" ht="14.25" hidden="false" customHeight="true" outlineLevel="0" collapsed="false">
      <c r="D483" s="28"/>
      <c r="E483" s="28"/>
    </row>
    <row r="484" customFormat="false" ht="14.25" hidden="false" customHeight="true" outlineLevel="0" collapsed="false">
      <c r="D484" s="28"/>
      <c r="E484" s="28"/>
    </row>
    <row r="485" customFormat="false" ht="14.25" hidden="false" customHeight="true" outlineLevel="0" collapsed="false">
      <c r="D485" s="28"/>
      <c r="E485" s="28"/>
    </row>
    <row r="486" customFormat="false" ht="14.25" hidden="false" customHeight="true" outlineLevel="0" collapsed="false">
      <c r="D486" s="28"/>
      <c r="E486" s="28"/>
    </row>
    <row r="487" customFormat="false" ht="14.25" hidden="false" customHeight="true" outlineLevel="0" collapsed="false">
      <c r="D487" s="28"/>
      <c r="E487" s="28"/>
    </row>
    <row r="488" customFormat="false" ht="14.25" hidden="false" customHeight="true" outlineLevel="0" collapsed="false">
      <c r="D488" s="28"/>
      <c r="E488" s="28"/>
    </row>
    <row r="489" customFormat="false" ht="14.25" hidden="false" customHeight="true" outlineLevel="0" collapsed="false">
      <c r="D489" s="28"/>
      <c r="E489" s="28"/>
    </row>
    <row r="490" customFormat="false" ht="14.25" hidden="false" customHeight="true" outlineLevel="0" collapsed="false">
      <c r="D490" s="28"/>
      <c r="E490" s="28"/>
    </row>
    <row r="491" customFormat="false" ht="14.25" hidden="false" customHeight="true" outlineLevel="0" collapsed="false">
      <c r="D491" s="28"/>
      <c r="E491" s="28"/>
    </row>
    <row r="492" customFormat="false" ht="14.25" hidden="false" customHeight="true" outlineLevel="0" collapsed="false">
      <c r="D492" s="28"/>
      <c r="E492" s="28"/>
    </row>
    <row r="493" customFormat="false" ht="14.25" hidden="false" customHeight="true" outlineLevel="0" collapsed="false">
      <c r="D493" s="28"/>
      <c r="E493" s="28"/>
    </row>
    <row r="494" customFormat="false" ht="14.25" hidden="false" customHeight="true" outlineLevel="0" collapsed="false">
      <c r="D494" s="28"/>
      <c r="E494" s="28"/>
    </row>
    <row r="495" customFormat="false" ht="14.25" hidden="false" customHeight="true" outlineLevel="0" collapsed="false">
      <c r="D495" s="28"/>
      <c r="E495" s="28"/>
    </row>
    <row r="496" customFormat="false" ht="14.25" hidden="false" customHeight="true" outlineLevel="0" collapsed="false">
      <c r="D496" s="28"/>
      <c r="E496" s="28"/>
    </row>
    <row r="497" customFormat="false" ht="14.25" hidden="false" customHeight="true" outlineLevel="0" collapsed="false">
      <c r="D497" s="28"/>
      <c r="E497" s="28"/>
    </row>
    <row r="498" customFormat="false" ht="14.25" hidden="false" customHeight="true" outlineLevel="0" collapsed="false">
      <c r="D498" s="28"/>
      <c r="E498" s="28"/>
    </row>
    <row r="499" customFormat="false" ht="14.25" hidden="false" customHeight="true" outlineLevel="0" collapsed="false">
      <c r="D499" s="28"/>
      <c r="E499" s="28"/>
    </row>
    <row r="500" customFormat="false" ht="14.25" hidden="false" customHeight="true" outlineLevel="0" collapsed="false">
      <c r="D500" s="28"/>
      <c r="E500" s="28"/>
    </row>
    <row r="501" customFormat="false" ht="14.25" hidden="false" customHeight="true" outlineLevel="0" collapsed="false">
      <c r="D501" s="28"/>
      <c r="E501" s="28"/>
    </row>
    <row r="502" customFormat="false" ht="14.25" hidden="false" customHeight="true" outlineLevel="0" collapsed="false">
      <c r="D502" s="28"/>
      <c r="E502" s="28"/>
    </row>
    <row r="503" customFormat="false" ht="14.25" hidden="false" customHeight="true" outlineLevel="0" collapsed="false">
      <c r="D503" s="28"/>
      <c r="E503" s="28"/>
    </row>
    <row r="504" customFormat="false" ht="14.25" hidden="false" customHeight="true" outlineLevel="0" collapsed="false">
      <c r="D504" s="28"/>
      <c r="E504" s="28"/>
    </row>
    <row r="505" customFormat="false" ht="14.25" hidden="false" customHeight="true" outlineLevel="0" collapsed="false">
      <c r="D505" s="28"/>
      <c r="E505" s="28"/>
    </row>
    <row r="506" customFormat="false" ht="14.25" hidden="false" customHeight="true" outlineLevel="0" collapsed="false">
      <c r="D506" s="28"/>
      <c r="E506" s="28"/>
    </row>
    <row r="507" customFormat="false" ht="14.25" hidden="false" customHeight="true" outlineLevel="0" collapsed="false">
      <c r="D507" s="28"/>
      <c r="E507" s="28"/>
    </row>
    <row r="508" customFormat="false" ht="14.25" hidden="false" customHeight="true" outlineLevel="0" collapsed="false">
      <c r="D508" s="28"/>
      <c r="E508" s="28"/>
    </row>
    <row r="509" customFormat="false" ht="14.25" hidden="false" customHeight="true" outlineLevel="0" collapsed="false">
      <c r="D509" s="28"/>
      <c r="E509" s="28"/>
    </row>
    <row r="510" customFormat="false" ht="14.25" hidden="false" customHeight="true" outlineLevel="0" collapsed="false">
      <c r="D510" s="28"/>
      <c r="E510" s="28"/>
    </row>
    <row r="511" customFormat="false" ht="14.25" hidden="false" customHeight="true" outlineLevel="0" collapsed="false">
      <c r="D511" s="28"/>
      <c r="E511" s="28"/>
    </row>
    <row r="512" customFormat="false" ht="14.25" hidden="false" customHeight="true" outlineLevel="0" collapsed="false">
      <c r="D512" s="28"/>
      <c r="E512" s="28"/>
    </row>
    <row r="513" customFormat="false" ht="14.25" hidden="false" customHeight="true" outlineLevel="0" collapsed="false">
      <c r="D513" s="28"/>
      <c r="E513" s="28"/>
    </row>
    <row r="514" customFormat="false" ht="14.25" hidden="false" customHeight="true" outlineLevel="0" collapsed="false">
      <c r="D514" s="28"/>
      <c r="E514" s="28"/>
    </row>
    <row r="515" customFormat="false" ht="14.25" hidden="false" customHeight="true" outlineLevel="0" collapsed="false">
      <c r="D515" s="28"/>
      <c r="E515" s="28"/>
    </row>
    <row r="516" customFormat="false" ht="14.25" hidden="false" customHeight="true" outlineLevel="0" collapsed="false">
      <c r="D516" s="28"/>
      <c r="E516" s="28"/>
    </row>
    <row r="517" customFormat="false" ht="14.25" hidden="false" customHeight="true" outlineLevel="0" collapsed="false">
      <c r="D517" s="28"/>
      <c r="E517" s="28"/>
    </row>
    <row r="518" customFormat="false" ht="14.25" hidden="false" customHeight="true" outlineLevel="0" collapsed="false">
      <c r="D518" s="28"/>
      <c r="E518" s="28"/>
    </row>
    <row r="519" customFormat="false" ht="14.25" hidden="false" customHeight="true" outlineLevel="0" collapsed="false">
      <c r="D519" s="28"/>
      <c r="E519" s="28"/>
    </row>
    <row r="520" customFormat="false" ht="14.25" hidden="false" customHeight="true" outlineLevel="0" collapsed="false">
      <c r="D520" s="28"/>
      <c r="E520" s="28"/>
    </row>
    <row r="521" customFormat="false" ht="14.25" hidden="false" customHeight="true" outlineLevel="0" collapsed="false">
      <c r="D521" s="28"/>
      <c r="E521" s="28"/>
    </row>
    <row r="522" customFormat="false" ht="14.25" hidden="false" customHeight="true" outlineLevel="0" collapsed="false">
      <c r="D522" s="28"/>
      <c r="E522" s="28"/>
    </row>
    <row r="523" customFormat="false" ht="14.25" hidden="false" customHeight="true" outlineLevel="0" collapsed="false">
      <c r="D523" s="28"/>
      <c r="E523" s="28"/>
    </row>
    <row r="524" customFormat="false" ht="14.25" hidden="false" customHeight="true" outlineLevel="0" collapsed="false">
      <c r="D524" s="28"/>
      <c r="E524" s="28"/>
    </row>
    <row r="525" customFormat="false" ht="14.25" hidden="false" customHeight="true" outlineLevel="0" collapsed="false">
      <c r="D525" s="28"/>
      <c r="E525" s="28"/>
    </row>
    <row r="526" customFormat="false" ht="14.25" hidden="false" customHeight="true" outlineLevel="0" collapsed="false">
      <c r="D526" s="28"/>
      <c r="E526" s="28"/>
    </row>
    <row r="527" customFormat="false" ht="14.25" hidden="false" customHeight="true" outlineLevel="0" collapsed="false">
      <c r="D527" s="28"/>
      <c r="E527" s="28"/>
    </row>
    <row r="528" customFormat="false" ht="14.25" hidden="false" customHeight="true" outlineLevel="0" collapsed="false">
      <c r="D528" s="28"/>
      <c r="E528" s="28"/>
    </row>
    <row r="529" customFormat="false" ht="14.25" hidden="false" customHeight="true" outlineLevel="0" collapsed="false">
      <c r="D529" s="28"/>
      <c r="E529" s="28"/>
    </row>
    <row r="530" customFormat="false" ht="14.25" hidden="false" customHeight="true" outlineLevel="0" collapsed="false">
      <c r="D530" s="28"/>
      <c r="E530" s="28"/>
    </row>
    <row r="531" customFormat="false" ht="14.25" hidden="false" customHeight="true" outlineLevel="0" collapsed="false">
      <c r="D531" s="28"/>
      <c r="E531" s="28"/>
    </row>
    <row r="532" customFormat="false" ht="14.25" hidden="false" customHeight="true" outlineLevel="0" collapsed="false">
      <c r="D532" s="28"/>
      <c r="E532" s="28"/>
    </row>
    <row r="533" customFormat="false" ht="14.25" hidden="false" customHeight="true" outlineLevel="0" collapsed="false">
      <c r="D533" s="28"/>
      <c r="E533" s="28"/>
    </row>
    <row r="534" customFormat="false" ht="14.25" hidden="false" customHeight="true" outlineLevel="0" collapsed="false">
      <c r="D534" s="28"/>
      <c r="E534" s="28"/>
    </row>
    <row r="535" customFormat="false" ht="14.25" hidden="false" customHeight="true" outlineLevel="0" collapsed="false">
      <c r="D535" s="28"/>
      <c r="E535" s="28"/>
    </row>
    <row r="536" customFormat="false" ht="14.25" hidden="false" customHeight="true" outlineLevel="0" collapsed="false">
      <c r="D536" s="28"/>
      <c r="E536" s="28"/>
    </row>
    <row r="537" customFormat="false" ht="14.25" hidden="false" customHeight="true" outlineLevel="0" collapsed="false">
      <c r="D537" s="28"/>
      <c r="E537" s="28"/>
    </row>
    <row r="538" customFormat="false" ht="14.25" hidden="false" customHeight="true" outlineLevel="0" collapsed="false">
      <c r="D538" s="28"/>
      <c r="E538" s="28"/>
    </row>
    <row r="539" customFormat="false" ht="14.25" hidden="false" customHeight="true" outlineLevel="0" collapsed="false">
      <c r="D539" s="28"/>
      <c r="E539" s="28"/>
    </row>
    <row r="540" customFormat="false" ht="14.25" hidden="false" customHeight="true" outlineLevel="0" collapsed="false">
      <c r="D540" s="28"/>
      <c r="E540" s="28"/>
    </row>
    <row r="541" customFormat="false" ht="14.25" hidden="false" customHeight="true" outlineLevel="0" collapsed="false">
      <c r="D541" s="28"/>
      <c r="E541" s="28"/>
    </row>
    <row r="542" customFormat="false" ht="14.25" hidden="false" customHeight="true" outlineLevel="0" collapsed="false">
      <c r="D542" s="28"/>
      <c r="E542" s="28"/>
    </row>
    <row r="543" customFormat="false" ht="14.25" hidden="false" customHeight="true" outlineLevel="0" collapsed="false">
      <c r="D543" s="28"/>
      <c r="E543" s="28"/>
    </row>
    <row r="544" customFormat="false" ht="14.25" hidden="false" customHeight="true" outlineLevel="0" collapsed="false">
      <c r="D544" s="28"/>
      <c r="E544" s="28"/>
    </row>
    <row r="545" customFormat="false" ht="14.25" hidden="false" customHeight="true" outlineLevel="0" collapsed="false">
      <c r="D545" s="28"/>
      <c r="E545" s="28"/>
    </row>
    <row r="546" customFormat="false" ht="14.25" hidden="false" customHeight="true" outlineLevel="0" collapsed="false">
      <c r="D546" s="28"/>
      <c r="E546" s="28"/>
    </row>
    <row r="547" customFormat="false" ht="14.25" hidden="false" customHeight="true" outlineLevel="0" collapsed="false">
      <c r="D547" s="28"/>
      <c r="E547" s="28"/>
    </row>
    <row r="548" customFormat="false" ht="14.25" hidden="false" customHeight="true" outlineLevel="0" collapsed="false">
      <c r="D548" s="28"/>
      <c r="E548" s="28"/>
    </row>
    <row r="549" customFormat="false" ht="14.25" hidden="false" customHeight="true" outlineLevel="0" collapsed="false">
      <c r="D549" s="28"/>
      <c r="E549" s="28"/>
    </row>
    <row r="550" customFormat="false" ht="14.25" hidden="false" customHeight="true" outlineLevel="0" collapsed="false">
      <c r="D550" s="28"/>
      <c r="E550" s="28"/>
    </row>
    <row r="551" customFormat="false" ht="14.25" hidden="false" customHeight="true" outlineLevel="0" collapsed="false">
      <c r="D551" s="28"/>
      <c r="E551" s="28"/>
    </row>
    <row r="552" customFormat="false" ht="14.25" hidden="false" customHeight="true" outlineLevel="0" collapsed="false">
      <c r="D552" s="28"/>
      <c r="E552" s="28"/>
    </row>
    <row r="553" customFormat="false" ht="14.25" hidden="false" customHeight="true" outlineLevel="0" collapsed="false">
      <c r="D553" s="28"/>
      <c r="E553" s="28"/>
    </row>
    <row r="554" customFormat="false" ht="14.25" hidden="false" customHeight="true" outlineLevel="0" collapsed="false">
      <c r="D554" s="28"/>
      <c r="E554" s="28"/>
    </row>
    <row r="555" customFormat="false" ht="14.25" hidden="false" customHeight="true" outlineLevel="0" collapsed="false">
      <c r="D555" s="28"/>
      <c r="E555" s="28"/>
    </row>
    <row r="556" customFormat="false" ht="14.25" hidden="false" customHeight="true" outlineLevel="0" collapsed="false">
      <c r="D556" s="28"/>
      <c r="E556" s="28"/>
    </row>
    <row r="557" customFormat="false" ht="14.25" hidden="false" customHeight="true" outlineLevel="0" collapsed="false">
      <c r="D557" s="28"/>
      <c r="E557" s="28"/>
    </row>
    <row r="558" customFormat="false" ht="14.25" hidden="false" customHeight="true" outlineLevel="0" collapsed="false">
      <c r="D558" s="28"/>
      <c r="E558" s="28"/>
    </row>
    <row r="559" customFormat="false" ht="14.25" hidden="false" customHeight="true" outlineLevel="0" collapsed="false">
      <c r="D559" s="28"/>
      <c r="E559" s="28"/>
    </row>
    <row r="560" customFormat="false" ht="14.25" hidden="false" customHeight="true" outlineLevel="0" collapsed="false">
      <c r="D560" s="28"/>
      <c r="E560" s="28"/>
    </row>
    <row r="561" customFormat="false" ht="14.25" hidden="false" customHeight="true" outlineLevel="0" collapsed="false">
      <c r="D561" s="28"/>
      <c r="E561" s="28"/>
    </row>
    <row r="562" customFormat="false" ht="14.25" hidden="false" customHeight="true" outlineLevel="0" collapsed="false">
      <c r="D562" s="28"/>
      <c r="E562" s="28"/>
    </row>
    <row r="563" customFormat="false" ht="14.25" hidden="false" customHeight="true" outlineLevel="0" collapsed="false">
      <c r="D563" s="28"/>
      <c r="E563" s="28"/>
    </row>
    <row r="564" customFormat="false" ht="14.25" hidden="false" customHeight="true" outlineLevel="0" collapsed="false">
      <c r="D564" s="28"/>
      <c r="E564" s="28"/>
    </row>
    <row r="565" customFormat="false" ht="14.25" hidden="false" customHeight="true" outlineLevel="0" collapsed="false">
      <c r="D565" s="28"/>
      <c r="E565" s="28"/>
    </row>
    <row r="566" customFormat="false" ht="14.25" hidden="false" customHeight="true" outlineLevel="0" collapsed="false">
      <c r="D566" s="28"/>
      <c r="E566" s="28"/>
    </row>
    <row r="567" customFormat="false" ht="14.25" hidden="false" customHeight="true" outlineLevel="0" collapsed="false">
      <c r="D567" s="28"/>
      <c r="E567" s="28"/>
    </row>
    <row r="568" customFormat="false" ht="14.25" hidden="false" customHeight="true" outlineLevel="0" collapsed="false">
      <c r="D568" s="28"/>
      <c r="E568" s="28"/>
    </row>
    <row r="569" customFormat="false" ht="14.25" hidden="false" customHeight="true" outlineLevel="0" collapsed="false">
      <c r="D569" s="28"/>
      <c r="E569" s="28"/>
    </row>
    <row r="570" customFormat="false" ht="14.25" hidden="false" customHeight="true" outlineLevel="0" collapsed="false">
      <c r="D570" s="28"/>
      <c r="E570" s="28"/>
    </row>
    <row r="571" customFormat="false" ht="14.25" hidden="false" customHeight="true" outlineLevel="0" collapsed="false">
      <c r="D571" s="28"/>
      <c r="E571" s="28"/>
    </row>
    <row r="572" customFormat="false" ht="14.25" hidden="false" customHeight="true" outlineLevel="0" collapsed="false">
      <c r="D572" s="28"/>
      <c r="E572" s="28"/>
    </row>
    <row r="573" customFormat="false" ht="14.25" hidden="false" customHeight="true" outlineLevel="0" collapsed="false">
      <c r="D573" s="28"/>
      <c r="E573" s="28"/>
    </row>
    <row r="574" customFormat="false" ht="14.25" hidden="false" customHeight="true" outlineLevel="0" collapsed="false">
      <c r="D574" s="28"/>
      <c r="E574" s="28"/>
    </row>
    <row r="575" customFormat="false" ht="14.25" hidden="false" customHeight="true" outlineLevel="0" collapsed="false">
      <c r="D575" s="28"/>
      <c r="E575" s="28"/>
    </row>
    <row r="576" customFormat="false" ht="14.25" hidden="false" customHeight="true" outlineLevel="0" collapsed="false">
      <c r="D576" s="28"/>
      <c r="E576" s="28"/>
    </row>
    <row r="577" customFormat="false" ht="14.25" hidden="false" customHeight="true" outlineLevel="0" collapsed="false">
      <c r="D577" s="28"/>
      <c r="E577" s="28"/>
    </row>
    <row r="578" customFormat="false" ht="14.25" hidden="false" customHeight="true" outlineLevel="0" collapsed="false">
      <c r="D578" s="28"/>
      <c r="E578" s="28"/>
    </row>
    <row r="579" customFormat="false" ht="14.25" hidden="false" customHeight="true" outlineLevel="0" collapsed="false">
      <c r="D579" s="28"/>
      <c r="E579" s="28"/>
    </row>
    <row r="580" customFormat="false" ht="14.25" hidden="false" customHeight="true" outlineLevel="0" collapsed="false">
      <c r="D580" s="28"/>
      <c r="E580" s="28"/>
    </row>
    <row r="581" customFormat="false" ht="14.25" hidden="false" customHeight="true" outlineLevel="0" collapsed="false">
      <c r="D581" s="28"/>
      <c r="E581" s="28"/>
    </row>
    <row r="582" customFormat="false" ht="14.25" hidden="false" customHeight="true" outlineLevel="0" collapsed="false">
      <c r="D582" s="28"/>
      <c r="E582" s="28"/>
    </row>
    <row r="583" customFormat="false" ht="14.25" hidden="false" customHeight="true" outlineLevel="0" collapsed="false">
      <c r="D583" s="28"/>
      <c r="E583" s="28"/>
    </row>
    <row r="584" customFormat="false" ht="14.25" hidden="false" customHeight="true" outlineLevel="0" collapsed="false">
      <c r="D584" s="28"/>
      <c r="E584" s="28"/>
    </row>
    <row r="585" customFormat="false" ht="14.25" hidden="false" customHeight="true" outlineLevel="0" collapsed="false">
      <c r="D585" s="28"/>
      <c r="E585" s="28"/>
    </row>
    <row r="586" customFormat="false" ht="14.25" hidden="false" customHeight="true" outlineLevel="0" collapsed="false">
      <c r="D586" s="28"/>
      <c r="E586" s="28"/>
    </row>
    <row r="587" customFormat="false" ht="14.25" hidden="false" customHeight="true" outlineLevel="0" collapsed="false">
      <c r="D587" s="28"/>
      <c r="E587" s="28"/>
    </row>
    <row r="588" customFormat="false" ht="14.25" hidden="false" customHeight="true" outlineLevel="0" collapsed="false">
      <c r="D588" s="28"/>
      <c r="E588" s="28"/>
    </row>
    <row r="589" customFormat="false" ht="14.25" hidden="false" customHeight="true" outlineLevel="0" collapsed="false">
      <c r="D589" s="28"/>
      <c r="E589" s="28"/>
    </row>
    <row r="590" customFormat="false" ht="14.25" hidden="false" customHeight="true" outlineLevel="0" collapsed="false">
      <c r="D590" s="28"/>
      <c r="E590" s="28"/>
    </row>
    <row r="591" customFormat="false" ht="14.25" hidden="false" customHeight="true" outlineLevel="0" collapsed="false">
      <c r="D591" s="28"/>
      <c r="E591" s="28"/>
    </row>
    <row r="592" customFormat="false" ht="14.25" hidden="false" customHeight="true" outlineLevel="0" collapsed="false">
      <c r="D592" s="28"/>
      <c r="E592" s="28"/>
    </row>
    <row r="593" customFormat="false" ht="14.25" hidden="false" customHeight="true" outlineLevel="0" collapsed="false">
      <c r="D593" s="28"/>
      <c r="E593" s="28"/>
    </row>
    <row r="594" customFormat="false" ht="14.25" hidden="false" customHeight="true" outlineLevel="0" collapsed="false">
      <c r="D594" s="28"/>
      <c r="E594" s="28"/>
    </row>
    <row r="595" customFormat="false" ht="14.25" hidden="false" customHeight="true" outlineLevel="0" collapsed="false">
      <c r="D595" s="28"/>
      <c r="E595" s="28"/>
    </row>
    <row r="596" customFormat="false" ht="14.25" hidden="false" customHeight="true" outlineLevel="0" collapsed="false">
      <c r="D596" s="28"/>
      <c r="E596" s="28"/>
    </row>
    <row r="597" customFormat="false" ht="14.25" hidden="false" customHeight="true" outlineLevel="0" collapsed="false">
      <c r="D597" s="28"/>
      <c r="E597" s="28"/>
    </row>
    <row r="598" customFormat="false" ht="14.25" hidden="false" customHeight="true" outlineLevel="0" collapsed="false">
      <c r="D598" s="28"/>
      <c r="E598" s="28"/>
    </row>
    <row r="599" customFormat="false" ht="14.25" hidden="false" customHeight="true" outlineLevel="0" collapsed="false">
      <c r="D599" s="28"/>
      <c r="E599" s="28"/>
    </row>
    <row r="600" customFormat="false" ht="14.25" hidden="false" customHeight="true" outlineLevel="0" collapsed="false">
      <c r="D600" s="28"/>
      <c r="E600" s="28"/>
    </row>
    <row r="601" customFormat="false" ht="14.25" hidden="false" customHeight="true" outlineLevel="0" collapsed="false">
      <c r="D601" s="28"/>
      <c r="E601" s="28"/>
    </row>
    <row r="602" customFormat="false" ht="14.25" hidden="false" customHeight="true" outlineLevel="0" collapsed="false">
      <c r="D602" s="28"/>
      <c r="E602" s="28"/>
    </row>
    <row r="603" customFormat="false" ht="14.25" hidden="false" customHeight="true" outlineLevel="0" collapsed="false">
      <c r="D603" s="28"/>
      <c r="E603" s="28"/>
    </row>
    <row r="604" customFormat="false" ht="14.25" hidden="false" customHeight="true" outlineLevel="0" collapsed="false">
      <c r="D604" s="28"/>
      <c r="E604" s="28"/>
    </row>
    <row r="605" customFormat="false" ht="14.25" hidden="false" customHeight="true" outlineLevel="0" collapsed="false">
      <c r="D605" s="28"/>
      <c r="E605" s="28"/>
    </row>
    <row r="606" customFormat="false" ht="14.25" hidden="false" customHeight="true" outlineLevel="0" collapsed="false">
      <c r="D606" s="28"/>
      <c r="E606" s="28"/>
    </row>
    <row r="607" customFormat="false" ht="14.25" hidden="false" customHeight="true" outlineLevel="0" collapsed="false">
      <c r="D607" s="28"/>
      <c r="E607" s="28"/>
    </row>
    <row r="608" customFormat="false" ht="14.25" hidden="false" customHeight="true" outlineLevel="0" collapsed="false">
      <c r="D608" s="28"/>
      <c r="E608" s="28"/>
    </row>
    <row r="609" customFormat="false" ht="14.25" hidden="false" customHeight="true" outlineLevel="0" collapsed="false">
      <c r="D609" s="28"/>
      <c r="E609" s="28"/>
    </row>
    <row r="610" customFormat="false" ht="14.25" hidden="false" customHeight="true" outlineLevel="0" collapsed="false">
      <c r="D610" s="28"/>
      <c r="E610" s="28"/>
    </row>
    <row r="611" customFormat="false" ht="14.25" hidden="false" customHeight="true" outlineLevel="0" collapsed="false">
      <c r="D611" s="28"/>
      <c r="E611" s="28"/>
    </row>
    <row r="612" customFormat="false" ht="14.25" hidden="false" customHeight="true" outlineLevel="0" collapsed="false">
      <c r="D612" s="28"/>
      <c r="E612" s="28"/>
    </row>
    <row r="613" customFormat="false" ht="14.25" hidden="false" customHeight="true" outlineLevel="0" collapsed="false">
      <c r="D613" s="28"/>
      <c r="E613" s="28"/>
    </row>
    <row r="614" customFormat="false" ht="14.25" hidden="false" customHeight="true" outlineLevel="0" collapsed="false">
      <c r="D614" s="28"/>
      <c r="E614" s="28"/>
    </row>
    <row r="615" customFormat="false" ht="14.25" hidden="false" customHeight="true" outlineLevel="0" collapsed="false">
      <c r="D615" s="28"/>
      <c r="E615" s="28"/>
    </row>
    <row r="616" customFormat="false" ht="14.25" hidden="false" customHeight="true" outlineLevel="0" collapsed="false">
      <c r="D616" s="28"/>
      <c r="E616" s="28"/>
    </row>
    <row r="617" customFormat="false" ht="14.25" hidden="false" customHeight="true" outlineLevel="0" collapsed="false">
      <c r="D617" s="28"/>
      <c r="E617" s="28"/>
    </row>
    <row r="618" customFormat="false" ht="14.25" hidden="false" customHeight="true" outlineLevel="0" collapsed="false">
      <c r="D618" s="28"/>
      <c r="E618" s="28"/>
    </row>
    <row r="619" customFormat="false" ht="14.25" hidden="false" customHeight="true" outlineLevel="0" collapsed="false">
      <c r="D619" s="28"/>
      <c r="E619" s="28"/>
    </row>
    <row r="620" customFormat="false" ht="14.25" hidden="false" customHeight="true" outlineLevel="0" collapsed="false">
      <c r="D620" s="28"/>
      <c r="E620" s="28"/>
    </row>
    <row r="621" customFormat="false" ht="14.25" hidden="false" customHeight="true" outlineLevel="0" collapsed="false">
      <c r="D621" s="28"/>
      <c r="E621" s="28"/>
    </row>
    <row r="622" customFormat="false" ht="14.25" hidden="false" customHeight="true" outlineLevel="0" collapsed="false">
      <c r="D622" s="28"/>
      <c r="E622" s="28"/>
    </row>
    <row r="623" customFormat="false" ht="14.25" hidden="false" customHeight="true" outlineLevel="0" collapsed="false">
      <c r="D623" s="28"/>
      <c r="E623" s="28"/>
    </row>
    <row r="624" customFormat="false" ht="14.25" hidden="false" customHeight="true" outlineLevel="0" collapsed="false">
      <c r="D624" s="28"/>
      <c r="E624" s="28"/>
    </row>
    <row r="625" customFormat="false" ht="14.25" hidden="false" customHeight="true" outlineLevel="0" collapsed="false">
      <c r="D625" s="28"/>
      <c r="E625" s="28"/>
    </row>
    <row r="626" customFormat="false" ht="14.25" hidden="false" customHeight="true" outlineLevel="0" collapsed="false">
      <c r="D626" s="28"/>
      <c r="E626" s="28"/>
    </row>
    <row r="627" customFormat="false" ht="14.25" hidden="false" customHeight="true" outlineLevel="0" collapsed="false">
      <c r="D627" s="28"/>
      <c r="E627" s="28"/>
    </row>
    <row r="628" customFormat="false" ht="14.25" hidden="false" customHeight="true" outlineLevel="0" collapsed="false">
      <c r="D628" s="28"/>
      <c r="E628" s="28"/>
    </row>
    <row r="629" customFormat="false" ht="14.25" hidden="false" customHeight="true" outlineLevel="0" collapsed="false">
      <c r="D629" s="28"/>
      <c r="E629" s="28"/>
    </row>
    <row r="630" customFormat="false" ht="14.25" hidden="false" customHeight="true" outlineLevel="0" collapsed="false">
      <c r="D630" s="28"/>
      <c r="E630" s="28"/>
    </row>
    <row r="631" customFormat="false" ht="14.25" hidden="false" customHeight="true" outlineLevel="0" collapsed="false">
      <c r="D631" s="28"/>
      <c r="E631" s="28"/>
    </row>
    <row r="632" customFormat="false" ht="14.25" hidden="false" customHeight="true" outlineLevel="0" collapsed="false">
      <c r="D632" s="28"/>
      <c r="E632" s="28"/>
    </row>
    <row r="633" customFormat="false" ht="14.25" hidden="false" customHeight="true" outlineLevel="0" collapsed="false">
      <c r="D633" s="28"/>
      <c r="E633" s="28"/>
    </row>
    <row r="634" customFormat="false" ht="14.25" hidden="false" customHeight="true" outlineLevel="0" collapsed="false">
      <c r="D634" s="28"/>
      <c r="E634" s="28"/>
    </row>
    <row r="635" customFormat="false" ht="14.25" hidden="false" customHeight="true" outlineLevel="0" collapsed="false">
      <c r="D635" s="28"/>
      <c r="E635" s="28"/>
    </row>
    <row r="636" customFormat="false" ht="14.25" hidden="false" customHeight="true" outlineLevel="0" collapsed="false">
      <c r="D636" s="28"/>
      <c r="E636" s="28"/>
    </row>
    <row r="637" customFormat="false" ht="14.25" hidden="false" customHeight="true" outlineLevel="0" collapsed="false">
      <c r="D637" s="28"/>
      <c r="E637" s="28"/>
    </row>
    <row r="638" customFormat="false" ht="14.25" hidden="false" customHeight="true" outlineLevel="0" collapsed="false">
      <c r="D638" s="28"/>
      <c r="E638" s="28"/>
    </row>
    <row r="639" customFormat="false" ht="14.25" hidden="false" customHeight="true" outlineLevel="0" collapsed="false">
      <c r="D639" s="28"/>
      <c r="E639" s="28"/>
    </row>
    <row r="640" customFormat="false" ht="14.25" hidden="false" customHeight="true" outlineLevel="0" collapsed="false">
      <c r="D640" s="28"/>
      <c r="E640" s="28"/>
    </row>
    <row r="641" customFormat="false" ht="14.25" hidden="false" customHeight="true" outlineLevel="0" collapsed="false">
      <c r="D641" s="28"/>
      <c r="E641" s="28"/>
    </row>
    <row r="642" customFormat="false" ht="14.25" hidden="false" customHeight="true" outlineLevel="0" collapsed="false">
      <c r="D642" s="28"/>
      <c r="E642" s="28"/>
    </row>
    <row r="643" customFormat="false" ht="14.25" hidden="false" customHeight="true" outlineLevel="0" collapsed="false">
      <c r="D643" s="28"/>
      <c r="E643" s="28"/>
    </row>
    <row r="644" customFormat="false" ht="14.25" hidden="false" customHeight="true" outlineLevel="0" collapsed="false">
      <c r="D644" s="28"/>
      <c r="E644" s="28"/>
    </row>
    <row r="645" customFormat="false" ht="14.25" hidden="false" customHeight="true" outlineLevel="0" collapsed="false">
      <c r="D645" s="28"/>
      <c r="E645" s="28"/>
    </row>
    <row r="646" customFormat="false" ht="14.25" hidden="false" customHeight="true" outlineLevel="0" collapsed="false">
      <c r="D646" s="28"/>
      <c r="E646" s="28"/>
    </row>
    <row r="647" customFormat="false" ht="14.25" hidden="false" customHeight="true" outlineLevel="0" collapsed="false">
      <c r="D647" s="28"/>
      <c r="E647" s="28"/>
    </row>
    <row r="648" customFormat="false" ht="14.25" hidden="false" customHeight="true" outlineLevel="0" collapsed="false">
      <c r="D648" s="28"/>
      <c r="E648" s="28"/>
    </row>
    <row r="649" customFormat="false" ht="14.25" hidden="false" customHeight="true" outlineLevel="0" collapsed="false">
      <c r="D649" s="28"/>
      <c r="E649" s="28"/>
    </row>
    <row r="650" customFormat="false" ht="14.25" hidden="false" customHeight="true" outlineLevel="0" collapsed="false">
      <c r="D650" s="28"/>
      <c r="E650" s="28"/>
    </row>
    <row r="651" customFormat="false" ht="14.25" hidden="false" customHeight="true" outlineLevel="0" collapsed="false">
      <c r="D651" s="28"/>
      <c r="E651" s="28"/>
    </row>
    <row r="652" customFormat="false" ht="14.25" hidden="false" customHeight="true" outlineLevel="0" collapsed="false">
      <c r="D652" s="28"/>
      <c r="E652" s="28"/>
    </row>
    <row r="653" customFormat="false" ht="14.25" hidden="false" customHeight="true" outlineLevel="0" collapsed="false">
      <c r="D653" s="28"/>
      <c r="E653" s="28"/>
    </row>
    <row r="654" customFormat="false" ht="14.25" hidden="false" customHeight="true" outlineLevel="0" collapsed="false">
      <c r="D654" s="28"/>
      <c r="E654" s="28"/>
    </row>
    <row r="655" customFormat="false" ht="14.25" hidden="false" customHeight="true" outlineLevel="0" collapsed="false">
      <c r="D655" s="28"/>
      <c r="E655" s="28"/>
    </row>
    <row r="656" customFormat="false" ht="14.25" hidden="false" customHeight="true" outlineLevel="0" collapsed="false">
      <c r="D656" s="28"/>
      <c r="E656" s="28"/>
    </row>
    <row r="657" customFormat="false" ht="14.25" hidden="false" customHeight="true" outlineLevel="0" collapsed="false">
      <c r="D657" s="28"/>
      <c r="E657" s="28"/>
    </row>
    <row r="658" customFormat="false" ht="14.25" hidden="false" customHeight="true" outlineLevel="0" collapsed="false">
      <c r="D658" s="28"/>
      <c r="E658" s="28"/>
    </row>
    <row r="659" customFormat="false" ht="14.25" hidden="false" customHeight="true" outlineLevel="0" collapsed="false">
      <c r="D659" s="28"/>
      <c r="E659" s="28"/>
    </row>
    <row r="660" customFormat="false" ht="14.25" hidden="false" customHeight="true" outlineLevel="0" collapsed="false">
      <c r="D660" s="28"/>
      <c r="E660" s="28"/>
    </row>
    <row r="661" customFormat="false" ht="14.25" hidden="false" customHeight="true" outlineLevel="0" collapsed="false">
      <c r="D661" s="28"/>
      <c r="E661" s="28"/>
    </row>
    <row r="662" customFormat="false" ht="14.25" hidden="false" customHeight="true" outlineLevel="0" collapsed="false">
      <c r="D662" s="28"/>
      <c r="E662" s="28"/>
    </row>
    <row r="663" customFormat="false" ht="14.25" hidden="false" customHeight="true" outlineLevel="0" collapsed="false">
      <c r="D663" s="28"/>
      <c r="E663" s="28"/>
    </row>
    <row r="664" customFormat="false" ht="14.25" hidden="false" customHeight="true" outlineLevel="0" collapsed="false">
      <c r="D664" s="28"/>
      <c r="E664" s="28"/>
    </row>
    <row r="665" customFormat="false" ht="14.25" hidden="false" customHeight="true" outlineLevel="0" collapsed="false">
      <c r="D665" s="28"/>
      <c r="E665" s="28"/>
    </row>
    <row r="666" customFormat="false" ht="14.25" hidden="false" customHeight="true" outlineLevel="0" collapsed="false">
      <c r="D666" s="28"/>
      <c r="E666" s="28"/>
    </row>
    <row r="667" customFormat="false" ht="14.25" hidden="false" customHeight="true" outlineLevel="0" collapsed="false">
      <c r="D667" s="28"/>
      <c r="E667" s="28"/>
    </row>
    <row r="668" customFormat="false" ht="14.25" hidden="false" customHeight="true" outlineLevel="0" collapsed="false">
      <c r="D668" s="28"/>
      <c r="E668" s="28"/>
    </row>
    <row r="669" customFormat="false" ht="14.25" hidden="false" customHeight="true" outlineLevel="0" collapsed="false">
      <c r="D669" s="28"/>
      <c r="E669" s="28"/>
    </row>
    <row r="670" customFormat="false" ht="14.25" hidden="false" customHeight="true" outlineLevel="0" collapsed="false">
      <c r="D670" s="28"/>
      <c r="E670" s="28"/>
    </row>
    <row r="671" customFormat="false" ht="14.25" hidden="false" customHeight="true" outlineLevel="0" collapsed="false">
      <c r="D671" s="28"/>
      <c r="E671" s="28"/>
    </row>
    <row r="672" customFormat="false" ht="14.25" hidden="false" customHeight="true" outlineLevel="0" collapsed="false">
      <c r="D672" s="28"/>
      <c r="E672" s="28"/>
    </row>
    <row r="673" customFormat="false" ht="14.25" hidden="false" customHeight="true" outlineLevel="0" collapsed="false">
      <c r="D673" s="28"/>
      <c r="E673" s="28"/>
    </row>
    <row r="674" customFormat="false" ht="14.25" hidden="false" customHeight="true" outlineLevel="0" collapsed="false">
      <c r="D674" s="28"/>
      <c r="E674" s="28"/>
    </row>
    <row r="675" customFormat="false" ht="14.25" hidden="false" customHeight="true" outlineLevel="0" collapsed="false">
      <c r="D675" s="28"/>
      <c r="E675" s="28"/>
    </row>
    <row r="676" customFormat="false" ht="14.25" hidden="false" customHeight="true" outlineLevel="0" collapsed="false">
      <c r="D676" s="28"/>
      <c r="E676" s="28"/>
    </row>
    <row r="677" customFormat="false" ht="14.25" hidden="false" customHeight="true" outlineLevel="0" collapsed="false">
      <c r="D677" s="28"/>
      <c r="E677" s="28"/>
    </row>
    <row r="678" customFormat="false" ht="14.25" hidden="false" customHeight="true" outlineLevel="0" collapsed="false">
      <c r="D678" s="28"/>
      <c r="E678" s="28"/>
    </row>
    <row r="679" customFormat="false" ht="14.25" hidden="false" customHeight="true" outlineLevel="0" collapsed="false">
      <c r="D679" s="28"/>
      <c r="E679" s="28"/>
    </row>
    <row r="680" customFormat="false" ht="14.25" hidden="false" customHeight="true" outlineLevel="0" collapsed="false">
      <c r="D680" s="28"/>
      <c r="E680" s="28"/>
    </row>
    <row r="681" customFormat="false" ht="14.25" hidden="false" customHeight="true" outlineLevel="0" collapsed="false">
      <c r="D681" s="28"/>
      <c r="E681" s="28"/>
    </row>
    <row r="682" customFormat="false" ht="14.25" hidden="false" customHeight="true" outlineLevel="0" collapsed="false">
      <c r="D682" s="28"/>
      <c r="E682" s="28"/>
    </row>
    <row r="683" customFormat="false" ht="14.25" hidden="false" customHeight="true" outlineLevel="0" collapsed="false">
      <c r="D683" s="28"/>
      <c r="E683" s="28"/>
    </row>
    <row r="684" customFormat="false" ht="14.25" hidden="false" customHeight="true" outlineLevel="0" collapsed="false">
      <c r="D684" s="28"/>
      <c r="E684" s="28"/>
    </row>
    <row r="685" customFormat="false" ht="14.25" hidden="false" customHeight="true" outlineLevel="0" collapsed="false">
      <c r="D685" s="28"/>
      <c r="E685" s="28"/>
    </row>
    <row r="686" customFormat="false" ht="14.25" hidden="false" customHeight="true" outlineLevel="0" collapsed="false">
      <c r="D686" s="28"/>
      <c r="E686" s="28"/>
    </row>
    <row r="687" customFormat="false" ht="14.25" hidden="false" customHeight="true" outlineLevel="0" collapsed="false">
      <c r="D687" s="28"/>
      <c r="E687" s="28"/>
    </row>
    <row r="688" customFormat="false" ht="14.25" hidden="false" customHeight="true" outlineLevel="0" collapsed="false">
      <c r="D688" s="28"/>
      <c r="E688" s="28"/>
    </row>
    <row r="689" customFormat="false" ht="14.25" hidden="false" customHeight="true" outlineLevel="0" collapsed="false">
      <c r="D689" s="28"/>
      <c r="E689" s="28"/>
    </row>
    <row r="690" customFormat="false" ht="14.25" hidden="false" customHeight="true" outlineLevel="0" collapsed="false">
      <c r="D690" s="28"/>
      <c r="E690" s="28"/>
    </row>
    <row r="691" customFormat="false" ht="14.25" hidden="false" customHeight="true" outlineLevel="0" collapsed="false">
      <c r="D691" s="28"/>
      <c r="E691" s="28"/>
    </row>
    <row r="692" customFormat="false" ht="14.25" hidden="false" customHeight="true" outlineLevel="0" collapsed="false">
      <c r="D692" s="28"/>
      <c r="E692" s="28"/>
    </row>
    <row r="693" customFormat="false" ht="14.25" hidden="false" customHeight="true" outlineLevel="0" collapsed="false">
      <c r="D693" s="28"/>
      <c r="E693" s="28"/>
    </row>
    <row r="694" customFormat="false" ht="14.25" hidden="false" customHeight="true" outlineLevel="0" collapsed="false">
      <c r="D694" s="28"/>
      <c r="E694" s="28"/>
    </row>
    <row r="695" customFormat="false" ht="14.25" hidden="false" customHeight="true" outlineLevel="0" collapsed="false">
      <c r="D695" s="28"/>
      <c r="E695" s="28"/>
    </row>
    <row r="696" customFormat="false" ht="14.25" hidden="false" customHeight="true" outlineLevel="0" collapsed="false">
      <c r="D696" s="28"/>
      <c r="E696" s="28"/>
    </row>
    <row r="697" customFormat="false" ht="14.25" hidden="false" customHeight="true" outlineLevel="0" collapsed="false">
      <c r="D697" s="28"/>
      <c r="E697" s="28"/>
    </row>
    <row r="698" customFormat="false" ht="14.25" hidden="false" customHeight="true" outlineLevel="0" collapsed="false">
      <c r="D698" s="28"/>
      <c r="E698" s="28"/>
    </row>
    <row r="699" customFormat="false" ht="14.25" hidden="false" customHeight="true" outlineLevel="0" collapsed="false">
      <c r="D699" s="28"/>
      <c r="E699" s="28"/>
    </row>
    <row r="700" customFormat="false" ht="14.25" hidden="false" customHeight="true" outlineLevel="0" collapsed="false">
      <c r="D700" s="28"/>
      <c r="E700" s="28"/>
    </row>
    <row r="701" customFormat="false" ht="14.25" hidden="false" customHeight="true" outlineLevel="0" collapsed="false">
      <c r="D701" s="28"/>
      <c r="E701" s="28"/>
    </row>
    <row r="702" customFormat="false" ht="14.25" hidden="false" customHeight="true" outlineLevel="0" collapsed="false">
      <c r="D702" s="28"/>
      <c r="E702" s="28"/>
    </row>
    <row r="703" customFormat="false" ht="14.25" hidden="false" customHeight="true" outlineLevel="0" collapsed="false">
      <c r="D703" s="28"/>
      <c r="E703" s="28"/>
    </row>
    <row r="704" customFormat="false" ht="14.25" hidden="false" customHeight="true" outlineLevel="0" collapsed="false">
      <c r="D704" s="28"/>
      <c r="E704" s="28"/>
    </row>
    <row r="705" customFormat="false" ht="14.25" hidden="false" customHeight="true" outlineLevel="0" collapsed="false">
      <c r="D705" s="28"/>
      <c r="E705" s="28"/>
    </row>
    <row r="706" customFormat="false" ht="14.25" hidden="false" customHeight="true" outlineLevel="0" collapsed="false">
      <c r="D706" s="28"/>
      <c r="E706" s="28"/>
    </row>
    <row r="707" customFormat="false" ht="14.25" hidden="false" customHeight="true" outlineLevel="0" collapsed="false">
      <c r="D707" s="28"/>
      <c r="E707" s="28"/>
    </row>
    <row r="708" customFormat="false" ht="14.25" hidden="false" customHeight="true" outlineLevel="0" collapsed="false">
      <c r="D708" s="28"/>
      <c r="E708" s="28"/>
    </row>
    <row r="709" customFormat="false" ht="14.25" hidden="false" customHeight="true" outlineLevel="0" collapsed="false">
      <c r="D709" s="28"/>
      <c r="E709" s="28"/>
    </row>
    <row r="710" customFormat="false" ht="14.25" hidden="false" customHeight="true" outlineLevel="0" collapsed="false">
      <c r="D710" s="28"/>
      <c r="E710" s="28"/>
    </row>
    <row r="711" customFormat="false" ht="14.25" hidden="false" customHeight="true" outlineLevel="0" collapsed="false">
      <c r="D711" s="28"/>
      <c r="E711" s="28"/>
    </row>
    <row r="712" customFormat="false" ht="14.25" hidden="false" customHeight="true" outlineLevel="0" collapsed="false">
      <c r="D712" s="28"/>
      <c r="E712" s="28"/>
    </row>
    <row r="713" customFormat="false" ht="14.25" hidden="false" customHeight="true" outlineLevel="0" collapsed="false">
      <c r="D713" s="28"/>
      <c r="E713" s="28"/>
    </row>
    <row r="714" customFormat="false" ht="14.25" hidden="false" customHeight="true" outlineLevel="0" collapsed="false">
      <c r="D714" s="28"/>
      <c r="E714" s="28"/>
    </row>
    <row r="715" customFormat="false" ht="14.25" hidden="false" customHeight="true" outlineLevel="0" collapsed="false">
      <c r="D715" s="28"/>
      <c r="E715" s="28"/>
    </row>
    <row r="716" customFormat="false" ht="14.25" hidden="false" customHeight="true" outlineLevel="0" collapsed="false">
      <c r="D716" s="28"/>
      <c r="E716" s="28"/>
    </row>
    <row r="717" customFormat="false" ht="14.25" hidden="false" customHeight="true" outlineLevel="0" collapsed="false">
      <c r="D717" s="28"/>
      <c r="E717" s="28"/>
    </row>
    <row r="718" customFormat="false" ht="14.25" hidden="false" customHeight="true" outlineLevel="0" collapsed="false">
      <c r="D718" s="28"/>
      <c r="E718" s="28"/>
    </row>
    <row r="719" customFormat="false" ht="14.25" hidden="false" customHeight="true" outlineLevel="0" collapsed="false">
      <c r="D719" s="28"/>
      <c r="E719" s="28"/>
    </row>
    <row r="720" customFormat="false" ht="14.25" hidden="false" customHeight="true" outlineLevel="0" collapsed="false">
      <c r="D720" s="28"/>
      <c r="E720" s="28"/>
    </row>
    <row r="721" customFormat="false" ht="14.25" hidden="false" customHeight="true" outlineLevel="0" collapsed="false">
      <c r="D721" s="28"/>
      <c r="E721" s="28"/>
    </row>
    <row r="722" customFormat="false" ht="14.25" hidden="false" customHeight="true" outlineLevel="0" collapsed="false">
      <c r="D722" s="28"/>
      <c r="E722" s="28"/>
    </row>
    <row r="723" customFormat="false" ht="14.25" hidden="false" customHeight="true" outlineLevel="0" collapsed="false">
      <c r="D723" s="28"/>
      <c r="E723" s="28"/>
    </row>
    <row r="724" customFormat="false" ht="14.25" hidden="false" customHeight="true" outlineLevel="0" collapsed="false">
      <c r="D724" s="28"/>
      <c r="E724" s="28"/>
    </row>
    <row r="725" customFormat="false" ht="14.25" hidden="false" customHeight="true" outlineLevel="0" collapsed="false">
      <c r="D725" s="28"/>
      <c r="E725" s="28"/>
    </row>
    <row r="726" customFormat="false" ht="14.25" hidden="false" customHeight="true" outlineLevel="0" collapsed="false">
      <c r="D726" s="28"/>
      <c r="E726" s="28"/>
    </row>
    <row r="727" customFormat="false" ht="14.25" hidden="false" customHeight="true" outlineLevel="0" collapsed="false">
      <c r="D727" s="28"/>
      <c r="E727" s="28"/>
    </row>
    <row r="728" customFormat="false" ht="14.25" hidden="false" customHeight="true" outlineLevel="0" collapsed="false">
      <c r="D728" s="28"/>
      <c r="E728" s="28"/>
    </row>
    <row r="729" customFormat="false" ht="14.25" hidden="false" customHeight="true" outlineLevel="0" collapsed="false">
      <c r="D729" s="28"/>
      <c r="E729" s="28"/>
    </row>
    <row r="730" customFormat="false" ht="14.25" hidden="false" customHeight="true" outlineLevel="0" collapsed="false">
      <c r="D730" s="28"/>
      <c r="E730" s="28"/>
    </row>
    <row r="731" customFormat="false" ht="14.25" hidden="false" customHeight="true" outlineLevel="0" collapsed="false">
      <c r="D731" s="28"/>
      <c r="E731" s="28"/>
    </row>
    <row r="732" customFormat="false" ht="14.25" hidden="false" customHeight="true" outlineLevel="0" collapsed="false">
      <c r="D732" s="28"/>
      <c r="E732" s="28"/>
    </row>
    <row r="733" customFormat="false" ht="14.25" hidden="false" customHeight="true" outlineLevel="0" collapsed="false">
      <c r="D733" s="28"/>
      <c r="E733" s="28"/>
    </row>
    <row r="734" customFormat="false" ht="14.25" hidden="false" customHeight="true" outlineLevel="0" collapsed="false">
      <c r="D734" s="28"/>
      <c r="E734" s="28"/>
    </row>
    <row r="735" customFormat="false" ht="14.25" hidden="false" customHeight="true" outlineLevel="0" collapsed="false">
      <c r="D735" s="28"/>
      <c r="E735" s="28"/>
    </row>
    <row r="736" customFormat="false" ht="14.25" hidden="false" customHeight="true" outlineLevel="0" collapsed="false">
      <c r="D736" s="28"/>
      <c r="E736" s="28"/>
    </row>
    <row r="737" customFormat="false" ht="14.25" hidden="false" customHeight="true" outlineLevel="0" collapsed="false">
      <c r="D737" s="28"/>
      <c r="E737" s="28"/>
    </row>
    <row r="738" customFormat="false" ht="14.25" hidden="false" customHeight="true" outlineLevel="0" collapsed="false">
      <c r="D738" s="28"/>
      <c r="E738" s="28"/>
    </row>
    <row r="739" customFormat="false" ht="14.25" hidden="false" customHeight="true" outlineLevel="0" collapsed="false">
      <c r="D739" s="28"/>
      <c r="E739" s="28"/>
    </row>
    <row r="740" customFormat="false" ht="14.25" hidden="false" customHeight="true" outlineLevel="0" collapsed="false">
      <c r="D740" s="28"/>
      <c r="E740" s="28"/>
    </row>
    <row r="741" customFormat="false" ht="14.25" hidden="false" customHeight="true" outlineLevel="0" collapsed="false">
      <c r="D741" s="28"/>
      <c r="E741" s="28"/>
    </row>
    <row r="742" customFormat="false" ht="14.25" hidden="false" customHeight="true" outlineLevel="0" collapsed="false">
      <c r="D742" s="28"/>
      <c r="E742" s="28"/>
    </row>
    <row r="743" customFormat="false" ht="14.25" hidden="false" customHeight="true" outlineLevel="0" collapsed="false">
      <c r="D743" s="28"/>
      <c r="E743" s="28"/>
    </row>
    <row r="744" customFormat="false" ht="14.25" hidden="false" customHeight="true" outlineLevel="0" collapsed="false">
      <c r="D744" s="28"/>
      <c r="E744" s="28"/>
    </row>
    <row r="745" customFormat="false" ht="14.25" hidden="false" customHeight="true" outlineLevel="0" collapsed="false">
      <c r="D745" s="28"/>
      <c r="E745" s="28"/>
    </row>
    <row r="746" customFormat="false" ht="14.25" hidden="false" customHeight="true" outlineLevel="0" collapsed="false">
      <c r="D746" s="28"/>
      <c r="E746" s="28"/>
    </row>
    <row r="747" customFormat="false" ht="14.25" hidden="false" customHeight="true" outlineLevel="0" collapsed="false">
      <c r="D747" s="28"/>
      <c r="E747" s="28"/>
    </row>
    <row r="748" customFormat="false" ht="14.25" hidden="false" customHeight="true" outlineLevel="0" collapsed="false">
      <c r="D748" s="28"/>
      <c r="E748" s="28"/>
    </row>
    <row r="749" customFormat="false" ht="14.25" hidden="false" customHeight="true" outlineLevel="0" collapsed="false">
      <c r="D749" s="28"/>
      <c r="E749" s="28"/>
    </row>
    <row r="750" customFormat="false" ht="14.25" hidden="false" customHeight="true" outlineLevel="0" collapsed="false">
      <c r="D750" s="28"/>
      <c r="E750" s="28"/>
    </row>
    <row r="751" customFormat="false" ht="14.25" hidden="false" customHeight="true" outlineLevel="0" collapsed="false">
      <c r="D751" s="28"/>
      <c r="E751" s="28"/>
    </row>
    <row r="752" customFormat="false" ht="14.25" hidden="false" customHeight="true" outlineLevel="0" collapsed="false">
      <c r="D752" s="28"/>
      <c r="E752" s="28"/>
    </row>
    <row r="753" customFormat="false" ht="14.25" hidden="false" customHeight="true" outlineLevel="0" collapsed="false">
      <c r="D753" s="28"/>
      <c r="E753" s="28"/>
    </row>
    <row r="754" customFormat="false" ht="14.25" hidden="false" customHeight="true" outlineLevel="0" collapsed="false">
      <c r="D754" s="28"/>
      <c r="E754" s="28"/>
    </row>
    <row r="755" customFormat="false" ht="14.25" hidden="false" customHeight="true" outlineLevel="0" collapsed="false">
      <c r="D755" s="28"/>
      <c r="E755" s="28"/>
    </row>
    <row r="756" customFormat="false" ht="14.25" hidden="false" customHeight="true" outlineLevel="0" collapsed="false">
      <c r="D756" s="28"/>
      <c r="E756" s="28"/>
    </row>
    <row r="757" customFormat="false" ht="14.25" hidden="false" customHeight="true" outlineLevel="0" collapsed="false">
      <c r="D757" s="28"/>
      <c r="E757" s="28"/>
    </row>
    <row r="758" customFormat="false" ht="14.25" hidden="false" customHeight="true" outlineLevel="0" collapsed="false">
      <c r="D758" s="28"/>
      <c r="E758" s="28"/>
    </row>
    <row r="759" customFormat="false" ht="14.25" hidden="false" customHeight="true" outlineLevel="0" collapsed="false">
      <c r="D759" s="28"/>
      <c r="E759" s="28"/>
    </row>
    <row r="760" customFormat="false" ht="14.25" hidden="false" customHeight="true" outlineLevel="0" collapsed="false">
      <c r="D760" s="28"/>
      <c r="E760" s="28"/>
    </row>
    <row r="761" customFormat="false" ht="14.25" hidden="false" customHeight="true" outlineLevel="0" collapsed="false">
      <c r="D761" s="28"/>
      <c r="E761" s="28"/>
    </row>
    <row r="762" customFormat="false" ht="14.25" hidden="false" customHeight="true" outlineLevel="0" collapsed="false">
      <c r="D762" s="28"/>
      <c r="E762" s="28"/>
    </row>
    <row r="763" customFormat="false" ht="14.25" hidden="false" customHeight="true" outlineLevel="0" collapsed="false">
      <c r="D763" s="28"/>
      <c r="E763" s="28"/>
    </row>
    <row r="764" customFormat="false" ht="14.25" hidden="false" customHeight="true" outlineLevel="0" collapsed="false">
      <c r="D764" s="28"/>
      <c r="E764" s="28"/>
    </row>
    <row r="765" customFormat="false" ht="14.25" hidden="false" customHeight="true" outlineLevel="0" collapsed="false">
      <c r="D765" s="28"/>
      <c r="E765" s="28"/>
    </row>
    <row r="766" customFormat="false" ht="14.25" hidden="false" customHeight="true" outlineLevel="0" collapsed="false">
      <c r="D766" s="28"/>
      <c r="E766" s="28"/>
    </row>
    <row r="767" customFormat="false" ht="14.25" hidden="false" customHeight="true" outlineLevel="0" collapsed="false">
      <c r="D767" s="28"/>
      <c r="E767" s="28"/>
    </row>
    <row r="768" customFormat="false" ht="14.25" hidden="false" customHeight="true" outlineLevel="0" collapsed="false">
      <c r="D768" s="28"/>
      <c r="E768" s="28"/>
    </row>
    <row r="769" customFormat="false" ht="14.25" hidden="false" customHeight="true" outlineLevel="0" collapsed="false">
      <c r="D769" s="28"/>
      <c r="E769" s="28"/>
    </row>
    <row r="770" customFormat="false" ht="14.25" hidden="false" customHeight="true" outlineLevel="0" collapsed="false">
      <c r="D770" s="28"/>
      <c r="E770" s="28"/>
    </row>
    <row r="771" customFormat="false" ht="14.25" hidden="false" customHeight="true" outlineLevel="0" collapsed="false">
      <c r="D771" s="28"/>
      <c r="E771" s="28"/>
    </row>
    <row r="772" customFormat="false" ht="14.25" hidden="false" customHeight="true" outlineLevel="0" collapsed="false">
      <c r="D772" s="28"/>
      <c r="E772" s="28"/>
    </row>
    <row r="773" customFormat="false" ht="14.25" hidden="false" customHeight="true" outlineLevel="0" collapsed="false">
      <c r="D773" s="28"/>
      <c r="E773" s="28"/>
    </row>
    <row r="774" customFormat="false" ht="14.25" hidden="false" customHeight="true" outlineLevel="0" collapsed="false">
      <c r="D774" s="28"/>
      <c r="E774" s="28"/>
    </row>
    <row r="775" customFormat="false" ht="14.25" hidden="false" customHeight="true" outlineLevel="0" collapsed="false">
      <c r="D775" s="28"/>
      <c r="E775" s="28"/>
    </row>
    <row r="776" customFormat="false" ht="14.25" hidden="false" customHeight="true" outlineLevel="0" collapsed="false">
      <c r="D776" s="28"/>
      <c r="E776" s="28"/>
    </row>
    <row r="777" customFormat="false" ht="14.25" hidden="false" customHeight="true" outlineLevel="0" collapsed="false">
      <c r="D777" s="28"/>
      <c r="E777" s="28"/>
    </row>
    <row r="778" customFormat="false" ht="14.25" hidden="false" customHeight="true" outlineLevel="0" collapsed="false">
      <c r="D778" s="28"/>
      <c r="E778" s="28"/>
    </row>
    <row r="779" customFormat="false" ht="14.25" hidden="false" customHeight="true" outlineLevel="0" collapsed="false">
      <c r="D779" s="28"/>
      <c r="E779" s="28"/>
    </row>
    <row r="780" customFormat="false" ht="14.25" hidden="false" customHeight="true" outlineLevel="0" collapsed="false">
      <c r="D780" s="28"/>
      <c r="E780" s="28"/>
    </row>
    <row r="781" customFormat="false" ht="14.25" hidden="false" customHeight="true" outlineLevel="0" collapsed="false">
      <c r="D781" s="28"/>
      <c r="E781" s="28"/>
    </row>
    <row r="782" customFormat="false" ht="14.25" hidden="false" customHeight="true" outlineLevel="0" collapsed="false">
      <c r="D782" s="28"/>
      <c r="E782" s="28"/>
    </row>
    <row r="783" customFormat="false" ht="14.25" hidden="false" customHeight="true" outlineLevel="0" collapsed="false">
      <c r="D783" s="28"/>
      <c r="E783" s="28"/>
    </row>
    <row r="784" customFormat="false" ht="14.25" hidden="false" customHeight="true" outlineLevel="0" collapsed="false">
      <c r="D784" s="28"/>
      <c r="E784" s="28"/>
    </row>
    <row r="785" customFormat="false" ht="14.25" hidden="false" customHeight="true" outlineLevel="0" collapsed="false">
      <c r="D785" s="28"/>
      <c r="E785" s="28"/>
    </row>
    <row r="786" customFormat="false" ht="14.25" hidden="false" customHeight="true" outlineLevel="0" collapsed="false">
      <c r="D786" s="28"/>
      <c r="E786" s="28"/>
    </row>
    <row r="787" customFormat="false" ht="14.25" hidden="false" customHeight="true" outlineLevel="0" collapsed="false">
      <c r="D787" s="28"/>
      <c r="E787" s="28"/>
    </row>
    <row r="788" customFormat="false" ht="14.25" hidden="false" customHeight="true" outlineLevel="0" collapsed="false">
      <c r="D788" s="28"/>
      <c r="E788" s="28"/>
    </row>
    <row r="789" customFormat="false" ht="14.25" hidden="false" customHeight="true" outlineLevel="0" collapsed="false">
      <c r="D789" s="28"/>
      <c r="E789" s="28"/>
    </row>
    <row r="790" customFormat="false" ht="14.25" hidden="false" customHeight="true" outlineLevel="0" collapsed="false">
      <c r="D790" s="28"/>
      <c r="E790" s="28"/>
    </row>
    <row r="791" customFormat="false" ht="14.25" hidden="false" customHeight="true" outlineLevel="0" collapsed="false">
      <c r="D791" s="28"/>
      <c r="E791" s="28"/>
    </row>
    <row r="792" customFormat="false" ht="14.25" hidden="false" customHeight="true" outlineLevel="0" collapsed="false">
      <c r="D792" s="28"/>
      <c r="E792" s="28"/>
    </row>
    <row r="793" customFormat="false" ht="14.25" hidden="false" customHeight="true" outlineLevel="0" collapsed="false">
      <c r="D793" s="28"/>
      <c r="E793" s="28"/>
    </row>
    <row r="794" customFormat="false" ht="14.25" hidden="false" customHeight="true" outlineLevel="0" collapsed="false">
      <c r="D794" s="28"/>
      <c r="E794" s="28"/>
    </row>
    <row r="795" customFormat="false" ht="14.25" hidden="false" customHeight="true" outlineLevel="0" collapsed="false">
      <c r="D795" s="28"/>
      <c r="E795" s="28"/>
    </row>
    <row r="796" customFormat="false" ht="14.25" hidden="false" customHeight="true" outlineLevel="0" collapsed="false">
      <c r="D796" s="28"/>
      <c r="E796" s="28"/>
    </row>
    <row r="797" customFormat="false" ht="14.25" hidden="false" customHeight="true" outlineLevel="0" collapsed="false">
      <c r="D797" s="28"/>
      <c r="E797" s="28"/>
    </row>
    <row r="798" customFormat="false" ht="14.25" hidden="false" customHeight="true" outlineLevel="0" collapsed="false">
      <c r="D798" s="28"/>
      <c r="E798" s="28"/>
    </row>
    <row r="799" customFormat="false" ht="14.25" hidden="false" customHeight="true" outlineLevel="0" collapsed="false">
      <c r="D799" s="28"/>
      <c r="E799" s="28"/>
    </row>
    <row r="800" customFormat="false" ht="14.25" hidden="false" customHeight="true" outlineLevel="0" collapsed="false">
      <c r="D800" s="28"/>
      <c r="E800" s="28"/>
    </row>
    <row r="801" customFormat="false" ht="14.25" hidden="false" customHeight="true" outlineLevel="0" collapsed="false">
      <c r="D801" s="28"/>
      <c r="E801" s="28"/>
    </row>
    <row r="802" customFormat="false" ht="14.25" hidden="false" customHeight="true" outlineLevel="0" collapsed="false">
      <c r="D802" s="28"/>
      <c r="E802" s="28"/>
    </row>
    <row r="803" customFormat="false" ht="14.25" hidden="false" customHeight="true" outlineLevel="0" collapsed="false">
      <c r="D803" s="28"/>
      <c r="E803" s="28"/>
    </row>
    <row r="804" customFormat="false" ht="14.25" hidden="false" customHeight="true" outlineLevel="0" collapsed="false">
      <c r="D804" s="28"/>
      <c r="E804" s="28"/>
    </row>
    <row r="805" customFormat="false" ht="14.25" hidden="false" customHeight="true" outlineLevel="0" collapsed="false">
      <c r="D805" s="28"/>
      <c r="E805" s="28"/>
    </row>
    <row r="806" customFormat="false" ht="14.25" hidden="false" customHeight="true" outlineLevel="0" collapsed="false">
      <c r="D806" s="28"/>
      <c r="E806" s="28"/>
    </row>
    <row r="807" customFormat="false" ht="14.25" hidden="false" customHeight="true" outlineLevel="0" collapsed="false">
      <c r="D807" s="28"/>
      <c r="E807" s="28"/>
    </row>
    <row r="808" customFormat="false" ht="14.25" hidden="false" customHeight="true" outlineLevel="0" collapsed="false">
      <c r="D808" s="28"/>
      <c r="E808" s="28"/>
    </row>
    <row r="809" customFormat="false" ht="14.25" hidden="false" customHeight="true" outlineLevel="0" collapsed="false">
      <c r="D809" s="28"/>
      <c r="E809" s="28"/>
    </row>
    <row r="810" customFormat="false" ht="14.25" hidden="false" customHeight="true" outlineLevel="0" collapsed="false">
      <c r="D810" s="28"/>
      <c r="E810" s="28"/>
    </row>
    <row r="811" customFormat="false" ht="14.25" hidden="false" customHeight="true" outlineLevel="0" collapsed="false">
      <c r="D811" s="28"/>
      <c r="E811" s="28"/>
    </row>
    <row r="812" customFormat="false" ht="14.25" hidden="false" customHeight="true" outlineLevel="0" collapsed="false">
      <c r="D812" s="28"/>
      <c r="E812" s="28"/>
    </row>
    <row r="813" customFormat="false" ht="14.25" hidden="false" customHeight="true" outlineLevel="0" collapsed="false">
      <c r="D813" s="28"/>
      <c r="E813" s="28"/>
    </row>
    <row r="814" customFormat="false" ht="14.25" hidden="false" customHeight="true" outlineLevel="0" collapsed="false">
      <c r="D814" s="28"/>
      <c r="E814" s="28"/>
    </row>
    <row r="815" customFormat="false" ht="14.25" hidden="false" customHeight="true" outlineLevel="0" collapsed="false">
      <c r="D815" s="28"/>
      <c r="E815" s="28"/>
    </row>
    <row r="816" customFormat="false" ht="14.25" hidden="false" customHeight="true" outlineLevel="0" collapsed="false">
      <c r="D816" s="28"/>
      <c r="E816" s="28"/>
    </row>
    <row r="817" customFormat="false" ht="14.25" hidden="false" customHeight="true" outlineLevel="0" collapsed="false">
      <c r="D817" s="28"/>
      <c r="E817" s="28"/>
    </row>
    <row r="818" customFormat="false" ht="14.25" hidden="false" customHeight="true" outlineLevel="0" collapsed="false">
      <c r="D818" s="28"/>
      <c r="E818" s="28"/>
    </row>
    <row r="819" customFormat="false" ht="14.25" hidden="false" customHeight="true" outlineLevel="0" collapsed="false">
      <c r="D819" s="28"/>
      <c r="E819" s="28"/>
    </row>
    <row r="820" customFormat="false" ht="14.25" hidden="false" customHeight="true" outlineLevel="0" collapsed="false">
      <c r="D820" s="28"/>
      <c r="E820" s="28"/>
    </row>
    <row r="821" customFormat="false" ht="14.25" hidden="false" customHeight="true" outlineLevel="0" collapsed="false">
      <c r="D821" s="28"/>
      <c r="E821" s="28"/>
    </row>
    <row r="822" customFormat="false" ht="14.25" hidden="false" customHeight="true" outlineLevel="0" collapsed="false">
      <c r="D822" s="28"/>
      <c r="E822" s="28"/>
    </row>
    <row r="823" customFormat="false" ht="14.25" hidden="false" customHeight="true" outlineLevel="0" collapsed="false">
      <c r="D823" s="28"/>
      <c r="E823" s="28"/>
    </row>
    <row r="824" customFormat="false" ht="14.25" hidden="false" customHeight="true" outlineLevel="0" collapsed="false">
      <c r="D824" s="28"/>
      <c r="E824" s="28"/>
    </row>
    <row r="825" customFormat="false" ht="14.25" hidden="false" customHeight="true" outlineLevel="0" collapsed="false">
      <c r="D825" s="28"/>
      <c r="E825" s="28"/>
    </row>
    <row r="826" customFormat="false" ht="14.25" hidden="false" customHeight="true" outlineLevel="0" collapsed="false">
      <c r="D826" s="28"/>
      <c r="E826" s="28"/>
    </row>
    <row r="827" customFormat="false" ht="14.25" hidden="false" customHeight="true" outlineLevel="0" collapsed="false">
      <c r="D827" s="28"/>
      <c r="E827" s="28"/>
    </row>
    <row r="828" customFormat="false" ht="14.25" hidden="false" customHeight="true" outlineLevel="0" collapsed="false">
      <c r="D828" s="28"/>
      <c r="E828" s="28"/>
    </row>
    <row r="829" customFormat="false" ht="14.25" hidden="false" customHeight="true" outlineLevel="0" collapsed="false">
      <c r="D829" s="28"/>
      <c r="E829" s="28"/>
    </row>
    <row r="830" customFormat="false" ht="14.25" hidden="false" customHeight="true" outlineLevel="0" collapsed="false">
      <c r="D830" s="28"/>
      <c r="E830" s="28"/>
    </row>
    <row r="831" customFormat="false" ht="14.25" hidden="false" customHeight="true" outlineLevel="0" collapsed="false">
      <c r="D831" s="28"/>
      <c r="E831" s="28"/>
    </row>
    <row r="832" customFormat="false" ht="14.25" hidden="false" customHeight="true" outlineLevel="0" collapsed="false">
      <c r="D832" s="28"/>
      <c r="E832" s="28"/>
    </row>
    <row r="833" customFormat="false" ht="14.25" hidden="false" customHeight="true" outlineLevel="0" collapsed="false">
      <c r="D833" s="28"/>
      <c r="E833" s="28"/>
    </row>
    <row r="834" customFormat="false" ht="14.25" hidden="false" customHeight="true" outlineLevel="0" collapsed="false">
      <c r="D834" s="28"/>
      <c r="E834" s="28"/>
    </row>
    <row r="835" customFormat="false" ht="14.25" hidden="false" customHeight="true" outlineLevel="0" collapsed="false">
      <c r="D835" s="28"/>
      <c r="E835" s="28"/>
    </row>
    <row r="836" customFormat="false" ht="14.25" hidden="false" customHeight="true" outlineLevel="0" collapsed="false">
      <c r="D836" s="28"/>
      <c r="E836" s="28"/>
    </row>
    <row r="837" customFormat="false" ht="14.25" hidden="false" customHeight="true" outlineLevel="0" collapsed="false">
      <c r="D837" s="28"/>
      <c r="E837" s="28"/>
    </row>
    <row r="838" customFormat="false" ht="14.25" hidden="false" customHeight="true" outlineLevel="0" collapsed="false">
      <c r="D838" s="28"/>
      <c r="E838" s="28"/>
    </row>
    <row r="839" customFormat="false" ht="14.25" hidden="false" customHeight="true" outlineLevel="0" collapsed="false">
      <c r="D839" s="28"/>
      <c r="E839" s="28"/>
    </row>
    <row r="840" customFormat="false" ht="14.25" hidden="false" customHeight="true" outlineLevel="0" collapsed="false">
      <c r="D840" s="28"/>
      <c r="E840" s="28"/>
    </row>
    <row r="841" customFormat="false" ht="14.25" hidden="false" customHeight="true" outlineLevel="0" collapsed="false">
      <c r="D841" s="28"/>
      <c r="E841" s="28"/>
    </row>
    <row r="842" customFormat="false" ht="14.25" hidden="false" customHeight="true" outlineLevel="0" collapsed="false">
      <c r="D842" s="28"/>
      <c r="E842" s="28"/>
    </row>
    <row r="843" customFormat="false" ht="14.25" hidden="false" customHeight="true" outlineLevel="0" collapsed="false">
      <c r="D843" s="28"/>
      <c r="E843" s="28"/>
    </row>
    <row r="844" customFormat="false" ht="14.25" hidden="false" customHeight="true" outlineLevel="0" collapsed="false">
      <c r="D844" s="28"/>
      <c r="E844" s="28"/>
    </row>
    <row r="845" customFormat="false" ht="14.25" hidden="false" customHeight="true" outlineLevel="0" collapsed="false">
      <c r="D845" s="28"/>
      <c r="E845" s="28"/>
    </row>
    <row r="846" customFormat="false" ht="14.25" hidden="false" customHeight="true" outlineLevel="0" collapsed="false">
      <c r="D846" s="28"/>
      <c r="E846" s="28"/>
    </row>
    <row r="847" customFormat="false" ht="14.25" hidden="false" customHeight="true" outlineLevel="0" collapsed="false">
      <c r="D847" s="28"/>
      <c r="E847" s="28"/>
    </row>
    <row r="848" customFormat="false" ht="14.25" hidden="false" customHeight="true" outlineLevel="0" collapsed="false">
      <c r="D848" s="28"/>
      <c r="E848" s="28"/>
    </row>
    <row r="849" customFormat="false" ht="14.25" hidden="false" customHeight="true" outlineLevel="0" collapsed="false">
      <c r="D849" s="28"/>
      <c r="E849" s="28"/>
    </row>
    <row r="850" customFormat="false" ht="14.25" hidden="false" customHeight="true" outlineLevel="0" collapsed="false">
      <c r="D850" s="28"/>
      <c r="E850" s="28"/>
    </row>
    <row r="851" customFormat="false" ht="14.25" hidden="false" customHeight="true" outlineLevel="0" collapsed="false">
      <c r="D851" s="28"/>
      <c r="E851" s="28"/>
    </row>
    <row r="852" customFormat="false" ht="14.25" hidden="false" customHeight="true" outlineLevel="0" collapsed="false">
      <c r="D852" s="28"/>
      <c r="E852" s="28"/>
    </row>
    <row r="853" customFormat="false" ht="14.25" hidden="false" customHeight="true" outlineLevel="0" collapsed="false">
      <c r="D853" s="28"/>
      <c r="E853" s="28"/>
    </row>
    <row r="854" customFormat="false" ht="14.25" hidden="false" customHeight="true" outlineLevel="0" collapsed="false">
      <c r="D854" s="28"/>
      <c r="E854" s="28"/>
    </row>
    <row r="855" customFormat="false" ht="14.25" hidden="false" customHeight="true" outlineLevel="0" collapsed="false">
      <c r="D855" s="28"/>
      <c r="E855" s="28"/>
    </row>
    <row r="856" customFormat="false" ht="14.25" hidden="false" customHeight="true" outlineLevel="0" collapsed="false">
      <c r="D856" s="28"/>
      <c r="E856" s="28"/>
    </row>
    <row r="857" customFormat="false" ht="14.25" hidden="false" customHeight="true" outlineLevel="0" collapsed="false">
      <c r="D857" s="28"/>
      <c r="E857" s="28"/>
    </row>
    <row r="858" customFormat="false" ht="14.25" hidden="false" customHeight="true" outlineLevel="0" collapsed="false">
      <c r="D858" s="28"/>
      <c r="E858" s="28"/>
    </row>
    <row r="859" customFormat="false" ht="14.25" hidden="false" customHeight="true" outlineLevel="0" collapsed="false">
      <c r="D859" s="28"/>
      <c r="E859" s="28"/>
    </row>
    <row r="860" customFormat="false" ht="14.25" hidden="false" customHeight="true" outlineLevel="0" collapsed="false">
      <c r="D860" s="28"/>
      <c r="E860" s="28"/>
    </row>
    <row r="861" customFormat="false" ht="14.25" hidden="false" customHeight="true" outlineLevel="0" collapsed="false">
      <c r="D861" s="28"/>
      <c r="E861" s="28"/>
    </row>
    <row r="862" customFormat="false" ht="14.25" hidden="false" customHeight="true" outlineLevel="0" collapsed="false">
      <c r="D862" s="28"/>
      <c r="E862" s="28"/>
    </row>
    <row r="863" customFormat="false" ht="14.25" hidden="false" customHeight="true" outlineLevel="0" collapsed="false">
      <c r="D863" s="28"/>
      <c r="E863" s="28"/>
    </row>
    <row r="864" customFormat="false" ht="14.25" hidden="false" customHeight="true" outlineLevel="0" collapsed="false">
      <c r="D864" s="28"/>
      <c r="E864" s="28"/>
    </row>
    <row r="865" customFormat="false" ht="14.25" hidden="false" customHeight="true" outlineLevel="0" collapsed="false">
      <c r="D865" s="28"/>
      <c r="E865" s="28"/>
    </row>
    <row r="866" customFormat="false" ht="14.25" hidden="false" customHeight="true" outlineLevel="0" collapsed="false">
      <c r="D866" s="28"/>
      <c r="E866" s="28"/>
    </row>
    <row r="867" customFormat="false" ht="14.25" hidden="false" customHeight="true" outlineLevel="0" collapsed="false">
      <c r="D867" s="28"/>
      <c r="E867" s="28"/>
    </row>
    <row r="868" customFormat="false" ht="14.25" hidden="false" customHeight="true" outlineLevel="0" collapsed="false">
      <c r="D868" s="28"/>
      <c r="E868" s="28"/>
    </row>
    <row r="869" customFormat="false" ht="14.25" hidden="false" customHeight="true" outlineLevel="0" collapsed="false">
      <c r="D869" s="28"/>
      <c r="E869" s="28"/>
    </row>
    <row r="870" customFormat="false" ht="14.25" hidden="false" customHeight="true" outlineLevel="0" collapsed="false">
      <c r="D870" s="28"/>
      <c r="E870" s="28"/>
    </row>
    <row r="871" customFormat="false" ht="14.25" hidden="false" customHeight="true" outlineLevel="0" collapsed="false">
      <c r="D871" s="28"/>
      <c r="E871" s="28"/>
    </row>
    <row r="872" customFormat="false" ht="14.25" hidden="false" customHeight="true" outlineLevel="0" collapsed="false">
      <c r="D872" s="28"/>
      <c r="E872" s="28"/>
    </row>
    <row r="873" customFormat="false" ht="14.25" hidden="false" customHeight="true" outlineLevel="0" collapsed="false">
      <c r="D873" s="28"/>
      <c r="E873" s="28"/>
    </row>
    <row r="874" customFormat="false" ht="14.25" hidden="false" customHeight="true" outlineLevel="0" collapsed="false">
      <c r="D874" s="28"/>
      <c r="E874" s="28"/>
    </row>
    <row r="875" customFormat="false" ht="14.25" hidden="false" customHeight="true" outlineLevel="0" collapsed="false">
      <c r="D875" s="28"/>
      <c r="E875" s="28"/>
    </row>
    <row r="876" customFormat="false" ht="14.25" hidden="false" customHeight="true" outlineLevel="0" collapsed="false">
      <c r="D876" s="28"/>
      <c r="E876" s="28"/>
    </row>
    <row r="877" customFormat="false" ht="14.25" hidden="false" customHeight="true" outlineLevel="0" collapsed="false">
      <c r="D877" s="28"/>
      <c r="E877" s="28"/>
    </row>
    <row r="878" customFormat="false" ht="14.25" hidden="false" customHeight="true" outlineLevel="0" collapsed="false">
      <c r="D878" s="28"/>
      <c r="E878" s="28"/>
    </row>
    <row r="879" customFormat="false" ht="14.25" hidden="false" customHeight="true" outlineLevel="0" collapsed="false">
      <c r="D879" s="28"/>
      <c r="E879" s="28"/>
    </row>
    <row r="880" customFormat="false" ht="14.25" hidden="false" customHeight="true" outlineLevel="0" collapsed="false">
      <c r="D880" s="28"/>
      <c r="E880" s="28"/>
    </row>
    <row r="881" customFormat="false" ht="14.25" hidden="false" customHeight="true" outlineLevel="0" collapsed="false">
      <c r="D881" s="28"/>
      <c r="E881" s="28"/>
    </row>
    <row r="882" customFormat="false" ht="14.25" hidden="false" customHeight="true" outlineLevel="0" collapsed="false">
      <c r="D882" s="28"/>
      <c r="E882" s="28"/>
    </row>
    <row r="883" customFormat="false" ht="14.25" hidden="false" customHeight="true" outlineLevel="0" collapsed="false">
      <c r="D883" s="28"/>
      <c r="E883" s="28"/>
    </row>
    <row r="884" customFormat="false" ht="14.25" hidden="false" customHeight="true" outlineLevel="0" collapsed="false">
      <c r="D884" s="28"/>
      <c r="E884" s="28"/>
    </row>
    <row r="885" customFormat="false" ht="14.25" hidden="false" customHeight="true" outlineLevel="0" collapsed="false">
      <c r="D885" s="28"/>
      <c r="E885" s="28"/>
    </row>
    <row r="886" customFormat="false" ht="14.25" hidden="false" customHeight="true" outlineLevel="0" collapsed="false">
      <c r="D886" s="28"/>
      <c r="E886" s="28"/>
    </row>
    <row r="887" customFormat="false" ht="14.25" hidden="false" customHeight="true" outlineLevel="0" collapsed="false">
      <c r="D887" s="28"/>
      <c r="E887" s="28"/>
    </row>
    <row r="888" customFormat="false" ht="14.25" hidden="false" customHeight="true" outlineLevel="0" collapsed="false">
      <c r="D888" s="28"/>
      <c r="E888" s="28"/>
    </row>
    <row r="889" customFormat="false" ht="14.25" hidden="false" customHeight="true" outlineLevel="0" collapsed="false">
      <c r="D889" s="28"/>
      <c r="E889" s="28"/>
    </row>
    <row r="890" customFormat="false" ht="14.25" hidden="false" customHeight="true" outlineLevel="0" collapsed="false">
      <c r="D890" s="28"/>
      <c r="E890" s="28"/>
    </row>
    <row r="891" customFormat="false" ht="14.25" hidden="false" customHeight="true" outlineLevel="0" collapsed="false">
      <c r="D891" s="28"/>
      <c r="E891" s="28"/>
    </row>
    <row r="892" customFormat="false" ht="14.25" hidden="false" customHeight="true" outlineLevel="0" collapsed="false">
      <c r="D892" s="28"/>
      <c r="E892" s="28"/>
    </row>
    <row r="893" customFormat="false" ht="14.25" hidden="false" customHeight="true" outlineLevel="0" collapsed="false">
      <c r="D893" s="28"/>
      <c r="E893" s="28"/>
    </row>
    <row r="894" customFormat="false" ht="14.25" hidden="false" customHeight="true" outlineLevel="0" collapsed="false">
      <c r="D894" s="28"/>
      <c r="E894" s="28"/>
    </row>
    <row r="895" customFormat="false" ht="14.25" hidden="false" customHeight="true" outlineLevel="0" collapsed="false">
      <c r="D895" s="28"/>
      <c r="E895" s="28"/>
    </row>
    <row r="896" customFormat="false" ht="14.25" hidden="false" customHeight="true" outlineLevel="0" collapsed="false">
      <c r="D896" s="28"/>
      <c r="E896" s="28"/>
    </row>
    <row r="897" customFormat="false" ht="14.25" hidden="false" customHeight="true" outlineLevel="0" collapsed="false">
      <c r="D897" s="28"/>
      <c r="E897" s="28"/>
    </row>
    <row r="898" customFormat="false" ht="14.25" hidden="false" customHeight="true" outlineLevel="0" collapsed="false">
      <c r="D898" s="28"/>
      <c r="E898" s="28"/>
    </row>
    <row r="899" customFormat="false" ht="14.25" hidden="false" customHeight="true" outlineLevel="0" collapsed="false">
      <c r="D899" s="28"/>
      <c r="E899" s="28"/>
    </row>
    <row r="900" customFormat="false" ht="14.25" hidden="false" customHeight="true" outlineLevel="0" collapsed="false">
      <c r="D900" s="28"/>
      <c r="E900" s="28"/>
    </row>
    <row r="901" customFormat="false" ht="14.25" hidden="false" customHeight="true" outlineLevel="0" collapsed="false">
      <c r="D901" s="28"/>
      <c r="E901" s="28"/>
    </row>
    <row r="902" customFormat="false" ht="14.25" hidden="false" customHeight="true" outlineLevel="0" collapsed="false">
      <c r="D902" s="28"/>
      <c r="E902" s="28"/>
    </row>
    <row r="903" customFormat="false" ht="14.25" hidden="false" customHeight="true" outlineLevel="0" collapsed="false">
      <c r="D903" s="28"/>
      <c r="E903" s="28"/>
    </row>
    <row r="904" customFormat="false" ht="14.25" hidden="false" customHeight="true" outlineLevel="0" collapsed="false">
      <c r="D904" s="28"/>
      <c r="E904" s="28"/>
    </row>
    <row r="905" customFormat="false" ht="14.25" hidden="false" customHeight="true" outlineLevel="0" collapsed="false">
      <c r="D905" s="28"/>
      <c r="E905" s="28"/>
    </row>
    <row r="906" customFormat="false" ht="14.25" hidden="false" customHeight="true" outlineLevel="0" collapsed="false">
      <c r="D906" s="28"/>
      <c r="E906" s="28"/>
    </row>
    <row r="907" customFormat="false" ht="14.25" hidden="false" customHeight="true" outlineLevel="0" collapsed="false">
      <c r="D907" s="28"/>
      <c r="E907" s="28"/>
    </row>
    <row r="908" customFormat="false" ht="14.25" hidden="false" customHeight="true" outlineLevel="0" collapsed="false">
      <c r="D908" s="28"/>
      <c r="E908" s="28"/>
    </row>
    <row r="909" customFormat="false" ht="14.25" hidden="false" customHeight="true" outlineLevel="0" collapsed="false">
      <c r="D909" s="28"/>
      <c r="E909" s="28"/>
    </row>
    <row r="910" customFormat="false" ht="14.25" hidden="false" customHeight="true" outlineLevel="0" collapsed="false">
      <c r="D910" s="28"/>
      <c r="E910" s="28"/>
    </row>
    <row r="911" customFormat="false" ht="14.25" hidden="false" customHeight="true" outlineLevel="0" collapsed="false">
      <c r="D911" s="28"/>
      <c r="E911" s="28"/>
    </row>
    <row r="912" customFormat="false" ht="14.25" hidden="false" customHeight="true" outlineLevel="0" collapsed="false">
      <c r="D912" s="28"/>
      <c r="E912" s="28"/>
    </row>
    <row r="913" customFormat="false" ht="14.25" hidden="false" customHeight="true" outlineLevel="0" collapsed="false">
      <c r="D913" s="28"/>
      <c r="E913" s="28"/>
    </row>
    <row r="914" customFormat="false" ht="14.25" hidden="false" customHeight="true" outlineLevel="0" collapsed="false">
      <c r="D914" s="28"/>
      <c r="E914" s="28"/>
    </row>
    <row r="915" customFormat="false" ht="14.25" hidden="false" customHeight="true" outlineLevel="0" collapsed="false">
      <c r="D915" s="28"/>
      <c r="E915" s="28"/>
    </row>
    <row r="916" customFormat="false" ht="14.25" hidden="false" customHeight="true" outlineLevel="0" collapsed="false">
      <c r="D916" s="28"/>
      <c r="E916" s="28"/>
    </row>
    <row r="917" customFormat="false" ht="14.25" hidden="false" customHeight="true" outlineLevel="0" collapsed="false">
      <c r="D917" s="28"/>
      <c r="E917" s="28"/>
    </row>
    <row r="918" customFormat="false" ht="14.25" hidden="false" customHeight="true" outlineLevel="0" collapsed="false">
      <c r="D918" s="28"/>
      <c r="E918" s="28"/>
    </row>
    <row r="919" customFormat="false" ht="14.25" hidden="false" customHeight="true" outlineLevel="0" collapsed="false">
      <c r="D919" s="28"/>
      <c r="E919" s="28"/>
    </row>
    <row r="920" customFormat="false" ht="14.25" hidden="false" customHeight="true" outlineLevel="0" collapsed="false">
      <c r="D920" s="28"/>
      <c r="E920" s="28"/>
    </row>
    <row r="921" customFormat="false" ht="14.25" hidden="false" customHeight="true" outlineLevel="0" collapsed="false">
      <c r="D921" s="28"/>
      <c r="E921" s="28"/>
    </row>
    <row r="922" customFormat="false" ht="14.25" hidden="false" customHeight="true" outlineLevel="0" collapsed="false">
      <c r="D922" s="28"/>
      <c r="E922" s="28"/>
    </row>
    <row r="923" customFormat="false" ht="14.25" hidden="false" customHeight="true" outlineLevel="0" collapsed="false">
      <c r="D923" s="28"/>
      <c r="E923" s="28"/>
    </row>
    <row r="924" customFormat="false" ht="14.25" hidden="false" customHeight="true" outlineLevel="0" collapsed="false">
      <c r="D924" s="28"/>
      <c r="E924" s="28"/>
    </row>
    <row r="925" customFormat="false" ht="14.25" hidden="false" customHeight="true" outlineLevel="0" collapsed="false">
      <c r="D925" s="28"/>
      <c r="E925" s="28"/>
    </row>
    <row r="926" customFormat="false" ht="14.25" hidden="false" customHeight="true" outlineLevel="0" collapsed="false">
      <c r="D926" s="28"/>
      <c r="E926" s="28"/>
    </row>
    <row r="927" customFormat="false" ht="14.25" hidden="false" customHeight="true" outlineLevel="0" collapsed="false">
      <c r="D927" s="28"/>
      <c r="E927" s="28"/>
    </row>
    <row r="928" customFormat="false" ht="14.25" hidden="false" customHeight="true" outlineLevel="0" collapsed="false">
      <c r="D928" s="28"/>
      <c r="E928" s="28"/>
    </row>
    <row r="929" customFormat="false" ht="14.25" hidden="false" customHeight="true" outlineLevel="0" collapsed="false">
      <c r="D929" s="28"/>
      <c r="E929" s="28"/>
    </row>
    <row r="930" customFormat="false" ht="14.25" hidden="false" customHeight="true" outlineLevel="0" collapsed="false">
      <c r="D930" s="28"/>
      <c r="E930" s="28"/>
    </row>
    <row r="931" customFormat="false" ht="14.25" hidden="false" customHeight="true" outlineLevel="0" collapsed="false">
      <c r="D931" s="28"/>
      <c r="E931" s="28"/>
    </row>
    <row r="932" customFormat="false" ht="14.25" hidden="false" customHeight="true" outlineLevel="0" collapsed="false">
      <c r="D932" s="28"/>
      <c r="E932" s="28"/>
    </row>
    <row r="933" customFormat="false" ht="14.25" hidden="false" customHeight="true" outlineLevel="0" collapsed="false">
      <c r="D933" s="28"/>
      <c r="E933" s="28"/>
    </row>
    <row r="934" customFormat="false" ht="14.25" hidden="false" customHeight="true" outlineLevel="0" collapsed="false">
      <c r="D934" s="28"/>
      <c r="E934" s="28"/>
    </row>
    <row r="935" customFormat="false" ht="14.25" hidden="false" customHeight="true" outlineLevel="0" collapsed="false">
      <c r="D935" s="28"/>
      <c r="E935" s="28"/>
    </row>
    <row r="936" customFormat="false" ht="14.25" hidden="false" customHeight="true" outlineLevel="0" collapsed="false">
      <c r="D936" s="28"/>
      <c r="E936" s="28"/>
    </row>
    <row r="937" customFormat="false" ht="14.25" hidden="false" customHeight="true" outlineLevel="0" collapsed="false">
      <c r="D937" s="28"/>
      <c r="E937" s="28"/>
    </row>
    <row r="938" customFormat="false" ht="14.25" hidden="false" customHeight="true" outlineLevel="0" collapsed="false">
      <c r="D938" s="28"/>
      <c r="E938" s="28"/>
    </row>
    <row r="939" customFormat="false" ht="14.25" hidden="false" customHeight="true" outlineLevel="0" collapsed="false">
      <c r="D939" s="28"/>
      <c r="E939" s="28"/>
    </row>
    <row r="940" customFormat="false" ht="14.25" hidden="false" customHeight="true" outlineLevel="0" collapsed="false">
      <c r="D940" s="28"/>
      <c r="E940" s="28"/>
    </row>
    <row r="941" customFormat="false" ht="14.25" hidden="false" customHeight="true" outlineLevel="0" collapsed="false">
      <c r="D941" s="28"/>
      <c r="E941" s="28"/>
    </row>
    <row r="942" customFormat="false" ht="14.25" hidden="false" customHeight="true" outlineLevel="0" collapsed="false">
      <c r="D942" s="28"/>
      <c r="E942" s="28"/>
    </row>
    <row r="943" customFormat="false" ht="14.25" hidden="false" customHeight="true" outlineLevel="0" collapsed="false">
      <c r="D943" s="28"/>
      <c r="E943" s="28"/>
    </row>
    <row r="944" customFormat="false" ht="14.25" hidden="false" customHeight="true" outlineLevel="0" collapsed="false">
      <c r="D944" s="28"/>
      <c r="E944" s="28"/>
    </row>
    <row r="945" customFormat="false" ht="14.25" hidden="false" customHeight="true" outlineLevel="0" collapsed="false">
      <c r="D945" s="28"/>
      <c r="E945" s="28"/>
    </row>
    <row r="946" customFormat="false" ht="14.25" hidden="false" customHeight="true" outlineLevel="0" collapsed="false">
      <c r="D946" s="28"/>
      <c r="E946" s="28"/>
    </row>
    <row r="947" customFormat="false" ht="14.25" hidden="false" customHeight="true" outlineLevel="0" collapsed="false">
      <c r="D947" s="28"/>
      <c r="E947" s="28"/>
    </row>
    <row r="948" customFormat="false" ht="14.25" hidden="false" customHeight="true" outlineLevel="0" collapsed="false">
      <c r="D948" s="28"/>
      <c r="E948" s="28"/>
    </row>
    <row r="949" customFormat="false" ht="14.25" hidden="false" customHeight="true" outlineLevel="0" collapsed="false">
      <c r="D949" s="28"/>
      <c r="E949" s="28"/>
    </row>
    <row r="950" customFormat="false" ht="14.25" hidden="false" customHeight="true" outlineLevel="0" collapsed="false">
      <c r="D950" s="28"/>
      <c r="E950" s="28"/>
    </row>
    <row r="951" customFormat="false" ht="14.25" hidden="false" customHeight="true" outlineLevel="0" collapsed="false">
      <c r="D951" s="28"/>
      <c r="E951" s="28"/>
    </row>
    <row r="952" customFormat="false" ht="14.25" hidden="false" customHeight="true" outlineLevel="0" collapsed="false">
      <c r="D952" s="28"/>
      <c r="E952" s="28"/>
    </row>
    <row r="953" customFormat="false" ht="14.25" hidden="false" customHeight="true" outlineLevel="0" collapsed="false">
      <c r="D953" s="28"/>
      <c r="E953" s="28"/>
    </row>
    <row r="954" customFormat="false" ht="14.25" hidden="false" customHeight="true" outlineLevel="0" collapsed="false">
      <c r="D954" s="28"/>
      <c r="E954" s="28"/>
    </row>
    <row r="955" customFormat="false" ht="14.25" hidden="false" customHeight="true" outlineLevel="0" collapsed="false">
      <c r="D955" s="28"/>
      <c r="E955" s="28"/>
    </row>
    <row r="956" customFormat="false" ht="14.25" hidden="false" customHeight="true" outlineLevel="0" collapsed="false">
      <c r="D956" s="28"/>
      <c r="E956" s="28"/>
    </row>
    <row r="957" customFormat="false" ht="14.25" hidden="false" customHeight="true" outlineLevel="0" collapsed="false">
      <c r="D957" s="28"/>
      <c r="E957" s="28"/>
    </row>
    <row r="958" customFormat="false" ht="14.25" hidden="false" customHeight="true" outlineLevel="0" collapsed="false">
      <c r="D958" s="28"/>
      <c r="E958" s="28"/>
    </row>
    <row r="959" customFormat="false" ht="14.25" hidden="false" customHeight="true" outlineLevel="0" collapsed="false">
      <c r="D959" s="28"/>
      <c r="E959" s="28"/>
    </row>
    <row r="960" customFormat="false" ht="14.25" hidden="false" customHeight="true" outlineLevel="0" collapsed="false">
      <c r="D960" s="28"/>
      <c r="E960" s="28"/>
    </row>
    <row r="961" customFormat="false" ht="14.25" hidden="false" customHeight="true" outlineLevel="0" collapsed="false">
      <c r="D961" s="28"/>
      <c r="E961" s="28"/>
    </row>
    <row r="962" customFormat="false" ht="14.25" hidden="false" customHeight="true" outlineLevel="0" collapsed="false">
      <c r="D962" s="28"/>
      <c r="E962" s="28"/>
    </row>
    <row r="963" customFormat="false" ht="14.25" hidden="false" customHeight="true" outlineLevel="0" collapsed="false">
      <c r="D963" s="28"/>
      <c r="E963" s="28"/>
    </row>
    <row r="964" customFormat="false" ht="14.25" hidden="false" customHeight="true" outlineLevel="0" collapsed="false">
      <c r="D964" s="28"/>
      <c r="E964" s="28"/>
    </row>
    <row r="965" customFormat="false" ht="14.25" hidden="false" customHeight="true" outlineLevel="0" collapsed="false">
      <c r="D965" s="28"/>
      <c r="E965" s="28"/>
    </row>
    <row r="966" customFormat="false" ht="14.25" hidden="false" customHeight="true" outlineLevel="0" collapsed="false">
      <c r="D966" s="28"/>
      <c r="E966" s="28"/>
    </row>
    <row r="967" customFormat="false" ht="14.25" hidden="false" customHeight="true" outlineLevel="0" collapsed="false">
      <c r="D967" s="28"/>
      <c r="E967" s="28"/>
    </row>
    <row r="968" customFormat="false" ht="14.25" hidden="false" customHeight="true" outlineLevel="0" collapsed="false">
      <c r="D968" s="28"/>
      <c r="E968" s="28"/>
    </row>
    <row r="969" customFormat="false" ht="14.25" hidden="false" customHeight="true" outlineLevel="0" collapsed="false">
      <c r="D969" s="28"/>
      <c r="E969" s="28"/>
    </row>
    <row r="970" customFormat="false" ht="14.25" hidden="false" customHeight="true" outlineLevel="0" collapsed="false">
      <c r="D970" s="28"/>
      <c r="E970" s="28"/>
    </row>
    <row r="971" customFormat="false" ht="14.25" hidden="false" customHeight="true" outlineLevel="0" collapsed="false">
      <c r="D971" s="28"/>
      <c r="E971" s="28"/>
    </row>
    <row r="972" customFormat="false" ht="14.25" hidden="false" customHeight="true" outlineLevel="0" collapsed="false">
      <c r="D972" s="28"/>
      <c r="E972" s="28"/>
    </row>
    <row r="973" customFormat="false" ht="14.25" hidden="false" customHeight="true" outlineLevel="0" collapsed="false">
      <c r="D973" s="28"/>
      <c r="E973" s="28"/>
    </row>
    <row r="974" customFormat="false" ht="14.25" hidden="false" customHeight="true" outlineLevel="0" collapsed="false">
      <c r="D974" s="28"/>
      <c r="E974" s="28"/>
    </row>
    <row r="975" customFormat="false" ht="14.25" hidden="false" customHeight="true" outlineLevel="0" collapsed="false">
      <c r="D975" s="28"/>
      <c r="E975" s="28"/>
    </row>
    <row r="976" customFormat="false" ht="14.25" hidden="false" customHeight="true" outlineLevel="0" collapsed="false">
      <c r="D976" s="28"/>
      <c r="E976" s="28"/>
    </row>
    <row r="977" customFormat="false" ht="14.25" hidden="false" customHeight="true" outlineLevel="0" collapsed="false">
      <c r="D977" s="28"/>
      <c r="E977" s="28"/>
    </row>
    <row r="978" customFormat="false" ht="14.25" hidden="false" customHeight="true" outlineLevel="0" collapsed="false">
      <c r="D978" s="28"/>
      <c r="E978" s="28"/>
    </row>
    <row r="979" customFormat="false" ht="14.25" hidden="false" customHeight="true" outlineLevel="0" collapsed="false">
      <c r="D979" s="28"/>
      <c r="E979" s="28"/>
    </row>
    <row r="980" customFormat="false" ht="14.25" hidden="false" customHeight="true" outlineLevel="0" collapsed="false">
      <c r="D980" s="28"/>
      <c r="E980" s="28"/>
    </row>
    <row r="981" customFormat="false" ht="14.25" hidden="false" customHeight="true" outlineLevel="0" collapsed="false">
      <c r="D981" s="28"/>
      <c r="E981" s="28"/>
    </row>
    <row r="982" customFormat="false" ht="14.25" hidden="false" customHeight="true" outlineLevel="0" collapsed="false">
      <c r="D982" s="28"/>
      <c r="E982" s="28"/>
    </row>
    <row r="983" customFormat="false" ht="14.25" hidden="false" customHeight="true" outlineLevel="0" collapsed="false">
      <c r="D983" s="28"/>
      <c r="E983" s="28"/>
    </row>
    <row r="984" customFormat="false" ht="14.25" hidden="false" customHeight="true" outlineLevel="0" collapsed="false">
      <c r="D984" s="28"/>
      <c r="E984" s="28"/>
    </row>
    <row r="985" customFormat="false" ht="14.25" hidden="false" customHeight="true" outlineLevel="0" collapsed="false">
      <c r="D985" s="28"/>
      <c r="E985" s="28"/>
    </row>
    <row r="986" customFormat="false" ht="14.25" hidden="false" customHeight="true" outlineLevel="0" collapsed="false">
      <c r="D986" s="28"/>
      <c r="E986" s="28"/>
    </row>
    <row r="987" customFormat="false" ht="14.25" hidden="false" customHeight="true" outlineLevel="0" collapsed="false">
      <c r="D987" s="28"/>
      <c r="E987" s="28"/>
    </row>
    <row r="988" customFormat="false" ht="14.25" hidden="false" customHeight="true" outlineLevel="0" collapsed="false">
      <c r="D988" s="28"/>
      <c r="E988" s="28"/>
    </row>
    <row r="989" customFormat="false" ht="14.25" hidden="false" customHeight="true" outlineLevel="0" collapsed="false">
      <c r="D989" s="28"/>
      <c r="E989" s="28"/>
    </row>
    <row r="990" customFormat="false" ht="14.25" hidden="false" customHeight="true" outlineLevel="0" collapsed="false">
      <c r="D990" s="28"/>
      <c r="E990" s="28"/>
    </row>
    <row r="991" customFormat="false" ht="14.25" hidden="false" customHeight="true" outlineLevel="0" collapsed="false">
      <c r="D991" s="28"/>
      <c r="E991" s="28"/>
    </row>
    <row r="992" customFormat="false" ht="14.25" hidden="false" customHeight="true" outlineLevel="0" collapsed="false">
      <c r="D992" s="28"/>
      <c r="E992" s="28"/>
    </row>
    <row r="993" customFormat="false" ht="14.25" hidden="false" customHeight="true" outlineLevel="0" collapsed="false">
      <c r="D993" s="28"/>
      <c r="E993" s="28"/>
    </row>
    <row r="994" customFormat="false" ht="14.25" hidden="false" customHeight="true" outlineLevel="0" collapsed="false">
      <c r="D994" s="28"/>
      <c r="E994" s="28"/>
    </row>
    <row r="995" customFormat="false" ht="14.25" hidden="false" customHeight="true" outlineLevel="0" collapsed="false">
      <c r="D995" s="28"/>
      <c r="E995" s="28"/>
    </row>
    <row r="996" customFormat="false" ht="14.25" hidden="false" customHeight="true" outlineLevel="0" collapsed="false">
      <c r="D996" s="28"/>
      <c r="E996" s="28"/>
    </row>
    <row r="997" customFormat="false" ht="14.25" hidden="false" customHeight="true" outlineLevel="0" collapsed="false">
      <c r="D997" s="28"/>
      <c r="E997" s="28"/>
    </row>
    <row r="998" customFormat="false" ht="14.25" hidden="false" customHeight="true" outlineLevel="0" collapsed="false">
      <c r="D998" s="28"/>
      <c r="E998" s="28"/>
    </row>
    <row r="999" customFormat="false" ht="14.25" hidden="false" customHeight="true" outlineLevel="0" collapsed="false">
      <c r="D999" s="28"/>
      <c r="E999" s="28"/>
    </row>
    <row r="1000" customFormat="false" ht="14.25" hidden="false" customHeight="true" outlineLevel="0" collapsed="false">
      <c r="D1000" s="28"/>
      <c r="E1000" s="28"/>
    </row>
  </sheetData>
  <dataValidations count="2">
    <dataValidation allowBlank="false" error="Select a value from the approved list." errorStyle="stop" errorTitle="Invalid value" operator="between" showDropDown="false" showErrorMessage="true" showInputMessage="false" sqref="D2:D1000" type="list">
      <formula1>TierList</formula1>
      <formula2>0</formula2>
    </dataValidation>
    <dataValidation allowBlank="false" error="Select a value from the approved list." errorStyle="stop" errorTitle="Invalid value" operator="between" showDropDown="false" showErrorMessage="true" showInputMessage="false" sqref="E2:E1000" type="list">
      <formula1>YesNoList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sheetData>
    <row r="1" customFormat="false" ht="14.25" hidden="false" customHeight="true" outlineLevel="0" collapsed="false">
      <c r="A1" s="27" t="s">
        <v>20</v>
      </c>
      <c r="B1" s="27" t="s">
        <v>459</v>
      </c>
      <c r="C1" s="27" t="s">
        <v>460</v>
      </c>
      <c r="D1" s="27" t="s">
        <v>461</v>
      </c>
      <c r="E1" s="27" t="s">
        <v>462</v>
      </c>
      <c r="F1" s="27" t="s">
        <v>463</v>
      </c>
    </row>
    <row r="2" customFormat="false" ht="14.25" hidden="false" customHeight="true" outlineLevel="0" collapsed="false">
      <c r="A2" s="1" t="n">
        <v>1</v>
      </c>
      <c r="B2" s="28" t="s">
        <v>464</v>
      </c>
    </row>
    <row r="3" customFormat="false" ht="14.25" hidden="false" customHeight="true" outlineLevel="0" collapsed="false">
      <c r="A3" s="1" t="n">
        <v>2</v>
      </c>
      <c r="B3" s="28" t="s">
        <v>464</v>
      </c>
    </row>
    <row r="4" customFormat="false" ht="14.25" hidden="false" customHeight="true" outlineLevel="0" collapsed="false">
      <c r="A4" s="1" t="n">
        <v>3</v>
      </c>
      <c r="B4" s="28" t="s">
        <v>465</v>
      </c>
    </row>
    <row r="5" customFormat="false" ht="14.25" hidden="false" customHeight="true" outlineLevel="0" collapsed="false">
      <c r="A5" s="1" t="n">
        <v>4</v>
      </c>
      <c r="B5" s="28" t="s">
        <v>465</v>
      </c>
    </row>
    <row r="6" customFormat="false" ht="14.25" hidden="false" customHeight="true" outlineLevel="0" collapsed="false">
      <c r="A6" s="1" t="n">
        <v>5</v>
      </c>
      <c r="B6" s="28" t="s">
        <v>466</v>
      </c>
    </row>
    <row r="7" customFormat="false" ht="14.25" hidden="false" customHeight="true" outlineLevel="0" collapsed="false">
      <c r="A7" s="1" t="n">
        <v>6</v>
      </c>
      <c r="B7" s="28"/>
    </row>
    <row r="8" customFormat="false" ht="14.25" hidden="false" customHeight="true" outlineLevel="0" collapsed="false">
      <c r="A8" s="1" t="n">
        <v>7</v>
      </c>
      <c r="B8" s="28"/>
    </row>
    <row r="9" customFormat="false" ht="14.25" hidden="false" customHeight="true" outlineLevel="0" collapsed="false">
      <c r="A9" s="1" t="n">
        <v>8</v>
      </c>
      <c r="B9" s="28" t="s">
        <v>466</v>
      </c>
      <c r="C9" s="28" t="s">
        <v>467</v>
      </c>
      <c r="D9" s="28" t="s">
        <v>465</v>
      </c>
    </row>
    <row r="10" customFormat="false" ht="14.25" hidden="false" customHeight="true" outlineLevel="0" collapsed="false">
      <c r="A10" s="1" t="n">
        <v>9</v>
      </c>
      <c r="B10" s="28" t="s">
        <v>468</v>
      </c>
    </row>
    <row r="11" customFormat="false" ht="14.25" hidden="false" customHeight="true" outlineLevel="0" collapsed="false">
      <c r="A11" s="1" t="n">
        <v>10</v>
      </c>
      <c r="B11" s="28"/>
    </row>
    <row r="12" customFormat="false" ht="14.25" hidden="false" customHeight="true" outlineLevel="0" collapsed="false">
      <c r="A12" s="1" t="n">
        <v>11</v>
      </c>
      <c r="B12" s="28"/>
    </row>
    <row r="13" customFormat="false" ht="14.25" hidden="false" customHeight="true" outlineLevel="0" collapsed="false">
      <c r="A13" s="1" t="n">
        <v>12</v>
      </c>
      <c r="B13" s="28"/>
    </row>
    <row r="14" customFormat="false" ht="14.25" hidden="false" customHeight="true" outlineLevel="0" collapsed="false">
      <c r="A14" s="1" t="n">
        <v>13</v>
      </c>
      <c r="B14" s="28"/>
    </row>
    <row r="15" customFormat="false" ht="14.25" hidden="false" customHeight="true" outlineLevel="0" collapsed="false">
      <c r="A15" s="1" t="n">
        <v>14</v>
      </c>
      <c r="B15" s="28" t="s">
        <v>469</v>
      </c>
      <c r="C15" s="28" t="s">
        <v>470</v>
      </c>
    </row>
    <row r="16" customFormat="false" ht="14.25" hidden="false" customHeight="true" outlineLevel="0" collapsed="false">
      <c r="A16" s="1" t="n">
        <v>15</v>
      </c>
      <c r="B16" s="28" t="s">
        <v>471</v>
      </c>
      <c r="C16" s="28" t="s">
        <v>469</v>
      </c>
      <c r="D16" s="28" t="s">
        <v>470</v>
      </c>
    </row>
    <row r="17" customFormat="false" ht="14.25" hidden="false" customHeight="true" outlineLevel="0" collapsed="false">
      <c r="A17" s="1" t="n">
        <v>16</v>
      </c>
      <c r="B17" s="28" t="s">
        <v>470</v>
      </c>
    </row>
    <row r="18" customFormat="false" ht="14.25" hidden="false" customHeight="true" outlineLevel="0" collapsed="false">
      <c r="A18" s="1" t="n">
        <v>17</v>
      </c>
      <c r="B18" s="28" t="s">
        <v>469</v>
      </c>
      <c r="C18" s="28" t="s">
        <v>472</v>
      </c>
      <c r="D18" s="28" t="s">
        <v>471</v>
      </c>
    </row>
    <row r="19" customFormat="false" ht="14.25" hidden="false" customHeight="true" outlineLevel="0" collapsed="false">
      <c r="A19" s="1" t="n">
        <v>18</v>
      </c>
      <c r="B19" s="28" t="s">
        <v>473</v>
      </c>
      <c r="C19" s="28" t="s">
        <v>474</v>
      </c>
      <c r="D19" s="28" t="s">
        <v>475</v>
      </c>
    </row>
    <row r="20" customFormat="false" ht="14.25" hidden="false" customHeight="true" outlineLevel="0" collapsed="false">
      <c r="A20" s="1" t="n">
        <v>19</v>
      </c>
      <c r="B20" s="28" t="s">
        <v>474</v>
      </c>
      <c r="C20" s="28" t="s">
        <v>475</v>
      </c>
    </row>
    <row r="21" customFormat="false" ht="14.25" hidden="false" customHeight="true" outlineLevel="0" collapsed="false">
      <c r="A21" s="1" t="n">
        <v>20</v>
      </c>
      <c r="B21" s="28" t="s">
        <v>475</v>
      </c>
    </row>
    <row r="22" customFormat="false" ht="14.25" hidden="false" customHeight="true" outlineLevel="0" collapsed="false">
      <c r="A22" s="1" t="n">
        <v>21</v>
      </c>
      <c r="B22" s="28"/>
    </row>
    <row r="23" customFormat="false" ht="14.25" hidden="false" customHeight="true" outlineLevel="0" collapsed="false">
      <c r="A23" s="1" t="n">
        <v>22</v>
      </c>
      <c r="B23" s="28"/>
    </row>
    <row r="24" customFormat="false" ht="14.25" hidden="false" customHeight="true" outlineLevel="0" collapsed="false">
      <c r="A24" s="1" t="n">
        <v>23</v>
      </c>
      <c r="B24" s="28"/>
    </row>
    <row r="25" customFormat="false" ht="14.25" hidden="false" customHeight="true" outlineLevel="0" collapsed="false">
      <c r="A25" s="1" t="n">
        <v>24</v>
      </c>
      <c r="B25" s="28" t="s">
        <v>476</v>
      </c>
      <c r="C25" s="28" t="s">
        <v>477</v>
      </c>
      <c r="D25" s="28" t="s">
        <v>478</v>
      </c>
      <c r="E25" s="28" t="s">
        <v>479</v>
      </c>
      <c r="F25" s="28" t="s">
        <v>480</v>
      </c>
    </row>
    <row r="26" customFormat="false" ht="14.25" hidden="false" customHeight="true" outlineLevel="0" collapsed="false">
      <c r="A26" s="1" t="n">
        <v>25</v>
      </c>
      <c r="B26" s="28" t="s">
        <v>481</v>
      </c>
      <c r="C26" s="28" t="s">
        <v>482</v>
      </c>
      <c r="D26" s="28" t="s">
        <v>483</v>
      </c>
    </row>
    <row r="27" customFormat="false" ht="14.25" hidden="false" customHeight="true" outlineLevel="0" collapsed="false">
      <c r="A27" s="1" t="n">
        <v>26</v>
      </c>
      <c r="B27" s="28" t="s">
        <v>481</v>
      </c>
      <c r="C27" s="28" t="s">
        <v>483</v>
      </c>
    </row>
    <row r="28" customFormat="false" ht="14.25" hidden="false" customHeight="true" outlineLevel="0" collapsed="false">
      <c r="A28" s="1" t="n">
        <v>27</v>
      </c>
      <c r="B28" s="28"/>
    </row>
    <row r="29" customFormat="false" ht="14.25" hidden="false" customHeight="true" outlineLevel="0" collapsed="false">
      <c r="A29" s="1" t="n">
        <v>28</v>
      </c>
      <c r="B29" s="28"/>
    </row>
    <row r="30" customFormat="false" ht="14.25" hidden="false" customHeight="true" outlineLevel="0" collapsed="false">
      <c r="A30" s="1" t="n">
        <v>29</v>
      </c>
      <c r="B30" s="28"/>
    </row>
    <row r="31" customFormat="false" ht="14.25" hidden="false" customHeight="true" outlineLevel="0" collapsed="false">
      <c r="A31" s="1" t="n">
        <v>30</v>
      </c>
      <c r="B31" s="28" t="s">
        <v>484</v>
      </c>
    </row>
    <row r="32" customFormat="false" ht="14.25" hidden="false" customHeight="true" outlineLevel="0" collapsed="false">
      <c r="A32" s="1" t="n">
        <v>31</v>
      </c>
      <c r="B32" s="28"/>
    </row>
    <row r="33" customFormat="false" ht="14.25" hidden="false" customHeight="true" outlineLevel="0" collapsed="false">
      <c r="A33" s="1" t="n">
        <v>32</v>
      </c>
      <c r="B33" s="28" t="s">
        <v>485</v>
      </c>
    </row>
    <row r="34" customFormat="false" ht="14.25" hidden="false" customHeight="true" outlineLevel="0" collapsed="false">
      <c r="A34" s="1" t="n">
        <v>33</v>
      </c>
      <c r="B34" s="28" t="s">
        <v>485</v>
      </c>
    </row>
    <row r="35" customFormat="false" ht="14.25" hidden="false" customHeight="true" outlineLevel="0" collapsed="false">
      <c r="A35" s="1" t="n">
        <v>34</v>
      </c>
      <c r="B35" s="28"/>
    </row>
    <row r="36" customFormat="false" ht="14.25" hidden="false" customHeight="true" outlineLevel="0" collapsed="false">
      <c r="A36" s="1" t="n">
        <v>35</v>
      </c>
      <c r="B36" s="28" t="s">
        <v>486</v>
      </c>
      <c r="C36" s="28" t="s">
        <v>487</v>
      </c>
    </row>
    <row r="37" customFormat="false" ht="14.25" hidden="false" customHeight="true" outlineLevel="0" collapsed="false">
      <c r="A37" s="1" t="n">
        <v>36</v>
      </c>
      <c r="B37" s="28"/>
    </row>
    <row r="38" customFormat="false" ht="14.25" hidden="false" customHeight="true" outlineLevel="0" collapsed="false">
      <c r="A38" s="1" t="n">
        <v>37</v>
      </c>
      <c r="B38" s="28" t="s">
        <v>488</v>
      </c>
      <c r="C38" s="28" t="s">
        <v>486</v>
      </c>
    </row>
    <row r="39" customFormat="false" ht="14.25" hidden="false" customHeight="true" outlineLevel="0" collapsed="false">
      <c r="A39" s="1" t="n">
        <v>38</v>
      </c>
      <c r="B39" s="28" t="s">
        <v>488</v>
      </c>
      <c r="C39" s="28" t="s">
        <v>486</v>
      </c>
      <c r="D39" s="28" t="s">
        <v>487</v>
      </c>
    </row>
    <row r="40" customFormat="false" ht="14.25" hidden="false" customHeight="true" outlineLevel="0" collapsed="false">
      <c r="A40" s="1" t="n">
        <v>39</v>
      </c>
      <c r="B40" s="28" t="s">
        <v>489</v>
      </c>
    </row>
    <row r="41" customFormat="false" ht="14.25" hidden="false" customHeight="true" outlineLevel="0" collapsed="false">
      <c r="A41" s="1" t="n">
        <v>40</v>
      </c>
      <c r="B41" s="28" t="s">
        <v>490</v>
      </c>
    </row>
    <row r="42" customFormat="false" ht="14.25" hidden="false" customHeight="true" outlineLevel="0" collapsed="false">
      <c r="A42" s="1" t="n">
        <v>41</v>
      </c>
      <c r="B42" s="28"/>
    </row>
    <row r="43" customFormat="false" ht="14.25" hidden="false" customHeight="true" outlineLevel="0" collapsed="false">
      <c r="A43" s="1" t="n">
        <v>42</v>
      </c>
      <c r="B43" s="28"/>
    </row>
    <row r="44" customFormat="false" ht="14.25" hidden="false" customHeight="true" outlineLevel="0" collapsed="false">
      <c r="A44" s="1" t="n">
        <v>43</v>
      </c>
      <c r="B44" s="28"/>
    </row>
    <row r="45" customFormat="false" ht="14.25" hidden="false" customHeight="true" outlineLevel="0" collapsed="false">
      <c r="A45" s="1" t="n">
        <v>44</v>
      </c>
      <c r="B45" s="28"/>
    </row>
    <row r="46" customFormat="false" ht="14.25" hidden="false" customHeight="true" outlineLevel="0" collapsed="false">
      <c r="A46" s="1" t="n">
        <v>45</v>
      </c>
      <c r="B46" s="28"/>
    </row>
    <row r="47" customFormat="false" ht="14.25" hidden="false" customHeight="true" outlineLevel="0" collapsed="false">
      <c r="A47" s="1" t="n">
        <v>46</v>
      </c>
      <c r="B47" s="28" t="s">
        <v>491</v>
      </c>
      <c r="C47" s="28" t="s">
        <v>492</v>
      </c>
      <c r="D47" s="28" t="s">
        <v>477</v>
      </c>
    </row>
    <row r="48" customFormat="false" ht="14.25" hidden="false" customHeight="true" outlineLevel="0" collapsed="false">
      <c r="A48" s="1" t="n">
        <v>47</v>
      </c>
      <c r="B48" s="28" t="s">
        <v>493</v>
      </c>
      <c r="C48" s="28" t="s">
        <v>492</v>
      </c>
      <c r="D48" s="28" t="s">
        <v>477</v>
      </c>
    </row>
    <row r="49" customFormat="false" ht="14.25" hidden="false" customHeight="true" outlineLevel="0" collapsed="false">
      <c r="A49" s="1" t="n">
        <v>48</v>
      </c>
      <c r="B49" s="28" t="s">
        <v>493</v>
      </c>
      <c r="C49" s="28" t="s">
        <v>491</v>
      </c>
      <c r="D49" s="28" t="s">
        <v>477</v>
      </c>
    </row>
    <row r="50" customFormat="false" ht="14.25" hidden="false" customHeight="true" outlineLevel="0" collapsed="false">
      <c r="A50" s="1" t="n">
        <v>49</v>
      </c>
      <c r="B50" s="28" t="s">
        <v>493</v>
      </c>
      <c r="C50" s="28" t="s">
        <v>491</v>
      </c>
      <c r="D50" s="28" t="s">
        <v>492</v>
      </c>
    </row>
    <row r="51" customFormat="false" ht="14.25" hidden="false" customHeight="true" outlineLevel="0" collapsed="false">
      <c r="A51" s="1" t="n">
        <v>50</v>
      </c>
      <c r="B51" s="28" t="s">
        <v>479</v>
      </c>
      <c r="C51" s="28" t="s">
        <v>480</v>
      </c>
    </row>
    <row r="52" customFormat="false" ht="14.25" hidden="false" customHeight="true" outlineLevel="0" collapsed="false">
      <c r="A52" s="1" t="n">
        <v>51</v>
      </c>
      <c r="B52" s="28" t="s">
        <v>478</v>
      </c>
      <c r="C52" s="28" t="s">
        <v>480</v>
      </c>
    </row>
    <row r="53" customFormat="false" ht="14.25" hidden="false" customHeight="true" outlineLevel="0" collapsed="false">
      <c r="A53" s="1" t="n">
        <v>52</v>
      </c>
      <c r="B53" s="28" t="s">
        <v>478</v>
      </c>
      <c r="C53" s="28" t="s">
        <v>479</v>
      </c>
    </row>
    <row r="54" customFormat="false" ht="14.25" hidden="false" customHeight="true" outlineLevel="0" collapsed="false">
      <c r="B54" s="28"/>
    </row>
    <row r="55" customFormat="false" ht="14.25" hidden="false" customHeight="true" outlineLevel="0" collapsed="false">
      <c r="B55" s="28"/>
    </row>
    <row r="56" customFormat="false" ht="14.25" hidden="false" customHeight="true" outlineLevel="0" collapsed="false">
      <c r="B56" s="28"/>
    </row>
    <row r="57" customFormat="false" ht="14.25" hidden="false" customHeight="true" outlineLevel="0" collapsed="false">
      <c r="B57" s="28"/>
    </row>
    <row r="58" customFormat="false" ht="14.25" hidden="false" customHeight="true" outlineLevel="0" collapsed="false">
      <c r="B58" s="28"/>
    </row>
    <row r="59" customFormat="false" ht="14.25" hidden="false" customHeight="true" outlineLevel="0" collapsed="false">
      <c r="B59" s="28"/>
    </row>
    <row r="60" customFormat="false" ht="14.25" hidden="false" customHeight="true" outlineLevel="0" collapsed="false">
      <c r="B60" s="28"/>
    </row>
    <row r="61" customFormat="false" ht="14.25" hidden="false" customHeight="true" outlineLevel="0" collapsed="false">
      <c r="B61" s="28"/>
    </row>
    <row r="62" customFormat="false" ht="14.25" hidden="false" customHeight="true" outlineLevel="0" collapsed="false">
      <c r="B62" s="28"/>
    </row>
    <row r="63" customFormat="false" ht="14.25" hidden="false" customHeight="true" outlineLevel="0" collapsed="false">
      <c r="B63" s="28"/>
    </row>
    <row r="64" customFormat="false" ht="14.25" hidden="false" customHeight="true" outlineLevel="0" collapsed="false">
      <c r="B64" s="28"/>
    </row>
    <row r="65" customFormat="false" ht="14.25" hidden="false" customHeight="true" outlineLevel="0" collapsed="false">
      <c r="B65" s="28"/>
    </row>
    <row r="66" customFormat="false" ht="14.25" hidden="false" customHeight="true" outlineLevel="0" collapsed="false">
      <c r="B66" s="28"/>
    </row>
    <row r="67" customFormat="false" ht="14.25" hidden="false" customHeight="true" outlineLevel="0" collapsed="false">
      <c r="B67" s="28"/>
    </row>
    <row r="68" customFormat="false" ht="14.25" hidden="false" customHeight="true" outlineLevel="0" collapsed="false">
      <c r="B68" s="28"/>
    </row>
    <row r="69" customFormat="false" ht="14.25" hidden="false" customHeight="true" outlineLevel="0" collapsed="false">
      <c r="B69" s="28"/>
    </row>
    <row r="70" customFormat="false" ht="14.25" hidden="false" customHeight="true" outlineLevel="0" collapsed="false">
      <c r="B70" s="28"/>
    </row>
    <row r="71" customFormat="false" ht="14.25" hidden="false" customHeight="true" outlineLevel="0" collapsed="false">
      <c r="B71" s="28"/>
    </row>
    <row r="72" customFormat="false" ht="14.25" hidden="false" customHeight="true" outlineLevel="0" collapsed="false">
      <c r="B72" s="28"/>
    </row>
    <row r="73" customFormat="false" ht="14.25" hidden="false" customHeight="true" outlineLevel="0" collapsed="false">
      <c r="B73" s="28"/>
    </row>
    <row r="74" customFormat="false" ht="14.25" hidden="false" customHeight="true" outlineLevel="0" collapsed="false">
      <c r="B74" s="28"/>
    </row>
    <row r="75" customFormat="false" ht="14.25" hidden="false" customHeight="true" outlineLevel="0" collapsed="false">
      <c r="B75" s="28"/>
    </row>
    <row r="76" customFormat="false" ht="14.25" hidden="false" customHeight="true" outlineLevel="0" collapsed="false">
      <c r="B76" s="28"/>
    </row>
    <row r="77" customFormat="false" ht="14.25" hidden="false" customHeight="true" outlineLevel="0" collapsed="false">
      <c r="B77" s="28"/>
    </row>
    <row r="78" customFormat="false" ht="14.25" hidden="false" customHeight="true" outlineLevel="0" collapsed="false">
      <c r="B78" s="28"/>
    </row>
    <row r="79" customFormat="false" ht="14.25" hidden="false" customHeight="true" outlineLevel="0" collapsed="false">
      <c r="B79" s="28"/>
    </row>
    <row r="80" customFormat="false" ht="14.25" hidden="false" customHeight="true" outlineLevel="0" collapsed="false">
      <c r="B80" s="28"/>
    </row>
    <row r="81" customFormat="false" ht="14.25" hidden="false" customHeight="true" outlineLevel="0" collapsed="false">
      <c r="B81" s="28"/>
    </row>
    <row r="82" customFormat="false" ht="14.25" hidden="false" customHeight="true" outlineLevel="0" collapsed="false">
      <c r="B82" s="28"/>
    </row>
    <row r="83" customFormat="false" ht="14.25" hidden="false" customHeight="true" outlineLevel="0" collapsed="false">
      <c r="B83" s="28"/>
    </row>
    <row r="84" customFormat="false" ht="14.25" hidden="false" customHeight="true" outlineLevel="0" collapsed="false">
      <c r="B84" s="28"/>
    </row>
    <row r="85" customFormat="false" ht="14.25" hidden="false" customHeight="true" outlineLevel="0" collapsed="false">
      <c r="B85" s="28"/>
    </row>
    <row r="86" customFormat="false" ht="14.25" hidden="false" customHeight="true" outlineLevel="0" collapsed="false">
      <c r="B86" s="28"/>
    </row>
    <row r="87" customFormat="false" ht="14.25" hidden="false" customHeight="true" outlineLevel="0" collapsed="false">
      <c r="B87" s="28"/>
    </row>
    <row r="88" customFormat="false" ht="14.25" hidden="false" customHeight="true" outlineLevel="0" collapsed="false">
      <c r="B88" s="28"/>
    </row>
    <row r="89" customFormat="false" ht="14.25" hidden="false" customHeight="true" outlineLevel="0" collapsed="false">
      <c r="B89" s="28"/>
    </row>
    <row r="90" customFormat="false" ht="14.25" hidden="false" customHeight="true" outlineLevel="0" collapsed="false">
      <c r="B90" s="28"/>
    </row>
    <row r="91" customFormat="false" ht="14.25" hidden="false" customHeight="true" outlineLevel="0" collapsed="false">
      <c r="B91" s="28"/>
    </row>
    <row r="92" customFormat="false" ht="14.25" hidden="false" customHeight="true" outlineLevel="0" collapsed="false">
      <c r="B92" s="28"/>
    </row>
    <row r="93" customFormat="false" ht="14.25" hidden="false" customHeight="true" outlineLevel="0" collapsed="false">
      <c r="B93" s="28"/>
    </row>
    <row r="94" customFormat="false" ht="14.25" hidden="false" customHeight="true" outlineLevel="0" collapsed="false">
      <c r="B94" s="28"/>
    </row>
    <row r="95" customFormat="false" ht="14.25" hidden="false" customHeight="true" outlineLevel="0" collapsed="false">
      <c r="B95" s="28"/>
    </row>
    <row r="96" customFormat="false" ht="14.25" hidden="false" customHeight="true" outlineLevel="0" collapsed="false">
      <c r="B96" s="28"/>
    </row>
    <row r="97" customFormat="false" ht="14.25" hidden="false" customHeight="true" outlineLevel="0" collapsed="false">
      <c r="B97" s="28"/>
    </row>
    <row r="98" customFormat="false" ht="14.25" hidden="false" customHeight="true" outlineLevel="0" collapsed="false">
      <c r="B98" s="28"/>
    </row>
    <row r="99" customFormat="false" ht="14.25" hidden="false" customHeight="true" outlineLevel="0" collapsed="false">
      <c r="B99" s="28"/>
    </row>
    <row r="100" customFormat="false" ht="14.25" hidden="false" customHeight="true" outlineLevel="0" collapsed="false">
      <c r="B100" s="28"/>
    </row>
    <row r="101" customFormat="false" ht="14.25" hidden="false" customHeight="true" outlineLevel="0" collapsed="false">
      <c r="B101" s="28"/>
    </row>
    <row r="102" customFormat="false" ht="14.25" hidden="false" customHeight="true" outlineLevel="0" collapsed="false">
      <c r="B102" s="28"/>
    </row>
    <row r="103" customFormat="false" ht="14.25" hidden="false" customHeight="true" outlineLevel="0" collapsed="false">
      <c r="B103" s="28"/>
    </row>
    <row r="104" customFormat="false" ht="14.25" hidden="false" customHeight="true" outlineLevel="0" collapsed="false">
      <c r="B104" s="28"/>
    </row>
    <row r="105" customFormat="false" ht="14.25" hidden="false" customHeight="true" outlineLevel="0" collapsed="false">
      <c r="B105" s="28"/>
    </row>
    <row r="106" customFormat="false" ht="14.25" hidden="false" customHeight="true" outlineLevel="0" collapsed="false">
      <c r="B106" s="28"/>
    </row>
    <row r="107" customFormat="false" ht="14.25" hidden="false" customHeight="true" outlineLevel="0" collapsed="false">
      <c r="B107" s="28"/>
    </row>
    <row r="108" customFormat="false" ht="14.25" hidden="false" customHeight="true" outlineLevel="0" collapsed="false">
      <c r="B108" s="28"/>
    </row>
    <row r="109" customFormat="false" ht="14.25" hidden="false" customHeight="true" outlineLevel="0" collapsed="false">
      <c r="B109" s="28"/>
    </row>
    <row r="110" customFormat="false" ht="14.25" hidden="false" customHeight="true" outlineLevel="0" collapsed="false">
      <c r="B110" s="28"/>
    </row>
    <row r="111" customFormat="false" ht="14.25" hidden="false" customHeight="true" outlineLevel="0" collapsed="false">
      <c r="B111" s="28"/>
    </row>
    <row r="112" customFormat="false" ht="14.25" hidden="false" customHeight="true" outlineLevel="0" collapsed="false">
      <c r="B112" s="28"/>
    </row>
    <row r="113" customFormat="false" ht="14.25" hidden="false" customHeight="true" outlineLevel="0" collapsed="false">
      <c r="B113" s="28"/>
    </row>
    <row r="114" customFormat="false" ht="14.25" hidden="false" customHeight="true" outlineLevel="0" collapsed="false">
      <c r="B114" s="28"/>
    </row>
    <row r="115" customFormat="false" ht="14.25" hidden="false" customHeight="true" outlineLevel="0" collapsed="false">
      <c r="B115" s="28"/>
    </row>
    <row r="116" customFormat="false" ht="14.25" hidden="false" customHeight="true" outlineLevel="0" collapsed="false">
      <c r="B116" s="28"/>
    </row>
    <row r="117" customFormat="false" ht="14.25" hidden="false" customHeight="true" outlineLevel="0" collapsed="false">
      <c r="B117" s="28"/>
    </row>
    <row r="118" customFormat="false" ht="14.25" hidden="false" customHeight="true" outlineLevel="0" collapsed="false">
      <c r="B118" s="28"/>
    </row>
    <row r="119" customFormat="false" ht="14.25" hidden="false" customHeight="true" outlineLevel="0" collapsed="false">
      <c r="B119" s="28"/>
    </row>
    <row r="120" customFormat="false" ht="14.25" hidden="false" customHeight="true" outlineLevel="0" collapsed="false">
      <c r="B120" s="28"/>
    </row>
    <row r="121" customFormat="false" ht="14.25" hidden="false" customHeight="true" outlineLevel="0" collapsed="false">
      <c r="B121" s="28"/>
    </row>
    <row r="122" customFormat="false" ht="14.25" hidden="false" customHeight="true" outlineLevel="0" collapsed="false">
      <c r="B122" s="28"/>
    </row>
    <row r="123" customFormat="false" ht="14.25" hidden="false" customHeight="true" outlineLevel="0" collapsed="false">
      <c r="B123" s="28"/>
    </row>
    <row r="124" customFormat="false" ht="14.25" hidden="false" customHeight="true" outlineLevel="0" collapsed="false">
      <c r="B124" s="28"/>
    </row>
    <row r="125" customFormat="false" ht="14.25" hidden="false" customHeight="true" outlineLevel="0" collapsed="false">
      <c r="B125" s="28"/>
    </row>
    <row r="126" customFormat="false" ht="14.25" hidden="false" customHeight="true" outlineLevel="0" collapsed="false">
      <c r="B126" s="28"/>
    </row>
    <row r="127" customFormat="false" ht="14.25" hidden="false" customHeight="true" outlineLevel="0" collapsed="false">
      <c r="B127" s="28"/>
    </row>
    <row r="128" customFormat="false" ht="14.25" hidden="false" customHeight="true" outlineLevel="0" collapsed="false">
      <c r="B128" s="28"/>
    </row>
    <row r="129" customFormat="false" ht="14.25" hidden="false" customHeight="true" outlineLevel="0" collapsed="false">
      <c r="B129" s="28"/>
    </row>
    <row r="130" customFormat="false" ht="14.25" hidden="false" customHeight="true" outlineLevel="0" collapsed="false">
      <c r="B130" s="28"/>
    </row>
    <row r="131" customFormat="false" ht="14.25" hidden="false" customHeight="true" outlineLevel="0" collapsed="false">
      <c r="B131" s="28"/>
    </row>
    <row r="132" customFormat="false" ht="14.25" hidden="false" customHeight="true" outlineLevel="0" collapsed="false">
      <c r="B132" s="28"/>
    </row>
    <row r="133" customFormat="false" ht="14.25" hidden="false" customHeight="true" outlineLevel="0" collapsed="false">
      <c r="B133" s="28"/>
    </row>
    <row r="134" customFormat="false" ht="14.25" hidden="false" customHeight="true" outlineLevel="0" collapsed="false">
      <c r="B134" s="28"/>
    </row>
    <row r="135" customFormat="false" ht="14.25" hidden="false" customHeight="true" outlineLevel="0" collapsed="false">
      <c r="B135" s="28"/>
    </row>
    <row r="136" customFormat="false" ht="14.25" hidden="false" customHeight="true" outlineLevel="0" collapsed="false">
      <c r="B136" s="28"/>
    </row>
    <row r="137" customFormat="false" ht="14.25" hidden="false" customHeight="true" outlineLevel="0" collapsed="false">
      <c r="B137" s="28"/>
    </row>
    <row r="138" customFormat="false" ht="14.25" hidden="false" customHeight="true" outlineLevel="0" collapsed="false">
      <c r="B138" s="28"/>
    </row>
    <row r="139" customFormat="false" ht="14.25" hidden="false" customHeight="true" outlineLevel="0" collapsed="false">
      <c r="B139" s="28"/>
    </row>
    <row r="140" customFormat="false" ht="14.25" hidden="false" customHeight="true" outlineLevel="0" collapsed="false">
      <c r="B140" s="28"/>
    </row>
    <row r="141" customFormat="false" ht="14.25" hidden="false" customHeight="true" outlineLevel="0" collapsed="false">
      <c r="B141" s="28"/>
    </row>
    <row r="142" customFormat="false" ht="14.25" hidden="false" customHeight="true" outlineLevel="0" collapsed="false">
      <c r="B142" s="28"/>
    </row>
    <row r="143" customFormat="false" ht="14.25" hidden="false" customHeight="true" outlineLevel="0" collapsed="false">
      <c r="B143" s="28"/>
    </row>
    <row r="144" customFormat="false" ht="14.25" hidden="false" customHeight="true" outlineLevel="0" collapsed="false">
      <c r="B144" s="28"/>
    </row>
    <row r="145" customFormat="false" ht="14.25" hidden="false" customHeight="true" outlineLevel="0" collapsed="false">
      <c r="B145" s="28"/>
    </row>
    <row r="146" customFormat="false" ht="14.25" hidden="false" customHeight="true" outlineLevel="0" collapsed="false">
      <c r="B146" s="28"/>
    </row>
    <row r="147" customFormat="false" ht="14.25" hidden="false" customHeight="true" outlineLevel="0" collapsed="false">
      <c r="B147" s="28"/>
    </row>
    <row r="148" customFormat="false" ht="14.25" hidden="false" customHeight="true" outlineLevel="0" collapsed="false">
      <c r="B148" s="28"/>
    </row>
    <row r="149" customFormat="false" ht="14.25" hidden="false" customHeight="true" outlineLevel="0" collapsed="false">
      <c r="B149" s="28"/>
    </row>
    <row r="150" customFormat="false" ht="14.25" hidden="false" customHeight="true" outlineLevel="0" collapsed="false">
      <c r="B150" s="28"/>
    </row>
    <row r="151" customFormat="false" ht="14.25" hidden="false" customHeight="true" outlineLevel="0" collapsed="false">
      <c r="B151" s="28"/>
    </row>
    <row r="152" customFormat="false" ht="14.25" hidden="false" customHeight="true" outlineLevel="0" collapsed="false">
      <c r="B152" s="28"/>
    </row>
    <row r="153" customFormat="false" ht="14.25" hidden="false" customHeight="true" outlineLevel="0" collapsed="false">
      <c r="B153" s="28"/>
    </row>
    <row r="154" customFormat="false" ht="14.25" hidden="false" customHeight="true" outlineLevel="0" collapsed="false">
      <c r="B154" s="28"/>
    </row>
    <row r="155" customFormat="false" ht="14.25" hidden="false" customHeight="true" outlineLevel="0" collapsed="false">
      <c r="B155" s="28"/>
    </row>
    <row r="156" customFormat="false" ht="14.25" hidden="false" customHeight="true" outlineLevel="0" collapsed="false">
      <c r="B156" s="28"/>
    </row>
    <row r="157" customFormat="false" ht="14.25" hidden="false" customHeight="true" outlineLevel="0" collapsed="false">
      <c r="B157" s="28"/>
    </row>
    <row r="158" customFormat="false" ht="14.25" hidden="false" customHeight="true" outlineLevel="0" collapsed="false">
      <c r="B158" s="28"/>
    </row>
    <row r="159" customFormat="false" ht="14.25" hidden="false" customHeight="true" outlineLevel="0" collapsed="false">
      <c r="B159" s="28"/>
    </row>
    <row r="160" customFormat="false" ht="14.25" hidden="false" customHeight="true" outlineLevel="0" collapsed="false">
      <c r="B160" s="28"/>
    </row>
    <row r="161" customFormat="false" ht="14.25" hidden="false" customHeight="true" outlineLevel="0" collapsed="false">
      <c r="B161" s="28"/>
    </row>
    <row r="162" customFormat="false" ht="14.25" hidden="false" customHeight="true" outlineLevel="0" collapsed="false">
      <c r="B162" s="28"/>
    </row>
    <row r="163" customFormat="false" ht="14.25" hidden="false" customHeight="true" outlineLevel="0" collapsed="false">
      <c r="B163" s="28"/>
    </row>
    <row r="164" customFormat="false" ht="14.25" hidden="false" customHeight="true" outlineLevel="0" collapsed="false">
      <c r="B164" s="28"/>
    </row>
    <row r="165" customFormat="false" ht="14.25" hidden="false" customHeight="true" outlineLevel="0" collapsed="false">
      <c r="B165" s="28"/>
    </row>
    <row r="166" customFormat="false" ht="14.25" hidden="false" customHeight="true" outlineLevel="0" collapsed="false">
      <c r="B166" s="28"/>
    </row>
    <row r="167" customFormat="false" ht="14.25" hidden="false" customHeight="true" outlineLevel="0" collapsed="false">
      <c r="B167" s="28"/>
    </row>
    <row r="168" customFormat="false" ht="14.25" hidden="false" customHeight="true" outlineLevel="0" collapsed="false">
      <c r="B168" s="28"/>
    </row>
    <row r="169" customFormat="false" ht="14.25" hidden="false" customHeight="true" outlineLevel="0" collapsed="false">
      <c r="B169" s="28"/>
    </row>
    <row r="170" customFormat="false" ht="14.25" hidden="false" customHeight="true" outlineLevel="0" collapsed="false">
      <c r="B170" s="28"/>
    </row>
    <row r="171" customFormat="false" ht="14.25" hidden="false" customHeight="true" outlineLevel="0" collapsed="false">
      <c r="B171" s="28"/>
    </row>
    <row r="172" customFormat="false" ht="14.25" hidden="false" customHeight="true" outlineLevel="0" collapsed="false">
      <c r="B172" s="28"/>
    </row>
    <row r="173" customFormat="false" ht="14.25" hidden="false" customHeight="true" outlineLevel="0" collapsed="false">
      <c r="B173" s="28"/>
    </row>
    <row r="174" customFormat="false" ht="14.25" hidden="false" customHeight="true" outlineLevel="0" collapsed="false">
      <c r="B174" s="28"/>
    </row>
    <row r="175" customFormat="false" ht="14.25" hidden="false" customHeight="true" outlineLevel="0" collapsed="false">
      <c r="B175" s="28"/>
    </row>
    <row r="176" customFormat="false" ht="14.25" hidden="false" customHeight="true" outlineLevel="0" collapsed="false">
      <c r="B176" s="28"/>
    </row>
    <row r="177" customFormat="false" ht="14.25" hidden="false" customHeight="true" outlineLevel="0" collapsed="false">
      <c r="B177" s="28"/>
    </row>
    <row r="178" customFormat="false" ht="14.25" hidden="false" customHeight="true" outlineLevel="0" collapsed="false">
      <c r="B178" s="28"/>
    </row>
    <row r="179" customFormat="false" ht="14.25" hidden="false" customHeight="true" outlineLevel="0" collapsed="false">
      <c r="B179" s="28"/>
    </row>
    <row r="180" customFormat="false" ht="14.25" hidden="false" customHeight="true" outlineLevel="0" collapsed="false">
      <c r="B180" s="28"/>
    </row>
    <row r="181" customFormat="false" ht="14.25" hidden="false" customHeight="true" outlineLevel="0" collapsed="false">
      <c r="B181" s="28"/>
    </row>
    <row r="182" customFormat="false" ht="14.25" hidden="false" customHeight="true" outlineLevel="0" collapsed="false">
      <c r="B182" s="28"/>
    </row>
    <row r="183" customFormat="false" ht="14.25" hidden="false" customHeight="true" outlineLevel="0" collapsed="false">
      <c r="B183" s="28"/>
    </row>
    <row r="184" customFormat="false" ht="14.25" hidden="false" customHeight="true" outlineLevel="0" collapsed="false">
      <c r="B184" s="28"/>
    </row>
    <row r="185" customFormat="false" ht="14.25" hidden="false" customHeight="true" outlineLevel="0" collapsed="false">
      <c r="B185" s="28"/>
    </row>
    <row r="186" customFormat="false" ht="14.25" hidden="false" customHeight="true" outlineLevel="0" collapsed="false">
      <c r="B186" s="28"/>
    </row>
    <row r="187" customFormat="false" ht="14.25" hidden="false" customHeight="true" outlineLevel="0" collapsed="false">
      <c r="B187" s="28"/>
    </row>
    <row r="188" customFormat="false" ht="14.25" hidden="false" customHeight="true" outlineLevel="0" collapsed="false">
      <c r="B188" s="28"/>
    </row>
    <row r="189" customFormat="false" ht="14.25" hidden="false" customHeight="true" outlineLevel="0" collapsed="false">
      <c r="B189" s="28"/>
    </row>
    <row r="190" customFormat="false" ht="14.25" hidden="false" customHeight="true" outlineLevel="0" collapsed="false">
      <c r="B190" s="28"/>
    </row>
    <row r="191" customFormat="false" ht="14.25" hidden="false" customHeight="true" outlineLevel="0" collapsed="false">
      <c r="B191" s="28"/>
    </row>
    <row r="192" customFormat="false" ht="14.25" hidden="false" customHeight="true" outlineLevel="0" collapsed="false">
      <c r="B192" s="28"/>
    </row>
    <row r="193" customFormat="false" ht="14.25" hidden="false" customHeight="true" outlineLevel="0" collapsed="false">
      <c r="B193" s="28"/>
    </row>
    <row r="194" customFormat="false" ht="14.25" hidden="false" customHeight="true" outlineLevel="0" collapsed="false">
      <c r="B194" s="28"/>
    </row>
    <row r="195" customFormat="false" ht="14.25" hidden="false" customHeight="true" outlineLevel="0" collapsed="false">
      <c r="B195" s="28"/>
    </row>
    <row r="196" customFormat="false" ht="14.25" hidden="false" customHeight="true" outlineLevel="0" collapsed="false">
      <c r="B196" s="28"/>
    </row>
    <row r="197" customFormat="false" ht="14.25" hidden="false" customHeight="true" outlineLevel="0" collapsed="false">
      <c r="B197" s="28"/>
    </row>
    <row r="198" customFormat="false" ht="14.25" hidden="false" customHeight="true" outlineLevel="0" collapsed="false">
      <c r="B198" s="28"/>
    </row>
    <row r="199" customFormat="false" ht="14.25" hidden="false" customHeight="true" outlineLevel="0" collapsed="false">
      <c r="B199" s="28"/>
    </row>
    <row r="200" customFormat="false" ht="14.25" hidden="false" customHeight="true" outlineLevel="0" collapsed="false">
      <c r="B200" s="28"/>
    </row>
    <row r="201" customFormat="false" ht="14.25" hidden="false" customHeight="true" outlineLevel="0" collapsed="false">
      <c r="B201" s="28"/>
    </row>
    <row r="202" customFormat="false" ht="14.25" hidden="false" customHeight="true" outlineLevel="0" collapsed="false">
      <c r="B202" s="28"/>
    </row>
    <row r="203" customFormat="false" ht="14.25" hidden="false" customHeight="true" outlineLevel="0" collapsed="false">
      <c r="B203" s="28"/>
    </row>
    <row r="204" customFormat="false" ht="14.25" hidden="false" customHeight="true" outlineLevel="0" collapsed="false">
      <c r="B204" s="28"/>
    </row>
    <row r="205" customFormat="false" ht="14.25" hidden="false" customHeight="true" outlineLevel="0" collapsed="false">
      <c r="B205" s="28"/>
    </row>
    <row r="206" customFormat="false" ht="14.25" hidden="false" customHeight="true" outlineLevel="0" collapsed="false">
      <c r="B206" s="28"/>
    </row>
    <row r="207" customFormat="false" ht="14.25" hidden="false" customHeight="true" outlineLevel="0" collapsed="false">
      <c r="B207" s="28"/>
    </row>
    <row r="208" customFormat="false" ht="14.25" hidden="false" customHeight="true" outlineLevel="0" collapsed="false">
      <c r="B208" s="28"/>
    </row>
    <row r="209" customFormat="false" ht="14.25" hidden="false" customHeight="true" outlineLevel="0" collapsed="false">
      <c r="B209" s="28"/>
    </row>
    <row r="210" customFormat="false" ht="14.25" hidden="false" customHeight="true" outlineLevel="0" collapsed="false">
      <c r="B210" s="28"/>
    </row>
    <row r="211" customFormat="false" ht="14.25" hidden="false" customHeight="true" outlineLevel="0" collapsed="false">
      <c r="B211" s="28"/>
    </row>
    <row r="212" customFormat="false" ht="14.25" hidden="false" customHeight="true" outlineLevel="0" collapsed="false">
      <c r="B212" s="28"/>
    </row>
    <row r="213" customFormat="false" ht="14.25" hidden="false" customHeight="true" outlineLevel="0" collapsed="false">
      <c r="B213" s="28"/>
    </row>
    <row r="214" customFormat="false" ht="14.25" hidden="false" customHeight="true" outlineLevel="0" collapsed="false">
      <c r="B214" s="28"/>
    </row>
    <row r="215" customFormat="false" ht="14.25" hidden="false" customHeight="true" outlineLevel="0" collapsed="false">
      <c r="B215" s="28"/>
    </row>
    <row r="216" customFormat="false" ht="14.25" hidden="false" customHeight="true" outlineLevel="0" collapsed="false">
      <c r="B216" s="28"/>
    </row>
    <row r="217" customFormat="false" ht="14.25" hidden="false" customHeight="true" outlineLevel="0" collapsed="false">
      <c r="B217" s="28"/>
    </row>
    <row r="218" customFormat="false" ht="14.25" hidden="false" customHeight="true" outlineLevel="0" collapsed="false">
      <c r="B218" s="28"/>
    </row>
    <row r="219" customFormat="false" ht="14.25" hidden="false" customHeight="true" outlineLevel="0" collapsed="false">
      <c r="B219" s="28"/>
    </row>
    <row r="220" customFormat="false" ht="14.25" hidden="false" customHeight="true" outlineLevel="0" collapsed="false">
      <c r="B220" s="28"/>
    </row>
    <row r="221" customFormat="false" ht="14.25" hidden="false" customHeight="true" outlineLevel="0" collapsed="false">
      <c r="B221" s="28"/>
    </row>
    <row r="222" customFormat="false" ht="14.25" hidden="false" customHeight="true" outlineLevel="0" collapsed="false">
      <c r="B222" s="28"/>
    </row>
    <row r="223" customFormat="false" ht="14.25" hidden="false" customHeight="true" outlineLevel="0" collapsed="false">
      <c r="B223" s="28"/>
    </row>
    <row r="224" customFormat="false" ht="14.25" hidden="false" customHeight="true" outlineLevel="0" collapsed="false">
      <c r="B224" s="28"/>
    </row>
    <row r="225" customFormat="false" ht="14.25" hidden="false" customHeight="true" outlineLevel="0" collapsed="false">
      <c r="B225" s="28"/>
    </row>
    <row r="226" customFormat="false" ht="14.25" hidden="false" customHeight="true" outlineLevel="0" collapsed="false">
      <c r="B226" s="28"/>
    </row>
    <row r="227" customFormat="false" ht="14.25" hidden="false" customHeight="true" outlineLevel="0" collapsed="false">
      <c r="B227" s="28"/>
    </row>
    <row r="228" customFormat="false" ht="14.25" hidden="false" customHeight="true" outlineLevel="0" collapsed="false">
      <c r="B228" s="28"/>
    </row>
    <row r="229" customFormat="false" ht="14.25" hidden="false" customHeight="true" outlineLevel="0" collapsed="false">
      <c r="B229" s="28"/>
    </row>
    <row r="230" customFormat="false" ht="14.25" hidden="false" customHeight="true" outlineLevel="0" collapsed="false">
      <c r="B230" s="28"/>
    </row>
    <row r="231" customFormat="false" ht="14.25" hidden="false" customHeight="true" outlineLevel="0" collapsed="false">
      <c r="B231" s="28"/>
    </row>
    <row r="232" customFormat="false" ht="14.25" hidden="false" customHeight="true" outlineLevel="0" collapsed="false">
      <c r="B232" s="28"/>
    </row>
    <row r="233" customFormat="false" ht="14.25" hidden="false" customHeight="true" outlineLevel="0" collapsed="false">
      <c r="B233" s="28"/>
    </row>
    <row r="234" customFormat="false" ht="14.25" hidden="false" customHeight="true" outlineLevel="0" collapsed="false">
      <c r="B234" s="28"/>
    </row>
    <row r="235" customFormat="false" ht="14.25" hidden="false" customHeight="true" outlineLevel="0" collapsed="false">
      <c r="B235" s="28"/>
    </row>
    <row r="236" customFormat="false" ht="14.25" hidden="false" customHeight="true" outlineLevel="0" collapsed="false">
      <c r="B236" s="28"/>
    </row>
    <row r="237" customFormat="false" ht="14.25" hidden="false" customHeight="true" outlineLevel="0" collapsed="false">
      <c r="B237" s="28"/>
    </row>
    <row r="238" customFormat="false" ht="14.25" hidden="false" customHeight="true" outlineLevel="0" collapsed="false">
      <c r="B238" s="28"/>
    </row>
    <row r="239" customFormat="false" ht="14.25" hidden="false" customHeight="true" outlineLevel="0" collapsed="false">
      <c r="B239" s="28"/>
    </row>
    <row r="240" customFormat="false" ht="14.25" hidden="false" customHeight="true" outlineLevel="0" collapsed="false">
      <c r="B240" s="28"/>
    </row>
    <row r="241" customFormat="false" ht="14.25" hidden="false" customHeight="true" outlineLevel="0" collapsed="false">
      <c r="B241" s="28"/>
    </row>
    <row r="242" customFormat="false" ht="14.25" hidden="false" customHeight="true" outlineLevel="0" collapsed="false">
      <c r="B242" s="28"/>
    </row>
    <row r="243" customFormat="false" ht="14.25" hidden="false" customHeight="true" outlineLevel="0" collapsed="false">
      <c r="B243" s="28"/>
    </row>
    <row r="244" customFormat="false" ht="14.25" hidden="false" customHeight="true" outlineLevel="0" collapsed="false">
      <c r="B244" s="28"/>
    </row>
    <row r="245" customFormat="false" ht="14.25" hidden="false" customHeight="true" outlineLevel="0" collapsed="false">
      <c r="B245" s="28"/>
    </row>
    <row r="246" customFormat="false" ht="14.25" hidden="false" customHeight="true" outlineLevel="0" collapsed="false">
      <c r="B246" s="28"/>
    </row>
    <row r="247" customFormat="false" ht="14.25" hidden="false" customHeight="true" outlineLevel="0" collapsed="false">
      <c r="B247" s="28"/>
    </row>
    <row r="248" customFormat="false" ht="14.25" hidden="false" customHeight="true" outlineLevel="0" collapsed="false">
      <c r="B248" s="28"/>
    </row>
    <row r="249" customFormat="false" ht="14.25" hidden="false" customHeight="true" outlineLevel="0" collapsed="false">
      <c r="B249" s="28"/>
    </row>
    <row r="250" customFormat="false" ht="14.25" hidden="false" customHeight="true" outlineLevel="0" collapsed="false">
      <c r="B250" s="28"/>
    </row>
    <row r="251" customFormat="false" ht="14.25" hidden="false" customHeight="true" outlineLevel="0" collapsed="false">
      <c r="B251" s="28"/>
    </row>
    <row r="252" customFormat="false" ht="14.25" hidden="false" customHeight="true" outlineLevel="0" collapsed="false">
      <c r="B252" s="28"/>
    </row>
    <row r="253" customFormat="false" ht="14.25" hidden="false" customHeight="true" outlineLevel="0" collapsed="false">
      <c r="B253" s="28"/>
    </row>
    <row r="254" customFormat="false" ht="14.25" hidden="false" customHeight="true" outlineLevel="0" collapsed="false">
      <c r="B254" s="28"/>
    </row>
    <row r="255" customFormat="false" ht="14.25" hidden="false" customHeight="true" outlineLevel="0" collapsed="false">
      <c r="B255" s="28"/>
    </row>
    <row r="256" customFormat="false" ht="14.25" hidden="false" customHeight="true" outlineLevel="0" collapsed="false">
      <c r="B256" s="28"/>
    </row>
    <row r="257" customFormat="false" ht="14.25" hidden="false" customHeight="true" outlineLevel="0" collapsed="false">
      <c r="B257" s="28"/>
    </row>
    <row r="258" customFormat="false" ht="14.25" hidden="false" customHeight="true" outlineLevel="0" collapsed="false">
      <c r="B258" s="28"/>
    </row>
    <row r="259" customFormat="false" ht="14.25" hidden="false" customHeight="true" outlineLevel="0" collapsed="false">
      <c r="B259" s="28"/>
    </row>
    <row r="260" customFormat="false" ht="14.25" hidden="false" customHeight="true" outlineLevel="0" collapsed="false">
      <c r="B260" s="28"/>
    </row>
    <row r="261" customFormat="false" ht="14.25" hidden="false" customHeight="true" outlineLevel="0" collapsed="false">
      <c r="B261" s="28"/>
    </row>
    <row r="262" customFormat="false" ht="14.25" hidden="false" customHeight="true" outlineLevel="0" collapsed="false">
      <c r="B262" s="28"/>
    </row>
    <row r="263" customFormat="false" ht="14.25" hidden="false" customHeight="true" outlineLevel="0" collapsed="false">
      <c r="B263" s="28"/>
    </row>
    <row r="264" customFormat="false" ht="14.25" hidden="false" customHeight="true" outlineLevel="0" collapsed="false">
      <c r="B264" s="28"/>
    </row>
    <row r="265" customFormat="false" ht="14.25" hidden="false" customHeight="true" outlineLevel="0" collapsed="false">
      <c r="B265" s="28"/>
    </row>
    <row r="266" customFormat="false" ht="14.25" hidden="false" customHeight="true" outlineLevel="0" collapsed="false">
      <c r="B266" s="28"/>
    </row>
    <row r="267" customFormat="false" ht="14.25" hidden="false" customHeight="true" outlineLevel="0" collapsed="false">
      <c r="B267" s="28"/>
    </row>
    <row r="268" customFormat="false" ht="14.25" hidden="false" customHeight="true" outlineLevel="0" collapsed="false">
      <c r="B268" s="28"/>
    </row>
    <row r="269" customFormat="false" ht="14.25" hidden="false" customHeight="true" outlineLevel="0" collapsed="false">
      <c r="B269" s="28"/>
    </row>
    <row r="270" customFormat="false" ht="14.25" hidden="false" customHeight="true" outlineLevel="0" collapsed="false">
      <c r="B270" s="28"/>
    </row>
    <row r="271" customFormat="false" ht="14.25" hidden="false" customHeight="true" outlineLevel="0" collapsed="false">
      <c r="B271" s="28"/>
    </row>
    <row r="272" customFormat="false" ht="14.25" hidden="false" customHeight="true" outlineLevel="0" collapsed="false">
      <c r="B272" s="28"/>
    </row>
    <row r="273" customFormat="false" ht="14.25" hidden="false" customHeight="true" outlineLevel="0" collapsed="false">
      <c r="B273" s="28"/>
    </row>
    <row r="274" customFormat="false" ht="14.25" hidden="false" customHeight="true" outlineLevel="0" collapsed="false">
      <c r="B274" s="28"/>
    </row>
    <row r="275" customFormat="false" ht="14.25" hidden="false" customHeight="true" outlineLevel="0" collapsed="false">
      <c r="B275" s="28"/>
    </row>
    <row r="276" customFormat="false" ht="14.25" hidden="false" customHeight="true" outlineLevel="0" collapsed="false">
      <c r="B276" s="28"/>
    </row>
    <row r="277" customFormat="false" ht="14.25" hidden="false" customHeight="true" outlineLevel="0" collapsed="false">
      <c r="B277" s="28"/>
    </row>
    <row r="278" customFormat="false" ht="14.25" hidden="false" customHeight="true" outlineLevel="0" collapsed="false">
      <c r="B278" s="28"/>
    </row>
    <row r="279" customFormat="false" ht="14.25" hidden="false" customHeight="true" outlineLevel="0" collapsed="false">
      <c r="B279" s="28"/>
    </row>
    <row r="280" customFormat="false" ht="14.25" hidden="false" customHeight="true" outlineLevel="0" collapsed="false">
      <c r="B280" s="28"/>
    </row>
    <row r="281" customFormat="false" ht="14.25" hidden="false" customHeight="true" outlineLevel="0" collapsed="false">
      <c r="B281" s="28"/>
    </row>
    <row r="282" customFormat="false" ht="14.25" hidden="false" customHeight="true" outlineLevel="0" collapsed="false">
      <c r="B282" s="28"/>
    </row>
    <row r="283" customFormat="false" ht="14.25" hidden="false" customHeight="true" outlineLevel="0" collapsed="false">
      <c r="B283" s="28"/>
    </row>
    <row r="284" customFormat="false" ht="14.25" hidden="false" customHeight="true" outlineLevel="0" collapsed="false">
      <c r="B284" s="28"/>
    </row>
    <row r="285" customFormat="false" ht="14.25" hidden="false" customHeight="true" outlineLevel="0" collapsed="false">
      <c r="B285" s="28"/>
    </row>
    <row r="286" customFormat="false" ht="14.25" hidden="false" customHeight="true" outlineLevel="0" collapsed="false">
      <c r="B286" s="28"/>
    </row>
    <row r="287" customFormat="false" ht="14.25" hidden="false" customHeight="true" outlineLevel="0" collapsed="false">
      <c r="B287" s="28"/>
    </row>
    <row r="288" customFormat="false" ht="14.25" hidden="false" customHeight="true" outlineLevel="0" collapsed="false">
      <c r="B288" s="28"/>
    </row>
    <row r="289" customFormat="false" ht="14.25" hidden="false" customHeight="true" outlineLevel="0" collapsed="false">
      <c r="B289" s="28"/>
    </row>
    <row r="290" customFormat="false" ht="14.25" hidden="false" customHeight="true" outlineLevel="0" collapsed="false">
      <c r="B290" s="28"/>
    </row>
    <row r="291" customFormat="false" ht="14.25" hidden="false" customHeight="true" outlineLevel="0" collapsed="false">
      <c r="B291" s="28"/>
    </row>
    <row r="292" customFormat="false" ht="14.25" hidden="false" customHeight="true" outlineLevel="0" collapsed="false">
      <c r="B292" s="28"/>
    </row>
    <row r="293" customFormat="false" ht="14.25" hidden="false" customHeight="true" outlineLevel="0" collapsed="false">
      <c r="B293" s="28"/>
    </row>
    <row r="294" customFormat="false" ht="14.25" hidden="false" customHeight="true" outlineLevel="0" collapsed="false">
      <c r="B294" s="28"/>
    </row>
    <row r="295" customFormat="false" ht="14.25" hidden="false" customHeight="true" outlineLevel="0" collapsed="false">
      <c r="B295" s="28"/>
    </row>
    <row r="296" customFormat="false" ht="14.25" hidden="false" customHeight="true" outlineLevel="0" collapsed="false">
      <c r="B296" s="28"/>
    </row>
    <row r="297" customFormat="false" ht="14.25" hidden="false" customHeight="true" outlineLevel="0" collapsed="false">
      <c r="B297" s="28"/>
    </row>
    <row r="298" customFormat="false" ht="14.25" hidden="false" customHeight="true" outlineLevel="0" collapsed="false">
      <c r="B298" s="28"/>
    </row>
    <row r="299" customFormat="false" ht="14.25" hidden="false" customHeight="true" outlineLevel="0" collapsed="false">
      <c r="B299" s="28"/>
    </row>
    <row r="300" customFormat="false" ht="14.25" hidden="false" customHeight="true" outlineLevel="0" collapsed="false">
      <c r="B300" s="28"/>
    </row>
    <row r="301" customFormat="false" ht="14.25" hidden="false" customHeight="true" outlineLevel="0" collapsed="false">
      <c r="B301" s="28"/>
    </row>
    <row r="302" customFormat="false" ht="14.25" hidden="false" customHeight="true" outlineLevel="0" collapsed="false">
      <c r="B302" s="28"/>
    </row>
    <row r="303" customFormat="false" ht="14.25" hidden="false" customHeight="true" outlineLevel="0" collapsed="false">
      <c r="B303" s="28"/>
    </row>
    <row r="304" customFormat="false" ht="14.25" hidden="false" customHeight="true" outlineLevel="0" collapsed="false">
      <c r="B304" s="28"/>
    </row>
    <row r="305" customFormat="false" ht="14.25" hidden="false" customHeight="true" outlineLevel="0" collapsed="false">
      <c r="B305" s="28"/>
    </row>
    <row r="306" customFormat="false" ht="14.25" hidden="false" customHeight="true" outlineLevel="0" collapsed="false">
      <c r="B306" s="28"/>
    </row>
    <row r="307" customFormat="false" ht="14.25" hidden="false" customHeight="true" outlineLevel="0" collapsed="false">
      <c r="B307" s="28"/>
    </row>
    <row r="308" customFormat="false" ht="14.25" hidden="false" customHeight="true" outlineLevel="0" collapsed="false">
      <c r="B308" s="28"/>
    </row>
    <row r="309" customFormat="false" ht="14.25" hidden="false" customHeight="true" outlineLevel="0" collapsed="false">
      <c r="B309" s="28"/>
    </row>
    <row r="310" customFormat="false" ht="14.25" hidden="false" customHeight="true" outlineLevel="0" collapsed="false">
      <c r="B310" s="28"/>
    </row>
    <row r="311" customFormat="false" ht="14.25" hidden="false" customHeight="true" outlineLevel="0" collapsed="false">
      <c r="B311" s="28"/>
    </row>
    <row r="312" customFormat="false" ht="14.25" hidden="false" customHeight="true" outlineLevel="0" collapsed="false">
      <c r="B312" s="28"/>
    </row>
    <row r="313" customFormat="false" ht="14.25" hidden="false" customHeight="true" outlineLevel="0" collapsed="false">
      <c r="B313" s="28"/>
    </row>
    <row r="314" customFormat="false" ht="14.25" hidden="false" customHeight="true" outlineLevel="0" collapsed="false">
      <c r="B314" s="28"/>
    </row>
    <row r="315" customFormat="false" ht="14.25" hidden="false" customHeight="true" outlineLevel="0" collapsed="false">
      <c r="B315" s="28"/>
    </row>
    <row r="316" customFormat="false" ht="14.25" hidden="false" customHeight="true" outlineLevel="0" collapsed="false">
      <c r="B316" s="28"/>
    </row>
    <row r="317" customFormat="false" ht="14.25" hidden="false" customHeight="true" outlineLevel="0" collapsed="false">
      <c r="B317" s="28"/>
    </row>
    <row r="318" customFormat="false" ht="14.25" hidden="false" customHeight="true" outlineLevel="0" collapsed="false">
      <c r="B318" s="28"/>
    </row>
    <row r="319" customFormat="false" ht="14.25" hidden="false" customHeight="true" outlineLevel="0" collapsed="false">
      <c r="B319" s="28"/>
    </row>
    <row r="320" customFormat="false" ht="14.25" hidden="false" customHeight="true" outlineLevel="0" collapsed="false">
      <c r="B320" s="28"/>
    </row>
    <row r="321" customFormat="false" ht="14.25" hidden="false" customHeight="true" outlineLevel="0" collapsed="false">
      <c r="B321" s="28"/>
    </row>
    <row r="322" customFormat="false" ht="14.25" hidden="false" customHeight="true" outlineLevel="0" collapsed="false">
      <c r="B322" s="28"/>
    </row>
    <row r="323" customFormat="false" ht="14.25" hidden="false" customHeight="true" outlineLevel="0" collapsed="false">
      <c r="B323" s="28"/>
    </row>
    <row r="324" customFormat="false" ht="14.25" hidden="false" customHeight="true" outlineLevel="0" collapsed="false">
      <c r="B324" s="28"/>
    </row>
    <row r="325" customFormat="false" ht="14.25" hidden="false" customHeight="true" outlineLevel="0" collapsed="false">
      <c r="B325" s="28"/>
    </row>
    <row r="326" customFormat="false" ht="14.25" hidden="false" customHeight="true" outlineLevel="0" collapsed="false">
      <c r="B326" s="28"/>
    </row>
    <row r="327" customFormat="false" ht="14.25" hidden="false" customHeight="true" outlineLevel="0" collapsed="false">
      <c r="B327" s="28"/>
    </row>
    <row r="328" customFormat="false" ht="14.25" hidden="false" customHeight="true" outlineLevel="0" collapsed="false">
      <c r="B328" s="28"/>
    </row>
    <row r="329" customFormat="false" ht="14.25" hidden="false" customHeight="true" outlineLevel="0" collapsed="false">
      <c r="B329" s="28"/>
    </row>
    <row r="330" customFormat="false" ht="14.25" hidden="false" customHeight="true" outlineLevel="0" collapsed="false">
      <c r="B330" s="28"/>
    </row>
    <row r="331" customFormat="false" ht="14.25" hidden="false" customHeight="true" outlineLevel="0" collapsed="false">
      <c r="B331" s="28"/>
    </row>
    <row r="332" customFormat="false" ht="14.25" hidden="false" customHeight="true" outlineLevel="0" collapsed="false">
      <c r="B332" s="28"/>
    </row>
    <row r="333" customFormat="false" ht="14.25" hidden="false" customHeight="true" outlineLevel="0" collapsed="false">
      <c r="B333" s="28"/>
    </row>
    <row r="334" customFormat="false" ht="14.25" hidden="false" customHeight="true" outlineLevel="0" collapsed="false">
      <c r="B334" s="28"/>
    </row>
    <row r="335" customFormat="false" ht="14.25" hidden="false" customHeight="true" outlineLevel="0" collapsed="false">
      <c r="B335" s="28"/>
    </row>
    <row r="336" customFormat="false" ht="14.25" hidden="false" customHeight="true" outlineLevel="0" collapsed="false">
      <c r="B336" s="28"/>
    </row>
    <row r="337" customFormat="false" ht="14.25" hidden="false" customHeight="true" outlineLevel="0" collapsed="false">
      <c r="B337" s="28"/>
    </row>
    <row r="338" customFormat="false" ht="14.25" hidden="false" customHeight="true" outlineLevel="0" collapsed="false">
      <c r="B338" s="28"/>
    </row>
    <row r="339" customFormat="false" ht="14.25" hidden="false" customHeight="true" outlineLevel="0" collapsed="false">
      <c r="B339" s="28"/>
    </row>
    <row r="340" customFormat="false" ht="14.25" hidden="false" customHeight="true" outlineLevel="0" collapsed="false">
      <c r="B340" s="28"/>
    </row>
    <row r="341" customFormat="false" ht="14.25" hidden="false" customHeight="true" outlineLevel="0" collapsed="false">
      <c r="B341" s="28"/>
    </row>
    <row r="342" customFormat="false" ht="14.25" hidden="false" customHeight="true" outlineLevel="0" collapsed="false">
      <c r="B342" s="28"/>
    </row>
    <row r="343" customFormat="false" ht="14.25" hidden="false" customHeight="true" outlineLevel="0" collapsed="false">
      <c r="B343" s="28"/>
    </row>
    <row r="344" customFormat="false" ht="14.25" hidden="false" customHeight="true" outlineLevel="0" collapsed="false">
      <c r="B344" s="28"/>
    </row>
    <row r="345" customFormat="false" ht="14.25" hidden="false" customHeight="true" outlineLevel="0" collapsed="false">
      <c r="B345" s="28"/>
    </row>
    <row r="346" customFormat="false" ht="14.25" hidden="false" customHeight="true" outlineLevel="0" collapsed="false">
      <c r="B346" s="28"/>
    </row>
    <row r="347" customFormat="false" ht="14.25" hidden="false" customHeight="true" outlineLevel="0" collapsed="false">
      <c r="B347" s="28"/>
    </row>
    <row r="348" customFormat="false" ht="14.25" hidden="false" customHeight="true" outlineLevel="0" collapsed="false">
      <c r="B348" s="28"/>
    </row>
    <row r="349" customFormat="false" ht="14.25" hidden="false" customHeight="true" outlineLevel="0" collapsed="false">
      <c r="B349" s="28"/>
    </row>
    <row r="350" customFormat="false" ht="14.25" hidden="false" customHeight="true" outlineLevel="0" collapsed="false">
      <c r="B350" s="28"/>
    </row>
    <row r="351" customFormat="false" ht="14.25" hidden="false" customHeight="true" outlineLevel="0" collapsed="false">
      <c r="B351" s="28"/>
    </row>
    <row r="352" customFormat="false" ht="14.25" hidden="false" customHeight="true" outlineLevel="0" collapsed="false">
      <c r="B352" s="28"/>
    </row>
    <row r="353" customFormat="false" ht="14.25" hidden="false" customHeight="true" outlineLevel="0" collapsed="false">
      <c r="B353" s="28"/>
    </row>
    <row r="354" customFormat="false" ht="14.25" hidden="false" customHeight="true" outlineLevel="0" collapsed="false">
      <c r="B354" s="28"/>
    </row>
    <row r="355" customFormat="false" ht="14.25" hidden="false" customHeight="true" outlineLevel="0" collapsed="false">
      <c r="B355" s="28"/>
    </row>
    <row r="356" customFormat="false" ht="14.25" hidden="false" customHeight="true" outlineLevel="0" collapsed="false">
      <c r="B356" s="28"/>
    </row>
    <row r="357" customFormat="false" ht="14.25" hidden="false" customHeight="true" outlineLevel="0" collapsed="false">
      <c r="B357" s="28"/>
    </row>
    <row r="358" customFormat="false" ht="14.25" hidden="false" customHeight="true" outlineLevel="0" collapsed="false">
      <c r="B358" s="28"/>
    </row>
    <row r="359" customFormat="false" ht="14.25" hidden="false" customHeight="true" outlineLevel="0" collapsed="false">
      <c r="B359" s="28"/>
    </row>
    <row r="360" customFormat="false" ht="14.25" hidden="false" customHeight="true" outlineLevel="0" collapsed="false">
      <c r="B360" s="28"/>
    </row>
    <row r="361" customFormat="false" ht="14.25" hidden="false" customHeight="true" outlineLevel="0" collapsed="false">
      <c r="B361" s="28"/>
    </row>
    <row r="362" customFormat="false" ht="14.25" hidden="false" customHeight="true" outlineLevel="0" collapsed="false">
      <c r="B362" s="28"/>
    </row>
    <row r="363" customFormat="false" ht="14.25" hidden="false" customHeight="true" outlineLevel="0" collapsed="false">
      <c r="B363" s="28"/>
    </row>
    <row r="364" customFormat="false" ht="14.25" hidden="false" customHeight="true" outlineLevel="0" collapsed="false">
      <c r="B364" s="28"/>
    </row>
    <row r="365" customFormat="false" ht="14.25" hidden="false" customHeight="true" outlineLevel="0" collapsed="false">
      <c r="B365" s="28"/>
    </row>
    <row r="366" customFormat="false" ht="14.25" hidden="false" customHeight="true" outlineLevel="0" collapsed="false">
      <c r="B366" s="28"/>
    </row>
    <row r="367" customFormat="false" ht="14.25" hidden="false" customHeight="true" outlineLevel="0" collapsed="false">
      <c r="B367" s="28"/>
    </row>
    <row r="368" customFormat="false" ht="14.25" hidden="false" customHeight="true" outlineLevel="0" collapsed="false">
      <c r="B368" s="28"/>
    </row>
    <row r="369" customFormat="false" ht="14.25" hidden="false" customHeight="true" outlineLevel="0" collapsed="false">
      <c r="B369" s="28"/>
    </row>
    <row r="370" customFormat="false" ht="14.25" hidden="false" customHeight="true" outlineLevel="0" collapsed="false">
      <c r="B370" s="28"/>
    </row>
    <row r="371" customFormat="false" ht="14.25" hidden="false" customHeight="true" outlineLevel="0" collapsed="false">
      <c r="B371" s="28"/>
    </row>
    <row r="372" customFormat="false" ht="14.25" hidden="false" customHeight="true" outlineLevel="0" collapsed="false">
      <c r="B372" s="28"/>
    </row>
    <row r="373" customFormat="false" ht="14.25" hidden="false" customHeight="true" outlineLevel="0" collapsed="false">
      <c r="B373" s="28"/>
    </row>
    <row r="374" customFormat="false" ht="14.25" hidden="false" customHeight="true" outlineLevel="0" collapsed="false">
      <c r="B374" s="28"/>
    </row>
    <row r="375" customFormat="false" ht="14.25" hidden="false" customHeight="true" outlineLevel="0" collapsed="false">
      <c r="B375" s="28"/>
    </row>
    <row r="376" customFormat="false" ht="14.25" hidden="false" customHeight="true" outlineLevel="0" collapsed="false">
      <c r="B376" s="28"/>
    </row>
    <row r="377" customFormat="false" ht="14.25" hidden="false" customHeight="true" outlineLevel="0" collapsed="false">
      <c r="B377" s="28"/>
    </row>
    <row r="378" customFormat="false" ht="14.25" hidden="false" customHeight="true" outlineLevel="0" collapsed="false">
      <c r="B378" s="28"/>
    </row>
    <row r="379" customFormat="false" ht="14.25" hidden="false" customHeight="true" outlineLevel="0" collapsed="false">
      <c r="B379" s="28"/>
    </row>
    <row r="380" customFormat="false" ht="14.25" hidden="false" customHeight="true" outlineLevel="0" collapsed="false">
      <c r="B380" s="28"/>
    </row>
    <row r="381" customFormat="false" ht="14.25" hidden="false" customHeight="true" outlineLevel="0" collapsed="false">
      <c r="B381" s="28"/>
    </row>
    <row r="382" customFormat="false" ht="14.25" hidden="false" customHeight="true" outlineLevel="0" collapsed="false">
      <c r="B382" s="28"/>
    </row>
    <row r="383" customFormat="false" ht="14.25" hidden="false" customHeight="true" outlineLevel="0" collapsed="false">
      <c r="B383" s="28"/>
    </row>
    <row r="384" customFormat="false" ht="14.25" hidden="false" customHeight="true" outlineLevel="0" collapsed="false">
      <c r="B384" s="28"/>
    </row>
    <row r="385" customFormat="false" ht="14.25" hidden="false" customHeight="true" outlineLevel="0" collapsed="false">
      <c r="B385" s="28"/>
    </row>
    <row r="386" customFormat="false" ht="14.25" hidden="false" customHeight="true" outlineLevel="0" collapsed="false">
      <c r="B386" s="28"/>
    </row>
    <row r="387" customFormat="false" ht="14.25" hidden="false" customHeight="true" outlineLevel="0" collapsed="false">
      <c r="B387" s="28"/>
    </row>
    <row r="388" customFormat="false" ht="14.25" hidden="false" customHeight="true" outlineLevel="0" collapsed="false">
      <c r="B388" s="28"/>
    </row>
    <row r="389" customFormat="false" ht="14.25" hidden="false" customHeight="true" outlineLevel="0" collapsed="false">
      <c r="B389" s="28"/>
    </row>
    <row r="390" customFormat="false" ht="14.25" hidden="false" customHeight="true" outlineLevel="0" collapsed="false">
      <c r="B390" s="28"/>
    </row>
    <row r="391" customFormat="false" ht="14.25" hidden="false" customHeight="true" outlineLevel="0" collapsed="false">
      <c r="B391" s="28"/>
    </row>
    <row r="392" customFormat="false" ht="14.25" hidden="false" customHeight="true" outlineLevel="0" collapsed="false">
      <c r="B392" s="28"/>
    </row>
    <row r="393" customFormat="false" ht="14.25" hidden="false" customHeight="true" outlineLevel="0" collapsed="false">
      <c r="B393" s="28"/>
    </row>
    <row r="394" customFormat="false" ht="14.25" hidden="false" customHeight="true" outlineLevel="0" collapsed="false">
      <c r="B394" s="28"/>
    </row>
    <row r="395" customFormat="false" ht="14.25" hidden="false" customHeight="true" outlineLevel="0" collapsed="false">
      <c r="B395" s="28"/>
    </row>
    <row r="396" customFormat="false" ht="14.25" hidden="false" customHeight="true" outlineLevel="0" collapsed="false">
      <c r="B396" s="28"/>
    </row>
    <row r="397" customFormat="false" ht="14.25" hidden="false" customHeight="true" outlineLevel="0" collapsed="false">
      <c r="B397" s="28"/>
    </row>
    <row r="398" customFormat="false" ht="14.25" hidden="false" customHeight="true" outlineLevel="0" collapsed="false">
      <c r="B398" s="28"/>
    </row>
    <row r="399" customFormat="false" ht="14.25" hidden="false" customHeight="true" outlineLevel="0" collapsed="false">
      <c r="B399" s="28"/>
    </row>
    <row r="400" customFormat="false" ht="14.25" hidden="false" customHeight="true" outlineLevel="0" collapsed="false">
      <c r="B400" s="28"/>
    </row>
    <row r="401" customFormat="false" ht="14.25" hidden="false" customHeight="true" outlineLevel="0" collapsed="false">
      <c r="B401" s="28"/>
    </row>
    <row r="402" customFormat="false" ht="14.25" hidden="false" customHeight="true" outlineLevel="0" collapsed="false">
      <c r="B402" s="28"/>
    </row>
    <row r="403" customFormat="false" ht="14.25" hidden="false" customHeight="true" outlineLevel="0" collapsed="false">
      <c r="B403" s="28"/>
    </row>
    <row r="404" customFormat="false" ht="14.25" hidden="false" customHeight="true" outlineLevel="0" collapsed="false">
      <c r="B404" s="28"/>
    </row>
    <row r="405" customFormat="false" ht="14.25" hidden="false" customHeight="true" outlineLevel="0" collapsed="false">
      <c r="B405" s="28"/>
    </row>
    <row r="406" customFormat="false" ht="14.25" hidden="false" customHeight="true" outlineLevel="0" collapsed="false">
      <c r="B406" s="28"/>
    </row>
    <row r="407" customFormat="false" ht="14.25" hidden="false" customHeight="true" outlineLevel="0" collapsed="false">
      <c r="B407" s="28"/>
    </row>
    <row r="408" customFormat="false" ht="14.25" hidden="false" customHeight="true" outlineLevel="0" collapsed="false">
      <c r="B408" s="28"/>
    </row>
    <row r="409" customFormat="false" ht="14.25" hidden="false" customHeight="true" outlineLevel="0" collapsed="false">
      <c r="B409" s="28"/>
    </row>
    <row r="410" customFormat="false" ht="14.25" hidden="false" customHeight="true" outlineLevel="0" collapsed="false">
      <c r="B410" s="28"/>
    </row>
    <row r="411" customFormat="false" ht="14.25" hidden="false" customHeight="true" outlineLevel="0" collapsed="false">
      <c r="B411" s="28"/>
    </row>
    <row r="412" customFormat="false" ht="14.25" hidden="false" customHeight="true" outlineLevel="0" collapsed="false">
      <c r="B412" s="28"/>
    </row>
    <row r="413" customFormat="false" ht="14.25" hidden="false" customHeight="true" outlineLevel="0" collapsed="false">
      <c r="B413" s="28"/>
    </row>
    <row r="414" customFormat="false" ht="14.25" hidden="false" customHeight="true" outlineLevel="0" collapsed="false">
      <c r="B414" s="28"/>
    </row>
    <row r="415" customFormat="false" ht="14.25" hidden="false" customHeight="true" outlineLevel="0" collapsed="false">
      <c r="B415" s="28"/>
    </row>
    <row r="416" customFormat="false" ht="14.25" hidden="false" customHeight="true" outlineLevel="0" collapsed="false">
      <c r="B416" s="28"/>
    </row>
    <row r="417" customFormat="false" ht="14.25" hidden="false" customHeight="true" outlineLevel="0" collapsed="false">
      <c r="B417" s="28"/>
    </row>
    <row r="418" customFormat="false" ht="14.25" hidden="false" customHeight="true" outlineLevel="0" collapsed="false">
      <c r="B418" s="28"/>
    </row>
    <row r="419" customFormat="false" ht="14.25" hidden="false" customHeight="true" outlineLevel="0" collapsed="false">
      <c r="B419" s="28"/>
    </row>
    <row r="420" customFormat="false" ht="14.25" hidden="false" customHeight="true" outlineLevel="0" collapsed="false">
      <c r="B420" s="28"/>
    </row>
    <row r="421" customFormat="false" ht="14.25" hidden="false" customHeight="true" outlineLevel="0" collapsed="false">
      <c r="B421" s="28"/>
    </row>
    <row r="422" customFormat="false" ht="14.25" hidden="false" customHeight="true" outlineLevel="0" collapsed="false">
      <c r="B422" s="28"/>
    </row>
    <row r="423" customFormat="false" ht="14.25" hidden="false" customHeight="true" outlineLevel="0" collapsed="false">
      <c r="B423" s="28"/>
    </row>
    <row r="424" customFormat="false" ht="14.25" hidden="false" customHeight="true" outlineLevel="0" collapsed="false">
      <c r="B424" s="28"/>
    </row>
    <row r="425" customFormat="false" ht="14.25" hidden="false" customHeight="true" outlineLevel="0" collapsed="false">
      <c r="B425" s="28"/>
    </row>
    <row r="426" customFormat="false" ht="14.25" hidden="false" customHeight="true" outlineLevel="0" collapsed="false">
      <c r="B426" s="28"/>
    </row>
    <row r="427" customFormat="false" ht="14.25" hidden="false" customHeight="true" outlineLevel="0" collapsed="false">
      <c r="B427" s="28"/>
    </row>
    <row r="428" customFormat="false" ht="14.25" hidden="false" customHeight="true" outlineLevel="0" collapsed="false">
      <c r="B428" s="28"/>
    </row>
    <row r="429" customFormat="false" ht="14.25" hidden="false" customHeight="true" outlineLevel="0" collapsed="false">
      <c r="B429" s="28"/>
    </row>
    <row r="430" customFormat="false" ht="14.25" hidden="false" customHeight="true" outlineLevel="0" collapsed="false">
      <c r="B430" s="28"/>
    </row>
    <row r="431" customFormat="false" ht="14.25" hidden="false" customHeight="true" outlineLevel="0" collapsed="false">
      <c r="B431" s="28"/>
    </row>
    <row r="432" customFormat="false" ht="14.25" hidden="false" customHeight="true" outlineLevel="0" collapsed="false">
      <c r="B432" s="28"/>
    </row>
    <row r="433" customFormat="false" ht="14.25" hidden="false" customHeight="true" outlineLevel="0" collapsed="false">
      <c r="B433" s="28"/>
    </row>
    <row r="434" customFormat="false" ht="14.25" hidden="false" customHeight="true" outlineLevel="0" collapsed="false">
      <c r="B434" s="28"/>
    </row>
    <row r="435" customFormat="false" ht="14.25" hidden="false" customHeight="true" outlineLevel="0" collapsed="false">
      <c r="B435" s="28"/>
    </row>
    <row r="436" customFormat="false" ht="14.25" hidden="false" customHeight="true" outlineLevel="0" collapsed="false">
      <c r="B436" s="28"/>
    </row>
    <row r="437" customFormat="false" ht="14.25" hidden="false" customHeight="true" outlineLevel="0" collapsed="false">
      <c r="B437" s="28"/>
    </row>
    <row r="438" customFormat="false" ht="14.25" hidden="false" customHeight="true" outlineLevel="0" collapsed="false">
      <c r="B438" s="28"/>
    </row>
    <row r="439" customFormat="false" ht="14.25" hidden="false" customHeight="true" outlineLevel="0" collapsed="false">
      <c r="B439" s="28"/>
    </row>
    <row r="440" customFormat="false" ht="14.25" hidden="false" customHeight="true" outlineLevel="0" collapsed="false">
      <c r="B440" s="28"/>
    </row>
    <row r="441" customFormat="false" ht="14.25" hidden="false" customHeight="true" outlineLevel="0" collapsed="false">
      <c r="B441" s="28"/>
    </row>
    <row r="442" customFormat="false" ht="14.25" hidden="false" customHeight="true" outlineLevel="0" collapsed="false">
      <c r="B442" s="28"/>
    </row>
    <row r="443" customFormat="false" ht="14.25" hidden="false" customHeight="true" outlineLevel="0" collapsed="false">
      <c r="B443" s="28"/>
    </row>
    <row r="444" customFormat="false" ht="14.25" hidden="false" customHeight="true" outlineLevel="0" collapsed="false">
      <c r="B444" s="28"/>
    </row>
    <row r="445" customFormat="false" ht="14.25" hidden="false" customHeight="true" outlineLevel="0" collapsed="false">
      <c r="B445" s="28"/>
    </row>
    <row r="446" customFormat="false" ht="14.25" hidden="false" customHeight="true" outlineLevel="0" collapsed="false">
      <c r="B446" s="28"/>
    </row>
    <row r="447" customFormat="false" ht="14.25" hidden="false" customHeight="true" outlineLevel="0" collapsed="false">
      <c r="B447" s="28"/>
    </row>
    <row r="448" customFormat="false" ht="14.25" hidden="false" customHeight="true" outlineLevel="0" collapsed="false">
      <c r="B448" s="28"/>
    </row>
    <row r="449" customFormat="false" ht="14.25" hidden="false" customHeight="true" outlineLevel="0" collapsed="false">
      <c r="B449" s="28"/>
    </row>
    <row r="450" customFormat="false" ht="14.25" hidden="false" customHeight="true" outlineLevel="0" collapsed="false">
      <c r="B450" s="28"/>
    </row>
    <row r="451" customFormat="false" ht="14.25" hidden="false" customHeight="true" outlineLevel="0" collapsed="false">
      <c r="B451" s="28"/>
    </row>
    <row r="452" customFormat="false" ht="14.25" hidden="false" customHeight="true" outlineLevel="0" collapsed="false">
      <c r="B452" s="28"/>
    </row>
    <row r="453" customFormat="false" ht="14.25" hidden="false" customHeight="true" outlineLevel="0" collapsed="false">
      <c r="B453" s="28"/>
    </row>
    <row r="454" customFormat="false" ht="14.25" hidden="false" customHeight="true" outlineLevel="0" collapsed="false">
      <c r="B454" s="28"/>
    </row>
    <row r="455" customFormat="false" ht="14.25" hidden="false" customHeight="true" outlineLevel="0" collapsed="false">
      <c r="B455" s="28"/>
    </row>
    <row r="456" customFormat="false" ht="14.25" hidden="false" customHeight="true" outlineLevel="0" collapsed="false">
      <c r="B456" s="28"/>
    </row>
    <row r="457" customFormat="false" ht="14.25" hidden="false" customHeight="true" outlineLevel="0" collapsed="false">
      <c r="B457" s="28"/>
    </row>
    <row r="458" customFormat="false" ht="14.25" hidden="false" customHeight="true" outlineLevel="0" collapsed="false">
      <c r="B458" s="28"/>
    </row>
    <row r="459" customFormat="false" ht="14.25" hidden="false" customHeight="true" outlineLevel="0" collapsed="false">
      <c r="B459" s="28"/>
    </row>
    <row r="460" customFormat="false" ht="14.25" hidden="false" customHeight="true" outlineLevel="0" collapsed="false">
      <c r="B460" s="28"/>
    </row>
    <row r="461" customFormat="false" ht="14.25" hidden="false" customHeight="true" outlineLevel="0" collapsed="false">
      <c r="B461" s="28"/>
    </row>
    <row r="462" customFormat="false" ht="14.25" hidden="false" customHeight="true" outlineLevel="0" collapsed="false">
      <c r="B462" s="28"/>
    </row>
    <row r="463" customFormat="false" ht="14.25" hidden="false" customHeight="true" outlineLevel="0" collapsed="false">
      <c r="B463" s="28"/>
    </row>
    <row r="464" customFormat="false" ht="14.25" hidden="false" customHeight="true" outlineLevel="0" collapsed="false">
      <c r="B464" s="28"/>
    </row>
    <row r="465" customFormat="false" ht="14.25" hidden="false" customHeight="true" outlineLevel="0" collapsed="false">
      <c r="B465" s="28"/>
    </row>
    <row r="466" customFormat="false" ht="14.25" hidden="false" customHeight="true" outlineLevel="0" collapsed="false">
      <c r="B466" s="28"/>
    </row>
    <row r="467" customFormat="false" ht="14.25" hidden="false" customHeight="true" outlineLevel="0" collapsed="false">
      <c r="B467" s="28"/>
    </row>
    <row r="468" customFormat="false" ht="14.25" hidden="false" customHeight="true" outlineLevel="0" collapsed="false">
      <c r="B468" s="28"/>
    </row>
    <row r="469" customFormat="false" ht="14.25" hidden="false" customHeight="true" outlineLevel="0" collapsed="false">
      <c r="B469" s="28"/>
    </row>
    <row r="470" customFormat="false" ht="14.25" hidden="false" customHeight="true" outlineLevel="0" collapsed="false">
      <c r="B470" s="28"/>
    </row>
    <row r="471" customFormat="false" ht="14.25" hidden="false" customHeight="true" outlineLevel="0" collapsed="false">
      <c r="B471" s="28"/>
    </row>
    <row r="472" customFormat="false" ht="14.25" hidden="false" customHeight="true" outlineLevel="0" collapsed="false">
      <c r="B472" s="28"/>
    </row>
    <row r="473" customFormat="false" ht="14.25" hidden="false" customHeight="true" outlineLevel="0" collapsed="false">
      <c r="B473" s="28"/>
    </row>
    <row r="474" customFormat="false" ht="14.25" hidden="false" customHeight="true" outlineLevel="0" collapsed="false">
      <c r="B474" s="28"/>
    </row>
    <row r="475" customFormat="false" ht="14.25" hidden="false" customHeight="true" outlineLevel="0" collapsed="false">
      <c r="B475" s="28"/>
    </row>
    <row r="476" customFormat="false" ht="14.25" hidden="false" customHeight="true" outlineLevel="0" collapsed="false">
      <c r="B476" s="28"/>
    </row>
    <row r="477" customFormat="false" ht="14.25" hidden="false" customHeight="true" outlineLevel="0" collapsed="false">
      <c r="B477" s="28"/>
    </row>
    <row r="478" customFormat="false" ht="14.25" hidden="false" customHeight="true" outlineLevel="0" collapsed="false">
      <c r="B478" s="28"/>
    </row>
    <row r="479" customFormat="false" ht="14.25" hidden="false" customHeight="true" outlineLevel="0" collapsed="false">
      <c r="B479" s="28"/>
    </row>
    <row r="480" customFormat="false" ht="14.25" hidden="false" customHeight="true" outlineLevel="0" collapsed="false">
      <c r="B480" s="28"/>
    </row>
    <row r="481" customFormat="false" ht="14.25" hidden="false" customHeight="true" outlineLevel="0" collapsed="false">
      <c r="B481" s="28"/>
    </row>
    <row r="482" customFormat="false" ht="14.25" hidden="false" customHeight="true" outlineLevel="0" collapsed="false">
      <c r="B482" s="28"/>
    </row>
    <row r="483" customFormat="false" ht="14.25" hidden="false" customHeight="true" outlineLevel="0" collapsed="false">
      <c r="B483" s="28"/>
    </row>
    <row r="484" customFormat="false" ht="14.25" hidden="false" customHeight="true" outlineLevel="0" collapsed="false">
      <c r="B484" s="28"/>
    </row>
    <row r="485" customFormat="false" ht="14.25" hidden="false" customHeight="true" outlineLevel="0" collapsed="false">
      <c r="B485" s="28"/>
    </row>
    <row r="486" customFormat="false" ht="14.25" hidden="false" customHeight="true" outlineLevel="0" collapsed="false">
      <c r="B486" s="28"/>
    </row>
    <row r="487" customFormat="false" ht="14.25" hidden="false" customHeight="true" outlineLevel="0" collapsed="false">
      <c r="B487" s="28"/>
    </row>
    <row r="488" customFormat="false" ht="14.25" hidden="false" customHeight="true" outlineLevel="0" collapsed="false">
      <c r="B488" s="28"/>
    </row>
    <row r="489" customFormat="false" ht="14.25" hidden="false" customHeight="true" outlineLevel="0" collapsed="false">
      <c r="B489" s="28"/>
    </row>
    <row r="490" customFormat="false" ht="14.25" hidden="false" customHeight="true" outlineLevel="0" collapsed="false">
      <c r="B490" s="28"/>
    </row>
    <row r="491" customFormat="false" ht="14.25" hidden="false" customHeight="true" outlineLevel="0" collapsed="false">
      <c r="B491" s="28"/>
    </row>
    <row r="492" customFormat="false" ht="14.25" hidden="false" customHeight="true" outlineLevel="0" collapsed="false">
      <c r="B492" s="28"/>
    </row>
    <row r="493" customFormat="false" ht="14.25" hidden="false" customHeight="true" outlineLevel="0" collapsed="false">
      <c r="B493" s="28"/>
    </row>
    <row r="494" customFormat="false" ht="14.25" hidden="false" customHeight="true" outlineLevel="0" collapsed="false">
      <c r="B494" s="28"/>
    </row>
    <row r="495" customFormat="false" ht="14.25" hidden="false" customHeight="true" outlineLevel="0" collapsed="false">
      <c r="B495" s="28"/>
    </row>
    <row r="496" customFormat="false" ht="14.25" hidden="false" customHeight="true" outlineLevel="0" collapsed="false">
      <c r="B496" s="28"/>
    </row>
    <row r="497" customFormat="false" ht="14.25" hidden="false" customHeight="true" outlineLevel="0" collapsed="false">
      <c r="B497" s="28"/>
    </row>
    <row r="498" customFormat="false" ht="14.25" hidden="false" customHeight="true" outlineLevel="0" collapsed="false">
      <c r="B498" s="28"/>
    </row>
    <row r="499" customFormat="false" ht="14.25" hidden="false" customHeight="true" outlineLevel="0" collapsed="false">
      <c r="B499" s="28"/>
    </row>
    <row r="500" customFormat="false" ht="14.25" hidden="false" customHeight="true" outlineLevel="0" collapsed="false">
      <c r="B500" s="28"/>
    </row>
    <row r="501" customFormat="false" ht="14.25" hidden="false" customHeight="true" outlineLevel="0" collapsed="false">
      <c r="B501" s="28"/>
    </row>
    <row r="502" customFormat="false" ht="14.25" hidden="false" customHeight="true" outlineLevel="0" collapsed="false">
      <c r="B502" s="28"/>
    </row>
    <row r="503" customFormat="false" ht="14.25" hidden="false" customHeight="true" outlineLevel="0" collapsed="false">
      <c r="B503" s="28"/>
    </row>
    <row r="504" customFormat="false" ht="14.25" hidden="false" customHeight="true" outlineLevel="0" collapsed="false">
      <c r="B504" s="28"/>
    </row>
    <row r="505" customFormat="false" ht="14.25" hidden="false" customHeight="true" outlineLevel="0" collapsed="false">
      <c r="B505" s="28"/>
    </row>
    <row r="506" customFormat="false" ht="14.25" hidden="false" customHeight="true" outlineLevel="0" collapsed="false">
      <c r="B506" s="28"/>
    </row>
    <row r="507" customFormat="false" ht="14.25" hidden="false" customHeight="true" outlineLevel="0" collapsed="false">
      <c r="B507" s="28"/>
    </row>
    <row r="508" customFormat="false" ht="14.25" hidden="false" customHeight="true" outlineLevel="0" collapsed="false">
      <c r="B508" s="28"/>
    </row>
    <row r="509" customFormat="false" ht="14.25" hidden="false" customHeight="true" outlineLevel="0" collapsed="false">
      <c r="B509" s="28"/>
    </row>
    <row r="510" customFormat="false" ht="14.25" hidden="false" customHeight="true" outlineLevel="0" collapsed="false">
      <c r="B510" s="28"/>
    </row>
    <row r="511" customFormat="false" ht="14.25" hidden="false" customHeight="true" outlineLevel="0" collapsed="false">
      <c r="B511" s="28"/>
    </row>
    <row r="512" customFormat="false" ht="14.25" hidden="false" customHeight="true" outlineLevel="0" collapsed="false">
      <c r="B512" s="28"/>
    </row>
    <row r="513" customFormat="false" ht="14.25" hidden="false" customHeight="true" outlineLevel="0" collapsed="false">
      <c r="B513" s="28"/>
    </row>
    <row r="514" customFormat="false" ht="14.25" hidden="false" customHeight="true" outlineLevel="0" collapsed="false">
      <c r="B514" s="28"/>
    </row>
    <row r="515" customFormat="false" ht="14.25" hidden="false" customHeight="true" outlineLevel="0" collapsed="false">
      <c r="B515" s="28"/>
    </row>
    <row r="516" customFormat="false" ht="14.25" hidden="false" customHeight="true" outlineLevel="0" collapsed="false">
      <c r="B516" s="28"/>
    </row>
    <row r="517" customFormat="false" ht="14.25" hidden="false" customHeight="true" outlineLevel="0" collapsed="false">
      <c r="B517" s="28"/>
    </row>
    <row r="518" customFormat="false" ht="14.25" hidden="false" customHeight="true" outlineLevel="0" collapsed="false">
      <c r="B518" s="28"/>
    </row>
    <row r="519" customFormat="false" ht="14.25" hidden="false" customHeight="true" outlineLevel="0" collapsed="false">
      <c r="B519" s="28"/>
    </row>
    <row r="520" customFormat="false" ht="14.25" hidden="false" customHeight="true" outlineLevel="0" collapsed="false">
      <c r="B520" s="28"/>
    </row>
    <row r="521" customFormat="false" ht="14.25" hidden="false" customHeight="true" outlineLevel="0" collapsed="false">
      <c r="B521" s="28"/>
    </row>
    <row r="522" customFormat="false" ht="14.25" hidden="false" customHeight="true" outlineLevel="0" collapsed="false">
      <c r="B522" s="28"/>
    </row>
    <row r="523" customFormat="false" ht="14.25" hidden="false" customHeight="true" outlineLevel="0" collapsed="false">
      <c r="B523" s="28"/>
    </row>
    <row r="524" customFormat="false" ht="14.25" hidden="false" customHeight="true" outlineLevel="0" collapsed="false">
      <c r="B524" s="28"/>
    </row>
    <row r="525" customFormat="false" ht="14.25" hidden="false" customHeight="true" outlineLevel="0" collapsed="false">
      <c r="B525" s="28"/>
    </row>
    <row r="526" customFormat="false" ht="14.25" hidden="false" customHeight="true" outlineLevel="0" collapsed="false">
      <c r="B526" s="28"/>
    </row>
    <row r="527" customFormat="false" ht="14.25" hidden="false" customHeight="true" outlineLevel="0" collapsed="false">
      <c r="B527" s="28"/>
    </row>
    <row r="528" customFormat="false" ht="14.25" hidden="false" customHeight="true" outlineLevel="0" collapsed="false">
      <c r="B528" s="28"/>
    </row>
    <row r="529" customFormat="false" ht="14.25" hidden="false" customHeight="true" outlineLevel="0" collapsed="false">
      <c r="B529" s="28"/>
    </row>
    <row r="530" customFormat="false" ht="14.25" hidden="false" customHeight="true" outlineLevel="0" collapsed="false">
      <c r="B530" s="28"/>
    </row>
    <row r="531" customFormat="false" ht="14.25" hidden="false" customHeight="true" outlineLevel="0" collapsed="false">
      <c r="B531" s="28"/>
    </row>
    <row r="532" customFormat="false" ht="14.25" hidden="false" customHeight="true" outlineLevel="0" collapsed="false">
      <c r="B532" s="28"/>
    </row>
    <row r="533" customFormat="false" ht="14.25" hidden="false" customHeight="true" outlineLevel="0" collapsed="false">
      <c r="B533" s="28"/>
    </row>
    <row r="534" customFormat="false" ht="14.25" hidden="false" customHeight="true" outlineLevel="0" collapsed="false">
      <c r="B534" s="28"/>
    </row>
    <row r="535" customFormat="false" ht="14.25" hidden="false" customHeight="true" outlineLevel="0" collapsed="false">
      <c r="B535" s="28"/>
    </row>
    <row r="536" customFormat="false" ht="14.25" hidden="false" customHeight="true" outlineLevel="0" collapsed="false">
      <c r="B536" s="28"/>
    </row>
    <row r="537" customFormat="false" ht="14.25" hidden="false" customHeight="true" outlineLevel="0" collapsed="false">
      <c r="B537" s="28"/>
    </row>
    <row r="538" customFormat="false" ht="14.25" hidden="false" customHeight="true" outlineLevel="0" collapsed="false">
      <c r="B538" s="28"/>
    </row>
    <row r="539" customFormat="false" ht="14.25" hidden="false" customHeight="true" outlineLevel="0" collapsed="false">
      <c r="B539" s="28"/>
    </row>
    <row r="540" customFormat="false" ht="14.25" hidden="false" customHeight="true" outlineLevel="0" collapsed="false">
      <c r="B540" s="28"/>
    </row>
    <row r="541" customFormat="false" ht="14.25" hidden="false" customHeight="true" outlineLevel="0" collapsed="false">
      <c r="B541" s="28"/>
    </row>
    <row r="542" customFormat="false" ht="14.25" hidden="false" customHeight="true" outlineLevel="0" collapsed="false">
      <c r="B542" s="28"/>
    </row>
    <row r="543" customFormat="false" ht="14.25" hidden="false" customHeight="true" outlineLevel="0" collapsed="false">
      <c r="B543" s="28"/>
    </row>
    <row r="544" customFormat="false" ht="14.25" hidden="false" customHeight="true" outlineLevel="0" collapsed="false">
      <c r="B544" s="28"/>
    </row>
    <row r="545" customFormat="false" ht="14.25" hidden="false" customHeight="true" outlineLevel="0" collapsed="false">
      <c r="B545" s="28"/>
    </row>
    <row r="546" customFormat="false" ht="14.25" hidden="false" customHeight="true" outlineLevel="0" collapsed="false">
      <c r="B546" s="28"/>
    </row>
    <row r="547" customFormat="false" ht="14.25" hidden="false" customHeight="true" outlineLevel="0" collapsed="false">
      <c r="B547" s="28"/>
    </row>
    <row r="548" customFormat="false" ht="14.25" hidden="false" customHeight="true" outlineLevel="0" collapsed="false">
      <c r="B548" s="28"/>
    </row>
    <row r="549" customFormat="false" ht="14.25" hidden="false" customHeight="true" outlineLevel="0" collapsed="false">
      <c r="B549" s="28"/>
    </row>
    <row r="550" customFormat="false" ht="14.25" hidden="false" customHeight="true" outlineLevel="0" collapsed="false">
      <c r="B550" s="28"/>
    </row>
    <row r="551" customFormat="false" ht="14.25" hidden="false" customHeight="true" outlineLevel="0" collapsed="false">
      <c r="B551" s="28"/>
    </row>
    <row r="552" customFormat="false" ht="14.25" hidden="false" customHeight="true" outlineLevel="0" collapsed="false">
      <c r="B552" s="28"/>
    </row>
    <row r="553" customFormat="false" ht="14.25" hidden="false" customHeight="true" outlineLevel="0" collapsed="false">
      <c r="B553" s="28"/>
    </row>
    <row r="554" customFormat="false" ht="14.25" hidden="false" customHeight="true" outlineLevel="0" collapsed="false">
      <c r="B554" s="28"/>
    </row>
    <row r="555" customFormat="false" ht="14.25" hidden="false" customHeight="true" outlineLevel="0" collapsed="false">
      <c r="B555" s="28"/>
    </row>
    <row r="556" customFormat="false" ht="14.25" hidden="false" customHeight="true" outlineLevel="0" collapsed="false">
      <c r="B556" s="28"/>
    </row>
    <row r="557" customFormat="false" ht="14.25" hidden="false" customHeight="true" outlineLevel="0" collapsed="false">
      <c r="B557" s="28"/>
    </row>
    <row r="558" customFormat="false" ht="14.25" hidden="false" customHeight="true" outlineLevel="0" collapsed="false">
      <c r="B558" s="28"/>
    </row>
    <row r="559" customFormat="false" ht="14.25" hidden="false" customHeight="true" outlineLevel="0" collapsed="false">
      <c r="B559" s="28"/>
    </row>
    <row r="560" customFormat="false" ht="14.25" hidden="false" customHeight="true" outlineLevel="0" collapsed="false">
      <c r="B560" s="28"/>
    </row>
    <row r="561" customFormat="false" ht="14.25" hidden="false" customHeight="true" outlineLevel="0" collapsed="false">
      <c r="B561" s="28"/>
    </row>
    <row r="562" customFormat="false" ht="14.25" hidden="false" customHeight="true" outlineLevel="0" collapsed="false">
      <c r="B562" s="28"/>
    </row>
    <row r="563" customFormat="false" ht="14.25" hidden="false" customHeight="true" outlineLevel="0" collapsed="false">
      <c r="B563" s="28"/>
    </row>
    <row r="564" customFormat="false" ht="14.25" hidden="false" customHeight="true" outlineLevel="0" collapsed="false">
      <c r="B564" s="28"/>
    </row>
    <row r="565" customFormat="false" ht="14.25" hidden="false" customHeight="true" outlineLevel="0" collapsed="false">
      <c r="B565" s="28"/>
    </row>
    <row r="566" customFormat="false" ht="14.25" hidden="false" customHeight="true" outlineLevel="0" collapsed="false">
      <c r="B566" s="28"/>
    </row>
    <row r="567" customFormat="false" ht="14.25" hidden="false" customHeight="true" outlineLevel="0" collapsed="false">
      <c r="B567" s="28"/>
    </row>
    <row r="568" customFormat="false" ht="14.25" hidden="false" customHeight="true" outlineLevel="0" collapsed="false">
      <c r="B568" s="28"/>
    </row>
    <row r="569" customFormat="false" ht="14.25" hidden="false" customHeight="true" outlineLevel="0" collapsed="false">
      <c r="B569" s="28"/>
    </row>
    <row r="570" customFormat="false" ht="14.25" hidden="false" customHeight="true" outlineLevel="0" collapsed="false">
      <c r="B570" s="28"/>
    </row>
    <row r="571" customFormat="false" ht="14.25" hidden="false" customHeight="true" outlineLevel="0" collapsed="false">
      <c r="B571" s="28"/>
    </row>
    <row r="572" customFormat="false" ht="14.25" hidden="false" customHeight="true" outlineLevel="0" collapsed="false">
      <c r="B572" s="28"/>
    </row>
    <row r="573" customFormat="false" ht="14.25" hidden="false" customHeight="true" outlineLevel="0" collapsed="false">
      <c r="B573" s="28"/>
    </row>
    <row r="574" customFormat="false" ht="14.25" hidden="false" customHeight="true" outlineLevel="0" collapsed="false">
      <c r="B574" s="28"/>
    </row>
    <row r="575" customFormat="false" ht="14.25" hidden="false" customHeight="true" outlineLevel="0" collapsed="false">
      <c r="B575" s="28"/>
    </row>
    <row r="576" customFormat="false" ht="14.25" hidden="false" customHeight="true" outlineLevel="0" collapsed="false">
      <c r="B576" s="28"/>
    </row>
    <row r="577" customFormat="false" ht="14.25" hidden="false" customHeight="true" outlineLevel="0" collapsed="false">
      <c r="B577" s="28"/>
    </row>
    <row r="578" customFormat="false" ht="14.25" hidden="false" customHeight="true" outlineLevel="0" collapsed="false">
      <c r="B578" s="28"/>
    </row>
    <row r="579" customFormat="false" ht="14.25" hidden="false" customHeight="true" outlineLevel="0" collapsed="false">
      <c r="B579" s="28"/>
    </row>
    <row r="580" customFormat="false" ht="14.25" hidden="false" customHeight="true" outlineLevel="0" collapsed="false">
      <c r="B580" s="28"/>
    </row>
    <row r="581" customFormat="false" ht="14.25" hidden="false" customHeight="true" outlineLevel="0" collapsed="false">
      <c r="B581" s="28"/>
    </row>
    <row r="582" customFormat="false" ht="14.25" hidden="false" customHeight="true" outlineLevel="0" collapsed="false">
      <c r="B582" s="28"/>
    </row>
    <row r="583" customFormat="false" ht="14.25" hidden="false" customHeight="true" outlineLevel="0" collapsed="false">
      <c r="B583" s="28"/>
    </row>
    <row r="584" customFormat="false" ht="14.25" hidden="false" customHeight="true" outlineLevel="0" collapsed="false">
      <c r="B584" s="28"/>
    </row>
    <row r="585" customFormat="false" ht="14.25" hidden="false" customHeight="true" outlineLevel="0" collapsed="false">
      <c r="B585" s="28"/>
    </row>
    <row r="586" customFormat="false" ht="14.25" hidden="false" customHeight="true" outlineLevel="0" collapsed="false">
      <c r="B586" s="28"/>
    </row>
    <row r="587" customFormat="false" ht="14.25" hidden="false" customHeight="true" outlineLevel="0" collapsed="false">
      <c r="B587" s="28"/>
    </row>
    <row r="588" customFormat="false" ht="14.25" hidden="false" customHeight="true" outlineLevel="0" collapsed="false">
      <c r="B588" s="28"/>
    </row>
    <row r="589" customFormat="false" ht="14.25" hidden="false" customHeight="true" outlineLevel="0" collapsed="false">
      <c r="B589" s="28"/>
    </row>
    <row r="590" customFormat="false" ht="14.25" hidden="false" customHeight="true" outlineLevel="0" collapsed="false">
      <c r="B590" s="28"/>
    </row>
    <row r="591" customFormat="false" ht="14.25" hidden="false" customHeight="true" outlineLevel="0" collapsed="false">
      <c r="B591" s="28"/>
    </row>
    <row r="592" customFormat="false" ht="14.25" hidden="false" customHeight="true" outlineLevel="0" collapsed="false">
      <c r="B592" s="28"/>
    </row>
    <row r="593" customFormat="false" ht="14.25" hidden="false" customHeight="true" outlineLevel="0" collapsed="false">
      <c r="B593" s="28"/>
    </row>
    <row r="594" customFormat="false" ht="14.25" hidden="false" customHeight="true" outlineLevel="0" collapsed="false">
      <c r="B594" s="28"/>
    </row>
    <row r="595" customFormat="false" ht="14.25" hidden="false" customHeight="true" outlineLevel="0" collapsed="false">
      <c r="B595" s="28"/>
    </row>
    <row r="596" customFormat="false" ht="14.25" hidden="false" customHeight="true" outlineLevel="0" collapsed="false">
      <c r="B596" s="28"/>
    </row>
    <row r="597" customFormat="false" ht="14.25" hidden="false" customHeight="true" outlineLevel="0" collapsed="false">
      <c r="B597" s="28"/>
    </row>
    <row r="598" customFormat="false" ht="14.25" hidden="false" customHeight="true" outlineLevel="0" collapsed="false">
      <c r="B598" s="28"/>
    </row>
    <row r="599" customFormat="false" ht="14.25" hidden="false" customHeight="true" outlineLevel="0" collapsed="false">
      <c r="B599" s="28"/>
    </row>
    <row r="600" customFormat="false" ht="14.25" hidden="false" customHeight="true" outlineLevel="0" collapsed="false">
      <c r="B600" s="28"/>
    </row>
    <row r="601" customFormat="false" ht="14.25" hidden="false" customHeight="true" outlineLevel="0" collapsed="false">
      <c r="B601" s="28"/>
    </row>
    <row r="602" customFormat="false" ht="14.25" hidden="false" customHeight="true" outlineLevel="0" collapsed="false">
      <c r="B602" s="28"/>
    </row>
    <row r="603" customFormat="false" ht="14.25" hidden="false" customHeight="true" outlineLevel="0" collapsed="false">
      <c r="B603" s="28"/>
    </row>
    <row r="604" customFormat="false" ht="14.25" hidden="false" customHeight="true" outlineLevel="0" collapsed="false">
      <c r="B604" s="28"/>
    </row>
    <row r="605" customFormat="false" ht="14.25" hidden="false" customHeight="true" outlineLevel="0" collapsed="false">
      <c r="B605" s="28"/>
    </row>
    <row r="606" customFormat="false" ht="14.25" hidden="false" customHeight="true" outlineLevel="0" collapsed="false">
      <c r="B606" s="28"/>
    </row>
    <row r="607" customFormat="false" ht="14.25" hidden="false" customHeight="true" outlineLevel="0" collapsed="false">
      <c r="B607" s="28"/>
    </row>
    <row r="608" customFormat="false" ht="14.25" hidden="false" customHeight="true" outlineLevel="0" collapsed="false">
      <c r="B608" s="28"/>
    </row>
    <row r="609" customFormat="false" ht="14.25" hidden="false" customHeight="true" outlineLevel="0" collapsed="false">
      <c r="B609" s="28"/>
    </row>
    <row r="610" customFormat="false" ht="14.25" hidden="false" customHeight="true" outlineLevel="0" collapsed="false">
      <c r="B610" s="28"/>
    </row>
    <row r="611" customFormat="false" ht="14.25" hidden="false" customHeight="true" outlineLevel="0" collapsed="false">
      <c r="B611" s="28"/>
    </row>
    <row r="612" customFormat="false" ht="14.25" hidden="false" customHeight="true" outlineLevel="0" collapsed="false">
      <c r="B612" s="28"/>
    </row>
    <row r="613" customFormat="false" ht="14.25" hidden="false" customHeight="true" outlineLevel="0" collapsed="false">
      <c r="B613" s="28"/>
    </row>
    <row r="614" customFormat="false" ht="14.25" hidden="false" customHeight="true" outlineLevel="0" collapsed="false">
      <c r="B614" s="28"/>
    </row>
    <row r="615" customFormat="false" ht="14.25" hidden="false" customHeight="true" outlineLevel="0" collapsed="false">
      <c r="B615" s="28"/>
    </row>
    <row r="616" customFormat="false" ht="14.25" hidden="false" customHeight="true" outlineLevel="0" collapsed="false">
      <c r="B616" s="28"/>
    </row>
    <row r="617" customFormat="false" ht="14.25" hidden="false" customHeight="true" outlineLevel="0" collapsed="false">
      <c r="B617" s="28"/>
    </row>
    <row r="618" customFormat="false" ht="14.25" hidden="false" customHeight="true" outlineLevel="0" collapsed="false">
      <c r="B618" s="28"/>
    </row>
    <row r="619" customFormat="false" ht="14.25" hidden="false" customHeight="true" outlineLevel="0" collapsed="false">
      <c r="B619" s="28"/>
    </row>
    <row r="620" customFormat="false" ht="14.25" hidden="false" customHeight="true" outlineLevel="0" collapsed="false">
      <c r="B620" s="28"/>
    </row>
    <row r="621" customFormat="false" ht="14.25" hidden="false" customHeight="true" outlineLevel="0" collapsed="false">
      <c r="B621" s="28"/>
    </row>
    <row r="622" customFormat="false" ht="14.25" hidden="false" customHeight="true" outlineLevel="0" collapsed="false">
      <c r="B622" s="28"/>
    </row>
    <row r="623" customFormat="false" ht="14.25" hidden="false" customHeight="true" outlineLevel="0" collapsed="false">
      <c r="B623" s="28"/>
    </row>
    <row r="624" customFormat="false" ht="14.25" hidden="false" customHeight="true" outlineLevel="0" collapsed="false">
      <c r="B624" s="28"/>
    </row>
    <row r="625" customFormat="false" ht="14.25" hidden="false" customHeight="true" outlineLevel="0" collapsed="false">
      <c r="B625" s="28"/>
    </row>
    <row r="626" customFormat="false" ht="14.25" hidden="false" customHeight="true" outlineLevel="0" collapsed="false">
      <c r="B626" s="28"/>
    </row>
    <row r="627" customFormat="false" ht="14.25" hidden="false" customHeight="true" outlineLevel="0" collapsed="false">
      <c r="B627" s="28"/>
    </row>
    <row r="628" customFormat="false" ht="14.25" hidden="false" customHeight="true" outlineLevel="0" collapsed="false">
      <c r="B628" s="28"/>
    </row>
    <row r="629" customFormat="false" ht="14.25" hidden="false" customHeight="true" outlineLevel="0" collapsed="false">
      <c r="B629" s="28"/>
    </row>
    <row r="630" customFormat="false" ht="14.25" hidden="false" customHeight="true" outlineLevel="0" collapsed="false">
      <c r="B630" s="28"/>
    </row>
    <row r="631" customFormat="false" ht="14.25" hidden="false" customHeight="true" outlineLevel="0" collapsed="false">
      <c r="B631" s="28"/>
    </row>
    <row r="632" customFormat="false" ht="14.25" hidden="false" customHeight="true" outlineLevel="0" collapsed="false">
      <c r="B632" s="28"/>
    </row>
    <row r="633" customFormat="false" ht="14.25" hidden="false" customHeight="true" outlineLevel="0" collapsed="false">
      <c r="B633" s="28"/>
    </row>
    <row r="634" customFormat="false" ht="14.25" hidden="false" customHeight="true" outlineLevel="0" collapsed="false">
      <c r="B634" s="28"/>
    </row>
    <row r="635" customFormat="false" ht="14.25" hidden="false" customHeight="true" outlineLevel="0" collapsed="false">
      <c r="B635" s="28"/>
    </row>
    <row r="636" customFormat="false" ht="14.25" hidden="false" customHeight="true" outlineLevel="0" collapsed="false">
      <c r="B636" s="28"/>
    </row>
    <row r="637" customFormat="false" ht="14.25" hidden="false" customHeight="true" outlineLevel="0" collapsed="false">
      <c r="B637" s="28"/>
    </row>
    <row r="638" customFormat="false" ht="14.25" hidden="false" customHeight="true" outlineLevel="0" collapsed="false">
      <c r="B638" s="28"/>
    </row>
    <row r="639" customFormat="false" ht="14.25" hidden="false" customHeight="true" outlineLevel="0" collapsed="false">
      <c r="B639" s="28"/>
    </row>
    <row r="640" customFormat="false" ht="14.25" hidden="false" customHeight="true" outlineLevel="0" collapsed="false">
      <c r="B640" s="28"/>
    </row>
    <row r="641" customFormat="false" ht="14.25" hidden="false" customHeight="true" outlineLevel="0" collapsed="false">
      <c r="B641" s="28"/>
    </row>
    <row r="642" customFormat="false" ht="14.25" hidden="false" customHeight="true" outlineLevel="0" collapsed="false">
      <c r="B642" s="28"/>
    </row>
    <row r="643" customFormat="false" ht="14.25" hidden="false" customHeight="true" outlineLevel="0" collapsed="false">
      <c r="B643" s="28"/>
    </row>
    <row r="644" customFormat="false" ht="14.25" hidden="false" customHeight="true" outlineLevel="0" collapsed="false">
      <c r="B644" s="28"/>
    </row>
    <row r="645" customFormat="false" ht="14.25" hidden="false" customHeight="true" outlineLevel="0" collapsed="false">
      <c r="B645" s="28"/>
    </row>
    <row r="646" customFormat="false" ht="14.25" hidden="false" customHeight="true" outlineLevel="0" collapsed="false">
      <c r="B646" s="28"/>
    </row>
    <row r="647" customFormat="false" ht="14.25" hidden="false" customHeight="true" outlineLevel="0" collapsed="false">
      <c r="B647" s="28"/>
    </row>
    <row r="648" customFormat="false" ht="14.25" hidden="false" customHeight="true" outlineLevel="0" collapsed="false">
      <c r="B648" s="28"/>
    </row>
    <row r="649" customFormat="false" ht="14.25" hidden="false" customHeight="true" outlineLevel="0" collapsed="false">
      <c r="B649" s="28"/>
    </row>
    <row r="650" customFormat="false" ht="14.25" hidden="false" customHeight="true" outlineLevel="0" collapsed="false">
      <c r="B650" s="28"/>
    </row>
    <row r="651" customFormat="false" ht="14.25" hidden="false" customHeight="true" outlineLevel="0" collapsed="false">
      <c r="B651" s="28"/>
    </row>
    <row r="652" customFormat="false" ht="14.25" hidden="false" customHeight="true" outlineLevel="0" collapsed="false">
      <c r="B652" s="28"/>
    </row>
    <row r="653" customFormat="false" ht="14.25" hidden="false" customHeight="true" outlineLevel="0" collapsed="false">
      <c r="B653" s="28"/>
    </row>
    <row r="654" customFormat="false" ht="14.25" hidden="false" customHeight="true" outlineLevel="0" collapsed="false">
      <c r="B654" s="28"/>
    </row>
    <row r="655" customFormat="false" ht="14.25" hidden="false" customHeight="true" outlineLevel="0" collapsed="false">
      <c r="B655" s="28"/>
    </row>
    <row r="656" customFormat="false" ht="14.25" hidden="false" customHeight="true" outlineLevel="0" collapsed="false">
      <c r="B656" s="28"/>
    </row>
    <row r="657" customFormat="false" ht="14.25" hidden="false" customHeight="true" outlineLevel="0" collapsed="false">
      <c r="B657" s="28"/>
    </row>
    <row r="658" customFormat="false" ht="14.25" hidden="false" customHeight="true" outlineLevel="0" collapsed="false">
      <c r="B658" s="28"/>
    </row>
    <row r="659" customFormat="false" ht="14.25" hidden="false" customHeight="true" outlineLevel="0" collapsed="false">
      <c r="B659" s="28"/>
    </row>
    <row r="660" customFormat="false" ht="14.25" hidden="false" customHeight="true" outlineLevel="0" collapsed="false">
      <c r="B660" s="28"/>
    </row>
    <row r="661" customFormat="false" ht="14.25" hidden="false" customHeight="true" outlineLevel="0" collapsed="false">
      <c r="B661" s="28"/>
    </row>
    <row r="662" customFormat="false" ht="14.25" hidden="false" customHeight="true" outlineLevel="0" collapsed="false">
      <c r="B662" s="28"/>
    </row>
    <row r="663" customFormat="false" ht="14.25" hidden="false" customHeight="true" outlineLevel="0" collapsed="false">
      <c r="B663" s="28"/>
    </row>
    <row r="664" customFormat="false" ht="14.25" hidden="false" customHeight="true" outlineLevel="0" collapsed="false">
      <c r="B664" s="28"/>
    </row>
    <row r="665" customFormat="false" ht="14.25" hidden="false" customHeight="true" outlineLevel="0" collapsed="false">
      <c r="B665" s="28"/>
    </row>
    <row r="666" customFormat="false" ht="14.25" hidden="false" customHeight="true" outlineLevel="0" collapsed="false">
      <c r="B666" s="28"/>
    </row>
    <row r="667" customFormat="false" ht="14.25" hidden="false" customHeight="true" outlineLevel="0" collapsed="false">
      <c r="B667" s="28"/>
    </row>
    <row r="668" customFormat="false" ht="14.25" hidden="false" customHeight="true" outlineLevel="0" collapsed="false">
      <c r="B668" s="28"/>
    </row>
    <row r="669" customFormat="false" ht="14.25" hidden="false" customHeight="true" outlineLevel="0" collapsed="false">
      <c r="B669" s="28"/>
    </row>
    <row r="670" customFormat="false" ht="14.25" hidden="false" customHeight="true" outlineLevel="0" collapsed="false">
      <c r="B670" s="28"/>
    </row>
    <row r="671" customFormat="false" ht="14.25" hidden="false" customHeight="true" outlineLevel="0" collapsed="false">
      <c r="B671" s="28"/>
    </row>
    <row r="672" customFormat="false" ht="14.25" hidden="false" customHeight="true" outlineLevel="0" collapsed="false">
      <c r="B672" s="28"/>
    </row>
    <row r="673" customFormat="false" ht="14.25" hidden="false" customHeight="true" outlineLevel="0" collapsed="false">
      <c r="B673" s="28"/>
    </row>
    <row r="674" customFormat="false" ht="14.25" hidden="false" customHeight="true" outlineLevel="0" collapsed="false">
      <c r="B674" s="28"/>
    </row>
    <row r="675" customFormat="false" ht="14.25" hidden="false" customHeight="true" outlineLevel="0" collapsed="false">
      <c r="B675" s="28"/>
    </row>
    <row r="676" customFormat="false" ht="14.25" hidden="false" customHeight="true" outlineLevel="0" collapsed="false">
      <c r="B676" s="28"/>
    </row>
    <row r="677" customFormat="false" ht="14.25" hidden="false" customHeight="true" outlineLevel="0" collapsed="false">
      <c r="B677" s="28"/>
    </row>
    <row r="678" customFormat="false" ht="14.25" hidden="false" customHeight="true" outlineLevel="0" collapsed="false">
      <c r="B678" s="28"/>
    </row>
    <row r="679" customFormat="false" ht="14.25" hidden="false" customHeight="true" outlineLevel="0" collapsed="false">
      <c r="B679" s="28"/>
    </row>
    <row r="680" customFormat="false" ht="14.25" hidden="false" customHeight="true" outlineLevel="0" collapsed="false">
      <c r="B680" s="28"/>
    </row>
    <row r="681" customFormat="false" ht="14.25" hidden="false" customHeight="true" outlineLevel="0" collapsed="false">
      <c r="B681" s="28"/>
    </row>
    <row r="682" customFormat="false" ht="14.25" hidden="false" customHeight="true" outlineLevel="0" collapsed="false">
      <c r="B682" s="28"/>
    </row>
    <row r="683" customFormat="false" ht="14.25" hidden="false" customHeight="true" outlineLevel="0" collapsed="false">
      <c r="B683" s="28"/>
    </row>
    <row r="684" customFormat="false" ht="14.25" hidden="false" customHeight="true" outlineLevel="0" collapsed="false">
      <c r="B684" s="28"/>
    </row>
    <row r="685" customFormat="false" ht="14.25" hidden="false" customHeight="true" outlineLevel="0" collapsed="false">
      <c r="B685" s="28"/>
    </row>
    <row r="686" customFormat="false" ht="14.25" hidden="false" customHeight="true" outlineLevel="0" collapsed="false">
      <c r="B686" s="28"/>
    </row>
    <row r="687" customFormat="false" ht="14.25" hidden="false" customHeight="true" outlineLevel="0" collapsed="false">
      <c r="B687" s="28"/>
    </row>
    <row r="688" customFormat="false" ht="14.25" hidden="false" customHeight="true" outlineLevel="0" collapsed="false">
      <c r="B688" s="28"/>
    </row>
    <row r="689" customFormat="false" ht="14.25" hidden="false" customHeight="true" outlineLevel="0" collapsed="false">
      <c r="B689" s="28"/>
    </row>
    <row r="690" customFormat="false" ht="14.25" hidden="false" customHeight="true" outlineLevel="0" collapsed="false">
      <c r="B690" s="28"/>
    </row>
    <row r="691" customFormat="false" ht="14.25" hidden="false" customHeight="true" outlineLevel="0" collapsed="false">
      <c r="B691" s="28"/>
    </row>
    <row r="692" customFormat="false" ht="14.25" hidden="false" customHeight="true" outlineLevel="0" collapsed="false">
      <c r="B692" s="28"/>
    </row>
    <row r="693" customFormat="false" ht="14.25" hidden="false" customHeight="true" outlineLevel="0" collapsed="false">
      <c r="B693" s="28"/>
    </row>
    <row r="694" customFormat="false" ht="14.25" hidden="false" customHeight="true" outlineLevel="0" collapsed="false">
      <c r="B694" s="28"/>
    </row>
    <row r="695" customFormat="false" ht="14.25" hidden="false" customHeight="true" outlineLevel="0" collapsed="false">
      <c r="B695" s="28"/>
    </row>
    <row r="696" customFormat="false" ht="14.25" hidden="false" customHeight="true" outlineLevel="0" collapsed="false">
      <c r="B696" s="28"/>
    </row>
    <row r="697" customFormat="false" ht="14.25" hidden="false" customHeight="true" outlineLevel="0" collapsed="false">
      <c r="B697" s="28"/>
    </row>
    <row r="698" customFormat="false" ht="14.25" hidden="false" customHeight="true" outlineLevel="0" collapsed="false">
      <c r="B698" s="28"/>
    </row>
    <row r="699" customFormat="false" ht="14.25" hidden="false" customHeight="true" outlineLevel="0" collapsed="false">
      <c r="B699" s="28"/>
    </row>
    <row r="700" customFormat="false" ht="14.25" hidden="false" customHeight="true" outlineLevel="0" collapsed="false">
      <c r="B700" s="28"/>
    </row>
    <row r="701" customFormat="false" ht="14.25" hidden="false" customHeight="true" outlineLevel="0" collapsed="false">
      <c r="B701" s="28"/>
    </row>
    <row r="702" customFormat="false" ht="14.25" hidden="false" customHeight="true" outlineLevel="0" collapsed="false">
      <c r="B702" s="28"/>
    </row>
    <row r="703" customFormat="false" ht="14.25" hidden="false" customHeight="true" outlineLevel="0" collapsed="false">
      <c r="B703" s="28"/>
    </row>
    <row r="704" customFormat="false" ht="14.25" hidden="false" customHeight="true" outlineLevel="0" collapsed="false">
      <c r="B704" s="28"/>
    </row>
    <row r="705" customFormat="false" ht="14.25" hidden="false" customHeight="true" outlineLevel="0" collapsed="false">
      <c r="B705" s="28"/>
    </row>
    <row r="706" customFormat="false" ht="14.25" hidden="false" customHeight="true" outlineLevel="0" collapsed="false">
      <c r="B706" s="28"/>
    </row>
    <row r="707" customFormat="false" ht="14.25" hidden="false" customHeight="true" outlineLevel="0" collapsed="false">
      <c r="B707" s="28"/>
    </row>
    <row r="708" customFormat="false" ht="14.25" hidden="false" customHeight="true" outlineLevel="0" collapsed="false">
      <c r="B708" s="28"/>
    </row>
    <row r="709" customFormat="false" ht="14.25" hidden="false" customHeight="true" outlineLevel="0" collapsed="false">
      <c r="B709" s="28"/>
    </row>
    <row r="710" customFormat="false" ht="14.25" hidden="false" customHeight="true" outlineLevel="0" collapsed="false">
      <c r="B710" s="28"/>
    </row>
    <row r="711" customFormat="false" ht="14.25" hidden="false" customHeight="true" outlineLevel="0" collapsed="false">
      <c r="B711" s="28"/>
    </row>
    <row r="712" customFormat="false" ht="14.25" hidden="false" customHeight="true" outlineLevel="0" collapsed="false">
      <c r="B712" s="28"/>
    </row>
    <row r="713" customFormat="false" ht="14.25" hidden="false" customHeight="true" outlineLevel="0" collapsed="false">
      <c r="B713" s="28"/>
    </row>
    <row r="714" customFormat="false" ht="14.25" hidden="false" customHeight="true" outlineLevel="0" collapsed="false">
      <c r="B714" s="28"/>
    </row>
    <row r="715" customFormat="false" ht="14.25" hidden="false" customHeight="true" outlineLevel="0" collapsed="false">
      <c r="B715" s="28"/>
    </row>
    <row r="716" customFormat="false" ht="14.25" hidden="false" customHeight="true" outlineLevel="0" collapsed="false">
      <c r="B716" s="28"/>
    </row>
    <row r="717" customFormat="false" ht="14.25" hidden="false" customHeight="true" outlineLevel="0" collapsed="false">
      <c r="B717" s="28"/>
    </row>
    <row r="718" customFormat="false" ht="14.25" hidden="false" customHeight="true" outlineLevel="0" collapsed="false">
      <c r="B718" s="28"/>
    </row>
    <row r="719" customFormat="false" ht="14.25" hidden="false" customHeight="true" outlineLevel="0" collapsed="false">
      <c r="B719" s="28"/>
    </row>
    <row r="720" customFormat="false" ht="14.25" hidden="false" customHeight="true" outlineLevel="0" collapsed="false">
      <c r="B720" s="28"/>
    </row>
    <row r="721" customFormat="false" ht="14.25" hidden="false" customHeight="true" outlineLevel="0" collapsed="false">
      <c r="B721" s="28"/>
    </row>
    <row r="722" customFormat="false" ht="14.25" hidden="false" customHeight="true" outlineLevel="0" collapsed="false">
      <c r="B722" s="28"/>
    </row>
    <row r="723" customFormat="false" ht="14.25" hidden="false" customHeight="true" outlineLevel="0" collapsed="false">
      <c r="B723" s="28"/>
    </row>
    <row r="724" customFormat="false" ht="14.25" hidden="false" customHeight="true" outlineLevel="0" collapsed="false">
      <c r="B724" s="28"/>
    </row>
    <row r="725" customFormat="false" ht="14.25" hidden="false" customHeight="true" outlineLevel="0" collapsed="false">
      <c r="B725" s="28"/>
    </row>
    <row r="726" customFormat="false" ht="14.25" hidden="false" customHeight="true" outlineLevel="0" collapsed="false">
      <c r="B726" s="28"/>
    </row>
    <row r="727" customFormat="false" ht="14.25" hidden="false" customHeight="true" outlineLevel="0" collapsed="false">
      <c r="B727" s="28"/>
    </row>
    <row r="728" customFormat="false" ht="14.25" hidden="false" customHeight="true" outlineLevel="0" collapsed="false">
      <c r="B728" s="28"/>
    </row>
    <row r="729" customFormat="false" ht="14.25" hidden="false" customHeight="true" outlineLevel="0" collapsed="false">
      <c r="B729" s="28"/>
    </row>
    <row r="730" customFormat="false" ht="14.25" hidden="false" customHeight="true" outlineLevel="0" collapsed="false">
      <c r="B730" s="28"/>
    </row>
    <row r="731" customFormat="false" ht="14.25" hidden="false" customHeight="true" outlineLevel="0" collapsed="false">
      <c r="B731" s="28"/>
    </row>
    <row r="732" customFormat="false" ht="14.25" hidden="false" customHeight="true" outlineLevel="0" collapsed="false">
      <c r="B732" s="28"/>
    </row>
    <row r="733" customFormat="false" ht="14.25" hidden="false" customHeight="true" outlineLevel="0" collapsed="false">
      <c r="B733" s="28"/>
    </row>
    <row r="734" customFormat="false" ht="14.25" hidden="false" customHeight="true" outlineLevel="0" collapsed="false">
      <c r="B734" s="28"/>
    </row>
    <row r="735" customFormat="false" ht="14.25" hidden="false" customHeight="true" outlineLevel="0" collapsed="false">
      <c r="B735" s="28"/>
    </row>
    <row r="736" customFormat="false" ht="14.25" hidden="false" customHeight="true" outlineLevel="0" collapsed="false">
      <c r="B736" s="28"/>
    </row>
    <row r="737" customFormat="false" ht="14.25" hidden="false" customHeight="true" outlineLevel="0" collapsed="false">
      <c r="B737" s="28"/>
    </row>
    <row r="738" customFormat="false" ht="14.25" hidden="false" customHeight="true" outlineLevel="0" collapsed="false">
      <c r="B738" s="28"/>
    </row>
    <row r="739" customFormat="false" ht="14.25" hidden="false" customHeight="true" outlineLevel="0" collapsed="false">
      <c r="B739" s="28"/>
    </row>
    <row r="740" customFormat="false" ht="14.25" hidden="false" customHeight="true" outlineLevel="0" collapsed="false">
      <c r="B740" s="28"/>
    </row>
    <row r="741" customFormat="false" ht="14.25" hidden="false" customHeight="true" outlineLevel="0" collapsed="false">
      <c r="B741" s="28"/>
    </row>
    <row r="742" customFormat="false" ht="14.25" hidden="false" customHeight="true" outlineLevel="0" collapsed="false">
      <c r="B742" s="28"/>
    </row>
    <row r="743" customFormat="false" ht="14.25" hidden="false" customHeight="true" outlineLevel="0" collapsed="false">
      <c r="B743" s="28"/>
    </row>
    <row r="744" customFormat="false" ht="14.25" hidden="false" customHeight="true" outlineLevel="0" collapsed="false">
      <c r="B744" s="28"/>
    </row>
    <row r="745" customFormat="false" ht="14.25" hidden="false" customHeight="true" outlineLevel="0" collapsed="false">
      <c r="B745" s="28"/>
    </row>
    <row r="746" customFormat="false" ht="14.25" hidden="false" customHeight="true" outlineLevel="0" collapsed="false">
      <c r="B746" s="28"/>
    </row>
    <row r="747" customFormat="false" ht="14.25" hidden="false" customHeight="true" outlineLevel="0" collapsed="false">
      <c r="B747" s="28"/>
    </row>
    <row r="748" customFormat="false" ht="14.25" hidden="false" customHeight="true" outlineLevel="0" collapsed="false">
      <c r="B748" s="28"/>
    </row>
    <row r="749" customFormat="false" ht="14.25" hidden="false" customHeight="true" outlineLevel="0" collapsed="false">
      <c r="B749" s="28"/>
    </row>
    <row r="750" customFormat="false" ht="14.25" hidden="false" customHeight="true" outlineLevel="0" collapsed="false">
      <c r="B750" s="28"/>
    </row>
    <row r="751" customFormat="false" ht="14.25" hidden="false" customHeight="true" outlineLevel="0" collapsed="false">
      <c r="B751" s="28"/>
    </row>
    <row r="752" customFormat="false" ht="14.25" hidden="false" customHeight="true" outlineLevel="0" collapsed="false">
      <c r="B752" s="28"/>
    </row>
    <row r="753" customFormat="false" ht="14.25" hidden="false" customHeight="true" outlineLevel="0" collapsed="false">
      <c r="B753" s="28"/>
    </row>
    <row r="754" customFormat="false" ht="14.25" hidden="false" customHeight="true" outlineLevel="0" collapsed="false">
      <c r="B754" s="28"/>
    </row>
    <row r="755" customFormat="false" ht="14.25" hidden="false" customHeight="true" outlineLevel="0" collapsed="false">
      <c r="B755" s="28"/>
    </row>
    <row r="756" customFormat="false" ht="14.25" hidden="false" customHeight="true" outlineLevel="0" collapsed="false">
      <c r="B756" s="28"/>
    </row>
    <row r="757" customFormat="false" ht="14.25" hidden="false" customHeight="true" outlineLevel="0" collapsed="false">
      <c r="B757" s="28"/>
    </row>
    <row r="758" customFormat="false" ht="14.25" hidden="false" customHeight="true" outlineLevel="0" collapsed="false">
      <c r="B758" s="28"/>
    </row>
    <row r="759" customFormat="false" ht="14.25" hidden="false" customHeight="true" outlineLevel="0" collapsed="false">
      <c r="B759" s="28"/>
    </row>
    <row r="760" customFormat="false" ht="14.25" hidden="false" customHeight="true" outlineLevel="0" collapsed="false">
      <c r="B760" s="28"/>
    </row>
    <row r="761" customFormat="false" ht="14.25" hidden="false" customHeight="true" outlineLevel="0" collapsed="false">
      <c r="B761" s="28"/>
    </row>
    <row r="762" customFormat="false" ht="14.25" hidden="false" customHeight="true" outlineLevel="0" collapsed="false">
      <c r="B762" s="28"/>
    </row>
    <row r="763" customFormat="false" ht="14.25" hidden="false" customHeight="true" outlineLevel="0" collapsed="false">
      <c r="B763" s="28"/>
    </row>
    <row r="764" customFormat="false" ht="14.25" hidden="false" customHeight="true" outlineLevel="0" collapsed="false">
      <c r="B764" s="28"/>
    </row>
    <row r="765" customFormat="false" ht="14.25" hidden="false" customHeight="true" outlineLevel="0" collapsed="false">
      <c r="B765" s="28"/>
    </row>
    <row r="766" customFormat="false" ht="14.25" hidden="false" customHeight="true" outlineLevel="0" collapsed="false">
      <c r="B766" s="28"/>
    </row>
    <row r="767" customFormat="false" ht="14.25" hidden="false" customHeight="true" outlineLevel="0" collapsed="false">
      <c r="B767" s="28"/>
    </row>
    <row r="768" customFormat="false" ht="14.25" hidden="false" customHeight="true" outlineLevel="0" collapsed="false">
      <c r="B768" s="28"/>
    </row>
    <row r="769" customFormat="false" ht="14.25" hidden="false" customHeight="true" outlineLevel="0" collapsed="false">
      <c r="B769" s="28"/>
    </row>
    <row r="770" customFormat="false" ht="14.25" hidden="false" customHeight="true" outlineLevel="0" collapsed="false">
      <c r="B770" s="28"/>
    </row>
    <row r="771" customFormat="false" ht="14.25" hidden="false" customHeight="true" outlineLevel="0" collapsed="false">
      <c r="B771" s="28"/>
    </row>
    <row r="772" customFormat="false" ht="14.25" hidden="false" customHeight="true" outlineLevel="0" collapsed="false">
      <c r="B772" s="28"/>
    </row>
    <row r="773" customFormat="false" ht="14.25" hidden="false" customHeight="true" outlineLevel="0" collapsed="false">
      <c r="B773" s="28"/>
    </row>
    <row r="774" customFormat="false" ht="14.25" hidden="false" customHeight="true" outlineLevel="0" collapsed="false">
      <c r="B774" s="28"/>
    </row>
    <row r="775" customFormat="false" ht="14.25" hidden="false" customHeight="true" outlineLevel="0" collapsed="false">
      <c r="B775" s="28"/>
    </row>
    <row r="776" customFormat="false" ht="14.25" hidden="false" customHeight="true" outlineLevel="0" collapsed="false">
      <c r="B776" s="28"/>
    </row>
    <row r="777" customFormat="false" ht="14.25" hidden="false" customHeight="true" outlineLevel="0" collapsed="false">
      <c r="B777" s="28"/>
    </row>
    <row r="778" customFormat="false" ht="14.25" hidden="false" customHeight="true" outlineLevel="0" collapsed="false">
      <c r="B778" s="28"/>
    </row>
    <row r="779" customFormat="false" ht="14.25" hidden="false" customHeight="true" outlineLevel="0" collapsed="false">
      <c r="B779" s="28"/>
    </row>
    <row r="780" customFormat="false" ht="14.25" hidden="false" customHeight="true" outlineLevel="0" collapsed="false">
      <c r="B780" s="28"/>
    </row>
    <row r="781" customFormat="false" ht="14.25" hidden="false" customHeight="true" outlineLevel="0" collapsed="false">
      <c r="B781" s="28"/>
    </row>
    <row r="782" customFormat="false" ht="14.25" hidden="false" customHeight="true" outlineLevel="0" collapsed="false">
      <c r="B782" s="28"/>
    </row>
    <row r="783" customFormat="false" ht="14.25" hidden="false" customHeight="true" outlineLevel="0" collapsed="false">
      <c r="B783" s="28"/>
    </row>
    <row r="784" customFormat="false" ht="14.25" hidden="false" customHeight="true" outlineLevel="0" collapsed="false">
      <c r="B784" s="28"/>
    </row>
    <row r="785" customFormat="false" ht="14.25" hidden="false" customHeight="true" outlineLevel="0" collapsed="false">
      <c r="B785" s="28"/>
    </row>
    <row r="786" customFormat="false" ht="14.25" hidden="false" customHeight="true" outlineLevel="0" collapsed="false">
      <c r="B786" s="28"/>
    </row>
    <row r="787" customFormat="false" ht="14.25" hidden="false" customHeight="true" outlineLevel="0" collapsed="false">
      <c r="B787" s="28"/>
    </row>
    <row r="788" customFormat="false" ht="14.25" hidden="false" customHeight="true" outlineLevel="0" collapsed="false">
      <c r="B788" s="28"/>
    </row>
    <row r="789" customFormat="false" ht="14.25" hidden="false" customHeight="true" outlineLevel="0" collapsed="false">
      <c r="B789" s="28"/>
    </row>
    <row r="790" customFormat="false" ht="14.25" hidden="false" customHeight="true" outlineLevel="0" collapsed="false">
      <c r="B790" s="28"/>
    </row>
    <row r="791" customFormat="false" ht="14.25" hidden="false" customHeight="true" outlineLevel="0" collapsed="false">
      <c r="B791" s="28"/>
    </row>
    <row r="792" customFormat="false" ht="14.25" hidden="false" customHeight="true" outlineLevel="0" collapsed="false">
      <c r="B792" s="28"/>
    </row>
    <row r="793" customFormat="false" ht="14.25" hidden="false" customHeight="true" outlineLevel="0" collapsed="false">
      <c r="B793" s="28"/>
    </row>
    <row r="794" customFormat="false" ht="14.25" hidden="false" customHeight="true" outlineLevel="0" collapsed="false">
      <c r="B794" s="28"/>
    </row>
    <row r="795" customFormat="false" ht="14.25" hidden="false" customHeight="true" outlineLevel="0" collapsed="false">
      <c r="B795" s="28"/>
    </row>
    <row r="796" customFormat="false" ht="14.25" hidden="false" customHeight="true" outlineLevel="0" collapsed="false">
      <c r="B796" s="28"/>
    </row>
    <row r="797" customFormat="false" ht="14.25" hidden="false" customHeight="true" outlineLevel="0" collapsed="false">
      <c r="B797" s="28"/>
    </row>
    <row r="798" customFormat="false" ht="14.25" hidden="false" customHeight="true" outlineLevel="0" collapsed="false">
      <c r="B798" s="28"/>
    </row>
    <row r="799" customFormat="false" ht="14.25" hidden="false" customHeight="true" outlineLevel="0" collapsed="false">
      <c r="B799" s="28"/>
    </row>
    <row r="800" customFormat="false" ht="14.25" hidden="false" customHeight="true" outlineLevel="0" collapsed="false">
      <c r="B800" s="28"/>
    </row>
    <row r="801" customFormat="false" ht="14.25" hidden="false" customHeight="true" outlineLevel="0" collapsed="false">
      <c r="B801" s="28"/>
    </row>
    <row r="802" customFormat="false" ht="14.25" hidden="false" customHeight="true" outlineLevel="0" collapsed="false">
      <c r="B802" s="28"/>
    </row>
    <row r="803" customFormat="false" ht="14.25" hidden="false" customHeight="true" outlineLevel="0" collapsed="false">
      <c r="B803" s="28"/>
    </row>
    <row r="804" customFormat="false" ht="14.25" hidden="false" customHeight="true" outlineLevel="0" collapsed="false">
      <c r="B804" s="28"/>
    </row>
    <row r="805" customFormat="false" ht="14.25" hidden="false" customHeight="true" outlineLevel="0" collapsed="false">
      <c r="B805" s="28"/>
    </row>
    <row r="806" customFormat="false" ht="14.25" hidden="false" customHeight="true" outlineLevel="0" collapsed="false">
      <c r="B806" s="28"/>
    </row>
    <row r="807" customFormat="false" ht="14.25" hidden="false" customHeight="true" outlineLevel="0" collapsed="false">
      <c r="B807" s="28"/>
    </row>
    <row r="808" customFormat="false" ht="14.25" hidden="false" customHeight="true" outlineLevel="0" collapsed="false">
      <c r="B808" s="28"/>
    </row>
    <row r="809" customFormat="false" ht="14.25" hidden="false" customHeight="true" outlineLevel="0" collapsed="false">
      <c r="B809" s="28"/>
    </row>
    <row r="810" customFormat="false" ht="14.25" hidden="false" customHeight="true" outlineLevel="0" collapsed="false">
      <c r="B810" s="28"/>
    </row>
    <row r="811" customFormat="false" ht="14.25" hidden="false" customHeight="true" outlineLevel="0" collapsed="false">
      <c r="B811" s="28"/>
    </row>
    <row r="812" customFormat="false" ht="14.25" hidden="false" customHeight="true" outlineLevel="0" collapsed="false">
      <c r="B812" s="28"/>
    </row>
    <row r="813" customFormat="false" ht="14.25" hidden="false" customHeight="true" outlineLevel="0" collapsed="false">
      <c r="B813" s="28"/>
    </row>
    <row r="814" customFormat="false" ht="14.25" hidden="false" customHeight="true" outlineLevel="0" collapsed="false">
      <c r="B814" s="28"/>
    </row>
    <row r="815" customFormat="false" ht="14.25" hidden="false" customHeight="true" outlineLevel="0" collapsed="false">
      <c r="B815" s="28"/>
    </row>
    <row r="816" customFormat="false" ht="14.25" hidden="false" customHeight="true" outlineLevel="0" collapsed="false">
      <c r="B816" s="28"/>
    </row>
    <row r="817" customFormat="false" ht="14.25" hidden="false" customHeight="true" outlineLevel="0" collapsed="false">
      <c r="B817" s="28"/>
    </row>
    <row r="818" customFormat="false" ht="14.25" hidden="false" customHeight="true" outlineLevel="0" collapsed="false">
      <c r="B818" s="28"/>
    </row>
    <row r="819" customFormat="false" ht="14.25" hidden="false" customHeight="true" outlineLevel="0" collapsed="false">
      <c r="B819" s="28"/>
    </row>
    <row r="820" customFormat="false" ht="14.25" hidden="false" customHeight="true" outlineLevel="0" collapsed="false">
      <c r="B820" s="28"/>
    </row>
    <row r="821" customFormat="false" ht="14.25" hidden="false" customHeight="true" outlineLevel="0" collapsed="false">
      <c r="B821" s="28"/>
    </row>
    <row r="822" customFormat="false" ht="14.25" hidden="false" customHeight="true" outlineLevel="0" collapsed="false">
      <c r="B822" s="28"/>
    </row>
    <row r="823" customFormat="false" ht="14.25" hidden="false" customHeight="true" outlineLevel="0" collapsed="false">
      <c r="B823" s="28"/>
    </row>
    <row r="824" customFormat="false" ht="14.25" hidden="false" customHeight="true" outlineLevel="0" collapsed="false">
      <c r="B824" s="28"/>
    </row>
    <row r="825" customFormat="false" ht="14.25" hidden="false" customHeight="true" outlineLevel="0" collapsed="false">
      <c r="B825" s="28"/>
    </row>
    <row r="826" customFormat="false" ht="14.25" hidden="false" customHeight="true" outlineLevel="0" collapsed="false">
      <c r="B826" s="28"/>
    </row>
    <row r="827" customFormat="false" ht="14.25" hidden="false" customHeight="true" outlineLevel="0" collapsed="false">
      <c r="B827" s="28"/>
    </row>
    <row r="828" customFormat="false" ht="14.25" hidden="false" customHeight="true" outlineLevel="0" collapsed="false">
      <c r="B828" s="28"/>
    </row>
    <row r="829" customFormat="false" ht="14.25" hidden="false" customHeight="true" outlineLevel="0" collapsed="false">
      <c r="B829" s="28"/>
    </row>
    <row r="830" customFormat="false" ht="14.25" hidden="false" customHeight="true" outlineLevel="0" collapsed="false">
      <c r="B830" s="28"/>
    </row>
    <row r="831" customFormat="false" ht="14.25" hidden="false" customHeight="true" outlineLevel="0" collapsed="false">
      <c r="B831" s="28"/>
    </row>
    <row r="832" customFormat="false" ht="14.25" hidden="false" customHeight="true" outlineLevel="0" collapsed="false">
      <c r="B832" s="28"/>
    </row>
    <row r="833" customFormat="false" ht="14.25" hidden="false" customHeight="true" outlineLevel="0" collapsed="false">
      <c r="B833" s="28"/>
    </row>
    <row r="834" customFormat="false" ht="14.25" hidden="false" customHeight="true" outlineLevel="0" collapsed="false">
      <c r="B834" s="28"/>
    </row>
    <row r="835" customFormat="false" ht="14.25" hidden="false" customHeight="true" outlineLevel="0" collapsed="false">
      <c r="B835" s="28"/>
    </row>
    <row r="836" customFormat="false" ht="14.25" hidden="false" customHeight="true" outlineLevel="0" collapsed="false">
      <c r="B836" s="28"/>
    </row>
    <row r="837" customFormat="false" ht="14.25" hidden="false" customHeight="true" outlineLevel="0" collapsed="false">
      <c r="B837" s="28"/>
    </row>
    <row r="838" customFormat="false" ht="14.25" hidden="false" customHeight="true" outlineLevel="0" collapsed="false">
      <c r="B838" s="28"/>
    </row>
    <row r="839" customFormat="false" ht="14.25" hidden="false" customHeight="true" outlineLevel="0" collapsed="false">
      <c r="B839" s="28"/>
    </row>
    <row r="840" customFormat="false" ht="14.25" hidden="false" customHeight="true" outlineLevel="0" collapsed="false">
      <c r="B840" s="28"/>
    </row>
    <row r="841" customFormat="false" ht="14.25" hidden="false" customHeight="true" outlineLevel="0" collapsed="false">
      <c r="B841" s="28"/>
    </row>
    <row r="842" customFormat="false" ht="14.25" hidden="false" customHeight="true" outlineLevel="0" collapsed="false">
      <c r="B842" s="28"/>
    </row>
    <row r="843" customFormat="false" ht="14.25" hidden="false" customHeight="true" outlineLevel="0" collapsed="false">
      <c r="B843" s="28"/>
    </row>
    <row r="844" customFormat="false" ht="14.25" hidden="false" customHeight="true" outlineLevel="0" collapsed="false">
      <c r="B844" s="28"/>
    </row>
    <row r="845" customFormat="false" ht="14.25" hidden="false" customHeight="true" outlineLevel="0" collapsed="false">
      <c r="B845" s="28"/>
    </row>
    <row r="846" customFormat="false" ht="14.25" hidden="false" customHeight="true" outlineLevel="0" collapsed="false">
      <c r="B846" s="28"/>
    </row>
    <row r="847" customFormat="false" ht="14.25" hidden="false" customHeight="true" outlineLevel="0" collapsed="false">
      <c r="B847" s="28"/>
    </row>
    <row r="848" customFormat="false" ht="14.25" hidden="false" customHeight="true" outlineLevel="0" collapsed="false">
      <c r="B848" s="28"/>
    </row>
    <row r="849" customFormat="false" ht="14.25" hidden="false" customHeight="true" outlineLevel="0" collapsed="false">
      <c r="B849" s="28"/>
    </row>
    <row r="850" customFormat="false" ht="14.25" hidden="false" customHeight="true" outlineLevel="0" collapsed="false">
      <c r="B850" s="28"/>
    </row>
    <row r="851" customFormat="false" ht="14.25" hidden="false" customHeight="true" outlineLevel="0" collapsed="false">
      <c r="B851" s="28"/>
    </row>
    <row r="852" customFormat="false" ht="14.25" hidden="false" customHeight="true" outlineLevel="0" collapsed="false">
      <c r="B852" s="28"/>
    </row>
    <row r="853" customFormat="false" ht="14.25" hidden="false" customHeight="true" outlineLevel="0" collapsed="false">
      <c r="B853" s="28"/>
    </row>
    <row r="854" customFormat="false" ht="14.25" hidden="false" customHeight="true" outlineLevel="0" collapsed="false">
      <c r="B854" s="28"/>
    </row>
    <row r="855" customFormat="false" ht="14.25" hidden="false" customHeight="true" outlineLevel="0" collapsed="false">
      <c r="B855" s="28"/>
    </row>
    <row r="856" customFormat="false" ht="14.25" hidden="false" customHeight="true" outlineLevel="0" collapsed="false">
      <c r="B856" s="28"/>
    </row>
    <row r="857" customFormat="false" ht="14.25" hidden="false" customHeight="true" outlineLevel="0" collapsed="false">
      <c r="B857" s="28"/>
    </row>
    <row r="858" customFormat="false" ht="14.25" hidden="false" customHeight="true" outlineLevel="0" collapsed="false">
      <c r="B858" s="28"/>
    </row>
    <row r="859" customFormat="false" ht="14.25" hidden="false" customHeight="true" outlineLevel="0" collapsed="false">
      <c r="B859" s="28"/>
    </row>
    <row r="860" customFormat="false" ht="14.25" hidden="false" customHeight="true" outlineLevel="0" collapsed="false">
      <c r="B860" s="28"/>
    </row>
    <row r="861" customFormat="false" ht="14.25" hidden="false" customHeight="true" outlineLevel="0" collapsed="false">
      <c r="B861" s="28"/>
    </row>
    <row r="862" customFormat="false" ht="14.25" hidden="false" customHeight="true" outlineLevel="0" collapsed="false">
      <c r="B862" s="28"/>
    </row>
    <row r="863" customFormat="false" ht="14.25" hidden="false" customHeight="true" outlineLevel="0" collapsed="false">
      <c r="B863" s="28"/>
    </row>
    <row r="864" customFormat="false" ht="14.25" hidden="false" customHeight="true" outlineLevel="0" collapsed="false">
      <c r="B864" s="28"/>
    </row>
    <row r="865" customFormat="false" ht="14.25" hidden="false" customHeight="true" outlineLevel="0" collapsed="false">
      <c r="B865" s="28"/>
    </row>
    <row r="866" customFormat="false" ht="14.25" hidden="false" customHeight="true" outlineLevel="0" collapsed="false">
      <c r="B866" s="28"/>
    </row>
    <row r="867" customFormat="false" ht="14.25" hidden="false" customHeight="true" outlineLevel="0" collapsed="false">
      <c r="B867" s="28"/>
    </row>
    <row r="868" customFormat="false" ht="14.25" hidden="false" customHeight="true" outlineLevel="0" collapsed="false">
      <c r="B868" s="28"/>
    </row>
    <row r="869" customFormat="false" ht="14.25" hidden="false" customHeight="true" outlineLevel="0" collapsed="false">
      <c r="B869" s="28"/>
    </row>
    <row r="870" customFormat="false" ht="14.25" hidden="false" customHeight="true" outlineLevel="0" collapsed="false">
      <c r="B870" s="28"/>
    </row>
    <row r="871" customFormat="false" ht="14.25" hidden="false" customHeight="true" outlineLevel="0" collapsed="false">
      <c r="B871" s="28"/>
    </row>
    <row r="872" customFormat="false" ht="14.25" hidden="false" customHeight="true" outlineLevel="0" collapsed="false">
      <c r="B872" s="28"/>
    </row>
    <row r="873" customFormat="false" ht="14.25" hidden="false" customHeight="true" outlineLevel="0" collapsed="false">
      <c r="B873" s="28"/>
    </row>
    <row r="874" customFormat="false" ht="14.25" hidden="false" customHeight="true" outlineLevel="0" collapsed="false">
      <c r="B874" s="28"/>
    </row>
    <row r="875" customFormat="false" ht="14.25" hidden="false" customHeight="true" outlineLevel="0" collapsed="false">
      <c r="B875" s="28"/>
    </row>
    <row r="876" customFormat="false" ht="14.25" hidden="false" customHeight="true" outlineLevel="0" collapsed="false">
      <c r="B876" s="28"/>
    </row>
    <row r="877" customFormat="false" ht="14.25" hidden="false" customHeight="true" outlineLevel="0" collapsed="false">
      <c r="B877" s="28"/>
    </row>
    <row r="878" customFormat="false" ht="14.25" hidden="false" customHeight="true" outlineLevel="0" collapsed="false">
      <c r="B878" s="28"/>
    </row>
    <row r="879" customFormat="false" ht="14.25" hidden="false" customHeight="true" outlineLevel="0" collapsed="false">
      <c r="B879" s="28"/>
    </row>
    <row r="880" customFormat="false" ht="14.25" hidden="false" customHeight="true" outlineLevel="0" collapsed="false">
      <c r="B880" s="28"/>
    </row>
    <row r="881" customFormat="false" ht="14.25" hidden="false" customHeight="true" outlineLevel="0" collapsed="false">
      <c r="B881" s="28"/>
    </row>
    <row r="882" customFormat="false" ht="14.25" hidden="false" customHeight="true" outlineLevel="0" collapsed="false">
      <c r="B882" s="28"/>
    </row>
    <row r="883" customFormat="false" ht="14.25" hidden="false" customHeight="true" outlineLevel="0" collapsed="false">
      <c r="B883" s="28"/>
    </row>
    <row r="884" customFormat="false" ht="14.25" hidden="false" customHeight="true" outlineLevel="0" collapsed="false">
      <c r="B884" s="28"/>
    </row>
    <row r="885" customFormat="false" ht="14.25" hidden="false" customHeight="true" outlineLevel="0" collapsed="false">
      <c r="B885" s="28"/>
    </row>
    <row r="886" customFormat="false" ht="14.25" hidden="false" customHeight="true" outlineLevel="0" collapsed="false">
      <c r="B886" s="28"/>
    </row>
    <row r="887" customFormat="false" ht="14.25" hidden="false" customHeight="true" outlineLevel="0" collapsed="false">
      <c r="B887" s="28"/>
    </row>
    <row r="888" customFormat="false" ht="14.25" hidden="false" customHeight="true" outlineLevel="0" collapsed="false">
      <c r="B888" s="28"/>
    </row>
    <row r="889" customFormat="false" ht="14.25" hidden="false" customHeight="true" outlineLevel="0" collapsed="false">
      <c r="B889" s="28"/>
    </row>
    <row r="890" customFormat="false" ht="14.25" hidden="false" customHeight="true" outlineLevel="0" collapsed="false">
      <c r="B890" s="28"/>
    </row>
    <row r="891" customFormat="false" ht="14.25" hidden="false" customHeight="true" outlineLevel="0" collapsed="false">
      <c r="B891" s="28"/>
    </row>
    <row r="892" customFormat="false" ht="14.25" hidden="false" customHeight="true" outlineLevel="0" collapsed="false">
      <c r="B892" s="28"/>
    </row>
    <row r="893" customFormat="false" ht="14.25" hidden="false" customHeight="true" outlineLevel="0" collapsed="false">
      <c r="B893" s="28"/>
    </row>
    <row r="894" customFormat="false" ht="14.25" hidden="false" customHeight="true" outlineLevel="0" collapsed="false">
      <c r="B894" s="28"/>
    </row>
    <row r="895" customFormat="false" ht="14.25" hidden="false" customHeight="true" outlineLevel="0" collapsed="false">
      <c r="B895" s="28"/>
    </row>
    <row r="896" customFormat="false" ht="14.25" hidden="false" customHeight="true" outlineLevel="0" collapsed="false">
      <c r="B896" s="28"/>
    </row>
    <row r="897" customFormat="false" ht="14.25" hidden="false" customHeight="true" outlineLevel="0" collapsed="false">
      <c r="B897" s="28"/>
    </row>
    <row r="898" customFormat="false" ht="14.25" hidden="false" customHeight="true" outlineLevel="0" collapsed="false">
      <c r="B898" s="28"/>
    </row>
    <row r="899" customFormat="false" ht="14.25" hidden="false" customHeight="true" outlineLevel="0" collapsed="false">
      <c r="B899" s="28"/>
    </row>
    <row r="900" customFormat="false" ht="14.25" hidden="false" customHeight="true" outlineLevel="0" collapsed="false">
      <c r="B900" s="28"/>
    </row>
    <row r="901" customFormat="false" ht="14.25" hidden="false" customHeight="true" outlineLevel="0" collapsed="false">
      <c r="B901" s="28"/>
    </row>
    <row r="902" customFormat="false" ht="14.25" hidden="false" customHeight="true" outlineLevel="0" collapsed="false">
      <c r="B902" s="28"/>
    </row>
    <row r="903" customFormat="false" ht="14.25" hidden="false" customHeight="true" outlineLevel="0" collapsed="false">
      <c r="B903" s="28"/>
    </row>
    <row r="904" customFormat="false" ht="14.25" hidden="false" customHeight="true" outlineLevel="0" collapsed="false">
      <c r="B904" s="28"/>
    </row>
    <row r="905" customFormat="false" ht="14.25" hidden="false" customHeight="true" outlineLevel="0" collapsed="false">
      <c r="B905" s="28"/>
    </row>
    <row r="906" customFormat="false" ht="14.25" hidden="false" customHeight="true" outlineLevel="0" collapsed="false">
      <c r="B906" s="28"/>
    </row>
    <row r="907" customFormat="false" ht="14.25" hidden="false" customHeight="true" outlineLevel="0" collapsed="false">
      <c r="B907" s="28"/>
    </row>
    <row r="908" customFormat="false" ht="14.25" hidden="false" customHeight="true" outlineLevel="0" collapsed="false">
      <c r="B908" s="28"/>
    </row>
    <row r="909" customFormat="false" ht="14.25" hidden="false" customHeight="true" outlineLevel="0" collapsed="false">
      <c r="B909" s="28"/>
    </row>
    <row r="910" customFormat="false" ht="14.25" hidden="false" customHeight="true" outlineLevel="0" collapsed="false">
      <c r="B910" s="28"/>
    </row>
    <row r="911" customFormat="false" ht="14.25" hidden="false" customHeight="true" outlineLevel="0" collapsed="false">
      <c r="B911" s="28"/>
    </row>
    <row r="912" customFormat="false" ht="14.25" hidden="false" customHeight="true" outlineLevel="0" collapsed="false">
      <c r="B912" s="28"/>
    </row>
    <row r="913" customFormat="false" ht="14.25" hidden="false" customHeight="true" outlineLevel="0" collapsed="false">
      <c r="B913" s="28"/>
    </row>
    <row r="914" customFormat="false" ht="14.25" hidden="false" customHeight="true" outlineLevel="0" collapsed="false">
      <c r="B914" s="28"/>
    </row>
    <row r="915" customFormat="false" ht="14.25" hidden="false" customHeight="true" outlineLevel="0" collapsed="false">
      <c r="B915" s="28"/>
    </row>
    <row r="916" customFormat="false" ht="14.25" hidden="false" customHeight="true" outlineLevel="0" collapsed="false">
      <c r="B916" s="28"/>
    </row>
    <row r="917" customFormat="false" ht="14.25" hidden="false" customHeight="true" outlineLevel="0" collapsed="false">
      <c r="B917" s="28"/>
    </row>
    <row r="918" customFormat="false" ht="14.25" hidden="false" customHeight="true" outlineLevel="0" collapsed="false">
      <c r="B918" s="28"/>
    </row>
    <row r="919" customFormat="false" ht="14.25" hidden="false" customHeight="true" outlineLevel="0" collapsed="false">
      <c r="B919" s="28"/>
    </row>
    <row r="920" customFormat="false" ht="14.25" hidden="false" customHeight="true" outlineLevel="0" collapsed="false">
      <c r="B920" s="28"/>
    </row>
    <row r="921" customFormat="false" ht="14.25" hidden="false" customHeight="true" outlineLevel="0" collapsed="false">
      <c r="B921" s="28"/>
    </row>
    <row r="922" customFormat="false" ht="14.25" hidden="false" customHeight="true" outlineLevel="0" collapsed="false">
      <c r="B922" s="28"/>
    </row>
    <row r="923" customFormat="false" ht="14.25" hidden="false" customHeight="true" outlineLevel="0" collapsed="false">
      <c r="B923" s="28"/>
    </row>
    <row r="924" customFormat="false" ht="14.25" hidden="false" customHeight="true" outlineLevel="0" collapsed="false">
      <c r="B924" s="28"/>
    </row>
    <row r="925" customFormat="false" ht="14.25" hidden="false" customHeight="true" outlineLevel="0" collapsed="false">
      <c r="B925" s="28"/>
    </row>
    <row r="926" customFormat="false" ht="14.25" hidden="false" customHeight="true" outlineLevel="0" collapsed="false">
      <c r="B926" s="28"/>
    </row>
    <row r="927" customFormat="false" ht="14.25" hidden="false" customHeight="true" outlineLevel="0" collapsed="false">
      <c r="B927" s="28"/>
    </row>
    <row r="928" customFormat="false" ht="14.25" hidden="false" customHeight="true" outlineLevel="0" collapsed="false">
      <c r="B928" s="28"/>
    </row>
    <row r="929" customFormat="false" ht="14.25" hidden="false" customHeight="true" outlineLevel="0" collapsed="false">
      <c r="B929" s="28"/>
    </row>
    <row r="930" customFormat="false" ht="14.25" hidden="false" customHeight="true" outlineLevel="0" collapsed="false">
      <c r="B930" s="28"/>
    </row>
    <row r="931" customFormat="false" ht="14.25" hidden="false" customHeight="true" outlineLevel="0" collapsed="false">
      <c r="B931" s="28"/>
    </row>
    <row r="932" customFormat="false" ht="14.25" hidden="false" customHeight="true" outlineLevel="0" collapsed="false">
      <c r="B932" s="28"/>
    </row>
    <row r="933" customFormat="false" ht="14.25" hidden="false" customHeight="true" outlineLevel="0" collapsed="false">
      <c r="B933" s="28"/>
    </row>
    <row r="934" customFormat="false" ht="14.25" hidden="false" customHeight="true" outlineLevel="0" collapsed="false">
      <c r="B934" s="28"/>
    </row>
    <row r="935" customFormat="false" ht="14.25" hidden="false" customHeight="true" outlineLevel="0" collapsed="false">
      <c r="B935" s="28"/>
    </row>
    <row r="936" customFormat="false" ht="14.25" hidden="false" customHeight="true" outlineLevel="0" collapsed="false">
      <c r="B936" s="28"/>
    </row>
    <row r="937" customFormat="false" ht="14.25" hidden="false" customHeight="true" outlineLevel="0" collapsed="false">
      <c r="B937" s="28"/>
    </row>
    <row r="938" customFormat="false" ht="14.25" hidden="false" customHeight="true" outlineLevel="0" collapsed="false">
      <c r="B938" s="28"/>
    </row>
    <row r="939" customFormat="false" ht="14.25" hidden="false" customHeight="true" outlineLevel="0" collapsed="false">
      <c r="B939" s="28"/>
    </row>
    <row r="940" customFormat="false" ht="14.25" hidden="false" customHeight="true" outlineLevel="0" collapsed="false">
      <c r="B940" s="28"/>
    </row>
    <row r="941" customFormat="false" ht="14.25" hidden="false" customHeight="true" outlineLevel="0" collapsed="false">
      <c r="B941" s="28"/>
    </row>
    <row r="942" customFormat="false" ht="14.25" hidden="false" customHeight="true" outlineLevel="0" collapsed="false">
      <c r="B942" s="28"/>
    </row>
    <row r="943" customFormat="false" ht="14.25" hidden="false" customHeight="true" outlineLevel="0" collapsed="false">
      <c r="B943" s="28"/>
    </row>
    <row r="944" customFormat="false" ht="14.25" hidden="false" customHeight="true" outlineLevel="0" collapsed="false">
      <c r="B944" s="28"/>
    </row>
    <row r="945" customFormat="false" ht="14.25" hidden="false" customHeight="true" outlineLevel="0" collapsed="false">
      <c r="B945" s="28"/>
    </row>
    <row r="946" customFormat="false" ht="14.25" hidden="false" customHeight="true" outlineLevel="0" collapsed="false">
      <c r="B946" s="28"/>
    </row>
    <row r="947" customFormat="false" ht="14.25" hidden="false" customHeight="true" outlineLevel="0" collapsed="false">
      <c r="B947" s="28"/>
    </row>
    <row r="948" customFormat="false" ht="14.25" hidden="false" customHeight="true" outlineLevel="0" collapsed="false">
      <c r="B948" s="28"/>
    </row>
    <row r="949" customFormat="false" ht="14.25" hidden="false" customHeight="true" outlineLevel="0" collapsed="false">
      <c r="B949" s="28"/>
    </row>
    <row r="950" customFormat="false" ht="14.25" hidden="false" customHeight="true" outlineLevel="0" collapsed="false">
      <c r="B950" s="28"/>
    </row>
    <row r="951" customFormat="false" ht="14.25" hidden="false" customHeight="true" outlineLevel="0" collapsed="false">
      <c r="B951" s="28"/>
    </row>
    <row r="952" customFormat="false" ht="14.25" hidden="false" customHeight="true" outlineLevel="0" collapsed="false">
      <c r="B952" s="28"/>
    </row>
    <row r="953" customFormat="false" ht="14.25" hidden="false" customHeight="true" outlineLevel="0" collapsed="false">
      <c r="B953" s="28"/>
    </row>
    <row r="954" customFormat="false" ht="14.25" hidden="false" customHeight="true" outlineLevel="0" collapsed="false">
      <c r="B954" s="28"/>
    </row>
    <row r="955" customFormat="false" ht="14.25" hidden="false" customHeight="true" outlineLevel="0" collapsed="false">
      <c r="B955" s="28"/>
    </row>
    <row r="956" customFormat="false" ht="14.25" hidden="false" customHeight="true" outlineLevel="0" collapsed="false">
      <c r="B956" s="28"/>
    </row>
    <row r="957" customFormat="false" ht="14.25" hidden="false" customHeight="true" outlineLevel="0" collapsed="false">
      <c r="B957" s="28"/>
    </row>
    <row r="958" customFormat="false" ht="14.25" hidden="false" customHeight="true" outlineLevel="0" collapsed="false">
      <c r="B958" s="28"/>
    </row>
    <row r="959" customFormat="false" ht="14.25" hidden="false" customHeight="true" outlineLevel="0" collapsed="false">
      <c r="B959" s="28"/>
    </row>
    <row r="960" customFormat="false" ht="14.25" hidden="false" customHeight="true" outlineLevel="0" collapsed="false">
      <c r="B960" s="28"/>
    </row>
    <row r="961" customFormat="false" ht="14.25" hidden="false" customHeight="true" outlineLevel="0" collapsed="false">
      <c r="B961" s="28"/>
    </row>
    <row r="962" customFormat="false" ht="14.25" hidden="false" customHeight="true" outlineLevel="0" collapsed="false">
      <c r="B962" s="28"/>
    </row>
    <row r="963" customFormat="false" ht="14.25" hidden="false" customHeight="true" outlineLevel="0" collapsed="false">
      <c r="B963" s="28"/>
    </row>
    <row r="964" customFormat="false" ht="14.25" hidden="false" customHeight="true" outlineLevel="0" collapsed="false">
      <c r="B964" s="28"/>
    </row>
    <row r="965" customFormat="false" ht="14.25" hidden="false" customHeight="true" outlineLevel="0" collapsed="false">
      <c r="B965" s="28"/>
    </row>
    <row r="966" customFormat="false" ht="14.25" hidden="false" customHeight="true" outlineLevel="0" collapsed="false">
      <c r="B966" s="28"/>
    </row>
    <row r="967" customFormat="false" ht="14.25" hidden="false" customHeight="true" outlineLevel="0" collapsed="false">
      <c r="B967" s="28"/>
    </row>
    <row r="968" customFormat="false" ht="14.25" hidden="false" customHeight="true" outlineLevel="0" collapsed="false">
      <c r="B968" s="28"/>
    </row>
    <row r="969" customFormat="false" ht="14.25" hidden="false" customHeight="true" outlineLevel="0" collapsed="false">
      <c r="B969" s="28"/>
    </row>
    <row r="970" customFormat="false" ht="14.25" hidden="false" customHeight="true" outlineLevel="0" collapsed="false">
      <c r="B970" s="28"/>
    </row>
    <row r="971" customFormat="false" ht="14.25" hidden="false" customHeight="true" outlineLevel="0" collapsed="false">
      <c r="B971" s="28"/>
    </row>
    <row r="972" customFormat="false" ht="14.25" hidden="false" customHeight="true" outlineLevel="0" collapsed="false">
      <c r="B972" s="28"/>
    </row>
    <row r="973" customFormat="false" ht="14.25" hidden="false" customHeight="true" outlineLevel="0" collapsed="false">
      <c r="B973" s="28"/>
    </row>
    <row r="974" customFormat="false" ht="14.25" hidden="false" customHeight="true" outlineLevel="0" collapsed="false">
      <c r="B974" s="28"/>
    </row>
    <row r="975" customFormat="false" ht="14.25" hidden="false" customHeight="true" outlineLevel="0" collapsed="false">
      <c r="B975" s="28"/>
    </row>
    <row r="976" customFormat="false" ht="14.25" hidden="false" customHeight="true" outlineLevel="0" collapsed="false">
      <c r="B976" s="28"/>
    </row>
    <row r="977" customFormat="false" ht="14.25" hidden="false" customHeight="true" outlineLevel="0" collapsed="false">
      <c r="B977" s="28"/>
    </row>
    <row r="978" customFormat="false" ht="14.25" hidden="false" customHeight="true" outlineLevel="0" collapsed="false">
      <c r="B978" s="28"/>
    </row>
    <row r="979" customFormat="false" ht="14.25" hidden="false" customHeight="true" outlineLevel="0" collapsed="false">
      <c r="B979" s="28"/>
    </row>
    <row r="980" customFormat="false" ht="14.25" hidden="false" customHeight="true" outlineLevel="0" collapsed="false">
      <c r="B980" s="28"/>
    </row>
    <row r="981" customFormat="false" ht="14.25" hidden="false" customHeight="true" outlineLevel="0" collapsed="false">
      <c r="B981" s="28"/>
    </row>
    <row r="982" customFormat="false" ht="14.25" hidden="false" customHeight="true" outlineLevel="0" collapsed="false">
      <c r="B982" s="28"/>
    </row>
    <row r="983" customFormat="false" ht="14.25" hidden="false" customHeight="true" outlineLevel="0" collapsed="false">
      <c r="B983" s="28"/>
    </row>
    <row r="984" customFormat="false" ht="14.25" hidden="false" customHeight="true" outlineLevel="0" collapsed="false">
      <c r="B984" s="28"/>
    </row>
    <row r="985" customFormat="false" ht="14.25" hidden="false" customHeight="true" outlineLevel="0" collapsed="false">
      <c r="B985" s="28"/>
    </row>
    <row r="986" customFormat="false" ht="14.25" hidden="false" customHeight="true" outlineLevel="0" collapsed="false">
      <c r="B986" s="28"/>
    </row>
    <row r="987" customFormat="false" ht="14.25" hidden="false" customHeight="true" outlineLevel="0" collapsed="false">
      <c r="B987" s="28"/>
    </row>
    <row r="988" customFormat="false" ht="14.25" hidden="false" customHeight="true" outlineLevel="0" collapsed="false">
      <c r="B988" s="28"/>
    </row>
    <row r="989" customFormat="false" ht="14.25" hidden="false" customHeight="true" outlineLevel="0" collapsed="false">
      <c r="B989" s="28"/>
    </row>
    <row r="990" customFormat="false" ht="14.25" hidden="false" customHeight="true" outlineLevel="0" collapsed="false">
      <c r="B990" s="28"/>
    </row>
    <row r="991" customFormat="false" ht="14.25" hidden="false" customHeight="true" outlineLevel="0" collapsed="false">
      <c r="B991" s="28"/>
    </row>
    <row r="992" customFormat="false" ht="14.25" hidden="false" customHeight="true" outlineLevel="0" collapsed="false">
      <c r="B992" s="28"/>
    </row>
    <row r="993" customFormat="false" ht="14.25" hidden="false" customHeight="true" outlineLevel="0" collapsed="false">
      <c r="B993" s="28"/>
    </row>
    <row r="994" customFormat="false" ht="14.25" hidden="false" customHeight="true" outlineLevel="0" collapsed="false">
      <c r="B994" s="28"/>
    </row>
    <row r="995" customFormat="false" ht="14.25" hidden="false" customHeight="true" outlineLevel="0" collapsed="false">
      <c r="B995" s="28"/>
    </row>
    <row r="996" customFormat="false" ht="14.25" hidden="false" customHeight="true" outlineLevel="0" collapsed="false">
      <c r="B996" s="28"/>
    </row>
    <row r="997" customFormat="false" ht="14.25" hidden="false" customHeight="true" outlineLevel="0" collapsed="false">
      <c r="B997" s="28"/>
    </row>
    <row r="998" customFormat="false" ht="14.25" hidden="false" customHeight="true" outlineLevel="0" collapsed="false">
      <c r="B998" s="28"/>
    </row>
    <row r="999" customFormat="false" ht="14.25" hidden="false" customHeight="true" outlineLevel="0" collapsed="false">
      <c r="B999" s="28"/>
    </row>
    <row r="1000" customFormat="false" ht="14.25" hidden="false" customHeight="true" outlineLevel="0" collapsed="false">
      <c r="B1000" s="28"/>
    </row>
  </sheetData>
  <dataValidations count="5">
    <dataValidation allowBlank="false" error="Select a value from the approved list." errorStyle="stop" errorTitle="Invalid value" operator="between" showDropDown="false" showErrorMessage="true" showInputMessage="false" sqref="B2:B1000" type="list">
      <formula1>PositionIDList</formula1>
      <formula2>0</formula2>
    </dataValidation>
    <dataValidation allowBlank="false" error="Select a value from the approved list." errorStyle="stop" errorTitle="Invalid value" operator="between" showDropDown="false" showErrorMessage="true" showInputMessage="false" sqref="C2:C1000" type="list">
      <formula1>PositionIDList</formula1>
      <formula2>0</formula2>
    </dataValidation>
    <dataValidation allowBlank="false" error="Select a value from the approved list." errorStyle="stop" errorTitle="Invalid value" operator="between" showDropDown="false" showErrorMessage="true" showInputMessage="false" sqref="D2:D1000" type="list">
      <formula1>PositionIDList</formula1>
      <formula2>0</formula2>
    </dataValidation>
    <dataValidation allowBlank="false" error="Select a value from the approved list." errorStyle="stop" errorTitle="Invalid value" operator="between" showDropDown="false" showErrorMessage="true" showInputMessage="false" sqref="E2:E1000" type="list">
      <formula1>PositionIDList</formula1>
      <formula2>0</formula2>
    </dataValidation>
    <dataValidation allowBlank="false" error="Select a value from the approved list." errorStyle="stop" errorTitle="Invalid value" operator="between" showDropDown="false" showErrorMessage="true" showInputMessage="false" sqref="F2:F1000" type="list">
      <formula1>PositionIDList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29" width="12.11"/>
    <col collapsed="false" customWidth="true" hidden="false" outlineLevel="0" max="2" min="2" style="29" width="21.11"/>
    <col collapsed="false" customWidth="true" hidden="false" outlineLevel="0" max="3" min="3" style="29" width="16.44"/>
    <col collapsed="false" customWidth="true" hidden="false" outlineLevel="0" max="4" min="4" style="29" width="11.44"/>
    <col collapsed="false" customWidth="true" hidden="false" outlineLevel="0" max="5" min="5" style="29" width="7"/>
    <col collapsed="false" customWidth="true" hidden="false" outlineLevel="0" max="6" min="6" style="29" width="10.56"/>
    <col collapsed="false" customWidth="true" hidden="false" outlineLevel="0" max="7" min="7" style="29" width="14.67"/>
    <col collapsed="false" customWidth="true" hidden="false" outlineLevel="0" max="8" min="8" style="29" width="12.11"/>
  </cols>
  <sheetData>
    <row r="1" customFormat="false" ht="14.25" hidden="false" customHeight="true" outlineLevel="0" collapsed="false">
      <c r="A1" s="27" t="s">
        <v>63</v>
      </c>
      <c r="B1" s="27" t="s">
        <v>64</v>
      </c>
      <c r="C1" s="30" t="s">
        <v>455</v>
      </c>
      <c r="D1" s="30" t="s">
        <v>494</v>
      </c>
      <c r="E1" s="30" t="s">
        <v>495</v>
      </c>
      <c r="F1" s="30" t="s">
        <v>458</v>
      </c>
      <c r="G1" s="30" t="s">
        <v>496</v>
      </c>
      <c r="H1" s="30" t="s">
        <v>497</v>
      </c>
    </row>
    <row r="2" customFormat="false" ht="14.25" hidden="false" customHeight="true" outlineLevel="0" collapsed="false">
      <c r="A2" s="29" t="s">
        <v>72</v>
      </c>
      <c r="B2" s="29" t="s">
        <v>73</v>
      </c>
      <c r="C2" s="29" t="s">
        <v>76</v>
      </c>
      <c r="D2" s="29" t="s">
        <v>76</v>
      </c>
      <c r="E2" s="29" t="s">
        <v>76</v>
      </c>
      <c r="F2" s="29" t="s">
        <v>77</v>
      </c>
      <c r="H2" s="29" t="n">
        <v>2</v>
      </c>
    </row>
    <row r="3" customFormat="false" ht="14.25" hidden="false" customHeight="true" outlineLevel="0" collapsed="false">
      <c r="A3" s="29" t="s">
        <v>79</v>
      </c>
      <c r="B3" s="29" t="s">
        <v>80</v>
      </c>
      <c r="C3" s="29" t="s">
        <v>76</v>
      </c>
      <c r="D3" s="29" t="s">
        <v>76</v>
      </c>
      <c r="E3" s="29" t="s">
        <v>76</v>
      </c>
      <c r="F3" s="29" t="s">
        <v>77</v>
      </c>
      <c r="H3" s="29" t="n">
        <v>2</v>
      </c>
    </row>
    <row r="4" customFormat="false" ht="14.25" hidden="false" customHeight="true" outlineLevel="0" collapsed="false">
      <c r="A4" s="29" t="s">
        <v>83</v>
      </c>
      <c r="B4" s="29" t="s">
        <v>84</v>
      </c>
      <c r="C4" s="29" t="s">
        <v>76</v>
      </c>
      <c r="D4" s="29" t="s">
        <v>76</v>
      </c>
      <c r="E4" s="29" t="s">
        <v>76</v>
      </c>
      <c r="F4" s="29" t="s">
        <v>77</v>
      </c>
      <c r="H4" s="29" t="n">
        <v>2</v>
      </c>
    </row>
    <row r="5" customFormat="false" ht="14.25" hidden="false" customHeight="true" outlineLevel="0" collapsed="false">
      <c r="A5" s="29" t="s">
        <v>86</v>
      </c>
      <c r="B5" s="29" t="s">
        <v>87</v>
      </c>
      <c r="C5" s="29" t="s">
        <v>76</v>
      </c>
      <c r="D5" s="29" t="s">
        <v>76</v>
      </c>
      <c r="E5" s="29" t="s">
        <v>76</v>
      </c>
      <c r="F5" s="29" t="s">
        <v>77</v>
      </c>
      <c r="H5" s="29" t="n">
        <v>2</v>
      </c>
    </row>
    <row r="6" customFormat="false" ht="14.25" hidden="false" customHeight="true" outlineLevel="0" collapsed="false">
      <c r="A6" s="29" t="s">
        <v>88</v>
      </c>
      <c r="B6" s="29" t="s">
        <v>89</v>
      </c>
      <c r="C6" s="29" t="s">
        <v>76</v>
      </c>
      <c r="D6" s="29" t="s">
        <v>76</v>
      </c>
      <c r="E6" s="29" t="s">
        <v>76</v>
      </c>
      <c r="F6" s="29" t="s">
        <v>77</v>
      </c>
      <c r="H6" s="29" t="n">
        <v>2</v>
      </c>
    </row>
    <row r="7" customFormat="false" ht="14.25" hidden="false" customHeight="true" outlineLevel="0" collapsed="false">
      <c r="A7" s="29" t="s">
        <v>92</v>
      </c>
      <c r="B7" s="29" t="s">
        <v>93</v>
      </c>
      <c r="C7" s="29" t="s">
        <v>76</v>
      </c>
      <c r="D7" s="29" t="s">
        <v>76</v>
      </c>
      <c r="E7" s="29" t="s">
        <v>76</v>
      </c>
      <c r="F7" s="29" t="s">
        <v>77</v>
      </c>
      <c r="H7" s="29" t="n">
        <v>2</v>
      </c>
    </row>
    <row r="8" customFormat="false" ht="14.25" hidden="false" customHeight="true" outlineLevel="0" collapsed="false">
      <c r="A8" s="29" t="s">
        <v>95</v>
      </c>
      <c r="B8" s="29" t="s">
        <v>96</v>
      </c>
      <c r="C8" s="29" t="s">
        <v>76</v>
      </c>
      <c r="D8" s="29" t="s">
        <v>76</v>
      </c>
      <c r="E8" s="29" t="s">
        <v>76</v>
      </c>
      <c r="F8" s="29" t="s">
        <v>77</v>
      </c>
      <c r="H8" s="29" t="n">
        <v>2</v>
      </c>
    </row>
    <row r="9" customFormat="false" ht="14.25" hidden="false" customHeight="true" outlineLevel="0" collapsed="false">
      <c r="A9" s="29" t="s">
        <v>99</v>
      </c>
      <c r="B9" s="29" t="s">
        <v>100</v>
      </c>
      <c r="C9" s="29" t="s">
        <v>76</v>
      </c>
      <c r="D9" s="29" t="s">
        <v>76</v>
      </c>
      <c r="E9" s="29" t="s">
        <v>76</v>
      </c>
      <c r="F9" s="29" t="s">
        <v>77</v>
      </c>
      <c r="H9" s="29" t="n">
        <v>2</v>
      </c>
    </row>
    <row r="10" customFormat="false" ht="14.25" hidden="false" customHeight="true" outlineLevel="0" collapsed="false">
      <c r="A10" s="29" t="s">
        <v>101</v>
      </c>
      <c r="B10" s="29" t="s">
        <v>102</v>
      </c>
      <c r="C10" s="29" t="s">
        <v>76</v>
      </c>
      <c r="D10" s="29" t="s">
        <v>76</v>
      </c>
      <c r="E10" s="29" t="s">
        <v>76</v>
      </c>
      <c r="F10" s="29" t="s">
        <v>77</v>
      </c>
      <c r="H10" s="29" t="n">
        <v>2</v>
      </c>
    </row>
    <row r="11" customFormat="false" ht="14.25" hidden="false" customHeight="true" outlineLevel="0" collapsed="false">
      <c r="A11" s="29" t="s">
        <v>103</v>
      </c>
      <c r="B11" s="29" t="s">
        <v>104</v>
      </c>
      <c r="C11" s="29" t="s">
        <v>76</v>
      </c>
      <c r="D11" s="29" t="s">
        <v>76</v>
      </c>
      <c r="E11" s="29" t="s">
        <v>76</v>
      </c>
      <c r="F11" s="29" t="s">
        <v>77</v>
      </c>
      <c r="H11" s="29" t="n">
        <v>2</v>
      </c>
    </row>
    <row r="12" customFormat="false" ht="14.25" hidden="false" customHeight="true" outlineLevel="0" collapsed="false">
      <c r="A12" s="29" t="s">
        <v>105</v>
      </c>
      <c r="B12" s="29" t="s">
        <v>106</v>
      </c>
      <c r="C12" s="29" t="s">
        <v>76</v>
      </c>
      <c r="D12" s="29" t="s">
        <v>76</v>
      </c>
      <c r="E12" s="29" t="s">
        <v>76</v>
      </c>
      <c r="F12" s="29" t="s">
        <v>77</v>
      </c>
      <c r="H12" s="29" t="n">
        <v>2</v>
      </c>
    </row>
    <row r="13" customFormat="false" ht="14.25" hidden="false" customHeight="true" outlineLevel="0" collapsed="false">
      <c r="A13" s="29" t="s">
        <v>107</v>
      </c>
      <c r="B13" s="29" t="s">
        <v>108</v>
      </c>
      <c r="C13" s="29" t="s">
        <v>76</v>
      </c>
      <c r="D13" s="29" t="s">
        <v>76</v>
      </c>
      <c r="E13" s="29" t="s">
        <v>76</v>
      </c>
      <c r="F13" s="29" t="s">
        <v>77</v>
      </c>
      <c r="H13" s="29" t="n">
        <v>2</v>
      </c>
    </row>
    <row r="14" customFormat="false" ht="14.25" hidden="false" customHeight="true" outlineLevel="0" collapsed="false">
      <c r="A14" s="29" t="s">
        <v>109</v>
      </c>
      <c r="B14" s="29" t="s">
        <v>110</v>
      </c>
      <c r="C14" s="29" t="s">
        <v>76</v>
      </c>
      <c r="D14" s="29" t="s">
        <v>76</v>
      </c>
      <c r="E14" s="29" t="s">
        <v>76</v>
      </c>
      <c r="F14" s="29" t="s">
        <v>77</v>
      </c>
      <c r="H14" s="29" t="n">
        <v>2</v>
      </c>
    </row>
    <row r="15" customFormat="false" ht="14.25" hidden="false" customHeight="true" outlineLevel="0" collapsed="false">
      <c r="A15" s="29" t="s">
        <v>112</v>
      </c>
      <c r="B15" s="29" t="s">
        <v>113</v>
      </c>
      <c r="C15" s="29" t="s">
        <v>76</v>
      </c>
      <c r="D15" s="29" t="s">
        <v>76</v>
      </c>
      <c r="E15" s="29" t="s">
        <v>76</v>
      </c>
      <c r="F15" s="29" t="s">
        <v>77</v>
      </c>
      <c r="H15" s="29" t="n">
        <v>2</v>
      </c>
    </row>
    <row r="16" customFormat="false" ht="14.25" hidden="false" customHeight="true" outlineLevel="0" collapsed="false">
      <c r="A16" s="29" t="s">
        <v>114</v>
      </c>
      <c r="B16" s="29" t="s">
        <v>115</v>
      </c>
      <c r="C16" s="29" t="s">
        <v>76</v>
      </c>
      <c r="D16" s="29" t="s">
        <v>76</v>
      </c>
      <c r="E16" s="29" t="s">
        <v>76</v>
      </c>
      <c r="F16" s="29" t="s">
        <v>77</v>
      </c>
      <c r="H16" s="29" t="n">
        <v>2</v>
      </c>
    </row>
    <row r="17" customFormat="false" ht="14.25" hidden="false" customHeight="true" outlineLevel="0" collapsed="false">
      <c r="A17" s="29" t="s">
        <v>116</v>
      </c>
      <c r="B17" s="29" t="s">
        <v>117</v>
      </c>
      <c r="C17" s="29" t="s">
        <v>76</v>
      </c>
      <c r="D17" s="29" t="s">
        <v>76</v>
      </c>
      <c r="E17" s="29" t="s">
        <v>76</v>
      </c>
      <c r="F17" s="29" t="s">
        <v>77</v>
      </c>
      <c r="H17" s="29" t="n">
        <v>2</v>
      </c>
    </row>
    <row r="18" customFormat="false" ht="14.25" hidden="false" customHeight="true" outlineLevel="0" collapsed="false">
      <c r="A18" s="29" t="s">
        <v>118</v>
      </c>
      <c r="B18" s="29" t="s">
        <v>119</v>
      </c>
      <c r="C18" s="29" t="s">
        <v>76</v>
      </c>
      <c r="D18" s="29" t="s">
        <v>76</v>
      </c>
      <c r="E18" s="29" t="s">
        <v>76</v>
      </c>
      <c r="F18" s="29" t="s">
        <v>77</v>
      </c>
      <c r="H18" s="29" t="n">
        <v>2</v>
      </c>
    </row>
    <row r="19" customFormat="false" ht="14.25" hidden="false" customHeight="true" outlineLevel="0" collapsed="false">
      <c r="A19" s="29" t="s">
        <v>120</v>
      </c>
      <c r="B19" s="29" t="s">
        <v>121</v>
      </c>
      <c r="C19" s="29" t="s">
        <v>76</v>
      </c>
      <c r="D19" s="29" t="s">
        <v>76</v>
      </c>
      <c r="E19" s="29" t="s">
        <v>76</v>
      </c>
      <c r="F19" s="29" t="s">
        <v>77</v>
      </c>
      <c r="H19" s="29" t="n">
        <v>2</v>
      </c>
    </row>
    <row r="20" customFormat="false" ht="14.25" hidden="false" customHeight="true" outlineLevel="0" collapsed="false">
      <c r="A20" s="29" t="s">
        <v>122</v>
      </c>
      <c r="B20" s="29" t="s">
        <v>123</v>
      </c>
      <c r="C20" s="29" t="s">
        <v>76</v>
      </c>
      <c r="D20" s="29" t="s">
        <v>76</v>
      </c>
      <c r="E20" s="29" t="s">
        <v>76</v>
      </c>
      <c r="F20" s="29" t="s">
        <v>77</v>
      </c>
      <c r="H20" s="29" t="n">
        <v>2</v>
      </c>
    </row>
    <row r="21" customFormat="false" ht="14.25" hidden="false" customHeight="true" outlineLevel="0" collapsed="false">
      <c r="A21" s="29" t="s">
        <v>124</v>
      </c>
      <c r="B21" s="29" t="s">
        <v>125</v>
      </c>
      <c r="C21" s="29" t="s">
        <v>76</v>
      </c>
      <c r="D21" s="29" t="s">
        <v>76</v>
      </c>
      <c r="E21" s="29" t="s">
        <v>76</v>
      </c>
      <c r="F21" s="29" t="s">
        <v>77</v>
      </c>
      <c r="H21" s="29" t="n">
        <v>2</v>
      </c>
    </row>
    <row r="22" customFormat="false" ht="14.25" hidden="false" customHeight="true" outlineLevel="0" collapsed="false">
      <c r="A22" s="29" t="s">
        <v>127</v>
      </c>
      <c r="B22" s="29" t="s">
        <v>128</v>
      </c>
      <c r="C22" s="29" t="s">
        <v>76</v>
      </c>
      <c r="D22" s="29" t="s">
        <v>76</v>
      </c>
      <c r="E22" s="29" t="s">
        <v>76</v>
      </c>
      <c r="F22" s="29" t="s">
        <v>77</v>
      </c>
      <c r="H22" s="29" t="n">
        <v>2</v>
      </c>
    </row>
    <row r="23" customFormat="false" ht="14.25" hidden="false" customHeight="true" outlineLevel="0" collapsed="false">
      <c r="A23" s="29" t="s">
        <v>129</v>
      </c>
      <c r="B23" s="29" t="s">
        <v>130</v>
      </c>
      <c r="C23" s="29" t="s">
        <v>76</v>
      </c>
      <c r="D23" s="29" t="s">
        <v>76</v>
      </c>
      <c r="E23" s="29" t="s">
        <v>76</v>
      </c>
      <c r="F23" s="29" t="s">
        <v>77</v>
      </c>
      <c r="H23" s="29" t="n">
        <v>2</v>
      </c>
    </row>
    <row r="24" customFormat="false" ht="14.25" hidden="false" customHeight="true" outlineLevel="0" collapsed="false">
      <c r="A24" s="29" t="s">
        <v>131</v>
      </c>
      <c r="B24" s="29" t="s">
        <v>132</v>
      </c>
      <c r="C24" s="29" t="s">
        <v>76</v>
      </c>
      <c r="D24" s="29" t="s">
        <v>76</v>
      </c>
      <c r="E24" s="29" t="s">
        <v>76</v>
      </c>
      <c r="F24" s="29" t="s">
        <v>77</v>
      </c>
      <c r="H24" s="29" t="n">
        <v>2</v>
      </c>
    </row>
    <row r="25" customFormat="false" ht="14.25" hidden="false" customHeight="true" outlineLevel="0" collapsed="false">
      <c r="A25" s="29" t="s">
        <v>133</v>
      </c>
      <c r="B25" s="29" t="s">
        <v>134</v>
      </c>
      <c r="C25" s="29" t="s">
        <v>76</v>
      </c>
      <c r="D25" s="29" t="s">
        <v>76</v>
      </c>
      <c r="E25" s="29" t="s">
        <v>76</v>
      </c>
      <c r="F25" s="29" t="s">
        <v>77</v>
      </c>
      <c r="H25" s="29" t="n">
        <v>2</v>
      </c>
    </row>
    <row r="26" customFormat="false" ht="14.25" hidden="false" customHeight="true" outlineLevel="0" collapsed="false">
      <c r="A26" s="29" t="s">
        <v>136</v>
      </c>
      <c r="B26" s="29" t="s">
        <v>137</v>
      </c>
      <c r="C26" s="29" t="s">
        <v>76</v>
      </c>
      <c r="D26" s="29" t="s">
        <v>76</v>
      </c>
      <c r="E26" s="29" t="s">
        <v>76</v>
      </c>
      <c r="F26" s="29" t="s">
        <v>77</v>
      </c>
      <c r="H26" s="29" t="n">
        <v>2</v>
      </c>
    </row>
    <row r="27" customFormat="false" ht="14.25" hidden="false" customHeight="true" outlineLevel="0" collapsed="false">
      <c r="A27" s="29" t="s">
        <v>138</v>
      </c>
      <c r="B27" s="29" t="s">
        <v>139</v>
      </c>
      <c r="C27" s="29" t="s">
        <v>76</v>
      </c>
      <c r="D27" s="29" t="s">
        <v>76</v>
      </c>
      <c r="E27" s="29" t="s">
        <v>76</v>
      </c>
      <c r="F27" s="29" t="s">
        <v>77</v>
      </c>
      <c r="H27" s="29" t="n">
        <v>2</v>
      </c>
    </row>
    <row r="28" customFormat="false" ht="14.25" hidden="false" customHeight="true" outlineLevel="0" collapsed="false">
      <c r="A28" s="29" t="s">
        <v>140</v>
      </c>
      <c r="B28" s="29" t="s">
        <v>141</v>
      </c>
      <c r="C28" s="29" t="s">
        <v>76</v>
      </c>
      <c r="D28" s="29" t="s">
        <v>76</v>
      </c>
      <c r="E28" s="29" t="s">
        <v>76</v>
      </c>
      <c r="F28" s="29" t="s">
        <v>77</v>
      </c>
      <c r="H28" s="29" t="n">
        <v>2</v>
      </c>
    </row>
    <row r="29" customFormat="false" ht="14.25" hidden="false" customHeight="true" outlineLevel="0" collapsed="false">
      <c r="A29" s="29" t="s">
        <v>143</v>
      </c>
      <c r="B29" s="29" t="s">
        <v>144</v>
      </c>
      <c r="C29" s="29" t="s">
        <v>76</v>
      </c>
      <c r="D29" s="29" t="s">
        <v>76</v>
      </c>
      <c r="E29" s="29" t="s">
        <v>76</v>
      </c>
      <c r="F29" s="29" t="s">
        <v>77</v>
      </c>
      <c r="H29" s="29" t="n">
        <v>2</v>
      </c>
    </row>
    <row r="30" customFormat="false" ht="14.25" hidden="false" customHeight="true" outlineLevel="0" collapsed="false">
      <c r="A30" s="29" t="s">
        <v>145</v>
      </c>
      <c r="B30" s="29" t="s">
        <v>146</v>
      </c>
      <c r="C30" s="29" t="s">
        <v>76</v>
      </c>
      <c r="D30" s="29" t="s">
        <v>76</v>
      </c>
      <c r="E30" s="29" t="s">
        <v>76</v>
      </c>
      <c r="F30" s="29" t="s">
        <v>77</v>
      </c>
      <c r="H30" s="29" t="n">
        <v>2</v>
      </c>
    </row>
    <row r="31" customFormat="false" ht="14.25" hidden="false" customHeight="true" outlineLevel="0" collapsed="false">
      <c r="A31" s="29" t="s">
        <v>147</v>
      </c>
      <c r="B31" s="29" t="s">
        <v>148</v>
      </c>
      <c r="C31" s="29" t="s">
        <v>76</v>
      </c>
      <c r="D31" s="29" t="s">
        <v>76</v>
      </c>
      <c r="E31" s="29" t="s">
        <v>76</v>
      </c>
      <c r="F31" s="29" t="s">
        <v>77</v>
      </c>
      <c r="H31" s="29" t="n">
        <v>2</v>
      </c>
    </row>
    <row r="32" customFormat="false" ht="14.25" hidden="false" customHeight="true" outlineLevel="0" collapsed="false">
      <c r="A32" s="29" t="s">
        <v>149</v>
      </c>
      <c r="B32" s="29" t="s">
        <v>150</v>
      </c>
      <c r="C32" s="29" t="s">
        <v>76</v>
      </c>
      <c r="D32" s="29" t="s">
        <v>76</v>
      </c>
      <c r="E32" s="29" t="s">
        <v>76</v>
      </c>
      <c r="F32" s="29" t="s">
        <v>77</v>
      </c>
      <c r="H32" s="29" t="n">
        <v>2</v>
      </c>
    </row>
    <row r="33" customFormat="false" ht="14.25" hidden="false" customHeight="true" outlineLevel="0" collapsed="false">
      <c r="A33" s="29" t="s">
        <v>151</v>
      </c>
      <c r="B33" s="29" t="s">
        <v>152</v>
      </c>
      <c r="C33" s="29" t="s">
        <v>76</v>
      </c>
      <c r="D33" s="29" t="s">
        <v>76</v>
      </c>
      <c r="E33" s="29" t="s">
        <v>76</v>
      </c>
      <c r="F33" s="29" t="s">
        <v>77</v>
      </c>
      <c r="H33" s="29" t="n">
        <v>2</v>
      </c>
    </row>
    <row r="34" customFormat="false" ht="14.25" hidden="false" customHeight="true" outlineLevel="0" collapsed="false">
      <c r="A34" s="29" t="s">
        <v>153</v>
      </c>
      <c r="B34" s="29" t="s">
        <v>154</v>
      </c>
      <c r="C34" s="29" t="s">
        <v>76</v>
      </c>
      <c r="D34" s="29" t="s">
        <v>76</v>
      </c>
      <c r="E34" s="29" t="s">
        <v>76</v>
      </c>
      <c r="F34" s="29" t="s">
        <v>77</v>
      </c>
      <c r="H34" s="29" t="n">
        <v>2</v>
      </c>
    </row>
    <row r="35" customFormat="false" ht="14.25" hidden="false" customHeight="true" outlineLevel="0" collapsed="false">
      <c r="A35" s="29" t="s">
        <v>155</v>
      </c>
      <c r="B35" s="29" t="s">
        <v>156</v>
      </c>
      <c r="C35" s="29" t="s">
        <v>76</v>
      </c>
      <c r="D35" s="29" t="s">
        <v>76</v>
      </c>
      <c r="E35" s="29" t="s">
        <v>76</v>
      </c>
      <c r="F35" s="29" t="s">
        <v>77</v>
      </c>
      <c r="H35" s="29" t="n">
        <v>2</v>
      </c>
    </row>
    <row r="36" customFormat="false" ht="14.25" hidden="false" customHeight="true" outlineLevel="0" collapsed="false">
      <c r="A36" s="29" t="s">
        <v>157</v>
      </c>
      <c r="B36" s="29" t="s">
        <v>158</v>
      </c>
      <c r="C36" s="29" t="s">
        <v>76</v>
      </c>
      <c r="D36" s="29" t="s">
        <v>76</v>
      </c>
      <c r="E36" s="29" t="s">
        <v>76</v>
      </c>
      <c r="F36" s="29" t="s">
        <v>77</v>
      </c>
      <c r="H36" s="29" t="n">
        <v>2</v>
      </c>
    </row>
    <row r="37" customFormat="false" ht="14.25" hidden="false" customHeight="true" outlineLevel="0" collapsed="false">
      <c r="A37" s="29" t="s">
        <v>159</v>
      </c>
      <c r="B37" s="29" t="s">
        <v>160</v>
      </c>
      <c r="C37" s="29" t="s">
        <v>76</v>
      </c>
      <c r="D37" s="29" t="s">
        <v>76</v>
      </c>
      <c r="E37" s="29" t="s">
        <v>76</v>
      </c>
      <c r="F37" s="29" t="s">
        <v>77</v>
      </c>
      <c r="H37" s="29" t="n">
        <v>2</v>
      </c>
    </row>
    <row r="38" customFormat="false" ht="14.25" hidden="false" customHeight="true" outlineLevel="0" collapsed="false">
      <c r="A38" s="29" t="s">
        <v>161</v>
      </c>
      <c r="B38" s="29" t="s">
        <v>162</v>
      </c>
      <c r="C38" s="29" t="s">
        <v>76</v>
      </c>
      <c r="D38" s="29" t="s">
        <v>76</v>
      </c>
      <c r="E38" s="29" t="s">
        <v>76</v>
      </c>
      <c r="F38" s="29" t="s">
        <v>77</v>
      </c>
      <c r="H38" s="29" t="n">
        <v>2</v>
      </c>
    </row>
    <row r="39" customFormat="false" ht="14.25" hidden="false" customHeight="true" outlineLevel="0" collapsed="false">
      <c r="A39" s="29" t="s">
        <v>163</v>
      </c>
      <c r="B39" s="29" t="s">
        <v>164</v>
      </c>
      <c r="C39" s="29" t="s">
        <v>76</v>
      </c>
      <c r="D39" s="29" t="s">
        <v>76</v>
      </c>
      <c r="E39" s="29" t="s">
        <v>76</v>
      </c>
      <c r="F39" s="29" t="s">
        <v>77</v>
      </c>
      <c r="H39" s="29" t="n">
        <v>2</v>
      </c>
    </row>
    <row r="40" customFormat="false" ht="14.25" hidden="false" customHeight="true" outlineLevel="0" collapsed="false">
      <c r="A40" s="29" t="s">
        <v>165</v>
      </c>
      <c r="B40" s="29" t="s">
        <v>166</v>
      </c>
      <c r="C40" s="29" t="s">
        <v>76</v>
      </c>
      <c r="D40" s="29" t="s">
        <v>76</v>
      </c>
      <c r="E40" s="29" t="s">
        <v>76</v>
      </c>
      <c r="F40" s="29" t="s">
        <v>77</v>
      </c>
      <c r="H40" s="29" t="n">
        <v>2</v>
      </c>
    </row>
    <row r="41" customFormat="false" ht="14.25" hidden="false" customHeight="true" outlineLevel="0" collapsed="false">
      <c r="A41" s="29" t="s">
        <v>167</v>
      </c>
      <c r="B41" s="29" t="s">
        <v>168</v>
      </c>
      <c r="C41" s="29" t="s">
        <v>76</v>
      </c>
      <c r="D41" s="29" t="s">
        <v>76</v>
      </c>
      <c r="E41" s="29" t="s">
        <v>76</v>
      </c>
      <c r="F41" s="29" t="s">
        <v>77</v>
      </c>
      <c r="H41" s="29" t="n">
        <v>2</v>
      </c>
    </row>
    <row r="42" customFormat="false" ht="14.25" hidden="false" customHeight="true" outlineLevel="0" collapsed="false">
      <c r="A42" s="29" t="s">
        <v>169</v>
      </c>
      <c r="B42" s="29" t="s">
        <v>170</v>
      </c>
      <c r="C42" s="29" t="s">
        <v>76</v>
      </c>
      <c r="D42" s="29" t="s">
        <v>76</v>
      </c>
      <c r="E42" s="29" t="s">
        <v>76</v>
      </c>
      <c r="F42" s="29" t="s">
        <v>77</v>
      </c>
      <c r="H42" s="29" t="n">
        <v>2</v>
      </c>
    </row>
    <row r="43" customFormat="false" ht="14.25" hidden="false" customHeight="true" outlineLevel="0" collapsed="false">
      <c r="A43" s="29" t="s">
        <v>171</v>
      </c>
      <c r="B43" s="29" t="s">
        <v>172</v>
      </c>
      <c r="C43" s="29" t="s">
        <v>76</v>
      </c>
      <c r="D43" s="29" t="s">
        <v>76</v>
      </c>
      <c r="E43" s="29" t="s">
        <v>76</v>
      </c>
      <c r="F43" s="29" t="s">
        <v>77</v>
      </c>
      <c r="H43" s="29" t="n">
        <v>2</v>
      </c>
    </row>
    <row r="44" customFormat="false" ht="14.25" hidden="false" customHeight="true" outlineLevel="0" collapsed="false">
      <c r="A44" s="29" t="s">
        <v>173</v>
      </c>
      <c r="B44" s="29" t="s">
        <v>174</v>
      </c>
      <c r="C44" s="29" t="s">
        <v>76</v>
      </c>
      <c r="D44" s="29" t="s">
        <v>76</v>
      </c>
      <c r="E44" s="29" t="s">
        <v>76</v>
      </c>
      <c r="F44" s="29" t="s">
        <v>77</v>
      </c>
      <c r="H44" s="29" t="n">
        <v>2</v>
      </c>
    </row>
    <row r="45" customFormat="false" ht="14.25" hidden="false" customHeight="true" outlineLevel="0" collapsed="false">
      <c r="A45" s="29" t="s">
        <v>175</v>
      </c>
      <c r="B45" s="29" t="s">
        <v>176</v>
      </c>
      <c r="C45" s="29" t="s">
        <v>76</v>
      </c>
      <c r="D45" s="29" t="s">
        <v>76</v>
      </c>
      <c r="E45" s="29" t="s">
        <v>76</v>
      </c>
      <c r="F45" s="29" t="s">
        <v>77</v>
      </c>
      <c r="H45" s="29" t="n">
        <v>2</v>
      </c>
    </row>
    <row r="46" customFormat="false" ht="14.25" hidden="false" customHeight="true" outlineLevel="0" collapsed="false">
      <c r="A46" s="29" t="s">
        <v>177</v>
      </c>
      <c r="B46" s="29" t="s">
        <v>178</v>
      </c>
      <c r="C46" s="29" t="s">
        <v>76</v>
      </c>
      <c r="D46" s="29" t="s">
        <v>76</v>
      </c>
      <c r="E46" s="29" t="s">
        <v>76</v>
      </c>
      <c r="F46" s="29" t="s">
        <v>77</v>
      </c>
      <c r="H46" s="29" t="n">
        <v>2</v>
      </c>
    </row>
    <row r="47" customFormat="false" ht="14.25" hidden="false" customHeight="true" outlineLevel="0" collapsed="false">
      <c r="A47" s="29" t="s">
        <v>179</v>
      </c>
      <c r="B47" s="29" t="s">
        <v>180</v>
      </c>
      <c r="C47" s="29" t="s">
        <v>76</v>
      </c>
      <c r="D47" s="29" t="s">
        <v>76</v>
      </c>
      <c r="E47" s="29" t="s">
        <v>76</v>
      </c>
      <c r="F47" s="29" t="s">
        <v>77</v>
      </c>
      <c r="H47" s="29" t="n">
        <v>2</v>
      </c>
    </row>
    <row r="48" customFormat="false" ht="14.25" hidden="false" customHeight="true" outlineLevel="0" collapsed="false">
      <c r="A48" s="29" t="s">
        <v>181</v>
      </c>
      <c r="B48" s="29" t="s">
        <v>182</v>
      </c>
      <c r="C48" s="29" t="s">
        <v>76</v>
      </c>
      <c r="D48" s="29" t="s">
        <v>76</v>
      </c>
      <c r="E48" s="29" t="s">
        <v>76</v>
      </c>
      <c r="F48" s="29" t="s">
        <v>77</v>
      </c>
      <c r="H48" s="29" t="n">
        <v>2</v>
      </c>
    </row>
    <row r="49" customFormat="false" ht="14.25" hidden="false" customHeight="true" outlineLevel="0" collapsed="false">
      <c r="A49" s="29" t="s">
        <v>183</v>
      </c>
      <c r="B49" s="29" t="s">
        <v>184</v>
      </c>
      <c r="C49" s="29" t="s">
        <v>76</v>
      </c>
      <c r="D49" s="29" t="s">
        <v>76</v>
      </c>
      <c r="E49" s="29" t="s">
        <v>76</v>
      </c>
      <c r="F49" s="29" t="s">
        <v>77</v>
      </c>
      <c r="H49" s="29" t="n">
        <v>2</v>
      </c>
    </row>
    <row r="50" customFormat="false" ht="14.25" hidden="false" customHeight="true" outlineLevel="0" collapsed="false">
      <c r="A50" s="29" t="s">
        <v>185</v>
      </c>
      <c r="B50" s="29" t="s">
        <v>186</v>
      </c>
      <c r="C50" s="29" t="s">
        <v>76</v>
      </c>
      <c r="D50" s="29" t="s">
        <v>76</v>
      </c>
      <c r="E50" s="29" t="s">
        <v>76</v>
      </c>
      <c r="F50" s="29" t="s">
        <v>77</v>
      </c>
      <c r="H50" s="29" t="n">
        <v>2</v>
      </c>
    </row>
    <row r="51" customFormat="false" ht="14.25" hidden="false" customHeight="true" outlineLevel="0" collapsed="false">
      <c r="A51" s="29" t="s">
        <v>187</v>
      </c>
      <c r="B51" s="29" t="s">
        <v>188</v>
      </c>
      <c r="C51" s="29" t="s">
        <v>76</v>
      </c>
      <c r="D51" s="29" t="s">
        <v>76</v>
      </c>
      <c r="E51" s="29" t="s">
        <v>76</v>
      </c>
      <c r="F51" s="29" t="s">
        <v>77</v>
      </c>
      <c r="H51" s="29" t="n">
        <v>2</v>
      </c>
    </row>
    <row r="52" customFormat="false" ht="14.25" hidden="false" customHeight="true" outlineLevel="0" collapsed="false">
      <c r="A52" s="29" t="s">
        <v>189</v>
      </c>
      <c r="B52" s="29" t="s">
        <v>190</v>
      </c>
      <c r="C52" s="29" t="s">
        <v>76</v>
      </c>
      <c r="D52" s="29" t="s">
        <v>76</v>
      </c>
      <c r="E52" s="29" t="s">
        <v>76</v>
      </c>
      <c r="F52" s="29" t="s">
        <v>77</v>
      </c>
      <c r="H52" s="29" t="n">
        <v>2</v>
      </c>
    </row>
    <row r="53" customFormat="false" ht="14.25" hidden="false" customHeight="true" outlineLevel="0" collapsed="false">
      <c r="A53" s="29" t="s">
        <v>191</v>
      </c>
      <c r="B53" s="29" t="s">
        <v>192</v>
      </c>
      <c r="C53" s="29" t="s">
        <v>76</v>
      </c>
      <c r="D53" s="29" t="s">
        <v>76</v>
      </c>
      <c r="E53" s="29" t="s">
        <v>76</v>
      </c>
      <c r="F53" s="29" t="s">
        <v>77</v>
      </c>
      <c r="H53" s="29" t="n">
        <v>2</v>
      </c>
    </row>
    <row r="54" customFormat="false" ht="14.25" hidden="false" customHeight="true" outlineLevel="0" collapsed="false">
      <c r="A54" s="29" t="s">
        <v>193</v>
      </c>
      <c r="B54" s="29" t="s">
        <v>194</v>
      </c>
      <c r="C54" s="29" t="s">
        <v>76</v>
      </c>
      <c r="D54" s="29" t="s">
        <v>76</v>
      </c>
      <c r="E54" s="29" t="s">
        <v>76</v>
      </c>
      <c r="F54" s="29" t="s">
        <v>77</v>
      </c>
      <c r="H54" s="29" t="n">
        <v>2</v>
      </c>
    </row>
    <row r="55" customFormat="false" ht="14.25" hidden="false" customHeight="true" outlineLevel="0" collapsed="false">
      <c r="A55" s="29" t="s">
        <v>195</v>
      </c>
      <c r="B55" s="29" t="s">
        <v>196</v>
      </c>
      <c r="C55" s="29" t="s">
        <v>76</v>
      </c>
      <c r="D55" s="29" t="s">
        <v>76</v>
      </c>
      <c r="E55" s="29" t="s">
        <v>76</v>
      </c>
      <c r="F55" s="29" t="s">
        <v>77</v>
      </c>
      <c r="H55" s="29" t="n">
        <v>2</v>
      </c>
    </row>
    <row r="56" customFormat="false" ht="14.25" hidden="false" customHeight="true" outlineLevel="0" collapsed="false">
      <c r="A56" s="29" t="s">
        <v>197</v>
      </c>
      <c r="B56" s="29" t="s">
        <v>198</v>
      </c>
      <c r="C56" s="29" t="s">
        <v>76</v>
      </c>
      <c r="D56" s="29" t="s">
        <v>76</v>
      </c>
      <c r="E56" s="29" t="s">
        <v>76</v>
      </c>
      <c r="F56" s="29" t="s">
        <v>77</v>
      </c>
      <c r="H56" s="29" t="n">
        <v>2</v>
      </c>
    </row>
    <row r="57" customFormat="false" ht="14.25" hidden="false" customHeight="true" outlineLevel="0" collapsed="false">
      <c r="A57" s="29" t="s">
        <v>199</v>
      </c>
      <c r="B57" s="29" t="s">
        <v>200</v>
      </c>
      <c r="C57" s="29" t="s">
        <v>76</v>
      </c>
      <c r="D57" s="29" t="s">
        <v>76</v>
      </c>
      <c r="E57" s="29" t="s">
        <v>76</v>
      </c>
      <c r="F57" s="29" t="s">
        <v>77</v>
      </c>
      <c r="H57" s="29" t="n">
        <v>2</v>
      </c>
    </row>
    <row r="58" customFormat="false" ht="14.25" hidden="false" customHeight="true" outlineLevel="0" collapsed="false">
      <c r="A58" s="29" t="s">
        <v>201</v>
      </c>
      <c r="B58" s="29" t="s">
        <v>202</v>
      </c>
      <c r="C58" s="29" t="s">
        <v>76</v>
      </c>
      <c r="D58" s="29" t="s">
        <v>76</v>
      </c>
      <c r="E58" s="29" t="s">
        <v>76</v>
      </c>
      <c r="F58" s="29" t="s">
        <v>77</v>
      </c>
      <c r="H58" s="29" t="n">
        <v>2</v>
      </c>
    </row>
    <row r="59" customFormat="false" ht="14.25" hidden="false" customHeight="true" outlineLevel="0" collapsed="false">
      <c r="A59" s="29" t="s">
        <v>203</v>
      </c>
      <c r="B59" s="29" t="s">
        <v>204</v>
      </c>
      <c r="C59" s="29" t="s">
        <v>76</v>
      </c>
      <c r="D59" s="29" t="s">
        <v>76</v>
      </c>
      <c r="E59" s="29" t="s">
        <v>76</v>
      </c>
      <c r="F59" s="29" t="s">
        <v>77</v>
      </c>
      <c r="H59" s="29" t="n">
        <v>2</v>
      </c>
    </row>
    <row r="60" customFormat="false" ht="14.25" hidden="false" customHeight="true" outlineLevel="0" collapsed="false">
      <c r="A60" s="29" t="s">
        <v>205</v>
      </c>
      <c r="B60" s="29" t="s">
        <v>206</v>
      </c>
      <c r="C60" s="29" t="s">
        <v>76</v>
      </c>
      <c r="D60" s="29" t="s">
        <v>76</v>
      </c>
      <c r="E60" s="29" t="s">
        <v>76</v>
      </c>
      <c r="F60" s="29" t="s">
        <v>77</v>
      </c>
      <c r="H60" s="29" t="n">
        <v>2</v>
      </c>
    </row>
    <row r="61" customFormat="false" ht="14.25" hidden="false" customHeight="true" outlineLevel="0" collapsed="false">
      <c r="A61" s="29" t="s">
        <v>207</v>
      </c>
      <c r="B61" s="29" t="s">
        <v>208</v>
      </c>
      <c r="C61" s="29" t="s">
        <v>76</v>
      </c>
      <c r="D61" s="29" t="s">
        <v>76</v>
      </c>
      <c r="E61" s="29" t="s">
        <v>76</v>
      </c>
      <c r="F61" s="29" t="s">
        <v>77</v>
      </c>
      <c r="H61" s="29" t="n">
        <v>2</v>
      </c>
    </row>
    <row r="62" customFormat="false" ht="14.25" hidden="false" customHeight="true" outlineLevel="0" collapsed="false">
      <c r="A62" s="29" t="s">
        <v>209</v>
      </c>
      <c r="B62" s="29" t="s">
        <v>210</v>
      </c>
      <c r="C62" s="29" t="s">
        <v>76</v>
      </c>
      <c r="D62" s="29" t="s">
        <v>76</v>
      </c>
      <c r="E62" s="29" t="s">
        <v>76</v>
      </c>
      <c r="F62" s="29" t="s">
        <v>77</v>
      </c>
      <c r="H62" s="29" t="n">
        <v>2</v>
      </c>
    </row>
    <row r="63" customFormat="false" ht="14.25" hidden="false" customHeight="true" outlineLevel="0" collapsed="false">
      <c r="A63" s="29" t="s">
        <v>211</v>
      </c>
      <c r="B63" s="29" t="s">
        <v>212</v>
      </c>
      <c r="C63" s="29" t="s">
        <v>76</v>
      </c>
      <c r="D63" s="29" t="s">
        <v>76</v>
      </c>
      <c r="E63" s="29" t="s">
        <v>76</v>
      </c>
      <c r="F63" s="29" t="s">
        <v>77</v>
      </c>
      <c r="H63" s="29" t="n">
        <v>2</v>
      </c>
    </row>
    <row r="64" customFormat="false" ht="14.25" hidden="false" customHeight="true" outlineLevel="0" collapsed="false">
      <c r="A64" s="29" t="s">
        <v>213</v>
      </c>
      <c r="B64" s="29" t="s">
        <v>214</v>
      </c>
      <c r="C64" s="29" t="s">
        <v>76</v>
      </c>
      <c r="D64" s="29" t="s">
        <v>76</v>
      </c>
      <c r="E64" s="29" t="s">
        <v>76</v>
      </c>
      <c r="F64" s="29" t="s">
        <v>77</v>
      </c>
      <c r="H64" s="29" t="n">
        <v>2</v>
      </c>
    </row>
    <row r="65" customFormat="false" ht="14.25" hidden="false" customHeight="true" outlineLevel="0" collapsed="false">
      <c r="A65" s="29" t="s">
        <v>215</v>
      </c>
      <c r="B65" s="29" t="s">
        <v>216</v>
      </c>
      <c r="C65" s="29" t="s">
        <v>76</v>
      </c>
      <c r="D65" s="29" t="s">
        <v>76</v>
      </c>
      <c r="E65" s="29" t="s">
        <v>76</v>
      </c>
      <c r="F65" s="29" t="s">
        <v>77</v>
      </c>
      <c r="H65" s="29" t="n">
        <v>2</v>
      </c>
    </row>
    <row r="66" customFormat="false" ht="14.25" hidden="false" customHeight="true" outlineLevel="0" collapsed="false">
      <c r="A66" s="29" t="s">
        <v>217</v>
      </c>
      <c r="B66" s="29" t="s">
        <v>218</v>
      </c>
      <c r="C66" s="29" t="s">
        <v>76</v>
      </c>
      <c r="D66" s="29" t="s">
        <v>76</v>
      </c>
      <c r="E66" s="29" t="s">
        <v>76</v>
      </c>
      <c r="F66" s="29" t="s">
        <v>77</v>
      </c>
      <c r="H66" s="29" t="n">
        <v>2</v>
      </c>
    </row>
    <row r="67" customFormat="false" ht="14.25" hidden="false" customHeight="true" outlineLevel="0" collapsed="false">
      <c r="A67" s="29" t="s">
        <v>219</v>
      </c>
      <c r="B67" s="29" t="s">
        <v>220</v>
      </c>
      <c r="C67" s="29" t="s">
        <v>76</v>
      </c>
      <c r="D67" s="29" t="s">
        <v>76</v>
      </c>
      <c r="E67" s="29" t="s">
        <v>76</v>
      </c>
      <c r="F67" s="29" t="s">
        <v>77</v>
      </c>
      <c r="H67" s="29" t="n">
        <v>2</v>
      </c>
    </row>
    <row r="68" customFormat="false" ht="14.25" hidden="false" customHeight="true" outlineLevel="0" collapsed="false">
      <c r="A68" s="29" t="s">
        <v>221</v>
      </c>
      <c r="B68" s="29" t="s">
        <v>222</v>
      </c>
      <c r="C68" s="29" t="s">
        <v>76</v>
      </c>
      <c r="D68" s="29" t="s">
        <v>76</v>
      </c>
      <c r="E68" s="29" t="s">
        <v>76</v>
      </c>
      <c r="F68" s="29" t="s">
        <v>77</v>
      </c>
      <c r="H68" s="29" t="n">
        <v>2</v>
      </c>
    </row>
    <row r="69" customFormat="false" ht="14.25" hidden="false" customHeight="true" outlineLevel="0" collapsed="false">
      <c r="A69" s="29" t="s">
        <v>223</v>
      </c>
      <c r="B69" s="29" t="s">
        <v>224</v>
      </c>
      <c r="C69" s="29" t="s">
        <v>76</v>
      </c>
      <c r="D69" s="29" t="s">
        <v>76</v>
      </c>
      <c r="E69" s="29" t="s">
        <v>76</v>
      </c>
      <c r="F69" s="29" t="s">
        <v>77</v>
      </c>
      <c r="H69" s="29" t="n">
        <v>2</v>
      </c>
    </row>
    <row r="70" customFormat="false" ht="14.25" hidden="false" customHeight="true" outlineLevel="0" collapsed="false">
      <c r="A70" s="29" t="s">
        <v>225</v>
      </c>
      <c r="B70" s="29" t="s">
        <v>226</v>
      </c>
      <c r="C70" s="29" t="s">
        <v>76</v>
      </c>
      <c r="D70" s="29" t="s">
        <v>76</v>
      </c>
      <c r="E70" s="29" t="s">
        <v>76</v>
      </c>
      <c r="F70" s="29" t="s">
        <v>77</v>
      </c>
      <c r="H70" s="29" t="n">
        <v>2</v>
      </c>
    </row>
    <row r="71" customFormat="false" ht="14.25" hidden="false" customHeight="true" outlineLevel="0" collapsed="false">
      <c r="A71" s="29" t="s">
        <v>227</v>
      </c>
      <c r="B71" s="29" t="s">
        <v>228</v>
      </c>
      <c r="C71" s="29" t="s">
        <v>76</v>
      </c>
      <c r="D71" s="29" t="s">
        <v>76</v>
      </c>
      <c r="E71" s="29" t="s">
        <v>76</v>
      </c>
      <c r="F71" s="29" t="s">
        <v>77</v>
      </c>
      <c r="H71" s="29" t="n">
        <v>2</v>
      </c>
    </row>
    <row r="72" customFormat="false" ht="14.25" hidden="false" customHeight="true" outlineLevel="0" collapsed="false">
      <c r="A72" s="29" t="s">
        <v>229</v>
      </c>
      <c r="B72" s="29" t="s">
        <v>230</v>
      </c>
      <c r="C72" s="29" t="s">
        <v>76</v>
      </c>
      <c r="D72" s="29" t="s">
        <v>76</v>
      </c>
      <c r="E72" s="29" t="s">
        <v>76</v>
      </c>
      <c r="F72" s="29" t="s">
        <v>77</v>
      </c>
      <c r="H72" s="29" t="n">
        <v>2</v>
      </c>
    </row>
    <row r="73" customFormat="false" ht="14.25" hidden="false" customHeight="true" outlineLevel="0" collapsed="false">
      <c r="A73" s="29" t="s">
        <v>231</v>
      </c>
      <c r="B73" s="29" t="s">
        <v>232</v>
      </c>
      <c r="C73" s="29" t="s">
        <v>76</v>
      </c>
      <c r="D73" s="29" t="s">
        <v>76</v>
      </c>
      <c r="E73" s="29" t="s">
        <v>76</v>
      </c>
      <c r="F73" s="29" t="s">
        <v>77</v>
      </c>
      <c r="H73" s="29" t="n">
        <v>2</v>
      </c>
    </row>
    <row r="74" customFormat="false" ht="14.25" hidden="false" customHeight="true" outlineLevel="0" collapsed="false">
      <c r="A74" s="29" t="s">
        <v>233</v>
      </c>
      <c r="B74" s="29" t="s">
        <v>234</v>
      </c>
      <c r="C74" s="29" t="s">
        <v>76</v>
      </c>
      <c r="D74" s="29" t="s">
        <v>76</v>
      </c>
      <c r="E74" s="29" t="s">
        <v>76</v>
      </c>
      <c r="F74" s="29" t="s">
        <v>77</v>
      </c>
      <c r="H74" s="29" t="n">
        <v>2</v>
      </c>
    </row>
    <row r="75" customFormat="false" ht="14.25" hidden="false" customHeight="true" outlineLevel="0" collapsed="false">
      <c r="A75" s="29" t="s">
        <v>235</v>
      </c>
      <c r="B75" s="29" t="s">
        <v>236</v>
      </c>
      <c r="C75" s="29" t="s">
        <v>76</v>
      </c>
      <c r="D75" s="29" t="s">
        <v>76</v>
      </c>
      <c r="E75" s="29" t="s">
        <v>76</v>
      </c>
      <c r="F75" s="29" t="s">
        <v>77</v>
      </c>
      <c r="H75" s="29" t="n">
        <v>2</v>
      </c>
    </row>
    <row r="76" customFormat="false" ht="14.25" hidden="false" customHeight="true" outlineLevel="0" collapsed="false">
      <c r="A76" s="29" t="s">
        <v>237</v>
      </c>
      <c r="B76" s="29" t="s">
        <v>238</v>
      </c>
      <c r="C76" s="29" t="s">
        <v>76</v>
      </c>
      <c r="D76" s="29" t="s">
        <v>76</v>
      </c>
      <c r="E76" s="29" t="s">
        <v>76</v>
      </c>
      <c r="F76" s="29" t="s">
        <v>77</v>
      </c>
      <c r="H76" s="29" t="n">
        <v>2</v>
      </c>
    </row>
    <row r="77" customFormat="false" ht="14.25" hidden="false" customHeight="true" outlineLevel="0" collapsed="false">
      <c r="A77" s="29" t="s">
        <v>239</v>
      </c>
      <c r="B77" s="29" t="s">
        <v>240</v>
      </c>
      <c r="C77" s="29" t="s">
        <v>76</v>
      </c>
      <c r="D77" s="29" t="s">
        <v>76</v>
      </c>
      <c r="E77" s="29" t="s">
        <v>76</v>
      </c>
      <c r="F77" s="29" t="s">
        <v>77</v>
      </c>
      <c r="H77" s="29" t="n">
        <v>2</v>
      </c>
    </row>
    <row r="78" customFormat="false" ht="14.25" hidden="false" customHeight="true" outlineLevel="0" collapsed="false">
      <c r="A78" s="29" t="s">
        <v>241</v>
      </c>
      <c r="B78" s="29" t="s">
        <v>242</v>
      </c>
      <c r="C78" s="29" t="s">
        <v>76</v>
      </c>
      <c r="D78" s="29" t="s">
        <v>76</v>
      </c>
      <c r="E78" s="29" t="s">
        <v>76</v>
      </c>
      <c r="F78" s="29" t="s">
        <v>77</v>
      </c>
      <c r="H78" s="29" t="n">
        <v>2</v>
      </c>
    </row>
    <row r="79" customFormat="false" ht="14.25" hidden="false" customHeight="true" outlineLevel="0" collapsed="false">
      <c r="A79" s="29" t="s">
        <v>243</v>
      </c>
      <c r="B79" s="29" t="s">
        <v>244</v>
      </c>
      <c r="C79" s="29" t="s">
        <v>76</v>
      </c>
      <c r="D79" s="29" t="s">
        <v>76</v>
      </c>
      <c r="E79" s="29" t="s">
        <v>76</v>
      </c>
      <c r="F79" s="29" t="s">
        <v>77</v>
      </c>
      <c r="H79" s="29" t="n">
        <v>2</v>
      </c>
    </row>
    <row r="80" customFormat="false" ht="14.25" hidden="false" customHeight="true" outlineLevel="0" collapsed="false">
      <c r="A80" s="29" t="s">
        <v>245</v>
      </c>
      <c r="B80" s="29" t="s">
        <v>246</v>
      </c>
      <c r="C80" s="29" t="s">
        <v>76</v>
      </c>
      <c r="D80" s="29" t="s">
        <v>76</v>
      </c>
      <c r="E80" s="29" t="s">
        <v>76</v>
      </c>
      <c r="F80" s="29" t="s">
        <v>77</v>
      </c>
      <c r="H80" s="29" t="n">
        <v>2</v>
      </c>
    </row>
    <row r="81" customFormat="false" ht="14.25" hidden="false" customHeight="true" outlineLevel="0" collapsed="false">
      <c r="A81" s="29" t="s">
        <v>247</v>
      </c>
      <c r="B81" s="29" t="s">
        <v>248</v>
      </c>
      <c r="C81" s="29" t="s">
        <v>76</v>
      </c>
      <c r="D81" s="29" t="s">
        <v>76</v>
      </c>
      <c r="E81" s="29" t="s">
        <v>76</v>
      </c>
      <c r="F81" s="29" t="s">
        <v>77</v>
      </c>
      <c r="H81" s="29" t="n">
        <v>2</v>
      </c>
    </row>
    <row r="82" customFormat="false" ht="14.25" hidden="false" customHeight="true" outlineLevel="0" collapsed="false">
      <c r="A82" s="29" t="s">
        <v>249</v>
      </c>
      <c r="B82" s="29" t="s">
        <v>250</v>
      </c>
      <c r="C82" s="29" t="s">
        <v>76</v>
      </c>
      <c r="D82" s="29" t="s">
        <v>76</v>
      </c>
      <c r="E82" s="29" t="s">
        <v>76</v>
      </c>
      <c r="F82" s="29" t="s">
        <v>77</v>
      </c>
      <c r="H82" s="29" t="n">
        <v>2</v>
      </c>
    </row>
    <row r="83" customFormat="false" ht="14.25" hidden="false" customHeight="true" outlineLevel="0" collapsed="false">
      <c r="A83" s="29" t="s">
        <v>251</v>
      </c>
      <c r="B83" s="29" t="s">
        <v>252</v>
      </c>
      <c r="C83" s="29" t="s">
        <v>76</v>
      </c>
      <c r="D83" s="29" t="s">
        <v>76</v>
      </c>
      <c r="E83" s="29" t="s">
        <v>76</v>
      </c>
      <c r="F83" s="29" t="s">
        <v>77</v>
      </c>
      <c r="H83" s="29" t="n">
        <v>2</v>
      </c>
    </row>
    <row r="84" customFormat="false" ht="14.25" hidden="false" customHeight="true" outlineLevel="0" collapsed="false">
      <c r="A84" s="29" t="s">
        <v>253</v>
      </c>
      <c r="B84" s="29" t="s">
        <v>254</v>
      </c>
      <c r="C84" s="29" t="s">
        <v>76</v>
      </c>
      <c r="D84" s="29" t="s">
        <v>76</v>
      </c>
      <c r="E84" s="29" t="s">
        <v>76</v>
      </c>
      <c r="F84" s="29" t="s">
        <v>77</v>
      </c>
      <c r="H84" s="29" t="n">
        <v>2</v>
      </c>
    </row>
    <row r="85" customFormat="false" ht="14.25" hidden="false" customHeight="true" outlineLevel="0" collapsed="false">
      <c r="A85" s="29" t="s">
        <v>255</v>
      </c>
      <c r="B85" s="29" t="s">
        <v>256</v>
      </c>
      <c r="C85" s="29" t="s">
        <v>76</v>
      </c>
      <c r="D85" s="29" t="s">
        <v>76</v>
      </c>
      <c r="E85" s="29" t="s">
        <v>76</v>
      </c>
      <c r="F85" s="29" t="s">
        <v>77</v>
      </c>
      <c r="H85" s="29" t="n">
        <v>2</v>
      </c>
    </row>
    <row r="86" customFormat="false" ht="14.25" hidden="false" customHeight="true" outlineLevel="0" collapsed="false">
      <c r="A86" s="29" t="s">
        <v>257</v>
      </c>
      <c r="B86" s="29" t="s">
        <v>258</v>
      </c>
      <c r="C86" s="29" t="s">
        <v>76</v>
      </c>
      <c r="D86" s="29" t="s">
        <v>76</v>
      </c>
      <c r="E86" s="29" t="s">
        <v>76</v>
      </c>
      <c r="F86" s="29" t="s">
        <v>77</v>
      </c>
      <c r="H86" s="29" t="n">
        <v>2</v>
      </c>
    </row>
    <row r="87" customFormat="false" ht="14.25" hidden="false" customHeight="true" outlineLevel="0" collapsed="false">
      <c r="A87" s="29" t="s">
        <v>259</v>
      </c>
      <c r="B87" s="29" t="s">
        <v>260</v>
      </c>
      <c r="C87" s="29" t="s">
        <v>76</v>
      </c>
      <c r="D87" s="29" t="s">
        <v>76</v>
      </c>
      <c r="E87" s="29" t="s">
        <v>76</v>
      </c>
      <c r="F87" s="29" t="s">
        <v>77</v>
      </c>
      <c r="H87" s="29" t="n">
        <v>2</v>
      </c>
    </row>
    <row r="88" customFormat="false" ht="14.25" hidden="false" customHeight="true" outlineLevel="0" collapsed="false">
      <c r="A88" s="29" t="s">
        <v>261</v>
      </c>
      <c r="B88" s="29" t="s">
        <v>262</v>
      </c>
      <c r="C88" s="29" t="s">
        <v>76</v>
      </c>
      <c r="D88" s="29" t="s">
        <v>76</v>
      </c>
      <c r="E88" s="29" t="s">
        <v>76</v>
      </c>
      <c r="F88" s="29" t="s">
        <v>77</v>
      </c>
      <c r="H88" s="29" t="n">
        <v>2</v>
      </c>
    </row>
    <row r="89" customFormat="false" ht="14.25" hidden="false" customHeight="true" outlineLevel="0" collapsed="false">
      <c r="A89" s="29" t="s">
        <v>263</v>
      </c>
      <c r="B89" s="29" t="s">
        <v>264</v>
      </c>
      <c r="C89" s="29" t="s">
        <v>76</v>
      </c>
      <c r="D89" s="29" t="s">
        <v>76</v>
      </c>
      <c r="E89" s="29" t="s">
        <v>76</v>
      </c>
      <c r="F89" s="29" t="s">
        <v>77</v>
      </c>
      <c r="H89" s="29" t="n">
        <v>2</v>
      </c>
    </row>
    <row r="90" customFormat="false" ht="14.25" hidden="false" customHeight="true" outlineLevel="0" collapsed="false">
      <c r="A90" s="29" t="s">
        <v>265</v>
      </c>
      <c r="B90" s="29" t="s">
        <v>266</v>
      </c>
      <c r="C90" s="29" t="s">
        <v>76</v>
      </c>
      <c r="D90" s="29" t="s">
        <v>76</v>
      </c>
      <c r="E90" s="29" t="s">
        <v>76</v>
      </c>
      <c r="F90" s="29" t="s">
        <v>77</v>
      </c>
      <c r="H90" s="29" t="n">
        <v>2</v>
      </c>
    </row>
    <row r="91" customFormat="false" ht="14.25" hidden="false" customHeight="true" outlineLevel="0" collapsed="false">
      <c r="A91" s="29" t="s">
        <v>267</v>
      </c>
      <c r="B91" s="29" t="s">
        <v>268</v>
      </c>
      <c r="C91" s="29" t="s">
        <v>76</v>
      </c>
      <c r="D91" s="29" t="s">
        <v>76</v>
      </c>
      <c r="E91" s="29" t="s">
        <v>76</v>
      </c>
      <c r="F91" s="29" t="s">
        <v>77</v>
      </c>
      <c r="H91" s="29" t="n">
        <v>2</v>
      </c>
    </row>
    <row r="92" customFormat="false" ht="14.25" hidden="false" customHeight="true" outlineLevel="0" collapsed="false">
      <c r="A92" s="29" t="s">
        <v>269</v>
      </c>
      <c r="B92" s="29" t="s">
        <v>270</v>
      </c>
      <c r="C92" s="29" t="s">
        <v>76</v>
      </c>
      <c r="D92" s="29" t="s">
        <v>76</v>
      </c>
      <c r="E92" s="29" t="s">
        <v>76</v>
      </c>
      <c r="F92" s="29" t="s">
        <v>77</v>
      </c>
      <c r="H92" s="29" t="n">
        <v>2</v>
      </c>
    </row>
    <row r="93" customFormat="false" ht="14.25" hidden="false" customHeight="true" outlineLevel="0" collapsed="false">
      <c r="A93" s="29" t="s">
        <v>271</v>
      </c>
      <c r="B93" s="29" t="s">
        <v>272</v>
      </c>
      <c r="C93" s="29" t="s">
        <v>76</v>
      </c>
      <c r="D93" s="29" t="s">
        <v>76</v>
      </c>
      <c r="E93" s="29" t="s">
        <v>76</v>
      </c>
      <c r="F93" s="29" t="s">
        <v>77</v>
      </c>
      <c r="H93" s="29" t="n">
        <v>2</v>
      </c>
    </row>
    <row r="94" customFormat="false" ht="14.25" hidden="false" customHeight="true" outlineLevel="0" collapsed="false">
      <c r="A94" s="29" t="s">
        <v>273</v>
      </c>
      <c r="B94" s="29" t="s">
        <v>274</v>
      </c>
      <c r="C94" s="29" t="s">
        <v>76</v>
      </c>
      <c r="D94" s="29" t="s">
        <v>76</v>
      </c>
      <c r="E94" s="29" t="s">
        <v>76</v>
      </c>
      <c r="F94" s="29" t="s">
        <v>77</v>
      </c>
      <c r="H94" s="29" t="n">
        <v>2</v>
      </c>
    </row>
    <row r="95" customFormat="false" ht="14.25" hidden="false" customHeight="true" outlineLevel="0" collapsed="false">
      <c r="A95" s="29" t="s">
        <v>275</v>
      </c>
      <c r="B95" s="29" t="s">
        <v>276</v>
      </c>
      <c r="C95" s="29" t="s">
        <v>76</v>
      </c>
      <c r="D95" s="29" t="s">
        <v>76</v>
      </c>
      <c r="E95" s="29" t="s">
        <v>76</v>
      </c>
      <c r="F95" s="29" t="s">
        <v>77</v>
      </c>
      <c r="H95" s="29" t="n">
        <v>2</v>
      </c>
    </row>
    <row r="96" customFormat="false" ht="14.25" hidden="false" customHeight="true" outlineLevel="0" collapsed="false">
      <c r="A96" s="29" t="s">
        <v>277</v>
      </c>
      <c r="B96" s="29" t="s">
        <v>278</v>
      </c>
      <c r="C96" s="29" t="s">
        <v>76</v>
      </c>
      <c r="D96" s="29" t="s">
        <v>76</v>
      </c>
      <c r="E96" s="29" t="s">
        <v>76</v>
      </c>
      <c r="F96" s="29" t="s">
        <v>77</v>
      </c>
      <c r="H96" s="29" t="n">
        <v>2</v>
      </c>
    </row>
    <row r="97" customFormat="false" ht="14.25" hidden="false" customHeight="true" outlineLevel="0" collapsed="false">
      <c r="A97" s="29" t="s">
        <v>279</v>
      </c>
      <c r="B97" s="29" t="s">
        <v>280</v>
      </c>
      <c r="C97" s="29" t="s">
        <v>76</v>
      </c>
      <c r="D97" s="29" t="s">
        <v>76</v>
      </c>
      <c r="E97" s="29" t="s">
        <v>76</v>
      </c>
      <c r="F97" s="29" t="s">
        <v>77</v>
      </c>
      <c r="H97" s="29" t="n">
        <v>2</v>
      </c>
    </row>
    <row r="98" customFormat="false" ht="14.25" hidden="false" customHeight="true" outlineLevel="0" collapsed="false">
      <c r="A98" s="29" t="s">
        <v>282</v>
      </c>
      <c r="B98" s="29" t="s">
        <v>283</v>
      </c>
      <c r="C98" s="29" t="s">
        <v>76</v>
      </c>
      <c r="D98" s="29" t="s">
        <v>76</v>
      </c>
      <c r="E98" s="29" t="s">
        <v>76</v>
      </c>
      <c r="F98" s="29" t="s">
        <v>77</v>
      </c>
      <c r="H98" s="29" t="n">
        <v>2</v>
      </c>
    </row>
    <row r="99" customFormat="false" ht="14.25" hidden="false" customHeight="true" outlineLevel="0" collapsed="false">
      <c r="A99" s="29" t="s">
        <v>284</v>
      </c>
      <c r="B99" s="29" t="s">
        <v>285</v>
      </c>
      <c r="C99" s="29" t="s">
        <v>76</v>
      </c>
      <c r="D99" s="29" t="s">
        <v>76</v>
      </c>
      <c r="E99" s="29" t="s">
        <v>76</v>
      </c>
      <c r="F99" s="29" t="s">
        <v>77</v>
      </c>
      <c r="H99" s="29" t="n">
        <v>2</v>
      </c>
    </row>
    <row r="100" customFormat="false" ht="14.25" hidden="false" customHeight="true" outlineLevel="0" collapsed="false">
      <c r="A100" s="29" t="s">
        <v>286</v>
      </c>
      <c r="B100" s="29" t="s">
        <v>287</v>
      </c>
      <c r="C100" s="29" t="s">
        <v>76</v>
      </c>
      <c r="D100" s="29" t="s">
        <v>76</v>
      </c>
      <c r="E100" s="29" t="s">
        <v>76</v>
      </c>
      <c r="F100" s="29" t="s">
        <v>77</v>
      </c>
      <c r="H100" s="29" t="n">
        <v>2</v>
      </c>
    </row>
    <row r="101" customFormat="false" ht="14.25" hidden="false" customHeight="true" outlineLevel="0" collapsed="false">
      <c r="A101" s="29" t="s">
        <v>288</v>
      </c>
      <c r="B101" s="29" t="s">
        <v>289</v>
      </c>
      <c r="C101" s="29" t="s">
        <v>76</v>
      </c>
      <c r="D101" s="29" t="s">
        <v>76</v>
      </c>
      <c r="E101" s="29" t="s">
        <v>76</v>
      </c>
      <c r="F101" s="29" t="s">
        <v>77</v>
      </c>
      <c r="H101" s="29" t="n">
        <v>2</v>
      </c>
    </row>
    <row r="102" customFormat="false" ht="14.25" hidden="false" customHeight="true" outlineLevel="0" collapsed="false">
      <c r="A102" s="29" t="s">
        <v>290</v>
      </c>
      <c r="B102" s="29" t="s">
        <v>291</v>
      </c>
      <c r="C102" s="29" t="s">
        <v>76</v>
      </c>
      <c r="D102" s="29" t="s">
        <v>76</v>
      </c>
      <c r="E102" s="29" t="s">
        <v>76</v>
      </c>
      <c r="F102" s="29" t="s">
        <v>77</v>
      </c>
      <c r="H102" s="29" t="n">
        <v>2</v>
      </c>
    </row>
    <row r="103" customFormat="false" ht="14.25" hidden="false" customHeight="true" outlineLevel="0" collapsed="false">
      <c r="A103" s="29" t="s">
        <v>292</v>
      </c>
      <c r="B103" s="29" t="s">
        <v>293</v>
      </c>
      <c r="C103" s="29" t="s">
        <v>76</v>
      </c>
      <c r="D103" s="29" t="s">
        <v>76</v>
      </c>
      <c r="E103" s="29" t="s">
        <v>76</v>
      </c>
      <c r="F103" s="29" t="s">
        <v>77</v>
      </c>
      <c r="H103" s="29" t="n">
        <v>2</v>
      </c>
    </row>
    <row r="104" customFormat="false" ht="14.25" hidden="false" customHeight="true" outlineLevel="0" collapsed="false">
      <c r="A104" s="29" t="s">
        <v>294</v>
      </c>
      <c r="B104" s="29" t="s">
        <v>295</v>
      </c>
      <c r="C104" s="29" t="s">
        <v>76</v>
      </c>
      <c r="D104" s="29" t="s">
        <v>76</v>
      </c>
      <c r="E104" s="29" t="s">
        <v>76</v>
      </c>
      <c r="F104" s="29" t="s">
        <v>77</v>
      </c>
      <c r="H104" s="29" t="n">
        <v>2</v>
      </c>
    </row>
    <row r="105" customFormat="false" ht="14.25" hidden="false" customHeight="true" outlineLevel="0" collapsed="false">
      <c r="A105" s="29" t="s">
        <v>296</v>
      </c>
      <c r="B105" s="29" t="s">
        <v>297</v>
      </c>
      <c r="C105" s="29" t="s">
        <v>76</v>
      </c>
      <c r="D105" s="29" t="s">
        <v>76</v>
      </c>
      <c r="E105" s="29" t="s">
        <v>76</v>
      </c>
      <c r="F105" s="29" t="s">
        <v>77</v>
      </c>
      <c r="H105" s="29" t="n">
        <v>2</v>
      </c>
    </row>
    <row r="106" customFormat="false" ht="14.25" hidden="false" customHeight="true" outlineLevel="0" collapsed="false">
      <c r="A106" s="29" t="s">
        <v>298</v>
      </c>
      <c r="B106" s="29" t="s">
        <v>299</v>
      </c>
      <c r="C106" s="29" t="s">
        <v>76</v>
      </c>
      <c r="D106" s="29" t="s">
        <v>76</v>
      </c>
      <c r="E106" s="29" t="s">
        <v>76</v>
      </c>
      <c r="F106" s="29" t="s">
        <v>77</v>
      </c>
      <c r="H106" s="29" t="n">
        <v>2</v>
      </c>
    </row>
    <row r="107" customFormat="false" ht="14.25" hidden="false" customHeight="true" outlineLevel="0" collapsed="false">
      <c r="A107" s="29" t="s">
        <v>300</v>
      </c>
      <c r="B107" s="29" t="s">
        <v>301</v>
      </c>
      <c r="C107" s="29" t="s">
        <v>76</v>
      </c>
      <c r="D107" s="29" t="s">
        <v>76</v>
      </c>
      <c r="E107" s="29" t="s">
        <v>76</v>
      </c>
      <c r="F107" s="29" t="s">
        <v>77</v>
      </c>
      <c r="H107" s="29" t="n">
        <v>2</v>
      </c>
    </row>
    <row r="108" customFormat="false" ht="14.25" hidden="false" customHeight="true" outlineLevel="0" collapsed="false">
      <c r="A108" s="29" t="s">
        <v>302</v>
      </c>
      <c r="B108" s="29" t="s">
        <v>303</v>
      </c>
      <c r="C108" s="29" t="s">
        <v>76</v>
      </c>
      <c r="D108" s="29" t="s">
        <v>76</v>
      </c>
      <c r="E108" s="29" t="s">
        <v>76</v>
      </c>
      <c r="F108" s="29" t="s">
        <v>77</v>
      </c>
      <c r="H108" s="29" t="n">
        <v>2</v>
      </c>
    </row>
    <row r="109" customFormat="false" ht="14.25" hidden="false" customHeight="true" outlineLevel="0" collapsed="false">
      <c r="A109" s="29" t="s">
        <v>304</v>
      </c>
      <c r="B109" s="29" t="s">
        <v>305</v>
      </c>
      <c r="C109" s="29" t="s">
        <v>76</v>
      </c>
      <c r="D109" s="29" t="s">
        <v>76</v>
      </c>
      <c r="E109" s="29" t="s">
        <v>76</v>
      </c>
      <c r="F109" s="29" t="s">
        <v>77</v>
      </c>
      <c r="H109" s="29" t="n">
        <v>2</v>
      </c>
    </row>
    <row r="110" customFormat="false" ht="14.25" hidden="false" customHeight="true" outlineLevel="0" collapsed="false">
      <c r="A110" s="29" t="s">
        <v>306</v>
      </c>
      <c r="B110" s="29" t="s">
        <v>307</v>
      </c>
      <c r="C110" s="29" t="s">
        <v>76</v>
      </c>
      <c r="D110" s="29" t="s">
        <v>76</v>
      </c>
      <c r="E110" s="29" t="s">
        <v>76</v>
      </c>
      <c r="F110" s="29" t="s">
        <v>77</v>
      </c>
      <c r="H110" s="29" t="n">
        <v>2</v>
      </c>
    </row>
    <row r="111" customFormat="false" ht="14.25" hidden="false" customHeight="true" outlineLevel="0" collapsed="false">
      <c r="A111" s="29" t="s">
        <v>308</v>
      </c>
      <c r="B111" s="29" t="s">
        <v>309</v>
      </c>
      <c r="C111" s="29" t="s">
        <v>76</v>
      </c>
      <c r="D111" s="29" t="s">
        <v>76</v>
      </c>
      <c r="E111" s="29" t="s">
        <v>76</v>
      </c>
      <c r="F111" s="29" t="s">
        <v>77</v>
      </c>
      <c r="H111" s="29" t="n">
        <v>2</v>
      </c>
    </row>
    <row r="112" customFormat="false" ht="14.25" hidden="false" customHeight="true" outlineLevel="0" collapsed="false">
      <c r="A112" s="29" t="s">
        <v>310</v>
      </c>
      <c r="B112" s="29" t="s">
        <v>311</v>
      </c>
      <c r="C112" s="29" t="s">
        <v>76</v>
      </c>
      <c r="D112" s="29" t="s">
        <v>76</v>
      </c>
      <c r="E112" s="29" t="s">
        <v>76</v>
      </c>
      <c r="F112" s="29" t="s">
        <v>77</v>
      </c>
      <c r="H112" s="29" t="n">
        <v>2</v>
      </c>
    </row>
    <row r="113" customFormat="false" ht="14.25" hidden="false" customHeight="true" outlineLevel="0" collapsed="false">
      <c r="A113" s="29" t="s">
        <v>312</v>
      </c>
      <c r="B113" s="29" t="s">
        <v>313</v>
      </c>
      <c r="C113" s="29" t="s">
        <v>76</v>
      </c>
      <c r="D113" s="29" t="s">
        <v>76</v>
      </c>
      <c r="E113" s="29" t="s">
        <v>76</v>
      </c>
      <c r="F113" s="29" t="s">
        <v>77</v>
      </c>
      <c r="H113" s="29" t="n">
        <v>2</v>
      </c>
    </row>
    <row r="114" customFormat="false" ht="14.25" hidden="false" customHeight="true" outlineLevel="0" collapsed="false">
      <c r="A114" s="29" t="s">
        <v>314</v>
      </c>
      <c r="B114" s="29" t="s">
        <v>315</v>
      </c>
      <c r="C114" s="29" t="s">
        <v>76</v>
      </c>
      <c r="D114" s="29" t="s">
        <v>76</v>
      </c>
      <c r="E114" s="29" t="s">
        <v>76</v>
      </c>
      <c r="F114" s="29" t="s">
        <v>77</v>
      </c>
      <c r="H114" s="29" t="n">
        <v>2</v>
      </c>
    </row>
    <row r="115" customFormat="false" ht="14.25" hidden="false" customHeight="true" outlineLevel="0" collapsed="false">
      <c r="A115" s="29" t="s">
        <v>316</v>
      </c>
      <c r="B115" s="29" t="s">
        <v>317</v>
      </c>
      <c r="C115" s="29" t="s">
        <v>76</v>
      </c>
      <c r="D115" s="29" t="s">
        <v>76</v>
      </c>
      <c r="E115" s="29" t="s">
        <v>76</v>
      </c>
      <c r="F115" s="29" t="s">
        <v>77</v>
      </c>
      <c r="H115" s="29" t="n">
        <v>2</v>
      </c>
    </row>
    <row r="116" customFormat="false" ht="14.25" hidden="false" customHeight="true" outlineLevel="0" collapsed="false">
      <c r="A116" s="29" t="s">
        <v>318</v>
      </c>
      <c r="B116" s="29" t="s">
        <v>319</v>
      </c>
      <c r="C116" s="29" t="s">
        <v>76</v>
      </c>
      <c r="D116" s="29" t="s">
        <v>76</v>
      </c>
      <c r="E116" s="29" t="s">
        <v>76</v>
      </c>
      <c r="F116" s="29" t="s">
        <v>77</v>
      </c>
      <c r="H116" s="29" t="n">
        <v>2</v>
      </c>
    </row>
    <row r="117" customFormat="false" ht="14.25" hidden="false" customHeight="true" outlineLevel="0" collapsed="false">
      <c r="A117" s="29" t="s">
        <v>320</v>
      </c>
      <c r="B117" s="29" t="s">
        <v>321</v>
      </c>
      <c r="C117" s="29" t="s">
        <v>76</v>
      </c>
      <c r="D117" s="29" t="s">
        <v>76</v>
      </c>
      <c r="E117" s="29" t="s">
        <v>76</v>
      </c>
      <c r="F117" s="29" t="s">
        <v>77</v>
      </c>
      <c r="H117" s="29" t="n">
        <v>2</v>
      </c>
    </row>
    <row r="118" customFormat="false" ht="14.25" hidden="false" customHeight="true" outlineLevel="0" collapsed="false">
      <c r="A118" s="29" t="s">
        <v>322</v>
      </c>
      <c r="B118" s="29" t="s">
        <v>323</v>
      </c>
      <c r="C118" s="29" t="s">
        <v>76</v>
      </c>
      <c r="D118" s="29" t="s">
        <v>76</v>
      </c>
      <c r="E118" s="29" t="s">
        <v>76</v>
      </c>
      <c r="F118" s="29" t="s">
        <v>77</v>
      </c>
      <c r="H118" s="29" t="n">
        <v>2</v>
      </c>
    </row>
    <row r="119" customFormat="false" ht="14.25" hidden="false" customHeight="true" outlineLevel="0" collapsed="false">
      <c r="A119" s="29" t="s">
        <v>324</v>
      </c>
      <c r="B119" s="29" t="s">
        <v>325</v>
      </c>
      <c r="C119" s="29" t="s">
        <v>76</v>
      </c>
      <c r="D119" s="29" t="s">
        <v>76</v>
      </c>
      <c r="E119" s="29" t="s">
        <v>76</v>
      </c>
      <c r="F119" s="29" t="s">
        <v>77</v>
      </c>
      <c r="H119" s="29" t="n">
        <v>2</v>
      </c>
    </row>
    <row r="120" customFormat="false" ht="14.25" hidden="false" customHeight="true" outlineLevel="0" collapsed="false">
      <c r="A120" s="29" t="s">
        <v>326</v>
      </c>
      <c r="B120" s="29" t="s">
        <v>327</v>
      </c>
      <c r="C120" s="29" t="s">
        <v>76</v>
      </c>
      <c r="D120" s="29" t="s">
        <v>76</v>
      </c>
      <c r="E120" s="29" t="s">
        <v>76</v>
      </c>
      <c r="F120" s="29" t="s">
        <v>77</v>
      </c>
      <c r="H120" s="29" t="n">
        <v>2</v>
      </c>
    </row>
    <row r="121" customFormat="false" ht="14.25" hidden="false" customHeight="true" outlineLevel="0" collapsed="false">
      <c r="A121" s="29" t="s">
        <v>328</v>
      </c>
      <c r="B121" s="29" t="s">
        <v>329</v>
      </c>
      <c r="C121" s="29" t="s">
        <v>76</v>
      </c>
      <c r="D121" s="29" t="s">
        <v>76</v>
      </c>
      <c r="E121" s="29" t="s">
        <v>76</v>
      </c>
      <c r="F121" s="29" t="s">
        <v>77</v>
      </c>
      <c r="H121" s="29" t="n">
        <v>2</v>
      </c>
    </row>
    <row r="122" customFormat="false" ht="14.25" hidden="false" customHeight="true" outlineLevel="0" collapsed="false">
      <c r="A122" s="29" t="s">
        <v>330</v>
      </c>
      <c r="B122" s="29" t="s">
        <v>331</v>
      </c>
      <c r="C122" s="29" t="s">
        <v>76</v>
      </c>
      <c r="D122" s="29" t="s">
        <v>76</v>
      </c>
      <c r="E122" s="29" t="s">
        <v>76</v>
      </c>
      <c r="F122" s="29" t="s">
        <v>77</v>
      </c>
      <c r="H122" s="29" t="n">
        <v>2</v>
      </c>
    </row>
    <row r="123" customFormat="false" ht="14.25" hidden="false" customHeight="true" outlineLevel="0" collapsed="false">
      <c r="A123" s="29" t="s">
        <v>332</v>
      </c>
      <c r="B123" s="29" t="s">
        <v>333</v>
      </c>
      <c r="C123" s="29" t="s">
        <v>76</v>
      </c>
      <c r="D123" s="29" t="s">
        <v>76</v>
      </c>
      <c r="E123" s="29" t="s">
        <v>76</v>
      </c>
      <c r="F123" s="29" t="s">
        <v>77</v>
      </c>
      <c r="H123" s="29" t="n">
        <v>2</v>
      </c>
    </row>
    <row r="124" customFormat="false" ht="14.25" hidden="false" customHeight="true" outlineLevel="0" collapsed="false">
      <c r="A124" s="29" t="s">
        <v>334</v>
      </c>
      <c r="B124" s="29" t="s">
        <v>335</v>
      </c>
      <c r="C124" s="29" t="s">
        <v>76</v>
      </c>
      <c r="D124" s="29" t="s">
        <v>76</v>
      </c>
      <c r="E124" s="29" t="s">
        <v>76</v>
      </c>
      <c r="F124" s="29" t="s">
        <v>77</v>
      </c>
      <c r="H124" s="29" t="n">
        <v>2</v>
      </c>
    </row>
    <row r="125" customFormat="false" ht="14.25" hidden="false" customHeight="true" outlineLevel="0" collapsed="false">
      <c r="A125" s="29" t="s">
        <v>336</v>
      </c>
      <c r="B125" s="29" t="s">
        <v>337</v>
      </c>
      <c r="C125" s="29" t="s">
        <v>76</v>
      </c>
      <c r="D125" s="29" t="s">
        <v>76</v>
      </c>
      <c r="E125" s="29" t="s">
        <v>76</v>
      </c>
      <c r="F125" s="29" t="s">
        <v>77</v>
      </c>
      <c r="H125" s="29" t="n">
        <v>2</v>
      </c>
    </row>
    <row r="126" customFormat="false" ht="14.25" hidden="false" customHeight="true" outlineLevel="0" collapsed="false">
      <c r="A126" s="29" t="s">
        <v>338</v>
      </c>
      <c r="B126" s="29" t="s">
        <v>339</v>
      </c>
      <c r="C126" s="29" t="s">
        <v>76</v>
      </c>
      <c r="D126" s="29" t="s">
        <v>76</v>
      </c>
      <c r="E126" s="29" t="s">
        <v>76</v>
      </c>
      <c r="F126" s="29" t="s">
        <v>77</v>
      </c>
      <c r="H126" s="29" t="n">
        <v>2</v>
      </c>
    </row>
    <row r="127" customFormat="false" ht="14.25" hidden="false" customHeight="true" outlineLevel="0" collapsed="false">
      <c r="A127" s="29" t="s">
        <v>340</v>
      </c>
      <c r="B127" s="29" t="s">
        <v>341</v>
      </c>
      <c r="C127" s="29" t="s">
        <v>76</v>
      </c>
      <c r="D127" s="29" t="s">
        <v>76</v>
      </c>
      <c r="E127" s="29" t="s">
        <v>76</v>
      </c>
      <c r="F127" s="29" t="s">
        <v>77</v>
      </c>
      <c r="H127" s="29" t="n">
        <v>2</v>
      </c>
    </row>
    <row r="128" customFormat="false" ht="14.25" hidden="false" customHeight="true" outlineLevel="0" collapsed="false">
      <c r="A128" s="29" t="s">
        <v>343</v>
      </c>
      <c r="B128" s="29" t="s">
        <v>344</v>
      </c>
      <c r="C128" s="29" t="s">
        <v>76</v>
      </c>
      <c r="D128" s="29" t="s">
        <v>76</v>
      </c>
      <c r="E128" s="29" t="s">
        <v>76</v>
      </c>
      <c r="F128" s="29" t="s">
        <v>77</v>
      </c>
      <c r="H128" s="29" t="n">
        <v>2</v>
      </c>
    </row>
    <row r="129" customFormat="false" ht="14.25" hidden="false" customHeight="true" outlineLevel="0" collapsed="false">
      <c r="A129" s="29" t="s">
        <v>345</v>
      </c>
      <c r="B129" s="29" t="s">
        <v>346</v>
      </c>
      <c r="C129" s="29" t="s">
        <v>76</v>
      </c>
      <c r="D129" s="29" t="s">
        <v>76</v>
      </c>
      <c r="E129" s="29" t="s">
        <v>76</v>
      </c>
      <c r="F129" s="29" t="s">
        <v>77</v>
      </c>
      <c r="H129" s="29" t="n">
        <v>2</v>
      </c>
    </row>
    <row r="130" customFormat="false" ht="14.25" hidden="false" customHeight="true" outlineLevel="0" collapsed="false">
      <c r="A130" s="29" t="s">
        <v>347</v>
      </c>
      <c r="B130" s="29" t="s">
        <v>348</v>
      </c>
      <c r="C130" s="29" t="s">
        <v>76</v>
      </c>
      <c r="D130" s="29" t="s">
        <v>76</v>
      </c>
      <c r="E130" s="29" t="s">
        <v>76</v>
      </c>
      <c r="F130" s="29" t="s">
        <v>77</v>
      </c>
      <c r="H130" s="29" t="n">
        <v>2</v>
      </c>
    </row>
    <row r="131" customFormat="false" ht="14.25" hidden="false" customHeight="true" outlineLevel="0" collapsed="false">
      <c r="A131" s="29" t="s">
        <v>349</v>
      </c>
      <c r="B131" s="29" t="s">
        <v>350</v>
      </c>
      <c r="C131" s="29" t="s">
        <v>76</v>
      </c>
      <c r="D131" s="29" t="s">
        <v>76</v>
      </c>
      <c r="E131" s="29" t="s">
        <v>76</v>
      </c>
      <c r="F131" s="29" t="s">
        <v>77</v>
      </c>
      <c r="H131" s="29" t="n">
        <v>2</v>
      </c>
    </row>
    <row r="132" customFormat="false" ht="14.25" hidden="false" customHeight="true" outlineLevel="0" collapsed="false">
      <c r="A132" s="29" t="s">
        <v>351</v>
      </c>
      <c r="B132" s="29" t="s">
        <v>352</v>
      </c>
      <c r="C132" s="29" t="s">
        <v>76</v>
      </c>
      <c r="D132" s="29" t="s">
        <v>76</v>
      </c>
      <c r="E132" s="29" t="s">
        <v>76</v>
      </c>
      <c r="F132" s="29" t="s">
        <v>77</v>
      </c>
      <c r="H132" s="29" t="n">
        <v>2</v>
      </c>
    </row>
    <row r="133" customFormat="false" ht="14.25" hidden="false" customHeight="true" outlineLevel="0" collapsed="false">
      <c r="A133" s="29" t="s">
        <v>353</v>
      </c>
      <c r="B133" s="29" t="s">
        <v>354</v>
      </c>
      <c r="C133" s="29" t="s">
        <v>76</v>
      </c>
      <c r="D133" s="29" t="s">
        <v>76</v>
      </c>
      <c r="E133" s="29" t="s">
        <v>76</v>
      </c>
      <c r="F133" s="29" t="s">
        <v>77</v>
      </c>
      <c r="H133" s="29" t="n">
        <v>2</v>
      </c>
    </row>
    <row r="134" customFormat="false" ht="14.25" hidden="false" customHeight="true" outlineLevel="0" collapsed="false">
      <c r="A134" s="29" t="s">
        <v>355</v>
      </c>
      <c r="B134" s="29" t="s">
        <v>356</v>
      </c>
      <c r="C134" s="29" t="s">
        <v>76</v>
      </c>
      <c r="D134" s="29" t="s">
        <v>76</v>
      </c>
      <c r="E134" s="29" t="s">
        <v>76</v>
      </c>
      <c r="F134" s="29" t="s">
        <v>77</v>
      </c>
      <c r="H134" s="29" t="n">
        <v>2</v>
      </c>
    </row>
    <row r="135" customFormat="false" ht="14.25" hidden="false" customHeight="true" outlineLevel="0" collapsed="false">
      <c r="A135" s="29" t="s">
        <v>357</v>
      </c>
      <c r="B135" s="29" t="s">
        <v>358</v>
      </c>
      <c r="C135" s="29" t="s">
        <v>76</v>
      </c>
      <c r="D135" s="29" t="s">
        <v>76</v>
      </c>
      <c r="E135" s="29" t="s">
        <v>76</v>
      </c>
      <c r="F135" s="29" t="s">
        <v>77</v>
      </c>
      <c r="H135" s="29" t="n">
        <v>2</v>
      </c>
    </row>
    <row r="136" customFormat="false" ht="14.25" hidden="false" customHeight="true" outlineLevel="0" collapsed="false">
      <c r="A136" s="29" t="s">
        <v>359</v>
      </c>
      <c r="B136" s="29" t="s">
        <v>360</v>
      </c>
      <c r="C136" s="29" t="s">
        <v>76</v>
      </c>
      <c r="D136" s="29" t="s">
        <v>76</v>
      </c>
      <c r="E136" s="29" t="s">
        <v>76</v>
      </c>
      <c r="F136" s="29" t="s">
        <v>77</v>
      </c>
      <c r="H136" s="29" t="n">
        <v>2</v>
      </c>
    </row>
    <row r="137" customFormat="false" ht="14.25" hidden="false" customHeight="true" outlineLevel="0" collapsed="false">
      <c r="A137" s="29" t="s">
        <v>361</v>
      </c>
      <c r="B137" s="29" t="s">
        <v>362</v>
      </c>
      <c r="C137" s="29" t="s">
        <v>76</v>
      </c>
      <c r="D137" s="29" t="s">
        <v>76</v>
      </c>
      <c r="E137" s="29" t="s">
        <v>76</v>
      </c>
      <c r="F137" s="29" t="s">
        <v>77</v>
      </c>
      <c r="H137" s="29" t="n">
        <v>2</v>
      </c>
    </row>
    <row r="138" customFormat="false" ht="14.25" hidden="false" customHeight="true" outlineLevel="0" collapsed="false">
      <c r="A138" s="29" t="s">
        <v>363</v>
      </c>
      <c r="B138" s="29" t="s">
        <v>364</v>
      </c>
      <c r="C138" s="29" t="s">
        <v>76</v>
      </c>
      <c r="D138" s="29" t="s">
        <v>76</v>
      </c>
      <c r="E138" s="29" t="s">
        <v>76</v>
      </c>
      <c r="F138" s="29" t="s">
        <v>77</v>
      </c>
      <c r="H138" s="29" t="n">
        <v>2</v>
      </c>
    </row>
    <row r="139" customFormat="false" ht="14.25" hidden="false" customHeight="true" outlineLevel="0" collapsed="false">
      <c r="A139" s="29" t="s">
        <v>365</v>
      </c>
      <c r="B139" s="29" t="s">
        <v>366</v>
      </c>
      <c r="C139" s="29" t="s">
        <v>76</v>
      </c>
      <c r="D139" s="29" t="s">
        <v>76</v>
      </c>
      <c r="E139" s="29" t="s">
        <v>76</v>
      </c>
      <c r="F139" s="29" t="s">
        <v>77</v>
      </c>
      <c r="H139" s="29" t="n">
        <v>2</v>
      </c>
    </row>
    <row r="140" customFormat="false" ht="14.25" hidden="false" customHeight="true" outlineLevel="0" collapsed="false">
      <c r="A140" s="29" t="s">
        <v>367</v>
      </c>
      <c r="B140" s="29" t="s">
        <v>368</v>
      </c>
      <c r="C140" s="29" t="s">
        <v>76</v>
      </c>
      <c r="D140" s="29" t="s">
        <v>76</v>
      </c>
      <c r="E140" s="29" t="s">
        <v>76</v>
      </c>
      <c r="F140" s="29" t="s">
        <v>77</v>
      </c>
      <c r="H140" s="29" t="n">
        <v>2</v>
      </c>
    </row>
    <row r="141" customFormat="false" ht="14.25" hidden="false" customHeight="true" outlineLevel="0" collapsed="false">
      <c r="A141" s="29" t="s">
        <v>369</v>
      </c>
      <c r="B141" s="29" t="s">
        <v>370</v>
      </c>
      <c r="C141" s="29" t="s">
        <v>76</v>
      </c>
      <c r="D141" s="29" t="s">
        <v>76</v>
      </c>
      <c r="E141" s="29" t="s">
        <v>76</v>
      </c>
      <c r="F141" s="29" t="s">
        <v>77</v>
      </c>
      <c r="H141" s="29" t="n">
        <v>2</v>
      </c>
    </row>
    <row r="142" customFormat="false" ht="14.25" hidden="false" customHeight="true" outlineLevel="0" collapsed="false">
      <c r="A142" s="29" t="s">
        <v>371</v>
      </c>
      <c r="B142" s="29" t="s">
        <v>372</v>
      </c>
      <c r="C142" s="29" t="s">
        <v>76</v>
      </c>
      <c r="D142" s="29" t="s">
        <v>76</v>
      </c>
      <c r="E142" s="29" t="s">
        <v>76</v>
      </c>
      <c r="F142" s="29" t="s">
        <v>77</v>
      </c>
      <c r="H142" s="29" t="n">
        <v>2</v>
      </c>
    </row>
    <row r="143" customFormat="false" ht="14.25" hidden="false" customHeight="true" outlineLevel="0" collapsed="false">
      <c r="A143" s="29" t="s">
        <v>373</v>
      </c>
      <c r="B143" s="29" t="s">
        <v>374</v>
      </c>
      <c r="C143" s="29" t="s">
        <v>76</v>
      </c>
      <c r="D143" s="29" t="s">
        <v>76</v>
      </c>
      <c r="E143" s="29" t="s">
        <v>76</v>
      </c>
      <c r="F143" s="29" t="s">
        <v>77</v>
      </c>
      <c r="H143" s="29" t="n">
        <v>2</v>
      </c>
    </row>
    <row r="144" customFormat="false" ht="14.25" hidden="false" customHeight="true" outlineLevel="0" collapsed="false">
      <c r="A144" s="29" t="s">
        <v>375</v>
      </c>
      <c r="B144" s="29" t="s">
        <v>376</v>
      </c>
      <c r="C144" s="29" t="s">
        <v>76</v>
      </c>
      <c r="D144" s="29" t="s">
        <v>76</v>
      </c>
      <c r="E144" s="29" t="s">
        <v>76</v>
      </c>
      <c r="F144" s="29" t="s">
        <v>77</v>
      </c>
      <c r="H144" s="29" t="n">
        <v>2</v>
      </c>
    </row>
    <row r="145" customFormat="false" ht="14.25" hidden="false" customHeight="true" outlineLevel="0" collapsed="false">
      <c r="A145" s="29" t="s">
        <v>377</v>
      </c>
      <c r="B145" s="29" t="s">
        <v>378</v>
      </c>
      <c r="C145" s="29" t="s">
        <v>76</v>
      </c>
      <c r="D145" s="29" t="s">
        <v>76</v>
      </c>
      <c r="E145" s="29" t="s">
        <v>76</v>
      </c>
      <c r="F145" s="29" t="s">
        <v>77</v>
      </c>
      <c r="H145" s="29" t="n">
        <v>2</v>
      </c>
    </row>
    <row r="146" customFormat="false" ht="14.25" hidden="false" customHeight="true" outlineLevel="0" collapsed="false">
      <c r="A146" s="29" t="s">
        <v>379</v>
      </c>
      <c r="B146" s="29" t="s">
        <v>380</v>
      </c>
      <c r="C146" s="29" t="s">
        <v>76</v>
      </c>
      <c r="D146" s="29" t="s">
        <v>76</v>
      </c>
      <c r="E146" s="29" t="s">
        <v>76</v>
      </c>
      <c r="F146" s="29" t="s">
        <v>77</v>
      </c>
      <c r="H146" s="29" t="n">
        <v>2</v>
      </c>
    </row>
    <row r="147" customFormat="false" ht="14.25" hidden="false" customHeight="true" outlineLevel="0" collapsed="false">
      <c r="A147" s="29" t="s">
        <v>381</v>
      </c>
      <c r="B147" s="29" t="s">
        <v>382</v>
      </c>
      <c r="C147" s="29" t="s">
        <v>76</v>
      </c>
      <c r="D147" s="29" t="s">
        <v>76</v>
      </c>
      <c r="E147" s="29" t="s">
        <v>76</v>
      </c>
      <c r="F147" s="29" t="s">
        <v>77</v>
      </c>
      <c r="H147" s="29" t="n">
        <v>2</v>
      </c>
    </row>
    <row r="148" customFormat="false" ht="14.25" hidden="false" customHeight="true" outlineLevel="0" collapsed="false">
      <c r="A148" s="29" t="s">
        <v>383</v>
      </c>
      <c r="B148" s="29" t="s">
        <v>384</v>
      </c>
      <c r="C148" s="29" t="s">
        <v>76</v>
      </c>
      <c r="D148" s="29" t="s">
        <v>76</v>
      </c>
      <c r="E148" s="29" t="s">
        <v>76</v>
      </c>
      <c r="F148" s="29" t="s">
        <v>77</v>
      </c>
      <c r="H148" s="29" t="n">
        <v>2</v>
      </c>
    </row>
    <row r="149" customFormat="false" ht="14.25" hidden="false" customHeight="true" outlineLevel="0" collapsed="false">
      <c r="A149" s="29" t="s">
        <v>385</v>
      </c>
      <c r="B149" s="29" t="s">
        <v>386</v>
      </c>
      <c r="C149" s="29" t="s">
        <v>76</v>
      </c>
      <c r="D149" s="29" t="s">
        <v>76</v>
      </c>
      <c r="E149" s="29" t="s">
        <v>76</v>
      </c>
      <c r="F149" s="29" t="s">
        <v>77</v>
      </c>
      <c r="H149" s="29" t="n">
        <v>2</v>
      </c>
    </row>
    <row r="150" customFormat="false" ht="14.25" hidden="false" customHeight="true" outlineLevel="0" collapsed="false">
      <c r="A150" s="29" t="s">
        <v>387</v>
      </c>
      <c r="B150" s="29" t="s">
        <v>388</v>
      </c>
      <c r="C150" s="29" t="s">
        <v>76</v>
      </c>
      <c r="D150" s="29" t="s">
        <v>76</v>
      </c>
      <c r="E150" s="29" t="s">
        <v>76</v>
      </c>
      <c r="F150" s="29" t="s">
        <v>77</v>
      </c>
      <c r="H150" s="29" t="n">
        <v>2</v>
      </c>
    </row>
    <row r="151" customFormat="false" ht="14.25" hidden="false" customHeight="true" outlineLevel="0" collapsed="false">
      <c r="A151" s="29" t="s">
        <v>389</v>
      </c>
      <c r="B151" s="29" t="s">
        <v>390</v>
      </c>
      <c r="C151" s="29" t="s">
        <v>76</v>
      </c>
      <c r="D151" s="29" t="s">
        <v>76</v>
      </c>
      <c r="E151" s="29" t="s">
        <v>76</v>
      </c>
      <c r="F151" s="29" t="s">
        <v>77</v>
      </c>
      <c r="H151" s="29" t="n">
        <v>2</v>
      </c>
    </row>
    <row r="152" customFormat="false" ht="14.25" hidden="false" customHeight="true" outlineLevel="0" collapsed="false">
      <c r="A152" s="29" t="s">
        <v>391</v>
      </c>
      <c r="B152" s="29" t="s">
        <v>392</v>
      </c>
      <c r="C152" s="29" t="s">
        <v>76</v>
      </c>
      <c r="D152" s="29" t="s">
        <v>76</v>
      </c>
      <c r="E152" s="29" t="s">
        <v>76</v>
      </c>
      <c r="F152" s="29" t="s">
        <v>77</v>
      </c>
      <c r="H152" s="29" t="n">
        <v>2</v>
      </c>
    </row>
    <row r="153" customFormat="false" ht="14.25" hidden="false" customHeight="true" outlineLevel="0" collapsed="false">
      <c r="A153" s="29" t="s">
        <v>393</v>
      </c>
      <c r="B153" s="29" t="s">
        <v>394</v>
      </c>
      <c r="C153" s="29" t="s">
        <v>76</v>
      </c>
      <c r="D153" s="29" t="s">
        <v>76</v>
      </c>
      <c r="E153" s="29" t="s">
        <v>76</v>
      </c>
      <c r="F153" s="29" t="s">
        <v>77</v>
      </c>
      <c r="G153" s="29" t="n">
        <v>2</v>
      </c>
      <c r="H153" s="29" t="n">
        <v>2</v>
      </c>
    </row>
    <row r="154" customFormat="false" ht="14.25" hidden="false" customHeight="true" outlineLevel="0" collapsed="false">
      <c r="A154" s="29" t="s">
        <v>395</v>
      </c>
      <c r="B154" s="29" t="s">
        <v>396</v>
      </c>
      <c r="C154" s="29" t="s">
        <v>76</v>
      </c>
      <c r="D154" s="29" t="s">
        <v>76</v>
      </c>
      <c r="E154" s="29" t="s">
        <v>76</v>
      </c>
      <c r="F154" s="29" t="s">
        <v>77</v>
      </c>
      <c r="H154" s="29" t="n">
        <v>2</v>
      </c>
    </row>
    <row r="155" customFormat="false" ht="14.25" hidden="false" customHeight="true" outlineLevel="0" collapsed="false">
      <c r="A155" s="29" t="s">
        <v>397</v>
      </c>
      <c r="B155" s="29" t="s">
        <v>398</v>
      </c>
      <c r="C155" s="29" t="s">
        <v>76</v>
      </c>
      <c r="D155" s="29" t="s">
        <v>76</v>
      </c>
      <c r="E155" s="29" t="s">
        <v>76</v>
      </c>
      <c r="F155" s="29" t="s">
        <v>77</v>
      </c>
      <c r="H155" s="29" t="n">
        <v>2</v>
      </c>
    </row>
    <row r="156" customFormat="false" ht="14.25" hidden="false" customHeight="true" outlineLevel="0" collapsed="false">
      <c r="A156" s="29" t="s">
        <v>399</v>
      </c>
      <c r="B156" s="29" t="s">
        <v>400</v>
      </c>
      <c r="C156" s="29" t="s">
        <v>76</v>
      </c>
      <c r="D156" s="29" t="s">
        <v>76</v>
      </c>
      <c r="E156" s="29" t="s">
        <v>76</v>
      </c>
      <c r="F156" s="29" t="s">
        <v>77</v>
      </c>
      <c r="H156" s="29" t="n">
        <v>2</v>
      </c>
    </row>
    <row r="157" customFormat="false" ht="14.25" hidden="false" customHeight="true" outlineLevel="0" collapsed="false">
      <c r="A157" s="29" t="s">
        <v>401</v>
      </c>
      <c r="B157" s="29" t="s">
        <v>402</v>
      </c>
      <c r="C157" s="29" t="s">
        <v>76</v>
      </c>
      <c r="D157" s="29" t="s">
        <v>76</v>
      </c>
      <c r="E157" s="29" t="s">
        <v>76</v>
      </c>
      <c r="F157" s="29" t="s">
        <v>77</v>
      </c>
      <c r="H157" s="29" t="n">
        <v>2</v>
      </c>
    </row>
    <row r="158" customFormat="false" ht="14.25" hidden="false" customHeight="true" outlineLevel="0" collapsed="false">
      <c r="A158" s="29" t="s">
        <v>403</v>
      </c>
      <c r="B158" s="29" t="s">
        <v>404</v>
      </c>
      <c r="C158" s="29" t="s">
        <v>76</v>
      </c>
      <c r="D158" s="29" t="s">
        <v>76</v>
      </c>
      <c r="E158" s="29" t="s">
        <v>76</v>
      </c>
      <c r="F158" s="29" t="s">
        <v>77</v>
      </c>
      <c r="H158" s="29" t="n">
        <v>2</v>
      </c>
    </row>
    <row r="159" customFormat="false" ht="14.25" hidden="false" customHeight="true" outlineLevel="0" collapsed="false">
      <c r="A159" s="29" t="s">
        <v>405</v>
      </c>
      <c r="B159" s="29" t="s">
        <v>406</v>
      </c>
      <c r="C159" s="29" t="s">
        <v>76</v>
      </c>
      <c r="D159" s="29" t="s">
        <v>76</v>
      </c>
      <c r="E159" s="29" t="s">
        <v>76</v>
      </c>
      <c r="F159" s="29" t="s">
        <v>77</v>
      </c>
      <c r="H159" s="29" t="n">
        <v>2</v>
      </c>
    </row>
    <row r="160" customFormat="false" ht="14.25" hidden="false" customHeight="true" outlineLevel="0" collapsed="false">
      <c r="A160" s="29" t="s">
        <v>498</v>
      </c>
      <c r="B160" s="29" t="s">
        <v>390</v>
      </c>
      <c r="C160" s="29" t="s">
        <v>76</v>
      </c>
      <c r="D160" s="29" t="s">
        <v>76</v>
      </c>
      <c r="E160" s="29" t="s">
        <v>76</v>
      </c>
      <c r="F160" s="29" t="s">
        <v>77</v>
      </c>
      <c r="G160" s="29" t="n">
        <v>2</v>
      </c>
      <c r="H160" s="29" t="n">
        <v>2</v>
      </c>
    </row>
    <row r="161" customFormat="false" ht="14.25" hidden="false" customHeight="true" outlineLevel="0" collapsed="false">
      <c r="A161" s="29" t="s">
        <v>499</v>
      </c>
      <c r="B161" s="29" t="s">
        <v>392</v>
      </c>
      <c r="C161" s="29" t="s">
        <v>76</v>
      </c>
      <c r="D161" s="29" t="s">
        <v>76</v>
      </c>
      <c r="E161" s="29" t="s">
        <v>76</v>
      </c>
      <c r="F161" s="29" t="s">
        <v>77</v>
      </c>
      <c r="H161" s="29" t="n">
        <v>2</v>
      </c>
    </row>
    <row r="162" customFormat="false" ht="14.25" hidden="false" customHeight="true" outlineLevel="0" collapsed="false">
      <c r="A162" s="29" t="s">
        <v>500</v>
      </c>
      <c r="B162" s="29" t="s">
        <v>394</v>
      </c>
      <c r="C162" s="29" t="s">
        <v>76</v>
      </c>
      <c r="D162" s="29" t="s">
        <v>76</v>
      </c>
      <c r="E162" s="29" t="s">
        <v>76</v>
      </c>
      <c r="F162" s="29" t="s">
        <v>77</v>
      </c>
      <c r="H162" s="29" t="n">
        <v>2</v>
      </c>
    </row>
    <row r="163" customFormat="false" ht="14.25" hidden="false" customHeight="true" outlineLevel="0" collapsed="false">
      <c r="A163" s="29" t="s">
        <v>501</v>
      </c>
      <c r="B163" s="29" t="s">
        <v>396</v>
      </c>
      <c r="C163" s="29" t="s">
        <v>76</v>
      </c>
      <c r="D163" s="29" t="s">
        <v>76</v>
      </c>
      <c r="E163" s="29" t="s">
        <v>76</v>
      </c>
      <c r="F163" s="29" t="s">
        <v>77</v>
      </c>
      <c r="H163" s="29" t="n">
        <v>2</v>
      </c>
    </row>
    <row r="164" customFormat="false" ht="14.25" hidden="false" customHeight="true" outlineLevel="0" collapsed="false">
      <c r="A164" s="29" t="s">
        <v>502</v>
      </c>
      <c r="B164" s="29" t="s">
        <v>398</v>
      </c>
      <c r="C164" s="29" t="s">
        <v>76</v>
      </c>
      <c r="D164" s="29" t="s">
        <v>76</v>
      </c>
      <c r="E164" s="29" t="s">
        <v>76</v>
      </c>
      <c r="F164" s="29" t="s">
        <v>77</v>
      </c>
      <c r="H164" s="29" t="n">
        <v>2</v>
      </c>
    </row>
    <row r="165" customFormat="false" ht="14.25" hidden="false" customHeight="true" outlineLevel="0" collapsed="false">
      <c r="A165" s="29" t="s">
        <v>503</v>
      </c>
      <c r="B165" s="29" t="s">
        <v>400</v>
      </c>
      <c r="C165" s="29" t="s">
        <v>76</v>
      </c>
      <c r="D165" s="29" t="s">
        <v>76</v>
      </c>
      <c r="E165" s="29" t="s">
        <v>76</v>
      </c>
      <c r="F165" s="29" t="s">
        <v>77</v>
      </c>
      <c r="H165" s="29" t="n">
        <v>2</v>
      </c>
    </row>
    <row r="166" customFormat="false" ht="14.25" hidden="false" customHeight="true" outlineLevel="0" collapsed="false">
      <c r="A166" s="29" t="s">
        <v>504</v>
      </c>
      <c r="B166" s="29" t="s">
        <v>402</v>
      </c>
      <c r="C166" s="29" t="s">
        <v>76</v>
      </c>
      <c r="D166" s="29" t="s">
        <v>76</v>
      </c>
      <c r="E166" s="29" t="s">
        <v>76</v>
      </c>
      <c r="F166" s="29" t="s">
        <v>77</v>
      </c>
      <c r="H166" s="29" t="n">
        <v>2</v>
      </c>
    </row>
    <row r="167" customFormat="false" ht="14.25" hidden="false" customHeight="true" outlineLevel="0" collapsed="false">
      <c r="A167" s="29" t="s">
        <v>505</v>
      </c>
      <c r="B167" s="29" t="s">
        <v>404</v>
      </c>
      <c r="C167" s="29" t="s">
        <v>76</v>
      </c>
      <c r="D167" s="29" t="s">
        <v>76</v>
      </c>
      <c r="E167" s="29" t="s">
        <v>76</v>
      </c>
      <c r="F167" s="29" t="s">
        <v>77</v>
      </c>
      <c r="H167" s="29" t="n">
        <v>2</v>
      </c>
    </row>
    <row r="168" customFormat="false" ht="14.25" hidden="false" customHeight="true" outlineLevel="0" collapsed="false">
      <c r="A168" s="29" t="s">
        <v>506</v>
      </c>
      <c r="B168" s="29" t="s">
        <v>406</v>
      </c>
      <c r="C168" s="29" t="s">
        <v>76</v>
      </c>
      <c r="D168" s="29" t="s">
        <v>76</v>
      </c>
      <c r="E168" s="29" t="s">
        <v>76</v>
      </c>
      <c r="F168" s="29" t="s">
        <v>77</v>
      </c>
      <c r="H168" s="29" t="n">
        <v>2</v>
      </c>
    </row>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dataValidations count="5">
    <dataValidation allowBlank="false" error="Select Y or N." errorStyle="stop" errorTitle="Invalid qualification" operator="between" showDropDown="false" showErrorMessage="true" showInputMessage="false" sqref="C2:C1000" type="list">
      <formula1>InformationDeskList</formula1>
      <formula2>0</formula2>
    </dataValidation>
    <dataValidation allowBlank="false" error="Select N, 1, 2, or 3." errorStyle="stop" errorTitle="Invalid qualification" operator="between" showDropDown="false" showErrorMessage="true" showInputMessage="false" sqref="D2:D1000" type="list">
      <formula1>MainInsideList</formula1>
      <formula2>0</formula2>
    </dataValidation>
    <dataValidation allowBlank="false" error="Select Y or N." errorStyle="stop" errorTitle="Invalid qualification" operator="between" showDropDown="false" showErrorMessage="true" showInputMessage="false" sqref="E2:E1000" type="list">
      <formula1>SurveyList</formula1>
      <formula2>0</formula2>
    </dataValidation>
    <dataValidation allowBlank="false" error="Select Y or N." errorStyle="stop" errorTitle="Invalid qualification" operator="between" showDropDown="false" showErrorMessage="true" showInputMessage="false" sqref="F2:F1000" type="list">
      <formula1>DivestList</formula1>
      <formula2>0</formula2>
    </dataValidation>
    <dataValidation allowBlank="false" error="Select qualification level 1, 2, or 3." errorStyle="stop" errorTitle="Invalid general qualification" operator="between" showDropDown="false" showErrorMessage="true" showInputMessage="false" sqref="H2:H1000" type="list">
      <formula1>QualificationList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14"/>
    <col collapsed="false" customWidth="true" hidden="false" outlineLevel="0" max="2" min="2" style="1" width="13"/>
    <col collapsed="false" customWidth="true" hidden="false" outlineLevel="0" max="3" min="3" style="1" width="24"/>
    <col collapsed="false" customWidth="true" hidden="false" outlineLevel="0" max="5" min="4" style="1" width="12"/>
    <col collapsed="false" customWidth="true" hidden="false" outlineLevel="0" max="7" min="6" style="1" width="9"/>
    <col collapsed="false" customWidth="true" hidden="false" outlineLevel="0" max="8" min="8" style="1" width="14"/>
    <col collapsed="false" customWidth="true" hidden="false" outlineLevel="0" max="9" min="9" style="1" width="17"/>
    <col collapsed="false" customWidth="true" hidden="false" outlineLevel="0" max="10" min="10" style="1" width="18"/>
    <col collapsed="false" customWidth="true" hidden="false" outlineLevel="0" max="11" min="11" style="1" width="13"/>
    <col collapsed="false" customWidth="true" hidden="false" outlineLevel="0" max="12" min="12" style="1" width="10"/>
    <col collapsed="false" customWidth="true" hidden="false" outlineLevel="0" max="13" min="13" style="1" width="19"/>
    <col collapsed="false" customWidth="true" hidden="false" outlineLevel="0" max="14" min="14" style="1" width="16"/>
    <col collapsed="false" customWidth="true" hidden="false" outlineLevel="0" max="15" min="15" style="1" width="28"/>
    <col collapsed="false" customWidth="true" hidden="false" outlineLevel="0" max="16" min="16" style="1" width="15"/>
    <col collapsed="false" customWidth="true" hidden="false" outlineLevel="0" max="22" min="17" style="1" width="16"/>
  </cols>
  <sheetData>
    <row r="1" customFormat="false" ht="27.75" hidden="false" customHeight="true" outlineLevel="0" collapsed="false">
      <c r="A1" s="31" t="s">
        <v>507</v>
      </c>
      <c r="B1" s="31"/>
      <c r="C1" s="31"/>
      <c r="D1" s="31"/>
      <c r="E1" s="31"/>
      <c r="F1" s="31"/>
      <c r="G1" s="31"/>
      <c r="H1" s="31"/>
      <c r="I1" s="31"/>
      <c r="J1" s="31"/>
      <c r="K1" s="31"/>
      <c r="L1" s="31"/>
      <c r="M1" s="31"/>
      <c r="N1" s="31"/>
      <c r="O1" s="31"/>
      <c r="P1" s="31"/>
    </row>
    <row r="2" customFormat="false" ht="14.25" hidden="false" customHeight="true" outlineLevel="0" collapsed="false">
      <c r="A2" s="32" t="s">
        <v>508</v>
      </c>
      <c r="B2" s="33" t="n">
        <v>46231</v>
      </c>
      <c r="C2" s="34"/>
      <c r="D2" s="32" t="s">
        <v>70</v>
      </c>
      <c r="E2" s="35"/>
      <c r="F2" s="34"/>
      <c r="G2" s="32" t="s">
        <v>509</v>
      </c>
      <c r="H2" s="36" t="n">
        <f aca="false">SUMPRODUCT(--($B$6:$B$205&lt;&gt;""))</f>
        <v>112</v>
      </c>
      <c r="I2" s="32" t="s">
        <v>510</v>
      </c>
      <c r="J2" s="36" t="n">
        <f aca="false">SUMPRODUCT(--($B$6:$B$205&lt;&gt;""),--($H$6:$H$205="Present"))</f>
        <v>112</v>
      </c>
      <c r="K2" s="32" t="s">
        <v>511</v>
      </c>
      <c r="L2" s="36" t="n">
        <f aca="false">SUMPRODUCT(--($B$6:$B$205&lt;&gt;""),--($F$6:$F$205="Y"))</f>
        <v>9</v>
      </c>
      <c r="M2" s="32" t="s">
        <v>512</v>
      </c>
      <c r="N2" s="36" t="n">
        <f aca="false">SUMPRODUCT(--($B$6:$B$205&lt;&gt;""),--($N$6:$N$205="Y"))</f>
        <v>103</v>
      </c>
    </row>
    <row r="3" customFormat="false" ht="24" hidden="false" customHeight="true" outlineLevel="0" collapsed="false">
      <c r="A3" s="37" t="s">
        <v>513</v>
      </c>
      <c r="B3" s="37"/>
      <c r="C3" s="37"/>
      <c r="D3" s="37"/>
      <c r="E3" s="37"/>
      <c r="F3" s="37"/>
      <c r="G3" s="37"/>
      <c r="H3" s="37"/>
      <c r="I3" s="37"/>
      <c r="J3" s="37"/>
      <c r="K3" s="37"/>
      <c r="L3" s="37"/>
      <c r="M3" s="37"/>
      <c r="N3" s="37"/>
      <c r="O3" s="37"/>
    </row>
    <row r="5" customFormat="false" ht="30" hidden="false" customHeight="true" outlineLevel="0" collapsed="false">
      <c r="A5" s="38" t="s">
        <v>514</v>
      </c>
      <c r="B5" s="38" t="s">
        <v>63</v>
      </c>
      <c r="C5" s="38" t="s">
        <v>64</v>
      </c>
      <c r="D5" s="38" t="s">
        <v>45</v>
      </c>
      <c r="E5" s="38" t="s">
        <v>70</v>
      </c>
      <c r="F5" s="38" t="s">
        <v>66</v>
      </c>
      <c r="G5" s="38" t="s">
        <v>67</v>
      </c>
      <c r="H5" s="38" t="s">
        <v>50</v>
      </c>
      <c r="I5" s="38" t="s">
        <v>69</v>
      </c>
      <c r="J5" s="38" t="s">
        <v>455</v>
      </c>
      <c r="K5" s="38" t="s">
        <v>494</v>
      </c>
      <c r="L5" s="38" t="s">
        <v>495</v>
      </c>
      <c r="M5" s="38" t="s">
        <v>458</v>
      </c>
      <c r="N5" s="38" t="s">
        <v>512</v>
      </c>
      <c r="O5" s="38" t="s">
        <v>515</v>
      </c>
      <c r="P5" s="39" t="s">
        <v>497</v>
      </c>
      <c r="Q5" s="38" t="s">
        <v>516</v>
      </c>
      <c r="R5" s="38" t="s">
        <v>517</v>
      </c>
      <c r="S5" s="38" t="s">
        <v>518</v>
      </c>
      <c r="T5" s="38" t="s">
        <v>519</v>
      </c>
      <c r="U5" s="38" t="s">
        <v>520</v>
      </c>
      <c r="V5" s="38" t="s">
        <v>521</v>
      </c>
    </row>
    <row r="6" customFormat="false" ht="14.25" hidden="false" customHeight="true" outlineLevel="0" collapsed="false">
      <c r="A6" s="40" t="n">
        <f aca="false">IF($B6="","",$B$2)</f>
        <v>46231</v>
      </c>
      <c r="B6" s="1" t="str">
        <f aca="false">IF($B$2="","",IFERROR(INDEX('Employee Master'!$A$2:$A$159,MATCH(ROWS($B$6:B6),Lists!$P$2:$P$159,0)),""))</f>
        <v>EMP-0007</v>
      </c>
      <c r="C6" s="1" t="str">
        <f aca="false">IF($B6="","",IFERROR(INDEX('Employee Master'!$B$2:$B$159,MATCH($B6,'Employee Master'!$A$2:$A$159,0)),""))</f>
        <v>Ahamed John</v>
      </c>
      <c r="D6" s="1" t="str">
        <f aca="false">IF($B6="","",IFERROR(INDEX('Employee Master'!$C$2:$C$159,MATCH($B6,'Employee Master'!$A$2:$A$159,0)),""))</f>
        <v>3:45 AM</v>
      </c>
      <c r="E6" s="1" t="str">
        <f aca="false">IF($B6="","",IFERROR(INDEX('Employee Master'!$I$2:$I$159,MATCH($B6,'Employee Master'!$A$2:$A$159,0)),""))</f>
        <v>AM</v>
      </c>
      <c r="F6" s="29" t="str">
        <f aca="false">IF($B6="","",IFERROR(INDEX('Employee Master'!$E$2:$E$159,MATCH($B6,'Employee Master'!$A$2:$A$159,0)),""))</f>
        <v>N</v>
      </c>
      <c r="G6" s="29" t="str">
        <f aca="false">IF($B6="","",IFERROR(INDEX('Employee Master'!$F$2:$F$159,MATCH($B6,'Employee Master'!$A$2:$A$159,0)),""))</f>
        <v>N</v>
      </c>
      <c r="H6" s="41" t="str">
        <f aca="false">IF($B6="","","Present")</f>
        <v>Present</v>
      </c>
      <c r="I6" s="1" t="str">
        <f aca="false">IF($B6="","",IFERROR(INDEX('Employee Master'!$H$2:$H$159,MATCH($B6,'Employee Master'!$A$2:$A$159,0)),""))</f>
        <v>None</v>
      </c>
      <c r="J6" s="29" t="str">
        <f aca="false">IF($B6="","",IFERROR(INDEX('Qualification Matrix'!$C$2:$C$168,MATCH($B6,'Qualification Matrix'!$A$2:$A$168,0)),2))</f>
        <v>N</v>
      </c>
      <c r="K6" s="29" t="str">
        <f aca="false">IF($B6="","",IFERROR(INDEX('Qualification Matrix'!$D$2:$D$168,MATCH($B6,'Qualification Matrix'!$A$2:$A$168,0)),2))</f>
        <v>N</v>
      </c>
      <c r="L6" s="29" t="str">
        <f aca="false">IF($B6="","",IFERROR(INDEX('Qualification Matrix'!$E$2:$E$168,MATCH($B6,'Qualification Matrix'!$A$2:$A$168,0)),2))</f>
        <v>N</v>
      </c>
      <c r="M6" s="29" t="str">
        <f aca="false">IF($B6="","",IFERROR(INDEX('Qualification Matrix'!$F$2:$F$168,MATCH($B6,'Qualification Matrix'!$A$2:$A$168,0)),2))</f>
        <v>Y</v>
      </c>
      <c r="N6" s="29" t="str">
        <f aca="false">IF($B6="","",IF(AND($H6="Present",$F6&lt;&gt;"Y"),"Y","N"))</f>
        <v>Y</v>
      </c>
      <c r="O6" s="42"/>
      <c r="P6" s="29" t="n">
        <f aca="false">IF($B6="","",IFERROR(INDEX('Qualification Matrix'!$H$2:$H$168,MATCH($B6,'Qualification Matrix'!$A$2:$A$168,0)),""))</f>
        <v>2</v>
      </c>
      <c r="Q6" s="43" t="n">
        <f aca="false">IF($B6="","",SUMIFS('Rotation History'!$M$2:$M$1000,'Rotation History'!$B$2:$B$1000,$B6,'Rotation History'!$A$2:$A$1000,"&gt;="&amp;($B$2-30),'Rotation History'!$A$2:$A$1000,"&lt;"&amp;$B$2))</f>
        <v>0</v>
      </c>
      <c r="R6" s="43" t="n">
        <f aca="false">IF($B6="","",COUNTIFS('Rotation History'!$B$2:$B$1000,$B6,'Rotation History'!$M$2:$M$1000,"&gt;0",'Rotation History'!$A$2:$A$1000,"&gt;="&amp;($B$2-30),'Rotation History'!$A$2:$A$1000,"&lt;"&amp;$B$2))</f>
        <v>0</v>
      </c>
      <c r="S6" s="43" t="n">
        <f aca="false">IF($B6="","",IF(COUNTIFS('Rotation History'!$B$2:$B$1000,$B6,'Rotation History'!$A$2:$A$1000,$B$2-1,'Rotation History'!$M$2:$M$1000,"&gt;0")=0,0,1+IF(COUNTIFS('Rotation History'!$B$2:$B$1000,$B6,'Rotation History'!$A$2:$A$1000,$B$2-2,'Rotation History'!$M$2:$M$1000,"&gt;0")=0,0,1+IF(COUNTIFS('Rotation History'!$B$2:$B$1000,$B6,'Rotation History'!$A$2:$A$1000,$B$2-3,'Rotation History'!$M$2:$M$1000,"&gt;0")=0,0,1+IF(COUNTIFS('Rotation History'!$B$2:$B$1000,$B6,'Rotation History'!$A$2:$A$1000,$B$2-4,'Rotation History'!$M$2:$M$1000,"&gt;0")=0,0,1)))))</f>
        <v>0</v>
      </c>
      <c r="T6" s="43" t="n">
        <f aca="false">IF($B6="","",COUNTIFS('Rotation History'!$B$2:$B$1000,$B6,'Rotation History'!$K$2:$K$1000,"Opening",'Rotation History'!$A$2:$A$1000,"&gt;="&amp;($B$2-30),'Rotation History'!$A$2:$A$1000,"&lt;"&amp;$B$2))</f>
        <v>0</v>
      </c>
      <c r="U6" s="43" t="n">
        <f aca="false">IF($B6="","",COUNTIFS('Rotation History'!$B$2:$B$1000,$B6,'Rotation History'!$K$2:$K$1000,"Lunch Relief",'Rotation History'!$A$2:$A$1000,"&gt;="&amp;($B$2-30),'Rotation History'!$A$2:$A$1000,"&lt;"&amp;$B$2))</f>
        <v>0</v>
      </c>
      <c r="V6" s="44" t="n">
        <f aca="false">IF($B6="","",$Q6*10+$R6*2+$S6*20+$T6*3+$U6)</f>
        <v>0</v>
      </c>
    </row>
    <row r="7" customFormat="false" ht="14.25" hidden="false" customHeight="true" outlineLevel="0" collapsed="false">
      <c r="A7" s="40" t="n">
        <f aca="false">IF($B7="","",$B$2)</f>
        <v>46231</v>
      </c>
      <c r="B7" s="1" t="str">
        <f aca="false">IF($B$2="","",IFERROR(INDEX('Employee Master'!$A$2:$A$159,MATCH(ROWS($B$6:B7),Lists!$P$2:$P$159,0)),""))</f>
        <v>EMP-0010</v>
      </c>
      <c r="C7" s="1" t="str">
        <f aca="false">IF($B7="","",IFERROR(INDEX('Employee Master'!$B$2:$B$159,MATCH($B7,'Employee Master'!$A$2:$A$159,0)),""))</f>
        <v>Allen Suggs</v>
      </c>
      <c r="D7" s="1" t="str">
        <f aca="false">IF($B7="","",IFERROR(INDEX('Employee Master'!$C$2:$C$159,MATCH($B7,'Employee Master'!$A$2:$A$159,0)),""))</f>
        <v>3:45 AM</v>
      </c>
      <c r="E7" s="1" t="str">
        <f aca="false">IF($B7="","",IFERROR(INDEX('Employee Master'!$I$2:$I$159,MATCH($B7,'Employee Master'!$A$2:$A$159,0)),""))</f>
        <v>AM</v>
      </c>
      <c r="F7" s="29" t="str">
        <f aca="false">IF($B7="","",IFERROR(INDEX('Employee Master'!$E$2:$E$159,MATCH($B7,'Employee Master'!$A$2:$A$159,0)),""))</f>
        <v>N</v>
      </c>
      <c r="G7" s="29" t="str">
        <f aca="false">IF($B7="","",IFERROR(INDEX('Employee Master'!$F$2:$F$159,MATCH($B7,'Employee Master'!$A$2:$A$159,0)),""))</f>
        <v>N</v>
      </c>
      <c r="H7" s="41" t="str">
        <f aca="false">IF($B7="","","Present")</f>
        <v>Present</v>
      </c>
      <c r="I7" s="1" t="str">
        <f aca="false">IF($B7="","",IFERROR(INDEX('Employee Master'!$H$2:$H$159,MATCH($B7,'Employee Master'!$A$2:$A$159,0)),""))</f>
        <v>None</v>
      </c>
      <c r="J7" s="29" t="str">
        <f aca="false">IF($B7="","",IFERROR(INDEX('Qualification Matrix'!$C$2:$C$168,MATCH($B7,'Qualification Matrix'!$A$2:$A$168,0)),2))</f>
        <v>N</v>
      </c>
      <c r="K7" s="29" t="str">
        <f aca="false">IF($B7="","",IFERROR(INDEX('Qualification Matrix'!$D$2:$D$168,MATCH($B7,'Qualification Matrix'!$A$2:$A$168,0)),2))</f>
        <v>N</v>
      </c>
      <c r="L7" s="29" t="str">
        <f aca="false">IF($B7="","",IFERROR(INDEX('Qualification Matrix'!$E$2:$E$168,MATCH($B7,'Qualification Matrix'!$A$2:$A$168,0)),2))</f>
        <v>N</v>
      </c>
      <c r="M7" s="29" t="str">
        <f aca="false">IF($B7="","",IFERROR(INDEX('Qualification Matrix'!$F$2:$F$168,MATCH($B7,'Qualification Matrix'!$A$2:$A$168,0)),2))</f>
        <v>Y</v>
      </c>
      <c r="N7" s="29" t="str">
        <f aca="false">IF($B7="","",IF(AND($H7="Present",$F7&lt;&gt;"Y"),"Y","N"))</f>
        <v>Y</v>
      </c>
      <c r="O7" s="42"/>
      <c r="P7" s="29" t="n">
        <f aca="false">IF($B7="","",IFERROR(INDEX('Qualification Matrix'!$H$2:$H$168,MATCH($B7,'Qualification Matrix'!$A$2:$A$168,0)),""))</f>
        <v>2</v>
      </c>
      <c r="Q7" s="43" t="n">
        <f aca="false">IF($B7="","",SUMIFS('Rotation History'!$M$2:$M$1000,'Rotation History'!$B$2:$B$1000,$B7,'Rotation History'!$A$2:$A$1000,"&gt;="&amp;($B$2-30),'Rotation History'!$A$2:$A$1000,"&lt;"&amp;$B$2))</f>
        <v>0</v>
      </c>
      <c r="R7" s="43" t="n">
        <f aca="false">IF($B7="","",COUNTIFS('Rotation History'!$B$2:$B$1000,$B7,'Rotation History'!$M$2:$M$1000,"&gt;0",'Rotation History'!$A$2:$A$1000,"&gt;="&amp;($B$2-30),'Rotation History'!$A$2:$A$1000,"&lt;"&amp;$B$2))</f>
        <v>0</v>
      </c>
      <c r="S7" s="43" t="n">
        <f aca="false">IF($B7="","",IF(COUNTIFS('Rotation History'!$B$2:$B$1000,$B7,'Rotation History'!$A$2:$A$1000,$B$2-1,'Rotation History'!$M$2:$M$1000,"&gt;0")=0,0,1+IF(COUNTIFS('Rotation History'!$B$2:$B$1000,$B7,'Rotation History'!$A$2:$A$1000,$B$2-2,'Rotation History'!$M$2:$M$1000,"&gt;0")=0,0,1+IF(COUNTIFS('Rotation History'!$B$2:$B$1000,$B7,'Rotation History'!$A$2:$A$1000,$B$2-3,'Rotation History'!$M$2:$M$1000,"&gt;0")=0,0,1+IF(COUNTIFS('Rotation History'!$B$2:$B$1000,$B7,'Rotation History'!$A$2:$A$1000,$B$2-4,'Rotation History'!$M$2:$M$1000,"&gt;0")=0,0,1)))))</f>
        <v>0</v>
      </c>
      <c r="T7" s="43" t="n">
        <f aca="false">IF($B7="","",COUNTIFS('Rotation History'!$B$2:$B$1000,$B7,'Rotation History'!$K$2:$K$1000,"Opening",'Rotation History'!$A$2:$A$1000,"&gt;="&amp;($B$2-30),'Rotation History'!$A$2:$A$1000,"&lt;"&amp;$B$2))</f>
        <v>0</v>
      </c>
      <c r="U7" s="43" t="n">
        <f aca="false">IF($B7="","",COUNTIFS('Rotation History'!$B$2:$B$1000,$B7,'Rotation History'!$K$2:$K$1000,"Lunch Relief",'Rotation History'!$A$2:$A$1000,"&gt;="&amp;($B$2-30),'Rotation History'!$A$2:$A$1000,"&lt;"&amp;$B$2))</f>
        <v>0</v>
      </c>
      <c r="V7" s="44" t="n">
        <f aca="false">IF($B7="","",$Q7*10+$R7*2+$S7*20+$T7*3+$U7)</f>
        <v>0</v>
      </c>
    </row>
    <row r="8" customFormat="false" ht="14.25" hidden="false" customHeight="true" outlineLevel="0" collapsed="false">
      <c r="A8" s="40" t="n">
        <f aca="false">IF($B8="","",$B$2)</f>
        <v>46231</v>
      </c>
      <c r="B8" s="1" t="str">
        <f aca="false">IF($B$2="","",IFERROR(INDEX('Employee Master'!$A$2:$A$159,MATCH(ROWS($B$6:B8),Lists!$P$2:$P$159,0)),""))</f>
        <v>EMP-0022</v>
      </c>
      <c r="C8" s="1" t="str">
        <f aca="false">IF($B8="","",IFERROR(INDEX('Employee Master'!$B$2:$B$159,MATCH($B8,'Employee Master'!$A$2:$A$159,0)),""))</f>
        <v>Benjamin Crosby</v>
      </c>
      <c r="D8" s="1" t="str">
        <f aca="false">IF($B8="","",IFERROR(INDEX('Employee Master'!$C$2:$C$159,MATCH($B8,'Employee Master'!$A$2:$A$159,0)),""))</f>
        <v>3:45 AM</v>
      </c>
      <c r="E8" s="1" t="str">
        <f aca="false">IF($B8="","",IFERROR(INDEX('Employee Master'!$I$2:$I$159,MATCH($B8,'Employee Master'!$A$2:$A$159,0)),""))</f>
        <v>AM</v>
      </c>
      <c r="F8" s="29" t="str">
        <f aca="false">IF($B8="","",IFERROR(INDEX('Employee Master'!$E$2:$E$159,MATCH($B8,'Employee Master'!$A$2:$A$159,0)),""))</f>
        <v>N</v>
      </c>
      <c r="G8" s="29" t="str">
        <f aca="false">IF($B8="","",IFERROR(INDEX('Employee Master'!$F$2:$F$159,MATCH($B8,'Employee Master'!$A$2:$A$159,0)),""))</f>
        <v>N</v>
      </c>
      <c r="H8" s="41" t="str">
        <f aca="false">IF($B8="","","Present")</f>
        <v>Present</v>
      </c>
      <c r="I8" s="1" t="str">
        <f aca="false">IF($B8="","",IFERROR(INDEX('Employee Master'!$H$2:$H$159,MATCH($B8,'Employee Master'!$A$2:$A$159,0)),""))</f>
        <v>None</v>
      </c>
      <c r="J8" s="29" t="str">
        <f aca="false">IF($B8="","",IFERROR(INDEX('Qualification Matrix'!$C$2:$C$168,MATCH($B8,'Qualification Matrix'!$A$2:$A$168,0)),2))</f>
        <v>N</v>
      </c>
      <c r="K8" s="29" t="str">
        <f aca="false">IF($B8="","",IFERROR(INDEX('Qualification Matrix'!$D$2:$D$168,MATCH($B8,'Qualification Matrix'!$A$2:$A$168,0)),2))</f>
        <v>N</v>
      </c>
      <c r="L8" s="29" t="str">
        <f aca="false">IF($B8="","",IFERROR(INDEX('Qualification Matrix'!$E$2:$E$168,MATCH($B8,'Qualification Matrix'!$A$2:$A$168,0)),2))</f>
        <v>N</v>
      </c>
      <c r="M8" s="29" t="str">
        <f aca="false">IF($B8="","",IFERROR(INDEX('Qualification Matrix'!$F$2:$F$168,MATCH($B8,'Qualification Matrix'!$A$2:$A$168,0)),2))</f>
        <v>Y</v>
      </c>
      <c r="N8" s="29" t="str">
        <f aca="false">IF($B8="","",IF(AND($H8="Present",$F8&lt;&gt;"Y"),"Y","N"))</f>
        <v>Y</v>
      </c>
      <c r="O8" s="42"/>
      <c r="P8" s="29" t="n">
        <f aca="false">IF($B8="","",IFERROR(INDEX('Qualification Matrix'!$H$2:$H$168,MATCH($B8,'Qualification Matrix'!$A$2:$A$168,0)),""))</f>
        <v>2</v>
      </c>
      <c r="Q8" s="43" t="n">
        <f aca="false">IF($B8="","",SUMIFS('Rotation History'!$M$2:$M$1000,'Rotation History'!$B$2:$B$1000,$B8,'Rotation History'!$A$2:$A$1000,"&gt;="&amp;($B$2-30),'Rotation History'!$A$2:$A$1000,"&lt;"&amp;$B$2))</f>
        <v>0</v>
      </c>
      <c r="R8" s="43" t="n">
        <f aca="false">IF($B8="","",COUNTIFS('Rotation History'!$B$2:$B$1000,$B8,'Rotation History'!$M$2:$M$1000,"&gt;0",'Rotation History'!$A$2:$A$1000,"&gt;="&amp;($B$2-30),'Rotation History'!$A$2:$A$1000,"&lt;"&amp;$B$2))</f>
        <v>0</v>
      </c>
      <c r="S8" s="43" t="n">
        <f aca="false">IF($B8="","",IF(COUNTIFS('Rotation History'!$B$2:$B$1000,$B8,'Rotation History'!$A$2:$A$1000,$B$2-1,'Rotation History'!$M$2:$M$1000,"&gt;0")=0,0,1+IF(COUNTIFS('Rotation History'!$B$2:$B$1000,$B8,'Rotation History'!$A$2:$A$1000,$B$2-2,'Rotation History'!$M$2:$M$1000,"&gt;0")=0,0,1+IF(COUNTIFS('Rotation History'!$B$2:$B$1000,$B8,'Rotation History'!$A$2:$A$1000,$B$2-3,'Rotation History'!$M$2:$M$1000,"&gt;0")=0,0,1+IF(COUNTIFS('Rotation History'!$B$2:$B$1000,$B8,'Rotation History'!$A$2:$A$1000,$B$2-4,'Rotation History'!$M$2:$M$1000,"&gt;0")=0,0,1)))))</f>
        <v>0</v>
      </c>
      <c r="T8" s="43" t="n">
        <f aca="false">IF($B8="","",COUNTIFS('Rotation History'!$B$2:$B$1000,$B8,'Rotation History'!$K$2:$K$1000,"Opening",'Rotation History'!$A$2:$A$1000,"&gt;="&amp;($B$2-30),'Rotation History'!$A$2:$A$1000,"&lt;"&amp;$B$2))</f>
        <v>0</v>
      </c>
      <c r="U8" s="43" t="n">
        <f aca="false">IF($B8="","",COUNTIFS('Rotation History'!$B$2:$B$1000,$B8,'Rotation History'!$K$2:$K$1000,"Lunch Relief",'Rotation History'!$A$2:$A$1000,"&gt;="&amp;($B$2-30),'Rotation History'!$A$2:$A$1000,"&lt;"&amp;$B$2))</f>
        <v>0</v>
      </c>
      <c r="V8" s="44" t="n">
        <f aca="false">IF($B8="","",$Q8*10+$R8*2+$S8*20+$T8*3+$U8)</f>
        <v>0</v>
      </c>
    </row>
    <row r="9" customFormat="false" ht="14.25" hidden="false" customHeight="true" outlineLevel="0" collapsed="false">
      <c r="A9" s="40" t="n">
        <f aca="false">IF($B9="","",$B$2)</f>
        <v>46231</v>
      </c>
      <c r="B9" s="1" t="str">
        <f aca="false">IF($B$2="","",IFERROR(INDEX('Employee Master'!$A$2:$A$159,MATCH(ROWS($B$6:B9),Lists!$P$2:$P$159,0)),""))</f>
        <v>EMP-0042</v>
      </c>
      <c r="C9" s="1" t="str">
        <f aca="false">IF($B9="","",IFERROR(INDEX('Employee Master'!$B$2:$B$159,MATCH($B9,'Employee Master'!$A$2:$A$159,0)),""))</f>
        <v>Crosby Pavon-Lacayo</v>
      </c>
      <c r="D9" s="1" t="str">
        <f aca="false">IF($B9="","",IFERROR(INDEX('Employee Master'!$C$2:$C$159,MATCH($B9,'Employee Master'!$A$2:$A$159,0)),""))</f>
        <v>3:45 AM</v>
      </c>
      <c r="E9" s="1" t="str">
        <f aca="false">IF($B9="","",IFERROR(INDEX('Employee Master'!$I$2:$I$159,MATCH($B9,'Employee Master'!$A$2:$A$159,0)),""))</f>
        <v>AM</v>
      </c>
      <c r="F9" s="29" t="str">
        <f aca="false">IF($B9="","",IFERROR(INDEX('Employee Master'!$E$2:$E$159,MATCH($B9,'Employee Master'!$A$2:$A$159,0)),""))</f>
        <v>N</v>
      </c>
      <c r="G9" s="29" t="str">
        <f aca="false">IF($B9="","",IFERROR(INDEX('Employee Master'!$F$2:$F$159,MATCH($B9,'Employee Master'!$A$2:$A$159,0)),""))</f>
        <v>N</v>
      </c>
      <c r="H9" s="41" t="str">
        <f aca="false">IF($B9="","","Present")</f>
        <v>Present</v>
      </c>
      <c r="I9" s="1" t="str">
        <f aca="false">IF($B9="","",IFERROR(INDEX('Employee Master'!$H$2:$H$159,MATCH($B9,'Employee Master'!$A$2:$A$159,0)),""))</f>
        <v>None</v>
      </c>
      <c r="J9" s="29" t="str">
        <f aca="false">IF($B9="","",IFERROR(INDEX('Qualification Matrix'!$C$2:$C$168,MATCH($B9,'Qualification Matrix'!$A$2:$A$168,0)),2))</f>
        <v>N</v>
      </c>
      <c r="K9" s="29" t="str">
        <f aca="false">IF($B9="","",IFERROR(INDEX('Qualification Matrix'!$D$2:$D$168,MATCH($B9,'Qualification Matrix'!$A$2:$A$168,0)),2))</f>
        <v>N</v>
      </c>
      <c r="L9" s="29" t="str">
        <f aca="false">IF($B9="","",IFERROR(INDEX('Qualification Matrix'!$E$2:$E$168,MATCH($B9,'Qualification Matrix'!$A$2:$A$168,0)),2))</f>
        <v>N</v>
      </c>
      <c r="M9" s="29" t="str">
        <f aca="false">IF($B9="","",IFERROR(INDEX('Qualification Matrix'!$F$2:$F$168,MATCH($B9,'Qualification Matrix'!$A$2:$A$168,0)),2))</f>
        <v>Y</v>
      </c>
      <c r="N9" s="29" t="str">
        <f aca="false">IF($B9="","",IF(AND($H9="Present",$F9&lt;&gt;"Y"),"Y","N"))</f>
        <v>Y</v>
      </c>
      <c r="O9" s="42"/>
      <c r="P9" s="29" t="n">
        <f aca="false">IF($B9="","",IFERROR(INDEX('Qualification Matrix'!$H$2:$H$168,MATCH($B9,'Qualification Matrix'!$A$2:$A$168,0)),""))</f>
        <v>2</v>
      </c>
      <c r="Q9" s="43" t="n">
        <f aca="false">IF($B9="","",SUMIFS('Rotation History'!$M$2:$M$1000,'Rotation History'!$B$2:$B$1000,$B9,'Rotation History'!$A$2:$A$1000,"&gt;="&amp;($B$2-30),'Rotation History'!$A$2:$A$1000,"&lt;"&amp;$B$2))</f>
        <v>0</v>
      </c>
      <c r="R9" s="43" t="n">
        <f aca="false">IF($B9="","",COUNTIFS('Rotation History'!$B$2:$B$1000,$B9,'Rotation History'!$M$2:$M$1000,"&gt;0",'Rotation History'!$A$2:$A$1000,"&gt;="&amp;($B$2-30),'Rotation History'!$A$2:$A$1000,"&lt;"&amp;$B$2))</f>
        <v>0</v>
      </c>
      <c r="S9" s="43" t="n">
        <f aca="false">IF($B9="","",IF(COUNTIFS('Rotation History'!$B$2:$B$1000,$B9,'Rotation History'!$A$2:$A$1000,$B$2-1,'Rotation History'!$M$2:$M$1000,"&gt;0")=0,0,1+IF(COUNTIFS('Rotation History'!$B$2:$B$1000,$B9,'Rotation History'!$A$2:$A$1000,$B$2-2,'Rotation History'!$M$2:$M$1000,"&gt;0")=0,0,1+IF(COUNTIFS('Rotation History'!$B$2:$B$1000,$B9,'Rotation History'!$A$2:$A$1000,$B$2-3,'Rotation History'!$M$2:$M$1000,"&gt;0")=0,0,1+IF(COUNTIFS('Rotation History'!$B$2:$B$1000,$B9,'Rotation History'!$A$2:$A$1000,$B$2-4,'Rotation History'!$M$2:$M$1000,"&gt;0")=0,0,1)))))</f>
        <v>0</v>
      </c>
      <c r="T9" s="43" t="n">
        <f aca="false">IF($B9="","",COUNTIFS('Rotation History'!$B$2:$B$1000,$B9,'Rotation History'!$K$2:$K$1000,"Opening",'Rotation History'!$A$2:$A$1000,"&gt;="&amp;($B$2-30),'Rotation History'!$A$2:$A$1000,"&lt;"&amp;$B$2))</f>
        <v>0</v>
      </c>
      <c r="U9" s="43" t="n">
        <f aca="false">IF($B9="","",COUNTIFS('Rotation History'!$B$2:$B$1000,$B9,'Rotation History'!$K$2:$K$1000,"Lunch Relief",'Rotation History'!$A$2:$A$1000,"&gt;="&amp;($B$2-30),'Rotation History'!$A$2:$A$1000,"&lt;"&amp;$B$2))</f>
        <v>0</v>
      </c>
      <c r="V9" s="44" t="n">
        <f aca="false">IF($B9="","",$Q9*10+$R9*2+$S9*20+$T9*3+$U9)</f>
        <v>0</v>
      </c>
    </row>
    <row r="10" customFormat="false" ht="14.25" hidden="false" customHeight="true" outlineLevel="0" collapsed="false">
      <c r="A10" s="40" t="n">
        <f aca="false">IF($B10="","",$B$2)</f>
        <v>46231</v>
      </c>
      <c r="B10" s="1" t="str">
        <f aca="false">IF($B$2="","",IFERROR(INDEX('Employee Master'!$A$2:$A$159,MATCH(ROWS($B$6:B10),Lists!$P$2:$P$159,0)),""))</f>
        <v>EMP-0044</v>
      </c>
      <c r="C10" s="1" t="str">
        <f aca="false">IF($B10="","",IFERROR(INDEX('Employee Master'!$B$2:$B$159,MATCH($B10,'Employee Master'!$A$2:$A$159,0)),""))</f>
        <v>Danielle Holmes</v>
      </c>
      <c r="D10" s="1" t="str">
        <f aca="false">IF($B10="","",IFERROR(INDEX('Employee Master'!$C$2:$C$159,MATCH($B10,'Employee Master'!$A$2:$A$159,0)),""))</f>
        <v>3:45 AM</v>
      </c>
      <c r="E10" s="1" t="str">
        <f aca="false">IF($B10="","",IFERROR(INDEX('Employee Master'!$I$2:$I$159,MATCH($B10,'Employee Master'!$A$2:$A$159,0)),""))</f>
        <v>AM</v>
      </c>
      <c r="F10" s="29" t="str">
        <f aca="false">IF($B10="","",IFERROR(INDEX('Employee Master'!$E$2:$E$159,MATCH($B10,'Employee Master'!$A$2:$A$159,0)),""))</f>
        <v>N</v>
      </c>
      <c r="G10" s="29" t="str">
        <f aca="false">IF($B10="","",IFERROR(INDEX('Employee Master'!$F$2:$F$159,MATCH($B10,'Employee Master'!$A$2:$A$159,0)),""))</f>
        <v>N</v>
      </c>
      <c r="H10" s="41" t="str">
        <f aca="false">IF($B10="","","Present")</f>
        <v>Present</v>
      </c>
      <c r="I10" s="1" t="str">
        <f aca="false">IF($B10="","",IFERROR(INDEX('Employee Master'!$H$2:$H$159,MATCH($B10,'Employee Master'!$A$2:$A$159,0)),""))</f>
        <v>None</v>
      </c>
      <c r="J10" s="29" t="str">
        <f aca="false">IF($B10="","",IFERROR(INDEX('Qualification Matrix'!$C$2:$C$168,MATCH($B10,'Qualification Matrix'!$A$2:$A$168,0)),2))</f>
        <v>N</v>
      </c>
      <c r="K10" s="29" t="str">
        <f aca="false">IF($B10="","",IFERROR(INDEX('Qualification Matrix'!$D$2:$D$168,MATCH($B10,'Qualification Matrix'!$A$2:$A$168,0)),2))</f>
        <v>N</v>
      </c>
      <c r="L10" s="29" t="str">
        <f aca="false">IF($B10="","",IFERROR(INDEX('Qualification Matrix'!$E$2:$E$168,MATCH($B10,'Qualification Matrix'!$A$2:$A$168,0)),2))</f>
        <v>N</v>
      </c>
      <c r="M10" s="29" t="str">
        <f aca="false">IF($B10="","",IFERROR(INDEX('Qualification Matrix'!$F$2:$F$168,MATCH($B10,'Qualification Matrix'!$A$2:$A$168,0)),2))</f>
        <v>Y</v>
      </c>
      <c r="N10" s="29" t="str">
        <f aca="false">IF($B10="","",IF(AND($H10="Present",$F10&lt;&gt;"Y"),"Y","N"))</f>
        <v>Y</v>
      </c>
      <c r="O10" s="42"/>
      <c r="P10" s="29" t="n">
        <f aca="false">IF($B10="","",IFERROR(INDEX('Qualification Matrix'!$H$2:$H$168,MATCH($B10,'Qualification Matrix'!$A$2:$A$168,0)),""))</f>
        <v>2</v>
      </c>
      <c r="Q10" s="43" t="n">
        <f aca="false">IF($B10="","",SUMIFS('Rotation History'!$M$2:$M$1000,'Rotation History'!$B$2:$B$1000,$B10,'Rotation History'!$A$2:$A$1000,"&gt;="&amp;($B$2-30),'Rotation History'!$A$2:$A$1000,"&lt;"&amp;$B$2))</f>
        <v>0</v>
      </c>
      <c r="R10" s="43" t="n">
        <f aca="false">IF($B10="","",COUNTIFS('Rotation History'!$B$2:$B$1000,$B10,'Rotation History'!$M$2:$M$1000,"&gt;0",'Rotation History'!$A$2:$A$1000,"&gt;="&amp;($B$2-30),'Rotation History'!$A$2:$A$1000,"&lt;"&amp;$B$2))</f>
        <v>0</v>
      </c>
      <c r="S10" s="43" t="n">
        <f aca="false">IF($B10="","",IF(COUNTIFS('Rotation History'!$B$2:$B$1000,$B10,'Rotation History'!$A$2:$A$1000,$B$2-1,'Rotation History'!$M$2:$M$1000,"&gt;0")=0,0,1+IF(COUNTIFS('Rotation History'!$B$2:$B$1000,$B10,'Rotation History'!$A$2:$A$1000,$B$2-2,'Rotation History'!$M$2:$M$1000,"&gt;0")=0,0,1+IF(COUNTIFS('Rotation History'!$B$2:$B$1000,$B10,'Rotation History'!$A$2:$A$1000,$B$2-3,'Rotation History'!$M$2:$M$1000,"&gt;0")=0,0,1+IF(COUNTIFS('Rotation History'!$B$2:$B$1000,$B10,'Rotation History'!$A$2:$A$1000,$B$2-4,'Rotation History'!$M$2:$M$1000,"&gt;0")=0,0,1)))))</f>
        <v>0</v>
      </c>
      <c r="T10" s="43" t="n">
        <f aca="false">IF($B10="","",COUNTIFS('Rotation History'!$B$2:$B$1000,$B10,'Rotation History'!$K$2:$K$1000,"Opening",'Rotation History'!$A$2:$A$1000,"&gt;="&amp;($B$2-30),'Rotation History'!$A$2:$A$1000,"&lt;"&amp;$B$2))</f>
        <v>0</v>
      </c>
      <c r="U10" s="43" t="n">
        <f aca="false">IF($B10="","",COUNTIFS('Rotation History'!$B$2:$B$1000,$B10,'Rotation History'!$K$2:$K$1000,"Lunch Relief",'Rotation History'!$A$2:$A$1000,"&gt;="&amp;($B$2-30),'Rotation History'!$A$2:$A$1000,"&lt;"&amp;$B$2))</f>
        <v>0</v>
      </c>
      <c r="V10" s="44" t="n">
        <f aca="false">IF($B10="","",$Q10*10+$R10*2+$S10*20+$T10*3+$U10)</f>
        <v>0</v>
      </c>
    </row>
    <row r="11" customFormat="false" ht="14.25" hidden="false" customHeight="true" outlineLevel="0" collapsed="false">
      <c r="A11" s="40" t="n">
        <f aca="false">IF($B11="","",$B$2)</f>
        <v>46231</v>
      </c>
      <c r="B11" s="1" t="str">
        <f aca="false">IF($B$2="","",IFERROR(INDEX('Employee Master'!$A$2:$A$159,MATCH(ROWS($B$6:B11),Lists!$P$2:$P$159,0)),""))</f>
        <v>EMP-0049</v>
      </c>
      <c r="C11" s="1" t="str">
        <f aca="false">IF($B11="","",IFERROR(INDEX('Employee Master'!$B$2:$B$159,MATCH($B11,'Employee Master'!$A$2:$A$159,0)),""))</f>
        <v>Demetrius Thomas</v>
      </c>
      <c r="D11" s="1" t="str">
        <f aca="false">IF($B11="","",IFERROR(INDEX('Employee Master'!$C$2:$C$159,MATCH($B11,'Employee Master'!$A$2:$A$159,0)),""))</f>
        <v>3:45 AM</v>
      </c>
      <c r="E11" s="1" t="str">
        <f aca="false">IF($B11="","",IFERROR(INDEX('Employee Master'!$I$2:$I$159,MATCH($B11,'Employee Master'!$A$2:$A$159,0)),""))</f>
        <v>AM</v>
      </c>
      <c r="F11" s="29" t="str">
        <f aca="false">IF($B11="","",IFERROR(INDEX('Employee Master'!$E$2:$E$159,MATCH($B11,'Employee Master'!$A$2:$A$159,0)),""))</f>
        <v>N</v>
      </c>
      <c r="G11" s="29" t="str">
        <f aca="false">IF($B11="","",IFERROR(INDEX('Employee Master'!$F$2:$F$159,MATCH($B11,'Employee Master'!$A$2:$A$159,0)),""))</f>
        <v>N</v>
      </c>
      <c r="H11" s="41" t="str">
        <f aca="false">IF($B11="","","Present")</f>
        <v>Present</v>
      </c>
      <c r="I11" s="1" t="str">
        <f aca="false">IF($B11="","",IFERROR(INDEX('Employee Master'!$H$2:$H$159,MATCH($B11,'Employee Master'!$A$2:$A$159,0)),""))</f>
        <v>None</v>
      </c>
      <c r="J11" s="29" t="str">
        <f aca="false">IF($B11="","",IFERROR(INDEX('Qualification Matrix'!$C$2:$C$168,MATCH($B11,'Qualification Matrix'!$A$2:$A$168,0)),2))</f>
        <v>N</v>
      </c>
      <c r="K11" s="29" t="str">
        <f aca="false">IF($B11="","",IFERROR(INDEX('Qualification Matrix'!$D$2:$D$168,MATCH($B11,'Qualification Matrix'!$A$2:$A$168,0)),2))</f>
        <v>N</v>
      </c>
      <c r="L11" s="29" t="str">
        <f aca="false">IF($B11="","",IFERROR(INDEX('Qualification Matrix'!$E$2:$E$168,MATCH($B11,'Qualification Matrix'!$A$2:$A$168,0)),2))</f>
        <v>N</v>
      </c>
      <c r="M11" s="29" t="str">
        <f aca="false">IF($B11="","",IFERROR(INDEX('Qualification Matrix'!$F$2:$F$168,MATCH($B11,'Qualification Matrix'!$A$2:$A$168,0)),2))</f>
        <v>Y</v>
      </c>
      <c r="N11" s="29" t="str">
        <f aca="false">IF($B11="","",IF(AND($H11="Present",$F11&lt;&gt;"Y"),"Y","N"))</f>
        <v>Y</v>
      </c>
      <c r="O11" s="42"/>
      <c r="P11" s="29" t="n">
        <f aca="false">IF($B11="","",IFERROR(INDEX('Qualification Matrix'!$H$2:$H$168,MATCH($B11,'Qualification Matrix'!$A$2:$A$168,0)),""))</f>
        <v>2</v>
      </c>
      <c r="Q11" s="43" t="n">
        <f aca="false">IF($B11="","",SUMIFS('Rotation History'!$M$2:$M$1000,'Rotation History'!$B$2:$B$1000,$B11,'Rotation History'!$A$2:$A$1000,"&gt;="&amp;($B$2-30),'Rotation History'!$A$2:$A$1000,"&lt;"&amp;$B$2))</f>
        <v>0</v>
      </c>
      <c r="R11" s="43" t="n">
        <f aca="false">IF($B11="","",COUNTIFS('Rotation History'!$B$2:$B$1000,$B11,'Rotation History'!$M$2:$M$1000,"&gt;0",'Rotation History'!$A$2:$A$1000,"&gt;="&amp;($B$2-30),'Rotation History'!$A$2:$A$1000,"&lt;"&amp;$B$2))</f>
        <v>0</v>
      </c>
      <c r="S11" s="43" t="n">
        <f aca="false">IF($B11="","",IF(COUNTIFS('Rotation History'!$B$2:$B$1000,$B11,'Rotation History'!$A$2:$A$1000,$B$2-1,'Rotation History'!$M$2:$M$1000,"&gt;0")=0,0,1+IF(COUNTIFS('Rotation History'!$B$2:$B$1000,$B11,'Rotation History'!$A$2:$A$1000,$B$2-2,'Rotation History'!$M$2:$M$1000,"&gt;0")=0,0,1+IF(COUNTIFS('Rotation History'!$B$2:$B$1000,$B11,'Rotation History'!$A$2:$A$1000,$B$2-3,'Rotation History'!$M$2:$M$1000,"&gt;0")=0,0,1+IF(COUNTIFS('Rotation History'!$B$2:$B$1000,$B11,'Rotation History'!$A$2:$A$1000,$B$2-4,'Rotation History'!$M$2:$M$1000,"&gt;0")=0,0,1)))))</f>
        <v>0</v>
      </c>
      <c r="T11" s="43" t="n">
        <f aca="false">IF($B11="","",COUNTIFS('Rotation History'!$B$2:$B$1000,$B11,'Rotation History'!$K$2:$K$1000,"Opening",'Rotation History'!$A$2:$A$1000,"&gt;="&amp;($B$2-30),'Rotation History'!$A$2:$A$1000,"&lt;"&amp;$B$2))</f>
        <v>0</v>
      </c>
      <c r="U11" s="43" t="n">
        <f aca="false">IF($B11="","",COUNTIFS('Rotation History'!$B$2:$B$1000,$B11,'Rotation History'!$K$2:$K$1000,"Lunch Relief",'Rotation History'!$A$2:$A$1000,"&gt;="&amp;($B$2-30),'Rotation History'!$A$2:$A$1000,"&lt;"&amp;$B$2))</f>
        <v>0</v>
      </c>
      <c r="V11" s="44" t="n">
        <f aca="false">IF($B11="","",$Q11*10+$R11*2+$S11*20+$T11*3+$U11)</f>
        <v>0</v>
      </c>
    </row>
    <row r="12" customFormat="false" ht="14.25" hidden="false" customHeight="true" outlineLevel="0" collapsed="false">
      <c r="A12" s="40" t="n">
        <f aca="false">IF($B12="","",$B$2)</f>
        <v>46231</v>
      </c>
      <c r="B12" s="1" t="str">
        <f aca="false">IF($B$2="","",IFERROR(INDEX('Employee Master'!$A$2:$A$159,MATCH(ROWS($B$6:B12),Lists!$P$2:$P$159,0)),""))</f>
        <v>EMP-0054</v>
      </c>
      <c r="C12" s="1" t="str">
        <f aca="false">IF($B12="","",IFERROR(INDEX('Employee Master'!$B$2:$B$159,MATCH($B12,'Employee Master'!$A$2:$A$159,0)),""))</f>
        <v>Diane Nails</v>
      </c>
      <c r="D12" s="1" t="str">
        <f aca="false">IF($B12="","",IFERROR(INDEX('Employee Master'!$C$2:$C$159,MATCH($B12,'Employee Master'!$A$2:$A$159,0)),""))</f>
        <v>3:45 AM</v>
      </c>
      <c r="E12" s="1" t="str">
        <f aca="false">IF($B12="","",IFERROR(INDEX('Employee Master'!$I$2:$I$159,MATCH($B12,'Employee Master'!$A$2:$A$159,0)),""))</f>
        <v>AM</v>
      </c>
      <c r="F12" s="29" t="str">
        <f aca="false">IF($B12="","",IFERROR(INDEX('Employee Master'!$E$2:$E$159,MATCH($B12,'Employee Master'!$A$2:$A$159,0)),""))</f>
        <v>N</v>
      </c>
      <c r="G12" s="29" t="str">
        <f aca="false">IF($B12="","",IFERROR(INDEX('Employee Master'!$F$2:$F$159,MATCH($B12,'Employee Master'!$A$2:$A$159,0)),""))</f>
        <v>N</v>
      </c>
      <c r="H12" s="41" t="str">
        <f aca="false">IF($B12="","","Present")</f>
        <v>Present</v>
      </c>
      <c r="I12" s="1" t="str">
        <f aca="false">IF($B12="","",IFERROR(INDEX('Employee Master'!$H$2:$H$159,MATCH($B12,'Employee Master'!$A$2:$A$159,0)),""))</f>
        <v>None</v>
      </c>
      <c r="J12" s="29" t="str">
        <f aca="false">IF($B12="","",IFERROR(INDEX('Qualification Matrix'!$C$2:$C$168,MATCH($B12,'Qualification Matrix'!$A$2:$A$168,0)),2))</f>
        <v>N</v>
      </c>
      <c r="K12" s="29" t="str">
        <f aca="false">IF($B12="","",IFERROR(INDEX('Qualification Matrix'!$D$2:$D$168,MATCH($B12,'Qualification Matrix'!$A$2:$A$168,0)),2))</f>
        <v>N</v>
      </c>
      <c r="L12" s="29" t="str">
        <f aca="false">IF($B12="","",IFERROR(INDEX('Qualification Matrix'!$E$2:$E$168,MATCH($B12,'Qualification Matrix'!$A$2:$A$168,0)),2))</f>
        <v>N</v>
      </c>
      <c r="M12" s="29" t="str">
        <f aca="false">IF($B12="","",IFERROR(INDEX('Qualification Matrix'!$F$2:$F$168,MATCH($B12,'Qualification Matrix'!$A$2:$A$168,0)),2))</f>
        <v>Y</v>
      </c>
      <c r="N12" s="29" t="str">
        <f aca="false">IF($B12="","",IF(AND($H12="Present",$F12&lt;&gt;"Y"),"Y","N"))</f>
        <v>Y</v>
      </c>
      <c r="O12" s="42"/>
      <c r="P12" s="29" t="n">
        <f aca="false">IF($B12="","",IFERROR(INDEX('Qualification Matrix'!$H$2:$H$168,MATCH($B12,'Qualification Matrix'!$A$2:$A$168,0)),""))</f>
        <v>2</v>
      </c>
      <c r="Q12" s="43" t="n">
        <f aca="false">IF($B12="","",SUMIFS('Rotation History'!$M$2:$M$1000,'Rotation History'!$B$2:$B$1000,$B12,'Rotation History'!$A$2:$A$1000,"&gt;="&amp;($B$2-30),'Rotation History'!$A$2:$A$1000,"&lt;"&amp;$B$2))</f>
        <v>0</v>
      </c>
      <c r="R12" s="43" t="n">
        <f aca="false">IF($B12="","",COUNTIFS('Rotation History'!$B$2:$B$1000,$B12,'Rotation History'!$M$2:$M$1000,"&gt;0",'Rotation History'!$A$2:$A$1000,"&gt;="&amp;($B$2-30),'Rotation History'!$A$2:$A$1000,"&lt;"&amp;$B$2))</f>
        <v>0</v>
      </c>
      <c r="S12" s="43" t="n">
        <f aca="false">IF($B12="","",IF(COUNTIFS('Rotation History'!$B$2:$B$1000,$B12,'Rotation History'!$A$2:$A$1000,$B$2-1,'Rotation History'!$M$2:$M$1000,"&gt;0")=0,0,1+IF(COUNTIFS('Rotation History'!$B$2:$B$1000,$B12,'Rotation History'!$A$2:$A$1000,$B$2-2,'Rotation History'!$M$2:$M$1000,"&gt;0")=0,0,1+IF(COUNTIFS('Rotation History'!$B$2:$B$1000,$B12,'Rotation History'!$A$2:$A$1000,$B$2-3,'Rotation History'!$M$2:$M$1000,"&gt;0")=0,0,1+IF(COUNTIFS('Rotation History'!$B$2:$B$1000,$B12,'Rotation History'!$A$2:$A$1000,$B$2-4,'Rotation History'!$M$2:$M$1000,"&gt;0")=0,0,1)))))</f>
        <v>0</v>
      </c>
      <c r="T12" s="43" t="n">
        <f aca="false">IF($B12="","",COUNTIFS('Rotation History'!$B$2:$B$1000,$B12,'Rotation History'!$K$2:$K$1000,"Opening",'Rotation History'!$A$2:$A$1000,"&gt;="&amp;($B$2-30),'Rotation History'!$A$2:$A$1000,"&lt;"&amp;$B$2))</f>
        <v>0</v>
      </c>
      <c r="U12" s="43" t="n">
        <f aca="false">IF($B12="","",COUNTIFS('Rotation History'!$B$2:$B$1000,$B12,'Rotation History'!$K$2:$K$1000,"Lunch Relief",'Rotation History'!$A$2:$A$1000,"&gt;="&amp;($B$2-30),'Rotation History'!$A$2:$A$1000,"&lt;"&amp;$B$2))</f>
        <v>0</v>
      </c>
      <c r="V12" s="44" t="n">
        <f aca="false">IF($B12="","",$Q12*10+$R12*2+$S12*20+$T12*3+$U12)</f>
        <v>0</v>
      </c>
    </row>
    <row r="13" customFormat="false" ht="14.25" hidden="false" customHeight="true" outlineLevel="0" collapsed="false">
      <c r="A13" s="40" t="n">
        <f aca="false">IF($B13="","",$B$2)</f>
        <v>46231</v>
      </c>
      <c r="B13" s="1" t="str">
        <f aca="false">IF($B$2="","",IFERROR(INDEX('Employee Master'!$A$2:$A$159,MATCH(ROWS($B$6:B13),Lists!$P$2:$P$159,0)),""))</f>
        <v>EMP-0059</v>
      </c>
      <c r="C13" s="1" t="str">
        <f aca="false">IF($B13="","",IFERROR(INDEX('Employee Master'!$B$2:$B$159,MATCH($B13,'Employee Master'!$A$2:$A$159,0)),""))</f>
        <v>Emonnie Dorsey</v>
      </c>
      <c r="D13" s="1" t="str">
        <f aca="false">IF($B13="","",IFERROR(INDEX('Employee Master'!$C$2:$C$159,MATCH($B13,'Employee Master'!$A$2:$A$159,0)),""))</f>
        <v>3:45 AM</v>
      </c>
      <c r="E13" s="1" t="str">
        <f aca="false">IF($B13="","",IFERROR(INDEX('Employee Master'!$I$2:$I$159,MATCH($B13,'Employee Master'!$A$2:$A$159,0)),""))</f>
        <v>AM</v>
      </c>
      <c r="F13" s="29" t="str">
        <f aca="false">IF($B13="","",IFERROR(INDEX('Employee Master'!$E$2:$E$159,MATCH($B13,'Employee Master'!$A$2:$A$159,0)),""))</f>
        <v>N</v>
      </c>
      <c r="G13" s="29" t="str">
        <f aca="false">IF($B13="","",IFERROR(INDEX('Employee Master'!$F$2:$F$159,MATCH($B13,'Employee Master'!$A$2:$A$159,0)),""))</f>
        <v>N</v>
      </c>
      <c r="H13" s="41" t="str">
        <f aca="false">IF($B13="","","Present")</f>
        <v>Present</v>
      </c>
      <c r="I13" s="1" t="str">
        <f aca="false">IF($B13="","",IFERROR(INDEX('Employee Master'!$H$2:$H$159,MATCH($B13,'Employee Master'!$A$2:$A$159,0)),""))</f>
        <v>None</v>
      </c>
      <c r="J13" s="29" t="str">
        <f aca="false">IF($B13="","",IFERROR(INDEX('Qualification Matrix'!$C$2:$C$168,MATCH($B13,'Qualification Matrix'!$A$2:$A$168,0)),2))</f>
        <v>N</v>
      </c>
      <c r="K13" s="29" t="str">
        <f aca="false">IF($B13="","",IFERROR(INDEX('Qualification Matrix'!$D$2:$D$168,MATCH($B13,'Qualification Matrix'!$A$2:$A$168,0)),2))</f>
        <v>N</v>
      </c>
      <c r="L13" s="29" t="str">
        <f aca="false">IF($B13="","",IFERROR(INDEX('Qualification Matrix'!$E$2:$E$168,MATCH($B13,'Qualification Matrix'!$A$2:$A$168,0)),2))</f>
        <v>N</v>
      </c>
      <c r="M13" s="29" t="str">
        <f aca="false">IF($B13="","",IFERROR(INDEX('Qualification Matrix'!$F$2:$F$168,MATCH($B13,'Qualification Matrix'!$A$2:$A$168,0)),2))</f>
        <v>Y</v>
      </c>
      <c r="N13" s="29" t="str">
        <f aca="false">IF($B13="","",IF(AND($H13="Present",$F13&lt;&gt;"Y"),"Y","N"))</f>
        <v>Y</v>
      </c>
      <c r="O13" s="42"/>
      <c r="P13" s="29" t="n">
        <f aca="false">IF($B13="","",IFERROR(INDEX('Qualification Matrix'!$H$2:$H$168,MATCH($B13,'Qualification Matrix'!$A$2:$A$168,0)),""))</f>
        <v>2</v>
      </c>
      <c r="Q13" s="43" t="n">
        <f aca="false">IF($B13="","",SUMIFS('Rotation History'!$M$2:$M$1000,'Rotation History'!$B$2:$B$1000,$B13,'Rotation History'!$A$2:$A$1000,"&gt;="&amp;($B$2-30),'Rotation History'!$A$2:$A$1000,"&lt;"&amp;$B$2))</f>
        <v>0</v>
      </c>
      <c r="R13" s="43" t="n">
        <f aca="false">IF($B13="","",COUNTIFS('Rotation History'!$B$2:$B$1000,$B13,'Rotation History'!$M$2:$M$1000,"&gt;0",'Rotation History'!$A$2:$A$1000,"&gt;="&amp;($B$2-30),'Rotation History'!$A$2:$A$1000,"&lt;"&amp;$B$2))</f>
        <v>0</v>
      </c>
      <c r="S13" s="43" t="n">
        <f aca="false">IF($B13="","",IF(COUNTIFS('Rotation History'!$B$2:$B$1000,$B13,'Rotation History'!$A$2:$A$1000,$B$2-1,'Rotation History'!$M$2:$M$1000,"&gt;0")=0,0,1+IF(COUNTIFS('Rotation History'!$B$2:$B$1000,$B13,'Rotation History'!$A$2:$A$1000,$B$2-2,'Rotation History'!$M$2:$M$1000,"&gt;0")=0,0,1+IF(COUNTIFS('Rotation History'!$B$2:$B$1000,$B13,'Rotation History'!$A$2:$A$1000,$B$2-3,'Rotation History'!$M$2:$M$1000,"&gt;0")=0,0,1+IF(COUNTIFS('Rotation History'!$B$2:$B$1000,$B13,'Rotation History'!$A$2:$A$1000,$B$2-4,'Rotation History'!$M$2:$M$1000,"&gt;0")=0,0,1)))))</f>
        <v>0</v>
      </c>
      <c r="T13" s="43" t="n">
        <f aca="false">IF($B13="","",COUNTIFS('Rotation History'!$B$2:$B$1000,$B13,'Rotation History'!$K$2:$K$1000,"Opening",'Rotation History'!$A$2:$A$1000,"&gt;="&amp;($B$2-30),'Rotation History'!$A$2:$A$1000,"&lt;"&amp;$B$2))</f>
        <v>0</v>
      </c>
      <c r="U13" s="43" t="n">
        <f aca="false">IF($B13="","",COUNTIFS('Rotation History'!$B$2:$B$1000,$B13,'Rotation History'!$K$2:$K$1000,"Lunch Relief",'Rotation History'!$A$2:$A$1000,"&gt;="&amp;($B$2-30),'Rotation History'!$A$2:$A$1000,"&lt;"&amp;$B$2))</f>
        <v>0</v>
      </c>
      <c r="V13" s="44" t="n">
        <f aca="false">IF($B13="","",$Q13*10+$R13*2+$S13*20+$T13*3+$U13)</f>
        <v>0</v>
      </c>
    </row>
    <row r="14" customFormat="false" ht="14.25" hidden="false" customHeight="true" outlineLevel="0" collapsed="false">
      <c r="A14" s="40" t="n">
        <f aca="false">IF($B14="","",$B$2)</f>
        <v>46231</v>
      </c>
      <c r="B14" s="1" t="str">
        <f aca="false">IF($B$2="","",IFERROR(INDEX('Employee Master'!$A$2:$A$159,MATCH(ROWS($B$6:B14),Lists!$P$2:$P$159,0)),""))</f>
        <v>EMP-0067</v>
      </c>
      <c r="C14" s="1" t="str">
        <f aca="false">IF($B14="","",IFERROR(INDEX('Employee Master'!$B$2:$B$159,MATCH($B14,'Employee Master'!$A$2:$A$159,0)),""))</f>
        <v>Haddyjatou Ndure</v>
      </c>
      <c r="D14" s="1" t="str">
        <f aca="false">IF($B14="","",IFERROR(INDEX('Employee Master'!$C$2:$C$159,MATCH($B14,'Employee Master'!$A$2:$A$159,0)),""))</f>
        <v>3:45 AM</v>
      </c>
      <c r="E14" s="1" t="str">
        <f aca="false">IF($B14="","",IFERROR(INDEX('Employee Master'!$I$2:$I$159,MATCH($B14,'Employee Master'!$A$2:$A$159,0)),""))</f>
        <v>AM</v>
      </c>
      <c r="F14" s="29" t="str">
        <f aca="false">IF($B14="","",IFERROR(INDEX('Employee Master'!$E$2:$E$159,MATCH($B14,'Employee Master'!$A$2:$A$159,0)),""))</f>
        <v>N</v>
      </c>
      <c r="G14" s="29" t="str">
        <f aca="false">IF($B14="","",IFERROR(INDEX('Employee Master'!$F$2:$F$159,MATCH($B14,'Employee Master'!$A$2:$A$159,0)),""))</f>
        <v>N</v>
      </c>
      <c r="H14" s="41" t="str">
        <f aca="false">IF($B14="","","Present")</f>
        <v>Present</v>
      </c>
      <c r="I14" s="1" t="str">
        <f aca="false">IF($B14="","",IFERROR(INDEX('Employee Master'!$H$2:$H$159,MATCH($B14,'Employee Master'!$A$2:$A$159,0)),""))</f>
        <v>None</v>
      </c>
      <c r="J14" s="29" t="str">
        <f aca="false">IF($B14="","",IFERROR(INDEX('Qualification Matrix'!$C$2:$C$168,MATCH($B14,'Qualification Matrix'!$A$2:$A$168,0)),2))</f>
        <v>N</v>
      </c>
      <c r="K14" s="29" t="str">
        <f aca="false">IF($B14="","",IFERROR(INDEX('Qualification Matrix'!$D$2:$D$168,MATCH($B14,'Qualification Matrix'!$A$2:$A$168,0)),2))</f>
        <v>N</v>
      </c>
      <c r="L14" s="29" t="str">
        <f aca="false">IF($B14="","",IFERROR(INDEX('Qualification Matrix'!$E$2:$E$168,MATCH($B14,'Qualification Matrix'!$A$2:$A$168,0)),2))</f>
        <v>N</v>
      </c>
      <c r="M14" s="29" t="str">
        <f aca="false">IF($B14="","",IFERROR(INDEX('Qualification Matrix'!$F$2:$F$168,MATCH($B14,'Qualification Matrix'!$A$2:$A$168,0)),2))</f>
        <v>Y</v>
      </c>
      <c r="N14" s="29" t="str">
        <f aca="false">IF($B14="","",IF(AND($H14="Present",$F14&lt;&gt;"Y"),"Y","N"))</f>
        <v>Y</v>
      </c>
      <c r="O14" s="42"/>
      <c r="P14" s="29" t="n">
        <f aca="false">IF($B14="","",IFERROR(INDEX('Qualification Matrix'!$H$2:$H$168,MATCH($B14,'Qualification Matrix'!$A$2:$A$168,0)),""))</f>
        <v>2</v>
      </c>
      <c r="Q14" s="43" t="n">
        <f aca="false">IF($B14="","",SUMIFS('Rotation History'!$M$2:$M$1000,'Rotation History'!$B$2:$B$1000,$B14,'Rotation History'!$A$2:$A$1000,"&gt;="&amp;($B$2-30),'Rotation History'!$A$2:$A$1000,"&lt;"&amp;$B$2))</f>
        <v>0</v>
      </c>
      <c r="R14" s="43" t="n">
        <f aca="false">IF($B14="","",COUNTIFS('Rotation History'!$B$2:$B$1000,$B14,'Rotation History'!$M$2:$M$1000,"&gt;0",'Rotation History'!$A$2:$A$1000,"&gt;="&amp;($B$2-30),'Rotation History'!$A$2:$A$1000,"&lt;"&amp;$B$2))</f>
        <v>0</v>
      </c>
      <c r="S14" s="43" t="n">
        <f aca="false">IF($B14="","",IF(COUNTIFS('Rotation History'!$B$2:$B$1000,$B14,'Rotation History'!$A$2:$A$1000,$B$2-1,'Rotation History'!$M$2:$M$1000,"&gt;0")=0,0,1+IF(COUNTIFS('Rotation History'!$B$2:$B$1000,$B14,'Rotation History'!$A$2:$A$1000,$B$2-2,'Rotation History'!$M$2:$M$1000,"&gt;0")=0,0,1+IF(COUNTIFS('Rotation History'!$B$2:$B$1000,$B14,'Rotation History'!$A$2:$A$1000,$B$2-3,'Rotation History'!$M$2:$M$1000,"&gt;0")=0,0,1+IF(COUNTIFS('Rotation History'!$B$2:$B$1000,$B14,'Rotation History'!$A$2:$A$1000,$B$2-4,'Rotation History'!$M$2:$M$1000,"&gt;0")=0,0,1)))))</f>
        <v>0</v>
      </c>
      <c r="T14" s="43" t="n">
        <f aca="false">IF($B14="","",COUNTIFS('Rotation History'!$B$2:$B$1000,$B14,'Rotation History'!$K$2:$K$1000,"Opening",'Rotation History'!$A$2:$A$1000,"&gt;="&amp;($B$2-30),'Rotation History'!$A$2:$A$1000,"&lt;"&amp;$B$2))</f>
        <v>0</v>
      </c>
      <c r="U14" s="43" t="n">
        <f aca="false">IF($B14="","",COUNTIFS('Rotation History'!$B$2:$B$1000,$B14,'Rotation History'!$K$2:$K$1000,"Lunch Relief",'Rotation History'!$A$2:$A$1000,"&gt;="&amp;($B$2-30),'Rotation History'!$A$2:$A$1000,"&lt;"&amp;$B$2))</f>
        <v>0</v>
      </c>
      <c r="V14" s="44" t="n">
        <f aca="false">IF($B14="","",$Q14*10+$R14*2+$S14*20+$T14*3+$U14)</f>
        <v>0</v>
      </c>
    </row>
    <row r="15" customFormat="false" ht="14.25" hidden="false" customHeight="true" outlineLevel="0" collapsed="false">
      <c r="A15" s="40" t="n">
        <f aca="false">IF($B15="","",$B$2)</f>
        <v>46231</v>
      </c>
      <c r="B15" s="1" t="str">
        <f aca="false">IF($B$2="","",IFERROR(INDEX('Employee Master'!$A$2:$A$159,MATCH(ROWS($B$6:B15),Lists!$P$2:$P$159,0)),""))</f>
        <v>EMP-0081</v>
      </c>
      <c r="C15" s="1" t="str">
        <f aca="false">IF($B15="","",IFERROR(INDEX('Employee Master'!$B$2:$B$159,MATCH($B15,'Employee Master'!$A$2:$A$159,0)),""))</f>
        <v>Keera Moore</v>
      </c>
      <c r="D15" s="1" t="str">
        <f aca="false">IF($B15="","",IFERROR(INDEX('Employee Master'!$C$2:$C$159,MATCH($B15,'Employee Master'!$A$2:$A$159,0)),""))</f>
        <v>3:45 AM</v>
      </c>
      <c r="E15" s="1" t="str">
        <f aca="false">IF($B15="","",IFERROR(INDEX('Employee Master'!$I$2:$I$159,MATCH($B15,'Employee Master'!$A$2:$A$159,0)),""))</f>
        <v>AM</v>
      </c>
      <c r="F15" s="29" t="str">
        <f aca="false">IF($B15="","",IFERROR(INDEX('Employee Master'!$E$2:$E$159,MATCH($B15,'Employee Master'!$A$2:$A$159,0)),""))</f>
        <v>Y</v>
      </c>
      <c r="G15" s="29" t="str">
        <f aca="false">IF($B15="","",IFERROR(INDEX('Employee Master'!$F$2:$F$159,MATCH($B15,'Employee Master'!$A$2:$A$159,0)),""))</f>
        <v>N</v>
      </c>
      <c r="H15" s="41" t="str">
        <f aca="false">IF($B15="","","Present")</f>
        <v>Present</v>
      </c>
      <c r="I15" s="1" t="str">
        <f aca="false">IF($B15="","",IFERROR(INDEX('Employee Master'!$H$2:$H$159,MATCH($B15,'Employee Master'!$A$2:$A$159,0)),""))</f>
        <v>None</v>
      </c>
      <c r="J15" s="29" t="str">
        <f aca="false">IF($B15="","",IFERROR(INDEX('Qualification Matrix'!$C$2:$C$168,MATCH($B15,'Qualification Matrix'!$A$2:$A$168,0)),2))</f>
        <v>N</v>
      </c>
      <c r="K15" s="29" t="str">
        <f aca="false">IF($B15="","",IFERROR(INDEX('Qualification Matrix'!$D$2:$D$168,MATCH($B15,'Qualification Matrix'!$A$2:$A$168,0)),2))</f>
        <v>N</v>
      </c>
      <c r="L15" s="29" t="str">
        <f aca="false">IF($B15="","",IFERROR(INDEX('Qualification Matrix'!$E$2:$E$168,MATCH($B15,'Qualification Matrix'!$A$2:$A$168,0)),2))</f>
        <v>N</v>
      </c>
      <c r="M15" s="29" t="str">
        <f aca="false">IF($B15="","",IFERROR(INDEX('Qualification Matrix'!$F$2:$F$168,MATCH($B15,'Qualification Matrix'!$A$2:$A$168,0)),2))</f>
        <v>Y</v>
      </c>
      <c r="N15" s="29" t="str">
        <f aca="false">IF($B15="","",IF(AND($H15="Present",$F15&lt;&gt;"Y"),"Y","N"))</f>
        <v>N</v>
      </c>
      <c r="O15" s="42"/>
      <c r="P15" s="29" t="n">
        <f aca="false">IF($B15="","",IFERROR(INDEX('Qualification Matrix'!$H$2:$H$168,MATCH($B15,'Qualification Matrix'!$A$2:$A$168,0)),""))</f>
        <v>2</v>
      </c>
      <c r="Q15" s="43" t="n">
        <f aca="false">IF($B15="","",SUMIFS('Rotation History'!$M$2:$M$1000,'Rotation History'!$B$2:$B$1000,$B15,'Rotation History'!$A$2:$A$1000,"&gt;="&amp;($B$2-30),'Rotation History'!$A$2:$A$1000,"&lt;"&amp;$B$2))</f>
        <v>0</v>
      </c>
      <c r="R15" s="43" t="n">
        <f aca="false">IF($B15="","",COUNTIFS('Rotation History'!$B$2:$B$1000,$B15,'Rotation History'!$M$2:$M$1000,"&gt;0",'Rotation History'!$A$2:$A$1000,"&gt;="&amp;($B$2-30),'Rotation History'!$A$2:$A$1000,"&lt;"&amp;$B$2))</f>
        <v>0</v>
      </c>
      <c r="S15" s="43" t="n">
        <f aca="false">IF($B15="","",IF(COUNTIFS('Rotation History'!$B$2:$B$1000,$B15,'Rotation History'!$A$2:$A$1000,$B$2-1,'Rotation History'!$M$2:$M$1000,"&gt;0")=0,0,1+IF(COUNTIFS('Rotation History'!$B$2:$B$1000,$B15,'Rotation History'!$A$2:$A$1000,$B$2-2,'Rotation History'!$M$2:$M$1000,"&gt;0")=0,0,1+IF(COUNTIFS('Rotation History'!$B$2:$B$1000,$B15,'Rotation History'!$A$2:$A$1000,$B$2-3,'Rotation History'!$M$2:$M$1000,"&gt;0")=0,0,1+IF(COUNTIFS('Rotation History'!$B$2:$B$1000,$B15,'Rotation History'!$A$2:$A$1000,$B$2-4,'Rotation History'!$M$2:$M$1000,"&gt;0")=0,0,1)))))</f>
        <v>0</v>
      </c>
      <c r="T15" s="43" t="n">
        <f aca="false">IF($B15="","",COUNTIFS('Rotation History'!$B$2:$B$1000,$B15,'Rotation History'!$K$2:$K$1000,"Opening",'Rotation History'!$A$2:$A$1000,"&gt;="&amp;($B$2-30),'Rotation History'!$A$2:$A$1000,"&lt;"&amp;$B$2))</f>
        <v>0</v>
      </c>
      <c r="U15" s="43" t="n">
        <f aca="false">IF($B15="","",COUNTIFS('Rotation History'!$B$2:$B$1000,$B15,'Rotation History'!$K$2:$K$1000,"Lunch Relief",'Rotation History'!$A$2:$A$1000,"&gt;="&amp;($B$2-30),'Rotation History'!$A$2:$A$1000,"&lt;"&amp;$B$2))</f>
        <v>0</v>
      </c>
      <c r="V15" s="44" t="n">
        <f aca="false">IF($B15="","",$Q15*10+$R15*2+$S15*20+$T15*3+$U15)</f>
        <v>0</v>
      </c>
    </row>
    <row r="16" customFormat="false" ht="14.25" hidden="false" customHeight="true" outlineLevel="0" collapsed="false">
      <c r="A16" s="40" t="n">
        <f aca="false">IF($B16="","",$B$2)</f>
        <v>46231</v>
      </c>
      <c r="B16" s="1" t="str">
        <f aca="false">IF($B$2="","",IFERROR(INDEX('Employee Master'!$A$2:$A$159,MATCH(ROWS($B$6:B16),Lists!$P$2:$P$159,0)),""))</f>
        <v>EMP-0082</v>
      </c>
      <c r="C16" s="1" t="str">
        <f aca="false">IF($B16="","",IFERROR(INDEX('Employee Master'!$B$2:$B$159,MATCH($B16,'Employee Master'!$A$2:$A$159,0)),""))</f>
        <v>Kelon Arnold</v>
      </c>
      <c r="D16" s="1" t="str">
        <f aca="false">IF($B16="","",IFERROR(INDEX('Employee Master'!$C$2:$C$159,MATCH($B16,'Employee Master'!$A$2:$A$159,0)),""))</f>
        <v>3:45 AM</v>
      </c>
      <c r="E16" s="1" t="str">
        <f aca="false">IF($B16="","",IFERROR(INDEX('Employee Master'!$I$2:$I$159,MATCH($B16,'Employee Master'!$A$2:$A$159,0)),""))</f>
        <v>AM</v>
      </c>
      <c r="F16" s="29" t="str">
        <f aca="false">IF($B16="","",IFERROR(INDEX('Employee Master'!$E$2:$E$159,MATCH($B16,'Employee Master'!$A$2:$A$159,0)),""))</f>
        <v>N</v>
      </c>
      <c r="G16" s="29" t="str">
        <f aca="false">IF($B16="","",IFERROR(INDEX('Employee Master'!$F$2:$F$159,MATCH($B16,'Employee Master'!$A$2:$A$159,0)),""))</f>
        <v>N</v>
      </c>
      <c r="H16" s="41" t="str">
        <f aca="false">IF($B16="","","Present")</f>
        <v>Present</v>
      </c>
      <c r="I16" s="1" t="str">
        <f aca="false">IF($B16="","",IFERROR(INDEX('Employee Master'!$H$2:$H$159,MATCH($B16,'Employee Master'!$A$2:$A$159,0)),""))</f>
        <v>None</v>
      </c>
      <c r="J16" s="29" t="str">
        <f aca="false">IF($B16="","",IFERROR(INDEX('Qualification Matrix'!$C$2:$C$168,MATCH($B16,'Qualification Matrix'!$A$2:$A$168,0)),2))</f>
        <v>N</v>
      </c>
      <c r="K16" s="29" t="str">
        <f aca="false">IF($B16="","",IFERROR(INDEX('Qualification Matrix'!$D$2:$D$168,MATCH($B16,'Qualification Matrix'!$A$2:$A$168,0)),2))</f>
        <v>N</v>
      </c>
      <c r="L16" s="29" t="str">
        <f aca="false">IF($B16="","",IFERROR(INDEX('Qualification Matrix'!$E$2:$E$168,MATCH($B16,'Qualification Matrix'!$A$2:$A$168,0)),2))</f>
        <v>N</v>
      </c>
      <c r="M16" s="29" t="str">
        <f aca="false">IF($B16="","",IFERROR(INDEX('Qualification Matrix'!$F$2:$F$168,MATCH($B16,'Qualification Matrix'!$A$2:$A$168,0)),2))</f>
        <v>Y</v>
      </c>
      <c r="N16" s="29" t="str">
        <f aca="false">IF($B16="","",IF(AND($H16="Present",$F16&lt;&gt;"Y"),"Y","N"))</f>
        <v>Y</v>
      </c>
      <c r="O16" s="42"/>
      <c r="P16" s="29" t="n">
        <f aca="false">IF($B16="","",IFERROR(INDEX('Qualification Matrix'!$H$2:$H$168,MATCH($B16,'Qualification Matrix'!$A$2:$A$168,0)),""))</f>
        <v>2</v>
      </c>
      <c r="Q16" s="43" t="n">
        <f aca="false">IF($B16="","",SUMIFS('Rotation History'!$M$2:$M$1000,'Rotation History'!$B$2:$B$1000,$B16,'Rotation History'!$A$2:$A$1000,"&gt;="&amp;($B$2-30),'Rotation History'!$A$2:$A$1000,"&lt;"&amp;$B$2))</f>
        <v>0</v>
      </c>
      <c r="R16" s="43" t="n">
        <f aca="false">IF($B16="","",COUNTIFS('Rotation History'!$B$2:$B$1000,$B16,'Rotation History'!$M$2:$M$1000,"&gt;0",'Rotation History'!$A$2:$A$1000,"&gt;="&amp;($B$2-30),'Rotation History'!$A$2:$A$1000,"&lt;"&amp;$B$2))</f>
        <v>0</v>
      </c>
      <c r="S16" s="43" t="n">
        <f aca="false">IF($B16="","",IF(COUNTIFS('Rotation History'!$B$2:$B$1000,$B16,'Rotation History'!$A$2:$A$1000,$B$2-1,'Rotation History'!$M$2:$M$1000,"&gt;0")=0,0,1+IF(COUNTIFS('Rotation History'!$B$2:$B$1000,$B16,'Rotation History'!$A$2:$A$1000,$B$2-2,'Rotation History'!$M$2:$M$1000,"&gt;0")=0,0,1+IF(COUNTIFS('Rotation History'!$B$2:$B$1000,$B16,'Rotation History'!$A$2:$A$1000,$B$2-3,'Rotation History'!$M$2:$M$1000,"&gt;0")=0,0,1+IF(COUNTIFS('Rotation History'!$B$2:$B$1000,$B16,'Rotation History'!$A$2:$A$1000,$B$2-4,'Rotation History'!$M$2:$M$1000,"&gt;0")=0,0,1)))))</f>
        <v>0</v>
      </c>
      <c r="T16" s="43" t="n">
        <f aca="false">IF($B16="","",COUNTIFS('Rotation History'!$B$2:$B$1000,$B16,'Rotation History'!$K$2:$K$1000,"Opening",'Rotation History'!$A$2:$A$1000,"&gt;="&amp;($B$2-30),'Rotation History'!$A$2:$A$1000,"&lt;"&amp;$B$2))</f>
        <v>0</v>
      </c>
      <c r="U16" s="43" t="n">
        <f aca="false">IF($B16="","",COUNTIFS('Rotation History'!$B$2:$B$1000,$B16,'Rotation History'!$K$2:$K$1000,"Lunch Relief",'Rotation History'!$A$2:$A$1000,"&gt;="&amp;($B$2-30),'Rotation History'!$A$2:$A$1000,"&lt;"&amp;$B$2))</f>
        <v>0</v>
      </c>
      <c r="V16" s="44" t="n">
        <f aca="false">IF($B16="","",$Q16*10+$R16*2+$S16*20+$T16*3+$U16)</f>
        <v>0</v>
      </c>
    </row>
    <row r="17" customFormat="false" ht="14.25" hidden="false" customHeight="true" outlineLevel="0" collapsed="false">
      <c r="A17" s="40" t="n">
        <f aca="false">IF($B17="","",$B$2)</f>
        <v>46231</v>
      </c>
      <c r="B17" s="1" t="str">
        <f aca="false">IF($B$2="","",IFERROR(INDEX('Employee Master'!$A$2:$A$159,MATCH(ROWS($B$6:B17),Lists!$P$2:$P$159,0)),""))</f>
        <v>EMP-0087</v>
      </c>
      <c r="C17" s="1" t="str">
        <f aca="false">IF($B17="","",IFERROR(INDEX('Employee Master'!$B$2:$B$159,MATCH($B17,'Employee Master'!$A$2:$A$159,0)),""))</f>
        <v>Kimberly Morrison</v>
      </c>
      <c r="D17" s="1" t="str">
        <f aca="false">IF($B17="","",IFERROR(INDEX('Employee Master'!$C$2:$C$159,MATCH($B17,'Employee Master'!$A$2:$A$159,0)),""))</f>
        <v>3:45 AM</v>
      </c>
      <c r="E17" s="1" t="str">
        <f aca="false">IF($B17="","",IFERROR(INDEX('Employee Master'!$I$2:$I$159,MATCH($B17,'Employee Master'!$A$2:$A$159,0)),""))</f>
        <v>AM</v>
      </c>
      <c r="F17" s="29" t="str">
        <f aca="false">IF($B17="","",IFERROR(INDEX('Employee Master'!$E$2:$E$159,MATCH($B17,'Employee Master'!$A$2:$A$159,0)),""))</f>
        <v>N</v>
      </c>
      <c r="G17" s="29" t="str">
        <f aca="false">IF($B17="","",IFERROR(INDEX('Employee Master'!$F$2:$F$159,MATCH($B17,'Employee Master'!$A$2:$A$159,0)),""))</f>
        <v>N</v>
      </c>
      <c r="H17" s="41" t="str">
        <f aca="false">IF($B17="","","Present")</f>
        <v>Present</v>
      </c>
      <c r="I17" s="1" t="str">
        <f aca="false">IF($B17="","",IFERROR(INDEX('Employee Master'!$H$2:$H$159,MATCH($B17,'Employee Master'!$A$2:$A$159,0)),""))</f>
        <v>None</v>
      </c>
      <c r="J17" s="29" t="str">
        <f aca="false">IF($B17="","",IFERROR(INDEX('Qualification Matrix'!$C$2:$C$168,MATCH($B17,'Qualification Matrix'!$A$2:$A$168,0)),2))</f>
        <v>N</v>
      </c>
      <c r="K17" s="29" t="str">
        <f aca="false">IF($B17="","",IFERROR(INDEX('Qualification Matrix'!$D$2:$D$168,MATCH($B17,'Qualification Matrix'!$A$2:$A$168,0)),2))</f>
        <v>N</v>
      </c>
      <c r="L17" s="29" t="str">
        <f aca="false">IF($B17="","",IFERROR(INDEX('Qualification Matrix'!$E$2:$E$168,MATCH($B17,'Qualification Matrix'!$A$2:$A$168,0)),2))</f>
        <v>N</v>
      </c>
      <c r="M17" s="29" t="str">
        <f aca="false">IF($B17="","",IFERROR(INDEX('Qualification Matrix'!$F$2:$F$168,MATCH($B17,'Qualification Matrix'!$A$2:$A$168,0)),2))</f>
        <v>Y</v>
      </c>
      <c r="N17" s="29" t="str">
        <f aca="false">IF($B17="","",IF(AND($H17="Present",$F17&lt;&gt;"Y"),"Y","N"))</f>
        <v>Y</v>
      </c>
      <c r="O17" s="42"/>
      <c r="P17" s="29" t="n">
        <f aca="false">IF($B17="","",IFERROR(INDEX('Qualification Matrix'!$H$2:$H$168,MATCH($B17,'Qualification Matrix'!$A$2:$A$168,0)),""))</f>
        <v>2</v>
      </c>
      <c r="Q17" s="43" t="n">
        <f aca="false">IF($B17="","",SUMIFS('Rotation History'!$M$2:$M$1000,'Rotation History'!$B$2:$B$1000,$B17,'Rotation History'!$A$2:$A$1000,"&gt;="&amp;($B$2-30),'Rotation History'!$A$2:$A$1000,"&lt;"&amp;$B$2))</f>
        <v>0</v>
      </c>
      <c r="R17" s="43" t="n">
        <f aca="false">IF($B17="","",COUNTIFS('Rotation History'!$B$2:$B$1000,$B17,'Rotation History'!$M$2:$M$1000,"&gt;0",'Rotation History'!$A$2:$A$1000,"&gt;="&amp;($B$2-30),'Rotation History'!$A$2:$A$1000,"&lt;"&amp;$B$2))</f>
        <v>0</v>
      </c>
      <c r="S17" s="43" t="n">
        <f aca="false">IF($B17="","",IF(COUNTIFS('Rotation History'!$B$2:$B$1000,$B17,'Rotation History'!$A$2:$A$1000,$B$2-1,'Rotation History'!$M$2:$M$1000,"&gt;0")=0,0,1+IF(COUNTIFS('Rotation History'!$B$2:$B$1000,$B17,'Rotation History'!$A$2:$A$1000,$B$2-2,'Rotation History'!$M$2:$M$1000,"&gt;0")=0,0,1+IF(COUNTIFS('Rotation History'!$B$2:$B$1000,$B17,'Rotation History'!$A$2:$A$1000,$B$2-3,'Rotation History'!$M$2:$M$1000,"&gt;0")=0,0,1+IF(COUNTIFS('Rotation History'!$B$2:$B$1000,$B17,'Rotation History'!$A$2:$A$1000,$B$2-4,'Rotation History'!$M$2:$M$1000,"&gt;0")=0,0,1)))))</f>
        <v>0</v>
      </c>
      <c r="T17" s="43" t="n">
        <f aca="false">IF($B17="","",COUNTIFS('Rotation History'!$B$2:$B$1000,$B17,'Rotation History'!$K$2:$K$1000,"Opening",'Rotation History'!$A$2:$A$1000,"&gt;="&amp;($B$2-30),'Rotation History'!$A$2:$A$1000,"&lt;"&amp;$B$2))</f>
        <v>0</v>
      </c>
      <c r="U17" s="43" t="n">
        <f aca="false">IF($B17="","",COUNTIFS('Rotation History'!$B$2:$B$1000,$B17,'Rotation History'!$K$2:$K$1000,"Lunch Relief",'Rotation History'!$A$2:$A$1000,"&gt;="&amp;($B$2-30),'Rotation History'!$A$2:$A$1000,"&lt;"&amp;$B$2))</f>
        <v>0</v>
      </c>
      <c r="V17" s="44" t="n">
        <f aca="false">IF($B17="","",$Q17*10+$R17*2+$S17*20+$T17*3+$U17)</f>
        <v>0</v>
      </c>
    </row>
    <row r="18" customFormat="false" ht="14.25" hidden="false" customHeight="true" outlineLevel="0" collapsed="false">
      <c r="A18" s="40" t="n">
        <f aca="false">IF($B18="","",$B$2)</f>
        <v>46231</v>
      </c>
      <c r="B18" s="1" t="str">
        <f aca="false">IF($B$2="","",IFERROR(INDEX('Employee Master'!$A$2:$A$159,MATCH(ROWS($B$6:B18),Lists!$P$2:$P$159,0)),""))</f>
        <v>EMP-0091</v>
      </c>
      <c r="C18" s="1" t="str">
        <f aca="false">IF($B18="","",IFERROR(INDEX('Employee Master'!$B$2:$B$159,MATCH($B18,'Employee Master'!$A$2:$A$159,0)),""))</f>
        <v>Larry Fuller</v>
      </c>
      <c r="D18" s="1" t="str">
        <f aca="false">IF($B18="","",IFERROR(INDEX('Employee Master'!$C$2:$C$159,MATCH($B18,'Employee Master'!$A$2:$A$159,0)),""))</f>
        <v>3:45 AM</v>
      </c>
      <c r="E18" s="1" t="str">
        <f aca="false">IF($B18="","",IFERROR(INDEX('Employee Master'!$I$2:$I$159,MATCH($B18,'Employee Master'!$A$2:$A$159,0)),""))</f>
        <v>AM</v>
      </c>
      <c r="F18" s="29" t="str">
        <f aca="false">IF($B18="","",IFERROR(INDEX('Employee Master'!$E$2:$E$159,MATCH($B18,'Employee Master'!$A$2:$A$159,0)),""))</f>
        <v>N</v>
      </c>
      <c r="G18" s="29" t="str">
        <f aca="false">IF($B18="","",IFERROR(INDEX('Employee Master'!$F$2:$F$159,MATCH($B18,'Employee Master'!$A$2:$A$159,0)),""))</f>
        <v>N</v>
      </c>
      <c r="H18" s="41" t="str">
        <f aca="false">IF($B18="","","Present")</f>
        <v>Present</v>
      </c>
      <c r="I18" s="1" t="str">
        <f aca="false">IF($B18="","",IFERROR(INDEX('Employee Master'!$H$2:$H$159,MATCH($B18,'Employee Master'!$A$2:$A$159,0)),""))</f>
        <v>None</v>
      </c>
      <c r="J18" s="29" t="str">
        <f aca="false">IF($B18="","",IFERROR(INDEX('Qualification Matrix'!$C$2:$C$168,MATCH($B18,'Qualification Matrix'!$A$2:$A$168,0)),2))</f>
        <v>N</v>
      </c>
      <c r="K18" s="29" t="str">
        <f aca="false">IF($B18="","",IFERROR(INDEX('Qualification Matrix'!$D$2:$D$168,MATCH($B18,'Qualification Matrix'!$A$2:$A$168,0)),2))</f>
        <v>N</v>
      </c>
      <c r="L18" s="29" t="str">
        <f aca="false">IF($B18="","",IFERROR(INDEX('Qualification Matrix'!$E$2:$E$168,MATCH($B18,'Qualification Matrix'!$A$2:$A$168,0)),2))</f>
        <v>N</v>
      </c>
      <c r="M18" s="29" t="str">
        <f aca="false">IF($B18="","",IFERROR(INDEX('Qualification Matrix'!$F$2:$F$168,MATCH($B18,'Qualification Matrix'!$A$2:$A$168,0)),2))</f>
        <v>Y</v>
      </c>
      <c r="N18" s="29" t="str">
        <f aca="false">IF($B18="","",IF(AND($H18="Present",$F18&lt;&gt;"Y"),"Y","N"))</f>
        <v>Y</v>
      </c>
      <c r="O18" s="42"/>
      <c r="P18" s="29" t="n">
        <f aca="false">IF($B18="","",IFERROR(INDEX('Qualification Matrix'!$H$2:$H$168,MATCH($B18,'Qualification Matrix'!$A$2:$A$168,0)),""))</f>
        <v>2</v>
      </c>
      <c r="Q18" s="43" t="n">
        <f aca="false">IF($B18="","",SUMIFS('Rotation History'!$M$2:$M$1000,'Rotation History'!$B$2:$B$1000,$B18,'Rotation History'!$A$2:$A$1000,"&gt;="&amp;($B$2-30),'Rotation History'!$A$2:$A$1000,"&lt;"&amp;$B$2))</f>
        <v>0</v>
      </c>
      <c r="R18" s="43" t="n">
        <f aca="false">IF($B18="","",COUNTIFS('Rotation History'!$B$2:$B$1000,$B18,'Rotation History'!$M$2:$M$1000,"&gt;0",'Rotation History'!$A$2:$A$1000,"&gt;="&amp;($B$2-30),'Rotation History'!$A$2:$A$1000,"&lt;"&amp;$B$2))</f>
        <v>0</v>
      </c>
      <c r="S18" s="43" t="n">
        <f aca="false">IF($B18="","",IF(COUNTIFS('Rotation History'!$B$2:$B$1000,$B18,'Rotation History'!$A$2:$A$1000,$B$2-1,'Rotation History'!$M$2:$M$1000,"&gt;0")=0,0,1+IF(COUNTIFS('Rotation History'!$B$2:$B$1000,$B18,'Rotation History'!$A$2:$A$1000,$B$2-2,'Rotation History'!$M$2:$M$1000,"&gt;0")=0,0,1+IF(COUNTIFS('Rotation History'!$B$2:$B$1000,$B18,'Rotation History'!$A$2:$A$1000,$B$2-3,'Rotation History'!$M$2:$M$1000,"&gt;0")=0,0,1+IF(COUNTIFS('Rotation History'!$B$2:$B$1000,$B18,'Rotation History'!$A$2:$A$1000,$B$2-4,'Rotation History'!$M$2:$M$1000,"&gt;0")=0,0,1)))))</f>
        <v>0</v>
      </c>
      <c r="T18" s="43" t="n">
        <f aca="false">IF($B18="","",COUNTIFS('Rotation History'!$B$2:$B$1000,$B18,'Rotation History'!$K$2:$K$1000,"Opening",'Rotation History'!$A$2:$A$1000,"&gt;="&amp;($B$2-30),'Rotation History'!$A$2:$A$1000,"&lt;"&amp;$B$2))</f>
        <v>0</v>
      </c>
      <c r="U18" s="43" t="n">
        <f aca="false">IF($B18="","",COUNTIFS('Rotation History'!$B$2:$B$1000,$B18,'Rotation History'!$K$2:$K$1000,"Lunch Relief",'Rotation History'!$A$2:$A$1000,"&gt;="&amp;($B$2-30),'Rotation History'!$A$2:$A$1000,"&lt;"&amp;$B$2))</f>
        <v>0</v>
      </c>
      <c r="V18" s="44" t="n">
        <f aca="false">IF($B18="","",$Q18*10+$R18*2+$S18*20+$T18*3+$U18)</f>
        <v>0</v>
      </c>
    </row>
    <row r="19" customFormat="false" ht="14.25" hidden="false" customHeight="true" outlineLevel="0" collapsed="false">
      <c r="A19" s="40" t="n">
        <f aca="false">IF($B19="","",$B$2)</f>
        <v>46231</v>
      </c>
      <c r="B19" s="1" t="str">
        <f aca="false">IF($B$2="","",IFERROR(INDEX('Employee Master'!$A$2:$A$159,MATCH(ROWS($B$6:B19),Lists!$P$2:$P$159,0)),""))</f>
        <v>EMP-0094</v>
      </c>
      <c r="C19" s="1" t="str">
        <f aca="false">IF($B19="","",IFERROR(INDEX('Employee Master'!$B$2:$B$159,MATCH($B19,'Employee Master'!$A$2:$A$159,0)),""))</f>
        <v>Linda Rachel</v>
      </c>
      <c r="D19" s="1" t="str">
        <f aca="false">IF($B19="","",IFERROR(INDEX('Employee Master'!$C$2:$C$159,MATCH($B19,'Employee Master'!$A$2:$A$159,0)),""))</f>
        <v>3:45 AM</v>
      </c>
      <c r="E19" s="1" t="str">
        <f aca="false">IF($B19="","",IFERROR(INDEX('Employee Master'!$I$2:$I$159,MATCH($B19,'Employee Master'!$A$2:$A$159,0)),""))</f>
        <v>AM</v>
      </c>
      <c r="F19" s="29" t="str">
        <f aca="false">IF($B19="","",IFERROR(INDEX('Employee Master'!$E$2:$E$159,MATCH($B19,'Employee Master'!$A$2:$A$159,0)),""))</f>
        <v>N</v>
      </c>
      <c r="G19" s="29" t="str">
        <f aca="false">IF($B19="","",IFERROR(INDEX('Employee Master'!$F$2:$F$159,MATCH($B19,'Employee Master'!$A$2:$A$159,0)),""))</f>
        <v>N</v>
      </c>
      <c r="H19" s="41" t="str">
        <f aca="false">IF($B19="","","Present")</f>
        <v>Present</v>
      </c>
      <c r="I19" s="1" t="str">
        <f aca="false">IF($B19="","",IFERROR(INDEX('Employee Master'!$H$2:$H$159,MATCH($B19,'Employee Master'!$A$2:$A$159,0)),""))</f>
        <v>None</v>
      </c>
      <c r="J19" s="29" t="str">
        <f aca="false">IF($B19="","",IFERROR(INDEX('Qualification Matrix'!$C$2:$C$168,MATCH($B19,'Qualification Matrix'!$A$2:$A$168,0)),2))</f>
        <v>N</v>
      </c>
      <c r="K19" s="29" t="str">
        <f aca="false">IF($B19="","",IFERROR(INDEX('Qualification Matrix'!$D$2:$D$168,MATCH($B19,'Qualification Matrix'!$A$2:$A$168,0)),2))</f>
        <v>N</v>
      </c>
      <c r="L19" s="29" t="str">
        <f aca="false">IF($B19="","",IFERROR(INDEX('Qualification Matrix'!$E$2:$E$168,MATCH($B19,'Qualification Matrix'!$A$2:$A$168,0)),2))</f>
        <v>N</v>
      </c>
      <c r="M19" s="29" t="str">
        <f aca="false">IF($B19="","",IFERROR(INDEX('Qualification Matrix'!$F$2:$F$168,MATCH($B19,'Qualification Matrix'!$A$2:$A$168,0)),2))</f>
        <v>Y</v>
      </c>
      <c r="N19" s="29" t="str">
        <f aca="false">IF($B19="","",IF(AND($H19="Present",$F19&lt;&gt;"Y"),"Y","N"))</f>
        <v>Y</v>
      </c>
      <c r="O19" s="42"/>
      <c r="P19" s="29" t="n">
        <f aca="false">IF($B19="","",IFERROR(INDEX('Qualification Matrix'!$H$2:$H$168,MATCH($B19,'Qualification Matrix'!$A$2:$A$168,0)),""))</f>
        <v>2</v>
      </c>
      <c r="Q19" s="43" t="n">
        <f aca="false">IF($B19="","",SUMIFS('Rotation History'!$M$2:$M$1000,'Rotation History'!$B$2:$B$1000,$B19,'Rotation History'!$A$2:$A$1000,"&gt;="&amp;($B$2-30),'Rotation History'!$A$2:$A$1000,"&lt;"&amp;$B$2))</f>
        <v>0</v>
      </c>
      <c r="R19" s="43" t="n">
        <f aca="false">IF($B19="","",COUNTIFS('Rotation History'!$B$2:$B$1000,$B19,'Rotation History'!$M$2:$M$1000,"&gt;0",'Rotation History'!$A$2:$A$1000,"&gt;="&amp;($B$2-30),'Rotation History'!$A$2:$A$1000,"&lt;"&amp;$B$2))</f>
        <v>0</v>
      </c>
      <c r="S19" s="43" t="n">
        <f aca="false">IF($B19="","",IF(COUNTIFS('Rotation History'!$B$2:$B$1000,$B19,'Rotation History'!$A$2:$A$1000,$B$2-1,'Rotation History'!$M$2:$M$1000,"&gt;0")=0,0,1+IF(COUNTIFS('Rotation History'!$B$2:$B$1000,$B19,'Rotation History'!$A$2:$A$1000,$B$2-2,'Rotation History'!$M$2:$M$1000,"&gt;0")=0,0,1+IF(COUNTIFS('Rotation History'!$B$2:$B$1000,$B19,'Rotation History'!$A$2:$A$1000,$B$2-3,'Rotation History'!$M$2:$M$1000,"&gt;0")=0,0,1+IF(COUNTIFS('Rotation History'!$B$2:$B$1000,$B19,'Rotation History'!$A$2:$A$1000,$B$2-4,'Rotation History'!$M$2:$M$1000,"&gt;0")=0,0,1)))))</f>
        <v>0</v>
      </c>
      <c r="T19" s="43" t="n">
        <f aca="false">IF($B19="","",COUNTIFS('Rotation History'!$B$2:$B$1000,$B19,'Rotation History'!$K$2:$K$1000,"Opening",'Rotation History'!$A$2:$A$1000,"&gt;="&amp;($B$2-30),'Rotation History'!$A$2:$A$1000,"&lt;"&amp;$B$2))</f>
        <v>0</v>
      </c>
      <c r="U19" s="43" t="n">
        <f aca="false">IF($B19="","",COUNTIFS('Rotation History'!$B$2:$B$1000,$B19,'Rotation History'!$K$2:$K$1000,"Lunch Relief",'Rotation History'!$A$2:$A$1000,"&gt;="&amp;($B$2-30),'Rotation History'!$A$2:$A$1000,"&lt;"&amp;$B$2))</f>
        <v>0</v>
      </c>
      <c r="V19" s="44" t="n">
        <f aca="false">IF($B19="","",$Q19*10+$R19*2+$S19*20+$T19*3+$U19)</f>
        <v>0</v>
      </c>
    </row>
    <row r="20" customFormat="false" ht="14.25" hidden="false" customHeight="true" outlineLevel="0" collapsed="false">
      <c r="A20" s="40" t="n">
        <f aca="false">IF($B20="","",$B$2)</f>
        <v>46231</v>
      </c>
      <c r="B20" s="1" t="str">
        <f aca="false">IF($B$2="","",IFERROR(INDEX('Employee Master'!$A$2:$A$159,MATCH(ROWS($B$6:B20),Lists!$P$2:$P$159,0)),""))</f>
        <v>EMP-0102</v>
      </c>
      <c r="C20" s="1" t="str">
        <f aca="false">IF($B20="","",IFERROR(INDEX('Employee Master'!$B$2:$B$159,MATCH($B20,'Employee Master'!$A$2:$A$159,0)),""))</f>
        <v>Maryse Camille</v>
      </c>
      <c r="D20" s="1" t="str">
        <f aca="false">IF($B20="","",IFERROR(INDEX('Employee Master'!$C$2:$C$159,MATCH($B20,'Employee Master'!$A$2:$A$159,0)),""))</f>
        <v>3:45 AM</v>
      </c>
      <c r="E20" s="1" t="str">
        <f aca="false">IF($B20="","",IFERROR(INDEX('Employee Master'!$I$2:$I$159,MATCH($B20,'Employee Master'!$A$2:$A$159,0)),""))</f>
        <v>AM</v>
      </c>
      <c r="F20" s="29" t="str">
        <f aca="false">IF($B20="","",IFERROR(INDEX('Employee Master'!$E$2:$E$159,MATCH($B20,'Employee Master'!$A$2:$A$159,0)),""))</f>
        <v>N</v>
      </c>
      <c r="G20" s="29" t="str">
        <f aca="false">IF($B20="","",IFERROR(INDEX('Employee Master'!$F$2:$F$159,MATCH($B20,'Employee Master'!$A$2:$A$159,0)),""))</f>
        <v>N</v>
      </c>
      <c r="H20" s="41" t="str">
        <f aca="false">IF($B20="","","Present")</f>
        <v>Present</v>
      </c>
      <c r="I20" s="1" t="str">
        <f aca="false">IF($B20="","",IFERROR(INDEX('Employee Master'!$H$2:$H$159,MATCH($B20,'Employee Master'!$A$2:$A$159,0)),""))</f>
        <v>None</v>
      </c>
      <c r="J20" s="29" t="str">
        <f aca="false">IF($B20="","",IFERROR(INDEX('Qualification Matrix'!$C$2:$C$168,MATCH($B20,'Qualification Matrix'!$A$2:$A$168,0)),2))</f>
        <v>N</v>
      </c>
      <c r="K20" s="29" t="str">
        <f aca="false">IF($B20="","",IFERROR(INDEX('Qualification Matrix'!$D$2:$D$168,MATCH($B20,'Qualification Matrix'!$A$2:$A$168,0)),2))</f>
        <v>N</v>
      </c>
      <c r="L20" s="29" t="str">
        <f aca="false">IF($B20="","",IFERROR(INDEX('Qualification Matrix'!$E$2:$E$168,MATCH($B20,'Qualification Matrix'!$A$2:$A$168,0)),2))</f>
        <v>N</v>
      </c>
      <c r="M20" s="29" t="str">
        <f aca="false">IF($B20="","",IFERROR(INDEX('Qualification Matrix'!$F$2:$F$168,MATCH($B20,'Qualification Matrix'!$A$2:$A$168,0)),2))</f>
        <v>Y</v>
      </c>
      <c r="N20" s="29" t="str">
        <f aca="false">IF($B20="","",IF(AND($H20="Present",$F20&lt;&gt;"Y"),"Y","N"))</f>
        <v>Y</v>
      </c>
      <c r="O20" s="42"/>
      <c r="P20" s="29" t="n">
        <f aca="false">IF($B20="","",IFERROR(INDEX('Qualification Matrix'!$H$2:$H$168,MATCH($B20,'Qualification Matrix'!$A$2:$A$168,0)),""))</f>
        <v>2</v>
      </c>
      <c r="Q20" s="43" t="n">
        <f aca="false">IF($B20="","",SUMIFS('Rotation History'!$M$2:$M$1000,'Rotation History'!$B$2:$B$1000,$B20,'Rotation History'!$A$2:$A$1000,"&gt;="&amp;($B$2-30),'Rotation History'!$A$2:$A$1000,"&lt;"&amp;$B$2))</f>
        <v>0</v>
      </c>
      <c r="R20" s="43" t="n">
        <f aca="false">IF($B20="","",COUNTIFS('Rotation History'!$B$2:$B$1000,$B20,'Rotation History'!$M$2:$M$1000,"&gt;0",'Rotation History'!$A$2:$A$1000,"&gt;="&amp;($B$2-30),'Rotation History'!$A$2:$A$1000,"&lt;"&amp;$B$2))</f>
        <v>0</v>
      </c>
      <c r="S20" s="43" t="n">
        <f aca="false">IF($B20="","",IF(COUNTIFS('Rotation History'!$B$2:$B$1000,$B20,'Rotation History'!$A$2:$A$1000,$B$2-1,'Rotation History'!$M$2:$M$1000,"&gt;0")=0,0,1+IF(COUNTIFS('Rotation History'!$B$2:$B$1000,$B20,'Rotation History'!$A$2:$A$1000,$B$2-2,'Rotation History'!$M$2:$M$1000,"&gt;0")=0,0,1+IF(COUNTIFS('Rotation History'!$B$2:$B$1000,$B20,'Rotation History'!$A$2:$A$1000,$B$2-3,'Rotation History'!$M$2:$M$1000,"&gt;0")=0,0,1+IF(COUNTIFS('Rotation History'!$B$2:$B$1000,$B20,'Rotation History'!$A$2:$A$1000,$B$2-4,'Rotation History'!$M$2:$M$1000,"&gt;0")=0,0,1)))))</f>
        <v>0</v>
      </c>
      <c r="T20" s="43" t="n">
        <f aca="false">IF($B20="","",COUNTIFS('Rotation History'!$B$2:$B$1000,$B20,'Rotation History'!$K$2:$K$1000,"Opening",'Rotation History'!$A$2:$A$1000,"&gt;="&amp;($B$2-30),'Rotation History'!$A$2:$A$1000,"&lt;"&amp;$B$2))</f>
        <v>0</v>
      </c>
      <c r="U20" s="43" t="n">
        <f aca="false">IF($B20="","",COUNTIFS('Rotation History'!$B$2:$B$1000,$B20,'Rotation History'!$K$2:$K$1000,"Lunch Relief",'Rotation History'!$A$2:$A$1000,"&gt;="&amp;($B$2-30),'Rotation History'!$A$2:$A$1000,"&lt;"&amp;$B$2))</f>
        <v>0</v>
      </c>
      <c r="V20" s="44" t="n">
        <f aca="false">IF($B20="","",$Q20*10+$R20*2+$S20*20+$T20*3+$U20)</f>
        <v>0</v>
      </c>
    </row>
    <row r="21" customFormat="false" ht="14.25" hidden="false" customHeight="true" outlineLevel="0" collapsed="false">
      <c r="A21" s="40" t="n">
        <f aca="false">IF($B21="","",$B$2)</f>
        <v>46231</v>
      </c>
      <c r="B21" s="1" t="str">
        <f aca="false">IF($B$2="","",IFERROR(INDEX('Employee Master'!$A$2:$A$159,MATCH(ROWS($B$6:B21),Lists!$P$2:$P$159,0)),""))</f>
        <v>EMP-0107</v>
      </c>
      <c r="C21" s="1" t="str">
        <f aca="false">IF($B21="","",IFERROR(INDEX('Employee Master'!$B$2:$B$159,MATCH($B21,'Employee Master'!$A$2:$A$159,0)),""))</f>
        <v>Moneshia Echols</v>
      </c>
      <c r="D21" s="1" t="str">
        <f aca="false">IF($B21="","",IFERROR(INDEX('Employee Master'!$C$2:$C$159,MATCH($B21,'Employee Master'!$A$2:$A$159,0)),""))</f>
        <v>3:45 AM</v>
      </c>
      <c r="E21" s="1" t="str">
        <f aca="false">IF($B21="","",IFERROR(INDEX('Employee Master'!$I$2:$I$159,MATCH($B21,'Employee Master'!$A$2:$A$159,0)),""))</f>
        <v>AM</v>
      </c>
      <c r="F21" s="29" t="str">
        <f aca="false">IF($B21="","",IFERROR(INDEX('Employee Master'!$E$2:$E$159,MATCH($B21,'Employee Master'!$A$2:$A$159,0)),""))</f>
        <v>N</v>
      </c>
      <c r="G21" s="29" t="str">
        <f aca="false">IF($B21="","",IFERROR(INDEX('Employee Master'!$F$2:$F$159,MATCH($B21,'Employee Master'!$A$2:$A$159,0)),""))</f>
        <v>N</v>
      </c>
      <c r="H21" s="41" t="str">
        <f aca="false">IF($B21="","","Present")</f>
        <v>Present</v>
      </c>
      <c r="I21" s="1" t="str">
        <f aca="false">IF($B21="","",IFERROR(INDEX('Employee Master'!$H$2:$H$159,MATCH($B21,'Employee Master'!$A$2:$A$159,0)),""))</f>
        <v>None</v>
      </c>
      <c r="J21" s="29" t="str">
        <f aca="false">IF($B21="","",IFERROR(INDEX('Qualification Matrix'!$C$2:$C$168,MATCH($B21,'Qualification Matrix'!$A$2:$A$168,0)),2))</f>
        <v>N</v>
      </c>
      <c r="K21" s="29" t="str">
        <f aca="false">IF($B21="","",IFERROR(INDEX('Qualification Matrix'!$D$2:$D$168,MATCH($B21,'Qualification Matrix'!$A$2:$A$168,0)),2))</f>
        <v>N</v>
      </c>
      <c r="L21" s="29" t="str">
        <f aca="false">IF($B21="","",IFERROR(INDEX('Qualification Matrix'!$E$2:$E$168,MATCH($B21,'Qualification Matrix'!$A$2:$A$168,0)),2))</f>
        <v>N</v>
      </c>
      <c r="M21" s="29" t="str">
        <f aca="false">IF($B21="","",IFERROR(INDEX('Qualification Matrix'!$F$2:$F$168,MATCH($B21,'Qualification Matrix'!$A$2:$A$168,0)),2))</f>
        <v>Y</v>
      </c>
      <c r="N21" s="29" t="str">
        <f aca="false">IF($B21="","",IF(AND($H21="Present",$F21&lt;&gt;"Y"),"Y","N"))</f>
        <v>Y</v>
      </c>
      <c r="O21" s="42"/>
      <c r="P21" s="29" t="n">
        <f aca="false">IF($B21="","",IFERROR(INDEX('Qualification Matrix'!$H$2:$H$168,MATCH($B21,'Qualification Matrix'!$A$2:$A$168,0)),""))</f>
        <v>2</v>
      </c>
      <c r="Q21" s="43" t="n">
        <f aca="false">IF($B21="","",SUMIFS('Rotation History'!$M$2:$M$1000,'Rotation History'!$B$2:$B$1000,$B21,'Rotation History'!$A$2:$A$1000,"&gt;="&amp;($B$2-30),'Rotation History'!$A$2:$A$1000,"&lt;"&amp;$B$2))</f>
        <v>0</v>
      </c>
      <c r="R21" s="43" t="n">
        <f aca="false">IF($B21="","",COUNTIFS('Rotation History'!$B$2:$B$1000,$B21,'Rotation History'!$M$2:$M$1000,"&gt;0",'Rotation History'!$A$2:$A$1000,"&gt;="&amp;($B$2-30),'Rotation History'!$A$2:$A$1000,"&lt;"&amp;$B$2))</f>
        <v>0</v>
      </c>
      <c r="S21" s="43" t="n">
        <f aca="false">IF($B21="","",IF(COUNTIFS('Rotation History'!$B$2:$B$1000,$B21,'Rotation History'!$A$2:$A$1000,$B$2-1,'Rotation History'!$M$2:$M$1000,"&gt;0")=0,0,1+IF(COUNTIFS('Rotation History'!$B$2:$B$1000,$B21,'Rotation History'!$A$2:$A$1000,$B$2-2,'Rotation History'!$M$2:$M$1000,"&gt;0")=0,0,1+IF(COUNTIFS('Rotation History'!$B$2:$B$1000,$B21,'Rotation History'!$A$2:$A$1000,$B$2-3,'Rotation History'!$M$2:$M$1000,"&gt;0")=0,0,1+IF(COUNTIFS('Rotation History'!$B$2:$B$1000,$B21,'Rotation History'!$A$2:$A$1000,$B$2-4,'Rotation History'!$M$2:$M$1000,"&gt;0")=0,0,1)))))</f>
        <v>0</v>
      </c>
      <c r="T21" s="43" t="n">
        <f aca="false">IF($B21="","",COUNTIFS('Rotation History'!$B$2:$B$1000,$B21,'Rotation History'!$K$2:$K$1000,"Opening",'Rotation History'!$A$2:$A$1000,"&gt;="&amp;($B$2-30),'Rotation History'!$A$2:$A$1000,"&lt;"&amp;$B$2))</f>
        <v>0</v>
      </c>
      <c r="U21" s="43" t="n">
        <f aca="false">IF($B21="","",COUNTIFS('Rotation History'!$B$2:$B$1000,$B21,'Rotation History'!$K$2:$K$1000,"Lunch Relief",'Rotation History'!$A$2:$A$1000,"&gt;="&amp;($B$2-30),'Rotation History'!$A$2:$A$1000,"&lt;"&amp;$B$2))</f>
        <v>0</v>
      </c>
      <c r="V21" s="44" t="n">
        <f aca="false">IF($B21="","",$Q21*10+$R21*2+$S21*20+$T21*3+$U21)</f>
        <v>0</v>
      </c>
    </row>
    <row r="22" customFormat="false" ht="14.25" hidden="false" customHeight="true" outlineLevel="0" collapsed="false">
      <c r="A22" s="40" t="n">
        <f aca="false">IF($B22="","",$B$2)</f>
        <v>46231</v>
      </c>
      <c r="B22" s="1" t="str">
        <f aca="false">IF($B$2="","",IFERROR(INDEX('Employee Master'!$A$2:$A$159,MATCH(ROWS($B$6:B22),Lists!$P$2:$P$159,0)),""))</f>
        <v>EMP-0112</v>
      </c>
      <c r="C22" s="1" t="str">
        <f aca="false">IF($B22="","",IFERROR(INDEX('Employee Master'!$B$2:$B$159,MATCH($B22,'Employee Master'!$A$2:$A$159,0)),""))</f>
        <v>Natasha Carbon</v>
      </c>
      <c r="D22" s="1" t="str">
        <f aca="false">IF($B22="","",IFERROR(INDEX('Employee Master'!$C$2:$C$159,MATCH($B22,'Employee Master'!$A$2:$A$159,0)),""))</f>
        <v>3:45 AM</v>
      </c>
      <c r="E22" s="1" t="str">
        <f aca="false">IF($B22="","",IFERROR(INDEX('Employee Master'!$I$2:$I$159,MATCH($B22,'Employee Master'!$A$2:$A$159,0)),""))</f>
        <v>AM</v>
      </c>
      <c r="F22" s="29" t="str">
        <f aca="false">IF($B22="","",IFERROR(INDEX('Employee Master'!$E$2:$E$159,MATCH($B22,'Employee Master'!$A$2:$A$159,0)),""))</f>
        <v>N</v>
      </c>
      <c r="G22" s="29" t="str">
        <f aca="false">IF($B22="","",IFERROR(INDEX('Employee Master'!$F$2:$F$159,MATCH($B22,'Employee Master'!$A$2:$A$159,0)),""))</f>
        <v>N</v>
      </c>
      <c r="H22" s="41" t="str">
        <f aca="false">IF($B22="","","Present")</f>
        <v>Present</v>
      </c>
      <c r="I22" s="1" t="str">
        <f aca="false">IF($B22="","",IFERROR(INDEX('Employee Master'!$H$2:$H$159,MATCH($B22,'Employee Master'!$A$2:$A$159,0)),""))</f>
        <v>None</v>
      </c>
      <c r="J22" s="29" t="str">
        <f aca="false">IF($B22="","",IFERROR(INDEX('Qualification Matrix'!$C$2:$C$168,MATCH($B22,'Qualification Matrix'!$A$2:$A$168,0)),2))</f>
        <v>N</v>
      </c>
      <c r="K22" s="29" t="str">
        <f aca="false">IF($B22="","",IFERROR(INDEX('Qualification Matrix'!$D$2:$D$168,MATCH($B22,'Qualification Matrix'!$A$2:$A$168,0)),2))</f>
        <v>N</v>
      </c>
      <c r="L22" s="29" t="str">
        <f aca="false">IF($B22="","",IFERROR(INDEX('Qualification Matrix'!$E$2:$E$168,MATCH($B22,'Qualification Matrix'!$A$2:$A$168,0)),2))</f>
        <v>N</v>
      </c>
      <c r="M22" s="29" t="str">
        <f aca="false">IF($B22="","",IFERROR(INDEX('Qualification Matrix'!$F$2:$F$168,MATCH($B22,'Qualification Matrix'!$A$2:$A$168,0)),2))</f>
        <v>Y</v>
      </c>
      <c r="N22" s="29" t="str">
        <f aca="false">IF($B22="","",IF(AND($H22="Present",$F22&lt;&gt;"Y"),"Y","N"))</f>
        <v>Y</v>
      </c>
      <c r="O22" s="42"/>
      <c r="P22" s="29" t="n">
        <f aca="false">IF($B22="","",IFERROR(INDEX('Qualification Matrix'!$H$2:$H$168,MATCH($B22,'Qualification Matrix'!$A$2:$A$168,0)),""))</f>
        <v>2</v>
      </c>
      <c r="Q22" s="43" t="n">
        <f aca="false">IF($B22="","",SUMIFS('Rotation History'!$M$2:$M$1000,'Rotation History'!$B$2:$B$1000,$B22,'Rotation History'!$A$2:$A$1000,"&gt;="&amp;($B$2-30),'Rotation History'!$A$2:$A$1000,"&lt;"&amp;$B$2))</f>
        <v>0</v>
      </c>
      <c r="R22" s="43" t="n">
        <f aca="false">IF($B22="","",COUNTIFS('Rotation History'!$B$2:$B$1000,$B22,'Rotation History'!$M$2:$M$1000,"&gt;0",'Rotation History'!$A$2:$A$1000,"&gt;="&amp;($B$2-30),'Rotation History'!$A$2:$A$1000,"&lt;"&amp;$B$2))</f>
        <v>0</v>
      </c>
      <c r="S22" s="43" t="n">
        <f aca="false">IF($B22="","",IF(COUNTIFS('Rotation History'!$B$2:$B$1000,$B22,'Rotation History'!$A$2:$A$1000,$B$2-1,'Rotation History'!$M$2:$M$1000,"&gt;0")=0,0,1+IF(COUNTIFS('Rotation History'!$B$2:$B$1000,$B22,'Rotation History'!$A$2:$A$1000,$B$2-2,'Rotation History'!$M$2:$M$1000,"&gt;0")=0,0,1+IF(COUNTIFS('Rotation History'!$B$2:$B$1000,$B22,'Rotation History'!$A$2:$A$1000,$B$2-3,'Rotation History'!$M$2:$M$1000,"&gt;0")=0,0,1+IF(COUNTIFS('Rotation History'!$B$2:$B$1000,$B22,'Rotation History'!$A$2:$A$1000,$B$2-4,'Rotation History'!$M$2:$M$1000,"&gt;0")=0,0,1)))))</f>
        <v>0</v>
      </c>
      <c r="T22" s="43" t="n">
        <f aca="false">IF($B22="","",COUNTIFS('Rotation History'!$B$2:$B$1000,$B22,'Rotation History'!$K$2:$K$1000,"Opening",'Rotation History'!$A$2:$A$1000,"&gt;="&amp;($B$2-30),'Rotation History'!$A$2:$A$1000,"&lt;"&amp;$B$2))</f>
        <v>0</v>
      </c>
      <c r="U22" s="43" t="n">
        <f aca="false">IF($B22="","",COUNTIFS('Rotation History'!$B$2:$B$1000,$B22,'Rotation History'!$K$2:$K$1000,"Lunch Relief",'Rotation History'!$A$2:$A$1000,"&gt;="&amp;($B$2-30),'Rotation History'!$A$2:$A$1000,"&lt;"&amp;$B$2))</f>
        <v>0</v>
      </c>
      <c r="V22" s="44" t="n">
        <f aca="false">IF($B22="","",$Q22*10+$R22*2+$S22*20+$T22*3+$U22)</f>
        <v>0</v>
      </c>
    </row>
    <row r="23" customFormat="false" ht="14.25" hidden="false" customHeight="true" outlineLevel="0" collapsed="false">
      <c r="A23" s="40" t="n">
        <f aca="false">IF($B23="","",$B$2)</f>
        <v>46231</v>
      </c>
      <c r="B23" s="1" t="str">
        <f aca="false">IF($B$2="","",IFERROR(INDEX('Employee Master'!$A$2:$A$159,MATCH(ROWS($B$6:B23),Lists!$P$2:$P$159,0)),""))</f>
        <v>EMP-0116</v>
      </c>
      <c r="C23" s="1" t="str">
        <f aca="false">IF($B23="","",IFERROR(INDEX('Employee Master'!$B$2:$B$159,MATCH($B23,'Employee Master'!$A$2:$A$159,0)),""))</f>
        <v>Phenica Peterson</v>
      </c>
      <c r="D23" s="1" t="str">
        <f aca="false">IF($B23="","",IFERROR(INDEX('Employee Master'!$C$2:$C$159,MATCH($B23,'Employee Master'!$A$2:$A$159,0)),""))</f>
        <v>3:45 AM</v>
      </c>
      <c r="E23" s="1" t="str">
        <f aca="false">IF($B23="","",IFERROR(INDEX('Employee Master'!$I$2:$I$159,MATCH($B23,'Employee Master'!$A$2:$A$159,0)),""))</f>
        <v>AM</v>
      </c>
      <c r="F23" s="29" t="str">
        <f aca="false">IF($B23="","",IFERROR(INDEX('Employee Master'!$E$2:$E$159,MATCH($B23,'Employee Master'!$A$2:$A$159,0)),""))</f>
        <v>N</v>
      </c>
      <c r="G23" s="29" t="str">
        <f aca="false">IF($B23="","",IFERROR(INDEX('Employee Master'!$F$2:$F$159,MATCH($B23,'Employee Master'!$A$2:$A$159,0)),""))</f>
        <v>N</v>
      </c>
      <c r="H23" s="41" t="str">
        <f aca="false">IF($B23="","","Present")</f>
        <v>Present</v>
      </c>
      <c r="I23" s="1" t="str">
        <f aca="false">IF($B23="","",IFERROR(INDEX('Employee Master'!$H$2:$H$159,MATCH($B23,'Employee Master'!$A$2:$A$159,0)),""))</f>
        <v>None</v>
      </c>
      <c r="J23" s="29" t="str">
        <f aca="false">IF($B23="","",IFERROR(INDEX('Qualification Matrix'!$C$2:$C$168,MATCH($B23,'Qualification Matrix'!$A$2:$A$168,0)),2))</f>
        <v>N</v>
      </c>
      <c r="K23" s="29" t="str">
        <f aca="false">IF($B23="","",IFERROR(INDEX('Qualification Matrix'!$D$2:$D$168,MATCH($B23,'Qualification Matrix'!$A$2:$A$168,0)),2))</f>
        <v>N</v>
      </c>
      <c r="L23" s="29" t="str">
        <f aca="false">IF($B23="","",IFERROR(INDEX('Qualification Matrix'!$E$2:$E$168,MATCH($B23,'Qualification Matrix'!$A$2:$A$168,0)),2))</f>
        <v>N</v>
      </c>
      <c r="M23" s="29" t="str">
        <f aca="false">IF($B23="","",IFERROR(INDEX('Qualification Matrix'!$F$2:$F$168,MATCH($B23,'Qualification Matrix'!$A$2:$A$168,0)),2))</f>
        <v>Y</v>
      </c>
      <c r="N23" s="29" t="str">
        <f aca="false">IF($B23="","",IF(AND($H23="Present",$F23&lt;&gt;"Y"),"Y","N"))</f>
        <v>Y</v>
      </c>
      <c r="O23" s="42"/>
      <c r="P23" s="29" t="n">
        <f aca="false">IF($B23="","",IFERROR(INDEX('Qualification Matrix'!$H$2:$H$168,MATCH($B23,'Qualification Matrix'!$A$2:$A$168,0)),""))</f>
        <v>2</v>
      </c>
      <c r="Q23" s="43" t="n">
        <f aca="false">IF($B23="","",SUMIFS('Rotation History'!$M$2:$M$1000,'Rotation History'!$B$2:$B$1000,$B23,'Rotation History'!$A$2:$A$1000,"&gt;="&amp;($B$2-30),'Rotation History'!$A$2:$A$1000,"&lt;"&amp;$B$2))</f>
        <v>0</v>
      </c>
      <c r="R23" s="43" t="n">
        <f aca="false">IF($B23="","",COUNTIFS('Rotation History'!$B$2:$B$1000,$B23,'Rotation History'!$M$2:$M$1000,"&gt;0",'Rotation History'!$A$2:$A$1000,"&gt;="&amp;($B$2-30),'Rotation History'!$A$2:$A$1000,"&lt;"&amp;$B$2))</f>
        <v>0</v>
      </c>
      <c r="S23" s="43" t="n">
        <f aca="false">IF($B23="","",IF(COUNTIFS('Rotation History'!$B$2:$B$1000,$B23,'Rotation History'!$A$2:$A$1000,$B$2-1,'Rotation History'!$M$2:$M$1000,"&gt;0")=0,0,1+IF(COUNTIFS('Rotation History'!$B$2:$B$1000,$B23,'Rotation History'!$A$2:$A$1000,$B$2-2,'Rotation History'!$M$2:$M$1000,"&gt;0")=0,0,1+IF(COUNTIFS('Rotation History'!$B$2:$B$1000,$B23,'Rotation History'!$A$2:$A$1000,$B$2-3,'Rotation History'!$M$2:$M$1000,"&gt;0")=0,0,1+IF(COUNTIFS('Rotation History'!$B$2:$B$1000,$B23,'Rotation History'!$A$2:$A$1000,$B$2-4,'Rotation History'!$M$2:$M$1000,"&gt;0")=0,0,1)))))</f>
        <v>0</v>
      </c>
      <c r="T23" s="43" t="n">
        <f aca="false">IF($B23="","",COUNTIFS('Rotation History'!$B$2:$B$1000,$B23,'Rotation History'!$K$2:$K$1000,"Opening",'Rotation History'!$A$2:$A$1000,"&gt;="&amp;($B$2-30),'Rotation History'!$A$2:$A$1000,"&lt;"&amp;$B$2))</f>
        <v>0</v>
      </c>
      <c r="U23" s="43" t="n">
        <f aca="false">IF($B23="","",COUNTIFS('Rotation History'!$B$2:$B$1000,$B23,'Rotation History'!$K$2:$K$1000,"Lunch Relief",'Rotation History'!$A$2:$A$1000,"&gt;="&amp;($B$2-30),'Rotation History'!$A$2:$A$1000,"&lt;"&amp;$B$2))</f>
        <v>0</v>
      </c>
      <c r="V23" s="44" t="n">
        <f aca="false">IF($B23="","",$Q23*10+$R23*2+$S23*20+$T23*3+$U23)</f>
        <v>0</v>
      </c>
    </row>
    <row r="24" customFormat="false" ht="14.25" hidden="false" customHeight="true" outlineLevel="0" collapsed="false">
      <c r="A24" s="40" t="n">
        <f aca="false">IF($B24="","",$B$2)</f>
        <v>46231</v>
      </c>
      <c r="B24" s="1" t="str">
        <f aca="false">IF($B$2="","",IFERROR(INDEX('Employee Master'!$A$2:$A$159,MATCH(ROWS($B$6:B24),Lists!$P$2:$P$159,0)),""))</f>
        <v>EMP-0135</v>
      </c>
      <c r="C24" s="1" t="str">
        <f aca="false">IF($B24="","",IFERROR(INDEX('Employee Master'!$B$2:$B$159,MATCH($B24,'Employee Master'!$A$2:$A$159,0)),""))</f>
        <v>Tanya Organ</v>
      </c>
      <c r="D24" s="1" t="str">
        <f aca="false">IF($B24="","",IFERROR(INDEX('Employee Master'!$C$2:$C$159,MATCH($B24,'Employee Master'!$A$2:$A$159,0)),""))</f>
        <v>3:45 AM</v>
      </c>
      <c r="E24" s="1" t="str">
        <f aca="false">IF($B24="","",IFERROR(INDEX('Employee Master'!$I$2:$I$159,MATCH($B24,'Employee Master'!$A$2:$A$159,0)),""))</f>
        <v>AM</v>
      </c>
      <c r="F24" s="29" t="str">
        <f aca="false">IF($B24="","",IFERROR(INDEX('Employee Master'!$E$2:$E$159,MATCH($B24,'Employee Master'!$A$2:$A$159,0)),""))</f>
        <v>N</v>
      </c>
      <c r="G24" s="29" t="str">
        <f aca="false">IF($B24="","",IFERROR(INDEX('Employee Master'!$F$2:$F$159,MATCH($B24,'Employee Master'!$A$2:$A$159,0)),""))</f>
        <v>N</v>
      </c>
      <c r="H24" s="41" t="str">
        <f aca="false">IF($B24="","","Present")</f>
        <v>Present</v>
      </c>
      <c r="I24" s="1" t="str">
        <f aca="false">IF($B24="","",IFERROR(INDEX('Employee Master'!$H$2:$H$159,MATCH($B24,'Employee Master'!$A$2:$A$159,0)),""))</f>
        <v>None</v>
      </c>
      <c r="J24" s="29" t="str">
        <f aca="false">IF($B24="","",IFERROR(INDEX('Qualification Matrix'!$C$2:$C$168,MATCH($B24,'Qualification Matrix'!$A$2:$A$168,0)),2))</f>
        <v>N</v>
      </c>
      <c r="K24" s="29" t="str">
        <f aca="false">IF($B24="","",IFERROR(INDEX('Qualification Matrix'!$D$2:$D$168,MATCH($B24,'Qualification Matrix'!$A$2:$A$168,0)),2))</f>
        <v>N</v>
      </c>
      <c r="L24" s="29" t="str">
        <f aca="false">IF($B24="","",IFERROR(INDEX('Qualification Matrix'!$E$2:$E$168,MATCH($B24,'Qualification Matrix'!$A$2:$A$168,0)),2))</f>
        <v>N</v>
      </c>
      <c r="M24" s="29" t="str">
        <f aca="false">IF($B24="","",IFERROR(INDEX('Qualification Matrix'!$F$2:$F$168,MATCH($B24,'Qualification Matrix'!$A$2:$A$168,0)),2))</f>
        <v>Y</v>
      </c>
      <c r="N24" s="29" t="str">
        <f aca="false">IF($B24="","",IF(AND($H24="Present",$F24&lt;&gt;"Y"),"Y","N"))</f>
        <v>Y</v>
      </c>
      <c r="O24" s="42"/>
      <c r="P24" s="29" t="n">
        <f aca="false">IF($B24="","",IFERROR(INDEX('Qualification Matrix'!$H$2:$H$168,MATCH($B24,'Qualification Matrix'!$A$2:$A$168,0)),""))</f>
        <v>2</v>
      </c>
      <c r="Q24" s="43" t="n">
        <f aca="false">IF($B24="","",SUMIFS('Rotation History'!$M$2:$M$1000,'Rotation History'!$B$2:$B$1000,$B24,'Rotation History'!$A$2:$A$1000,"&gt;="&amp;($B$2-30),'Rotation History'!$A$2:$A$1000,"&lt;"&amp;$B$2))</f>
        <v>0</v>
      </c>
      <c r="R24" s="43" t="n">
        <f aca="false">IF($B24="","",COUNTIFS('Rotation History'!$B$2:$B$1000,$B24,'Rotation History'!$M$2:$M$1000,"&gt;0",'Rotation History'!$A$2:$A$1000,"&gt;="&amp;($B$2-30),'Rotation History'!$A$2:$A$1000,"&lt;"&amp;$B$2))</f>
        <v>0</v>
      </c>
      <c r="S24" s="43" t="n">
        <f aca="false">IF($B24="","",IF(COUNTIFS('Rotation History'!$B$2:$B$1000,$B24,'Rotation History'!$A$2:$A$1000,$B$2-1,'Rotation History'!$M$2:$M$1000,"&gt;0")=0,0,1+IF(COUNTIFS('Rotation History'!$B$2:$B$1000,$B24,'Rotation History'!$A$2:$A$1000,$B$2-2,'Rotation History'!$M$2:$M$1000,"&gt;0")=0,0,1+IF(COUNTIFS('Rotation History'!$B$2:$B$1000,$B24,'Rotation History'!$A$2:$A$1000,$B$2-3,'Rotation History'!$M$2:$M$1000,"&gt;0")=0,0,1+IF(COUNTIFS('Rotation History'!$B$2:$B$1000,$B24,'Rotation History'!$A$2:$A$1000,$B$2-4,'Rotation History'!$M$2:$M$1000,"&gt;0")=0,0,1)))))</f>
        <v>0</v>
      </c>
      <c r="T24" s="43" t="n">
        <f aca="false">IF($B24="","",COUNTIFS('Rotation History'!$B$2:$B$1000,$B24,'Rotation History'!$K$2:$K$1000,"Opening",'Rotation History'!$A$2:$A$1000,"&gt;="&amp;($B$2-30),'Rotation History'!$A$2:$A$1000,"&lt;"&amp;$B$2))</f>
        <v>0</v>
      </c>
      <c r="U24" s="43" t="n">
        <f aca="false">IF($B24="","",COUNTIFS('Rotation History'!$B$2:$B$1000,$B24,'Rotation History'!$K$2:$K$1000,"Lunch Relief",'Rotation History'!$A$2:$A$1000,"&gt;="&amp;($B$2-30),'Rotation History'!$A$2:$A$1000,"&lt;"&amp;$B$2))</f>
        <v>0</v>
      </c>
      <c r="V24" s="44" t="n">
        <f aca="false">IF($B24="","",$Q24*10+$R24*2+$S24*20+$T24*3+$U24)</f>
        <v>0</v>
      </c>
    </row>
    <row r="25" customFormat="false" ht="14.25" hidden="false" customHeight="true" outlineLevel="0" collapsed="false">
      <c r="A25" s="40" t="n">
        <f aca="false">IF($B25="","",$B$2)</f>
        <v>46231</v>
      </c>
      <c r="B25" s="1" t="str">
        <f aca="false">IF($B$2="","",IFERROR(INDEX('Employee Master'!$A$2:$A$159,MATCH(ROWS($B$6:B25),Lists!$P$2:$P$159,0)),""))</f>
        <v>EMP-0136</v>
      </c>
      <c r="C25" s="1" t="str">
        <f aca="false">IF($B25="","",IFERROR(INDEX('Employee Master'!$B$2:$B$159,MATCH($B25,'Employee Master'!$A$2:$A$159,0)),""))</f>
        <v>Teaera Freeman</v>
      </c>
      <c r="D25" s="1" t="str">
        <f aca="false">IF($B25="","",IFERROR(INDEX('Employee Master'!$C$2:$C$159,MATCH($B25,'Employee Master'!$A$2:$A$159,0)),""))</f>
        <v>3:45 AM</v>
      </c>
      <c r="E25" s="1" t="str">
        <f aca="false">IF($B25="","",IFERROR(INDEX('Employee Master'!$I$2:$I$159,MATCH($B25,'Employee Master'!$A$2:$A$159,0)),""))</f>
        <v>AM</v>
      </c>
      <c r="F25" s="29" t="str">
        <f aca="false">IF($B25="","",IFERROR(INDEX('Employee Master'!$E$2:$E$159,MATCH($B25,'Employee Master'!$A$2:$A$159,0)),""))</f>
        <v>N</v>
      </c>
      <c r="G25" s="29" t="str">
        <f aca="false">IF($B25="","",IFERROR(INDEX('Employee Master'!$F$2:$F$159,MATCH($B25,'Employee Master'!$A$2:$A$159,0)),""))</f>
        <v>N</v>
      </c>
      <c r="H25" s="41" t="str">
        <f aca="false">IF($B25="","","Present")</f>
        <v>Present</v>
      </c>
      <c r="I25" s="1" t="str">
        <f aca="false">IF($B25="","",IFERROR(INDEX('Employee Master'!$H$2:$H$159,MATCH($B25,'Employee Master'!$A$2:$A$159,0)),""))</f>
        <v>None</v>
      </c>
      <c r="J25" s="29" t="str">
        <f aca="false">IF($B25="","",IFERROR(INDEX('Qualification Matrix'!$C$2:$C$168,MATCH($B25,'Qualification Matrix'!$A$2:$A$168,0)),2))</f>
        <v>N</v>
      </c>
      <c r="K25" s="29" t="str">
        <f aca="false">IF($B25="","",IFERROR(INDEX('Qualification Matrix'!$D$2:$D$168,MATCH($B25,'Qualification Matrix'!$A$2:$A$168,0)),2))</f>
        <v>N</v>
      </c>
      <c r="L25" s="29" t="str">
        <f aca="false">IF($B25="","",IFERROR(INDEX('Qualification Matrix'!$E$2:$E$168,MATCH($B25,'Qualification Matrix'!$A$2:$A$168,0)),2))</f>
        <v>N</v>
      </c>
      <c r="M25" s="29" t="str">
        <f aca="false">IF($B25="","",IFERROR(INDEX('Qualification Matrix'!$F$2:$F$168,MATCH($B25,'Qualification Matrix'!$A$2:$A$168,0)),2))</f>
        <v>Y</v>
      </c>
      <c r="N25" s="29" t="str">
        <f aca="false">IF($B25="","",IF(AND($H25="Present",$F25&lt;&gt;"Y"),"Y","N"))</f>
        <v>Y</v>
      </c>
      <c r="O25" s="42"/>
      <c r="P25" s="29" t="n">
        <f aca="false">IF($B25="","",IFERROR(INDEX('Qualification Matrix'!$H$2:$H$168,MATCH($B25,'Qualification Matrix'!$A$2:$A$168,0)),""))</f>
        <v>2</v>
      </c>
      <c r="Q25" s="43" t="n">
        <f aca="false">IF($B25="","",SUMIFS('Rotation History'!$M$2:$M$1000,'Rotation History'!$B$2:$B$1000,$B25,'Rotation History'!$A$2:$A$1000,"&gt;="&amp;($B$2-30),'Rotation History'!$A$2:$A$1000,"&lt;"&amp;$B$2))</f>
        <v>0</v>
      </c>
      <c r="R25" s="43" t="n">
        <f aca="false">IF($B25="","",COUNTIFS('Rotation History'!$B$2:$B$1000,$B25,'Rotation History'!$M$2:$M$1000,"&gt;0",'Rotation History'!$A$2:$A$1000,"&gt;="&amp;($B$2-30),'Rotation History'!$A$2:$A$1000,"&lt;"&amp;$B$2))</f>
        <v>0</v>
      </c>
      <c r="S25" s="43" t="n">
        <f aca="false">IF($B25="","",IF(COUNTIFS('Rotation History'!$B$2:$B$1000,$B25,'Rotation History'!$A$2:$A$1000,$B$2-1,'Rotation History'!$M$2:$M$1000,"&gt;0")=0,0,1+IF(COUNTIFS('Rotation History'!$B$2:$B$1000,$B25,'Rotation History'!$A$2:$A$1000,$B$2-2,'Rotation History'!$M$2:$M$1000,"&gt;0")=0,0,1+IF(COUNTIFS('Rotation History'!$B$2:$B$1000,$B25,'Rotation History'!$A$2:$A$1000,$B$2-3,'Rotation History'!$M$2:$M$1000,"&gt;0")=0,0,1+IF(COUNTIFS('Rotation History'!$B$2:$B$1000,$B25,'Rotation History'!$A$2:$A$1000,$B$2-4,'Rotation History'!$M$2:$M$1000,"&gt;0")=0,0,1)))))</f>
        <v>0</v>
      </c>
      <c r="T25" s="43" t="n">
        <f aca="false">IF($B25="","",COUNTIFS('Rotation History'!$B$2:$B$1000,$B25,'Rotation History'!$K$2:$K$1000,"Opening",'Rotation History'!$A$2:$A$1000,"&gt;="&amp;($B$2-30),'Rotation History'!$A$2:$A$1000,"&lt;"&amp;$B$2))</f>
        <v>0</v>
      </c>
      <c r="U25" s="43" t="n">
        <f aca="false">IF($B25="","",COUNTIFS('Rotation History'!$B$2:$B$1000,$B25,'Rotation History'!$K$2:$K$1000,"Lunch Relief",'Rotation History'!$A$2:$A$1000,"&gt;="&amp;($B$2-30),'Rotation History'!$A$2:$A$1000,"&lt;"&amp;$B$2))</f>
        <v>0</v>
      </c>
      <c r="V25" s="44" t="n">
        <f aca="false">IF($B25="","",$Q25*10+$R25*2+$S25*20+$T25*3+$U25)</f>
        <v>0</v>
      </c>
    </row>
    <row r="26" customFormat="false" ht="14.25" hidden="false" customHeight="true" outlineLevel="0" collapsed="false">
      <c r="A26" s="40" t="n">
        <f aca="false">IF($B26="","",$B$2)</f>
        <v>46231</v>
      </c>
      <c r="B26" s="1" t="str">
        <f aca="false">IF($B$2="","",IFERROR(INDEX('Employee Master'!$A$2:$A$159,MATCH(ROWS($B$6:B26),Lists!$P$2:$P$159,0)),""))</f>
        <v>EMP-0141</v>
      </c>
      <c r="C26" s="1" t="str">
        <f aca="false">IF($B26="","",IFERROR(INDEX('Employee Master'!$B$2:$B$159,MATCH($B26,'Employee Master'!$A$2:$A$159,0)),""))</f>
        <v>Tiffany Felton</v>
      </c>
      <c r="D26" s="1" t="str">
        <f aca="false">IF($B26="","",IFERROR(INDEX('Employee Master'!$C$2:$C$159,MATCH($B26,'Employee Master'!$A$2:$A$159,0)),""))</f>
        <v>3:45 AM</v>
      </c>
      <c r="E26" s="1" t="str">
        <f aca="false">IF($B26="","",IFERROR(INDEX('Employee Master'!$I$2:$I$159,MATCH($B26,'Employee Master'!$A$2:$A$159,0)),""))</f>
        <v>AM</v>
      </c>
      <c r="F26" s="29" t="str">
        <f aca="false">IF($B26="","",IFERROR(INDEX('Employee Master'!$E$2:$E$159,MATCH($B26,'Employee Master'!$A$2:$A$159,0)),""))</f>
        <v>N</v>
      </c>
      <c r="G26" s="29" t="str">
        <f aca="false">IF($B26="","",IFERROR(INDEX('Employee Master'!$F$2:$F$159,MATCH($B26,'Employee Master'!$A$2:$A$159,0)),""))</f>
        <v>N</v>
      </c>
      <c r="H26" s="41" t="str">
        <f aca="false">IF($B26="","","Present")</f>
        <v>Present</v>
      </c>
      <c r="I26" s="1" t="str">
        <f aca="false">IF($B26="","",IFERROR(INDEX('Employee Master'!$H$2:$H$159,MATCH($B26,'Employee Master'!$A$2:$A$159,0)),""))</f>
        <v>None</v>
      </c>
      <c r="J26" s="29" t="str">
        <f aca="false">IF($B26="","",IFERROR(INDEX('Qualification Matrix'!$C$2:$C$168,MATCH($B26,'Qualification Matrix'!$A$2:$A$168,0)),2))</f>
        <v>N</v>
      </c>
      <c r="K26" s="29" t="str">
        <f aca="false">IF($B26="","",IFERROR(INDEX('Qualification Matrix'!$D$2:$D$168,MATCH($B26,'Qualification Matrix'!$A$2:$A$168,0)),2))</f>
        <v>N</v>
      </c>
      <c r="L26" s="29" t="str">
        <f aca="false">IF($B26="","",IFERROR(INDEX('Qualification Matrix'!$E$2:$E$168,MATCH($B26,'Qualification Matrix'!$A$2:$A$168,0)),2))</f>
        <v>N</v>
      </c>
      <c r="M26" s="29" t="str">
        <f aca="false">IF($B26="","",IFERROR(INDEX('Qualification Matrix'!$F$2:$F$168,MATCH($B26,'Qualification Matrix'!$A$2:$A$168,0)),2))</f>
        <v>Y</v>
      </c>
      <c r="N26" s="29" t="str">
        <f aca="false">IF($B26="","",IF(AND($H26="Present",$F26&lt;&gt;"Y"),"Y","N"))</f>
        <v>Y</v>
      </c>
      <c r="O26" s="42"/>
      <c r="P26" s="29" t="n">
        <f aca="false">IF($B26="","",IFERROR(INDEX('Qualification Matrix'!$H$2:$H$168,MATCH($B26,'Qualification Matrix'!$A$2:$A$168,0)),""))</f>
        <v>2</v>
      </c>
      <c r="Q26" s="43" t="n">
        <f aca="false">IF($B26="","",SUMIFS('Rotation History'!$M$2:$M$1000,'Rotation History'!$B$2:$B$1000,$B26,'Rotation History'!$A$2:$A$1000,"&gt;="&amp;($B$2-30),'Rotation History'!$A$2:$A$1000,"&lt;"&amp;$B$2))</f>
        <v>0</v>
      </c>
      <c r="R26" s="43" t="n">
        <f aca="false">IF($B26="","",COUNTIFS('Rotation History'!$B$2:$B$1000,$B26,'Rotation History'!$M$2:$M$1000,"&gt;0",'Rotation History'!$A$2:$A$1000,"&gt;="&amp;($B$2-30),'Rotation History'!$A$2:$A$1000,"&lt;"&amp;$B$2))</f>
        <v>0</v>
      </c>
      <c r="S26" s="43" t="n">
        <f aca="false">IF($B26="","",IF(COUNTIFS('Rotation History'!$B$2:$B$1000,$B26,'Rotation History'!$A$2:$A$1000,$B$2-1,'Rotation History'!$M$2:$M$1000,"&gt;0")=0,0,1+IF(COUNTIFS('Rotation History'!$B$2:$B$1000,$B26,'Rotation History'!$A$2:$A$1000,$B$2-2,'Rotation History'!$M$2:$M$1000,"&gt;0")=0,0,1+IF(COUNTIFS('Rotation History'!$B$2:$B$1000,$B26,'Rotation History'!$A$2:$A$1000,$B$2-3,'Rotation History'!$M$2:$M$1000,"&gt;0")=0,0,1+IF(COUNTIFS('Rotation History'!$B$2:$B$1000,$B26,'Rotation History'!$A$2:$A$1000,$B$2-4,'Rotation History'!$M$2:$M$1000,"&gt;0")=0,0,1)))))</f>
        <v>0</v>
      </c>
      <c r="T26" s="43" t="n">
        <f aca="false">IF($B26="","",COUNTIFS('Rotation History'!$B$2:$B$1000,$B26,'Rotation History'!$K$2:$K$1000,"Opening",'Rotation History'!$A$2:$A$1000,"&gt;="&amp;($B$2-30),'Rotation History'!$A$2:$A$1000,"&lt;"&amp;$B$2))</f>
        <v>0</v>
      </c>
      <c r="U26" s="43" t="n">
        <f aca="false">IF($B26="","",COUNTIFS('Rotation History'!$B$2:$B$1000,$B26,'Rotation History'!$K$2:$K$1000,"Lunch Relief",'Rotation History'!$A$2:$A$1000,"&gt;="&amp;($B$2-30),'Rotation History'!$A$2:$A$1000,"&lt;"&amp;$B$2))</f>
        <v>0</v>
      </c>
      <c r="V26" s="44" t="n">
        <f aca="false">IF($B26="","",$Q26*10+$R26*2+$S26*20+$T26*3+$U26)</f>
        <v>0</v>
      </c>
    </row>
    <row r="27" customFormat="false" ht="14.25" hidden="false" customHeight="true" outlineLevel="0" collapsed="false">
      <c r="A27" s="40" t="n">
        <f aca="false">IF($B27="","",$B$2)</f>
        <v>46231</v>
      </c>
      <c r="B27" s="1" t="str">
        <f aca="false">IF($B$2="","",IFERROR(INDEX('Employee Master'!$A$2:$A$159,MATCH(ROWS($B$6:B27),Lists!$P$2:$P$159,0)),""))</f>
        <v>EMP-0003</v>
      </c>
      <c r="C27" s="1" t="str">
        <f aca="false">IF($B27="","",IFERROR(INDEX('Employee Master'!$B$2:$B$159,MATCH($B27,'Employee Master'!$A$2:$A$159,0)),""))</f>
        <v>Abebe Ambaye</v>
      </c>
      <c r="D27" s="1" t="str">
        <f aca="false">IF($B27="","",IFERROR(INDEX('Employee Master'!$C$2:$C$159,MATCH($B27,'Employee Master'!$A$2:$A$159,0)),""))</f>
        <v>5:45 AM</v>
      </c>
      <c r="E27" s="1" t="str">
        <f aca="false">IF($B27="","",IFERROR(INDEX('Employee Master'!$I$2:$I$159,MATCH($B27,'Employee Master'!$A$2:$A$159,0)),""))</f>
        <v>AM</v>
      </c>
      <c r="F27" s="29" t="str">
        <f aca="false">IF($B27="","",IFERROR(INDEX('Employee Master'!$E$2:$E$159,MATCH($B27,'Employee Master'!$A$2:$A$159,0)),""))</f>
        <v>Y</v>
      </c>
      <c r="G27" s="29" t="str">
        <f aca="false">IF($B27="","",IFERROR(INDEX('Employee Master'!$F$2:$F$159,MATCH($B27,'Employee Master'!$A$2:$A$159,0)),""))</f>
        <v>N</v>
      </c>
      <c r="H27" s="41" t="str">
        <f aca="false">IF($B27="","","Present")</f>
        <v>Present</v>
      </c>
      <c r="I27" s="1" t="str">
        <f aca="false">IF($B27="","",IFERROR(INDEX('Employee Master'!$H$2:$H$159,MATCH($B27,'Employee Master'!$A$2:$A$159,0)),""))</f>
        <v>None</v>
      </c>
      <c r="J27" s="29" t="str">
        <f aca="false">IF($B27="","",IFERROR(INDEX('Qualification Matrix'!$C$2:$C$168,MATCH($B27,'Qualification Matrix'!$A$2:$A$168,0)),2))</f>
        <v>N</v>
      </c>
      <c r="K27" s="29" t="str">
        <f aca="false">IF($B27="","",IFERROR(INDEX('Qualification Matrix'!$D$2:$D$168,MATCH($B27,'Qualification Matrix'!$A$2:$A$168,0)),2))</f>
        <v>N</v>
      </c>
      <c r="L27" s="29" t="str">
        <f aca="false">IF($B27="","",IFERROR(INDEX('Qualification Matrix'!$E$2:$E$168,MATCH($B27,'Qualification Matrix'!$A$2:$A$168,0)),2))</f>
        <v>N</v>
      </c>
      <c r="M27" s="29" t="str">
        <f aca="false">IF($B27="","",IFERROR(INDEX('Qualification Matrix'!$F$2:$F$168,MATCH($B27,'Qualification Matrix'!$A$2:$A$168,0)),2))</f>
        <v>Y</v>
      </c>
      <c r="N27" s="29" t="str">
        <f aca="false">IF($B27="","",IF(AND($H27="Present",$F27&lt;&gt;"Y"),"Y","N"))</f>
        <v>N</v>
      </c>
      <c r="O27" s="42"/>
      <c r="P27" s="29" t="n">
        <f aca="false">IF($B27="","",IFERROR(INDEX('Qualification Matrix'!$H$2:$H$168,MATCH($B27,'Qualification Matrix'!$A$2:$A$168,0)),""))</f>
        <v>2</v>
      </c>
      <c r="Q27" s="43" t="n">
        <f aca="false">IF($B27="","",SUMIFS('Rotation History'!$M$2:$M$1000,'Rotation History'!$B$2:$B$1000,$B27,'Rotation History'!$A$2:$A$1000,"&gt;="&amp;($B$2-30),'Rotation History'!$A$2:$A$1000,"&lt;"&amp;$B$2))</f>
        <v>0</v>
      </c>
      <c r="R27" s="43" t="n">
        <f aca="false">IF($B27="","",COUNTIFS('Rotation History'!$B$2:$B$1000,$B27,'Rotation History'!$M$2:$M$1000,"&gt;0",'Rotation History'!$A$2:$A$1000,"&gt;="&amp;($B$2-30),'Rotation History'!$A$2:$A$1000,"&lt;"&amp;$B$2))</f>
        <v>0</v>
      </c>
      <c r="S27" s="43" t="n">
        <f aca="false">IF($B27="","",IF(COUNTIFS('Rotation History'!$B$2:$B$1000,$B27,'Rotation History'!$A$2:$A$1000,$B$2-1,'Rotation History'!$M$2:$M$1000,"&gt;0")=0,0,1+IF(COUNTIFS('Rotation History'!$B$2:$B$1000,$B27,'Rotation History'!$A$2:$A$1000,$B$2-2,'Rotation History'!$M$2:$M$1000,"&gt;0")=0,0,1+IF(COUNTIFS('Rotation History'!$B$2:$B$1000,$B27,'Rotation History'!$A$2:$A$1000,$B$2-3,'Rotation History'!$M$2:$M$1000,"&gt;0")=0,0,1+IF(COUNTIFS('Rotation History'!$B$2:$B$1000,$B27,'Rotation History'!$A$2:$A$1000,$B$2-4,'Rotation History'!$M$2:$M$1000,"&gt;0")=0,0,1)))))</f>
        <v>0</v>
      </c>
      <c r="T27" s="43" t="n">
        <f aca="false">IF($B27="","",COUNTIFS('Rotation History'!$B$2:$B$1000,$B27,'Rotation History'!$K$2:$K$1000,"Opening",'Rotation History'!$A$2:$A$1000,"&gt;="&amp;($B$2-30),'Rotation History'!$A$2:$A$1000,"&lt;"&amp;$B$2))</f>
        <v>0</v>
      </c>
      <c r="U27" s="43" t="n">
        <f aca="false">IF($B27="","",COUNTIFS('Rotation History'!$B$2:$B$1000,$B27,'Rotation History'!$K$2:$K$1000,"Lunch Relief",'Rotation History'!$A$2:$A$1000,"&gt;="&amp;($B$2-30),'Rotation History'!$A$2:$A$1000,"&lt;"&amp;$B$2))</f>
        <v>0</v>
      </c>
      <c r="V27" s="44" t="n">
        <f aca="false">IF($B27="","",$Q27*10+$R27*2+$S27*20+$T27*3+$U27)</f>
        <v>0</v>
      </c>
    </row>
    <row r="28" customFormat="false" ht="14.25" hidden="false" customHeight="true" outlineLevel="0" collapsed="false">
      <c r="A28" s="40" t="n">
        <f aca="false">IF($B28="","",$B$2)</f>
        <v>46231</v>
      </c>
      <c r="B28" s="1" t="str">
        <f aca="false">IF($B$2="","",IFERROR(INDEX('Employee Master'!$A$2:$A$159,MATCH(ROWS($B$6:B28),Lists!$P$2:$P$159,0)),""))</f>
        <v>EMP-0004</v>
      </c>
      <c r="C28" s="1" t="str">
        <f aca="false">IF($B28="","",IFERROR(INDEX('Employee Master'!$B$2:$B$159,MATCH($B28,'Employee Master'!$A$2:$A$159,0)),""))</f>
        <v>Adeyeye Opaaje</v>
      </c>
      <c r="D28" s="1" t="str">
        <f aca="false">IF($B28="","",IFERROR(INDEX('Employee Master'!$C$2:$C$159,MATCH($B28,'Employee Master'!$A$2:$A$159,0)),""))</f>
        <v>5:45 AM</v>
      </c>
      <c r="E28" s="1" t="str">
        <f aca="false">IF($B28="","",IFERROR(INDEX('Employee Master'!$I$2:$I$159,MATCH($B28,'Employee Master'!$A$2:$A$159,0)),""))</f>
        <v>AM</v>
      </c>
      <c r="F28" s="29" t="str">
        <f aca="false">IF($B28="","",IFERROR(INDEX('Employee Master'!$E$2:$E$159,MATCH($B28,'Employee Master'!$A$2:$A$159,0)),""))</f>
        <v>N</v>
      </c>
      <c r="G28" s="29" t="str">
        <f aca="false">IF($B28="","",IFERROR(INDEX('Employee Master'!$F$2:$F$159,MATCH($B28,'Employee Master'!$A$2:$A$159,0)),""))</f>
        <v>N</v>
      </c>
      <c r="H28" s="41" t="str">
        <f aca="false">IF($B28="","","Present")</f>
        <v>Present</v>
      </c>
      <c r="I28" s="1" t="str">
        <f aca="false">IF($B28="","",IFERROR(INDEX('Employee Master'!$H$2:$H$159,MATCH($B28,'Employee Master'!$A$2:$A$159,0)),""))</f>
        <v>None</v>
      </c>
      <c r="J28" s="29" t="str">
        <f aca="false">IF($B28="","",IFERROR(INDEX('Qualification Matrix'!$C$2:$C$168,MATCH($B28,'Qualification Matrix'!$A$2:$A$168,0)),2))</f>
        <v>N</v>
      </c>
      <c r="K28" s="29" t="str">
        <f aca="false">IF($B28="","",IFERROR(INDEX('Qualification Matrix'!$D$2:$D$168,MATCH($B28,'Qualification Matrix'!$A$2:$A$168,0)),2))</f>
        <v>N</v>
      </c>
      <c r="L28" s="29" t="str">
        <f aca="false">IF($B28="","",IFERROR(INDEX('Qualification Matrix'!$E$2:$E$168,MATCH($B28,'Qualification Matrix'!$A$2:$A$168,0)),2))</f>
        <v>N</v>
      </c>
      <c r="M28" s="29" t="str">
        <f aca="false">IF($B28="","",IFERROR(INDEX('Qualification Matrix'!$F$2:$F$168,MATCH($B28,'Qualification Matrix'!$A$2:$A$168,0)),2))</f>
        <v>Y</v>
      </c>
      <c r="N28" s="29" t="str">
        <f aca="false">IF($B28="","",IF(AND($H28="Present",$F28&lt;&gt;"Y"),"Y","N"))</f>
        <v>Y</v>
      </c>
      <c r="O28" s="42"/>
      <c r="P28" s="29" t="n">
        <f aca="false">IF($B28="","",IFERROR(INDEX('Qualification Matrix'!$H$2:$H$168,MATCH($B28,'Qualification Matrix'!$A$2:$A$168,0)),""))</f>
        <v>2</v>
      </c>
      <c r="Q28" s="43" t="n">
        <f aca="false">IF($B28="","",SUMIFS('Rotation History'!$M$2:$M$1000,'Rotation History'!$B$2:$B$1000,$B28,'Rotation History'!$A$2:$A$1000,"&gt;="&amp;($B$2-30),'Rotation History'!$A$2:$A$1000,"&lt;"&amp;$B$2))</f>
        <v>0</v>
      </c>
      <c r="R28" s="43" t="n">
        <f aca="false">IF($B28="","",COUNTIFS('Rotation History'!$B$2:$B$1000,$B28,'Rotation History'!$M$2:$M$1000,"&gt;0",'Rotation History'!$A$2:$A$1000,"&gt;="&amp;($B$2-30),'Rotation History'!$A$2:$A$1000,"&lt;"&amp;$B$2))</f>
        <v>0</v>
      </c>
      <c r="S28" s="43" t="n">
        <f aca="false">IF($B28="","",IF(COUNTIFS('Rotation History'!$B$2:$B$1000,$B28,'Rotation History'!$A$2:$A$1000,$B$2-1,'Rotation History'!$M$2:$M$1000,"&gt;0")=0,0,1+IF(COUNTIFS('Rotation History'!$B$2:$B$1000,$B28,'Rotation History'!$A$2:$A$1000,$B$2-2,'Rotation History'!$M$2:$M$1000,"&gt;0")=0,0,1+IF(COUNTIFS('Rotation History'!$B$2:$B$1000,$B28,'Rotation History'!$A$2:$A$1000,$B$2-3,'Rotation History'!$M$2:$M$1000,"&gt;0")=0,0,1+IF(COUNTIFS('Rotation History'!$B$2:$B$1000,$B28,'Rotation History'!$A$2:$A$1000,$B$2-4,'Rotation History'!$M$2:$M$1000,"&gt;0")=0,0,1)))))</f>
        <v>0</v>
      </c>
      <c r="T28" s="43" t="n">
        <f aca="false">IF($B28="","",COUNTIFS('Rotation History'!$B$2:$B$1000,$B28,'Rotation History'!$K$2:$K$1000,"Opening",'Rotation History'!$A$2:$A$1000,"&gt;="&amp;($B$2-30),'Rotation History'!$A$2:$A$1000,"&lt;"&amp;$B$2))</f>
        <v>0</v>
      </c>
      <c r="U28" s="43" t="n">
        <f aca="false">IF($B28="","",COUNTIFS('Rotation History'!$B$2:$B$1000,$B28,'Rotation History'!$K$2:$K$1000,"Lunch Relief",'Rotation History'!$A$2:$A$1000,"&gt;="&amp;($B$2-30),'Rotation History'!$A$2:$A$1000,"&lt;"&amp;$B$2))</f>
        <v>0</v>
      </c>
      <c r="V28" s="44" t="n">
        <f aca="false">IF($B28="","",$Q28*10+$R28*2+$S28*20+$T28*3+$U28)</f>
        <v>0</v>
      </c>
    </row>
    <row r="29" customFormat="false" ht="14.25" hidden="false" customHeight="true" outlineLevel="0" collapsed="false">
      <c r="A29" s="40" t="n">
        <f aca="false">IF($B29="","",$B$2)</f>
        <v>46231</v>
      </c>
      <c r="B29" s="1" t="str">
        <f aca="false">IF($B$2="","",IFERROR(INDEX('Employee Master'!$A$2:$A$159,MATCH(ROWS($B$6:B29),Lists!$P$2:$P$159,0)),""))</f>
        <v>EMP-0009</v>
      </c>
      <c r="C29" s="1" t="str">
        <f aca="false">IF($B29="","",IFERROR(INDEX('Employee Master'!$B$2:$B$159,MATCH($B29,'Employee Master'!$A$2:$A$159,0)),""))</f>
        <v>Aleah Mckinnon</v>
      </c>
      <c r="D29" s="1" t="str">
        <f aca="false">IF($B29="","",IFERROR(INDEX('Employee Master'!$C$2:$C$159,MATCH($B29,'Employee Master'!$A$2:$A$159,0)),""))</f>
        <v>5:45 AM</v>
      </c>
      <c r="E29" s="1" t="str">
        <f aca="false">IF($B29="","",IFERROR(INDEX('Employee Master'!$I$2:$I$159,MATCH($B29,'Employee Master'!$A$2:$A$159,0)),""))</f>
        <v>AM</v>
      </c>
      <c r="F29" s="29" t="str">
        <f aca="false">IF($B29="","",IFERROR(INDEX('Employee Master'!$E$2:$E$159,MATCH($B29,'Employee Master'!$A$2:$A$159,0)),""))</f>
        <v>N</v>
      </c>
      <c r="G29" s="29" t="str">
        <f aca="false">IF($B29="","",IFERROR(INDEX('Employee Master'!$F$2:$F$159,MATCH($B29,'Employee Master'!$A$2:$A$159,0)),""))</f>
        <v>N</v>
      </c>
      <c r="H29" s="41" t="str">
        <f aca="false">IF($B29="","","Present")</f>
        <v>Present</v>
      </c>
      <c r="I29" s="1" t="str">
        <f aca="false">IF($B29="","",IFERROR(INDEX('Employee Master'!$H$2:$H$159,MATCH($B29,'Employee Master'!$A$2:$A$159,0)),""))</f>
        <v>None</v>
      </c>
      <c r="J29" s="29" t="str">
        <f aca="false">IF($B29="","",IFERROR(INDEX('Qualification Matrix'!$C$2:$C$168,MATCH($B29,'Qualification Matrix'!$A$2:$A$168,0)),2))</f>
        <v>N</v>
      </c>
      <c r="K29" s="29" t="str">
        <f aca="false">IF($B29="","",IFERROR(INDEX('Qualification Matrix'!$D$2:$D$168,MATCH($B29,'Qualification Matrix'!$A$2:$A$168,0)),2))</f>
        <v>N</v>
      </c>
      <c r="L29" s="29" t="str">
        <f aca="false">IF($B29="","",IFERROR(INDEX('Qualification Matrix'!$E$2:$E$168,MATCH($B29,'Qualification Matrix'!$A$2:$A$168,0)),2))</f>
        <v>N</v>
      </c>
      <c r="M29" s="29" t="str">
        <f aca="false">IF($B29="","",IFERROR(INDEX('Qualification Matrix'!$F$2:$F$168,MATCH($B29,'Qualification Matrix'!$A$2:$A$168,0)),2))</f>
        <v>Y</v>
      </c>
      <c r="N29" s="29" t="str">
        <f aca="false">IF($B29="","",IF(AND($H29="Present",$F29&lt;&gt;"Y"),"Y","N"))</f>
        <v>Y</v>
      </c>
      <c r="O29" s="42"/>
      <c r="P29" s="29" t="n">
        <f aca="false">IF($B29="","",IFERROR(INDEX('Qualification Matrix'!$H$2:$H$168,MATCH($B29,'Qualification Matrix'!$A$2:$A$168,0)),""))</f>
        <v>2</v>
      </c>
      <c r="Q29" s="43" t="n">
        <f aca="false">IF($B29="","",SUMIFS('Rotation History'!$M$2:$M$1000,'Rotation History'!$B$2:$B$1000,$B29,'Rotation History'!$A$2:$A$1000,"&gt;="&amp;($B$2-30),'Rotation History'!$A$2:$A$1000,"&lt;"&amp;$B$2))</f>
        <v>0</v>
      </c>
      <c r="R29" s="43" t="n">
        <f aca="false">IF($B29="","",COUNTIFS('Rotation History'!$B$2:$B$1000,$B29,'Rotation History'!$M$2:$M$1000,"&gt;0",'Rotation History'!$A$2:$A$1000,"&gt;="&amp;($B$2-30),'Rotation History'!$A$2:$A$1000,"&lt;"&amp;$B$2))</f>
        <v>0</v>
      </c>
      <c r="S29" s="43" t="n">
        <f aca="false">IF($B29="","",IF(COUNTIFS('Rotation History'!$B$2:$B$1000,$B29,'Rotation History'!$A$2:$A$1000,$B$2-1,'Rotation History'!$M$2:$M$1000,"&gt;0")=0,0,1+IF(COUNTIFS('Rotation History'!$B$2:$B$1000,$B29,'Rotation History'!$A$2:$A$1000,$B$2-2,'Rotation History'!$M$2:$M$1000,"&gt;0")=0,0,1+IF(COUNTIFS('Rotation History'!$B$2:$B$1000,$B29,'Rotation History'!$A$2:$A$1000,$B$2-3,'Rotation History'!$M$2:$M$1000,"&gt;0")=0,0,1+IF(COUNTIFS('Rotation History'!$B$2:$B$1000,$B29,'Rotation History'!$A$2:$A$1000,$B$2-4,'Rotation History'!$M$2:$M$1000,"&gt;0")=0,0,1)))))</f>
        <v>0</v>
      </c>
      <c r="T29" s="43" t="n">
        <f aca="false">IF($B29="","",COUNTIFS('Rotation History'!$B$2:$B$1000,$B29,'Rotation History'!$K$2:$K$1000,"Opening",'Rotation History'!$A$2:$A$1000,"&gt;="&amp;($B$2-30),'Rotation History'!$A$2:$A$1000,"&lt;"&amp;$B$2))</f>
        <v>0</v>
      </c>
      <c r="U29" s="43" t="n">
        <f aca="false">IF($B29="","",COUNTIFS('Rotation History'!$B$2:$B$1000,$B29,'Rotation History'!$K$2:$K$1000,"Lunch Relief",'Rotation History'!$A$2:$A$1000,"&gt;="&amp;($B$2-30),'Rotation History'!$A$2:$A$1000,"&lt;"&amp;$B$2))</f>
        <v>0</v>
      </c>
      <c r="V29" s="44" t="n">
        <f aca="false">IF($B29="","",$Q29*10+$R29*2+$S29*20+$T29*3+$U29)</f>
        <v>0</v>
      </c>
    </row>
    <row r="30" customFormat="false" ht="14.25" hidden="false" customHeight="true" outlineLevel="0" collapsed="false">
      <c r="A30" s="40" t="n">
        <f aca="false">IF($B30="","",$B$2)</f>
        <v>46231</v>
      </c>
      <c r="B30" s="1" t="str">
        <f aca="false">IF($B$2="","",IFERROR(INDEX('Employee Master'!$A$2:$A$159,MATCH(ROWS($B$6:B30),Lists!$P$2:$P$159,0)),""))</f>
        <v>EMP-0018</v>
      </c>
      <c r="C30" s="1" t="str">
        <f aca="false">IF($B30="","",IFERROR(INDEX('Employee Master'!$B$2:$B$159,MATCH($B30,'Employee Master'!$A$2:$A$159,0)),""))</f>
        <v>Ashia Norman</v>
      </c>
      <c r="D30" s="1" t="str">
        <f aca="false">IF($B30="","",IFERROR(INDEX('Employee Master'!$C$2:$C$159,MATCH($B30,'Employee Master'!$A$2:$A$159,0)),""))</f>
        <v>5:45 AM</v>
      </c>
      <c r="E30" s="1" t="str">
        <f aca="false">IF($B30="","",IFERROR(INDEX('Employee Master'!$I$2:$I$159,MATCH($B30,'Employee Master'!$A$2:$A$159,0)),""))</f>
        <v>AM</v>
      </c>
      <c r="F30" s="29" t="str">
        <f aca="false">IF($B30="","",IFERROR(INDEX('Employee Master'!$E$2:$E$159,MATCH($B30,'Employee Master'!$A$2:$A$159,0)),""))</f>
        <v>N</v>
      </c>
      <c r="G30" s="29" t="str">
        <f aca="false">IF($B30="","",IFERROR(INDEX('Employee Master'!$F$2:$F$159,MATCH($B30,'Employee Master'!$A$2:$A$159,0)),""))</f>
        <v>N</v>
      </c>
      <c r="H30" s="41" t="str">
        <f aca="false">IF($B30="","","Present")</f>
        <v>Present</v>
      </c>
      <c r="I30" s="1" t="str">
        <f aca="false">IF($B30="","",IFERROR(INDEX('Employee Master'!$H$2:$H$159,MATCH($B30,'Employee Master'!$A$2:$A$159,0)),""))</f>
        <v>None</v>
      </c>
      <c r="J30" s="29" t="str">
        <f aca="false">IF($B30="","",IFERROR(INDEX('Qualification Matrix'!$C$2:$C$168,MATCH($B30,'Qualification Matrix'!$A$2:$A$168,0)),2))</f>
        <v>N</v>
      </c>
      <c r="K30" s="29" t="str">
        <f aca="false">IF($B30="","",IFERROR(INDEX('Qualification Matrix'!$D$2:$D$168,MATCH($B30,'Qualification Matrix'!$A$2:$A$168,0)),2))</f>
        <v>N</v>
      </c>
      <c r="L30" s="29" t="str">
        <f aca="false">IF($B30="","",IFERROR(INDEX('Qualification Matrix'!$E$2:$E$168,MATCH($B30,'Qualification Matrix'!$A$2:$A$168,0)),2))</f>
        <v>N</v>
      </c>
      <c r="M30" s="29" t="str">
        <f aca="false">IF($B30="","",IFERROR(INDEX('Qualification Matrix'!$F$2:$F$168,MATCH($B30,'Qualification Matrix'!$A$2:$A$168,0)),2))</f>
        <v>Y</v>
      </c>
      <c r="N30" s="29" t="str">
        <f aca="false">IF($B30="","",IF(AND($H30="Present",$F30&lt;&gt;"Y"),"Y","N"))</f>
        <v>Y</v>
      </c>
      <c r="O30" s="42"/>
      <c r="P30" s="29" t="n">
        <f aca="false">IF($B30="","",IFERROR(INDEX('Qualification Matrix'!$H$2:$H$168,MATCH($B30,'Qualification Matrix'!$A$2:$A$168,0)),""))</f>
        <v>2</v>
      </c>
      <c r="Q30" s="43" t="n">
        <f aca="false">IF($B30="","",SUMIFS('Rotation History'!$M$2:$M$1000,'Rotation History'!$B$2:$B$1000,$B30,'Rotation History'!$A$2:$A$1000,"&gt;="&amp;($B$2-30),'Rotation History'!$A$2:$A$1000,"&lt;"&amp;$B$2))</f>
        <v>0</v>
      </c>
      <c r="R30" s="43" t="n">
        <f aca="false">IF($B30="","",COUNTIFS('Rotation History'!$B$2:$B$1000,$B30,'Rotation History'!$M$2:$M$1000,"&gt;0",'Rotation History'!$A$2:$A$1000,"&gt;="&amp;($B$2-30),'Rotation History'!$A$2:$A$1000,"&lt;"&amp;$B$2))</f>
        <v>0</v>
      </c>
      <c r="S30" s="43" t="n">
        <f aca="false">IF($B30="","",IF(COUNTIFS('Rotation History'!$B$2:$B$1000,$B30,'Rotation History'!$A$2:$A$1000,$B$2-1,'Rotation History'!$M$2:$M$1000,"&gt;0")=0,0,1+IF(COUNTIFS('Rotation History'!$B$2:$B$1000,$B30,'Rotation History'!$A$2:$A$1000,$B$2-2,'Rotation History'!$M$2:$M$1000,"&gt;0")=0,0,1+IF(COUNTIFS('Rotation History'!$B$2:$B$1000,$B30,'Rotation History'!$A$2:$A$1000,$B$2-3,'Rotation History'!$M$2:$M$1000,"&gt;0")=0,0,1+IF(COUNTIFS('Rotation History'!$B$2:$B$1000,$B30,'Rotation History'!$A$2:$A$1000,$B$2-4,'Rotation History'!$M$2:$M$1000,"&gt;0")=0,0,1)))))</f>
        <v>0</v>
      </c>
      <c r="T30" s="43" t="n">
        <f aca="false">IF($B30="","",COUNTIFS('Rotation History'!$B$2:$B$1000,$B30,'Rotation History'!$K$2:$K$1000,"Opening",'Rotation History'!$A$2:$A$1000,"&gt;="&amp;($B$2-30),'Rotation History'!$A$2:$A$1000,"&lt;"&amp;$B$2))</f>
        <v>0</v>
      </c>
      <c r="U30" s="43" t="n">
        <f aca="false">IF($B30="","",COUNTIFS('Rotation History'!$B$2:$B$1000,$B30,'Rotation History'!$K$2:$K$1000,"Lunch Relief",'Rotation History'!$A$2:$A$1000,"&gt;="&amp;($B$2-30),'Rotation History'!$A$2:$A$1000,"&lt;"&amp;$B$2))</f>
        <v>0</v>
      </c>
      <c r="V30" s="44" t="n">
        <f aca="false">IF($B30="","",$Q30*10+$R30*2+$S30*20+$T30*3+$U30)</f>
        <v>0</v>
      </c>
    </row>
    <row r="31" customFormat="false" ht="14.25" hidden="false" customHeight="true" outlineLevel="0" collapsed="false">
      <c r="A31" s="40" t="n">
        <f aca="false">IF($B31="","",$B$2)</f>
        <v>46231</v>
      </c>
      <c r="B31" s="1" t="str">
        <f aca="false">IF($B$2="","",IFERROR(INDEX('Employee Master'!$A$2:$A$159,MATCH(ROWS($B$6:B31),Lists!$P$2:$P$159,0)),""))</f>
        <v>EMP-0026</v>
      </c>
      <c r="C31" s="1" t="str">
        <f aca="false">IF($B31="","",IFERROR(INDEX('Employee Master'!$B$2:$B$159,MATCH($B31,'Employee Master'!$A$2:$A$159,0)),""))</f>
        <v>Birhanu Hailu</v>
      </c>
      <c r="D31" s="1" t="str">
        <f aca="false">IF($B31="","",IFERROR(INDEX('Employee Master'!$C$2:$C$159,MATCH($B31,'Employee Master'!$A$2:$A$159,0)),""))</f>
        <v>5:45 AM</v>
      </c>
      <c r="E31" s="1" t="str">
        <f aca="false">IF($B31="","",IFERROR(INDEX('Employee Master'!$I$2:$I$159,MATCH($B31,'Employee Master'!$A$2:$A$159,0)),""))</f>
        <v>AM</v>
      </c>
      <c r="F31" s="29" t="str">
        <f aca="false">IF($B31="","",IFERROR(INDEX('Employee Master'!$E$2:$E$159,MATCH($B31,'Employee Master'!$A$2:$A$159,0)),""))</f>
        <v>N</v>
      </c>
      <c r="G31" s="29" t="str">
        <f aca="false">IF($B31="","",IFERROR(INDEX('Employee Master'!$F$2:$F$159,MATCH($B31,'Employee Master'!$A$2:$A$159,0)),""))</f>
        <v>N</v>
      </c>
      <c r="H31" s="41" t="str">
        <f aca="false">IF($B31="","","Present")</f>
        <v>Present</v>
      </c>
      <c r="I31" s="1" t="str">
        <f aca="false">IF($B31="","",IFERROR(INDEX('Employee Master'!$H$2:$H$159,MATCH($B31,'Employee Master'!$A$2:$A$159,0)),""))</f>
        <v>None</v>
      </c>
      <c r="J31" s="29" t="str">
        <f aca="false">IF($B31="","",IFERROR(INDEX('Qualification Matrix'!$C$2:$C$168,MATCH($B31,'Qualification Matrix'!$A$2:$A$168,0)),2))</f>
        <v>N</v>
      </c>
      <c r="K31" s="29" t="str">
        <f aca="false">IF($B31="","",IFERROR(INDEX('Qualification Matrix'!$D$2:$D$168,MATCH($B31,'Qualification Matrix'!$A$2:$A$168,0)),2))</f>
        <v>N</v>
      </c>
      <c r="L31" s="29" t="str">
        <f aca="false">IF($B31="","",IFERROR(INDEX('Qualification Matrix'!$E$2:$E$168,MATCH($B31,'Qualification Matrix'!$A$2:$A$168,0)),2))</f>
        <v>N</v>
      </c>
      <c r="M31" s="29" t="str">
        <f aca="false">IF($B31="","",IFERROR(INDEX('Qualification Matrix'!$F$2:$F$168,MATCH($B31,'Qualification Matrix'!$A$2:$A$168,0)),2))</f>
        <v>Y</v>
      </c>
      <c r="N31" s="29" t="str">
        <f aca="false">IF($B31="","",IF(AND($H31="Present",$F31&lt;&gt;"Y"),"Y","N"))</f>
        <v>Y</v>
      </c>
      <c r="O31" s="42"/>
      <c r="P31" s="29" t="n">
        <f aca="false">IF($B31="","",IFERROR(INDEX('Qualification Matrix'!$H$2:$H$168,MATCH($B31,'Qualification Matrix'!$A$2:$A$168,0)),""))</f>
        <v>2</v>
      </c>
      <c r="Q31" s="43" t="n">
        <f aca="false">IF($B31="","",SUMIFS('Rotation History'!$M$2:$M$1000,'Rotation History'!$B$2:$B$1000,$B31,'Rotation History'!$A$2:$A$1000,"&gt;="&amp;($B$2-30),'Rotation History'!$A$2:$A$1000,"&lt;"&amp;$B$2))</f>
        <v>0</v>
      </c>
      <c r="R31" s="43" t="n">
        <f aca="false">IF($B31="","",COUNTIFS('Rotation History'!$B$2:$B$1000,$B31,'Rotation History'!$M$2:$M$1000,"&gt;0",'Rotation History'!$A$2:$A$1000,"&gt;="&amp;($B$2-30),'Rotation History'!$A$2:$A$1000,"&lt;"&amp;$B$2))</f>
        <v>0</v>
      </c>
      <c r="S31" s="43" t="n">
        <f aca="false">IF($B31="","",IF(COUNTIFS('Rotation History'!$B$2:$B$1000,$B31,'Rotation History'!$A$2:$A$1000,$B$2-1,'Rotation History'!$M$2:$M$1000,"&gt;0")=0,0,1+IF(COUNTIFS('Rotation History'!$B$2:$B$1000,$B31,'Rotation History'!$A$2:$A$1000,$B$2-2,'Rotation History'!$M$2:$M$1000,"&gt;0")=0,0,1+IF(COUNTIFS('Rotation History'!$B$2:$B$1000,$B31,'Rotation History'!$A$2:$A$1000,$B$2-3,'Rotation History'!$M$2:$M$1000,"&gt;0")=0,0,1+IF(COUNTIFS('Rotation History'!$B$2:$B$1000,$B31,'Rotation History'!$A$2:$A$1000,$B$2-4,'Rotation History'!$M$2:$M$1000,"&gt;0")=0,0,1)))))</f>
        <v>0</v>
      </c>
      <c r="T31" s="43" t="n">
        <f aca="false">IF($B31="","",COUNTIFS('Rotation History'!$B$2:$B$1000,$B31,'Rotation History'!$K$2:$K$1000,"Opening",'Rotation History'!$A$2:$A$1000,"&gt;="&amp;($B$2-30),'Rotation History'!$A$2:$A$1000,"&lt;"&amp;$B$2))</f>
        <v>0</v>
      </c>
      <c r="U31" s="43" t="n">
        <f aca="false">IF($B31="","",COUNTIFS('Rotation History'!$B$2:$B$1000,$B31,'Rotation History'!$K$2:$K$1000,"Lunch Relief",'Rotation History'!$A$2:$A$1000,"&gt;="&amp;($B$2-30),'Rotation History'!$A$2:$A$1000,"&lt;"&amp;$B$2))</f>
        <v>0</v>
      </c>
      <c r="V31" s="44" t="n">
        <f aca="false">IF($B31="","",$Q31*10+$R31*2+$S31*20+$T31*3+$U31)</f>
        <v>0</v>
      </c>
    </row>
    <row r="32" customFormat="false" ht="14.25" hidden="false" customHeight="true" outlineLevel="0" collapsed="false">
      <c r="A32" s="40" t="n">
        <f aca="false">IF($B32="","",$B$2)</f>
        <v>46231</v>
      </c>
      <c r="B32" s="1" t="str">
        <f aca="false">IF($B$2="","",IFERROR(INDEX('Employee Master'!$A$2:$A$159,MATCH(ROWS($B$6:B32),Lists!$P$2:$P$159,0)),""))</f>
        <v>EMP-0028</v>
      </c>
      <c r="C32" s="1" t="str">
        <f aca="false">IF($B32="","",IFERROR(INDEX('Employee Master'!$B$2:$B$159,MATCH($B32,'Employee Master'!$A$2:$A$159,0)),""))</f>
        <v>Brain Lee</v>
      </c>
      <c r="D32" s="1" t="str">
        <f aca="false">IF($B32="","",IFERROR(INDEX('Employee Master'!$C$2:$C$159,MATCH($B32,'Employee Master'!$A$2:$A$159,0)),""))</f>
        <v>5:45 AM</v>
      </c>
      <c r="E32" s="1" t="str">
        <f aca="false">IF($B32="","",IFERROR(INDEX('Employee Master'!$I$2:$I$159,MATCH($B32,'Employee Master'!$A$2:$A$159,0)),""))</f>
        <v>AM</v>
      </c>
      <c r="F32" s="29" t="str">
        <f aca="false">IF($B32="","",IFERROR(INDEX('Employee Master'!$E$2:$E$159,MATCH($B32,'Employee Master'!$A$2:$A$159,0)),""))</f>
        <v>N</v>
      </c>
      <c r="G32" s="29" t="str">
        <f aca="false">IF($B32="","",IFERROR(INDEX('Employee Master'!$F$2:$F$159,MATCH($B32,'Employee Master'!$A$2:$A$159,0)),""))</f>
        <v>N</v>
      </c>
      <c r="H32" s="41" t="str">
        <f aca="false">IF($B32="","","Present")</f>
        <v>Present</v>
      </c>
      <c r="I32" s="1" t="str">
        <f aca="false">IF($B32="","",IFERROR(INDEX('Employee Master'!$H$2:$H$159,MATCH($B32,'Employee Master'!$A$2:$A$159,0)),""))</f>
        <v>None</v>
      </c>
      <c r="J32" s="29" t="str">
        <f aca="false">IF($B32="","",IFERROR(INDEX('Qualification Matrix'!$C$2:$C$168,MATCH($B32,'Qualification Matrix'!$A$2:$A$168,0)),2))</f>
        <v>N</v>
      </c>
      <c r="K32" s="29" t="str">
        <f aca="false">IF($B32="","",IFERROR(INDEX('Qualification Matrix'!$D$2:$D$168,MATCH($B32,'Qualification Matrix'!$A$2:$A$168,0)),2))</f>
        <v>N</v>
      </c>
      <c r="L32" s="29" t="str">
        <f aca="false">IF($B32="","",IFERROR(INDEX('Qualification Matrix'!$E$2:$E$168,MATCH($B32,'Qualification Matrix'!$A$2:$A$168,0)),2))</f>
        <v>N</v>
      </c>
      <c r="M32" s="29" t="str">
        <f aca="false">IF($B32="","",IFERROR(INDEX('Qualification Matrix'!$F$2:$F$168,MATCH($B32,'Qualification Matrix'!$A$2:$A$168,0)),2))</f>
        <v>Y</v>
      </c>
      <c r="N32" s="29" t="str">
        <f aca="false">IF($B32="","",IF(AND($H32="Present",$F32&lt;&gt;"Y"),"Y","N"))</f>
        <v>Y</v>
      </c>
      <c r="O32" s="42"/>
      <c r="P32" s="29" t="n">
        <f aca="false">IF($B32="","",IFERROR(INDEX('Qualification Matrix'!$H$2:$H$168,MATCH($B32,'Qualification Matrix'!$A$2:$A$168,0)),""))</f>
        <v>2</v>
      </c>
      <c r="Q32" s="43" t="n">
        <f aca="false">IF($B32="","",SUMIFS('Rotation History'!$M$2:$M$1000,'Rotation History'!$B$2:$B$1000,$B32,'Rotation History'!$A$2:$A$1000,"&gt;="&amp;($B$2-30),'Rotation History'!$A$2:$A$1000,"&lt;"&amp;$B$2))</f>
        <v>0</v>
      </c>
      <c r="R32" s="43" t="n">
        <f aca="false">IF($B32="","",COUNTIFS('Rotation History'!$B$2:$B$1000,$B32,'Rotation History'!$M$2:$M$1000,"&gt;0",'Rotation History'!$A$2:$A$1000,"&gt;="&amp;($B$2-30),'Rotation History'!$A$2:$A$1000,"&lt;"&amp;$B$2))</f>
        <v>0</v>
      </c>
      <c r="S32" s="43" t="n">
        <f aca="false">IF($B32="","",IF(COUNTIFS('Rotation History'!$B$2:$B$1000,$B32,'Rotation History'!$A$2:$A$1000,$B$2-1,'Rotation History'!$M$2:$M$1000,"&gt;0")=0,0,1+IF(COUNTIFS('Rotation History'!$B$2:$B$1000,$B32,'Rotation History'!$A$2:$A$1000,$B$2-2,'Rotation History'!$M$2:$M$1000,"&gt;0")=0,0,1+IF(COUNTIFS('Rotation History'!$B$2:$B$1000,$B32,'Rotation History'!$A$2:$A$1000,$B$2-3,'Rotation History'!$M$2:$M$1000,"&gt;0")=0,0,1+IF(COUNTIFS('Rotation History'!$B$2:$B$1000,$B32,'Rotation History'!$A$2:$A$1000,$B$2-4,'Rotation History'!$M$2:$M$1000,"&gt;0")=0,0,1)))))</f>
        <v>0</v>
      </c>
      <c r="T32" s="43" t="n">
        <f aca="false">IF($B32="","",COUNTIFS('Rotation History'!$B$2:$B$1000,$B32,'Rotation History'!$K$2:$K$1000,"Opening",'Rotation History'!$A$2:$A$1000,"&gt;="&amp;($B$2-30),'Rotation History'!$A$2:$A$1000,"&lt;"&amp;$B$2))</f>
        <v>0</v>
      </c>
      <c r="U32" s="43" t="n">
        <f aca="false">IF($B32="","",COUNTIFS('Rotation History'!$B$2:$B$1000,$B32,'Rotation History'!$K$2:$K$1000,"Lunch Relief",'Rotation History'!$A$2:$A$1000,"&gt;="&amp;($B$2-30),'Rotation History'!$A$2:$A$1000,"&lt;"&amp;$B$2))</f>
        <v>0</v>
      </c>
      <c r="V32" s="44" t="n">
        <f aca="false">IF($B32="","",$Q32*10+$R32*2+$S32*20+$T32*3+$U32)</f>
        <v>0</v>
      </c>
    </row>
    <row r="33" customFormat="false" ht="14.25" hidden="false" customHeight="true" outlineLevel="0" collapsed="false">
      <c r="A33" s="40" t="n">
        <f aca="false">IF($B33="","",$B$2)</f>
        <v>46231</v>
      </c>
      <c r="B33" s="1" t="str">
        <f aca="false">IF($B$2="","",IFERROR(INDEX('Employee Master'!$A$2:$A$159,MATCH(ROWS($B$6:B33),Lists!$P$2:$P$159,0)),""))</f>
        <v>EMP-0040</v>
      </c>
      <c r="C33" s="1" t="str">
        <f aca="false">IF($B33="","",IFERROR(INDEX('Employee Master'!$B$2:$B$159,MATCH($B33,'Employee Master'!$A$2:$A$159,0)),""))</f>
        <v>Chrystal Harvey</v>
      </c>
      <c r="D33" s="1" t="str">
        <f aca="false">IF($B33="","",IFERROR(INDEX('Employee Master'!$C$2:$C$159,MATCH($B33,'Employee Master'!$A$2:$A$159,0)),""))</f>
        <v>5:45 AM</v>
      </c>
      <c r="E33" s="1" t="str">
        <f aca="false">IF($B33="","",IFERROR(INDEX('Employee Master'!$I$2:$I$159,MATCH($B33,'Employee Master'!$A$2:$A$159,0)),""))</f>
        <v>AM</v>
      </c>
      <c r="F33" s="29" t="str">
        <f aca="false">IF($B33="","",IFERROR(INDEX('Employee Master'!$E$2:$E$159,MATCH($B33,'Employee Master'!$A$2:$A$159,0)),""))</f>
        <v>N</v>
      </c>
      <c r="G33" s="29" t="str">
        <f aca="false">IF($B33="","",IFERROR(INDEX('Employee Master'!$F$2:$F$159,MATCH($B33,'Employee Master'!$A$2:$A$159,0)),""))</f>
        <v>N</v>
      </c>
      <c r="H33" s="41" t="str">
        <f aca="false">IF($B33="","","Present")</f>
        <v>Present</v>
      </c>
      <c r="I33" s="1" t="str">
        <f aca="false">IF($B33="","",IFERROR(INDEX('Employee Master'!$H$2:$H$159,MATCH($B33,'Employee Master'!$A$2:$A$159,0)),""))</f>
        <v>None</v>
      </c>
      <c r="J33" s="29" t="str">
        <f aca="false">IF($B33="","",IFERROR(INDEX('Qualification Matrix'!$C$2:$C$168,MATCH($B33,'Qualification Matrix'!$A$2:$A$168,0)),2))</f>
        <v>N</v>
      </c>
      <c r="K33" s="29" t="str">
        <f aca="false">IF($B33="","",IFERROR(INDEX('Qualification Matrix'!$D$2:$D$168,MATCH($B33,'Qualification Matrix'!$A$2:$A$168,0)),2))</f>
        <v>N</v>
      </c>
      <c r="L33" s="29" t="str">
        <f aca="false">IF($B33="","",IFERROR(INDEX('Qualification Matrix'!$E$2:$E$168,MATCH($B33,'Qualification Matrix'!$A$2:$A$168,0)),2))</f>
        <v>N</v>
      </c>
      <c r="M33" s="29" t="str">
        <f aca="false">IF($B33="","",IFERROR(INDEX('Qualification Matrix'!$F$2:$F$168,MATCH($B33,'Qualification Matrix'!$A$2:$A$168,0)),2))</f>
        <v>Y</v>
      </c>
      <c r="N33" s="29" t="str">
        <f aca="false">IF($B33="","",IF(AND($H33="Present",$F33&lt;&gt;"Y"),"Y","N"))</f>
        <v>Y</v>
      </c>
      <c r="O33" s="42"/>
      <c r="P33" s="29" t="n">
        <f aca="false">IF($B33="","",IFERROR(INDEX('Qualification Matrix'!$H$2:$H$168,MATCH($B33,'Qualification Matrix'!$A$2:$A$168,0)),""))</f>
        <v>2</v>
      </c>
      <c r="Q33" s="43" t="n">
        <f aca="false">IF($B33="","",SUMIFS('Rotation History'!$M$2:$M$1000,'Rotation History'!$B$2:$B$1000,$B33,'Rotation History'!$A$2:$A$1000,"&gt;="&amp;($B$2-30),'Rotation History'!$A$2:$A$1000,"&lt;"&amp;$B$2))</f>
        <v>0</v>
      </c>
      <c r="R33" s="43" t="n">
        <f aca="false">IF($B33="","",COUNTIFS('Rotation History'!$B$2:$B$1000,$B33,'Rotation History'!$M$2:$M$1000,"&gt;0",'Rotation History'!$A$2:$A$1000,"&gt;="&amp;($B$2-30),'Rotation History'!$A$2:$A$1000,"&lt;"&amp;$B$2))</f>
        <v>0</v>
      </c>
      <c r="S33" s="43" t="n">
        <f aca="false">IF($B33="","",IF(COUNTIFS('Rotation History'!$B$2:$B$1000,$B33,'Rotation History'!$A$2:$A$1000,$B$2-1,'Rotation History'!$M$2:$M$1000,"&gt;0")=0,0,1+IF(COUNTIFS('Rotation History'!$B$2:$B$1000,$B33,'Rotation History'!$A$2:$A$1000,$B$2-2,'Rotation History'!$M$2:$M$1000,"&gt;0")=0,0,1+IF(COUNTIFS('Rotation History'!$B$2:$B$1000,$B33,'Rotation History'!$A$2:$A$1000,$B$2-3,'Rotation History'!$M$2:$M$1000,"&gt;0")=0,0,1+IF(COUNTIFS('Rotation History'!$B$2:$B$1000,$B33,'Rotation History'!$A$2:$A$1000,$B$2-4,'Rotation History'!$M$2:$M$1000,"&gt;0")=0,0,1)))))</f>
        <v>0</v>
      </c>
      <c r="T33" s="43" t="n">
        <f aca="false">IF($B33="","",COUNTIFS('Rotation History'!$B$2:$B$1000,$B33,'Rotation History'!$K$2:$K$1000,"Opening",'Rotation History'!$A$2:$A$1000,"&gt;="&amp;($B$2-30),'Rotation History'!$A$2:$A$1000,"&lt;"&amp;$B$2))</f>
        <v>0</v>
      </c>
      <c r="U33" s="43" t="n">
        <f aca="false">IF($B33="","",COUNTIFS('Rotation History'!$B$2:$B$1000,$B33,'Rotation History'!$K$2:$K$1000,"Lunch Relief",'Rotation History'!$A$2:$A$1000,"&gt;="&amp;($B$2-30),'Rotation History'!$A$2:$A$1000,"&lt;"&amp;$B$2))</f>
        <v>0</v>
      </c>
      <c r="V33" s="44" t="n">
        <f aca="false">IF($B33="","",$Q33*10+$R33*2+$S33*20+$T33*3+$U33)</f>
        <v>0</v>
      </c>
    </row>
    <row r="34" customFormat="false" ht="14.25" hidden="false" customHeight="true" outlineLevel="0" collapsed="false">
      <c r="A34" s="40" t="n">
        <f aca="false">IF($B34="","",$B$2)</f>
        <v>46231</v>
      </c>
      <c r="B34" s="1" t="str">
        <f aca="false">IF($B$2="","",IFERROR(INDEX('Employee Master'!$A$2:$A$159,MATCH(ROWS($B$6:B34),Lists!$P$2:$P$159,0)),""))</f>
        <v>EMP-0041</v>
      </c>
      <c r="C34" s="1" t="str">
        <f aca="false">IF($B34="","",IFERROR(INDEX('Employee Master'!$B$2:$B$159,MATCH($B34,'Employee Master'!$A$2:$A$159,0)),""))</f>
        <v>Cicely Thicklin</v>
      </c>
      <c r="D34" s="1" t="str">
        <f aca="false">IF($B34="","",IFERROR(INDEX('Employee Master'!$C$2:$C$159,MATCH($B34,'Employee Master'!$A$2:$A$159,0)),""))</f>
        <v>5:45 AM</v>
      </c>
      <c r="E34" s="1" t="str">
        <f aca="false">IF($B34="","",IFERROR(INDEX('Employee Master'!$I$2:$I$159,MATCH($B34,'Employee Master'!$A$2:$A$159,0)),""))</f>
        <v>AM</v>
      </c>
      <c r="F34" s="29" t="str">
        <f aca="false">IF($B34="","",IFERROR(INDEX('Employee Master'!$E$2:$E$159,MATCH($B34,'Employee Master'!$A$2:$A$159,0)),""))</f>
        <v>N</v>
      </c>
      <c r="G34" s="29" t="str">
        <f aca="false">IF($B34="","",IFERROR(INDEX('Employee Master'!$F$2:$F$159,MATCH($B34,'Employee Master'!$A$2:$A$159,0)),""))</f>
        <v>N</v>
      </c>
      <c r="H34" s="41" t="str">
        <f aca="false">IF($B34="","","Present")</f>
        <v>Present</v>
      </c>
      <c r="I34" s="1" t="str">
        <f aca="false">IF($B34="","",IFERROR(INDEX('Employee Master'!$H$2:$H$159,MATCH($B34,'Employee Master'!$A$2:$A$159,0)),""))</f>
        <v>None</v>
      </c>
      <c r="J34" s="29" t="str">
        <f aca="false">IF($B34="","",IFERROR(INDEX('Qualification Matrix'!$C$2:$C$168,MATCH($B34,'Qualification Matrix'!$A$2:$A$168,0)),2))</f>
        <v>N</v>
      </c>
      <c r="K34" s="29" t="str">
        <f aca="false">IF($B34="","",IFERROR(INDEX('Qualification Matrix'!$D$2:$D$168,MATCH($B34,'Qualification Matrix'!$A$2:$A$168,0)),2))</f>
        <v>N</v>
      </c>
      <c r="L34" s="29" t="str">
        <f aca="false">IF($B34="","",IFERROR(INDEX('Qualification Matrix'!$E$2:$E$168,MATCH($B34,'Qualification Matrix'!$A$2:$A$168,0)),2))</f>
        <v>N</v>
      </c>
      <c r="M34" s="29" t="str">
        <f aca="false">IF($B34="","",IFERROR(INDEX('Qualification Matrix'!$F$2:$F$168,MATCH($B34,'Qualification Matrix'!$A$2:$A$168,0)),2))</f>
        <v>Y</v>
      </c>
      <c r="N34" s="29" t="str">
        <f aca="false">IF($B34="","",IF(AND($H34="Present",$F34&lt;&gt;"Y"),"Y","N"))</f>
        <v>Y</v>
      </c>
      <c r="O34" s="42"/>
      <c r="P34" s="29" t="n">
        <f aca="false">IF($B34="","",IFERROR(INDEX('Qualification Matrix'!$H$2:$H$168,MATCH($B34,'Qualification Matrix'!$A$2:$A$168,0)),""))</f>
        <v>2</v>
      </c>
      <c r="Q34" s="43" t="n">
        <f aca="false">IF($B34="","",SUMIFS('Rotation History'!$M$2:$M$1000,'Rotation History'!$B$2:$B$1000,$B34,'Rotation History'!$A$2:$A$1000,"&gt;="&amp;($B$2-30),'Rotation History'!$A$2:$A$1000,"&lt;"&amp;$B$2))</f>
        <v>0</v>
      </c>
      <c r="R34" s="43" t="n">
        <f aca="false">IF($B34="","",COUNTIFS('Rotation History'!$B$2:$B$1000,$B34,'Rotation History'!$M$2:$M$1000,"&gt;0",'Rotation History'!$A$2:$A$1000,"&gt;="&amp;($B$2-30),'Rotation History'!$A$2:$A$1000,"&lt;"&amp;$B$2))</f>
        <v>0</v>
      </c>
      <c r="S34" s="43" t="n">
        <f aca="false">IF($B34="","",IF(COUNTIFS('Rotation History'!$B$2:$B$1000,$B34,'Rotation History'!$A$2:$A$1000,$B$2-1,'Rotation History'!$M$2:$M$1000,"&gt;0")=0,0,1+IF(COUNTIFS('Rotation History'!$B$2:$B$1000,$B34,'Rotation History'!$A$2:$A$1000,$B$2-2,'Rotation History'!$M$2:$M$1000,"&gt;0")=0,0,1+IF(COUNTIFS('Rotation History'!$B$2:$B$1000,$B34,'Rotation History'!$A$2:$A$1000,$B$2-3,'Rotation History'!$M$2:$M$1000,"&gt;0")=0,0,1+IF(COUNTIFS('Rotation History'!$B$2:$B$1000,$B34,'Rotation History'!$A$2:$A$1000,$B$2-4,'Rotation History'!$M$2:$M$1000,"&gt;0")=0,0,1)))))</f>
        <v>0</v>
      </c>
      <c r="T34" s="43" t="n">
        <f aca="false">IF($B34="","",COUNTIFS('Rotation History'!$B$2:$B$1000,$B34,'Rotation History'!$K$2:$K$1000,"Opening",'Rotation History'!$A$2:$A$1000,"&gt;="&amp;($B$2-30),'Rotation History'!$A$2:$A$1000,"&lt;"&amp;$B$2))</f>
        <v>0</v>
      </c>
      <c r="U34" s="43" t="n">
        <f aca="false">IF($B34="","",COUNTIFS('Rotation History'!$B$2:$B$1000,$B34,'Rotation History'!$K$2:$K$1000,"Lunch Relief",'Rotation History'!$A$2:$A$1000,"&gt;="&amp;($B$2-30),'Rotation History'!$A$2:$A$1000,"&lt;"&amp;$B$2))</f>
        <v>0</v>
      </c>
      <c r="V34" s="44" t="n">
        <f aca="false">IF($B34="","",$Q34*10+$R34*2+$S34*20+$T34*3+$U34)</f>
        <v>0</v>
      </c>
    </row>
    <row r="35" customFormat="false" ht="14.25" hidden="false" customHeight="true" outlineLevel="0" collapsed="false">
      <c r="A35" s="40" t="n">
        <f aca="false">IF($B35="","",$B$2)</f>
        <v>46231</v>
      </c>
      <c r="B35" s="1" t="str">
        <f aca="false">IF($B$2="","",IFERROR(INDEX('Employee Master'!$A$2:$A$159,MATCH(ROWS($B$6:B35),Lists!$P$2:$P$159,0)),""))</f>
        <v>EMP-0051</v>
      </c>
      <c r="C35" s="1" t="str">
        <f aca="false">IF($B35="","",IFERROR(INDEX('Employee Master'!$B$2:$B$159,MATCH($B35,'Employee Master'!$A$2:$A$159,0)),""))</f>
        <v>Dequavius Parker</v>
      </c>
      <c r="D35" s="1" t="str">
        <f aca="false">IF($B35="","",IFERROR(INDEX('Employee Master'!$C$2:$C$159,MATCH($B35,'Employee Master'!$A$2:$A$159,0)),""))</f>
        <v>5:45 AM</v>
      </c>
      <c r="E35" s="1" t="str">
        <f aca="false">IF($B35="","",IFERROR(INDEX('Employee Master'!$I$2:$I$159,MATCH($B35,'Employee Master'!$A$2:$A$159,0)),""))</f>
        <v>AM</v>
      </c>
      <c r="F35" s="29" t="str">
        <f aca="false">IF($B35="","",IFERROR(INDEX('Employee Master'!$E$2:$E$159,MATCH($B35,'Employee Master'!$A$2:$A$159,0)),""))</f>
        <v>N</v>
      </c>
      <c r="G35" s="29" t="str">
        <f aca="false">IF($B35="","",IFERROR(INDEX('Employee Master'!$F$2:$F$159,MATCH($B35,'Employee Master'!$A$2:$A$159,0)),""))</f>
        <v>N</v>
      </c>
      <c r="H35" s="41" t="str">
        <f aca="false">IF($B35="","","Present")</f>
        <v>Present</v>
      </c>
      <c r="I35" s="1" t="str">
        <f aca="false">IF($B35="","",IFERROR(INDEX('Employee Master'!$H$2:$H$159,MATCH($B35,'Employee Master'!$A$2:$A$159,0)),""))</f>
        <v>None</v>
      </c>
      <c r="J35" s="29" t="str">
        <f aca="false">IF($B35="","",IFERROR(INDEX('Qualification Matrix'!$C$2:$C$168,MATCH($B35,'Qualification Matrix'!$A$2:$A$168,0)),2))</f>
        <v>N</v>
      </c>
      <c r="K35" s="29" t="str">
        <f aca="false">IF($B35="","",IFERROR(INDEX('Qualification Matrix'!$D$2:$D$168,MATCH($B35,'Qualification Matrix'!$A$2:$A$168,0)),2))</f>
        <v>N</v>
      </c>
      <c r="L35" s="29" t="str">
        <f aca="false">IF($B35="","",IFERROR(INDEX('Qualification Matrix'!$E$2:$E$168,MATCH($B35,'Qualification Matrix'!$A$2:$A$168,0)),2))</f>
        <v>N</v>
      </c>
      <c r="M35" s="29" t="str">
        <f aca="false">IF($B35="","",IFERROR(INDEX('Qualification Matrix'!$F$2:$F$168,MATCH($B35,'Qualification Matrix'!$A$2:$A$168,0)),2))</f>
        <v>Y</v>
      </c>
      <c r="N35" s="29" t="str">
        <f aca="false">IF($B35="","",IF(AND($H35="Present",$F35&lt;&gt;"Y"),"Y","N"))</f>
        <v>Y</v>
      </c>
      <c r="O35" s="42"/>
      <c r="P35" s="29" t="n">
        <f aca="false">IF($B35="","",IFERROR(INDEX('Qualification Matrix'!$H$2:$H$168,MATCH($B35,'Qualification Matrix'!$A$2:$A$168,0)),""))</f>
        <v>2</v>
      </c>
      <c r="Q35" s="43" t="n">
        <f aca="false">IF($B35="","",SUMIFS('Rotation History'!$M$2:$M$1000,'Rotation History'!$B$2:$B$1000,$B35,'Rotation History'!$A$2:$A$1000,"&gt;="&amp;($B$2-30),'Rotation History'!$A$2:$A$1000,"&lt;"&amp;$B$2))</f>
        <v>0</v>
      </c>
      <c r="R35" s="43" t="n">
        <f aca="false">IF($B35="","",COUNTIFS('Rotation History'!$B$2:$B$1000,$B35,'Rotation History'!$M$2:$M$1000,"&gt;0",'Rotation History'!$A$2:$A$1000,"&gt;="&amp;($B$2-30),'Rotation History'!$A$2:$A$1000,"&lt;"&amp;$B$2))</f>
        <v>0</v>
      </c>
      <c r="S35" s="43" t="n">
        <f aca="false">IF($B35="","",IF(COUNTIFS('Rotation History'!$B$2:$B$1000,$B35,'Rotation History'!$A$2:$A$1000,$B$2-1,'Rotation History'!$M$2:$M$1000,"&gt;0")=0,0,1+IF(COUNTIFS('Rotation History'!$B$2:$B$1000,$B35,'Rotation History'!$A$2:$A$1000,$B$2-2,'Rotation History'!$M$2:$M$1000,"&gt;0")=0,0,1+IF(COUNTIFS('Rotation History'!$B$2:$B$1000,$B35,'Rotation History'!$A$2:$A$1000,$B$2-3,'Rotation History'!$M$2:$M$1000,"&gt;0")=0,0,1+IF(COUNTIFS('Rotation History'!$B$2:$B$1000,$B35,'Rotation History'!$A$2:$A$1000,$B$2-4,'Rotation History'!$M$2:$M$1000,"&gt;0")=0,0,1)))))</f>
        <v>0</v>
      </c>
      <c r="T35" s="43" t="n">
        <f aca="false">IF($B35="","",COUNTIFS('Rotation History'!$B$2:$B$1000,$B35,'Rotation History'!$K$2:$K$1000,"Opening",'Rotation History'!$A$2:$A$1000,"&gt;="&amp;($B$2-30),'Rotation History'!$A$2:$A$1000,"&lt;"&amp;$B$2))</f>
        <v>0</v>
      </c>
      <c r="U35" s="43" t="n">
        <f aca="false">IF($B35="","",COUNTIFS('Rotation History'!$B$2:$B$1000,$B35,'Rotation History'!$K$2:$K$1000,"Lunch Relief",'Rotation History'!$A$2:$A$1000,"&gt;="&amp;($B$2-30),'Rotation History'!$A$2:$A$1000,"&lt;"&amp;$B$2))</f>
        <v>0</v>
      </c>
      <c r="V35" s="44" t="n">
        <f aca="false">IF($B35="","",$Q35*10+$R35*2+$S35*20+$T35*3+$U35)</f>
        <v>0</v>
      </c>
    </row>
    <row r="36" customFormat="false" ht="14.25" hidden="false" customHeight="true" outlineLevel="0" collapsed="false">
      <c r="A36" s="40" t="n">
        <f aca="false">IF($B36="","",$B$2)</f>
        <v>46231</v>
      </c>
      <c r="B36" s="1" t="str">
        <f aca="false">IF($B$2="","",IFERROR(INDEX('Employee Master'!$A$2:$A$159,MATCH(ROWS($B$6:B36),Lists!$P$2:$P$159,0)),""))</f>
        <v>EMP-0063</v>
      </c>
      <c r="C36" s="1" t="str">
        <f aca="false">IF($B36="","",IFERROR(INDEX('Employee Master'!$B$2:$B$159,MATCH($B36,'Employee Master'!$A$2:$A$159,0)),""))</f>
        <v>Feleke Tekle</v>
      </c>
      <c r="D36" s="1" t="str">
        <f aca="false">IF($B36="","",IFERROR(INDEX('Employee Master'!$C$2:$C$159,MATCH($B36,'Employee Master'!$A$2:$A$159,0)),""))</f>
        <v>5:45 AM</v>
      </c>
      <c r="E36" s="1" t="str">
        <f aca="false">IF($B36="","",IFERROR(INDEX('Employee Master'!$I$2:$I$159,MATCH($B36,'Employee Master'!$A$2:$A$159,0)),""))</f>
        <v>AM</v>
      </c>
      <c r="F36" s="29" t="str">
        <f aca="false">IF($B36="","",IFERROR(INDEX('Employee Master'!$E$2:$E$159,MATCH($B36,'Employee Master'!$A$2:$A$159,0)),""))</f>
        <v>N</v>
      </c>
      <c r="G36" s="29" t="str">
        <f aca="false">IF($B36="","",IFERROR(INDEX('Employee Master'!$F$2:$F$159,MATCH($B36,'Employee Master'!$A$2:$A$159,0)),""))</f>
        <v>N</v>
      </c>
      <c r="H36" s="41" t="str">
        <f aca="false">IF($B36="","","Present")</f>
        <v>Present</v>
      </c>
      <c r="I36" s="1" t="str">
        <f aca="false">IF($B36="","",IFERROR(INDEX('Employee Master'!$H$2:$H$159,MATCH($B36,'Employee Master'!$A$2:$A$159,0)),""))</f>
        <v>None</v>
      </c>
      <c r="J36" s="29" t="str">
        <f aca="false">IF($B36="","",IFERROR(INDEX('Qualification Matrix'!$C$2:$C$168,MATCH($B36,'Qualification Matrix'!$A$2:$A$168,0)),2))</f>
        <v>N</v>
      </c>
      <c r="K36" s="29" t="str">
        <f aca="false">IF($B36="","",IFERROR(INDEX('Qualification Matrix'!$D$2:$D$168,MATCH($B36,'Qualification Matrix'!$A$2:$A$168,0)),2))</f>
        <v>N</v>
      </c>
      <c r="L36" s="29" t="str">
        <f aca="false">IF($B36="","",IFERROR(INDEX('Qualification Matrix'!$E$2:$E$168,MATCH($B36,'Qualification Matrix'!$A$2:$A$168,0)),2))</f>
        <v>N</v>
      </c>
      <c r="M36" s="29" t="str">
        <f aca="false">IF($B36="","",IFERROR(INDEX('Qualification Matrix'!$F$2:$F$168,MATCH($B36,'Qualification Matrix'!$A$2:$A$168,0)),2))</f>
        <v>Y</v>
      </c>
      <c r="N36" s="29" t="str">
        <f aca="false">IF($B36="","",IF(AND($H36="Present",$F36&lt;&gt;"Y"),"Y","N"))</f>
        <v>Y</v>
      </c>
      <c r="O36" s="42"/>
      <c r="P36" s="29" t="n">
        <f aca="false">IF($B36="","",IFERROR(INDEX('Qualification Matrix'!$H$2:$H$168,MATCH($B36,'Qualification Matrix'!$A$2:$A$168,0)),""))</f>
        <v>2</v>
      </c>
      <c r="Q36" s="43" t="n">
        <f aca="false">IF($B36="","",SUMIFS('Rotation History'!$M$2:$M$1000,'Rotation History'!$B$2:$B$1000,$B36,'Rotation History'!$A$2:$A$1000,"&gt;="&amp;($B$2-30),'Rotation History'!$A$2:$A$1000,"&lt;"&amp;$B$2))</f>
        <v>0</v>
      </c>
      <c r="R36" s="43" t="n">
        <f aca="false">IF($B36="","",COUNTIFS('Rotation History'!$B$2:$B$1000,$B36,'Rotation History'!$M$2:$M$1000,"&gt;0",'Rotation History'!$A$2:$A$1000,"&gt;="&amp;($B$2-30),'Rotation History'!$A$2:$A$1000,"&lt;"&amp;$B$2))</f>
        <v>0</v>
      </c>
      <c r="S36" s="43" t="n">
        <f aca="false">IF($B36="","",IF(COUNTIFS('Rotation History'!$B$2:$B$1000,$B36,'Rotation History'!$A$2:$A$1000,$B$2-1,'Rotation History'!$M$2:$M$1000,"&gt;0")=0,0,1+IF(COUNTIFS('Rotation History'!$B$2:$B$1000,$B36,'Rotation History'!$A$2:$A$1000,$B$2-2,'Rotation History'!$M$2:$M$1000,"&gt;0")=0,0,1+IF(COUNTIFS('Rotation History'!$B$2:$B$1000,$B36,'Rotation History'!$A$2:$A$1000,$B$2-3,'Rotation History'!$M$2:$M$1000,"&gt;0")=0,0,1+IF(COUNTIFS('Rotation History'!$B$2:$B$1000,$B36,'Rotation History'!$A$2:$A$1000,$B$2-4,'Rotation History'!$M$2:$M$1000,"&gt;0")=0,0,1)))))</f>
        <v>0</v>
      </c>
      <c r="T36" s="43" t="n">
        <f aca="false">IF($B36="","",COUNTIFS('Rotation History'!$B$2:$B$1000,$B36,'Rotation History'!$K$2:$K$1000,"Opening",'Rotation History'!$A$2:$A$1000,"&gt;="&amp;($B$2-30),'Rotation History'!$A$2:$A$1000,"&lt;"&amp;$B$2))</f>
        <v>0</v>
      </c>
      <c r="U36" s="43" t="n">
        <f aca="false">IF($B36="","",COUNTIFS('Rotation History'!$B$2:$B$1000,$B36,'Rotation History'!$K$2:$K$1000,"Lunch Relief",'Rotation History'!$A$2:$A$1000,"&gt;="&amp;($B$2-30),'Rotation History'!$A$2:$A$1000,"&lt;"&amp;$B$2))</f>
        <v>0</v>
      </c>
      <c r="V36" s="44" t="n">
        <f aca="false">IF($B36="","",$Q36*10+$R36*2+$S36*20+$T36*3+$U36)</f>
        <v>0</v>
      </c>
    </row>
    <row r="37" customFormat="false" ht="14.25" hidden="false" customHeight="true" outlineLevel="0" collapsed="false">
      <c r="A37" s="40" t="n">
        <f aca="false">IF($B37="","",$B$2)</f>
        <v>46231</v>
      </c>
      <c r="B37" s="1" t="str">
        <f aca="false">IF($B$2="","",IFERROR(INDEX('Employee Master'!$A$2:$A$159,MATCH(ROWS($B$6:B37),Lists!$P$2:$P$159,0)),""))</f>
        <v>EMP-0065</v>
      </c>
      <c r="C37" s="1" t="str">
        <f aca="false">IF($B37="","",IFERROR(INDEX('Employee Master'!$B$2:$B$159,MATCH($B37,'Employee Master'!$A$2:$A$159,0)),""))</f>
        <v>Gregory Mallett</v>
      </c>
      <c r="D37" s="1" t="str">
        <f aca="false">IF($B37="","",IFERROR(INDEX('Employee Master'!$C$2:$C$159,MATCH($B37,'Employee Master'!$A$2:$A$159,0)),""))</f>
        <v>5:45 AM</v>
      </c>
      <c r="E37" s="1" t="str">
        <f aca="false">IF($B37="","",IFERROR(INDEX('Employee Master'!$I$2:$I$159,MATCH($B37,'Employee Master'!$A$2:$A$159,0)),""))</f>
        <v>AM</v>
      </c>
      <c r="F37" s="29" t="str">
        <f aca="false">IF($B37="","",IFERROR(INDEX('Employee Master'!$E$2:$E$159,MATCH($B37,'Employee Master'!$A$2:$A$159,0)),""))</f>
        <v>N</v>
      </c>
      <c r="G37" s="29" t="str">
        <f aca="false">IF($B37="","",IFERROR(INDEX('Employee Master'!$F$2:$F$159,MATCH($B37,'Employee Master'!$A$2:$A$159,0)),""))</f>
        <v>N</v>
      </c>
      <c r="H37" s="41" t="str">
        <f aca="false">IF($B37="","","Present")</f>
        <v>Present</v>
      </c>
      <c r="I37" s="1" t="str">
        <f aca="false">IF($B37="","",IFERROR(INDEX('Employee Master'!$H$2:$H$159,MATCH($B37,'Employee Master'!$A$2:$A$159,0)),""))</f>
        <v>None</v>
      </c>
      <c r="J37" s="29" t="str">
        <f aca="false">IF($B37="","",IFERROR(INDEX('Qualification Matrix'!$C$2:$C$168,MATCH($B37,'Qualification Matrix'!$A$2:$A$168,0)),2))</f>
        <v>N</v>
      </c>
      <c r="K37" s="29" t="str">
        <f aca="false">IF($B37="","",IFERROR(INDEX('Qualification Matrix'!$D$2:$D$168,MATCH($B37,'Qualification Matrix'!$A$2:$A$168,0)),2))</f>
        <v>N</v>
      </c>
      <c r="L37" s="29" t="str">
        <f aca="false">IF($B37="","",IFERROR(INDEX('Qualification Matrix'!$E$2:$E$168,MATCH($B37,'Qualification Matrix'!$A$2:$A$168,0)),2))</f>
        <v>N</v>
      </c>
      <c r="M37" s="29" t="str">
        <f aca="false">IF($B37="","",IFERROR(INDEX('Qualification Matrix'!$F$2:$F$168,MATCH($B37,'Qualification Matrix'!$A$2:$A$168,0)),2))</f>
        <v>Y</v>
      </c>
      <c r="N37" s="29" t="str">
        <f aca="false">IF($B37="","",IF(AND($H37="Present",$F37&lt;&gt;"Y"),"Y","N"))</f>
        <v>Y</v>
      </c>
      <c r="O37" s="42"/>
      <c r="P37" s="29" t="n">
        <f aca="false">IF($B37="","",IFERROR(INDEX('Qualification Matrix'!$H$2:$H$168,MATCH($B37,'Qualification Matrix'!$A$2:$A$168,0)),""))</f>
        <v>2</v>
      </c>
      <c r="Q37" s="43" t="n">
        <f aca="false">IF($B37="","",SUMIFS('Rotation History'!$M$2:$M$1000,'Rotation History'!$B$2:$B$1000,$B37,'Rotation History'!$A$2:$A$1000,"&gt;="&amp;($B$2-30),'Rotation History'!$A$2:$A$1000,"&lt;"&amp;$B$2))</f>
        <v>0</v>
      </c>
      <c r="R37" s="43" t="n">
        <f aca="false">IF($B37="","",COUNTIFS('Rotation History'!$B$2:$B$1000,$B37,'Rotation History'!$M$2:$M$1000,"&gt;0",'Rotation History'!$A$2:$A$1000,"&gt;="&amp;($B$2-30),'Rotation History'!$A$2:$A$1000,"&lt;"&amp;$B$2))</f>
        <v>0</v>
      </c>
      <c r="S37" s="43" t="n">
        <f aca="false">IF($B37="","",IF(COUNTIFS('Rotation History'!$B$2:$B$1000,$B37,'Rotation History'!$A$2:$A$1000,$B$2-1,'Rotation History'!$M$2:$M$1000,"&gt;0")=0,0,1+IF(COUNTIFS('Rotation History'!$B$2:$B$1000,$B37,'Rotation History'!$A$2:$A$1000,$B$2-2,'Rotation History'!$M$2:$M$1000,"&gt;0")=0,0,1+IF(COUNTIFS('Rotation History'!$B$2:$B$1000,$B37,'Rotation History'!$A$2:$A$1000,$B$2-3,'Rotation History'!$M$2:$M$1000,"&gt;0")=0,0,1+IF(COUNTIFS('Rotation History'!$B$2:$B$1000,$B37,'Rotation History'!$A$2:$A$1000,$B$2-4,'Rotation History'!$M$2:$M$1000,"&gt;0")=0,0,1)))))</f>
        <v>0</v>
      </c>
      <c r="T37" s="43" t="n">
        <f aca="false">IF($B37="","",COUNTIFS('Rotation History'!$B$2:$B$1000,$B37,'Rotation History'!$K$2:$K$1000,"Opening",'Rotation History'!$A$2:$A$1000,"&gt;="&amp;($B$2-30),'Rotation History'!$A$2:$A$1000,"&lt;"&amp;$B$2))</f>
        <v>0</v>
      </c>
      <c r="U37" s="43" t="n">
        <f aca="false">IF($B37="","",COUNTIFS('Rotation History'!$B$2:$B$1000,$B37,'Rotation History'!$K$2:$K$1000,"Lunch Relief",'Rotation History'!$A$2:$A$1000,"&gt;="&amp;($B$2-30),'Rotation History'!$A$2:$A$1000,"&lt;"&amp;$B$2))</f>
        <v>0</v>
      </c>
      <c r="V37" s="44" t="n">
        <f aca="false">IF($B37="","",$Q37*10+$R37*2+$S37*20+$T37*3+$U37)</f>
        <v>0</v>
      </c>
    </row>
    <row r="38" customFormat="false" ht="14.25" hidden="false" customHeight="true" outlineLevel="0" collapsed="false">
      <c r="A38" s="40" t="n">
        <f aca="false">IF($B38="","",$B$2)</f>
        <v>46231</v>
      </c>
      <c r="B38" s="1" t="str">
        <f aca="false">IF($B$2="","",IFERROR(INDEX('Employee Master'!$A$2:$A$159,MATCH(ROWS($B$6:B38),Lists!$P$2:$P$159,0)),""))</f>
        <v>EMP-0066</v>
      </c>
      <c r="C38" s="1" t="str">
        <f aca="false">IF($B38="","",IFERROR(INDEX('Employee Master'!$B$2:$B$159,MATCH($B38,'Employee Master'!$A$2:$A$159,0)),""))</f>
        <v>Habtewold Daba</v>
      </c>
      <c r="D38" s="1" t="str">
        <f aca="false">IF($B38="","",IFERROR(INDEX('Employee Master'!$C$2:$C$159,MATCH($B38,'Employee Master'!$A$2:$A$159,0)),""))</f>
        <v>5:45 AM</v>
      </c>
      <c r="E38" s="1" t="str">
        <f aca="false">IF($B38="","",IFERROR(INDEX('Employee Master'!$I$2:$I$159,MATCH($B38,'Employee Master'!$A$2:$A$159,0)),""))</f>
        <v>AM</v>
      </c>
      <c r="F38" s="29" t="str">
        <f aca="false">IF($B38="","",IFERROR(INDEX('Employee Master'!$E$2:$E$159,MATCH($B38,'Employee Master'!$A$2:$A$159,0)),""))</f>
        <v>N</v>
      </c>
      <c r="G38" s="29" t="str">
        <f aca="false">IF($B38="","",IFERROR(INDEX('Employee Master'!$F$2:$F$159,MATCH($B38,'Employee Master'!$A$2:$A$159,0)),""))</f>
        <v>N</v>
      </c>
      <c r="H38" s="41" t="str">
        <f aca="false">IF($B38="","","Present")</f>
        <v>Present</v>
      </c>
      <c r="I38" s="1" t="str">
        <f aca="false">IF($B38="","",IFERROR(INDEX('Employee Master'!$H$2:$H$159,MATCH($B38,'Employee Master'!$A$2:$A$159,0)),""))</f>
        <v>None</v>
      </c>
      <c r="J38" s="29" t="str">
        <f aca="false">IF($B38="","",IFERROR(INDEX('Qualification Matrix'!$C$2:$C$168,MATCH($B38,'Qualification Matrix'!$A$2:$A$168,0)),2))</f>
        <v>N</v>
      </c>
      <c r="K38" s="29" t="str">
        <f aca="false">IF($B38="","",IFERROR(INDEX('Qualification Matrix'!$D$2:$D$168,MATCH($B38,'Qualification Matrix'!$A$2:$A$168,0)),2))</f>
        <v>N</v>
      </c>
      <c r="L38" s="29" t="str">
        <f aca="false">IF($B38="","",IFERROR(INDEX('Qualification Matrix'!$E$2:$E$168,MATCH($B38,'Qualification Matrix'!$A$2:$A$168,0)),2))</f>
        <v>N</v>
      </c>
      <c r="M38" s="29" t="str">
        <f aca="false">IF($B38="","",IFERROR(INDEX('Qualification Matrix'!$F$2:$F$168,MATCH($B38,'Qualification Matrix'!$A$2:$A$168,0)),2))</f>
        <v>Y</v>
      </c>
      <c r="N38" s="29" t="str">
        <f aca="false">IF($B38="","",IF(AND($H38="Present",$F38&lt;&gt;"Y"),"Y","N"))</f>
        <v>Y</v>
      </c>
      <c r="O38" s="42"/>
      <c r="P38" s="29" t="n">
        <f aca="false">IF($B38="","",IFERROR(INDEX('Qualification Matrix'!$H$2:$H$168,MATCH($B38,'Qualification Matrix'!$A$2:$A$168,0)),""))</f>
        <v>2</v>
      </c>
      <c r="Q38" s="43" t="n">
        <f aca="false">IF($B38="","",SUMIFS('Rotation History'!$M$2:$M$1000,'Rotation History'!$B$2:$B$1000,$B38,'Rotation History'!$A$2:$A$1000,"&gt;="&amp;($B$2-30),'Rotation History'!$A$2:$A$1000,"&lt;"&amp;$B$2))</f>
        <v>0</v>
      </c>
      <c r="R38" s="43" t="n">
        <f aca="false">IF($B38="","",COUNTIFS('Rotation History'!$B$2:$B$1000,$B38,'Rotation History'!$M$2:$M$1000,"&gt;0",'Rotation History'!$A$2:$A$1000,"&gt;="&amp;($B$2-30),'Rotation History'!$A$2:$A$1000,"&lt;"&amp;$B$2))</f>
        <v>0</v>
      </c>
      <c r="S38" s="43" t="n">
        <f aca="false">IF($B38="","",IF(COUNTIFS('Rotation History'!$B$2:$B$1000,$B38,'Rotation History'!$A$2:$A$1000,$B$2-1,'Rotation History'!$M$2:$M$1000,"&gt;0")=0,0,1+IF(COUNTIFS('Rotation History'!$B$2:$B$1000,$B38,'Rotation History'!$A$2:$A$1000,$B$2-2,'Rotation History'!$M$2:$M$1000,"&gt;0")=0,0,1+IF(COUNTIFS('Rotation History'!$B$2:$B$1000,$B38,'Rotation History'!$A$2:$A$1000,$B$2-3,'Rotation History'!$M$2:$M$1000,"&gt;0")=0,0,1+IF(COUNTIFS('Rotation History'!$B$2:$B$1000,$B38,'Rotation History'!$A$2:$A$1000,$B$2-4,'Rotation History'!$M$2:$M$1000,"&gt;0")=0,0,1)))))</f>
        <v>0</v>
      </c>
      <c r="T38" s="43" t="n">
        <f aca="false">IF($B38="","",COUNTIFS('Rotation History'!$B$2:$B$1000,$B38,'Rotation History'!$K$2:$K$1000,"Opening",'Rotation History'!$A$2:$A$1000,"&gt;="&amp;($B$2-30),'Rotation History'!$A$2:$A$1000,"&lt;"&amp;$B$2))</f>
        <v>0</v>
      </c>
      <c r="U38" s="43" t="n">
        <f aca="false">IF($B38="","",COUNTIFS('Rotation History'!$B$2:$B$1000,$B38,'Rotation History'!$K$2:$K$1000,"Lunch Relief",'Rotation History'!$A$2:$A$1000,"&gt;="&amp;($B$2-30),'Rotation History'!$A$2:$A$1000,"&lt;"&amp;$B$2))</f>
        <v>0</v>
      </c>
      <c r="V38" s="44" t="n">
        <f aca="false">IF($B38="","",$Q38*10+$R38*2+$S38*20+$T38*3+$U38)</f>
        <v>0</v>
      </c>
    </row>
    <row r="39" customFormat="false" ht="14.25" hidden="false" customHeight="true" outlineLevel="0" collapsed="false">
      <c r="A39" s="40" t="n">
        <f aca="false">IF($B39="","",$B$2)</f>
        <v>46231</v>
      </c>
      <c r="B39" s="1" t="str">
        <f aca="false">IF($B$2="","",IFERROR(INDEX('Employee Master'!$A$2:$A$159,MATCH(ROWS($B$6:B39),Lists!$P$2:$P$159,0)),""))</f>
        <v>EMP-0070</v>
      </c>
      <c r="C39" s="1" t="str">
        <f aca="false">IF($B39="","",IFERROR(INDEX('Employee Master'!$B$2:$B$159,MATCH($B39,'Employee Master'!$A$2:$A$159,0)),""))</f>
        <v>Isaiah Williams</v>
      </c>
      <c r="D39" s="1" t="str">
        <f aca="false">IF($B39="","",IFERROR(INDEX('Employee Master'!$C$2:$C$159,MATCH($B39,'Employee Master'!$A$2:$A$159,0)),""))</f>
        <v>5:45 AM</v>
      </c>
      <c r="E39" s="1" t="str">
        <f aca="false">IF($B39="","",IFERROR(INDEX('Employee Master'!$I$2:$I$159,MATCH($B39,'Employee Master'!$A$2:$A$159,0)),""))</f>
        <v>AM</v>
      </c>
      <c r="F39" s="29" t="str">
        <f aca="false">IF($B39="","",IFERROR(INDEX('Employee Master'!$E$2:$E$159,MATCH($B39,'Employee Master'!$A$2:$A$159,0)),""))</f>
        <v>N</v>
      </c>
      <c r="G39" s="29" t="str">
        <f aca="false">IF($B39="","",IFERROR(INDEX('Employee Master'!$F$2:$F$159,MATCH($B39,'Employee Master'!$A$2:$A$159,0)),""))</f>
        <v>N</v>
      </c>
      <c r="H39" s="41" t="str">
        <f aca="false">IF($B39="","","Present")</f>
        <v>Present</v>
      </c>
      <c r="I39" s="1" t="str">
        <f aca="false">IF($B39="","",IFERROR(INDEX('Employee Master'!$H$2:$H$159,MATCH($B39,'Employee Master'!$A$2:$A$159,0)),""))</f>
        <v>None</v>
      </c>
      <c r="J39" s="29" t="str">
        <f aca="false">IF($B39="","",IFERROR(INDEX('Qualification Matrix'!$C$2:$C$168,MATCH($B39,'Qualification Matrix'!$A$2:$A$168,0)),2))</f>
        <v>N</v>
      </c>
      <c r="K39" s="29" t="str">
        <f aca="false">IF($B39="","",IFERROR(INDEX('Qualification Matrix'!$D$2:$D$168,MATCH($B39,'Qualification Matrix'!$A$2:$A$168,0)),2))</f>
        <v>N</v>
      </c>
      <c r="L39" s="29" t="str">
        <f aca="false">IF($B39="","",IFERROR(INDEX('Qualification Matrix'!$E$2:$E$168,MATCH($B39,'Qualification Matrix'!$A$2:$A$168,0)),2))</f>
        <v>N</v>
      </c>
      <c r="M39" s="29" t="str">
        <f aca="false">IF($B39="","",IFERROR(INDEX('Qualification Matrix'!$F$2:$F$168,MATCH($B39,'Qualification Matrix'!$A$2:$A$168,0)),2))</f>
        <v>Y</v>
      </c>
      <c r="N39" s="29" t="str">
        <f aca="false">IF($B39="","",IF(AND($H39="Present",$F39&lt;&gt;"Y"),"Y","N"))</f>
        <v>Y</v>
      </c>
      <c r="O39" s="42"/>
      <c r="P39" s="29" t="n">
        <f aca="false">IF($B39="","",IFERROR(INDEX('Qualification Matrix'!$H$2:$H$168,MATCH($B39,'Qualification Matrix'!$A$2:$A$168,0)),""))</f>
        <v>2</v>
      </c>
      <c r="Q39" s="43" t="n">
        <f aca="false">IF($B39="","",SUMIFS('Rotation History'!$M$2:$M$1000,'Rotation History'!$B$2:$B$1000,$B39,'Rotation History'!$A$2:$A$1000,"&gt;="&amp;($B$2-30),'Rotation History'!$A$2:$A$1000,"&lt;"&amp;$B$2))</f>
        <v>0</v>
      </c>
      <c r="R39" s="43" t="n">
        <f aca="false">IF($B39="","",COUNTIFS('Rotation History'!$B$2:$B$1000,$B39,'Rotation History'!$M$2:$M$1000,"&gt;0",'Rotation History'!$A$2:$A$1000,"&gt;="&amp;($B$2-30),'Rotation History'!$A$2:$A$1000,"&lt;"&amp;$B$2))</f>
        <v>0</v>
      </c>
      <c r="S39" s="43" t="n">
        <f aca="false">IF($B39="","",IF(COUNTIFS('Rotation History'!$B$2:$B$1000,$B39,'Rotation History'!$A$2:$A$1000,$B$2-1,'Rotation History'!$M$2:$M$1000,"&gt;0")=0,0,1+IF(COUNTIFS('Rotation History'!$B$2:$B$1000,$B39,'Rotation History'!$A$2:$A$1000,$B$2-2,'Rotation History'!$M$2:$M$1000,"&gt;0")=0,0,1+IF(COUNTIFS('Rotation History'!$B$2:$B$1000,$B39,'Rotation History'!$A$2:$A$1000,$B$2-3,'Rotation History'!$M$2:$M$1000,"&gt;0")=0,0,1+IF(COUNTIFS('Rotation History'!$B$2:$B$1000,$B39,'Rotation History'!$A$2:$A$1000,$B$2-4,'Rotation History'!$M$2:$M$1000,"&gt;0")=0,0,1)))))</f>
        <v>0</v>
      </c>
      <c r="T39" s="43" t="n">
        <f aca="false">IF($B39="","",COUNTIFS('Rotation History'!$B$2:$B$1000,$B39,'Rotation History'!$K$2:$K$1000,"Opening",'Rotation History'!$A$2:$A$1000,"&gt;="&amp;($B$2-30),'Rotation History'!$A$2:$A$1000,"&lt;"&amp;$B$2))</f>
        <v>0</v>
      </c>
      <c r="U39" s="43" t="n">
        <f aca="false">IF($B39="","",COUNTIFS('Rotation History'!$B$2:$B$1000,$B39,'Rotation History'!$K$2:$K$1000,"Lunch Relief",'Rotation History'!$A$2:$A$1000,"&gt;="&amp;($B$2-30),'Rotation History'!$A$2:$A$1000,"&lt;"&amp;$B$2))</f>
        <v>0</v>
      </c>
      <c r="V39" s="44" t="n">
        <f aca="false">IF($B39="","",$Q39*10+$R39*2+$S39*20+$T39*3+$U39)</f>
        <v>0</v>
      </c>
    </row>
    <row r="40" customFormat="false" ht="14.25" hidden="false" customHeight="true" outlineLevel="0" collapsed="false">
      <c r="A40" s="40" t="n">
        <f aca="false">IF($B40="","",$B$2)</f>
        <v>46231</v>
      </c>
      <c r="B40" s="1" t="str">
        <f aca="false">IF($B$2="","",IFERROR(INDEX('Employee Master'!$A$2:$A$159,MATCH(ROWS($B$6:B40),Lists!$P$2:$P$159,0)),""))</f>
        <v>EMP-0073</v>
      </c>
      <c r="C40" s="1" t="str">
        <f aca="false">IF($B40="","",IFERROR(INDEX('Employee Master'!$B$2:$B$159,MATCH($B40,'Employee Master'!$A$2:$A$159,0)),""))</f>
        <v>Jacquatta Green</v>
      </c>
      <c r="D40" s="1" t="str">
        <f aca="false">IF($B40="","",IFERROR(INDEX('Employee Master'!$C$2:$C$159,MATCH($B40,'Employee Master'!$A$2:$A$159,0)),""))</f>
        <v>5:45 AM</v>
      </c>
      <c r="E40" s="1" t="str">
        <f aca="false">IF($B40="","",IFERROR(INDEX('Employee Master'!$I$2:$I$159,MATCH($B40,'Employee Master'!$A$2:$A$159,0)),""))</f>
        <v>AM</v>
      </c>
      <c r="F40" s="29" t="str">
        <f aca="false">IF($B40="","",IFERROR(INDEX('Employee Master'!$E$2:$E$159,MATCH($B40,'Employee Master'!$A$2:$A$159,0)),""))</f>
        <v>N</v>
      </c>
      <c r="G40" s="29" t="str">
        <f aca="false">IF($B40="","",IFERROR(INDEX('Employee Master'!$F$2:$F$159,MATCH($B40,'Employee Master'!$A$2:$A$159,0)),""))</f>
        <v>N</v>
      </c>
      <c r="H40" s="41" t="str">
        <f aca="false">IF($B40="","","Present")</f>
        <v>Present</v>
      </c>
      <c r="I40" s="1" t="str">
        <f aca="false">IF($B40="","",IFERROR(INDEX('Employee Master'!$H$2:$H$159,MATCH($B40,'Employee Master'!$A$2:$A$159,0)),""))</f>
        <v>None</v>
      </c>
      <c r="J40" s="29" t="str">
        <f aca="false">IF($B40="","",IFERROR(INDEX('Qualification Matrix'!$C$2:$C$168,MATCH($B40,'Qualification Matrix'!$A$2:$A$168,0)),2))</f>
        <v>N</v>
      </c>
      <c r="K40" s="29" t="str">
        <f aca="false">IF($B40="","",IFERROR(INDEX('Qualification Matrix'!$D$2:$D$168,MATCH($B40,'Qualification Matrix'!$A$2:$A$168,0)),2))</f>
        <v>N</v>
      </c>
      <c r="L40" s="29" t="str">
        <f aca="false">IF($B40="","",IFERROR(INDEX('Qualification Matrix'!$E$2:$E$168,MATCH($B40,'Qualification Matrix'!$A$2:$A$168,0)),2))</f>
        <v>N</v>
      </c>
      <c r="M40" s="29" t="str">
        <f aca="false">IF($B40="","",IFERROR(INDEX('Qualification Matrix'!$F$2:$F$168,MATCH($B40,'Qualification Matrix'!$A$2:$A$168,0)),2))</f>
        <v>Y</v>
      </c>
      <c r="N40" s="29" t="str">
        <f aca="false">IF($B40="","",IF(AND($H40="Present",$F40&lt;&gt;"Y"),"Y","N"))</f>
        <v>Y</v>
      </c>
      <c r="O40" s="42"/>
      <c r="P40" s="29" t="n">
        <f aca="false">IF($B40="","",IFERROR(INDEX('Qualification Matrix'!$H$2:$H$168,MATCH($B40,'Qualification Matrix'!$A$2:$A$168,0)),""))</f>
        <v>2</v>
      </c>
      <c r="Q40" s="43" t="n">
        <f aca="false">IF($B40="","",SUMIFS('Rotation History'!$M$2:$M$1000,'Rotation History'!$B$2:$B$1000,$B40,'Rotation History'!$A$2:$A$1000,"&gt;="&amp;($B$2-30),'Rotation History'!$A$2:$A$1000,"&lt;"&amp;$B$2))</f>
        <v>0</v>
      </c>
      <c r="R40" s="43" t="n">
        <f aca="false">IF($B40="","",COUNTIFS('Rotation History'!$B$2:$B$1000,$B40,'Rotation History'!$M$2:$M$1000,"&gt;0",'Rotation History'!$A$2:$A$1000,"&gt;="&amp;($B$2-30),'Rotation History'!$A$2:$A$1000,"&lt;"&amp;$B$2))</f>
        <v>0</v>
      </c>
      <c r="S40" s="43" t="n">
        <f aca="false">IF($B40="","",IF(COUNTIFS('Rotation History'!$B$2:$B$1000,$B40,'Rotation History'!$A$2:$A$1000,$B$2-1,'Rotation History'!$M$2:$M$1000,"&gt;0")=0,0,1+IF(COUNTIFS('Rotation History'!$B$2:$B$1000,$B40,'Rotation History'!$A$2:$A$1000,$B$2-2,'Rotation History'!$M$2:$M$1000,"&gt;0")=0,0,1+IF(COUNTIFS('Rotation History'!$B$2:$B$1000,$B40,'Rotation History'!$A$2:$A$1000,$B$2-3,'Rotation History'!$M$2:$M$1000,"&gt;0")=0,0,1+IF(COUNTIFS('Rotation History'!$B$2:$B$1000,$B40,'Rotation History'!$A$2:$A$1000,$B$2-4,'Rotation History'!$M$2:$M$1000,"&gt;0")=0,0,1)))))</f>
        <v>0</v>
      </c>
      <c r="T40" s="43" t="n">
        <f aca="false">IF($B40="","",COUNTIFS('Rotation History'!$B$2:$B$1000,$B40,'Rotation History'!$K$2:$K$1000,"Opening",'Rotation History'!$A$2:$A$1000,"&gt;="&amp;($B$2-30),'Rotation History'!$A$2:$A$1000,"&lt;"&amp;$B$2))</f>
        <v>0</v>
      </c>
      <c r="U40" s="43" t="n">
        <f aca="false">IF($B40="","",COUNTIFS('Rotation History'!$B$2:$B$1000,$B40,'Rotation History'!$K$2:$K$1000,"Lunch Relief",'Rotation History'!$A$2:$A$1000,"&gt;="&amp;($B$2-30),'Rotation History'!$A$2:$A$1000,"&lt;"&amp;$B$2))</f>
        <v>0</v>
      </c>
      <c r="V40" s="44" t="n">
        <f aca="false">IF($B40="","",$Q40*10+$R40*2+$S40*20+$T40*3+$U40)</f>
        <v>0</v>
      </c>
    </row>
    <row r="41" customFormat="false" ht="14.25" hidden="false" customHeight="true" outlineLevel="0" collapsed="false">
      <c r="A41" s="40" t="n">
        <f aca="false">IF($B41="","",$B$2)</f>
        <v>46231</v>
      </c>
      <c r="B41" s="1" t="str">
        <f aca="false">IF($B$2="","",IFERROR(INDEX('Employee Master'!$A$2:$A$159,MATCH(ROWS($B$6:B41),Lists!$P$2:$P$159,0)),""))</f>
        <v>EMP-0074</v>
      </c>
      <c r="C41" s="1" t="str">
        <f aca="false">IF($B41="","",IFERROR(INDEX('Employee Master'!$B$2:$B$159,MATCH($B41,'Employee Master'!$A$2:$A$159,0)),""))</f>
        <v>Jada Batiste</v>
      </c>
      <c r="D41" s="1" t="str">
        <f aca="false">IF($B41="","",IFERROR(INDEX('Employee Master'!$C$2:$C$159,MATCH($B41,'Employee Master'!$A$2:$A$159,0)),""))</f>
        <v>5:45 AM</v>
      </c>
      <c r="E41" s="1" t="str">
        <f aca="false">IF($B41="","",IFERROR(INDEX('Employee Master'!$I$2:$I$159,MATCH($B41,'Employee Master'!$A$2:$A$159,0)),""))</f>
        <v>AM</v>
      </c>
      <c r="F41" s="29" t="str">
        <f aca="false">IF($B41="","",IFERROR(INDEX('Employee Master'!$E$2:$E$159,MATCH($B41,'Employee Master'!$A$2:$A$159,0)),""))</f>
        <v>N</v>
      </c>
      <c r="G41" s="29" t="str">
        <f aca="false">IF($B41="","",IFERROR(INDEX('Employee Master'!$F$2:$F$159,MATCH($B41,'Employee Master'!$A$2:$A$159,0)),""))</f>
        <v>N</v>
      </c>
      <c r="H41" s="41" t="str">
        <f aca="false">IF($B41="","","Present")</f>
        <v>Present</v>
      </c>
      <c r="I41" s="1" t="str">
        <f aca="false">IF($B41="","",IFERROR(INDEX('Employee Master'!$H$2:$H$159,MATCH($B41,'Employee Master'!$A$2:$A$159,0)),""))</f>
        <v>None</v>
      </c>
      <c r="J41" s="29" t="str">
        <f aca="false">IF($B41="","",IFERROR(INDEX('Qualification Matrix'!$C$2:$C$168,MATCH($B41,'Qualification Matrix'!$A$2:$A$168,0)),2))</f>
        <v>N</v>
      </c>
      <c r="K41" s="29" t="str">
        <f aca="false">IF($B41="","",IFERROR(INDEX('Qualification Matrix'!$D$2:$D$168,MATCH($B41,'Qualification Matrix'!$A$2:$A$168,0)),2))</f>
        <v>N</v>
      </c>
      <c r="L41" s="29" t="str">
        <f aca="false">IF($B41="","",IFERROR(INDEX('Qualification Matrix'!$E$2:$E$168,MATCH($B41,'Qualification Matrix'!$A$2:$A$168,0)),2))</f>
        <v>N</v>
      </c>
      <c r="M41" s="29" t="str">
        <f aca="false">IF($B41="","",IFERROR(INDEX('Qualification Matrix'!$F$2:$F$168,MATCH($B41,'Qualification Matrix'!$A$2:$A$168,0)),2))</f>
        <v>Y</v>
      </c>
      <c r="N41" s="29" t="str">
        <f aca="false">IF($B41="","",IF(AND($H41="Present",$F41&lt;&gt;"Y"),"Y","N"))</f>
        <v>Y</v>
      </c>
      <c r="O41" s="42"/>
      <c r="P41" s="29" t="n">
        <f aca="false">IF($B41="","",IFERROR(INDEX('Qualification Matrix'!$H$2:$H$168,MATCH($B41,'Qualification Matrix'!$A$2:$A$168,0)),""))</f>
        <v>2</v>
      </c>
      <c r="Q41" s="43" t="n">
        <f aca="false">IF($B41="","",SUMIFS('Rotation History'!$M$2:$M$1000,'Rotation History'!$B$2:$B$1000,$B41,'Rotation History'!$A$2:$A$1000,"&gt;="&amp;($B$2-30),'Rotation History'!$A$2:$A$1000,"&lt;"&amp;$B$2))</f>
        <v>0</v>
      </c>
      <c r="R41" s="43" t="n">
        <f aca="false">IF($B41="","",COUNTIFS('Rotation History'!$B$2:$B$1000,$B41,'Rotation History'!$M$2:$M$1000,"&gt;0",'Rotation History'!$A$2:$A$1000,"&gt;="&amp;($B$2-30),'Rotation History'!$A$2:$A$1000,"&lt;"&amp;$B$2))</f>
        <v>0</v>
      </c>
      <c r="S41" s="43" t="n">
        <f aca="false">IF($B41="","",IF(COUNTIFS('Rotation History'!$B$2:$B$1000,$B41,'Rotation History'!$A$2:$A$1000,$B$2-1,'Rotation History'!$M$2:$M$1000,"&gt;0")=0,0,1+IF(COUNTIFS('Rotation History'!$B$2:$B$1000,$B41,'Rotation History'!$A$2:$A$1000,$B$2-2,'Rotation History'!$M$2:$M$1000,"&gt;0")=0,0,1+IF(COUNTIFS('Rotation History'!$B$2:$B$1000,$B41,'Rotation History'!$A$2:$A$1000,$B$2-3,'Rotation History'!$M$2:$M$1000,"&gt;0")=0,0,1+IF(COUNTIFS('Rotation History'!$B$2:$B$1000,$B41,'Rotation History'!$A$2:$A$1000,$B$2-4,'Rotation History'!$M$2:$M$1000,"&gt;0")=0,0,1)))))</f>
        <v>0</v>
      </c>
      <c r="T41" s="43" t="n">
        <f aca="false">IF($B41="","",COUNTIFS('Rotation History'!$B$2:$B$1000,$B41,'Rotation History'!$K$2:$K$1000,"Opening",'Rotation History'!$A$2:$A$1000,"&gt;="&amp;($B$2-30),'Rotation History'!$A$2:$A$1000,"&lt;"&amp;$B$2))</f>
        <v>0</v>
      </c>
      <c r="U41" s="43" t="n">
        <f aca="false">IF($B41="","",COUNTIFS('Rotation History'!$B$2:$B$1000,$B41,'Rotation History'!$K$2:$K$1000,"Lunch Relief",'Rotation History'!$A$2:$A$1000,"&gt;="&amp;($B$2-30),'Rotation History'!$A$2:$A$1000,"&lt;"&amp;$B$2))</f>
        <v>0</v>
      </c>
      <c r="V41" s="44" t="n">
        <f aca="false">IF($B41="","",$Q41*10+$R41*2+$S41*20+$T41*3+$U41)</f>
        <v>0</v>
      </c>
    </row>
    <row r="42" customFormat="false" ht="14.25" hidden="false" customHeight="true" outlineLevel="0" collapsed="false">
      <c r="A42" s="40" t="n">
        <f aca="false">IF($B42="","",$B$2)</f>
        <v>46231</v>
      </c>
      <c r="B42" s="1" t="str">
        <f aca="false">IF($B$2="","",IFERROR(INDEX('Employee Master'!$A$2:$A$159,MATCH(ROWS($B$6:B42),Lists!$P$2:$P$159,0)),""))</f>
        <v>EMP-0076</v>
      </c>
      <c r="C42" s="1" t="str">
        <f aca="false">IF($B42="","",IFERROR(INDEX('Employee Master'!$B$2:$B$159,MATCH($B42,'Employee Master'!$A$2:$A$159,0)),""))</f>
        <v>Jamal Reynolds</v>
      </c>
      <c r="D42" s="1" t="str">
        <f aca="false">IF($B42="","",IFERROR(INDEX('Employee Master'!$C$2:$C$159,MATCH($B42,'Employee Master'!$A$2:$A$159,0)),""))</f>
        <v>5:45 AM</v>
      </c>
      <c r="E42" s="1" t="str">
        <f aca="false">IF($B42="","",IFERROR(INDEX('Employee Master'!$I$2:$I$159,MATCH($B42,'Employee Master'!$A$2:$A$159,0)),""))</f>
        <v>AM</v>
      </c>
      <c r="F42" s="29" t="str">
        <f aca="false">IF($B42="","",IFERROR(INDEX('Employee Master'!$E$2:$E$159,MATCH($B42,'Employee Master'!$A$2:$A$159,0)),""))</f>
        <v>N</v>
      </c>
      <c r="G42" s="29" t="str">
        <f aca="false">IF($B42="","",IFERROR(INDEX('Employee Master'!$F$2:$F$159,MATCH($B42,'Employee Master'!$A$2:$A$159,0)),""))</f>
        <v>N</v>
      </c>
      <c r="H42" s="41" t="str">
        <f aca="false">IF($B42="","","Present")</f>
        <v>Present</v>
      </c>
      <c r="I42" s="1" t="str">
        <f aca="false">IF($B42="","",IFERROR(INDEX('Employee Master'!$H$2:$H$159,MATCH($B42,'Employee Master'!$A$2:$A$159,0)),""))</f>
        <v>None</v>
      </c>
      <c r="J42" s="29" t="str">
        <f aca="false">IF($B42="","",IFERROR(INDEX('Qualification Matrix'!$C$2:$C$168,MATCH($B42,'Qualification Matrix'!$A$2:$A$168,0)),2))</f>
        <v>N</v>
      </c>
      <c r="K42" s="29" t="str">
        <f aca="false">IF($B42="","",IFERROR(INDEX('Qualification Matrix'!$D$2:$D$168,MATCH($B42,'Qualification Matrix'!$A$2:$A$168,0)),2))</f>
        <v>N</v>
      </c>
      <c r="L42" s="29" t="str">
        <f aca="false">IF($B42="","",IFERROR(INDEX('Qualification Matrix'!$E$2:$E$168,MATCH($B42,'Qualification Matrix'!$A$2:$A$168,0)),2))</f>
        <v>N</v>
      </c>
      <c r="M42" s="29" t="str">
        <f aca="false">IF($B42="","",IFERROR(INDEX('Qualification Matrix'!$F$2:$F$168,MATCH($B42,'Qualification Matrix'!$A$2:$A$168,0)),2))</f>
        <v>Y</v>
      </c>
      <c r="N42" s="29" t="str">
        <f aca="false">IF($B42="","",IF(AND($H42="Present",$F42&lt;&gt;"Y"),"Y","N"))</f>
        <v>Y</v>
      </c>
      <c r="O42" s="42"/>
      <c r="P42" s="29" t="n">
        <f aca="false">IF($B42="","",IFERROR(INDEX('Qualification Matrix'!$H$2:$H$168,MATCH($B42,'Qualification Matrix'!$A$2:$A$168,0)),""))</f>
        <v>2</v>
      </c>
      <c r="Q42" s="43" t="n">
        <f aca="false">IF($B42="","",SUMIFS('Rotation History'!$M$2:$M$1000,'Rotation History'!$B$2:$B$1000,$B42,'Rotation History'!$A$2:$A$1000,"&gt;="&amp;($B$2-30),'Rotation History'!$A$2:$A$1000,"&lt;"&amp;$B$2))</f>
        <v>0</v>
      </c>
      <c r="R42" s="43" t="n">
        <f aca="false">IF($B42="","",COUNTIFS('Rotation History'!$B$2:$B$1000,$B42,'Rotation History'!$M$2:$M$1000,"&gt;0",'Rotation History'!$A$2:$A$1000,"&gt;="&amp;($B$2-30),'Rotation History'!$A$2:$A$1000,"&lt;"&amp;$B$2))</f>
        <v>0</v>
      </c>
      <c r="S42" s="43" t="n">
        <f aca="false">IF($B42="","",IF(COUNTIFS('Rotation History'!$B$2:$B$1000,$B42,'Rotation History'!$A$2:$A$1000,$B$2-1,'Rotation History'!$M$2:$M$1000,"&gt;0")=0,0,1+IF(COUNTIFS('Rotation History'!$B$2:$B$1000,$B42,'Rotation History'!$A$2:$A$1000,$B$2-2,'Rotation History'!$M$2:$M$1000,"&gt;0")=0,0,1+IF(COUNTIFS('Rotation History'!$B$2:$B$1000,$B42,'Rotation History'!$A$2:$A$1000,$B$2-3,'Rotation History'!$M$2:$M$1000,"&gt;0")=0,0,1+IF(COUNTIFS('Rotation History'!$B$2:$B$1000,$B42,'Rotation History'!$A$2:$A$1000,$B$2-4,'Rotation History'!$M$2:$M$1000,"&gt;0")=0,0,1)))))</f>
        <v>0</v>
      </c>
      <c r="T42" s="43" t="n">
        <f aca="false">IF($B42="","",COUNTIFS('Rotation History'!$B$2:$B$1000,$B42,'Rotation History'!$K$2:$K$1000,"Opening",'Rotation History'!$A$2:$A$1000,"&gt;="&amp;($B$2-30),'Rotation History'!$A$2:$A$1000,"&lt;"&amp;$B$2))</f>
        <v>0</v>
      </c>
      <c r="U42" s="43" t="n">
        <f aca="false">IF($B42="","",COUNTIFS('Rotation History'!$B$2:$B$1000,$B42,'Rotation History'!$K$2:$K$1000,"Lunch Relief",'Rotation History'!$A$2:$A$1000,"&gt;="&amp;($B$2-30),'Rotation History'!$A$2:$A$1000,"&lt;"&amp;$B$2))</f>
        <v>0</v>
      </c>
      <c r="V42" s="44" t="n">
        <f aca="false">IF($B42="","",$Q42*10+$R42*2+$S42*20+$T42*3+$U42)</f>
        <v>0</v>
      </c>
    </row>
    <row r="43" customFormat="false" ht="14.25" hidden="false" customHeight="true" outlineLevel="0" collapsed="false">
      <c r="A43" s="40" t="n">
        <f aca="false">IF($B43="","",$B$2)</f>
        <v>46231</v>
      </c>
      <c r="B43" s="1" t="str">
        <f aca="false">IF($B$2="","",IFERROR(INDEX('Employee Master'!$A$2:$A$159,MATCH(ROWS($B$6:B43),Lists!$P$2:$P$159,0)),""))</f>
        <v>EMP-0086</v>
      </c>
      <c r="C43" s="1" t="str">
        <f aca="false">IF($B43="","",IFERROR(INDEX('Employee Master'!$B$2:$B$159,MATCH($B43,'Employee Master'!$A$2:$A$159,0)),""))</f>
        <v>Kidest Solomon</v>
      </c>
      <c r="D43" s="1" t="str">
        <f aca="false">IF($B43="","",IFERROR(INDEX('Employee Master'!$C$2:$C$159,MATCH($B43,'Employee Master'!$A$2:$A$159,0)),""))</f>
        <v>5:45 AM</v>
      </c>
      <c r="E43" s="1" t="str">
        <f aca="false">IF($B43="","",IFERROR(INDEX('Employee Master'!$I$2:$I$159,MATCH($B43,'Employee Master'!$A$2:$A$159,0)),""))</f>
        <v>AM</v>
      </c>
      <c r="F43" s="29" t="str">
        <f aca="false">IF($B43="","",IFERROR(INDEX('Employee Master'!$E$2:$E$159,MATCH($B43,'Employee Master'!$A$2:$A$159,0)),""))</f>
        <v>N</v>
      </c>
      <c r="G43" s="29" t="str">
        <f aca="false">IF($B43="","",IFERROR(INDEX('Employee Master'!$F$2:$F$159,MATCH($B43,'Employee Master'!$A$2:$A$159,0)),""))</f>
        <v>N</v>
      </c>
      <c r="H43" s="41" t="str">
        <f aca="false">IF($B43="","","Present")</f>
        <v>Present</v>
      </c>
      <c r="I43" s="1" t="str">
        <f aca="false">IF($B43="","",IFERROR(INDEX('Employee Master'!$H$2:$H$159,MATCH($B43,'Employee Master'!$A$2:$A$159,0)),""))</f>
        <v>None</v>
      </c>
      <c r="J43" s="29" t="str">
        <f aca="false">IF($B43="","",IFERROR(INDEX('Qualification Matrix'!$C$2:$C$168,MATCH($B43,'Qualification Matrix'!$A$2:$A$168,0)),2))</f>
        <v>N</v>
      </c>
      <c r="K43" s="29" t="str">
        <f aca="false">IF($B43="","",IFERROR(INDEX('Qualification Matrix'!$D$2:$D$168,MATCH($B43,'Qualification Matrix'!$A$2:$A$168,0)),2))</f>
        <v>N</v>
      </c>
      <c r="L43" s="29" t="str">
        <f aca="false">IF($B43="","",IFERROR(INDEX('Qualification Matrix'!$E$2:$E$168,MATCH($B43,'Qualification Matrix'!$A$2:$A$168,0)),2))</f>
        <v>N</v>
      </c>
      <c r="M43" s="29" t="str">
        <f aca="false">IF($B43="","",IFERROR(INDEX('Qualification Matrix'!$F$2:$F$168,MATCH($B43,'Qualification Matrix'!$A$2:$A$168,0)),2))</f>
        <v>Y</v>
      </c>
      <c r="N43" s="29" t="str">
        <f aca="false">IF($B43="","",IF(AND($H43="Present",$F43&lt;&gt;"Y"),"Y","N"))</f>
        <v>Y</v>
      </c>
      <c r="O43" s="42"/>
      <c r="P43" s="29" t="n">
        <f aca="false">IF($B43="","",IFERROR(INDEX('Qualification Matrix'!$H$2:$H$168,MATCH($B43,'Qualification Matrix'!$A$2:$A$168,0)),""))</f>
        <v>2</v>
      </c>
      <c r="Q43" s="43" t="n">
        <f aca="false">IF($B43="","",SUMIFS('Rotation History'!$M$2:$M$1000,'Rotation History'!$B$2:$B$1000,$B43,'Rotation History'!$A$2:$A$1000,"&gt;="&amp;($B$2-30),'Rotation History'!$A$2:$A$1000,"&lt;"&amp;$B$2))</f>
        <v>0</v>
      </c>
      <c r="R43" s="43" t="n">
        <f aca="false">IF($B43="","",COUNTIFS('Rotation History'!$B$2:$B$1000,$B43,'Rotation History'!$M$2:$M$1000,"&gt;0",'Rotation History'!$A$2:$A$1000,"&gt;="&amp;($B$2-30),'Rotation History'!$A$2:$A$1000,"&lt;"&amp;$B$2))</f>
        <v>0</v>
      </c>
      <c r="S43" s="43" t="n">
        <f aca="false">IF($B43="","",IF(COUNTIFS('Rotation History'!$B$2:$B$1000,$B43,'Rotation History'!$A$2:$A$1000,$B$2-1,'Rotation History'!$M$2:$M$1000,"&gt;0")=0,0,1+IF(COUNTIFS('Rotation History'!$B$2:$B$1000,$B43,'Rotation History'!$A$2:$A$1000,$B$2-2,'Rotation History'!$M$2:$M$1000,"&gt;0")=0,0,1+IF(COUNTIFS('Rotation History'!$B$2:$B$1000,$B43,'Rotation History'!$A$2:$A$1000,$B$2-3,'Rotation History'!$M$2:$M$1000,"&gt;0")=0,0,1+IF(COUNTIFS('Rotation History'!$B$2:$B$1000,$B43,'Rotation History'!$A$2:$A$1000,$B$2-4,'Rotation History'!$M$2:$M$1000,"&gt;0")=0,0,1)))))</f>
        <v>0</v>
      </c>
      <c r="T43" s="43" t="n">
        <f aca="false">IF($B43="","",COUNTIFS('Rotation History'!$B$2:$B$1000,$B43,'Rotation History'!$K$2:$K$1000,"Opening",'Rotation History'!$A$2:$A$1000,"&gt;="&amp;($B$2-30),'Rotation History'!$A$2:$A$1000,"&lt;"&amp;$B$2))</f>
        <v>0</v>
      </c>
      <c r="U43" s="43" t="n">
        <f aca="false">IF($B43="","",COUNTIFS('Rotation History'!$B$2:$B$1000,$B43,'Rotation History'!$K$2:$K$1000,"Lunch Relief",'Rotation History'!$A$2:$A$1000,"&gt;="&amp;($B$2-30),'Rotation History'!$A$2:$A$1000,"&lt;"&amp;$B$2))</f>
        <v>0</v>
      </c>
      <c r="V43" s="44" t="n">
        <f aca="false">IF($B43="","",$Q43*10+$R43*2+$S43*20+$T43*3+$U43)</f>
        <v>0</v>
      </c>
    </row>
    <row r="44" customFormat="false" ht="14.25" hidden="false" customHeight="true" outlineLevel="0" collapsed="false">
      <c r="A44" s="40" t="n">
        <f aca="false">IF($B44="","",$B$2)</f>
        <v>46231</v>
      </c>
      <c r="B44" s="1" t="str">
        <f aca="false">IF($B$2="","",IFERROR(INDEX('Employee Master'!$A$2:$A$159,MATCH(ROWS($B$6:B44),Lists!$P$2:$P$159,0)),""))</f>
        <v>EMP-0088</v>
      </c>
      <c r="C44" s="1" t="str">
        <f aca="false">IF($B44="","",IFERROR(INDEX('Employee Master'!$B$2:$B$159,MATCH($B44,'Employee Master'!$A$2:$A$159,0)),""))</f>
        <v>Kimberly Smoot</v>
      </c>
      <c r="D44" s="1" t="str">
        <f aca="false">IF($B44="","",IFERROR(INDEX('Employee Master'!$C$2:$C$159,MATCH($B44,'Employee Master'!$A$2:$A$159,0)),""))</f>
        <v>5:45 AM</v>
      </c>
      <c r="E44" s="1" t="str">
        <f aca="false">IF($B44="","",IFERROR(INDEX('Employee Master'!$I$2:$I$159,MATCH($B44,'Employee Master'!$A$2:$A$159,0)),""))</f>
        <v>AM</v>
      </c>
      <c r="F44" s="29" t="str">
        <f aca="false">IF($B44="","",IFERROR(INDEX('Employee Master'!$E$2:$E$159,MATCH($B44,'Employee Master'!$A$2:$A$159,0)),""))</f>
        <v>N</v>
      </c>
      <c r="G44" s="29" t="str">
        <f aca="false">IF($B44="","",IFERROR(INDEX('Employee Master'!$F$2:$F$159,MATCH($B44,'Employee Master'!$A$2:$A$159,0)),""))</f>
        <v>N</v>
      </c>
      <c r="H44" s="41" t="str">
        <f aca="false">IF($B44="","","Present")</f>
        <v>Present</v>
      </c>
      <c r="I44" s="1" t="str">
        <f aca="false">IF($B44="","",IFERROR(INDEX('Employee Master'!$H$2:$H$159,MATCH($B44,'Employee Master'!$A$2:$A$159,0)),""))</f>
        <v>None</v>
      </c>
      <c r="J44" s="29" t="str">
        <f aca="false">IF($B44="","",IFERROR(INDEX('Qualification Matrix'!$C$2:$C$168,MATCH($B44,'Qualification Matrix'!$A$2:$A$168,0)),2))</f>
        <v>N</v>
      </c>
      <c r="K44" s="29" t="str">
        <f aca="false">IF($B44="","",IFERROR(INDEX('Qualification Matrix'!$D$2:$D$168,MATCH($B44,'Qualification Matrix'!$A$2:$A$168,0)),2))</f>
        <v>N</v>
      </c>
      <c r="L44" s="29" t="str">
        <f aca="false">IF($B44="","",IFERROR(INDEX('Qualification Matrix'!$E$2:$E$168,MATCH($B44,'Qualification Matrix'!$A$2:$A$168,0)),2))</f>
        <v>N</v>
      </c>
      <c r="M44" s="29" t="str">
        <f aca="false">IF($B44="","",IFERROR(INDEX('Qualification Matrix'!$F$2:$F$168,MATCH($B44,'Qualification Matrix'!$A$2:$A$168,0)),2))</f>
        <v>Y</v>
      </c>
      <c r="N44" s="29" t="str">
        <f aca="false">IF($B44="","",IF(AND($H44="Present",$F44&lt;&gt;"Y"),"Y","N"))</f>
        <v>Y</v>
      </c>
      <c r="O44" s="42"/>
      <c r="P44" s="29" t="n">
        <f aca="false">IF($B44="","",IFERROR(INDEX('Qualification Matrix'!$H$2:$H$168,MATCH($B44,'Qualification Matrix'!$A$2:$A$168,0)),""))</f>
        <v>2</v>
      </c>
      <c r="Q44" s="43" t="n">
        <f aca="false">IF($B44="","",SUMIFS('Rotation History'!$M$2:$M$1000,'Rotation History'!$B$2:$B$1000,$B44,'Rotation History'!$A$2:$A$1000,"&gt;="&amp;($B$2-30),'Rotation History'!$A$2:$A$1000,"&lt;"&amp;$B$2))</f>
        <v>0</v>
      </c>
      <c r="R44" s="43" t="n">
        <f aca="false">IF($B44="","",COUNTIFS('Rotation History'!$B$2:$B$1000,$B44,'Rotation History'!$M$2:$M$1000,"&gt;0",'Rotation History'!$A$2:$A$1000,"&gt;="&amp;($B$2-30),'Rotation History'!$A$2:$A$1000,"&lt;"&amp;$B$2))</f>
        <v>0</v>
      </c>
      <c r="S44" s="43" t="n">
        <f aca="false">IF($B44="","",IF(COUNTIFS('Rotation History'!$B$2:$B$1000,$B44,'Rotation History'!$A$2:$A$1000,$B$2-1,'Rotation History'!$M$2:$M$1000,"&gt;0")=0,0,1+IF(COUNTIFS('Rotation History'!$B$2:$B$1000,$B44,'Rotation History'!$A$2:$A$1000,$B$2-2,'Rotation History'!$M$2:$M$1000,"&gt;0")=0,0,1+IF(COUNTIFS('Rotation History'!$B$2:$B$1000,$B44,'Rotation History'!$A$2:$A$1000,$B$2-3,'Rotation History'!$M$2:$M$1000,"&gt;0")=0,0,1+IF(COUNTIFS('Rotation History'!$B$2:$B$1000,$B44,'Rotation History'!$A$2:$A$1000,$B$2-4,'Rotation History'!$M$2:$M$1000,"&gt;0")=0,0,1)))))</f>
        <v>0</v>
      </c>
      <c r="T44" s="43" t="n">
        <f aca="false">IF($B44="","",COUNTIFS('Rotation History'!$B$2:$B$1000,$B44,'Rotation History'!$K$2:$K$1000,"Opening",'Rotation History'!$A$2:$A$1000,"&gt;="&amp;($B$2-30),'Rotation History'!$A$2:$A$1000,"&lt;"&amp;$B$2))</f>
        <v>0</v>
      </c>
      <c r="U44" s="43" t="n">
        <f aca="false">IF($B44="","",COUNTIFS('Rotation History'!$B$2:$B$1000,$B44,'Rotation History'!$K$2:$K$1000,"Lunch Relief",'Rotation History'!$A$2:$A$1000,"&gt;="&amp;($B$2-30),'Rotation History'!$A$2:$A$1000,"&lt;"&amp;$B$2))</f>
        <v>0</v>
      </c>
      <c r="V44" s="44" t="n">
        <f aca="false">IF($B44="","",$Q44*10+$R44*2+$S44*20+$T44*3+$U44)</f>
        <v>0</v>
      </c>
    </row>
    <row r="45" customFormat="false" ht="14.25" hidden="false" customHeight="true" outlineLevel="0" collapsed="false">
      <c r="A45" s="40" t="n">
        <f aca="false">IF($B45="","",$B$2)</f>
        <v>46231</v>
      </c>
      <c r="B45" s="1" t="str">
        <f aca="false">IF($B$2="","",IFERROR(INDEX('Employee Master'!$A$2:$A$159,MATCH(ROWS($B$6:B45),Lists!$P$2:$P$159,0)),""))</f>
        <v>EMP-0095</v>
      </c>
      <c r="C45" s="1" t="str">
        <f aca="false">IF($B45="","",IFERROR(INDEX('Employee Master'!$B$2:$B$159,MATCH($B45,'Employee Master'!$A$2:$A$159,0)),""))</f>
        <v>Linton Brereton</v>
      </c>
      <c r="D45" s="1" t="str">
        <f aca="false">IF($B45="","",IFERROR(INDEX('Employee Master'!$C$2:$C$159,MATCH($B45,'Employee Master'!$A$2:$A$159,0)),""))</f>
        <v>5:45 AM</v>
      </c>
      <c r="E45" s="1" t="str">
        <f aca="false">IF($B45="","",IFERROR(INDEX('Employee Master'!$I$2:$I$159,MATCH($B45,'Employee Master'!$A$2:$A$159,0)),""))</f>
        <v>AM</v>
      </c>
      <c r="F45" s="29" t="str">
        <f aca="false">IF($B45="","",IFERROR(INDEX('Employee Master'!$E$2:$E$159,MATCH($B45,'Employee Master'!$A$2:$A$159,0)),""))</f>
        <v>N</v>
      </c>
      <c r="G45" s="29" t="str">
        <f aca="false">IF($B45="","",IFERROR(INDEX('Employee Master'!$F$2:$F$159,MATCH($B45,'Employee Master'!$A$2:$A$159,0)),""))</f>
        <v>N</v>
      </c>
      <c r="H45" s="41" t="str">
        <f aca="false">IF($B45="","","Present")</f>
        <v>Present</v>
      </c>
      <c r="I45" s="1" t="str">
        <f aca="false">IF($B45="","",IFERROR(INDEX('Employee Master'!$H$2:$H$159,MATCH($B45,'Employee Master'!$A$2:$A$159,0)),""))</f>
        <v>None</v>
      </c>
      <c r="J45" s="29" t="str">
        <f aca="false">IF($B45="","",IFERROR(INDEX('Qualification Matrix'!$C$2:$C$168,MATCH($B45,'Qualification Matrix'!$A$2:$A$168,0)),2))</f>
        <v>N</v>
      </c>
      <c r="K45" s="29" t="str">
        <f aca="false">IF($B45="","",IFERROR(INDEX('Qualification Matrix'!$D$2:$D$168,MATCH($B45,'Qualification Matrix'!$A$2:$A$168,0)),2))</f>
        <v>N</v>
      </c>
      <c r="L45" s="29" t="str">
        <f aca="false">IF($B45="","",IFERROR(INDEX('Qualification Matrix'!$E$2:$E$168,MATCH($B45,'Qualification Matrix'!$A$2:$A$168,0)),2))</f>
        <v>N</v>
      </c>
      <c r="M45" s="29" t="str">
        <f aca="false">IF($B45="","",IFERROR(INDEX('Qualification Matrix'!$F$2:$F$168,MATCH($B45,'Qualification Matrix'!$A$2:$A$168,0)),2))</f>
        <v>Y</v>
      </c>
      <c r="N45" s="29" t="str">
        <f aca="false">IF($B45="","",IF(AND($H45="Present",$F45&lt;&gt;"Y"),"Y","N"))</f>
        <v>Y</v>
      </c>
      <c r="O45" s="42"/>
      <c r="P45" s="29" t="n">
        <f aca="false">IF($B45="","",IFERROR(INDEX('Qualification Matrix'!$H$2:$H$168,MATCH($B45,'Qualification Matrix'!$A$2:$A$168,0)),""))</f>
        <v>2</v>
      </c>
      <c r="Q45" s="43" t="n">
        <f aca="false">IF($B45="","",SUMIFS('Rotation History'!$M$2:$M$1000,'Rotation History'!$B$2:$B$1000,$B45,'Rotation History'!$A$2:$A$1000,"&gt;="&amp;($B$2-30),'Rotation History'!$A$2:$A$1000,"&lt;"&amp;$B$2))</f>
        <v>0</v>
      </c>
      <c r="R45" s="43" t="n">
        <f aca="false">IF($B45="","",COUNTIFS('Rotation History'!$B$2:$B$1000,$B45,'Rotation History'!$M$2:$M$1000,"&gt;0",'Rotation History'!$A$2:$A$1000,"&gt;="&amp;($B$2-30),'Rotation History'!$A$2:$A$1000,"&lt;"&amp;$B$2))</f>
        <v>0</v>
      </c>
      <c r="S45" s="43" t="n">
        <f aca="false">IF($B45="","",IF(COUNTIFS('Rotation History'!$B$2:$B$1000,$B45,'Rotation History'!$A$2:$A$1000,$B$2-1,'Rotation History'!$M$2:$M$1000,"&gt;0")=0,0,1+IF(COUNTIFS('Rotation History'!$B$2:$B$1000,$B45,'Rotation History'!$A$2:$A$1000,$B$2-2,'Rotation History'!$M$2:$M$1000,"&gt;0")=0,0,1+IF(COUNTIFS('Rotation History'!$B$2:$B$1000,$B45,'Rotation History'!$A$2:$A$1000,$B$2-3,'Rotation History'!$M$2:$M$1000,"&gt;0")=0,0,1+IF(COUNTIFS('Rotation History'!$B$2:$B$1000,$B45,'Rotation History'!$A$2:$A$1000,$B$2-4,'Rotation History'!$M$2:$M$1000,"&gt;0")=0,0,1)))))</f>
        <v>0</v>
      </c>
      <c r="T45" s="43" t="n">
        <f aca="false">IF($B45="","",COUNTIFS('Rotation History'!$B$2:$B$1000,$B45,'Rotation History'!$K$2:$K$1000,"Opening",'Rotation History'!$A$2:$A$1000,"&gt;="&amp;($B$2-30),'Rotation History'!$A$2:$A$1000,"&lt;"&amp;$B$2))</f>
        <v>0</v>
      </c>
      <c r="U45" s="43" t="n">
        <f aca="false">IF($B45="","",COUNTIFS('Rotation History'!$B$2:$B$1000,$B45,'Rotation History'!$K$2:$K$1000,"Lunch Relief",'Rotation History'!$A$2:$A$1000,"&gt;="&amp;($B$2-30),'Rotation History'!$A$2:$A$1000,"&lt;"&amp;$B$2))</f>
        <v>0</v>
      </c>
      <c r="V45" s="44" t="n">
        <f aca="false">IF($B45="","",$Q45*10+$R45*2+$S45*20+$T45*3+$U45)</f>
        <v>0</v>
      </c>
    </row>
    <row r="46" customFormat="false" ht="14.25" hidden="false" customHeight="true" outlineLevel="0" collapsed="false">
      <c r="A46" s="40" t="n">
        <f aca="false">IF($B46="","",$B$2)</f>
        <v>46231</v>
      </c>
      <c r="B46" s="1" t="str">
        <f aca="false">IF($B$2="","",IFERROR(INDEX('Employee Master'!$A$2:$A$159,MATCH(ROWS($B$6:B46),Lists!$P$2:$P$159,0)),""))</f>
        <v>EMP-0098</v>
      </c>
      <c r="C46" s="1" t="str">
        <f aca="false">IF($B46="","",IFERROR(INDEX('Employee Master'!$B$2:$B$159,MATCH($B46,'Employee Master'!$A$2:$A$159,0)),""))</f>
        <v>Mamadou Seck</v>
      </c>
      <c r="D46" s="1" t="str">
        <f aca="false">IF($B46="","",IFERROR(INDEX('Employee Master'!$C$2:$C$159,MATCH($B46,'Employee Master'!$A$2:$A$159,0)),""))</f>
        <v>5:45 AM</v>
      </c>
      <c r="E46" s="1" t="str">
        <f aca="false">IF($B46="","",IFERROR(INDEX('Employee Master'!$I$2:$I$159,MATCH($B46,'Employee Master'!$A$2:$A$159,0)),""))</f>
        <v>AM</v>
      </c>
      <c r="F46" s="29" t="str">
        <f aca="false">IF($B46="","",IFERROR(INDEX('Employee Master'!$E$2:$E$159,MATCH($B46,'Employee Master'!$A$2:$A$159,0)),""))</f>
        <v>N</v>
      </c>
      <c r="G46" s="29" t="str">
        <f aca="false">IF($B46="","",IFERROR(INDEX('Employee Master'!$F$2:$F$159,MATCH($B46,'Employee Master'!$A$2:$A$159,0)),""))</f>
        <v>N</v>
      </c>
      <c r="H46" s="41" t="str">
        <f aca="false">IF($B46="","","Present")</f>
        <v>Present</v>
      </c>
      <c r="I46" s="1" t="str">
        <f aca="false">IF($B46="","",IFERROR(INDEX('Employee Master'!$H$2:$H$159,MATCH($B46,'Employee Master'!$A$2:$A$159,0)),""))</f>
        <v>None</v>
      </c>
      <c r="J46" s="29" t="str">
        <f aca="false">IF($B46="","",IFERROR(INDEX('Qualification Matrix'!$C$2:$C$168,MATCH($B46,'Qualification Matrix'!$A$2:$A$168,0)),2))</f>
        <v>N</v>
      </c>
      <c r="K46" s="29" t="str">
        <f aca="false">IF($B46="","",IFERROR(INDEX('Qualification Matrix'!$D$2:$D$168,MATCH($B46,'Qualification Matrix'!$A$2:$A$168,0)),2))</f>
        <v>N</v>
      </c>
      <c r="L46" s="29" t="str">
        <f aca="false">IF($B46="","",IFERROR(INDEX('Qualification Matrix'!$E$2:$E$168,MATCH($B46,'Qualification Matrix'!$A$2:$A$168,0)),2))</f>
        <v>N</v>
      </c>
      <c r="M46" s="29" t="str">
        <f aca="false">IF($B46="","",IFERROR(INDEX('Qualification Matrix'!$F$2:$F$168,MATCH($B46,'Qualification Matrix'!$A$2:$A$168,0)),2))</f>
        <v>Y</v>
      </c>
      <c r="N46" s="29" t="str">
        <f aca="false">IF($B46="","",IF(AND($H46="Present",$F46&lt;&gt;"Y"),"Y","N"))</f>
        <v>Y</v>
      </c>
      <c r="O46" s="42"/>
      <c r="P46" s="29" t="n">
        <f aca="false">IF($B46="","",IFERROR(INDEX('Qualification Matrix'!$H$2:$H$168,MATCH($B46,'Qualification Matrix'!$A$2:$A$168,0)),""))</f>
        <v>2</v>
      </c>
      <c r="Q46" s="43" t="n">
        <f aca="false">IF($B46="","",SUMIFS('Rotation History'!$M$2:$M$1000,'Rotation History'!$B$2:$B$1000,$B46,'Rotation History'!$A$2:$A$1000,"&gt;="&amp;($B$2-30),'Rotation History'!$A$2:$A$1000,"&lt;"&amp;$B$2))</f>
        <v>0</v>
      </c>
      <c r="R46" s="43" t="n">
        <f aca="false">IF($B46="","",COUNTIFS('Rotation History'!$B$2:$B$1000,$B46,'Rotation History'!$M$2:$M$1000,"&gt;0",'Rotation History'!$A$2:$A$1000,"&gt;="&amp;($B$2-30),'Rotation History'!$A$2:$A$1000,"&lt;"&amp;$B$2))</f>
        <v>0</v>
      </c>
      <c r="S46" s="43" t="n">
        <f aca="false">IF($B46="","",IF(COUNTIFS('Rotation History'!$B$2:$B$1000,$B46,'Rotation History'!$A$2:$A$1000,$B$2-1,'Rotation History'!$M$2:$M$1000,"&gt;0")=0,0,1+IF(COUNTIFS('Rotation History'!$B$2:$B$1000,$B46,'Rotation History'!$A$2:$A$1000,$B$2-2,'Rotation History'!$M$2:$M$1000,"&gt;0")=0,0,1+IF(COUNTIFS('Rotation History'!$B$2:$B$1000,$B46,'Rotation History'!$A$2:$A$1000,$B$2-3,'Rotation History'!$M$2:$M$1000,"&gt;0")=0,0,1+IF(COUNTIFS('Rotation History'!$B$2:$B$1000,$B46,'Rotation History'!$A$2:$A$1000,$B$2-4,'Rotation History'!$M$2:$M$1000,"&gt;0")=0,0,1)))))</f>
        <v>0</v>
      </c>
      <c r="T46" s="43" t="n">
        <f aca="false">IF($B46="","",COUNTIFS('Rotation History'!$B$2:$B$1000,$B46,'Rotation History'!$K$2:$K$1000,"Opening",'Rotation History'!$A$2:$A$1000,"&gt;="&amp;($B$2-30),'Rotation History'!$A$2:$A$1000,"&lt;"&amp;$B$2))</f>
        <v>0</v>
      </c>
      <c r="U46" s="43" t="n">
        <f aca="false">IF($B46="","",COUNTIFS('Rotation History'!$B$2:$B$1000,$B46,'Rotation History'!$K$2:$K$1000,"Lunch Relief",'Rotation History'!$A$2:$A$1000,"&gt;="&amp;($B$2-30),'Rotation History'!$A$2:$A$1000,"&lt;"&amp;$B$2))</f>
        <v>0</v>
      </c>
      <c r="V46" s="44" t="n">
        <f aca="false">IF($B46="","",$Q46*10+$R46*2+$S46*20+$T46*3+$U46)</f>
        <v>0</v>
      </c>
    </row>
    <row r="47" customFormat="false" ht="14.25" hidden="false" customHeight="true" outlineLevel="0" collapsed="false">
      <c r="A47" s="40" t="n">
        <f aca="false">IF($B47="","",$B$2)</f>
        <v>46231</v>
      </c>
      <c r="B47" s="1" t="str">
        <f aca="false">IF($B$2="","",IFERROR(INDEX('Employee Master'!$A$2:$A$159,MATCH(ROWS($B$6:B47),Lists!$P$2:$P$159,0)),""))</f>
        <v>EMP-0099</v>
      </c>
      <c r="C47" s="1" t="str">
        <f aca="false">IF($B47="","",IFERROR(INDEX('Employee Master'!$B$2:$B$159,MATCH($B47,'Employee Master'!$A$2:$A$159,0)),""))</f>
        <v>Mariana Garduno</v>
      </c>
      <c r="D47" s="1" t="str">
        <f aca="false">IF($B47="","",IFERROR(INDEX('Employee Master'!$C$2:$C$159,MATCH($B47,'Employee Master'!$A$2:$A$159,0)),""))</f>
        <v>5:45 AM</v>
      </c>
      <c r="E47" s="1" t="str">
        <f aca="false">IF($B47="","",IFERROR(INDEX('Employee Master'!$I$2:$I$159,MATCH($B47,'Employee Master'!$A$2:$A$159,0)),""))</f>
        <v>AM</v>
      </c>
      <c r="F47" s="29" t="str">
        <f aca="false">IF($B47="","",IFERROR(INDEX('Employee Master'!$E$2:$E$159,MATCH($B47,'Employee Master'!$A$2:$A$159,0)),""))</f>
        <v>Y</v>
      </c>
      <c r="G47" s="29" t="str">
        <f aca="false">IF($B47="","",IFERROR(INDEX('Employee Master'!$F$2:$F$159,MATCH($B47,'Employee Master'!$A$2:$A$159,0)),""))</f>
        <v>N</v>
      </c>
      <c r="H47" s="41" t="str">
        <f aca="false">IF($B47="","","Present")</f>
        <v>Present</v>
      </c>
      <c r="I47" s="1" t="str">
        <f aca="false">IF($B47="","",IFERROR(INDEX('Employee Master'!$H$2:$H$159,MATCH($B47,'Employee Master'!$A$2:$A$159,0)),""))</f>
        <v>None</v>
      </c>
      <c r="J47" s="29" t="str">
        <f aca="false">IF($B47="","",IFERROR(INDEX('Qualification Matrix'!$C$2:$C$168,MATCH($B47,'Qualification Matrix'!$A$2:$A$168,0)),2))</f>
        <v>N</v>
      </c>
      <c r="K47" s="29" t="str">
        <f aca="false">IF($B47="","",IFERROR(INDEX('Qualification Matrix'!$D$2:$D$168,MATCH($B47,'Qualification Matrix'!$A$2:$A$168,0)),2))</f>
        <v>N</v>
      </c>
      <c r="L47" s="29" t="str">
        <f aca="false">IF($B47="","",IFERROR(INDEX('Qualification Matrix'!$E$2:$E$168,MATCH($B47,'Qualification Matrix'!$A$2:$A$168,0)),2))</f>
        <v>N</v>
      </c>
      <c r="M47" s="29" t="str">
        <f aca="false">IF($B47="","",IFERROR(INDEX('Qualification Matrix'!$F$2:$F$168,MATCH($B47,'Qualification Matrix'!$A$2:$A$168,0)),2))</f>
        <v>Y</v>
      </c>
      <c r="N47" s="29" t="str">
        <f aca="false">IF($B47="","",IF(AND($H47="Present",$F47&lt;&gt;"Y"),"Y","N"))</f>
        <v>N</v>
      </c>
      <c r="O47" s="42"/>
      <c r="P47" s="29" t="n">
        <f aca="false">IF($B47="","",IFERROR(INDEX('Qualification Matrix'!$H$2:$H$168,MATCH($B47,'Qualification Matrix'!$A$2:$A$168,0)),""))</f>
        <v>2</v>
      </c>
      <c r="Q47" s="43" t="n">
        <f aca="false">IF($B47="","",SUMIFS('Rotation History'!$M$2:$M$1000,'Rotation History'!$B$2:$B$1000,$B47,'Rotation History'!$A$2:$A$1000,"&gt;="&amp;($B$2-30),'Rotation History'!$A$2:$A$1000,"&lt;"&amp;$B$2))</f>
        <v>0</v>
      </c>
      <c r="R47" s="43" t="n">
        <f aca="false">IF($B47="","",COUNTIFS('Rotation History'!$B$2:$B$1000,$B47,'Rotation History'!$M$2:$M$1000,"&gt;0",'Rotation History'!$A$2:$A$1000,"&gt;="&amp;($B$2-30),'Rotation History'!$A$2:$A$1000,"&lt;"&amp;$B$2))</f>
        <v>0</v>
      </c>
      <c r="S47" s="43" t="n">
        <f aca="false">IF($B47="","",IF(COUNTIFS('Rotation History'!$B$2:$B$1000,$B47,'Rotation History'!$A$2:$A$1000,$B$2-1,'Rotation History'!$M$2:$M$1000,"&gt;0")=0,0,1+IF(COUNTIFS('Rotation History'!$B$2:$B$1000,$B47,'Rotation History'!$A$2:$A$1000,$B$2-2,'Rotation History'!$M$2:$M$1000,"&gt;0")=0,0,1+IF(COUNTIFS('Rotation History'!$B$2:$B$1000,$B47,'Rotation History'!$A$2:$A$1000,$B$2-3,'Rotation History'!$M$2:$M$1000,"&gt;0")=0,0,1+IF(COUNTIFS('Rotation History'!$B$2:$B$1000,$B47,'Rotation History'!$A$2:$A$1000,$B$2-4,'Rotation History'!$M$2:$M$1000,"&gt;0")=0,0,1)))))</f>
        <v>0</v>
      </c>
      <c r="T47" s="43" t="n">
        <f aca="false">IF($B47="","",COUNTIFS('Rotation History'!$B$2:$B$1000,$B47,'Rotation History'!$K$2:$K$1000,"Opening",'Rotation History'!$A$2:$A$1000,"&gt;="&amp;($B$2-30),'Rotation History'!$A$2:$A$1000,"&lt;"&amp;$B$2))</f>
        <v>0</v>
      </c>
      <c r="U47" s="43" t="n">
        <f aca="false">IF($B47="","",COUNTIFS('Rotation History'!$B$2:$B$1000,$B47,'Rotation History'!$K$2:$K$1000,"Lunch Relief",'Rotation History'!$A$2:$A$1000,"&gt;="&amp;($B$2-30),'Rotation History'!$A$2:$A$1000,"&lt;"&amp;$B$2))</f>
        <v>0</v>
      </c>
      <c r="V47" s="44" t="n">
        <f aca="false">IF($B47="","",$Q47*10+$R47*2+$S47*20+$T47*3+$U47)</f>
        <v>0</v>
      </c>
    </row>
    <row r="48" customFormat="false" ht="14.25" hidden="false" customHeight="true" outlineLevel="0" collapsed="false">
      <c r="A48" s="40" t="n">
        <f aca="false">IF($B48="","",$B$2)</f>
        <v>46231</v>
      </c>
      <c r="B48" s="1" t="str">
        <f aca="false">IF($B$2="","",IFERROR(INDEX('Employee Master'!$A$2:$A$159,MATCH(ROWS($B$6:B48),Lists!$P$2:$P$159,0)),""))</f>
        <v>EMP-0100</v>
      </c>
      <c r="C48" s="1" t="str">
        <f aca="false">IF($B48="","",IFERROR(INDEX('Employee Master'!$B$2:$B$159,MATCH($B48,'Employee Master'!$A$2:$A$159,0)),""))</f>
        <v>Marquise Jackson</v>
      </c>
      <c r="D48" s="1" t="str">
        <f aca="false">IF($B48="","",IFERROR(INDEX('Employee Master'!$C$2:$C$159,MATCH($B48,'Employee Master'!$A$2:$A$159,0)),""))</f>
        <v>5:45 AM</v>
      </c>
      <c r="E48" s="1" t="str">
        <f aca="false">IF($B48="","",IFERROR(INDEX('Employee Master'!$I$2:$I$159,MATCH($B48,'Employee Master'!$A$2:$A$159,0)),""))</f>
        <v>AM</v>
      </c>
      <c r="F48" s="29" t="str">
        <f aca="false">IF($B48="","",IFERROR(INDEX('Employee Master'!$E$2:$E$159,MATCH($B48,'Employee Master'!$A$2:$A$159,0)),""))</f>
        <v>N</v>
      </c>
      <c r="G48" s="29" t="str">
        <f aca="false">IF($B48="","",IFERROR(INDEX('Employee Master'!$F$2:$F$159,MATCH($B48,'Employee Master'!$A$2:$A$159,0)),""))</f>
        <v>N</v>
      </c>
      <c r="H48" s="41" t="str">
        <f aca="false">IF($B48="","","Present")</f>
        <v>Present</v>
      </c>
      <c r="I48" s="1" t="str">
        <f aca="false">IF($B48="","",IFERROR(INDEX('Employee Master'!$H$2:$H$159,MATCH($B48,'Employee Master'!$A$2:$A$159,0)),""))</f>
        <v>None</v>
      </c>
      <c r="J48" s="29" t="str">
        <f aca="false">IF($B48="","",IFERROR(INDEX('Qualification Matrix'!$C$2:$C$168,MATCH($B48,'Qualification Matrix'!$A$2:$A$168,0)),2))</f>
        <v>N</v>
      </c>
      <c r="K48" s="29" t="str">
        <f aca="false">IF($B48="","",IFERROR(INDEX('Qualification Matrix'!$D$2:$D$168,MATCH($B48,'Qualification Matrix'!$A$2:$A$168,0)),2))</f>
        <v>N</v>
      </c>
      <c r="L48" s="29" t="str">
        <f aca="false">IF($B48="","",IFERROR(INDEX('Qualification Matrix'!$E$2:$E$168,MATCH($B48,'Qualification Matrix'!$A$2:$A$168,0)),2))</f>
        <v>N</v>
      </c>
      <c r="M48" s="29" t="str">
        <f aca="false">IF($B48="","",IFERROR(INDEX('Qualification Matrix'!$F$2:$F$168,MATCH($B48,'Qualification Matrix'!$A$2:$A$168,0)),2))</f>
        <v>Y</v>
      </c>
      <c r="N48" s="29" t="str">
        <f aca="false">IF($B48="","",IF(AND($H48="Present",$F48&lt;&gt;"Y"),"Y","N"))</f>
        <v>Y</v>
      </c>
      <c r="O48" s="42"/>
      <c r="P48" s="29" t="n">
        <f aca="false">IF($B48="","",IFERROR(INDEX('Qualification Matrix'!$H$2:$H$168,MATCH($B48,'Qualification Matrix'!$A$2:$A$168,0)),""))</f>
        <v>2</v>
      </c>
      <c r="Q48" s="43" t="n">
        <f aca="false">IF($B48="","",SUMIFS('Rotation History'!$M$2:$M$1000,'Rotation History'!$B$2:$B$1000,$B48,'Rotation History'!$A$2:$A$1000,"&gt;="&amp;($B$2-30),'Rotation History'!$A$2:$A$1000,"&lt;"&amp;$B$2))</f>
        <v>0</v>
      </c>
      <c r="R48" s="43" t="n">
        <f aca="false">IF($B48="","",COUNTIFS('Rotation History'!$B$2:$B$1000,$B48,'Rotation History'!$M$2:$M$1000,"&gt;0",'Rotation History'!$A$2:$A$1000,"&gt;="&amp;($B$2-30),'Rotation History'!$A$2:$A$1000,"&lt;"&amp;$B$2))</f>
        <v>0</v>
      </c>
      <c r="S48" s="43" t="n">
        <f aca="false">IF($B48="","",IF(COUNTIFS('Rotation History'!$B$2:$B$1000,$B48,'Rotation History'!$A$2:$A$1000,$B$2-1,'Rotation History'!$M$2:$M$1000,"&gt;0")=0,0,1+IF(COUNTIFS('Rotation History'!$B$2:$B$1000,$B48,'Rotation History'!$A$2:$A$1000,$B$2-2,'Rotation History'!$M$2:$M$1000,"&gt;0")=0,0,1+IF(COUNTIFS('Rotation History'!$B$2:$B$1000,$B48,'Rotation History'!$A$2:$A$1000,$B$2-3,'Rotation History'!$M$2:$M$1000,"&gt;0")=0,0,1+IF(COUNTIFS('Rotation History'!$B$2:$B$1000,$B48,'Rotation History'!$A$2:$A$1000,$B$2-4,'Rotation History'!$M$2:$M$1000,"&gt;0")=0,0,1)))))</f>
        <v>0</v>
      </c>
      <c r="T48" s="43" t="n">
        <f aca="false">IF($B48="","",COUNTIFS('Rotation History'!$B$2:$B$1000,$B48,'Rotation History'!$K$2:$K$1000,"Opening",'Rotation History'!$A$2:$A$1000,"&gt;="&amp;($B$2-30),'Rotation History'!$A$2:$A$1000,"&lt;"&amp;$B$2))</f>
        <v>0</v>
      </c>
      <c r="U48" s="43" t="n">
        <f aca="false">IF($B48="","",COUNTIFS('Rotation History'!$B$2:$B$1000,$B48,'Rotation History'!$K$2:$K$1000,"Lunch Relief",'Rotation History'!$A$2:$A$1000,"&gt;="&amp;($B$2-30),'Rotation History'!$A$2:$A$1000,"&lt;"&amp;$B$2))</f>
        <v>0</v>
      </c>
      <c r="V48" s="44" t="n">
        <f aca="false">IF($B48="","",$Q48*10+$R48*2+$S48*20+$T48*3+$U48)</f>
        <v>0</v>
      </c>
    </row>
    <row r="49" customFormat="false" ht="14.25" hidden="false" customHeight="true" outlineLevel="0" collapsed="false">
      <c r="A49" s="40" t="n">
        <f aca="false">IF($B49="","",$B$2)</f>
        <v>46231</v>
      </c>
      <c r="B49" s="1" t="str">
        <f aca="false">IF($B$2="","",IFERROR(INDEX('Employee Master'!$A$2:$A$159,MATCH(ROWS($B$6:B49),Lists!$P$2:$P$159,0)),""))</f>
        <v>EMP-0105</v>
      </c>
      <c r="C49" s="1" t="str">
        <f aca="false">IF($B49="","",IFERROR(INDEX('Employee Master'!$B$2:$B$159,MATCH($B49,'Employee Master'!$A$2:$A$159,0)),""))</f>
        <v>Mildred Tarres</v>
      </c>
      <c r="D49" s="1" t="str">
        <f aca="false">IF($B49="","",IFERROR(INDEX('Employee Master'!$C$2:$C$159,MATCH($B49,'Employee Master'!$A$2:$A$159,0)),""))</f>
        <v>5:45 AM</v>
      </c>
      <c r="E49" s="1" t="str">
        <f aca="false">IF($B49="","",IFERROR(INDEX('Employee Master'!$I$2:$I$159,MATCH($B49,'Employee Master'!$A$2:$A$159,0)),""))</f>
        <v>AM</v>
      </c>
      <c r="F49" s="29" t="str">
        <f aca="false">IF($B49="","",IFERROR(INDEX('Employee Master'!$E$2:$E$159,MATCH($B49,'Employee Master'!$A$2:$A$159,0)),""))</f>
        <v>N</v>
      </c>
      <c r="G49" s="29" t="str">
        <f aca="false">IF($B49="","",IFERROR(INDEX('Employee Master'!$F$2:$F$159,MATCH($B49,'Employee Master'!$A$2:$A$159,0)),""))</f>
        <v>N</v>
      </c>
      <c r="H49" s="41" t="str">
        <f aca="false">IF($B49="","","Present")</f>
        <v>Present</v>
      </c>
      <c r="I49" s="1" t="str">
        <f aca="false">IF($B49="","",IFERROR(INDEX('Employee Master'!$H$2:$H$159,MATCH($B49,'Employee Master'!$A$2:$A$159,0)),""))</f>
        <v>None</v>
      </c>
      <c r="J49" s="29" t="str">
        <f aca="false">IF($B49="","",IFERROR(INDEX('Qualification Matrix'!$C$2:$C$168,MATCH($B49,'Qualification Matrix'!$A$2:$A$168,0)),2))</f>
        <v>N</v>
      </c>
      <c r="K49" s="29" t="str">
        <f aca="false">IF($B49="","",IFERROR(INDEX('Qualification Matrix'!$D$2:$D$168,MATCH($B49,'Qualification Matrix'!$A$2:$A$168,0)),2))</f>
        <v>N</v>
      </c>
      <c r="L49" s="29" t="str">
        <f aca="false">IF($B49="","",IFERROR(INDEX('Qualification Matrix'!$E$2:$E$168,MATCH($B49,'Qualification Matrix'!$A$2:$A$168,0)),2))</f>
        <v>N</v>
      </c>
      <c r="M49" s="29" t="str">
        <f aca="false">IF($B49="","",IFERROR(INDEX('Qualification Matrix'!$F$2:$F$168,MATCH($B49,'Qualification Matrix'!$A$2:$A$168,0)),2))</f>
        <v>Y</v>
      </c>
      <c r="N49" s="29" t="str">
        <f aca="false">IF($B49="","",IF(AND($H49="Present",$F49&lt;&gt;"Y"),"Y","N"))</f>
        <v>Y</v>
      </c>
      <c r="O49" s="42"/>
      <c r="P49" s="29" t="n">
        <f aca="false">IF($B49="","",IFERROR(INDEX('Qualification Matrix'!$H$2:$H$168,MATCH($B49,'Qualification Matrix'!$A$2:$A$168,0)),""))</f>
        <v>2</v>
      </c>
      <c r="Q49" s="43" t="n">
        <f aca="false">IF($B49="","",SUMIFS('Rotation History'!$M$2:$M$1000,'Rotation History'!$B$2:$B$1000,$B49,'Rotation History'!$A$2:$A$1000,"&gt;="&amp;($B$2-30),'Rotation History'!$A$2:$A$1000,"&lt;"&amp;$B$2))</f>
        <v>0</v>
      </c>
      <c r="R49" s="43" t="n">
        <f aca="false">IF($B49="","",COUNTIFS('Rotation History'!$B$2:$B$1000,$B49,'Rotation History'!$M$2:$M$1000,"&gt;0",'Rotation History'!$A$2:$A$1000,"&gt;="&amp;($B$2-30),'Rotation History'!$A$2:$A$1000,"&lt;"&amp;$B$2))</f>
        <v>0</v>
      </c>
      <c r="S49" s="43" t="n">
        <f aca="false">IF($B49="","",IF(COUNTIFS('Rotation History'!$B$2:$B$1000,$B49,'Rotation History'!$A$2:$A$1000,$B$2-1,'Rotation History'!$M$2:$M$1000,"&gt;0")=0,0,1+IF(COUNTIFS('Rotation History'!$B$2:$B$1000,$B49,'Rotation History'!$A$2:$A$1000,$B$2-2,'Rotation History'!$M$2:$M$1000,"&gt;0")=0,0,1+IF(COUNTIFS('Rotation History'!$B$2:$B$1000,$B49,'Rotation History'!$A$2:$A$1000,$B$2-3,'Rotation History'!$M$2:$M$1000,"&gt;0")=0,0,1+IF(COUNTIFS('Rotation History'!$B$2:$B$1000,$B49,'Rotation History'!$A$2:$A$1000,$B$2-4,'Rotation History'!$M$2:$M$1000,"&gt;0")=0,0,1)))))</f>
        <v>0</v>
      </c>
      <c r="T49" s="43" t="n">
        <f aca="false">IF($B49="","",COUNTIFS('Rotation History'!$B$2:$B$1000,$B49,'Rotation History'!$K$2:$K$1000,"Opening",'Rotation History'!$A$2:$A$1000,"&gt;="&amp;($B$2-30),'Rotation History'!$A$2:$A$1000,"&lt;"&amp;$B$2))</f>
        <v>0</v>
      </c>
      <c r="U49" s="43" t="n">
        <f aca="false">IF($B49="","",COUNTIFS('Rotation History'!$B$2:$B$1000,$B49,'Rotation History'!$K$2:$K$1000,"Lunch Relief",'Rotation History'!$A$2:$A$1000,"&gt;="&amp;($B$2-30),'Rotation History'!$A$2:$A$1000,"&lt;"&amp;$B$2))</f>
        <v>0</v>
      </c>
      <c r="V49" s="44" t="n">
        <f aca="false">IF($B49="","",$Q49*10+$R49*2+$S49*20+$T49*3+$U49)</f>
        <v>0</v>
      </c>
    </row>
    <row r="50" customFormat="false" ht="14.25" hidden="false" customHeight="true" outlineLevel="0" collapsed="false">
      <c r="A50" s="40" t="n">
        <f aca="false">IF($B50="","",$B$2)</f>
        <v>46231</v>
      </c>
      <c r="B50" s="1" t="str">
        <f aca="false">IF($B$2="","",IFERROR(INDEX('Employee Master'!$A$2:$A$159,MATCH(ROWS($B$6:B50),Lists!$P$2:$P$159,0)),""))</f>
        <v>EMP-0121</v>
      </c>
      <c r="C50" s="1" t="str">
        <f aca="false">IF($B50="","",IFERROR(INDEX('Employee Master'!$B$2:$B$159,MATCH($B50,'Employee Master'!$A$2:$A$159,0)),""))</f>
        <v>Renetheia Denson</v>
      </c>
      <c r="D50" s="1" t="str">
        <f aca="false">IF($B50="","",IFERROR(INDEX('Employee Master'!$C$2:$C$159,MATCH($B50,'Employee Master'!$A$2:$A$159,0)),""))</f>
        <v>5:45 AM</v>
      </c>
      <c r="E50" s="1" t="str">
        <f aca="false">IF($B50="","",IFERROR(INDEX('Employee Master'!$I$2:$I$159,MATCH($B50,'Employee Master'!$A$2:$A$159,0)),""))</f>
        <v>AM</v>
      </c>
      <c r="F50" s="29" t="str">
        <f aca="false">IF($B50="","",IFERROR(INDEX('Employee Master'!$E$2:$E$159,MATCH($B50,'Employee Master'!$A$2:$A$159,0)),""))</f>
        <v>Y</v>
      </c>
      <c r="G50" s="29" t="str">
        <f aca="false">IF($B50="","",IFERROR(INDEX('Employee Master'!$F$2:$F$159,MATCH($B50,'Employee Master'!$A$2:$A$159,0)),""))</f>
        <v>N</v>
      </c>
      <c r="H50" s="41" t="str">
        <f aca="false">IF($B50="","","Present")</f>
        <v>Present</v>
      </c>
      <c r="I50" s="1" t="str">
        <f aca="false">IF($B50="","",IFERROR(INDEX('Employee Master'!$H$2:$H$159,MATCH($B50,'Employee Master'!$A$2:$A$159,0)),""))</f>
        <v>None</v>
      </c>
      <c r="J50" s="29" t="str">
        <f aca="false">IF($B50="","",IFERROR(INDEX('Qualification Matrix'!$C$2:$C$168,MATCH($B50,'Qualification Matrix'!$A$2:$A$168,0)),2))</f>
        <v>N</v>
      </c>
      <c r="K50" s="29" t="str">
        <f aca="false">IF($B50="","",IFERROR(INDEX('Qualification Matrix'!$D$2:$D$168,MATCH($B50,'Qualification Matrix'!$A$2:$A$168,0)),2))</f>
        <v>N</v>
      </c>
      <c r="L50" s="29" t="str">
        <f aca="false">IF($B50="","",IFERROR(INDEX('Qualification Matrix'!$E$2:$E$168,MATCH($B50,'Qualification Matrix'!$A$2:$A$168,0)),2))</f>
        <v>N</v>
      </c>
      <c r="M50" s="29" t="str">
        <f aca="false">IF($B50="","",IFERROR(INDEX('Qualification Matrix'!$F$2:$F$168,MATCH($B50,'Qualification Matrix'!$A$2:$A$168,0)),2))</f>
        <v>Y</v>
      </c>
      <c r="N50" s="29" t="str">
        <f aca="false">IF($B50="","",IF(AND($H50="Present",$F50&lt;&gt;"Y"),"Y","N"))</f>
        <v>N</v>
      </c>
      <c r="O50" s="42"/>
      <c r="P50" s="29" t="n">
        <f aca="false">IF($B50="","",IFERROR(INDEX('Qualification Matrix'!$H$2:$H$168,MATCH($B50,'Qualification Matrix'!$A$2:$A$168,0)),""))</f>
        <v>2</v>
      </c>
      <c r="Q50" s="43" t="n">
        <f aca="false">IF($B50="","",SUMIFS('Rotation History'!$M$2:$M$1000,'Rotation History'!$B$2:$B$1000,$B50,'Rotation History'!$A$2:$A$1000,"&gt;="&amp;($B$2-30),'Rotation History'!$A$2:$A$1000,"&lt;"&amp;$B$2))</f>
        <v>0</v>
      </c>
      <c r="R50" s="43" t="n">
        <f aca="false">IF($B50="","",COUNTIFS('Rotation History'!$B$2:$B$1000,$B50,'Rotation History'!$M$2:$M$1000,"&gt;0",'Rotation History'!$A$2:$A$1000,"&gt;="&amp;($B$2-30),'Rotation History'!$A$2:$A$1000,"&lt;"&amp;$B$2))</f>
        <v>0</v>
      </c>
      <c r="S50" s="43" t="n">
        <f aca="false">IF($B50="","",IF(COUNTIFS('Rotation History'!$B$2:$B$1000,$B50,'Rotation History'!$A$2:$A$1000,$B$2-1,'Rotation History'!$M$2:$M$1000,"&gt;0")=0,0,1+IF(COUNTIFS('Rotation History'!$B$2:$B$1000,$B50,'Rotation History'!$A$2:$A$1000,$B$2-2,'Rotation History'!$M$2:$M$1000,"&gt;0")=0,0,1+IF(COUNTIFS('Rotation History'!$B$2:$B$1000,$B50,'Rotation History'!$A$2:$A$1000,$B$2-3,'Rotation History'!$M$2:$M$1000,"&gt;0")=0,0,1+IF(COUNTIFS('Rotation History'!$B$2:$B$1000,$B50,'Rotation History'!$A$2:$A$1000,$B$2-4,'Rotation History'!$M$2:$M$1000,"&gt;0")=0,0,1)))))</f>
        <v>0</v>
      </c>
      <c r="T50" s="43" t="n">
        <f aca="false">IF($B50="","",COUNTIFS('Rotation History'!$B$2:$B$1000,$B50,'Rotation History'!$K$2:$K$1000,"Opening",'Rotation History'!$A$2:$A$1000,"&gt;="&amp;($B$2-30),'Rotation History'!$A$2:$A$1000,"&lt;"&amp;$B$2))</f>
        <v>0</v>
      </c>
      <c r="U50" s="43" t="n">
        <f aca="false">IF($B50="","",COUNTIFS('Rotation History'!$B$2:$B$1000,$B50,'Rotation History'!$K$2:$K$1000,"Lunch Relief",'Rotation History'!$A$2:$A$1000,"&gt;="&amp;($B$2-30),'Rotation History'!$A$2:$A$1000,"&lt;"&amp;$B$2))</f>
        <v>0</v>
      </c>
      <c r="V50" s="44" t="n">
        <f aca="false">IF($B50="","",$Q50*10+$R50*2+$S50*20+$T50*3+$U50)</f>
        <v>0</v>
      </c>
    </row>
    <row r="51" customFormat="false" ht="14.25" hidden="false" customHeight="true" outlineLevel="0" collapsed="false">
      <c r="A51" s="40" t="n">
        <f aca="false">IF($B51="","",$B$2)</f>
        <v>46231</v>
      </c>
      <c r="B51" s="1" t="str">
        <f aca="false">IF($B$2="","",IFERROR(INDEX('Employee Master'!$A$2:$A$159,MATCH(ROWS($B$6:B51),Lists!$P$2:$P$159,0)),""))</f>
        <v>EMP-0127</v>
      </c>
      <c r="C51" s="1" t="str">
        <f aca="false">IF($B51="","",IFERROR(INDEX('Employee Master'!$B$2:$B$159,MATCH($B51,'Employee Master'!$A$2:$A$159,0)),""))</f>
        <v>Samiroe Ford</v>
      </c>
      <c r="D51" s="1" t="str">
        <f aca="false">IF($B51="","",IFERROR(INDEX('Employee Master'!$C$2:$C$159,MATCH($B51,'Employee Master'!$A$2:$A$159,0)),""))</f>
        <v>5:45 AM</v>
      </c>
      <c r="E51" s="1" t="str">
        <f aca="false">IF($B51="","",IFERROR(INDEX('Employee Master'!$I$2:$I$159,MATCH($B51,'Employee Master'!$A$2:$A$159,0)),""))</f>
        <v>AM</v>
      </c>
      <c r="F51" s="29" t="str">
        <f aca="false">IF($B51="","",IFERROR(INDEX('Employee Master'!$E$2:$E$159,MATCH($B51,'Employee Master'!$A$2:$A$159,0)),""))</f>
        <v>N</v>
      </c>
      <c r="G51" s="29" t="str">
        <f aca="false">IF($B51="","",IFERROR(INDEX('Employee Master'!$F$2:$F$159,MATCH($B51,'Employee Master'!$A$2:$A$159,0)),""))</f>
        <v>N</v>
      </c>
      <c r="H51" s="41" t="str">
        <f aca="false">IF($B51="","","Present")</f>
        <v>Present</v>
      </c>
      <c r="I51" s="1" t="str">
        <f aca="false">IF($B51="","",IFERROR(INDEX('Employee Master'!$H$2:$H$159,MATCH($B51,'Employee Master'!$A$2:$A$159,0)),""))</f>
        <v>None</v>
      </c>
      <c r="J51" s="29" t="str">
        <f aca="false">IF($B51="","",IFERROR(INDEX('Qualification Matrix'!$C$2:$C$168,MATCH($B51,'Qualification Matrix'!$A$2:$A$168,0)),2))</f>
        <v>N</v>
      </c>
      <c r="K51" s="29" t="str">
        <f aca="false">IF($B51="","",IFERROR(INDEX('Qualification Matrix'!$D$2:$D$168,MATCH($B51,'Qualification Matrix'!$A$2:$A$168,0)),2))</f>
        <v>N</v>
      </c>
      <c r="L51" s="29" t="str">
        <f aca="false">IF($B51="","",IFERROR(INDEX('Qualification Matrix'!$E$2:$E$168,MATCH($B51,'Qualification Matrix'!$A$2:$A$168,0)),2))</f>
        <v>N</v>
      </c>
      <c r="M51" s="29" t="str">
        <f aca="false">IF($B51="","",IFERROR(INDEX('Qualification Matrix'!$F$2:$F$168,MATCH($B51,'Qualification Matrix'!$A$2:$A$168,0)),2))</f>
        <v>Y</v>
      </c>
      <c r="N51" s="29" t="str">
        <f aca="false">IF($B51="","",IF(AND($H51="Present",$F51&lt;&gt;"Y"),"Y","N"))</f>
        <v>Y</v>
      </c>
      <c r="O51" s="42"/>
      <c r="P51" s="29" t="n">
        <f aca="false">IF($B51="","",IFERROR(INDEX('Qualification Matrix'!$H$2:$H$168,MATCH($B51,'Qualification Matrix'!$A$2:$A$168,0)),""))</f>
        <v>2</v>
      </c>
      <c r="Q51" s="43" t="n">
        <f aca="false">IF($B51="","",SUMIFS('Rotation History'!$M$2:$M$1000,'Rotation History'!$B$2:$B$1000,$B51,'Rotation History'!$A$2:$A$1000,"&gt;="&amp;($B$2-30),'Rotation History'!$A$2:$A$1000,"&lt;"&amp;$B$2))</f>
        <v>0</v>
      </c>
      <c r="R51" s="43" t="n">
        <f aca="false">IF($B51="","",COUNTIFS('Rotation History'!$B$2:$B$1000,$B51,'Rotation History'!$M$2:$M$1000,"&gt;0",'Rotation History'!$A$2:$A$1000,"&gt;="&amp;($B$2-30),'Rotation History'!$A$2:$A$1000,"&lt;"&amp;$B$2))</f>
        <v>0</v>
      </c>
      <c r="S51" s="43" t="n">
        <f aca="false">IF($B51="","",IF(COUNTIFS('Rotation History'!$B$2:$B$1000,$B51,'Rotation History'!$A$2:$A$1000,$B$2-1,'Rotation History'!$M$2:$M$1000,"&gt;0")=0,0,1+IF(COUNTIFS('Rotation History'!$B$2:$B$1000,$B51,'Rotation History'!$A$2:$A$1000,$B$2-2,'Rotation History'!$M$2:$M$1000,"&gt;0")=0,0,1+IF(COUNTIFS('Rotation History'!$B$2:$B$1000,$B51,'Rotation History'!$A$2:$A$1000,$B$2-3,'Rotation History'!$M$2:$M$1000,"&gt;0")=0,0,1+IF(COUNTIFS('Rotation History'!$B$2:$B$1000,$B51,'Rotation History'!$A$2:$A$1000,$B$2-4,'Rotation History'!$M$2:$M$1000,"&gt;0")=0,0,1)))))</f>
        <v>0</v>
      </c>
      <c r="T51" s="43" t="n">
        <f aca="false">IF($B51="","",COUNTIFS('Rotation History'!$B$2:$B$1000,$B51,'Rotation History'!$K$2:$K$1000,"Opening",'Rotation History'!$A$2:$A$1000,"&gt;="&amp;($B$2-30),'Rotation History'!$A$2:$A$1000,"&lt;"&amp;$B$2))</f>
        <v>0</v>
      </c>
      <c r="U51" s="43" t="n">
        <f aca="false">IF($B51="","",COUNTIFS('Rotation History'!$B$2:$B$1000,$B51,'Rotation History'!$K$2:$K$1000,"Lunch Relief",'Rotation History'!$A$2:$A$1000,"&gt;="&amp;($B$2-30),'Rotation History'!$A$2:$A$1000,"&lt;"&amp;$B$2))</f>
        <v>0</v>
      </c>
      <c r="V51" s="44" t="n">
        <f aca="false">IF($B51="","",$Q51*10+$R51*2+$S51*20+$T51*3+$U51)</f>
        <v>0</v>
      </c>
    </row>
    <row r="52" customFormat="false" ht="14.25" hidden="false" customHeight="true" outlineLevel="0" collapsed="false">
      <c r="A52" s="40" t="n">
        <f aca="false">IF($B52="","",$B$2)</f>
        <v>46231</v>
      </c>
      <c r="B52" s="1" t="str">
        <f aca="false">IF($B$2="","",IFERROR(INDEX('Employee Master'!$A$2:$A$159,MATCH(ROWS($B$6:B52),Lists!$P$2:$P$159,0)),""))</f>
        <v>EMP-0128</v>
      </c>
      <c r="C52" s="1" t="str">
        <f aca="false">IF($B52="","",IFERROR(INDEX('Employee Master'!$B$2:$B$159,MATCH($B52,'Employee Master'!$A$2:$A$159,0)),""))</f>
        <v>Sandra Gerson</v>
      </c>
      <c r="D52" s="1" t="str">
        <f aca="false">IF($B52="","",IFERROR(INDEX('Employee Master'!$C$2:$C$159,MATCH($B52,'Employee Master'!$A$2:$A$159,0)),""))</f>
        <v>5:45 AM</v>
      </c>
      <c r="E52" s="1" t="str">
        <f aca="false">IF($B52="","",IFERROR(INDEX('Employee Master'!$I$2:$I$159,MATCH($B52,'Employee Master'!$A$2:$A$159,0)),""))</f>
        <v>AM</v>
      </c>
      <c r="F52" s="29" t="str">
        <f aca="false">IF($B52="","",IFERROR(INDEX('Employee Master'!$E$2:$E$159,MATCH($B52,'Employee Master'!$A$2:$A$159,0)),""))</f>
        <v>N</v>
      </c>
      <c r="G52" s="29" t="str">
        <f aca="false">IF($B52="","",IFERROR(INDEX('Employee Master'!$F$2:$F$159,MATCH($B52,'Employee Master'!$A$2:$A$159,0)),""))</f>
        <v>N</v>
      </c>
      <c r="H52" s="41" t="str">
        <f aca="false">IF($B52="","","Present")</f>
        <v>Present</v>
      </c>
      <c r="I52" s="1" t="str">
        <f aca="false">IF($B52="","",IFERROR(INDEX('Employee Master'!$H$2:$H$159,MATCH($B52,'Employee Master'!$A$2:$A$159,0)),""))</f>
        <v>None</v>
      </c>
      <c r="J52" s="29" t="str">
        <f aca="false">IF($B52="","",IFERROR(INDEX('Qualification Matrix'!$C$2:$C$168,MATCH($B52,'Qualification Matrix'!$A$2:$A$168,0)),2))</f>
        <v>N</v>
      </c>
      <c r="K52" s="29" t="str">
        <f aca="false">IF($B52="","",IFERROR(INDEX('Qualification Matrix'!$D$2:$D$168,MATCH($B52,'Qualification Matrix'!$A$2:$A$168,0)),2))</f>
        <v>N</v>
      </c>
      <c r="L52" s="29" t="str">
        <f aca="false">IF($B52="","",IFERROR(INDEX('Qualification Matrix'!$E$2:$E$168,MATCH($B52,'Qualification Matrix'!$A$2:$A$168,0)),2))</f>
        <v>N</v>
      </c>
      <c r="M52" s="29" t="str">
        <f aca="false">IF($B52="","",IFERROR(INDEX('Qualification Matrix'!$F$2:$F$168,MATCH($B52,'Qualification Matrix'!$A$2:$A$168,0)),2))</f>
        <v>Y</v>
      </c>
      <c r="N52" s="29" t="str">
        <f aca="false">IF($B52="","",IF(AND($H52="Present",$F52&lt;&gt;"Y"),"Y","N"))</f>
        <v>Y</v>
      </c>
      <c r="O52" s="42"/>
      <c r="P52" s="29" t="n">
        <f aca="false">IF($B52="","",IFERROR(INDEX('Qualification Matrix'!$H$2:$H$168,MATCH($B52,'Qualification Matrix'!$A$2:$A$168,0)),""))</f>
        <v>2</v>
      </c>
      <c r="Q52" s="43" t="n">
        <f aca="false">IF($B52="","",SUMIFS('Rotation History'!$M$2:$M$1000,'Rotation History'!$B$2:$B$1000,$B52,'Rotation History'!$A$2:$A$1000,"&gt;="&amp;($B$2-30),'Rotation History'!$A$2:$A$1000,"&lt;"&amp;$B$2))</f>
        <v>0</v>
      </c>
      <c r="R52" s="43" t="n">
        <f aca="false">IF($B52="","",COUNTIFS('Rotation History'!$B$2:$B$1000,$B52,'Rotation History'!$M$2:$M$1000,"&gt;0",'Rotation History'!$A$2:$A$1000,"&gt;="&amp;($B$2-30),'Rotation History'!$A$2:$A$1000,"&lt;"&amp;$B$2))</f>
        <v>0</v>
      </c>
      <c r="S52" s="43" t="n">
        <f aca="false">IF($B52="","",IF(COUNTIFS('Rotation History'!$B$2:$B$1000,$B52,'Rotation History'!$A$2:$A$1000,$B$2-1,'Rotation History'!$M$2:$M$1000,"&gt;0")=0,0,1+IF(COUNTIFS('Rotation History'!$B$2:$B$1000,$B52,'Rotation History'!$A$2:$A$1000,$B$2-2,'Rotation History'!$M$2:$M$1000,"&gt;0")=0,0,1+IF(COUNTIFS('Rotation History'!$B$2:$B$1000,$B52,'Rotation History'!$A$2:$A$1000,$B$2-3,'Rotation History'!$M$2:$M$1000,"&gt;0")=0,0,1+IF(COUNTIFS('Rotation History'!$B$2:$B$1000,$B52,'Rotation History'!$A$2:$A$1000,$B$2-4,'Rotation History'!$M$2:$M$1000,"&gt;0")=0,0,1)))))</f>
        <v>0</v>
      </c>
      <c r="T52" s="43" t="n">
        <f aca="false">IF($B52="","",COUNTIFS('Rotation History'!$B$2:$B$1000,$B52,'Rotation History'!$K$2:$K$1000,"Opening",'Rotation History'!$A$2:$A$1000,"&gt;="&amp;($B$2-30),'Rotation History'!$A$2:$A$1000,"&lt;"&amp;$B$2))</f>
        <v>0</v>
      </c>
      <c r="U52" s="43" t="n">
        <f aca="false">IF($B52="","",COUNTIFS('Rotation History'!$B$2:$B$1000,$B52,'Rotation History'!$K$2:$K$1000,"Lunch Relief",'Rotation History'!$A$2:$A$1000,"&gt;="&amp;($B$2-30),'Rotation History'!$A$2:$A$1000,"&lt;"&amp;$B$2))</f>
        <v>0</v>
      </c>
      <c r="V52" s="44" t="n">
        <f aca="false">IF($B52="","",$Q52*10+$R52*2+$S52*20+$T52*3+$U52)</f>
        <v>0</v>
      </c>
    </row>
    <row r="53" customFormat="false" ht="14.25" hidden="false" customHeight="true" outlineLevel="0" collapsed="false">
      <c r="A53" s="40" t="n">
        <f aca="false">IF($B53="","",$B$2)</f>
        <v>46231</v>
      </c>
      <c r="B53" s="1" t="str">
        <f aca="false">IF($B$2="","",IFERROR(INDEX('Employee Master'!$A$2:$A$159,MATCH(ROWS($B$6:B53),Lists!$P$2:$P$159,0)),""))</f>
        <v>EMP-0129</v>
      </c>
      <c r="C53" s="1" t="str">
        <f aca="false">IF($B53="","",IFERROR(INDEX('Employee Master'!$B$2:$B$159,MATCH($B53,'Employee Master'!$A$2:$A$159,0)),""))</f>
        <v>Sara Alemu</v>
      </c>
      <c r="D53" s="1" t="str">
        <f aca="false">IF($B53="","",IFERROR(INDEX('Employee Master'!$C$2:$C$159,MATCH($B53,'Employee Master'!$A$2:$A$159,0)),""))</f>
        <v>5:45 AM</v>
      </c>
      <c r="E53" s="1" t="str">
        <f aca="false">IF($B53="","",IFERROR(INDEX('Employee Master'!$I$2:$I$159,MATCH($B53,'Employee Master'!$A$2:$A$159,0)),""))</f>
        <v>AM</v>
      </c>
      <c r="F53" s="29" t="str">
        <f aca="false">IF($B53="","",IFERROR(INDEX('Employee Master'!$E$2:$E$159,MATCH($B53,'Employee Master'!$A$2:$A$159,0)),""))</f>
        <v>N</v>
      </c>
      <c r="G53" s="29" t="str">
        <f aca="false">IF($B53="","",IFERROR(INDEX('Employee Master'!$F$2:$F$159,MATCH($B53,'Employee Master'!$A$2:$A$159,0)),""))</f>
        <v>N</v>
      </c>
      <c r="H53" s="41" t="str">
        <f aca="false">IF($B53="","","Present")</f>
        <v>Present</v>
      </c>
      <c r="I53" s="1" t="str">
        <f aca="false">IF($B53="","",IFERROR(INDEX('Employee Master'!$H$2:$H$159,MATCH($B53,'Employee Master'!$A$2:$A$159,0)),""))</f>
        <v>None</v>
      </c>
      <c r="J53" s="29" t="str">
        <f aca="false">IF($B53="","",IFERROR(INDEX('Qualification Matrix'!$C$2:$C$168,MATCH($B53,'Qualification Matrix'!$A$2:$A$168,0)),2))</f>
        <v>N</v>
      </c>
      <c r="K53" s="29" t="str">
        <f aca="false">IF($B53="","",IFERROR(INDEX('Qualification Matrix'!$D$2:$D$168,MATCH($B53,'Qualification Matrix'!$A$2:$A$168,0)),2))</f>
        <v>N</v>
      </c>
      <c r="L53" s="29" t="str">
        <f aca="false">IF($B53="","",IFERROR(INDEX('Qualification Matrix'!$E$2:$E$168,MATCH($B53,'Qualification Matrix'!$A$2:$A$168,0)),2))</f>
        <v>N</v>
      </c>
      <c r="M53" s="29" t="str">
        <f aca="false">IF($B53="","",IFERROR(INDEX('Qualification Matrix'!$F$2:$F$168,MATCH($B53,'Qualification Matrix'!$A$2:$A$168,0)),2))</f>
        <v>Y</v>
      </c>
      <c r="N53" s="29" t="str">
        <f aca="false">IF($B53="","",IF(AND($H53="Present",$F53&lt;&gt;"Y"),"Y","N"))</f>
        <v>Y</v>
      </c>
      <c r="O53" s="42"/>
      <c r="P53" s="29" t="n">
        <f aca="false">IF($B53="","",IFERROR(INDEX('Qualification Matrix'!$H$2:$H$168,MATCH($B53,'Qualification Matrix'!$A$2:$A$168,0)),""))</f>
        <v>2</v>
      </c>
      <c r="Q53" s="43" t="n">
        <f aca="false">IF($B53="","",SUMIFS('Rotation History'!$M$2:$M$1000,'Rotation History'!$B$2:$B$1000,$B53,'Rotation History'!$A$2:$A$1000,"&gt;="&amp;($B$2-30),'Rotation History'!$A$2:$A$1000,"&lt;"&amp;$B$2))</f>
        <v>0</v>
      </c>
      <c r="R53" s="43" t="n">
        <f aca="false">IF($B53="","",COUNTIFS('Rotation History'!$B$2:$B$1000,$B53,'Rotation History'!$M$2:$M$1000,"&gt;0",'Rotation History'!$A$2:$A$1000,"&gt;="&amp;($B$2-30),'Rotation History'!$A$2:$A$1000,"&lt;"&amp;$B$2))</f>
        <v>0</v>
      </c>
      <c r="S53" s="43" t="n">
        <f aca="false">IF($B53="","",IF(COUNTIFS('Rotation History'!$B$2:$B$1000,$B53,'Rotation History'!$A$2:$A$1000,$B$2-1,'Rotation History'!$M$2:$M$1000,"&gt;0")=0,0,1+IF(COUNTIFS('Rotation History'!$B$2:$B$1000,$B53,'Rotation History'!$A$2:$A$1000,$B$2-2,'Rotation History'!$M$2:$M$1000,"&gt;0")=0,0,1+IF(COUNTIFS('Rotation History'!$B$2:$B$1000,$B53,'Rotation History'!$A$2:$A$1000,$B$2-3,'Rotation History'!$M$2:$M$1000,"&gt;0")=0,0,1+IF(COUNTIFS('Rotation History'!$B$2:$B$1000,$B53,'Rotation History'!$A$2:$A$1000,$B$2-4,'Rotation History'!$M$2:$M$1000,"&gt;0")=0,0,1)))))</f>
        <v>0</v>
      </c>
      <c r="T53" s="43" t="n">
        <f aca="false">IF($B53="","",COUNTIFS('Rotation History'!$B$2:$B$1000,$B53,'Rotation History'!$K$2:$K$1000,"Opening",'Rotation History'!$A$2:$A$1000,"&gt;="&amp;($B$2-30),'Rotation History'!$A$2:$A$1000,"&lt;"&amp;$B$2))</f>
        <v>0</v>
      </c>
      <c r="U53" s="43" t="n">
        <f aca="false">IF($B53="","",COUNTIFS('Rotation History'!$B$2:$B$1000,$B53,'Rotation History'!$K$2:$K$1000,"Lunch Relief",'Rotation History'!$A$2:$A$1000,"&gt;="&amp;($B$2-30),'Rotation History'!$A$2:$A$1000,"&lt;"&amp;$B$2))</f>
        <v>0</v>
      </c>
      <c r="V53" s="44" t="n">
        <f aca="false">IF($B53="","",$Q53*10+$R53*2+$S53*20+$T53*3+$U53)</f>
        <v>0</v>
      </c>
    </row>
    <row r="54" customFormat="false" ht="14.25" hidden="false" customHeight="true" outlineLevel="0" collapsed="false">
      <c r="A54" s="40" t="n">
        <f aca="false">IF($B54="","",$B$2)</f>
        <v>46231</v>
      </c>
      <c r="B54" s="1" t="str">
        <f aca="false">IF($B$2="","",IFERROR(INDEX('Employee Master'!$A$2:$A$159,MATCH(ROWS($B$6:B54),Lists!$P$2:$P$159,0)),""))</f>
        <v>EMP-0132</v>
      </c>
      <c r="C54" s="1" t="str">
        <f aca="false">IF($B54="","",IFERROR(INDEX('Employee Master'!$B$2:$B$159,MATCH($B54,'Employee Master'!$A$2:$A$159,0)),""))</f>
        <v>Shanta Harvey</v>
      </c>
      <c r="D54" s="1" t="str">
        <f aca="false">IF($B54="","",IFERROR(INDEX('Employee Master'!$C$2:$C$159,MATCH($B54,'Employee Master'!$A$2:$A$159,0)),""))</f>
        <v>5:45 AM</v>
      </c>
      <c r="E54" s="1" t="str">
        <f aca="false">IF($B54="","",IFERROR(INDEX('Employee Master'!$I$2:$I$159,MATCH($B54,'Employee Master'!$A$2:$A$159,0)),""))</f>
        <v>AM</v>
      </c>
      <c r="F54" s="29" t="str">
        <f aca="false">IF($B54="","",IFERROR(INDEX('Employee Master'!$E$2:$E$159,MATCH($B54,'Employee Master'!$A$2:$A$159,0)),""))</f>
        <v>N</v>
      </c>
      <c r="G54" s="29" t="str">
        <f aca="false">IF($B54="","",IFERROR(INDEX('Employee Master'!$F$2:$F$159,MATCH($B54,'Employee Master'!$A$2:$A$159,0)),""))</f>
        <v>N</v>
      </c>
      <c r="H54" s="41" t="str">
        <f aca="false">IF($B54="","","Present")</f>
        <v>Present</v>
      </c>
      <c r="I54" s="1" t="str">
        <f aca="false">IF($B54="","",IFERROR(INDEX('Employee Master'!$H$2:$H$159,MATCH($B54,'Employee Master'!$A$2:$A$159,0)),""))</f>
        <v>None</v>
      </c>
      <c r="J54" s="29" t="str">
        <f aca="false">IF($B54="","",IFERROR(INDEX('Qualification Matrix'!$C$2:$C$168,MATCH($B54,'Qualification Matrix'!$A$2:$A$168,0)),2))</f>
        <v>N</v>
      </c>
      <c r="K54" s="29" t="str">
        <f aca="false">IF($B54="","",IFERROR(INDEX('Qualification Matrix'!$D$2:$D$168,MATCH($B54,'Qualification Matrix'!$A$2:$A$168,0)),2))</f>
        <v>N</v>
      </c>
      <c r="L54" s="29" t="str">
        <f aca="false">IF($B54="","",IFERROR(INDEX('Qualification Matrix'!$E$2:$E$168,MATCH($B54,'Qualification Matrix'!$A$2:$A$168,0)),2))</f>
        <v>N</v>
      </c>
      <c r="M54" s="29" t="str">
        <f aca="false">IF($B54="","",IFERROR(INDEX('Qualification Matrix'!$F$2:$F$168,MATCH($B54,'Qualification Matrix'!$A$2:$A$168,0)),2))</f>
        <v>Y</v>
      </c>
      <c r="N54" s="29" t="str">
        <f aca="false">IF($B54="","",IF(AND($H54="Present",$F54&lt;&gt;"Y"),"Y","N"))</f>
        <v>Y</v>
      </c>
      <c r="O54" s="42"/>
      <c r="P54" s="29" t="n">
        <f aca="false">IF($B54="","",IFERROR(INDEX('Qualification Matrix'!$H$2:$H$168,MATCH($B54,'Qualification Matrix'!$A$2:$A$168,0)),""))</f>
        <v>2</v>
      </c>
      <c r="Q54" s="43" t="n">
        <f aca="false">IF($B54="","",SUMIFS('Rotation History'!$M$2:$M$1000,'Rotation History'!$B$2:$B$1000,$B54,'Rotation History'!$A$2:$A$1000,"&gt;="&amp;($B$2-30),'Rotation History'!$A$2:$A$1000,"&lt;"&amp;$B$2))</f>
        <v>0</v>
      </c>
      <c r="R54" s="43" t="n">
        <f aca="false">IF($B54="","",COUNTIFS('Rotation History'!$B$2:$B$1000,$B54,'Rotation History'!$M$2:$M$1000,"&gt;0",'Rotation History'!$A$2:$A$1000,"&gt;="&amp;($B$2-30),'Rotation History'!$A$2:$A$1000,"&lt;"&amp;$B$2))</f>
        <v>0</v>
      </c>
      <c r="S54" s="43" t="n">
        <f aca="false">IF($B54="","",IF(COUNTIFS('Rotation History'!$B$2:$B$1000,$B54,'Rotation History'!$A$2:$A$1000,$B$2-1,'Rotation History'!$M$2:$M$1000,"&gt;0")=0,0,1+IF(COUNTIFS('Rotation History'!$B$2:$B$1000,$B54,'Rotation History'!$A$2:$A$1000,$B$2-2,'Rotation History'!$M$2:$M$1000,"&gt;0")=0,0,1+IF(COUNTIFS('Rotation History'!$B$2:$B$1000,$B54,'Rotation History'!$A$2:$A$1000,$B$2-3,'Rotation History'!$M$2:$M$1000,"&gt;0")=0,0,1+IF(COUNTIFS('Rotation History'!$B$2:$B$1000,$B54,'Rotation History'!$A$2:$A$1000,$B$2-4,'Rotation History'!$M$2:$M$1000,"&gt;0")=0,0,1)))))</f>
        <v>0</v>
      </c>
      <c r="T54" s="43" t="n">
        <f aca="false">IF($B54="","",COUNTIFS('Rotation History'!$B$2:$B$1000,$B54,'Rotation History'!$K$2:$K$1000,"Opening",'Rotation History'!$A$2:$A$1000,"&gt;="&amp;($B$2-30),'Rotation History'!$A$2:$A$1000,"&lt;"&amp;$B$2))</f>
        <v>0</v>
      </c>
      <c r="U54" s="43" t="n">
        <f aca="false">IF($B54="","",COUNTIFS('Rotation History'!$B$2:$B$1000,$B54,'Rotation History'!$K$2:$K$1000,"Lunch Relief",'Rotation History'!$A$2:$A$1000,"&gt;="&amp;($B$2-30),'Rotation History'!$A$2:$A$1000,"&lt;"&amp;$B$2))</f>
        <v>0</v>
      </c>
      <c r="V54" s="44" t="n">
        <f aca="false">IF($B54="","",$Q54*10+$R54*2+$S54*20+$T54*3+$U54)</f>
        <v>0</v>
      </c>
    </row>
    <row r="55" customFormat="false" ht="14.25" hidden="false" customHeight="true" outlineLevel="0" collapsed="false">
      <c r="A55" s="40" t="n">
        <f aca="false">IF($B55="","",$B$2)</f>
        <v>46231</v>
      </c>
      <c r="B55" s="1" t="str">
        <f aca="false">IF($B$2="","",IFERROR(INDEX('Employee Master'!$A$2:$A$159,MATCH(ROWS($B$6:B55),Lists!$P$2:$P$159,0)),""))</f>
        <v>EMP-0133</v>
      </c>
      <c r="C55" s="1" t="str">
        <f aca="false">IF($B55="","",IFERROR(INDEX('Employee Master'!$B$2:$B$159,MATCH($B55,'Employee Master'!$A$2:$A$159,0)),""))</f>
        <v>Shanta Islam</v>
      </c>
      <c r="D55" s="1" t="str">
        <f aca="false">IF($B55="","",IFERROR(INDEX('Employee Master'!$C$2:$C$159,MATCH($B55,'Employee Master'!$A$2:$A$159,0)),""))</f>
        <v>5:45 AM</v>
      </c>
      <c r="E55" s="1" t="str">
        <f aca="false">IF($B55="","",IFERROR(INDEX('Employee Master'!$I$2:$I$159,MATCH($B55,'Employee Master'!$A$2:$A$159,0)),""))</f>
        <v>AM</v>
      </c>
      <c r="F55" s="29" t="str">
        <f aca="false">IF($B55="","",IFERROR(INDEX('Employee Master'!$E$2:$E$159,MATCH($B55,'Employee Master'!$A$2:$A$159,0)),""))</f>
        <v>N</v>
      </c>
      <c r="G55" s="29" t="str">
        <f aca="false">IF($B55="","",IFERROR(INDEX('Employee Master'!$F$2:$F$159,MATCH($B55,'Employee Master'!$A$2:$A$159,0)),""))</f>
        <v>N</v>
      </c>
      <c r="H55" s="41" t="str">
        <f aca="false">IF($B55="","","Present")</f>
        <v>Present</v>
      </c>
      <c r="I55" s="1" t="str">
        <f aca="false">IF($B55="","",IFERROR(INDEX('Employee Master'!$H$2:$H$159,MATCH($B55,'Employee Master'!$A$2:$A$159,0)),""))</f>
        <v>None</v>
      </c>
      <c r="J55" s="29" t="str">
        <f aca="false">IF($B55="","",IFERROR(INDEX('Qualification Matrix'!$C$2:$C$168,MATCH($B55,'Qualification Matrix'!$A$2:$A$168,0)),2))</f>
        <v>N</v>
      </c>
      <c r="K55" s="29" t="str">
        <f aca="false">IF($B55="","",IFERROR(INDEX('Qualification Matrix'!$D$2:$D$168,MATCH($B55,'Qualification Matrix'!$A$2:$A$168,0)),2))</f>
        <v>N</v>
      </c>
      <c r="L55" s="29" t="str">
        <f aca="false">IF($B55="","",IFERROR(INDEX('Qualification Matrix'!$E$2:$E$168,MATCH($B55,'Qualification Matrix'!$A$2:$A$168,0)),2))</f>
        <v>N</v>
      </c>
      <c r="M55" s="29" t="str">
        <f aca="false">IF($B55="","",IFERROR(INDEX('Qualification Matrix'!$F$2:$F$168,MATCH($B55,'Qualification Matrix'!$A$2:$A$168,0)),2))</f>
        <v>Y</v>
      </c>
      <c r="N55" s="29" t="str">
        <f aca="false">IF($B55="","",IF(AND($H55="Present",$F55&lt;&gt;"Y"),"Y","N"))</f>
        <v>Y</v>
      </c>
      <c r="O55" s="42"/>
      <c r="P55" s="29" t="n">
        <f aca="false">IF($B55="","",IFERROR(INDEX('Qualification Matrix'!$H$2:$H$168,MATCH($B55,'Qualification Matrix'!$A$2:$A$168,0)),""))</f>
        <v>2</v>
      </c>
      <c r="Q55" s="43" t="n">
        <f aca="false">IF($B55="","",SUMIFS('Rotation History'!$M$2:$M$1000,'Rotation History'!$B$2:$B$1000,$B55,'Rotation History'!$A$2:$A$1000,"&gt;="&amp;($B$2-30),'Rotation History'!$A$2:$A$1000,"&lt;"&amp;$B$2))</f>
        <v>0</v>
      </c>
      <c r="R55" s="43" t="n">
        <f aca="false">IF($B55="","",COUNTIFS('Rotation History'!$B$2:$B$1000,$B55,'Rotation History'!$M$2:$M$1000,"&gt;0",'Rotation History'!$A$2:$A$1000,"&gt;="&amp;($B$2-30),'Rotation History'!$A$2:$A$1000,"&lt;"&amp;$B$2))</f>
        <v>0</v>
      </c>
      <c r="S55" s="43" t="n">
        <f aca="false">IF($B55="","",IF(COUNTIFS('Rotation History'!$B$2:$B$1000,$B55,'Rotation History'!$A$2:$A$1000,$B$2-1,'Rotation History'!$M$2:$M$1000,"&gt;0")=0,0,1+IF(COUNTIFS('Rotation History'!$B$2:$B$1000,$B55,'Rotation History'!$A$2:$A$1000,$B$2-2,'Rotation History'!$M$2:$M$1000,"&gt;0")=0,0,1+IF(COUNTIFS('Rotation History'!$B$2:$B$1000,$B55,'Rotation History'!$A$2:$A$1000,$B$2-3,'Rotation History'!$M$2:$M$1000,"&gt;0")=0,0,1+IF(COUNTIFS('Rotation History'!$B$2:$B$1000,$B55,'Rotation History'!$A$2:$A$1000,$B$2-4,'Rotation History'!$M$2:$M$1000,"&gt;0")=0,0,1)))))</f>
        <v>0</v>
      </c>
      <c r="T55" s="43" t="n">
        <f aca="false">IF($B55="","",COUNTIFS('Rotation History'!$B$2:$B$1000,$B55,'Rotation History'!$K$2:$K$1000,"Opening",'Rotation History'!$A$2:$A$1000,"&gt;="&amp;($B$2-30),'Rotation History'!$A$2:$A$1000,"&lt;"&amp;$B$2))</f>
        <v>0</v>
      </c>
      <c r="U55" s="43" t="n">
        <f aca="false">IF($B55="","",COUNTIFS('Rotation History'!$B$2:$B$1000,$B55,'Rotation History'!$K$2:$K$1000,"Lunch Relief",'Rotation History'!$A$2:$A$1000,"&gt;="&amp;($B$2-30),'Rotation History'!$A$2:$A$1000,"&lt;"&amp;$B$2))</f>
        <v>0</v>
      </c>
      <c r="V55" s="44" t="n">
        <f aca="false">IF($B55="","",$Q55*10+$R55*2+$S55*20+$T55*3+$U55)</f>
        <v>0</v>
      </c>
    </row>
    <row r="56" customFormat="false" ht="14.25" hidden="false" customHeight="true" outlineLevel="0" collapsed="false">
      <c r="A56" s="40" t="n">
        <f aca="false">IF($B56="","",$B$2)</f>
        <v>46231</v>
      </c>
      <c r="B56" s="1" t="str">
        <f aca="false">IF($B$2="","",IFERROR(INDEX('Employee Master'!$A$2:$A$159,MATCH(ROWS($B$6:B56),Lists!$P$2:$P$159,0)),""))</f>
        <v>EMP-0134</v>
      </c>
      <c r="C56" s="1" t="str">
        <f aca="false">IF($B56="","",IFERROR(INDEX('Employee Master'!$B$2:$B$159,MATCH($B56,'Employee Master'!$A$2:$A$159,0)),""))</f>
        <v>Shawanda Webb</v>
      </c>
      <c r="D56" s="1" t="str">
        <f aca="false">IF($B56="","",IFERROR(INDEX('Employee Master'!$C$2:$C$159,MATCH($B56,'Employee Master'!$A$2:$A$159,0)),""))</f>
        <v>5:45 AM</v>
      </c>
      <c r="E56" s="1" t="str">
        <f aca="false">IF($B56="","",IFERROR(INDEX('Employee Master'!$I$2:$I$159,MATCH($B56,'Employee Master'!$A$2:$A$159,0)),""))</f>
        <v>AM</v>
      </c>
      <c r="F56" s="29" t="str">
        <f aca="false">IF($B56="","",IFERROR(INDEX('Employee Master'!$E$2:$E$159,MATCH($B56,'Employee Master'!$A$2:$A$159,0)),""))</f>
        <v>N</v>
      </c>
      <c r="G56" s="29" t="str">
        <f aca="false">IF($B56="","",IFERROR(INDEX('Employee Master'!$F$2:$F$159,MATCH($B56,'Employee Master'!$A$2:$A$159,0)),""))</f>
        <v>N</v>
      </c>
      <c r="H56" s="41" t="str">
        <f aca="false">IF($B56="","","Present")</f>
        <v>Present</v>
      </c>
      <c r="I56" s="1" t="str">
        <f aca="false">IF($B56="","",IFERROR(INDEX('Employee Master'!$H$2:$H$159,MATCH($B56,'Employee Master'!$A$2:$A$159,0)),""))</f>
        <v>None</v>
      </c>
      <c r="J56" s="29" t="str">
        <f aca="false">IF($B56="","",IFERROR(INDEX('Qualification Matrix'!$C$2:$C$168,MATCH($B56,'Qualification Matrix'!$A$2:$A$168,0)),2))</f>
        <v>N</v>
      </c>
      <c r="K56" s="29" t="str">
        <f aca="false">IF($B56="","",IFERROR(INDEX('Qualification Matrix'!$D$2:$D$168,MATCH($B56,'Qualification Matrix'!$A$2:$A$168,0)),2))</f>
        <v>N</v>
      </c>
      <c r="L56" s="29" t="str">
        <f aca="false">IF($B56="","",IFERROR(INDEX('Qualification Matrix'!$E$2:$E$168,MATCH($B56,'Qualification Matrix'!$A$2:$A$168,0)),2))</f>
        <v>N</v>
      </c>
      <c r="M56" s="29" t="str">
        <f aca="false">IF($B56="","",IFERROR(INDEX('Qualification Matrix'!$F$2:$F$168,MATCH($B56,'Qualification Matrix'!$A$2:$A$168,0)),2))</f>
        <v>Y</v>
      </c>
      <c r="N56" s="29" t="str">
        <f aca="false">IF($B56="","",IF(AND($H56="Present",$F56&lt;&gt;"Y"),"Y","N"))</f>
        <v>Y</v>
      </c>
      <c r="O56" s="42"/>
      <c r="P56" s="29" t="n">
        <f aca="false">IF($B56="","",IFERROR(INDEX('Qualification Matrix'!$H$2:$H$168,MATCH($B56,'Qualification Matrix'!$A$2:$A$168,0)),""))</f>
        <v>2</v>
      </c>
      <c r="Q56" s="43" t="n">
        <f aca="false">IF($B56="","",SUMIFS('Rotation History'!$M$2:$M$1000,'Rotation History'!$B$2:$B$1000,$B56,'Rotation History'!$A$2:$A$1000,"&gt;="&amp;($B$2-30),'Rotation History'!$A$2:$A$1000,"&lt;"&amp;$B$2))</f>
        <v>0</v>
      </c>
      <c r="R56" s="43" t="n">
        <f aca="false">IF($B56="","",COUNTIFS('Rotation History'!$B$2:$B$1000,$B56,'Rotation History'!$M$2:$M$1000,"&gt;0",'Rotation History'!$A$2:$A$1000,"&gt;="&amp;($B$2-30),'Rotation History'!$A$2:$A$1000,"&lt;"&amp;$B$2))</f>
        <v>0</v>
      </c>
      <c r="S56" s="43" t="n">
        <f aca="false">IF($B56="","",IF(COUNTIFS('Rotation History'!$B$2:$B$1000,$B56,'Rotation History'!$A$2:$A$1000,$B$2-1,'Rotation History'!$M$2:$M$1000,"&gt;0")=0,0,1+IF(COUNTIFS('Rotation History'!$B$2:$B$1000,$B56,'Rotation History'!$A$2:$A$1000,$B$2-2,'Rotation History'!$M$2:$M$1000,"&gt;0")=0,0,1+IF(COUNTIFS('Rotation History'!$B$2:$B$1000,$B56,'Rotation History'!$A$2:$A$1000,$B$2-3,'Rotation History'!$M$2:$M$1000,"&gt;0")=0,0,1+IF(COUNTIFS('Rotation History'!$B$2:$B$1000,$B56,'Rotation History'!$A$2:$A$1000,$B$2-4,'Rotation History'!$M$2:$M$1000,"&gt;0")=0,0,1)))))</f>
        <v>0</v>
      </c>
      <c r="T56" s="43" t="n">
        <f aca="false">IF($B56="","",COUNTIFS('Rotation History'!$B$2:$B$1000,$B56,'Rotation History'!$K$2:$K$1000,"Opening",'Rotation History'!$A$2:$A$1000,"&gt;="&amp;($B$2-30),'Rotation History'!$A$2:$A$1000,"&lt;"&amp;$B$2))</f>
        <v>0</v>
      </c>
      <c r="U56" s="43" t="n">
        <f aca="false">IF($B56="","",COUNTIFS('Rotation History'!$B$2:$B$1000,$B56,'Rotation History'!$K$2:$K$1000,"Lunch Relief",'Rotation History'!$A$2:$A$1000,"&gt;="&amp;($B$2-30),'Rotation History'!$A$2:$A$1000,"&lt;"&amp;$B$2))</f>
        <v>0</v>
      </c>
      <c r="V56" s="44" t="n">
        <f aca="false">IF($B56="","",$Q56*10+$R56*2+$S56*20+$T56*3+$U56)</f>
        <v>0</v>
      </c>
    </row>
    <row r="57" customFormat="false" ht="14.25" hidden="false" customHeight="true" outlineLevel="0" collapsed="false">
      <c r="A57" s="40" t="n">
        <f aca="false">IF($B57="","",$B$2)</f>
        <v>46231</v>
      </c>
      <c r="B57" s="1" t="str">
        <f aca="false">IF($B$2="","",IFERROR(INDEX('Employee Master'!$A$2:$A$159,MATCH(ROWS($B$6:B57),Lists!$P$2:$P$159,0)),""))</f>
        <v>EMP-0145</v>
      </c>
      <c r="C57" s="1" t="str">
        <f aca="false">IF($B57="","",IFERROR(INDEX('Employee Master'!$B$2:$B$159,MATCH($B57,'Employee Master'!$A$2:$A$159,0)),""))</f>
        <v>Troy Titus</v>
      </c>
      <c r="D57" s="1" t="str">
        <f aca="false">IF($B57="","",IFERROR(INDEX('Employee Master'!$C$2:$C$159,MATCH($B57,'Employee Master'!$A$2:$A$159,0)),""))</f>
        <v>5:45 AM</v>
      </c>
      <c r="E57" s="1" t="str">
        <f aca="false">IF($B57="","",IFERROR(INDEX('Employee Master'!$I$2:$I$159,MATCH($B57,'Employee Master'!$A$2:$A$159,0)),""))</f>
        <v>AM</v>
      </c>
      <c r="F57" s="29" t="str">
        <f aca="false">IF($B57="","",IFERROR(INDEX('Employee Master'!$E$2:$E$159,MATCH($B57,'Employee Master'!$A$2:$A$159,0)),""))</f>
        <v>Y</v>
      </c>
      <c r="G57" s="29" t="str">
        <f aca="false">IF($B57="","",IFERROR(INDEX('Employee Master'!$F$2:$F$159,MATCH($B57,'Employee Master'!$A$2:$A$159,0)),""))</f>
        <v>N</v>
      </c>
      <c r="H57" s="41" t="str">
        <f aca="false">IF($B57="","","Present")</f>
        <v>Present</v>
      </c>
      <c r="I57" s="1" t="str">
        <f aca="false">IF($B57="","",IFERROR(INDEX('Employee Master'!$H$2:$H$159,MATCH($B57,'Employee Master'!$A$2:$A$159,0)),""))</f>
        <v>None</v>
      </c>
      <c r="J57" s="29" t="str">
        <f aca="false">IF($B57="","",IFERROR(INDEX('Qualification Matrix'!$C$2:$C$168,MATCH($B57,'Qualification Matrix'!$A$2:$A$168,0)),2))</f>
        <v>N</v>
      </c>
      <c r="K57" s="29" t="str">
        <f aca="false">IF($B57="","",IFERROR(INDEX('Qualification Matrix'!$D$2:$D$168,MATCH($B57,'Qualification Matrix'!$A$2:$A$168,0)),2))</f>
        <v>N</v>
      </c>
      <c r="L57" s="29" t="str">
        <f aca="false">IF($B57="","",IFERROR(INDEX('Qualification Matrix'!$E$2:$E$168,MATCH($B57,'Qualification Matrix'!$A$2:$A$168,0)),2))</f>
        <v>N</v>
      </c>
      <c r="M57" s="29" t="str">
        <f aca="false">IF($B57="","",IFERROR(INDEX('Qualification Matrix'!$F$2:$F$168,MATCH($B57,'Qualification Matrix'!$A$2:$A$168,0)),2))</f>
        <v>Y</v>
      </c>
      <c r="N57" s="29" t="str">
        <f aca="false">IF($B57="","",IF(AND($H57="Present",$F57&lt;&gt;"Y"),"Y","N"))</f>
        <v>N</v>
      </c>
      <c r="O57" s="42"/>
      <c r="P57" s="29" t="n">
        <f aca="false">IF($B57="","",IFERROR(INDEX('Qualification Matrix'!$H$2:$H$168,MATCH($B57,'Qualification Matrix'!$A$2:$A$168,0)),""))</f>
        <v>2</v>
      </c>
      <c r="Q57" s="43" t="n">
        <f aca="false">IF($B57="","",SUMIFS('Rotation History'!$M$2:$M$1000,'Rotation History'!$B$2:$B$1000,$B57,'Rotation History'!$A$2:$A$1000,"&gt;="&amp;($B$2-30),'Rotation History'!$A$2:$A$1000,"&lt;"&amp;$B$2))</f>
        <v>0</v>
      </c>
      <c r="R57" s="43" t="n">
        <f aca="false">IF($B57="","",COUNTIFS('Rotation History'!$B$2:$B$1000,$B57,'Rotation History'!$M$2:$M$1000,"&gt;0",'Rotation History'!$A$2:$A$1000,"&gt;="&amp;($B$2-30),'Rotation History'!$A$2:$A$1000,"&lt;"&amp;$B$2))</f>
        <v>0</v>
      </c>
      <c r="S57" s="43" t="n">
        <f aca="false">IF($B57="","",IF(COUNTIFS('Rotation History'!$B$2:$B$1000,$B57,'Rotation History'!$A$2:$A$1000,$B$2-1,'Rotation History'!$M$2:$M$1000,"&gt;0")=0,0,1+IF(COUNTIFS('Rotation History'!$B$2:$B$1000,$B57,'Rotation History'!$A$2:$A$1000,$B$2-2,'Rotation History'!$M$2:$M$1000,"&gt;0")=0,0,1+IF(COUNTIFS('Rotation History'!$B$2:$B$1000,$B57,'Rotation History'!$A$2:$A$1000,$B$2-3,'Rotation History'!$M$2:$M$1000,"&gt;0")=0,0,1+IF(COUNTIFS('Rotation History'!$B$2:$B$1000,$B57,'Rotation History'!$A$2:$A$1000,$B$2-4,'Rotation History'!$M$2:$M$1000,"&gt;0")=0,0,1)))))</f>
        <v>0</v>
      </c>
      <c r="T57" s="43" t="n">
        <f aca="false">IF($B57="","",COUNTIFS('Rotation History'!$B$2:$B$1000,$B57,'Rotation History'!$K$2:$K$1000,"Opening",'Rotation History'!$A$2:$A$1000,"&gt;="&amp;($B$2-30),'Rotation History'!$A$2:$A$1000,"&lt;"&amp;$B$2))</f>
        <v>0</v>
      </c>
      <c r="U57" s="43" t="n">
        <f aca="false">IF($B57="","",COUNTIFS('Rotation History'!$B$2:$B$1000,$B57,'Rotation History'!$K$2:$K$1000,"Lunch Relief",'Rotation History'!$A$2:$A$1000,"&gt;="&amp;($B$2-30),'Rotation History'!$A$2:$A$1000,"&lt;"&amp;$B$2))</f>
        <v>0</v>
      </c>
      <c r="V57" s="44" t="n">
        <f aca="false">IF($B57="","",$Q57*10+$R57*2+$S57*20+$T57*3+$U57)</f>
        <v>0</v>
      </c>
    </row>
    <row r="58" customFormat="false" ht="14.25" hidden="false" customHeight="true" outlineLevel="0" collapsed="false">
      <c r="A58" s="40" t="n">
        <f aca="false">IF($B58="","",$B$2)</f>
        <v>46231</v>
      </c>
      <c r="B58" s="1" t="str">
        <f aca="false">IF($B$2="","",IFERROR(INDEX('Employee Master'!$A$2:$A$159,MATCH(ROWS($B$6:B58),Lists!$P$2:$P$159,0)),""))</f>
        <v>EMP-0146</v>
      </c>
      <c r="C58" s="1" t="str">
        <f aca="false">IF($B58="","",IFERROR(INDEX('Employee Master'!$B$2:$B$159,MATCH($B58,'Employee Master'!$A$2:$A$159,0)),""))</f>
        <v>Tyana Gutzmore</v>
      </c>
      <c r="D58" s="1" t="str">
        <f aca="false">IF($B58="","",IFERROR(INDEX('Employee Master'!$C$2:$C$159,MATCH($B58,'Employee Master'!$A$2:$A$159,0)),""))</f>
        <v>5:45 AM</v>
      </c>
      <c r="E58" s="1" t="str">
        <f aca="false">IF($B58="","",IFERROR(INDEX('Employee Master'!$I$2:$I$159,MATCH($B58,'Employee Master'!$A$2:$A$159,0)),""))</f>
        <v>AM</v>
      </c>
      <c r="F58" s="29" t="str">
        <f aca="false">IF($B58="","",IFERROR(INDEX('Employee Master'!$E$2:$E$159,MATCH($B58,'Employee Master'!$A$2:$A$159,0)),""))</f>
        <v>N</v>
      </c>
      <c r="G58" s="29" t="str">
        <f aca="false">IF($B58="","",IFERROR(INDEX('Employee Master'!$F$2:$F$159,MATCH($B58,'Employee Master'!$A$2:$A$159,0)),""))</f>
        <v>N</v>
      </c>
      <c r="H58" s="41" t="str">
        <f aca="false">IF($B58="","","Present")</f>
        <v>Present</v>
      </c>
      <c r="I58" s="1" t="str">
        <f aca="false">IF($B58="","",IFERROR(INDEX('Employee Master'!$H$2:$H$159,MATCH($B58,'Employee Master'!$A$2:$A$159,0)),""))</f>
        <v>None</v>
      </c>
      <c r="J58" s="29" t="str">
        <f aca="false">IF($B58="","",IFERROR(INDEX('Qualification Matrix'!$C$2:$C$168,MATCH($B58,'Qualification Matrix'!$A$2:$A$168,0)),2))</f>
        <v>N</v>
      </c>
      <c r="K58" s="29" t="str">
        <f aca="false">IF($B58="","",IFERROR(INDEX('Qualification Matrix'!$D$2:$D$168,MATCH($B58,'Qualification Matrix'!$A$2:$A$168,0)),2))</f>
        <v>N</v>
      </c>
      <c r="L58" s="29" t="str">
        <f aca="false">IF($B58="","",IFERROR(INDEX('Qualification Matrix'!$E$2:$E$168,MATCH($B58,'Qualification Matrix'!$A$2:$A$168,0)),2))</f>
        <v>N</v>
      </c>
      <c r="M58" s="29" t="str">
        <f aca="false">IF($B58="","",IFERROR(INDEX('Qualification Matrix'!$F$2:$F$168,MATCH($B58,'Qualification Matrix'!$A$2:$A$168,0)),2))</f>
        <v>Y</v>
      </c>
      <c r="N58" s="29" t="str">
        <f aca="false">IF($B58="","",IF(AND($H58="Present",$F58&lt;&gt;"Y"),"Y","N"))</f>
        <v>Y</v>
      </c>
      <c r="O58" s="42"/>
      <c r="P58" s="29" t="n">
        <f aca="false">IF($B58="","",IFERROR(INDEX('Qualification Matrix'!$H$2:$H$168,MATCH($B58,'Qualification Matrix'!$A$2:$A$168,0)),""))</f>
        <v>2</v>
      </c>
      <c r="Q58" s="43" t="n">
        <f aca="false">IF($B58="","",SUMIFS('Rotation History'!$M$2:$M$1000,'Rotation History'!$B$2:$B$1000,$B58,'Rotation History'!$A$2:$A$1000,"&gt;="&amp;($B$2-30),'Rotation History'!$A$2:$A$1000,"&lt;"&amp;$B$2))</f>
        <v>0</v>
      </c>
      <c r="R58" s="43" t="n">
        <f aca="false">IF($B58="","",COUNTIFS('Rotation History'!$B$2:$B$1000,$B58,'Rotation History'!$M$2:$M$1000,"&gt;0",'Rotation History'!$A$2:$A$1000,"&gt;="&amp;($B$2-30),'Rotation History'!$A$2:$A$1000,"&lt;"&amp;$B$2))</f>
        <v>0</v>
      </c>
      <c r="S58" s="43" t="n">
        <f aca="false">IF($B58="","",IF(COUNTIFS('Rotation History'!$B$2:$B$1000,$B58,'Rotation History'!$A$2:$A$1000,$B$2-1,'Rotation History'!$M$2:$M$1000,"&gt;0")=0,0,1+IF(COUNTIFS('Rotation History'!$B$2:$B$1000,$B58,'Rotation History'!$A$2:$A$1000,$B$2-2,'Rotation History'!$M$2:$M$1000,"&gt;0")=0,0,1+IF(COUNTIFS('Rotation History'!$B$2:$B$1000,$B58,'Rotation History'!$A$2:$A$1000,$B$2-3,'Rotation History'!$M$2:$M$1000,"&gt;0")=0,0,1+IF(COUNTIFS('Rotation History'!$B$2:$B$1000,$B58,'Rotation History'!$A$2:$A$1000,$B$2-4,'Rotation History'!$M$2:$M$1000,"&gt;0")=0,0,1)))))</f>
        <v>0</v>
      </c>
      <c r="T58" s="43" t="n">
        <f aca="false">IF($B58="","",COUNTIFS('Rotation History'!$B$2:$B$1000,$B58,'Rotation History'!$K$2:$K$1000,"Opening",'Rotation History'!$A$2:$A$1000,"&gt;="&amp;($B$2-30),'Rotation History'!$A$2:$A$1000,"&lt;"&amp;$B$2))</f>
        <v>0</v>
      </c>
      <c r="U58" s="43" t="n">
        <f aca="false">IF($B58="","",COUNTIFS('Rotation History'!$B$2:$B$1000,$B58,'Rotation History'!$K$2:$K$1000,"Lunch Relief",'Rotation History'!$A$2:$A$1000,"&gt;="&amp;($B$2-30),'Rotation History'!$A$2:$A$1000,"&lt;"&amp;$B$2))</f>
        <v>0</v>
      </c>
      <c r="V58" s="44" t="n">
        <f aca="false">IF($B58="","",$Q58*10+$R58*2+$S58*20+$T58*3+$U58)</f>
        <v>0</v>
      </c>
    </row>
    <row r="59" customFormat="false" ht="14.25" hidden="false" customHeight="true" outlineLevel="0" collapsed="false">
      <c r="A59" s="40" t="n">
        <f aca="false">IF($B59="","",$B$2)</f>
        <v>46231</v>
      </c>
      <c r="B59" s="1" t="str">
        <f aca="false">IF($B$2="","",IFERROR(INDEX('Employee Master'!$A$2:$A$159,MATCH(ROWS($B$6:B59),Lists!$P$2:$P$159,0)),""))</f>
        <v>EMP-0147</v>
      </c>
      <c r="C59" s="1" t="str">
        <f aca="false">IF($B59="","",IFERROR(INDEX('Employee Master'!$B$2:$B$159,MATCH($B59,'Employee Master'!$A$2:$A$159,0)),""))</f>
        <v>Vanessa Cortes</v>
      </c>
      <c r="D59" s="1" t="str">
        <f aca="false">IF($B59="","",IFERROR(INDEX('Employee Master'!$C$2:$C$159,MATCH($B59,'Employee Master'!$A$2:$A$159,0)),""))</f>
        <v>5:45 AM</v>
      </c>
      <c r="E59" s="1" t="str">
        <f aca="false">IF($B59="","",IFERROR(INDEX('Employee Master'!$I$2:$I$159,MATCH($B59,'Employee Master'!$A$2:$A$159,0)),""))</f>
        <v>AM</v>
      </c>
      <c r="F59" s="29" t="str">
        <f aca="false">IF($B59="","",IFERROR(INDEX('Employee Master'!$E$2:$E$159,MATCH($B59,'Employee Master'!$A$2:$A$159,0)),""))</f>
        <v>N</v>
      </c>
      <c r="G59" s="29" t="str">
        <f aca="false">IF($B59="","",IFERROR(INDEX('Employee Master'!$F$2:$F$159,MATCH($B59,'Employee Master'!$A$2:$A$159,0)),""))</f>
        <v>N</v>
      </c>
      <c r="H59" s="41" t="str">
        <f aca="false">IF($B59="","","Present")</f>
        <v>Present</v>
      </c>
      <c r="I59" s="1" t="str">
        <f aca="false">IF($B59="","",IFERROR(INDEX('Employee Master'!$H$2:$H$159,MATCH($B59,'Employee Master'!$A$2:$A$159,0)),""))</f>
        <v>None</v>
      </c>
      <c r="J59" s="29" t="str">
        <f aca="false">IF($B59="","",IFERROR(INDEX('Qualification Matrix'!$C$2:$C$168,MATCH($B59,'Qualification Matrix'!$A$2:$A$168,0)),2))</f>
        <v>N</v>
      </c>
      <c r="K59" s="29" t="str">
        <f aca="false">IF($B59="","",IFERROR(INDEX('Qualification Matrix'!$D$2:$D$168,MATCH($B59,'Qualification Matrix'!$A$2:$A$168,0)),2))</f>
        <v>N</v>
      </c>
      <c r="L59" s="29" t="str">
        <f aca="false">IF($B59="","",IFERROR(INDEX('Qualification Matrix'!$E$2:$E$168,MATCH($B59,'Qualification Matrix'!$A$2:$A$168,0)),2))</f>
        <v>N</v>
      </c>
      <c r="M59" s="29" t="str">
        <f aca="false">IF($B59="","",IFERROR(INDEX('Qualification Matrix'!$F$2:$F$168,MATCH($B59,'Qualification Matrix'!$A$2:$A$168,0)),2))</f>
        <v>Y</v>
      </c>
      <c r="N59" s="29" t="str">
        <f aca="false">IF($B59="","",IF(AND($H59="Present",$F59&lt;&gt;"Y"),"Y","N"))</f>
        <v>Y</v>
      </c>
      <c r="O59" s="42"/>
      <c r="P59" s="29" t="n">
        <f aca="false">IF($B59="","",IFERROR(INDEX('Qualification Matrix'!$H$2:$H$168,MATCH($B59,'Qualification Matrix'!$A$2:$A$168,0)),""))</f>
        <v>2</v>
      </c>
      <c r="Q59" s="43" t="n">
        <f aca="false">IF($B59="","",SUMIFS('Rotation History'!$M$2:$M$1000,'Rotation History'!$B$2:$B$1000,$B59,'Rotation History'!$A$2:$A$1000,"&gt;="&amp;($B$2-30),'Rotation History'!$A$2:$A$1000,"&lt;"&amp;$B$2))</f>
        <v>0</v>
      </c>
      <c r="R59" s="43" t="n">
        <f aca="false">IF($B59="","",COUNTIFS('Rotation History'!$B$2:$B$1000,$B59,'Rotation History'!$M$2:$M$1000,"&gt;0",'Rotation History'!$A$2:$A$1000,"&gt;="&amp;($B$2-30),'Rotation History'!$A$2:$A$1000,"&lt;"&amp;$B$2))</f>
        <v>0</v>
      </c>
      <c r="S59" s="43" t="n">
        <f aca="false">IF($B59="","",IF(COUNTIFS('Rotation History'!$B$2:$B$1000,$B59,'Rotation History'!$A$2:$A$1000,$B$2-1,'Rotation History'!$M$2:$M$1000,"&gt;0")=0,0,1+IF(COUNTIFS('Rotation History'!$B$2:$B$1000,$B59,'Rotation History'!$A$2:$A$1000,$B$2-2,'Rotation History'!$M$2:$M$1000,"&gt;0")=0,0,1+IF(COUNTIFS('Rotation History'!$B$2:$B$1000,$B59,'Rotation History'!$A$2:$A$1000,$B$2-3,'Rotation History'!$M$2:$M$1000,"&gt;0")=0,0,1+IF(COUNTIFS('Rotation History'!$B$2:$B$1000,$B59,'Rotation History'!$A$2:$A$1000,$B$2-4,'Rotation History'!$M$2:$M$1000,"&gt;0")=0,0,1)))))</f>
        <v>0</v>
      </c>
      <c r="T59" s="43" t="n">
        <f aca="false">IF($B59="","",COUNTIFS('Rotation History'!$B$2:$B$1000,$B59,'Rotation History'!$K$2:$K$1000,"Opening",'Rotation History'!$A$2:$A$1000,"&gt;="&amp;($B$2-30),'Rotation History'!$A$2:$A$1000,"&lt;"&amp;$B$2))</f>
        <v>0</v>
      </c>
      <c r="U59" s="43" t="n">
        <f aca="false">IF($B59="","",COUNTIFS('Rotation History'!$B$2:$B$1000,$B59,'Rotation History'!$K$2:$K$1000,"Lunch Relief",'Rotation History'!$A$2:$A$1000,"&gt;="&amp;($B$2-30),'Rotation History'!$A$2:$A$1000,"&lt;"&amp;$B$2))</f>
        <v>0</v>
      </c>
      <c r="V59" s="44" t="n">
        <f aca="false">IF($B59="","",$Q59*10+$R59*2+$S59*20+$T59*3+$U59)</f>
        <v>0</v>
      </c>
    </row>
    <row r="60" customFormat="false" ht="14.25" hidden="false" customHeight="true" outlineLevel="0" collapsed="false">
      <c r="A60" s="40" t="n">
        <f aca="false">IF($B60="","",$B$2)</f>
        <v>46231</v>
      </c>
      <c r="B60" s="1" t="str">
        <f aca="false">IF($B$2="","",IFERROR(INDEX('Employee Master'!$A$2:$A$159,MATCH(ROWS($B$6:B60),Lists!$P$2:$P$159,0)),""))</f>
        <v>EMP-0149</v>
      </c>
      <c r="C60" s="1" t="str">
        <f aca="false">IF($B60="","",IFERROR(INDEX('Employee Master'!$B$2:$B$159,MATCH($B60,'Employee Master'!$A$2:$A$159,0)),""))</f>
        <v>Veronda Jones</v>
      </c>
      <c r="D60" s="1" t="str">
        <f aca="false">IF($B60="","",IFERROR(INDEX('Employee Master'!$C$2:$C$159,MATCH($B60,'Employee Master'!$A$2:$A$159,0)),""))</f>
        <v>5:45 AM</v>
      </c>
      <c r="E60" s="1" t="str">
        <f aca="false">IF($B60="","",IFERROR(INDEX('Employee Master'!$I$2:$I$159,MATCH($B60,'Employee Master'!$A$2:$A$159,0)),""))</f>
        <v>AM</v>
      </c>
      <c r="F60" s="29" t="str">
        <f aca="false">IF($B60="","",IFERROR(INDEX('Employee Master'!$E$2:$E$159,MATCH($B60,'Employee Master'!$A$2:$A$159,0)),""))</f>
        <v>N</v>
      </c>
      <c r="G60" s="29" t="str">
        <f aca="false">IF($B60="","",IFERROR(INDEX('Employee Master'!$F$2:$F$159,MATCH($B60,'Employee Master'!$A$2:$A$159,0)),""))</f>
        <v>N</v>
      </c>
      <c r="H60" s="41" t="str">
        <f aca="false">IF($B60="","","Present")</f>
        <v>Present</v>
      </c>
      <c r="I60" s="1" t="str">
        <f aca="false">IF($B60="","",IFERROR(INDEX('Employee Master'!$H$2:$H$159,MATCH($B60,'Employee Master'!$A$2:$A$159,0)),""))</f>
        <v>None</v>
      </c>
      <c r="J60" s="29" t="str">
        <f aca="false">IF($B60="","",IFERROR(INDEX('Qualification Matrix'!$C$2:$C$168,MATCH($B60,'Qualification Matrix'!$A$2:$A$168,0)),2))</f>
        <v>N</v>
      </c>
      <c r="K60" s="29" t="str">
        <f aca="false">IF($B60="","",IFERROR(INDEX('Qualification Matrix'!$D$2:$D$168,MATCH($B60,'Qualification Matrix'!$A$2:$A$168,0)),2))</f>
        <v>N</v>
      </c>
      <c r="L60" s="29" t="str">
        <f aca="false">IF($B60="","",IFERROR(INDEX('Qualification Matrix'!$E$2:$E$168,MATCH($B60,'Qualification Matrix'!$A$2:$A$168,0)),2))</f>
        <v>N</v>
      </c>
      <c r="M60" s="29" t="str">
        <f aca="false">IF($B60="","",IFERROR(INDEX('Qualification Matrix'!$F$2:$F$168,MATCH($B60,'Qualification Matrix'!$A$2:$A$168,0)),2))</f>
        <v>Y</v>
      </c>
      <c r="N60" s="29" t="str">
        <f aca="false">IF($B60="","",IF(AND($H60="Present",$F60&lt;&gt;"Y"),"Y","N"))</f>
        <v>Y</v>
      </c>
      <c r="O60" s="42"/>
      <c r="P60" s="29" t="n">
        <f aca="false">IF($B60="","",IFERROR(INDEX('Qualification Matrix'!$H$2:$H$168,MATCH($B60,'Qualification Matrix'!$A$2:$A$168,0)),""))</f>
        <v>2</v>
      </c>
      <c r="Q60" s="43" t="n">
        <f aca="false">IF($B60="","",SUMIFS('Rotation History'!$M$2:$M$1000,'Rotation History'!$B$2:$B$1000,$B60,'Rotation History'!$A$2:$A$1000,"&gt;="&amp;($B$2-30),'Rotation History'!$A$2:$A$1000,"&lt;"&amp;$B$2))</f>
        <v>0</v>
      </c>
      <c r="R60" s="43" t="n">
        <f aca="false">IF($B60="","",COUNTIFS('Rotation History'!$B$2:$B$1000,$B60,'Rotation History'!$M$2:$M$1000,"&gt;0",'Rotation History'!$A$2:$A$1000,"&gt;="&amp;($B$2-30),'Rotation History'!$A$2:$A$1000,"&lt;"&amp;$B$2))</f>
        <v>0</v>
      </c>
      <c r="S60" s="43" t="n">
        <f aca="false">IF($B60="","",IF(COUNTIFS('Rotation History'!$B$2:$B$1000,$B60,'Rotation History'!$A$2:$A$1000,$B$2-1,'Rotation History'!$M$2:$M$1000,"&gt;0")=0,0,1+IF(COUNTIFS('Rotation History'!$B$2:$B$1000,$B60,'Rotation History'!$A$2:$A$1000,$B$2-2,'Rotation History'!$M$2:$M$1000,"&gt;0")=0,0,1+IF(COUNTIFS('Rotation History'!$B$2:$B$1000,$B60,'Rotation History'!$A$2:$A$1000,$B$2-3,'Rotation History'!$M$2:$M$1000,"&gt;0")=0,0,1+IF(COUNTIFS('Rotation History'!$B$2:$B$1000,$B60,'Rotation History'!$A$2:$A$1000,$B$2-4,'Rotation History'!$M$2:$M$1000,"&gt;0")=0,0,1)))))</f>
        <v>0</v>
      </c>
      <c r="T60" s="43" t="n">
        <f aca="false">IF($B60="","",COUNTIFS('Rotation History'!$B$2:$B$1000,$B60,'Rotation History'!$K$2:$K$1000,"Opening",'Rotation History'!$A$2:$A$1000,"&gt;="&amp;($B$2-30),'Rotation History'!$A$2:$A$1000,"&lt;"&amp;$B$2))</f>
        <v>0</v>
      </c>
      <c r="U60" s="43" t="n">
        <f aca="false">IF($B60="","",COUNTIFS('Rotation History'!$B$2:$B$1000,$B60,'Rotation History'!$K$2:$K$1000,"Lunch Relief",'Rotation History'!$A$2:$A$1000,"&gt;="&amp;($B$2-30),'Rotation History'!$A$2:$A$1000,"&lt;"&amp;$B$2))</f>
        <v>0</v>
      </c>
      <c r="V60" s="44" t="n">
        <f aca="false">IF($B60="","",$Q60*10+$R60*2+$S60*20+$T60*3+$U60)</f>
        <v>0</v>
      </c>
    </row>
    <row r="61" customFormat="false" ht="14.25" hidden="false" customHeight="true" outlineLevel="0" collapsed="false">
      <c r="A61" s="40" t="n">
        <f aca="false">IF($B61="","",$B$2)</f>
        <v>46231</v>
      </c>
      <c r="B61" s="1" t="str">
        <f aca="false">IF($B$2="","",IFERROR(INDEX('Employee Master'!$A$2:$A$159,MATCH(ROWS($B$6:B61),Lists!$P$2:$P$159,0)),""))</f>
        <v>EMP-0005</v>
      </c>
      <c r="C61" s="1" t="str">
        <f aca="false">IF($B61="","",IFERROR(INDEX('Employee Master'!$B$2:$B$159,MATCH($B61,'Employee Master'!$A$2:$A$159,0)),""))</f>
        <v>Adrian Franklin</v>
      </c>
      <c r="D61" s="1" t="str">
        <f aca="false">IF($B61="","",IFERROR(INDEX('Employee Master'!$C$2:$C$159,MATCH($B61,'Employee Master'!$A$2:$A$159,0)),""))</f>
        <v>12:15 PM</v>
      </c>
      <c r="E61" s="1" t="str">
        <f aca="false">IF($B61="","",IFERROR(INDEX('Employee Master'!$I$2:$I$159,MATCH($B61,'Employee Master'!$A$2:$A$159,0)),""))</f>
        <v>PM</v>
      </c>
      <c r="F61" s="29" t="str">
        <f aca="false">IF($B61="","",IFERROR(INDEX('Employee Master'!$E$2:$E$159,MATCH($B61,'Employee Master'!$A$2:$A$159,0)),""))</f>
        <v>Y</v>
      </c>
      <c r="G61" s="29" t="str">
        <f aca="false">IF($B61="","",IFERROR(INDEX('Employee Master'!$F$2:$F$159,MATCH($B61,'Employee Master'!$A$2:$A$159,0)),""))</f>
        <v>N</v>
      </c>
      <c r="H61" s="41" t="str">
        <f aca="false">IF($B61="","","Present")</f>
        <v>Present</v>
      </c>
      <c r="I61" s="1" t="str">
        <f aca="false">IF($B61="","",IFERROR(INDEX('Employee Master'!$H$2:$H$159,MATCH($B61,'Employee Master'!$A$2:$A$159,0)),""))</f>
        <v>None</v>
      </c>
      <c r="J61" s="29" t="str">
        <f aca="false">IF($B61="","",IFERROR(INDEX('Qualification Matrix'!$C$2:$C$168,MATCH($B61,'Qualification Matrix'!$A$2:$A$168,0)),2))</f>
        <v>N</v>
      </c>
      <c r="K61" s="29" t="str">
        <f aca="false">IF($B61="","",IFERROR(INDEX('Qualification Matrix'!$D$2:$D$168,MATCH($B61,'Qualification Matrix'!$A$2:$A$168,0)),2))</f>
        <v>N</v>
      </c>
      <c r="L61" s="29" t="str">
        <f aca="false">IF($B61="","",IFERROR(INDEX('Qualification Matrix'!$E$2:$E$168,MATCH($B61,'Qualification Matrix'!$A$2:$A$168,0)),2))</f>
        <v>N</v>
      </c>
      <c r="M61" s="29" t="str">
        <f aca="false">IF($B61="","",IFERROR(INDEX('Qualification Matrix'!$F$2:$F$168,MATCH($B61,'Qualification Matrix'!$A$2:$A$168,0)),2))</f>
        <v>Y</v>
      </c>
      <c r="N61" s="29" t="str">
        <f aca="false">IF($B61="","",IF(AND($H61="Present",$F61&lt;&gt;"Y"),"Y","N"))</f>
        <v>N</v>
      </c>
      <c r="O61" s="42"/>
      <c r="P61" s="29" t="n">
        <f aca="false">IF($B61="","",IFERROR(INDEX('Qualification Matrix'!$H$2:$H$168,MATCH($B61,'Qualification Matrix'!$A$2:$A$168,0)),""))</f>
        <v>2</v>
      </c>
      <c r="Q61" s="43" t="n">
        <f aca="false">IF($B61="","",SUMIFS('Rotation History'!$M$2:$M$1000,'Rotation History'!$B$2:$B$1000,$B61,'Rotation History'!$A$2:$A$1000,"&gt;="&amp;($B$2-30),'Rotation History'!$A$2:$A$1000,"&lt;"&amp;$B$2))</f>
        <v>0</v>
      </c>
      <c r="R61" s="43" t="n">
        <f aca="false">IF($B61="","",COUNTIFS('Rotation History'!$B$2:$B$1000,$B61,'Rotation History'!$M$2:$M$1000,"&gt;0",'Rotation History'!$A$2:$A$1000,"&gt;="&amp;($B$2-30),'Rotation History'!$A$2:$A$1000,"&lt;"&amp;$B$2))</f>
        <v>0</v>
      </c>
      <c r="S61" s="43" t="n">
        <f aca="false">IF($B61="","",IF(COUNTIFS('Rotation History'!$B$2:$B$1000,$B61,'Rotation History'!$A$2:$A$1000,$B$2-1,'Rotation History'!$M$2:$M$1000,"&gt;0")=0,0,1+IF(COUNTIFS('Rotation History'!$B$2:$B$1000,$B61,'Rotation History'!$A$2:$A$1000,$B$2-2,'Rotation History'!$M$2:$M$1000,"&gt;0")=0,0,1+IF(COUNTIFS('Rotation History'!$B$2:$B$1000,$B61,'Rotation History'!$A$2:$A$1000,$B$2-3,'Rotation History'!$M$2:$M$1000,"&gt;0")=0,0,1+IF(COUNTIFS('Rotation History'!$B$2:$B$1000,$B61,'Rotation History'!$A$2:$A$1000,$B$2-4,'Rotation History'!$M$2:$M$1000,"&gt;0")=0,0,1)))))</f>
        <v>0</v>
      </c>
      <c r="T61" s="43" t="n">
        <f aca="false">IF($B61="","",COUNTIFS('Rotation History'!$B$2:$B$1000,$B61,'Rotation History'!$K$2:$K$1000,"Opening",'Rotation History'!$A$2:$A$1000,"&gt;="&amp;($B$2-30),'Rotation History'!$A$2:$A$1000,"&lt;"&amp;$B$2))</f>
        <v>0</v>
      </c>
      <c r="U61" s="43" t="n">
        <f aca="false">IF($B61="","",COUNTIFS('Rotation History'!$B$2:$B$1000,$B61,'Rotation History'!$K$2:$K$1000,"Lunch Relief",'Rotation History'!$A$2:$A$1000,"&gt;="&amp;($B$2-30),'Rotation History'!$A$2:$A$1000,"&lt;"&amp;$B$2))</f>
        <v>0</v>
      </c>
      <c r="V61" s="44" t="n">
        <f aca="false">IF($B61="","",$Q61*10+$R61*2+$S61*20+$T61*3+$U61)</f>
        <v>0</v>
      </c>
    </row>
    <row r="62" customFormat="false" ht="14.25" hidden="false" customHeight="true" outlineLevel="0" collapsed="false">
      <c r="A62" s="40" t="n">
        <f aca="false">IF($B62="","",$B$2)</f>
        <v>46231</v>
      </c>
      <c r="B62" s="1" t="str">
        <f aca="false">IF($B$2="","",IFERROR(INDEX('Employee Master'!$A$2:$A$159,MATCH(ROWS($B$6:B62),Lists!$P$2:$P$159,0)),""))</f>
        <v>EMP-0006</v>
      </c>
      <c r="C62" s="1" t="str">
        <f aca="false">IF($B62="","",IFERROR(INDEX('Employee Master'!$B$2:$B$159,MATCH($B62,'Employee Master'!$A$2:$A$159,0)),""))</f>
        <v>Agnes Bammannage</v>
      </c>
      <c r="D62" s="1" t="str">
        <f aca="false">IF($B62="","",IFERROR(INDEX('Employee Master'!$C$2:$C$159,MATCH($B62,'Employee Master'!$A$2:$A$159,0)),""))</f>
        <v>12:15 PM</v>
      </c>
      <c r="E62" s="1" t="str">
        <f aca="false">IF($B62="","",IFERROR(INDEX('Employee Master'!$I$2:$I$159,MATCH($B62,'Employee Master'!$A$2:$A$159,0)),""))</f>
        <v>PM</v>
      </c>
      <c r="F62" s="29" t="str">
        <f aca="false">IF($B62="","",IFERROR(INDEX('Employee Master'!$E$2:$E$159,MATCH($B62,'Employee Master'!$A$2:$A$159,0)),""))</f>
        <v>N</v>
      </c>
      <c r="G62" s="29" t="str">
        <f aca="false">IF($B62="","",IFERROR(INDEX('Employee Master'!$F$2:$F$159,MATCH($B62,'Employee Master'!$A$2:$A$159,0)),""))</f>
        <v>N</v>
      </c>
      <c r="H62" s="41" t="str">
        <f aca="false">IF($B62="","","Present")</f>
        <v>Present</v>
      </c>
      <c r="I62" s="1" t="str">
        <f aca="false">IF($B62="","",IFERROR(INDEX('Employee Master'!$H$2:$H$159,MATCH($B62,'Employee Master'!$A$2:$A$159,0)),""))</f>
        <v>None</v>
      </c>
      <c r="J62" s="29" t="str">
        <f aca="false">IF($B62="","",IFERROR(INDEX('Qualification Matrix'!$C$2:$C$168,MATCH($B62,'Qualification Matrix'!$A$2:$A$168,0)),2))</f>
        <v>N</v>
      </c>
      <c r="K62" s="29" t="str">
        <f aca="false">IF($B62="","",IFERROR(INDEX('Qualification Matrix'!$D$2:$D$168,MATCH($B62,'Qualification Matrix'!$A$2:$A$168,0)),2))</f>
        <v>N</v>
      </c>
      <c r="L62" s="29" t="str">
        <f aca="false">IF($B62="","",IFERROR(INDEX('Qualification Matrix'!$E$2:$E$168,MATCH($B62,'Qualification Matrix'!$A$2:$A$168,0)),2))</f>
        <v>N</v>
      </c>
      <c r="M62" s="29" t="str">
        <f aca="false">IF($B62="","",IFERROR(INDEX('Qualification Matrix'!$F$2:$F$168,MATCH($B62,'Qualification Matrix'!$A$2:$A$168,0)),2))</f>
        <v>Y</v>
      </c>
      <c r="N62" s="29" t="str">
        <f aca="false">IF($B62="","",IF(AND($H62="Present",$F62&lt;&gt;"Y"),"Y","N"))</f>
        <v>Y</v>
      </c>
      <c r="O62" s="42"/>
      <c r="P62" s="29" t="n">
        <f aca="false">IF($B62="","",IFERROR(INDEX('Qualification Matrix'!$H$2:$H$168,MATCH($B62,'Qualification Matrix'!$A$2:$A$168,0)),""))</f>
        <v>2</v>
      </c>
      <c r="Q62" s="43" t="n">
        <f aca="false">IF($B62="","",SUMIFS('Rotation History'!$M$2:$M$1000,'Rotation History'!$B$2:$B$1000,$B62,'Rotation History'!$A$2:$A$1000,"&gt;="&amp;($B$2-30),'Rotation History'!$A$2:$A$1000,"&lt;"&amp;$B$2))</f>
        <v>0</v>
      </c>
      <c r="R62" s="43" t="n">
        <f aca="false">IF($B62="","",COUNTIFS('Rotation History'!$B$2:$B$1000,$B62,'Rotation History'!$M$2:$M$1000,"&gt;0",'Rotation History'!$A$2:$A$1000,"&gt;="&amp;($B$2-30),'Rotation History'!$A$2:$A$1000,"&lt;"&amp;$B$2))</f>
        <v>0</v>
      </c>
      <c r="S62" s="43" t="n">
        <f aca="false">IF($B62="","",IF(COUNTIFS('Rotation History'!$B$2:$B$1000,$B62,'Rotation History'!$A$2:$A$1000,$B$2-1,'Rotation History'!$M$2:$M$1000,"&gt;0")=0,0,1+IF(COUNTIFS('Rotation History'!$B$2:$B$1000,$B62,'Rotation History'!$A$2:$A$1000,$B$2-2,'Rotation History'!$M$2:$M$1000,"&gt;0")=0,0,1+IF(COUNTIFS('Rotation History'!$B$2:$B$1000,$B62,'Rotation History'!$A$2:$A$1000,$B$2-3,'Rotation History'!$M$2:$M$1000,"&gt;0")=0,0,1+IF(COUNTIFS('Rotation History'!$B$2:$B$1000,$B62,'Rotation History'!$A$2:$A$1000,$B$2-4,'Rotation History'!$M$2:$M$1000,"&gt;0")=0,0,1)))))</f>
        <v>0</v>
      </c>
      <c r="T62" s="43" t="n">
        <f aca="false">IF($B62="","",COUNTIFS('Rotation History'!$B$2:$B$1000,$B62,'Rotation History'!$K$2:$K$1000,"Opening",'Rotation History'!$A$2:$A$1000,"&gt;="&amp;($B$2-30),'Rotation History'!$A$2:$A$1000,"&lt;"&amp;$B$2))</f>
        <v>0</v>
      </c>
      <c r="U62" s="43" t="n">
        <f aca="false">IF($B62="","",COUNTIFS('Rotation History'!$B$2:$B$1000,$B62,'Rotation History'!$K$2:$K$1000,"Lunch Relief",'Rotation History'!$A$2:$A$1000,"&gt;="&amp;($B$2-30),'Rotation History'!$A$2:$A$1000,"&lt;"&amp;$B$2))</f>
        <v>0</v>
      </c>
      <c r="V62" s="44" t="n">
        <f aca="false">IF($B62="","",$Q62*10+$R62*2+$S62*20+$T62*3+$U62)</f>
        <v>0</v>
      </c>
    </row>
    <row r="63" customFormat="false" ht="14.25" hidden="false" customHeight="true" outlineLevel="0" collapsed="false">
      <c r="A63" s="40" t="n">
        <f aca="false">IF($B63="","",$B$2)</f>
        <v>46231</v>
      </c>
      <c r="B63" s="1" t="str">
        <f aca="false">IF($B$2="","",IFERROR(INDEX('Employee Master'!$A$2:$A$159,MATCH(ROWS($B$6:B63),Lists!$P$2:$P$159,0)),""))</f>
        <v>EMP-0011</v>
      </c>
      <c r="C63" s="1" t="str">
        <f aca="false">IF($B63="","",IFERROR(INDEX('Employee Master'!$B$2:$B$159,MATCH($B63,'Employee Master'!$A$2:$A$159,0)),""))</f>
        <v>Alyssa Prince</v>
      </c>
      <c r="D63" s="1" t="str">
        <f aca="false">IF($B63="","",IFERROR(INDEX('Employee Master'!$C$2:$C$159,MATCH($B63,'Employee Master'!$A$2:$A$159,0)),""))</f>
        <v>12:15 PM</v>
      </c>
      <c r="E63" s="1" t="str">
        <f aca="false">IF($B63="","",IFERROR(INDEX('Employee Master'!$I$2:$I$159,MATCH($B63,'Employee Master'!$A$2:$A$159,0)),""))</f>
        <v>PM</v>
      </c>
      <c r="F63" s="29" t="str">
        <f aca="false">IF($B63="","",IFERROR(INDEX('Employee Master'!$E$2:$E$159,MATCH($B63,'Employee Master'!$A$2:$A$159,0)),""))</f>
        <v>N</v>
      </c>
      <c r="G63" s="29" t="str">
        <f aca="false">IF($B63="","",IFERROR(INDEX('Employee Master'!$F$2:$F$159,MATCH($B63,'Employee Master'!$A$2:$A$159,0)),""))</f>
        <v>N</v>
      </c>
      <c r="H63" s="41" t="str">
        <f aca="false">IF($B63="","","Present")</f>
        <v>Present</v>
      </c>
      <c r="I63" s="1" t="str">
        <f aca="false">IF($B63="","",IFERROR(INDEX('Employee Master'!$H$2:$H$159,MATCH($B63,'Employee Master'!$A$2:$A$159,0)),""))</f>
        <v>None</v>
      </c>
      <c r="J63" s="29" t="str">
        <f aca="false">IF($B63="","",IFERROR(INDEX('Qualification Matrix'!$C$2:$C$168,MATCH($B63,'Qualification Matrix'!$A$2:$A$168,0)),2))</f>
        <v>N</v>
      </c>
      <c r="K63" s="29" t="str">
        <f aca="false">IF($B63="","",IFERROR(INDEX('Qualification Matrix'!$D$2:$D$168,MATCH($B63,'Qualification Matrix'!$A$2:$A$168,0)),2))</f>
        <v>N</v>
      </c>
      <c r="L63" s="29" t="str">
        <f aca="false">IF($B63="","",IFERROR(INDEX('Qualification Matrix'!$E$2:$E$168,MATCH($B63,'Qualification Matrix'!$A$2:$A$168,0)),2))</f>
        <v>N</v>
      </c>
      <c r="M63" s="29" t="str">
        <f aca="false">IF($B63="","",IFERROR(INDEX('Qualification Matrix'!$F$2:$F$168,MATCH($B63,'Qualification Matrix'!$A$2:$A$168,0)),2))</f>
        <v>Y</v>
      </c>
      <c r="N63" s="29" t="str">
        <f aca="false">IF($B63="","",IF(AND($H63="Present",$F63&lt;&gt;"Y"),"Y","N"))</f>
        <v>Y</v>
      </c>
      <c r="O63" s="42"/>
      <c r="P63" s="29" t="n">
        <f aca="false">IF($B63="","",IFERROR(INDEX('Qualification Matrix'!$H$2:$H$168,MATCH($B63,'Qualification Matrix'!$A$2:$A$168,0)),""))</f>
        <v>2</v>
      </c>
      <c r="Q63" s="43" t="n">
        <f aca="false">IF($B63="","",SUMIFS('Rotation History'!$M$2:$M$1000,'Rotation History'!$B$2:$B$1000,$B63,'Rotation History'!$A$2:$A$1000,"&gt;="&amp;($B$2-30),'Rotation History'!$A$2:$A$1000,"&lt;"&amp;$B$2))</f>
        <v>0</v>
      </c>
      <c r="R63" s="43" t="n">
        <f aca="false">IF($B63="","",COUNTIFS('Rotation History'!$B$2:$B$1000,$B63,'Rotation History'!$M$2:$M$1000,"&gt;0",'Rotation History'!$A$2:$A$1000,"&gt;="&amp;($B$2-30),'Rotation History'!$A$2:$A$1000,"&lt;"&amp;$B$2))</f>
        <v>0</v>
      </c>
      <c r="S63" s="43" t="n">
        <f aca="false">IF($B63="","",IF(COUNTIFS('Rotation History'!$B$2:$B$1000,$B63,'Rotation History'!$A$2:$A$1000,$B$2-1,'Rotation History'!$M$2:$M$1000,"&gt;0")=0,0,1+IF(COUNTIFS('Rotation History'!$B$2:$B$1000,$B63,'Rotation History'!$A$2:$A$1000,$B$2-2,'Rotation History'!$M$2:$M$1000,"&gt;0")=0,0,1+IF(COUNTIFS('Rotation History'!$B$2:$B$1000,$B63,'Rotation History'!$A$2:$A$1000,$B$2-3,'Rotation History'!$M$2:$M$1000,"&gt;0")=0,0,1+IF(COUNTIFS('Rotation History'!$B$2:$B$1000,$B63,'Rotation History'!$A$2:$A$1000,$B$2-4,'Rotation History'!$M$2:$M$1000,"&gt;0")=0,0,1)))))</f>
        <v>0</v>
      </c>
      <c r="T63" s="43" t="n">
        <f aca="false">IF($B63="","",COUNTIFS('Rotation History'!$B$2:$B$1000,$B63,'Rotation History'!$K$2:$K$1000,"Opening",'Rotation History'!$A$2:$A$1000,"&gt;="&amp;($B$2-30),'Rotation History'!$A$2:$A$1000,"&lt;"&amp;$B$2))</f>
        <v>0</v>
      </c>
      <c r="U63" s="43" t="n">
        <f aca="false">IF($B63="","",COUNTIFS('Rotation History'!$B$2:$B$1000,$B63,'Rotation History'!$K$2:$K$1000,"Lunch Relief",'Rotation History'!$A$2:$A$1000,"&gt;="&amp;($B$2-30),'Rotation History'!$A$2:$A$1000,"&lt;"&amp;$B$2))</f>
        <v>0</v>
      </c>
      <c r="V63" s="44" t="n">
        <f aca="false">IF($B63="","",$Q63*10+$R63*2+$S63*20+$T63*3+$U63)</f>
        <v>0</v>
      </c>
    </row>
    <row r="64" customFormat="false" ht="14.25" hidden="false" customHeight="true" outlineLevel="0" collapsed="false">
      <c r="A64" s="40" t="n">
        <f aca="false">IF($B64="","",$B$2)</f>
        <v>46231</v>
      </c>
      <c r="B64" s="1" t="str">
        <f aca="false">IF($B$2="","",IFERROR(INDEX('Employee Master'!$A$2:$A$159,MATCH(ROWS($B$6:B64),Lists!$P$2:$P$159,0)),""))</f>
        <v>EMP-0012</v>
      </c>
      <c r="C64" s="1" t="str">
        <f aca="false">IF($B64="","",IFERROR(INDEX('Employee Master'!$B$2:$B$159,MATCH($B64,'Employee Master'!$A$2:$A$159,0)),""))</f>
        <v>Amadou Diallo</v>
      </c>
      <c r="D64" s="1" t="str">
        <f aca="false">IF($B64="","",IFERROR(INDEX('Employee Master'!$C$2:$C$159,MATCH($B64,'Employee Master'!$A$2:$A$159,0)),""))</f>
        <v>12:15 PM</v>
      </c>
      <c r="E64" s="1" t="str">
        <f aca="false">IF($B64="","",IFERROR(INDEX('Employee Master'!$I$2:$I$159,MATCH($B64,'Employee Master'!$A$2:$A$159,0)),""))</f>
        <v>PM</v>
      </c>
      <c r="F64" s="29" t="str">
        <f aca="false">IF($B64="","",IFERROR(INDEX('Employee Master'!$E$2:$E$159,MATCH($B64,'Employee Master'!$A$2:$A$159,0)),""))</f>
        <v>N</v>
      </c>
      <c r="G64" s="29" t="str">
        <f aca="false">IF($B64="","",IFERROR(INDEX('Employee Master'!$F$2:$F$159,MATCH($B64,'Employee Master'!$A$2:$A$159,0)),""))</f>
        <v>N</v>
      </c>
      <c r="H64" s="41" t="str">
        <f aca="false">IF($B64="","","Present")</f>
        <v>Present</v>
      </c>
      <c r="I64" s="1" t="str">
        <f aca="false">IF($B64="","",IFERROR(INDEX('Employee Master'!$H$2:$H$159,MATCH($B64,'Employee Master'!$A$2:$A$159,0)),""))</f>
        <v>None</v>
      </c>
      <c r="J64" s="29" t="str">
        <f aca="false">IF($B64="","",IFERROR(INDEX('Qualification Matrix'!$C$2:$C$168,MATCH($B64,'Qualification Matrix'!$A$2:$A$168,0)),2))</f>
        <v>N</v>
      </c>
      <c r="K64" s="29" t="str">
        <f aca="false">IF($B64="","",IFERROR(INDEX('Qualification Matrix'!$D$2:$D$168,MATCH($B64,'Qualification Matrix'!$A$2:$A$168,0)),2))</f>
        <v>N</v>
      </c>
      <c r="L64" s="29" t="str">
        <f aca="false">IF($B64="","",IFERROR(INDEX('Qualification Matrix'!$E$2:$E$168,MATCH($B64,'Qualification Matrix'!$A$2:$A$168,0)),2))</f>
        <v>N</v>
      </c>
      <c r="M64" s="29" t="str">
        <f aca="false">IF($B64="","",IFERROR(INDEX('Qualification Matrix'!$F$2:$F$168,MATCH($B64,'Qualification Matrix'!$A$2:$A$168,0)),2))</f>
        <v>Y</v>
      </c>
      <c r="N64" s="29" t="str">
        <f aca="false">IF($B64="","",IF(AND($H64="Present",$F64&lt;&gt;"Y"),"Y","N"))</f>
        <v>Y</v>
      </c>
      <c r="O64" s="42"/>
      <c r="P64" s="29" t="n">
        <f aca="false">IF($B64="","",IFERROR(INDEX('Qualification Matrix'!$H$2:$H$168,MATCH($B64,'Qualification Matrix'!$A$2:$A$168,0)),""))</f>
        <v>2</v>
      </c>
      <c r="Q64" s="43" t="n">
        <f aca="false">IF($B64="","",SUMIFS('Rotation History'!$M$2:$M$1000,'Rotation History'!$B$2:$B$1000,$B64,'Rotation History'!$A$2:$A$1000,"&gt;="&amp;($B$2-30),'Rotation History'!$A$2:$A$1000,"&lt;"&amp;$B$2))</f>
        <v>0</v>
      </c>
      <c r="R64" s="43" t="n">
        <f aca="false">IF($B64="","",COUNTIFS('Rotation History'!$B$2:$B$1000,$B64,'Rotation History'!$M$2:$M$1000,"&gt;0",'Rotation History'!$A$2:$A$1000,"&gt;="&amp;($B$2-30),'Rotation History'!$A$2:$A$1000,"&lt;"&amp;$B$2))</f>
        <v>0</v>
      </c>
      <c r="S64" s="43" t="n">
        <f aca="false">IF($B64="","",IF(COUNTIFS('Rotation History'!$B$2:$B$1000,$B64,'Rotation History'!$A$2:$A$1000,$B$2-1,'Rotation History'!$M$2:$M$1000,"&gt;0")=0,0,1+IF(COUNTIFS('Rotation History'!$B$2:$B$1000,$B64,'Rotation History'!$A$2:$A$1000,$B$2-2,'Rotation History'!$M$2:$M$1000,"&gt;0")=0,0,1+IF(COUNTIFS('Rotation History'!$B$2:$B$1000,$B64,'Rotation History'!$A$2:$A$1000,$B$2-3,'Rotation History'!$M$2:$M$1000,"&gt;0")=0,0,1+IF(COUNTIFS('Rotation History'!$B$2:$B$1000,$B64,'Rotation History'!$A$2:$A$1000,$B$2-4,'Rotation History'!$M$2:$M$1000,"&gt;0")=0,0,1)))))</f>
        <v>0</v>
      </c>
      <c r="T64" s="43" t="n">
        <f aca="false">IF($B64="","",COUNTIFS('Rotation History'!$B$2:$B$1000,$B64,'Rotation History'!$K$2:$K$1000,"Opening",'Rotation History'!$A$2:$A$1000,"&gt;="&amp;($B$2-30),'Rotation History'!$A$2:$A$1000,"&lt;"&amp;$B$2))</f>
        <v>0</v>
      </c>
      <c r="U64" s="43" t="n">
        <f aca="false">IF($B64="","",COUNTIFS('Rotation History'!$B$2:$B$1000,$B64,'Rotation History'!$K$2:$K$1000,"Lunch Relief",'Rotation History'!$A$2:$A$1000,"&gt;="&amp;($B$2-30),'Rotation History'!$A$2:$A$1000,"&lt;"&amp;$B$2))</f>
        <v>0</v>
      </c>
      <c r="V64" s="44" t="n">
        <f aca="false">IF($B64="","",$Q64*10+$R64*2+$S64*20+$T64*3+$U64)</f>
        <v>0</v>
      </c>
    </row>
    <row r="65" customFormat="false" ht="14.25" hidden="false" customHeight="true" outlineLevel="0" collapsed="false">
      <c r="A65" s="40" t="n">
        <f aca="false">IF($B65="","",$B$2)</f>
        <v>46231</v>
      </c>
      <c r="B65" s="1" t="str">
        <f aca="false">IF($B$2="","",IFERROR(INDEX('Employee Master'!$A$2:$A$159,MATCH(ROWS($B$6:B65),Lists!$P$2:$P$159,0)),""))</f>
        <v>EMP-0014</v>
      </c>
      <c r="C65" s="1" t="str">
        <f aca="false">IF($B65="","",IFERROR(INDEX('Employee Master'!$B$2:$B$159,MATCH($B65,'Employee Master'!$A$2:$A$159,0)),""))</f>
        <v>Anariah Daniel</v>
      </c>
      <c r="D65" s="1" t="str">
        <f aca="false">IF($B65="","",IFERROR(INDEX('Employee Master'!$C$2:$C$159,MATCH($B65,'Employee Master'!$A$2:$A$159,0)),""))</f>
        <v>12:15 PM</v>
      </c>
      <c r="E65" s="1" t="str">
        <f aca="false">IF($B65="","",IFERROR(INDEX('Employee Master'!$I$2:$I$159,MATCH($B65,'Employee Master'!$A$2:$A$159,0)),""))</f>
        <v>PM</v>
      </c>
      <c r="F65" s="29" t="str">
        <f aca="false">IF($B65="","",IFERROR(INDEX('Employee Master'!$E$2:$E$159,MATCH($B65,'Employee Master'!$A$2:$A$159,0)),""))</f>
        <v>N</v>
      </c>
      <c r="G65" s="29" t="str">
        <f aca="false">IF($B65="","",IFERROR(INDEX('Employee Master'!$F$2:$F$159,MATCH($B65,'Employee Master'!$A$2:$A$159,0)),""))</f>
        <v>N</v>
      </c>
      <c r="H65" s="41" t="str">
        <f aca="false">IF($B65="","","Present")</f>
        <v>Present</v>
      </c>
      <c r="I65" s="1" t="str">
        <f aca="false">IF($B65="","",IFERROR(INDEX('Employee Master'!$H$2:$H$159,MATCH($B65,'Employee Master'!$A$2:$A$159,0)),""))</f>
        <v>None</v>
      </c>
      <c r="J65" s="29" t="str">
        <f aca="false">IF($B65="","",IFERROR(INDEX('Qualification Matrix'!$C$2:$C$168,MATCH($B65,'Qualification Matrix'!$A$2:$A$168,0)),2))</f>
        <v>N</v>
      </c>
      <c r="K65" s="29" t="str">
        <f aca="false">IF($B65="","",IFERROR(INDEX('Qualification Matrix'!$D$2:$D$168,MATCH($B65,'Qualification Matrix'!$A$2:$A$168,0)),2))</f>
        <v>N</v>
      </c>
      <c r="L65" s="29" t="str">
        <f aca="false">IF($B65="","",IFERROR(INDEX('Qualification Matrix'!$E$2:$E$168,MATCH($B65,'Qualification Matrix'!$A$2:$A$168,0)),2))</f>
        <v>N</v>
      </c>
      <c r="M65" s="29" t="str">
        <f aca="false">IF($B65="","",IFERROR(INDEX('Qualification Matrix'!$F$2:$F$168,MATCH($B65,'Qualification Matrix'!$A$2:$A$168,0)),2))</f>
        <v>Y</v>
      </c>
      <c r="N65" s="29" t="str">
        <f aca="false">IF($B65="","",IF(AND($H65="Present",$F65&lt;&gt;"Y"),"Y","N"))</f>
        <v>Y</v>
      </c>
      <c r="O65" s="42"/>
      <c r="P65" s="29" t="n">
        <f aca="false">IF($B65="","",IFERROR(INDEX('Qualification Matrix'!$H$2:$H$168,MATCH($B65,'Qualification Matrix'!$A$2:$A$168,0)),""))</f>
        <v>2</v>
      </c>
      <c r="Q65" s="43" t="n">
        <f aca="false">IF($B65="","",SUMIFS('Rotation History'!$M$2:$M$1000,'Rotation History'!$B$2:$B$1000,$B65,'Rotation History'!$A$2:$A$1000,"&gt;="&amp;($B$2-30),'Rotation History'!$A$2:$A$1000,"&lt;"&amp;$B$2))</f>
        <v>0</v>
      </c>
      <c r="R65" s="43" t="n">
        <f aca="false">IF($B65="","",COUNTIFS('Rotation History'!$B$2:$B$1000,$B65,'Rotation History'!$M$2:$M$1000,"&gt;0",'Rotation History'!$A$2:$A$1000,"&gt;="&amp;($B$2-30),'Rotation History'!$A$2:$A$1000,"&lt;"&amp;$B$2))</f>
        <v>0</v>
      </c>
      <c r="S65" s="43" t="n">
        <f aca="false">IF($B65="","",IF(COUNTIFS('Rotation History'!$B$2:$B$1000,$B65,'Rotation History'!$A$2:$A$1000,$B$2-1,'Rotation History'!$M$2:$M$1000,"&gt;0")=0,0,1+IF(COUNTIFS('Rotation History'!$B$2:$B$1000,$B65,'Rotation History'!$A$2:$A$1000,$B$2-2,'Rotation History'!$M$2:$M$1000,"&gt;0")=0,0,1+IF(COUNTIFS('Rotation History'!$B$2:$B$1000,$B65,'Rotation History'!$A$2:$A$1000,$B$2-3,'Rotation History'!$M$2:$M$1000,"&gt;0")=0,0,1+IF(COUNTIFS('Rotation History'!$B$2:$B$1000,$B65,'Rotation History'!$A$2:$A$1000,$B$2-4,'Rotation History'!$M$2:$M$1000,"&gt;0")=0,0,1)))))</f>
        <v>0</v>
      </c>
      <c r="T65" s="43" t="n">
        <f aca="false">IF($B65="","",COUNTIFS('Rotation History'!$B$2:$B$1000,$B65,'Rotation History'!$K$2:$K$1000,"Opening",'Rotation History'!$A$2:$A$1000,"&gt;="&amp;($B$2-30),'Rotation History'!$A$2:$A$1000,"&lt;"&amp;$B$2))</f>
        <v>0</v>
      </c>
      <c r="U65" s="43" t="n">
        <f aca="false">IF($B65="","",COUNTIFS('Rotation History'!$B$2:$B$1000,$B65,'Rotation History'!$K$2:$K$1000,"Lunch Relief",'Rotation History'!$A$2:$A$1000,"&gt;="&amp;($B$2-30),'Rotation History'!$A$2:$A$1000,"&lt;"&amp;$B$2))</f>
        <v>0</v>
      </c>
      <c r="V65" s="44" t="n">
        <f aca="false">IF($B65="","",$Q65*10+$R65*2+$S65*20+$T65*3+$U65)</f>
        <v>0</v>
      </c>
    </row>
    <row r="66" customFormat="false" ht="14.25" hidden="false" customHeight="true" outlineLevel="0" collapsed="false">
      <c r="A66" s="40" t="n">
        <f aca="false">IF($B66="","",$B$2)</f>
        <v>46231</v>
      </c>
      <c r="B66" s="1" t="str">
        <f aca="false">IF($B$2="","",IFERROR(INDEX('Employee Master'!$A$2:$A$159,MATCH(ROWS($B$6:B66),Lists!$P$2:$P$159,0)),""))</f>
        <v>EMP-0015</v>
      </c>
      <c r="C66" s="1" t="str">
        <f aca="false">IF($B66="","",IFERROR(INDEX('Employee Master'!$B$2:$B$159,MATCH($B66,'Employee Master'!$A$2:$A$159,0)),""))</f>
        <v>Angella White-Lennon</v>
      </c>
      <c r="D66" s="1" t="str">
        <f aca="false">IF($B66="","",IFERROR(INDEX('Employee Master'!$C$2:$C$159,MATCH($B66,'Employee Master'!$A$2:$A$159,0)),""))</f>
        <v>12:15 PM</v>
      </c>
      <c r="E66" s="1" t="str">
        <f aca="false">IF($B66="","",IFERROR(INDEX('Employee Master'!$I$2:$I$159,MATCH($B66,'Employee Master'!$A$2:$A$159,0)),""))</f>
        <v>PM</v>
      </c>
      <c r="F66" s="29" t="str">
        <f aca="false">IF($B66="","",IFERROR(INDEX('Employee Master'!$E$2:$E$159,MATCH($B66,'Employee Master'!$A$2:$A$159,0)),""))</f>
        <v>N</v>
      </c>
      <c r="G66" s="29" t="str">
        <f aca="false">IF($B66="","",IFERROR(INDEX('Employee Master'!$F$2:$F$159,MATCH($B66,'Employee Master'!$A$2:$A$159,0)),""))</f>
        <v>N</v>
      </c>
      <c r="H66" s="41" t="str">
        <f aca="false">IF($B66="","","Present")</f>
        <v>Present</v>
      </c>
      <c r="I66" s="1" t="str">
        <f aca="false">IF($B66="","",IFERROR(INDEX('Employee Master'!$H$2:$H$159,MATCH($B66,'Employee Master'!$A$2:$A$159,0)),""))</f>
        <v>None</v>
      </c>
      <c r="J66" s="29" t="str">
        <f aca="false">IF($B66="","",IFERROR(INDEX('Qualification Matrix'!$C$2:$C$168,MATCH($B66,'Qualification Matrix'!$A$2:$A$168,0)),2))</f>
        <v>N</v>
      </c>
      <c r="K66" s="29" t="str">
        <f aca="false">IF($B66="","",IFERROR(INDEX('Qualification Matrix'!$D$2:$D$168,MATCH($B66,'Qualification Matrix'!$A$2:$A$168,0)),2))</f>
        <v>N</v>
      </c>
      <c r="L66" s="29" t="str">
        <f aca="false">IF($B66="","",IFERROR(INDEX('Qualification Matrix'!$E$2:$E$168,MATCH($B66,'Qualification Matrix'!$A$2:$A$168,0)),2))</f>
        <v>N</v>
      </c>
      <c r="M66" s="29" t="str">
        <f aca="false">IF($B66="","",IFERROR(INDEX('Qualification Matrix'!$F$2:$F$168,MATCH($B66,'Qualification Matrix'!$A$2:$A$168,0)),2))</f>
        <v>Y</v>
      </c>
      <c r="N66" s="29" t="str">
        <f aca="false">IF($B66="","",IF(AND($H66="Present",$F66&lt;&gt;"Y"),"Y","N"))</f>
        <v>Y</v>
      </c>
      <c r="O66" s="42"/>
      <c r="P66" s="29" t="n">
        <f aca="false">IF($B66="","",IFERROR(INDEX('Qualification Matrix'!$H$2:$H$168,MATCH($B66,'Qualification Matrix'!$A$2:$A$168,0)),""))</f>
        <v>2</v>
      </c>
      <c r="Q66" s="43" t="n">
        <f aca="false">IF($B66="","",SUMIFS('Rotation History'!$M$2:$M$1000,'Rotation History'!$B$2:$B$1000,$B66,'Rotation History'!$A$2:$A$1000,"&gt;="&amp;($B$2-30),'Rotation History'!$A$2:$A$1000,"&lt;"&amp;$B$2))</f>
        <v>0</v>
      </c>
      <c r="R66" s="43" t="n">
        <f aca="false">IF($B66="","",COUNTIFS('Rotation History'!$B$2:$B$1000,$B66,'Rotation History'!$M$2:$M$1000,"&gt;0",'Rotation History'!$A$2:$A$1000,"&gt;="&amp;($B$2-30),'Rotation History'!$A$2:$A$1000,"&lt;"&amp;$B$2))</f>
        <v>0</v>
      </c>
      <c r="S66" s="43" t="n">
        <f aca="false">IF($B66="","",IF(COUNTIFS('Rotation History'!$B$2:$B$1000,$B66,'Rotation History'!$A$2:$A$1000,$B$2-1,'Rotation History'!$M$2:$M$1000,"&gt;0")=0,0,1+IF(COUNTIFS('Rotation History'!$B$2:$B$1000,$B66,'Rotation History'!$A$2:$A$1000,$B$2-2,'Rotation History'!$M$2:$M$1000,"&gt;0")=0,0,1+IF(COUNTIFS('Rotation History'!$B$2:$B$1000,$B66,'Rotation History'!$A$2:$A$1000,$B$2-3,'Rotation History'!$M$2:$M$1000,"&gt;0")=0,0,1+IF(COUNTIFS('Rotation History'!$B$2:$B$1000,$B66,'Rotation History'!$A$2:$A$1000,$B$2-4,'Rotation History'!$M$2:$M$1000,"&gt;0")=0,0,1)))))</f>
        <v>0</v>
      </c>
      <c r="T66" s="43" t="n">
        <f aca="false">IF($B66="","",COUNTIFS('Rotation History'!$B$2:$B$1000,$B66,'Rotation History'!$K$2:$K$1000,"Opening",'Rotation History'!$A$2:$A$1000,"&gt;="&amp;($B$2-30),'Rotation History'!$A$2:$A$1000,"&lt;"&amp;$B$2))</f>
        <v>0</v>
      </c>
      <c r="U66" s="43" t="n">
        <f aca="false">IF($B66="","",COUNTIFS('Rotation History'!$B$2:$B$1000,$B66,'Rotation History'!$K$2:$K$1000,"Lunch Relief",'Rotation History'!$A$2:$A$1000,"&gt;="&amp;($B$2-30),'Rotation History'!$A$2:$A$1000,"&lt;"&amp;$B$2))</f>
        <v>0</v>
      </c>
      <c r="V66" s="44" t="n">
        <f aca="false">IF($B66="","",$Q66*10+$R66*2+$S66*20+$T66*3+$U66)</f>
        <v>0</v>
      </c>
    </row>
    <row r="67" customFormat="false" ht="14.25" hidden="false" customHeight="true" outlineLevel="0" collapsed="false">
      <c r="A67" s="40" t="n">
        <f aca="false">IF($B67="","",$B$2)</f>
        <v>46231</v>
      </c>
      <c r="B67" s="1" t="str">
        <f aca="false">IF($B$2="","",IFERROR(INDEX('Employee Master'!$A$2:$A$159,MATCH(ROWS($B$6:B67),Lists!$P$2:$P$159,0)),""))</f>
        <v>EMP-0017</v>
      </c>
      <c r="C67" s="1" t="str">
        <f aca="false">IF($B67="","",IFERROR(INDEX('Employee Master'!$B$2:$B$159,MATCH($B67,'Employee Master'!$A$2:$A$159,0)),""))</f>
        <v>Anthony Fernandez</v>
      </c>
      <c r="D67" s="1" t="str">
        <f aca="false">IF($B67="","",IFERROR(INDEX('Employee Master'!$C$2:$C$159,MATCH($B67,'Employee Master'!$A$2:$A$159,0)),""))</f>
        <v>12:15 PM</v>
      </c>
      <c r="E67" s="1" t="str">
        <f aca="false">IF($B67="","",IFERROR(INDEX('Employee Master'!$I$2:$I$159,MATCH($B67,'Employee Master'!$A$2:$A$159,0)),""))</f>
        <v>PM</v>
      </c>
      <c r="F67" s="29" t="str">
        <f aca="false">IF($B67="","",IFERROR(INDEX('Employee Master'!$E$2:$E$159,MATCH($B67,'Employee Master'!$A$2:$A$159,0)),""))</f>
        <v>N</v>
      </c>
      <c r="G67" s="29" t="str">
        <f aca="false">IF($B67="","",IFERROR(INDEX('Employee Master'!$F$2:$F$159,MATCH($B67,'Employee Master'!$A$2:$A$159,0)),""))</f>
        <v>N</v>
      </c>
      <c r="H67" s="41" t="str">
        <f aca="false">IF($B67="","","Present")</f>
        <v>Present</v>
      </c>
      <c r="I67" s="1" t="str">
        <f aca="false">IF($B67="","",IFERROR(INDEX('Employee Master'!$H$2:$H$159,MATCH($B67,'Employee Master'!$A$2:$A$159,0)),""))</f>
        <v>None</v>
      </c>
      <c r="J67" s="29" t="str">
        <f aca="false">IF($B67="","",IFERROR(INDEX('Qualification Matrix'!$C$2:$C$168,MATCH($B67,'Qualification Matrix'!$A$2:$A$168,0)),2))</f>
        <v>N</v>
      </c>
      <c r="K67" s="29" t="str">
        <f aca="false">IF($B67="","",IFERROR(INDEX('Qualification Matrix'!$D$2:$D$168,MATCH($B67,'Qualification Matrix'!$A$2:$A$168,0)),2))</f>
        <v>N</v>
      </c>
      <c r="L67" s="29" t="str">
        <f aca="false">IF($B67="","",IFERROR(INDEX('Qualification Matrix'!$E$2:$E$168,MATCH($B67,'Qualification Matrix'!$A$2:$A$168,0)),2))</f>
        <v>N</v>
      </c>
      <c r="M67" s="29" t="str">
        <f aca="false">IF($B67="","",IFERROR(INDEX('Qualification Matrix'!$F$2:$F$168,MATCH($B67,'Qualification Matrix'!$A$2:$A$168,0)),2))</f>
        <v>Y</v>
      </c>
      <c r="N67" s="29" t="str">
        <f aca="false">IF($B67="","",IF(AND($H67="Present",$F67&lt;&gt;"Y"),"Y","N"))</f>
        <v>Y</v>
      </c>
      <c r="O67" s="42"/>
      <c r="P67" s="29" t="n">
        <f aca="false">IF($B67="","",IFERROR(INDEX('Qualification Matrix'!$H$2:$H$168,MATCH($B67,'Qualification Matrix'!$A$2:$A$168,0)),""))</f>
        <v>2</v>
      </c>
      <c r="Q67" s="43" t="n">
        <f aca="false">IF($B67="","",SUMIFS('Rotation History'!$M$2:$M$1000,'Rotation History'!$B$2:$B$1000,$B67,'Rotation History'!$A$2:$A$1000,"&gt;="&amp;($B$2-30),'Rotation History'!$A$2:$A$1000,"&lt;"&amp;$B$2))</f>
        <v>0</v>
      </c>
      <c r="R67" s="43" t="n">
        <f aca="false">IF($B67="","",COUNTIFS('Rotation History'!$B$2:$B$1000,$B67,'Rotation History'!$M$2:$M$1000,"&gt;0",'Rotation History'!$A$2:$A$1000,"&gt;="&amp;($B$2-30),'Rotation History'!$A$2:$A$1000,"&lt;"&amp;$B$2))</f>
        <v>0</v>
      </c>
      <c r="S67" s="43" t="n">
        <f aca="false">IF($B67="","",IF(COUNTIFS('Rotation History'!$B$2:$B$1000,$B67,'Rotation History'!$A$2:$A$1000,$B$2-1,'Rotation History'!$M$2:$M$1000,"&gt;0")=0,0,1+IF(COUNTIFS('Rotation History'!$B$2:$B$1000,$B67,'Rotation History'!$A$2:$A$1000,$B$2-2,'Rotation History'!$M$2:$M$1000,"&gt;0")=0,0,1+IF(COUNTIFS('Rotation History'!$B$2:$B$1000,$B67,'Rotation History'!$A$2:$A$1000,$B$2-3,'Rotation History'!$M$2:$M$1000,"&gt;0")=0,0,1+IF(COUNTIFS('Rotation History'!$B$2:$B$1000,$B67,'Rotation History'!$A$2:$A$1000,$B$2-4,'Rotation History'!$M$2:$M$1000,"&gt;0")=0,0,1)))))</f>
        <v>0</v>
      </c>
      <c r="T67" s="43" t="n">
        <f aca="false">IF($B67="","",COUNTIFS('Rotation History'!$B$2:$B$1000,$B67,'Rotation History'!$K$2:$K$1000,"Opening",'Rotation History'!$A$2:$A$1000,"&gt;="&amp;($B$2-30),'Rotation History'!$A$2:$A$1000,"&lt;"&amp;$B$2))</f>
        <v>0</v>
      </c>
      <c r="U67" s="43" t="n">
        <f aca="false">IF($B67="","",COUNTIFS('Rotation History'!$B$2:$B$1000,$B67,'Rotation History'!$K$2:$K$1000,"Lunch Relief",'Rotation History'!$A$2:$A$1000,"&gt;="&amp;($B$2-30),'Rotation History'!$A$2:$A$1000,"&lt;"&amp;$B$2))</f>
        <v>0</v>
      </c>
      <c r="V67" s="44" t="n">
        <f aca="false">IF($B67="","",$Q67*10+$R67*2+$S67*20+$T67*3+$U67)</f>
        <v>0</v>
      </c>
    </row>
    <row r="68" customFormat="false" ht="14.25" hidden="false" customHeight="true" outlineLevel="0" collapsed="false">
      <c r="A68" s="40" t="n">
        <f aca="false">IF($B68="","",$B$2)</f>
        <v>46231</v>
      </c>
      <c r="B68" s="1" t="str">
        <f aca="false">IF($B$2="","",IFERROR(INDEX('Employee Master'!$A$2:$A$159,MATCH(ROWS($B$6:B68),Lists!$P$2:$P$159,0)),""))</f>
        <v>EMP-0031</v>
      </c>
      <c r="C68" s="1" t="str">
        <f aca="false">IF($B68="","",IFERROR(INDEX('Employee Master'!$B$2:$B$159,MATCH($B68,'Employee Master'!$A$2:$A$159,0)),""))</f>
        <v>Brittney Quave</v>
      </c>
      <c r="D68" s="1" t="str">
        <f aca="false">IF($B68="","",IFERROR(INDEX('Employee Master'!$C$2:$C$159,MATCH($B68,'Employee Master'!$A$2:$A$159,0)),""))</f>
        <v>12:15 PM</v>
      </c>
      <c r="E68" s="1" t="str">
        <f aca="false">IF($B68="","",IFERROR(INDEX('Employee Master'!$I$2:$I$159,MATCH($B68,'Employee Master'!$A$2:$A$159,0)),""))</f>
        <v>PM</v>
      </c>
      <c r="F68" s="29" t="str">
        <f aca="false">IF($B68="","",IFERROR(INDEX('Employee Master'!$E$2:$E$159,MATCH($B68,'Employee Master'!$A$2:$A$159,0)),""))</f>
        <v>N</v>
      </c>
      <c r="G68" s="29" t="str">
        <f aca="false">IF($B68="","",IFERROR(INDEX('Employee Master'!$F$2:$F$159,MATCH($B68,'Employee Master'!$A$2:$A$159,0)),""))</f>
        <v>N</v>
      </c>
      <c r="H68" s="41" t="str">
        <f aca="false">IF($B68="","","Present")</f>
        <v>Present</v>
      </c>
      <c r="I68" s="1" t="str">
        <f aca="false">IF($B68="","",IFERROR(INDEX('Employee Master'!$H$2:$H$159,MATCH($B68,'Employee Master'!$A$2:$A$159,0)),""))</f>
        <v>None</v>
      </c>
      <c r="J68" s="29" t="str">
        <f aca="false">IF($B68="","",IFERROR(INDEX('Qualification Matrix'!$C$2:$C$168,MATCH($B68,'Qualification Matrix'!$A$2:$A$168,0)),2))</f>
        <v>N</v>
      </c>
      <c r="K68" s="29" t="str">
        <f aca="false">IF($B68="","",IFERROR(INDEX('Qualification Matrix'!$D$2:$D$168,MATCH($B68,'Qualification Matrix'!$A$2:$A$168,0)),2))</f>
        <v>N</v>
      </c>
      <c r="L68" s="29" t="str">
        <f aca="false">IF($B68="","",IFERROR(INDEX('Qualification Matrix'!$E$2:$E$168,MATCH($B68,'Qualification Matrix'!$A$2:$A$168,0)),2))</f>
        <v>N</v>
      </c>
      <c r="M68" s="29" t="str">
        <f aca="false">IF($B68="","",IFERROR(INDEX('Qualification Matrix'!$F$2:$F$168,MATCH($B68,'Qualification Matrix'!$A$2:$A$168,0)),2))</f>
        <v>Y</v>
      </c>
      <c r="N68" s="29" t="str">
        <f aca="false">IF($B68="","",IF(AND($H68="Present",$F68&lt;&gt;"Y"),"Y","N"))</f>
        <v>Y</v>
      </c>
      <c r="O68" s="42"/>
      <c r="P68" s="29" t="n">
        <f aca="false">IF($B68="","",IFERROR(INDEX('Qualification Matrix'!$H$2:$H$168,MATCH($B68,'Qualification Matrix'!$A$2:$A$168,0)),""))</f>
        <v>2</v>
      </c>
      <c r="Q68" s="43" t="n">
        <f aca="false">IF($B68="","",SUMIFS('Rotation History'!$M$2:$M$1000,'Rotation History'!$B$2:$B$1000,$B68,'Rotation History'!$A$2:$A$1000,"&gt;="&amp;($B$2-30),'Rotation History'!$A$2:$A$1000,"&lt;"&amp;$B$2))</f>
        <v>0</v>
      </c>
      <c r="R68" s="43" t="n">
        <f aca="false">IF($B68="","",COUNTIFS('Rotation History'!$B$2:$B$1000,$B68,'Rotation History'!$M$2:$M$1000,"&gt;0",'Rotation History'!$A$2:$A$1000,"&gt;="&amp;($B$2-30),'Rotation History'!$A$2:$A$1000,"&lt;"&amp;$B$2))</f>
        <v>0</v>
      </c>
      <c r="S68" s="43" t="n">
        <f aca="false">IF($B68="","",IF(COUNTIFS('Rotation History'!$B$2:$B$1000,$B68,'Rotation History'!$A$2:$A$1000,$B$2-1,'Rotation History'!$M$2:$M$1000,"&gt;0")=0,0,1+IF(COUNTIFS('Rotation History'!$B$2:$B$1000,$B68,'Rotation History'!$A$2:$A$1000,$B$2-2,'Rotation History'!$M$2:$M$1000,"&gt;0")=0,0,1+IF(COUNTIFS('Rotation History'!$B$2:$B$1000,$B68,'Rotation History'!$A$2:$A$1000,$B$2-3,'Rotation History'!$M$2:$M$1000,"&gt;0")=0,0,1+IF(COUNTIFS('Rotation History'!$B$2:$B$1000,$B68,'Rotation History'!$A$2:$A$1000,$B$2-4,'Rotation History'!$M$2:$M$1000,"&gt;0")=0,0,1)))))</f>
        <v>0</v>
      </c>
      <c r="T68" s="43" t="n">
        <f aca="false">IF($B68="","",COUNTIFS('Rotation History'!$B$2:$B$1000,$B68,'Rotation History'!$K$2:$K$1000,"Opening",'Rotation History'!$A$2:$A$1000,"&gt;="&amp;($B$2-30),'Rotation History'!$A$2:$A$1000,"&lt;"&amp;$B$2))</f>
        <v>0</v>
      </c>
      <c r="U68" s="43" t="n">
        <f aca="false">IF($B68="","",COUNTIFS('Rotation History'!$B$2:$B$1000,$B68,'Rotation History'!$K$2:$K$1000,"Lunch Relief",'Rotation History'!$A$2:$A$1000,"&gt;="&amp;($B$2-30),'Rotation History'!$A$2:$A$1000,"&lt;"&amp;$B$2))</f>
        <v>0</v>
      </c>
      <c r="V68" s="44" t="n">
        <f aca="false">IF($B68="","",$Q68*10+$R68*2+$S68*20+$T68*3+$U68)</f>
        <v>0</v>
      </c>
    </row>
    <row r="69" customFormat="false" ht="14.25" hidden="false" customHeight="true" outlineLevel="0" collapsed="false">
      <c r="A69" s="40" t="n">
        <f aca="false">IF($B69="","",$B$2)</f>
        <v>46231</v>
      </c>
      <c r="B69" s="1" t="str">
        <f aca="false">IF($B$2="","",IFERROR(INDEX('Employee Master'!$A$2:$A$159,MATCH(ROWS($B$6:B69),Lists!$P$2:$P$159,0)),""))</f>
        <v>EMP-0034</v>
      </c>
      <c r="C69" s="1" t="str">
        <f aca="false">IF($B69="","",IFERROR(INDEX('Employee Master'!$B$2:$B$159,MATCH($B69,'Employee Master'!$A$2:$A$159,0)),""))</f>
        <v>Carrie Weaver</v>
      </c>
      <c r="D69" s="1" t="str">
        <f aca="false">IF($B69="","",IFERROR(INDEX('Employee Master'!$C$2:$C$159,MATCH($B69,'Employee Master'!$A$2:$A$159,0)),""))</f>
        <v>12:15 PM</v>
      </c>
      <c r="E69" s="1" t="str">
        <f aca="false">IF($B69="","",IFERROR(INDEX('Employee Master'!$I$2:$I$159,MATCH($B69,'Employee Master'!$A$2:$A$159,0)),""))</f>
        <v>PM</v>
      </c>
      <c r="F69" s="29" t="str">
        <f aca="false">IF($B69="","",IFERROR(INDEX('Employee Master'!$E$2:$E$159,MATCH($B69,'Employee Master'!$A$2:$A$159,0)),""))</f>
        <v>N</v>
      </c>
      <c r="G69" s="29" t="str">
        <f aca="false">IF($B69="","",IFERROR(INDEX('Employee Master'!$F$2:$F$159,MATCH($B69,'Employee Master'!$A$2:$A$159,0)),""))</f>
        <v>N</v>
      </c>
      <c r="H69" s="41" t="str">
        <f aca="false">IF($B69="","","Present")</f>
        <v>Present</v>
      </c>
      <c r="I69" s="1" t="str">
        <f aca="false">IF($B69="","",IFERROR(INDEX('Employee Master'!$H$2:$H$159,MATCH($B69,'Employee Master'!$A$2:$A$159,0)),""))</f>
        <v>None</v>
      </c>
      <c r="J69" s="29" t="str">
        <f aca="false">IF($B69="","",IFERROR(INDEX('Qualification Matrix'!$C$2:$C$168,MATCH($B69,'Qualification Matrix'!$A$2:$A$168,0)),2))</f>
        <v>N</v>
      </c>
      <c r="K69" s="29" t="str">
        <f aca="false">IF($B69="","",IFERROR(INDEX('Qualification Matrix'!$D$2:$D$168,MATCH($B69,'Qualification Matrix'!$A$2:$A$168,0)),2))</f>
        <v>N</v>
      </c>
      <c r="L69" s="29" t="str">
        <f aca="false">IF($B69="","",IFERROR(INDEX('Qualification Matrix'!$E$2:$E$168,MATCH($B69,'Qualification Matrix'!$A$2:$A$168,0)),2))</f>
        <v>N</v>
      </c>
      <c r="M69" s="29" t="str">
        <f aca="false">IF($B69="","",IFERROR(INDEX('Qualification Matrix'!$F$2:$F$168,MATCH($B69,'Qualification Matrix'!$A$2:$A$168,0)),2))</f>
        <v>Y</v>
      </c>
      <c r="N69" s="29" t="str">
        <f aca="false">IF($B69="","",IF(AND($H69="Present",$F69&lt;&gt;"Y"),"Y","N"))</f>
        <v>Y</v>
      </c>
      <c r="O69" s="42"/>
      <c r="P69" s="29" t="n">
        <f aca="false">IF($B69="","",IFERROR(INDEX('Qualification Matrix'!$H$2:$H$168,MATCH($B69,'Qualification Matrix'!$A$2:$A$168,0)),""))</f>
        <v>2</v>
      </c>
      <c r="Q69" s="43" t="n">
        <f aca="false">IF($B69="","",SUMIFS('Rotation History'!$M$2:$M$1000,'Rotation History'!$B$2:$B$1000,$B69,'Rotation History'!$A$2:$A$1000,"&gt;="&amp;($B$2-30),'Rotation History'!$A$2:$A$1000,"&lt;"&amp;$B$2))</f>
        <v>0</v>
      </c>
      <c r="R69" s="43" t="n">
        <f aca="false">IF($B69="","",COUNTIFS('Rotation History'!$B$2:$B$1000,$B69,'Rotation History'!$M$2:$M$1000,"&gt;0",'Rotation History'!$A$2:$A$1000,"&gt;="&amp;($B$2-30),'Rotation History'!$A$2:$A$1000,"&lt;"&amp;$B$2))</f>
        <v>0</v>
      </c>
      <c r="S69" s="43" t="n">
        <f aca="false">IF($B69="","",IF(COUNTIFS('Rotation History'!$B$2:$B$1000,$B69,'Rotation History'!$A$2:$A$1000,$B$2-1,'Rotation History'!$M$2:$M$1000,"&gt;0")=0,0,1+IF(COUNTIFS('Rotation History'!$B$2:$B$1000,$B69,'Rotation History'!$A$2:$A$1000,$B$2-2,'Rotation History'!$M$2:$M$1000,"&gt;0")=0,0,1+IF(COUNTIFS('Rotation History'!$B$2:$B$1000,$B69,'Rotation History'!$A$2:$A$1000,$B$2-3,'Rotation History'!$M$2:$M$1000,"&gt;0")=0,0,1+IF(COUNTIFS('Rotation History'!$B$2:$B$1000,$B69,'Rotation History'!$A$2:$A$1000,$B$2-4,'Rotation History'!$M$2:$M$1000,"&gt;0")=0,0,1)))))</f>
        <v>0</v>
      </c>
      <c r="T69" s="43" t="n">
        <f aca="false">IF($B69="","",COUNTIFS('Rotation History'!$B$2:$B$1000,$B69,'Rotation History'!$K$2:$K$1000,"Opening",'Rotation History'!$A$2:$A$1000,"&gt;="&amp;($B$2-30),'Rotation History'!$A$2:$A$1000,"&lt;"&amp;$B$2))</f>
        <v>0</v>
      </c>
      <c r="U69" s="43" t="n">
        <f aca="false">IF($B69="","",COUNTIFS('Rotation History'!$B$2:$B$1000,$B69,'Rotation History'!$K$2:$K$1000,"Lunch Relief",'Rotation History'!$A$2:$A$1000,"&gt;="&amp;($B$2-30),'Rotation History'!$A$2:$A$1000,"&lt;"&amp;$B$2))</f>
        <v>0</v>
      </c>
      <c r="V69" s="44" t="n">
        <f aca="false">IF($B69="","",$Q69*10+$R69*2+$S69*20+$T69*3+$U69)</f>
        <v>0</v>
      </c>
    </row>
    <row r="70" customFormat="false" ht="14.25" hidden="false" customHeight="true" outlineLevel="0" collapsed="false">
      <c r="A70" s="40" t="n">
        <f aca="false">IF($B70="","",$B$2)</f>
        <v>46231</v>
      </c>
      <c r="B70" s="1" t="str">
        <f aca="false">IF($B$2="","",IFERROR(INDEX('Employee Master'!$A$2:$A$159,MATCH(ROWS($B$6:B70),Lists!$P$2:$P$159,0)),""))</f>
        <v>EMP-0037</v>
      </c>
      <c r="C70" s="1" t="str">
        <f aca="false">IF($B70="","",IFERROR(INDEX('Employee Master'!$B$2:$B$159,MATCH($B70,'Employee Master'!$A$2:$A$159,0)),""))</f>
        <v>Chiedu Memeh</v>
      </c>
      <c r="D70" s="1" t="str">
        <f aca="false">IF($B70="","",IFERROR(INDEX('Employee Master'!$C$2:$C$159,MATCH($B70,'Employee Master'!$A$2:$A$159,0)),""))</f>
        <v>12:15 PM</v>
      </c>
      <c r="E70" s="1" t="str">
        <f aca="false">IF($B70="","",IFERROR(INDEX('Employee Master'!$I$2:$I$159,MATCH($B70,'Employee Master'!$A$2:$A$159,0)),""))</f>
        <v>PM</v>
      </c>
      <c r="F70" s="29" t="str">
        <f aca="false">IF($B70="","",IFERROR(INDEX('Employee Master'!$E$2:$E$159,MATCH($B70,'Employee Master'!$A$2:$A$159,0)),""))</f>
        <v>N</v>
      </c>
      <c r="G70" s="29" t="str">
        <f aca="false">IF($B70="","",IFERROR(INDEX('Employee Master'!$F$2:$F$159,MATCH($B70,'Employee Master'!$A$2:$A$159,0)),""))</f>
        <v>N</v>
      </c>
      <c r="H70" s="41" t="str">
        <f aca="false">IF($B70="","","Present")</f>
        <v>Present</v>
      </c>
      <c r="I70" s="1" t="str">
        <f aca="false">IF($B70="","",IFERROR(INDEX('Employee Master'!$H$2:$H$159,MATCH($B70,'Employee Master'!$A$2:$A$159,0)),""))</f>
        <v>None</v>
      </c>
      <c r="J70" s="29" t="str">
        <f aca="false">IF($B70="","",IFERROR(INDEX('Qualification Matrix'!$C$2:$C$168,MATCH($B70,'Qualification Matrix'!$A$2:$A$168,0)),2))</f>
        <v>N</v>
      </c>
      <c r="K70" s="29" t="str">
        <f aca="false">IF($B70="","",IFERROR(INDEX('Qualification Matrix'!$D$2:$D$168,MATCH($B70,'Qualification Matrix'!$A$2:$A$168,0)),2))</f>
        <v>N</v>
      </c>
      <c r="L70" s="29" t="str">
        <f aca="false">IF($B70="","",IFERROR(INDEX('Qualification Matrix'!$E$2:$E$168,MATCH($B70,'Qualification Matrix'!$A$2:$A$168,0)),2))</f>
        <v>N</v>
      </c>
      <c r="M70" s="29" t="str">
        <f aca="false">IF($B70="","",IFERROR(INDEX('Qualification Matrix'!$F$2:$F$168,MATCH($B70,'Qualification Matrix'!$A$2:$A$168,0)),2))</f>
        <v>Y</v>
      </c>
      <c r="N70" s="29" t="str">
        <f aca="false">IF($B70="","",IF(AND($H70="Present",$F70&lt;&gt;"Y"),"Y","N"))</f>
        <v>Y</v>
      </c>
      <c r="O70" s="42"/>
      <c r="P70" s="29" t="n">
        <f aca="false">IF($B70="","",IFERROR(INDEX('Qualification Matrix'!$H$2:$H$168,MATCH($B70,'Qualification Matrix'!$A$2:$A$168,0)),""))</f>
        <v>2</v>
      </c>
      <c r="Q70" s="43" t="n">
        <f aca="false">IF($B70="","",SUMIFS('Rotation History'!$M$2:$M$1000,'Rotation History'!$B$2:$B$1000,$B70,'Rotation History'!$A$2:$A$1000,"&gt;="&amp;($B$2-30),'Rotation History'!$A$2:$A$1000,"&lt;"&amp;$B$2))</f>
        <v>0</v>
      </c>
      <c r="R70" s="43" t="n">
        <f aca="false">IF($B70="","",COUNTIFS('Rotation History'!$B$2:$B$1000,$B70,'Rotation History'!$M$2:$M$1000,"&gt;0",'Rotation History'!$A$2:$A$1000,"&gt;="&amp;($B$2-30),'Rotation History'!$A$2:$A$1000,"&lt;"&amp;$B$2))</f>
        <v>0</v>
      </c>
      <c r="S70" s="43" t="n">
        <f aca="false">IF($B70="","",IF(COUNTIFS('Rotation History'!$B$2:$B$1000,$B70,'Rotation History'!$A$2:$A$1000,$B$2-1,'Rotation History'!$M$2:$M$1000,"&gt;0")=0,0,1+IF(COUNTIFS('Rotation History'!$B$2:$B$1000,$B70,'Rotation History'!$A$2:$A$1000,$B$2-2,'Rotation History'!$M$2:$M$1000,"&gt;0")=0,0,1+IF(COUNTIFS('Rotation History'!$B$2:$B$1000,$B70,'Rotation History'!$A$2:$A$1000,$B$2-3,'Rotation History'!$M$2:$M$1000,"&gt;0")=0,0,1+IF(COUNTIFS('Rotation History'!$B$2:$B$1000,$B70,'Rotation History'!$A$2:$A$1000,$B$2-4,'Rotation History'!$M$2:$M$1000,"&gt;0")=0,0,1)))))</f>
        <v>0</v>
      </c>
      <c r="T70" s="43" t="n">
        <f aca="false">IF($B70="","",COUNTIFS('Rotation History'!$B$2:$B$1000,$B70,'Rotation History'!$K$2:$K$1000,"Opening",'Rotation History'!$A$2:$A$1000,"&gt;="&amp;($B$2-30),'Rotation History'!$A$2:$A$1000,"&lt;"&amp;$B$2))</f>
        <v>0</v>
      </c>
      <c r="U70" s="43" t="n">
        <f aca="false">IF($B70="","",COUNTIFS('Rotation History'!$B$2:$B$1000,$B70,'Rotation History'!$K$2:$K$1000,"Lunch Relief",'Rotation History'!$A$2:$A$1000,"&gt;="&amp;($B$2-30),'Rotation History'!$A$2:$A$1000,"&lt;"&amp;$B$2))</f>
        <v>0</v>
      </c>
      <c r="V70" s="44" t="n">
        <f aca="false">IF($B70="","",$Q70*10+$R70*2+$S70*20+$T70*3+$U70)</f>
        <v>0</v>
      </c>
    </row>
    <row r="71" customFormat="false" ht="14.25" hidden="false" customHeight="true" outlineLevel="0" collapsed="false">
      <c r="A71" s="40" t="n">
        <f aca="false">IF($B71="","",$B$2)</f>
        <v>46231</v>
      </c>
      <c r="B71" s="1" t="str">
        <f aca="false">IF($B$2="","",IFERROR(INDEX('Employee Master'!$A$2:$A$159,MATCH(ROWS($B$6:B71),Lists!$P$2:$P$159,0)),""))</f>
        <v>EMP-0045</v>
      </c>
      <c r="C71" s="1" t="str">
        <f aca="false">IF($B71="","",IFERROR(INDEX('Employee Master'!$B$2:$B$159,MATCH($B71,'Employee Master'!$A$2:$A$159,0)),""))</f>
        <v>Darrius Dunlap</v>
      </c>
      <c r="D71" s="1" t="str">
        <f aca="false">IF($B71="","",IFERROR(INDEX('Employee Master'!$C$2:$C$159,MATCH($B71,'Employee Master'!$A$2:$A$159,0)),""))</f>
        <v>12:15 PM</v>
      </c>
      <c r="E71" s="1" t="str">
        <f aca="false">IF($B71="","",IFERROR(INDEX('Employee Master'!$I$2:$I$159,MATCH($B71,'Employee Master'!$A$2:$A$159,0)),""))</f>
        <v>PM</v>
      </c>
      <c r="F71" s="29" t="str">
        <f aca="false">IF($B71="","",IFERROR(INDEX('Employee Master'!$E$2:$E$159,MATCH($B71,'Employee Master'!$A$2:$A$159,0)),""))</f>
        <v>N</v>
      </c>
      <c r="G71" s="29" t="str">
        <f aca="false">IF($B71="","",IFERROR(INDEX('Employee Master'!$F$2:$F$159,MATCH($B71,'Employee Master'!$A$2:$A$159,0)),""))</f>
        <v>N</v>
      </c>
      <c r="H71" s="41" t="str">
        <f aca="false">IF($B71="","","Present")</f>
        <v>Present</v>
      </c>
      <c r="I71" s="1" t="str">
        <f aca="false">IF($B71="","",IFERROR(INDEX('Employee Master'!$H$2:$H$159,MATCH($B71,'Employee Master'!$A$2:$A$159,0)),""))</f>
        <v>None</v>
      </c>
      <c r="J71" s="29" t="str">
        <f aca="false">IF($B71="","",IFERROR(INDEX('Qualification Matrix'!$C$2:$C$168,MATCH($B71,'Qualification Matrix'!$A$2:$A$168,0)),2))</f>
        <v>N</v>
      </c>
      <c r="K71" s="29" t="str">
        <f aca="false">IF($B71="","",IFERROR(INDEX('Qualification Matrix'!$D$2:$D$168,MATCH($B71,'Qualification Matrix'!$A$2:$A$168,0)),2))</f>
        <v>N</v>
      </c>
      <c r="L71" s="29" t="str">
        <f aca="false">IF($B71="","",IFERROR(INDEX('Qualification Matrix'!$E$2:$E$168,MATCH($B71,'Qualification Matrix'!$A$2:$A$168,0)),2))</f>
        <v>N</v>
      </c>
      <c r="M71" s="29" t="str">
        <f aca="false">IF($B71="","",IFERROR(INDEX('Qualification Matrix'!$F$2:$F$168,MATCH($B71,'Qualification Matrix'!$A$2:$A$168,0)),2))</f>
        <v>Y</v>
      </c>
      <c r="N71" s="29" t="str">
        <f aca="false">IF($B71="","",IF(AND($H71="Present",$F71&lt;&gt;"Y"),"Y","N"))</f>
        <v>Y</v>
      </c>
      <c r="O71" s="42"/>
      <c r="P71" s="29" t="n">
        <f aca="false">IF($B71="","",IFERROR(INDEX('Qualification Matrix'!$H$2:$H$168,MATCH($B71,'Qualification Matrix'!$A$2:$A$168,0)),""))</f>
        <v>2</v>
      </c>
      <c r="Q71" s="43" t="n">
        <f aca="false">IF($B71="","",SUMIFS('Rotation History'!$M$2:$M$1000,'Rotation History'!$B$2:$B$1000,$B71,'Rotation History'!$A$2:$A$1000,"&gt;="&amp;($B$2-30),'Rotation History'!$A$2:$A$1000,"&lt;"&amp;$B$2))</f>
        <v>0</v>
      </c>
      <c r="R71" s="43" t="n">
        <f aca="false">IF($B71="","",COUNTIFS('Rotation History'!$B$2:$B$1000,$B71,'Rotation History'!$M$2:$M$1000,"&gt;0",'Rotation History'!$A$2:$A$1000,"&gt;="&amp;($B$2-30),'Rotation History'!$A$2:$A$1000,"&lt;"&amp;$B$2))</f>
        <v>0</v>
      </c>
      <c r="S71" s="43" t="n">
        <f aca="false">IF($B71="","",IF(COUNTIFS('Rotation History'!$B$2:$B$1000,$B71,'Rotation History'!$A$2:$A$1000,$B$2-1,'Rotation History'!$M$2:$M$1000,"&gt;0")=0,0,1+IF(COUNTIFS('Rotation History'!$B$2:$B$1000,$B71,'Rotation History'!$A$2:$A$1000,$B$2-2,'Rotation History'!$M$2:$M$1000,"&gt;0")=0,0,1+IF(COUNTIFS('Rotation History'!$B$2:$B$1000,$B71,'Rotation History'!$A$2:$A$1000,$B$2-3,'Rotation History'!$M$2:$M$1000,"&gt;0")=0,0,1+IF(COUNTIFS('Rotation History'!$B$2:$B$1000,$B71,'Rotation History'!$A$2:$A$1000,$B$2-4,'Rotation History'!$M$2:$M$1000,"&gt;0")=0,0,1)))))</f>
        <v>0</v>
      </c>
      <c r="T71" s="43" t="n">
        <f aca="false">IF($B71="","",COUNTIFS('Rotation History'!$B$2:$B$1000,$B71,'Rotation History'!$K$2:$K$1000,"Opening",'Rotation History'!$A$2:$A$1000,"&gt;="&amp;($B$2-30),'Rotation History'!$A$2:$A$1000,"&lt;"&amp;$B$2))</f>
        <v>0</v>
      </c>
      <c r="U71" s="43" t="n">
        <f aca="false">IF($B71="","",COUNTIFS('Rotation History'!$B$2:$B$1000,$B71,'Rotation History'!$K$2:$K$1000,"Lunch Relief",'Rotation History'!$A$2:$A$1000,"&gt;="&amp;($B$2-30),'Rotation History'!$A$2:$A$1000,"&lt;"&amp;$B$2))</f>
        <v>0</v>
      </c>
      <c r="V71" s="44" t="n">
        <f aca="false">IF($B71="","",$Q71*10+$R71*2+$S71*20+$T71*3+$U71)</f>
        <v>0</v>
      </c>
    </row>
    <row r="72" customFormat="false" ht="14.25" hidden="false" customHeight="true" outlineLevel="0" collapsed="false">
      <c r="A72" s="40" t="n">
        <f aca="false">IF($B72="","",$B$2)</f>
        <v>46231</v>
      </c>
      <c r="B72" s="1" t="str">
        <f aca="false">IF($B$2="","",IFERROR(INDEX('Employee Master'!$A$2:$A$159,MATCH(ROWS($B$6:B72),Lists!$P$2:$P$159,0)),""))</f>
        <v>EMP-0046</v>
      </c>
      <c r="C72" s="1" t="str">
        <f aca="false">IF($B72="","",IFERROR(INDEX('Employee Master'!$B$2:$B$159,MATCH($B72,'Employee Master'!$A$2:$A$159,0)),""))</f>
        <v>David Holloman</v>
      </c>
      <c r="D72" s="1" t="str">
        <f aca="false">IF($B72="","",IFERROR(INDEX('Employee Master'!$C$2:$C$159,MATCH($B72,'Employee Master'!$A$2:$A$159,0)),""))</f>
        <v>12:15 PM</v>
      </c>
      <c r="E72" s="1" t="str">
        <f aca="false">IF($B72="","",IFERROR(INDEX('Employee Master'!$I$2:$I$159,MATCH($B72,'Employee Master'!$A$2:$A$159,0)),""))</f>
        <v>PM</v>
      </c>
      <c r="F72" s="29" t="str">
        <f aca="false">IF($B72="","",IFERROR(INDEX('Employee Master'!$E$2:$E$159,MATCH($B72,'Employee Master'!$A$2:$A$159,0)),""))</f>
        <v>N</v>
      </c>
      <c r="G72" s="29" t="str">
        <f aca="false">IF($B72="","",IFERROR(INDEX('Employee Master'!$F$2:$F$159,MATCH($B72,'Employee Master'!$A$2:$A$159,0)),""))</f>
        <v>N</v>
      </c>
      <c r="H72" s="41" t="str">
        <f aca="false">IF($B72="","","Present")</f>
        <v>Present</v>
      </c>
      <c r="I72" s="1" t="str">
        <f aca="false">IF($B72="","",IFERROR(INDEX('Employee Master'!$H$2:$H$159,MATCH($B72,'Employee Master'!$A$2:$A$159,0)),""))</f>
        <v>None</v>
      </c>
      <c r="J72" s="29" t="str">
        <f aca="false">IF($B72="","",IFERROR(INDEX('Qualification Matrix'!$C$2:$C$168,MATCH($B72,'Qualification Matrix'!$A$2:$A$168,0)),2))</f>
        <v>N</v>
      </c>
      <c r="K72" s="29" t="str">
        <f aca="false">IF($B72="","",IFERROR(INDEX('Qualification Matrix'!$D$2:$D$168,MATCH($B72,'Qualification Matrix'!$A$2:$A$168,0)),2))</f>
        <v>N</v>
      </c>
      <c r="L72" s="29" t="str">
        <f aca="false">IF($B72="","",IFERROR(INDEX('Qualification Matrix'!$E$2:$E$168,MATCH($B72,'Qualification Matrix'!$A$2:$A$168,0)),2))</f>
        <v>N</v>
      </c>
      <c r="M72" s="29" t="str">
        <f aca="false">IF($B72="","",IFERROR(INDEX('Qualification Matrix'!$F$2:$F$168,MATCH($B72,'Qualification Matrix'!$A$2:$A$168,0)),2))</f>
        <v>Y</v>
      </c>
      <c r="N72" s="29" t="str">
        <f aca="false">IF($B72="","",IF(AND($H72="Present",$F72&lt;&gt;"Y"),"Y","N"))</f>
        <v>Y</v>
      </c>
      <c r="O72" s="42"/>
      <c r="P72" s="29" t="n">
        <f aca="false">IF($B72="","",IFERROR(INDEX('Qualification Matrix'!$H$2:$H$168,MATCH($B72,'Qualification Matrix'!$A$2:$A$168,0)),""))</f>
        <v>2</v>
      </c>
      <c r="Q72" s="43" t="n">
        <f aca="false">IF($B72="","",SUMIFS('Rotation History'!$M$2:$M$1000,'Rotation History'!$B$2:$B$1000,$B72,'Rotation History'!$A$2:$A$1000,"&gt;="&amp;($B$2-30),'Rotation History'!$A$2:$A$1000,"&lt;"&amp;$B$2))</f>
        <v>0</v>
      </c>
      <c r="R72" s="43" t="n">
        <f aca="false">IF($B72="","",COUNTIFS('Rotation History'!$B$2:$B$1000,$B72,'Rotation History'!$M$2:$M$1000,"&gt;0",'Rotation History'!$A$2:$A$1000,"&gt;="&amp;($B$2-30),'Rotation History'!$A$2:$A$1000,"&lt;"&amp;$B$2))</f>
        <v>0</v>
      </c>
      <c r="S72" s="43" t="n">
        <f aca="false">IF($B72="","",IF(COUNTIFS('Rotation History'!$B$2:$B$1000,$B72,'Rotation History'!$A$2:$A$1000,$B$2-1,'Rotation History'!$M$2:$M$1000,"&gt;0")=0,0,1+IF(COUNTIFS('Rotation History'!$B$2:$B$1000,$B72,'Rotation History'!$A$2:$A$1000,$B$2-2,'Rotation History'!$M$2:$M$1000,"&gt;0")=0,0,1+IF(COUNTIFS('Rotation History'!$B$2:$B$1000,$B72,'Rotation History'!$A$2:$A$1000,$B$2-3,'Rotation History'!$M$2:$M$1000,"&gt;0")=0,0,1+IF(COUNTIFS('Rotation History'!$B$2:$B$1000,$B72,'Rotation History'!$A$2:$A$1000,$B$2-4,'Rotation History'!$M$2:$M$1000,"&gt;0")=0,0,1)))))</f>
        <v>0</v>
      </c>
      <c r="T72" s="43" t="n">
        <f aca="false">IF($B72="","",COUNTIFS('Rotation History'!$B$2:$B$1000,$B72,'Rotation History'!$K$2:$K$1000,"Opening",'Rotation History'!$A$2:$A$1000,"&gt;="&amp;($B$2-30),'Rotation History'!$A$2:$A$1000,"&lt;"&amp;$B$2))</f>
        <v>0</v>
      </c>
      <c r="U72" s="43" t="n">
        <f aca="false">IF($B72="","",COUNTIFS('Rotation History'!$B$2:$B$1000,$B72,'Rotation History'!$K$2:$K$1000,"Lunch Relief",'Rotation History'!$A$2:$A$1000,"&gt;="&amp;($B$2-30),'Rotation History'!$A$2:$A$1000,"&lt;"&amp;$B$2))</f>
        <v>0</v>
      </c>
      <c r="V72" s="44" t="n">
        <f aca="false">IF($B72="","",$Q72*10+$R72*2+$S72*20+$T72*3+$U72)</f>
        <v>0</v>
      </c>
    </row>
    <row r="73" customFormat="false" ht="14.25" hidden="false" customHeight="true" outlineLevel="0" collapsed="false">
      <c r="A73" s="40" t="n">
        <f aca="false">IF($B73="","",$B$2)</f>
        <v>46231</v>
      </c>
      <c r="B73" s="1" t="str">
        <f aca="false">IF($B$2="","",IFERROR(INDEX('Employee Master'!$A$2:$A$159,MATCH(ROWS($B$6:B73),Lists!$P$2:$P$159,0)),""))</f>
        <v>EMP-0055</v>
      </c>
      <c r="C73" s="1" t="str">
        <f aca="false">IF($B73="","",IFERROR(INDEX('Employee Master'!$B$2:$B$159,MATCH($B73,'Employee Master'!$A$2:$A$159,0)),""))</f>
        <v>Duntavia Sensley</v>
      </c>
      <c r="D73" s="1" t="str">
        <f aca="false">IF($B73="","",IFERROR(INDEX('Employee Master'!$C$2:$C$159,MATCH($B73,'Employee Master'!$A$2:$A$159,0)),""))</f>
        <v>12:15 PM</v>
      </c>
      <c r="E73" s="1" t="str">
        <f aca="false">IF($B73="","",IFERROR(INDEX('Employee Master'!$I$2:$I$159,MATCH($B73,'Employee Master'!$A$2:$A$159,0)),""))</f>
        <v>PM</v>
      </c>
      <c r="F73" s="29" t="str">
        <f aca="false">IF($B73="","",IFERROR(INDEX('Employee Master'!$E$2:$E$159,MATCH($B73,'Employee Master'!$A$2:$A$159,0)),""))</f>
        <v>N</v>
      </c>
      <c r="G73" s="29" t="str">
        <f aca="false">IF($B73="","",IFERROR(INDEX('Employee Master'!$F$2:$F$159,MATCH($B73,'Employee Master'!$A$2:$A$159,0)),""))</f>
        <v>N</v>
      </c>
      <c r="H73" s="41" t="str">
        <f aca="false">IF($B73="","","Present")</f>
        <v>Present</v>
      </c>
      <c r="I73" s="1" t="str">
        <f aca="false">IF($B73="","",IFERROR(INDEX('Employee Master'!$H$2:$H$159,MATCH($B73,'Employee Master'!$A$2:$A$159,0)),""))</f>
        <v>None</v>
      </c>
      <c r="J73" s="29" t="str">
        <f aca="false">IF($B73="","",IFERROR(INDEX('Qualification Matrix'!$C$2:$C$168,MATCH($B73,'Qualification Matrix'!$A$2:$A$168,0)),2))</f>
        <v>N</v>
      </c>
      <c r="K73" s="29" t="str">
        <f aca="false">IF($B73="","",IFERROR(INDEX('Qualification Matrix'!$D$2:$D$168,MATCH($B73,'Qualification Matrix'!$A$2:$A$168,0)),2))</f>
        <v>N</v>
      </c>
      <c r="L73" s="29" t="str">
        <f aca="false">IF($B73="","",IFERROR(INDEX('Qualification Matrix'!$E$2:$E$168,MATCH($B73,'Qualification Matrix'!$A$2:$A$168,0)),2))</f>
        <v>N</v>
      </c>
      <c r="M73" s="29" t="str">
        <f aca="false">IF($B73="","",IFERROR(INDEX('Qualification Matrix'!$F$2:$F$168,MATCH($B73,'Qualification Matrix'!$A$2:$A$168,0)),2))</f>
        <v>Y</v>
      </c>
      <c r="N73" s="29" t="str">
        <f aca="false">IF($B73="","",IF(AND($H73="Present",$F73&lt;&gt;"Y"),"Y","N"))</f>
        <v>Y</v>
      </c>
      <c r="O73" s="42"/>
      <c r="P73" s="29" t="n">
        <f aca="false">IF($B73="","",IFERROR(INDEX('Qualification Matrix'!$H$2:$H$168,MATCH($B73,'Qualification Matrix'!$A$2:$A$168,0)),""))</f>
        <v>2</v>
      </c>
      <c r="Q73" s="43" t="n">
        <f aca="false">IF($B73="","",SUMIFS('Rotation History'!$M$2:$M$1000,'Rotation History'!$B$2:$B$1000,$B73,'Rotation History'!$A$2:$A$1000,"&gt;="&amp;($B$2-30),'Rotation History'!$A$2:$A$1000,"&lt;"&amp;$B$2))</f>
        <v>0</v>
      </c>
      <c r="R73" s="43" t="n">
        <f aca="false">IF($B73="","",COUNTIFS('Rotation History'!$B$2:$B$1000,$B73,'Rotation History'!$M$2:$M$1000,"&gt;0",'Rotation History'!$A$2:$A$1000,"&gt;="&amp;($B$2-30),'Rotation History'!$A$2:$A$1000,"&lt;"&amp;$B$2))</f>
        <v>0</v>
      </c>
      <c r="S73" s="43" t="n">
        <f aca="false">IF($B73="","",IF(COUNTIFS('Rotation History'!$B$2:$B$1000,$B73,'Rotation History'!$A$2:$A$1000,$B$2-1,'Rotation History'!$M$2:$M$1000,"&gt;0")=0,0,1+IF(COUNTIFS('Rotation History'!$B$2:$B$1000,$B73,'Rotation History'!$A$2:$A$1000,$B$2-2,'Rotation History'!$M$2:$M$1000,"&gt;0")=0,0,1+IF(COUNTIFS('Rotation History'!$B$2:$B$1000,$B73,'Rotation History'!$A$2:$A$1000,$B$2-3,'Rotation History'!$M$2:$M$1000,"&gt;0")=0,0,1+IF(COUNTIFS('Rotation History'!$B$2:$B$1000,$B73,'Rotation History'!$A$2:$A$1000,$B$2-4,'Rotation History'!$M$2:$M$1000,"&gt;0")=0,0,1)))))</f>
        <v>0</v>
      </c>
      <c r="T73" s="43" t="n">
        <f aca="false">IF($B73="","",COUNTIFS('Rotation History'!$B$2:$B$1000,$B73,'Rotation History'!$K$2:$K$1000,"Opening",'Rotation History'!$A$2:$A$1000,"&gt;="&amp;($B$2-30),'Rotation History'!$A$2:$A$1000,"&lt;"&amp;$B$2))</f>
        <v>0</v>
      </c>
      <c r="U73" s="43" t="n">
        <f aca="false">IF($B73="","",COUNTIFS('Rotation History'!$B$2:$B$1000,$B73,'Rotation History'!$K$2:$K$1000,"Lunch Relief",'Rotation History'!$A$2:$A$1000,"&gt;="&amp;($B$2-30),'Rotation History'!$A$2:$A$1000,"&lt;"&amp;$B$2))</f>
        <v>0</v>
      </c>
      <c r="V73" s="44" t="n">
        <f aca="false">IF($B73="","",$Q73*10+$R73*2+$S73*20+$T73*3+$U73)</f>
        <v>0</v>
      </c>
    </row>
    <row r="74" customFormat="false" ht="14.25" hidden="false" customHeight="true" outlineLevel="0" collapsed="false">
      <c r="A74" s="40" t="n">
        <f aca="false">IF($B74="","",$B$2)</f>
        <v>46231</v>
      </c>
      <c r="B74" s="1" t="str">
        <f aca="false">IF($B$2="","",IFERROR(INDEX('Employee Master'!$A$2:$A$159,MATCH(ROWS($B$6:B74),Lists!$P$2:$P$159,0)),""))</f>
        <v>EMP-0056</v>
      </c>
      <c r="C74" s="1" t="str">
        <f aca="false">IF($B74="","",IFERROR(INDEX('Employee Master'!$B$2:$B$159,MATCH($B74,'Employee Master'!$A$2:$A$159,0)),""))</f>
        <v>Elena Thomas</v>
      </c>
      <c r="D74" s="1" t="str">
        <f aca="false">IF($B74="","",IFERROR(INDEX('Employee Master'!$C$2:$C$159,MATCH($B74,'Employee Master'!$A$2:$A$159,0)),""))</f>
        <v>12:15 PM</v>
      </c>
      <c r="E74" s="1" t="str">
        <f aca="false">IF($B74="","",IFERROR(INDEX('Employee Master'!$I$2:$I$159,MATCH($B74,'Employee Master'!$A$2:$A$159,0)),""))</f>
        <v>PM</v>
      </c>
      <c r="F74" s="29" t="str">
        <f aca="false">IF($B74="","",IFERROR(INDEX('Employee Master'!$E$2:$E$159,MATCH($B74,'Employee Master'!$A$2:$A$159,0)),""))</f>
        <v>N</v>
      </c>
      <c r="G74" s="29" t="str">
        <f aca="false">IF($B74="","",IFERROR(INDEX('Employee Master'!$F$2:$F$159,MATCH($B74,'Employee Master'!$A$2:$A$159,0)),""))</f>
        <v>N</v>
      </c>
      <c r="H74" s="41" t="str">
        <f aca="false">IF($B74="","","Present")</f>
        <v>Present</v>
      </c>
      <c r="I74" s="1" t="str">
        <f aca="false">IF($B74="","",IFERROR(INDEX('Employee Master'!$H$2:$H$159,MATCH($B74,'Employee Master'!$A$2:$A$159,0)),""))</f>
        <v>None</v>
      </c>
      <c r="J74" s="29" t="str">
        <f aca="false">IF($B74="","",IFERROR(INDEX('Qualification Matrix'!$C$2:$C$168,MATCH($B74,'Qualification Matrix'!$A$2:$A$168,0)),2))</f>
        <v>N</v>
      </c>
      <c r="K74" s="29" t="str">
        <f aca="false">IF($B74="","",IFERROR(INDEX('Qualification Matrix'!$D$2:$D$168,MATCH($B74,'Qualification Matrix'!$A$2:$A$168,0)),2))</f>
        <v>N</v>
      </c>
      <c r="L74" s="29" t="str">
        <f aca="false">IF($B74="","",IFERROR(INDEX('Qualification Matrix'!$E$2:$E$168,MATCH($B74,'Qualification Matrix'!$A$2:$A$168,0)),2))</f>
        <v>N</v>
      </c>
      <c r="M74" s="29" t="str">
        <f aca="false">IF($B74="","",IFERROR(INDEX('Qualification Matrix'!$F$2:$F$168,MATCH($B74,'Qualification Matrix'!$A$2:$A$168,0)),2))</f>
        <v>Y</v>
      </c>
      <c r="N74" s="29" t="str">
        <f aca="false">IF($B74="","",IF(AND($H74="Present",$F74&lt;&gt;"Y"),"Y","N"))</f>
        <v>Y</v>
      </c>
      <c r="O74" s="42"/>
      <c r="P74" s="29" t="n">
        <f aca="false">IF($B74="","",IFERROR(INDEX('Qualification Matrix'!$H$2:$H$168,MATCH($B74,'Qualification Matrix'!$A$2:$A$168,0)),""))</f>
        <v>2</v>
      </c>
      <c r="Q74" s="43" t="n">
        <f aca="false">IF($B74="","",SUMIFS('Rotation History'!$M$2:$M$1000,'Rotation History'!$B$2:$B$1000,$B74,'Rotation History'!$A$2:$A$1000,"&gt;="&amp;($B$2-30),'Rotation History'!$A$2:$A$1000,"&lt;"&amp;$B$2))</f>
        <v>0</v>
      </c>
      <c r="R74" s="43" t="n">
        <f aca="false">IF($B74="","",COUNTIFS('Rotation History'!$B$2:$B$1000,$B74,'Rotation History'!$M$2:$M$1000,"&gt;0",'Rotation History'!$A$2:$A$1000,"&gt;="&amp;($B$2-30),'Rotation History'!$A$2:$A$1000,"&lt;"&amp;$B$2))</f>
        <v>0</v>
      </c>
      <c r="S74" s="43" t="n">
        <f aca="false">IF($B74="","",IF(COUNTIFS('Rotation History'!$B$2:$B$1000,$B74,'Rotation History'!$A$2:$A$1000,$B$2-1,'Rotation History'!$M$2:$M$1000,"&gt;0")=0,0,1+IF(COUNTIFS('Rotation History'!$B$2:$B$1000,$B74,'Rotation History'!$A$2:$A$1000,$B$2-2,'Rotation History'!$M$2:$M$1000,"&gt;0")=0,0,1+IF(COUNTIFS('Rotation History'!$B$2:$B$1000,$B74,'Rotation History'!$A$2:$A$1000,$B$2-3,'Rotation History'!$M$2:$M$1000,"&gt;0")=0,0,1+IF(COUNTIFS('Rotation History'!$B$2:$B$1000,$B74,'Rotation History'!$A$2:$A$1000,$B$2-4,'Rotation History'!$M$2:$M$1000,"&gt;0")=0,0,1)))))</f>
        <v>0</v>
      </c>
      <c r="T74" s="43" t="n">
        <f aca="false">IF($B74="","",COUNTIFS('Rotation History'!$B$2:$B$1000,$B74,'Rotation History'!$K$2:$K$1000,"Opening",'Rotation History'!$A$2:$A$1000,"&gt;="&amp;($B$2-30),'Rotation History'!$A$2:$A$1000,"&lt;"&amp;$B$2))</f>
        <v>0</v>
      </c>
      <c r="U74" s="43" t="n">
        <f aca="false">IF($B74="","",COUNTIFS('Rotation History'!$B$2:$B$1000,$B74,'Rotation History'!$K$2:$K$1000,"Lunch Relief",'Rotation History'!$A$2:$A$1000,"&gt;="&amp;($B$2-30),'Rotation History'!$A$2:$A$1000,"&lt;"&amp;$B$2))</f>
        <v>0</v>
      </c>
      <c r="V74" s="44" t="n">
        <f aca="false">IF($B74="","",$Q74*10+$R74*2+$S74*20+$T74*3+$U74)</f>
        <v>0</v>
      </c>
    </row>
    <row r="75" customFormat="false" ht="14.25" hidden="false" customHeight="true" outlineLevel="0" collapsed="false">
      <c r="A75" s="40" t="n">
        <f aca="false">IF($B75="","",$B$2)</f>
        <v>46231</v>
      </c>
      <c r="B75" s="1" t="str">
        <f aca="false">IF($B$2="","",IFERROR(INDEX('Employee Master'!$A$2:$A$159,MATCH(ROWS($B$6:B75),Lists!$P$2:$P$159,0)),""))</f>
        <v>EMP-0060</v>
      </c>
      <c r="C75" s="1" t="str">
        <f aca="false">IF($B75="","",IFERROR(INDEX('Employee Master'!$B$2:$B$159,MATCH($B75,'Employee Master'!$A$2:$A$159,0)),""))</f>
        <v>Ermias Belayneh</v>
      </c>
      <c r="D75" s="1" t="str">
        <f aca="false">IF($B75="","",IFERROR(INDEX('Employee Master'!$C$2:$C$159,MATCH($B75,'Employee Master'!$A$2:$A$159,0)),""))</f>
        <v>12:15 PM</v>
      </c>
      <c r="E75" s="1" t="str">
        <f aca="false">IF($B75="","",IFERROR(INDEX('Employee Master'!$I$2:$I$159,MATCH($B75,'Employee Master'!$A$2:$A$159,0)),""))</f>
        <v>PM</v>
      </c>
      <c r="F75" s="29" t="str">
        <f aca="false">IF($B75="","",IFERROR(INDEX('Employee Master'!$E$2:$E$159,MATCH($B75,'Employee Master'!$A$2:$A$159,0)),""))</f>
        <v>N</v>
      </c>
      <c r="G75" s="29" t="str">
        <f aca="false">IF($B75="","",IFERROR(INDEX('Employee Master'!$F$2:$F$159,MATCH($B75,'Employee Master'!$A$2:$A$159,0)),""))</f>
        <v>N</v>
      </c>
      <c r="H75" s="41" t="str">
        <f aca="false">IF($B75="","","Present")</f>
        <v>Present</v>
      </c>
      <c r="I75" s="1" t="str">
        <f aca="false">IF($B75="","",IFERROR(INDEX('Employee Master'!$H$2:$H$159,MATCH($B75,'Employee Master'!$A$2:$A$159,0)),""))</f>
        <v>None</v>
      </c>
      <c r="J75" s="29" t="str">
        <f aca="false">IF($B75="","",IFERROR(INDEX('Qualification Matrix'!$C$2:$C$168,MATCH($B75,'Qualification Matrix'!$A$2:$A$168,0)),2))</f>
        <v>N</v>
      </c>
      <c r="K75" s="29" t="str">
        <f aca="false">IF($B75="","",IFERROR(INDEX('Qualification Matrix'!$D$2:$D$168,MATCH($B75,'Qualification Matrix'!$A$2:$A$168,0)),2))</f>
        <v>N</v>
      </c>
      <c r="L75" s="29" t="str">
        <f aca="false">IF($B75="","",IFERROR(INDEX('Qualification Matrix'!$E$2:$E$168,MATCH($B75,'Qualification Matrix'!$A$2:$A$168,0)),2))</f>
        <v>N</v>
      </c>
      <c r="M75" s="29" t="str">
        <f aca="false">IF($B75="","",IFERROR(INDEX('Qualification Matrix'!$F$2:$F$168,MATCH($B75,'Qualification Matrix'!$A$2:$A$168,0)),2))</f>
        <v>Y</v>
      </c>
      <c r="N75" s="29" t="str">
        <f aca="false">IF($B75="","",IF(AND($H75="Present",$F75&lt;&gt;"Y"),"Y","N"))</f>
        <v>Y</v>
      </c>
      <c r="O75" s="42"/>
      <c r="P75" s="29" t="n">
        <f aca="false">IF($B75="","",IFERROR(INDEX('Qualification Matrix'!$H$2:$H$168,MATCH($B75,'Qualification Matrix'!$A$2:$A$168,0)),""))</f>
        <v>2</v>
      </c>
      <c r="Q75" s="43" t="n">
        <f aca="false">IF($B75="","",SUMIFS('Rotation History'!$M$2:$M$1000,'Rotation History'!$B$2:$B$1000,$B75,'Rotation History'!$A$2:$A$1000,"&gt;="&amp;($B$2-30),'Rotation History'!$A$2:$A$1000,"&lt;"&amp;$B$2))</f>
        <v>0</v>
      </c>
      <c r="R75" s="43" t="n">
        <f aca="false">IF($B75="","",COUNTIFS('Rotation History'!$B$2:$B$1000,$B75,'Rotation History'!$M$2:$M$1000,"&gt;0",'Rotation History'!$A$2:$A$1000,"&gt;="&amp;($B$2-30),'Rotation History'!$A$2:$A$1000,"&lt;"&amp;$B$2))</f>
        <v>0</v>
      </c>
      <c r="S75" s="43" t="n">
        <f aca="false">IF($B75="","",IF(COUNTIFS('Rotation History'!$B$2:$B$1000,$B75,'Rotation History'!$A$2:$A$1000,$B$2-1,'Rotation History'!$M$2:$M$1000,"&gt;0")=0,0,1+IF(COUNTIFS('Rotation History'!$B$2:$B$1000,$B75,'Rotation History'!$A$2:$A$1000,$B$2-2,'Rotation History'!$M$2:$M$1000,"&gt;0")=0,0,1+IF(COUNTIFS('Rotation History'!$B$2:$B$1000,$B75,'Rotation History'!$A$2:$A$1000,$B$2-3,'Rotation History'!$M$2:$M$1000,"&gt;0")=0,0,1+IF(COUNTIFS('Rotation History'!$B$2:$B$1000,$B75,'Rotation History'!$A$2:$A$1000,$B$2-4,'Rotation History'!$M$2:$M$1000,"&gt;0")=0,0,1)))))</f>
        <v>0</v>
      </c>
      <c r="T75" s="43" t="n">
        <f aca="false">IF($B75="","",COUNTIFS('Rotation History'!$B$2:$B$1000,$B75,'Rotation History'!$K$2:$K$1000,"Opening",'Rotation History'!$A$2:$A$1000,"&gt;="&amp;($B$2-30),'Rotation History'!$A$2:$A$1000,"&lt;"&amp;$B$2))</f>
        <v>0</v>
      </c>
      <c r="U75" s="43" t="n">
        <f aca="false">IF($B75="","",COUNTIFS('Rotation History'!$B$2:$B$1000,$B75,'Rotation History'!$K$2:$K$1000,"Lunch Relief",'Rotation History'!$A$2:$A$1000,"&gt;="&amp;($B$2-30),'Rotation History'!$A$2:$A$1000,"&lt;"&amp;$B$2))</f>
        <v>0</v>
      </c>
      <c r="V75" s="44" t="n">
        <f aca="false">IF($B75="","",$Q75*10+$R75*2+$S75*20+$T75*3+$U75)</f>
        <v>0</v>
      </c>
    </row>
    <row r="76" customFormat="false" ht="14.25" hidden="false" customHeight="true" outlineLevel="0" collapsed="false">
      <c r="A76" s="40" t="n">
        <f aca="false">IF($B76="","",$B$2)</f>
        <v>46231</v>
      </c>
      <c r="B76" s="1" t="str">
        <f aca="false">IF($B$2="","",IFERROR(INDEX('Employee Master'!$A$2:$A$159,MATCH(ROWS($B$6:B76),Lists!$P$2:$P$159,0)),""))</f>
        <v>EMP-0061</v>
      </c>
      <c r="C76" s="1" t="str">
        <f aca="false">IF($B76="","",IFERROR(INDEX('Employee Master'!$B$2:$B$159,MATCH($B76,'Employee Master'!$A$2:$A$159,0)),""))</f>
        <v>Eyerusalem Esubaluw</v>
      </c>
      <c r="D76" s="1" t="str">
        <f aca="false">IF($B76="","",IFERROR(INDEX('Employee Master'!$C$2:$C$159,MATCH($B76,'Employee Master'!$A$2:$A$159,0)),""))</f>
        <v>12:15 PM</v>
      </c>
      <c r="E76" s="1" t="str">
        <f aca="false">IF($B76="","",IFERROR(INDEX('Employee Master'!$I$2:$I$159,MATCH($B76,'Employee Master'!$A$2:$A$159,0)),""))</f>
        <v>PM</v>
      </c>
      <c r="F76" s="29" t="str">
        <f aca="false">IF($B76="","",IFERROR(INDEX('Employee Master'!$E$2:$E$159,MATCH($B76,'Employee Master'!$A$2:$A$159,0)),""))</f>
        <v>N</v>
      </c>
      <c r="G76" s="29" t="str">
        <f aca="false">IF($B76="","",IFERROR(INDEX('Employee Master'!$F$2:$F$159,MATCH($B76,'Employee Master'!$A$2:$A$159,0)),""))</f>
        <v>N</v>
      </c>
      <c r="H76" s="41" t="str">
        <f aca="false">IF($B76="","","Present")</f>
        <v>Present</v>
      </c>
      <c r="I76" s="1" t="str">
        <f aca="false">IF($B76="","",IFERROR(INDEX('Employee Master'!$H$2:$H$159,MATCH($B76,'Employee Master'!$A$2:$A$159,0)),""))</f>
        <v>None</v>
      </c>
      <c r="J76" s="29" t="str">
        <f aca="false">IF($B76="","",IFERROR(INDEX('Qualification Matrix'!$C$2:$C$168,MATCH($B76,'Qualification Matrix'!$A$2:$A$168,0)),2))</f>
        <v>N</v>
      </c>
      <c r="K76" s="29" t="str">
        <f aca="false">IF($B76="","",IFERROR(INDEX('Qualification Matrix'!$D$2:$D$168,MATCH($B76,'Qualification Matrix'!$A$2:$A$168,0)),2))</f>
        <v>N</v>
      </c>
      <c r="L76" s="29" t="str">
        <f aca="false">IF($B76="","",IFERROR(INDEX('Qualification Matrix'!$E$2:$E$168,MATCH($B76,'Qualification Matrix'!$A$2:$A$168,0)),2))</f>
        <v>N</v>
      </c>
      <c r="M76" s="29" t="str">
        <f aca="false">IF($B76="","",IFERROR(INDEX('Qualification Matrix'!$F$2:$F$168,MATCH($B76,'Qualification Matrix'!$A$2:$A$168,0)),2))</f>
        <v>Y</v>
      </c>
      <c r="N76" s="29" t="str">
        <f aca="false">IF($B76="","",IF(AND($H76="Present",$F76&lt;&gt;"Y"),"Y","N"))</f>
        <v>Y</v>
      </c>
      <c r="O76" s="42"/>
      <c r="P76" s="29" t="n">
        <f aca="false">IF($B76="","",IFERROR(INDEX('Qualification Matrix'!$H$2:$H$168,MATCH($B76,'Qualification Matrix'!$A$2:$A$168,0)),""))</f>
        <v>2</v>
      </c>
      <c r="Q76" s="43" t="n">
        <f aca="false">IF($B76="","",SUMIFS('Rotation History'!$M$2:$M$1000,'Rotation History'!$B$2:$B$1000,$B76,'Rotation History'!$A$2:$A$1000,"&gt;="&amp;($B$2-30),'Rotation History'!$A$2:$A$1000,"&lt;"&amp;$B$2))</f>
        <v>0</v>
      </c>
      <c r="R76" s="43" t="n">
        <f aca="false">IF($B76="","",COUNTIFS('Rotation History'!$B$2:$B$1000,$B76,'Rotation History'!$M$2:$M$1000,"&gt;0",'Rotation History'!$A$2:$A$1000,"&gt;="&amp;($B$2-30),'Rotation History'!$A$2:$A$1000,"&lt;"&amp;$B$2))</f>
        <v>0</v>
      </c>
      <c r="S76" s="43" t="n">
        <f aca="false">IF($B76="","",IF(COUNTIFS('Rotation History'!$B$2:$B$1000,$B76,'Rotation History'!$A$2:$A$1000,$B$2-1,'Rotation History'!$M$2:$M$1000,"&gt;0")=0,0,1+IF(COUNTIFS('Rotation History'!$B$2:$B$1000,$B76,'Rotation History'!$A$2:$A$1000,$B$2-2,'Rotation History'!$M$2:$M$1000,"&gt;0")=0,0,1+IF(COUNTIFS('Rotation History'!$B$2:$B$1000,$B76,'Rotation History'!$A$2:$A$1000,$B$2-3,'Rotation History'!$M$2:$M$1000,"&gt;0")=0,0,1+IF(COUNTIFS('Rotation History'!$B$2:$B$1000,$B76,'Rotation History'!$A$2:$A$1000,$B$2-4,'Rotation History'!$M$2:$M$1000,"&gt;0")=0,0,1)))))</f>
        <v>0</v>
      </c>
      <c r="T76" s="43" t="n">
        <f aca="false">IF($B76="","",COUNTIFS('Rotation History'!$B$2:$B$1000,$B76,'Rotation History'!$K$2:$K$1000,"Opening",'Rotation History'!$A$2:$A$1000,"&gt;="&amp;($B$2-30),'Rotation History'!$A$2:$A$1000,"&lt;"&amp;$B$2))</f>
        <v>0</v>
      </c>
      <c r="U76" s="43" t="n">
        <f aca="false">IF($B76="","",COUNTIFS('Rotation History'!$B$2:$B$1000,$B76,'Rotation History'!$K$2:$K$1000,"Lunch Relief",'Rotation History'!$A$2:$A$1000,"&gt;="&amp;($B$2-30),'Rotation History'!$A$2:$A$1000,"&lt;"&amp;$B$2))</f>
        <v>0</v>
      </c>
      <c r="V76" s="44" t="n">
        <f aca="false">IF($B76="","",$Q76*10+$R76*2+$S76*20+$T76*3+$U76)</f>
        <v>0</v>
      </c>
    </row>
    <row r="77" customFormat="false" ht="14.25" hidden="false" customHeight="true" outlineLevel="0" collapsed="false">
      <c r="A77" s="40" t="n">
        <f aca="false">IF($B77="","",$B$2)</f>
        <v>46231</v>
      </c>
      <c r="B77" s="1" t="str">
        <f aca="false">IF($B$2="","",IFERROR(INDEX('Employee Master'!$A$2:$A$159,MATCH(ROWS($B$6:B77),Lists!$P$2:$P$159,0)),""))</f>
        <v>EMP-0062</v>
      </c>
      <c r="C77" s="1" t="str">
        <f aca="false">IF($B77="","",IFERROR(INDEX('Employee Master'!$B$2:$B$159,MATCH($B77,'Employee Master'!$A$2:$A$159,0)),""))</f>
        <v>Falana Broughton</v>
      </c>
      <c r="D77" s="1" t="str">
        <f aca="false">IF($B77="","",IFERROR(INDEX('Employee Master'!$C$2:$C$159,MATCH($B77,'Employee Master'!$A$2:$A$159,0)),""))</f>
        <v>12:15 PM</v>
      </c>
      <c r="E77" s="1" t="str">
        <f aca="false">IF($B77="","",IFERROR(INDEX('Employee Master'!$I$2:$I$159,MATCH($B77,'Employee Master'!$A$2:$A$159,0)),""))</f>
        <v>PM</v>
      </c>
      <c r="F77" s="29" t="str">
        <f aca="false">IF($B77="","",IFERROR(INDEX('Employee Master'!$E$2:$E$159,MATCH($B77,'Employee Master'!$A$2:$A$159,0)),""))</f>
        <v>N</v>
      </c>
      <c r="G77" s="29" t="str">
        <f aca="false">IF($B77="","",IFERROR(INDEX('Employee Master'!$F$2:$F$159,MATCH($B77,'Employee Master'!$A$2:$A$159,0)),""))</f>
        <v>N</v>
      </c>
      <c r="H77" s="41" t="str">
        <f aca="false">IF($B77="","","Present")</f>
        <v>Present</v>
      </c>
      <c r="I77" s="1" t="str">
        <f aca="false">IF($B77="","",IFERROR(INDEX('Employee Master'!$H$2:$H$159,MATCH($B77,'Employee Master'!$A$2:$A$159,0)),""))</f>
        <v>None</v>
      </c>
      <c r="J77" s="29" t="str">
        <f aca="false">IF($B77="","",IFERROR(INDEX('Qualification Matrix'!$C$2:$C$168,MATCH($B77,'Qualification Matrix'!$A$2:$A$168,0)),2))</f>
        <v>N</v>
      </c>
      <c r="K77" s="29" t="str">
        <f aca="false">IF($B77="","",IFERROR(INDEX('Qualification Matrix'!$D$2:$D$168,MATCH($B77,'Qualification Matrix'!$A$2:$A$168,0)),2))</f>
        <v>N</v>
      </c>
      <c r="L77" s="29" t="str">
        <f aca="false">IF($B77="","",IFERROR(INDEX('Qualification Matrix'!$E$2:$E$168,MATCH($B77,'Qualification Matrix'!$A$2:$A$168,0)),2))</f>
        <v>N</v>
      </c>
      <c r="M77" s="29" t="str">
        <f aca="false">IF($B77="","",IFERROR(INDEX('Qualification Matrix'!$F$2:$F$168,MATCH($B77,'Qualification Matrix'!$A$2:$A$168,0)),2))</f>
        <v>Y</v>
      </c>
      <c r="N77" s="29" t="str">
        <f aca="false">IF($B77="","",IF(AND($H77="Present",$F77&lt;&gt;"Y"),"Y","N"))</f>
        <v>Y</v>
      </c>
      <c r="O77" s="42"/>
      <c r="P77" s="29" t="n">
        <f aca="false">IF($B77="","",IFERROR(INDEX('Qualification Matrix'!$H$2:$H$168,MATCH($B77,'Qualification Matrix'!$A$2:$A$168,0)),""))</f>
        <v>2</v>
      </c>
      <c r="Q77" s="43" t="n">
        <f aca="false">IF($B77="","",SUMIFS('Rotation History'!$M$2:$M$1000,'Rotation History'!$B$2:$B$1000,$B77,'Rotation History'!$A$2:$A$1000,"&gt;="&amp;($B$2-30),'Rotation History'!$A$2:$A$1000,"&lt;"&amp;$B$2))</f>
        <v>0</v>
      </c>
      <c r="R77" s="43" t="n">
        <f aca="false">IF($B77="","",COUNTIFS('Rotation History'!$B$2:$B$1000,$B77,'Rotation History'!$M$2:$M$1000,"&gt;0",'Rotation History'!$A$2:$A$1000,"&gt;="&amp;($B$2-30),'Rotation History'!$A$2:$A$1000,"&lt;"&amp;$B$2))</f>
        <v>0</v>
      </c>
      <c r="S77" s="43" t="n">
        <f aca="false">IF($B77="","",IF(COUNTIFS('Rotation History'!$B$2:$B$1000,$B77,'Rotation History'!$A$2:$A$1000,$B$2-1,'Rotation History'!$M$2:$M$1000,"&gt;0")=0,0,1+IF(COUNTIFS('Rotation History'!$B$2:$B$1000,$B77,'Rotation History'!$A$2:$A$1000,$B$2-2,'Rotation History'!$M$2:$M$1000,"&gt;0")=0,0,1+IF(COUNTIFS('Rotation History'!$B$2:$B$1000,$B77,'Rotation History'!$A$2:$A$1000,$B$2-3,'Rotation History'!$M$2:$M$1000,"&gt;0")=0,0,1+IF(COUNTIFS('Rotation History'!$B$2:$B$1000,$B77,'Rotation History'!$A$2:$A$1000,$B$2-4,'Rotation History'!$M$2:$M$1000,"&gt;0")=0,0,1)))))</f>
        <v>0</v>
      </c>
      <c r="T77" s="43" t="n">
        <f aca="false">IF($B77="","",COUNTIFS('Rotation History'!$B$2:$B$1000,$B77,'Rotation History'!$K$2:$K$1000,"Opening",'Rotation History'!$A$2:$A$1000,"&gt;="&amp;($B$2-30),'Rotation History'!$A$2:$A$1000,"&lt;"&amp;$B$2))</f>
        <v>0</v>
      </c>
      <c r="U77" s="43" t="n">
        <f aca="false">IF($B77="","",COUNTIFS('Rotation History'!$B$2:$B$1000,$B77,'Rotation History'!$K$2:$K$1000,"Lunch Relief",'Rotation History'!$A$2:$A$1000,"&gt;="&amp;($B$2-30),'Rotation History'!$A$2:$A$1000,"&lt;"&amp;$B$2))</f>
        <v>0</v>
      </c>
      <c r="V77" s="44" t="n">
        <f aca="false">IF($B77="","",$Q77*10+$R77*2+$S77*20+$T77*3+$U77)</f>
        <v>0</v>
      </c>
    </row>
    <row r="78" customFormat="false" ht="14.25" hidden="false" customHeight="true" outlineLevel="0" collapsed="false">
      <c r="A78" s="40" t="n">
        <f aca="false">IF($B78="","",$B$2)</f>
        <v>46231</v>
      </c>
      <c r="B78" s="1" t="str">
        <f aca="false">IF($B$2="","",IFERROR(INDEX('Employee Master'!$A$2:$A$159,MATCH(ROWS($B$6:B78),Lists!$P$2:$P$159,0)),""))</f>
        <v>EMP-0072</v>
      </c>
      <c r="C78" s="1" t="str">
        <f aca="false">IF($B78="","",IFERROR(INDEX('Employee Master'!$B$2:$B$159,MATCH($B78,'Employee Master'!$A$2:$A$159,0)),""))</f>
        <v>Ivory Johnson</v>
      </c>
      <c r="D78" s="1" t="str">
        <f aca="false">IF($B78="","",IFERROR(INDEX('Employee Master'!$C$2:$C$159,MATCH($B78,'Employee Master'!$A$2:$A$159,0)),""))</f>
        <v>12:15 PM</v>
      </c>
      <c r="E78" s="1" t="str">
        <f aca="false">IF($B78="","",IFERROR(INDEX('Employee Master'!$I$2:$I$159,MATCH($B78,'Employee Master'!$A$2:$A$159,0)),""))</f>
        <v>PM</v>
      </c>
      <c r="F78" s="29" t="str">
        <f aca="false">IF($B78="","",IFERROR(INDEX('Employee Master'!$E$2:$E$159,MATCH($B78,'Employee Master'!$A$2:$A$159,0)),""))</f>
        <v>N</v>
      </c>
      <c r="G78" s="29" t="str">
        <f aca="false">IF($B78="","",IFERROR(INDEX('Employee Master'!$F$2:$F$159,MATCH($B78,'Employee Master'!$A$2:$A$159,0)),""))</f>
        <v>N</v>
      </c>
      <c r="H78" s="41" t="str">
        <f aca="false">IF($B78="","","Present")</f>
        <v>Present</v>
      </c>
      <c r="I78" s="1" t="str">
        <f aca="false">IF($B78="","",IFERROR(INDEX('Employee Master'!$H$2:$H$159,MATCH($B78,'Employee Master'!$A$2:$A$159,0)),""))</f>
        <v>None</v>
      </c>
      <c r="J78" s="29" t="str">
        <f aca="false">IF($B78="","",IFERROR(INDEX('Qualification Matrix'!$C$2:$C$168,MATCH($B78,'Qualification Matrix'!$A$2:$A$168,0)),2))</f>
        <v>N</v>
      </c>
      <c r="K78" s="29" t="str">
        <f aca="false">IF($B78="","",IFERROR(INDEX('Qualification Matrix'!$D$2:$D$168,MATCH($B78,'Qualification Matrix'!$A$2:$A$168,0)),2))</f>
        <v>N</v>
      </c>
      <c r="L78" s="29" t="str">
        <f aca="false">IF($B78="","",IFERROR(INDEX('Qualification Matrix'!$E$2:$E$168,MATCH($B78,'Qualification Matrix'!$A$2:$A$168,0)),2))</f>
        <v>N</v>
      </c>
      <c r="M78" s="29" t="str">
        <f aca="false">IF($B78="","",IFERROR(INDEX('Qualification Matrix'!$F$2:$F$168,MATCH($B78,'Qualification Matrix'!$A$2:$A$168,0)),2))</f>
        <v>Y</v>
      </c>
      <c r="N78" s="29" t="str">
        <f aca="false">IF($B78="","",IF(AND($H78="Present",$F78&lt;&gt;"Y"),"Y","N"))</f>
        <v>Y</v>
      </c>
      <c r="O78" s="42"/>
      <c r="P78" s="29" t="n">
        <f aca="false">IF($B78="","",IFERROR(INDEX('Qualification Matrix'!$H$2:$H$168,MATCH($B78,'Qualification Matrix'!$A$2:$A$168,0)),""))</f>
        <v>2</v>
      </c>
      <c r="Q78" s="43" t="n">
        <f aca="false">IF($B78="","",SUMIFS('Rotation History'!$M$2:$M$1000,'Rotation History'!$B$2:$B$1000,$B78,'Rotation History'!$A$2:$A$1000,"&gt;="&amp;($B$2-30),'Rotation History'!$A$2:$A$1000,"&lt;"&amp;$B$2))</f>
        <v>0</v>
      </c>
      <c r="R78" s="43" t="n">
        <f aca="false">IF($B78="","",COUNTIFS('Rotation History'!$B$2:$B$1000,$B78,'Rotation History'!$M$2:$M$1000,"&gt;0",'Rotation History'!$A$2:$A$1000,"&gt;="&amp;($B$2-30),'Rotation History'!$A$2:$A$1000,"&lt;"&amp;$B$2))</f>
        <v>0</v>
      </c>
      <c r="S78" s="43" t="n">
        <f aca="false">IF($B78="","",IF(COUNTIFS('Rotation History'!$B$2:$B$1000,$B78,'Rotation History'!$A$2:$A$1000,$B$2-1,'Rotation History'!$M$2:$M$1000,"&gt;0")=0,0,1+IF(COUNTIFS('Rotation History'!$B$2:$B$1000,$B78,'Rotation History'!$A$2:$A$1000,$B$2-2,'Rotation History'!$M$2:$M$1000,"&gt;0")=0,0,1+IF(COUNTIFS('Rotation History'!$B$2:$B$1000,$B78,'Rotation History'!$A$2:$A$1000,$B$2-3,'Rotation History'!$M$2:$M$1000,"&gt;0")=0,0,1+IF(COUNTIFS('Rotation History'!$B$2:$B$1000,$B78,'Rotation History'!$A$2:$A$1000,$B$2-4,'Rotation History'!$M$2:$M$1000,"&gt;0")=0,0,1)))))</f>
        <v>0</v>
      </c>
      <c r="T78" s="43" t="n">
        <f aca="false">IF($B78="","",COUNTIFS('Rotation History'!$B$2:$B$1000,$B78,'Rotation History'!$K$2:$K$1000,"Opening",'Rotation History'!$A$2:$A$1000,"&gt;="&amp;($B$2-30),'Rotation History'!$A$2:$A$1000,"&lt;"&amp;$B$2))</f>
        <v>0</v>
      </c>
      <c r="U78" s="43" t="n">
        <f aca="false">IF($B78="","",COUNTIFS('Rotation History'!$B$2:$B$1000,$B78,'Rotation History'!$K$2:$K$1000,"Lunch Relief",'Rotation History'!$A$2:$A$1000,"&gt;="&amp;($B$2-30),'Rotation History'!$A$2:$A$1000,"&lt;"&amp;$B$2))</f>
        <v>0</v>
      </c>
      <c r="V78" s="44" t="n">
        <f aca="false">IF($B78="","",$Q78*10+$R78*2+$S78*20+$T78*3+$U78)</f>
        <v>0</v>
      </c>
    </row>
    <row r="79" customFormat="false" ht="14.25" hidden="false" customHeight="true" outlineLevel="0" collapsed="false">
      <c r="A79" s="40" t="n">
        <f aca="false">IF($B79="","",$B$2)</f>
        <v>46231</v>
      </c>
      <c r="B79" s="1" t="str">
        <f aca="false">IF($B$2="","",IFERROR(INDEX('Employee Master'!$A$2:$A$159,MATCH(ROWS($B$6:B79),Lists!$P$2:$P$159,0)),""))</f>
        <v>EMP-0078</v>
      </c>
      <c r="C79" s="1" t="str">
        <f aca="false">IF($B79="","",IFERROR(INDEX('Employee Master'!$B$2:$B$159,MATCH($B79,'Employee Master'!$A$2:$A$159,0)),""))</f>
        <v>John Davis</v>
      </c>
      <c r="D79" s="1" t="str">
        <f aca="false">IF($B79="","",IFERROR(INDEX('Employee Master'!$C$2:$C$159,MATCH($B79,'Employee Master'!$A$2:$A$159,0)),""))</f>
        <v>12:15 PM</v>
      </c>
      <c r="E79" s="1" t="str">
        <f aca="false">IF($B79="","",IFERROR(INDEX('Employee Master'!$I$2:$I$159,MATCH($B79,'Employee Master'!$A$2:$A$159,0)),""))</f>
        <v>PM</v>
      </c>
      <c r="F79" s="29" t="str">
        <f aca="false">IF($B79="","",IFERROR(INDEX('Employee Master'!$E$2:$E$159,MATCH($B79,'Employee Master'!$A$2:$A$159,0)),""))</f>
        <v>N</v>
      </c>
      <c r="G79" s="29" t="str">
        <f aca="false">IF($B79="","",IFERROR(INDEX('Employee Master'!$F$2:$F$159,MATCH($B79,'Employee Master'!$A$2:$A$159,0)),""))</f>
        <v>N</v>
      </c>
      <c r="H79" s="41" t="str">
        <f aca="false">IF($B79="","","Present")</f>
        <v>Present</v>
      </c>
      <c r="I79" s="1" t="str">
        <f aca="false">IF($B79="","",IFERROR(INDEX('Employee Master'!$H$2:$H$159,MATCH($B79,'Employee Master'!$A$2:$A$159,0)),""))</f>
        <v>None</v>
      </c>
      <c r="J79" s="29" t="str">
        <f aca="false">IF($B79="","",IFERROR(INDEX('Qualification Matrix'!$C$2:$C$168,MATCH($B79,'Qualification Matrix'!$A$2:$A$168,0)),2))</f>
        <v>N</v>
      </c>
      <c r="K79" s="29" t="str">
        <f aca="false">IF($B79="","",IFERROR(INDEX('Qualification Matrix'!$D$2:$D$168,MATCH($B79,'Qualification Matrix'!$A$2:$A$168,0)),2))</f>
        <v>N</v>
      </c>
      <c r="L79" s="29" t="str">
        <f aca="false">IF($B79="","",IFERROR(INDEX('Qualification Matrix'!$E$2:$E$168,MATCH($B79,'Qualification Matrix'!$A$2:$A$168,0)),2))</f>
        <v>N</v>
      </c>
      <c r="M79" s="29" t="str">
        <f aca="false">IF($B79="","",IFERROR(INDEX('Qualification Matrix'!$F$2:$F$168,MATCH($B79,'Qualification Matrix'!$A$2:$A$168,0)),2))</f>
        <v>Y</v>
      </c>
      <c r="N79" s="29" t="str">
        <f aca="false">IF($B79="","",IF(AND($H79="Present",$F79&lt;&gt;"Y"),"Y","N"))</f>
        <v>Y</v>
      </c>
      <c r="O79" s="42"/>
      <c r="P79" s="29" t="n">
        <f aca="false">IF($B79="","",IFERROR(INDEX('Qualification Matrix'!$H$2:$H$168,MATCH($B79,'Qualification Matrix'!$A$2:$A$168,0)),""))</f>
        <v>2</v>
      </c>
      <c r="Q79" s="43" t="n">
        <f aca="false">IF($B79="","",SUMIFS('Rotation History'!$M$2:$M$1000,'Rotation History'!$B$2:$B$1000,$B79,'Rotation History'!$A$2:$A$1000,"&gt;="&amp;($B$2-30),'Rotation History'!$A$2:$A$1000,"&lt;"&amp;$B$2))</f>
        <v>0</v>
      </c>
      <c r="R79" s="43" t="n">
        <f aca="false">IF($B79="","",COUNTIFS('Rotation History'!$B$2:$B$1000,$B79,'Rotation History'!$M$2:$M$1000,"&gt;0",'Rotation History'!$A$2:$A$1000,"&gt;="&amp;($B$2-30),'Rotation History'!$A$2:$A$1000,"&lt;"&amp;$B$2))</f>
        <v>0</v>
      </c>
      <c r="S79" s="43" t="n">
        <f aca="false">IF($B79="","",IF(COUNTIFS('Rotation History'!$B$2:$B$1000,$B79,'Rotation History'!$A$2:$A$1000,$B$2-1,'Rotation History'!$M$2:$M$1000,"&gt;0")=0,0,1+IF(COUNTIFS('Rotation History'!$B$2:$B$1000,$B79,'Rotation History'!$A$2:$A$1000,$B$2-2,'Rotation History'!$M$2:$M$1000,"&gt;0")=0,0,1+IF(COUNTIFS('Rotation History'!$B$2:$B$1000,$B79,'Rotation History'!$A$2:$A$1000,$B$2-3,'Rotation History'!$M$2:$M$1000,"&gt;0")=0,0,1+IF(COUNTIFS('Rotation History'!$B$2:$B$1000,$B79,'Rotation History'!$A$2:$A$1000,$B$2-4,'Rotation History'!$M$2:$M$1000,"&gt;0")=0,0,1)))))</f>
        <v>0</v>
      </c>
      <c r="T79" s="43" t="n">
        <f aca="false">IF($B79="","",COUNTIFS('Rotation History'!$B$2:$B$1000,$B79,'Rotation History'!$K$2:$K$1000,"Opening",'Rotation History'!$A$2:$A$1000,"&gt;="&amp;($B$2-30),'Rotation History'!$A$2:$A$1000,"&lt;"&amp;$B$2))</f>
        <v>0</v>
      </c>
      <c r="U79" s="43" t="n">
        <f aca="false">IF($B79="","",COUNTIFS('Rotation History'!$B$2:$B$1000,$B79,'Rotation History'!$K$2:$K$1000,"Lunch Relief",'Rotation History'!$A$2:$A$1000,"&gt;="&amp;($B$2-30),'Rotation History'!$A$2:$A$1000,"&lt;"&amp;$B$2))</f>
        <v>0</v>
      </c>
      <c r="V79" s="44" t="n">
        <f aca="false">IF($B79="","",$Q79*10+$R79*2+$S79*20+$T79*3+$U79)</f>
        <v>0</v>
      </c>
    </row>
    <row r="80" customFormat="false" ht="14.25" hidden="false" customHeight="true" outlineLevel="0" collapsed="false">
      <c r="A80" s="40" t="n">
        <f aca="false">IF($B80="","",$B$2)</f>
        <v>46231</v>
      </c>
      <c r="B80" s="1" t="str">
        <f aca="false">IF($B$2="","",IFERROR(INDEX('Employee Master'!$A$2:$A$159,MATCH(ROWS($B$6:B80),Lists!$P$2:$P$159,0)),""))</f>
        <v>EMP-0097</v>
      </c>
      <c r="C80" s="1" t="str">
        <f aca="false">IF($B80="","",IFERROR(INDEX('Employee Master'!$B$2:$B$159,MATCH($B80,'Employee Master'!$A$2:$A$159,0)),""))</f>
        <v>Maglorie Jean</v>
      </c>
      <c r="D80" s="1" t="str">
        <f aca="false">IF($B80="","",IFERROR(INDEX('Employee Master'!$C$2:$C$159,MATCH($B80,'Employee Master'!$A$2:$A$159,0)),""))</f>
        <v>12:15 PM</v>
      </c>
      <c r="E80" s="1" t="str">
        <f aca="false">IF($B80="","",IFERROR(INDEX('Employee Master'!$I$2:$I$159,MATCH($B80,'Employee Master'!$A$2:$A$159,0)),""))</f>
        <v>PM</v>
      </c>
      <c r="F80" s="29" t="str">
        <f aca="false">IF($B80="","",IFERROR(INDEX('Employee Master'!$E$2:$E$159,MATCH($B80,'Employee Master'!$A$2:$A$159,0)),""))</f>
        <v>N</v>
      </c>
      <c r="G80" s="29" t="str">
        <f aca="false">IF($B80="","",IFERROR(INDEX('Employee Master'!$F$2:$F$159,MATCH($B80,'Employee Master'!$A$2:$A$159,0)),""))</f>
        <v>N</v>
      </c>
      <c r="H80" s="41" t="str">
        <f aca="false">IF($B80="","","Present")</f>
        <v>Present</v>
      </c>
      <c r="I80" s="1" t="str">
        <f aca="false">IF($B80="","",IFERROR(INDEX('Employee Master'!$H$2:$H$159,MATCH($B80,'Employee Master'!$A$2:$A$159,0)),""))</f>
        <v>None</v>
      </c>
      <c r="J80" s="29" t="str">
        <f aca="false">IF($B80="","",IFERROR(INDEX('Qualification Matrix'!$C$2:$C$168,MATCH($B80,'Qualification Matrix'!$A$2:$A$168,0)),2))</f>
        <v>N</v>
      </c>
      <c r="K80" s="29" t="str">
        <f aca="false">IF($B80="","",IFERROR(INDEX('Qualification Matrix'!$D$2:$D$168,MATCH($B80,'Qualification Matrix'!$A$2:$A$168,0)),2))</f>
        <v>N</v>
      </c>
      <c r="L80" s="29" t="str">
        <f aca="false">IF($B80="","",IFERROR(INDEX('Qualification Matrix'!$E$2:$E$168,MATCH($B80,'Qualification Matrix'!$A$2:$A$168,0)),2))</f>
        <v>N</v>
      </c>
      <c r="M80" s="29" t="str">
        <f aca="false">IF($B80="","",IFERROR(INDEX('Qualification Matrix'!$F$2:$F$168,MATCH($B80,'Qualification Matrix'!$A$2:$A$168,0)),2))</f>
        <v>Y</v>
      </c>
      <c r="N80" s="29" t="str">
        <f aca="false">IF($B80="","",IF(AND($H80="Present",$F80&lt;&gt;"Y"),"Y","N"))</f>
        <v>Y</v>
      </c>
      <c r="O80" s="42"/>
      <c r="P80" s="29" t="n">
        <f aca="false">IF($B80="","",IFERROR(INDEX('Qualification Matrix'!$H$2:$H$168,MATCH($B80,'Qualification Matrix'!$A$2:$A$168,0)),""))</f>
        <v>2</v>
      </c>
      <c r="Q80" s="43" t="n">
        <f aca="false">IF($B80="","",SUMIFS('Rotation History'!$M$2:$M$1000,'Rotation History'!$B$2:$B$1000,$B80,'Rotation History'!$A$2:$A$1000,"&gt;="&amp;($B$2-30),'Rotation History'!$A$2:$A$1000,"&lt;"&amp;$B$2))</f>
        <v>0</v>
      </c>
      <c r="R80" s="43" t="n">
        <f aca="false">IF($B80="","",COUNTIFS('Rotation History'!$B$2:$B$1000,$B80,'Rotation History'!$M$2:$M$1000,"&gt;0",'Rotation History'!$A$2:$A$1000,"&gt;="&amp;($B$2-30),'Rotation History'!$A$2:$A$1000,"&lt;"&amp;$B$2))</f>
        <v>0</v>
      </c>
      <c r="S80" s="43" t="n">
        <f aca="false">IF($B80="","",IF(COUNTIFS('Rotation History'!$B$2:$B$1000,$B80,'Rotation History'!$A$2:$A$1000,$B$2-1,'Rotation History'!$M$2:$M$1000,"&gt;0")=0,0,1+IF(COUNTIFS('Rotation History'!$B$2:$B$1000,$B80,'Rotation History'!$A$2:$A$1000,$B$2-2,'Rotation History'!$M$2:$M$1000,"&gt;0")=0,0,1+IF(COUNTIFS('Rotation History'!$B$2:$B$1000,$B80,'Rotation History'!$A$2:$A$1000,$B$2-3,'Rotation History'!$M$2:$M$1000,"&gt;0")=0,0,1+IF(COUNTIFS('Rotation History'!$B$2:$B$1000,$B80,'Rotation History'!$A$2:$A$1000,$B$2-4,'Rotation History'!$M$2:$M$1000,"&gt;0")=0,0,1)))))</f>
        <v>0</v>
      </c>
      <c r="T80" s="43" t="n">
        <f aca="false">IF($B80="","",COUNTIFS('Rotation History'!$B$2:$B$1000,$B80,'Rotation History'!$K$2:$K$1000,"Opening",'Rotation History'!$A$2:$A$1000,"&gt;="&amp;($B$2-30),'Rotation History'!$A$2:$A$1000,"&lt;"&amp;$B$2))</f>
        <v>0</v>
      </c>
      <c r="U80" s="43" t="n">
        <f aca="false">IF($B80="","",COUNTIFS('Rotation History'!$B$2:$B$1000,$B80,'Rotation History'!$K$2:$K$1000,"Lunch Relief",'Rotation History'!$A$2:$A$1000,"&gt;="&amp;($B$2-30),'Rotation History'!$A$2:$A$1000,"&lt;"&amp;$B$2))</f>
        <v>0</v>
      </c>
      <c r="V80" s="44" t="n">
        <f aca="false">IF($B80="","",$Q80*10+$R80*2+$S80*20+$T80*3+$U80)</f>
        <v>0</v>
      </c>
    </row>
    <row r="81" customFormat="false" ht="14.25" hidden="false" customHeight="true" outlineLevel="0" collapsed="false">
      <c r="A81" s="40" t="n">
        <f aca="false">IF($B81="","",$B$2)</f>
        <v>46231</v>
      </c>
      <c r="B81" s="1" t="str">
        <f aca="false">IF($B$2="","",IFERROR(INDEX('Employee Master'!$A$2:$A$159,MATCH(ROWS($B$6:B81),Lists!$P$2:$P$159,0)),""))</f>
        <v>EMP-0114</v>
      </c>
      <c r="C81" s="1" t="str">
        <f aca="false">IF($B81="","",IFERROR(INDEX('Employee Master'!$B$2:$B$159,MATCH($B81,'Employee Master'!$A$2:$A$159,0)),""))</f>
        <v>Patrick Chin</v>
      </c>
      <c r="D81" s="1" t="str">
        <f aca="false">IF($B81="","",IFERROR(INDEX('Employee Master'!$C$2:$C$159,MATCH($B81,'Employee Master'!$A$2:$A$159,0)),""))</f>
        <v>12:15 PM</v>
      </c>
      <c r="E81" s="1" t="str">
        <f aca="false">IF($B81="","",IFERROR(INDEX('Employee Master'!$I$2:$I$159,MATCH($B81,'Employee Master'!$A$2:$A$159,0)),""))</f>
        <v>PM</v>
      </c>
      <c r="F81" s="29" t="str">
        <f aca="false">IF($B81="","",IFERROR(INDEX('Employee Master'!$E$2:$E$159,MATCH($B81,'Employee Master'!$A$2:$A$159,0)),""))</f>
        <v>N</v>
      </c>
      <c r="G81" s="29" t="str">
        <f aca="false">IF($B81="","",IFERROR(INDEX('Employee Master'!$F$2:$F$159,MATCH($B81,'Employee Master'!$A$2:$A$159,0)),""))</f>
        <v>N</v>
      </c>
      <c r="H81" s="41" t="str">
        <f aca="false">IF($B81="","","Present")</f>
        <v>Present</v>
      </c>
      <c r="I81" s="1" t="str">
        <f aca="false">IF($B81="","",IFERROR(INDEX('Employee Master'!$H$2:$H$159,MATCH($B81,'Employee Master'!$A$2:$A$159,0)),""))</f>
        <v>None</v>
      </c>
      <c r="J81" s="29" t="str">
        <f aca="false">IF($B81="","",IFERROR(INDEX('Qualification Matrix'!$C$2:$C$168,MATCH($B81,'Qualification Matrix'!$A$2:$A$168,0)),2))</f>
        <v>N</v>
      </c>
      <c r="K81" s="29" t="str">
        <f aca="false">IF($B81="","",IFERROR(INDEX('Qualification Matrix'!$D$2:$D$168,MATCH($B81,'Qualification Matrix'!$A$2:$A$168,0)),2))</f>
        <v>N</v>
      </c>
      <c r="L81" s="29" t="str">
        <f aca="false">IF($B81="","",IFERROR(INDEX('Qualification Matrix'!$E$2:$E$168,MATCH($B81,'Qualification Matrix'!$A$2:$A$168,0)),2))</f>
        <v>N</v>
      </c>
      <c r="M81" s="29" t="str">
        <f aca="false">IF($B81="","",IFERROR(INDEX('Qualification Matrix'!$F$2:$F$168,MATCH($B81,'Qualification Matrix'!$A$2:$A$168,0)),2))</f>
        <v>Y</v>
      </c>
      <c r="N81" s="29" t="str">
        <f aca="false">IF($B81="","",IF(AND($H81="Present",$F81&lt;&gt;"Y"),"Y","N"))</f>
        <v>Y</v>
      </c>
      <c r="O81" s="42"/>
      <c r="P81" s="29" t="n">
        <f aca="false">IF($B81="","",IFERROR(INDEX('Qualification Matrix'!$H$2:$H$168,MATCH($B81,'Qualification Matrix'!$A$2:$A$168,0)),""))</f>
        <v>2</v>
      </c>
      <c r="Q81" s="43" t="n">
        <f aca="false">IF($B81="","",SUMIFS('Rotation History'!$M$2:$M$1000,'Rotation History'!$B$2:$B$1000,$B81,'Rotation History'!$A$2:$A$1000,"&gt;="&amp;($B$2-30),'Rotation History'!$A$2:$A$1000,"&lt;"&amp;$B$2))</f>
        <v>0</v>
      </c>
      <c r="R81" s="43" t="n">
        <f aca="false">IF($B81="","",COUNTIFS('Rotation History'!$B$2:$B$1000,$B81,'Rotation History'!$M$2:$M$1000,"&gt;0",'Rotation History'!$A$2:$A$1000,"&gt;="&amp;($B$2-30),'Rotation History'!$A$2:$A$1000,"&lt;"&amp;$B$2))</f>
        <v>0</v>
      </c>
      <c r="S81" s="43" t="n">
        <f aca="false">IF($B81="","",IF(COUNTIFS('Rotation History'!$B$2:$B$1000,$B81,'Rotation History'!$A$2:$A$1000,$B$2-1,'Rotation History'!$M$2:$M$1000,"&gt;0")=0,0,1+IF(COUNTIFS('Rotation History'!$B$2:$B$1000,$B81,'Rotation History'!$A$2:$A$1000,$B$2-2,'Rotation History'!$M$2:$M$1000,"&gt;0")=0,0,1+IF(COUNTIFS('Rotation History'!$B$2:$B$1000,$B81,'Rotation History'!$A$2:$A$1000,$B$2-3,'Rotation History'!$M$2:$M$1000,"&gt;0")=0,0,1+IF(COUNTIFS('Rotation History'!$B$2:$B$1000,$B81,'Rotation History'!$A$2:$A$1000,$B$2-4,'Rotation History'!$M$2:$M$1000,"&gt;0")=0,0,1)))))</f>
        <v>0</v>
      </c>
      <c r="T81" s="43" t="n">
        <f aca="false">IF($B81="","",COUNTIFS('Rotation History'!$B$2:$B$1000,$B81,'Rotation History'!$K$2:$K$1000,"Opening",'Rotation History'!$A$2:$A$1000,"&gt;="&amp;($B$2-30),'Rotation History'!$A$2:$A$1000,"&lt;"&amp;$B$2))</f>
        <v>0</v>
      </c>
      <c r="U81" s="43" t="n">
        <f aca="false">IF($B81="","",COUNTIFS('Rotation History'!$B$2:$B$1000,$B81,'Rotation History'!$K$2:$K$1000,"Lunch Relief",'Rotation History'!$A$2:$A$1000,"&gt;="&amp;($B$2-30),'Rotation History'!$A$2:$A$1000,"&lt;"&amp;$B$2))</f>
        <v>0</v>
      </c>
      <c r="V81" s="44" t="n">
        <f aca="false">IF($B81="","",$Q81*10+$R81*2+$S81*20+$T81*3+$U81)</f>
        <v>0</v>
      </c>
    </row>
    <row r="82" customFormat="false" ht="14.25" hidden="false" customHeight="true" outlineLevel="0" collapsed="false">
      <c r="A82" s="40" t="n">
        <f aca="false">IF($B82="","",$B$2)</f>
        <v>46231</v>
      </c>
      <c r="B82" s="1" t="str">
        <f aca="false">IF($B$2="","",IFERROR(INDEX('Employee Master'!$A$2:$A$159,MATCH(ROWS($B$6:B82),Lists!$P$2:$P$159,0)),""))</f>
        <v>EMP-0123</v>
      </c>
      <c r="C82" s="1" t="str">
        <f aca="false">IF($B82="","",IFERROR(INDEX('Employee Master'!$B$2:$B$159,MATCH($B82,'Employee Master'!$A$2:$A$159,0)),""))</f>
        <v>Rihana Ababulla</v>
      </c>
      <c r="D82" s="1" t="str">
        <f aca="false">IF($B82="","",IFERROR(INDEX('Employee Master'!$C$2:$C$159,MATCH($B82,'Employee Master'!$A$2:$A$159,0)),""))</f>
        <v>12:15 PM</v>
      </c>
      <c r="E82" s="1" t="str">
        <f aca="false">IF($B82="","",IFERROR(INDEX('Employee Master'!$I$2:$I$159,MATCH($B82,'Employee Master'!$A$2:$A$159,0)),""))</f>
        <v>PM</v>
      </c>
      <c r="F82" s="29" t="str">
        <f aca="false">IF($B82="","",IFERROR(INDEX('Employee Master'!$E$2:$E$159,MATCH($B82,'Employee Master'!$A$2:$A$159,0)),""))</f>
        <v>N</v>
      </c>
      <c r="G82" s="29" t="str">
        <f aca="false">IF($B82="","",IFERROR(INDEX('Employee Master'!$F$2:$F$159,MATCH($B82,'Employee Master'!$A$2:$A$159,0)),""))</f>
        <v>N</v>
      </c>
      <c r="H82" s="41" t="str">
        <f aca="false">IF($B82="","","Present")</f>
        <v>Present</v>
      </c>
      <c r="I82" s="1" t="str">
        <f aca="false">IF($B82="","",IFERROR(INDEX('Employee Master'!$H$2:$H$159,MATCH($B82,'Employee Master'!$A$2:$A$159,0)),""))</f>
        <v>None</v>
      </c>
      <c r="J82" s="29" t="str">
        <f aca="false">IF($B82="","",IFERROR(INDEX('Qualification Matrix'!$C$2:$C$168,MATCH($B82,'Qualification Matrix'!$A$2:$A$168,0)),2))</f>
        <v>N</v>
      </c>
      <c r="K82" s="29" t="str">
        <f aca="false">IF($B82="","",IFERROR(INDEX('Qualification Matrix'!$D$2:$D$168,MATCH($B82,'Qualification Matrix'!$A$2:$A$168,0)),2))</f>
        <v>N</v>
      </c>
      <c r="L82" s="29" t="str">
        <f aca="false">IF($B82="","",IFERROR(INDEX('Qualification Matrix'!$E$2:$E$168,MATCH($B82,'Qualification Matrix'!$A$2:$A$168,0)),2))</f>
        <v>N</v>
      </c>
      <c r="M82" s="29" t="str">
        <f aca="false">IF($B82="","",IFERROR(INDEX('Qualification Matrix'!$F$2:$F$168,MATCH($B82,'Qualification Matrix'!$A$2:$A$168,0)),2))</f>
        <v>Y</v>
      </c>
      <c r="N82" s="29" t="str">
        <f aca="false">IF($B82="","",IF(AND($H82="Present",$F82&lt;&gt;"Y"),"Y","N"))</f>
        <v>Y</v>
      </c>
      <c r="O82" s="42"/>
      <c r="P82" s="29" t="n">
        <f aca="false">IF($B82="","",IFERROR(INDEX('Qualification Matrix'!$H$2:$H$168,MATCH($B82,'Qualification Matrix'!$A$2:$A$168,0)),""))</f>
        <v>2</v>
      </c>
      <c r="Q82" s="43" t="n">
        <f aca="false">IF($B82="","",SUMIFS('Rotation History'!$M$2:$M$1000,'Rotation History'!$B$2:$B$1000,$B82,'Rotation History'!$A$2:$A$1000,"&gt;="&amp;($B$2-30),'Rotation History'!$A$2:$A$1000,"&lt;"&amp;$B$2))</f>
        <v>0</v>
      </c>
      <c r="R82" s="43" t="n">
        <f aca="false">IF($B82="","",COUNTIFS('Rotation History'!$B$2:$B$1000,$B82,'Rotation History'!$M$2:$M$1000,"&gt;0",'Rotation History'!$A$2:$A$1000,"&gt;="&amp;($B$2-30),'Rotation History'!$A$2:$A$1000,"&lt;"&amp;$B$2))</f>
        <v>0</v>
      </c>
      <c r="S82" s="43" t="n">
        <f aca="false">IF($B82="","",IF(COUNTIFS('Rotation History'!$B$2:$B$1000,$B82,'Rotation History'!$A$2:$A$1000,$B$2-1,'Rotation History'!$M$2:$M$1000,"&gt;0")=0,0,1+IF(COUNTIFS('Rotation History'!$B$2:$B$1000,$B82,'Rotation History'!$A$2:$A$1000,$B$2-2,'Rotation History'!$M$2:$M$1000,"&gt;0")=0,0,1+IF(COUNTIFS('Rotation History'!$B$2:$B$1000,$B82,'Rotation History'!$A$2:$A$1000,$B$2-3,'Rotation History'!$M$2:$M$1000,"&gt;0")=0,0,1+IF(COUNTIFS('Rotation History'!$B$2:$B$1000,$B82,'Rotation History'!$A$2:$A$1000,$B$2-4,'Rotation History'!$M$2:$M$1000,"&gt;0")=0,0,1)))))</f>
        <v>0</v>
      </c>
      <c r="T82" s="43" t="n">
        <f aca="false">IF($B82="","",COUNTIFS('Rotation History'!$B$2:$B$1000,$B82,'Rotation History'!$K$2:$K$1000,"Opening",'Rotation History'!$A$2:$A$1000,"&gt;="&amp;($B$2-30),'Rotation History'!$A$2:$A$1000,"&lt;"&amp;$B$2))</f>
        <v>0</v>
      </c>
      <c r="U82" s="43" t="n">
        <f aca="false">IF($B82="","",COUNTIFS('Rotation History'!$B$2:$B$1000,$B82,'Rotation History'!$K$2:$K$1000,"Lunch Relief",'Rotation History'!$A$2:$A$1000,"&gt;="&amp;($B$2-30),'Rotation History'!$A$2:$A$1000,"&lt;"&amp;$B$2))</f>
        <v>0</v>
      </c>
      <c r="V82" s="44" t="n">
        <f aca="false">IF($B82="","",$Q82*10+$R82*2+$S82*20+$T82*3+$U82)</f>
        <v>0</v>
      </c>
    </row>
    <row r="83" customFormat="false" ht="14.25" hidden="false" customHeight="true" outlineLevel="0" collapsed="false">
      <c r="A83" s="40" t="n">
        <f aca="false">IF($B83="","",$B$2)</f>
        <v>46231</v>
      </c>
      <c r="B83" s="1" t="str">
        <f aca="false">IF($B$2="","",IFERROR(INDEX('Employee Master'!$A$2:$A$159,MATCH(ROWS($B$6:B83),Lists!$P$2:$P$159,0)),""))</f>
        <v>EMP-0124</v>
      </c>
      <c r="C83" s="1" t="str">
        <f aca="false">IF($B83="","",IFERROR(INDEX('Employee Master'!$B$2:$B$159,MATCH($B83,'Employee Master'!$A$2:$A$159,0)),""))</f>
        <v>Rinku Das</v>
      </c>
      <c r="D83" s="1" t="str">
        <f aca="false">IF($B83="","",IFERROR(INDEX('Employee Master'!$C$2:$C$159,MATCH($B83,'Employee Master'!$A$2:$A$159,0)),""))</f>
        <v>12:15 PM</v>
      </c>
      <c r="E83" s="1" t="str">
        <f aca="false">IF($B83="","",IFERROR(INDEX('Employee Master'!$I$2:$I$159,MATCH($B83,'Employee Master'!$A$2:$A$159,0)),""))</f>
        <v>PM</v>
      </c>
      <c r="F83" s="29" t="str">
        <f aca="false">IF($B83="","",IFERROR(INDEX('Employee Master'!$E$2:$E$159,MATCH($B83,'Employee Master'!$A$2:$A$159,0)),""))</f>
        <v>Y</v>
      </c>
      <c r="G83" s="29" t="str">
        <f aca="false">IF($B83="","",IFERROR(INDEX('Employee Master'!$F$2:$F$159,MATCH($B83,'Employee Master'!$A$2:$A$159,0)),""))</f>
        <v>N</v>
      </c>
      <c r="H83" s="41" t="str">
        <f aca="false">IF($B83="","","Present")</f>
        <v>Present</v>
      </c>
      <c r="I83" s="1" t="str">
        <f aca="false">IF($B83="","",IFERROR(INDEX('Employee Master'!$H$2:$H$159,MATCH($B83,'Employee Master'!$A$2:$A$159,0)),""))</f>
        <v>None</v>
      </c>
      <c r="J83" s="29" t="str">
        <f aca="false">IF($B83="","",IFERROR(INDEX('Qualification Matrix'!$C$2:$C$168,MATCH($B83,'Qualification Matrix'!$A$2:$A$168,0)),2))</f>
        <v>N</v>
      </c>
      <c r="K83" s="29" t="str">
        <f aca="false">IF($B83="","",IFERROR(INDEX('Qualification Matrix'!$D$2:$D$168,MATCH($B83,'Qualification Matrix'!$A$2:$A$168,0)),2))</f>
        <v>N</v>
      </c>
      <c r="L83" s="29" t="str">
        <f aca="false">IF($B83="","",IFERROR(INDEX('Qualification Matrix'!$E$2:$E$168,MATCH($B83,'Qualification Matrix'!$A$2:$A$168,0)),2))</f>
        <v>N</v>
      </c>
      <c r="M83" s="29" t="str">
        <f aca="false">IF($B83="","",IFERROR(INDEX('Qualification Matrix'!$F$2:$F$168,MATCH($B83,'Qualification Matrix'!$A$2:$A$168,0)),2))</f>
        <v>Y</v>
      </c>
      <c r="N83" s="29" t="str">
        <f aca="false">IF($B83="","",IF(AND($H83="Present",$F83&lt;&gt;"Y"),"Y","N"))</f>
        <v>N</v>
      </c>
      <c r="O83" s="42"/>
      <c r="P83" s="29" t="n">
        <f aca="false">IF($B83="","",IFERROR(INDEX('Qualification Matrix'!$H$2:$H$168,MATCH($B83,'Qualification Matrix'!$A$2:$A$168,0)),""))</f>
        <v>2</v>
      </c>
      <c r="Q83" s="43" t="n">
        <f aca="false">IF($B83="","",SUMIFS('Rotation History'!$M$2:$M$1000,'Rotation History'!$B$2:$B$1000,$B83,'Rotation History'!$A$2:$A$1000,"&gt;="&amp;($B$2-30),'Rotation History'!$A$2:$A$1000,"&lt;"&amp;$B$2))</f>
        <v>0</v>
      </c>
      <c r="R83" s="43" t="n">
        <f aca="false">IF($B83="","",COUNTIFS('Rotation History'!$B$2:$B$1000,$B83,'Rotation History'!$M$2:$M$1000,"&gt;0",'Rotation History'!$A$2:$A$1000,"&gt;="&amp;($B$2-30),'Rotation History'!$A$2:$A$1000,"&lt;"&amp;$B$2))</f>
        <v>0</v>
      </c>
      <c r="S83" s="43" t="n">
        <f aca="false">IF($B83="","",IF(COUNTIFS('Rotation History'!$B$2:$B$1000,$B83,'Rotation History'!$A$2:$A$1000,$B$2-1,'Rotation History'!$M$2:$M$1000,"&gt;0")=0,0,1+IF(COUNTIFS('Rotation History'!$B$2:$B$1000,$B83,'Rotation History'!$A$2:$A$1000,$B$2-2,'Rotation History'!$M$2:$M$1000,"&gt;0")=0,0,1+IF(COUNTIFS('Rotation History'!$B$2:$B$1000,$B83,'Rotation History'!$A$2:$A$1000,$B$2-3,'Rotation History'!$M$2:$M$1000,"&gt;0")=0,0,1+IF(COUNTIFS('Rotation History'!$B$2:$B$1000,$B83,'Rotation History'!$A$2:$A$1000,$B$2-4,'Rotation History'!$M$2:$M$1000,"&gt;0")=0,0,1)))))</f>
        <v>0</v>
      </c>
      <c r="T83" s="43" t="n">
        <f aca="false">IF($B83="","",COUNTIFS('Rotation History'!$B$2:$B$1000,$B83,'Rotation History'!$K$2:$K$1000,"Opening",'Rotation History'!$A$2:$A$1000,"&gt;="&amp;($B$2-30),'Rotation History'!$A$2:$A$1000,"&lt;"&amp;$B$2))</f>
        <v>0</v>
      </c>
      <c r="U83" s="43" t="n">
        <f aca="false">IF($B83="","",COUNTIFS('Rotation History'!$B$2:$B$1000,$B83,'Rotation History'!$K$2:$K$1000,"Lunch Relief",'Rotation History'!$A$2:$A$1000,"&gt;="&amp;($B$2-30),'Rotation History'!$A$2:$A$1000,"&lt;"&amp;$B$2))</f>
        <v>0</v>
      </c>
      <c r="V83" s="44" t="n">
        <f aca="false">IF($B83="","",$Q83*10+$R83*2+$S83*20+$T83*3+$U83)</f>
        <v>0</v>
      </c>
    </row>
    <row r="84" customFormat="false" ht="14.25" hidden="false" customHeight="true" outlineLevel="0" collapsed="false">
      <c r="A84" s="40" t="n">
        <f aca="false">IF($B84="","",$B$2)</f>
        <v>46231</v>
      </c>
      <c r="B84" s="1" t="str">
        <f aca="false">IF($B$2="","",IFERROR(INDEX('Employee Master'!$A$2:$A$159,MATCH(ROWS($B$6:B84),Lists!$P$2:$P$159,0)),""))</f>
        <v>EMP-0130</v>
      </c>
      <c r="C84" s="1" t="str">
        <f aca="false">IF($B84="","",IFERROR(INDEX('Employee Master'!$B$2:$B$159,MATCH($B84,'Employee Master'!$A$2:$A$159,0)),""))</f>
        <v>Sarah Harden</v>
      </c>
      <c r="D84" s="1" t="str">
        <f aca="false">IF($B84="","",IFERROR(INDEX('Employee Master'!$C$2:$C$159,MATCH($B84,'Employee Master'!$A$2:$A$159,0)),""))</f>
        <v>12:15 PM</v>
      </c>
      <c r="E84" s="1" t="str">
        <f aca="false">IF($B84="","",IFERROR(INDEX('Employee Master'!$I$2:$I$159,MATCH($B84,'Employee Master'!$A$2:$A$159,0)),""))</f>
        <v>PM</v>
      </c>
      <c r="F84" s="29" t="str">
        <f aca="false">IF($B84="","",IFERROR(INDEX('Employee Master'!$E$2:$E$159,MATCH($B84,'Employee Master'!$A$2:$A$159,0)),""))</f>
        <v>N</v>
      </c>
      <c r="G84" s="29" t="str">
        <f aca="false">IF($B84="","",IFERROR(INDEX('Employee Master'!$F$2:$F$159,MATCH($B84,'Employee Master'!$A$2:$A$159,0)),""))</f>
        <v>N</v>
      </c>
      <c r="H84" s="41" t="str">
        <f aca="false">IF($B84="","","Present")</f>
        <v>Present</v>
      </c>
      <c r="I84" s="1" t="str">
        <f aca="false">IF($B84="","",IFERROR(INDEX('Employee Master'!$H$2:$H$159,MATCH($B84,'Employee Master'!$A$2:$A$159,0)),""))</f>
        <v>None</v>
      </c>
      <c r="J84" s="29" t="str">
        <f aca="false">IF($B84="","",IFERROR(INDEX('Qualification Matrix'!$C$2:$C$168,MATCH($B84,'Qualification Matrix'!$A$2:$A$168,0)),2))</f>
        <v>N</v>
      </c>
      <c r="K84" s="29" t="str">
        <f aca="false">IF($B84="","",IFERROR(INDEX('Qualification Matrix'!$D$2:$D$168,MATCH($B84,'Qualification Matrix'!$A$2:$A$168,0)),2))</f>
        <v>N</v>
      </c>
      <c r="L84" s="29" t="str">
        <f aca="false">IF($B84="","",IFERROR(INDEX('Qualification Matrix'!$E$2:$E$168,MATCH($B84,'Qualification Matrix'!$A$2:$A$168,0)),2))</f>
        <v>N</v>
      </c>
      <c r="M84" s="29" t="str">
        <f aca="false">IF($B84="","",IFERROR(INDEX('Qualification Matrix'!$F$2:$F$168,MATCH($B84,'Qualification Matrix'!$A$2:$A$168,0)),2))</f>
        <v>Y</v>
      </c>
      <c r="N84" s="29" t="str">
        <f aca="false">IF($B84="","",IF(AND($H84="Present",$F84&lt;&gt;"Y"),"Y","N"))</f>
        <v>Y</v>
      </c>
      <c r="O84" s="42"/>
      <c r="P84" s="29" t="n">
        <f aca="false">IF($B84="","",IFERROR(INDEX('Qualification Matrix'!$H$2:$H$168,MATCH($B84,'Qualification Matrix'!$A$2:$A$168,0)),""))</f>
        <v>2</v>
      </c>
      <c r="Q84" s="43" t="n">
        <f aca="false">IF($B84="","",SUMIFS('Rotation History'!$M$2:$M$1000,'Rotation History'!$B$2:$B$1000,$B84,'Rotation History'!$A$2:$A$1000,"&gt;="&amp;($B$2-30),'Rotation History'!$A$2:$A$1000,"&lt;"&amp;$B$2))</f>
        <v>0</v>
      </c>
      <c r="R84" s="43" t="n">
        <f aca="false">IF($B84="","",COUNTIFS('Rotation History'!$B$2:$B$1000,$B84,'Rotation History'!$M$2:$M$1000,"&gt;0",'Rotation History'!$A$2:$A$1000,"&gt;="&amp;($B$2-30),'Rotation History'!$A$2:$A$1000,"&lt;"&amp;$B$2))</f>
        <v>0</v>
      </c>
      <c r="S84" s="43" t="n">
        <f aca="false">IF($B84="","",IF(COUNTIFS('Rotation History'!$B$2:$B$1000,$B84,'Rotation History'!$A$2:$A$1000,$B$2-1,'Rotation History'!$M$2:$M$1000,"&gt;0")=0,0,1+IF(COUNTIFS('Rotation History'!$B$2:$B$1000,$B84,'Rotation History'!$A$2:$A$1000,$B$2-2,'Rotation History'!$M$2:$M$1000,"&gt;0")=0,0,1+IF(COUNTIFS('Rotation History'!$B$2:$B$1000,$B84,'Rotation History'!$A$2:$A$1000,$B$2-3,'Rotation History'!$M$2:$M$1000,"&gt;0")=0,0,1+IF(COUNTIFS('Rotation History'!$B$2:$B$1000,$B84,'Rotation History'!$A$2:$A$1000,$B$2-4,'Rotation History'!$M$2:$M$1000,"&gt;0")=0,0,1)))))</f>
        <v>0</v>
      </c>
      <c r="T84" s="43" t="n">
        <f aca="false">IF($B84="","",COUNTIFS('Rotation History'!$B$2:$B$1000,$B84,'Rotation History'!$K$2:$K$1000,"Opening",'Rotation History'!$A$2:$A$1000,"&gt;="&amp;($B$2-30),'Rotation History'!$A$2:$A$1000,"&lt;"&amp;$B$2))</f>
        <v>0</v>
      </c>
      <c r="U84" s="43" t="n">
        <f aca="false">IF($B84="","",COUNTIFS('Rotation History'!$B$2:$B$1000,$B84,'Rotation History'!$K$2:$K$1000,"Lunch Relief",'Rotation History'!$A$2:$A$1000,"&gt;="&amp;($B$2-30),'Rotation History'!$A$2:$A$1000,"&lt;"&amp;$B$2))</f>
        <v>0</v>
      </c>
      <c r="V84" s="44" t="n">
        <f aca="false">IF($B84="","",$Q84*10+$R84*2+$S84*20+$T84*3+$U84)</f>
        <v>0</v>
      </c>
    </row>
    <row r="85" customFormat="false" ht="14.25" hidden="false" customHeight="true" outlineLevel="0" collapsed="false">
      <c r="A85" s="40" t="n">
        <f aca="false">IF($B85="","",$B$2)</f>
        <v>46231</v>
      </c>
      <c r="B85" s="1" t="str">
        <f aca="false">IF($B$2="","",IFERROR(INDEX('Employee Master'!$A$2:$A$159,MATCH(ROWS($B$6:B85),Lists!$P$2:$P$159,0)),""))</f>
        <v>EMP-0139</v>
      </c>
      <c r="C85" s="1" t="str">
        <f aca="false">IF($B85="","",IFERROR(INDEX('Employee Master'!$B$2:$B$159,MATCH($B85,'Employee Master'!$A$2:$A$159,0)),""))</f>
        <v>Terry Freeman</v>
      </c>
      <c r="D85" s="1" t="str">
        <f aca="false">IF($B85="","",IFERROR(INDEX('Employee Master'!$C$2:$C$159,MATCH($B85,'Employee Master'!$A$2:$A$159,0)),""))</f>
        <v>12:15 PM</v>
      </c>
      <c r="E85" s="1" t="str">
        <f aca="false">IF($B85="","",IFERROR(INDEX('Employee Master'!$I$2:$I$159,MATCH($B85,'Employee Master'!$A$2:$A$159,0)),""))</f>
        <v>PM</v>
      </c>
      <c r="F85" s="29" t="str">
        <f aca="false">IF($B85="","",IFERROR(INDEX('Employee Master'!$E$2:$E$159,MATCH($B85,'Employee Master'!$A$2:$A$159,0)),""))</f>
        <v>Y</v>
      </c>
      <c r="G85" s="29" t="str">
        <f aca="false">IF($B85="","",IFERROR(INDEX('Employee Master'!$F$2:$F$159,MATCH($B85,'Employee Master'!$A$2:$A$159,0)),""))</f>
        <v>N</v>
      </c>
      <c r="H85" s="41" t="str">
        <f aca="false">IF($B85="","","Present")</f>
        <v>Present</v>
      </c>
      <c r="I85" s="1" t="str">
        <f aca="false">IF($B85="","",IFERROR(INDEX('Employee Master'!$H$2:$H$159,MATCH($B85,'Employee Master'!$A$2:$A$159,0)),""))</f>
        <v>None</v>
      </c>
      <c r="J85" s="29" t="str">
        <f aca="false">IF($B85="","",IFERROR(INDEX('Qualification Matrix'!$C$2:$C$168,MATCH($B85,'Qualification Matrix'!$A$2:$A$168,0)),2))</f>
        <v>N</v>
      </c>
      <c r="K85" s="29" t="str">
        <f aca="false">IF($B85="","",IFERROR(INDEX('Qualification Matrix'!$D$2:$D$168,MATCH($B85,'Qualification Matrix'!$A$2:$A$168,0)),2))</f>
        <v>N</v>
      </c>
      <c r="L85" s="29" t="str">
        <f aca="false">IF($B85="","",IFERROR(INDEX('Qualification Matrix'!$E$2:$E$168,MATCH($B85,'Qualification Matrix'!$A$2:$A$168,0)),2))</f>
        <v>N</v>
      </c>
      <c r="M85" s="29" t="str">
        <f aca="false">IF($B85="","",IFERROR(INDEX('Qualification Matrix'!$F$2:$F$168,MATCH($B85,'Qualification Matrix'!$A$2:$A$168,0)),2))</f>
        <v>Y</v>
      </c>
      <c r="N85" s="29" t="str">
        <f aca="false">IF($B85="","",IF(AND($H85="Present",$F85&lt;&gt;"Y"),"Y","N"))</f>
        <v>N</v>
      </c>
      <c r="O85" s="42"/>
      <c r="P85" s="29" t="n">
        <f aca="false">IF($B85="","",IFERROR(INDEX('Qualification Matrix'!$H$2:$H$168,MATCH($B85,'Qualification Matrix'!$A$2:$A$168,0)),""))</f>
        <v>2</v>
      </c>
      <c r="Q85" s="43" t="n">
        <f aca="false">IF($B85="","",SUMIFS('Rotation History'!$M$2:$M$1000,'Rotation History'!$B$2:$B$1000,$B85,'Rotation History'!$A$2:$A$1000,"&gt;="&amp;($B$2-30),'Rotation History'!$A$2:$A$1000,"&lt;"&amp;$B$2))</f>
        <v>0</v>
      </c>
      <c r="R85" s="43" t="n">
        <f aca="false">IF($B85="","",COUNTIFS('Rotation History'!$B$2:$B$1000,$B85,'Rotation History'!$M$2:$M$1000,"&gt;0",'Rotation History'!$A$2:$A$1000,"&gt;="&amp;($B$2-30),'Rotation History'!$A$2:$A$1000,"&lt;"&amp;$B$2))</f>
        <v>0</v>
      </c>
      <c r="S85" s="43" t="n">
        <f aca="false">IF($B85="","",IF(COUNTIFS('Rotation History'!$B$2:$B$1000,$B85,'Rotation History'!$A$2:$A$1000,$B$2-1,'Rotation History'!$M$2:$M$1000,"&gt;0")=0,0,1+IF(COUNTIFS('Rotation History'!$B$2:$B$1000,$B85,'Rotation History'!$A$2:$A$1000,$B$2-2,'Rotation History'!$M$2:$M$1000,"&gt;0")=0,0,1+IF(COUNTIFS('Rotation History'!$B$2:$B$1000,$B85,'Rotation History'!$A$2:$A$1000,$B$2-3,'Rotation History'!$M$2:$M$1000,"&gt;0")=0,0,1+IF(COUNTIFS('Rotation History'!$B$2:$B$1000,$B85,'Rotation History'!$A$2:$A$1000,$B$2-4,'Rotation History'!$M$2:$M$1000,"&gt;0")=0,0,1)))))</f>
        <v>0</v>
      </c>
      <c r="T85" s="43" t="n">
        <f aca="false">IF($B85="","",COUNTIFS('Rotation History'!$B$2:$B$1000,$B85,'Rotation History'!$K$2:$K$1000,"Opening",'Rotation History'!$A$2:$A$1000,"&gt;="&amp;($B$2-30),'Rotation History'!$A$2:$A$1000,"&lt;"&amp;$B$2))</f>
        <v>0</v>
      </c>
      <c r="U85" s="43" t="n">
        <f aca="false">IF($B85="","",COUNTIFS('Rotation History'!$B$2:$B$1000,$B85,'Rotation History'!$K$2:$K$1000,"Lunch Relief",'Rotation History'!$A$2:$A$1000,"&gt;="&amp;($B$2-30),'Rotation History'!$A$2:$A$1000,"&lt;"&amp;$B$2))</f>
        <v>0</v>
      </c>
      <c r="V85" s="44" t="n">
        <f aca="false">IF($B85="","",$Q85*10+$R85*2+$S85*20+$T85*3+$U85)</f>
        <v>0</v>
      </c>
    </row>
    <row r="86" customFormat="false" ht="14.25" hidden="false" customHeight="true" outlineLevel="0" collapsed="false">
      <c r="A86" s="40" t="n">
        <f aca="false">IF($B86="","",$B$2)</f>
        <v>46231</v>
      </c>
      <c r="B86" s="1" t="str">
        <f aca="false">IF($B$2="","",IFERROR(INDEX('Employee Master'!$A$2:$A$159,MATCH(ROWS($B$6:B86),Lists!$P$2:$P$159,0)),""))</f>
        <v>EMP-0150</v>
      </c>
      <c r="C86" s="1" t="str">
        <f aca="false">IF($B86="","",IFERROR(INDEX('Employee Master'!$B$2:$B$159,MATCH($B86,'Employee Master'!$A$2:$A$159,0)),""))</f>
        <v>Veronica Laster</v>
      </c>
      <c r="D86" s="1" t="str">
        <f aca="false">IF($B86="","",IFERROR(INDEX('Employee Master'!$C$2:$C$159,MATCH($B86,'Employee Master'!$A$2:$A$159,0)),""))</f>
        <v>12:15 PM</v>
      </c>
      <c r="E86" s="1" t="str">
        <f aca="false">IF($B86="","",IFERROR(INDEX('Employee Master'!$I$2:$I$159,MATCH($B86,'Employee Master'!$A$2:$A$159,0)),""))</f>
        <v>PM</v>
      </c>
      <c r="F86" s="29" t="str">
        <f aca="false">IF($B86="","",IFERROR(INDEX('Employee Master'!$E$2:$E$159,MATCH($B86,'Employee Master'!$A$2:$A$159,0)),""))</f>
        <v>N</v>
      </c>
      <c r="G86" s="29" t="str">
        <f aca="false">IF($B86="","",IFERROR(INDEX('Employee Master'!$F$2:$F$159,MATCH($B86,'Employee Master'!$A$2:$A$159,0)),""))</f>
        <v>N</v>
      </c>
      <c r="H86" s="41" t="str">
        <f aca="false">IF($B86="","","Present")</f>
        <v>Present</v>
      </c>
      <c r="I86" s="1" t="str">
        <f aca="false">IF($B86="","",IFERROR(INDEX('Employee Master'!$H$2:$H$159,MATCH($B86,'Employee Master'!$A$2:$A$159,0)),""))</f>
        <v>None</v>
      </c>
      <c r="J86" s="29" t="str">
        <f aca="false">IF($B86="","",IFERROR(INDEX('Qualification Matrix'!$C$2:$C$168,MATCH($B86,'Qualification Matrix'!$A$2:$A$168,0)),2))</f>
        <v>N</v>
      </c>
      <c r="K86" s="29" t="str">
        <f aca="false">IF($B86="","",IFERROR(INDEX('Qualification Matrix'!$D$2:$D$168,MATCH($B86,'Qualification Matrix'!$A$2:$A$168,0)),2))</f>
        <v>N</v>
      </c>
      <c r="L86" s="29" t="str">
        <f aca="false">IF($B86="","",IFERROR(INDEX('Qualification Matrix'!$E$2:$E$168,MATCH($B86,'Qualification Matrix'!$A$2:$A$168,0)),2))</f>
        <v>N</v>
      </c>
      <c r="M86" s="29" t="str">
        <f aca="false">IF($B86="","",IFERROR(INDEX('Qualification Matrix'!$F$2:$F$168,MATCH($B86,'Qualification Matrix'!$A$2:$A$168,0)),2))</f>
        <v>Y</v>
      </c>
      <c r="N86" s="29" t="str">
        <f aca="false">IF($B86="","",IF(AND($H86="Present",$F86&lt;&gt;"Y"),"Y","N"))</f>
        <v>Y</v>
      </c>
      <c r="O86" s="42"/>
      <c r="P86" s="29" t="n">
        <f aca="false">IF($B86="","",IFERROR(INDEX('Qualification Matrix'!$H$2:$H$168,MATCH($B86,'Qualification Matrix'!$A$2:$A$168,0)),""))</f>
        <v>2</v>
      </c>
      <c r="Q86" s="43" t="n">
        <f aca="false">IF($B86="","",SUMIFS('Rotation History'!$M$2:$M$1000,'Rotation History'!$B$2:$B$1000,$B86,'Rotation History'!$A$2:$A$1000,"&gt;="&amp;($B$2-30),'Rotation History'!$A$2:$A$1000,"&lt;"&amp;$B$2))</f>
        <v>0</v>
      </c>
      <c r="R86" s="43" t="n">
        <f aca="false">IF($B86="","",COUNTIFS('Rotation History'!$B$2:$B$1000,$B86,'Rotation History'!$M$2:$M$1000,"&gt;0",'Rotation History'!$A$2:$A$1000,"&gt;="&amp;($B$2-30),'Rotation History'!$A$2:$A$1000,"&lt;"&amp;$B$2))</f>
        <v>0</v>
      </c>
      <c r="S86" s="43" t="n">
        <f aca="false">IF($B86="","",IF(COUNTIFS('Rotation History'!$B$2:$B$1000,$B86,'Rotation History'!$A$2:$A$1000,$B$2-1,'Rotation History'!$M$2:$M$1000,"&gt;0")=0,0,1+IF(COUNTIFS('Rotation History'!$B$2:$B$1000,$B86,'Rotation History'!$A$2:$A$1000,$B$2-2,'Rotation History'!$M$2:$M$1000,"&gt;0")=0,0,1+IF(COUNTIFS('Rotation History'!$B$2:$B$1000,$B86,'Rotation History'!$A$2:$A$1000,$B$2-3,'Rotation History'!$M$2:$M$1000,"&gt;0")=0,0,1+IF(COUNTIFS('Rotation History'!$B$2:$B$1000,$B86,'Rotation History'!$A$2:$A$1000,$B$2-4,'Rotation History'!$M$2:$M$1000,"&gt;0")=0,0,1)))))</f>
        <v>0</v>
      </c>
      <c r="T86" s="43" t="n">
        <f aca="false">IF($B86="","",COUNTIFS('Rotation History'!$B$2:$B$1000,$B86,'Rotation History'!$K$2:$K$1000,"Opening",'Rotation History'!$A$2:$A$1000,"&gt;="&amp;($B$2-30),'Rotation History'!$A$2:$A$1000,"&lt;"&amp;$B$2))</f>
        <v>0</v>
      </c>
      <c r="U86" s="43" t="n">
        <f aca="false">IF($B86="","",COUNTIFS('Rotation History'!$B$2:$B$1000,$B86,'Rotation History'!$K$2:$K$1000,"Lunch Relief",'Rotation History'!$A$2:$A$1000,"&gt;="&amp;($B$2-30),'Rotation History'!$A$2:$A$1000,"&lt;"&amp;$B$2))</f>
        <v>0</v>
      </c>
      <c r="V86" s="44" t="n">
        <f aca="false">IF($B86="","",$Q86*10+$R86*2+$S86*20+$T86*3+$U86)</f>
        <v>0</v>
      </c>
    </row>
    <row r="87" customFormat="false" ht="14.25" hidden="false" customHeight="true" outlineLevel="0" collapsed="false">
      <c r="A87" s="40" t="n">
        <f aca="false">IF($B87="","",$B$2)</f>
        <v>46231</v>
      </c>
      <c r="B87" s="1" t="str">
        <f aca="false">IF($B$2="","",IFERROR(INDEX('Employee Master'!$A$2:$A$159,MATCH(ROWS($B$6:B87),Lists!$P$2:$P$159,0)),""))</f>
        <v>EMP-0001</v>
      </c>
      <c r="C87" s="1" t="str">
        <f aca="false">IF($B87="","",IFERROR(INDEX('Employee Master'!$B$2:$B$159,MATCH($B87,'Employee Master'!$A$2:$A$159,0)),""))</f>
        <v>Aaliyah Snider</v>
      </c>
      <c r="D87" s="1" t="str">
        <f aca="false">IF($B87="","",IFERROR(INDEX('Employee Master'!$C$2:$C$159,MATCH($B87,'Employee Master'!$A$2:$A$159,0)),""))</f>
        <v>2:00 PM</v>
      </c>
      <c r="E87" s="1" t="str">
        <f aca="false">IF($B87="","",IFERROR(INDEX('Employee Master'!$I$2:$I$159,MATCH($B87,'Employee Master'!$A$2:$A$159,0)),""))</f>
        <v>PM</v>
      </c>
      <c r="F87" s="29" t="str">
        <f aca="false">IF($B87="","",IFERROR(INDEX('Employee Master'!$E$2:$E$159,MATCH($B87,'Employee Master'!$A$2:$A$159,0)),""))</f>
        <v>N</v>
      </c>
      <c r="G87" s="29" t="str">
        <f aca="false">IF($B87="","",IFERROR(INDEX('Employee Master'!$F$2:$F$159,MATCH($B87,'Employee Master'!$A$2:$A$159,0)),""))</f>
        <v>N</v>
      </c>
      <c r="H87" s="41" t="str">
        <f aca="false">IF($B87="","","Present")</f>
        <v>Present</v>
      </c>
      <c r="I87" s="1" t="str">
        <f aca="false">IF($B87="","",IFERROR(INDEX('Employee Master'!$H$2:$H$159,MATCH($B87,'Employee Master'!$A$2:$A$159,0)),""))</f>
        <v>None</v>
      </c>
      <c r="J87" s="29" t="str">
        <f aca="false">IF($B87="","",IFERROR(INDEX('Qualification Matrix'!$C$2:$C$168,MATCH($B87,'Qualification Matrix'!$A$2:$A$168,0)),2))</f>
        <v>N</v>
      </c>
      <c r="K87" s="29" t="str">
        <f aca="false">IF($B87="","",IFERROR(INDEX('Qualification Matrix'!$D$2:$D$168,MATCH($B87,'Qualification Matrix'!$A$2:$A$168,0)),2))</f>
        <v>N</v>
      </c>
      <c r="L87" s="29" t="str">
        <f aca="false">IF($B87="","",IFERROR(INDEX('Qualification Matrix'!$E$2:$E$168,MATCH($B87,'Qualification Matrix'!$A$2:$A$168,0)),2))</f>
        <v>N</v>
      </c>
      <c r="M87" s="29" t="str">
        <f aca="false">IF($B87="","",IFERROR(INDEX('Qualification Matrix'!$F$2:$F$168,MATCH($B87,'Qualification Matrix'!$A$2:$A$168,0)),2))</f>
        <v>Y</v>
      </c>
      <c r="N87" s="29" t="str">
        <f aca="false">IF($B87="","",IF(AND($H87="Present",$F87&lt;&gt;"Y"),"Y","N"))</f>
        <v>Y</v>
      </c>
      <c r="O87" s="42"/>
      <c r="P87" s="29" t="n">
        <f aca="false">IF($B87="","",IFERROR(INDEX('Qualification Matrix'!$H$2:$H$168,MATCH($B87,'Qualification Matrix'!$A$2:$A$168,0)),""))</f>
        <v>2</v>
      </c>
      <c r="Q87" s="43" t="n">
        <f aca="false">IF($B87="","",SUMIFS('Rotation History'!$M$2:$M$1000,'Rotation History'!$B$2:$B$1000,$B87,'Rotation History'!$A$2:$A$1000,"&gt;="&amp;($B$2-30),'Rotation History'!$A$2:$A$1000,"&lt;"&amp;$B$2))</f>
        <v>0</v>
      </c>
      <c r="R87" s="43" t="n">
        <f aca="false">IF($B87="","",COUNTIFS('Rotation History'!$B$2:$B$1000,$B87,'Rotation History'!$M$2:$M$1000,"&gt;0",'Rotation History'!$A$2:$A$1000,"&gt;="&amp;($B$2-30),'Rotation History'!$A$2:$A$1000,"&lt;"&amp;$B$2))</f>
        <v>0</v>
      </c>
      <c r="S87" s="43" t="n">
        <f aca="false">IF($B87="","",IF(COUNTIFS('Rotation History'!$B$2:$B$1000,$B87,'Rotation History'!$A$2:$A$1000,$B$2-1,'Rotation History'!$M$2:$M$1000,"&gt;0")=0,0,1+IF(COUNTIFS('Rotation History'!$B$2:$B$1000,$B87,'Rotation History'!$A$2:$A$1000,$B$2-2,'Rotation History'!$M$2:$M$1000,"&gt;0")=0,0,1+IF(COUNTIFS('Rotation History'!$B$2:$B$1000,$B87,'Rotation History'!$A$2:$A$1000,$B$2-3,'Rotation History'!$M$2:$M$1000,"&gt;0")=0,0,1+IF(COUNTIFS('Rotation History'!$B$2:$B$1000,$B87,'Rotation History'!$A$2:$A$1000,$B$2-4,'Rotation History'!$M$2:$M$1000,"&gt;0")=0,0,1)))))</f>
        <v>0</v>
      </c>
      <c r="T87" s="43" t="n">
        <f aca="false">IF($B87="","",COUNTIFS('Rotation History'!$B$2:$B$1000,$B87,'Rotation History'!$K$2:$K$1000,"Opening",'Rotation History'!$A$2:$A$1000,"&gt;="&amp;($B$2-30),'Rotation History'!$A$2:$A$1000,"&lt;"&amp;$B$2))</f>
        <v>0</v>
      </c>
      <c r="U87" s="43" t="n">
        <f aca="false">IF($B87="","",COUNTIFS('Rotation History'!$B$2:$B$1000,$B87,'Rotation History'!$K$2:$K$1000,"Lunch Relief",'Rotation History'!$A$2:$A$1000,"&gt;="&amp;($B$2-30),'Rotation History'!$A$2:$A$1000,"&lt;"&amp;$B$2))</f>
        <v>0</v>
      </c>
      <c r="V87" s="44" t="n">
        <f aca="false">IF($B87="","",$Q87*10+$R87*2+$S87*20+$T87*3+$U87)</f>
        <v>0</v>
      </c>
    </row>
    <row r="88" customFormat="false" ht="14.25" hidden="false" customHeight="true" outlineLevel="0" collapsed="false">
      <c r="A88" s="40" t="n">
        <f aca="false">IF($B88="","",$B$2)</f>
        <v>46231</v>
      </c>
      <c r="B88" s="1" t="str">
        <f aca="false">IF($B$2="","",IFERROR(INDEX('Employee Master'!$A$2:$A$159,MATCH(ROWS($B$6:B88),Lists!$P$2:$P$159,0)),""))</f>
        <v>EMP-0008</v>
      </c>
      <c r="C88" s="1" t="str">
        <f aca="false">IF($B88="","",IFERROR(INDEX('Employee Master'!$B$2:$B$159,MATCH($B88,'Employee Master'!$A$2:$A$159,0)),""))</f>
        <v>Akuugo Nduaguba</v>
      </c>
      <c r="D88" s="1" t="str">
        <f aca="false">IF($B88="","",IFERROR(INDEX('Employee Master'!$C$2:$C$159,MATCH($B88,'Employee Master'!$A$2:$A$159,0)),""))</f>
        <v>2:00 PM</v>
      </c>
      <c r="E88" s="1" t="str">
        <f aca="false">IF($B88="","",IFERROR(INDEX('Employee Master'!$I$2:$I$159,MATCH($B88,'Employee Master'!$A$2:$A$159,0)),""))</f>
        <v>PM</v>
      </c>
      <c r="F88" s="29" t="str">
        <f aca="false">IF($B88="","",IFERROR(INDEX('Employee Master'!$E$2:$E$159,MATCH($B88,'Employee Master'!$A$2:$A$159,0)),""))</f>
        <v>N</v>
      </c>
      <c r="G88" s="29" t="str">
        <f aca="false">IF($B88="","",IFERROR(INDEX('Employee Master'!$F$2:$F$159,MATCH($B88,'Employee Master'!$A$2:$A$159,0)),""))</f>
        <v>N</v>
      </c>
      <c r="H88" s="41" t="str">
        <f aca="false">IF($B88="","","Present")</f>
        <v>Present</v>
      </c>
      <c r="I88" s="1" t="str">
        <f aca="false">IF($B88="","",IFERROR(INDEX('Employee Master'!$H$2:$H$159,MATCH($B88,'Employee Master'!$A$2:$A$159,0)),""))</f>
        <v>None</v>
      </c>
      <c r="J88" s="29" t="str">
        <f aca="false">IF($B88="","",IFERROR(INDEX('Qualification Matrix'!$C$2:$C$168,MATCH($B88,'Qualification Matrix'!$A$2:$A$168,0)),2))</f>
        <v>N</v>
      </c>
      <c r="K88" s="29" t="str">
        <f aca="false">IF($B88="","",IFERROR(INDEX('Qualification Matrix'!$D$2:$D$168,MATCH($B88,'Qualification Matrix'!$A$2:$A$168,0)),2))</f>
        <v>N</v>
      </c>
      <c r="L88" s="29" t="str">
        <f aca="false">IF($B88="","",IFERROR(INDEX('Qualification Matrix'!$E$2:$E$168,MATCH($B88,'Qualification Matrix'!$A$2:$A$168,0)),2))</f>
        <v>N</v>
      </c>
      <c r="M88" s="29" t="str">
        <f aca="false">IF($B88="","",IFERROR(INDEX('Qualification Matrix'!$F$2:$F$168,MATCH($B88,'Qualification Matrix'!$A$2:$A$168,0)),2))</f>
        <v>Y</v>
      </c>
      <c r="N88" s="29" t="str">
        <f aca="false">IF($B88="","",IF(AND($H88="Present",$F88&lt;&gt;"Y"),"Y","N"))</f>
        <v>Y</v>
      </c>
      <c r="O88" s="42"/>
      <c r="P88" s="29" t="n">
        <f aca="false">IF($B88="","",IFERROR(INDEX('Qualification Matrix'!$H$2:$H$168,MATCH($B88,'Qualification Matrix'!$A$2:$A$168,0)),""))</f>
        <v>2</v>
      </c>
      <c r="Q88" s="43" t="n">
        <f aca="false">IF($B88="","",SUMIFS('Rotation History'!$M$2:$M$1000,'Rotation History'!$B$2:$B$1000,$B88,'Rotation History'!$A$2:$A$1000,"&gt;="&amp;($B$2-30),'Rotation History'!$A$2:$A$1000,"&lt;"&amp;$B$2))</f>
        <v>0</v>
      </c>
      <c r="R88" s="43" t="n">
        <f aca="false">IF($B88="","",COUNTIFS('Rotation History'!$B$2:$B$1000,$B88,'Rotation History'!$M$2:$M$1000,"&gt;0",'Rotation History'!$A$2:$A$1000,"&gt;="&amp;($B$2-30),'Rotation History'!$A$2:$A$1000,"&lt;"&amp;$B$2))</f>
        <v>0</v>
      </c>
      <c r="S88" s="43" t="n">
        <f aca="false">IF($B88="","",IF(COUNTIFS('Rotation History'!$B$2:$B$1000,$B88,'Rotation History'!$A$2:$A$1000,$B$2-1,'Rotation History'!$M$2:$M$1000,"&gt;0")=0,0,1+IF(COUNTIFS('Rotation History'!$B$2:$B$1000,$B88,'Rotation History'!$A$2:$A$1000,$B$2-2,'Rotation History'!$M$2:$M$1000,"&gt;0")=0,0,1+IF(COUNTIFS('Rotation History'!$B$2:$B$1000,$B88,'Rotation History'!$A$2:$A$1000,$B$2-3,'Rotation History'!$M$2:$M$1000,"&gt;0")=0,0,1+IF(COUNTIFS('Rotation History'!$B$2:$B$1000,$B88,'Rotation History'!$A$2:$A$1000,$B$2-4,'Rotation History'!$M$2:$M$1000,"&gt;0")=0,0,1)))))</f>
        <v>0</v>
      </c>
      <c r="T88" s="43" t="n">
        <f aca="false">IF($B88="","",COUNTIFS('Rotation History'!$B$2:$B$1000,$B88,'Rotation History'!$K$2:$K$1000,"Opening",'Rotation History'!$A$2:$A$1000,"&gt;="&amp;($B$2-30),'Rotation History'!$A$2:$A$1000,"&lt;"&amp;$B$2))</f>
        <v>0</v>
      </c>
      <c r="U88" s="43" t="n">
        <f aca="false">IF($B88="","",COUNTIFS('Rotation History'!$B$2:$B$1000,$B88,'Rotation History'!$K$2:$K$1000,"Lunch Relief",'Rotation History'!$A$2:$A$1000,"&gt;="&amp;($B$2-30),'Rotation History'!$A$2:$A$1000,"&lt;"&amp;$B$2))</f>
        <v>0</v>
      </c>
      <c r="V88" s="44" t="n">
        <f aca="false">IF($B88="","",$Q88*10+$R88*2+$S88*20+$T88*3+$U88)</f>
        <v>0</v>
      </c>
    </row>
    <row r="89" customFormat="false" ht="14.25" hidden="false" customHeight="true" outlineLevel="0" collapsed="false">
      <c r="A89" s="40" t="n">
        <f aca="false">IF($B89="","",$B$2)</f>
        <v>46231</v>
      </c>
      <c r="B89" s="1" t="str">
        <f aca="false">IF($B$2="","",IFERROR(INDEX('Employee Master'!$A$2:$A$159,MATCH(ROWS($B$6:B89),Lists!$P$2:$P$159,0)),""))</f>
        <v>EMP-0016</v>
      </c>
      <c r="C89" s="1" t="str">
        <f aca="false">IF($B89="","",IFERROR(INDEX('Employee Master'!$B$2:$B$159,MATCH($B89,'Employee Master'!$A$2:$A$159,0)),""))</f>
        <v>Ann-marie White</v>
      </c>
      <c r="D89" s="1" t="str">
        <f aca="false">IF($B89="","",IFERROR(INDEX('Employee Master'!$C$2:$C$159,MATCH($B89,'Employee Master'!$A$2:$A$159,0)),""))</f>
        <v>2:00 PM</v>
      </c>
      <c r="E89" s="1" t="str">
        <f aca="false">IF($B89="","",IFERROR(INDEX('Employee Master'!$I$2:$I$159,MATCH($B89,'Employee Master'!$A$2:$A$159,0)),""))</f>
        <v>PM</v>
      </c>
      <c r="F89" s="29" t="str">
        <f aca="false">IF($B89="","",IFERROR(INDEX('Employee Master'!$E$2:$E$159,MATCH($B89,'Employee Master'!$A$2:$A$159,0)),""))</f>
        <v>N</v>
      </c>
      <c r="G89" s="29" t="str">
        <f aca="false">IF($B89="","",IFERROR(INDEX('Employee Master'!$F$2:$F$159,MATCH($B89,'Employee Master'!$A$2:$A$159,0)),""))</f>
        <v>N</v>
      </c>
      <c r="H89" s="41" t="str">
        <f aca="false">IF($B89="","","Present")</f>
        <v>Present</v>
      </c>
      <c r="I89" s="1" t="str">
        <f aca="false">IF($B89="","",IFERROR(INDEX('Employee Master'!$H$2:$H$159,MATCH($B89,'Employee Master'!$A$2:$A$159,0)),""))</f>
        <v>None</v>
      </c>
      <c r="J89" s="29" t="str">
        <f aca="false">IF($B89="","",IFERROR(INDEX('Qualification Matrix'!$C$2:$C$168,MATCH($B89,'Qualification Matrix'!$A$2:$A$168,0)),2))</f>
        <v>N</v>
      </c>
      <c r="K89" s="29" t="str">
        <f aca="false">IF($B89="","",IFERROR(INDEX('Qualification Matrix'!$D$2:$D$168,MATCH($B89,'Qualification Matrix'!$A$2:$A$168,0)),2))</f>
        <v>N</v>
      </c>
      <c r="L89" s="29" t="str">
        <f aca="false">IF($B89="","",IFERROR(INDEX('Qualification Matrix'!$E$2:$E$168,MATCH($B89,'Qualification Matrix'!$A$2:$A$168,0)),2))</f>
        <v>N</v>
      </c>
      <c r="M89" s="29" t="str">
        <f aca="false">IF($B89="","",IFERROR(INDEX('Qualification Matrix'!$F$2:$F$168,MATCH($B89,'Qualification Matrix'!$A$2:$A$168,0)),2))</f>
        <v>Y</v>
      </c>
      <c r="N89" s="29" t="str">
        <f aca="false">IF($B89="","",IF(AND($H89="Present",$F89&lt;&gt;"Y"),"Y","N"))</f>
        <v>Y</v>
      </c>
      <c r="O89" s="42"/>
      <c r="P89" s="29" t="n">
        <f aca="false">IF($B89="","",IFERROR(INDEX('Qualification Matrix'!$H$2:$H$168,MATCH($B89,'Qualification Matrix'!$A$2:$A$168,0)),""))</f>
        <v>2</v>
      </c>
      <c r="Q89" s="43" t="n">
        <f aca="false">IF($B89="","",SUMIFS('Rotation History'!$M$2:$M$1000,'Rotation History'!$B$2:$B$1000,$B89,'Rotation History'!$A$2:$A$1000,"&gt;="&amp;($B$2-30),'Rotation History'!$A$2:$A$1000,"&lt;"&amp;$B$2))</f>
        <v>0</v>
      </c>
      <c r="R89" s="43" t="n">
        <f aca="false">IF($B89="","",COUNTIFS('Rotation History'!$B$2:$B$1000,$B89,'Rotation History'!$M$2:$M$1000,"&gt;0",'Rotation History'!$A$2:$A$1000,"&gt;="&amp;($B$2-30),'Rotation History'!$A$2:$A$1000,"&lt;"&amp;$B$2))</f>
        <v>0</v>
      </c>
      <c r="S89" s="43" t="n">
        <f aca="false">IF($B89="","",IF(COUNTIFS('Rotation History'!$B$2:$B$1000,$B89,'Rotation History'!$A$2:$A$1000,$B$2-1,'Rotation History'!$M$2:$M$1000,"&gt;0")=0,0,1+IF(COUNTIFS('Rotation History'!$B$2:$B$1000,$B89,'Rotation History'!$A$2:$A$1000,$B$2-2,'Rotation History'!$M$2:$M$1000,"&gt;0")=0,0,1+IF(COUNTIFS('Rotation History'!$B$2:$B$1000,$B89,'Rotation History'!$A$2:$A$1000,$B$2-3,'Rotation History'!$M$2:$M$1000,"&gt;0")=0,0,1+IF(COUNTIFS('Rotation History'!$B$2:$B$1000,$B89,'Rotation History'!$A$2:$A$1000,$B$2-4,'Rotation History'!$M$2:$M$1000,"&gt;0")=0,0,1)))))</f>
        <v>0</v>
      </c>
      <c r="T89" s="43" t="n">
        <f aca="false">IF($B89="","",COUNTIFS('Rotation History'!$B$2:$B$1000,$B89,'Rotation History'!$K$2:$K$1000,"Opening",'Rotation History'!$A$2:$A$1000,"&gt;="&amp;($B$2-30),'Rotation History'!$A$2:$A$1000,"&lt;"&amp;$B$2))</f>
        <v>0</v>
      </c>
      <c r="U89" s="43" t="n">
        <f aca="false">IF($B89="","",COUNTIFS('Rotation History'!$B$2:$B$1000,$B89,'Rotation History'!$K$2:$K$1000,"Lunch Relief",'Rotation History'!$A$2:$A$1000,"&gt;="&amp;($B$2-30),'Rotation History'!$A$2:$A$1000,"&lt;"&amp;$B$2))</f>
        <v>0</v>
      </c>
      <c r="V89" s="44" t="n">
        <f aca="false">IF($B89="","",$Q89*10+$R89*2+$S89*20+$T89*3+$U89)</f>
        <v>0</v>
      </c>
    </row>
    <row r="90" customFormat="false" ht="14.25" hidden="false" customHeight="true" outlineLevel="0" collapsed="false">
      <c r="A90" s="40" t="n">
        <f aca="false">IF($B90="","",$B$2)</f>
        <v>46231</v>
      </c>
      <c r="B90" s="1" t="str">
        <f aca="false">IF($B$2="","",IFERROR(INDEX('Employee Master'!$A$2:$A$159,MATCH(ROWS($B$6:B90),Lists!$P$2:$P$159,0)),""))</f>
        <v>EMP-0019</v>
      </c>
      <c r="C90" s="1" t="str">
        <f aca="false">IF($B90="","",IFERROR(INDEX('Employee Master'!$B$2:$B$159,MATCH($B90,'Employee Master'!$A$2:$A$159,0)),""))</f>
        <v>Ashley Lazenby</v>
      </c>
      <c r="D90" s="1" t="str">
        <f aca="false">IF($B90="","",IFERROR(INDEX('Employee Master'!$C$2:$C$159,MATCH($B90,'Employee Master'!$A$2:$A$159,0)),""))</f>
        <v>2:00 PM</v>
      </c>
      <c r="E90" s="1" t="str">
        <f aca="false">IF($B90="","",IFERROR(INDEX('Employee Master'!$I$2:$I$159,MATCH($B90,'Employee Master'!$A$2:$A$159,0)),""))</f>
        <v>PM</v>
      </c>
      <c r="F90" s="29" t="str">
        <f aca="false">IF($B90="","",IFERROR(INDEX('Employee Master'!$E$2:$E$159,MATCH($B90,'Employee Master'!$A$2:$A$159,0)),""))</f>
        <v>N</v>
      </c>
      <c r="G90" s="29" t="str">
        <f aca="false">IF($B90="","",IFERROR(INDEX('Employee Master'!$F$2:$F$159,MATCH($B90,'Employee Master'!$A$2:$A$159,0)),""))</f>
        <v>N</v>
      </c>
      <c r="H90" s="41" t="str">
        <f aca="false">IF($B90="","","Present")</f>
        <v>Present</v>
      </c>
      <c r="I90" s="1" t="str">
        <f aca="false">IF($B90="","",IFERROR(INDEX('Employee Master'!$H$2:$H$159,MATCH($B90,'Employee Master'!$A$2:$A$159,0)),""))</f>
        <v>None</v>
      </c>
      <c r="J90" s="29" t="str">
        <f aca="false">IF($B90="","",IFERROR(INDEX('Qualification Matrix'!$C$2:$C$168,MATCH($B90,'Qualification Matrix'!$A$2:$A$168,0)),2))</f>
        <v>N</v>
      </c>
      <c r="K90" s="29" t="str">
        <f aca="false">IF($B90="","",IFERROR(INDEX('Qualification Matrix'!$D$2:$D$168,MATCH($B90,'Qualification Matrix'!$A$2:$A$168,0)),2))</f>
        <v>N</v>
      </c>
      <c r="L90" s="29" t="str">
        <f aca="false">IF($B90="","",IFERROR(INDEX('Qualification Matrix'!$E$2:$E$168,MATCH($B90,'Qualification Matrix'!$A$2:$A$168,0)),2))</f>
        <v>N</v>
      </c>
      <c r="M90" s="29" t="str">
        <f aca="false">IF($B90="","",IFERROR(INDEX('Qualification Matrix'!$F$2:$F$168,MATCH($B90,'Qualification Matrix'!$A$2:$A$168,0)),2))</f>
        <v>Y</v>
      </c>
      <c r="N90" s="29" t="str">
        <f aca="false">IF($B90="","",IF(AND($H90="Present",$F90&lt;&gt;"Y"),"Y","N"))</f>
        <v>Y</v>
      </c>
      <c r="O90" s="42"/>
      <c r="P90" s="29" t="n">
        <f aca="false">IF($B90="","",IFERROR(INDEX('Qualification Matrix'!$H$2:$H$168,MATCH($B90,'Qualification Matrix'!$A$2:$A$168,0)),""))</f>
        <v>2</v>
      </c>
      <c r="Q90" s="43" t="n">
        <f aca="false">IF($B90="","",SUMIFS('Rotation History'!$M$2:$M$1000,'Rotation History'!$B$2:$B$1000,$B90,'Rotation History'!$A$2:$A$1000,"&gt;="&amp;($B$2-30),'Rotation History'!$A$2:$A$1000,"&lt;"&amp;$B$2))</f>
        <v>0</v>
      </c>
      <c r="R90" s="43" t="n">
        <f aca="false">IF($B90="","",COUNTIFS('Rotation History'!$B$2:$B$1000,$B90,'Rotation History'!$M$2:$M$1000,"&gt;0",'Rotation History'!$A$2:$A$1000,"&gt;="&amp;($B$2-30),'Rotation History'!$A$2:$A$1000,"&lt;"&amp;$B$2))</f>
        <v>0</v>
      </c>
      <c r="S90" s="43" t="n">
        <f aca="false">IF($B90="","",IF(COUNTIFS('Rotation History'!$B$2:$B$1000,$B90,'Rotation History'!$A$2:$A$1000,$B$2-1,'Rotation History'!$M$2:$M$1000,"&gt;0")=0,0,1+IF(COUNTIFS('Rotation History'!$B$2:$B$1000,$B90,'Rotation History'!$A$2:$A$1000,$B$2-2,'Rotation History'!$M$2:$M$1000,"&gt;0")=0,0,1+IF(COUNTIFS('Rotation History'!$B$2:$B$1000,$B90,'Rotation History'!$A$2:$A$1000,$B$2-3,'Rotation History'!$M$2:$M$1000,"&gt;0")=0,0,1+IF(COUNTIFS('Rotation History'!$B$2:$B$1000,$B90,'Rotation History'!$A$2:$A$1000,$B$2-4,'Rotation History'!$M$2:$M$1000,"&gt;0")=0,0,1)))))</f>
        <v>0</v>
      </c>
      <c r="T90" s="43" t="n">
        <f aca="false">IF($B90="","",COUNTIFS('Rotation History'!$B$2:$B$1000,$B90,'Rotation History'!$K$2:$K$1000,"Opening",'Rotation History'!$A$2:$A$1000,"&gt;="&amp;($B$2-30),'Rotation History'!$A$2:$A$1000,"&lt;"&amp;$B$2))</f>
        <v>0</v>
      </c>
      <c r="U90" s="43" t="n">
        <f aca="false">IF($B90="","",COUNTIFS('Rotation History'!$B$2:$B$1000,$B90,'Rotation History'!$K$2:$K$1000,"Lunch Relief",'Rotation History'!$A$2:$A$1000,"&gt;="&amp;($B$2-30),'Rotation History'!$A$2:$A$1000,"&lt;"&amp;$B$2))</f>
        <v>0</v>
      </c>
      <c r="V90" s="44" t="n">
        <f aca="false">IF($B90="","",$Q90*10+$R90*2+$S90*20+$T90*3+$U90)</f>
        <v>0</v>
      </c>
    </row>
    <row r="91" customFormat="false" ht="14.25" hidden="false" customHeight="true" outlineLevel="0" collapsed="false">
      <c r="A91" s="40" t="n">
        <f aca="false">IF($B91="","",$B$2)</f>
        <v>46231</v>
      </c>
      <c r="B91" s="1" t="str">
        <f aca="false">IF($B$2="","",IFERROR(INDEX('Employee Master'!$A$2:$A$159,MATCH(ROWS($B$6:B91),Lists!$P$2:$P$159,0)),""))</f>
        <v>EMP-0036</v>
      </c>
      <c r="C91" s="1" t="str">
        <f aca="false">IF($B91="","",IFERROR(INDEX('Employee Master'!$B$2:$B$159,MATCH($B91,'Employee Master'!$A$2:$A$159,0)),""))</f>
        <v>Cheikh Sylla</v>
      </c>
      <c r="D91" s="1" t="str">
        <f aca="false">IF($B91="","",IFERROR(INDEX('Employee Master'!$C$2:$C$159,MATCH($B91,'Employee Master'!$A$2:$A$159,0)),""))</f>
        <v>2:00 PM</v>
      </c>
      <c r="E91" s="1" t="str">
        <f aca="false">IF($B91="","",IFERROR(INDEX('Employee Master'!$I$2:$I$159,MATCH($B91,'Employee Master'!$A$2:$A$159,0)),""))</f>
        <v>PM</v>
      </c>
      <c r="F91" s="29" t="str">
        <f aca="false">IF($B91="","",IFERROR(INDEX('Employee Master'!$E$2:$E$159,MATCH($B91,'Employee Master'!$A$2:$A$159,0)),""))</f>
        <v>N</v>
      </c>
      <c r="G91" s="29" t="str">
        <f aca="false">IF($B91="","",IFERROR(INDEX('Employee Master'!$F$2:$F$159,MATCH($B91,'Employee Master'!$A$2:$A$159,0)),""))</f>
        <v>N</v>
      </c>
      <c r="H91" s="41" t="str">
        <f aca="false">IF($B91="","","Present")</f>
        <v>Present</v>
      </c>
      <c r="I91" s="1" t="str">
        <f aca="false">IF($B91="","",IFERROR(INDEX('Employee Master'!$H$2:$H$159,MATCH($B91,'Employee Master'!$A$2:$A$159,0)),""))</f>
        <v>None</v>
      </c>
      <c r="J91" s="29" t="str">
        <f aca="false">IF($B91="","",IFERROR(INDEX('Qualification Matrix'!$C$2:$C$168,MATCH($B91,'Qualification Matrix'!$A$2:$A$168,0)),2))</f>
        <v>N</v>
      </c>
      <c r="K91" s="29" t="str">
        <f aca="false">IF($B91="","",IFERROR(INDEX('Qualification Matrix'!$D$2:$D$168,MATCH($B91,'Qualification Matrix'!$A$2:$A$168,0)),2))</f>
        <v>N</v>
      </c>
      <c r="L91" s="29" t="str">
        <f aca="false">IF($B91="","",IFERROR(INDEX('Qualification Matrix'!$E$2:$E$168,MATCH($B91,'Qualification Matrix'!$A$2:$A$168,0)),2))</f>
        <v>N</v>
      </c>
      <c r="M91" s="29" t="str">
        <f aca="false">IF($B91="","",IFERROR(INDEX('Qualification Matrix'!$F$2:$F$168,MATCH($B91,'Qualification Matrix'!$A$2:$A$168,0)),2))</f>
        <v>Y</v>
      </c>
      <c r="N91" s="29" t="str">
        <f aca="false">IF($B91="","",IF(AND($H91="Present",$F91&lt;&gt;"Y"),"Y","N"))</f>
        <v>Y</v>
      </c>
      <c r="O91" s="42"/>
      <c r="P91" s="29" t="n">
        <f aca="false">IF($B91="","",IFERROR(INDEX('Qualification Matrix'!$H$2:$H$168,MATCH($B91,'Qualification Matrix'!$A$2:$A$168,0)),""))</f>
        <v>2</v>
      </c>
      <c r="Q91" s="43" t="n">
        <f aca="false">IF($B91="","",SUMIFS('Rotation History'!$M$2:$M$1000,'Rotation History'!$B$2:$B$1000,$B91,'Rotation History'!$A$2:$A$1000,"&gt;="&amp;($B$2-30),'Rotation History'!$A$2:$A$1000,"&lt;"&amp;$B$2))</f>
        <v>0</v>
      </c>
      <c r="R91" s="43" t="n">
        <f aca="false">IF($B91="","",COUNTIFS('Rotation History'!$B$2:$B$1000,$B91,'Rotation History'!$M$2:$M$1000,"&gt;0",'Rotation History'!$A$2:$A$1000,"&gt;="&amp;($B$2-30),'Rotation History'!$A$2:$A$1000,"&lt;"&amp;$B$2))</f>
        <v>0</v>
      </c>
      <c r="S91" s="43" t="n">
        <f aca="false">IF($B91="","",IF(COUNTIFS('Rotation History'!$B$2:$B$1000,$B91,'Rotation History'!$A$2:$A$1000,$B$2-1,'Rotation History'!$M$2:$M$1000,"&gt;0")=0,0,1+IF(COUNTIFS('Rotation History'!$B$2:$B$1000,$B91,'Rotation History'!$A$2:$A$1000,$B$2-2,'Rotation History'!$M$2:$M$1000,"&gt;0")=0,0,1+IF(COUNTIFS('Rotation History'!$B$2:$B$1000,$B91,'Rotation History'!$A$2:$A$1000,$B$2-3,'Rotation History'!$M$2:$M$1000,"&gt;0")=0,0,1+IF(COUNTIFS('Rotation History'!$B$2:$B$1000,$B91,'Rotation History'!$A$2:$A$1000,$B$2-4,'Rotation History'!$M$2:$M$1000,"&gt;0")=0,0,1)))))</f>
        <v>0</v>
      </c>
      <c r="T91" s="43" t="n">
        <f aca="false">IF($B91="","",COUNTIFS('Rotation History'!$B$2:$B$1000,$B91,'Rotation History'!$K$2:$K$1000,"Opening",'Rotation History'!$A$2:$A$1000,"&gt;="&amp;($B$2-30),'Rotation History'!$A$2:$A$1000,"&lt;"&amp;$B$2))</f>
        <v>0</v>
      </c>
      <c r="U91" s="43" t="n">
        <f aca="false">IF($B91="","",COUNTIFS('Rotation History'!$B$2:$B$1000,$B91,'Rotation History'!$K$2:$K$1000,"Lunch Relief",'Rotation History'!$A$2:$A$1000,"&gt;="&amp;($B$2-30),'Rotation History'!$A$2:$A$1000,"&lt;"&amp;$B$2))</f>
        <v>0</v>
      </c>
      <c r="V91" s="44" t="n">
        <f aca="false">IF($B91="","",$Q91*10+$R91*2+$S91*20+$T91*3+$U91)</f>
        <v>0</v>
      </c>
    </row>
    <row r="92" customFormat="false" ht="14.25" hidden="false" customHeight="true" outlineLevel="0" collapsed="false">
      <c r="A92" s="40" t="n">
        <f aca="false">IF($B92="","",$B$2)</f>
        <v>46231</v>
      </c>
      <c r="B92" s="1" t="str">
        <f aca="false">IF($B$2="","",IFERROR(INDEX('Employee Master'!$A$2:$A$159,MATCH(ROWS($B$6:B92),Lists!$P$2:$P$159,0)),""))</f>
        <v>EMP-0039</v>
      </c>
      <c r="C92" s="1" t="str">
        <f aca="false">IF($B92="","",IFERROR(INDEX('Employee Master'!$B$2:$B$159,MATCH($B92,'Employee Master'!$A$2:$A$159,0)),""))</f>
        <v>Christopher White</v>
      </c>
      <c r="D92" s="1" t="str">
        <f aca="false">IF($B92="","",IFERROR(INDEX('Employee Master'!$C$2:$C$159,MATCH($B92,'Employee Master'!$A$2:$A$159,0)),""))</f>
        <v>2:00 PM</v>
      </c>
      <c r="E92" s="1" t="str">
        <f aca="false">IF($B92="","",IFERROR(INDEX('Employee Master'!$I$2:$I$159,MATCH($B92,'Employee Master'!$A$2:$A$159,0)),""))</f>
        <v>PM</v>
      </c>
      <c r="F92" s="29" t="str">
        <f aca="false">IF($B92="","",IFERROR(INDEX('Employee Master'!$E$2:$E$159,MATCH($B92,'Employee Master'!$A$2:$A$159,0)),""))</f>
        <v>N</v>
      </c>
      <c r="G92" s="29" t="str">
        <f aca="false">IF($B92="","",IFERROR(INDEX('Employee Master'!$F$2:$F$159,MATCH($B92,'Employee Master'!$A$2:$A$159,0)),""))</f>
        <v>N</v>
      </c>
      <c r="H92" s="41" t="str">
        <f aca="false">IF($B92="","","Present")</f>
        <v>Present</v>
      </c>
      <c r="I92" s="1" t="str">
        <f aca="false">IF($B92="","",IFERROR(INDEX('Employee Master'!$H$2:$H$159,MATCH($B92,'Employee Master'!$A$2:$A$159,0)),""))</f>
        <v>None</v>
      </c>
      <c r="J92" s="29" t="str">
        <f aca="false">IF($B92="","",IFERROR(INDEX('Qualification Matrix'!$C$2:$C$168,MATCH($B92,'Qualification Matrix'!$A$2:$A$168,0)),2))</f>
        <v>N</v>
      </c>
      <c r="K92" s="29" t="str">
        <f aca="false">IF($B92="","",IFERROR(INDEX('Qualification Matrix'!$D$2:$D$168,MATCH($B92,'Qualification Matrix'!$A$2:$A$168,0)),2))</f>
        <v>N</v>
      </c>
      <c r="L92" s="29" t="str">
        <f aca="false">IF($B92="","",IFERROR(INDEX('Qualification Matrix'!$E$2:$E$168,MATCH($B92,'Qualification Matrix'!$A$2:$A$168,0)),2))</f>
        <v>N</v>
      </c>
      <c r="M92" s="29" t="str">
        <f aca="false">IF($B92="","",IFERROR(INDEX('Qualification Matrix'!$F$2:$F$168,MATCH($B92,'Qualification Matrix'!$A$2:$A$168,0)),2))</f>
        <v>Y</v>
      </c>
      <c r="N92" s="29" t="str">
        <f aca="false">IF($B92="","",IF(AND($H92="Present",$F92&lt;&gt;"Y"),"Y","N"))</f>
        <v>Y</v>
      </c>
      <c r="O92" s="42"/>
      <c r="P92" s="29" t="n">
        <f aca="false">IF($B92="","",IFERROR(INDEX('Qualification Matrix'!$H$2:$H$168,MATCH($B92,'Qualification Matrix'!$A$2:$A$168,0)),""))</f>
        <v>2</v>
      </c>
      <c r="Q92" s="43" t="n">
        <f aca="false">IF($B92="","",SUMIFS('Rotation History'!$M$2:$M$1000,'Rotation History'!$B$2:$B$1000,$B92,'Rotation History'!$A$2:$A$1000,"&gt;="&amp;($B$2-30),'Rotation History'!$A$2:$A$1000,"&lt;"&amp;$B$2))</f>
        <v>0</v>
      </c>
      <c r="R92" s="43" t="n">
        <f aca="false">IF($B92="","",COUNTIFS('Rotation History'!$B$2:$B$1000,$B92,'Rotation History'!$M$2:$M$1000,"&gt;0",'Rotation History'!$A$2:$A$1000,"&gt;="&amp;($B$2-30),'Rotation History'!$A$2:$A$1000,"&lt;"&amp;$B$2))</f>
        <v>0</v>
      </c>
      <c r="S92" s="43" t="n">
        <f aca="false">IF($B92="","",IF(COUNTIFS('Rotation History'!$B$2:$B$1000,$B92,'Rotation History'!$A$2:$A$1000,$B$2-1,'Rotation History'!$M$2:$M$1000,"&gt;0")=0,0,1+IF(COUNTIFS('Rotation History'!$B$2:$B$1000,$B92,'Rotation History'!$A$2:$A$1000,$B$2-2,'Rotation History'!$M$2:$M$1000,"&gt;0")=0,0,1+IF(COUNTIFS('Rotation History'!$B$2:$B$1000,$B92,'Rotation History'!$A$2:$A$1000,$B$2-3,'Rotation History'!$M$2:$M$1000,"&gt;0")=0,0,1+IF(COUNTIFS('Rotation History'!$B$2:$B$1000,$B92,'Rotation History'!$A$2:$A$1000,$B$2-4,'Rotation History'!$M$2:$M$1000,"&gt;0")=0,0,1)))))</f>
        <v>0</v>
      </c>
      <c r="T92" s="43" t="n">
        <f aca="false">IF($B92="","",COUNTIFS('Rotation History'!$B$2:$B$1000,$B92,'Rotation History'!$K$2:$K$1000,"Opening",'Rotation History'!$A$2:$A$1000,"&gt;="&amp;($B$2-30),'Rotation History'!$A$2:$A$1000,"&lt;"&amp;$B$2))</f>
        <v>0</v>
      </c>
      <c r="U92" s="43" t="n">
        <f aca="false">IF($B92="","",COUNTIFS('Rotation History'!$B$2:$B$1000,$B92,'Rotation History'!$K$2:$K$1000,"Lunch Relief",'Rotation History'!$A$2:$A$1000,"&gt;="&amp;($B$2-30),'Rotation History'!$A$2:$A$1000,"&lt;"&amp;$B$2))</f>
        <v>0</v>
      </c>
      <c r="V92" s="44" t="n">
        <f aca="false">IF($B92="","",$Q92*10+$R92*2+$S92*20+$T92*3+$U92)</f>
        <v>0</v>
      </c>
    </row>
    <row r="93" customFormat="false" ht="14.25" hidden="false" customHeight="true" outlineLevel="0" collapsed="false">
      <c r="A93" s="40" t="n">
        <f aca="false">IF($B93="","",$B$2)</f>
        <v>46231</v>
      </c>
      <c r="B93" s="1" t="str">
        <f aca="false">IF($B$2="","",IFERROR(INDEX('Employee Master'!$A$2:$A$159,MATCH(ROWS($B$6:B93),Lists!$P$2:$P$159,0)),""))</f>
        <v>EMP-0048</v>
      </c>
      <c r="C93" s="1" t="str">
        <f aca="false">IF($B93="","",IFERROR(INDEX('Employee Master'!$B$2:$B$159,MATCH($B93,'Employee Master'!$A$2:$A$159,0)),""))</f>
        <v>De'Anna Reese</v>
      </c>
      <c r="D93" s="1" t="str">
        <f aca="false">IF($B93="","",IFERROR(INDEX('Employee Master'!$C$2:$C$159,MATCH($B93,'Employee Master'!$A$2:$A$159,0)),""))</f>
        <v>2:00 PM</v>
      </c>
      <c r="E93" s="1" t="str">
        <f aca="false">IF($B93="","",IFERROR(INDEX('Employee Master'!$I$2:$I$159,MATCH($B93,'Employee Master'!$A$2:$A$159,0)),""))</f>
        <v>PM</v>
      </c>
      <c r="F93" s="29" t="str">
        <f aca="false">IF($B93="","",IFERROR(INDEX('Employee Master'!$E$2:$E$159,MATCH($B93,'Employee Master'!$A$2:$A$159,0)),""))</f>
        <v>N</v>
      </c>
      <c r="G93" s="29" t="str">
        <f aca="false">IF($B93="","",IFERROR(INDEX('Employee Master'!$F$2:$F$159,MATCH($B93,'Employee Master'!$A$2:$A$159,0)),""))</f>
        <v>N</v>
      </c>
      <c r="H93" s="41" t="str">
        <f aca="false">IF($B93="","","Present")</f>
        <v>Present</v>
      </c>
      <c r="I93" s="1" t="str">
        <f aca="false">IF($B93="","",IFERROR(INDEX('Employee Master'!$H$2:$H$159,MATCH($B93,'Employee Master'!$A$2:$A$159,0)),""))</f>
        <v>None</v>
      </c>
      <c r="J93" s="29" t="str">
        <f aca="false">IF($B93="","",IFERROR(INDEX('Qualification Matrix'!$C$2:$C$168,MATCH($B93,'Qualification Matrix'!$A$2:$A$168,0)),2))</f>
        <v>N</v>
      </c>
      <c r="K93" s="29" t="str">
        <f aca="false">IF($B93="","",IFERROR(INDEX('Qualification Matrix'!$D$2:$D$168,MATCH($B93,'Qualification Matrix'!$A$2:$A$168,0)),2))</f>
        <v>N</v>
      </c>
      <c r="L93" s="29" t="str">
        <f aca="false">IF($B93="","",IFERROR(INDEX('Qualification Matrix'!$E$2:$E$168,MATCH($B93,'Qualification Matrix'!$A$2:$A$168,0)),2))</f>
        <v>N</v>
      </c>
      <c r="M93" s="29" t="str">
        <f aca="false">IF($B93="","",IFERROR(INDEX('Qualification Matrix'!$F$2:$F$168,MATCH($B93,'Qualification Matrix'!$A$2:$A$168,0)),2))</f>
        <v>Y</v>
      </c>
      <c r="N93" s="29" t="str">
        <f aca="false">IF($B93="","",IF(AND($H93="Present",$F93&lt;&gt;"Y"),"Y","N"))</f>
        <v>Y</v>
      </c>
      <c r="O93" s="42"/>
      <c r="P93" s="29" t="n">
        <f aca="false">IF($B93="","",IFERROR(INDEX('Qualification Matrix'!$H$2:$H$168,MATCH($B93,'Qualification Matrix'!$A$2:$A$168,0)),""))</f>
        <v>2</v>
      </c>
      <c r="Q93" s="43" t="n">
        <f aca="false">IF($B93="","",SUMIFS('Rotation History'!$M$2:$M$1000,'Rotation History'!$B$2:$B$1000,$B93,'Rotation History'!$A$2:$A$1000,"&gt;="&amp;($B$2-30),'Rotation History'!$A$2:$A$1000,"&lt;"&amp;$B$2))</f>
        <v>0</v>
      </c>
      <c r="R93" s="43" t="n">
        <f aca="false">IF($B93="","",COUNTIFS('Rotation History'!$B$2:$B$1000,$B93,'Rotation History'!$M$2:$M$1000,"&gt;0",'Rotation History'!$A$2:$A$1000,"&gt;="&amp;($B$2-30),'Rotation History'!$A$2:$A$1000,"&lt;"&amp;$B$2))</f>
        <v>0</v>
      </c>
      <c r="S93" s="43" t="n">
        <f aca="false">IF($B93="","",IF(COUNTIFS('Rotation History'!$B$2:$B$1000,$B93,'Rotation History'!$A$2:$A$1000,$B$2-1,'Rotation History'!$M$2:$M$1000,"&gt;0")=0,0,1+IF(COUNTIFS('Rotation History'!$B$2:$B$1000,$B93,'Rotation History'!$A$2:$A$1000,$B$2-2,'Rotation History'!$M$2:$M$1000,"&gt;0")=0,0,1+IF(COUNTIFS('Rotation History'!$B$2:$B$1000,$B93,'Rotation History'!$A$2:$A$1000,$B$2-3,'Rotation History'!$M$2:$M$1000,"&gt;0")=0,0,1+IF(COUNTIFS('Rotation History'!$B$2:$B$1000,$B93,'Rotation History'!$A$2:$A$1000,$B$2-4,'Rotation History'!$M$2:$M$1000,"&gt;0")=0,0,1)))))</f>
        <v>0</v>
      </c>
      <c r="T93" s="43" t="n">
        <f aca="false">IF($B93="","",COUNTIFS('Rotation History'!$B$2:$B$1000,$B93,'Rotation History'!$K$2:$K$1000,"Opening",'Rotation History'!$A$2:$A$1000,"&gt;="&amp;($B$2-30),'Rotation History'!$A$2:$A$1000,"&lt;"&amp;$B$2))</f>
        <v>0</v>
      </c>
      <c r="U93" s="43" t="n">
        <f aca="false">IF($B93="","",COUNTIFS('Rotation History'!$B$2:$B$1000,$B93,'Rotation History'!$K$2:$K$1000,"Lunch Relief",'Rotation History'!$A$2:$A$1000,"&gt;="&amp;($B$2-30),'Rotation History'!$A$2:$A$1000,"&lt;"&amp;$B$2))</f>
        <v>0</v>
      </c>
      <c r="V93" s="44" t="n">
        <f aca="false">IF($B93="","",$Q93*10+$R93*2+$S93*20+$T93*3+$U93)</f>
        <v>0</v>
      </c>
    </row>
    <row r="94" customFormat="false" ht="14.25" hidden="false" customHeight="true" outlineLevel="0" collapsed="false">
      <c r="A94" s="40" t="n">
        <f aca="false">IF($B94="","",$B$2)</f>
        <v>46231</v>
      </c>
      <c r="B94" s="1" t="str">
        <f aca="false">IF($B$2="","",IFERROR(INDEX('Employee Master'!$A$2:$A$159,MATCH(ROWS($B$6:B94),Lists!$P$2:$P$159,0)),""))</f>
        <v>EMP-0058</v>
      </c>
      <c r="C94" s="1" t="str">
        <f aca="false">IF($B94="","",IFERROR(INDEX('Employee Master'!$B$2:$B$159,MATCH($B94,'Employee Master'!$A$2:$A$159,0)),""))</f>
        <v>Emmett Smith</v>
      </c>
      <c r="D94" s="1" t="str">
        <f aca="false">IF($B94="","",IFERROR(INDEX('Employee Master'!$C$2:$C$159,MATCH($B94,'Employee Master'!$A$2:$A$159,0)),""))</f>
        <v>2:00 PM</v>
      </c>
      <c r="E94" s="1" t="str">
        <f aca="false">IF($B94="","",IFERROR(INDEX('Employee Master'!$I$2:$I$159,MATCH($B94,'Employee Master'!$A$2:$A$159,0)),""))</f>
        <v>PM</v>
      </c>
      <c r="F94" s="29" t="str">
        <f aca="false">IF($B94="","",IFERROR(INDEX('Employee Master'!$E$2:$E$159,MATCH($B94,'Employee Master'!$A$2:$A$159,0)),""))</f>
        <v>N</v>
      </c>
      <c r="G94" s="29" t="str">
        <f aca="false">IF($B94="","",IFERROR(INDEX('Employee Master'!$F$2:$F$159,MATCH($B94,'Employee Master'!$A$2:$A$159,0)),""))</f>
        <v>N</v>
      </c>
      <c r="H94" s="41" t="str">
        <f aca="false">IF($B94="","","Present")</f>
        <v>Present</v>
      </c>
      <c r="I94" s="1" t="str">
        <f aca="false">IF($B94="","",IFERROR(INDEX('Employee Master'!$H$2:$H$159,MATCH($B94,'Employee Master'!$A$2:$A$159,0)),""))</f>
        <v>None</v>
      </c>
      <c r="J94" s="29" t="str">
        <f aca="false">IF($B94="","",IFERROR(INDEX('Qualification Matrix'!$C$2:$C$168,MATCH($B94,'Qualification Matrix'!$A$2:$A$168,0)),2))</f>
        <v>N</v>
      </c>
      <c r="K94" s="29" t="str">
        <f aca="false">IF($B94="","",IFERROR(INDEX('Qualification Matrix'!$D$2:$D$168,MATCH($B94,'Qualification Matrix'!$A$2:$A$168,0)),2))</f>
        <v>N</v>
      </c>
      <c r="L94" s="29" t="str">
        <f aca="false">IF($B94="","",IFERROR(INDEX('Qualification Matrix'!$E$2:$E$168,MATCH($B94,'Qualification Matrix'!$A$2:$A$168,0)),2))</f>
        <v>N</v>
      </c>
      <c r="M94" s="29" t="str">
        <f aca="false">IF($B94="","",IFERROR(INDEX('Qualification Matrix'!$F$2:$F$168,MATCH($B94,'Qualification Matrix'!$A$2:$A$168,0)),2))</f>
        <v>Y</v>
      </c>
      <c r="N94" s="29" t="str">
        <f aca="false">IF($B94="","",IF(AND($H94="Present",$F94&lt;&gt;"Y"),"Y","N"))</f>
        <v>Y</v>
      </c>
      <c r="O94" s="42"/>
      <c r="P94" s="29" t="n">
        <f aca="false">IF($B94="","",IFERROR(INDEX('Qualification Matrix'!$H$2:$H$168,MATCH($B94,'Qualification Matrix'!$A$2:$A$168,0)),""))</f>
        <v>2</v>
      </c>
      <c r="Q94" s="43" t="n">
        <f aca="false">IF($B94="","",SUMIFS('Rotation History'!$M$2:$M$1000,'Rotation History'!$B$2:$B$1000,$B94,'Rotation History'!$A$2:$A$1000,"&gt;="&amp;($B$2-30),'Rotation History'!$A$2:$A$1000,"&lt;"&amp;$B$2))</f>
        <v>0</v>
      </c>
      <c r="R94" s="43" t="n">
        <f aca="false">IF($B94="","",COUNTIFS('Rotation History'!$B$2:$B$1000,$B94,'Rotation History'!$M$2:$M$1000,"&gt;0",'Rotation History'!$A$2:$A$1000,"&gt;="&amp;($B$2-30),'Rotation History'!$A$2:$A$1000,"&lt;"&amp;$B$2))</f>
        <v>0</v>
      </c>
      <c r="S94" s="43" t="n">
        <f aca="false">IF($B94="","",IF(COUNTIFS('Rotation History'!$B$2:$B$1000,$B94,'Rotation History'!$A$2:$A$1000,$B$2-1,'Rotation History'!$M$2:$M$1000,"&gt;0")=0,0,1+IF(COUNTIFS('Rotation History'!$B$2:$B$1000,$B94,'Rotation History'!$A$2:$A$1000,$B$2-2,'Rotation History'!$M$2:$M$1000,"&gt;0")=0,0,1+IF(COUNTIFS('Rotation History'!$B$2:$B$1000,$B94,'Rotation History'!$A$2:$A$1000,$B$2-3,'Rotation History'!$M$2:$M$1000,"&gt;0")=0,0,1+IF(COUNTIFS('Rotation History'!$B$2:$B$1000,$B94,'Rotation History'!$A$2:$A$1000,$B$2-4,'Rotation History'!$M$2:$M$1000,"&gt;0")=0,0,1)))))</f>
        <v>0</v>
      </c>
      <c r="T94" s="43" t="n">
        <f aca="false">IF($B94="","",COUNTIFS('Rotation History'!$B$2:$B$1000,$B94,'Rotation History'!$K$2:$K$1000,"Opening",'Rotation History'!$A$2:$A$1000,"&gt;="&amp;($B$2-30),'Rotation History'!$A$2:$A$1000,"&lt;"&amp;$B$2))</f>
        <v>0</v>
      </c>
      <c r="U94" s="43" t="n">
        <f aca="false">IF($B94="","",COUNTIFS('Rotation History'!$B$2:$B$1000,$B94,'Rotation History'!$K$2:$K$1000,"Lunch Relief",'Rotation History'!$A$2:$A$1000,"&gt;="&amp;($B$2-30),'Rotation History'!$A$2:$A$1000,"&lt;"&amp;$B$2))</f>
        <v>0</v>
      </c>
      <c r="V94" s="44" t="n">
        <f aca="false">IF($B94="","",$Q94*10+$R94*2+$S94*20+$T94*3+$U94)</f>
        <v>0</v>
      </c>
    </row>
    <row r="95" customFormat="false" ht="14.25" hidden="false" customHeight="true" outlineLevel="0" collapsed="false">
      <c r="A95" s="40" t="n">
        <f aca="false">IF($B95="","",$B$2)</f>
        <v>46231</v>
      </c>
      <c r="B95" s="1" t="str">
        <f aca="false">IF($B$2="","",IFERROR(INDEX('Employee Master'!$A$2:$A$159,MATCH(ROWS($B$6:B95),Lists!$P$2:$P$159,0)),""))</f>
        <v>EMP-0068</v>
      </c>
      <c r="C95" s="1" t="str">
        <f aca="false">IF($B95="","",IFERROR(INDEX('Employee Master'!$B$2:$B$159,MATCH($B95,'Employee Master'!$A$2:$A$159,0)),""))</f>
        <v>Heather Wray</v>
      </c>
      <c r="D95" s="1" t="str">
        <f aca="false">IF($B95="","",IFERROR(INDEX('Employee Master'!$C$2:$C$159,MATCH($B95,'Employee Master'!$A$2:$A$159,0)),""))</f>
        <v>2:00 PM</v>
      </c>
      <c r="E95" s="1" t="str">
        <f aca="false">IF($B95="","",IFERROR(INDEX('Employee Master'!$I$2:$I$159,MATCH($B95,'Employee Master'!$A$2:$A$159,0)),""))</f>
        <v>PM</v>
      </c>
      <c r="F95" s="29" t="str">
        <f aca="false">IF($B95="","",IFERROR(INDEX('Employee Master'!$E$2:$E$159,MATCH($B95,'Employee Master'!$A$2:$A$159,0)),""))</f>
        <v>N</v>
      </c>
      <c r="G95" s="29" t="str">
        <f aca="false">IF($B95="","",IFERROR(INDEX('Employee Master'!$F$2:$F$159,MATCH($B95,'Employee Master'!$A$2:$A$159,0)),""))</f>
        <v>N</v>
      </c>
      <c r="H95" s="41" t="str">
        <f aca="false">IF($B95="","","Present")</f>
        <v>Present</v>
      </c>
      <c r="I95" s="1" t="str">
        <f aca="false">IF($B95="","",IFERROR(INDEX('Employee Master'!$H$2:$H$159,MATCH($B95,'Employee Master'!$A$2:$A$159,0)),""))</f>
        <v>None</v>
      </c>
      <c r="J95" s="29" t="str">
        <f aca="false">IF($B95="","",IFERROR(INDEX('Qualification Matrix'!$C$2:$C$168,MATCH($B95,'Qualification Matrix'!$A$2:$A$168,0)),2))</f>
        <v>N</v>
      </c>
      <c r="K95" s="29" t="str">
        <f aca="false">IF($B95="","",IFERROR(INDEX('Qualification Matrix'!$D$2:$D$168,MATCH($B95,'Qualification Matrix'!$A$2:$A$168,0)),2))</f>
        <v>N</v>
      </c>
      <c r="L95" s="29" t="str">
        <f aca="false">IF($B95="","",IFERROR(INDEX('Qualification Matrix'!$E$2:$E$168,MATCH($B95,'Qualification Matrix'!$A$2:$A$168,0)),2))</f>
        <v>N</v>
      </c>
      <c r="M95" s="29" t="str">
        <f aca="false">IF($B95="","",IFERROR(INDEX('Qualification Matrix'!$F$2:$F$168,MATCH($B95,'Qualification Matrix'!$A$2:$A$168,0)),2))</f>
        <v>Y</v>
      </c>
      <c r="N95" s="29" t="str">
        <f aca="false">IF($B95="","",IF(AND($H95="Present",$F95&lt;&gt;"Y"),"Y","N"))</f>
        <v>Y</v>
      </c>
      <c r="O95" s="42"/>
      <c r="P95" s="29" t="n">
        <f aca="false">IF($B95="","",IFERROR(INDEX('Qualification Matrix'!$H$2:$H$168,MATCH($B95,'Qualification Matrix'!$A$2:$A$168,0)),""))</f>
        <v>2</v>
      </c>
      <c r="Q95" s="43" t="n">
        <f aca="false">IF($B95="","",SUMIFS('Rotation History'!$M$2:$M$1000,'Rotation History'!$B$2:$B$1000,$B95,'Rotation History'!$A$2:$A$1000,"&gt;="&amp;($B$2-30),'Rotation History'!$A$2:$A$1000,"&lt;"&amp;$B$2))</f>
        <v>0</v>
      </c>
      <c r="R95" s="43" t="n">
        <f aca="false">IF($B95="","",COUNTIFS('Rotation History'!$B$2:$B$1000,$B95,'Rotation History'!$M$2:$M$1000,"&gt;0",'Rotation History'!$A$2:$A$1000,"&gt;="&amp;($B$2-30),'Rotation History'!$A$2:$A$1000,"&lt;"&amp;$B$2))</f>
        <v>0</v>
      </c>
      <c r="S95" s="43" t="n">
        <f aca="false">IF($B95="","",IF(COUNTIFS('Rotation History'!$B$2:$B$1000,$B95,'Rotation History'!$A$2:$A$1000,$B$2-1,'Rotation History'!$M$2:$M$1000,"&gt;0")=0,0,1+IF(COUNTIFS('Rotation History'!$B$2:$B$1000,$B95,'Rotation History'!$A$2:$A$1000,$B$2-2,'Rotation History'!$M$2:$M$1000,"&gt;0")=0,0,1+IF(COUNTIFS('Rotation History'!$B$2:$B$1000,$B95,'Rotation History'!$A$2:$A$1000,$B$2-3,'Rotation History'!$M$2:$M$1000,"&gt;0")=0,0,1+IF(COUNTIFS('Rotation History'!$B$2:$B$1000,$B95,'Rotation History'!$A$2:$A$1000,$B$2-4,'Rotation History'!$M$2:$M$1000,"&gt;0")=0,0,1)))))</f>
        <v>0</v>
      </c>
      <c r="T95" s="43" t="n">
        <f aca="false">IF($B95="","",COUNTIFS('Rotation History'!$B$2:$B$1000,$B95,'Rotation History'!$K$2:$K$1000,"Opening",'Rotation History'!$A$2:$A$1000,"&gt;="&amp;($B$2-30),'Rotation History'!$A$2:$A$1000,"&lt;"&amp;$B$2))</f>
        <v>0</v>
      </c>
      <c r="U95" s="43" t="n">
        <f aca="false">IF($B95="","",COUNTIFS('Rotation History'!$B$2:$B$1000,$B95,'Rotation History'!$K$2:$K$1000,"Lunch Relief",'Rotation History'!$A$2:$A$1000,"&gt;="&amp;($B$2-30),'Rotation History'!$A$2:$A$1000,"&lt;"&amp;$B$2))</f>
        <v>0</v>
      </c>
      <c r="V95" s="44" t="n">
        <f aca="false">IF($B95="","",$Q95*10+$R95*2+$S95*20+$T95*3+$U95)</f>
        <v>0</v>
      </c>
    </row>
    <row r="96" customFormat="false" ht="14.25" hidden="false" customHeight="true" outlineLevel="0" collapsed="false">
      <c r="A96" s="40" t="n">
        <f aca="false">IF($B96="","",$B$2)</f>
        <v>46231</v>
      </c>
      <c r="B96" s="1" t="str">
        <f aca="false">IF($B$2="","",IFERROR(INDEX('Employee Master'!$A$2:$A$159,MATCH(ROWS($B$6:B96),Lists!$P$2:$P$159,0)),""))</f>
        <v>EMP-0080</v>
      </c>
      <c r="C96" s="1" t="str">
        <f aca="false">IF($B96="","",IFERROR(INDEX('Employee Master'!$B$2:$B$159,MATCH($B96,'Employee Master'!$A$2:$A$159,0)),""))</f>
        <v>Kaci Cosper</v>
      </c>
      <c r="D96" s="1" t="str">
        <f aca="false">IF($B96="","",IFERROR(INDEX('Employee Master'!$C$2:$C$159,MATCH($B96,'Employee Master'!$A$2:$A$159,0)),""))</f>
        <v>2:00 PM</v>
      </c>
      <c r="E96" s="1" t="str">
        <f aca="false">IF($B96="","",IFERROR(INDEX('Employee Master'!$I$2:$I$159,MATCH($B96,'Employee Master'!$A$2:$A$159,0)),""))</f>
        <v>PM</v>
      </c>
      <c r="F96" s="29" t="str">
        <f aca="false">IF($B96="","",IFERROR(INDEX('Employee Master'!$E$2:$E$159,MATCH($B96,'Employee Master'!$A$2:$A$159,0)),""))</f>
        <v>N</v>
      </c>
      <c r="G96" s="29" t="str">
        <f aca="false">IF($B96="","",IFERROR(INDEX('Employee Master'!$F$2:$F$159,MATCH($B96,'Employee Master'!$A$2:$A$159,0)),""))</f>
        <v>N</v>
      </c>
      <c r="H96" s="41" t="str">
        <f aca="false">IF($B96="","","Present")</f>
        <v>Present</v>
      </c>
      <c r="I96" s="1" t="str">
        <f aca="false">IF($B96="","",IFERROR(INDEX('Employee Master'!$H$2:$H$159,MATCH($B96,'Employee Master'!$A$2:$A$159,0)),""))</f>
        <v>None</v>
      </c>
      <c r="J96" s="29" t="str">
        <f aca="false">IF($B96="","",IFERROR(INDEX('Qualification Matrix'!$C$2:$C$168,MATCH($B96,'Qualification Matrix'!$A$2:$A$168,0)),2))</f>
        <v>N</v>
      </c>
      <c r="K96" s="29" t="str">
        <f aca="false">IF($B96="","",IFERROR(INDEX('Qualification Matrix'!$D$2:$D$168,MATCH($B96,'Qualification Matrix'!$A$2:$A$168,0)),2))</f>
        <v>N</v>
      </c>
      <c r="L96" s="29" t="str">
        <f aca="false">IF($B96="","",IFERROR(INDEX('Qualification Matrix'!$E$2:$E$168,MATCH($B96,'Qualification Matrix'!$A$2:$A$168,0)),2))</f>
        <v>N</v>
      </c>
      <c r="M96" s="29" t="str">
        <f aca="false">IF($B96="","",IFERROR(INDEX('Qualification Matrix'!$F$2:$F$168,MATCH($B96,'Qualification Matrix'!$A$2:$A$168,0)),2))</f>
        <v>Y</v>
      </c>
      <c r="N96" s="29" t="str">
        <f aca="false">IF($B96="","",IF(AND($H96="Present",$F96&lt;&gt;"Y"),"Y","N"))</f>
        <v>Y</v>
      </c>
      <c r="O96" s="42"/>
      <c r="P96" s="29" t="n">
        <f aca="false">IF($B96="","",IFERROR(INDEX('Qualification Matrix'!$H$2:$H$168,MATCH($B96,'Qualification Matrix'!$A$2:$A$168,0)),""))</f>
        <v>2</v>
      </c>
      <c r="Q96" s="43" t="n">
        <f aca="false">IF($B96="","",SUMIFS('Rotation History'!$M$2:$M$1000,'Rotation History'!$B$2:$B$1000,$B96,'Rotation History'!$A$2:$A$1000,"&gt;="&amp;($B$2-30),'Rotation History'!$A$2:$A$1000,"&lt;"&amp;$B$2))</f>
        <v>0</v>
      </c>
      <c r="R96" s="43" t="n">
        <f aca="false">IF($B96="","",COUNTIFS('Rotation History'!$B$2:$B$1000,$B96,'Rotation History'!$M$2:$M$1000,"&gt;0",'Rotation History'!$A$2:$A$1000,"&gt;="&amp;($B$2-30),'Rotation History'!$A$2:$A$1000,"&lt;"&amp;$B$2))</f>
        <v>0</v>
      </c>
      <c r="S96" s="43" t="n">
        <f aca="false">IF($B96="","",IF(COUNTIFS('Rotation History'!$B$2:$B$1000,$B96,'Rotation History'!$A$2:$A$1000,$B$2-1,'Rotation History'!$M$2:$M$1000,"&gt;0")=0,0,1+IF(COUNTIFS('Rotation History'!$B$2:$B$1000,$B96,'Rotation History'!$A$2:$A$1000,$B$2-2,'Rotation History'!$M$2:$M$1000,"&gt;0")=0,0,1+IF(COUNTIFS('Rotation History'!$B$2:$B$1000,$B96,'Rotation History'!$A$2:$A$1000,$B$2-3,'Rotation History'!$M$2:$M$1000,"&gt;0")=0,0,1+IF(COUNTIFS('Rotation History'!$B$2:$B$1000,$B96,'Rotation History'!$A$2:$A$1000,$B$2-4,'Rotation History'!$M$2:$M$1000,"&gt;0")=0,0,1)))))</f>
        <v>0</v>
      </c>
      <c r="T96" s="43" t="n">
        <f aca="false">IF($B96="","",COUNTIFS('Rotation History'!$B$2:$B$1000,$B96,'Rotation History'!$K$2:$K$1000,"Opening",'Rotation History'!$A$2:$A$1000,"&gt;="&amp;($B$2-30),'Rotation History'!$A$2:$A$1000,"&lt;"&amp;$B$2))</f>
        <v>0</v>
      </c>
      <c r="U96" s="43" t="n">
        <f aca="false">IF($B96="","",COUNTIFS('Rotation History'!$B$2:$B$1000,$B96,'Rotation History'!$K$2:$K$1000,"Lunch Relief",'Rotation History'!$A$2:$A$1000,"&gt;="&amp;($B$2-30),'Rotation History'!$A$2:$A$1000,"&lt;"&amp;$B$2))</f>
        <v>0</v>
      </c>
      <c r="V96" s="44" t="n">
        <f aca="false">IF($B96="","",$Q96*10+$R96*2+$S96*20+$T96*3+$U96)</f>
        <v>0</v>
      </c>
    </row>
    <row r="97" customFormat="false" ht="14.25" hidden="false" customHeight="true" outlineLevel="0" collapsed="false">
      <c r="A97" s="40" t="n">
        <f aca="false">IF($B97="","",$B$2)</f>
        <v>46231</v>
      </c>
      <c r="B97" s="1" t="str">
        <f aca="false">IF($B$2="","",IFERROR(INDEX('Employee Master'!$A$2:$A$159,MATCH(ROWS($B$6:B97),Lists!$P$2:$P$159,0)),""))</f>
        <v>EMP-0084</v>
      </c>
      <c r="C97" s="1" t="str">
        <f aca="false">IF($B97="","",IFERROR(INDEX('Employee Master'!$B$2:$B$159,MATCH($B97,'Employee Master'!$A$2:$A$159,0)),""))</f>
        <v>Khalia Mitchell</v>
      </c>
      <c r="D97" s="1" t="str">
        <f aca="false">IF($B97="","",IFERROR(INDEX('Employee Master'!$C$2:$C$159,MATCH($B97,'Employee Master'!$A$2:$A$159,0)),""))</f>
        <v>2:00 PM</v>
      </c>
      <c r="E97" s="1" t="str">
        <f aca="false">IF($B97="","",IFERROR(INDEX('Employee Master'!$I$2:$I$159,MATCH($B97,'Employee Master'!$A$2:$A$159,0)),""))</f>
        <v>PM</v>
      </c>
      <c r="F97" s="29" t="str">
        <f aca="false">IF($B97="","",IFERROR(INDEX('Employee Master'!$E$2:$E$159,MATCH($B97,'Employee Master'!$A$2:$A$159,0)),""))</f>
        <v>N</v>
      </c>
      <c r="G97" s="29" t="str">
        <f aca="false">IF($B97="","",IFERROR(INDEX('Employee Master'!$F$2:$F$159,MATCH($B97,'Employee Master'!$A$2:$A$159,0)),""))</f>
        <v>N</v>
      </c>
      <c r="H97" s="41" t="str">
        <f aca="false">IF($B97="","","Present")</f>
        <v>Present</v>
      </c>
      <c r="I97" s="1" t="str">
        <f aca="false">IF($B97="","",IFERROR(INDEX('Employee Master'!$H$2:$H$159,MATCH($B97,'Employee Master'!$A$2:$A$159,0)),""))</f>
        <v>None</v>
      </c>
      <c r="J97" s="29" t="str">
        <f aca="false">IF($B97="","",IFERROR(INDEX('Qualification Matrix'!$C$2:$C$168,MATCH($B97,'Qualification Matrix'!$A$2:$A$168,0)),2))</f>
        <v>N</v>
      </c>
      <c r="K97" s="29" t="str">
        <f aca="false">IF($B97="","",IFERROR(INDEX('Qualification Matrix'!$D$2:$D$168,MATCH($B97,'Qualification Matrix'!$A$2:$A$168,0)),2))</f>
        <v>N</v>
      </c>
      <c r="L97" s="29" t="str">
        <f aca="false">IF($B97="","",IFERROR(INDEX('Qualification Matrix'!$E$2:$E$168,MATCH($B97,'Qualification Matrix'!$A$2:$A$168,0)),2))</f>
        <v>N</v>
      </c>
      <c r="M97" s="29" t="str">
        <f aca="false">IF($B97="","",IFERROR(INDEX('Qualification Matrix'!$F$2:$F$168,MATCH($B97,'Qualification Matrix'!$A$2:$A$168,0)),2))</f>
        <v>Y</v>
      </c>
      <c r="N97" s="29" t="str">
        <f aca="false">IF($B97="","",IF(AND($H97="Present",$F97&lt;&gt;"Y"),"Y","N"))</f>
        <v>Y</v>
      </c>
      <c r="O97" s="42"/>
      <c r="P97" s="29" t="n">
        <f aca="false">IF($B97="","",IFERROR(INDEX('Qualification Matrix'!$H$2:$H$168,MATCH($B97,'Qualification Matrix'!$A$2:$A$168,0)),""))</f>
        <v>2</v>
      </c>
      <c r="Q97" s="43" t="n">
        <f aca="false">IF($B97="","",SUMIFS('Rotation History'!$M$2:$M$1000,'Rotation History'!$B$2:$B$1000,$B97,'Rotation History'!$A$2:$A$1000,"&gt;="&amp;($B$2-30),'Rotation History'!$A$2:$A$1000,"&lt;"&amp;$B$2))</f>
        <v>0</v>
      </c>
      <c r="R97" s="43" t="n">
        <f aca="false">IF($B97="","",COUNTIFS('Rotation History'!$B$2:$B$1000,$B97,'Rotation History'!$M$2:$M$1000,"&gt;0",'Rotation History'!$A$2:$A$1000,"&gt;="&amp;($B$2-30),'Rotation History'!$A$2:$A$1000,"&lt;"&amp;$B$2))</f>
        <v>0</v>
      </c>
      <c r="S97" s="43" t="n">
        <f aca="false">IF($B97="","",IF(COUNTIFS('Rotation History'!$B$2:$B$1000,$B97,'Rotation History'!$A$2:$A$1000,$B$2-1,'Rotation History'!$M$2:$M$1000,"&gt;0")=0,0,1+IF(COUNTIFS('Rotation History'!$B$2:$B$1000,$B97,'Rotation History'!$A$2:$A$1000,$B$2-2,'Rotation History'!$M$2:$M$1000,"&gt;0")=0,0,1+IF(COUNTIFS('Rotation History'!$B$2:$B$1000,$B97,'Rotation History'!$A$2:$A$1000,$B$2-3,'Rotation History'!$M$2:$M$1000,"&gt;0")=0,0,1+IF(COUNTIFS('Rotation History'!$B$2:$B$1000,$B97,'Rotation History'!$A$2:$A$1000,$B$2-4,'Rotation History'!$M$2:$M$1000,"&gt;0")=0,0,1)))))</f>
        <v>0</v>
      </c>
      <c r="T97" s="43" t="n">
        <f aca="false">IF($B97="","",COUNTIFS('Rotation History'!$B$2:$B$1000,$B97,'Rotation History'!$K$2:$K$1000,"Opening",'Rotation History'!$A$2:$A$1000,"&gt;="&amp;($B$2-30),'Rotation History'!$A$2:$A$1000,"&lt;"&amp;$B$2))</f>
        <v>0</v>
      </c>
      <c r="U97" s="43" t="n">
        <f aca="false">IF($B97="","",COUNTIFS('Rotation History'!$B$2:$B$1000,$B97,'Rotation History'!$K$2:$K$1000,"Lunch Relief",'Rotation History'!$A$2:$A$1000,"&gt;="&amp;($B$2-30),'Rotation History'!$A$2:$A$1000,"&lt;"&amp;$B$2))</f>
        <v>0</v>
      </c>
      <c r="V97" s="44" t="n">
        <f aca="false">IF($B97="","",$Q97*10+$R97*2+$S97*20+$T97*3+$U97)</f>
        <v>0</v>
      </c>
    </row>
    <row r="98" customFormat="false" ht="14.25" hidden="false" customHeight="true" outlineLevel="0" collapsed="false">
      <c r="A98" s="40" t="n">
        <f aca="false">IF($B98="","",$B$2)</f>
        <v>46231</v>
      </c>
      <c r="B98" s="1" t="str">
        <f aca="false">IF($B$2="","",IFERROR(INDEX('Employee Master'!$A$2:$A$159,MATCH(ROWS($B$6:B98),Lists!$P$2:$P$159,0)),""))</f>
        <v>EMP-0090</v>
      </c>
      <c r="C98" s="1" t="str">
        <f aca="false">IF($B98="","",IFERROR(INDEX('Employee Master'!$B$2:$B$159,MATCH($B98,'Employee Master'!$A$2:$A$159,0)),""))</f>
        <v>Kori Jenkins</v>
      </c>
      <c r="D98" s="1" t="str">
        <f aca="false">IF($B98="","",IFERROR(INDEX('Employee Master'!$C$2:$C$159,MATCH($B98,'Employee Master'!$A$2:$A$159,0)),""))</f>
        <v>2:00 PM</v>
      </c>
      <c r="E98" s="1" t="str">
        <f aca="false">IF($B98="","",IFERROR(INDEX('Employee Master'!$I$2:$I$159,MATCH($B98,'Employee Master'!$A$2:$A$159,0)),""))</f>
        <v>PM</v>
      </c>
      <c r="F98" s="29" t="str">
        <f aca="false">IF($B98="","",IFERROR(INDEX('Employee Master'!$E$2:$E$159,MATCH($B98,'Employee Master'!$A$2:$A$159,0)),""))</f>
        <v>N</v>
      </c>
      <c r="G98" s="29" t="str">
        <f aca="false">IF($B98="","",IFERROR(INDEX('Employee Master'!$F$2:$F$159,MATCH($B98,'Employee Master'!$A$2:$A$159,0)),""))</f>
        <v>N</v>
      </c>
      <c r="H98" s="41" t="str">
        <f aca="false">IF($B98="","","Present")</f>
        <v>Present</v>
      </c>
      <c r="I98" s="1" t="str">
        <f aca="false">IF($B98="","",IFERROR(INDEX('Employee Master'!$H$2:$H$159,MATCH($B98,'Employee Master'!$A$2:$A$159,0)),""))</f>
        <v>None</v>
      </c>
      <c r="J98" s="29" t="str">
        <f aca="false">IF($B98="","",IFERROR(INDEX('Qualification Matrix'!$C$2:$C$168,MATCH($B98,'Qualification Matrix'!$A$2:$A$168,0)),2))</f>
        <v>N</v>
      </c>
      <c r="K98" s="29" t="str">
        <f aca="false">IF($B98="","",IFERROR(INDEX('Qualification Matrix'!$D$2:$D$168,MATCH($B98,'Qualification Matrix'!$A$2:$A$168,0)),2))</f>
        <v>N</v>
      </c>
      <c r="L98" s="29" t="str">
        <f aca="false">IF($B98="","",IFERROR(INDEX('Qualification Matrix'!$E$2:$E$168,MATCH($B98,'Qualification Matrix'!$A$2:$A$168,0)),2))</f>
        <v>N</v>
      </c>
      <c r="M98" s="29" t="str">
        <f aca="false">IF($B98="","",IFERROR(INDEX('Qualification Matrix'!$F$2:$F$168,MATCH($B98,'Qualification Matrix'!$A$2:$A$168,0)),2))</f>
        <v>Y</v>
      </c>
      <c r="N98" s="29" t="str">
        <f aca="false">IF($B98="","",IF(AND($H98="Present",$F98&lt;&gt;"Y"),"Y","N"))</f>
        <v>Y</v>
      </c>
      <c r="O98" s="42"/>
      <c r="P98" s="29" t="n">
        <f aca="false">IF($B98="","",IFERROR(INDEX('Qualification Matrix'!$H$2:$H$168,MATCH($B98,'Qualification Matrix'!$A$2:$A$168,0)),""))</f>
        <v>2</v>
      </c>
      <c r="Q98" s="43" t="n">
        <f aca="false">IF($B98="","",SUMIFS('Rotation History'!$M$2:$M$1000,'Rotation History'!$B$2:$B$1000,$B98,'Rotation History'!$A$2:$A$1000,"&gt;="&amp;($B$2-30),'Rotation History'!$A$2:$A$1000,"&lt;"&amp;$B$2))</f>
        <v>0</v>
      </c>
      <c r="R98" s="43" t="n">
        <f aca="false">IF($B98="","",COUNTIFS('Rotation History'!$B$2:$B$1000,$B98,'Rotation History'!$M$2:$M$1000,"&gt;0",'Rotation History'!$A$2:$A$1000,"&gt;="&amp;($B$2-30),'Rotation History'!$A$2:$A$1000,"&lt;"&amp;$B$2))</f>
        <v>0</v>
      </c>
      <c r="S98" s="43" t="n">
        <f aca="false">IF($B98="","",IF(COUNTIFS('Rotation History'!$B$2:$B$1000,$B98,'Rotation History'!$A$2:$A$1000,$B$2-1,'Rotation History'!$M$2:$M$1000,"&gt;0")=0,0,1+IF(COUNTIFS('Rotation History'!$B$2:$B$1000,$B98,'Rotation History'!$A$2:$A$1000,$B$2-2,'Rotation History'!$M$2:$M$1000,"&gt;0")=0,0,1+IF(COUNTIFS('Rotation History'!$B$2:$B$1000,$B98,'Rotation History'!$A$2:$A$1000,$B$2-3,'Rotation History'!$M$2:$M$1000,"&gt;0")=0,0,1+IF(COUNTIFS('Rotation History'!$B$2:$B$1000,$B98,'Rotation History'!$A$2:$A$1000,$B$2-4,'Rotation History'!$M$2:$M$1000,"&gt;0")=0,0,1)))))</f>
        <v>0</v>
      </c>
      <c r="T98" s="43" t="n">
        <f aca="false">IF($B98="","",COUNTIFS('Rotation History'!$B$2:$B$1000,$B98,'Rotation History'!$K$2:$K$1000,"Opening",'Rotation History'!$A$2:$A$1000,"&gt;="&amp;($B$2-30),'Rotation History'!$A$2:$A$1000,"&lt;"&amp;$B$2))</f>
        <v>0</v>
      </c>
      <c r="U98" s="43" t="n">
        <f aca="false">IF($B98="","",COUNTIFS('Rotation History'!$B$2:$B$1000,$B98,'Rotation History'!$K$2:$K$1000,"Lunch Relief",'Rotation History'!$A$2:$A$1000,"&gt;="&amp;($B$2-30),'Rotation History'!$A$2:$A$1000,"&lt;"&amp;$B$2))</f>
        <v>0</v>
      </c>
      <c r="V98" s="44" t="n">
        <f aca="false">IF($B98="","",$Q98*10+$R98*2+$S98*20+$T98*3+$U98)</f>
        <v>0</v>
      </c>
    </row>
    <row r="99" customFormat="false" ht="14.25" hidden="false" customHeight="true" outlineLevel="0" collapsed="false">
      <c r="A99" s="40" t="n">
        <f aca="false">IF($B99="","",$B$2)</f>
        <v>46231</v>
      </c>
      <c r="B99" s="1" t="str">
        <f aca="false">IF($B$2="","",IFERROR(INDEX('Employee Master'!$A$2:$A$159,MATCH(ROWS($B$6:B99),Lists!$P$2:$P$159,0)),""))</f>
        <v>EMP-0115</v>
      </c>
      <c r="C99" s="1" t="str">
        <f aca="false">IF($B99="","",IFERROR(INDEX('Employee Master'!$B$2:$B$159,MATCH($B99,'Employee Master'!$A$2:$A$159,0)),""))</f>
        <v>Paulette Laman</v>
      </c>
      <c r="D99" s="1" t="str">
        <f aca="false">IF($B99="","",IFERROR(INDEX('Employee Master'!$C$2:$C$159,MATCH($B99,'Employee Master'!$A$2:$A$159,0)),""))</f>
        <v>2:00 PM</v>
      </c>
      <c r="E99" s="1" t="str">
        <f aca="false">IF($B99="","",IFERROR(INDEX('Employee Master'!$I$2:$I$159,MATCH($B99,'Employee Master'!$A$2:$A$159,0)),""))</f>
        <v>PM</v>
      </c>
      <c r="F99" s="29" t="str">
        <f aca="false">IF($B99="","",IFERROR(INDEX('Employee Master'!$E$2:$E$159,MATCH($B99,'Employee Master'!$A$2:$A$159,0)),""))</f>
        <v>N</v>
      </c>
      <c r="G99" s="29" t="str">
        <f aca="false">IF($B99="","",IFERROR(INDEX('Employee Master'!$F$2:$F$159,MATCH($B99,'Employee Master'!$A$2:$A$159,0)),""))</f>
        <v>N</v>
      </c>
      <c r="H99" s="41" t="str">
        <f aca="false">IF($B99="","","Present")</f>
        <v>Present</v>
      </c>
      <c r="I99" s="1" t="str">
        <f aca="false">IF($B99="","",IFERROR(INDEX('Employee Master'!$H$2:$H$159,MATCH($B99,'Employee Master'!$A$2:$A$159,0)),""))</f>
        <v>None</v>
      </c>
      <c r="J99" s="29" t="str">
        <f aca="false">IF($B99="","",IFERROR(INDEX('Qualification Matrix'!$C$2:$C$168,MATCH($B99,'Qualification Matrix'!$A$2:$A$168,0)),2))</f>
        <v>N</v>
      </c>
      <c r="K99" s="29" t="str">
        <f aca="false">IF($B99="","",IFERROR(INDEX('Qualification Matrix'!$D$2:$D$168,MATCH($B99,'Qualification Matrix'!$A$2:$A$168,0)),2))</f>
        <v>N</v>
      </c>
      <c r="L99" s="29" t="str">
        <f aca="false">IF($B99="","",IFERROR(INDEX('Qualification Matrix'!$E$2:$E$168,MATCH($B99,'Qualification Matrix'!$A$2:$A$168,0)),2))</f>
        <v>N</v>
      </c>
      <c r="M99" s="29" t="str">
        <f aca="false">IF($B99="","",IFERROR(INDEX('Qualification Matrix'!$F$2:$F$168,MATCH($B99,'Qualification Matrix'!$A$2:$A$168,0)),2))</f>
        <v>Y</v>
      </c>
      <c r="N99" s="29" t="str">
        <f aca="false">IF($B99="","",IF(AND($H99="Present",$F99&lt;&gt;"Y"),"Y","N"))</f>
        <v>Y</v>
      </c>
      <c r="O99" s="42"/>
      <c r="P99" s="29" t="n">
        <f aca="false">IF($B99="","",IFERROR(INDEX('Qualification Matrix'!$H$2:$H$168,MATCH($B99,'Qualification Matrix'!$A$2:$A$168,0)),""))</f>
        <v>2</v>
      </c>
      <c r="Q99" s="43" t="n">
        <f aca="false">IF($B99="","",SUMIFS('Rotation History'!$M$2:$M$1000,'Rotation History'!$B$2:$B$1000,$B99,'Rotation History'!$A$2:$A$1000,"&gt;="&amp;($B$2-30),'Rotation History'!$A$2:$A$1000,"&lt;"&amp;$B$2))</f>
        <v>0</v>
      </c>
      <c r="R99" s="43" t="n">
        <f aca="false">IF($B99="","",COUNTIFS('Rotation History'!$B$2:$B$1000,$B99,'Rotation History'!$M$2:$M$1000,"&gt;0",'Rotation History'!$A$2:$A$1000,"&gt;="&amp;($B$2-30),'Rotation History'!$A$2:$A$1000,"&lt;"&amp;$B$2))</f>
        <v>0</v>
      </c>
      <c r="S99" s="43" t="n">
        <f aca="false">IF($B99="","",IF(COUNTIFS('Rotation History'!$B$2:$B$1000,$B99,'Rotation History'!$A$2:$A$1000,$B$2-1,'Rotation History'!$M$2:$M$1000,"&gt;0")=0,0,1+IF(COUNTIFS('Rotation History'!$B$2:$B$1000,$B99,'Rotation History'!$A$2:$A$1000,$B$2-2,'Rotation History'!$M$2:$M$1000,"&gt;0")=0,0,1+IF(COUNTIFS('Rotation History'!$B$2:$B$1000,$B99,'Rotation History'!$A$2:$A$1000,$B$2-3,'Rotation History'!$M$2:$M$1000,"&gt;0")=0,0,1+IF(COUNTIFS('Rotation History'!$B$2:$B$1000,$B99,'Rotation History'!$A$2:$A$1000,$B$2-4,'Rotation History'!$M$2:$M$1000,"&gt;0")=0,0,1)))))</f>
        <v>0</v>
      </c>
      <c r="T99" s="43" t="n">
        <f aca="false">IF($B99="","",COUNTIFS('Rotation History'!$B$2:$B$1000,$B99,'Rotation History'!$K$2:$K$1000,"Opening",'Rotation History'!$A$2:$A$1000,"&gt;="&amp;($B$2-30),'Rotation History'!$A$2:$A$1000,"&lt;"&amp;$B$2))</f>
        <v>0</v>
      </c>
      <c r="U99" s="43" t="n">
        <f aca="false">IF($B99="","",COUNTIFS('Rotation History'!$B$2:$B$1000,$B99,'Rotation History'!$K$2:$K$1000,"Lunch Relief",'Rotation History'!$A$2:$A$1000,"&gt;="&amp;($B$2-30),'Rotation History'!$A$2:$A$1000,"&lt;"&amp;$B$2))</f>
        <v>0</v>
      </c>
      <c r="V99" s="44" t="n">
        <f aca="false">IF($B99="","",$Q99*10+$R99*2+$S99*20+$T99*3+$U99)</f>
        <v>0</v>
      </c>
    </row>
    <row r="100" customFormat="false" ht="14.25" hidden="false" customHeight="true" outlineLevel="0" collapsed="false">
      <c r="A100" s="40" t="n">
        <f aca="false">IF($B100="","",$B$2)</f>
        <v>46231</v>
      </c>
      <c r="B100" s="1" t="str">
        <f aca="false">IF($B$2="","",IFERROR(INDEX('Employee Master'!$A$2:$A$159,MATCH(ROWS($B$6:B100),Lists!$P$2:$P$159,0)),""))</f>
        <v>EMP-0117</v>
      </c>
      <c r="C100" s="1" t="str">
        <f aca="false">IF($B100="","",IFERROR(INDEX('Employee Master'!$B$2:$B$159,MATCH($B100,'Employee Master'!$A$2:$A$159,0)),""))</f>
        <v>Prince Destin</v>
      </c>
      <c r="D100" s="1" t="str">
        <f aca="false">IF($B100="","",IFERROR(INDEX('Employee Master'!$C$2:$C$159,MATCH($B100,'Employee Master'!$A$2:$A$159,0)),""))</f>
        <v>2:00 PM</v>
      </c>
      <c r="E100" s="1" t="str">
        <f aca="false">IF($B100="","",IFERROR(INDEX('Employee Master'!$I$2:$I$159,MATCH($B100,'Employee Master'!$A$2:$A$159,0)),""))</f>
        <v>PM</v>
      </c>
      <c r="F100" s="29" t="str">
        <f aca="false">IF($B100="","",IFERROR(INDEX('Employee Master'!$E$2:$E$159,MATCH($B100,'Employee Master'!$A$2:$A$159,0)),""))</f>
        <v>N</v>
      </c>
      <c r="G100" s="29" t="str">
        <f aca="false">IF($B100="","",IFERROR(INDEX('Employee Master'!$F$2:$F$159,MATCH($B100,'Employee Master'!$A$2:$A$159,0)),""))</f>
        <v>N</v>
      </c>
      <c r="H100" s="41" t="str">
        <f aca="false">IF($B100="","","Present")</f>
        <v>Present</v>
      </c>
      <c r="I100" s="1" t="str">
        <f aca="false">IF($B100="","",IFERROR(INDEX('Employee Master'!$H$2:$H$159,MATCH($B100,'Employee Master'!$A$2:$A$159,0)),""))</f>
        <v>None</v>
      </c>
      <c r="J100" s="29" t="str">
        <f aca="false">IF($B100="","",IFERROR(INDEX('Qualification Matrix'!$C$2:$C$168,MATCH($B100,'Qualification Matrix'!$A$2:$A$168,0)),2))</f>
        <v>N</v>
      </c>
      <c r="K100" s="29" t="str">
        <f aca="false">IF($B100="","",IFERROR(INDEX('Qualification Matrix'!$D$2:$D$168,MATCH($B100,'Qualification Matrix'!$A$2:$A$168,0)),2))</f>
        <v>N</v>
      </c>
      <c r="L100" s="29" t="str">
        <f aca="false">IF($B100="","",IFERROR(INDEX('Qualification Matrix'!$E$2:$E$168,MATCH($B100,'Qualification Matrix'!$A$2:$A$168,0)),2))</f>
        <v>N</v>
      </c>
      <c r="M100" s="29" t="str">
        <f aca="false">IF($B100="","",IFERROR(INDEX('Qualification Matrix'!$F$2:$F$168,MATCH($B100,'Qualification Matrix'!$A$2:$A$168,0)),2))</f>
        <v>Y</v>
      </c>
      <c r="N100" s="29" t="str">
        <f aca="false">IF($B100="","",IF(AND($H100="Present",$F100&lt;&gt;"Y"),"Y","N"))</f>
        <v>Y</v>
      </c>
      <c r="O100" s="42"/>
      <c r="P100" s="29" t="n">
        <f aca="false">IF($B100="","",IFERROR(INDEX('Qualification Matrix'!$H$2:$H$168,MATCH($B100,'Qualification Matrix'!$A$2:$A$168,0)),""))</f>
        <v>2</v>
      </c>
      <c r="Q100" s="43" t="n">
        <f aca="false">IF($B100="","",SUMIFS('Rotation History'!$M$2:$M$1000,'Rotation History'!$B$2:$B$1000,$B100,'Rotation History'!$A$2:$A$1000,"&gt;="&amp;($B$2-30),'Rotation History'!$A$2:$A$1000,"&lt;"&amp;$B$2))</f>
        <v>0</v>
      </c>
      <c r="R100" s="43" t="n">
        <f aca="false">IF($B100="","",COUNTIFS('Rotation History'!$B$2:$B$1000,$B100,'Rotation History'!$M$2:$M$1000,"&gt;0",'Rotation History'!$A$2:$A$1000,"&gt;="&amp;($B$2-30),'Rotation History'!$A$2:$A$1000,"&lt;"&amp;$B$2))</f>
        <v>0</v>
      </c>
      <c r="S100" s="43" t="n">
        <f aca="false">IF($B100="","",IF(COUNTIFS('Rotation History'!$B$2:$B$1000,$B100,'Rotation History'!$A$2:$A$1000,$B$2-1,'Rotation History'!$M$2:$M$1000,"&gt;0")=0,0,1+IF(COUNTIFS('Rotation History'!$B$2:$B$1000,$B100,'Rotation History'!$A$2:$A$1000,$B$2-2,'Rotation History'!$M$2:$M$1000,"&gt;0")=0,0,1+IF(COUNTIFS('Rotation History'!$B$2:$B$1000,$B100,'Rotation History'!$A$2:$A$1000,$B$2-3,'Rotation History'!$M$2:$M$1000,"&gt;0")=0,0,1+IF(COUNTIFS('Rotation History'!$B$2:$B$1000,$B100,'Rotation History'!$A$2:$A$1000,$B$2-4,'Rotation History'!$M$2:$M$1000,"&gt;0")=0,0,1)))))</f>
        <v>0</v>
      </c>
      <c r="T100" s="43" t="n">
        <f aca="false">IF($B100="","",COUNTIFS('Rotation History'!$B$2:$B$1000,$B100,'Rotation History'!$K$2:$K$1000,"Opening",'Rotation History'!$A$2:$A$1000,"&gt;="&amp;($B$2-30),'Rotation History'!$A$2:$A$1000,"&lt;"&amp;$B$2))</f>
        <v>0</v>
      </c>
      <c r="U100" s="43" t="n">
        <f aca="false">IF($B100="","",COUNTIFS('Rotation History'!$B$2:$B$1000,$B100,'Rotation History'!$K$2:$K$1000,"Lunch Relief",'Rotation History'!$A$2:$A$1000,"&gt;="&amp;($B$2-30),'Rotation History'!$A$2:$A$1000,"&lt;"&amp;$B$2))</f>
        <v>0</v>
      </c>
      <c r="V100" s="44" t="n">
        <f aca="false">IF($B100="","",$Q100*10+$R100*2+$S100*20+$T100*3+$U100)</f>
        <v>0</v>
      </c>
    </row>
    <row r="101" customFormat="false" ht="14.25" hidden="false" customHeight="true" outlineLevel="0" collapsed="false">
      <c r="A101" s="40" t="n">
        <f aca="false">IF($B101="","",$B$2)</f>
        <v>46231</v>
      </c>
      <c r="B101" s="1" t="str">
        <f aca="false">IF($B$2="","",IFERROR(INDEX('Employee Master'!$A$2:$A$159,MATCH(ROWS($B$6:B101),Lists!$P$2:$P$159,0)),""))</f>
        <v>EMP-0122</v>
      </c>
      <c r="C101" s="1" t="str">
        <f aca="false">IF($B101="","",IFERROR(INDEX('Employee Master'!$B$2:$B$159,MATCH($B101,'Employee Master'!$A$2:$A$159,0)),""))</f>
        <v>Richard Soro</v>
      </c>
      <c r="D101" s="1" t="str">
        <f aca="false">IF($B101="","",IFERROR(INDEX('Employee Master'!$C$2:$C$159,MATCH($B101,'Employee Master'!$A$2:$A$159,0)),""))</f>
        <v>2:00 PM</v>
      </c>
      <c r="E101" s="1" t="str">
        <f aca="false">IF($B101="","",IFERROR(INDEX('Employee Master'!$I$2:$I$159,MATCH($B101,'Employee Master'!$A$2:$A$159,0)),""))</f>
        <v>PM</v>
      </c>
      <c r="F101" s="29" t="str">
        <f aca="false">IF($B101="","",IFERROR(INDEX('Employee Master'!$E$2:$E$159,MATCH($B101,'Employee Master'!$A$2:$A$159,0)),""))</f>
        <v>N</v>
      </c>
      <c r="G101" s="29" t="str">
        <f aca="false">IF($B101="","",IFERROR(INDEX('Employee Master'!$F$2:$F$159,MATCH($B101,'Employee Master'!$A$2:$A$159,0)),""))</f>
        <v>N</v>
      </c>
      <c r="H101" s="41" t="str">
        <f aca="false">IF($B101="","","Present")</f>
        <v>Present</v>
      </c>
      <c r="I101" s="1" t="str">
        <f aca="false">IF($B101="","",IFERROR(INDEX('Employee Master'!$H$2:$H$159,MATCH($B101,'Employee Master'!$A$2:$A$159,0)),""))</f>
        <v>None</v>
      </c>
      <c r="J101" s="29" t="str">
        <f aca="false">IF($B101="","",IFERROR(INDEX('Qualification Matrix'!$C$2:$C$168,MATCH($B101,'Qualification Matrix'!$A$2:$A$168,0)),2))</f>
        <v>N</v>
      </c>
      <c r="K101" s="29" t="str">
        <f aca="false">IF($B101="","",IFERROR(INDEX('Qualification Matrix'!$D$2:$D$168,MATCH($B101,'Qualification Matrix'!$A$2:$A$168,0)),2))</f>
        <v>N</v>
      </c>
      <c r="L101" s="29" t="str">
        <f aca="false">IF($B101="","",IFERROR(INDEX('Qualification Matrix'!$E$2:$E$168,MATCH($B101,'Qualification Matrix'!$A$2:$A$168,0)),2))</f>
        <v>N</v>
      </c>
      <c r="M101" s="29" t="str">
        <f aca="false">IF($B101="","",IFERROR(INDEX('Qualification Matrix'!$F$2:$F$168,MATCH($B101,'Qualification Matrix'!$A$2:$A$168,0)),2))</f>
        <v>Y</v>
      </c>
      <c r="N101" s="29" t="str">
        <f aca="false">IF($B101="","",IF(AND($H101="Present",$F101&lt;&gt;"Y"),"Y","N"))</f>
        <v>Y</v>
      </c>
      <c r="O101" s="42"/>
      <c r="P101" s="29" t="n">
        <f aca="false">IF($B101="","",IFERROR(INDEX('Qualification Matrix'!$H$2:$H$168,MATCH($B101,'Qualification Matrix'!$A$2:$A$168,0)),""))</f>
        <v>2</v>
      </c>
      <c r="Q101" s="43" t="n">
        <f aca="false">IF($B101="","",SUMIFS('Rotation History'!$M$2:$M$1000,'Rotation History'!$B$2:$B$1000,$B101,'Rotation History'!$A$2:$A$1000,"&gt;="&amp;($B$2-30),'Rotation History'!$A$2:$A$1000,"&lt;"&amp;$B$2))</f>
        <v>0</v>
      </c>
      <c r="R101" s="43" t="n">
        <f aca="false">IF($B101="","",COUNTIFS('Rotation History'!$B$2:$B$1000,$B101,'Rotation History'!$M$2:$M$1000,"&gt;0",'Rotation History'!$A$2:$A$1000,"&gt;="&amp;($B$2-30),'Rotation History'!$A$2:$A$1000,"&lt;"&amp;$B$2))</f>
        <v>0</v>
      </c>
      <c r="S101" s="43" t="n">
        <f aca="false">IF($B101="","",IF(COUNTIFS('Rotation History'!$B$2:$B$1000,$B101,'Rotation History'!$A$2:$A$1000,$B$2-1,'Rotation History'!$M$2:$M$1000,"&gt;0")=0,0,1+IF(COUNTIFS('Rotation History'!$B$2:$B$1000,$B101,'Rotation History'!$A$2:$A$1000,$B$2-2,'Rotation History'!$M$2:$M$1000,"&gt;0")=0,0,1+IF(COUNTIFS('Rotation History'!$B$2:$B$1000,$B101,'Rotation History'!$A$2:$A$1000,$B$2-3,'Rotation History'!$M$2:$M$1000,"&gt;0")=0,0,1+IF(COUNTIFS('Rotation History'!$B$2:$B$1000,$B101,'Rotation History'!$A$2:$A$1000,$B$2-4,'Rotation History'!$M$2:$M$1000,"&gt;0")=0,0,1)))))</f>
        <v>0</v>
      </c>
      <c r="T101" s="43" t="n">
        <f aca="false">IF($B101="","",COUNTIFS('Rotation History'!$B$2:$B$1000,$B101,'Rotation History'!$K$2:$K$1000,"Opening",'Rotation History'!$A$2:$A$1000,"&gt;="&amp;($B$2-30),'Rotation History'!$A$2:$A$1000,"&lt;"&amp;$B$2))</f>
        <v>0</v>
      </c>
      <c r="U101" s="43" t="n">
        <f aca="false">IF($B101="","",COUNTIFS('Rotation History'!$B$2:$B$1000,$B101,'Rotation History'!$K$2:$K$1000,"Lunch Relief",'Rotation History'!$A$2:$A$1000,"&gt;="&amp;($B$2-30),'Rotation History'!$A$2:$A$1000,"&lt;"&amp;$B$2))</f>
        <v>0</v>
      </c>
      <c r="V101" s="44" t="n">
        <f aca="false">IF($B101="","",$Q101*10+$R101*2+$S101*20+$T101*3+$U101)</f>
        <v>0</v>
      </c>
    </row>
    <row r="102" customFormat="false" ht="14.25" hidden="false" customHeight="true" outlineLevel="0" collapsed="false">
      <c r="A102" s="40" t="n">
        <f aca="false">IF($B102="","",$B$2)</f>
        <v>46231</v>
      </c>
      <c r="B102" s="1" t="str">
        <f aca="false">IF($B$2="","",IFERROR(INDEX('Employee Master'!$A$2:$A$159,MATCH(ROWS($B$6:B102),Lists!$P$2:$P$159,0)),""))</f>
        <v>EMP-0126</v>
      </c>
      <c r="C102" s="1" t="str">
        <f aca="false">IF($B102="","",IFERROR(INDEX('Employee Master'!$B$2:$B$159,MATCH($B102,'Employee Master'!$A$2:$A$159,0)),""))</f>
        <v>Rozita Davis</v>
      </c>
      <c r="D102" s="1" t="str">
        <f aca="false">IF($B102="","",IFERROR(INDEX('Employee Master'!$C$2:$C$159,MATCH($B102,'Employee Master'!$A$2:$A$159,0)),""))</f>
        <v>2:00 PM</v>
      </c>
      <c r="E102" s="1" t="str">
        <f aca="false">IF($B102="","",IFERROR(INDEX('Employee Master'!$I$2:$I$159,MATCH($B102,'Employee Master'!$A$2:$A$159,0)),""))</f>
        <v>PM</v>
      </c>
      <c r="F102" s="29" t="str">
        <f aca="false">IF($B102="","",IFERROR(INDEX('Employee Master'!$E$2:$E$159,MATCH($B102,'Employee Master'!$A$2:$A$159,0)),""))</f>
        <v>N</v>
      </c>
      <c r="G102" s="29" t="str">
        <f aca="false">IF($B102="","",IFERROR(INDEX('Employee Master'!$F$2:$F$159,MATCH($B102,'Employee Master'!$A$2:$A$159,0)),""))</f>
        <v>N</v>
      </c>
      <c r="H102" s="41" t="str">
        <f aca="false">IF($B102="","","Present")</f>
        <v>Present</v>
      </c>
      <c r="I102" s="1" t="str">
        <f aca="false">IF($B102="","",IFERROR(INDEX('Employee Master'!$H$2:$H$159,MATCH($B102,'Employee Master'!$A$2:$A$159,0)),""))</f>
        <v>None</v>
      </c>
      <c r="J102" s="29" t="str">
        <f aca="false">IF($B102="","",IFERROR(INDEX('Qualification Matrix'!$C$2:$C$168,MATCH($B102,'Qualification Matrix'!$A$2:$A$168,0)),2))</f>
        <v>N</v>
      </c>
      <c r="K102" s="29" t="str">
        <f aca="false">IF($B102="","",IFERROR(INDEX('Qualification Matrix'!$D$2:$D$168,MATCH($B102,'Qualification Matrix'!$A$2:$A$168,0)),2))</f>
        <v>N</v>
      </c>
      <c r="L102" s="29" t="str">
        <f aca="false">IF($B102="","",IFERROR(INDEX('Qualification Matrix'!$E$2:$E$168,MATCH($B102,'Qualification Matrix'!$A$2:$A$168,0)),2))</f>
        <v>N</v>
      </c>
      <c r="M102" s="29" t="str">
        <f aca="false">IF($B102="","",IFERROR(INDEX('Qualification Matrix'!$F$2:$F$168,MATCH($B102,'Qualification Matrix'!$A$2:$A$168,0)),2))</f>
        <v>Y</v>
      </c>
      <c r="N102" s="29" t="str">
        <f aca="false">IF($B102="","",IF(AND($H102="Present",$F102&lt;&gt;"Y"),"Y","N"))</f>
        <v>Y</v>
      </c>
      <c r="O102" s="42"/>
      <c r="P102" s="29" t="n">
        <f aca="false">IF($B102="","",IFERROR(INDEX('Qualification Matrix'!$H$2:$H$168,MATCH($B102,'Qualification Matrix'!$A$2:$A$168,0)),""))</f>
        <v>2</v>
      </c>
      <c r="Q102" s="43" t="n">
        <f aca="false">IF($B102="","",SUMIFS('Rotation History'!$M$2:$M$1000,'Rotation History'!$B$2:$B$1000,$B102,'Rotation History'!$A$2:$A$1000,"&gt;="&amp;($B$2-30),'Rotation History'!$A$2:$A$1000,"&lt;"&amp;$B$2))</f>
        <v>0</v>
      </c>
      <c r="R102" s="43" t="n">
        <f aca="false">IF($B102="","",COUNTIFS('Rotation History'!$B$2:$B$1000,$B102,'Rotation History'!$M$2:$M$1000,"&gt;0",'Rotation History'!$A$2:$A$1000,"&gt;="&amp;($B$2-30),'Rotation History'!$A$2:$A$1000,"&lt;"&amp;$B$2))</f>
        <v>0</v>
      </c>
      <c r="S102" s="43" t="n">
        <f aca="false">IF($B102="","",IF(COUNTIFS('Rotation History'!$B$2:$B$1000,$B102,'Rotation History'!$A$2:$A$1000,$B$2-1,'Rotation History'!$M$2:$M$1000,"&gt;0")=0,0,1+IF(COUNTIFS('Rotation History'!$B$2:$B$1000,$B102,'Rotation History'!$A$2:$A$1000,$B$2-2,'Rotation History'!$M$2:$M$1000,"&gt;0")=0,0,1+IF(COUNTIFS('Rotation History'!$B$2:$B$1000,$B102,'Rotation History'!$A$2:$A$1000,$B$2-3,'Rotation History'!$M$2:$M$1000,"&gt;0")=0,0,1+IF(COUNTIFS('Rotation History'!$B$2:$B$1000,$B102,'Rotation History'!$A$2:$A$1000,$B$2-4,'Rotation History'!$M$2:$M$1000,"&gt;0")=0,0,1)))))</f>
        <v>0</v>
      </c>
      <c r="T102" s="43" t="n">
        <f aca="false">IF($B102="","",COUNTIFS('Rotation History'!$B$2:$B$1000,$B102,'Rotation History'!$K$2:$K$1000,"Opening",'Rotation History'!$A$2:$A$1000,"&gt;="&amp;($B$2-30),'Rotation History'!$A$2:$A$1000,"&lt;"&amp;$B$2))</f>
        <v>0</v>
      </c>
      <c r="U102" s="43" t="n">
        <f aca="false">IF($B102="","",COUNTIFS('Rotation History'!$B$2:$B$1000,$B102,'Rotation History'!$K$2:$K$1000,"Lunch Relief",'Rotation History'!$A$2:$A$1000,"&gt;="&amp;($B$2-30),'Rotation History'!$A$2:$A$1000,"&lt;"&amp;$B$2))</f>
        <v>0</v>
      </c>
      <c r="V102" s="44" t="n">
        <f aca="false">IF($B102="","",$Q102*10+$R102*2+$S102*20+$T102*3+$U102)</f>
        <v>0</v>
      </c>
    </row>
    <row r="103" customFormat="false" ht="14.25" hidden="false" customHeight="true" outlineLevel="0" collapsed="false">
      <c r="A103" s="40" t="n">
        <f aca="false">IF($B103="","",$B$2)</f>
        <v>46231</v>
      </c>
      <c r="B103" s="1" t="str">
        <f aca="false">IF($B$2="","",IFERROR(INDEX('Employee Master'!$A$2:$A$159,MATCH(ROWS($B$6:B103),Lists!$P$2:$P$159,0)),""))</f>
        <v>EMP-0140</v>
      </c>
      <c r="C103" s="1" t="str">
        <f aca="false">IF($B103="","",IFERROR(INDEX('Employee Master'!$B$2:$B$159,MATCH($B103,'Employee Master'!$A$2:$A$159,0)),""))</f>
        <v>Theresa Logan</v>
      </c>
      <c r="D103" s="1" t="str">
        <f aca="false">IF($B103="","",IFERROR(INDEX('Employee Master'!$C$2:$C$159,MATCH($B103,'Employee Master'!$A$2:$A$159,0)),""))</f>
        <v>2:00 PM</v>
      </c>
      <c r="E103" s="1" t="str">
        <f aca="false">IF($B103="","",IFERROR(INDEX('Employee Master'!$I$2:$I$159,MATCH($B103,'Employee Master'!$A$2:$A$159,0)),""))</f>
        <v>PM</v>
      </c>
      <c r="F103" s="29" t="str">
        <f aca="false">IF($B103="","",IFERROR(INDEX('Employee Master'!$E$2:$E$159,MATCH($B103,'Employee Master'!$A$2:$A$159,0)),""))</f>
        <v>N</v>
      </c>
      <c r="G103" s="29" t="str">
        <f aca="false">IF($B103="","",IFERROR(INDEX('Employee Master'!$F$2:$F$159,MATCH($B103,'Employee Master'!$A$2:$A$159,0)),""))</f>
        <v>N</v>
      </c>
      <c r="H103" s="41" t="str">
        <f aca="false">IF($B103="","","Present")</f>
        <v>Present</v>
      </c>
      <c r="I103" s="1" t="str">
        <f aca="false">IF($B103="","",IFERROR(INDEX('Employee Master'!$H$2:$H$159,MATCH($B103,'Employee Master'!$A$2:$A$159,0)),""))</f>
        <v>None</v>
      </c>
      <c r="J103" s="29" t="str">
        <f aca="false">IF($B103="","",IFERROR(INDEX('Qualification Matrix'!$C$2:$C$168,MATCH($B103,'Qualification Matrix'!$A$2:$A$168,0)),2))</f>
        <v>N</v>
      </c>
      <c r="K103" s="29" t="str">
        <f aca="false">IF($B103="","",IFERROR(INDEX('Qualification Matrix'!$D$2:$D$168,MATCH($B103,'Qualification Matrix'!$A$2:$A$168,0)),2))</f>
        <v>N</v>
      </c>
      <c r="L103" s="29" t="str">
        <f aca="false">IF($B103="","",IFERROR(INDEX('Qualification Matrix'!$E$2:$E$168,MATCH($B103,'Qualification Matrix'!$A$2:$A$168,0)),2))</f>
        <v>N</v>
      </c>
      <c r="M103" s="29" t="str">
        <f aca="false">IF($B103="","",IFERROR(INDEX('Qualification Matrix'!$F$2:$F$168,MATCH($B103,'Qualification Matrix'!$A$2:$A$168,0)),2))</f>
        <v>Y</v>
      </c>
      <c r="N103" s="29" t="str">
        <f aca="false">IF($B103="","",IF(AND($H103="Present",$F103&lt;&gt;"Y"),"Y","N"))</f>
        <v>Y</v>
      </c>
      <c r="O103" s="42"/>
      <c r="P103" s="29" t="n">
        <f aca="false">IF($B103="","",IFERROR(INDEX('Qualification Matrix'!$H$2:$H$168,MATCH($B103,'Qualification Matrix'!$A$2:$A$168,0)),""))</f>
        <v>2</v>
      </c>
      <c r="Q103" s="43" t="n">
        <f aca="false">IF($B103="","",SUMIFS('Rotation History'!$M$2:$M$1000,'Rotation History'!$B$2:$B$1000,$B103,'Rotation History'!$A$2:$A$1000,"&gt;="&amp;($B$2-30),'Rotation History'!$A$2:$A$1000,"&lt;"&amp;$B$2))</f>
        <v>0</v>
      </c>
      <c r="R103" s="43" t="n">
        <f aca="false">IF($B103="","",COUNTIFS('Rotation History'!$B$2:$B$1000,$B103,'Rotation History'!$M$2:$M$1000,"&gt;0",'Rotation History'!$A$2:$A$1000,"&gt;="&amp;($B$2-30),'Rotation History'!$A$2:$A$1000,"&lt;"&amp;$B$2))</f>
        <v>0</v>
      </c>
      <c r="S103" s="43" t="n">
        <f aca="false">IF($B103="","",IF(COUNTIFS('Rotation History'!$B$2:$B$1000,$B103,'Rotation History'!$A$2:$A$1000,$B$2-1,'Rotation History'!$M$2:$M$1000,"&gt;0")=0,0,1+IF(COUNTIFS('Rotation History'!$B$2:$B$1000,$B103,'Rotation History'!$A$2:$A$1000,$B$2-2,'Rotation History'!$M$2:$M$1000,"&gt;0")=0,0,1+IF(COUNTIFS('Rotation History'!$B$2:$B$1000,$B103,'Rotation History'!$A$2:$A$1000,$B$2-3,'Rotation History'!$M$2:$M$1000,"&gt;0")=0,0,1+IF(COUNTIFS('Rotation History'!$B$2:$B$1000,$B103,'Rotation History'!$A$2:$A$1000,$B$2-4,'Rotation History'!$M$2:$M$1000,"&gt;0")=0,0,1)))))</f>
        <v>0</v>
      </c>
      <c r="T103" s="43" t="n">
        <f aca="false">IF($B103="","",COUNTIFS('Rotation History'!$B$2:$B$1000,$B103,'Rotation History'!$K$2:$K$1000,"Opening",'Rotation History'!$A$2:$A$1000,"&gt;="&amp;($B$2-30),'Rotation History'!$A$2:$A$1000,"&lt;"&amp;$B$2))</f>
        <v>0</v>
      </c>
      <c r="U103" s="43" t="n">
        <f aca="false">IF($B103="","",COUNTIFS('Rotation History'!$B$2:$B$1000,$B103,'Rotation History'!$K$2:$K$1000,"Lunch Relief",'Rotation History'!$A$2:$A$1000,"&gt;="&amp;($B$2-30),'Rotation History'!$A$2:$A$1000,"&lt;"&amp;$B$2))</f>
        <v>0</v>
      </c>
      <c r="V103" s="44" t="n">
        <f aca="false">IF($B103="","",$Q103*10+$R103*2+$S103*20+$T103*3+$U103)</f>
        <v>0</v>
      </c>
    </row>
    <row r="104" customFormat="false" ht="14.25" hidden="false" customHeight="true" outlineLevel="0" collapsed="false">
      <c r="A104" s="40" t="n">
        <f aca="false">IF($B104="","",$B$2)</f>
        <v>46231</v>
      </c>
      <c r="B104" s="1" t="str">
        <f aca="false">IF($B$2="","",IFERROR(INDEX('Employee Master'!$A$2:$A$159,MATCH(ROWS($B$6:B104),Lists!$P$2:$P$159,0)),""))</f>
        <v>EMP-0148</v>
      </c>
      <c r="C104" s="1" t="str">
        <f aca="false">IF($B104="","",IFERROR(INDEX('Employee Master'!$B$2:$B$159,MATCH($B104,'Employee Master'!$A$2:$A$159,0)),""))</f>
        <v>Vanessa Forrest</v>
      </c>
      <c r="D104" s="1" t="str">
        <f aca="false">IF($B104="","",IFERROR(INDEX('Employee Master'!$C$2:$C$159,MATCH($B104,'Employee Master'!$A$2:$A$159,0)),""))</f>
        <v>2:00 PM</v>
      </c>
      <c r="E104" s="1" t="str">
        <f aca="false">IF($B104="","",IFERROR(INDEX('Employee Master'!$I$2:$I$159,MATCH($B104,'Employee Master'!$A$2:$A$159,0)),""))</f>
        <v>PM</v>
      </c>
      <c r="F104" s="29" t="str">
        <f aca="false">IF($B104="","",IFERROR(INDEX('Employee Master'!$E$2:$E$159,MATCH($B104,'Employee Master'!$A$2:$A$159,0)),""))</f>
        <v>N</v>
      </c>
      <c r="G104" s="29" t="str">
        <f aca="false">IF($B104="","",IFERROR(INDEX('Employee Master'!$F$2:$F$159,MATCH($B104,'Employee Master'!$A$2:$A$159,0)),""))</f>
        <v>N</v>
      </c>
      <c r="H104" s="41" t="str">
        <f aca="false">IF($B104="","","Present")</f>
        <v>Present</v>
      </c>
      <c r="I104" s="1" t="str">
        <f aca="false">IF($B104="","",IFERROR(INDEX('Employee Master'!$H$2:$H$159,MATCH($B104,'Employee Master'!$A$2:$A$159,0)),""))</f>
        <v>None</v>
      </c>
      <c r="J104" s="29" t="str">
        <f aca="false">IF($B104="","",IFERROR(INDEX('Qualification Matrix'!$C$2:$C$168,MATCH($B104,'Qualification Matrix'!$A$2:$A$168,0)),2))</f>
        <v>N</v>
      </c>
      <c r="K104" s="29" t="str">
        <f aca="false">IF($B104="","",IFERROR(INDEX('Qualification Matrix'!$D$2:$D$168,MATCH($B104,'Qualification Matrix'!$A$2:$A$168,0)),2))</f>
        <v>N</v>
      </c>
      <c r="L104" s="29" t="str">
        <f aca="false">IF($B104="","",IFERROR(INDEX('Qualification Matrix'!$E$2:$E$168,MATCH($B104,'Qualification Matrix'!$A$2:$A$168,0)),2))</f>
        <v>N</v>
      </c>
      <c r="M104" s="29" t="str">
        <f aca="false">IF($B104="","",IFERROR(INDEX('Qualification Matrix'!$F$2:$F$168,MATCH($B104,'Qualification Matrix'!$A$2:$A$168,0)),2))</f>
        <v>Y</v>
      </c>
      <c r="N104" s="29" t="str">
        <f aca="false">IF($B104="","",IF(AND($H104="Present",$F104&lt;&gt;"Y"),"Y","N"))</f>
        <v>Y</v>
      </c>
      <c r="O104" s="42"/>
      <c r="P104" s="29" t="n">
        <f aca="false">IF($B104="","",IFERROR(INDEX('Qualification Matrix'!$H$2:$H$168,MATCH($B104,'Qualification Matrix'!$A$2:$A$168,0)),""))</f>
        <v>2</v>
      </c>
      <c r="Q104" s="43" t="n">
        <f aca="false">IF($B104="","",SUMIFS('Rotation History'!$M$2:$M$1000,'Rotation History'!$B$2:$B$1000,$B104,'Rotation History'!$A$2:$A$1000,"&gt;="&amp;($B$2-30),'Rotation History'!$A$2:$A$1000,"&lt;"&amp;$B$2))</f>
        <v>0</v>
      </c>
      <c r="R104" s="43" t="n">
        <f aca="false">IF($B104="","",COUNTIFS('Rotation History'!$B$2:$B$1000,$B104,'Rotation History'!$M$2:$M$1000,"&gt;0",'Rotation History'!$A$2:$A$1000,"&gt;="&amp;($B$2-30),'Rotation History'!$A$2:$A$1000,"&lt;"&amp;$B$2))</f>
        <v>0</v>
      </c>
      <c r="S104" s="43" t="n">
        <f aca="false">IF($B104="","",IF(COUNTIFS('Rotation History'!$B$2:$B$1000,$B104,'Rotation History'!$A$2:$A$1000,$B$2-1,'Rotation History'!$M$2:$M$1000,"&gt;0")=0,0,1+IF(COUNTIFS('Rotation History'!$B$2:$B$1000,$B104,'Rotation History'!$A$2:$A$1000,$B$2-2,'Rotation History'!$M$2:$M$1000,"&gt;0")=0,0,1+IF(COUNTIFS('Rotation History'!$B$2:$B$1000,$B104,'Rotation History'!$A$2:$A$1000,$B$2-3,'Rotation History'!$M$2:$M$1000,"&gt;0")=0,0,1+IF(COUNTIFS('Rotation History'!$B$2:$B$1000,$B104,'Rotation History'!$A$2:$A$1000,$B$2-4,'Rotation History'!$M$2:$M$1000,"&gt;0")=0,0,1)))))</f>
        <v>0</v>
      </c>
      <c r="T104" s="43" t="n">
        <f aca="false">IF($B104="","",COUNTIFS('Rotation History'!$B$2:$B$1000,$B104,'Rotation History'!$K$2:$K$1000,"Opening",'Rotation History'!$A$2:$A$1000,"&gt;="&amp;($B$2-30),'Rotation History'!$A$2:$A$1000,"&lt;"&amp;$B$2))</f>
        <v>0</v>
      </c>
      <c r="U104" s="43" t="n">
        <f aca="false">IF($B104="","",COUNTIFS('Rotation History'!$B$2:$B$1000,$B104,'Rotation History'!$K$2:$K$1000,"Lunch Relief",'Rotation History'!$A$2:$A$1000,"&gt;="&amp;($B$2-30),'Rotation History'!$A$2:$A$1000,"&lt;"&amp;$B$2))</f>
        <v>0</v>
      </c>
      <c r="V104" s="44" t="n">
        <f aca="false">IF($B104="","",$Q104*10+$R104*2+$S104*20+$T104*3+$U104)</f>
        <v>0</v>
      </c>
    </row>
    <row r="105" customFormat="false" ht="14.25" hidden="false" customHeight="true" outlineLevel="0" collapsed="false">
      <c r="A105" s="40" t="n">
        <f aca="false">IF($B105="","",$B$2)</f>
        <v>46231</v>
      </c>
      <c r="B105" s="1" t="str">
        <f aca="false">IF($B$2="","",IFERROR(INDEX('Employee Master'!$A$2:$A$159,MATCH(ROWS($B$6:B105),Lists!$P$2:$P$159,0)),""))</f>
        <v>EMP-0151</v>
      </c>
      <c r="C105" s="1" t="str">
        <f aca="false">IF($B105="","",IFERROR(INDEX('Employee Master'!$B$2:$B$159,MATCH($B105,'Employee Master'!$A$2:$A$159,0)),""))</f>
        <v>Vinnie Petrov</v>
      </c>
      <c r="D105" s="1" t="str">
        <f aca="false">IF($B105="","",IFERROR(INDEX('Employee Master'!$C$2:$C$159,MATCH($B105,'Employee Master'!$A$2:$A$159,0)),""))</f>
        <v>2:00 PM</v>
      </c>
      <c r="E105" s="1" t="str">
        <f aca="false">IF($B105="","",IFERROR(INDEX('Employee Master'!$I$2:$I$159,MATCH($B105,'Employee Master'!$A$2:$A$159,0)),""))</f>
        <v>PM</v>
      </c>
      <c r="F105" s="29" t="str">
        <f aca="false">IF($B105="","",IFERROR(INDEX('Employee Master'!$E$2:$E$159,MATCH($B105,'Employee Master'!$A$2:$A$159,0)),""))</f>
        <v>Y</v>
      </c>
      <c r="G105" s="29" t="str">
        <f aca="false">IF($B105="","",IFERROR(INDEX('Employee Master'!$F$2:$F$159,MATCH($B105,'Employee Master'!$A$2:$A$159,0)),""))</f>
        <v>N</v>
      </c>
      <c r="H105" s="41" t="str">
        <f aca="false">IF($B105="","","Present")</f>
        <v>Present</v>
      </c>
      <c r="I105" s="1" t="str">
        <f aca="false">IF($B105="","",IFERROR(INDEX('Employee Master'!$H$2:$H$159,MATCH($B105,'Employee Master'!$A$2:$A$159,0)),""))</f>
        <v>None</v>
      </c>
      <c r="J105" s="29" t="str">
        <f aca="false">IF($B105="","",IFERROR(INDEX('Qualification Matrix'!$C$2:$C$168,MATCH($B105,'Qualification Matrix'!$A$2:$A$168,0)),2))</f>
        <v>N</v>
      </c>
      <c r="K105" s="29" t="str">
        <f aca="false">IF($B105="","",IFERROR(INDEX('Qualification Matrix'!$D$2:$D$168,MATCH($B105,'Qualification Matrix'!$A$2:$A$168,0)),2))</f>
        <v>N</v>
      </c>
      <c r="L105" s="29" t="str">
        <f aca="false">IF($B105="","",IFERROR(INDEX('Qualification Matrix'!$E$2:$E$168,MATCH($B105,'Qualification Matrix'!$A$2:$A$168,0)),2))</f>
        <v>N</v>
      </c>
      <c r="M105" s="29" t="str">
        <f aca="false">IF($B105="","",IFERROR(INDEX('Qualification Matrix'!$F$2:$F$168,MATCH($B105,'Qualification Matrix'!$A$2:$A$168,0)),2))</f>
        <v>Y</v>
      </c>
      <c r="N105" s="29" t="str">
        <f aca="false">IF($B105="","",IF(AND($H105="Present",$F105&lt;&gt;"Y"),"Y","N"))</f>
        <v>N</v>
      </c>
      <c r="O105" s="42"/>
      <c r="P105" s="29" t="n">
        <f aca="false">IF($B105="","",IFERROR(INDEX('Qualification Matrix'!$H$2:$H$168,MATCH($B105,'Qualification Matrix'!$A$2:$A$168,0)),""))</f>
        <v>2</v>
      </c>
      <c r="Q105" s="43" t="n">
        <f aca="false">IF($B105="","",SUMIFS('Rotation History'!$M$2:$M$1000,'Rotation History'!$B$2:$B$1000,$B105,'Rotation History'!$A$2:$A$1000,"&gt;="&amp;($B$2-30),'Rotation History'!$A$2:$A$1000,"&lt;"&amp;$B$2))</f>
        <v>0</v>
      </c>
      <c r="R105" s="43" t="n">
        <f aca="false">IF($B105="","",COUNTIFS('Rotation History'!$B$2:$B$1000,$B105,'Rotation History'!$M$2:$M$1000,"&gt;0",'Rotation History'!$A$2:$A$1000,"&gt;="&amp;($B$2-30),'Rotation History'!$A$2:$A$1000,"&lt;"&amp;$B$2))</f>
        <v>0</v>
      </c>
      <c r="S105" s="43" t="n">
        <f aca="false">IF($B105="","",IF(COUNTIFS('Rotation History'!$B$2:$B$1000,$B105,'Rotation History'!$A$2:$A$1000,$B$2-1,'Rotation History'!$M$2:$M$1000,"&gt;0")=0,0,1+IF(COUNTIFS('Rotation History'!$B$2:$B$1000,$B105,'Rotation History'!$A$2:$A$1000,$B$2-2,'Rotation History'!$M$2:$M$1000,"&gt;0")=0,0,1+IF(COUNTIFS('Rotation History'!$B$2:$B$1000,$B105,'Rotation History'!$A$2:$A$1000,$B$2-3,'Rotation History'!$M$2:$M$1000,"&gt;0")=0,0,1+IF(COUNTIFS('Rotation History'!$B$2:$B$1000,$B105,'Rotation History'!$A$2:$A$1000,$B$2-4,'Rotation History'!$M$2:$M$1000,"&gt;0")=0,0,1)))))</f>
        <v>0</v>
      </c>
      <c r="T105" s="43" t="n">
        <f aca="false">IF($B105="","",COUNTIFS('Rotation History'!$B$2:$B$1000,$B105,'Rotation History'!$K$2:$K$1000,"Opening",'Rotation History'!$A$2:$A$1000,"&gt;="&amp;($B$2-30),'Rotation History'!$A$2:$A$1000,"&lt;"&amp;$B$2))</f>
        <v>0</v>
      </c>
      <c r="U105" s="43" t="n">
        <f aca="false">IF($B105="","",COUNTIFS('Rotation History'!$B$2:$B$1000,$B105,'Rotation History'!$K$2:$K$1000,"Lunch Relief",'Rotation History'!$A$2:$A$1000,"&gt;="&amp;($B$2-30),'Rotation History'!$A$2:$A$1000,"&lt;"&amp;$B$2))</f>
        <v>0</v>
      </c>
      <c r="V105" s="44" t="n">
        <f aca="false">IF($B105="","",$Q105*10+$R105*2+$S105*20+$T105*3+$U105)</f>
        <v>0</v>
      </c>
    </row>
    <row r="106" customFormat="false" ht="14.25" hidden="false" customHeight="true" outlineLevel="0" collapsed="false">
      <c r="A106" s="40" t="n">
        <f aca="false">IF($B106="","",$B$2)</f>
        <v>46231</v>
      </c>
      <c r="B106" s="1" t="str">
        <f aca="false">IF($B$2="","",IFERROR(INDEX('Employee Master'!$A$2:$A$159,MATCH(ROWS($B$6:B106),Lists!$P$2:$P$159,0)),""))</f>
        <v>EMP-0153</v>
      </c>
      <c r="C106" s="1" t="str">
        <f aca="false">IF($B106="","",IFERROR(INDEX('Employee Master'!$B$2:$B$159,MATCH($B106,'Employee Master'!$A$2:$A$159,0)),""))</f>
        <v>Yen Vuong</v>
      </c>
      <c r="D106" s="1" t="str">
        <f aca="false">IF($B106="","",IFERROR(INDEX('Employee Master'!$C$2:$C$159,MATCH($B106,'Employee Master'!$A$2:$A$159,0)),""))</f>
        <v>2:00 PM</v>
      </c>
      <c r="E106" s="1" t="str">
        <f aca="false">IF($B106="","",IFERROR(INDEX('Employee Master'!$I$2:$I$159,MATCH($B106,'Employee Master'!$A$2:$A$159,0)),""))</f>
        <v>PM</v>
      </c>
      <c r="F106" s="29" t="str">
        <f aca="false">IF($B106="","",IFERROR(INDEX('Employee Master'!$E$2:$E$159,MATCH($B106,'Employee Master'!$A$2:$A$159,0)),""))</f>
        <v>N</v>
      </c>
      <c r="G106" s="29" t="str">
        <f aca="false">IF($B106="","",IFERROR(INDEX('Employee Master'!$F$2:$F$159,MATCH($B106,'Employee Master'!$A$2:$A$159,0)),""))</f>
        <v>N</v>
      </c>
      <c r="H106" s="41" t="str">
        <f aca="false">IF($B106="","","Present")</f>
        <v>Present</v>
      </c>
      <c r="I106" s="1" t="str">
        <f aca="false">IF($B106="","",IFERROR(INDEX('Employee Master'!$H$2:$H$159,MATCH($B106,'Employee Master'!$A$2:$A$159,0)),""))</f>
        <v>None</v>
      </c>
      <c r="J106" s="29" t="str">
        <f aca="false">IF($B106="","",IFERROR(INDEX('Qualification Matrix'!$C$2:$C$168,MATCH($B106,'Qualification Matrix'!$A$2:$A$168,0)),2))</f>
        <v>N</v>
      </c>
      <c r="K106" s="29" t="str">
        <f aca="false">IF($B106="","",IFERROR(INDEX('Qualification Matrix'!$D$2:$D$168,MATCH($B106,'Qualification Matrix'!$A$2:$A$168,0)),2))</f>
        <v>N</v>
      </c>
      <c r="L106" s="29" t="str">
        <f aca="false">IF($B106="","",IFERROR(INDEX('Qualification Matrix'!$E$2:$E$168,MATCH($B106,'Qualification Matrix'!$A$2:$A$168,0)),2))</f>
        <v>N</v>
      </c>
      <c r="M106" s="29" t="str">
        <f aca="false">IF($B106="","",IFERROR(INDEX('Qualification Matrix'!$F$2:$F$168,MATCH($B106,'Qualification Matrix'!$A$2:$A$168,0)),2))</f>
        <v>Y</v>
      </c>
      <c r="N106" s="29" t="str">
        <f aca="false">IF($B106="","",IF(AND($H106="Present",$F106&lt;&gt;"Y"),"Y","N"))</f>
        <v>Y</v>
      </c>
      <c r="O106" s="42"/>
      <c r="P106" s="29" t="n">
        <f aca="false">IF($B106="","",IFERROR(INDEX('Qualification Matrix'!$H$2:$H$168,MATCH($B106,'Qualification Matrix'!$A$2:$A$168,0)),""))</f>
        <v>2</v>
      </c>
      <c r="Q106" s="43" t="n">
        <f aca="false">IF($B106="","",SUMIFS('Rotation History'!$M$2:$M$1000,'Rotation History'!$B$2:$B$1000,$B106,'Rotation History'!$A$2:$A$1000,"&gt;="&amp;($B$2-30),'Rotation History'!$A$2:$A$1000,"&lt;"&amp;$B$2))</f>
        <v>0</v>
      </c>
      <c r="R106" s="43" t="n">
        <f aca="false">IF($B106="","",COUNTIFS('Rotation History'!$B$2:$B$1000,$B106,'Rotation History'!$M$2:$M$1000,"&gt;0",'Rotation History'!$A$2:$A$1000,"&gt;="&amp;($B$2-30),'Rotation History'!$A$2:$A$1000,"&lt;"&amp;$B$2))</f>
        <v>0</v>
      </c>
      <c r="S106" s="43" t="n">
        <f aca="false">IF($B106="","",IF(COUNTIFS('Rotation History'!$B$2:$B$1000,$B106,'Rotation History'!$A$2:$A$1000,$B$2-1,'Rotation History'!$M$2:$M$1000,"&gt;0")=0,0,1+IF(COUNTIFS('Rotation History'!$B$2:$B$1000,$B106,'Rotation History'!$A$2:$A$1000,$B$2-2,'Rotation History'!$M$2:$M$1000,"&gt;0")=0,0,1+IF(COUNTIFS('Rotation History'!$B$2:$B$1000,$B106,'Rotation History'!$A$2:$A$1000,$B$2-3,'Rotation History'!$M$2:$M$1000,"&gt;0")=0,0,1+IF(COUNTIFS('Rotation History'!$B$2:$B$1000,$B106,'Rotation History'!$A$2:$A$1000,$B$2-4,'Rotation History'!$M$2:$M$1000,"&gt;0")=0,0,1)))))</f>
        <v>0</v>
      </c>
      <c r="T106" s="43" t="n">
        <f aca="false">IF($B106="","",COUNTIFS('Rotation History'!$B$2:$B$1000,$B106,'Rotation History'!$K$2:$K$1000,"Opening",'Rotation History'!$A$2:$A$1000,"&gt;="&amp;($B$2-30),'Rotation History'!$A$2:$A$1000,"&lt;"&amp;$B$2))</f>
        <v>0</v>
      </c>
      <c r="U106" s="43" t="n">
        <f aca="false">IF($B106="","",COUNTIFS('Rotation History'!$B$2:$B$1000,$B106,'Rotation History'!$K$2:$K$1000,"Lunch Relief",'Rotation History'!$A$2:$A$1000,"&gt;="&amp;($B$2-30),'Rotation History'!$A$2:$A$1000,"&lt;"&amp;$B$2))</f>
        <v>0</v>
      </c>
      <c r="V106" s="44" t="n">
        <f aca="false">IF($B106="","",$Q106*10+$R106*2+$S106*20+$T106*3+$U106)</f>
        <v>0</v>
      </c>
    </row>
    <row r="107" customFormat="false" ht="14.25" hidden="false" customHeight="true" outlineLevel="0" collapsed="false">
      <c r="A107" s="40" t="n">
        <f aca="false">IF($B107="","",$B$2)</f>
        <v>46231</v>
      </c>
      <c r="B107" s="1" t="str">
        <f aca="false">IF($B$2="","",IFERROR(INDEX('Employee Master'!$A$2:$A$159,MATCH(ROWS($B$6:B107),Lists!$P$2:$P$159,0)),""))</f>
        <v>EMP-0154</v>
      </c>
      <c r="C107" s="1" t="str">
        <f aca="false">IF($B107="","",IFERROR(INDEX('Employee Master'!$B$2:$B$159,MATCH($B107,'Employee Master'!$A$2:$A$159,0)),""))</f>
        <v>Yitshhaq Sagahon</v>
      </c>
      <c r="D107" s="1" t="str">
        <f aca="false">IF($B107="","",IFERROR(INDEX('Employee Master'!$C$2:$C$159,MATCH($B107,'Employee Master'!$A$2:$A$159,0)),""))</f>
        <v>2:00 PM</v>
      </c>
      <c r="E107" s="1" t="str">
        <f aca="false">IF($B107="","",IFERROR(INDEX('Employee Master'!$I$2:$I$159,MATCH($B107,'Employee Master'!$A$2:$A$159,0)),""))</f>
        <v>PM</v>
      </c>
      <c r="F107" s="29" t="str">
        <f aca="false">IF($B107="","",IFERROR(INDEX('Employee Master'!$E$2:$E$159,MATCH($B107,'Employee Master'!$A$2:$A$159,0)),""))</f>
        <v>N</v>
      </c>
      <c r="G107" s="29" t="str">
        <f aca="false">IF($B107="","",IFERROR(INDEX('Employee Master'!$F$2:$F$159,MATCH($B107,'Employee Master'!$A$2:$A$159,0)),""))</f>
        <v>N</v>
      </c>
      <c r="H107" s="41" t="str">
        <f aca="false">IF($B107="","","Present")</f>
        <v>Present</v>
      </c>
      <c r="I107" s="1" t="str">
        <f aca="false">IF($B107="","",IFERROR(INDEX('Employee Master'!$H$2:$H$159,MATCH($B107,'Employee Master'!$A$2:$A$159,0)),""))</f>
        <v>None</v>
      </c>
      <c r="J107" s="29" t="str">
        <f aca="false">IF($B107="","",IFERROR(INDEX('Qualification Matrix'!$C$2:$C$168,MATCH($B107,'Qualification Matrix'!$A$2:$A$168,0)),2))</f>
        <v>N</v>
      </c>
      <c r="K107" s="29" t="str">
        <f aca="false">IF($B107="","",IFERROR(INDEX('Qualification Matrix'!$D$2:$D$168,MATCH($B107,'Qualification Matrix'!$A$2:$A$168,0)),2))</f>
        <v>N</v>
      </c>
      <c r="L107" s="29" t="str">
        <f aca="false">IF($B107="","",IFERROR(INDEX('Qualification Matrix'!$E$2:$E$168,MATCH($B107,'Qualification Matrix'!$A$2:$A$168,0)),2))</f>
        <v>N</v>
      </c>
      <c r="M107" s="29" t="str">
        <f aca="false">IF($B107="","",IFERROR(INDEX('Qualification Matrix'!$F$2:$F$168,MATCH($B107,'Qualification Matrix'!$A$2:$A$168,0)),2))</f>
        <v>Y</v>
      </c>
      <c r="N107" s="29" t="str">
        <f aca="false">IF($B107="","",IF(AND($H107="Present",$F107&lt;&gt;"Y"),"Y","N"))</f>
        <v>Y</v>
      </c>
      <c r="O107" s="42"/>
      <c r="P107" s="29" t="n">
        <f aca="false">IF($B107="","",IFERROR(INDEX('Qualification Matrix'!$H$2:$H$168,MATCH($B107,'Qualification Matrix'!$A$2:$A$168,0)),""))</f>
        <v>2</v>
      </c>
      <c r="Q107" s="43" t="n">
        <f aca="false">IF($B107="","",SUMIFS('Rotation History'!$M$2:$M$1000,'Rotation History'!$B$2:$B$1000,$B107,'Rotation History'!$A$2:$A$1000,"&gt;="&amp;($B$2-30),'Rotation History'!$A$2:$A$1000,"&lt;"&amp;$B$2))</f>
        <v>0</v>
      </c>
      <c r="R107" s="43" t="n">
        <f aca="false">IF($B107="","",COUNTIFS('Rotation History'!$B$2:$B$1000,$B107,'Rotation History'!$M$2:$M$1000,"&gt;0",'Rotation History'!$A$2:$A$1000,"&gt;="&amp;($B$2-30),'Rotation History'!$A$2:$A$1000,"&lt;"&amp;$B$2))</f>
        <v>0</v>
      </c>
      <c r="S107" s="43" t="n">
        <f aca="false">IF($B107="","",IF(COUNTIFS('Rotation History'!$B$2:$B$1000,$B107,'Rotation History'!$A$2:$A$1000,$B$2-1,'Rotation History'!$M$2:$M$1000,"&gt;0")=0,0,1+IF(COUNTIFS('Rotation History'!$B$2:$B$1000,$B107,'Rotation History'!$A$2:$A$1000,$B$2-2,'Rotation History'!$M$2:$M$1000,"&gt;0")=0,0,1+IF(COUNTIFS('Rotation History'!$B$2:$B$1000,$B107,'Rotation History'!$A$2:$A$1000,$B$2-3,'Rotation History'!$M$2:$M$1000,"&gt;0")=0,0,1+IF(COUNTIFS('Rotation History'!$B$2:$B$1000,$B107,'Rotation History'!$A$2:$A$1000,$B$2-4,'Rotation History'!$M$2:$M$1000,"&gt;0")=0,0,1)))))</f>
        <v>0</v>
      </c>
      <c r="T107" s="43" t="n">
        <f aca="false">IF($B107="","",COUNTIFS('Rotation History'!$B$2:$B$1000,$B107,'Rotation History'!$K$2:$K$1000,"Opening",'Rotation History'!$A$2:$A$1000,"&gt;="&amp;($B$2-30),'Rotation History'!$A$2:$A$1000,"&lt;"&amp;$B$2))</f>
        <v>0</v>
      </c>
      <c r="U107" s="43" t="n">
        <f aca="false">IF($B107="","",COUNTIFS('Rotation History'!$B$2:$B$1000,$B107,'Rotation History'!$K$2:$K$1000,"Lunch Relief",'Rotation History'!$A$2:$A$1000,"&gt;="&amp;($B$2-30),'Rotation History'!$A$2:$A$1000,"&lt;"&amp;$B$2))</f>
        <v>0</v>
      </c>
      <c r="V107" s="44" t="n">
        <f aca="false">IF($B107="","",$Q107*10+$R107*2+$S107*20+$T107*3+$U107)</f>
        <v>0</v>
      </c>
    </row>
    <row r="108" customFormat="false" ht="14.25" hidden="false" customHeight="true" outlineLevel="0" collapsed="false">
      <c r="A108" s="40" t="n">
        <f aca="false">IF($B108="","",$B$2)</f>
        <v>46231</v>
      </c>
      <c r="B108" s="1" t="str">
        <f aca="false">IF($B$2="","",IFERROR(INDEX('Employee Master'!$A$2:$A$159,MATCH(ROWS($B$6:B108),Lists!$P$2:$P$159,0)),""))</f>
        <v>EMP-0155</v>
      </c>
      <c r="C108" s="1" t="str">
        <f aca="false">IF($B108="","",IFERROR(INDEX('Employee Master'!$B$2:$B$159,MATCH($B108,'Employee Master'!$A$2:$A$159,0)),""))</f>
        <v>Youba Coly</v>
      </c>
      <c r="D108" s="1" t="str">
        <f aca="false">IF($B108="","",IFERROR(INDEX('Employee Master'!$C$2:$C$159,MATCH($B108,'Employee Master'!$A$2:$A$159,0)),""))</f>
        <v>2:00 PM</v>
      </c>
      <c r="E108" s="1" t="str">
        <f aca="false">IF($B108="","",IFERROR(INDEX('Employee Master'!$I$2:$I$159,MATCH($B108,'Employee Master'!$A$2:$A$159,0)),""))</f>
        <v>PM</v>
      </c>
      <c r="F108" s="29" t="str">
        <f aca="false">IF($B108="","",IFERROR(INDEX('Employee Master'!$E$2:$E$159,MATCH($B108,'Employee Master'!$A$2:$A$159,0)),""))</f>
        <v>N</v>
      </c>
      <c r="G108" s="29" t="str">
        <f aca="false">IF($B108="","",IFERROR(INDEX('Employee Master'!$F$2:$F$159,MATCH($B108,'Employee Master'!$A$2:$A$159,0)),""))</f>
        <v>N</v>
      </c>
      <c r="H108" s="41" t="str">
        <f aca="false">IF($B108="","","Present")</f>
        <v>Present</v>
      </c>
      <c r="I108" s="1" t="str">
        <f aca="false">IF($B108="","",IFERROR(INDEX('Employee Master'!$H$2:$H$159,MATCH($B108,'Employee Master'!$A$2:$A$159,0)),""))</f>
        <v>None</v>
      </c>
      <c r="J108" s="29" t="str">
        <f aca="false">IF($B108="","",IFERROR(INDEX('Qualification Matrix'!$C$2:$C$168,MATCH($B108,'Qualification Matrix'!$A$2:$A$168,0)),2))</f>
        <v>N</v>
      </c>
      <c r="K108" s="29" t="str">
        <f aca="false">IF($B108="","",IFERROR(INDEX('Qualification Matrix'!$D$2:$D$168,MATCH($B108,'Qualification Matrix'!$A$2:$A$168,0)),2))</f>
        <v>N</v>
      </c>
      <c r="L108" s="29" t="str">
        <f aca="false">IF($B108="","",IFERROR(INDEX('Qualification Matrix'!$E$2:$E$168,MATCH($B108,'Qualification Matrix'!$A$2:$A$168,0)),2))</f>
        <v>N</v>
      </c>
      <c r="M108" s="29" t="str">
        <f aca="false">IF($B108="","",IFERROR(INDEX('Qualification Matrix'!$F$2:$F$168,MATCH($B108,'Qualification Matrix'!$A$2:$A$168,0)),2))</f>
        <v>Y</v>
      </c>
      <c r="N108" s="29" t="str">
        <f aca="false">IF($B108="","",IF(AND($H108="Present",$F108&lt;&gt;"Y"),"Y","N"))</f>
        <v>Y</v>
      </c>
      <c r="O108" s="42"/>
      <c r="P108" s="29" t="n">
        <f aca="false">IF($B108="","",IFERROR(INDEX('Qualification Matrix'!$H$2:$H$168,MATCH($B108,'Qualification Matrix'!$A$2:$A$168,0)),""))</f>
        <v>2</v>
      </c>
      <c r="Q108" s="43" t="n">
        <f aca="false">IF($B108="","",SUMIFS('Rotation History'!$M$2:$M$1000,'Rotation History'!$B$2:$B$1000,$B108,'Rotation History'!$A$2:$A$1000,"&gt;="&amp;($B$2-30),'Rotation History'!$A$2:$A$1000,"&lt;"&amp;$B$2))</f>
        <v>0</v>
      </c>
      <c r="R108" s="43" t="n">
        <f aca="false">IF($B108="","",COUNTIFS('Rotation History'!$B$2:$B$1000,$B108,'Rotation History'!$M$2:$M$1000,"&gt;0",'Rotation History'!$A$2:$A$1000,"&gt;="&amp;($B$2-30),'Rotation History'!$A$2:$A$1000,"&lt;"&amp;$B$2))</f>
        <v>0</v>
      </c>
      <c r="S108" s="43" t="n">
        <f aca="false">IF($B108="","",IF(COUNTIFS('Rotation History'!$B$2:$B$1000,$B108,'Rotation History'!$A$2:$A$1000,$B$2-1,'Rotation History'!$M$2:$M$1000,"&gt;0")=0,0,1+IF(COUNTIFS('Rotation History'!$B$2:$B$1000,$B108,'Rotation History'!$A$2:$A$1000,$B$2-2,'Rotation History'!$M$2:$M$1000,"&gt;0")=0,0,1+IF(COUNTIFS('Rotation History'!$B$2:$B$1000,$B108,'Rotation History'!$A$2:$A$1000,$B$2-3,'Rotation History'!$M$2:$M$1000,"&gt;0")=0,0,1+IF(COUNTIFS('Rotation History'!$B$2:$B$1000,$B108,'Rotation History'!$A$2:$A$1000,$B$2-4,'Rotation History'!$M$2:$M$1000,"&gt;0")=0,0,1)))))</f>
        <v>0</v>
      </c>
      <c r="T108" s="43" t="n">
        <f aca="false">IF($B108="","",COUNTIFS('Rotation History'!$B$2:$B$1000,$B108,'Rotation History'!$K$2:$K$1000,"Opening",'Rotation History'!$A$2:$A$1000,"&gt;="&amp;($B$2-30),'Rotation History'!$A$2:$A$1000,"&lt;"&amp;$B$2))</f>
        <v>0</v>
      </c>
      <c r="U108" s="43" t="n">
        <f aca="false">IF($B108="","",COUNTIFS('Rotation History'!$B$2:$B$1000,$B108,'Rotation History'!$K$2:$K$1000,"Lunch Relief",'Rotation History'!$A$2:$A$1000,"&gt;="&amp;($B$2-30),'Rotation History'!$A$2:$A$1000,"&lt;"&amp;$B$2))</f>
        <v>0</v>
      </c>
      <c r="V108" s="44" t="n">
        <f aca="false">IF($B108="","",$Q108*10+$R108*2+$S108*20+$T108*3+$U108)</f>
        <v>0</v>
      </c>
    </row>
    <row r="109" customFormat="false" ht="14.25" hidden="false" customHeight="true" outlineLevel="0" collapsed="false">
      <c r="A109" s="40" t="n">
        <f aca="false">IF($B109="","",$B$2)</f>
        <v>46231</v>
      </c>
      <c r="B109" s="1" t="str">
        <f aca="false">IF($B$2="","",IFERROR(INDEX('Employee Master'!$A$2:$A$159,MATCH(ROWS($B$6:B109),Lists!$P$2:$P$159,0)),""))</f>
        <v>EMP-0156</v>
      </c>
      <c r="C109" s="1" t="str">
        <f aca="false">IF($B109="","",IFERROR(INDEX('Employee Master'!$B$2:$B$159,MATCH($B109,'Employee Master'!$A$2:$A$159,0)),""))</f>
        <v>Youssouf Traore</v>
      </c>
      <c r="D109" s="1" t="str">
        <f aca="false">IF($B109="","",IFERROR(INDEX('Employee Master'!$C$2:$C$159,MATCH($B109,'Employee Master'!$A$2:$A$159,0)),""))</f>
        <v>2:00 PM</v>
      </c>
      <c r="E109" s="1" t="str">
        <f aca="false">IF($B109="","",IFERROR(INDEX('Employee Master'!$I$2:$I$159,MATCH($B109,'Employee Master'!$A$2:$A$159,0)),""))</f>
        <v>PM</v>
      </c>
      <c r="F109" s="29" t="str">
        <f aca="false">IF($B109="","",IFERROR(INDEX('Employee Master'!$E$2:$E$159,MATCH($B109,'Employee Master'!$A$2:$A$159,0)),""))</f>
        <v>N</v>
      </c>
      <c r="G109" s="29" t="str">
        <f aca="false">IF($B109="","",IFERROR(INDEX('Employee Master'!$F$2:$F$159,MATCH($B109,'Employee Master'!$A$2:$A$159,0)),""))</f>
        <v>N</v>
      </c>
      <c r="H109" s="41" t="str">
        <f aca="false">IF($B109="","","Present")</f>
        <v>Present</v>
      </c>
      <c r="I109" s="1" t="str">
        <f aca="false">IF($B109="","",IFERROR(INDEX('Employee Master'!$H$2:$H$159,MATCH($B109,'Employee Master'!$A$2:$A$159,0)),""))</f>
        <v>None</v>
      </c>
      <c r="J109" s="29" t="str">
        <f aca="false">IF($B109="","",IFERROR(INDEX('Qualification Matrix'!$C$2:$C$168,MATCH($B109,'Qualification Matrix'!$A$2:$A$168,0)),2))</f>
        <v>N</v>
      </c>
      <c r="K109" s="29" t="str">
        <f aca="false">IF($B109="","",IFERROR(INDEX('Qualification Matrix'!$D$2:$D$168,MATCH($B109,'Qualification Matrix'!$A$2:$A$168,0)),2))</f>
        <v>N</v>
      </c>
      <c r="L109" s="29" t="str">
        <f aca="false">IF($B109="","",IFERROR(INDEX('Qualification Matrix'!$E$2:$E$168,MATCH($B109,'Qualification Matrix'!$A$2:$A$168,0)),2))</f>
        <v>N</v>
      </c>
      <c r="M109" s="29" t="str">
        <f aca="false">IF($B109="","",IFERROR(INDEX('Qualification Matrix'!$F$2:$F$168,MATCH($B109,'Qualification Matrix'!$A$2:$A$168,0)),2))</f>
        <v>Y</v>
      </c>
      <c r="N109" s="29" t="str">
        <f aca="false">IF($B109="","",IF(AND($H109="Present",$F109&lt;&gt;"Y"),"Y","N"))</f>
        <v>Y</v>
      </c>
      <c r="O109" s="42"/>
      <c r="P109" s="29" t="n">
        <f aca="false">IF($B109="","",IFERROR(INDEX('Qualification Matrix'!$H$2:$H$168,MATCH($B109,'Qualification Matrix'!$A$2:$A$168,0)),""))</f>
        <v>2</v>
      </c>
      <c r="Q109" s="43" t="n">
        <f aca="false">IF($B109="","",SUMIFS('Rotation History'!$M$2:$M$1000,'Rotation History'!$B$2:$B$1000,$B109,'Rotation History'!$A$2:$A$1000,"&gt;="&amp;($B$2-30),'Rotation History'!$A$2:$A$1000,"&lt;"&amp;$B$2))</f>
        <v>0</v>
      </c>
      <c r="R109" s="43" t="n">
        <f aca="false">IF($B109="","",COUNTIFS('Rotation History'!$B$2:$B$1000,$B109,'Rotation History'!$M$2:$M$1000,"&gt;0",'Rotation History'!$A$2:$A$1000,"&gt;="&amp;($B$2-30),'Rotation History'!$A$2:$A$1000,"&lt;"&amp;$B$2))</f>
        <v>0</v>
      </c>
      <c r="S109" s="43" t="n">
        <f aca="false">IF($B109="","",IF(COUNTIFS('Rotation History'!$B$2:$B$1000,$B109,'Rotation History'!$A$2:$A$1000,$B$2-1,'Rotation History'!$M$2:$M$1000,"&gt;0")=0,0,1+IF(COUNTIFS('Rotation History'!$B$2:$B$1000,$B109,'Rotation History'!$A$2:$A$1000,$B$2-2,'Rotation History'!$M$2:$M$1000,"&gt;0")=0,0,1+IF(COUNTIFS('Rotation History'!$B$2:$B$1000,$B109,'Rotation History'!$A$2:$A$1000,$B$2-3,'Rotation History'!$M$2:$M$1000,"&gt;0")=0,0,1+IF(COUNTIFS('Rotation History'!$B$2:$B$1000,$B109,'Rotation History'!$A$2:$A$1000,$B$2-4,'Rotation History'!$M$2:$M$1000,"&gt;0")=0,0,1)))))</f>
        <v>0</v>
      </c>
      <c r="T109" s="43" t="n">
        <f aca="false">IF($B109="","",COUNTIFS('Rotation History'!$B$2:$B$1000,$B109,'Rotation History'!$K$2:$K$1000,"Opening",'Rotation History'!$A$2:$A$1000,"&gt;="&amp;($B$2-30),'Rotation History'!$A$2:$A$1000,"&lt;"&amp;$B$2))</f>
        <v>0</v>
      </c>
      <c r="U109" s="43" t="n">
        <f aca="false">IF($B109="","",COUNTIFS('Rotation History'!$B$2:$B$1000,$B109,'Rotation History'!$K$2:$K$1000,"Lunch Relief",'Rotation History'!$A$2:$A$1000,"&gt;="&amp;($B$2-30),'Rotation History'!$A$2:$A$1000,"&lt;"&amp;$B$2))</f>
        <v>0</v>
      </c>
      <c r="V109" s="44" t="n">
        <f aca="false">IF($B109="","",$Q109*10+$R109*2+$S109*20+$T109*3+$U109)</f>
        <v>0</v>
      </c>
    </row>
    <row r="110" customFormat="false" ht="14.25" hidden="false" customHeight="true" outlineLevel="0" collapsed="false">
      <c r="A110" s="40" t="n">
        <f aca="false">IF($B110="","",$B$2)</f>
        <v>46231</v>
      </c>
      <c r="B110" s="1" t="str">
        <f aca="false">IF($B$2="","",IFERROR(INDEX('Employee Master'!$A$2:$A$159,MATCH(ROWS($B$6:B110),Lists!$P$2:$P$159,0)),""))</f>
        <v>EMP-0020</v>
      </c>
      <c r="C110" s="1" t="str">
        <f aca="false">IF($B110="","",IFERROR(INDEX('Employee Master'!$B$2:$B$159,MATCH($B110,'Employee Master'!$A$2:$A$159,0)),""))</f>
        <v>Ashtin Keys</v>
      </c>
      <c r="D110" s="1" t="str">
        <f aca="false">IF($B110="","",IFERROR(INDEX('Employee Master'!$C$2:$C$159,MATCH($B110,'Employee Master'!$A$2:$A$159,0)),""))</f>
        <v>9:15 PM</v>
      </c>
      <c r="E110" s="1" t="str">
        <f aca="false">IF($B110="","",IFERROR(INDEX('Employee Master'!$I$2:$I$159,MATCH($B110,'Employee Master'!$A$2:$A$159,0)),""))</f>
        <v>Overnight</v>
      </c>
      <c r="F110" s="29" t="str">
        <f aca="false">IF($B110="","",IFERROR(INDEX('Employee Master'!$E$2:$E$159,MATCH($B110,'Employee Master'!$A$2:$A$159,0)),""))</f>
        <v>N</v>
      </c>
      <c r="G110" s="29" t="str">
        <f aca="false">IF($B110="","",IFERROR(INDEX('Employee Master'!$F$2:$F$159,MATCH($B110,'Employee Master'!$A$2:$A$159,0)),""))</f>
        <v>N</v>
      </c>
      <c r="H110" s="41" t="str">
        <f aca="false">IF($B110="","","Present")</f>
        <v>Present</v>
      </c>
      <c r="I110" s="1" t="str">
        <f aca="false">IF($B110="","",IFERROR(INDEX('Employee Master'!$H$2:$H$159,MATCH($B110,'Employee Master'!$A$2:$A$159,0)),""))</f>
        <v>None</v>
      </c>
      <c r="J110" s="29" t="str">
        <f aca="false">IF($B110="","",IFERROR(INDEX('Qualification Matrix'!$C$2:$C$168,MATCH($B110,'Qualification Matrix'!$A$2:$A$168,0)),2))</f>
        <v>N</v>
      </c>
      <c r="K110" s="29" t="str">
        <f aca="false">IF($B110="","",IFERROR(INDEX('Qualification Matrix'!$D$2:$D$168,MATCH($B110,'Qualification Matrix'!$A$2:$A$168,0)),2))</f>
        <v>N</v>
      </c>
      <c r="L110" s="29" t="str">
        <f aca="false">IF($B110="","",IFERROR(INDEX('Qualification Matrix'!$E$2:$E$168,MATCH($B110,'Qualification Matrix'!$A$2:$A$168,0)),2))</f>
        <v>N</v>
      </c>
      <c r="M110" s="29" t="str">
        <f aca="false">IF($B110="","",IFERROR(INDEX('Qualification Matrix'!$F$2:$F$168,MATCH($B110,'Qualification Matrix'!$A$2:$A$168,0)),2))</f>
        <v>Y</v>
      </c>
      <c r="N110" s="29" t="str">
        <f aca="false">IF($B110="","",IF(AND($H110="Present",$F110&lt;&gt;"Y"),"Y","N"))</f>
        <v>Y</v>
      </c>
      <c r="O110" s="42"/>
      <c r="P110" s="29" t="n">
        <f aca="false">IF($B110="","",IFERROR(INDEX('Qualification Matrix'!$H$2:$H$168,MATCH($B110,'Qualification Matrix'!$A$2:$A$168,0)),""))</f>
        <v>2</v>
      </c>
      <c r="Q110" s="43" t="n">
        <f aca="false">IF($B110="","",SUMIFS('Rotation History'!$M$2:$M$1000,'Rotation History'!$B$2:$B$1000,$B110,'Rotation History'!$A$2:$A$1000,"&gt;="&amp;($B$2-30),'Rotation History'!$A$2:$A$1000,"&lt;"&amp;$B$2))</f>
        <v>0</v>
      </c>
      <c r="R110" s="43" t="n">
        <f aca="false">IF($B110="","",COUNTIFS('Rotation History'!$B$2:$B$1000,$B110,'Rotation History'!$M$2:$M$1000,"&gt;0",'Rotation History'!$A$2:$A$1000,"&gt;="&amp;($B$2-30),'Rotation History'!$A$2:$A$1000,"&lt;"&amp;$B$2))</f>
        <v>0</v>
      </c>
      <c r="S110" s="43" t="n">
        <f aca="false">IF($B110="","",IF(COUNTIFS('Rotation History'!$B$2:$B$1000,$B110,'Rotation History'!$A$2:$A$1000,$B$2-1,'Rotation History'!$M$2:$M$1000,"&gt;0")=0,0,1+IF(COUNTIFS('Rotation History'!$B$2:$B$1000,$B110,'Rotation History'!$A$2:$A$1000,$B$2-2,'Rotation History'!$M$2:$M$1000,"&gt;0")=0,0,1+IF(COUNTIFS('Rotation History'!$B$2:$B$1000,$B110,'Rotation History'!$A$2:$A$1000,$B$2-3,'Rotation History'!$M$2:$M$1000,"&gt;0")=0,0,1+IF(COUNTIFS('Rotation History'!$B$2:$B$1000,$B110,'Rotation History'!$A$2:$A$1000,$B$2-4,'Rotation History'!$M$2:$M$1000,"&gt;0")=0,0,1)))))</f>
        <v>0</v>
      </c>
      <c r="T110" s="43" t="n">
        <f aca="false">IF($B110="","",COUNTIFS('Rotation History'!$B$2:$B$1000,$B110,'Rotation History'!$K$2:$K$1000,"Opening",'Rotation History'!$A$2:$A$1000,"&gt;="&amp;($B$2-30),'Rotation History'!$A$2:$A$1000,"&lt;"&amp;$B$2))</f>
        <v>0</v>
      </c>
      <c r="U110" s="43" t="n">
        <f aca="false">IF($B110="","",COUNTIFS('Rotation History'!$B$2:$B$1000,$B110,'Rotation History'!$K$2:$K$1000,"Lunch Relief",'Rotation History'!$A$2:$A$1000,"&gt;="&amp;($B$2-30),'Rotation History'!$A$2:$A$1000,"&lt;"&amp;$B$2))</f>
        <v>0</v>
      </c>
      <c r="V110" s="44" t="n">
        <f aca="false">IF($B110="","",$Q110*10+$R110*2+$S110*20+$T110*3+$U110)</f>
        <v>0</v>
      </c>
    </row>
    <row r="111" customFormat="false" ht="14.25" hidden="false" customHeight="true" outlineLevel="0" collapsed="false">
      <c r="A111" s="40" t="n">
        <f aca="false">IF($B111="","",$B$2)</f>
        <v>46231</v>
      </c>
      <c r="B111" s="1" t="str">
        <f aca="false">IF($B$2="","",IFERROR(INDEX('Employee Master'!$A$2:$A$159,MATCH(ROWS($B$6:B111),Lists!$P$2:$P$159,0)),""))</f>
        <v>EMP-0032</v>
      </c>
      <c r="C111" s="1" t="str">
        <f aca="false">IF($B111="","",IFERROR(INDEX('Employee Master'!$B$2:$B$159,MATCH($B111,'Employee Master'!$A$2:$A$159,0)),""))</f>
        <v>Camille Muhammad</v>
      </c>
      <c r="D111" s="1" t="str">
        <f aca="false">IF($B111="","",IFERROR(INDEX('Employee Master'!$C$2:$C$159,MATCH($B111,'Employee Master'!$A$2:$A$159,0)),""))</f>
        <v>9:15 PM</v>
      </c>
      <c r="E111" s="1" t="str">
        <f aca="false">IF($B111="","",IFERROR(INDEX('Employee Master'!$I$2:$I$159,MATCH($B111,'Employee Master'!$A$2:$A$159,0)),""))</f>
        <v>Overnight</v>
      </c>
      <c r="F111" s="29" t="str">
        <f aca="false">IF($B111="","",IFERROR(INDEX('Employee Master'!$E$2:$E$159,MATCH($B111,'Employee Master'!$A$2:$A$159,0)),""))</f>
        <v>N</v>
      </c>
      <c r="G111" s="29" t="str">
        <f aca="false">IF($B111="","",IFERROR(INDEX('Employee Master'!$F$2:$F$159,MATCH($B111,'Employee Master'!$A$2:$A$159,0)),""))</f>
        <v>N</v>
      </c>
      <c r="H111" s="41" t="str">
        <f aca="false">IF($B111="","","Present")</f>
        <v>Present</v>
      </c>
      <c r="I111" s="1" t="str">
        <f aca="false">IF($B111="","",IFERROR(INDEX('Employee Master'!$H$2:$H$159,MATCH($B111,'Employee Master'!$A$2:$A$159,0)),""))</f>
        <v>None</v>
      </c>
      <c r="J111" s="29" t="str">
        <f aca="false">IF($B111="","",IFERROR(INDEX('Qualification Matrix'!$C$2:$C$168,MATCH($B111,'Qualification Matrix'!$A$2:$A$168,0)),2))</f>
        <v>N</v>
      </c>
      <c r="K111" s="29" t="str">
        <f aca="false">IF($B111="","",IFERROR(INDEX('Qualification Matrix'!$D$2:$D$168,MATCH($B111,'Qualification Matrix'!$A$2:$A$168,0)),2))</f>
        <v>N</v>
      </c>
      <c r="L111" s="29" t="str">
        <f aca="false">IF($B111="","",IFERROR(INDEX('Qualification Matrix'!$E$2:$E$168,MATCH($B111,'Qualification Matrix'!$A$2:$A$168,0)),2))</f>
        <v>N</v>
      </c>
      <c r="M111" s="29" t="str">
        <f aca="false">IF($B111="","",IFERROR(INDEX('Qualification Matrix'!$F$2:$F$168,MATCH($B111,'Qualification Matrix'!$A$2:$A$168,0)),2))</f>
        <v>Y</v>
      </c>
      <c r="N111" s="29" t="str">
        <f aca="false">IF($B111="","",IF(AND($H111="Present",$F111&lt;&gt;"Y"),"Y","N"))</f>
        <v>Y</v>
      </c>
      <c r="O111" s="42"/>
      <c r="P111" s="29" t="n">
        <f aca="false">IF($B111="","",IFERROR(INDEX('Qualification Matrix'!$H$2:$H$168,MATCH($B111,'Qualification Matrix'!$A$2:$A$168,0)),""))</f>
        <v>2</v>
      </c>
      <c r="Q111" s="43" t="n">
        <f aca="false">IF($B111="","",SUMIFS('Rotation History'!$M$2:$M$1000,'Rotation History'!$B$2:$B$1000,$B111,'Rotation History'!$A$2:$A$1000,"&gt;="&amp;($B$2-30),'Rotation History'!$A$2:$A$1000,"&lt;"&amp;$B$2))</f>
        <v>0</v>
      </c>
      <c r="R111" s="43" t="n">
        <f aca="false">IF($B111="","",COUNTIFS('Rotation History'!$B$2:$B$1000,$B111,'Rotation History'!$M$2:$M$1000,"&gt;0",'Rotation History'!$A$2:$A$1000,"&gt;="&amp;($B$2-30),'Rotation History'!$A$2:$A$1000,"&lt;"&amp;$B$2))</f>
        <v>0</v>
      </c>
      <c r="S111" s="43" t="n">
        <f aca="false">IF($B111="","",IF(COUNTIFS('Rotation History'!$B$2:$B$1000,$B111,'Rotation History'!$A$2:$A$1000,$B$2-1,'Rotation History'!$M$2:$M$1000,"&gt;0")=0,0,1+IF(COUNTIFS('Rotation History'!$B$2:$B$1000,$B111,'Rotation History'!$A$2:$A$1000,$B$2-2,'Rotation History'!$M$2:$M$1000,"&gt;0")=0,0,1+IF(COUNTIFS('Rotation History'!$B$2:$B$1000,$B111,'Rotation History'!$A$2:$A$1000,$B$2-3,'Rotation History'!$M$2:$M$1000,"&gt;0")=0,0,1+IF(COUNTIFS('Rotation History'!$B$2:$B$1000,$B111,'Rotation History'!$A$2:$A$1000,$B$2-4,'Rotation History'!$M$2:$M$1000,"&gt;0")=0,0,1)))))</f>
        <v>0</v>
      </c>
      <c r="T111" s="43" t="n">
        <f aca="false">IF($B111="","",COUNTIFS('Rotation History'!$B$2:$B$1000,$B111,'Rotation History'!$K$2:$K$1000,"Opening",'Rotation History'!$A$2:$A$1000,"&gt;="&amp;($B$2-30),'Rotation History'!$A$2:$A$1000,"&lt;"&amp;$B$2))</f>
        <v>0</v>
      </c>
      <c r="U111" s="43" t="n">
        <f aca="false">IF($B111="","",COUNTIFS('Rotation History'!$B$2:$B$1000,$B111,'Rotation History'!$K$2:$K$1000,"Lunch Relief",'Rotation History'!$A$2:$A$1000,"&gt;="&amp;($B$2-30),'Rotation History'!$A$2:$A$1000,"&lt;"&amp;$B$2))</f>
        <v>0</v>
      </c>
      <c r="V111" s="44" t="n">
        <f aca="false">IF($B111="","",$Q111*10+$R111*2+$S111*20+$T111*3+$U111)</f>
        <v>0</v>
      </c>
    </row>
    <row r="112" customFormat="false" ht="14.25" hidden="false" customHeight="true" outlineLevel="0" collapsed="false">
      <c r="A112" s="40" t="n">
        <f aca="false">IF($B112="","",$B$2)</f>
        <v>46231</v>
      </c>
      <c r="B112" s="1" t="str">
        <f aca="false">IF($B$2="","",IFERROR(INDEX('Employee Master'!$A$2:$A$159,MATCH(ROWS($B$6:B112),Lists!$P$2:$P$159,0)),""))</f>
        <v>EMP-0033</v>
      </c>
      <c r="C112" s="1" t="str">
        <f aca="false">IF($B112="","",IFERROR(INDEX('Employee Master'!$B$2:$B$159,MATCH($B112,'Employee Master'!$A$2:$A$159,0)),""))</f>
        <v>Camille Underwood</v>
      </c>
      <c r="D112" s="1" t="str">
        <f aca="false">IF($B112="","",IFERROR(INDEX('Employee Master'!$C$2:$C$159,MATCH($B112,'Employee Master'!$A$2:$A$159,0)),""))</f>
        <v>9:15 PM</v>
      </c>
      <c r="E112" s="1" t="str">
        <f aca="false">IF($B112="","",IFERROR(INDEX('Employee Master'!$I$2:$I$159,MATCH($B112,'Employee Master'!$A$2:$A$159,0)),""))</f>
        <v>Overnight</v>
      </c>
      <c r="F112" s="29" t="str">
        <f aca="false">IF($B112="","",IFERROR(INDEX('Employee Master'!$E$2:$E$159,MATCH($B112,'Employee Master'!$A$2:$A$159,0)),""))</f>
        <v>N</v>
      </c>
      <c r="G112" s="29" t="str">
        <f aca="false">IF($B112="","",IFERROR(INDEX('Employee Master'!$F$2:$F$159,MATCH($B112,'Employee Master'!$A$2:$A$159,0)),""))</f>
        <v>N</v>
      </c>
      <c r="H112" s="41" t="str">
        <f aca="false">IF($B112="","","Present")</f>
        <v>Present</v>
      </c>
      <c r="I112" s="1" t="str">
        <f aca="false">IF($B112="","",IFERROR(INDEX('Employee Master'!$H$2:$H$159,MATCH($B112,'Employee Master'!$A$2:$A$159,0)),""))</f>
        <v>None</v>
      </c>
      <c r="J112" s="29" t="str">
        <f aca="false">IF($B112="","",IFERROR(INDEX('Qualification Matrix'!$C$2:$C$168,MATCH($B112,'Qualification Matrix'!$A$2:$A$168,0)),2))</f>
        <v>N</v>
      </c>
      <c r="K112" s="29" t="str">
        <f aca="false">IF($B112="","",IFERROR(INDEX('Qualification Matrix'!$D$2:$D$168,MATCH($B112,'Qualification Matrix'!$A$2:$A$168,0)),2))</f>
        <v>N</v>
      </c>
      <c r="L112" s="29" t="str">
        <f aca="false">IF($B112="","",IFERROR(INDEX('Qualification Matrix'!$E$2:$E$168,MATCH($B112,'Qualification Matrix'!$A$2:$A$168,0)),2))</f>
        <v>N</v>
      </c>
      <c r="M112" s="29" t="str">
        <f aca="false">IF($B112="","",IFERROR(INDEX('Qualification Matrix'!$F$2:$F$168,MATCH($B112,'Qualification Matrix'!$A$2:$A$168,0)),2))</f>
        <v>Y</v>
      </c>
      <c r="N112" s="29" t="str">
        <f aca="false">IF($B112="","",IF(AND($H112="Present",$F112&lt;&gt;"Y"),"Y","N"))</f>
        <v>Y</v>
      </c>
      <c r="O112" s="42"/>
      <c r="P112" s="29" t="n">
        <f aca="false">IF($B112="","",IFERROR(INDEX('Qualification Matrix'!$H$2:$H$168,MATCH($B112,'Qualification Matrix'!$A$2:$A$168,0)),""))</f>
        <v>2</v>
      </c>
      <c r="Q112" s="43" t="n">
        <f aca="false">IF($B112="","",SUMIFS('Rotation History'!$M$2:$M$1000,'Rotation History'!$B$2:$B$1000,$B112,'Rotation History'!$A$2:$A$1000,"&gt;="&amp;($B$2-30),'Rotation History'!$A$2:$A$1000,"&lt;"&amp;$B$2))</f>
        <v>0</v>
      </c>
      <c r="R112" s="43" t="n">
        <f aca="false">IF($B112="","",COUNTIFS('Rotation History'!$B$2:$B$1000,$B112,'Rotation History'!$M$2:$M$1000,"&gt;0",'Rotation History'!$A$2:$A$1000,"&gt;="&amp;($B$2-30),'Rotation History'!$A$2:$A$1000,"&lt;"&amp;$B$2))</f>
        <v>0</v>
      </c>
      <c r="S112" s="43" t="n">
        <f aca="false">IF($B112="","",IF(COUNTIFS('Rotation History'!$B$2:$B$1000,$B112,'Rotation History'!$A$2:$A$1000,$B$2-1,'Rotation History'!$M$2:$M$1000,"&gt;0")=0,0,1+IF(COUNTIFS('Rotation History'!$B$2:$B$1000,$B112,'Rotation History'!$A$2:$A$1000,$B$2-2,'Rotation History'!$M$2:$M$1000,"&gt;0")=0,0,1+IF(COUNTIFS('Rotation History'!$B$2:$B$1000,$B112,'Rotation History'!$A$2:$A$1000,$B$2-3,'Rotation History'!$M$2:$M$1000,"&gt;0")=0,0,1+IF(COUNTIFS('Rotation History'!$B$2:$B$1000,$B112,'Rotation History'!$A$2:$A$1000,$B$2-4,'Rotation History'!$M$2:$M$1000,"&gt;0")=0,0,1)))))</f>
        <v>0</v>
      </c>
      <c r="T112" s="43" t="n">
        <f aca="false">IF($B112="","",COUNTIFS('Rotation History'!$B$2:$B$1000,$B112,'Rotation History'!$K$2:$K$1000,"Opening",'Rotation History'!$A$2:$A$1000,"&gt;="&amp;($B$2-30),'Rotation History'!$A$2:$A$1000,"&lt;"&amp;$B$2))</f>
        <v>0</v>
      </c>
      <c r="U112" s="43" t="n">
        <f aca="false">IF($B112="","",COUNTIFS('Rotation History'!$B$2:$B$1000,$B112,'Rotation History'!$K$2:$K$1000,"Lunch Relief",'Rotation History'!$A$2:$A$1000,"&gt;="&amp;($B$2-30),'Rotation History'!$A$2:$A$1000,"&lt;"&amp;$B$2))</f>
        <v>0</v>
      </c>
      <c r="V112" s="44" t="n">
        <f aca="false">IF($B112="","",$Q112*10+$R112*2+$S112*20+$T112*3+$U112)</f>
        <v>0</v>
      </c>
    </row>
    <row r="113" customFormat="false" ht="14.25" hidden="false" customHeight="true" outlineLevel="0" collapsed="false">
      <c r="A113" s="40" t="n">
        <f aca="false">IF($B113="","",$B$2)</f>
        <v>46231</v>
      </c>
      <c r="B113" s="1" t="str">
        <f aca="false">IF($B$2="","",IFERROR(INDEX('Employee Master'!$A$2:$A$159,MATCH(ROWS($B$6:B113),Lists!$P$2:$P$159,0)),""))</f>
        <v>EMP-0085</v>
      </c>
      <c r="C113" s="1" t="str">
        <f aca="false">IF($B113="","",IFERROR(INDEX('Employee Master'!$B$2:$B$159,MATCH($B113,'Employee Master'!$A$2:$A$159,0)),""))</f>
        <v>Khursheeda Nasreen</v>
      </c>
      <c r="D113" s="1" t="str">
        <f aca="false">IF($B113="","",IFERROR(INDEX('Employee Master'!$C$2:$C$159,MATCH($B113,'Employee Master'!$A$2:$A$159,0)),""))</f>
        <v>9:15 PM</v>
      </c>
      <c r="E113" s="1" t="str">
        <f aca="false">IF($B113="","",IFERROR(INDEX('Employee Master'!$I$2:$I$159,MATCH($B113,'Employee Master'!$A$2:$A$159,0)),""))</f>
        <v>Overnight</v>
      </c>
      <c r="F113" s="29" t="str">
        <f aca="false">IF($B113="","",IFERROR(INDEX('Employee Master'!$E$2:$E$159,MATCH($B113,'Employee Master'!$A$2:$A$159,0)),""))</f>
        <v>N</v>
      </c>
      <c r="G113" s="29" t="str">
        <f aca="false">IF($B113="","",IFERROR(INDEX('Employee Master'!$F$2:$F$159,MATCH($B113,'Employee Master'!$A$2:$A$159,0)),""))</f>
        <v>N</v>
      </c>
      <c r="H113" s="41" t="str">
        <f aca="false">IF($B113="","","Present")</f>
        <v>Present</v>
      </c>
      <c r="I113" s="1" t="str">
        <f aca="false">IF($B113="","",IFERROR(INDEX('Employee Master'!$H$2:$H$159,MATCH($B113,'Employee Master'!$A$2:$A$159,0)),""))</f>
        <v>None</v>
      </c>
      <c r="J113" s="29" t="str">
        <f aca="false">IF($B113="","",IFERROR(INDEX('Qualification Matrix'!$C$2:$C$168,MATCH($B113,'Qualification Matrix'!$A$2:$A$168,0)),2))</f>
        <v>N</v>
      </c>
      <c r="K113" s="29" t="str">
        <f aca="false">IF($B113="","",IFERROR(INDEX('Qualification Matrix'!$D$2:$D$168,MATCH($B113,'Qualification Matrix'!$A$2:$A$168,0)),2))</f>
        <v>N</v>
      </c>
      <c r="L113" s="29" t="str">
        <f aca="false">IF($B113="","",IFERROR(INDEX('Qualification Matrix'!$E$2:$E$168,MATCH($B113,'Qualification Matrix'!$A$2:$A$168,0)),2))</f>
        <v>N</v>
      </c>
      <c r="M113" s="29" t="str">
        <f aca="false">IF($B113="","",IFERROR(INDEX('Qualification Matrix'!$F$2:$F$168,MATCH($B113,'Qualification Matrix'!$A$2:$A$168,0)),2))</f>
        <v>Y</v>
      </c>
      <c r="N113" s="29" t="str">
        <f aca="false">IF($B113="","",IF(AND($H113="Present",$F113&lt;&gt;"Y"),"Y","N"))</f>
        <v>Y</v>
      </c>
      <c r="O113" s="42"/>
      <c r="P113" s="29" t="n">
        <f aca="false">IF($B113="","",IFERROR(INDEX('Qualification Matrix'!$H$2:$H$168,MATCH($B113,'Qualification Matrix'!$A$2:$A$168,0)),""))</f>
        <v>2</v>
      </c>
      <c r="Q113" s="43" t="n">
        <f aca="false">IF($B113="","",SUMIFS('Rotation History'!$M$2:$M$1000,'Rotation History'!$B$2:$B$1000,$B113,'Rotation History'!$A$2:$A$1000,"&gt;="&amp;($B$2-30),'Rotation History'!$A$2:$A$1000,"&lt;"&amp;$B$2))</f>
        <v>0</v>
      </c>
      <c r="R113" s="43" t="n">
        <f aca="false">IF($B113="","",COUNTIFS('Rotation History'!$B$2:$B$1000,$B113,'Rotation History'!$M$2:$M$1000,"&gt;0",'Rotation History'!$A$2:$A$1000,"&gt;="&amp;($B$2-30),'Rotation History'!$A$2:$A$1000,"&lt;"&amp;$B$2))</f>
        <v>0</v>
      </c>
      <c r="S113" s="43" t="n">
        <f aca="false">IF($B113="","",IF(COUNTIFS('Rotation History'!$B$2:$B$1000,$B113,'Rotation History'!$A$2:$A$1000,$B$2-1,'Rotation History'!$M$2:$M$1000,"&gt;0")=0,0,1+IF(COUNTIFS('Rotation History'!$B$2:$B$1000,$B113,'Rotation History'!$A$2:$A$1000,$B$2-2,'Rotation History'!$M$2:$M$1000,"&gt;0")=0,0,1+IF(COUNTIFS('Rotation History'!$B$2:$B$1000,$B113,'Rotation History'!$A$2:$A$1000,$B$2-3,'Rotation History'!$M$2:$M$1000,"&gt;0")=0,0,1+IF(COUNTIFS('Rotation History'!$B$2:$B$1000,$B113,'Rotation History'!$A$2:$A$1000,$B$2-4,'Rotation History'!$M$2:$M$1000,"&gt;0")=0,0,1)))))</f>
        <v>0</v>
      </c>
      <c r="T113" s="43" t="n">
        <f aca="false">IF($B113="","",COUNTIFS('Rotation History'!$B$2:$B$1000,$B113,'Rotation History'!$K$2:$K$1000,"Opening",'Rotation History'!$A$2:$A$1000,"&gt;="&amp;($B$2-30),'Rotation History'!$A$2:$A$1000,"&lt;"&amp;$B$2))</f>
        <v>0</v>
      </c>
      <c r="U113" s="43" t="n">
        <f aca="false">IF($B113="","",COUNTIFS('Rotation History'!$B$2:$B$1000,$B113,'Rotation History'!$K$2:$K$1000,"Lunch Relief",'Rotation History'!$A$2:$A$1000,"&gt;="&amp;($B$2-30),'Rotation History'!$A$2:$A$1000,"&lt;"&amp;$B$2))</f>
        <v>0</v>
      </c>
      <c r="V113" s="44" t="n">
        <f aca="false">IF($B113="","",$Q113*10+$R113*2+$S113*20+$T113*3+$U113)</f>
        <v>0</v>
      </c>
    </row>
    <row r="114" customFormat="false" ht="14.25" hidden="false" customHeight="true" outlineLevel="0" collapsed="false">
      <c r="A114" s="40" t="n">
        <f aca="false">IF($B114="","",$B$2)</f>
        <v>46231</v>
      </c>
      <c r="B114" s="1" t="str">
        <f aca="false">IF($B$2="","",IFERROR(INDEX('Employee Master'!$A$2:$A$159,MATCH(ROWS($B$6:B114),Lists!$P$2:$P$159,0)),""))</f>
        <v>EMP-0092</v>
      </c>
      <c r="C114" s="1" t="str">
        <f aca="false">IF($B114="","",IFERROR(INDEX('Employee Master'!$B$2:$B$159,MATCH($B114,'Employee Master'!$A$2:$A$159,0)),""))</f>
        <v>Lawrence Bonner</v>
      </c>
      <c r="D114" s="1" t="str">
        <f aca="false">IF($B114="","",IFERROR(INDEX('Employee Master'!$C$2:$C$159,MATCH($B114,'Employee Master'!$A$2:$A$159,0)),""))</f>
        <v>9:15 PM</v>
      </c>
      <c r="E114" s="1" t="str">
        <f aca="false">IF($B114="","",IFERROR(INDEX('Employee Master'!$I$2:$I$159,MATCH($B114,'Employee Master'!$A$2:$A$159,0)),""))</f>
        <v>Overnight</v>
      </c>
      <c r="F114" s="29" t="str">
        <f aca="false">IF($B114="","",IFERROR(INDEX('Employee Master'!$E$2:$E$159,MATCH($B114,'Employee Master'!$A$2:$A$159,0)),""))</f>
        <v>N</v>
      </c>
      <c r="G114" s="29" t="str">
        <f aca="false">IF($B114="","",IFERROR(INDEX('Employee Master'!$F$2:$F$159,MATCH($B114,'Employee Master'!$A$2:$A$159,0)),""))</f>
        <v>N</v>
      </c>
      <c r="H114" s="41" t="str">
        <f aca="false">IF($B114="","","Present")</f>
        <v>Present</v>
      </c>
      <c r="I114" s="1" t="str">
        <f aca="false">IF($B114="","",IFERROR(INDEX('Employee Master'!$H$2:$H$159,MATCH($B114,'Employee Master'!$A$2:$A$159,0)),""))</f>
        <v>None</v>
      </c>
      <c r="J114" s="29" t="str">
        <f aca="false">IF($B114="","",IFERROR(INDEX('Qualification Matrix'!$C$2:$C$168,MATCH($B114,'Qualification Matrix'!$A$2:$A$168,0)),2))</f>
        <v>N</v>
      </c>
      <c r="K114" s="29" t="str">
        <f aca="false">IF($B114="","",IFERROR(INDEX('Qualification Matrix'!$D$2:$D$168,MATCH($B114,'Qualification Matrix'!$A$2:$A$168,0)),2))</f>
        <v>N</v>
      </c>
      <c r="L114" s="29" t="str">
        <f aca="false">IF($B114="","",IFERROR(INDEX('Qualification Matrix'!$E$2:$E$168,MATCH($B114,'Qualification Matrix'!$A$2:$A$168,0)),2))</f>
        <v>N</v>
      </c>
      <c r="M114" s="29" t="str">
        <f aca="false">IF($B114="","",IFERROR(INDEX('Qualification Matrix'!$F$2:$F$168,MATCH($B114,'Qualification Matrix'!$A$2:$A$168,0)),2))</f>
        <v>Y</v>
      </c>
      <c r="N114" s="29" t="str">
        <f aca="false">IF($B114="","",IF(AND($H114="Present",$F114&lt;&gt;"Y"),"Y","N"))</f>
        <v>Y</v>
      </c>
      <c r="O114" s="42"/>
      <c r="P114" s="29" t="n">
        <f aca="false">IF($B114="","",IFERROR(INDEX('Qualification Matrix'!$H$2:$H$168,MATCH($B114,'Qualification Matrix'!$A$2:$A$168,0)),""))</f>
        <v>2</v>
      </c>
      <c r="Q114" s="43" t="n">
        <f aca="false">IF($B114="","",SUMIFS('Rotation History'!$M$2:$M$1000,'Rotation History'!$B$2:$B$1000,$B114,'Rotation History'!$A$2:$A$1000,"&gt;="&amp;($B$2-30),'Rotation History'!$A$2:$A$1000,"&lt;"&amp;$B$2))</f>
        <v>0</v>
      </c>
      <c r="R114" s="43" t="n">
        <f aca="false">IF($B114="","",COUNTIFS('Rotation History'!$B$2:$B$1000,$B114,'Rotation History'!$M$2:$M$1000,"&gt;0",'Rotation History'!$A$2:$A$1000,"&gt;="&amp;($B$2-30),'Rotation History'!$A$2:$A$1000,"&lt;"&amp;$B$2))</f>
        <v>0</v>
      </c>
      <c r="S114" s="43" t="n">
        <f aca="false">IF($B114="","",IF(COUNTIFS('Rotation History'!$B$2:$B$1000,$B114,'Rotation History'!$A$2:$A$1000,$B$2-1,'Rotation History'!$M$2:$M$1000,"&gt;0")=0,0,1+IF(COUNTIFS('Rotation History'!$B$2:$B$1000,$B114,'Rotation History'!$A$2:$A$1000,$B$2-2,'Rotation History'!$M$2:$M$1000,"&gt;0")=0,0,1+IF(COUNTIFS('Rotation History'!$B$2:$B$1000,$B114,'Rotation History'!$A$2:$A$1000,$B$2-3,'Rotation History'!$M$2:$M$1000,"&gt;0")=0,0,1+IF(COUNTIFS('Rotation History'!$B$2:$B$1000,$B114,'Rotation History'!$A$2:$A$1000,$B$2-4,'Rotation History'!$M$2:$M$1000,"&gt;0")=0,0,1)))))</f>
        <v>0</v>
      </c>
      <c r="T114" s="43" t="n">
        <f aca="false">IF($B114="","",COUNTIFS('Rotation History'!$B$2:$B$1000,$B114,'Rotation History'!$K$2:$K$1000,"Opening",'Rotation History'!$A$2:$A$1000,"&gt;="&amp;($B$2-30),'Rotation History'!$A$2:$A$1000,"&lt;"&amp;$B$2))</f>
        <v>0</v>
      </c>
      <c r="U114" s="43" t="n">
        <f aca="false">IF($B114="","",COUNTIFS('Rotation History'!$B$2:$B$1000,$B114,'Rotation History'!$K$2:$K$1000,"Lunch Relief",'Rotation History'!$A$2:$A$1000,"&gt;="&amp;($B$2-30),'Rotation History'!$A$2:$A$1000,"&lt;"&amp;$B$2))</f>
        <v>0</v>
      </c>
      <c r="V114" s="44" t="n">
        <f aca="false">IF($B114="","",$Q114*10+$R114*2+$S114*20+$T114*3+$U114)</f>
        <v>0</v>
      </c>
    </row>
    <row r="115" customFormat="false" ht="14.25" hidden="false" customHeight="true" outlineLevel="0" collapsed="false">
      <c r="A115" s="40" t="n">
        <f aca="false">IF($B115="","",$B$2)</f>
        <v>46231</v>
      </c>
      <c r="B115" s="1" t="str">
        <f aca="false">IF($B$2="","",IFERROR(INDEX('Employee Master'!$A$2:$A$159,MATCH(ROWS($B$6:B115),Lists!$P$2:$P$159,0)),""))</f>
        <v>EMP-0101</v>
      </c>
      <c r="C115" s="1" t="str">
        <f aca="false">IF($B115="","",IFERROR(INDEX('Employee Master'!$B$2:$B$159,MATCH($B115,'Employee Master'!$A$2:$A$159,0)),""))</f>
        <v>Marquita Howard</v>
      </c>
      <c r="D115" s="1" t="str">
        <f aca="false">IF($B115="","",IFERROR(INDEX('Employee Master'!$C$2:$C$159,MATCH($B115,'Employee Master'!$A$2:$A$159,0)),""))</f>
        <v>9:15 PM</v>
      </c>
      <c r="E115" s="1" t="str">
        <f aca="false">IF($B115="","",IFERROR(INDEX('Employee Master'!$I$2:$I$159,MATCH($B115,'Employee Master'!$A$2:$A$159,0)),""))</f>
        <v>Overnight</v>
      </c>
      <c r="F115" s="29" t="str">
        <f aca="false">IF($B115="","",IFERROR(INDEX('Employee Master'!$E$2:$E$159,MATCH($B115,'Employee Master'!$A$2:$A$159,0)),""))</f>
        <v>N</v>
      </c>
      <c r="G115" s="29" t="str">
        <f aca="false">IF($B115="","",IFERROR(INDEX('Employee Master'!$F$2:$F$159,MATCH($B115,'Employee Master'!$A$2:$A$159,0)),""))</f>
        <v>N</v>
      </c>
      <c r="H115" s="41" t="str">
        <f aca="false">IF($B115="","","Present")</f>
        <v>Present</v>
      </c>
      <c r="I115" s="1" t="str">
        <f aca="false">IF($B115="","",IFERROR(INDEX('Employee Master'!$H$2:$H$159,MATCH($B115,'Employee Master'!$A$2:$A$159,0)),""))</f>
        <v>None</v>
      </c>
      <c r="J115" s="29" t="str">
        <f aca="false">IF($B115="","",IFERROR(INDEX('Qualification Matrix'!$C$2:$C$168,MATCH($B115,'Qualification Matrix'!$A$2:$A$168,0)),2))</f>
        <v>N</v>
      </c>
      <c r="K115" s="29" t="str">
        <f aca="false">IF($B115="","",IFERROR(INDEX('Qualification Matrix'!$D$2:$D$168,MATCH($B115,'Qualification Matrix'!$A$2:$A$168,0)),2))</f>
        <v>N</v>
      </c>
      <c r="L115" s="29" t="str">
        <f aca="false">IF($B115="","",IFERROR(INDEX('Qualification Matrix'!$E$2:$E$168,MATCH($B115,'Qualification Matrix'!$A$2:$A$168,0)),2))</f>
        <v>N</v>
      </c>
      <c r="M115" s="29" t="str">
        <f aca="false">IF($B115="","",IFERROR(INDEX('Qualification Matrix'!$F$2:$F$168,MATCH($B115,'Qualification Matrix'!$A$2:$A$168,0)),2))</f>
        <v>Y</v>
      </c>
      <c r="N115" s="29" t="str">
        <f aca="false">IF($B115="","",IF(AND($H115="Present",$F115&lt;&gt;"Y"),"Y","N"))</f>
        <v>Y</v>
      </c>
      <c r="O115" s="42"/>
      <c r="P115" s="29" t="n">
        <f aca="false">IF($B115="","",IFERROR(INDEX('Qualification Matrix'!$H$2:$H$168,MATCH($B115,'Qualification Matrix'!$A$2:$A$168,0)),""))</f>
        <v>2</v>
      </c>
      <c r="Q115" s="43" t="n">
        <f aca="false">IF($B115="","",SUMIFS('Rotation History'!$M$2:$M$1000,'Rotation History'!$B$2:$B$1000,$B115,'Rotation History'!$A$2:$A$1000,"&gt;="&amp;($B$2-30),'Rotation History'!$A$2:$A$1000,"&lt;"&amp;$B$2))</f>
        <v>0</v>
      </c>
      <c r="R115" s="43" t="n">
        <f aca="false">IF($B115="","",COUNTIFS('Rotation History'!$B$2:$B$1000,$B115,'Rotation History'!$M$2:$M$1000,"&gt;0",'Rotation History'!$A$2:$A$1000,"&gt;="&amp;($B$2-30),'Rotation History'!$A$2:$A$1000,"&lt;"&amp;$B$2))</f>
        <v>0</v>
      </c>
      <c r="S115" s="43" t="n">
        <f aca="false">IF($B115="","",IF(COUNTIFS('Rotation History'!$B$2:$B$1000,$B115,'Rotation History'!$A$2:$A$1000,$B$2-1,'Rotation History'!$M$2:$M$1000,"&gt;0")=0,0,1+IF(COUNTIFS('Rotation History'!$B$2:$B$1000,$B115,'Rotation History'!$A$2:$A$1000,$B$2-2,'Rotation History'!$M$2:$M$1000,"&gt;0")=0,0,1+IF(COUNTIFS('Rotation History'!$B$2:$B$1000,$B115,'Rotation History'!$A$2:$A$1000,$B$2-3,'Rotation History'!$M$2:$M$1000,"&gt;0")=0,0,1+IF(COUNTIFS('Rotation History'!$B$2:$B$1000,$B115,'Rotation History'!$A$2:$A$1000,$B$2-4,'Rotation History'!$M$2:$M$1000,"&gt;0")=0,0,1)))))</f>
        <v>0</v>
      </c>
      <c r="T115" s="43" t="n">
        <f aca="false">IF($B115="","",COUNTIFS('Rotation History'!$B$2:$B$1000,$B115,'Rotation History'!$K$2:$K$1000,"Opening",'Rotation History'!$A$2:$A$1000,"&gt;="&amp;($B$2-30),'Rotation History'!$A$2:$A$1000,"&lt;"&amp;$B$2))</f>
        <v>0</v>
      </c>
      <c r="U115" s="43" t="n">
        <f aca="false">IF($B115="","",COUNTIFS('Rotation History'!$B$2:$B$1000,$B115,'Rotation History'!$K$2:$K$1000,"Lunch Relief",'Rotation History'!$A$2:$A$1000,"&gt;="&amp;($B$2-30),'Rotation History'!$A$2:$A$1000,"&lt;"&amp;$B$2))</f>
        <v>0</v>
      </c>
      <c r="V115" s="44" t="n">
        <f aca="false">IF($B115="","",$Q115*10+$R115*2+$S115*20+$T115*3+$U115)</f>
        <v>0</v>
      </c>
    </row>
    <row r="116" customFormat="false" ht="14.25" hidden="false" customHeight="true" outlineLevel="0" collapsed="false">
      <c r="A116" s="40" t="n">
        <f aca="false">IF($B116="","",$B$2)</f>
        <v>46231</v>
      </c>
      <c r="B116" s="1" t="str">
        <f aca="false">IF($B$2="","",IFERROR(INDEX('Employee Master'!$A$2:$A$159,MATCH(ROWS($B$6:B116),Lists!$P$2:$P$159,0)),""))</f>
        <v>EMP-0119</v>
      </c>
      <c r="C116" s="1" t="str">
        <f aca="false">IF($B116="","",IFERROR(INDEX('Employee Master'!$B$2:$B$159,MATCH($B116,'Employee Master'!$A$2:$A$159,0)),""))</f>
        <v>Quintavious Battle</v>
      </c>
      <c r="D116" s="1" t="str">
        <f aca="false">IF($B116="","",IFERROR(INDEX('Employee Master'!$C$2:$C$159,MATCH($B116,'Employee Master'!$A$2:$A$159,0)),""))</f>
        <v>9:15 PM</v>
      </c>
      <c r="E116" s="1" t="str">
        <f aca="false">IF($B116="","",IFERROR(INDEX('Employee Master'!$I$2:$I$159,MATCH($B116,'Employee Master'!$A$2:$A$159,0)),""))</f>
        <v>Overnight</v>
      </c>
      <c r="F116" s="29" t="str">
        <f aca="false">IF($B116="","",IFERROR(INDEX('Employee Master'!$E$2:$E$159,MATCH($B116,'Employee Master'!$A$2:$A$159,0)),""))</f>
        <v>N</v>
      </c>
      <c r="G116" s="29" t="str">
        <f aca="false">IF($B116="","",IFERROR(INDEX('Employee Master'!$F$2:$F$159,MATCH($B116,'Employee Master'!$A$2:$A$159,0)),""))</f>
        <v>N</v>
      </c>
      <c r="H116" s="41" t="str">
        <f aca="false">IF($B116="","","Present")</f>
        <v>Present</v>
      </c>
      <c r="I116" s="1" t="str">
        <f aca="false">IF($B116="","",IFERROR(INDEX('Employee Master'!$H$2:$H$159,MATCH($B116,'Employee Master'!$A$2:$A$159,0)),""))</f>
        <v>None</v>
      </c>
      <c r="J116" s="29" t="str">
        <f aca="false">IF($B116="","",IFERROR(INDEX('Qualification Matrix'!$C$2:$C$168,MATCH($B116,'Qualification Matrix'!$A$2:$A$168,0)),2))</f>
        <v>N</v>
      </c>
      <c r="K116" s="29" t="str">
        <f aca="false">IF($B116="","",IFERROR(INDEX('Qualification Matrix'!$D$2:$D$168,MATCH($B116,'Qualification Matrix'!$A$2:$A$168,0)),2))</f>
        <v>N</v>
      </c>
      <c r="L116" s="29" t="str">
        <f aca="false">IF($B116="","",IFERROR(INDEX('Qualification Matrix'!$E$2:$E$168,MATCH($B116,'Qualification Matrix'!$A$2:$A$168,0)),2))</f>
        <v>N</v>
      </c>
      <c r="M116" s="29" t="str">
        <f aca="false">IF($B116="","",IFERROR(INDEX('Qualification Matrix'!$F$2:$F$168,MATCH($B116,'Qualification Matrix'!$A$2:$A$168,0)),2))</f>
        <v>Y</v>
      </c>
      <c r="N116" s="29" t="str">
        <f aca="false">IF($B116="","",IF(AND($H116="Present",$F116&lt;&gt;"Y"),"Y","N"))</f>
        <v>Y</v>
      </c>
      <c r="O116" s="42"/>
      <c r="P116" s="29" t="n">
        <f aca="false">IF($B116="","",IFERROR(INDEX('Qualification Matrix'!$H$2:$H$168,MATCH($B116,'Qualification Matrix'!$A$2:$A$168,0)),""))</f>
        <v>2</v>
      </c>
      <c r="Q116" s="43" t="n">
        <f aca="false">IF($B116="","",SUMIFS('Rotation History'!$M$2:$M$1000,'Rotation History'!$B$2:$B$1000,$B116,'Rotation History'!$A$2:$A$1000,"&gt;="&amp;($B$2-30),'Rotation History'!$A$2:$A$1000,"&lt;"&amp;$B$2))</f>
        <v>0</v>
      </c>
      <c r="R116" s="43" t="n">
        <f aca="false">IF($B116="","",COUNTIFS('Rotation History'!$B$2:$B$1000,$B116,'Rotation History'!$M$2:$M$1000,"&gt;0",'Rotation History'!$A$2:$A$1000,"&gt;="&amp;($B$2-30),'Rotation History'!$A$2:$A$1000,"&lt;"&amp;$B$2))</f>
        <v>0</v>
      </c>
      <c r="S116" s="43" t="n">
        <f aca="false">IF($B116="","",IF(COUNTIFS('Rotation History'!$B$2:$B$1000,$B116,'Rotation History'!$A$2:$A$1000,$B$2-1,'Rotation History'!$M$2:$M$1000,"&gt;0")=0,0,1+IF(COUNTIFS('Rotation History'!$B$2:$B$1000,$B116,'Rotation History'!$A$2:$A$1000,$B$2-2,'Rotation History'!$M$2:$M$1000,"&gt;0")=0,0,1+IF(COUNTIFS('Rotation History'!$B$2:$B$1000,$B116,'Rotation History'!$A$2:$A$1000,$B$2-3,'Rotation History'!$M$2:$M$1000,"&gt;0")=0,0,1+IF(COUNTIFS('Rotation History'!$B$2:$B$1000,$B116,'Rotation History'!$A$2:$A$1000,$B$2-4,'Rotation History'!$M$2:$M$1000,"&gt;0")=0,0,1)))))</f>
        <v>0</v>
      </c>
      <c r="T116" s="43" t="n">
        <f aca="false">IF($B116="","",COUNTIFS('Rotation History'!$B$2:$B$1000,$B116,'Rotation History'!$K$2:$K$1000,"Opening",'Rotation History'!$A$2:$A$1000,"&gt;="&amp;($B$2-30),'Rotation History'!$A$2:$A$1000,"&lt;"&amp;$B$2))</f>
        <v>0</v>
      </c>
      <c r="U116" s="43" t="n">
        <f aca="false">IF($B116="","",COUNTIFS('Rotation History'!$B$2:$B$1000,$B116,'Rotation History'!$K$2:$K$1000,"Lunch Relief",'Rotation History'!$A$2:$A$1000,"&gt;="&amp;($B$2-30),'Rotation History'!$A$2:$A$1000,"&lt;"&amp;$B$2))</f>
        <v>0</v>
      </c>
      <c r="V116" s="44" t="n">
        <f aca="false">IF($B116="","",$Q116*10+$R116*2+$S116*20+$T116*3+$U116)</f>
        <v>0</v>
      </c>
    </row>
    <row r="117" customFormat="false" ht="14.25" hidden="false" customHeight="true" outlineLevel="0" collapsed="false">
      <c r="A117" s="40" t="n">
        <f aca="false">IF($B117="","",$B$2)</f>
        <v>46231</v>
      </c>
      <c r="B117" s="1" t="str">
        <f aca="false">IF($B$2="","",IFERROR(INDEX('Employee Master'!$A$2:$A$159,MATCH(ROWS($B$6:B117),Lists!$P$2:$P$159,0)),""))</f>
        <v>EMP-0120</v>
      </c>
      <c r="C117" s="1" t="str">
        <f aca="false">IF($B117="","",IFERROR(INDEX('Employee Master'!$B$2:$B$159,MATCH($B117,'Employee Master'!$A$2:$A$159,0)),""))</f>
        <v>Reginald Mundy</v>
      </c>
      <c r="D117" s="1" t="str">
        <f aca="false">IF($B117="","",IFERROR(INDEX('Employee Master'!$C$2:$C$159,MATCH($B117,'Employee Master'!$A$2:$A$159,0)),""))</f>
        <v>9:15 PM</v>
      </c>
      <c r="E117" s="1" t="str">
        <f aca="false">IF($B117="","",IFERROR(INDEX('Employee Master'!$I$2:$I$159,MATCH($B117,'Employee Master'!$A$2:$A$159,0)),""))</f>
        <v>Overnight</v>
      </c>
      <c r="F117" s="29" t="str">
        <f aca="false">IF($B117="","",IFERROR(INDEX('Employee Master'!$E$2:$E$159,MATCH($B117,'Employee Master'!$A$2:$A$159,0)),""))</f>
        <v>N</v>
      </c>
      <c r="G117" s="29" t="str">
        <f aca="false">IF($B117="","",IFERROR(INDEX('Employee Master'!$F$2:$F$159,MATCH($B117,'Employee Master'!$A$2:$A$159,0)),""))</f>
        <v>N</v>
      </c>
      <c r="H117" s="41" t="str">
        <f aca="false">IF($B117="","","Present")</f>
        <v>Present</v>
      </c>
      <c r="I117" s="1" t="str">
        <f aca="false">IF($B117="","",IFERROR(INDEX('Employee Master'!$H$2:$H$159,MATCH($B117,'Employee Master'!$A$2:$A$159,0)),""))</f>
        <v>None</v>
      </c>
      <c r="J117" s="29" t="str">
        <f aca="false">IF($B117="","",IFERROR(INDEX('Qualification Matrix'!$C$2:$C$168,MATCH($B117,'Qualification Matrix'!$A$2:$A$168,0)),2))</f>
        <v>N</v>
      </c>
      <c r="K117" s="29" t="str">
        <f aca="false">IF($B117="","",IFERROR(INDEX('Qualification Matrix'!$D$2:$D$168,MATCH($B117,'Qualification Matrix'!$A$2:$A$168,0)),2))</f>
        <v>N</v>
      </c>
      <c r="L117" s="29" t="str">
        <f aca="false">IF($B117="","",IFERROR(INDEX('Qualification Matrix'!$E$2:$E$168,MATCH($B117,'Qualification Matrix'!$A$2:$A$168,0)),2))</f>
        <v>N</v>
      </c>
      <c r="M117" s="29" t="str">
        <f aca="false">IF($B117="","",IFERROR(INDEX('Qualification Matrix'!$F$2:$F$168,MATCH($B117,'Qualification Matrix'!$A$2:$A$168,0)),2))</f>
        <v>Y</v>
      </c>
      <c r="N117" s="29" t="str">
        <f aca="false">IF($B117="","",IF(AND($H117="Present",$F117&lt;&gt;"Y"),"Y","N"))</f>
        <v>Y</v>
      </c>
      <c r="O117" s="42"/>
      <c r="P117" s="29" t="n">
        <f aca="false">IF($B117="","",IFERROR(INDEX('Qualification Matrix'!$H$2:$H$168,MATCH($B117,'Qualification Matrix'!$A$2:$A$168,0)),""))</f>
        <v>2</v>
      </c>
      <c r="Q117" s="43" t="n">
        <f aca="false">IF($B117="","",SUMIFS('Rotation History'!$M$2:$M$1000,'Rotation History'!$B$2:$B$1000,$B117,'Rotation History'!$A$2:$A$1000,"&gt;="&amp;($B$2-30),'Rotation History'!$A$2:$A$1000,"&lt;"&amp;$B$2))</f>
        <v>0</v>
      </c>
      <c r="R117" s="43" t="n">
        <f aca="false">IF($B117="","",COUNTIFS('Rotation History'!$B$2:$B$1000,$B117,'Rotation History'!$M$2:$M$1000,"&gt;0",'Rotation History'!$A$2:$A$1000,"&gt;="&amp;($B$2-30),'Rotation History'!$A$2:$A$1000,"&lt;"&amp;$B$2))</f>
        <v>0</v>
      </c>
      <c r="S117" s="43" t="n">
        <f aca="false">IF($B117="","",IF(COUNTIFS('Rotation History'!$B$2:$B$1000,$B117,'Rotation History'!$A$2:$A$1000,$B$2-1,'Rotation History'!$M$2:$M$1000,"&gt;0")=0,0,1+IF(COUNTIFS('Rotation History'!$B$2:$B$1000,$B117,'Rotation History'!$A$2:$A$1000,$B$2-2,'Rotation History'!$M$2:$M$1000,"&gt;0")=0,0,1+IF(COUNTIFS('Rotation History'!$B$2:$B$1000,$B117,'Rotation History'!$A$2:$A$1000,$B$2-3,'Rotation History'!$M$2:$M$1000,"&gt;0")=0,0,1+IF(COUNTIFS('Rotation History'!$B$2:$B$1000,$B117,'Rotation History'!$A$2:$A$1000,$B$2-4,'Rotation History'!$M$2:$M$1000,"&gt;0")=0,0,1)))))</f>
        <v>0</v>
      </c>
      <c r="T117" s="43" t="n">
        <f aca="false">IF($B117="","",COUNTIFS('Rotation History'!$B$2:$B$1000,$B117,'Rotation History'!$K$2:$K$1000,"Opening",'Rotation History'!$A$2:$A$1000,"&gt;="&amp;($B$2-30),'Rotation History'!$A$2:$A$1000,"&lt;"&amp;$B$2))</f>
        <v>0</v>
      </c>
      <c r="U117" s="43" t="n">
        <f aca="false">IF($B117="","",COUNTIFS('Rotation History'!$B$2:$B$1000,$B117,'Rotation History'!$K$2:$K$1000,"Lunch Relief",'Rotation History'!$A$2:$A$1000,"&gt;="&amp;($B$2-30),'Rotation History'!$A$2:$A$1000,"&lt;"&amp;$B$2))</f>
        <v>0</v>
      </c>
      <c r="V117" s="44" t="n">
        <f aca="false">IF($B117="","",$Q117*10+$R117*2+$S117*20+$T117*3+$U117)</f>
        <v>0</v>
      </c>
    </row>
    <row r="118" customFormat="false" ht="14.25" hidden="false" customHeight="true" outlineLevel="0" collapsed="false">
      <c r="A118" s="40" t="str">
        <f aca="false">IF($B118="","",$B$2)</f>
        <v/>
      </c>
      <c r="B118" s="1" t="str">
        <f aca="false">IF($B$2="","",IFERROR(INDEX('Employee Master'!$A$2:$A$159,MATCH(ROWS($B$6:B118),Lists!$P$2:$P$159,0)),""))</f>
        <v/>
      </c>
      <c r="C118" s="1" t="str">
        <f aca="false">IF($B118="","",IFERROR(INDEX('Employee Master'!$B$2:$B$159,MATCH($B118,'Employee Master'!$A$2:$A$159,0)),""))</f>
        <v/>
      </c>
      <c r="D118" s="1" t="str">
        <f aca="false">IF($B118="","",IFERROR(INDEX('Employee Master'!$C$2:$C$159,MATCH($B118,'Employee Master'!$A$2:$A$159,0)),""))</f>
        <v/>
      </c>
      <c r="E118" s="1" t="str">
        <f aca="false">IF($B118="","",IFERROR(INDEX('Employee Master'!$I$2:$I$159,MATCH($B118,'Employee Master'!$A$2:$A$159,0)),""))</f>
        <v/>
      </c>
      <c r="F118" s="29" t="str">
        <f aca="false">IF($B118="","",IFERROR(INDEX('Employee Master'!$E$2:$E$159,MATCH($B118,'Employee Master'!$A$2:$A$159,0)),""))</f>
        <v/>
      </c>
      <c r="G118" s="29" t="str">
        <f aca="false">IF($B118="","",IFERROR(INDEX('Employee Master'!$F$2:$F$159,MATCH($B118,'Employee Master'!$A$2:$A$159,0)),""))</f>
        <v/>
      </c>
      <c r="H118" s="41" t="str">
        <f aca="false">IF($B118="","","Present")</f>
        <v/>
      </c>
      <c r="I118" s="1" t="str">
        <f aca="false">IF($B118="","",IFERROR(INDEX('Employee Master'!$H$2:$H$159,MATCH($B118,'Employee Master'!$A$2:$A$159,0)),""))</f>
        <v/>
      </c>
      <c r="J118" s="29" t="str">
        <f aca="false">IF($B118="","",IFERROR(INDEX('Qualification Matrix'!$C$2:$C$168,MATCH($B118,'Qualification Matrix'!$A$2:$A$168,0)),2))</f>
        <v/>
      </c>
      <c r="K118" s="29" t="str">
        <f aca="false">IF($B118="","",IFERROR(INDEX('Qualification Matrix'!$D$2:$D$168,MATCH($B118,'Qualification Matrix'!$A$2:$A$168,0)),2))</f>
        <v/>
      </c>
      <c r="L118" s="29" t="str">
        <f aca="false">IF($B118="","",IFERROR(INDEX('Qualification Matrix'!$E$2:$E$168,MATCH($B118,'Qualification Matrix'!$A$2:$A$168,0)),2))</f>
        <v/>
      </c>
      <c r="M118" s="29" t="str">
        <f aca="false">IF($B118="","",IFERROR(INDEX('Qualification Matrix'!$F$2:$F$168,MATCH($B118,'Qualification Matrix'!$A$2:$A$168,0)),2))</f>
        <v/>
      </c>
      <c r="N118" s="29" t="str">
        <f aca="false">IF($B118="","",IF(AND($H118="Present",$F118&lt;&gt;"Y"),"Y","N"))</f>
        <v/>
      </c>
      <c r="O118" s="42"/>
      <c r="P118" s="29" t="str">
        <f aca="false">IF($B118="","",IFERROR(INDEX('Qualification Matrix'!$H$2:$H$168,MATCH($B118,'Qualification Matrix'!$A$2:$A$168,0)),""))</f>
        <v/>
      </c>
      <c r="Q118" s="43" t="str">
        <f aca="false">IF($B118="","",SUMIFS('Rotation History'!$M$2:$M$1000,'Rotation History'!$B$2:$B$1000,$B118,'Rotation History'!$A$2:$A$1000,"&gt;="&amp;($B$2-30),'Rotation History'!$A$2:$A$1000,"&lt;"&amp;$B$2))</f>
        <v/>
      </c>
      <c r="R118" s="43" t="str">
        <f aca="false">IF($B118="","",COUNTIFS('Rotation History'!$B$2:$B$1000,$B118,'Rotation History'!$M$2:$M$1000,"&gt;0",'Rotation History'!$A$2:$A$1000,"&gt;="&amp;($B$2-30),'Rotation History'!$A$2:$A$1000,"&lt;"&amp;$B$2))</f>
        <v/>
      </c>
      <c r="S118" s="43" t="str">
        <f aca="false">IF($B118="","",IF(COUNTIFS('Rotation History'!$B$2:$B$1000,$B118,'Rotation History'!$A$2:$A$1000,$B$2-1,'Rotation History'!$M$2:$M$1000,"&gt;0")=0,0,1+IF(COUNTIFS('Rotation History'!$B$2:$B$1000,$B118,'Rotation History'!$A$2:$A$1000,$B$2-2,'Rotation History'!$M$2:$M$1000,"&gt;0")=0,0,1+IF(COUNTIFS('Rotation History'!$B$2:$B$1000,$B118,'Rotation History'!$A$2:$A$1000,$B$2-3,'Rotation History'!$M$2:$M$1000,"&gt;0")=0,0,1+IF(COUNTIFS('Rotation History'!$B$2:$B$1000,$B118,'Rotation History'!$A$2:$A$1000,$B$2-4,'Rotation History'!$M$2:$M$1000,"&gt;0")=0,0,1)))))</f>
        <v/>
      </c>
      <c r="T118" s="43" t="str">
        <f aca="false">IF($B118="","",COUNTIFS('Rotation History'!$B$2:$B$1000,$B118,'Rotation History'!$K$2:$K$1000,"Opening",'Rotation History'!$A$2:$A$1000,"&gt;="&amp;($B$2-30),'Rotation History'!$A$2:$A$1000,"&lt;"&amp;$B$2))</f>
        <v/>
      </c>
      <c r="U118" s="43" t="str">
        <f aca="false">IF($B118="","",COUNTIFS('Rotation History'!$B$2:$B$1000,$B118,'Rotation History'!$K$2:$K$1000,"Lunch Relief",'Rotation History'!$A$2:$A$1000,"&gt;="&amp;($B$2-30),'Rotation History'!$A$2:$A$1000,"&lt;"&amp;$B$2))</f>
        <v/>
      </c>
      <c r="V118" s="44" t="str">
        <f aca="false">IF($B118="","",$Q118*10+$R118*2+$S118*20+$T118*3+$U118)</f>
        <v/>
      </c>
    </row>
    <row r="119" customFormat="false" ht="14.25" hidden="false" customHeight="true" outlineLevel="0" collapsed="false">
      <c r="A119" s="40" t="str">
        <f aca="false">IF($B119="","",$B$2)</f>
        <v/>
      </c>
      <c r="B119" s="1" t="str">
        <f aca="false">IF($B$2="","",IFERROR(INDEX('Employee Master'!$A$2:$A$159,MATCH(ROWS($B$6:B119),Lists!$P$2:$P$159,0)),""))</f>
        <v/>
      </c>
      <c r="C119" s="1" t="str">
        <f aca="false">IF($B119="","",IFERROR(INDEX('Employee Master'!$B$2:$B$159,MATCH($B119,'Employee Master'!$A$2:$A$159,0)),""))</f>
        <v/>
      </c>
      <c r="D119" s="1" t="str">
        <f aca="false">IF($B119="","",IFERROR(INDEX('Employee Master'!$C$2:$C$159,MATCH($B119,'Employee Master'!$A$2:$A$159,0)),""))</f>
        <v/>
      </c>
      <c r="E119" s="1" t="str">
        <f aca="false">IF($B119="","",IFERROR(INDEX('Employee Master'!$I$2:$I$159,MATCH($B119,'Employee Master'!$A$2:$A$159,0)),""))</f>
        <v/>
      </c>
      <c r="F119" s="29" t="str">
        <f aca="false">IF($B119="","",IFERROR(INDEX('Employee Master'!$E$2:$E$159,MATCH($B119,'Employee Master'!$A$2:$A$159,0)),""))</f>
        <v/>
      </c>
      <c r="G119" s="29" t="str">
        <f aca="false">IF($B119="","",IFERROR(INDEX('Employee Master'!$F$2:$F$159,MATCH($B119,'Employee Master'!$A$2:$A$159,0)),""))</f>
        <v/>
      </c>
      <c r="H119" s="41" t="str">
        <f aca="false">IF($B119="","","Present")</f>
        <v/>
      </c>
      <c r="I119" s="1" t="str">
        <f aca="false">IF($B119="","",IFERROR(INDEX('Employee Master'!$H$2:$H$159,MATCH($B119,'Employee Master'!$A$2:$A$159,0)),""))</f>
        <v/>
      </c>
      <c r="J119" s="29" t="str">
        <f aca="false">IF($B119="","",IFERROR(INDEX('Qualification Matrix'!$C$2:$C$168,MATCH($B119,'Qualification Matrix'!$A$2:$A$168,0)),2))</f>
        <v/>
      </c>
      <c r="K119" s="29" t="str">
        <f aca="false">IF($B119="","",IFERROR(INDEX('Qualification Matrix'!$D$2:$D$168,MATCH($B119,'Qualification Matrix'!$A$2:$A$168,0)),2))</f>
        <v/>
      </c>
      <c r="L119" s="29" t="str">
        <f aca="false">IF($B119="","",IFERROR(INDEX('Qualification Matrix'!$E$2:$E$168,MATCH($B119,'Qualification Matrix'!$A$2:$A$168,0)),2))</f>
        <v/>
      </c>
      <c r="M119" s="29" t="str">
        <f aca="false">IF($B119="","",IFERROR(INDEX('Qualification Matrix'!$F$2:$F$168,MATCH($B119,'Qualification Matrix'!$A$2:$A$168,0)),2))</f>
        <v/>
      </c>
      <c r="N119" s="29" t="str">
        <f aca="false">IF($B119="","",IF(AND($H119="Present",$F119&lt;&gt;"Y"),"Y","N"))</f>
        <v/>
      </c>
      <c r="O119" s="42"/>
      <c r="P119" s="29" t="str">
        <f aca="false">IF($B119="","",IFERROR(INDEX('Qualification Matrix'!$H$2:$H$168,MATCH($B119,'Qualification Matrix'!$A$2:$A$168,0)),""))</f>
        <v/>
      </c>
      <c r="Q119" s="43" t="str">
        <f aca="false">IF($B119="","",SUMIFS('Rotation History'!$M$2:$M$1000,'Rotation History'!$B$2:$B$1000,$B119,'Rotation History'!$A$2:$A$1000,"&gt;="&amp;($B$2-30),'Rotation History'!$A$2:$A$1000,"&lt;"&amp;$B$2))</f>
        <v/>
      </c>
      <c r="R119" s="43" t="str">
        <f aca="false">IF($B119="","",COUNTIFS('Rotation History'!$B$2:$B$1000,$B119,'Rotation History'!$M$2:$M$1000,"&gt;0",'Rotation History'!$A$2:$A$1000,"&gt;="&amp;($B$2-30),'Rotation History'!$A$2:$A$1000,"&lt;"&amp;$B$2))</f>
        <v/>
      </c>
      <c r="S119" s="43" t="str">
        <f aca="false">IF($B119="","",IF(COUNTIFS('Rotation History'!$B$2:$B$1000,$B119,'Rotation History'!$A$2:$A$1000,$B$2-1,'Rotation History'!$M$2:$M$1000,"&gt;0")=0,0,1+IF(COUNTIFS('Rotation History'!$B$2:$B$1000,$B119,'Rotation History'!$A$2:$A$1000,$B$2-2,'Rotation History'!$M$2:$M$1000,"&gt;0")=0,0,1+IF(COUNTIFS('Rotation History'!$B$2:$B$1000,$B119,'Rotation History'!$A$2:$A$1000,$B$2-3,'Rotation History'!$M$2:$M$1000,"&gt;0")=0,0,1+IF(COUNTIFS('Rotation History'!$B$2:$B$1000,$B119,'Rotation History'!$A$2:$A$1000,$B$2-4,'Rotation History'!$M$2:$M$1000,"&gt;0")=0,0,1)))))</f>
        <v/>
      </c>
      <c r="T119" s="43" t="str">
        <f aca="false">IF($B119="","",COUNTIFS('Rotation History'!$B$2:$B$1000,$B119,'Rotation History'!$K$2:$K$1000,"Opening",'Rotation History'!$A$2:$A$1000,"&gt;="&amp;($B$2-30),'Rotation History'!$A$2:$A$1000,"&lt;"&amp;$B$2))</f>
        <v/>
      </c>
      <c r="U119" s="43" t="str">
        <f aca="false">IF($B119="","",COUNTIFS('Rotation History'!$B$2:$B$1000,$B119,'Rotation History'!$K$2:$K$1000,"Lunch Relief",'Rotation History'!$A$2:$A$1000,"&gt;="&amp;($B$2-30),'Rotation History'!$A$2:$A$1000,"&lt;"&amp;$B$2))</f>
        <v/>
      </c>
      <c r="V119" s="44" t="str">
        <f aca="false">IF($B119="","",$Q119*10+$R119*2+$S119*20+$T119*3+$U119)</f>
        <v/>
      </c>
    </row>
    <row r="120" customFormat="false" ht="14.25" hidden="false" customHeight="true" outlineLevel="0" collapsed="false">
      <c r="A120" s="40" t="str">
        <f aca="false">IF($B120="","",$B$2)</f>
        <v/>
      </c>
      <c r="B120" s="1" t="str">
        <f aca="false">IF($B$2="","",IFERROR(INDEX('Employee Master'!$A$2:$A$159,MATCH(ROWS($B$6:B120),Lists!$P$2:$P$159,0)),""))</f>
        <v/>
      </c>
      <c r="C120" s="1" t="str">
        <f aca="false">IF($B120="","",IFERROR(INDEX('Employee Master'!$B$2:$B$159,MATCH($B120,'Employee Master'!$A$2:$A$159,0)),""))</f>
        <v/>
      </c>
      <c r="D120" s="1" t="str">
        <f aca="false">IF($B120="","",IFERROR(INDEX('Employee Master'!$C$2:$C$159,MATCH($B120,'Employee Master'!$A$2:$A$159,0)),""))</f>
        <v/>
      </c>
      <c r="E120" s="1" t="str">
        <f aca="false">IF($B120="","",IFERROR(INDEX('Employee Master'!$I$2:$I$159,MATCH($B120,'Employee Master'!$A$2:$A$159,0)),""))</f>
        <v/>
      </c>
      <c r="F120" s="29" t="str">
        <f aca="false">IF($B120="","",IFERROR(INDEX('Employee Master'!$E$2:$E$159,MATCH($B120,'Employee Master'!$A$2:$A$159,0)),""))</f>
        <v/>
      </c>
      <c r="G120" s="29" t="str">
        <f aca="false">IF($B120="","",IFERROR(INDEX('Employee Master'!$F$2:$F$159,MATCH($B120,'Employee Master'!$A$2:$A$159,0)),""))</f>
        <v/>
      </c>
      <c r="H120" s="41" t="str">
        <f aca="false">IF($B120="","","Present")</f>
        <v/>
      </c>
      <c r="I120" s="1" t="str">
        <f aca="false">IF($B120="","",IFERROR(INDEX('Employee Master'!$H$2:$H$159,MATCH($B120,'Employee Master'!$A$2:$A$159,0)),""))</f>
        <v/>
      </c>
      <c r="J120" s="29" t="str">
        <f aca="false">IF($B120="","",IFERROR(INDEX('Qualification Matrix'!$C$2:$C$168,MATCH($B120,'Qualification Matrix'!$A$2:$A$168,0)),2))</f>
        <v/>
      </c>
      <c r="K120" s="29" t="str">
        <f aca="false">IF($B120="","",IFERROR(INDEX('Qualification Matrix'!$D$2:$D$168,MATCH($B120,'Qualification Matrix'!$A$2:$A$168,0)),2))</f>
        <v/>
      </c>
      <c r="L120" s="29" t="str">
        <f aca="false">IF($B120="","",IFERROR(INDEX('Qualification Matrix'!$E$2:$E$168,MATCH($B120,'Qualification Matrix'!$A$2:$A$168,0)),2))</f>
        <v/>
      </c>
      <c r="M120" s="29" t="str">
        <f aca="false">IF($B120="","",IFERROR(INDEX('Qualification Matrix'!$F$2:$F$168,MATCH($B120,'Qualification Matrix'!$A$2:$A$168,0)),2))</f>
        <v/>
      </c>
      <c r="N120" s="29" t="str">
        <f aca="false">IF($B120="","",IF(AND($H120="Present",$F120&lt;&gt;"Y"),"Y","N"))</f>
        <v/>
      </c>
      <c r="O120" s="42"/>
      <c r="P120" s="29" t="str">
        <f aca="false">IF($B120="","",IFERROR(INDEX('Qualification Matrix'!$H$2:$H$168,MATCH($B120,'Qualification Matrix'!$A$2:$A$168,0)),""))</f>
        <v/>
      </c>
      <c r="Q120" s="43" t="str">
        <f aca="false">IF($B120="","",SUMIFS('Rotation History'!$M$2:$M$1000,'Rotation History'!$B$2:$B$1000,$B120,'Rotation History'!$A$2:$A$1000,"&gt;="&amp;($B$2-30),'Rotation History'!$A$2:$A$1000,"&lt;"&amp;$B$2))</f>
        <v/>
      </c>
      <c r="R120" s="43" t="str">
        <f aca="false">IF($B120="","",COUNTIFS('Rotation History'!$B$2:$B$1000,$B120,'Rotation History'!$M$2:$M$1000,"&gt;0",'Rotation History'!$A$2:$A$1000,"&gt;="&amp;($B$2-30),'Rotation History'!$A$2:$A$1000,"&lt;"&amp;$B$2))</f>
        <v/>
      </c>
      <c r="S120" s="43" t="str">
        <f aca="false">IF($B120="","",IF(COUNTIFS('Rotation History'!$B$2:$B$1000,$B120,'Rotation History'!$A$2:$A$1000,$B$2-1,'Rotation History'!$M$2:$M$1000,"&gt;0")=0,0,1+IF(COUNTIFS('Rotation History'!$B$2:$B$1000,$B120,'Rotation History'!$A$2:$A$1000,$B$2-2,'Rotation History'!$M$2:$M$1000,"&gt;0")=0,0,1+IF(COUNTIFS('Rotation History'!$B$2:$B$1000,$B120,'Rotation History'!$A$2:$A$1000,$B$2-3,'Rotation History'!$M$2:$M$1000,"&gt;0")=0,0,1+IF(COUNTIFS('Rotation History'!$B$2:$B$1000,$B120,'Rotation History'!$A$2:$A$1000,$B$2-4,'Rotation History'!$M$2:$M$1000,"&gt;0")=0,0,1)))))</f>
        <v/>
      </c>
      <c r="T120" s="43" t="str">
        <f aca="false">IF($B120="","",COUNTIFS('Rotation History'!$B$2:$B$1000,$B120,'Rotation History'!$K$2:$K$1000,"Opening",'Rotation History'!$A$2:$A$1000,"&gt;="&amp;($B$2-30),'Rotation History'!$A$2:$A$1000,"&lt;"&amp;$B$2))</f>
        <v/>
      </c>
      <c r="U120" s="43" t="str">
        <f aca="false">IF($B120="","",COUNTIFS('Rotation History'!$B$2:$B$1000,$B120,'Rotation History'!$K$2:$K$1000,"Lunch Relief",'Rotation History'!$A$2:$A$1000,"&gt;="&amp;($B$2-30),'Rotation History'!$A$2:$A$1000,"&lt;"&amp;$B$2))</f>
        <v/>
      </c>
      <c r="V120" s="44" t="str">
        <f aca="false">IF($B120="","",$Q120*10+$R120*2+$S120*20+$T120*3+$U120)</f>
        <v/>
      </c>
    </row>
    <row r="121" customFormat="false" ht="14.25" hidden="false" customHeight="true" outlineLevel="0" collapsed="false">
      <c r="A121" s="40" t="str">
        <f aca="false">IF($B121="","",$B$2)</f>
        <v/>
      </c>
      <c r="B121" s="1" t="str">
        <f aca="false">IF($B$2="","",IFERROR(INDEX('Employee Master'!$A$2:$A$159,MATCH(ROWS($B$6:B121),Lists!$P$2:$P$159,0)),""))</f>
        <v/>
      </c>
      <c r="C121" s="1" t="str">
        <f aca="false">IF($B121="","",IFERROR(INDEX('Employee Master'!$B$2:$B$159,MATCH($B121,'Employee Master'!$A$2:$A$159,0)),""))</f>
        <v/>
      </c>
      <c r="D121" s="1" t="str">
        <f aca="false">IF($B121="","",IFERROR(INDEX('Employee Master'!$C$2:$C$159,MATCH($B121,'Employee Master'!$A$2:$A$159,0)),""))</f>
        <v/>
      </c>
      <c r="E121" s="1" t="str">
        <f aca="false">IF($B121="","",IFERROR(INDEX('Employee Master'!$I$2:$I$159,MATCH($B121,'Employee Master'!$A$2:$A$159,0)),""))</f>
        <v/>
      </c>
      <c r="F121" s="29" t="str">
        <f aca="false">IF($B121="","",IFERROR(INDEX('Employee Master'!$E$2:$E$159,MATCH($B121,'Employee Master'!$A$2:$A$159,0)),""))</f>
        <v/>
      </c>
      <c r="G121" s="29" t="str">
        <f aca="false">IF($B121="","",IFERROR(INDEX('Employee Master'!$F$2:$F$159,MATCH($B121,'Employee Master'!$A$2:$A$159,0)),""))</f>
        <v/>
      </c>
      <c r="H121" s="41" t="str">
        <f aca="false">IF($B121="","","Present")</f>
        <v/>
      </c>
      <c r="I121" s="1" t="str">
        <f aca="false">IF($B121="","",IFERROR(INDEX('Employee Master'!$H$2:$H$159,MATCH($B121,'Employee Master'!$A$2:$A$159,0)),""))</f>
        <v/>
      </c>
      <c r="J121" s="29" t="str">
        <f aca="false">IF($B121="","",IFERROR(INDEX('Qualification Matrix'!$C$2:$C$168,MATCH($B121,'Qualification Matrix'!$A$2:$A$168,0)),2))</f>
        <v/>
      </c>
      <c r="K121" s="29" t="str">
        <f aca="false">IF($B121="","",IFERROR(INDEX('Qualification Matrix'!$D$2:$D$168,MATCH($B121,'Qualification Matrix'!$A$2:$A$168,0)),2))</f>
        <v/>
      </c>
      <c r="L121" s="29" t="str">
        <f aca="false">IF($B121="","",IFERROR(INDEX('Qualification Matrix'!$E$2:$E$168,MATCH($B121,'Qualification Matrix'!$A$2:$A$168,0)),2))</f>
        <v/>
      </c>
      <c r="M121" s="29" t="str">
        <f aca="false">IF($B121="","",IFERROR(INDEX('Qualification Matrix'!$F$2:$F$168,MATCH($B121,'Qualification Matrix'!$A$2:$A$168,0)),2))</f>
        <v/>
      </c>
      <c r="N121" s="29" t="str">
        <f aca="false">IF($B121="","",IF(AND($H121="Present",$F121&lt;&gt;"Y"),"Y","N"))</f>
        <v/>
      </c>
      <c r="O121" s="42"/>
      <c r="P121" s="29" t="str">
        <f aca="false">IF($B121="","",IFERROR(INDEX('Qualification Matrix'!$H$2:$H$168,MATCH($B121,'Qualification Matrix'!$A$2:$A$168,0)),""))</f>
        <v/>
      </c>
      <c r="Q121" s="43" t="str">
        <f aca="false">IF($B121="","",SUMIFS('Rotation History'!$M$2:$M$1000,'Rotation History'!$B$2:$B$1000,$B121,'Rotation History'!$A$2:$A$1000,"&gt;="&amp;($B$2-30),'Rotation History'!$A$2:$A$1000,"&lt;"&amp;$B$2))</f>
        <v/>
      </c>
      <c r="R121" s="43" t="str">
        <f aca="false">IF($B121="","",COUNTIFS('Rotation History'!$B$2:$B$1000,$B121,'Rotation History'!$M$2:$M$1000,"&gt;0",'Rotation History'!$A$2:$A$1000,"&gt;="&amp;($B$2-30),'Rotation History'!$A$2:$A$1000,"&lt;"&amp;$B$2))</f>
        <v/>
      </c>
      <c r="S121" s="43" t="str">
        <f aca="false">IF($B121="","",IF(COUNTIFS('Rotation History'!$B$2:$B$1000,$B121,'Rotation History'!$A$2:$A$1000,$B$2-1,'Rotation History'!$M$2:$M$1000,"&gt;0")=0,0,1+IF(COUNTIFS('Rotation History'!$B$2:$B$1000,$B121,'Rotation History'!$A$2:$A$1000,$B$2-2,'Rotation History'!$M$2:$M$1000,"&gt;0")=0,0,1+IF(COUNTIFS('Rotation History'!$B$2:$B$1000,$B121,'Rotation History'!$A$2:$A$1000,$B$2-3,'Rotation History'!$M$2:$M$1000,"&gt;0")=0,0,1+IF(COUNTIFS('Rotation History'!$B$2:$B$1000,$B121,'Rotation History'!$A$2:$A$1000,$B$2-4,'Rotation History'!$M$2:$M$1000,"&gt;0")=0,0,1)))))</f>
        <v/>
      </c>
      <c r="T121" s="43" t="str">
        <f aca="false">IF($B121="","",COUNTIFS('Rotation History'!$B$2:$B$1000,$B121,'Rotation History'!$K$2:$K$1000,"Opening",'Rotation History'!$A$2:$A$1000,"&gt;="&amp;($B$2-30),'Rotation History'!$A$2:$A$1000,"&lt;"&amp;$B$2))</f>
        <v/>
      </c>
      <c r="U121" s="43" t="str">
        <f aca="false">IF($B121="","",COUNTIFS('Rotation History'!$B$2:$B$1000,$B121,'Rotation History'!$K$2:$K$1000,"Lunch Relief",'Rotation History'!$A$2:$A$1000,"&gt;="&amp;($B$2-30),'Rotation History'!$A$2:$A$1000,"&lt;"&amp;$B$2))</f>
        <v/>
      </c>
      <c r="V121" s="44" t="str">
        <f aca="false">IF($B121="","",$Q121*10+$R121*2+$S121*20+$T121*3+$U121)</f>
        <v/>
      </c>
    </row>
    <row r="122" customFormat="false" ht="14.25" hidden="false" customHeight="true" outlineLevel="0" collapsed="false">
      <c r="A122" s="40" t="str">
        <f aca="false">IF($B122="","",$B$2)</f>
        <v/>
      </c>
      <c r="B122" s="1" t="str">
        <f aca="false">IF($B$2="","",IFERROR(INDEX('Employee Master'!$A$2:$A$159,MATCH(ROWS($B$6:B122),Lists!$P$2:$P$159,0)),""))</f>
        <v/>
      </c>
      <c r="C122" s="1" t="str">
        <f aca="false">IF($B122="","",IFERROR(INDEX('Employee Master'!$B$2:$B$159,MATCH($B122,'Employee Master'!$A$2:$A$159,0)),""))</f>
        <v/>
      </c>
      <c r="D122" s="1" t="str">
        <f aca="false">IF($B122="","",IFERROR(INDEX('Employee Master'!$C$2:$C$159,MATCH($B122,'Employee Master'!$A$2:$A$159,0)),""))</f>
        <v/>
      </c>
      <c r="E122" s="1" t="str">
        <f aca="false">IF($B122="","",IFERROR(INDEX('Employee Master'!$I$2:$I$159,MATCH($B122,'Employee Master'!$A$2:$A$159,0)),""))</f>
        <v/>
      </c>
      <c r="F122" s="29" t="str">
        <f aca="false">IF($B122="","",IFERROR(INDEX('Employee Master'!$E$2:$E$159,MATCH($B122,'Employee Master'!$A$2:$A$159,0)),""))</f>
        <v/>
      </c>
      <c r="G122" s="29" t="str">
        <f aca="false">IF($B122="","",IFERROR(INDEX('Employee Master'!$F$2:$F$159,MATCH($B122,'Employee Master'!$A$2:$A$159,0)),""))</f>
        <v/>
      </c>
      <c r="H122" s="41" t="str">
        <f aca="false">IF($B122="","","Present")</f>
        <v/>
      </c>
      <c r="I122" s="1" t="str">
        <f aca="false">IF($B122="","",IFERROR(INDEX('Employee Master'!$H$2:$H$159,MATCH($B122,'Employee Master'!$A$2:$A$159,0)),""))</f>
        <v/>
      </c>
      <c r="J122" s="29" t="str">
        <f aca="false">IF($B122="","",IFERROR(INDEX('Qualification Matrix'!$C$2:$C$168,MATCH($B122,'Qualification Matrix'!$A$2:$A$168,0)),2))</f>
        <v/>
      </c>
      <c r="K122" s="29" t="str">
        <f aca="false">IF($B122="","",IFERROR(INDEX('Qualification Matrix'!$D$2:$D$168,MATCH($B122,'Qualification Matrix'!$A$2:$A$168,0)),2))</f>
        <v/>
      </c>
      <c r="L122" s="29" t="str">
        <f aca="false">IF($B122="","",IFERROR(INDEX('Qualification Matrix'!$E$2:$E$168,MATCH($B122,'Qualification Matrix'!$A$2:$A$168,0)),2))</f>
        <v/>
      </c>
      <c r="M122" s="29" t="str">
        <f aca="false">IF($B122="","",IFERROR(INDEX('Qualification Matrix'!$F$2:$F$168,MATCH($B122,'Qualification Matrix'!$A$2:$A$168,0)),2))</f>
        <v/>
      </c>
      <c r="N122" s="29" t="str">
        <f aca="false">IF($B122="","",IF(AND($H122="Present",$F122&lt;&gt;"Y"),"Y","N"))</f>
        <v/>
      </c>
      <c r="O122" s="42"/>
      <c r="P122" s="29" t="str">
        <f aca="false">IF($B122="","",IFERROR(INDEX('Qualification Matrix'!$H$2:$H$168,MATCH($B122,'Qualification Matrix'!$A$2:$A$168,0)),""))</f>
        <v/>
      </c>
      <c r="Q122" s="43" t="str">
        <f aca="false">IF($B122="","",SUMIFS('Rotation History'!$M$2:$M$1000,'Rotation History'!$B$2:$B$1000,$B122,'Rotation History'!$A$2:$A$1000,"&gt;="&amp;($B$2-30),'Rotation History'!$A$2:$A$1000,"&lt;"&amp;$B$2))</f>
        <v/>
      </c>
      <c r="R122" s="43" t="str">
        <f aca="false">IF($B122="","",COUNTIFS('Rotation History'!$B$2:$B$1000,$B122,'Rotation History'!$M$2:$M$1000,"&gt;0",'Rotation History'!$A$2:$A$1000,"&gt;="&amp;($B$2-30),'Rotation History'!$A$2:$A$1000,"&lt;"&amp;$B$2))</f>
        <v/>
      </c>
      <c r="S122" s="43" t="str">
        <f aca="false">IF($B122="","",IF(COUNTIFS('Rotation History'!$B$2:$B$1000,$B122,'Rotation History'!$A$2:$A$1000,$B$2-1,'Rotation History'!$M$2:$M$1000,"&gt;0")=0,0,1+IF(COUNTIFS('Rotation History'!$B$2:$B$1000,$B122,'Rotation History'!$A$2:$A$1000,$B$2-2,'Rotation History'!$M$2:$M$1000,"&gt;0")=0,0,1+IF(COUNTIFS('Rotation History'!$B$2:$B$1000,$B122,'Rotation History'!$A$2:$A$1000,$B$2-3,'Rotation History'!$M$2:$M$1000,"&gt;0")=0,0,1+IF(COUNTIFS('Rotation History'!$B$2:$B$1000,$B122,'Rotation History'!$A$2:$A$1000,$B$2-4,'Rotation History'!$M$2:$M$1000,"&gt;0")=0,0,1)))))</f>
        <v/>
      </c>
      <c r="T122" s="43" t="str">
        <f aca="false">IF($B122="","",COUNTIFS('Rotation History'!$B$2:$B$1000,$B122,'Rotation History'!$K$2:$K$1000,"Opening",'Rotation History'!$A$2:$A$1000,"&gt;="&amp;($B$2-30),'Rotation History'!$A$2:$A$1000,"&lt;"&amp;$B$2))</f>
        <v/>
      </c>
      <c r="U122" s="43" t="str">
        <f aca="false">IF($B122="","",COUNTIFS('Rotation History'!$B$2:$B$1000,$B122,'Rotation History'!$K$2:$K$1000,"Lunch Relief",'Rotation History'!$A$2:$A$1000,"&gt;="&amp;($B$2-30),'Rotation History'!$A$2:$A$1000,"&lt;"&amp;$B$2))</f>
        <v/>
      </c>
      <c r="V122" s="44" t="str">
        <f aca="false">IF($B122="","",$Q122*10+$R122*2+$S122*20+$T122*3+$U122)</f>
        <v/>
      </c>
    </row>
    <row r="123" customFormat="false" ht="14.25" hidden="false" customHeight="true" outlineLevel="0" collapsed="false">
      <c r="A123" s="40" t="str">
        <f aca="false">IF($B123="","",$B$2)</f>
        <v/>
      </c>
      <c r="B123" s="1" t="str">
        <f aca="false">IF($B$2="","",IFERROR(INDEX('Employee Master'!$A$2:$A$159,MATCH(ROWS($B$6:B123),Lists!$P$2:$P$159,0)),""))</f>
        <v/>
      </c>
      <c r="C123" s="1" t="str">
        <f aca="false">IF($B123="","",IFERROR(INDEX('Employee Master'!$B$2:$B$159,MATCH($B123,'Employee Master'!$A$2:$A$159,0)),""))</f>
        <v/>
      </c>
      <c r="D123" s="1" t="str">
        <f aca="false">IF($B123="","",IFERROR(INDEX('Employee Master'!$C$2:$C$159,MATCH($B123,'Employee Master'!$A$2:$A$159,0)),""))</f>
        <v/>
      </c>
      <c r="E123" s="1" t="str">
        <f aca="false">IF($B123="","",IFERROR(INDEX('Employee Master'!$I$2:$I$159,MATCH($B123,'Employee Master'!$A$2:$A$159,0)),""))</f>
        <v/>
      </c>
      <c r="F123" s="29" t="str">
        <f aca="false">IF($B123="","",IFERROR(INDEX('Employee Master'!$E$2:$E$159,MATCH($B123,'Employee Master'!$A$2:$A$159,0)),""))</f>
        <v/>
      </c>
      <c r="G123" s="29" t="str">
        <f aca="false">IF($B123="","",IFERROR(INDEX('Employee Master'!$F$2:$F$159,MATCH($B123,'Employee Master'!$A$2:$A$159,0)),""))</f>
        <v/>
      </c>
      <c r="H123" s="41" t="str">
        <f aca="false">IF($B123="","","Present")</f>
        <v/>
      </c>
      <c r="I123" s="1" t="str">
        <f aca="false">IF($B123="","",IFERROR(INDEX('Employee Master'!$H$2:$H$159,MATCH($B123,'Employee Master'!$A$2:$A$159,0)),""))</f>
        <v/>
      </c>
      <c r="J123" s="29" t="str">
        <f aca="false">IF($B123="","",IFERROR(INDEX('Qualification Matrix'!$C$2:$C$168,MATCH($B123,'Qualification Matrix'!$A$2:$A$168,0)),2))</f>
        <v/>
      </c>
      <c r="K123" s="29" t="str">
        <f aca="false">IF($B123="","",IFERROR(INDEX('Qualification Matrix'!$D$2:$D$168,MATCH($B123,'Qualification Matrix'!$A$2:$A$168,0)),2))</f>
        <v/>
      </c>
      <c r="L123" s="29" t="str">
        <f aca="false">IF($B123="","",IFERROR(INDEX('Qualification Matrix'!$E$2:$E$168,MATCH($B123,'Qualification Matrix'!$A$2:$A$168,0)),2))</f>
        <v/>
      </c>
      <c r="M123" s="29" t="str">
        <f aca="false">IF($B123="","",IFERROR(INDEX('Qualification Matrix'!$F$2:$F$168,MATCH($B123,'Qualification Matrix'!$A$2:$A$168,0)),2))</f>
        <v/>
      </c>
      <c r="N123" s="29" t="str">
        <f aca="false">IF($B123="","",IF(AND($H123="Present",$F123&lt;&gt;"Y"),"Y","N"))</f>
        <v/>
      </c>
      <c r="O123" s="42"/>
      <c r="P123" s="29" t="str">
        <f aca="false">IF($B123="","",IFERROR(INDEX('Qualification Matrix'!$H$2:$H$168,MATCH($B123,'Qualification Matrix'!$A$2:$A$168,0)),""))</f>
        <v/>
      </c>
      <c r="Q123" s="43" t="str">
        <f aca="false">IF($B123="","",SUMIFS('Rotation History'!$M$2:$M$1000,'Rotation History'!$B$2:$B$1000,$B123,'Rotation History'!$A$2:$A$1000,"&gt;="&amp;($B$2-30),'Rotation History'!$A$2:$A$1000,"&lt;"&amp;$B$2))</f>
        <v/>
      </c>
      <c r="R123" s="43" t="str">
        <f aca="false">IF($B123="","",COUNTIFS('Rotation History'!$B$2:$B$1000,$B123,'Rotation History'!$M$2:$M$1000,"&gt;0",'Rotation History'!$A$2:$A$1000,"&gt;="&amp;($B$2-30),'Rotation History'!$A$2:$A$1000,"&lt;"&amp;$B$2))</f>
        <v/>
      </c>
      <c r="S123" s="43" t="str">
        <f aca="false">IF($B123="","",IF(COUNTIFS('Rotation History'!$B$2:$B$1000,$B123,'Rotation History'!$A$2:$A$1000,$B$2-1,'Rotation History'!$M$2:$M$1000,"&gt;0")=0,0,1+IF(COUNTIFS('Rotation History'!$B$2:$B$1000,$B123,'Rotation History'!$A$2:$A$1000,$B$2-2,'Rotation History'!$M$2:$M$1000,"&gt;0")=0,0,1+IF(COUNTIFS('Rotation History'!$B$2:$B$1000,$B123,'Rotation History'!$A$2:$A$1000,$B$2-3,'Rotation History'!$M$2:$M$1000,"&gt;0")=0,0,1+IF(COUNTIFS('Rotation History'!$B$2:$B$1000,$B123,'Rotation History'!$A$2:$A$1000,$B$2-4,'Rotation History'!$M$2:$M$1000,"&gt;0")=0,0,1)))))</f>
        <v/>
      </c>
      <c r="T123" s="43" t="str">
        <f aca="false">IF($B123="","",COUNTIFS('Rotation History'!$B$2:$B$1000,$B123,'Rotation History'!$K$2:$K$1000,"Opening",'Rotation History'!$A$2:$A$1000,"&gt;="&amp;($B$2-30),'Rotation History'!$A$2:$A$1000,"&lt;"&amp;$B$2))</f>
        <v/>
      </c>
      <c r="U123" s="43" t="str">
        <f aca="false">IF($B123="","",COUNTIFS('Rotation History'!$B$2:$B$1000,$B123,'Rotation History'!$K$2:$K$1000,"Lunch Relief",'Rotation History'!$A$2:$A$1000,"&gt;="&amp;($B$2-30),'Rotation History'!$A$2:$A$1000,"&lt;"&amp;$B$2))</f>
        <v/>
      </c>
      <c r="V123" s="44" t="str">
        <f aca="false">IF($B123="","",$Q123*10+$R123*2+$S123*20+$T123*3+$U123)</f>
        <v/>
      </c>
    </row>
    <row r="124" customFormat="false" ht="14.25" hidden="false" customHeight="true" outlineLevel="0" collapsed="false">
      <c r="A124" s="40" t="str">
        <f aca="false">IF($B124="","",$B$2)</f>
        <v/>
      </c>
      <c r="B124" s="1" t="str">
        <f aca="false">IF($B$2="","",IFERROR(INDEX('Employee Master'!$A$2:$A$159,MATCH(ROWS($B$6:B124),Lists!$P$2:$P$159,0)),""))</f>
        <v/>
      </c>
      <c r="C124" s="1" t="str">
        <f aca="false">IF($B124="","",IFERROR(INDEX('Employee Master'!$B$2:$B$159,MATCH($B124,'Employee Master'!$A$2:$A$159,0)),""))</f>
        <v/>
      </c>
      <c r="D124" s="1" t="str">
        <f aca="false">IF($B124="","",IFERROR(INDEX('Employee Master'!$C$2:$C$159,MATCH($B124,'Employee Master'!$A$2:$A$159,0)),""))</f>
        <v/>
      </c>
      <c r="E124" s="1" t="str">
        <f aca="false">IF($B124="","",IFERROR(INDEX('Employee Master'!$I$2:$I$159,MATCH($B124,'Employee Master'!$A$2:$A$159,0)),""))</f>
        <v/>
      </c>
      <c r="F124" s="29" t="str">
        <f aca="false">IF($B124="","",IFERROR(INDEX('Employee Master'!$E$2:$E$159,MATCH($B124,'Employee Master'!$A$2:$A$159,0)),""))</f>
        <v/>
      </c>
      <c r="G124" s="29" t="str">
        <f aca="false">IF($B124="","",IFERROR(INDEX('Employee Master'!$F$2:$F$159,MATCH($B124,'Employee Master'!$A$2:$A$159,0)),""))</f>
        <v/>
      </c>
      <c r="H124" s="41" t="str">
        <f aca="false">IF($B124="","","Present")</f>
        <v/>
      </c>
      <c r="I124" s="1" t="str">
        <f aca="false">IF($B124="","",IFERROR(INDEX('Employee Master'!$H$2:$H$159,MATCH($B124,'Employee Master'!$A$2:$A$159,0)),""))</f>
        <v/>
      </c>
      <c r="J124" s="29" t="str">
        <f aca="false">IF($B124="","",IFERROR(INDEX('Qualification Matrix'!$C$2:$C$168,MATCH($B124,'Qualification Matrix'!$A$2:$A$168,0)),2))</f>
        <v/>
      </c>
      <c r="K124" s="29" t="str">
        <f aca="false">IF($B124="","",IFERROR(INDEX('Qualification Matrix'!$D$2:$D$168,MATCH($B124,'Qualification Matrix'!$A$2:$A$168,0)),2))</f>
        <v/>
      </c>
      <c r="L124" s="29" t="str">
        <f aca="false">IF($B124="","",IFERROR(INDEX('Qualification Matrix'!$E$2:$E$168,MATCH($B124,'Qualification Matrix'!$A$2:$A$168,0)),2))</f>
        <v/>
      </c>
      <c r="M124" s="29" t="str">
        <f aca="false">IF($B124="","",IFERROR(INDEX('Qualification Matrix'!$F$2:$F$168,MATCH($B124,'Qualification Matrix'!$A$2:$A$168,0)),2))</f>
        <v/>
      </c>
      <c r="N124" s="29" t="str">
        <f aca="false">IF($B124="","",IF(AND($H124="Present",$F124&lt;&gt;"Y"),"Y","N"))</f>
        <v/>
      </c>
      <c r="O124" s="42"/>
      <c r="P124" s="29" t="str">
        <f aca="false">IF($B124="","",IFERROR(INDEX('Qualification Matrix'!$H$2:$H$168,MATCH($B124,'Qualification Matrix'!$A$2:$A$168,0)),""))</f>
        <v/>
      </c>
      <c r="Q124" s="43" t="str">
        <f aca="false">IF($B124="","",SUMIFS('Rotation History'!$M$2:$M$1000,'Rotation History'!$B$2:$B$1000,$B124,'Rotation History'!$A$2:$A$1000,"&gt;="&amp;($B$2-30),'Rotation History'!$A$2:$A$1000,"&lt;"&amp;$B$2))</f>
        <v/>
      </c>
      <c r="R124" s="43" t="str">
        <f aca="false">IF($B124="","",COUNTIFS('Rotation History'!$B$2:$B$1000,$B124,'Rotation History'!$M$2:$M$1000,"&gt;0",'Rotation History'!$A$2:$A$1000,"&gt;="&amp;($B$2-30),'Rotation History'!$A$2:$A$1000,"&lt;"&amp;$B$2))</f>
        <v/>
      </c>
      <c r="S124" s="43" t="str">
        <f aca="false">IF($B124="","",IF(COUNTIFS('Rotation History'!$B$2:$B$1000,$B124,'Rotation History'!$A$2:$A$1000,$B$2-1,'Rotation History'!$M$2:$M$1000,"&gt;0")=0,0,1+IF(COUNTIFS('Rotation History'!$B$2:$B$1000,$B124,'Rotation History'!$A$2:$A$1000,$B$2-2,'Rotation History'!$M$2:$M$1000,"&gt;0")=0,0,1+IF(COUNTIFS('Rotation History'!$B$2:$B$1000,$B124,'Rotation History'!$A$2:$A$1000,$B$2-3,'Rotation History'!$M$2:$M$1000,"&gt;0")=0,0,1+IF(COUNTIFS('Rotation History'!$B$2:$B$1000,$B124,'Rotation History'!$A$2:$A$1000,$B$2-4,'Rotation History'!$M$2:$M$1000,"&gt;0")=0,0,1)))))</f>
        <v/>
      </c>
      <c r="T124" s="43" t="str">
        <f aca="false">IF($B124="","",COUNTIFS('Rotation History'!$B$2:$B$1000,$B124,'Rotation History'!$K$2:$K$1000,"Opening",'Rotation History'!$A$2:$A$1000,"&gt;="&amp;($B$2-30),'Rotation History'!$A$2:$A$1000,"&lt;"&amp;$B$2))</f>
        <v/>
      </c>
      <c r="U124" s="43" t="str">
        <f aca="false">IF($B124="","",COUNTIFS('Rotation History'!$B$2:$B$1000,$B124,'Rotation History'!$K$2:$K$1000,"Lunch Relief",'Rotation History'!$A$2:$A$1000,"&gt;="&amp;($B$2-30),'Rotation History'!$A$2:$A$1000,"&lt;"&amp;$B$2))</f>
        <v/>
      </c>
      <c r="V124" s="44" t="str">
        <f aca="false">IF($B124="","",$Q124*10+$R124*2+$S124*20+$T124*3+$U124)</f>
        <v/>
      </c>
    </row>
    <row r="125" customFormat="false" ht="14.25" hidden="false" customHeight="true" outlineLevel="0" collapsed="false">
      <c r="A125" s="40" t="str">
        <f aca="false">IF($B125="","",$B$2)</f>
        <v/>
      </c>
      <c r="B125" s="1" t="str">
        <f aca="false">IF($B$2="","",IFERROR(INDEX('Employee Master'!$A$2:$A$159,MATCH(ROWS($B$6:B125),Lists!$P$2:$P$159,0)),""))</f>
        <v/>
      </c>
      <c r="C125" s="1" t="str">
        <f aca="false">IF($B125="","",IFERROR(INDEX('Employee Master'!$B$2:$B$159,MATCH($B125,'Employee Master'!$A$2:$A$159,0)),""))</f>
        <v/>
      </c>
      <c r="D125" s="1" t="str">
        <f aca="false">IF($B125="","",IFERROR(INDEX('Employee Master'!$C$2:$C$159,MATCH($B125,'Employee Master'!$A$2:$A$159,0)),""))</f>
        <v/>
      </c>
      <c r="E125" s="1" t="str">
        <f aca="false">IF($B125="","",IFERROR(INDEX('Employee Master'!$I$2:$I$159,MATCH($B125,'Employee Master'!$A$2:$A$159,0)),""))</f>
        <v/>
      </c>
      <c r="F125" s="29" t="str">
        <f aca="false">IF($B125="","",IFERROR(INDEX('Employee Master'!$E$2:$E$159,MATCH($B125,'Employee Master'!$A$2:$A$159,0)),""))</f>
        <v/>
      </c>
      <c r="G125" s="29" t="str">
        <f aca="false">IF($B125="","",IFERROR(INDEX('Employee Master'!$F$2:$F$159,MATCH($B125,'Employee Master'!$A$2:$A$159,0)),""))</f>
        <v/>
      </c>
      <c r="H125" s="41" t="str">
        <f aca="false">IF($B125="","","Present")</f>
        <v/>
      </c>
      <c r="I125" s="1" t="str">
        <f aca="false">IF($B125="","",IFERROR(INDEX('Employee Master'!$H$2:$H$159,MATCH($B125,'Employee Master'!$A$2:$A$159,0)),""))</f>
        <v/>
      </c>
      <c r="J125" s="29" t="str">
        <f aca="false">IF($B125="","",IFERROR(INDEX('Qualification Matrix'!$C$2:$C$168,MATCH($B125,'Qualification Matrix'!$A$2:$A$168,0)),2))</f>
        <v/>
      </c>
      <c r="K125" s="29" t="str">
        <f aca="false">IF($B125="","",IFERROR(INDEX('Qualification Matrix'!$D$2:$D$168,MATCH($B125,'Qualification Matrix'!$A$2:$A$168,0)),2))</f>
        <v/>
      </c>
      <c r="L125" s="29" t="str">
        <f aca="false">IF($B125="","",IFERROR(INDEX('Qualification Matrix'!$E$2:$E$168,MATCH($B125,'Qualification Matrix'!$A$2:$A$168,0)),2))</f>
        <v/>
      </c>
      <c r="M125" s="29" t="str">
        <f aca="false">IF($B125="","",IFERROR(INDEX('Qualification Matrix'!$F$2:$F$168,MATCH($B125,'Qualification Matrix'!$A$2:$A$168,0)),2))</f>
        <v/>
      </c>
      <c r="N125" s="29" t="str">
        <f aca="false">IF($B125="","",IF(AND($H125="Present",$F125&lt;&gt;"Y"),"Y","N"))</f>
        <v/>
      </c>
      <c r="O125" s="42"/>
      <c r="P125" s="29" t="str">
        <f aca="false">IF($B125="","",IFERROR(INDEX('Qualification Matrix'!$H$2:$H$168,MATCH($B125,'Qualification Matrix'!$A$2:$A$168,0)),""))</f>
        <v/>
      </c>
      <c r="Q125" s="43" t="str">
        <f aca="false">IF($B125="","",SUMIFS('Rotation History'!$M$2:$M$1000,'Rotation History'!$B$2:$B$1000,$B125,'Rotation History'!$A$2:$A$1000,"&gt;="&amp;($B$2-30),'Rotation History'!$A$2:$A$1000,"&lt;"&amp;$B$2))</f>
        <v/>
      </c>
      <c r="R125" s="43" t="str">
        <f aca="false">IF($B125="","",COUNTIFS('Rotation History'!$B$2:$B$1000,$B125,'Rotation History'!$M$2:$M$1000,"&gt;0",'Rotation History'!$A$2:$A$1000,"&gt;="&amp;($B$2-30),'Rotation History'!$A$2:$A$1000,"&lt;"&amp;$B$2))</f>
        <v/>
      </c>
      <c r="S125" s="43" t="str">
        <f aca="false">IF($B125="","",IF(COUNTIFS('Rotation History'!$B$2:$B$1000,$B125,'Rotation History'!$A$2:$A$1000,$B$2-1,'Rotation History'!$M$2:$M$1000,"&gt;0")=0,0,1+IF(COUNTIFS('Rotation History'!$B$2:$B$1000,$B125,'Rotation History'!$A$2:$A$1000,$B$2-2,'Rotation History'!$M$2:$M$1000,"&gt;0")=0,0,1+IF(COUNTIFS('Rotation History'!$B$2:$B$1000,$B125,'Rotation History'!$A$2:$A$1000,$B$2-3,'Rotation History'!$M$2:$M$1000,"&gt;0")=0,0,1+IF(COUNTIFS('Rotation History'!$B$2:$B$1000,$B125,'Rotation History'!$A$2:$A$1000,$B$2-4,'Rotation History'!$M$2:$M$1000,"&gt;0")=0,0,1)))))</f>
        <v/>
      </c>
      <c r="T125" s="43" t="str">
        <f aca="false">IF($B125="","",COUNTIFS('Rotation History'!$B$2:$B$1000,$B125,'Rotation History'!$K$2:$K$1000,"Opening",'Rotation History'!$A$2:$A$1000,"&gt;="&amp;($B$2-30),'Rotation History'!$A$2:$A$1000,"&lt;"&amp;$B$2))</f>
        <v/>
      </c>
      <c r="U125" s="43" t="str">
        <f aca="false">IF($B125="","",COUNTIFS('Rotation History'!$B$2:$B$1000,$B125,'Rotation History'!$K$2:$K$1000,"Lunch Relief",'Rotation History'!$A$2:$A$1000,"&gt;="&amp;($B$2-30),'Rotation History'!$A$2:$A$1000,"&lt;"&amp;$B$2))</f>
        <v/>
      </c>
      <c r="V125" s="44" t="str">
        <f aca="false">IF($B125="","",$Q125*10+$R125*2+$S125*20+$T125*3+$U125)</f>
        <v/>
      </c>
    </row>
    <row r="126" customFormat="false" ht="14.25" hidden="false" customHeight="true" outlineLevel="0" collapsed="false">
      <c r="A126" s="40" t="str">
        <f aca="false">IF($B126="","",$B$2)</f>
        <v/>
      </c>
      <c r="B126" s="1" t="str">
        <f aca="false">IF($B$2="","",IFERROR(INDEX('Employee Master'!$A$2:$A$159,MATCH(ROWS($B$6:B126),Lists!$P$2:$P$159,0)),""))</f>
        <v/>
      </c>
      <c r="C126" s="1" t="str">
        <f aca="false">IF($B126="","",IFERROR(INDEX('Employee Master'!$B$2:$B$159,MATCH($B126,'Employee Master'!$A$2:$A$159,0)),""))</f>
        <v/>
      </c>
      <c r="D126" s="1" t="str">
        <f aca="false">IF($B126="","",IFERROR(INDEX('Employee Master'!$C$2:$C$159,MATCH($B126,'Employee Master'!$A$2:$A$159,0)),""))</f>
        <v/>
      </c>
      <c r="E126" s="1" t="str">
        <f aca="false">IF($B126="","",IFERROR(INDEX('Employee Master'!$I$2:$I$159,MATCH($B126,'Employee Master'!$A$2:$A$159,0)),""))</f>
        <v/>
      </c>
      <c r="F126" s="29" t="str">
        <f aca="false">IF($B126="","",IFERROR(INDEX('Employee Master'!$E$2:$E$159,MATCH($B126,'Employee Master'!$A$2:$A$159,0)),""))</f>
        <v/>
      </c>
      <c r="G126" s="29" t="str">
        <f aca="false">IF($B126="","",IFERROR(INDEX('Employee Master'!$F$2:$F$159,MATCH($B126,'Employee Master'!$A$2:$A$159,0)),""))</f>
        <v/>
      </c>
      <c r="H126" s="41" t="str">
        <f aca="false">IF($B126="","","Present")</f>
        <v/>
      </c>
      <c r="I126" s="1" t="str">
        <f aca="false">IF($B126="","",IFERROR(INDEX('Employee Master'!$H$2:$H$159,MATCH($B126,'Employee Master'!$A$2:$A$159,0)),""))</f>
        <v/>
      </c>
      <c r="J126" s="29" t="str">
        <f aca="false">IF($B126="","",IFERROR(INDEX('Qualification Matrix'!$C$2:$C$168,MATCH($B126,'Qualification Matrix'!$A$2:$A$168,0)),2))</f>
        <v/>
      </c>
      <c r="K126" s="29" t="str">
        <f aca="false">IF($B126="","",IFERROR(INDEX('Qualification Matrix'!$D$2:$D$168,MATCH($B126,'Qualification Matrix'!$A$2:$A$168,0)),2))</f>
        <v/>
      </c>
      <c r="L126" s="29" t="str">
        <f aca="false">IF($B126="","",IFERROR(INDEX('Qualification Matrix'!$E$2:$E$168,MATCH($B126,'Qualification Matrix'!$A$2:$A$168,0)),2))</f>
        <v/>
      </c>
      <c r="M126" s="29" t="str">
        <f aca="false">IF($B126="","",IFERROR(INDEX('Qualification Matrix'!$F$2:$F$168,MATCH($B126,'Qualification Matrix'!$A$2:$A$168,0)),2))</f>
        <v/>
      </c>
      <c r="N126" s="29" t="str">
        <f aca="false">IF($B126="","",IF(AND($H126="Present",$F126&lt;&gt;"Y"),"Y","N"))</f>
        <v/>
      </c>
      <c r="O126" s="42"/>
      <c r="P126" s="29" t="str">
        <f aca="false">IF($B126="","",IFERROR(INDEX('Qualification Matrix'!$H$2:$H$168,MATCH($B126,'Qualification Matrix'!$A$2:$A$168,0)),""))</f>
        <v/>
      </c>
      <c r="Q126" s="43" t="str">
        <f aca="false">IF($B126="","",SUMIFS('Rotation History'!$M$2:$M$1000,'Rotation History'!$B$2:$B$1000,$B126,'Rotation History'!$A$2:$A$1000,"&gt;="&amp;($B$2-30),'Rotation History'!$A$2:$A$1000,"&lt;"&amp;$B$2))</f>
        <v/>
      </c>
      <c r="R126" s="43" t="str">
        <f aca="false">IF($B126="","",COUNTIFS('Rotation History'!$B$2:$B$1000,$B126,'Rotation History'!$M$2:$M$1000,"&gt;0",'Rotation History'!$A$2:$A$1000,"&gt;="&amp;($B$2-30),'Rotation History'!$A$2:$A$1000,"&lt;"&amp;$B$2))</f>
        <v/>
      </c>
      <c r="S126" s="43" t="str">
        <f aca="false">IF($B126="","",IF(COUNTIFS('Rotation History'!$B$2:$B$1000,$B126,'Rotation History'!$A$2:$A$1000,$B$2-1,'Rotation History'!$M$2:$M$1000,"&gt;0")=0,0,1+IF(COUNTIFS('Rotation History'!$B$2:$B$1000,$B126,'Rotation History'!$A$2:$A$1000,$B$2-2,'Rotation History'!$M$2:$M$1000,"&gt;0")=0,0,1+IF(COUNTIFS('Rotation History'!$B$2:$B$1000,$B126,'Rotation History'!$A$2:$A$1000,$B$2-3,'Rotation History'!$M$2:$M$1000,"&gt;0")=0,0,1+IF(COUNTIFS('Rotation History'!$B$2:$B$1000,$B126,'Rotation History'!$A$2:$A$1000,$B$2-4,'Rotation History'!$M$2:$M$1000,"&gt;0")=0,0,1)))))</f>
        <v/>
      </c>
      <c r="T126" s="43" t="str">
        <f aca="false">IF($B126="","",COUNTIFS('Rotation History'!$B$2:$B$1000,$B126,'Rotation History'!$K$2:$K$1000,"Opening",'Rotation History'!$A$2:$A$1000,"&gt;="&amp;($B$2-30),'Rotation History'!$A$2:$A$1000,"&lt;"&amp;$B$2))</f>
        <v/>
      </c>
      <c r="U126" s="43" t="str">
        <f aca="false">IF($B126="","",COUNTIFS('Rotation History'!$B$2:$B$1000,$B126,'Rotation History'!$K$2:$K$1000,"Lunch Relief",'Rotation History'!$A$2:$A$1000,"&gt;="&amp;($B$2-30),'Rotation History'!$A$2:$A$1000,"&lt;"&amp;$B$2))</f>
        <v/>
      </c>
      <c r="V126" s="44" t="str">
        <f aca="false">IF($B126="","",$Q126*10+$R126*2+$S126*20+$T126*3+$U126)</f>
        <v/>
      </c>
    </row>
    <row r="127" customFormat="false" ht="14.25" hidden="false" customHeight="true" outlineLevel="0" collapsed="false">
      <c r="A127" s="40" t="str">
        <f aca="false">IF($B127="","",$B$2)</f>
        <v/>
      </c>
      <c r="B127" s="1" t="str">
        <f aca="false">IF($B$2="","",IFERROR(INDEX('Employee Master'!$A$2:$A$159,MATCH(ROWS($B$6:B127),Lists!$P$2:$P$159,0)),""))</f>
        <v/>
      </c>
      <c r="C127" s="1" t="str">
        <f aca="false">IF($B127="","",IFERROR(INDEX('Employee Master'!$B$2:$B$159,MATCH($B127,'Employee Master'!$A$2:$A$159,0)),""))</f>
        <v/>
      </c>
      <c r="D127" s="1" t="str">
        <f aca="false">IF($B127="","",IFERROR(INDEX('Employee Master'!$C$2:$C$159,MATCH($B127,'Employee Master'!$A$2:$A$159,0)),""))</f>
        <v/>
      </c>
      <c r="E127" s="1" t="str">
        <f aca="false">IF($B127="","",IFERROR(INDEX('Employee Master'!$I$2:$I$159,MATCH($B127,'Employee Master'!$A$2:$A$159,0)),""))</f>
        <v/>
      </c>
      <c r="F127" s="29" t="str">
        <f aca="false">IF($B127="","",IFERROR(INDEX('Employee Master'!$E$2:$E$159,MATCH($B127,'Employee Master'!$A$2:$A$159,0)),""))</f>
        <v/>
      </c>
      <c r="G127" s="29" t="str">
        <f aca="false">IF($B127="","",IFERROR(INDEX('Employee Master'!$F$2:$F$159,MATCH($B127,'Employee Master'!$A$2:$A$159,0)),""))</f>
        <v/>
      </c>
      <c r="H127" s="41" t="str">
        <f aca="false">IF($B127="","","Present")</f>
        <v/>
      </c>
      <c r="I127" s="1" t="str">
        <f aca="false">IF($B127="","",IFERROR(INDEX('Employee Master'!$H$2:$H$159,MATCH($B127,'Employee Master'!$A$2:$A$159,0)),""))</f>
        <v/>
      </c>
      <c r="J127" s="29" t="str">
        <f aca="false">IF($B127="","",IFERROR(INDEX('Qualification Matrix'!$C$2:$C$168,MATCH($B127,'Qualification Matrix'!$A$2:$A$168,0)),2))</f>
        <v/>
      </c>
      <c r="K127" s="29" t="str">
        <f aca="false">IF($B127="","",IFERROR(INDEX('Qualification Matrix'!$D$2:$D$168,MATCH($B127,'Qualification Matrix'!$A$2:$A$168,0)),2))</f>
        <v/>
      </c>
      <c r="L127" s="29" t="str">
        <f aca="false">IF($B127="","",IFERROR(INDEX('Qualification Matrix'!$E$2:$E$168,MATCH($B127,'Qualification Matrix'!$A$2:$A$168,0)),2))</f>
        <v/>
      </c>
      <c r="M127" s="29" t="str">
        <f aca="false">IF($B127="","",IFERROR(INDEX('Qualification Matrix'!$F$2:$F$168,MATCH($B127,'Qualification Matrix'!$A$2:$A$168,0)),2))</f>
        <v/>
      </c>
      <c r="N127" s="29" t="str">
        <f aca="false">IF($B127="","",IF(AND($H127="Present",$F127&lt;&gt;"Y"),"Y","N"))</f>
        <v/>
      </c>
      <c r="O127" s="42"/>
      <c r="P127" s="29" t="str">
        <f aca="false">IF($B127="","",IFERROR(INDEX('Qualification Matrix'!$H$2:$H$168,MATCH($B127,'Qualification Matrix'!$A$2:$A$168,0)),""))</f>
        <v/>
      </c>
      <c r="Q127" s="43" t="str">
        <f aca="false">IF($B127="","",SUMIFS('Rotation History'!$M$2:$M$1000,'Rotation History'!$B$2:$B$1000,$B127,'Rotation History'!$A$2:$A$1000,"&gt;="&amp;($B$2-30),'Rotation History'!$A$2:$A$1000,"&lt;"&amp;$B$2))</f>
        <v/>
      </c>
      <c r="R127" s="43" t="str">
        <f aca="false">IF($B127="","",COUNTIFS('Rotation History'!$B$2:$B$1000,$B127,'Rotation History'!$M$2:$M$1000,"&gt;0",'Rotation History'!$A$2:$A$1000,"&gt;="&amp;($B$2-30),'Rotation History'!$A$2:$A$1000,"&lt;"&amp;$B$2))</f>
        <v/>
      </c>
      <c r="S127" s="43" t="str">
        <f aca="false">IF($B127="","",IF(COUNTIFS('Rotation History'!$B$2:$B$1000,$B127,'Rotation History'!$A$2:$A$1000,$B$2-1,'Rotation History'!$M$2:$M$1000,"&gt;0")=0,0,1+IF(COUNTIFS('Rotation History'!$B$2:$B$1000,$B127,'Rotation History'!$A$2:$A$1000,$B$2-2,'Rotation History'!$M$2:$M$1000,"&gt;0")=0,0,1+IF(COUNTIFS('Rotation History'!$B$2:$B$1000,$B127,'Rotation History'!$A$2:$A$1000,$B$2-3,'Rotation History'!$M$2:$M$1000,"&gt;0")=0,0,1+IF(COUNTIFS('Rotation History'!$B$2:$B$1000,$B127,'Rotation History'!$A$2:$A$1000,$B$2-4,'Rotation History'!$M$2:$M$1000,"&gt;0")=0,0,1)))))</f>
        <v/>
      </c>
      <c r="T127" s="43" t="str">
        <f aca="false">IF($B127="","",COUNTIFS('Rotation History'!$B$2:$B$1000,$B127,'Rotation History'!$K$2:$K$1000,"Opening",'Rotation History'!$A$2:$A$1000,"&gt;="&amp;($B$2-30),'Rotation History'!$A$2:$A$1000,"&lt;"&amp;$B$2))</f>
        <v/>
      </c>
      <c r="U127" s="43" t="str">
        <f aca="false">IF($B127="","",COUNTIFS('Rotation History'!$B$2:$B$1000,$B127,'Rotation History'!$K$2:$K$1000,"Lunch Relief",'Rotation History'!$A$2:$A$1000,"&gt;="&amp;($B$2-30),'Rotation History'!$A$2:$A$1000,"&lt;"&amp;$B$2))</f>
        <v/>
      </c>
      <c r="V127" s="44" t="str">
        <f aca="false">IF($B127="","",$Q127*10+$R127*2+$S127*20+$T127*3+$U127)</f>
        <v/>
      </c>
    </row>
    <row r="128" customFormat="false" ht="14.25" hidden="false" customHeight="true" outlineLevel="0" collapsed="false">
      <c r="A128" s="40" t="str">
        <f aca="false">IF($B128="","",$B$2)</f>
        <v/>
      </c>
      <c r="B128" s="1" t="str">
        <f aca="false">IF($B$2="","",IFERROR(INDEX('Employee Master'!$A$2:$A$159,MATCH(ROWS($B$6:B128),Lists!$P$2:$P$159,0)),""))</f>
        <v/>
      </c>
      <c r="C128" s="1" t="str">
        <f aca="false">IF($B128="","",IFERROR(INDEX('Employee Master'!$B$2:$B$159,MATCH($B128,'Employee Master'!$A$2:$A$159,0)),""))</f>
        <v/>
      </c>
      <c r="D128" s="1" t="str">
        <f aca="false">IF($B128="","",IFERROR(INDEX('Employee Master'!$C$2:$C$159,MATCH($B128,'Employee Master'!$A$2:$A$159,0)),""))</f>
        <v/>
      </c>
      <c r="E128" s="1" t="str">
        <f aca="false">IF($B128="","",IFERROR(INDEX('Employee Master'!$I$2:$I$159,MATCH($B128,'Employee Master'!$A$2:$A$159,0)),""))</f>
        <v/>
      </c>
      <c r="F128" s="29" t="str">
        <f aca="false">IF($B128="","",IFERROR(INDEX('Employee Master'!$E$2:$E$159,MATCH($B128,'Employee Master'!$A$2:$A$159,0)),""))</f>
        <v/>
      </c>
      <c r="G128" s="29" t="str">
        <f aca="false">IF($B128="","",IFERROR(INDEX('Employee Master'!$F$2:$F$159,MATCH($B128,'Employee Master'!$A$2:$A$159,0)),""))</f>
        <v/>
      </c>
      <c r="H128" s="41" t="str">
        <f aca="false">IF($B128="","","Present")</f>
        <v/>
      </c>
      <c r="I128" s="1" t="str">
        <f aca="false">IF($B128="","",IFERROR(INDEX('Employee Master'!$H$2:$H$159,MATCH($B128,'Employee Master'!$A$2:$A$159,0)),""))</f>
        <v/>
      </c>
      <c r="J128" s="29" t="str">
        <f aca="false">IF($B128="","",IFERROR(INDEX('Qualification Matrix'!$C$2:$C$168,MATCH($B128,'Qualification Matrix'!$A$2:$A$168,0)),2))</f>
        <v/>
      </c>
      <c r="K128" s="29" t="str">
        <f aca="false">IF($B128="","",IFERROR(INDEX('Qualification Matrix'!$D$2:$D$168,MATCH($B128,'Qualification Matrix'!$A$2:$A$168,0)),2))</f>
        <v/>
      </c>
      <c r="L128" s="29" t="str">
        <f aca="false">IF($B128="","",IFERROR(INDEX('Qualification Matrix'!$E$2:$E$168,MATCH($B128,'Qualification Matrix'!$A$2:$A$168,0)),2))</f>
        <v/>
      </c>
      <c r="M128" s="29" t="str">
        <f aca="false">IF($B128="","",IFERROR(INDEX('Qualification Matrix'!$F$2:$F$168,MATCH($B128,'Qualification Matrix'!$A$2:$A$168,0)),2))</f>
        <v/>
      </c>
      <c r="N128" s="29" t="str">
        <f aca="false">IF($B128="","",IF(AND($H128="Present",$F128&lt;&gt;"Y"),"Y","N"))</f>
        <v/>
      </c>
      <c r="O128" s="42"/>
      <c r="P128" s="29" t="str">
        <f aca="false">IF($B128="","",IFERROR(INDEX('Qualification Matrix'!$H$2:$H$168,MATCH($B128,'Qualification Matrix'!$A$2:$A$168,0)),""))</f>
        <v/>
      </c>
      <c r="Q128" s="43" t="str">
        <f aca="false">IF($B128="","",SUMIFS('Rotation History'!$M$2:$M$1000,'Rotation History'!$B$2:$B$1000,$B128,'Rotation History'!$A$2:$A$1000,"&gt;="&amp;($B$2-30),'Rotation History'!$A$2:$A$1000,"&lt;"&amp;$B$2))</f>
        <v/>
      </c>
      <c r="R128" s="43" t="str">
        <f aca="false">IF($B128="","",COUNTIFS('Rotation History'!$B$2:$B$1000,$B128,'Rotation History'!$M$2:$M$1000,"&gt;0",'Rotation History'!$A$2:$A$1000,"&gt;="&amp;($B$2-30),'Rotation History'!$A$2:$A$1000,"&lt;"&amp;$B$2))</f>
        <v/>
      </c>
      <c r="S128" s="43" t="str">
        <f aca="false">IF($B128="","",IF(COUNTIFS('Rotation History'!$B$2:$B$1000,$B128,'Rotation History'!$A$2:$A$1000,$B$2-1,'Rotation History'!$M$2:$M$1000,"&gt;0")=0,0,1+IF(COUNTIFS('Rotation History'!$B$2:$B$1000,$B128,'Rotation History'!$A$2:$A$1000,$B$2-2,'Rotation History'!$M$2:$M$1000,"&gt;0")=0,0,1+IF(COUNTIFS('Rotation History'!$B$2:$B$1000,$B128,'Rotation History'!$A$2:$A$1000,$B$2-3,'Rotation History'!$M$2:$M$1000,"&gt;0")=0,0,1+IF(COUNTIFS('Rotation History'!$B$2:$B$1000,$B128,'Rotation History'!$A$2:$A$1000,$B$2-4,'Rotation History'!$M$2:$M$1000,"&gt;0")=0,0,1)))))</f>
        <v/>
      </c>
      <c r="T128" s="43" t="str">
        <f aca="false">IF($B128="","",COUNTIFS('Rotation History'!$B$2:$B$1000,$B128,'Rotation History'!$K$2:$K$1000,"Opening",'Rotation History'!$A$2:$A$1000,"&gt;="&amp;($B$2-30),'Rotation History'!$A$2:$A$1000,"&lt;"&amp;$B$2))</f>
        <v/>
      </c>
      <c r="U128" s="43" t="str">
        <f aca="false">IF($B128="","",COUNTIFS('Rotation History'!$B$2:$B$1000,$B128,'Rotation History'!$K$2:$K$1000,"Lunch Relief",'Rotation History'!$A$2:$A$1000,"&gt;="&amp;($B$2-30),'Rotation History'!$A$2:$A$1000,"&lt;"&amp;$B$2))</f>
        <v/>
      </c>
      <c r="V128" s="44" t="str">
        <f aca="false">IF($B128="","",$Q128*10+$R128*2+$S128*20+$T128*3+$U128)</f>
        <v/>
      </c>
    </row>
    <row r="129" customFormat="false" ht="14.25" hidden="false" customHeight="true" outlineLevel="0" collapsed="false">
      <c r="A129" s="40" t="str">
        <f aca="false">IF($B129="","",$B$2)</f>
        <v/>
      </c>
      <c r="B129" s="1" t="str">
        <f aca="false">IF($B$2="","",IFERROR(INDEX('Employee Master'!$A$2:$A$159,MATCH(ROWS($B$6:B129),Lists!$P$2:$P$159,0)),""))</f>
        <v/>
      </c>
      <c r="C129" s="1" t="str">
        <f aca="false">IF($B129="","",IFERROR(INDEX('Employee Master'!$B$2:$B$159,MATCH($B129,'Employee Master'!$A$2:$A$159,0)),""))</f>
        <v/>
      </c>
      <c r="D129" s="1" t="str">
        <f aca="false">IF($B129="","",IFERROR(INDEX('Employee Master'!$C$2:$C$159,MATCH($B129,'Employee Master'!$A$2:$A$159,0)),""))</f>
        <v/>
      </c>
      <c r="E129" s="1" t="str">
        <f aca="false">IF($B129="","",IFERROR(INDEX('Employee Master'!$I$2:$I$159,MATCH($B129,'Employee Master'!$A$2:$A$159,0)),""))</f>
        <v/>
      </c>
      <c r="F129" s="29" t="str">
        <f aca="false">IF($B129="","",IFERROR(INDEX('Employee Master'!$E$2:$E$159,MATCH($B129,'Employee Master'!$A$2:$A$159,0)),""))</f>
        <v/>
      </c>
      <c r="G129" s="29" t="str">
        <f aca="false">IF($B129="","",IFERROR(INDEX('Employee Master'!$F$2:$F$159,MATCH($B129,'Employee Master'!$A$2:$A$159,0)),""))</f>
        <v/>
      </c>
      <c r="H129" s="41" t="str">
        <f aca="false">IF($B129="","","Present")</f>
        <v/>
      </c>
      <c r="I129" s="1" t="str">
        <f aca="false">IF($B129="","",IFERROR(INDEX('Employee Master'!$H$2:$H$159,MATCH($B129,'Employee Master'!$A$2:$A$159,0)),""))</f>
        <v/>
      </c>
      <c r="J129" s="29" t="str">
        <f aca="false">IF($B129="","",IFERROR(INDEX('Qualification Matrix'!$C$2:$C$168,MATCH($B129,'Qualification Matrix'!$A$2:$A$168,0)),2))</f>
        <v/>
      </c>
      <c r="K129" s="29" t="str">
        <f aca="false">IF($B129="","",IFERROR(INDEX('Qualification Matrix'!$D$2:$D$168,MATCH($B129,'Qualification Matrix'!$A$2:$A$168,0)),2))</f>
        <v/>
      </c>
      <c r="L129" s="29" t="str">
        <f aca="false">IF($B129="","",IFERROR(INDEX('Qualification Matrix'!$E$2:$E$168,MATCH($B129,'Qualification Matrix'!$A$2:$A$168,0)),2))</f>
        <v/>
      </c>
      <c r="M129" s="29" t="str">
        <f aca="false">IF($B129="","",IFERROR(INDEX('Qualification Matrix'!$F$2:$F$168,MATCH($B129,'Qualification Matrix'!$A$2:$A$168,0)),2))</f>
        <v/>
      </c>
      <c r="N129" s="29" t="str">
        <f aca="false">IF($B129="","",IF(AND($H129="Present",$F129&lt;&gt;"Y"),"Y","N"))</f>
        <v/>
      </c>
      <c r="O129" s="42"/>
      <c r="P129" s="29" t="str">
        <f aca="false">IF($B129="","",IFERROR(INDEX('Qualification Matrix'!$H$2:$H$168,MATCH($B129,'Qualification Matrix'!$A$2:$A$168,0)),""))</f>
        <v/>
      </c>
      <c r="Q129" s="43" t="str">
        <f aca="false">IF($B129="","",SUMIFS('Rotation History'!$M$2:$M$1000,'Rotation History'!$B$2:$B$1000,$B129,'Rotation History'!$A$2:$A$1000,"&gt;="&amp;($B$2-30),'Rotation History'!$A$2:$A$1000,"&lt;"&amp;$B$2))</f>
        <v/>
      </c>
      <c r="R129" s="43" t="str">
        <f aca="false">IF($B129="","",COUNTIFS('Rotation History'!$B$2:$B$1000,$B129,'Rotation History'!$M$2:$M$1000,"&gt;0",'Rotation History'!$A$2:$A$1000,"&gt;="&amp;($B$2-30),'Rotation History'!$A$2:$A$1000,"&lt;"&amp;$B$2))</f>
        <v/>
      </c>
      <c r="S129" s="43" t="str">
        <f aca="false">IF($B129="","",IF(COUNTIFS('Rotation History'!$B$2:$B$1000,$B129,'Rotation History'!$A$2:$A$1000,$B$2-1,'Rotation History'!$M$2:$M$1000,"&gt;0")=0,0,1+IF(COUNTIFS('Rotation History'!$B$2:$B$1000,$B129,'Rotation History'!$A$2:$A$1000,$B$2-2,'Rotation History'!$M$2:$M$1000,"&gt;0")=0,0,1+IF(COUNTIFS('Rotation History'!$B$2:$B$1000,$B129,'Rotation History'!$A$2:$A$1000,$B$2-3,'Rotation History'!$M$2:$M$1000,"&gt;0")=0,0,1+IF(COUNTIFS('Rotation History'!$B$2:$B$1000,$B129,'Rotation History'!$A$2:$A$1000,$B$2-4,'Rotation History'!$M$2:$M$1000,"&gt;0")=0,0,1)))))</f>
        <v/>
      </c>
      <c r="T129" s="43" t="str">
        <f aca="false">IF($B129="","",COUNTIFS('Rotation History'!$B$2:$B$1000,$B129,'Rotation History'!$K$2:$K$1000,"Opening",'Rotation History'!$A$2:$A$1000,"&gt;="&amp;($B$2-30),'Rotation History'!$A$2:$A$1000,"&lt;"&amp;$B$2))</f>
        <v/>
      </c>
      <c r="U129" s="43" t="str">
        <f aca="false">IF($B129="","",COUNTIFS('Rotation History'!$B$2:$B$1000,$B129,'Rotation History'!$K$2:$K$1000,"Lunch Relief",'Rotation History'!$A$2:$A$1000,"&gt;="&amp;($B$2-30),'Rotation History'!$A$2:$A$1000,"&lt;"&amp;$B$2))</f>
        <v/>
      </c>
      <c r="V129" s="44" t="str">
        <f aca="false">IF($B129="","",$Q129*10+$R129*2+$S129*20+$T129*3+$U129)</f>
        <v/>
      </c>
    </row>
    <row r="130" customFormat="false" ht="14.25" hidden="false" customHeight="true" outlineLevel="0" collapsed="false">
      <c r="A130" s="40" t="str">
        <f aca="false">IF($B130="","",$B$2)</f>
        <v/>
      </c>
      <c r="B130" s="1" t="str">
        <f aca="false">IF($B$2="","",IFERROR(INDEX('Employee Master'!$A$2:$A$159,MATCH(ROWS($B$6:B130),Lists!$P$2:$P$159,0)),""))</f>
        <v/>
      </c>
      <c r="C130" s="1" t="str">
        <f aca="false">IF($B130="","",IFERROR(INDEX('Employee Master'!$B$2:$B$159,MATCH($B130,'Employee Master'!$A$2:$A$159,0)),""))</f>
        <v/>
      </c>
      <c r="D130" s="1" t="str">
        <f aca="false">IF($B130="","",IFERROR(INDEX('Employee Master'!$C$2:$C$159,MATCH($B130,'Employee Master'!$A$2:$A$159,0)),""))</f>
        <v/>
      </c>
      <c r="E130" s="1" t="str">
        <f aca="false">IF($B130="","",IFERROR(INDEX('Employee Master'!$I$2:$I$159,MATCH($B130,'Employee Master'!$A$2:$A$159,0)),""))</f>
        <v/>
      </c>
      <c r="F130" s="29" t="str">
        <f aca="false">IF($B130="","",IFERROR(INDEX('Employee Master'!$E$2:$E$159,MATCH($B130,'Employee Master'!$A$2:$A$159,0)),""))</f>
        <v/>
      </c>
      <c r="G130" s="29" t="str">
        <f aca="false">IF($B130="","",IFERROR(INDEX('Employee Master'!$F$2:$F$159,MATCH($B130,'Employee Master'!$A$2:$A$159,0)),""))</f>
        <v/>
      </c>
      <c r="H130" s="41" t="str">
        <f aca="false">IF($B130="","","Present")</f>
        <v/>
      </c>
      <c r="I130" s="1" t="str">
        <f aca="false">IF($B130="","",IFERROR(INDEX('Employee Master'!$H$2:$H$159,MATCH($B130,'Employee Master'!$A$2:$A$159,0)),""))</f>
        <v/>
      </c>
      <c r="J130" s="29" t="str">
        <f aca="false">IF($B130="","",IFERROR(INDEX('Qualification Matrix'!$C$2:$C$168,MATCH($B130,'Qualification Matrix'!$A$2:$A$168,0)),2))</f>
        <v/>
      </c>
      <c r="K130" s="29" t="str">
        <f aca="false">IF($B130="","",IFERROR(INDEX('Qualification Matrix'!$D$2:$D$168,MATCH($B130,'Qualification Matrix'!$A$2:$A$168,0)),2))</f>
        <v/>
      </c>
      <c r="L130" s="29" t="str">
        <f aca="false">IF($B130="","",IFERROR(INDEX('Qualification Matrix'!$E$2:$E$168,MATCH($B130,'Qualification Matrix'!$A$2:$A$168,0)),2))</f>
        <v/>
      </c>
      <c r="M130" s="29" t="str">
        <f aca="false">IF($B130="","",IFERROR(INDEX('Qualification Matrix'!$F$2:$F$168,MATCH($B130,'Qualification Matrix'!$A$2:$A$168,0)),2))</f>
        <v/>
      </c>
      <c r="N130" s="29" t="str">
        <f aca="false">IF($B130="","",IF(AND($H130="Present",$F130&lt;&gt;"Y"),"Y","N"))</f>
        <v/>
      </c>
      <c r="O130" s="42"/>
      <c r="P130" s="29" t="str">
        <f aca="false">IF($B130="","",IFERROR(INDEX('Qualification Matrix'!$H$2:$H$168,MATCH($B130,'Qualification Matrix'!$A$2:$A$168,0)),""))</f>
        <v/>
      </c>
      <c r="Q130" s="43" t="str">
        <f aca="false">IF($B130="","",SUMIFS('Rotation History'!$M$2:$M$1000,'Rotation History'!$B$2:$B$1000,$B130,'Rotation History'!$A$2:$A$1000,"&gt;="&amp;($B$2-30),'Rotation History'!$A$2:$A$1000,"&lt;"&amp;$B$2))</f>
        <v/>
      </c>
      <c r="R130" s="43" t="str">
        <f aca="false">IF($B130="","",COUNTIFS('Rotation History'!$B$2:$B$1000,$B130,'Rotation History'!$M$2:$M$1000,"&gt;0",'Rotation History'!$A$2:$A$1000,"&gt;="&amp;($B$2-30),'Rotation History'!$A$2:$A$1000,"&lt;"&amp;$B$2))</f>
        <v/>
      </c>
      <c r="S130" s="43" t="str">
        <f aca="false">IF($B130="","",IF(COUNTIFS('Rotation History'!$B$2:$B$1000,$B130,'Rotation History'!$A$2:$A$1000,$B$2-1,'Rotation History'!$M$2:$M$1000,"&gt;0")=0,0,1+IF(COUNTIFS('Rotation History'!$B$2:$B$1000,$B130,'Rotation History'!$A$2:$A$1000,$B$2-2,'Rotation History'!$M$2:$M$1000,"&gt;0")=0,0,1+IF(COUNTIFS('Rotation History'!$B$2:$B$1000,$B130,'Rotation History'!$A$2:$A$1000,$B$2-3,'Rotation History'!$M$2:$M$1000,"&gt;0")=0,0,1+IF(COUNTIFS('Rotation History'!$B$2:$B$1000,$B130,'Rotation History'!$A$2:$A$1000,$B$2-4,'Rotation History'!$M$2:$M$1000,"&gt;0")=0,0,1)))))</f>
        <v/>
      </c>
      <c r="T130" s="43" t="str">
        <f aca="false">IF($B130="","",COUNTIFS('Rotation History'!$B$2:$B$1000,$B130,'Rotation History'!$K$2:$K$1000,"Opening",'Rotation History'!$A$2:$A$1000,"&gt;="&amp;($B$2-30),'Rotation History'!$A$2:$A$1000,"&lt;"&amp;$B$2))</f>
        <v/>
      </c>
      <c r="U130" s="43" t="str">
        <f aca="false">IF($B130="","",COUNTIFS('Rotation History'!$B$2:$B$1000,$B130,'Rotation History'!$K$2:$K$1000,"Lunch Relief",'Rotation History'!$A$2:$A$1000,"&gt;="&amp;($B$2-30),'Rotation History'!$A$2:$A$1000,"&lt;"&amp;$B$2))</f>
        <v/>
      </c>
      <c r="V130" s="44" t="str">
        <f aca="false">IF($B130="","",$Q130*10+$R130*2+$S130*20+$T130*3+$U130)</f>
        <v/>
      </c>
    </row>
    <row r="131" customFormat="false" ht="14.25" hidden="false" customHeight="true" outlineLevel="0" collapsed="false">
      <c r="A131" s="40" t="str">
        <f aca="false">IF($B131="","",$B$2)</f>
        <v/>
      </c>
      <c r="B131" s="1" t="str">
        <f aca="false">IF($B$2="","",IFERROR(INDEX('Employee Master'!$A$2:$A$159,MATCH(ROWS($B$6:B131),Lists!$P$2:$P$159,0)),""))</f>
        <v/>
      </c>
      <c r="C131" s="1" t="str">
        <f aca="false">IF($B131="","",IFERROR(INDEX('Employee Master'!$B$2:$B$159,MATCH($B131,'Employee Master'!$A$2:$A$159,0)),""))</f>
        <v/>
      </c>
      <c r="D131" s="1" t="str">
        <f aca="false">IF($B131="","",IFERROR(INDEX('Employee Master'!$C$2:$C$159,MATCH($B131,'Employee Master'!$A$2:$A$159,0)),""))</f>
        <v/>
      </c>
      <c r="E131" s="1" t="str">
        <f aca="false">IF($B131="","",IFERROR(INDEX('Employee Master'!$I$2:$I$159,MATCH($B131,'Employee Master'!$A$2:$A$159,0)),""))</f>
        <v/>
      </c>
      <c r="F131" s="29" t="str">
        <f aca="false">IF($B131="","",IFERROR(INDEX('Employee Master'!$E$2:$E$159,MATCH($B131,'Employee Master'!$A$2:$A$159,0)),""))</f>
        <v/>
      </c>
      <c r="G131" s="29" t="str">
        <f aca="false">IF($B131="","",IFERROR(INDEX('Employee Master'!$F$2:$F$159,MATCH($B131,'Employee Master'!$A$2:$A$159,0)),""))</f>
        <v/>
      </c>
      <c r="H131" s="41" t="str">
        <f aca="false">IF($B131="","","Present")</f>
        <v/>
      </c>
      <c r="I131" s="1" t="str">
        <f aca="false">IF($B131="","",IFERROR(INDEX('Employee Master'!$H$2:$H$159,MATCH($B131,'Employee Master'!$A$2:$A$159,0)),""))</f>
        <v/>
      </c>
      <c r="J131" s="29" t="str">
        <f aca="false">IF($B131="","",IFERROR(INDEX('Qualification Matrix'!$C$2:$C$168,MATCH($B131,'Qualification Matrix'!$A$2:$A$168,0)),2))</f>
        <v/>
      </c>
      <c r="K131" s="29" t="str">
        <f aca="false">IF($B131="","",IFERROR(INDEX('Qualification Matrix'!$D$2:$D$168,MATCH($B131,'Qualification Matrix'!$A$2:$A$168,0)),2))</f>
        <v/>
      </c>
      <c r="L131" s="29" t="str">
        <f aca="false">IF($B131="","",IFERROR(INDEX('Qualification Matrix'!$E$2:$E$168,MATCH($B131,'Qualification Matrix'!$A$2:$A$168,0)),2))</f>
        <v/>
      </c>
      <c r="M131" s="29" t="str">
        <f aca="false">IF($B131="","",IFERROR(INDEX('Qualification Matrix'!$F$2:$F$168,MATCH($B131,'Qualification Matrix'!$A$2:$A$168,0)),2))</f>
        <v/>
      </c>
      <c r="N131" s="29" t="str">
        <f aca="false">IF($B131="","",IF(AND($H131="Present",$F131&lt;&gt;"Y"),"Y","N"))</f>
        <v/>
      </c>
      <c r="O131" s="42"/>
      <c r="P131" s="29" t="str">
        <f aca="false">IF($B131="","",IFERROR(INDEX('Qualification Matrix'!$H$2:$H$168,MATCH($B131,'Qualification Matrix'!$A$2:$A$168,0)),""))</f>
        <v/>
      </c>
      <c r="Q131" s="43" t="str">
        <f aca="false">IF($B131="","",SUMIFS('Rotation History'!$M$2:$M$1000,'Rotation History'!$B$2:$B$1000,$B131,'Rotation History'!$A$2:$A$1000,"&gt;="&amp;($B$2-30),'Rotation History'!$A$2:$A$1000,"&lt;"&amp;$B$2))</f>
        <v/>
      </c>
      <c r="R131" s="43" t="str">
        <f aca="false">IF($B131="","",COUNTIFS('Rotation History'!$B$2:$B$1000,$B131,'Rotation History'!$M$2:$M$1000,"&gt;0",'Rotation History'!$A$2:$A$1000,"&gt;="&amp;($B$2-30),'Rotation History'!$A$2:$A$1000,"&lt;"&amp;$B$2))</f>
        <v/>
      </c>
      <c r="S131" s="43" t="str">
        <f aca="false">IF($B131="","",IF(COUNTIFS('Rotation History'!$B$2:$B$1000,$B131,'Rotation History'!$A$2:$A$1000,$B$2-1,'Rotation History'!$M$2:$M$1000,"&gt;0")=0,0,1+IF(COUNTIFS('Rotation History'!$B$2:$B$1000,$B131,'Rotation History'!$A$2:$A$1000,$B$2-2,'Rotation History'!$M$2:$M$1000,"&gt;0")=0,0,1+IF(COUNTIFS('Rotation History'!$B$2:$B$1000,$B131,'Rotation History'!$A$2:$A$1000,$B$2-3,'Rotation History'!$M$2:$M$1000,"&gt;0")=0,0,1+IF(COUNTIFS('Rotation History'!$B$2:$B$1000,$B131,'Rotation History'!$A$2:$A$1000,$B$2-4,'Rotation History'!$M$2:$M$1000,"&gt;0")=0,0,1)))))</f>
        <v/>
      </c>
      <c r="T131" s="43" t="str">
        <f aca="false">IF($B131="","",COUNTIFS('Rotation History'!$B$2:$B$1000,$B131,'Rotation History'!$K$2:$K$1000,"Opening",'Rotation History'!$A$2:$A$1000,"&gt;="&amp;($B$2-30),'Rotation History'!$A$2:$A$1000,"&lt;"&amp;$B$2))</f>
        <v/>
      </c>
      <c r="U131" s="43" t="str">
        <f aca="false">IF($B131="","",COUNTIFS('Rotation History'!$B$2:$B$1000,$B131,'Rotation History'!$K$2:$K$1000,"Lunch Relief",'Rotation History'!$A$2:$A$1000,"&gt;="&amp;($B$2-30),'Rotation History'!$A$2:$A$1000,"&lt;"&amp;$B$2))</f>
        <v/>
      </c>
      <c r="V131" s="44" t="str">
        <f aca="false">IF($B131="","",$Q131*10+$R131*2+$S131*20+$T131*3+$U131)</f>
        <v/>
      </c>
    </row>
    <row r="132" customFormat="false" ht="14.25" hidden="false" customHeight="true" outlineLevel="0" collapsed="false">
      <c r="A132" s="40" t="str">
        <f aca="false">IF($B132="","",$B$2)</f>
        <v/>
      </c>
      <c r="B132" s="1" t="str">
        <f aca="false">IF($B$2="","",IFERROR(INDEX('Employee Master'!$A$2:$A$159,MATCH(ROWS($B$6:B132),Lists!$P$2:$P$159,0)),""))</f>
        <v/>
      </c>
      <c r="C132" s="1" t="str">
        <f aca="false">IF($B132="","",IFERROR(INDEX('Employee Master'!$B$2:$B$159,MATCH($B132,'Employee Master'!$A$2:$A$159,0)),""))</f>
        <v/>
      </c>
      <c r="D132" s="1" t="str">
        <f aca="false">IF($B132="","",IFERROR(INDEX('Employee Master'!$C$2:$C$159,MATCH($B132,'Employee Master'!$A$2:$A$159,0)),""))</f>
        <v/>
      </c>
      <c r="E132" s="1" t="str">
        <f aca="false">IF($B132="","",IFERROR(INDEX('Employee Master'!$I$2:$I$159,MATCH($B132,'Employee Master'!$A$2:$A$159,0)),""))</f>
        <v/>
      </c>
      <c r="F132" s="29" t="str">
        <f aca="false">IF($B132="","",IFERROR(INDEX('Employee Master'!$E$2:$E$159,MATCH($B132,'Employee Master'!$A$2:$A$159,0)),""))</f>
        <v/>
      </c>
      <c r="G132" s="29" t="str">
        <f aca="false">IF($B132="","",IFERROR(INDEX('Employee Master'!$F$2:$F$159,MATCH($B132,'Employee Master'!$A$2:$A$159,0)),""))</f>
        <v/>
      </c>
      <c r="H132" s="41" t="str">
        <f aca="false">IF($B132="","","Present")</f>
        <v/>
      </c>
      <c r="I132" s="1" t="str">
        <f aca="false">IF($B132="","",IFERROR(INDEX('Employee Master'!$H$2:$H$159,MATCH($B132,'Employee Master'!$A$2:$A$159,0)),""))</f>
        <v/>
      </c>
      <c r="J132" s="29" t="str">
        <f aca="false">IF($B132="","",IFERROR(INDEX('Qualification Matrix'!$C$2:$C$168,MATCH($B132,'Qualification Matrix'!$A$2:$A$168,0)),2))</f>
        <v/>
      </c>
      <c r="K132" s="29" t="str">
        <f aca="false">IF($B132="","",IFERROR(INDEX('Qualification Matrix'!$D$2:$D$168,MATCH($B132,'Qualification Matrix'!$A$2:$A$168,0)),2))</f>
        <v/>
      </c>
      <c r="L132" s="29" t="str">
        <f aca="false">IF($B132="","",IFERROR(INDEX('Qualification Matrix'!$E$2:$E$168,MATCH($B132,'Qualification Matrix'!$A$2:$A$168,0)),2))</f>
        <v/>
      </c>
      <c r="M132" s="29" t="str">
        <f aca="false">IF($B132="","",IFERROR(INDEX('Qualification Matrix'!$F$2:$F$168,MATCH($B132,'Qualification Matrix'!$A$2:$A$168,0)),2))</f>
        <v/>
      </c>
      <c r="N132" s="29" t="str">
        <f aca="false">IF($B132="","",IF(AND($H132="Present",$F132&lt;&gt;"Y"),"Y","N"))</f>
        <v/>
      </c>
      <c r="O132" s="42"/>
      <c r="P132" s="29" t="str">
        <f aca="false">IF($B132="","",IFERROR(INDEX('Qualification Matrix'!$H$2:$H$168,MATCH($B132,'Qualification Matrix'!$A$2:$A$168,0)),""))</f>
        <v/>
      </c>
      <c r="Q132" s="43" t="str">
        <f aca="false">IF($B132="","",SUMIFS('Rotation History'!$M$2:$M$1000,'Rotation History'!$B$2:$B$1000,$B132,'Rotation History'!$A$2:$A$1000,"&gt;="&amp;($B$2-30),'Rotation History'!$A$2:$A$1000,"&lt;"&amp;$B$2))</f>
        <v/>
      </c>
      <c r="R132" s="43" t="str">
        <f aca="false">IF($B132="","",COUNTIFS('Rotation History'!$B$2:$B$1000,$B132,'Rotation History'!$M$2:$M$1000,"&gt;0",'Rotation History'!$A$2:$A$1000,"&gt;="&amp;($B$2-30),'Rotation History'!$A$2:$A$1000,"&lt;"&amp;$B$2))</f>
        <v/>
      </c>
      <c r="S132" s="43" t="str">
        <f aca="false">IF($B132="","",IF(COUNTIFS('Rotation History'!$B$2:$B$1000,$B132,'Rotation History'!$A$2:$A$1000,$B$2-1,'Rotation History'!$M$2:$M$1000,"&gt;0")=0,0,1+IF(COUNTIFS('Rotation History'!$B$2:$B$1000,$B132,'Rotation History'!$A$2:$A$1000,$B$2-2,'Rotation History'!$M$2:$M$1000,"&gt;0")=0,0,1+IF(COUNTIFS('Rotation History'!$B$2:$B$1000,$B132,'Rotation History'!$A$2:$A$1000,$B$2-3,'Rotation History'!$M$2:$M$1000,"&gt;0")=0,0,1+IF(COUNTIFS('Rotation History'!$B$2:$B$1000,$B132,'Rotation History'!$A$2:$A$1000,$B$2-4,'Rotation History'!$M$2:$M$1000,"&gt;0")=0,0,1)))))</f>
        <v/>
      </c>
      <c r="T132" s="43" t="str">
        <f aca="false">IF($B132="","",COUNTIFS('Rotation History'!$B$2:$B$1000,$B132,'Rotation History'!$K$2:$K$1000,"Opening",'Rotation History'!$A$2:$A$1000,"&gt;="&amp;($B$2-30),'Rotation History'!$A$2:$A$1000,"&lt;"&amp;$B$2))</f>
        <v/>
      </c>
      <c r="U132" s="43" t="str">
        <f aca="false">IF($B132="","",COUNTIFS('Rotation History'!$B$2:$B$1000,$B132,'Rotation History'!$K$2:$K$1000,"Lunch Relief",'Rotation History'!$A$2:$A$1000,"&gt;="&amp;($B$2-30),'Rotation History'!$A$2:$A$1000,"&lt;"&amp;$B$2))</f>
        <v/>
      </c>
      <c r="V132" s="44" t="str">
        <f aca="false">IF($B132="","",$Q132*10+$R132*2+$S132*20+$T132*3+$U132)</f>
        <v/>
      </c>
    </row>
    <row r="133" customFormat="false" ht="14.25" hidden="false" customHeight="true" outlineLevel="0" collapsed="false">
      <c r="A133" s="40" t="str">
        <f aca="false">IF($B133="","",$B$2)</f>
        <v/>
      </c>
      <c r="B133" s="1" t="str">
        <f aca="false">IF($B$2="","",IFERROR(INDEX('Employee Master'!$A$2:$A$159,MATCH(ROWS($B$6:B133),Lists!$P$2:$P$159,0)),""))</f>
        <v/>
      </c>
      <c r="C133" s="1" t="str">
        <f aca="false">IF($B133="","",IFERROR(INDEX('Employee Master'!$B$2:$B$159,MATCH($B133,'Employee Master'!$A$2:$A$159,0)),""))</f>
        <v/>
      </c>
      <c r="D133" s="1" t="str">
        <f aca="false">IF($B133="","",IFERROR(INDEX('Employee Master'!$C$2:$C$159,MATCH($B133,'Employee Master'!$A$2:$A$159,0)),""))</f>
        <v/>
      </c>
      <c r="E133" s="1" t="str">
        <f aca="false">IF($B133="","",IFERROR(INDEX('Employee Master'!$I$2:$I$159,MATCH($B133,'Employee Master'!$A$2:$A$159,0)),""))</f>
        <v/>
      </c>
      <c r="F133" s="29" t="str">
        <f aca="false">IF($B133="","",IFERROR(INDEX('Employee Master'!$E$2:$E$159,MATCH($B133,'Employee Master'!$A$2:$A$159,0)),""))</f>
        <v/>
      </c>
      <c r="G133" s="29" t="str">
        <f aca="false">IF($B133="","",IFERROR(INDEX('Employee Master'!$F$2:$F$159,MATCH($B133,'Employee Master'!$A$2:$A$159,0)),""))</f>
        <v/>
      </c>
      <c r="H133" s="41" t="str">
        <f aca="false">IF($B133="","","Present")</f>
        <v/>
      </c>
      <c r="I133" s="1" t="str">
        <f aca="false">IF($B133="","",IFERROR(INDEX('Employee Master'!$H$2:$H$159,MATCH($B133,'Employee Master'!$A$2:$A$159,0)),""))</f>
        <v/>
      </c>
      <c r="J133" s="29" t="str">
        <f aca="false">IF($B133="","",IFERROR(INDEX('Qualification Matrix'!$C$2:$C$168,MATCH($B133,'Qualification Matrix'!$A$2:$A$168,0)),2))</f>
        <v/>
      </c>
      <c r="K133" s="29" t="str">
        <f aca="false">IF($B133="","",IFERROR(INDEX('Qualification Matrix'!$D$2:$D$168,MATCH($B133,'Qualification Matrix'!$A$2:$A$168,0)),2))</f>
        <v/>
      </c>
      <c r="L133" s="29" t="str">
        <f aca="false">IF($B133="","",IFERROR(INDEX('Qualification Matrix'!$E$2:$E$168,MATCH($B133,'Qualification Matrix'!$A$2:$A$168,0)),2))</f>
        <v/>
      </c>
      <c r="M133" s="29" t="str">
        <f aca="false">IF($B133="","",IFERROR(INDEX('Qualification Matrix'!$F$2:$F$168,MATCH($B133,'Qualification Matrix'!$A$2:$A$168,0)),2))</f>
        <v/>
      </c>
      <c r="N133" s="29" t="str">
        <f aca="false">IF($B133="","",IF(AND($H133="Present",$F133&lt;&gt;"Y"),"Y","N"))</f>
        <v/>
      </c>
      <c r="O133" s="42"/>
      <c r="P133" s="29" t="str">
        <f aca="false">IF($B133="","",IFERROR(INDEX('Qualification Matrix'!$H$2:$H$168,MATCH($B133,'Qualification Matrix'!$A$2:$A$168,0)),""))</f>
        <v/>
      </c>
      <c r="Q133" s="43" t="str">
        <f aca="false">IF($B133="","",SUMIFS('Rotation History'!$M$2:$M$1000,'Rotation History'!$B$2:$B$1000,$B133,'Rotation History'!$A$2:$A$1000,"&gt;="&amp;($B$2-30),'Rotation History'!$A$2:$A$1000,"&lt;"&amp;$B$2))</f>
        <v/>
      </c>
      <c r="R133" s="43" t="str">
        <f aca="false">IF($B133="","",COUNTIFS('Rotation History'!$B$2:$B$1000,$B133,'Rotation History'!$M$2:$M$1000,"&gt;0",'Rotation History'!$A$2:$A$1000,"&gt;="&amp;($B$2-30),'Rotation History'!$A$2:$A$1000,"&lt;"&amp;$B$2))</f>
        <v/>
      </c>
      <c r="S133" s="43" t="str">
        <f aca="false">IF($B133="","",IF(COUNTIFS('Rotation History'!$B$2:$B$1000,$B133,'Rotation History'!$A$2:$A$1000,$B$2-1,'Rotation History'!$M$2:$M$1000,"&gt;0")=0,0,1+IF(COUNTIFS('Rotation History'!$B$2:$B$1000,$B133,'Rotation History'!$A$2:$A$1000,$B$2-2,'Rotation History'!$M$2:$M$1000,"&gt;0")=0,0,1+IF(COUNTIFS('Rotation History'!$B$2:$B$1000,$B133,'Rotation History'!$A$2:$A$1000,$B$2-3,'Rotation History'!$M$2:$M$1000,"&gt;0")=0,0,1+IF(COUNTIFS('Rotation History'!$B$2:$B$1000,$B133,'Rotation History'!$A$2:$A$1000,$B$2-4,'Rotation History'!$M$2:$M$1000,"&gt;0")=0,0,1)))))</f>
        <v/>
      </c>
      <c r="T133" s="43" t="str">
        <f aca="false">IF($B133="","",COUNTIFS('Rotation History'!$B$2:$B$1000,$B133,'Rotation History'!$K$2:$K$1000,"Opening",'Rotation History'!$A$2:$A$1000,"&gt;="&amp;($B$2-30),'Rotation History'!$A$2:$A$1000,"&lt;"&amp;$B$2))</f>
        <v/>
      </c>
      <c r="U133" s="43" t="str">
        <f aca="false">IF($B133="","",COUNTIFS('Rotation History'!$B$2:$B$1000,$B133,'Rotation History'!$K$2:$K$1000,"Lunch Relief",'Rotation History'!$A$2:$A$1000,"&gt;="&amp;($B$2-30),'Rotation History'!$A$2:$A$1000,"&lt;"&amp;$B$2))</f>
        <v/>
      </c>
      <c r="V133" s="44" t="str">
        <f aca="false">IF($B133="","",$Q133*10+$R133*2+$S133*20+$T133*3+$U133)</f>
        <v/>
      </c>
    </row>
    <row r="134" customFormat="false" ht="14.25" hidden="false" customHeight="true" outlineLevel="0" collapsed="false">
      <c r="A134" s="40" t="str">
        <f aca="false">IF($B134="","",$B$2)</f>
        <v/>
      </c>
      <c r="B134" s="1" t="str">
        <f aca="false">IF($B$2="","",IFERROR(INDEX('Employee Master'!$A$2:$A$159,MATCH(ROWS($B$6:B134),Lists!$P$2:$P$159,0)),""))</f>
        <v/>
      </c>
      <c r="C134" s="1" t="str">
        <f aca="false">IF($B134="","",IFERROR(INDEX('Employee Master'!$B$2:$B$159,MATCH($B134,'Employee Master'!$A$2:$A$159,0)),""))</f>
        <v/>
      </c>
      <c r="D134" s="1" t="str">
        <f aca="false">IF($B134="","",IFERROR(INDEX('Employee Master'!$C$2:$C$159,MATCH($B134,'Employee Master'!$A$2:$A$159,0)),""))</f>
        <v/>
      </c>
      <c r="E134" s="1" t="str">
        <f aca="false">IF($B134="","",IFERROR(INDEX('Employee Master'!$I$2:$I$159,MATCH($B134,'Employee Master'!$A$2:$A$159,0)),""))</f>
        <v/>
      </c>
      <c r="F134" s="29" t="str">
        <f aca="false">IF($B134="","",IFERROR(INDEX('Employee Master'!$E$2:$E$159,MATCH($B134,'Employee Master'!$A$2:$A$159,0)),""))</f>
        <v/>
      </c>
      <c r="G134" s="29" t="str">
        <f aca="false">IF($B134="","",IFERROR(INDEX('Employee Master'!$F$2:$F$159,MATCH($B134,'Employee Master'!$A$2:$A$159,0)),""))</f>
        <v/>
      </c>
      <c r="H134" s="41" t="str">
        <f aca="false">IF($B134="","","Present")</f>
        <v/>
      </c>
      <c r="I134" s="1" t="str">
        <f aca="false">IF($B134="","",IFERROR(INDEX('Employee Master'!$H$2:$H$159,MATCH($B134,'Employee Master'!$A$2:$A$159,0)),""))</f>
        <v/>
      </c>
      <c r="J134" s="29" t="str">
        <f aca="false">IF($B134="","",IFERROR(INDEX('Qualification Matrix'!$C$2:$C$168,MATCH($B134,'Qualification Matrix'!$A$2:$A$168,0)),2))</f>
        <v/>
      </c>
      <c r="K134" s="29" t="str">
        <f aca="false">IF($B134="","",IFERROR(INDEX('Qualification Matrix'!$D$2:$D$168,MATCH($B134,'Qualification Matrix'!$A$2:$A$168,0)),2))</f>
        <v/>
      </c>
      <c r="L134" s="29" t="str">
        <f aca="false">IF($B134="","",IFERROR(INDEX('Qualification Matrix'!$E$2:$E$168,MATCH($B134,'Qualification Matrix'!$A$2:$A$168,0)),2))</f>
        <v/>
      </c>
      <c r="M134" s="29" t="str">
        <f aca="false">IF($B134="","",IFERROR(INDEX('Qualification Matrix'!$F$2:$F$168,MATCH($B134,'Qualification Matrix'!$A$2:$A$168,0)),2))</f>
        <v/>
      </c>
      <c r="N134" s="29" t="str">
        <f aca="false">IF($B134="","",IF(AND($H134="Present",$F134&lt;&gt;"Y"),"Y","N"))</f>
        <v/>
      </c>
      <c r="O134" s="42"/>
      <c r="P134" s="29" t="str">
        <f aca="false">IF($B134="","",IFERROR(INDEX('Qualification Matrix'!$H$2:$H$168,MATCH($B134,'Qualification Matrix'!$A$2:$A$168,0)),""))</f>
        <v/>
      </c>
      <c r="Q134" s="43" t="str">
        <f aca="false">IF($B134="","",SUMIFS('Rotation History'!$M$2:$M$1000,'Rotation History'!$B$2:$B$1000,$B134,'Rotation History'!$A$2:$A$1000,"&gt;="&amp;($B$2-30),'Rotation History'!$A$2:$A$1000,"&lt;"&amp;$B$2))</f>
        <v/>
      </c>
      <c r="R134" s="43" t="str">
        <f aca="false">IF($B134="","",COUNTIFS('Rotation History'!$B$2:$B$1000,$B134,'Rotation History'!$M$2:$M$1000,"&gt;0",'Rotation History'!$A$2:$A$1000,"&gt;="&amp;($B$2-30),'Rotation History'!$A$2:$A$1000,"&lt;"&amp;$B$2))</f>
        <v/>
      </c>
      <c r="S134" s="43" t="str">
        <f aca="false">IF($B134="","",IF(COUNTIFS('Rotation History'!$B$2:$B$1000,$B134,'Rotation History'!$A$2:$A$1000,$B$2-1,'Rotation History'!$M$2:$M$1000,"&gt;0")=0,0,1+IF(COUNTIFS('Rotation History'!$B$2:$B$1000,$B134,'Rotation History'!$A$2:$A$1000,$B$2-2,'Rotation History'!$M$2:$M$1000,"&gt;0")=0,0,1+IF(COUNTIFS('Rotation History'!$B$2:$B$1000,$B134,'Rotation History'!$A$2:$A$1000,$B$2-3,'Rotation History'!$M$2:$M$1000,"&gt;0")=0,0,1+IF(COUNTIFS('Rotation History'!$B$2:$B$1000,$B134,'Rotation History'!$A$2:$A$1000,$B$2-4,'Rotation History'!$M$2:$M$1000,"&gt;0")=0,0,1)))))</f>
        <v/>
      </c>
      <c r="T134" s="43" t="str">
        <f aca="false">IF($B134="","",COUNTIFS('Rotation History'!$B$2:$B$1000,$B134,'Rotation History'!$K$2:$K$1000,"Opening",'Rotation History'!$A$2:$A$1000,"&gt;="&amp;($B$2-30),'Rotation History'!$A$2:$A$1000,"&lt;"&amp;$B$2))</f>
        <v/>
      </c>
      <c r="U134" s="43" t="str">
        <f aca="false">IF($B134="","",COUNTIFS('Rotation History'!$B$2:$B$1000,$B134,'Rotation History'!$K$2:$K$1000,"Lunch Relief",'Rotation History'!$A$2:$A$1000,"&gt;="&amp;($B$2-30),'Rotation History'!$A$2:$A$1000,"&lt;"&amp;$B$2))</f>
        <v/>
      </c>
      <c r="V134" s="44" t="str">
        <f aca="false">IF($B134="","",$Q134*10+$R134*2+$S134*20+$T134*3+$U134)</f>
        <v/>
      </c>
    </row>
    <row r="135" customFormat="false" ht="14.25" hidden="false" customHeight="true" outlineLevel="0" collapsed="false">
      <c r="A135" s="40" t="str">
        <f aca="false">IF($B135="","",$B$2)</f>
        <v/>
      </c>
      <c r="B135" s="1" t="str">
        <f aca="false">IF($B$2="","",IFERROR(INDEX('Employee Master'!$A$2:$A$159,MATCH(ROWS($B$6:B135),Lists!$P$2:$P$159,0)),""))</f>
        <v/>
      </c>
      <c r="C135" s="1" t="str">
        <f aca="false">IF($B135="","",IFERROR(INDEX('Employee Master'!$B$2:$B$159,MATCH($B135,'Employee Master'!$A$2:$A$159,0)),""))</f>
        <v/>
      </c>
      <c r="D135" s="1" t="str">
        <f aca="false">IF($B135="","",IFERROR(INDEX('Employee Master'!$C$2:$C$159,MATCH($B135,'Employee Master'!$A$2:$A$159,0)),""))</f>
        <v/>
      </c>
      <c r="E135" s="1" t="str">
        <f aca="false">IF($B135="","",IFERROR(INDEX('Employee Master'!$I$2:$I$159,MATCH($B135,'Employee Master'!$A$2:$A$159,0)),""))</f>
        <v/>
      </c>
      <c r="F135" s="29" t="str">
        <f aca="false">IF($B135="","",IFERROR(INDEX('Employee Master'!$E$2:$E$159,MATCH($B135,'Employee Master'!$A$2:$A$159,0)),""))</f>
        <v/>
      </c>
      <c r="G135" s="29" t="str">
        <f aca="false">IF($B135="","",IFERROR(INDEX('Employee Master'!$F$2:$F$159,MATCH($B135,'Employee Master'!$A$2:$A$159,0)),""))</f>
        <v/>
      </c>
      <c r="H135" s="41" t="str">
        <f aca="false">IF($B135="","","Present")</f>
        <v/>
      </c>
      <c r="I135" s="1" t="str">
        <f aca="false">IF($B135="","",IFERROR(INDEX('Employee Master'!$H$2:$H$159,MATCH($B135,'Employee Master'!$A$2:$A$159,0)),""))</f>
        <v/>
      </c>
      <c r="J135" s="29" t="str">
        <f aca="false">IF($B135="","",IFERROR(INDEX('Qualification Matrix'!$C$2:$C$168,MATCH($B135,'Qualification Matrix'!$A$2:$A$168,0)),2))</f>
        <v/>
      </c>
      <c r="K135" s="29" t="str">
        <f aca="false">IF($B135="","",IFERROR(INDEX('Qualification Matrix'!$D$2:$D$168,MATCH($B135,'Qualification Matrix'!$A$2:$A$168,0)),2))</f>
        <v/>
      </c>
      <c r="L135" s="29" t="str">
        <f aca="false">IF($B135="","",IFERROR(INDEX('Qualification Matrix'!$E$2:$E$168,MATCH($B135,'Qualification Matrix'!$A$2:$A$168,0)),2))</f>
        <v/>
      </c>
      <c r="M135" s="29" t="str">
        <f aca="false">IF($B135="","",IFERROR(INDEX('Qualification Matrix'!$F$2:$F$168,MATCH($B135,'Qualification Matrix'!$A$2:$A$168,0)),2))</f>
        <v/>
      </c>
      <c r="N135" s="29" t="str">
        <f aca="false">IF($B135="","",IF(AND($H135="Present",$F135&lt;&gt;"Y"),"Y","N"))</f>
        <v/>
      </c>
      <c r="O135" s="42"/>
      <c r="P135" s="29" t="str">
        <f aca="false">IF($B135="","",IFERROR(INDEX('Qualification Matrix'!$H$2:$H$168,MATCH($B135,'Qualification Matrix'!$A$2:$A$168,0)),""))</f>
        <v/>
      </c>
      <c r="Q135" s="43" t="str">
        <f aca="false">IF($B135="","",SUMIFS('Rotation History'!$M$2:$M$1000,'Rotation History'!$B$2:$B$1000,$B135,'Rotation History'!$A$2:$A$1000,"&gt;="&amp;($B$2-30),'Rotation History'!$A$2:$A$1000,"&lt;"&amp;$B$2))</f>
        <v/>
      </c>
      <c r="R135" s="43" t="str">
        <f aca="false">IF($B135="","",COUNTIFS('Rotation History'!$B$2:$B$1000,$B135,'Rotation History'!$M$2:$M$1000,"&gt;0",'Rotation History'!$A$2:$A$1000,"&gt;="&amp;($B$2-30),'Rotation History'!$A$2:$A$1000,"&lt;"&amp;$B$2))</f>
        <v/>
      </c>
      <c r="S135" s="43" t="str">
        <f aca="false">IF($B135="","",IF(COUNTIFS('Rotation History'!$B$2:$B$1000,$B135,'Rotation History'!$A$2:$A$1000,$B$2-1,'Rotation History'!$M$2:$M$1000,"&gt;0")=0,0,1+IF(COUNTIFS('Rotation History'!$B$2:$B$1000,$B135,'Rotation History'!$A$2:$A$1000,$B$2-2,'Rotation History'!$M$2:$M$1000,"&gt;0")=0,0,1+IF(COUNTIFS('Rotation History'!$B$2:$B$1000,$B135,'Rotation History'!$A$2:$A$1000,$B$2-3,'Rotation History'!$M$2:$M$1000,"&gt;0")=0,0,1+IF(COUNTIFS('Rotation History'!$B$2:$B$1000,$B135,'Rotation History'!$A$2:$A$1000,$B$2-4,'Rotation History'!$M$2:$M$1000,"&gt;0")=0,0,1)))))</f>
        <v/>
      </c>
      <c r="T135" s="43" t="str">
        <f aca="false">IF($B135="","",COUNTIFS('Rotation History'!$B$2:$B$1000,$B135,'Rotation History'!$K$2:$K$1000,"Opening",'Rotation History'!$A$2:$A$1000,"&gt;="&amp;($B$2-30),'Rotation History'!$A$2:$A$1000,"&lt;"&amp;$B$2))</f>
        <v/>
      </c>
      <c r="U135" s="43" t="str">
        <f aca="false">IF($B135="","",COUNTIFS('Rotation History'!$B$2:$B$1000,$B135,'Rotation History'!$K$2:$K$1000,"Lunch Relief",'Rotation History'!$A$2:$A$1000,"&gt;="&amp;($B$2-30),'Rotation History'!$A$2:$A$1000,"&lt;"&amp;$B$2))</f>
        <v/>
      </c>
      <c r="V135" s="44" t="str">
        <f aca="false">IF($B135="","",$Q135*10+$R135*2+$S135*20+$T135*3+$U135)</f>
        <v/>
      </c>
    </row>
    <row r="136" customFormat="false" ht="14.25" hidden="false" customHeight="true" outlineLevel="0" collapsed="false">
      <c r="A136" s="40" t="str">
        <f aca="false">IF($B136="","",$B$2)</f>
        <v/>
      </c>
      <c r="B136" s="1" t="str">
        <f aca="false">IF($B$2="","",IFERROR(INDEX('Employee Master'!$A$2:$A$159,MATCH(ROWS($B$6:B136),Lists!$P$2:$P$159,0)),""))</f>
        <v/>
      </c>
      <c r="C136" s="1" t="str">
        <f aca="false">IF($B136="","",IFERROR(INDEX('Employee Master'!$B$2:$B$159,MATCH($B136,'Employee Master'!$A$2:$A$159,0)),""))</f>
        <v/>
      </c>
      <c r="D136" s="1" t="str">
        <f aca="false">IF($B136="","",IFERROR(INDEX('Employee Master'!$C$2:$C$159,MATCH($B136,'Employee Master'!$A$2:$A$159,0)),""))</f>
        <v/>
      </c>
      <c r="E136" s="1" t="str">
        <f aca="false">IF($B136="","",IFERROR(INDEX('Employee Master'!$I$2:$I$159,MATCH($B136,'Employee Master'!$A$2:$A$159,0)),""))</f>
        <v/>
      </c>
      <c r="F136" s="29" t="str">
        <f aca="false">IF($B136="","",IFERROR(INDEX('Employee Master'!$E$2:$E$159,MATCH($B136,'Employee Master'!$A$2:$A$159,0)),""))</f>
        <v/>
      </c>
      <c r="G136" s="29" t="str">
        <f aca="false">IF($B136="","",IFERROR(INDEX('Employee Master'!$F$2:$F$159,MATCH($B136,'Employee Master'!$A$2:$A$159,0)),""))</f>
        <v/>
      </c>
      <c r="H136" s="41" t="str">
        <f aca="false">IF($B136="","","Present")</f>
        <v/>
      </c>
      <c r="I136" s="1" t="str">
        <f aca="false">IF($B136="","",IFERROR(INDEX('Employee Master'!$H$2:$H$159,MATCH($B136,'Employee Master'!$A$2:$A$159,0)),""))</f>
        <v/>
      </c>
      <c r="J136" s="29" t="str">
        <f aca="false">IF($B136="","",IFERROR(INDEX('Qualification Matrix'!$C$2:$C$168,MATCH($B136,'Qualification Matrix'!$A$2:$A$168,0)),2))</f>
        <v/>
      </c>
      <c r="K136" s="29" t="str">
        <f aca="false">IF($B136="","",IFERROR(INDEX('Qualification Matrix'!$D$2:$D$168,MATCH($B136,'Qualification Matrix'!$A$2:$A$168,0)),2))</f>
        <v/>
      </c>
      <c r="L136" s="29" t="str">
        <f aca="false">IF($B136="","",IFERROR(INDEX('Qualification Matrix'!$E$2:$E$168,MATCH($B136,'Qualification Matrix'!$A$2:$A$168,0)),2))</f>
        <v/>
      </c>
      <c r="M136" s="29" t="str">
        <f aca="false">IF($B136="","",IFERROR(INDEX('Qualification Matrix'!$F$2:$F$168,MATCH($B136,'Qualification Matrix'!$A$2:$A$168,0)),2))</f>
        <v/>
      </c>
      <c r="N136" s="29" t="str">
        <f aca="false">IF($B136="","",IF(AND($H136="Present",$F136&lt;&gt;"Y"),"Y","N"))</f>
        <v/>
      </c>
      <c r="O136" s="42"/>
      <c r="P136" s="29" t="str">
        <f aca="false">IF($B136="","",IFERROR(INDEX('Qualification Matrix'!$H$2:$H$168,MATCH($B136,'Qualification Matrix'!$A$2:$A$168,0)),""))</f>
        <v/>
      </c>
      <c r="Q136" s="43" t="str">
        <f aca="false">IF($B136="","",SUMIFS('Rotation History'!$M$2:$M$1000,'Rotation History'!$B$2:$B$1000,$B136,'Rotation History'!$A$2:$A$1000,"&gt;="&amp;($B$2-30),'Rotation History'!$A$2:$A$1000,"&lt;"&amp;$B$2))</f>
        <v/>
      </c>
      <c r="R136" s="43" t="str">
        <f aca="false">IF($B136="","",COUNTIFS('Rotation History'!$B$2:$B$1000,$B136,'Rotation History'!$M$2:$M$1000,"&gt;0",'Rotation History'!$A$2:$A$1000,"&gt;="&amp;($B$2-30),'Rotation History'!$A$2:$A$1000,"&lt;"&amp;$B$2))</f>
        <v/>
      </c>
      <c r="S136" s="43" t="str">
        <f aca="false">IF($B136="","",IF(COUNTIFS('Rotation History'!$B$2:$B$1000,$B136,'Rotation History'!$A$2:$A$1000,$B$2-1,'Rotation History'!$M$2:$M$1000,"&gt;0")=0,0,1+IF(COUNTIFS('Rotation History'!$B$2:$B$1000,$B136,'Rotation History'!$A$2:$A$1000,$B$2-2,'Rotation History'!$M$2:$M$1000,"&gt;0")=0,0,1+IF(COUNTIFS('Rotation History'!$B$2:$B$1000,$B136,'Rotation History'!$A$2:$A$1000,$B$2-3,'Rotation History'!$M$2:$M$1000,"&gt;0")=0,0,1+IF(COUNTIFS('Rotation History'!$B$2:$B$1000,$B136,'Rotation History'!$A$2:$A$1000,$B$2-4,'Rotation History'!$M$2:$M$1000,"&gt;0")=0,0,1)))))</f>
        <v/>
      </c>
      <c r="T136" s="43" t="str">
        <f aca="false">IF($B136="","",COUNTIFS('Rotation History'!$B$2:$B$1000,$B136,'Rotation History'!$K$2:$K$1000,"Opening",'Rotation History'!$A$2:$A$1000,"&gt;="&amp;($B$2-30),'Rotation History'!$A$2:$A$1000,"&lt;"&amp;$B$2))</f>
        <v/>
      </c>
      <c r="U136" s="43" t="str">
        <f aca="false">IF($B136="","",COUNTIFS('Rotation History'!$B$2:$B$1000,$B136,'Rotation History'!$K$2:$K$1000,"Lunch Relief",'Rotation History'!$A$2:$A$1000,"&gt;="&amp;($B$2-30),'Rotation History'!$A$2:$A$1000,"&lt;"&amp;$B$2))</f>
        <v/>
      </c>
      <c r="V136" s="44" t="str">
        <f aca="false">IF($B136="","",$Q136*10+$R136*2+$S136*20+$T136*3+$U136)</f>
        <v/>
      </c>
    </row>
    <row r="137" customFormat="false" ht="14.25" hidden="false" customHeight="true" outlineLevel="0" collapsed="false">
      <c r="A137" s="40" t="str">
        <f aca="false">IF($B137="","",$B$2)</f>
        <v/>
      </c>
      <c r="B137" s="1" t="str">
        <f aca="false">IF($B$2="","",IFERROR(INDEX('Employee Master'!$A$2:$A$159,MATCH(ROWS($B$6:B137),Lists!$P$2:$P$159,0)),""))</f>
        <v/>
      </c>
      <c r="C137" s="1" t="str">
        <f aca="false">IF($B137="","",IFERROR(INDEX('Employee Master'!$B$2:$B$159,MATCH($B137,'Employee Master'!$A$2:$A$159,0)),""))</f>
        <v/>
      </c>
      <c r="D137" s="1" t="str">
        <f aca="false">IF($B137="","",IFERROR(INDEX('Employee Master'!$C$2:$C$159,MATCH($B137,'Employee Master'!$A$2:$A$159,0)),""))</f>
        <v/>
      </c>
      <c r="E137" s="1" t="str">
        <f aca="false">IF($B137="","",IFERROR(INDEX('Employee Master'!$I$2:$I$159,MATCH($B137,'Employee Master'!$A$2:$A$159,0)),""))</f>
        <v/>
      </c>
      <c r="F137" s="29" t="str">
        <f aca="false">IF($B137="","",IFERROR(INDEX('Employee Master'!$E$2:$E$159,MATCH($B137,'Employee Master'!$A$2:$A$159,0)),""))</f>
        <v/>
      </c>
      <c r="G137" s="29" t="str">
        <f aca="false">IF($B137="","",IFERROR(INDEX('Employee Master'!$F$2:$F$159,MATCH($B137,'Employee Master'!$A$2:$A$159,0)),""))</f>
        <v/>
      </c>
      <c r="H137" s="41" t="str">
        <f aca="false">IF($B137="","","Present")</f>
        <v/>
      </c>
      <c r="I137" s="1" t="str">
        <f aca="false">IF($B137="","",IFERROR(INDEX('Employee Master'!$H$2:$H$159,MATCH($B137,'Employee Master'!$A$2:$A$159,0)),""))</f>
        <v/>
      </c>
      <c r="J137" s="29" t="str">
        <f aca="false">IF($B137="","",IFERROR(INDEX('Qualification Matrix'!$C$2:$C$168,MATCH($B137,'Qualification Matrix'!$A$2:$A$168,0)),2))</f>
        <v/>
      </c>
      <c r="K137" s="29" t="str">
        <f aca="false">IF($B137="","",IFERROR(INDEX('Qualification Matrix'!$D$2:$D$168,MATCH($B137,'Qualification Matrix'!$A$2:$A$168,0)),2))</f>
        <v/>
      </c>
      <c r="L137" s="29" t="str">
        <f aca="false">IF($B137="","",IFERROR(INDEX('Qualification Matrix'!$E$2:$E$168,MATCH($B137,'Qualification Matrix'!$A$2:$A$168,0)),2))</f>
        <v/>
      </c>
      <c r="M137" s="29" t="str">
        <f aca="false">IF($B137="","",IFERROR(INDEX('Qualification Matrix'!$F$2:$F$168,MATCH($B137,'Qualification Matrix'!$A$2:$A$168,0)),2))</f>
        <v/>
      </c>
      <c r="N137" s="29" t="str">
        <f aca="false">IF($B137="","",IF(AND($H137="Present",$F137&lt;&gt;"Y"),"Y","N"))</f>
        <v/>
      </c>
      <c r="O137" s="42"/>
      <c r="P137" s="29" t="str">
        <f aca="false">IF($B137="","",IFERROR(INDEX('Qualification Matrix'!$H$2:$H$168,MATCH($B137,'Qualification Matrix'!$A$2:$A$168,0)),""))</f>
        <v/>
      </c>
      <c r="Q137" s="43" t="str">
        <f aca="false">IF($B137="","",SUMIFS('Rotation History'!$M$2:$M$1000,'Rotation History'!$B$2:$B$1000,$B137,'Rotation History'!$A$2:$A$1000,"&gt;="&amp;($B$2-30),'Rotation History'!$A$2:$A$1000,"&lt;"&amp;$B$2))</f>
        <v/>
      </c>
      <c r="R137" s="43" t="str">
        <f aca="false">IF($B137="","",COUNTIFS('Rotation History'!$B$2:$B$1000,$B137,'Rotation History'!$M$2:$M$1000,"&gt;0",'Rotation History'!$A$2:$A$1000,"&gt;="&amp;($B$2-30),'Rotation History'!$A$2:$A$1000,"&lt;"&amp;$B$2))</f>
        <v/>
      </c>
      <c r="S137" s="43" t="str">
        <f aca="false">IF($B137="","",IF(COUNTIFS('Rotation History'!$B$2:$B$1000,$B137,'Rotation History'!$A$2:$A$1000,$B$2-1,'Rotation History'!$M$2:$M$1000,"&gt;0")=0,0,1+IF(COUNTIFS('Rotation History'!$B$2:$B$1000,$B137,'Rotation History'!$A$2:$A$1000,$B$2-2,'Rotation History'!$M$2:$M$1000,"&gt;0")=0,0,1+IF(COUNTIFS('Rotation History'!$B$2:$B$1000,$B137,'Rotation History'!$A$2:$A$1000,$B$2-3,'Rotation History'!$M$2:$M$1000,"&gt;0")=0,0,1+IF(COUNTIFS('Rotation History'!$B$2:$B$1000,$B137,'Rotation History'!$A$2:$A$1000,$B$2-4,'Rotation History'!$M$2:$M$1000,"&gt;0")=0,0,1)))))</f>
        <v/>
      </c>
      <c r="T137" s="43" t="str">
        <f aca="false">IF($B137="","",COUNTIFS('Rotation History'!$B$2:$B$1000,$B137,'Rotation History'!$K$2:$K$1000,"Opening",'Rotation History'!$A$2:$A$1000,"&gt;="&amp;($B$2-30),'Rotation History'!$A$2:$A$1000,"&lt;"&amp;$B$2))</f>
        <v/>
      </c>
      <c r="U137" s="43" t="str">
        <f aca="false">IF($B137="","",COUNTIFS('Rotation History'!$B$2:$B$1000,$B137,'Rotation History'!$K$2:$K$1000,"Lunch Relief",'Rotation History'!$A$2:$A$1000,"&gt;="&amp;($B$2-30),'Rotation History'!$A$2:$A$1000,"&lt;"&amp;$B$2))</f>
        <v/>
      </c>
      <c r="V137" s="44" t="str">
        <f aca="false">IF($B137="","",$Q137*10+$R137*2+$S137*20+$T137*3+$U137)</f>
        <v/>
      </c>
    </row>
    <row r="138" customFormat="false" ht="14.25" hidden="false" customHeight="true" outlineLevel="0" collapsed="false">
      <c r="A138" s="40" t="str">
        <f aca="false">IF($B138="","",$B$2)</f>
        <v/>
      </c>
      <c r="B138" s="1" t="str">
        <f aca="false">IF($B$2="","",IFERROR(INDEX('Employee Master'!$A$2:$A$159,MATCH(ROWS($B$6:B138),Lists!$P$2:$P$159,0)),""))</f>
        <v/>
      </c>
      <c r="C138" s="1" t="str">
        <f aca="false">IF($B138="","",IFERROR(INDEX('Employee Master'!$B$2:$B$159,MATCH($B138,'Employee Master'!$A$2:$A$159,0)),""))</f>
        <v/>
      </c>
      <c r="D138" s="1" t="str">
        <f aca="false">IF($B138="","",IFERROR(INDEX('Employee Master'!$C$2:$C$159,MATCH($B138,'Employee Master'!$A$2:$A$159,0)),""))</f>
        <v/>
      </c>
      <c r="E138" s="1" t="str">
        <f aca="false">IF($B138="","",IFERROR(INDEX('Employee Master'!$I$2:$I$159,MATCH($B138,'Employee Master'!$A$2:$A$159,0)),""))</f>
        <v/>
      </c>
      <c r="F138" s="29" t="str">
        <f aca="false">IF($B138="","",IFERROR(INDEX('Employee Master'!$E$2:$E$159,MATCH($B138,'Employee Master'!$A$2:$A$159,0)),""))</f>
        <v/>
      </c>
      <c r="G138" s="29" t="str">
        <f aca="false">IF($B138="","",IFERROR(INDEX('Employee Master'!$F$2:$F$159,MATCH($B138,'Employee Master'!$A$2:$A$159,0)),""))</f>
        <v/>
      </c>
      <c r="H138" s="41" t="str">
        <f aca="false">IF($B138="","","Present")</f>
        <v/>
      </c>
      <c r="I138" s="1" t="str">
        <f aca="false">IF($B138="","",IFERROR(INDEX('Employee Master'!$H$2:$H$159,MATCH($B138,'Employee Master'!$A$2:$A$159,0)),""))</f>
        <v/>
      </c>
      <c r="J138" s="29" t="str">
        <f aca="false">IF($B138="","",IFERROR(INDEX('Qualification Matrix'!$C$2:$C$168,MATCH($B138,'Qualification Matrix'!$A$2:$A$168,0)),2))</f>
        <v/>
      </c>
      <c r="K138" s="29" t="str">
        <f aca="false">IF($B138="","",IFERROR(INDEX('Qualification Matrix'!$D$2:$D$168,MATCH($B138,'Qualification Matrix'!$A$2:$A$168,0)),2))</f>
        <v/>
      </c>
      <c r="L138" s="29" t="str">
        <f aca="false">IF($B138="","",IFERROR(INDEX('Qualification Matrix'!$E$2:$E$168,MATCH($B138,'Qualification Matrix'!$A$2:$A$168,0)),2))</f>
        <v/>
      </c>
      <c r="M138" s="29" t="str">
        <f aca="false">IF($B138="","",IFERROR(INDEX('Qualification Matrix'!$F$2:$F$168,MATCH($B138,'Qualification Matrix'!$A$2:$A$168,0)),2))</f>
        <v/>
      </c>
      <c r="N138" s="29" t="str">
        <f aca="false">IF($B138="","",IF(AND($H138="Present",$F138&lt;&gt;"Y"),"Y","N"))</f>
        <v/>
      </c>
      <c r="O138" s="42"/>
      <c r="P138" s="29" t="str">
        <f aca="false">IF($B138="","",IFERROR(INDEX('Qualification Matrix'!$H$2:$H$168,MATCH($B138,'Qualification Matrix'!$A$2:$A$168,0)),""))</f>
        <v/>
      </c>
      <c r="Q138" s="43" t="str">
        <f aca="false">IF($B138="","",SUMIFS('Rotation History'!$M$2:$M$1000,'Rotation History'!$B$2:$B$1000,$B138,'Rotation History'!$A$2:$A$1000,"&gt;="&amp;($B$2-30),'Rotation History'!$A$2:$A$1000,"&lt;"&amp;$B$2))</f>
        <v/>
      </c>
      <c r="R138" s="43" t="str">
        <f aca="false">IF($B138="","",COUNTIFS('Rotation History'!$B$2:$B$1000,$B138,'Rotation History'!$M$2:$M$1000,"&gt;0",'Rotation History'!$A$2:$A$1000,"&gt;="&amp;($B$2-30),'Rotation History'!$A$2:$A$1000,"&lt;"&amp;$B$2))</f>
        <v/>
      </c>
      <c r="S138" s="43" t="str">
        <f aca="false">IF($B138="","",IF(COUNTIFS('Rotation History'!$B$2:$B$1000,$B138,'Rotation History'!$A$2:$A$1000,$B$2-1,'Rotation History'!$M$2:$M$1000,"&gt;0")=0,0,1+IF(COUNTIFS('Rotation History'!$B$2:$B$1000,$B138,'Rotation History'!$A$2:$A$1000,$B$2-2,'Rotation History'!$M$2:$M$1000,"&gt;0")=0,0,1+IF(COUNTIFS('Rotation History'!$B$2:$B$1000,$B138,'Rotation History'!$A$2:$A$1000,$B$2-3,'Rotation History'!$M$2:$M$1000,"&gt;0")=0,0,1+IF(COUNTIFS('Rotation History'!$B$2:$B$1000,$B138,'Rotation History'!$A$2:$A$1000,$B$2-4,'Rotation History'!$M$2:$M$1000,"&gt;0")=0,0,1)))))</f>
        <v/>
      </c>
      <c r="T138" s="43" t="str">
        <f aca="false">IF($B138="","",COUNTIFS('Rotation History'!$B$2:$B$1000,$B138,'Rotation History'!$K$2:$K$1000,"Opening",'Rotation History'!$A$2:$A$1000,"&gt;="&amp;($B$2-30),'Rotation History'!$A$2:$A$1000,"&lt;"&amp;$B$2))</f>
        <v/>
      </c>
      <c r="U138" s="43" t="str">
        <f aca="false">IF($B138="","",COUNTIFS('Rotation History'!$B$2:$B$1000,$B138,'Rotation History'!$K$2:$K$1000,"Lunch Relief",'Rotation History'!$A$2:$A$1000,"&gt;="&amp;($B$2-30),'Rotation History'!$A$2:$A$1000,"&lt;"&amp;$B$2))</f>
        <v/>
      </c>
      <c r="V138" s="44" t="str">
        <f aca="false">IF($B138="","",$Q138*10+$R138*2+$S138*20+$T138*3+$U138)</f>
        <v/>
      </c>
    </row>
    <row r="139" customFormat="false" ht="14.25" hidden="false" customHeight="true" outlineLevel="0" collapsed="false">
      <c r="A139" s="40" t="str">
        <f aca="false">IF($B139="","",$B$2)</f>
        <v/>
      </c>
      <c r="B139" s="1" t="str">
        <f aca="false">IF($B$2="","",IFERROR(INDEX('Employee Master'!$A$2:$A$159,MATCH(ROWS($B$6:B139),Lists!$P$2:$P$159,0)),""))</f>
        <v/>
      </c>
      <c r="C139" s="1" t="str">
        <f aca="false">IF($B139="","",IFERROR(INDEX('Employee Master'!$B$2:$B$159,MATCH($B139,'Employee Master'!$A$2:$A$159,0)),""))</f>
        <v/>
      </c>
      <c r="D139" s="1" t="str">
        <f aca="false">IF($B139="","",IFERROR(INDEX('Employee Master'!$C$2:$C$159,MATCH($B139,'Employee Master'!$A$2:$A$159,0)),""))</f>
        <v/>
      </c>
      <c r="E139" s="1" t="str">
        <f aca="false">IF($B139="","",IFERROR(INDEX('Employee Master'!$I$2:$I$159,MATCH($B139,'Employee Master'!$A$2:$A$159,0)),""))</f>
        <v/>
      </c>
      <c r="F139" s="29" t="str">
        <f aca="false">IF($B139="","",IFERROR(INDEX('Employee Master'!$E$2:$E$159,MATCH($B139,'Employee Master'!$A$2:$A$159,0)),""))</f>
        <v/>
      </c>
      <c r="G139" s="29" t="str">
        <f aca="false">IF($B139="","",IFERROR(INDEX('Employee Master'!$F$2:$F$159,MATCH($B139,'Employee Master'!$A$2:$A$159,0)),""))</f>
        <v/>
      </c>
      <c r="H139" s="41" t="str">
        <f aca="false">IF($B139="","","Present")</f>
        <v/>
      </c>
      <c r="I139" s="1" t="str">
        <f aca="false">IF($B139="","",IFERROR(INDEX('Employee Master'!$H$2:$H$159,MATCH($B139,'Employee Master'!$A$2:$A$159,0)),""))</f>
        <v/>
      </c>
      <c r="J139" s="29" t="str">
        <f aca="false">IF($B139="","",IFERROR(INDEX('Qualification Matrix'!$C$2:$C$168,MATCH($B139,'Qualification Matrix'!$A$2:$A$168,0)),2))</f>
        <v/>
      </c>
      <c r="K139" s="29" t="str">
        <f aca="false">IF($B139="","",IFERROR(INDEX('Qualification Matrix'!$D$2:$D$168,MATCH($B139,'Qualification Matrix'!$A$2:$A$168,0)),2))</f>
        <v/>
      </c>
      <c r="L139" s="29" t="str">
        <f aca="false">IF($B139="","",IFERROR(INDEX('Qualification Matrix'!$E$2:$E$168,MATCH($B139,'Qualification Matrix'!$A$2:$A$168,0)),2))</f>
        <v/>
      </c>
      <c r="M139" s="29" t="str">
        <f aca="false">IF($B139="","",IFERROR(INDEX('Qualification Matrix'!$F$2:$F$168,MATCH($B139,'Qualification Matrix'!$A$2:$A$168,0)),2))</f>
        <v/>
      </c>
      <c r="N139" s="29" t="str">
        <f aca="false">IF($B139="","",IF(AND($H139="Present",$F139&lt;&gt;"Y"),"Y","N"))</f>
        <v/>
      </c>
      <c r="O139" s="42"/>
      <c r="P139" s="29" t="str">
        <f aca="false">IF($B139="","",IFERROR(INDEX('Qualification Matrix'!$H$2:$H$168,MATCH($B139,'Qualification Matrix'!$A$2:$A$168,0)),""))</f>
        <v/>
      </c>
      <c r="Q139" s="43" t="str">
        <f aca="false">IF($B139="","",SUMIFS('Rotation History'!$M$2:$M$1000,'Rotation History'!$B$2:$B$1000,$B139,'Rotation History'!$A$2:$A$1000,"&gt;="&amp;($B$2-30),'Rotation History'!$A$2:$A$1000,"&lt;"&amp;$B$2))</f>
        <v/>
      </c>
      <c r="R139" s="43" t="str">
        <f aca="false">IF($B139="","",COUNTIFS('Rotation History'!$B$2:$B$1000,$B139,'Rotation History'!$M$2:$M$1000,"&gt;0",'Rotation History'!$A$2:$A$1000,"&gt;="&amp;($B$2-30),'Rotation History'!$A$2:$A$1000,"&lt;"&amp;$B$2))</f>
        <v/>
      </c>
      <c r="S139" s="43" t="str">
        <f aca="false">IF($B139="","",IF(COUNTIFS('Rotation History'!$B$2:$B$1000,$B139,'Rotation History'!$A$2:$A$1000,$B$2-1,'Rotation History'!$M$2:$M$1000,"&gt;0")=0,0,1+IF(COUNTIFS('Rotation History'!$B$2:$B$1000,$B139,'Rotation History'!$A$2:$A$1000,$B$2-2,'Rotation History'!$M$2:$M$1000,"&gt;0")=0,0,1+IF(COUNTIFS('Rotation History'!$B$2:$B$1000,$B139,'Rotation History'!$A$2:$A$1000,$B$2-3,'Rotation History'!$M$2:$M$1000,"&gt;0")=0,0,1+IF(COUNTIFS('Rotation History'!$B$2:$B$1000,$B139,'Rotation History'!$A$2:$A$1000,$B$2-4,'Rotation History'!$M$2:$M$1000,"&gt;0")=0,0,1)))))</f>
        <v/>
      </c>
      <c r="T139" s="43" t="str">
        <f aca="false">IF($B139="","",COUNTIFS('Rotation History'!$B$2:$B$1000,$B139,'Rotation History'!$K$2:$K$1000,"Opening",'Rotation History'!$A$2:$A$1000,"&gt;="&amp;($B$2-30),'Rotation History'!$A$2:$A$1000,"&lt;"&amp;$B$2))</f>
        <v/>
      </c>
      <c r="U139" s="43" t="str">
        <f aca="false">IF($B139="","",COUNTIFS('Rotation History'!$B$2:$B$1000,$B139,'Rotation History'!$K$2:$K$1000,"Lunch Relief",'Rotation History'!$A$2:$A$1000,"&gt;="&amp;($B$2-30),'Rotation History'!$A$2:$A$1000,"&lt;"&amp;$B$2))</f>
        <v/>
      </c>
      <c r="V139" s="44" t="str">
        <f aca="false">IF($B139="","",$Q139*10+$R139*2+$S139*20+$T139*3+$U139)</f>
        <v/>
      </c>
    </row>
    <row r="140" customFormat="false" ht="14.25" hidden="false" customHeight="true" outlineLevel="0" collapsed="false">
      <c r="A140" s="40" t="str">
        <f aca="false">IF($B140="","",$B$2)</f>
        <v/>
      </c>
      <c r="B140" s="1" t="str">
        <f aca="false">IF($B$2="","",IFERROR(INDEX('Employee Master'!$A$2:$A$159,MATCH(ROWS($B$6:B140),Lists!$P$2:$P$159,0)),""))</f>
        <v/>
      </c>
      <c r="C140" s="1" t="str">
        <f aca="false">IF($B140="","",IFERROR(INDEX('Employee Master'!$B$2:$B$159,MATCH($B140,'Employee Master'!$A$2:$A$159,0)),""))</f>
        <v/>
      </c>
      <c r="D140" s="1" t="str">
        <f aca="false">IF($B140="","",IFERROR(INDEX('Employee Master'!$C$2:$C$159,MATCH($B140,'Employee Master'!$A$2:$A$159,0)),""))</f>
        <v/>
      </c>
      <c r="E140" s="1" t="str">
        <f aca="false">IF($B140="","",IFERROR(INDEX('Employee Master'!$I$2:$I$159,MATCH($B140,'Employee Master'!$A$2:$A$159,0)),""))</f>
        <v/>
      </c>
      <c r="F140" s="29" t="str">
        <f aca="false">IF($B140="","",IFERROR(INDEX('Employee Master'!$E$2:$E$159,MATCH($B140,'Employee Master'!$A$2:$A$159,0)),""))</f>
        <v/>
      </c>
      <c r="G140" s="29" t="str">
        <f aca="false">IF($B140="","",IFERROR(INDEX('Employee Master'!$F$2:$F$159,MATCH($B140,'Employee Master'!$A$2:$A$159,0)),""))</f>
        <v/>
      </c>
      <c r="H140" s="41" t="str">
        <f aca="false">IF($B140="","","Present")</f>
        <v/>
      </c>
      <c r="I140" s="1" t="str">
        <f aca="false">IF($B140="","",IFERROR(INDEX('Employee Master'!$H$2:$H$159,MATCH($B140,'Employee Master'!$A$2:$A$159,0)),""))</f>
        <v/>
      </c>
      <c r="J140" s="29" t="str">
        <f aca="false">IF($B140="","",IFERROR(INDEX('Qualification Matrix'!$C$2:$C$168,MATCH($B140,'Qualification Matrix'!$A$2:$A$168,0)),2))</f>
        <v/>
      </c>
      <c r="K140" s="29" t="str">
        <f aca="false">IF($B140="","",IFERROR(INDEX('Qualification Matrix'!$D$2:$D$168,MATCH($B140,'Qualification Matrix'!$A$2:$A$168,0)),2))</f>
        <v/>
      </c>
      <c r="L140" s="29" t="str">
        <f aca="false">IF($B140="","",IFERROR(INDEX('Qualification Matrix'!$E$2:$E$168,MATCH($B140,'Qualification Matrix'!$A$2:$A$168,0)),2))</f>
        <v/>
      </c>
      <c r="M140" s="29" t="str">
        <f aca="false">IF($B140="","",IFERROR(INDEX('Qualification Matrix'!$F$2:$F$168,MATCH($B140,'Qualification Matrix'!$A$2:$A$168,0)),2))</f>
        <v/>
      </c>
      <c r="N140" s="29" t="str">
        <f aca="false">IF($B140="","",IF(AND($H140="Present",$F140&lt;&gt;"Y"),"Y","N"))</f>
        <v/>
      </c>
      <c r="O140" s="42"/>
      <c r="P140" s="29" t="str">
        <f aca="false">IF($B140="","",IFERROR(INDEX('Qualification Matrix'!$H$2:$H$168,MATCH($B140,'Qualification Matrix'!$A$2:$A$168,0)),""))</f>
        <v/>
      </c>
      <c r="Q140" s="43" t="str">
        <f aca="false">IF($B140="","",SUMIFS('Rotation History'!$M$2:$M$1000,'Rotation History'!$B$2:$B$1000,$B140,'Rotation History'!$A$2:$A$1000,"&gt;="&amp;($B$2-30),'Rotation History'!$A$2:$A$1000,"&lt;"&amp;$B$2))</f>
        <v/>
      </c>
      <c r="R140" s="43" t="str">
        <f aca="false">IF($B140="","",COUNTIFS('Rotation History'!$B$2:$B$1000,$B140,'Rotation History'!$M$2:$M$1000,"&gt;0",'Rotation History'!$A$2:$A$1000,"&gt;="&amp;($B$2-30),'Rotation History'!$A$2:$A$1000,"&lt;"&amp;$B$2))</f>
        <v/>
      </c>
      <c r="S140" s="43" t="str">
        <f aca="false">IF($B140="","",IF(COUNTIFS('Rotation History'!$B$2:$B$1000,$B140,'Rotation History'!$A$2:$A$1000,$B$2-1,'Rotation History'!$M$2:$M$1000,"&gt;0")=0,0,1+IF(COUNTIFS('Rotation History'!$B$2:$B$1000,$B140,'Rotation History'!$A$2:$A$1000,$B$2-2,'Rotation History'!$M$2:$M$1000,"&gt;0")=0,0,1+IF(COUNTIFS('Rotation History'!$B$2:$B$1000,$B140,'Rotation History'!$A$2:$A$1000,$B$2-3,'Rotation History'!$M$2:$M$1000,"&gt;0")=0,0,1+IF(COUNTIFS('Rotation History'!$B$2:$B$1000,$B140,'Rotation History'!$A$2:$A$1000,$B$2-4,'Rotation History'!$M$2:$M$1000,"&gt;0")=0,0,1)))))</f>
        <v/>
      </c>
      <c r="T140" s="43" t="str">
        <f aca="false">IF($B140="","",COUNTIFS('Rotation History'!$B$2:$B$1000,$B140,'Rotation History'!$K$2:$K$1000,"Opening",'Rotation History'!$A$2:$A$1000,"&gt;="&amp;($B$2-30),'Rotation History'!$A$2:$A$1000,"&lt;"&amp;$B$2))</f>
        <v/>
      </c>
      <c r="U140" s="43" t="str">
        <f aca="false">IF($B140="","",COUNTIFS('Rotation History'!$B$2:$B$1000,$B140,'Rotation History'!$K$2:$K$1000,"Lunch Relief",'Rotation History'!$A$2:$A$1000,"&gt;="&amp;($B$2-30),'Rotation History'!$A$2:$A$1000,"&lt;"&amp;$B$2))</f>
        <v/>
      </c>
      <c r="V140" s="44" t="str">
        <f aca="false">IF($B140="","",$Q140*10+$R140*2+$S140*20+$T140*3+$U140)</f>
        <v/>
      </c>
    </row>
    <row r="141" customFormat="false" ht="14.25" hidden="false" customHeight="true" outlineLevel="0" collapsed="false">
      <c r="A141" s="40" t="str">
        <f aca="false">IF($B141="","",$B$2)</f>
        <v/>
      </c>
      <c r="B141" s="1" t="str">
        <f aca="false">IF($B$2="","",IFERROR(INDEX('Employee Master'!$A$2:$A$159,MATCH(ROWS($B$6:B141),Lists!$P$2:$P$159,0)),""))</f>
        <v/>
      </c>
      <c r="C141" s="1" t="str">
        <f aca="false">IF($B141="","",IFERROR(INDEX('Employee Master'!$B$2:$B$159,MATCH($B141,'Employee Master'!$A$2:$A$159,0)),""))</f>
        <v/>
      </c>
      <c r="D141" s="1" t="str">
        <f aca="false">IF($B141="","",IFERROR(INDEX('Employee Master'!$C$2:$C$159,MATCH($B141,'Employee Master'!$A$2:$A$159,0)),""))</f>
        <v/>
      </c>
      <c r="E141" s="1" t="str">
        <f aca="false">IF($B141="","",IFERROR(INDEX('Employee Master'!$I$2:$I$159,MATCH($B141,'Employee Master'!$A$2:$A$159,0)),""))</f>
        <v/>
      </c>
      <c r="F141" s="29" t="str">
        <f aca="false">IF($B141="","",IFERROR(INDEX('Employee Master'!$E$2:$E$159,MATCH($B141,'Employee Master'!$A$2:$A$159,0)),""))</f>
        <v/>
      </c>
      <c r="G141" s="29" t="str">
        <f aca="false">IF($B141="","",IFERROR(INDEX('Employee Master'!$F$2:$F$159,MATCH($B141,'Employee Master'!$A$2:$A$159,0)),""))</f>
        <v/>
      </c>
      <c r="H141" s="41" t="str">
        <f aca="false">IF($B141="","","Present")</f>
        <v/>
      </c>
      <c r="I141" s="1" t="str">
        <f aca="false">IF($B141="","",IFERROR(INDEX('Employee Master'!$H$2:$H$159,MATCH($B141,'Employee Master'!$A$2:$A$159,0)),""))</f>
        <v/>
      </c>
      <c r="J141" s="29" t="str">
        <f aca="false">IF($B141="","",IFERROR(INDEX('Qualification Matrix'!$C$2:$C$168,MATCH($B141,'Qualification Matrix'!$A$2:$A$168,0)),2))</f>
        <v/>
      </c>
      <c r="K141" s="29" t="str">
        <f aca="false">IF($B141="","",IFERROR(INDEX('Qualification Matrix'!$D$2:$D$168,MATCH($B141,'Qualification Matrix'!$A$2:$A$168,0)),2))</f>
        <v/>
      </c>
      <c r="L141" s="29" t="str">
        <f aca="false">IF($B141="","",IFERROR(INDEX('Qualification Matrix'!$E$2:$E$168,MATCH($B141,'Qualification Matrix'!$A$2:$A$168,0)),2))</f>
        <v/>
      </c>
      <c r="M141" s="29" t="str">
        <f aca="false">IF($B141="","",IFERROR(INDEX('Qualification Matrix'!$F$2:$F$168,MATCH($B141,'Qualification Matrix'!$A$2:$A$168,0)),2))</f>
        <v/>
      </c>
      <c r="N141" s="29" t="str">
        <f aca="false">IF($B141="","",IF(AND($H141="Present",$F141&lt;&gt;"Y"),"Y","N"))</f>
        <v/>
      </c>
      <c r="O141" s="42"/>
      <c r="P141" s="29" t="str">
        <f aca="false">IF($B141="","",IFERROR(INDEX('Qualification Matrix'!$H$2:$H$168,MATCH($B141,'Qualification Matrix'!$A$2:$A$168,0)),""))</f>
        <v/>
      </c>
      <c r="Q141" s="43" t="str">
        <f aca="false">IF($B141="","",SUMIFS('Rotation History'!$M$2:$M$1000,'Rotation History'!$B$2:$B$1000,$B141,'Rotation History'!$A$2:$A$1000,"&gt;="&amp;($B$2-30),'Rotation History'!$A$2:$A$1000,"&lt;"&amp;$B$2))</f>
        <v/>
      </c>
      <c r="R141" s="43" t="str">
        <f aca="false">IF($B141="","",COUNTIFS('Rotation History'!$B$2:$B$1000,$B141,'Rotation History'!$M$2:$M$1000,"&gt;0",'Rotation History'!$A$2:$A$1000,"&gt;="&amp;($B$2-30),'Rotation History'!$A$2:$A$1000,"&lt;"&amp;$B$2))</f>
        <v/>
      </c>
      <c r="S141" s="43" t="str">
        <f aca="false">IF($B141="","",IF(COUNTIFS('Rotation History'!$B$2:$B$1000,$B141,'Rotation History'!$A$2:$A$1000,$B$2-1,'Rotation History'!$M$2:$M$1000,"&gt;0")=0,0,1+IF(COUNTIFS('Rotation History'!$B$2:$B$1000,$B141,'Rotation History'!$A$2:$A$1000,$B$2-2,'Rotation History'!$M$2:$M$1000,"&gt;0")=0,0,1+IF(COUNTIFS('Rotation History'!$B$2:$B$1000,$B141,'Rotation History'!$A$2:$A$1000,$B$2-3,'Rotation History'!$M$2:$M$1000,"&gt;0")=0,0,1+IF(COUNTIFS('Rotation History'!$B$2:$B$1000,$B141,'Rotation History'!$A$2:$A$1000,$B$2-4,'Rotation History'!$M$2:$M$1000,"&gt;0")=0,0,1)))))</f>
        <v/>
      </c>
      <c r="T141" s="43" t="str">
        <f aca="false">IF($B141="","",COUNTIFS('Rotation History'!$B$2:$B$1000,$B141,'Rotation History'!$K$2:$K$1000,"Opening",'Rotation History'!$A$2:$A$1000,"&gt;="&amp;($B$2-30),'Rotation History'!$A$2:$A$1000,"&lt;"&amp;$B$2))</f>
        <v/>
      </c>
      <c r="U141" s="43" t="str">
        <f aca="false">IF($B141="","",COUNTIFS('Rotation History'!$B$2:$B$1000,$B141,'Rotation History'!$K$2:$K$1000,"Lunch Relief",'Rotation History'!$A$2:$A$1000,"&gt;="&amp;($B$2-30),'Rotation History'!$A$2:$A$1000,"&lt;"&amp;$B$2))</f>
        <v/>
      </c>
      <c r="V141" s="44" t="str">
        <f aca="false">IF($B141="","",$Q141*10+$R141*2+$S141*20+$T141*3+$U141)</f>
        <v/>
      </c>
    </row>
    <row r="142" customFormat="false" ht="14.25" hidden="false" customHeight="true" outlineLevel="0" collapsed="false">
      <c r="A142" s="40" t="str">
        <f aca="false">IF($B142="","",$B$2)</f>
        <v/>
      </c>
      <c r="B142" s="1" t="str">
        <f aca="false">IF($B$2="","",IFERROR(INDEX('Employee Master'!$A$2:$A$159,MATCH(ROWS($B$6:B142),Lists!$P$2:$P$159,0)),""))</f>
        <v/>
      </c>
      <c r="C142" s="1" t="str">
        <f aca="false">IF($B142="","",IFERROR(INDEX('Employee Master'!$B$2:$B$159,MATCH($B142,'Employee Master'!$A$2:$A$159,0)),""))</f>
        <v/>
      </c>
      <c r="D142" s="1" t="str">
        <f aca="false">IF($B142="","",IFERROR(INDEX('Employee Master'!$C$2:$C$159,MATCH($B142,'Employee Master'!$A$2:$A$159,0)),""))</f>
        <v/>
      </c>
      <c r="E142" s="1" t="str">
        <f aca="false">IF($B142="","",IFERROR(INDEX('Employee Master'!$I$2:$I$159,MATCH($B142,'Employee Master'!$A$2:$A$159,0)),""))</f>
        <v/>
      </c>
      <c r="F142" s="29" t="str">
        <f aca="false">IF($B142="","",IFERROR(INDEX('Employee Master'!$E$2:$E$159,MATCH($B142,'Employee Master'!$A$2:$A$159,0)),""))</f>
        <v/>
      </c>
      <c r="G142" s="29" t="str">
        <f aca="false">IF($B142="","",IFERROR(INDEX('Employee Master'!$F$2:$F$159,MATCH($B142,'Employee Master'!$A$2:$A$159,0)),""))</f>
        <v/>
      </c>
      <c r="H142" s="41" t="str">
        <f aca="false">IF($B142="","","Present")</f>
        <v/>
      </c>
      <c r="I142" s="1" t="str">
        <f aca="false">IF($B142="","",IFERROR(INDEX('Employee Master'!$H$2:$H$159,MATCH($B142,'Employee Master'!$A$2:$A$159,0)),""))</f>
        <v/>
      </c>
      <c r="J142" s="29" t="str">
        <f aca="false">IF($B142="","",IFERROR(INDEX('Qualification Matrix'!$C$2:$C$168,MATCH($B142,'Qualification Matrix'!$A$2:$A$168,0)),2))</f>
        <v/>
      </c>
      <c r="K142" s="29" t="str">
        <f aca="false">IF($B142="","",IFERROR(INDEX('Qualification Matrix'!$D$2:$D$168,MATCH($B142,'Qualification Matrix'!$A$2:$A$168,0)),2))</f>
        <v/>
      </c>
      <c r="L142" s="29" t="str">
        <f aca="false">IF($B142="","",IFERROR(INDEX('Qualification Matrix'!$E$2:$E$168,MATCH($B142,'Qualification Matrix'!$A$2:$A$168,0)),2))</f>
        <v/>
      </c>
      <c r="M142" s="29" t="str">
        <f aca="false">IF($B142="","",IFERROR(INDEX('Qualification Matrix'!$F$2:$F$168,MATCH($B142,'Qualification Matrix'!$A$2:$A$168,0)),2))</f>
        <v/>
      </c>
      <c r="N142" s="29" t="str">
        <f aca="false">IF($B142="","",IF(AND($H142="Present",$F142&lt;&gt;"Y"),"Y","N"))</f>
        <v/>
      </c>
      <c r="O142" s="42"/>
      <c r="P142" s="29" t="str">
        <f aca="false">IF($B142="","",IFERROR(INDEX('Qualification Matrix'!$H$2:$H$168,MATCH($B142,'Qualification Matrix'!$A$2:$A$168,0)),""))</f>
        <v/>
      </c>
      <c r="Q142" s="43" t="str">
        <f aca="false">IF($B142="","",SUMIFS('Rotation History'!$M$2:$M$1000,'Rotation History'!$B$2:$B$1000,$B142,'Rotation History'!$A$2:$A$1000,"&gt;="&amp;($B$2-30),'Rotation History'!$A$2:$A$1000,"&lt;"&amp;$B$2))</f>
        <v/>
      </c>
      <c r="R142" s="43" t="str">
        <f aca="false">IF($B142="","",COUNTIFS('Rotation History'!$B$2:$B$1000,$B142,'Rotation History'!$M$2:$M$1000,"&gt;0",'Rotation History'!$A$2:$A$1000,"&gt;="&amp;($B$2-30),'Rotation History'!$A$2:$A$1000,"&lt;"&amp;$B$2))</f>
        <v/>
      </c>
      <c r="S142" s="43" t="str">
        <f aca="false">IF($B142="","",IF(COUNTIFS('Rotation History'!$B$2:$B$1000,$B142,'Rotation History'!$A$2:$A$1000,$B$2-1,'Rotation History'!$M$2:$M$1000,"&gt;0")=0,0,1+IF(COUNTIFS('Rotation History'!$B$2:$B$1000,$B142,'Rotation History'!$A$2:$A$1000,$B$2-2,'Rotation History'!$M$2:$M$1000,"&gt;0")=0,0,1+IF(COUNTIFS('Rotation History'!$B$2:$B$1000,$B142,'Rotation History'!$A$2:$A$1000,$B$2-3,'Rotation History'!$M$2:$M$1000,"&gt;0")=0,0,1+IF(COUNTIFS('Rotation History'!$B$2:$B$1000,$B142,'Rotation History'!$A$2:$A$1000,$B$2-4,'Rotation History'!$M$2:$M$1000,"&gt;0")=0,0,1)))))</f>
        <v/>
      </c>
      <c r="T142" s="43" t="str">
        <f aca="false">IF($B142="","",COUNTIFS('Rotation History'!$B$2:$B$1000,$B142,'Rotation History'!$K$2:$K$1000,"Opening",'Rotation History'!$A$2:$A$1000,"&gt;="&amp;($B$2-30),'Rotation History'!$A$2:$A$1000,"&lt;"&amp;$B$2))</f>
        <v/>
      </c>
      <c r="U142" s="43" t="str">
        <f aca="false">IF($B142="","",COUNTIFS('Rotation History'!$B$2:$B$1000,$B142,'Rotation History'!$K$2:$K$1000,"Lunch Relief",'Rotation History'!$A$2:$A$1000,"&gt;="&amp;($B$2-30),'Rotation History'!$A$2:$A$1000,"&lt;"&amp;$B$2))</f>
        <v/>
      </c>
      <c r="V142" s="44" t="str">
        <f aca="false">IF($B142="","",$Q142*10+$R142*2+$S142*20+$T142*3+$U142)</f>
        <v/>
      </c>
    </row>
    <row r="143" customFormat="false" ht="14.25" hidden="false" customHeight="true" outlineLevel="0" collapsed="false">
      <c r="A143" s="40" t="str">
        <f aca="false">IF($B143="","",$B$2)</f>
        <v/>
      </c>
      <c r="B143" s="1" t="str">
        <f aca="false">IF($B$2="","",IFERROR(INDEX('Employee Master'!$A$2:$A$159,MATCH(ROWS($B$6:B143),Lists!$P$2:$P$159,0)),""))</f>
        <v/>
      </c>
      <c r="C143" s="1" t="str">
        <f aca="false">IF($B143="","",IFERROR(INDEX('Employee Master'!$B$2:$B$159,MATCH($B143,'Employee Master'!$A$2:$A$159,0)),""))</f>
        <v/>
      </c>
      <c r="D143" s="1" t="str">
        <f aca="false">IF($B143="","",IFERROR(INDEX('Employee Master'!$C$2:$C$159,MATCH($B143,'Employee Master'!$A$2:$A$159,0)),""))</f>
        <v/>
      </c>
      <c r="E143" s="1" t="str">
        <f aca="false">IF($B143="","",IFERROR(INDEX('Employee Master'!$I$2:$I$159,MATCH($B143,'Employee Master'!$A$2:$A$159,0)),""))</f>
        <v/>
      </c>
      <c r="F143" s="29" t="str">
        <f aca="false">IF($B143="","",IFERROR(INDEX('Employee Master'!$E$2:$E$159,MATCH($B143,'Employee Master'!$A$2:$A$159,0)),""))</f>
        <v/>
      </c>
      <c r="G143" s="29" t="str">
        <f aca="false">IF($B143="","",IFERROR(INDEX('Employee Master'!$F$2:$F$159,MATCH($B143,'Employee Master'!$A$2:$A$159,0)),""))</f>
        <v/>
      </c>
      <c r="H143" s="41" t="str">
        <f aca="false">IF($B143="","","Present")</f>
        <v/>
      </c>
      <c r="I143" s="1" t="str">
        <f aca="false">IF($B143="","",IFERROR(INDEX('Employee Master'!$H$2:$H$159,MATCH($B143,'Employee Master'!$A$2:$A$159,0)),""))</f>
        <v/>
      </c>
      <c r="J143" s="29" t="str">
        <f aca="false">IF($B143="","",IFERROR(INDEX('Qualification Matrix'!$C$2:$C$168,MATCH($B143,'Qualification Matrix'!$A$2:$A$168,0)),2))</f>
        <v/>
      </c>
      <c r="K143" s="29" t="str">
        <f aca="false">IF($B143="","",IFERROR(INDEX('Qualification Matrix'!$D$2:$D$168,MATCH($B143,'Qualification Matrix'!$A$2:$A$168,0)),2))</f>
        <v/>
      </c>
      <c r="L143" s="29" t="str">
        <f aca="false">IF($B143="","",IFERROR(INDEX('Qualification Matrix'!$E$2:$E$168,MATCH($B143,'Qualification Matrix'!$A$2:$A$168,0)),2))</f>
        <v/>
      </c>
      <c r="M143" s="29" t="str">
        <f aca="false">IF($B143="","",IFERROR(INDEX('Qualification Matrix'!$F$2:$F$168,MATCH($B143,'Qualification Matrix'!$A$2:$A$168,0)),2))</f>
        <v/>
      </c>
      <c r="N143" s="29" t="str">
        <f aca="false">IF($B143="","",IF(AND($H143="Present",$F143&lt;&gt;"Y"),"Y","N"))</f>
        <v/>
      </c>
      <c r="O143" s="42"/>
      <c r="P143" s="29" t="str">
        <f aca="false">IF($B143="","",IFERROR(INDEX('Qualification Matrix'!$H$2:$H$168,MATCH($B143,'Qualification Matrix'!$A$2:$A$168,0)),""))</f>
        <v/>
      </c>
      <c r="Q143" s="43" t="str">
        <f aca="false">IF($B143="","",SUMIFS('Rotation History'!$M$2:$M$1000,'Rotation History'!$B$2:$B$1000,$B143,'Rotation History'!$A$2:$A$1000,"&gt;="&amp;($B$2-30),'Rotation History'!$A$2:$A$1000,"&lt;"&amp;$B$2))</f>
        <v/>
      </c>
      <c r="R143" s="43" t="str">
        <f aca="false">IF($B143="","",COUNTIFS('Rotation History'!$B$2:$B$1000,$B143,'Rotation History'!$M$2:$M$1000,"&gt;0",'Rotation History'!$A$2:$A$1000,"&gt;="&amp;($B$2-30),'Rotation History'!$A$2:$A$1000,"&lt;"&amp;$B$2))</f>
        <v/>
      </c>
      <c r="S143" s="43" t="str">
        <f aca="false">IF($B143="","",IF(COUNTIFS('Rotation History'!$B$2:$B$1000,$B143,'Rotation History'!$A$2:$A$1000,$B$2-1,'Rotation History'!$M$2:$M$1000,"&gt;0")=0,0,1+IF(COUNTIFS('Rotation History'!$B$2:$B$1000,$B143,'Rotation History'!$A$2:$A$1000,$B$2-2,'Rotation History'!$M$2:$M$1000,"&gt;0")=0,0,1+IF(COUNTIFS('Rotation History'!$B$2:$B$1000,$B143,'Rotation History'!$A$2:$A$1000,$B$2-3,'Rotation History'!$M$2:$M$1000,"&gt;0")=0,0,1+IF(COUNTIFS('Rotation History'!$B$2:$B$1000,$B143,'Rotation History'!$A$2:$A$1000,$B$2-4,'Rotation History'!$M$2:$M$1000,"&gt;0")=0,0,1)))))</f>
        <v/>
      </c>
      <c r="T143" s="43" t="str">
        <f aca="false">IF($B143="","",COUNTIFS('Rotation History'!$B$2:$B$1000,$B143,'Rotation History'!$K$2:$K$1000,"Opening",'Rotation History'!$A$2:$A$1000,"&gt;="&amp;($B$2-30),'Rotation History'!$A$2:$A$1000,"&lt;"&amp;$B$2))</f>
        <v/>
      </c>
      <c r="U143" s="43" t="str">
        <f aca="false">IF($B143="","",COUNTIFS('Rotation History'!$B$2:$B$1000,$B143,'Rotation History'!$K$2:$K$1000,"Lunch Relief",'Rotation History'!$A$2:$A$1000,"&gt;="&amp;($B$2-30),'Rotation History'!$A$2:$A$1000,"&lt;"&amp;$B$2))</f>
        <v/>
      </c>
      <c r="V143" s="44" t="str">
        <f aca="false">IF($B143="","",$Q143*10+$R143*2+$S143*20+$T143*3+$U143)</f>
        <v/>
      </c>
    </row>
    <row r="144" customFormat="false" ht="14.25" hidden="false" customHeight="true" outlineLevel="0" collapsed="false">
      <c r="A144" s="40" t="str">
        <f aca="false">IF($B144="","",$B$2)</f>
        <v/>
      </c>
      <c r="B144" s="1" t="str">
        <f aca="false">IF($B$2="","",IFERROR(INDEX('Employee Master'!$A$2:$A$159,MATCH(ROWS($B$6:B144),Lists!$P$2:$P$159,0)),""))</f>
        <v/>
      </c>
      <c r="C144" s="1" t="str">
        <f aca="false">IF($B144="","",IFERROR(INDEX('Employee Master'!$B$2:$B$159,MATCH($B144,'Employee Master'!$A$2:$A$159,0)),""))</f>
        <v/>
      </c>
      <c r="D144" s="1" t="str">
        <f aca="false">IF($B144="","",IFERROR(INDEX('Employee Master'!$C$2:$C$159,MATCH($B144,'Employee Master'!$A$2:$A$159,0)),""))</f>
        <v/>
      </c>
      <c r="E144" s="1" t="str">
        <f aca="false">IF($B144="","",IFERROR(INDEX('Employee Master'!$I$2:$I$159,MATCH($B144,'Employee Master'!$A$2:$A$159,0)),""))</f>
        <v/>
      </c>
      <c r="F144" s="29" t="str">
        <f aca="false">IF($B144="","",IFERROR(INDEX('Employee Master'!$E$2:$E$159,MATCH($B144,'Employee Master'!$A$2:$A$159,0)),""))</f>
        <v/>
      </c>
      <c r="G144" s="29" t="str">
        <f aca="false">IF($B144="","",IFERROR(INDEX('Employee Master'!$F$2:$F$159,MATCH($B144,'Employee Master'!$A$2:$A$159,0)),""))</f>
        <v/>
      </c>
      <c r="H144" s="41" t="str">
        <f aca="false">IF($B144="","","Present")</f>
        <v/>
      </c>
      <c r="I144" s="1" t="str">
        <f aca="false">IF($B144="","",IFERROR(INDEX('Employee Master'!$H$2:$H$159,MATCH($B144,'Employee Master'!$A$2:$A$159,0)),""))</f>
        <v/>
      </c>
      <c r="J144" s="29" t="str">
        <f aca="false">IF($B144="","",IFERROR(INDEX('Qualification Matrix'!$C$2:$C$168,MATCH($B144,'Qualification Matrix'!$A$2:$A$168,0)),2))</f>
        <v/>
      </c>
      <c r="K144" s="29" t="str">
        <f aca="false">IF($B144="","",IFERROR(INDEX('Qualification Matrix'!$D$2:$D$168,MATCH($B144,'Qualification Matrix'!$A$2:$A$168,0)),2))</f>
        <v/>
      </c>
      <c r="L144" s="29" t="str">
        <f aca="false">IF($B144="","",IFERROR(INDEX('Qualification Matrix'!$E$2:$E$168,MATCH($B144,'Qualification Matrix'!$A$2:$A$168,0)),2))</f>
        <v/>
      </c>
      <c r="M144" s="29" t="str">
        <f aca="false">IF($B144="","",IFERROR(INDEX('Qualification Matrix'!$F$2:$F$168,MATCH($B144,'Qualification Matrix'!$A$2:$A$168,0)),2))</f>
        <v/>
      </c>
      <c r="N144" s="29" t="str">
        <f aca="false">IF($B144="","",IF(AND($H144="Present",$F144&lt;&gt;"Y"),"Y","N"))</f>
        <v/>
      </c>
      <c r="O144" s="42"/>
      <c r="P144" s="29" t="str">
        <f aca="false">IF($B144="","",IFERROR(INDEX('Qualification Matrix'!$H$2:$H$168,MATCH($B144,'Qualification Matrix'!$A$2:$A$168,0)),""))</f>
        <v/>
      </c>
      <c r="Q144" s="43" t="str">
        <f aca="false">IF($B144="","",SUMIFS('Rotation History'!$M$2:$M$1000,'Rotation History'!$B$2:$B$1000,$B144,'Rotation History'!$A$2:$A$1000,"&gt;="&amp;($B$2-30),'Rotation History'!$A$2:$A$1000,"&lt;"&amp;$B$2))</f>
        <v/>
      </c>
      <c r="R144" s="43" t="str">
        <f aca="false">IF($B144="","",COUNTIFS('Rotation History'!$B$2:$B$1000,$B144,'Rotation History'!$M$2:$M$1000,"&gt;0",'Rotation History'!$A$2:$A$1000,"&gt;="&amp;($B$2-30),'Rotation History'!$A$2:$A$1000,"&lt;"&amp;$B$2))</f>
        <v/>
      </c>
      <c r="S144" s="43" t="str">
        <f aca="false">IF($B144="","",IF(COUNTIFS('Rotation History'!$B$2:$B$1000,$B144,'Rotation History'!$A$2:$A$1000,$B$2-1,'Rotation History'!$M$2:$M$1000,"&gt;0")=0,0,1+IF(COUNTIFS('Rotation History'!$B$2:$B$1000,$B144,'Rotation History'!$A$2:$A$1000,$B$2-2,'Rotation History'!$M$2:$M$1000,"&gt;0")=0,0,1+IF(COUNTIFS('Rotation History'!$B$2:$B$1000,$B144,'Rotation History'!$A$2:$A$1000,$B$2-3,'Rotation History'!$M$2:$M$1000,"&gt;0")=0,0,1+IF(COUNTIFS('Rotation History'!$B$2:$B$1000,$B144,'Rotation History'!$A$2:$A$1000,$B$2-4,'Rotation History'!$M$2:$M$1000,"&gt;0")=0,0,1)))))</f>
        <v/>
      </c>
      <c r="T144" s="43" t="str">
        <f aca="false">IF($B144="","",COUNTIFS('Rotation History'!$B$2:$B$1000,$B144,'Rotation History'!$K$2:$K$1000,"Opening",'Rotation History'!$A$2:$A$1000,"&gt;="&amp;($B$2-30),'Rotation History'!$A$2:$A$1000,"&lt;"&amp;$B$2))</f>
        <v/>
      </c>
      <c r="U144" s="43" t="str">
        <f aca="false">IF($B144="","",COUNTIFS('Rotation History'!$B$2:$B$1000,$B144,'Rotation History'!$K$2:$K$1000,"Lunch Relief",'Rotation History'!$A$2:$A$1000,"&gt;="&amp;($B$2-30),'Rotation History'!$A$2:$A$1000,"&lt;"&amp;$B$2))</f>
        <v/>
      </c>
      <c r="V144" s="44" t="str">
        <f aca="false">IF($B144="","",$Q144*10+$R144*2+$S144*20+$T144*3+$U144)</f>
        <v/>
      </c>
    </row>
    <row r="145" customFormat="false" ht="14.25" hidden="false" customHeight="true" outlineLevel="0" collapsed="false">
      <c r="A145" s="40" t="str">
        <f aca="false">IF($B145="","",$B$2)</f>
        <v/>
      </c>
      <c r="B145" s="1" t="str">
        <f aca="false">IF($B$2="","",IFERROR(INDEX('Employee Master'!$A$2:$A$159,MATCH(ROWS($B$6:B145),Lists!$P$2:$P$159,0)),""))</f>
        <v/>
      </c>
      <c r="C145" s="1" t="str">
        <f aca="false">IF($B145="","",IFERROR(INDEX('Employee Master'!$B$2:$B$159,MATCH($B145,'Employee Master'!$A$2:$A$159,0)),""))</f>
        <v/>
      </c>
      <c r="D145" s="1" t="str">
        <f aca="false">IF($B145="","",IFERROR(INDEX('Employee Master'!$C$2:$C$159,MATCH($B145,'Employee Master'!$A$2:$A$159,0)),""))</f>
        <v/>
      </c>
      <c r="E145" s="1" t="str">
        <f aca="false">IF($B145="","",IFERROR(INDEX('Employee Master'!$I$2:$I$159,MATCH($B145,'Employee Master'!$A$2:$A$159,0)),""))</f>
        <v/>
      </c>
      <c r="F145" s="29" t="str">
        <f aca="false">IF($B145="","",IFERROR(INDEX('Employee Master'!$E$2:$E$159,MATCH($B145,'Employee Master'!$A$2:$A$159,0)),""))</f>
        <v/>
      </c>
      <c r="G145" s="29" t="str">
        <f aca="false">IF($B145="","",IFERROR(INDEX('Employee Master'!$F$2:$F$159,MATCH($B145,'Employee Master'!$A$2:$A$159,0)),""))</f>
        <v/>
      </c>
      <c r="H145" s="41" t="str">
        <f aca="false">IF($B145="","","Present")</f>
        <v/>
      </c>
      <c r="I145" s="1" t="str">
        <f aca="false">IF($B145="","",IFERROR(INDEX('Employee Master'!$H$2:$H$159,MATCH($B145,'Employee Master'!$A$2:$A$159,0)),""))</f>
        <v/>
      </c>
      <c r="J145" s="29" t="str">
        <f aca="false">IF($B145="","",IFERROR(INDEX('Qualification Matrix'!$C$2:$C$168,MATCH($B145,'Qualification Matrix'!$A$2:$A$168,0)),2))</f>
        <v/>
      </c>
      <c r="K145" s="29" t="str">
        <f aca="false">IF($B145="","",IFERROR(INDEX('Qualification Matrix'!$D$2:$D$168,MATCH($B145,'Qualification Matrix'!$A$2:$A$168,0)),2))</f>
        <v/>
      </c>
      <c r="L145" s="29" t="str">
        <f aca="false">IF($B145="","",IFERROR(INDEX('Qualification Matrix'!$E$2:$E$168,MATCH($B145,'Qualification Matrix'!$A$2:$A$168,0)),2))</f>
        <v/>
      </c>
      <c r="M145" s="29" t="str">
        <f aca="false">IF($B145="","",IFERROR(INDEX('Qualification Matrix'!$F$2:$F$168,MATCH($B145,'Qualification Matrix'!$A$2:$A$168,0)),2))</f>
        <v/>
      </c>
      <c r="N145" s="29" t="str">
        <f aca="false">IF($B145="","",IF(AND($H145="Present",$F145&lt;&gt;"Y"),"Y","N"))</f>
        <v/>
      </c>
      <c r="O145" s="42"/>
      <c r="P145" s="29" t="str">
        <f aca="false">IF($B145="","",IFERROR(INDEX('Qualification Matrix'!$H$2:$H$168,MATCH($B145,'Qualification Matrix'!$A$2:$A$168,0)),""))</f>
        <v/>
      </c>
      <c r="Q145" s="43" t="str">
        <f aca="false">IF($B145="","",SUMIFS('Rotation History'!$M$2:$M$1000,'Rotation History'!$B$2:$B$1000,$B145,'Rotation History'!$A$2:$A$1000,"&gt;="&amp;($B$2-30),'Rotation History'!$A$2:$A$1000,"&lt;"&amp;$B$2))</f>
        <v/>
      </c>
      <c r="R145" s="43" t="str">
        <f aca="false">IF($B145="","",COUNTIFS('Rotation History'!$B$2:$B$1000,$B145,'Rotation History'!$M$2:$M$1000,"&gt;0",'Rotation History'!$A$2:$A$1000,"&gt;="&amp;($B$2-30),'Rotation History'!$A$2:$A$1000,"&lt;"&amp;$B$2))</f>
        <v/>
      </c>
      <c r="S145" s="43" t="str">
        <f aca="false">IF($B145="","",IF(COUNTIFS('Rotation History'!$B$2:$B$1000,$B145,'Rotation History'!$A$2:$A$1000,$B$2-1,'Rotation History'!$M$2:$M$1000,"&gt;0")=0,0,1+IF(COUNTIFS('Rotation History'!$B$2:$B$1000,$B145,'Rotation History'!$A$2:$A$1000,$B$2-2,'Rotation History'!$M$2:$M$1000,"&gt;0")=0,0,1+IF(COUNTIFS('Rotation History'!$B$2:$B$1000,$B145,'Rotation History'!$A$2:$A$1000,$B$2-3,'Rotation History'!$M$2:$M$1000,"&gt;0")=0,0,1+IF(COUNTIFS('Rotation History'!$B$2:$B$1000,$B145,'Rotation History'!$A$2:$A$1000,$B$2-4,'Rotation History'!$M$2:$M$1000,"&gt;0")=0,0,1)))))</f>
        <v/>
      </c>
      <c r="T145" s="43" t="str">
        <f aca="false">IF($B145="","",COUNTIFS('Rotation History'!$B$2:$B$1000,$B145,'Rotation History'!$K$2:$K$1000,"Opening",'Rotation History'!$A$2:$A$1000,"&gt;="&amp;($B$2-30),'Rotation History'!$A$2:$A$1000,"&lt;"&amp;$B$2))</f>
        <v/>
      </c>
      <c r="U145" s="43" t="str">
        <f aca="false">IF($B145="","",COUNTIFS('Rotation History'!$B$2:$B$1000,$B145,'Rotation History'!$K$2:$K$1000,"Lunch Relief",'Rotation History'!$A$2:$A$1000,"&gt;="&amp;($B$2-30),'Rotation History'!$A$2:$A$1000,"&lt;"&amp;$B$2))</f>
        <v/>
      </c>
      <c r="V145" s="44" t="str">
        <f aca="false">IF($B145="","",$Q145*10+$R145*2+$S145*20+$T145*3+$U145)</f>
        <v/>
      </c>
    </row>
    <row r="146" customFormat="false" ht="14.25" hidden="false" customHeight="true" outlineLevel="0" collapsed="false">
      <c r="A146" s="40" t="str">
        <f aca="false">IF($B146="","",$B$2)</f>
        <v/>
      </c>
      <c r="B146" s="1" t="str">
        <f aca="false">IF($B$2="","",IFERROR(INDEX('Employee Master'!$A$2:$A$159,MATCH(ROWS($B$6:B146),Lists!$P$2:$P$159,0)),""))</f>
        <v/>
      </c>
      <c r="C146" s="1" t="str">
        <f aca="false">IF($B146="","",IFERROR(INDEX('Employee Master'!$B$2:$B$159,MATCH($B146,'Employee Master'!$A$2:$A$159,0)),""))</f>
        <v/>
      </c>
      <c r="D146" s="1" t="str">
        <f aca="false">IF($B146="","",IFERROR(INDEX('Employee Master'!$C$2:$C$159,MATCH($B146,'Employee Master'!$A$2:$A$159,0)),""))</f>
        <v/>
      </c>
      <c r="E146" s="1" t="str">
        <f aca="false">IF($B146="","",IFERROR(INDEX('Employee Master'!$I$2:$I$159,MATCH($B146,'Employee Master'!$A$2:$A$159,0)),""))</f>
        <v/>
      </c>
      <c r="F146" s="29" t="str">
        <f aca="false">IF($B146="","",IFERROR(INDEX('Employee Master'!$E$2:$E$159,MATCH($B146,'Employee Master'!$A$2:$A$159,0)),""))</f>
        <v/>
      </c>
      <c r="G146" s="29" t="str">
        <f aca="false">IF($B146="","",IFERROR(INDEX('Employee Master'!$F$2:$F$159,MATCH($B146,'Employee Master'!$A$2:$A$159,0)),""))</f>
        <v/>
      </c>
      <c r="H146" s="41" t="str">
        <f aca="false">IF($B146="","","Present")</f>
        <v/>
      </c>
      <c r="I146" s="1" t="str">
        <f aca="false">IF($B146="","",IFERROR(INDEX('Employee Master'!$H$2:$H$159,MATCH($B146,'Employee Master'!$A$2:$A$159,0)),""))</f>
        <v/>
      </c>
      <c r="J146" s="29" t="str">
        <f aca="false">IF($B146="","",IFERROR(INDEX('Qualification Matrix'!$C$2:$C$168,MATCH($B146,'Qualification Matrix'!$A$2:$A$168,0)),2))</f>
        <v/>
      </c>
      <c r="K146" s="29" t="str">
        <f aca="false">IF($B146="","",IFERROR(INDEX('Qualification Matrix'!$D$2:$D$168,MATCH($B146,'Qualification Matrix'!$A$2:$A$168,0)),2))</f>
        <v/>
      </c>
      <c r="L146" s="29" t="str">
        <f aca="false">IF($B146="","",IFERROR(INDEX('Qualification Matrix'!$E$2:$E$168,MATCH($B146,'Qualification Matrix'!$A$2:$A$168,0)),2))</f>
        <v/>
      </c>
      <c r="M146" s="29" t="str">
        <f aca="false">IF($B146="","",IFERROR(INDEX('Qualification Matrix'!$F$2:$F$168,MATCH($B146,'Qualification Matrix'!$A$2:$A$168,0)),2))</f>
        <v/>
      </c>
      <c r="N146" s="29" t="str">
        <f aca="false">IF($B146="","",IF(AND($H146="Present",$F146&lt;&gt;"Y"),"Y","N"))</f>
        <v/>
      </c>
      <c r="O146" s="42"/>
      <c r="P146" s="29" t="str">
        <f aca="false">IF($B146="","",IFERROR(INDEX('Qualification Matrix'!$H$2:$H$168,MATCH($B146,'Qualification Matrix'!$A$2:$A$168,0)),""))</f>
        <v/>
      </c>
      <c r="Q146" s="43" t="str">
        <f aca="false">IF($B146="","",SUMIFS('Rotation History'!$M$2:$M$1000,'Rotation History'!$B$2:$B$1000,$B146,'Rotation History'!$A$2:$A$1000,"&gt;="&amp;($B$2-30),'Rotation History'!$A$2:$A$1000,"&lt;"&amp;$B$2))</f>
        <v/>
      </c>
      <c r="R146" s="43" t="str">
        <f aca="false">IF($B146="","",COUNTIFS('Rotation History'!$B$2:$B$1000,$B146,'Rotation History'!$M$2:$M$1000,"&gt;0",'Rotation History'!$A$2:$A$1000,"&gt;="&amp;($B$2-30),'Rotation History'!$A$2:$A$1000,"&lt;"&amp;$B$2))</f>
        <v/>
      </c>
      <c r="S146" s="43" t="str">
        <f aca="false">IF($B146="","",IF(COUNTIFS('Rotation History'!$B$2:$B$1000,$B146,'Rotation History'!$A$2:$A$1000,$B$2-1,'Rotation History'!$M$2:$M$1000,"&gt;0")=0,0,1+IF(COUNTIFS('Rotation History'!$B$2:$B$1000,$B146,'Rotation History'!$A$2:$A$1000,$B$2-2,'Rotation History'!$M$2:$M$1000,"&gt;0")=0,0,1+IF(COUNTIFS('Rotation History'!$B$2:$B$1000,$B146,'Rotation History'!$A$2:$A$1000,$B$2-3,'Rotation History'!$M$2:$M$1000,"&gt;0")=0,0,1+IF(COUNTIFS('Rotation History'!$B$2:$B$1000,$B146,'Rotation History'!$A$2:$A$1000,$B$2-4,'Rotation History'!$M$2:$M$1000,"&gt;0")=0,0,1)))))</f>
        <v/>
      </c>
      <c r="T146" s="43" t="str">
        <f aca="false">IF($B146="","",COUNTIFS('Rotation History'!$B$2:$B$1000,$B146,'Rotation History'!$K$2:$K$1000,"Opening",'Rotation History'!$A$2:$A$1000,"&gt;="&amp;($B$2-30),'Rotation History'!$A$2:$A$1000,"&lt;"&amp;$B$2))</f>
        <v/>
      </c>
      <c r="U146" s="43" t="str">
        <f aca="false">IF($B146="","",COUNTIFS('Rotation History'!$B$2:$B$1000,$B146,'Rotation History'!$K$2:$K$1000,"Lunch Relief",'Rotation History'!$A$2:$A$1000,"&gt;="&amp;($B$2-30),'Rotation History'!$A$2:$A$1000,"&lt;"&amp;$B$2))</f>
        <v/>
      </c>
      <c r="V146" s="44" t="str">
        <f aca="false">IF($B146="","",$Q146*10+$R146*2+$S146*20+$T146*3+$U146)</f>
        <v/>
      </c>
    </row>
    <row r="147" customFormat="false" ht="14.25" hidden="false" customHeight="true" outlineLevel="0" collapsed="false">
      <c r="A147" s="40" t="str">
        <f aca="false">IF($B147="","",$B$2)</f>
        <v/>
      </c>
      <c r="B147" s="1" t="str">
        <f aca="false">IF($B$2="","",IFERROR(INDEX('Employee Master'!$A$2:$A$159,MATCH(ROWS($B$6:B147),Lists!$P$2:$P$159,0)),""))</f>
        <v/>
      </c>
      <c r="C147" s="1" t="str">
        <f aca="false">IF($B147="","",IFERROR(INDEX('Employee Master'!$B$2:$B$159,MATCH($B147,'Employee Master'!$A$2:$A$159,0)),""))</f>
        <v/>
      </c>
      <c r="D147" s="1" t="str">
        <f aca="false">IF($B147="","",IFERROR(INDEX('Employee Master'!$C$2:$C$159,MATCH($B147,'Employee Master'!$A$2:$A$159,0)),""))</f>
        <v/>
      </c>
      <c r="E147" s="1" t="str">
        <f aca="false">IF($B147="","",IFERROR(INDEX('Employee Master'!$I$2:$I$159,MATCH($B147,'Employee Master'!$A$2:$A$159,0)),""))</f>
        <v/>
      </c>
      <c r="F147" s="29" t="str">
        <f aca="false">IF($B147="","",IFERROR(INDEX('Employee Master'!$E$2:$E$159,MATCH($B147,'Employee Master'!$A$2:$A$159,0)),""))</f>
        <v/>
      </c>
      <c r="G147" s="29" t="str">
        <f aca="false">IF($B147="","",IFERROR(INDEX('Employee Master'!$F$2:$F$159,MATCH($B147,'Employee Master'!$A$2:$A$159,0)),""))</f>
        <v/>
      </c>
      <c r="H147" s="41" t="str">
        <f aca="false">IF($B147="","","Present")</f>
        <v/>
      </c>
      <c r="I147" s="1" t="str">
        <f aca="false">IF($B147="","",IFERROR(INDEX('Employee Master'!$H$2:$H$159,MATCH($B147,'Employee Master'!$A$2:$A$159,0)),""))</f>
        <v/>
      </c>
      <c r="J147" s="29" t="str">
        <f aca="false">IF($B147="","",IFERROR(INDEX('Qualification Matrix'!$C$2:$C$168,MATCH($B147,'Qualification Matrix'!$A$2:$A$168,0)),2))</f>
        <v/>
      </c>
      <c r="K147" s="29" t="str">
        <f aca="false">IF($B147="","",IFERROR(INDEX('Qualification Matrix'!$D$2:$D$168,MATCH($B147,'Qualification Matrix'!$A$2:$A$168,0)),2))</f>
        <v/>
      </c>
      <c r="L147" s="29" t="str">
        <f aca="false">IF($B147="","",IFERROR(INDEX('Qualification Matrix'!$E$2:$E$168,MATCH($B147,'Qualification Matrix'!$A$2:$A$168,0)),2))</f>
        <v/>
      </c>
      <c r="M147" s="29" t="str">
        <f aca="false">IF($B147="","",IFERROR(INDEX('Qualification Matrix'!$F$2:$F$168,MATCH($B147,'Qualification Matrix'!$A$2:$A$168,0)),2))</f>
        <v/>
      </c>
      <c r="N147" s="29" t="str">
        <f aca="false">IF($B147="","",IF(AND($H147="Present",$F147&lt;&gt;"Y"),"Y","N"))</f>
        <v/>
      </c>
      <c r="O147" s="42"/>
      <c r="P147" s="29" t="str">
        <f aca="false">IF($B147="","",IFERROR(INDEX('Qualification Matrix'!$H$2:$H$168,MATCH($B147,'Qualification Matrix'!$A$2:$A$168,0)),""))</f>
        <v/>
      </c>
      <c r="Q147" s="43" t="str">
        <f aca="false">IF($B147="","",SUMIFS('Rotation History'!$M$2:$M$1000,'Rotation History'!$B$2:$B$1000,$B147,'Rotation History'!$A$2:$A$1000,"&gt;="&amp;($B$2-30),'Rotation History'!$A$2:$A$1000,"&lt;"&amp;$B$2))</f>
        <v/>
      </c>
      <c r="R147" s="43" t="str">
        <f aca="false">IF($B147="","",COUNTIFS('Rotation History'!$B$2:$B$1000,$B147,'Rotation History'!$M$2:$M$1000,"&gt;0",'Rotation History'!$A$2:$A$1000,"&gt;="&amp;($B$2-30),'Rotation History'!$A$2:$A$1000,"&lt;"&amp;$B$2))</f>
        <v/>
      </c>
      <c r="S147" s="43" t="str">
        <f aca="false">IF($B147="","",IF(COUNTIFS('Rotation History'!$B$2:$B$1000,$B147,'Rotation History'!$A$2:$A$1000,$B$2-1,'Rotation History'!$M$2:$M$1000,"&gt;0")=0,0,1+IF(COUNTIFS('Rotation History'!$B$2:$B$1000,$B147,'Rotation History'!$A$2:$A$1000,$B$2-2,'Rotation History'!$M$2:$M$1000,"&gt;0")=0,0,1+IF(COUNTIFS('Rotation History'!$B$2:$B$1000,$B147,'Rotation History'!$A$2:$A$1000,$B$2-3,'Rotation History'!$M$2:$M$1000,"&gt;0")=0,0,1+IF(COUNTIFS('Rotation History'!$B$2:$B$1000,$B147,'Rotation History'!$A$2:$A$1000,$B$2-4,'Rotation History'!$M$2:$M$1000,"&gt;0")=0,0,1)))))</f>
        <v/>
      </c>
      <c r="T147" s="43" t="str">
        <f aca="false">IF($B147="","",COUNTIFS('Rotation History'!$B$2:$B$1000,$B147,'Rotation History'!$K$2:$K$1000,"Opening",'Rotation History'!$A$2:$A$1000,"&gt;="&amp;($B$2-30),'Rotation History'!$A$2:$A$1000,"&lt;"&amp;$B$2))</f>
        <v/>
      </c>
      <c r="U147" s="43" t="str">
        <f aca="false">IF($B147="","",COUNTIFS('Rotation History'!$B$2:$B$1000,$B147,'Rotation History'!$K$2:$K$1000,"Lunch Relief",'Rotation History'!$A$2:$A$1000,"&gt;="&amp;($B$2-30),'Rotation History'!$A$2:$A$1000,"&lt;"&amp;$B$2))</f>
        <v/>
      </c>
      <c r="V147" s="44" t="str">
        <f aca="false">IF($B147="","",$Q147*10+$R147*2+$S147*20+$T147*3+$U147)</f>
        <v/>
      </c>
    </row>
    <row r="148" customFormat="false" ht="14.25" hidden="false" customHeight="true" outlineLevel="0" collapsed="false">
      <c r="A148" s="40" t="str">
        <f aca="false">IF($B148="","",$B$2)</f>
        <v/>
      </c>
      <c r="B148" s="1" t="str">
        <f aca="false">IF($B$2="","",IFERROR(INDEX('Employee Master'!$A$2:$A$159,MATCH(ROWS($B$6:B148),Lists!$P$2:$P$159,0)),""))</f>
        <v/>
      </c>
      <c r="C148" s="1" t="str">
        <f aca="false">IF($B148="","",IFERROR(INDEX('Employee Master'!$B$2:$B$159,MATCH($B148,'Employee Master'!$A$2:$A$159,0)),""))</f>
        <v/>
      </c>
      <c r="D148" s="1" t="str">
        <f aca="false">IF($B148="","",IFERROR(INDEX('Employee Master'!$C$2:$C$159,MATCH($B148,'Employee Master'!$A$2:$A$159,0)),""))</f>
        <v/>
      </c>
      <c r="E148" s="1" t="str">
        <f aca="false">IF($B148="","",IFERROR(INDEX('Employee Master'!$I$2:$I$159,MATCH($B148,'Employee Master'!$A$2:$A$159,0)),""))</f>
        <v/>
      </c>
      <c r="F148" s="29" t="str">
        <f aca="false">IF($B148="","",IFERROR(INDEX('Employee Master'!$E$2:$E$159,MATCH($B148,'Employee Master'!$A$2:$A$159,0)),""))</f>
        <v/>
      </c>
      <c r="G148" s="29" t="str">
        <f aca="false">IF($B148="","",IFERROR(INDEX('Employee Master'!$F$2:$F$159,MATCH($B148,'Employee Master'!$A$2:$A$159,0)),""))</f>
        <v/>
      </c>
      <c r="H148" s="41" t="str">
        <f aca="false">IF($B148="","","Present")</f>
        <v/>
      </c>
      <c r="I148" s="1" t="str">
        <f aca="false">IF($B148="","",IFERROR(INDEX('Employee Master'!$H$2:$H$159,MATCH($B148,'Employee Master'!$A$2:$A$159,0)),""))</f>
        <v/>
      </c>
      <c r="J148" s="29" t="str">
        <f aca="false">IF($B148="","",IFERROR(INDEX('Qualification Matrix'!$C$2:$C$168,MATCH($B148,'Qualification Matrix'!$A$2:$A$168,0)),2))</f>
        <v/>
      </c>
      <c r="K148" s="29" t="str">
        <f aca="false">IF($B148="","",IFERROR(INDEX('Qualification Matrix'!$D$2:$D$168,MATCH($B148,'Qualification Matrix'!$A$2:$A$168,0)),2))</f>
        <v/>
      </c>
      <c r="L148" s="29" t="str">
        <f aca="false">IF($B148="","",IFERROR(INDEX('Qualification Matrix'!$E$2:$E$168,MATCH($B148,'Qualification Matrix'!$A$2:$A$168,0)),2))</f>
        <v/>
      </c>
      <c r="M148" s="29" t="str">
        <f aca="false">IF($B148="","",IFERROR(INDEX('Qualification Matrix'!$F$2:$F$168,MATCH($B148,'Qualification Matrix'!$A$2:$A$168,0)),2))</f>
        <v/>
      </c>
      <c r="N148" s="29" t="str">
        <f aca="false">IF($B148="","",IF(AND($H148="Present",$F148&lt;&gt;"Y"),"Y","N"))</f>
        <v/>
      </c>
      <c r="O148" s="42"/>
      <c r="P148" s="29" t="str">
        <f aca="false">IF($B148="","",IFERROR(INDEX('Qualification Matrix'!$H$2:$H$168,MATCH($B148,'Qualification Matrix'!$A$2:$A$168,0)),""))</f>
        <v/>
      </c>
      <c r="Q148" s="43" t="str">
        <f aca="false">IF($B148="","",SUMIFS('Rotation History'!$M$2:$M$1000,'Rotation History'!$B$2:$B$1000,$B148,'Rotation History'!$A$2:$A$1000,"&gt;="&amp;($B$2-30),'Rotation History'!$A$2:$A$1000,"&lt;"&amp;$B$2))</f>
        <v/>
      </c>
      <c r="R148" s="43" t="str">
        <f aca="false">IF($B148="","",COUNTIFS('Rotation History'!$B$2:$B$1000,$B148,'Rotation History'!$M$2:$M$1000,"&gt;0",'Rotation History'!$A$2:$A$1000,"&gt;="&amp;($B$2-30),'Rotation History'!$A$2:$A$1000,"&lt;"&amp;$B$2))</f>
        <v/>
      </c>
      <c r="S148" s="43" t="str">
        <f aca="false">IF($B148="","",IF(COUNTIFS('Rotation History'!$B$2:$B$1000,$B148,'Rotation History'!$A$2:$A$1000,$B$2-1,'Rotation History'!$M$2:$M$1000,"&gt;0")=0,0,1+IF(COUNTIFS('Rotation History'!$B$2:$B$1000,$B148,'Rotation History'!$A$2:$A$1000,$B$2-2,'Rotation History'!$M$2:$M$1000,"&gt;0")=0,0,1+IF(COUNTIFS('Rotation History'!$B$2:$B$1000,$B148,'Rotation History'!$A$2:$A$1000,$B$2-3,'Rotation History'!$M$2:$M$1000,"&gt;0")=0,0,1+IF(COUNTIFS('Rotation History'!$B$2:$B$1000,$B148,'Rotation History'!$A$2:$A$1000,$B$2-4,'Rotation History'!$M$2:$M$1000,"&gt;0")=0,0,1)))))</f>
        <v/>
      </c>
      <c r="T148" s="43" t="str">
        <f aca="false">IF($B148="","",COUNTIFS('Rotation History'!$B$2:$B$1000,$B148,'Rotation History'!$K$2:$K$1000,"Opening",'Rotation History'!$A$2:$A$1000,"&gt;="&amp;($B$2-30),'Rotation History'!$A$2:$A$1000,"&lt;"&amp;$B$2))</f>
        <v/>
      </c>
      <c r="U148" s="43" t="str">
        <f aca="false">IF($B148="","",COUNTIFS('Rotation History'!$B$2:$B$1000,$B148,'Rotation History'!$K$2:$K$1000,"Lunch Relief",'Rotation History'!$A$2:$A$1000,"&gt;="&amp;($B$2-30),'Rotation History'!$A$2:$A$1000,"&lt;"&amp;$B$2))</f>
        <v/>
      </c>
      <c r="V148" s="44" t="str">
        <f aca="false">IF($B148="","",$Q148*10+$R148*2+$S148*20+$T148*3+$U148)</f>
        <v/>
      </c>
    </row>
    <row r="149" customFormat="false" ht="14.25" hidden="false" customHeight="true" outlineLevel="0" collapsed="false">
      <c r="A149" s="40" t="str">
        <f aca="false">IF($B149="","",$B$2)</f>
        <v/>
      </c>
      <c r="B149" s="1" t="str">
        <f aca="false">IF($B$2="","",IFERROR(INDEX('Employee Master'!$A$2:$A$159,MATCH(ROWS($B$6:B149),Lists!$P$2:$P$159,0)),""))</f>
        <v/>
      </c>
      <c r="C149" s="1" t="str">
        <f aca="false">IF($B149="","",IFERROR(INDEX('Employee Master'!$B$2:$B$159,MATCH($B149,'Employee Master'!$A$2:$A$159,0)),""))</f>
        <v/>
      </c>
      <c r="D149" s="1" t="str">
        <f aca="false">IF($B149="","",IFERROR(INDEX('Employee Master'!$C$2:$C$159,MATCH($B149,'Employee Master'!$A$2:$A$159,0)),""))</f>
        <v/>
      </c>
      <c r="E149" s="1" t="str">
        <f aca="false">IF($B149="","",IFERROR(INDEX('Employee Master'!$I$2:$I$159,MATCH($B149,'Employee Master'!$A$2:$A$159,0)),""))</f>
        <v/>
      </c>
      <c r="F149" s="29" t="str">
        <f aca="false">IF($B149="","",IFERROR(INDEX('Employee Master'!$E$2:$E$159,MATCH($B149,'Employee Master'!$A$2:$A$159,0)),""))</f>
        <v/>
      </c>
      <c r="G149" s="29" t="str">
        <f aca="false">IF($B149="","",IFERROR(INDEX('Employee Master'!$F$2:$F$159,MATCH($B149,'Employee Master'!$A$2:$A$159,0)),""))</f>
        <v/>
      </c>
      <c r="H149" s="41" t="str">
        <f aca="false">IF($B149="","","Present")</f>
        <v/>
      </c>
      <c r="I149" s="1" t="str">
        <f aca="false">IF($B149="","",IFERROR(INDEX('Employee Master'!$H$2:$H$159,MATCH($B149,'Employee Master'!$A$2:$A$159,0)),""))</f>
        <v/>
      </c>
      <c r="J149" s="29" t="str">
        <f aca="false">IF($B149="","",IFERROR(INDEX('Qualification Matrix'!$C$2:$C$168,MATCH($B149,'Qualification Matrix'!$A$2:$A$168,0)),2))</f>
        <v/>
      </c>
      <c r="K149" s="29" t="str">
        <f aca="false">IF($B149="","",IFERROR(INDEX('Qualification Matrix'!$D$2:$D$168,MATCH($B149,'Qualification Matrix'!$A$2:$A$168,0)),2))</f>
        <v/>
      </c>
      <c r="L149" s="29" t="str">
        <f aca="false">IF($B149="","",IFERROR(INDEX('Qualification Matrix'!$E$2:$E$168,MATCH($B149,'Qualification Matrix'!$A$2:$A$168,0)),2))</f>
        <v/>
      </c>
      <c r="M149" s="29" t="str">
        <f aca="false">IF($B149="","",IFERROR(INDEX('Qualification Matrix'!$F$2:$F$168,MATCH($B149,'Qualification Matrix'!$A$2:$A$168,0)),2))</f>
        <v/>
      </c>
      <c r="N149" s="29" t="str">
        <f aca="false">IF($B149="","",IF(AND($H149="Present",$F149&lt;&gt;"Y"),"Y","N"))</f>
        <v/>
      </c>
      <c r="O149" s="42"/>
      <c r="P149" s="29" t="str">
        <f aca="false">IF($B149="","",IFERROR(INDEX('Qualification Matrix'!$H$2:$H$168,MATCH($B149,'Qualification Matrix'!$A$2:$A$168,0)),""))</f>
        <v/>
      </c>
      <c r="Q149" s="43" t="str">
        <f aca="false">IF($B149="","",SUMIFS('Rotation History'!$M$2:$M$1000,'Rotation History'!$B$2:$B$1000,$B149,'Rotation History'!$A$2:$A$1000,"&gt;="&amp;($B$2-30),'Rotation History'!$A$2:$A$1000,"&lt;"&amp;$B$2))</f>
        <v/>
      </c>
      <c r="R149" s="43" t="str">
        <f aca="false">IF($B149="","",COUNTIFS('Rotation History'!$B$2:$B$1000,$B149,'Rotation History'!$M$2:$M$1000,"&gt;0",'Rotation History'!$A$2:$A$1000,"&gt;="&amp;($B$2-30),'Rotation History'!$A$2:$A$1000,"&lt;"&amp;$B$2))</f>
        <v/>
      </c>
      <c r="S149" s="43" t="str">
        <f aca="false">IF($B149="","",IF(COUNTIFS('Rotation History'!$B$2:$B$1000,$B149,'Rotation History'!$A$2:$A$1000,$B$2-1,'Rotation History'!$M$2:$M$1000,"&gt;0")=0,0,1+IF(COUNTIFS('Rotation History'!$B$2:$B$1000,$B149,'Rotation History'!$A$2:$A$1000,$B$2-2,'Rotation History'!$M$2:$M$1000,"&gt;0")=0,0,1+IF(COUNTIFS('Rotation History'!$B$2:$B$1000,$B149,'Rotation History'!$A$2:$A$1000,$B$2-3,'Rotation History'!$M$2:$M$1000,"&gt;0")=0,0,1+IF(COUNTIFS('Rotation History'!$B$2:$B$1000,$B149,'Rotation History'!$A$2:$A$1000,$B$2-4,'Rotation History'!$M$2:$M$1000,"&gt;0")=0,0,1)))))</f>
        <v/>
      </c>
      <c r="T149" s="43" t="str">
        <f aca="false">IF($B149="","",COUNTIFS('Rotation History'!$B$2:$B$1000,$B149,'Rotation History'!$K$2:$K$1000,"Opening",'Rotation History'!$A$2:$A$1000,"&gt;="&amp;($B$2-30),'Rotation History'!$A$2:$A$1000,"&lt;"&amp;$B$2))</f>
        <v/>
      </c>
      <c r="U149" s="43" t="str">
        <f aca="false">IF($B149="","",COUNTIFS('Rotation History'!$B$2:$B$1000,$B149,'Rotation History'!$K$2:$K$1000,"Lunch Relief",'Rotation History'!$A$2:$A$1000,"&gt;="&amp;($B$2-30),'Rotation History'!$A$2:$A$1000,"&lt;"&amp;$B$2))</f>
        <v/>
      </c>
      <c r="V149" s="44" t="str">
        <f aca="false">IF($B149="","",$Q149*10+$R149*2+$S149*20+$T149*3+$U149)</f>
        <v/>
      </c>
    </row>
    <row r="150" customFormat="false" ht="14.25" hidden="false" customHeight="true" outlineLevel="0" collapsed="false">
      <c r="A150" s="40" t="str">
        <f aca="false">IF($B150="","",$B$2)</f>
        <v/>
      </c>
      <c r="B150" s="1" t="str">
        <f aca="false">IF($B$2="","",IFERROR(INDEX('Employee Master'!$A$2:$A$159,MATCH(ROWS($B$6:B150),Lists!$P$2:$P$159,0)),""))</f>
        <v/>
      </c>
      <c r="C150" s="1" t="str">
        <f aca="false">IF($B150="","",IFERROR(INDEX('Employee Master'!$B$2:$B$159,MATCH($B150,'Employee Master'!$A$2:$A$159,0)),""))</f>
        <v/>
      </c>
      <c r="D150" s="1" t="str">
        <f aca="false">IF($B150="","",IFERROR(INDEX('Employee Master'!$C$2:$C$159,MATCH($B150,'Employee Master'!$A$2:$A$159,0)),""))</f>
        <v/>
      </c>
      <c r="E150" s="1" t="str">
        <f aca="false">IF($B150="","",IFERROR(INDEX('Employee Master'!$I$2:$I$159,MATCH($B150,'Employee Master'!$A$2:$A$159,0)),""))</f>
        <v/>
      </c>
      <c r="F150" s="29" t="str">
        <f aca="false">IF($B150="","",IFERROR(INDEX('Employee Master'!$E$2:$E$159,MATCH($B150,'Employee Master'!$A$2:$A$159,0)),""))</f>
        <v/>
      </c>
      <c r="G150" s="29" t="str">
        <f aca="false">IF($B150="","",IFERROR(INDEX('Employee Master'!$F$2:$F$159,MATCH($B150,'Employee Master'!$A$2:$A$159,0)),""))</f>
        <v/>
      </c>
      <c r="H150" s="41" t="str">
        <f aca="false">IF($B150="","","Present")</f>
        <v/>
      </c>
      <c r="I150" s="1" t="str">
        <f aca="false">IF($B150="","",IFERROR(INDEX('Employee Master'!$H$2:$H$159,MATCH($B150,'Employee Master'!$A$2:$A$159,0)),""))</f>
        <v/>
      </c>
      <c r="J150" s="29" t="str">
        <f aca="false">IF($B150="","",IFERROR(INDEX('Qualification Matrix'!$C$2:$C$168,MATCH($B150,'Qualification Matrix'!$A$2:$A$168,0)),2))</f>
        <v/>
      </c>
      <c r="K150" s="29" t="str">
        <f aca="false">IF($B150="","",IFERROR(INDEX('Qualification Matrix'!$D$2:$D$168,MATCH($B150,'Qualification Matrix'!$A$2:$A$168,0)),2))</f>
        <v/>
      </c>
      <c r="L150" s="29" t="str">
        <f aca="false">IF($B150="","",IFERROR(INDEX('Qualification Matrix'!$E$2:$E$168,MATCH($B150,'Qualification Matrix'!$A$2:$A$168,0)),2))</f>
        <v/>
      </c>
      <c r="M150" s="29" t="str">
        <f aca="false">IF($B150="","",IFERROR(INDEX('Qualification Matrix'!$F$2:$F$168,MATCH($B150,'Qualification Matrix'!$A$2:$A$168,0)),2))</f>
        <v/>
      </c>
      <c r="N150" s="29" t="str">
        <f aca="false">IF($B150="","",IF(AND($H150="Present",$F150&lt;&gt;"Y"),"Y","N"))</f>
        <v/>
      </c>
      <c r="O150" s="42"/>
      <c r="P150" s="29" t="str">
        <f aca="false">IF($B150="","",IFERROR(INDEX('Qualification Matrix'!$H$2:$H$168,MATCH($B150,'Qualification Matrix'!$A$2:$A$168,0)),""))</f>
        <v/>
      </c>
      <c r="Q150" s="43" t="str">
        <f aca="false">IF($B150="","",SUMIFS('Rotation History'!$M$2:$M$1000,'Rotation History'!$B$2:$B$1000,$B150,'Rotation History'!$A$2:$A$1000,"&gt;="&amp;($B$2-30),'Rotation History'!$A$2:$A$1000,"&lt;"&amp;$B$2))</f>
        <v/>
      </c>
      <c r="R150" s="43" t="str">
        <f aca="false">IF($B150="","",COUNTIFS('Rotation History'!$B$2:$B$1000,$B150,'Rotation History'!$M$2:$M$1000,"&gt;0",'Rotation History'!$A$2:$A$1000,"&gt;="&amp;($B$2-30),'Rotation History'!$A$2:$A$1000,"&lt;"&amp;$B$2))</f>
        <v/>
      </c>
      <c r="S150" s="43" t="str">
        <f aca="false">IF($B150="","",IF(COUNTIFS('Rotation History'!$B$2:$B$1000,$B150,'Rotation History'!$A$2:$A$1000,$B$2-1,'Rotation History'!$M$2:$M$1000,"&gt;0")=0,0,1+IF(COUNTIFS('Rotation History'!$B$2:$B$1000,$B150,'Rotation History'!$A$2:$A$1000,$B$2-2,'Rotation History'!$M$2:$M$1000,"&gt;0")=0,0,1+IF(COUNTIFS('Rotation History'!$B$2:$B$1000,$B150,'Rotation History'!$A$2:$A$1000,$B$2-3,'Rotation History'!$M$2:$M$1000,"&gt;0")=0,0,1+IF(COUNTIFS('Rotation History'!$B$2:$B$1000,$B150,'Rotation History'!$A$2:$A$1000,$B$2-4,'Rotation History'!$M$2:$M$1000,"&gt;0")=0,0,1)))))</f>
        <v/>
      </c>
      <c r="T150" s="43" t="str">
        <f aca="false">IF($B150="","",COUNTIFS('Rotation History'!$B$2:$B$1000,$B150,'Rotation History'!$K$2:$K$1000,"Opening",'Rotation History'!$A$2:$A$1000,"&gt;="&amp;($B$2-30),'Rotation History'!$A$2:$A$1000,"&lt;"&amp;$B$2))</f>
        <v/>
      </c>
      <c r="U150" s="43" t="str">
        <f aca="false">IF($B150="","",COUNTIFS('Rotation History'!$B$2:$B$1000,$B150,'Rotation History'!$K$2:$K$1000,"Lunch Relief",'Rotation History'!$A$2:$A$1000,"&gt;="&amp;($B$2-30),'Rotation History'!$A$2:$A$1000,"&lt;"&amp;$B$2))</f>
        <v/>
      </c>
      <c r="V150" s="44" t="str">
        <f aca="false">IF($B150="","",$Q150*10+$R150*2+$S150*20+$T150*3+$U150)</f>
        <v/>
      </c>
    </row>
    <row r="151" customFormat="false" ht="14.25" hidden="false" customHeight="true" outlineLevel="0" collapsed="false">
      <c r="A151" s="40" t="str">
        <f aca="false">IF($B151="","",$B$2)</f>
        <v/>
      </c>
      <c r="B151" s="1" t="str">
        <f aca="false">IF($B$2="","",IFERROR(INDEX('Employee Master'!$A$2:$A$159,MATCH(ROWS($B$6:B151),Lists!$P$2:$P$159,0)),""))</f>
        <v/>
      </c>
      <c r="C151" s="1" t="str">
        <f aca="false">IF($B151="","",IFERROR(INDEX('Employee Master'!$B$2:$B$159,MATCH($B151,'Employee Master'!$A$2:$A$159,0)),""))</f>
        <v/>
      </c>
      <c r="D151" s="1" t="str">
        <f aca="false">IF($B151="","",IFERROR(INDEX('Employee Master'!$C$2:$C$159,MATCH($B151,'Employee Master'!$A$2:$A$159,0)),""))</f>
        <v/>
      </c>
      <c r="E151" s="1" t="str">
        <f aca="false">IF($B151="","",IFERROR(INDEX('Employee Master'!$I$2:$I$159,MATCH($B151,'Employee Master'!$A$2:$A$159,0)),""))</f>
        <v/>
      </c>
      <c r="F151" s="29" t="str">
        <f aca="false">IF($B151="","",IFERROR(INDEX('Employee Master'!$E$2:$E$159,MATCH($B151,'Employee Master'!$A$2:$A$159,0)),""))</f>
        <v/>
      </c>
      <c r="G151" s="29" t="str">
        <f aca="false">IF($B151="","",IFERROR(INDEX('Employee Master'!$F$2:$F$159,MATCH($B151,'Employee Master'!$A$2:$A$159,0)),""))</f>
        <v/>
      </c>
      <c r="H151" s="41" t="str">
        <f aca="false">IF($B151="","","Present")</f>
        <v/>
      </c>
      <c r="I151" s="1" t="str">
        <f aca="false">IF($B151="","",IFERROR(INDEX('Employee Master'!$H$2:$H$159,MATCH($B151,'Employee Master'!$A$2:$A$159,0)),""))</f>
        <v/>
      </c>
      <c r="J151" s="29" t="str">
        <f aca="false">IF($B151="","",IFERROR(INDEX('Qualification Matrix'!$C$2:$C$168,MATCH($B151,'Qualification Matrix'!$A$2:$A$168,0)),2))</f>
        <v/>
      </c>
      <c r="K151" s="29" t="str">
        <f aca="false">IF($B151="","",IFERROR(INDEX('Qualification Matrix'!$D$2:$D$168,MATCH($B151,'Qualification Matrix'!$A$2:$A$168,0)),2))</f>
        <v/>
      </c>
      <c r="L151" s="29" t="str">
        <f aca="false">IF($B151="","",IFERROR(INDEX('Qualification Matrix'!$E$2:$E$168,MATCH($B151,'Qualification Matrix'!$A$2:$A$168,0)),2))</f>
        <v/>
      </c>
      <c r="M151" s="29" t="str">
        <f aca="false">IF($B151="","",IFERROR(INDEX('Qualification Matrix'!$F$2:$F$168,MATCH($B151,'Qualification Matrix'!$A$2:$A$168,0)),2))</f>
        <v/>
      </c>
      <c r="N151" s="29" t="str">
        <f aca="false">IF($B151="","",IF(AND($H151="Present",$F151&lt;&gt;"Y"),"Y","N"))</f>
        <v/>
      </c>
      <c r="O151" s="42"/>
      <c r="P151" s="29" t="str">
        <f aca="false">IF($B151="","",IFERROR(INDEX('Qualification Matrix'!$H$2:$H$168,MATCH($B151,'Qualification Matrix'!$A$2:$A$168,0)),""))</f>
        <v/>
      </c>
      <c r="Q151" s="43" t="str">
        <f aca="false">IF($B151="","",SUMIFS('Rotation History'!$M$2:$M$1000,'Rotation History'!$B$2:$B$1000,$B151,'Rotation History'!$A$2:$A$1000,"&gt;="&amp;($B$2-30),'Rotation History'!$A$2:$A$1000,"&lt;"&amp;$B$2))</f>
        <v/>
      </c>
      <c r="R151" s="43" t="str">
        <f aca="false">IF($B151="","",COUNTIFS('Rotation History'!$B$2:$B$1000,$B151,'Rotation History'!$M$2:$M$1000,"&gt;0",'Rotation History'!$A$2:$A$1000,"&gt;="&amp;($B$2-30),'Rotation History'!$A$2:$A$1000,"&lt;"&amp;$B$2))</f>
        <v/>
      </c>
      <c r="S151" s="43" t="str">
        <f aca="false">IF($B151="","",IF(COUNTIFS('Rotation History'!$B$2:$B$1000,$B151,'Rotation History'!$A$2:$A$1000,$B$2-1,'Rotation History'!$M$2:$M$1000,"&gt;0")=0,0,1+IF(COUNTIFS('Rotation History'!$B$2:$B$1000,$B151,'Rotation History'!$A$2:$A$1000,$B$2-2,'Rotation History'!$M$2:$M$1000,"&gt;0")=0,0,1+IF(COUNTIFS('Rotation History'!$B$2:$B$1000,$B151,'Rotation History'!$A$2:$A$1000,$B$2-3,'Rotation History'!$M$2:$M$1000,"&gt;0")=0,0,1+IF(COUNTIFS('Rotation History'!$B$2:$B$1000,$B151,'Rotation History'!$A$2:$A$1000,$B$2-4,'Rotation History'!$M$2:$M$1000,"&gt;0")=0,0,1)))))</f>
        <v/>
      </c>
      <c r="T151" s="43" t="str">
        <f aca="false">IF($B151="","",COUNTIFS('Rotation History'!$B$2:$B$1000,$B151,'Rotation History'!$K$2:$K$1000,"Opening",'Rotation History'!$A$2:$A$1000,"&gt;="&amp;($B$2-30),'Rotation History'!$A$2:$A$1000,"&lt;"&amp;$B$2))</f>
        <v/>
      </c>
      <c r="U151" s="43" t="str">
        <f aca="false">IF($B151="","",COUNTIFS('Rotation History'!$B$2:$B$1000,$B151,'Rotation History'!$K$2:$K$1000,"Lunch Relief",'Rotation History'!$A$2:$A$1000,"&gt;="&amp;($B$2-30),'Rotation History'!$A$2:$A$1000,"&lt;"&amp;$B$2))</f>
        <v/>
      </c>
      <c r="V151" s="44" t="str">
        <f aca="false">IF($B151="","",$Q151*10+$R151*2+$S151*20+$T151*3+$U151)</f>
        <v/>
      </c>
    </row>
    <row r="152" customFormat="false" ht="14.25" hidden="false" customHeight="true" outlineLevel="0" collapsed="false">
      <c r="A152" s="40" t="str">
        <f aca="false">IF($B152="","",$B$2)</f>
        <v/>
      </c>
      <c r="B152" s="1" t="str">
        <f aca="false">IF($B$2="","",IFERROR(INDEX('Employee Master'!$A$2:$A$159,MATCH(ROWS($B$6:B152),Lists!$P$2:$P$159,0)),""))</f>
        <v/>
      </c>
      <c r="C152" s="1" t="str">
        <f aca="false">IF($B152="","",IFERROR(INDEX('Employee Master'!$B$2:$B$159,MATCH($B152,'Employee Master'!$A$2:$A$159,0)),""))</f>
        <v/>
      </c>
      <c r="D152" s="1" t="str">
        <f aca="false">IF($B152="","",IFERROR(INDEX('Employee Master'!$C$2:$C$159,MATCH($B152,'Employee Master'!$A$2:$A$159,0)),""))</f>
        <v/>
      </c>
      <c r="E152" s="1" t="str">
        <f aca="false">IF($B152="","",IFERROR(INDEX('Employee Master'!$I$2:$I$159,MATCH($B152,'Employee Master'!$A$2:$A$159,0)),""))</f>
        <v/>
      </c>
      <c r="F152" s="29" t="str">
        <f aca="false">IF($B152="","",IFERROR(INDEX('Employee Master'!$E$2:$E$159,MATCH($B152,'Employee Master'!$A$2:$A$159,0)),""))</f>
        <v/>
      </c>
      <c r="G152" s="29" t="str">
        <f aca="false">IF($B152="","",IFERROR(INDEX('Employee Master'!$F$2:$F$159,MATCH($B152,'Employee Master'!$A$2:$A$159,0)),""))</f>
        <v/>
      </c>
      <c r="H152" s="41" t="str">
        <f aca="false">IF($B152="","","Present")</f>
        <v/>
      </c>
      <c r="I152" s="1" t="str">
        <f aca="false">IF($B152="","",IFERROR(INDEX('Employee Master'!$H$2:$H$159,MATCH($B152,'Employee Master'!$A$2:$A$159,0)),""))</f>
        <v/>
      </c>
      <c r="J152" s="29" t="str">
        <f aca="false">IF($B152="","",IFERROR(INDEX('Qualification Matrix'!$C$2:$C$168,MATCH($B152,'Qualification Matrix'!$A$2:$A$168,0)),2))</f>
        <v/>
      </c>
      <c r="K152" s="29" t="str">
        <f aca="false">IF($B152="","",IFERROR(INDEX('Qualification Matrix'!$D$2:$D$168,MATCH($B152,'Qualification Matrix'!$A$2:$A$168,0)),2))</f>
        <v/>
      </c>
      <c r="L152" s="29" t="str">
        <f aca="false">IF($B152="","",IFERROR(INDEX('Qualification Matrix'!$E$2:$E$168,MATCH($B152,'Qualification Matrix'!$A$2:$A$168,0)),2))</f>
        <v/>
      </c>
      <c r="M152" s="29" t="str">
        <f aca="false">IF($B152="","",IFERROR(INDEX('Qualification Matrix'!$F$2:$F$168,MATCH($B152,'Qualification Matrix'!$A$2:$A$168,0)),2))</f>
        <v/>
      </c>
      <c r="N152" s="29" t="str">
        <f aca="false">IF($B152="","",IF(AND($H152="Present",$F152&lt;&gt;"Y"),"Y","N"))</f>
        <v/>
      </c>
      <c r="O152" s="42"/>
      <c r="P152" s="29" t="str">
        <f aca="false">IF($B152="","",IFERROR(INDEX('Qualification Matrix'!$H$2:$H$168,MATCH($B152,'Qualification Matrix'!$A$2:$A$168,0)),""))</f>
        <v/>
      </c>
      <c r="Q152" s="43" t="str">
        <f aca="false">IF($B152="","",SUMIFS('Rotation History'!$M$2:$M$1000,'Rotation History'!$B$2:$B$1000,$B152,'Rotation History'!$A$2:$A$1000,"&gt;="&amp;($B$2-30),'Rotation History'!$A$2:$A$1000,"&lt;"&amp;$B$2))</f>
        <v/>
      </c>
      <c r="R152" s="43" t="str">
        <f aca="false">IF($B152="","",COUNTIFS('Rotation History'!$B$2:$B$1000,$B152,'Rotation History'!$M$2:$M$1000,"&gt;0",'Rotation History'!$A$2:$A$1000,"&gt;="&amp;($B$2-30),'Rotation History'!$A$2:$A$1000,"&lt;"&amp;$B$2))</f>
        <v/>
      </c>
      <c r="S152" s="43" t="str">
        <f aca="false">IF($B152="","",IF(COUNTIFS('Rotation History'!$B$2:$B$1000,$B152,'Rotation History'!$A$2:$A$1000,$B$2-1,'Rotation History'!$M$2:$M$1000,"&gt;0")=0,0,1+IF(COUNTIFS('Rotation History'!$B$2:$B$1000,$B152,'Rotation History'!$A$2:$A$1000,$B$2-2,'Rotation History'!$M$2:$M$1000,"&gt;0")=0,0,1+IF(COUNTIFS('Rotation History'!$B$2:$B$1000,$B152,'Rotation History'!$A$2:$A$1000,$B$2-3,'Rotation History'!$M$2:$M$1000,"&gt;0")=0,0,1+IF(COUNTIFS('Rotation History'!$B$2:$B$1000,$B152,'Rotation History'!$A$2:$A$1000,$B$2-4,'Rotation History'!$M$2:$M$1000,"&gt;0")=0,0,1)))))</f>
        <v/>
      </c>
      <c r="T152" s="43" t="str">
        <f aca="false">IF($B152="","",COUNTIFS('Rotation History'!$B$2:$B$1000,$B152,'Rotation History'!$K$2:$K$1000,"Opening",'Rotation History'!$A$2:$A$1000,"&gt;="&amp;($B$2-30),'Rotation History'!$A$2:$A$1000,"&lt;"&amp;$B$2))</f>
        <v/>
      </c>
      <c r="U152" s="43" t="str">
        <f aca="false">IF($B152="","",COUNTIFS('Rotation History'!$B$2:$B$1000,$B152,'Rotation History'!$K$2:$K$1000,"Lunch Relief",'Rotation History'!$A$2:$A$1000,"&gt;="&amp;($B$2-30),'Rotation History'!$A$2:$A$1000,"&lt;"&amp;$B$2))</f>
        <v/>
      </c>
      <c r="V152" s="44" t="str">
        <f aca="false">IF($B152="","",$Q152*10+$R152*2+$S152*20+$T152*3+$U152)</f>
        <v/>
      </c>
    </row>
    <row r="153" customFormat="false" ht="14.25" hidden="false" customHeight="true" outlineLevel="0" collapsed="false">
      <c r="A153" s="40" t="str">
        <f aca="false">IF($B153="","",$B$2)</f>
        <v/>
      </c>
      <c r="B153" s="1" t="str">
        <f aca="false">IF($B$2="","",IFERROR(INDEX('Employee Master'!$A$2:$A$159,MATCH(ROWS($B$6:B153),Lists!$P$2:$P$159,0)),""))</f>
        <v/>
      </c>
      <c r="C153" s="1" t="str">
        <f aca="false">IF($B153="","",IFERROR(INDEX('Employee Master'!$B$2:$B$159,MATCH($B153,'Employee Master'!$A$2:$A$159,0)),""))</f>
        <v/>
      </c>
      <c r="D153" s="1" t="str">
        <f aca="false">IF($B153="","",IFERROR(INDEX('Employee Master'!$C$2:$C$159,MATCH($B153,'Employee Master'!$A$2:$A$159,0)),""))</f>
        <v/>
      </c>
      <c r="E153" s="1" t="str">
        <f aca="false">IF($B153="","",IFERROR(INDEX('Employee Master'!$I$2:$I$159,MATCH($B153,'Employee Master'!$A$2:$A$159,0)),""))</f>
        <v/>
      </c>
      <c r="F153" s="29" t="str">
        <f aca="false">IF($B153="","",IFERROR(INDEX('Employee Master'!$E$2:$E$159,MATCH($B153,'Employee Master'!$A$2:$A$159,0)),""))</f>
        <v/>
      </c>
      <c r="G153" s="29" t="str">
        <f aca="false">IF($B153="","",IFERROR(INDEX('Employee Master'!$F$2:$F$159,MATCH($B153,'Employee Master'!$A$2:$A$159,0)),""))</f>
        <v/>
      </c>
      <c r="H153" s="41" t="str">
        <f aca="false">IF($B153="","","Present")</f>
        <v/>
      </c>
      <c r="I153" s="1" t="str">
        <f aca="false">IF($B153="","",IFERROR(INDEX('Employee Master'!$H$2:$H$159,MATCH($B153,'Employee Master'!$A$2:$A$159,0)),""))</f>
        <v/>
      </c>
      <c r="J153" s="29" t="str">
        <f aca="false">IF($B153="","",IFERROR(INDEX('Qualification Matrix'!$C$2:$C$168,MATCH($B153,'Qualification Matrix'!$A$2:$A$168,0)),2))</f>
        <v/>
      </c>
      <c r="K153" s="29" t="str">
        <f aca="false">IF($B153="","",IFERROR(INDEX('Qualification Matrix'!$D$2:$D$168,MATCH($B153,'Qualification Matrix'!$A$2:$A$168,0)),2))</f>
        <v/>
      </c>
      <c r="L153" s="29" t="str">
        <f aca="false">IF($B153="","",IFERROR(INDEX('Qualification Matrix'!$E$2:$E$168,MATCH($B153,'Qualification Matrix'!$A$2:$A$168,0)),2))</f>
        <v/>
      </c>
      <c r="M153" s="29" t="str">
        <f aca="false">IF($B153="","",IFERROR(INDEX('Qualification Matrix'!$F$2:$F$168,MATCH($B153,'Qualification Matrix'!$A$2:$A$168,0)),2))</f>
        <v/>
      </c>
      <c r="N153" s="29" t="str">
        <f aca="false">IF($B153="","",IF(AND($H153="Present",$F153&lt;&gt;"Y"),"Y","N"))</f>
        <v/>
      </c>
      <c r="O153" s="42"/>
      <c r="P153" s="29" t="str">
        <f aca="false">IF($B153="","",IFERROR(INDEX('Qualification Matrix'!$H$2:$H$168,MATCH($B153,'Qualification Matrix'!$A$2:$A$168,0)),""))</f>
        <v/>
      </c>
      <c r="Q153" s="43" t="str">
        <f aca="false">IF($B153="","",SUMIFS('Rotation History'!$M$2:$M$1000,'Rotation History'!$B$2:$B$1000,$B153,'Rotation History'!$A$2:$A$1000,"&gt;="&amp;($B$2-30),'Rotation History'!$A$2:$A$1000,"&lt;"&amp;$B$2))</f>
        <v/>
      </c>
      <c r="R153" s="43" t="str">
        <f aca="false">IF($B153="","",COUNTIFS('Rotation History'!$B$2:$B$1000,$B153,'Rotation History'!$M$2:$M$1000,"&gt;0",'Rotation History'!$A$2:$A$1000,"&gt;="&amp;($B$2-30),'Rotation History'!$A$2:$A$1000,"&lt;"&amp;$B$2))</f>
        <v/>
      </c>
      <c r="S153" s="43" t="str">
        <f aca="false">IF($B153="","",IF(COUNTIFS('Rotation History'!$B$2:$B$1000,$B153,'Rotation History'!$A$2:$A$1000,$B$2-1,'Rotation History'!$M$2:$M$1000,"&gt;0")=0,0,1+IF(COUNTIFS('Rotation History'!$B$2:$B$1000,$B153,'Rotation History'!$A$2:$A$1000,$B$2-2,'Rotation History'!$M$2:$M$1000,"&gt;0")=0,0,1+IF(COUNTIFS('Rotation History'!$B$2:$B$1000,$B153,'Rotation History'!$A$2:$A$1000,$B$2-3,'Rotation History'!$M$2:$M$1000,"&gt;0")=0,0,1+IF(COUNTIFS('Rotation History'!$B$2:$B$1000,$B153,'Rotation History'!$A$2:$A$1000,$B$2-4,'Rotation History'!$M$2:$M$1000,"&gt;0")=0,0,1)))))</f>
        <v/>
      </c>
      <c r="T153" s="43" t="str">
        <f aca="false">IF($B153="","",COUNTIFS('Rotation History'!$B$2:$B$1000,$B153,'Rotation History'!$K$2:$K$1000,"Opening",'Rotation History'!$A$2:$A$1000,"&gt;="&amp;($B$2-30),'Rotation History'!$A$2:$A$1000,"&lt;"&amp;$B$2))</f>
        <v/>
      </c>
      <c r="U153" s="43" t="str">
        <f aca="false">IF($B153="","",COUNTIFS('Rotation History'!$B$2:$B$1000,$B153,'Rotation History'!$K$2:$K$1000,"Lunch Relief",'Rotation History'!$A$2:$A$1000,"&gt;="&amp;($B$2-30),'Rotation History'!$A$2:$A$1000,"&lt;"&amp;$B$2))</f>
        <v/>
      </c>
      <c r="V153" s="44" t="str">
        <f aca="false">IF($B153="","",$Q153*10+$R153*2+$S153*20+$T153*3+$U153)</f>
        <v/>
      </c>
    </row>
    <row r="154" customFormat="false" ht="14.25" hidden="false" customHeight="true" outlineLevel="0" collapsed="false">
      <c r="A154" s="40" t="str">
        <f aca="false">IF($B154="","",$B$2)</f>
        <v/>
      </c>
      <c r="B154" s="1" t="str">
        <f aca="false">IF($B$2="","",IFERROR(INDEX('Employee Master'!$A$2:$A$159,MATCH(ROWS($B$6:B154),Lists!$P$2:$P$159,0)),""))</f>
        <v/>
      </c>
      <c r="C154" s="1" t="str">
        <f aca="false">IF($B154="","",IFERROR(INDEX('Employee Master'!$B$2:$B$159,MATCH($B154,'Employee Master'!$A$2:$A$159,0)),""))</f>
        <v/>
      </c>
      <c r="D154" s="1" t="str">
        <f aca="false">IF($B154="","",IFERROR(INDEX('Employee Master'!$C$2:$C$159,MATCH($B154,'Employee Master'!$A$2:$A$159,0)),""))</f>
        <v/>
      </c>
      <c r="E154" s="1" t="str">
        <f aca="false">IF($B154="","",IFERROR(INDEX('Employee Master'!$I$2:$I$159,MATCH($B154,'Employee Master'!$A$2:$A$159,0)),""))</f>
        <v/>
      </c>
      <c r="F154" s="29" t="str">
        <f aca="false">IF($B154="","",IFERROR(INDEX('Employee Master'!$E$2:$E$159,MATCH($B154,'Employee Master'!$A$2:$A$159,0)),""))</f>
        <v/>
      </c>
      <c r="G154" s="29" t="str">
        <f aca="false">IF($B154="","",IFERROR(INDEX('Employee Master'!$F$2:$F$159,MATCH($B154,'Employee Master'!$A$2:$A$159,0)),""))</f>
        <v/>
      </c>
      <c r="H154" s="41" t="str">
        <f aca="false">IF($B154="","","Present")</f>
        <v/>
      </c>
      <c r="I154" s="1" t="str">
        <f aca="false">IF($B154="","",IFERROR(INDEX('Employee Master'!$H$2:$H$159,MATCH($B154,'Employee Master'!$A$2:$A$159,0)),""))</f>
        <v/>
      </c>
      <c r="J154" s="29" t="str">
        <f aca="false">IF($B154="","",IFERROR(INDEX('Qualification Matrix'!$C$2:$C$168,MATCH($B154,'Qualification Matrix'!$A$2:$A$168,0)),2))</f>
        <v/>
      </c>
      <c r="K154" s="29" t="str">
        <f aca="false">IF($B154="","",IFERROR(INDEX('Qualification Matrix'!$D$2:$D$168,MATCH($B154,'Qualification Matrix'!$A$2:$A$168,0)),2))</f>
        <v/>
      </c>
      <c r="L154" s="29" t="str">
        <f aca="false">IF($B154="","",IFERROR(INDEX('Qualification Matrix'!$E$2:$E$168,MATCH($B154,'Qualification Matrix'!$A$2:$A$168,0)),2))</f>
        <v/>
      </c>
      <c r="M154" s="29" t="str">
        <f aca="false">IF($B154="","",IFERROR(INDEX('Qualification Matrix'!$F$2:$F$168,MATCH($B154,'Qualification Matrix'!$A$2:$A$168,0)),2))</f>
        <v/>
      </c>
      <c r="N154" s="29" t="str">
        <f aca="false">IF($B154="","",IF(AND($H154="Present",$F154&lt;&gt;"Y"),"Y","N"))</f>
        <v/>
      </c>
      <c r="O154" s="42"/>
      <c r="P154" s="29" t="str">
        <f aca="false">IF($B154="","",IFERROR(INDEX('Qualification Matrix'!$H$2:$H$168,MATCH($B154,'Qualification Matrix'!$A$2:$A$168,0)),""))</f>
        <v/>
      </c>
      <c r="Q154" s="43" t="str">
        <f aca="false">IF($B154="","",SUMIFS('Rotation History'!$M$2:$M$1000,'Rotation History'!$B$2:$B$1000,$B154,'Rotation History'!$A$2:$A$1000,"&gt;="&amp;($B$2-30),'Rotation History'!$A$2:$A$1000,"&lt;"&amp;$B$2))</f>
        <v/>
      </c>
      <c r="R154" s="43" t="str">
        <f aca="false">IF($B154="","",COUNTIFS('Rotation History'!$B$2:$B$1000,$B154,'Rotation History'!$M$2:$M$1000,"&gt;0",'Rotation History'!$A$2:$A$1000,"&gt;="&amp;($B$2-30),'Rotation History'!$A$2:$A$1000,"&lt;"&amp;$B$2))</f>
        <v/>
      </c>
      <c r="S154" s="43" t="str">
        <f aca="false">IF($B154="","",IF(COUNTIFS('Rotation History'!$B$2:$B$1000,$B154,'Rotation History'!$A$2:$A$1000,$B$2-1,'Rotation History'!$M$2:$M$1000,"&gt;0")=0,0,1+IF(COUNTIFS('Rotation History'!$B$2:$B$1000,$B154,'Rotation History'!$A$2:$A$1000,$B$2-2,'Rotation History'!$M$2:$M$1000,"&gt;0")=0,0,1+IF(COUNTIFS('Rotation History'!$B$2:$B$1000,$B154,'Rotation History'!$A$2:$A$1000,$B$2-3,'Rotation History'!$M$2:$M$1000,"&gt;0")=0,0,1+IF(COUNTIFS('Rotation History'!$B$2:$B$1000,$B154,'Rotation History'!$A$2:$A$1000,$B$2-4,'Rotation History'!$M$2:$M$1000,"&gt;0")=0,0,1)))))</f>
        <v/>
      </c>
      <c r="T154" s="43" t="str">
        <f aca="false">IF($B154="","",COUNTIFS('Rotation History'!$B$2:$B$1000,$B154,'Rotation History'!$K$2:$K$1000,"Opening",'Rotation History'!$A$2:$A$1000,"&gt;="&amp;($B$2-30),'Rotation History'!$A$2:$A$1000,"&lt;"&amp;$B$2))</f>
        <v/>
      </c>
      <c r="U154" s="43" t="str">
        <f aca="false">IF($B154="","",COUNTIFS('Rotation History'!$B$2:$B$1000,$B154,'Rotation History'!$K$2:$K$1000,"Lunch Relief",'Rotation History'!$A$2:$A$1000,"&gt;="&amp;($B$2-30),'Rotation History'!$A$2:$A$1000,"&lt;"&amp;$B$2))</f>
        <v/>
      </c>
      <c r="V154" s="44" t="str">
        <f aca="false">IF($B154="","",$Q154*10+$R154*2+$S154*20+$T154*3+$U154)</f>
        <v/>
      </c>
    </row>
    <row r="155" customFormat="false" ht="14.25" hidden="false" customHeight="true" outlineLevel="0" collapsed="false">
      <c r="A155" s="40" t="str">
        <f aca="false">IF($B155="","",$B$2)</f>
        <v/>
      </c>
      <c r="B155" s="1" t="str">
        <f aca="false">IF($B$2="","",IFERROR(INDEX('Employee Master'!$A$2:$A$159,MATCH(ROWS($B$6:B155),Lists!$P$2:$P$159,0)),""))</f>
        <v/>
      </c>
      <c r="C155" s="1" t="str">
        <f aca="false">IF($B155="","",IFERROR(INDEX('Employee Master'!$B$2:$B$159,MATCH($B155,'Employee Master'!$A$2:$A$159,0)),""))</f>
        <v/>
      </c>
      <c r="D155" s="1" t="str">
        <f aca="false">IF($B155="","",IFERROR(INDEX('Employee Master'!$C$2:$C$159,MATCH($B155,'Employee Master'!$A$2:$A$159,0)),""))</f>
        <v/>
      </c>
      <c r="E155" s="1" t="str">
        <f aca="false">IF($B155="","",IFERROR(INDEX('Employee Master'!$I$2:$I$159,MATCH($B155,'Employee Master'!$A$2:$A$159,0)),""))</f>
        <v/>
      </c>
      <c r="F155" s="29" t="str">
        <f aca="false">IF($B155="","",IFERROR(INDEX('Employee Master'!$E$2:$E$159,MATCH($B155,'Employee Master'!$A$2:$A$159,0)),""))</f>
        <v/>
      </c>
      <c r="G155" s="29" t="str">
        <f aca="false">IF($B155="","",IFERROR(INDEX('Employee Master'!$F$2:$F$159,MATCH($B155,'Employee Master'!$A$2:$A$159,0)),""))</f>
        <v/>
      </c>
      <c r="H155" s="41" t="str">
        <f aca="false">IF($B155="","","Present")</f>
        <v/>
      </c>
      <c r="I155" s="1" t="str">
        <f aca="false">IF($B155="","",IFERROR(INDEX('Employee Master'!$H$2:$H$159,MATCH($B155,'Employee Master'!$A$2:$A$159,0)),""))</f>
        <v/>
      </c>
      <c r="J155" s="29" t="str">
        <f aca="false">IF($B155="","",IFERROR(INDEX('Qualification Matrix'!$C$2:$C$168,MATCH($B155,'Qualification Matrix'!$A$2:$A$168,0)),2))</f>
        <v/>
      </c>
      <c r="K155" s="29" t="str">
        <f aca="false">IF($B155="","",IFERROR(INDEX('Qualification Matrix'!$D$2:$D$168,MATCH($B155,'Qualification Matrix'!$A$2:$A$168,0)),2))</f>
        <v/>
      </c>
      <c r="L155" s="29" t="str">
        <f aca="false">IF($B155="","",IFERROR(INDEX('Qualification Matrix'!$E$2:$E$168,MATCH($B155,'Qualification Matrix'!$A$2:$A$168,0)),2))</f>
        <v/>
      </c>
      <c r="M155" s="29" t="str">
        <f aca="false">IF($B155="","",IFERROR(INDEX('Qualification Matrix'!$F$2:$F$168,MATCH($B155,'Qualification Matrix'!$A$2:$A$168,0)),2))</f>
        <v/>
      </c>
      <c r="N155" s="29" t="str">
        <f aca="false">IF($B155="","",IF(AND($H155="Present",$F155&lt;&gt;"Y"),"Y","N"))</f>
        <v/>
      </c>
      <c r="O155" s="42"/>
      <c r="P155" s="29" t="str">
        <f aca="false">IF($B155="","",IFERROR(INDEX('Qualification Matrix'!$H$2:$H$168,MATCH($B155,'Qualification Matrix'!$A$2:$A$168,0)),""))</f>
        <v/>
      </c>
      <c r="Q155" s="43" t="str">
        <f aca="false">IF($B155="","",SUMIFS('Rotation History'!$M$2:$M$1000,'Rotation History'!$B$2:$B$1000,$B155,'Rotation History'!$A$2:$A$1000,"&gt;="&amp;($B$2-30),'Rotation History'!$A$2:$A$1000,"&lt;"&amp;$B$2))</f>
        <v/>
      </c>
      <c r="R155" s="43" t="str">
        <f aca="false">IF($B155="","",COUNTIFS('Rotation History'!$B$2:$B$1000,$B155,'Rotation History'!$M$2:$M$1000,"&gt;0",'Rotation History'!$A$2:$A$1000,"&gt;="&amp;($B$2-30),'Rotation History'!$A$2:$A$1000,"&lt;"&amp;$B$2))</f>
        <v/>
      </c>
      <c r="S155" s="43" t="str">
        <f aca="false">IF($B155="","",IF(COUNTIFS('Rotation History'!$B$2:$B$1000,$B155,'Rotation History'!$A$2:$A$1000,$B$2-1,'Rotation History'!$M$2:$M$1000,"&gt;0")=0,0,1+IF(COUNTIFS('Rotation History'!$B$2:$B$1000,$B155,'Rotation History'!$A$2:$A$1000,$B$2-2,'Rotation History'!$M$2:$M$1000,"&gt;0")=0,0,1+IF(COUNTIFS('Rotation History'!$B$2:$B$1000,$B155,'Rotation History'!$A$2:$A$1000,$B$2-3,'Rotation History'!$M$2:$M$1000,"&gt;0")=0,0,1+IF(COUNTIFS('Rotation History'!$B$2:$B$1000,$B155,'Rotation History'!$A$2:$A$1000,$B$2-4,'Rotation History'!$M$2:$M$1000,"&gt;0")=0,0,1)))))</f>
        <v/>
      </c>
      <c r="T155" s="43" t="str">
        <f aca="false">IF($B155="","",COUNTIFS('Rotation History'!$B$2:$B$1000,$B155,'Rotation History'!$K$2:$K$1000,"Opening",'Rotation History'!$A$2:$A$1000,"&gt;="&amp;($B$2-30),'Rotation History'!$A$2:$A$1000,"&lt;"&amp;$B$2))</f>
        <v/>
      </c>
      <c r="U155" s="43" t="str">
        <f aca="false">IF($B155="","",COUNTIFS('Rotation History'!$B$2:$B$1000,$B155,'Rotation History'!$K$2:$K$1000,"Lunch Relief",'Rotation History'!$A$2:$A$1000,"&gt;="&amp;($B$2-30),'Rotation History'!$A$2:$A$1000,"&lt;"&amp;$B$2))</f>
        <v/>
      </c>
      <c r="V155" s="44" t="str">
        <f aca="false">IF($B155="","",$Q155*10+$R155*2+$S155*20+$T155*3+$U155)</f>
        <v/>
      </c>
    </row>
    <row r="156" customFormat="false" ht="14.25" hidden="false" customHeight="true" outlineLevel="0" collapsed="false">
      <c r="A156" s="40" t="str">
        <f aca="false">IF($B156="","",$B$2)</f>
        <v/>
      </c>
      <c r="B156" s="1" t="str">
        <f aca="false">IF($B$2="","",IFERROR(INDEX('Employee Master'!$A$2:$A$159,MATCH(ROWS($B$6:B156),Lists!$P$2:$P$159,0)),""))</f>
        <v/>
      </c>
      <c r="C156" s="1" t="str">
        <f aca="false">IF($B156="","",IFERROR(INDEX('Employee Master'!$B$2:$B$159,MATCH($B156,'Employee Master'!$A$2:$A$159,0)),""))</f>
        <v/>
      </c>
      <c r="D156" s="1" t="str">
        <f aca="false">IF($B156="","",IFERROR(INDEX('Employee Master'!$C$2:$C$159,MATCH($B156,'Employee Master'!$A$2:$A$159,0)),""))</f>
        <v/>
      </c>
      <c r="E156" s="1" t="str">
        <f aca="false">IF($B156="","",IFERROR(INDEX('Employee Master'!$I$2:$I$159,MATCH($B156,'Employee Master'!$A$2:$A$159,0)),""))</f>
        <v/>
      </c>
      <c r="F156" s="29" t="str">
        <f aca="false">IF($B156="","",IFERROR(INDEX('Employee Master'!$E$2:$E$159,MATCH($B156,'Employee Master'!$A$2:$A$159,0)),""))</f>
        <v/>
      </c>
      <c r="G156" s="29" t="str">
        <f aca="false">IF($B156="","",IFERROR(INDEX('Employee Master'!$F$2:$F$159,MATCH($B156,'Employee Master'!$A$2:$A$159,0)),""))</f>
        <v/>
      </c>
      <c r="H156" s="41" t="str">
        <f aca="false">IF($B156="","","Present")</f>
        <v/>
      </c>
      <c r="I156" s="1" t="str">
        <f aca="false">IF($B156="","",IFERROR(INDEX('Employee Master'!$H$2:$H$159,MATCH($B156,'Employee Master'!$A$2:$A$159,0)),""))</f>
        <v/>
      </c>
      <c r="J156" s="29" t="str">
        <f aca="false">IF($B156="","",IFERROR(INDEX('Qualification Matrix'!$C$2:$C$168,MATCH($B156,'Qualification Matrix'!$A$2:$A$168,0)),2))</f>
        <v/>
      </c>
      <c r="K156" s="29" t="str">
        <f aca="false">IF($B156="","",IFERROR(INDEX('Qualification Matrix'!$D$2:$D$168,MATCH($B156,'Qualification Matrix'!$A$2:$A$168,0)),2))</f>
        <v/>
      </c>
      <c r="L156" s="29" t="str">
        <f aca="false">IF($B156="","",IFERROR(INDEX('Qualification Matrix'!$E$2:$E$168,MATCH($B156,'Qualification Matrix'!$A$2:$A$168,0)),2))</f>
        <v/>
      </c>
      <c r="M156" s="29" t="str">
        <f aca="false">IF($B156="","",IFERROR(INDEX('Qualification Matrix'!$F$2:$F$168,MATCH($B156,'Qualification Matrix'!$A$2:$A$168,0)),2))</f>
        <v/>
      </c>
      <c r="N156" s="29" t="str">
        <f aca="false">IF($B156="","",IF(AND($H156="Present",$F156&lt;&gt;"Y"),"Y","N"))</f>
        <v/>
      </c>
      <c r="O156" s="42"/>
      <c r="P156" s="29" t="str">
        <f aca="false">IF($B156="","",IFERROR(INDEX('Qualification Matrix'!$H$2:$H$168,MATCH($B156,'Qualification Matrix'!$A$2:$A$168,0)),""))</f>
        <v/>
      </c>
      <c r="Q156" s="43" t="str">
        <f aca="false">IF($B156="","",SUMIFS('Rotation History'!$M$2:$M$1000,'Rotation History'!$B$2:$B$1000,$B156,'Rotation History'!$A$2:$A$1000,"&gt;="&amp;($B$2-30),'Rotation History'!$A$2:$A$1000,"&lt;"&amp;$B$2))</f>
        <v/>
      </c>
      <c r="R156" s="43" t="str">
        <f aca="false">IF($B156="","",COUNTIFS('Rotation History'!$B$2:$B$1000,$B156,'Rotation History'!$M$2:$M$1000,"&gt;0",'Rotation History'!$A$2:$A$1000,"&gt;="&amp;($B$2-30),'Rotation History'!$A$2:$A$1000,"&lt;"&amp;$B$2))</f>
        <v/>
      </c>
      <c r="S156" s="43" t="str">
        <f aca="false">IF($B156="","",IF(COUNTIFS('Rotation History'!$B$2:$B$1000,$B156,'Rotation History'!$A$2:$A$1000,$B$2-1,'Rotation History'!$M$2:$M$1000,"&gt;0")=0,0,1+IF(COUNTIFS('Rotation History'!$B$2:$B$1000,$B156,'Rotation History'!$A$2:$A$1000,$B$2-2,'Rotation History'!$M$2:$M$1000,"&gt;0")=0,0,1+IF(COUNTIFS('Rotation History'!$B$2:$B$1000,$B156,'Rotation History'!$A$2:$A$1000,$B$2-3,'Rotation History'!$M$2:$M$1000,"&gt;0")=0,0,1+IF(COUNTIFS('Rotation History'!$B$2:$B$1000,$B156,'Rotation History'!$A$2:$A$1000,$B$2-4,'Rotation History'!$M$2:$M$1000,"&gt;0")=0,0,1)))))</f>
        <v/>
      </c>
      <c r="T156" s="43" t="str">
        <f aca="false">IF($B156="","",COUNTIFS('Rotation History'!$B$2:$B$1000,$B156,'Rotation History'!$K$2:$K$1000,"Opening",'Rotation History'!$A$2:$A$1000,"&gt;="&amp;($B$2-30),'Rotation History'!$A$2:$A$1000,"&lt;"&amp;$B$2))</f>
        <v/>
      </c>
      <c r="U156" s="43" t="str">
        <f aca="false">IF($B156="","",COUNTIFS('Rotation History'!$B$2:$B$1000,$B156,'Rotation History'!$K$2:$K$1000,"Lunch Relief",'Rotation History'!$A$2:$A$1000,"&gt;="&amp;($B$2-30),'Rotation History'!$A$2:$A$1000,"&lt;"&amp;$B$2))</f>
        <v/>
      </c>
      <c r="V156" s="44" t="str">
        <f aca="false">IF($B156="","",$Q156*10+$R156*2+$S156*20+$T156*3+$U156)</f>
        <v/>
      </c>
    </row>
    <row r="157" customFormat="false" ht="14.25" hidden="false" customHeight="true" outlineLevel="0" collapsed="false">
      <c r="A157" s="40" t="str">
        <f aca="false">IF($B157="","",$B$2)</f>
        <v/>
      </c>
      <c r="B157" s="1" t="str">
        <f aca="false">IF($B$2="","",IFERROR(INDEX('Employee Master'!$A$2:$A$159,MATCH(ROWS($B$6:B157),Lists!$P$2:$P$159,0)),""))</f>
        <v/>
      </c>
      <c r="C157" s="1" t="str">
        <f aca="false">IF($B157="","",IFERROR(INDEX('Employee Master'!$B$2:$B$159,MATCH($B157,'Employee Master'!$A$2:$A$159,0)),""))</f>
        <v/>
      </c>
      <c r="D157" s="1" t="str">
        <f aca="false">IF($B157="","",IFERROR(INDEX('Employee Master'!$C$2:$C$159,MATCH($B157,'Employee Master'!$A$2:$A$159,0)),""))</f>
        <v/>
      </c>
      <c r="E157" s="1" t="str">
        <f aca="false">IF($B157="","",IFERROR(INDEX('Employee Master'!$I$2:$I$159,MATCH($B157,'Employee Master'!$A$2:$A$159,0)),""))</f>
        <v/>
      </c>
      <c r="F157" s="29" t="str">
        <f aca="false">IF($B157="","",IFERROR(INDEX('Employee Master'!$E$2:$E$159,MATCH($B157,'Employee Master'!$A$2:$A$159,0)),""))</f>
        <v/>
      </c>
      <c r="G157" s="29" t="str">
        <f aca="false">IF($B157="","",IFERROR(INDEX('Employee Master'!$F$2:$F$159,MATCH($B157,'Employee Master'!$A$2:$A$159,0)),""))</f>
        <v/>
      </c>
      <c r="H157" s="41" t="str">
        <f aca="false">IF($B157="","","Present")</f>
        <v/>
      </c>
      <c r="I157" s="1" t="str">
        <f aca="false">IF($B157="","",IFERROR(INDEX('Employee Master'!$H$2:$H$159,MATCH($B157,'Employee Master'!$A$2:$A$159,0)),""))</f>
        <v/>
      </c>
      <c r="J157" s="29" t="str">
        <f aca="false">IF($B157="","",IFERROR(INDEX('Qualification Matrix'!$C$2:$C$168,MATCH($B157,'Qualification Matrix'!$A$2:$A$168,0)),2))</f>
        <v/>
      </c>
      <c r="K157" s="29" t="str">
        <f aca="false">IF($B157="","",IFERROR(INDEX('Qualification Matrix'!$D$2:$D$168,MATCH($B157,'Qualification Matrix'!$A$2:$A$168,0)),2))</f>
        <v/>
      </c>
      <c r="L157" s="29" t="str">
        <f aca="false">IF($B157="","",IFERROR(INDEX('Qualification Matrix'!$E$2:$E$168,MATCH($B157,'Qualification Matrix'!$A$2:$A$168,0)),2))</f>
        <v/>
      </c>
      <c r="M157" s="29" t="str">
        <f aca="false">IF($B157="","",IFERROR(INDEX('Qualification Matrix'!$F$2:$F$168,MATCH($B157,'Qualification Matrix'!$A$2:$A$168,0)),2))</f>
        <v/>
      </c>
      <c r="N157" s="29" t="str">
        <f aca="false">IF($B157="","",IF(AND($H157="Present",$F157&lt;&gt;"Y"),"Y","N"))</f>
        <v/>
      </c>
      <c r="O157" s="42"/>
      <c r="P157" s="29" t="str">
        <f aca="false">IF($B157="","",IFERROR(INDEX('Qualification Matrix'!$H$2:$H$168,MATCH($B157,'Qualification Matrix'!$A$2:$A$168,0)),""))</f>
        <v/>
      </c>
      <c r="Q157" s="43" t="str">
        <f aca="false">IF($B157="","",SUMIFS('Rotation History'!$M$2:$M$1000,'Rotation History'!$B$2:$B$1000,$B157,'Rotation History'!$A$2:$A$1000,"&gt;="&amp;($B$2-30),'Rotation History'!$A$2:$A$1000,"&lt;"&amp;$B$2))</f>
        <v/>
      </c>
      <c r="R157" s="43" t="str">
        <f aca="false">IF($B157="","",COUNTIFS('Rotation History'!$B$2:$B$1000,$B157,'Rotation History'!$M$2:$M$1000,"&gt;0",'Rotation History'!$A$2:$A$1000,"&gt;="&amp;($B$2-30),'Rotation History'!$A$2:$A$1000,"&lt;"&amp;$B$2))</f>
        <v/>
      </c>
      <c r="S157" s="43" t="str">
        <f aca="false">IF($B157="","",IF(COUNTIFS('Rotation History'!$B$2:$B$1000,$B157,'Rotation History'!$A$2:$A$1000,$B$2-1,'Rotation History'!$M$2:$M$1000,"&gt;0")=0,0,1+IF(COUNTIFS('Rotation History'!$B$2:$B$1000,$B157,'Rotation History'!$A$2:$A$1000,$B$2-2,'Rotation History'!$M$2:$M$1000,"&gt;0")=0,0,1+IF(COUNTIFS('Rotation History'!$B$2:$B$1000,$B157,'Rotation History'!$A$2:$A$1000,$B$2-3,'Rotation History'!$M$2:$M$1000,"&gt;0")=0,0,1+IF(COUNTIFS('Rotation History'!$B$2:$B$1000,$B157,'Rotation History'!$A$2:$A$1000,$B$2-4,'Rotation History'!$M$2:$M$1000,"&gt;0")=0,0,1)))))</f>
        <v/>
      </c>
      <c r="T157" s="43" t="str">
        <f aca="false">IF($B157="","",COUNTIFS('Rotation History'!$B$2:$B$1000,$B157,'Rotation History'!$K$2:$K$1000,"Opening",'Rotation History'!$A$2:$A$1000,"&gt;="&amp;($B$2-30),'Rotation History'!$A$2:$A$1000,"&lt;"&amp;$B$2))</f>
        <v/>
      </c>
      <c r="U157" s="43" t="str">
        <f aca="false">IF($B157="","",COUNTIFS('Rotation History'!$B$2:$B$1000,$B157,'Rotation History'!$K$2:$K$1000,"Lunch Relief",'Rotation History'!$A$2:$A$1000,"&gt;="&amp;($B$2-30),'Rotation History'!$A$2:$A$1000,"&lt;"&amp;$B$2))</f>
        <v/>
      </c>
      <c r="V157" s="44" t="str">
        <f aca="false">IF($B157="","",$Q157*10+$R157*2+$S157*20+$T157*3+$U157)</f>
        <v/>
      </c>
    </row>
    <row r="158" customFormat="false" ht="14.25" hidden="false" customHeight="true" outlineLevel="0" collapsed="false">
      <c r="A158" s="40" t="str">
        <f aca="false">IF($B158="","",$B$2)</f>
        <v/>
      </c>
      <c r="B158" s="1" t="str">
        <f aca="false">IF($B$2="","",IFERROR(INDEX('Employee Master'!$A$2:$A$159,MATCH(ROWS($B$6:B158),Lists!$P$2:$P$159,0)),""))</f>
        <v/>
      </c>
      <c r="C158" s="1" t="str">
        <f aca="false">IF($B158="","",IFERROR(INDEX('Employee Master'!$B$2:$B$159,MATCH($B158,'Employee Master'!$A$2:$A$159,0)),""))</f>
        <v/>
      </c>
      <c r="D158" s="1" t="str">
        <f aca="false">IF($B158="","",IFERROR(INDEX('Employee Master'!$C$2:$C$159,MATCH($B158,'Employee Master'!$A$2:$A$159,0)),""))</f>
        <v/>
      </c>
      <c r="E158" s="1" t="str">
        <f aca="false">IF($B158="","",IFERROR(INDEX('Employee Master'!$I$2:$I$159,MATCH($B158,'Employee Master'!$A$2:$A$159,0)),""))</f>
        <v/>
      </c>
      <c r="F158" s="29" t="str">
        <f aca="false">IF($B158="","",IFERROR(INDEX('Employee Master'!$E$2:$E$159,MATCH($B158,'Employee Master'!$A$2:$A$159,0)),""))</f>
        <v/>
      </c>
      <c r="G158" s="29" t="str">
        <f aca="false">IF($B158="","",IFERROR(INDEX('Employee Master'!$F$2:$F$159,MATCH($B158,'Employee Master'!$A$2:$A$159,0)),""))</f>
        <v/>
      </c>
      <c r="H158" s="41" t="str">
        <f aca="false">IF($B158="","","Present")</f>
        <v/>
      </c>
      <c r="I158" s="1" t="str">
        <f aca="false">IF($B158="","",IFERROR(INDEX('Employee Master'!$H$2:$H$159,MATCH($B158,'Employee Master'!$A$2:$A$159,0)),""))</f>
        <v/>
      </c>
      <c r="J158" s="29" t="str">
        <f aca="false">IF($B158="","",IFERROR(INDEX('Qualification Matrix'!$C$2:$C$168,MATCH($B158,'Qualification Matrix'!$A$2:$A$168,0)),2))</f>
        <v/>
      </c>
      <c r="K158" s="29" t="str">
        <f aca="false">IF($B158="","",IFERROR(INDEX('Qualification Matrix'!$D$2:$D$168,MATCH($B158,'Qualification Matrix'!$A$2:$A$168,0)),2))</f>
        <v/>
      </c>
      <c r="L158" s="29" t="str">
        <f aca="false">IF($B158="","",IFERROR(INDEX('Qualification Matrix'!$E$2:$E$168,MATCH($B158,'Qualification Matrix'!$A$2:$A$168,0)),2))</f>
        <v/>
      </c>
      <c r="M158" s="29" t="str">
        <f aca="false">IF($B158="","",IFERROR(INDEX('Qualification Matrix'!$F$2:$F$168,MATCH($B158,'Qualification Matrix'!$A$2:$A$168,0)),2))</f>
        <v/>
      </c>
      <c r="N158" s="29" t="str">
        <f aca="false">IF($B158="","",IF(AND($H158="Present",$F158&lt;&gt;"Y"),"Y","N"))</f>
        <v/>
      </c>
      <c r="O158" s="42"/>
      <c r="P158" s="29" t="str">
        <f aca="false">IF($B158="","",IFERROR(INDEX('Qualification Matrix'!$H$2:$H$168,MATCH($B158,'Qualification Matrix'!$A$2:$A$168,0)),""))</f>
        <v/>
      </c>
      <c r="Q158" s="43" t="str">
        <f aca="false">IF($B158="","",SUMIFS('Rotation History'!$M$2:$M$1000,'Rotation History'!$B$2:$B$1000,$B158,'Rotation History'!$A$2:$A$1000,"&gt;="&amp;($B$2-30),'Rotation History'!$A$2:$A$1000,"&lt;"&amp;$B$2))</f>
        <v/>
      </c>
      <c r="R158" s="43" t="str">
        <f aca="false">IF($B158="","",COUNTIFS('Rotation History'!$B$2:$B$1000,$B158,'Rotation History'!$M$2:$M$1000,"&gt;0",'Rotation History'!$A$2:$A$1000,"&gt;="&amp;($B$2-30),'Rotation History'!$A$2:$A$1000,"&lt;"&amp;$B$2))</f>
        <v/>
      </c>
      <c r="S158" s="43" t="str">
        <f aca="false">IF($B158="","",IF(COUNTIFS('Rotation History'!$B$2:$B$1000,$B158,'Rotation History'!$A$2:$A$1000,$B$2-1,'Rotation History'!$M$2:$M$1000,"&gt;0")=0,0,1+IF(COUNTIFS('Rotation History'!$B$2:$B$1000,$B158,'Rotation History'!$A$2:$A$1000,$B$2-2,'Rotation History'!$M$2:$M$1000,"&gt;0")=0,0,1+IF(COUNTIFS('Rotation History'!$B$2:$B$1000,$B158,'Rotation History'!$A$2:$A$1000,$B$2-3,'Rotation History'!$M$2:$M$1000,"&gt;0")=0,0,1+IF(COUNTIFS('Rotation History'!$B$2:$B$1000,$B158,'Rotation History'!$A$2:$A$1000,$B$2-4,'Rotation History'!$M$2:$M$1000,"&gt;0")=0,0,1)))))</f>
        <v/>
      </c>
      <c r="T158" s="43" t="str">
        <f aca="false">IF($B158="","",COUNTIFS('Rotation History'!$B$2:$B$1000,$B158,'Rotation History'!$K$2:$K$1000,"Opening",'Rotation History'!$A$2:$A$1000,"&gt;="&amp;($B$2-30),'Rotation History'!$A$2:$A$1000,"&lt;"&amp;$B$2))</f>
        <v/>
      </c>
      <c r="U158" s="43" t="str">
        <f aca="false">IF($B158="","",COUNTIFS('Rotation History'!$B$2:$B$1000,$B158,'Rotation History'!$K$2:$K$1000,"Lunch Relief",'Rotation History'!$A$2:$A$1000,"&gt;="&amp;($B$2-30),'Rotation History'!$A$2:$A$1000,"&lt;"&amp;$B$2))</f>
        <v/>
      </c>
      <c r="V158" s="44" t="str">
        <f aca="false">IF($B158="","",$Q158*10+$R158*2+$S158*20+$T158*3+$U158)</f>
        <v/>
      </c>
    </row>
    <row r="159" customFormat="false" ht="14.25" hidden="false" customHeight="true" outlineLevel="0" collapsed="false">
      <c r="A159" s="40" t="str">
        <f aca="false">IF($B159="","",$B$2)</f>
        <v/>
      </c>
      <c r="B159" s="1" t="str">
        <f aca="false">IF($B$2="","",IFERROR(INDEX('Employee Master'!$A$2:$A$159,MATCH(ROWS($B$6:B159),Lists!$P$2:$P$159,0)),""))</f>
        <v/>
      </c>
      <c r="C159" s="1" t="str">
        <f aca="false">IF($B159="","",IFERROR(INDEX('Employee Master'!$B$2:$B$159,MATCH($B159,'Employee Master'!$A$2:$A$159,0)),""))</f>
        <v/>
      </c>
      <c r="D159" s="1" t="str">
        <f aca="false">IF($B159="","",IFERROR(INDEX('Employee Master'!$C$2:$C$159,MATCH($B159,'Employee Master'!$A$2:$A$159,0)),""))</f>
        <v/>
      </c>
      <c r="E159" s="1" t="str">
        <f aca="false">IF($B159="","",IFERROR(INDEX('Employee Master'!$I$2:$I$159,MATCH($B159,'Employee Master'!$A$2:$A$159,0)),""))</f>
        <v/>
      </c>
      <c r="F159" s="29" t="str">
        <f aca="false">IF($B159="","",IFERROR(INDEX('Employee Master'!$E$2:$E$159,MATCH($B159,'Employee Master'!$A$2:$A$159,0)),""))</f>
        <v/>
      </c>
      <c r="G159" s="29" t="str">
        <f aca="false">IF($B159="","",IFERROR(INDEX('Employee Master'!$F$2:$F$159,MATCH($B159,'Employee Master'!$A$2:$A$159,0)),""))</f>
        <v/>
      </c>
      <c r="H159" s="41" t="str">
        <f aca="false">IF($B159="","","Present")</f>
        <v/>
      </c>
      <c r="I159" s="1" t="str">
        <f aca="false">IF($B159="","",IFERROR(INDEX('Employee Master'!$H$2:$H$159,MATCH($B159,'Employee Master'!$A$2:$A$159,0)),""))</f>
        <v/>
      </c>
      <c r="J159" s="29" t="str">
        <f aca="false">IF($B159="","",IFERROR(INDEX('Qualification Matrix'!$C$2:$C$168,MATCH($B159,'Qualification Matrix'!$A$2:$A$168,0)),2))</f>
        <v/>
      </c>
      <c r="K159" s="29" t="str">
        <f aca="false">IF($B159="","",IFERROR(INDEX('Qualification Matrix'!$D$2:$D$168,MATCH($B159,'Qualification Matrix'!$A$2:$A$168,0)),2))</f>
        <v/>
      </c>
      <c r="L159" s="29" t="str">
        <f aca="false">IF($B159="","",IFERROR(INDEX('Qualification Matrix'!$E$2:$E$168,MATCH($B159,'Qualification Matrix'!$A$2:$A$168,0)),2))</f>
        <v/>
      </c>
      <c r="M159" s="29" t="str">
        <f aca="false">IF($B159="","",IFERROR(INDEX('Qualification Matrix'!$F$2:$F$168,MATCH($B159,'Qualification Matrix'!$A$2:$A$168,0)),2))</f>
        <v/>
      </c>
      <c r="N159" s="29" t="str">
        <f aca="false">IF($B159="","",IF(AND($H159="Present",$F159&lt;&gt;"Y"),"Y","N"))</f>
        <v/>
      </c>
      <c r="O159" s="42"/>
      <c r="P159" s="29" t="str">
        <f aca="false">IF($B159="","",IFERROR(INDEX('Qualification Matrix'!$H$2:$H$168,MATCH($B159,'Qualification Matrix'!$A$2:$A$168,0)),""))</f>
        <v/>
      </c>
      <c r="Q159" s="43" t="str">
        <f aca="false">IF($B159="","",SUMIFS('Rotation History'!$M$2:$M$1000,'Rotation History'!$B$2:$B$1000,$B159,'Rotation History'!$A$2:$A$1000,"&gt;="&amp;($B$2-30),'Rotation History'!$A$2:$A$1000,"&lt;"&amp;$B$2))</f>
        <v/>
      </c>
      <c r="R159" s="43" t="str">
        <f aca="false">IF($B159="","",COUNTIFS('Rotation History'!$B$2:$B$1000,$B159,'Rotation History'!$M$2:$M$1000,"&gt;0",'Rotation History'!$A$2:$A$1000,"&gt;="&amp;($B$2-30),'Rotation History'!$A$2:$A$1000,"&lt;"&amp;$B$2))</f>
        <v/>
      </c>
      <c r="S159" s="43" t="str">
        <f aca="false">IF($B159="","",IF(COUNTIFS('Rotation History'!$B$2:$B$1000,$B159,'Rotation History'!$A$2:$A$1000,$B$2-1,'Rotation History'!$M$2:$M$1000,"&gt;0")=0,0,1+IF(COUNTIFS('Rotation History'!$B$2:$B$1000,$B159,'Rotation History'!$A$2:$A$1000,$B$2-2,'Rotation History'!$M$2:$M$1000,"&gt;0")=0,0,1+IF(COUNTIFS('Rotation History'!$B$2:$B$1000,$B159,'Rotation History'!$A$2:$A$1000,$B$2-3,'Rotation History'!$M$2:$M$1000,"&gt;0")=0,0,1+IF(COUNTIFS('Rotation History'!$B$2:$B$1000,$B159,'Rotation History'!$A$2:$A$1000,$B$2-4,'Rotation History'!$M$2:$M$1000,"&gt;0")=0,0,1)))))</f>
        <v/>
      </c>
      <c r="T159" s="43" t="str">
        <f aca="false">IF($B159="","",COUNTIFS('Rotation History'!$B$2:$B$1000,$B159,'Rotation History'!$K$2:$K$1000,"Opening",'Rotation History'!$A$2:$A$1000,"&gt;="&amp;($B$2-30),'Rotation History'!$A$2:$A$1000,"&lt;"&amp;$B$2))</f>
        <v/>
      </c>
      <c r="U159" s="43" t="str">
        <f aca="false">IF($B159="","",COUNTIFS('Rotation History'!$B$2:$B$1000,$B159,'Rotation History'!$K$2:$K$1000,"Lunch Relief",'Rotation History'!$A$2:$A$1000,"&gt;="&amp;($B$2-30),'Rotation History'!$A$2:$A$1000,"&lt;"&amp;$B$2))</f>
        <v/>
      </c>
      <c r="V159" s="44" t="str">
        <f aca="false">IF($B159="","",$Q159*10+$R159*2+$S159*20+$T159*3+$U159)</f>
        <v/>
      </c>
    </row>
    <row r="160" customFormat="false" ht="14.25" hidden="false" customHeight="true" outlineLevel="0" collapsed="false">
      <c r="A160" s="40" t="str">
        <f aca="false">IF($B160="","",$B$2)</f>
        <v/>
      </c>
      <c r="B160" s="1" t="str">
        <f aca="false">IF($B$2="","",IFERROR(INDEX('Employee Master'!$A$2:$A$159,MATCH(ROWS($B$6:B160),Lists!$P$2:$P$159,0)),""))</f>
        <v/>
      </c>
      <c r="C160" s="1" t="str">
        <f aca="false">IF($B160="","",IFERROR(INDEX('Employee Master'!$B$2:$B$159,MATCH($B160,'Employee Master'!$A$2:$A$159,0)),""))</f>
        <v/>
      </c>
      <c r="D160" s="1" t="str">
        <f aca="false">IF($B160="","",IFERROR(INDEX('Employee Master'!$C$2:$C$159,MATCH($B160,'Employee Master'!$A$2:$A$159,0)),""))</f>
        <v/>
      </c>
      <c r="E160" s="1" t="str">
        <f aca="false">IF($B160="","",IFERROR(INDEX('Employee Master'!$I$2:$I$159,MATCH($B160,'Employee Master'!$A$2:$A$159,0)),""))</f>
        <v/>
      </c>
      <c r="F160" s="29" t="str">
        <f aca="false">IF($B160="","",IFERROR(INDEX('Employee Master'!$E$2:$E$159,MATCH($B160,'Employee Master'!$A$2:$A$159,0)),""))</f>
        <v/>
      </c>
      <c r="G160" s="29" t="str">
        <f aca="false">IF($B160="","",IFERROR(INDEX('Employee Master'!$F$2:$F$159,MATCH($B160,'Employee Master'!$A$2:$A$159,0)),""))</f>
        <v/>
      </c>
      <c r="H160" s="41" t="str">
        <f aca="false">IF($B160="","","Present")</f>
        <v/>
      </c>
      <c r="I160" s="1" t="str">
        <f aca="false">IF($B160="","",IFERROR(INDEX('Employee Master'!$H$2:$H$159,MATCH($B160,'Employee Master'!$A$2:$A$159,0)),""))</f>
        <v/>
      </c>
      <c r="J160" s="29" t="str">
        <f aca="false">IF($B160="","",IFERROR(INDEX('Qualification Matrix'!$C$2:$C$168,MATCH($B160,'Qualification Matrix'!$A$2:$A$168,0)),2))</f>
        <v/>
      </c>
      <c r="K160" s="29" t="str">
        <f aca="false">IF($B160="","",IFERROR(INDEX('Qualification Matrix'!$D$2:$D$168,MATCH($B160,'Qualification Matrix'!$A$2:$A$168,0)),2))</f>
        <v/>
      </c>
      <c r="L160" s="29" t="str">
        <f aca="false">IF($B160="","",IFERROR(INDEX('Qualification Matrix'!$E$2:$E$168,MATCH($B160,'Qualification Matrix'!$A$2:$A$168,0)),2))</f>
        <v/>
      </c>
      <c r="M160" s="29" t="str">
        <f aca="false">IF($B160="","",IFERROR(INDEX('Qualification Matrix'!$F$2:$F$168,MATCH($B160,'Qualification Matrix'!$A$2:$A$168,0)),2))</f>
        <v/>
      </c>
      <c r="N160" s="29" t="str">
        <f aca="false">IF($B160="","",IF(AND($H160="Present",$F160&lt;&gt;"Y"),"Y","N"))</f>
        <v/>
      </c>
      <c r="O160" s="42"/>
      <c r="P160" s="29" t="str">
        <f aca="false">IF($B160="","",IFERROR(INDEX('Qualification Matrix'!$H$2:$H$168,MATCH($B160,'Qualification Matrix'!$A$2:$A$168,0)),""))</f>
        <v/>
      </c>
      <c r="Q160" s="43" t="str">
        <f aca="false">IF($B160="","",SUMIFS('Rotation History'!$M$2:$M$1000,'Rotation History'!$B$2:$B$1000,$B160,'Rotation History'!$A$2:$A$1000,"&gt;="&amp;($B$2-30),'Rotation History'!$A$2:$A$1000,"&lt;"&amp;$B$2))</f>
        <v/>
      </c>
      <c r="R160" s="43" t="str">
        <f aca="false">IF($B160="","",COUNTIFS('Rotation History'!$B$2:$B$1000,$B160,'Rotation History'!$M$2:$M$1000,"&gt;0",'Rotation History'!$A$2:$A$1000,"&gt;="&amp;($B$2-30),'Rotation History'!$A$2:$A$1000,"&lt;"&amp;$B$2))</f>
        <v/>
      </c>
      <c r="S160" s="43" t="str">
        <f aca="false">IF($B160="","",IF(COUNTIFS('Rotation History'!$B$2:$B$1000,$B160,'Rotation History'!$A$2:$A$1000,$B$2-1,'Rotation History'!$M$2:$M$1000,"&gt;0")=0,0,1+IF(COUNTIFS('Rotation History'!$B$2:$B$1000,$B160,'Rotation History'!$A$2:$A$1000,$B$2-2,'Rotation History'!$M$2:$M$1000,"&gt;0")=0,0,1+IF(COUNTIFS('Rotation History'!$B$2:$B$1000,$B160,'Rotation History'!$A$2:$A$1000,$B$2-3,'Rotation History'!$M$2:$M$1000,"&gt;0")=0,0,1+IF(COUNTIFS('Rotation History'!$B$2:$B$1000,$B160,'Rotation History'!$A$2:$A$1000,$B$2-4,'Rotation History'!$M$2:$M$1000,"&gt;0")=0,0,1)))))</f>
        <v/>
      </c>
      <c r="T160" s="43" t="str">
        <f aca="false">IF($B160="","",COUNTIFS('Rotation History'!$B$2:$B$1000,$B160,'Rotation History'!$K$2:$K$1000,"Opening",'Rotation History'!$A$2:$A$1000,"&gt;="&amp;($B$2-30),'Rotation History'!$A$2:$A$1000,"&lt;"&amp;$B$2))</f>
        <v/>
      </c>
      <c r="U160" s="43" t="str">
        <f aca="false">IF($B160="","",COUNTIFS('Rotation History'!$B$2:$B$1000,$B160,'Rotation History'!$K$2:$K$1000,"Lunch Relief",'Rotation History'!$A$2:$A$1000,"&gt;="&amp;($B$2-30),'Rotation History'!$A$2:$A$1000,"&lt;"&amp;$B$2))</f>
        <v/>
      </c>
      <c r="V160" s="44" t="str">
        <f aca="false">IF($B160="","",$Q160*10+$R160*2+$S160*20+$T160*3+$U160)</f>
        <v/>
      </c>
    </row>
    <row r="161" customFormat="false" ht="14.25" hidden="false" customHeight="true" outlineLevel="0" collapsed="false">
      <c r="A161" s="40" t="str">
        <f aca="false">IF($B161="","",$B$2)</f>
        <v/>
      </c>
      <c r="B161" s="1" t="str">
        <f aca="false">IF($B$2="","",IFERROR(INDEX('Employee Master'!$A$2:$A$159,MATCH(ROWS($B$6:B161),Lists!$P$2:$P$159,0)),""))</f>
        <v/>
      </c>
      <c r="C161" s="1" t="str">
        <f aca="false">IF($B161="","",IFERROR(INDEX('Employee Master'!$B$2:$B$159,MATCH($B161,'Employee Master'!$A$2:$A$159,0)),""))</f>
        <v/>
      </c>
      <c r="D161" s="1" t="str">
        <f aca="false">IF($B161="","",IFERROR(INDEX('Employee Master'!$C$2:$C$159,MATCH($B161,'Employee Master'!$A$2:$A$159,0)),""))</f>
        <v/>
      </c>
      <c r="E161" s="1" t="str">
        <f aca="false">IF($B161="","",IFERROR(INDEX('Employee Master'!$I$2:$I$159,MATCH($B161,'Employee Master'!$A$2:$A$159,0)),""))</f>
        <v/>
      </c>
      <c r="F161" s="29" t="str">
        <f aca="false">IF($B161="","",IFERROR(INDEX('Employee Master'!$E$2:$E$159,MATCH($B161,'Employee Master'!$A$2:$A$159,0)),""))</f>
        <v/>
      </c>
      <c r="G161" s="29" t="str">
        <f aca="false">IF($B161="","",IFERROR(INDEX('Employee Master'!$F$2:$F$159,MATCH($B161,'Employee Master'!$A$2:$A$159,0)),""))</f>
        <v/>
      </c>
      <c r="H161" s="41" t="str">
        <f aca="false">IF($B161="","","Present")</f>
        <v/>
      </c>
      <c r="I161" s="1" t="str">
        <f aca="false">IF($B161="","",IFERROR(INDEX('Employee Master'!$H$2:$H$159,MATCH($B161,'Employee Master'!$A$2:$A$159,0)),""))</f>
        <v/>
      </c>
      <c r="J161" s="29" t="str">
        <f aca="false">IF($B161="","",IFERROR(INDEX('Qualification Matrix'!$C$2:$C$168,MATCH($B161,'Qualification Matrix'!$A$2:$A$168,0)),2))</f>
        <v/>
      </c>
      <c r="K161" s="29" t="str">
        <f aca="false">IF($B161="","",IFERROR(INDEX('Qualification Matrix'!$D$2:$D$168,MATCH($B161,'Qualification Matrix'!$A$2:$A$168,0)),2))</f>
        <v/>
      </c>
      <c r="L161" s="29" t="str">
        <f aca="false">IF($B161="","",IFERROR(INDEX('Qualification Matrix'!$E$2:$E$168,MATCH($B161,'Qualification Matrix'!$A$2:$A$168,0)),2))</f>
        <v/>
      </c>
      <c r="M161" s="29" t="str">
        <f aca="false">IF($B161="","",IFERROR(INDEX('Qualification Matrix'!$F$2:$F$168,MATCH($B161,'Qualification Matrix'!$A$2:$A$168,0)),2))</f>
        <v/>
      </c>
      <c r="N161" s="29" t="str">
        <f aca="false">IF($B161="","",IF(AND($H161="Present",$F161&lt;&gt;"Y"),"Y","N"))</f>
        <v/>
      </c>
      <c r="O161" s="42"/>
      <c r="P161" s="29" t="str">
        <f aca="false">IF($B161="","",IFERROR(INDEX('Qualification Matrix'!$H$2:$H$168,MATCH($B161,'Qualification Matrix'!$A$2:$A$168,0)),""))</f>
        <v/>
      </c>
      <c r="Q161" s="43" t="str">
        <f aca="false">IF($B161="","",SUMIFS('Rotation History'!$M$2:$M$1000,'Rotation History'!$B$2:$B$1000,$B161,'Rotation History'!$A$2:$A$1000,"&gt;="&amp;($B$2-30),'Rotation History'!$A$2:$A$1000,"&lt;"&amp;$B$2))</f>
        <v/>
      </c>
      <c r="R161" s="43" t="str">
        <f aca="false">IF($B161="","",COUNTIFS('Rotation History'!$B$2:$B$1000,$B161,'Rotation History'!$M$2:$M$1000,"&gt;0",'Rotation History'!$A$2:$A$1000,"&gt;="&amp;($B$2-30),'Rotation History'!$A$2:$A$1000,"&lt;"&amp;$B$2))</f>
        <v/>
      </c>
      <c r="S161" s="43" t="str">
        <f aca="false">IF($B161="","",IF(COUNTIFS('Rotation History'!$B$2:$B$1000,$B161,'Rotation History'!$A$2:$A$1000,$B$2-1,'Rotation History'!$M$2:$M$1000,"&gt;0")=0,0,1+IF(COUNTIFS('Rotation History'!$B$2:$B$1000,$B161,'Rotation History'!$A$2:$A$1000,$B$2-2,'Rotation History'!$M$2:$M$1000,"&gt;0")=0,0,1+IF(COUNTIFS('Rotation History'!$B$2:$B$1000,$B161,'Rotation History'!$A$2:$A$1000,$B$2-3,'Rotation History'!$M$2:$M$1000,"&gt;0")=0,0,1+IF(COUNTIFS('Rotation History'!$B$2:$B$1000,$B161,'Rotation History'!$A$2:$A$1000,$B$2-4,'Rotation History'!$M$2:$M$1000,"&gt;0")=0,0,1)))))</f>
        <v/>
      </c>
      <c r="T161" s="43" t="str">
        <f aca="false">IF($B161="","",COUNTIFS('Rotation History'!$B$2:$B$1000,$B161,'Rotation History'!$K$2:$K$1000,"Opening",'Rotation History'!$A$2:$A$1000,"&gt;="&amp;($B$2-30),'Rotation History'!$A$2:$A$1000,"&lt;"&amp;$B$2))</f>
        <v/>
      </c>
      <c r="U161" s="43" t="str">
        <f aca="false">IF($B161="","",COUNTIFS('Rotation History'!$B$2:$B$1000,$B161,'Rotation History'!$K$2:$K$1000,"Lunch Relief",'Rotation History'!$A$2:$A$1000,"&gt;="&amp;($B$2-30),'Rotation History'!$A$2:$A$1000,"&lt;"&amp;$B$2))</f>
        <v/>
      </c>
      <c r="V161" s="44" t="str">
        <f aca="false">IF($B161="","",$Q161*10+$R161*2+$S161*20+$T161*3+$U161)</f>
        <v/>
      </c>
    </row>
    <row r="162" customFormat="false" ht="14.25" hidden="false" customHeight="true" outlineLevel="0" collapsed="false">
      <c r="A162" s="40" t="str">
        <f aca="false">IF($B162="","",$B$2)</f>
        <v/>
      </c>
      <c r="B162" s="1" t="str">
        <f aca="false">IF($B$2="","",IFERROR(INDEX('Employee Master'!$A$2:$A$159,MATCH(ROWS($B$6:B162),Lists!$P$2:$P$159,0)),""))</f>
        <v/>
      </c>
      <c r="C162" s="1" t="str">
        <f aca="false">IF($B162="","",IFERROR(INDEX('Employee Master'!$B$2:$B$159,MATCH($B162,'Employee Master'!$A$2:$A$159,0)),""))</f>
        <v/>
      </c>
      <c r="D162" s="1" t="str">
        <f aca="false">IF($B162="","",IFERROR(INDEX('Employee Master'!$C$2:$C$159,MATCH($B162,'Employee Master'!$A$2:$A$159,0)),""))</f>
        <v/>
      </c>
      <c r="E162" s="1" t="str">
        <f aca="false">IF($B162="","",IFERROR(INDEX('Employee Master'!$I$2:$I$159,MATCH($B162,'Employee Master'!$A$2:$A$159,0)),""))</f>
        <v/>
      </c>
      <c r="F162" s="29" t="str">
        <f aca="false">IF($B162="","",IFERROR(INDEX('Employee Master'!$E$2:$E$159,MATCH($B162,'Employee Master'!$A$2:$A$159,0)),""))</f>
        <v/>
      </c>
      <c r="G162" s="29" t="str">
        <f aca="false">IF($B162="","",IFERROR(INDEX('Employee Master'!$F$2:$F$159,MATCH($B162,'Employee Master'!$A$2:$A$159,0)),""))</f>
        <v/>
      </c>
      <c r="H162" s="41" t="str">
        <f aca="false">IF($B162="","","Present")</f>
        <v/>
      </c>
      <c r="I162" s="1" t="str">
        <f aca="false">IF($B162="","",IFERROR(INDEX('Employee Master'!$H$2:$H$159,MATCH($B162,'Employee Master'!$A$2:$A$159,0)),""))</f>
        <v/>
      </c>
      <c r="J162" s="29" t="str">
        <f aca="false">IF($B162="","",IFERROR(INDEX('Qualification Matrix'!$C$2:$C$168,MATCH($B162,'Qualification Matrix'!$A$2:$A$168,0)),2))</f>
        <v/>
      </c>
      <c r="K162" s="29" t="str">
        <f aca="false">IF($B162="","",IFERROR(INDEX('Qualification Matrix'!$D$2:$D$168,MATCH($B162,'Qualification Matrix'!$A$2:$A$168,0)),2))</f>
        <v/>
      </c>
      <c r="L162" s="29" t="str">
        <f aca="false">IF($B162="","",IFERROR(INDEX('Qualification Matrix'!$E$2:$E$168,MATCH($B162,'Qualification Matrix'!$A$2:$A$168,0)),2))</f>
        <v/>
      </c>
      <c r="M162" s="29" t="str">
        <f aca="false">IF($B162="","",IFERROR(INDEX('Qualification Matrix'!$F$2:$F$168,MATCH($B162,'Qualification Matrix'!$A$2:$A$168,0)),2))</f>
        <v/>
      </c>
      <c r="N162" s="29" t="str">
        <f aca="false">IF($B162="","",IF(AND($H162="Present",$F162&lt;&gt;"Y"),"Y","N"))</f>
        <v/>
      </c>
      <c r="O162" s="42"/>
      <c r="P162" s="29" t="str">
        <f aca="false">IF($B162="","",IFERROR(INDEX('Qualification Matrix'!$H$2:$H$168,MATCH($B162,'Qualification Matrix'!$A$2:$A$168,0)),""))</f>
        <v/>
      </c>
      <c r="Q162" s="43" t="str">
        <f aca="false">IF($B162="","",SUMIFS('Rotation History'!$M$2:$M$1000,'Rotation History'!$B$2:$B$1000,$B162,'Rotation History'!$A$2:$A$1000,"&gt;="&amp;($B$2-30),'Rotation History'!$A$2:$A$1000,"&lt;"&amp;$B$2))</f>
        <v/>
      </c>
      <c r="R162" s="43" t="str">
        <f aca="false">IF($B162="","",COUNTIFS('Rotation History'!$B$2:$B$1000,$B162,'Rotation History'!$M$2:$M$1000,"&gt;0",'Rotation History'!$A$2:$A$1000,"&gt;="&amp;($B$2-30),'Rotation History'!$A$2:$A$1000,"&lt;"&amp;$B$2))</f>
        <v/>
      </c>
      <c r="S162" s="43" t="str">
        <f aca="false">IF($B162="","",IF(COUNTIFS('Rotation History'!$B$2:$B$1000,$B162,'Rotation History'!$A$2:$A$1000,$B$2-1,'Rotation History'!$M$2:$M$1000,"&gt;0")=0,0,1+IF(COUNTIFS('Rotation History'!$B$2:$B$1000,$B162,'Rotation History'!$A$2:$A$1000,$B$2-2,'Rotation History'!$M$2:$M$1000,"&gt;0")=0,0,1+IF(COUNTIFS('Rotation History'!$B$2:$B$1000,$B162,'Rotation History'!$A$2:$A$1000,$B$2-3,'Rotation History'!$M$2:$M$1000,"&gt;0")=0,0,1+IF(COUNTIFS('Rotation History'!$B$2:$B$1000,$B162,'Rotation History'!$A$2:$A$1000,$B$2-4,'Rotation History'!$M$2:$M$1000,"&gt;0")=0,0,1)))))</f>
        <v/>
      </c>
      <c r="T162" s="43" t="str">
        <f aca="false">IF($B162="","",COUNTIFS('Rotation History'!$B$2:$B$1000,$B162,'Rotation History'!$K$2:$K$1000,"Opening",'Rotation History'!$A$2:$A$1000,"&gt;="&amp;($B$2-30),'Rotation History'!$A$2:$A$1000,"&lt;"&amp;$B$2))</f>
        <v/>
      </c>
      <c r="U162" s="43" t="str">
        <f aca="false">IF($B162="","",COUNTIFS('Rotation History'!$B$2:$B$1000,$B162,'Rotation History'!$K$2:$K$1000,"Lunch Relief",'Rotation History'!$A$2:$A$1000,"&gt;="&amp;($B$2-30),'Rotation History'!$A$2:$A$1000,"&lt;"&amp;$B$2))</f>
        <v/>
      </c>
      <c r="V162" s="44" t="str">
        <f aca="false">IF($B162="","",$Q162*10+$R162*2+$S162*20+$T162*3+$U162)</f>
        <v/>
      </c>
    </row>
    <row r="163" customFormat="false" ht="14.25" hidden="false" customHeight="true" outlineLevel="0" collapsed="false">
      <c r="A163" s="40" t="str">
        <f aca="false">IF($B163="","",$B$2)</f>
        <v/>
      </c>
      <c r="B163" s="1" t="str">
        <f aca="false">IF($B$2="","",IFERROR(INDEX('Employee Master'!$A$2:$A$159,MATCH(ROWS($B$6:B163),Lists!$P$2:$P$159,0)),""))</f>
        <v/>
      </c>
      <c r="C163" s="1" t="str">
        <f aca="false">IF($B163="","",IFERROR(INDEX('Employee Master'!$B$2:$B$159,MATCH($B163,'Employee Master'!$A$2:$A$159,0)),""))</f>
        <v/>
      </c>
      <c r="D163" s="1" t="str">
        <f aca="false">IF($B163="","",IFERROR(INDEX('Employee Master'!$C$2:$C$159,MATCH($B163,'Employee Master'!$A$2:$A$159,0)),""))</f>
        <v/>
      </c>
      <c r="E163" s="1" t="str">
        <f aca="false">IF($B163="","",IFERROR(INDEX('Employee Master'!$I$2:$I$159,MATCH($B163,'Employee Master'!$A$2:$A$159,0)),""))</f>
        <v/>
      </c>
      <c r="F163" s="29" t="str">
        <f aca="false">IF($B163="","",IFERROR(INDEX('Employee Master'!$E$2:$E$159,MATCH($B163,'Employee Master'!$A$2:$A$159,0)),""))</f>
        <v/>
      </c>
      <c r="G163" s="29" t="str">
        <f aca="false">IF($B163="","",IFERROR(INDEX('Employee Master'!$F$2:$F$159,MATCH($B163,'Employee Master'!$A$2:$A$159,0)),""))</f>
        <v/>
      </c>
      <c r="H163" s="41" t="str">
        <f aca="false">IF($B163="","","Present")</f>
        <v/>
      </c>
      <c r="I163" s="1" t="str">
        <f aca="false">IF($B163="","",IFERROR(INDEX('Employee Master'!$H$2:$H$159,MATCH($B163,'Employee Master'!$A$2:$A$159,0)),""))</f>
        <v/>
      </c>
      <c r="J163" s="29" t="str">
        <f aca="false">IF($B163="","",IFERROR(INDEX('Qualification Matrix'!$C$2:$C$168,MATCH($B163,'Qualification Matrix'!$A$2:$A$168,0)),2))</f>
        <v/>
      </c>
      <c r="K163" s="29" t="str">
        <f aca="false">IF($B163="","",IFERROR(INDEX('Qualification Matrix'!$D$2:$D$168,MATCH($B163,'Qualification Matrix'!$A$2:$A$168,0)),2))</f>
        <v/>
      </c>
      <c r="L163" s="29" t="str">
        <f aca="false">IF($B163="","",IFERROR(INDEX('Qualification Matrix'!$E$2:$E$168,MATCH($B163,'Qualification Matrix'!$A$2:$A$168,0)),2))</f>
        <v/>
      </c>
      <c r="M163" s="29" t="str">
        <f aca="false">IF($B163="","",IFERROR(INDEX('Qualification Matrix'!$F$2:$F$168,MATCH($B163,'Qualification Matrix'!$A$2:$A$168,0)),2))</f>
        <v/>
      </c>
      <c r="N163" s="29" t="str">
        <f aca="false">IF($B163="","",IF(AND($H163="Present",$F163&lt;&gt;"Y"),"Y","N"))</f>
        <v/>
      </c>
      <c r="O163" s="42"/>
      <c r="P163" s="29" t="str">
        <f aca="false">IF($B163="","",IFERROR(INDEX('Qualification Matrix'!$H$2:$H$168,MATCH($B163,'Qualification Matrix'!$A$2:$A$168,0)),""))</f>
        <v/>
      </c>
      <c r="Q163" s="43" t="str">
        <f aca="false">IF($B163="","",SUMIFS('Rotation History'!$M$2:$M$1000,'Rotation History'!$B$2:$B$1000,$B163,'Rotation History'!$A$2:$A$1000,"&gt;="&amp;($B$2-30),'Rotation History'!$A$2:$A$1000,"&lt;"&amp;$B$2))</f>
        <v/>
      </c>
      <c r="R163" s="43" t="str">
        <f aca="false">IF($B163="","",COUNTIFS('Rotation History'!$B$2:$B$1000,$B163,'Rotation History'!$M$2:$M$1000,"&gt;0",'Rotation History'!$A$2:$A$1000,"&gt;="&amp;($B$2-30),'Rotation History'!$A$2:$A$1000,"&lt;"&amp;$B$2))</f>
        <v/>
      </c>
      <c r="S163" s="43" t="str">
        <f aca="false">IF($B163="","",IF(COUNTIFS('Rotation History'!$B$2:$B$1000,$B163,'Rotation History'!$A$2:$A$1000,$B$2-1,'Rotation History'!$M$2:$M$1000,"&gt;0")=0,0,1+IF(COUNTIFS('Rotation History'!$B$2:$B$1000,$B163,'Rotation History'!$A$2:$A$1000,$B$2-2,'Rotation History'!$M$2:$M$1000,"&gt;0")=0,0,1+IF(COUNTIFS('Rotation History'!$B$2:$B$1000,$B163,'Rotation History'!$A$2:$A$1000,$B$2-3,'Rotation History'!$M$2:$M$1000,"&gt;0")=0,0,1+IF(COUNTIFS('Rotation History'!$B$2:$B$1000,$B163,'Rotation History'!$A$2:$A$1000,$B$2-4,'Rotation History'!$M$2:$M$1000,"&gt;0")=0,0,1)))))</f>
        <v/>
      </c>
      <c r="T163" s="43" t="str">
        <f aca="false">IF($B163="","",COUNTIFS('Rotation History'!$B$2:$B$1000,$B163,'Rotation History'!$K$2:$K$1000,"Opening",'Rotation History'!$A$2:$A$1000,"&gt;="&amp;($B$2-30),'Rotation History'!$A$2:$A$1000,"&lt;"&amp;$B$2))</f>
        <v/>
      </c>
      <c r="U163" s="43" t="str">
        <f aca="false">IF($B163="","",COUNTIFS('Rotation History'!$B$2:$B$1000,$B163,'Rotation History'!$K$2:$K$1000,"Lunch Relief",'Rotation History'!$A$2:$A$1000,"&gt;="&amp;($B$2-30),'Rotation History'!$A$2:$A$1000,"&lt;"&amp;$B$2))</f>
        <v/>
      </c>
      <c r="V163" s="44" t="str">
        <f aca="false">IF($B163="","",$Q163*10+$R163*2+$S163*20+$T163*3+$U163)</f>
        <v/>
      </c>
    </row>
    <row r="164" customFormat="false" ht="14.25" hidden="false" customHeight="true" outlineLevel="0" collapsed="false">
      <c r="A164" s="40" t="str">
        <f aca="false">IF($B164="","",$B$2)</f>
        <v/>
      </c>
      <c r="B164" s="1" t="str">
        <f aca="false">IF($B$2="","",IFERROR(INDEX('Employee Master'!$A$2:$A$159,MATCH(ROWS($B$6:B164),Lists!$P$2:$P$159,0)),""))</f>
        <v/>
      </c>
      <c r="C164" s="1" t="str">
        <f aca="false">IF($B164="","",IFERROR(INDEX('Employee Master'!$B$2:$B$159,MATCH($B164,'Employee Master'!$A$2:$A$159,0)),""))</f>
        <v/>
      </c>
      <c r="D164" s="1" t="str">
        <f aca="false">IF($B164="","",IFERROR(INDEX('Employee Master'!$C$2:$C$159,MATCH($B164,'Employee Master'!$A$2:$A$159,0)),""))</f>
        <v/>
      </c>
      <c r="E164" s="1" t="str">
        <f aca="false">IF($B164="","",IFERROR(INDEX('Employee Master'!$I$2:$I$159,MATCH($B164,'Employee Master'!$A$2:$A$159,0)),""))</f>
        <v/>
      </c>
      <c r="F164" s="29" t="str">
        <f aca="false">IF($B164="","",IFERROR(INDEX('Employee Master'!$E$2:$E$159,MATCH($B164,'Employee Master'!$A$2:$A$159,0)),""))</f>
        <v/>
      </c>
      <c r="G164" s="29" t="str">
        <f aca="false">IF($B164="","",IFERROR(INDEX('Employee Master'!$F$2:$F$159,MATCH($B164,'Employee Master'!$A$2:$A$159,0)),""))</f>
        <v/>
      </c>
      <c r="H164" s="41" t="str">
        <f aca="false">IF($B164="","","Present")</f>
        <v/>
      </c>
      <c r="I164" s="1" t="str">
        <f aca="false">IF($B164="","",IFERROR(INDEX('Employee Master'!$H$2:$H$159,MATCH($B164,'Employee Master'!$A$2:$A$159,0)),""))</f>
        <v/>
      </c>
      <c r="J164" s="29" t="str">
        <f aca="false">IF($B164="","",IFERROR(INDEX('Qualification Matrix'!$C$2:$C$168,MATCH($B164,'Qualification Matrix'!$A$2:$A$168,0)),2))</f>
        <v/>
      </c>
      <c r="K164" s="29" t="str">
        <f aca="false">IF($B164="","",IFERROR(INDEX('Qualification Matrix'!$D$2:$D$168,MATCH($B164,'Qualification Matrix'!$A$2:$A$168,0)),2))</f>
        <v/>
      </c>
      <c r="L164" s="29" t="str">
        <f aca="false">IF($B164="","",IFERROR(INDEX('Qualification Matrix'!$E$2:$E$168,MATCH($B164,'Qualification Matrix'!$A$2:$A$168,0)),2))</f>
        <v/>
      </c>
      <c r="M164" s="29" t="str">
        <f aca="false">IF($B164="","",IFERROR(INDEX('Qualification Matrix'!$F$2:$F$168,MATCH($B164,'Qualification Matrix'!$A$2:$A$168,0)),2))</f>
        <v/>
      </c>
      <c r="N164" s="29" t="str">
        <f aca="false">IF($B164="","",IF(AND($H164="Present",$F164&lt;&gt;"Y"),"Y","N"))</f>
        <v/>
      </c>
      <c r="O164" s="42"/>
      <c r="P164" s="29" t="str">
        <f aca="false">IF($B164="","",IFERROR(INDEX('Qualification Matrix'!$H$2:$H$168,MATCH($B164,'Qualification Matrix'!$A$2:$A$168,0)),""))</f>
        <v/>
      </c>
      <c r="Q164" s="43" t="str">
        <f aca="false">IF($B164="","",SUMIFS('Rotation History'!$M$2:$M$1000,'Rotation History'!$B$2:$B$1000,$B164,'Rotation History'!$A$2:$A$1000,"&gt;="&amp;($B$2-30),'Rotation History'!$A$2:$A$1000,"&lt;"&amp;$B$2))</f>
        <v/>
      </c>
      <c r="R164" s="43" t="str">
        <f aca="false">IF($B164="","",COUNTIFS('Rotation History'!$B$2:$B$1000,$B164,'Rotation History'!$M$2:$M$1000,"&gt;0",'Rotation History'!$A$2:$A$1000,"&gt;="&amp;($B$2-30),'Rotation History'!$A$2:$A$1000,"&lt;"&amp;$B$2))</f>
        <v/>
      </c>
      <c r="S164" s="43" t="str">
        <f aca="false">IF($B164="","",IF(COUNTIFS('Rotation History'!$B$2:$B$1000,$B164,'Rotation History'!$A$2:$A$1000,$B$2-1,'Rotation History'!$M$2:$M$1000,"&gt;0")=0,0,1+IF(COUNTIFS('Rotation History'!$B$2:$B$1000,$B164,'Rotation History'!$A$2:$A$1000,$B$2-2,'Rotation History'!$M$2:$M$1000,"&gt;0")=0,0,1+IF(COUNTIFS('Rotation History'!$B$2:$B$1000,$B164,'Rotation History'!$A$2:$A$1000,$B$2-3,'Rotation History'!$M$2:$M$1000,"&gt;0")=0,0,1+IF(COUNTIFS('Rotation History'!$B$2:$B$1000,$B164,'Rotation History'!$A$2:$A$1000,$B$2-4,'Rotation History'!$M$2:$M$1000,"&gt;0")=0,0,1)))))</f>
        <v/>
      </c>
      <c r="T164" s="43" t="str">
        <f aca="false">IF($B164="","",COUNTIFS('Rotation History'!$B$2:$B$1000,$B164,'Rotation History'!$K$2:$K$1000,"Opening",'Rotation History'!$A$2:$A$1000,"&gt;="&amp;($B$2-30),'Rotation History'!$A$2:$A$1000,"&lt;"&amp;$B$2))</f>
        <v/>
      </c>
      <c r="U164" s="43" t="str">
        <f aca="false">IF($B164="","",COUNTIFS('Rotation History'!$B$2:$B$1000,$B164,'Rotation History'!$K$2:$K$1000,"Lunch Relief",'Rotation History'!$A$2:$A$1000,"&gt;="&amp;($B$2-30),'Rotation History'!$A$2:$A$1000,"&lt;"&amp;$B$2))</f>
        <v/>
      </c>
      <c r="V164" s="44" t="str">
        <f aca="false">IF($B164="","",$Q164*10+$R164*2+$S164*20+$T164*3+$U164)</f>
        <v/>
      </c>
    </row>
    <row r="165" customFormat="false" ht="14.25" hidden="false" customHeight="true" outlineLevel="0" collapsed="false">
      <c r="A165" s="40" t="str">
        <f aca="false">IF($B165="","",$B$2)</f>
        <v/>
      </c>
      <c r="B165" s="1" t="str">
        <f aca="false">IF($B$2="","",IFERROR(INDEX('Employee Master'!$A$2:$A$159,MATCH(ROWS($B$6:B165),Lists!$P$2:$P$159,0)),""))</f>
        <v/>
      </c>
      <c r="C165" s="1" t="str">
        <f aca="false">IF($B165="","",IFERROR(INDEX('Employee Master'!$B$2:$B$159,MATCH($B165,'Employee Master'!$A$2:$A$159,0)),""))</f>
        <v/>
      </c>
      <c r="D165" s="1" t="str">
        <f aca="false">IF($B165="","",IFERROR(INDEX('Employee Master'!$C$2:$C$159,MATCH($B165,'Employee Master'!$A$2:$A$159,0)),""))</f>
        <v/>
      </c>
      <c r="E165" s="1" t="str">
        <f aca="false">IF($B165="","",IFERROR(INDEX('Employee Master'!$I$2:$I$159,MATCH($B165,'Employee Master'!$A$2:$A$159,0)),""))</f>
        <v/>
      </c>
      <c r="F165" s="29" t="str">
        <f aca="false">IF($B165="","",IFERROR(INDEX('Employee Master'!$E$2:$E$159,MATCH($B165,'Employee Master'!$A$2:$A$159,0)),""))</f>
        <v/>
      </c>
      <c r="G165" s="29" t="str">
        <f aca="false">IF($B165="","",IFERROR(INDEX('Employee Master'!$F$2:$F$159,MATCH($B165,'Employee Master'!$A$2:$A$159,0)),""))</f>
        <v/>
      </c>
      <c r="H165" s="41" t="str">
        <f aca="false">IF($B165="","","Present")</f>
        <v/>
      </c>
      <c r="I165" s="1" t="str">
        <f aca="false">IF($B165="","",IFERROR(INDEX('Employee Master'!$H$2:$H$159,MATCH($B165,'Employee Master'!$A$2:$A$159,0)),""))</f>
        <v/>
      </c>
      <c r="J165" s="29" t="str">
        <f aca="false">IF($B165="","",IFERROR(INDEX('Qualification Matrix'!$C$2:$C$168,MATCH($B165,'Qualification Matrix'!$A$2:$A$168,0)),2))</f>
        <v/>
      </c>
      <c r="K165" s="29" t="str">
        <f aca="false">IF($B165="","",IFERROR(INDEX('Qualification Matrix'!$D$2:$D$168,MATCH($B165,'Qualification Matrix'!$A$2:$A$168,0)),2))</f>
        <v/>
      </c>
      <c r="L165" s="29" t="str">
        <f aca="false">IF($B165="","",IFERROR(INDEX('Qualification Matrix'!$E$2:$E$168,MATCH($B165,'Qualification Matrix'!$A$2:$A$168,0)),2))</f>
        <v/>
      </c>
      <c r="M165" s="29" t="str">
        <f aca="false">IF($B165="","",IFERROR(INDEX('Qualification Matrix'!$F$2:$F$168,MATCH($B165,'Qualification Matrix'!$A$2:$A$168,0)),2))</f>
        <v/>
      </c>
      <c r="N165" s="29" t="str">
        <f aca="false">IF($B165="","",IF(AND($H165="Present",$F165&lt;&gt;"Y"),"Y","N"))</f>
        <v/>
      </c>
      <c r="O165" s="42"/>
      <c r="P165" s="29" t="str">
        <f aca="false">IF($B165="","",IFERROR(INDEX('Qualification Matrix'!$H$2:$H$168,MATCH($B165,'Qualification Matrix'!$A$2:$A$168,0)),""))</f>
        <v/>
      </c>
      <c r="Q165" s="43" t="str">
        <f aca="false">IF($B165="","",SUMIFS('Rotation History'!$M$2:$M$1000,'Rotation History'!$B$2:$B$1000,$B165,'Rotation History'!$A$2:$A$1000,"&gt;="&amp;($B$2-30),'Rotation History'!$A$2:$A$1000,"&lt;"&amp;$B$2))</f>
        <v/>
      </c>
      <c r="R165" s="43" t="str">
        <f aca="false">IF($B165="","",COUNTIFS('Rotation History'!$B$2:$B$1000,$B165,'Rotation History'!$M$2:$M$1000,"&gt;0",'Rotation History'!$A$2:$A$1000,"&gt;="&amp;($B$2-30),'Rotation History'!$A$2:$A$1000,"&lt;"&amp;$B$2))</f>
        <v/>
      </c>
      <c r="S165" s="43" t="str">
        <f aca="false">IF($B165="","",IF(COUNTIFS('Rotation History'!$B$2:$B$1000,$B165,'Rotation History'!$A$2:$A$1000,$B$2-1,'Rotation History'!$M$2:$M$1000,"&gt;0")=0,0,1+IF(COUNTIFS('Rotation History'!$B$2:$B$1000,$B165,'Rotation History'!$A$2:$A$1000,$B$2-2,'Rotation History'!$M$2:$M$1000,"&gt;0")=0,0,1+IF(COUNTIFS('Rotation History'!$B$2:$B$1000,$B165,'Rotation History'!$A$2:$A$1000,$B$2-3,'Rotation History'!$M$2:$M$1000,"&gt;0")=0,0,1+IF(COUNTIFS('Rotation History'!$B$2:$B$1000,$B165,'Rotation History'!$A$2:$A$1000,$B$2-4,'Rotation History'!$M$2:$M$1000,"&gt;0")=0,0,1)))))</f>
        <v/>
      </c>
      <c r="T165" s="43" t="str">
        <f aca="false">IF($B165="","",COUNTIFS('Rotation History'!$B$2:$B$1000,$B165,'Rotation History'!$K$2:$K$1000,"Opening",'Rotation History'!$A$2:$A$1000,"&gt;="&amp;($B$2-30),'Rotation History'!$A$2:$A$1000,"&lt;"&amp;$B$2))</f>
        <v/>
      </c>
      <c r="U165" s="43" t="str">
        <f aca="false">IF($B165="","",COUNTIFS('Rotation History'!$B$2:$B$1000,$B165,'Rotation History'!$K$2:$K$1000,"Lunch Relief",'Rotation History'!$A$2:$A$1000,"&gt;="&amp;($B$2-30),'Rotation History'!$A$2:$A$1000,"&lt;"&amp;$B$2))</f>
        <v/>
      </c>
      <c r="V165" s="44" t="str">
        <f aca="false">IF($B165="","",$Q165*10+$R165*2+$S165*20+$T165*3+$U165)</f>
        <v/>
      </c>
    </row>
    <row r="166" customFormat="false" ht="14.25" hidden="false" customHeight="true" outlineLevel="0" collapsed="false">
      <c r="A166" s="40" t="str">
        <f aca="false">IF($B166="","",$B$2)</f>
        <v/>
      </c>
      <c r="B166" s="1" t="str">
        <f aca="false">IF($B$2="","",IFERROR(INDEX('Employee Master'!$A$2:$A$159,MATCH(ROWS($B$6:B166),Lists!$P$2:$P$159,0)),""))</f>
        <v/>
      </c>
      <c r="C166" s="1" t="str">
        <f aca="false">IF($B166="","",IFERROR(INDEX('Employee Master'!$B$2:$B$159,MATCH($B166,'Employee Master'!$A$2:$A$159,0)),""))</f>
        <v/>
      </c>
      <c r="D166" s="1" t="str">
        <f aca="false">IF($B166="","",IFERROR(INDEX('Employee Master'!$C$2:$C$159,MATCH($B166,'Employee Master'!$A$2:$A$159,0)),""))</f>
        <v/>
      </c>
      <c r="E166" s="1" t="str">
        <f aca="false">IF($B166="","",IFERROR(INDEX('Employee Master'!$I$2:$I$159,MATCH($B166,'Employee Master'!$A$2:$A$159,0)),""))</f>
        <v/>
      </c>
      <c r="F166" s="29" t="str">
        <f aca="false">IF($B166="","",IFERROR(INDEX('Employee Master'!$E$2:$E$159,MATCH($B166,'Employee Master'!$A$2:$A$159,0)),""))</f>
        <v/>
      </c>
      <c r="G166" s="29" t="str">
        <f aca="false">IF($B166="","",IFERROR(INDEX('Employee Master'!$F$2:$F$159,MATCH($B166,'Employee Master'!$A$2:$A$159,0)),""))</f>
        <v/>
      </c>
      <c r="H166" s="41" t="str">
        <f aca="false">IF($B166="","","Present")</f>
        <v/>
      </c>
      <c r="I166" s="1" t="str">
        <f aca="false">IF($B166="","",IFERROR(INDEX('Employee Master'!$H$2:$H$159,MATCH($B166,'Employee Master'!$A$2:$A$159,0)),""))</f>
        <v/>
      </c>
      <c r="J166" s="29" t="str">
        <f aca="false">IF($B166="","",IFERROR(INDEX('Qualification Matrix'!$C$2:$C$168,MATCH($B166,'Qualification Matrix'!$A$2:$A$168,0)),2))</f>
        <v/>
      </c>
      <c r="K166" s="29" t="str">
        <f aca="false">IF($B166="","",IFERROR(INDEX('Qualification Matrix'!$D$2:$D$168,MATCH($B166,'Qualification Matrix'!$A$2:$A$168,0)),2))</f>
        <v/>
      </c>
      <c r="L166" s="29" t="str">
        <f aca="false">IF($B166="","",IFERROR(INDEX('Qualification Matrix'!$E$2:$E$168,MATCH($B166,'Qualification Matrix'!$A$2:$A$168,0)),2))</f>
        <v/>
      </c>
      <c r="M166" s="29" t="str">
        <f aca="false">IF($B166="","",IFERROR(INDEX('Qualification Matrix'!$F$2:$F$168,MATCH($B166,'Qualification Matrix'!$A$2:$A$168,0)),2))</f>
        <v/>
      </c>
      <c r="N166" s="29" t="str">
        <f aca="false">IF($B166="","",IF(AND($H166="Present",$F166&lt;&gt;"Y"),"Y","N"))</f>
        <v/>
      </c>
      <c r="O166" s="42"/>
      <c r="P166" s="29" t="str">
        <f aca="false">IF($B166="","",IFERROR(INDEX('Qualification Matrix'!$H$2:$H$168,MATCH($B166,'Qualification Matrix'!$A$2:$A$168,0)),""))</f>
        <v/>
      </c>
      <c r="Q166" s="43" t="str">
        <f aca="false">IF($B166="","",SUMIFS('Rotation History'!$M$2:$M$1000,'Rotation History'!$B$2:$B$1000,$B166,'Rotation History'!$A$2:$A$1000,"&gt;="&amp;($B$2-30),'Rotation History'!$A$2:$A$1000,"&lt;"&amp;$B$2))</f>
        <v/>
      </c>
      <c r="R166" s="43" t="str">
        <f aca="false">IF($B166="","",COUNTIFS('Rotation History'!$B$2:$B$1000,$B166,'Rotation History'!$M$2:$M$1000,"&gt;0",'Rotation History'!$A$2:$A$1000,"&gt;="&amp;($B$2-30),'Rotation History'!$A$2:$A$1000,"&lt;"&amp;$B$2))</f>
        <v/>
      </c>
      <c r="S166" s="43" t="str">
        <f aca="false">IF($B166="","",IF(COUNTIFS('Rotation History'!$B$2:$B$1000,$B166,'Rotation History'!$A$2:$A$1000,$B$2-1,'Rotation History'!$M$2:$M$1000,"&gt;0")=0,0,1+IF(COUNTIFS('Rotation History'!$B$2:$B$1000,$B166,'Rotation History'!$A$2:$A$1000,$B$2-2,'Rotation History'!$M$2:$M$1000,"&gt;0")=0,0,1+IF(COUNTIFS('Rotation History'!$B$2:$B$1000,$B166,'Rotation History'!$A$2:$A$1000,$B$2-3,'Rotation History'!$M$2:$M$1000,"&gt;0")=0,0,1+IF(COUNTIFS('Rotation History'!$B$2:$B$1000,$B166,'Rotation History'!$A$2:$A$1000,$B$2-4,'Rotation History'!$M$2:$M$1000,"&gt;0")=0,0,1)))))</f>
        <v/>
      </c>
      <c r="T166" s="43" t="str">
        <f aca="false">IF($B166="","",COUNTIFS('Rotation History'!$B$2:$B$1000,$B166,'Rotation History'!$K$2:$K$1000,"Opening",'Rotation History'!$A$2:$A$1000,"&gt;="&amp;($B$2-30),'Rotation History'!$A$2:$A$1000,"&lt;"&amp;$B$2))</f>
        <v/>
      </c>
      <c r="U166" s="43" t="str">
        <f aca="false">IF($B166="","",COUNTIFS('Rotation History'!$B$2:$B$1000,$B166,'Rotation History'!$K$2:$K$1000,"Lunch Relief",'Rotation History'!$A$2:$A$1000,"&gt;="&amp;($B$2-30),'Rotation History'!$A$2:$A$1000,"&lt;"&amp;$B$2))</f>
        <v/>
      </c>
      <c r="V166" s="44" t="str">
        <f aca="false">IF($B166="","",$Q166*10+$R166*2+$S166*20+$T166*3+$U166)</f>
        <v/>
      </c>
    </row>
    <row r="167" customFormat="false" ht="14.25" hidden="false" customHeight="true" outlineLevel="0" collapsed="false">
      <c r="A167" s="40" t="str">
        <f aca="false">IF($B167="","",$B$2)</f>
        <v/>
      </c>
      <c r="B167" s="1" t="str">
        <f aca="false">IF($B$2="","",IFERROR(INDEX('Employee Master'!$A$2:$A$159,MATCH(ROWS($B$6:B167),Lists!$P$2:$P$159,0)),""))</f>
        <v/>
      </c>
      <c r="C167" s="1" t="str">
        <f aca="false">IF($B167="","",IFERROR(INDEX('Employee Master'!$B$2:$B$159,MATCH($B167,'Employee Master'!$A$2:$A$159,0)),""))</f>
        <v/>
      </c>
      <c r="D167" s="1" t="str">
        <f aca="false">IF($B167="","",IFERROR(INDEX('Employee Master'!$C$2:$C$159,MATCH($B167,'Employee Master'!$A$2:$A$159,0)),""))</f>
        <v/>
      </c>
      <c r="E167" s="1" t="str">
        <f aca="false">IF($B167="","",IFERROR(INDEX('Employee Master'!$I$2:$I$159,MATCH($B167,'Employee Master'!$A$2:$A$159,0)),""))</f>
        <v/>
      </c>
      <c r="F167" s="29" t="str">
        <f aca="false">IF($B167="","",IFERROR(INDEX('Employee Master'!$E$2:$E$159,MATCH($B167,'Employee Master'!$A$2:$A$159,0)),""))</f>
        <v/>
      </c>
      <c r="G167" s="29" t="str">
        <f aca="false">IF($B167="","",IFERROR(INDEX('Employee Master'!$F$2:$F$159,MATCH($B167,'Employee Master'!$A$2:$A$159,0)),""))</f>
        <v/>
      </c>
      <c r="H167" s="41" t="str">
        <f aca="false">IF($B167="","","Present")</f>
        <v/>
      </c>
      <c r="I167" s="1" t="str">
        <f aca="false">IF($B167="","",IFERROR(INDEX('Employee Master'!$H$2:$H$159,MATCH($B167,'Employee Master'!$A$2:$A$159,0)),""))</f>
        <v/>
      </c>
      <c r="J167" s="29" t="str">
        <f aca="false">IF($B167="","",IFERROR(INDEX('Qualification Matrix'!$C$2:$C$168,MATCH($B167,'Qualification Matrix'!$A$2:$A$168,0)),2))</f>
        <v/>
      </c>
      <c r="K167" s="29" t="str">
        <f aca="false">IF($B167="","",IFERROR(INDEX('Qualification Matrix'!$D$2:$D$168,MATCH($B167,'Qualification Matrix'!$A$2:$A$168,0)),2))</f>
        <v/>
      </c>
      <c r="L167" s="29" t="str">
        <f aca="false">IF($B167="","",IFERROR(INDEX('Qualification Matrix'!$E$2:$E$168,MATCH($B167,'Qualification Matrix'!$A$2:$A$168,0)),2))</f>
        <v/>
      </c>
      <c r="M167" s="29" t="str">
        <f aca="false">IF($B167="","",IFERROR(INDEX('Qualification Matrix'!$F$2:$F$168,MATCH($B167,'Qualification Matrix'!$A$2:$A$168,0)),2))</f>
        <v/>
      </c>
      <c r="N167" s="29" t="str">
        <f aca="false">IF($B167="","",IF(AND($H167="Present",$F167&lt;&gt;"Y"),"Y","N"))</f>
        <v/>
      </c>
      <c r="O167" s="42"/>
      <c r="P167" s="29" t="str">
        <f aca="false">IF($B167="","",IFERROR(INDEX('Qualification Matrix'!$H$2:$H$168,MATCH($B167,'Qualification Matrix'!$A$2:$A$168,0)),""))</f>
        <v/>
      </c>
      <c r="Q167" s="43" t="str">
        <f aca="false">IF($B167="","",SUMIFS('Rotation History'!$M$2:$M$1000,'Rotation History'!$B$2:$B$1000,$B167,'Rotation History'!$A$2:$A$1000,"&gt;="&amp;($B$2-30),'Rotation History'!$A$2:$A$1000,"&lt;"&amp;$B$2))</f>
        <v/>
      </c>
      <c r="R167" s="43" t="str">
        <f aca="false">IF($B167="","",COUNTIFS('Rotation History'!$B$2:$B$1000,$B167,'Rotation History'!$M$2:$M$1000,"&gt;0",'Rotation History'!$A$2:$A$1000,"&gt;="&amp;($B$2-30),'Rotation History'!$A$2:$A$1000,"&lt;"&amp;$B$2))</f>
        <v/>
      </c>
      <c r="S167" s="43" t="str">
        <f aca="false">IF($B167="","",IF(COUNTIFS('Rotation History'!$B$2:$B$1000,$B167,'Rotation History'!$A$2:$A$1000,$B$2-1,'Rotation History'!$M$2:$M$1000,"&gt;0")=0,0,1+IF(COUNTIFS('Rotation History'!$B$2:$B$1000,$B167,'Rotation History'!$A$2:$A$1000,$B$2-2,'Rotation History'!$M$2:$M$1000,"&gt;0")=0,0,1+IF(COUNTIFS('Rotation History'!$B$2:$B$1000,$B167,'Rotation History'!$A$2:$A$1000,$B$2-3,'Rotation History'!$M$2:$M$1000,"&gt;0")=0,0,1+IF(COUNTIFS('Rotation History'!$B$2:$B$1000,$B167,'Rotation History'!$A$2:$A$1000,$B$2-4,'Rotation History'!$M$2:$M$1000,"&gt;0")=0,0,1)))))</f>
        <v/>
      </c>
      <c r="T167" s="43" t="str">
        <f aca="false">IF($B167="","",COUNTIFS('Rotation History'!$B$2:$B$1000,$B167,'Rotation History'!$K$2:$K$1000,"Opening",'Rotation History'!$A$2:$A$1000,"&gt;="&amp;($B$2-30),'Rotation History'!$A$2:$A$1000,"&lt;"&amp;$B$2))</f>
        <v/>
      </c>
      <c r="U167" s="43" t="str">
        <f aca="false">IF($B167="","",COUNTIFS('Rotation History'!$B$2:$B$1000,$B167,'Rotation History'!$K$2:$K$1000,"Lunch Relief",'Rotation History'!$A$2:$A$1000,"&gt;="&amp;($B$2-30),'Rotation History'!$A$2:$A$1000,"&lt;"&amp;$B$2))</f>
        <v/>
      </c>
      <c r="V167" s="44" t="str">
        <f aca="false">IF($B167="","",$Q167*10+$R167*2+$S167*20+$T167*3+$U167)</f>
        <v/>
      </c>
    </row>
    <row r="168" customFormat="false" ht="14.25" hidden="false" customHeight="true" outlineLevel="0" collapsed="false">
      <c r="A168" s="40" t="str">
        <f aca="false">IF($B168="","",$B$2)</f>
        <v/>
      </c>
      <c r="B168" s="1" t="str">
        <f aca="false">IF($B$2="","",IFERROR(INDEX('Employee Master'!$A$2:$A$159,MATCH(ROWS($B$6:B168),Lists!$P$2:$P$159,0)),""))</f>
        <v/>
      </c>
      <c r="C168" s="1" t="str">
        <f aca="false">IF($B168="","",IFERROR(INDEX('Employee Master'!$B$2:$B$159,MATCH($B168,'Employee Master'!$A$2:$A$159,0)),""))</f>
        <v/>
      </c>
      <c r="D168" s="1" t="str">
        <f aca="false">IF($B168="","",IFERROR(INDEX('Employee Master'!$C$2:$C$159,MATCH($B168,'Employee Master'!$A$2:$A$159,0)),""))</f>
        <v/>
      </c>
      <c r="E168" s="1" t="str">
        <f aca="false">IF($B168="","",IFERROR(INDEX('Employee Master'!$I$2:$I$159,MATCH($B168,'Employee Master'!$A$2:$A$159,0)),""))</f>
        <v/>
      </c>
      <c r="F168" s="29" t="str">
        <f aca="false">IF($B168="","",IFERROR(INDEX('Employee Master'!$E$2:$E$159,MATCH($B168,'Employee Master'!$A$2:$A$159,0)),""))</f>
        <v/>
      </c>
      <c r="G168" s="29" t="str">
        <f aca="false">IF($B168="","",IFERROR(INDEX('Employee Master'!$F$2:$F$159,MATCH($B168,'Employee Master'!$A$2:$A$159,0)),""))</f>
        <v/>
      </c>
      <c r="H168" s="41" t="str">
        <f aca="false">IF($B168="","","Present")</f>
        <v/>
      </c>
      <c r="I168" s="1" t="str">
        <f aca="false">IF($B168="","",IFERROR(INDEX('Employee Master'!$H$2:$H$159,MATCH($B168,'Employee Master'!$A$2:$A$159,0)),""))</f>
        <v/>
      </c>
      <c r="J168" s="29" t="str">
        <f aca="false">IF($B168="","",IFERROR(INDEX('Qualification Matrix'!$C$2:$C$168,MATCH($B168,'Qualification Matrix'!$A$2:$A$168,0)),2))</f>
        <v/>
      </c>
      <c r="K168" s="29" t="str">
        <f aca="false">IF($B168="","",IFERROR(INDEX('Qualification Matrix'!$D$2:$D$168,MATCH($B168,'Qualification Matrix'!$A$2:$A$168,0)),2))</f>
        <v/>
      </c>
      <c r="L168" s="29" t="str">
        <f aca="false">IF($B168="","",IFERROR(INDEX('Qualification Matrix'!$E$2:$E$168,MATCH($B168,'Qualification Matrix'!$A$2:$A$168,0)),2))</f>
        <v/>
      </c>
      <c r="M168" s="29" t="str">
        <f aca="false">IF($B168="","",IFERROR(INDEX('Qualification Matrix'!$F$2:$F$168,MATCH($B168,'Qualification Matrix'!$A$2:$A$168,0)),2))</f>
        <v/>
      </c>
      <c r="N168" s="29" t="str">
        <f aca="false">IF($B168="","",IF(AND($H168="Present",$F168&lt;&gt;"Y"),"Y","N"))</f>
        <v/>
      </c>
      <c r="O168" s="42"/>
      <c r="P168" s="29" t="str">
        <f aca="false">IF($B168="","",IFERROR(INDEX('Qualification Matrix'!$H$2:$H$168,MATCH($B168,'Qualification Matrix'!$A$2:$A$168,0)),""))</f>
        <v/>
      </c>
      <c r="Q168" s="43" t="str">
        <f aca="false">IF($B168="","",SUMIFS('Rotation History'!$M$2:$M$1000,'Rotation History'!$B$2:$B$1000,$B168,'Rotation History'!$A$2:$A$1000,"&gt;="&amp;($B$2-30),'Rotation History'!$A$2:$A$1000,"&lt;"&amp;$B$2))</f>
        <v/>
      </c>
      <c r="R168" s="43" t="str">
        <f aca="false">IF($B168="","",COUNTIFS('Rotation History'!$B$2:$B$1000,$B168,'Rotation History'!$M$2:$M$1000,"&gt;0",'Rotation History'!$A$2:$A$1000,"&gt;="&amp;($B$2-30),'Rotation History'!$A$2:$A$1000,"&lt;"&amp;$B$2))</f>
        <v/>
      </c>
      <c r="S168" s="43" t="str">
        <f aca="false">IF($B168="","",IF(COUNTIFS('Rotation History'!$B$2:$B$1000,$B168,'Rotation History'!$A$2:$A$1000,$B$2-1,'Rotation History'!$M$2:$M$1000,"&gt;0")=0,0,1+IF(COUNTIFS('Rotation History'!$B$2:$B$1000,$B168,'Rotation History'!$A$2:$A$1000,$B$2-2,'Rotation History'!$M$2:$M$1000,"&gt;0")=0,0,1+IF(COUNTIFS('Rotation History'!$B$2:$B$1000,$B168,'Rotation History'!$A$2:$A$1000,$B$2-3,'Rotation History'!$M$2:$M$1000,"&gt;0")=0,0,1+IF(COUNTIFS('Rotation History'!$B$2:$B$1000,$B168,'Rotation History'!$A$2:$A$1000,$B$2-4,'Rotation History'!$M$2:$M$1000,"&gt;0")=0,0,1)))))</f>
        <v/>
      </c>
      <c r="T168" s="43" t="str">
        <f aca="false">IF($B168="","",COUNTIFS('Rotation History'!$B$2:$B$1000,$B168,'Rotation History'!$K$2:$K$1000,"Opening",'Rotation History'!$A$2:$A$1000,"&gt;="&amp;($B$2-30),'Rotation History'!$A$2:$A$1000,"&lt;"&amp;$B$2))</f>
        <v/>
      </c>
      <c r="U168" s="43" t="str">
        <f aca="false">IF($B168="","",COUNTIFS('Rotation History'!$B$2:$B$1000,$B168,'Rotation History'!$K$2:$K$1000,"Lunch Relief",'Rotation History'!$A$2:$A$1000,"&gt;="&amp;($B$2-30),'Rotation History'!$A$2:$A$1000,"&lt;"&amp;$B$2))</f>
        <v/>
      </c>
      <c r="V168" s="44" t="str">
        <f aca="false">IF($B168="","",$Q168*10+$R168*2+$S168*20+$T168*3+$U168)</f>
        <v/>
      </c>
    </row>
    <row r="169" customFormat="false" ht="14.25" hidden="false" customHeight="true" outlineLevel="0" collapsed="false">
      <c r="A169" s="40" t="str">
        <f aca="false">IF($B169="","",$B$2)</f>
        <v/>
      </c>
      <c r="B169" s="1" t="str">
        <f aca="false">IF($B$2="","",IFERROR(INDEX('Employee Master'!$A$2:$A$159,MATCH(ROWS($B$6:B169),Lists!$P$2:$P$159,0)),""))</f>
        <v/>
      </c>
      <c r="C169" s="1" t="str">
        <f aca="false">IF($B169="","",IFERROR(INDEX('Employee Master'!$B$2:$B$159,MATCH($B169,'Employee Master'!$A$2:$A$159,0)),""))</f>
        <v/>
      </c>
      <c r="D169" s="1" t="str">
        <f aca="false">IF($B169="","",IFERROR(INDEX('Employee Master'!$C$2:$C$159,MATCH($B169,'Employee Master'!$A$2:$A$159,0)),""))</f>
        <v/>
      </c>
      <c r="E169" s="1" t="str">
        <f aca="false">IF($B169="","",IFERROR(INDEX('Employee Master'!$I$2:$I$159,MATCH($B169,'Employee Master'!$A$2:$A$159,0)),""))</f>
        <v/>
      </c>
      <c r="F169" s="29" t="str">
        <f aca="false">IF($B169="","",IFERROR(INDEX('Employee Master'!$E$2:$E$159,MATCH($B169,'Employee Master'!$A$2:$A$159,0)),""))</f>
        <v/>
      </c>
      <c r="G169" s="29" t="str">
        <f aca="false">IF($B169="","",IFERROR(INDEX('Employee Master'!$F$2:$F$159,MATCH($B169,'Employee Master'!$A$2:$A$159,0)),""))</f>
        <v/>
      </c>
      <c r="H169" s="41" t="str">
        <f aca="false">IF($B169="","","Present")</f>
        <v/>
      </c>
      <c r="I169" s="1" t="str">
        <f aca="false">IF($B169="","",IFERROR(INDEX('Employee Master'!$H$2:$H$159,MATCH($B169,'Employee Master'!$A$2:$A$159,0)),""))</f>
        <v/>
      </c>
      <c r="J169" s="29" t="str">
        <f aca="false">IF($B169="","",IFERROR(INDEX('Qualification Matrix'!$C$2:$C$168,MATCH($B169,'Qualification Matrix'!$A$2:$A$168,0)),2))</f>
        <v/>
      </c>
      <c r="K169" s="29" t="str">
        <f aca="false">IF($B169="","",IFERROR(INDEX('Qualification Matrix'!$D$2:$D$168,MATCH($B169,'Qualification Matrix'!$A$2:$A$168,0)),2))</f>
        <v/>
      </c>
      <c r="L169" s="29" t="str">
        <f aca="false">IF($B169="","",IFERROR(INDEX('Qualification Matrix'!$E$2:$E$168,MATCH($B169,'Qualification Matrix'!$A$2:$A$168,0)),2))</f>
        <v/>
      </c>
      <c r="M169" s="29" t="str">
        <f aca="false">IF($B169="","",IFERROR(INDEX('Qualification Matrix'!$F$2:$F$168,MATCH($B169,'Qualification Matrix'!$A$2:$A$168,0)),2))</f>
        <v/>
      </c>
      <c r="N169" s="29" t="str">
        <f aca="false">IF($B169="","",IF(AND($H169="Present",$F169&lt;&gt;"Y"),"Y","N"))</f>
        <v/>
      </c>
      <c r="O169" s="42"/>
      <c r="P169" s="29" t="str">
        <f aca="false">IF($B169="","",IFERROR(INDEX('Qualification Matrix'!$H$2:$H$168,MATCH($B169,'Qualification Matrix'!$A$2:$A$168,0)),""))</f>
        <v/>
      </c>
      <c r="Q169" s="43" t="str">
        <f aca="false">IF($B169="","",SUMIFS('Rotation History'!$M$2:$M$1000,'Rotation History'!$B$2:$B$1000,$B169,'Rotation History'!$A$2:$A$1000,"&gt;="&amp;($B$2-30),'Rotation History'!$A$2:$A$1000,"&lt;"&amp;$B$2))</f>
        <v/>
      </c>
      <c r="R169" s="43" t="str">
        <f aca="false">IF($B169="","",COUNTIFS('Rotation History'!$B$2:$B$1000,$B169,'Rotation History'!$M$2:$M$1000,"&gt;0",'Rotation History'!$A$2:$A$1000,"&gt;="&amp;($B$2-30),'Rotation History'!$A$2:$A$1000,"&lt;"&amp;$B$2))</f>
        <v/>
      </c>
      <c r="S169" s="43" t="str">
        <f aca="false">IF($B169="","",IF(COUNTIFS('Rotation History'!$B$2:$B$1000,$B169,'Rotation History'!$A$2:$A$1000,$B$2-1,'Rotation History'!$M$2:$M$1000,"&gt;0")=0,0,1+IF(COUNTIFS('Rotation History'!$B$2:$B$1000,$B169,'Rotation History'!$A$2:$A$1000,$B$2-2,'Rotation History'!$M$2:$M$1000,"&gt;0")=0,0,1+IF(COUNTIFS('Rotation History'!$B$2:$B$1000,$B169,'Rotation History'!$A$2:$A$1000,$B$2-3,'Rotation History'!$M$2:$M$1000,"&gt;0")=0,0,1+IF(COUNTIFS('Rotation History'!$B$2:$B$1000,$B169,'Rotation History'!$A$2:$A$1000,$B$2-4,'Rotation History'!$M$2:$M$1000,"&gt;0")=0,0,1)))))</f>
        <v/>
      </c>
      <c r="T169" s="43" t="str">
        <f aca="false">IF($B169="","",COUNTIFS('Rotation History'!$B$2:$B$1000,$B169,'Rotation History'!$K$2:$K$1000,"Opening",'Rotation History'!$A$2:$A$1000,"&gt;="&amp;($B$2-30),'Rotation History'!$A$2:$A$1000,"&lt;"&amp;$B$2))</f>
        <v/>
      </c>
      <c r="U169" s="43" t="str">
        <f aca="false">IF($B169="","",COUNTIFS('Rotation History'!$B$2:$B$1000,$B169,'Rotation History'!$K$2:$K$1000,"Lunch Relief",'Rotation History'!$A$2:$A$1000,"&gt;="&amp;($B$2-30),'Rotation History'!$A$2:$A$1000,"&lt;"&amp;$B$2))</f>
        <v/>
      </c>
      <c r="V169" s="44" t="str">
        <f aca="false">IF($B169="","",$Q169*10+$R169*2+$S169*20+$T169*3+$U169)</f>
        <v/>
      </c>
    </row>
    <row r="170" customFormat="false" ht="14.25" hidden="false" customHeight="true" outlineLevel="0" collapsed="false">
      <c r="A170" s="40" t="str">
        <f aca="false">IF($B170="","",$B$2)</f>
        <v/>
      </c>
      <c r="B170" s="1" t="str">
        <f aca="false">IF($B$2="","",IFERROR(INDEX('Employee Master'!$A$2:$A$159,MATCH(ROWS($B$6:B170),Lists!$P$2:$P$159,0)),""))</f>
        <v/>
      </c>
      <c r="C170" s="1" t="str">
        <f aca="false">IF($B170="","",IFERROR(INDEX('Employee Master'!$B$2:$B$159,MATCH($B170,'Employee Master'!$A$2:$A$159,0)),""))</f>
        <v/>
      </c>
      <c r="D170" s="1" t="str">
        <f aca="false">IF($B170="","",IFERROR(INDEX('Employee Master'!$C$2:$C$159,MATCH($B170,'Employee Master'!$A$2:$A$159,0)),""))</f>
        <v/>
      </c>
      <c r="E170" s="1" t="str">
        <f aca="false">IF($B170="","",IFERROR(INDEX('Employee Master'!$I$2:$I$159,MATCH($B170,'Employee Master'!$A$2:$A$159,0)),""))</f>
        <v/>
      </c>
      <c r="F170" s="29" t="str">
        <f aca="false">IF($B170="","",IFERROR(INDEX('Employee Master'!$E$2:$E$159,MATCH($B170,'Employee Master'!$A$2:$A$159,0)),""))</f>
        <v/>
      </c>
      <c r="G170" s="29" t="str">
        <f aca="false">IF($B170="","",IFERROR(INDEX('Employee Master'!$F$2:$F$159,MATCH($B170,'Employee Master'!$A$2:$A$159,0)),""))</f>
        <v/>
      </c>
      <c r="H170" s="41" t="str">
        <f aca="false">IF($B170="","","Present")</f>
        <v/>
      </c>
      <c r="I170" s="1" t="str">
        <f aca="false">IF($B170="","",IFERROR(INDEX('Employee Master'!$H$2:$H$159,MATCH($B170,'Employee Master'!$A$2:$A$159,0)),""))</f>
        <v/>
      </c>
      <c r="J170" s="29" t="str">
        <f aca="false">IF($B170="","",IFERROR(INDEX('Qualification Matrix'!$C$2:$C$168,MATCH($B170,'Qualification Matrix'!$A$2:$A$168,0)),2))</f>
        <v/>
      </c>
      <c r="K170" s="29" t="str">
        <f aca="false">IF($B170="","",IFERROR(INDEX('Qualification Matrix'!$D$2:$D$168,MATCH($B170,'Qualification Matrix'!$A$2:$A$168,0)),2))</f>
        <v/>
      </c>
      <c r="L170" s="29" t="str">
        <f aca="false">IF($B170="","",IFERROR(INDEX('Qualification Matrix'!$E$2:$E$168,MATCH($B170,'Qualification Matrix'!$A$2:$A$168,0)),2))</f>
        <v/>
      </c>
      <c r="M170" s="29" t="str">
        <f aca="false">IF($B170="","",IFERROR(INDEX('Qualification Matrix'!$F$2:$F$168,MATCH($B170,'Qualification Matrix'!$A$2:$A$168,0)),2))</f>
        <v/>
      </c>
      <c r="N170" s="29" t="str">
        <f aca="false">IF($B170="","",IF(AND($H170="Present",$F170&lt;&gt;"Y"),"Y","N"))</f>
        <v/>
      </c>
      <c r="O170" s="42"/>
      <c r="P170" s="29" t="str">
        <f aca="false">IF($B170="","",IFERROR(INDEX('Qualification Matrix'!$H$2:$H$168,MATCH($B170,'Qualification Matrix'!$A$2:$A$168,0)),""))</f>
        <v/>
      </c>
      <c r="Q170" s="43" t="str">
        <f aca="false">IF($B170="","",SUMIFS('Rotation History'!$M$2:$M$1000,'Rotation History'!$B$2:$B$1000,$B170,'Rotation History'!$A$2:$A$1000,"&gt;="&amp;($B$2-30),'Rotation History'!$A$2:$A$1000,"&lt;"&amp;$B$2))</f>
        <v/>
      </c>
      <c r="R170" s="43" t="str">
        <f aca="false">IF($B170="","",COUNTIFS('Rotation History'!$B$2:$B$1000,$B170,'Rotation History'!$M$2:$M$1000,"&gt;0",'Rotation History'!$A$2:$A$1000,"&gt;="&amp;($B$2-30),'Rotation History'!$A$2:$A$1000,"&lt;"&amp;$B$2))</f>
        <v/>
      </c>
      <c r="S170" s="43" t="str">
        <f aca="false">IF($B170="","",IF(COUNTIFS('Rotation History'!$B$2:$B$1000,$B170,'Rotation History'!$A$2:$A$1000,$B$2-1,'Rotation History'!$M$2:$M$1000,"&gt;0")=0,0,1+IF(COUNTIFS('Rotation History'!$B$2:$B$1000,$B170,'Rotation History'!$A$2:$A$1000,$B$2-2,'Rotation History'!$M$2:$M$1000,"&gt;0")=0,0,1+IF(COUNTIFS('Rotation History'!$B$2:$B$1000,$B170,'Rotation History'!$A$2:$A$1000,$B$2-3,'Rotation History'!$M$2:$M$1000,"&gt;0")=0,0,1+IF(COUNTIFS('Rotation History'!$B$2:$B$1000,$B170,'Rotation History'!$A$2:$A$1000,$B$2-4,'Rotation History'!$M$2:$M$1000,"&gt;0")=0,0,1)))))</f>
        <v/>
      </c>
      <c r="T170" s="43" t="str">
        <f aca="false">IF($B170="","",COUNTIFS('Rotation History'!$B$2:$B$1000,$B170,'Rotation History'!$K$2:$K$1000,"Opening",'Rotation History'!$A$2:$A$1000,"&gt;="&amp;($B$2-30),'Rotation History'!$A$2:$A$1000,"&lt;"&amp;$B$2))</f>
        <v/>
      </c>
      <c r="U170" s="43" t="str">
        <f aca="false">IF($B170="","",COUNTIFS('Rotation History'!$B$2:$B$1000,$B170,'Rotation History'!$K$2:$K$1000,"Lunch Relief",'Rotation History'!$A$2:$A$1000,"&gt;="&amp;($B$2-30),'Rotation History'!$A$2:$A$1000,"&lt;"&amp;$B$2))</f>
        <v/>
      </c>
      <c r="V170" s="44" t="str">
        <f aca="false">IF($B170="","",$Q170*10+$R170*2+$S170*20+$T170*3+$U170)</f>
        <v/>
      </c>
    </row>
    <row r="171" customFormat="false" ht="14.25" hidden="false" customHeight="true" outlineLevel="0" collapsed="false">
      <c r="A171" s="40" t="str">
        <f aca="false">IF($B171="","",$B$2)</f>
        <v/>
      </c>
      <c r="B171" s="1" t="str">
        <f aca="false">IF($B$2="","",IFERROR(INDEX('Employee Master'!$A$2:$A$159,MATCH(ROWS($B$6:B171),Lists!$P$2:$P$159,0)),""))</f>
        <v/>
      </c>
      <c r="C171" s="1" t="str">
        <f aca="false">IF($B171="","",IFERROR(INDEX('Employee Master'!$B$2:$B$159,MATCH($B171,'Employee Master'!$A$2:$A$159,0)),""))</f>
        <v/>
      </c>
      <c r="D171" s="1" t="str">
        <f aca="false">IF($B171="","",IFERROR(INDEX('Employee Master'!$C$2:$C$159,MATCH($B171,'Employee Master'!$A$2:$A$159,0)),""))</f>
        <v/>
      </c>
      <c r="E171" s="1" t="str">
        <f aca="false">IF($B171="","",IFERROR(INDEX('Employee Master'!$I$2:$I$159,MATCH($B171,'Employee Master'!$A$2:$A$159,0)),""))</f>
        <v/>
      </c>
      <c r="F171" s="29" t="str">
        <f aca="false">IF($B171="","",IFERROR(INDEX('Employee Master'!$E$2:$E$159,MATCH($B171,'Employee Master'!$A$2:$A$159,0)),""))</f>
        <v/>
      </c>
      <c r="G171" s="29" t="str">
        <f aca="false">IF($B171="","",IFERROR(INDEX('Employee Master'!$F$2:$F$159,MATCH($B171,'Employee Master'!$A$2:$A$159,0)),""))</f>
        <v/>
      </c>
      <c r="H171" s="41" t="str">
        <f aca="false">IF($B171="","","Present")</f>
        <v/>
      </c>
      <c r="I171" s="1" t="str">
        <f aca="false">IF($B171="","",IFERROR(INDEX('Employee Master'!$H$2:$H$159,MATCH($B171,'Employee Master'!$A$2:$A$159,0)),""))</f>
        <v/>
      </c>
      <c r="J171" s="29" t="str">
        <f aca="false">IF($B171="","",IFERROR(INDEX('Qualification Matrix'!$C$2:$C$168,MATCH($B171,'Qualification Matrix'!$A$2:$A$168,0)),2))</f>
        <v/>
      </c>
      <c r="K171" s="29" t="str">
        <f aca="false">IF($B171="","",IFERROR(INDEX('Qualification Matrix'!$D$2:$D$168,MATCH($B171,'Qualification Matrix'!$A$2:$A$168,0)),2))</f>
        <v/>
      </c>
      <c r="L171" s="29" t="str">
        <f aca="false">IF($B171="","",IFERROR(INDEX('Qualification Matrix'!$E$2:$E$168,MATCH($B171,'Qualification Matrix'!$A$2:$A$168,0)),2))</f>
        <v/>
      </c>
      <c r="M171" s="29" t="str">
        <f aca="false">IF($B171="","",IFERROR(INDEX('Qualification Matrix'!$F$2:$F$168,MATCH($B171,'Qualification Matrix'!$A$2:$A$168,0)),2))</f>
        <v/>
      </c>
      <c r="N171" s="29" t="str">
        <f aca="false">IF($B171="","",IF(AND($H171="Present",$F171&lt;&gt;"Y"),"Y","N"))</f>
        <v/>
      </c>
      <c r="O171" s="42"/>
      <c r="P171" s="29" t="str">
        <f aca="false">IF($B171="","",IFERROR(INDEX('Qualification Matrix'!$H$2:$H$168,MATCH($B171,'Qualification Matrix'!$A$2:$A$168,0)),""))</f>
        <v/>
      </c>
      <c r="Q171" s="43" t="str">
        <f aca="false">IF($B171="","",SUMIFS('Rotation History'!$M$2:$M$1000,'Rotation History'!$B$2:$B$1000,$B171,'Rotation History'!$A$2:$A$1000,"&gt;="&amp;($B$2-30),'Rotation History'!$A$2:$A$1000,"&lt;"&amp;$B$2))</f>
        <v/>
      </c>
      <c r="R171" s="43" t="str">
        <f aca="false">IF($B171="","",COUNTIFS('Rotation History'!$B$2:$B$1000,$B171,'Rotation History'!$M$2:$M$1000,"&gt;0",'Rotation History'!$A$2:$A$1000,"&gt;="&amp;($B$2-30),'Rotation History'!$A$2:$A$1000,"&lt;"&amp;$B$2))</f>
        <v/>
      </c>
      <c r="S171" s="43" t="str">
        <f aca="false">IF($B171="","",IF(COUNTIFS('Rotation History'!$B$2:$B$1000,$B171,'Rotation History'!$A$2:$A$1000,$B$2-1,'Rotation History'!$M$2:$M$1000,"&gt;0")=0,0,1+IF(COUNTIFS('Rotation History'!$B$2:$B$1000,$B171,'Rotation History'!$A$2:$A$1000,$B$2-2,'Rotation History'!$M$2:$M$1000,"&gt;0")=0,0,1+IF(COUNTIFS('Rotation History'!$B$2:$B$1000,$B171,'Rotation History'!$A$2:$A$1000,$B$2-3,'Rotation History'!$M$2:$M$1000,"&gt;0")=0,0,1+IF(COUNTIFS('Rotation History'!$B$2:$B$1000,$B171,'Rotation History'!$A$2:$A$1000,$B$2-4,'Rotation History'!$M$2:$M$1000,"&gt;0")=0,0,1)))))</f>
        <v/>
      </c>
      <c r="T171" s="43" t="str">
        <f aca="false">IF($B171="","",COUNTIFS('Rotation History'!$B$2:$B$1000,$B171,'Rotation History'!$K$2:$K$1000,"Opening",'Rotation History'!$A$2:$A$1000,"&gt;="&amp;($B$2-30),'Rotation History'!$A$2:$A$1000,"&lt;"&amp;$B$2))</f>
        <v/>
      </c>
      <c r="U171" s="43" t="str">
        <f aca="false">IF($B171="","",COUNTIFS('Rotation History'!$B$2:$B$1000,$B171,'Rotation History'!$K$2:$K$1000,"Lunch Relief",'Rotation History'!$A$2:$A$1000,"&gt;="&amp;($B$2-30),'Rotation History'!$A$2:$A$1000,"&lt;"&amp;$B$2))</f>
        <v/>
      </c>
      <c r="V171" s="44" t="str">
        <f aca="false">IF($B171="","",$Q171*10+$R171*2+$S171*20+$T171*3+$U171)</f>
        <v/>
      </c>
    </row>
    <row r="172" customFormat="false" ht="14.25" hidden="false" customHeight="true" outlineLevel="0" collapsed="false">
      <c r="A172" s="40" t="str">
        <f aca="false">IF($B172="","",$B$2)</f>
        <v/>
      </c>
      <c r="B172" s="1" t="str">
        <f aca="false">IF($B$2="","",IFERROR(INDEX('Employee Master'!$A$2:$A$159,MATCH(ROWS($B$6:B172),Lists!$P$2:$P$159,0)),""))</f>
        <v/>
      </c>
      <c r="C172" s="1" t="str">
        <f aca="false">IF($B172="","",IFERROR(INDEX('Employee Master'!$B$2:$B$159,MATCH($B172,'Employee Master'!$A$2:$A$159,0)),""))</f>
        <v/>
      </c>
      <c r="D172" s="1" t="str">
        <f aca="false">IF($B172="","",IFERROR(INDEX('Employee Master'!$C$2:$C$159,MATCH($B172,'Employee Master'!$A$2:$A$159,0)),""))</f>
        <v/>
      </c>
      <c r="E172" s="1" t="str">
        <f aca="false">IF($B172="","",IFERROR(INDEX('Employee Master'!$I$2:$I$159,MATCH($B172,'Employee Master'!$A$2:$A$159,0)),""))</f>
        <v/>
      </c>
      <c r="F172" s="29" t="str">
        <f aca="false">IF($B172="","",IFERROR(INDEX('Employee Master'!$E$2:$E$159,MATCH($B172,'Employee Master'!$A$2:$A$159,0)),""))</f>
        <v/>
      </c>
      <c r="G172" s="29" t="str">
        <f aca="false">IF($B172="","",IFERROR(INDEX('Employee Master'!$F$2:$F$159,MATCH($B172,'Employee Master'!$A$2:$A$159,0)),""))</f>
        <v/>
      </c>
      <c r="H172" s="41" t="str">
        <f aca="false">IF($B172="","","Present")</f>
        <v/>
      </c>
      <c r="I172" s="1" t="str">
        <f aca="false">IF($B172="","",IFERROR(INDEX('Employee Master'!$H$2:$H$159,MATCH($B172,'Employee Master'!$A$2:$A$159,0)),""))</f>
        <v/>
      </c>
      <c r="J172" s="29" t="str">
        <f aca="false">IF($B172="","",IFERROR(INDEX('Qualification Matrix'!$C$2:$C$168,MATCH($B172,'Qualification Matrix'!$A$2:$A$168,0)),2))</f>
        <v/>
      </c>
      <c r="K172" s="29" t="str">
        <f aca="false">IF($B172="","",IFERROR(INDEX('Qualification Matrix'!$D$2:$D$168,MATCH($B172,'Qualification Matrix'!$A$2:$A$168,0)),2))</f>
        <v/>
      </c>
      <c r="L172" s="29" t="str">
        <f aca="false">IF($B172="","",IFERROR(INDEX('Qualification Matrix'!$E$2:$E$168,MATCH($B172,'Qualification Matrix'!$A$2:$A$168,0)),2))</f>
        <v/>
      </c>
      <c r="M172" s="29" t="str">
        <f aca="false">IF($B172="","",IFERROR(INDEX('Qualification Matrix'!$F$2:$F$168,MATCH($B172,'Qualification Matrix'!$A$2:$A$168,0)),2))</f>
        <v/>
      </c>
      <c r="N172" s="29" t="str">
        <f aca="false">IF($B172="","",IF(AND($H172="Present",$F172&lt;&gt;"Y"),"Y","N"))</f>
        <v/>
      </c>
      <c r="O172" s="42"/>
      <c r="P172" s="29" t="str">
        <f aca="false">IF($B172="","",IFERROR(INDEX('Qualification Matrix'!$H$2:$H$168,MATCH($B172,'Qualification Matrix'!$A$2:$A$168,0)),""))</f>
        <v/>
      </c>
      <c r="Q172" s="43" t="str">
        <f aca="false">IF($B172="","",SUMIFS('Rotation History'!$M$2:$M$1000,'Rotation History'!$B$2:$B$1000,$B172,'Rotation History'!$A$2:$A$1000,"&gt;="&amp;($B$2-30),'Rotation History'!$A$2:$A$1000,"&lt;"&amp;$B$2))</f>
        <v/>
      </c>
      <c r="R172" s="43" t="str">
        <f aca="false">IF($B172="","",COUNTIFS('Rotation History'!$B$2:$B$1000,$B172,'Rotation History'!$M$2:$M$1000,"&gt;0",'Rotation History'!$A$2:$A$1000,"&gt;="&amp;($B$2-30),'Rotation History'!$A$2:$A$1000,"&lt;"&amp;$B$2))</f>
        <v/>
      </c>
      <c r="S172" s="43" t="str">
        <f aca="false">IF($B172="","",IF(COUNTIFS('Rotation History'!$B$2:$B$1000,$B172,'Rotation History'!$A$2:$A$1000,$B$2-1,'Rotation History'!$M$2:$M$1000,"&gt;0")=0,0,1+IF(COUNTIFS('Rotation History'!$B$2:$B$1000,$B172,'Rotation History'!$A$2:$A$1000,$B$2-2,'Rotation History'!$M$2:$M$1000,"&gt;0")=0,0,1+IF(COUNTIFS('Rotation History'!$B$2:$B$1000,$B172,'Rotation History'!$A$2:$A$1000,$B$2-3,'Rotation History'!$M$2:$M$1000,"&gt;0")=0,0,1+IF(COUNTIFS('Rotation History'!$B$2:$B$1000,$B172,'Rotation History'!$A$2:$A$1000,$B$2-4,'Rotation History'!$M$2:$M$1000,"&gt;0")=0,0,1)))))</f>
        <v/>
      </c>
      <c r="T172" s="43" t="str">
        <f aca="false">IF($B172="","",COUNTIFS('Rotation History'!$B$2:$B$1000,$B172,'Rotation History'!$K$2:$K$1000,"Opening",'Rotation History'!$A$2:$A$1000,"&gt;="&amp;($B$2-30),'Rotation History'!$A$2:$A$1000,"&lt;"&amp;$B$2))</f>
        <v/>
      </c>
      <c r="U172" s="43" t="str">
        <f aca="false">IF($B172="","",COUNTIFS('Rotation History'!$B$2:$B$1000,$B172,'Rotation History'!$K$2:$K$1000,"Lunch Relief",'Rotation History'!$A$2:$A$1000,"&gt;="&amp;($B$2-30),'Rotation History'!$A$2:$A$1000,"&lt;"&amp;$B$2))</f>
        <v/>
      </c>
      <c r="V172" s="44" t="str">
        <f aca="false">IF($B172="","",$Q172*10+$R172*2+$S172*20+$T172*3+$U172)</f>
        <v/>
      </c>
    </row>
    <row r="173" customFormat="false" ht="14.25" hidden="false" customHeight="true" outlineLevel="0" collapsed="false">
      <c r="A173" s="40" t="str">
        <f aca="false">IF($B173="","",$B$2)</f>
        <v/>
      </c>
      <c r="B173" s="1" t="str">
        <f aca="false">IF($B$2="","",IFERROR(INDEX('Employee Master'!$A$2:$A$159,MATCH(ROWS($B$6:B173),Lists!$P$2:$P$159,0)),""))</f>
        <v/>
      </c>
      <c r="C173" s="1" t="str">
        <f aca="false">IF($B173="","",IFERROR(INDEX('Employee Master'!$B$2:$B$159,MATCH($B173,'Employee Master'!$A$2:$A$159,0)),""))</f>
        <v/>
      </c>
      <c r="D173" s="1" t="str">
        <f aca="false">IF($B173="","",IFERROR(INDEX('Employee Master'!$C$2:$C$159,MATCH($B173,'Employee Master'!$A$2:$A$159,0)),""))</f>
        <v/>
      </c>
      <c r="E173" s="1" t="str">
        <f aca="false">IF($B173="","",IFERROR(INDEX('Employee Master'!$I$2:$I$159,MATCH($B173,'Employee Master'!$A$2:$A$159,0)),""))</f>
        <v/>
      </c>
      <c r="F173" s="29" t="str">
        <f aca="false">IF($B173="","",IFERROR(INDEX('Employee Master'!$E$2:$E$159,MATCH($B173,'Employee Master'!$A$2:$A$159,0)),""))</f>
        <v/>
      </c>
      <c r="G173" s="29" t="str">
        <f aca="false">IF($B173="","",IFERROR(INDEX('Employee Master'!$F$2:$F$159,MATCH($B173,'Employee Master'!$A$2:$A$159,0)),""))</f>
        <v/>
      </c>
      <c r="H173" s="41" t="str">
        <f aca="false">IF($B173="","","Present")</f>
        <v/>
      </c>
      <c r="I173" s="1" t="str">
        <f aca="false">IF($B173="","",IFERROR(INDEX('Employee Master'!$H$2:$H$159,MATCH($B173,'Employee Master'!$A$2:$A$159,0)),""))</f>
        <v/>
      </c>
      <c r="J173" s="29" t="str">
        <f aca="false">IF($B173="","",IFERROR(INDEX('Qualification Matrix'!$C$2:$C$168,MATCH($B173,'Qualification Matrix'!$A$2:$A$168,0)),2))</f>
        <v/>
      </c>
      <c r="K173" s="29" t="str">
        <f aca="false">IF($B173="","",IFERROR(INDEX('Qualification Matrix'!$D$2:$D$168,MATCH($B173,'Qualification Matrix'!$A$2:$A$168,0)),2))</f>
        <v/>
      </c>
      <c r="L173" s="29" t="str">
        <f aca="false">IF($B173="","",IFERROR(INDEX('Qualification Matrix'!$E$2:$E$168,MATCH($B173,'Qualification Matrix'!$A$2:$A$168,0)),2))</f>
        <v/>
      </c>
      <c r="M173" s="29" t="str">
        <f aca="false">IF($B173="","",IFERROR(INDEX('Qualification Matrix'!$F$2:$F$168,MATCH($B173,'Qualification Matrix'!$A$2:$A$168,0)),2))</f>
        <v/>
      </c>
      <c r="N173" s="29" t="str">
        <f aca="false">IF($B173="","",IF(AND($H173="Present",$F173&lt;&gt;"Y"),"Y","N"))</f>
        <v/>
      </c>
      <c r="O173" s="42"/>
      <c r="P173" s="29" t="str">
        <f aca="false">IF($B173="","",IFERROR(INDEX('Qualification Matrix'!$H$2:$H$168,MATCH($B173,'Qualification Matrix'!$A$2:$A$168,0)),""))</f>
        <v/>
      </c>
      <c r="Q173" s="43" t="str">
        <f aca="false">IF($B173="","",SUMIFS('Rotation History'!$M$2:$M$1000,'Rotation History'!$B$2:$B$1000,$B173,'Rotation History'!$A$2:$A$1000,"&gt;="&amp;($B$2-30),'Rotation History'!$A$2:$A$1000,"&lt;"&amp;$B$2))</f>
        <v/>
      </c>
      <c r="R173" s="43" t="str">
        <f aca="false">IF($B173="","",COUNTIFS('Rotation History'!$B$2:$B$1000,$B173,'Rotation History'!$M$2:$M$1000,"&gt;0",'Rotation History'!$A$2:$A$1000,"&gt;="&amp;($B$2-30),'Rotation History'!$A$2:$A$1000,"&lt;"&amp;$B$2))</f>
        <v/>
      </c>
      <c r="S173" s="43" t="str">
        <f aca="false">IF($B173="","",IF(COUNTIFS('Rotation History'!$B$2:$B$1000,$B173,'Rotation History'!$A$2:$A$1000,$B$2-1,'Rotation History'!$M$2:$M$1000,"&gt;0")=0,0,1+IF(COUNTIFS('Rotation History'!$B$2:$B$1000,$B173,'Rotation History'!$A$2:$A$1000,$B$2-2,'Rotation History'!$M$2:$M$1000,"&gt;0")=0,0,1+IF(COUNTIFS('Rotation History'!$B$2:$B$1000,$B173,'Rotation History'!$A$2:$A$1000,$B$2-3,'Rotation History'!$M$2:$M$1000,"&gt;0")=0,0,1+IF(COUNTIFS('Rotation History'!$B$2:$B$1000,$B173,'Rotation History'!$A$2:$A$1000,$B$2-4,'Rotation History'!$M$2:$M$1000,"&gt;0")=0,0,1)))))</f>
        <v/>
      </c>
      <c r="T173" s="43" t="str">
        <f aca="false">IF($B173="","",COUNTIFS('Rotation History'!$B$2:$B$1000,$B173,'Rotation History'!$K$2:$K$1000,"Opening",'Rotation History'!$A$2:$A$1000,"&gt;="&amp;($B$2-30),'Rotation History'!$A$2:$A$1000,"&lt;"&amp;$B$2))</f>
        <v/>
      </c>
      <c r="U173" s="43" t="str">
        <f aca="false">IF($B173="","",COUNTIFS('Rotation History'!$B$2:$B$1000,$B173,'Rotation History'!$K$2:$K$1000,"Lunch Relief",'Rotation History'!$A$2:$A$1000,"&gt;="&amp;($B$2-30),'Rotation History'!$A$2:$A$1000,"&lt;"&amp;$B$2))</f>
        <v/>
      </c>
      <c r="V173" s="44" t="str">
        <f aca="false">IF($B173="","",$Q173*10+$R173*2+$S173*20+$T173*3+$U173)</f>
        <v/>
      </c>
    </row>
    <row r="174" customFormat="false" ht="14.25" hidden="false" customHeight="true" outlineLevel="0" collapsed="false">
      <c r="A174" s="40" t="str">
        <f aca="false">IF($B174="","",$B$2)</f>
        <v/>
      </c>
      <c r="B174" s="1" t="str">
        <f aca="false">IF($B$2="","",IFERROR(INDEX('Employee Master'!$A$2:$A$159,MATCH(ROWS($B$6:B174),Lists!$P$2:$P$159,0)),""))</f>
        <v/>
      </c>
      <c r="C174" s="1" t="str">
        <f aca="false">IF($B174="","",IFERROR(INDEX('Employee Master'!$B$2:$B$159,MATCH($B174,'Employee Master'!$A$2:$A$159,0)),""))</f>
        <v/>
      </c>
      <c r="D174" s="1" t="str">
        <f aca="false">IF($B174="","",IFERROR(INDEX('Employee Master'!$C$2:$C$159,MATCH($B174,'Employee Master'!$A$2:$A$159,0)),""))</f>
        <v/>
      </c>
      <c r="E174" s="1" t="str">
        <f aca="false">IF($B174="","",IFERROR(INDEX('Employee Master'!$I$2:$I$159,MATCH($B174,'Employee Master'!$A$2:$A$159,0)),""))</f>
        <v/>
      </c>
      <c r="F174" s="29" t="str">
        <f aca="false">IF($B174="","",IFERROR(INDEX('Employee Master'!$E$2:$E$159,MATCH($B174,'Employee Master'!$A$2:$A$159,0)),""))</f>
        <v/>
      </c>
      <c r="G174" s="29" t="str">
        <f aca="false">IF($B174="","",IFERROR(INDEX('Employee Master'!$F$2:$F$159,MATCH($B174,'Employee Master'!$A$2:$A$159,0)),""))</f>
        <v/>
      </c>
      <c r="H174" s="41" t="str">
        <f aca="false">IF($B174="","","Present")</f>
        <v/>
      </c>
      <c r="I174" s="1" t="str">
        <f aca="false">IF($B174="","",IFERROR(INDEX('Employee Master'!$H$2:$H$159,MATCH($B174,'Employee Master'!$A$2:$A$159,0)),""))</f>
        <v/>
      </c>
      <c r="J174" s="29" t="str">
        <f aca="false">IF($B174="","",IFERROR(INDEX('Qualification Matrix'!$C$2:$C$168,MATCH($B174,'Qualification Matrix'!$A$2:$A$168,0)),2))</f>
        <v/>
      </c>
      <c r="K174" s="29" t="str">
        <f aca="false">IF($B174="","",IFERROR(INDEX('Qualification Matrix'!$D$2:$D$168,MATCH($B174,'Qualification Matrix'!$A$2:$A$168,0)),2))</f>
        <v/>
      </c>
      <c r="L174" s="29" t="str">
        <f aca="false">IF($B174="","",IFERROR(INDEX('Qualification Matrix'!$E$2:$E$168,MATCH($B174,'Qualification Matrix'!$A$2:$A$168,0)),2))</f>
        <v/>
      </c>
      <c r="M174" s="29" t="str">
        <f aca="false">IF($B174="","",IFERROR(INDEX('Qualification Matrix'!$F$2:$F$168,MATCH($B174,'Qualification Matrix'!$A$2:$A$168,0)),2))</f>
        <v/>
      </c>
      <c r="N174" s="29" t="str">
        <f aca="false">IF($B174="","",IF(AND($H174="Present",$F174&lt;&gt;"Y"),"Y","N"))</f>
        <v/>
      </c>
      <c r="O174" s="42"/>
      <c r="P174" s="29" t="str">
        <f aca="false">IF($B174="","",IFERROR(INDEX('Qualification Matrix'!$H$2:$H$168,MATCH($B174,'Qualification Matrix'!$A$2:$A$168,0)),""))</f>
        <v/>
      </c>
      <c r="Q174" s="43" t="str">
        <f aca="false">IF($B174="","",SUMIFS('Rotation History'!$M$2:$M$1000,'Rotation History'!$B$2:$B$1000,$B174,'Rotation History'!$A$2:$A$1000,"&gt;="&amp;($B$2-30),'Rotation History'!$A$2:$A$1000,"&lt;"&amp;$B$2))</f>
        <v/>
      </c>
      <c r="R174" s="43" t="str">
        <f aca="false">IF($B174="","",COUNTIFS('Rotation History'!$B$2:$B$1000,$B174,'Rotation History'!$M$2:$M$1000,"&gt;0",'Rotation History'!$A$2:$A$1000,"&gt;="&amp;($B$2-30),'Rotation History'!$A$2:$A$1000,"&lt;"&amp;$B$2))</f>
        <v/>
      </c>
      <c r="S174" s="43" t="str">
        <f aca="false">IF($B174="","",IF(COUNTIFS('Rotation History'!$B$2:$B$1000,$B174,'Rotation History'!$A$2:$A$1000,$B$2-1,'Rotation History'!$M$2:$M$1000,"&gt;0")=0,0,1+IF(COUNTIFS('Rotation History'!$B$2:$B$1000,$B174,'Rotation History'!$A$2:$A$1000,$B$2-2,'Rotation History'!$M$2:$M$1000,"&gt;0")=0,0,1+IF(COUNTIFS('Rotation History'!$B$2:$B$1000,$B174,'Rotation History'!$A$2:$A$1000,$B$2-3,'Rotation History'!$M$2:$M$1000,"&gt;0")=0,0,1+IF(COUNTIFS('Rotation History'!$B$2:$B$1000,$B174,'Rotation History'!$A$2:$A$1000,$B$2-4,'Rotation History'!$M$2:$M$1000,"&gt;0")=0,0,1)))))</f>
        <v/>
      </c>
      <c r="T174" s="43" t="str">
        <f aca="false">IF($B174="","",COUNTIFS('Rotation History'!$B$2:$B$1000,$B174,'Rotation History'!$K$2:$K$1000,"Opening",'Rotation History'!$A$2:$A$1000,"&gt;="&amp;($B$2-30),'Rotation History'!$A$2:$A$1000,"&lt;"&amp;$B$2))</f>
        <v/>
      </c>
      <c r="U174" s="43" t="str">
        <f aca="false">IF($B174="","",COUNTIFS('Rotation History'!$B$2:$B$1000,$B174,'Rotation History'!$K$2:$K$1000,"Lunch Relief",'Rotation History'!$A$2:$A$1000,"&gt;="&amp;($B$2-30),'Rotation History'!$A$2:$A$1000,"&lt;"&amp;$B$2))</f>
        <v/>
      </c>
      <c r="V174" s="44" t="str">
        <f aca="false">IF($B174="","",$Q174*10+$R174*2+$S174*20+$T174*3+$U174)</f>
        <v/>
      </c>
    </row>
    <row r="175" customFormat="false" ht="14.25" hidden="false" customHeight="true" outlineLevel="0" collapsed="false">
      <c r="A175" s="40" t="str">
        <f aca="false">IF($B175="","",$B$2)</f>
        <v/>
      </c>
      <c r="B175" s="1" t="str">
        <f aca="false">IF($B$2="","",IFERROR(INDEX('Employee Master'!$A$2:$A$159,MATCH(ROWS($B$6:B175),Lists!$P$2:$P$159,0)),""))</f>
        <v/>
      </c>
      <c r="C175" s="1" t="str">
        <f aca="false">IF($B175="","",IFERROR(INDEX('Employee Master'!$B$2:$B$159,MATCH($B175,'Employee Master'!$A$2:$A$159,0)),""))</f>
        <v/>
      </c>
      <c r="D175" s="1" t="str">
        <f aca="false">IF($B175="","",IFERROR(INDEX('Employee Master'!$C$2:$C$159,MATCH($B175,'Employee Master'!$A$2:$A$159,0)),""))</f>
        <v/>
      </c>
      <c r="E175" s="1" t="str">
        <f aca="false">IF($B175="","",IFERROR(INDEX('Employee Master'!$I$2:$I$159,MATCH($B175,'Employee Master'!$A$2:$A$159,0)),""))</f>
        <v/>
      </c>
      <c r="F175" s="29" t="str">
        <f aca="false">IF($B175="","",IFERROR(INDEX('Employee Master'!$E$2:$E$159,MATCH($B175,'Employee Master'!$A$2:$A$159,0)),""))</f>
        <v/>
      </c>
      <c r="G175" s="29" t="str">
        <f aca="false">IF($B175="","",IFERROR(INDEX('Employee Master'!$F$2:$F$159,MATCH($B175,'Employee Master'!$A$2:$A$159,0)),""))</f>
        <v/>
      </c>
      <c r="H175" s="41" t="str">
        <f aca="false">IF($B175="","","Present")</f>
        <v/>
      </c>
      <c r="I175" s="1" t="str">
        <f aca="false">IF($B175="","",IFERROR(INDEX('Employee Master'!$H$2:$H$159,MATCH($B175,'Employee Master'!$A$2:$A$159,0)),""))</f>
        <v/>
      </c>
      <c r="J175" s="29" t="str">
        <f aca="false">IF($B175="","",IFERROR(INDEX('Qualification Matrix'!$C$2:$C$168,MATCH($B175,'Qualification Matrix'!$A$2:$A$168,0)),2))</f>
        <v/>
      </c>
      <c r="K175" s="29" t="str">
        <f aca="false">IF($B175="","",IFERROR(INDEX('Qualification Matrix'!$D$2:$D$168,MATCH($B175,'Qualification Matrix'!$A$2:$A$168,0)),2))</f>
        <v/>
      </c>
      <c r="L175" s="29" t="str">
        <f aca="false">IF($B175="","",IFERROR(INDEX('Qualification Matrix'!$E$2:$E$168,MATCH($B175,'Qualification Matrix'!$A$2:$A$168,0)),2))</f>
        <v/>
      </c>
      <c r="M175" s="29" t="str">
        <f aca="false">IF($B175="","",IFERROR(INDEX('Qualification Matrix'!$F$2:$F$168,MATCH($B175,'Qualification Matrix'!$A$2:$A$168,0)),2))</f>
        <v/>
      </c>
      <c r="N175" s="29" t="str">
        <f aca="false">IF($B175="","",IF(AND($H175="Present",$F175&lt;&gt;"Y"),"Y","N"))</f>
        <v/>
      </c>
      <c r="O175" s="42"/>
      <c r="P175" s="29" t="str">
        <f aca="false">IF($B175="","",IFERROR(INDEX('Qualification Matrix'!$H$2:$H$168,MATCH($B175,'Qualification Matrix'!$A$2:$A$168,0)),""))</f>
        <v/>
      </c>
      <c r="Q175" s="43" t="str">
        <f aca="false">IF($B175="","",SUMIFS('Rotation History'!$M$2:$M$1000,'Rotation History'!$B$2:$B$1000,$B175,'Rotation History'!$A$2:$A$1000,"&gt;="&amp;($B$2-30),'Rotation History'!$A$2:$A$1000,"&lt;"&amp;$B$2))</f>
        <v/>
      </c>
      <c r="R175" s="43" t="str">
        <f aca="false">IF($B175="","",COUNTIFS('Rotation History'!$B$2:$B$1000,$B175,'Rotation History'!$M$2:$M$1000,"&gt;0",'Rotation History'!$A$2:$A$1000,"&gt;="&amp;($B$2-30),'Rotation History'!$A$2:$A$1000,"&lt;"&amp;$B$2))</f>
        <v/>
      </c>
      <c r="S175" s="43" t="str">
        <f aca="false">IF($B175="","",IF(COUNTIFS('Rotation History'!$B$2:$B$1000,$B175,'Rotation History'!$A$2:$A$1000,$B$2-1,'Rotation History'!$M$2:$M$1000,"&gt;0")=0,0,1+IF(COUNTIFS('Rotation History'!$B$2:$B$1000,$B175,'Rotation History'!$A$2:$A$1000,$B$2-2,'Rotation History'!$M$2:$M$1000,"&gt;0")=0,0,1+IF(COUNTIFS('Rotation History'!$B$2:$B$1000,$B175,'Rotation History'!$A$2:$A$1000,$B$2-3,'Rotation History'!$M$2:$M$1000,"&gt;0")=0,0,1+IF(COUNTIFS('Rotation History'!$B$2:$B$1000,$B175,'Rotation History'!$A$2:$A$1000,$B$2-4,'Rotation History'!$M$2:$M$1000,"&gt;0")=0,0,1)))))</f>
        <v/>
      </c>
      <c r="T175" s="43" t="str">
        <f aca="false">IF($B175="","",COUNTIFS('Rotation History'!$B$2:$B$1000,$B175,'Rotation History'!$K$2:$K$1000,"Opening",'Rotation History'!$A$2:$A$1000,"&gt;="&amp;($B$2-30),'Rotation History'!$A$2:$A$1000,"&lt;"&amp;$B$2))</f>
        <v/>
      </c>
      <c r="U175" s="43" t="str">
        <f aca="false">IF($B175="","",COUNTIFS('Rotation History'!$B$2:$B$1000,$B175,'Rotation History'!$K$2:$K$1000,"Lunch Relief",'Rotation History'!$A$2:$A$1000,"&gt;="&amp;($B$2-30),'Rotation History'!$A$2:$A$1000,"&lt;"&amp;$B$2))</f>
        <v/>
      </c>
      <c r="V175" s="44" t="str">
        <f aca="false">IF($B175="","",$Q175*10+$R175*2+$S175*20+$T175*3+$U175)</f>
        <v/>
      </c>
    </row>
    <row r="176" customFormat="false" ht="14.25" hidden="false" customHeight="true" outlineLevel="0" collapsed="false">
      <c r="A176" s="40" t="str">
        <f aca="false">IF($B176="","",$B$2)</f>
        <v/>
      </c>
      <c r="B176" s="1" t="str">
        <f aca="false">IF($B$2="","",IFERROR(INDEX('Employee Master'!$A$2:$A$159,MATCH(ROWS($B$6:B176),Lists!$P$2:$P$159,0)),""))</f>
        <v/>
      </c>
      <c r="C176" s="1" t="str">
        <f aca="false">IF($B176="","",IFERROR(INDEX('Employee Master'!$B$2:$B$159,MATCH($B176,'Employee Master'!$A$2:$A$159,0)),""))</f>
        <v/>
      </c>
      <c r="D176" s="1" t="str">
        <f aca="false">IF($B176="","",IFERROR(INDEX('Employee Master'!$C$2:$C$159,MATCH($B176,'Employee Master'!$A$2:$A$159,0)),""))</f>
        <v/>
      </c>
      <c r="E176" s="1" t="str">
        <f aca="false">IF($B176="","",IFERROR(INDEX('Employee Master'!$I$2:$I$159,MATCH($B176,'Employee Master'!$A$2:$A$159,0)),""))</f>
        <v/>
      </c>
      <c r="F176" s="29" t="str">
        <f aca="false">IF($B176="","",IFERROR(INDEX('Employee Master'!$E$2:$E$159,MATCH($B176,'Employee Master'!$A$2:$A$159,0)),""))</f>
        <v/>
      </c>
      <c r="G176" s="29" t="str">
        <f aca="false">IF($B176="","",IFERROR(INDEX('Employee Master'!$F$2:$F$159,MATCH($B176,'Employee Master'!$A$2:$A$159,0)),""))</f>
        <v/>
      </c>
      <c r="H176" s="41" t="str">
        <f aca="false">IF($B176="","","Present")</f>
        <v/>
      </c>
      <c r="I176" s="1" t="str">
        <f aca="false">IF($B176="","",IFERROR(INDEX('Employee Master'!$H$2:$H$159,MATCH($B176,'Employee Master'!$A$2:$A$159,0)),""))</f>
        <v/>
      </c>
      <c r="J176" s="29" t="str">
        <f aca="false">IF($B176="","",IFERROR(INDEX('Qualification Matrix'!$C$2:$C$168,MATCH($B176,'Qualification Matrix'!$A$2:$A$168,0)),2))</f>
        <v/>
      </c>
      <c r="K176" s="29" t="str">
        <f aca="false">IF($B176="","",IFERROR(INDEX('Qualification Matrix'!$D$2:$D$168,MATCH($B176,'Qualification Matrix'!$A$2:$A$168,0)),2))</f>
        <v/>
      </c>
      <c r="L176" s="29" t="str">
        <f aca="false">IF($B176="","",IFERROR(INDEX('Qualification Matrix'!$E$2:$E$168,MATCH($B176,'Qualification Matrix'!$A$2:$A$168,0)),2))</f>
        <v/>
      </c>
      <c r="M176" s="29" t="str">
        <f aca="false">IF($B176="","",IFERROR(INDEX('Qualification Matrix'!$F$2:$F$168,MATCH($B176,'Qualification Matrix'!$A$2:$A$168,0)),2))</f>
        <v/>
      </c>
      <c r="N176" s="29" t="str">
        <f aca="false">IF($B176="","",IF(AND($H176="Present",$F176&lt;&gt;"Y"),"Y","N"))</f>
        <v/>
      </c>
      <c r="O176" s="42"/>
      <c r="P176" s="29" t="str">
        <f aca="false">IF($B176="","",IFERROR(INDEX('Qualification Matrix'!$H$2:$H$168,MATCH($B176,'Qualification Matrix'!$A$2:$A$168,0)),""))</f>
        <v/>
      </c>
      <c r="Q176" s="43" t="str">
        <f aca="false">IF($B176="","",SUMIFS('Rotation History'!$M$2:$M$1000,'Rotation History'!$B$2:$B$1000,$B176,'Rotation History'!$A$2:$A$1000,"&gt;="&amp;($B$2-30),'Rotation History'!$A$2:$A$1000,"&lt;"&amp;$B$2))</f>
        <v/>
      </c>
      <c r="R176" s="43" t="str">
        <f aca="false">IF($B176="","",COUNTIFS('Rotation History'!$B$2:$B$1000,$B176,'Rotation History'!$M$2:$M$1000,"&gt;0",'Rotation History'!$A$2:$A$1000,"&gt;="&amp;($B$2-30),'Rotation History'!$A$2:$A$1000,"&lt;"&amp;$B$2))</f>
        <v/>
      </c>
      <c r="S176" s="43" t="str">
        <f aca="false">IF($B176="","",IF(COUNTIFS('Rotation History'!$B$2:$B$1000,$B176,'Rotation History'!$A$2:$A$1000,$B$2-1,'Rotation History'!$M$2:$M$1000,"&gt;0")=0,0,1+IF(COUNTIFS('Rotation History'!$B$2:$B$1000,$B176,'Rotation History'!$A$2:$A$1000,$B$2-2,'Rotation History'!$M$2:$M$1000,"&gt;0")=0,0,1+IF(COUNTIFS('Rotation History'!$B$2:$B$1000,$B176,'Rotation History'!$A$2:$A$1000,$B$2-3,'Rotation History'!$M$2:$M$1000,"&gt;0")=0,0,1+IF(COUNTIFS('Rotation History'!$B$2:$B$1000,$B176,'Rotation History'!$A$2:$A$1000,$B$2-4,'Rotation History'!$M$2:$M$1000,"&gt;0")=0,0,1)))))</f>
        <v/>
      </c>
      <c r="T176" s="43" t="str">
        <f aca="false">IF($B176="","",COUNTIFS('Rotation History'!$B$2:$B$1000,$B176,'Rotation History'!$K$2:$K$1000,"Opening",'Rotation History'!$A$2:$A$1000,"&gt;="&amp;($B$2-30),'Rotation History'!$A$2:$A$1000,"&lt;"&amp;$B$2))</f>
        <v/>
      </c>
      <c r="U176" s="43" t="str">
        <f aca="false">IF($B176="","",COUNTIFS('Rotation History'!$B$2:$B$1000,$B176,'Rotation History'!$K$2:$K$1000,"Lunch Relief",'Rotation History'!$A$2:$A$1000,"&gt;="&amp;($B$2-30),'Rotation History'!$A$2:$A$1000,"&lt;"&amp;$B$2))</f>
        <v/>
      </c>
      <c r="V176" s="44" t="str">
        <f aca="false">IF($B176="","",$Q176*10+$R176*2+$S176*20+$T176*3+$U176)</f>
        <v/>
      </c>
    </row>
    <row r="177" customFormat="false" ht="14.25" hidden="false" customHeight="true" outlineLevel="0" collapsed="false">
      <c r="A177" s="40" t="str">
        <f aca="false">IF($B177="","",$B$2)</f>
        <v/>
      </c>
      <c r="B177" s="1" t="str">
        <f aca="false">IF($B$2="","",IFERROR(INDEX('Employee Master'!$A$2:$A$159,MATCH(ROWS($B$6:B177),Lists!$P$2:$P$159,0)),""))</f>
        <v/>
      </c>
      <c r="C177" s="1" t="str">
        <f aca="false">IF($B177="","",IFERROR(INDEX('Employee Master'!$B$2:$B$159,MATCH($B177,'Employee Master'!$A$2:$A$159,0)),""))</f>
        <v/>
      </c>
      <c r="D177" s="1" t="str">
        <f aca="false">IF($B177="","",IFERROR(INDEX('Employee Master'!$C$2:$C$159,MATCH($B177,'Employee Master'!$A$2:$A$159,0)),""))</f>
        <v/>
      </c>
      <c r="E177" s="1" t="str">
        <f aca="false">IF($B177="","",IFERROR(INDEX('Employee Master'!$I$2:$I$159,MATCH($B177,'Employee Master'!$A$2:$A$159,0)),""))</f>
        <v/>
      </c>
      <c r="F177" s="29" t="str">
        <f aca="false">IF($B177="","",IFERROR(INDEX('Employee Master'!$E$2:$E$159,MATCH($B177,'Employee Master'!$A$2:$A$159,0)),""))</f>
        <v/>
      </c>
      <c r="G177" s="29" t="str">
        <f aca="false">IF($B177="","",IFERROR(INDEX('Employee Master'!$F$2:$F$159,MATCH($B177,'Employee Master'!$A$2:$A$159,0)),""))</f>
        <v/>
      </c>
      <c r="H177" s="41" t="str">
        <f aca="false">IF($B177="","","Present")</f>
        <v/>
      </c>
      <c r="I177" s="1" t="str">
        <f aca="false">IF($B177="","",IFERROR(INDEX('Employee Master'!$H$2:$H$159,MATCH($B177,'Employee Master'!$A$2:$A$159,0)),""))</f>
        <v/>
      </c>
      <c r="J177" s="29" t="str">
        <f aca="false">IF($B177="","",IFERROR(INDEX('Qualification Matrix'!$C$2:$C$168,MATCH($B177,'Qualification Matrix'!$A$2:$A$168,0)),2))</f>
        <v/>
      </c>
      <c r="K177" s="29" t="str">
        <f aca="false">IF($B177="","",IFERROR(INDEX('Qualification Matrix'!$D$2:$D$168,MATCH($B177,'Qualification Matrix'!$A$2:$A$168,0)),2))</f>
        <v/>
      </c>
      <c r="L177" s="29" t="str">
        <f aca="false">IF($B177="","",IFERROR(INDEX('Qualification Matrix'!$E$2:$E$168,MATCH($B177,'Qualification Matrix'!$A$2:$A$168,0)),2))</f>
        <v/>
      </c>
      <c r="M177" s="29" t="str">
        <f aca="false">IF($B177="","",IFERROR(INDEX('Qualification Matrix'!$F$2:$F$168,MATCH($B177,'Qualification Matrix'!$A$2:$A$168,0)),2))</f>
        <v/>
      </c>
      <c r="N177" s="29" t="str">
        <f aca="false">IF($B177="","",IF(AND($H177="Present",$F177&lt;&gt;"Y"),"Y","N"))</f>
        <v/>
      </c>
      <c r="O177" s="42"/>
      <c r="P177" s="29" t="str">
        <f aca="false">IF($B177="","",IFERROR(INDEX('Qualification Matrix'!$H$2:$H$168,MATCH($B177,'Qualification Matrix'!$A$2:$A$168,0)),""))</f>
        <v/>
      </c>
      <c r="Q177" s="43" t="str">
        <f aca="false">IF($B177="","",SUMIFS('Rotation History'!$M$2:$M$1000,'Rotation History'!$B$2:$B$1000,$B177,'Rotation History'!$A$2:$A$1000,"&gt;="&amp;($B$2-30),'Rotation History'!$A$2:$A$1000,"&lt;"&amp;$B$2))</f>
        <v/>
      </c>
      <c r="R177" s="43" t="str">
        <f aca="false">IF($B177="","",COUNTIFS('Rotation History'!$B$2:$B$1000,$B177,'Rotation History'!$M$2:$M$1000,"&gt;0",'Rotation History'!$A$2:$A$1000,"&gt;="&amp;($B$2-30),'Rotation History'!$A$2:$A$1000,"&lt;"&amp;$B$2))</f>
        <v/>
      </c>
      <c r="S177" s="43" t="str">
        <f aca="false">IF($B177="","",IF(COUNTIFS('Rotation History'!$B$2:$B$1000,$B177,'Rotation History'!$A$2:$A$1000,$B$2-1,'Rotation History'!$M$2:$M$1000,"&gt;0")=0,0,1+IF(COUNTIFS('Rotation History'!$B$2:$B$1000,$B177,'Rotation History'!$A$2:$A$1000,$B$2-2,'Rotation History'!$M$2:$M$1000,"&gt;0")=0,0,1+IF(COUNTIFS('Rotation History'!$B$2:$B$1000,$B177,'Rotation History'!$A$2:$A$1000,$B$2-3,'Rotation History'!$M$2:$M$1000,"&gt;0")=0,0,1+IF(COUNTIFS('Rotation History'!$B$2:$B$1000,$B177,'Rotation History'!$A$2:$A$1000,$B$2-4,'Rotation History'!$M$2:$M$1000,"&gt;0")=0,0,1)))))</f>
        <v/>
      </c>
      <c r="T177" s="43" t="str">
        <f aca="false">IF($B177="","",COUNTIFS('Rotation History'!$B$2:$B$1000,$B177,'Rotation History'!$K$2:$K$1000,"Opening",'Rotation History'!$A$2:$A$1000,"&gt;="&amp;($B$2-30),'Rotation History'!$A$2:$A$1000,"&lt;"&amp;$B$2))</f>
        <v/>
      </c>
      <c r="U177" s="43" t="str">
        <f aca="false">IF($B177="","",COUNTIFS('Rotation History'!$B$2:$B$1000,$B177,'Rotation History'!$K$2:$K$1000,"Lunch Relief",'Rotation History'!$A$2:$A$1000,"&gt;="&amp;($B$2-30),'Rotation History'!$A$2:$A$1000,"&lt;"&amp;$B$2))</f>
        <v/>
      </c>
      <c r="V177" s="44" t="str">
        <f aca="false">IF($B177="","",$Q177*10+$R177*2+$S177*20+$T177*3+$U177)</f>
        <v/>
      </c>
    </row>
    <row r="178" customFormat="false" ht="14.25" hidden="false" customHeight="true" outlineLevel="0" collapsed="false">
      <c r="A178" s="40" t="str">
        <f aca="false">IF($B178="","",$B$2)</f>
        <v/>
      </c>
      <c r="B178" s="1" t="str">
        <f aca="false">IF($B$2="","",IFERROR(INDEX('Employee Master'!$A$2:$A$159,MATCH(ROWS($B$6:B178),Lists!$P$2:$P$159,0)),""))</f>
        <v/>
      </c>
      <c r="C178" s="1" t="str">
        <f aca="false">IF($B178="","",IFERROR(INDEX('Employee Master'!$B$2:$B$159,MATCH($B178,'Employee Master'!$A$2:$A$159,0)),""))</f>
        <v/>
      </c>
      <c r="D178" s="1" t="str">
        <f aca="false">IF($B178="","",IFERROR(INDEX('Employee Master'!$C$2:$C$159,MATCH($B178,'Employee Master'!$A$2:$A$159,0)),""))</f>
        <v/>
      </c>
      <c r="E178" s="1" t="str">
        <f aca="false">IF($B178="","",IFERROR(INDEX('Employee Master'!$I$2:$I$159,MATCH($B178,'Employee Master'!$A$2:$A$159,0)),""))</f>
        <v/>
      </c>
      <c r="F178" s="29" t="str">
        <f aca="false">IF($B178="","",IFERROR(INDEX('Employee Master'!$E$2:$E$159,MATCH($B178,'Employee Master'!$A$2:$A$159,0)),""))</f>
        <v/>
      </c>
      <c r="G178" s="29" t="str">
        <f aca="false">IF($B178="","",IFERROR(INDEX('Employee Master'!$F$2:$F$159,MATCH($B178,'Employee Master'!$A$2:$A$159,0)),""))</f>
        <v/>
      </c>
      <c r="H178" s="41" t="str">
        <f aca="false">IF($B178="","","Present")</f>
        <v/>
      </c>
      <c r="I178" s="1" t="str">
        <f aca="false">IF($B178="","",IFERROR(INDEX('Employee Master'!$H$2:$H$159,MATCH($B178,'Employee Master'!$A$2:$A$159,0)),""))</f>
        <v/>
      </c>
      <c r="J178" s="29" t="str">
        <f aca="false">IF($B178="","",IFERROR(INDEX('Qualification Matrix'!$C$2:$C$168,MATCH($B178,'Qualification Matrix'!$A$2:$A$168,0)),2))</f>
        <v/>
      </c>
      <c r="K178" s="29" t="str">
        <f aca="false">IF($B178="","",IFERROR(INDEX('Qualification Matrix'!$D$2:$D$168,MATCH($B178,'Qualification Matrix'!$A$2:$A$168,0)),2))</f>
        <v/>
      </c>
      <c r="L178" s="29" t="str">
        <f aca="false">IF($B178="","",IFERROR(INDEX('Qualification Matrix'!$E$2:$E$168,MATCH($B178,'Qualification Matrix'!$A$2:$A$168,0)),2))</f>
        <v/>
      </c>
      <c r="M178" s="29" t="str">
        <f aca="false">IF($B178="","",IFERROR(INDEX('Qualification Matrix'!$F$2:$F$168,MATCH($B178,'Qualification Matrix'!$A$2:$A$168,0)),2))</f>
        <v/>
      </c>
      <c r="N178" s="29" t="str">
        <f aca="false">IF($B178="","",IF(AND($H178="Present",$F178&lt;&gt;"Y"),"Y","N"))</f>
        <v/>
      </c>
      <c r="O178" s="42"/>
      <c r="P178" s="29" t="str">
        <f aca="false">IF($B178="","",IFERROR(INDEX('Qualification Matrix'!$H$2:$H$168,MATCH($B178,'Qualification Matrix'!$A$2:$A$168,0)),""))</f>
        <v/>
      </c>
      <c r="Q178" s="43" t="str">
        <f aca="false">IF($B178="","",SUMIFS('Rotation History'!$M$2:$M$1000,'Rotation History'!$B$2:$B$1000,$B178,'Rotation History'!$A$2:$A$1000,"&gt;="&amp;($B$2-30),'Rotation History'!$A$2:$A$1000,"&lt;"&amp;$B$2))</f>
        <v/>
      </c>
      <c r="R178" s="43" t="str">
        <f aca="false">IF($B178="","",COUNTIFS('Rotation History'!$B$2:$B$1000,$B178,'Rotation History'!$M$2:$M$1000,"&gt;0",'Rotation History'!$A$2:$A$1000,"&gt;="&amp;($B$2-30),'Rotation History'!$A$2:$A$1000,"&lt;"&amp;$B$2))</f>
        <v/>
      </c>
      <c r="S178" s="43" t="str">
        <f aca="false">IF($B178="","",IF(COUNTIFS('Rotation History'!$B$2:$B$1000,$B178,'Rotation History'!$A$2:$A$1000,$B$2-1,'Rotation History'!$M$2:$M$1000,"&gt;0")=0,0,1+IF(COUNTIFS('Rotation History'!$B$2:$B$1000,$B178,'Rotation History'!$A$2:$A$1000,$B$2-2,'Rotation History'!$M$2:$M$1000,"&gt;0")=0,0,1+IF(COUNTIFS('Rotation History'!$B$2:$B$1000,$B178,'Rotation History'!$A$2:$A$1000,$B$2-3,'Rotation History'!$M$2:$M$1000,"&gt;0")=0,0,1+IF(COUNTIFS('Rotation History'!$B$2:$B$1000,$B178,'Rotation History'!$A$2:$A$1000,$B$2-4,'Rotation History'!$M$2:$M$1000,"&gt;0")=0,0,1)))))</f>
        <v/>
      </c>
      <c r="T178" s="43" t="str">
        <f aca="false">IF($B178="","",COUNTIFS('Rotation History'!$B$2:$B$1000,$B178,'Rotation History'!$K$2:$K$1000,"Opening",'Rotation History'!$A$2:$A$1000,"&gt;="&amp;($B$2-30),'Rotation History'!$A$2:$A$1000,"&lt;"&amp;$B$2))</f>
        <v/>
      </c>
      <c r="U178" s="43" t="str">
        <f aca="false">IF($B178="","",COUNTIFS('Rotation History'!$B$2:$B$1000,$B178,'Rotation History'!$K$2:$K$1000,"Lunch Relief",'Rotation History'!$A$2:$A$1000,"&gt;="&amp;($B$2-30),'Rotation History'!$A$2:$A$1000,"&lt;"&amp;$B$2))</f>
        <v/>
      </c>
      <c r="V178" s="44" t="str">
        <f aca="false">IF($B178="","",$Q178*10+$R178*2+$S178*20+$T178*3+$U178)</f>
        <v/>
      </c>
    </row>
    <row r="179" customFormat="false" ht="14.25" hidden="false" customHeight="true" outlineLevel="0" collapsed="false">
      <c r="A179" s="40" t="str">
        <f aca="false">IF($B179="","",$B$2)</f>
        <v/>
      </c>
      <c r="B179" s="1" t="str">
        <f aca="false">IF($B$2="","",IFERROR(INDEX('Employee Master'!$A$2:$A$159,MATCH(ROWS($B$6:B179),Lists!$P$2:$P$159,0)),""))</f>
        <v/>
      </c>
      <c r="C179" s="1" t="str">
        <f aca="false">IF($B179="","",IFERROR(INDEX('Employee Master'!$B$2:$B$159,MATCH($B179,'Employee Master'!$A$2:$A$159,0)),""))</f>
        <v/>
      </c>
      <c r="D179" s="1" t="str">
        <f aca="false">IF($B179="","",IFERROR(INDEX('Employee Master'!$C$2:$C$159,MATCH($B179,'Employee Master'!$A$2:$A$159,0)),""))</f>
        <v/>
      </c>
      <c r="E179" s="1" t="str">
        <f aca="false">IF($B179="","",IFERROR(INDEX('Employee Master'!$I$2:$I$159,MATCH($B179,'Employee Master'!$A$2:$A$159,0)),""))</f>
        <v/>
      </c>
      <c r="F179" s="29" t="str">
        <f aca="false">IF($B179="","",IFERROR(INDEX('Employee Master'!$E$2:$E$159,MATCH($B179,'Employee Master'!$A$2:$A$159,0)),""))</f>
        <v/>
      </c>
      <c r="G179" s="29" t="str">
        <f aca="false">IF($B179="","",IFERROR(INDEX('Employee Master'!$F$2:$F$159,MATCH($B179,'Employee Master'!$A$2:$A$159,0)),""))</f>
        <v/>
      </c>
      <c r="H179" s="41" t="str">
        <f aca="false">IF($B179="","","Present")</f>
        <v/>
      </c>
      <c r="I179" s="1" t="str">
        <f aca="false">IF($B179="","",IFERROR(INDEX('Employee Master'!$H$2:$H$159,MATCH($B179,'Employee Master'!$A$2:$A$159,0)),""))</f>
        <v/>
      </c>
      <c r="J179" s="29" t="str">
        <f aca="false">IF($B179="","",IFERROR(INDEX('Qualification Matrix'!$C$2:$C$168,MATCH($B179,'Qualification Matrix'!$A$2:$A$168,0)),2))</f>
        <v/>
      </c>
      <c r="K179" s="29" t="str">
        <f aca="false">IF($B179="","",IFERROR(INDEX('Qualification Matrix'!$D$2:$D$168,MATCH($B179,'Qualification Matrix'!$A$2:$A$168,0)),2))</f>
        <v/>
      </c>
      <c r="L179" s="29" t="str">
        <f aca="false">IF($B179="","",IFERROR(INDEX('Qualification Matrix'!$E$2:$E$168,MATCH($B179,'Qualification Matrix'!$A$2:$A$168,0)),2))</f>
        <v/>
      </c>
      <c r="M179" s="29" t="str">
        <f aca="false">IF($B179="","",IFERROR(INDEX('Qualification Matrix'!$F$2:$F$168,MATCH($B179,'Qualification Matrix'!$A$2:$A$168,0)),2))</f>
        <v/>
      </c>
      <c r="N179" s="29" t="str">
        <f aca="false">IF($B179="","",IF(AND($H179="Present",$F179&lt;&gt;"Y"),"Y","N"))</f>
        <v/>
      </c>
      <c r="O179" s="42"/>
      <c r="P179" s="29" t="str">
        <f aca="false">IF($B179="","",IFERROR(INDEX('Qualification Matrix'!$H$2:$H$168,MATCH($B179,'Qualification Matrix'!$A$2:$A$168,0)),""))</f>
        <v/>
      </c>
      <c r="Q179" s="43" t="str">
        <f aca="false">IF($B179="","",SUMIFS('Rotation History'!$M$2:$M$1000,'Rotation History'!$B$2:$B$1000,$B179,'Rotation History'!$A$2:$A$1000,"&gt;="&amp;($B$2-30),'Rotation History'!$A$2:$A$1000,"&lt;"&amp;$B$2))</f>
        <v/>
      </c>
      <c r="R179" s="43" t="str">
        <f aca="false">IF($B179="","",COUNTIFS('Rotation History'!$B$2:$B$1000,$B179,'Rotation History'!$M$2:$M$1000,"&gt;0",'Rotation History'!$A$2:$A$1000,"&gt;="&amp;($B$2-30),'Rotation History'!$A$2:$A$1000,"&lt;"&amp;$B$2))</f>
        <v/>
      </c>
      <c r="S179" s="43" t="str">
        <f aca="false">IF($B179="","",IF(COUNTIFS('Rotation History'!$B$2:$B$1000,$B179,'Rotation History'!$A$2:$A$1000,$B$2-1,'Rotation History'!$M$2:$M$1000,"&gt;0")=0,0,1+IF(COUNTIFS('Rotation History'!$B$2:$B$1000,$B179,'Rotation History'!$A$2:$A$1000,$B$2-2,'Rotation History'!$M$2:$M$1000,"&gt;0")=0,0,1+IF(COUNTIFS('Rotation History'!$B$2:$B$1000,$B179,'Rotation History'!$A$2:$A$1000,$B$2-3,'Rotation History'!$M$2:$M$1000,"&gt;0")=0,0,1+IF(COUNTIFS('Rotation History'!$B$2:$B$1000,$B179,'Rotation History'!$A$2:$A$1000,$B$2-4,'Rotation History'!$M$2:$M$1000,"&gt;0")=0,0,1)))))</f>
        <v/>
      </c>
      <c r="T179" s="43" t="str">
        <f aca="false">IF($B179="","",COUNTIFS('Rotation History'!$B$2:$B$1000,$B179,'Rotation History'!$K$2:$K$1000,"Opening",'Rotation History'!$A$2:$A$1000,"&gt;="&amp;($B$2-30),'Rotation History'!$A$2:$A$1000,"&lt;"&amp;$B$2))</f>
        <v/>
      </c>
      <c r="U179" s="43" t="str">
        <f aca="false">IF($B179="","",COUNTIFS('Rotation History'!$B$2:$B$1000,$B179,'Rotation History'!$K$2:$K$1000,"Lunch Relief",'Rotation History'!$A$2:$A$1000,"&gt;="&amp;($B$2-30),'Rotation History'!$A$2:$A$1000,"&lt;"&amp;$B$2))</f>
        <v/>
      </c>
      <c r="V179" s="44" t="str">
        <f aca="false">IF($B179="","",$Q179*10+$R179*2+$S179*20+$T179*3+$U179)</f>
        <v/>
      </c>
    </row>
    <row r="180" customFormat="false" ht="14.25" hidden="false" customHeight="true" outlineLevel="0" collapsed="false">
      <c r="A180" s="40" t="str">
        <f aca="false">IF($B180="","",$B$2)</f>
        <v/>
      </c>
      <c r="B180" s="1" t="str">
        <f aca="false">IF($B$2="","",IFERROR(INDEX('Employee Master'!$A$2:$A$159,MATCH(ROWS($B$6:B180),Lists!$P$2:$P$159,0)),""))</f>
        <v/>
      </c>
      <c r="C180" s="1" t="str">
        <f aca="false">IF($B180="","",IFERROR(INDEX('Employee Master'!$B$2:$B$159,MATCH($B180,'Employee Master'!$A$2:$A$159,0)),""))</f>
        <v/>
      </c>
      <c r="D180" s="1" t="str">
        <f aca="false">IF($B180="","",IFERROR(INDEX('Employee Master'!$C$2:$C$159,MATCH($B180,'Employee Master'!$A$2:$A$159,0)),""))</f>
        <v/>
      </c>
      <c r="E180" s="1" t="str">
        <f aca="false">IF($B180="","",IFERROR(INDEX('Employee Master'!$I$2:$I$159,MATCH($B180,'Employee Master'!$A$2:$A$159,0)),""))</f>
        <v/>
      </c>
      <c r="F180" s="29" t="str">
        <f aca="false">IF($B180="","",IFERROR(INDEX('Employee Master'!$E$2:$E$159,MATCH($B180,'Employee Master'!$A$2:$A$159,0)),""))</f>
        <v/>
      </c>
      <c r="G180" s="29" t="str">
        <f aca="false">IF($B180="","",IFERROR(INDEX('Employee Master'!$F$2:$F$159,MATCH($B180,'Employee Master'!$A$2:$A$159,0)),""))</f>
        <v/>
      </c>
      <c r="H180" s="41" t="str">
        <f aca="false">IF($B180="","","Present")</f>
        <v/>
      </c>
      <c r="I180" s="1" t="str">
        <f aca="false">IF($B180="","",IFERROR(INDEX('Employee Master'!$H$2:$H$159,MATCH($B180,'Employee Master'!$A$2:$A$159,0)),""))</f>
        <v/>
      </c>
      <c r="J180" s="29" t="str">
        <f aca="false">IF($B180="","",IFERROR(INDEX('Qualification Matrix'!$C$2:$C$168,MATCH($B180,'Qualification Matrix'!$A$2:$A$168,0)),2))</f>
        <v/>
      </c>
      <c r="K180" s="29" t="str">
        <f aca="false">IF($B180="","",IFERROR(INDEX('Qualification Matrix'!$D$2:$D$168,MATCH($B180,'Qualification Matrix'!$A$2:$A$168,0)),2))</f>
        <v/>
      </c>
      <c r="L180" s="29" t="str">
        <f aca="false">IF($B180="","",IFERROR(INDEX('Qualification Matrix'!$E$2:$E$168,MATCH($B180,'Qualification Matrix'!$A$2:$A$168,0)),2))</f>
        <v/>
      </c>
      <c r="M180" s="29" t="str">
        <f aca="false">IF($B180="","",IFERROR(INDEX('Qualification Matrix'!$F$2:$F$168,MATCH($B180,'Qualification Matrix'!$A$2:$A$168,0)),2))</f>
        <v/>
      </c>
      <c r="N180" s="29" t="str">
        <f aca="false">IF($B180="","",IF(AND($H180="Present",$F180&lt;&gt;"Y"),"Y","N"))</f>
        <v/>
      </c>
      <c r="O180" s="42"/>
      <c r="P180" s="29" t="str">
        <f aca="false">IF($B180="","",IFERROR(INDEX('Qualification Matrix'!$H$2:$H$168,MATCH($B180,'Qualification Matrix'!$A$2:$A$168,0)),""))</f>
        <v/>
      </c>
      <c r="Q180" s="43" t="str">
        <f aca="false">IF($B180="","",SUMIFS('Rotation History'!$M$2:$M$1000,'Rotation History'!$B$2:$B$1000,$B180,'Rotation History'!$A$2:$A$1000,"&gt;="&amp;($B$2-30),'Rotation History'!$A$2:$A$1000,"&lt;"&amp;$B$2))</f>
        <v/>
      </c>
      <c r="R180" s="43" t="str">
        <f aca="false">IF($B180="","",COUNTIFS('Rotation History'!$B$2:$B$1000,$B180,'Rotation History'!$M$2:$M$1000,"&gt;0",'Rotation History'!$A$2:$A$1000,"&gt;="&amp;($B$2-30),'Rotation History'!$A$2:$A$1000,"&lt;"&amp;$B$2))</f>
        <v/>
      </c>
      <c r="S180" s="43" t="str">
        <f aca="false">IF($B180="","",IF(COUNTIFS('Rotation History'!$B$2:$B$1000,$B180,'Rotation History'!$A$2:$A$1000,$B$2-1,'Rotation History'!$M$2:$M$1000,"&gt;0")=0,0,1+IF(COUNTIFS('Rotation History'!$B$2:$B$1000,$B180,'Rotation History'!$A$2:$A$1000,$B$2-2,'Rotation History'!$M$2:$M$1000,"&gt;0")=0,0,1+IF(COUNTIFS('Rotation History'!$B$2:$B$1000,$B180,'Rotation History'!$A$2:$A$1000,$B$2-3,'Rotation History'!$M$2:$M$1000,"&gt;0")=0,0,1+IF(COUNTIFS('Rotation History'!$B$2:$B$1000,$B180,'Rotation History'!$A$2:$A$1000,$B$2-4,'Rotation History'!$M$2:$M$1000,"&gt;0")=0,0,1)))))</f>
        <v/>
      </c>
      <c r="T180" s="43" t="str">
        <f aca="false">IF($B180="","",COUNTIFS('Rotation History'!$B$2:$B$1000,$B180,'Rotation History'!$K$2:$K$1000,"Opening",'Rotation History'!$A$2:$A$1000,"&gt;="&amp;($B$2-30),'Rotation History'!$A$2:$A$1000,"&lt;"&amp;$B$2))</f>
        <v/>
      </c>
      <c r="U180" s="43" t="str">
        <f aca="false">IF($B180="","",COUNTIFS('Rotation History'!$B$2:$B$1000,$B180,'Rotation History'!$K$2:$K$1000,"Lunch Relief",'Rotation History'!$A$2:$A$1000,"&gt;="&amp;($B$2-30),'Rotation History'!$A$2:$A$1000,"&lt;"&amp;$B$2))</f>
        <v/>
      </c>
      <c r="V180" s="44" t="str">
        <f aca="false">IF($B180="","",$Q180*10+$R180*2+$S180*20+$T180*3+$U180)</f>
        <v/>
      </c>
    </row>
    <row r="181" customFormat="false" ht="14.25" hidden="false" customHeight="true" outlineLevel="0" collapsed="false">
      <c r="A181" s="40" t="str">
        <f aca="false">IF($B181="","",$B$2)</f>
        <v/>
      </c>
      <c r="B181" s="1" t="str">
        <f aca="false">IF($B$2="","",IFERROR(INDEX('Employee Master'!$A$2:$A$159,MATCH(ROWS($B$6:B181),Lists!$P$2:$P$159,0)),""))</f>
        <v/>
      </c>
      <c r="C181" s="1" t="str">
        <f aca="false">IF($B181="","",IFERROR(INDEX('Employee Master'!$B$2:$B$159,MATCH($B181,'Employee Master'!$A$2:$A$159,0)),""))</f>
        <v/>
      </c>
      <c r="D181" s="1" t="str">
        <f aca="false">IF($B181="","",IFERROR(INDEX('Employee Master'!$C$2:$C$159,MATCH($B181,'Employee Master'!$A$2:$A$159,0)),""))</f>
        <v/>
      </c>
      <c r="E181" s="1" t="str">
        <f aca="false">IF($B181="","",IFERROR(INDEX('Employee Master'!$I$2:$I$159,MATCH($B181,'Employee Master'!$A$2:$A$159,0)),""))</f>
        <v/>
      </c>
      <c r="F181" s="29" t="str">
        <f aca="false">IF($B181="","",IFERROR(INDEX('Employee Master'!$E$2:$E$159,MATCH($B181,'Employee Master'!$A$2:$A$159,0)),""))</f>
        <v/>
      </c>
      <c r="G181" s="29" t="str">
        <f aca="false">IF($B181="","",IFERROR(INDEX('Employee Master'!$F$2:$F$159,MATCH($B181,'Employee Master'!$A$2:$A$159,0)),""))</f>
        <v/>
      </c>
      <c r="H181" s="41" t="str">
        <f aca="false">IF($B181="","","Present")</f>
        <v/>
      </c>
      <c r="I181" s="1" t="str">
        <f aca="false">IF($B181="","",IFERROR(INDEX('Employee Master'!$H$2:$H$159,MATCH($B181,'Employee Master'!$A$2:$A$159,0)),""))</f>
        <v/>
      </c>
      <c r="J181" s="29" t="str">
        <f aca="false">IF($B181="","",IFERROR(INDEX('Qualification Matrix'!$C$2:$C$168,MATCH($B181,'Qualification Matrix'!$A$2:$A$168,0)),2))</f>
        <v/>
      </c>
      <c r="K181" s="29" t="str">
        <f aca="false">IF($B181="","",IFERROR(INDEX('Qualification Matrix'!$D$2:$D$168,MATCH($B181,'Qualification Matrix'!$A$2:$A$168,0)),2))</f>
        <v/>
      </c>
      <c r="L181" s="29" t="str">
        <f aca="false">IF($B181="","",IFERROR(INDEX('Qualification Matrix'!$E$2:$E$168,MATCH($B181,'Qualification Matrix'!$A$2:$A$168,0)),2))</f>
        <v/>
      </c>
      <c r="M181" s="29" t="str">
        <f aca="false">IF($B181="","",IFERROR(INDEX('Qualification Matrix'!$F$2:$F$168,MATCH($B181,'Qualification Matrix'!$A$2:$A$168,0)),2))</f>
        <v/>
      </c>
      <c r="N181" s="29" t="str">
        <f aca="false">IF($B181="","",IF(AND($H181="Present",$F181&lt;&gt;"Y"),"Y","N"))</f>
        <v/>
      </c>
      <c r="O181" s="42"/>
      <c r="P181" s="29" t="str">
        <f aca="false">IF($B181="","",IFERROR(INDEX('Qualification Matrix'!$H$2:$H$168,MATCH($B181,'Qualification Matrix'!$A$2:$A$168,0)),""))</f>
        <v/>
      </c>
      <c r="Q181" s="43" t="str">
        <f aca="false">IF($B181="","",SUMIFS('Rotation History'!$M$2:$M$1000,'Rotation History'!$B$2:$B$1000,$B181,'Rotation History'!$A$2:$A$1000,"&gt;="&amp;($B$2-30),'Rotation History'!$A$2:$A$1000,"&lt;"&amp;$B$2))</f>
        <v/>
      </c>
      <c r="R181" s="43" t="str">
        <f aca="false">IF($B181="","",COUNTIFS('Rotation History'!$B$2:$B$1000,$B181,'Rotation History'!$M$2:$M$1000,"&gt;0",'Rotation History'!$A$2:$A$1000,"&gt;="&amp;($B$2-30),'Rotation History'!$A$2:$A$1000,"&lt;"&amp;$B$2))</f>
        <v/>
      </c>
      <c r="S181" s="43" t="str">
        <f aca="false">IF($B181="","",IF(COUNTIFS('Rotation History'!$B$2:$B$1000,$B181,'Rotation History'!$A$2:$A$1000,$B$2-1,'Rotation History'!$M$2:$M$1000,"&gt;0")=0,0,1+IF(COUNTIFS('Rotation History'!$B$2:$B$1000,$B181,'Rotation History'!$A$2:$A$1000,$B$2-2,'Rotation History'!$M$2:$M$1000,"&gt;0")=0,0,1+IF(COUNTIFS('Rotation History'!$B$2:$B$1000,$B181,'Rotation History'!$A$2:$A$1000,$B$2-3,'Rotation History'!$M$2:$M$1000,"&gt;0")=0,0,1+IF(COUNTIFS('Rotation History'!$B$2:$B$1000,$B181,'Rotation History'!$A$2:$A$1000,$B$2-4,'Rotation History'!$M$2:$M$1000,"&gt;0")=0,0,1)))))</f>
        <v/>
      </c>
      <c r="T181" s="43" t="str">
        <f aca="false">IF($B181="","",COUNTIFS('Rotation History'!$B$2:$B$1000,$B181,'Rotation History'!$K$2:$K$1000,"Opening",'Rotation History'!$A$2:$A$1000,"&gt;="&amp;($B$2-30),'Rotation History'!$A$2:$A$1000,"&lt;"&amp;$B$2))</f>
        <v/>
      </c>
      <c r="U181" s="43" t="str">
        <f aca="false">IF($B181="","",COUNTIFS('Rotation History'!$B$2:$B$1000,$B181,'Rotation History'!$K$2:$K$1000,"Lunch Relief",'Rotation History'!$A$2:$A$1000,"&gt;="&amp;($B$2-30),'Rotation History'!$A$2:$A$1000,"&lt;"&amp;$B$2))</f>
        <v/>
      </c>
      <c r="V181" s="44" t="str">
        <f aca="false">IF($B181="","",$Q181*10+$R181*2+$S181*20+$T181*3+$U181)</f>
        <v/>
      </c>
    </row>
    <row r="182" customFormat="false" ht="14.25" hidden="false" customHeight="true" outlineLevel="0" collapsed="false">
      <c r="A182" s="40" t="str">
        <f aca="false">IF($B182="","",$B$2)</f>
        <v/>
      </c>
      <c r="B182" s="1" t="str">
        <f aca="false">IF($B$2="","",IFERROR(INDEX('Employee Master'!$A$2:$A$159,MATCH(ROWS($B$6:B182),Lists!$P$2:$P$159,0)),""))</f>
        <v/>
      </c>
      <c r="C182" s="1" t="str">
        <f aca="false">IF($B182="","",IFERROR(INDEX('Employee Master'!$B$2:$B$159,MATCH($B182,'Employee Master'!$A$2:$A$159,0)),""))</f>
        <v/>
      </c>
      <c r="D182" s="1" t="str">
        <f aca="false">IF($B182="","",IFERROR(INDEX('Employee Master'!$C$2:$C$159,MATCH($B182,'Employee Master'!$A$2:$A$159,0)),""))</f>
        <v/>
      </c>
      <c r="E182" s="1" t="str">
        <f aca="false">IF($B182="","",IFERROR(INDEX('Employee Master'!$I$2:$I$159,MATCH($B182,'Employee Master'!$A$2:$A$159,0)),""))</f>
        <v/>
      </c>
      <c r="F182" s="29" t="str">
        <f aca="false">IF($B182="","",IFERROR(INDEX('Employee Master'!$E$2:$E$159,MATCH($B182,'Employee Master'!$A$2:$A$159,0)),""))</f>
        <v/>
      </c>
      <c r="G182" s="29" t="str">
        <f aca="false">IF($B182="","",IFERROR(INDEX('Employee Master'!$F$2:$F$159,MATCH($B182,'Employee Master'!$A$2:$A$159,0)),""))</f>
        <v/>
      </c>
      <c r="H182" s="41" t="str">
        <f aca="false">IF($B182="","","Present")</f>
        <v/>
      </c>
      <c r="I182" s="1" t="str">
        <f aca="false">IF($B182="","",IFERROR(INDEX('Employee Master'!$H$2:$H$159,MATCH($B182,'Employee Master'!$A$2:$A$159,0)),""))</f>
        <v/>
      </c>
      <c r="J182" s="29" t="str">
        <f aca="false">IF($B182="","",IFERROR(INDEX('Qualification Matrix'!$C$2:$C$168,MATCH($B182,'Qualification Matrix'!$A$2:$A$168,0)),2))</f>
        <v/>
      </c>
      <c r="K182" s="29" t="str">
        <f aca="false">IF($B182="","",IFERROR(INDEX('Qualification Matrix'!$D$2:$D$168,MATCH($B182,'Qualification Matrix'!$A$2:$A$168,0)),2))</f>
        <v/>
      </c>
      <c r="L182" s="29" t="str">
        <f aca="false">IF($B182="","",IFERROR(INDEX('Qualification Matrix'!$E$2:$E$168,MATCH($B182,'Qualification Matrix'!$A$2:$A$168,0)),2))</f>
        <v/>
      </c>
      <c r="M182" s="29" t="str">
        <f aca="false">IF($B182="","",IFERROR(INDEX('Qualification Matrix'!$F$2:$F$168,MATCH($B182,'Qualification Matrix'!$A$2:$A$168,0)),2))</f>
        <v/>
      </c>
      <c r="N182" s="29" t="str">
        <f aca="false">IF($B182="","",IF(AND($H182="Present",$F182&lt;&gt;"Y"),"Y","N"))</f>
        <v/>
      </c>
      <c r="O182" s="42"/>
      <c r="P182" s="29" t="str">
        <f aca="false">IF($B182="","",IFERROR(INDEX('Qualification Matrix'!$H$2:$H$168,MATCH($B182,'Qualification Matrix'!$A$2:$A$168,0)),""))</f>
        <v/>
      </c>
      <c r="Q182" s="43" t="str">
        <f aca="false">IF($B182="","",SUMIFS('Rotation History'!$M$2:$M$1000,'Rotation History'!$B$2:$B$1000,$B182,'Rotation History'!$A$2:$A$1000,"&gt;="&amp;($B$2-30),'Rotation History'!$A$2:$A$1000,"&lt;"&amp;$B$2))</f>
        <v/>
      </c>
      <c r="R182" s="43" t="str">
        <f aca="false">IF($B182="","",COUNTIFS('Rotation History'!$B$2:$B$1000,$B182,'Rotation History'!$M$2:$M$1000,"&gt;0",'Rotation History'!$A$2:$A$1000,"&gt;="&amp;($B$2-30),'Rotation History'!$A$2:$A$1000,"&lt;"&amp;$B$2))</f>
        <v/>
      </c>
      <c r="S182" s="43" t="str">
        <f aca="false">IF($B182="","",IF(COUNTIFS('Rotation History'!$B$2:$B$1000,$B182,'Rotation History'!$A$2:$A$1000,$B$2-1,'Rotation History'!$M$2:$M$1000,"&gt;0")=0,0,1+IF(COUNTIFS('Rotation History'!$B$2:$B$1000,$B182,'Rotation History'!$A$2:$A$1000,$B$2-2,'Rotation History'!$M$2:$M$1000,"&gt;0")=0,0,1+IF(COUNTIFS('Rotation History'!$B$2:$B$1000,$B182,'Rotation History'!$A$2:$A$1000,$B$2-3,'Rotation History'!$M$2:$M$1000,"&gt;0")=0,0,1+IF(COUNTIFS('Rotation History'!$B$2:$B$1000,$B182,'Rotation History'!$A$2:$A$1000,$B$2-4,'Rotation History'!$M$2:$M$1000,"&gt;0")=0,0,1)))))</f>
        <v/>
      </c>
      <c r="T182" s="43" t="str">
        <f aca="false">IF($B182="","",COUNTIFS('Rotation History'!$B$2:$B$1000,$B182,'Rotation History'!$K$2:$K$1000,"Opening",'Rotation History'!$A$2:$A$1000,"&gt;="&amp;($B$2-30),'Rotation History'!$A$2:$A$1000,"&lt;"&amp;$B$2))</f>
        <v/>
      </c>
      <c r="U182" s="43" t="str">
        <f aca="false">IF($B182="","",COUNTIFS('Rotation History'!$B$2:$B$1000,$B182,'Rotation History'!$K$2:$K$1000,"Lunch Relief",'Rotation History'!$A$2:$A$1000,"&gt;="&amp;($B$2-30),'Rotation History'!$A$2:$A$1000,"&lt;"&amp;$B$2))</f>
        <v/>
      </c>
      <c r="V182" s="44" t="str">
        <f aca="false">IF($B182="","",$Q182*10+$R182*2+$S182*20+$T182*3+$U182)</f>
        <v/>
      </c>
    </row>
    <row r="183" customFormat="false" ht="14.25" hidden="false" customHeight="true" outlineLevel="0" collapsed="false">
      <c r="A183" s="40" t="str">
        <f aca="false">IF($B183="","",$B$2)</f>
        <v/>
      </c>
      <c r="B183" s="1" t="str">
        <f aca="false">IF($B$2="","",IFERROR(INDEX('Employee Master'!$A$2:$A$159,MATCH(ROWS($B$6:B183),Lists!$P$2:$P$159,0)),""))</f>
        <v/>
      </c>
      <c r="C183" s="1" t="str">
        <f aca="false">IF($B183="","",IFERROR(INDEX('Employee Master'!$B$2:$B$159,MATCH($B183,'Employee Master'!$A$2:$A$159,0)),""))</f>
        <v/>
      </c>
      <c r="D183" s="1" t="str">
        <f aca="false">IF($B183="","",IFERROR(INDEX('Employee Master'!$C$2:$C$159,MATCH($B183,'Employee Master'!$A$2:$A$159,0)),""))</f>
        <v/>
      </c>
      <c r="E183" s="1" t="str">
        <f aca="false">IF($B183="","",IFERROR(INDEX('Employee Master'!$I$2:$I$159,MATCH($B183,'Employee Master'!$A$2:$A$159,0)),""))</f>
        <v/>
      </c>
      <c r="F183" s="29" t="str">
        <f aca="false">IF($B183="","",IFERROR(INDEX('Employee Master'!$E$2:$E$159,MATCH($B183,'Employee Master'!$A$2:$A$159,0)),""))</f>
        <v/>
      </c>
      <c r="G183" s="29" t="str">
        <f aca="false">IF($B183="","",IFERROR(INDEX('Employee Master'!$F$2:$F$159,MATCH($B183,'Employee Master'!$A$2:$A$159,0)),""))</f>
        <v/>
      </c>
      <c r="H183" s="41" t="str">
        <f aca="false">IF($B183="","","Present")</f>
        <v/>
      </c>
      <c r="I183" s="1" t="str">
        <f aca="false">IF($B183="","",IFERROR(INDEX('Employee Master'!$H$2:$H$159,MATCH($B183,'Employee Master'!$A$2:$A$159,0)),""))</f>
        <v/>
      </c>
      <c r="J183" s="29" t="str">
        <f aca="false">IF($B183="","",IFERROR(INDEX('Qualification Matrix'!$C$2:$C$168,MATCH($B183,'Qualification Matrix'!$A$2:$A$168,0)),2))</f>
        <v/>
      </c>
      <c r="K183" s="29" t="str">
        <f aca="false">IF($B183="","",IFERROR(INDEX('Qualification Matrix'!$D$2:$D$168,MATCH($B183,'Qualification Matrix'!$A$2:$A$168,0)),2))</f>
        <v/>
      </c>
      <c r="L183" s="29" t="str">
        <f aca="false">IF($B183="","",IFERROR(INDEX('Qualification Matrix'!$E$2:$E$168,MATCH($B183,'Qualification Matrix'!$A$2:$A$168,0)),2))</f>
        <v/>
      </c>
      <c r="M183" s="29" t="str">
        <f aca="false">IF($B183="","",IFERROR(INDEX('Qualification Matrix'!$F$2:$F$168,MATCH($B183,'Qualification Matrix'!$A$2:$A$168,0)),2))</f>
        <v/>
      </c>
      <c r="N183" s="29" t="str">
        <f aca="false">IF($B183="","",IF(AND($H183="Present",$F183&lt;&gt;"Y"),"Y","N"))</f>
        <v/>
      </c>
      <c r="O183" s="42"/>
      <c r="P183" s="29" t="str">
        <f aca="false">IF($B183="","",IFERROR(INDEX('Qualification Matrix'!$H$2:$H$168,MATCH($B183,'Qualification Matrix'!$A$2:$A$168,0)),""))</f>
        <v/>
      </c>
      <c r="Q183" s="43" t="str">
        <f aca="false">IF($B183="","",SUMIFS('Rotation History'!$M$2:$M$1000,'Rotation History'!$B$2:$B$1000,$B183,'Rotation History'!$A$2:$A$1000,"&gt;="&amp;($B$2-30),'Rotation History'!$A$2:$A$1000,"&lt;"&amp;$B$2))</f>
        <v/>
      </c>
      <c r="R183" s="43" t="str">
        <f aca="false">IF($B183="","",COUNTIFS('Rotation History'!$B$2:$B$1000,$B183,'Rotation History'!$M$2:$M$1000,"&gt;0",'Rotation History'!$A$2:$A$1000,"&gt;="&amp;($B$2-30),'Rotation History'!$A$2:$A$1000,"&lt;"&amp;$B$2))</f>
        <v/>
      </c>
      <c r="S183" s="43" t="str">
        <f aca="false">IF($B183="","",IF(COUNTIFS('Rotation History'!$B$2:$B$1000,$B183,'Rotation History'!$A$2:$A$1000,$B$2-1,'Rotation History'!$M$2:$M$1000,"&gt;0")=0,0,1+IF(COUNTIFS('Rotation History'!$B$2:$B$1000,$B183,'Rotation History'!$A$2:$A$1000,$B$2-2,'Rotation History'!$M$2:$M$1000,"&gt;0")=0,0,1+IF(COUNTIFS('Rotation History'!$B$2:$B$1000,$B183,'Rotation History'!$A$2:$A$1000,$B$2-3,'Rotation History'!$M$2:$M$1000,"&gt;0")=0,0,1+IF(COUNTIFS('Rotation History'!$B$2:$B$1000,$B183,'Rotation History'!$A$2:$A$1000,$B$2-4,'Rotation History'!$M$2:$M$1000,"&gt;0")=0,0,1)))))</f>
        <v/>
      </c>
      <c r="T183" s="43" t="str">
        <f aca="false">IF($B183="","",COUNTIFS('Rotation History'!$B$2:$B$1000,$B183,'Rotation History'!$K$2:$K$1000,"Opening",'Rotation History'!$A$2:$A$1000,"&gt;="&amp;($B$2-30),'Rotation History'!$A$2:$A$1000,"&lt;"&amp;$B$2))</f>
        <v/>
      </c>
      <c r="U183" s="43" t="str">
        <f aca="false">IF($B183="","",COUNTIFS('Rotation History'!$B$2:$B$1000,$B183,'Rotation History'!$K$2:$K$1000,"Lunch Relief",'Rotation History'!$A$2:$A$1000,"&gt;="&amp;($B$2-30),'Rotation History'!$A$2:$A$1000,"&lt;"&amp;$B$2))</f>
        <v/>
      </c>
      <c r="V183" s="44" t="str">
        <f aca="false">IF($B183="","",$Q183*10+$R183*2+$S183*20+$T183*3+$U183)</f>
        <v/>
      </c>
    </row>
    <row r="184" customFormat="false" ht="14.25" hidden="false" customHeight="true" outlineLevel="0" collapsed="false">
      <c r="A184" s="40" t="str">
        <f aca="false">IF($B184="","",$B$2)</f>
        <v/>
      </c>
      <c r="B184" s="1" t="str">
        <f aca="false">IF($B$2="","",IFERROR(INDEX('Employee Master'!$A$2:$A$159,MATCH(ROWS($B$6:B184),Lists!$P$2:$P$159,0)),""))</f>
        <v/>
      </c>
      <c r="C184" s="1" t="str">
        <f aca="false">IF($B184="","",IFERROR(INDEX('Employee Master'!$B$2:$B$159,MATCH($B184,'Employee Master'!$A$2:$A$159,0)),""))</f>
        <v/>
      </c>
      <c r="D184" s="1" t="str">
        <f aca="false">IF($B184="","",IFERROR(INDEX('Employee Master'!$C$2:$C$159,MATCH($B184,'Employee Master'!$A$2:$A$159,0)),""))</f>
        <v/>
      </c>
      <c r="E184" s="1" t="str">
        <f aca="false">IF($B184="","",IFERROR(INDEX('Employee Master'!$I$2:$I$159,MATCH($B184,'Employee Master'!$A$2:$A$159,0)),""))</f>
        <v/>
      </c>
      <c r="F184" s="29" t="str">
        <f aca="false">IF($B184="","",IFERROR(INDEX('Employee Master'!$E$2:$E$159,MATCH($B184,'Employee Master'!$A$2:$A$159,0)),""))</f>
        <v/>
      </c>
      <c r="G184" s="29" t="str">
        <f aca="false">IF($B184="","",IFERROR(INDEX('Employee Master'!$F$2:$F$159,MATCH($B184,'Employee Master'!$A$2:$A$159,0)),""))</f>
        <v/>
      </c>
      <c r="H184" s="41" t="str">
        <f aca="false">IF($B184="","","Present")</f>
        <v/>
      </c>
      <c r="I184" s="1" t="str">
        <f aca="false">IF($B184="","",IFERROR(INDEX('Employee Master'!$H$2:$H$159,MATCH($B184,'Employee Master'!$A$2:$A$159,0)),""))</f>
        <v/>
      </c>
      <c r="J184" s="29" t="str">
        <f aca="false">IF($B184="","",IFERROR(INDEX('Qualification Matrix'!$C$2:$C$168,MATCH($B184,'Qualification Matrix'!$A$2:$A$168,0)),2))</f>
        <v/>
      </c>
      <c r="K184" s="29" t="str">
        <f aca="false">IF($B184="","",IFERROR(INDEX('Qualification Matrix'!$D$2:$D$168,MATCH($B184,'Qualification Matrix'!$A$2:$A$168,0)),2))</f>
        <v/>
      </c>
      <c r="L184" s="29" t="str">
        <f aca="false">IF($B184="","",IFERROR(INDEX('Qualification Matrix'!$E$2:$E$168,MATCH($B184,'Qualification Matrix'!$A$2:$A$168,0)),2))</f>
        <v/>
      </c>
      <c r="M184" s="29" t="str">
        <f aca="false">IF($B184="","",IFERROR(INDEX('Qualification Matrix'!$F$2:$F$168,MATCH($B184,'Qualification Matrix'!$A$2:$A$168,0)),2))</f>
        <v/>
      </c>
      <c r="N184" s="29" t="str">
        <f aca="false">IF($B184="","",IF(AND($H184="Present",$F184&lt;&gt;"Y"),"Y","N"))</f>
        <v/>
      </c>
      <c r="O184" s="42"/>
      <c r="P184" s="29" t="str">
        <f aca="false">IF($B184="","",IFERROR(INDEX('Qualification Matrix'!$H$2:$H$168,MATCH($B184,'Qualification Matrix'!$A$2:$A$168,0)),""))</f>
        <v/>
      </c>
      <c r="Q184" s="43" t="str">
        <f aca="false">IF($B184="","",SUMIFS('Rotation History'!$M$2:$M$1000,'Rotation History'!$B$2:$B$1000,$B184,'Rotation History'!$A$2:$A$1000,"&gt;="&amp;($B$2-30),'Rotation History'!$A$2:$A$1000,"&lt;"&amp;$B$2))</f>
        <v/>
      </c>
      <c r="R184" s="43" t="str">
        <f aca="false">IF($B184="","",COUNTIFS('Rotation History'!$B$2:$B$1000,$B184,'Rotation History'!$M$2:$M$1000,"&gt;0",'Rotation History'!$A$2:$A$1000,"&gt;="&amp;($B$2-30),'Rotation History'!$A$2:$A$1000,"&lt;"&amp;$B$2))</f>
        <v/>
      </c>
      <c r="S184" s="43" t="str">
        <f aca="false">IF($B184="","",IF(COUNTIFS('Rotation History'!$B$2:$B$1000,$B184,'Rotation History'!$A$2:$A$1000,$B$2-1,'Rotation History'!$M$2:$M$1000,"&gt;0")=0,0,1+IF(COUNTIFS('Rotation History'!$B$2:$B$1000,$B184,'Rotation History'!$A$2:$A$1000,$B$2-2,'Rotation History'!$M$2:$M$1000,"&gt;0")=0,0,1+IF(COUNTIFS('Rotation History'!$B$2:$B$1000,$B184,'Rotation History'!$A$2:$A$1000,$B$2-3,'Rotation History'!$M$2:$M$1000,"&gt;0")=0,0,1+IF(COUNTIFS('Rotation History'!$B$2:$B$1000,$B184,'Rotation History'!$A$2:$A$1000,$B$2-4,'Rotation History'!$M$2:$M$1000,"&gt;0")=0,0,1)))))</f>
        <v/>
      </c>
      <c r="T184" s="43" t="str">
        <f aca="false">IF($B184="","",COUNTIFS('Rotation History'!$B$2:$B$1000,$B184,'Rotation History'!$K$2:$K$1000,"Opening",'Rotation History'!$A$2:$A$1000,"&gt;="&amp;($B$2-30),'Rotation History'!$A$2:$A$1000,"&lt;"&amp;$B$2))</f>
        <v/>
      </c>
      <c r="U184" s="43" t="str">
        <f aca="false">IF($B184="","",COUNTIFS('Rotation History'!$B$2:$B$1000,$B184,'Rotation History'!$K$2:$K$1000,"Lunch Relief",'Rotation History'!$A$2:$A$1000,"&gt;="&amp;($B$2-30),'Rotation History'!$A$2:$A$1000,"&lt;"&amp;$B$2))</f>
        <v/>
      </c>
      <c r="V184" s="44" t="str">
        <f aca="false">IF($B184="","",$Q184*10+$R184*2+$S184*20+$T184*3+$U184)</f>
        <v/>
      </c>
    </row>
    <row r="185" customFormat="false" ht="14.25" hidden="false" customHeight="true" outlineLevel="0" collapsed="false">
      <c r="A185" s="40" t="str">
        <f aca="false">IF($B185="","",$B$2)</f>
        <v/>
      </c>
      <c r="B185" s="1" t="str">
        <f aca="false">IF($B$2="","",IFERROR(INDEX('Employee Master'!$A$2:$A$159,MATCH(ROWS($B$6:B185),Lists!$P$2:$P$159,0)),""))</f>
        <v/>
      </c>
      <c r="C185" s="1" t="str">
        <f aca="false">IF($B185="","",IFERROR(INDEX('Employee Master'!$B$2:$B$159,MATCH($B185,'Employee Master'!$A$2:$A$159,0)),""))</f>
        <v/>
      </c>
      <c r="D185" s="1" t="str">
        <f aca="false">IF($B185="","",IFERROR(INDEX('Employee Master'!$C$2:$C$159,MATCH($B185,'Employee Master'!$A$2:$A$159,0)),""))</f>
        <v/>
      </c>
      <c r="E185" s="1" t="str">
        <f aca="false">IF($B185="","",IFERROR(INDEX('Employee Master'!$I$2:$I$159,MATCH($B185,'Employee Master'!$A$2:$A$159,0)),""))</f>
        <v/>
      </c>
      <c r="F185" s="29" t="str">
        <f aca="false">IF($B185="","",IFERROR(INDEX('Employee Master'!$E$2:$E$159,MATCH($B185,'Employee Master'!$A$2:$A$159,0)),""))</f>
        <v/>
      </c>
      <c r="G185" s="29" t="str">
        <f aca="false">IF($B185="","",IFERROR(INDEX('Employee Master'!$F$2:$F$159,MATCH($B185,'Employee Master'!$A$2:$A$159,0)),""))</f>
        <v/>
      </c>
      <c r="H185" s="41" t="str">
        <f aca="false">IF($B185="","","Present")</f>
        <v/>
      </c>
      <c r="I185" s="1" t="str">
        <f aca="false">IF($B185="","",IFERROR(INDEX('Employee Master'!$H$2:$H$159,MATCH($B185,'Employee Master'!$A$2:$A$159,0)),""))</f>
        <v/>
      </c>
      <c r="J185" s="29" t="str">
        <f aca="false">IF($B185="","",IFERROR(INDEX('Qualification Matrix'!$C$2:$C$168,MATCH($B185,'Qualification Matrix'!$A$2:$A$168,0)),2))</f>
        <v/>
      </c>
      <c r="K185" s="29" t="str">
        <f aca="false">IF($B185="","",IFERROR(INDEX('Qualification Matrix'!$D$2:$D$168,MATCH($B185,'Qualification Matrix'!$A$2:$A$168,0)),2))</f>
        <v/>
      </c>
      <c r="L185" s="29" t="str">
        <f aca="false">IF($B185="","",IFERROR(INDEX('Qualification Matrix'!$E$2:$E$168,MATCH($B185,'Qualification Matrix'!$A$2:$A$168,0)),2))</f>
        <v/>
      </c>
      <c r="M185" s="29" t="str">
        <f aca="false">IF($B185="","",IFERROR(INDEX('Qualification Matrix'!$F$2:$F$168,MATCH($B185,'Qualification Matrix'!$A$2:$A$168,0)),2))</f>
        <v/>
      </c>
      <c r="N185" s="29" t="str">
        <f aca="false">IF($B185="","",IF(AND($H185="Present",$F185&lt;&gt;"Y"),"Y","N"))</f>
        <v/>
      </c>
      <c r="O185" s="42"/>
      <c r="P185" s="29" t="str">
        <f aca="false">IF($B185="","",IFERROR(INDEX('Qualification Matrix'!$H$2:$H$168,MATCH($B185,'Qualification Matrix'!$A$2:$A$168,0)),""))</f>
        <v/>
      </c>
      <c r="Q185" s="43" t="str">
        <f aca="false">IF($B185="","",SUMIFS('Rotation History'!$M$2:$M$1000,'Rotation History'!$B$2:$B$1000,$B185,'Rotation History'!$A$2:$A$1000,"&gt;="&amp;($B$2-30),'Rotation History'!$A$2:$A$1000,"&lt;"&amp;$B$2))</f>
        <v/>
      </c>
      <c r="R185" s="43" t="str">
        <f aca="false">IF($B185="","",COUNTIFS('Rotation History'!$B$2:$B$1000,$B185,'Rotation History'!$M$2:$M$1000,"&gt;0",'Rotation History'!$A$2:$A$1000,"&gt;="&amp;($B$2-30),'Rotation History'!$A$2:$A$1000,"&lt;"&amp;$B$2))</f>
        <v/>
      </c>
      <c r="S185" s="43" t="str">
        <f aca="false">IF($B185="","",IF(COUNTIFS('Rotation History'!$B$2:$B$1000,$B185,'Rotation History'!$A$2:$A$1000,$B$2-1,'Rotation History'!$M$2:$M$1000,"&gt;0")=0,0,1+IF(COUNTIFS('Rotation History'!$B$2:$B$1000,$B185,'Rotation History'!$A$2:$A$1000,$B$2-2,'Rotation History'!$M$2:$M$1000,"&gt;0")=0,0,1+IF(COUNTIFS('Rotation History'!$B$2:$B$1000,$B185,'Rotation History'!$A$2:$A$1000,$B$2-3,'Rotation History'!$M$2:$M$1000,"&gt;0")=0,0,1+IF(COUNTIFS('Rotation History'!$B$2:$B$1000,$B185,'Rotation History'!$A$2:$A$1000,$B$2-4,'Rotation History'!$M$2:$M$1000,"&gt;0")=0,0,1)))))</f>
        <v/>
      </c>
      <c r="T185" s="43" t="str">
        <f aca="false">IF($B185="","",COUNTIFS('Rotation History'!$B$2:$B$1000,$B185,'Rotation History'!$K$2:$K$1000,"Opening",'Rotation History'!$A$2:$A$1000,"&gt;="&amp;($B$2-30),'Rotation History'!$A$2:$A$1000,"&lt;"&amp;$B$2))</f>
        <v/>
      </c>
      <c r="U185" s="43" t="str">
        <f aca="false">IF($B185="","",COUNTIFS('Rotation History'!$B$2:$B$1000,$B185,'Rotation History'!$K$2:$K$1000,"Lunch Relief",'Rotation History'!$A$2:$A$1000,"&gt;="&amp;($B$2-30),'Rotation History'!$A$2:$A$1000,"&lt;"&amp;$B$2))</f>
        <v/>
      </c>
      <c r="V185" s="44" t="str">
        <f aca="false">IF($B185="","",$Q185*10+$R185*2+$S185*20+$T185*3+$U185)</f>
        <v/>
      </c>
    </row>
    <row r="186" customFormat="false" ht="14.25" hidden="false" customHeight="true" outlineLevel="0" collapsed="false">
      <c r="A186" s="40" t="str">
        <f aca="false">IF($B186="","",$B$2)</f>
        <v/>
      </c>
      <c r="B186" s="1" t="str">
        <f aca="false">IF($B$2="","",IFERROR(INDEX('Employee Master'!$A$2:$A$159,MATCH(ROWS($B$6:B186),Lists!$P$2:$P$159,0)),""))</f>
        <v/>
      </c>
      <c r="C186" s="1" t="str">
        <f aca="false">IF($B186="","",IFERROR(INDEX('Employee Master'!$B$2:$B$159,MATCH($B186,'Employee Master'!$A$2:$A$159,0)),""))</f>
        <v/>
      </c>
      <c r="D186" s="1" t="str">
        <f aca="false">IF($B186="","",IFERROR(INDEX('Employee Master'!$C$2:$C$159,MATCH($B186,'Employee Master'!$A$2:$A$159,0)),""))</f>
        <v/>
      </c>
      <c r="E186" s="1" t="str">
        <f aca="false">IF($B186="","",IFERROR(INDEX('Employee Master'!$I$2:$I$159,MATCH($B186,'Employee Master'!$A$2:$A$159,0)),""))</f>
        <v/>
      </c>
      <c r="F186" s="29" t="str">
        <f aca="false">IF($B186="","",IFERROR(INDEX('Employee Master'!$E$2:$E$159,MATCH($B186,'Employee Master'!$A$2:$A$159,0)),""))</f>
        <v/>
      </c>
      <c r="G186" s="29" t="str">
        <f aca="false">IF($B186="","",IFERROR(INDEX('Employee Master'!$F$2:$F$159,MATCH($B186,'Employee Master'!$A$2:$A$159,0)),""))</f>
        <v/>
      </c>
      <c r="H186" s="41" t="str">
        <f aca="false">IF($B186="","","Present")</f>
        <v/>
      </c>
      <c r="I186" s="1" t="str">
        <f aca="false">IF($B186="","",IFERROR(INDEX('Employee Master'!$H$2:$H$159,MATCH($B186,'Employee Master'!$A$2:$A$159,0)),""))</f>
        <v/>
      </c>
      <c r="J186" s="29" t="str">
        <f aca="false">IF($B186="","",IFERROR(INDEX('Qualification Matrix'!$C$2:$C$168,MATCH($B186,'Qualification Matrix'!$A$2:$A$168,0)),2))</f>
        <v/>
      </c>
      <c r="K186" s="29" t="str">
        <f aca="false">IF($B186="","",IFERROR(INDEX('Qualification Matrix'!$D$2:$D$168,MATCH($B186,'Qualification Matrix'!$A$2:$A$168,0)),2))</f>
        <v/>
      </c>
      <c r="L186" s="29" t="str">
        <f aca="false">IF($B186="","",IFERROR(INDEX('Qualification Matrix'!$E$2:$E$168,MATCH($B186,'Qualification Matrix'!$A$2:$A$168,0)),2))</f>
        <v/>
      </c>
      <c r="M186" s="29" t="str">
        <f aca="false">IF($B186="","",IFERROR(INDEX('Qualification Matrix'!$F$2:$F$168,MATCH($B186,'Qualification Matrix'!$A$2:$A$168,0)),2))</f>
        <v/>
      </c>
      <c r="N186" s="29" t="str">
        <f aca="false">IF($B186="","",IF(AND($H186="Present",$F186&lt;&gt;"Y"),"Y","N"))</f>
        <v/>
      </c>
      <c r="O186" s="42"/>
      <c r="P186" s="29" t="str">
        <f aca="false">IF($B186="","",IFERROR(INDEX('Qualification Matrix'!$H$2:$H$168,MATCH($B186,'Qualification Matrix'!$A$2:$A$168,0)),""))</f>
        <v/>
      </c>
      <c r="Q186" s="43" t="str">
        <f aca="false">IF($B186="","",SUMIFS('Rotation History'!$M$2:$M$1000,'Rotation History'!$B$2:$B$1000,$B186,'Rotation History'!$A$2:$A$1000,"&gt;="&amp;($B$2-30),'Rotation History'!$A$2:$A$1000,"&lt;"&amp;$B$2))</f>
        <v/>
      </c>
      <c r="R186" s="43" t="str">
        <f aca="false">IF($B186="","",COUNTIFS('Rotation History'!$B$2:$B$1000,$B186,'Rotation History'!$M$2:$M$1000,"&gt;0",'Rotation History'!$A$2:$A$1000,"&gt;="&amp;($B$2-30),'Rotation History'!$A$2:$A$1000,"&lt;"&amp;$B$2))</f>
        <v/>
      </c>
      <c r="S186" s="43" t="str">
        <f aca="false">IF($B186="","",IF(COUNTIFS('Rotation History'!$B$2:$B$1000,$B186,'Rotation History'!$A$2:$A$1000,$B$2-1,'Rotation History'!$M$2:$M$1000,"&gt;0")=0,0,1+IF(COUNTIFS('Rotation History'!$B$2:$B$1000,$B186,'Rotation History'!$A$2:$A$1000,$B$2-2,'Rotation History'!$M$2:$M$1000,"&gt;0")=0,0,1+IF(COUNTIFS('Rotation History'!$B$2:$B$1000,$B186,'Rotation History'!$A$2:$A$1000,$B$2-3,'Rotation History'!$M$2:$M$1000,"&gt;0")=0,0,1+IF(COUNTIFS('Rotation History'!$B$2:$B$1000,$B186,'Rotation History'!$A$2:$A$1000,$B$2-4,'Rotation History'!$M$2:$M$1000,"&gt;0")=0,0,1)))))</f>
        <v/>
      </c>
      <c r="T186" s="43" t="str">
        <f aca="false">IF($B186="","",COUNTIFS('Rotation History'!$B$2:$B$1000,$B186,'Rotation History'!$K$2:$K$1000,"Opening",'Rotation History'!$A$2:$A$1000,"&gt;="&amp;($B$2-30),'Rotation History'!$A$2:$A$1000,"&lt;"&amp;$B$2))</f>
        <v/>
      </c>
      <c r="U186" s="43" t="str">
        <f aca="false">IF($B186="","",COUNTIFS('Rotation History'!$B$2:$B$1000,$B186,'Rotation History'!$K$2:$K$1000,"Lunch Relief",'Rotation History'!$A$2:$A$1000,"&gt;="&amp;($B$2-30),'Rotation History'!$A$2:$A$1000,"&lt;"&amp;$B$2))</f>
        <v/>
      </c>
      <c r="V186" s="44" t="str">
        <f aca="false">IF($B186="","",$Q186*10+$R186*2+$S186*20+$T186*3+$U186)</f>
        <v/>
      </c>
    </row>
    <row r="187" customFormat="false" ht="14.25" hidden="false" customHeight="true" outlineLevel="0" collapsed="false">
      <c r="A187" s="40" t="str">
        <f aca="false">IF($B187="","",$B$2)</f>
        <v/>
      </c>
      <c r="B187" s="1" t="str">
        <f aca="false">IF($B$2="","",IFERROR(INDEX('Employee Master'!$A$2:$A$159,MATCH(ROWS($B$6:B187),Lists!$P$2:$P$159,0)),""))</f>
        <v/>
      </c>
      <c r="C187" s="1" t="str">
        <f aca="false">IF($B187="","",IFERROR(INDEX('Employee Master'!$B$2:$B$159,MATCH($B187,'Employee Master'!$A$2:$A$159,0)),""))</f>
        <v/>
      </c>
      <c r="D187" s="1" t="str">
        <f aca="false">IF($B187="","",IFERROR(INDEX('Employee Master'!$C$2:$C$159,MATCH($B187,'Employee Master'!$A$2:$A$159,0)),""))</f>
        <v/>
      </c>
      <c r="E187" s="1" t="str">
        <f aca="false">IF($B187="","",IFERROR(INDEX('Employee Master'!$I$2:$I$159,MATCH($B187,'Employee Master'!$A$2:$A$159,0)),""))</f>
        <v/>
      </c>
      <c r="F187" s="29" t="str">
        <f aca="false">IF($B187="","",IFERROR(INDEX('Employee Master'!$E$2:$E$159,MATCH($B187,'Employee Master'!$A$2:$A$159,0)),""))</f>
        <v/>
      </c>
      <c r="G187" s="29" t="str">
        <f aca="false">IF($B187="","",IFERROR(INDEX('Employee Master'!$F$2:$F$159,MATCH($B187,'Employee Master'!$A$2:$A$159,0)),""))</f>
        <v/>
      </c>
      <c r="H187" s="41" t="str">
        <f aca="false">IF($B187="","","Present")</f>
        <v/>
      </c>
      <c r="I187" s="1" t="str">
        <f aca="false">IF($B187="","",IFERROR(INDEX('Employee Master'!$H$2:$H$159,MATCH($B187,'Employee Master'!$A$2:$A$159,0)),""))</f>
        <v/>
      </c>
      <c r="J187" s="29" t="str">
        <f aca="false">IF($B187="","",IFERROR(INDEX('Qualification Matrix'!$C$2:$C$168,MATCH($B187,'Qualification Matrix'!$A$2:$A$168,0)),2))</f>
        <v/>
      </c>
      <c r="K187" s="29" t="str">
        <f aca="false">IF($B187="","",IFERROR(INDEX('Qualification Matrix'!$D$2:$D$168,MATCH($B187,'Qualification Matrix'!$A$2:$A$168,0)),2))</f>
        <v/>
      </c>
      <c r="L187" s="29" t="str">
        <f aca="false">IF($B187="","",IFERROR(INDEX('Qualification Matrix'!$E$2:$E$168,MATCH($B187,'Qualification Matrix'!$A$2:$A$168,0)),2))</f>
        <v/>
      </c>
      <c r="M187" s="29" t="str">
        <f aca="false">IF($B187="","",IFERROR(INDEX('Qualification Matrix'!$F$2:$F$168,MATCH($B187,'Qualification Matrix'!$A$2:$A$168,0)),2))</f>
        <v/>
      </c>
      <c r="N187" s="29" t="str">
        <f aca="false">IF($B187="","",IF(AND($H187="Present",$F187&lt;&gt;"Y"),"Y","N"))</f>
        <v/>
      </c>
      <c r="O187" s="42"/>
      <c r="P187" s="29" t="str">
        <f aca="false">IF($B187="","",IFERROR(INDEX('Qualification Matrix'!$H$2:$H$168,MATCH($B187,'Qualification Matrix'!$A$2:$A$168,0)),""))</f>
        <v/>
      </c>
      <c r="Q187" s="43" t="str">
        <f aca="false">IF($B187="","",SUMIFS('Rotation History'!$M$2:$M$1000,'Rotation History'!$B$2:$B$1000,$B187,'Rotation History'!$A$2:$A$1000,"&gt;="&amp;($B$2-30),'Rotation History'!$A$2:$A$1000,"&lt;"&amp;$B$2))</f>
        <v/>
      </c>
      <c r="R187" s="43" t="str">
        <f aca="false">IF($B187="","",COUNTIFS('Rotation History'!$B$2:$B$1000,$B187,'Rotation History'!$M$2:$M$1000,"&gt;0",'Rotation History'!$A$2:$A$1000,"&gt;="&amp;($B$2-30),'Rotation History'!$A$2:$A$1000,"&lt;"&amp;$B$2))</f>
        <v/>
      </c>
      <c r="S187" s="43" t="str">
        <f aca="false">IF($B187="","",IF(COUNTIFS('Rotation History'!$B$2:$B$1000,$B187,'Rotation History'!$A$2:$A$1000,$B$2-1,'Rotation History'!$M$2:$M$1000,"&gt;0")=0,0,1+IF(COUNTIFS('Rotation History'!$B$2:$B$1000,$B187,'Rotation History'!$A$2:$A$1000,$B$2-2,'Rotation History'!$M$2:$M$1000,"&gt;0")=0,0,1+IF(COUNTIFS('Rotation History'!$B$2:$B$1000,$B187,'Rotation History'!$A$2:$A$1000,$B$2-3,'Rotation History'!$M$2:$M$1000,"&gt;0")=0,0,1+IF(COUNTIFS('Rotation History'!$B$2:$B$1000,$B187,'Rotation History'!$A$2:$A$1000,$B$2-4,'Rotation History'!$M$2:$M$1000,"&gt;0")=0,0,1)))))</f>
        <v/>
      </c>
      <c r="T187" s="43" t="str">
        <f aca="false">IF($B187="","",COUNTIFS('Rotation History'!$B$2:$B$1000,$B187,'Rotation History'!$K$2:$K$1000,"Opening",'Rotation History'!$A$2:$A$1000,"&gt;="&amp;($B$2-30),'Rotation History'!$A$2:$A$1000,"&lt;"&amp;$B$2))</f>
        <v/>
      </c>
      <c r="U187" s="43" t="str">
        <f aca="false">IF($B187="","",COUNTIFS('Rotation History'!$B$2:$B$1000,$B187,'Rotation History'!$K$2:$K$1000,"Lunch Relief",'Rotation History'!$A$2:$A$1000,"&gt;="&amp;($B$2-30),'Rotation History'!$A$2:$A$1000,"&lt;"&amp;$B$2))</f>
        <v/>
      </c>
      <c r="V187" s="44" t="str">
        <f aca="false">IF($B187="","",$Q187*10+$R187*2+$S187*20+$T187*3+$U187)</f>
        <v/>
      </c>
    </row>
    <row r="188" customFormat="false" ht="14.25" hidden="false" customHeight="true" outlineLevel="0" collapsed="false">
      <c r="A188" s="40" t="str">
        <f aca="false">IF($B188="","",$B$2)</f>
        <v/>
      </c>
      <c r="B188" s="1" t="str">
        <f aca="false">IF($B$2="","",IFERROR(INDEX('Employee Master'!$A$2:$A$159,MATCH(ROWS($B$6:B188),Lists!$P$2:$P$159,0)),""))</f>
        <v/>
      </c>
      <c r="C188" s="1" t="str">
        <f aca="false">IF($B188="","",IFERROR(INDEX('Employee Master'!$B$2:$B$159,MATCH($B188,'Employee Master'!$A$2:$A$159,0)),""))</f>
        <v/>
      </c>
      <c r="D188" s="1" t="str">
        <f aca="false">IF($B188="","",IFERROR(INDEX('Employee Master'!$C$2:$C$159,MATCH($B188,'Employee Master'!$A$2:$A$159,0)),""))</f>
        <v/>
      </c>
      <c r="E188" s="1" t="str">
        <f aca="false">IF($B188="","",IFERROR(INDEX('Employee Master'!$I$2:$I$159,MATCH($B188,'Employee Master'!$A$2:$A$159,0)),""))</f>
        <v/>
      </c>
      <c r="F188" s="29" t="str">
        <f aca="false">IF($B188="","",IFERROR(INDEX('Employee Master'!$E$2:$E$159,MATCH($B188,'Employee Master'!$A$2:$A$159,0)),""))</f>
        <v/>
      </c>
      <c r="G188" s="29" t="str">
        <f aca="false">IF($B188="","",IFERROR(INDEX('Employee Master'!$F$2:$F$159,MATCH($B188,'Employee Master'!$A$2:$A$159,0)),""))</f>
        <v/>
      </c>
      <c r="H188" s="41" t="str">
        <f aca="false">IF($B188="","","Present")</f>
        <v/>
      </c>
      <c r="I188" s="1" t="str">
        <f aca="false">IF($B188="","",IFERROR(INDEX('Employee Master'!$H$2:$H$159,MATCH($B188,'Employee Master'!$A$2:$A$159,0)),""))</f>
        <v/>
      </c>
      <c r="J188" s="29" t="str">
        <f aca="false">IF($B188="","",IFERROR(INDEX('Qualification Matrix'!$C$2:$C$168,MATCH($B188,'Qualification Matrix'!$A$2:$A$168,0)),2))</f>
        <v/>
      </c>
      <c r="K188" s="29" t="str">
        <f aca="false">IF($B188="","",IFERROR(INDEX('Qualification Matrix'!$D$2:$D$168,MATCH($B188,'Qualification Matrix'!$A$2:$A$168,0)),2))</f>
        <v/>
      </c>
      <c r="L188" s="29" t="str">
        <f aca="false">IF($B188="","",IFERROR(INDEX('Qualification Matrix'!$E$2:$E$168,MATCH($B188,'Qualification Matrix'!$A$2:$A$168,0)),2))</f>
        <v/>
      </c>
      <c r="M188" s="29" t="str">
        <f aca="false">IF($B188="","",IFERROR(INDEX('Qualification Matrix'!$F$2:$F$168,MATCH($B188,'Qualification Matrix'!$A$2:$A$168,0)),2))</f>
        <v/>
      </c>
      <c r="N188" s="29" t="str">
        <f aca="false">IF($B188="","",IF(AND($H188="Present",$F188&lt;&gt;"Y"),"Y","N"))</f>
        <v/>
      </c>
      <c r="O188" s="42"/>
      <c r="P188" s="29" t="str">
        <f aca="false">IF($B188="","",IFERROR(INDEX('Qualification Matrix'!$H$2:$H$168,MATCH($B188,'Qualification Matrix'!$A$2:$A$168,0)),""))</f>
        <v/>
      </c>
      <c r="Q188" s="43" t="str">
        <f aca="false">IF($B188="","",SUMIFS('Rotation History'!$M$2:$M$1000,'Rotation History'!$B$2:$B$1000,$B188,'Rotation History'!$A$2:$A$1000,"&gt;="&amp;($B$2-30),'Rotation History'!$A$2:$A$1000,"&lt;"&amp;$B$2))</f>
        <v/>
      </c>
      <c r="R188" s="43" t="str">
        <f aca="false">IF($B188="","",COUNTIFS('Rotation History'!$B$2:$B$1000,$B188,'Rotation History'!$M$2:$M$1000,"&gt;0",'Rotation History'!$A$2:$A$1000,"&gt;="&amp;($B$2-30),'Rotation History'!$A$2:$A$1000,"&lt;"&amp;$B$2))</f>
        <v/>
      </c>
      <c r="S188" s="43" t="str">
        <f aca="false">IF($B188="","",IF(COUNTIFS('Rotation History'!$B$2:$B$1000,$B188,'Rotation History'!$A$2:$A$1000,$B$2-1,'Rotation History'!$M$2:$M$1000,"&gt;0")=0,0,1+IF(COUNTIFS('Rotation History'!$B$2:$B$1000,$B188,'Rotation History'!$A$2:$A$1000,$B$2-2,'Rotation History'!$M$2:$M$1000,"&gt;0")=0,0,1+IF(COUNTIFS('Rotation History'!$B$2:$B$1000,$B188,'Rotation History'!$A$2:$A$1000,$B$2-3,'Rotation History'!$M$2:$M$1000,"&gt;0")=0,0,1+IF(COUNTIFS('Rotation History'!$B$2:$B$1000,$B188,'Rotation History'!$A$2:$A$1000,$B$2-4,'Rotation History'!$M$2:$M$1000,"&gt;0")=0,0,1)))))</f>
        <v/>
      </c>
      <c r="T188" s="43" t="str">
        <f aca="false">IF($B188="","",COUNTIFS('Rotation History'!$B$2:$B$1000,$B188,'Rotation History'!$K$2:$K$1000,"Opening",'Rotation History'!$A$2:$A$1000,"&gt;="&amp;($B$2-30),'Rotation History'!$A$2:$A$1000,"&lt;"&amp;$B$2))</f>
        <v/>
      </c>
      <c r="U188" s="43" t="str">
        <f aca="false">IF($B188="","",COUNTIFS('Rotation History'!$B$2:$B$1000,$B188,'Rotation History'!$K$2:$K$1000,"Lunch Relief",'Rotation History'!$A$2:$A$1000,"&gt;="&amp;($B$2-30),'Rotation History'!$A$2:$A$1000,"&lt;"&amp;$B$2))</f>
        <v/>
      </c>
      <c r="V188" s="44" t="str">
        <f aca="false">IF($B188="","",$Q188*10+$R188*2+$S188*20+$T188*3+$U188)</f>
        <v/>
      </c>
    </row>
    <row r="189" customFormat="false" ht="14.25" hidden="false" customHeight="true" outlineLevel="0" collapsed="false">
      <c r="A189" s="40" t="str">
        <f aca="false">IF($B189="","",$B$2)</f>
        <v/>
      </c>
      <c r="B189" s="1" t="str">
        <f aca="false">IF($B$2="","",IFERROR(INDEX('Employee Master'!$A$2:$A$159,MATCH(ROWS($B$6:B189),Lists!$P$2:$P$159,0)),""))</f>
        <v/>
      </c>
      <c r="C189" s="1" t="str">
        <f aca="false">IF($B189="","",IFERROR(INDEX('Employee Master'!$B$2:$B$159,MATCH($B189,'Employee Master'!$A$2:$A$159,0)),""))</f>
        <v/>
      </c>
      <c r="D189" s="1" t="str">
        <f aca="false">IF($B189="","",IFERROR(INDEX('Employee Master'!$C$2:$C$159,MATCH($B189,'Employee Master'!$A$2:$A$159,0)),""))</f>
        <v/>
      </c>
      <c r="E189" s="1" t="str">
        <f aca="false">IF($B189="","",IFERROR(INDEX('Employee Master'!$I$2:$I$159,MATCH($B189,'Employee Master'!$A$2:$A$159,0)),""))</f>
        <v/>
      </c>
      <c r="F189" s="29" t="str">
        <f aca="false">IF($B189="","",IFERROR(INDEX('Employee Master'!$E$2:$E$159,MATCH($B189,'Employee Master'!$A$2:$A$159,0)),""))</f>
        <v/>
      </c>
      <c r="G189" s="29" t="str">
        <f aca="false">IF($B189="","",IFERROR(INDEX('Employee Master'!$F$2:$F$159,MATCH($B189,'Employee Master'!$A$2:$A$159,0)),""))</f>
        <v/>
      </c>
      <c r="H189" s="41" t="str">
        <f aca="false">IF($B189="","","Present")</f>
        <v/>
      </c>
      <c r="I189" s="1" t="str">
        <f aca="false">IF($B189="","",IFERROR(INDEX('Employee Master'!$H$2:$H$159,MATCH($B189,'Employee Master'!$A$2:$A$159,0)),""))</f>
        <v/>
      </c>
      <c r="J189" s="29" t="str">
        <f aca="false">IF($B189="","",IFERROR(INDEX('Qualification Matrix'!$C$2:$C$168,MATCH($B189,'Qualification Matrix'!$A$2:$A$168,0)),2))</f>
        <v/>
      </c>
      <c r="K189" s="29" t="str">
        <f aca="false">IF($B189="","",IFERROR(INDEX('Qualification Matrix'!$D$2:$D$168,MATCH($B189,'Qualification Matrix'!$A$2:$A$168,0)),2))</f>
        <v/>
      </c>
      <c r="L189" s="29" t="str">
        <f aca="false">IF($B189="","",IFERROR(INDEX('Qualification Matrix'!$E$2:$E$168,MATCH($B189,'Qualification Matrix'!$A$2:$A$168,0)),2))</f>
        <v/>
      </c>
      <c r="M189" s="29" t="str">
        <f aca="false">IF($B189="","",IFERROR(INDEX('Qualification Matrix'!$F$2:$F$168,MATCH($B189,'Qualification Matrix'!$A$2:$A$168,0)),2))</f>
        <v/>
      </c>
      <c r="N189" s="29" t="str">
        <f aca="false">IF($B189="","",IF(AND($H189="Present",$F189&lt;&gt;"Y"),"Y","N"))</f>
        <v/>
      </c>
      <c r="O189" s="42"/>
      <c r="P189" s="29" t="str">
        <f aca="false">IF($B189="","",IFERROR(INDEX('Qualification Matrix'!$H$2:$H$168,MATCH($B189,'Qualification Matrix'!$A$2:$A$168,0)),""))</f>
        <v/>
      </c>
      <c r="Q189" s="43" t="str">
        <f aca="false">IF($B189="","",SUMIFS('Rotation History'!$M$2:$M$1000,'Rotation History'!$B$2:$B$1000,$B189,'Rotation History'!$A$2:$A$1000,"&gt;="&amp;($B$2-30),'Rotation History'!$A$2:$A$1000,"&lt;"&amp;$B$2))</f>
        <v/>
      </c>
      <c r="R189" s="43" t="str">
        <f aca="false">IF($B189="","",COUNTIFS('Rotation History'!$B$2:$B$1000,$B189,'Rotation History'!$M$2:$M$1000,"&gt;0",'Rotation History'!$A$2:$A$1000,"&gt;="&amp;($B$2-30),'Rotation History'!$A$2:$A$1000,"&lt;"&amp;$B$2))</f>
        <v/>
      </c>
      <c r="S189" s="43" t="str">
        <f aca="false">IF($B189="","",IF(COUNTIFS('Rotation History'!$B$2:$B$1000,$B189,'Rotation History'!$A$2:$A$1000,$B$2-1,'Rotation History'!$M$2:$M$1000,"&gt;0")=0,0,1+IF(COUNTIFS('Rotation History'!$B$2:$B$1000,$B189,'Rotation History'!$A$2:$A$1000,$B$2-2,'Rotation History'!$M$2:$M$1000,"&gt;0")=0,0,1+IF(COUNTIFS('Rotation History'!$B$2:$B$1000,$B189,'Rotation History'!$A$2:$A$1000,$B$2-3,'Rotation History'!$M$2:$M$1000,"&gt;0")=0,0,1+IF(COUNTIFS('Rotation History'!$B$2:$B$1000,$B189,'Rotation History'!$A$2:$A$1000,$B$2-4,'Rotation History'!$M$2:$M$1000,"&gt;0")=0,0,1)))))</f>
        <v/>
      </c>
      <c r="T189" s="43" t="str">
        <f aca="false">IF($B189="","",COUNTIFS('Rotation History'!$B$2:$B$1000,$B189,'Rotation History'!$K$2:$K$1000,"Opening",'Rotation History'!$A$2:$A$1000,"&gt;="&amp;($B$2-30),'Rotation History'!$A$2:$A$1000,"&lt;"&amp;$B$2))</f>
        <v/>
      </c>
      <c r="U189" s="43" t="str">
        <f aca="false">IF($B189="","",COUNTIFS('Rotation History'!$B$2:$B$1000,$B189,'Rotation History'!$K$2:$K$1000,"Lunch Relief",'Rotation History'!$A$2:$A$1000,"&gt;="&amp;($B$2-30),'Rotation History'!$A$2:$A$1000,"&lt;"&amp;$B$2))</f>
        <v/>
      </c>
      <c r="V189" s="44" t="str">
        <f aca="false">IF($B189="","",$Q189*10+$R189*2+$S189*20+$T189*3+$U189)</f>
        <v/>
      </c>
    </row>
    <row r="190" customFormat="false" ht="14.25" hidden="false" customHeight="true" outlineLevel="0" collapsed="false">
      <c r="A190" s="40" t="str">
        <f aca="false">IF($B190="","",$B$2)</f>
        <v/>
      </c>
      <c r="B190" s="1" t="str">
        <f aca="false">IF($B$2="","",IFERROR(INDEX('Employee Master'!$A$2:$A$159,MATCH(ROWS($B$6:B190),Lists!$P$2:$P$159,0)),""))</f>
        <v/>
      </c>
      <c r="C190" s="1" t="str">
        <f aca="false">IF($B190="","",IFERROR(INDEX('Employee Master'!$B$2:$B$159,MATCH($B190,'Employee Master'!$A$2:$A$159,0)),""))</f>
        <v/>
      </c>
      <c r="D190" s="1" t="str">
        <f aca="false">IF($B190="","",IFERROR(INDEX('Employee Master'!$C$2:$C$159,MATCH($B190,'Employee Master'!$A$2:$A$159,0)),""))</f>
        <v/>
      </c>
      <c r="E190" s="1" t="str">
        <f aca="false">IF($B190="","",IFERROR(INDEX('Employee Master'!$I$2:$I$159,MATCH($B190,'Employee Master'!$A$2:$A$159,0)),""))</f>
        <v/>
      </c>
      <c r="F190" s="29" t="str">
        <f aca="false">IF($B190="","",IFERROR(INDEX('Employee Master'!$E$2:$E$159,MATCH($B190,'Employee Master'!$A$2:$A$159,0)),""))</f>
        <v/>
      </c>
      <c r="G190" s="29" t="str">
        <f aca="false">IF($B190="","",IFERROR(INDEX('Employee Master'!$F$2:$F$159,MATCH($B190,'Employee Master'!$A$2:$A$159,0)),""))</f>
        <v/>
      </c>
      <c r="H190" s="41" t="str">
        <f aca="false">IF($B190="","","Present")</f>
        <v/>
      </c>
      <c r="I190" s="1" t="str">
        <f aca="false">IF($B190="","",IFERROR(INDEX('Employee Master'!$H$2:$H$159,MATCH($B190,'Employee Master'!$A$2:$A$159,0)),""))</f>
        <v/>
      </c>
      <c r="J190" s="29" t="str">
        <f aca="false">IF($B190="","",IFERROR(INDEX('Qualification Matrix'!$C$2:$C$168,MATCH($B190,'Qualification Matrix'!$A$2:$A$168,0)),2))</f>
        <v/>
      </c>
      <c r="K190" s="29" t="str">
        <f aca="false">IF($B190="","",IFERROR(INDEX('Qualification Matrix'!$D$2:$D$168,MATCH($B190,'Qualification Matrix'!$A$2:$A$168,0)),2))</f>
        <v/>
      </c>
      <c r="L190" s="29" t="str">
        <f aca="false">IF($B190="","",IFERROR(INDEX('Qualification Matrix'!$E$2:$E$168,MATCH($B190,'Qualification Matrix'!$A$2:$A$168,0)),2))</f>
        <v/>
      </c>
      <c r="M190" s="29" t="str">
        <f aca="false">IF($B190="","",IFERROR(INDEX('Qualification Matrix'!$F$2:$F$168,MATCH($B190,'Qualification Matrix'!$A$2:$A$168,0)),2))</f>
        <v/>
      </c>
      <c r="N190" s="29" t="str">
        <f aca="false">IF($B190="","",IF(AND($H190="Present",$F190&lt;&gt;"Y"),"Y","N"))</f>
        <v/>
      </c>
      <c r="O190" s="42"/>
      <c r="P190" s="29" t="str">
        <f aca="false">IF($B190="","",IFERROR(INDEX('Qualification Matrix'!$H$2:$H$168,MATCH($B190,'Qualification Matrix'!$A$2:$A$168,0)),""))</f>
        <v/>
      </c>
      <c r="Q190" s="43" t="str">
        <f aca="false">IF($B190="","",SUMIFS('Rotation History'!$M$2:$M$1000,'Rotation History'!$B$2:$B$1000,$B190,'Rotation History'!$A$2:$A$1000,"&gt;="&amp;($B$2-30),'Rotation History'!$A$2:$A$1000,"&lt;"&amp;$B$2))</f>
        <v/>
      </c>
      <c r="R190" s="43" t="str">
        <f aca="false">IF($B190="","",COUNTIFS('Rotation History'!$B$2:$B$1000,$B190,'Rotation History'!$M$2:$M$1000,"&gt;0",'Rotation History'!$A$2:$A$1000,"&gt;="&amp;($B$2-30),'Rotation History'!$A$2:$A$1000,"&lt;"&amp;$B$2))</f>
        <v/>
      </c>
      <c r="S190" s="43" t="str">
        <f aca="false">IF($B190="","",IF(COUNTIFS('Rotation History'!$B$2:$B$1000,$B190,'Rotation History'!$A$2:$A$1000,$B$2-1,'Rotation History'!$M$2:$M$1000,"&gt;0")=0,0,1+IF(COUNTIFS('Rotation History'!$B$2:$B$1000,$B190,'Rotation History'!$A$2:$A$1000,$B$2-2,'Rotation History'!$M$2:$M$1000,"&gt;0")=0,0,1+IF(COUNTIFS('Rotation History'!$B$2:$B$1000,$B190,'Rotation History'!$A$2:$A$1000,$B$2-3,'Rotation History'!$M$2:$M$1000,"&gt;0")=0,0,1+IF(COUNTIFS('Rotation History'!$B$2:$B$1000,$B190,'Rotation History'!$A$2:$A$1000,$B$2-4,'Rotation History'!$M$2:$M$1000,"&gt;0")=0,0,1)))))</f>
        <v/>
      </c>
      <c r="T190" s="43" t="str">
        <f aca="false">IF($B190="","",COUNTIFS('Rotation History'!$B$2:$B$1000,$B190,'Rotation History'!$K$2:$K$1000,"Opening",'Rotation History'!$A$2:$A$1000,"&gt;="&amp;($B$2-30),'Rotation History'!$A$2:$A$1000,"&lt;"&amp;$B$2))</f>
        <v/>
      </c>
      <c r="U190" s="43" t="str">
        <f aca="false">IF($B190="","",COUNTIFS('Rotation History'!$B$2:$B$1000,$B190,'Rotation History'!$K$2:$K$1000,"Lunch Relief",'Rotation History'!$A$2:$A$1000,"&gt;="&amp;($B$2-30),'Rotation History'!$A$2:$A$1000,"&lt;"&amp;$B$2))</f>
        <v/>
      </c>
      <c r="V190" s="44" t="str">
        <f aca="false">IF($B190="","",$Q190*10+$R190*2+$S190*20+$T190*3+$U190)</f>
        <v/>
      </c>
    </row>
    <row r="191" customFormat="false" ht="14.25" hidden="false" customHeight="true" outlineLevel="0" collapsed="false">
      <c r="A191" s="40" t="str">
        <f aca="false">IF($B191="","",$B$2)</f>
        <v/>
      </c>
      <c r="B191" s="1" t="str">
        <f aca="false">IF($B$2="","",IFERROR(INDEX('Employee Master'!$A$2:$A$159,MATCH(ROWS($B$6:B191),Lists!$P$2:$P$159,0)),""))</f>
        <v/>
      </c>
      <c r="C191" s="1" t="str">
        <f aca="false">IF($B191="","",IFERROR(INDEX('Employee Master'!$B$2:$B$159,MATCH($B191,'Employee Master'!$A$2:$A$159,0)),""))</f>
        <v/>
      </c>
      <c r="D191" s="1" t="str">
        <f aca="false">IF($B191="","",IFERROR(INDEX('Employee Master'!$C$2:$C$159,MATCH($B191,'Employee Master'!$A$2:$A$159,0)),""))</f>
        <v/>
      </c>
      <c r="E191" s="1" t="str">
        <f aca="false">IF($B191="","",IFERROR(INDEX('Employee Master'!$I$2:$I$159,MATCH($B191,'Employee Master'!$A$2:$A$159,0)),""))</f>
        <v/>
      </c>
      <c r="F191" s="29" t="str">
        <f aca="false">IF($B191="","",IFERROR(INDEX('Employee Master'!$E$2:$E$159,MATCH($B191,'Employee Master'!$A$2:$A$159,0)),""))</f>
        <v/>
      </c>
      <c r="G191" s="29" t="str">
        <f aca="false">IF($B191="","",IFERROR(INDEX('Employee Master'!$F$2:$F$159,MATCH($B191,'Employee Master'!$A$2:$A$159,0)),""))</f>
        <v/>
      </c>
      <c r="H191" s="41" t="str">
        <f aca="false">IF($B191="","","Present")</f>
        <v/>
      </c>
      <c r="I191" s="1" t="str">
        <f aca="false">IF($B191="","",IFERROR(INDEX('Employee Master'!$H$2:$H$159,MATCH($B191,'Employee Master'!$A$2:$A$159,0)),""))</f>
        <v/>
      </c>
      <c r="J191" s="29" t="str">
        <f aca="false">IF($B191="","",IFERROR(INDEX('Qualification Matrix'!$C$2:$C$168,MATCH($B191,'Qualification Matrix'!$A$2:$A$168,0)),2))</f>
        <v/>
      </c>
      <c r="K191" s="29" t="str">
        <f aca="false">IF($B191="","",IFERROR(INDEX('Qualification Matrix'!$D$2:$D$168,MATCH($B191,'Qualification Matrix'!$A$2:$A$168,0)),2))</f>
        <v/>
      </c>
      <c r="L191" s="29" t="str">
        <f aca="false">IF($B191="","",IFERROR(INDEX('Qualification Matrix'!$E$2:$E$168,MATCH($B191,'Qualification Matrix'!$A$2:$A$168,0)),2))</f>
        <v/>
      </c>
      <c r="M191" s="29" t="str">
        <f aca="false">IF($B191="","",IFERROR(INDEX('Qualification Matrix'!$F$2:$F$168,MATCH($B191,'Qualification Matrix'!$A$2:$A$168,0)),2))</f>
        <v/>
      </c>
      <c r="N191" s="29" t="str">
        <f aca="false">IF($B191="","",IF(AND($H191="Present",$F191&lt;&gt;"Y"),"Y","N"))</f>
        <v/>
      </c>
      <c r="O191" s="42"/>
      <c r="P191" s="29" t="str">
        <f aca="false">IF($B191="","",IFERROR(INDEX('Qualification Matrix'!$H$2:$H$168,MATCH($B191,'Qualification Matrix'!$A$2:$A$168,0)),""))</f>
        <v/>
      </c>
      <c r="Q191" s="43" t="str">
        <f aca="false">IF($B191="","",SUMIFS('Rotation History'!$M$2:$M$1000,'Rotation History'!$B$2:$B$1000,$B191,'Rotation History'!$A$2:$A$1000,"&gt;="&amp;($B$2-30),'Rotation History'!$A$2:$A$1000,"&lt;"&amp;$B$2))</f>
        <v/>
      </c>
      <c r="R191" s="43" t="str">
        <f aca="false">IF($B191="","",COUNTIFS('Rotation History'!$B$2:$B$1000,$B191,'Rotation History'!$M$2:$M$1000,"&gt;0",'Rotation History'!$A$2:$A$1000,"&gt;="&amp;($B$2-30),'Rotation History'!$A$2:$A$1000,"&lt;"&amp;$B$2))</f>
        <v/>
      </c>
      <c r="S191" s="43" t="str">
        <f aca="false">IF($B191="","",IF(COUNTIFS('Rotation History'!$B$2:$B$1000,$B191,'Rotation History'!$A$2:$A$1000,$B$2-1,'Rotation History'!$M$2:$M$1000,"&gt;0")=0,0,1+IF(COUNTIFS('Rotation History'!$B$2:$B$1000,$B191,'Rotation History'!$A$2:$A$1000,$B$2-2,'Rotation History'!$M$2:$M$1000,"&gt;0")=0,0,1+IF(COUNTIFS('Rotation History'!$B$2:$B$1000,$B191,'Rotation History'!$A$2:$A$1000,$B$2-3,'Rotation History'!$M$2:$M$1000,"&gt;0")=0,0,1+IF(COUNTIFS('Rotation History'!$B$2:$B$1000,$B191,'Rotation History'!$A$2:$A$1000,$B$2-4,'Rotation History'!$M$2:$M$1000,"&gt;0")=0,0,1)))))</f>
        <v/>
      </c>
      <c r="T191" s="43" t="str">
        <f aca="false">IF($B191="","",COUNTIFS('Rotation History'!$B$2:$B$1000,$B191,'Rotation History'!$K$2:$K$1000,"Opening",'Rotation History'!$A$2:$A$1000,"&gt;="&amp;($B$2-30),'Rotation History'!$A$2:$A$1000,"&lt;"&amp;$B$2))</f>
        <v/>
      </c>
      <c r="U191" s="43" t="str">
        <f aca="false">IF($B191="","",COUNTIFS('Rotation History'!$B$2:$B$1000,$B191,'Rotation History'!$K$2:$K$1000,"Lunch Relief",'Rotation History'!$A$2:$A$1000,"&gt;="&amp;($B$2-30),'Rotation History'!$A$2:$A$1000,"&lt;"&amp;$B$2))</f>
        <v/>
      </c>
      <c r="V191" s="44" t="str">
        <f aca="false">IF($B191="","",$Q191*10+$R191*2+$S191*20+$T191*3+$U191)</f>
        <v/>
      </c>
    </row>
    <row r="192" customFormat="false" ht="14.25" hidden="false" customHeight="true" outlineLevel="0" collapsed="false">
      <c r="A192" s="40" t="str">
        <f aca="false">IF($B192="","",$B$2)</f>
        <v/>
      </c>
      <c r="B192" s="1" t="str">
        <f aca="false">IF($B$2="","",IFERROR(INDEX('Employee Master'!$A$2:$A$159,MATCH(ROWS($B$6:B192),Lists!$P$2:$P$159,0)),""))</f>
        <v/>
      </c>
      <c r="C192" s="1" t="str">
        <f aca="false">IF($B192="","",IFERROR(INDEX('Employee Master'!$B$2:$B$159,MATCH($B192,'Employee Master'!$A$2:$A$159,0)),""))</f>
        <v/>
      </c>
      <c r="D192" s="1" t="str">
        <f aca="false">IF($B192="","",IFERROR(INDEX('Employee Master'!$C$2:$C$159,MATCH($B192,'Employee Master'!$A$2:$A$159,0)),""))</f>
        <v/>
      </c>
      <c r="E192" s="1" t="str">
        <f aca="false">IF($B192="","",IFERROR(INDEX('Employee Master'!$I$2:$I$159,MATCH($B192,'Employee Master'!$A$2:$A$159,0)),""))</f>
        <v/>
      </c>
      <c r="F192" s="29" t="str">
        <f aca="false">IF($B192="","",IFERROR(INDEX('Employee Master'!$E$2:$E$159,MATCH($B192,'Employee Master'!$A$2:$A$159,0)),""))</f>
        <v/>
      </c>
      <c r="G192" s="29" t="str">
        <f aca="false">IF($B192="","",IFERROR(INDEX('Employee Master'!$F$2:$F$159,MATCH($B192,'Employee Master'!$A$2:$A$159,0)),""))</f>
        <v/>
      </c>
      <c r="H192" s="41" t="str">
        <f aca="false">IF($B192="","","Present")</f>
        <v/>
      </c>
      <c r="I192" s="1" t="str">
        <f aca="false">IF($B192="","",IFERROR(INDEX('Employee Master'!$H$2:$H$159,MATCH($B192,'Employee Master'!$A$2:$A$159,0)),""))</f>
        <v/>
      </c>
      <c r="J192" s="29" t="str">
        <f aca="false">IF($B192="","",IFERROR(INDEX('Qualification Matrix'!$C$2:$C$168,MATCH($B192,'Qualification Matrix'!$A$2:$A$168,0)),2))</f>
        <v/>
      </c>
      <c r="K192" s="29" t="str">
        <f aca="false">IF($B192="","",IFERROR(INDEX('Qualification Matrix'!$D$2:$D$168,MATCH($B192,'Qualification Matrix'!$A$2:$A$168,0)),2))</f>
        <v/>
      </c>
      <c r="L192" s="29" t="str">
        <f aca="false">IF($B192="","",IFERROR(INDEX('Qualification Matrix'!$E$2:$E$168,MATCH($B192,'Qualification Matrix'!$A$2:$A$168,0)),2))</f>
        <v/>
      </c>
      <c r="M192" s="29" t="str">
        <f aca="false">IF($B192="","",IFERROR(INDEX('Qualification Matrix'!$F$2:$F$168,MATCH($B192,'Qualification Matrix'!$A$2:$A$168,0)),2))</f>
        <v/>
      </c>
      <c r="N192" s="29" t="str">
        <f aca="false">IF($B192="","",IF(AND($H192="Present",$F192&lt;&gt;"Y"),"Y","N"))</f>
        <v/>
      </c>
      <c r="O192" s="42"/>
      <c r="P192" s="29" t="str">
        <f aca="false">IF($B192="","",IFERROR(INDEX('Qualification Matrix'!$H$2:$H$168,MATCH($B192,'Qualification Matrix'!$A$2:$A$168,0)),""))</f>
        <v/>
      </c>
      <c r="Q192" s="43" t="str">
        <f aca="false">IF($B192="","",SUMIFS('Rotation History'!$M$2:$M$1000,'Rotation History'!$B$2:$B$1000,$B192,'Rotation History'!$A$2:$A$1000,"&gt;="&amp;($B$2-30),'Rotation History'!$A$2:$A$1000,"&lt;"&amp;$B$2))</f>
        <v/>
      </c>
      <c r="R192" s="43" t="str">
        <f aca="false">IF($B192="","",COUNTIFS('Rotation History'!$B$2:$B$1000,$B192,'Rotation History'!$M$2:$M$1000,"&gt;0",'Rotation History'!$A$2:$A$1000,"&gt;="&amp;($B$2-30),'Rotation History'!$A$2:$A$1000,"&lt;"&amp;$B$2))</f>
        <v/>
      </c>
      <c r="S192" s="43" t="str">
        <f aca="false">IF($B192="","",IF(COUNTIFS('Rotation History'!$B$2:$B$1000,$B192,'Rotation History'!$A$2:$A$1000,$B$2-1,'Rotation History'!$M$2:$M$1000,"&gt;0")=0,0,1+IF(COUNTIFS('Rotation History'!$B$2:$B$1000,$B192,'Rotation History'!$A$2:$A$1000,$B$2-2,'Rotation History'!$M$2:$M$1000,"&gt;0")=0,0,1+IF(COUNTIFS('Rotation History'!$B$2:$B$1000,$B192,'Rotation History'!$A$2:$A$1000,$B$2-3,'Rotation History'!$M$2:$M$1000,"&gt;0")=0,0,1+IF(COUNTIFS('Rotation History'!$B$2:$B$1000,$B192,'Rotation History'!$A$2:$A$1000,$B$2-4,'Rotation History'!$M$2:$M$1000,"&gt;0")=0,0,1)))))</f>
        <v/>
      </c>
      <c r="T192" s="43" t="str">
        <f aca="false">IF($B192="","",COUNTIFS('Rotation History'!$B$2:$B$1000,$B192,'Rotation History'!$K$2:$K$1000,"Opening",'Rotation History'!$A$2:$A$1000,"&gt;="&amp;($B$2-30),'Rotation History'!$A$2:$A$1000,"&lt;"&amp;$B$2))</f>
        <v/>
      </c>
      <c r="U192" s="43" t="str">
        <f aca="false">IF($B192="","",COUNTIFS('Rotation History'!$B$2:$B$1000,$B192,'Rotation History'!$K$2:$K$1000,"Lunch Relief",'Rotation History'!$A$2:$A$1000,"&gt;="&amp;($B$2-30),'Rotation History'!$A$2:$A$1000,"&lt;"&amp;$B$2))</f>
        <v/>
      </c>
      <c r="V192" s="44" t="str">
        <f aca="false">IF($B192="","",$Q192*10+$R192*2+$S192*20+$T192*3+$U192)</f>
        <v/>
      </c>
    </row>
    <row r="193" customFormat="false" ht="14.25" hidden="false" customHeight="true" outlineLevel="0" collapsed="false">
      <c r="A193" s="40" t="str">
        <f aca="false">IF($B193="","",$B$2)</f>
        <v/>
      </c>
      <c r="B193" s="1" t="str">
        <f aca="false">IF($B$2="","",IFERROR(INDEX('Employee Master'!$A$2:$A$159,MATCH(ROWS($B$6:B193),Lists!$P$2:$P$159,0)),""))</f>
        <v/>
      </c>
      <c r="C193" s="1" t="str">
        <f aca="false">IF($B193="","",IFERROR(INDEX('Employee Master'!$B$2:$B$159,MATCH($B193,'Employee Master'!$A$2:$A$159,0)),""))</f>
        <v/>
      </c>
      <c r="D193" s="1" t="str">
        <f aca="false">IF($B193="","",IFERROR(INDEX('Employee Master'!$C$2:$C$159,MATCH($B193,'Employee Master'!$A$2:$A$159,0)),""))</f>
        <v/>
      </c>
      <c r="E193" s="1" t="str">
        <f aca="false">IF($B193="","",IFERROR(INDEX('Employee Master'!$I$2:$I$159,MATCH($B193,'Employee Master'!$A$2:$A$159,0)),""))</f>
        <v/>
      </c>
      <c r="F193" s="29" t="str">
        <f aca="false">IF($B193="","",IFERROR(INDEX('Employee Master'!$E$2:$E$159,MATCH($B193,'Employee Master'!$A$2:$A$159,0)),""))</f>
        <v/>
      </c>
      <c r="G193" s="29" t="str">
        <f aca="false">IF($B193="","",IFERROR(INDEX('Employee Master'!$F$2:$F$159,MATCH($B193,'Employee Master'!$A$2:$A$159,0)),""))</f>
        <v/>
      </c>
      <c r="H193" s="41" t="str">
        <f aca="false">IF($B193="","","Present")</f>
        <v/>
      </c>
      <c r="I193" s="1" t="str">
        <f aca="false">IF($B193="","",IFERROR(INDEX('Employee Master'!$H$2:$H$159,MATCH($B193,'Employee Master'!$A$2:$A$159,0)),""))</f>
        <v/>
      </c>
      <c r="J193" s="29" t="str">
        <f aca="false">IF($B193="","",IFERROR(INDEX('Qualification Matrix'!$C$2:$C$168,MATCH($B193,'Qualification Matrix'!$A$2:$A$168,0)),2))</f>
        <v/>
      </c>
      <c r="K193" s="29" t="str">
        <f aca="false">IF($B193="","",IFERROR(INDEX('Qualification Matrix'!$D$2:$D$168,MATCH($B193,'Qualification Matrix'!$A$2:$A$168,0)),2))</f>
        <v/>
      </c>
      <c r="L193" s="29" t="str">
        <f aca="false">IF($B193="","",IFERROR(INDEX('Qualification Matrix'!$E$2:$E$168,MATCH($B193,'Qualification Matrix'!$A$2:$A$168,0)),2))</f>
        <v/>
      </c>
      <c r="M193" s="29" t="str">
        <f aca="false">IF($B193="","",IFERROR(INDEX('Qualification Matrix'!$F$2:$F$168,MATCH($B193,'Qualification Matrix'!$A$2:$A$168,0)),2))</f>
        <v/>
      </c>
      <c r="N193" s="29" t="str">
        <f aca="false">IF($B193="","",IF(AND($H193="Present",$F193&lt;&gt;"Y"),"Y","N"))</f>
        <v/>
      </c>
      <c r="O193" s="42"/>
      <c r="P193" s="29" t="str">
        <f aca="false">IF($B193="","",IFERROR(INDEX('Qualification Matrix'!$H$2:$H$168,MATCH($B193,'Qualification Matrix'!$A$2:$A$168,0)),""))</f>
        <v/>
      </c>
      <c r="Q193" s="43" t="str">
        <f aca="false">IF($B193="","",SUMIFS('Rotation History'!$M$2:$M$1000,'Rotation History'!$B$2:$B$1000,$B193,'Rotation History'!$A$2:$A$1000,"&gt;="&amp;($B$2-30),'Rotation History'!$A$2:$A$1000,"&lt;"&amp;$B$2))</f>
        <v/>
      </c>
      <c r="R193" s="43" t="str">
        <f aca="false">IF($B193="","",COUNTIFS('Rotation History'!$B$2:$B$1000,$B193,'Rotation History'!$M$2:$M$1000,"&gt;0",'Rotation History'!$A$2:$A$1000,"&gt;="&amp;($B$2-30),'Rotation History'!$A$2:$A$1000,"&lt;"&amp;$B$2))</f>
        <v/>
      </c>
      <c r="S193" s="43" t="str">
        <f aca="false">IF($B193="","",IF(COUNTIFS('Rotation History'!$B$2:$B$1000,$B193,'Rotation History'!$A$2:$A$1000,$B$2-1,'Rotation History'!$M$2:$M$1000,"&gt;0")=0,0,1+IF(COUNTIFS('Rotation History'!$B$2:$B$1000,$B193,'Rotation History'!$A$2:$A$1000,$B$2-2,'Rotation History'!$M$2:$M$1000,"&gt;0")=0,0,1+IF(COUNTIFS('Rotation History'!$B$2:$B$1000,$B193,'Rotation History'!$A$2:$A$1000,$B$2-3,'Rotation History'!$M$2:$M$1000,"&gt;0")=0,0,1+IF(COUNTIFS('Rotation History'!$B$2:$B$1000,$B193,'Rotation History'!$A$2:$A$1000,$B$2-4,'Rotation History'!$M$2:$M$1000,"&gt;0")=0,0,1)))))</f>
        <v/>
      </c>
      <c r="T193" s="43" t="str">
        <f aca="false">IF($B193="","",COUNTIFS('Rotation History'!$B$2:$B$1000,$B193,'Rotation History'!$K$2:$K$1000,"Opening",'Rotation History'!$A$2:$A$1000,"&gt;="&amp;($B$2-30),'Rotation History'!$A$2:$A$1000,"&lt;"&amp;$B$2))</f>
        <v/>
      </c>
      <c r="U193" s="43" t="str">
        <f aca="false">IF($B193="","",COUNTIFS('Rotation History'!$B$2:$B$1000,$B193,'Rotation History'!$K$2:$K$1000,"Lunch Relief",'Rotation History'!$A$2:$A$1000,"&gt;="&amp;($B$2-30),'Rotation History'!$A$2:$A$1000,"&lt;"&amp;$B$2))</f>
        <v/>
      </c>
      <c r="V193" s="44" t="str">
        <f aca="false">IF($B193="","",$Q193*10+$R193*2+$S193*20+$T193*3+$U193)</f>
        <v/>
      </c>
    </row>
    <row r="194" customFormat="false" ht="14.25" hidden="false" customHeight="true" outlineLevel="0" collapsed="false">
      <c r="A194" s="40" t="str">
        <f aca="false">IF($B194="","",$B$2)</f>
        <v/>
      </c>
      <c r="B194" s="1" t="str">
        <f aca="false">IF($B$2="","",IFERROR(INDEX('Employee Master'!$A$2:$A$159,MATCH(ROWS($B$6:B194),Lists!$P$2:$P$159,0)),""))</f>
        <v/>
      </c>
      <c r="C194" s="1" t="str">
        <f aca="false">IF($B194="","",IFERROR(INDEX('Employee Master'!$B$2:$B$159,MATCH($B194,'Employee Master'!$A$2:$A$159,0)),""))</f>
        <v/>
      </c>
      <c r="D194" s="1" t="str">
        <f aca="false">IF($B194="","",IFERROR(INDEX('Employee Master'!$C$2:$C$159,MATCH($B194,'Employee Master'!$A$2:$A$159,0)),""))</f>
        <v/>
      </c>
      <c r="E194" s="1" t="str">
        <f aca="false">IF($B194="","",IFERROR(INDEX('Employee Master'!$I$2:$I$159,MATCH($B194,'Employee Master'!$A$2:$A$159,0)),""))</f>
        <v/>
      </c>
      <c r="F194" s="29" t="str">
        <f aca="false">IF($B194="","",IFERROR(INDEX('Employee Master'!$E$2:$E$159,MATCH($B194,'Employee Master'!$A$2:$A$159,0)),""))</f>
        <v/>
      </c>
      <c r="G194" s="29" t="str">
        <f aca="false">IF($B194="","",IFERROR(INDEX('Employee Master'!$F$2:$F$159,MATCH($B194,'Employee Master'!$A$2:$A$159,0)),""))</f>
        <v/>
      </c>
      <c r="H194" s="41" t="str">
        <f aca="false">IF($B194="","","Present")</f>
        <v/>
      </c>
      <c r="I194" s="1" t="str">
        <f aca="false">IF($B194="","",IFERROR(INDEX('Employee Master'!$H$2:$H$159,MATCH($B194,'Employee Master'!$A$2:$A$159,0)),""))</f>
        <v/>
      </c>
      <c r="J194" s="29" t="str">
        <f aca="false">IF($B194="","",IFERROR(INDEX('Qualification Matrix'!$C$2:$C$168,MATCH($B194,'Qualification Matrix'!$A$2:$A$168,0)),2))</f>
        <v/>
      </c>
      <c r="K194" s="29" t="str">
        <f aca="false">IF($B194="","",IFERROR(INDEX('Qualification Matrix'!$D$2:$D$168,MATCH($B194,'Qualification Matrix'!$A$2:$A$168,0)),2))</f>
        <v/>
      </c>
      <c r="L194" s="29" t="str">
        <f aca="false">IF($B194="","",IFERROR(INDEX('Qualification Matrix'!$E$2:$E$168,MATCH($B194,'Qualification Matrix'!$A$2:$A$168,0)),2))</f>
        <v/>
      </c>
      <c r="M194" s="29" t="str">
        <f aca="false">IF($B194="","",IFERROR(INDEX('Qualification Matrix'!$F$2:$F$168,MATCH($B194,'Qualification Matrix'!$A$2:$A$168,0)),2))</f>
        <v/>
      </c>
      <c r="N194" s="29" t="str">
        <f aca="false">IF($B194="","",IF(AND($H194="Present",$F194&lt;&gt;"Y"),"Y","N"))</f>
        <v/>
      </c>
      <c r="O194" s="42"/>
      <c r="P194" s="29" t="str">
        <f aca="false">IF($B194="","",IFERROR(INDEX('Qualification Matrix'!$H$2:$H$168,MATCH($B194,'Qualification Matrix'!$A$2:$A$168,0)),""))</f>
        <v/>
      </c>
      <c r="Q194" s="43" t="str">
        <f aca="false">IF($B194="","",SUMIFS('Rotation History'!$M$2:$M$1000,'Rotation History'!$B$2:$B$1000,$B194,'Rotation History'!$A$2:$A$1000,"&gt;="&amp;($B$2-30),'Rotation History'!$A$2:$A$1000,"&lt;"&amp;$B$2))</f>
        <v/>
      </c>
      <c r="R194" s="43" t="str">
        <f aca="false">IF($B194="","",COUNTIFS('Rotation History'!$B$2:$B$1000,$B194,'Rotation History'!$M$2:$M$1000,"&gt;0",'Rotation History'!$A$2:$A$1000,"&gt;="&amp;($B$2-30),'Rotation History'!$A$2:$A$1000,"&lt;"&amp;$B$2))</f>
        <v/>
      </c>
      <c r="S194" s="43" t="str">
        <f aca="false">IF($B194="","",IF(COUNTIFS('Rotation History'!$B$2:$B$1000,$B194,'Rotation History'!$A$2:$A$1000,$B$2-1,'Rotation History'!$M$2:$M$1000,"&gt;0")=0,0,1+IF(COUNTIFS('Rotation History'!$B$2:$B$1000,$B194,'Rotation History'!$A$2:$A$1000,$B$2-2,'Rotation History'!$M$2:$M$1000,"&gt;0")=0,0,1+IF(COUNTIFS('Rotation History'!$B$2:$B$1000,$B194,'Rotation History'!$A$2:$A$1000,$B$2-3,'Rotation History'!$M$2:$M$1000,"&gt;0")=0,0,1+IF(COUNTIFS('Rotation History'!$B$2:$B$1000,$B194,'Rotation History'!$A$2:$A$1000,$B$2-4,'Rotation History'!$M$2:$M$1000,"&gt;0")=0,0,1)))))</f>
        <v/>
      </c>
      <c r="T194" s="43" t="str">
        <f aca="false">IF($B194="","",COUNTIFS('Rotation History'!$B$2:$B$1000,$B194,'Rotation History'!$K$2:$K$1000,"Opening",'Rotation History'!$A$2:$A$1000,"&gt;="&amp;($B$2-30),'Rotation History'!$A$2:$A$1000,"&lt;"&amp;$B$2))</f>
        <v/>
      </c>
      <c r="U194" s="43" t="str">
        <f aca="false">IF($B194="","",COUNTIFS('Rotation History'!$B$2:$B$1000,$B194,'Rotation History'!$K$2:$K$1000,"Lunch Relief",'Rotation History'!$A$2:$A$1000,"&gt;="&amp;($B$2-30),'Rotation History'!$A$2:$A$1000,"&lt;"&amp;$B$2))</f>
        <v/>
      </c>
      <c r="V194" s="44" t="str">
        <f aca="false">IF($B194="","",$Q194*10+$R194*2+$S194*20+$T194*3+$U194)</f>
        <v/>
      </c>
    </row>
    <row r="195" customFormat="false" ht="14.25" hidden="false" customHeight="true" outlineLevel="0" collapsed="false">
      <c r="A195" s="40" t="str">
        <f aca="false">IF($B195="","",$B$2)</f>
        <v/>
      </c>
      <c r="B195" s="1" t="str">
        <f aca="false">IF($B$2="","",IFERROR(INDEX('Employee Master'!$A$2:$A$159,MATCH(ROWS($B$6:B195),Lists!$P$2:$P$159,0)),""))</f>
        <v/>
      </c>
      <c r="C195" s="1" t="str">
        <f aca="false">IF($B195="","",IFERROR(INDEX('Employee Master'!$B$2:$B$159,MATCH($B195,'Employee Master'!$A$2:$A$159,0)),""))</f>
        <v/>
      </c>
      <c r="D195" s="1" t="str">
        <f aca="false">IF($B195="","",IFERROR(INDEX('Employee Master'!$C$2:$C$159,MATCH($B195,'Employee Master'!$A$2:$A$159,0)),""))</f>
        <v/>
      </c>
      <c r="E195" s="1" t="str">
        <f aca="false">IF($B195="","",IFERROR(INDEX('Employee Master'!$I$2:$I$159,MATCH($B195,'Employee Master'!$A$2:$A$159,0)),""))</f>
        <v/>
      </c>
      <c r="F195" s="29" t="str">
        <f aca="false">IF($B195="","",IFERROR(INDEX('Employee Master'!$E$2:$E$159,MATCH($B195,'Employee Master'!$A$2:$A$159,0)),""))</f>
        <v/>
      </c>
      <c r="G195" s="29" t="str">
        <f aca="false">IF($B195="","",IFERROR(INDEX('Employee Master'!$F$2:$F$159,MATCH($B195,'Employee Master'!$A$2:$A$159,0)),""))</f>
        <v/>
      </c>
      <c r="H195" s="41" t="str">
        <f aca="false">IF($B195="","","Present")</f>
        <v/>
      </c>
      <c r="I195" s="1" t="str">
        <f aca="false">IF($B195="","",IFERROR(INDEX('Employee Master'!$H$2:$H$159,MATCH($B195,'Employee Master'!$A$2:$A$159,0)),""))</f>
        <v/>
      </c>
      <c r="J195" s="29" t="str">
        <f aca="false">IF($B195="","",IFERROR(INDEX('Qualification Matrix'!$C$2:$C$168,MATCH($B195,'Qualification Matrix'!$A$2:$A$168,0)),2))</f>
        <v/>
      </c>
      <c r="K195" s="29" t="str">
        <f aca="false">IF($B195="","",IFERROR(INDEX('Qualification Matrix'!$D$2:$D$168,MATCH($B195,'Qualification Matrix'!$A$2:$A$168,0)),2))</f>
        <v/>
      </c>
      <c r="L195" s="29" t="str">
        <f aca="false">IF($B195="","",IFERROR(INDEX('Qualification Matrix'!$E$2:$E$168,MATCH($B195,'Qualification Matrix'!$A$2:$A$168,0)),2))</f>
        <v/>
      </c>
      <c r="M195" s="29" t="str">
        <f aca="false">IF($B195="","",IFERROR(INDEX('Qualification Matrix'!$F$2:$F$168,MATCH($B195,'Qualification Matrix'!$A$2:$A$168,0)),2))</f>
        <v/>
      </c>
      <c r="N195" s="29" t="str">
        <f aca="false">IF($B195="","",IF(AND($H195="Present",$F195&lt;&gt;"Y"),"Y","N"))</f>
        <v/>
      </c>
      <c r="O195" s="42"/>
      <c r="P195" s="29" t="str">
        <f aca="false">IF($B195="","",IFERROR(INDEX('Qualification Matrix'!$H$2:$H$168,MATCH($B195,'Qualification Matrix'!$A$2:$A$168,0)),""))</f>
        <v/>
      </c>
      <c r="Q195" s="43" t="str">
        <f aca="false">IF($B195="","",SUMIFS('Rotation History'!$M$2:$M$1000,'Rotation History'!$B$2:$B$1000,$B195,'Rotation History'!$A$2:$A$1000,"&gt;="&amp;($B$2-30),'Rotation History'!$A$2:$A$1000,"&lt;"&amp;$B$2))</f>
        <v/>
      </c>
      <c r="R195" s="43" t="str">
        <f aca="false">IF($B195="","",COUNTIFS('Rotation History'!$B$2:$B$1000,$B195,'Rotation History'!$M$2:$M$1000,"&gt;0",'Rotation History'!$A$2:$A$1000,"&gt;="&amp;($B$2-30),'Rotation History'!$A$2:$A$1000,"&lt;"&amp;$B$2))</f>
        <v/>
      </c>
      <c r="S195" s="43" t="str">
        <f aca="false">IF($B195="","",IF(COUNTIFS('Rotation History'!$B$2:$B$1000,$B195,'Rotation History'!$A$2:$A$1000,$B$2-1,'Rotation History'!$M$2:$M$1000,"&gt;0")=0,0,1+IF(COUNTIFS('Rotation History'!$B$2:$B$1000,$B195,'Rotation History'!$A$2:$A$1000,$B$2-2,'Rotation History'!$M$2:$M$1000,"&gt;0")=0,0,1+IF(COUNTIFS('Rotation History'!$B$2:$B$1000,$B195,'Rotation History'!$A$2:$A$1000,$B$2-3,'Rotation History'!$M$2:$M$1000,"&gt;0")=0,0,1+IF(COUNTIFS('Rotation History'!$B$2:$B$1000,$B195,'Rotation History'!$A$2:$A$1000,$B$2-4,'Rotation History'!$M$2:$M$1000,"&gt;0")=0,0,1)))))</f>
        <v/>
      </c>
      <c r="T195" s="43" t="str">
        <f aca="false">IF($B195="","",COUNTIFS('Rotation History'!$B$2:$B$1000,$B195,'Rotation History'!$K$2:$K$1000,"Opening",'Rotation History'!$A$2:$A$1000,"&gt;="&amp;($B$2-30),'Rotation History'!$A$2:$A$1000,"&lt;"&amp;$B$2))</f>
        <v/>
      </c>
      <c r="U195" s="43" t="str">
        <f aca="false">IF($B195="","",COUNTIFS('Rotation History'!$B$2:$B$1000,$B195,'Rotation History'!$K$2:$K$1000,"Lunch Relief",'Rotation History'!$A$2:$A$1000,"&gt;="&amp;($B$2-30),'Rotation History'!$A$2:$A$1000,"&lt;"&amp;$B$2))</f>
        <v/>
      </c>
      <c r="V195" s="44" t="str">
        <f aca="false">IF($B195="","",$Q195*10+$R195*2+$S195*20+$T195*3+$U195)</f>
        <v/>
      </c>
    </row>
    <row r="196" customFormat="false" ht="14.25" hidden="false" customHeight="true" outlineLevel="0" collapsed="false">
      <c r="A196" s="40" t="str">
        <f aca="false">IF($B196="","",$B$2)</f>
        <v/>
      </c>
      <c r="B196" s="1" t="str">
        <f aca="false">IF($B$2="","",IFERROR(INDEX('Employee Master'!$A$2:$A$159,MATCH(ROWS($B$6:B196),Lists!$P$2:$P$159,0)),""))</f>
        <v/>
      </c>
      <c r="C196" s="1" t="str">
        <f aca="false">IF($B196="","",IFERROR(INDEX('Employee Master'!$B$2:$B$159,MATCH($B196,'Employee Master'!$A$2:$A$159,0)),""))</f>
        <v/>
      </c>
      <c r="D196" s="1" t="str">
        <f aca="false">IF($B196="","",IFERROR(INDEX('Employee Master'!$C$2:$C$159,MATCH($B196,'Employee Master'!$A$2:$A$159,0)),""))</f>
        <v/>
      </c>
      <c r="E196" s="1" t="str">
        <f aca="false">IF($B196="","",IFERROR(INDEX('Employee Master'!$I$2:$I$159,MATCH($B196,'Employee Master'!$A$2:$A$159,0)),""))</f>
        <v/>
      </c>
      <c r="F196" s="29" t="str">
        <f aca="false">IF($B196="","",IFERROR(INDEX('Employee Master'!$E$2:$E$159,MATCH($B196,'Employee Master'!$A$2:$A$159,0)),""))</f>
        <v/>
      </c>
      <c r="G196" s="29" t="str">
        <f aca="false">IF($B196="","",IFERROR(INDEX('Employee Master'!$F$2:$F$159,MATCH($B196,'Employee Master'!$A$2:$A$159,0)),""))</f>
        <v/>
      </c>
      <c r="H196" s="41" t="str">
        <f aca="false">IF($B196="","","Present")</f>
        <v/>
      </c>
      <c r="I196" s="1" t="str">
        <f aca="false">IF($B196="","",IFERROR(INDEX('Employee Master'!$H$2:$H$159,MATCH($B196,'Employee Master'!$A$2:$A$159,0)),""))</f>
        <v/>
      </c>
      <c r="J196" s="29" t="str">
        <f aca="false">IF($B196="","",IFERROR(INDEX('Qualification Matrix'!$C$2:$C$168,MATCH($B196,'Qualification Matrix'!$A$2:$A$168,0)),2))</f>
        <v/>
      </c>
      <c r="K196" s="29" t="str">
        <f aca="false">IF($B196="","",IFERROR(INDEX('Qualification Matrix'!$D$2:$D$168,MATCH($B196,'Qualification Matrix'!$A$2:$A$168,0)),2))</f>
        <v/>
      </c>
      <c r="L196" s="29" t="str">
        <f aca="false">IF($B196="","",IFERROR(INDEX('Qualification Matrix'!$E$2:$E$168,MATCH($B196,'Qualification Matrix'!$A$2:$A$168,0)),2))</f>
        <v/>
      </c>
      <c r="M196" s="29" t="str">
        <f aca="false">IF($B196="","",IFERROR(INDEX('Qualification Matrix'!$F$2:$F$168,MATCH($B196,'Qualification Matrix'!$A$2:$A$168,0)),2))</f>
        <v/>
      </c>
      <c r="N196" s="29" t="str">
        <f aca="false">IF($B196="","",IF(AND($H196="Present",$F196&lt;&gt;"Y"),"Y","N"))</f>
        <v/>
      </c>
      <c r="O196" s="42"/>
      <c r="P196" s="29" t="str">
        <f aca="false">IF($B196="","",IFERROR(INDEX('Qualification Matrix'!$H$2:$H$168,MATCH($B196,'Qualification Matrix'!$A$2:$A$168,0)),""))</f>
        <v/>
      </c>
      <c r="Q196" s="43" t="str">
        <f aca="false">IF($B196="","",SUMIFS('Rotation History'!$M$2:$M$1000,'Rotation History'!$B$2:$B$1000,$B196,'Rotation History'!$A$2:$A$1000,"&gt;="&amp;($B$2-30),'Rotation History'!$A$2:$A$1000,"&lt;"&amp;$B$2))</f>
        <v/>
      </c>
      <c r="R196" s="43" t="str">
        <f aca="false">IF($B196="","",COUNTIFS('Rotation History'!$B$2:$B$1000,$B196,'Rotation History'!$M$2:$M$1000,"&gt;0",'Rotation History'!$A$2:$A$1000,"&gt;="&amp;($B$2-30),'Rotation History'!$A$2:$A$1000,"&lt;"&amp;$B$2))</f>
        <v/>
      </c>
      <c r="S196" s="43" t="str">
        <f aca="false">IF($B196="","",IF(COUNTIFS('Rotation History'!$B$2:$B$1000,$B196,'Rotation History'!$A$2:$A$1000,$B$2-1,'Rotation History'!$M$2:$M$1000,"&gt;0")=0,0,1+IF(COUNTIFS('Rotation History'!$B$2:$B$1000,$B196,'Rotation History'!$A$2:$A$1000,$B$2-2,'Rotation History'!$M$2:$M$1000,"&gt;0")=0,0,1+IF(COUNTIFS('Rotation History'!$B$2:$B$1000,$B196,'Rotation History'!$A$2:$A$1000,$B$2-3,'Rotation History'!$M$2:$M$1000,"&gt;0")=0,0,1+IF(COUNTIFS('Rotation History'!$B$2:$B$1000,$B196,'Rotation History'!$A$2:$A$1000,$B$2-4,'Rotation History'!$M$2:$M$1000,"&gt;0")=0,0,1)))))</f>
        <v/>
      </c>
      <c r="T196" s="43" t="str">
        <f aca="false">IF($B196="","",COUNTIFS('Rotation History'!$B$2:$B$1000,$B196,'Rotation History'!$K$2:$K$1000,"Opening",'Rotation History'!$A$2:$A$1000,"&gt;="&amp;($B$2-30),'Rotation History'!$A$2:$A$1000,"&lt;"&amp;$B$2))</f>
        <v/>
      </c>
      <c r="U196" s="43" t="str">
        <f aca="false">IF($B196="","",COUNTIFS('Rotation History'!$B$2:$B$1000,$B196,'Rotation History'!$K$2:$K$1000,"Lunch Relief",'Rotation History'!$A$2:$A$1000,"&gt;="&amp;($B$2-30),'Rotation History'!$A$2:$A$1000,"&lt;"&amp;$B$2))</f>
        <v/>
      </c>
      <c r="V196" s="44" t="str">
        <f aca="false">IF($B196="","",$Q196*10+$R196*2+$S196*20+$T196*3+$U196)</f>
        <v/>
      </c>
    </row>
    <row r="197" customFormat="false" ht="14.25" hidden="false" customHeight="true" outlineLevel="0" collapsed="false">
      <c r="A197" s="40" t="str">
        <f aca="false">IF($B197="","",$B$2)</f>
        <v/>
      </c>
      <c r="B197" s="1" t="str">
        <f aca="false">IF($B$2="","",IFERROR(INDEX('Employee Master'!$A$2:$A$159,MATCH(ROWS($B$6:B197),Lists!$P$2:$P$159,0)),""))</f>
        <v/>
      </c>
      <c r="C197" s="1" t="str">
        <f aca="false">IF($B197="","",IFERROR(INDEX('Employee Master'!$B$2:$B$159,MATCH($B197,'Employee Master'!$A$2:$A$159,0)),""))</f>
        <v/>
      </c>
      <c r="D197" s="1" t="str">
        <f aca="false">IF($B197="","",IFERROR(INDEX('Employee Master'!$C$2:$C$159,MATCH($B197,'Employee Master'!$A$2:$A$159,0)),""))</f>
        <v/>
      </c>
      <c r="E197" s="1" t="str">
        <f aca="false">IF($B197="","",IFERROR(INDEX('Employee Master'!$I$2:$I$159,MATCH($B197,'Employee Master'!$A$2:$A$159,0)),""))</f>
        <v/>
      </c>
      <c r="F197" s="29" t="str">
        <f aca="false">IF($B197="","",IFERROR(INDEX('Employee Master'!$E$2:$E$159,MATCH($B197,'Employee Master'!$A$2:$A$159,0)),""))</f>
        <v/>
      </c>
      <c r="G197" s="29" t="str">
        <f aca="false">IF($B197="","",IFERROR(INDEX('Employee Master'!$F$2:$F$159,MATCH($B197,'Employee Master'!$A$2:$A$159,0)),""))</f>
        <v/>
      </c>
      <c r="H197" s="41" t="str">
        <f aca="false">IF($B197="","","Present")</f>
        <v/>
      </c>
      <c r="I197" s="1" t="str">
        <f aca="false">IF($B197="","",IFERROR(INDEX('Employee Master'!$H$2:$H$159,MATCH($B197,'Employee Master'!$A$2:$A$159,0)),""))</f>
        <v/>
      </c>
      <c r="J197" s="29" t="str">
        <f aca="false">IF($B197="","",IFERROR(INDEX('Qualification Matrix'!$C$2:$C$168,MATCH($B197,'Qualification Matrix'!$A$2:$A$168,0)),2))</f>
        <v/>
      </c>
      <c r="K197" s="29" t="str">
        <f aca="false">IF($B197="","",IFERROR(INDEX('Qualification Matrix'!$D$2:$D$168,MATCH($B197,'Qualification Matrix'!$A$2:$A$168,0)),2))</f>
        <v/>
      </c>
      <c r="L197" s="29" t="str">
        <f aca="false">IF($B197="","",IFERROR(INDEX('Qualification Matrix'!$E$2:$E$168,MATCH($B197,'Qualification Matrix'!$A$2:$A$168,0)),2))</f>
        <v/>
      </c>
      <c r="M197" s="29" t="str">
        <f aca="false">IF($B197="","",IFERROR(INDEX('Qualification Matrix'!$F$2:$F$168,MATCH($B197,'Qualification Matrix'!$A$2:$A$168,0)),2))</f>
        <v/>
      </c>
      <c r="N197" s="29" t="str">
        <f aca="false">IF($B197="","",IF(AND($H197="Present",$F197&lt;&gt;"Y"),"Y","N"))</f>
        <v/>
      </c>
      <c r="O197" s="42"/>
      <c r="P197" s="29" t="str">
        <f aca="false">IF($B197="","",IFERROR(INDEX('Qualification Matrix'!$H$2:$H$168,MATCH($B197,'Qualification Matrix'!$A$2:$A$168,0)),""))</f>
        <v/>
      </c>
      <c r="Q197" s="43" t="str">
        <f aca="false">IF($B197="","",SUMIFS('Rotation History'!$M$2:$M$1000,'Rotation History'!$B$2:$B$1000,$B197,'Rotation History'!$A$2:$A$1000,"&gt;="&amp;($B$2-30),'Rotation History'!$A$2:$A$1000,"&lt;"&amp;$B$2))</f>
        <v/>
      </c>
      <c r="R197" s="43" t="str">
        <f aca="false">IF($B197="","",COUNTIFS('Rotation History'!$B$2:$B$1000,$B197,'Rotation History'!$M$2:$M$1000,"&gt;0",'Rotation History'!$A$2:$A$1000,"&gt;="&amp;($B$2-30),'Rotation History'!$A$2:$A$1000,"&lt;"&amp;$B$2))</f>
        <v/>
      </c>
      <c r="S197" s="43" t="str">
        <f aca="false">IF($B197="","",IF(COUNTIFS('Rotation History'!$B$2:$B$1000,$B197,'Rotation History'!$A$2:$A$1000,$B$2-1,'Rotation History'!$M$2:$M$1000,"&gt;0")=0,0,1+IF(COUNTIFS('Rotation History'!$B$2:$B$1000,$B197,'Rotation History'!$A$2:$A$1000,$B$2-2,'Rotation History'!$M$2:$M$1000,"&gt;0")=0,0,1+IF(COUNTIFS('Rotation History'!$B$2:$B$1000,$B197,'Rotation History'!$A$2:$A$1000,$B$2-3,'Rotation History'!$M$2:$M$1000,"&gt;0")=0,0,1+IF(COUNTIFS('Rotation History'!$B$2:$B$1000,$B197,'Rotation History'!$A$2:$A$1000,$B$2-4,'Rotation History'!$M$2:$M$1000,"&gt;0")=0,0,1)))))</f>
        <v/>
      </c>
      <c r="T197" s="43" t="str">
        <f aca="false">IF($B197="","",COUNTIFS('Rotation History'!$B$2:$B$1000,$B197,'Rotation History'!$K$2:$K$1000,"Opening",'Rotation History'!$A$2:$A$1000,"&gt;="&amp;($B$2-30),'Rotation History'!$A$2:$A$1000,"&lt;"&amp;$B$2))</f>
        <v/>
      </c>
      <c r="U197" s="43" t="str">
        <f aca="false">IF($B197="","",COUNTIFS('Rotation History'!$B$2:$B$1000,$B197,'Rotation History'!$K$2:$K$1000,"Lunch Relief",'Rotation History'!$A$2:$A$1000,"&gt;="&amp;($B$2-30),'Rotation History'!$A$2:$A$1000,"&lt;"&amp;$B$2))</f>
        <v/>
      </c>
      <c r="V197" s="44" t="str">
        <f aca="false">IF($B197="","",$Q197*10+$R197*2+$S197*20+$T197*3+$U197)</f>
        <v/>
      </c>
    </row>
    <row r="198" customFormat="false" ht="14.25" hidden="false" customHeight="true" outlineLevel="0" collapsed="false">
      <c r="A198" s="40" t="str">
        <f aca="false">IF($B198="","",$B$2)</f>
        <v/>
      </c>
      <c r="B198" s="1" t="str">
        <f aca="false">IF($B$2="","",IFERROR(INDEX('Employee Master'!$A$2:$A$159,MATCH(ROWS($B$6:B198),Lists!$P$2:$P$159,0)),""))</f>
        <v/>
      </c>
      <c r="C198" s="1" t="str">
        <f aca="false">IF($B198="","",IFERROR(INDEX('Employee Master'!$B$2:$B$159,MATCH($B198,'Employee Master'!$A$2:$A$159,0)),""))</f>
        <v/>
      </c>
      <c r="D198" s="1" t="str">
        <f aca="false">IF($B198="","",IFERROR(INDEX('Employee Master'!$C$2:$C$159,MATCH($B198,'Employee Master'!$A$2:$A$159,0)),""))</f>
        <v/>
      </c>
      <c r="E198" s="1" t="str">
        <f aca="false">IF($B198="","",IFERROR(INDEX('Employee Master'!$I$2:$I$159,MATCH($B198,'Employee Master'!$A$2:$A$159,0)),""))</f>
        <v/>
      </c>
      <c r="F198" s="29" t="str">
        <f aca="false">IF($B198="","",IFERROR(INDEX('Employee Master'!$E$2:$E$159,MATCH($B198,'Employee Master'!$A$2:$A$159,0)),""))</f>
        <v/>
      </c>
      <c r="G198" s="29" t="str">
        <f aca="false">IF($B198="","",IFERROR(INDEX('Employee Master'!$F$2:$F$159,MATCH($B198,'Employee Master'!$A$2:$A$159,0)),""))</f>
        <v/>
      </c>
      <c r="H198" s="41" t="str">
        <f aca="false">IF($B198="","","Present")</f>
        <v/>
      </c>
      <c r="I198" s="1" t="str">
        <f aca="false">IF($B198="","",IFERROR(INDEX('Employee Master'!$H$2:$H$159,MATCH($B198,'Employee Master'!$A$2:$A$159,0)),""))</f>
        <v/>
      </c>
      <c r="J198" s="29" t="str">
        <f aca="false">IF($B198="","",IFERROR(INDEX('Qualification Matrix'!$C$2:$C$168,MATCH($B198,'Qualification Matrix'!$A$2:$A$168,0)),2))</f>
        <v/>
      </c>
      <c r="K198" s="29" t="str">
        <f aca="false">IF($B198="","",IFERROR(INDEX('Qualification Matrix'!$D$2:$D$168,MATCH($B198,'Qualification Matrix'!$A$2:$A$168,0)),2))</f>
        <v/>
      </c>
      <c r="L198" s="29" t="str">
        <f aca="false">IF($B198="","",IFERROR(INDEX('Qualification Matrix'!$E$2:$E$168,MATCH($B198,'Qualification Matrix'!$A$2:$A$168,0)),2))</f>
        <v/>
      </c>
      <c r="M198" s="29" t="str">
        <f aca="false">IF($B198="","",IFERROR(INDEX('Qualification Matrix'!$F$2:$F$168,MATCH($B198,'Qualification Matrix'!$A$2:$A$168,0)),2))</f>
        <v/>
      </c>
      <c r="N198" s="29" t="str">
        <f aca="false">IF($B198="","",IF(AND($H198="Present",$F198&lt;&gt;"Y"),"Y","N"))</f>
        <v/>
      </c>
      <c r="O198" s="42"/>
      <c r="P198" s="29" t="str">
        <f aca="false">IF($B198="","",IFERROR(INDEX('Qualification Matrix'!$H$2:$H$168,MATCH($B198,'Qualification Matrix'!$A$2:$A$168,0)),""))</f>
        <v/>
      </c>
      <c r="Q198" s="43" t="str">
        <f aca="false">IF($B198="","",SUMIFS('Rotation History'!$M$2:$M$1000,'Rotation History'!$B$2:$B$1000,$B198,'Rotation History'!$A$2:$A$1000,"&gt;="&amp;($B$2-30),'Rotation History'!$A$2:$A$1000,"&lt;"&amp;$B$2))</f>
        <v/>
      </c>
      <c r="R198" s="43" t="str">
        <f aca="false">IF($B198="","",COUNTIFS('Rotation History'!$B$2:$B$1000,$B198,'Rotation History'!$M$2:$M$1000,"&gt;0",'Rotation History'!$A$2:$A$1000,"&gt;="&amp;($B$2-30),'Rotation History'!$A$2:$A$1000,"&lt;"&amp;$B$2))</f>
        <v/>
      </c>
      <c r="S198" s="43" t="str">
        <f aca="false">IF($B198="","",IF(COUNTIFS('Rotation History'!$B$2:$B$1000,$B198,'Rotation History'!$A$2:$A$1000,$B$2-1,'Rotation History'!$M$2:$M$1000,"&gt;0")=0,0,1+IF(COUNTIFS('Rotation History'!$B$2:$B$1000,$B198,'Rotation History'!$A$2:$A$1000,$B$2-2,'Rotation History'!$M$2:$M$1000,"&gt;0")=0,0,1+IF(COUNTIFS('Rotation History'!$B$2:$B$1000,$B198,'Rotation History'!$A$2:$A$1000,$B$2-3,'Rotation History'!$M$2:$M$1000,"&gt;0")=0,0,1+IF(COUNTIFS('Rotation History'!$B$2:$B$1000,$B198,'Rotation History'!$A$2:$A$1000,$B$2-4,'Rotation History'!$M$2:$M$1000,"&gt;0")=0,0,1)))))</f>
        <v/>
      </c>
      <c r="T198" s="43" t="str">
        <f aca="false">IF($B198="","",COUNTIFS('Rotation History'!$B$2:$B$1000,$B198,'Rotation History'!$K$2:$K$1000,"Opening",'Rotation History'!$A$2:$A$1000,"&gt;="&amp;($B$2-30),'Rotation History'!$A$2:$A$1000,"&lt;"&amp;$B$2))</f>
        <v/>
      </c>
      <c r="U198" s="43" t="str">
        <f aca="false">IF($B198="","",COUNTIFS('Rotation History'!$B$2:$B$1000,$B198,'Rotation History'!$K$2:$K$1000,"Lunch Relief",'Rotation History'!$A$2:$A$1000,"&gt;="&amp;($B$2-30),'Rotation History'!$A$2:$A$1000,"&lt;"&amp;$B$2))</f>
        <v/>
      </c>
      <c r="V198" s="44" t="str">
        <f aca="false">IF($B198="","",$Q198*10+$R198*2+$S198*20+$T198*3+$U198)</f>
        <v/>
      </c>
    </row>
    <row r="199" customFormat="false" ht="14.25" hidden="false" customHeight="true" outlineLevel="0" collapsed="false">
      <c r="A199" s="40" t="str">
        <f aca="false">IF($B199="","",$B$2)</f>
        <v/>
      </c>
      <c r="B199" s="1" t="str">
        <f aca="false">IF($B$2="","",IFERROR(INDEX('Employee Master'!$A$2:$A$159,MATCH(ROWS($B$6:B199),Lists!$P$2:$P$159,0)),""))</f>
        <v/>
      </c>
      <c r="C199" s="1" t="str">
        <f aca="false">IF($B199="","",IFERROR(INDEX('Employee Master'!$B$2:$B$159,MATCH($B199,'Employee Master'!$A$2:$A$159,0)),""))</f>
        <v/>
      </c>
      <c r="D199" s="1" t="str">
        <f aca="false">IF($B199="","",IFERROR(INDEX('Employee Master'!$C$2:$C$159,MATCH($B199,'Employee Master'!$A$2:$A$159,0)),""))</f>
        <v/>
      </c>
      <c r="E199" s="1" t="str">
        <f aca="false">IF($B199="","",IFERROR(INDEX('Employee Master'!$I$2:$I$159,MATCH($B199,'Employee Master'!$A$2:$A$159,0)),""))</f>
        <v/>
      </c>
      <c r="F199" s="29" t="str">
        <f aca="false">IF($B199="","",IFERROR(INDEX('Employee Master'!$E$2:$E$159,MATCH($B199,'Employee Master'!$A$2:$A$159,0)),""))</f>
        <v/>
      </c>
      <c r="G199" s="29" t="str">
        <f aca="false">IF($B199="","",IFERROR(INDEX('Employee Master'!$F$2:$F$159,MATCH($B199,'Employee Master'!$A$2:$A$159,0)),""))</f>
        <v/>
      </c>
      <c r="H199" s="41" t="str">
        <f aca="false">IF($B199="","","Present")</f>
        <v/>
      </c>
      <c r="I199" s="1" t="str">
        <f aca="false">IF($B199="","",IFERROR(INDEX('Employee Master'!$H$2:$H$159,MATCH($B199,'Employee Master'!$A$2:$A$159,0)),""))</f>
        <v/>
      </c>
      <c r="J199" s="29" t="str">
        <f aca="false">IF($B199="","",IFERROR(INDEX('Qualification Matrix'!$C$2:$C$168,MATCH($B199,'Qualification Matrix'!$A$2:$A$168,0)),2))</f>
        <v/>
      </c>
      <c r="K199" s="29" t="str">
        <f aca="false">IF($B199="","",IFERROR(INDEX('Qualification Matrix'!$D$2:$D$168,MATCH($B199,'Qualification Matrix'!$A$2:$A$168,0)),2))</f>
        <v/>
      </c>
      <c r="L199" s="29" t="str">
        <f aca="false">IF($B199="","",IFERROR(INDEX('Qualification Matrix'!$E$2:$E$168,MATCH($B199,'Qualification Matrix'!$A$2:$A$168,0)),2))</f>
        <v/>
      </c>
      <c r="M199" s="29" t="str">
        <f aca="false">IF($B199="","",IFERROR(INDEX('Qualification Matrix'!$F$2:$F$168,MATCH($B199,'Qualification Matrix'!$A$2:$A$168,0)),2))</f>
        <v/>
      </c>
      <c r="N199" s="29" t="str">
        <f aca="false">IF($B199="","",IF(AND($H199="Present",$F199&lt;&gt;"Y"),"Y","N"))</f>
        <v/>
      </c>
      <c r="O199" s="42"/>
      <c r="P199" s="29" t="str">
        <f aca="false">IF($B199="","",IFERROR(INDEX('Qualification Matrix'!$H$2:$H$168,MATCH($B199,'Qualification Matrix'!$A$2:$A$168,0)),""))</f>
        <v/>
      </c>
      <c r="Q199" s="43" t="str">
        <f aca="false">IF($B199="","",SUMIFS('Rotation History'!$M$2:$M$1000,'Rotation History'!$B$2:$B$1000,$B199,'Rotation History'!$A$2:$A$1000,"&gt;="&amp;($B$2-30),'Rotation History'!$A$2:$A$1000,"&lt;"&amp;$B$2))</f>
        <v/>
      </c>
      <c r="R199" s="43" t="str">
        <f aca="false">IF($B199="","",COUNTIFS('Rotation History'!$B$2:$B$1000,$B199,'Rotation History'!$M$2:$M$1000,"&gt;0",'Rotation History'!$A$2:$A$1000,"&gt;="&amp;($B$2-30),'Rotation History'!$A$2:$A$1000,"&lt;"&amp;$B$2))</f>
        <v/>
      </c>
      <c r="S199" s="43" t="str">
        <f aca="false">IF($B199="","",IF(COUNTIFS('Rotation History'!$B$2:$B$1000,$B199,'Rotation History'!$A$2:$A$1000,$B$2-1,'Rotation History'!$M$2:$M$1000,"&gt;0")=0,0,1+IF(COUNTIFS('Rotation History'!$B$2:$B$1000,$B199,'Rotation History'!$A$2:$A$1000,$B$2-2,'Rotation History'!$M$2:$M$1000,"&gt;0")=0,0,1+IF(COUNTIFS('Rotation History'!$B$2:$B$1000,$B199,'Rotation History'!$A$2:$A$1000,$B$2-3,'Rotation History'!$M$2:$M$1000,"&gt;0")=0,0,1+IF(COUNTIFS('Rotation History'!$B$2:$B$1000,$B199,'Rotation History'!$A$2:$A$1000,$B$2-4,'Rotation History'!$M$2:$M$1000,"&gt;0")=0,0,1)))))</f>
        <v/>
      </c>
      <c r="T199" s="43" t="str">
        <f aca="false">IF($B199="","",COUNTIFS('Rotation History'!$B$2:$B$1000,$B199,'Rotation History'!$K$2:$K$1000,"Opening",'Rotation History'!$A$2:$A$1000,"&gt;="&amp;($B$2-30),'Rotation History'!$A$2:$A$1000,"&lt;"&amp;$B$2))</f>
        <v/>
      </c>
      <c r="U199" s="43" t="str">
        <f aca="false">IF($B199="","",COUNTIFS('Rotation History'!$B$2:$B$1000,$B199,'Rotation History'!$K$2:$K$1000,"Lunch Relief",'Rotation History'!$A$2:$A$1000,"&gt;="&amp;($B$2-30),'Rotation History'!$A$2:$A$1000,"&lt;"&amp;$B$2))</f>
        <v/>
      </c>
      <c r="V199" s="44" t="str">
        <f aca="false">IF($B199="","",$Q199*10+$R199*2+$S199*20+$T199*3+$U199)</f>
        <v/>
      </c>
    </row>
    <row r="200" customFormat="false" ht="14.25" hidden="false" customHeight="true" outlineLevel="0" collapsed="false">
      <c r="A200" s="40" t="str">
        <f aca="false">IF($B200="","",$B$2)</f>
        <v/>
      </c>
      <c r="B200" s="1" t="str">
        <f aca="false">IF($B$2="","",IFERROR(INDEX('Employee Master'!$A$2:$A$159,MATCH(ROWS($B$6:B200),Lists!$P$2:$P$159,0)),""))</f>
        <v/>
      </c>
      <c r="C200" s="1" t="str">
        <f aca="false">IF($B200="","",IFERROR(INDEX('Employee Master'!$B$2:$B$159,MATCH($B200,'Employee Master'!$A$2:$A$159,0)),""))</f>
        <v/>
      </c>
      <c r="D200" s="1" t="str">
        <f aca="false">IF($B200="","",IFERROR(INDEX('Employee Master'!$C$2:$C$159,MATCH($B200,'Employee Master'!$A$2:$A$159,0)),""))</f>
        <v/>
      </c>
      <c r="E200" s="1" t="str">
        <f aca="false">IF($B200="","",IFERROR(INDEX('Employee Master'!$I$2:$I$159,MATCH($B200,'Employee Master'!$A$2:$A$159,0)),""))</f>
        <v/>
      </c>
      <c r="F200" s="29" t="str">
        <f aca="false">IF($B200="","",IFERROR(INDEX('Employee Master'!$E$2:$E$159,MATCH($B200,'Employee Master'!$A$2:$A$159,0)),""))</f>
        <v/>
      </c>
      <c r="G200" s="29" t="str">
        <f aca="false">IF($B200="","",IFERROR(INDEX('Employee Master'!$F$2:$F$159,MATCH($B200,'Employee Master'!$A$2:$A$159,0)),""))</f>
        <v/>
      </c>
      <c r="H200" s="41" t="str">
        <f aca="false">IF($B200="","","Present")</f>
        <v/>
      </c>
      <c r="I200" s="1" t="str">
        <f aca="false">IF($B200="","",IFERROR(INDEX('Employee Master'!$H$2:$H$159,MATCH($B200,'Employee Master'!$A$2:$A$159,0)),""))</f>
        <v/>
      </c>
      <c r="J200" s="29" t="str">
        <f aca="false">IF($B200="","",IFERROR(INDEX('Qualification Matrix'!$C$2:$C$168,MATCH($B200,'Qualification Matrix'!$A$2:$A$168,0)),2))</f>
        <v/>
      </c>
      <c r="K200" s="29" t="str">
        <f aca="false">IF($B200="","",IFERROR(INDEX('Qualification Matrix'!$D$2:$D$168,MATCH($B200,'Qualification Matrix'!$A$2:$A$168,0)),2))</f>
        <v/>
      </c>
      <c r="L200" s="29" t="str">
        <f aca="false">IF($B200="","",IFERROR(INDEX('Qualification Matrix'!$E$2:$E$168,MATCH($B200,'Qualification Matrix'!$A$2:$A$168,0)),2))</f>
        <v/>
      </c>
      <c r="M200" s="29" t="str">
        <f aca="false">IF($B200="","",IFERROR(INDEX('Qualification Matrix'!$F$2:$F$168,MATCH($B200,'Qualification Matrix'!$A$2:$A$168,0)),2))</f>
        <v/>
      </c>
      <c r="N200" s="29" t="str">
        <f aca="false">IF($B200="","",IF(AND($H200="Present",$F200&lt;&gt;"Y"),"Y","N"))</f>
        <v/>
      </c>
      <c r="O200" s="42"/>
      <c r="P200" s="29" t="str">
        <f aca="false">IF($B200="","",IFERROR(INDEX('Qualification Matrix'!$H$2:$H$168,MATCH($B200,'Qualification Matrix'!$A$2:$A$168,0)),""))</f>
        <v/>
      </c>
      <c r="Q200" s="43" t="str">
        <f aca="false">IF($B200="","",SUMIFS('Rotation History'!$M$2:$M$1000,'Rotation History'!$B$2:$B$1000,$B200,'Rotation History'!$A$2:$A$1000,"&gt;="&amp;($B$2-30),'Rotation History'!$A$2:$A$1000,"&lt;"&amp;$B$2))</f>
        <v/>
      </c>
      <c r="R200" s="43" t="str">
        <f aca="false">IF($B200="","",COUNTIFS('Rotation History'!$B$2:$B$1000,$B200,'Rotation History'!$M$2:$M$1000,"&gt;0",'Rotation History'!$A$2:$A$1000,"&gt;="&amp;($B$2-30),'Rotation History'!$A$2:$A$1000,"&lt;"&amp;$B$2))</f>
        <v/>
      </c>
      <c r="S200" s="43" t="str">
        <f aca="false">IF($B200="","",IF(COUNTIFS('Rotation History'!$B$2:$B$1000,$B200,'Rotation History'!$A$2:$A$1000,$B$2-1,'Rotation History'!$M$2:$M$1000,"&gt;0")=0,0,1+IF(COUNTIFS('Rotation History'!$B$2:$B$1000,$B200,'Rotation History'!$A$2:$A$1000,$B$2-2,'Rotation History'!$M$2:$M$1000,"&gt;0")=0,0,1+IF(COUNTIFS('Rotation History'!$B$2:$B$1000,$B200,'Rotation History'!$A$2:$A$1000,$B$2-3,'Rotation History'!$M$2:$M$1000,"&gt;0")=0,0,1+IF(COUNTIFS('Rotation History'!$B$2:$B$1000,$B200,'Rotation History'!$A$2:$A$1000,$B$2-4,'Rotation History'!$M$2:$M$1000,"&gt;0")=0,0,1)))))</f>
        <v/>
      </c>
      <c r="T200" s="43" t="str">
        <f aca="false">IF($B200="","",COUNTIFS('Rotation History'!$B$2:$B$1000,$B200,'Rotation History'!$K$2:$K$1000,"Opening",'Rotation History'!$A$2:$A$1000,"&gt;="&amp;($B$2-30),'Rotation History'!$A$2:$A$1000,"&lt;"&amp;$B$2))</f>
        <v/>
      </c>
      <c r="U200" s="43" t="str">
        <f aca="false">IF($B200="","",COUNTIFS('Rotation History'!$B$2:$B$1000,$B200,'Rotation History'!$K$2:$K$1000,"Lunch Relief",'Rotation History'!$A$2:$A$1000,"&gt;="&amp;($B$2-30),'Rotation History'!$A$2:$A$1000,"&lt;"&amp;$B$2))</f>
        <v/>
      </c>
      <c r="V200" s="44" t="str">
        <f aca="false">IF($B200="","",$Q200*10+$R200*2+$S200*20+$T200*3+$U200)</f>
        <v/>
      </c>
    </row>
    <row r="201" customFormat="false" ht="14.25" hidden="false" customHeight="true" outlineLevel="0" collapsed="false">
      <c r="A201" s="40" t="str">
        <f aca="false">IF($B201="","",$B$2)</f>
        <v/>
      </c>
      <c r="B201" s="1" t="str">
        <f aca="false">IF($B$2="","",IFERROR(INDEX('Employee Master'!$A$2:$A$159,MATCH(ROWS($B$6:B201),Lists!$P$2:$P$159,0)),""))</f>
        <v/>
      </c>
      <c r="C201" s="1" t="str">
        <f aca="false">IF($B201="","",IFERROR(INDEX('Employee Master'!$B$2:$B$159,MATCH($B201,'Employee Master'!$A$2:$A$159,0)),""))</f>
        <v/>
      </c>
      <c r="D201" s="1" t="str">
        <f aca="false">IF($B201="","",IFERROR(INDEX('Employee Master'!$C$2:$C$159,MATCH($B201,'Employee Master'!$A$2:$A$159,0)),""))</f>
        <v/>
      </c>
      <c r="E201" s="1" t="str">
        <f aca="false">IF($B201="","",IFERROR(INDEX('Employee Master'!$I$2:$I$159,MATCH($B201,'Employee Master'!$A$2:$A$159,0)),""))</f>
        <v/>
      </c>
      <c r="F201" s="29" t="str">
        <f aca="false">IF($B201="","",IFERROR(INDEX('Employee Master'!$E$2:$E$159,MATCH($B201,'Employee Master'!$A$2:$A$159,0)),""))</f>
        <v/>
      </c>
      <c r="G201" s="29" t="str">
        <f aca="false">IF($B201="","",IFERROR(INDEX('Employee Master'!$F$2:$F$159,MATCH($B201,'Employee Master'!$A$2:$A$159,0)),""))</f>
        <v/>
      </c>
      <c r="H201" s="41" t="str">
        <f aca="false">IF($B201="","","Present")</f>
        <v/>
      </c>
      <c r="I201" s="1" t="str">
        <f aca="false">IF($B201="","",IFERROR(INDEX('Employee Master'!$H$2:$H$159,MATCH($B201,'Employee Master'!$A$2:$A$159,0)),""))</f>
        <v/>
      </c>
      <c r="J201" s="29" t="str">
        <f aca="false">IF($B201="","",IFERROR(INDEX('Qualification Matrix'!$C$2:$C$168,MATCH($B201,'Qualification Matrix'!$A$2:$A$168,0)),2))</f>
        <v/>
      </c>
      <c r="K201" s="29" t="str">
        <f aca="false">IF($B201="","",IFERROR(INDEX('Qualification Matrix'!$D$2:$D$168,MATCH($B201,'Qualification Matrix'!$A$2:$A$168,0)),2))</f>
        <v/>
      </c>
      <c r="L201" s="29" t="str">
        <f aca="false">IF($B201="","",IFERROR(INDEX('Qualification Matrix'!$E$2:$E$168,MATCH($B201,'Qualification Matrix'!$A$2:$A$168,0)),2))</f>
        <v/>
      </c>
      <c r="M201" s="29" t="str">
        <f aca="false">IF($B201="","",IFERROR(INDEX('Qualification Matrix'!$F$2:$F$168,MATCH($B201,'Qualification Matrix'!$A$2:$A$168,0)),2))</f>
        <v/>
      </c>
      <c r="N201" s="29" t="str">
        <f aca="false">IF($B201="","",IF(AND($H201="Present",$F201&lt;&gt;"Y"),"Y","N"))</f>
        <v/>
      </c>
      <c r="O201" s="42"/>
      <c r="P201" s="29" t="str">
        <f aca="false">IF($B201="","",IFERROR(INDEX('Qualification Matrix'!$H$2:$H$168,MATCH($B201,'Qualification Matrix'!$A$2:$A$168,0)),""))</f>
        <v/>
      </c>
      <c r="Q201" s="43" t="str">
        <f aca="false">IF($B201="","",SUMIFS('Rotation History'!$M$2:$M$1000,'Rotation History'!$B$2:$B$1000,$B201,'Rotation History'!$A$2:$A$1000,"&gt;="&amp;($B$2-30),'Rotation History'!$A$2:$A$1000,"&lt;"&amp;$B$2))</f>
        <v/>
      </c>
      <c r="R201" s="43" t="str">
        <f aca="false">IF($B201="","",COUNTIFS('Rotation History'!$B$2:$B$1000,$B201,'Rotation History'!$M$2:$M$1000,"&gt;0",'Rotation History'!$A$2:$A$1000,"&gt;="&amp;($B$2-30),'Rotation History'!$A$2:$A$1000,"&lt;"&amp;$B$2))</f>
        <v/>
      </c>
      <c r="S201" s="43" t="str">
        <f aca="false">IF($B201="","",IF(COUNTIFS('Rotation History'!$B$2:$B$1000,$B201,'Rotation History'!$A$2:$A$1000,$B$2-1,'Rotation History'!$M$2:$M$1000,"&gt;0")=0,0,1+IF(COUNTIFS('Rotation History'!$B$2:$B$1000,$B201,'Rotation History'!$A$2:$A$1000,$B$2-2,'Rotation History'!$M$2:$M$1000,"&gt;0")=0,0,1+IF(COUNTIFS('Rotation History'!$B$2:$B$1000,$B201,'Rotation History'!$A$2:$A$1000,$B$2-3,'Rotation History'!$M$2:$M$1000,"&gt;0")=0,0,1+IF(COUNTIFS('Rotation History'!$B$2:$B$1000,$B201,'Rotation History'!$A$2:$A$1000,$B$2-4,'Rotation History'!$M$2:$M$1000,"&gt;0")=0,0,1)))))</f>
        <v/>
      </c>
      <c r="T201" s="43" t="str">
        <f aca="false">IF($B201="","",COUNTIFS('Rotation History'!$B$2:$B$1000,$B201,'Rotation History'!$K$2:$K$1000,"Opening",'Rotation History'!$A$2:$A$1000,"&gt;="&amp;($B$2-30),'Rotation History'!$A$2:$A$1000,"&lt;"&amp;$B$2))</f>
        <v/>
      </c>
      <c r="U201" s="43" t="str">
        <f aca="false">IF($B201="","",COUNTIFS('Rotation History'!$B$2:$B$1000,$B201,'Rotation History'!$K$2:$K$1000,"Lunch Relief",'Rotation History'!$A$2:$A$1000,"&gt;="&amp;($B$2-30),'Rotation History'!$A$2:$A$1000,"&lt;"&amp;$B$2))</f>
        <v/>
      </c>
      <c r="V201" s="44" t="str">
        <f aca="false">IF($B201="","",$Q201*10+$R201*2+$S201*20+$T201*3+$U201)</f>
        <v/>
      </c>
    </row>
    <row r="202" customFormat="false" ht="14.25" hidden="false" customHeight="true" outlineLevel="0" collapsed="false">
      <c r="A202" s="40" t="str">
        <f aca="false">IF($B202="","",$B$2)</f>
        <v/>
      </c>
      <c r="B202" s="1" t="str">
        <f aca="false">IF($B$2="","",IFERROR(INDEX('Employee Master'!$A$2:$A$159,MATCH(ROWS($B$6:B202),Lists!$P$2:$P$159,0)),""))</f>
        <v/>
      </c>
      <c r="C202" s="1" t="str">
        <f aca="false">IF($B202="","",IFERROR(INDEX('Employee Master'!$B$2:$B$159,MATCH($B202,'Employee Master'!$A$2:$A$159,0)),""))</f>
        <v/>
      </c>
      <c r="D202" s="1" t="str">
        <f aca="false">IF($B202="","",IFERROR(INDEX('Employee Master'!$C$2:$C$159,MATCH($B202,'Employee Master'!$A$2:$A$159,0)),""))</f>
        <v/>
      </c>
      <c r="E202" s="1" t="str">
        <f aca="false">IF($B202="","",IFERROR(INDEX('Employee Master'!$I$2:$I$159,MATCH($B202,'Employee Master'!$A$2:$A$159,0)),""))</f>
        <v/>
      </c>
      <c r="F202" s="29" t="str">
        <f aca="false">IF($B202="","",IFERROR(INDEX('Employee Master'!$E$2:$E$159,MATCH($B202,'Employee Master'!$A$2:$A$159,0)),""))</f>
        <v/>
      </c>
      <c r="G202" s="29" t="str">
        <f aca="false">IF($B202="","",IFERROR(INDEX('Employee Master'!$F$2:$F$159,MATCH($B202,'Employee Master'!$A$2:$A$159,0)),""))</f>
        <v/>
      </c>
      <c r="H202" s="41" t="str">
        <f aca="false">IF($B202="","","Present")</f>
        <v/>
      </c>
      <c r="I202" s="1" t="str">
        <f aca="false">IF($B202="","",IFERROR(INDEX('Employee Master'!$H$2:$H$159,MATCH($B202,'Employee Master'!$A$2:$A$159,0)),""))</f>
        <v/>
      </c>
      <c r="J202" s="29" t="str">
        <f aca="false">IF($B202="","",IFERROR(INDEX('Qualification Matrix'!$C$2:$C$168,MATCH($B202,'Qualification Matrix'!$A$2:$A$168,0)),2))</f>
        <v/>
      </c>
      <c r="K202" s="29" t="str">
        <f aca="false">IF($B202="","",IFERROR(INDEX('Qualification Matrix'!$D$2:$D$168,MATCH($B202,'Qualification Matrix'!$A$2:$A$168,0)),2))</f>
        <v/>
      </c>
      <c r="L202" s="29" t="str">
        <f aca="false">IF($B202="","",IFERROR(INDEX('Qualification Matrix'!$E$2:$E$168,MATCH($B202,'Qualification Matrix'!$A$2:$A$168,0)),2))</f>
        <v/>
      </c>
      <c r="M202" s="29" t="str">
        <f aca="false">IF($B202="","",IFERROR(INDEX('Qualification Matrix'!$F$2:$F$168,MATCH($B202,'Qualification Matrix'!$A$2:$A$168,0)),2))</f>
        <v/>
      </c>
      <c r="N202" s="29" t="str">
        <f aca="false">IF($B202="","",IF(AND($H202="Present",$F202&lt;&gt;"Y"),"Y","N"))</f>
        <v/>
      </c>
      <c r="O202" s="42"/>
      <c r="P202" s="29" t="str">
        <f aca="false">IF($B202="","",IFERROR(INDEX('Qualification Matrix'!$H$2:$H$168,MATCH($B202,'Qualification Matrix'!$A$2:$A$168,0)),""))</f>
        <v/>
      </c>
      <c r="Q202" s="43" t="str">
        <f aca="false">IF($B202="","",SUMIFS('Rotation History'!$M$2:$M$1000,'Rotation History'!$B$2:$B$1000,$B202,'Rotation History'!$A$2:$A$1000,"&gt;="&amp;($B$2-30),'Rotation History'!$A$2:$A$1000,"&lt;"&amp;$B$2))</f>
        <v/>
      </c>
      <c r="R202" s="43" t="str">
        <f aca="false">IF($B202="","",COUNTIFS('Rotation History'!$B$2:$B$1000,$B202,'Rotation History'!$M$2:$M$1000,"&gt;0",'Rotation History'!$A$2:$A$1000,"&gt;="&amp;($B$2-30),'Rotation History'!$A$2:$A$1000,"&lt;"&amp;$B$2))</f>
        <v/>
      </c>
      <c r="S202" s="43" t="str">
        <f aca="false">IF($B202="","",IF(COUNTIFS('Rotation History'!$B$2:$B$1000,$B202,'Rotation History'!$A$2:$A$1000,$B$2-1,'Rotation History'!$M$2:$M$1000,"&gt;0")=0,0,1+IF(COUNTIFS('Rotation History'!$B$2:$B$1000,$B202,'Rotation History'!$A$2:$A$1000,$B$2-2,'Rotation History'!$M$2:$M$1000,"&gt;0")=0,0,1+IF(COUNTIFS('Rotation History'!$B$2:$B$1000,$B202,'Rotation History'!$A$2:$A$1000,$B$2-3,'Rotation History'!$M$2:$M$1000,"&gt;0")=0,0,1+IF(COUNTIFS('Rotation History'!$B$2:$B$1000,$B202,'Rotation History'!$A$2:$A$1000,$B$2-4,'Rotation History'!$M$2:$M$1000,"&gt;0")=0,0,1)))))</f>
        <v/>
      </c>
      <c r="T202" s="43" t="str">
        <f aca="false">IF($B202="","",COUNTIFS('Rotation History'!$B$2:$B$1000,$B202,'Rotation History'!$K$2:$K$1000,"Opening",'Rotation History'!$A$2:$A$1000,"&gt;="&amp;($B$2-30),'Rotation History'!$A$2:$A$1000,"&lt;"&amp;$B$2))</f>
        <v/>
      </c>
      <c r="U202" s="43" t="str">
        <f aca="false">IF($B202="","",COUNTIFS('Rotation History'!$B$2:$B$1000,$B202,'Rotation History'!$K$2:$K$1000,"Lunch Relief",'Rotation History'!$A$2:$A$1000,"&gt;="&amp;($B$2-30),'Rotation History'!$A$2:$A$1000,"&lt;"&amp;$B$2))</f>
        <v/>
      </c>
      <c r="V202" s="44" t="str">
        <f aca="false">IF($B202="","",$Q202*10+$R202*2+$S202*20+$T202*3+$U202)</f>
        <v/>
      </c>
    </row>
    <row r="203" customFormat="false" ht="14.25" hidden="false" customHeight="true" outlineLevel="0" collapsed="false">
      <c r="A203" s="40" t="str">
        <f aca="false">IF($B203="","",$B$2)</f>
        <v/>
      </c>
      <c r="B203" s="1" t="str">
        <f aca="false">IF($B$2="","",IFERROR(INDEX('Employee Master'!$A$2:$A$159,MATCH(ROWS($B$6:B203),Lists!$P$2:$P$159,0)),""))</f>
        <v/>
      </c>
      <c r="C203" s="1" t="str">
        <f aca="false">IF($B203="","",IFERROR(INDEX('Employee Master'!$B$2:$B$159,MATCH($B203,'Employee Master'!$A$2:$A$159,0)),""))</f>
        <v/>
      </c>
      <c r="D203" s="1" t="str">
        <f aca="false">IF($B203="","",IFERROR(INDEX('Employee Master'!$C$2:$C$159,MATCH($B203,'Employee Master'!$A$2:$A$159,0)),""))</f>
        <v/>
      </c>
      <c r="E203" s="1" t="str">
        <f aca="false">IF($B203="","",IFERROR(INDEX('Employee Master'!$I$2:$I$159,MATCH($B203,'Employee Master'!$A$2:$A$159,0)),""))</f>
        <v/>
      </c>
      <c r="F203" s="29" t="str">
        <f aca="false">IF($B203="","",IFERROR(INDEX('Employee Master'!$E$2:$E$159,MATCH($B203,'Employee Master'!$A$2:$A$159,0)),""))</f>
        <v/>
      </c>
      <c r="G203" s="29" t="str">
        <f aca="false">IF($B203="","",IFERROR(INDEX('Employee Master'!$F$2:$F$159,MATCH($B203,'Employee Master'!$A$2:$A$159,0)),""))</f>
        <v/>
      </c>
      <c r="H203" s="41" t="str">
        <f aca="false">IF($B203="","","Present")</f>
        <v/>
      </c>
      <c r="I203" s="1" t="str">
        <f aca="false">IF($B203="","",IFERROR(INDEX('Employee Master'!$H$2:$H$159,MATCH($B203,'Employee Master'!$A$2:$A$159,0)),""))</f>
        <v/>
      </c>
      <c r="J203" s="29" t="str">
        <f aca="false">IF($B203="","",IFERROR(INDEX('Qualification Matrix'!$C$2:$C$168,MATCH($B203,'Qualification Matrix'!$A$2:$A$168,0)),2))</f>
        <v/>
      </c>
      <c r="K203" s="29" t="str">
        <f aca="false">IF($B203="","",IFERROR(INDEX('Qualification Matrix'!$D$2:$D$168,MATCH($B203,'Qualification Matrix'!$A$2:$A$168,0)),2))</f>
        <v/>
      </c>
      <c r="L203" s="29" t="str">
        <f aca="false">IF($B203="","",IFERROR(INDEX('Qualification Matrix'!$E$2:$E$168,MATCH($B203,'Qualification Matrix'!$A$2:$A$168,0)),2))</f>
        <v/>
      </c>
      <c r="M203" s="29" t="str">
        <f aca="false">IF($B203="","",IFERROR(INDEX('Qualification Matrix'!$F$2:$F$168,MATCH($B203,'Qualification Matrix'!$A$2:$A$168,0)),2))</f>
        <v/>
      </c>
      <c r="N203" s="29" t="str">
        <f aca="false">IF($B203="","",IF(AND($H203="Present",$F203&lt;&gt;"Y"),"Y","N"))</f>
        <v/>
      </c>
      <c r="O203" s="42"/>
      <c r="P203" s="29" t="str">
        <f aca="false">IF($B203="","",IFERROR(INDEX('Qualification Matrix'!$H$2:$H$168,MATCH($B203,'Qualification Matrix'!$A$2:$A$168,0)),""))</f>
        <v/>
      </c>
      <c r="Q203" s="43" t="str">
        <f aca="false">IF($B203="","",SUMIFS('Rotation History'!$M$2:$M$1000,'Rotation History'!$B$2:$B$1000,$B203,'Rotation History'!$A$2:$A$1000,"&gt;="&amp;($B$2-30),'Rotation History'!$A$2:$A$1000,"&lt;"&amp;$B$2))</f>
        <v/>
      </c>
      <c r="R203" s="43" t="str">
        <f aca="false">IF($B203="","",COUNTIFS('Rotation History'!$B$2:$B$1000,$B203,'Rotation History'!$M$2:$M$1000,"&gt;0",'Rotation History'!$A$2:$A$1000,"&gt;="&amp;($B$2-30),'Rotation History'!$A$2:$A$1000,"&lt;"&amp;$B$2))</f>
        <v/>
      </c>
      <c r="S203" s="43" t="str">
        <f aca="false">IF($B203="","",IF(COUNTIFS('Rotation History'!$B$2:$B$1000,$B203,'Rotation History'!$A$2:$A$1000,$B$2-1,'Rotation History'!$M$2:$M$1000,"&gt;0")=0,0,1+IF(COUNTIFS('Rotation History'!$B$2:$B$1000,$B203,'Rotation History'!$A$2:$A$1000,$B$2-2,'Rotation History'!$M$2:$M$1000,"&gt;0")=0,0,1+IF(COUNTIFS('Rotation History'!$B$2:$B$1000,$B203,'Rotation History'!$A$2:$A$1000,$B$2-3,'Rotation History'!$M$2:$M$1000,"&gt;0")=0,0,1+IF(COUNTIFS('Rotation History'!$B$2:$B$1000,$B203,'Rotation History'!$A$2:$A$1000,$B$2-4,'Rotation History'!$M$2:$M$1000,"&gt;0")=0,0,1)))))</f>
        <v/>
      </c>
      <c r="T203" s="43" t="str">
        <f aca="false">IF($B203="","",COUNTIFS('Rotation History'!$B$2:$B$1000,$B203,'Rotation History'!$K$2:$K$1000,"Opening",'Rotation History'!$A$2:$A$1000,"&gt;="&amp;($B$2-30),'Rotation History'!$A$2:$A$1000,"&lt;"&amp;$B$2))</f>
        <v/>
      </c>
      <c r="U203" s="43" t="str">
        <f aca="false">IF($B203="","",COUNTIFS('Rotation History'!$B$2:$B$1000,$B203,'Rotation History'!$K$2:$K$1000,"Lunch Relief",'Rotation History'!$A$2:$A$1000,"&gt;="&amp;($B$2-30),'Rotation History'!$A$2:$A$1000,"&lt;"&amp;$B$2))</f>
        <v/>
      </c>
      <c r="V203" s="44" t="str">
        <f aca="false">IF($B203="","",$Q203*10+$R203*2+$S203*20+$T203*3+$U203)</f>
        <v/>
      </c>
    </row>
    <row r="204" customFormat="false" ht="14.25" hidden="false" customHeight="true" outlineLevel="0" collapsed="false">
      <c r="A204" s="40" t="str">
        <f aca="false">IF($B204="","",$B$2)</f>
        <v/>
      </c>
      <c r="B204" s="1" t="str">
        <f aca="false">IF($B$2="","",IFERROR(INDEX('Employee Master'!$A$2:$A$159,MATCH(ROWS($B$6:B204),Lists!$P$2:$P$159,0)),""))</f>
        <v/>
      </c>
      <c r="C204" s="1" t="str">
        <f aca="false">IF($B204="","",IFERROR(INDEX('Employee Master'!$B$2:$B$159,MATCH($B204,'Employee Master'!$A$2:$A$159,0)),""))</f>
        <v/>
      </c>
      <c r="D204" s="1" t="str">
        <f aca="false">IF($B204="","",IFERROR(INDEX('Employee Master'!$C$2:$C$159,MATCH($B204,'Employee Master'!$A$2:$A$159,0)),""))</f>
        <v/>
      </c>
      <c r="E204" s="1" t="str">
        <f aca="false">IF($B204="","",IFERROR(INDEX('Employee Master'!$I$2:$I$159,MATCH($B204,'Employee Master'!$A$2:$A$159,0)),""))</f>
        <v/>
      </c>
      <c r="F204" s="29" t="str">
        <f aca="false">IF($B204="","",IFERROR(INDEX('Employee Master'!$E$2:$E$159,MATCH($B204,'Employee Master'!$A$2:$A$159,0)),""))</f>
        <v/>
      </c>
      <c r="G204" s="29" t="str">
        <f aca="false">IF($B204="","",IFERROR(INDEX('Employee Master'!$F$2:$F$159,MATCH($B204,'Employee Master'!$A$2:$A$159,0)),""))</f>
        <v/>
      </c>
      <c r="H204" s="41" t="str">
        <f aca="false">IF($B204="","","Present")</f>
        <v/>
      </c>
      <c r="I204" s="1" t="str">
        <f aca="false">IF($B204="","",IFERROR(INDEX('Employee Master'!$H$2:$H$159,MATCH($B204,'Employee Master'!$A$2:$A$159,0)),""))</f>
        <v/>
      </c>
      <c r="J204" s="29" t="str">
        <f aca="false">IF($B204="","",IFERROR(INDEX('Qualification Matrix'!$C$2:$C$168,MATCH($B204,'Qualification Matrix'!$A$2:$A$168,0)),2))</f>
        <v/>
      </c>
      <c r="K204" s="29" t="str">
        <f aca="false">IF($B204="","",IFERROR(INDEX('Qualification Matrix'!$D$2:$D$168,MATCH($B204,'Qualification Matrix'!$A$2:$A$168,0)),2))</f>
        <v/>
      </c>
      <c r="L204" s="29" t="str">
        <f aca="false">IF($B204="","",IFERROR(INDEX('Qualification Matrix'!$E$2:$E$168,MATCH($B204,'Qualification Matrix'!$A$2:$A$168,0)),2))</f>
        <v/>
      </c>
      <c r="M204" s="29" t="str">
        <f aca="false">IF($B204="","",IFERROR(INDEX('Qualification Matrix'!$F$2:$F$168,MATCH($B204,'Qualification Matrix'!$A$2:$A$168,0)),2))</f>
        <v/>
      </c>
      <c r="N204" s="29" t="str">
        <f aca="false">IF($B204="","",IF(AND($H204="Present",$F204&lt;&gt;"Y"),"Y","N"))</f>
        <v/>
      </c>
      <c r="O204" s="42"/>
      <c r="P204" s="29" t="str">
        <f aca="false">IF($B204="","",IFERROR(INDEX('Qualification Matrix'!$H$2:$H$168,MATCH($B204,'Qualification Matrix'!$A$2:$A$168,0)),""))</f>
        <v/>
      </c>
      <c r="Q204" s="43" t="str">
        <f aca="false">IF($B204="","",SUMIFS('Rotation History'!$M$2:$M$1000,'Rotation History'!$B$2:$B$1000,$B204,'Rotation History'!$A$2:$A$1000,"&gt;="&amp;($B$2-30),'Rotation History'!$A$2:$A$1000,"&lt;"&amp;$B$2))</f>
        <v/>
      </c>
      <c r="R204" s="43" t="str">
        <f aca="false">IF($B204="","",COUNTIFS('Rotation History'!$B$2:$B$1000,$B204,'Rotation History'!$M$2:$M$1000,"&gt;0",'Rotation History'!$A$2:$A$1000,"&gt;="&amp;($B$2-30),'Rotation History'!$A$2:$A$1000,"&lt;"&amp;$B$2))</f>
        <v/>
      </c>
      <c r="S204" s="43" t="str">
        <f aca="false">IF($B204="","",IF(COUNTIFS('Rotation History'!$B$2:$B$1000,$B204,'Rotation History'!$A$2:$A$1000,$B$2-1,'Rotation History'!$M$2:$M$1000,"&gt;0")=0,0,1+IF(COUNTIFS('Rotation History'!$B$2:$B$1000,$B204,'Rotation History'!$A$2:$A$1000,$B$2-2,'Rotation History'!$M$2:$M$1000,"&gt;0")=0,0,1+IF(COUNTIFS('Rotation History'!$B$2:$B$1000,$B204,'Rotation History'!$A$2:$A$1000,$B$2-3,'Rotation History'!$M$2:$M$1000,"&gt;0")=0,0,1+IF(COUNTIFS('Rotation History'!$B$2:$B$1000,$B204,'Rotation History'!$A$2:$A$1000,$B$2-4,'Rotation History'!$M$2:$M$1000,"&gt;0")=0,0,1)))))</f>
        <v/>
      </c>
      <c r="T204" s="43" t="str">
        <f aca="false">IF($B204="","",COUNTIFS('Rotation History'!$B$2:$B$1000,$B204,'Rotation History'!$K$2:$K$1000,"Opening",'Rotation History'!$A$2:$A$1000,"&gt;="&amp;($B$2-30),'Rotation History'!$A$2:$A$1000,"&lt;"&amp;$B$2))</f>
        <v/>
      </c>
      <c r="U204" s="43" t="str">
        <f aca="false">IF($B204="","",COUNTIFS('Rotation History'!$B$2:$B$1000,$B204,'Rotation History'!$K$2:$K$1000,"Lunch Relief",'Rotation History'!$A$2:$A$1000,"&gt;="&amp;($B$2-30),'Rotation History'!$A$2:$A$1000,"&lt;"&amp;$B$2))</f>
        <v/>
      </c>
      <c r="V204" s="44" t="str">
        <f aca="false">IF($B204="","",$Q204*10+$R204*2+$S204*20+$T204*3+$U204)</f>
        <v/>
      </c>
    </row>
    <row r="205" customFormat="false" ht="14.25" hidden="false" customHeight="true" outlineLevel="0" collapsed="false">
      <c r="A205" s="40" t="str">
        <f aca="false">IF($B205="","",$B$2)</f>
        <v/>
      </c>
      <c r="B205" s="1" t="str">
        <f aca="false">IF($B$2="","",IFERROR(INDEX('Employee Master'!$A$2:$A$159,MATCH(ROWS($B$6:B205),Lists!$P$2:$P$159,0)),""))</f>
        <v/>
      </c>
      <c r="C205" s="1" t="str">
        <f aca="false">IF($B205="","",IFERROR(INDEX('Employee Master'!$B$2:$B$159,MATCH($B205,'Employee Master'!$A$2:$A$159,0)),""))</f>
        <v/>
      </c>
      <c r="D205" s="1" t="str">
        <f aca="false">IF($B205="","",IFERROR(INDEX('Employee Master'!$C$2:$C$159,MATCH($B205,'Employee Master'!$A$2:$A$159,0)),""))</f>
        <v/>
      </c>
      <c r="E205" s="1" t="str">
        <f aca="false">IF($B205="","",IFERROR(INDEX('Employee Master'!$I$2:$I$159,MATCH($B205,'Employee Master'!$A$2:$A$159,0)),""))</f>
        <v/>
      </c>
      <c r="F205" s="29" t="str">
        <f aca="false">IF($B205="","",IFERROR(INDEX('Employee Master'!$E$2:$E$159,MATCH($B205,'Employee Master'!$A$2:$A$159,0)),""))</f>
        <v/>
      </c>
      <c r="G205" s="29" t="str">
        <f aca="false">IF($B205="","",IFERROR(INDEX('Employee Master'!$F$2:$F$159,MATCH($B205,'Employee Master'!$A$2:$A$159,0)),""))</f>
        <v/>
      </c>
      <c r="H205" s="41" t="str">
        <f aca="false">IF($B205="","","Present")</f>
        <v/>
      </c>
      <c r="I205" s="1" t="str">
        <f aca="false">IF($B205="","",IFERROR(INDEX('Employee Master'!$H$2:$H$159,MATCH($B205,'Employee Master'!$A$2:$A$159,0)),""))</f>
        <v/>
      </c>
      <c r="J205" s="29" t="str">
        <f aca="false">IF($B205="","",IFERROR(INDEX('Qualification Matrix'!$C$2:$C$168,MATCH($B205,'Qualification Matrix'!$A$2:$A$168,0)),2))</f>
        <v/>
      </c>
      <c r="K205" s="29" t="str">
        <f aca="false">IF($B205="","",IFERROR(INDEX('Qualification Matrix'!$D$2:$D$168,MATCH($B205,'Qualification Matrix'!$A$2:$A$168,0)),2))</f>
        <v/>
      </c>
      <c r="L205" s="29" t="str">
        <f aca="false">IF($B205="","",IFERROR(INDEX('Qualification Matrix'!$E$2:$E$168,MATCH($B205,'Qualification Matrix'!$A$2:$A$168,0)),2))</f>
        <v/>
      </c>
      <c r="M205" s="29" t="str">
        <f aca="false">IF($B205="","",IFERROR(INDEX('Qualification Matrix'!$F$2:$F$168,MATCH($B205,'Qualification Matrix'!$A$2:$A$168,0)),2))</f>
        <v/>
      </c>
      <c r="N205" s="29" t="str">
        <f aca="false">IF($B205="","",IF(AND($H205="Present",$F205&lt;&gt;"Y"),"Y","N"))</f>
        <v/>
      </c>
      <c r="O205" s="42"/>
      <c r="P205" s="29" t="str">
        <f aca="false">IF($B205="","",IFERROR(INDEX('Qualification Matrix'!$H$2:$H$168,MATCH($B205,'Qualification Matrix'!$A$2:$A$168,0)),""))</f>
        <v/>
      </c>
      <c r="Q205" s="43" t="str">
        <f aca="false">IF($B205="","",SUMIFS('Rotation History'!$M$2:$M$1000,'Rotation History'!$B$2:$B$1000,$B205,'Rotation History'!$A$2:$A$1000,"&gt;="&amp;($B$2-30),'Rotation History'!$A$2:$A$1000,"&lt;"&amp;$B$2))</f>
        <v/>
      </c>
      <c r="R205" s="43" t="str">
        <f aca="false">IF($B205="","",COUNTIFS('Rotation History'!$B$2:$B$1000,$B205,'Rotation History'!$M$2:$M$1000,"&gt;0",'Rotation History'!$A$2:$A$1000,"&gt;="&amp;($B$2-30),'Rotation History'!$A$2:$A$1000,"&lt;"&amp;$B$2))</f>
        <v/>
      </c>
      <c r="S205" s="43" t="str">
        <f aca="false">IF($B205="","",IF(COUNTIFS('Rotation History'!$B$2:$B$1000,$B205,'Rotation History'!$A$2:$A$1000,$B$2-1,'Rotation History'!$M$2:$M$1000,"&gt;0")=0,0,1+IF(COUNTIFS('Rotation History'!$B$2:$B$1000,$B205,'Rotation History'!$A$2:$A$1000,$B$2-2,'Rotation History'!$M$2:$M$1000,"&gt;0")=0,0,1+IF(COUNTIFS('Rotation History'!$B$2:$B$1000,$B205,'Rotation History'!$A$2:$A$1000,$B$2-3,'Rotation History'!$M$2:$M$1000,"&gt;0")=0,0,1+IF(COUNTIFS('Rotation History'!$B$2:$B$1000,$B205,'Rotation History'!$A$2:$A$1000,$B$2-4,'Rotation History'!$M$2:$M$1000,"&gt;0")=0,0,1)))))</f>
        <v/>
      </c>
      <c r="T205" s="43" t="str">
        <f aca="false">IF($B205="","",COUNTIFS('Rotation History'!$B$2:$B$1000,$B205,'Rotation History'!$K$2:$K$1000,"Opening",'Rotation History'!$A$2:$A$1000,"&gt;="&amp;($B$2-30),'Rotation History'!$A$2:$A$1000,"&lt;"&amp;$B$2))</f>
        <v/>
      </c>
      <c r="U205" s="43" t="str">
        <f aca="false">IF($B205="","",COUNTIFS('Rotation History'!$B$2:$B$1000,$B205,'Rotation History'!$K$2:$K$1000,"Lunch Relief",'Rotation History'!$A$2:$A$1000,"&gt;="&amp;($B$2-30),'Rotation History'!$A$2:$A$1000,"&lt;"&amp;$B$2))</f>
        <v/>
      </c>
      <c r="V205" s="44" t="str">
        <f aca="false">IF($B205="","",$Q205*10+$R205*2+$S205*20+$T205*3+$U205)</f>
        <v/>
      </c>
    </row>
  </sheetData>
  <mergeCells count="2">
    <mergeCell ref="A1:P1"/>
    <mergeCell ref="A3:O3"/>
  </mergeCells>
  <conditionalFormatting sqref="H6:H205">
    <cfRule type="expression" priority="2" aboveAverage="0" equalAverage="0" bottom="0" percent="0" rank="0" text="" dxfId="8">
      <formula>$H6="Present"</formula>
    </cfRule>
    <cfRule type="expression" priority="3" aboveAverage="0" equalAverage="0" bottom="0" percent="0" rank="0" text="" dxfId="9">
      <formula>OR($H6="Called Out",$H6="PTO",$H6="Excused")</formula>
    </cfRule>
  </conditionalFormatting>
  <conditionalFormatting sqref="N6:N205">
    <cfRule type="expression" priority="4" aboveAverage="0" equalAverage="0" bottom="0" percent="0" rank="0" text="" dxfId="10">
      <formula>$N6="N"</formula>
    </cfRule>
  </conditionalFormatting>
  <dataValidations count="2">
    <dataValidation allowBlank="false" error="Select AM, PM, Overnight, or leave blank for the full day." errorStyle="stop" errorTitle="Invalid shift group" operator="between" showDropDown="false" showErrorMessage="true" showInputMessage="false" sqref="E2" type="list">
      <formula1>ShiftGroupList</formula1>
      <formula2>0</formula2>
    </dataValidation>
    <dataValidation allowBlank="false" error="Select Present, Called Out, PTO, or Excused." errorStyle="stop" errorTitle="Invalid attendance status" operator="between" showDropDown="false" showErrorMessage="true" showInputMessage="false" sqref="H6:H205" type="list">
      <formula1>WorkforceStatusList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11"/>
    <col collapsed="false" customWidth="true" hidden="false" outlineLevel="0" max="2" min="2" style="1" width="28"/>
    <col collapsed="false" customWidth="true" hidden="false" outlineLevel="0" max="3" min="3" style="1" width="30"/>
    <col collapsed="false" customWidth="true" hidden="false" outlineLevel="0" max="4" min="4" style="1" width="10"/>
    <col collapsed="false" customWidth="true" hidden="false" outlineLevel="0" max="5" min="5" style="1" width="25"/>
    <col collapsed="false" customWidth="true" hidden="false" outlineLevel="0" max="6" min="6" style="1" width="13"/>
    <col collapsed="false" customWidth="true" hidden="false" outlineLevel="0" max="7" min="7" style="1" width="24"/>
    <col collapsed="false" customWidth="true" hidden="false" outlineLevel="0" max="10" min="8" style="1" width="12"/>
    <col collapsed="false" customWidth="true" hidden="false" outlineLevel="0" max="11" min="11" style="1" width="16"/>
    <col collapsed="false" customWidth="true" hidden="false" outlineLevel="0" max="12" min="12" style="1" width="23"/>
    <col collapsed="false" customWidth="true" hidden="false" outlineLevel="0" max="13" min="13" style="1" width="14"/>
    <col collapsed="false" customWidth="true" hidden="false" outlineLevel="0" max="14" min="14" style="1" width="15"/>
    <col collapsed="false" customWidth="true" hidden="false" outlineLevel="0" max="15" min="15" style="1" width="12"/>
    <col collapsed="false" customWidth="true" hidden="false" outlineLevel="0" max="16" min="16" style="1" width="20"/>
    <col collapsed="false" customWidth="true" hidden="false" outlineLevel="0" max="18" min="17" style="1" width="18"/>
    <col collapsed="false" customWidth="true" hidden="false" outlineLevel="0" max="19" min="19" style="1" width="24"/>
  </cols>
  <sheetData>
    <row r="1" customFormat="false" ht="25.5" hidden="false" customHeight="true" outlineLevel="0" collapsed="false">
      <c r="A1" s="45" t="s">
        <v>522</v>
      </c>
      <c r="B1" s="45"/>
      <c r="C1" s="45"/>
      <c r="D1" s="45"/>
      <c r="E1" s="45"/>
      <c r="F1" s="45"/>
      <c r="G1" s="45"/>
      <c r="H1" s="45"/>
      <c r="I1" s="45"/>
      <c r="J1" s="45"/>
      <c r="K1" s="45"/>
      <c r="L1" s="45"/>
      <c r="M1" s="45"/>
      <c r="N1" s="45"/>
      <c r="O1" s="45"/>
      <c r="P1" s="45"/>
      <c r="Q1" s="45"/>
      <c r="R1" s="45"/>
      <c r="S1" s="45"/>
    </row>
    <row r="2" customFormat="false" ht="14.25" hidden="false" customHeight="true" outlineLevel="0" collapsed="false">
      <c r="A2" s="46" t="s">
        <v>508</v>
      </c>
      <c r="B2" s="47" t="n">
        <f aca="false">'Daily Workforce'!$B$2</f>
        <v>46231</v>
      </c>
      <c r="C2" s="46"/>
      <c r="D2" s="46" t="s">
        <v>70</v>
      </c>
      <c r="E2" s="48" t="str">
        <f aca="false">IF('Daily Workforce'!$E$2="","Full Day",'Daily Workforce'!$E$2)</f>
        <v>Full Day</v>
      </c>
      <c r="F2" s="46"/>
      <c r="G2" s="46" t="s">
        <v>523</v>
      </c>
      <c r="H2" s="48" t="n">
        <f aca="false">'Daily Workforce'!$N$2</f>
        <v>103</v>
      </c>
      <c r="I2" s="46"/>
      <c r="J2" s="46" t="s">
        <v>524</v>
      </c>
      <c r="K2" s="48" t="n">
        <f aca="false">COUNTIF($M$6:$M$57,"FILLED")</f>
        <v>49</v>
      </c>
      <c r="L2" s="46"/>
      <c r="M2" s="46" t="s">
        <v>525</v>
      </c>
      <c r="N2" s="48" t="n">
        <f aca="false">COUNTIF($M$6:$M$57,"UNFILLED")</f>
        <v>3</v>
      </c>
      <c r="O2" s="46"/>
      <c r="P2" s="46" t="s">
        <v>526</v>
      </c>
      <c r="Q2" s="46" t="n">
        <f aca="false">COUNTIF($M$6:$M$57,"FILLED")</f>
        <v>49</v>
      </c>
      <c r="R2" s="46" t="s">
        <v>527</v>
      </c>
      <c r="S2" s="46" t="n">
        <f aca="false">COUNTIF($R$6:$R$57,"OPENING GAP")</f>
        <v>4</v>
      </c>
    </row>
    <row r="3" customFormat="false" ht="54" hidden="false" customHeight="true" outlineLevel="0" collapsed="false">
      <c r="A3" s="49" t="s">
        <v>528</v>
      </c>
      <c r="B3" s="49"/>
      <c r="C3" s="49"/>
      <c r="D3" s="49"/>
      <c r="E3" s="49"/>
      <c r="F3" s="49"/>
      <c r="G3" s="49"/>
      <c r="H3" s="49"/>
      <c r="I3" s="49"/>
      <c r="J3" s="49"/>
      <c r="K3" s="49"/>
      <c r="L3" s="49"/>
      <c r="M3" s="49"/>
      <c r="N3" s="49"/>
      <c r="O3" s="49"/>
      <c r="P3" s="49"/>
      <c r="Q3" s="49"/>
      <c r="R3" s="49"/>
      <c r="S3" s="49"/>
    </row>
    <row r="5" customFormat="false" ht="31.5" hidden="false" customHeight="true" outlineLevel="0" collapsed="false">
      <c r="A5" s="50" t="s">
        <v>20</v>
      </c>
      <c r="B5" s="50" t="s">
        <v>21</v>
      </c>
      <c r="C5" s="50" t="s">
        <v>22</v>
      </c>
      <c r="D5" s="50" t="s">
        <v>23</v>
      </c>
      <c r="E5" s="50" t="s">
        <v>529</v>
      </c>
      <c r="F5" s="50" t="s">
        <v>63</v>
      </c>
      <c r="G5" s="50" t="s">
        <v>25</v>
      </c>
      <c r="H5" s="50" t="s">
        <v>45</v>
      </c>
      <c r="I5" s="50" t="s">
        <v>530</v>
      </c>
      <c r="J5" s="50" t="s">
        <v>531</v>
      </c>
      <c r="K5" s="50" t="s">
        <v>69</v>
      </c>
      <c r="L5" s="50" t="s">
        <v>532</v>
      </c>
      <c r="M5" s="50" t="s">
        <v>533</v>
      </c>
      <c r="N5" s="50" t="s">
        <v>26</v>
      </c>
      <c r="O5" s="38" t="s">
        <v>27</v>
      </c>
      <c r="P5" s="38" t="s">
        <v>28</v>
      </c>
      <c r="Q5" s="38" t="s">
        <v>49</v>
      </c>
      <c r="R5" s="38" t="s">
        <v>534</v>
      </c>
      <c r="S5" s="38" t="s">
        <v>515</v>
      </c>
    </row>
    <row r="6" customFormat="false" ht="19.5" hidden="false" customHeight="true" outlineLevel="0" collapsed="false">
      <c r="A6" s="29" t="n">
        <v>46</v>
      </c>
      <c r="B6" s="38" t="str">
        <f aca="false">IF($A6="","",IFERROR(INDEX('Position Library'!$B$2:$B$53,MATCH($A6,'Position Library'!$A$2:$A$53,0)),""))</f>
        <v>North Security Checkpoint</v>
      </c>
      <c r="C6" s="38" t="str">
        <f aca="false">IF($A6="","",IFERROR(INDEX('Position Library'!$C$2:$C$53,MATCH($A6,'Position Library'!$A$2:$A$53,0)),""))</f>
        <v>Divest </v>
      </c>
      <c r="D6" s="29" t="str">
        <f aca="false">IF($A6="","",IFERROR(INDEX('Position Library'!$D$2:$D$53,MATCH($A6,'Position Library'!$A$2:$A$53,0)),""))</f>
        <v>Tier 1</v>
      </c>
      <c r="E6" s="38" t="str">
        <f aca="false">IF($A6="","",IF($A6=45,"Information Desk = Y",IF(OR($A6=4,$A6=8),IF(OR(WEEKDAY($B$2,2)=1,WEEKDAY($B$2,2)=4,WEEKDAY($B$2,2)=5,WEEKDAY($B$2,2)=7),"Main Inside = 3","Main Inside &gt;= 2"),IF(AND($A6&gt;=46,$A6&lt;=52),"Divest = Y","General Qualifications &gt;= 2"))))</f>
        <v>Divest = Y</v>
      </c>
      <c r="F6" s="29" t="str">
        <f aca="false">IF($A6="","",IF(MIN(Lists!Q2:HH2)&gt;=999999999,"",IFERROR(INDEX('Daily Workforce'!$B$6:$B$205,MATCH(MIN(Lists!Q2:HH2),Lists!Q2:HH2,0)),"")))</f>
        <v>EMP-0007</v>
      </c>
      <c r="G6" s="1" t="str">
        <f aca="false">IF($F6="","",IFERROR(INDEX('Daily Workforce'!$C$6:$C$205,MATCH($F6,'Daily Workforce'!$B$6:$B$205,0)),""))</f>
        <v>Ahamed John</v>
      </c>
      <c r="H6" s="29" t="str">
        <f aca="false">IF($F6="","",IFERROR(INDEX('Daily Workforce'!$D$6:$D$205,MATCH($F6,'Daily Workforce'!$B$6:$B$205,0)),""))</f>
        <v>3:45 AM</v>
      </c>
      <c r="I6" s="29" t="str">
        <f aca="false">IF($H6="","",$H6)</f>
        <v>3:45 AM</v>
      </c>
      <c r="J6" s="29" t="str">
        <f aca="false">IF($H6="","",IF($H6="3:45 AM","12:45 PM",IF($H6="5:45 AM","2:45 PM",IF($H6="12:15 PM","9:15 PM",IF($H6="2:00 PM","11:00 PM",IF($H6="9:15 PM","6:15 AM",""))))))</f>
        <v>12:45 PM</v>
      </c>
      <c r="K6" s="29" t="str">
        <f aca="false">IF($F6="","",IFERROR(INDEX('Daily Workforce'!$I$6:$I$205,MATCH($F6,'Daily Workforce'!$B$6:$B$205,0)),""))</f>
        <v>None</v>
      </c>
      <c r="L6" s="39" t="str">
        <f aca="false">IF($A6="","",IF($F6="","NO QUALIFIED EMPLOYEE","QUALIFIED"))</f>
        <v>QUALIFIED</v>
      </c>
      <c r="M6" s="29" t="str">
        <f aca="false">IF($A6="","",IF($F6="","UNFILLED","FILLED"))</f>
        <v>FILLED</v>
      </c>
      <c r="N6" s="43" t="str">
        <f aca="false">IF($F6="","",IF($H6="3:45 AM",IF(OR($K6="8:00 AM",$K6="9:00 AM"),$K6,CHOOSE(MOD(COUNTIF($H$6:$H6,$H6)-1,3)+1,"8:00 AM","8:00 AM","9:00 AM")),IF($H6="5:45 AM",IF(OR($K6="9:00 AM",$K6="10:00 AM"),$K6,CHOOSE(MOD(COUNTIF($H$6:$H6,$H6)-1,3)+1,"10:00 AM","10:00 AM","9:00 AM")),IF(AND($K6&lt;&gt;"",$K6&lt;&gt;"None"),$K6,IF($H6="12:15 PM",CHOOSE(MOD(COUNTIF($H$6:$H6,$H6)-1,2)+1,"4:00 PM","5:00 PM"),IF($H6="2:00 PM",CHOOSE(MOD(COUNTIF($H$6:$H6,$H6)-1,2)+1,"6:00 PM","7:00 PM"),IF($H6="9:15 PM",CHOOSE(MOD(COUNTIF($H$6:$H6,$H6)-1,2)+1,"1:00 AM","2:00 AM"),"")))))))</f>
        <v>8:00 AM</v>
      </c>
      <c r="O6" s="51" t="n">
        <f aca="false">Lists!$JP2</f>
        <v>7</v>
      </c>
      <c r="P6" s="51" t="str">
        <f aca="false">Lists!$JO2</f>
        <v>EMP-0076</v>
      </c>
      <c r="Q6" s="52" t="str">
        <f aca="false">Lists!$JR2</f>
        <v>COVERED</v>
      </c>
      <c r="R6" s="52" t="str">
        <f aca="false">IF($A6="","",IF($D6&lt;&gt;"Tier 1","N/A",IF(OR($E$2="PM",$E$2="Overnight"),"N/A",IF($H6="3:45 AM","COVERED","OPENING GAP"))))</f>
        <v>COVERED</v>
      </c>
      <c r="S6" s="53" t="s">
        <v>535</v>
      </c>
    </row>
    <row r="7" customFormat="false" ht="19.5" hidden="false" customHeight="true" outlineLevel="0" collapsed="false">
      <c r="A7" s="29" t="n">
        <v>47</v>
      </c>
      <c r="B7" s="38" t="str">
        <f aca="false">IF($A7="","",IFERROR(INDEX('Position Library'!$B$2:$B$53,MATCH($A7,'Position Library'!$A$2:$A$53,0)),""))</f>
        <v>North Security Checkpoint</v>
      </c>
      <c r="C7" s="38" t="str">
        <f aca="false">IF($A7="","",IFERROR(INDEX('Position Library'!$C$2:$C$53,MATCH($A7,'Position Library'!$A$2:$A$53,0)),""))</f>
        <v>Divest</v>
      </c>
      <c r="D7" s="29" t="str">
        <f aca="false">IF($A7="","",IFERROR(INDEX('Position Library'!$D$2:$D$53,MATCH($A7,'Position Library'!$A$2:$A$53,0)),""))</f>
        <v>Tier 1</v>
      </c>
      <c r="E7" s="38" t="str">
        <f aca="false">IF($A7="","",IF($A7=45,"Information Desk = Y",IF(OR($A7=4,$A7=8),IF(OR(WEEKDAY($B$2,2)=1,WEEKDAY($B$2,2)=4,WEEKDAY($B$2,2)=5,WEEKDAY($B$2,2)=7),"Main Inside = 3","Main Inside &gt;= 2"),IF(AND($A7&gt;=46,$A7&lt;=52),"Divest = Y","General Qualifications &gt;= 2"))))</f>
        <v>Divest = Y</v>
      </c>
      <c r="F7" s="29" t="str">
        <f aca="false">IF($A7="","",IF(MIN(Lists!Q3:HH3)&gt;=999999999,"",IFERROR(INDEX('Daily Workforce'!$B$6:$B$205,MATCH(MIN(Lists!Q3:HH3),Lists!Q3:HH3,0)),"")))</f>
        <v>EMP-0010</v>
      </c>
      <c r="G7" s="1" t="str">
        <f aca="false">IF($F7="","",IFERROR(INDEX('Daily Workforce'!$C$6:$C$205,MATCH($F7,'Daily Workforce'!$B$6:$B$205,0)),""))</f>
        <v>Allen Suggs</v>
      </c>
      <c r="H7" s="29" t="str">
        <f aca="false">IF($F7="","",IFERROR(INDEX('Daily Workforce'!$D$6:$D$205,MATCH($F7,'Daily Workforce'!$B$6:$B$205,0)),""))</f>
        <v>3:45 AM</v>
      </c>
      <c r="I7" s="29" t="str">
        <f aca="false">IF($H7="","",$H7)</f>
        <v>3:45 AM</v>
      </c>
      <c r="J7" s="29" t="str">
        <f aca="false">IF($H7="","",IF($H7="3:45 AM","12:45 PM",IF($H7="5:45 AM","2:45 PM",IF($H7="12:15 PM","9:15 PM",IF($H7="2:00 PM","11:00 PM",IF($H7="9:15 PM","6:15 AM",""))))))</f>
        <v>12:45 PM</v>
      </c>
      <c r="K7" s="29" t="str">
        <f aca="false">IF($F7="","",IFERROR(INDEX('Daily Workforce'!$I$6:$I$205,MATCH($F7,'Daily Workforce'!$B$6:$B$205,0)),""))</f>
        <v>None</v>
      </c>
      <c r="L7" s="39" t="str">
        <f aca="false">IF($A7="","",IF($F7="","NO QUALIFIED EMPLOYEE","QUALIFIED"))</f>
        <v>QUALIFIED</v>
      </c>
      <c r="M7" s="29" t="str">
        <f aca="false">IF($A7="","",IF($F7="","UNFILLED","FILLED"))</f>
        <v>FILLED</v>
      </c>
      <c r="N7" s="43" t="str">
        <f aca="false">IF($F7="","",IF($H7="3:45 AM",IF(OR($K7="8:00 AM",$K7="9:00 AM"),$K7,CHOOSE(MOD(COUNTIF($H$6:$H7,$H7)-1,3)+1,"8:00 AM","8:00 AM","9:00 AM")),IF($H7="5:45 AM",IF(OR($K7="9:00 AM",$K7="10:00 AM"),$K7,CHOOSE(MOD(COUNTIF($H$6:$H7,$H7)-1,3)+1,"10:00 AM","10:00 AM","9:00 AM")),IF(AND($K7&lt;&gt;"",$K7&lt;&gt;"None"),$K7,IF($H7="12:15 PM",CHOOSE(MOD(COUNTIF($H$6:$H7,$H7)-1,2)+1,"4:00 PM","5:00 PM"),IF($H7="2:00 PM",CHOOSE(MOD(COUNTIF($H$6:$H7,$H7)-1,2)+1,"6:00 PM","7:00 PM"),IF($H7="9:15 PM",CHOOSE(MOD(COUNTIF($H$6:$H7,$H7)-1,2)+1,"1:00 AM","2:00 AM"),"")))))))</f>
        <v>8:00 AM</v>
      </c>
      <c r="O7" s="51" t="n">
        <f aca="false">Lists!$JP3</f>
        <v>6</v>
      </c>
      <c r="P7" s="51" t="str">
        <f aca="false">Lists!$JO3</f>
        <v>EMP-0074</v>
      </c>
      <c r="Q7" s="52" t="str">
        <f aca="false">Lists!$JR3</f>
        <v>COVERED</v>
      </c>
      <c r="R7" s="52" t="str">
        <f aca="false">IF($A7="","",IF($D7&lt;&gt;"Tier 1","N/A",IF(OR($E$2="PM",$E$2="Overnight"),"N/A",IF($H7="3:45 AM","COVERED","OPENING GAP"))))</f>
        <v>COVERED</v>
      </c>
      <c r="S7" s="53" t="s">
        <v>535</v>
      </c>
    </row>
    <row r="8" customFormat="false" ht="19.5" hidden="false" customHeight="true" outlineLevel="0" collapsed="false">
      <c r="A8" s="29" t="n">
        <v>48</v>
      </c>
      <c r="B8" s="38" t="str">
        <f aca="false">IF($A8="","",IFERROR(INDEX('Position Library'!$B$2:$B$53,MATCH($A8,'Position Library'!$A$2:$A$53,0)),""))</f>
        <v>North Security Checkpoint</v>
      </c>
      <c r="C8" s="38" t="str">
        <f aca="false">IF($A8="","",IFERROR(INDEX('Position Library'!$C$2:$C$53,MATCH($A8,'Position Library'!$A$2:$A$53,0)),""))</f>
        <v>Divest</v>
      </c>
      <c r="D8" s="29" t="str">
        <f aca="false">IF($A8="","",IFERROR(INDEX('Position Library'!$D$2:$D$53,MATCH($A8,'Position Library'!$A$2:$A$53,0)),""))</f>
        <v>Tier 1</v>
      </c>
      <c r="E8" s="38" t="str">
        <f aca="false">IF($A8="","",IF($A8=45,"Information Desk = Y",IF(OR($A8=4,$A8=8),IF(OR(WEEKDAY($B$2,2)=1,WEEKDAY($B$2,2)=4,WEEKDAY($B$2,2)=5,WEEKDAY($B$2,2)=7),"Main Inside = 3","Main Inside &gt;= 2"),IF(AND($A8&gt;=46,$A8&lt;=52),"Divest = Y","General Qualifications &gt;= 2"))))</f>
        <v>Divest = Y</v>
      </c>
      <c r="F8" s="29" t="str">
        <f aca="false">IF($A8="","",IF(MIN(Lists!Q4:HH4)&gt;=999999999,"",IFERROR(INDEX('Daily Workforce'!$B$6:$B$205,MATCH(MIN(Lists!Q4:HH4),Lists!Q4:HH4,0)),"")))</f>
        <v>EMP-0022</v>
      </c>
      <c r="G8" s="1" t="str">
        <f aca="false">IF($F8="","",IFERROR(INDEX('Daily Workforce'!$C$6:$C$205,MATCH($F8,'Daily Workforce'!$B$6:$B$205,0)),""))</f>
        <v>Benjamin Crosby</v>
      </c>
      <c r="H8" s="29" t="str">
        <f aca="false">IF($F8="","",IFERROR(INDEX('Daily Workforce'!$D$6:$D$205,MATCH($F8,'Daily Workforce'!$B$6:$B$205,0)),""))</f>
        <v>3:45 AM</v>
      </c>
      <c r="I8" s="29" t="str">
        <f aca="false">IF($H8="","",$H8)</f>
        <v>3:45 AM</v>
      </c>
      <c r="J8" s="29" t="str">
        <f aca="false">IF($H8="","",IF($H8="3:45 AM","12:45 PM",IF($H8="5:45 AM","2:45 PM",IF($H8="12:15 PM","9:15 PM",IF($H8="2:00 PM","11:00 PM",IF($H8="9:15 PM","6:15 AM",""))))))</f>
        <v>12:45 PM</v>
      </c>
      <c r="K8" s="29" t="str">
        <f aca="false">IF($F8="","",IFERROR(INDEX('Daily Workforce'!$I$6:$I$205,MATCH($F8,'Daily Workforce'!$B$6:$B$205,0)),""))</f>
        <v>None</v>
      </c>
      <c r="L8" s="39" t="str">
        <f aca="false">IF($A8="","",IF($F8="","NO QUALIFIED EMPLOYEE","QUALIFIED"))</f>
        <v>QUALIFIED</v>
      </c>
      <c r="M8" s="29" t="str">
        <f aca="false">IF($A8="","",IF($F8="","UNFILLED","FILLED"))</f>
        <v>FILLED</v>
      </c>
      <c r="N8" s="43" t="str">
        <f aca="false">IF($F8="","",IF($H8="3:45 AM",IF(OR($K8="8:00 AM",$K8="9:00 AM"),$K8,CHOOSE(MOD(COUNTIF($H$6:$H8,$H8)-1,3)+1,"8:00 AM","8:00 AM","9:00 AM")),IF($H8="5:45 AM",IF(OR($K8="9:00 AM",$K8="10:00 AM"),$K8,CHOOSE(MOD(COUNTIF($H$6:$H8,$H8)-1,3)+1,"10:00 AM","10:00 AM","9:00 AM")),IF(AND($K8&lt;&gt;"",$K8&lt;&gt;"None"),$K8,IF($H8="12:15 PM",CHOOSE(MOD(COUNTIF($H$6:$H8,$H8)-1,2)+1,"4:00 PM","5:00 PM"),IF($H8="2:00 PM",CHOOSE(MOD(COUNTIF($H$6:$H8,$H8)-1,2)+1,"6:00 PM","7:00 PM"),IF($H8="9:15 PM",CHOOSE(MOD(COUNTIF($H$6:$H8,$H8)-1,2)+1,"1:00 AM","2:00 AM"),"")))))))</f>
        <v>9:00 AM</v>
      </c>
      <c r="O8" s="51" t="n">
        <f aca="false">Lists!$JP4</f>
        <v>12</v>
      </c>
      <c r="P8" s="51" t="str">
        <f aca="false">Lists!$JO4</f>
        <v>EMP-0095</v>
      </c>
      <c r="Q8" s="52" t="str">
        <f aca="false">Lists!$JR4</f>
        <v>COVERED</v>
      </c>
      <c r="R8" s="52" t="str">
        <f aca="false">IF($A8="","",IF($D8&lt;&gt;"Tier 1","N/A",IF(OR($E$2="PM",$E$2="Overnight"),"N/A",IF($H8="3:45 AM","COVERED","OPENING GAP"))))</f>
        <v>COVERED</v>
      </c>
      <c r="S8" s="53" t="s">
        <v>535</v>
      </c>
    </row>
    <row r="9" customFormat="false" ht="19.5" hidden="false" customHeight="true" outlineLevel="0" collapsed="false">
      <c r="A9" s="29" t="n">
        <v>49</v>
      </c>
      <c r="B9" s="38" t="str">
        <f aca="false">IF($A9="","",IFERROR(INDEX('Position Library'!$B$2:$B$53,MATCH($A9,'Position Library'!$A$2:$A$53,0)),""))</f>
        <v>North Security Checkpoint</v>
      </c>
      <c r="C9" s="38" t="str">
        <f aca="false">IF($A9="","",IFERROR(INDEX('Position Library'!$C$2:$C$53,MATCH($A9,'Position Library'!$A$2:$A$53,0)),""))</f>
        <v>Divest</v>
      </c>
      <c r="D9" s="29" t="str">
        <f aca="false">IF($A9="","",IFERROR(INDEX('Position Library'!$D$2:$D$53,MATCH($A9,'Position Library'!$A$2:$A$53,0)),""))</f>
        <v>Tier 1</v>
      </c>
      <c r="E9" s="38" t="str">
        <f aca="false">IF($A9="","",IF($A9=45,"Information Desk = Y",IF(OR($A9=4,$A9=8),IF(OR(WEEKDAY($B$2,2)=1,WEEKDAY($B$2,2)=4,WEEKDAY($B$2,2)=5,WEEKDAY($B$2,2)=7),"Main Inside = 3","Main Inside &gt;= 2"),IF(AND($A9&gt;=46,$A9&lt;=52),"Divest = Y","General Qualifications &gt;= 2"))))</f>
        <v>Divest = Y</v>
      </c>
      <c r="F9" s="29" t="str">
        <f aca="false">IF($A9="","",IF(MIN(Lists!Q5:HH5)&gt;=999999999,"",IFERROR(INDEX('Daily Workforce'!$B$6:$B$205,MATCH(MIN(Lists!Q5:HH5),Lists!Q5:HH5,0)),"")))</f>
        <v>EMP-0042</v>
      </c>
      <c r="G9" s="1" t="str">
        <f aca="false">IF($F9="","",IFERROR(INDEX('Daily Workforce'!$C$6:$C$205,MATCH($F9,'Daily Workforce'!$B$6:$B$205,0)),""))</f>
        <v>Crosby Pavon-Lacayo</v>
      </c>
      <c r="H9" s="29" t="str">
        <f aca="false">IF($F9="","",IFERROR(INDEX('Daily Workforce'!$D$6:$D$205,MATCH($F9,'Daily Workforce'!$B$6:$B$205,0)),""))</f>
        <v>3:45 AM</v>
      </c>
      <c r="I9" s="29" t="str">
        <f aca="false">IF($H9="","",$H9)</f>
        <v>3:45 AM</v>
      </c>
      <c r="J9" s="29" t="str">
        <f aca="false">IF($H9="","",IF($H9="3:45 AM","12:45 PM",IF($H9="5:45 AM","2:45 PM",IF($H9="12:15 PM","9:15 PM",IF($H9="2:00 PM","11:00 PM",IF($H9="9:15 PM","6:15 AM",""))))))</f>
        <v>12:45 PM</v>
      </c>
      <c r="K9" s="29" t="str">
        <f aca="false">IF($F9="","",IFERROR(INDEX('Daily Workforce'!$I$6:$I$205,MATCH($F9,'Daily Workforce'!$B$6:$B$205,0)),""))</f>
        <v>None</v>
      </c>
      <c r="L9" s="39" t="str">
        <f aca="false">IF($A9="","",IF($F9="","NO QUALIFIED EMPLOYEE","QUALIFIED"))</f>
        <v>QUALIFIED</v>
      </c>
      <c r="M9" s="29" t="str">
        <f aca="false">IF($A9="","",IF($F9="","UNFILLED","FILLED"))</f>
        <v>FILLED</v>
      </c>
      <c r="N9" s="43" t="str">
        <f aca="false">IF($F9="","",IF($H9="3:45 AM",IF(OR($K9="8:00 AM",$K9="9:00 AM"),$K9,CHOOSE(MOD(COUNTIF($H$6:$H9,$H9)-1,3)+1,"8:00 AM","8:00 AM","9:00 AM")),IF($H9="5:45 AM",IF(OR($K9="9:00 AM",$K9="10:00 AM"),$K9,CHOOSE(MOD(COUNTIF($H$6:$H9,$H9)-1,3)+1,"10:00 AM","10:00 AM","9:00 AM")),IF(AND($K9&lt;&gt;"",$K9&lt;&gt;"None"),$K9,IF($H9="12:15 PM",CHOOSE(MOD(COUNTIF($H$6:$H9,$H9)-1,2)+1,"4:00 PM","5:00 PM"),IF($H9="2:00 PM",CHOOSE(MOD(COUNTIF($H$6:$H9,$H9)-1,2)+1,"6:00 PM","7:00 PM"),IF($H9="9:15 PM",CHOOSE(MOD(COUNTIF($H$6:$H9,$H9)-1,2)+1,"1:00 AM","2:00 AM"),"")))))))</f>
        <v>8:00 AM</v>
      </c>
      <c r="O9" s="51" t="n">
        <f aca="false">Lists!$JP5</f>
        <v>21</v>
      </c>
      <c r="P9" s="51" t="str">
        <f aca="false">Lists!$JO5</f>
        <v>EMP-0105</v>
      </c>
      <c r="Q9" s="52" t="str">
        <f aca="false">Lists!$JR5</f>
        <v>COVERED</v>
      </c>
      <c r="R9" s="52" t="str">
        <f aca="false">IF($A9="","",IF($D9&lt;&gt;"Tier 1","N/A",IF(OR($E$2="PM",$E$2="Overnight"),"N/A",IF($H9="3:45 AM","COVERED","OPENING GAP"))))</f>
        <v>COVERED</v>
      </c>
      <c r="S9" s="53" t="s">
        <v>535</v>
      </c>
    </row>
    <row r="10" customFormat="false" ht="19.5" hidden="false" customHeight="true" outlineLevel="0" collapsed="false">
      <c r="A10" s="29" t="n">
        <v>50</v>
      </c>
      <c r="B10" s="38" t="str">
        <f aca="false">IF($A10="","",IFERROR(INDEX('Position Library'!$B$2:$B$53,MATCH($A10,'Position Library'!$A$2:$A$53,0)),""))</f>
        <v>Lower North Security Checkpoint</v>
      </c>
      <c r="C10" s="38" t="str">
        <f aca="false">IF($A10="","",IFERROR(INDEX('Position Library'!$C$2:$C$53,MATCH($A10,'Position Library'!$A$2:$A$53,0)),""))</f>
        <v>Divest </v>
      </c>
      <c r="D10" s="29" t="str">
        <f aca="false">IF($A10="","",IFERROR(INDEX('Position Library'!$D$2:$D$53,MATCH($A10,'Position Library'!$A$2:$A$53,0)),""))</f>
        <v>Tier 1</v>
      </c>
      <c r="E10" s="38" t="str">
        <f aca="false">IF($A10="","",IF($A10=45,"Information Desk = Y",IF(OR($A10=4,$A10=8),IF(OR(WEEKDAY($B$2,2)=1,WEEKDAY($B$2,2)=4,WEEKDAY($B$2,2)=5,WEEKDAY($B$2,2)=7),"Main Inside = 3","Main Inside &gt;= 2"),IF(AND($A10&gt;=46,$A10&lt;=52),"Divest = Y","General Qualifications &gt;= 2"))))</f>
        <v>Divest = Y</v>
      </c>
      <c r="F10" s="29" t="str">
        <f aca="false">IF($A10="","",IF(MIN(Lists!Q6:HH6)&gt;=999999999,"",IFERROR(INDEX('Daily Workforce'!$B$6:$B$205,MATCH(MIN(Lists!Q6:HH6),Lists!Q6:HH6,0)),"")))</f>
        <v>EMP-0044</v>
      </c>
      <c r="G10" s="1" t="str">
        <f aca="false">IF($F10="","",IFERROR(INDEX('Daily Workforce'!$C$6:$C$205,MATCH($F10,'Daily Workforce'!$B$6:$B$205,0)),""))</f>
        <v>Danielle Holmes</v>
      </c>
      <c r="H10" s="29" t="str">
        <f aca="false">IF($F10="","",IFERROR(INDEX('Daily Workforce'!$D$6:$D$205,MATCH($F10,'Daily Workforce'!$B$6:$B$205,0)),""))</f>
        <v>3:45 AM</v>
      </c>
      <c r="I10" s="29" t="str">
        <f aca="false">IF($H10="","",$H10)</f>
        <v>3:45 AM</v>
      </c>
      <c r="J10" s="29" t="str">
        <f aca="false">IF($H10="","",IF($H10="3:45 AM","12:45 PM",IF($H10="5:45 AM","2:45 PM",IF($H10="12:15 PM","9:15 PM",IF($H10="2:00 PM","11:00 PM",IF($H10="9:15 PM","6:15 AM",""))))))</f>
        <v>12:45 PM</v>
      </c>
      <c r="K10" s="29" t="str">
        <f aca="false">IF($F10="","",IFERROR(INDEX('Daily Workforce'!$I$6:$I$205,MATCH($F10,'Daily Workforce'!$B$6:$B$205,0)),""))</f>
        <v>None</v>
      </c>
      <c r="L10" s="39" t="str">
        <f aca="false">IF($A10="","",IF($F10="","NO QUALIFIED EMPLOYEE","QUALIFIED"))</f>
        <v>QUALIFIED</v>
      </c>
      <c r="M10" s="29" t="str">
        <f aca="false">IF($A10="","",IF($F10="","UNFILLED","FILLED"))</f>
        <v>FILLED</v>
      </c>
      <c r="N10" s="43" t="str">
        <f aca="false">IF($F10="","",IF($H10="3:45 AM",IF(OR($K10="8:00 AM",$K10="9:00 AM"),$K10,CHOOSE(MOD(COUNTIF($H$6:$H10,$H10)-1,3)+1,"8:00 AM","8:00 AM","9:00 AM")),IF($H10="5:45 AM",IF(OR($K10="9:00 AM",$K10="10:00 AM"),$K10,CHOOSE(MOD(COUNTIF($H$6:$H10,$H10)-1,3)+1,"10:00 AM","10:00 AM","9:00 AM")),IF(AND($K10&lt;&gt;"",$K10&lt;&gt;"None"),$K10,IF($H10="12:15 PM",CHOOSE(MOD(COUNTIF($H$6:$H10,$H10)-1,2)+1,"4:00 PM","5:00 PM"),IF($H10="2:00 PM",CHOOSE(MOD(COUNTIF($H$6:$H10,$H10)-1,2)+1,"6:00 PM","7:00 PM"),IF($H10="9:15 PM",CHOOSE(MOD(COUNTIF($H$6:$H10,$H10)-1,2)+1,"1:00 AM","2:00 AM"),"")))))))</f>
        <v>8:00 AM</v>
      </c>
      <c r="O10" s="51" t="n">
        <f aca="false">Lists!$JP6</f>
        <v>10</v>
      </c>
      <c r="P10" s="51" t="str">
        <f aca="false">Lists!$JO6</f>
        <v>EMP-0086</v>
      </c>
      <c r="Q10" s="52" t="str">
        <f aca="false">Lists!$JR6</f>
        <v>COVERED</v>
      </c>
      <c r="R10" s="52" t="str">
        <f aca="false">IF($A10="","",IF($D10&lt;&gt;"Tier 1","N/A",IF(OR($E$2="PM",$E$2="Overnight"),"N/A",IF($H10="3:45 AM","COVERED","OPENING GAP"))))</f>
        <v>COVERED</v>
      </c>
      <c r="S10" s="53" t="s">
        <v>535</v>
      </c>
    </row>
    <row r="11" customFormat="false" ht="19.5" hidden="false" customHeight="true" outlineLevel="0" collapsed="false">
      <c r="A11" s="29" t="n">
        <v>51</v>
      </c>
      <c r="B11" s="38" t="str">
        <f aca="false">IF($A11="","",IFERROR(INDEX('Position Library'!$B$2:$B$53,MATCH($A11,'Position Library'!$A$2:$A$53,0)),""))</f>
        <v>Lower North Security Checkpoint</v>
      </c>
      <c r="C11" s="38" t="str">
        <f aca="false">IF($A11="","",IFERROR(INDEX('Position Library'!$C$2:$C$53,MATCH($A11,'Position Library'!$A$2:$A$53,0)),""))</f>
        <v>Divest</v>
      </c>
      <c r="D11" s="29" t="str">
        <f aca="false">IF($A11="","",IFERROR(INDEX('Position Library'!$D$2:$D$53,MATCH($A11,'Position Library'!$A$2:$A$53,0)),""))</f>
        <v>Tier 1</v>
      </c>
      <c r="E11" s="38" t="str">
        <f aca="false">IF($A11="","",IF($A11=45,"Information Desk = Y",IF(OR($A11=4,$A11=8),IF(OR(WEEKDAY($B$2,2)=1,WEEKDAY($B$2,2)=4,WEEKDAY($B$2,2)=5,WEEKDAY($B$2,2)=7),"Main Inside = 3","Main Inside &gt;= 2"),IF(AND($A11&gt;=46,$A11&lt;=52),"Divest = Y","General Qualifications &gt;= 2"))))</f>
        <v>Divest = Y</v>
      </c>
      <c r="F11" s="29" t="str">
        <f aca="false">IF($A11="","",IF(MIN(Lists!Q7:HH7)&gt;=999999999,"",IFERROR(INDEX('Daily Workforce'!$B$6:$B$205,MATCH(MIN(Lists!Q7:HH7),Lists!Q7:HH7,0)),"")))</f>
        <v>EMP-0049</v>
      </c>
      <c r="G11" s="1" t="str">
        <f aca="false">IF($F11="","",IFERROR(INDEX('Daily Workforce'!$C$6:$C$205,MATCH($F11,'Daily Workforce'!$B$6:$B$205,0)),""))</f>
        <v>Demetrius Thomas</v>
      </c>
      <c r="H11" s="29" t="str">
        <f aca="false">IF($F11="","",IFERROR(INDEX('Daily Workforce'!$D$6:$D$205,MATCH($F11,'Daily Workforce'!$B$6:$B$205,0)),""))</f>
        <v>3:45 AM</v>
      </c>
      <c r="I11" s="29" t="str">
        <f aca="false">IF($H11="","",$H11)</f>
        <v>3:45 AM</v>
      </c>
      <c r="J11" s="29" t="str">
        <f aca="false">IF($H11="","",IF($H11="3:45 AM","12:45 PM",IF($H11="5:45 AM","2:45 PM",IF($H11="12:15 PM","9:15 PM",IF($H11="2:00 PM","11:00 PM",IF($H11="9:15 PM","6:15 AM",""))))))</f>
        <v>12:45 PM</v>
      </c>
      <c r="K11" s="29" t="str">
        <f aca="false">IF($F11="","",IFERROR(INDEX('Daily Workforce'!$I$6:$I$205,MATCH($F11,'Daily Workforce'!$B$6:$B$205,0)),""))</f>
        <v>None</v>
      </c>
      <c r="L11" s="39" t="str">
        <f aca="false">IF($A11="","",IF($F11="","NO QUALIFIED EMPLOYEE","QUALIFIED"))</f>
        <v>QUALIFIED</v>
      </c>
      <c r="M11" s="29" t="str">
        <f aca="false">IF($A11="","",IF($F11="","UNFILLED","FILLED"))</f>
        <v>FILLED</v>
      </c>
      <c r="N11" s="43" t="str">
        <f aca="false">IF($F11="","",IF($H11="3:45 AM",IF(OR($K11="8:00 AM",$K11="9:00 AM"),$K11,CHOOSE(MOD(COUNTIF($H$6:$H11,$H11)-1,3)+1,"8:00 AM","8:00 AM","9:00 AM")),IF($H11="5:45 AM",IF(OR($K11="9:00 AM",$K11="10:00 AM"),$K11,CHOOSE(MOD(COUNTIF($H$6:$H11,$H11)-1,3)+1,"10:00 AM","10:00 AM","9:00 AM")),IF(AND($K11&lt;&gt;"",$K11&lt;&gt;"None"),$K11,IF($H11="12:15 PM",CHOOSE(MOD(COUNTIF($H$6:$H11,$H11)-1,2)+1,"4:00 PM","5:00 PM"),IF($H11="2:00 PM",CHOOSE(MOD(COUNTIF($H$6:$H11,$H11)-1,2)+1,"6:00 PM","7:00 PM"),IF($H11="9:15 PM",CHOOSE(MOD(COUNTIF($H$6:$H11,$H11)-1,2)+1,"1:00 AM","2:00 AM"),"")))))))</f>
        <v>9:00 AM</v>
      </c>
      <c r="O11" s="51" t="n">
        <f aca="false">Lists!$JP7</f>
        <v>28</v>
      </c>
      <c r="P11" s="51" t="str">
        <f aca="false">Lists!$JO7</f>
        <v>EMP-0129</v>
      </c>
      <c r="Q11" s="52" t="str">
        <f aca="false">Lists!$JR7</f>
        <v>COVERED</v>
      </c>
      <c r="R11" s="52" t="str">
        <f aca="false">IF($A11="","",IF($D11&lt;&gt;"Tier 1","N/A",IF(OR($E$2="PM",$E$2="Overnight"),"N/A",IF($H11="3:45 AM","COVERED","OPENING GAP"))))</f>
        <v>COVERED</v>
      </c>
      <c r="S11" s="53" t="s">
        <v>535</v>
      </c>
    </row>
    <row r="12" customFormat="false" ht="19.5" hidden="false" customHeight="true" outlineLevel="0" collapsed="false">
      <c r="A12" s="29" t="n">
        <v>52</v>
      </c>
      <c r="B12" s="38" t="str">
        <f aca="false">IF($A12="","",IFERROR(INDEX('Position Library'!$B$2:$B$53,MATCH($A12,'Position Library'!$A$2:$A$53,0)),""))</f>
        <v>Lower North Security Checkpoint</v>
      </c>
      <c r="C12" s="38" t="str">
        <f aca="false">IF($A12="","",IFERROR(INDEX('Position Library'!$C$2:$C$53,MATCH($A12,'Position Library'!$A$2:$A$53,0)),""))</f>
        <v>Divest </v>
      </c>
      <c r="D12" s="29" t="str">
        <f aca="false">IF($A12="","",IFERROR(INDEX('Position Library'!$D$2:$D$53,MATCH($A12,'Position Library'!$A$2:$A$53,0)),""))</f>
        <v>Tier 1</v>
      </c>
      <c r="E12" s="38" t="str">
        <f aca="false">IF($A12="","",IF($A12=45,"Information Desk = Y",IF(OR($A12=4,$A12=8),IF(OR(WEEKDAY($B$2,2)=1,WEEKDAY($B$2,2)=4,WEEKDAY($B$2,2)=5,WEEKDAY($B$2,2)=7),"Main Inside = 3","Main Inside &gt;= 2"),IF(AND($A12&gt;=46,$A12&lt;=52),"Divest = Y","General Qualifications &gt;= 2"))))</f>
        <v>Divest = Y</v>
      </c>
      <c r="F12" s="29" t="str">
        <f aca="false">IF($A12="","",IF(MIN(Lists!Q8:HH8)&gt;=999999999,"",IFERROR(INDEX('Daily Workforce'!$B$6:$B$205,MATCH(MIN(Lists!Q8:HH8),Lists!Q8:HH8,0)),"")))</f>
        <v>EMP-0054</v>
      </c>
      <c r="G12" s="1" t="str">
        <f aca="false">IF($F12="","",IFERROR(INDEX('Daily Workforce'!$C$6:$C$205,MATCH($F12,'Daily Workforce'!$B$6:$B$205,0)),""))</f>
        <v>Diane Nails</v>
      </c>
      <c r="H12" s="29" t="str">
        <f aca="false">IF($F12="","",IFERROR(INDEX('Daily Workforce'!$D$6:$D$205,MATCH($F12,'Daily Workforce'!$B$6:$B$205,0)),""))</f>
        <v>3:45 AM</v>
      </c>
      <c r="I12" s="29" t="str">
        <f aca="false">IF($H12="","",$H12)</f>
        <v>3:45 AM</v>
      </c>
      <c r="J12" s="29" t="str">
        <f aca="false">IF($H12="","",IF($H12="3:45 AM","12:45 PM",IF($H12="5:45 AM","2:45 PM",IF($H12="12:15 PM","9:15 PM",IF($H12="2:00 PM","11:00 PM",IF($H12="9:15 PM","6:15 AM",""))))))</f>
        <v>12:45 PM</v>
      </c>
      <c r="K12" s="29" t="str">
        <f aca="false">IF($F12="","",IFERROR(INDEX('Daily Workforce'!$I$6:$I$205,MATCH($F12,'Daily Workforce'!$B$6:$B$205,0)),""))</f>
        <v>None</v>
      </c>
      <c r="L12" s="39" t="str">
        <f aca="false">IF($A12="","",IF($F12="","NO QUALIFIED EMPLOYEE","QUALIFIED"))</f>
        <v>QUALIFIED</v>
      </c>
      <c r="M12" s="29" t="str">
        <f aca="false">IF($A12="","",IF($F12="","UNFILLED","FILLED"))</f>
        <v>FILLED</v>
      </c>
      <c r="N12" s="43" t="str">
        <f aca="false">IF($F12="","",IF($H12="3:45 AM",IF(OR($K12="8:00 AM",$K12="9:00 AM"),$K12,CHOOSE(MOD(COUNTIF($H$6:$H12,$H12)-1,3)+1,"8:00 AM","8:00 AM","9:00 AM")),IF($H12="5:45 AM",IF(OR($K12="9:00 AM",$K12="10:00 AM"),$K12,CHOOSE(MOD(COUNTIF($H$6:$H12,$H12)-1,3)+1,"10:00 AM","10:00 AM","9:00 AM")),IF(AND($K12&lt;&gt;"",$K12&lt;&gt;"None"),$K12,IF($H12="12:15 PM",CHOOSE(MOD(COUNTIF($H$6:$H12,$H12)-1,2)+1,"4:00 PM","5:00 PM"),IF($H12="2:00 PM",CHOOSE(MOD(COUNTIF($H$6:$H12,$H12)-1,2)+1,"6:00 PM","7:00 PM"),IF($H12="9:15 PM",CHOOSE(MOD(COUNTIF($H$6:$H12,$H12)-1,2)+1,"1:00 AM","2:00 AM"),"")))))))</f>
        <v>8:00 AM</v>
      </c>
      <c r="O12" s="51" t="n">
        <f aca="false">Lists!$JP8</f>
        <v>42</v>
      </c>
      <c r="P12" s="51" t="str">
        <f aca="false">Lists!$JO8</f>
        <v>EMP-0134</v>
      </c>
      <c r="Q12" s="52" t="str">
        <f aca="false">Lists!$JR8</f>
        <v>COVERED</v>
      </c>
      <c r="R12" s="52" t="str">
        <f aca="false">IF($A12="","",IF($D12&lt;&gt;"Tier 1","N/A",IF(OR($E$2="PM",$E$2="Overnight"),"N/A",IF($H12="3:45 AM","COVERED","OPENING GAP"))))</f>
        <v>COVERED</v>
      </c>
      <c r="S12" s="53" t="s">
        <v>535</v>
      </c>
    </row>
    <row r="13" customFormat="false" ht="19.5" hidden="false" customHeight="true" outlineLevel="0" collapsed="false">
      <c r="A13" s="29" t="n">
        <v>1</v>
      </c>
      <c r="B13" s="38" t="str">
        <f aca="false">IF($A13="","",IFERROR(INDEX('Position Library'!$B$2:$B$53,MATCH($A13,'Position Library'!$A$2:$A$53,0)),""))</f>
        <v>Main Security Checkpoint</v>
      </c>
      <c r="C13" s="38" t="str">
        <f aca="false">IF($A13="","",IFERROR(INDEX('Position Library'!$C$2:$C$53,MATCH($A13,'Position Library'!$A$2:$A$53,0)),""))</f>
        <v>Front Entrance </v>
      </c>
      <c r="D13" s="29" t="str">
        <f aca="false">IF($A13="","",IFERROR(INDEX('Position Library'!$D$2:$D$53,MATCH($A13,'Position Library'!$A$2:$A$53,0)),""))</f>
        <v>Tier 1</v>
      </c>
      <c r="E13" s="38" t="str">
        <f aca="false">IF($A13="","",IF($A13=45,"Information Desk = Y",IF(OR($A13=4,$A13=8),IF(OR(WEEKDAY($B$2,2)=1,WEEKDAY($B$2,2)=4,WEEKDAY($B$2,2)=5,WEEKDAY($B$2,2)=7),"Main Inside = 3","Main Inside &gt;= 2"),IF(AND($A13&gt;=46,$A13&lt;=52),"Divest = Y","General Qualifications &gt;= 2"))))</f>
        <v>General Qualifications &gt;= 2</v>
      </c>
      <c r="F13" s="29" t="str">
        <f aca="false">IF($A13="","",IFERROR(INDEX('Daily Workforce'!$B$6:$B$205,MATCH(1,Lists!Q9:HH9,0)),""))</f>
        <v>EMP-0059</v>
      </c>
      <c r="G13" s="1" t="str">
        <f aca="false">IF($F13="","",IFERROR(INDEX('Daily Workforce'!$C$6:$C$205,MATCH($F13,'Daily Workforce'!$B$6:$B$205,0)),""))</f>
        <v>Emonnie Dorsey</v>
      </c>
      <c r="H13" s="29" t="str">
        <f aca="false">IF($F13="","",IFERROR(INDEX('Daily Workforce'!$D$6:$D$205,MATCH($F13,'Daily Workforce'!$B$6:$B$205,0)),""))</f>
        <v>3:45 AM</v>
      </c>
      <c r="I13" s="29" t="str">
        <f aca="false">IF($H13="","",$H13)</f>
        <v>3:45 AM</v>
      </c>
      <c r="J13" s="29" t="str">
        <f aca="false">IF($H13="","",IF($H13="3:45 AM","12:45 PM",IF($H13="5:45 AM","2:45 PM",IF($H13="12:15 PM","9:15 PM",IF($H13="2:00 PM","11:00 PM",IF($H13="9:15 PM","6:15 AM",""))))))</f>
        <v>12:45 PM</v>
      </c>
      <c r="K13" s="29" t="str">
        <f aca="false">IF($F13="","",IFERROR(INDEX('Daily Workforce'!$I$6:$I$205,MATCH($F13,'Daily Workforce'!$B$6:$B$205,0)),""))</f>
        <v>None</v>
      </c>
      <c r="L13" s="39" t="str">
        <f aca="false">IF($A13="","",IF($F13="","NO QUALIFIED EMPLOYEE","QUALIFIED"))</f>
        <v>QUALIFIED</v>
      </c>
      <c r="M13" s="29" t="str">
        <f aca="false">IF($A13="","",IF($F13="","UNFILLED","FILLED"))</f>
        <v>FILLED</v>
      </c>
      <c r="N13" s="43" t="str">
        <f aca="false">IF($F13="","",IF($H13="3:45 AM",IF(OR($K13="8:00 AM",$K13="9:00 AM"),$K13,CHOOSE(MOD(COUNTIF($H$6:$H13,$H13)-1,3)+1,"8:00 AM","8:00 AM","9:00 AM")),IF($H13="5:45 AM",IF(OR($K13="9:00 AM",$K13="10:00 AM"),$K13,CHOOSE(MOD(COUNTIF($H$6:$H13,$H13)-1,3)+1,"10:00 AM","10:00 AM","9:00 AM")),IF(AND($K13&lt;&gt;"",$K13&lt;&gt;"None"),$K13,IF($H13="12:15 PM",CHOOSE(MOD(COUNTIF($H$6:$H13,$H13)-1,2)+1,"4:00 PM","5:00 PM"),IF($H13="2:00 PM",CHOOSE(MOD(COUNTIF($H$6:$H13,$H13)-1,2)+1,"6:00 PM","7:00 PM"),IF($H13="9:15 PM",CHOOSE(MOD(COUNTIF($H$6:$H13,$H13)-1,2)+1,"1:00 AM","2:00 AM"),"")))))))</f>
        <v>8:00 AM</v>
      </c>
      <c r="O13" s="51" t="n">
        <f aca="false">IF($A13="","",IF(IFERROR(INDEX('Position Library'!$E$2:$E$53,MATCH($A13,'Position Library'!$A$2:$A$53,0)),"N")="Y",IF(AND(IFERROR(VALUE(INDEX('Position Relationships'!$B$2:$F$53,MATCH($A13,'Position Relationships'!$A$2:$A$53,0),1)),"")&lt;&gt;"",IFERROR(INDEX($N$6:$N$57,MATCH(IFERROR(VALUE(INDEX('Position Relationships'!$B$2:$F$53,MATCH($A13,'Position Relationships'!$A$2:$A$53,0),1)),""),$A$6:$A$57,0)),"")&lt;&gt;"",IFERROR(INDEX($N$6:$N$57,MATCH(IFERROR(VALUE(INDEX('Position Relationships'!$B$2:$F$53,MATCH($A13,'Position Relationships'!$A$2:$A$53,0),1)),""),$A$6:$A$57,0)),"")&lt;&gt;$N13),IFERROR(VALUE(INDEX('Position Relationships'!$B$2:$F$53,MATCH($A13,'Position Relationships'!$A$2:$A$53,0),1)),""),IF(AND(IFERROR(VALUE(INDEX('Position Relationships'!$B$2:$F$53,MATCH($A13,'Position Relationships'!$A$2:$A$53,0),2)),"")&lt;&gt;"",IFERROR(INDEX($N$6:$N$57,MATCH(IFERROR(VALUE(INDEX('Position Relationships'!$B$2:$F$53,MATCH($A13,'Position Relationships'!$A$2:$A$53,0),2)),""),$A$6:$A$57,0)),"")&lt;&gt;"",IFERROR(INDEX($N$6:$N$57,MATCH(IFERROR(VALUE(INDEX('Position Relationships'!$B$2:$F$53,MATCH($A13,'Position Relationships'!$A$2:$A$53,0),2)),""),$A$6:$A$57,0)),"")&lt;&gt;$N13),IFERROR(VALUE(INDEX('Position Relationships'!$B$2:$F$53,MATCH($A13,'Position Relationships'!$A$2:$A$53,0),2)),""),IF(AND(IFERROR(VALUE(INDEX('Position Relationships'!$B$2:$F$53,MATCH($A13,'Position Relationships'!$A$2:$A$53,0),3)),"")&lt;&gt;"",IFERROR(INDEX($N$6:$N$57,MATCH(IFERROR(VALUE(INDEX('Position Relationships'!$B$2:$F$53,MATCH($A13,'Position Relationships'!$A$2:$A$53,0),3)),""),$A$6:$A$57,0)),"")&lt;&gt;"",IFERROR(INDEX($N$6:$N$57,MATCH(IFERROR(VALUE(INDEX('Position Relationships'!$B$2:$F$53,MATCH($A13,'Position Relationships'!$A$2:$A$53,0),3)),""),$A$6:$A$57,0)),"")&lt;&gt;$N13),IFERROR(VALUE(INDEX('Position Relationships'!$B$2:$F$53,MATCH($A13,'Position Relationships'!$A$2:$A$53,0),3)),""),IF(AND(IFERROR(VALUE(INDEX('Position Relationships'!$B$2:$F$53,MATCH($A13,'Position Relationships'!$A$2:$A$53,0),4)),"")&lt;&gt;"",IFERROR(INDEX($N$6:$N$57,MATCH(IFERROR(VALUE(INDEX('Position Relationships'!$B$2:$F$53,MATCH($A13,'Position Relationships'!$A$2:$A$53,0),4)),""),$A$6:$A$57,0)),"")&lt;&gt;"",IFERROR(INDEX($N$6:$N$57,MATCH(IFERROR(VALUE(INDEX('Position Relationships'!$B$2:$F$53,MATCH($A13,'Position Relationships'!$A$2:$A$53,0),4)),""),$A$6:$A$57,0)),"")&lt;&gt;$N13),IFERROR(VALUE(INDEX('Position Relationships'!$B$2:$F$53,MATCH($A13,'Position Relationships'!$A$2:$A$53,0),4)),""),IF(AND(IFERROR(VALUE(INDEX('Position Relationships'!$B$2:$F$53,MATCH($A13,'Position Relationships'!$A$2:$A$53,0),5)),"")&lt;&gt;"",IFERROR(INDEX($N$6:$N$57,MATCH(IFERROR(VALUE(INDEX('Position Relationships'!$B$2:$F$53,MATCH($A13,'Position Relationships'!$A$2:$A$53,0),5)),""),$A$6:$A$57,0)),"")&lt;&gt;"",IFERROR(INDEX($N$6:$N$57,MATCH(IFERROR(VALUE(INDEX('Position Relationships'!$B$2:$F$53,MATCH($A13,'Position Relationships'!$A$2:$A$53,0),5)),""),$A$6:$A$57,0)),"")&lt;&gt;$N13),IFERROR(VALUE(INDEX('Position Relationships'!$B$2:$F$53,MATCH($A13,'Position Relationships'!$A$2:$A$53,0),5)),""),""))))),""))</f>
        <v>9</v>
      </c>
      <c r="P13" s="51" t="str">
        <f aca="false">IF($O13="","",IFERROR(INDEX($F$6:$F$57,MATCH($O13,$A$6:$A$57,0)),""))</f>
        <v>EMP-0018</v>
      </c>
      <c r="Q13" s="52" t="str">
        <f aca="false">IF($A13="","",IF($M13&lt;&gt;"FILLED","POSITION UNFILLED",IF(IFERROR(INDEX('Position Library'!$E$2:$E$53,MATCH($A13,'Position Library'!$A$2:$A$53,0)),"N")&lt;&gt;"Y","NOT REQUIRED",IF(OR($O13="",$P13=""),"RELIEF GAP","COVERED"))))</f>
        <v>COVERED</v>
      </c>
      <c r="R13" s="52" t="str">
        <f aca="false">IF($A13="","",IF($D13&lt;&gt;"Tier 1","N/A",IF(OR($E$2="PM",$E$2="Overnight"),"N/A",IF($H13="3:45 AM","COVERED","OPENING GAP"))))</f>
        <v>COVERED</v>
      </c>
      <c r="S13" s="38"/>
    </row>
    <row r="14" customFormat="false" ht="19.5" hidden="false" customHeight="true" outlineLevel="0" collapsed="false">
      <c r="A14" s="29" t="n">
        <v>2</v>
      </c>
      <c r="B14" s="38" t="str">
        <f aca="false">IF($A14="","",IFERROR(INDEX('Position Library'!$B$2:$B$53,MATCH($A14,'Position Library'!$A$2:$A$53,0)),""))</f>
        <v>Main Security Checkpoint</v>
      </c>
      <c r="C14" s="38" t="str">
        <f aca="false">IF($A14="","",IFERROR(INDEX('Position Library'!$C$2:$C$53,MATCH($A14,'Position Library'!$A$2:$A$53,0)),""))</f>
        <v>ADA Entrance </v>
      </c>
      <c r="D14" s="29" t="str">
        <f aca="false">IF($A14="","",IFERROR(INDEX('Position Library'!$D$2:$D$53,MATCH($A14,'Position Library'!$A$2:$A$53,0)),""))</f>
        <v>Tier 1</v>
      </c>
      <c r="E14" s="38" t="str">
        <f aca="false">IF($A14="","",IF($A14=45,"Information Desk = Y",IF(OR($A14=4,$A14=8),IF(OR(WEEKDAY($B$2,2)=1,WEEKDAY($B$2,2)=4,WEEKDAY($B$2,2)=5,WEEKDAY($B$2,2)=7),"Main Inside = 3","Main Inside &gt;= 2"),IF(AND($A14&gt;=46,$A14&lt;=52),"Divest = Y","General Qualifications &gt;= 2"))))</f>
        <v>General Qualifications &gt;= 2</v>
      </c>
      <c r="F14" s="29" t="str">
        <f aca="false">IF($A14="","",IFERROR(INDEX('Daily Workforce'!$B$6:$B$205,MATCH(1,Lists!Q10:HH10,0)),""))</f>
        <v>EMP-0067</v>
      </c>
      <c r="G14" s="1" t="str">
        <f aca="false">IF($F14="","",IFERROR(INDEX('Daily Workforce'!$C$6:$C$205,MATCH($F14,'Daily Workforce'!$B$6:$B$205,0)),""))</f>
        <v>Haddyjatou Ndure</v>
      </c>
      <c r="H14" s="29" t="str">
        <f aca="false">IF($F14="","",IFERROR(INDEX('Daily Workforce'!$D$6:$D$205,MATCH($F14,'Daily Workforce'!$B$6:$B$205,0)),""))</f>
        <v>3:45 AM</v>
      </c>
      <c r="I14" s="29" t="str">
        <f aca="false">IF($H14="","",$H14)</f>
        <v>3:45 AM</v>
      </c>
      <c r="J14" s="29" t="str">
        <f aca="false">IF($H14="","",IF($H14="3:45 AM","12:45 PM",IF($H14="5:45 AM","2:45 PM",IF($H14="12:15 PM","9:15 PM",IF($H14="2:00 PM","11:00 PM",IF($H14="9:15 PM","6:15 AM",""))))))</f>
        <v>12:45 PM</v>
      </c>
      <c r="K14" s="29" t="str">
        <f aca="false">IF($F14="","",IFERROR(INDEX('Daily Workforce'!$I$6:$I$205,MATCH($F14,'Daily Workforce'!$B$6:$B$205,0)),""))</f>
        <v>None</v>
      </c>
      <c r="L14" s="39" t="str">
        <f aca="false">IF($A14="","",IF($F14="","NO QUALIFIED EMPLOYEE","QUALIFIED"))</f>
        <v>QUALIFIED</v>
      </c>
      <c r="M14" s="29" t="str">
        <f aca="false">IF($A14="","",IF($F14="","UNFILLED","FILLED"))</f>
        <v>FILLED</v>
      </c>
      <c r="N14" s="43" t="str">
        <f aca="false">IF($F14="","",IF($H14="3:45 AM",IF(OR($K14="8:00 AM",$K14="9:00 AM"),$K14,CHOOSE(MOD(COUNTIF($H$6:$H14,$H14)-1,3)+1,"8:00 AM","8:00 AM","9:00 AM")),IF($H14="5:45 AM",IF(OR($K14="9:00 AM",$K14="10:00 AM"),$K14,CHOOSE(MOD(COUNTIF($H$6:$H14,$H14)-1,3)+1,"10:00 AM","10:00 AM","9:00 AM")),IF(AND($K14&lt;&gt;"",$K14&lt;&gt;"None"),$K14,IF($H14="12:15 PM",CHOOSE(MOD(COUNTIF($H$6:$H14,$H14)-1,2)+1,"4:00 PM","5:00 PM"),IF($H14="2:00 PM",CHOOSE(MOD(COUNTIF($H$6:$H14,$H14)-1,2)+1,"6:00 PM","7:00 PM"),IF($H14="9:15 PM",CHOOSE(MOD(COUNTIF($H$6:$H14,$H14)-1,2)+1,"1:00 AM","2:00 AM"),"")))))))</f>
        <v>9:00 AM</v>
      </c>
      <c r="O14" s="51" t="str">
        <f aca="false">IF($A14="","",IF(IFERROR(INDEX('Position Library'!$E$2:$E$53,MATCH($A14,'Position Library'!$A$2:$A$53,0)),"N")="Y",IF(AND(IFERROR(VALUE(INDEX('Position Relationships'!$B$2:$F$53,MATCH($A14,'Position Relationships'!$A$2:$A$53,0),1)),"")&lt;&gt;"",IFERROR(INDEX($N$6:$N$57,MATCH(IFERROR(VALUE(INDEX('Position Relationships'!$B$2:$F$53,MATCH($A14,'Position Relationships'!$A$2:$A$53,0),1)),""),$A$6:$A$57,0)),"")&lt;&gt;"",IFERROR(INDEX($N$6:$N$57,MATCH(IFERROR(VALUE(INDEX('Position Relationships'!$B$2:$F$53,MATCH($A14,'Position Relationships'!$A$2:$A$53,0),1)),""),$A$6:$A$57,0)),"")&lt;&gt;$N14),IFERROR(VALUE(INDEX('Position Relationships'!$B$2:$F$53,MATCH($A14,'Position Relationships'!$A$2:$A$53,0),1)),""),IF(AND(IFERROR(VALUE(INDEX('Position Relationships'!$B$2:$F$53,MATCH($A14,'Position Relationships'!$A$2:$A$53,0),2)),"")&lt;&gt;"",IFERROR(INDEX($N$6:$N$57,MATCH(IFERROR(VALUE(INDEX('Position Relationships'!$B$2:$F$53,MATCH($A14,'Position Relationships'!$A$2:$A$53,0),2)),""),$A$6:$A$57,0)),"")&lt;&gt;"",IFERROR(INDEX($N$6:$N$57,MATCH(IFERROR(VALUE(INDEX('Position Relationships'!$B$2:$F$53,MATCH($A14,'Position Relationships'!$A$2:$A$53,0),2)),""),$A$6:$A$57,0)),"")&lt;&gt;$N14),IFERROR(VALUE(INDEX('Position Relationships'!$B$2:$F$53,MATCH($A14,'Position Relationships'!$A$2:$A$53,0),2)),""),IF(AND(IFERROR(VALUE(INDEX('Position Relationships'!$B$2:$F$53,MATCH($A14,'Position Relationships'!$A$2:$A$53,0),3)),"")&lt;&gt;"",IFERROR(INDEX($N$6:$N$57,MATCH(IFERROR(VALUE(INDEX('Position Relationships'!$B$2:$F$53,MATCH($A14,'Position Relationships'!$A$2:$A$53,0),3)),""),$A$6:$A$57,0)),"")&lt;&gt;"",IFERROR(INDEX($N$6:$N$57,MATCH(IFERROR(VALUE(INDEX('Position Relationships'!$B$2:$F$53,MATCH($A14,'Position Relationships'!$A$2:$A$53,0),3)),""),$A$6:$A$57,0)),"")&lt;&gt;$N14),IFERROR(VALUE(INDEX('Position Relationships'!$B$2:$F$53,MATCH($A14,'Position Relationships'!$A$2:$A$53,0),3)),""),IF(AND(IFERROR(VALUE(INDEX('Position Relationships'!$B$2:$F$53,MATCH($A14,'Position Relationships'!$A$2:$A$53,0),4)),"")&lt;&gt;"",IFERROR(INDEX($N$6:$N$57,MATCH(IFERROR(VALUE(INDEX('Position Relationships'!$B$2:$F$53,MATCH($A14,'Position Relationships'!$A$2:$A$53,0),4)),""),$A$6:$A$57,0)),"")&lt;&gt;"",IFERROR(INDEX($N$6:$N$57,MATCH(IFERROR(VALUE(INDEX('Position Relationships'!$B$2:$F$53,MATCH($A14,'Position Relationships'!$A$2:$A$53,0),4)),""),$A$6:$A$57,0)),"")&lt;&gt;$N14),IFERROR(VALUE(INDEX('Position Relationships'!$B$2:$F$53,MATCH($A14,'Position Relationships'!$A$2:$A$53,0),4)),""),IF(AND(IFERROR(VALUE(INDEX('Position Relationships'!$B$2:$F$53,MATCH($A14,'Position Relationships'!$A$2:$A$53,0),5)),"")&lt;&gt;"",IFERROR(INDEX($N$6:$N$57,MATCH(IFERROR(VALUE(INDEX('Position Relationships'!$B$2:$F$53,MATCH($A14,'Position Relationships'!$A$2:$A$53,0),5)),""),$A$6:$A$57,0)),"")&lt;&gt;"",IFERROR(INDEX($N$6:$N$57,MATCH(IFERROR(VALUE(INDEX('Position Relationships'!$B$2:$F$53,MATCH($A14,'Position Relationships'!$A$2:$A$53,0),5)),""),$A$6:$A$57,0)),"")&lt;&gt;$N14),IFERROR(VALUE(INDEX('Position Relationships'!$B$2:$F$53,MATCH($A14,'Position Relationships'!$A$2:$A$53,0),5)),""),""))))),""))</f>
        <v/>
      </c>
      <c r="P14" s="51" t="str">
        <f aca="false">IF($O14="","",IFERROR(INDEX($F$6:$F$57,MATCH($O14,$A$6:$A$57,0)),""))</f>
        <v/>
      </c>
      <c r="Q14" s="52" t="str">
        <f aca="false">IF($A14="","",IF($M14&lt;&gt;"FILLED","POSITION UNFILLED",IF(IFERROR(INDEX('Position Library'!$E$2:$E$53,MATCH($A14,'Position Library'!$A$2:$A$53,0)),"N")&lt;&gt;"Y","NOT REQUIRED",IF(OR($O14="",$P14=""),"RELIEF GAP","COVERED"))))</f>
        <v>RELIEF GAP</v>
      </c>
      <c r="R14" s="52" t="str">
        <f aca="false">IF($A14="","",IF($D14&lt;&gt;"Tier 1","N/A",IF(OR($E$2="PM",$E$2="Overnight"),"N/A",IF($H14="3:45 AM","COVERED","OPENING GAP"))))</f>
        <v>COVERED</v>
      </c>
      <c r="S14" s="38"/>
    </row>
    <row r="15" customFormat="false" ht="19.5" hidden="false" customHeight="true" outlineLevel="0" collapsed="false">
      <c r="A15" s="29" t="n">
        <v>4</v>
      </c>
      <c r="B15" s="38" t="str">
        <f aca="false">IF($A15="","",IFERROR(INDEX('Position Library'!$B$2:$B$53,MATCH($A15,'Position Library'!$A$2:$A$53,0)),""))</f>
        <v>Main Security Checkpoint</v>
      </c>
      <c r="C15" s="38" t="str">
        <f aca="false">IF($A15="","",IFERROR(INDEX('Position Library'!$C$2:$C$53,MATCH($A15,'Position Library'!$A$2:$A$53,0)),""))</f>
        <v>Inside Center </v>
      </c>
      <c r="D15" s="29" t="str">
        <f aca="false">IF($A15="","",IFERROR(INDEX('Position Library'!$D$2:$D$53,MATCH($A15,'Position Library'!$A$2:$A$53,0)),""))</f>
        <v>Tier 1</v>
      </c>
      <c r="E15" s="38" t="str">
        <f aca="false">IF($A15="","",IF($A15=45,"Information Desk = Y",IF(OR($A15=4,$A15=8),IF(OR(WEEKDAY($B$2,2)=1,WEEKDAY($B$2,2)=4,WEEKDAY($B$2,2)=5,WEEKDAY($B$2,2)=7),"Main Inside = 3","Main Inside &gt;= 2"),IF(AND($A15&gt;=46,$A15&lt;=52),"Divest = Y","General Qualifications &gt;= 2"))))</f>
        <v>Main Inside &gt;= 2</v>
      </c>
      <c r="F15" s="29" t="str">
        <f aca="false">IF($A15="","",IFERROR(INDEX('Daily Workforce'!$B$6:$B$205,MATCH(1,Lists!Q11:HH11,0)),""))</f>
        <v/>
      </c>
      <c r="G15" s="1" t="str">
        <f aca="false">IF($F15="","",IFERROR(INDEX('Daily Workforce'!$C$6:$C$205,MATCH($F15,'Daily Workforce'!$B$6:$B$205,0)),""))</f>
        <v/>
      </c>
      <c r="H15" s="29" t="str">
        <f aca="false">IF($F15="","",IFERROR(INDEX('Daily Workforce'!$D$6:$D$205,MATCH($F15,'Daily Workforce'!$B$6:$B$205,0)),""))</f>
        <v/>
      </c>
      <c r="I15" s="29" t="str">
        <f aca="false">IF($H15="","",$H15)</f>
        <v/>
      </c>
      <c r="J15" s="29" t="str">
        <f aca="false">IF($H15="","",IF($H15="3:45 AM","12:45 PM",IF($H15="5:45 AM","2:45 PM",IF($H15="12:15 PM","9:15 PM",IF($H15="2:00 PM","11:00 PM",IF($H15="9:15 PM","6:15 AM",""))))))</f>
        <v/>
      </c>
      <c r="K15" s="29" t="str">
        <f aca="false">IF($F15="","",IFERROR(INDEX('Daily Workforce'!$I$6:$I$205,MATCH($F15,'Daily Workforce'!$B$6:$B$205,0)),""))</f>
        <v/>
      </c>
      <c r="L15" s="39" t="str">
        <f aca="false">IF($A15="","",IF($F15="","NO QUALIFIED EMPLOYEE","QUALIFIED"))</f>
        <v>NO QUALIFIED EMPLOYEE</v>
      </c>
      <c r="M15" s="29" t="str">
        <f aca="false">IF($A15="","",IF($F15="","UNFILLED","FILLED"))</f>
        <v>UNFILLED</v>
      </c>
      <c r="N15" s="43" t="str">
        <f aca="false">IF($F15="","",IF($H15="3:45 AM",IF(OR($K15="8:00 AM",$K15="9:00 AM"),$K15,CHOOSE(MOD(COUNTIF($H$6:$H15,$H15)-1,3)+1,"8:00 AM","8:00 AM","9:00 AM")),IF($H15="5:45 AM",IF(OR($K15="9:00 AM",$K15="10:00 AM"),$K15,CHOOSE(MOD(COUNTIF($H$6:$H15,$H15)-1,3)+1,"10:00 AM","10:00 AM","9:00 AM")),IF(AND($K15&lt;&gt;"",$K15&lt;&gt;"None"),$K15,IF($H15="12:15 PM",CHOOSE(MOD(COUNTIF($H$6:$H15,$H15)-1,2)+1,"4:00 PM","5:00 PM"),IF($H15="2:00 PM",CHOOSE(MOD(COUNTIF($H$6:$H15,$H15)-1,2)+1,"6:00 PM","7:00 PM"),IF($H15="9:15 PM",CHOOSE(MOD(COUNTIF($H$6:$H15,$H15)-1,2)+1,"1:00 AM","2:00 AM"),"")))))))</f>
        <v/>
      </c>
      <c r="O15" s="51" t="n">
        <f aca="false">IF($A15="","",IF(IFERROR(INDEX('Position Library'!$E$2:$E$53,MATCH($A15,'Position Library'!$A$2:$A$53,0)),"N")="Y",IF(AND(IFERROR(VALUE(INDEX('Position Relationships'!$B$2:$F$53,MATCH($A15,'Position Relationships'!$A$2:$A$53,0),1)),"")&lt;&gt;"",IFERROR(INDEX($N$6:$N$57,MATCH(IFERROR(VALUE(INDEX('Position Relationships'!$B$2:$F$53,MATCH($A15,'Position Relationships'!$A$2:$A$53,0),1)),""),$A$6:$A$57,0)),"")&lt;&gt;"",IFERROR(INDEX($N$6:$N$57,MATCH(IFERROR(VALUE(INDEX('Position Relationships'!$B$2:$F$53,MATCH($A15,'Position Relationships'!$A$2:$A$53,0),1)),""),$A$6:$A$57,0)),"")&lt;&gt;$N15),IFERROR(VALUE(INDEX('Position Relationships'!$B$2:$F$53,MATCH($A15,'Position Relationships'!$A$2:$A$53,0),1)),""),IF(AND(IFERROR(VALUE(INDEX('Position Relationships'!$B$2:$F$53,MATCH($A15,'Position Relationships'!$A$2:$A$53,0),2)),"")&lt;&gt;"",IFERROR(INDEX($N$6:$N$57,MATCH(IFERROR(VALUE(INDEX('Position Relationships'!$B$2:$F$53,MATCH($A15,'Position Relationships'!$A$2:$A$53,0),2)),""),$A$6:$A$57,0)),"")&lt;&gt;"",IFERROR(INDEX($N$6:$N$57,MATCH(IFERROR(VALUE(INDEX('Position Relationships'!$B$2:$F$53,MATCH($A15,'Position Relationships'!$A$2:$A$53,0),2)),""),$A$6:$A$57,0)),"")&lt;&gt;$N15),IFERROR(VALUE(INDEX('Position Relationships'!$B$2:$F$53,MATCH($A15,'Position Relationships'!$A$2:$A$53,0),2)),""),IF(AND(IFERROR(VALUE(INDEX('Position Relationships'!$B$2:$F$53,MATCH($A15,'Position Relationships'!$A$2:$A$53,0),3)),"")&lt;&gt;"",IFERROR(INDEX($N$6:$N$57,MATCH(IFERROR(VALUE(INDEX('Position Relationships'!$B$2:$F$53,MATCH($A15,'Position Relationships'!$A$2:$A$53,0),3)),""),$A$6:$A$57,0)),"")&lt;&gt;"",IFERROR(INDEX($N$6:$N$57,MATCH(IFERROR(VALUE(INDEX('Position Relationships'!$B$2:$F$53,MATCH($A15,'Position Relationships'!$A$2:$A$53,0),3)),""),$A$6:$A$57,0)),"")&lt;&gt;$N15),IFERROR(VALUE(INDEX('Position Relationships'!$B$2:$F$53,MATCH($A15,'Position Relationships'!$A$2:$A$53,0),3)),""),IF(AND(IFERROR(VALUE(INDEX('Position Relationships'!$B$2:$F$53,MATCH($A15,'Position Relationships'!$A$2:$A$53,0),4)),"")&lt;&gt;"",IFERROR(INDEX($N$6:$N$57,MATCH(IFERROR(VALUE(INDEX('Position Relationships'!$B$2:$F$53,MATCH($A15,'Position Relationships'!$A$2:$A$53,0),4)),""),$A$6:$A$57,0)),"")&lt;&gt;"",IFERROR(INDEX($N$6:$N$57,MATCH(IFERROR(VALUE(INDEX('Position Relationships'!$B$2:$F$53,MATCH($A15,'Position Relationships'!$A$2:$A$53,0),4)),""),$A$6:$A$57,0)),"")&lt;&gt;$N15),IFERROR(VALUE(INDEX('Position Relationships'!$B$2:$F$53,MATCH($A15,'Position Relationships'!$A$2:$A$53,0),4)),""),IF(AND(IFERROR(VALUE(INDEX('Position Relationships'!$B$2:$F$53,MATCH($A15,'Position Relationships'!$A$2:$A$53,0),5)),"")&lt;&gt;"",IFERROR(INDEX($N$6:$N$57,MATCH(IFERROR(VALUE(INDEX('Position Relationships'!$B$2:$F$53,MATCH($A15,'Position Relationships'!$A$2:$A$53,0),5)),""),$A$6:$A$57,0)),"")&lt;&gt;"",IFERROR(INDEX($N$6:$N$57,MATCH(IFERROR(VALUE(INDEX('Position Relationships'!$B$2:$F$53,MATCH($A15,'Position Relationships'!$A$2:$A$53,0),5)),""),$A$6:$A$57,0)),"")&lt;&gt;$N15),IFERROR(VALUE(INDEX('Position Relationships'!$B$2:$F$53,MATCH($A15,'Position Relationships'!$A$2:$A$53,0),5)),""),""))))),""))</f>
        <v>5</v>
      </c>
      <c r="P15" s="51" t="str">
        <f aca="false">IF($O15="","",IFERROR(INDEX($F$6:$F$57,MATCH($O15,$A$6:$A$57,0)),""))</f>
        <v>EMP-0082</v>
      </c>
      <c r="Q15" s="52" t="str">
        <f aca="false">IF($A15="","",IF($M15&lt;&gt;"FILLED","POSITION UNFILLED",IF(IFERROR(INDEX('Position Library'!$E$2:$E$53,MATCH($A15,'Position Library'!$A$2:$A$53,0)),"N")&lt;&gt;"Y","NOT REQUIRED",IF(OR($O15="",$P15=""),"RELIEF GAP","COVERED"))))</f>
        <v>POSITION UNFILLED</v>
      </c>
      <c r="R15" s="52" t="str">
        <f aca="false">IF($A15="","",IF($D15&lt;&gt;"Tier 1","N/A",IF(OR($E$2="PM",$E$2="Overnight"),"N/A",IF($H15="3:45 AM","COVERED","OPENING GAP"))))</f>
        <v>OPENING GAP</v>
      </c>
      <c r="S15" s="38"/>
    </row>
    <row r="16" customFormat="false" ht="19.5" hidden="false" customHeight="true" outlineLevel="0" collapsed="false">
      <c r="A16" s="29" t="n">
        <v>5</v>
      </c>
      <c r="B16" s="38" t="str">
        <f aca="false">IF($A16="","",IFERROR(INDEX('Position Library'!$B$2:$B$53,MATCH($A16,'Position Library'!$A$2:$A$53,0)),""))</f>
        <v>Main Security Checkpoint</v>
      </c>
      <c r="C16" s="38" t="str">
        <f aca="false">IF($A16="","",IFERROR(INDEX('Position Library'!$C$2:$C$53,MATCH($A16,'Position Library'!$A$2:$A$53,0)),""))</f>
        <v>Lanes 1 - 3 / Pre-Check </v>
      </c>
      <c r="D16" s="29" t="str">
        <f aca="false">IF($A16="","",IFERROR(INDEX('Position Library'!$D$2:$D$53,MATCH($A16,'Position Library'!$A$2:$A$53,0)),""))</f>
        <v>Tier 1</v>
      </c>
      <c r="E16" s="38" t="str">
        <f aca="false">IF($A16="","",IF($A16=45,"Information Desk = Y",IF(OR($A16=4,$A16=8),IF(OR(WEEKDAY($B$2,2)=1,WEEKDAY($B$2,2)=4,WEEKDAY($B$2,2)=5,WEEKDAY($B$2,2)=7),"Main Inside = 3","Main Inside &gt;= 2"),IF(AND($A16&gt;=46,$A16&lt;=52),"Divest = Y","General Qualifications &gt;= 2"))))</f>
        <v>General Qualifications &gt;= 2</v>
      </c>
      <c r="F16" s="29" t="str">
        <f aca="false">IF($A16="","",IFERROR(INDEX('Daily Workforce'!$B$6:$B$205,MATCH(1,Lists!Q12:HH12,0)),""))</f>
        <v>EMP-0082</v>
      </c>
      <c r="G16" s="1" t="str">
        <f aca="false">IF($F16="","",IFERROR(INDEX('Daily Workforce'!$C$6:$C$205,MATCH($F16,'Daily Workforce'!$B$6:$B$205,0)),""))</f>
        <v>Kelon Arnold</v>
      </c>
      <c r="H16" s="29" t="str">
        <f aca="false">IF($F16="","",IFERROR(INDEX('Daily Workforce'!$D$6:$D$205,MATCH($F16,'Daily Workforce'!$B$6:$B$205,0)),""))</f>
        <v>3:45 AM</v>
      </c>
      <c r="I16" s="29" t="str">
        <f aca="false">IF($H16="","",$H16)</f>
        <v>3:45 AM</v>
      </c>
      <c r="J16" s="29" t="str">
        <f aca="false">IF($H16="","",IF($H16="3:45 AM","12:45 PM",IF($H16="5:45 AM","2:45 PM",IF($H16="12:15 PM","9:15 PM",IF($H16="2:00 PM","11:00 PM",IF($H16="9:15 PM","6:15 AM",""))))))</f>
        <v>12:45 PM</v>
      </c>
      <c r="K16" s="29" t="str">
        <f aca="false">IF($F16="","",IFERROR(INDEX('Daily Workforce'!$I$6:$I$205,MATCH($F16,'Daily Workforce'!$B$6:$B$205,0)),""))</f>
        <v>None</v>
      </c>
      <c r="L16" s="39" t="str">
        <f aca="false">IF($A16="","",IF($F16="","NO QUALIFIED EMPLOYEE","QUALIFIED"))</f>
        <v>QUALIFIED</v>
      </c>
      <c r="M16" s="29" t="str">
        <f aca="false">IF($A16="","",IF($F16="","UNFILLED","FILLED"))</f>
        <v>FILLED</v>
      </c>
      <c r="N16" s="43" t="str">
        <f aca="false">IF($F16="","",IF($H16="3:45 AM",IF(OR($K16="8:00 AM",$K16="9:00 AM"),$K16,CHOOSE(MOD(COUNTIF($H$6:$H16,$H16)-1,3)+1,"8:00 AM","8:00 AM","9:00 AM")),IF($H16="5:45 AM",IF(OR($K16="9:00 AM",$K16="10:00 AM"),$K16,CHOOSE(MOD(COUNTIF($H$6:$H16,$H16)-1,3)+1,"10:00 AM","10:00 AM","9:00 AM")),IF(AND($K16&lt;&gt;"",$K16&lt;&gt;"None"),$K16,IF($H16="12:15 PM",CHOOSE(MOD(COUNTIF($H$6:$H16,$H16)-1,2)+1,"4:00 PM","5:00 PM"),IF($H16="2:00 PM",CHOOSE(MOD(COUNTIF($H$6:$H16,$H16)-1,2)+1,"6:00 PM","7:00 PM"),IF($H16="9:15 PM",CHOOSE(MOD(COUNTIF($H$6:$H16,$H16)-1,2)+1,"1:00 AM","2:00 AM"),"")))))))</f>
        <v>8:00 AM</v>
      </c>
      <c r="O16" s="51" t="n">
        <f aca="false">IF($A16="","",IF(IFERROR(INDEX('Position Library'!$E$2:$E$53,MATCH($A16,'Position Library'!$A$2:$A$53,0)),"N")="Y",IF(AND(IFERROR(VALUE(INDEX('Position Relationships'!$B$2:$F$53,MATCH($A16,'Position Relationships'!$A$2:$A$53,0),1)),"")&lt;&gt;"",IFERROR(INDEX($N$6:$N$57,MATCH(IFERROR(VALUE(INDEX('Position Relationships'!$B$2:$F$53,MATCH($A16,'Position Relationships'!$A$2:$A$53,0),1)),""),$A$6:$A$57,0)),"")&lt;&gt;"",IFERROR(INDEX($N$6:$N$57,MATCH(IFERROR(VALUE(INDEX('Position Relationships'!$B$2:$F$53,MATCH($A16,'Position Relationships'!$A$2:$A$53,0),1)),""),$A$6:$A$57,0)),"")&lt;&gt;$N16),IFERROR(VALUE(INDEX('Position Relationships'!$B$2:$F$53,MATCH($A16,'Position Relationships'!$A$2:$A$53,0),1)),""),IF(AND(IFERROR(VALUE(INDEX('Position Relationships'!$B$2:$F$53,MATCH($A16,'Position Relationships'!$A$2:$A$53,0),2)),"")&lt;&gt;"",IFERROR(INDEX($N$6:$N$57,MATCH(IFERROR(VALUE(INDEX('Position Relationships'!$B$2:$F$53,MATCH($A16,'Position Relationships'!$A$2:$A$53,0),2)),""),$A$6:$A$57,0)),"")&lt;&gt;"",IFERROR(INDEX($N$6:$N$57,MATCH(IFERROR(VALUE(INDEX('Position Relationships'!$B$2:$F$53,MATCH($A16,'Position Relationships'!$A$2:$A$53,0),2)),""),$A$6:$A$57,0)),"")&lt;&gt;$N16),IFERROR(VALUE(INDEX('Position Relationships'!$B$2:$F$53,MATCH($A16,'Position Relationships'!$A$2:$A$53,0),2)),""),IF(AND(IFERROR(VALUE(INDEX('Position Relationships'!$B$2:$F$53,MATCH($A16,'Position Relationships'!$A$2:$A$53,0),3)),"")&lt;&gt;"",IFERROR(INDEX($N$6:$N$57,MATCH(IFERROR(VALUE(INDEX('Position Relationships'!$B$2:$F$53,MATCH($A16,'Position Relationships'!$A$2:$A$53,0),3)),""),$A$6:$A$57,0)),"")&lt;&gt;"",IFERROR(INDEX($N$6:$N$57,MATCH(IFERROR(VALUE(INDEX('Position Relationships'!$B$2:$F$53,MATCH($A16,'Position Relationships'!$A$2:$A$53,0),3)),""),$A$6:$A$57,0)),"")&lt;&gt;$N16),IFERROR(VALUE(INDEX('Position Relationships'!$B$2:$F$53,MATCH($A16,'Position Relationships'!$A$2:$A$53,0),3)),""),IF(AND(IFERROR(VALUE(INDEX('Position Relationships'!$B$2:$F$53,MATCH($A16,'Position Relationships'!$A$2:$A$53,0),4)),"")&lt;&gt;"",IFERROR(INDEX($N$6:$N$57,MATCH(IFERROR(VALUE(INDEX('Position Relationships'!$B$2:$F$53,MATCH($A16,'Position Relationships'!$A$2:$A$53,0),4)),""),$A$6:$A$57,0)),"")&lt;&gt;"",IFERROR(INDEX($N$6:$N$57,MATCH(IFERROR(VALUE(INDEX('Position Relationships'!$B$2:$F$53,MATCH($A16,'Position Relationships'!$A$2:$A$53,0),4)),""),$A$6:$A$57,0)),"")&lt;&gt;$N16),IFERROR(VALUE(INDEX('Position Relationships'!$B$2:$F$53,MATCH($A16,'Position Relationships'!$A$2:$A$53,0),4)),""),IF(AND(IFERROR(VALUE(INDEX('Position Relationships'!$B$2:$F$53,MATCH($A16,'Position Relationships'!$A$2:$A$53,0),5)),"")&lt;&gt;"",IFERROR(INDEX($N$6:$N$57,MATCH(IFERROR(VALUE(INDEX('Position Relationships'!$B$2:$F$53,MATCH($A16,'Position Relationships'!$A$2:$A$53,0),5)),""),$A$6:$A$57,0)),"")&lt;&gt;"",IFERROR(INDEX($N$6:$N$57,MATCH(IFERROR(VALUE(INDEX('Position Relationships'!$B$2:$F$53,MATCH($A16,'Position Relationships'!$A$2:$A$53,0),5)),""),$A$6:$A$57,0)),"")&lt;&gt;$N16),IFERROR(VALUE(INDEX('Position Relationships'!$B$2:$F$53,MATCH($A16,'Position Relationships'!$A$2:$A$53,0),5)),""),""))))),""))</f>
        <v>3</v>
      </c>
      <c r="P16" s="51" t="str">
        <f aca="false">IF($O16="","",IFERROR(INDEX($F$6:$F$57,MATCH($O16,$A$6:$A$57,0)),""))</f>
        <v>EMP-0009</v>
      </c>
      <c r="Q16" s="52" t="str">
        <f aca="false">IF($A16="","",IF($M16&lt;&gt;"FILLED","POSITION UNFILLED",IF(IFERROR(INDEX('Position Library'!$E$2:$E$53,MATCH($A16,'Position Library'!$A$2:$A$53,0)),"N")&lt;&gt;"Y","NOT REQUIRED",IF(OR($O16="",$P16=""),"RELIEF GAP","COVERED"))))</f>
        <v>COVERED</v>
      </c>
      <c r="R16" s="52" t="str">
        <f aca="false">IF($A16="","",IF($D16&lt;&gt;"Tier 1","N/A",IF(OR($E$2="PM",$E$2="Overnight"),"N/A",IF($H16="3:45 AM","COVERED","OPENING GAP"))))</f>
        <v>COVERED</v>
      </c>
      <c r="S16" s="38"/>
    </row>
    <row r="17" customFormat="false" ht="19.5" hidden="false" customHeight="true" outlineLevel="0" collapsed="false">
      <c r="A17" s="29" t="n">
        <v>8</v>
      </c>
      <c r="B17" s="38" t="str">
        <f aca="false">IF($A17="","",IFERROR(INDEX('Position Library'!$B$2:$B$53,MATCH($A17,'Position Library'!$A$2:$A$53,0)),""))</f>
        <v>Main Security Checkpoint</v>
      </c>
      <c r="C17" s="38" t="str">
        <f aca="false">IF($A17="","",IFERROR(INDEX('Position Library'!$C$2:$C$53,MATCH($A17,'Position Library'!$A$2:$A$53,0)),""))</f>
        <v>Inside Center </v>
      </c>
      <c r="D17" s="29" t="str">
        <f aca="false">IF($A17="","",IFERROR(INDEX('Position Library'!$D$2:$D$53,MATCH($A17,'Position Library'!$A$2:$A$53,0)),""))</f>
        <v>Tier 1</v>
      </c>
      <c r="E17" s="38" t="str">
        <f aca="false">IF($A17="","",IF($A17=45,"Information Desk = Y",IF(OR($A17=4,$A17=8),IF(OR(WEEKDAY($B$2,2)=1,WEEKDAY($B$2,2)=4,WEEKDAY($B$2,2)=5,WEEKDAY($B$2,2)=7),"Main Inside = 3","Main Inside &gt;= 2"),IF(AND($A17&gt;=46,$A17&lt;=52),"Divest = Y","General Qualifications &gt;= 2"))))</f>
        <v>Main Inside &gt;= 2</v>
      </c>
      <c r="F17" s="29" t="str">
        <f aca="false">IF($A17="","",IFERROR(INDEX('Daily Workforce'!$B$6:$B$205,MATCH(1,Lists!Q13:HH13,0)),""))</f>
        <v/>
      </c>
      <c r="G17" s="1" t="str">
        <f aca="false">IF($F17="","",IFERROR(INDEX('Daily Workforce'!$C$6:$C$205,MATCH($F17,'Daily Workforce'!$B$6:$B$205,0)),""))</f>
        <v/>
      </c>
      <c r="H17" s="29" t="str">
        <f aca="false">IF($F17="","",IFERROR(INDEX('Daily Workforce'!$D$6:$D$205,MATCH($F17,'Daily Workforce'!$B$6:$B$205,0)),""))</f>
        <v/>
      </c>
      <c r="I17" s="29" t="str">
        <f aca="false">IF($H17="","",$H17)</f>
        <v/>
      </c>
      <c r="J17" s="29" t="str">
        <f aca="false">IF($H17="","",IF($H17="3:45 AM","12:45 PM",IF($H17="5:45 AM","2:45 PM",IF($H17="12:15 PM","9:15 PM",IF($H17="2:00 PM","11:00 PM",IF($H17="9:15 PM","6:15 AM",""))))))</f>
        <v/>
      </c>
      <c r="K17" s="29" t="str">
        <f aca="false">IF($F17="","",IFERROR(INDEX('Daily Workforce'!$I$6:$I$205,MATCH($F17,'Daily Workforce'!$B$6:$B$205,0)),""))</f>
        <v/>
      </c>
      <c r="L17" s="39" t="str">
        <f aca="false">IF($A17="","",IF($F17="","NO QUALIFIED EMPLOYEE","QUALIFIED"))</f>
        <v>NO QUALIFIED EMPLOYEE</v>
      </c>
      <c r="M17" s="29" t="str">
        <f aca="false">IF($A17="","",IF($F17="","UNFILLED","FILLED"))</f>
        <v>UNFILLED</v>
      </c>
      <c r="N17" s="43" t="str">
        <f aca="false">IF($F17="","",IF($H17="3:45 AM",IF(OR($K17="8:00 AM",$K17="9:00 AM"),$K17,CHOOSE(MOD(COUNTIF($H$6:$H17,$H17)-1,3)+1,"8:00 AM","8:00 AM","9:00 AM")),IF($H17="5:45 AM",IF(OR($K17="9:00 AM",$K17="10:00 AM"),$K17,CHOOSE(MOD(COUNTIF($H$6:$H17,$H17)-1,3)+1,"10:00 AM","10:00 AM","9:00 AM")),IF(AND($K17&lt;&gt;"",$K17&lt;&gt;"None"),$K17,IF($H17="12:15 PM",CHOOSE(MOD(COUNTIF($H$6:$H17,$H17)-1,2)+1,"4:00 PM","5:00 PM"),IF($H17="2:00 PM",CHOOSE(MOD(COUNTIF($H$6:$H17,$H17)-1,2)+1,"6:00 PM","7:00 PM"),IF($H17="9:15 PM",CHOOSE(MOD(COUNTIF($H$6:$H17,$H17)-1,2)+1,"1:00 AM","2:00 AM"),"")))))))</f>
        <v/>
      </c>
      <c r="O17" s="51" t="n">
        <f aca="false">IF($A17="","",IF(IFERROR(INDEX('Position Library'!$E$2:$E$53,MATCH($A17,'Position Library'!$A$2:$A$53,0)),"N")="Y",IF(AND(IFERROR(VALUE(INDEX('Position Relationships'!$B$2:$F$53,MATCH($A17,'Position Relationships'!$A$2:$A$53,0),1)),"")&lt;&gt;"",IFERROR(INDEX($N$6:$N$57,MATCH(IFERROR(VALUE(INDEX('Position Relationships'!$B$2:$F$53,MATCH($A17,'Position Relationships'!$A$2:$A$53,0),1)),""),$A$6:$A$57,0)),"")&lt;&gt;"",IFERROR(INDEX($N$6:$N$57,MATCH(IFERROR(VALUE(INDEX('Position Relationships'!$B$2:$F$53,MATCH($A17,'Position Relationships'!$A$2:$A$53,0),1)),""),$A$6:$A$57,0)),"")&lt;&gt;$N17),IFERROR(VALUE(INDEX('Position Relationships'!$B$2:$F$53,MATCH($A17,'Position Relationships'!$A$2:$A$53,0),1)),""),IF(AND(IFERROR(VALUE(INDEX('Position Relationships'!$B$2:$F$53,MATCH($A17,'Position Relationships'!$A$2:$A$53,0),2)),"")&lt;&gt;"",IFERROR(INDEX($N$6:$N$57,MATCH(IFERROR(VALUE(INDEX('Position Relationships'!$B$2:$F$53,MATCH($A17,'Position Relationships'!$A$2:$A$53,0),2)),""),$A$6:$A$57,0)),"")&lt;&gt;"",IFERROR(INDEX($N$6:$N$57,MATCH(IFERROR(VALUE(INDEX('Position Relationships'!$B$2:$F$53,MATCH($A17,'Position Relationships'!$A$2:$A$53,0),2)),""),$A$6:$A$57,0)),"")&lt;&gt;$N17),IFERROR(VALUE(INDEX('Position Relationships'!$B$2:$F$53,MATCH($A17,'Position Relationships'!$A$2:$A$53,0),2)),""),IF(AND(IFERROR(VALUE(INDEX('Position Relationships'!$B$2:$F$53,MATCH($A17,'Position Relationships'!$A$2:$A$53,0),3)),"")&lt;&gt;"",IFERROR(INDEX($N$6:$N$57,MATCH(IFERROR(VALUE(INDEX('Position Relationships'!$B$2:$F$53,MATCH($A17,'Position Relationships'!$A$2:$A$53,0),3)),""),$A$6:$A$57,0)),"")&lt;&gt;"",IFERROR(INDEX($N$6:$N$57,MATCH(IFERROR(VALUE(INDEX('Position Relationships'!$B$2:$F$53,MATCH($A17,'Position Relationships'!$A$2:$A$53,0),3)),""),$A$6:$A$57,0)),"")&lt;&gt;$N17),IFERROR(VALUE(INDEX('Position Relationships'!$B$2:$F$53,MATCH($A17,'Position Relationships'!$A$2:$A$53,0),3)),""),IF(AND(IFERROR(VALUE(INDEX('Position Relationships'!$B$2:$F$53,MATCH($A17,'Position Relationships'!$A$2:$A$53,0),4)),"")&lt;&gt;"",IFERROR(INDEX($N$6:$N$57,MATCH(IFERROR(VALUE(INDEX('Position Relationships'!$B$2:$F$53,MATCH($A17,'Position Relationships'!$A$2:$A$53,0),4)),""),$A$6:$A$57,0)),"")&lt;&gt;"",IFERROR(INDEX($N$6:$N$57,MATCH(IFERROR(VALUE(INDEX('Position Relationships'!$B$2:$F$53,MATCH($A17,'Position Relationships'!$A$2:$A$53,0),4)),""),$A$6:$A$57,0)),"")&lt;&gt;$N17),IFERROR(VALUE(INDEX('Position Relationships'!$B$2:$F$53,MATCH($A17,'Position Relationships'!$A$2:$A$53,0),4)),""),IF(AND(IFERROR(VALUE(INDEX('Position Relationships'!$B$2:$F$53,MATCH($A17,'Position Relationships'!$A$2:$A$53,0),5)),"")&lt;&gt;"",IFERROR(INDEX($N$6:$N$57,MATCH(IFERROR(VALUE(INDEX('Position Relationships'!$B$2:$F$53,MATCH($A17,'Position Relationships'!$A$2:$A$53,0),5)),""),$A$6:$A$57,0)),"")&lt;&gt;"",IFERROR(INDEX($N$6:$N$57,MATCH(IFERROR(VALUE(INDEX('Position Relationships'!$B$2:$F$53,MATCH($A17,'Position Relationships'!$A$2:$A$53,0),5)),""),$A$6:$A$57,0)),"")&lt;&gt;$N17),IFERROR(VALUE(INDEX('Position Relationships'!$B$2:$F$53,MATCH($A17,'Position Relationships'!$A$2:$A$53,0),5)),""),""))))),""))</f>
        <v>3</v>
      </c>
      <c r="P17" s="51" t="str">
        <f aca="false">IF($O17="","",IFERROR(INDEX($F$6:$F$57,MATCH($O17,$A$6:$A$57,0)),""))</f>
        <v>EMP-0009</v>
      </c>
      <c r="Q17" s="52" t="str">
        <f aca="false">IF($A17="","",IF($M17&lt;&gt;"FILLED","POSITION UNFILLED",IF(IFERROR(INDEX('Position Library'!$E$2:$E$53,MATCH($A17,'Position Library'!$A$2:$A$53,0)),"N")&lt;&gt;"Y","NOT REQUIRED",IF(OR($O17="",$P17=""),"RELIEF GAP","COVERED"))))</f>
        <v>POSITION UNFILLED</v>
      </c>
      <c r="R17" s="52" t="str">
        <f aca="false">IF($A17="","",IF($D17&lt;&gt;"Tier 1","N/A",IF(OR($E$2="PM",$E$2="Overnight"),"N/A",IF($H17="3:45 AM","COVERED","OPENING GAP"))))</f>
        <v>OPENING GAP</v>
      </c>
      <c r="S17" s="38"/>
    </row>
    <row r="18" customFormat="false" ht="19.5" hidden="false" customHeight="true" outlineLevel="0" collapsed="false">
      <c r="A18" s="29" t="n">
        <v>14</v>
      </c>
      <c r="B18" s="38" t="str">
        <f aca="false">IF($A18="","",IFERROR(INDEX('Position Library'!$B$2:$B$53,MATCH($A18,'Position Library'!$A$2:$A$53,0)),""))</f>
        <v>South Security Checkpoint</v>
      </c>
      <c r="C18" s="38" t="str">
        <f aca="false">IF($A18="","",IFERROR(INDEX('Position Library'!$C$2:$C$53,MATCH($A18,'Position Library'!$A$2:$A$53,0)),""))</f>
        <v>Checkpoint – Inside </v>
      </c>
      <c r="D18" s="29" t="str">
        <f aca="false">IF($A18="","",IFERROR(INDEX('Position Library'!$D$2:$D$53,MATCH($A18,'Position Library'!$A$2:$A$53,0)),""))</f>
        <v>Tier 1</v>
      </c>
      <c r="E18" s="38" t="str">
        <f aca="false">IF($A18="","",IF($A18=45,"Information Desk = Y",IF(OR($A18=4,$A18=8),IF(OR(WEEKDAY($B$2,2)=1,WEEKDAY($B$2,2)=4,WEEKDAY($B$2,2)=5,WEEKDAY($B$2,2)=7),"Main Inside = 3","Main Inside &gt;= 2"),IF(AND($A18&gt;=46,$A18&lt;=52),"Divest = Y","General Qualifications &gt;= 2"))))</f>
        <v>General Qualifications &gt;= 2</v>
      </c>
      <c r="F18" s="29" t="str">
        <f aca="false">IF($A18="","",IFERROR(INDEX('Daily Workforce'!$B$6:$B$205,MATCH(1,Lists!Q14:HH14,0)),""))</f>
        <v>EMP-0087</v>
      </c>
      <c r="G18" s="1" t="str">
        <f aca="false">IF($F18="","",IFERROR(INDEX('Daily Workforce'!$C$6:$C$205,MATCH($F18,'Daily Workforce'!$B$6:$B$205,0)),""))</f>
        <v>Kimberly Morrison</v>
      </c>
      <c r="H18" s="29" t="str">
        <f aca="false">IF($F18="","",IFERROR(INDEX('Daily Workforce'!$D$6:$D$205,MATCH($F18,'Daily Workforce'!$B$6:$B$205,0)),""))</f>
        <v>3:45 AM</v>
      </c>
      <c r="I18" s="29" t="str">
        <f aca="false">IF($H18="","",$H18)</f>
        <v>3:45 AM</v>
      </c>
      <c r="J18" s="29" t="str">
        <f aca="false">IF($H18="","",IF($H18="3:45 AM","12:45 PM",IF($H18="5:45 AM","2:45 PM",IF($H18="12:15 PM","9:15 PM",IF($H18="2:00 PM","11:00 PM",IF($H18="9:15 PM","6:15 AM",""))))))</f>
        <v>12:45 PM</v>
      </c>
      <c r="K18" s="29" t="str">
        <f aca="false">IF($F18="","",IFERROR(INDEX('Daily Workforce'!$I$6:$I$205,MATCH($F18,'Daily Workforce'!$B$6:$B$205,0)),""))</f>
        <v>None</v>
      </c>
      <c r="L18" s="39" t="str">
        <f aca="false">IF($A18="","",IF($F18="","NO QUALIFIED EMPLOYEE","QUALIFIED"))</f>
        <v>QUALIFIED</v>
      </c>
      <c r="M18" s="29" t="str">
        <f aca="false">IF($A18="","",IF($F18="","UNFILLED","FILLED"))</f>
        <v>FILLED</v>
      </c>
      <c r="N18" s="43" t="str">
        <f aca="false">IF($F18="","",IF($H18="3:45 AM",IF(OR($K18="8:00 AM",$K18="9:00 AM"),$K18,CHOOSE(MOD(COUNTIF($H$6:$H18,$H18)-1,3)+1,"8:00 AM","8:00 AM","9:00 AM")),IF($H18="5:45 AM",IF(OR($K18="9:00 AM",$K18="10:00 AM"),$K18,CHOOSE(MOD(COUNTIF($H$6:$H18,$H18)-1,3)+1,"10:00 AM","10:00 AM","9:00 AM")),IF(AND($K18&lt;&gt;"",$K18&lt;&gt;"None"),$K18,IF($H18="12:15 PM",CHOOSE(MOD(COUNTIF($H$6:$H18,$H18)-1,2)+1,"4:00 PM","5:00 PM"),IF($H18="2:00 PM",CHOOSE(MOD(COUNTIF($H$6:$H18,$H18)-1,2)+1,"6:00 PM","7:00 PM"),IF($H18="9:15 PM",CHOOSE(MOD(COUNTIF($H$6:$H18,$H18)-1,2)+1,"1:00 AM","2:00 AM"),"")))))))</f>
        <v>8:00 AM</v>
      </c>
      <c r="O18" s="51" t="n">
        <f aca="false">IF($A18="","",IF(IFERROR(INDEX('Position Library'!$E$2:$E$53,MATCH($A18,'Position Library'!$A$2:$A$53,0)),"N")="Y",IF(AND(IFERROR(VALUE(INDEX('Position Relationships'!$B$2:$F$53,MATCH($A18,'Position Relationships'!$A$2:$A$53,0),1)),"")&lt;&gt;"",IFERROR(INDEX($N$6:$N$57,MATCH(IFERROR(VALUE(INDEX('Position Relationships'!$B$2:$F$53,MATCH($A18,'Position Relationships'!$A$2:$A$53,0),1)),""),$A$6:$A$57,0)),"")&lt;&gt;"",IFERROR(INDEX($N$6:$N$57,MATCH(IFERROR(VALUE(INDEX('Position Relationships'!$B$2:$F$53,MATCH($A18,'Position Relationships'!$A$2:$A$53,0),1)),""),$A$6:$A$57,0)),"")&lt;&gt;$N18),IFERROR(VALUE(INDEX('Position Relationships'!$B$2:$F$53,MATCH($A18,'Position Relationships'!$A$2:$A$53,0),1)),""),IF(AND(IFERROR(VALUE(INDEX('Position Relationships'!$B$2:$F$53,MATCH($A18,'Position Relationships'!$A$2:$A$53,0),2)),"")&lt;&gt;"",IFERROR(INDEX($N$6:$N$57,MATCH(IFERROR(VALUE(INDEX('Position Relationships'!$B$2:$F$53,MATCH($A18,'Position Relationships'!$A$2:$A$53,0),2)),""),$A$6:$A$57,0)),"")&lt;&gt;"",IFERROR(INDEX($N$6:$N$57,MATCH(IFERROR(VALUE(INDEX('Position Relationships'!$B$2:$F$53,MATCH($A18,'Position Relationships'!$A$2:$A$53,0),2)),""),$A$6:$A$57,0)),"")&lt;&gt;$N18),IFERROR(VALUE(INDEX('Position Relationships'!$B$2:$F$53,MATCH($A18,'Position Relationships'!$A$2:$A$53,0),2)),""),IF(AND(IFERROR(VALUE(INDEX('Position Relationships'!$B$2:$F$53,MATCH($A18,'Position Relationships'!$A$2:$A$53,0),3)),"")&lt;&gt;"",IFERROR(INDEX($N$6:$N$57,MATCH(IFERROR(VALUE(INDEX('Position Relationships'!$B$2:$F$53,MATCH($A18,'Position Relationships'!$A$2:$A$53,0),3)),""),$A$6:$A$57,0)),"")&lt;&gt;"",IFERROR(INDEX($N$6:$N$57,MATCH(IFERROR(VALUE(INDEX('Position Relationships'!$B$2:$F$53,MATCH($A18,'Position Relationships'!$A$2:$A$53,0),3)),""),$A$6:$A$57,0)),"")&lt;&gt;$N18),IFERROR(VALUE(INDEX('Position Relationships'!$B$2:$F$53,MATCH($A18,'Position Relationships'!$A$2:$A$53,0),3)),""),IF(AND(IFERROR(VALUE(INDEX('Position Relationships'!$B$2:$F$53,MATCH($A18,'Position Relationships'!$A$2:$A$53,0),4)),"")&lt;&gt;"",IFERROR(INDEX($N$6:$N$57,MATCH(IFERROR(VALUE(INDEX('Position Relationships'!$B$2:$F$53,MATCH($A18,'Position Relationships'!$A$2:$A$53,0),4)),""),$A$6:$A$57,0)),"")&lt;&gt;"",IFERROR(INDEX($N$6:$N$57,MATCH(IFERROR(VALUE(INDEX('Position Relationships'!$B$2:$F$53,MATCH($A18,'Position Relationships'!$A$2:$A$53,0),4)),""),$A$6:$A$57,0)),"")&lt;&gt;$N18),IFERROR(VALUE(INDEX('Position Relationships'!$B$2:$F$53,MATCH($A18,'Position Relationships'!$A$2:$A$53,0),4)),""),IF(AND(IFERROR(VALUE(INDEX('Position Relationships'!$B$2:$F$53,MATCH($A18,'Position Relationships'!$A$2:$A$53,0),5)),"")&lt;&gt;"",IFERROR(INDEX($N$6:$N$57,MATCH(IFERROR(VALUE(INDEX('Position Relationships'!$B$2:$F$53,MATCH($A18,'Position Relationships'!$A$2:$A$53,0),5)),""),$A$6:$A$57,0)),"")&lt;&gt;"",IFERROR(INDEX($N$6:$N$57,MATCH(IFERROR(VALUE(INDEX('Position Relationships'!$B$2:$F$53,MATCH($A18,'Position Relationships'!$A$2:$A$53,0),5)),""),$A$6:$A$57,0)),"")&lt;&gt;$N18),IFERROR(VALUE(INDEX('Position Relationships'!$B$2:$F$53,MATCH($A18,'Position Relationships'!$A$2:$A$53,0),5)),""),""))))),""))</f>
        <v>16</v>
      </c>
      <c r="P18" s="51" t="str">
        <f aca="false">IF($O18="","",IFERROR(INDEX($F$6:$F$57,MATCH($O18,$A$6:$A$57,0)),""))</f>
        <v>EMP-0091</v>
      </c>
      <c r="Q18" s="52" t="str">
        <f aca="false">IF($A18="","",IF($M18&lt;&gt;"FILLED","POSITION UNFILLED",IF(IFERROR(INDEX('Position Library'!$E$2:$E$53,MATCH($A18,'Position Library'!$A$2:$A$53,0)),"N")&lt;&gt;"Y","NOT REQUIRED",IF(OR($O18="",$P18=""),"RELIEF GAP","COVERED"))))</f>
        <v>COVERED</v>
      </c>
      <c r="R18" s="52" t="str">
        <f aca="false">IF($A18="","",IF($D18&lt;&gt;"Tier 1","N/A",IF(OR($E$2="PM",$E$2="Overnight"),"N/A",IF($H18="3:45 AM","COVERED","OPENING GAP"))))</f>
        <v>COVERED</v>
      </c>
      <c r="S18" s="38"/>
    </row>
    <row r="19" customFormat="false" ht="19.5" hidden="false" customHeight="true" outlineLevel="0" collapsed="false">
      <c r="A19" s="29" t="n">
        <v>16</v>
      </c>
      <c r="B19" s="38" t="str">
        <f aca="false">IF($A19="","",IFERROR(INDEX('Position Library'!$B$2:$B$53,MATCH($A19,'Position Library'!$A$2:$A$53,0)),""))</f>
        <v>South Security Checkpoint</v>
      </c>
      <c r="C19" s="38" t="str">
        <f aca="false">IF($A19="","",IFERROR(INDEX('Position Library'!$C$2:$C$53,MATCH($A19,'Position Library'!$A$2:$A$53,0)),""))</f>
        <v>Checkpoint – Front Entrance</v>
      </c>
      <c r="D19" s="29" t="str">
        <f aca="false">IF($A19="","",IFERROR(INDEX('Position Library'!$D$2:$D$53,MATCH($A19,'Position Library'!$A$2:$A$53,0)),""))</f>
        <v>Tier 1</v>
      </c>
      <c r="E19" s="38" t="str">
        <f aca="false">IF($A19="","",IF($A19=45,"Information Desk = Y",IF(OR($A19=4,$A19=8),IF(OR(WEEKDAY($B$2,2)=1,WEEKDAY($B$2,2)=4,WEEKDAY($B$2,2)=5,WEEKDAY($B$2,2)=7),"Main Inside = 3","Main Inside &gt;= 2"),IF(AND($A19&gt;=46,$A19&lt;=52),"Divest = Y","General Qualifications &gt;= 2"))))</f>
        <v>General Qualifications &gt;= 2</v>
      </c>
      <c r="F19" s="29" t="str">
        <f aca="false">IF($A19="","",IFERROR(INDEX('Daily Workforce'!$B$6:$B$205,MATCH(1,Lists!Q15:HH15,0)),""))</f>
        <v>EMP-0091</v>
      </c>
      <c r="G19" s="1" t="str">
        <f aca="false">IF($F19="","",IFERROR(INDEX('Daily Workforce'!$C$6:$C$205,MATCH($F19,'Daily Workforce'!$B$6:$B$205,0)),""))</f>
        <v>Larry Fuller</v>
      </c>
      <c r="H19" s="29" t="str">
        <f aca="false">IF($F19="","",IFERROR(INDEX('Daily Workforce'!$D$6:$D$205,MATCH($F19,'Daily Workforce'!$B$6:$B$205,0)),""))</f>
        <v>3:45 AM</v>
      </c>
      <c r="I19" s="29" t="str">
        <f aca="false">IF($H19="","",$H19)</f>
        <v>3:45 AM</v>
      </c>
      <c r="J19" s="29" t="str">
        <f aca="false">IF($H19="","",IF($H19="3:45 AM","12:45 PM",IF($H19="5:45 AM","2:45 PM",IF($H19="12:15 PM","9:15 PM",IF($H19="2:00 PM","11:00 PM",IF($H19="9:15 PM","6:15 AM",""))))))</f>
        <v>12:45 PM</v>
      </c>
      <c r="K19" s="29" t="str">
        <f aca="false">IF($F19="","",IFERROR(INDEX('Daily Workforce'!$I$6:$I$205,MATCH($F19,'Daily Workforce'!$B$6:$B$205,0)),""))</f>
        <v>None</v>
      </c>
      <c r="L19" s="39" t="str">
        <f aca="false">IF($A19="","",IF($F19="","NO QUALIFIED EMPLOYEE","QUALIFIED"))</f>
        <v>QUALIFIED</v>
      </c>
      <c r="M19" s="29" t="str">
        <f aca="false">IF($A19="","",IF($F19="","UNFILLED","FILLED"))</f>
        <v>FILLED</v>
      </c>
      <c r="N19" s="43" t="str">
        <f aca="false">IF($F19="","",IF($H19="3:45 AM",IF(OR($K19="8:00 AM",$K19="9:00 AM"),$K19,CHOOSE(MOD(COUNTIF($H$6:$H19,$H19)-1,3)+1,"8:00 AM","8:00 AM","9:00 AM")),IF($H19="5:45 AM",IF(OR($K19="9:00 AM",$K19="10:00 AM"),$K19,CHOOSE(MOD(COUNTIF($H$6:$H19,$H19)-1,3)+1,"10:00 AM","10:00 AM","9:00 AM")),IF(AND($K19&lt;&gt;"",$K19&lt;&gt;"None"),$K19,IF($H19="12:15 PM",CHOOSE(MOD(COUNTIF($H$6:$H19,$H19)-1,2)+1,"4:00 PM","5:00 PM"),IF($H19="2:00 PM",CHOOSE(MOD(COUNTIF($H$6:$H19,$H19)-1,2)+1,"6:00 PM","7:00 PM"),IF($H19="9:15 PM",CHOOSE(MOD(COUNTIF($H$6:$H19,$H19)-1,2)+1,"1:00 AM","2:00 AM"),"")))))))</f>
        <v>9:00 AM</v>
      </c>
      <c r="O19" s="51" t="n">
        <f aca="false">IF($A19="","",IF(IFERROR(INDEX('Position Library'!$E$2:$E$53,MATCH($A19,'Position Library'!$A$2:$A$53,0)),"N")="Y",IF(AND(IFERROR(VALUE(INDEX('Position Relationships'!$B$2:$F$53,MATCH($A19,'Position Relationships'!$A$2:$A$53,0),1)),"")&lt;&gt;"",IFERROR(INDEX($N$6:$N$57,MATCH(IFERROR(VALUE(INDEX('Position Relationships'!$B$2:$F$53,MATCH($A19,'Position Relationships'!$A$2:$A$53,0),1)),""),$A$6:$A$57,0)),"")&lt;&gt;"",IFERROR(INDEX($N$6:$N$57,MATCH(IFERROR(VALUE(INDEX('Position Relationships'!$B$2:$F$53,MATCH($A19,'Position Relationships'!$A$2:$A$53,0),1)),""),$A$6:$A$57,0)),"")&lt;&gt;$N19),IFERROR(VALUE(INDEX('Position Relationships'!$B$2:$F$53,MATCH($A19,'Position Relationships'!$A$2:$A$53,0),1)),""),IF(AND(IFERROR(VALUE(INDEX('Position Relationships'!$B$2:$F$53,MATCH($A19,'Position Relationships'!$A$2:$A$53,0),2)),"")&lt;&gt;"",IFERROR(INDEX($N$6:$N$57,MATCH(IFERROR(VALUE(INDEX('Position Relationships'!$B$2:$F$53,MATCH($A19,'Position Relationships'!$A$2:$A$53,0),2)),""),$A$6:$A$57,0)),"")&lt;&gt;"",IFERROR(INDEX($N$6:$N$57,MATCH(IFERROR(VALUE(INDEX('Position Relationships'!$B$2:$F$53,MATCH($A19,'Position Relationships'!$A$2:$A$53,0),2)),""),$A$6:$A$57,0)),"")&lt;&gt;$N19),IFERROR(VALUE(INDEX('Position Relationships'!$B$2:$F$53,MATCH($A19,'Position Relationships'!$A$2:$A$53,0),2)),""),IF(AND(IFERROR(VALUE(INDEX('Position Relationships'!$B$2:$F$53,MATCH($A19,'Position Relationships'!$A$2:$A$53,0),3)),"")&lt;&gt;"",IFERROR(INDEX($N$6:$N$57,MATCH(IFERROR(VALUE(INDEX('Position Relationships'!$B$2:$F$53,MATCH($A19,'Position Relationships'!$A$2:$A$53,0),3)),""),$A$6:$A$57,0)),"")&lt;&gt;"",IFERROR(INDEX($N$6:$N$57,MATCH(IFERROR(VALUE(INDEX('Position Relationships'!$B$2:$F$53,MATCH($A19,'Position Relationships'!$A$2:$A$53,0),3)),""),$A$6:$A$57,0)),"")&lt;&gt;$N19),IFERROR(VALUE(INDEX('Position Relationships'!$B$2:$F$53,MATCH($A19,'Position Relationships'!$A$2:$A$53,0),3)),""),IF(AND(IFERROR(VALUE(INDEX('Position Relationships'!$B$2:$F$53,MATCH($A19,'Position Relationships'!$A$2:$A$53,0),4)),"")&lt;&gt;"",IFERROR(INDEX($N$6:$N$57,MATCH(IFERROR(VALUE(INDEX('Position Relationships'!$B$2:$F$53,MATCH($A19,'Position Relationships'!$A$2:$A$53,0),4)),""),$A$6:$A$57,0)),"")&lt;&gt;"",IFERROR(INDEX($N$6:$N$57,MATCH(IFERROR(VALUE(INDEX('Position Relationships'!$B$2:$F$53,MATCH($A19,'Position Relationships'!$A$2:$A$53,0),4)),""),$A$6:$A$57,0)),"")&lt;&gt;$N19),IFERROR(VALUE(INDEX('Position Relationships'!$B$2:$F$53,MATCH($A19,'Position Relationships'!$A$2:$A$53,0),4)),""),IF(AND(IFERROR(VALUE(INDEX('Position Relationships'!$B$2:$F$53,MATCH($A19,'Position Relationships'!$A$2:$A$53,0),5)),"")&lt;&gt;"",IFERROR(INDEX($N$6:$N$57,MATCH(IFERROR(VALUE(INDEX('Position Relationships'!$B$2:$F$53,MATCH($A19,'Position Relationships'!$A$2:$A$53,0),5)),""),$A$6:$A$57,0)),"")&lt;&gt;"",IFERROR(INDEX($N$6:$N$57,MATCH(IFERROR(VALUE(INDEX('Position Relationships'!$B$2:$F$53,MATCH($A19,'Position Relationships'!$A$2:$A$53,0),5)),""),$A$6:$A$57,0)),"")&lt;&gt;$N19),IFERROR(VALUE(INDEX('Position Relationships'!$B$2:$F$53,MATCH($A19,'Position Relationships'!$A$2:$A$53,0),5)),""),""))))),""))</f>
        <v>17</v>
      </c>
      <c r="P19" s="51" t="str">
        <f aca="false">IF($O19="","",IFERROR(INDEX($F$6:$F$57,MATCH($O19,$A$6:$A$57,0)),""))</f>
        <v>EMP-0026</v>
      </c>
      <c r="Q19" s="52" t="str">
        <f aca="false">IF($A19="","",IF($M19&lt;&gt;"FILLED","POSITION UNFILLED",IF(IFERROR(INDEX('Position Library'!$E$2:$E$53,MATCH($A19,'Position Library'!$A$2:$A$53,0)),"N")&lt;&gt;"Y","NOT REQUIRED",IF(OR($O19="",$P19=""),"RELIEF GAP","COVERED"))))</f>
        <v>COVERED</v>
      </c>
      <c r="R19" s="52" t="str">
        <f aca="false">IF($A19="","",IF($D19&lt;&gt;"Tier 1","N/A",IF(OR($E$2="PM",$E$2="Overnight"),"N/A",IF($H19="3:45 AM","COVERED","OPENING GAP"))))</f>
        <v>COVERED</v>
      </c>
      <c r="S19" s="38"/>
    </row>
    <row r="20" customFormat="false" ht="19.5" hidden="false" customHeight="true" outlineLevel="0" collapsed="false">
      <c r="A20" s="29" t="n">
        <v>19</v>
      </c>
      <c r="B20" s="38" t="str">
        <f aca="false">IF($A20="","",IFERROR(INDEX('Position Library'!$B$2:$B$53,MATCH($A20,'Position Library'!$A$2:$A$53,0)),""))</f>
        <v>South Security Checkpoint</v>
      </c>
      <c r="C20" s="38" t="str">
        <f aca="false">IF($A20="","",IFERROR(INDEX('Position Library'!$C$2:$C$53,MATCH($A20,'Position Library'!$A$2:$A$53,0)),""))</f>
        <v>South Restroom </v>
      </c>
      <c r="D20" s="29" t="str">
        <f aca="false">IF($A20="","",IFERROR(INDEX('Position Library'!$D$2:$D$53,MATCH($A20,'Position Library'!$A$2:$A$53,0)),""))</f>
        <v>Tier 1</v>
      </c>
      <c r="E20" s="38" t="str">
        <f aca="false">IF($A20="","",IF($A20=45,"Information Desk = Y",IF(OR($A20=4,$A20=8),IF(OR(WEEKDAY($B$2,2)=1,WEEKDAY($B$2,2)=4,WEEKDAY($B$2,2)=5,WEEKDAY($B$2,2)=7),"Main Inside = 3","Main Inside &gt;= 2"),IF(AND($A20&gt;=46,$A20&lt;=52),"Divest = Y","General Qualifications &gt;= 2"))))</f>
        <v>General Qualifications &gt;= 2</v>
      </c>
      <c r="F20" s="29" t="str">
        <f aca="false">IF($A20="","",IFERROR(INDEX('Daily Workforce'!$B$6:$B$205,MATCH(1,Lists!Q16:HH16,0)),""))</f>
        <v>EMP-0094</v>
      </c>
      <c r="G20" s="1" t="str">
        <f aca="false">IF($F20="","",IFERROR(INDEX('Daily Workforce'!$C$6:$C$205,MATCH($F20,'Daily Workforce'!$B$6:$B$205,0)),""))</f>
        <v>Linda Rachel</v>
      </c>
      <c r="H20" s="29" t="str">
        <f aca="false">IF($F20="","",IFERROR(INDEX('Daily Workforce'!$D$6:$D$205,MATCH($F20,'Daily Workforce'!$B$6:$B$205,0)),""))</f>
        <v>3:45 AM</v>
      </c>
      <c r="I20" s="29" t="str">
        <f aca="false">IF($H20="","",$H20)</f>
        <v>3:45 AM</v>
      </c>
      <c r="J20" s="29" t="str">
        <f aca="false">IF($H20="","",IF($H20="3:45 AM","12:45 PM",IF($H20="5:45 AM","2:45 PM",IF($H20="12:15 PM","9:15 PM",IF($H20="2:00 PM","11:00 PM",IF($H20="9:15 PM","6:15 AM",""))))))</f>
        <v>12:45 PM</v>
      </c>
      <c r="K20" s="29" t="str">
        <f aca="false">IF($F20="","",IFERROR(INDEX('Daily Workforce'!$I$6:$I$205,MATCH($F20,'Daily Workforce'!$B$6:$B$205,0)),""))</f>
        <v>None</v>
      </c>
      <c r="L20" s="39" t="str">
        <f aca="false">IF($A20="","",IF($F20="","NO QUALIFIED EMPLOYEE","QUALIFIED"))</f>
        <v>QUALIFIED</v>
      </c>
      <c r="M20" s="29" t="str">
        <f aca="false">IF($A20="","",IF($F20="","UNFILLED","FILLED"))</f>
        <v>FILLED</v>
      </c>
      <c r="N20" s="43" t="str">
        <f aca="false">IF($F20="","",IF($H20="3:45 AM",IF(OR($K20="8:00 AM",$K20="9:00 AM"),$K20,CHOOSE(MOD(COUNTIF($H$6:$H20,$H20)-1,3)+1,"8:00 AM","8:00 AM","9:00 AM")),IF($H20="5:45 AM",IF(OR($K20="9:00 AM",$K20="10:00 AM"),$K20,CHOOSE(MOD(COUNTIF($H$6:$H20,$H20)-1,3)+1,"10:00 AM","10:00 AM","9:00 AM")),IF(AND($K20&lt;&gt;"",$K20&lt;&gt;"None"),$K20,IF($H20="12:15 PM",CHOOSE(MOD(COUNTIF($H$6:$H20,$H20)-1,2)+1,"4:00 PM","5:00 PM"),IF($H20="2:00 PM",CHOOSE(MOD(COUNTIF($H$6:$H20,$H20)-1,2)+1,"6:00 PM","7:00 PM"),IF($H20="9:15 PM",CHOOSE(MOD(COUNTIF($H$6:$H20,$H20)-1,2)+1,"1:00 AM","2:00 AM"),"")))))))</f>
        <v>8:00 AM</v>
      </c>
      <c r="O20" s="51" t="n">
        <f aca="false">IF($A20="","",IF(IFERROR(INDEX('Position Library'!$E$2:$E$53,MATCH($A20,'Position Library'!$A$2:$A$53,0)),"N")="Y",IF(AND(IFERROR(VALUE(INDEX('Position Relationships'!$B$2:$F$53,MATCH($A20,'Position Relationships'!$A$2:$A$53,0),1)),"")&lt;&gt;"",IFERROR(INDEX($N$6:$N$57,MATCH(IFERROR(VALUE(INDEX('Position Relationships'!$B$2:$F$53,MATCH($A20,'Position Relationships'!$A$2:$A$53,0),1)),""),$A$6:$A$57,0)),"")&lt;&gt;"",IFERROR(INDEX($N$6:$N$57,MATCH(IFERROR(VALUE(INDEX('Position Relationships'!$B$2:$F$53,MATCH($A20,'Position Relationships'!$A$2:$A$53,0),1)),""),$A$6:$A$57,0)),"")&lt;&gt;$N20),IFERROR(VALUE(INDEX('Position Relationships'!$B$2:$F$53,MATCH($A20,'Position Relationships'!$A$2:$A$53,0),1)),""),IF(AND(IFERROR(VALUE(INDEX('Position Relationships'!$B$2:$F$53,MATCH($A20,'Position Relationships'!$A$2:$A$53,0),2)),"")&lt;&gt;"",IFERROR(INDEX($N$6:$N$57,MATCH(IFERROR(VALUE(INDEX('Position Relationships'!$B$2:$F$53,MATCH($A20,'Position Relationships'!$A$2:$A$53,0),2)),""),$A$6:$A$57,0)),"")&lt;&gt;"",IFERROR(INDEX($N$6:$N$57,MATCH(IFERROR(VALUE(INDEX('Position Relationships'!$B$2:$F$53,MATCH($A20,'Position Relationships'!$A$2:$A$53,0),2)),""),$A$6:$A$57,0)),"")&lt;&gt;$N20),IFERROR(VALUE(INDEX('Position Relationships'!$B$2:$F$53,MATCH($A20,'Position Relationships'!$A$2:$A$53,0),2)),""),IF(AND(IFERROR(VALUE(INDEX('Position Relationships'!$B$2:$F$53,MATCH($A20,'Position Relationships'!$A$2:$A$53,0),3)),"")&lt;&gt;"",IFERROR(INDEX($N$6:$N$57,MATCH(IFERROR(VALUE(INDEX('Position Relationships'!$B$2:$F$53,MATCH($A20,'Position Relationships'!$A$2:$A$53,0),3)),""),$A$6:$A$57,0)),"")&lt;&gt;"",IFERROR(INDEX($N$6:$N$57,MATCH(IFERROR(VALUE(INDEX('Position Relationships'!$B$2:$F$53,MATCH($A20,'Position Relationships'!$A$2:$A$53,0),3)),""),$A$6:$A$57,0)),"")&lt;&gt;$N20),IFERROR(VALUE(INDEX('Position Relationships'!$B$2:$F$53,MATCH($A20,'Position Relationships'!$A$2:$A$53,0),3)),""),IF(AND(IFERROR(VALUE(INDEX('Position Relationships'!$B$2:$F$53,MATCH($A20,'Position Relationships'!$A$2:$A$53,0),4)),"")&lt;&gt;"",IFERROR(INDEX($N$6:$N$57,MATCH(IFERROR(VALUE(INDEX('Position Relationships'!$B$2:$F$53,MATCH($A20,'Position Relationships'!$A$2:$A$53,0),4)),""),$A$6:$A$57,0)),"")&lt;&gt;"",IFERROR(INDEX($N$6:$N$57,MATCH(IFERROR(VALUE(INDEX('Position Relationships'!$B$2:$F$53,MATCH($A20,'Position Relationships'!$A$2:$A$53,0),4)),""),$A$6:$A$57,0)),"")&lt;&gt;$N20),IFERROR(VALUE(INDEX('Position Relationships'!$B$2:$F$53,MATCH($A20,'Position Relationships'!$A$2:$A$53,0),4)),""),IF(AND(IFERROR(VALUE(INDEX('Position Relationships'!$B$2:$F$53,MATCH($A20,'Position Relationships'!$A$2:$A$53,0),5)),"")&lt;&gt;"",IFERROR(INDEX($N$6:$N$57,MATCH(IFERROR(VALUE(INDEX('Position Relationships'!$B$2:$F$53,MATCH($A20,'Position Relationships'!$A$2:$A$53,0),5)),""),$A$6:$A$57,0)),"")&lt;&gt;"",IFERROR(INDEX($N$6:$N$57,MATCH(IFERROR(VALUE(INDEX('Position Relationships'!$B$2:$F$53,MATCH($A20,'Position Relationships'!$A$2:$A$53,0),5)),""),$A$6:$A$57,0)),"")&lt;&gt;$N20),IFERROR(VALUE(INDEX('Position Relationships'!$B$2:$F$53,MATCH($A20,'Position Relationships'!$A$2:$A$53,0),5)),""),""))))),""))</f>
        <v>20</v>
      </c>
      <c r="P20" s="51" t="str">
        <f aca="false">IF($O20="","",IFERROR(INDEX($F$6:$F$57,MATCH($O20,$A$6:$A$57,0)),""))</f>
        <v>EMP-0066</v>
      </c>
      <c r="Q20" s="52" t="str">
        <f aca="false">IF($A20="","",IF($M20&lt;&gt;"FILLED","POSITION UNFILLED",IF(IFERROR(INDEX('Position Library'!$E$2:$E$53,MATCH($A20,'Position Library'!$A$2:$A$53,0)),"N")&lt;&gt;"Y","NOT REQUIRED",IF(OR($O20="",$P20=""),"RELIEF GAP","COVERED"))))</f>
        <v>COVERED</v>
      </c>
      <c r="R20" s="52" t="str">
        <f aca="false">IF($A20="","",IF($D20&lt;&gt;"Tier 1","N/A",IF(OR($E$2="PM",$E$2="Overnight"),"N/A",IF($H20="3:45 AM","COVERED","OPENING GAP"))))</f>
        <v>COVERED</v>
      </c>
      <c r="S20" s="38"/>
    </row>
    <row r="21" customFormat="false" ht="19.5" hidden="false" customHeight="true" outlineLevel="0" collapsed="false">
      <c r="A21" s="29" t="n">
        <v>24</v>
      </c>
      <c r="B21" s="38" t="str">
        <f aca="false">IF($A21="","",IFERROR(INDEX('Position Library'!$B$2:$B$53,MATCH($A21,'Position Library'!$A$2:$A$53,0)),""))</f>
        <v>North Security Checkpoint</v>
      </c>
      <c r="C21" s="38" t="str">
        <f aca="false">IF($A21="","",IFERROR(INDEX('Position Library'!$C$2:$C$53,MATCH($A21,'Position Library'!$A$2:$A$53,0)),""))</f>
        <v>Checkpoint – Inside </v>
      </c>
      <c r="D21" s="29" t="str">
        <f aca="false">IF($A21="","",IFERROR(INDEX('Position Library'!$D$2:$D$53,MATCH($A21,'Position Library'!$A$2:$A$53,0)),""))</f>
        <v>Tier 1</v>
      </c>
      <c r="E21" s="38" t="str">
        <f aca="false">IF($A21="","",IF($A21=45,"Information Desk = Y",IF(OR($A21=4,$A21=8),IF(OR(WEEKDAY($B$2,2)=1,WEEKDAY($B$2,2)=4,WEEKDAY($B$2,2)=5,WEEKDAY($B$2,2)=7),"Main Inside = 3","Main Inside &gt;= 2"),IF(AND($A21&gt;=46,$A21&lt;=52),"Divest = Y","General Qualifications &gt;= 2"))))</f>
        <v>General Qualifications &gt;= 2</v>
      </c>
      <c r="F21" s="29" t="str">
        <f aca="false">IF($A21="","",IFERROR(INDEX('Daily Workforce'!$B$6:$B$205,MATCH(1,Lists!Q17:HH17,0)),""))</f>
        <v>EMP-0102</v>
      </c>
      <c r="G21" s="1" t="str">
        <f aca="false">IF($F21="","",IFERROR(INDEX('Daily Workforce'!$C$6:$C$205,MATCH($F21,'Daily Workforce'!$B$6:$B$205,0)),""))</f>
        <v>Maryse Camille</v>
      </c>
      <c r="H21" s="29" t="str">
        <f aca="false">IF($F21="","",IFERROR(INDEX('Daily Workforce'!$D$6:$D$205,MATCH($F21,'Daily Workforce'!$B$6:$B$205,0)),""))</f>
        <v>3:45 AM</v>
      </c>
      <c r="I21" s="29" t="str">
        <f aca="false">IF($H21="","",$H21)</f>
        <v>3:45 AM</v>
      </c>
      <c r="J21" s="29" t="str">
        <f aca="false">IF($H21="","",IF($H21="3:45 AM","12:45 PM",IF($H21="5:45 AM","2:45 PM",IF($H21="12:15 PM","9:15 PM",IF($H21="2:00 PM","11:00 PM",IF($H21="9:15 PM","6:15 AM",""))))))</f>
        <v>12:45 PM</v>
      </c>
      <c r="K21" s="29" t="str">
        <f aca="false">IF($F21="","",IFERROR(INDEX('Daily Workforce'!$I$6:$I$205,MATCH($F21,'Daily Workforce'!$B$6:$B$205,0)),""))</f>
        <v>None</v>
      </c>
      <c r="L21" s="39" t="str">
        <f aca="false">IF($A21="","",IF($F21="","NO QUALIFIED EMPLOYEE","QUALIFIED"))</f>
        <v>QUALIFIED</v>
      </c>
      <c r="M21" s="29" t="str">
        <f aca="false">IF($A21="","",IF($F21="","UNFILLED","FILLED"))</f>
        <v>FILLED</v>
      </c>
      <c r="N21" s="43" t="str">
        <f aca="false">IF($F21="","",IF($H21="3:45 AM",IF(OR($K21="8:00 AM",$K21="9:00 AM"),$K21,CHOOSE(MOD(COUNTIF($H$6:$H21,$H21)-1,3)+1,"8:00 AM","8:00 AM","9:00 AM")),IF($H21="5:45 AM",IF(OR($K21="9:00 AM",$K21="10:00 AM"),$K21,CHOOSE(MOD(COUNTIF($H$6:$H21,$H21)-1,3)+1,"10:00 AM","10:00 AM","9:00 AM")),IF(AND($K21&lt;&gt;"",$K21&lt;&gt;"None"),$K21,IF($H21="12:15 PM",CHOOSE(MOD(COUNTIF($H$6:$H21,$H21)-1,2)+1,"4:00 PM","5:00 PM"),IF($H21="2:00 PM",CHOOSE(MOD(COUNTIF($H$6:$H21,$H21)-1,2)+1,"6:00 PM","7:00 PM"),IF($H21="9:15 PM",CHOOSE(MOD(COUNTIF($H$6:$H21,$H21)-1,2)+1,"1:00 AM","2:00 AM"),"")))))))</f>
        <v>8:00 AM</v>
      </c>
      <c r="O21" s="51" t="n">
        <f aca="false">IF($A21="","",IF(IFERROR(INDEX('Position Library'!$E$2:$E$53,MATCH($A21,'Position Library'!$A$2:$A$53,0)),"N")="Y",IF(AND(IFERROR(VALUE(INDEX('Position Relationships'!$B$2:$F$53,MATCH($A21,'Position Relationships'!$A$2:$A$53,0),1)),"")&lt;&gt;"",IFERROR(INDEX($N$6:$N$57,MATCH(IFERROR(VALUE(INDEX('Position Relationships'!$B$2:$F$53,MATCH($A21,'Position Relationships'!$A$2:$A$53,0),1)),""),$A$6:$A$57,0)),"")&lt;&gt;"",IFERROR(INDEX($N$6:$N$57,MATCH(IFERROR(VALUE(INDEX('Position Relationships'!$B$2:$F$53,MATCH($A21,'Position Relationships'!$A$2:$A$53,0),1)),""),$A$6:$A$57,0)),"")&lt;&gt;$N21),IFERROR(VALUE(INDEX('Position Relationships'!$B$2:$F$53,MATCH($A21,'Position Relationships'!$A$2:$A$53,0),1)),""),IF(AND(IFERROR(VALUE(INDEX('Position Relationships'!$B$2:$F$53,MATCH($A21,'Position Relationships'!$A$2:$A$53,0),2)),"")&lt;&gt;"",IFERROR(INDEX($N$6:$N$57,MATCH(IFERROR(VALUE(INDEX('Position Relationships'!$B$2:$F$53,MATCH($A21,'Position Relationships'!$A$2:$A$53,0),2)),""),$A$6:$A$57,0)),"")&lt;&gt;"",IFERROR(INDEX($N$6:$N$57,MATCH(IFERROR(VALUE(INDEX('Position Relationships'!$B$2:$F$53,MATCH($A21,'Position Relationships'!$A$2:$A$53,0),2)),""),$A$6:$A$57,0)),"")&lt;&gt;$N21),IFERROR(VALUE(INDEX('Position Relationships'!$B$2:$F$53,MATCH($A21,'Position Relationships'!$A$2:$A$53,0),2)),""),IF(AND(IFERROR(VALUE(INDEX('Position Relationships'!$B$2:$F$53,MATCH($A21,'Position Relationships'!$A$2:$A$53,0),3)),"")&lt;&gt;"",IFERROR(INDEX($N$6:$N$57,MATCH(IFERROR(VALUE(INDEX('Position Relationships'!$B$2:$F$53,MATCH($A21,'Position Relationships'!$A$2:$A$53,0),3)),""),$A$6:$A$57,0)),"")&lt;&gt;"",IFERROR(INDEX($N$6:$N$57,MATCH(IFERROR(VALUE(INDEX('Position Relationships'!$B$2:$F$53,MATCH($A21,'Position Relationships'!$A$2:$A$53,0),3)),""),$A$6:$A$57,0)),"")&lt;&gt;$N21),IFERROR(VALUE(INDEX('Position Relationships'!$B$2:$F$53,MATCH($A21,'Position Relationships'!$A$2:$A$53,0),3)),""),IF(AND(IFERROR(VALUE(INDEX('Position Relationships'!$B$2:$F$53,MATCH($A21,'Position Relationships'!$A$2:$A$53,0),4)),"")&lt;&gt;"",IFERROR(INDEX($N$6:$N$57,MATCH(IFERROR(VALUE(INDEX('Position Relationships'!$B$2:$F$53,MATCH($A21,'Position Relationships'!$A$2:$A$53,0),4)),""),$A$6:$A$57,0)),"")&lt;&gt;"",IFERROR(INDEX($N$6:$N$57,MATCH(IFERROR(VALUE(INDEX('Position Relationships'!$B$2:$F$53,MATCH($A21,'Position Relationships'!$A$2:$A$53,0),4)),""),$A$6:$A$57,0)),"")&lt;&gt;$N21),IFERROR(VALUE(INDEX('Position Relationships'!$B$2:$F$53,MATCH($A21,'Position Relationships'!$A$2:$A$53,0),4)),""),IF(AND(IFERROR(VALUE(INDEX('Position Relationships'!$B$2:$F$53,MATCH($A21,'Position Relationships'!$A$2:$A$53,0),5)),"")&lt;&gt;"",IFERROR(INDEX($N$6:$N$57,MATCH(IFERROR(VALUE(INDEX('Position Relationships'!$B$2:$F$53,MATCH($A21,'Position Relationships'!$A$2:$A$53,0),5)),""),$A$6:$A$57,0)),"")&lt;&gt;"",IFERROR(INDEX($N$6:$N$57,MATCH(IFERROR(VALUE(INDEX('Position Relationships'!$B$2:$F$53,MATCH($A21,'Position Relationships'!$A$2:$A$53,0),5)),""),$A$6:$A$57,0)),"")&lt;&gt;$N21),IFERROR(VALUE(INDEX('Position Relationships'!$B$2:$F$53,MATCH($A21,'Position Relationships'!$A$2:$A$53,0),5)),""),""))))),""))</f>
        <v>29</v>
      </c>
      <c r="P21" s="51" t="str">
        <f aca="false">IF($O21="","",IFERROR(INDEX($F$6:$F$57,MATCH($O21,$A$6:$A$57,0)),""))</f>
        <v>EMP-0040</v>
      </c>
      <c r="Q21" s="52" t="str">
        <f aca="false">IF($A21="","",IF($M21&lt;&gt;"FILLED","POSITION UNFILLED",IF(IFERROR(INDEX('Position Library'!$E$2:$E$53,MATCH($A21,'Position Library'!$A$2:$A$53,0)),"N")&lt;&gt;"Y","NOT REQUIRED",IF(OR($O21="",$P21=""),"RELIEF GAP","COVERED"))))</f>
        <v>COVERED</v>
      </c>
      <c r="R21" s="52" t="str">
        <f aca="false">IF($A21="","",IF($D21&lt;&gt;"Tier 1","N/A",IF(OR($E$2="PM",$E$2="Overnight"),"N/A",IF($H21="3:45 AM","COVERED","OPENING GAP"))))</f>
        <v>COVERED</v>
      </c>
      <c r="S21" s="38"/>
    </row>
    <row r="22" customFormat="false" ht="19.5" hidden="false" customHeight="true" outlineLevel="0" collapsed="false">
      <c r="A22" s="29" t="n">
        <v>25</v>
      </c>
      <c r="B22" s="38" t="str">
        <f aca="false">IF($A22="","",IFERROR(INDEX('Position Library'!$B$2:$B$53,MATCH($A22,'Position Library'!$A$2:$A$53,0)),""))</f>
        <v>North Security Checkpoint</v>
      </c>
      <c r="C22" s="38" t="str">
        <f aca="false">IF($A22="","",IFERROR(INDEX('Position Library'!$C$2:$C$53,MATCH($A22,'Position Library'!$A$2:$A$53,0)),""))</f>
        <v>North Corridor </v>
      </c>
      <c r="D22" s="29" t="str">
        <f aca="false">IF($A22="","",IFERROR(INDEX('Position Library'!$D$2:$D$53,MATCH($A22,'Position Library'!$A$2:$A$53,0)),""))</f>
        <v>Tier 1</v>
      </c>
      <c r="E22" s="38" t="str">
        <f aca="false">IF($A22="","",IF($A22=45,"Information Desk = Y",IF(OR($A22=4,$A22=8),IF(OR(WEEKDAY($B$2,2)=1,WEEKDAY($B$2,2)=4,WEEKDAY($B$2,2)=5,WEEKDAY($B$2,2)=7),"Main Inside = 3","Main Inside &gt;= 2"),IF(AND($A22&gt;=46,$A22&lt;=52),"Divest = Y","General Qualifications &gt;= 2"))))</f>
        <v>General Qualifications &gt;= 2</v>
      </c>
      <c r="F22" s="29" t="str">
        <f aca="false">IF($A22="","",IFERROR(INDEX('Daily Workforce'!$B$6:$B$205,MATCH(1,Lists!Q18:HH18,0)),""))</f>
        <v>EMP-0107</v>
      </c>
      <c r="G22" s="1" t="str">
        <f aca="false">IF($F22="","",IFERROR(INDEX('Daily Workforce'!$C$6:$C$205,MATCH($F22,'Daily Workforce'!$B$6:$B$205,0)),""))</f>
        <v>Moneshia Echols</v>
      </c>
      <c r="H22" s="29" t="str">
        <f aca="false">IF($F22="","",IFERROR(INDEX('Daily Workforce'!$D$6:$D$205,MATCH($F22,'Daily Workforce'!$B$6:$B$205,0)),""))</f>
        <v>3:45 AM</v>
      </c>
      <c r="I22" s="29" t="str">
        <f aca="false">IF($H22="","",$H22)</f>
        <v>3:45 AM</v>
      </c>
      <c r="J22" s="29" t="str">
        <f aca="false">IF($H22="","",IF($H22="3:45 AM","12:45 PM",IF($H22="5:45 AM","2:45 PM",IF($H22="12:15 PM","9:15 PM",IF($H22="2:00 PM","11:00 PM",IF($H22="9:15 PM","6:15 AM",""))))))</f>
        <v>12:45 PM</v>
      </c>
      <c r="K22" s="29" t="str">
        <f aca="false">IF($F22="","",IFERROR(INDEX('Daily Workforce'!$I$6:$I$205,MATCH($F22,'Daily Workforce'!$B$6:$B$205,0)),""))</f>
        <v>None</v>
      </c>
      <c r="L22" s="39" t="str">
        <f aca="false">IF($A22="","",IF($F22="","NO QUALIFIED EMPLOYEE","QUALIFIED"))</f>
        <v>QUALIFIED</v>
      </c>
      <c r="M22" s="29" t="str">
        <f aca="false">IF($A22="","",IF($F22="","UNFILLED","FILLED"))</f>
        <v>FILLED</v>
      </c>
      <c r="N22" s="43" t="str">
        <f aca="false">IF($F22="","",IF($H22="3:45 AM",IF(OR($K22="8:00 AM",$K22="9:00 AM"),$K22,CHOOSE(MOD(COUNTIF($H$6:$H22,$H22)-1,3)+1,"8:00 AM","8:00 AM","9:00 AM")),IF($H22="5:45 AM",IF(OR($K22="9:00 AM",$K22="10:00 AM"),$K22,CHOOSE(MOD(COUNTIF($H$6:$H22,$H22)-1,3)+1,"10:00 AM","10:00 AM","9:00 AM")),IF(AND($K22&lt;&gt;"",$K22&lt;&gt;"None"),$K22,IF($H22="12:15 PM",CHOOSE(MOD(COUNTIF($H$6:$H22,$H22)-1,2)+1,"4:00 PM","5:00 PM"),IF($H22="2:00 PM",CHOOSE(MOD(COUNTIF($H$6:$H22,$H22)-1,2)+1,"6:00 PM","7:00 PM"),IF($H22="9:15 PM",CHOOSE(MOD(COUNTIF($H$6:$H22,$H22)-1,2)+1,"1:00 AM","2:00 AM"),"")))))))</f>
        <v>9:00 AM</v>
      </c>
      <c r="O22" s="51" t="n">
        <f aca="false">IF($A22="","",IF(IFERROR(INDEX('Position Library'!$E$2:$E$53,MATCH($A22,'Position Library'!$A$2:$A$53,0)),"N")="Y",IF(AND(IFERROR(VALUE(INDEX('Position Relationships'!$B$2:$F$53,MATCH($A22,'Position Relationships'!$A$2:$A$53,0),1)),"")&lt;&gt;"",IFERROR(INDEX($N$6:$N$57,MATCH(IFERROR(VALUE(INDEX('Position Relationships'!$B$2:$F$53,MATCH($A22,'Position Relationships'!$A$2:$A$53,0),1)),""),$A$6:$A$57,0)),"")&lt;&gt;"",IFERROR(INDEX($N$6:$N$57,MATCH(IFERROR(VALUE(INDEX('Position Relationships'!$B$2:$F$53,MATCH($A22,'Position Relationships'!$A$2:$A$53,0),1)),""),$A$6:$A$57,0)),"")&lt;&gt;$N22),IFERROR(VALUE(INDEX('Position Relationships'!$B$2:$F$53,MATCH($A22,'Position Relationships'!$A$2:$A$53,0),1)),""),IF(AND(IFERROR(VALUE(INDEX('Position Relationships'!$B$2:$F$53,MATCH($A22,'Position Relationships'!$A$2:$A$53,0),2)),"")&lt;&gt;"",IFERROR(INDEX($N$6:$N$57,MATCH(IFERROR(VALUE(INDEX('Position Relationships'!$B$2:$F$53,MATCH($A22,'Position Relationships'!$A$2:$A$53,0),2)),""),$A$6:$A$57,0)),"")&lt;&gt;"",IFERROR(INDEX($N$6:$N$57,MATCH(IFERROR(VALUE(INDEX('Position Relationships'!$B$2:$F$53,MATCH($A22,'Position Relationships'!$A$2:$A$53,0),2)),""),$A$6:$A$57,0)),"")&lt;&gt;$N22),IFERROR(VALUE(INDEX('Position Relationships'!$B$2:$F$53,MATCH($A22,'Position Relationships'!$A$2:$A$53,0),2)),""),IF(AND(IFERROR(VALUE(INDEX('Position Relationships'!$B$2:$F$53,MATCH($A22,'Position Relationships'!$A$2:$A$53,0),3)),"")&lt;&gt;"",IFERROR(INDEX($N$6:$N$57,MATCH(IFERROR(VALUE(INDEX('Position Relationships'!$B$2:$F$53,MATCH($A22,'Position Relationships'!$A$2:$A$53,0),3)),""),$A$6:$A$57,0)),"")&lt;&gt;"",IFERROR(INDEX($N$6:$N$57,MATCH(IFERROR(VALUE(INDEX('Position Relationships'!$B$2:$F$53,MATCH($A22,'Position Relationships'!$A$2:$A$53,0),3)),""),$A$6:$A$57,0)),"")&lt;&gt;$N22),IFERROR(VALUE(INDEX('Position Relationships'!$B$2:$F$53,MATCH($A22,'Position Relationships'!$A$2:$A$53,0),3)),""),IF(AND(IFERROR(VALUE(INDEX('Position Relationships'!$B$2:$F$53,MATCH($A22,'Position Relationships'!$A$2:$A$53,0),4)),"")&lt;&gt;"",IFERROR(INDEX($N$6:$N$57,MATCH(IFERROR(VALUE(INDEX('Position Relationships'!$B$2:$F$53,MATCH($A22,'Position Relationships'!$A$2:$A$53,0),4)),""),$A$6:$A$57,0)),"")&lt;&gt;"",IFERROR(INDEX($N$6:$N$57,MATCH(IFERROR(VALUE(INDEX('Position Relationships'!$B$2:$F$53,MATCH($A22,'Position Relationships'!$A$2:$A$53,0),4)),""),$A$6:$A$57,0)),"")&lt;&gt;$N22),IFERROR(VALUE(INDEX('Position Relationships'!$B$2:$F$53,MATCH($A22,'Position Relationships'!$A$2:$A$53,0),4)),""),IF(AND(IFERROR(VALUE(INDEX('Position Relationships'!$B$2:$F$53,MATCH($A22,'Position Relationships'!$A$2:$A$53,0),5)),"")&lt;&gt;"",IFERROR(INDEX($N$6:$N$57,MATCH(IFERROR(VALUE(INDEX('Position Relationships'!$B$2:$F$53,MATCH($A22,'Position Relationships'!$A$2:$A$53,0),5)),""),$A$6:$A$57,0)),"")&lt;&gt;"",IFERROR(INDEX($N$6:$N$57,MATCH(IFERROR(VALUE(INDEX('Position Relationships'!$B$2:$F$53,MATCH($A22,'Position Relationships'!$A$2:$A$53,0),5)),""),$A$6:$A$57,0)),"")&lt;&gt;$N22),IFERROR(VALUE(INDEX('Position Relationships'!$B$2:$F$53,MATCH($A22,'Position Relationships'!$A$2:$A$53,0),5)),""),""))))),""))</f>
        <v>30</v>
      </c>
      <c r="P22" s="51" t="str">
        <f aca="false">IF($O22="","",IFERROR(INDEX($F$6:$F$57,MATCH($O22,$A$6:$A$57,0)),""))</f>
        <v>EMP-0073</v>
      </c>
      <c r="Q22" s="52" t="str">
        <f aca="false">IF($A22="","",IF($M22&lt;&gt;"FILLED","POSITION UNFILLED",IF(IFERROR(INDEX('Position Library'!$E$2:$E$53,MATCH($A22,'Position Library'!$A$2:$A$53,0)),"N")&lt;&gt;"Y","NOT REQUIRED",IF(OR($O22="",$P22=""),"RELIEF GAP","COVERED"))))</f>
        <v>COVERED</v>
      </c>
      <c r="R22" s="52" t="str">
        <f aca="false">IF($A22="","",IF($D22&lt;&gt;"Tier 1","N/A",IF(OR($E$2="PM",$E$2="Overnight"),"N/A",IF($H22="3:45 AM","COVERED","OPENING GAP"))))</f>
        <v>COVERED</v>
      </c>
      <c r="S22" s="38"/>
    </row>
    <row r="23" customFormat="false" ht="19.5" hidden="false" customHeight="true" outlineLevel="0" collapsed="false">
      <c r="A23" s="29" t="n">
        <v>26</v>
      </c>
      <c r="B23" s="38" t="str">
        <f aca="false">IF($A23="","",IFERROR(INDEX('Position Library'!$B$2:$B$53,MATCH($A23,'Position Library'!$A$2:$A$53,0)),""))</f>
        <v>North Security Checkpoint</v>
      </c>
      <c r="C23" s="38" t="str">
        <f aca="false">IF($A23="","",IFERROR(INDEX('Position Library'!$C$2:$C$53,MATCH($A23,'Position Library'!$A$2:$A$53,0)),""))</f>
        <v>North Restroom </v>
      </c>
      <c r="D23" s="29" t="str">
        <f aca="false">IF($A23="","",IFERROR(INDEX('Position Library'!$D$2:$D$53,MATCH($A23,'Position Library'!$A$2:$A$53,0)),""))</f>
        <v>Tier 1</v>
      </c>
      <c r="E23" s="38" t="str">
        <f aca="false">IF($A23="","",IF($A23=45,"Information Desk = Y",IF(OR($A23=4,$A23=8),IF(OR(WEEKDAY($B$2,2)=1,WEEKDAY($B$2,2)=4,WEEKDAY($B$2,2)=5,WEEKDAY($B$2,2)=7),"Main Inside = 3","Main Inside &gt;= 2"),IF(AND($A23&gt;=46,$A23&lt;=52),"Divest = Y","General Qualifications &gt;= 2"))))</f>
        <v>General Qualifications &gt;= 2</v>
      </c>
      <c r="F23" s="29" t="str">
        <f aca="false">IF($A23="","",IFERROR(INDEX('Daily Workforce'!$B$6:$B$205,MATCH(1,Lists!Q19:HH19,0)),""))</f>
        <v>EMP-0112</v>
      </c>
      <c r="G23" s="1" t="str">
        <f aca="false">IF($F23="","",IFERROR(INDEX('Daily Workforce'!$C$6:$C$205,MATCH($F23,'Daily Workforce'!$B$6:$B$205,0)),""))</f>
        <v>Natasha Carbon</v>
      </c>
      <c r="H23" s="29" t="str">
        <f aca="false">IF($F23="","",IFERROR(INDEX('Daily Workforce'!$D$6:$D$205,MATCH($F23,'Daily Workforce'!$B$6:$B$205,0)),""))</f>
        <v>3:45 AM</v>
      </c>
      <c r="I23" s="29" t="str">
        <f aca="false">IF($H23="","",$H23)</f>
        <v>3:45 AM</v>
      </c>
      <c r="J23" s="29" t="str">
        <f aca="false">IF($H23="","",IF($H23="3:45 AM","12:45 PM",IF($H23="5:45 AM","2:45 PM",IF($H23="12:15 PM","9:15 PM",IF($H23="2:00 PM","11:00 PM",IF($H23="9:15 PM","6:15 AM",""))))))</f>
        <v>12:45 PM</v>
      </c>
      <c r="K23" s="29" t="str">
        <f aca="false">IF($F23="","",IFERROR(INDEX('Daily Workforce'!$I$6:$I$205,MATCH($F23,'Daily Workforce'!$B$6:$B$205,0)),""))</f>
        <v>None</v>
      </c>
      <c r="L23" s="39" t="str">
        <f aca="false">IF($A23="","",IF($F23="","NO QUALIFIED EMPLOYEE","QUALIFIED"))</f>
        <v>QUALIFIED</v>
      </c>
      <c r="M23" s="29" t="str">
        <f aca="false">IF($A23="","",IF($F23="","UNFILLED","FILLED"))</f>
        <v>FILLED</v>
      </c>
      <c r="N23" s="43" t="str">
        <f aca="false">IF($F23="","",IF($H23="3:45 AM",IF(OR($K23="8:00 AM",$K23="9:00 AM"),$K23,CHOOSE(MOD(COUNTIF($H$6:$H23,$H23)-1,3)+1,"8:00 AM","8:00 AM","9:00 AM")),IF($H23="5:45 AM",IF(OR($K23="9:00 AM",$K23="10:00 AM"),$K23,CHOOSE(MOD(COUNTIF($H$6:$H23,$H23)-1,3)+1,"10:00 AM","10:00 AM","9:00 AM")),IF(AND($K23&lt;&gt;"",$K23&lt;&gt;"None"),$K23,IF($H23="12:15 PM",CHOOSE(MOD(COUNTIF($H$6:$H23,$H23)-1,2)+1,"4:00 PM","5:00 PM"),IF($H23="2:00 PM",CHOOSE(MOD(COUNTIF($H$6:$H23,$H23)-1,2)+1,"6:00 PM","7:00 PM"),IF($H23="9:15 PM",CHOOSE(MOD(COUNTIF($H$6:$H23,$H23)-1,2)+1,"1:00 AM","2:00 AM"),"")))))))</f>
        <v>8:00 AM</v>
      </c>
      <c r="O23" s="51" t="n">
        <f aca="false">IF($A23="","",IF(IFERROR(INDEX('Position Library'!$E$2:$E$53,MATCH($A23,'Position Library'!$A$2:$A$53,0)),"N")="Y",IF(AND(IFERROR(VALUE(INDEX('Position Relationships'!$B$2:$F$53,MATCH($A23,'Position Relationships'!$A$2:$A$53,0),1)),"")&lt;&gt;"",IFERROR(INDEX($N$6:$N$57,MATCH(IFERROR(VALUE(INDEX('Position Relationships'!$B$2:$F$53,MATCH($A23,'Position Relationships'!$A$2:$A$53,0),1)),""),$A$6:$A$57,0)),"")&lt;&gt;"",IFERROR(INDEX($N$6:$N$57,MATCH(IFERROR(VALUE(INDEX('Position Relationships'!$B$2:$F$53,MATCH($A23,'Position Relationships'!$A$2:$A$53,0),1)),""),$A$6:$A$57,0)),"")&lt;&gt;$N23),IFERROR(VALUE(INDEX('Position Relationships'!$B$2:$F$53,MATCH($A23,'Position Relationships'!$A$2:$A$53,0),1)),""),IF(AND(IFERROR(VALUE(INDEX('Position Relationships'!$B$2:$F$53,MATCH($A23,'Position Relationships'!$A$2:$A$53,0),2)),"")&lt;&gt;"",IFERROR(INDEX($N$6:$N$57,MATCH(IFERROR(VALUE(INDEX('Position Relationships'!$B$2:$F$53,MATCH($A23,'Position Relationships'!$A$2:$A$53,0),2)),""),$A$6:$A$57,0)),"")&lt;&gt;"",IFERROR(INDEX($N$6:$N$57,MATCH(IFERROR(VALUE(INDEX('Position Relationships'!$B$2:$F$53,MATCH($A23,'Position Relationships'!$A$2:$A$53,0),2)),""),$A$6:$A$57,0)),"")&lt;&gt;$N23),IFERROR(VALUE(INDEX('Position Relationships'!$B$2:$F$53,MATCH($A23,'Position Relationships'!$A$2:$A$53,0),2)),""),IF(AND(IFERROR(VALUE(INDEX('Position Relationships'!$B$2:$F$53,MATCH($A23,'Position Relationships'!$A$2:$A$53,0),3)),"")&lt;&gt;"",IFERROR(INDEX($N$6:$N$57,MATCH(IFERROR(VALUE(INDEX('Position Relationships'!$B$2:$F$53,MATCH($A23,'Position Relationships'!$A$2:$A$53,0),3)),""),$A$6:$A$57,0)),"")&lt;&gt;"",IFERROR(INDEX($N$6:$N$57,MATCH(IFERROR(VALUE(INDEX('Position Relationships'!$B$2:$F$53,MATCH($A23,'Position Relationships'!$A$2:$A$53,0),3)),""),$A$6:$A$57,0)),"")&lt;&gt;$N23),IFERROR(VALUE(INDEX('Position Relationships'!$B$2:$F$53,MATCH($A23,'Position Relationships'!$A$2:$A$53,0),3)),""),IF(AND(IFERROR(VALUE(INDEX('Position Relationships'!$B$2:$F$53,MATCH($A23,'Position Relationships'!$A$2:$A$53,0),4)),"")&lt;&gt;"",IFERROR(INDEX($N$6:$N$57,MATCH(IFERROR(VALUE(INDEX('Position Relationships'!$B$2:$F$53,MATCH($A23,'Position Relationships'!$A$2:$A$53,0),4)),""),$A$6:$A$57,0)),"")&lt;&gt;"",IFERROR(INDEX($N$6:$N$57,MATCH(IFERROR(VALUE(INDEX('Position Relationships'!$B$2:$F$53,MATCH($A23,'Position Relationships'!$A$2:$A$53,0),4)),""),$A$6:$A$57,0)),"")&lt;&gt;$N23),IFERROR(VALUE(INDEX('Position Relationships'!$B$2:$F$53,MATCH($A23,'Position Relationships'!$A$2:$A$53,0),4)),""),IF(AND(IFERROR(VALUE(INDEX('Position Relationships'!$B$2:$F$53,MATCH($A23,'Position Relationships'!$A$2:$A$53,0),5)),"")&lt;&gt;"",IFERROR(INDEX($N$6:$N$57,MATCH(IFERROR(VALUE(INDEX('Position Relationships'!$B$2:$F$53,MATCH($A23,'Position Relationships'!$A$2:$A$53,0),5)),""),$A$6:$A$57,0)),"")&lt;&gt;"",IFERROR(INDEX($N$6:$N$57,MATCH(IFERROR(VALUE(INDEX('Position Relationships'!$B$2:$F$53,MATCH($A23,'Position Relationships'!$A$2:$A$53,0),5)),""),$A$6:$A$57,0)),"")&lt;&gt;$N23),IFERROR(VALUE(INDEX('Position Relationships'!$B$2:$F$53,MATCH($A23,'Position Relationships'!$A$2:$A$53,0),5)),""),""))))),""))</f>
        <v>27</v>
      </c>
      <c r="P23" s="51" t="str">
        <f aca="false">IF($O23="","",IFERROR(INDEX($F$6:$F$57,MATCH($O23,$A$6:$A$57,0)),""))</f>
        <v>EMP-0070</v>
      </c>
      <c r="Q23" s="52" t="str">
        <f aca="false">IF($A23="","",IF($M23&lt;&gt;"FILLED","POSITION UNFILLED",IF(IFERROR(INDEX('Position Library'!$E$2:$E$53,MATCH($A23,'Position Library'!$A$2:$A$53,0)),"N")&lt;&gt;"Y","NOT REQUIRED",IF(OR($O23="",$P23=""),"RELIEF GAP","COVERED"))))</f>
        <v>COVERED</v>
      </c>
      <c r="R23" s="52" t="str">
        <f aca="false">IF($A23="","",IF($D23&lt;&gt;"Tier 1","N/A",IF(OR($E$2="PM",$E$2="Overnight"),"N/A",IF($H23="3:45 AM","COVERED","OPENING GAP"))))</f>
        <v>COVERED</v>
      </c>
      <c r="S23" s="38"/>
    </row>
    <row r="24" customFormat="false" ht="19.5" hidden="false" customHeight="true" outlineLevel="0" collapsed="false">
      <c r="A24" s="29" t="n">
        <v>32</v>
      </c>
      <c r="B24" s="38" t="str">
        <f aca="false">IF($A24="","",IFERROR(INDEX('Position Library'!$B$2:$B$53,MATCH($A24,'Position Library'!$A$2:$A$53,0)),""))</f>
        <v>Lower North Security Checkpoint</v>
      </c>
      <c r="C24" s="38" t="str">
        <f aca="false">IF($A24="","",IFERROR(INDEX('Position Library'!$C$2:$C$53,MATCH($A24,'Position Library'!$A$2:$A$53,0)),""))</f>
        <v>Checkpoint – Inside </v>
      </c>
      <c r="D24" s="29" t="str">
        <f aca="false">IF($A24="","",IFERROR(INDEX('Position Library'!$D$2:$D$53,MATCH($A24,'Position Library'!$A$2:$A$53,0)),""))</f>
        <v>Tier 1</v>
      </c>
      <c r="E24" s="38" t="str">
        <f aca="false">IF($A24="","",IF($A24=45,"Information Desk = Y",IF(OR($A24=4,$A24=8),IF(OR(WEEKDAY($B$2,2)=1,WEEKDAY($B$2,2)=4,WEEKDAY($B$2,2)=5,WEEKDAY($B$2,2)=7),"Main Inside = 3","Main Inside &gt;= 2"),IF(AND($A24&gt;=46,$A24&lt;=52),"Divest = Y","General Qualifications &gt;= 2"))))</f>
        <v>General Qualifications &gt;= 2</v>
      </c>
      <c r="F24" s="29" t="str">
        <f aca="false">IF($A24="","",IFERROR(INDEX('Daily Workforce'!$B$6:$B$205,MATCH(1,Lists!Q20:HH20,0)),""))</f>
        <v>EMP-0116</v>
      </c>
      <c r="G24" s="1" t="str">
        <f aca="false">IF($F24="","",IFERROR(INDEX('Daily Workforce'!$C$6:$C$205,MATCH($F24,'Daily Workforce'!$B$6:$B$205,0)),""))</f>
        <v>Phenica Peterson</v>
      </c>
      <c r="H24" s="29" t="str">
        <f aca="false">IF($F24="","",IFERROR(INDEX('Daily Workforce'!$D$6:$D$205,MATCH($F24,'Daily Workforce'!$B$6:$B$205,0)),""))</f>
        <v>3:45 AM</v>
      </c>
      <c r="I24" s="29" t="str">
        <f aca="false">IF($H24="","",$H24)</f>
        <v>3:45 AM</v>
      </c>
      <c r="J24" s="29" t="str">
        <f aca="false">IF($H24="","",IF($H24="3:45 AM","12:45 PM",IF($H24="5:45 AM","2:45 PM",IF($H24="12:15 PM","9:15 PM",IF($H24="2:00 PM","11:00 PM",IF($H24="9:15 PM","6:15 AM",""))))))</f>
        <v>12:45 PM</v>
      </c>
      <c r="K24" s="29" t="str">
        <f aca="false">IF($F24="","",IFERROR(INDEX('Daily Workforce'!$I$6:$I$205,MATCH($F24,'Daily Workforce'!$B$6:$B$205,0)),""))</f>
        <v>None</v>
      </c>
      <c r="L24" s="39" t="str">
        <f aca="false">IF($A24="","",IF($F24="","NO QUALIFIED EMPLOYEE","QUALIFIED"))</f>
        <v>QUALIFIED</v>
      </c>
      <c r="M24" s="29" t="str">
        <f aca="false">IF($A24="","",IF($F24="","UNFILLED","FILLED"))</f>
        <v>FILLED</v>
      </c>
      <c r="N24" s="43" t="str">
        <f aca="false">IF($F24="","",IF($H24="3:45 AM",IF(OR($K24="8:00 AM",$K24="9:00 AM"),$K24,CHOOSE(MOD(COUNTIF($H$6:$H24,$H24)-1,3)+1,"8:00 AM","8:00 AM","9:00 AM")),IF($H24="5:45 AM",IF(OR($K24="9:00 AM",$K24="10:00 AM"),$K24,CHOOSE(MOD(COUNTIF($H$6:$H24,$H24)-1,3)+1,"10:00 AM","10:00 AM","9:00 AM")),IF(AND($K24&lt;&gt;"",$K24&lt;&gt;"None"),$K24,IF($H24="12:15 PM",CHOOSE(MOD(COUNTIF($H$6:$H24,$H24)-1,2)+1,"4:00 PM","5:00 PM"),IF($H24="2:00 PM",CHOOSE(MOD(COUNTIF($H$6:$H24,$H24)-1,2)+1,"6:00 PM","7:00 PM"),IF($H24="9:15 PM",CHOOSE(MOD(COUNTIF($H$6:$H24,$H24)-1,2)+1,"1:00 AM","2:00 AM"),"")))))))</f>
        <v>8:00 AM</v>
      </c>
      <c r="O24" s="51" t="n">
        <f aca="false">IF($A24="","",IF(IFERROR(INDEX('Position Library'!$E$2:$E$53,MATCH($A24,'Position Library'!$A$2:$A$53,0)),"N")="Y",IF(AND(IFERROR(VALUE(INDEX('Position Relationships'!$B$2:$F$53,MATCH($A24,'Position Relationships'!$A$2:$A$53,0),1)),"")&lt;&gt;"",IFERROR(INDEX($N$6:$N$57,MATCH(IFERROR(VALUE(INDEX('Position Relationships'!$B$2:$F$53,MATCH($A24,'Position Relationships'!$A$2:$A$53,0),1)),""),$A$6:$A$57,0)),"")&lt;&gt;"",IFERROR(INDEX($N$6:$N$57,MATCH(IFERROR(VALUE(INDEX('Position Relationships'!$B$2:$F$53,MATCH($A24,'Position Relationships'!$A$2:$A$53,0),1)),""),$A$6:$A$57,0)),"")&lt;&gt;$N24),IFERROR(VALUE(INDEX('Position Relationships'!$B$2:$F$53,MATCH($A24,'Position Relationships'!$A$2:$A$53,0),1)),""),IF(AND(IFERROR(VALUE(INDEX('Position Relationships'!$B$2:$F$53,MATCH($A24,'Position Relationships'!$A$2:$A$53,0),2)),"")&lt;&gt;"",IFERROR(INDEX($N$6:$N$57,MATCH(IFERROR(VALUE(INDEX('Position Relationships'!$B$2:$F$53,MATCH($A24,'Position Relationships'!$A$2:$A$53,0),2)),""),$A$6:$A$57,0)),"")&lt;&gt;"",IFERROR(INDEX($N$6:$N$57,MATCH(IFERROR(VALUE(INDEX('Position Relationships'!$B$2:$F$53,MATCH($A24,'Position Relationships'!$A$2:$A$53,0),2)),""),$A$6:$A$57,0)),"")&lt;&gt;$N24),IFERROR(VALUE(INDEX('Position Relationships'!$B$2:$F$53,MATCH($A24,'Position Relationships'!$A$2:$A$53,0),2)),""),IF(AND(IFERROR(VALUE(INDEX('Position Relationships'!$B$2:$F$53,MATCH($A24,'Position Relationships'!$A$2:$A$53,0),3)),"")&lt;&gt;"",IFERROR(INDEX($N$6:$N$57,MATCH(IFERROR(VALUE(INDEX('Position Relationships'!$B$2:$F$53,MATCH($A24,'Position Relationships'!$A$2:$A$53,0),3)),""),$A$6:$A$57,0)),"")&lt;&gt;"",IFERROR(INDEX($N$6:$N$57,MATCH(IFERROR(VALUE(INDEX('Position Relationships'!$B$2:$F$53,MATCH($A24,'Position Relationships'!$A$2:$A$53,0),3)),""),$A$6:$A$57,0)),"")&lt;&gt;$N24),IFERROR(VALUE(INDEX('Position Relationships'!$B$2:$F$53,MATCH($A24,'Position Relationships'!$A$2:$A$53,0),3)),""),IF(AND(IFERROR(VALUE(INDEX('Position Relationships'!$B$2:$F$53,MATCH($A24,'Position Relationships'!$A$2:$A$53,0),4)),"")&lt;&gt;"",IFERROR(INDEX($N$6:$N$57,MATCH(IFERROR(VALUE(INDEX('Position Relationships'!$B$2:$F$53,MATCH($A24,'Position Relationships'!$A$2:$A$53,0),4)),""),$A$6:$A$57,0)),"")&lt;&gt;"",IFERROR(INDEX($N$6:$N$57,MATCH(IFERROR(VALUE(INDEX('Position Relationships'!$B$2:$F$53,MATCH($A24,'Position Relationships'!$A$2:$A$53,0),4)),""),$A$6:$A$57,0)),"")&lt;&gt;$N24),IFERROR(VALUE(INDEX('Position Relationships'!$B$2:$F$53,MATCH($A24,'Position Relationships'!$A$2:$A$53,0),4)),""),IF(AND(IFERROR(VALUE(INDEX('Position Relationships'!$B$2:$F$53,MATCH($A24,'Position Relationships'!$A$2:$A$53,0),5)),"")&lt;&gt;"",IFERROR(INDEX($N$6:$N$57,MATCH(IFERROR(VALUE(INDEX('Position Relationships'!$B$2:$F$53,MATCH($A24,'Position Relationships'!$A$2:$A$53,0),5)),""),$A$6:$A$57,0)),"")&lt;&gt;"",IFERROR(INDEX($N$6:$N$57,MATCH(IFERROR(VALUE(INDEX('Position Relationships'!$B$2:$F$53,MATCH($A24,'Position Relationships'!$A$2:$A$53,0),5)),""),$A$6:$A$57,0)),"")&lt;&gt;$N24),IFERROR(VALUE(INDEX('Position Relationships'!$B$2:$F$53,MATCH($A24,'Position Relationships'!$A$2:$A$53,0),5)),""),""))))),""))</f>
        <v>31</v>
      </c>
      <c r="P24" s="51" t="str">
        <f aca="false">IF($O24="","",IFERROR(INDEX($F$6:$F$57,MATCH($O24,$A$6:$A$57,0)),""))</f>
        <v>EMP-0041</v>
      </c>
      <c r="Q24" s="52" t="str">
        <f aca="false">IF($A24="","",IF($M24&lt;&gt;"FILLED","POSITION UNFILLED",IF(IFERROR(INDEX('Position Library'!$E$2:$E$53,MATCH($A24,'Position Library'!$A$2:$A$53,0)),"N")&lt;&gt;"Y","NOT REQUIRED",IF(OR($O24="",$P24=""),"RELIEF GAP","COVERED"))))</f>
        <v>COVERED</v>
      </c>
      <c r="R24" s="52" t="str">
        <f aca="false">IF($A24="","",IF($D24&lt;&gt;"Tier 1","N/A",IF(OR($E$2="PM",$E$2="Overnight"),"N/A",IF($H24="3:45 AM","COVERED","OPENING GAP"))))</f>
        <v>COVERED</v>
      </c>
      <c r="S24" s="38"/>
    </row>
    <row r="25" customFormat="false" ht="19.5" hidden="false" customHeight="true" outlineLevel="0" collapsed="false">
      <c r="A25" s="29" t="n">
        <v>33</v>
      </c>
      <c r="B25" s="38" t="str">
        <f aca="false">IF($A25="","",IFERROR(INDEX('Position Library'!$B$2:$B$53,MATCH($A25,'Position Library'!$A$2:$A$53,0)),""))</f>
        <v>Lower North Security Checkpoint</v>
      </c>
      <c r="C25" s="38" t="str">
        <f aca="false">IF($A25="","",IFERROR(INDEX('Position Library'!$C$2:$C$53,MATCH($A25,'Position Library'!$A$2:$A$53,0)),""))</f>
        <v>N5 Door</v>
      </c>
      <c r="D25" s="29" t="str">
        <f aca="false">IF($A25="","",IFERROR(INDEX('Position Library'!$D$2:$D$53,MATCH($A25,'Position Library'!$A$2:$A$53,0)),""))</f>
        <v>Tier 1</v>
      </c>
      <c r="E25" s="38" t="str">
        <f aca="false">IF($A25="","",IF($A25=45,"Information Desk = Y",IF(OR($A25=4,$A25=8),IF(OR(WEEKDAY($B$2,2)=1,WEEKDAY($B$2,2)=4,WEEKDAY($B$2,2)=5,WEEKDAY($B$2,2)=7),"Main Inside = 3","Main Inside &gt;= 2"),IF(AND($A25&gt;=46,$A25&lt;=52),"Divest = Y","General Qualifications &gt;= 2"))))</f>
        <v>General Qualifications &gt;= 2</v>
      </c>
      <c r="F25" s="29" t="str">
        <f aca="false">IF($A25="","",IFERROR(INDEX('Daily Workforce'!$B$6:$B$205,MATCH(1,Lists!Q21:HH21,0)),""))</f>
        <v>EMP-0135</v>
      </c>
      <c r="G25" s="1" t="str">
        <f aca="false">IF($F25="","",IFERROR(INDEX('Daily Workforce'!$C$6:$C$205,MATCH($F25,'Daily Workforce'!$B$6:$B$205,0)),""))</f>
        <v>Tanya Organ</v>
      </c>
      <c r="H25" s="29" t="str">
        <f aca="false">IF($F25="","",IFERROR(INDEX('Daily Workforce'!$D$6:$D$205,MATCH($F25,'Daily Workforce'!$B$6:$B$205,0)),""))</f>
        <v>3:45 AM</v>
      </c>
      <c r="I25" s="29" t="str">
        <f aca="false">IF($H25="","",$H25)</f>
        <v>3:45 AM</v>
      </c>
      <c r="J25" s="29" t="str">
        <f aca="false">IF($H25="","",IF($H25="3:45 AM","12:45 PM",IF($H25="5:45 AM","2:45 PM",IF($H25="12:15 PM","9:15 PM",IF($H25="2:00 PM","11:00 PM",IF($H25="9:15 PM","6:15 AM",""))))))</f>
        <v>12:45 PM</v>
      </c>
      <c r="K25" s="29" t="str">
        <f aca="false">IF($F25="","",IFERROR(INDEX('Daily Workforce'!$I$6:$I$205,MATCH($F25,'Daily Workforce'!$B$6:$B$205,0)),""))</f>
        <v>None</v>
      </c>
      <c r="L25" s="39" t="str">
        <f aca="false">IF($A25="","",IF($F25="","NO QUALIFIED EMPLOYEE","QUALIFIED"))</f>
        <v>QUALIFIED</v>
      </c>
      <c r="M25" s="29" t="str">
        <f aca="false">IF($A25="","",IF($F25="","UNFILLED","FILLED"))</f>
        <v>FILLED</v>
      </c>
      <c r="N25" s="43" t="str">
        <f aca="false">IF($F25="","",IF($H25="3:45 AM",IF(OR($K25="8:00 AM",$K25="9:00 AM"),$K25,CHOOSE(MOD(COUNTIF($H$6:$H25,$H25)-1,3)+1,"8:00 AM","8:00 AM","9:00 AM")),IF($H25="5:45 AM",IF(OR($K25="9:00 AM",$K25="10:00 AM"),$K25,CHOOSE(MOD(COUNTIF($H$6:$H25,$H25)-1,3)+1,"10:00 AM","10:00 AM","9:00 AM")),IF(AND($K25&lt;&gt;"",$K25&lt;&gt;"None"),$K25,IF($H25="12:15 PM",CHOOSE(MOD(COUNTIF($H$6:$H25,$H25)-1,2)+1,"4:00 PM","5:00 PM"),IF($H25="2:00 PM",CHOOSE(MOD(COUNTIF($H$6:$H25,$H25)-1,2)+1,"6:00 PM","7:00 PM"),IF($H25="9:15 PM",CHOOSE(MOD(COUNTIF($H$6:$H25,$H25)-1,2)+1,"1:00 AM","2:00 AM"),"")))))))</f>
        <v>9:00 AM</v>
      </c>
      <c r="O25" s="51" t="n">
        <f aca="false">IF($A25="","",IF(IFERROR(INDEX('Position Library'!$E$2:$E$53,MATCH($A25,'Position Library'!$A$2:$A$53,0)),"N")="Y",IF(AND(IFERROR(VALUE(INDEX('Position Relationships'!$B$2:$F$53,MATCH($A25,'Position Relationships'!$A$2:$A$53,0),1)),"")&lt;&gt;"",IFERROR(INDEX($N$6:$N$57,MATCH(IFERROR(VALUE(INDEX('Position Relationships'!$B$2:$F$53,MATCH($A25,'Position Relationships'!$A$2:$A$53,0),1)),""),$A$6:$A$57,0)),"")&lt;&gt;"",IFERROR(INDEX($N$6:$N$57,MATCH(IFERROR(VALUE(INDEX('Position Relationships'!$B$2:$F$53,MATCH($A25,'Position Relationships'!$A$2:$A$53,0),1)),""),$A$6:$A$57,0)),"")&lt;&gt;$N25),IFERROR(VALUE(INDEX('Position Relationships'!$B$2:$F$53,MATCH($A25,'Position Relationships'!$A$2:$A$53,0),1)),""),IF(AND(IFERROR(VALUE(INDEX('Position Relationships'!$B$2:$F$53,MATCH($A25,'Position Relationships'!$A$2:$A$53,0),2)),"")&lt;&gt;"",IFERROR(INDEX($N$6:$N$57,MATCH(IFERROR(VALUE(INDEX('Position Relationships'!$B$2:$F$53,MATCH($A25,'Position Relationships'!$A$2:$A$53,0),2)),""),$A$6:$A$57,0)),"")&lt;&gt;"",IFERROR(INDEX($N$6:$N$57,MATCH(IFERROR(VALUE(INDEX('Position Relationships'!$B$2:$F$53,MATCH($A25,'Position Relationships'!$A$2:$A$53,0),2)),""),$A$6:$A$57,0)),"")&lt;&gt;$N25),IFERROR(VALUE(INDEX('Position Relationships'!$B$2:$F$53,MATCH($A25,'Position Relationships'!$A$2:$A$53,0),2)),""),IF(AND(IFERROR(VALUE(INDEX('Position Relationships'!$B$2:$F$53,MATCH($A25,'Position Relationships'!$A$2:$A$53,0),3)),"")&lt;&gt;"",IFERROR(INDEX($N$6:$N$57,MATCH(IFERROR(VALUE(INDEX('Position Relationships'!$B$2:$F$53,MATCH($A25,'Position Relationships'!$A$2:$A$53,0),3)),""),$A$6:$A$57,0)),"")&lt;&gt;"",IFERROR(INDEX($N$6:$N$57,MATCH(IFERROR(VALUE(INDEX('Position Relationships'!$B$2:$F$53,MATCH($A25,'Position Relationships'!$A$2:$A$53,0),3)),""),$A$6:$A$57,0)),"")&lt;&gt;$N25),IFERROR(VALUE(INDEX('Position Relationships'!$B$2:$F$53,MATCH($A25,'Position Relationships'!$A$2:$A$53,0),3)),""),IF(AND(IFERROR(VALUE(INDEX('Position Relationships'!$B$2:$F$53,MATCH($A25,'Position Relationships'!$A$2:$A$53,0),4)),"")&lt;&gt;"",IFERROR(INDEX($N$6:$N$57,MATCH(IFERROR(VALUE(INDEX('Position Relationships'!$B$2:$F$53,MATCH($A25,'Position Relationships'!$A$2:$A$53,0),4)),""),$A$6:$A$57,0)),"")&lt;&gt;"",IFERROR(INDEX($N$6:$N$57,MATCH(IFERROR(VALUE(INDEX('Position Relationships'!$B$2:$F$53,MATCH($A25,'Position Relationships'!$A$2:$A$53,0),4)),""),$A$6:$A$57,0)),"")&lt;&gt;$N25),IFERROR(VALUE(INDEX('Position Relationships'!$B$2:$F$53,MATCH($A25,'Position Relationships'!$A$2:$A$53,0),4)),""),IF(AND(IFERROR(VALUE(INDEX('Position Relationships'!$B$2:$F$53,MATCH($A25,'Position Relationships'!$A$2:$A$53,0),5)),"")&lt;&gt;"",IFERROR(INDEX($N$6:$N$57,MATCH(IFERROR(VALUE(INDEX('Position Relationships'!$B$2:$F$53,MATCH($A25,'Position Relationships'!$A$2:$A$53,0),5)),""),$A$6:$A$57,0)),"")&lt;&gt;"",IFERROR(INDEX($N$6:$N$57,MATCH(IFERROR(VALUE(INDEX('Position Relationships'!$B$2:$F$53,MATCH($A25,'Position Relationships'!$A$2:$A$53,0),5)),""),$A$6:$A$57,0)),"")&lt;&gt;$N25),IFERROR(VALUE(INDEX('Position Relationships'!$B$2:$F$53,MATCH($A25,'Position Relationships'!$A$2:$A$53,0),5)),""),""))))),""))</f>
        <v>31</v>
      </c>
      <c r="P25" s="51" t="str">
        <f aca="false">IF($O25="","",IFERROR(INDEX($F$6:$F$57,MATCH($O25,$A$6:$A$57,0)),""))</f>
        <v>EMP-0041</v>
      </c>
      <c r="Q25" s="52" t="str">
        <f aca="false">IF($A25="","",IF($M25&lt;&gt;"FILLED","POSITION UNFILLED",IF(IFERROR(INDEX('Position Library'!$E$2:$E$53,MATCH($A25,'Position Library'!$A$2:$A$53,0)),"N")&lt;&gt;"Y","NOT REQUIRED",IF(OR($O25="",$P25=""),"RELIEF GAP","COVERED"))))</f>
        <v>COVERED</v>
      </c>
      <c r="R25" s="52" t="str">
        <f aca="false">IF($A25="","",IF($D25&lt;&gt;"Tier 1","N/A",IF(OR($E$2="PM",$E$2="Overnight"),"N/A",IF($H25="3:45 AM","COVERED","OPENING GAP"))))</f>
        <v>COVERED</v>
      </c>
      <c r="S25" s="38"/>
    </row>
    <row r="26" customFormat="false" ht="19.5" hidden="false" customHeight="true" outlineLevel="0" collapsed="false">
      <c r="A26" s="29" t="n">
        <v>35</v>
      </c>
      <c r="B26" s="38" t="str">
        <f aca="false">IF($A26="","",IFERROR(INDEX('Position Library'!$B$2:$B$53,MATCH($A26,'Position Library'!$A$2:$A$53,0)),""))</f>
        <v>AGT Level</v>
      </c>
      <c r="C26" s="38" t="str">
        <f aca="false">IF($A26="","",IFERROR(INDEX('Position Library'!$C$2:$C$53,MATCH($A26,'Position Library'!$A$2:$A$53,0)),""))</f>
        <v>T Platform Train Door 1</v>
      </c>
      <c r="D26" s="29" t="str">
        <f aca="false">IF($A26="","",IFERROR(INDEX('Position Library'!$D$2:$D$53,MATCH($A26,'Position Library'!$A$2:$A$53,0)),""))</f>
        <v>Tier 1</v>
      </c>
      <c r="E26" s="38" t="str">
        <f aca="false">IF($A26="","",IF($A26=45,"Information Desk = Y",IF(OR($A26=4,$A26=8),IF(OR(WEEKDAY($B$2,2)=1,WEEKDAY($B$2,2)=4,WEEKDAY($B$2,2)=5,WEEKDAY($B$2,2)=7),"Main Inside = 3","Main Inside &gt;= 2"),IF(AND($A26&gt;=46,$A26&lt;=52),"Divest = Y","General Qualifications &gt;= 2"))))</f>
        <v>General Qualifications &gt;= 2</v>
      </c>
      <c r="F26" s="29" t="str">
        <f aca="false">IF($A26="","",IFERROR(INDEX('Daily Workforce'!$B$6:$B$205,MATCH(1,Lists!Q22:HH22,0)),""))</f>
        <v>EMP-0136</v>
      </c>
      <c r="G26" s="1" t="str">
        <f aca="false">IF($F26="","",IFERROR(INDEX('Daily Workforce'!$C$6:$C$205,MATCH($F26,'Daily Workforce'!$B$6:$B$205,0)),""))</f>
        <v>Teaera Freeman</v>
      </c>
      <c r="H26" s="29" t="str">
        <f aca="false">IF($F26="","",IFERROR(INDEX('Daily Workforce'!$D$6:$D$205,MATCH($F26,'Daily Workforce'!$B$6:$B$205,0)),""))</f>
        <v>3:45 AM</v>
      </c>
      <c r="I26" s="29" t="str">
        <f aca="false">IF($H26="","",$H26)</f>
        <v>3:45 AM</v>
      </c>
      <c r="J26" s="29" t="str">
        <f aca="false">IF($H26="","",IF($H26="3:45 AM","12:45 PM",IF($H26="5:45 AM","2:45 PM",IF($H26="12:15 PM","9:15 PM",IF($H26="2:00 PM","11:00 PM",IF($H26="9:15 PM","6:15 AM",""))))))</f>
        <v>12:45 PM</v>
      </c>
      <c r="K26" s="29" t="str">
        <f aca="false">IF($F26="","",IFERROR(INDEX('Daily Workforce'!$I$6:$I$205,MATCH($F26,'Daily Workforce'!$B$6:$B$205,0)),""))</f>
        <v>None</v>
      </c>
      <c r="L26" s="39" t="str">
        <f aca="false">IF($A26="","",IF($F26="","NO QUALIFIED EMPLOYEE","QUALIFIED"))</f>
        <v>QUALIFIED</v>
      </c>
      <c r="M26" s="29" t="str">
        <f aca="false">IF($A26="","",IF($F26="","UNFILLED","FILLED"))</f>
        <v>FILLED</v>
      </c>
      <c r="N26" s="43" t="str">
        <f aca="false">IF($F26="","",IF($H26="3:45 AM",IF(OR($K26="8:00 AM",$K26="9:00 AM"),$K26,CHOOSE(MOD(COUNTIF($H$6:$H26,$H26)-1,3)+1,"8:00 AM","8:00 AM","9:00 AM")),IF($H26="5:45 AM",IF(OR($K26="9:00 AM",$K26="10:00 AM"),$K26,CHOOSE(MOD(COUNTIF($H$6:$H26,$H26)-1,3)+1,"10:00 AM","10:00 AM","9:00 AM")),IF(AND($K26&lt;&gt;"",$K26&lt;&gt;"None"),$K26,IF($H26="12:15 PM",CHOOSE(MOD(COUNTIF($H$6:$H26,$H26)-1,2)+1,"4:00 PM","5:00 PM"),IF($H26="2:00 PM",CHOOSE(MOD(COUNTIF($H$6:$H26,$H26)-1,2)+1,"6:00 PM","7:00 PM"),IF($H26="9:15 PM",CHOOSE(MOD(COUNTIF($H$6:$H26,$H26)-1,2)+1,"1:00 AM","2:00 AM"),"")))))))</f>
        <v>8:00 AM</v>
      </c>
      <c r="O26" s="51" t="n">
        <f aca="false">IF($A26="","",IF(IFERROR(INDEX('Position Library'!$E$2:$E$53,MATCH($A26,'Position Library'!$A$2:$A$53,0)),"N")="Y",IF(AND(IFERROR(VALUE(INDEX('Position Relationships'!$B$2:$F$53,MATCH($A26,'Position Relationships'!$A$2:$A$53,0),1)),"")&lt;&gt;"",IFERROR(INDEX($N$6:$N$57,MATCH(IFERROR(VALUE(INDEX('Position Relationships'!$B$2:$F$53,MATCH($A26,'Position Relationships'!$A$2:$A$53,0),1)),""),$A$6:$A$57,0)),"")&lt;&gt;"",IFERROR(INDEX($N$6:$N$57,MATCH(IFERROR(VALUE(INDEX('Position Relationships'!$B$2:$F$53,MATCH($A26,'Position Relationships'!$A$2:$A$53,0),1)),""),$A$6:$A$57,0)),"")&lt;&gt;$N26),IFERROR(VALUE(INDEX('Position Relationships'!$B$2:$F$53,MATCH($A26,'Position Relationships'!$A$2:$A$53,0),1)),""),IF(AND(IFERROR(VALUE(INDEX('Position Relationships'!$B$2:$F$53,MATCH($A26,'Position Relationships'!$A$2:$A$53,0),2)),"")&lt;&gt;"",IFERROR(INDEX($N$6:$N$57,MATCH(IFERROR(VALUE(INDEX('Position Relationships'!$B$2:$F$53,MATCH($A26,'Position Relationships'!$A$2:$A$53,0),2)),""),$A$6:$A$57,0)),"")&lt;&gt;"",IFERROR(INDEX($N$6:$N$57,MATCH(IFERROR(VALUE(INDEX('Position Relationships'!$B$2:$F$53,MATCH($A26,'Position Relationships'!$A$2:$A$53,0),2)),""),$A$6:$A$57,0)),"")&lt;&gt;$N26),IFERROR(VALUE(INDEX('Position Relationships'!$B$2:$F$53,MATCH($A26,'Position Relationships'!$A$2:$A$53,0),2)),""),IF(AND(IFERROR(VALUE(INDEX('Position Relationships'!$B$2:$F$53,MATCH($A26,'Position Relationships'!$A$2:$A$53,0),3)),"")&lt;&gt;"",IFERROR(INDEX($N$6:$N$57,MATCH(IFERROR(VALUE(INDEX('Position Relationships'!$B$2:$F$53,MATCH($A26,'Position Relationships'!$A$2:$A$53,0),3)),""),$A$6:$A$57,0)),"")&lt;&gt;"",IFERROR(INDEX($N$6:$N$57,MATCH(IFERROR(VALUE(INDEX('Position Relationships'!$B$2:$F$53,MATCH($A26,'Position Relationships'!$A$2:$A$53,0),3)),""),$A$6:$A$57,0)),"")&lt;&gt;$N26),IFERROR(VALUE(INDEX('Position Relationships'!$B$2:$F$53,MATCH($A26,'Position Relationships'!$A$2:$A$53,0),3)),""),IF(AND(IFERROR(VALUE(INDEX('Position Relationships'!$B$2:$F$53,MATCH($A26,'Position Relationships'!$A$2:$A$53,0),4)),"")&lt;&gt;"",IFERROR(INDEX($N$6:$N$57,MATCH(IFERROR(VALUE(INDEX('Position Relationships'!$B$2:$F$53,MATCH($A26,'Position Relationships'!$A$2:$A$53,0),4)),""),$A$6:$A$57,0)),"")&lt;&gt;"",IFERROR(INDEX($N$6:$N$57,MATCH(IFERROR(VALUE(INDEX('Position Relationships'!$B$2:$F$53,MATCH($A26,'Position Relationships'!$A$2:$A$53,0),4)),""),$A$6:$A$57,0)),"")&lt;&gt;$N26),IFERROR(VALUE(INDEX('Position Relationships'!$B$2:$F$53,MATCH($A26,'Position Relationships'!$A$2:$A$53,0),4)),""),IF(AND(IFERROR(VALUE(INDEX('Position Relationships'!$B$2:$F$53,MATCH($A26,'Position Relationships'!$A$2:$A$53,0),5)),"")&lt;&gt;"",IFERROR(INDEX($N$6:$N$57,MATCH(IFERROR(VALUE(INDEX('Position Relationships'!$B$2:$F$53,MATCH($A26,'Position Relationships'!$A$2:$A$53,0),5)),""),$A$6:$A$57,0)),"")&lt;&gt;"",IFERROR(INDEX($N$6:$N$57,MATCH(IFERROR(VALUE(INDEX('Position Relationships'!$B$2:$F$53,MATCH($A26,'Position Relationships'!$A$2:$A$53,0),5)),""),$A$6:$A$57,0)),"")&lt;&gt;$N26),IFERROR(VALUE(INDEX('Position Relationships'!$B$2:$F$53,MATCH($A26,'Position Relationships'!$A$2:$A$53,0),5)),""),""))))),""))</f>
        <v>36</v>
      </c>
      <c r="P26" s="51" t="str">
        <f aca="false">IF($O26="","",IFERROR(INDEX($F$6:$F$57,MATCH($O26,$A$6:$A$57,0)),""))</f>
        <v>EMP-0051</v>
      </c>
      <c r="Q26" s="52" t="str">
        <f aca="false">IF($A26="","",IF($M26&lt;&gt;"FILLED","POSITION UNFILLED",IF(IFERROR(INDEX('Position Library'!$E$2:$E$53,MATCH($A26,'Position Library'!$A$2:$A$53,0)),"N")&lt;&gt;"Y","NOT REQUIRED",IF(OR($O26="",$P26=""),"RELIEF GAP","COVERED"))))</f>
        <v>COVERED</v>
      </c>
      <c r="R26" s="52" t="str">
        <f aca="false">IF($A26="","",IF($D26&lt;&gt;"Tier 1","N/A",IF(OR($E$2="PM",$E$2="Overnight"),"N/A",IF($H26="3:45 AM","COVERED","OPENING GAP"))))</f>
        <v>COVERED</v>
      </c>
      <c r="S26" s="38"/>
    </row>
    <row r="27" customFormat="false" ht="19.5" hidden="false" customHeight="true" outlineLevel="0" collapsed="false">
      <c r="A27" s="29" t="n">
        <v>38</v>
      </c>
      <c r="B27" s="38" t="str">
        <f aca="false">IF($A27="","",IFERROR(INDEX('Position Library'!$B$2:$B$53,MATCH($A27,'Position Library'!$A$2:$A$53,0)),""))</f>
        <v>AGT Level</v>
      </c>
      <c r="C27" s="38" t="str">
        <f aca="false">IF($A27="","",IFERROR(INDEX('Position Library'!$C$2:$C$53,MATCH($A27,'Position Library'!$A$2:$A$53,0)),""))</f>
        <v>Domestic Baggage Claim</v>
      </c>
      <c r="D27" s="29" t="str">
        <f aca="false">IF($A27="","",IFERROR(INDEX('Position Library'!$D$2:$D$53,MATCH($A27,'Position Library'!$A$2:$A$53,0)),""))</f>
        <v>Tier 1</v>
      </c>
      <c r="E27" s="38" t="str">
        <f aca="false">IF($A27="","",IF($A27=45,"Information Desk = Y",IF(OR($A27=4,$A27=8),IF(OR(WEEKDAY($B$2,2)=1,WEEKDAY($B$2,2)=4,WEEKDAY($B$2,2)=5,WEEKDAY($B$2,2)=7),"Main Inside = 3","Main Inside &gt;= 2"),IF(AND($A27&gt;=46,$A27&lt;=52),"Divest = Y","General Qualifications &gt;= 2"))))</f>
        <v>General Qualifications &gt;= 2</v>
      </c>
      <c r="F27" s="29" t="str">
        <f aca="false">IF($A27="","",IFERROR(INDEX('Daily Workforce'!$B$6:$B$205,MATCH(1,Lists!Q23:HH23,0)),""))</f>
        <v>EMP-0141</v>
      </c>
      <c r="G27" s="1" t="str">
        <f aca="false">IF($F27="","",IFERROR(INDEX('Daily Workforce'!$C$6:$C$205,MATCH($F27,'Daily Workforce'!$B$6:$B$205,0)),""))</f>
        <v>Tiffany Felton</v>
      </c>
      <c r="H27" s="29" t="str">
        <f aca="false">IF($F27="","",IFERROR(INDEX('Daily Workforce'!$D$6:$D$205,MATCH($F27,'Daily Workforce'!$B$6:$B$205,0)),""))</f>
        <v>3:45 AM</v>
      </c>
      <c r="I27" s="29" t="str">
        <f aca="false">IF($H27="","",$H27)</f>
        <v>3:45 AM</v>
      </c>
      <c r="J27" s="29" t="str">
        <f aca="false">IF($H27="","",IF($H27="3:45 AM","12:45 PM",IF($H27="5:45 AM","2:45 PM",IF($H27="12:15 PM","9:15 PM",IF($H27="2:00 PM","11:00 PM",IF($H27="9:15 PM","6:15 AM",""))))))</f>
        <v>12:45 PM</v>
      </c>
      <c r="K27" s="29" t="str">
        <f aca="false">IF($F27="","",IFERROR(INDEX('Daily Workforce'!$I$6:$I$205,MATCH($F27,'Daily Workforce'!$B$6:$B$205,0)),""))</f>
        <v>None</v>
      </c>
      <c r="L27" s="39" t="str">
        <f aca="false">IF($A27="","",IF($F27="","NO QUALIFIED EMPLOYEE","QUALIFIED"))</f>
        <v>QUALIFIED</v>
      </c>
      <c r="M27" s="29" t="str">
        <f aca="false">IF($A27="","",IF($F27="","UNFILLED","FILLED"))</f>
        <v>FILLED</v>
      </c>
      <c r="N27" s="43" t="str">
        <f aca="false">IF($F27="","",IF($H27="3:45 AM",IF(OR($K27="8:00 AM",$K27="9:00 AM"),$K27,CHOOSE(MOD(COUNTIF($H$6:$H27,$H27)-1,3)+1,"8:00 AM","8:00 AM","9:00 AM")),IF($H27="5:45 AM",IF(OR($K27="9:00 AM",$K27="10:00 AM"),$K27,CHOOSE(MOD(COUNTIF($H$6:$H27,$H27)-1,3)+1,"10:00 AM","10:00 AM","9:00 AM")),IF(AND($K27&lt;&gt;"",$K27&lt;&gt;"None"),$K27,IF($H27="12:15 PM",CHOOSE(MOD(COUNTIF($H$6:$H27,$H27)-1,2)+1,"4:00 PM","5:00 PM"),IF($H27="2:00 PM",CHOOSE(MOD(COUNTIF($H$6:$H27,$H27)-1,2)+1,"6:00 PM","7:00 PM"),IF($H27="9:15 PM",CHOOSE(MOD(COUNTIF($H$6:$H27,$H27)-1,2)+1,"1:00 AM","2:00 AM"),"")))))))</f>
        <v>8:00 AM</v>
      </c>
      <c r="O27" s="51" t="n">
        <f aca="false">IF($A27="","",IF(IFERROR(INDEX('Position Library'!$E$2:$E$53,MATCH($A27,'Position Library'!$A$2:$A$53,0)),"N")="Y",IF(AND(IFERROR(VALUE(INDEX('Position Relationships'!$B$2:$F$53,MATCH($A27,'Position Relationships'!$A$2:$A$53,0),1)),"")&lt;&gt;"",IFERROR(INDEX($N$6:$N$57,MATCH(IFERROR(VALUE(INDEX('Position Relationships'!$B$2:$F$53,MATCH($A27,'Position Relationships'!$A$2:$A$53,0),1)),""),$A$6:$A$57,0)),"")&lt;&gt;"",IFERROR(INDEX($N$6:$N$57,MATCH(IFERROR(VALUE(INDEX('Position Relationships'!$B$2:$F$53,MATCH($A27,'Position Relationships'!$A$2:$A$53,0),1)),""),$A$6:$A$57,0)),"")&lt;&gt;$N27),IFERROR(VALUE(INDEX('Position Relationships'!$B$2:$F$53,MATCH($A27,'Position Relationships'!$A$2:$A$53,0),1)),""),IF(AND(IFERROR(VALUE(INDEX('Position Relationships'!$B$2:$F$53,MATCH($A27,'Position Relationships'!$A$2:$A$53,0),2)),"")&lt;&gt;"",IFERROR(INDEX($N$6:$N$57,MATCH(IFERROR(VALUE(INDEX('Position Relationships'!$B$2:$F$53,MATCH($A27,'Position Relationships'!$A$2:$A$53,0),2)),""),$A$6:$A$57,0)),"")&lt;&gt;"",IFERROR(INDEX($N$6:$N$57,MATCH(IFERROR(VALUE(INDEX('Position Relationships'!$B$2:$F$53,MATCH($A27,'Position Relationships'!$A$2:$A$53,0),2)),""),$A$6:$A$57,0)),"")&lt;&gt;$N27),IFERROR(VALUE(INDEX('Position Relationships'!$B$2:$F$53,MATCH($A27,'Position Relationships'!$A$2:$A$53,0),2)),""),IF(AND(IFERROR(VALUE(INDEX('Position Relationships'!$B$2:$F$53,MATCH($A27,'Position Relationships'!$A$2:$A$53,0),3)),"")&lt;&gt;"",IFERROR(INDEX($N$6:$N$57,MATCH(IFERROR(VALUE(INDEX('Position Relationships'!$B$2:$F$53,MATCH($A27,'Position Relationships'!$A$2:$A$53,0),3)),""),$A$6:$A$57,0)),"")&lt;&gt;"",IFERROR(INDEX($N$6:$N$57,MATCH(IFERROR(VALUE(INDEX('Position Relationships'!$B$2:$F$53,MATCH($A27,'Position Relationships'!$A$2:$A$53,0),3)),""),$A$6:$A$57,0)),"")&lt;&gt;$N27),IFERROR(VALUE(INDEX('Position Relationships'!$B$2:$F$53,MATCH($A27,'Position Relationships'!$A$2:$A$53,0),3)),""),IF(AND(IFERROR(VALUE(INDEX('Position Relationships'!$B$2:$F$53,MATCH($A27,'Position Relationships'!$A$2:$A$53,0),4)),"")&lt;&gt;"",IFERROR(INDEX($N$6:$N$57,MATCH(IFERROR(VALUE(INDEX('Position Relationships'!$B$2:$F$53,MATCH($A27,'Position Relationships'!$A$2:$A$53,0),4)),""),$A$6:$A$57,0)),"")&lt;&gt;"",IFERROR(INDEX($N$6:$N$57,MATCH(IFERROR(VALUE(INDEX('Position Relationships'!$B$2:$F$53,MATCH($A27,'Position Relationships'!$A$2:$A$53,0),4)),""),$A$6:$A$57,0)),"")&lt;&gt;$N27),IFERROR(VALUE(INDEX('Position Relationships'!$B$2:$F$53,MATCH($A27,'Position Relationships'!$A$2:$A$53,0),4)),""),IF(AND(IFERROR(VALUE(INDEX('Position Relationships'!$B$2:$F$53,MATCH($A27,'Position Relationships'!$A$2:$A$53,0),5)),"")&lt;&gt;"",IFERROR(INDEX($N$6:$N$57,MATCH(IFERROR(VALUE(INDEX('Position Relationships'!$B$2:$F$53,MATCH($A27,'Position Relationships'!$A$2:$A$53,0),5)),""),$A$6:$A$57,0)),"")&lt;&gt;"",IFERROR(INDEX($N$6:$N$57,MATCH(IFERROR(VALUE(INDEX('Position Relationships'!$B$2:$F$53,MATCH($A27,'Position Relationships'!$A$2:$A$53,0),5)),""),$A$6:$A$57,0)),"")&lt;&gt;$N27),IFERROR(VALUE(INDEX('Position Relationships'!$B$2:$F$53,MATCH($A27,'Position Relationships'!$A$2:$A$53,0),5)),""),""))))),""))</f>
        <v>36</v>
      </c>
      <c r="P27" s="51" t="str">
        <f aca="false">IF($O27="","",IFERROR(INDEX($F$6:$F$57,MATCH($O27,$A$6:$A$57,0)),""))</f>
        <v>EMP-0051</v>
      </c>
      <c r="Q27" s="52" t="str">
        <f aca="false">IF($A27="","",IF($M27&lt;&gt;"FILLED","POSITION UNFILLED",IF(IFERROR(INDEX('Position Library'!$E$2:$E$53,MATCH($A27,'Position Library'!$A$2:$A$53,0)),"N")&lt;&gt;"Y","NOT REQUIRED",IF(OR($O27="",$P27=""),"RELIEF GAP","COVERED"))))</f>
        <v>COVERED</v>
      </c>
      <c r="R27" s="52" t="str">
        <f aca="false">IF($A27="","",IF($D27&lt;&gt;"Tier 1","N/A",IF(OR($E$2="PM",$E$2="Overnight"),"N/A",IF($H27="3:45 AM","COVERED","OPENING GAP"))))</f>
        <v>COVERED</v>
      </c>
      <c r="S27" s="38"/>
    </row>
    <row r="28" customFormat="false" ht="19.5" hidden="false" customHeight="true" outlineLevel="0" collapsed="false">
      <c r="A28" s="29" t="n">
        <v>39</v>
      </c>
      <c r="B28" s="38" t="str">
        <f aca="false">IF($A28="","",IFERROR(INDEX('Position Library'!$B$2:$B$53,MATCH($A28,'Position Library'!$A$2:$A$53,0)),""))</f>
        <v>AGT Level</v>
      </c>
      <c r="C28" s="38" t="str">
        <f aca="false">IF($A28="","",IFERROR(INDEX('Position Library'!$C$2:$C$53,MATCH($A28,'Position Library'!$A$2:$A$53,0)),""))</f>
        <v>T Bridge Landing</v>
      </c>
      <c r="D28" s="29" t="str">
        <f aca="false">IF($A28="","",IFERROR(INDEX('Position Library'!$D$2:$D$53,MATCH($A28,'Position Library'!$A$2:$A$53,0)),""))</f>
        <v>Tier 1</v>
      </c>
      <c r="E28" s="38" t="str">
        <f aca="false">IF($A28="","",IF($A28=45,"Information Desk = Y",IF(OR($A28=4,$A28=8),IF(OR(WEEKDAY($B$2,2)=1,WEEKDAY($B$2,2)=4,WEEKDAY($B$2,2)=5,WEEKDAY($B$2,2)=7),"Main Inside = 3","Main Inside &gt;= 2"),IF(AND($A28&gt;=46,$A28&lt;=52),"Divest = Y","General Qualifications &gt;= 2"))))</f>
        <v>General Qualifications &gt;= 2</v>
      </c>
      <c r="F28" s="29" t="str">
        <f aca="false">IF($A28="","",IFERROR(INDEX('Daily Workforce'!$B$6:$B$205,MATCH(1,Lists!Q24:HH24,0)),""))</f>
        <v>EMP-0004</v>
      </c>
      <c r="G28" s="1" t="str">
        <f aca="false">IF($F28="","",IFERROR(INDEX('Daily Workforce'!$C$6:$C$205,MATCH($F28,'Daily Workforce'!$B$6:$B$205,0)),""))</f>
        <v>Adeyeye Opaaje</v>
      </c>
      <c r="H28" s="29" t="str">
        <f aca="false">IF($F28="","",IFERROR(INDEX('Daily Workforce'!$D$6:$D$205,MATCH($F28,'Daily Workforce'!$B$6:$B$205,0)),""))</f>
        <v>5:45 AM</v>
      </c>
      <c r="I28" s="29" t="str">
        <f aca="false">IF($H28="","",$H28)</f>
        <v>5:45 AM</v>
      </c>
      <c r="J28" s="29" t="str">
        <f aca="false">IF($H28="","",IF($H28="3:45 AM","12:45 PM",IF($H28="5:45 AM","2:45 PM",IF($H28="12:15 PM","9:15 PM",IF($H28="2:00 PM","11:00 PM",IF($H28="9:15 PM","6:15 AM",""))))))</f>
        <v>2:45 PM</v>
      </c>
      <c r="K28" s="29" t="str">
        <f aca="false">IF($F28="","",IFERROR(INDEX('Daily Workforce'!$I$6:$I$205,MATCH($F28,'Daily Workforce'!$B$6:$B$205,0)),""))</f>
        <v>None</v>
      </c>
      <c r="L28" s="39" t="str">
        <f aca="false">IF($A28="","",IF($F28="","NO QUALIFIED EMPLOYEE","QUALIFIED"))</f>
        <v>QUALIFIED</v>
      </c>
      <c r="M28" s="29" t="str">
        <f aca="false">IF($A28="","",IF($F28="","UNFILLED","FILLED"))</f>
        <v>FILLED</v>
      </c>
      <c r="N28" s="43" t="str">
        <f aca="false">IF($F28="","",IF($H28="3:45 AM",IF(OR($K28="8:00 AM",$K28="9:00 AM"),$K28,CHOOSE(MOD(COUNTIF($H$6:$H28,$H28)-1,3)+1,"8:00 AM","8:00 AM","9:00 AM")),IF($H28="5:45 AM",IF(OR($K28="9:00 AM",$K28="10:00 AM"),$K28,CHOOSE(MOD(COUNTIF($H$6:$H28,$H28)-1,3)+1,"10:00 AM","10:00 AM","9:00 AM")),IF(AND($K28&lt;&gt;"",$K28&lt;&gt;"None"),$K28,IF($H28="12:15 PM",CHOOSE(MOD(COUNTIF($H$6:$H28,$H28)-1,2)+1,"4:00 PM","5:00 PM"),IF($H28="2:00 PM",CHOOSE(MOD(COUNTIF($H$6:$H28,$H28)-1,2)+1,"6:00 PM","7:00 PM"),IF($H28="9:15 PM",CHOOSE(MOD(COUNTIF($H$6:$H28,$H28)-1,2)+1,"1:00 AM","2:00 AM"),"")))))))</f>
        <v>10:00 AM</v>
      </c>
      <c r="O28" s="51" t="str">
        <f aca="false">IF($A28="","",IF(IFERROR(INDEX('Position Library'!$E$2:$E$53,MATCH($A28,'Position Library'!$A$2:$A$53,0)),"N")="Y",IF(AND(IFERROR(VALUE(INDEX('Position Relationships'!$B$2:$F$53,MATCH($A28,'Position Relationships'!$A$2:$A$53,0),1)),"")&lt;&gt;"",IFERROR(INDEX($N$6:$N$57,MATCH(IFERROR(VALUE(INDEX('Position Relationships'!$B$2:$F$53,MATCH($A28,'Position Relationships'!$A$2:$A$53,0),1)),""),$A$6:$A$57,0)),"")&lt;&gt;"",IFERROR(INDEX($N$6:$N$57,MATCH(IFERROR(VALUE(INDEX('Position Relationships'!$B$2:$F$53,MATCH($A28,'Position Relationships'!$A$2:$A$53,0),1)),""),$A$6:$A$57,0)),"")&lt;&gt;$N28),IFERROR(VALUE(INDEX('Position Relationships'!$B$2:$F$53,MATCH($A28,'Position Relationships'!$A$2:$A$53,0),1)),""),IF(AND(IFERROR(VALUE(INDEX('Position Relationships'!$B$2:$F$53,MATCH($A28,'Position Relationships'!$A$2:$A$53,0),2)),"")&lt;&gt;"",IFERROR(INDEX($N$6:$N$57,MATCH(IFERROR(VALUE(INDEX('Position Relationships'!$B$2:$F$53,MATCH($A28,'Position Relationships'!$A$2:$A$53,0),2)),""),$A$6:$A$57,0)),"")&lt;&gt;"",IFERROR(INDEX($N$6:$N$57,MATCH(IFERROR(VALUE(INDEX('Position Relationships'!$B$2:$F$53,MATCH($A28,'Position Relationships'!$A$2:$A$53,0),2)),""),$A$6:$A$57,0)),"")&lt;&gt;$N28),IFERROR(VALUE(INDEX('Position Relationships'!$B$2:$F$53,MATCH($A28,'Position Relationships'!$A$2:$A$53,0),2)),""),IF(AND(IFERROR(VALUE(INDEX('Position Relationships'!$B$2:$F$53,MATCH($A28,'Position Relationships'!$A$2:$A$53,0),3)),"")&lt;&gt;"",IFERROR(INDEX($N$6:$N$57,MATCH(IFERROR(VALUE(INDEX('Position Relationships'!$B$2:$F$53,MATCH($A28,'Position Relationships'!$A$2:$A$53,0),3)),""),$A$6:$A$57,0)),"")&lt;&gt;"",IFERROR(INDEX($N$6:$N$57,MATCH(IFERROR(VALUE(INDEX('Position Relationships'!$B$2:$F$53,MATCH($A28,'Position Relationships'!$A$2:$A$53,0),3)),""),$A$6:$A$57,0)),"")&lt;&gt;$N28),IFERROR(VALUE(INDEX('Position Relationships'!$B$2:$F$53,MATCH($A28,'Position Relationships'!$A$2:$A$53,0),3)),""),IF(AND(IFERROR(VALUE(INDEX('Position Relationships'!$B$2:$F$53,MATCH($A28,'Position Relationships'!$A$2:$A$53,0),4)),"")&lt;&gt;"",IFERROR(INDEX($N$6:$N$57,MATCH(IFERROR(VALUE(INDEX('Position Relationships'!$B$2:$F$53,MATCH($A28,'Position Relationships'!$A$2:$A$53,0),4)),""),$A$6:$A$57,0)),"")&lt;&gt;"",IFERROR(INDEX($N$6:$N$57,MATCH(IFERROR(VALUE(INDEX('Position Relationships'!$B$2:$F$53,MATCH($A28,'Position Relationships'!$A$2:$A$53,0),4)),""),$A$6:$A$57,0)),"")&lt;&gt;$N28),IFERROR(VALUE(INDEX('Position Relationships'!$B$2:$F$53,MATCH($A28,'Position Relationships'!$A$2:$A$53,0),4)),""),IF(AND(IFERROR(VALUE(INDEX('Position Relationships'!$B$2:$F$53,MATCH($A28,'Position Relationships'!$A$2:$A$53,0),5)),"")&lt;&gt;"",IFERROR(INDEX($N$6:$N$57,MATCH(IFERROR(VALUE(INDEX('Position Relationships'!$B$2:$F$53,MATCH($A28,'Position Relationships'!$A$2:$A$53,0),5)),""),$A$6:$A$57,0)),"")&lt;&gt;"",IFERROR(INDEX($N$6:$N$57,MATCH(IFERROR(VALUE(INDEX('Position Relationships'!$B$2:$F$53,MATCH($A28,'Position Relationships'!$A$2:$A$53,0),5)),""),$A$6:$A$57,0)),"")&lt;&gt;$N28),IFERROR(VALUE(INDEX('Position Relationships'!$B$2:$F$53,MATCH($A28,'Position Relationships'!$A$2:$A$53,0),5)),""),""))))),""))</f>
        <v/>
      </c>
      <c r="P28" s="51" t="str">
        <f aca="false">IF($O28="","",IFERROR(INDEX($F$6:$F$57,MATCH($O28,$A$6:$A$57,0)),""))</f>
        <v/>
      </c>
      <c r="Q28" s="52" t="str">
        <f aca="false">IF($A28="","",IF($M28&lt;&gt;"FILLED","POSITION UNFILLED",IF(IFERROR(INDEX('Position Library'!$E$2:$E$53,MATCH($A28,'Position Library'!$A$2:$A$53,0)),"N")&lt;&gt;"Y","NOT REQUIRED",IF(OR($O28="",$P28=""),"RELIEF GAP","COVERED"))))</f>
        <v>RELIEF GAP</v>
      </c>
      <c r="R28" s="52" t="str">
        <f aca="false">IF($A28="","",IF($D28&lt;&gt;"Tier 1","N/A",IF(OR($E$2="PM",$E$2="Overnight"),"N/A",IF($H28="3:45 AM","COVERED","OPENING GAP"))))</f>
        <v>OPENING GAP</v>
      </c>
      <c r="S28" s="38"/>
    </row>
    <row r="29" customFormat="false" ht="19.5" hidden="false" customHeight="true" outlineLevel="0" collapsed="false">
      <c r="A29" s="29" t="n">
        <v>45</v>
      </c>
      <c r="B29" s="38" t="str">
        <f aca="false">IF($A29="","",IFERROR(INDEX('Position Library'!$B$2:$B$53,MATCH($A29,'Position Library'!$A$2:$A$53,0)),""))</f>
        <v>Information Desk</v>
      </c>
      <c r="C29" s="38" t="str">
        <f aca="false">IF($A29="","",IFERROR(INDEX('Position Library'!$C$2:$C$53,MATCH($A29,'Position Library'!$A$2:$A$53,0)),""))</f>
        <v>Information Desk Personnel</v>
      </c>
      <c r="D29" s="29" t="str">
        <f aca="false">IF($A29="","",IFERROR(INDEX('Position Library'!$D$2:$D$53,MATCH($A29,'Position Library'!$A$2:$A$53,0)),""))</f>
        <v>Tier 1</v>
      </c>
      <c r="E29" s="38" t="str">
        <f aca="false">IF($A29="","",IF($A29=45,"Information Desk = Y",IF(OR($A29=4,$A29=8),IF(OR(WEEKDAY($B$2,2)=1,WEEKDAY($B$2,2)=4,WEEKDAY($B$2,2)=5,WEEKDAY($B$2,2)=7),"Main Inside = 3","Main Inside &gt;= 2"),IF(AND($A29&gt;=46,$A29&lt;=52),"Divest = Y","General Qualifications &gt;= 2"))))</f>
        <v>Information Desk = Y</v>
      </c>
      <c r="F29" s="29" t="str">
        <f aca="false">IF($A29="","",IFERROR(INDEX('Daily Workforce'!$B$6:$B$205,MATCH(1,Lists!Q25:HH25,0)),""))</f>
        <v/>
      </c>
      <c r="G29" s="1" t="str">
        <f aca="false">IF($F29="","",IFERROR(INDEX('Daily Workforce'!$C$6:$C$205,MATCH($F29,'Daily Workforce'!$B$6:$B$205,0)),""))</f>
        <v/>
      </c>
      <c r="H29" s="29" t="str">
        <f aca="false">IF($F29="","",IFERROR(INDEX('Daily Workforce'!$D$6:$D$205,MATCH($F29,'Daily Workforce'!$B$6:$B$205,0)),""))</f>
        <v/>
      </c>
      <c r="I29" s="29" t="str">
        <f aca="false">IF($H29="","",$H29)</f>
        <v/>
      </c>
      <c r="J29" s="29" t="str">
        <f aca="false">IF($H29="","",IF($H29="3:45 AM","12:45 PM",IF($H29="5:45 AM","2:45 PM",IF($H29="12:15 PM","9:15 PM",IF($H29="2:00 PM","11:00 PM",IF($H29="9:15 PM","6:15 AM",""))))))</f>
        <v/>
      </c>
      <c r="K29" s="29" t="str">
        <f aca="false">IF($F29="","",IFERROR(INDEX('Daily Workforce'!$I$6:$I$205,MATCH($F29,'Daily Workforce'!$B$6:$B$205,0)),""))</f>
        <v/>
      </c>
      <c r="L29" s="39" t="str">
        <f aca="false">IF($A29="","",IF($F29="","NO QUALIFIED EMPLOYEE","QUALIFIED"))</f>
        <v>NO QUALIFIED EMPLOYEE</v>
      </c>
      <c r="M29" s="29" t="str">
        <f aca="false">IF($A29="","",IF($F29="","UNFILLED","FILLED"))</f>
        <v>UNFILLED</v>
      </c>
      <c r="N29" s="43" t="str">
        <f aca="false">IF($F29="","",IF($H29="3:45 AM",IF(OR($K29="8:00 AM",$K29="9:00 AM"),$K29,CHOOSE(MOD(COUNTIF($H$6:$H29,$H29)-1,3)+1,"8:00 AM","8:00 AM","9:00 AM")),IF($H29="5:45 AM",IF(OR($K29="9:00 AM",$K29="10:00 AM"),$K29,CHOOSE(MOD(COUNTIF($H$6:$H29,$H29)-1,3)+1,"10:00 AM","10:00 AM","9:00 AM")),IF(AND($K29&lt;&gt;"",$K29&lt;&gt;"None"),$K29,IF($H29="12:15 PM",CHOOSE(MOD(COUNTIF($H$6:$H29,$H29)-1,2)+1,"4:00 PM","5:00 PM"),IF($H29="2:00 PM",CHOOSE(MOD(COUNTIF($H$6:$H29,$H29)-1,2)+1,"6:00 PM","7:00 PM"),IF($H29="9:15 PM",CHOOSE(MOD(COUNTIF($H$6:$H29,$H29)-1,2)+1,"1:00 AM","2:00 AM"),"")))))))</f>
        <v/>
      </c>
      <c r="O29" s="51" t="str">
        <f aca="false">IF($A29="","",IF(IFERROR(INDEX('Position Library'!$E$2:$E$53,MATCH($A29,'Position Library'!$A$2:$A$53,0)),"N")="Y",IF(AND(IFERROR(VALUE(INDEX('Position Relationships'!$B$2:$F$53,MATCH($A29,'Position Relationships'!$A$2:$A$53,0),1)),"")&lt;&gt;"",IFERROR(INDEX($N$6:$N$57,MATCH(IFERROR(VALUE(INDEX('Position Relationships'!$B$2:$F$53,MATCH($A29,'Position Relationships'!$A$2:$A$53,0),1)),""),$A$6:$A$57,0)),"")&lt;&gt;"",IFERROR(INDEX($N$6:$N$57,MATCH(IFERROR(VALUE(INDEX('Position Relationships'!$B$2:$F$53,MATCH($A29,'Position Relationships'!$A$2:$A$53,0),1)),""),$A$6:$A$57,0)),"")&lt;&gt;$N29),IFERROR(VALUE(INDEX('Position Relationships'!$B$2:$F$53,MATCH($A29,'Position Relationships'!$A$2:$A$53,0),1)),""),IF(AND(IFERROR(VALUE(INDEX('Position Relationships'!$B$2:$F$53,MATCH($A29,'Position Relationships'!$A$2:$A$53,0),2)),"")&lt;&gt;"",IFERROR(INDEX($N$6:$N$57,MATCH(IFERROR(VALUE(INDEX('Position Relationships'!$B$2:$F$53,MATCH($A29,'Position Relationships'!$A$2:$A$53,0),2)),""),$A$6:$A$57,0)),"")&lt;&gt;"",IFERROR(INDEX($N$6:$N$57,MATCH(IFERROR(VALUE(INDEX('Position Relationships'!$B$2:$F$53,MATCH($A29,'Position Relationships'!$A$2:$A$53,0),2)),""),$A$6:$A$57,0)),"")&lt;&gt;$N29),IFERROR(VALUE(INDEX('Position Relationships'!$B$2:$F$53,MATCH($A29,'Position Relationships'!$A$2:$A$53,0),2)),""),IF(AND(IFERROR(VALUE(INDEX('Position Relationships'!$B$2:$F$53,MATCH($A29,'Position Relationships'!$A$2:$A$53,0),3)),"")&lt;&gt;"",IFERROR(INDEX($N$6:$N$57,MATCH(IFERROR(VALUE(INDEX('Position Relationships'!$B$2:$F$53,MATCH($A29,'Position Relationships'!$A$2:$A$53,0),3)),""),$A$6:$A$57,0)),"")&lt;&gt;"",IFERROR(INDEX($N$6:$N$57,MATCH(IFERROR(VALUE(INDEX('Position Relationships'!$B$2:$F$53,MATCH($A29,'Position Relationships'!$A$2:$A$53,0),3)),""),$A$6:$A$57,0)),"")&lt;&gt;$N29),IFERROR(VALUE(INDEX('Position Relationships'!$B$2:$F$53,MATCH($A29,'Position Relationships'!$A$2:$A$53,0),3)),""),IF(AND(IFERROR(VALUE(INDEX('Position Relationships'!$B$2:$F$53,MATCH($A29,'Position Relationships'!$A$2:$A$53,0),4)),"")&lt;&gt;"",IFERROR(INDEX($N$6:$N$57,MATCH(IFERROR(VALUE(INDEX('Position Relationships'!$B$2:$F$53,MATCH($A29,'Position Relationships'!$A$2:$A$53,0),4)),""),$A$6:$A$57,0)),"")&lt;&gt;"",IFERROR(INDEX($N$6:$N$57,MATCH(IFERROR(VALUE(INDEX('Position Relationships'!$B$2:$F$53,MATCH($A29,'Position Relationships'!$A$2:$A$53,0),4)),""),$A$6:$A$57,0)),"")&lt;&gt;$N29),IFERROR(VALUE(INDEX('Position Relationships'!$B$2:$F$53,MATCH($A29,'Position Relationships'!$A$2:$A$53,0),4)),""),IF(AND(IFERROR(VALUE(INDEX('Position Relationships'!$B$2:$F$53,MATCH($A29,'Position Relationships'!$A$2:$A$53,0),5)),"")&lt;&gt;"",IFERROR(INDEX($N$6:$N$57,MATCH(IFERROR(VALUE(INDEX('Position Relationships'!$B$2:$F$53,MATCH($A29,'Position Relationships'!$A$2:$A$53,0),5)),""),$A$6:$A$57,0)),"")&lt;&gt;"",IFERROR(INDEX($N$6:$N$57,MATCH(IFERROR(VALUE(INDEX('Position Relationships'!$B$2:$F$53,MATCH($A29,'Position Relationships'!$A$2:$A$53,0),5)),""),$A$6:$A$57,0)),"")&lt;&gt;$N29),IFERROR(VALUE(INDEX('Position Relationships'!$B$2:$F$53,MATCH($A29,'Position Relationships'!$A$2:$A$53,0),5)),""),""))))),""))</f>
        <v/>
      </c>
      <c r="P29" s="51" t="str">
        <f aca="false">IF($O29="","",IFERROR(INDEX($F$6:$F$57,MATCH($O29,$A$6:$A$57,0)),""))</f>
        <v/>
      </c>
      <c r="Q29" s="52" t="str">
        <f aca="false">IF($A29="","",IF($M29&lt;&gt;"FILLED","POSITION UNFILLED",IF(IFERROR(INDEX('Position Library'!$E$2:$E$53,MATCH($A29,'Position Library'!$A$2:$A$53,0)),"N")&lt;&gt;"Y","NOT REQUIRED",IF(OR($O29="",$P29=""),"RELIEF GAP","COVERED"))))</f>
        <v>POSITION UNFILLED</v>
      </c>
      <c r="R29" s="52" t="str">
        <f aca="false">IF($A29="","",IF($D29&lt;&gt;"Tier 1","N/A",IF(OR($E$2="PM",$E$2="Overnight"),"N/A",IF($H29="3:45 AM","COVERED","OPENING GAP"))))</f>
        <v>OPENING GAP</v>
      </c>
      <c r="S29" s="38"/>
    </row>
    <row r="30" customFormat="false" ht="19.5" hidden="false" customHeight="true" outlineLevel="0" collapsed="false">
      <c r="A30" s="29" t="n">
        <v>3</v>
      </c>
      <c r="B30" s="38" t="str">
        <f aca="false">IF($A30="","",IFERROR(INDEX('Position Library'!$B$2:$B$53,MATCH($A30,'Position Library'!$A$2:$A$53,0)),""))</f>
        <v>Main Security Checkpoint</v>
      </c>
      <c r="C30" s="38" t="str">
        <f aca="false">IF($A30="","",IFERROR(INDEX('Position Library'!$C$2:$C$53,MATCH($A30,'Position Library'!$A$2:$A$53,0)),""))</f>
        <v>Lanes 17 - 18 </v>
      </c>
      <c r="D30" s="29" t="str">
        <f aca="false">IF($A30="","",IFERROR(INDEX('Position Library'!$D$2:$D$53,MATCH($A30,'Position Library'!$A$2:$A$53,0)),""))</f>
        <v>Tier 2</v>
      </c>
      <c r="E30" s="38" t="str">
        <f aca="false">IF($A30="","",IF($A30=45,"Information Desk = Y",IF(OR($A30=4,$A30=8),IF(OR(WEEKDAY($B$2,2)=1,WEEKDAY($B$2,2)=4,WEEKDAY($B$2,2)=5,WEEKDAY($B$2,2)=7),"Main Inside = 3","Main Inside &gt;= 2"),IF(AND($A30&gt;=46,$A30&lt;=52),"Divest = Y","General Qualifications &gt;= 2"))))</f>
        <v>General Qualifications &gt;= 2</v>
      </c>
      <c r="F30" s="29" t="str">
        <f aca="false">IF($A30="","",IFERROR(INDEX('Daily Workforce'!$B$6:$B$205,MATCH(1,Lists!Q26:HH26,0)),""))</f>
        <v>EMP-0009</v>
      </c>
      <c r="G30" s="1" t="str">
        <f aca="false">IF($F30="","",IFERROR(INDEX('Daily Workforce'!$C$6:$C$205,MATCH($F30,'Daily Workforce'!$B$6:$B$205,0)),""))</f>
        <v>Aleah Mckinnon</v>
      </c>
      <c r="H30" s="29" t="str">
        <f aca="false">IF($F30="","",IFERROR(INDEX('Daily Workforce'!$D$6:$D$205,MATCH($F30,'Daily Workforce'!$B$6:$B$205,0)),""))</f>
        <v>5:45 AM</v>
      </c>
      <c r="I30" s="29" t="str">
        <f aca="false">IF($H30="","",$H30)</f>
        <v>5:45 AM</v>
      </c>
      <c r="J30" s="29" t="str">
        <f aca="false">IF($H30="","",IF($H30="3:45 AM","12:45 PM",IF($H30="5:45 AM","2:45 PM",IF($H30="12:15 PM","9:15 PM",IF($H30="2:00 PM","11:00 PM",IF($H30="9:15 PM","6:15 AM",""))))))</f>
        <v>2:45 PM</v>
      </c>
      <c r="K30" s="29" t="str">
        <f aca="false">IF($F30="","",IFERROR(INDEX('Daily Workforce'!$I$6:$I$205,MATCH($F30,'Daily Workforce'!$B$6:$B$205,0)),""))</f>
        <v>None</v>
      </c>
      <c r="L30" s="39" t="str">
        <f aca="false">IF($A30="","",IF($F30="","NO QUALIFIED EMPLOYEE","QUALIFIED"))</f>
        <v>QUALIFIED</v>
      </c>
      <c r="M30" s="29" t="str">
        <f aca="false">IF($A30="","",IF($F30="","UNFILLED","FILLED"))</f>
        <v>FILLED</v>
      </c>
      <c r="N30" s="43" t="str">
        <f aca="false">IF($F30="","",IF($H30="3:45 AM",IF(OR($K30="8:00 AM",$K30="9:00 AM"),$K30,CHOOSE(MOD(COUNTIF($H$6:$H30,$H30)-1,3)+1,"8:00 AM","8:00 AM","9:00 AM")),IF($H30="5:45 AM",IF(OR($K30="9:00 AM",$K30="10:00 AM"),$K30,CHOOSE(MOD(COUNTIF($H$6:$H30,$H30)-1,3)+1,"10:00 AM","10:00 AM","9:00 AM")),IF(AND($K30&lt;&gt;"",$K30&lt;&gt;"None"),$K30,IF($H30="12:15 PM",CHOOSE(MOD(COUNTIF($H$6:$H30,$H30)-1,2)+1,"4:00 PM","5:00 PM"),IF($H30="2:00 PM",CHOOSE(MOD(COUNTIF($H$6:$H30,$H30)-1,2)+1,"6:00 PM","7:00 PM"),IF($H30="9:15 PM",CHOOSE(MOD(COUNTIF($H$6:$H30,$H30)-1,2)+1,"1:00 AM","2:00 AM"),"")))))))</f>
        <v>10:00 AM</v>
      </c>
      <c r="O30" s="51" t="n">
        <f aca="false">IF($A30="","",IF(IFERROR(INDEX('Position Library'!$E$2:$E$53,MATCH($A30,'Position Library'!$A$2:$A$53,0)),"N")="Y",IF(AND(IFERROR(VALUE(INDEX('Position Relationships'!$B$2:$F$53,MATCH($A30,'Position Relationships'!$A$2:$A$53,0),1)),"")&lt;&gt;"",IFERROR(INDEX($N$6:$N$57,MATCH(IFERROR(VALUE(INDEX('Position Relationships'!$B$2:$F$53,MATCH($A30,'Position Relationships'!$A$2:$A$53,0),1)),""),$A$6:$A$57,0)),"")&lt;&gt;"",IFERROR(INDEX($N$6:$N$57,MATCH(IFERROR(VALUE(INDEX('Position Relationships'!$B$2:$F$53,MATCH($A30,'Position Relationships'!$A$2:$A$53,0),1)),""),$A$6:$A$57,0)),"")&lt;&gt;$N30),IFERROR(VALUE(INDEX('Position Relationships'!$B$2:$F$53,MATCH($A30,'Position Relationships'!$A$2:$A$53,0),1)),""),IF(AND(IFERROR(VALUE(INDEX('Position Relationships'!$B$2:$F$53,MATCH($A30,'Position Relationships'!$A$2:$A$53,0),2)),"")&lt;&gt;"",IFERROR(INDEX($N$6:$N$57,MATCH(IFERROR(VALUE(INDEX('Position Relationships'!$B$2:$F$53,MATCH($A30,'Position Relationships'!$A$2:$A$53,0),2)),""),$A$6:$A$57,0)),"")&lt;&gt;"",IFERROR(INDEX($N$6:$N$57,MATCH(IFERROR(VALUE(INDEX('Position Relationships'!$B$2:$F$53,MATCH($A30,'Position Relationships'!$A$2:$A$53,0),2)),""),$A$6:$A$57,0)),"")&lt;&gt;$N30),IFERROR(VALUE(INDEX('Position Relationships'!$B$2:$F$53,MATCH($A30,'Position Relationships'!$A$2:$A$53,0),2)),""),IF(AND(IFERROR(VALUE(INDEX('Position Relationships'!$B$2:$F$53,MATCH($A30,'Position Relationships'!$A$2:$A$53,0),3)),"")&lt;&gt;"",IFERROR(INDEX($N$6:$N$57,MATCH(IFERROR(VALUE(INDEX('Position Relationships'!$B$2:$F$53,MATCH($A30,'Position Relationships'!$A$2:$A$53,0),3)),""),$A$6:$A$57,0)),"")&lt;&gt;"",IFERROR(INDEX($N$6:$N$57,MATCH(IFERROR(VALUE(INDEX('Position Relationships'!$B$2:$F$53,MATCH($A30,'Position Relationships'!$A$2:$A$53,0),3)),""),$A$6:$A$57,0)),"")&lt;&gt;$N30),IFERROR(VALUE(INDEX('Position Relationships'!$B$2:$F$53,MATCH($A30,'Position Relationships'!$A$2:$A$53,0),3)),""),IF(AND(IFERROR(VALUE(INDEX('Position Relationships'!$B$2:$F$53,MATCH($A30,'Position Relationships'!$A$2:$A$53,0),4)),"")&lt;&gt;"",IFERROR(INDEX($N$6:$N$57,MATCH(IFERROR(VALUE(INDEX('Position Relationships'!$B$2:$F$53,MATCH($A30,'Position Relationships'!$A$2:$A$53,0),4)),""),$A$6:$A$57,0)),"")&lt;&gt;"",IFERROR(INDEX($N$6:$N$57,MATCH(IFERROR(VALUE(INDEX('Position Relationships'!$B$2:$F$53,MATCH($A30,'Position Relationships'!$A$2:$A$53,0),4)),""),$A$6:$A$57,0)),"")&lt;&gt;$N30),IFERROR(VALUE(INDEX('Position Relationships'!$B$2:$F$53,MATCH($A30,'Position Relationships'!$A$2:$A$53,0),4)),""),IF(AND(IFERROR(VALUE(INDEX('Position Relationships'!$B$2:$F$53,MATCH($A30,'Position Relationships'!$A$2:$A$53,0),5)),"")&lt;&gt;"",IFERROR(INDEX($N$6:$N$57,MATCH(IFERROR(VALUE(INDEX('Position Relationships'!$B$2:$F$53,MATCH($A30,'Position Relationships'!$A$2:$A$53,0),5)),""),$A$6:$A$57,0)),"")&lt;&gt;"",IFERROR(INDEX($N$6:$N$57,MATCH(IFERROR(VALUE(INDEX('Position Relationships'!$B$2:$F$53,MATCH($A30,'Position Relationships'!$A$2:$A$53,0),5)),""),$A$6:$A$57,0)),"")&lt;&gt;$N30),IFERROR(VALUE(INDEX('Position Relationships'!$B$2:$F$53,MATCH($A30,'Position Relationships'!$A$2:$A$53,0),5)),""),""))))),""))</f>
        <v>5</v>
      </c>
      <c r="P30" s="51" t="str">
        <f aca="false">IF($O30="","",IFERROR(INDEX($F$6:$F$57,MATCH($O30,$A$6:$A$57,0)),""))</f>
        <v>EMP-0082</v>
      </c>
      <c r="Q30" s="52" t="str">
        <f aca="false">IF($A30="","",IF($M30&lt;&gt;"FILLED","POSITION UNFILLED",IF(IFERROR(INDEX('Position Library'!$E$2:$E$53,MATCH($A30,'Position Library'!$A$2:$A$53,0)),"N")&lt;&gt;"Y","NOT REQUIRED",IF(OR($O30="",$P30=""),"RELIEF GAP","COVERED"))))</f>
        <v>COVERED</v>
      </c>
      <c r="R30" s="52" t="str">
        <f aca="false">IF($A30="","",IF($D30&lt;&gt;"Tier 1","N/A",IF(OR($E$2="PM",$E$2="Overnight"),"N/A",IF($H30="3:45 AM","COVERED","OPENING GAP"))))</f>
        <v>N/A</v>
      </c>
      <c r="S30" s="38"/>
    </row>
    <row r="31" customFormat="false" ht="19.5" hidden="false" customHeight="true" outlineLevel="0" collapsed="false">
      <c r="A31" s="29" t="n">
        <v>9</v>
      </c>
      <c r="B31" s="38" t="str">
        <f aca="false">IF($A31="","",IFERROR(INDEX('Position Library'!$B$2:$B$53,MATCH($A31,'Position Library'!$A$2:$A$53,0)),""))</f>
        <v>Main Security Checkpoint</v>
      </c>
      <c r="C31" s="38" t="str">
        <f aca="false">IF($A31="","",IFERROR(INDEX('Position Library'!$C$2:$C$53,MATCH($A31,'Position Library'!$A$2:$A$53,0)),""))</f>
        <v>Front Entrance </v>
      </c>
      <c r="D31" s="29" t="str">
        <f aca="false">IF($A31="","",IFERROR(INDEX('Position Library'!$D$2:$D$53,MATCH($A31,'Position Library'!$A$2:$A$53,0)),""))</f>
        <v>Tier 2</v>
      </c>
      <c r="E31" s="38" t="str">
        <f aca="false">IF($A31="","",IF($A31=45,"Information Desk = Y",IF(OR($A31=4,$A31=8),IF(OR(WEEKDAY($B$2,2)=1,WEEKDAY($B$2,2)=4,WEEKDAY($B$2,2)=5,WEEKDAY($B$2,2)=7),"Main Inside = 3","Main Inside &gt;= 2"),IF(AND($A31&gt;=46,$A31&lt;=52),"Divest = Y","General Qualifications &gt;= 2"))))</f>
        <v>General Qualifications &gt;= 2</v>
      </c>
      <c r="F31" s="29" t="str">
        <f aca="false">IF($A31="","",IFERROR(INDEX('Daily Workforce'!$B$6:$B$205,MATCH(1,Lists!Q27:HH27,0)),""))</f>
        <v>EMP-0018</v>
      </c>
      <c r="G31" s="1" t="str">
        <f aca="false">IF($F31="","",IFERROR(INDEX('Daily Workforce'!$C$6:$C$205,MATCH($F31,'Daily Workforce'!$B$6:$B$205,0)),""))</f>
        <v>Ashia Norman</v>
      </c>
      <c r="H31" s="29" t="str">
        <f aca="false">IF($F31="","",IFERROR(INDEX('Daily Workforce'!$D$6:$D$205,MATCH($F31,'Daily Workforce'!$B$6:$B$205,0)),""))</f>
        <v>5:45 AM</v>
      </c>
      <c r="I31" s="29" t="str">
        <f aca="false">IF($H31="","",$H31)</f>
        <v>5:45 AM</v>
      </c>
      <c r="J31" s="29" t="str">
        <f aca="false">IF($H31="","",IF($H31="3:45 AM","12:45 PM",IF($H31="5:45 AM","2:45 PM",IF($H31="12:15 PM","9:15 PM",IF($H31="2:00 PM","11:00 PM",IF($H31="9:15 PM","6:15 AM",""))))))</f>
        <v>2:45 PM</v>
      </c>
      <c r="K31" s="29" t="str">
        <f aca="false">IF($F31="","",IFERROR(INDEX('Daily Workforce'!$I$6:$I$205,MATCH($F31,'Daily Workforce'!$B$6:$B$205,0)),""))</f>
        <v>None</v>
      </c>
      <c r="L31" s="39" t="str">
        <f aca="false">IF($A31="","",IF($F31="","NO QUALIFIED EMPLOYEE","QUALIFIED"))</f>
        <v>QUALIFIED</v>
      </c>
      <c r="M31" s="29" t="str">
        <f aca="false">IF($A31="","",IF($F31="","UNFILLED","FILLED"))</f>
        <v>FILLED</v>
      </c>
      <c r="N31" s="43" t="str">
        <f aca="false">IF($F31="","",IF($H31="3:45 AM",IF(OR($K31="8:00 AM",$K31="9:00 AM"),$K31,CHOOSE(MOD(COUNTIF($H$6:$H31,$H31)-1,3)+1,"8:00 AM","8:00 AM","9:00 AM")),IF($H31="5:45 AM",IF(OR($K31="9:00 AM",$K31="10:00 AM"),$K31,CHOOSE(MOD(COUNTIF($H$6:$H31,$H31)-1,3)+1,"10:00 AM","10:00 AM","9:00 AM")),IF(AND($K31&lt;&gt;"",$K31&lt;&gt;"None"),$K31,IF($H31="12:15 PM",CHOOSE(MOD(COUNTIF($H$6:$H31,$H31)-1,2)+1,"4:00 PM","5:00 PM"),IF($H31="2:00 PM",CHOOSE(MOD(COUNTIF($H$6:$H31,$H31)-1,2)+1,"6:00 PM","7:00 PM"),IF($H31="9:15 PM",CHOOSE(MOD(COUNTIF($H$6:$H31,$H31)-1,2)+1,"1:00 AM","2:00 AM"),"")))))))</f>
        <v>9:00 AM</v>
      </c>
      <c r="O31" s="51" t="n">
        <f aca="false">IF($A31="","",IF(IFERROR(INDEX('Position Library'!$E$2:$E$53,MATCH($A31,'Position Library'!$A$2:$A$53,0)),"N")="Y",IF(AND(IFERROR(VALUE(INDEX('Position Relationships'!$B$2:$F$53,MATCH($A31,'Position Relationships'!$A$2:$A$53,0),1)),"")&lt;&gt;"",IFERROR(INDEX($N$6:$N$57,MATCH(IFERROR(VALUE(INDEX('Position Relationships'!$B$2:$F$53,MATCH($A31,'Position Relationships'!$A$2:$A$53,0),1)),""),$A$6:$A$57,0)),"")&lt;&gt;"",IFERROR(INDEX($N$6:$N$57,MATCH(IFERROR(VALUE(INDEX('Position Relationships'!$B$2:$F$53,MATCH($A31,'Position Relationships'!$A$2:$A$53,0),1)),""),$A$6:$A$57,0)),"")&lt;&gt;$N31),IFERROR(VALUE(INDEX('Position Relationships'!$B$2:$F$53,MATCH($A31,'Position Relationships'!$A$2:$A$53,0),1)),""),IF(AND(IFERROR(VALUE(INDEX('Position Relationships'!$B$2:$F$53,MATCH($A31,'Position Relationships'!$A$2:$A$53,0),2)),"")&lt;&gt;"",IFERROR(INDEX($N$6:$N$57,MATCH(IFERROR(VALUE(INDEX('Position Relationships'!$B$2:$F$53,MATCH($A31,'Position Relationships'!$A$2:$A$53,0),2)),""),$A$6:$A$57,0)),"")&lt;&gt;"",IFERROR(INDEX($N$6:$N$57,MATCH(IFERROR(VALUE(INDEX('Position Relationships'!$B$2:$F$53,MATCH($A31,'Position Relationships'!$A$2:$A$53,0),2)),""),$A$6:$A$57,0)),"")&lt;&gt;$N31),IFERROR(VALUE(INDEX('Position Relationships'!$B$2:$F$53,MATCH($A31,'Position Relationships'!$A$2:$A$53,0),2)),""),IF(AND(IFERROR(VALUE(INDEX('Position Relationships'!$B$2:$F$53,MATCH($A31,'Position Relationships'!$A$2:$A$53,0),3)),"")&lt;&gt;"",IFERROR(INDEX($N$6:$N$57,MATCH(IFERROR(VALUE(INDEX('Position Relationships'!$B$2:$F$53,MATCH($A31,'Position Relationships'!$A$2:$A$53,0),3)),""),$A$6:$A$57,0)),"")&lt;&gt;"",IFERROR(INDEX($N$6:$N$57,MATCH(IFERROR(VALUE(INDEX('Position Relationships'!$B$2:$F$53,MATCH($A31,'Position Relationships'!$A$2:$A$53,0),3)),""),$A$6:$A$57,0)),"")&lt;&gt;$N31),IFERROR(VALUE(INDEX('Position Relationships'!$B$2:$F$53,MATCH($A31,'Position Relationships'!$A$2:$A$53,0),3)),""),IF(AND(IFERROR(VALUE(INDEX('Position Relationships'!$B$2:$F$53,MATCH($A31,'Position Relationships'!$A$2:$A$53,0),4)),"")&lt;&gt;"",IFERROR(INDEX($N$6:$N$57,MATCH(IFERROR(VALUE(INDEX('Position Relationships'!$B$2:$F$53,MATCH($A31,'Position Relationships'!$A$2:$A$53,0),4)),""),$A$6:$A$57,0)),"")&lt;&gt;"",IFERROR(INDEX($N$6:$N$57,MATCH(IFERROR(VALUE(INDEX('Position Relationships'!$B$2:$F$53,MATCH($A31,'Position Relationships'!$A$2:$A$53,0),4)),""),$A$6:$A$57,0)),"")&lt;&gt;$N31),IFERROR(VALUE(INDEX('Position Relationships'!$B$2:$F$53,MATCH($A31,'Position Relationships'!$A$2:$A$53,0),4)),""),IF(AND(IFERROR(VALUE(INDEX('Position Relationships'!$B$2:$F$53,MATCH($A31,'Position Relationships'!$A$2:$A$53,0),5)),"")&lt;&gt;"",IFERROR(INDEX($N$6:$N$57,MATCH(IFERROR(VALUE(INDEX('Position Relationships'!$B$2:$F$53,MATCH($A31,'Position Relationships'!$A$2:$A$53,0),5)),""),$A$6:$A$57,0)),"")&lt;&gt;"",IFERROR(INDEX($N$6:$N$57,MATCH(IFERROR(VALUE(INDEX('Position Relationships'!$B$2:$F$53,MATCH($A31,'Position Relationships'!$A$2:$A$53,0),5)),""),$A$6:$A$57,0)),"")&lt;&gt;$N31),IFERROR(VALUE(INDEX('Position Relationships'!$B$2:$F$53,MATCH($A31,'Position Relationships'!$A$2:$A$53,0),5)),""),""))))),""))</f>
        <v>1</v>
      </c>
      <c r="P31" s="51" t="str">
        <f aca="false">IF($O31="","",IFERROR(INDEX($F$6:$F$57,MATCH($O31,$A$6:$A$57,0)),""))</f>
        <v>EMP-0059</v>
      </c>
      <c r="Q31" s="52" t="str">
        <f aca="false">IF($A31="","",IF($M31&lt;&gt;"FILLED","POSITION UNFILLED",IF(IFERROR(INDEX('Position Library'!$E$2:$E$53,MATCH($A31,'Position Library'!$A$2:$A$53,0)),"N")&lt;&gt;"Y","NOT REQUIRED",IF(OR($O31="",$P31=""),"RELIEF GAP","COVERED"))))</f>
        <v>COVERED</v>
      </c>
      <c r="R31" s="52" t="str">
        <f aca="false">IF($A31="","",IF($D31&lt;&gt;"Tier 1","N/A",IF(OR($E$2="PM",$E$2="Overnight"),"N/A",IF($H31="3:45 AM","COVERED","OPENING GAP"))))</f>
        <v>N/A</v>
      </c>
      <c r="S31" s="38"/>
    </row>
    <row r="32" customFormat="false" ht="19.5" hidden="false" customHeight="true" outlineLevel="0" collapsed="false">
      <c r="A32" s="29" t="n">
        <v>17</v>
      </c>
      <c r="B32" s="38" t="str">
        <f aca="false">IF($A32="","",IFERROR(INDEX('Position Library'!$B$2:$B$53,MATCH($A32,'Position Library'!$A$2:$A$53,0)),""))</f>
        <v>South Security Checkpoint</v>
      </c>
      <c r="C32" s="38" t="str">
        <f aca="false">IF($A32="","",IFERROR(INDEX('Position Library'!$C$2:$C$53,MATCH($A32,'Position Library'!$A$2:$A$53,0)),""))</f>
        <v>Checkpoint – Front Entrance</v>
      </c>
      <c r="D32" s="29" t="str">
        <f aca="false">IF($A32="","",IFERROR(INDEX('Position Library'!$D$2:$D$53,MATCH($A32,'Position Library'!$A$2:$A$53,0)),""))</f>
        <v>Tier 2</v>
      </c>
      <c r="E32" s="38" t="str">
        <f aca="false">IF($A32="","",IF($A32=45,"Information Desk = Y",IF(OR($A32=4,$A32=8),IF(OR(WEEKDAY($B$2,2)=1,WEEKDAY($B$2,2)=4,WEEKDAY($B$2,2)=5,WEEKDAY($B$2,2)=7),"Main Inside = 3","Main Inside &gt;= 2"),IF(AND($A32&gt;=46,$A32&lt;=52),"Divest = Y","General Qualifications &gt;= 2"))))</f>
        <v>General Qualifications &gt;= 2</v>
      </c>
      <c r="F32" s="29" t="str">
        <f aca="false">IF($A32="","",IFERROR(INDEX('Daily Workforce'!$B$6:$B$205,MATCH(1,Lists!Q28:HH28,0)),""))</f>
        <v>EMP-0026</v>
      </c>
      <c r="G32" s="1" t="str">
        <f aca="false">IF($F32="","",IFERROR(INDEX('Daily Workforce'!$C$6:$C$205,MATCH($F32,'Daily Workforce'!$B$6:$B$205,0)),""))</f>
        <v>Birhanu Hailu</v>
      </c>
      <c r="H32" s="29" t="str">
        <f aca="false">IF($F32="","",IFERROR(INDEX('Daily Workforce'!$D$6:$D$205,MATCH($F32,'Daily Workforce'!$B$6:$B$205,0)),""))</f>
        <v>5:45 AM</v>
      </c>
      <c r="I32" s="29" t="str">
        <f aca="false">IF($H32="","",$H32)</f>
        <v>5:45 AM</v>
      </c>
      <c r="J32" s="29" t="str">
        <f aca="false">IF($H32="","",IF($H32="3:45 AM","12:45 PM",IF($H32="5:45 AM","2:45 PM",IF($H32="12:15 PM","9:15 PM",IF($H32="2:00 PM","11:00 PM",IF($H32="9:15 PM","6:15 AM",""))))))</f>
        <v>2:45 PM</v>
      </c>
      <c r="K32" s="29" t="str">
        <f aca="false">IF($F32="","",IFERROR(INDEX('Daily Workforce'!$I$6:$I$205,MATCH($F32,'Daily Workforce'!$B$6:$B$205,0)),""))</f>
        <v>None</v>
      </c>
      <c r="L32" s="39" t="str">
        <f aca="false">IF($A32="","",IF($F32="","NO QUALIFIED EMPLOYEE","QUALIFIED"))</f>
        <v>QUALIFIED</v>
      </c>
      <c r="M32" s="29" t="str">
        <f aca="false">IF($A32="","",IF($F32="","UNFILLED","FILLED"))</f>
        <v>FILLED</v>
      </c>
      <c r="N32" s="43" t="str">
        <f aca="false">IF($F32="","",IF($H32="3:45 AM",IF(OR($K32="8:00 AM",$K32="9:00 AM"),$K32,CHOOSE(MOD(COUNTIF($H$6:$H32,$H32)-1,3)+1,"8:00 AM","8:00 AM","9:00 AM")),IF($H32="5:45 AM",IF(OR($K32="9:00 AM",$K32="10:00 AM"),$K32,CHOOSE(MOD(COUNTIF($H$6:$H32,$H32)-1,3)+1,"10:00 AM","10:00 AM","9:00 AM")),IF(AND($K32&lt;&gt;"",$K32&lt;&gt;"None"),$K32,IF($H32="12:15 PM",CHOOSE(MOD(COUNTIF($H$6:$H32,$H32)-1,2)+1,"4:00 PM","5:00 PM"),IF($H32="2:00 PM",CHOOSE(MOD(COUNTIF($H$6:$H32,$H32)-1,2)+1,"6:00 PM","7:00 PM"),IF($H32="9:15 PM",CHOOSE(MOD(COUNTIF($H$6:$H32,$H32)-1,2)+1,"1:00 AM","2:00 AM"),"")))))))</f>
        <v>10:00 AM</v>
      </c>
      <c r="O32" s="51" t="n">
        <f aca="false">IF($A32="","",IF(IFERROR(INDEX('Position Library'!$E$2:$E$53,MATCH($A32,'Position Library'!$A$2:$A$53,0)),"N")="Y",IF(AND(IFERROR(VALUE(INDEX('Position Relationships'!$B$2:$F$53,MATCH($A32,'Position Relationships'!$A$2:$A$53,0),1)),"")&lt;&gt;"",IFERROR(INDEX($N$6:$N$57,MATCH(IFERROR(VALUE(INDEX('Position Relationships'!$B$2:$F$53,MATCH($A32,'Position Relationships'!$A$2:$A$53,0),1)),""),$A$6:$A$57,0)),"")&lt;&gt;"",IFERROR(INDEX($N$6:$N$57,MATCH(IFERROR(VALUE(INDEX('Position Relationships'!$B$2:$F$53,MATCH($A32,'Position Relationships'!$A$2:$A$53,0),1)),""),$A$6:$A$57,0)),"")&lt;&gt;$N32),IFERROR(VALUE(INDEX('Position Relationships'!$B$2:$F$53,MATCH($A32,'Position Relationships'!$A$2:$A$53,0),1)),""),IF(AND(IFERROR(VALUE(INDEX('Position Relationships'!$B$2:$F$53,MATCH($A32,'Position Relationships'!$A$2:$A$53,0),2)),"")&lt;&gt;"",IFERROR(INDEX($N$6:$N$57,MATCH(IFERROR(VALUE(INDEX('Position Relationships'!$B$2:$F$53,MATCH($A32,'Position Relationships'!$A$2:$A$53,0),2)),""),$A$6:$A$57,0)),"")&lt;&gt;"",IFERROR(INDEX($N$6:$N$57,MATCH(IFERROR(VALUE(INDEX('Position Relationships'!$B$2:$F$53,MATCH($A32,'Position Relationships'!$A$2:$A$53,0),2)),""),$A$6:$A$57,0)),"")&lt;&gt;$N32),IFERROR(VALUE(INDEX('Position Relationships'!$B$2:$F$53,MATCH($A32,'Position Relationships'!$A$2:$A$53,0),2)),""),IF(AND(IFERROR(VALUE(INDEX('Position Relationships'!$B$2:$F$53,MATCH($A32,'Position Relationships'!$A$2:$A$53,0),3)),"")&lt;&gt;"",IFERROR(INDEX($N$6:$N$57,MATCH(IFERROR(VALUE(INDEX('Position Relationships'!$B$2:$F$53,MATCH($A32,'Position Relationships'!$A$2:$A$53,0),3)),""),$A$6:$A$57,0)),"")&lt;&gt;"",IFERROR(INDEX($N$6:$N$57,MATCH(IFERROR(VALUE(INDEX('Position Relationships'!$B$2:$F$53,MATCH($A32,'Position Relationships'!$A$2:$A$53,0),3)),""),$A$6:$A$57,0)),"")&lt;&gt;$N32),IFERROR(VALUE(INDEX('Position Relationships'!$B$2:$F$53,MATCH($A32,'Position Relationships'!$A$2:$A$53,0),3)),""),IF(AND(IFERROR(VALUE(INDEX('Position Relationships'!$B$2:$F$53,MATCH($A32,'Position Relationships'!$A$2:$A$53,0),4)),"")&lt;&gt;"",IFERROR(INDEX($N$6:$N$57,MATCH(IFERROR(VALUE(INDEX('Position Relationships'!$B$2:$F$53,MATCH($A32,'Position Relationships'!$A$2:$A$53,0),4)),""),$A$6:$A$57,0)),"")&lt;&gt;"",IFERROR(INDEX($N$6:$N$57,MATCH(IFERROR(VALUE(INDEX('Position Relationships'!$B$2:$F$53,MATCH($A32,'Position Relationships'!$A$2:$A$53,0),4)),""),$A$6:$A$57,0)),"")&lt;&gt;$N32),IFERROR(VALUE(INDEX('Position Relationships'!$B$2:$F$53,MATCH($A32,'Position Relationships'!$A$2:$A$53,0),4)),""),IF(AND(IFERROR(VALUE(INDEX('Position Relationships'!$B$2:$F$53,MATCH($A32,'Position Relationships'!$A$2:$A$53,0),5)),"")&lt;&gt;"",IFERROR(INDEX($N$6:$N$57,MATCH(IFERROR(VALUE(INDEX('Position Relationships'!$B$2:$F$53,MATCH($A32,'Position Relationships'!$A$2:$A$53,0),5)),""),$A$6:$A$57,0)),"")&lt;&gt;"",IFERROR(INDEX($N$6:$N$57,MATCH(IFERROR(VALUE(INDEX('Position Relationships'!$B$2:$F$53,MATCH($A32,'Position Relationships'!$A$2:$A$53,0),5)),""),$A$6:$A$57,0)),"")&lt;&gt;$N32),IFERROR(VALUE(INDEX('Position Relationships'!$B$2:$F$53,MATCH($A32,'Position Relationships'!$A$2:$A$53,0),5)),""),""))))),""))</f>
        <v>16</v>
      </c>
      <c r="P32" s="51" t="str">
        <f aca="false">IF($O32="","",IFERROR(INDEX($F$6:$F$57,MATCH($O32,$A$6:$A$57,0)),""))</f>
        <v>EMP-0091</v>
      </c>
      <c r="Q32" s="52" t="str">
        <f aca="false">IF($A32="","",IF($M32&lt;&gt;"FILLED","POSITION UNFILLED",IF(IFERROR(INDEX('Position Library'!$E$2:$E$53,MATCH($A32,'Position Library'!$A$2:$A$53,0)),"N")&lt;&gt;"Y","NOT REQUIRED",IF(OR($O32="",$P32=""),"RELIEF GAP","COVERED"))))</f>
        <v>COVERED</v>
      </c>
      <c r="R32" s="52" t="str">
        <f aca="false">IF($A32="","",IF($D32&lt;&gt;"Tier 1","N/A",IF(OR($E$2="PM",$E$2="Overnight"),"N/A",IF($H32="3:45 AM","COVERED","OPENING GAP"))))</f>
        <v>N/A</v>
      </c>
      <c r="S32" s="38"/>
    </row>
    <row r="33" customFormat="false" ht="19.5" hidden="false" customHeight="true" outlineLevel="0" collapsed="false">
      <c r="A33" s="29" t="n">
        <v>18</v>
      </c>
      <c r="B33" s="38" t="str">
        <f aca="false">IF($A33="","",IFERROR(INDEX('Position Library'!$B$2:$B$53,MATCH($A33,'Position Library'!$A$2:$A$53,0)),""))</f>
        <v>South Security Checkpoint</v>
      </c>
      <c r="C33" s="38" t="str">
        <f aca="false">IF($A33="","",IFERROR(INDEX('Position Library'!$C$2:$C$53,MATCH($A33,'Position Library'!$A$2:$A$53,0)),""))</f>
        <v>Pre-check Overflow</v>
      </c>
      <c r="D33" s="29" t="str">
        <f aca="false">IF($A33="","",IFERROR(INDEX('Position Library'!$D$2:$D$53,MATCH($A33,'Position Library'!$A$2:$A$53,0)),""))</f>
        <v>Tier 2</v>
      </c>
      <c r="E33" s="38" t="str">
        <f aca="false">IF($A33="","",IF($A33=45,"Information Desk = Y",IF(OR($A33=4,$A33=8),IF(OR(WEEKDAY($B$2,2)=1,WEEKDAY($B$2,2)=4,WEEKDAY($B$2,2)=5,WEEKDAY($B$2,2)=7),"Main Inside = 3","Main Inside &gt;= 2"),IF(AND($A33&gt;=46,$A33&lt;=52),"Divest = Y","General Qualifications &gt;= 2"))))</f>
        <v>General Qualifications &gt;= 2</v>
      </c>
      <c r="F33" s="29" t="str">
        <f aca="false">IF($A33="","",IFERROR(INDEX('Daily Workforce'!$B$6:$B$205,MATCH(1,Lists!Q29:HH29,0)),""))</f>
        <v>EMP-0028</v>
      </c>
      <c r="G33" s="1" t="str">
        <f aca="false">IF($F33="","",IFERROR(INDEX('Daily Workforce'!$C$6:$C$205,MATCH($F33,'Daily Workforce'!$B$6:$B$205,0)),""))</f>
        <v>Brain Lee</v>
      </c>
      <c r="H33" s="29" t="str">
        <f aca="false">IF($F33="","",IFERROR(INDEX('Daily Workforce'!$D$6:$D$205,MATCH($F33,'Daily Workforce'!$B$6:$B$205,0)),""))</f>
        <v>5:45 AM</v>
      </c>
      <c r="I33" s="29" t="str">
        <f aca="false">IF($H33="","",$H33)</f>
        <v>5:45 AM</v>
      </c>
      <c r="J33" s="29" t="str">
        <f aca="false">IF($H33="","",IF($H33="3:45 AM","12:45 PM",IF($H33="5:45 AM","2:45 PM",IF($H33="12:15 PM","9:15 PM",IF($H33="2:00 PM","11:00 PM",IF($H33="9:15 PM","6:15 AM",""))))))</f>
        <v>2:45 PM</v>
      </c>
      <c r="K33" s="29" t="str">
        <f aca="false">IF($F33="","",IFERROR(INDEX('Daily Workforce'!$I$6:$I$205,MATCH($F33,'Daily Workforce'!$B$6:$B$205,0)),""))</f>
        <v>None</v>
      </c>
      <c r="L33" s="39" t="str">
        <f aca="false">IF($A33="","",IF($F33="","NO QUALIFIED EMPLOYEE","QUALIFIED"))</f>
        <v>QUALIFIED</v>
      </c>
      <c r="M33" s="29" t="str">
        <f aca="false">IF($A33="","",IF($F33="","UNFILLED","FILLED"))</f>
        <v>FILLED</v>
      </c>
      <c r="N33" s="43" t="str">
        <f aca="false">IF($F33="","",IF($H33="3:45 AM",IF(OR($K33="8:00 AM",$K33="9:00 AM"),$K33,CHOOSE(MOD(COUNTIF($H$6:$H33,$H33)-1,3)+1,"8:00 AM","8:00 AM","9:00 AM")),IF($H33="5:45 AM",IF(OR($K33="9:00 AM",$K33="10:00 AM"),$K33,CHOOSE(MOD(COUNTIF($H$6:$H33,$H33)-1,3)+1,"10:00 AM","10:00 AM","9:00 AM")),IF(AND($K33&lt;&gt;"",$K33&lt;&gt;"None"),$K33,IF($H33="12:15 PM",CHOOSE(MOD(COUNTIF($H$6:$H33,$H33)-1,2)+1,"4:00 PM","5:00 PM"),IF($H33="2:00 PM",CHOOSE(MOD(COUNTIF($H$6:$H33,$H33)-1,2)+1,"6:00 PM","7:00 PM"),IF($H33="9:15 PM",CHOOSE(MOD(COUNTIF($H$6:$H33,$H33)-1,2)+1,"1:00 AM","2:00 AM"),"")))))))</f>
        <v>10:00 AM</v>
      </c>
      <c r="O33" s="51" t="n">
        <f aca="false">IF($A33="","",IF(IFERROR(INDEX('Position Library'!$E$2:$E$53,MATCH($A33,'Position Library'!$A$2:$A$53,0)),"N")="Y",IF(AND(IFERROR(VALUE(INDEX('Position Relationships'!$B$2:$F$53,MATCH($A33,'Position Relationships'!$A$2:$A$53,0),1)),"")&lt;&gt;"",IFERROR(INDEX($N$6:$N$57,MATCH(IFERROR(VALUE(INDEX('Position Relationships'!$B$2:$F$53,MATCH($A33,'Position Relationships'!$A$2:$A$53,0),1)),""),$A$6:$A$57,0)),"")&lt;&gt;"",IFERROR(INDEX($N$6:$N$57,MATCH(IFERROR(VALUE(INDEX('Position Relationships'!$B$2:$F$53,MATCH($A33,'Position Relationships'!$A$2:$A$53,0),1)),""),$A$6:$A$57,0)),"")&lt;&gt;$N33),IFERROR(VALUE(INDEX('Position Relationships'!$B$2:$F$53,MATCH($A33,'Position Relationships'!$A$2:$A$53,0),1)),""),IF(AND(IFERROR(VALUE(INDEX('Position Relationships'!$B$2:$F$53,MATCH($A33,'Position Relationships'!$A$2:$A$53,0),2)),"")&lt;&gt;"",IFERROR(INDEX($N$6:$N$57,MATCH(IFERROR(VALUE(INDEX('Position Relationships'!$B$2:$F$53,MATCH($A33,'Position Relationships'!$A$2:$A$53,0),2)),""),$A$6:$A$57,0)),"")&lt;&gt;"",IFERROR(INDEX($N$6:$N$57,MATCH(IFERROR(VALUE(INDEX('Position Relationships'!$B$2:$F$53,MATCH($A33,'Position Relationships'!$A$2:$A$53,0),2)),""),$A$6:$A$57,0)),"")&lt;&gt;$N33),IFERROR(VALUE(INDEX('Position Relationships'!$B$2:$F$53,MATCH($A33,'Position Relationships'!$A$2:$A$53,0),2)),""),IF(AND(IFERROR(VALUE(INDEX('Position Relationships'!$B$2:$F$53,MATCH($A33,'Position Relationships'!$A$2:$A$53,0),3)),"")&lt;&gt;"",IFERROR(INDEX($N$6:$N$57,MATCH(IFERROR(VALUE(INDEX('Position Relationships'!$B$2:$F$53,MATCH($A33,'Position Relationships'!$A$2:$A$53,0),3)),""),$A$6:$A$57,0)),"")&lt;&gt;"",IFERROR(INDEX($N$6:$N$57,MATCH(IFERROR(VALUE(INDEX('Position Relationships'!$B$2:$F$53,MATCH($A33,'Position Relationships'!$A$2:$A$53,0),3)),""),$A$6:$A$57,0)),"")&lt;&gt;$N33),IFERROR(VALUE(INDEX('Position Relationships'!$B$2:$F$53,MATCH($A33,'Position Relationships'!$A$2:$A$53,0),3)),""),IF(AND(IFERROR(VALUE(INDEX('Position Relationships'!$B$2:$F$53,MATCH($A33,'Position Relationships'!$A$2:$A$53,0),4)),"")&lt;&gt;"",IFERROR(INDEX($N$6:$N$57,MATCH(IFERROR(VALUE(INDEX('Position Relationships'!$B$2:$F$53,MATCH($A33,'Position Relationships'!$A$2:$A$53,0),4)),""),$A$6:$A$57,0)),"")&lt;&gt;"",IFERROR(INDEX($N$6:$N$57,MATCH(IFERROR(VALUE(INDEX('Position Relationships'!$B$2:$F$53,MATCH($A33,'Position Relationships'!$A$2:$A$53,0),4)),""),$A$6:$A$57,0)),"")&lt;&gt;$N33),IFERROR(VALUE(INDEX('Position Relationships'!$B$2:$F$53,MATCH($A33,'Position Relationships'!$A$2:$A$53,0),4)),""),IF(AND(IFERROR(VALUE(INDEX('Position Relationships'!$B$2:$F$53,MATCH($A33,'Position Relationships'!$A$2:$A$53,0),5)),"")&lt;&gt;"",IFERROR(INDEX($N$6:$N$57,MATCH(IFERROR(VALUE(INDEX('Position Relationships'!$B$2:$F$53,MATCH($A33,'Position Relationships'!$A$2:$A$53,0),5)),""),$A$6:$A$57,0)),"")&lt;&gt;"",IFERROR(INDEX($N$6:$N$57,MATCH(IFERROR(VALUE(INDEX('Position Relationships'!$B$2:$F$53,MATCH($A33,'Position Relationships'!$A$2:$A$53,0),5)),""),$A$6:$A$57,0)),"")&lt;&gt;$N33),IFERROR(VALUE(INDEX('Position Relationships'!$B$2:$F$53,MATCH($A33,'Position Relationships'!$A$2:$A$53,0),5)),""),""))))),""))</f>
        <v>19</v>
      </c>
      <c r="P33" s="51" t="str">
        <f aca="false">IF($O33="","",IFERROR(INDEX($F$6:$F$57,MATCH($O33,$A$6:$A$57,0)),""))</f>
        <v>EMP-0094</v>
      </c>
      <c r="Q33" s="52" t="str">
        <f aca="false">IF($A33="","",IF($M33&lt;&gt;"FILLED","POSITION UNFILLED",IF(IFERROR(INDEX('Position Library'!$E$2:$E$53,MATCH($A33,'Position Library'!$A$2:$A$53,0)),"N")&lt;&gt;"Y","NOT REQUIRED",IF(OR($O33="",$P33=""),"RELIEF GAP","COVERED"))))</f>
        <v>COVERED</v>
      </c>
      <c r="R33" s="52" t="str">
        <f aca="false">IF($A33="","",IF($D33&lt;&gt;"Tier 1","N/A",IF(OR($E$2="PM",$E$2="Overnight"),"N/A",IF($H33="3:45 AM","COVERED","OPENING GAP"))))</f>
        <v>N/A</v>
      </c>
      <c r="S33" s="38"/>
    </row>
    <row r="34" customFormat="false" ht="19.5" hidden="false" customHeight="true" outlineLevel="0" collapsed="false">
      <c r="A34" s="29" t="n">
        <v>29</v>
      </c>
      <c r="B34" s="38" t="str">
        <f aca="false">IF($A34="","",IFERROR(INDEX('Position Library'!$B$2:$B$53,MATCH($A34,'Position Library'!$A$2:$A$53,0)),""))</f>
        <v>North Security Checkpoint</v>
      </c>
      <c r="C34" s="38" t="str">
        <f aca="false">IF($A34="","",IFERROR(INDEX('Position Library'!$C$2:$C$53,MATCH($A34,'Position Library'!$A$2:$A$53,0)),""))</f>
        <v>First class </v>
      </c>
      <c r="D34" s="29" t="str">
        <f aca="false">IF($A34="","",IFERROR(INDEX('Position Library'!$D$2:$D$53,MATCH($A34,'Position Library'!$A$2:$A$53,0)),""))</f>
        <v>Tier 2</v>
      </c>
      <c r="E34" s="38" t="str">
        <f aca="false">IF($A34="","",IF($A34=45,"Information Desk = Y",IF(OR($A34=4,$A34=8),IF(OR(WEEKDAY($B$2,2)=1,WEEKDAY($B$2,2)=4,WEEKDAY($B$2,2)=5,WEEKDAY($B$2,2)=7),"Main Inside = 3","Main Inside &gt;= 2"),IF(AND($A34&gt;=46,$A34&lt;=52),"Divest = Y","General Qualifications &gt;= 2"))))</f>
        <v>General Qualifications &gt;= 2</v>
      </c>
      <c r="F34" s="29" t="str">
        <f aca="false">IF($A34="","",IFERROR(INDEX('Daily Workforce'!$B$6:$B$205,MATCH(1,Lists!Q30:HH30,0)),""))</f>
        <v>EMP-0040</v>
      </c>
      <c r="G34" s="1" t="str">
        <f aca="false">IF($F34="","",IFERROR(INDEX('Daily Workforce'!$C$6:$C$205,MATCH($F34,'Daily Workforce'!$B$6:$B$205,0)),""))</f>
        <v>Chrystal Harvey</v>
      </c>
      <c r="H34" s="29" t="str">
        <f aca="false">IF($F34="","",IFERROR(INDEX('Daily Workforce'!$D$6:$D$205,MATCH($F34,'Daily Workforce'!$B$6:$B$205,0)),""))</f>
        <v>5:45 AM</v>
      </c>
      <c r="I34" s="29" t="str">
        <f aca="false">IF($H34="","",$H34)</f>
        <v>5:45 AM</v>
      </c>
      <c r="J34" s="29" t="str">
        <f aca="false">IF($H34="","",IF($H34="3:45 AM","12:45 PM",IF($H34="5:45 AM","2:45 PM",IF($H34="12:15 PM","9:15 PM",IF($H34="2:00 PM","11:00 PM",IF($H34="9:15 PM","6:15 AM",""))))))</f>
        <v>2:45 PM</v>
      </c>
      <c r="K34" s="29" t="str">
        <f aca="false">IF($F34="","",IFERROR(INDEX('Daily Workforce'!$I$6:$I$205,MATCH($F34,'Daily Workforce'!$B$6:$B$205,0)),""))</f>
        <v>None</v>
      </c>
      <c r="L34" s="39" t="str">
        <f aca="false">IF($A34="","",IF($F34="","NO QUALIFIED EMPLOYEE","QUALIFIED"))</f>
        <v>QUALIFIED</v>
      </c>
      <c r="M34" s="29" t="str">
        <f aca="false">IF($A34="","",IF($F34="","UNFILLED","FILLED"))</f>
        <v>FILLED</v>
      </c>
      <c r="N34" s="43" t="str">
        <f aca="false">IF($F34="","",IF($H34="3:45 AM",IF(OR($K34="8:00 AM",$K34="9:00 AM"),$K34,CHOOSE(MOD(COUNTIF($H$6:$H34,$H34)-1,3)+1,"8:00 AM","8:00 AM","9:00 AM")),IF($H34="5:45 AM",IF(OR($K34="9:00 AM",$K34="10:00 AM"),$K34,CHOOSE(MOD(COUNTIF($H$6:$H34,$H34)-1,3)+1,"10:00 AM","10:00 AM","9:00 AM")),IF(AND($K34&lt;&gt;"",$K34&lt;&gt;"None"),$K34,IF($H34="12:15 PM",CHOOSE(MOD(COUNTIF($H$6:$H34,$H34)-1,2)+1,"4:00 PM","5:00 PM"),IF($H34="2:00 PM",CHOOSE(MOD(COUNTIF($H$6:$H34,$H34)-1,2)+1,"6:00 PM","7:00 PM"),IF($H34="9:15 PM",CHOOSE(MOD(COUNTIF($H$6:$H34,$H34)-1,2)+1,"1:00 AM","2:00 AM"),"")))))))</f>
        <v>9:00 AM</v>
      </c>
      <c r="O34" s="51" t="str">
        <f aca="false">IF($A34="","",IF(IFERROR(INDEX('Position Library'!$E$2:$E$53,MATCH($A34,'Position Library'!$A$2:$A$53,0)),"N")="Y",IF(AND(IFERROR(VALUE(INDEX('Position Relationships'!$B$2:$F$53,MATCH($A34,'Position Relationships'!$A$2:$A$53,0),1)),"")&lt;&gt;"",IFERROR(INDEX($N$6:$N$57,MATCH(IFERROR(VALUE(INDEX('Position Relationships'!$B$2:$F$53,MATCH($A34,'Position Relationships'!$A$2:$A$53,0),1)),""),$A$6:$A$57,0)),"")&lt;&gt;"",IFERROR(INDEX($N$6:$N$57,MATCH(IFERROR(VALUE(INDEX('Position Relationships'!$B$2:$F$53,MATCH($A34,'Position Relationships'!$A$2:$A$53,0),1)),""),$A$6:$A$57,0)),"")&lt;&gt;$N34),IFERROR(VALUE(INDEX('Position Relationships'!$B$2:$F$53,MATCH($A34,'Position Relationships'!$A$2:$A$53,0),1)),""),IF(AND(IFERROR(VALUE(INDEX('Position Relationships'!$B$2:$F$53,MATCH($A34,'Position Relationships'!$A$2:$A$53,0),2)),"")&lt;&gt;"",IFERROR(INDEX($N$6:$N$57,MATCH(IFERROR(VALUE(INDEX('Position Relationships'!$B$2:$F$53,MATCH($A34,'Position Relationships'!$A$2:$A$53,0),2)),""),$A$6:$A$57,0)),"")&lt;&gt;"",IFERROR(INDEX($N$6:$N$57,MATCH(IFERROR(VALUE(INDEX('Position Relationships'!$B$2:$F$53,MATCH($A34,'Position Relationships'!$A$2:$A$53,0),2)),""),$A$6:$A$57,0)),"")&lt;&gt;$N34),IFERROR(VALUE(INDEX('Position Relationships'!$B$2:$F$53,MATCH($A34,'Position Relationships'!$A$2:$A$53,0),2)),""),IF(AND(IFERROR(VALUE(INDEX('Position Relationships'!$B$2:$F$53,MATCH($A34,'Position Relationships'!$A$2:$A$53,0),3)),"")&lt;&gt;"",IFERROR(INDEX($N$6:$N$57,MATCH(IFERROR(VALUE(INDEX('Position Relationships'!$B$2:$F$53,MATCH($A34,'Position Relationships'!$A$2:$A$53,0),3)),""),$A$6:$A$57,0)),"")&lt;&gt;"",IFERROR(INDEX($N$6:$N$57,MATCH(IFERROR(VALUE(INDEX('Position Relationships'!$B$2:$F$53,MATCH($A34,'Position Relationships'!$A$2:$A$53,0),3)),""),$A$6:$A$57,0)),"")&lt;&gt;$N34),IFERROR(VALUE(INDEX('Position Relationships'!$B$2:$F$53,MATCH($A34,'Position Relationships'!$A$2:$A$53,0),3)),""),IF(AND(IFERROR(VALUE(INDEX('Position Relationships'!$B$2:$F$53,MATCH($A34,'Position Relationships'!$A$2:$A$53,0),4)),"")&lt;&gt;"",IFERROR(INDEX($N$6:$N$57,MATCH(IFERROR(VALUE(INDEX('Position Relationships'!$B$2:$F$53,MATCH($A34,'Position Relationships'!$A$2:$A$53,0),4)),""),$A$6:$A$57,0)),"")&lt;&gt;"",IFERROR(INDEX($N$6:$N$57,MATCH(IFERROR(VALUE(INDEX('Position Relationships'!$B$2:$F$53,MATCH($A34,'Position Relationships'!$A$2:$A$53,0),4)),""),$A$6:$A$57,0)),"")&lt;&gt;$N34),IFERROR(VALUE(INDEX('Position Relationships'!$B$2:$F$53,MATCH($A34,'Position Relationships'!$A$2:$A$53,0),4)),""),IF(AND(IFERROR(VALUE(INDEX('Position Relationships'!$B$2:$F$53,MATCH($A34,'Position Relationships'!$A$2:$A$53,0),5)),"")&lt;&gt;"",IFERROR(INDEX($N$6:$N$57,MATCH(IFERROR(VALUE(INDEX('Position Relationships'!$B$2:$F$53,MATCH($A34,'Position Relationships'!$A$2:$A$53,0),5)),""),$A$6:$A$57,0)),"")&lt;&gt;"",IFERROR(INDEX($N$6:$N$57,MATCH(IFERROR(VALUE(INDEX('Position Relationships'!$B$2:$F$53,MATCH($A34,'Position Relationships'!$A$2:$A$53,0),5)),""),$A$6:$A$57,0)),"")&lt;&gt;$N34),IFERROR(VALUE(INDEX('Position Relationships'!$B$2:$F$53,MATCH($A34,'Position Relationships'!$A$2:$A$53,0),5)),""),""))))),""))</f>
        <v/>
      </c>
      <c r="P34" s="51" t="str">
        <f aca="false">IF($O34="","",IFERROR(INDEX($F$6:$F$57,MATCH($O34,$A$6:$A$57,0)),""))</f>
        <v/>
      </c>
      <c r="Q34" s="52" t="str">
        <f aca="false">IF($A34="","",IF($M34&lt;&gt;"FILLED","POSITION UNFILLED",IF(IFERROR(INDEX('Position Library'!$E$2:$E$53,MATCH($A34,'Position Library'!$A$2:$A$53,0)),"N")&lt;&gt;"Y","NOT REQUIRED",IF(OR($O34="",$P34=""),"RELIEF GAP","COVERED"))))</f>
        <v>NOT REQUIRED</v>
      </c>
      <c r="R34" s="52" t="str">
        <f aca="false">IF($A34="","",IF($D34&lt;&gt;"Tier 1","N/A",IF(OR($E$2="PM",$E$2="Overnight"),"N/A",IF($H34="3:45 AM","COVERED","OPENING GAP"))))</f>
        <v>N/A</v>
      </c>
      <c r="S34" s="38"/>
    </row>
    <row r="35" customFormat="false" ht="19.5" hidden="false" customHeight="true" outlineLevel="0" collapsed="false">
      <c r="A35" s="29" t="n">
        <v>31</v>
      </c>
      <c r="B35" s="38" t="str">
        <f aca="false">IF($A35="","",IFERROR(INDEX('Position Library'!$B$2:$B$53,MATCH($A35,'Position Library'!$A$2:$A$53,0)),""))</f>
        <v>Lower North Security Checkpoint</v>
      </c>
      <c r="C35" s="38" t="str">
        <f aca="false">IF($A35="","",IFERROR(INDEX('Position Library'!$C$2:$C$53,MATCH($A35,'Position Library'!$A$2:$A$53,0)),""))</f>
        <v>LN2 Elevator </v>
      </c>
      <c r="D35" s="29" t="str">
        <f aca="false">IF($A35="","",IFERROR(INDEX('Position Library'!$D$2:$D$53,MATCH($A35,'Position Library'!$A$2:$A$53,0)),""))</f>
        <v>Tier 2</v>
      </c>
      <c r="E35" s="38" t="str">
        <f aca="false">IF($A35="","",IF($A35=45,"Information Desk = Y",IF(OR($A35=4,$A35=8),IF(OR(WEEKDAY($B$2,2)=1,WEEKDAY($B$2,2)=4,WEEKDAY($B$2,2)=5,WEEKDAY($B$2,2)=7),"Main Inside = 3","Main Inside &gt;= 2"),IF(AND($A35&gt;=46,$A35&lt;=52),"Divest = Y","General Qualifications &gt;= 2"))))</f>
        <v>General Qualifications &gt;= 2</v>
      </c>
      <c r="F35" s="29" t="str">
        <f aca="false">IF($A35="","",IFERROR(INDEX('Daily Workforce'!$B$6:$B$205,MATCH(1,Lists!Q31:HH31,0)),""))</f>
        <v>EMP-0041</v>
      </c>
      <c r="G35" s="1" t="str">
        <f aca="false">IF($F35="","",IFERROR(INDEX('Daily Workforce'!$C$6:$C$205,MATCH($F35,'Daily Workforce'!$B$6:$B$205,0)),""))</f>
        <v>Cicely Thicklin</v>
      </c>
      <c r="H35" s="29" t="str">
        <f aca="false">IF($F35="","",IFERROR(INDEX('Daily Workforce'!$D$6:$D$205,MATCH($F35,'Daily Workforce'!$B$6:$B$205,0)),""))</f>
        <v>5:45 AM</v>
      </c>
      <c r="I35" s="29" t="str">
        <f aca="false">IF($H35="","",$H35)</f>
        <v>5:45 AM</v>
      </c>
      <c r="J35" s="29" t="str">
        <f aca="false">IF($H35="","",IF($H35="3:45 AM","12:45 PM",IF($H35="5:45 AM","2:45 PM",IF($H35="12:15 PM","9:15 PM",IF($H35="2:00 PM","11:00 PM",IF($H35="9:15 PM","6:15 AM",""))))))</f>
        <v>2:45 PM</v>
      </c>
      <c r="K35" s="29" t="str">
        <f aca="false">IF($F35="","",IFERROR(INDEX('Daily Workforce'!$I$6:$I$205,MATCH($F35,'Daily Workforce'!$B$6:$B$205,0)),""))</f>
        <v>None</v>
      </c>
      <c r="L35" s="39" t="str">
        <f aca="false">IF($A35="","",IF($F35="","NO QUALIFIED EMPLOYEE","QUALIFIED"))</f>
        <v>QUALIFIED</v>
      </c>
      <c r="M35" s="29" t="str">
        <f aca="false">IF($A35="","",IF($F35="","UNFILLED","FILLED"))</f>
        <v>FILLED</v>
      </c>
      <c r="N35" s="43" t="str">
        <f aca="false">IF($F35="","",IF($H35="3:45 AM",IF(OR($K35="8:00 AM",$K35="9:00 AM"),$K35,CHOOSE(MOD(COUNTIF($H$6:$H35,$H35)-1,3)+1,"8:00 AM","8:00 AM","9:00 AM")),IF($H35="5:45 AM",IF(OR($K35="9:00 AM",$K35="10:00 AM"),$K35,CHOOSE(MOD(COUNTIF($H$6:$H35,$H35)-1,3)+1,"10:00 AM","10:00 AM","9:00 AM")),IF(AND($K35&lt;&gt;"",$K35&lt;&gt;"None"),$K35,IF($H35="12:15 PM",CHOOSE(MOD(COUNTIF($H$6:$H35,$H35)-1,2)+1,"4:00 PM","5:00 PM"),IF($H35="2:00 PM",CHOOSE(MOD(COUNTIF($H$6:$H35,$H35)-1,2)+1,"6:00 PM","7:00 PM"),IF($H35="9:15 PM",CHOOSE(MOD(COUNTIF($H$6:$H35,$H35)-1,2)+1,"1:00 AM","2:00 AM"),"")))))))</f>
        <v>10:00 AM</v>
      </c>
      <c r="O35" s="51" t="str">
        <f aca="false">IF($A35="","",IF(IFERROR(INDEX('Position Library'!$E$2:$E$53,MATCH($A35,'Position Library'!$A$2:$A$53,0)),"N")="Y",IF(AND(IFERROR(VALUE(INDEX('Position Relationships'!$B$2:$F$53,MATCH($A35,'Position Relationships'!$A$2:$A$53,0),1)),"")&lt;&gt;"",IFERROR(INDEX($N$6:$N$57,MATCH(IFERROR(VALUE(INDEX('Position Relationships'!$B$2:$F$53,MATCH($A35,'Position Relationships'!$A$2:$A$53,0),1)),""),$A$6:$A$57,0)),"")&lt;&gt;"",IFERROR(INDEX($N$6:$N$57,MATCH(IFERROR(VALUE(INDEX('Position Relationships'!$B$2:$F$53,MATCH($A35,'Position Relationships'!$A$2:$A$53,0),1)),""),$A$6:$A$57,0)),"")&lt;&gt;$N35),IFERROR(VALUE(INDEX('Position Relationships'!$B$2:$F$53,MATCH($A35,'Position Relationships'!$A$2:$A$53,0),1)),""),IF(AND(IFERROR(VALUE(INDEX('Position Relationships'!$B$2:$F$53,MATCH($A35,'Position Relationships'!$A$2:$A$53,0),2)),"")&lt;&gt;"",IFERROR(INDEX($N$6:$N$57,MATCH(IFERROR(VALUE(INDEX('Position Relationships'!$B$2:$F$53,MATCH($A35,'Position Relationships'!$A$2:$A$53,0),2)),""),$A$6:$A$57,0)),"")&lt;&gt;"",IFERROR(INDEX($N$6:$N$57,MATCH(IFERROR(VALUE(INDEX('Position Relationships'!$B$2:$F$53,MATCH($A35,'Position Relationships'!$A$2:$A$53,0),2)),""),$A$6:$A$57,0)),"")&lt;&gt;$N35),IFERROR(VALUE(INDEX('Position Relationships'!$B$2:$F$53,MATCH($A35,'Position Relationships'!$A$2:$A$53,0),2)),""),IF(AND(IFERROR(VALUE(INDEX('Position Relationships'!$B$2:$F$53,MATCH($A35,'Position Relationships'!$A$2:$A$53,0),3)),"")&lt;&gt;"",IFERROR(INDEX($N$6:$N$57,MATCH(IFERROR(VALUE(INDEX('Position Relationships'!$B$2:$F$53,MATCH($A35,'Position Relationships'!$A$2:$A$53,0),3)),""),$A$6:$A$57,0)),"")&lt;&gt;"",IFERROR(INDEX($N$6:$N$57,MATCH(IFERROR(VALUE(INDEX('Position Relationships'!$B$2:$F$53,MATCH($A35,'Position Relationships'!$A$2:$A$53,0),3)),""),$A$6:$A$57,0)),"")&lt;&gt;$N35),IFERROR(VALUE(INDEX('Position Relationships'!$B$2:$F$53,MATCH($A35,'Position Relationships'!$A$2:$A$53,0),3)),""),IF(AND(IFERROR(VALUE(INDEX('Position Relationships'!$B$2:$F$53,MATCH($A35,'Position Relationships'!$A$2:$A$53,0),4)),"")&lt;&gt;"",IFERROR(INDEX($N$6:$N$57,MATCH(IFERROR(VALUE(INDEX('Position Relationships'!$B$2:$F$53,MATCH($A35,'Position Relationships'!$A$2:$A$53,0),4)),""),$A$6:$A$57,0)),"")&lt;&gt;"",IFERROR(INDEX($N$6:$N$57,MATCH(IFERROR(VALUE(INDEX('Position Relationships'!$B$2:$F$53,MATCH($A35,'Position Relationships'!$A$2:$A$53,0),4)),""),$A$6:$A$57,0)),"")&lt;&gt;$N35),IFERROR(VALUE(INDEX('Position Relationships'!$B$2:$F$53,MATCH($A35,'Position Relationships'!$A$2:$A$53,0),4)),""),IF(AND(IFERROR(VALUE(INDEX('Position Relationships'!$B$2:$F$53,MATCH($A35,'Position Relationships'!$A$2:$A$53,0),5)),"")&lt;&gt;"",IFERROR(INDEX($N$6:$N$57,MATCH(IFERROR(VALUE(INDEX('Position Relationships'!$B$2:$F$53,MATCH($A35,'Position Relationships'!$A$2:$A$53,0),5)),""),$A$6:$A$57,0)),"")&lt;&gt;"",IFERROR(INDEX($N$6:$N$57,MATCH(IFERROR(VALUE(INDEX('Position Relationships'!$B$2:$F$53,MATCH($A35,'Position Relationships'!$A$2:$A$53,0),5)),""),$A$6:$A$57,0)),"")&lt;&gt;$N35),IFERROR(VALUE(INDEX('Position Relationships'!$B$2:$F$53,MATCH($A35,'Position Relationships'!$A$2:$A$53,0),5)),""),""))))),""))</f>
        <v/>
      </c>
      <c r="P35" s="51" t="str">
        <f aca="false">IF($O35="","",IFERROR(INDEX($F$6:$F$57,MATCH($O35,$A$6:$A$57,0)),""))</f>
        <v/>
      </c>
      <c r="Q35" s="52" t="str">
        <f aca="false">IF($A35="","",IF($M35&lt;&gt;"FILLED","POSITION UNFILLED",IF(IFERROR(INDEX('Position Library'!$E$2:$E$53,MATCH($A35,'Position Library'!$A$2:$A$53,0)),"N")&lt;&gt;"Y","NOT REQUIRED",IF(OR($O35="",$P35=""),"RELIEF GAP","COVERED"))))</f>
        <v>NOT REQUIRED</v>
      </c>
      <c r="R35" s="52" t="str">
        <f aca="false">IF($A35="","",IF($D35&lt;&gt;"Tier 1","N/A",IF(OR($E$2="PM",$E$2="Overnight"),"N/A",IF($H35="3:45 AM","COVERED","OPENING GAP"))))</f>
        <v>N/A</v>
      </c>
      <c r="S35" s="38"/>
    </row>
    <row r="36" customFormat="false" ht="19.5" hidden="false" customHeight="true" outlineLevel="0" collapsed="false">
      <c r="A36" s="29" t="n">
        <v>36</v>
      </c>
      <c r="B36" s="38" t="str">
        <f aca="false">IF($A36="","",IFERROR(INDEX('Position Library'!$B$2:$B$53,MATCH($A36,'Position Library'!$A$2:$A$53,0)),""))</f>
        <v>AGT Level</v>
      </c>
      <c r="C36" s="38" t="str">
        <f aca="false">IF($A36="","",IFERROR(INDEX('Position Library'!$C$2:$C$53,MATCH($A36,'Position Library'!$A$2:$A$53,0)),""))</f>
        <v>T Platform Train Door 2</v>
      </c>
      <c r="D36" s="29" t="str">
        <f aca="false">IF($A36="","",IFERROR(INDEX('Position Library'!$D$2:$D$53,MATCH($A36,'Position Library'!$A$2:$A$53,0)),""))</f>
        <v>Tier 2</v>
      </c>
      <c r="E36" s="38" t="str">
        <f aca="false">IF($A36="","",IF($A36=45,"Information Desk = Y",IF(OR($A36=4,$A36=8),IF(OR(WEEKDAY($B$2,2)=1,WEEKDAY($B$2,2)=4,WEEKDAY($B$2,2)=5,WEEKDAY($B$2,2)=7),"Main Inside = 3","Main Inside &gt;= 2"),IF(AND($A36&gt;=46,$A36&lt;=52),"Divest = Y","General Qualifications &gt;= 2"))))</f>
        <v>General Qualifications &gt;= 2</v>
      </c>
      <c r="F36" s="29" t="str">
        <f aca="false">IF($A36="","",IFERROR(INDEX('Daily Workforce'!$B$6:$B$205,MATCH(1,Lists!Q32:HH32,0)),""))</f>
        <v>EMP-0051</v>
      </c>
      <c r="G36" s="1" t="str">
        <f aca="false">IF($F36="","",IFERROR(INDEX('Daily Workforce'!$C$6:$C$205,MATCH($F36,'Daily Workforce'!$B$6:$B$205,0)),""))</f>
        <v>Dequavius Parker</v>
      </c>
      <c r="H36" s="29" t="str">
        <f aca="false">IF($F36="","",IFERROR(INDEX('Daily Workforce'!$D$6:$D$205,MATCH($F36,'Daily Workforce'!$B$6:$B$205,0)),""))</f>
        <v>5:45 AM</v>
      </c>
      <c r="I36" s="29" t="str">
        <f aca="false">IF($H36="","",$H36)</f>
        <v>5:45 AM</v>
      </c>
      <c r="J36" s="29" t="str">
        <f aca="false">IF($H36="","",IF($H36="3:45 AM","12:45 PM",IF($H36="5:45 AM","2:45 PM",IF($H36="12:15 PM","9:15 PM",IF($H36="2:00 PM","11:00 PM",IF($H36="9:15 PM","6:15 AM",""))))))</f>
        <v>2:45 PM</v>
      </c>
      <c r="K36" s="29" t="str">
        <f aca="false">IF($F36="","",IFERROR(INDEX('Daily Workforce'!$I$6:$I$205,MATCH($F36,'Daily Workforce'!$B$6:$B$205,0)),""))</f>
        <v>None</v>
      </c>
      <c r="L36" s="39" t="str">
        <f aca="false">IF($A36="","",IF($F36="","NO QUALIFIED EMPLOYEE","QUALIFIED"))</f>
        <v>QUALIFIED</v>
      </c>
      <c r="M36" s="29" t="str">
        <f aca="false">IF($A36="","",IF($F36="","UNFILLED","FILLED"))</f>
        <v>FILLED</v>
      </c>
      <c r="N36" s="43" t="str">
        <f aca="false">IF($F36="","",IF($H36="3:45 AM",IF(OR($K36="8:00 AM",$K36="9:00 AM"),$K36,CHOOSE(MOD(COUNTIF($H$6:$H36,$H36)-1,3)+1,"8:00 AM","8:00 AM","9:00 AM")),IF($H36="5:45 AM",IF(OR($K36="9:00 AM",$K36="10:00 AM"),$K36,CHOOSE(MOD(COUNTIF($H$6:$H36,$H36)-1,3)+1,"10:00 AM","10:00 AM","9:00 AM")),IF(AND($K36&lt;&gt;"",$K36&lt;&gt;"None"),$K36,IF($H36="12:15 PM",CHOOSE(MOD(COUNTIF($H$6:$H36,$H36)-1,2)+1,"4:00 PM","5:00 PM"),IF($H36="2:00 PM",CHOOSE(MOD(COUNTIF($H$6:$H36,$H36)-1,2)+1,"6:00 PM","7:00 PM"),IF($H36="9:15 PM",CHOOSE(MOD(COUNTIF($H$6:$H36,$H36)-1,2)+1,"1:00 AM","2:00 AM"),"")))))))</f>
        <v>10:00 AM</v>
      </c>
      <c r="O36" s="51" t="str">
        <f aca="false">IF($A36="","",IF(IFERROR(INDEX('Position Library'!$E$2:$E$53,MATCH($A36,'Position Library'!$A$2:$A$53,0)),"N")="Y",IF(AND(IFERROR(VALUE(INDEX('Position Relationships'!$B$2:$F$53,MATCH($A36,'Position Relationships'!$A$2:$A$53,0),1)),"")&lt;&gt;"",IFERROR(INDEX($N$6:$N$57,MATCH(IFERROR(VALUE(INDEX('Position Relationships'!$B$2:$F$53,MATCH($A36,'Position Relationships'!$A$2:$A$53,0),1)),""),$A$6:$A$57,0)),"")&lt;&gt;"",IFERROR(INDEX($N$6:$N$57,MATCH(IFERROR(VALUE(INDEX('Position Relationships'!$B$2:$F$53,MATCH($A36,'Position Relationships'!$A$2:$A$53,0),1)),""),$A$6:$A$57,0)),"")&lt;&gt;$N36),IFERROR(VALUE(INDEX('Position Relationships'!$B$2:$F$53,MATCH($A36,'Position Relationships'!$A$2:$A$53,0),1)),""),IF(AND(IFERROR(VALUE(INDEX('Position Relationships'!$B$2:$F$53,MATCH($A36,'Position Relationships'!$A$2:$A$53,0),2)),"")&lt;&gt;"",IFERROR(INDEX($N$6:$N$57,MATCH(IFERROR(VALUE(INDEX('Position Relationships'!$B$2:$F$53,MATCH($A36,'Position Relationships'!$A$2:$A$53,0),2)),""),$A$6:$A$57,0)),"")&lt;&gt;"",IFERROR(INDEX($N$6:$N$57,MATCH(IFERROR(VALUE(INDEX('Position Relationships'!$B$2:$F$53,MATCH($A36,'Position Relationships'!$A$2:$A$53,0),2)),""),$A$6:$A$57,0)),"")&lt;&gt;$N36),IFERROR(VALUE(INDEX('Position Relationships'!$B$2:$F$53,MATCH($A36,'Position Relationships'!$A$2:$A$53,0),2)),""),IF(AND(IFERROR(VALUE(INDEX('Position Relationships'!$B$2:$F$53,MATCH($A36,'Position Relationships'!$A$2:$A$53,0),3)),"")&lt;&gt;"",IFERROR(INDEX($N$6:$N$57,MATCH(IFERROR(VALUE(INDEX('Position Relationships'!$B$2:$F$53,MATCH($A36,'Position Relationships'!$A$2:$A$53,0),3)),""),$A$6:$A$57,0)),"")&lt;&gt;"",IFERROR(INDEX($N$6:$N$57,MATCH(IFERROR(VALUE(INDEX('Position Relationships'!$B$2:$F$53,MATCH($A36,'Position Relationships'!$A$2:$A$53,0),3)),""),$A$6:$A$57,0)),"")&lt;&gt;$N36),IFERROR(VALUE(INDEX('Position Relationships'!$B$2:$F$53,MATCH($A36,'Position Relationships'!$A$2:$A$53,0),3)),""),IF(AND(IFERROR(VALUE(INDEX('Position Relationships'!$B$2:$F$53,MATCH($A36,'Position Relationships'!$A$2:$A$53,0),4)),"")&lt;&gt;"",IFERROR(INDEX($N$6:$N$57,MATCH(IFERROR(VALUE(INDEX('Position Relationships'!$B$2:$F$53,MATCH($A36,'Position Relationships'!$A$2:$A$53,0),4)),""),$A$6:$A$57,0)),"")&lt;&gt;"",IFERROR(INDEX($N$6:$N$57,MATCH(IFERROR(VALUE(INDEX('Position Relationships'!$B$2:$F$53,MATCH($A36,'Position Relationships'!$A$2:$A$53,0),4)),""),$A$6:$A$57,0)),"")&lt;&gt;$N36),IFERROR(VALUE(INDEX('Position Relationships'!$B$2:$F$53,MATCH($A36,'Position Relationships'!$A$2:$A$53,0),4)),""),IF(AND(IFERROR(VALUE(INDEX('Position Relationships'!$B$2:$F$53,MATCH($A36,'Position Relationships'!$A$2:$A$53,0),5)),"")&lt;&gt;"",IFERROR(INDEX($N$6:$N$57,MATCH(IFERROR(VALUE(INDEX('Position Relationships'!$B$2:$F$53,MATCH($A36,'Position Relationships'!$A$2:$A$53,0),5)),""),$A$6:$A$57,0)),"")&lt;&gt;"",IFERROR(INDEX($N$6:$N$57,MATCH(IFERROR(VALUE(INDEX('Position Relationships'!$B$2:$F$53,MATCH($A36,'Position Relationships'!$A$2:$A$53,0),5)),""),$A$6:$A$57,0)),"")&lt;&gt;$N36),IFERROR(VALUE(INDEX('Position Relationships'!$B$2:$F$53,MATCH($A36,'Position Relationships'!$A$2:$A$53,0),5)),""),""))))),""))</f>
        <v/>
      </c>
      <c r="P36" s="51" t="str">
        <f aca="false">IF($O36="","",IFERROR(INDEX($F$6:$F$57,MATCH($O36,$A$6:$A$57,0)),""))</f>
        <v/>
      </c>
      <c r="Q36" s="52" t="str">
        <f aca="false">IF($A36="","",IF($M36&lt;&gt;"FILLED","POSITION UNFILLED",IF(IFERROR(INDEX('Position Library'!$E$2:$E$53,MATCH($A36,'Position Library'!$A$2:$A$53,0)),"N")&lt;&gt;"Y","NOT REQUIRED",IF(OR($O36="",$P36=""),"RELIEF GAP","COVERED"))))</f>
        <v>RELIEF GAP</v>
      </c>
      <c r="R36" s="52" t="str">
        <f aca="false">IF($A36="","",IF($D36&lt;&gt;"Tier 1","N/A",IF(OR($E$2="PM",$E$2="Overnight"),"N/A",IF($H36="3:45 AM","COVERED","OPENING GAP"))))</f>
        <v>N/A</v>
      </c>
      <c r="S36" s="38"/>
    </row>
    <row r="37" customFormat="false" ht="19.5" hidden="false" customHeight="true" outlineLevel="0" collapsed="false">
      <c r="A37" s="29" t="n">
        <v>37</v>
      </c>
      <c r="B37" s="38" t="str">
        <f aca="false">IF($A37="","",IFERROR(INDEX('Position Library'!$B$2:$B$53,MATCH($A37,'Position Library'!$A$2:$A$53,0)),""))</f>
        <v>AGT Level</v>
      </c>
      <c r="C37" s="38" t="str">
        <f aca="false">IF($A37="","",IFERROR(INDEX('Position Library'!$C$2:$C$53,MATCH($A37,'Position Library'!$A$2:$A$53,0)),""))</f>
        <v>T--Platform</v>
      </c>
      <c r="D37" s="29" t="str">
        <f aca="false">IF($A37="","",IFERROR(INDEX('Position Library'!$D$2:$D$53,MATCH($A37,'Position Library'!$A$2:$A$53,0)),""))</f>
        <v>Tier 2</v>
      </c>
      <c r="E37" s="38" t="str">
        <f aca="false">IF($A37="","",IF($A37=45,"Information Desk = Y",IF(OR($A37=4,$A37=8),IF(OR(WEEKDAY($B$2,2)=1,WEEKDAY($B$2,2)=4,WEEKDAY($B$2,2)=5,WEEKDAY($B$2,2)=7),"Main Inside = 3","Main Inside &gt;= 2"),IF(AND($A37&gt;=46,$A37&lt;=52),"Divest = Y","General Qualifications &gt;= 2"))))</f>
        <v>General Qualifications &gt;= 2</v>
      </c>
      <c r="F37" s="29" t="str">
        <f aca="false">IF($A37="","",IFERROR(INDEX('Daily Workforce'!$B$6:$B$205,MATCH(1,Lists!Q33:HH33,0)),""))</f>
        <v>EMP-0063</v>
      </c>
      <c r="G37" s="1" t="str">
        <f aca="false">IF($F37="","",IFERROR(INDEX('Daily Workforce'!$C$6:$C$205,MATCH($F37,'Daily Workforce'!$B$6:$B$205,0)),""))</f>
        <v>Feleke Tekle</v>
      </c>
      <c r="H37" s="29" t="str">
        <f aca="false">IF($F37="","",IFERROR(INDEX('Daily Workforce'!$D$6:$D$205,MATCH($F37,'Daily Workforce'!$B$6:$B$205,0)),""))</f>
        <v>5:45 AM</v>
      </c>
      <c r="I37" s="29" t="str">
        <f aca="false">IF($H37="","",$H37)</f>
        <v>5:45 AM</v>
      </c>
      <c r="J37" s="29" t="str">
        <f aca="false">IF($H37="","",IF($H37="3:45 AM","12:45 PM",IF($H37="5:45 AM","2:45 PM",IF($H37="12:15 PM","9:15 PM",IF($H37="2:00 PM","11:00 PM",IF($H37="9:15 PM","6:15 AM",""))))))</f>
        <v>2:45 PM</v>
      </c>
      <c r="K37" s="29" t="str">
        <f aca="false">IF($F37="","",IFERROR(INDEX('Daily Workforce'!$I$6:$I$205,MATCH($F37,'Daily Workforce'!$B$6:$B$205,0)),""))</f>
        <v>None</v>
      </c>
      <c r="L37" s="39" t="str">
        <f aca="false">IF($A37="","",IF($F37="","NO QUALIFIED EMPLOYEE","QUALIFIED"))</f>
        <v>QUALIFIED</v>
      </c>
      <c r="M37" s="29" t="str">
        <f aca="false">IF($A37="","",IF($F37="","UNFILLED","FILLED"))</f>
        <v>FILLED</v>
      </c>
      <c r="N37" s="43" t="str">
        <f aca="false">IF($F37="","",IF($H37="3:45 AM",IF(OR($K37="8:00 AM",$K37="9:00 AM"),$K37,CHOOSE(MOD(COUNTIF($H$6:$H37,$H37)-1,3)+1,"8:00 AM","8:00 AM","9:00 AM")),IF($H37="5:45 AM",IF(OR($K37="9:00 AM",$K37="10:00 AM"),$K37,CHOOSE(MOD(COUNTIF($H$6:$H37,$H37)-1,3)+1,"10:00 AM","10:00 AM","9:00 AM")),IF(AND($K37&lt;&gt;"",$K37&lt;&gt;"None"),$K37,IF($H37="12:15 PM",CHOOSE(MOD(COUNTIF($H$6:$H37,$H37)-1,2)+1,"4:00 PM","5:00 PM"),IF($H37="2:00 PM",CHOOSE(MOD(COUNTIF($H$6:$H37,$H37)-1,2)+1,"6:00 PM","7:00 PM"),IF($H37="9:15 PM",CHOOSE(MOD(COUNTIF($H$6:$H37,$H37)-1,2)+1,"1:00 AM","2:00 AM"),"")))))))</f>
        <v>9:00 AM</v>
      </c>
      <c r="O37" s="51" t="n">
        <f aca="false">IF($A37="","",IF(IFERROR(INDEX('Position Library'!$E$2:$E$53,MATCH($A37,'Position Library'!$A$2:$A$53,0)),"N")="Y",IF(AND(IFERROR(VALUE(INDEX('Position Relationships'!$B$2:$F$53,MATCH($A37,'Position Relationships'!$A$2:$A$53,0),1)),"")&lt;&gt;"",IFERROR(INDEX($N$6:$N$57,MATCH(IFERROR(VALUE(INDEX('Position Relationships'!$B$2:$F$53,MATCH($A37,'Position Relationships'!$A$2:$A$53,0),1)),""),$A$6:$A$57,0)),"")&lt;&gt;"",IFERROR(INDEX($N$6:$N$57,MATCH(IFERROR(VALUE(INDEX('Position Relationships'!$B$2:$F$53,MATCH($A37,'Position Relationships'!$A$2:$A$53,0),1)),""),$A$6:$A$57,0)),"")&lt;&gt;$N37),IFERROR(VALUE(INDEX('Position Relationships'!$B$2:$F$53,MATCH($A37,'Position Relationships'!$A$2:$A$53,0),1)),""),IF(AND(IFERROR(VALUE(INDEX('Position Relationships'!$B$2:$F$53,MATCH($A37,'Position Relationships'!$A$2:$A$53,0),2)),"")&lt;&gt;"",IFERROR(INDEX($N$6:$N$57,MATCH(IFERROR(VALUE(INDEX('Position Relationships'!$B$2:$F$53,MATCH($A37,'Position Relationships'!$A$2:$A$53,0),2)),""),$A$6:$A$57,0)),"")&lt;&gt;"",IFERROR(INDEX($N$6:$N$57,MATCH(IFERROR(VALUE(INDEX('Position Relationships'!$B$2:$F$53,MATCH($A37,'Position Relationships'!$A$2:$A$53,0),2)),""),$A$6:$A$57,0)),"")&lt;&gt;$N37),IFERROR(VALUE(INDEX('Position Relationships'!$B$2:$F$53,MATCH($A37,'Position Relationships'!$A$2:$A$53,0),2)),""),IF(AND(IFERROR(VALUE(INDEX('Position Relationships'!$B$2:$F$53,MATCH($A37,'Position Relationships'!$A$2:$A$53,0),3)),"")&lt;&gt;"",IFERROR(INDEX($N$6:$N$57,MATCH(IFERROR(VALUE(INDEX('Position Relationships'!$B$2:$F$53,MATCH($A37,'Position Relationships'!$A$2:$A$53,0),3)),""),$A$6:$A$57,0)),"")&lt;&gt;"",IFERROR(INDEX($N$6:$N$57,MATCH(IFERROR(VALUE(INDEX('Position Relationships'!$B$2:$F$53,MATCH($A37,'Position Relationships'!$A$2:$A$53,0),3)),""),$A$6:$A$57,0)),"")&lt;&gt;$N37),IFERROR(VALUE(INDEX('Position Relationships'!$B$2:$F$53,MATCH($A37,'Position Relationships'!$A$2:$A$53,0),3)),""),IF(AND(IFERROR(VALUE(INDEX('Position Relationships'!$B$2:$F$53,MATCH($A37,'Position Relationships'!$A$2:$A$53,0),4)),"")&lt;&gt;"",IFERROR(INDEX($N$6:$N$57,MATCH(IFERROR(VALUE(INDEX('Position Relationships'!$B$2:$F$53,MATCH($A37,'Position Relationships'!$A$2:$A$53,0),4)),""),$A$6:$A$57,0)),"")&lt;&gt;"",IFERROR(INDEX($N$6:$N$57,MATCH(IFERROR(VALUE(INDEX('Position Relationships'!$B$2:$F$53,MATCH($A37,'Position Relationships'!$A$2:$A$53,0),4)),""),$A$6:$A$57,0)),"")&lt;&gt;$N37),IFERROR(VALUE(INDEX('Position Relationships'!$B$2:$F$53,MATCH($A37,'Position Relationships'!$A$2:$A$53,0),4)),""),IF(AND(IFERROR(VALUE(INDEX('Position Relationships'!$B$2:$F$53,MATCH($A37,'Position Relationships'!$A$2:$A$53,0),5)),"")&lt;&gt;"",IFERROR(INDEX($N$6:$N$57,MATCH(IFERROR(VALUE(INDEX('Position Relationships'!$B$2:$F$53,MATCH($A37,'Position Relationships'!$A$2:$A$53,0),5)),""),$A$6:$A$57,0)),"")&lt;&gt;"",IFERROR(INDEX($N$6:$N$57,MATCH(IFERROR(VALUE(INDEX('Position Relationships'!$B$2:$F$53,MATCH($A37,'Position Relationships'!$A$2:$A$53,0),5)),""),$A$6:$A$57,0)),"")&lt;&gt;$N37),IFERROR(VALUE(INDEX('Position Relationships'!$B$2:$F$53,MATCH($A37,'Position Relationships'!$A$2:$A$53,0),5)),""),""))))),""))</f>
        <v>35</v>
      </c>
      <c r="P37" s="51" t="str">
        <f aca="false">IF($O37="","",IFERROR(INDEX($F$6:$F$57,MATCH($O37,$A$6:$A$57,0)),""))</f>
        <v>EMP-0136</v>
      </c>
      <c r="Q37" s="52" t="str">
        <f aca="false">IF($A37="","",IF($M37&lt;&gt;"FILLED","POSITION UNFILLED",IF(IFERROR(INDEX('Position Library'!$E$2:$E$53,MATCH($A37,'Position Library'!$A$2:$A$53,0)),"N")&lt;&gt;"Y","NOT REQUIRED",IF(OR($O37="",$P37=""),"RELIEF GAP","COVERED"))))</f>
        <v>COVERED</v>
      </c>
      <c r="R37" s="52" t="str">
        <f aca="false">IF($A37="","",IF($D37&lt;&gt;"Tier 1","N/A",IF(OR($E$2="PM",$E$2="Overnight"),"N/A",IF($H37="3:45 AM","COVERED","OPENING GAP"))))</f>
        <v>N/A</v>
      </c>
      <c r="S37" s="38"/>
    </row>
    <row r="38" customFormat="false" ht="19.5" hidden="false" customHeight="true" outlineLevel="0" collapsed="false">
      <c r="A38" s="29" t="n">
        <v>40</v>
      </c>
      <c r="B38" s="38" t="str">
        <f aca="false">IF($A38="","",IFERROR(INDEX('Position Library'!$B$2:$B$53,MATCH($A38,'Position Library'!$A$2:$A$53,0)),""))</f>
        <v>AGT Level</v>
      </c>
      <c r="C38" s="38" t="str">
        <f aca="false">IF($A38="","",IFERROR(INDEX('Position Library'!$C$2:$C$53,MATCH($A38,'Position Library'!$A$2:$A$53,0)),""))</f>
        <v>T Bridge Landing</v>
      </c>
      <c r="D38" s="29" t="str">
        <f aca="false">IF($A38="","",IFERROR(INDEX('Position Library'!$D$2:$D$53,MATCH($A38,'Position Library'!$A$2:$A$53,0)),""))</f>
        <v>Tier 2</v>
      </c>
      <c r="E38" s="38" t="str">
        <f aca="false">IF($A38="","",IF($A38=45,"Information Desk = Y",IF(OR($A38=4,$A38=8),IF(OR(WEEKDAY($B$2,2)=1,WEEKDAY($B$2,2)=4,WEEKDAY($B$2,2)=5,WEEKDAY($B$2,2)=7),"Main Inside = 3","Main Inside &gt;= 2"),IF(AND($A38&gt;=46,$A38&lt;=52),"Divest = Y","General Qualifications &gt;= 2"))))</f>
        <v>General Qualifications &gt;= 2</v>
      </c>
      <c r="F38" s="29" t="str">
        <f aca="false">IF($A38="","",IFERROR(INDEX('Daily Workforce'!$B$6:$B$205,MATCH(1,Lists!Q34:HH34,0)),""))</f>
        <v>EMP-0065</v>
      </c>
      <c r="G38" s="1" t="str">
        <f aca="false">IF($F38="","",IFERROR(INDEX('Daily Workforce'!$C$6:$C$205,MATCH($F38,'Daily Workforce'!$B$6:$B$205,0)),""))</f>
        <v>Gregory Mallett</v>
      </c>
      <c r="H38" s="29" t="str">
        <f aca="false">IF($F38="","",IFERROR(INDEX('Daily Workforce'!$D$6:$D$205,MATCH($F38,'Daily Workforce'!$B$6:$B$205,0)),""))</f>
        <v>5:45 AM</v>
      </c>
      <c r="I38" s="29" t="str">
        <f aca="false">IF($H38="","",$H38)</f>
        <v>5:45 AM</v>
      </c>
      <c r="J38" s="29" t="str">
        <f aca="false">IF($H38="","",IF($H38="3:45 AM","12:45 PM",IF($H38="5:45 AM","2:45 PM",IF($H38="12:15 PM","9:15 PM",IF($H38="2:00 PM","11:00 PM",IF($H38="9:15 PM","6:15 AM",""))))))</f>
        <v>2:45 PM</v>
      </c>
      <c r="K38" s="29" t="str">
        <f aca="false">IF($F38="","",IFERROR(INDEX('Daily Workforce'!$I$6:$I$205,MATCH($F38,'Daily Workforce'!$B$6:$B$205,0)),""))</f>
        <v>None</v>
      </c>
      <c r="L38" s="39" t="str">
        <f aca="false">IF($A38="","",IF($F38="","NO QUALIFIED EMPLOYEE","QUALIFIED"))</f>
        <v>QUALIFIED</v>
      </c>
      <c r="M38" s="29" t="str">
        <f aca="false">IF($A38="","",IF($F38="","UNFILLED","FILLED"))</f>
        <v>FILLED</v>
      </c>
      <c r="N38" s="43" t="str">
        <f aca="false">IF($F38="","",IF($H38="3:45 AM",IF(OR($K38="8:00 AM",$K38="9:00 AM"),$K38,CHOOSE(MOD(COUNTIF($H$6:$H38,$H38)-1,3)+1,"8:00 AM","8:00 AM","9:00 AM")),IF($H38="5:45 AM",IF(OR($K38="9:00 AM",$K38="10:00 AM"),$K38,CHOOSE(MOD(COUNTIF($H$6:$H38,$H38)-1,3)+1,"10:00 AM","10:00 AM","9:00 AM")),IF(AND($K38&lt;&gt;"",$K38&lt;&gt;"None"),$K38,IF($H38="12:15 PM",CHOOSE(MOD(COUNTIF($H$6:$H38,$H38)-1,2)+1,"4:00 PM","5:00 PM"),IF($H38="2:00 PM",CHOOSE(MOD(COUNTIF($H$6:$H38,$H38)-1,2)+1,"6:00 PM","7:00 PM"),IF($H38="9:15 PM",CHOOSE(MOD(COUNTIF($H$6:$H38,$H38)-1,2)+1,"1:00 AM","2:00 AM"),"")))))))</f>
        <v>10:00 AM</v>
      </c>
      <c r="O38" s="51" t="str">
        <f aca="false">IF($A38="","",IF(IFERROR(INDEX('Position Library'!$E$2:$E$53,MATCH($A38,'Position Library'!$A$2:$A$53,0)),"N")="Y",IF(AND(IFERROR(VALUE(INDEX('Position Relationships'!$B$2:$F$53,MATCH($A38,'Position Relationships'!$A$2:$A$53,0),1)),"")&lt;&gt;"",IFERROR(INDEX($N$6:$N$57,MATCH(IFERROR(VALUE(INDEX('Position Relationships'!$B$2:$F$53,MATCH($A38,'Position Relationships'!$A$2:$A$53,0),1)),""),$A$6:$A$57,0)),"")&lt;&gt;"",IFERROR(INDEX($N$6:$N$57,MATCH(IFERROR(VALUE(INDEX('Position Relationships'!$B$2:$F$53,MATCH($A38,'Position Relationships'!$A$2:$A$53,0),1)),""),$A$6:$A$57,0)),"")&lt;&gt;$N38),IFERROR(VALUE(INDEX('Position Relationships'!$B$2:$F$53,MATCH($A38,'Position Relationships'!$A$2:$A$53,0),1)),""),IF(AND(IFERROR(VALUE(INDEX('Position Relationships'!$B$2:$F$53,MATCH($A38,'Position Relationships'!$A$2:$A$53,0),2)),"")&lt;&gt;"",IFERROR(INDEX($N$6:$N$57,MATCH(IFERROR(VALUE(INDEX('Position Relationships'!$B$2:$F$53,MATCH($A38,'Position Relationships'!$A$2:$A$53,0),2)),""),$A$6:$A$57,0)),"")&lt;&gt;"",IFERROR(INDEX($N$6:$N$57,MATCH(IFERROR(VALUE(INDEX('Position Relationships'!$B$2:$F$53,MATCH($A38,'Position Relationships'!$A$2:$A$53,0),2)),""),$A$6:$A$57,0)),"")&lt;&gt;$N38),IFERROR(VALUE(INDEX('Position Relationships'!$B$2:$F$53,MATCH($A38,'Position Relationships'!$A$2:$A$53,0),2)),""),IF(AND(IFERROR(VALUE(INDEX('Position Relationships'!$B$2:$F$53,MATCH($A38,'Position Relationships'!$A$2:$A$53,0),3)),"")&lt;&gt;"",IFERROR(INDEX($N$6:$N$57,MATCH(IFERROR(VALUE(INDEX('Position Relationships'!$B$2:$F$53,MATCH($A38,'Position Relationships'!$A$2:$A$53,0),3)),""),$A$6:$A$57,0)),"")&lt;&gt;"",IFERROR(INDEX($N$6:$N$57,MATCH(IFERROR(VALUE(INDEX('Position Relationships'!$B$2:$F$53,MATCH($A38,'Position Relationships'!$A$2:$A$53,0),3)),""),$A$6:$A$57,0)),"")&lt;&gt;$N38),IFERROR(VALUE(INDEX('Position Relationships'!$B$2:$F$53,MATCH($A38,'Position Relationships'!$A$2:$A$53,0),3)),""),IF(AND(IFERROR(VALUE(INDEX('Position Relationships'!$B$2:$F$53,MATCH($A38,'Position Relationships'!$A$2:$A$53,0),4)),"")&lt;&gt;"",IFERROR(INDEX($N$6:$N$57,MATCH(IFERROR(VALUE(INDEX('Position Relationships'!$B$2:$F$53,MATCH($A38,'Position Relationships'!$A$2:$A$53,0),4)),""),$A$6:$A$57,0)),"")&lt;&gt;"",IFERROR(INDEX($N$6:$N$57,MATCH(IFERROR(VALUE(INDEX('Position Relationships'!$B$2:$F$53,MATCH($A38,'Position Relationships'!$A$2:$A$53,0),4)),""),$A$6:$A$57,0)),"")&lt;&gt;$N38),IFERROR(VALUE(INDEX('Position Relationships'!$B$2:$F$53,MATCH($A38,'Position Relationships'!$A$2:$A$53,0),4)),""),IF(AND(IFERROR(VALUE(INDEX('Position Relationships'!$B$2:$F$53,MATCH($A38,'Position Relationships'!$A$2:$A$53,0),5)),"")&lt;&gt;"",IFERROR(INDEX($N$6:$N$57,MATCH(IFERROR(VALUE(INDEX('Position Relationships'!$B$2:$F$53,MATCH($A38,'Position Relationships'!$A$2:$A$53,0),5)),""),$A$6:$A$57,0)),"")&lt;&gt;"",IFERROR(INDEX($N$6:$N$57,MATCH(IFERROR(VALUE(INDEX('Position Relationships'!$B$2:$F$53,MATCH($A38,'Position Relationships'!$A$2:$A$53,0),5)),""),$A$6:$A$57,0)),"")&lt;&gt;$N38),IFERROR(VALUE(INDEX('Position Relationships'!$B$2:$F$53,MATCH($A38,'Position Relationships'!$A$2:$A$53,0),5)),""),""))))),""))</f>
        <v/>
      </c>
      <c r="P38" s="51" t="str">
        <f aca="false">IF($O38="","",IFERROR(INDEX($F$6:$F$57,MATCH($O38,$A$6:$A$57,0)),""))</f>
        <v/>
      </c>
      <c r="Q38" s="52" t="str">
        <f aca="false">IF($A38="","",IF($M38&lt;&gt;"FILLED","POSITION UNFILLED",IF(IFERROR(INDEX('Position Library'!$E$2:$E$53,MATCH($A38,'Position Library'!$A$2:$A$53,0)),"N")&lt;&gt;"Y","NOT REQUIRED",IF(OR($O38="",$P38=""),"RELIEF GAP","COVERED"))))</f>
        <v>RELIEF GAP</v>
      </c>
      <c r="R38" s="52" t="str">
        <f aca="false">IF($A38="","",IF($D38&lt;&gt;"Tier 1","N/A",IF(OR($E$2="PM",$E$2="Overnight"),"N/A",IF($H38="3:45 AM","COVERED","OPENING GAP"))))</f>
        <v>N/A</v>
      </c>
      <c r="S38" s="38"/>
    </row>
    <row r="39" customFormat="false" ht="19.5" hidden="false" customHeight="true" outlineLevel="0" collapsed="false">
      <c r="A39" s="29" t="n">
        <v>20</v>
      </c>
      <c r="B39" s="38" t="str">
        <f aca="false">IF($A39="","",IFERROR(INDEX('Position Library'!$B$2:$B$53,MATCH($A39,'Position Library'!$A$2:$A$53,0)),""))</f>
        <v>South Security Checkpoint</v>
      </c>
      <c r="C39" s="38" t="str">
        <f aca="false">IF($A39="","",IFERROR(INDEX('Position Library'!$C$2:$C$53,MATCH($A39,'Position Library'!$A$2:$A$53,0)),""))</f>
        <v>IHOP </v>
      </c>
      <c r="D39" s="29" t="str">
        <f aca="false">IF($A39="","",IFERROR(INDEX('Position Library'!$D$2:$D$53,MATCH($A39,'Position Library'!$A$2:$A$53,0)),""))</f>
        <v>Tier 3</v>
      </c>
      <c r="E39" s="38" t="str">
        <f aca="false">IF($A39="","",IF($A39=45,"Information Desk = Y",IF(OR($A39=4,$A39=8),IF(OR(WEEKDAY($B$2,2)=1,WEEKDAY($B$2,2)=4,WEEKDAY($B$2,2)=5,WEEKDAY($B$2,2)=7),"Main Inside = 3","Main Inside &gt;= 2"),IF(AND($A39&gt;=46,$A39&lt;=52),"Divest = Y","General Qualifications &gt;= 2"))))</f>
        <v>General Qualifications &gt;= 2</v>
      </c>
      <c r="F39" s="29" t="str">
        <f aca="false">IF($A39="","",IFERROR(INDEX('Daily Workforce'!$B$6:$B$205,MATCH(1,Lists!Q35:HH35,0)),""))</f>
        <v>EMP-0066</v>
      </c>
      <c r="G39" s="1" t="str">
        <f aca="false">IF($F39="","",IFERROR(INDEX('Daily Workforce'!$C$6:$C$205,MATCH($F39,'Daily Workforce'!$B$6:$B$205,0)),""))</f>
        <v>Habtewold Daba</v>
      </c>
      <c r="H39" s="29" t="str">
        <f aca="false">IF($F39="","",IFERROR(INDEX('Daily Workforce'!$D$6:$D$205,MATCH($F39,'Daily Workforce'!$B$6:$B$205,0)),""))</f>
        <v>5:45 AM</v>
      </c>
      <c r="I39" s="29" t="str">
        <f aca="false">IF($H39="","",$H39)</f>
        <v>5:45 AM</v>
      </c>
      <c r="J39" s="29" t="str">
        <f aca="false">IF($H39="","",IF($H39="3:45 AM","12:45 PM",IF($H39="5:45 AM","2:45 PM",IF($H39="12:15 PM","9:15 PM",IF($H39="2:00 PM","11:00 PM",IF($H39="9:15 PM","6:15 AM",""))))))</f>
        <v>2:45 PM</v>
      </c>
      <c r="K39" s="29" t="str">
        <f aca="false">IF($F39="","",IFERROR(INDEX('Daily Workforce'!$I$6:$I$205,MATCH($F39,'Daily Workforce'!$B$6:$B$205,0)),""))</f>
        <v>None</v>
      </c>
      <c r="L39" s="39" t="str">
        <f aca="false">IF($A39="","",IF($F39="","NO QUALIFIED EMPLOYEE","QUALIFIED"))</f>
        <v>QUALIFIED</v>
      </c>
      <c r="M39" s="29" t="str">
        <f aca="false">IF($A39="","",IF($F39="","UNFILLED","FILLED"))</f>
        <v>FILLED</v>
      </c>
      <c r="N39" s="43" t="str">
        <f aca="false">IF($F39="","",IF($H39="3:45 AM",IF(OR($K39="8:00 AM",$K39="9:00 AM"),$K39,CHOOSE(MOD(COUNTIF($H$6:$H39,$H39)-1,3)+1,"8:00 AM","8:00 AM","9:00 AM")),IF($H39="5:45 AM",IF(OR($K39="9:00 AM",$K39="10:00 AM"),$K39,CHOOSE(MOD(COUNTIF($H$6:$H39,$H39)-1,3)+1,"10:00 AM","10:00 AM","9:00 AM")),IF(AND($K39&lt;&gt;"",$K39&lt;&gt;"None"),$K39,IF($H39="12:15 PM",CHOOSE(MOD(COUNTIF($H$6:$H39,$H39)-1,2)+1,"4:00 PM","5:00 PM"),IF($H39="2:00 PM",CHOOSE(MOD(COUNTIF($H$6:$H39,$H39)-1,2)+1,"6:00 PM","7:00 PM"),IF($H39="9:15 PM",CHOOSE(MOD(COUNTIF($H$6:$H39,$H39)-1,2)+1,"1:00 AM","2:00 AM"),"")))))))</f>
        <v>10:00 AM</v>
      </c>
      <c r="O39" s="51" t="n">
        <f aca="false">IF($A39="","",IF(IFERROR(INDEX('Position Library'!$E$2:$E$53,MATCH($A39,'Position Library'!$A$2:$A$53,0)),"N")="Y",IF(AND(IFERROR(VALUE(INDEX('Position Relationships'!$B$2:$F$53,MATCH($A39,'Position Relationships'!$A$2:$A$53,0),1)),"")&lt;&gt;"",IFERROR(INDEX($N$6:$N$57,MATCH(IFERROR(VALUE(INDEX('Position Relationships'!$B$2:$F$53,MATCH($A39,'Position Relationships'!$A$2:$A$53,0),1)),""),$A$6:$A$57,0)),"")&lt;&gt;"",IFERROR(INDEX($N$6:$N$57,MATCH(IFERROR(VALUE(INDEX('Position Relationships'!$B$2:$F$53,MATCH($A39,'Position Relationships'!$A$2:$A$53,0),1)),""),$A$6:$A$57,0)),"")&lt;&gt;$N39),IFERROR(VALUE(INDEX('Position Relationships'!$B$2:$F$53,MATCH($A39,'Position Relationships'!$A$2:$A$53,0),1)),""),IF(AND(IFERROR(VALUE(INDEX('Position Relationships'!$B$2:$F$53,MATCH($A39,'Position Relationships'!$A$2:$A$53,0),2)),"")&lt;&gt;"",IFERROR(INDEX($N$6:$N$57,MATCH(IFERROR(VALUE(INDEX('Position Relationships'!$B$2:$F$53,MATCH($A39,'Position Relationships'!$A$2:$A$53,0),2)),""),$A$6:$A$57,0)),"")&lt;&gt;"",IFERROR(INDEX($N$6:$N$57,MATCH(IFERROR(VALUE(INDEX('Position Relationships'!$B$2:$F$53,MATCH($A39,'Position Relationships'!$A$2:$A$53,0),2)),""),$A$6:$A$57,0)),"")&lt;&gt;$N39),IFERROR(VALUE(INDEX('Position Relationships'!$B$2:$F$53,MATCH($A39,'Position Relationships'!$A$2:$A$53,0),2)),""),IF(AND(IFERROR(VALUE(INDEX('Position Relationships'!$B$2:$F$53,MATCH($A39,'Position Relationships'!$A$2:$A$53,0),3)),"")&lt;&gt;"",IFERROR(INDEX($N$6:$N$57,MATCH(IFERROR(VALUE(INDEX('Position Relationships'!$B$2:$F$53,MATCH($A39,'Position Relationships'!$A$2:$A$53,0),3)),""),$A$6:$A$57,0)),"")&lt;&gt;"",IFERROR(INDEX($N$6:$N$57,MATCH(IFERROR(VALUE(INDEX('Position Relationships'!$B$2:$F$53,MATCH($A39,'Position Relationships'!$A$2:$A$53,0),3)),""),$A$6:$A$57,0)),"")&lt;&gt;$N39),IFERROR(VALUE(INDEX('Position Relationships'!$B$2:$F$53,MATCH($A39,'Position Relationships'!$A$2:$A$53,0),3)),""),IF(AND(IFERROR(VALUE(INDEX('Position Relationships'!$B$2:$F$53,MATCH($A39,'Position Relationships'!$A$2:$A$53,0),4)),"")&lt;&gt;"",IFERROR(INDEX($N$6:$N$57,MATCH(IFERROR(VALUE(INDEX('Position Relationships'!$B$2:$F$53,MATCH($A39,'Position Relationships'!$A$2:$A$53,0),4)),""),$A$6:$A$57,0)),"")&lt;&gt;"",IFERROR(INDEX($N$6:$N$57,MATCH(IFERROR(VALUE(INDEX('Position Relationships'!$B$2:$F$53,MATCH($A39,'Position Relationships'!$A$2:$A$53,0),4)),""),$A$6:$A$57,0)),"")&lt;&gt;$N39),IFERROR(VALUE(INDEX('Position Relationships'!$B$2:$F$53,MATCH($A39,'Position Relationships'!$A$2:$A$53,0),4)),""),IF(AND(IFERROR(VALUE(INDEX('Position Relationships'!$B$2:$F$53,MATCH($A39,'Position Relationships'!$A$2:$A$53,0),5)),"")&lt;&gt;"",IFERROR(INDEX($N$6:$N$57,MATCH(IFERROR(VALUE(INDEX('Position Relationships'!$B$2:$F$53,MATCH($A39,'Position Relationships'!$A$2:$A$53,0),5)),""),$A$6:$A$57,0)),"")&lt;&gt;"",IFERROR(INDEX($N$6:$N$57,MATCH(IFERROR(VALUE(INDEX('Position Relationships'!$B$2:$F$53,MATCH($A39,'Position Relationships'!$A$2:$A$53,0),5)),""),$A$6:$A$57,0)),"")&lt;&gt;$N39),IFERROR(VALUE(INDEX('Position Relationships'!$B$2:$F$53,MATCH($A39,'Position Relationships'!$A$2:$A$53,0),5)),""),""))))),""))</f>
        <v>21</v>
      </c>
      <c r="P39" s="51" t="str">
        <f aca="false">IF($O39="","",IFERROR(INDEX($F$6:$F$57,MATCH($O39,$A$6:$A$57,0)),""))</f>
        <v>EMP-0105</v>
      </c>
      <c r="Q39" s="52" t="str">
        <f aca="false">IF($A39="","",IF($M39&lt;&gt;"FILLED","POSITION UNFILLED",IF(IFERROR(INDEX('Position Library'!$E$2:$E$53,MATCH($A39,'Position Library'!$A$2:$A$53,0)),"N")&lt;&gt;"Y","NOT REQUIRED",IF(OR($O39="",$P39=""),"RELIEF GAP","COVERED"))))</f>
        <v>COVERED</v>
      </c>
      <c r="R39" s="52" t="str">
        <f aca="false">IF($A39="","",IF($D39&lt;&gt;"Tier 1","N/A",IF(OR($E$2="PM",$E$2="Overnight"),"N/A",IF($H39="3:45 AM","COVERED","OPENING GAP"))))</f>
        <v>N/A</v>
      </c>
      <c r="S39" s="38"/>
    </row>
    <row r="40" customFormat="false" ht="19.5" hidden="false" customHeight="true" outlineLevel="0" collapsed="false">
      <c r="A40" s="29" t="n">
        <v>27</v>
      </c>
      <c r="B40" s="38" t="str">
        <f aca="false">IF($A40="","",IFERROR(INDEX('Position Library'!$B$2:$B$53,MATCH($A40,'Position Library'!$A$2:$A$53,0)),""))</f>
        <v>North Security Checkpoint</v>
      </c>
      <c r="C40" s="38" t="str">
        <f aca="false">IF($A40="","",IFERROR(INDEX('Position Library'!$C$2:$C$53,MATCH($A40,'Position Library'!$A$2:$A$53,0)),""))</f>
        <v>We Juice It </v>
      </c>
      <c r="D40" s="29" t="str">
        <f aca="false">IF($A40="","",IFERROR(INDEX('Position Library'!$D$2:$D$53,MATCH($A40,'Position Library'!$A$2:$A$53,0)),""))</f>
        <v>Tier 3</v>
      </c>
      <c r="E40" s="38" t="str">
        <f aca="false">IF($A40="","",IF($A40=45,"Information Desk = Y",IF(OR($A40=4,$A40=8),IF(OR(WEEKDAY($B$2,2)=1,WEEKDAY($B$2,2)=4,WEEKDAY($B$2,2)=5,WEEKDAY($B$2,2)=7),"Main Inside = 3","Main Inside &gt;= 2"),IF(AND($A40&gt;=46,$A40&lt;=52),"Divest = Y","General Qualifications &gt;= 2"))))</f>
        <v>General Qualifications &gt;= 2</v>
      </c>
      <c r="F40" s="29" t="str">
        <f aca="false">IF($A40="","",IFERROR(INDEX('Daily Workforce'!$B$6:$B$205,MATCH(1,Lists!Q36:HH36,0)),""))</f>
        <v>EMP-0070</v>
      </c>
      <c r="G40" s="1" t="str">
        <f aca="false">IF($F40="","",IFERROR(INDEX('Daily Workforce'!$C$6:$C$205,MATCH($F40,'Daily Workforce'!$B$6:$B$205,0)),""))</f>
        <v>Isaiah Williams</v>
      </c>
      <c r="H40" s="29" t="str">
        <f aca="false">IF($F40="","",IFERROR(INDEX('Daily Workforce'!$D$6:$D$205,MATCH($F40,'Daily Workforce'!$B$6:$B$205,0)),""))</f>
        <v>5:45 AM</v>
      </c>
      <c r="I40" s="29" t="str">
        <f aca="false">IF($H40="","",$H40)</f>
        <v>5:45 AM</v>
      </c>
      <c r="J40" s="29" t="str">
        <f aca="false">IF($H40="","",IF($H40="3:45 AM","12:45 PM",IF($H40="5:45 AM","2:45 PM",IF($H40="12:15 PM","9:15 PM",IF($H40="2:00 PM","11:00 PM",IF($H40="9:15 PM","6:15 AM",""))))))</f>
        <v>2:45 PM</v>
      </c>
      <c r="K40" s="29" t="str">
        <f aca="false">IF($F40="","",IFERROR(INDEX('Daily Workforce'!$I$6:$I$205,MATCH($F40,'Daily Workforce'!$B$6:$B$205,0)),""))</f>
        <v>None</v>
      </c>
      <c r="L40" s="39" t="str">
        <f aca="false">IF($A40="","",IF($F40="","NO QUALIFIED EMPLOYEE","QUALIFIED"))</f>
        <v>QUALIFIED</v>
      </c>
      <c r="M40" s="29" t="str">
        <f aca="false">IF($A40="","",IF($F40="","UNFILLED","FILLED"))</f>
        <v>FILLED</v>
      </c>
      <c r="N40" s="43" t="str">
        <f aca="false">IF($F40="","",IF($H40="3:45 AM",IF(OR($K40="8:00 AM",$K40="9:00 AM"),$K40,CHOOSE(MOD(COUNTIF($H$6:$H40,$H40)-1,3)+1,"8:00 AM","8:00 AM","9:00 AM")),IF($H40="5:45 AM",IF(OR($K40="9:00 AM",$K40="10:00 AM"),$K40,CHOOSE(MOD(COUNTIF($H$6:$H40,$H40)-1,3)+1,"10:00 AM","10:00 AM","9:00 AM")),IF(AND($K40&lt;&gt;"",$K40&lt;&gt;"None"),$K40,IF($H40="12:15 PM",CHOOSE(MOD(COUNTIF($H$6:$H40,$H40)-1,2)+1,"4:00 PM","5:00 PM"),IF($H40="2:00 PM",CHOOSE(MOD(COUNTIF($H$6:$H40,$H40)-1,2)+1,"6:00 PM","7:00 PM"),IF($H40="9:15 PM",CHOOSE(MOD(COUNTIF($H$6:$H40,$H40)-1,2)+1,"1:00 AM","2:00 AM"),"")))))))</f>
        <v>9:00 AM</v>
      </c>
      <c r="O40" s="51" t="str">
        <f aca="false">IF($A40="","",IF(IFERROR(INDEX('Position Library'!$E$2:$E$53,MATCH($A40,'Position Library'!$A$2:$A$53,0)),"N")="Y",IF(AND(IFERROR(VALUE(INDEX('Position Relationships'!$B$2:$F$53,MATCH($A40,'Position Relationships'!$A$2:$A$53,0),1)),"")&lt;&gt;"",IFERROR(INDEX($N$6:$N$57,MATCH(IFERROR(VALUE(INDEX('Position Relationships'!$B$2:$F$53,MATCH($A40,'Position Relationships'!$A$2:$A$53,0),1)),""),$A$6:$A$57,0)),"")&lt;&gt;"",IFERROR(INDEX($N$6:$N$57,MATCH(IFERROR(VALUE(INDEX('Position Relationships'!$B$2:$F$53,MATCH($A40,'Position Relationships'!$A$2:$A$53,0),1)),""),$A$6:$A$57,0)),"")&lt;&gt;$N40),IFERROR(VALUE(INDEX('Position Relationships'!$B$2:$F$53,MATCH($A40,'Position Relationships'!$A$2:$A$53,0),1)),""),IF(AND(IFERROR(VALUE(INDEX('Position Relationships'!$B$2:$F$53,MATCH($A40,'Position Relationships'!$A$2:$A$53,0),2)),"")&lt;&gt;"",IFERROR(INDEX($N$6:$N$57,MATCH(IFERROR(VALUE(INDEX('Position Relationships'!$B$2:$F$53,MATCH($A40,'Position Relationships'!$A$2:$A$53,0),2)),""),$A$6:$A$57,0)),"")&lt;&gt;"",IFERROR(INDEX($N$6:$N$57,MATCH(IFERROR(VALUE(INDEX('Position Relationships'!$B$2:$F$53,MATCH($A40,'Position Relationships'!$A$2:$A$53,0),2)),""),$A$6:$A$57,0)),"")&lt;&gt;$N40),IFERROR(VALUE(INDEX('Position Relationships'!$B$2:$F$53,MATCH($A40,'Position Relationships'!$A$2:$A$53,0),2)),""),IF(AND(IFERROR(VALUE(INDEX('Position Relationships'!$B$2:$F$53,MATCH($A40,'Position Relationships'!$A$2:$A$53,0),3)),"")&lt;&gt;"",IFERROR(INDEX($N$6:$N$57,MATCH(IFERROR(VALUE(INDEX('Position Relationships'!$B$2:$F$53,MATCH($A40,'Position Relationships'!$A$2:$A$53,0),3)),""),$A$6:$A$57,0)),"")&lt;&gt;"",IFERROR(INDEX($N$6:$N$57,MATCH(IFERROR(VALUE(INDEX('Position Relationships'!$B$2:$F$53,MATCH($A40,'Position Relationships'!$A$2:$A$53,0),3)),""),$A$6:$A$57,0)),"")&lt;&gt;$N40),IFERROR(VALUE(INDEX('Position Relationships'!$B$2:$F$53,MATCH($A40,'Position Relationships'!$A$2:$A$53,0),3)),""),IF(AND(IFERROR(VALUE(INDEX('Position Relationships'!$B$2:$F$53,MATCH($A40,'Position Relationships'!$A$2:$A$53,0),4)),"")&lt;&gt;"",IFERROR(INDEX($N$6:$N$57,MATCH(IFERROR(VALUE(INDEX('Position Relationships'!$B$2:$F$53,MATCH($A40,'Position Relationships'!$A$2:$A$53,0),4)),""),$A$6:$A$57,0)),"")&lt;&gt;"",IFERROR(INDEX($N$6:$N$57,MATCH(IFERROR(VALUE(INDEX('Position Relationships'!$B$2:$F$53,MATCH($A40,'Position Relationships'!$A$2:$A$53,0),4)),""),$A$6:$A$57,0)),"")&lt;&gt;$N40),IFERROR(VALUE(INDEX('Position Relationships'!$B$2:$F$53,MATCH($A40,'Position Relationships'!$A$2:$A$53,0),4)),""),IF(AND(IFERROR(VALUE(INDEX('Position Relationships'!$B$2:$F$53,MATCH($A40,'Position Relationships'!$A$2:$A$53,0),5)),"")&lt;&gt;"",IFERROR(INDEX($N$6:$N$57,MATCH(IFERROR(VALUE(INDEX('Position Relationships'!$B$2:$F$53,MATCH($A40,'Position Relationships'!$A$2:$A$53,0),5)),""),$A$6:$A$57,0)),"")&lt;&gt;"",IFERROR(INDEX($N$6:$N$57,MATCH(IFERROR(VALUE(INDEX('Position Relationships'!$B$2:$F$53,MATCH($A40,'Position Relationships'!$A$2:$A$53,0),5)),""),$A$6:$A$57,0)),"")&lt;&gt;$N40),IFERROR(VALUE(INDEX('Position Relationships'!$B$2:$F$53,MATCH($A40,'Position Relationships'!$A$2:$A$53,0),5)),""),""))))),""))</f>
        <v/>
      </c>
      <c r="P40" s="51" t="str">
        <f aca="false">IF($O40="","",IFERROR(INDEX($F$6:$F$57,MATCH($O40,$A$6:$A$57,0)),""))</f>
        <v/>
      </c>
      <c r="Q40" s="52" t="str">
        <f aca="false">IF($A40="","",IF($M40&lt;&gt;"FILLED","POSITION UNFILLED",IF(IFERROR(INDEX('Position Library'!$E$2:$E$53,MATCH($A40,'Position Library'!$A$2:$A$53,0)),"N")&lt;&gt;"Y","NOT REQUIRED",IF(OR($O40="",$P40=""),"RELIEF GAP","COVERED"))))</f>
        <v>NOT REQUIRED</v>
      </c>
      <c r="R40" s="52" t="str">
        <f aca="false">IF($A40="","",IF($D40&lt;&gt;"Tier 1","N/A",IF(OR($E$2="PM",$E$2="Overnight"),"N/A",IF($H40="3:45 AM","COVERED","OPENING GAP"))))</f>
        <v>N/A</v>
      </c>
      <c r="S40" s="38"/>
    </row>
    <row r="41" customFormat="false" ht="19.5" hidden="false" customHeight="true" outlineLevel="0" collapsed="false">
      <c r="A41" s="29" t="n">
        <v>30</v>
      </c>
      <c r="B41" s="38" t="str">
        <f aca="false">IF($A41="","",IFERROR(INDEX('Position Library'!$B$2:$B$53,MATCH($A41,'Position Library'!$A$2:$A$53,0)),""))</f>
        <v>North Security Checkpoint</v>
      </c>
      <c r="C41" s="38" t="str">
        <f aca="false">IF($A41="","",IFERROR(INDEX('Position Library'!$C$2:$C$53,MATCH($A41,'Position Library'!$A$2:$A$53,0)),""))</f>
        <v>North Corridor</v>
      </c>
      <c r="D41" s="29" t="str">
        <f aca="false">IF($A41="","",IFERROR(INDEX('Position Library'!$D$2:$D$53,MATCH($A41,'Position Library'!$A$2:$A$53,0)),""))</f>
        <v>Tier 3</v>
      </c>
      <c r="E41" s="38" t="str">
        <f aca="false">IF($A41="","",IF($A41=45,"Information Desk = Y",IF(OR($A41=4,$A41=8),IF(OR(WEEKDAY($B$2,2)=1,WEEKDAY($B$2,2)=4,WEEKDAY($B$2,2)=5,WEEKDAY($B$2,2)=7),"Main Inside = 3","Main Inside &gt;= 2"),IF(AND($A41&gt;=46,$A41&lt;=52),"Divest = Y","General Qualifications &gt;= 2"))))</f>
        <v>General Qualifications &gt;= 2</v>
      </c>
      <c r="F41" s="29" t="str">
        <f aca="false">IF($A41="","",IFERROR(INDEX('Daily Workforce'!$B$6:$B$205,MATCH(1,Lists!Q37:HH37,0)),""))</f>
        <v>EMP-0073</v>
      </c>
      <c r="G41" s="1" t="str">
        <f aca="false">IF($F41="","",IFERROR(INDEX('Daily Workforce'!$C$6:$C$205,MATCH($F41,'Daily Workforce'!$B$6:$B$205,0)),""))</f>
        <v>Jacquatta Green</v>
      </c>
      <c r="H41" s="29" t="str">
        <f aca="false">IF($F41="","",IFERROR(INDEX('Daily Workforce'!$D$6:$D$205,MATCH($F41,'Daily Workforce'!$B$6:$B$205,0)),""))</f>
        <v>5:45 AM</v>
      </c>
      <c r="I41" s="29" t="str">
        <f aca="false">IF($H41="","",$H41)</f>
        <v>5:45 AM</v>
      </c>
      <c r="J41" s="29" t="str">
        <f aca="false">IF($H41="","",IF($H41="3:45 AM","12:45 PM",IF($H41="5:45 AM","2:45 PM",IF($H41="12:15 PM","9:15 PM",IF($H41="2:00 PM","11:00 PM",IF($H41="9:15 PM","6:15 AM",""))))))</f>
        <v>2:45 PM</v>
      </c>
      <c r="K41" s="29" t="str">
        <f aca="false">IF($F41="","",IFERROR(INDEX('Daily Workforce'!$I$6:$I$205,MATCH($F41,'Daily Workforce'!$B$6:$B$205,0)),""))</f>
        <v>None</v>
      </c>
      <c r="L41" s="39" t="str">
        <f aca="false">IF($A41="","",IF($F41="","NO QUALIFIED EMPLOYEE","QUALIFIED"))</f>
        <v>QUALIFIED</v>
      </c>
      <c r="M41" s="29" t="str">
        <f aca="false">IF($A41="","",IF($F41="","UNFILLED","FILLED"))</f>
        <v>FILLED</v>
      </c>
      <c r="N41" s="43" t="str">
        <f aca="false">IF($F41="","",IF($H41="3:45 AM",IF(OR($K41="8:00 AM",$K41="9:00 AM"),$K41,CHOOSE(MOD(COUNTIF($H$6:$H41,$H41)-1,3)+1,"8:00 AM","8:00 AM","9:00 AM")),IF($H41="5:45 AM",IF(OR($K41="9:00 AM",$K41="10:00 AM"),$K41,CHOOSE(MOD(COUNTIF($H$6:$H41,$H41)-1,3)+1,"10:00 AM","10:00 AM","9:00 AM")),IF(AND($K41&lt;&gt;"",$K41&lt;&gt;"None"),$K41,IF($H41="12:15 PM",CHOOSE(MOD(COUNTIF($H$6:$H41,$H41)-1,2)+1,"4:00 PM","5:00 PM"),IF($H41="2:00 PM",CHOOSE(MOD(COUNTIF($H$6:$H41,$H41)-1,2)+1,"6:00 PM","7:00 PM"),IF($H41="9:15 PM",CHOOSE(MOD(COUNTIF($H$6:$H41,$H41)-1,2)+1,"1:00 AM","2:00 AM"),"")))))))</f>
        <v>10:00 AM</v>
      </c>
      <c r="O41" s="51" t="n">
        <f aca="false">IF($A41="","",IF(IFERROR(INDEX('Position Library'!$E$2:$E$53,MATCH($A41,'Position Library'!$A$2:$A$53,0)),"N")="Y",IF(AND(IFERROR(VALUE(INDEX('Position Relationships'!$B$2:$F$53,MATCH($A41,'Position Relationships'!$A$2:$A$53,0),1)),"")&lt;&gt;"",IFERROR(INDEX($N$6:$N$57,MATCH(IFERROR(VALUE(INDEX('Position Relationships'!$B$2:$F$53,MATCH($A41,'Position Relationships'!$A$2:$A$53,0),1)),""),$A$6:$A$57,0)),"")&lt;&gt;"",IFERROR(INDEX($N$6:$N$57,MATCH(IFERROR(VALUE(INDEX('Position Relationships'!$B$2:$F$53,MATCH($A41,'Position Relationships'!$A$2:$A$53,0),1)),""),$A$6:$A$57,0)),"")&lt;&gt;$N41),IFERROR(VALUE(INDEX('Position Relationships'!$B$2:$F$53,MATCH($A41,'Position Relationships'!$A$2:$A$53,0),1)),""),IF(AND(IFERROR(VALUE(INDEX('Position Relationships'!$B$2:$F$53,MATCH($A41,'Position Relationships'!$A$2:$A$53,0),2)),"")&lt;&gt;"",IFERROR(INDEX($N$6:$N$57,MATCH(IFERROR(VALUE(INDEX('Position Relationships'!$B$2:$F$53,MATCH($A41,'Position Relationships'!$A$2:$A$53,0),2)),""),$A$6:$A$57,0)),"")&lt;&gt;"",IFERROR(INDEX($N$6:$N$57,MATCH(IFERROR(VALUE(INDEX('Position Relationships'!$B$2:$F$53,MATCH($A41,'Position Relationships'!$A$2:$A$53,0),2)),""),$A$6:$A$57,0)),"")&lt;&gt;$N41),IFERROR(VALUE(INDEX('Position Relationships'!$B$2:$F$53,MATCH($A41,'Position Relationships'!$A$2:$A$53,0),2)),""),IF(AND(IFERROR(VALUE(INDEX('Position Relationships'!$B$2:$F$53,MATCH($A41,'Position Relationships'!$A$2:$A$53,0),3)),"")&lt;&gt;"",IFERROR(INDEX($N$6:$N$57,MATCH(IFERROR(VALUE(INDEX('Position Relationships'!$B$2:$F$53,MATCH($A41,'Position Relationships'!$A$2:$A$53,0),3)),""),$A$6:$A$57,0)),"")&lt;&gt;"",IFERROR(INDEX($N$6:$N$57,MATCH(IFERROR(VALUE(INDEX('Position Relationships'!$B$2:$F$53,MATCH($A41,'Position Relationships'!$A$2:$A$53,0),3)),""),$A$6:$A$57,0)),"")&lt;&gt;$N41),IFERROR(VALUE(INDEX('Position Relationships'!$B$2:$F$53,MATCH($A41,'Position Relationships'!$A$2:$A$53,0),3)),""),IF(AND(IFERROR(VALUE(INDEX('Position Relationships'!$B$2:$F$53,MATCH($A41,'Position Relationships'!$A$2:$A$53,0),4)),"")&lt;&gt;"",IFERROR(INDEX($N$6:$N$57,MATCH(IFERROR(VALUE(INDEX('Position Relationships'!$B$2:$F$53,MATCH($A41,'Position Relationships'!$A$2:$A$53,0),4)),""),$A$6:$A$57,0)),"")&lt;&gt;"",IFERROR(INDEX($N$6:$N$57,MATCH(IFERROR(VALUE(INDEX('Position Relationships'!$B$2:$F$53,MATCH($A41,'Position Relationships'!$A$2:$A$53,0),4)),""),$A$6:$A$57,0)),"")&lt;&gt;$N41),IFERROR(VALUE(INDEX('Position Relationships'!$B$2:$F$53,MATCH($A41,'Position Relationships'!$A$2:$A$53,0),4)),""),IF(AND(IFERROR(VALUE(INDEX('Position Relationships'!$B$2:$F$53,MATCH($A41,'Position Relationships'!$A$2:$A$53,0),5)),"")&lt;&gt;"",IFERROR(INDEX($N$6:$N$57,MATCH(IFERROR(VALUE(INDEX('Position Relationships'!$B$2:$F$53,MATCH($A41,'Position Relationships'!$A$2:$A$53,0),5)),""),$A$6:$A$57,0)),"")&lt;&gt;"",IFERROR(INDEX($N$6:$N$57,MATCH(IFERROR(VALUE(INDEX('Position Relationships'!$B$2:$F$53,MATCH($A41,'Position Relationships'!$A$2:$A$53,0),5)),""),$A$6:$A$57,0)),"")&lt;&gt;$N41),IFERROR(VALUE(INDEX('Position Relationships'!$B$2:$F$53,MATCH($A41,'Position Relationships'!$A$2:$A$53,0),5)),""),""))))),""))</f>
        <v>25</v>
      </c>
      <c r="P41" s="51" t="str">
        <f aca="false">IF($O41="","",IFERROR(INDEX($F$6:$F$57,MATCH($O41,$A$6:$A$57,0)),""))</f>
        <v>EMP-0107</v>
      </c>
      <c r="Q41" s="52" t="str">
        <f aca="false">IF($A41="","",IF($M41&lt;&gt;"FILLED","POSITION UNFILLED",IF(IFERROR(INDEX('Position Library'!$E$2:$E$53,MATCH($A41,'Position Library'!$A$2:$A$53,0)),"N")&lt;&gt;"Y","NOT REQUIRED",IF(OR($O41="",$P41=""),"RELIEF GAP","COVERED"))))</f>
        <v>COVERED</v>
      </c>
      <c r="R41" s="52" t="str">
        <f aca="false">IF($A41="","",IF($D41&lt;&gt;"Tier 1","N/A",IF(OR($E$2="PM",$E$2="Overnight"),"N/A",IF($H41="3:45 AM","COVERED","OPENING GAP"))))</f>
        <v>N/A</v>
      </c>
      <c r="S41" s="38"/>
    </row>
    <row r="42" customFormat="false" ht="19.5" hidden="false" customHeight="true" outlineLevel="0" collapsed="false">
      <c r="A42" s="29" t="n">
        <v>6</v>
      </c>
      <c r="B42" s="38" t="str">
        <f aca="false">IF($A42="","",IFERROR(INDEX('Position Library'!$B$2:$B$53,MATCH($A42,'Position Library'!$A$2:$A$53,0)),""))</f>
        <v>Main Security Checkpoint</v>
      </c>
      <c r="C42" s="38" t="str">
        <f aca="false">IF($A42="","",IFERROR(INDEX('Position Library'!$C$2:$C$53,MATCH($A42,'Position Library'!$A$2:$A$53,0)),""))</f>
        <v>MSC Escalator</v>
      </c>
      <c r="D42" s="29" t="str">
        <f aca="false">IF($A42="","",IFERROR(INDEX('Position Library'!$D$2:$D$53,MATCH($A42,'Position Library'!$A$2:$A$53,0)),""))</f>
        <v>Tier 4</v>
      </c>
      <c r="E42" s="38" t="str">
        <f aca="false">IF($A42="","",IF($A42=45,"Information Desk = Y",IF(OR($A42=4,$A42=8),IF(OR(WEEKDAY($B$2,2)=1,WEEKDAY($B$2,2)=4,WEEKDAY($B$2,2)=5,WEEKDAY($B$2,2)=7),"Main Inside = 3","Main Inside &gt;= 2"),IF(AND($A42&gt;=46,$A42&lt;=52),"Divest = Y","General Qualifications &gt;= 2"))))</f>
        <v>General Qualifications &gt;= 2</v>
      </c>
      <c r="F42" s="29" t="str">
        <f aca="false">IF($A42="","",IFERROR(INDEX('Daily Workforce'!$B$6:$B$205,MATCH(1,Lists!Q38:HH38,0)),""))</f>
        <v>EMP-0074</v>
      </c>
      <c r="G42" s="1" t="str">
        <f aca="false">IF($F42="","",IFERROR(INDEX('Daily Workforce'!$C$6:$C$205,MATCH($F42,'Daily Workforce'!$B$6:$B$205,0)),""))</f>
        <v>Jada Batiste</v>
      </c>
      <c r="H42" s="29" t="str">
        <f aca="false">IF($F42="","",IFERROR(INDEX('Daily Workforce'!$D$6:$D$205,MATCH($F42,'Daily Workforce'!$B$6:$B$205,0)),""))</f>
        <v>5:45 AM</v>
      </c>
      <c r="I42" s="29" t="str">
        <f aca="false">IF($H42="","",$H42)</f>
        <v>5:45 AM</v>
      </c>
      <c r="J42" s="29" t="str">
        <f aca="false">IF($H42="","",IF($H42="3:45 AM","12:45 PM",IF($H42="5:45 AM","2:45 PM",IF($H42="12:15 PM","9:15 PM",IF($H42="2:00 PM","11:00 PM",IF($H42="9:15 PM","6:15 AM",""))))))</f>
        <v>2:45 PM</v>
      </c>
      <c r="K42" s="29" t="str">
        <f aca="false">IF($F42="","",IFERROR(INDEX('Daily Workforce'!$I$6:$I$205,MATCH($F42,'Daily Workforce'!$B$6:$B$205,0)),""))</f>
        <v>None</v>
      </c>
      <c r="L42" s="39" t="str">
        <f aca="false">IF($A42="","",IF($F42="","NO QUALIFIED EMPLOYEE","QUALIFIED"))</f>
        <v>QUALIFIED</v>
      </c>
      <c r="M42" s="29" t="str">
        <f aca="false">IF($A42="","",IF($F42="","UNFILLED","FILLED"))</f>
        <v>FILLED</v>
      </c>
      <c r="N42" s="43" t="str">
        <f aca="false">IF($F42="","",IF($H42="3:45 AM",IF(OR($K42="8:00 AM",$K42="9:00 AM"),$K42,CHOOSE(MOD(COUNTIF($H$6:$H42,$H42)-1,3)+1,"8:00 AM","8:00 AM","9:00 AM")),IF($H42="5:45 AM",IF(OR($K42="9:00 AM",$K42="10:00 AM"),$K42,CHOOSE(MOD(COUNTIF($H$6:$H42,$H42)-1,3)+1,"10:00 AM","10:00 AM","9:00 AM")),IF(AND($K42&lt;&gt;"",$K42&lt;&gt;"None"),$K42,IF($H42="12:15 PM",CHOOSE(MOD(COUNTIF($H$6:$H42,$H42)-1,2)+1,"4:00 PM","5:00 PM"),IF($H42="2:00 PM",CHOOSE(MOD(COUNTIF($H$6:$H42,$H42)-1,2)+1,"6:00 PM","7:00 PM"),IF($H42="9:15 PM",CHOOSE(MOD(COUNTIF($H$6:$H42,$H42)-1,2)+1,"1:00 AM","2:00 AM"),"")))))))</f>
        <v>10:00 AM</v>
      </c>
      <c r="O42" s="51" t="str">
        <f aca="false">IF($A42="","",IF(IFERROR(INDEX('Position Library'!$E$2:$E$53,MATCH($A42,'Position Library'!$A$2:$A$53,0)),"N")="Y",IF(AND(IFERROR(VALUE(INDEX('Position Relationships'!$B$2:$F$53,MATCH($A42,'Position Relationships'!$A$2:$A$53,0),1)),"")&lt;&gt;"",IFERROR(INDEX($N$6:$N$57,MATCH(IFERROR(VALUE(INDEX('Position Relationships'!$B$2:$F$53,MATCH($A42,'Position Relationships'!$A$2:$A$53,0),1)),""),$A$6:$A$57,0)),"")&lt;&gt;"",IFERROR(INDEX($N$6:$N$57,MATCH(IFERROR(VALUE(INDEX('Position Relationships'!$B$2:$F$53,MATCH($A42,'Position Relationships'!$A$2:$A$53,0),1)),""),$A$6:$A$57,0)),"")&lt;&gt;$N42),IFERROR(VALUE(INDEX('Position Relationships'!$B$2:$F$53,MATCH($A42,'Position Relationships'!$A$2:$A$53,0),1)),""),IF(AND(IFERROR(VALUE(INDEX('Position Relationships'!$B$2:$F$53,MATCH($A42,'Position Relationships'!$A$2:$A$53,0),2)),"")&lt;&gt;"",IFERROR(INDEX($N$6:$N$57,MATCH(IFERROR(VALUE(INDEX('Position Relationships'!$B$2:$F$53,MATCH($A42,'Position Relationships'!$A$2:$A$53,0),2)),""),$A$6:$A$57,0)),"")&lt;&gt;"",IFERROR(INDEX($N$6:$N$57,MATCH(IFERROR(VALUE(INDEX('Position Relationships'!$B$2:$F$53,MATCH($A42,'Position Relationships'!$A$2:$A$53,0),2)),""),$A$6:$A$57,0)),"")&lt;&gt;$N42),IFERROR(VALUE(INDEX('Position Relationships'!$B$2:$F$53,MATCH($A42,'Position Relationships'!$A$2:$A$53,0),2)),""),IF(AND(IFERROR(VALUE(INDEX('Position Relationships'!$B$2:$F$53,MATCH($A42,'Position Relationships'!$A$2:$A$53,0),3)),"")&lt;&gt;"",IFERROR(INDEX($N$6:$N$57,MATCH(IFERROR(VALUE(INDEX('Position Relationships'!$B$2:$F$53,MATCH($A42,'Position Relationships'!$A$2:$A$53,0),3)),""),$A$6:$A$57,0)),"")&lt;&gt;"",IFERROR(INDEX($N$6:$N$57,MATCH(IFERROR(VALUE(INDEX('Position Relationships'!$B$2:$F$53,MATCH($A42,'Position Relationships'!$A$2:$A$53,0),3)),""),$A$6:$A$57,0)),"")&lt;&gt;$N42),IFERROR(VALUE(INDEX('Position Relationships'!$B$2:$F$53,MATCH($A42,'Position Relationships'!$A$2:$A$53,0),3)),""),IF(AND(IFERROR(VALUE(INDEX('Position Relationships'!$B$2:$F$53,MATCH($A42,'Position Relationships'!$A$2:$A$53,0),4)),"")&lt;&gt;"",IFERROR(INDEX($N$6:$N$57,MATCH(IFERROR(VALUE(INDEX('Position Relationships'!$B$2:$F$53,MATCH($A42,'Position Relationships'!$A$2:$A$53,0),4)),""),$A$6:$A$57,0)),"")&lt;&gt;"",IFERROR(INDEX($N$6:$N$57,MATCH(IFERROR(VALUE(INDEX('Position Relationships'!$B$2:$F$53,MATCH($A42,'Position Relationships'!$A$2:$A$53,0),4)),""),$A$6:$A$57,0)),"")&lt;&gt;$N42),IFERROR(VALUE(INDEX('Position Relationships'!$B$2:$F$53,MATCH($A42,'Position Relationships'!$A$2:$A$53,0),4)),""),IF(AND(IFERROR(VALUE(INDEX('Position Relationships'!$B$2:$F$53,MATCH($A42,'Position Relationships'!$A$2:$A$53,0),5)),"")&lt;&gt;"",IFERROR(INDEX($N$6:$N$57,MATCH(IFERROR(VALUE(INDEX('Position Relationships'!$B$2:$F$53,MATCH($A42,'Position Relationships'!$A$2:$A$53,0),5)),""),$A$6:$A$57,0)),"")&lt;&gt;"",IFERROR(INDEX($N$6:$N$57,MATCH(IFERROR(VALUE(INDEX('Position Relationships'!$B$2:$F$53,MATCH($A42,'Position Relationships'!$A$2:$A$53,0),5)),""),$A$6:$A$57,0)),"")&lt;&gt;$N42),IFERROR(VALUE(INDEX('Position Relationships'!$B$2:$F$53,MATCH($A42,'Position Relationships'!$A$2:$A$53,0),5)),""),""))))),""))</f>
        <v/>
      </c>
      <c r="P42" s="51" t="str">
        <f aca="false">IF($O42="","",IFERROR(INDEX($F$6:$F$57,MATCH($O42,$A$6:$A$57,0)),""))</f>
        <v/>
      </c>
      <c r="Q42" s="52" t="str">
        <f aca="false">IF($A42="","",IF($M42&lt;&gt;"FILLED","POSITION UNFILLED",IF(IFERROR(INDEX('Position Library'!$E$2:$E$53,MATCH($A42,'Position Library'!$A$2:$A$53,0)),"N")&lt;&gt;"Y","NOT REQUIRED",IF(OR($O42="",$P42=""),"RELIEF GAP","COVERED"))))</f>
        <v>NOT REQUIRED</v>
      </c>
      <c r="R42" s="52" t="str">
        <f aca="false">IF($A42="","",IF($D42&lt;&gt;"Tier 1","N/A",IF(OR($E$2="PM",$E$2="Overnight"),"N/A",IF($H42="3:45 AM","COVERED","OPENING GAP"))))</f>
        <v>N/A</v>
      </c>
      <c r="S42" s="38"/>
    </row>
    <row r="43" customFormat="false" ht="19.5" hidden="false" customHeight="true" outlineLevel="0" collapsed="false">
      <c r="A43" s="29" t="n">
        <v>7</v>
      </c>
      <c r="B43" s="38" t="str">
        <f aca="false">IF($A43="","",IFERROR(INDEX('Position Library'!$B$2:$B$53,MATCH($A43,'Position Library'!$A$2:$A$53,0)),""))</f>
        <v>Main Security Checkpoint</v>
      </c>
      <c r="C43" s="38" t="str">
        <f aca="false">IF($A43="","",IFERROR(INDEX('Position Library'!$C$2:$C$53,MATCH($A43,'Position Library'!$A$2:$A$53,0)),""))</f>
        <v>MSC Escalator </v>
      </c>
      <c r="D43" s="29" t="str">
        <f aca="false">IF($A43="","",IFERROR(INDEX('Position Library'!$D$2:$D$53,MATCH($A43,'Position Library'!$A$2:$A$53,0)),""))</f>
        <v>Tier 4</v>
      </c>
      <c r="E43" s="38" t="str">
        <f aca="false">IF($A43="","",IF($A43=45,"Information Desk = Y",IF(OR($A43=4,$A43=8),IF(OR(WEEKDAY($B$2,2)=1,WEEKDAY($B$2,2)=4,WEEKDAY($B$2,2)=5,WEEKDAY($B$2,2)=7),"Main Inside = 3","Main Inside &gt;= 2"),IF(AND($A43&gt;=46,$A43&lt;=52),"Divest = Y","General Qualifications &gt;= 2"))))</f>
        <v>General Qualifications &gt;= 2</v>
      </c>
      <c r="F43" s="29" t="str">
        <f aca="false">IF($A43="","",IFERROR(INDEX('Daily Workforce'!$B$6:$B$205,MATCH(1,Lists!Q39:HH39,0)),""))</f>
        <v>EMP-0076</v>
      </c>
      <c r="G43" s="1" t="str">
        <f aca="false">IF($F43="","",IFERROR(INDEX('Daily Workforce'!$C$6:$C$205,MATCH($F43,'Daily Workforce'!$B$6:$B$205,0)),""))</f>
        <v>Jamal Reynolds</v>
      </c>
      <c r="H43" s="29" t="str">
        <f aca="false">IF($F43="","",IFERROR(INDEX('Daily Workforce'!$D$6:$D$205,MATCH($F43,'Daily Workforce'!$B$6:$B$205,0)),""))</f>
        <v>5:45 AM</v>
      </c>
      <c r="I43" s="29" t="str">
        <f aca="false">IF($H43="","",$H43)</f>
        <v>5:45 AM</v>
      </c>
      <c r="J43" s="29" t="str">
        <f aca="false">IF($H43="","",IF($H43="3:45 AM","12:45 PM",IF($H43="5:45 AM","2:45 PM",IF($H43="12:15 PM","9:15 PM",IF($H43="2:00 PM","11:00 PM",IF($H43="9:15 PM","6:15 AM",""))))))</f>
        <v>2:45 PM</v>
      </c>
      <c r="K43" s="29" t="str">
        <f aca="false">IF($F43="","",IFERROR(INDEX('Daily Workforce'!$I$6:$I$205,MATCH($F43,'Daily Workforce'!$B$6:$B$205,0)),""))</f>
        <v>None</v>
      </c>
      <c r="L43" s="39" t="str">
        <f aca="false">IF($A43="","",IF($F43="","NO QUALIFIED EMPLOYEE","QUALIFIED"))</f>
        <v>QUALIFIED</v>
      </c>
      <c r="M43" s="29" t="str">
        <f aca="false">IF($A43="","",IF($F43="","UNFILLED","FILLED"))</f>
        <v>FILLED</v>
      </c>
      <c r="N43" s="43" t="str">
        <f aca="false">IF($F43="","",IF($H43="3:45 AM",IF(OR($K43="8:00 AM",$K43="9:00 AM"),$K43,CHOOSE(MOD(COUNTIF($H$6:$H43,$H43)-1,3)+1,"8:00 AM","8:00 AM","9:00 AM")),IF($H43="5:45 AM",IF(OR($K43="9:00 AM",$K43="10:00 AM"),$K43,CHOOSE(MOD(COUNTIF($H$6:$H43,$H43)-1,3)+1,"10:00 AM","10:00 AM","9:00 AM")),IF(AND($K43&lt;&gt;"",$K43&lt;&gt;"None"),$K43,IF($H43="12:15 PM",CHOOSE(MOD(COUNTIF($H$6:$H43,$H43)-1,2)+1,"4:00 PM","5:00 PM"),IF($H43="2:00 PM",CHOOSE(MOD(COUNTIF($H$6:$H43,$H43)-1,2)+1,"6:00 PM","7:00 PM"),IF($H43="9:15 PM",CHOOSE(MOD(COUNTIF($H$6:$H43,$H43)-1,2)+1,"1:00 AM","2:00 AM"),"")))))))</f>
        <v>9:00 AM</v>
      </c>
      <c r="O43" s="51" t="str">
        <f aca="false">IF($A43="","",IF(IFERROR(INDEX('Position Library'!$E$2:$E$53,MATCH($A43,'Position Library'!$A$2:$A$53,0)),"N")="Y",IF(AND(IFERROR(VALUE(INDEX('Position Relationships'!$B$2:$F$53,MATCH($A43,'Position Relationships'!$A$2:$A$53,0),1)),"")&lt;&gt;"",IFERROR(INDEX($N$6:$N$57,MATCH(IFERROR(VALUE(INDEX('Position Relationships'!$B$2:$F$53,MATCH($A43,'Position Relationships'!$A$2:$A$53,0),1)),""),$A$6:$A$57,0)),"")&lt;&gt;"",IFERROR(INDEX($N$6:$N$57,MATCH(IFERROR(VALUE(INDEX('Position Relationships'!$B$2:$F$53,MATCH($A43,'Position Relationships'!$A$2:$A$53,0),1)),""),$A$6:$A$57,0)),"")&lt;&gt;$N43),IFERROR(VALUE(INDEX('Position Relationships'!$B$2:$F$53,MATCH($A43,'Position Relationships'!$A$2:$A$53,0),1)),""),IF(AND(IFERROR(VALUE(INDEX('Position Relationships'!$B$2:$F$53,MATCH($A43,'Position Relationships'!$A$2:$A$53,0),2)),"")&lt;&gt;"",IFERROR(INDEX($N$6:$N$57,MATCH(IFERROR(VALUE(INDEX('Position Relationships'!$B$2:$F$53,MATCH($A43,'Position Relationships'!$A$2:$A$53,0),2)),""),$A$6:$A$57,0)),"")&lt;&gt;"",IFERROR(INDEX($N$6:$N$57,MATCH(IFERROR(VALUE(INDEX('Position Relationships'!$B$2:$F$53,MATCH($A43,'Position Relationships'!$A$2:$A$53,0),2)),""),$A$6:$A$57,0)),"")&lt;&gt;$N43),IFERROR(VALUE(INDEX('Position Relationships'!$B$2:$F$53,MATCH($A43,'Position Relationships'!$A$2:$A$53,0),2)),""),IF(AND(IFERROR(VALUE(INDEX('Position Relationships'!$B$2:$F$53,MATCH($A43,'Position Relationships'!$A$2:$A$53,0),3)),"")&lt;&gt;"",IFERROR(INDEX($N$6:$N$57,MATCH(IFERROR(VALUE(INDEX('Position Relationships'!$B$2:$F$53,MATCH($A43,'Position Relationships'!$A$2:$A$53,0),3)),""),$A$6:$A$57,0)),"")&lt;&gt;"",IFERROR(INDEX($N$6:$N$57,MATCH(IFERROR(VALUE(INDEX('Position Relationships'!$B$2:$F$53,MATCH($A43,'Position Relationships'!$A$2:$A$53,0),3)),""),$A$6:$A$57,0)),"")&lt;&gt;$N43),IFERROR(VALUE(INDEX('Position Relationships'!$B$2:$F$53,MATCH($A43,'Position Relationships'!$A$2:$A$53,0),3)),""),IF(AND(IFERROR(VALUE(INDEX('Position Relationships'!$B$2:$F$53,MATCH($A43,'Position Relationships'!$A$2:$A$53,0),4)),"")&lt;&gt;"",IFERROR(INDEX($N$6:$N$57,MATCH(IFERROR(VALUE(INDEX('Position Relationships'!$B$2:$F$53,MATCH($A43,'Position Relationships'!$A$2:$A$53,0),4)),""),$A$6:$A$57,0)),"")&lt;&gt;"",IFERROR(INDEX($N$6:$N$57,MATCH(IFERROR(VALUE(INDEX('Position Relationships'!$B$2:$F$53,MATCH($A43,'Position Relationships'!$A$2:$A$53,0),4)),""),$A$6:$A$57,0)),"")&lt;&gt;$N43),IFERROR(VALUE(INDEX('Position Relationships'!$B$2:$F$53,MATCH($A43,'Position Relationships'!$A$2:$A$53,0),4)),""),IF(AND(IFERROR(VALUE(INDEX('Position Relationships'!$B$2:$F$53,MATCH($A43,'Position Relationships'!$A$2:$A$53,0),5)),"")&lt;&gt;"",IFERROR(INDEX($N$6:$N$57,MATCH(IFERROR(VALUE(INDEX('Position Relationships'!$B$2:$F$53,MATCH($A43,'Position Relationships'!$A$2:$A$53,0),5)),""),$A$6:$A$57,0)),"")&lt;&gt;"",IFERROR(INDEX($N$6:$N$57,MATCH(IFERROR(VALUE(INDEX('Position Relationships'!$B$2:$F$53,MATCH($A43,'Position Relationships'!$A$2:$A$53,0),5)),""),$A$6:$A$57,0)),"")&lt;&gt;$N43),IFERROR(VALUE(INDEX('Position Relationships'!$B$2:$F$53,MATCH($A43,'Position Relationships'!$A$2:$A$53,0),5)),""),""))))),""))</f>
        <v/>
      </c>
      <c r="P43" s="51" t="str">
        <f aca="false">IF($O43="","",IFERROR(INDEX($F$6:$F$57,MATCH($O43,$A$6:$A$57,0)),""))</f>
        <v/>
      </c>
      <c r="Q43" s="52" t="str">
        <f aca="false">IF($A43="","",IF($M43&lt;&gt;"FILLED","POSITION UNFILLED",IF(IFERROR(INDEX('Position Library'!$E$2:$E$53,MATCH($A43,'Position Library'!$A$2:$A$53,0)),"N")&lt;&gt;"Y","NOT REQUIRED",IF(OR($O43="",$P43=""),"RELIEF GAP","COVERED"))))</f>
        <v>NOT REQUIRED</v>
      </c>
      <c r="R43" s="52" t="str">
        <f aca="false">IF($A43="","",IF($D43&lt;&gt;"Tier 1","N/A",IF(OR($E$2="PM",$E$2="Overnight"),"N/A",IF($H43="3:45 AM","COVERED","OPENING GAP"))))</f>
        <v>N/A</v>
      </c>
      <c r="S43" s="38"/>
    </row>
    <row r="44" customFormat="false" ht="19.5" hidden="false" customHeight="true" outlineLevel="0" collapsed="false">
      <c r="A44" s="29" t="n">
        <v>10</v>
      </c>
      <c r="B44" s="38" t="str">
        <f aca="false">IF($A44="","",IFERROR(INDEX('Position Library'!$B$2:$B$53,MATCH($A44,'Position Library'!$A$2:$A$53,0)),""))</f>
        <v>Atrium</v>
      </c>
      <c r="C44" s="38" t="str">
        <f aca="false">IF($A44="","",IFERROR(INDEX('Position Library'!$C$2:$C$53,MATCH($A44,'Position Library'!$A$2:$A$53,0)),""))</f>
        <v>KIA </v>
      </c>
      <c r="D44" s="29" t="str">
        <f aca="false">IF($A44="","",IFERROR(INDEX('Position Library'!$D$2:$D$53,MATCH($A44,'Position Library'!$A$2:$A$53,0)),""))</f>
        <v>Tier 4</v>
      </c>
      <c r="E44" s="38" t="str">
        <f aca="false">IF($A44="","",IF($A44=45,"Information Desk = Y",IF(OR($A44=4,$A44=8),IF(OR(WEEKDAY($B$2,2)=1,WEEKDAY($B$2,2)=4,WEEKDAY($B$2,2)=5,WEEKDAY($B$2,2)=7),"Main Inside = 3","Main Inside &gt;= 2"),IF(AND($A44&gt;=46,$A44&lt;=52),"Divest = Y","General Qualifications &gt;= 2"))))</f>
        <v>General Qualifications &gt;= 2</v>
      </c>
      <c r="F44" s="29" t="str">
        <f aca="false">IF($A44="","",IFERROR(INDEX('Daily Workforce'!$B$6:$B$205,MATCH(1,Lists!Q40:HH40,0)),""))</f>
        <v>EMP-0086</v>
      </c>
      <c r="G44" s="1" t="str">
        <f aca="false">IF($F44="","",IFERROR(INDEX('Daily Workforce'!$C$6:$C$205,MATCH($F44,'Daily Workforce'!$B$6:$B$205,0)),""))</f>
        <v>Kidest Solomon</v>
      </c>
      <c r="H44" s="29" t="str">
        <f aca="false">IF($F44="","",IFERROR(INDEX('Daily Workforce'!$D$6:$D$205,MATCH($F44,'Daily Workforce'!$B$6:$B$205,0)),""))</f>
        <v>5:45 AM</v>
      </c>
      <c r="I44" s="29" t="str">
        <f aca="false">IF($H44="","",$H44)</f>
        <v>5:45 AM</v>
      </c>
      <c r="J44" s="29" t="str">
        <f aca="false">IF($H44="","",IF($H44="3:45 AM","12:45 PM",IF($H44="5:45 AM","2:45 PM",IF($H44="12:15 PM","9:15 PM",IF($H44="2:00 PM","11:00 PM",IF($H44="9:15 PM","6:15 AM",""))))))</f>
        <v>2:45 PM</v>
      </c>
      <c r="K44" s="29" t="str">
        <f aca="false">IF($F44="","",IFERROR(INDEX('Daily Workforce'!$I$6:$I$205,MATCH($F44,'Daily Workforce'!$B$6:$B$205,0)),""))</f>
        <v>None</v>
      </c>
      <c r="L44" s="39" t="str">
        <f aca="false">IF($A44="","",IF($F44="","NO QUALIFIED EMPLOYEE","QUALIFIED"))</f>
        <v>QUALIFIED</v>
      </c>
      <c r="M44" s="29" t="str">
        <f aca="false">IF($A44="","",IF($F44="","UNFILLED","FILLED"))</f>
        <v>FILLED</v>
      </c>
      <c r="N44" s="43" t="str">
        <f aca="false">IF($F44="","",IF($H44="3:45 AM",IF(OR($K44="8:00 AM",$K44="9:00 AM"),$K44,CHOOSE(MOD(COUNTIF($H$6:$H44,$H44)-1,3)+1,"8:00 AM","8:00 AM","9:00 AM")),IF($H44="5:45 AM",IF(OR($K44="9:00 AM",$K44="10:00 AM"),$K44,CHOOSE(MOD(COUNTIF($H$6:$H44,$H44)-1,3)+1,"10:00 AM","10:00 AM","9:00 AM")),IF(AND($K44&lt;&gt;"",$K44&lt;&gt;"None"),$K44,IF($H44="12:15 PM",CHOOSE(MOD(COUNTIF($H$6:$H44,$H44)-1,2)+1,"4:00 PM","5:00 PM"),IF($H44="2:00 PM",CHOOSE(MOD(COUNTIF($H$6:$H44,$H44)-1,2)+1,"6:00 PM","7:00 PM"),IF($H44="9:15 PM",CHOOSE(MOD(COUNTIF($H$6:$H44,$H44)-1,2)+1,"1:00 AM","2:00 AM"),"")))))))</f>
        <v>10:00 AM</v>
      </c>
      <c r="O44" s="51" t="str">
        <f aca="false">IF($A44="","",IF(IFERROR(INDEX('Position Library'!$E$2:$E$53,MATCH($A44,'Position Library'!$A$2:$A$53,0)),"N")="Y",IF(AND(IFERROR(VALUE(INDEX('Position Relationships'!$B$2:$F$53,MATCH($A44,'Position Relationships'!$A$2:$A$53,0),1)),"")&lt;&gt;"",IFERROR(INDEX($N$6:$N$57,MATCH(IFERROR(VALUE(INDEX('Position Relationships'!$B$2:$F$53,MATCH($A44,'Position Relationships'!$A$2:$A$53,0),1)),""),$A$6:$A$57,0)),"")&lt;&gt;"",IFERROR(INDEX($N$6:$N$57,MATCH(IFERROR(VALUE(INDEX('Position Relationships'!$B$2:$F$53,MATCH($A44,'Position Relationships'!$A$2:$A$53,0),1)),""),$A$6:$A$57,0)),"")&lt;&gt;$N44),IFERROR(VALUE(INDEX('Position Relationships'!$B$2:$F$53,MATCH($A44,'Position Relationships'!$A$2:$A$53,0),1)),""),IF(AND(IFERROR(VALUE(INDEX('Position Relationships'!$B$2:$F$53,MATCH($A44,'Position Relationships'!$A$2:$A$53,0),2)),"")&lt;&gt;"",IFERROR(INDEX($N$6:$N$57,MATCH(IFERROR(VALUE(INDEX('Position Relationships'!$B$2:$F$53,MATCH($A44,'Position Relationships'!$A$2:$A$53,0),2)),""),$A$6:$A$57,0)),"")&lt;&gt;"",IFERROR(INDEX($N$6:$N$57,MATCH(IFERROR(VALUE(INDEX('Position Relationships'!$B$2:$F$53,MATCH($A44,'Position Relationships'!$A$2:$A$53,0),2)),""),$A$6:$A$57,0)),"")&lt;&gt;$N44),IFERROR(VALUE(INDEX('Position Relationships'!$B$2:$F$53,MATCH($A44,'Position Relationships'!$A$2:$A$53,0),2)),""),IF(AND(IFERROR(VALUE(INDEX('Position Relationships'!$B$2:$F$53,MATCH($A44,'Position Relationships'!$A$2:$A$53,0),3)),"")&lt;&gt;"",IFERROR(INDEX($N$6:$N$57,MATCH(IFERROR(VALUE(INDEX('Position Relationships'!$B$2:$F$53,MATCH($A44,'Position Relationships'!$A$2:$A$53,0),3)),""),$A$6:$A$57,0)),"")&lt;&gt;"",IFERROR(INDEX($N$6:$N$57,MATCH(IFERROR(VALUE(INDEX('Position Relationships'!$B$2:$F$53,MATCH($A44,'Position Relationships'!$A$2:$A$53,0),3)),""),$A$6:$A$57,0)),"")&lt;&gt;$N44),IFERROR(VALUE(INDEX('Position Relationships'!$B$2:$F$53,MATCH($A44,'Position Relationships'!$A$2:$A$53,0),3)),""),IF(AND(IFERROR(VALUE(INDEX('Position Relationships'!$B$2:$F$53,MATCH($A44,'Position Relationships'!$A$2:$A$53,0),4)),"")&lt;&gt;"",IFERROR(INDEX($N$6:$N$57,MATCH(IFERROR(VALUE(INDEX('Position Relationships'!$B$2:$F$53,MATCH($A44,'Position Relationships'!$A$2:$A$53,0),4)),""),$A$6:$A$57,0)),"")&lt;&gt;"",IFERROR(INDEX($N$6:$N$57,MATCH(IFERROR(VALUE(INDEX('Position Relationships'!$B$2:$F$53,MATCH($A44,'Position Relationships'!$A$2:$A$53,0),4)),""),$A$6:$A$57,0)),"")&lt;&gt;$N44),IFERROR(VALUE(INDEX('Position Relationships'!$B$2:$F$53,MATCH($A44,'Position Relationships'!$A$2:$A$53,0),4)),""),IF(AND(IFERROR(VALUE(INDEX('Position Relationships'!$B$2:$F$53,MATCH($A44,'Position Relationships'!$A$2:$A$53,0),5)),"")&lt;&gt;"",IFERROR(INDEX($N$6:$N$57,MATCH(IFERROR(VALUE(INDEX('Position Relationships'!$B$2:$F$53,MATCH($A44,'Position Relationships'!$A$2:$A$53,0),5)),""),$A$6:$A$57,0)),"")&lt;&gt;"",IFERROR(INDEX($N$6:$N$57,MATCH(IFERROR(VALUE(INDEX('Position Relationships'!$B$2:$F$53,MATCH($A44,'Position Relationships'!$A$2:$A$53,0),5)),""),$A$6:$A$57,0)),"")&lt;&gt;$N44),IFERROR(VALUE(INDEX('Position Relationships'!$B$2:$F$53,MATCH($A44,'Position Relationships'!$A$2:$A$53,0),5)),""),""))))),""))</f>
        <v/>
      </c>
      <c r="P44" s="51" t="str">
        <f aca="false">IF($O44="","",IFERROR(INDEX($F$6:$F$57,MATCH($O44,$A$6:$A$57,0)),""))</f>
        <v/>
      </c>
      <c r="Q44" s="52" t="str">
        <f aca="false">IF($A44="","",IF($M44&lt;&gt;"FILLED","POSITION UNFILLED",IF(IFERROR(INDEX('Position Library'!$E$2:$E$53,MATCH($A44,'Position Library'!$A$2:$A$53,0)),"N")&lt;&gt;"Y","NOT REQUIRED",IF(OR($O44="",$P44=""),"RELIEF GAP","COVERED"))))</f>
        <v>NOT REQUIRED</v>
      </c>
      <c r="R44" s="52" t="str">
        <f aca="false">IF($A44="","",IF($D44&lt;&gt;"Tier 1","N/A",IF(OR($E$2="PM",$E$2="Overnight"),"N/A",IF($H44="3:45 AM","COVERED","OPENING GAP"))))</f>
        <v>N/A</v>
      </c>
      <c r="S44" s="38"/>
    </row>
    <row r="45" customFormat="false" ht="19.5" hidden="false" customHeight="true" outlineLevel="0" collapsed="false">
      <c r="A45" s="29" t="n">
        <v>11</v>
      </c>
      <c r="B45" s="38" t="str">
        <f aca="false">IF($A45="","",IFERROR(INDEX('Position Library'!$B$2:$B$53,MATCH($A45,'Position Library'!$A$2:$A$53,0)),""))</f>
        <v>Atrium</v>
      </c>
      <c r="C45" s="38" t="str">
        <f aca="false">IF($A45="","",IFERROR(INDEX('Position Library'!$C$2:$C$53,MATCH($A45,'Position Library'!$A$2:$A$53,0)),""))</f>
        <v>West Elevator </v>
      </c>
      <c r="D45" s="29" t="str">
        <f aca="false">IF($A45="","",IFERROR(INDEX('Position Library'!$D$2:$D$53,MATCH($A45,'Position Library'!$A$2:$A$53,0)),""))</f>
        <v>Tier 4</v>
      </c>
      <c r="E45" s="38" t="str">
        <f aca="false">IF($A45="","",IF($A45=45,"Information Desk = Y",IF(OR($A45=4,$A45=8),IF(OR(WEEKDAY($B$2,2)=1,WEEKDAY($B$2,2)=4,WEEKDAY($B$2,2)=5,WEEKDAY($B$2,2)=7),"Main Inside = 3","Main Inside &gt;= 2"),IF(AND($A45&gt;=46,$A45&lt;=52),"Divest = Y","General Qualifications &gt;= 2"))))</f>
        <v>General Qualifications &gt;= 2</v>
      </c>
      <c r="F45" s="29" t="str">
        <f aca="false">IF($A45="","",IFERROR(INDEX('Daily Workforce'!$B$6:$B$205,MATCH(1,Lists!Q41:HH41,0)),""))</f>
        <v>EMP-0088</v>
      </c>
      <c r="G45" s="1" t="str">
        <f aca="false">IF($F45="","",IFERROR(INDEX('Daily Workforce'!$C$6:$C$205,MATCH($F45,'Daily Workforce'!$B$6:$B$205,0)),""))</f>
        <v>Kimberly Smoot</v>
      </c>
      <c r="H45" s="29" t="str">
        <f aca="false">IF($F45="","",IFERROR(INDEX('Daily Workforce'!$D$6:$D$205,MATCH($F45,'Daily Workforce'!$B$6:$B$205,0)),""))</f>
        <v>5:45 AM</v>
      </c>
      <c r="I45" s="29" t="str">
        <f aca="false">IF($H45="","",$H45)</f>
        <v>5:45 AM</v>
      </c>
      <c r="J45" s="29" t="str">
        <f aca="false">IF($H45="","",IF($H45="3:45 AM","12:45 PM",IF($H45="5:45 AM","2:45 PM",IF($H45="12:15 PM","9:15 PM",IF($H45="2:00 PM","11:00 PM",IF($H45="9:15 PM","6:15 AM",""))))))</f>
        <v>2:45 PM</v>
      </c>
      <c r="K45" s="29" t="str">
        <f aca="false">IF($F45="","",IFERROR(INDEX('Daily Workforce'!$I$6:$I$205,MATCH($F45,'Daily Workforce'!$B$6:$B$205,0)),""))</f>
        <v>None</v>
      </c>
      <c r="L45" s="39" t="str">
        <f aca="false">IF($A45="","",IF($F45="","NO QUALIFIED EMPLOYEE","QUALIFIED"))</f>
        <v>QUALIFIED</v>
      </c>
      <c r="M45" s="29" t="str">
        <f aca="false">IF($A45="","",IF($F45="","UNFILLED","FILLED"))</f>
        <v>FILLED</v>
      </c>
      <c r="N45" s="43" t="str">
        <f aca="false">IF($F45="","",IF($H45="3:45 AM",IF(OR($K45="8:00 AM",$K45="9:00 AM"),$K45,CHOOSE(MOD(COUNTIF($H$6:$H45,$H45)-1,3)+1,"8:00 AM","8:00 AM","9:00 AM")),IF($H45="5:45 AM",IF(OR($K45="9:00 AM",$K45="10:00 AM"),$K45,CHOOSE(MOD(COUNTIF($H$6:$H45,$H45)-1,3)+1,"10:00 AM","10:00 AM","9:00 AM")),IF(AND($K45&lt;&gt;"",$K45&lt;&gt;"None"),$K45,IF($H45="12:15 PM",CHOOSE(MOD(COUNTIF($H$6:$H45,$H45)-1,2)+1,"4:00 PM","5:00 PM"),IF($H45="2:00 PM",CHOOSE(MOD(COUNTIF($H$6:$H45,$H45)-1,2)+1,"6:00 PM","7:00 PM"),IF($H45="9:15 PM",CHOOSE(MOD(COUNTIF($H$6:$H45,$H45)-1,2)+1,"1:00 AM","2:00 AM"),"")))))))</f>
        <v>10:00 AM</v>
      </c>
      <c r="O45" s="51" t="str">
        <f aca="false">IF($A45="","",IF(IFERROR(INDEX('Position Library'!$E$2:$E$53,MATCH($A45,'Position Library'!$A$2:$A$53,0)),"N")="Y",IF(AND(IFERROR(VALUE(INDEX('Position Relationships'!$B$2:$F$53,MATCH($A45,'Position Relationships'!$A$2:$A$53,0),1)),"")&lt;&gt;"",IFERROR(INDEX($N$6:$N$57,MATCH(IFERROR(VALUE(INDEX('Position Relationships'!$B$2:$F$53,MATCH($A45,'Position Relationships'!$A$2:$A$53,0),1)),""),$A$6:$A$57,0)),"")&lt;&gt;"",IFERROR(INDEX($N$6:$N$57,MATCH(IFERROR(VALUE(INDEX('Position Relationships'!$B$2:$F$53,MATCH($A45,'Position Relationships'!$A$2:$A$53,0),1)),""),$A$6:$A$57,0)),"")&lt;&gt;$N45),IFERROR(VALUE(INDEX('Position Relationships'!$B$2:$F$53,MATCH($A45,'Position Relationships'!$A$2:$A$53,0),1)),""),IF(AND(IFERROR(VALUE(INDEX('Position Relationships'!$B$2:$F$53,MATCH($A45,'Position Relationships'!$A$2:$A$53,0),2)),"")&lt;&gt;"",IFERROR(INDEX($N$6:$N$57,MATCH(IFERROR(VALUE(INDEX('Position Relationships'!$B$2:$F$53,MATCH($A45,'Position Relationships'!$A$2:$A$53,0),2)),""),$A$6:$A$57,0)),"")&lt;&gt;"",IFERROR(INDEX($N$6:$N$57,MATCH(IFERROR(VALUE(INDEX('Position Relationships'!$B$2:$F$53,MATCH($A45,'Position Relationships'!$A$2:$A$53,0),2)),""),$A$6:$A$57,0)),"")&lt;&gt;$N45),IFERROR(VALUE(INDEX('Position Relationships'!$B$2:$F$53,MATCH($A45,'Position Relationships'!$A$2:$A$53,0),2)),""),IF(AND(IFERROR(VALUE(INDEX('Position Relationships'!$B$2:$F$53,MATCH($A45,'Position Relationships'!$A$2:$A$53,0),3)),"")&lt;&gt;"",IFERROR(INDEX($N$6:$N$57,MATCH(IFERROR(VALUE(INDEX('Position Relationships'!$B$2:$F$53,MATCH($A45,'Position Relationships'!$A$2:$A$53,0),3)),""),$A$6:$A$57,0)),"")&lt;&gt;"",IFERROR(INDEX($N$6:$N$57,MATCH(IFERROR(VALUE(INDEX('Position Relationships'!$B$2:$F$53,MATCH($A45,'Position Relationships'!$A$2:$A$53,0),3)),""),$A$6:$A$57,0)),"")&lt;&gt;$N45),IFERROR(VALUE(INDEX('Position Relationships'!$B$2:$F$53,MATCH($A45,'Position Relationships'!$A$2:$A$53,0),3)),""),IF(AND(IFERROR(VALUE(INDEX('Position Relationships'!$B$2:$F$53,MATCH($A45,'Position Relationships'!$A$2:$A$53,0),4)),"")&lt;&gt;"",IFERROR(INDEX($N$6:$N$57,MATCH(IFERROR(VALUE(INDEX('Position Relationships'!$B$2:$F$53,MATCH($A45,'Position Relationships'!$A$2:$A$53,0),4)),""),$A$6:$A$57,0)),"")&lt;&gt;"",IFERROR(INDEX($N$6:$N$57,MATCH(IFERROR(VALUE(INDEX('Position Relationships'!$B$2:$F$53,MATCH($A45,'Position Relationships'!$A$2:$A$53,0),4)),""),$A$6:$A$57,0)),"")&lt;&gt;$N45),IFERROR(VALUE(INDEX('Position Relationships'!$B$2:$F$53,MATCH($A45,'Position Relationships'!$A$2:$A$53,0),4)),""),IF(AND(IFERROR(VALUE(INDEX('Position Relationships'!$B$2:$F$53,MATCH($A45,'Position Relationships'!$A$2:$A$53,0),5)),"")&lt;&gt;"",IFERROR(INDEX($N$6:$N$57,MATCH(IFERROR(VALUE(INDEX('Position Relationships'!$B$2:$F$53,MATCH($A45,'Position Relationships'!$A$2:$A$53,0),5)),""),$A$6:$A$57,0)),"")&lt;&gt;"",IFERROR(INDEX($N$6:$N$57,MATCH(IFERROR(VALUE(INDEX('Position Relationships'!$B$2:$F$53,MATCH($A45,'Position Relationships'!$A$2:$A$53,0),5)),""),$A$6:$A$57,0)),"")&lt;&gt;$N45),IFERROR(VALUE(INDEX('Position Relationships'!$B$2:$F$53,MATCH($A45,'Position Relationships'!$A$2:$A$53,0),5)),""),""))))),""))</f>
        <v/>
      </c>
      <c r="P45" s="51" t="str">
        <f aca="false">IF($O45="","",IFERROR(INDEX($F$6:$F$57,MATCH($O45,$A$6:$A$57,0)),""))</f>
        <v/>
      </c>
      <c r="Q45" s="52" t="str">
        <f aca="false">IF($A45="","",IF($M45&lt;&gt;"FILLED","POSITION UNFILLED",IF(IFERROR(INDEX('Position Library'!$E$2:$E$53,MATCH($A45,'Position Library'!$A$2:$A$53,0)),"N")&lt;&gt;"Y","NOT REQUIRED",IF(OR($O45="",$P45=""),"RELIEF GAP","COVERED"))))</f>
        <v>NOT REQUIRED</v>
      </c>
      <c r="R45" s="52" t="str">
        <f aca="false">IF($A45="","",IF($D45&lt;&gt;"Tier 1","N/A",IF(OR($E$2="PM",$E$2="Overnight"),"N/A",IF($H45="3:45 AM","COVERED","OPENING GAP"))))</f>
        <v>N/A</v>
      </c>
      <c r="S45" s="38"/>
    </row>
    <row r="46" customFormat="false" ht="19.5" hidden="false" customHeight="true" outlineLevel="0" collapsed="false">
      <c r="A46" s="29" t="n">
        <v>12</v>
      </c>
      <c r="B46" s="38" t="str">
        <f aca="false">IF($A46="","",IFERROR(INDEX('Position Library'!$B$2:$B$53,MATCH($A46,'Position Library'!$A$2:$A$53,0)),""))</f>
        <v>Atrium</v>
      </c>
      <c r="C46" s="38" t="str">
        <f aca="false">IF($A46="","",IFERROR(INDEX('Position Library'!$C$2:$C$53,MATCH($A46,'Position Library'!$A$2:$A$53,0)),""))</f>
        <v>KIA</v>
      </c>
      <c r="D46" s="29" t="str">
        <f aca="false">IF($A46="","",IFERROR(INDEX('Position Library'!$D$2:$D$53,MATCH($A46,'Position Library'!$A$2:$A$53,0)),""))</f>
        <v>Tier 4</v>
      </c>
      <c r="E46" s="38" t="str">
        <f aca="false">IF($A46="","",IF($A46=45,"Information Desk = Y",IF(OR($A46=4,$A46=8),IF(OR(WEEKDAY($B$2,2)=1,WEEKDAY($B$2,2)=4,WEEKDAY($B$2,2)=5,WEEKDAY($B$2,2)=7),"Main Inside = 3","Main Inside &gt;= 2"),IF(AND($A46&gt;=46,$A46&lt;=52),"Divest = Y","General Qualifications &gt;= 2"))))</f>
        <v>General Qualifications &gt;= 2</v>
      </c>
      <c r="F46" s="29" t="str">
        <f aca="false">IF($A46="","",IFERROR(INDEX('Daily Workforce'!$B$6:$B$205,MATCH(1,Lists!Q42:HH42,0)),""))</f>
        <v>EMP-0095</v>
      </c>
      <c r="G46" s="1" t="str">
        <f aca="false">IF($F46="","",IFERROR(INDEX('Daily Workforce'!$C$6:$C$205,MATCH($F46,'Daily Workforce'!$B$6:$B$205,0)),""))</f>
        <v>Linton Brereton</v>
      </c>
      <c r="H46" s="29" t="str">
        <f aca="false">IF($F46="","",IFERROR(INDEX('Daily Workforce'!$D$6:$D$205,MATCH($F46,'Daily Workforce'!$B$6:$B$205,0)),""))</f>
        <v>5:45 AM</v>
      </c>
      <c r="I46" s="29" t="str">
        <f aca="false">IF($H46="","",$H46)</f>
        <v>5:45 AM</v>
      </c>
      <c r="J46" s="29" t="str">
        <f aca="false">IF($H46="","",IF($H46="3:45 AM","12:45 PM",IF($H46="5:45 AM","2:45 PM",IF($H46="12:15 PM","9:15 PM",IF($H46="2:00 PM","11:00 PM",IF($H46="9:15 PM","6:15 AM",""))))))</f>
        <v>2:45 PM</v>
      </c>
      <c r="K46" s="29" t="str">
        <f aca="false">IF($F46="","",IFERROR(INDEX('Daily Workforce'!$I$6:$I$205,MATCH($F46,'Daily Workforce'!$B$6:$B$205,0)),""))</f>
        <v>None</v>
      </c>
      <c r="L46" s="39" t="str">
        <f aca="false">IF($A46="","",IF($F46="","NO QUALIFIED EMPLOYEE","QUALIFIED"))</f>
        <v>QUALIFIED</v>
      </c>
      <c r="M46" s="29" t="str">
        <f aca="false">IF($A46="","",IF($F46="","UNFILLED","FILLED"))</f>
        <v>FILLED</v>
      </c>
      <c r="N46" s="43" t="str">
        <f aca="false">IF($F46="","",IF($H46="3:45 AM",IF(OR($K46="8:00 AM",$K46="9:00 AM"),$K46,CHOOSE(MOD(COUNTIF($H$6:$H46,$H46)-1,3)+1,"8:00 AM","8:00 AM","9:00 AM")),IF($H46="5:45 AM",IF(OR($K46="9:00 AM",$K46="10:00 AM"),$K46,CHOOSE(MOD(COUNTIF($H$6:$H46,$H46)-1,3)+1,"10:00 AM","10:00 AM","9:00 AM")),IF(AND($K46&lt;&gt;"",$K46&lt;&gt;"None"),$K46,IF($H46="12:15 PM",CHOOSE(MOD(COUNTIF($H$6:$H46,$H46)-1,2)+1,"4:00 PM","5:00 PM"),IF($H46="2:00 PM",CHOOSE(MOD(COUNTIF($H$6:$H46,$H46)-1,2)+1,"6:00 PM","7:00 PM"),IF($H46="9:15 PM",CHOOSE(MOD(COUNTIF($H$6:$H46,$H46)-1,2)+1,"1:00 AM","2:00 AM"),"")))))))</f>
        <v>9:00 AM</v>
      </c>
      <c r="O46" s="51" t="str">
        <f aca="false">IF($A46="","",IF(IFERROR(INDEX('Position Library'!$E$2:$E$53,MATCH($A46,'Position Library'!$A$2:$A$53,0)),"N")="Y",IF(AND(IFERROR(VALUE(INDEX('Position Relationships'!$B$2:$F$53,MATCH($A46,'Position Relationships'!$A$2:$A$53,0),1)),"")&lt;&gt;"",IFERROR(INDEX($N$6:$N$57,MATCH(IFERROR(VALUE(INDEX('Position Relationships'!$B$2:$F$53,MATCH($A46,'Position Relationships'!$A$2:$A$53,0),1)),""),$A$6:$A$57,0)),"")&lt;&gt;"",IFERROR(INDEX($N$6:$N$57,MATCH(IFERROR(VALUE(INDEX('Position Relationships'!$B$2:$F$53,MATCH($A46,'Position Relationships'!$A$2:$A$53,0),1)),""),$A$6:$A$57,0)),"")&lt;&gt;$N46),IFERROR(VALUE(INDEX('Position Relationships'!$B$2:$F$53,MATCH($A46,'Position Relationships'!$A$2:$A$53,0),1)),""),IF(AND(IFERROR(VALUE(INDEX('Position Relationships'!$B$2:$F$53,MATCH($A46,'Position Relationships'!$A$2:$A$53,0),2)),"")&lt;&gt;"",IFERROR(INDEX($N$6:$N$57,MATCH(IFERROR(VALUE(INDEX('Position Relationships'!$B$2:$F$53,MATCH($A46,'Position Relationships'!$A$2:$A$53,0),2)),""),$A$6:$A$57,0)),"")&lt;&gt;"",IFERROR(INDEX($N$6:$N$57,MATCH(IFERROR(VALUE(INDEX('Position Relationships'!$B$2:$F$53,MATCH($A46,'Position Relationships'!$A$2:$A$53,0),2)),""),$A$6:$A$57,0)),"")&lt;&gt;$N46),IFERROR(VALUE(INDEX('Position Relationships'!$B$2:$F$53,MATCH($A46,'Position Relationships'!$A$2:$A$53,0),2)),""),IF(AND(IFERROR(VALUE(INDEX('Position Relationships'!$B$2:$F$53,MATCH($A46,'Position Relationships'!$A$2:$A$53,0),3)),"")&lt;&gt;"",IFERROR(INDEX($N$6:$N$57,MATCH(IFERROR(VALUE(INDEX('Position Relationships'!$B$2:$F$53,MATCH($A46,'Position Relationships'!$A$2:$A$53,0),3)),""),$A$6:$A$57,0)),"")&lt;&gt;"",IFERROR(INDEX($N$6:$N$57,MATCH(IFERROR(VALUE(INDEX('Position Relationships'!$B$2:$F$53,MATCH($A46,'Position Relationships'!$A$2:$A$53,0),3)),""),$A$6:$A$57,0)),"")&lt;&gt;$N46),IFERROR(VALUE(INDEX('Position Relationships'!$B$2:$F$53,MATCH($A46,'Position Relationships'!$A$2:$A$53,0),3)),""),IF(AND(IFERROR(VALUE(INDEX('Position Relationships'!$B$2:$F$53,MATCH($A46,'Position Relationships'!$A$2:$A$53,0),4)),"")&lt;&gt;"",IFERROR(INDEX($N$6:$N$57,MATCH(IFERROR(VALUE(INDEX('Position Relationships'!$B$2:$F$53,MATCH($A46,'Position Relationships'!$A$2:$A$53,0),4)),""),$A$6:$A$57,0)),"")&lt;&gt;"",IFERROR(INDEX($N$6:$N$57,MATCH(IFERROR(VALUE(INDEX('Position Relationships'!$B$2:$F$53,MATCH($A46,'Position Relationships'!$A$2:$A$53,0),4)),""),$A$6:$A$57,0)),"")&lt;&gt;$N46),IFERROR(VALUE(INDEX('Position Relationships'!$B$2:$F$53,MATCH($A46,'Position Relationships'!$A$2:$A$53,0),4)),""),IF(AND(IFERROR(VALUE(INDEX('Position Relationships'!$B$2:$F$53,MATCH($A46,'Position Relationships'!$A$2:$A$53,0),5)),"")&lt;&gt;"",IFERROR(INDEX($N$6:$N$57,MATCH(IFERROR(VALUE(INDEX('Position Relationships'!$B$2:$F$53,MATCH($A46,'Position Relationships'!$A$2:$A$53,0),5)),""),$A$6:$A$57,0)),"")&lt;&gt;"",IFERROR(INDEX($N$6:$N$57,MATCH(IFERROR(VALUE(INDEX('Position Relationships'!$B$2:$F$53,MATCH($A46,'Position Relationships'!$A$2:$A$53,0),5)),""),$A$6:$A$57,0)),"")&lt;&gt;$N46),IFERROR(VALUE(INDEX('Position Relationships'!$B$2:$F$53,MATCH($A46,'Position Relationships'!$A$2:$A$53,0),5)),""),""))))),""))</f>
        <v/>
      </c>
      <c r="P46" s="51" t="str">
        <f aca="false">IF($O46="","",IFERROR(INDEX($F$6:$F$57,MATCH($O46,$A$6:$A$57,0)),""))</f>
        <v/>
      </c>
      <c r="Q46" s="52" t="str">
        <f aca="false">IF($A46="","",IF($M46&lt;&gt;"FILLED","POSITION UNFILLED",IF(IFERROR(INDEX('Position Library'!$E$2:$E$53,MATCH($A46,'Position Library'!$A$2:$A$53,0)),"N")&lt;&gt;"Y","NOT REQUIRED",IF(OR($O46="",$P46=""),"RELIEF GAP","COVERED"))))</f>
        <v>NOT REQUIRED</v>
      </c>
      <c r="R46" s="52" t="str">
        <f aca="false">IF($A46="","",IF($D46&lt;&gt;"Tier 1","N/A",IF(OR($E$2="PM",$E$2="Overnight"),"N/A",IF($H46="3:45 AM","COVERED","OPENING GAP"))))</f>
        <v>N/A</v>
      </c>
      <c r="S46" s="38"/>
    </row>
    <row r="47" customFormat="false" ht="19.5" hidden="false" customHeight="true" outlineLevel="0" collapsed="false">
      <c r="A47" s="29" t="n">
        <v>13</v>
      </c>
      <c r="B47" s="38" t="str">
        <f aca="false">IF($A47="","",IFERROR(INDEX('Position Library'!$B$2:$B$53,MATCH($A47,'Position Library'!$A$2:$A$53,0)),""))</f>
        <v>Atrium</v>
      </c>
      <c r="C47" s="38" t="str">
        <f aca="false">IF($A47="","",IFERROR(INDEX('Position Library'!$C$2:$C$53,MATCH($A47,'Position Library'!$A$2:$A$53,0)),""))</f>
        <v>West Elevator</v>
      </c>
      <c r="D47" s="29" t="str">
        <f aca="false">IF($A47="","",IFERROR(INDEX('Position Library'!$D$2:$D$53,MATCH($A47,'Position Library'!$A$2:$A$53,0)),""))</f>
        <v>Tier 4</v>
      </c>
      <c r="E47" s="38" t="str">
        <f aca="false">IF($A47="","",IF($A47=45,"Information Desk = Y",IF(OR($A47=4,$A47=8),IF(OR(WEEKDAY($B$2,2)=1,WEEKDAY($B$2,2)=4,WEEKDAY($B$2,2)=5,WEEKDAY($B$2,2)=7),"Main Inside = 3","Main Inside &gt;= 2"),IF(AND($A47&gt;=46,$A47&lt;=52),"Divest = Y","General Qualifications &gt;= 2"))))</f>
        <v>General Qualifications &gt;= 2</v>
      </c>
      <c r="F47" s="29" t="str">
        <f aca="false">IF($A47="","",IFERROR(INDEX('Daily Workforce'!$B$6:$B$205,MATCH(1,Lists!Q43:HH43,0)),""))</f>
        <v>EMP-0098</v>
      </c>
      <c r="G47" s="1" t="str">
        <f aca="false">IF($F47="","",IFERROR(INDEX('Daily Workforce'!$C$6:$C$205,MATCH($F47,'Daily Workforce'!$B$6:$B$205,0)),""))</f>
        <v>Mamadou Seck</v>
      </c>
      <c r="H47" s="29" t="str">
        <f aca="false">IF($F47="","",IFERROR(INDEX('Daily Workforce'!$D$6:$D$205,MATCH($F47,'Daily Workforce'!$B$6:$B$205,0)),""))</f>
        <v>5:45 AM</v>
      </c>
      <c r="I47" s="29" t="str">
        <f aca="false">IF($H47="","",$H47)</f>
        <v>5:45 AM</v>
      </c>
      <c r="J47" s="29" t="str">
        <f aca="false">IF($H47="","",IF($H47="3:45 AM","12:45 PM",IF($H47="5:45 AM","2:45 PM",IF($H47="12:15 PM","9:15 PM",IF($H47="2:00 PM","11:00 PM",IF($H47="9:15 PM","6:15 AM",""))))))</f>
        <v>2:45 PM</v>
      </c>
      <c r="K47" s="29" t="str">
        <f aca="false">IF($F47="","",IFERROR(INDEX('Daily Workforce'!$I$6:$I$205,MATCH($F47,'Daily Workforce'!$B$6:$B$205,0)),""))</f>
        <v>None</v>
      </c>
      <c r="L47" s="39" t="str">
        <f aca="false">IF($A47="","",IF($F47="","NO QUALIFIED EMPLOYEE","QUALIFIED"))</f>
        <v>QUALIFIED</v>
      </c>
      <c r="M47" s="29" t="str">
        <f aca="false">IF($A47="","",IF($F47="","UNFILLED","FILLED"))</f>
        <v>FILLED</v>
      </c>
      <c r="N47" s="43" t="str">
        <f aca="false">IF($F47="","",IF($H47="3:45 AM",IF(OR($K47="8:00 AM",$K47="9:00 AM"),$K47,CHOOSE(MOD(COUNTIF($H$6:$H47,$H47)-1,3)+1,"8:00 AM","8:00 AM","9:00 AM")),IF($H47="5:45 AM",IF(OR($K47="9:00 AM",$K47="10:00 AM"),$K47,CHOOSE(MOD(COUNTIF($H$6:$H47,$H47)-1,3)+1,"10:00 AM","10:00 AM","9:00 AM")),IF(AND($K47&lt;&gt;"",$K47&lt;&gt;"None"),$K47,IF($H47="12:15 PM",CHOOSE(MOD(COUNTIF($H$6:$H47,$H47)-1,2)+1,"4:00 PM","5:00 PM"),IF($H47="2:00 PM",CHOOSE(MOD(COUNTIF($H$6:$H47,$H47)-1,2)+1,"6:00 PM","7:00 PM"),IF($H47="9:15 PM",CHOOSE(MOD(COUNTIF($H$6:$H47,$H47)-1,2)+1,"1:00 AM","2:00 AM"),"")))))))</f>
        <v>10:00 AM</v>
      </c>
      <c r="O47" s="51" t="str">
        <f aca="false">IF($A47="","",IF(IFERROR(INDEX('Position Library'!$E$2:$E$53,MATCH($A47,'Position Library'!$A$2:$A$53,0)),"N")="Y",IF(AND(IFERROR(VALUE(INDEX('Position Relationships'!$B$2:$F$53,MATCH($A47,'Position Relationships'!$A$2:$A$53,0),1)),"")&lt;&gt;"",IFERROR(INDEX($N$6:$N$57,MATCH(IFERROR(VALUE(INDEX('Position Relationships'!$B$2:$F$53,MATCH($A47,'Position Relationships'!$A$2:$A$53,0),1)),""),$A$6:$A$57,0)),"")&lt;&gt;"",IFERROR(INDEX($N$6:$N$57,MATCH(IFERROR(VALUE(INDEX('Position Relationships'!$B$2:$F$53,MATCH($A47,'Position Relationships'!$A$2:$A$53,0),1)),""),$A$6:$A$57,0)),"")&lt;&gt;$N47),IFERROR(VALUE(INDEX('Position Relationships'!$B$2:$F$53,MATCH($A47,'Position Relationships'!$A$2:$A$53,0),1)),""),IF(AND(IFERROR(VALUE(INDEX('Position Relationships'!$B$2:$F$53,MATCH($A47,'Position Relationships'!$A$2:$A$53,0),2)),"")&lt;&gt;"",IFERROR(INDEX($N$6:$N$57,MATCH(IFERROR(VALUE(INDEX('Position Relationships'!$B$2:$F$53,MATCH($A47,'Position Relationships'!$A$2:$A$53,0),2)),""),$A$6:$A$57,0)),"")&lt;&gt;"",IFERROR(INDEX($N$6:$N$57,MATCH(IFERROR(VALUE(INDEX('Position Relationships'!$B$2:$F$53,MATCH($A47,'Position Relationships'!$A$2:$A$53,0),2)),""),$A$6:$A$57,0)),"")&lt;&gt;$N47),IFERROR(VALUE(INDEX('Position Relationships'!$B$2:$F$53,MATCH($A47,'Position Relationships'!$A$2:$A$53,0),2)),""),IF(AND(IFERROR(VALUE(INDEX('Position Relationships'!$B$2:$F$53,MATCH($A47,'Position Relationships'!$A$2:$A$53,0),3)),"")&lt;&gt;"",IFERROR(INDEX($N$6:$N$57,MATCH(IFERROR(VALUE(INDEX('Position Relationships'!$B$2:$F$53,MATCH($A47,'Position Relationships'!$A$2:$A$53,0),3)),""),$A$6:$A$57,0)),"")&lt;&gt;"",IFERROR(INDEX($N$6:$N$57,MATCH(IFERROR(VALUE(INDEX('Position Relationships'!$B$2:$F$53,MATCH($A47,'Position Relationships'!$A$2:$A$53,0),3)),""),$A$6:$A$57,0)),"")&lt;&gt;$N47),IFERROR(VALUE(INDEX('Position Relationships'!$B$2:$F$53,MATCH($A47,'Position Relationships'!$A$2:$A$53,0),3)),""),IF(AND(IFERROR(VALUE(INDEX('Position Relationships'!$B$2:$F$53,MATCH($A47,'Position Relationships'!$A$2:$A$53,0),4)),"")&lt;&gt;"",IFERROR(INDEX($N$6:$N$57,MATCH(IFERROR(VALUE(INDEX('Position Relationships'!$B$2:$F$53,MATCH($A47,'Position Relationships'!$A$2:$A$53,0),4)),""),$A$6:$A$57,0)),"")&lt;&gt;"",IFERROR(INDEX($N$6:$N$57,MATCH(IFERROR(VALUE(INDEX('Position Relationships'!$B$2:$F$53,MATCH($A47,'Position Relationships'!$A$2:$A$53,0),4)),""),$A$6:$A$57,0)),"")&lt;&gt;$N47),IFERROR(VALUE(INDEX('Position Relationships'!$B$2:$F$53,MATCH($A47,'Position Relationships'!$A$2:$A$53,0),4)),""),IF(AND(IFERROR(VALUE(INDEX('Position Relationships'!$B$2:$F$53,MATCH($A47,'Position Relationships'!$A$2:$A$53,0),5)),"")&lt;&gt;"",IFERROR(INDEX($N$6:$N$57,MATCH(IFERROR(VALUE(INDEX('Position Relationships'!$B$2:$F$53,MATCH($A47,'Position Relationships'!$A$2:$A$53,0),5)),""),$A$6:$A$57,0)),"")&lt;&gt;"",IFERROR(INDEX($N$6:$N$57,MATCH(IFERROR(VALUE(INDEX('Position Relationships'!$B$2:$F$53,MATCH($A47,'Position Relationships'!$A$2:$A$53,0),5)),""),$A$6:$A$57,0)),"")&lt;&gt;$N47),IFERROR(VALUE(INDEX('Position Relationships'!$B$2:$F$53,MATCH($A47,'Position Relationships'!$A$2:$A$53,0),5)),""),""))))),""))</f>
        <v/>
      </c>
      <c r="P47" s="51" t="str">
        <f aca="false">IF($O47="","",IFERROR(INDEX($F$6:$F$57,MATCH($O47,$A$6:$A$57,0)),""))</f>
        <v/>
      </c>
      <c r="Q47" s="52" t="str">
        <f aca="false">IF($A47="","",IF($M47&lt;&gt;"FILLED","POSITION UNFILLED",IF(IFERROR(INDEX('Position Library'!$E$2:$E$53,MATCH($A47,'Position Library'!$A$2:$A$53,0)),"N")&lt;&gt;"Y","NOT REQUIRED",IF(OR($O47="",$P47=""),"RELIEF GAP","COVERED"))))</f>
        <v>NOT REQUIRED</v>
      </c>
      <c r="R47" s="52" t="str">
        <f aca="false">IF($A47="","",IF($D47&lt;&gt;"Tier 1","N/A",IF(OR($E$2="PM",$E$2="Overnight"),"N/A",IF($H47="3:45 AM","COVERED","OPENING GAP"))))</f>
        <v>N/A</v>
      </c>
      <c r="S47" s="38"/>
    </row>
    <row r="48" customFormat="false" ht="19.5" hidden="false" customHeight="true" outlineLevel="0" collapsed="false">
      <c r="A48" s="29" t="n">
        <v>15</v>
      </c>
      <c r="B48" s="38" t="str">
        <f aca="false">IF($A48="","",IFERROR(INDEX('Position Library'!$B$2:$B$53,MATCH($A48,'Position Library'!$A$2:$A$53,0)),""))</f>
        <v>South Security Checkpoint</v>
      </c>
      <c r="C48" s="38" t="str">
        <f aca="false">IF($A48="","",IFERROR(INDEX('Position Library'!$C$2:$C$53,MATCH($A48,'Position Library'!$A$2:$A$53,0)),""))</f>
        <v>Checkpoint – Inside </v>
      </c>
      <c r="D48" s="29" t="str">
        <f aca="false">IF($A48="","",IFERROR(INDEX('Position Library'!$D$2:$D$53,MATCH($A48,'Position Library'!$A$2:$A$53,0)),""))</f>
        <v>Tier 4</v>
      </c>
      <c r="E48" s="38" t="str">
        <f aca="false">IF($A48="","",IF($A48=45,"Information Desk = Y",IF(OR($A48=4,$A48=8),IF(OR(WEEKDAY($B$2,2)=1,WEEKDAY($B$2,2)=4,WEEKDAY($B$2,2)=5,WEEKDAY($B$2,2)=7),"Main Inside = 3","Main Inside &gt;= 2"),IF(AND($A48&gt;=46,$A48&lt;=52),"Divest = Y","General Qualifications &gt;= 2"))))</f>
        <v>General Qualifications &gt;= 2</v>
      </c>
      <c r="F48" s="29" t="str">
        <f aca="false">IF($A48="","",IFERROR(INDEX('Daily Workforce'!$B$6:$B$205,MATCH(1,Lists!Q44:HH44,0)),""))</f>
        <v>EMP-0100</v>
      </c>
      <c r="G48" s="1" t="str">
        <f aca="false">IF($F48="","",IFERROR(INDEX('Daily Workforce'!$C$6:$C$205,MATCH($F48,'Daily Workforce'!$B$6:$B$205,0)),""))</f>
        <v>Marquise Jackson</v>
      </c>
      <c r="H48" s="29" t="str">
        <f aca="false">IF($F48="","",IFERROR(INDEX('Daily Workforce'!$D$6:$D$205,MATCH($F48,'Daily Workforce'!$B$6:$B$205,0)),""))</f>
        <v>5:45 AM</v>
      </c>
      <c r="I48" s="29" t="str">
        <f aca="false">IF($H48="","",$H48)</f>
        <v>5:45 AM</v>
      </c>
      <c r="J48" s="29" t="str">
        <f aca="false">IF($H48="","",IF($H48="3:45 AM","12:45 PM",IF($H48="5:45 AM","2:45 PM",IF($H48="12:15 PM","9:15 PM",IF($H48="2:00 PM","11:00 PM",IF($H48="9:15 PM","6:15 AM",""))))))</f>
        <v>2:45 PM</v>
      </c>
      <c r="K48" s="29" t="str">
        <f aca="false">IF($F48="","",IFERROR(INDEX('Daily Workforce'!$I$6:$I$205,MATCH($F48,'Daily Workforce'!$B$6:$B$205,0)),""))</f>
        <v>None</v>
      </c>
      <c r="L48" s="39" t="str">
        <f aca="false">IF($A48="","",IF($F48="","NO QUALIFIED EMPLOYEE","QUALIFIED"))</f>
        <v>QUALIFIED</v>
      </c>
      <c r="M48" s="29" t="str">
        <f aca="false">IF($A48="","",IF($F48="","UNFILLED","FILLED"))</f>
        <v>FILLED</v>
      </c>
      <c r="N48" s="43" t="str">
        <f aca="false">IF($F48="","",IF($H48="3:45 AM",IF(OR($K48="8:00 AM",$K48="9:00 AM"),$K48,CHOOSE(MOD(COUNTIF($H$6:$H48,$H48)-1,3)+1,"8:00 AM","8:00 AM","9:00 AM")),IF($H48="5:45 AM",IF(OR($K48="9:00 AM",$K48="10:00 AM"),$K48,CHOOSE(MOD(COUNTIF($H$6:$H48,$H48)-1,3)+1,"10:00 AM","10:00 AM","9:00 AM")),IF(AND($K48&lt;&gt;"",$K48&lt;&gt;"None"),$K48,IF($H48="12:15 PM",CHOOSE(MOD(COUNTIF($H$6:$H48,$H48)-1,2)+1,"4:00 PM","5:00 PM"),IF($H48="2:00 PM",CHOOSE(MOD(COUNTIF($H$6:$H48,$H48)-1,2)+1,"6:00 PM","7:00 PM"),IF($H48="9:15 PM",CHOOSE(MOD(COUNTIF($H$6:$H48,$H48)-1,2)+1,"1:00 AM","2:00 AM"),"")))))))</f>
        <v>10:00 AM</v>
      </c>
      <c r="O48" s="51" t="n">
        <f aca="false">IF($A48="","",IF(IFERROR(INDEX('Position Library'!$E$2:$E$53,MATCH($A48,'Position Library'!$A$2:$A$53,0)),"N")="Y",IF(AND(IFERROR(VALUE(INDEX('Position Relationships'!$B$2:$F$53,MATCH($A48,'Position Relationships'!$A$2:$A$53,0),1)),"")&lt;&gt;"",IFERROR(INDEX($N$6:$N$57,MATCH(IFERROR(VALUE(INDEX('Position Relationships'!$B$2:$F$53,MATCH($A48,'Position Relationships'!$A$2:$A$53,0),1)),""),$A$6:$A$57,0)),"")&lt;&gt;"",IFERROR(INDEX($N$6:$N$57,MATCH(IFERROR(VALUE(INDEX('Position Relationships'!$B$2:$F$53,MATCH($A48,'Position Relationships'!$A$2:$A$53,0),1)),""),$A$6:$A$57,0)),"")&lt;&gt;$N48),IFERROR(VALUE(INDEX('Position Relationships'!$B$2:$F$53,MATCH($A48,'Position Relationships'!$A$2:$A$53,0),1)),""),IF(AND(IFERROR(VALUE(INDEX('Position Relationships'!$B$2:$F$53,MATCH($A48,'Position Relationships'!$A$2:$A$53,0),2)),"")&lt;&gt;"",IFERROR(INDEX($N$6:$N$57,MATCH(IFERROR(VALUE(INDEX('Position Relationships'!$B$2:$F$53,MATCH($A48,'Position Relationships'!$A$2:$A$53,0),2)),""),$A$6:$A$57,0)),"")&lt;&gt;"",IFERROR(INDEX($N$6:$N$57,MATCH(IFERROR(VALUE(INDEX('Position Relationships'!$B$2:$F$53,MATCH($A48,'Position Relationships'!$A$2:$A$53,0),2)),""),$A$6:$A$57,0)),"")&lt;&gt;$N48),IFERROR(VALUE(INDEX('Position Relationships'!$B$2:$F$53,MATCH($A48,'Position Relationships'!$A$2:$A$53,0),2)),""),IF(AND(IFERROR(VALUE(INDEX('Position Relationships'!$B$2:$F$53,MATCH($A48,'Position Relationships'!$A$2:$A$53,0),3)),"")&lt;&gt;"",IFERROR(INDEX($N$6:$N$57,MATCH(IFERROR(VALUE(INDEX('Position Relationships'!$B$2:$F$53,MATCH($A48,'Position Relationships'!$A$2:$A$53,0),3)),""),$A$6:$A$57,0)),"")&lt;&gt;"",IFERROR(INDEX($N$6:$N$57,MATCH(IFERROR(VALUE(INDEX('Position Relationships'!$B$2:$F$53,MATCH($A48,'Position Relationships'!$A$2:$A$53,0),3)),""),$A$6:$A$57,0)),"")&lt;&gt;$N48),IFERROR(VALUE(INDEX('Position Relationships'!$B$2:$F$53,MATCH($A48,'Position Relationships'!$A$2:$A$53,0),3)),""),IF(AND(IFERROR(VALUE(INDEX('Position Relationships'!$B$2:$F$53,MATCH($A48,'Position Relationships'!$A$2:$A$53,0),4)),"")&lt;&gt;"",IFERROR(INDEX($N$6:$N$57,MATCH(IFERROR(VALUE(INDEX('Position Relationships'!$B$2:$F$53,MATCH($A48,'Position Relationships'!$A$2:$A$53,0),4)),""),$A$6:$A$57,0)),"")&lt;&gt;"",IFERROR(INDEX($N$6:$N$57,MATCH(IFERROR(VALUE(INDEX('Position Relationships'!$B$2:$F$53,MATCH($A48,'Position Relationships'!$A$2:$A$53,0),4)),""),$A$6:$A$57,0)),"")&lt;&gt;$N48),IFERROR(VALUE(INDEX('Position Relationships'!$B$2:$F$53,MATCH($A48,'Position Relationships'!$A$2:$A$53,0),4)),""),IF(AND(IFERROR(VALUE(INDEX('Position Relationships'!$B$2:$F$53,MATCH($A48,'Position Relationships'!$A$2:$A$53,0),5)),"")&lt;&gt;"",IFERROR(INDEX($N$6:$N$57,MATCH(IFERROR(VALUE(INDEX('Position Relationships'!$B$2:$F$53,MATCH($A48,'Position Relationships'!$A$2:$A$53,0),5)),""),$A$6:$A$57,0)),"")&lt;&gt;"",IFERROR(INDEX($N$6:$N$57,MATCH(IFERROR(VALUE(INDEX('Position Relationships'!$B$2:$F$53,MATCH($A48,'Position Relationships'!$A$2:$A$53,0),5)),""),$A$6:$A$57,0)),"")&lt;&gt;$N48),IFERROR(VALUE(INDEX('Position Relationships'!$B$2:$F$53,MATCH($A48,'Position Relationships'!$A$2:$A$53,0),5)),""),""))))),""))</f>
        <v>14</v>
      </c>
      <c r="P48" s="51" t="str">
        <f aca="false">IF($O48="","",IFERROR(INDEX($F$6:$F$57,MATCH($O48,$A$6:$A$57,0)),""))</f>
        <v>EMP-0087</v>
      </c>
      <c r="Q48" s="52" t="str">
        <f aca="false">IF($A48="","",IF($M48&lt;&gt;"FILLED","POSITION UNFILLED",IF(IFERROR(INDEX('Position Library'!$E$2:$E$53,MATCH($A48,'Position Library'!$A$2:$A$53,0)),"N")&lt;&gt;"Y","NOT REQUIRED",IF(OR($O48="",$P48=""),"RELIEF GAP","COVERED"))))</f>
        <v>COVERED</v>
      </c>
      <c r="R48" s="52" t="str">
        <f aca="false">IF($A48="","",IF($D48&lt;&gt;"Tier 1","N/A",IF(OR($E$2="PM",$E$2="Overnight"),"N/A",IF($H48="3:45 AM","COVERED","OPENING GAP"))))</f>
        <v>N/A</v>
      </c>
      <c r="S48" s="38"/>
    </row>
    <row r="49" customFormat="false" ht="19.5" hidden="false" customHeight="true" outlineLevel="0" collapsed="false">
      <c r="A49" s="29" t="n">
        <v>21</v>
      </c>
      <c r="B49" s="38" t="str">
        <f aca="false">IF($A49="","",IFERROR(INDEX('Position Library'!$B$2:$B$53,MATCH($A49,'Position Library'!$A$2:$A$53,0)),""))</f>
        <v>South Security Checkpoint</v>
      </c>
      <c r="C49" s="38" t="str">
        <f aca="false">IF($A49="","",IFERROR(INDEX('Position Library'!$C$2:$C$53,MATCH($A49,'Position Library'!$A$2:$A$53,0)),""))</f>
        <v>Piedmont / West Crossover</v>
      </c>
      <c r="D49" s="29" t="str">
        <f aca="false">IF($A49="","",IFERROR(INDEX('Position Library'!$D$2:$D$53,MATCH($A49,'Position Library'!$A$2:$A$53,0)),""))</f>
        <v>Tier 4</v>
      </c>
      <c r="E49" s="38" t="str">
        <f aca="false">IF($A49="","",IF($A49=45,"Information Desk = Y",IF(OR($A49=4,$A49=8),IF(OR(WEEKDAY($B$2,2)=1,WEEKDAY($B$2,2)=4,WEEKDAY($B$2,2)=5,WEEKDAY($B$2,2)=7),"Main Inside = 3","Main Inside &gt;= 2"),IF(AND($A49&gt;=46,$A49&lt;=52),"Divest = Y","General Qualifications &gt;= 2"))))</f>
        <v>General Qualifications &gt;= 2</v>
      </c>
      <c r="F49" s="29" t="str">
        <f aca="false">IF($A49="","",IFERROR(INDEX('Daily Workforce'!$B$6:$B$205,MATCH(1,Lists!Q45:HH45,0)),""))</f>
        <v>EMP-0105</v>
      </c>
      <c r="G49" s="1" t="str">
        <f aca="false">IF($F49="","",IFERROR(INDEX('Daily Workforce'!$C$6:$C$205,MATCH($F49,'Daily Workforce'!$B$6:$B$205,0)),""))</f>
        <v>Mildred Tarres</v>
      </c>
      <c r="H49" s="29" t="str">
        <f aca="false">IF($F49="","",IFERROR(INDEX('Daily Workforce'!$D$6:$D$205,MATCH($F49,'Daily Workforce'!$B$6:$B$205,0)),""))</f>
        <v>5:45 AM</v>
      </c>
      <c r="I49" s="29" t="str">
        <f aca="false">IF($H49="","",$H49)</f>
        <v>5:45 AM</v>
      </c>
      <c r="J49" s="29" t="str">
        <f aca="false">IF($H49="","",IF($H49="3:45 AM","12:45 PM",IF($H49="5:45 AM","2:45 PM",IF($H49="12:15 PM","9:15 PM",IF($H49="2:00 PM","11:00 PM",IF($H49="9:15 PM","6:15 AM",""))))))</f>
        <v>2:45 PM</v>
      </c>
      <c r="K49" s="29" t="str">
        <f aca="false">IF($F49="","",IFERROR(INDEX('Daily Workforce'!$I$6:$I$205,MATCH($F49,'Daily Workforce'!$B$6:$B$205,0)),""))</f>
        <v>None</v>
      </c>
      <c r="L49" s="39" t="str">
        <f aca="false">IF($A49="","",IF($F49="","NO QUALIFIED EMPLOYEE","QUALIFIED"))</f>
        <v>QUALIFIED</v>
      </c>
      <c r="M49" s="29" t="str">
        <f aca="false">IF($A49="","",IF($F49="","UNFILLED","FILLED"))</f>
        <v>FILLED</v>
      </c>
      <c r="N49" s="43" t="str">
        <f aca="false">IF($F49="","",IF($H49="3:45 AM",IF(OR($K49="8:00 AM",$K49="9:00 AM"),$K49,CHOOSE(MOD(COUNTIF($H$6:$H49,$H49)-1,3)+1,"8:00 AM","8:00 AM","9:00 AM")),IF($H49="5:45 AM",IF(OR($K49="9:00 AM",$K49="10:00 AM"),$K49,CHOOSE(MOD(COUNTIF($H$6:$H49,$H49)-1,3)+1,"10:00 AM","10:00 AM","9:00 AM")),IF(AND($K49&lt;&gt;"",$K49&lt;&gt;"None"),$K49,IF($H49="12:15 PM",CHOOSE(MOD(COUNTIF($H$6:$H49,$H49)-1,2)+1,"4:00 PM","5:00 PM"),IF($H49="2:00 PM",CHOOSE(MOD(COUNTIF($H$6:$H49,$H49)-1,2)+1,"6:00 PM","7:00 PM"),IF($H49="9:15 PM",CHOOSE(MOD(COUNTIF($H$6:$H49,$H49)-1,2)+1,"1:00 AM","2:00 AM"),"")))))))</f>
        <v>9:00 AM</v>
      </c>
      <c r="O49" s="51" t="str">
        <f aca="false">IF($A49="","",IF(IFERROR(INDEX('Position Library'!$E$2:$E$53,MATCH($A49,'Position Library'!$A$2:$A$53,0)),"N")="Y",IF(AND(IFERROR(VALUE(INDEX('Position Relationships'!$B$2:$F$53,MATCH($A49,'Position Relationships'!$A$2:$A$53,0),1)),"")&lt;&gt;"",IFERROR(INDEX($N$6:$N$57,MATCH(IFERROR(VALUE(INDEX('Position Relationships'!$B$2:$F$53,MATCH($A49,'Position Relationships'!$A$2:$A$53,0),1)),""),$A$6:$A$57,0)),"")&lt;&gt;"",IFERROR(INDEX($N$6:$N$57,MATCH(IFERROR(VALUE(INDEX('Position Relationships'!$B$2:$F$53,MATCH($A49,'Position Relationships'!$A$2:$A$53,0),1)),""),$A$6:$A$57,0)),"")&lt;&gt;$N49),IFERROR(VALUE(INDEX('Position Relationships'!$B$2:$F$53,MATCH($A49,'Position Relationships'!$A$2:$A$53,0),1)),""),IF(AND(IFERROR(VALUE(INDEX('Position Relationships'!$B$2:$F$53,MATCH($A49,'Position Relationships'!$A$2:$A$53,0),2)),"")&lt;&gt;"",IFERROR(INDEX($N$6:$N$57,MATCH(IFERROR(VALUE(INDEX('Position Relationships'!$B$2:$F$53,MATCH($A49,'Position Relationships'!$A$2:$A$53,0),2)),""),$A$6:$A$57,0)),"")&lt;&gt;"",IFERROR(INDEX($N$6:$N$57,MATCH(IFERROR(VALUE(INDEX('Position Relationships'!$B$2:$F$53,MATCH($A49,'Position Relationships'!$A$2:$A$53,0),2)),""),$A$6:$A$57,0)),"")&lt;&gt;$N49),IFERROR(VALUE(INDEX('Position Relationships'!$B$2:$F$53,MATCH($A49,'Position Relationships'!$A$2:$A$53,0),2)),""),IF(AND(IFERROR(VALUE(INDEX('Position Relationships'!$B$2:$F$53,MATCH($A49,'Position Relationships'!$A$2:$A$53,0),3)),"")&lt;&gt;"",IFERROR(INDEX($N$6:$N$57,MATCH(IFERROR(VALUE(INDEX('Position Relationships'!$B$2:$F$53,MATCH($A49,'Position Relationships'!$A$2:$A$53,0),3)),""),$A$6:$A$57,0)),"")&lt;&gt;"",IFERROR(INDEX($N$6:$N$57,MATCH(IFERROR(VALUE(INDEX('Position Relationships'!$B$2:$F$53,MATCH($A49,'Position Relationships'!$A$2:$A$53,0),3)),""),$A$6:$A$57,0)),"")&lt;&gt;$N49),IFERROR(VALUE(INDEX('Position Relationships'!$B$2:$F$53,MATCH($A49,'Position Relationships'!$A$2:$A$53,0),3)),""),IF(AND(IFERROR(VALUE(INDEX('Position Relationships'!$B$2:$F$53,MATCH($A49,'Position Relationships'!$A$2:$A$53,0),4)),"")&lt;&gt;"",IFERROR(INDEX($N$6:$N$57,MATCH(IFERROR(VALUE(INDEX('Position Relationships'!$B$2:$F$53,MATCH($A49,'Position Relationships'!$A$2:$A$53,0),4)),""),$A$6:$A$57,0)),"")&lt;&gt;"",IFERROR(INDEX($N$6:$N$57,MATCH(IFERROR(VALUE(INDEX('Position Relationships'!$B$2:$F$53,MATCH($A49,'Position Relationships'!$A$2:$A$53,0),4)),""),$A$6:$A$57,0)),"")&lt;&gt;$N49),IFERROR(VALUE(INDEX('Position Relationships'!$B$2:$F$53,MATCH($A49,'Position Relationships'!$A$2:$A$53,0),4)),""),IF(AND(IFERROR(VALUE(INDEX('Position Relationships'!$B$2:$F$53,MATCH($A49,'Position Relationships'!$A$2:$A$53,0),5)),"")&lt;&gt;"",IFERROR(INDEX($N$6:$N$57,MATCH(IFERROR(VALUE(INDEX('Position Relationships'!$B$2:$F$53,MATCH($A49,'Position Relationships'!$A$2:$A$53,0),5)),""),$A$6:$A$57,0)),"")&lt;&gt;"",IFERROR(INDEX($N$6:$N$57,MATCH(IFERROR(VALUE(INDEX('Position Relationships'!$B$2:$F$53,MATCH($A49,'Position Relationships'!$A$2:$A$53,0),5)),""),$A$6:$A$57,0)),"")&lt;&gt;$N49),IFERROR(VALUE(INDEX('Position Relationships'!$B$2:$F$53,MATCH($A49,'Position Relationships'!$A$2:$A$53,0),5)),""),""))))),""))</f>
        <v/>
      </c>
      <c r="P49" s="51" t="str">
        <f aca="false">IF($O49="","",IFERROR(INDEX($F$6:$F$57,MATCH($O49,$A$6:$A$57,0)),""))</f>
        <v/>
      </c>
      <c r="Q49" s="52" t="str">
        <f aca="false">IF($A49="","",IF($M49&lt;&gt;"FILLED","POSITION UNFILLED",IF(IFERROR(INDEX('Position Library'!$E$2:$E$53,MATCH($A49,'Position Library'!$A$2:$A$53,0)),"N")&lt;&gt;"Y","NOT REQUIRED",IF(OR($O49="",$P49=""),"RELIEF GAP","COVERED"))))</f>
        <v>NOT REQUIRED</v>
      </c>
      <c r="R49" s="52" t="str">
        <f aca="false">IF($A49="","",IF($D49&lt;&gt;"Tier 1","N/A",IF(OR($E$2="PM",$E$2="Overnight"),"N/A",IF($H49="3:45 AM","COVERED","OPENING GAP"))))</f>
        <v>N/A</v>
      </c>
      <c r="S49" s="38"/>
    </row>
    <row r="50" customFormat="false" ht="19.5" hidden="false" customHeight="true" outlineLevel="0" collapsed="false">
      <c r="A50" s="29" t="n">
        <v>22</v>
      </c>
      <c r="B50" s="38" t="str">
        <f aca="false">IF($A50="","",IFERROR(INDEX('Position Library'!$B$2:$B$53,MATCH($A50,'Position Library'!$A$2:$A$53,0)),""))</f>
        <v>South Security Checkpoint</v>
      </c>
      <c r="C50" s="38" t="str">
        <f aca="false">IF($A50="","",IFERROR(INDEX('Position Library'!$C$2:$C$53,MATCH($A50,'Position Library'!$A$2:$A$53,0)),""))</f>
        <v>West Crossover </v>
      </c>
      <c r="D50" s="29" t="str">
        <f aca="false">IF($A50="","",IFERROR(INDEX('Position Library'!$D$2:$D$53,MATCH($A50,'Position Library'!$A$2:$A$53,0)),""))</f>
        <v>Tier 4</v>
      </c>
      <c r="E50" s="38" t="str">
        <f aca="false">IF($A50="","",IF($A50=45,"Information Desk = Y",IF(OR($A50=4,$A50=8),IF(OR(WEEKDAY($B$2,2)=1,WEEKDAY($B$2,2)=4,WEEKDAY($B$2,2)=5,WEEKDAY($B$2,2)=7),"Main Inside = 3","Main Inside &gt;= 2"),IF(AND($A50&gt;=46,$A50&lt;=52),"Divest = Y","General Qualifications &gt;= 2"))))</f>
        <v>General Qualifications &gt;= 2</v>
      </c>
      <c r="F50" s="29" t="str">
        <f aca="false">IF($A50="","",IFERROR(INDEX('Daily Workforce'!$B$6:$B$205,MATCH(1,Lists!Q46:HH46,0)),""))</f>
        <v>EMP-0127</v>
      </c>
      <c r="G50" s="1" t="str">
        <f aca="false">IF($F50="","",IFERROR(INDEX('Daily Workforce'!$C$6:$C$205,MATCH($F50,'Daily Workforce'!$B$6:$B$205,0)),""))</f>
        <v>Samiroe Ford</v>
      </c>
      <c r="H50" s="29" t="str">
        <f aca="false">IF($F50="","",IFERROR(INDEX('Daily Workforce'!$D$6:$D$205,MATCH($F50,'Daily Workforce'!$B$6:$B$205,0)),""))</f>
        <v>5:45 AM</v>
      </c>
      <c r="I50" s="29" t="str">
        <f aca="false">IF($H50="","",$H50)</f>
        <v>5:45 AM</v>
      </c>
      <c r="J50" s="29" t="str">
        <f aca="false">IF($H50="","",IF($H50="3:45 AM","12:45 PM",IF($H50="5:45 AM","2:45 PM",IF($H50="12:15 PM","9:15 PM",IF($H50="2:00 PM","11:00 PM",IF($H50="9:15 PM","6:15 AM",""))))))</f>
        <v>2:45 PM</v>
      </c>
      <c r="K50" s="29" t="str">
        <f aca="false">IF($F50="","",IFERROR(INDEX('Daily Workforce'!$I$6:$I$205,MATCH($F50,'Daily Workforce'!$B$6:$B$205,0)),""))</f>
        <v>None</v>
      </c>
      <c r="L50" s="39" t="str">
        <f aca="false">IF($A50="","",IF($F50="","NO QUALIFIED EMPLOYEE","QUALIFIED"))</f>
        <v>QUALIFIED</v>
      </c>
      <c r="M50" s="29" t="str">
        <f aca="false">IF($A50="","",IF($F50="","UNFILLED","FILLED"))</f>
        <v>FILLED</v>
      </c>
      <c r="N50" s="43" t="str">
        <f aca="false">IF($F50="","",IF($H50="3:45 AM",IF(OR($K50="8:00 AM",$K50="9:00 AM"),$K50,CHOOSE(MOD(COUNTIF($H$6:$H50,$H50)-1,3)+1,"8:00 AM","8:00 AM","9:00 AM")),IF($H50="5:45 AM",IF(OR($K50="9:00 AM",$K50="10:00 AM"),$K50,CHOOSE(MOD(COUNTIF($H$6:$H50,$H50)-1,3)+1,"10:00 AM","10:00 AM","9:00 AM")),IF(AND($K50&lt;&gt;"",$K50&lt;&gt;"None"),$K50,IF($H50="12:15 PM",CHOOSE(MOD(COUNTIF($H$6:$H50,$H50)-1,2)+1,"4:00 PM","5:00 PM"),IF($H50="2:00 PM",CHOOSE(MOD(COUNTIF($H$6:$H50,$H50)-1,2)+1,"6:00 PM","7:00 PM"),IF($H50="9:15 PM",CHOOSE(MOD(COUNTIF($H$6:$H50,$H50)-1,2)+1,"1:00 AM","2:00 AM"),"")))))))</f>
        <v>10:00 AM</v>
      </c>
      <c r="O50" s="51" t="str">
        <f aca="false">IF($A50="","",IF(IFERROR(INDEX('Position Library'!$E$2:$E$53,MATCH($A50,'Position Library'!$A$2:$A$53,0)),"N")="Y",IF(AND(IFERROR(VALUE(INDEX('Position Relationships'!$B$2:$F$53,MATCH($A50,'Position Relationships'!$A$2:$A$53,0),1)),"")&lt;&gt;"",IFERROR(INDEX($N$6:$N$57,MATCH(IFERROR(VALUE(INDEX('Position Relationships'!$B$2:$F$53,MATCH($A50,'Position Relationships'!$A$2:$A$53,0),1)),""),$A$6:$A$57,0)),"")&lt;&gt;"",IFERROR(INDEX($N$6:$N$57,MATCH(IFERROR(VALUE(INDEX('Position Relationships'!$B$2:$F$53,MATCH($A50,'Position Relationships'!$A$2:$A$53,0),1)),""),$A$6:$A$57,0)),"")&lt;&gt;$N50),IFERROR(VALUE(INDEX('Position Relationships'!$B$2:$F$53,MATCH($A50,'Position Relationships'!$A$2:$A$53,0),1)),""),IF(AND(IFERROR(VALUE(INDEX('Position Relationships'!$B$2:$F$53,MATCH($A50,'Position Relationships'!$A$2:$A$53,0),2)),"")&lt;&gt;"",IFERROR(INDEX($N$6:$N$57,MATCH(IFERROR(VALUE(INDEX('Position Relationships'!$B$2:$F$53,MATCH($A50,'Position Relationships'!$A$2:$A$53,0),2)),""),$A$6:$A$57,0)),"")&lt;&gt;"",IFERROR(INDEX($N$6:$N$57,MATCH(IFERROR(VALUE(INDEX('Position Relationships'!$B$2:$F$53,MATCH($A50,'Position Relationships'!$A$2:$A$53,0),2)),""),$A$6:$A$57,0)),"")&lt;&gt;$N50),IFERROR(VALUE(INDEX('Position Relationships'!$B$2:$F$53,MATCH($A50,'Position Relationships'!$A$2:$A$53,0),2)),""),IF(AND(IFERROR(VALUE(INDEX('Position Relationships'!$B$2:$F$53,MATCH($A50,'Position Relationships'!$A$2:$A$53,0),3)),"")&lt;&gt;"",IFERROR(INDEX($N$6:$N$57,MATCH(IFERROR(VALUE(INDEX('Position Relationships'!$B$2:$F$53,MATCH($A50,'Position Relationships'!$A$2:$A$53,0),3)),""),$A$6:$A$57,0)),"")&lt;&gt;"",IFERROR(INDEX($N$6:$N$57,MATCH(IFERROR(VALUE(INDEX('Position Relationships'!$B$2:$F$53,MATCH($A50,'Position Relationships'!$A$2:$A$53,0),3)),""),$A$6:$A$57,0)),"")&lt;&gt;$N50),IFERROR(VALUE(INDEX('Position Relationships'!$B$2:$F$53,MATCH($A50,'Position Relationships'!$A$2:$A$53,0),3)),""),IF(AND(IFERROR(VALUE(INDEX('Position Relationships'!$B$2:$F$53,MATCH($A50,'Position Relationships'!$A$2:$A$53,0),4)),"")&lt;&gt;"",IFERROR(INDEX($N$6:$N$57,MATCH(IFERROR(VALUE(INDEX('Position Relationships'!$B$2:$F$53,MATCH($A50,'Position Relationships'!$A$2:$A$53,0),4)),""),$A$6:$A$57,0)),"")&lt;&gt;"",IFERROR(INDEX($N$6:$N$57,MATCH(IFERROR(VALUE(INDEX('Position Relationships'!$B$2:$F$53,MATCH($A50,'Position Relationships'!$A$2:$A$53,0),4)),""),$A$6:$A$57,0)),"")&lt;&gt;$N50),IFERROR(VALUE(INDEX('Position Relationships'!$B$2:$F$53,MATCH($A50,'Position Relationships'!$A$2:$A$53,0),4)),""),IF(AND(IFERROR(VALUE(INDEX('Position Relationships'!$B$2:$F$53,MATCH($A50,'Position Relationships'!$A$2:$A$53,0),5)),"")&lt;&gt;"",IFERROR(INDEX($N$6:$N$57,MATCH(IFERROR(VALUE(INDEX('Position Relationships'!$B$2:$F$53,MATCH($A50,'Position Relationships'!$A$2:$A$53,0),5)),""),$A$6:$A$57,0)),"")&lt;&gt;"",IFERROR(INDEX($N$6:$N$57,MATCH(IFERROR(VALUE(INDEX('Position Relationships'!$B$2:$F$53,MATCH($A50,'Position Relationships'!$A$2:$A$53,0),5)),""),$A$6:$A$57,0)),"")&lt;&gt;$N50),IFERROR(VALUE(INDEX('Position Relationships'!$B$2:$F$53,MATCH($A50,'Position Relationships'!$A$2:$A$53,0),5)),""),""))))),""))</f>
        <v/>
      </c>
      <c r="P50" s="51" t="str">
        <f aca="false">IF($O50="","",IFERROR(INDEX($F$6:$F$57,MATCH($O50,$A$6:$A$57,0)),""))</f>
        <v/>
      </c>
      <c r="Q50" s="52" t="str">
        <f aca="false">IF($A50="","",IF($M50&lt;&gt;"FILLED","POSITION UNFILLED",IF(IFERROR(INDEX('Position Library'!$E$2:$E$53,MATCH($A50,'Position Library'!$A$2:$A$53,0)),"N")&lt;&gt;"Y","NOT REQUIRED",IF(OR($O50="",$P50=""),"RELIEF GAP","COVERED"))))</f>
        <v>NOT REQUIRED</v>
      </c>
      <c r="R50" s="52" t="str">
        <f aca="false">IF($A50="","",IF($D50&lt;&gt;"Tier 1","N/A",IF(OR($E$2="PM",$E$2="Overnight"),"N/A",IF($H50="3:45 AM","COVERED","OPENING GAP"))))</f>
        <v>N/A</v>
      </c>
      <c r="S50" s="38"/>
    </row>
    <row r="51" customFormat="false" ht="19.5" hidden="false" customHeight="true" outlineLevel="0" collapsed="false">
      <c r="A51" s="29" t="n">
        <v>23</v>
      </c>
      <c r="B51" s="38" t="str">
        <f aca="false">IF($A51="","",IFERROR(INDEX('Position Library'!$B$2:$B$53,MATCH($A51,'Position Library'!$A$2:$A$53,0)),""))</f>
        <v>South Security Checkpoint</v>
      </c>
      <c r="C51" s="38" t="str">
        <f aca="false">IF($A51="","",IFERROR(INDEX('Position Library'!$C$2:$C$53,MATCH($A51,'Position Library'!$A$2:$A$53,0)),""))</f>
        <v>West Crossover </v>
      </c>
      <c r="D51" s="29" t="str">
        <f aca="false">IF($A51="","",IFERROR(INDEX('Position Library'!$D$2:$D$53,MATCH($A51,'Position Library'!$A$2:$A$53,0)),""))</f>
        <v>Tier 4</v>
      </c>
      <c r="E51" s="38" t="str">
        <f aca="false">IF($A51="","",IF($A51=45,"Information Desk = Y",IF(OR($A51=4,$A51=8),IF(OR(WEEKDAY($B$2,2)=1,WEEKDAY($B$2,2)=4,WEEKDAY($B$2,2)=5,WEEKDAY($B$2,2)=7),"Main Inside = 3","Main Inside &gt;= 2"),IF(AND($A51&gt;=46,$A51&lt;=52),"Divest = Y","General Qualifications &gt;= 2"))))</f>
        <v>General Qualifications &gt;= 2</v>
      </c>
      <c r="F51" s="29" t="str">
        <f aca="false">IF($A51="","",IFERROR(INDEX('Daily Workforce'!$B$6:$B$205,MATCH(1,Lists!Q47:HH47,0)),""))</f>
        <v>EMP-0128</v>
      </c>
      <c r="G51" s="1" t="str">
        <f aca="false">IF($F51="","",IFERROR(INDEX('Daily Workforce'!$C$6:$C$205,MATCH($F51,'Daily Workforce'!$B$6:$B$205,0)),""))</f>
        <v>Sandra Gerson</v>
      </c>
      <c r="H51" s="29" t="str">
        <f aca="false">IF($F51="","",IFERROR(INDEX('Daily Workforce'!$D$6:$D$205,MATCH($F51,'Daily Workforce'!$B$6:$B$205,0)),""))</f>
        <v>5:45 AM</v>
      </c>
      <c r="I51" s="29" t="str">
        <f aca="false">IF($H51="","",$H51)</f>
        <v>5:45 AM</v>
      </c>
      <c r="J51" s="29" t="str">
        <f aca="false">IF($H51="","",IF($H51="3:45 AM","12:45 PM",IF($H51="5:45 AM","2:45 PM",IF($H51="12:15 PM","9:15 PM",IF($H51="2:00 PM","11:00 PM",IF($H51="9:15 PM","6:15 AM",""))))))</f>
        <v>2:45 PM</v>
      </c>
      <c r="K51" s="29" t="str">
        <f aca="false">IF($F51="","",IFERROR(INDEX('Daily Workforce'!$I$6:$I$205,MATCH($F51,'Daily Workforce'!$B$6:$B$205,0)),""))</f>
        <v>None</v>
      </c>
      <c r="L51" s="39" t="str">
        <f aca="false">IF($A51="","",IF($F51="","NO QUALIFIED EMPLOYEE","QUALIFIED"))</f>
        <v>QUALIFIED</v>
      </c>
      <c r="M51" s="29" t="str">
        <f aca="false">IF($A51="","",IF($F51="","UNFILLED","FILLED"))</f>
        <v>FILLED</v>
      </c>
      <c r="N51" s="43" t="str">
        <f aca="false">IF($F51="","",IF($H51="3:45 AM",IF(OR($K51="8:00 AM",$K51="9:00 AM"),$K51,CHOOSE(MOD(COUNTIF($H$6:$H51,$H51)-1,3)+1,"8:00 AM","8:00 AM","9:00 AM")),IF($H51="5:45 AM",IF(OR($K51="9:00 AM",$K51="10:00 AM"),$K51,CHOOSE(MOD(COUNTIF($H$6:$H51,$H51)-1,3)+1,"10:00 AM","10:00 AM","9:00 AM")),IF(AND($K51&lt;&gt;"",$K51&lt;&gt;"None"),$K51,IF($H51="12:15 PM",CHOOSE(MOD(COUNTIF($H$6:$H51,$H51)-1,2)+1,"4:00 PM","5:00 PM"),IF($H51="2:00 PM",CHOOSE(MOD(COUNTIF($H$6:$H51,$H51)-1,2)+1,"6:00 PM","7:00 PM"),IF($H51="9:15 PM",CHOOSE(MOD(COUNTIF($H$6:$H51,$H51)-1,2)+1,"1:00 AM","2:00 AM"),"")))))))</f>
        <v>10:00 AM</v>
      </c>
      <c r="O51" s="51" t="str">
        <f aca="false">IF($A51="","",IF(IFERROR(INDEX('Position Library'!$E$2:$E$53,MATCH($A51,'Position Library'!$A$2:$A$53,0)),"N")="Y",IF(AND(IFERROR(VALUE(INDEX('Position Relationships'!$B$2:$F$53,MATCH($A51,'Position Relationships'!$A$2:$A$53,0),1)),"")&lt;&gt;"",IFERROR(INDEX($N$6:$N$57,MATCH(IFERROR(VALUE(INDEX('Position Relationships'!$B$2:$F$53,MATCH($A51,'Position Relationships'!$A$2:$A$53,0),1)),""),$A$6:$A$57,0)),"")&lt;&gt;"",IFERROR(INDEX($N$6:$N$57,MATCH(IFERROR(VALUE(INDEX('Position Relationships'!$B$2:$F$53,MATCH($A51,'Position Relationships'!$A$2:$A$53,0),1)),""),$A$6:$A$57,0)),"")&lt;&gt;$N51),IFERROR(VALUE(INDEX('Position Relationships'!$B$2:$F$53,MATCH($A51,'Position Relationships'!$A$2:$A$53,0),1)),""),IF(AND(IFERROR(VALUE(INDEX('Position Relationships'!$B$2:$F$53,MATCH($A51,'Position Relationships'!$A$2:$A$53,0),2)),"")&lt;&gt;"",IFERROR(INDEX($N$6:$N$57,MATCH(IFERROR(VALUE(INDEX('Position Relationships'!$B$2:$F$53,MATCH($A51,'Position Relationships'!$A$2:$A$53,0),2)),""),$A$6:$A$57,0)),"")&lt;&gt;"",IFERROR(INDEX($N$6:$N$57,MATCH(IFERROR(VALUE(INDEX('Position Relationships'!$B$2:$F$53,MATCH($A51,'Position Relationships'!$A$2:$A$53,0),2)),""),$A$6:$A$57,0)),"")&lt;&gt;$N51),IFERROR(VALUE(INDEX('Position Relationships'!$B$2:$F$53,MATCH($A51,'Position Relationships'!$A$2:$A$53,0),2)),""),IF(AND(IFERROR(VALUE(INDEX('Position Relationships'!$B$2:$F$53,MATCH($A51,'Position Relationships'!$A$2:$A$53,0),3)),"")&lt;&gt;"",IFERROR(INDEX($N$6:$N$57,MATCH(IFERROR(VALUE(INDEX('Position Relationships'!$B$2:$F$53,MATCH($A51,'Position Relationships'!$A$2:$A$53,0),3)),""),$A$6:$A$57,0)),"")&lt;&gt;"",IFERROR(INDEX($N$6:$N$57,MATCH(IFERROR(VALUE(INDEX('Position Relationships'!$B$2:$F$53,MATCH($A51,'Position Relationships'!$A$2:$A$53,0),3)),""),$A$6:$A$57,0)),"")&lt;&gt;$N51),IFERROR(VALUE(INDEX('Position Relationships'!$B$2:$F$53,MATCH($A51,'Position Relationships'!$A$2:$A$53,0),3)),""),IF(AND(IFERROR(VALUE(INDEX('Position Relationships'!$B$2:$F$53,MATCH($A51,'Position Relationships'!$A$2:$A$53,0),4)),"")&lt;&gt;"",IFERROR(INDEX($N$6:$N$57,MATCH(IFERROR(VALUE(INDEX('Position Relationships'!$B$2:$F$53,MATCH($A51,'Position Relationships'!$A$2:$A$53,0),4)),""),$A$6:$A$57,0)),"")&lt;&gt;"",IFERROR(INDEX($N$6:$N$57,MATCH(IFERROR(VALUE(INDEX('Position Relationships'!$B$2:$F$53,MATCH($A51,'Position Relationships'!$A$2:$A$53,0),4)),""),$A$6:$A$57,0)),"")&lt;&gt;$N51),IFERROR(VALUE(INDEX('Position Relationships'!$B$2:$F$53,MATCH($A51,'Position Relationships'!$A$2:$A$53,0),4)),""),IF(AND(IFERROR(VALUE(INDEX('Position Relationships'!$B$2:$F$53,MATCH($A51,'Position Relationships'!$A$2:$A$53,0),5)),"")&lt;&gt;"",IFERROR(INDEX($N$6:$N$57,MATCH(IFERROR(VALUE(INDEX('Position Relationships'!$B$2:$F$53,MATCH($A51,'Position Relationships'!$A$2:$A$53,0),5)),""),$A$6:$A$57,0)),"")&lt;&gt;"",IFERROR(INDEX($N$6:$N$57,MATCH(IFERROR(VALUE(INDEX('Position Relationships'!$B$2:$F$53,MATCH($A51,'Position Relationships'!$A$2:$A$53,0),5)),""),$A$6:$A$57,0)),"")&lt;&gt;$N51),IFERROR(VALUE(INDEX('Position Relationships'!$B$2:$F$53,MATCH($A51,'Position Relationships'!$A$2:$A$53,0),5)),""),""))))),""))</f>
        <v/>
      </c>
      <c r="P51" s="51" t="str">
        <f aca="false">IF($O51="","",IFERROR(INDEX($F$6:$F$57,MATCH($O51,$A$6:$A$57,0)),""))</f>
        <v/>
      </c>
      <c r="Q51" s="52" t="str">
        <f aca="false">IF($A51="","",IF($M51&lt;&gt;"FILLED","POSITION UNFILLED",IF(IFERROR(INDEX('Position Library'!$E$2:$E$53,MATCH($A51,'Position Library'!$A$2:$A$53,0)),"N")&lt;&gt;"Y","NOT REQUIRED",IF(OR($O51="",$P51=""),"RELIEF GAP","COVERED"))))</f>
        <v>NOT REQUIRED</v>
      </c>
      <c r="R51" s="52" t="str">
        <f aca="false">IF($A51="","",IF($D51&lt;&gt;"Tier 1","N/A",IF(OR($E$2="PM",$E$2="Overnight"),"N/A",IF($H51="3:45 AM","COVERED","OPENING GAP"))))</f>
        <v>N/A</v>
      </c>
      <c r="S51" s="38"/>
    </row>
    <row r="52" customFormat="false" ht="19.5" hidden="false" customHeight="true" outlineLevel="0" collapsed="false">
      <c r="A52" s="29" t="n">
        <v>28</v>
      </c>
      <c r="B52" s="38" t="str">
        <f aca="false">IF($A52="","",IFERROR(INDEX('Position Library'!$B$2:$B$53,MATCH($A52,'Position Library'!$A$2:$A$53,0)),""))</f>
        <v>North Security Checkpoint</v>
      </c>
      <c r="C52" s="38" t="str">
        <f aca="false">IF($A52="","",IFERROR(INDEX('Position Library'!$C$2:$C$53,MATCH($A52,'Position Library'!$A$2:$A$53,0)),""))</f>
        <v>TGIF / West Crossover</v>
      </c>
      <c r="D52" s="29" t="str">
        <f aca="false">IF($A52="","",IFERROR(INDEX('Position Library'!$D$2:$D$53,MATCH($A52,'Position Library'!$A$2:$A$53,0)),""))</f>
        <v>Tier 4</v>
      </c>
      <c r="E52" s="38" t="str">
        <f aca="false">IF($A52="","",IF($A52=45,"Information Desk = Y",IF(OR($A52=4,$A52=8),IF(OR(WEEKDAY($B$2,2)=1,WEEKDAY($B$2,2)=4,WEEKDAY($B$2,2)=5,WEEKDAY($B$2,2)=7),"Main Inside = 3","Main Inside &gt;= 2"),IF(AND($A52&gt;=46,$A52&lt;=52),"Divest = Y","General Qualifications &gt;= 2"))))</f>
        <v>General Qualifications &gt;= 2</v>
      </c>
      <c r="F52" s="29" t="str">
        <f aca="false">IF($A52="","",IFERROR(INDEX('Daily Workforce'!$B$6:$B$205,MATCH(1,Lists!Q48:HH48,0)),""))</f>
        <v>EMP-0129</v>
      </c>
      <c r="G52" s="1" t="str">
        <f aca="false">IF($F52="","",IFERROR(INDEX('Daily Workforce'!$C$6:$C$205,MATCH($F52,'Daily Workforce'!$B$6:$B$205,0)),""))</f>
        <v>Sara Alemu</v>
      </c>
      <c r="H52" s="29" t="str">
        <f aca="false">IF($F52="","",IFERROR(INDEX('Daily Workforce'!$D$6:$D$205,MATCH($F52,'Daily Workforce'!$B$6:$B$205,0)),""))</f>
        <v>5:45 AM</v>
      </c>
      <c r="I52" s="29" t="str">
        <f aca="false">IF($H52="","",$H52)</f>
        <v>5:45 AM</v>
      </c>
      <c r="J52" s="29" t="str">
        <f aca="false">IF($H52="","",IF($H52="3:45 AM","12:45 PM",IF($H52="5:45 AM","2:45 PM",IF($H52="12:15 PM","9:15 PM",IF($H52="2:00 PM","11:00 PM",IF($H52="9:15 PM","6:15 AM",""))))))</f>
        <v>2:45 PM</v>
      </c>
      <c r="K52" s="29" t="str">
        <f aca="false">IF($F52="","",IFERROR(INDEX('Daily Workforce'!$I$6:$I$205,MATCH($F52,'Daily Workforce'!$B$6:$B$205,0)),""))</f>
        <v>None</v>
      </c>
      <c r="L52" s="39" t="str">
        <f aca="false">IF($A52="","",IF($F52="","NO QUALIFIED EMPLOYEE","QUALIFIED"))</f>
        <v>QUALIFIED</v>
      </c>
      <c r="M52" s="29" t="str">
        <f aca="false">IF($A52="","",IF($F52="","UNFILLED","FILLED"))</f>
        <v>FILLED</v>
      </c>
      <c r="N52" s="43" t="str">
        <f aca="false">IF($F52="","",IF($H52="3:45 AM",IF(OR($K52="8:00 AM",$K52="9:00 AM"),$K52,CHOOSE(MOD(COUNTIF($H$6:$H52,$H52)-1,3)+1,"8:00 AM","8:00 AM","9:00 AM")),IF($H52="5:45 AM",IF(OR($K52="9:00 AM",$K52="10:00 AM"),$K52,CHOOSE(MOD(COUNTIF($H$6:$H52,$H52)-1,3)+1,"10:00 AM","10:00 AM","9:00 AM")),IF(AND($K52&lt;&gt;"",$K52&lt;&gt;"None"),$K52,IF($H52="12:15 PM",CHOOSE(MOD(COUNTIF($H$6:$H52,$H52)-1,2)+1,"4:00 PM","5:00 PM"),IF($H52="2:00 PM",CHOOSE(MOD(COUNTIF($H$6:$H52,$H52)-1,2)+1,"6:00 PM","7:00 PM"),IF($H52="9:15 PM",CHOOSE(MOD(COUNTIF($H$6:$H52,$H52)-1,2)+1,"1:00 AM","2:00 AM"),"")))))))</f>
        <v>9:00 AM</v>
      </c>
      <c r="O52" s="51" t="str">
        <f aca="false">IF($A52="","",IF(IFERROR(INDEX('Position Library'!$E$2:$E$53,MATCH($A52,'Position Library'!$A$2:$A$53,0)),"N")="Y",IF(AND(IFERROR(VALUE(INDEX('Position Relationships'!$B$2:$F$53,MATCH($A52,'Position Relationships'!$A$2:$A$53,0),1)),"")&lt;&gt;"",IFERROR(INDEX($N$6:$N$57,MATCH(IFERROR(VALUE(INDEX('Position Relationships'!$B$2:$F$53,MATCH($A52,'Position Relationships'!$A$2:$A$53,0),1)),""),$A$6:$A$57,0)),"")&lt;&gt;"",IFERROR(INDEX($N$6:$N$57,MATCH(IFERROR(VALUE(INDEX('Position Relationships'!$B$2:$F$53,MATCH($A52,'Position Relationships'!$A$2:$A$53,0),1)),""),$A$6:$A$57,0)),"")&lt;&gt;$N52),IFERROR(VALUE(INDEX('Position Relationships'!$B$2:$F$53,MATCH($A52,'Position Relationships'!$A$2:$A$53,0),1)),""),IF(AND(IFERROR(VALUE(INDEX('Position Relationships'!$B$2:$F$53,MATCH($A52,'Position Relationships'!$A$2:$A$53,0),2)),"")&lt;&gt;"",IFERROR(INDEX($N$6:$N$57,MATCH(IFERROR(VALUE(INDEX('Position Relationships'!$B$2:$F$53,MATCH($A52,'Position Relationships'!$A$2:$A$53,0),2)),""),$A$6:$A$57,0)),"")&lt;&gt;"",IFERROR(INDEX($N$6:$N$57,MATCH(IFERROR(VALUE(INDEX('Position Relationships'!$B$2:$F$53,MATCH($A52,'Position Relationships'!$A$2:$A$53,0),2)),""),$A$6:$A$57,0)),"")&lt;&gt;$N52),IFERROR(VALUE(INDEX('Position Relationships'!$B$2:$F$53,MATCH($A52,'Position Relationships'!$A$2:$A$53,0),2)),""),IF(AND(IFERROR(VALUE(INDEX('Position Relationships'!$B$2:$F$53,MATCH($A52,'Position Relationships'!$A$2:$A$53,0),3)),"")&lt;&gt;"",IFERROR(INDEX($N$6:$N$57,MATCH(IFERROR(VALUE(INDEX('Position Relationships'!$B$2:$F$53,MATCH($A52,'Position Relationships'!$A$2:$A$53,0),3)),""),$A$6:$A$57,0)),"")&lt;&gt;"",IFERROR(INDEX($N$6:$N$57,MATCH(IFERROR(VALUE(INDEX('Position Relationships'!$B$2:$F$53,MATCH($A52,'Position Relationships'!$A$2:$A$53,0),3)),""),$A$6:$A$57,0)),"")&lt;&gt;$N52),IFERROR(VALUE(INDEX('Position Relationships'!$B$2:$F$53,MATCH($A52,'Position Relationships'!$A$2:$A$53,0),3)),""),IF(AND(IFERROR(VALUE(INDEX('Position Relationships'!$B$2:$F$53,MATCH($A52,'Position Relationships'!$A$2:$A$53,0),4)),"")&lt;&gt;"",IFERROR(INDEX($N$6:$N$57,MATCH(IFERROR(VALUE(INDEX('Position Relationships'!$B$2:$F$53,MATCH($A52,'Position Relationships'!$A$2:$A$53,0),4)),""),$A$6:$A$57,0)),"")&lt;&gt;"",IFERROR(INDEX($N$6:$N$57,MATCH(IFERROR(VALUE(INDEX('Position Relationships'!$B$2:$F$53,MATCH($A52,'Position Relationships'!$A$2:$A$53,0),4)),""),$A$6:$A$57,0)),"")&lt;&gt;$N52),IFERROR(VALUE(INDEX('Position Relationships'!$B$2:$F$53,MATCH($A52,'Position Relationships'!$A$2:$A$53,0),4)),""),IF(AND(IFERROR(VALUE(INDEX('Position Relationships'!$B$2:$F$53,MATCH($A52,'Position Relationships'!$A$2:$A$53,0),5)),"")&lt;&gt;"",IFERROR(INDEX($N$6:$N$57,MATCH(IFERROR(VALUE(INDEX('Position Relationships'!$B$2:$F$53,MATCH($A52,'Position Relationships'!$A$2:$A$53,0),5)),""),$A$6:$A$57,0)),"")&lt;&gt;"",IFERROR(INDEX($N$6:$N$57,MATCH(IFERROR(VALUE(INDEX('Position Relationships'!$B$2:$F$53,MATCH($A52,'Position Relationships'!$A$2:$A$53,0),5)),""),$A$6:$A$57,0)),"")&lt;&gt;$N52),IFERROR(VALUE(INDEX('Position Relationships'!$B$2:$F$53,MATCH($A52,'Position Relationships'!$A$2:$A$53,0),5)),""),""))))),""))</f>
        <v/>
      </c>
      <c r="P52" s="51" t="str">
        <f aca="false">IF($O52="","",IFERROR(INDEX($F$6:$F$57,MATCH($O52,$A$6:$A$57,0)),""))</f>
        <v/>
      </c>
      <c r="Q52" s="52" t="str">
        <f aca="false">IF($A52="","",IF($M52&lt;&gt;"FILLED","POSITION UNFILLED",IF(IFERROR(INDEX('Position Library'!$E$2:$E$53,MATCH($A52,'Position Library'!$A$2:$A$53,0)),"N")&lt;&gt;"Y","NOT REQUIRED",IF(OR($O52="",$P52=""),"RELIEF GAP","COVERED"))))</f>
        <v>NOT REQUIRED</v>
      </c>
      <c r="R52" s="52" t="str">
        <f aca="false">IF($A52="","",IF($D52&lt;&gt;"Tier 1","N/A",IF(OR($E$2="PM",$E$2="Overnight"),"N/A",IF($H52="3:45 AM","COVERED","OPENING GAP"))))</f>
        <v>N/A</v>
      </c>
      <c r="S52" s="38"/>
    </row>
    <row r="53" customFormat="false" ht="19.5" hidden="false" customHeight="true" outlineLevel="0" collapsed="false">
      <c r="A53" s="29" t="n">
        <v>34</v>
      </c>
      <c r="B53" s="38" t="str">
        <f aca="false">IF($A53="","",IFERROR(INDEX('Position Library'!$B$2:$B$53,MATCH($A53,'Position Library'!$A$2:$A$53,0)),""))</f>
        <v>AGT Level</v>
      </c>
      <c r="C53" s="38" t="str">
        <f aca="false">IF($A53="","",IFERROR(INDEX('Position Library'!$C$2:$C$53,MATCH($A53,'Position Library'!$A$2:$A$53,0)),""))</f>
        <v>Checkpoint – Glass Doors</v>
      </c>
      <c r="D53" s="29" t="str">
        <f aca="false">IF($A53="","",IFERROR(INDEX('Position Library'!$D$2:$D$53,MATCH($A53,'Position Library'!$A$2:$A$53,0)),""))</f>
        <v>Tier 4</v>
      </c>
      <c r="E53" s="38" t="str">
        <f aca="false">IF($A53="","",IF($A53=45,"Information Desk = Y",IF(OR($A53=4,$A53=8),IF(OR(WEEKDAY($B$2,2)=1,WEEKDAY($B$2,2)=4,WEEKDAY($B$2,2)=5,WEEKDAY($B$2,2)=7),"Main Inside = 3","Main Inside &gt;= 2"),IF(AND($A53&gt;=46,$A53&lt;=52),"Divest = Y","General Qualifications &gt;= 2"))))</f>
        <v>General Qualifications &gt;= 2</v>
      </c>
      <c r="F53" s="29" t="str">
        <f aca="false">IF($A53="","",IFERROR(INDEX('Daily Workforce'!$B$6:$B$205,MATCH(1,Lists!Q49:HH49,0)),""))</f>
        <v>EMP-0132</v>
      </c>
      <c r="G53" s="1" t="str">
        <f aca="false">IF($F53="","",IFERROR(INDEX('Daily Workforce'!$C$6:$C$205,MATCH($F53,'Daily Workforce'!$B$6:$B$205,0)),""))</f>
        <v>Shanta Harvey</v>
      </c>
      <c r="H53" s="29" t="str">
        <f aca="false">IF($F53="","",IFERROR(INDEX('Daily Workforce'!$D$6:$D$205,MATCH($F53,'Daily Workforce'!$B$6:$B$205,0)),""))</f>
        <v>5:45 AM</v>
      </c>
      <c r="I53" s="29" t="str">
        <f aca="false">IF($H53="","",$H53)</f>
        <v>5:45 AM</v>
      </c>
      <c r="J53" s="29" t="str">
        <f aca="false">IF($H53="","",IF($H53="3:45 AM","12:45 PM",IF($H53="5:45 AM","2:45 PM",IF($H53="12:15 PM","9:15 PM",IF($H53="2:00 PM","11:00 PM",IF($H53="9:15 PM","6:15 AM",""))))))</f>
        <v>2:45 PM</v>
      </c>
      <c r="K53" s="29" t="str">
        <f aca="false">IF($F53="","",IFERROR(INDEX('Daily Workforce'!$I$6:$I$205,MATCH($F53,'Daily Workforce'!$B$6:$B$205,0)),""))</f>
        <v>None</v>
      </c>
      <c r="L53" s="39" t="str">
        <f aca="false">IF($A53="","",IF($F53="","NO QUALIFIED EMPLOYEE","QUALIFIED"))</f>
        <v>QUALIFIED</v>
      </c>
      <c r="M53" s="29" t="str">
        <f aca="false">IF($A53="","",IF($F53="","UNFILLED","FILLED"))</f>
        <v>FILLED</v>
      </c>
      <c r="N53" s="43" t="str">
        <f aca="false">IF($F53="","",IF($H53="3:45 AM",IF(OR($K53="8:00 AM",$K53="9:00 AM"),$K53,CHOOSE(MOD(COUNTIF($H$6:$H53,$H53)-1,3)+1,"8:00 AM","8:00 AM","9:00 AM")),IF($H53="5:45 AM",IF(OR($K53="9:00 AM",$K53="10:00 AM"),$K53,CHOOSE(MOD(COUNTIF($H$6:$H53,$H53)-1,3)+1,"10:00 AM","10:00 AM","9:00 AM")),IF(AND($K53&lt;&gt;"",$K53&lt;&gt;"None"),$K53,IF($H53="12:15 PM",CHOOSE(MOD(COUNTIF($H$6:$H53,$H53)-1,2)+1,"4:00 PM","5:00 PM"),IF($H53="2:00 PM",CHOOSE(MOD(COUNTIF($H$6:$H53,$H53)-1,2)+1,"6:00 PM","7:00 PM"),IF($H53="9:15 PM",CHOOSE(MOD(COUNTIF($H$6:$H53,$H53)-1,2)+1,"1:00 AM","2:00 AM"),"")))))))</f>
        <v>10:00 AM</v>
      </c>
      <c r="O53" s="51" t="str">
        <f aca="false">IF($A53="","",IF(IFERROR(INDEX('Position Library'!$E$2:$E$53,MATCH($A53,'Position Library'!$A$2:$A$53,0)),"N")="Y",IF(AND(IFERROR(VALUE(INDEX('Position Relationships'!$B$2:$F$53,MATCH($A53,'Position Relationships'!$A$2:$A$53,0),1)),"")&lt;&gt;"",IFERROR(INDEX($N$6:$N$57,MATCH(IFERROR(VALUE(INDEX('Position Relationships'!$B$2:$F$53,MATCH($A53,'Position Relationships'!$A$2:$A$53,0),1)),""),$A$6:$A$57,0)),"")&lt;&gt;"",IFERROR(INDEX($N$6:$N$57,MATCH(IFERROR(VALUE(INDEX('Position Relationships'!$B$2:$F$53,MATCH($A53,'Position Relationships'!$A$2:$A$53,0),1)),""),$A$6:$A$57,0)),"")&lt;&gt;$N53),IFERROR(VALUE(INDEX('Position Relationships'!$B$2:$F$53,MATCH($A53,'Position Relationships'!$A$2:$A$53,0),1)),""),IF(AND(IFERROR(VALUE(INDEX('Position Relationships'!$B$2:$F$53,MATCH($A53,'Position Relationships'!$A$2:$A$53,0),2)),"")&lt;&gt;"",IFERROR(INDEX($N$6:$N$57,MATCH(IFERROR(VALUE(INDEX('Position Relationships'!$B$2:$F$53,MATCH($A53,'Position Relationships'!$A$2:$A$53,0),2)),""),$A$6:$A$57,0)),"")&lt;&gt;"",IFERROR(INDEX($N$6:$N$57,MATCH(IFERROR(VALUE(INDEX('Position Relationships'!$B$2:$F$53,MATCH($A53,'Position Relationships'!$A$2:$A$53,0),2)),""),$A$6:$A$57,0)),"")&lt;&gt;$N53),IFERROR(VALUE(INDEX('Position Relationships'!$B$2:$F$53,MATCH($A53,'Position Relationships'!$A$2:$A$53,0),2)),""),IF(AND(IFERROR(VALUE(INDEX('Position Relationships'!$B$2:$F$53,MATCH($A53,'Position Relationships'!$A$2:$A$53,0),3)),"")&lt;&gt;"",IFERROR(INDEX($N$6:$N$57,MATCH(IFERROR(VALUE(INDEX('Position Relationships'!$B$2:$F$53,MATCH($A53,'Position Relationships'!$A$2:$A$53,0),3)),""),$A$6:$A$57,0)),"")&lt;&gt;"",IFERROR(INDEX($N$6:$N$57,MATCH(IFERROR(VALUE(INDEX('Position Relationships'!$B$2:$F$53,MATCH($A53,'Position Relationships'!$A$2:$A$53,0),3)),""),$A$6:$A$57,0)),"")&lt;&gt;$N53),IFERROR(VALUE(INDEX('Position Relationships'!$B$2:$F$53,MATCH($A53,'Position Relationships'!$A$2:$A$53,0),3)),""),IF(AND(IFERROR(VALUE(INDEX('Position Relationships'!$B$2:$F$53,MATCH($A53,'Position Relationships'!$A$2:$A$53,0),4)),"")&lt;&gt;"",IFERROR(INDEX($N$6:$N$57,MATCH(IFERROR(VALUE(INDEX('Position Relationships'!$B$2:$F$53,MATCH($A53,'Position Relationships'!$A$2:$A$53,0),4)),""),$A$6:$A$57,0)),"")&lt;&gt;"",IFERROR(INDEX($N$6:$N$57,MATCH(IFERROR(VALUE(INDEX('Position Relationships'!$B$2:$F$53,MATCH($A53,'Position Relationships'!$A$2:$A$53,0),4)),""),$A$6:$A$57,0)),"")&lt;&gt;$N53),IFERROR(VALUE(INDEX('Position Relationships'!$B$2:$F$53,MATCH($A53,'Position Relationships'!$A$2:$A$53,0),4)),""),IF(AND(IFERROR(VALUE(INDEX('Position Relationships'!$B$2:$F$53,MATCH($A53,'Position Relationships'!$A$2:$A$53,0),5)),"")&lt;&gt;"",IFERROR(INDEX($N$6:$N$57,MATCH(IFERROR(VALUE(INDEX('Position Relationships'!$B$2:$F$53,MATCH($A53,'Position Relationships'!$A$2:$A$53,0),5)),""),$A$6:$A$57,0)),"")&lt;&gt;"",IFERROR(INDEX($N$6:$N$57,MATCH(IFERROR(VALUE(INDEX('Position Relationships'!$B$2:$F$53,MATCH($A53,'Position Relationships'!$A$2:$A$53,0),5)),""),$A$6:$A$57,0)),"")&lt;&gt;$N53),IFERROR(VALUE(INDEX('Position Relationships'!$B$2:$F$53,MATCH($A53,'Position Relationships'!$A$2:$A$53,0),5)),""),""))))),""))</f>
        <v/>
      </c>
      <c r="P53" s="51" t="str">
        <f aca="false">IF($O53="","",IFERROR(INDEX($F$6:$F$57,MATCH($O53,$A$6:$A$57,0)),""))</f>
        <v/>
      </c>
      <c r="Q53" s="52" t="str">
        <f aca="false">IF($A53="","",IF($M53&lt;&gt;"FILLED","POSITION UNFILLED",IF(IFERROR(INDEX('Position Library'!$E$2:$E$53,MATCH($A53,'Position Library'!$A$2:$A$53,0)),"N")&lt;&gt;"Y","NOT REQUIRED",IF(OR($O53="",$P53=""),"RELIEF GAP","COVERED"))))</f>
        <v>NOT REQUIRED</v>
      </c>
      <c r="R53" s="52" t="str">
        <f aca="false">IF($A53="","",IF($D53&lt;&gt;"Tier 1","N/A",IF(OR($E$2="PM",$E$2="Overnight"),"N/A",IF($H53="3:45 AM","COVERED","OPENING GAP"))))</f>
        <v>N/A</v>
      </c>
      <c r="S53" s="38"/>
    </row>
    <row r="54" customFormat="false" ht="19.5" hidden="false" customHeight="true" outlineLevel="0" collapsed="false">
      <c r="A54" s="29" t="n">
        <v>41</v>
      </c>
      <c r="B54" s="38" t="str">
        <f aca="false">IF($A54="","",IFERROR(INDEX('Position Library'!$B$2:$B$53,MATCH($A54,'Position Library'!$A$2:$A$53,0)),""))</f>
        <v>AGT Level</v>
      </c>
      <c r="C54" s="38" t="str">
        <f aca="false">IF($A54="","",IFERROR(INDEX('Position Library'!$C$2:$C$53,MATCH($A54,'Position Library'!$A$2:$A$53,0)),""))</f>
        <v>Alpha West</v>
      </c>
      <c r="D54" s="29" t="str">
        <f aca="false">IF($A54="","",IFERROR(INDEX('Position Library'!$D$2:$D$53,MATCH($A54,'Position Library'!$A$2:$A$53,0)),""))</f>
        <v>Tier 4</v>
      </c>
      <c r="E54" s="38" t="str">
        <f aca="false">IF($A54="","",IF($A54=45,"Information Desk = Y",IF(OR($A54=4,$A54=8),IF(OR(WEEKDAY($B$2,2)=1,WEEKDAY($B$2,2)=4,WEEKDAY($B$2,2)=5,WEEKDAY($B$2,2)=7),"Main Inside = 3","Main Inside &gt;= 2"),IF(AND($A54&gt;=46,$A54&lt;=52),"Divest = Y","General Qualifications &gt;= 2"))))</f>
        <v>General Qualifications &gt;= 2</v>
      </c>
      <c r="F54" s="29" t="str">
        <f aca="false">IF($A54="","",IFERROR(INDEX('Daily Workforce'!$B$6:$B$205,MATCH(1,Lists!Q50:HH50,0)),""))</f>
        <v>EMP-0133</v>
      </c>
      <c r="G54" s="1" t="str">
        <f aca="false">IF($F54="","",IFERROR(INDEX('Daily Workforce'!$C$6:$C$205,MATCH($F54,'Daily Workforce'!$B$6:$B$205,0)),""))</f>
        <v>Shanta Islam</v>
      </c>
      <c r="H54" s="29" t="str">
        <f aca="false">IF($F54="","",IFERROR(INDEX('Daily Workforce'!$D$6:$D$205,MATCH($F54,'Daily Workforce'!$B$6:$B$205,0)),""))</f>
        <v>5:45 AM</v>
      </c>
      <c r="I54" s="29" t="str">
        <f aca="false">IF($H54="","",$H54)</f>
        <v>5:45 AM</v>
      </c>
      <c r="J54" s="29" t="str">
        <f aca="false">IF($H54="","",IF($H54="3:45 AM","12:45 PM",IF($H54="5:45 AM","2:45 PM",IF($H54="12:15 PM","9:15 PM",IF($H54="2:00 PM","11:00 PM",IF($H54="9:15 PM","6:15 AM",""))))))</f>
        <v>2:45 PM</v>
      </c>
      <c r="K54" s="29" t="str">
        <f aca="false">IF($F54="","",IFERROR(INDEX('Daily Workforce'!$I$6:$I$205,MATCH($F54,'Daily Workforce'!$B$6:$B$205,0)),""))</f>
        <v>None</v>
      </c>
      <c r="L54" s="39" t="str">
        <f aca="false">IF($A54="","",IF($F54="","NO QUALIFIED EMPLOYEE","QUALIFIED"))</f>
        <v>QUALIFIED</v>
      </c>
      <c r="M54" s="29" t="str">
        <f aca="false">IF($A54="","",IF($F54="","UNFILLED","FILLED"))</f>
        <v>FILLED</v>
      </c>
      <c r="N54" s="43" t="str">
        <f aca="false">IF($F54="","",IF($H54="3:45 AM",IF(OR($K54="8:00 AM",$K54="9:00 AM"),$K54,CHOOSE(MOD(COUNTIF($H$6:$H54,$H54)-1,3)+1,"8:00 AM","8:00 AM","9:00 AM")),IF($H54="5:45 AM",IF(OR($K54="9:00 AM",$K54="10:00 AM"),$K54,CHOOSE(MOD(COUNTIF($H$6:$H54,$H54)-1,3)+1,"10:00 AM","10:00 AM","9:00 AM")),IF(AND($K54&lt;&gt;"",$K54&lt;&gt;"None"),$K54,IF($H54="12:15 PM",CHOOSE(MOD(COUNTIF($H$6:$H54,$H54)-1,2)+1,"4:00 PM","5:00 PM"),IF($H54="2:00 PM",CHOOSE(MOD(COUNTIF($H$6:$H54,$H54)-1,2)+1,"6:00 PM","7:00 PM"),IF($H54="9:15 PM",CHOOSE(MOD(COUNTIF($H$6:$H54,$H54)-1,2)+1,"1:00 AM","2:00 AM"),"")))))))</f>
        <v>10:00 AM</v>
      </c>
      <c r="O54" s="51" t="str">
        <f aca="false">IF($A54="","",IF(IFERROR(INDEX('Position Library'!$E$2:$E$53,MATCH($A54,'Position Library'!$A$2:$A$53,0)),"N")="Y",IF(AND(IFERROR(VALUE(INDEX('Position Relationships'!$B$2:$F$53,MATCH($A54,'Position Relationships'!$A$2:$A$53,0),1)),"")&lt;&gt;"",IFERROR(INDEX($N$6:$N$57,MATCH(IFERROR(VALUE(INDEX('Position Relationships'!$B$2:$F$53,MATCH($A54,'Position Relationships'!$A$2:$A$53,0),1)),""),$A$6:$A$57,0)),"")&lt;&gt;"",IFERROR(INDEX($N$6:$N$57,MATCH(IFERROR(VALUE(INDEX('Position Relationships'!$B$2:$F$53,MATCH($A54,'Position Relationships'!$A$2:$A$53,0),1)),""),$A$6:$A$57,0)),"")&lt;&gt;$N54),IFERROR(VALUE(INDEX('Position Relationships'!$B$2:$F$53,MATCH($A54,'Position Relationships'!$A$2:$A$53,0),1)),""),IF(AND(IFERROR(VALUE(INDEX('Position Relationships'!$B$2:$F$53,MATCH($A54,'Position Relationships'!$A$2:$A$53,0),2)),"")&lt;&gt;"",IFERROR(INDEX($N$6:$N$57,MATCH(IFERROR(VALUE(INDEX('Position Relationships'!$B$2:$F$53,MATCH($A54,'Position Relationships'!$A$2:$A$53,0),2)),""),$A$6:$A$57,0)),"")&lt;&gt;"",IFERROR(INDEX($N$6:$N$57,MATCH(IFERROR(VALUE(INDEX('Position Relationships'!$B$2:$F$53,MATCH($A54,'Position Relationships'!$A$2:$A$53,0),2)),""),$A$6:$A$57,0)),"")&lt;&gt;$N54),IFERROR(VALUE(INDEX('Position Relationships'!$B$2:$F$53,MATCH($A54,'Position Relationships'!$A$2:$A$53,0),2)),""),IF(AND(IFERROR(VALUE(INDEX('Position Relationships'!$B$2:$F$53,MATCH($A54,'Position Relationships'!$A$2:$A$53,0),3)),"")&lt;&gt;"",IFERROR(INDEX($N$6:$N$57,MATCH(IFERROR(VALUE(INDEX('Position Relationships'!$B$2:$F$53,MATCH($A54,'Position Relationships'!$A$2:$A$53,0),3)),""),$A$6:$A$57,0)),"")&lt;&gt;"",IFERROR(INDEX($N$6:$N$57,MATCH(IFERROR(VALUE(INDEX('Position Relationships'!$B$2:$F$53,MATCH($A54,'Position Relationships'!$A$2:$A$53,0),3)),""),$A$6:$A$57,0)),"")&lt;&gt;$N54),IFERROR(VALUE(INDEX('Position Relationships'!$B$2:$F$53,MATCH($A54,'Position Relationships'!$A$2:$A$53,0),3)),""),IF(AND(IFERROR(VALUE(INDEX('Position Relationships'!$B$2:$F$53,MATCH($A54,'Position Relationships'!$A$2:$A$53,0),4)),"")&lt;&gt;"",IFERROR(INDEX($N$6:$N$57,MATCH(IFERROR(VALUE(INDEX('Position Relationships'!$B$2:$F$53,MATCH($A54,'Position Relationships'!$A$2:$A$53,0),4)),""),$A$6:$A$57,0)),"")&lt;&gt;"",IFERROR(INDEX($N$6:$N$57,MATCH(IFERROR(VALUE(INDEX('Position Relationships'!$B$2:$F$53,MATCH($A54,'Position Relationships'!$A$2:$A$53,0),4)),""),$A$6:$A$57,0)),"")&lt;&gt;$N54),IFERROR(VALUE(INDEX('Position Relationships'!$B$2:$F$53,MATCH($A54,'Position Relationships'!$A$2:$A$53,0),4)),""),IF(AND(IFERROR(VALUE(INDEX('Position Relationships'!$B$2:$F$53,MATCH($A54,'Position Relationships'!$A$2:$A$53,0),5)),"")&lt;&gt;"",IFERROR(INDEX($N$6:$N$57,MATCH(IFERROR(VALUE(INDEX('Position Relationships'!$B$2:$F$53,MATCH($A54,'Position Relationships'!$A$2:$A$53,0),5)),""),$A$6:$A$57,0)),"")&lt;&gt;"",IFERROR(INDEX($N$6:$N$57,MATCH(IFERROR(VALUE(INDEX('Position Relationships'!$B$2:$F$53,MATCH($A54,'Position Relationships'!$A$2:$A$53,0),5)),""),$A$6:$A$57,0)),"")&lt;&gt;$N54),IFERROR(VALUE(INDEX('Position Relationships'!$B$2:$F$53,MATCH($A54,'Position Relationships'!$A$2:$A$53,0),5)),""),""))))),""))</f>
        <v/>
      </c>
      <c r="P54" s="51" t="str">
        <f aca="false">IF($O54="","",IFERROR(INDEX($F$6:$F$57,MATCH($O54,$A$6:$A$57,0)),""))</f>
        <v/>
      </c>
      <c r="Q54" s="52" t="str">
        <f aca="false">IF($A54="","",IF($M54&lt;&gt;"FILLED","POSITION UNFILLED",IF(IFERROR(INDEX('Position Library'!$E$2:$E$53,MATCH($A54,'Position Library'!$A$2:$A$53,0)),"N")&lt;&gt;"Y","NOT REQUIRED",IF(OR($O54="",$P54=""),"RELIEF GAP","COVERED"))))</f>
        <v>NOT REQUIRED</v>
      </c>
      <c r="R54" s="52" t="str">
        <f aca="false">IF($A54="","",IF($D54&lt;&gt;"Tier 1","N/A",IF(OR($E$2="PM",$E$2="Overnight"),"N/A",IF($H54="3:45 AM","COVERED","OPENING GAP"))))</f>
        <v>N/A</v>
      </c>
      <c r="S54" s="38"/>
    </row>
    <row r="55" customFormat="false" ht="19.5" hidden="false" customHeight="true" outlineLevel="0" collapsed="false">
      <c r="A55" s="29" t="n">
        <v>42</v>
      </c>
      <c r="B55" s="38" t="str">
        <f aca="false">IF($A55="","",IFERROR(INDEX('Position Library'!$B$2:$B$53,MATCH($A55,'Position Library'!$A$2:$A$53,0)),""))</f>
        <v>AGT Level</v>
      </c>
      <c r="C55" s="38" t="str">
        <f aca="false">IF($A55="","",IFERROR(INDEX('Position Library'!$C$2:$C$53,MATCH($A55,'Position Library'!$A$2:$A$53,0)),""))</f>
        <v>Bravo West</v>
      </c>
      <c r="D55" s="29" t="str">
        <f aca="false">IF($A55="","",IFERROR(INDEX('Position Library'!$D$2:$D$53,MATCH($A55,'Position Library'!$A$2:$A$53,0)),""))</f>
        <v>Tier 4</v>
      </c>
      <c r="E55" s="38" t="str">
        <f aca="false">IF($A55="","",IF($A55=45,"Information Desk = Y",IF(OR($A55=4,$A55=8),IF(OR(WEEKDAY($B$2,2)=1,WEEKDAY($B$2,2)=4,WEEKDAY($B$2,2)=5,WEEKDAY($B$2,2)=7),"Main Inside = 3","Main Inside &gt;= 2"),IF(AND($A55&gt;=46,$A55&lt;=52),"Divest = Y","General Qualifications &gt;= 2"))))</f>
        <v>General Qualifications &gt;= 2</v>
      </c>
      <c r="F55" s="29" t="str">
        <f aca="false">IF($A55="","",IFERROR(INDEX('Daily Workforce'!$B$6:$B$205,MATCH(1,Lists!Q51:HH51,0)),""))</f>
        <v>EMP-0134</v>
      </c>
      <c r="G55" s="1" t="str">
        <f aca="false">IF($F55="","",IFERROR(INDEX('Daily Workforce'!$C$6:$C$205,MATCH($F55,'Daily Workforce'!$B$6:$B$205,0)),""))</f>
        <v>Shawanda Webb</v>
      </c>
      <c r="H55" s="29" t="str">
        <f aca="false">IF($F55="","",IFERROR(INDEX('Daily Workforce'!$D$6:$D$205,MATCH($F55,'Daily Workforce'!$B$6:$B$205,0)),""))</f>
        <v>5:45 AM</v>
      </c>
      <c r="I55" s="29" t="str">
        <f aca="false">IF($H55="","",$H55)</f>
        <v>5:45 AM</v>
      </c>
      <c r="J55" s="29" t="str">
        <f aca="false">IF($H55="","",IF($H55="3:45 AM","12:45 PM",IF($H55="5:45 AM","2:45 PM",IF($H55="12:15 PM","9:15 PM",IF($H55="2:00 PM","11:00 PM",IF($H55="9:15 PM","6:15 AM",""))))))</f>
        <v>2:45 PM</v>
      </c>
      <c r="K55" s="29" t="str">
        <f aca="false">IF($F55="","",IFERROR(INDEX('Daily Workforce'!$I$6:$I$205,MATCH($F55,'Daily Workforce'!$B$6:$B$205,0)),""))</f>
        <v>None</v>
      </c>
      <c r="L55" s="39" t="str">
        <f aca="false">IF($A55="","",IF($F55="","NO QUALIFIED EMPLOYEE","QUALIFIED"))</f>
        <v>QUALIFIED</v>
      </c>
      <c r="M55" s="29" t="str">
        <f aca="false">IF($A55="","",IF($F55="","UNFILLED","FILLED"))</f>
        <v>FILLED</v>
      </c>
      <c r="N55" s="43" t="str">
        <f aca="false">IF($F55="","",IF($H55="3:45 AM",IF(OR($K55="8:00 AM",$K55="9:00 AM"),$K55,CHOOSE(MOD(COUNTIF($H$6:$H55,$H55)-1,3)+1,"8:00 AM","8:00 AM","9:00 AM")),IF($H55="5:45 AM",IF(OR($K55="9:00 AM",$K55="10:00 AM"),$K55,CHOOSE(MOD(COUNTIF($H$6:$H55,$H55)-1,3)+1,"10:00 AM","10:00 AM","9:00 AM")),IF(AND($K55&lt;&gt;"",$K55&lt;&gt;"None"),$K55,IF($H55="12:15 PM",CHOOSE(MOD(COUNTIF($H$6:$H55,$H55)-1,2)+1,"4:00 PM","5:00 PM"),IF($H55="2:00 PM",CHOOSE(MOD(COUNTIF($H$6:$H55,$H55)-1,2)+1,"6:00 PM","7:00 PM"),IF($H55="9:15 PM",CHOOSE(MOD(COUNTIF($H$6:$H55,$H55)-1,2)+1,"1:00 AM","2:00 AM"),"")))))))</f>
        <v>9:00 AM</v>
      </c>
      <c r="O55" s="51" t="str">
        <f aca="false">IF($A55="","",IF(IFERROR(INDEX('Position Library'!$E$2:$E$53,MATCH($A55,'Position Library'!$A$2:$A$53,0)),"N")="Y",IF(AND(IFERROR(VALUE(INDEX('Position Relationships'!$B$2:$F$53,MATCH($A55,'Position Relationships'!$A$2:$A$53,0),1)),"")&lt;&gt;"",IFERROR(INDEX($N$6:$N$57,MATCH(IFERROR(VALUE(INDEX('Position Relationships'!$B$2:$F$53,MATCH($A55,'Position Relationships'!$A$2:$A$53,0),1)),""),$A$6:$A$57,0)),"")&lt;&gt;"",IFERROR(INDEX($N$6:$N$57,MATCH(IFERROR(VALUE(INDEX('Position Relationships'!$B$2:$F$53,MATCH($A55,'Position Relationships'!$A$2:$A$53,0),1)),""),$A$6:$A$57,0)),"")&lt;&gt;$N55),IFERROR(VALUE(INDEX('Position Relationships'!$B$2:$F$53,MATCH($A55,'Position Relationships'!$A$2:$A$53,0),1)),""),IF(AND(IFERROR(VALUE(INDEX('Position Relationships'!$B$2:$F$53,MATCH($A55,'Position Relationships'!$A$2:$A$53,0),2)),"")&lt;&gt;"",IFERROR(INDEX($N$6:$N$57,MATCH(IFERROR(VALUE(INDEX('Position Relationships'!$B$2:$F$53,MATCH($A55,'Position Relationships'!$A$2:$A$53,0),2)),""),$A$6:$A$57,0)),"")&lt;&gt;"",IFERROR(INDEX($N$6:$N$57,MATCH(IFERROR(VALUE(INDEX('Position Relationships'!$B$2:$F$53,MATCH($A55,'Position Relationships'!$A$2:$A$53,0),2)),""),$A$6:$A$57,0)),"")&lt;&gt;$N55),IFERROR(VALUE(INDEX('Position Relationships'!$B$2:$F$53,MATCH($A55,'Position Relationships'!$A$2:$A$53,0),2)),""),IF(AND(IFERROR(VALUE(INDEX('Position Relationships'!$B$2:$F$53,MATCH($A55,'Position Relationships'!$A$2:$A$53,0),3)),"")&lt;&gt;"",IFERROR(INDEX($N$6:$N$57,MATCH(IFERROR(VALUE(INDEX('Position Relationships'!$B$2:$F$53,MATCH($A55,'Position Relationships'!$A$2:$A$53,0),3)),""),$A$6:$A$57,0)),"")&lt;&gt;"",IFERROR(INDEX($N$6:$N$57,MATCH(IFERROR(VALUE(INDEX('Position Relationships'!$B$2:$F$53,MATCH($A55,'Position Relationships'!$A$2:$A$53,0),3)),""),$A$6:$A$57,0)),"")&lt;&gt;$N55),IFERROR(VALUE(INDEX('Position Relationships'!$B$2:$F$53,MATCH($A55,'Position Relationships'!$A$2:$A$53,0),3)),""),IF(AND(IFERROR(VALUE(INDEX('Position Relationships'!$B$2:$F$53,MATCH($A55,'Position Relationships'!$A$2:$A$53,0),4)),"")&lt;&gt;"",IFERROR(INDEX($N$6:$N$57,MATCH(IFERROR(VALUE(INDEX('Position Relationships'!$B$2:$F$53,MATCH($A55,'Position Relationships'!$A$2:$A$53,0),4)),""),$A$6:$A$57,0)),"")&lt;&gt;"",IFERROR(INDEX($N$6:$N$57,MATCH(IFERROR(VALUE(INDEX('Position Relationships'!$B$2:$F$53,MATCH($A55,'Position Relationships'!$A$2:$A$53,0),4)),""),$A$6:$A$57,0)),"")&lt;&gt;$N55),IFERROR(VALUE(INDEX('Position Relationships'!$B$2:$F$53,MATCH($A55,'Position Relationships'!$A$2:$A$53,0),4)),""),IF(AND(IFERROR(VALUE(INDEX('Position Relationships'!$B$2:$F$53,MATCH($A55,'Position Relationships'!$A$2:$A$53,0),5)),"")&lt;&gt;"",IFERROR(INDEX($N$6:$N$57,MATCH(IFERROR(VALUE(INDEX('Position Relationships'!$B$2:$F$53,MATCH($A55,'Position Relationships'!$A$2:$A$53,0),5)),""),$A$6:$A$57,0)),"")&lt;&gt;"",IFERROR(INDEX($N$6:$N$57,MATCH(IFERROR(VALUE(INDEX('Position Relationships'!$B$2:$F$53,MATCH($A55,'Position Relationships'!$A$2:$A$53,0),5)),""),$A$6:$A$57,0)),"")&lt;&gt;$N55),IFERROR(VALUE(INDEX('Position Relationships'!$B$2:$F$53,MATCH($A55,'Position Relationships'!$A$2:$A$53,0),5)),""),""))))),""))</f>
        <v/>
      </c>
      <c r="P55" s="51" t="str">
        <f aca="false">IF($O55="","",IFERROR(INDEX($F$6:$F$57,MATCH($O55,$A$6:$A$57,0)),""))</f>
        <v/>
      </c>
      <c r="Q55" s="52" t="str">
        <f aca="false">IF($A55="","",IF($M55&lt;&gt;"FILLED","POSITION UNFILLED",IF(IFERROR(INDEX('Position Library'!$E$2:$E$53,MATCH($A55,'Position Library'!$A$2:$A$53,0)),"N")&lt;&gt;"Y","NOT REQUIRED",IF(OR($O55="",$P55=""),"RELIEF GAP","COVERED"))))</f>
        <v>NOT REQUIRED</v>
      </c>
      <c r="R55" s="52" t="str">
        <f aca="false">IF($A55="","",IF($D55&lt;&gt;"Tier 1","N/A",IF(OR($E$2="PM",$E$2="Overnight"),"N/A",IF($H55="3:45 AM","COVERED","OPENING GAP"))))</f>
        <v>N/A</v>
      </c>
      <c r="S55" s="38"/>
    </row>
    <row r="56" customFormat="false" ht="19.5" hidden="false" customHeight="true" outlineLevel="0" collapsed="false">
      <c r="A56" s="29" t="n">
        <v>43</v>
      </c>
      <c r="B56" s="38" t="str">
        <f aca="false">IF($A56="","",IFERROR(INDEX('Position Library'!$B$2:$B$53,MATCH($A56,'Position Library'!$A$2:$A$53,0)),""))</f>
        <v>AGT Level</v>
      </c>
      <c r="C56" s="38" t="str">
        <f aca="false">IF($A56="","",IFERROR(INDEX('Position Library'!$C$2:$C$53,MATCH($A56,'Position Library'!$A$2:$A$53,0)),""))</f>
        <v>Charlie West</v>
      </c>
      <c r="D56" s="29" t="str">
        <f aca="false">IF($A56="","",IFERROR(INDEX('Position Library'!$D$2:$D$53,MATCH($A56,'Position Library'!$A$2:$A$53,0)),""))</f>
        <v>Tier 4</v>
      </c>
      <c r="E56" s="38" t="str">
        <f aca="false">IF($A56="","",IF($A56=45,"Information Desk = Y",IF(OR($A56=4,$A56=8),IF(OR(WEEKDAY($B$2,2)=1,WEEKDAY($B$2,2)=4,WEEKDAY($B$2,2)=5,WEEKDAY($B$2,2)=7),"Main Inside = 3","Main Inside &gt;= 2"),IF(AND($A56&gt;=46,$A56&lt;=52),"Divest = Y","General Qualifications &gt;= 2"))))</f>
        <v>General Qualifications &gt;= 2</v>
      </c>
      <c r="F56" s="29" t="str">
        <f aca="false">IF($A56="","",IFERROR(INDEX('Daily Workforce'!$B$6:$B$205,MATCH(1,Lists!Q52:HH52,0)),""))</f>
        <v>EMP-0146</v>
      </c>
      <c r="G56" s="1" t="str">
        <f aca="false">IF($F56="","",IFERROR(INDEX('Daily Workforce'!$C$6:$C$205,MATCH($F56,'Daily Workforce'!$B$6:$B$205,0)),""))</f>
        <v>Tyana Gutzmore</v>
      </c>
      <c r="H56" s="29" t="str">
        <f aca="false">IF($F56="","",IFERROR(INDEX('Daily Workforce'!$D$6:$D$205,MATCH($F56,'Daily Workforce'!$B$6:$B$205,0)),""))</f>
        <v>5:45 AM</v>
      </c>
      <c r="I56" s="29" t="str">
        <f aca="false">IF($H56="","",$H56)</f>
        <v>5:45 AM</v>
      </c>
      <c r="J56" s="29" t="str">
        <f aca="false">IF($H56="","",IF($H56="3:45 AM","12:45 PM",IF($H56="5:45 AM","2:45 PM",IF($H56="12:15 PM","9:15 PM",IF($H56="2:00 PM","11:00 PM",IF($H56="9:15 PM","6:15 AM",""))))))</f>
        <v>2:45 PM</v>
      </c>
      <c r="K56" s="29" t="str">
        <f aca="false">IF($F56="","",IFERROR(INDEX('Daily Workforce'!$I$6:$I$205,MATCH($F56,'Daily Workforce'!$B$6:$B$205,0)),""))</f>
        <v>None</v>
      </c>
      <c r="L56" s="39" t="str">
        <f aca="false">IF($A56="","",IF($F56="","NO QUALIFIED EMPLOYEE","QUALIFIED"))</f>
        <v>QUALIFIED</v>
      </c>
      <c r="M56" s="29" t="str">
        <f aca="false">IF($A56="","",IF($F56="","UNFILLED","FILLED"))</f>
        <v>FILLED</v>
      </c>
      <c r="N56" s="43" t="str">
        <f aca="false">IF($F56="","",IF($H56="3:45 AM",IF(OR($K56="8:00 AM",$K56="9:00 AM"),$K56,CHOOSE(MOD(COUNTIF($H$6:$H56,$H56)-1,3)+1,"8:00 AM","8:00 AM","9:00 AM")),IF($H56="5:45 AM",IF(OR($K56="9:00 AM",$K56="10:00 AM"),$K56,CHOOSE(MOD(COUNTIF($H$6:$H56,$H56)-1,3)+1,"10:00 AM","10:00 AM","9:00 AM")),IF(AND($K56&lt;&gt;"",$K56&lt;&gt;"None"),$K56,IF($H56="12:15 PM",CHOOSE(MOD(COUNTIF($H$6:$H56,$H56)-1,2)+1,"4:00 PM","5:00 PM"),IF($H56="2:00 PM",CHOOSE(MOD(COUNTIF($H$6:$H56,$H56)-1,2)+1,"6:00 PM","7:00 PM"),IF($H56="9:15 PM",CHOOSE(MOD(COUNTIF($H$6:$H56,$H56)-1,2)+1,"1:00 AM","2:00 AM"),"")))))))</f>
        <v>10:00 AM</v>
      </c>
      <c r="O56" s="51" t="str">
        <f aca="false">IF($A56="","",IF(IFERROR(INDEX('Position Library'!$E$2:$E$53,MATCH($A56,'Position Library'!$A$2:$A$53,0)),"N")="Y",IF(AND(IFERROR(VALUE(INDEX('Position Relationships'!$B$2:$F$53,MATCH($A56,'Position Relationships'!$A$2:$A$53,0),1)),"")&lt;&gt;"",IFERROR(INDEX($N$6:$N$57,MATCH(IFERROR(VALUE(INDEX('Position Relationships'!$B$2:$F$53,MATCH($A56,'Position Relationships'!$A$2:$A$53,0),1)),""),$A$6:$A$57,0)),"")&lt;&gt;"",IFERROR(INDEX($N$6:$N$57,MATCH(IFERROR(VALUE(INDEX('Position Relationships'!$B$2:$F$53,MATCH($A56,'Position Relationships'!$A$2:$A$53,0),1)),""),$A$6:$A$57,0)),"")&lt;&gt;$N56),IFERROR(VALUE(INDEX('Position Relationships'!$B$2:$F$53,MATCH($A56,'Position Relationships'!$A$2:$A$53,0),1)),""),IF(AND(IFERROR(VALUE(INDEX('Position Relationships'!$B$2:$F$53,MATCH($A56,'Position Relationships'!$A$2:$A$53,0),2)),"")&lt;&gt;"",IFERROR(INDEX($N$6:$N$57,MATCH(IFERROR(VALUE(INDEX('Position Relationships'!$B$2:$F$53,MATCH($A56,'Position Relationships'!$A$2:$A$53,0),2)),""),$A$6:$A$57,0)),"")&lt;&gt;"",IFERROR(INDEX($N$6:$N$57,MATCH(IFERROR(VALUE(INDEX('Position Relationships'!$B$2:$F$53,MATCH($A56,'Position Relationships'!$A$2:$A$53,0),2)),""),$A$6:$A$57,0)),"")&lt;&gt;$N56),IFERROR(VALUE(INDEX('Position Relationships'!$B$2:$F$53,MATCH($A56,'Position Relationships'!$A$2:$A$53,0),2)),""),IF(AND(IFERROR(VALUE(INDEX('Position Relationships'!$B$2:$F$53,MATCH($A56,'Position Relationships'!$A$2:$A$53,0),3)),"")&lt;&gt;"",IFERROR(INDEX($N$6:$N$57,MATCH(IFERROR(VALUE(INDEX('Position Relationships'!$B$2:$F$53,MATCH($A56,'Position Relationships'!$A$2:$A$53,0),3)),""),$A$6:$A$57,0)),"")&lt;&gt;"",IFERROR(INDEX($N$6:$N$57,MATCH(IFERROR(VALUE(INDEX('Position Relationships'!$B$2:$F$53,MATCH($A56,'Position Relationships'!$A$2:$A$53,0),3)),""),$A$6:$A$57,0)),"")&lt;&gt;$N56),IFERROR(VALUE(INDEX('Position Relationships'!$B$2:$F$53,MATCH($A56,'Position Relationships'!$A$2:$A$53,0),3)),""),IF(AND(IFERROR(VALUE(INDEX('Position Relationships'!$B$2:$F$53,MATCH($A56,'Position Relationships'!$A$2:$A$53,0),4)),"")&lt;&gt;"",IFERROR(INDEX($N$6:$N$57,MATCH(IFERROR(VALUE(INDEX('Position Relationships'!$B$2:$F$53,MATCH($A56,'Position Relationships'!$A$2:$A$53,0),4)),""),$A$6:$A$57,0)),"")&lt;&gt;"",IFERROR(INDEX($N$6:$N$57,MATCH(IFERROR(VALUE(INDEX('Position Relationships'!$B$2:$F$53,MATCH($A56,'Position Relationships'!$A$2:$A$53,0),4)),""),$A$6:$A$57,0)),"")&lt;&gt;$N56),IFERROR(VALUE(INDEX('Position Relationships'!$B$2:$F$53,MATCH($A56,'Position Relationships'!$A$2:$A$53,0),4)),""),IF(AND(IFERROR(VALUE(INDEX('Position Relationships'!$B$2:$F$53,MATCH($A56,'Position Relationships'!$A$2:$A$53,0),5)),"")&lt;&gt;"",IFERROR(INDEX($N$6:$N$57,MATCH(IFERROR(VALUE(INDEX('Position Relationships'!$B$2:$F$53,MATCH($A56,'Position Relationships'!$A$2:$A$53,0),5)),""),$A$6:$A$57,0)),"")&lt;&gt;"",IFERROR(INDEX($N$6:$N$57,MATCH(IFERROR(VALUE(INDEX('Position Relationships'!$B$2:$F$53,MATCH($A56,'Position Relationships'!$A$2:$A$53,0),5)),""),$A$6:$A$57,0)),"")&lt;&gt;$N56),IFERROR(VALUE(INDEX('Position Relationships'!$B$2:$F$53,MATCH($A56,'Position Relationships'!$A$2:$A$53,0),5)),""),""))))),""))</f>
        <v/>
      </c>
      <c r="P56" s="51" t="str">
        <f aca="false">IF($O56="","",IFERROR(INDEX($F$6:$F$57,MATCH($O56,$A$6:$A$57,0)),""))</f>
        <v/>
      </c>
      <c r="Q56" s="52" t="str">
        <f aca="false">IF($A56="","",IF($M56&lt;&gt;"FILLED","POSITION UNFILLED",IF(IFERROR(INDEX('Position Library'!$E$2:$E$53,MATCH($A56,'Position Library'!$A$2:$A$53,0)),"N")&lt;&gt;"Y","NOT REQUIRED",IF(OR($O56="",$P56=""),"RELIEF GAP","COVERED"))))</f>
        <v>NOT REQUIRED</v>
      </c>
      <c r="R56" s="52" t="str">
        <f aca="false">IF($A56="","",IF($D56&lt;&gt;"Tier 1","N/A",IF(OR($E$2="PM",$E$2="Overnight"),"N/A",IF($H56="3:45 AM","COVERED","OPENING GAP"))))</f>
        <v>N/A</v>
      </c>
      <c r="S56" s="38"/>
    </row>
    <row r="57" customFormat="false" ht="19.5" hidden="false" customHeight="true" outlineLevel="0" collapsed="false">
      <c r="A57" s="29" t="n">
        <v>44</v>
      </c>
      <c r="B57" s="38" t="str">
        <f aca="false">IF($A57="","",IFERROR(INDEX('Position Library'!$B$2:$B$53,MATCH($A57,'Position Library'!$A$2:$A$53,0)),""))</f>
        <v>AGT Level</v>
      </c>
      <c r="C57" s="38" t="str">
        <f aca="false">IF($A57="","",IFERROR(INDEX('Position Library'!$C$2:$C$53,MATCH($A57,'Position Library'!$A$2:$A$53,0)),""))</f>
        <v>Delta West</v>
      </c>
      <c r="D57" s="29" t="str">
        <f aca="false">IF($A57="","",IFERROR(INDEX('Position Library'!$D$2:$D$53,MATCH($A57,'Position Library'!$A$2:$A$53,0)),""))</f>
        <v>Tier 4</v>
      </c>
      <c r="E57" s="38" t="str">
        <f aca="false">IF($A57="","",IF($A57=45,"Information Desk = Y",IF(OR($A57=4,$A57=8),IF(OR(WEEKDAY($B$2,2)=1,WEEKDAY($B$2,2)=4,WEEKDAY($B$2,2)=5,WEEKDAY($B$2,2)=7),"Main Inside = 3","Main Inside &gt;= 2"),IF(AND($A57&gt;=46,$A57&lt;=52),"Divest = Y","General Qualifications &gt;= 2"))))</f>
        <v>General Qualifications &gt;= 2</v>
      </c>
      <c r="F57" s="29" t="str">
        <f aca="false">IF($A57="","",IFERROR(INDEX('Daily Workforce'!$B$6:$B$205,MATCH(1,Lists!Q53:HH53,0)),""))</f>
        <v>EMP-0147</v>
      </c>
      <c r="G57" s="1" t="str">
        <f aca="false">IF($F57="","",IFERROR(INDEX('Daily Workforce'!$C$6:$C$205,MATCH($F57,'Daily Workforce'!$B$6:$B$205,0)),""))</f>
        <v>Vanessa Cortes</v>
      </c>
      <c r="H57" s="29" t="str">
        <f aca="false">IF($F57="","",IFERROR(INDEX('Daily Workforce'!$D$6:$D$205,MATCH($F57,'Daily Workforce'!$B$6:$B$205,0)),""))</f>
        <v>5:45 AM</v>
      </c>
      <c r="I57" s="29" t="str">
        <f aca="false">IF($H57="","",$H57)</f>
        <v>5:45 AM</v>
      </c>
      <c r="J57" s="29" t="str">
        <f aca="false">IF($H57="","",IF($H57="3:45 AM","12:45 PM",IF($H57="5:45 AM","2:45 PM",IF($H57="12:15 PM","9:15 PM",IF($H57="2:00 PM","11:00 PM",IF($H57="9:15 PM","6:15 AM",""))))))</f>
        <v>2:45 PM</v>
      </c>
      <c r="K57" s="29" t="str">
        <f aca="false">IF($F57="","",IFERROR(INDEX('Daily Workforce'!$I$6:$I$205,MATCH($F57,'Daily Workforce'!$B$6:$B$205,0)),""))</f>
        <v>None</v>
      </c>
      <c r="L57" s="39" t="str">
        <f aca="false">IF($A57="","",IF($F57="","NO QUALIFIED EMPLOYEE","QUALIFIED"))</f>
        <v>QUALIFIED</v>
      </c>
      <c r="M57" s="29" t="str">
        <f aca="false">IF($A57="","",IF($F57="","UNFILLED","FILLED"))</f>
        <v>FILLED</v>
      </c>
      <c r="N57" s="43" t="str">
        <f aca="false">IF($F57="","",IF($H57="3:45 AM",IF(OR($K57="8:00 AM",$K57="9:00 AM"),$K57,CHOOSE(MOD(COUNTIF($H$6:$H57,$H57)-1,3)+1,"8:00 AM","8:00 AM","9:00 AM")),IF($H57="5:45 AM",IF(OR($K57="9:00 AM",$K57="10:00 AM"),$K57,CHOOSE(MOD(COUNTIF($H$6:$H57,$H57)-1,3)+1,"10:00 AM","10:00 AM","9:00 AM")),IF(AND($K57&lt;&gt;"",$K57&lt;&gt;"None"),$K57,IF($H57="12:15 PM",CHOOSE(MOD(COUNTIF($H$6:$H57,$H57)-1,2)+1,"4:00 PM","5:00 PM"),IF($H57="2:00 PM",CHOOSE(MOD(COUNTIF($H$6:$H57,$H57)-1,2)+1,"6:00 PM","7:00 PM"),IF($H57="9:15 PM",CHOOSE(MOD(COUNTIF($H$6:$H57,$H57)-1,2)+1,"1:00 AM","2:00 AM"),"")))))))</f>
        <v>10:00 AM</v>
      </c>
      <c r="O57" s="51" t="str">
        <f aca="false">IF($A57="","",IF(IFERROR(INDEX('Position Library'!$E$2:$E$53,MATCH($A57,'Position Library'!$A$2:$A$53,0)),"N")="Y",IF(AND(IFERROR(VALUE(INDEX('Position Relationships'!$B$2:$F$53,MATCH($A57,'Position Relationships'!$A$2:$A$53,0),1)),"")&lt;&gt;"",IFERROR(INDEX($N$6:$N$57,MATCH(IFERROR(VALUE(INDEX('Position Relationships'!$B$2:$F$53,MATCH($A57,'Position Relationships'!$A$2:$A$53,0),1)),""),$A$6:$A$57,0)),"")&lt;&gt;"",IFERROR(INDEX($N$6:$N$57,MATCH(IFERROR(VALUE(INDEX('Position Relationships'!$B$2:$F$53,MATCH($A57,'Position Relationships'!$A$2:$A$53,0),1)),""),$A$6:$A$57,0)),"")&lt;&gt;$N57),IFERROR(VALUE(INDEX('Position Relationships'!$B$2:$F$53,MATCH($A57,'Position Relationships'!$A$2:$A$53,0),1)),""),IF(AND(IFERROR(VALUE(INDEX('Position Relationships'!$B$2:$F$53,MATCH($A57,'Position Relationships'!$A$2:$A$53,0),2)),"")&lt;&gt;"",IFERROR(INDEX($N$6:$N$57,MATCH(IFERROR(VALUE(INDEX('Position Relationships'!$B$2:$F$53,MATCH($A57,'Position Relationships'!$A$2:$A$53,0),2)),""),$A$6:$A$57,0)),"")&lt;&gt;"",IFERROR(INDEX($N$6:$N$57,MATCH(IFERROR(VALUE(INDEX('Position Relationships'!$B$2:$F$53,MATCH($A57,'Position Relationships'!$A$2:$A$53,0),2)),""),$A$6:$A$57,0)),"")&lt;&gt;$N57),IFERROR(VALUE(INDEX('Position Relationships'!$B$2:$F$53,MATCH($A57,'Position Relationships'!$A$2:$A$53,0),2)),""),IF(AND(IFERROR(VALUE(INDEX('Position Relationships'!$B$2:$F$53,MATCH($A57,'Position Relationships'!$A$2:$A$53,0),3)),"")&lt;&gt;"",IFERROR(INDEX($N$6:$N$57,MATCH(IFERROR(VALUE(INDEX('Position Relationships'!$B$2:$F$53,MATCH($A57,'Position Relationships'!$A$2:$A$53,0),3)),""),$A$6:$A$57,0)),"")&lt;&gt;"",IFERROR(INDEX($N$6:$N$57,MATCH(IFERROR(VALUE(INDEX('Position Relationships'!$B$2:$F$53,MATCH($A57,'Position Relationships'!$A$2:$A$53,0),3)),""),$A$6:$A$57,0)),"")&lt;&gt;$N57),IFERROR(VALUE(INDEX('Position Relationships'!$B$2:$F$53,MATCH($A57,'Position Relationships'!$A$2:$A$53,0),3)),""),IF(AND(IFERROR(VALUE(INDEX('Position Relationships'!$B$2:$F$53,MATCH($A57,'Position Relationships'!$A$2:$A$53,0),4)),"")&lt;&gt;"",IFERROR(INDEX($N$6:$N$57,MATCH(IFERROR(VALUE(INDEX('Position Relationships'!$B$2:$F$53,MATCH($A57,'Position Relationships'!$A$2:$A$53,0),4)),""),$A$6:$A$57,0)),"")&lt;&gt;"",IFERROR(INDEX($N$6:$N$57,MATCH(IFERROR(VALUE(INDEX('Position Relationships'!$B$2:$F$53,MATCH($A57,'Position Relationships'!$A$2:$A$53,0),4)),""),$A$6:$A$57,0)),"")&lt;&gt;$N57),IFERROR(VALUE(INDEX('Position Relationships'!$B$2:$F$53,MATCH($A57,'Position Relationships'!$A$2:$A$53,0),4)),""),IF(AND(IFERROR(VALUE(INDEX('Position Relationships'!$B$2:$F$53,MATCH($A57,'Position Relationships'!$A$2:$A$53,0),5)),"")&lt;&gt;"",IFERROR(INDEX($N$6:$N$57,MATCH(IFERROR(VALUE(INDEX('Position Relationships'!$B$2:$F$53,MATCH($A57,'Position Relationships'!$A$2:$A$53,0),5)),""),$A$6:$A$57,0)),"")&lt;&gt;"",IFERROR(INDEX($N$6:$N$57,MATCH(IFERROR(VALUE(INDEX('Position Relationships'!$B$2:$F$53,MATCH($A57,'Position Relationships'!$A$2:$A$53,0),5)),""),$A$6:$A$57,0)),"")&lt;&gt;$N57),IFERROR(VALUE(INDEX('Position Relationships'!$B$2:$F$53,MATCH($A57,'Position Relationships'!$A$2:$A$53,0),5)),""),""))))),""))</f>
        <v/>
      </c>
      <c r="P57" s="51" t="str">
        <f aca="false">IF($O57="","",IFERROR(INDEX($F$6:$F$57,MATCH($O57,$A$6:$A$57,0)),""))</f>
        <v/>
      </c>
      <c r="Q57" s="52" t="str">
        <f aca="false">IF($A57="","",IF($M57&lt;&gt;"FILLED","POSITION UNFILLED",IF(IFERROR(INDEX('Position Library'!$E$2:$E$53,MATCH($A57,'Position Library'!$A$2:$A$53,0)),"N")&lt;&gt;"Y","NOT REQUIRED",IF(OR($O57="",$P57=""),"RELIEF GAP","COVERED"))))</f>
        <v>NOT REQUIRED</v>
      </c>
      <c r="R57" s="52" t="str">
        <f aca="false">IF($A57="","",IF($D57&lt;&gt;"Tier 1","N/A",IF(OR($E$2="PM",$E$2="Overnight"),"N/A",IF($H57="3:45 AM","COVERED","OPENING GAP"))))</f>
        <v>N/A</v>
      </c>
      <c r="S57" s="38"/>
    </row>
  </sheetData>
  <mergeCells count="2">
    <mergeCell ref="A1:S1"/>
    <mergeCell ref="A3:S3"/>
  </mergeCells>
  <conditionalFormatting sqref="M6:M57">
    <cfRule type="expression" priority="2" aboveAverage="0" equalAverage="0" bottom="0" percent="0" rank="0" text="" dxfId="18">
      <formula>$M6="FILLED"</formula>
    </cfRule>
    <cfRule type="expression" priority="3" aboveAverage="0" equalAverage="0" bottom="0" percent="0" rank="0" text="" dxfId="10">
      <formula>$M6="UNFILLED"</formula>
    </cfRule>
  </conditionalFormatting>
  <conditionalFormatting sqref="L6:L57">
    <cfRule type="expression" priority="4" aboveAverage="0" equalAverage="0" bottom="0" percent="0" rank="0" text="" dxfId="19">
      <formula>$L6="NO QUALIFIED EMPLOYEE"</formula>
    </cfRule>
  </conditionalFormatting>
  <conditionalFormatting sqref="Q6:Q57">
    <cfRule type="containsText" priority="5" operator="containsText" aboveAverage="0" equalAverage="0" bottom="0" percent="0" rank="0" text="COVERED" dxfId="20">
      <formula>NOT(ISERROR(SEARCH("COVERED",Q6)))</formula>
    </cfRule>
    <cfRule type="containsText" priority="6" operator="containsText" aboveAverage="0" equalAverage="0" bottom="0" percent="0" rank="0" text="GAP" dxfId="21">
      <formula>NOT(ISERROR(SEARCH("GAP",Q6)))</formula>
    </cfRule>
    <cfRule type="containsText" priority="7" operator="containsText" aboveAverage="0" equalAverage="0" bottom="0" percent="0" rank="0" text="UNFILLED" dxfId="21">
      <formula>NOT(ISERROR(SEARCH("UNFILLED",Q6)))</formula>
    </cfRule>
    <cfRule type="containsText" priority="8" operator="containsText" aboveAverage="0" equalAverage="0" bottom="0" percent="0" rank="0" text="CONFLICT" dxfId="22">
      <formula>NOT(ISERROR(SEARCH("CONFLICT",Q6)))</formula>
    </cfRule>
  </conditionalFormatting>
  <conditionalFormatting sqref="R6:R57">
    <cfRule type="containsText" priority="9" operator="containsText" aboveAverage="0" equalAverage="0" bottom="0" percent="0" rank="0" text="OPENING GAP" dxfId="21">
      <formula>NOT(ISERROR(SEARCH("OPENING GAP",R6)))</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2" min="1" style="1" width="15"/>
    <col collapsed="false" customWidth="true" hidden="false" outlineLevel="0" max="3" min="3" style="1" width="24"/>
    <col collapsed="false" customWidth="true" hidden="false" outlineLevel="0" max="7" min="4" style="1" width="15"/>
    <col collapsed="false" customWidth="true" hidden="false" outlineLevel="0" max="8" min="8" style="1" width="26"/>
    <col collapsed="false" customWidth="true" hidden="false" outlineLevel="0" max="9" min="9" style="1" width="24"/>
    <col collapsed="false" customWidth="true" hidden="false" outlineLevel="0" max="11" min="10" style="1" width="15"/>
    <col collapsed="false" customWidth="true" hidden="false" outlineLevel="0" max="13" min="12" style="1" width="20"/>
    <col collapsed="false" customWidth="true" hidden="false" outlineLevel="0" max="14" min="14" style="1" width="28"/>
  </cols>
  <sheetData>
    <row r="1" customFormat="false" ht="31.5" hidden="false" customHeight="true" outlineLevel="0" collapsed="false">
      <c r="A1" s="54" t="s">
        <v>514</v>
      </c>
      <c r="B1" s="54" t="s">
        <v>63</v>
      </c>
      <c r="C1" s="54" t="s">
        <v>64</v>
      </c>
      <c r="D1" s="54" t="s">
        <v>22</v>
      </c>
      <c r="E1" s="54" t="s">
        <v>536</v>
      </c>
      <c r="F1" s="54" t="s">
        <v>537</v>
      </c>
      <c r="G1" s="54" t="s">
        <v>538</v>
      </c>
      <c r="H1" s="54" t="s">
        <v>539</v>
      </c>
      <c r="I1" s="54" t="s">
        <v>540</v>
      </c>
      <c r="J1" s="54" t="s">
        <v>20</v>
      </c>
      <c r="K1" s="54" t="s">
        <v>541</v>
      </c>
      <c r="L1" s="54" t="s">
        <v>542</v>
      </c>
      <c r="M1" s="54" t="s">
        <v>543</v>
      </c>
      <c r="N1" s="54" t="s">
        <v>515</v>
      </c>
    </row>
  </sheetData>
  <dataValidations count="3">
    <dataValidation allowBlank="false" error="Select a Position ID from the approved list." errorStyle="stop" errorTitle="Invalid position" operator="between" showDropDown="false" showErrorMessage="true" showInputMessage="false" sqref="J2:J1000" type="list">
      <formula1>PositionIDList</formula1>
      <formula2>0</formula2>
    </dataValidation>
    <dataValidation allowBlank="false" error="Select the role performed." errorStyle="stop" errorTitle="Invalid Divest role" operator="between" showDropDown="false" showErrorMessage="true" showInputMessage="false" sqref="K2:K1000" type="list">
      <formula1>DivestRoleList</formula1>
      <formula2>0</formula2>
    </dataValidation>
    <dataValidation allowBlank="false" error="Enter hours between 0 and 12." errorStyle="stop" errorTitle="Invalid hours" operator="between" showDropDown="false" showErrorMessage="true" showInputMessage="false" sqref="L2:M1000" type="decimal">
      <formula1>0</formula1>
      <formula2>12</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110"/>
  </cols>
  <sheetData>
    <row r="1" customFormat="false" ht="17.25" hidden="false" customHeight="true" outlineLevel="0" collapsed="false">
      <c r="A1" s="55" t="s">
        <v>544</v>
      </c>
    </row>
    <row r="3" customFormat="false" ht="14.25" hidden="false" customHeight="true" outlineLevel="0" collapsed="false">
      <c r="A3" s="11" t="s">
        <v>545</v>
      </c>
    </row>
    <row r="4" customFormat="false" ht="14.25" hidden="false" customHeight="true" outlineLevel="0" collapsed="false">
      <c r="A4" s="15" t="s">
        <v>546</v>
      </c>
    </row>
    <row r="5" customFormat="false" ht="14.25" hidden="false" customHeight="true" outlineLevel="0" collapsed="false">
      <c r="A5" s="15" t="s">
        <v>547</v>
      </c>
    </row>
    <row r="6" customFormat="false" ht="14.25" hidden="false" customHeight="true" outlineLevel="0" collapsed="false">
      <c r="A6" s="15" t="s">
        <v>548</v>
      </c>
    </row>
    <row r="7" customFormat="false" ht="14.25" hidden="false" customHeight="true" outlineLevel="0" collapsed="false">
      <c r="A7" s="15" t="s">
        <v>549</v>
      </c>
    </row>
    <row r="8" customFormat="false" ht="14.25" hidden="false" customHeight="true" outlineLevel="0" collapsed="false">
      <c r="A8" s="15" t="s">
        <v>550</v>
      </c>
    </row>
    <row r="9" customFormat="false" ht="23.25" hidden="false" customHeight="true" outlineLevel="0" collapsed="false">
      <c r="A9" s="56" t="s">
        <v>551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S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4" min="1" style="1" width="22"/>
  </cols>
  <sheetData>
    <row r="1" customFormat="false" ht="15" hidden="false" customHeight="true" outlineLevel="0" collapsed="false">
      <c r="A1" s="57" t="s">
        <v>552</v>
      </c>
      <c r="B1" s="57" t="s">
        <v>553</v>
      </c>
      <c r="C1" s="57" t="s">
        <v>554</v>
      </c>
      <c r="D1" s="57" t="s">
        <v>555</v>
      </c>
      <c r="E1" s="57" t="s">
        <v>556</v>
      </c>
      <c r="F1" s="57" t="s">
        <v>557</v>
      </c>
      <c r="G1" s="57" t="s">
        <v>558</v>
      </c>
      <c r="H1" s="57" t="s">
        <v>559</v>
      </c>
      <c r="I1" s="57" t="s">
        <v>560</v>
      </c>
      <c r="J1" s="57" t="s">
        <v>561</v>
      </c>
      <c r="K1" s="57" t="s">
        <v>562</v>
      </c>
      <c r="L1" s="57" t="s">
        <v>563</v>
      </c>
      <c r="M1" s="57" t="s">
        <v>564</v>
      </c>
      <c r="N1" s="57" t="s">
        <v>565</v>
      </c>
      <c r="O1" s="1" t="s">
        <v>566</v>
      </c>
      <c r="P1" s="1" t="s">
        <v>567</v>
      </c>
      <c r="Q1" s="1" t="s">
        <v>568</v>
      </c>
      <c r="R1" s="1" t="s">
        <v>569</v>
      </c>
      <c r="S1" s="1" t="s">
        <v>570</v>
      </c>
      <c r="T1" s="1" t="s">
        <v>571</v>
      </c>
      <c r="U1" s="1" t="s">
        <v>572</v>
      </c>
      <c r="V1" s="1" t="s">
        <v>573</v>
      </c>
      <c r="W1" s="1" t="s">
        <v>574</v>
      </c>
      <c r="X1" s="1" t="s">
        <v>575</v>
      </c>
      <c r="Y1" s="1" t="s">
        <v>576</v>
      </c>
      <c r="Z1" s="1" t="s">
        <v>577</v>
      </c>
      <c r="AA1" s="1" t="s">
        <v>578</v>
      </c>
      <c r="AB1" s="1" t="s">
        <v>579</v>
      </c>
      <c r="AC1" s="1" t="s">
        <v>580</v>
      </c>
      <c r="AD1" s="1" t="s">
        <v>581</v>
      </c>
      <c r="AE1" s="1" t="s">
        <v>582</v>
      </c>
      <c r="AF1" s="1" t="s">
        <v>583</v>
      </c>
      <c r="AG1" s="1" t="s">
        <v>584</v>
      </c>
      <c r="AH1" s="1" t="s">
        <v>585</v>
      </c>
      <c r="AI1" s="1" t="s">
        <v>586</v>
      </c>
      <c r="AJ1" s="1" t="s">
        <v>587</v>
      </c>
      <c r="AK1" s="1" t="s">
        <v>588</v>
      </c>
      <c r="AL1" s="1" t="s">
        <v>589</v>
      </c>
      <c r="AM1" s="1" t="s">
        <v>590</v>
      </c>
      <c r="AN1" s="1" t="s">
        <v>591</v>
      </c>
      <c r="AO1" s="1" t="s">
        <v>592</v>
      </c>
      <c r="AP1" s="1" t="s">
        <v>593</v>
      </c>
      <c r="AQ1" s="1" t="s">
        <v>594</v>
      </c>
      <c r="AR1" s="1" t="s">
        <v>595</v>
      </c>
      <c r="AS1" s="1" t="s">
        <v>596</v>
      </c>
      <c r="AT1" s="1" t="s">
        <v>597</v>
      </c>
      <c r="AU1" s="1" t="s">
        <v>598</v>
      </c>
      <c r="AV1" s="1" t="s">
        <v>599</v>
      </c>
      <c r="AW1" s="1" t="s">
        <v>600</v>
      </c>
      <c r="AX1" s="1" t="s">
        <v>601</v>
      </c>
      <c r="AY1" s="1" t="s">
        <v>602</v>
      </c>
      <c r="AZ1" s="1" t="s">
        <v>603</v>
      </c>
      <c r="BA1" s="1" t="s">
        <v>604</v>
      </c>
      <c r="BB1" s="1" t="s">
        <v>605</v>
      </c>
      <c r="BC1" s="1" t="s">
        <v>606</v>
      </c>
      <c r="BD1" s="1" t="s">
        <v>607</v>
      </c>
      <c r="BE1" s="1" t="s">
        <v>608</v>
      </c>
      <c r="BF1" s="1" t="s">
        <v>609</v>
      </c>
      <c r="BG1" s="1" t="s">
        <v>610</v>
      </c>
      <c r="BH1" s="1" t="s">
        <v>611</v>
      </c>
      <c r="BI1" s="1" t="s">
        <v>612</v>
      </c>
      <c r="BJ1" s="1" t="s">
        <v>613</v>
      </c>
      <c r="BK1" s="1" t="s">
        <v>614</v>
      </c>
      <c r="BL1" s="1" t="s">
        <v>615</v>
      </c>
      <c r="BM1" s="1" t="s">
        <v>616</v>
      </c>
      <c r="BN1" s="1" t="s">
        <v>617</v>
      </c>
      <c r="BO1" s="1" t="s">
        <v>618</v>
      </c>
      <c r="BP1" s="1" t="s">
        <v>619</v>
      </c>
      <c r="BQ1" s="1" t="s">
        <v>620</v>
      </c>
      <c r="BR1" s="1" t="s">
        <v>621</v>
      </c>
      <c r="BS1" s="1" t="s">
        <v>622</v>
      </c>
      <c r="BT1" s="1" t="s">
        <v>623</v>
      </c>
      <c r="BU1" s="1" t="s">
        <v>624</v>
      </c>
      <c r="BV1" s="1" t="s">
        <v>625</v>
      </c>
      <c r="BW1" s="1" t="s">
        <v>626</v>
      </c>
      <c r="BX1" s="1" t="s">
        <v>627</v>
      </c>
      <c r="BY1" s="1" t="s">
        <v>628</v>
      </c>
      <c r="BZ1" s="1" t="s">
        <v>629</v>
      </c>
      <c r="CA1" s="1" t="s">
        <v>630</v>
      </c>
      <c r="CB1" s="1" t="s">
        <v>631</v>
      </c>
      <c r="CC1" s="1" t="s">
        <v>632</v>
      </c>
      <c r="CD1" s="1" t="s">
        <v>633</v>
      </c>
      <c r="CE1" s="1" t="s">
        <v>634</v>
      </c>
      <c r="CF1" s="1" t="s">
        <v>635</v>
      </c>
      <c r="CG1" s="1" t="s">
        <v>636</v>
      </c>
      <c r="CH1" s="1" t="s">
        <v>637</v>
      </c>
      <c r="CI1" s="1" t="s">
        <v>638</v>
      </c>
      <c r="CJ1" s="1" t="s">
        <v>639</v>
      </c>
      <c r="CK1" s="1" t="s">
        <v>640</v>
      </c>
      <c r="CL1" s="1" t="s">
        <v>641</v>
      </c>
      <c r="CM1" s="1" t="s">
        <v>642</v>
      </c>
      <c r="CN1" s="1" t="s">
        <v>643</v>
      </c>
      <c r="CO1" s="1" t="s">
        <v>644</v>
      </c>
      <c r="CP1" s="1" t="s">
        <v>645</v>
      </c>
      <c r="CQ1" s="1" t="s">
        <v>646</v>
      </c>
      <c r="CR1" s="1" t="s">
        <v>647</v>
      </c>
      <c r="CS1" s="1" t="s">
        <v>648</v>
      </c>
      <c r="CT1" s="1" t="s">
        <v>649</v>
      </c>
      <c r="CU1" s="1" t="s">
        <v>650</v>
      </c>
      <c r="CV1" s="1" t="s">
        <v>651</v>
      </c>
      <c r="CW1" s="1" t="s">
        <v>652</v>
      </c>
      <c r="CX1" s="1" t="s">
        <v>653</v>
      </c>
      <c r="CY1" s="1" t="s">
        <v>654</v>
      </c>
      <c r="CZ1" s="1" t="s">
        <v>655</v>
      </c>
      <c r="DA1" s="1" t="s">
        <v>656</v>
      </c>
      <c r="DB1" s="1" t="s">
        <v>657</v>
      </c>
      <c r="DC1" s="1" t="s">
        <v>658</v>
      </c>
      <c r="DD1" s="1" t="s">
        <v>659</v>
      </c>
      <c r="DE1" s="1" t="s">
        <v>660</v>
      </c>
      <c r="DF1" s="1" t="s">
        <v>661</v>
      </c>
      <c r="DG1" s="1" t="s">
        <v>662</v>
      </c>
      <c r="DH1" s="1" t="s">
        <v>663</v>
      </c>
      <c r="DI1" s="1" t="s">
        <v>664</v>
      </c>
      <c r="DJ1" s="1" t="s">
        <v>665</v>
      </c>
      <c r="DK1" s="1" t="s">
        <v>666</v>
      </c>
      <c r="DL1" s="1" t="s">
        <v>667</v>
      </c>
      <c r="DM1" s="1" t="s">
        <v>668</v>
      </c>
      <c r="DN1" s="1" t="s">
        <v>669</v>
      </c>
      <c r="DO1" s="1" t="s">
        <v>670</v>
      </c>
      <c r="DP1" s="1" t="s">
        <v>671</v>
      </c>
      <c r="DQ1" s="1" t="s">
        <v>672</v>
      </c>
      <c r="DR1" s="1" t="s">
        <v>673</v>
      </c>
      <c r="DS1" s="1" t="s">
        <v>674</v>
      </c>
      <c r="DT1" s="1" t="s">
        <v>675</v>
      </c>
      <c r="DU1" s="1" t="s">
        <v>676</v>
      </c>
      <c r="DV1" s="1" t="s">
        <v>677</v>
      </c>
      <c r="DW1" s="1" t="s">
        <v>678</v>
      </c>
      <c r="DX1" s="1" t="s">
        <v>679</v>
      </c>
      <c r="DY1" s="1" t="s">
        <v>680</v>
      </c>
      <c r="DZ1" s="1" t="s">
        <v>681</v>
      </c>
      <c r="EA1" s="1" t="s">
        <v>682</v>
      </c>
      <c r="EB1" s="1" t="s">
        <v>683</v>
      </c>
      <c r="EC1" s="1" t="s">
        <v>684</v>
      </c>
      <c r="ED1" s="1" t="s">
        <v>685</v>
      </c>
      <c r="EE1" s="1" t="s">
        <v>686</v>
      </c>
      <c r="EF1" s="1" t="s">
        <v>687</v>
      </c>
      <c r="EG1" s="1" t="s">
        <v>688</v>
      </c>
      <c r="EH1" s="1" t="s">
        <v>689</v>
      </c>
      <c r="EI1" s="1" t="s">
        <v>690</v>
      </c>
      <c r="EJ1" s="1" t="s">
        <v>691</v>
      </c>
      <c r="EK1" s="1" t="s">
        <v>692</v>
      </c>
      <c r="EL1" s="1" t="s">
        <v>693</v>
      </c>
      <c r="EM1" s="1" t="s">
        <v>694</v>
      </c>
      <c r="EN1" s="1" t="s">
        <v>695</v>
      </c>
      <c r="EO1" s="1" t="s">
        <v>696</v>
      </c>
      <c r="EP1" s="1" t="s">
        <v>697</v>
      </c>
      <c r="EQ1" s="1" t="s">
        <v>698</v>
      </c>
      <c r="ER1" s="1" t="s">
        <v>699</v>
      </c>
      <c r="ES1" s="1" t="s">
        <v>700</v>
      </c>
      <c r="ET1" s="1" t="s">
        <v>701</v>
      </c>
      <c r="EU1" s="1" t="s">
        <v>702</v>
      </c>
      <c r="EV1" s="1" t="s">
        <v>703</v>
      </c>
      <c r="EW1" s="1" t="s">
        <v>704</v>
      </c>
      <c r="EX1" s="1" t="s">
        <v>705</v>
      </c>
      <c r="EY1" s="1" t="s">
        <v>706</v>
      </c>
      <c r="EZ1" s="1" t="s">
        <v>707</v>
      </c>
      <c r="FA1" s="1" t="s">
        <v>708</v>
      </c>
      <c r="FB1" s="1" t="s">
        <v>709</v>
      </c>
      <c r="FC1" s="1" t="s">
        <v>710</v>
      </c>
      <c r="FD1" s="1" t="s">
        <v>711</v>
      </c>
      <c r="FE1" s="1" t="s">
        <v>712</v>
      </c>
      <c r="FF1" s="1" t="s">
        <v>713</v>
      </c>
      <c r="FG1" s="1" t="s">
        <v>714</v>
      </c>
      <c r="FH1" s="1" t="s">
        <v>715</v>
      </c>
      <c r="FI1" s="1" t="s">
        <v>716</v>
      </c>
      <c r="FJ1" s="1" t="s">
        <v>717</v>
      </c>
      <c r="FK1" s="1" t="s">
        <v>718</v>
      </c>
      <c r="FL1" s="1" t="s">
        <v>719</v>
      </c>
      <c r="FM1" s="1" t="s">
        <v>720</v>
      </c>
      <c r="FN1" s="1" t="s">
        <v>721</v>
      </c>
      <c r="FO1" s="1" t="s">
        <v>722</v>
      </c>
      <c r="FP1" s="1" t="s">
        <v>723</v>
      </c>
      <c r="FQ1" s="1" t="s">
        <v>724</v>
      </c>
      <c r="FR1" s="1" t="s">
        <v>725</v>
      </c>
      <c r="FS1" s="1" t="s">
        <v>726</v>
      </c>
      <c r="FT1" s="1" t="s">
        <v>727</v>
      </c>
      <c r="FU1" s="1" t="s">
        <v>728</v>
      </c>
      <c r="FV1" s="1" t="s">
        <v>729</v>
      </c>
      <c r="FW1" s="1" t="s">
        <v>730</v>
      </c>
      <c r="FX1" s="1" t="s">
        <v>731</v>
      </c>
      <c r="FY1" s="1" t="s">
        <v>732</v>
      </c>
      <c r="FZ1" s="1" t="s">
        <v>733</v>
      </c>
      <c r="GA1" s="1" t="s">
        <v>734</v>
      </c>
      <c r="GB1" s="1" t="s">
        <v>735</v>
      </c>
      <c r="GC1" s="1" t="s">
        <v>736</v>
      </c>
      <c r="GD1" s="1" t="s">
        <v>737</v>
      </c>
      <c r="GE1" s="1" t="s">
        <v>738</v>
      </c>
      <c r="GF1" s="1" t="s">
        <v>739</v>
      </c>
      <c r="GG1" s="1" t="s">
        <v>740</v>
      </c>
      <c r="GH1" s="1" t="s">
        <v>741</v>
      </c>
      <c r="GI1" s="1" t="s">
        <v>742</v>
      </c>
      <c r="GJ1" s="1" t="s">
        <v>743</v>
      </c>
      <c r="GK1" s="1" t="s">
        <v>744</v>
      </c>
      <c r="GL1" s="1" t="s">
        <v>745</v>
      </c>
      <c r="GM1" s="1" t="s">
        <v>746</v>
      </c>
      <c r="GN1" s="1" t="s">
        <v>747</v>
      </c>
      <c r="GO1" s="1" t="s">
        <v>748</v>
      </c>
      <c r="GP1" s="1" t="s">
        <v>749</v>
      </c>
      <c r="GQ1" s="1" t="s">
        <v>750</v>
      </c>
      <c r="GR1" s="1" t="s">
        <v>751</v>
      </c>
      <c r="GS1" s="1" t="s">
        <v>752</v>
      </c>
      <c r="GT1" s="1" t="s">
        <v>753</v>
      </c>
      <c r="GU1" s="1" t="s">
        <v>754</v>
      </c>
      <c r="GV1" s="1" t="s">
        <v>755</v>
      </c>
      <c r="GW1" s="1" t="s">
        <v>756</v>
      </c>
      <c r="GX1" s="1" t="s">
        <v>757</v>
      </c>
      <c r="GY1" s="1" t="s">
        <v>758</v>
      </c>
      <c r="GZ1" s="1" t="s">
        <v>759</v>
      </c>
      <c r="HA1" s="1" t="s">
        <v>760</v>
      </c>
      <c r="HB1" s="1" t="s">
        <v>761</v>
      </c>
      <c r="HC1" s="1" t="s">
        <v>762</v>
      </c>
      <c r="HD1" s="1" t="s">
        <v>763</v>
      </c>
      <c r="HE1" s="1" t="s">
        <v>764</v>
      </c>
      <c r="HF1" s="1" t="s">
        <v>765</v>
      </c>
      <c r="HG1" s="1" t="s">
        <v>766</v>
      </c>
      <c r="HH1" s="1" t="s">
        <v>767</v>
      </c>
      <c r="HI1" s="1" t="s">
        <v>768</v>
      </c>
      <c r="HJ1" s="1" t="s">
        <v>769</v>
      </c>
      <c r="HK1" s="1" t="s">
        <v>770</v>
      </c>
      <c r="JL1" s="1" t="s">
        <v>771</v>
      </c>
      <c r="JM1" s="1" t="s">
        <v>772</v>
      </c>
      <c r="JN1" s="1" t="s">
        <v>773</v>
      </c>
      <c r="JO1" s="1" t="s">
        <v>774</v>
      </c>
      <c r="JP1" s="1" t="s">
        <v>775</v>
      </c>
      <c r="JQ1" s="1" t="s">
        <v>48</v>
      </c>
      <c r="JR1" s="1" t="s">
        <v>776</v>
      </c>
      <c r="LS1" s="57" t="s">
        <v>777</v>
      </c>
    </row>
    <row r="2" customFormat="false" ht="15" hidden="false" customHeight="true" outlineLevel="0" collapsed="false">
      <c r="A2" s="1" t="s">
        <v>97</v>
      </c>
      <c r="B2" s="1" t="s">
        <v>77</v>
      </c>
      <c r="C2" s="1" t="s">
        <v>78</v>
      </c>
      <c r="D2" s="1" t="s">
        <v>77</v>
      </c>
      <c r="E2" s="1" t="s">
        <v>76</v>
      </c>
      <c r="F2" s="1" t="s">
        <v>77</v>
      </c>
      <c r="G2" s="1" t="s">
        <v>77</v>
      </c>
      <c r="H2" s="1" t="s">
        <v>510</v>
      </c>
      <c r="I2" s="1" t="s">
        <v>778</v>
      </c>
      <c r="J2" s="1" t="s">
        <v>468</v>
      </c>
      <c r="K2" s="1" t="s">
        <v>411</v>
      </c>
      <c r="L2" s="1" t="s">
        <v>468</v>
      </c>
      <c r="M2" s="1" t="s">
        <v>91</v>
      </c>
      <c r="N2" s="1" t="n">
        <v>1</v>
      </c>
      <c r="O2" s="1" t="n">
        <f aca="false">IF(AND('Employee Master'!$G2="Y",ISERROR(SEARCH(TEXT('Daily Workforce'!$B$2,"ddd"),'Employee Master'!$D2)),IF('Daily Workforce'!$E$2="",TRUE(),'Employee Master'!$I2='Daily Workforce'!$E$2)),'Employee Master'!$K2*1000+ROW()-1,"")</f>
        <v>4001</v>
      </c>
      <c r="P2" s="1" t="n">
        <f aca="false">IF($O2="","",COUNTIF($O$2:$O$159,"&lt;="&amp;$O2))</f>
        <v>82</v>
      </c>
      <c r="Q2" s="1" t="n">
        <f aca="false">IF(AND('Daily Workforce'!$N6="Y",'Daily Workforce'!$B6&lt;&gt;"",COUNTIF('Daily Schedule'!$F$5:$F5,'Daily Workforce'!$B6)=0,'Daily Workforce'!$M6="Y",IF(OR('Daily Schedule'!$E$2="Full Day",'Daily Schedule'!$E$2="AM"),'Daily Workforce'!$D6="3:45 AM",IF('Daily Schedule'!$E$2="PM",'Daily Workforce'!$E6="PM",'Daily Workforce'!$E6="Overnight"))),'Daily Workforce'!$V6*1000+6,999999999)</f>
        <v>6</v>
      </c>
      <c r="R2" s="1" t="n">
        <f aca="false">IF(AND('Daily Workforce'!$N7="Y",'Daily Workforce'!$B7&lt;&gt;"",COUNTIF('Daily Schedule'!$F$5:$F5,'Daily Workforce'!$B7)=0,'Daily Workforce'!$M7="Y",IF(OR('Daily Schedule'!$E$2="Full Day",'Daily Schedule'!$E$2="AM"),'Daily Workforce'!$D7="3:45 AM",IF('Daily Schedule'!$E$2="PM",'Daily Workforce'!$E7="PM",'Daily Workforce'!$E7="Overnight"))),'Daily Workforce'!$V7*1000+7,999999999)</f>
        <v>7</v>
      </c>
      <c r="S2" s="1" t="n">
        <f aca="false">IF(AND('Daily Workforce'!$N8="Y",'Daily Workforce'!$B8&lt;&gt;"",COUNTIF('Daily Schedule'!$F$5:$F5,'Daily Workforce'!$B8)=0,'Daily Workforce'!$M8="Y",IF(OR('Daily Schedule'!$E$2="Full Day",'Daily Schedule'!$E$2="AM"),'Daily Workforce'!$D8="3:45 AM",IF('Daily Schedule'!$E$2="PM",'Daily Workforce'!$E8="PM",'Daily Workforce'!$E8="Overnight"))),'Daily Workforce'!$V8*1000+8,999999999)</f>
        <v>8</v>
      </c>
      <c r="T2" s="1" t="n">
        <f aca="false">IF(AND('Daily Workforce'!$N9="Y",'Daily Workforce'!$B9&lt;&gt;"",COUNTIF('Daily Schedule'!$F$5:$F5,'Daily Workforce'!$B9)=0,'Daily Workforce'!$M9="Y",IF(OR('Daily Schedule'!$E$2="Full Day",'Daily Schedule'!$E$2="AM"),'Daily Workforce'!$D9="3:45 AM",IF('Daily Schedule'!$E$2="PM",'Daily Workforce'!$E9="PM",'Daily Workforce'!$E9="Overnight"))),'Daily Workforce'!$V9*1000+9,999999999)</f>
        <v>9</v>
      </c>
      <c r="U2" s="1" t="n">
        <f aca="false">IF(AND('Daily Workforce'!$N10="Y",'Daily Workforce'!$B10&lt;&gt;"",COUNTIF('Daily Schedule'!$F$5:$F5,'Daily Workforce'!$B10)=0,'Daily Workforce'!$M10="Y",IF(OR('Daily Schedule'!$E$2="Full Day",'Daily Schedule'!$E$2="AM"),'Daily Workforce'!$D10="3:45 AM",IF('Daily Schedule'!$E$2="PM",'Daily Workforce'!$E10="PM",'Daily Workforce'!$E10="Overnight"))),'Daily Workforce'!$V10*1000+10,999999999)</f>
        <v>10</v>
      </c>
      <c r="V2" s="1" t="n">
        <f aca="false">IF(AND('Daily Workforce'!$N11="Y",'Daily Workforce'!$B11&lt;&gt;"",COUNTIF('Daily Schedule'!$F$5:$F5,'Daily Workforce'!$B11)=0,'Daily Workforce'!$M11="Y",IF(OR('Daily Schedule'!$E$2="Full Day",'Daily Schedule'!$E$2="AM"),'Daily Workforce'!$D11="3:45 AM",IF('Daily Schedule'!$E$2="PM",'Daily Workforce'!$E11="PM",'Daily Workforce'!$E11="Overnight"))),'Daily Workforce'!$V11*1000+11,999999999)</f>
        <v>11</v>
      </c>
      <c r="W2" s="1" t="n">
        <f aca="false">IF(AND('Daily Workforce'!$N12="Y",'Daily Workforce'!$B12&lt;&gt;"",COUNTIF('Daily Schedule'!$F$5:$F5,'Daily Workforce'!$B12)=0,'Daily Workforce'!$M12="Y",IF(OR('Daily Schedule'!$E$2="Full Day",'Daily Schedule'!$E$2="AM"),'Daily Workforce'!$D12="3:45 AM",IF('Daily Schedule'!$E$2="PM",'Daily Workforce'!$E12="PM",'Daily Workforce'!$E12="Overnight"))),'Daily Workforce'!$V12*1000+12,999999999)</f>
        <v>12</v>
      </c>
      <c r="X2" s="1" t="n">
        <f aca="false">IF(AND('Daily Workforce'!$N13="Y",'Daily Workforce'!$B13&lt;&gt;"",COUNTIF('Daily Schedule'!$F$5:$F5,'Daily Workforce'!$B13)=0,'Daily Workforce'!$M13="Y",IF(OR('Daily Schedule'!$E$2="Full Day",'Daily Schedule'!$E$2="AM"),'Daily Workforce'!$D13="3:45 AM",IF('Daily Schedule'!$E$2="PM",'Daily Workforce'!$E13="PM",'Daily Workforce'!$E13="Overnight"))),'Daily Workforce'!$V13*1000+13,999999999)</f>
        <v>13</v>
      </c>
      <c r="Y2" s="1" t="n">
        <f aca="false">IF(AND('Daily Workforce'!$N14="Y",'Daily Workforce'!$B14&lt;&gt;"",COUNTIF('Daily Schedule'!$F$5:$F5,'Daily Workforce'!$B14)=0,'Daily Workforce'!$M14="Y",IF(OR('Daily Schedule'!$E$2="Full Day",'Daily Schedule'!$E$2="AM"),'Daily Workforce'!$D14="3:45 AM",IF('Daily Schedule'!$E$2="PM",'Daily Workforce'!$E14="PM",'Daily Workforce'!$E14="Overnight"))),'Daily Workforce'!$V14*1000+14,999999999)</f>
        <v>14</v>
      </c>
      <c r="Z2" s="1" t="n">
        <f aca="false">IF(AND('Daily Workforce'!$N15="Y",'Daily Workforce'!$B15&lt;&gt;"",COUNTIF('Daily Schedule'!$F$5:$F5,'Daily Workforce'!$B15)=0,'Daily Workforce'!$M15="Y",IF(OR('Daily Schedule'!$E$2="Full Day",'Daily Schedule'!$E$2="AM"),'Daily Workforce'!$D15="3:45 AM",IF('Daily Schedule'!$E$2="PM",'Daily Workforce'!$E15="PM",'Daily Workforce'!$E15="Overnight"))),'Daily Workforce'!$V15*1000+15,999999999)</f>
        <v>999999999</v>
      </c>
      <c r="AA2" s="1" t="n">
        <f aca="false">IF(AND('Daily Workforce'!$N16="Y",'Daily Workforce'!$B16&lt;&gt;"",COUNTIF('Daily Schedule'!$F$5:$F5,'Daily Workforce'!$B16)=0,'Daily Workforce'!$M16="Y",IF(OR('Daily Schedule'!$E$2="Full Day",'Daily Schedule'!$E$2="AM"),'Daily Workforce'!$D16="3:45 AM",IF('Daily Schedule'!$E$2="PM",'Daily Workforce'!$E16="PM",'Daily Workforce'!$E16="Overnight"))),'Daily Workforce'!$V16*1000+16,999999999)</f>
        <v>16</v>
      </c>
      <c r="AB2" s="1" t="n">
        <f aca="false">IF(AND('Daily Workforce'!$N17="Y",'Daily Workforce'!$B17&lt;&gt;"",COUNTIF('Daily Schedule'!$F$5:$F5,'Daily Workforce'!$B17)=0,'Daily Workforce'!$M17="Y",IF(OR('Daily Schedule'!$E$2="Full Day",'Daily Schedule'!$E$2="AM"),'Daily Workforce'!$D17="3:45 AM",IF('Daily Schedule'!$E$2="PM",'Daily Workforce'!$E17="PM",'Daily Workforce'!$E17="Overnight"))),'Daily Workforce'!$V17*1000+17,999999999)</f>
        <v>17</v>
      </c>
      <c r="AC2" s="1" t="n">
        <f aca="false">IF(AND('Daily Workforce'!$N18="Y",'Daily Workforce'!$B18&lt;&gt;"",COUNTIF('Daily Schedule'!$F$5:$F5,'Daily Workforce'!$B18)=0,'Daily Workforce'!$M18="Y",IF(OR('Daily Schedule'!$E$2="Full Day",'Daily Schedule'!$E$2="AM"),'Daily Workforce'!$D18="3:45 AM",IF('Daily Schedule'!$E$2="PM",'Daily Workforce'!$E18="PM",'Daily Workforce'!$E18="Overnight"))),'Daily Workforce'!$V18*1000+18,999999999)</f>
        <v>18</v>
      </c>
      <c r="AD2" s="1" t="n">
        <f aca="false">IF(AND('Daily Workforce'!$N19="Y",'Daily Workforce'!$B19&lt;&gt;"",COUNTIF('Daily Schedule'!$F$5:$F5,'Daily Workforce'!$B19)=0,'Daily Workforce'!$M19="Y",IF(OR('Daily Schedule'!$E$2="Full Day",'Daily Schedule'!$E$2="AM"),'Daily Workforce'!$D19="3:45 AM",IF('Daily Schedule'!$E$2="PM",'Daily Workforce'!$E19="PM",'Daily Workforce'!$E19="Overnight"))),'Daily Workforce'!$V19*1000+19,999999999)</f>
        <v>19</v>
      </c>
      <c r="AE2" s="1" t="n">
        <f aca="false">IF(AND('Daily Workforce'!$N20="Y",'Daily Workforce'!$B20&lt;&gt;"",COUNTIF('Daily Schedule'!$F$5:$F5,'Daily Workforce'!$B20)=0,'Daily Workforce'!$M20="Y",IF(OR('Daily Schedule'!$E$2="Full Day",'Daily Schedule'!$E$2="AM"),'Daily Workforce'!$D20="3:45 AM",IF('Daily Schedule'!$E$2="PM",'Daily Workforce'!$E20="PM",'Daily Workforce'!$E20="Overnight"))),'Daily Workforce'!$V20*1000+20,999999999)</f>
        <v>20</v>
      </c>
      <c r="AF2" s="1" t="n">
        <f aca="false">IF(AND('Daily Workforce'!$N21="Y",'Daily Workforce'!$B21&lt;&gt;"",COUNTIF('Daily Schedule'!$F$5:$F5,'Daily Workforce'!$B21)=0,'Daily Workforce'!$M21="Y",IF(OR('Daily Schedule'!$E$2="Full Day",'Daily Schedule'!$E$2="AM"),'Daily Workforce'!$D21="3:45 AM",IF('Daily Schedule'!$E$2="PM",'Daily Workforce'!$E21="PM",'Daily Workforce'!$E21="Overnight"))),'Daily Workforce'!$V21*1000+21,999999999)</f>
        <v>21</v>
      </c>
      <c r="AG2" s="1" t="n">
        <f aca="false">IF(AND('Daily Workforce'!$N22="Y",'Daily Workforce'!$B22&lt;&gt;"",COUNTIF('Daily Schedule'!$F$5:$F5,'Daily Workforce'!$B22)=0,'Daily Workforce'!$M22="Y",IF(OR('Daily Schedule'!$E$2="Full Day",'Daily Schedule'!$E$2="AM"),'Daily Workforce'!$D22="3:45 AM",IF('Daily Schedule'!$E$2="PM",'Daily Workforce'!$E22="PM",'Daily Workforce'!$E22="Overnight"))),'Daily Workforce'!$V22*1000+22,999999999)</f>
        <v>22</v>
      </c>
      <c r="AH2" s="1" t="n">
        <f aca="false">IF(AND('Daily Workforce'!$N23="Y",'Daily Workforce'!$B23&lt;&gt;"",COUNTIF('Daily Schedule'!$F$5:$F5,'Daily Workforce'!$B23)=0,'Daily Workforce'!$M23="Y",IF(OR('Daily Schedule'!$E$2="Full Day",'Daily Schedule'!$E$2="AM"),'Daily Workforce'!$D23="3:45 AM",IF('Daily Schedule'!$E$2="PM",'Daily Workforce'!$E23="PM",'Daily Workforce'!$E23="Overnight"))),'Daily Workforce'!$V23*1000+23,999999999)</f>
        <v>23</v>
      </c>
      <c r="AI2" s="1" t="n">
        <f aca="false">IF(AND('Daily Workforce'!$N24="Y",'Daily Workforce'!$B24&lt;&gt;"",COUNTIF('Daily Schedule'!$F$5:$F5,'Daily Workforce'!$B24)=0,'Daily Workforce'!$M24="Y",IF(OR('Daily Schedule'!$E$2="Full Day",'Daily Schedule'!$E$2="AM"),'Daily Workforce'!$D24="3:45 AM",IF('Daily Schedule'!$E$2="PM",'Daily Workforce'!$E24="PM",'Daily Workforce'!$E24="Overnight"))),'Daily Workforce'!$V24*1000+24,999999999)</f>
        <v>24</v>
      </c>
      <c r="AJ2" s="1" t="n">
        <f aca="false">IF(AND('Daily Workforce'!$N25="Y",'Daily Workforce'!$B25&lt;&gt;"",COUNTIF('Daily Schedule'!$F$5:$F5,'Daily Workforce'!$B25)=0,'Daily Workforce'!$M25="Y",IF(OR('Daily Schedule'!$E$2="Full Day",'Daily Schedule'!$E$2="AM"),'Daily Workforce'!$D25="3:45 AM",IF('Daily Schedule'!$E$2="PM",'Daily Workforce'!$E25="PM",'Daily Workforce'!$E25="Overnight"))),'Daily Workforce'!$V25*1000+25,999999999)</f>
        <v>25</v>
      </c>
      <c r="AK2" s="1" t="n">
        <f aca="false">IF(AND('Daily Workforce'!$N26="Y",'Daily Workforce'!$B26&lt;&gt;"",COUNTIF('Daily Schedule'!$F$5:$F5,'Daily Workforce'!$B26)=0,'Daily Workforce'!$M26="Y",IF(OR('Daily Schedule'!$E$2="Full Day",'Daily Schedule'!$E$2="AM"),'Daily Workforce'!$D26="3:45 AM",IF('Daily Schedule'!$E$2="PM",'Daily Workforce'!$E26="PM",'Daily Workforce'!$E26="Overnight"))),'Daily Workforce'!$V26*1000+26,999999999)</f>
        <v>26</v>
      </c>
      <c r="AL2" s="1" t="n">
        <f aca="false">IF(AND('Daily Workforce'!$N27="Y",'Daily Workforce'!$B27&lt;&gt;"",COUNTIF('Daily Schedule'!$F$5:$F5,'Daily Workforce'!$B27)=0,'Daily Workforce'!$M27="Y",IF(OR('Daily Schedule'!$E$2="Full Day",'Daily Schedule'!$E$2="AM"),'Daily Workforce'!$D27="3:45 AM",IF('Daily Schedule'!$E$2="PM",'Daily Workforce'!$E27="PM",'Daily Workforce'!$E27="Overnight"))),'Daily Workforce'!$V27*1000+27,999999999)</f>
        <v>999999999</v>
      </c>
      <c r="AM2" s="1" t="n">
        <f aca="false">IF(AND('Daily Workforce'!$N28="Y",'Daily Workforce'!$B28&lt;&gt;"",COUNTIF('Daily Schedule'!$F$5:$F5,'Daily Workforce'!$B28)=0,'Daily Workforce'!$M28="Y",IF(OR('Daily Schedule'!$E$2="Full Day",'Daily Schedule'!$E$2="AM"),'Daily Workforce'!$D28="3:45 AM",IF('Daily Schedule'!$E$2="PM",'Daily Workforce'!$E28="PM",'Daily Workforce'!$E28="Overnight"))),'Daily Workforce'!$V28*1000+28,999999999)</f>
        <v>999999999</v>
      </c>
      <c r="AN2" s="1" t="n">
        <f aca="false">IF(AND('Daily Workforce'!$N29="Y",'Daily Workforce'!$B29&lt;&gt;"",COUNTIF('Daily Schedule'!$F$5:$F5,'Daily Workforce'!$B29)=0,'Daily Workforce'!$M29="Y",IF(OR('Daily Schedule'!$E$2="Full Day",'Daily Schedule'!$E$2="AM"),'Daily Workforce'!$D29="3:45 AM",IF('Daily Schedule'!$E$2="PM",'Daily Workforce'!$E29="PM",'Daily Workforce'!$E29="Overnight"))),'Daily Workforce'!$V29*1000+29,999999999)</f>
        <v>999999999</v>
      </c>
      <c r="AO2" s="1" t="n">
        <f aca="false">IF(AND('Daily Workforce'!$N30="Y",'Daily Workforce'!$B30&lt;&gt;"",COUNTIF('Daily Schedule'!$F$5:$F5,'Daily Workforce'!$B30)=0,'Daily Workforce'!$M30="Y",IF(OR('Daily Schedule'!$E$2="Full Day",'Daily Schedule'!$E$2="AM"),'Daily Workforce'!$D30="3:45 AM",IF('Daily Schedule'!$E$2="PM",'Daily Workforce'!$E30="PM",'Daily Workforce'!$E30="Overnight"))),'Daily Workforce'!$V30*1000+30,999999999)</f>
        <v>999999999</v>
      </c>
      <c r="AP2" s="1" t="n">
        <f aca="false">IF(AND('Daily Workforce'!$N31="Y",'Daily Workforce'!$B31&lt;&gt;"",COUNTIF('Daily Schedule'!$F$5:$F5,'Daily Workforce'!$B31)=0,'Daily Workforce'!$M31="Y",IF(OR('Daily Schedule'!$E$2="Full Day",'Daily Schedule'!$E$2="AM"),'Daily Workforce'!$D31="3:45 AM",IF('Daily Schedule'!$E$2="PM",'Daily Workforce'!$E31="PM",'Daily Workforce'!$E31="Overnight"))),'Daily Workforce'!$V31*1000+31,999999999)</f>
        <v>999999999</v>
      </c>
      <c r="AQ2" s="1" t="n">
        <f aca="false">IF(AND('Daily Workforce'!$N32="Y",'Daily Workforce'!$B32&lt;&gt;"",COUNTIF('Daily Schedule'!$F$5:$F5,'Daily Workforce'!$B32)=0,'Daily Workforce'!$M32="Y",IF(OR('Daily Schedule'!$E$2="Full Day",'Daily Schedule'!$E$2="AM"),'Daily Workforce'!$D32="3:45 AM",IF('Daily Schedule'!$E$2="PM",'Daily Workforce'!$E32="PM",'Daily Workforce'!$E32="Overnight"))),'Daily Workforce'!$V32*1000+32,999999999)</f>
        <v>999999999</v>
      </c>
      <c r="AR2" s="1" t="n">
        <f aca="false">IF(AND('Daily Workforce'!$N33="Y",'Daily Workforce'!$B33&lt;&gt;"",COUNTIF('Daily Schedule'!$F$5:$F5,'Daily Workforce'!$B33)=0,'Daily Workforce'!$M33="Y",IF(OR('Daily Schedule'!$E$2="Full Day",'Daily Schedule'!$E$2="AM"),'Daily Workforce'!$D33="3:45 AM",IF('Daily Schedule'!$E$2="PM",'Daily Workforce'!$E33="PM",'Daily Workforce'!$E33="Overnight"))),'Daily Workforce'!$V33*1000+33,999999999)</f>
        <v>999999999</v>
      </c>
      <c r="AS2" s="1" t="n">
        <f aca="false">IF(AND('Daily Workforce'!$N34="Y",'Daily Workforce'!$B34&lt;&gt;"",COUNTIF('Daily Schedule'!$F$5:$F5,'Daily Workforce'!$B34)=0,'Daily Workforce'!$M34="Y",IF(OR('Daily Schedule'!$E$2="Full Day",'Daily Schedule'!$E$2="AM"),'Daily Workforce'!$D34="3:45 AM",IF('Daily Schedule'!$E$2="PM",'Daily Workforce'!$E34="PM",'Daily Workforce'!$E34="Overnight"))),'Daily Workforce'!$V34*1000+34,999999999)</f>
        <v>999999999</v>
      </c>
      <c r="AT2" s="1" t="n">
        <f aca="false">IF(AND('Daily Workforce'!$N35="Y",'Daily Workforce'!$B35&lt;&gt;"",COUNTIF('Daily Schedule'!$F$5:$F5,'Daily Workforce'!$B35)=0,'Daily Workforce'!$M35="Y",IF(OR('Daily Schedule'!$E$2="Full Day",'Daily Schedule'!$E$2="AM"),'Daily Workforce'!$D35="3:45 AM",IF('Daily Schedule'!$E$2="PM",'Daily Workforce'!$E35="PM",'Daily Workforce'!$E35="Overnight"))),'Daily Workforce'!$V35*1000+35,999999999)</f>
        <v>999999999</v>
      </c>
      <c r="AU2" s="1" t="n">
        <f aca="false">IF(AND('Daily Workforce'!$N36="Y",'Daily Workforce'!$B36&lt;&gt;"",COUNTIF('Daily Schedule'!$F$5:$F5,'Daily Workforce'!$B36)=0,'Daily Workforce'!$M36="Y",IF(OR('Daily Schedule'!$E$2="Full Day",'Daily Schedule'!$E$2="AM"),'Daily Workforce'!$D36="3:45 AM",IF('Daily Schedule'!$E$2="PM",'Daily Workforce'!$E36="PM",'Daily Workforce'!$E36="Overnight"))),'Daily Workforce'!$V36*1000+36,999999999)</f>
        <v>999999999</v>
      </c>
      <c r="AV2" s="1" t="n">
        <f aca="false">IF(AND('Daily Workforce'!$N37="Y",'Daily Workforce'!$B37&lt;&gt;"",COUNTIF('Daily Schedule'!$F$5:$F5,'Daily Workforce'!$B37)=0,'Daily Workforce'!$M37="Y",IF(OR('Daily Schedule'!$E$2="Full Day",'Daily Schedule'!$E$2="AM"),'Daily Workforce'!$D37="3:45 AM",IF('Daily Schedule'!$E$2="PM",'Daily Workforce'!$E37="PM",'Daily Workforce'!$E37="Overnight"))),'Daily Workforce'!$V37*1000+37,999999999)</f>
        <v>999999999</v>
      </c>
      <c r="AW2" s="1" t="n">
        <f aca="false">IF(AND('Daily Workforce'!$N38="Y",'Daily Workforce'!$B38&lt;&gt;"",COUNTIF('Daily Schedule'!$F$5:$F5,'Daily Workforce'!$B38)=0,'Daily Workforce'!$M38="Y",IF(OR('Daily Schedule'!$E$2="Full Day",'Daily Schedule'!$E$2="AM"),'Daily Workforce'!$D38="3:45 AM",IF('Daily Schedule'!$E$2="PM",'Daily Workforce'!$E38="PM",'Daily Workforce'!$E38="Overnight"))),'Daily Workforce'!$V38*1000+38,999999999)</f>
        <v>999999999</v>
      </c>
      <c r="AX2" s="1" t="n">
        <f aca="false">IF(AND('Daily Workforce'!$N39="Y",'Daily Workforce'!$B39&lt;&gt;"",COUNTIF('Daily Schedule'!$F$5:$F5,'Daily Workforce'!$B39)=0,'Daily Workforce'!$M39="Y",IF(OR('Daily Schedule'!$E$2="Full Day",'Daily Schedule'!$E$2="AM"),'Daily Workforce'!$D39="3:45 AM",IF('Daily Schedule'!$E$2="PM",'Daily Workforce'!$E39="PM",'Daily Workforce'!$E39="Overnight"))),'Daily Workforce'!$V39*1000+39,999999999)</f>
        <v>999999999</v>
      </c>
      <c r="AY2" s="1" t="n">
        <f aca="false">IF(AND('Daily Workforce'!$N40="Y",'Daily Workforce'!$B40&lt;&gt;"",COUNTIF('Daily Schedule'!$F$5:$F5,'Daily Workforce'!$B40)=0,'Daily Workforce'!$M40="Y",IF(OR('Daily Schedule'!$E$2="Full Day",'Daily Schedule'!$E$2="AM"),'Daily Workforce'!$D40="3:45 AM",IF('Daily Schedule'!$E$2="PM",'Daily Workforce'!$E40="PM",'Daily Workforce'!$E40="Overnight"))),'Daily Workforce'!$V40*1000+40,999999999)</f>
        <v>999999999</v>
      </c>
      <c r="AZ2" s="1" t="n">
        <f aca="false">IF(AND('Daily Workforce'!$N41="Y",'Daily Workforce'!$B41&lt;&gt;"",COUNTIF('Daily Schedule'!$F$5:$F5,'Daily Workforce'!$B41)=0,'Daily Workforce'!$M41="Y",IF(OR('Daily Schedule'!$E$2="Full Day",'Daily Schedule'!$E$2="AM"),'Daily Workforce'!$D41="3:45 AM",IF('Daily Schedule'!$E$2="PM",'Daily Workforce'!$E41="PM",'Daily Workforce'!$E41="Overnight"))),'Daily Workforce'!$V41*1000+41,999999999)</f>
        <v>999999999</v>
      </c>
      <c r="BA2" s="1" t="n">
        <f aca="false">IF(AND('Daily Workforce'!$N42="Y",'Daily Workforce'!$B42&lt;&gt;"",COUNTIF('Daily Schedule'!$F$5:$F5,'Daily Workforce'!$B42)=0,'Daily Workforce'!$M42="Y",IF(OR('Daily Schedule'!$E$2="Full Day",'Daily Schedule'!$E$2="AM"),'Daily Workforce'!$D42="3:45 AM",IF('Daily Schedule'!$E$2="PM",'Daily Workforce'!$E42="PM",'Daily Workforce'!$E42="Overnight"))),'Daily Workforce'!$V42*1000+42,999999999)</f>
        <v>999999999</v>
      </c>
      <c r="BB2" s="1" t="n">
        <f aca="false">IF(AND('Daily Workforce'!$N43="Y",'Daily Workforce'!$B43&lt;&gt;"",COUNTIF('Daily Schedule'!$F$5:$F5,'Daily Workforce'!$B43)=0,'Daily Workforce'!$M43="Y",IF(OR('Daily Schedule'!$E$2="Full Day",'Daily Schedule'!$E$2="AM"),'Daily Workforce'!$D43="3:45 AM",IF('Daily Schedule'!$E$2="PM",'Daily Workforce'!$E43="PM",'Daily Workforce'!$E43="Overnight"))),'Daily Workforce'!$V43*1000+43,999999999)</f>
        <v>999999999</v>
      </c>
      <c r="BC2" s="1" t="n">
        <f aca="false">IF(AND('Daily Workforce'!$N44="Y",'Daily Workforce'!$B44&lt;&gt;"",COUNTIF('Daily Schedule'!$F$5:$F5,'Daily Workforce'!$B44)=0,'Daily Workforce'!$M44="Y",IF(OR('Daily Schedule'!$E$2="Full Day",'Daily Schedule'!$E$2="AM"),'Daily Workforce'!$D44="3:45 AM",IF('Daily Schedule'!$E$2="PM",'Daily Workforce'!$E44="PM",'Daily Workforce'!$E44="Overnight"))),'Daily Workforce'!$V44*1000+44,999999999)</f>
        <v>999999999</v>
      </c>
      <c r="BD2" s="1" t="n">
        <f aca="false">IF(AND('Daily Workforce'!$N45="Y",'Daily Workforce'!$B45&lt;&gt;"",COUNTIF('Daily Schedule'!$F$5:$F5,'Daily Workforce'!$B45)=0,'Daily Workforce'!$M45="Y",IF(OR('Daily Schedule'!$E$2="Full Day",'Daily Schedule'!$E$2="AM"),'Daily Workforce'!$D45="3:45 AM",IF('Daily Schedule'!$E$2="PM",'Daily Workforce'!$E45="PM",'Daily Workforce'!$E45="Overnight"))),'Daily Workforce'!$V45*1000+45,999999999)</f>
        <v>999999999</v>
      </c>
      <c r="BE2" s="1" t="n">
        <f aca="false">IF(AND('Daily Workforce'!$N46="Y",'Daily Workforce'!$B46&lt;&gt;"",COUNTIF('Daily Schedule'!$F$5:$F5,'Daily Workforce'!$B46)=0,'Daily Workforce'!$M46="Y",IF(OR('Daily Schedule'!$E$2="Full Day",'Daily Schedule'!$E$2="AM"),'Daily Workforce'!$D46="3:45 AM",IF('Daily Schedule'!$E$2="PM",'Daily Workforce'!$E46="PM",'Daily Workforce'!$E46="Overnight"))),'Daily Workforce'!$V46*1000+46,999999999)</f>
        <v>999999999</v>
      </c>
      <c r="BF2" s="1" t="n">
        <f aca="false">IF(AND('Daily Workforce'!$N47="Y",'Daily Workforce'!$B47&lt;&gt;"",COUNTIF('Daily Schedule'!$F$5:$F5,'Daily Workforce'!$B47)=0,'Daily Workforce'!$M47="Y",IF(OR('Daily Schedule'!$E$2="Full Day",'Daily Schedule'!$E$2="AM"),'Daily Workforce'!$D47="3:45 AM",IF('Daily Schedule'!$E$2="PM",'Daily Workforce'!$E47="PM",'Daily Workforce'!$E47="Overnight"))),'Daily Workforce'!$V47*1000+47,999999999)</f>
        <v>999999999</v>
      </c>
      <c r="BG2" s="1" t="n">
        <f aca="false">IF(AND('Daily Workforce'!$N48="Y",'Daily Workforce'!$B48&lt;&gt;"",COUNTIF('Daily Schedule'!$F$5:$F5,'Daily Workforce'!$B48)=0,'Daily Workforce'!$M48="Y",IF(OR('Daily Schedule'!$E$2="Full Day",'Daily Schedule'!$E$2="AM"),'Daily Workforce'!$D48="3:45 AM",IF('Daily Schedule'!$E$2="PM",'Daily Workforce'!$E48="PM",'Daily Workforce'!$E48="Overnight"))),'Daily Workforce'!$V48*1000+48,999999999)</f>
        <v>999999999</v>
      </c>
      <c r="BH2" s="1" t="n">
        <f aca="false">IF(AND('Daily Workforce'!$N49="Y",'Daily Workforce'!$B49&lt;&gt;"",COUNTIF('Daily Schedule'!$F$5:$F5,'Daily Workforce'!$B49)=0,'Daily Workforce'!$M49="Y",IF(OR('Daily Schedule'!$E$2="Full Day",'Daily Schedule'!$E$2="AM"),'Daily Workforce'!$D49="3:45 AM",IF('Daily Schedule'!$E$2="PM",'Daily Workforce'!$E49="PM",'Daily Workforce'!$E49="Overnight"))),'Daily Workforce'!$V49*1000+49,999999999)</f>
        <v>999999999</v>
      </c>
      <c r="BI2" s="1" t="n">
        <f aca="false">IF(AND('Daily Workforce'!$N50="Y",'Daily Workforce'!$B50&lt;&gt;"",COUNTIF('Daily Schedule'!$F$5:$F5,'Daily Workforce'!$B50)=0,'Daily Workforce'!$M50="Y",IF(OR('Daily Schedule'!$E$2="Full Day",'Daily Schedule'!$E$2="AM"),'Daily Workforce'!$D50="3:45 AM",IF('Daily Schedule'!$E$2="PM",'Daily Workforce'!$E50="PM",'Daily Workforce'!$E50="Overnight"))),'Daily Workforce'!$V50*1000+50,999999999)</f>
        <v>999999999</v>
      </c>
      <c r="BJ2" s="1" t="n">
        <f aca="false">IF(AND('Daily Workforce'!$N51="Y",'Daily Workforce'!$B51&lt;&gt;"",COUNTIF('Daily Schedule'!$F$5:$F5,'Daily Workforce'!$B51)=0,'Daily Workforce'!$M51="Y",IF(OR('Daily Schedule'!$E$2="Full Day",'Daily Schedule'!$E$2="AM"),'Daily Workforce'!$D51="3:45 AM",IF('Daily Schedule'!$E$2="PM",'Daily Workforce'!$E51="PM",'Daily Workforce'!$E51="Overnight"))),'Daily Workforce'!$V51*1000+51,999999999)</f>
        <v>999999999</v>
      </c>
      <c r="BK2" s="1" t="n">
        <f aca="false">IF(AND('Daily Workforce'!$N52="Y",'Daily Workforce'!$B52&lt;&gt;"",COUNTIF('Daily Schedule'!$F$5:$F5,'Daily Workforce'!$B52)=0,'Daily Workforce'!$M52="Y",IF(OR('Daily Schedule'!$E$2="Full Day",'Daily Schedule'!$E$2="AM"),'Daily Workforce'!$D52="3:45 AM",IF('Daily Schedule'!$E$2="PM",'Daily Workforce'!$E52="PM",'Daily Workforce'!$E52="Overnight"))),'Daily Workforce'!$V52*1000+52,999999999)</f>
        <v>999999999</v>
      </c>
      <c r="BL2" s="1" t="n">
        <f aca="false">IF(AND('Daily Workforce'!$N53="Y",'Daily Workforce'!$B53&lt;&gt;"",COUNTIF('Daily Schedule'!$F$5:$F5,'Daily Workforce'!$B53)=0,'Daily Workforce'!$M53="Y",IF(OR('Daily Schedule'!$E$2="Full Day",'Daily Schedule'!$E$2="AM"),'Daily Workforce'!$D53="3:45 AM",IF('Daily Schedule'!$E$2="PM",'Daily Workforce'!$E53="PM",'Daily Workforce'!$E53="Overnight"))),'Daily Workforce'!$V53*1000+53,999999999)</f>
        <v>999999999</v>
      </c>
      <c r="BM2" s="1" t="n">
        <f aca="false">IF(AND('Daily Workforce'!$N54="Y",'Daily Workforce'!$B54&lt;&gt;"",COUNTIF('Daily Schedule'!$F$5:$F5,'Daily Workforce'!$B54)=0,'Daily Workforce'!$M54="Y",IF(OR('Daily Schedule'!$E$2="Full Day",'Daily Schedule'!$E$2="AM"),'Daily Workforce'!$D54="3:45 AM",IF('Daily Schedule'!$E$2="PM",'Daily Workforce'!$E54="PM",'Daily Workforce'!$E54="Overnight"))),'Daily Workforce'!$V54*1000+54,999999999)</f>
        <v>999999999</v>
      </c>
      <c r="BN2" s="1" t="n">
        <f aca="false">IF(AND('Daily Workforce'!$N55="Y",'Daily Workforce'!$B55&lt;&gt;"",COUNTIF('Daily Schedule'!$F$5:$F5,'Daily Workforce'!$B55)=0,'Daily Workforce'!$M55="Y",IF(OR('Daily Schedule'!$E$2="Full Day",'Daily Schedule'!$E$2="AM"),'Daily Workforce'!$D55="3:45 AM",IF('Daily Schedule'!$E$2="PM",'Daily Workforce'!$E55="PM",'Daily Workforce'!$E55="Overnight"))),'Daily Workforce'!$V55*1000+55,999999999)</f>
        <v>999999999</v>
      </c>
      <c r="BO2" s="1" t="n">
        <f aca="false">IF(AND('Daily Workforce'!$N56="Y",'Daily Workforce'!$B56&lt;&gt;"",COUNTIF('Daily Schedule'!$F$5:$F5,'Daily Workforce'!$B56)=0,'Daily Workforce'!$M56="Y",IF(OR('Daily Schedule'!$E$2="Full Day",'Daily Schedule'!$E$2="AM"),'Daily Workforce'!$D56="3:45 AM",IF('Daily Schedule'!$E$2="PM",'Daily Workforce'!$E56="PM",'Daily Workforce'!$E56="Overnight"))),'Daily Workforce'!$V56*1000+56,999999999)</f>
        <v>999999999</v>
      </c>
      <c r="BP2" s="1" t="n">
        <f aca="false">IF(AND('Daily Workforce'!$N57="Y",'Daily Workforce'!$B57&lt;&gt;"",COUNTIF('Daily Schedule'!$F$5:$F5,'Daily Workforce'!$B57)=0,'Daily Workforce'!$M57="Y",IF(OR('Daily Schedule'!$E$2="Full Day",'Daily Schedule'!$E$2="AM"),'Daily Workforce'!$D57="3:45 AM",IF('Daily Schedule'!$E$2="PM",'Daily Workforce'!$E57="PM",'Daily Workforce'!$E57="Overnight"))),'Daily Workforce'!$V57*1000+57,999999999)</f>
        <v>999999999</v>
      </c>
      <c r="BQ2" s="1" t="n">
        <f aca="false">IF(AND('Daily Workforce'!$N58="Y",'Daily Workforce'!$B58&lt;&gt;"",COUNTIF('Daily Schedule'!$F$5:$F5,'Daily Workforce'!$B58)=0,'Daily Workforce'!$M58="Y",IF(OR('Daily Schedule'!$E$2="Full Day",'Daily Schedule'!$E$2="AM"),'Daily Workforce'!$D58="3:45 AM",IF('Daily Schedule'!$E$2="PM",'Daily Workforce'!$E58="PM",'Daily Workforce'!$E58="Overnight"))),'Daily Workforce'!$V58*1000+58,999999999)</f>
        <v>999999999</v>
      </c>
      <c r="BR2" s="1" t="n">
        <f aca="false">IF(AND('Daily Workforce'!$N59="Y",'Daily Workforce'!$B59&lt;&gt;"",COUNTIF('Daily Schedule'!$F$5:$F5,'Daily Workforce'!$B59)=0,'Daily Workforce'!$M59="Y",IF(OR('Daily Schedule'!$E$2="Full Day",'Daily Schedule'!$E$2="AM"),'Daily Workforce'!$D59="3:45 AM",IF('Daily Schedule'!$E$2="PM",'Daily Workforce'!$E59="PM",'Daily Workforce'!$E59="Overnight"))),'Daily Workforce'!$V59*1000+59,999999999)</f>
        <v>999999999</v>
      </c>
      <c r="BS2" s="1" t="n">
        <f aca="false">IF(AND('Daily Workforce'!$N60="Y",'Daily Workforce'!$B60&lt;&gt;"",COUNTIF('Daily Schedule'!$F$5:$F5,'Daily Workforce'!$B60)=0,'Daily Workforce'!$M60="Y",IF(OR('Daily Schedule'!$E$2="Full Day",'Daily Schedule'!$E$2="AM"),'Daily Workforce'!$D60="3:45 AM",IF('Daily Schedule'!$E$2="PM",'Daily Workforce'!$E60="PM",'Daily Workforce'!$E60="Overnight"))),'Daily Workforce'!$V60*1000+60,999999999)</f>
        <v>999999999</v>
      </c>
      <c r="BT2" s="1" t="n">
        <f aca="false">IF(AND('Daily Workforce'!$N61="Y",'Daily Workforce'!$B61&lt;&gt;"",COUNTIF('Daily Schedule'!$F$5:$F5,'Daily Workforce'!$B61)=0,'Daily Workforce'!$M61="Y",IF(OR('Daily Schedule'!$E$2="Full Day",'Daily Schedule'!$E$2="AM"),'Daily Workforce'!$D61="3:45 AM",IF('Daily Schedule'!$E$2="PM",'Daily Workforce'!$E61="PM",'Daily Workforce'!$E61="Overnight"))),'Daily Workforce'!$V61*1000+61,999999999)</f>
        <v>999999999</v>
      </c>
      <c r="BU2" s="1" t="n">
        <f aca="false">IF(AND('Daily Workforce'!$N62="Y",'Daily Workforce'!$B62&lt;&gt;"",COUNTIF('Daily Schedule'!$F$5:$F5,'Daily Workforce'!$B62)=0,'Daily Workforce'!$M62="Y",IF(OR('Daily Schedule'!$E$2="Full Day",'Daily Schedule'!$E$2="AM"),'Daily Workforce'!$D62="3:45 AM",IF('Daily Schedule'!$E$2="PM",'Daily Workforce'!$E62="PM",'Daily Workforce'!$E62="Overnight"))),'Daily Workforce'!$V62*1000+62,999999999)</f>
        <v>999999999</v>
      </c>
      <c r="BV2" s="1" t="n">
        <f aca="false">IF(AND('Daily Workforce'!$N63="Y",'Daily Workforce'!$B63&lt;&gt;"",COUNTIF('Daily Schedule'!$F$5:$F5,'Daily Workforce'!$B63)=0,'Daily Workforce'!$M63="Y",IF(OR('Daily Schedule'!$E$2="Full Day",'Daily Schedule'!$E$2="AM"),'Daily Workforce'!$D63="3:45 AM",IF('Daily Schedule'!$E$2="PM",'Daily Workforce'!$E63="PM",'Daily Workforce'!$E63="Overnight"))),'Daily Workforce'!$V63*1000+63,999999999)</f>
        <v>999999999</v>
      </c>
      <c r="BW2" s="1" t="n">
        <f aca="false">IF(AND('Daily Workforce'!$N64="Y",'Daily Workforce'!$B64&lt;&gt;"",COUNTIF('Daily Schedule'!$F$5:$F5,'Daily Workforce'!$B64)=0,'Daily Workforce'!$M64="Y",IF(OR('Daily Schedule'!$E$2="Full Day",'Daily Schedule'!$E$2="AM"),'Daily Workforce'!$D64="3:45 AM",IF('Daily Schedule'!$E$2="PM",'Daily Workforce'!$E64="PM",'Daily Workforce'!$E64="Overnight"))),'Daily Workforce'!$V64*1000+64,999999999)</f>
        <v>999999999</v>
      </c>
      <c r="BX2" s="1" t="n">
        <f aca="false">IF(AND('Daily Workforce'!$N65="Y",'Daily Workforce'!$B65&lt;&gt;"",COUNTIF('Daily Schedule'!$F$5:$F5,'Daily Workforce'!$B65)=0,'Daily Workforce'!$M65="Y",IF(OR('Daily Schedule'!$E$2="Full Day",'Daily Schedule'!$E$2="AM"),'Daily Workforce'!$D65="3:45 AM",IF('Daily Schedule'!$E$2="PM",'Daily Workforce'!$E65="PM",'Daily Workforce'!$E65="Overnight"))),'Daily Workforce'!$V65*1000+65,999999999)</f>
        <v>999999999</v>
      </c>
      <c r="BY2" s="1" t="n">
        <f aca="false">IF(AND('Daily Workforce'!$N66="Y",'Daily Workforce'!$B66&lt;&gt;"",COUNTIF('Daily Schedule'!$F$5:$F5,'Daily Workforce'!$B66)=0,'Daily Workforce'!$M66="Y",IF(OR('Daily Schedule'!$E$2="Full Day",'Daily Schedule'!$E$2="AM"),'Daily Workforce'!$D66="3:45 AM",IF('Daily Schedule'!$E$2="PM",'Daily Workforce'!$E66="PM",'Daily Workforce'!$E66="Overnight"))),'Daily Workforce'!$V66*1000+66,999999999)</f>
        <v>999999999</v>
      </c>
      <c r="BZ2" s="1" t="n">
        <f aca="false">IF(AND('Daily Workforce'!$N67="Y",'Daily Workforce'!$B67&lt;&gt;"",COUNTIF('Daily Schedule'!$F$5:$F5,'Daily Workforce'!$B67)=0,'Daily Workforce'!$M67="Y",IF(OR('Daily Schedule'!$E$2="Full Day",'Daily Schedule'!$E$2="AM"),'Daily Workforce'!$D67="3:45 AM",IF('Daily Schedule'!$E$2="PM",'Daily Workforce'!$E67="PM",'Daily Workforce'!$E67="Overnight"))),'Daily Workforce'!$V67*1000+67,999999999)</f>
        <v>999999999</v>
      </c>
      <c r="CA2" s="1" t="n">
        <f aca="false">IF(AND('Daily Workforce'!$N68="Y",'Daily Workforce'!$B68&lt;&gt;"",COUNTIF('Daily Schedule'!$F$5:$F5,'Daily Workforce'!$B68)=0,'Daily Workforce'!$M68="Y",IF(OR('Daily Schedule'!$E$2="Full Day",'Daily Schedule'!$E$2="AM"),'Daily Workforce'!$D68="3:45 AM",IF('Daily Schedule'!$E$2="PM",'Daily Workforce'!$E68="PM",'Daily Workforce'!$E68="Overnight"))),'Daily Workforce'!$V68*1000+68,999999999)</f>
        <v>999999999</v>
      </c>
      <c r="CB2" s="1" t="n">
        <f aca="false">IF(AND('Daily Workforce'!$N69="Y",'Daily Workforce'!$B69&lt;&gt;"",COUNTIF('Daily Schedule'!$F$5:$F5,'Daily Workforce'!$B69)=0,'Daily Workforce'!$M69="Y",IF(OR('Daily Schedule'!$E$2="Full Day",'Daily Schedule'!$E$2="AM"),'Daily Workforce'!$D69="3:45 AM",IF('Daily Schedule'!$E$2="PM",'Daily Workforce'!$E69="PM",'Daily Workforce'!$E69="Overnight"))),'Daily Workforce'!$V69*1000+69,999999999)</f>
        <v>999999999</v>
      </c>
      <c r="CC2" s="1" t="n">
        <f aca="false">IF(AND('Daily Workforce'!$N70="Y",'Daily Workforce'!$B70&lt;&gt;"",COUNTIF('Daily Schedule'!$F$5:$F5,'Daily Workforce'!$B70)=0,'Daily Workforce'!$M70="Y",IF(OR('Daily Schedule'!$E$2="Full Day",'Daily Schedule'!$E$2="AM"),'Daily Workforce'!$D70="3:45 AM",IF('Daily Schedule'!$E$2="PM",'Daily Workforce'!$E70="PM",'Daily Workforce'!$E70="Overnight"))),'Daily Workforce'!$V70*1000+70,999999999)</f>
        <v>999999999</v>
      </c>
      <c r="CD2" s="1" t="n">
        <f aca="false">IF(AND('Daily Workforce'!$N71="Y",'Daily Workforce'!$B71&lt;&gt;"",COUNTIF('Daily Schedule'!$F$5:$F5,'Daily Workforce'!$B71)=0,'Daily Workforce'!$M71="Y",IF(OR('Daily Schedule'!$E$2="Full Day",'Daily Schedule'!$E$2="AM"),'Daily Workforce'!$D71="3:45 AM",IF('Daily Schedule'!$E$2="PM",'Daily Workforce'!$E71="PM",'Daily Workforce'!$E71="Overnight"))),'Daily Workforce'!$V71*1000+71,999999999)</f>
        <v>999999999</v>
      </c>
      <c r="CE2" s="1" t="n">
        <f aca="false">IF(AND('Daily Workforce'!$N72="Y",'Daily Workforce'!$B72&lt;&gt;"",COUNTIF('Daily Schedule'!$F$5:$F5,'Daily Workforce'!$B72)=0,'Daily Workforce'!$M72="Y",IF(OR('Daily Schedule'!$E$2="Full Day",'Daily Schedule'!$E$2="AM"),'Daily Workforce'!$D72="3:45 AM",IF('Daily Schedule'!$E$2="PM",'Daily Workforce'!$E72="PM",'Daily Workforce'!$E72="Overnight"))),'Daily Workforce'!$V72*1000+72,999999999)</f>
        <v>999999999</v>
      </c>
      <c r="CF2" s="1" t="n">
        <f aca="false">IF(AND('Daily Workforce'!$N73="Y",'Daily Workforce'!$B73&lt;&gt;"",COUNTIF('Daily Schedule'!$F$5:$F5,'Daily Workforce'!$B73)=0,'Daily Workforce'!$M73="Y",IF(OR('Daily Schedule'!$E$2="Full Day",'Daily Schedule'!$E$2="AM"),'Daily Workforce'!$D73="3:45 AM",IF('Daily Schedule'!$E$2="PM",'Daily Workforce'!$E73="PM",'Daily Workforce'!$E73="Overnight"))),'Daily Workforce'!$V73*1000+73,999999999)</f>
        <v>999999999</v>
      </c>
      <c r="CG2" s="1" t="n">
        <f aca="false">IF(AND('Daily Workforce'!$N74="Y",'Daily Workforce'!$B74&lt;&gt;"",COUNTIF('Daily Schedule'!$F$5:$F5,'Daily Workforce'!$B74)=0,'Daily Workforce'!$M74="Y",IF(OR('Daily Schedule'!$E$2="Full Day",'Daily Schedule'!$E$2="AM"),'Daily Workforce'!$D74="3:45 AM",IF('Daily Schedule'!$E$2="PM",'Daily Workforce'!$E74="PM",'Daily Workforce'!$E74="Overnight"))),'Daily Workforce'!$V74*1000+74,999999999)</f>
        <v>999999999</v>
      </c>
      <c r="CH2" s="1" t="n">
        <f aca="false">IF(AND('Daily Workforce'!$N75="Y",'Daily Workforce'!$B75&lt;&gt;"",COUNTIF('Daily Schedule'!$F$5:$F5,'Daily Workforce'!$B75)=0,'Daily Workforce'!$M75="Y",IF(OR('Daily Schedule'!$E$2="Full Day",'Daily Schedule'!$E$2="AM"),'Daily Workforce'!$D75="3:45 AM",IF('Daily Schedule'!$E$2="PM",'Daily Workforce'!$E75="PM",'Daily Workforce'!$E75="Overnight"))),'Daily Workforce'!$V75*1000+75,999999999)</f>
        <v>999999999</v>
      </c>
      <c r="CI2" s="1" t="n">
        <f aca="false">IF(AND('Daily Workforce'!$N76="Y",'Daily Workforce'!$B76&lt;&gt;"",COUNTIF('Daily Schedule'!$F$5:$F5,'Daily Workforce'!$B76)=0,'Daily Workforce'!$M76="Y",IF(OR('Daily Schedule'!$E$2="Full Day",'Daily Schedule'!$E$2="AM"),'Daily Workforce'!$D76="3:45 AM",IF('Daily Schedule'!$E$2="PM",'Daily Workforce'!$E76="PM",'Daily Workforce'!$E76="Overnight"))),'Daily Workforce'!$V76*1000+76,999999999)</f>
        <v>999999999</v>
      </c>
      <c r="CJ2" s="1" t="n">
        <f aca="false">IF(AND('Daily Workforce'!$N77="Y",'Daily Workforce'!$B77&lt;&gt;"",COUNTIF('Daily Schedule'!$F$5:$F5,'Daily Workforce'!$B77)=0,'Daily Workforce'!$M77="Y",IF(OR('Daily Schedule'!$E$2="Full Day",'Daily Schedule'!$E$2="AM"),'Daily Workforce'!$D77="3:45 AM",IF('Daily Schedule'!$E$2="PM",'Daily Workforce'!$E77="PM",'Daily Workforce'!$E77="Overnight"))),'Daily Workforce'!$V77*1000+77,999999999)</f>
        <v>999999999</v>
      </c>
      <c r="CK2" s="1" t="n">
        <f aca="false">IF(AND('Daily Workforce'!$N78="Y",'Daily Workforce'!$B78&lt;&gt;"",COUNTIF('Daily Schedule'!$F$5:$F5,'Daily Workforce'!$B78)=0,'Daily Workforce'!$M78="Y",IF(OR('Daily Schedule'!$E$2="Full Day",'Daily Schedule'!$E$2="AM"),'Daily Workforce'!$D78="3:45 AM",IF('Daily Schedule'!$E$2="PM",'Daily Workforce'!$E78="PM",'Daily Workforce'!$E78="Overnight"))),'Daily Workforce'!$V78*1000+78,999999999)</f>
        <v>999999999</v>
      </c>
      <c r="CL2" s="1" t="n">
        <f aca="false">IF(AND('Daily Workforce'!$N79="Y",'Daily Workforce'!$B79&lt;&gt;"",COUNTIF('Daily Schedule'!$F$5:$F5,'Daily Workforce'!$B79)=0,'Daily Workforce'!$M79="Y",IF(OR('Daily Schedule'!$E$2="Full Day",'Daily Schedule'!$E$2="AM"),'Daily Workforce'!$D79="3:45 AM",IF('Daily Schedule'!$E$2="PM",'Daily Workforce'!$E79="PM",'Daily Workforce'!$E79="Overnight"))),'Daily Workforce'!$V79*1000+79,999999999)</f>
        <v>999999999</v>
      </c>
      <c r="CM2" s="1" t="n">
        <f aca="false">IF(AND('Daily Workforce'!$N80="Y",'Daily Workforce'!$B80&lt;&gt;"",COUNTIF('Daily Schedule'!$F$5:$F5,'Daily Workforce'!$B80)=0,'Daily Workforce'!$M80="Y",IF(OR('Daily Schedule'!$E$2="Full Day",'Daily Schedule'!$E$2="AM"),'Daily Workforce'!$D80="3:45 AM",IF('Daily Schedule'!$E$2="PM",'Daily Workforce'!$E80="PM",'Daily Workforce'!$E80="Overnight"))),'Daily Workforce'!$V80*1000+80,999999999)</f>
        <v>999999999</v>
      </c>
      <c r="CN2" s="1" t="n">
        <f aca="false">IF(AND('Daily Workforce'!$N81="Y",'Daily Workforce'!$B81&lt;&gt;"",COUNTIF('Daily Schedule'!$F$5:$F5,'Daily Workforce'!$B81)=0,'Daily Workforce'!$M81="Y",IF(OR('Daily Schedule'!$E$2="Full Day",'Daily Schedule'!$E$2="AM"),'Daily Workforce'!$D81="3:45 AM",IF('Daily Schedule'!$E$2="PM",'Daily Workforce'!$E81="PM",'Daily Workforce'!$E81="Overnight"))),'Daily Workforce'!$V81*1000+81,999999999)</f>
        <v>999999999</v>
      </c>
      <c r="CO2" s="1" t="n">
        <f aca="false">IF(AND('Daily Workforce'!$N82="Y",'Daily Workforce'!$B82&lt;&gt;"",COUNTIF('Daily Schedule'!$F$5:$F5,'Daily Workforce'!$B82)=0,'Daily Workforce'!$M82="Y",IF(OR('Daily Schedule'!$E$2="Full Day",'Daily Schedule'!$E$2="AM"),'Daily Workforce'!$D82="3:45 AM",IF('Daily Schedule'!$E$2="PM",'Daily Workforce'!$E82="PM",'Daily Workforce'!$E82="Overnight"))),'Daily Workforce'!$V82*1000+82,999999999)</f>
        <v>999999999</v>
      </c>
      <c r="CP2" s="1" t="n">
        <f aca="false">IF(AND('Daily Workforce'!$N83="Y",'Daily Workforce'!$B83&lt;&gt;"",COUNTIF('Daily Schedule'!$F$5:$F5,'Daily Workforce'!$B83)=0,'Daily Workforce'!$M83="Y",IF(OR('Daily Schedule'!$E$2="Full Day",'Daily Schedule'!$E$2="AM"),'Daily Workforce'!$D83="3:45 AM",IF('Daily Schedule'!$E$2="PM",'Daily Workforce'!$E83="PM",'Daily Workforce'!$E83="Overnight"))),'Daily Workforce'!$V83*1000+83,999999999)</f>
        <v>999999999</v>
      </c>
      <c r="CQ2" s="1" t="n">
        <f aca="false">IF(AND('Daily Workforce'!$N84="Y",'Daily Workforce'!$B84&lt;&gt;"",COUNTIF('Daily Schedule'!$F$5:$F5,'Daily Workforce'!$B84)=0,'Daily Workforce'!$M84="Y",IF(OR('Daily Schedule'!$E$2="Full Day",'Daily Schedule'!$E$2="AM"),'Daily Workforce'!$D84="3:45 AM",IF('Daily Schedule'!$E$2="PM",'Daily Workforce'!$E84="PM",'Daily Workforce'!$E84="Overnight"))),'Daily Workforce'!$V84*1000+84,999999999)</f>
        <v>999999999</v>
      </c>
      <c r="CR2" s="1" t="n">
        <f aca="false">IF(AND('Daily Workforce'!$N85="Y",'Daily Workforce'!$B85&lt;&gt;"",COUNTIF('Daily Schedule'!$F$5:$F5,'Daily Workforce'!$B85)=0,'Daily Workforce'!$M85="Y",IF(OR('Daily Schedule'!$E$2="Full Day",'Daily Schedule'!$E$2="AM"),'Daily Workforce'!$D85="3:45 AM",IF('Daily Schedule'!$E$2="PM",'Daily Workforce'!$E85="PM",'Daily Workforce'!$E85="Overnight"))),'Daily Workforce'!$V85*1000+85,999999999)</f>
        <v>999999999</v>
      </c>
      <c r="CS2" s="1" t="n">
        <f aca="false">IF(AND('Daily Workforce'!$N86="Y",'Daily Workforce'!$B86&lt;&gt;"",COUNTIF('Daily Schedule'!$F$5:$F5,'Daily Workforce'!$B86)=0,'Daily Workforce'!$M86="Y",IF(OR('Daily Schedule'!$E$2="Full Day",'Daily Schedule'!$E$2="AM"),'Daily Workforce'!$D86="3:45 AM",IF('Daily Schedule'!$E$2="PM",'Daily Workforce'!$E86="PM",'Daily Workforce'!$E86="Overnight"))),'Daily Workforce'!$V86*1000+86,999999999)</f>
        <v>999999999</v>
      </c>
      <c r="CT2" s="1" t="n">
        <f aca="false">IF(AND('Daily Workforce'!$N87="Y",'Daily Workforce'!$B87&lt;&gt;"",COUNTIF('Daily Schedule'!$F$5:$F5,'Daily Workforce'!$B87)=0,'Daily Workforce'!$M87="Y",IF(OR('Daily Schedule'!$E$2="Full Day",'Daily Schedule'!$E$2="AM"),'Daily Workforce'!$D87="3:45 AM",IF('Daily Schedule'!$E$2="PM",'Daily Workforce'!$E87="PM",'Daily Workforce'!$E87="Overnight"))),'Daily Workforce'!$V87*1000+87,999999999)</f>
        <v>999999999</v>
      </c>
      <c r="CU2" s="1" t="n">
        <f aca="false">IF(AND('Daily Workforce'!$N88="Y",'Daily Workforce'!$B88&lt;&gt;"",COUNTIF('Daily Schedule'!$F$5:$F5,'Daily Workforce'!$B88)=0,'Daily Workforce'!$M88="Y",IF(OR('Daily Schedule'!$E$2="Full Day",'Daily Schedule'!$E$2="AM"),'Daily Workforce'!$D88="3:45 AM",IF('Daily Schedule'!$E$2="PM",'Daily Workforce'!$E88="PM",'Daily Workforce'!$E88="Overnight"))),'Daily Workforce'!$V88*1000+88,999999999)</f>
        <v>999999999</v>
      </c>
      <c r="CV2" s="1" t="n">
        <f aca="false">IF(AND('Daily Workforce'!$N89="Y",'Daily Workforce'!$B89&lt;&gt;"",COUNTIF('Daily Schedule'!$F$5:$F5,'Daily Workforce'!$B89)=0,'Daily Workforce'!$M89="Y",IF(OR('Daily Schedule'!$E$2="Full Day",'Daily Schedule'!$E$2="AM"),'Daily Workforce'!$D89="3:45 AM",IF('Daily Schedule'!$E$2="PM",'Daily Workforce'!$E89="PM",'Daily Workforce'!$E89="Overnight"))),'Daily Workforce'!$V89*1000+89,999999999)</f>
        <v>999999999</v>
      </c>
      <c r="CW2" s="1" t="n">
        <f aca="false">IF(AND('Daily Workforce'!$N90="Y",'Daily Workforce'!$B90&lt;&gt;"",COUNTIF('Daily Schedule'!$F$5:$F5,'Daily Workforce'!$B90)=0,'Daily Workforce'!$M90="Y",IF(OR('Daily Schedule'!$E$2="Full Day",'Daily Schedule'!$E$2="AM"),'Daily Workforce'!$D90="3:45 AM",IF('Daily Schedule'!$E$2="PM",'Daily Workforce'!$E90="PM",'Daily Workforce'!$E90="Overnight"))),'Daily Workforce'!$V90*1000+90,999999999)</f>
        <v>999999999</v>
      </c>
      <c r="CX2" s="1" t="n">
        <f aca="false">IF(AND('Daily Workforce'!$N91="Y",'Daily Workforce'!$B91&lt;&gt;"",COUNTIF('Daily Schedule'!$F$5:$F5,'Daily Workforce'!$B91)=0,'Daily Workforce'!$M91="Y",IF(OR('Daily Schedule'!$E$2="Full Day",'Daily Schedule'!$E$2="AM"),'Daily Workforce'!$D91="3:45 AM",IF('Daily Schedule'!$E$2="PM",'Daily Workforce'!$E91="PM",'Daily Workforce'!$E91="Overnight"))),'Daily Workforce'!$V91*1000+91,999999999)</f>
        <v>999999999</v>
      </c>
      <c r="CY2" s="1" t="n">
        <f aca="false">IF(AND('Daily Workforce'!$N92="Y",'Daily Workforce'!$B92&lt;&gt;"",COUNTIF('Daily Schedule'!$F$5:$F5,'Daily Workforce'!$B92)=0,'Daily Workforce'!$M92="Y",IF(OR('Daily Schedule'!$E$2="Full Day",'Daily Schedule'!$E$2="AM"),'Daily Workforce'!$D92="3:45 AM",IF('Daily Schedule'!$E$2="PM",'Daily Workforce'!$E92="PM",'Daily Workforce'!$E92="Overnight"))),'Daily Workforce'!$V92*1000+92,999999999)</f>
        <v>999999999</v>
      </c>
      <c r="CZ2" s="1" t="n">
        <f aca="false">IF(AND('Daily Workforce'!$N93="Y",'Daily Workforce'!$B93&lt;&gt;"",COUNTIF('Daily Schedule'!$F$5:$F5,'Daily Workforce'!$B93)=0,'Daily Workforce'!$M93="Y",IF(OR('Daily Schedule'!$E$2="Full Day",'Daily Schedule'!$E$2="AM"),'Daily Workforce'!$D93="3:45 AM",IF('Daily Schedule'!$E$2="PM",'Daily Workforce'!$E93="PM",'Daily Workforce'!$E93="Overnight"))),'Daily Workforce'!$V93*1000+93,999999999)</f>
        <v>999999999</v>
      </c>
      <c r="DA2" s="1" t="n">
        <f aca="false">IF(AND('Daily Workforce'!$N94="Y",'Daily Workforce'!$B94&lt;&gt;"",COUNTIF('Daily Schedule'!$F$5:$F5,'Daily Workforce'!$B94)=0,'Daily Workforce'!$M94="Y",IF(OR('Daily Schedule'!$E$2="Full Day",'Daily Schedule'!$E$2="AM"),'Daily Workforce'!$D94="3:45 AM",IF('Daily Schedule'!$E$2="PM",'Daily Workforce'!$E94="PM",'Daily Workforce'!$E94="Overnight"))),'Daily Workforce'!$V94*1000+94,999999999)</f>
        <v>999999999</v>
      </c>
      <c r="DB2" s="1" t="n">
        <f aca="false">IF(AND('Daily Workforce'!$N95="Y",'Daily Workforce'!$B95&lt;&gt;"",COUNTIF('Daily Schedule'!$F$5:$F5,'Daily Workforce'!$B95)=0,'Daily Workforce'!$M95="Y",IF(OR('Daily Schedule'!$E$2="Full Day",'Daily Schedule'!$E$2="AM"),'Daily Workforce'!$D95="3:45 AM",IF('Daily Schedule'!$E$2="PM",'Daily Workforce'!$E95="PM",'Daily Workforce'!$E95="Overnight"))),'Daily Workforce'!$V95*1000+95,999999999)</f>
        <v>999999999</v>
      </c>
      <c r="DC2" s="1" t="n">
        <f aca="false">IF(AND('Daily Workforce'!$N96="Y",'Daily Workforce'!$B96&lt;&gt;"",COUNTIF('Daily Schedule'!$F$5:$F5,'Daily Workforce'!$B96)=0,'Daily Workforce'!$M96="Y",IF(OR('Daily Schedule'!$E$2="Full Day",'Daily Schedule'!$E$2="AM"),'Daily Workforce'!$D96="3:45 AM",IF('Daily Schedule'!$E$2="PM",'Daily Workforce'!$E96="PM",'Daily Workforce'!$E96="Overnight"))),'Daily Workforce'!$V96*1000+96,999999999)</f>
        <v>999999999</v>
      </c>
      <c r="DD2" s="1" t="n">
        <f aca="false">IF(AND('Daily Workforce'!$N97="Y",'Daily Workforce'!$B97&lt;&gt;"",COUNTIF('Daily Schedule'!$F$5:$F5,'Daily Workforce'!$B97)=0,'Daily Workforce'!$M97="Y",IF(OR('Daily Schedule'!$E$2="Full Day",'Daily Schedule'!$E$2="AM"),'Daily Workforce'!$D97="3:45 AM",IF('Daily Schedule'!$E$2="PM",'Daily Workforce'!$E97="PM",'Daily Workforce'!$E97="Overnight"))),'Daily Workforce'!$V97*1000+97,999999999)</f>
        <v>999999999</v>
      </c>
      <c r="DE2" s="1" t="n">
        <f aca="false">IF(AND('Daily Workforce'!$N98="Y",'Daily Workforce'!$B98&lt;&gt;"",COUNTIF('Daily Schedule'!$F$5:$F5,'Daily Workforce'!$B98)=0,'Daily Workforce'!$M98="Y",IF(OR('Daily Schedule'!$E$2="Full Day",'Daily Schedule'!$E$2="AM"),'Daily Workforce'!$D98="3:45 AM",IF('Daily Schedule'!$E$2="PM",'Daily Workforce'!$E98="PM",'Daily Workforce'!$E98="Overnight"))),'Daily Workforce'!$V98*1000+98,999999999)</f>
        <v>999999999</v>
      </c>
      <c r="DF2" s="1" t="n">
        <f aca="false">IF(AND('Daily Workforce'!$N99="Y",'Daily Workforce'!$B99&lt;&gt;"",COUNTIF('Daily Schedule'!$F$5:$F5,'Daily Workforce'!$B99)=0,'Daily Workforce'!$M99="Y",IF(OR('Daily Schedule'!$E$2="Full Day",'Daily Schedule'!$E$2="AM"),'Daily Workforce'!$D99="3:45 AM",IF('Daily Schedule'!$E$2="PM",'Daily Workforce'!$E99="PM",'Daily Workforce'!$E99="Overnight"))),'Daily Workforce'!$V99*1000+99,999999999)</f>
        <v>999999999</v>
      </c>
      <c r="DG2" s="1" t="n">
        <f aca="false">IF(AND('Daily Workforce'!$N100="Y",'Daily Workforce'!$B100&lt;&gt;"",COUNTIF('Daily Schedule'!$F$5:$F5,'Daily Workforce'!$B100)=0,'Daily Workforce'!$M100="Y",IF(OR('Daily Schedule'!$E$2="Full Day",'Daily Schedule'!$E$2="AM"),'Daily Workforce'!$D100="3:45 AM",IF('Daily Schedule'!$E$2="PM",'Daily Workforce'!$E100="PM",'Daily Workforce'!$E100="Overnight"))),'Daily Workforce'!$V100*1000+100,999999999)</f>
        <v>999999999</v>
      </c>
      <c r="DH2" s="1" t="n">
        <f aca="false">IF(AND('Daily Workforce'!$N101="Y",'Daily Workforce'!$B101&lt;&gt;"",COUNTIF('Daily Schedule'!$F$5:$F5,'Daily Workforce'!$B101)=0,'Daily Workforce'!$M101="Y",IF(OR('Daily Schedule'!$E$2="Full Day",'Daily Schedule'!$E$2="AM"),'Daily Workforce'!$D101="3:45 AM",IF('Daily Schedule'!$E$2="PM",'Daily Workforce'!$E101="PM",'Daily Workforce'!$E101="Overnight"))),'Daily Workforce'!$V101*1000+101,999999999)</f>
        <v>999999999</v>
      </c>
      <c r="DI2" s="1" t="n">
        <f aca="false">IF(AND('Daily Workforce'!$N102="Y",'Daily Workforce'!$B102&lt;&gt;"",COUNTIF('Daily Schedule'!$F$5:$F5,'Daily Workforce'!$B102)=0,'Daily Workforce'!$M102="Y",IF(OR('Daily Schedule'!$E$2="Full Day",'Daily Schedule'!$E$2="AM"),'Daily Workforce'!$D102="3:45 AM",IF('Daily Schedule'!$E$2="PM",'Daily Workforce'!$E102="PM",'Daily Workforce'!$E102="Overnight"))),'Daily Workforce'!$V102*1000+102,999999999)</f>
        <v>999999999</v>
      </c>
      <c r="DJ2" s="1" t="n">
        <f aca="false">IF(AND('Daily Workforce'!$N103="Y",'Daily Workforce'!$B103&lt;&gt;"",COUNTIF('Daily Schedule'!$F$5:$F5,'Daily Workforce'!$B103)=0,'Daily Workforce'!$M103="Y",IF(OR('Daily Schedule'!$E$2="Full Day",'Daily Schedule'!$E$2="AM"),'Daily Workforce'!$D103="3:45 AM",IF('Daily Schedule'!$E$2="PM",'Daily Workforce'!$E103="PM",'Daily Workforce'!$E103="Overnight"))),'Daily Workforce'!$V103*1000+103,999999999)</f>
        <v>999999999</v>
      </c>
      <c r="DK2" s="1" t="n">
        <f aca="false">IF(AND('Daily Workforce'!$N104="Y",'Daily Workforce'!$B104&lt;&gt;"",COUNTIF('Daily Schedule'!$F$5:$F5,'Daily Workforce'!$B104)=0,'Daily Workforce'!$M104="Y",IF(OR('Daily Schedule'!$E$2="Full Day",'Daily Schedule'!$E$2="AM"),'Daily Workforce'!$D104="3:45 AM",IF('Daily Schedule'!$E$2="PM",'Daily Workforce'!$E104="PM",'Daily Workforce'!$E104="Overnight"))),'Daily Workforce'!$V104*1000+104,999999999)</f>
        <v>999999999</v>
      </c>
      <c r="DL2" s="1" t="n">
        <f aca="false">IF(AND('Daily Workforce'!$N105="Y",'Daily Workforce'!$B105&lt;&gt;"",COUNTIF('Daily Schedule'!$F$5:$F5,'Daily Workforce'!$B105)=0,'Daily Workforce'!$M105="Y",IF(OR('Daily Schedule'!$E$2="Full Day",'Daily Schedule'!$E$2="AM"),'Daily Workforce'!$D105="3:45 AM",IF('Daily Schedule'!$E$2="PM",'Daily Workforce'!$E105="PM",'Daily Workforce'!$E105="Overnight"))),'Daily Workforce'!$V105*1000+105,999999999)</f>
        <v>999999999</v>
      </c>
      <c r="DM2" s="1" t="n">
        <f aca="false">IF(AND('Daily Workforce'!$N106="Y",'Daily Workforce'!$B106&lt;&gt;"",COUNTIF('Daily Schedule'!$F$5:$F5,'Daily Workforce'!$B106)=0,'Daily Workforce'!$M106="Y",IF(OR('Daily Schedule'!$E$2="Full Day",'Daily Schedule'!$E$2="AM"),'Daily Workforce'!$D106="3:45 AM",IF('Daily Schedule'!$E$2="PM",'Daily Workforce'!$E106="PM",'Daily Workforce'!$E106="Overnight"))),'Daily Workforce'!$V106*1000+106,999999999)</f>
        <v>999999999</v>
      </c>
      <c r="DN2" s="1" t="n">
        <f aca="false">IF(AND('Daily Workforce'!$N107="Y",'Daily Workforce'!$B107&lt;&gt;"",COUNTIF('Daily Schedule'!$F$5:$F5,'Daily Workforce'!$B107)=0,'Daily Workforce'!$M107="Y",IF(OR('Daily Schedule'!$E$2="Full Day",'Daily Schedule'!$E$2="AM"),'Daily Workforce'!$D107="3:45 AM",IF('Daily Schedule'!$E$2="PM",'Daily Workforce'!$E107="PM",'Daily Workforce'!$E107="Overnight"))),'Daily Workforce'!$V107*1000+107,999999999)</f>
        <v>999999999</v>
      </c>
      <c r="DO2" s="1" t="n">
        <f aca="false">IF(AND('Daily Workforce'!$N108="Y",'Daily Workforce'!$B108&lt;&gt;"",COUNTIF('Daily Schedule'!$F$5:$F5,'Daily Workforce'!$B108)=0,'Daily Workforce'!$M108="Y",IF(OR('Daily Schedule'!$E$2="Full Day",'Daily Schedule'!$E$2="AM"),'Daily Workforce'!$D108="3:45 AM",IF('Daily Schedule'!$E$2="PM",'Daily Workforce'!$E108="PM",'Daily Workforce'!$E108="Overnight"))),'Daily Workforce'!$V108*1000+108,999999999)</f>
        <v>999999999</v>
      </c>
      <c r="DP2" s="1" t="n">
        <f aca="false">IF(AND('Daily Workforce'!$N109="Y",'Daily Workforce'!$B109&lt;&gt;"",COUNTIF('Daily Schedule'!$F$5:$F5,'Daily Workforce'!$B109)=0,'Daily Workforce'!$M109="Y",IF(OR('Daily Schedule'!$E$2="Full Day",'Daily Schedule'!$E$2="AM"),'Daily Workforce'!$D109="3:45 AM",IF('Daily Schedule'!$E$2="PM",'Daily Workforce'!$E109="PM",'Daily Workforce'!$E109="Overnight"))),'Daily Workforce'!$V109*1000+109,999999999)</f>
        <v>999999999</v>
      </c>
      <c r="DQ2" s="1" t="n">
        <f aca="false">IF(AND('Daily Workforce'!$N110="Y",'Daily Workforce'!$B110&lt;&gt;"",COUNTIF('Daily Schedule'!$F$5:$F5,'Daily Workforce'!$B110)=0,'Daily Workforce'!$M110="Y",IF(OR('Daily Schedule'!$E$2="Full Day",'Daily Schedule'!$E$2="AM"),'Daily Workforce'!$D110="3:45 AM",IF('Daily Schedule'!$E$2="PM",'Daily Workforce'!$E110="PM",'Daily Workforce'!$E110="Overnight"))),'Daily Workforce'!$V110*1000+110,999999999)</f>
        <v>999999999</v>
      </c>
      <c r="DR2" s="1" t="n">
        <f aca="false">IF(AND('Daily Workforce'!$N111="Y",'Daily Workforce'!$B111&lt;&gt;"",COUNTIF('Daily Schedule'!$F$5:$F5,'Daily Workforce'!$B111)=0,'Daily Workforce'!$M111="Y",IF(OR('Daily Schedule'!$E$2="Full Day",'Daily Schedule'!$E$2="AM"),'Daily Workforce'!$D111="3:45 AM",IF('Daily Schedule'!$E$2="PM",'Daily Workforce'!$E111="PM",'Daily Workforce'!$E111="Overnight"))),'Daily Workforce'!$V111*1000+111,999999999)</f>
        <v>999999999</v>
      </c>
      <c r="DS2" s="1" t="n">
        <f aca="false">IF(AND('Daily Workforce'!$N112="Y",'Daily Workforce'!$B112&lt;&gt;"",COUNTIF('Daily Schedule'!$F$5:$F5,'Daily Workforce'!$B112)=0,'Daily Workforce'!$M112="Y",IF(OR('Daily Schedule'!$E$2="Full Day",'Daily Schedule'!$E$2="AM"),'Daily Workforce'!$D112="3:45 AM",IF('Daily Schedule'!$E$2="PM",'Daily Workforce'!$E112="PM",'Daily Workforce'!$E112="Overnight"))),'Daily Workforce'!$V112*1000+112,999999999)</f>
        <v>999999999</v>
      </c>
      <c r="DT2" s="1" t="n">
        <f aca="false">IF(AND('Daily Workforce'!$N113="Y",'Daily Workforce'!$B113&lt;&gt;"",COUNTIF('Daily Schedule'!$F$5:$F5,'Daily Workforce'!$B113)=0,'Daily Workforce'!$M113="Y",IF(OR('Daily Schedule'!$E$2="Full Day",'Daily Schedule'!$E$2="AM"),'Daily Workforce'!$D113="3:45 AM",IF('Daily Schedule'!$E$2="PM",'Daily Workforce'!$E113="PM",'Daily Workforce'!$E113="Overnight"))),'Daily Workforce'!$V113*1000+113,999999999)</f>
        <v>999999999</v>
      </c>
      <c r="DU2" s="1" t="n">
        <f aca="false">IF(AND('Daily Workforce'!$N114="Y",'Daily Workforce'!$B114&lt;&gt;"",COUNTIF('Daily Schedule'!$F$5:$F5,'Daily Workforce'!$B114)=0,'Daily Workforce'!$M114="Y",IF(OR('Daily Schedule'!$E$2="Full Day",'Daily Schedule'!$E$2="AM"),'Daily Workforce'!$D114="3:45 AM",IF('Daily Schedule'!$E$2="PM",'Daily Workforce'!$E114="PM",'Daily Workforce'!$E114="Overnight"))),'Daily Workforce'!$V114*1000+114,999999999)</f>
        <v>999999999</v>
      </c>
      <c r="DV2" s="1" t="n">
        <f aca="false">IF(AND('Daily Workforce'!$N115="Y",'Daily Workforce'!$B115&lt;&gt;"",COUNTIF('Daily Schedule'!$F$5:$F5,'Daily Workforce'!$B115)=0,'Daily Workforce'!$M115="Y",IF(OR('Daily Schedule'!$E$2="Full Day",'Daily Schedule'!$E$2="AM"),'Daily Workforce'!$D115="3:45 AM",IF('Daily Schedule'!$E$2="PM",'Daily Workforce'!$E115="PM",'Daily Workforce'!$E115="Overnight"))),'Daily Workforce'!$V115*1000+115,999999999)</f>
        <v>999999999</v>
      </c>
      <c r="DW2" s="1" t="n">
        <f aca="false">IF(AND('Daily Workforce'!$N116="Y",'Daily Workforce'!$B116&lt;&gt;"",COUNTIF('Daily Schedule'!$F$5:$F5,'Daily Workforce'!$B116)=0,'Daily Workforce'!$M116="Y",IF(OR('Daily Schedule'!$E$2="Full Day",'Daily Schedule'!$E$2="AM"),'Daily Workforce'!$D116="3:45 AM",IF('Daily Schedule'!$E$2="PM",'Daily Workforce'!$E116="PM",'Daily Workforce'!$E116="Overnight"))),'Daily Workforce'!$V116*1000+116,999999999)</f>
        <v>999999999</v>
      </c>
      <c r="DX2" s="1" t="n">
        <f aca="false">IF(AND('Daily Workforce'!$N117="Y",'Daily Workforce'!$B117&lt;&gt;"",COUNTIF('Daily Schedule'!$F$5:$F5,'Daily Workforce'!$B117)=0,'Daily Workforce'!$M117="Y",IF(OR('Daily Schedule'!$E$2="Full Day",'Daily Schedule'!$E$2="AM"),'Daily Workforce'!$D117="3:45 AM",IF('Daily Schedule'!$E$2="PM",'Daily Workforce'!$E117="PM",'Daily Workforce'!$E117="Overnight"))),'Daily Workforce'!$V117*1000+117,999999999)</f>
        <v>999999999</v>
      </c>
      <c r="DY2" s="1" t="n">
        <f aca="false">IF(AND('Daily Workforce'!$N118="Y",'Daily Workforce'!$B118&lt;&gt;"",COUNTIF('Daily Schedule'!$F$5:$F5,'Daily Workforce'!$B118)=0,'Daily Workforce'!$M118="Y",IF(OR('Daily Schedule'!$E$2="Full Day",'Daily Schedule'!$E$2="AM"),'Daily Workforce'!$D118="3:45 AM",IF('Daily Schedule'!$E$2="PM",'Daily Workforce'!$E118="PM",'Daily Workforce'!$E118="Overnight"))),'Daily Workforce'!$V118*1000+118,999999999)</f>
        <v>999999999</v>
      </c>
      <c r="DZ2" s="1" t="n">
        <f aca="false">IF(AND('Daily Workforce'!$N119="Y",'Daily Workforce'!$B119&lt;&gt;"",COUNTIF('Daily Schedule'!$F$5:$F5,'Daily Workforce'!$B119)=0,'Daily Workforce'!$M119="Y",IF(OR('Daily Schedule'!$E$2="Full Day",'Daily Schedule'!$E$2="AM"),'Daily Workforce'!$D119="3:45 AM",IF('Daily Schedule'!$E$2="PM",'Daily Workforce'!$E119="PM",'Daily Workforce'!$E119="Overnight"))),'Daily Workforce'!$V119*1000+119,999999999)</f>
        <v>999999999</v>
      </c>
      <c r="EA2" s="1" t="n">
        <f aca="false">IF(AND('Daily Workforce'!$N120="Y",'Daily Workforce'!$B120&lt;&gt;"",COUNTIF('Daily Schedule'!$F$5:$F5,'Daily Workforce'!$B120)=0,'Daily Workforce'!$M120="Y",IF(OR('Daily Schedule'!$E$2="Full Day",'Daily Schedule'!$E$2="AM"),'Daily Workforce'!$D120="3:45 AM",IF('Daily Schedule'!$E$2="PM",'Daily Workforce'!$E120="PM",'Daily Workforce'!$E120="Overnight"))),'Daily Workforce'!$V120*1000+120,999999999)</f>
        <v>999999999</v>
      </c>
      <c r="EB2" s="1" t="n">
        <f aca="false">IF(AND('Daily Workforce'!$N121="Y",'Daily Workforce'!$B121&lt;&gt;"",COUNTIF('Daily Schedule'!$F$5:$F5,'Daily Workforce'!$B121)=0,'Daily Workforce'!$M121="Y",IF(OR('Daily Schedule'!$E$2="Full Day",'Daily Schedule'!$E$2="AM"),'Daily Workforce'!$D121="3:45 AM",IF('Daily Schedule'!$E$2="PM",'Daily Workforce'!$E121="PM",'Daily Workforce'!$E121="Overnight"))),'Daily Workforce'!$V121*1000+121,999999999)</f>
        <v>999999999</v>
      </c>
      <c r="EC2" s="1" t="n">
        <f aca="false">IF(AND('Daily Workforce'!$N122="Y",'Daily Workforce'!$B122&lt;&gt;"",COUNTIF('Daily Schedule'!$F$5:$F5,'Daily Workforce'!$B122)=0,'Daily Workforce'!$M122="Y",IF(OR('Daily Schedule'!$E$2="Full Day",'Daily Schedule'!$E$2="AM"),'Daily Workforce'!$D122="3:45 AM",IF('Daily Schedule'!$E$2="PM",'Daily Workforce'!$E122="PM",'Daily Workforce'!$E122="Overnight"))),'Daily Workforce'!$V122*1000+122,999999999)</f>
        <v>999999999</v>
      </c>
      <c r="ED2" s="1" t="n">
        <f aca="false">IF(AND('Daily Workforce'!$N123="Y",'Daily Workforce'!$B123&lt;&gt;"",COUNTIF('Daily Schedule'!$F$5:$F5,'Daily Workforce'!$B123)=0,'Daily Workforce'!$M123="Y",IF(OR('Daily Schedule'!$E$2="Full Day",'Daily Schedule'!$E$2="AM"),'Daily Workforce'!$D123="3:45 AM",IF('Daily Schedule'!$E$2="PM",'Daily Workforce'!$E123="PM",'Daily Workforce'!$E123="Overnight"))),'Daily Workforce'!$V123*1000+123,999999999)</f>
        <v>999999999</v>
      </c>
      <c r="EE2" s="1" t="n">
        <f aca="false">IF(AND('Daily Workforce'!$N124="Y",'Daily Workforce'!$B124&lt;&gt;"",COUNTIF('Daily Schedule'!$F$5:$F5,'Daily Workforce'!$B124)=0,'Daily Workforce'!$M124="Y",IF(OR('Daily Schedule'!$E$2="Full Day",'Daily Schedule'!$E$2="AM"),'Daily Workforce'!$D124="3:45 AM",IF('Daily Schedule'!$E$2="PM",'Daily Workforce'!$E124="PM",'Daily Workforce'!$E124="Overnight"))),'Daily Workforce'!$V124*1000+124,999999999)</f>
        <v>999999999</v>
      </c>
      <c r="EF2" s="1" t="n">
        <f aca="false">IF(AND('Daily Workforce'!$N125="Y",'Daily Workforce'!$B125&lt;&gt;"",COUNTIF('Daily Schedule'!$F$5:$F5,'Daily Workforce'!$B125)=0,'Daily Workforce'!$M125="Y",IF(OR('Daily Schedule'!$E$2="Full Day",'Daily Schedule'!$E$2="AM"),'Daily Workforce'!$D125="3:45 AM",IF('Daily Schedule'!$E$2="PM",'Daily Workforce'!$E125="PM",'Daily Workforce'!$E125="Overnight"))),'Daily Workforce'!$V125*1000+125,999999999)</f>
        <v>999999999</v>
      </c>
      <c r="EG2" s="1" t="n">
        <f aca="false">IF(AND('Daily Workforce'!$N126="Y",'Daily Workforce'!$B126&lt;&gt;"",COUNTIF('Daily Schedule'!$F$5:$F5,'Daily Workforce'!$B126)=0,'Daily Workforce'!$M126="Y",IF(OR('Daily Schedule'!$E$2="Full Day",'Daily Schedule'!$E$2="AM"),'Daily Workforce'!$D126="3:45 AM",IF('Daily Schedule'!$E$2="PM",'Daily Workforce'!$E126="PM",'Daily Workforce'!$E126="Overnight"))),'Daily Workforce'!$V126*1000+126,999999999)</f>
        <v>999999999</v>
      </c>
      <c r="EH2" s="1" t="n">
        <f aca="false">IF(AND('Daily Workforce'!$N127="Y",'Daily Workforce'!$B127&lt;&gt;"",COUNTIF('Daily Schedule'!$F$5:$F5,'Daily Workforce'!$B127)=0,'Daily Workforce'!$M127="Y",IF(OR('Daily Schedule'!$E$2="Full Day",'Daily Schedule'!$E$2="AM"),'Daily Workforce'!$D127="3:45 AM",IF('Daily Schedule'!$E$2="PM",'Daily Workforce'!$E127="PM",'Daily Workforce'!$E127="Overnight"))),'Daily Workforce'!$V127*1000+127,999999999)</f>
        <v>999999999</v>
      </c>
      <c r="EI2" s="1" t="n">
        <f aca="false">IF(AND('Daily Workforce'!$N128="Y",'Daily Workforce'!$B128&lt;&gt;"",COUNTIF('Daily Schedule'!$F$5:$F5,'Daily Workforce'!$B128)=0,'Daily Workforce'!$M128="Y",IF(OR('Daily Schedule'!$E$2="Full Day",'Daily Schedule'!$E$2="AM"),'Daily Workforce'!$D128="3:45 AM",IF('Daily Schedule'!$E$2="PM",'Daily Workforce'!$E128="PM",'Daily Workforce'!$E128="Overnight"))),'Daily Workforce'!$V128*1000+128,999999999)</f>
        <v>999999999</v>
      </c>
      <c r="EJ2" s="1" t="n">
        <f aca="false">IF(AND('Daily Workforce'!$N129="Y",'Daily Workforce'!$B129&lt;&gt;"",COUNTIF('Daily Schedule'!$F$5:$F5,'Daily Workforce'!$B129)=0,'Daily Workforce'!$M129="Y",IF(OR('Daily Schedule'!$E$2="Full Day",'Daily Schedule'!$E$2="AM"),'Daily Workforce'!$D129="3:45 AM",IF('Daily Schedule'!$E$2="PM",'Daily Workforce'!$E129="PM",'Daily Workforce'!$E129="Overnight"))),'Daily Workforce'!$V129*1000+129,999999999)</f>
        <v>999999999</v>
      </c>
      <c r="EK2" s="1" t="n">
        <f aca="false">IF(AND('Daily Workforce'!$N130="Y",'Daily Workforce'!$B130&lt;&gt;"",COUNTIF('Daily Schedule'!$F$5:$F5,'Daily Workforce'!$B130)=0,'Daily Workforce'!$M130="Y",IF(OR('Daily Schedule'!$E$2="Full Day",'Daily Schedule'!$E$2="AM"),'Daily Workforce'!$D130="3:45 AM",IF('Daily Schedule'!$E$2="PM",'Daily Workforce'!$E130="PM",'Daily Workforce'!$E130="Overnight"))),'Daily Workforce'!$V130*1000+130,999999999)</f>
        <v>999999999</v>
      </c>
      <c r="EL2" s="1" t="n">
        <f aca="false">IF(AND('Daily Workforce'!$N131="Y",'Daily Workforce'!$B131&lt;&gt;"",COUNTIF('Daily Schedule'!$F$5:$F5,'Daily Workforce'!$B131)=0,'Daily Workforce'!$M131="Y",IF(OR('Daily Schedule'!$E$2="Full Day",'Daily Schedule'!$E$2="AM"),'Daily Workforce'!$D131="3:45 AM",IF('Daily Schedule'!$E$2="PM",'Daily Workforce'!$E131="PM",'Daily Workforce'!$E131="Overnight"))),'Daily Workforce'!$V131*1000+131,999999999)</f>
        <v>999999999</v>
      </c>
      <c r="EM2" s="1" t="n">
        <f aca="false">IF(AND('Daily Workforce'!$N132="Y",'Daily Workforce'!$B132&lt;&gt;"",COUNTIF('Daily Schedule'!$F$5:$F5,'Daily Workforce'!$B132)=0,'Daily Workforce'!$M132="Y",IF(OR('Daily Schedule'!$E$2="Full Day",'Daily Schedule'!$E$2="AM"),'Daily Workforce'!$D132="3:45 AM",IF('Daily Schedule'!$E$2="PM",'Daily Workforce'!$E132="PM",'Daily Workforce'!$E132="Overnight"))),'Daily Workforce'!$V132*1000+132,999999999)</f>
        <v>999999999</v>
      </c>
      <c r="EN2" s="1" t="n">
        <f aca="false">IF(AND('Daily Workforce'!$N133="Y",'Daily Workforce'!$B133&lt;&gt;"",COUNTIF('Daily Schedule'!$F$5:$F5,'Daily Workforce'!$B133)=0,'Daily Workforce'!$M133="Y",IF(OR('Daily Schedule'!$E$2="Full Day",'Daily Schedule'!$E$2="AM"),'Daily Workforce'!$D133="3:45 AM",IF('Daily Schedule'!$E$2="PM",'Daily Workforce'!$E133="PM",'Daily Workforce'!$E133="Overnight"))),'Daily Workforce'!$V133*1000+133,999999999)</f>
        <v>999999999</v>
      </c>
      <c r="EO2" s="1" t="n">
        <f aca="false">IF(AND('Daily Workforce'!$N134="Y",'Daily Workforce'!$B134&lt;&gt;"",COUNTIF('Daily Schedule'!$F$5:$F5,'Daily Workforce'!$B134)=0,'Daily Workforce'!$M134="Y",IF(OR('Daily Schedule'!$E$2="Full Day",'Daily Schedule'!$E$2="AM"),'Daily Workforce'!$D134="3:45 AM",IF('Daily Schedule'!$E$2="PM",'Daily Workforce'!$E134="PM",'Daily Workforce'!$E134="Overnight"))),'Daily Workforce'!$V134*1000+134,999999999)</f>
        <v>999999999</v>
      </c>
      <c r="EP2" s="1" t="n">
        <f aca="false">IF(AND('Daily Workforce'!$N135="Y",'Daily Workforce'!$B135&lt;&gt;"",COUNTIF('Daily Schedule'!$F$5:$F5,'Daily Workforce'!$B135)=0,'Daily Workforce'!$M135="Y",IF(OR('Daily Schedule'!$E$2="Full Day",'Daily Schedule'!$E$2="AM"),'Daily Workforce'!$D135="3:45 AM",IF('Daily Schedule'!$E$2="PM",'Daily Workforce'!$E135="PM",'Daily Workforce'!$E135="Overnight"))),'Daily Workforce'!$V135*1000+135,999999999)</f>
        <v>999999999</v>
      </c>
      <c r="EQ2" s="1" t="n">
        <f aca="false">IF(AND('Daily Workforce'!$N136="Y",'Daily Workforce'!$B136&lt;&gt;"",COUNTIF('Daily Schedule'!$F$5:$F5,'Daily Workforce'!$B136)=0,'Daily Workforce'!$M136="Y",IF(OR('Daily Schedule'!$E$2="Full Day",'Daily Schedule'!$E$2="AM"),'Daily Workforce'!$D136="3:45 AM",IF('Daily Schedule'!$E$2="PM",'Daily Workforce'!$E136="PM",'Daily Workforce'!$E136="Overnight"))),'Daily Workforce'!$V136*1000+136,999999999)</f>
        <v>999999999</v>
      </c>
      <c r="ER2" s="1" t="n">
        <f aca="false">IF(AND('Daily Workforce'!$N137="Y",'Daily Workforce'!$B137&lt;&gt;"",COUNTIF('Daily Schedule'!$F$5:$F5,'Daily Workforce'!$B137)=0,'Daily Workforce'!$M137="Y",IF(OR('Daily Schedule'!$E$2="Full Day",'Daily Schedule'!$E$2="AM"),'Daily Workforce'!$D137="3:45 AM",IF('Daily Schedule'!$E$2="PM",'Daily Workforce'!$E137="PM",'Daily Workforce'!$E137="Overnight"))),'Daily Workforce'!$V137*1000+137,999999999)</f>
        <v>999999999</v>
      </c>
      <c r="ES2" s="1" t="n">
        <f aca="false">IF(AND('Daily Workforce'!$N138="Y",'Daily Workforce'!$B138&lt;&gt;"",COUNTIF('Daily Schedule'!$F$5:$F5,'Daily Workforce'!$B138)=0,'Daily Workforce'!$M138="Y",IF(OR('Daily Schedule'!$E$2="Full Day",'Daily Schedule'!$E$2="AM"),'Daily Workforce'!$D138="3:45 AM",IF('Daily Schedule'!$E$2="PM",'Daily Workforce'!$E138="PM",'Daily Workforce'!$E138="Overnight"))),'Daily Workforce'!$V138*1000+138,999999999)</f>
        <v>999999999</v>
      </c>
      <c r="ET2" s="1" t="n">
        <f aca="false">IF(AND('Daily Workforce'!$N139="Y",'Daily Workforce'!$B139&lt;&gt;"",COUNTIF('Daily Schedule'!$F$5:$F5,'Daily Workforce'!$B139)=0,'Daily Workforce'!$M139="Y",IF(OR('Daily Schedule'!$E$2="Full Day",'Daily Schedule'!$E$2="AM"),'Daily Workforce'!$D139="3:45 AM",IF('Daily Schedule'!$E$2="PM",'Daily Workforce'!$E139="PM",'Daily Workforce'!$E139="Overnight"))),'Daily Workforce'!$V139*1000+139,999999999)</f>
        <v>999999999</v>
      </c>
      <c r="EU2" s="1" t="n">
        <f aca="false">IF(AND('Daily Workforce'!$N140="Y",'Daily Workforce'!$B140&lt;&gt;"",COUNTIF('Daily Schedule'!$F$5:$F5,'Daily Workforce'!$B140)=0,'Daily Workforce'!$M140="Y",IF(OR('Daily Schedule'!$E$2="Full Day",'Daily Schedule'!$E$2="AM"),'Daily Workforce'!$D140="3:45 AM",IF('Daily Schedule'!$E$2="PM",'Daily Workforce'!$E140="PM",'Daily Workforce'!$E140="Overnight"))),'Daily Workforce'!$V140*1000+140,999999999)</f>
        <v>999999999</v>
      </c>
      <c r="EV2" s="1" t="n">
        <f aca="false">IF(AND('Daily Workforce'!$N141="Y",'Daily Workforce'!$B141&lt;&gt;"",COUNTIF('Daily Schedule'!$F$5:$F5,'Daily Workforce'!$B141)=0,'Daily Workforce'!$M141="Y",IF(OR('Daily Schedule'!$E$2="Full Day",'Daily Schedule'!$E$2="AM"),'Daily Workforce'!$D141="3:45 AM",IF('Daily Schedule'!$E$2="PM",'Daily Workforce'!$E141="PM",'Daily Workforce'!$E141="Overnight"))),'Daily Workforce'!$V141*1000+141,999999999)</f>
        <v>999999999</v>
      </c>
      <c r="EW2" s="1" t="n">
        <f aca="false">IF(AND('Daily Workforce'!$N142="Y",'Daily Workforce'!$B142&lt;&gt;"",COUNTIF('Daily Schedule'!$F$5:$F5,'Daily Workforce'!$B142)=0,'Daily Workforce'!$M142="Y",IF(OR('Daily Schedule'!$E$2="Full Day",'Daily Schedule'!$E$2="AM"),'Daily Workforce'!$D142="3:45 AM",IF('Daily Schedule'!$E$2="PM",'Daily Workforce'!$E142="PM",'Daily Workforce'!$E142="Overnight"))),'Daily Workforce'!$V142*1000+142,999999999)</f>
        <v>999999999</v>
      </c>
      <c r="EX2" s="1" t="n">
        <f aca="false">IF(AND('Daily Workforce'!$N143="Y",'Daily Workforce'!$B143&lt;&gt;"",COUNTIF('Daily Schedule'!$F$5:$F5,'Daily Workforce'!$B143)=0,'Daily Workforce'!$M143="Y",IF(OR('Daily Schedule'!$E$2="Full Day",'Daily Schedule'!$E$2="AM"),'Daily Workforce'!$D143="3:45 AM",IF('Daily Schedule'!$E$2="PM",'Daily Workforce'!$E143="PM",'Daily Workforce'!$E143="Overnight"))),'Daily Workforce'!$V143*1000+143,999999999)</f>
        <v>999999999</v>
      </c>
      <c r="EY2" s="1" t="n">
        <f aca="false">IF(AND('Daily Workforce'!$N144="Y",'Daily Workforce'!$B144&lt;&gt;"",COUNTIF('Daily Schedule'!$F$5:$F5,'Daily Workforce'!$B144)=0,'Daily Workforce'!$M144="Y",IF(OR('Daily Schedule'!$E$2="Full Day",'Daily Schedule'!$E$2="AM"),'Daily Workforce'!$D144="3:45 AM",IF('Daily Schedule'!$E$2="PM",'Daily Workforce'!$E144="PM",'Daily Workforce'!$E144="Overnight"))),'Daily Workforce'!$V144*1000+144,999999999)</f>
        <v>999999999</v>
      </c>
      <c r="EZ2" s="1" t="n">
        <f aca="false">IF(AND('Daily Workforce'!$N145="Y",'Daily Workforce'!$B145&lt;&gt;"",COUNTIF('Daily Schedule'!$F$5:$F5,'Daily Workforce'!$B145)=0,'Daily Workforce'!$M145="Y",IF(OR('Daily Schedule'!$E$2="Full Day",'Daily Schedule'!$E$2="AM"),'Daily Workforce'!$D145="3:45 AM",IF('Daily Schedule'!$E$2="PM",'Daily Workforce'!$E145="PM",'Daily Workforce'!$E145="Overnight"))),'Daily Workforce'!$V145*1000+145,999999999)</f>
        <v>999999999</v>
      </c>
      <c r="FA2" s="1" t="n">
        <f aca="false">IF(AND('Daily Workforce'!$N146="Y",'Daily Workforce'!$B146&lt;&gt;"",COUNTIF('Daily Schedule'!$F$5:$F5,'Daily Workforce'!$B146)=0,'Daily Workforce'!$M146="Y",IF(OR('Daily Schedule'!$E$2="Full Day",'Daily Schedule'!$E$2="AM"),'Daily Workforce'!$D146="3:45 AM",IF('Daily Schedule'!$E$2="PM",'Daily Workforce'!$E146="PM",'Daily Workforce'!$E146="Overnight"))),'Daily Workforce'!$V146*1000+146,999999999)</f>
        <v>999999999</v>
      </c>
      <c r="FB2" s="1" t="n">
        <f aca="false">IF(AND('Daily Workforce'!$N147="Y",'Daily Workforce'!$B147&lt;&gt;"",COUNTIF('Daily Schedule'!$F$5:$F5,'Daily Workforce'!$B147)=0,'Daily Workforce'!$M147="Y",IF(OR('Daily Schedule'!$E$2="Full Day",'Daily Schedule'!$E$2="AM"),'Daily Workforce'!$D147="3:45 AM",IF('Daily Schedule'!$E$2="PM",'Daily Workforce'!$E147="PM",'Daily Workforce'!$E147="Overnight"))),'Daily Workforce'!$V147*1000+147,999999999)</f>
        <v>999999999</v>
      </c>
      <c r="FC2" s="1" t="n">
        <f aca="false">IF(AND('Daily Workforce'!$N148="Y",'Daily Workforce'!$B148&lt;&gt;"",COUNTIF('Daily Schedule'!$F$5:$F5,'Daily Workforce'!$B148)=0,'Daily Workforce'!$M148="Y",IF(OR('Daily Schedule'!$E$2="Full Day",'Daily Schedule'!$E$2="AM"),'Daily Workforce'!$D148="3:45 AM",IF('Daily Schedule'!$E$2="PM",'Daily Workforce'!$E148="PM",'Daily Workforce'!$E148="Overnight"))),'Daily Workforce'!$V148*1000+148,999999999)</f>
        <v>999999999</v>
      </c>
      <c r="FD2" s="1" t="n">
        <f aca="false">IF(AND('Daily Workforce'!$N149="Y",'Daily Workforce'!$B149&lt;&gt;"",COUNTIF('Daily Schedule'!$F$5:$F5,'Daily Workforce'!$B149)=0,'Daily Workforce'!$M149="Y",IF(OR('Daily Schedule'!$E$2="Full Day",'Daily Schedule'!$E$2="AM"),'Daily Workforce'!$D149="3:45 AM",IF('Daily Schedule'!$E$2="PM",'Daily Workforce'!$E149="PM",'Daily Workforce'!$E149="Overnight"))),'Daily Workforce'!$V149*1000+149,999999999)</f>
        <v>999999999</v>
      </c>
      <c r="FE2" s="1" t="n">
        <f aca="false">IF(AND('Daily Workforce'!$N150="Y",'Daily Workforce'!$B150&lt;&gt;"",COUNTIF('Daily Schedule'!$F$5:$F5,'Daily Workforce'!$B150)=0,'Daily Workforce'!$M150="Y",IF(OR('Daily Schedule'!$E$2="Full Day",'Daily Schedule'!$E$2="AM"),'Daily Workforce'!$D150="3:45 AM",IF('Daily Schedule'!$E$2="PM",'Daily Workforce'!$E150="PM",'Daily Workforce'!$E150="Overnight"))),'Daily Workforce'!$V150*1000+150,999999999)</f>
        <v>999999999</v>
      </c>
      <c r="FF2" s="1" t="n">
        <f aca="false">IF(AND('Daily Workforce'!$N151="Y",'Daily Workforce'!$B151&lt;&gt;"",COUNTIF('Daily Schedule'!$F$5:$F5,'Daily Workforce'!$B151)=0,'Daily Workforce'!$M151="Y",IF(OR('Daily Schedule'!$E$2="Full Day",'Daily Schedule'!$E$2="AM"),'Daily Workforce'!$D151="3:45 AM",IF('Daily Schedule'!$E$2="PM",'Daily Workforce'!$E151="PM",'Daily Workforce'!$E151="Overnight"))),'Daily Workforce'!$V151*1000+151,999999999)</f>
        <v>999999999</v>
      </c>
      <c r="FG2" s="1" t="n">
        <f aca="false">IF(AND('Daily Workforce'!$N152="Y",'Daily Workforce'!$B152&lt;&gt;"",COUNTIF('Daily Schedule'!$F$5:$F5,'Daily Workforce'!$B152)=0,'Daily Workforce'!$M152="Y",IF(OR('Daily Schedule'!$E$2="Full Day",'Daily Schedule'!$E$2="AM"),'Daily Workforce'!$D152="3:45 AM",IF('Daily Schedule'!$E$2="PM",'Daily Workforce'!$E152="PM",'Daily Workforce'!$E152="Overnight"))),'Daily Workforce'!$V152*1000+152,999999999)</f>
        <v>999999999</v>
      </c>
      <c r="FH2" s="1" t="n">
        <f aca="false">IF(AND('Daily Workforce'!$N153="Y",'Daily Workforce'!$B153&lt;&gt;"",COUNTIF('Daily Schedule'!$F$5:$F5,'Daily Workforce'!$B153)=0,'Daily Workforce'!$M153="Y",IF(OR('Daily Schedule'!$E$2="Full Day",'Daily Schedule'!$E$2="AM"),'Daily Workforce'!$D153="3:45 AM",IF('Daily Schedule'!$E$2="PM",'Daily Workforce'!$E153="PM",'Daily Workforce'!$E153="Overnight"))),'Daily Workforce'!$V153*1000+153,999999999)</f>
        <v>999999999</v>
      </c>
      <c r="FI2" s="1" t="n">
        <f aca="false">IF(AND('Daily Workforce'!$N154="Y",'Daily Workforce'!$B154&lt;&gt;"",COUNTIF('Daily Schedule'!$F$5:$F5,'Daily Workforce'!$B154)=0,'Daily Workforce'!$M154="Y",IF(OR('Daily Schedule'!$E$2="Full Day",'Daily Schedule'!$E$2="AM"),'Daily Workforce'!$D154="3:45 AM",IF('Daily Schedule'!$E$2="PM",'Daily Workforce'!$E154="PM",'Daily Workforce'!$E154="Overnight"))),'Daily Workforce'!$V154*1000+154,999999999)</f>
        <v>999999999</v>
      </c>
      <c r="FJ2" s="1" t="n">
        <f aca="false">IF(AND('Daily Workforce'!$N155="Y",'Daily Workforce'!$B155&lt;&gt;"",COUNTIF('Daily Schedule'!$F$5:$F5,'Daily Workforce'!$B155)=0,'Daily Workforce'!$M155="Y",IF(OR('Daily Schedule'!$E$2="Full Day",'Daily Schedule'!$E$2="AM"),'Daily Workforce'!$D155="3:45 AM",IF('Daily Schedule'!$E$2="PM",'Daily Workforce'!$E155="PM",'Daily Workforce'!$E155="Overnight"))),'Daily Workforce'!$V155*1000+155,999999999)</f>
        <v>999999999</v>
      </c>
      <c r="FK2" s="1" t="n">
        <f aca="false">IF(AND('Daily Workforce'!$N156="Y",'Daily Workforce'!$B156&lt;&gt;"",COUNTIF('Daily Schedule'!$F$5:$F5,'Daily Workforce'!$B156)=0,'Daily Workforce'!$M156="Y",IF(OR('Daily Schedule'!$E$2="Full Day",'Daily Schedule'!$E$2="AM"),'Daily Workforce'!$D156="3:45 AM",IF('Daily Schedule'!$E$2="PM",'Daily Workforce'!$E156="PM",'Daily Workforce'!$E156="Overnight"))),'Daily Workforce'!$V156*1000+156,999999999)</f>
        <v>999999999</v>
      </c>
      <c r="FL2" s="1" t="n">
        <f aca="false">IF(AND('Daily Workforce'!$N157="Y",'Daily Workforce'!$B157&lt;&gt;"",COUNTIF('Daily Schedule'!$F$5:$F5,'Daily Workforce'!$B157)=0,'Daily Workforce'!$M157="Y",IF(OR('Daily Schedule'!$E$2="Full Day",'Daily Schedule'!$E$2="AM"),'Daily Workforce'!$D157="3:45 AM",IF('Daily Schedule'!$E$2="PM",'Daily Workforce'!$E157="PM",'Daily Workforce'!$E157="Overnight"))),'Daily Workforce'!$V157*1000+157,999999999)</f>
        <v>999999999</v>
      </c>
      <c r="FM2" s="1" t="n">
        <f aca="false">IF(AND('Daily Workforce'!$N158="Y",'Daily Workforce'!$B158&lt;&gt;"",COUNTIF('Daily Schedule'!$F$5:$F5,'Daily Workforce'!$B158)=0,'Daily Workforce'!$M158="Y",IF(OR('Daily Schedule'!$E$2="Full Day",'Daily Schedule'!$E$2="AM"),'Daily Workforce'!$D158="3:45 AM",IF('Daily Schedule'!$E$2="PM",'Daily Workforce'!$E158="PM",'Daily Workforce'!$E158="Overnight"))),'Daily Workforce'!$V158*1000+158,999999999)</f>
        <v>999999999</v>
      </c>
      <c r="FN2" s="1" t="n">
        <f aca="false">IF(AND('Daily Workforce'!$N159="Y",'Daily Workforce'!$B159&lt;&gt;"",COUNTIF('Daily Schedule'!$F$5:$F5,'Daily Workforce'!$B159)=0,'Daily Workforce'!$M159="Y",IF(OR('Daily Schedule'!$E$2="Full Day",'Daily Schedule'!$E$2="AM"),'Daily Workforce'!$D159="3:45 AM",IF('Daily Schedule'!$E$2="PM",'Daily Workforce'!$E159="PM",'Daily Workforce'!$E159="Overnight"))),'Daily Workforce'!$V159*1000+159,999999999)</f>
        <v>999999999</v>
      </c>
      <c r="FO2" s="1" t="n">
        <f aca="false">IF(AND('Daily Workforce'!$N160="Y",'Daily Workforce'!$B160&lt;&gt;"",COUNTIF('Daily Schedule'!$F$5:$F5,'Daily Workforce'!$B160)=0,'Daily Workforce'!$M160="Y",IF(OR('Daily Schedule'!$E$2="Full Day",'Daily Schedule'!$E$2="AM"),'Daily Workforce'!$D160="3:45 AM",IF('Daily Schedule'!$E$2="PM",'Daily Workforce'!$E160="PM",'Daily Workforce'!$E160="Overnight"))),'Daily Workforce'!$V160*1000+160,999999999)</f>
        <v>999999999</v>
      </c>
      <c r="FP2" s="1" t="n">
        <f aca="false">IF(AND('Daily Workforce'!$N161="Y",'Daily Workforce'!$B161&lt;&gt;"",COUNTIF('Daily Schedule'!$F$5:$F5,'Daily Workforce'!$B161)=0,'Daily Workforce'!$M161="Y",IF(OR('Daily Schedule'!$E$2="Full Day",'Daily Schedule'!$E$2="AM"),'Daily Workforce'!$D161="3:45 AM",IF('Daily Schedule'!$E$2="PM",'Daily Workforce'!$E161="PM",'Daily Workforce'!$E161="Overnight"))),'Daily Workforce'!$V161*1000+161,999999999)</f>
        <v>999999999</v>
      </c>
      <c r="FQ2" s="1" t="n">
        <f aca="false">IF(AND('Daily Workforce'!$N162="Y",'Daily Workforce'!$B162&lt;&gt;"",COUNTIF('Daily Schedule'!$F$5:$F5,'Daily Workforce'!$B162)=0,'Daily Workforce'!$M162="Y",IF(OR('Daily Schedule'!$E$2="Full Day",'Daily Schedule'!$E$2="AM"),'Daily Workforce'!$D162="3:45 AM",IF('Daily Schedule'!$E$2="PM",'Daily Workforce'!$E162="PM",'Daily Workforce'!$E162="Overnight"))),'Daily Workforce'!$V162*1000+162,999999999)</f>
        <v>999999999</v>
      </c>
      <c r="FR2" s="1" t="n">
        <f aca="false">IF(AND('Daily Workforce'!$N163="Y",'Daily Workforce'!$B163&lt;&gt;"",COUNTIF('Daily Schedule'!$F$5:$F5,'Daily Workforce'!$B163)=0,'Daily Workforce'!$M163="Y",IF(OR('Daily Schedule'!$E$2="Full Day",'Daily Schedule'!$E$2="AM"),'Daily Workforce'!$D163="3:45 AM",IF('Daily Schedule'!$E$2="PM",'Daily Workforce'!$E163="PM",'Daily Workforce'!$E163="Overnight"))),'Daily Workforce'!$V163*1000+163,999999999)</f>
        <v>999999999</v>
      </c>
      <c r="FS2" s="1" t="n">
        <f aca="false">IF(AND('Daily Workforce'!$N164="Y",'Daily Workforce'!$B164&lt;&gt;"",COUNTIF('Daily Schedule'!$F$5:$F5,'Daily Workforce'!$B164)=0,'Daily Workforce'!$M164="Y",IF(OR('Daily Schedule'!$E$2="Full Day",'Daily Schedule'!$E$2="AM"),'Daily Workforce'!$D164="3:45 AM",IF('Daily Schedule'!$E$2="PM",'Daily Workforce'!$E164="PM",'Daily Workforce'!$E164="Overnight"))),'Daily Workforce'!$V164*1000+164,999999999)</f>
        <v>999999999</v>
      </c>
      <c r="FT2" s="1" t="n">
        <f aca="false">IF(AND('Daily Workforce'!$N165="Y",'Daily Workforce'!$B165&lt;&gt;"",COUNTIF('Daily Schedule'!$F$5:$F5,'Daily Workforce'!$B165)=0,'Daily Workforce'!$M165="Y",IF(OR('Daily Schedule'!$E$2="Full Day",'Daily Schedule'!$E$2="AM"),'Daily Workforce'!$D165="3:45 AM",IF('Daily Schedule'!$E$2="PM",'Daily Workforce'!$E165="PM",'Daily Workforce'!$E165="Overnight"))),'Daily Workforce'!$V165*1000+165,999999999)</f>
        <v>999999999</v>
      </c>
      <c r="FU2" s="1" t="n">
        <f aca="false">IF(AND('Daily Workforce'!$N166="Y",'Daily Workforce'!$B166&lt;&gt;"",COUNTIF('Daily Schedule'!$F$5:$F5,'Daily Workforce'!$B166)=0,'Daily Workforce'!$M166="Y",IF(OR('Daily Schedule'!$E$2="Full Day",'Daily Schedule'!$E$2="AM"),'Daily Workforce'!$D166="3:45 AM",IF('Daily Schedule'!$E$2="PM",'Daily Workforce'!$E166="PM",'Daily Workforce'!$E166="Overnight"))),'Daily Workforce'!$V166*1000+166,999999999)</f>
        <v>999999999</v>
      </c>
      <c r="FV2" s="1" t="n">
        <f aca="false">IF(AND('Daily Workforce'!$N167="Y",'Daily Workforce'!$B167&lt;&gt;"",COUNTIF('Daily Schedule'!$F$5:$F5,'Daily Workforce'!$B167)=0,'Daily Workforce'!$M167="Y",IF(OR('Daily Schedule'!$E$2="Full Day",'Daily Schedule'!$E$2="AM"),'Daily Workforce'!$D167="3:45 AM",IF('Daily Schedule'!$E$2="PM",'Daily Workforce'!$E167="PM",'Daily Workforce'!$E167="Overnight"))),'Daily Workforce'!$V167*1000+167,999999999)</f>
        <v>999999999</v>
      </c>
      <c r="FW2" s="1" t="n">
        <f aca="false">IF(AND('Daily Workforce'!$N168="Y",'Daily Workforce'!$B168&lt;&gt;"",COUNTIF('Daily Schedule'!$F$5:$F5,'Daily Workforce'!$B168)=0,'Daily Workforce'!$M168="Y",IF(OR('Daily Schedule'!$E$2="Full Day",'Daily Schedule'!$E$2="AM"),'Daily Workforce'!$D168="3:45 AM",IF('Daily Schedule'!$E$2="PM",'Daily Workforce'!$E168="PM",'Daily Workforce'!$E168="Overnight"))),'Daily Workforce'!$V168*1000+168,999999999)</f>
        <v>999999999</v>
      </c>
      <c r="FX2" s="1" t="n">
        <f aca="false">IF(AND('Daily Workforce'!$N169="Y",'Daily Workforce'!$B169&lt;&gt;"",COUNTIF('Daily Schedule'!$F$5:$F5,'Daily Workforce'!$B169)=0,'Daily Workforce'!$M169="Y",IF(OR('Daily Schedule'!$E$2="Full Day",'Daily Schedule'!$E$2="AM"),'Daily Workforce'!$D169="3:45 AM",IF('Daily Schedule'!$E$2="PM",'Daily Workforce'!$E169="PM",'Daily Workforce'!$E169="Overnight"))),'Daily Workforce'!$V169*1000+169,999999999)</f>
        <v>999999999</v>
      </c>
      <c r="FY2" s="1" t="n">
        <f aca="false">IF(AND('Daily Workforce'!$N170="Y",'Daily Workforce'!$B170&lt;&gt;"",COUNTIF('Daily Schedule'!$F$5:$F5,'Daily Workforce'!$B170)=0,'Daily Workforce'!$M170="Y",IF(OR('Daily Schedule'!$E$2="Full Day",'Daily Schedule'!$E$2="AM"),'Daily Workforce'!$D170="3:45 AM",IF('Daily Schedule'!$E$2="PM",'Daily Workforce'!$E170="PM",'Daily Workforce'!$E170="Overnight"))),'Daily Workforce'!$V170*1000+170,999999999)</f>
        <v>999999999</v>
      </c>
      <c r="FZ2" s="1" t="n">
        <f aca="false">IF(AND('Daily Workforce'!$N171="Y",'Daily Workforce'!$B171&lt;&gt;"",COUNTIF('Daily Schedule'!$F$5:$F5,'Daily Workforce'!$B171)=0,'Daily Workforce'!$M171="Y",IF(OR('Daily Schedule'!$E$2="Full Day",'Daily Schedule'!$E$2="AM"),'Daily Workforce'!$D171="3:45 AM",IF('Daily Schedule'!$E$2="PM",'Daily Workforce'!$E171="PM",'Daily Workforce'!$E171="Overnight"))),'Daily Workforce'!$V171*1000+171,999999999)</f>
        <v>999999999</v>
      </c>
      <c r="GA2" s="1" t="n">
        <f aca="false">IF(AND('Daily Workforce'!$N172="Y",'Daily Workforce'!$B172&lt;&gt;"",COUNTIF('Daily Schedule'!$F$5:$F5,'Daily Workforce'!$B172)=0,'Daily Workforce'!$M172="Y",IF(OR('Daily Schedule'!$E$2="Full Day",'Daily Schedule'!$E$2="AM"),'Daily Workforce'!$D172="3:45 AM",IF('Daily Schedule'!$E$2="PM",'Daily Workforce'!$E172="PM",'Daily Workforce'!$E172="Overnight"))),'Daily Workforce'!$V172*1000+172,999999999)</f>
        <v>999999999</v>
      </c>
      <c r="GB2" s="1" t="n">
        <f aca="false">IF(AND('Daily Workforce'!$N173="Y",'Daily Workforce'!$B173&lt;&gt;"",COUNTIF('Daily Schedule'!$F$5:$F5,'Daily Workforce'!$B173)=0,'Daily Workforce'!$M173="Y",IF(OR('Daily Schedule'!$E$2="Full Day",'Daily Schedule'!$E$2="AM"),'Daily Workforce'!$D173="3:45 AM",IF('Daily Schedule'!$E$2="PM",'Daily Workforce'!$E173="PM",'Daily Workforce'!$E173="Overnight"))),'Daily Workforce'!$V173*1000+173,999999999)</f>
        <v>999999999</v>
      </c>
      <c r="GC2" s="1" t="n">
        <f aca="false">IF(AND('Daily Workforce'!$N174="Y",'Daily Workforce'!$B174&lt;&gt;"",COUNTIF('Daily Schedule'!$F$5:$F5,'Daily Workforce'!$B174)=0,'Daily Workforce'!$M174="Y",IF(OR('Daily Schedule'!$E$2="Full Day",'Daily Schedule'!$E$2="AM"),'Daily Workforce'!$D174="3:45 AM",IF('Daily Schedule'!$E$2="PM",'Daily Workforce'!$E174="PM",'Daily Workforce'!$E174="Overnight"))),'Daily Workforce'!$V174*1000+174,999999999)</f>
        <v>999999999</v>
      </c>
      <c r="GD2" s="1" t="n">
        <f aca="false">IF(AND('Daily Workforce'!$N175="Y",'Daily Workforce'!$B175&lt;&gt;"",COUNTIF('Daily Schedule'!$F$5:$F5,'Daily Workforce'!$B175)=0,'Daily Workforce'!$M175="Y",IF(OR('Daily Schedule'!$E$2="Full Day",'Daily Schedule'!$E$2="AM"),'Daily Workforce'!$D175="3:45 AM",IF('Daily Schedule'!$E$2="PM",'Daily Workforce'!$E175="PM",'Daily Workforce'!$E175="Overnight"))),'Daily Workforce'!$V175*1000+175,999999999)</f>
        <v>999999999</v>
      </c>
      <c r="GE2" s="1" t="n">
        <f aca="false">IF(AND('Daily Workforce'!$N176="Y",'Daily Workforce'!$B176&lt;&gt;"",COUNTIF('Daily Schedule'!$F$5:$F5,'Daily Workforce'!$B176)=0,'Daily Workforce'!$M176="Y",IF(OR('Daily Schedule'!$E$2="Full Day",'Daily Schedule'!$E$2="AM"),'Daily Workforce'!$D176="3:45 AM",IF('Daily Schedule'!$E$2="PM",'Daily Workforce'!$E176="PM",'Daily Workforce'!$E176="Overnight"))),'Daily Workforce'!$V176*1000+176,999999999)</f>
        <v>999999999</v>
      </c>
      <c r="GF2" s="1" t="n">
        <f aca="false">IF(AND('Daily Workforce'!$N177="Y",'Daily Workforce'!$B177&lt;&gt;"",COUNTIF('Daily Schedule'!$F$5:$F5,'Daily Workforce'!$B177)=0,'Daily Workforce'!$M177="Y",IF(OR('Daily Schedule'!$E$2="Full Day",'Daily Schedule'!$E$2="AM"),'Daily Workforce'!$D177="3:45 AM",IF('Daily Schedule'!$E$2="PM",'Daily Workforce'!$E177="PM",'Daily Workforce'!$E177="Overnight"))),'Daily Workforce'!$V177*1000+177,999999999)</f>
        <v>999999999</v>
      </c>
      <c r="GG2" s="1" t="n">
        <f aca="false">IF(AND('Daily Workforce'!$N178="Y",'Daily Workforce'!$B178&lt;&gt;"",COUNTIF('Daily Schedule'!$F$5:$F5,'Daily Workforce'!$B178)=0,'Daily Workforce'!$M178="Y",IF(OR('Daily Schedule'!$E$2="Full Day",'Daily Schedule'!$E$2="AM"),'Daily Workforce'!$D178="3:45 AM",IF('Daily Schedule'!$E$2="PM",'Daily Workforce'!$E178="PM",'Daily Workforce'!$E178="Overnight"))),'Daily Workforce'!$V178*1000+178,999999999)</f>
        <v>999999999</v>
      </c>
      <c r="GH2" s="1" t="n">
        <f aca="false">IF(AND('Daily Workforce'!$N179="Y",'Daily Workforce'!$B179&lt;&gt;"",COUNTIF('Daily Schedule'!$F$5:$F5,'Daily Workforce'!$B179)=0,'Daily Workforce'!$M179="Y",IF(OR('Daily Schedule'!$E$2="Full Day",'Daily Schedule'!$E$2="AM"),'Daily Workforce'!$D179="3:45 AM",IF('Daily Schedule'!$E$2="PM",'Daily Workforce'!$E179="PM",'Daily Workforce'!$E179="Overnight"))),'Daily Workforce'!$V179*1000+179,999999999)</f>
        <v>999999999</v>
      </c>
      <c r="GI2" s="1" t="n">
        <f aca="false">IF(AND('Daily Workforce'!$N180="Y",'Daily Workforce'!$B180&lt;&gt;"",COUNTIF('Daily Schedule'!$F$5:$F5,'Daily Workforce'!$B180)=0,'Daily Workforce'!$M180="Y",IF(OR('Daily Schedule'!$E$2="Full Day",'Daily Schedule'!$E$2="AM"),'Daily Workforce'!$D180="3:45 AM",IF('Daily Schedule'!$E$2="PM",'Daily Workforce'!$E180="PM",'Daily Workforce'!$E180="Overnight"))),'Daily Workforce'!$V180*1000+180,999999999)</f>
        <v>999999999</v>
      </c>
      <c r="GJ2" s="1" t="n">
        <f aca="false">IF(AND('Daily Workforce'!$N181="Y",'Daily Workforce'!$B181&lt;&gt;"",COUNTIF('Daily Schedule'!$F$5:$F5,'Daily Workforce'!$B181)=0,'Daily Workforce'!$M181="Y",IF(OR('Daily Schedule'!$E$2="Full Day",'Daily Schedule'!$E$2="AM"),'Daily Workforce'!$D181="3:45 AM",IF('Daily Schedule'!$E$2="PM",'Daily Workforce'!$E181="PM",'Daily Workforce'!$E181="Overnight"))),'Daily Workforce'!$V181*1000+181,999999999)</f>
        <v>999999999</v>
      </c>
      <c r="GK2" s="1" t="n">
        <f aca="false">IF(AND('Daily Workforce'!$N182="Y",'Daily Workforce'!$B182&lt;&gt;"",COUNTIF('Daily Schedule'!$F$5:$F5,'Daily Workforce'!$B182)=0,'Daily Workforce'!$M182="Y",IF(OR('Daily Schedule'!$E$2="Full Day",'Daily Schedule'!$E$2="AM"),'Daily Workforce'!$D182="3:45 AM",IF('Daily Schedule'!$E$2="PM",'Daily Workforce'!$E182="PM",'Daily Workforce'!$E182="Overnight"))),'Daily Workforce'!$V182*1000+182,999999999)</f>
        <v>999999999</v>
      </c>
      <c r="GL2" s="1" t="n">
        <f aca="false">IF(AND('Daily Workforce'!$N183="Y",'Daily Workforce'!$B183&lt;&gt;"",COUNTIF('Daily Schedule'!$F$5:$F5,'Daily Workforce'!$B183)=0,'Daily Workforce'!$M183="Y",IF(OR('Daily Schedule'!$E$2="Full Day",'Daily Schedule'!$E$2="AM"),'Daily Workforce'!$D183="3:45 AM",IF('Daily Schedule'!$E$2="PM",'Daily Workforce'!$E183="PM",'Daily Workforce'!$E183="Overnight"))),'Daily Workforce'!$V183*1000+183,999999999)</f>
        <v>999999999</v>
      </c>
      <c r="GM2" s="1" t="n">
        <f aca="false">IF(AND('Daily Workforce'!$N184="Y",'Daily Workforce'!$B184&lt;&gt;"",COUNTIF('Daily Schedule'!$F$5:$F5,'Daily Workforce'!$B184)=0,'Daily Workforce'!$M184="Y",IF(OR('Daily Schedule'!$E$2="Full Day",'Daily Schedule'!$E$2="AM"),'Daily Workforce'!$D184="3:45 AM",IF('Daily Schedule'!$E$2="PM",'Daily Workforce'!$E184="PM",'Daily Workforce'!$E184="Overnight"))),'Daily Workforce'!$V184*1000+184,999999999)</f>
        <v>999999999</v>
      </c>
      <c r="GN2" s="1" t="n">
        <f aca="false">IF(AND('Daily Workforce'!$N185="Y",'Daily Workforce'!$B185&lt;&gt;"",COUNTIF('Daily Schedule'!$F$5:$F5,'Daily Workforce'!$B185)=0,'Daily Workforce'!$M185="Y",IF(OR('Daily Schedule'!$E$2="Full Day",'Daily Schedule'!$E$2="AM"),'Daily Workforce'!$D185="3:45 AM",IF('Daily Schedule'!$E$2="PM",'Daily Workforce'!$E185="PM",'Daily Workforce'!$E185="Overnight"))),'Daily Workforce'!$V185*1000+185,999999999)</f>
        <v>999999999</v>
      </c>
      <c r="GO2" s="1" t="n">
        <f aca="false">IF(AND('Daily Workforce'!$N186="Y",'Daily Workforce'!$B186&lt;&gt;"",COUNTIF('Daily Schedule'!$F$5:$F5,'Daily Workforce'!$B186)=0,'Daily Workforce'!$M186="Y",IF(OR('Daily Schedule'!$E$2="Full Day",'Daily Schedule'!$E$2="AM"),'Daily Workforce'!$D186="3:45 AM",IF('Daily Schedule'!$E$2="PM",'Daily Workforce'!$E186="PM",'Daily Workforce'!$E186="Overnight"))),'Daily Workforce'!$V186*1000+186,999999999)</f>
        <v>999999999</v>
      </c>
      <c r="GP2" s="1" t="n">
        <f aca="false">IF(AND('Daily Workforce'!$N187="Y",'Daily Workforce'!$B187&lt;&gt;"",COUNTIF('Daily Schedule'!$F$5:$F5,'Daily Workforce'!$B187)=0,'Daily Workforce'!$M187="Y",IF(OR('Daily Schedule'!$E$2="Full Day",'Daily Schedule'!$E$2="AM"),'Daily Workforce'!$D187="3:45 AM",IF('Daily Schedule'!$E$2="PM",'Daily Workforce'!$E187="PM",'Daily Workforce'!$E187="Overnight"))),'Daily Workforce'!$V187*1000+187,999999999)</f>
        <v>999999999</v>
      </c>
      <c r="GQ2" s="1" t="n">
        <f aca="false">IF(AND('Daily Workforce'!$N188="Y",'Daily Workforce'!$B188&lt;&gt;"",COUNTIF('Daily Schedule'!$F$5:$F5,'Daily Workforce'!$B188)=0,'Daily Workforce'!$M188="Y",IF(OR('Daily Schedule'!$E$2="Full Day",'Daily Schedule'!$E$2="AM"),'Daily Workforce'!$D188="3:45 AM",IF('Daily Schedule'!$E$2="PM",'Daily Workforce'!$E188="PM",'Daily Workforce'!$E188="Overnight"))),'Daily Workforce'!$V188*1000+188,999999999)</f>
        <v>999999999</v>
      </c>
      <c r="GR2" s="1" t="n">
        <f aca="false">IF(AND('Daily Workforce'!$N189="Y",'Daily Workforce'!$B189&lt;&gt;"",COUNTIF('Daily Schedule'!$F$5:$F5,'Daily Workforce'!$B189)=0,'Daily Workforce'!$M189="Y",IF(OR('Daily Schedule'!$E$2="Full Day",'Daily Schedule'!$E$2="AM"),'Daily Workforce'!$D189="3:45 AM",IF('Daily Schedule'!$E$2="PM",'Daily Workforce'!$E189="PM",'Daily Workforce'!$E189="Overnight"))),'Daily Workforce'!$V189*1000+189,999999999)</f>
        <v>999999999</v>
      </c>
      <c r="GS2" s="1" t="n">
        <f aca="false">IF(AND('Daily Workforce'!$N190="Y",'Daily Workforce'!$B190&lt;&gt;"",COUNTIF('Daily Schedule'!$F$5:$F5,'Daily Workforce'!$B190)=0,'Daily Workforce'!$M190="Y",IF(OR('Daily Schedule'!$E$2="Full Day",'Daily Schedule'!$E$2="AM"),'Daily Workforce'!$D190="3:45 AM",IF('Daily Schedule'!$E$2="PM",'Daily Workforce'!$E190="PM",'Daily Workforce'!$E190="Overnight"))),'Daily Workforce'!$V190*1000+190,999999999)</f>
        <v>999999999</v>
      </c>
      <c r="GT2" s="1" t="n">
        <f aca="false">IF(AND('Daily Workforce'!$N191="Y",'Daily Workforce'!$B191&lt;&gt;"",COUNTIF('Daily Schedule'!$F$5:$F5,'Daily Workforce'!$B191)=0,'Daily Workforce'!$M191="Y",IF(OR('Daily Schedule'!$E$2="Full Day",'Daily Schedule'!$E$2="AM"),'Daily Workforce'!$D191="3:45 AM",IF('Daily Schedule'!$E$2="PM",'Daily Workforce'!$E191="PM",'Daily Workforce'!$E191="Overnight"))),'Daily Workforce'!$V191*1000+191,999999999)</f>
        <v>999999999</v>
      </c>
      <c r="GU2" s="1" t="n">
        <f aca="false">IF(AND('Daily Workforce'!$N192="Y",'Daily Workforce'!$B192&lt;&gt;"",COUNTIF('Daily Schedule'!$F$5:$F5,'Daily Workforce'!$B192)=0,'Daily Workforce'!$M192="Y",IF(OR('Daily Schedule'!$E$2="Full Day",'Daily Schedule'!$E$2="AM"),'Daily Workforce'!$D192="3:45 AM",IF('Daily Schedule'!$E$2="PM",'Daily Workforce'!$E192="PM",'Daily Workforce'!$E192="Overnight"))),'Daily Workforce'!$V192*1000+192,999999999)</f>
        <v>999999999</v>
      </c>
      <c r="GV2" s="1" t="n">
        <f aca="false">IF(AND('Daily Workforce'!$N193="Y",'Daily Workforce'!$B193&lt;&gt;"",COUNTIF('Daily Schedule'!$F$5:$F5,'Daily Workforce'!$B193)=0,'Daily Workforce'!$M193="Y",IF(OR('Daily Schedule'!$E$2="Full Day",'Daily Schedule'!$E$2="AM"),'Daily Workforce'!$D193="3:45 AM",IF('Daily Schedule'!$E$2="PM",'Daily Workforce'!$E193="PM",'Daily Workforce'!$E193="Overnight"))),'Daily Workforce'!$V193*1000+193,999999999)</f>
        <v>999999999</v>
      </c>
      <c r="GW2" s="1" t="n">
        <f aca="false">IF(AND('Daily Workforce'!$N194="Y",'Daily Workforce'!$B194&lt;&gt;"",COUNTIF('Daily Schedule'!$F$5:$F5,'Daily Workforce'!$B194)=0,'Daily Workforce'!$M194="Y",IF(OR('Daily Schedule'!$E$2="Full Day",'Daily Schedule'!$E$2="AM"),'Daily Workforce'!$D194="3:45 AM",IF('Daily Schedule'!$E$2="PM",'Daily Workforce'!$E194="PM",'Daily Workforce'!$E194="Overnight"))),'Daily Workforce'!$V194*1000+194,999999999)</f>
        <v>999999999</v>
      </c>
      <c r="GX2" s="1" t="n">
        <f aca="false">IF(AND('Daily Workforce'!$N195="Y",'Daily Workforce'!$B195&lt;&gt;"",COUNTIF('Daily Schedule'!$F$5:$F5,'Daily Workforce'!$B195)=0,'Daily Workforce'!$M195="Y",IF(OR('Daily Schedule'!$E$2="Full Day",'Daily Schedule'!$E$2="AM"),'Daily Workforce'!$D195="3:45 AM",IF('Daily Schedule'!$E$2="PM",'Daily Workforce'!$E195="PM",'Daily Workforce'!$E195="Overnight"))),'Daily Workforce'!$V195*1000+195,999999999)</f>
        <v>999999999</v>
      </c>
      <c r="GY2" s="1" t="n">
        <f aca="false">IF(AND('Daily Workforce'!$N196="Y",'Daily Workforce'!$B196&lt;&gt;"",COUNTIF('Daily Schedule'!$F$5:$F5,'Daily Workforce'!$B196)=0,'Daily Workforce'!$M196="Y",IF(OR('Daily Schedule'!$E$2="Full Day",'Daily Schedule'!$E$2="AM"),'Daily Workforce'!$D196="3:45 AM",IF('Daily Schedule'!$E$2="PM",'Daily Workforce'!$E196="PM",'Daily Workforce'!$E196="Overnight"))),'Daily Workforce'!$V196*1000+196,999999999)</f>
        <v>999999999</v>
      </c>
      <c r="GZ2" s="1" t="n">
        <f aca="false">IF(AND('Daily Workforce'!$N197="Y",'Daily Workforce'!$B197&lt;&gt;"",COUNTIF('Daily Schedule'!$F$5:$F5,'Daily Workforce'!$B197)=0,'Daily Workforce'!$M197="Y",IF(OR('Daily Schedule'!$E$2="Full Day",'Daily Schedule'!$E$2="AM"),'Daily Workforce'!$D197="3:45 AM",IF('Daily Schedule'!$E$2="PM",'Daily Workforce'!$E197="PM",'Daily Workforce'!$E197="Overnight"))),'Daily Workforce'!$V197*1000+197,999999999)</f>
        <v>999999999</v>
      </c>
      <c r="HA2" s="1" t="n">
        <f aca="false">IF(AND('Daily Workforce'!$N198="Y",'Daily Workforce'!$B198&lt;&gt;"",COUNTIF('Daily Schedule'!$F$5:$F5,'Daily Workforce'!$B198)=0,'Daily Workforce'!$M198="Y",IF(OR('Daily Schedule'!$E$2="Full Day",'Daily Schedule'!$E$2="AM"),'Daily Workforce'!$D198="3:45 AM",IF('Daily Schedule'!$E$2="PM",'Daily Workforce'!$E198="PM",'Daily Workforce'!$E198="Overnight"))),'Daily Workforce'!$V198*1000+198,999999999)</f>
        <v>999999999</v>
      </c>
      <c r="HB2" s="1" t="n">
        <f aca="false">IF(AND('Daily Workforce'!$N199="Y",'Daily Workforce'!$B199&lt;&gt;"",COUNTIF('Daily Schedule'!$F$5:$F5,'Daily Workforce'!$B199)=0,'Daily Workforce'!$M199="Y",IF(OR('Daily Schedule'!$E$2="Full Day",'Daily Schedule'!$E$2="AM"),'Daily Workforce'!$D199="3:45 AM",IF('Daily Schedule'!$E$2="PM",'Daily Workforce'!$E199="PM",'Daily Workforce'!$E199="Overnight"))),'Daily Workforce'!$V199*1000+199,999999999)</f>
        <v>999999999</v>
      </c>
      <c r="HC2" s="1" t="n">
        <f aca="false">IF(AND('Daily Workforce'!$N200="Y",'Daily Workforce'!$B200&lt;&gt;"",COUNTIF('Daily Schedule'!$F$5:$F5,'Daily Workforce'!$B200)=0,'Daily Workforce'!$M200="Y",IF(OR('Daily Schedule'!$E$2="Full Day",'Daily Schedule'!$E$2="AM"),'Daily Workforce'!$D200="3:45 AM",IF('Daily Schedule'!$E$2="PM",'Daily Workforce'!$E200="PM",'Daily Workforce'!$E200="Overnight"))),'Daily Workforce'!$V200*1000+200,999999999)</f>
        <v>999999999</v>
      </c>
      <c r="HD2" s="1" t="n">
        <f aca="false">IF(AND('Daily Workforce'!$N201="Y",'Daily Workforce'!$B201&lt;&gt;"",COUNTIF('Daily Schedule'!$F$5:$F5,'Daily Workforce'!$B201)=0,'Daily Workforce'!$M201="Y",IF(OR('Daily Schedule'!$E$2="Full Day",'Daily Schedule'!$E$2="AM"),'Daily Workforce'!$D201="3:45 AM",IF('Daily Schedule'!$E$2="PM",'Daily Workforce'!$E201="PM",'Daily Workforce'!$E201="Overnight"))),'Daily Workforce'!$V201*1000+201,999999999)</f>
        <v>999999999</v>
      </c>
      <c r="HE2" s="1" t="n">
        <f aca="false">IF(AND('Daily Workforce'!$N202="Y",'Daily Workforce'!$B202&lt;&gt;"",COUNTIF('Daily Schedule'!$F$5:$F5,'Daily Workforce'!$B202)=0,'Daily Workforce'!$M202="Y",IF(OR('Daily Schedule'!$E$2="Full Day",'Daily Schedule'!$E$2="AM"),'Daily Workforce'!$D202="3:45 AM",IF('Daily Schedule'!$E$2="PM",'Daily Workforce'!$E202="PM",'Daily Workforce'!$E202="Overnight"))),'Daily Workforce'!$V202*1000+202,999999999)</f>
        <v>999999999</v>
      </c>
      <c r="HF2" s="1" t="n">
        <f aca="false">IF(AND('Daily Workforce'!$N203="Y",'Daily Workforce'!$B203&lt;&gt;"",COUNTIF('Daily Schedule'!$F$5:$F5,'Daily Workforce'!$B203)=0,'Daily Workforce'!$M203="Y",IF(OR('Daily Schedule'!$E$2="Full Day",'Daily Schedule'!$E$2="AM"),'Daily Workforce'!$D203="3:45 AM",IF('Daily Schedule'!$E$2="PM",'Daily Workforce'!$E203="PM",'Daily Workforce'!$E203="Overnight"))),'Daily Workforce'!$V203*1000+203,999999999)</f>
        <v>999999999</v>
      </c>
      <c r="HG2" s="1" t="n">
        <f aca="false">IF(AND('Daily Workforce'!$N204="Y",'Daily Workforce'!$B204&lt;&gt;"",COUNTIF('Daily Schedule'!$F$5:$F5,'Daily Workforce'!$B204)=0,'Daily Workforce'!$M204="Y",IF(OR('Daily Schedule'!$E$2="Full Day",'Daily Schedule'!$E$2="AM"),'Daily Workforce'!$D204="3:45 AM",IF('Daily Schedule'!$E$2="PM",'Daily Workforce'!$E204="PM",'Daily Workforce'!$E204="Overnight"))),'Daily Workforce'!$V204*1000+204,999999999)</f>
        <v>999999999</v>
      </c>
      <c r="HH2" s="1" t="n">
        <f aca="false">IF(AND('Daily Workforce'!$N205="Y",'Daily Workforce'!$B205&lt;&gt;"",COUNTIF('Daily Schedule'!$F$5:$F5,'Daily Workforce'!$B205)=0,'Daily Workforce'!$M205="Y",IF(OR('Daily Schedule'!$E$2="Full Day",'Daily Schedule'!$E$2="AM"),'Daily Workforce'!$D205="3:45 AM",IF('Daily Schedule'!$E$2="PM",'Daily Workforce'!$E205="PM",'Daily Workforce'!$E205="Overnight"))),'Daily Workforce'!$V205*1000+205,999999999)</f>
        <v>999999999</v>
      </c>
      <c r="HI2" s="1" t="n">
        <v>46</v>
      </c>
      <c r="HJ2" s="1" t="str">
        <f aca="false">IF(MIN(HL2:JK2)&gt;=999999999,"",IFERROR(INDEX('Daily Schedule'!$F$6:$F$57,MATCH(MIN(HL2:JK2),HL2:JK2,0)),""))</f>
        <v>EMP-0009</v>
      </c>
      <c r="HK2" s="1" t="n">
        <f aca="false">IF($HJ2="","",IFERROR(INDEX('Daily Schedule'!$A$6:$A$57,MATCH($HJ2,'Daily Schedule'!$F$6:$F$57,0)),""))</f>
        <v>3</v>
      </c>
      <c r="HL2" s="1" t="n">
        <f aca="false">IF(AND('Daily Schedule'!$F$6&lt;&gt;"",'Daily Schedule'!$H$6="5:45 AM",'Daily Schedule'!$D$6&lt;&gt;"Tier 1",IFERROR(INDEX('Daily Workforce'!$M$6:$M$205,MATCH('Daily Schedule'!$F$6,'Daily Workforce'!$B$6:$B$205,0)),"N")="Y",COUNTIF($HJ$1:HJ1,'Daily Schedule'!$F$6)=0),IFERROR(INDEX('Daily Workforce'!$V$6:$V$205,MATCH('Daily Schedule'!$F$6,'Daily Workforce'!$B$6:$B$205,0)),0)*1000+6,999999999)</f>
        <v>999999999</v>
      </c>
      <c r="HM2" s="1" t="n">
        <f aca="false">IF(AND('Daily Schedule'!$F$7&lt;&gt;"",'Daily Schedule'!$H$7="5:45 AM",'Daily Schedule'!$D$7&lt;&gt;"Tier 1",IFERROR(INDEX('Daily Workforce'!$M$6:$M$205,MATCH('Daily Schedule'!$F$7,'Daily Workforce'!$B$6:$B$205,0)),"N")="Y",COUNTIF($HJ$1:HJ1,'Daily Schedule'!$F$7)=0),IFERROR(INDEX('Daily Workforce'!$V$6:$V$205,MATCH('Daily Schedule'!$F$7,'Daily Workforce'!$B$6:$B$205,0)),0)*1000+7,999999999)</f>
        <v>999999999</v>
      </c>
      <c r="HN2" s="1" t="n">
        <f aca="false">IF(AND('Daily Schedule'!$F$8&lt;&gt;"",'Daily Schedule'!$H$8="5:45 AM",'Daily Schedule'!$D$8&lt;&gt;"Tier 1",IFERROR(INDEX('Daily Workforce'!$M$6:$M$205,MATCH('Daily Schedule'!$F$8,'Daily Workforce'!$B$6:$B$205,0)),"N")="Y",COUNTIF($HJ$1:HJ1,'Daily Schedule'!$F$8)=0),IFERROR(INDEX('Daily Workforce'!$V$6:$V$205,MATCH('Daily Schedule'!$F$8,'Daily Workforce'!$B$6:$B$205,0)),0)*1000+8,999999999)</f>
        <v>999999999</v>
      </c>
      <c r="HO2" s="1" t="n">
        <f aca="false">IF(AND('Daily Schedule'!$F$9&lt;&gt;"",'Daily Schedule'!$H$9="5:45 AM",'Daily Schedule'!$D$9&lt;&gt;"Tier 1",IFERROR(INDEX('Daily Workforce'!$M$6:$M$205,MATCH('Daily Schedule'!$F$9,'Daily Workforce'!$B$6:$B$205,0)),"N")="Y",COUNTIF($HJ$1:HJ1,'Daily Schedule'!$F$9)=0),IFERROR(INDEX('Daily Workforce'!$V$6:$V$205,MATCH('Daily Schedule'!$F$9,'Daily Workforce'!$B$6:$B$205,0)),0)*1000+9,999999999)</f>
        <v>999999999</v>
      </c>
      <c r="HP2" s="1" t="n">
        <f aca="false">IF(AND('Daily Schedule'!$F$10&lt;&gt;"",'Daily Schedule'!$H$10="5:45 AM",'Daily Schedule'!$D$10&lt;&gt;"Tier 1",IFERROR(INDEX('Daily Workforce'!$M$6:$M$205,MATCH('Daily Schedule'!$F$10,'Daily Workforce'!$B$6:$B$205,0)),"N")="Y",COUNTIF($HJ$1:HJ1,'Daily Schedule'!$F$10)=0),IFERROR(INDEX('Daily Workforce'!$V$6:$V$205,MATCH('Daily Schedule'!$F$10,'Daily Workforce'!$B$6:$B$205,0)),0)*1000+10,999999999)</f>
        <v>999999999</v>
      </c>
      <c r="HQ2" s="1" t="n">
        <f aca="false">IF(AND('Daily Schedule'!$F$11&lt;&gt;"",'Daily Schedule'!$H$11="5:45 AM",'Daily Schedule'!$D$11&lt;&gt;"Tier 1",IFERROR(INDEX('Daily Workforce'!$M$6:$M$205,MATCH('Daily Schedule'!$F$11,'Daily Workforce'!$B$6:$B$205,0)),"N")="Y",COUNTIF($HJ$1:HJ1,'Daily Schedule'!$F$11)=0),IFERROR(INDEX('Daily Workforce'!$V$6:$V$205,MATCH('Daily Schedule'!$F$11,'Daily Workforce'!$B$6:$B$205,0)),0)*1000+11,999999999)</f>
        <v>999999999</v>
      </c>
      <c r="HR2" s="1" t="n">
        <f aca="false">IF(AND('Daily Schedule'!$F$12&lt;&gt;"",'Daily Schedule'!$H$12="5:45 AM",'Daily Schedule'!$D$12&lt;&gt;"Tier 1",IFERROR(INDEX('Daily Workforce'!$M$6:$M$205,MATCH('Daily Schedule'!$F$12,'Daily Workforce'!$B$6:$B$205,0)),"N")="Y",COUNTIF($HJ$1:HJ1,'Daily Schedule'!$F$12)=0),IFERROR(INDEX('Daily Workforce'!$V$6:$V$205,MATCH('Daily Schedule'!$F$12,'Daily Workforce'!$B$6:$B$205,0)),0)*1000+12,999999999)</f>
        <v>999999999</v>
      </c>
      <c r="HS2" s="1" t="n">
        <f aca="false">IF(AND('Daily Schedule'!$F$13&lt;&gt;"",'Daily Schedule'!$H$13="5:45 AM",'Daily Schedule'!$D$13&lt;&gt;"Tier 1",IFERROR(INDEX('Daily Workforce'!$M$6:$M$205,MATCH('Daily Schedule'!$F$13,'Daily Workforce'!$B$6:$B$205,0)),"N")="Y",COUNTIF($HJ$1:HJ1,'Daily Schedule'!$F$13)=0),IFERROR(INDEX('Daily Workforce'!$V$6:$V$205,MATCH('Daily Schedule'!$F$13,'Daily Workforce'!$B$6:$B$205,0)),0)*1000+13,999999999)</f>
        <v>999999999</v>
      </c>
      <c r="HT2" s="1" t="n">
        <f aca="false">IF(AND('Daily Schedule'!$F$14&lt;&gt;"",'Daily Schedule'!$H$14="5:45 AM",'Daily Schedule'!$D$14&lt;&gt;"Tier 1",IFERROR(INDEX('Daily Workforce'!$M$6:$M$205,MATCH('Daily Schedule'!$F$14,'Daily Workforce'!$B$6:$B$205,0)),"N")="Y",COUNTIF($HJ$1:HJ1,'Daily Schedule'!$F$14)=0),IFERROR(INDEX('Daily Workforce'!$V$6:$V$205,MATCH('Daily Schedule'!$F$14,'Daily Workforce'!$B$6:$B$205,0)),0)*1000+14,999999999)</f>
        <v>999999999</v>
      </c>
      <c r="HU2" s="1" t="n">
        <f aca="false">IF(AND('Daily Schedule'!$F$15&lt;&gt;"",'Daily Schedule'!$H$15="5:45 AM",'Daily Schedule'!$D$15&lt;&gt;"Tier 1",IFERROR(INDEX('Daily Workforce'!$M$6:$M$205,MATCH('Daily Schedule'!$F$15,'Daily Workforce'!$B$6:$B$205,0)),"N")="Y",COUNTIF($HJ$1:HJ1,'Daily Schedule'!$F$15)=0),IFERROR(INDEX('Daily Workforce'!$V$6:$V$205,MATCH('Daily Schedule'!$F$15,'Daily Workforce'!$B$6:$B$205,0)),0)*1000+15,999999999)</f>
        <v>999999999</v>
      </c>
      <c r="HV2" s="1" t="n">
        <f aca="false">IF(AND('Daily Schedule'!$F$16&lt;&gt;"",'Daily Schedule'!$H$16="5:45 AM",'Daily Schedule'!$D$16&lt;&gt;"Tier 1",IFERROR(INDEX('Daily Workforce'!$M$6:$M$205,MATCH('Daily Schedule'!$F$16,'Daily Workforce'!$B$6:$B$205,0)),"N")="Y",COUNTIF($HJ$1:HJ1,'Daily Schedule'!$F$16)=0),IFERROR(INDEX('Daily Workforce'!$V$6:$V$205,MATCH('Daily Schedule'!$F$16,'Daily Workforce'!$B$6:$B$205,0)),0)*1000+16,999999999)</f>
        <v>999999999</v>
      </c>
      <c r="HW2" s="1" t="n">
        <f aca="false">IF(AND('Daily Schedule'!$F$17&lt;&gt;"",'Daily Schedule'!$H$17="5:45 AM",'Daily Schedule'!$D$17&lt;&gt;"Tier 1",IFERROR(INDEX('Daily Workforce'!$M$6:$M$205,MATCH('Daily Schedule'!$F$17,'Daily Workforce'!$B$6:$B$205,0)),"N")="Y",COUNTIF($HJ$1:HJ1,'Daily Schedule'!$F$17)=0),IFERROR(INDEX('Daily Workforce'!$V$6:$V$205,MATCH('Daily Schedule'!$F$17,'Daily Workforce'!$B$6:$B$205,0)),0)*1000+17,999999999)</f>
        <v>999999999</v>
      </c>
      <c r="HX2" s="1" t="n">
        <f aca="false">IF(AND('Daily Schedule'!$F$18&lt;&gt;"",'Daily Schedule'!$H$18="5:45 AM",'Daily Schedule'!$D$18&lt;&gt;"Tier 1",IFERROR(INDEX('Daily Workforce'!$M$6:$M$205,MATCH('Daily Schedule'!$F$18,'Daily Workforce'!$B$6:$B$205,0)),"N")="Y",COUNTIF($HJ$1:HJ1,'Daily Schedule'!$F$18)=0),IFERROR(INDEX('Daily Workforce'!$V$6:$V$205,MATCH('Daily Schedule'!$F$18,'Daily Workforce'!$B$6:$B$205,0)),0)*1000+18,999999999)</f>
        <v>999999999</v>
      </c>
      <c r="HY2" s="1" t="n">
        <f aca="false">IF(AND('Daily Schedule'!$F$19&lt;&gt;"",'Daily Schedule'!$H$19="5:45 AM",'Daily Schedule'!$D$19&lt;&gt;"Tier 1",IFERROR(INDEX('Daily Workforce'!$M$6:$M$205,MATCH('Daily Schedule'!$F$19,'Daily Workforce'!$B$6:$B$205,0)),"N")="Y",COUNTIF($HJ$1:HJ1,'Daily Schedule'!$F$19)=0),IFERROR(INDEX('Daily Workforce'!$V$6:$V$205,MATCH('Daily Schedule'!$F$19,'Daily Workforce'!$B$6:$B$205,0)),0)*1000+19,999999999)</f>
        <v>999999999</v>
      </c>
      <c r="HZ2" s="1" t="n">
        <f aca="false">IF(AND('Daily Schedule'!$F$20&lt;&gt;"",'Daily Schedule'!$H$20="5:45 AM",'Daily Schedule'!$D$20&lt;&gt;"Tier 1",IFERROR(INDEX('Daily Workforce'!$M$6:$M$205,MATCH('Daily Schedule'!$F$20,'Daily Workforce'!$B$6:$B$205,0)),"N")="Y",COUNTIF($HJ$1:HJ1,'Daily Schedule'!$F$20)=0),IFERROR(INDEX('Daily Workforce'!$V$6:$V$205,MATCH('Daily Schedule'!$F$20,'Daily Workforce'!$B$6:$B$205,0)),0)*1000+20,999999999)</f>
        <v>999999999</v>
      </c>
      <c r="IA2" s="1" t="n">
        <f aca="false">IF(AND('Daily Schedule'!$F$21&lt;&gt;"",'Daily Schedule'!$H$21="5:45 AM",'Daily Schedule'!$D$21&lt;&gt;"Tier 1",IFERROR(INDEX('Daily Workforce'!$M$6:$M$205,MATCH('Daily Schedule'!$F$21,'Daily Workforce'!$B$6:$B$205,0)),"N")="Y",COUNTIF($HJ$1:HJ1,'Daily Schedule'!$F$21)=0),IFERROR(INDEX('Daily Workforce'!$V$6:$V$205,MATCH('Daily Schedule'!$F$21,'Daily Workforce'!$B$6:$B$205,0)),0)*1000+21,999999999)</f>
        <v>999999999</v>
      </c>
      <c r="IB2" s="1" t="n">
        <f aca="false">IF(AND('Daily Schedule'!$F$22&lt;&gt;"",'Daily Schedule'!$H$22="5:45 AM",'Daily Schedule'!$D$22&lt;&gt;"Tier 1",IFERROR(INDEX('Daily Workforce'!$M$6:$M$205,MATCH('Daily Schedule'!$F$22,'Daily Workforce'!$B$6:$B$205,0)),"N")="Y",COUNTIF($HJ$1:HJ1,'Daily Schedule'!$F$22)=0),IFERROR(INDEX('Daily Workforce'!$V$6:$V$205,MATCH('Daily Schedule'!$F$22,'Daily Workforce'!$B$6:$B$205,0)),0)*1000+22,999999999)</f>
        <v>999999999</v>
      </c>
      <c r="IC2" s="1" t="n">
        <f aca="false">IF(AND('Daily Schedule'!$F$23&lt;&gt;"",'Daily Schedule'!$H$23="5:45 AM",'Daily Schedule'!$D$23&lt;&gt;"Tier 1",IFERROR(INDEX('Daily Workforce'!$M$6:$M$205,MATCH('Daily Schedule'!$F$23,'Daily Workforce'!$B$6:$B$205,0)),"N")="Y",COUNTIF($HJ$1:HJ1,'Daily Schedule'!$F$23)=0),IFERROR(INDEX('Daily Workforce'!$V$6:$V$205,MATCH('Daily Schedule'!$F$23,'Daily Workforce'!$B$6:$B$205,0)),0)*1000+23,999999999)</f>
        <v>999999999</v>
      </c>
      <c r="ID2" s="1" t="n">
        <f aca="false">IF(AND('Daily Schedule'!$F$24&lt;&gt;"",'Daily Schedule'!$H$24="5:45 AM",'Daily Schedule'!$D$24&lt;&gt;"Tier 1",IFERROR(INDEX('Daily Workforce'!$M$6:$M$205,MATCH('Daily Schedule'!$F$24,'Daily Workforce'!$B$6:$B$205,0)),"N")="Y",COUNTIF($HJ$1:HJ1,'Daily Schedule'!$F$24)=0),IFERROR(INDEX('Daily Workforce'!$V$6:$V$205,MATCH('Daily Schedule'!$F$24,'Daily Workforce'!$B$6:$B$205,0)),0)*1000+24,999999999)</f>
        <v>999999999</v>
      </c>
      <c r="IE2" s="1" t="n">
        <f aca="false">IF(AND('Daily Schedule'!$F$25&lt;&gt;"",'Daily Schedule'!$H$25="5:45 AM",'Daily Schedule'!$D$25&lt;&gt;"Tier 1",IFERROR(INDEX('Daily Workforce'!$M$6:$M$205,MATCH('Daily Schedule'!$F$25,'Daily Workforce'!$B$6:$B$205,0)),"N")="Y",COUNTIF($HJ$1:HJ1,'Daily Schedule'!$F$25)=0),IFERROR(INDEX('Daily Workforce'!$V$6:$V$205,MATCH('Daily Schedule'!$F$25,'Daily Workforce'!$B$6:$B$205,0)),0)*1000+25,999999999)</f>
        <v>999999999</v>
      </c>
      <c r="IF2" s="1" t="n">
        <f aca="false">IF(AND('Daily Schedule'!$F$26&lt;&gt;"",'Daily Schedule'!$H$26="5:45 AM",'Daily Schedule'!$D$26&lt;&gt;"Tier 1",IFERROR(INDEX('Daily Workforce'!$M$6:$M$205,MATCH('Daily Schedule'!$F$26,'Daily Workforce'!$B$6:$B$205,0)),"N")="Y",COUNTIF($HJ$1:HJ1,'Daily Schedule'!$F$26)=0),IFERROR(INDEX('Daily Workforce'!$V$6:$V$205,MATCH('Daily Schedule'!$F$26,'Daily Workforce'!$B$6:$B$205,0)),0)*1000+26,999999999)</f>
        <v>999999999</v>
      </c>
      <c r="IG2" s="1" t="n">
        <f aca="false">IF(AND('Daily Schedule'!$F$27&lt;&gt;"",'Daily Schedule'!$H$27="5:45 AM",'Daily Schedule'!$D$27&lt;&gt;"Tier 1",IFERROR(INDEX('Daily Workforce'!$M$6:$M$205,MATCH('Daily Schedule'!$F$27,'Daily Workforce'!$B$6:$B$205,0)),"N")="Y",COUNTIF($HJ$1:HJ1,'Daily Schedule'!$F$27)=0),IFERROR(INDEX('Daily Workforce'!$V$6:$V$205,MATCH('Daily Schedule'!$F$27,'Daily Workforce'!$B$6:$B$205,0)),0)*1000+27,999999999)</f>
        <v>999999999</v>
      </c>
      <c r="IH2" s="1" t="n">
        <f aca="false">IF(AND('Daily Schedule'!$F$28&lt;&gt;"",'Daily Schedule'!$H$28="5:45 AM",'Daily Schedule'!$D$28&lt;&gt;"Tier 1",IFERROR(INDEX('Daily Workforce'!$M$6:$M$205,MATCH('Daily Schedule'!$F$28,'Daily Workforce'!$B$6:$B$205,0)),"N")="Y",COUNTIF($HJ$1:HJ1,'Daily Schedule'!$F$28)=0),IFERROR(INDEX('Daily Workforce'!$V$6:$V$205,MATCH('Daily Schedule'!$F$28,'Daily Workforce'!$B$6:$B$205,0)),0)*1000+28,999999999)</f>
        <v>999999999</v>
      </c>
      <c r="II2" s="1" t="n">
        <f aca="false">IF(AND('Daily Schedule'!$F$29&lt;&gt;"",'Daily Schedule'!$H$29="5:45 AM",'Daily Schedule'!$D$29&lt;&gt;"Tier 1",IFERROR(INDEX('Daily Workforce'!$M$6:$M$205,MATCH('Daily Schedule'!$F$29,'Daily Workforce'!$B$6:$B$205,0)),"N")="Y",COUNTIF($HJ$1:HJ1,'Daily Schedule'!$F$29)=0),IFERROR(INDEX('Daily Workforce'!$V$6:$V$205,MATCH('Daily Schedule'!$F$29,'Daily Workforce'!$B$6:$B$205,0)),0)*1000+29,999999999)</f>
        <v>999999999</v>
      </c>
      <c r="IJ2" s="1" t="n">
        <f aca="false">IF(AND('Daily Schedule'!$F$30&lt;&gt;"",'Daily Schedule'!$H$30="5:45 AM",'Daily Schedule'!$D$30&lt;&gt;"Tier 1",IFERROR(INDEX('Daily Workforce'!$M$6:$M$205,MATCH('Daily Schedule'!$F$30,'Daily Workforce'!$B$6:$B$205,0)),"N")="Y",COUNTIF($HJ$1:HJ1,'Daily Schedule'!$F$30)=0),IFERROR(INDEX('Daily Workforce'!$V$6:$V$205,MATCH('Daily Schedule'!$F$30,'Daily Workforce'!$B$6:$B$205,0)),0)*1000+30,999999999)</f>
        <v>30</v>
      </c>
      <c r="IK2" s="1" t="n">
        <f aca="false">IF(AND('Daily Schedule'!$F$31&lt;&gt;"",'Daily Schedule'!$H$31="5:45 AM",'Daily Schedule'!$D$31&lt;&gt;"Tier 1",IFERROR(INDEX('Daily Workforce'!$M$6:$M$205,MATCH('Daily Schedule'!$F$31,'Daily Workforce'!$B$6:$B$205,0)),"N")="Y",COUNTIF($HJ$1:HJ1,'Daily Schedule'!$F$31)=0),IFERROR(INDEX('Daily Workforce'!$V$6:$V$205,MATCH('Daily Schedule'!$F$31,'Daily Workforce'!$B$6:$B$205,0)),0)*1000+31,999999999)</f>
        <v>31</v>
      </c>
      <c r="IL2" s="1" t="n">
        <f aca="false">IF(AND('Daily Schedule'!$F$32&lt;&gt;"",'Daily Schedule'!$H$32="5:45 AM",'Daily Schedule'!$D$32&lt;&gt;"Tier 1",IFERROR(INDEX('Daily Workforce'!$M$6:$M$205,MATCH('Daily Schedule'!$F$32,'Daily Workforce'!$B$6:$B$205,0)),"N")="Y",COUNTIF($HJ$1:HJ1,'Daily Schedule'!$F$32)=0),IFERROR(INDEX('Daily Workforce'!$V$6:$V$205,MATCH('Daily Schedule'!$F$32,'Daily Workforce'!$B$6:$B$205,0)),0)*1000+32,999999999)</f>
        <v>32</v>
      </c>
      <c r="IM2" s="1" t="n">
        <f aca="false">IF(AND('Daily Schedule'!$F$33&lt;&gt;"",'Daily Schedule'!$H$33="5:45 AM",'Daily Schedule'!$D$33&lt;&gt;"Tier 1",IFERROR(INDEX('Daily Workforce'!$M$6:$M$205,MATCH('Daily Schedule'!$F$33,'Daily Workforce'!$B$6:$B$205,0)),"N")="Y",COUNTIF($HJ$1:HJ1,'Daily Schedule'!$F$33)=0),IFERROR(INDEX('Daily Workforce'!$V$6:$V$205,MATCH('Daily Schedule'!$F$33,'Daily Workforce'!$B$6:$B$205,0)),0)*1000+33,999999999)</f>
        <v>33</v>
      </c>
      <c r="IN2" s="1" t="n">
        <f aca="false">IF(AND('Daily Schedule'!$F$34&lt;&gt;"",'Daily Schedule'!$H$34="5:45 AM",'Daily Schedule'!$D$34&lt;&gt;"Tier 1",IFERROR(INDEX('Daily Workforce'!$M$6:$M$205,MATCH('Daily Schedule'!$F$34,'Daily Workforce'!$B$6:$B$205,0)),"N")="Y",COUNTIF($HJ$1:HJ1,'Daily Schedule'!$F$34)=0),IFERROR(INDEX('Daily Workforce'!$V$6:$V$205,MATCH('Daily Schedule'!$F$34,'Daily Workforce'!$B$6:$B$205,0)),0)*1000+34,999999999)</f>
        <v>34</v>
      </c>
      <c r="IO2" s="1" t="n">
        <f aca="false">IF(AND('Daily Schedule'!$F$35&lt;&gt;"",'Daily Schedule'!$H$35="5:45 AM",'Daily Schedule'!$D$35&lt;&gt;"Tier 1",IFERROR(INDEX('Daily Workforce'!$M$6:$M$205,MATCH('Daily Schedule'!$F$35,'Daily Workforce'!$B$6:$B$205,0)),"N")="Y",COUNTIF($HJ$1:HJ1,'Daily Schedule'!$F$35)=0),IFERROR(INDEX('Daily Workforce'!$V$6:$V$205,MATCH('Daily Schedule'!$F$35,'Daily Workforce'!$B$6:$B$205,0)),0)*1000+35,999999999)</f>
        <v>35</v>
      </c>
      <c r="IP2" s="1" t="n">
        <f aca="false">IF(AND('Daily Schedule'!$F$36&lt;&gt;"",'Daily Schedule'!$H$36="5:45 AM",'Daily Schedule'!$D$36&lt;&gt;"Tier 1",IFERROR(INDEX('Daily Workforce'!$M$6:$M$205,MATCH('Daily Schedule'!$F$36,'Daily Workforce'!$B$6:$B$205,0)),"N")="Y",COUNTIF($HJ$1:HJ1,'Daily Schedule'!$F$36)=0),IFERROR(INDEX('Daily Workforce'!$V$6:$V$205,MATCH('Daily Schedule'!$F$36,'Daily Workforce'!$B$6:$B$205,0)),0)*1000+36,999999999)</f>
        <v>36</v>
      </c>
      <c r="IQ2" s="1" t="n">
        <f aca="false">IF(AND('Daily Schedule'!$F$37&lt;&gt;"",'Daily Schedule'!$H$37="5:45 AM",'Daily Schedule'!$D$37&lt;&gt;"Tier 1",IFERROR(INDEX('Daily Workforce'!$M$6:$M$205,MATCH('Daily Schedule'!$F$37,'Daily Workforce'!$B$6:$B$205,0)),"N")="Y",COUNTIF($HJ$1:HJ1,'Daily Schedule'!$F$37)=0),IFERROR(INDEX('Daily Workforce'!$V$6:$V$205,MATCH('Daily Schedule'!$F$37,'Daily Workforce'!$B$6:$B$205,0)),0)*1000+37,999999999)</f>
        <v>37</v>
      </c>
      <c r="IR2" s="1" t="n">
        <f aca="false">IF(AND('Daily Schedule'!$F$38&lt;&gt;"",'Daily Schedule'!$H$38="5:45 AM",'Daily Schedule'!$D$38&lt;&gt;"Tier 1",IFERROR(INDEX('Daily Workforce'!$M$6:$M$205,MATCH('Daily Schedule'!$F$38,'Daily Workforce'!$B$6:$B$205,0)),"N")="Y",COUNTIF($HJ$1:HJ1,'Daily Schedule'!$F$38)=0),IFERROR(INDEX('Daily Workforce'!$V$6:$V$205,MATCH('Daily Schedule'!$F$38,'Daily Workforce'!$B$6:$B$205,0)),0)*1000+38,999999999)</f>
        <v>38</v>
      </c>
      <c r="IS2" s="1" t="n">
        <f aca="false">IF(AND('Daily Schedule'!$F$39&lt;&gt;"",'Daily Schedule'!$H$39="5:45 AM",'Daily Schedule'!$D$39&lt;&gt;"Tier 1",IFERROR(INDEX('Daily Workforce'!$M$6:$M$205,MATCH('Daily Schedule'!$F$39,'Daily Workforce'!$B$6:$B$205,0)),"N")="Y",COUNTIF($HJ$1:HJ1,'Daily Schedule'!$F$39)=0),IFERROR(INDEX('Daily Workforce'!$V$6:$V$205,MATCH('Daily Schedule'!$F$39,'Daily Workforce'!$B$6:$B$205,0)),0)*1000+39,999999999)</f>
        <v>39</v>
      </c>
      <c r="IT2" s="1" t="n">
        <f aca="false">IF(AND('Daily Schedule'!$F$40&lt;&gt;"",'Daily Schedule'!$H$40="5:45 AM",'Daily Schedule'!$D$40&lt;&gt;"Tier 1",IFERROR(INDEX('Daily Workforce'!$M$6:$M$205,MATCH('Daily Schedule'!$F$40,'Daily Workforce'!$B$6:$B$205,0)),"N")="Y",COUNTIF($HJ$1:HJ1,'Daily Schedule'!$F$40)=0),IFERROR(INDEX('Daily Workforce'!$V$6:$V$205,MATCH('Daily Schedule'!$F$40,'Daily Workforce'!$B$6:$B$205,0)),0)*1000+40,999999999)</f>
        <v>40</v>
      </c>
      <c r="IU2" s="1" t="n">
        <f aca="false">IF(AND('Daily Schedule'!$F$41&lt;&gt;"",'Daily Schedule'!$H$41="5:45 AM",'Daily Schedule'!$D$41&lt;&gt;"Tier 1",IFERROR(INDEX('Daily Workforce'!$M$6:$M$205,MATCH('Daily Schedule'!$F$41,'Daily Workforce'!$B$6:$B$205,0)),"N")="Y",COUNTIF($HJ$1:HJ1,'Daily Schedule'!$F$41)=0),IFERROR(INDEX('Daily Workforce'!$V$6:$V$205,MATCH('Daily Schedule'!$F$41,'Daily Workforce'!$B$6:$B$205,0)),0)*1000+41,999999999)</f>
        <v>41</v>
      </c>
      <c r="IV2" s="1" t="n">
        <f aca="false">IF(AND('Daily Schedule'!$F$42&lt;&gt;"",'Daily Schedule'!$H$42="5:45 AM",'Daily Schedule'!$D$42&lt;&gt;"Tier 1",IFERROR(INDEX('Daily Workforce'!$M$6:$M$205,MATCH('Daily Schedule'!$F$42,'Daily Workforce'!$B$6:$B$205,0)),"N")="Y",COUNTIF($HJ$1:HJ1,'Daily Schedule'!$F$42)=0),IFERROR(INDEX('Daily Workforce'!$V$6:$V$205,MATCH('Daily Schedule'!$F$42,'Daily Workforce'!$B$6:$B$205,0)),0)*1000+42,999999999)</f>
        <v>42</v>
      </c>
      <c r="IW2" s="1" t="n">
        <f aca="false">IF(AND('Daily Schedule'!$F$43&lt;&gt;"",'Daily Schedule'!$H$43="5:45 AM",'Daily Schedule'!$D$43&lt;&gt;"Tier 1",IFERROR(INDEX('Daily Workforce'!$M$6:$M$205,MATCH('Daily Schedule'!$F$43,'Daily Workforce'!$B$6:$B$205,0)),"N")="Y",COUNTIF($HJ$1:HJ1,'Daily Schedule'!$F$43)=0),IFERROR(INDEX('Daily Workforce'!$V$6:$V$205,MATCH('Daily Schedule'!$F$43,'Daily Workforce'!$B$6:$B$205,0)),0)*1000+43,999999999)</f>
        <v>43</v>
      </c>
      <c r="IX2" s="1" t="n">
        <f aca="false">IF(AND('Daily Schedule'!$F$44&lt;&gt;"",'Daily Schedule'!$H$44="5:45 AM",'Daily Schedule'!$D$44&lt;&gt;"Tier 1",IFERROR(INDEX('Daily Workforce'!$M$6:$M$205,MATCH('Daily Schedule'!$F$44,'Daily Workforce'!$B$6:$B$205,0)),"N")="Y",COUNTIF($HJ$1:HJ1,'Daily Schedule'!$F$44)=0),IFERROR(INDEX('Daily Workforce'!$V$6:$V$205,MATCH('Daily Schedule'!$F$44,'Daily Workforce'!$B$6:$B$205,0)),0)*1000+44,999999999)</f>
        <v>44</v>
      </c>
      <c r="IY2" s="1" t="n">
        <f aca="false">IF(AND('Daily Schedule'!$F$45&lt;&gt;"",'Daily Schedule'!$H$45="5:45 AM",'Daily Schedule'!$D$45&lt;&gt;"Tier 1",IFERROR(INDEX('Daily Workforce'!$M$6:$M$205,MATCH('Daily Schedule'!$F$45,'Daily Workforce'!$B$6:$B$205,0)),"N")="Y",COUNTIF($HJ$1:HJ1,'Daily Schedule'!$F$45)=0),IFERROR(INDEX('Daily Workforce'!$V$6:$V$205,MATCH('Daily Schedule'!$F$45,'Daily Workforce'!$B$6:$B$205,0)),0)*1000+45,999999999)</f>
        <v>45</v>
      </c>
      <c r="IZ2" s="1" t="n">
        <f aca="false">IF(AND('Daily Schedule'!$F$46&lt;&gt;"",'Daily Schedule'!$H$46="5:45 AM",'Daily Schedule'!$D$46&lt;&gt;"Tier 1",IFERROR(INDEX('Daily Workforce'!$M$6:$M$205,MATCH('Daily Schedule'!$F$46,'Daily Workforce'!$B$6:$B$205,0)),"N")="Y",COUNTIF($HJ$1:HJ1,'Daily Schedule'!$F$46)=0),IFERROR(INDEX('Daily Workforce'!$V$6:$V$205,MATCH('Daily Schedule'!$F$46,'Daily Workforce'!$B$6:$B$205,0)),0)*1000+46,999999999)</f>
        <v>46</v>
      </c>
      <c r="JA2" s="1" t="n">
        <f aca="false">IF(AND('Daily Schedule'!$F$47&lt;&gt;"",'Daily Schedule'!$H$47="5:45 AM",'Daily Schedule'!$D$47&lt;&gt;"Tier 1",IFERROR(INDEX('Daily Workforce'!$M$6:$M$205,MATCH('Daily Schedule'!$F$47,'Daily Workforce'!$B$6:$B$205,0)),"N")="Y",COUNTIF($HJ$1:HJ1,'Daily Schedule'!$F$47)=0),IFERROR(INDEX('Daily Workforce'!$V$6:$V$205,MATCH('Daily Schedule'!$F$47,'Daily Workforce'!$B$6:$B$205,0)),0)*1000+47,999999999)</f>
        <v>47</v>
      </c>
      <c r="JB2" s="1" t="n">
        <f aca="false">IF(AND('Daily Schedule'!$F$48&lt;&gt;"",'Daily Schedule'!$H$48="5:45 AM",'Daily Schedule'!$D$48&lt;&gt;"Tier 1",IFERROR(INDEX('Daily Workforce'!$M$6:$M$205,MATCH('Daily Schedule'!$F$48,'Daily Workforce'!$B$6:$B$205,0)),"N")="Y",COUNTIF($HJ$1:HJ1,'Daily Schedule'!$F$48)=0),IFERROR(INDEX('Daily Workforce'!$V$6:$V$205,MATCH('Daily Schedule'!$F$48,'Daily Workforce'!$B$6:$B$205,0)),0)*1000+48,999999999)</f>
        <v>48</v>
      </c>
      <c r="JC2" s="1" t="n">
        <f aca="false">IF(AND('Daily Schedule'!$F$49&lt;&gt;"",'Daily Schedule'!$H$49="5:45 AM",'Daily Schedule'!$D$49&lt;&gt;"Tier 1",IFERROR(INDEX('Daily Workforce'!$M$6:$M$205,MATCH('Daily Schedule'!$F$49,'Daily Workforce'!$B$6:$B$205,0)),"N")="Y",COUNTIF($HJ$1:HJ1,'Daily Schedule'!$F$49)=0),IFERROR(INDEX('Daily Workforce'!$V$6:$V$205,MATCH('Daily Schedule'!$F$49,'Daily Workforce'!$B$6:$B$205,0)),0)*1000+49,999999999)</f>
        <v>49</v>
      </c>
      <c r="JD2" s="1" t="n">
        <f aca="false">IF(AND('Daily Schedule'!$F$50&lt;&gt;"",'Daily Schedule'!$H$50="5:45 AM",'Daily Schedule'!$D$50&lt;&gt;"Tier 1",IFERROR(INDEX('Daily Workforce'!$M$6:$M$205,MATCH('Daily Schedule'!$F$50,'Daily Workforce'!$B$6:$B$205,0)),"N")="Y",COUNTIF($HJ$1:HJ1,'Daily Schedule'!$F$50)=0),IFERROR(INDEX('Daily Workforce'!$V$6:$V$205,MATCH('Daily Schedule'!$F$50,'Daily Workforce'!$B$6:$B$205,0)),0)*1000+50,999999999)</f>
        <v>50</v>
      </c>
      <c r="JE2" s="1" t="n">
        <f aca="false">IF(AND('Daily Schedule'!$F$51&lt;&gt;"",'Daily Schedule'!$H$51="5:45 AM",'Daily Schedule'!$D$51&lt;&gt;"Tier 1",IFERROR(INDEX('Daily Workforce'!$M$6:$M$205,MATCH('Daily Schedule'!$F$51,'Daily Workforce'!$B$6:$B$205,0)),"N")="Y",COUNTIF($HJ$1:HJ1,'Daily Schedule'!$F$51)=0),IFERROR(INDEX('Daily Workforce'!$V$6:$V$205,MATCH('Daily Schedule'!$F$51,'Daily Workforce'!$B$6:$B$205,0)),0)*1000+51,999999999)</f>
        <v>51</v>
      </c>
      <c r="JF2" s="1" t="n">
        <f aca="false">IF(AND('Daily Schedule'!$F$52&lt;&gt;"",'Daily Schedule'!$H$52="5:45 AM",'Daily Schedule'!$D$52&lt;&gt;"Tier 1",IFERROR(INDEX('Daily Workforce'!$M$6:$M$205,MATCH('Daily Schedule'!$F$52,'Daily Workforce'!$B$6:$B$205,0)),"N")="Y",COUNTIF($HJ$1:HJ1,'Daily Schedule'!$F$52)=0),IFERROR(INDEX('Daily Workforce'!$V$6:$V$205,MATCH('Daily Schedule'!$F$52,'Daily Workforce'!$B$6:$B$205,0)),0)*1000+52,999999999)</f>
        <v>52</v>
      </c>
      <c r="JG2" s="1" t="n">
        <f aca="false">IF(AND('Daily Schedule'!$F$53&lt;&gt;"",'Daily Schedule'!$H$53="5:45 AM",'Daily Schedule'!$D$53&lt;&gt;"Tier 1",IFERROR(INDEX('Daily Workforce'!$M$6:$M$205,MATCH('Daily Schedule'!$F$53,'Daily Workforce'!$B$6:$B$205,0)),"N")="Y",COUNTIF($HJ$1:HJ1,'Daily Schedule'!$F$53)=0),IFERROR(INDEX('Daily Workforce'!$V$6:$V$205,MATCH('Daily Schedule'!$F$53,'Daily Workforce'!$B$6:$B$205,0)),0)*1000+53,999999999)</f>
        <v>53</v>
      </c>
      <c r="JH2" s="1" t="n">
        <f aca="false">IF(AND('Daily Schedule'!$F$54&lt;&gt;"",'Daily Schedule'!$H$54="5:45 AM",'Daily Schedule'!$D$54&lt;&gt;"Tier 1",IFERROR(INDEX('Daily Workforce'!$M$6:$M$205,MATCH('Daily Schedule'!$F$54,'Daily Workforce'!$B$6:$B$205,0)),"N")="Y",COUNTIF($HJ$1:HJ1,'Daily Schedule'!$F$54)=0),IFERROR(INDEX('Daily Workforce'!$V$6:$V$205,MATCH('Daily Schedule'!$F$54,'Daily Workforce'!$B$6:$B$205,0)),0)*1000+54,999999999)</f>
        <v>54</v>
      </c>
      <c r="JI2" s="1" t="n">
        <f aca="false">IF(AND('Daily Schedule'!$F$55&lt;&gt;"",'Daily Schedule'!$H$55="5:45 AM",'Daily Schedule'!$D$55&lt;&gt;"Tier 1",IFERROR(INDEX('Daily Workforce'!$M$6:$M$205,MATCH('Daily Schedule'!$F$55,'Daily Workforce'!$B$6:$B$205,0)),"N")="Y",COUNTIF($HJ$1:HJ1,'Daily Schedule'!$F$55)=0),IFERROR(INDEX('Daily Workforce'!$V$6:$V$205,MATCH('Daily Schedule'!$F$55,'Daily Workforce'!$B$6:$B$205,0)),0)*1000+55,999999999)</f>
        <v>55</v>
      </c>
      <c r="JJ2" s="1" t="n">
        <f aca="false">IF(AND('Daily Schedule'!$F$56&lt;&gt;"",'Daily Schedule'!$H$56="5:45 AM",'Daily Schedule'!$D$56&lt;&gt;"Tier 1",IFERROR(INDEX('Daily Workforce'!$M$6:$M$205,MATCH('Daily Schedule'!$F$56,'Daily Workforce'!$B$6:$B$205,0)),"N")="Y",COUNTIF($HJ$1:HJ1,'Daily Schedule'!$F$56)=0),IFERROR(INDEX('Daily Workforce'!$V$6:$V$205,MATCH('Daily Schedule'!$F$56,'Daily Workforce'!$B$6:$B$205,0)),0)*1000+56,999999999)</f>
        <v>56</v>
      </c>
      <c r="JK2" s="1" t="n">
        <f aca="false">IF(AND('Daily Schedule'!$F$57&lt;&gt;"",'Daily Schedule'!$H$57="5:45 AM",'Daily Schedule'!$D$57&lt;&gt;"Tier 1",IFERROR(INDEX('Daily Workforce'!$M$6:$M$205,MATCH('Daily Schedule'!$F$57,'Daily Workforce'!$B$6:$B$205,0)),"N")="Y",COUNTIF($HJ$1:HJ1,'Daily Schedule'!$F$57)=0),IFERROR(INDEX('Daily Workforce'!$V$6:$V$205,MATCH('Daily Schedule'!$F$57,'Daily Workforce'!$B$6:$B$205,0)),0)*1000+57,999999999)</f>
        <v>57</v>
      </c>
      <c r="JL2" s="1" t="n">
        <v>46</v>
      </c>
      <c r="JM2" s="1" t="str">
        <f aca="false">$HJ2</f>
        <v>EMP-0009</v>
      </c>
      <c r="JN2" s="1" t="str">
        <f aca="false">IF($JM2="","",IFERROR(INDEX('Daily Schedule'!$N$6:$N$57,MATCH($JM2,'Daily Schedule'!$F$6:$F$57,0)),""))</f>
        <v>10:00 AM</v>
      </c>
      <c r="JO2" s="1" t="str">
        <f aca="false">IF(MIN(JS2:LR2)&gt;=999999999,"",IFERROR(INDEX('Daily Schedule'!$F$6:$F$57,MATCH(MIN(JS2:LR2),JS2:LR2,0)),""))</f>
        <v>EMP-0076</v>
      </c>
      <c r="JP2" s="1" t="n">
        <f aca="false">IF($JO2="","",IFERROR(INDEX('Daily Schedule'!$A$6:$A$57,MATCH($JO2,'Daily Schedule'!$F$6:$F$57,0)),""))</f>
        <v>7</v>
      </c>
      <c r="JQ2" s="1" t="str">
        <f aca="false">IF($JO2="","",IFERROR(INDEX('Daily Schedule'!$N$6:$N$57,MATCH($JO2,'Daily Schedule'!$F$6:$F$57,0)),""))</f>
        <v>9:00 AM</v>
      </c>
      <c r="JR2" s="1" t="str">
        <f aca="false">IF($JM2="","CORE GAP",IF($JO2="","RELIEF GAP",IF($JN2=$JQ2,"LUNCH CONFLICT","COVERED")))</f>
        <v>COVERED</v>
      </c>
      <c r="JS2" s="1" t="n">
        <f aca="false">IF(AND($JM2&lt;&gt;"",'Daily Schedule'!$F$6&lt;&gt;"",'Daily Schedule'!$H$6="5:45 AM",'Daily Schedule'!$D$6&lt;&gt;"Tier 1",'Daily Schedule'!$N$6&lt;&gt;$JN2,IFERROR(INDEX('Daily Workforce'!$M$6:$M$205,MATCH('Daily Schedule'!$F$6,'Daily Workforce'!$B$6:$B$205,0)),"N")="Y",COUNTIF($HJ$2:$HJ$8,'Daily Schedule'!$F$6)=0,COUNTIF($JO$1:JO1,'Daily Schedule'!$F$6)=0),IF('Daily Schedule'!$D$6="Tier 4",0,IF('Daily Schedule'!$D$6="Tier 3",1,2))*10000000+IFERROR(INDEX('Daily Workforce'!$V$6:$V$205,MATCH('Daily Schedule'!$F$6,'Daily Workforce'!$B$6:$B$205,0)),0)*1000+6,999999999)</f>
        <v>999999999</v>
      </c>
      <c r="JT2" s="1" t="n">
        <f aca="false">IF(AND($JM2&lt;&gt;"",'Daily Schedule'!$F$7&lt;&gt;"",'Daily Schedule'!$H$7="5:45 AM",'Daily Schedule'!$D$7&lt;&gt;"Tier 1",'Daily Schedule'!$N$7&lt;&gt;$JN2,IFERROR(INDEX('Daily Workforce'!$M$6:$M$205,MATCH('Daily Schedule'!$F$7,'Daily Workforce'!$B$6:$B$205,0)),"N")="Y",COUNTIF($HJ$2:$HJ$8,'Daily Schedule'!$F$7)=0,COUNTIF($JO$1:JO1,'Daily Schedule'!$F$7)=0),IF('Daily Schedule'!$D$7="Tier 4",0,IF('Daily Schedule'!$D$7="Tier 3",1,2))*10000000+IFERROR(INDEX('Daily Workforce'!$V$6:$V$205,MATCH('Daily Schedule'!$F$7,'Daily Workforce'!$B$6:$B$205,0)),0)*1000+7,999999999)</f>
        <v>999999999</v>
      </c>
      <c r="JU2" s="1" t="n">
        <f aca="false">IF(AND($JM2&lt;&gt;"",'Daily Schedule'!$F$8&lt;&gt;"",'Daily Schedule'!$H$8="5:45 AM",'Daily Schedule'!$D$8&lt;&gt;"Tier 1",'Daily Schedule'!$N$8&lt;&gt;$JN2,IFERROR(INDEX('Daily Workforce'!$M$6:$M$205,MATCH('Daily Schedule'!$F$8,'Daily Workforce'!$B$6:$B$205,0)),"N")="Y",COUNTIF($HJ$2:$HJ$8,'Daily Schedule'!$F$8)=0,COUNTIF($JO$1:JO1,'Daily Schedule'!$F$8)=0),IF('Daily Schedule'!$D$8="Tier 4",0,IF('Daily Schedule'!$D$8="Tier 3",1,2))*10000000+IFERROR(INDEX('Daily Workforce'!$V$6:$V$205,MATCH('Daily Schedule'!$F$8,'Daily Workforce'!$B$6:$B$205,0)),0)*1000+8,999999999)</f>
        <v>999999999</v>
      </c>
      <c r="JV2" s="1" t="n">
        <f aca="false">IF(AND($JM2&lt;&gt;"",'Daily Schedule'!$F$9&lt;&gt;"",'Daily Schedule'!$H$9="5:45 AM",'Daily Schedule'!$D$9&lt;&gt;"Tier 1",'Daily Schedule'!$N$9&lt;&gt;$JN2,IFERROR(INDEX('Daily Workforce'!$M$6:$M$205,MATCH('Daily Schedule'!$F$9,'Daily Workforce'!$B$6:$B$205,0)),"N")="Y",COUNTIF($HJ$2:$HJ$8,'Daily Schedule'!$F$9)=0,COUNTIF($JO$1:JO1,'Daily Schedule'!$F$9)=0),IF('Daily Schedule'!$D$9="Tier 4",0,IF('Daily Schedule'!$D$9="Tier 3",1,2))*10000000+IFERROR(INDEX('Daily Workforce'!$V$6:$V$205,MATCH('Daily Schedule'!$F$9,'Daily Workforce'!$B$6:$B$205,0)),0)*1000+9,999999999)</f>
        <v>999999999</v>
      </c>
      <c r="JW2" s="1" t="n">
        <f aca="false">IF(AND($JM2&lt;&gt;"",'Daily Schedule'!$F$10&lt;&gt;"",'Daily Schedule'!$H$10="5:45 AM",'Daily Schedule'!$D$10&lt;&gt;"Tier 1",'Daily Schedule'!$N$10&lt;&gt;$JN2,IFERROR(INDEX('Daily Workforce'!$M$6:$M$205,MATCH('Daily Schedule'!$F$10,'Daily Workforce'!$B$6:$B$205,0)),"N")="Y",COUNTIF($HJ$2:$HJ$8,'Daily Schedule'!$F$10)=0,COUNTIF($JO$1:JO1,'Daily Schedule'!$F$10)=0),IF('Daily Schedule'!$D$10="Tier 4",0,IF('Daily Schedule'!$D$10="Tier 3",1,2))*10000000+IFERROR(INDEX('Daily Workforce'!$V$6:$V$205,MATCH('Daily Schedule'!$F$10,'Daily Workforce'!$B$6:$B$205,0)),0)*1000+10,999999999)</f>
        <v>999999999</v>
      </c>
      <c r="JX2" s="1" t="n">
        <f aca="false">IF(AND($JM2&lt;&gt;"",'Daily Schedule'!$F$11&lt;&gt;"",'Daily Schedule'!$H$11="5:45 AM",'Daily Schedule'!$D$11&lt;&gt;"Tier 1",'Daily Schedule'!$N$11&lt;&gt;$JN2,IFERROR(INDEX('Daily Workforce'!$M$6:$M$205,MATCH('Daily Schedule'!$F$11,'Daily Workforce'!$B$6:$B$205,0)),"N")="Y",COUNTIF($HJ$2:$HJ$8,'Daily Schedule'!$F$11)=0,COUNTIF($JO$1:JO1,'Daily Schedule'!$F$11)=0),IF('Daily Schedule'!$D$11="Tier 4",0,IF('Daily Schedule'!$D$11="Tier 3",1,2))*10000000+IFERROR(INDEX('Daily Workforce'!$V$6:$V$205,MATCH('Daily Schedule'!$F$11,'Daily Workforce'!$B$6:$B$205,0)),0)*1000+11,999999999)</f>
        <v>999999999</v>
      </c>
      <c r="JY2" s="1" t="n">
        <f aca="false">IF(AND($JM2&lt;&gt;"",'Daily Schedule'!$F$12&lt;&gt;"",'Daily Schedule'!$H$12="5:45 AM",'Daily Schedule'!$D$12&lt;&gt;"Tier 1",'Daily Schedule'!$N$12&lt;&gt;$JN2,IFERROR(INDEX('Daily Workforce'!$M$6:$M$205,MATCH('Daily Schedule'!$F$12,'Daily Workforce'!$B$6:$B$205,0)),"N")="Y",COUNTIF($HJ$2:$HJ$8,'Daily Schedule'!$F$12)=0,COUNTIF($JO$1:JO1,'Daily Schedule'!$F$12)=0),IF('Daily Schedule'!$D$12="Tier 4",0,IF('Daily Schedule'!$D$12="Tier 3",1,2))*10000000+IFERROR(INDEX('Daily Workforce'!$V$6:$V$205,MATCH('Daily Schedule'!$F$12,'Daily Workforce'!$B$6:$B$205,0)),0)*1000+12,999999999)</f>
        <v>999999999</v>
      </c>
      <c r="JZ2" s="1" t="n">
        <f aca="false">IF(AND($JM2&lt;&gt;"",'Daily Schedule'!$F$13&lt;&gt;"",'Daily Schedule'!$H$13="5:45 AM",'Daily Schedule'!$D$13&lt;&gt;"Tier 1",'Daily Schedule'!$N$13&lt;&gt;$JN2,IFERROR(INDEX('Daily Workforce'!$M$6:$M$205,MATCH('Daily Schedule'!$F$13,'Daily Workforce'!$B$6:$B$205,0)),"N")="Y",COUNTIF($HJ$2:$HJ$8,'Daily Schedule'!$F$13)=0,COUNTIF($JO$1:JO1,'Daily Schedule'!$F$13)=0),IF('Daily Schedule'!$D$13="Tier 4",0,IF('Daily Schedule'!$D$13="Tier 3",1,2))*10000000+IFERROR(INDEX('Daily Workforce'!$V$6:$V$205,MATCH('Daily Schedule'!$F$13,'Daily Workforce'!$B$6:$B$205,0)),0)*1000+13,999999999)</f>
        <v>999999999</v>
      </c>
      <c r="KA2" s="1" t="n">
        <f aca="false">IF(AND($JM2&lt;&gt;"",'Daily Schedule'!$F$14&lt;&gt;"",'Daily Schedule'!$H$14="5:45 AM",'Daily Schedule'!$D$14&lt;&gt;"Tier 1",'Daily Schedule'!$N$14&lt;&gt;$JN2,IFERROR(INDEX('Daily Workforce'!$M$6:$M$205,MATCH('Daily Schedule'!$F$14,'Daily Workforce'!$B$6:$B$205,0)),"N")="Y",COUNTIF($HJ$2:$HJ$8,'Daily Schedule'!$F$14)=0,COUNTIF($JO$1:JO1,'Daily Schedule'!$F$14)=0),IF('Daily Schedule'!$D$14="Tier 4",0,IF('Daily Schedule'!$D$14="Tier 3",1,2))*10000000+IFERROR(INDEX('Daily Workforce'!$V$6:$V$205,MATCH('Daily Schedule'!$F$14,'Daily Workforce'!$B$6:$B$205,0)),0)*1000+14,999999999)</f>
        <v>999999999</v>
      </c>
      <c r="KB2" s="1" t="n">
        <f aca="false">IF(AND($JM2&lt;&gt;"",'Daily Schedule'!$F$15&lt;&gt;"",'Daily Schedule'!$H$15="5:45 AM",'Daily Schedule'!$D$15&lt;&gt;"Tier 1",'Daily Schedule'!$N$15&lt;&gt;$JN2,IFERROR(INDEX('Daily Workforce'!$M$6:$M$205,MATCH('Daily Schedule'!$F$15,'Daily Workforce'!$B$6:$B$205,0)),"N")="Y",COUNTIF($HJ$2:$HJ$8,'Daily Schedule'!$F$15)=0,COUNTIF($JO$1:JO1,'Daily Schedule'!$F$15)=0),IF('Daily Schedule'!$D$15="Tier 4",0,IF('Daily Schedule'!$D$15="Tier 3",1,2))*10000000+IFERROR(INDEX('Daily Workforce'!$V$6:$V$205,MATCH('Daily Schedule'!$F$15,'Daily Workforce'!$B$6:$B$205,0)),0)*1000+15,999999999)</f>
        <v>999999999</v>
      </c>
      <c r="KC2" s="1" t="n">
        <f aca="false">IF(AND($JM2&lt;&gt;"",'Daily Schedule'!$F$16&lt;&gt;"",'Daily Schedule'!$H$16="5:45 AM",'Daily Schedule'!$D$16&lt;&gt;"Tier 1",'Daily Schedule'!$N$16&lt;&gt;$JN2,IFERROR(INDEX('Daily Workforce'!$M$6:$M$205,MATCH('Daily Schedule'!$F$16,'Daily Workforce'!$B$6:$B$205,0)),"N")="Y",COUNTIF($HJ$2:$HJ$8,'Daily Schedule'!$F$16)=0,COUNTIF($JO$1:JO1,'Daily Schedule'!$F$16)=0),IF('Daily Schedule'!$D$16="Tier 4",0,IF('Daily Schedule'!$D$16="Tier 3",1,2))*10000000+IFERROR(INDEX('Daily Workforce'!$V$6:$V$205,MATCH('Daily Schedule'!$F$16,'Daily Workforce'!$B$6:$B$205,0)),0)*1000+16,999999999)</f>
        <v>999999999</v>
      </c>
      <c r="KD2" s="1" t="n">
        <f aca="false">IF(AND($JM2&lt;&gt;"",'Daily Schedule'!$F$17&lt;&gt;"",'Daily Schedule'!$H$17="5:45 AM",'Daily Schedule'!$D$17&lt;&gt;"Tier 1",'Daily Schedule'!$N$17&lt;&gt;$JN2,IFERROR(INDEX('Daily Workforce'!$M$6:$M$205,MATCH('Daily Schedule'!$F$17,'Daily Workforce'!$B$6:$B$205,0)),"N")="Y",COUNTIF($HJ$2:$HJ$8,'Daily Schedule'!$F$17)=0,COUNTIF($JO$1:JO1,'Daily Schedule'!$F$17)=0),IF('Daily Schedule'!$D$17="Tier 4",0,IF('Daily Schedule'!$D$17="Tier 3",1,2))*10000000+IFERROR(INDEX('Daily Workforce'!$V$6:$V$205,MATCH('Daily Schedule'!$F$17,'Daily Workforce'!$B$6:$B$205,0)),0)*1000+17,999999999)</f>
        <v>999999999</v>
      </c>
      <c r="KE2" s="1" t="n">
        <f aca="false">IF(AND($JM2&lt;&gt;"",'Daily Schedule'!$F$18&lt;&gt;"",'Daily Schedule'!$H$18="5:45 AM",'Daily Schedule'!$D$18&lt;&gt;"Tier 1",'Daily Schedule'!$N$18&lt;&gt;$JN2,IFERROR(INDEX('Daily Workforce'!$M$6:$M$205,MATCH('Daily Schedule'!$F$18,'Daily Workforce'!$B$6:$B$205,0)),"N")="Y",COUNTIF($HJ$2:$HJ$8,'Daily Schedule'!$F$18)=0,COUNTIF($JO$1:JO1,'Daily Schedule'!$F$18)=0),IF('Daily Schedule'!$D$18="Tier 4",0,IF('Daily Schedule'!$D$18="Tier 3",1,2))*10000000+IFERROR(INDEX('Daily Workforce'!$V$6:$V$205,MATCH('Daily Schedule'!$F$18,'Daily Workforce'!$B$6:$B$205,0)),0)*1000+18,999999999)</f>
        <v>999999999</v>
      </c>
      <c r="KF2" s="1" t="n">
        <f aca="false">IF(AND($JM2&lt;&gt;"",'Daily Schedule'!$F$19&lt;&gt;"",'Daily Schedule'!$H$19="5:45 AM",'Daily Schedule'!$D$19&lt;&gt;"Tier 1",'Daily Schedule'!$N$19&lt;&gt;$JN2,IFERROR(INDEX('Daily Workforce'!$M$6:$M$205,MATCH('Daily Schedule'!$F$19,'Daily Workforce'!$B$6:$B$205,0)),"N")="Y",COUNTIF($HJ$2:$HJ$8,'Daily Schedule'!$F$19)=0,COUNTIF($JO$1:JO1,'Daily Schedule'!$F$19)=0),IF('Daily Schedule'!$D$19="Tier 4",0,IF('Daily Schedule'!$D$19="Tier 3",1,2))*10000000+IFERROR(INDEX('Daily Workforce'!$V$6:$V$205,MATCH('Daily Schedule'!$F$19,'Daily Workforce'!$B$6:$B$205,0)),0)*1000+19,999999999)</f>
        <v>999999999</v>
      </c>
      <c r="KG2" s="1" t="n">
        <f aca="false">IF(AND($JM2&lt;&gt;"",'Daily Schedule'!$F$20&lt;&gt;"",'Daily Schedule'!$H$20="5:45 AM",'Daily Schedule'!$D$20&lt;&gt;"Tier 1",'Daily Schedule'!$N$20&lt;&gt;$JN2,IFERROR(INDEX('Daily Workforce'!$M$6:$M$205,MATCH('Daily Schedule'!$F$20,'Daily Workforce'!$B$6:$B$205,0)),"N")="Y",COUNTIF($HJ$2:$HJ$8,'Daily Schedule'!$F$20)=0,COUNTIF($JO$1:JO1,'Daily Schedule'!$F$20)=0),IF('Daily Schedule'!$D$20="Tier 4",0,IF('Daily Schedule'!$D$20="Tier 3",1,2))*10000000+IFERROR(INDEX('Daily Workforce'!$V$6:$V$205,MATCH('Daily Schedule'!$F$20,'Daily Workforce'!$B$6:$B$205,0)),0)*1000+20,999999999)</f>
        <v>999999999</v>
      </c>
      <c r="KH2" s="1" t="n">
        <f aca="false">IF(AND($JM2&lt;&gt;"",'Daily Schedule'!$F$21&lt;&gt;"",'Daily Schedule'!$H$21="5:45 AM",'Daily Schedule'!$D$21&lt;&gt;"Tier 1",'Daily Schedule'!$N$21&lt;&gt;$JN2,IFERROR(INDEX('Daily Workforce'!$M$6:$M$205,MATCH('Daily Schedule'!$F$21,'Daily Workforce'!$B$6:$B$205,0)),"N")="Y",COUNTIF($HJ$2:$HJ$8,'Daily Schedule'!$F$21)=0,COUNTIF($JO$1:JO1,'Daily Schedule'!$F$21)=0),IF('Daily Schedule'!$D$21="Tier 4",0,IF('Daily Schedule'!$D$21="Tier 3",1,2))*10000000+IFERROR(INDEX('Daily Workforce'!$V$6:$V$205,MATCH('Daily Schedule'!$F$21,'Daily Workforce'!$B$6:$B$205,0)),0)*1000+21,999999999)</f>
        <v>999999999</v>
      </c>
      <c r="KI2" s="1" t="n">
        <f aca="false">IF(AND($JM2&lt;&gt;"",'Daily Schedule'!$F$22&lt;&gt;"",'Daily Schedule'!$H$22="5:45 AM",'Daily Schedule'!$D$22&lt;&gt;"Tier 1",'Daily Schedule'!$N$22&lt;&gt;$JN2,IFERROR(INDEX('Daily Workforce'!$M$6:$M$205,MATCH('Daily Schedule'!$F$22,'Daily Workforce'!$B$6:$B$205,0)),"N")="Y",COUNTIF($HJ$2:$HJ$8,'Daily Schedule'!$F$22)=0,COUNTIF($JO$1:JO1,'Daily Schedule'!$F$22)=0),IF('Daily Schedule'!$D$22="Tier 4",0,IF('Daily Schedule'!$D$22="Tier 3",1,2))*10000000+IFERROR(INDEX('Daily Workforce'!$V$6:$V$205,MATCH('Daily Schedule'!$F$22,'Daily Workforce'!$B$6:$B$205,0)),0)*1000+22,999999999)</f>
        <v>999999999</v>
      </c>
      <c r="KJ2" s="1" t="n">
        <f aca="false">IF(AND($JM2&lt;&gt;"",'Daily Schedule'!$F$23&lt;&gt;"",'Daily Schedule'!$H$23="5:45 AM",'Daily Schedule'!$D$23&lt;&gt;"Tier 1",'Daily Schedule'!$N$23&lt;&gt;$JN2,IFERROR(INDEX('Daily Workforce'!$M$6:$M$205,MATCH('Daily Schedule'!$F$23,'Daily Workforce'!$B$6:$B$205,0)),"N")="Y",COUNTIF($HJ$2:$HJ$8,'Daily Schedule'!$F$23)=0,COUNTIF($JO$1:JO1,'Daily Schedule'!$F$23)=0),IF('Daily Schedule'!$D$23="Tier 4",0,IF('Daily Schedule'!$D$23="Tier 3",1,2))*10000000+IFERROR(INDEX('Daily Workforce'!$V$6:$V$205,MATCH('Daily Schedule'!$F$23,'Daily Workforce'!$B$6:$B$205,0)),0)*1000+23,999999999)</f>
        <v>999999999</v>
      </c>
      <c r="KK2" s="1" t="n">
        <f aca="false">IF(AND($JM2&lt;&gt;"",'Daily Schedule'!$F$24&lt;&gt;"",'Daily Schedule'!$H$24="5:45 AM",'Daily Schedule'!$D$24&lt;&gt;"Tier 1",'Daily Schedule'!$N$24&lt;&gt;$JN2,IFERROR(INDEX('Daily Workforce'!$M$6:$M$205,MATCH('Daily Schedule'!$F$24,'Daily Workforce'!$B$6:$B$205,0)),"N")="Y",COUNTIF($HJ$2:$HJ$8,'Daily Schedule'!$F$24)=0,COUNTIF($JO$1:JO1,'Daily Schedule'!$F$24)=0),IF('Daily Schedule'!$D$24="Tier 4",0,IF('Daily Schedule'!$D$24="Tier 3",1,2))*10000000+IFERROR(INDEX('Daily Workforce'!$V$6:$V$205,MATCH('Daily Schedule'!$F$24,'Daily Workforce'!$B$6:$B$205,0)),0)*1000+24,999999999)</f>
        <v>999999999</v>
      </c>
      <c r="KL2" s="1" t="n">
        <f aca="false">IF(AND($JM2&lt;&gt;"",'Daily Schedule'!$F$25&lt;&gt;"",'Daily Schedule'!$H$25="5:45 AM",'Daily Schedule'!$D$25&lt;&gt;"Tier 1",'Daily Schedule'!$N$25&lt;&gt;$JN2,IFERROR(INDEX('Daily Workforce'!$M$6:$M$205,MATCH('Daily Schedule'!$F$25,'Daily Workforce'!$B$6:$B$205,0)),"N")="Y",COUNTIF($HJ$2:$HJ$8,'Daily Schedule'!$F$25)=0,COUNTIF($JO$1:JO1,'Daily Schedule'!$F$25)=0),IF('Daily Schedule'!$D$25="Tier 4",0,IF('Daily Schedule'!$D$25="Tier 3",1,2))*10000000+IFERROR(INDEX('Daily Workforce'!$V$6:$V$205,MATCH('Daily Schedule'!$F$25,'Daily Workforce'!$B$6:$B$205,0)),0)*1000+25,999999999)</f>
        <v>999999999</v>
      </c>
      <c r="KM2" s="1" t="n">
        <f aca="false">IF(AND($JM2&lt;&gt;"",'Daily Schedule'!$F$26&lt;&gt;"",'Daily Schedule'!$H$26="5:45 AM",'Daily Schedule'!$D$26&lt;&gt;"Tier 1",'Daily Schedule'!$N$26&lt;&gt;$JN2,IFERROR(INDEX('Daily Workforce'!$M$6:$M$205,MATCH('Daily Schedule'!$F$26,'Daily Workforce'!$B$6:$B$205,0)),"N")="Y",COUNTIF($HJ$2:$HJ$8,'Daily Schedule'!$F$26)=0,COUNTIF($JO$1:JO1,'Daily Schedule'!$F$26)=0),IF('Daily Schedule'!$D$26="Tier 4",0,IF('Daily Schedule'!$D$26="Tier 3",1,2))*10000000+IFERROR(INDEX('Daily Workforce'!$V$6:$V$205,MATCH('Daily Schedule'!$F$26,'Daily Workforce'!$B$6:$B$205,0)),0)*1000+26,999999999)</f>
        <v>999999999</v>
      </c>
      <c r="KN2" s="1" t="n">
        <f aca="false">IF(AND($JM2&lt;&gt;"",'Daily Schedule'!$F$27&lt;&gt;"",'Daily Schedule'!$H$27="5:45 AM",'Daily Schedule'!$D$27&lt;&gt;"Tier 1",'Daily Schedule'!$N$27&lt;&gt;$JN2,IFERROR(INDEX('Daily Workforce'!$M$6:$M$205,MATCH('Daily Schedule'!$F$27,'Daily Workforce'!$B$6:$B$205,0)),"N")="Y",COUNTIF($HJ$2:$HJ$8,'Daily Schedule'!$F$27)=0,COUNTIF($JO$1:JO1,'Daily Schedule'!$F$27)=0),IF('Daily Schedule'!$D$27="Tier 4",0,IF('Daily Schedule'!$D$27="Tier 3",1,2))*10000000+IFERROR(INDEX('Daily Workforce'!$V$6:$V$205,MATCH('Daily Schedule'!$F$27,'Daily Workforce'!$B$6:$B$205,0)),0)*1000+27,999999999)</f>
        <v>999999999</v>
      </c>
      <c r="KO2" s="1" t="n">
        <f aca="false">IF(AND($JM2&lt;&gt;"",'Daily Schedule'!$F$28&lt;&gt;"",'Daily Schedule'!$H$28="5:45 AM",'Daily Schedule'!$D$28&lt;&gt;"Tier 1",'Daily Schedule'!$N$28&lt;&gt;$JN2,IFERROR(INDEX('Daily Workforce'!$M$6:$M$205,MATCH('Daily Schedule'!$F$28,'Daily Workforce'!$B$6:$B$205,0)),"N")="Y",COUNTIF($HJ$2:$HJ$8,'Daily Schedule'!$F$28)=0,COUNTIF($JO$1:JO1,'Daily Schedule'!$F$28)=0),IF('Daily Schedule'!$D$28="Tier 4",0,IF('Daily Schedule'!$D$28="Tier 3",1,2))*10000000+IFERROR(INDEX('Daily Workforce'!$V$6:$V$205,MATCH('Daily Schedule'!$F$28,'Daily Workforce'!$B$6:$B$205,0)),0)*1000+28,999999999)</f>
        <v>999999999</v>
      </c>
      <c r="KP2" s="1" t="n">
        <f aca="false">IF(AND($JM2&lt;&gt;"",'Daily Schedule'!$F$29&lt;&gt;"",'Daily Schedule'!$H$29="5:45 AM",'Daily Schedule'!$D$29&lt;&gt;"Tier 1",'Daily Schedule'!$N$29&lt;&gt;$JN2,IFERROR(INDEX('Daily Workforce'!$M$6:$M$205,MATCH('Daily Schedule'!$F$29,'Daily Workforce'!$B$6:$B$205,0)),"N")="Y",COUNTIF($HJ$2:$HJ$8,'Daily Schedule'!$F$29)=0,COUNTIF($JO$1:JO1,'Daily Schedule'!$F$29)=0),IF('Daily Schedule'!$D$29="Tier 4",0,IF('Daily Schedule'!$D$29="Tier 3",1,2))*10000000+IFERROR(INDEX('Daily Workforce'!$V$6:$V$205,MATCH('Daily Schedule'!$F$29,'Daily Workforce'!$B$6:$B$205,0)),0)*1000+29,999999999)</f>
        <v>999999999</v>
      </c>
      <c r="KQ2" s="1" t="n">
        <f aca="false">IF(AND($JM2&lt;&gt;"",'Daily Schedule'!$F$30&lt;&gt;"",'Daily Schedule'!$H$30="5:45 AM",'Daily Schedule'!$D$30&lt;&gt;"Tier 1",'Daily Schedule'!$N$30&lt;&gt;$JN2,IFERROR(INDEX('Daily Workforce'!$M$6:$M$205,MATCH('Daily Schedule'!$F$30,'Daily Workforce'!$B$6:$B$205,0)),"N")="Y",COUNTIF($HJ$2:$HJ$8,'Daily Schedule'!$F$30)=0,COUNTIF($JO$1:JO1,'Daily Schedule'!$F$30)=0),IF('Daily Schedule'!$D$30="Tier 4",0,IF('Daily Schedule'!$D$30="Tier 3",1,2))*10000000+IFERROR(INDEX('Daily Workforce'!$V$6:$V$205,MATCH('Daily Schedule'!$F$30,'Daily Workforce'!$B$6:$B$205,0)),0)*1000+30,999999999)</f>
        <v>999999999</v>
      </c>
      <c r="KR2" s="1" t="n">
        <f aca="false">IF(AND($JM2&lt;&gt;"",'Daily Schedule'!$F$31&lt;&gt;"",'Daily Schedule'!$H$31="5:45 AM",'Daily Schedule'!$D$31&lt;&gt;"Tier 1",'Daily Schedule'!$N$31&lt;&gt;$JN2,IFERROR(INDEX('Daily Workforce'!$M$6:$M$205,MATCH('Daily Schedule'!$F$31,'Daily Workforce'!$B$6:$B$205,0)),"N")="Y",COUNTIF($HJ$2:$HJ$8,'Daily Schedule'!$F$31)=0,COUNTIF($JO$1:JO1,'Daily Schedule'!$F$31)=0),IF('Daily Schedule'!$D$31="Tier 4",0,IF('Daily Schedule'!$D$31="Tier 3",1,2))*10000000+IFERROR(INDEX('Daily Workforce'!$V$6:$V$205,MATCH('Daily Schedule'!$F$31,'Daily Workforce'!$B$6:$B$205,0)),0)*1000+31,999999999)</f>
        <v>999999999</v>
      </c>
      <c r="KS2" s="1" t="n">
        <f aca="false">IF(AND($JM2&lt;&gt;"",'Daily Schedule'!$F$32&lt;&gt;"",'Daily Schedule'!$H$32="5:45 AM",'Daily Schedule'!$D$32&lt;&gt;"Tier 1",'Daily Schedule'!$N$32&lt;&gt;$JN2,IFERROR(INDEX('Daily Workforce'!$M$6:$M$205,MATCH('Daily Schedule'!$F$32,'Daily Workforce'!$B$6:$B$205,0)),"N")="Y",COUNTIF($HJ$2:$HJ$8,'Daily Schedule'!$F$32)=0,COUNTIF($JO$1:JO1,'Daily Schedule'!$F$32)=0),IF('Daily Schedule'!$D$32="Tier 4",0,IF('Daily Schedule'!$D$32="Tier 3",1,2))*10000000+IFERROR(INDEX('Daily Workforce'!$V$6:$V$205,MATCH('Daily Schedule'!$F$32,'Daily Workforce'!$B$6:$B$205,0)),0)*1000+32,999999999)</f>
        <v>999999999</v>
      </c>
      <c r="KT2" s="1" t="n">
        <f aca="false">IF(AND($JM2&lt;&gt;"",'Daily Schedule'!$F$33&lt;&gt;"",'Daily Schedule'!$H$33="5:45 AM",'Daily Schedule'!$D$33&lt;&gt;"Tier 1",'Daily Schedule'!$N$33&lt;&gt;$JN2,IFERROR(INDEX('Daily Workforce'!$M$6:$M$205,MATCH('Daily Schedule'!$F$33,'Daily Workforce'!$B$6:$B$205,0)),"N")="Y",COUNTIF($HJ$2:$HJ$8,'Daily Schedule'!$F$33)=0,COUNTIF($JO$1:JO1,'Daily Schedule'!$F$33)=0),IF('Daily Schedule'!$D$33="Tier 4",0,IF('Daily Schedule'!$D$33="Tier 3",1,2))*10000000+IFERROR(INDEX('Daily Workforce'!$V$6:$V$205,MATCH('Daily Schedule'!$F$33,'Daily Workforce'!$B$6:$B$205,0)),0)*1000+33,999999999)</f>
        <v>999999999</v>
      </c>
      <c r="KU2" s="1" t="n">
        <f aca="false">IF(AND($JM2&lt;&gt;"",'Daily Schedule'!$F$34&lt;&gt;"",'Daily Schedule'!$H$34="5:45 AM",'Daily Schedule'!$D$34&lt;&gt;"Tier 1",'Daily Schedule'!$N$34&lt;&gt;$JN2,IFERROR(INDEX('Daily Workforce'!$M$6:$M$205,MATCH('Daily Schedule'!$F$34,'Daily Workforce'!$B$6:$B$205,0)),"N")="Y",COUNTIF($HJ$2:$HJ$8,'Daily Schedule'!$F$34)=0,COUNTIF($JO$1:JO1,'Daily Schedule'!$F$34)=0),IF('Daily Schedule'!$D$34="Tier 4",0,IF('Daily Schedule'!$D$34="Tier 3",1,2))*10000000+IFERROR(INDEX('Daily Workforce'!$V$6:$V$205,MATCH('Daily Schedule'!$F$34,'Daily Workforce'!$B$6:$B$205,0)),0)*1000+34,999999999)</f>
        <v>999999999</v>
      </c>
      <c r="KV2" s="1" t="n">
        <f aca="false">IF(AND($JM2&lt;&gt;"",'Daily Schedule'!$F$35&lt;&gt;"",'Daily Schedule'!$H$35="5:45 AM",'Daily Schedule'!$D$35&lt;&gt;"Tier 1",'Daily Schedule'!$N$35&lt;&gt;$JN2,IFERROR(INDEX('Daily Workforce'!$M$6:$M$205,MATCH('Daily Schedule'!$F$35,'Daily Workforce'!$B$6:$B$205,0)),"N")="Y",COUNTIF($HJ$2:$HJ$8,'Daily Schedule'!$F$35)=0,COUNTIF($JO$1:JO1,'Daily Schedule'!$F$35)=0),IF('Daily Schedule'!$D$35="Tier 4",0,IF('Daily Schedule'!$D$35="Tier 3",1,2))*10000000+IFERROR(INDEX('Daily Workforce'!$V$6:$V$205,MATCH('Daily Schedule'!$F$35,'Daily Workforce'!$B$6:$B$205,0)),0)*1000+35,999999999)</f>
        <v>999999999</v>
      </c>
      <c r="KW2" s="1" t="n">
        <f aca="false">IF(AND($JM2&lt;&gt;"",'Daily Schedule'!$F$36&lt;&gt;"",'Daily Schedule'!$H$36="5:45 AM",'Daily Schedule'!$D$36&lt;&gt;"Tier 1",'Daily Schedule'!$N$36&lt;&gt;$JN2,IFERROR(INDEX('Daily Workforce'!$M$6:$M$205,MATCH('Daily Schedule'!$F$36,'Daily Workforce'!$B$6:$B$205,0)),"N")="Y",COUNTIF($HJ$2:$HJ$8,'Daily Schedule'!$F$36)=0,COUNTIF($JO$1:JO1,'Daily Schedule'!$F$36)=0),IF('Daily Schedule'!$D$36="Tier 4",0,IF('Daily Schedule'!$D$36="Tier 3",1,2))*10000000+IFERROR(INDEX('Daily Workforce'!$V$6:$V$205,MATCH('Daily Schedule'!$F$36,'Daily Workforce'!$B$6:$B$205,0)),0)*1000+36,999999999)</f>
        <v>999999999</v>
      </c>
      <c r="KX2" s="1" t="n">
        <f aca="false">IF(AND($JM2&lt;&gt;"",'Daily Schedule'!$F$37&lt;&gt;"",'Daily Schedule'!$H$37="5:45 AM",'Daily Schedule'!$D$37&lt;&gt;"Tier 1",'Daily Schedule'!$N$37&lt;&gt;$JN2,IFERROR(INDEX('Daily Workforce'!$M$6:$M$205,MATCH('Daily Schedule'!$F$37,'Daily Workforce'!$B$6:$B$205,0)),"N")="Y",COUNTIF($HJ$2:$HJ$8,'Daily Schedule'!$F$37)=0,COUNTIF($JO$1:JO1,'Daily Schedule'!$F$37)=0),IF('Daily Schedule'!$D$37="Tier 4",0,IF('Daily Schedule'!$D$37="Tier 3",1,2))*10000000+IFERROR(INDEX('Daily Workforce'!$V$6:$V$205,MATCH('Daily Schedule'!$F$37,'Daily Workforce'!$B$6:$B$205,0)),0)*1000+37,999999999)</f>
        <v>20000037</v>
      </c>
      <c r="KY2" s="1" t="n">
        <f aca="false">IF(AND($JM2&lt;&gt;"",'Daily Schedule'!$F$38&lt;&gt;"",'Daily Schedule'!$H$38="5:45 AM",'Daily Schedule'!$D$38&lt;&gt;"Tier 1",'Daily Schedule'!$N$38&lt;&gt;$JN2,IFERROR(INDEX('Daily Workforce'!$M$6:$M$205,MATCH('Daily Schedule'!$F$38,'Daily Workforce'!$B$6:$B$205,0)),"N")="Y",COUNTIF($HJ$2:$HJ$8,'Daily Schedule'!$F$38)=0,COUNTIF($JO$1:JO1,'Daily Schedule'!$F$38)=0),IF('Daily Schedule'!$D$38="Tier 4",0,IF('Daily Schedule'!$D$38="Tier 3",1,2))*10000000+IFERROR(INDEX('Daily Workforce'!$V$6:$V$205,MATCH('Daily Schedule'!$F$38,'Daily Workforce'!$B$6:$B$205,0)),0)*1000+38,999999999)</f>
        <v>999999999</v>
      </c>
      <c r="KZ2" s="1" t="n">
        <f aca="false">IF(AND($JM2&lt;&gt;"",'Daily Schedule'!$F$39&lt;&gt;"",'Daily Schedule'!$H$39="5:45 AM",'Daily Schedule'!$D$39&lt;&gt;"Tier 1",'Daily Schedule'!$N$39&lt;&gt;$JN2,IFERROR(INDEX('Daily Workforce'!$M$6:$M$205,MATCH('Daily Schedule'!$F$39,'Daily Workforce'!$B$6:$B$205,0)),"N")="Y",COUNTIF($HJ$2:$HJ$8,'Daily Schedule'!$F$39)=0,COUNTIF($JO$1:JO1,'Daily Schedule'!$F$39)=0),IF('Daily Schedule'!$D$39="Tier 4",0,IF('Daily Schedule'!$D$39="Tier 3",1,2))*10000000+IFERROR(INDEX('Daily Workforce'!$V$6:$V$205,MATCH('Daily Schedule'!$F$39,'Daily Workforce'!$B$6:$B$205,0)),0)*1000+39,999999999)</f>
        <v>999999999</v>
      </c>
      <c r="LA2" s="1" t="n">
        <f aca="false">IF(AND($JM2&lt;&gt;"",'Daily Schedule'!$F$40&lt;&gt;"",'Daily Schedule'!$H$40="5:45 AM",'Daily Schedule'!$D$40&lt;&gt;"Tier 1",'Daily Schedule'!$N$40&lt;&gt;$JN2,IFERROR(INDEX('Daily Workforce'!$M$6:$M$205,MATCH('Daily Schedule'!$F$40,'Daily Workforce'!$B$6:$B$205,0)),"N")="Y",COUNTIF($HJ$2:$HJ$8,'Daily Schedule'!$F$40)=0,COUNTIF($JO$1:JO1,'Daily Schedule'!$F$40)=0),IF('Daily Schedule'!$D$40="Tier 4",0,IF('Daily Schedule'!$D$40="Tier 3",1,2))*10000000+IFERROR(INDEX('Daily Workforce'!$V$6:$V$205,MATCH('Daily Schedule'!$F$40,'Daily Workforce'!$B$6:$B$205,0)),0)*1000+40,999999999)</f>
        <v>10000040</v>
      </c>
      <c r="LB2" s="1" t="n">
        <f aca="false">IF(AND($JM2&lt;&gt;"",'Daily Schedule'!$F$41&lt;&gt;"",'Daily Schedule'!$H$41="5:45 AM",'Daily Schedule'!$D$41&lt;&gt;"Tier 1",'Daily Schedule'!$N$41&lt;&gt;$JN2,IFERROR(INDEX('Daily Workforce'!$M$6:$M$205,MATCH('Daily Schedule'!$F$41,'Daily Workforce'!$B$6:$B$205,0)),"N")="Y",COUNTIF($HJ$2:$HJ$8,'Daily Schedule'!$F$41)=0,COUNTIF($JO$1:JO1,'Daily Schedule'!$F$41)=0),IF('Daily Schedule'!$D$41="Tier 4",0,IF('Daily Schedule'!$D$41="Tier 3",1,2))*10000000+IFERROR(INDEX('Daily Workforce'!$V$6:$V$205,MATCH('Daily Schedule'!$F$41,'Daily Workforce'!$B$6:$B$205,0)),0)*1000+41,999999999)</f>
        <v>999999999</v>
      </c>
      <c r="LC2" s="1" t="n">
        <f aca="false">IF(AND($JM2&lt;&gt;"",'Daily Schedule'!$F$42&lt;&gt;"",'Daily Schedule'!$H$42="5:45 AM",'Daily Schedule'!$D$42&lt;&gt;"Tier 1",'Daily Schedule'!$N$42&lt;&gt;$JN2,IFERROR(INDEX('Daily Workforce'!$M$6:$M$205,MATCH('Daily Schedule'!$F$42,'Daily Workforce'!$B$6:$B$205,0)),"N")="Y",COUNTIF($HJ$2:$HJ$8,'Daily Schedule'!$F$42)=0,COUNTIF($JO$1:JO1,'Daily Schedule'!$F$42)=0),IF('Daily Schedule'!$D$42="Tier 4",0,IF('Daily Schedule'!$D$42="Tier 3",1,2))*10000000+IFERROR(INDEX('Daily Workforce'!$V$6:$V$205,MATCH('Daily Schedule'!$F$42,'Daily Workforce'!$B$6:$B$205,0)),0)*1000+42,999999999)</f>
        <v>999999999</v>
      </c>
      <c r="LD2" s="1" t="n">
        <f aca="false">IF(AND($JM2&lt;&gt;"",'Daily Schedule'!$F$43&lt;&gt;"",'Daily Schedule'!$H$43="5:45 AM",'Daily Schedule'!$D$43&lt;&gt;"Tier 1",'Daily Schedule'!$N$43&lt;&gt;$JN2,IFERROR(INDEX('Daily Workforce'!$M$6:$M$205,MATCH('Daily Schedule'!$F$43,'Daily Workforce'!$B$6:$B$205,0)),"N")="Y",COUNTIF($HJ$2:$HJ$8,'Daily Schedule'!$F$43)=0,COUNTIF($JO$1:JO1,'Daily Schedule'!$F$43)=0),IF('Daily Schedule'!$D$43="Tier 4",0,IF('Daily Schedule'!$D$43="Tier 3",1,2))*10000000+IFERROR(INDEX('Daily Workforce'!$V$6:$V$205,MATCH('Daily Schedule'!$F$43,'Daily Workforce'!$B$6:$B$205,0)),0)*1000+43,999999999)</f>
        <v>43</v>
      </c>
      <c r="LE2" s="1" t="n">
        <f aca="false">IF(AND($JM2&lt;&gt;"",'Daily Schedule'!$F$44&lt;&gt;"",'Daily Schedule'!$H$44="5:45 AM",'Daily Schedule'!$D$44&lt;&gt;"Tier 1",'Daily Schedule'!$N$44&lt;&gt;$JN2,IFERROR(INDEX('Daily Workforce'!$M$6:$M$205,MATCH('Daily Schedule'!$F$44,'Daily Workforce'!$B$6:$B$205,0)),"N")="Y",COUNTIF($HJ$2:$HJ$8,'Daily Schedule'!$F$44)=0,COUNTIF($JO$1:JO1,'Daily Schedule'!$F$44)=0),IF('Daily Schedule'!$D$44="Tier 4",0,IF('Daily Schedule'!$D$44="Tier 3",1,2))*10000000+IFERROR(INDEX('Daily Workforce'!$V$6:$V$205,MATCH('Daily Schedule'!$F$44,'Daily Workforce'!$B$6:$B$205,0)),0)*1000+44,999999999)</f>
        <v>999999999</v>
      </c>
      <c r="LF2" s="1" t="n">
        <f aca="false">IF(AND($JM2&lt;&gt;"",'Daily Schedule'!$F$45&lt;&gt;"",'Daily Schedule'!$H$45="5:45 AM",'Daily Schedule'!$D$45&lt;&gt;"Tier 1",'Daily Schedule'!$N$45&lt;&gt;$JN2,IFERROR(INDEX('Daily Workforce'!$M$6:$M$205,MATCH('Daily Schedule'!$F$45,'Daily Workforce'!$B$6:$B$205,0)),"N")="Y",COUNTIF($HJ$2:$HJ$8,'Daily Schedule'!$F$45)=0,COUNTIF($JO$1:JO1,'Daily Schedule'!$F$45)=0),IF('Daily Schedule'!$D$45="Tier 4",0,IF('Daily Schedule'!$D$45="Tier 3",1,2))*10000000+IFERROR(INDEX('Daily Workforce'!$V$6:$V$205,MATCH('Daily Schedule'!$F$45,'Daily Workforce'!$B$6:$B$205,0)),0)*1000+45,999999999)</f>
        <v>999999999</v>
      </c>
      <c r="LG2" s="1" t="n">
        <f aca="false">IF(AND($JM2&lt;&gt;"",'Daily Schedule'!$F$46&lt;&gt;"",'Daily Schedule'!$H$46="5:45 AM",'Daily Schedule'!$D$46&lt;&gt;"Tier 1",'Daily Schedule'!$N$46&lt;&gt;$JN2,IFERROR(INDEX('Daily Workforce'!$M$6:$M$205,MATCH('Daily Schedule'!$F$46,'Daily Workforce'!$B$6:$B$205,0)),"N")="Y",COUNTIF($HJ$2:$HJ$8,'Daily Schedule'!$F$46)=0,COUNTIF($JO$1:JO1,'Daily Schedule'!$F$46)=0),IF('Daily Schedule'!$D$46="Tier 4",0,IF('Daily Schedule'!$D$46="Tier 3",1,2))*10000000+IFERROR(INDEX('Daily Workforce'!$V$6:$V$205,MATCH('Daily Schedule'!$F$46,'Daily Workforce'!$B$6:$B$205,0)),0)*1000+46,999999999)</f>
        <v>46</v>
      </c>
      <c r="LH2" s="1" t="n">
        <f aca="false">IF(AND($JM2&lt;&gt;"",'Daily Schedule'!$F$47&lt;&gt;"",'Daily Schedule'!$H$47="5:45 AM",'Daily Schedule'!$D$47&lt;&gt;"Tier 1",'Daily Schedule'!$N$47&lt;&gt;$JN2,IFERROR(INDEX('Daily Workforce'!$M$6:$M$205,MATCH('Daily Schedule'!$F$47,'Daily Workforce'!$B$6:$B$205,0)),"N")="Y",COUNTIF($HJ$2:$HJ$8,'Daily Schedule'!$F$47)=0,COUNTIF($JO$1:JO1,'Daily Schedule'!$F$47)=0),IF('Daily Schedule'!$D$47="Tier 4",0,IF('Daily Schedule'!$D$47="Tier 3",1,2))*10000000+IFERROR(INDEX('Daily Workforce'!$V$6:$V$205,MATCH('Daily Schedule'!$F$47,'Daily Workforce'!$B$6:$B$205,0)),0)*1000+47,999999999)</f>
        <v>999999999</v>
      </c>
      <c r="LI2" s="1" t="n">
        <f aca="false">IF(AND($JM2&lt;&gt;"",'Daily Schedule'!$F$48&lt;&gt;"",'Daily Schedule'!$H$48="5:45 AM",'Daily Schedule'!$D$48&lt;&gt;"Tier 1",'Daily Schedule'!$N$48&lt;&gt;$JN2,IFERROR(INDEX('Daily Workforce'!$M$6:$M$205,MATCH('Daily Schedule'!$F$48,'Daily Workforce'!$B$6:$B$205,0)),"N")="Y",COUNTIF($HJ$2:$HJ$8,'Daily Schedule'!$F$48)=0,COUNTIF($JO$1:JO1,'Daily Schedule'!$F$48)=0),IF('Daily Schedule'!$D$48="Tier 4",0,IF('Daily Schedule'!$D$48="Tier 3",1,2))*10000000+IFERROR(INDEX('Daily Workforce'!$V$6:$V$205,MATCH('Daily Schedule'!$F$48,'Daily Workforce'!$B$6:$B$205,0)),0)*1000+48,999999999)</f>
        <v>999999999</v>
      </c>
      <c r="LJ2" s="1" t="n">
        <f aca="false">IF(AND($JM2&lt;&gt;"",'Daily Schedule'!$F$49&lt;&gt;"",'Daily Schedule'!$H$49="5:45 AM",'Daily Schedule'!$D$49&lt;&gt;"Tier 1",'Daily Schedule'!$N$49&lt;&gt;$JN2,IFERROR(INDEX('Daily Workforce'!$M$6:$M$205,MATCH('Daily Schedule'!$F$49,'Daily Workforce'!$B$6:$B$205,0)),"N")="Y",COUNTIF($HJ$2:$HJ$8,'Daily Schedule'!$F$49)=0,COUNTIF($JO$1:JO1,'Daily Schedule'!$F$49)=0),IF('Daily Schedule'!$D$49="Tier 4",0,IF('Daily Schedule'!$D$49="Tier 3",1,2))*10000000+IFERROR(INDEX('Daily Workforce'!$V$6:$V$205,MATCH('Daily Schedule'!$F$49,'Daily Workforce'!$B$6:$B$205,0)),0)*1000+49,999999999)</f>
        <v>49</v>
      </c>
      <c r="LK2" s="1" t="n">
        <f aca="false">IF(AND($JM2&lt;&gt;"",'Daily Schedule'!$F$50&lt;&gt;"",'Daily Schedule'!$H$50="5:45 AM",'Daily Schedule'!$D$50&lt;&gt;"Tier 1",'Daily Schedule'!$N$50&lt;&gt;$JN2,IFERROR(INDEX('Daily Workforce'!$M$6:$M$205,MATCH('Daily Schedule'!$F$50,'Daily Workforce'!$B$6:$B$205,0)),"N")="Y",COUNTIF($HJ$2:$HJ$8,'Daily Schedule'!$F$50)=0,COUNTIF($JO$1:JO1,'Daily Schedule'!$F$50)=0),IF('Daily Schedule'!$D$50="Tier 4",0,IF('Daily Schedule'!$D$50="Tier 3",1,2))*10000000+IFERROR(INDEX('Daily Workforce'!$V$6:$V$205,MATCH('Daily Schedule'!$F$50,'Daily Workforce'!$B$6:$B$205,0)),0)*1000+50,999999999)</f>
        <v>999999999</v>
      </c>
      <c r="LL2" s="1" t="n">
        <f aca="false">IF(AND($JM2&lt;&gt;"",'Daily Schedule'!$F$51&lt;&gt;"",'Daily Schedule'!$H$51="5:45 AM",'Daily Schedule'!$D$51&lt;&gt;"Tier 1",'Daily Schedule'!$N$51&lt;&gt;$JN2,IFERROR(INDEX('Daily Workforce'!$M$6:$M$205,MATCH('Daily Schedule'!$F$51,'Daily Workforce'!$B$6:$B$205,0)),"N")="Y",COUNTIF($HJ$2:$HJ$8,'Daily Schedule'!$F$51)=0,COUNTIF($JO$1:JO1,'Daily Schedule'!$F$51)=0),IF('Daily Schedule'!$D$51="Tier 4",0,IF('Daily Schedule'!$D$51="Tier 3",1,2))*10000000+IFERROR(INDEX('Daily Workforce'!$V$6:$V$205,MATCH('Daily Schedule'!$F$51,'Daily Workforce'!$B$6:$B$205,0)),0)*1000+51,999999999)</f>
        <v>999999999</v>
      </c>
      <c r="LM2" s="1" t="n">
        <f aca="false">IF(AND($JM2&lt;&gt;"",'Daily Schedule'!$F$52&lt;&gt;"",'Daily Schedule'!$H$52="5:45 AM",'Daily Schedule'!$D$52&lt;&gt;"Tier 1",'Daily Schedule'!$N$52&lt;&gt;$JN2,IFERROR(INDEX('Daily Workforce'!$M$6:$M$205,MATCH('Daily Schedule'!$F$52,'Daily Workforce'!$B$6:$B$205,0)),"N")="Y",COUNTIF($HJ$2:$HJ$8,'Daily Schedule'!$F$52)=0,COUNTIF($JO$1:JO1,'Daily Schedule'!$F$52)=0),IF('Daily Schedule'!$D$52="Tier 4",0,IF('Daily Schedule'!$D$52="Tier 3",1,2))*10000000+IFERROR(INDEX('Daily Workforce'!$V$6:$V$205,MATCH('Daily Schedule'!$F$52,'Daily Workforce'!$B$6:$B$205,0)),0)*1000+52,999999999)</f>
        <v>52</v>
      </c>
      <c r="LN2" s="1" t="n">
        <f aca="false">IF(AND($JM2&lt;&gt;"",'Daily Schedule'!$F$53&lt;&gt;"",'Daily Schedule'!$H$53="5:45 AM",'Daily Schedule'!$D$53&lt;&gt;"Tier 1",'Daily Schedule'!$N$53&lt;&gt;$JN2,IFERROR(INDEX('Daily Workforce'!$M$6:$M$205,MATCH('Daily Schedule'!$F$53,'Daily Workforce'!$B$6:$B$205,0)),"N")="Y",COUNTIF($HJ$2:$HJ$8,'Daily Schedule'!$F$53)=0,COUNTIF($JO$1:JO1,'Daily Schedule'!$F$53)=0),IF('Daily Schedule'!$D$53="Tier 4",0,IF('Daily Schedule'!$D$53="Tier 3",1,2))*10000000+IFERROR(INDEX('Daily Workforce'!$V$6:$V$205,MATCH('Daily Schedule'!$F$53,'Daily Workforce'!$B$6:$B$205,0)),0)*1000+53,999999999)</f>
        <v>999999999</v>
      </c>
      <c r="LO2" s="1" t="n">
        <f aca="false">IF(AND($JM2&lt;&gt;"",'Daily Schedule'!$F$54&lt;&gt;"",'Daily Schedule'!$H$54="5:45 AM",'Daily Schedule'!$D$54&lt;&gt;"Tier 1",'Daily Schedule'!$N$54&lt;&gt;$JN2,IFERROR(INDEX('Daily Workforce'!$M$6:$M$205,MATCH('Daily Schedule'!$F$54,'Daily Workforce'!$B$6:$B$205,0)),"N")="Y",COUNTIF($HJ$2:$HJ$8,'Daily Schedule'!$F$54)=0,COUNTIF($JO$1:JO1,'Daily Schedule'!$F$54)=0),IF('Daily Schedule'!$D$54="Tier 4",0,IF('Daily Schedule'!$D$54="Tier 3",1,2))*10000000+IFERROR(INDEX('Daily Workforce'!$V$6:$V$205,MATCH('Daily Schedule'!$F$54,'Daily Workforce'!$B$6:$B$205,0)),0)*1000+54,999999999)</f>
        <v>999999999</v>
      </c>
      <c r="LP2" s="1" t="n">
        <f aca="false">IF(AND($JM2&lt;&gt;"",'Daily Schedule'!$F$55&lt;&gt;"",'Daily Schedule'!$H$55="5:45 AM",'Daily Schedule'!$D$55&lt;&gt;"Tier 1",'Daily Schedule'!$N$55&lt;&gt;$JN2,IFERROR(INDEX('Daily Workforce'!$M$6:$M$205,MATCH('Daily Schedule'!$F$55,'Daily Workforce'!$B$6:$B$205,0)),"N")="Y",COUNTIF($HJ$2:$HJ$8,'Daily Schedule'!$F$55)=0,COUNTIF($JO$1:JO1,'Daily Schedule'!$F$55)=0),IF('Daily Schedule'!$D$55="Tier 4",0,IF('Daily Schedule'!$D$55="Tier 3",1,2))*10000000+IFERROR(INDEX('Daily Workforce'!$V$6:$V$205,MATCH('Daily Schedule'!$F$55,'Daily Workforce'!$B$6:$B$205,0)),0)*1000+55,999999999)</f>
        <v>55</v>
      </c>
      <c r="LQ2" s="1" t="n">
        <f aca="false">IF(AND($JM2&lt;&gt;"",'Daily Schedule'!$F$56&lt;&gt;"",'Daily Schedule'!$H$56="5:45 AM",'Daily Schedule'!$D$56&lt;&gt;"Tier 1",'Daily Schedule'!$N$56&lt;&gt;$JN2,IFERROR(INDEX('Daily Workforce'!$M$6:$M$205,MATCH('Daily Schedule'!$F$56,'Daily Workforce'!$B$6:$B$205,0)),"N")="Y",COUNTIF($HJ$2:$HJ$8,'Daily Schedule'!$F$56)=0,COUNTIF($JO$1:JO1,'Daily Schedule'!$F$56)=0),IF('Daily Schedule'!$D$56="Tier 4",0,IF('Daily Schedule'!$D$56="Tier 3",1,2))*10000000+IFERROR(INDEX('Daily Workforce'!$V$6:$V$205,MATCH('Daily Schedule'!$F$56,'Daily Workforce'!$B$6:$B$205,0)),0)*1000+56,999999999)</f>
        <v>999999999</v>
      </c>
      <c r="LR2" s="1" t="n">
        <f aca="false">IF(AND($JM2&lt;&gt;"",'Daily Schedule'!$F$57&lt;&gt;"",'Daily Schedule'!$H$57="5:45 AM",'Daily Schedule'!$D$57&lt;&gt;"Tier 1",'Daily Schedule'!$N$57&lt;&gt;$JN2,IFERROR(INDEX('Daily Workforce'!$M$6:$M$205,MATCH('Daily Schedule'!$F$57,'Daily Workforce'!$B$6:$B$205,0)),"N")="Y",COUNTIF($HJ$2:$HJ$8,'Daily Schedule'!$F$57)=0,COUNTIF($JO$1:JO1,'Daily Schedule'!$F$57)=0),IF('Daily Schedule'!$D$57="Tier 4",0,IF('Daily Schedule'!$D$57="Tier 3",1,2))*10000000+IFERROR(INDEX('Daily Workforce'!$V$6:$V$205,MATCH('Daily Schedule'!$F$57,'Daily Workforce'!$B$6:$B$205,0)),0)*1000+57,999999999)</f>
        <v>999999999</v>
      </c>
      <c r="LS2" s="1" t="s">
        <v>78</v>
      </c>
    </row>
    <row r="3" customFormat="false" ht="15" hidden="false" customHeight="true" outlineLevel="0" collapsed="false">
      <c r="A3" s="1" t="s">
        <v>81</v>
      </c>
      <c r="B3" s="1" t="s">
        <v>76</v>
      </c>
      <c r="C3" s="1" t="s">
        <v>779</v>
      </c>
      <c r="D3" s="1" t="s">
        <v>76</v>
      </c>
      <c r="E3" s="1" t="s">
        <v>468</v>
      </c>
      <c r="F3" s="1" t="s">
        <v>76</v>
      </c>
      <c r="G3" s="1" t="s">
        <v>76</v>
      </c>
      <c r="H3" s="1" t="s">
        <v>780</v>
      </c>
      <c r="I3" s="1" t="s">
        <v>781</v>
      </c>
      <c r="J3" s="1" t="s">
        <v>782</v>
      </c>
      <c r="K3" s="1" t="s">
        <v>414</v>
      </c>
      <c r="L3" s="1" t="s">
        <v>782</v>
      </c>
      <c r="M3" s="1" t="s">
        <v>111</v>
      </c>
      <c r="N3" s="1" t="n">
        <v>2</v>
      </c>
      <c r="O3" s="1" t="str">
        <f aca="false">IF(AND('Employee Master'!$G3="Y",ISERROR(SEARCH(TEXT('Daily Workforce'!$B$2,"ddd"),'Employee Master'!$D3)),IF('Daily Workforce'!$E$2="",TRUE(),'Employee Master'!$I3='Daily Workforce'!$E$2)),'Employee Master'!$K3*1000+ROW()-1,"")</f>
        <v/>
      </c>
      <c r="P3" s="1" t="str">
        <f aca="false">IF($O3="","",COUNTIF($O$2:$O$159,"&lt;="&amp;$O3))</f>
        <v/>
      </c>
      <c r="Q3" s="1" t="n">
        <f aca="false">IF(AND('Daily Workforce'!$N6="Y",'Daily Workforce'!$B6&lt;&gt;"",COUNTIF('Daily Schedule'!$F$5:$F6,'Daily Workforce'!$B6)=0,'Daily Workforce'!$M6="Y",IF(OR('Daily Schedule'!$E$2="Full Day",'Daily Schedule'!$E$2="AM"),'Daily Workforce'!$D6="3:45 AM",IF('Daily Schedule'!$E$2="PM",'Daily Workforce'!$E6="PM",'Daily Workforce'!$E6="Overnight"))),'Daily Workforce'!$V6*1000+6,999999999)</f>
        <v>999999999</v>
      </c>
      <c r="R3" s="1" t="n">
        <f aca="false">IF(AND('Daily Workforce'!$N7="Y",'Daily Workforce'!$B7&lt;&gt;"",COUNTIF('Daily Schedule'!$F$5:$F6,'Daily Workforce'!$B7)=0,'Daily Workforce'!$M7="Y",IF(OR('Daily Schedule'!$E$2="Full Day",'Daily Schedule'!$E$2="AM"),'Daily Workforce'!$D7="3:45 AM",IF('Daily Schedule'!$E$2="PM",'Daily Workforce'!$E7="PM",'Daily Workforce'!$E7="Overnight"))),'Daily Workforce'!$V7*1000+7,999999999)</f>
        <v>7</v>
      </c>
      <c r="S3" s="1" t="n">
        <f aca="false">IF(AND('Daily Workforce'!$N8="Y",'Daily Workforce'!$B8&lt;&gt;"",COUNTIF('Daily Schedule'!$F$5:$F6,'Daily Workforce'!$B8)=0,'Daily Workforce'!$M8="Y",IF(OR('Daily Schedule'!$E$2="Full Day",'Daily Schedule'!$E$2="AM"),'Daily Workforce'!$D8="3:45 AM",IF('Daily Schedule'!$E$2="PM",'Daily Workforce'!$E8="PM",'Daily Workforce'!$E8="Overnight"))),'Daily Workforce'!$V8*1000+8,999999999)</f>
        <v>8</v>
      </c>
      <c r="T3" s="1" t="n">
        <f aca="false">IF(AND('Daily Workforce'!$N9="Y",'Daily Workforce'!$B9&lt;&gt;"",COUNTIF('Daily Schedule'!$F$5:$F6,'Daily Workforce'!$B9)=0,'Daily Workforce'!$M9="Y",IF(OR('Daily Schedule'!$E$2="Full Day",'Daily Schedule'!$E$2="AM"),'Daily Workforce'!$D9="3:45 AM",IF('Daily Schedule'!$E$2="PM",'Daily Workforce'!$E9="PM",'Daily Workforce'!$E9="Overnight"))),'Daily Workforce'!$V9*1000+9,999999999)</f>
        <v>9</v>
      </c>
      <c r="U3" s="1" t="n">
        <f aca="false">IF(AND('Daily Workforce'!$N10="Y",'Daily Workforce'!$B10&lt;&gt;"",COUNTIF('Daily Schedule'!$F$5:$F6,'Daily Workforce'!$B10)=0,'Daily Workforce'!$M10="Y",IF(OR('Daily Schedule'!$E$2="Full Day",'Daily Schedule'!$E$2="AM"),'Daily Workforce'!$D10="3:45 AM",IF('Daily Schedule'!$E$2="PM",'Daily Workforce'!$E10="PM",'Daily Workforce'!$E10="Overnight"))),'Daily Workforce'!$V10*1000+10,999999999)</f>
        <v>10</v>
      </c>
      <c r="V3" s="1" t="n">
        <f aca="false">IF(AND('Daily Workforce'!$N11="Y",'Daily Workforce'!$B11&lt;&gt;"",COUNTIF('Daily Schedule'!$F$5:$F6,'Daily Workforce'!$B11)=0,'Daily Workforce'!$M11="Y",IF(OR('Daily Schedule'!$E$2="Full Day",'Daily Schedule'!$E$2="AM"),'Daily Workforce'!$D11="3:45 AM",IF('Daily Schedule'!$E$2="PM",'Daily Workforce'!$E11="PM",'Daily Workforce'!$E11="Overnight"))),'Daily Workforce'!$V11*1000+11,999999999)</f>
        <v>11</v>
      </c>
      <c r="W3" s="1" t="n">
        <f aca="false">IF(AND('Daily Workforce'!$N12="Y",'Daily Workforce'!$B12&lt;&gt;"",COUNTIF('Daily Schedule'!$F$5:$F6,'Daily Workforce'!$B12)=0,'Daily Workforce'!$M12="Y",IF(OR('Daily Schedule'!$E$2="Full Day",'Daily Schedule'!$E$2="AM"),'Daily Workforce'!$D12="3:45 AM",IF('Daily Schedule'!$E$2="PM",'Daily Workforce'!$E12="PM",'Daily Workforce'!$E12="Overnight"))),'Daily Workforce'!$V12*1000+12,999999999)</f>
        <v>12</v>
      </c>
      <c r="X3" s="1" t="n">
        <f aca="false">IF(AND('Daily Workforce'!$N13="Y",'Daily Workforce'!$B13&lt;&gt;"",COUNTIF('Daily Schedule'!$F$5:$F6,'Daily Workforce'!$B13)=0,'Daily Workforce'!$M13="Y",IF(OR('Daily Schedule'!$E$2="Full Day",'Daily Schedule'!$E$2="AM"),'Daily Workforce'!$D13="3:45 AM",IF('Daily Schedule'!$E$2="PM",'Daily Workforce'!$E13="PM",'Daily Workforce'!$E13="Overnight"))),'Daily Workforce'!$V13*1000+13,999999999)</f>
        <v>13</v>
      </c>
      <c r="Y3" s="1" t="n">
        <f aca="false">IF(AND('Daily Workforce'!$N14="Y",'Daily Workforce'!$B14&lt;&gt;"",COUNTIF('Daily Schedule'!$F$5:$F6,'Daily Workforce'!$B14)=0,'Daily Workforce'!$M14="Y",IF(OR('Daily Schedule'!$E$2="Full Day",'Daily Schedule'!$E$2="AM"),'Daily Workforce'!$D14="3:45 AM",IF('Daily Schedule'!$E$2="PM",'Daily Workforce'!$E14="PM",'Daily Workforce'!$E14="Overnight"))),'Daily Workforce'!$V14*1000+14,999999999)</f>
        <v>14</v>
      </c>
      <c r="Z3" s="1" t="n">
        <f aca="false">IF(AND('Daily Workforce'!$N15="Y",'Daily Workforce'!$B15&lt;&gt;"",COUNTIF('Daily Schedule'!$F$5:$F6,'Daily Workforce'!$B15)=0,'Daily Workforce'!$M15="Y",IF(OR('Daily Schedule'!$E$2="Full Day",'Daily Schedule'!$E$2="AM"),'Daily Workforce'!$D15="3:45 AM",IF('Daily Schedule'!$E$2="PM",'Daily Workforce'!$E15="PM",'Daily Workforce'!$E15="Overnight"))),'Daily Workforce'!$V15*1000+15,999999999)</f>
        <v>999999999</v>
      </c>
      <c r="AA3" s="1" t="n">
        <f aca="false">IF(AND('Daily Workforce'!$N16="Y",'Daily Workforce'!$B16&lt;&gt;"",COUNTIF('Daily Schedule'!$F$5:$F6,'Daily Workforce'!$B16)=0,'Daily Workforce'!$M16="Y",IF(OR('Daily Schedule'!$E$2="Full Day",'Daily Schedule'!$E$2="AM"),'Daily Workforce'!$D16="3:45 AM",IF('Daily Schedule'!$E$2="PM",'Daily Workforce'!$E16="PM",'Daily Workforce'!$E16="Overnight"))),'Daily Workforce'!$V16*1000+16,999999999)</f>
        <v>16</v>
      </c>
      <c r="AB3" s="1" t="n">
        <f aca="false">IF(AND('Daily Workforce'!$N17="Y",'Daily Workforce'!$B17&lt;&gt;"",COUNTIF('Daily Schedule'!$F$5:$F6,'Daily Workforce'!$B17)=0,'Daily Workforce'!$M17="Y",IF(OR('Daily Schedule'!$E$2="Full Day",'Daily Schedule'!$E$2="AM"),'Daily Workforce'!$D17="3:45 AM",IF('Daily Schedule'!$E$2="PM",'Daily Workforce'!$E17="PM",'Daily Workforce'!$E17="Overnight"))),'Daily Workforce'!$V17*1000+17,999999999)</f>
        <v>17</v>
      </c>
      <c r="AC3" s="1" t="n">
        <f aca="false">IF(AND('Daily Workforce'!$N18="Y",'Daily Workforce'!$B18&lt;&gt;"",COUNTIF('Daily Schedule'!$F$5:$F6,'Daily Workforce'!$B18)=0,'Daily Workforce'!$M18="Y",IF(OR('Daily Schedule'!$E$2="Full Day",'Daily Schedule'!$E$2="AM"),'Daily Workforce'!$D18="3:45 AM",IF('Daily Schedule'!$E$2="PM",'Daily Workforce'!$E18="PM",'Daily Workforce'!$E18="Overnight"))),'Daily Workforce'!$V18*1000+18,999999999)</f>
        <v>18</v>
      </c>
      <c r="AD3" s="1" t="n">
        <f aca="false">IF(AND('Daily Workforce'!$N19="Y",'Daily Workforce'!$B19&lt;&gt;"",COUNTIF('Daily Schedule'!$F$5:$F6,'Daily Workforce'!$B19)=0,'Daily Workforce'!$M19="Y",IF(OR('Daily Schedule'!$E$2="Full Day",'Daily Schedule'!$E$2="AM"),'Daily Workforce'!$D19="3:45 AM",IF('Daily Schedule'!$E$2="PM",'Daily Workforce'!$E19="PM",'Daily Workforce'!$E19="Overnight"))),'Daily Workforce'!$V19*1000+19,999999999)</f>
        <v>19</v>
      </c>
      <c r="AE3" s="1" t="n">
        <f aca="false">IF(AND('Daily Workforce'!$N20="Y",'Daily Workforce'!$B20&lt;&gt;"",COUNTIF('Daily Schedule'!$F$5:$F6,'Daily Workforce'!$B20)=0,'Daily Workforce'!$M20="Y",IF(OR('Daily Schedule'!$E$2="Full Day",'Daily Schedule'!$E$2="AM"),'Daily Workforce'!$D20="3:45 AM",IF('Daily Schedule'!$E$2="PM",'Daily Workforce'!$E20="PM",'Daily Workforce'!$E20="Overnight"))),'Daily Workforce'!$V20*1000+20,999999999)</f>
        <v>20</v>
      </c>
      <c r="AF3" s="1" t="n">
        <f aca="false">IF(AND('Daily Workforce'!$N21="Y",'Daily Workforce'!$B21&lt;&gt;"",COUNTIF('Daily Schedule'!$F$5:$F6,'Daily Workforce'!$B21)=0,'Daily Workforce'!$M21="Y",IF(OR('Daily Schedule'!$E$2="Full Day",'Daily Schedule'!$E$2="AM"),'Daily Workforce'!$D21="3:45 AM",IF('Daily Schedule'!$E$2="PM",'Daily Workforce'!$E21="PM",'Daily Workforce'!$E21="Overnight"))),'Daily Workforce'!$V21*1000+21,999999999)</f>
        <v>21</v>
      </c>
      <c r="AG3" s="1" t="n">
        <f aca="false">IF(AND('Daily Workforce'!$N22="Y",'Daily Workforce'!$B22&lt;&gt;"",COUNTIF('Daily Schedule'!$F$5:$F6,'Daily Workforce'!$B22)=0,'Daily Workforce'!$M22="Y",IF(OR('Daily Schedule'!$E$2="Full Day",'Daily Schedule'!$E$2="AM"),'Daily Workforce'!$D22="3:45 AM",IF('Daily Schedule'!$E$2="PM",'Daily Workforce'!$E22="PM",'Daily Workforce'!$E22="Overnight"))),'Daily Workforce'!$V22*1000+22,999999999)</f>
        <v>22</v>
      </c>
      <c r="AH3" s="1" t="n">
        <f aca="false">IF(AND('Daily Workforce'!$N23="Y",'Daily Workforce'!$B23&lt;&gt;"",COUNTIF('Daily Schedule'!$F$5:$F6,'Daily Workforce'!$B23)=0,'Daily Workforce'!$M23="Y",IF(OR('Daily Schedule'!$E$2="Full Day",'Daily Schedule'!$E$2="AM"),'Daily Workforce'!$D23="3:45 AM",IF('Daily Schedule'!$E$2="PM",'Daily Workforce'!$E23="PM",'Daily Workforce'!$E23="Overnight"))),'Daily Workforce'!$V23*1000+23,999999999)</f>
        <v>23</v>
      </c>
      <c r="AI3" s="1" t="n">
        <f aca="false">IF(AND('Daily Workforce'!$N24="Y",'Daily Workforce'!$B24&lt;&gt;"",COUNTIF('Daily Schedule'!$F$5:$F6,'Daily Workforce'!$B24)=0,'Daily Workforce'!$M24="Y",IF(OR('Daily Schedule'!$E$2="Full Day",'Daily Schedule'!$E$2="AM"),'Daily Workforce'!$D24="3:45 AM",IF('Daily Schedule'!$E$2="PM",'Daily Workforce'!$E24="PM",'Daily Workforce'!$E24="Overnight"))),'Daily Workforce'!$V24*1000+24,999999999)</f>
        <v>24</v>
      </c>
      <c r="AJ3" s="1" t="n">
        <f aca="false">IF(AND('Daily Workforce'!$N25="Y",'Daily Workforce'!$B25&lt;&gt;"",COUNTIF('Daily Schedule'!$F$5:$F6,'Daily Workforce'!$B25)=0,'Daily Workforce'!$M25="Y",IF(OR('Daily Schedule'!$E$2="Full Day",'Daily Schedule'!$E$2="AM"),'Daily Workforce'!$D25="3:45 AM",IF('Daily Schedule'!$E$2="PM",'Daily Workforce'!$E25="PM",'Daily Workforce'!$E25="Overnight"))),'Daily Workforce'!$V25*1000+25,999999999)</f>
        <v>25</v>
      </c>
      <c r="AK3" s="1" t="n">
        <f aca="false">IF(AND('Daily Workforce'!$N26="Y",'Daily Workforce'!$B26&lt;&gt;"",COUNTIF('Daily Schedule'!$F$5:$F6,'Daily Workforce'!$B26)=0,'Daily Workforce'!$M26="Y",IF(OR('Daily Schedule'!$E$2="Full Day",'Daily Schedule'!$E$2="AM"),'Daily Workforce'!$D26="3:45 AM",IF('Daily Schedule'!$E$2="PM",'Daily Workforce'!$E26="PM",'Daily Workforce'!$E26="Overnight"))),'Daily Workforce'!$V26*1000+26,999999999)</f>
        <v>26</v>
      </c>
      <c r="AL3" s="1" t="n">
        <f aca="false">IF(AND('Daily Workforce'!$N27="Y",'Daily Workforce'!$B27&lt;&gt;"",COUNTIF('Daily Schedule'!$F$5:$F6,'Daily Workforce'!$B27)=0,'Daily Workforce'!$M27="Y",IF(OR('Daily Schedule'!$E$2="Full Day",'Daily Schedule'!$E$2="AM"),'Daily Workforce'!$D27="3:45 AM",IF('Daily Schedule'!$E$2="PM",'Daily Workforce'!$E27="PM",'Daily Workforce'!$E27="Overnight"))),'Daily Workforce'!$V27*1000+27,999999999)</f>
        <v>999999999</v>
      </c>
      <c r="AM3" s="1" t="n">
        <f aca="false">IF(AND('Daily Workforce'!$N28="Y",'Daily Workforce'!$B28&lt;&gt;"",COUNTIF('Daily Schedule'!$F$5:$F6,'Daily Workforce'!$B28)=0,'Daily Workforce'!$M28="Y",IF(OR('Daily Schedule'!$E$2="Full Day",'Daily Schedule'!$E$2="AM"),'Daily Workforce'!$D28="3:45 AM",IF('Daily Schedule'!$E$2="PM",'Daily Workforce'!$E28="PM",'Daily Workforce'!$E28="Overnight"))),'Daily Workforce'!$V28*1000+28,999999999)</f>
        <v>999999999</v>
      </c>
      <c r="AN3" s="1" t="n">
        <f aca="false">IF(AND('Daily Workforce'!$N29="Y",'Daily Workforce'!$B29&lt;&gt;"",COUNTIF('Daily Schedule'!$F$5:$F6,'Daily Workforce'!$B29)=0,'Daily Workforce'!$M29="Y",IF(OR('Daily Schedule'!$E$2="Full Day",'Daily Schedule'!$E$2="AM"),'Daily Workforce'!$D29="3:45 AM",IF('Daily Schedule'!$E$2="PM",'Daily Workforce'!$E29="PM",'Daily Workforce'!$E29="Overnight"))),'Daily Workforce'!$V29*1000+29,999999999)</f>
        <v>999999999</v>
      </c>
      <c r="AO3" s="1" t="n">
        <f aca="false">IF(AND('Daily Workforce'!$N30="Y",'Daily Workforce'!$B30&lt;&gt;"",COUNTIF('Daily Schedule'!$F$5:$F6,'Daily Workforce'!$B30)=0,'Daily Workforce'!$M30="Y",IF(OR('Daily Schedule'!$E$2="Full Day",'Daily Schedule'!$E$2="AM"),'Daily Workforce'!$D30="3:45 AM",IF('Daily Schedule'!$E$2="PM",'Daily Workforce'!$E30="PM",'Daily Workforce'!$E30="Overnight"))),'Daily Workforce'!$V30*1000+30,999999999)</f>
        <v>999999999</v>
      </c>
      <c r="AP3" s="1" t="n">
        <f aca="false">IF(AND('Daily Workforce'!$N31="Y",'Daily Workforce'!$B31&lt;&gt;"",COUNTIF('Daily Schedule'!$F$5:$F6,'Daily Workforce'!$B31)=0,'Daily Workforce'!$M31="Y",IF(OR('Daily Schedule'!$E$2="Full Day",'Daily Schedule'!$E$2="AM"),'Daily Workforce'!$D31="3:45 AM",IF('Daily Schedule'!$E$2="PM",'Daily Workforce'!$E31="PM",'Daily Workforce'!$E31="Overnight"))),'Daily Workforce'!$V31*1000+31,999999999)</f>
        <v>999999999</v>
      </c>
      <c r="AQ3" s="1" t="n">
        <f aca="false">IF(AND('Daily Workforce'!$N32="Y",'Daily Workforce'!$B32&lt;&gt;"",COUNTIF('Daily Schedule'!$F$5:$F6,'Daily Workforce'!$B32)=0,'Daily Workforce'!$M32="Y",IF(OR('Daily Schedule'!$E$2="Full Day",'Daily Schedule'!$E$2="AM"),'Daily Workforce'!$D32="3:45 AM",IF('Daily Schedule'!$E$2="PM",'Daily Workforce'!$E32="PM",'Daily Workforce'!$E32="Overnight"))),'Daily Workforce'!$V32*1000+32,999999999)</f>
        <v>999999999</v>
      </c>
      <c r="AR3" s="1" t="n">
        <f aca="false">IF(AND('Daily Workforce'!$N33="Y",'Daily Workforce'!$B33&lt;&gt;"",COUNTIF('Daily Schedule'!$F$5:$F6,'Daily Workforce'!$B33)=0,'Daily Workforce'!$M33="Y",IF(OR('Daily Schedule'!$E$2="Full Day",'Daily Schedule'!$E$2="AM"),'Daily Workforce'!$D33="3:45 AM",IF('Daily Schedule'!$E$2="PM",'Daily Workforce'!$E33="PM",'Daily Workforce'!$E33="Overnight"))),'Daily Workforce'!$V33*1000+33,999999999)</f>
        <v>999999999</v>
      </c>
      <c r="AS3" s="1" t="n">
        <f aca="false">IF(AND('Daily Workforce'!$N34="Y",'Daily Workforce'!$B34&lt;&gt;"",COUNTIF('Daily Schedule'!$F$5:$F6,'Daily Workforce'!$B34)=0,'Daily Workforce'!$M34="Y",IF(OR('Daily Schedule'!$E$2="Full Day",'Daily Schedule'!$E$2="AM"),'Daily Workforce'!$D34="3:45 AM",IF('Daily Schedule'!$E$2="PM",'Daily Workforce'!$E34="PM",'Daily Workforce'!$E34="Overnight"))),'Daily Workforce'!$V34*1000+34,999999999)</f>
        <v>999999999</v>
      </c>
      <c r="AT3" s="1" t="n">
        <f aca="false">IF(AND('Daily Workforce'!$N35="Y",'Daily Workforce'!$B35&lt;&gt;"",COUNTIF('Daily Schedule'!$F$5:$F6,'Daily Workforce'!$B35)=0,'Daily Workforce'!$M35="Y",IF(OR('Daily Schedule'!$E$2="Full Day",'Daily Schedule'!$E$2="AM"),'Daily Workforce'!$D35="3:45 AM",IF('Daily Schedule'!$E$2="PM",'Daily Workforce'!$E35="PM",'Daily Workforce'!$E35="Overnight"))),'Daily Workforce'!$V35*1000+35,999999999)</f>
        <v>999999999</v>
      </c>
      <c r="AU3" s="1" t="n">
        <f aca="false">IF(AND('Daily Workforce'!$N36="Y",'Daily Workforce'!$B36&lt;&gt;"",COUNTIF('Daily Schedule'!$F$5:$F6,'Daily Workforce'!$B36)=0,'Daily Workforce'!$M36="Y",IF(OR('Daily Schedule'!$E$2="Full Day",'Daily Schedule'!$E$2="AM"),'Daily Workforce'!$D36="3:45 AM",IF('Daily Schedule'!$E$2="PM",'Daily Workforce'!$E36="PM",'Daily Workforce'!$E36="Overnight"))),'Daily Workforce'!$V36*1000+36,999999999)</f>
        <v>999999999</v>
      </c>
      <c r="AV3" s="1" t="n">
        <f aca="false">IF(AND('Daily Workforce'!$N37="Y",'Daily Workforce'!$B37&lt;&gt;"",COUNTIF('Daily Schedule'!$F$5:$F6,'Daily Workforce'!$B37)=0,'Daily Workforce'!$M37="Y",IF(OR('Daily Schedule'!$E$2="Full Day",'Daily Schedule'!$E$2="AM"),'Daily Workforce'!$D37="3:45 AM",IF('Daily Schedule'!$E$2="PM",'Daily Workforce'!$E37="PM",'Daily Workforce'!$E37="Overnight"))),'Daily Workforce'!$V37*1000+37,999999999)</f>
        <v>999999999</v>
      </c>
      <c r="AW3" s="1" t="n">
        <f aca="false">IF(AND('Daily Workforce'!$N38="Y",'Daily Workforce'!$B38&lt;&gt;"",COUNTIF('Daily Schedule'!$F$5:$F6,'Daily Workforce'!$B38)=0,'Daily Workforce'!$M38="Y",IF(OR('Daily Schedule'!$E$2="Full Day",'Daily Schedule'!$E$2="AM"),'Daily Workforce'!$D38="3:45 AM",IF('Daily Schedule'!$E$2="PM",'Daily Workforce'!$E38="PM",'Daily Workforce'!$E38="Overnight"))),'Daily Workforce'!$V38*1000+38,999999999)</f>
        <v>999999999</v>
      </c>
      <c r="AX3" s="1" t="n">
        <f aca="false">IF(AND('Daily Workforce'!$N39="Y",'Daily Workforce'!$B39&lt;&gt;"",COUNTIF('Daily Schedule'!$F$5:$F6,'Daily Workforce'!$B39)=0,'Daily Workforce'!$M39="Y",IF(OR('Daily Schedule'!$E$2="Full Day",'Daily Schedule'!$E$2="AM"),'Daily Workforce'!$D39="3:45 AM",IF('Daily Schedule'!$E$2="PM",'Daily Workforce'!$E39="PM",'Daily Workforce'!$E39="Overnight"))),'Daily Workforce'!$V39*1000+39,999999999)</f>
        <v>999999999</v>
      </c>
      <c r="AY3" s="1" t="n">
        <f aca="false">IF(AND('Daily Workforce'!$N40="Y",'Daily Workforce'!$B40&lt;&gt;"",COUNTIF('Daily Schedule'!$F$5:$F6,'Daily Workforce'!$B40)=0,'Daily Workforce'!$M40="Y",IF(OR('Daily Schedule'!$E$2="Full Day",'Daily Schedule'!$E$2="AM"),'Daily Workforce'!$D40="3:45 AM",IF('Daily Schedule'!$E$2="PM",'Daily Workforce'!$E40="PM",'Daily Workforce'!$E40="Overnight"))),'Daily Workforce'!$V40*1000+40,999999999)</f>
        <v>999999999</v>
      </c>
      <c r="AZ3" s="1" t="n">
        <f aca="false">IF(AND('Daily Workforce'!$N41="Y",'Daily Workforce'!$B41&lt;&gt;"",COUNTIF('Daily Schedule'!$F$5:$F6,'Daily Workforce'!$B41)=0,'Daily Workforce'!$M41="Y",IF(OR('Daily Schedule'!$E$2="Full Day",'Daily Schedule'!$E$2="AM"),'Daily Workforce'!$D41="3:45 AM",IF('Daily Schedule'!$E$2="PM",'Daily Workforce'!$E41="PM",'Daily Workforce'!$E41="Overnight"))),'Daily Workforce'!$V41*1000+41,999999999)</f>
        <v>999999999</v>
      </c>
      <c r="BA3" s="1" t="n">
        <f aca="false">IF(AND('Daily Workforce'!$N42="Y",'Daily Workforce'!$B42&lt;&gt;"",COUNTIF('Daily Schedule'!$F$5:$F6,'Daily Workforce'!$B42)=0,'Daily Workforce'!$M42="Y",IF(OR('Daily Schedule'!$E$2="Full Day",'Daily Schedule'!$E$2="AM"),'Daily Workforce'!$D42="3:45 AM",IF('Daily Schedule'!$E$2="PM",'Daily Workforce'!$E42="PM",'Daily Workforce'!$E42="Overnight"))),'Daily Workforce'!$V42*1000+42,999999999)</f>
        <v>999999999</v>
      </c>
      <c r="BB3" s="1" t="n">
        <f aca="false">IF(AND('Daily Workforce'!$N43="Y",'Daily Workforce'!$B43&lt;&gt;"",COUNTIF('Daily Schedule'!$F$5:$F6,'Daily Workforce'!$B43)=0,'Daily Workforce'!$M43="Y",IF(OR('Daily Schedule'!$E$2="Full Day",'Daily Schedule'!$E$2="AM"),'Daily Workforce'!$D43="3:45 AM",IF('Daily Schedule'!$E$2="PM",'Daily Workforce'!$E43="PM",'Daily Workforce'!$E43="Overnight"))),'Daily Workforce'!$V43*1000+43,999999999)</f>
        <v>999999999</v>
      </c>
      <c r="BC3" s="1" t="n">
        <f aca="false">IF(AND('Daily Workforce'!$N44="Y",'Daily Workforce'!$B44&lt;&gt;"",COUNTIF('Daily Schedule'!$F$5:$F6,'Daily Workforce'!$B44)=0,'Daily Workforce'!$M44="Y",IF(OR('Daily Schedule'!$E$2="Full Day",'Daily Schedule'!$E$2="AM"),'Daily Workforce'!$D44="3:45 AM",IF('Daily Schedule'!$E$2="PM",'Daily Workforce'!$E44="PM",'Daily Workforce'!$E44="Overnight"))),'Daily Workforce'!$V44*1000+44,999999999)</f>
        <v>999999999</v>
      </c>
      <c r="BD3" s="1" t="n">
        <f aca="false">IF(AND('Daily Workforce'!$N45="Y",'Daily Workforce'!$B45&lt;&gt;"",COUNTIF('Daily Schedule'!$F$5:$F6,'Daily Workforce'!$B45)=0,'Daily Workforce'!$M45="Y",IF(OR('Daily Schedule'!$E$2="Full Day",'Daily Schedule'!$E$2="AM"),'Daily Workforce'!$D45="3:45 AM",IF('Daily Schedule'!$E$2="PM",'Daily Workforce'!$E45="PM",'Daily Workforce'!$E45="Overnight"))),'Daily Workforce'!$V45*1000+45,999999999)</f>
        <v>999999999</v>
      </c>
      <c r="BE3" s="1" t="n">
        <f aca="false">IF(AND('Daily Workforce'!$N46="Y",'Daily Workforce'!$B46&lt;&gt;"",COUNTIF('Daily Schedule'!$F$5:$F6,'Daily Workforce'!$B46)=0,'Daily Workforce'!$M46="Y",IF(OR('Daily Schedule'!$E$2="Full Day",'Daily Schedule'!$E$2="AM"),'Daily Workforce'!$D46="3:45 AM",IF('Daily Schedule'!$E$2="PM",'Daily Workforce'!$E46="PM",'Daily Workforce'!$E46="Overnight"))),'Daily Workforce'!$V46*1000+46,999999999)</f>
        <v>999999999</v>
      </c>
      <c r="BF3" s="1" t="n">
        <f aca="false">IF(AND('Daily Workforce'!$N47="Y",'Daily Workforce'!$B47&lt;&gt;"",COUNTIF('Daily Schedule'!$F$5:$F6,'Daily Workforce'!$B47)=0,'Daily Workforce'!$M47="Y",IF(OR('Daily Schedule'!$E$2="Full Day",'Daily Schedule'!$E$2="AM"),'Daily Workforce'!$D47="3:45 AM",IF('Daily Schedule'!$E$2="PM",'Daily Workforce'!$E47="PM",'Daily Workforce'!$E47="Overnight"))),'Daily Workforce'!$V47*1000+47,999999999)</f>
        <v>999999999</v>
      </c>
      <c r="BG3" s="1" t="n">
        <f aca="false">IF(AND('Daily Workforce'!$N48="Y",'Daily Workforce'!$B48&lt;&gt;"",COUNTIF('Daily Schedule'!$F$5:$F6,'Daily Workforce'!$B48)=0,'Daily Workforce'!$M48="Y",IF(OR('Daily Schedule'!$E$2="Full Day",'Daily Schedule'!$E$2="AM"),'Daily Workforce'!$D48="3:45 AM",IF('Daily Schedule'!$E$2="PM",'Daily Workforce'!$E48="PM",'Daily Workforce'!$E48="Overnight"))),'Daily Workforce'!$V48*1000+48,999999999)</f>
        <v>999999999</v>
      </c>
      <c r="BH3" s="1" t="n">
        <f aca="false">IF(AND('Daily Workforce'!$N49="Y",'Daily Workforce'!$B49&lt;&gt;"",COUNTIF('Daily Schedule'!$F$5:$F6,'Daily Workforce'!$B49)=0,'Daily Workforce'!$M49="Y",IF(OR('Daily Schedule'!$E$2="Full Day",'Daily Schedule'!$E$2="AM"),'Daily Workforce'!$D49="3:45 AM",IF('Daily Schedule'!$E$2="PM",'Daily Workforce'!$E49="PM",'Daily Workforce'!$E49="Overnight"))),'Daily Workforce'!$V49*1000+49,999999999)</f>
        <v>999999999</v>
      </c>
      <c r="BI3" s="1" t="n">
        <f aca="false">IF(AND('Daily Workforce'!$N50="Y",'Daily Workforce'!$B50&lt;&gt;"",COUNTIF('Daily Schedule'!$F$5:$F6,'Daily Workforce'!$B50)=0,'Daily Workforce'!$M50="Y",IF(OR('Daily Schedule'!$E$2="Full Day",'Daily Schedule'!$E$2="AM"),'Daily Workforce'!$D50="3:45 AM",IF('Daily Schedule'!$E$2="PM",'Daily Workforce'!$E50="PM",'Daily Workforce'!$E50="Overnight"))),'Daily Workforce'!$V50*1000+50,999999999)</f>
        <v>999999999</v>
      </c>
      <c r="BJ3" s="1" t="n">
        <f aca="false">IF(AND('Daily Workforce'!$N51="Y",'Daily Workforce'!$B51&lt;&gt;"",COUNTIF('Daily Schedule'!$F$5:$F6,'Daily Workforce'!$B51)=0,'Daily Workforce'!$M51="Y",IF(OR('Daily Schedule'!$E$2="Full Day",'Daily Schedule'!$E$2="AM"),'Daily Workforce'!$D51="3:45 AM",IF('Daily Schedule'!$E$2="PM",'Daily Workforce'!$E51="PM",'Daily Workforce'!$E51="Overnight"))),'Daily Workforce'!$V51*1000+51,999999999)</f>
        <v>999999999</v>
      </c>
      <c r="BK3" s="1" t="n">
        <f aca="false">IF(AND('Daily Workforce'!$N52="Y",'Daily Workforce'!$B52&lt;&gt;"",COUNTIF('Daily Schedule'!$F$5:$F6,'Daily Workforce'!$B52)=0,'Daily Workforce'!$M52="Y",IF(OR('Daily Schedule'!$E$2="Full Day",'Daily Schedule'!$E$2="AM"),'Daily Workforce'!$D52="3:45 AM",IF('Daily Schedule'!$E$2="PM",'Daily Workforce'!$E52="PM",'Daily Workforce'!$E52="Overnight"))),'Daily Workforce'!$V52*1000+52,999999999)</f>
        <v>999999999</v>
      </c>
      <c r="BL3" s="1" t="n">
        <f aca="false">IF(AND('Daily Workforce'!$N53="Y",'Daily Workforce'!$B53&lt;&gt;"",COUNTIF('Daily Schedule'!$F$5:$F6,'Daily Workforce'!$B53)=0,'Daily Workforce'!$M53="Y",IF(OR('Daily Schedule'!$E$2="Full Day",'Daily Schedule'!$E$2="AM"),'Daily Workforce'!$D53="3:45 AM",IF('Daily Schedule'!$E$2="PM",'Daily Workforce'!$E53="PM",'Daily Workforce'!$E53="Overnight"))),'Daily Workforce'!$V53*1000+53,999999999)</f>
        <v>999999999</v>
      </c>
      <c r="BM3" s="1" t="n">
        <f aca="false">IF(AND('Daily Workforce'!$N54="Y",'Daily Workforce'!$B54&lt;&gt;"",COUNTIF('Daily Schedule'!$F$5:$F6,'Daily Workforce'!$B54)=0,'Daily Workforce'!$M54="Y",IF(OR('Daily Schedule'!$E$2="Full Day",'Daily Schedule'!$E$2="AM"),'Daily Workforce'!$D54="3:45 AM",IF('Daily Schedule'!$E$2="PM",'Daily Workforce'!$E54="PM",'Daily Workforce'!$E54="Overnight"))),'Daily Workforce'!$V54*1000+54,999999999)</f>
        <v>999999999</v>
      </c>
      <c r="BN3" s="1" t="n">
        <f aca="false">IF(AND('Daily Workforce'!$N55="Y",'Daily Workforce'!$B55&lt;&gt;"",COUNTIF('Daily Schedule'!$F$5:$F6,'Daily Workforce'!$B55)=0,'Daily Workforce'!$M55="Y",IF(OR('Daily Schedule'!$E$2="Full Day",'Daily Schedule'!$E$2="AM"),'Daily Workforce'!$D55="3:45 AM",IF('Daily Schedule'!$E$2="PM",'Daily Workforce'!$E55="PM",'Daily Workforce'!$E55="Overnight"))),'Daily Workforce'!$V55*1000+55,999999999)</f>
        <v>999999999</v>
      </c>
      <c r="BO3" s="1" t="n">
        <f aca="false">IF(AND('Daily Workforce'!$N56="Y",'Daily Workforce'!$B56&lt;&gt;"",COUNTIF('Daily Schedule'!$F$5:$F6,'Daily Workforce'!$B56)=0,'Daily Workforce'!$M56="Y",IF(OR('Daily Schedule'!$E$2="Full Day",'Daily Schedule'!$E$2="AM"),'Daily Workforce'!$D56="3:45 AM",IF('Daily Schedule'!$E$2="PM",'Daily Workforce'!$E56="PM",'Daily Workforce'!$E56="Overnight"))),'Daily Workforce'!$V56*1000+56,999999999)</f>
        <v>999999999</v>
      </c>
      <c r="BP3" s="1" t="n">
        <f aca="false">IF(AND('Daily Workforce'!$N57="Y",'Daily Workforce'!$B57&lt;&gt;"",COUNTIF('Daily Schedule'!$F$5:$F6,'Daily Workforce'!$B57)=0,'Daily Workforce'!$M57="Y",IF(OR('Daily Schedule'!$E$2="Full Day",'Daily Schedule'!$E$2="AM"),'Daily Workforce'!$D57="3:45 AM",IF('Daily Schedule'!$E$2="PM",'Daily Workforce'!$E57="PM",'Daily Workforce'!$E57="Overnight"))),'Daily Workforce'!$V57*1000+57,999999999)</f>
        <v>999999999</v>
      </c>
      <c r="BQ3" s="1" t="n">
        <f aca="false">IF(AND('Daily Workforce'!$N58="Y",'Daily Workforce'!$B58&lt;&gt;"",COUNTIF('Daily Schedule'!$F$5:$F6,'Daily Workforce'!$B58)=0,'Daily Workforce'!$M58="Y",IF(OR('Daily Schedule'!$E$2="Full Day",'Daily Schedule'!$E$2="AM"),'Daily Workforce'!$D58="3:45 AM",IF('Daily Schedule'!$E$2="PM",'Daily Workforce'!$E58="PM",'Daily Workforce'!$E58="Overnight"))),'Daily Workforce'!$V58*1000+58,999999999)</f>
        <v>999999999</v>
      </c>
      <c r="BR3" s="1" t="n">
        <f aca="false">IF(AND('Daily Workforce'!$N59="Y",'Daily Workforce'!$B59&lt;&gt;"",COUNTIF('Daily Schedule'!$F$5:$F6,'Daily Workforce'!$B59)=0,'Daily Workforce'!$M59="Y",IF(OR('Daily Schedule'!$E$2="Full Day",'Daily Schedule'!$E$2="AM"),'Daily Workforce'!$D59="3:45 AM",IF('Daily Schedule'!$E$2="PM",'Daily Workforce'!$E59="PM",'Daily Workforce'!$E59="Overnight"))),'Daily Workforce'!$V59*1000+59,999999999)</f>
        <v>999999999</v>
      </c>
      <c r="BS3" s="1" t="n">
        <f aca="false">IF(AND('Daily Workforce'!$N60="Y",'Daily Workforce'!$B60&lt;&gt;"",COUNTIF('Daily Schedule'!$F$5:$F6,'Daily Workforce'!$B60)=0,'Daily Workforce'!$M60="Y",IF(OR('Daily Schedule'!$E$2="Full Day",'Daily Schedule'!$E$2="AM"),'Daily Workforce'!$D60="3:45 AM",IF('Daily Schedule'!$E$2="PM",'Daily Workforce'!$E60="PM",'Daily Workforce'!$E60="Overnight"))),'Daily Workforce'!$V60*1000+60,999999999)</f>
        <v>999999999</v>
      </c>
      <c r="BT3" s="1" t="n">
        <f aca="false">IF(AND('Daily Workforce'!$N61="Y",'Daily Workforce'!$B61&lt;&gt;"",COUNTIF('Daily Schedule'!$F$5:$F6,'Daily Workforce'!$B61)=0,'Daily Workforce'!$M61="Y",IF(OR('Daily Schedule'!$E$2="Full Day",'Daily Schedule'!$E$2="AM"),'Daily Workforce'!$D61="3:45 AM",IF('Daily Schedule'!$E$2="PM",'Daily Workforce'!$E61="PM",'Daily Workforce'!$E61="Overnight"))),'Daily Workforce'!$V61*1000+61,999999999)</f>
        <v>999999999</v>
      </c>
      <c r="BU3" s="1" t="n">
        <f aca="false">IF(AND('Daily Workforce'!$N62="Y",'Daily Workforce'!$B62&lt;&gt;"",COUNTIF('Daily Schedule'!$F$5:$F6,'Daily Workforce'!$B62)=0,'Daily Workforce'!$M62="Y",IF(OR('Daily Schedule'!$E$2="Full Day",'Daily Schedule'!$E$2="AM"),'Daily Workforce'!$D62="3:45 AM",IF('Daily Schedule'!$E$2="PM",'Daily Workforce'!$E62="PM",'Daily Workforce'!$E62="Overnight"))),'Daily Workforce'!$V62*1000+62,999999999)</f>
        <v>999999999</v>
      </c>
      <c r="BV3" s="1" t="n">
        <f aca="false">IF(AND('Daily Workforce'!$N63="Y",'Daily Workforce'!$B63&lt;&gt;"",COUNTIF('Daily Schedule'!$F$5:$F6,'Daily Workforce'!$B63)=0,'Daily Workforce'!$M63="Y",IF(OR('Daily Schedule'!$E$2="Full Day",'Daily Schedule'!$E$2="AM"),'Daily Workforce'!$D63="3:45 AM",IF('Daily Schedule'!$E$2="PM",'Daily Workforce'!$E63="PM",'Daily Workforce'!$E63="Overnight"))),'Daily Workforce'!$V63*1000+63,999999999)</f>
        <v>999999999</v>
      </c>
      <c r="BW3" s="1" t="n">
        <f aca="false">IF(AND('Daily Workforce'!$N64="Y",'Daily Workforce'!$B64&lt;&gt;"",COUNTIF('Daily Schedule'!$F$5:$F6,'Daily Workforce'!$B64)=0,'Daily Workforce'!$M64="Y",IF(OR('Daily Schedule'!$E$2="Full Day",'Daily Schedule'!$E$2="AM"),'Daily Workforce'!$D64="3:45 AM",IF('Daily Schedule'!$E$2="PM",'Daily Workforce'!$E64="PM",'Daily Workforce'!$E64="Overnight"))),'Daily Workforce'!$V64*1000+64,999999999)</f>
        <v>999999999</v>
      </c>
      <c r="BX3" s="1" t="n">
        <f aca="false">IF(AND('Daily Workforce'!$N65="Y",'Daily Workforce'!$B65&lt;&gt;"",COUNTIF('Daily Schedule'!$F$5:$F6,'Daily Workforce'!$B65)=0,'Daily Workforce'!$M65="Y",IF(OR('Daily Schedule'!$E$2="Full Day",'Daily Schedule'!$E$2="AM"),'Daily Workforce'!$D65="3:45 AM",IF('Daily Schedule'!$E$2="PM",'Daily Workforce'!$E65="PM",'Daily Workforce'!$E65="Overnight"))),'Daily Workforce'!$V65*1000+65,999999999)</f>
        <v>999999999</v>
      </c>
      <c r="BY3" s="1" t="n">
        <f aca="false">IF(AND('Daily Workforce'!$N66="Y",'Daily Workforce'!$B66&lt;&gt;"",COUNTIF('Daily Schedule'!$F$5:$F6,'Daily Workforce'!$B66)=0,'Daily Workforce'!$M66="Y",IF(OR('Daily Schedule'!$E$2="Full Day",'Daily Schedule'!$E$2="AM"),'Daily Workforce'!$D66="3:45 AM",IF('Daily Schedule'!$E$2="PM",'Daily Workforce'!$E66="PM",'Daily Workforce'!$E66="Overnight"))),'Daily Workforce'!$V66*1000+66,999999999)</f>
        <v>999999999</v>
      </c>
      <c r="BZ3" s="1" t="n">
        <f aca="false">IF(AND('Daily Workforce'!$N67="Y",'Daily Workforce'!$B67&lt;&gt;"",COUNTIF('Daily Schedule'!$F$5:$F6,'Daily Workforce'!$B67)=0,'Daily Workforce'!$M67="Y",IF(OR('Daily Schedule'!$E$2="Full Day",'Daily Schedule'!$E$2="AM"),'Daily Workforce'!$D67="3:45 AM",IF('Daily Schedule'!$E$2="PM",'Daily Workforce'!$E67="PM",'Daily Workforce'!$E67="Overnight"))),'Daily Workforce'!$V67*1000+67,999999999)</f>
        <v>999999999</v>
      </c>
      <c r="CA3" s="1" t="n">
        <f aca="false">IF(AND('Daily Workforce'!$N68="Y",'Daily Workforce'!$B68&lt;&gt;"",COUNTIF('Daily Schedule'!$F$5:$F6,'Daily Workforce'!$B68)=0,'Daily Workforce'!$M68="Y",IF(OR('Daily Schedule'!$E$2="Full Day",'Daily Schedule'!$E$2="AM"),'Daily Workforce'!$D68="3:45 AM",IF('Daily Schedule'!$E$2="PM",'Daily Workforce'!$E68="PM",'Daily Workforce'!$E68="Overnight"))),'Daily Workforce'!$V68*1000+68,999999999)</f>
        <v>999999999</v>
      </c>
      <c r="CB3" s="1" t="n">
        <f aca="false">IF(AND('Daily Workforce'!$N69="Y",'Daily Workforce'!$B69&lt;&gt;"",COUNTIF('Daily Schedule'!$F$5:$F6,'Daily Workforce'!$B69)=0,'Daily Workforce'!$M69="Y",IF(OR('Daily Schedule'!$E$2="Full Day",'Daily Schedule'!$E$2="AM"),'Daily Workforce'!$D69="3:45 AM",IF('Daily Schedule'!$E$2="PM",'Daily Workforce'!$E69="PM",'Daily Workforce'!$E69="Overnight"))),'Daily Workforce'!$V69*1000+69,999999999)</f>
        <v>999999999</v>
      </c>
      <c r="CC3" s="1" t="n">
        <f aca="false">IF(AND('Daily Workforce'!$N70="Y",'Daily Workforce'!$B70&lt;&gt;"",COUNTIF('Daily Schedule'!$F$5:$F6,'Daily Workforce'!$B70)=0,'Daily Workforce'!$M70="Y",IF(OR('Daily Schedule'!$E$2="Full Day",'Daily Schedule'!$E$2="AM"),'Daily Workforce'!$D70="3:45 AM",IF('Daily Schedule'!$E$2="PM",'Daily Workforce'!$E70="PM",'Daily Workforce'!$E70="Overnight"))),'Daily Workforce'!$V70*1000+70,999999999)</f>
        <v>999999999</v>
      </c>
      <c r="CD3" s="1" t="n">
        <f aca="false">IF(AND('Daily Workforce'!$N71="Y",'Daily Workforce'!$B71&lt;&gt;"",COUNTIF('Daily Schedule'!$F$5:$F6,'Daily Workforce'!$B71)=0,'Daily Workforce'!$M71="Y",IF(OR('Daily Schedule'!$E$2="Full Day",'Daily Schedule'!$E$2="AM"),'Daily Workforce'!$D71="3:45 AM",IF('Daily Schedule'!$E$2="PM",'Daily Workforce'!$E71="PM",'Daily Workforce'!$E71="Overnight"))),'Daily Workforce'!$V71*1000+71,999999999)</f>
        <v>999999999</v>
      </c>
      <c r="CE3" s="1" t="n">
        <f aca="false">IF(AND('Daily Workforce'!$N72="Y",'Daily Workforce'!$B72&lt;&gt;"",COUNTIF('Daily Schedule'!$F$5:$F6,'Daily Workforce'!$B72)=0,'Daily Workforce'!$M72="Y",IF(OR('Daily Schedule'!$E$2="Full Day",'Daily Schedule'!$E$2="AM"),'Daily Workforce'!$D72="3:45 AM",IF('Daily Schedule'!$E$2="PM",'Daily Workforce'!$E72="PM",'Daily Workforce'!$E72="Overnight"))),'Daily Workforce'!$V72*1000+72,999999999)</f>
        <v>999999999</v>
      </c>
      <c r="CF3" s="1" t="n">
        <f aca="false">IF(AND('Daily Workforce'!$N73="Y",'Daily Workforce'!$B73&lt;&gt;"",COUNTIF('Daily Schedule'!$F$5:$F6,'Daily Workforce'!$B73)=0,'Daily Workforce'!$M73="Y",IF(OR('Daily Schedule'!$E$2="Full Day",'Daily Schedule'!$E$2="AM"),'Daily Workforce'!$D73="3:45 AM",IF('Daily Schedule'!$E$2="PM",'Daily Workforce'!$E73="PM",'Daily Workforce'!$E73="Overnight"))),'Daily Workforce'!$V73*1000+73,999999999)</f>
        <v>999999999</v>
      </c>
      <c r="CG3" s="1" t="n">
        <f aca="false">IF(AND('Daily Workforce'!$N74="Y",'Daily Workforce'!$B74&lt;&gt;"",COUNTIF('Daily Schedule'!$F$5:$F6,'Daily Workforce'!$B74)=0,'Daily Workforce'!$M74="Y",IF(OR('Daily Schedule'!$E$2="Full Day",'Daily Schedule'!$E$2="AM"),'Daily Workforce'!$D74="3:45 AM",IF('Daily Schedule'!$E$2="PM",'Daily Workforce'!$E74="PM",'Daily Workforce'!$E74="Overnight"))),'Daily Workforce'!$V74*1000+74,999999999)</f>
        <v>999999999</v>
      </c>
      <c r="CH3" s="1" t="n">
        <f aca="false">IF(AND('Daily Workforce'!$N75="Y",'Daily Workforce'!$B75&lt;&gt;"",COUNTIF('Daily Schedule'!$F$5:$F6,'Daily Workforce'!$B75)=0,'Daily Workforce'!$M75="Y",IF(OR('Daily Schedule'!$E$2="Full Day",'Daily Schedule'!$E$2="AM"),'Daily Workforce'!$D75="3:45 AM",IF('Daily Schedule'!$E$2="PM",'Daily Workforce'!$E75="PM",'Daily Workforce'!$E75="Overnight"))),'Daily Workforce'!$V75*1000+75,999999999)</f>
        <v>999999999</v>
      </c>
      <c r="CI3" s="1" t="n">
        <f aca="false">IF(AND('Daily Workforce'!$N76="Y",'Daily Workforce'!$B76&lt;&gt;"",COUNTIF('Daily Schedule'!$F$5:$F6,'Daily Workforce'!$B76)=0,'Daily Workforce'!$M76="Y",IF(OR('Daily Schedule'!$E$2="Full Day",'Daily Schedule'!$E$2="AM"),'Daily Workforce'!$D76="3:45 AM",IF('Daily Schedule'!$E$2="PM",'Daily Workforce'!$E76="PM",'Daily Workforce'!$E76="Overnight"))),'Daily Workforce'!$V76*1000+76,999999999)</f>
        <v>999999999</v>
      </c>
      <c r="CJ3" s="1" t="n">
        <f aca="false">IF(AND('Daily Workforce'!$N77="Y",'Daily Workforce'!$B77&lt;&gt;"",COUNTIF('Daily Schedule'!$F$5:$F6,'Daily Workforce'!$B77)=0,'Daily Workforce'!$M77="Y",IF(OR('Daily Schedule'!$E$2="Full Day",'Daily Schedule'!$E$2="AM"),'Daily Workforce'!$D77="3:45 AM",IF('Daily Schedule'!$E$2="PM",'Daily Workforce'!$E77="PM",'Daily Workforce'!$E77="Overnight"))),'Daily Workforce'!$V77*1000+77,999999999)</f>
        <v>999999999</v>
      </c>
      <c r="CK3" s="1" t="n">
        <f aca="false">IF(AND('Daily Workforce'!$N78="Y",'Daily Workforce'!$B78&lt;&gt;"",COUNTIF('Daily Schedule'!$F$5:$F6,'Daily Workforce'!$B78)=0,'Daily Workforce'!$M78="Y",IF(OR('Daily Schedule'!$E$2="Full Day",'Daily Schedule'!$E$2="AM"),'Daily Workforce'!$D78="3:45 AM",IF('Daily Schedule'!$E$2="PM",'Daily Workforce'!$E78="PM",'Daily Workforce'!$E78="Overnight"))),'Daily Workforce'!$V78*1000+78,999999999)</f>
        <v>999999999</v>
      </c>
      <c r="CL3" s="1" t="n">
        <f aca="false">IF(AND('Daily Workforce'!$N79="Y",'Daily Workforce'!$B79&lt;&gt;"",COUNTIF('Daily Schedule'!$F$5:$F6,'Daily Workforce'!$B79)=0,'Daily Workforce'!$M79="Y",IF(OR('Daily Schedule'!$E$2="Full Day",'Daily Schedule'!$E$2="AM"),'Daily Workforce'!$D79="3:45 AM",IF('Daily Schedule'!$E$2="PM",'Daily Workforce'!$E79="PM",'Daily Workforce'!$E79="Overnight"))),'Daily Workforce'!$V79*1000+79,999999999)</f>
        <v>999999999</v>
      </c>
      <c r="CM3" s="1" t="n">
        <f aca="false">IF(AND('Daily Workforce'!$N80="Y",'Daily Workforce'!$B80&lt;&gt;"",COUNTIF('Daily Schedule'!$F$5:$F6,'Daily Workforce'!$B80)=0,'Daily Workforce'!$M80="Y",IF(OR('Daily Schedule'!$E$2="Full Day",'Daily Schedule'!$E$2="AM"),'Daily Workforce'!$D80="3:45 AM",IF('Daily Schedule'!$E$2="PM",'Daily Workforce'!$E80="PM",'Daily Workforce'!$E80="Overnight"))),'Daily Workforce'!$V80*1000+80,999999999)</f>
        <v>999999999</v>
      </c>
      <c r="CN3" s="1" t="n">
        <f aca="false">IF(AND('Daily Workforce'!$N81="Y",'Daily Workforce'!$B81&lt;&gt;"",COUNTIF('Daily Schedule'!$F$5:$F6,'Daily Workforce'!$B81)=0,'Daily Workforce'!$M81="Y",IF(OR('Daily Schedule'!$E$2="Full Day",'Daily Schedule'!$E$2="AM"),'Daily Workforce'!$D81="3:45 AM",IF('Daily Schedule'!$E$2="PM",'Daily Workforce'!$E81="PM",'Daily Workforce'!$E81="Overnight"))),'Daily Workforce'!$V81*1000+81,999999999)</f>
        <v>999999999</v>
      </c>
      <c r="CO3" s="1" t="n">
        <f aca="false">IF(AND('Daily Workforce'!$N82="Y",'Daily Workforce'!$B82&lt;&gt;"",COUNTIF('Daily Schedule'!$F$5:$F6,'Daily Workforce'!$B82)=0,'Daily Workforce'!$M82="Y",IF(OR('Daily Schedule'!$E$2="Full Day",'Daily Schedule'!$E$2="AM"),'Daily Workforce'!$D82="3:45 AM",IF('Daily Schedule'!$E$2="PM",'Daily Workforce'!$E82="PM",'Daily Workforce'!$E82="Overnight"))),'Daily Workforce'!$V82*1000+82,999999999)</f>
        <v>999999999</v>
      </c>
      <c r="CP3" s="1" t="n">
        <f aca="false">IF(AND('Daily Workforce'!$N83="Y",'Daily Workforce'!$B83&lt;&gt;"",COUNTIF('Daily Schedule'!$F$5:$F6,'Daily Workforce'!$B83)=0,'Daily Workforce'!$M83="Y",IF(OR('Daily Schedule'!$E$2="Full Day",'Daily Schedule'!$E$2="AM"),'Daily Workforce'!$D83="3:45 AM",IF('Daily Schedule'!$E$2="PM",'Daily Workforce'!$E83="PM",'Daily Workforce'!$E83="Overnight"))),'Daily Workforce'!$V83*1000+83,999999999)</f>
        <v>999999999</v>
      </c>
      <c r="CQ3" s="1" t="n">
        <f aca="false">IF(AND('Daily Workforce'!$N84="Y",'Daily Workforce'!$B84&lt;&gt;"",COUNTIF('Daily Schedule'!$F$5:$F6,'Daily Workforce'!$B84)=0,'Daily Workforce'!$M84="Y",IF(OR('Daily Schedule'!$E$2="Full Day",'Daily Schedule'!$E$2="AM"),'Daily Workforce'!$D84="3:45 AM",IF('Daily Schedule'!$E$2="PM",'Daily Workforce'!$E84="PM",'Daily Workforce'!$E84="Overnight"))),'Daily Workforce'!$V84*1000+84,999999999)</f>
        <v>999999999</v>
      </c>
      <c r="CR3" s="1" t="n">
        <f aca="false">IF(AND('Daily Workforce'!$N85="Y",'Daily Workforce'!$B85&lt;&gt;"",COUNTIF('Daily Schedule'!$F$5:$F6,'Daily Workforce'!$B85)=0,'Daily Workforce'!$M85="Y",IF(OR('Daily Schedule'!$E$2="Full Day",'Daily Schedule'!$E$2="AM"),'Daily Workforce'!$D85="3:45 AM",IF('Daily Schedule'!$E$2="PM",'Daily Workforce'!$E85="PM",'Daily Workforce'!$E85="Overnight"))),'Daily Workforce'!$V85*1000+85,999999999)</f>
        <v>999999999</v>
      </c>
      <c r="CS3" s="1" t="n">
        <f aca="false">IF(AND('Daily Workforce'!$N86="Y",'Daily Workforce'!$B86&lt;&gt;"",COUNTIF('Daily Schedule'!$F$5:$F6,'Daily Workforce'!$B86)=0,'Daily Workforce'!$M86="Y",IF(OR('Daily Schedule'!$E$2="Full Day",'Daily Schedule'!$E$2="AM"),'Daily Workforce'!$D86="3:45 AM",IF('Daily Schedule'!$E$2="PM",'Daily Workforce'!$E86="PM",'Daily Workforce'!$E86="Overnight"))),'Daily Workforce'!$V86*1000+86,999999999)</f>
        <v>999999999</v>
      </c>
      <c r="CT3" s="1" t="n">
        <f aca="false">IF(AND('Daily Workforce'!$N87="Y",'Daily Workforce'!$B87&lt;&gt;"",COUNTIF('Daily Schedule'!$F$5:$F6,'Daily Workforce'!$B87)=0,'Daily Workforce'!$M87="Y",IF(OR('Daily Schedule'!$E$2="Full Day",'Daily Schedule'!$E$2="AM"),'Daily Workforce'!$D87="3:45 AM",IF('Daily Schedule'!$E$2="PM",'Daily Workforce'!$E87="PM",'Daily Workforce'!$E87="Overnight"))),'Daily Workforce'!$V87*1000+87,999999999)</f>
        <v>999999999</v>
      </c>
      <c r="CU3" s="1" t="n">
        <f aca="false">IF(AND('Daily Workforce'!$N88="Y",'Daily Workforce'!$B88&lt;&gt;"",COUNTIF('Daily Schedule'!$F$5:$F6,'Daily Workforce'!$B88)=0,'Daily Workforce'!$M88="Y",IF(OR('Daily Schedule'!$E$2="Full Day",'Daily Schedule'!$E$2="AM"),'Daily Workforce'!$D88="3:45 AM",IF('Daily Schedule'!$E$2="PM",'Daily Workforce'!$E88="PM",'Daily Workforce'!$E88="Overnight"))),'Daily Workforce'!$V88*1000+88,999999999)</f>
        <v>999999999</v>
      </c>
      <c r="CV3" s="1" t="n">
        <f aca="false">IF(AND('Daily Workforce'!$N89="Y",'Daily Workforce'!$B89&lt;&gt;"",COUNTIF('Daily Schedule'!$F$5:$F6,'Daily Workforce'!$B89)=0,'Daily Workforce'!$M89="Y",IF(OR('Daily Schedule'!$E$2="Full Day",'Daily Schedule'!$E$2="AM"),'Daily Workforce'!$D89="3:45 AM",IF('Daily Schedule'!$E$2="PM",'Daily Workforce'!$E89="PM",'Daily Workforce'!$E89="Overnight"))),'Daily Workforce'!$V89*1000+89,999999999)</f>
        <v>999999999</v>
      </c>
      <c r="CW3" s="1" t="n">
        <f aca="false">IF(AND('Daily Workforce'!$N90="Y",'Daily Workforce'!$B90&lt;&gt;"",COUNTIF('Daily Schedule'!$F$5:$F6,'Daily Workforce'!$B90)=0,'Daily Workforce'!$M90="Y",IF(OR('Daily Schedule'!$E$2="Full Day",'Daily Schedule'!$E$2="AM"),'Daily Workforce'!$D90="3:45 AM",IF('Daily Schedule'!$E$2="PM",'Daily Workforce'!$E90="PM",'Daily Workforce'!$E90="Overnight"))),'Daily Workforce'!$V90*1000+90,999999999)</f>
        <v>999999999</v>
      </c>
      <c r="CX3" s="1" t="n">
        <f aca="false">IF(AND('Daily Workforce'!$N91="Y",'Daily Workforce'!$B91&lt;&gt;"",COUNTIF('Daily Schedule'!$F$5:$F6,'Daily Workforce'!$B91)=0,'Daily Workforce'!$M91="Y",IF(OR('Daily Schedule'!$E$2="Full Day",'Daily Schedule'!$E$2="AM"),'Daily Workforce'!$D91="3:45 AM",IF('Daily Schedule'!$E$2="PM",'Daily Workforce'!$E91="PM",'Daily Workforce'!$E91="Overnight"))),'Daily Workforce'!$V91*1000+91,999999999)</f>
        <v>999999999</v>
      </c>
      <c r="CY3" s="1" t="n">
        <f aca="false">IF(AND('Daily Workforce'!$N92="Y",'Daily Workforce'!$B92&lt;&gt;"",COUNTIF('Daily Schedule'!$F$5:$F6,'Daily Workforce'!$B92)=0,'Daily Workforce'!$M92="Y",IF(OR('Daily Schedule'!$E$2="Full Day",'Daily Schedule'!$E$2="AM"),'Daily Workforce'!$D92="3:45 AM",IF('Daily Schedule'!$E$2="PM",'Daily Workforce'!$E92="PM",'Daily Workforce'!$E92="Overnight"))),'Daily Workforce'!$V92*1000+92,999999999)</f>
        <v>999999999</v>
      </c>
      <c r="CZ3" s="1" t="n">
        <f aca="false">IF(AND('Daily Workforce'!$N93="Y",'Daily Workforce'!$B93&lt;&gt;"",COUNTIF('Daily Schedule'!$F$5:$F6,'Daily Workforce'!$B93)=0,'Daily Workforce'!$M93="Y",IF(OR('Daily Schedule'!$E$2="Full Day",'Daily Schedule'!$E$2="AM"),'Daily Workforce'!$D93="3:45 AM",IF('Daily Schedule'!$E$2="PM",'Daily Workforce'!$E93="PM",'Daily Workforce'!$E93="Overnight"))),'Daily Workforce'!$V93*1000+93,999999999)</f>
        <v>999999999</v>
      </c>
      <c r="DA3" s="1" t="n">
        <f aca="false">IF(AND('Daily Workforce'!$N94="Y",'Daily Workforce'!$B94&lt;&gt;"",COUNTIF('Daily Schedule'!$F$5:$F6,'Daily Workforce'!$B94)=0,'Daily Workforce'!$M94="Y",IF(OR('Daily Schedule'!$E$2="Full Day",'Daily Schedule'!$E$2="AM"),'Daily Workforce'!$D94="3:45 AM",IF('Daily Schedule'!$E$2="PM",'Daily Workforce'!$E94="PM",'Daily Workforce'!$E94="Overnight"))),'Daily Workforce'!$V94*1000+94,999999999)</f>
        <v>999999999</v>
      </c>
      <c r="DB3" s="1" t="n">
        <f aca="false">IF(AND('Daily Workforce'!$N95="Y",'Daily Workforce'!$B95&lt;&gt;"",COUNTIF('Daily Schedule'!$F$5:$F6,'Daily Workforce'!$B95)=0,'Daily Workforce'!$M95="Y",IF(OR('Daily Schedule'!$E$2="Full Day",'Daily Schedule'!$E$2="AM"),'Daily Workforce'!$D95="3:45 AM",IF('Daily Schedule'!$E$2="PM",'Daily Workforce'!$E95="PM",'Daily Workforce'!$E95="Overnight"))),'Daily Workforce'!$V95*1000+95,999999999)</f>
        <v>999999999</v>
      </c>
      <c r="DC3" s="1" t="n">
        <f aca="false">IF(AND('Daily Workforce'!$N96="Y",'Daily Workforce'!$B96&lt;&gt;"",COUNTIF('Daily Schedule'!$F$5:$F6,'Daily Workforce'!$B96)=0,'Daily Workforce'!$M96="Y",IF(OR('Daily Schedule'!$E$2="Full Day",'Daily Schedule'!$E$2="AM"),'Daily Workforce'!$D96="3:45 AM",IF('Daily Schedule'!$E$2="PM",'Daily Workforce'!$E96="PM",'Daily Workforce'!$E96="Overnight"))),'Daily Workforce'!$V96*1000+96,999999999)</f>
        <v>999999999</v>
      </c>
      <c r="DD3" s="1" t="n">
        <f aca="false">IF(AND('Daily Workforce'!$N97="Y",'Daily Workforce'!$B97&lt;&gt;"",COUNTIF('Daily Schedule'!$F$5:$F6,'Daily Workforce'!$B97)=0,'Daily Workforce'!$M97="Y",IF(OR('Daily Schedule'!$E$2="Full Day",'Daily Schedule'!$E$2="AM"),'Daily Workforce'!$D97="3:45 AM",IF('Daily Schedule'!$E$2="PM",'Daily Workforce'!$E97="PM",'Daily Workforce'!$E97="Overnight"))),'Daily Workforce'!$V97*1000+97,999999999)</f>
        <v>999999999</v>
      </c>
      <c r="DE3" s="1" t="n">
        <f aca="false">IF(AND('Daily Workforce'!$N98="Y",'Daily Workforce'!$B98&lt;&gt;"",COUNTIF('Daily Schedule'!$F$5:$F6,'Daily Workforce'!$B98)=0,'Daily Workforce'!$M98="Y",IF(OR('Daily Schedule'!$E$2="Full Day",'Daily Schedule'!$E$2="AM"),'Daily Workforce'!$D98="3:45 AM",IF('Daily Schedule'!$E$2="PM",'Daily Workforce'!$E98="PM",'Daily Workforce'!$E98="Overnight"))),'Daily Workforce'!$V98*1000+98,999999999)</f>
        <v>999999999</v>
      </c>
      <c r="DF3" s="1" t="n">
        <f aca="false">IF(AND('Daily Workforce'!$N99="Y",'Daily Workforce'!$B99&lt;&gt;"",COUNTIF('Daily Schedule'!$F$5:$F6,'Daily Workforce'!$B99)=0,'Daily Workforce'!$M99="Y",IF(OR('Daily Schedule'!$E$2="Full Day",'Daily Schedule'!$E$2="AM"),'Daily Workforce'!$D99="3:45 AM",IF('Daily Schedule'!$E$2="PM",'Daily Workforce'!$E99="PM",'Daily Workforce'!$E99="Overnight"))),'Daily Workforce'!$V99*1000+99,999999999)</f>
        <v>999999999</v>
      </c>
      <c r="DG3" s="1" t="n">
        <f aca="false">IF(AND('Daily Workforce'!$N100="Y",'Daily Workforce'!$B100&lt;&gt;"",COUNTIF('Daily Schedule'!$F$5:$F6,'Daily Workforce'!$B100)=0,'Daily Workforce'!$M100="Y",IF(OR('Daily Schedule'!$E$2="Full Day",'Daily Schedule'!$E$2="AM"),'Daily Workforce'!$D100="3:45 AM",IF('Daily Schedule'!$E$2="PM",'Daily Workforce'!$E100="PM",'Daily Workforce'!$E100="Overnight"))),'Daily Workforce'!$V100*1000+100,999999999)</f>
        <v>999999999</v>
      </c>
      <c r="DH3" s="1" t="n">
        <f aca="false">IF(AND('Daily Workforce'!$N101="Y",'Daily Workforce'!$B101&lt;&gt;"",COUNTIF('Daily Schedule'!$F$5:$F6,'Daily Workforce'!$B101)=0,'Daily Workforce'!$M101="Y",IF(OR('Daily Schedule'!$E$2="Full Day",'Daily Schedule'!$E$2="AM"),'Daily Workforce'!$D101="3:45 AM",IF('Daily Schedule'!$E$2="PM",'Daily Workforce'!$E101="PM",'Daily Workforce'!$E101="Overnight"))),'Daily Workforce'!$V101*1000+101,999999999)</f>
        <v>999999999</v>
      </c>
      <c r="DI3" s="1" t="n">
        <f aca="false">IF(AND('Daily Workforce'!$N102="Y",'Daily Workforce'!$B102&lt;&gt;"",COUNTIF('Daily Schedule'!$F$5:$F6,'Daily Workforce'!$B102)=0,'Daily Workforce'!$M102="Y",IF(OR('Daily Schedule'!$E$2="Full Day",'Daily Schedule'!$E$2="AM"),'Daily Workforce'!$D102="3:45 AM",IF('Daily Schedule'!$E$2="PM",'Daily Workforce'!$E102="PM",'Daily Workforce'!$E102="Overnight"))),'Daily Workforce'!$V102*1000+102,999999999)</f>
        <v>999999999</v>
      </c>
      <c r="DJ3" s="1" t="n">
        <f aca="false">IF(AND('Daily Workforce'!$N103="Y",'Daily Workforce'!$B103&lt;&gt;"",COUNTIF('Daily Schedule'!$F$5:$F6,'Daily Workforce'!$B103)=0,'Daily Workforce'!$M103="Y",IF(OR('Daily Schedule'!$E$2="Full Day",'Daily Schedule'!$E$2="AM"),'Daily Workforce'!$D103="3:45 AM",IF('Daily Schedule'!$E$2="PM",'Daily Workforce'!$E103="PM",'Daily Workforce'!$E103="Overnight"))),'Daily Workforce'!$V103*1000+103,999999999)</f>
        <v>999999999</v>
      </c>
      <c r="DK3" s="1" t="n">
        <f aca="false">IF(AND('Daily Workforce'!$N104="Y",'Daily Workforce'!$B104&lt;&gt;"",COUNTIF('Daily Schedule'!$F$5:$F6,'Daily Workforce'!$B104)=0,'Daily Workforce'!$M104="Y",IF(OR('Daily Schedule'!$E$2="Full Day",'Daily Schedule'!$E$2="AM"),'Daily Workforce'!$D104="3:45 AM",IF('Daily Schedule'!$E$2="PM",'Daily Workforce'!$E104="PM",'Daily Workforce'!$E104="Overnight"))),'Daily Workforce'!$V104*1000+104,999999999)</f>
        <v>999999999</v>
      </c>
      <c r="DL3" s="1" t="n">
        <f aca="false">IF(AND('Daily Workforce'!$N105="Y",'Daily Workforce'!$B105&lt;&gt;"",COUNTIF('Daily Schedule'!$F$5:$F6,'Daily Workforce'!$B105)=0,'Daily Workforce'!$M105="Y",IF(OR('Daily Schedule'!$E$2="Full Day",'Daily Schedule'!$E$2="AM"),'Daily Workforce'!$D105="3:45 AM",IF('Daily Schedule'!$E$2="PM",'Daily Workforce'!$E105="PM",'Daily Workforce'!$E105="Overnight"))),'Daily Workforce'!$V105*1000+105,999999999)</f>
        <v>999999999</v>
      </c>
      <c r="DM3" s="1" t="n">
        <f aca="false">IF(AND('Daily Workforce'!$N106="Y",'Daily Workforce'!$B106&lt;&gt;"",COUNTIF('Daily Schedule'!$F$5:$F6,'Daily Workforce'!$B106)=0,'Daily Workforce'!$M106="Y",IF(OR('Daily Schedule'!$E$2="Full Day",'Daily Schedule'!$E$2="AM"),'Daily Workforce'!$D106="3:45 AM",IF('Daily Schedule'!$E$2="PM",'Daily Workforce'!$E106="PM",'Daily Workforce'!$E106="Overnight"))),'Daily Workforce'!$V106*1000+106,999999999)</f>
        <v>999999999</v>
      </c>
      <c r="DN3" s="1" t="n">
        <f aca="false">IF(AND('Daily Workforce'!$N107="Y",'Daily Workforce'!$B107&lt;&gt;"",COUNTIF('Daily Schedule'!$F$5:$F6,'Daily Workforce'!$B107)=0,'Daily Workforce'!$M107="Y",IF(OR('Daily Schedule'!$E$2="Full Day",'Daily Schedule'!$E$2="AM"),'Daily Workforce'!$D107="3:45 AM",IF('Daily Schedule'!$E$2="PM",'Daily Workforce'!$E107="PM",'Daily Workforce'!$E107="Overnight"))),'Daily Workforce'!$V107*1000+107,999999999)</f>
        <v>999999999</v>
      </c>
      <c r="DO3" s="1" t="n">
        <f aca="false">IF(AND('Daily Workforce'!$N108="Y",'Daily Workforce'!$B108&lt;&gt;"",COUNTIF('Daily Schedule'!$F$5:$F6,'Daily Workforce'!$B108)=0,'Daily Workforce'!$M108="Y",IF(OR('Daily Schedule'!$E$2="Full Day",'Daily Schedule'!$E$2="AM"),'Daily Workforce'!$D108="3:45 AM",IF('Daily Schedule'!$E$2="PM",'Daily Workforce'!$E108="PM",'Daily Workforce'!$E108="Overnight"))),'Daily Workforce'!$V108*1000+108,999999999)</f>
        <v>999999999</v>
      </c>
      <c r="DP3" s="1" t="n">
        <f aca="false">IF(AND('Daily Workforce'!$N109="Y",'Daily Workforce'!$B109&lt;&gt;"",COUNTIF('Daily Schedule'!$F$5:$F6,'Daily Workforce'!$B109)=0,'Daily Workforce'!$M109="Y",IF(OR('Daily Schedule'!$E$2="Full Day",'Daily Schedule'!$E$2="AM"),'Daily Workforce'!$D109="3:45 AM",IF('Daily Schedule'!$E$2="PM",'Daily Workforce'!$E109="PM",'Daily Workforce'!$E109="Overnight"))),'Daily Workforce'!$V109*1000+109,999999999)</f>
        <v>999999999</v>
      </c>
      <c r="DQ3" s="1" t="n">
        <f aca="false">IF(AND('Daily Workforce'!$N110="Y",'Daily Workforce'!$B110&lt;&gt;"",COUNTIF('Daily Schedule'!$F$5:$F6,'Daily Workforce'!$B110)=0,'Daily Workforce'!$M110="Y",IF(OR('Daily Schedule'!$E$2="Full Day",'Daily Schedule'!$E$2="AM"),'Daily Workforce'!$D110="3:45 AM",IF('Daily Schedule'!$E$2="PM",'Daily Workforce'!$E110="PM",'Daily Workforce'!$E110="Overnight"))),'Daily Workforce'!$V110*1000+110,999999999)</f>
        <v>999999999</v>
      </c>
      <c r="DR3" s="1" t="n">
        <f aca="false">IF(AND('Daily Workforce'!$N111="Y",'Daily Workforce'!$B111&lt;&gt;"",COUNTIF('Daily Schedule'!$F$5:$F6,'Daily Workforce'!$B111)=0,'Daily Workforce'!$M111="Y",IF(OR('Daily Schedule'!$E$2="Full Day",'Daily Schedule'!$E$2="AM"),'Daily Workforce'!$D111="3:45 AM",IF('Daily Schedule'!$E$2="PM",'Daily Workforce'!$E111="PM",'Daily Workforce'!$E111="Overnight"))),'Daily Workforce'!$V111*1000+111,999999999)</f>
        <v>999999999</v>
      </c>
      <c r="DS3" s="1" t="n">
        <f aca="false">IF(AND('Daily Workforce'!$N112="Y",'Daily Workforce'!$B112&lt;&gt;"",COUNTIF('Daily Schedule'!$F$5:$F6,'Daily Workforce'!$B112)=0,'Daily Workforce'!$M112="Y",IF(OR('Daily Schedule'!$E$2="Full Day",'Daily Schedule'!$E$2="AM"),'Daily Workforce'!$D112="3:45 AM",IF('Daily Schedule'!$E$2="PM",'Daily Workforce'!$E112="PM",'Daily Workforce'!$E112="Overnight"))),'Daily Workforce'!$V112*1000+112,999999999)</f>
        <v>999999999</v>
      </c>
      <c r="DT3" s="1" t="n">
        <f aca="false">IF(AND('Daily Workforce'!$N113="Y",'Daily Workforce'!$B113&lt;&gt;"",COUNTIF('Daily Schedule'!$F$5:$F6,'Daily Workforce'!$B113)=0,'Daily Workforce'!$M113="Y",IF(OR('Daily Schedule'!$E$2="Full Day",'Daily Schedule'!$E$2="AM"),'Daily Workforce'!$D113="3:45 AM",IF('Daily Schedule'!$E$2="PM",'Daily Workforce'!$E113="PM",'Daily Workforce'!$E113="Overnight"))),'Daily Workforce'!$V113*1000+113,999999999)</f>
        <v>999999999</v>
      </c>
      <c r="DU3" s="1" t="n">
        <f aca="false">IF(AND('Daily Workforce'!$N114="Y",'Daily Workforce'!$B114&lt;&gt;"",COUNTIF('Daily Schedule'!$F$5:$F6,'Daily Workforce'!$B114)=0,'Daily Workforce'!$M114="Y",IF(OR('Daily Schedule'!$E$2="Full Day",'Daily Schedule'!$E$2="AM"),'Daily Workforce'!$D114="3:45 AM",IF('Daily Schedule'!$E$2="PM",'Daily Workforce'!$E114="PM",'Daily Workforce'!$E114="Overnight"))),'Daily Workforce'!$V114*1000+114,999999999)</f>
        <v>999999999</v>
      </c>
      <c r="DV3" s="1" t="n">
        <f aca="false">IF(AND('Daily Workforce'!$N115="Y",'Daily Workforce'!$B115&lt;&gt;"",COUNTIF('Daily Schedule'!$F$5:$F6,'Daily Workforce'!$B115)=0,'Daily Workforce'!$M115="Y",IF(OR('Daily Schedule'!$E$2="Full Day",'Daily Schedule'!$E$2="AM"),'Daily Workforce'!$D115="3:45 AM",IF('Daily Schedule'!$E$2="PM",'Daily Workforce'!$E115="PM",'Daily Workforce'!$E115="Overnight"))),'Daily Workforce'!$V115*1000+115,999999999)</f>
        <v>999999999</v>
      </c>
      <c r="DW3" s="1" t="n">
        <f aca="false">IF(AND('Daily Workforce'!$N116="Y",'Daily Workforce'!$B116&lt;&gt;"",COUNTIF('Daily Schedule'!$F$5:$F6,'Daily Workforce'!$B116)=0,'Daily Workforce'!$M116="Y",IF(OR('Daily Schedule'!$E$2="Full Day",'Daily Schedule'!$E$2="AM"),'Daily Workforce'!$D116="3:45 AM",IF('Daily Schedule'!$E$2="PM",'Daily Workforce'!$E116="PM",'Daily Workforce'!$E116="Overnight"))),'Daily Workforce'!$V116*1000+116,999999999)</f>
        <v>999999999</v>
      </c>
      <c r="DX3" s="1" t="n">
        <f aca="false">IF(AND('Daily Workforce'!$N117="Y",'Daily Workforce'!$B117&lt;&gt;"",COUNTIF('Daily Schedule'!$F$5:$F6,'Daily Workforce'!$B117)=0,'Daily Workforce'!$M117="Y",IF(OR('Daily Schedule'!$E$2="Full Day",'Daily Schedule'!$E$2="AM"),'Daily Workforce'!$D117="3:45 AM",IF('Daily Schedule'!$E$2="PM",'Daily Workforce'!$E117="PM",'Daily Workforce'!$E117="Overnight"))),'Daily Workforce'!$V117*1000+117,999999999)</f>
        <v>999999999</v>
      </c>
      <c r="DY3" s="1" t="n">
        <f aca="false">IF(AND('Daily Workforce'!$N118="Y",'Daily Workforce'!$B118&lt;&gt;"",COUNTIF('Daily Schedule'!$F$5:$F6,'Daily Workforce'!$B118)=0,'Daily Workforce'!$M118="Y",IF(OR('Daily Schedule'!$E$2="Full Day",'Daily Schedule'!$E$2="AM"),'Daily Workforce'!$D118="3:45 AM",IF('Daily Schedule'!$E$2="PM",'Daily Workforce'!$E118="PM",'Daily Workforce'!$E118="Overnight"))),'Daily Workforce'!$V118*1000+118,999999999)</f>
        <v>999999999</v>
      </c>
      <c r="DZ3" s="1" t="n">
        <f aca="false">IF(AND('Daily Workforce'!$N119="Y",'Daily Workforce'!$B119&lt;&gt;"",COUNTIF('Daily Schedule'!$F$5:$F6,'Daily Workforce'!$B119)=0,'Daily Workforce'!$M119="Y",IF(OR('Daily Schedule'!$E$2="Full Day",'Daily Schedule'!$E$2="AM"),'Daily Workforce'!$D119="3:45 AM",IF('Daily Schedule'!$E$2="PM",'Daily Workforce'!$E119="PM",'Daily Workforce'!$E119="Overnight"))),'Daily Workforce'!$V119*1000+119,999999999)</f>
        <v>999999999</v>
      </c>
      <c r="EA3" s="1" t="n">
        <f aca="false">IF(AND('Daily Workforce'!$N120="Y",'Daily Workforce'!$B120&lt;&gt;"",COUNTIF('Daily Schedule'!$F$5:$F6,'Daily Workforce'!$B120)=0,'Daily Workforce'!$M120="Y",IF(OR('Daily Schedule'!$E$2="Full Day",'Daily Schedule'!$E$2="AM"),'Daily Workforce'!$D120="3:45 AM",IF('Daily Schedule'!$E$2="PM",'Daily Workforce'!$E120="PM",'Daily Workforce'!$E120="Overnight"))),'Daily Workforce'!$V120*1000+120,999999999)</f>
        <v>999999999</v>
      </c>
      <c r="EB3" s="1" t="n">
        <f aca="false">IF(AND('Daily Workforce'!$N121="Y",'Daily Workforce'!$B121&lt;&gt;"",COUNTIF('Daily Schedule'!$F$5:$F6,'Daily Workforce'!$B121)=0,'Daily Workforce'!$M121="Y",IF(OR('Daily Schedule'!$E$2="Full Day",'Daily Schedule'!$E$2="AM"),'Daily Workforce'!$D121="3:45 AM",IF('Daily Schedule'!$E$2="PM",'Daily Workforce'!$E121="PM",'Daily Workforce'!$E121="Overnight"))),'Daily Workforce'!$V121*1000+121,999999999)</f>
        <v>999999999</v>
      </c>
      <c r="EC3" s="1" t="n">
        <f aca="false">IF(AND('Daily Workforce'!$N122="Y",'Daily Workforce'!$B122&lt;&gt;"",COUNTIF('Daily Schedule'!$F$5:$F6,'Daily Workforce'!$B122)=0,'Daily Workforce'!$M122="Y",IF(OR('Daily Schedule'!$E$2="Full Day",'Daily Schedule'!$E$2="AM"),'Daily Workforce'!$D122="3:45 AM",IF('Daily Schedule'!$E$2="PM",'Daily Workforce'!$E122="PM",'Daily Workforce'!$E122="Overnight"))),'Daily Workforce'!$V122*1000+122,999999999)</f>
        <v>999999999</v>
      </c>
      <c r="ED3" s="1" t="n">
        <f aca="false">IF(AND('Daily Workforce'!$N123="Y",'Daily Workforce'!$B123&lt;&gt;"",COUNTIF('Daily Schedule'!$F$5:$F6,'Daily Workforce'!$B123)=0,'Daily Workforce'!$M123="Y",IF(OR('Daily Schedule'!$E$2="Full Day",'Daily Schedule'!$E$2="AM"),'Daily Workforce'!$D123="3:45 AM",IF('Daily Schedule'!$E$2="PM",'Daily Workforce'!$E123="PM",'Daily Workforce'!$E123="Overnight"))),'Daily Workforce'!$V123*1000+123,999999999)</f>
        <v>999999999</v>
      </c>
      <c r="EE3" s="1" t="n">
        <f aca="false">IF(AND('Daily Workforce'!$N124="Y",'Daily Workforce'!$B124&lt;&gt;"",COUNTIF('Daily Schedule'!$F$5:$F6,'Daily Workforce'!$B124)=0,'Daily Workforce'!$M124="Y",IF(OR('Daily Schedule'!$E$2="Full Day",'Daily Schedule'!$E$2="AM"),'Daily Workforce'!$D124="3:45 AM",IF('Daily Schedule'!$E$2="PM",'Daily Workforce'!$E124="PM",'Daily Workforce'!$E124="Overnight"))),'Daily Workforce'!$V124*1000+124,999999999)</f>
        <v>999999999</v>
      </c>
      <c r="EF3" s="1" t="n">
        <f aca="false">IF(AND('Daily Workforce'!$N125="Y",'Daily Workforce'!$B125&lt;&gt;"",COUNTIF('Daily Schedule'!$F$5:$F6,'Daily Workforce'!$B125)=0,'Daily Workforce'!$M125="Y",IF(OR('Daily Schedule'!$E$2="Full Day",'Daily Schedule'!$E$2="AM"),'Daily Workforce'!$D125="3:45 AM",IF('Daily Schedule'!$E$2="PM",'Daily Workforce'!$E125="PM",'Daily Workforce'!$E125="Overnight"))),'Daily Workforce'!$V125*1000+125,999999999)</f>
        <v>999999999</v>
      </c>
      <c r="EG3" s="1" t="n">
        <f aca="false">IF(AND('Daily Workforce'!$N126="Y",'Daily Workforce'!$B126&lt;&gt;"",COUNTIF('Daily Schedule'!$F$5:$F6,'Daily Workforce'!$B126)=0,'Daily Workforce'!$M126="Y",IF(OR('Daily Schedule'!$E$2="Full Day",'Daily Schedule'!$E$2="AM"),'Daily Workforce'!$D126="3:45 AM",IF('Daily Schedule'!$E$2="PM",'Daily Workforce'!$E126="PM",'Daily Workforce'!$E126="Overnight"))),'Daily Workforce'!$V126*1000+126,999999999)</f>
        <v>999999999</v>
      </c>
      <c r="EH3" s="1" t="n">
        <f aca="false">IF(AND('Daily Workforce'!$N127="Y",'Daily Workforce'!$B127&lt;&gt;"",COUNTIF('Daily Schedule'!$F$5:$F6,'Daily Workforce'!$B127)=0,'Daily Workforce'!$M127="Y",IF(OR('Daily Schedule'!$E$2="Full Day",'Daily Schedule'!$E$2="AM"),'Daily Workforce'!$D127="3:45 AM",IF('Daily Schedule'!$E$2="PM",'Daily Workforce'!$E127="PM",'Daily Workforce'!$E127="Overnight"))),'Daily Workforce'!$V127*1000+127,999999999)</f>
        <v>999999999</v>
      </c>
      <c r="EI3" s="1" t="n">
        <f aca="false">IF(AND('Daily Workforce'!$N128="Y",'Daily Workforce'!$B128&lt;&gt;"",COUNTIF('Daily Schedule'!$F$5:$F6,'Daily Workforce'!$B128)=0,'Daily Workforce'!$M128="Y",IF(OR('Daily Schedule'!$E$2="Full Day",'Daily Schedule'!$E$2="AM"),'Daily Workforce'!$D128="3:45 AM",IF('Daily Schedule'!$E$2="PM",'Daily Workforce'!$E128="PM",'Daily Workforce'!$E128="Overnight"))),'Daily Workforce'!$V128*1000+128,999999999)</f>
        <v>999999999</v>
      </c>
      <c r="EJ3" s="1" t="n">
        <f aca="false">IF(AND('Daily Workforce'!$N129="Y",'Daily Workforce'!$B129&lt;&gt;"",COUNTIF('Daily Schedule'!$F$5:$F6,'Daily Workforce'!$B129)=0,'Daily Workforce'!$M129="Y",IF(OR('Daily Schedule'!$E$2="Full Day",'Daily Schedule'!$E$2="AM"),'Daily Workforce'!$D129="3:45 AM",IF('Daily Schedule'!$E$2="PM",'Daily Workforce'!$E129="PM",'Daily Workforce'!$E129="Overnight"))),'Daily Workforce'!$V129*1000+129,999999999)</f>
        <v>999999999</v>
      </c>
      <c r="EK3" s="1" t="n">
        <f aca="false">IF(AND('Daily Workforce'!$N130="Y",'Daily Workforce'!$B130&lt;&gt;"",COUNTIF('Daily Schedule'!$F$5:$F6,'Daily Workforce'!$B130)=0,'Daily Workforce'!$M130="Y",IF(OR('Daily Schedule'!$E$2="Full Day",'Daily Schedule'!$E$2="AM"),'Daily Workforce'!$D130="3:45 AM",IF('Daily Schedule'!$E$2="PM",'Daily Workforce'!$E130="PM",'Daily Workforce'!$E130="Overnight"))),'Daily Workforce'!$V130*1000+130,999999999)</f>
        <v>999999999</v>
      </c>
      <c r="EL3" s="1" t="n">
        <f aca="false">IF(AND('Daily Workforce'!$N131="Y",'Daily Workforce'!$B131&lt;&gt;"",COUNTIF('Daily Schedule'!$F$5:$F6,'Daily Workforce'!$B131)=0,'Daily Workforce'!$M131="Y",IF(OR('Daily Schedule'!$E$2="Full Day",'Daily Schedule'!$E$2="AM"),'Daily Workforce'!$D131="3:45 AM",IF('Daily Schedule'!$E$2="PM",'Daily Workforce'!$E131="PM",'Daily Workforce'!$E131="Overnight"))),'Daily Workforce'!$V131*1000+131,999999999)</f>
        <v>999999999</v>
      </c>
      <c r="EM3" s="1" t="n">
        <f aca="false">IF(AND('Daily Workforce'!$N132="Y",'Daily Workforce'!$B132&lt;&gt;"",COUNTIF('Daily Schedule'!$F$5:$F6,'Daily Workforce'!$B132)=0,'Daily Workforce'!$M132="Y",IF(OR('Daily Schedule'!$E$2="Full Day",'Daily Schedule'!$E$2="AM"),'Daily Workforce'!$D132="3:45 AM",IF('Daily Schedule'!$E$2="PM",'Daily Workforce'!$E132="PM",'Daily Workforce'!$E132="Overnight"))),'Daily Workforce'!$V132*1000+132,999999999)</f>
        <v>999999999</v>
      </c>
      <c r="EN3" s="1" t="n">
        <f aca="false">IF(AND('Daily Workforce'!$N133="Y",'Daily Workforce'!$B133&lt;&gt;"",COUNTIF('Daily Schedule'!$F$5:$F6,'Daily Workforce'!$B133)=0,'Daily Workforce'!$M133="Y",IF(OR('Daily Schedule'!$E$2="Full Day",'Daily Schedule'!$E$2="AM"),'Daily Workforce'!$D133="3:45 AM",IF('Daily Schedule'!$E$2="PM",'Daily Workforce'!$E133="PM",'Daily Workforce'!$E133="Overnight"))),'Daily Workforce'!$V133*1000+133,999999999)</f>
        <v>999999999</v>
      </c>
      <c r="EO3" s="1" t="n">
        <f aca="false">IF(AND('Daily Workforce'!$N134="Y",'Daily Workforce'!$B134&lt;&gt;"",COUNTIF('Daily Schedule'!$F$5:$F6,'Daily Workforce'!$B134)=0,'Daily Workforce'!$M134="Y",IF(OR('Daily Schedule'!$E$2="Full Day",'Daily Schedule'!$E$2="AM"),'Daily Workforce'!$D134="3:45 AM",IF('Daily Schedule'!$E$2="PM",'Daily Workforce'!$E134="PM",'Daily Workforce'!$E134="Overnight"))),'Daily Workforce'!$V134*1000+134,999999999)</f>
        <v>999999999</v>
      </c>
      <c r="EP3" s="1" t="n">
        <f aca="false">IF(AND('Daily Workforce'!$N135="Y",'Daily Workforce'!$B135&lt;&gt;"",COUNTIF('Daily Schedule'!$F$5:$F6,'Daily Workforce'!$B135)=0,'Daily Workforce'!$M135="Y",IF(OR('Daily Schedule'!$E$2="Full Day",'Daily Schedule'!$E$2="AM"),'Daily Workforce'!$D135="3:45 AM",IF('Daily Schedule'!$E$2="PM",'Daily Workforce'!$E135="PM",'Daily Workforce'!$E135="Overnight"))),'Daily Workforce'!$V135*1000+135,999999999)</f>
        <v>999999999</v>
      </c>
      <c r="EQ3" s="1" t="n">
        <f aca="false">IF(AND('Daily Workforce'!$N136="Y",'Daily Workforce'!$B136&lt;&gt;"",COUNTIF('Daily Schedule'!$F$5:$F6,'Daily Workforce'!$B136)=0,'Daily Workforce'!$M136="Y",IF(OR('Daily Schedule'!$E$2="Full Day",'Daily Schedule'!$E$2="AM"),'Daily Workforce'!$D136="3:45 AM",IF('Daily Schedule'!$E$2="PM",'Daily Workforce'!$E136="PM",'Daily Workforce'!$E136="Overnight"))),'Daily Workforce'!$V136*1000+136,999999999)</f>
        <v>999999999</v>
      </c>
      <c r="ER3" s="1" t="n">
        <f aca="false">IF(AND('Daily Workforce'!$N137="Y",'Daily Workforce'!$B137&lt;&gt;"",COUNTIF('Daily Schedule'!$F$5:$F6,'Daily Workforce'!$B137)=0,'Daily Workforce'!$M137="Y",IF(OR('Daily Schedule'!$E$2="Full Day",'Daily Schedule'!$E$2="AM"),'Daily Workforce'!$D137="3:45 AM",IF('Daily Schedule'!$E$2="PM",'Daily Workforce'!$E137="PM",'Daily Workforce'!$E137="Overnight"))),'Daily Workforce'!$V137*1000+137,999999999)</f>
        <v>999999999</v>
      </c>
      <c r="ES3" s="1" t="n">
        <f aca="false">IF(AND('Daily Workforce'!$N138="Y",'Daily Workforce'!$B138&lt;&gt;"",COUNTIF('Daily Schedule'!$F$5:$F6,'Daily Workforce'!$B138)=0,'Daily Workforce'!$M138="Y",IF(OR('Daily Schedule'!$E$2="Full Day",'Daily Schedule'!$E$2="AM"),'Daily Workforce'!$D138="3:45 AM",IF('Daily Schedule'!$E$2="PM",'Daily Workforce'!$E138="PM",'Daily Workforce'!$E138="Overnight"))),'Daily Workforce'!$V138*1000+138,999999999)</f>
        <v>999999999</v>
      </c>
      <c r="ET3" s="1" t="n">
        <f aca="false">IF(AND('Daily Workforce'!$N139="Y",'Daily Workforce'!$B139&lt;&gt;"",COUNTIF('Daily Schedule'!$F$5:$F6,'Daily Workforce'!$B139)=0,'Daily Workforce'!$M139="Y",IF(OR('Daily Schedule'!$E$2="Full Day",'Daily Schedule'!$E$2="AM"),'Daily Workforce'!$D139="3:45 AM",IF('Daily Schedule'!$E$2="PM",'Daily Workforce'!$E139="PM",'Daily Workforce'!$E139="Overnight"))),'Daily Workforce'!$V139*1000+139,999999999)</f>
        <v>999999999</v>
      </c>
      <c r="EU3" s="1" t="n">
        <f aca="false">IF(AND('Daily Workforce'!$N140="Y",'Daily Workforce'!$B140&lt;&gt;"",COUNTIF('Daily Schedule'!$F$5:$F6,'Daily Workforce'!$B140)=0,'Daily Workforce'!$M140="Y",IF(OR('Daily Schedule'!$E$2="Full Day",'Daily Schedule'!$E$2="AM"),'Daily Workforce'!$D140="3:45 AM",IF('Daily Schedule'!$E$2="PM",'Daily Workforce'!$E140="PM",'Daily Workforce'!$E140="Overnight"))),'Daily Workforce'!$V140*1000+140,999999999)</f>
        <v>999999999</v>
      </c>
      <c r="EV3" s="1" t="n">
        <f aca="false">IF(AND('Daily Workforce'!$N141="Y",'Daily Workforce'!$B141&lt;&gt;"",COUNTIF('Daily Schedule'!$F$5:$F6,'Daily Workforce'!$B141)=0,'Daily Workforce'!$M141="Y",IF(OR('Daily Schedule'!$E$2="Full Day",'Daily Schedule'!$E$2="AM"),'Daily Workforce'!$D141="3:45 AM",IF('Daily Schedule'!$E$2="PM",'Daily Workforce'!$E141="PM",'Daily Workforce'!$E141="Overnight"))),'Daily Workforce'!$V141*1000+141,999999999)</f>
        <v>999999999</v>
      </c>
      <c r="EW3" s="1" t="n">
        <f aca="false">IF(AND('Daily Workforce'!$N142="Y",'Daily Workforce'!$B142&lt;&gt;"",COUNTIF('Daily Schedule'!$F$5:$F6,'Daily Workforce'!$B142)=0,'Daily Workforce'!$M142="Y",IF(OR('Daily Schedule'!$E$2="Full Day",'Daily Schedule'!$E$2="AM"),'Daily Workforce'!$D142="3:45 AM",IF('Daily Schedule'!$E$2="PM",'Daily Workforce'!$E142="PM",'Daily Workforce'!$E142="Overnight"))),'Daily Workforce'!$V142*1000+142,999999999)</f>
        <v>999999999</v>
      </c>
      <c r="EX3" s="1" t="n">
        <f aca="false">IF(AND('Daily Workforce'!$N143="Y",'Daily Workforce'!$B143&lt;&gt;"",COUNTIF('Daily Schedule'!$F$5:$F6,'Daily Workforce'!$B143)=0,'Daily Workforce'!$M143="Y",IF(OR('Daily Schedule'!$E$2="Full Day",'Daily Schedule'!$E$2="AM"),'Daily Workforce'!$D143="3:45 AM",IF('Daily Schedule'!$E$2="PM",'Daily Workforce'!$E143="PM",'Daily Workforce'!$E143="Overnight"))),'Daily Workforce'!$V143*1000+143,999999999)</f>
        <v>999999999</v>
      </c>
      <c r="EY3" s="1" t="n">
        <f aca="false">IF(AND('Daily Workforce'!$N144="Y",'Daily Workforce'!$B144&lt;&gt;"",COUNTIF('Daily Schedule'!$F$5:$F6,'Daily Workforce'!$B144)=0,'Daily Workforce'!$M144="Y",IF(OR('Daily Schedule'!$E$2="Full Day",'Daily Schedule'!$E$2="AM"),'Daily Workforce'!$D144="3:45 AM",IF('Daily Schedule'!$E$2="PM",'Daily Workforce'!$E144="PM",'Daily Workforce'!$E144="Overnight"))),'Daily Workforce'!$V144*1000+144,999999999)</f>
        <v>999999999</v>
      </c>
      <c r="EZ3" s="1" t="n">
        <f aca="false">IF(AND('Daily Workforce'!$N145="Y",'Daily Workforce'!$B145&lt;&gt;"",COUNTIF('Daily Schedule'!$F$5:$F6,'Daily Workforce'!$B145)=0,'Daily Workforce'!$M145="Y",IF(OR('Daily Schedule'!$E$2="Full Day",'Daily Schedule'!$E$2="AM"),'Daily Workforce'!$D145="3:45 AM",IF('Daily Schedule'!$E$2="PM",'Daily Workforce'!$E145="PM",'Daily Workforce'!$E145="Overnight"))),'Daily Workforce'!$V145*1000+145,999999999)</f>
        <v>999999999</v>
      </c>
      <c r="FA3" s="1" t="n">
        <f aca="false">IF(AND('Daily Workforce'!$N146="Y",'Daily Workforce'!$B146&lt;&gt;"",COUNTIF('Daily Schedule'!$F$5:$F6,'Daily Workforce'!$B146)=0,'Daily Workforce'!$M146="Y",IF(OR('Daily Schedule'!$E$2="Full Day",'Daily Schedule'!$E$2="AM"),'Daily Workforce'!$D146="3:45 AM",IF('Daily Schedule'!$E$2="PM",'Daily Workforce'!$E146="PM",'Daily Workforce'!$E146="Overnight"))),'Daily Workforce'!$V146*1000+146,999999999)</f>
        <v>999999999</v>
      </c>
      <c r="FB3" s="1" t="n">
        <f aca="false">IF(AND('Daily Workforce'!$N147="Y",'Daily Workforce'!$B147&lt;&gt;"",COUNTIF('Daily Schedule'!$F$5:$F6,'Daily Workforce'!$B147)=0,'Daily Workforce'!$M147="Y",IF(OR('Daily Schedule'!$E$2="Full Day",'Daily Schedule'!$E$2="AM"),'Daily Workforce'!$D147="3:45 AM",IF('Daily Schedule'!$E$2="PM",'Daily Workforce'!$E147="PM",'Daily Workforce'!$E147="Overnight"))),'Daily Workforce'!$V147*1000+147,999999999)</f>
        <v>999999999</v>
      </c>
      <c r="FC3" s="1" t="n">
        <f aca="false">IF(AND('Daily Workforce'!$N148="Y",'Daily Workforce'!$B148&lt;&gt;"",COUNTIF('Daily Schedule'!$F$5:$F6,'Daily Workforce'!$B148)=0,'Daily Workforce'!$M148="Y",IF(OR('Daily Schedule'!$E$2="Full Day",'Daily Schedule'!$E$2="AM"),'Daily Workforce'!$D148="3:45 AM",IF('Daily Schedule'!$E$2="PM",'Daily Workforce'!$E148="PM",'Daily Workforce'!$E148="Overnight"))),'Daily Workforce'!$V148*1000+148,999999999)</f>
        <v>999999999</v>
      </c>
      <c r="FD3" s="1" t="n">
        <f aca="false">IF(AND('Daily Workforce'!$N149="Y",'Daily Workforce'!$B149&lt;&gt;"",COUNTIF('Daily Schedule'!$F$5:$F6,'Daily Workforce'!$B149)=0,'Daily Workforce'!$M149="Y",IF(OR('Daily Schedule'!$E$2="Full Day",'Daily Schedule'!$E$2="AM"),'Daily Workforce'!$D149="3:45 AM",IF('Daily Schedule'!$E$2="PM",'Daily Workforce'!$E149="PM",'Daily Workforce'!$E149="Overnight"))),'Daily Workforce'!$V149*1000+149,999999999)</f>
        <v>999999999</v>
      </c>
      <c r="FE3" s="1" t="n">
        <f aca="false">IF(AND('Daily Workforce'!$N150="Y",'Daily Workforce'!$B150&lt;&gt;"",COUNTIF('Daily Schedule'!$F$5:$F6,'Daily Workforce'!$B150)=0,'Daily Workforce'!$M150="Y",IF(OR('Daily Schedule'!$E$2="Full Day",'Daily Schedule'!$E$2="AM"),'Daily Workforce'!$D150="3:45 AM",IF('Daily Schedule'!$E$2="PM",'Daily Workforce'!$E150="PM",'Daily Workforce'!$E150="Overnight"))),'Daily Workforce'!$V150*1000+150,999999999)</f>
        <v>999999999</v>
      </c>
      <c r="FF3" s="1" t="n">
        <f aca="false">IF(AND('Daily Workforce'!$N151="Y",'Daily Workforce'!$B151&lt;&gt;"",COUNTIF('Daily Schedule'!$F$5:$F6,'Daily Workforce'!$B151)=0,'Daily Workforce'!$M151="Y",IF(OR('Daily Schedule'!$E$2="Full Day",'Daily Schedule'!$E$2="AM"),'Daily Workforce'!$D151="3:45 AM",IF('Daily Schedule'!$E$2="PM",'Daily Workforce'!$E151="PM",'Daily Workforce'!$E151="Overnight"))),'Daily Workforce'!$V151*1000+151,999999999)</f>
        <v>999999999</v>
      </c>
      <c r="FG3" s="1" t="n">
        <f aca="false">IF(AND('Daily Workforce'!$N152="Y",'Daily Workforce'!$B152&lt;&gt;"",COUNTIF('Daily Schedule'!$F$5:$F6,'Daily Workforce'!$B152)=0,'Daily Workforce'!$M152="Y",IF(OR('Daily Schedule'!$E$2="Full Day",'Daily Schedule'!$E$2="AM"),'Daily Workforce'!$D152="3:45 AM",IF('Daily Schedule'!$E$2="PM",'Daily Workforce'!$E152="PM",'Daily Workforce'!$E152="Overnight"))),'Daily Workforce'!$V152*1000+152,999999999)</f>
        <v>999999999</v>
      </c>
      <c r="FH3" s="1" t="n">
        <f aca="false">IF(AND('Daily Workforce'!$N153="Y",'Daily Workforce'!$B153&lt;&gt;"",COUNTIF('Daily Schedule'!$F$5:$F6,'Daily Workforce'!$B153)=0,'Daily Workforce'!$M153="Y",IF(OR('Daily Schedule'!$E$2="Full Day",'Daily Schedule'!$E$2="AM"),'Daily Workforce'!$D153="3:45 AM",IF('Daily Schedule'!$E$2="PM",'Daily Workforce'!$E153="PM",'Daily Workforce'!$E153="Overnight"))),'Daily Workforce'!$V153*1000+153,999999999)</f>
        <v>999999999</v>
      </c>
      <c r="FI3" s="1" t="n">
        <f aca="false">IF(AND('Daily Workforce'!$N154="Y",'Daily Workforce'!$B154&lt;&gt;"",COUNTIF('Daily Schedule'!$F$5:$F6,'Daily Workforce'!$B154)=0,'Daily Workforce'!$M154="Y",IF(OR('Daily Schedule'!$E$2="Full Day",'Daily Schedule'!$E$2="AM"),'Daily Workforce'!$D154="3:45 AM",IF('Daily Schedule'!$E$2="PM",'Daily Workforce'!$E154="PM",'Daily Workforce'!$E154="Overnight"))),'Daily Workforce'!$V154*1000+154,999999999)</f>
        <v>999999999</v>
      </c>
      <c r="FJ3" s="1" t="n">
        <f aca="false">IF(AND('Daily Workforce'!$N155="Y",'Daily Workforce'!$B155&lt;&gt;"",COUNTIF('Daily Schedule'!$F$5:$F6,'Daily Workforce'!$B155)=0,'Daily Workforce'!$M155="Y",IF(OR('Daily Schedule'!$E$2="Full Day",'Daily Schedule'!$E$2="AM"),'Daily Workforce'!$D155="3:45 AM",IF('Daily Schedule'!$E$2="PM",'Daily Workforce'!$E155="PM",'Daily Workforce'!$E155="Overnight"))),'Daily Workforce'!$V155*1000+155,999999999)</f>
        <v>999999999</v>
      </c>
      <c r="FK3" s="1" t="n">
        <f aca="false">IF(AND('Daily Workforce'!$N156="Y",'Daily Workforce'!$B156&lt;&gt;"",COUNTIF('Daily Schedule'!$F$5:$F6,'Daily Workforce'!$B156)=0,'Daily Workforce'!$M156="Y",IF(OR('Daily Schedule'!$E$2="Full Day",'Daily Schedule'!$E$2="AM"),'Daily Workforce'!$D156="3:45 AM",IF('Daily Schedule'!$E$2="PM",'Daily Workforce'!$E156="PM",'Daily Workforce'!$E156="Overnight"))),'Daily Workforce'!$V156*1000+156,999999999)</f>
        <v>999999999</v>
      </c>
      <c r="FL3" s="1" t="n">
        <f aca="false">IF(AND('Daily Workforce'!$N157="Y",'Daily Workforce'!$B157&lt;&gt;"",COUNTIF('Daily Schedule'!$F$5:$F6,'Daily Workforce'!$B157)=0,'Daily Workforce'!$M157="Y",IF(OR('Daily Schedule'!$E$2="Full Day",'Daily Schedule'!$E$2="AM"),'Daily Workforce'!$D157="3:45 AM",IF('Daily Schedule'!$E$2="PM",'Daily Workforce'!$E157="PM",'Daily Workforce'!$E157="Overnight"))),'Daily Workforce'!$V157*1000+157,999999999)</f>
        <v>999999999</v>
      </c>
      <c r="FM3" s="1" t="n">
        <f aca="false">IF(AND('Daily Workforce'!$N158="Y",'Daily Workforce'!$B158&lt;&gt;"",COUNTIF('Daily Schedule'!$F$5:$F6,'Daily Workforce'!$B158)=0,'Daily Workforce'!$M158="Y",IF(OR('Daily Schedule'!$E$2="Full Day",'Daily Schedule'!$E$2="AM"),'Daily Workforce'!$D158="3:45 AM",IF('Daily Schedule'!$E$2="PM",'Daily Workforce'!$E158="PM",'Daily Workforce'!$E158="Overnight"))),'Daily Workforce'!$V158*1000+158,999999999)</f>
        <v>999999999</v>
      </c>
      <c r="FN3" s="1" t="n">
        <f aca="false">IF(AND('Daily Workforce'!$N159="Y",'Daily Workforce'!$B159&lt;&gt;"",COUNTIF('Daily Schedule'!$F$5:$F6,'Daily Workforce'!$B159)=0,'Daily Workforce'!$M159="Y",IF(OR('Daily Schedule'!$E$2="Full Day",'Daily Schedule'!$E$2="AM"),'Daily Workforce'!$D159="3:45 AM",IF('Daily Schedule'!$E$2="PM",'Daily Workforce'!$E159="PM",'Daily Workforce'!$E159="Overnight"))),'Daily Workforce'!$V159*1000+159,999999999)</f>
        <v>999999999</v>
      </c>
      <c r="FO3" s="1" t="n">
        <f aca="false">IF(AND('Daily Workforce'!$N160="Y",'Daily Workforce'!$B160&lt;&gt;"",COUNTIF('Daily Schedule'!$F$5:$F6,'Daily Workforce'!$B160)=0,'Daily Workforce'!$M160="Y",IF(OR('Daily Schedule'!$E$2="Full Day",'Daily Schedule'!$E$2="AM"),'Daily Workforce'!$D160="3:45 AM",IF('Daily Schedule'!$E$2="PM",'Daily Workforce'!$E160="PM",'Daily Workforce'!$E160="Overnight"))),'Daily Workforce'!$V160*1000+160,999999999)</f>
        <v>999999999</v>
      </c>
      <c r="FP3" s="1" t="n">
        <f aca="false">IF(AND('Daily Workforce'!$N161="Y",'Daily Workforce'!$B161&lt;&gt;"",COUNTIF('Daily Schedule'!$F$5:$F6,'Daily Workforce'!$B161)=0,'Daily Workforce'!$M161="Y",IF(OR('Daily Schedule'!$E$2="Full Day",'Daily Schedule'!$E$2="AM"),'Daily Workforce'!$D161="3:45 AM",IF('Daily Schedule'!$E$2="PM",'Daily Workforce'!$E161="PM",'Daily Workforce'!$E161="Overnight"))),'Daily Workforce'!$V161*1000+161,999999999)</f>
        <v>999999999</v>
      </c>
      <c r="FQ3" s="1" t="n">
        <f aca="false">IF(AND('Daily Workforce'!$N162="Y",'Daily Workforce'!$B162&lt;&gt;"",COUNTIF('Daily Schedule'!$F$5:$F6,'Daily Workforce'!$B162)=0,'Daily Workforce'!$M162="Y",IF(OR('Daily Schedule'!$E$2="Full Day",'Daily Schedule'!$E$2="AM"),'Daily Workforce'!$D162="3:45 AM",IF('Daily Schedule'!$E$2="PM",'Daily Workforce'!$E162="PM",'Daily Workforce'!$E162="Overnight"))),'Daily Workforce'!$V162*1000+162,999999999)</f>
        <v>999999999</v>
      </c>
      <c r="FR3" s="1" t="n">
        <f aca="false">IF(AND('Daily Workforce'!$N163="Y",'Daily Workforce'!$B163&lt;&gt;"",COUNTIF('Daily Schedule'!$F$5:$F6,'Daily Workforce'!$B163)=0,'Daily Workforce'!$M163="Y",IF(OR('Daily Schedule'!$E$2="Full Day",'Daily Schedule'!$E$2="AM"),'Daily Workforce'!$D163="3:45 AM",IF('Daily Schedule'!$E$2="PM",'Daily Workforce'!$E163="PM",'Daily Workforce'!$E163="Overnight"))),'Daily Workforce'!$V163*1000+163,999999999)</f>
        <v>999999999</v>
      </c>
      <c r="FS3" s="1" t="n">
        <f aca="false">IF(AND('Daily Workforce'!$N164="Y",'Daily Workforce'!$B164&lt;&gt;"",COUNTIF('Daily Schedule'!$F$5:$F6,'Daily Workforce'!$B164)=0,'Daily Workforce'!$M164="Y",IF(OR('Daily Schedule'!$E$2="Full Day",'Daily Schedule'!$E$2="AM"),'Daily Workforce'!$D164="3:45 AM",IF('Daily Schedule'!$E$2="PM",'Daily Workforce'!$E164="PM",'Daily Workforce'!$E164="Overnight"))),'Daily Workforce'!$V164*1000+164,999999999)</f>
        <v>999999999</v>
      </c>
      <c r="FT3" s="1" t="n">
        <f aca="false">IF(AND('Daily Workforce'!$N165="Y",'Daily Workforce'!$B165&lt;&gt;"",COUNTIF('Daily Schedule'!$F$5:$F6,'Daily Workforce'!$B165)=0,'Daily Workforce'!$M165="Y",IF(OR('Daily Schedule'!$E$2="Full Day",'Daily Schedule'!$E$2="AM"),'Daily Workforce'!$D165="3:45 AM",IF('Daily Schedule'!$E$2="PM",'Daily Workforce'!$E165="PM",'Daily Workforce'!$E165="Overnight"))),'Daily Workforce'!$V165*1000+165,999999999)</f>
        <v>999999999</v>
      </c>
      <c r="FU3" s="1" t="n">
        <f aca="false">IF(AND('Daily Workforce'!$N166="Y",'Daily Workforce'!$B166&lt;&gt;"",COUNTIF('Daily Schedule'!$F$5:$F6,'Daily Workforce'!$B166)=0,'Daily Workforce'!$M166="Y",IF(OR('Daily Schedule'!$E$2="Full Day",'Daily Schedule'!$E$2="AM"),'Daily Workforce'!$D166="3:45 AM",IF('Daily Schedule'!$E$2="PM",'Daily Workforce'!$E166="PM",'Daily Workforce'!$E166="Overnight"))),'Daily Workforce'!$V166*1000+166,999999999)</f>
        <v>999999999</v>
      </c>
      <c r="FV3" s="1" t="n">
        <f aca="false">IF(AND('Daily Workforce'!$N167="Y",'Daily Workforce'!$B167&lt;&gt;"",COUNTIF('Daily Schedule'!$F$5:$F6,'Daily Workforce'!$B167)=0,'Daily Workforce'!$M167="Y",IF(OR('Daily Schedule'!$E$2="Full Day",'Daily Schedule'!$E$2="AM"),'Daily Workforce'!$D167="3:45 AM",IF('Daily Schedule'!$E$2="PM",'Daily Workforce'!$E167="PM",'Daily Workforce'!$E167="Overnight"))),'Daily Workforce'!$V167*1000+167,999999999)</f>
        <v>999999999</v>
      </c>
      <c r="FW3" s="1" t="n">
        <f aca="false">IF(AND('Daily Workforce'!$N168="Y",'Daily Workforce'!$B168&lt;&gt;"",COUNTIF('Daily Schedule'!$F$5:$F6,'Daily Workforce'!$B168)=0,'Daily Workforce'!$M168="Y",IF(OR('Daily Schedule'!$E$2="Full Day",'Daily Schedule'!$E$2="AM"),'Daily Workforce'!$D168="3:45 AM",IF('Daily Schedule'!$E$2="PM",'Daily Workforce'!$E168="PM",'Daily Workforce'!$E168="Overnight"))),'Daily Workforce'!$V168*1000+168,999999999)</f>
        <v>999999999</v>
      </c>
      <c r="FX3" s="1" t="n">
        <f aca="false">IF(AND('Daily Workforce'!$N169="Y",'Daily Workforce'!$B169&lt;&gt;"",COUNTIF('Daily Schedule'!$F$5:$F6,'Daily Workforce'!$B169)=0,'Daily Workforce'!$M169="Y",IF(OR('Daily Schedule'!$E$2="Full Day",'Daily Schedule'!$E$2="AM"),'Daily Workforce'!$D169="3:45 AM",IF('Daily Schedule'!$E$2="PM",'Daily Workforce'!$E169="PM",'Daily Workforce'!$E169="Overnight"))),'Daily Workforce'!$V169*1000+169,999999999)</f>
        <v>999999999</v>
      </c>
      <c r="FY3" s="1" t="n">
        <f aca="false">IF(AND('Daily Workforce'!$N170="Y",'Daily Workforce'!$B170&lt;&gt;"",COUNTIF('Daily Schedule'!$F$5:$F6,'Daily Workforce'!$B170)=0,'Daily Workforce'!$M170="Y",IF(OR('Daily Schedule'!$E$2="Full Day",'Daily Schedule'!$E$2="AM"),'Daily Workforce'!$D170="3:45 AM",IF('Daily Schedule'!$E$2="PM",'Daily Workforce'!$E170="PM",'Daily Workforce'!$E170="Overnight"))),'Daily Workforce'!$V170*1000+170,999999999)</f>
        <v>999999999</v>
      </c>
      <c r="FZ3" s="1" t="n">
        <f aca="false">IF(AND('Daily Workforce'!$N171="Y",'Daily Workforce'!$B171&lt;&gt;"",COUNTIF('Daily Schedule'!$F$5:$F6,'Daily Workforce'!$B171)=0,'Daily Workforce'!$M171="Y",IF(OR('Daily Schedule'!$E$2="Full Day",'Daily Schedule'!$E$2="AM"),'Daily Workforce'!$D171="3:45 AM",IF('Daily Schedule'!$E$2="PM",'Daily Workforce'!$E171="PM",'Daily Workforce'!$E171="Overnight"))),'Daily Workforce'!$V171*1000+171,999999999)</f>
        <v>999999999</v>
      </c>
      <c r="GA3" s="1" t="n">
        <f aca="false">IF(AND('Daily Workforce'!$N172="Y",'Daily Workforce'!$B172&lt;&gt;"",COUNTIF('Daily Schedule'!$F$5:$F6,'Daily Workforce'!$B172)=0,'Daily Workforce'!$M172="Y",IF(OR('Daily Schedule'!$E$2="Full Day",'Daily Schedule'!$E$2="AM"),'Daily Workforce'!$D172="3:45 AM",IF('Daily Schedule'!$E$2="PM",'Daily Workforce'!$E172="PM",'Daily Workforce'!$E172="Overnight"))),'Daily Workforce'!$V172*1000+172,999999999)</f>
        <v>999999999</v>
      </c>
      <c r="GB3" s="1" t="n">
        <f aca="false">IF(AND('Daily Workforce'!$N173="Y",'Daily Workforce'!$B173&lt;&gt;"",COUNTIF('Daily Schedule'!$F$5:$F6,'Daily Workforce'!$B173)=0,'Daily Workforce'!$M173="Y",IF(OR('Daily Schedule'!$E$2="Full Day",'Daily Schedule'!$E$2="AM"),'Daily Workforce'!$D173="3:45 AM",IF('Daily Schedule'!$E$2="PM",'Daily Workforce'!$E173="PM",'Daily Workforce'!$E173="Overnight"))),'Daily Workforce'!$V173*1000+173,999999999)</f>
        <v>999999999</v>
      </c>
      <c r="GC3" s="1" t="n">
        <f aca="false">IF(AND('Daily Workforce'!$N174="Y",'Daily Workforce'!$B174&lt;&gt;"",COUNTIF('Daily Schedule'!$F$5:$F6,'Daily Workforce'!$B174)=0,'Daily Workforce'!$M174="Y",IF(OR('Daily Schedule'!$E$2="Full Day",'Daily Schedule'!$E$2="AM"),'Daily Workforce'!$D174="3:45 AM",IF('Daily Schedule'!$E$2="PM",'Daily Workforce'!$E174="PM",'Daily Workforce'!$E174="Overnight"))),'Daily Workforce'!$V174*1000+174,999999999)</f>
        <v>999999999</v>
      </c>
      <c r="GD3" s="1" t="n">
        <f aca="false">IF(AND('Daily Workforce'!$N175="Y",'Daily Workforce'!$B175&lt;&gt;"",COUNTIF('Daily Schedule'!$F$5:$F6,'Daily Workforce'!$B175)=0,'Daily Workforce'!$M175="Y",IF(OR('Daily Schedule'!$E$2="Full Day",'Daily Schedule'!$E$2="AM"),'Daily Workforce'!$D175="3:45 AM",IF('Daily Schedule'!$E$2="PM",'Daily Workforce'!$E175="PM",'Daily Workforce'!$E175="Overnight"))),'Daily Workforce'!$V175*1000+175,999999999)</f>
        <v>999999999</v>
      </c>
      <c r="GE3" s="1" t="n">
        <f aca="false">IF(AND('Daily Workforce'!$N176="Y",'Daily Workforce'!$B176&lt;&gt;"",COUNTIF('Daily Schedule'!$F$5:$F6,'Daily Workforce'!$B176)=0,'Daily Workforce'!$M176="Y",IF(OR('Daily Schedule'!$E$2="Full Day",'Daily Schedule'!$E$2="AM"),'Daily Workforce'!$D176="3:45 AM",IF('Daily Schedule'!$E$2="PM",'Daily Workforce'!$E176="PM",'Daily Workforce'!$E176="Overnight"))),'Daily Workforce'!$V176*1000+176,999999999)</f>
        <v>999999999</v>
      </c>
      <c r="GF3" s="1" t="n">
        <f aca="false">IF(AND('Daily Workforce'!$N177="Y",'Daily Workforce'!$B177&lt;&gt;"",COUNTIF('Daily Schedule'!$F$5:$F6,'Daily Workforce'!$B177)=0,'Daily Workforce'!$M177="Y",IF(OR('Daily Schedule'!$E$2="Full Day",'Daily Schedule'!$E$2="AM"),'Daily Workforce'!$D177="3:45 AM",IF('Daily Schedule'!$E$2="PM",'Daily Workforce'!$E177="PM",'Daily Workforce'!$E177="Overnight"))),'Daily Workforce'!$V177*1000+177,999999999)</f>
        <v>999999999</v>
      </c>
      <c r="GG3" s="1" t="n">
        <f aca="false">IF(AND('Daily Workforce'!$N178="Y",'Daily Workforce'!$B178&lt;&gt;"",COUNTIF('Daily Schedule'!$F$5:$F6,'Daily Workforce'!$B178)=0,'Daily Workforce'!$M178="Y",IF(OR('Daily Schedule'!$E$2="Full Day",'Daily Schedule'!$E$2="AM"),'Daily Workforce'!$D178="3:45 AM",IF('Daily Schedule'!$E$2="PM",'Daily Workforce'!$E178="PM",'Daily Workforce'!$E178="Overnight"))),'Daily Workforce'!$V178*1000+178,999999999)</f>
        <v>999999999</v>
      </c>
      <c r="GH3" s="1" t="n">
        <f aca="false">IF(AND('Daily Workforce'!$N179="Y",'Daily Workforce'!$B179&lt;&gt;"",COUNTIF('Daily Schedule'!$F$5:$F6,'Daily Workforce'!$B179)=0,'Daily Workforce'!$M179="Y",IF(OR('Daily Schedule'!$E$2="Full Day",'Daily Schedule'!$E$2="AM"),'Daily Workforce'!$D179="3:45 AM",IF('Daily Schedule'!$E$2="PM",'Daily Workforce'!$E179="PM",'Daily Workforce'!$E179="Overnight"))),'Daily Workforce'!$V179*1000+179,999999999)</f>
        <v>999999999</v>
      </c>
      <c r="GI3" s="1" t="n">
        <f aca="false">IF(AND('Daily Workforce'!$N180="Y",'Daily Workforce'!$B180&lt;&gt;"",COUNTIF('Daily Schedule'!$F$5:$F6,'Daily Workforce'!$B180)=0,'Daily Workforce'!$M180="Y",IF(OR('Daily Schedule'!$E$2="Full Day",'Daily Schedule'!$E$2="AM"),'Daily Workforce'!$D180="3:45 AM",IF('Daily Schedule'!$E$2="PM",'Daily Workforce'!$E180="PM",'Daily Workforce'!$E180="Overnight"))),'Daily Workforce'!$V180*1000+180,999999999)</f>
        <v>999999999</v>
      </c>
      <c r="GJ3" s="1" t="n">
        <f aca="false">IF(AND('Daily Workforce'!$N181="Y",'Daily Workforce'!$B181&lt;&gt;"",COUNTIF('Daily Schedule'!$F$5:$F6,'Daily Workforce'!$B181)=0,'Daily Workforce'!$M181="Y",IF(OR('Daily Schedule'!$E$2="Full Day",'Daily Schedule'!$E$2="AM"),'Daily Workforce'!$D181="3:45 AM",IF('Daily Schedule'!$E$2="PM",'Daily Workforce'!$E181="PM",'Daily Workforce'!$E181="Overnight"))),'Daily Workforce'!$V181*1000+181,999999999)</f>
        <v>999999999</v>
      </c>
      <c r="GK3" s="1" t="n">
        <f aca="false">IF(AND('Daily Workforce'!$N182="Y",'Daily Workforce'!$B182&lt;&gt;"",COUNTIF('Daily Schedule'!$F$5:$F6,'Daily Workforce'!$B182)=0,'Daily Workforce'!$M182="Y",IF(OR('Daily Schedule'!$E$2="Full Day",'Daily Schedule'!$E$2="AM"),'Daily Workforce'!$D182="3:45 AM",IF('Daily Schedule'!$E$2="PM",'Daily Workforce'!$E182="PM",'Daily Workforce'!$E182="Overnight"))),'Daily Workforce'!$V182*1000+182,999999999)</f>
        <v>999999999</v>
      </c>
      <c r="GL3" s="1" t="n">
        <f aca="false">IF(AND('Daily Workforce'!$N183="Y",'Daily Workforce'!$B183&lt;&gt;"",COUNTIF('Daily Schedule'!$F$5:$F6,'Daily Workforce'!$B183)=0,'Daily Workforce'!$M183="Y",IF(OR('Daily Schedule'!$E$2="Full Day",'Daily Schedule'!$E$2="AM"),'Daily Workforce'!$D183="3:45 AM",IF('Daily Schedule'!$E$2="PM",'Daily Workforce'!$E183="PM",'Daily Workforce'!$E183="Overnight"))),'Daily Workforce'!$V183*1000+183,999999999)</f>
        <v>999999999</v>
      </c>
      <c r="GM3" s="1" t="n">
        <f aca="false">IF(AND('Daily Workforce'!$N184="Y",'Daily Workforce'!$B184&lt;&gt;"",COUNTIF('Daily Schedule'!$F$5:$F6,'Daily Workforce'!$B184)=0,'Daily Workforce'!$M184="Y",IF(OR('Daily Schedule'!$E$2="Full Day",'Daily Schedule'!$E$2="AM"),'Daily Workforce'!$D184="3:45 AM",IF('Daily Schedule'!$E$2="PM",'Daily Workforce'!$E184="PM",'Daily Workforce'!$E184="Overnight"))),'Daily Workforce'!$V184*1000+184,999999999)</f>
        <v>999999999</v>
      </c>
      <c r="GN3" s="1" t="n">
        <f aca="false">IF(AND('Daily Workforce'!$N185="Y",'Daily Workforce'!$B185&lt;&gt;"",COUNTIF('Daily Schedule'!$F$5:$F6,'Daily Workforce'!$B185)=0,'Daily Workforce'!$M185="Y",IF(OR('Daily Schedule'!$E$2="Full Day",'Daily Schedule'!$E$2="AM"),'Daily Workforce'!$D185="3:45 AM",IF('Daily Schedule'!$E$2="PM",'Daily Workforce'!$E185="PM",'Daily Workforce'!$E185="Overnight"))),'Daily Workforce'!$V185*1000+185,999999999)</f>
        <v>999999999</v>
      </c>
      <c r="GO3" s="1" t="n">
        <f aca="false">IF(AND('Daily Workforce'!$N186="Y",'Daily Workforce'!$B186&lt;&gt;"",COUNTIF('Daily Schedule'!$F$5:$F6,'Daily Workforce'!$B186)=0,'Daily Workforce'!$M186="Y",IF(OR('Daily Schedule'!$E$2="Full Day",'Daily Schedule'!$E$2="AM"),'Daily Workforce'!$D186="3:45 AM",IF('Daily Schedule'!$E$2="PM",'Daily Workforce'!$E186="PM",'Daily Workforce'!$E186="Overnight"))),'Daily Workforce'!$V186*1000+186,999999999)</f>
        <v>999999999</v>
      </c>
      <c r="GP3" s="1" t="n">
        <f aca="false">IF(AND('Daily Workforce'!$N187="Y",'Daily Workforce'!$B187&lt;&gt;"",COUNTIF('Daily Schedule'!$F$5:$F6,'Daily Workforce'!$B187)=0,'Daily Workforce'!$M187="Y",IF(OR('Daily Schedule'!$E$2="Full Day",'Daily Schedule'!$E$2="AM"),'Daily Workforce'!$D187="3:45 AM",IF('Daily Schedule'!$E$2="PM",'Daily Workforce'!$E187="PM",'Daily Workforce'!$E187="Overnight"))),'Daily Workforce'!$V187*1000+187,999999999)</f>
        <v>999999999</v>
      </c>
      <c r="GQ3" s="1" t="n">
        <f aca="false">IF(AND('Daily Workforce'!$N188="Y",'Daily Workforce'!$B188&lt;&gt;"",COUNTIF('Daily Schedule'!$F$5:$F6,'Daily Workforce'!$B188)=0,'Daily Workforce'!$M188="Y",IF(OR('Daily Schedule'!$E$2="Full Day",'Daily Schedule'!$E$2="AM"),'Daily Workforce'!$D188="3:45 AM",IF('Daily Schedule'!$E$2="PM",'Daily Workforce'!$E188="PM",'Daily Workforce'!$E188="Overnight"))),'Daily Workforce'!$V188*1000+188,999999999)</f>
        <v>999999999</v>
      </c>
      <c r="GR3" s="1" t="n">
        <f aca="false">IF(AND('Daily Workforce'!$N189="Y",'Daily Workforce'!$B189&lt;&gt;"",COUNTIF('Daily Schedule'!$F$5:$F6,'Daily Workforce'!$B189)=0,'Daily Workforce'!$M189="Y",IF(OR('Daily Schedule'!$E$2="Full Day",'Daily Schedule'!$E$2="AM"),'Daily Workforce'!$D189="3:45 AM",IF('Daily Schedule'!$E$2="PM",'Daily Workforce'!$E189="PM",'Daily Workforce'!$E189="Overnight"))),'Daily Workforce'!$V189*1000+189,999999999)</f>
        <v>999999999</v>
      </c>
      <c r="GS3" s="1" t="n">
        <f aca="false">IF(AND('Daily Workforce'!$N190="Y",'Daily Workforce'!$B190&lt;&gt;"",COUNTIF('Daily Schedule'!$F$5:$F6,'Daily Workforce'!$B190)=0,'Daily Workforce'!$M190="Y",IF(OR('Daily Schedule'!$E$2="Full Day",'Daily Schedule'!$E$2="AM"),'Daily Workforce'!$D190="3:45 AM",IF('Daily Schedule'!$E$2="PM",'Daily Workforce'!$E190="PM",'Daily Workforce'!$E190="Overnight"))),'Daily Workforce'!$V190*1000+190,999999999)</f>
        <v>999999999</v>
      </c>
      <c r="GT3" s="1" t="n">
        <f aca="false">IF(AND('Daily Workforce'!$N191="Y",'Daily Workforce'!$B191&lt;&gt;"",COUNTIF('Daily Schedule'!$F$5:$F6,'Daily Workforce'!$B191)=0,'Daily Workforce'!$M191="Y",IF(OR('Daily Schedule'!$E$2="Full Day",'Daily Schedule'!$E$2="AM"),'Daily Workforce'!$D191="3:45 AM",IF('Daily Schedule'!$E$2="PM",'Daily Workforce'!$E191="PM",'Daily Workforce'!$E191="Overnight"))),'Daily Workforce'!$V191*1000+191,999999999)</f>
        <v>999999999</v>
      </c>
      <c r="GU3" s="1" t="n">
        <f aca="false">IF(AND('Daily Workforce'!$N192="Y",'Daily Workforce'!$B192&lt;&gt;"",COUNTIF('Daily Schedule'!$F$5:$F6,'Daily Workforce'!$B192)=0,'Daily Workforce'!$M192="Y",IF(OR('Daily Schedule'!$E$2="Full Day",'Daily Schedule'!$E$2="AM"),'Daily Workforce'!$D192="3:45 AM",IF('Daily Schedule'!$E$2="PM",'Daily Workforce'!$E192="PM",'Daily Workforce'!$E192="Overnight"))),'Daily Workforce'!$V192*1000+192,999999999)</f>
        <v>999999999</v>
      </c>
      <c r="GV3" s="1" t="n">
        <f aca="false">IF(AND('Daily Workforce'!$N193="Y",'Daily Workforce'!$B193&lt;&gt;"",COUNTIF('Daily Schedule'!$F$5:$F6,'Daily Workforce'!$B193)=0,'Daily Workforce'!$M193="Y",IF(OR('Daily Schedule'!$E$2="Full Day",'Daily Schedule'!$E$2="AM"),'Daily Workforce'!$D193="3:45 AM",IF('Daily Schedule'!$E$2="PM",'Daily Workforce'!$E193="PM",'Daily Workforce'!$E193="Overnight"))),'Daily Workforce'!$V193*1000+193,999999999)</f>
        <v>999999999</v>
      </c>
      <c r="GW3" s="1" t="n">
        <f aca="false">IF(AND('Daily Workforce'!$N194="Y",'Daily Workforce'!$B194&lt;&gt;"",COUNTIF('Daily Schedule'!$F$5:$F6,'Daily Workforce'!$B194)=0,'Daily Workforce'!$M194="Y",IF(OR('Daily Schedule'!$E$2="Full Day",'Daily Schedule'!$E$2="AM"),'Daily Workforce'!$D194="3:45 AM",IF('Daily Schedule'!$E$2="PM",'Daily Workforce'!$E194="PM",'Daily Workforce'!$E194="Overnight"))),'Daily Workforce'!$V194*1000+194,999999999)</f>
        <v>999999999</v>
      </c>
      <c r="GX3" s="1" t="n">
        <f aca="false">IF(AND('Daily Workforce'!$N195="Y",'Daily Workforce'!$B195&lt;&gt;"",COUNTIF('Daily Schedule'!$F$5:$F6,'Daily Workforce'!$B195)=0,'Daily Workforce'!$M195="Y",IF(OR('Daily Schedule'!$E$2="Full Day",'Daily Schedule'!$E$2="AM"),'Daily Workforce'!$D195="3:45 AM",IF('Daily Schedule'!$E$2="PM",'Daily Workforce'!$E195="PM",'Daily Workforce'!$E195="Overnight"))),'Daily Workforce'!$V195*1000+195,999999999)</f>
        <v>999999999</v>
      </c>
      <c r="GY3" s="1" t="n">
        <f aca="false">IF(AND('Daily Workforce'!$N196="Y",'Daily Workforce'!$B196&lt;&gt;"",COUNTIF('Daily Schedule'!$F$5:$F6,'Daily Workforce'!$B196)=0,'Daily Workforce'!$M196="Y",IF(OR('Daily Schedule'!$E$2="Full Day",'Daily Schedule'!$E$2="AM"),'Daily Workforce'!$D196="3:45 AM",IF('Daily Schedule'!$E$2="PM",'Daily Workforce'!$E196="PM",'Daily Workforce'!$E196="Overnight"))),'Daily Workforce'!$V196*1000+196,999999999)</f>
        <v>999999999</v>
      </c>
      <c r="GZ3" s="1" t="n">
        <f aca="false">IF(AND('Daily Workforce'!$N197="Y",'Daily Workforce'!$B197&lt;&gt;"",COUNTIF('Daily Schedule'!$F$5:$F6,'Daily Workforce'!$B197)=0,'Daily Workforce'!$M197="Y",IF(OR('Daily Schedule'!$E$2="Full Day",'Daily Schedule'!$E$2="AM"),'Daily Workforce'!$D197="3:45 AM",IF('Daily Schedule'!$E$2="PM",'Daily Workforce'!$E197="PM",'Daily Workforce'!$E197="Overnight"))),'Daily Workforce'!$V197*1000+197,999999999)</f>
        <v>999999999</v>
      </c>
      <c r="HA3" s="1" t="n">
        <f aca="false">IF(AND('Daily Workforce'!$N198="Y",'Daily Workforce'!$B198&lt;&gt;"",COUNTIF('Daily Schedule'!$F$5:$F6,'Daily Workforce'!$B198)=0,'Daily Workforce'!$M198="Y",IF(OR('Daily Schedule'!$E$2="Full Day",'Daily Schedule'!$E$2="AM"),'Daily Workforce'!$D198="3:45 AM",IF('Daily Schedule'!$E$2="PM",'Daily Workforce'!$E198="PM",'Daily Workforce'!$E198="Overnight"))),'Daily Workforce'!$V198*1000+198,999999999)</f>
        <v>999999999</v>
      </c>
      <c r="HB3" s="1" t="n">
        <f aca="false">IF(AND('Daily Workforce'!$N199="Y",'Daily Workforce'!$B199&lt;&gt;"",COUNTIF('Daily Schedule'!$F$5:$F6,'Daily Workforce'!$B199)=0,'Daily Workforce'!$M199="Y",IF(OR('Daily Schedule'!$E$2="Full Day",'Daily Schedule'!$E$2="AM"),'Daily Workforce'!$D199="3:45 AM",IF('Daily Schedule'!$E$2="PM",'Daily Workforce'!$E199="PM",'Daily Workforce'!$E199="Overnight"))),'Daily Workforce'!$V199*1000+199,999999999)</f>
        <v>999999999</v>
      </c>
      <c r="HC3" s="1" t="n">
        <f aca="false">IF(AND('Daily Workforce'!$N200="Y",'Daily Workforce'!$B200&lt;&gt;"",COUNTIF('Daily Schedule'!$F$5:$F6,'Daily Workforce'!$B200)=0,'Daily Workforce'!$M200="Y",IF(OR('Daily Schedule'!$E$2="Full Day",'Daily Schedule'!$E$2="AM"),'Daily Workforce'!$D200="3:45 AM",IF('Daily Schedule'!$E$2="PM",'Daily Workforce'!$E200="PM",'Daily Workforce'!$E200="Overnight"))),'Daily Workforce'!$V200*1000+200,999999999)</f>
        <v>999999999</v>
      </c>
      <c r="HD3" s="1" t="n">
        <f aca="false">IF(AND('Daily Workforce'!$N201="Y",'Daily Workforce'!$B201&lt;&gt;"",COUNTIF('Daily Schedule'!$F$5:$F6,'Daily Workforce'!$B201)=0,'Daily Workforce'!$M201="Y",IF(OR('Daily Schedule'!$E$2="Full Day",'Daily Schedule'!$E$2="AM"),'Daily Workforce'!$D201="3:45 AM",IF('Daily Schedule'!$E$2="PM",'Daily Workforce'!$E201="PM",'Daily Workforce'!$E201="Overnight"))),'Daily Workforce'!$V201*1000+201,999999999)</f>
        <v>999999999</v>
      </c>
      <c r="HE3" s="1" t="n">
        <f aca="false">IF(AND('Daily Workforce'!$N202="Y",'Daily Workforce'!$B202&lt;&gt;"",COUNTIF('Daily Schedule'!$F$5:$F6,'Daily Workforce'!$B202)=0,'Daily Workforce'!$M202="Y",IF(OR('Daily Schedule'!$E$2="Full Day",'Daily Schedule'!$E$2="AM"),'Daily Workforce'!$D202="3:45 AM",IF('Daily Schedule'!$E$2="PM",'Daily Workforce'!$E202="PM",'Daily Workforce'!$E202="Overnight"))),'Daily Workforce'!$V202*1000+202,999999999)</f>
        <v>999999999</v>
      </c>
      <c r="HF3" s="1" t="n">
        <f aca="false">IF(AND('Daily Workforce'!$N203="Y",'Daily Workforce'!$B203&lt;&gt;"",COUNTIF('Daily Schedule'!$F$5:$F6,'Daily Workforce'!$B203)=0,'Daily Workforce'!$M203="Y",IF(OR('Daily Schedule'!$E$2="Full Day",'Daily Schedule'!$E$2="AM"),'Daily Workforce'!$D203="3:45 AM",IF('Daily Schedule'!$E$2="PM",'Daily Workforce'!$E203="PM",'Daily Workforce'!$E203="Overnight"))),'Daily Workforce'!$V203*1000+203,999999999)</f>
        <v>999999999</v>
      </c>
      <c r="HG3" s="1" t="n">
        <f aca="false">IF(AND('Daily Workforce'!$N204="Y",'Daily Workforce'!$B204&lt;&gt;"",COUNTIF('Daily Schedule'!$F$5:$F6,'Daily Workforce'!$B204)=0,'Daily Workforce'!$M204="Y",IF(OR('Daily Schedule'!$E$2="Full Day",'Daily Schedule'!$E$2="AM"),'Daily Workforce'!$D204="3:45 AM",IF('Daily Schedule'!$E$2="PM",'Daily Workforce'!$E204="PM",'Daily Workforce'!$E204="Overnight"))),'Daily Workforce'!$V204*1000+204,999999999)</f>
        <v>999999999</v>
      </c>
      <c r="HH3" s="1" t="n">
        <f aca="false">IF(AND('Daily Workforce'!$N205="Y",'Daily Workforce'!$B205&lt;&gt;"",COUNTIF('Daily Schedule'!$F$5:$F6,'Daily Workforce'!$B205)=0,'Daily Workforce'!$M205="Y",IF(OR('Daily Schedule'!$E$2="Full Day",'Daily Schedule'!$E$2="AM"),'Daily Workforce'!$D205="3:45 AM",IF('Daily Schedule'!$E$2="PM",'Daily Workforce'!$E205="PM",'Daily Workforce'!$E205="Overnight"))),'Daily Workforce'!$V205*1000+205,999999999)</f>
        <v>999999999</v>
      </c>
      <c r="HI3" s="1" t="n">
        <v>47</v>
      </c>
      <c r="HJ3" s="1" t="str">
        <f aca="false">IF(MIN(HL3:JK3)&gt;=999999999,"",IFERROR(INDEX('Daily Schedule'!$F$6:$F$57,MATCH(MIN(HL3:JK3),HL3:JK3,0)),""))</f>
        <v>EMP-0018</v>
      </c>
      <c r="HK3" s="1" t="n">
        <f aca="false">IF($HJ3="","",IFERROR(INDEX('Daily Schedule'!$A$6:$A$57,MATCH($HJ3,'Daily Schedule'!$F$6:$F$57,0)),""))</f>
        <v>9</v>
      </c>
      <c r="HL3" s="1" t="n">
        <f aca="false">IF(AND('Daily Schedule'!$F$6&lt;&gt;"",'Daily Schedule'!$H$6="5:45 AM",'Daily Schedule'!$D$6&lt;&gt;"Tier 1",IFERROR(INDEX('Daily Workforce'!$M$6:$M$205,MATCH('Daily Schedule'!$F$6,'Daily Workforce'!$B$6:$B$205,0)),"N")="Y",COUNTIF($HJ$1:HJ2,'Daily Schedule'!$F$6)=0),IFERROR(INDEX('Daily Workforce'!$V$6:$V$205,MATCH('Daily Schedule'!$F$6,'Daily Workforce'!$B$6:$B$205,0)),0)*1000+6,999999999)</f>
        <v>999999999</v>
      </c>
      <c r="HM3" s="1" t="n">
        <f aca="false">IF(AND('Daily Schedule'!$F$7&lt;&gt;"",'Daily Schedule'!$H$7="5:45 AM",'Daily Schedule'!$D$7&lt;&gt;"Tier 1",IFERROR(INDEX('Daily Workforce'!$M$6:$M$205,MATCH('Daily Schedule'!$F$7,'Daily Workforce'!$B$6:$B$205,0)),"N")="Y",COUNTIF($HJ$1:HJ2,'Daily Schedule'!$F$7)=0),IFERROR(INDEX('Daily Workforce'!$V$6:$V$205,MATCH('Daily Schedule'!$F$7,'Daily Workforce'!$B$6:$B$205,0)),0)*1000+7,999999999)</f>
        <v>999999999</v>
      </c>
      <c r="HN3" s="1" t="n">
        <f aca="false">IF(AND('Daily Schedule'!$F$8&lt;&gt;"",'Daily Schedule'!$H$8="5:45 AM",'Daily Schedule'!$D$8&lt;&gt;"Tier 1",IFERROR(INDEX('Daily Workforce'!$M$6:$M$205,MATCH('Daily Schedule'!$F$8,'Daily Workforce'!$B$6:$B$205,0)),"N")="Y",COUNTIF($HJ$1:HJ2,'Daily Schedule'!$F$8)=0),IFERROR(INDEX('Daily Workforce'!$V$6:$V$205,MATCH('Daily Schedule'!$F$8,'Daily Workforce'!$B$6:$B$205,0)),0)*1000+8,999999999)</f>
        <v>999999999</v>
      </c>
      <c r="HO3" s="1" t="n">
        <f aca="false">IF(AND('Daily Schedule'!$F$9&lt;&gt;"",'Daily Schedule'!$H$9="5:45 AM",'Daily Schedule'!$D$9&lt;&gt;"Tier 1",IFERROR(INDEX('Daily Workforce'!$M$6:$M$205,MATCH('Daily Schedule'!$F$9,'Daily Workforce'!$B$6:$B$205,0)),"N")="Y",COUNTIF($HJ$1:HJ2,'Daily Schedule'!$F$9)=0),IFERROR(INDEX('Daily Workforce'!$V$6:$V$205,MATCH('Daily Schedule'!$F$9,'Daily Workforce'!$B$6:$B$205,0)),0)*1000+9,999999999)</f>
        <v>999999999</v>
      </c>
      <c r="HP3" s="1" t="n">
        <f aca="false">IF(AND('Daily Schedule'!$F$10&lt;&gt;"",'Daily Schedule'!$H$10="5:45 AM",'Daily Schedule'!$D$10&lt;&gt;"Tier 1",IFERROR(INDEX('Daily Workforce'!$M$6:$M$205,MATCH('Daily Schedule'!$F$10,'Daily Workforce'!$B$6:$B$205,0)),"N")="Y",COUNTIF($HJ$1:HJ2,'Daily Schedule'!$F$10)=0),IFERROR(INDEX('Daily Workforce'!$V$6:$V$205,MATCH('Daily Schedule'!$F$10,'Daily Workforce'!$B$6:$B$205,0)),0)*1000+10,999999999)</f>
        <v>999999999</v>
      </c>
      <c r="HQ3" s="1" t="n">
        <f aca="false">IF(AND('Daily Schedule'!$F$11&lt;&gt;"",'Daily Schedule'!$H$11="5:45 AM",'Daily Schedule'!$D$11&lt;&gt;"Tier 1",IFERROR(INDEX('Daily Workforce'!$M$6:$M$205,MATCH('Daily Schedule'!$F$11,'Daily Workforce'!$B$6:$B$205,0)),"N")="Y",COUNTIF($HJ$1:HJ2,'Daily Schedule'!$F$11)=0),IFERROR(INDEX('Daily Workforce'!$V$6:$V$205,MATCH('Daily Schedule'!$F$11,'Daily Workforce'!$B$6:$B$205,0)),0)*1000+11,999999999)</f>
        <v>999999999</v>
      </c>
      <c r="HR3" s="1" t="n">
        <f aca="false">IF(AND('Daily Schedule'!$F$12&lt;&gt;"",'Daily Schedule'!$H$12="5:45 AM",'Daily Schedule'!$D$12&lt;&gt;"Tier 1",IFERROR(INDEX('Daily Workforce'!$M$6:$M$205,MATCH('Daily Schedule'!$F$12,'Daily Workforce'!$B$6:$B$205,0)),"N")="Y",COUNTIF($HJ$1:HJ2,'Daily Schedule'!$F$12)=0),IFERROR(INDEX('Daily Workforce'!$V$6:$V$205,MATCH('Daily Schedule'!$F$12,'Daily Workforce'!$B$6:$B$205,0)),0)*1000+12,999999999)</f>
        <v>999999999</v>
      </c>
      <c r="HS3" s="1" t="n">
        <f aca="false">IF(AND('Daily Schedule'!$F$13&lt;&gt;"",'Daily Schedule'!$H$13="5:45 AM",'Daily Schedule'!$D$13&lt;&gt;"Tier 1",IFERROR(INDEX('Daily Workforce'!$M$6:$M$205,MATCH('Daily Schedule'!$F$13,'Daily Workforce'!$B$6:$B$205,0)),"N")="Y",COUNTIF($HJ$1:HJ2,'Daily Schedule'!$F$13)=0),IFERROR(INDEX('Daily Workforce'!$V$6:$V$205,MATCH('Daily Schedule'!$F$13,'Daily Workforce'!$B$6:$B$205,0)),0)*1000+13,999999999)</f>
        <v>999999999</v>
      </c>
      <c r="HT3" s="1" t="n">
        <f aca="false">IF(AND('Daily Schedule'!$F$14&lt;&gt;"",'Daily Schedule'!$H$14="5:45 AM",'Daily Schedule'!$D$14&lt;&gt;"Tier 1",IFERROR(INDEX('Daily Workforce'!$M$6:$M$205,MATCH('Daily Schedule'!$F$14,'Daily Workforce'!$B$6:$B$205,0)),"N")="Y",COUNTIF($HJ$1:HJ2,'Daily Schedule'!$F$14)=0),IFERROR(INDEX('Daily Workforce'!$V$6:$V$205,MATCH('Daily Schedule'!$F$14,'Daily Workforce'!$B$6:$B$205,0)),0)*1000+14,999999999)</f>
        <v>999999999</v>
      </c>
      <c r="HU3" s="1" t="n">
        <f aca="false">IF(AND('Daily Schedule'!$F$15&lt;&gt;"",'Daily Schedule'!$H$15="5:45 AM",'Daily Schedule'!$D$15&lt;&gt;"Tier 1",IFERROR(INDEX('Daily Workforce'!$M$6:$M$205,MATCH('Daily Schedule'!$F$15,'Daily Workforce'!$B$6:$B$205,0)),"N")="Y",COUNTIF($HJ$1:HJ2,'Daily Schedule'!$F$15)=0),IFERROR(INDEX('Daily Workforce'!$V$6:$V$205,MATCH('Daily Schedule'!$F$15,'Daily Workforce'!$B$6:$B$205,0)),0)*1000+15,999999999)</f>
        <v>999999999</v>
      </c>
      <c r="HV3" s="1" t="n">
        <f aca="false">IF(AND('Daily Schedule'!$F$16&lt;&gt;"",'Daily Schedule'!$H$16="5:45 AM",'Daily Schedule'!$D$16&lt;&gt;"Tier 1",IFERROR(INDEX('Daily Workforce'!$M$6:$M$205,MATCH('Daily Schedule'!$F$16,'Daily Workforce'!$B$6:$B$205,0)),"N")="Y",COUNTIF($HJ$1:HJ2,'Daily Schedule'!$F$16)=0),IFERROR(INDEX('Daily Workforce'!$V$6:$V$205,MATCH('Daily Schedule'!$F$16,'Daily Workforce'!$B$6:$B$205,0)),0)*1000+16,999999999)</f>
        <v>999999999</v>
      </c>
      <c r="HW3" s="1" t="n">
        <f aca="false">IF(AND('Daily Schedule'!$F$17&lt;&gt;"",'Daily Schedule'!$H$17="5:45 AM",'Daily Schedule'!$D$17&lt;&gt;"Tier 1",IFERROR(INDEX('Daily Workforce'!$M$6:$M$205,MATCH('Daily Schedule'!$F$17,'Daily Workforce'!$B$6:$B$205,0)),"N")="Y",COUNTIF($HJ$1:HJ2,'Daily Schedule'!$F$17)=0),IFERROR(INDEX('Daily Workforce'!$V$6:$V$205,MATCH('Daily Schedule'!$F$17,'Daily Workforce'!$B$6:$B$205,0)),0)*1000+17,999999999)</f>
        <v>999999999</v>
      </c>
      <c r="HX3" s="1" t="n">
        <f aca="false">IF(AND('Daily Schedule'!$F$18&lt;&gt;"",'Daily Schedule'!$H$18="5:45 AM",'Daily Schedule'!$D$18&lt;&gt;"Tier 1",IFERROR(INDEX('Daily Workforce'!$M$6:$M$205,MATCH('Daily Schedule'!$F$18,'Daily Workforce'!$B$6:$B$205,0)),"N")="Y",COUNTIF($HJ$1:HJ2,'Daily Schedule'!$F$18)=0),IFERROR(INDEX('Daily Workforce'!$V$6:$V$205,MATCH('Daily Schedule'!$F$18,'Daily Workforce'!$B$6:$B$205,0)),0)*1000+18,999999999)</f>
        <v>999999999</v>
      </c>
      <c r="HY3" s="1" t="n">
        <f aca="false">IF(AND('Daily Schedule'!$F$19&lt;&gt;"",'Daily Schedule'!$H$19="5:45 AM",'Daily Schedule'!$D$19&lt;&gt;"Tier 1",IFERROR(INDEX('Daily Workforce'!$M$6:$M$205,MATCH('Daily Schedule'!$F$19,'Daily Workforce'!$B$6:$B$205,0)),"N")="Y",COUNTIF($HJ$1:HJ2,'Daily Schedule'!$F$19)=0),IFERROR(INDEX('Daily Workforce'!$V$6:$V$205,MATCH('Daily Schedule'!$F$19,'Daily Workforce'!$B$6:$B$205,0)),0)*1000+19,999999999)</f>
        <v>999999999</v>
      </c>
      <c r="HZ3" s="1" t="n">
        <f aca="false">IF(AND('Daily Schedule'!$F$20&lt;&gt;"",'Daily Schedule'!$H$20="5:45 AM",'Daily Schedule'!$D$20&lt;&gt;"Tier 1",IFERROR(INDEX('Daily Workforce'!$M$6:$M$205,MATCH('Daily Schedule'!$F$20,'Daily Workforce'!$B$6:$B$205,0)),"N")="Y",COUNTIF($HJ$1:HJ2,'Daily Schedule'!$F$20)=0),IFERROR(INDEX('Daily Workforce'!$V$6:$V$205,MATCH('Daily Schedule'!$F$20,'Daily Workforce'!$B$6:$B$205,0)),0)*1000+20,999999999)</f>
        <v>999999999</v>
      </c>
      <c r="IA3" s="1" t="n">
        <f aca="false">IF(AND('Daily Schedule'!$F$21&lt;&gt;"",'Daily Schedule'!$H$21="5:45 AM",'Daily Schedule'!$D$21&lt;&gt;"Tier 1",IFERROR(INDEX('Daily Workforce'!$M$6:$M$205,MATCH('Daily Schedule'!$F$21,'Daily Workforce'!$B$6:$B$205,0)),"N")="Y",COUNTIF($HJ$1:HJ2,'Daily Schedule'!$F$21)=0),IFERROR(INDEX('Daily Workforce'!$V$6:$V$205,MATCH('Daily Schedule'!$F$21,'Daily Workforce'!$B$6:$B$205,0)),0)*1000+21,999999999)</f>
        <v>999999999</v>
      </c>
      <c r="IB3" s="1" t="n">
        <f aca="false">IF(AND('Daily Schedule'!$F$22&lt;&gt;"",'Daily Schedule'!$H$22="5:45 AM",'Daily Schedule'!$D$22&lt;&gt;"Tier 1",IFERROR(INDEX('Daily Workforce'!$M$6:$M$205,MATCH('Daily Schedule'!$F$22,'Daily Workforce'!$B$6:$B$205,0)),"N")="Y",COUNTIF($HJ$1:HJ2,'Daily Schedule'!$F$22)=0),IFERROR(INDEX('Daily Workforce'!$V$6:$V$205,MATCH('Daily Schedule'!$F$22,'Daily Workforce'!$B$6:$B$205,0)),0)*1000+22,999999999)</f>
        <v>999999999</v>
      </c>
      <c r="IC3" s="1" t="n">
        <f aca="false">IF(AND('Daily Schedule'!$F$23&lt;&gt;"",'Daily Schedule'!$H$23="5:45 AM",'Daily Schedule'!$D$23&lt;&gt;"Tier 1",IFERROR(INDEX('Daily Workforce'!$M$6:$M$205,MATCH('Daily Schedule'!$F$23,'Daily Workforce'!$B$6:$B$205,0)),"N")="Y",COUNTIF($HJ$1:HJ2,'Daily Schedule'!$F$23)=0),IFERROR(INDEX('Daily Workforce'!$V$6:$V$205,MATCH('Daily Schedule'!$F$23,'Daily Workforce'!$B$6:$B$205,0)),0)*1000+23,999999999)</f>
        <v>999999999</v>
      </c>
      <c r="ID3" s="1" t="n">
        <f aca="false">IF(AND('Daily Schedule'!$F$24&lt;&gt;"",'Daily Schedule'!$H$24="5:45 AM",'Daily Schedule'!$D$24&lt;&gt;"Tier 1",IFERROR(INDEX('Daily Workforce'!$M$6:$M$205,MATCH('Daily Schedule'!$F$24,'Daily Workforce'!$B$6:$B$205,0)),"N")="Y",COUNTIF($HJ$1:HJ2,'Daily Schedule'!$F$24)=0),IFERROR(INDEX('Daily Workforce'!$V$6:$V$205,MATCH('Daily Schedule'!$F$24,'Daily Workforce'!$B$6:$B$205,0)),0)*1000+24,999999999)</f>
        <v>999999999</v>
      </c>
      <c r="IE3" s="1" t="n">
        <f aca="false">IF(AND('Daily Schedule'!$F$25&lt;&gt;"",'Daily Schedule'!$H$25="5:45 AM",'Daily Schedule'!$D$25&lt;&gt;"Tier 1",IFERROR(INDEX('Daily Workforce'!$M$6:$M$205,MATCH('Daily Schedule'!$F$25,'Daily Workforce'!$B$6:$B$205,0)),"N")="Y",COUNTIF($HJ$1:HJ2,'Daily Schedule'!$F$25)=0),IFERROR(INDEX('Daily Workforce'!$V$6:$V$205,MATCH('Daily Schedule'!$F$25,'Daily Workforce'!$B$6:$B$205,0)),0)*1000+25,999999999)</f>
        <v>999999999</v>
      </c>
      <c r="IF3" s="1" t="n">
        <f aca="false">IF(AND('Daily Schedule'!$F$26&lt;&gt;"",'Daily Schedule'!$H$26="5:45 AM",'Daily Schedule'!$D$26&lt;&gt;"Tier 1",IFERROR(INDEX('Daily Workforce'!$M$6:$M$205,MATCH('Daily Schedule'!$F$26,'Daily Workforce'!$B$6:$B$205,0)),"N")="Y",COUNTIF($HJ$1:HJ2,'Daily Schedule'!$F$26)=0),IFERROR(INDEX('Daily Workforce'!$V$6:$V$205,MATCH('Daily Schedule'!$F$26,'Daily Workforce'!$B$6:$B$205,0)),0)*1000+26,999999999)</f>
        <v>999999999</v>
      </c>
      <c r="IG3" s="1" t="n">
        <f aca="false">IF(AND('Daily Schedule'!$F$27&lt;&gt;"",'Daily Schedule'!$H$27="5:45 AM",'Daily Schedule'!$D$27&lt;&gt;"Tier 1",IFERROR(INDEX('Daily Workforce'!$M$6:$M$205,MATCH('Daily Schedule'!$F$27,'Daily Workforce'!$B$6:$B$205,0)),"N")="Y",COUNTIF($HJ$1:HJ2,'Daily Schedule'!$F$27)=0),IFERROR(INDEX('Daily Workforce'!$V$6:$V$205,MATCH('Daily Schedule'!$F$27,'Daily Workforce'!$B$6:$B$205,0)),0)*1000+27,999999999)</f>
        <v>999999999</v>
      </c>
      <c r="IH3" s="1" t="n">
        <f aca="false">IF(AND('Daily Schedule'!$F$28&lt;&gt;"",'Daily Schedule'!$H$28="5:45 AM",'Daily Schedule'!$D$28&lt;&gt;"Tier 1",IFERROR(INDEX('Daily Workforce'!$M$6:$M$205,MATCH('Daily Schedule'!$F$28,'Daily Workforce'!$B$6:$B$205,0)),"N")="Y",COUNTIF($HJ$1:HJ2,'Daily Schedule'!$F$28)=0),IFERROR(INDEX('Daily Workforce'!$V$6:$V$205,MATCH('Daily Schedule'!$F$28,'Daily Workforce'!$B$6:$B$205,0)),0)*1000+28,999999999)</f>
        <v>999999999</v>
      </c>
      <c r="II3" s="1" t="n">
        <f aca="false">IF(AND('Daily Schedule'!$F$29&lt;&gt;"",'Daily Schedule'!$H$29="5:45 AM",'Daily Schedule'!$D$29&lt;&gt;"Tier 1",IFERROR(INDEX('Daily Workforce'!$M$6:$M$205,MATCH('Daily Schedule'!$F$29,'Daily Workforce'!$B$6:$B$205,0)),"N")="Y",COUNTIF($HJ$1:HJ2,'Daily Schedule'!$F$29)=0),IFERROR(INDEX('Daily Workforce'!$V$6:$V$205,MATCH('Daily Schedule'!$F$29,'Daily Workforce'!$B$6:$B$205,0)),0)*1000+29,999999999)</f>
        <v>999999999</v>
      </c>
      <c r="IJ3" s="1" t="n">
        <f aca="false">IF(AND('Daily Schedule'!$F$30&lt;&gt;"",'Daily Schedule'!$H$30="5:45 AM",'Daily Schedule'!$D$30&lt;&gt;"Tier 1",IFERROR(INDEX('Daily Workforce'!$M$6:$M$205,MATCH('Daily Schedule'!$F$30,'Daily Workforce'!$B$6:$B$205,0)),"N")="Y",COUNTIF($HJ$1:HJ2,'Daily Schedule'!$F$30)=0),IFERROR(INDEX('Daily Workforce'!$V$6:$V$205,MATCH('Daily Schedule'!$F$30,'Daily Workforce'!$B$6:$B$205,0)),0)*1000+30,999999999)</f>
        <v>999999999</v>
      </c>
      <c r="IK3" s="1" t="n">
        <f aca="false">IF(AND('Daily Schedule'!$F$31&lt;&gt;"",'Daily Schedule'!$H$31="5:45 AM",'Daily Schedule'!$D$31&lt;&gt;"Tier 1",IFERROR(INDEX('Daily Workforce'!$M$6:$M$205,MATCH('Daily Schedule'!$F$31,'Daily Workforce'!$B$6:$B$205,0)),"N")="Y",COUNTIF($HJ$1:HJ2,'Daily Schedule'!$F$31)=0),IFERROR(INDEX('Daily Workforce'!$V$6:$V$205,MATCH('Daily Schedule'!$F$31,'Daily Workforce'!$B$6:$B$205,0)),0)*1000+31,999999999)</f>
        <v>31</v>
      </c>
      <c r="IL3" s="1" t="n">
        <f aca="false">IF(AND('Daily Schedule'!$F$32&lt;&gt;"",'Daily Schedule'!$H$32="5:45 AM",'Daily Schedule'!$D$32&lt;&gt;"Tier 1",IFERROR(INDEX('Daily Workforce'!$M$6:$M$205,MATCH('Daily Schedule'!$F$32,'Daily Workforce'!$B$6:$B$205,0)),"N")="Y",COUNTIF($HJ$1:HJ2,'Daily Schedule'!$F$32)=0),IFERROR(INDEX('Daily Workforce'!$V$6:$V$205,MATCH('Daily Schedule'!$F$32,'Daily Workforce'!$B$6:$B$205,0)),0)*1000+32,999999999)</f>
        <v>32</v>
      </c>
      <c r="IM3" s="1" t="n">
        <f aca="false">IF(AND('Daily Schedule'!$F$33&lt;&gt;"",'Daily Schedule'!$H$33="5:45 AM",'Daily Schedule'!$D$33&lt;&gt;"Tier 1",IFERROR(INDEX('Daily Workforce'!$M$6:$M$205,MATCH('Daily Schedule'!$F$33,'Daily Workforce'!$B$6:$B$205,0)),"N")="Y",COUNTIF($HJ$1:HJ2,'Daily Schedule'!$F$33)=0),IFERROR(INDEX('Daily Workforce'!$V$6:$V$205,MATCH('Daily Schedule'!$F$33,'Daily Workforce'!$B$6:$B$205,0)),0)*1000+33,999999999)</f>
        <v>33</v>
      </c>
      <c r="IN3" s="1" t="n">
        <f aca="false">IF(AND('Daily Schedule'!$F$34&lt;&gt;"",'Daily Schedule'!$H$34="5:45 AM",'Daily Schedule'!$D$34&lt;&gt;"Tier 1",IFERROR(INDEX('Daily Workforce'!$M$6:$M$205,MATCH('Daily Schedule'!$F$34,'Daily Workforce'!$B$6:$B$205,0)),"N")="Y",COUNTIF($HJ$1:HJ2,'Daily Schedule'!$F$34)=0),IFERROR(INDEX('Daily Workforce'!$V$6:$V$205,MATCH('Daily Schedule'!$F$34,'Daily Workforce'!$B$6:$B$205,0)),0)*1000+34,999999999)</f>
        <v>34</v>
      </c>
      <c r="IO3" s="1" t="n">
        <f aca="false">IF(AND('Daily Schedule'!$F$35&lt;&gt;"",'Daily Schedule'!$H$35="5:45 AM",'Daily Schedule'!$D$35&lt;&gt;"Tier 1",IFERROR(INDEX('Daily Workforce'!$M$6:$M$205,MATCH('Daily Schedule'!$F$35,'Daily Workforce'!$B$6:$B$205,0)),"N")="Y",COUNTIF($HJ$1:HJ2,'Daily Schedule'!$F$35)=0),IFERROR(INDEX('Daily Workforce'!$V$6:$V$205,MATCH('Daily Schedule'!$F$35,'Daily Workforce'!$B$6:$B$205,0)),0)*1000+35,999999999)</f>
        <v>35</v>
      </c>
      <c r="IP3" s="1" t="n">
        <f aca="false">IF(AND('Daily Schedule'!$F$36&lt;&gt;"",'Daily Schedule'!$H$36="5:45 AM",'Daily Schedule'!$D$36&lt;&gt;"Tier 1",IFERROR(INDEX('Daily Workforce'!$M$6:$M$205,MATCH('Daily Schedule'!$F$36,'Daily Workforce'!$B$6:$B$205,0)),"N")="Y",COUNTIF($HJ$1:HJ2,'Daily Schedule'!$F$36)=0),IFERROR(INDEX('Daily Workforce'!$V$6:$V$205,MATCH('Daily Schedule'!$F$36,'Daily Workforce'!$B$6:$B$205,0)),0)*1000+36,999999999)</f>
        <v>36</v>
      </c>
      <c r="IQ3" s="1" t="n">
        <f aca="false">IF(AND('Daily Schedule'!$F$37&lt;&gt;"",'Daily Schedule'!$H$37="5:45 AM",'Daily Schedule'!$D$37&lt;&gt;"Tier 1",IFERROR(INDEX('Daily Workforce'!$M$6:$M$205,MATCH('Daily Schedule'!$F$37,'Daily Workforce'!$B$6:$B$205,0)),"N")="Y",COUNTIF($HJ$1:HJ2,'Daily Schedule'!$F$37)=0),IFERROR(INDEX('Daily Workforce'!$V$6:$V$205,MATCH('Daily Schedule'!$F$37,'Daily Workforce'!$B$6:$B$205,0)),0)*1000+37,999999999)</f>
        <v>37</v>
      </c>
      <c r="IR3" s="1" t="n">
        <f aca="false">IF(AND('Daily Schedule'!$F$38&lt;&gt;"",'Daily Schedule'!$H$38="5:45 AM",'Daily Schedule'!$D$38&lt;&gt;"Tier 1",IFERROR(INDEX('Daily Workforce'!$M$6:$M$205,MATCH('Daily Schedule'!$F$38,'Daily Workforce'!$B$6:$B$205,0)),"N")="Y",COUNTIF($HJ$1:HJ2,'Daily Schedule'!$F$38)=0),IFERROR(INDEX('Daily Workforce'!$V$6:$V$205,MATCH('Daily Schedule'!$F$38,'Daily Workforce'!$B$6:$B$205,0)),0)*1000+38,999999999)</f>
        <v>38</v>
      </c>
      <c r="IS3" s="1" t="n">
        <f aca="false">IF(AND('Daily Schedule'!$F$39&lt;&gt;"",'Daily Schedule'!$H$39="5:45 AM",'Daily Schedule'!$D$39&lt;&gt;"Tier 1",IFERROR(INDEX('Daily Workforce'!$M$6:$M$205,MATCH('Daily Schedule'!$F$39,'Daily Workforce'!$B$6:$B$205,0)),"N")="Y",COUNTIF($HJ$1:HJ2,'Daily Schedule'!$F$39)=0),IFERROR(INDEX('Daily Workforce'!$V$6:$V$205,MATCH('Daily Schedule'!$F$39,'Daily Workforce'!$B$6:$B$205,0)),0)*1000+39,999999999)</f>
        <v>39</v>
      </c>
      <c r="IT3" s="1" t="n">
        <f aca="false">IF(AND('Daily Schedule'!$F$40&lt;&gt;"",'Daily Schedule'!$H$40="5:45 AM",'Daily Schedule'!$D$40&lt;&gt;"Tier 1",IFERROR(INDEX('Daily Workforce'!$M$6:$M$205,MATCH('Daily Schedule'!$F$40,'Daily Workforce'!$B$6:$B$205,0)),"N")="Y",COUNTIF($HJ$1:HJ2,'Daily Schedule'!$F$40)=0),IFERROR(INDEX('Daily Workforce'!$V$6:$V$205,MATCH('Daily Schedule'!$F$40,'Daily Workforce'!$B$6:$B$205,0)),0)*1000+40,999999999)</f>
        <v>40</v>
      </c>
      <c r="IU3" s="1" t="n">
        <f aca="false">IF(AND('Daily Schedule'!$F$41&lt;&gt;"",'Daily Schedule'!$H$41="5:45 AM",'Daily Schedule'!$D$41&lt;&gt;"Tier 1",IFERROR(INDEX('Daily Workforce'!$M$6:$M$205,MATCH('Daily Schedule'!$F$41,'Daily Workforce'!$B$6:$B$205,0)),"N")="Y",COUNTIF($HJ$1:HJ2,'Daily Schedule'!$F$41)=0),IFERROR(INDEX('Daily Workforce'!$V$6:$V$205,MATCH('Daily Schedule'!$F$41,'Daily Workforce'!$B$6:$B$205,0)),0)*1000+41,999999999)</f>
        <v>41</v>
      </c>
      <c r="IV3" s="1" t="n">
        <f aca="false">IF(AND('Daily Schedule'!$F$42&lt;&gt;"",'Daily Schedule'!$H$42="5:45 AM",'Daily Schedule'!$D$42&lt;&gt;"Tier 1",IFERROR(INDEX('Daily Workforce'!$M$6:$M$205,MATCH('Daily Schedule'!$F$42,'Daily Workforce'!$B$6:$B$205,0)),"N")="Y",COUNTIF($HJ$1:HJ2,'Daily Schedule'!$F$42)=0),IFERROR(INDEX('Daily Workforce'!$V$6:$V$205,MATCH('Daily Schedule'!$F$42,'Daily Workforce'!$B$6:$B$205,0)),0)*1000+42,999999999)</f>
        <v>42</v>
      </c>
      <c r="IW3" s="1" t="n">
        <f aca="false">IF(AND('Daily Schedule'!$F$43&lt;&gt;"",'Daily Schedule'!$H$43="5:45 AM",'Daily Schedule'!$D$43&lt;&gt;"Tier 1",IFERROR(INDEX('Daily Workforce'!$M$6:$M$205,MATCH('Daily Schedule'!$F$43,'Daily Workforce'!$B$6:$B$205,0)),"N")="Y",COUNTIF($HJ$1:HJ2,'Daily Schedule'!$F$43)=0),IFERROR(INDEX('Daily Workforce'!$V$6:$V$205,MATCH('Daily Schedule'!$F$43,'Daily Workforce'!$B$6:$B$205,0)),0)*1000+43,999999999)</f>
        <v>43</v>
      </c>
      <c r="IX3" s="1" t="n">
        <f aca="false">IF(AND('Daily Schedule'!$F$44&lt;&gt;"",'Daily Schedule'!$H$44="5:45 AM",'Daily Schedule'!$D$44&lt;&gt;"Tier 1",IFERROR(INDEX('Daily Workforce'!$M$6:$M$205,MATCH('Daily Schedule'!$F$44,'Daily Workforce'!$B$6:$B$205,0)),"N")="Y",COUNTIF($HJ$1:HJ2,'Daily Schedule'!$F$44)=0),IFERROR(INDEX('Daily Workforce'!$V$6:$V$205,MATCH('Daily Schedule'!$F$44,'Daily Workforce'!$B$6:$B$205,0)),0)*1000+44,999999999)</f>
        <v>44</v>
      </c>
      <c r="IY3" s="1" t="n">
        <f aca="false">IF(AND('Daily Schedule'!$F$45&lt;&gt;"",'Daily Schedule'!$H$45="5:45 AM",'Daily Schedule'!$D$45&lt;&gt;"Tier 1",IFERROR(INDEX('Daily Workforce'!$M$6:$M$205,MATCH('Daily Schedule'!$F$45,'Daily Workforce'!$B$6:$B$205,0)),"N")="Y",COUNTIF($HJ$1:HJ2,'Daily Schedule'!$F$45)=0),IFERROR(INDEX('Daily Workforce'!$V$6:$V$205,MATCH('Daily Schedule'!$F$45,'Daily Workforce'!$B$6:$B$205,0)),0)*1000+45,999999999)</f>
        <v>45</v>
      </c>
      <c r="IZ3" s="1" t="n">
        <f aca="false">IF(AND('Daily Schedule'!$F$46&lt;&gt;"",'Daily Schedule'!$H$46="5:45 AM",'Daily Schedule'!$D$46&lt;&gt;"Tier 1",IFERROR(INDEX('Daily Workforce'!$M$6:$M$205,MATCH('Daily Schedule'!$F$46,'Daily Workforce'!$B$6:$B$205,0)),"N")="Y",COUNTIF($HJ$1:HJ2,'Daily Schedule'!$F$46)=0),IFERROR(INDEX('Daily Workforce'!$V$6:$V$205,MATCH('Daily Schedule'!$F$46,'Daily Workforce'!$B$6:$B$205,0)),0)*1000+46,999999999)</f>
        <v>46</v>
      </c>
      <c r="JA3" s="1" t="n">
        <f aca="false">IF(AND('Daily Schedule'!$F$47&lt;&gt;"",'Daily Schedule'!$H$47="5:45 AM",'Daily Schedule'!$D$47&lt;&gt;"Tier 1",IFERROR(INDEX('Daily Workforce'!$M$6:$M$205,MATCH('Daily Schedule'!$F$47,'Daily Workforce'!$B$6:$B$205,0)),"N")="Y",COUNTIF($HJ$1:HJ2,'Daily Schedule'!$F$47)=0),IFERROR(INDEX('Daily Workforce'!$V$6:$V$205,MATCH('Daily Schedule'!$F$47,'Daily Workforce'!$B$6:$B$205,0)),0)*1000+47,999999999)</f>
        <v>47</v>
      </c>
      <c r="JB3" s="1" t="n">
        <f aca="false">IF(AND('Daily Schedule'!$F$48&lt;&gt;"",'Daily Schedule'!$H$48="5:45 AM",'Daily Schedule'!$D$48&lt;&gt;"Tier 1",IFERROR(INDEX('Daily Workforce'!$M$6:$M$205,MATCH('Daily Schedule'!$F$48,'Daily Workforce'!$B$6:$B$205,0)),"N")="Y",COUNTIF($HJ$1:HJ2,'Daily Schedule'!$F$48)=0),IFERROR(INDEX('Daily Workforce'!$V$6:$V$205,MATCH('Daily Schedule'!$F$48,'Daily Workforce'!$B$6:$B$205,0)),0)*1000+48,999999999)</f>
        <v>48</v>
      </c>
      <c r="JC3" s="1" t="n">
        <f aca="false">IF(AND('Daily Schedule'!$F$49&lt;&gt;"",'Daily Schedule'!$H$49="5:45 AM",'Daily Schedule'!$D$49&lt;&gt;"Tier 1",IFERROR(INDEX('Daily Workforce'!$M$6:$M$205,MATCH('Daily Schedule'!$F$49,'Daily Workforce'!$B$6:$B$205,0)),"N")="Y",COUNTIF($HJ$1:HJ2,'Daily Schedule'!$F$49)=0),IFERROR(INDEX('Daily Workforce'!$V$6:$V$205,MATCH('Daily Schedule'!$F$49,'Daily Workforce'!$B$6:$B$205,0)),0)*1000+49,999999999)</f>
        <v>49</v>
      </c>
      <c r="JD3" s="1" t="n">
        <f aca="false">IF(AND('Daily Schedule'!$F$50&lt;&gt;"",'Daily Schedule'!$H$50="5:45 AM",'Daily Schedule'!$D$50&lt;&gt;"Tier 1",IFERROR(INDEX('Daily Workforce'!$M$6:$M$205,MATCH('Daily Schedule'!$F$50,'Daily Workforce'!$B$6:$B$205,0)),"N")="Y",COUNTIF($HJ$1:HJ2,'Daily Schedule'!$F$50)=0),IFERROR(INDEX('Daily Workforce'!$V$6:$V$205,MATCH('Daily Schedule'!$F$50,'Daily Workforce'!$B$6:$B$205,0)),0)*1000+50,999999999)</f>
        <v>50</v>
      </c>
      <c r="JE3" s="1" t="n">
        <f aca="false">IF(AND('Daily Schedule'!$F$51&lt;&gt;"",'Daily Schedule'!$H$51="5:45 AM",'Daily Schedule'!$D$51&lt;&gt;"Tier 1",IFERROR(INDEX('Daily Workforce'!$M$6:$M$205,MATCH('Daily Schedule'!$F$51,'Daily Workforce'!$B$6:$B$205,0)),"N")="Y",COUNTIF($HJ$1:HJ2,'Daily Schedule'!$F$51)=0),IFERROR(INDEX('Daily Workforce'!$V$6:$V$205,MATCH('Daily Schedule'!$F$51,'Daily Workforce'!$B$6:$B$205,0)),0)*1000+51,999999999)</f>
        <v>51</v>
      </c>
      <c r="JF3" s="1" t="n">
        <f aca="false">IF(AND('Daily Schedule'!$F$52&lt;&gt;"",'Daily Schedule'!$H$52="5:45 AM",'Daily Schedule'!$D$52&lt;&gt;"Tier 1",IFERROR(INDEX('Daily Workforce'!$M$6:$M$205,MATCH('Daily Schedule'!$F$52,'Daily Workforce'!$B$6:$B$205,0)),"N")="Y",COUNTIF($HJ$1:HJ2,'Daily Schedule'!$F$52)=0),IFERROR(INDEX('Daily Workforce'!$V$6:$V$205,MATCH('Daily Schedule'!$F$52,'Daily Workforce'!$B$6:$B$205,0)),0)*1000+52,999999999)</f>
        <v>52</v>
      </c>
      <c r="JG3" s="1" t="n">
        <f aca="false">IF(AND('Daily Schedule'!$F$53&lt;&gt;"",'Daily Schedule'!$H$53="5:45 AM",'Daily Schedule'!$D$53&lt;&gt;"Tier 1",IFERROR(INDEX('Daily Workforce'!$M$6:$M$205,MATCH('Daily Schedule'!$F$53,'Daily Workforce'!$B$6:$B$205,0)),"N")="Y",COUNTIF($HJ$1:HJ2,'Daily Schedule'!$F$53)=0),IFERROR(INDEX('Daily Workforce'!$V$6:$V$205,MATCH('Daily Schedule'!$F$53,'Daily Workforce'!$B$6:$B$205,0)),0)*1000+53,999999999)</f>
        <v>53</v>
      </c>
      <c r="JH3" s="1" t="n">
        <f aca="false">IF(AND('Daily Schedule'!$F$54&lt;&gt;"",'Daily Schedule'!$H$54="5:45 AM",'Daily Schedule'!$D$54&lt;&gt;"Tier 1",IFERROR(INDEX('Daily Workforce'!$M$6:$M$205,MATCH('Daily Schedule'!$F$54,'Daily Workforce'!$B$6:$B$205,0)),"N")="Y",COUNTIF($HJ$1:HJ2,'Daily Schedule'!$F$54)=0),IFERROR(INDEX('Daily Workforce'!$V$6:$V$205,MATCH('Daily Schedule'!$F$54,'Daily Workforce'!$B$6:$B$205,0)),0)*1000+54,999999999)</f>
        <v>54</v>
      </c>
      <c r="JI3" s="1" t="n">
        <f aca="false">IF(AND('Daily Schedule'!$F$55&lt;&gt;"",'Daily Schedule'!$H$55="5:45 AM",'Daily Schedule'!$D$55&lt;&gt;"Tier 1",IFERROR(INDEX('Daily Workforce'!$M$6:$M$205,MATCH('Daily Schedule'!$F$55,'Daily Workforce'!$B$6:$B$205,0)),"N")="Y",COUNTIF($HJ$1:HJ2,'Daily Schedule'!$F$55)=0),IFERROR(INDEX('Daily Workforce'!$V$6:$V$205,MATCH('Daily Schedule'!$F$55,'Daily Workforce'!$B$6:$B$205,0)),0)*1000+55,999999999)</f>
        <v>55</v>
      </c>
      <c r="JJ3" s="1" t="n">
        <f aca="false">IF(AND('Daily Schedule'!$F$56&lt;&gt;"",'Daily Schedule'!$H$56="5:45 AM",'Daily Schedule'!$D$56&lt;&gt;"Tier 1",IFERROR(INDEX('Daily Workforce'!$M$6:$M$205,MATCH('Daily Schedule'!$F$56,'Daily Workforce'!$B$6:$B$205,0)),"N")="Y",COUNTIF($HJ$1:HJ2,'Daily Schedule'!$F$56)=0),IFERROR(INDEX('Daily Workforce'!$V$6:$V$205,MATCH('Daily Schedule'!$F$56,'Daily Workforce'!$B$6:$B$205,0)),0)*1000+56,999999999)</f>
        <v>56</v>
      </c>
      <c r="JK3" s="1" t="n">
        <f aca="false">IF(AND('Daily Schedule'!$F$57&lt;&gt;"",'Daily Schedule'!$H$57="5:45 AM",'Daily Schedule'!$D$57&lt;&gt;"Tier 1",IFERROR(INDEX('Daily Workforce'!$M$6:$M$205,MATCH('Daily Schedule'!$F$57,'Daily Workforce'!$B$6:$B$205,0)),"N")="Y",COUNTIF($HJ$1:HJ2,'Daily Schedule'!$F$57)=0),IFERROR(INDEX('Daily Workforce'!$V$6:$V$205,MATCH('Daily Schedule'!$F$57,'Daily Workforce'!$B$6:$B$205,0)),0)*1000+57,999999999)</f>
        <v>57</v>
      </c>
      <c r="JL3" s="1" t="n">
        <v>47</v>
      </c>
      <c r="JM3" s="1" t="str">
        <f aca="false">$HJ3</f>
        <v>EMP-0018</v>
      </c>
      <c r="JN3" s="1" t="str">
        <f aca="false">IF($JM3="","",IFERROR(INDEX('Daily Schedule'!$N$6:$N$57,MATCH($JM3,'Daily Schedule'!$F$6:$F$57,0)),""))</f>
        <v>9:00 AM</v>
      </c>
      <c r="JO3" s="1" t="str">
        <f aca="false">IF(MIN(JS3:LR3)&gt;=999999999,"",IFERROR(INDEX('Daily Schedule'!$F$6:$F$57,MATCH(MIN(JS3:LR3),JS3:LR3,0)),""))</f>
        <v>EMP-0074</v>
      </c>
      <c r="JP3" s="1" t="n">
        <f aca="false">IF($JO3="","",IFERROR(INDEX('Daily Schedule'!$A$6:$A$57,MATCH($JO3,'Daily Schedule'!$F$6:$F$57,0)),""))</f>
        <v>6</v>
      </c>
      <c r="JQ3" s="1" t="str">
        <f aca="false">IF($JO3="","",IFERROR(INDEX('Daily Schedule'!$N$6:$N$57,MATCH($JO3,'Daily Schedule'!$F$6:$F$57,0)),""))</f>
        <v>10:00 AM</v>
      </c>
      <c r="JR3" s="1" t="str">
        <f aca="false">IF($JM3="","CORE GAP",IF($JO3="","RELIEF GAP",IF($JN3=$JQ3,"LUNCH CONFLICT","COVERED")))</f>
        <v>COVERED</v>
      </c>
      <c r="JS3" s="1" t="n">
        <f aca="false">IF(AND($JM3&lt;&gt;"",'Daily Schedule'!$F$6&lt;&gt;"",'Daily Schedule'!$H$6="5:45 AM",'Daily Schedule'!$D$6&lt;&gt;"Tier 1",'Daily Schedule'!$N$6&lt;&gt;$JN3,IFERROR(INDEX('Daily Workforce'!$M$6:$M$205,MATCH('Daily Schedule'!$F$6,'Daily Workforce'!$B$6:$B$205,0)),"N")="Y",COUNTIF($HJ$2:$HJ$8,'Daily Schedule'!$F$6)=0,COUNTIF($JO$1:JO2,'Daily Schedule'!$F$6)=0),IF('Daily Schedule'!$D$6="Tier 4",0,IF('Daily Schedule'!$D$6="Tier 3",1,2))*10000000+IFERROR(INDEX('Daily Workforce'!$V$6:$V$205,MATCH('Daily Schedule'!$F$6,'Daily Workforce'!$B$6:$B$205,0)),0)*1000+6,999999999)</f>
        <v>999999999</v>
      </c>
      <c r="JT3" s="1" t="n">
        <f aca="false">IF(AND($JM3&lt;&gt;"",'Daily Schedule'!$F$7&lt;&gt;"",'Daily Schedule'!$H$7="5:45 AM",'Daily Schedule'!$D$7&lt;&gt;"Tier 1",'Daily Schedule'!$N$7&lt;&gt;$JN3,IFERROR(INDEX('Daily Workforce'!$M$6:$M$205,MATCH('Daily Schedule'!$F$7,'Daily Workforce'!$B$6:$B$205,0)),"N")="Y",COUNTIF($HJ$2:$HJ$8,'Daily Schedule'!$F$7)=0,COUNTIF($JO$1:JO2,'Daily Schedule'!$F$7)=0),IF('Daily Schedule'!$D$7="Tier 4",0,IF('Daily Schedule'!$D$7="Tier 3",1,2))*10000000+IFERROR(INDEX('Daily Workforce'!$V$6:$V$205,MATCH('Daily Schedule'!$F$7,'Daily Workforce'!$B$6:$B$205,0)),0)*1000+7,999999999)</f>
        <v>999999999</v>
      </c>
      <c r="JU3" s="1" t="n">
        <f aca="false">IF(AND($JM3&lt;&gt;"",'Daily Schedule'!$F$8&lt;&gt;"",'Daily Schedule'!$H$8="5:45 AM",'Daily Schedule'!$D$8&lt;&gt;"Tier 1",'Daily Schedule'!$N$8&lt;&gt;$JN3,IFERROR(INDEX('Daily Workforce'!$M$6:$M$205,MATCH('Daily Schedule'!$F$8,'Daily Workforce'!$B$6:$B$205,0)),"N")="Y",COUNTIF($HJ$2:$HJ$8,'Daily Schedule'!$F$8)=0,COUNTIF($JO$1:JO2,'Daily Schedule'!$F$8)=0),IF('Daily Schedule'!$D$8="Tier 4",0,IF('Daily Schedule'!$D$8="Tier 3",1,2))*10000000+IFERROR(INDEX('Daily Workforce'!$V$6:$V$205,MATCH('Daily Schedule'!$F$8,'Daily Workforce'!$B$6:$B$205,0)),0)*1000+8,999999999)</f>
        <v>999999999</v>
      </c>
      <c r="JV3" s="1" t="n">
        <f aca="false">IF(AND($JM3&lt;&gt;"",'Daily Schedule'!$F$9&lt;&gt;"",'Daily Schedule'!$H$9="5:45 AM",'Daily Schedule'!$D$9&lt;&gt;"Tier 1",'Daily Schedule'!$N$9&lt;&gt;$JN3,IFERROR(INDEX('Daily Workforce'!$M$6:$M$205,MATCH('Daily Schedule'!$F$9,'Daily Workforce'!$B$6:$B$205,0)),"N")="Y",COUNTIF($HJ$2:$HJ$8,'Daily Schedule'!$F$9)=0,COUNTIF($JO$1:JO2,'Daily Schedule'!$F$9)=0),IF('Daily Schedule'!$D$9="Tier 4",0,IF('Daily Schedule'!$D$9="Tier 3",1,2))*10000000+IFERROR(INDEX('Daily Workforce'!$V$6:$V$205,MATCH('Daily Schedule'!$F$9,'Daily Workforce'!$B$6:$B$205,0)),0)*1000+9,999999999)</f>
        <v>999999999</v>
      </c>
      <c r="JW3" s="1" t="n">
        <f aca="false">IF(AND($JM3&lt;&gt;"",'Daily Schedule'!$F$10&lt;&gt;"",'Daily Schedule'!$H$10="5:45 AM",'Daily Schedule'!$D$10&lt;&gt;"Tier 1",'Daily Schedule'!$N$10&lt;&gt;$JN3,IFERROR(INDEX('Daily Workforce'!$M$6:$M$205,MATCH('Daily Schedule'!$F$10,'Daily Workforce'!$B$6:$B$205,0)),"N")="Y",COUNTIF($HJ$2:$HJ$8,'Daily Schedule'!$F$10)=0,COUNTIF($JO$1:JO2,'Daily Schedule'!$F$10)=0),IF('Daily Schedule'!$D$10="Tier 4",0,IF('Daily Schedule'!$D$10="Tier 3",1,2))*10000000+IFERROR(INDEX('Daily Workforce'!$V$6:$V$205,MATCH('Daily Schedule'!$F$10,'Daily Workforce'!$B$6:$B$205,0)),0)*1000+10,999999999)</f>
        <v>999999999</v>
      </c>
      <c r="JX3" s="1" t="n">
        <f aca="false">IF(AND($JM3&lt;&gt;"",'Daily Schedule'!$F$11&lt;&gt;"",'Daily Schedule'!$H$11="5:45 AM",'Daily Schedule'!$D$11&lt;&gt;"Tier 1",'Daily Schedule'!$N$11&lt;&gt;$JN3,IFERROR(INDEX('Daily Workforce'!$M$6:$M$205,MATCH('Daily Schedule'!$F$11,'Daily Workforce'!$B$6:$B$205,0)),"N")="Y",COUNTIF($HJ$2:$HJ$8,'Daily Schedule'!$F$11)=0,COUNTIF($JO$1:JO2,'Daily Schedule'!$F$11)=0),IF('Daily Schedule'!$D$11="Tier 4",0,IF('Daily Schedule'!$D$11="Tier 3",1,2))*10000000+IFERROR(INDEX('Daily Workforce'!$V$6:$V$205,MATCH('Daily Schedule'!$F$11,'Daily Workforce'!$B$6:$B$205,0)),0)*1000+11,999999999)</f>
        <v>999999999</v>
      </c>
      <c r="JY3" s="1" t="n">
        <f aca="false">IF(AND($JM3&lt;&gt;"",'Daily Schedule'!$F$12&lt;&gt;"",'Daily Schedule'!$H$12="5:45 AM",'Daily Schedule'!$D$12&lt;&gt;"Tier 1",'Daily Schedule'!$N$12&lt;&gt;$JN3,IFERROR(INDEX('Daily Workforce'!$M$6:$M$205,MATCH('Daily Schedule'!$F$12,'Daily Workforce'!$B$6:$B$205,0)),"N")="Y",COUNTIF($HJ$2:$HJ$8,'Daily Schedule'!$F$12)=0,COUNTIF($JO$1:JO2,'Daily Schedule'!$F$12)=0),IF('Daily Schedule'!$D$12="Tier 4",0,IF('Daily Schedule'!$D$12="Tier 3",1,2))*10000000+IFERROR(INDEX('Daily Workforce'!$V$6:$V$205,MATCH('Daily Schedule'!$F$12,'Daily Workforce'!$B$6:$B$205,0)),0)*1000+12,999999999)</f>
        <v>999999999</v>
      </c>
      <c r="JZ3" s="1" t="n">
        <f aca="false">IF(AND($JM3&lt;&gt;"",'Daily Schedule'!$F$13&lt;&gt;"",'Daily Schedule'!$H$13="5:45 AM",'Daily Schedule'!$D$13&lt;&gt;"Tier 1",'Daily Schedule'!$N$13&lt;&gt;$JN3,IFERROR(INDEX('Daily Workforce'!$M$6:$M$205,MATCH('Daily Schedule'!$F$13,'Daily Workforce'!$B$6:$B$205,0)),"N")="Y",COUNTIF($HJ$2:$HJ$8,'Daily Schedule'!$F$13)=0,COUNTIF($JO$1:JO2,'Daily Schedule'!$F$13)=0),IF('Daily Schedule'!$D$13="Tier 4",0,IF('Daily Schedule'!$D$13="Tier 3",1,2))*10000000+IFERROR(INDEX('Daily Workforce'!$V$6:$V$205,MATCH('Daily Schedule'!$F$13,'Daily Workforce'!$B$6:$B$205,0)),0)*1000+13,999999999)</f>
        <v>999999999</v>
      </c>
      <c r="KA3" s="1" t="n">
        <f aca="false">IF(AND($JM3&lt;&gt;"",'Daily Schedule'!$F$14&lt;&gt;"",'Daily Schedule'!$H$14="5:45 AM",'Daily Schedule'!$D$14&lt;&gt;"Tier 1",'Daily Schedule'!$N$14&lt;&gt;$JN3,IFERROR(INDEX('Daily Workforce'!$M$6:$M$205,MATCH('Daily Schedule'!$F$14,'Daily Workforce'!$B$6:$B$205,0)),"N")="Y",COUNTIF($HJ$2:$HJ$8,'Daily Schedule'!$F$14)=0,COUNTIF($JO$1:JO2,'Daily Schedule'!$F$14)=0),IF('Daily Schedule'!$D$14="Tier 4",0,IF('Daily Schedule'!$D$14="Tier 3",1,2))*10000000+IFERROR(INDEX('Daily Workforce'!$V$6:$V$205,MATCH('Daily Schedule'!$F$14,'Daily Workforce'!$B$6:$B$205,0)),0)*1000+14,999999999)</f>
        <v>999999999</v>
      </c>
      <c r="KB3" s="1" t="n">
        <f aca="false">IF(AND($JM3&lt;&gt;"",'Daily Schedule'!$F$15&lt;&gt;"",'Daily Schedule'!$H$15="5:45 AM",'Daily Schedule'!$D$15&lt;&gt;"Tier 1",'Daily Schedule'!$N$15&lt;&gt;$JN3,IFERROR(INDEX('Daily Workforce'!$M$6:$M$205,MATCH('Daily Schedule'!$F$15,'Daily Workforce'!$B$6:$B$205,0)),"N")="Y",COUNTIF($HJ$2:$HJ$8,'Daily Schedule'!$F$15)=0,COUNTIF($JO$1:JO2,'Daily Schedule'!$F$15)=0),IF('Daily Schedule'!$D$15="Tier 4",0,IF('Daily Schedule'!$D$15="Tier 3",1,2))*10000000+IFERROR(INDEX('Daily Workforce'!$V$6:$V$205,MATCH('Daily Schedule'!$F$15,'Daily Workforce'!$B$6:$B$205,0)),0)*1000+15,999999999)</f>
        <v>999999999</v>
      </c>
      <c r="KC3" s="1" t="n">
        <f aca="false">IF(AND($JM3&lt;&gt;"",'Daily Schedule'!$F$16&lt;&gt;"",'Daily Schedule'!$H$16="5:45 AM",'Daily Schedule'!$D$16&lt;&gt;"Tier 1",'Daily Schedule'!$N$16&lt;&gt;$JN3,IFERROR(INDEX('Daily Workforce'!$M$6:$M$205,MATCH('Daily Schedule'!$F$16,'Daily Workforce'!$B$6:$B$205,0)),"N")="Y",COUNTIF($HJ$2:$HJ$8,'Daily Schedule'!$F$16)=0,COUNTIF($JO$1:JO2,'Daily Schedule'!$F$16)=0),IF('Daily Schedule'!$D$16="Tier 4",0,IF('Daily Schedule'!$D$16="Tier 3",1,2))*10000000+IFERROR(INDEX('Daily Workforce'!$V$6:$V$205,MATCH('Daily Schedule'!$F$16,'Daily Workforce'!$B$6:$B$205,0)),0)*1000+16,999999999)</f>
        <v>999999999</v>
      </c>
      <c r="KD3" s="1" t="n">
        <f aca="false">IF(AND($JM3&lt;&gt;"",'Daily Schedule'!$F$17&lt;&gt;"",'Daily Schedule'!$H$17="5:45 AM",'Daily Schedule'!$D$17&lt;&gt;"Tier 1",'Daily Schedule'!$N$17&lt;&gt;$JN3,IFERROR(INDEX('Daily Workforce'!$M$6:$M$205,MATCH('Daily Schedule'!$F$17,'Daily Workforce'!$B$6:$B$205,0)),"N")="Y",COUNTIF($HJ$2:$HJ$8,'Daily Schedule'!$F$17)=0,COUNTIF($JO$1:JO2,'Daily Schedule'!$F$17)=0),IF('Daily Schedule'!$D$17="Tier 4",0,IF('Daily Schedule'!$D$17="Tier 3",1,2))*10000000+IFERROR(INDEX('Daily Workforce'!$V$6:$V$205,MATCH('Daily Schedule'!$F$17,'Daily Workforce'!$B$6:$B$205,0)),0)*1000+17,999999999)</f>
        <v>999999999</v>
      </c>
      <c r="KE3" s="1" t="n">
        <f aca="false">IF(AND($JM3&lt;&gt;"",'Daily Schedule'!$F$18&lt;&gt;"",'Daily Schedule'!$H$18="5:45 AM",'Daily Schedule'!$D$18&lt;&gt;"Tier 1",'Daily Schedule'!$N$18&lt;&gt;$JN3,IFERROR(INDEX('Daily Workforce'!$M$6:$M$205,MATCH('Daily Schedule'!$F$18,'Daily Workforce'!$B$6:$B$205,0)),"N")="Y",COUNTIF($HJ$2:$HJ$8,'Daily Schedule'!$F$18)=0,COUNTIF($JO$1:JO2,'Daily Schedule'!$F$18)=0),IF('Daily Schedule'!$D$18="Tier 4",0,IF('Daily Schedule'!$D$18="Tier 3",1,2))*10000000+IFERROR(INDEX('Daily Workforce'!$V$6:$V$205,MATCH('Daily Schedule'!$F$18,'Daily Workforce'!$B$6:$B$205,0)),0)*1000+18,999999999)</f>
        <v>999999999</v>
      </c>
      <c r="KF3" s="1" t="n">
        <f aca="false">IF(AND($JM3&lt;&gt;"",'Daily Schedule'!$F$19&lt;&gt;"",'Daily Schedule'!$H$19="5:45 AM",'Daily Schedule'!$D$19&lt;&gt;"Tier 1",'Daily Schedule'!$N$19&lt;&gt;$JN3,IFERROR(INDEX('Daily Workforce'!$M$6:$M$205,MATCH('Daily Schedule'!$F$19,'Daily Workforce'!$B$6:$B$205,0)),"N")="Y",COUNTIF($HJ$2:$HJ$8,'Daily Schedule'!$F$19)=0,COUNTIF($JO$1:JO2,'Daily Schedule'!$F$19)=0),IF('Daily Schedule'!$D$19="Tier 4",0,IF('Daily Schedule'!$D$19="Tier 3",1,2))*10000000+IFERROR(INDEX('Daily Workforce'!$V$6:$V$205,MATCH('Daily Schedule'!$F$19,'Daily Workforce'!$B$6:$B$205,0)),0)*1000+19,999999999)</f>
        <v>999999999</v>
      </c>
      <c r="KG3" s="1" t="n">
        <f aca="false">IF(AND($JM3&lt;&gt;"",'Daily Schedule'!$F$20&lt;&gt;"",'Daily Schedule'!$H$20="5:45 AM",'Daily Schedule'!$D$20&lt;&gt;"Tier 1",'Daily Schedule'!$N$20&lt;&gt;$JN3,IFERROR(INDEX('Daily Workforce'!$M$6:$M$205,MATCH('Daily Schedule'!$F$20,'Daily Workforce'!$B$6:$B$205,0)),"N")="Y",COUNTIF($HJ$2:$HJ$8,'Daily Schedule'!$F$20)=0,COUNTIF($JO$1:JO2,'Daily Schedule'!$F$20)=0),IF('Daily Schedule'!$D$20="Tier 4",0,IF('Daily Schedule'!$D$20="Tier 3",1,2))*10000000+IFERROR(INDEX('Daily Workforce'!$V$6:$V$205,MATCH('Daily Schedule'!$F$20,'Daily Workforce'!$B$6:$B$205,0)),0)*1000+20,999999999)</f>
        <v>999999999</v>
      </c>
      <c r="KH3" s="1" t="n">
        <f aca="false">IF(AND($JM3&lt;&gt;"",'Daily Schedule'!$F$21&lt;&gt;"",'Daily Schedule'!$H$21="5:45 AM",'Daily Schedule'!$D$21&lt;&gt;"Tier 1",'Daily Schedule'!$N$21&lt;&gt;$JN3,IFERROR(INDEX('Daily Workforce'!$M$6:$M$205,MATCH('Daily Schedule'!$F$21,'Daily Workforce'!$B$6:$B$205,0)),"N")="Y",COUNTIF($HJ$2:$HJ$8,'Daily Schedule'!$F$21)=0,COUNTIF($JO$1:JO2,'Daily Schedule'!$F$21)=0),IF('Daily Schedule'!$D$21="Tier 4",0,IF('Daily Schedule'!$D$21="Tier 3",1,2))*10000000+IFERROR(INDEX('Daily Workforce'!$V$6:$V$205,MATCH('Daily Schedule'!$F$21,'Daily Workforce'!$B$6:$B$205,0)),0)*1000+21,999999999)</f>
        <v>999999999</v>
      </c>
      <c r="KI3" s="1" t="n">
        <f aca="false">IF(AND($JM3&lt;&gt;"",'Daily Schedule'!$F$22&lt;&gt;"",'Daily Schedule'!$H$22="5:45 AM",'Daily Schedule'!$D$22&lt;&gt;"Tier 1",'Daily Schedule'!$N$22&lt;&gt;$JN3,IFERROR(INDEX('Daily Workforce'!$M$6:$M$205,MATCH('Daily Schedule'!$F$22,'Daily Workforce'!$B$6:$B$205,0)),"N")="Y",COUNTIF($HJ$2:$HJ$8,'Daily Schedule'!$F$22)=0,COUNTIF($JO$1:JO2,'Daily Schedule'!$F$22)=0),IF('Daily Schedule'!$D$22="Tier 4",0,IF('Daily Schedule'!$D$22="Tier 3",1,2))*10000000+IFERROR(INDEX('Daily Workforce'!$V$6:$V$205,MATCH('Daily Schedule'!$F$22,'Daily Workforce'!$B$6:$B$205,0)),0)*1000+22,999999999)</f>
        <v>999999999</v>
      </c>
      <c r="KJ3" s="1" t="n">
        <f aca="false">IF(AND($JM3&lt;&gt;"",'Daily Schedule'!$F$23&lt;&gt;"",'Daily Schedule'!$H$23="5:45 AM",'Daily Schedule'!$D$23&lt;&gt;"Tier 1",'Daily Schedule'!$N$23&lt;&gt;$JN3,IFERROR(INDEX('Daily Workforce'!$M$6:$M$205,MATCH('Daily Schedule'!$F$23,'Daily Workforce'!$B$6:$B$205,0)),"N")="Y",COUNTIF($HJ$2:$HJ$8,'Daily Schedule'!$F$23)=0,COUNTIF($JO$1:JO2,'Daily Schedule'!$F$23)=0),IF('Daily Schedule'!$D$23="Tier 4",0,IF('Daily Schedule'!$D$23="Tier 3",1,2))*10000000+IFERROR(INDEX('Daily Workforce'!$V$6:$V$205,MATCH('Daily Schedule'!$F$23,'Daily Workforce'!$B$6:$B$205,0)),0)*1000+23,999999999)</f>
        <v>999999999</v>
      </c>
      <c r="KK3" s="1" t="n">
        <f aca="false">IF(AND($JM3&lt;&gt;"",'Daily Schedule'!$F$24&lt;&gt;"",'Daily Schedule'!$H$24="5:45 AM",'Daily Schedule'!$D$24&lt;&gt;"Tier 1",'Daily Schedule'!$N$24&lt;&gt;$JN3,IFERROR(INDEX('Daily Workforce'!$M$6:$M$205,MATCH('Daily Schedule'!$F$24,'Daily Workforce'!$B$6:$B$205,0)),"N")="Y",COUNTIF($HJ$2:$HJ$8,'Daily Schedule'!$F$24)=0,COUNTIF($JO$1:JO2,'Daily Schedule'!$F$24)=0),IF('Daily Schedule'!$D$24="Tier 4",0,IF('Daily Schedule'!$D$24="Tier 3",1,2))*10000000+IFERROR(INDEX('Daily Workforce'!$V$6:$V$205,MATCH('Daily Schedule'!$F$24,'Daily Workforce'!$B$6:$B$205,0)),0)*1000+24,999999999)</f>
        <v>999999999</v>
      </c>
      <c r="KL3" s="1" t="n">
        <f aca="false">IF(AND($JM3&lt;&gt;"",'Daily Schedule'!$F$25&lt;&gt;"",'Daily Schedule'!$H$25="5:45 AM",'Daily Schedule'!$D$25&lt;&gt;"Tier 1",'Daily Schedule'!$N$25&lt;&gt;$JN3,IFERROR(INDEX('Daily Workforce'!$M$6:$M$205,MATCH('Daily Schedule'!$F$25,'Daily Workforce'!$B$6:$B$205,0)),"N")="Y",COUNTIF($HJ$2:$HJ$8,'Daily Schedule'!$F$25)=0,COUNTIF($JO$1:JO2,'Daily Schedule'!$F$25)=0),IF('Daily Schedule'!$D$25="Tier 4",0,IF('Daily Schedule'!$D$25="Tier 3",1,2))*10000000+IFERROR(INDEX('Daily Workforce'!$V$6:$V$205,MATCH('Daily Schedule'!$F$25,'Daily Workforce'!$B$6:$B$205,0)),0)*1000+25,999999999)</f>
        <v>999999999</v>
      </c>
      <c r="KM3" s="1" t="n">
        <f aca="false">IF(AND($JM3&lt;&gt;"",'Daily Schedule'!$F$26&lt;&gt;"",'Daily Schedule'!$H$26="5:45 AM",'Daily Schedule'!$D$26&lt;&gt;"Tier 1",'Daily Schedule'!$N$26&lt;&gt;$JN3,IFERROR(INDEX('Daily Workforce'!$M$6:$M$205,MATCH('Daily Schedule'!$F$26,'Daily Workforce'!$B$6:$B$205,0)),"N")="Y",COUNTIF($HJ$2:$HJ$8,'Daily Schedule'!$F$26)=0,COUNTIF($JO$1:JO2,'Daily Schedule'!$F$26)=0),IF('Daily Schedule'!$D$26="Tier 4",0,IF('Daily Schedule'!$D$26="Tier 3",1,2))*10000000+IFERROR(INDEX('Daily Workforce'!$V$6:$V$205,MATCH('Daily Schedule'!$F$26,'Daily Workforce'!$B$6:$B$205,0)),0)*1000+26,999999999)</f>
        <v>999999999</v>
      </c>
      <c r="KN3" s="1" t="n">
        <f aca="false">IF(AND($JM3&lt;&gt;"",'Daily Schedule'!$F$27&lt;&gt;"",'Daily Schedule'!$H$27="5:45 AM",'Daily Schedule'!$D$27&lt;&gt;"Tier 1",'Daily Schedule'!$N$27&lt;&gt;$JN3,IFERROR(INDEX('Daily Workforce'!$M$6:$M$205,MATCH('Daily Schedule'!$F$27,'Daily Workforce'!$B$6:$B$205,0)),"N")="Y",COUNTIF($HJ$2:$HJ$8,'Daily Schedule'!$F$27)=0,COUNTIF($JO$1:JO2,'Daily Schedule'!$F$27)=0),IF('Daily Schedule'!$D$27="Tier 4",0,IF('Daily Schedule'!$D$27="Tier 3",1,2))*10000000+IFERROR(INDEX('Daily Workforce'!$V$6:$V$205,MATCH('Daily Schedule'!$F$27,'Daily Workforce'!$B$6:$B$205,0)),0)*1000+27,999999999)</f>
        <v>999999999</v>
      </c>
      <c r="KO3" s="1" t="n">
        <f aca="false">IF(AND($JM3&lt;&gt;"",'Daily Schedule'!$F$28&lt;&gt;"",'Daily Schedule'!$H$28="5:45 AM",'Daily Schedule'!$D$28&lt;&gt;"Tier 1",'Daily Schedule'!$N$28&lt;&gt;$JN3,IFERROR(INDEX('Daily Workforce'!$M$6:$M$205,MATCH('Daily Schedule'!$F$28,'Daily Workforce'!$B$6:$B$205,0)),"N")="Y",COUNTIF($HJ$2:$HJ$8,'Daily Schedule'!$F$28)=0,COUNTIF($JO$1:JO2,'Daily Schedule'!$F$28)=0),IF('Daily Schedule'!$D$28="Tier 4",0,IF('Daily Schedule'!$D$28="Tier 3",1,2))*10000000+IFERROR(INDEX('Daily Workforce'!$V$6:$V$205,MATCH('Daily Schedule'!$F$28,'Daily Workforce'!$B$6:$B$205,0)),0)*1000+28,999999999)</f>
        <v>999999999</v>
      </c>
      <c r="KP3" s="1" t="n">
        <f aca="false">IF(AND($JM3&lt;&gt;"",'Daily Schedule'!$F$29&lt;&gt;"",'Daily Schedule'!$H$29="5:45 AM",'Daily Schedule'!$D$29&lt;&gt;"Tier 1",'Daily Schedule'!$N$29&lt;&gt;$JN3,IFERROR(INDEX('Daily Workforce'!$M$6:$M$205,MATCH('Daily Schedule'!$F$29,'Daily Workforce'!$B$6:$B$205,0)),"N")="Y",COUNTIF($HJ$2:$HJ$8,'Daily Schedule'!$F$29)=0,COUNTIF($JO$1:JO2,'Daily Schedule'!$F$29)=0),IF('Daily Schedule'!$D$29="Tier 4",0,IF('Daily Schedule'!$D$29="Tier 3",1,2))*10000000+IFERROR(INDEX('Daily Workforce'!$V$6:$V$205,MATCH('Daily Schedule'!$F$29,'Daily Workforce'!$B$6:$B$205,0)),0)*1000+29,999999999)</f>
        <v>999999999</v>
      </c>
      <c r="KQ3" s="1" t="n">
        <f aca="false">IF(AND($JM3&lt;&gt;"",'Daily Schedule'!$F$30&lt;&gt;"",'Daily Schedule'!$H$30="5:45 AM",'Daily Schedule'!$D$30&lt;&gt;"Tier 1",'Daily Schedule'!$N$30&lt;&gt;$JN3,IFERROR(INDEX('Daily Workforce'!$M$6:$M$205,MATCH('Daily Schedule'!$F$30,'Daily Workforce'!$B$6:$B$205,0)),"N")="Y",COUNTIF($HJ$2:$HJ$8,'Daily Schedule'!$F$30)=0,COUNTIF($JO$1:JO2,'Daily Schedule'!$F$30)=0),IF('Daily Schedule'!$D$30="Tier 4",0,IF('Daily Schedule'!$D$30="Tier 3",1,2))*10000000+IFERROR(INDEX('Daily Workforce'!$V$6:$V$205,MATCH('Daily Schedule'!$F$30,'Daily Workforce'!$B$6:$B$205,0)),0)*1000+30,999999999)</f>
        <v>999999999</v>
      </c>
      <c r="KR3" s="1" t="n">
        <f aca="false">IF(AND($JM3&lt;&gt;"",'Daily Schedule'!$F$31&lt;&gt;"",'Daily Schedule'!$H$31="5:45 AM",'Daily Schedule'!$D$31&lt;&gt;"Tier 1",'Daily Schedule'!$N$31&lt;&gt;$JN3,IFERROR(INDEX('Daily Workforce'!$M$6:$M$205,MATCH('Daily Schedule'!$F$31,'Daily Workforce'!$B$6:$B$205,0)),"N")="Y",COUNTIF($HJ$2:$HJ$8,'Daily Schedule'!$F$31)=0,COUNTIF($JO$1:JO2,'Daily Schedule'!$F$31)=0),IF('Daily Schedule'!$D$31="Tier 4",0,IF('Daily Schedule'!$D$31="Tier 3",1,2))*10000000+IFERROR(INDEX('Daily Workforce'!$V$6:$V$205,MATCH('Daily Schedule'!$F$31,'Daily Workforce'!$B$6:$B$205,0)),0)*1000+31,999999999)</f>
        <v>999999999</v>
      </c>
      <c r="KS3" s="1" t="n">
        <f aca="false">IF(AND($JM3&lt;&gt;"",'Daily Schedule'!$F$32&lt;&gt;"",'Daily Schedule'!$H$32="5:45 AM",'Daily Schedule'!$D$32&lt;&gt;"Tier 1",'Daily Schedule'!$N$32&lt;&gt;$JN3,IFERROR(INDEX('Daily Workforce'!$M$6:$M$205,MATCH('Daily Schedule'!$F$32,'Daily Workforce'!$B$6:$B$205,0)),"N")="Y",COUNTIF($HJ$2:$HJ$8,'Daily Schedule'!$F$32)=0,COUNTIF($JO$1:JO2,'Daily Schedule'!$F$32)=0),IF('Daily Schedule'!$D$32="Tier 4",0,IF('Daily Schedule'!$D$32="Tier 3",1,2))*10000000+IFERROR(INDEX('Daily Workforce'!$V$6:$V$205,MATCH('Daily Schedule'!$F$32,'Daily Workforce'!$B$6:$B$205,0)),0)*1000+32,999999999)</f>
        <v>999999999</v>
      </c>
      <c r="KT3" s="1" t="n">
        <f aca="false">IF(AND($JM3&lt;&gt;"",'Daily Schedule'!$F$33&lt;&gt;"",'Daily Schedule'!$H$33="5:45 AM",'Daily Schedule'!$D$33&lt;&gt;"Tier 1",'Daily Schedule'!$N$33&lt;&gt;$JN3,IFERROR(INDEX('Daily Workforce'!$M$6:$M$205,MATCH('Daily Schedule'!$F$33,'Daily Workforce'!$B$6:$B$205,0)),"N")="Y",COUNTIF($HJ$2:$HJ$8,'Daily Schedule'!$F$33)=0,COUNTIF($JO$1:JO2,'Daily Schedule'!$F$33)=0),IF('Daily Schedule'!$D$33="Tier 4",0,IF('Daily Schedule'!$D$33="Tier 3",1,2))*10000000+IFERROR(INDEX('Daily Workforce'!$V$6:$V$205,MATCH('Daily Schedule'!$F$33,'Daily Workforce'!$B$6:$B$205,0)),0)*1000+33,999999999)</f>
        <v>999999999</v>
      </c>
      <c r="KU3" s="1" t="n">
        <f aca="false">IF(AND($JM3&lt;&gt;"",'Daily Schedule'!$F$34&lt;&gt;"",'Daily Schedule'!$H$34="5:45 AM",'Daily Schedule'!$D$34&lt;&gt;"Tier 1",'Daily Schedule'!$N$34&lt;&gt;$JN3,IFERROR(INDEX('Daily Workforce'!$M$6:$M$205,MATCH('Daily Schedule'!$F$34,'Daily Workforce'!$B$6:$B$205,0)),"N")="Y",COUNTIF($HJ$2:$HJ$8,'Daily Schedule'!$F$34)=0,COUNTIF($JO$1:JO2,'Daily Schedule'!$F$34)=0),IF('Daily Schedule'!$D$34="Tier 4",0,IF('Daily Schedule'!$D$34="Tier 3",1,2))*10000000+IFERROR(INDEX('Daily Workforce'!$V$6:$V$205,MATCH('Daily Schedule'!$F$34,'Daily Workforce'!$B$6:$B$205,0)),0)*1000+34,999999999)</f>
        <v>999999999</v>
      </c>
      <c r="KV3" s="1" t="n">
        <f aca="false">IF(AND($JM3&lt;&gt;"",'Daily Schedule'!$F$35&lt;&gt;"",'Daily Schedule'!$H$35="5:45 AM",'Daily Schedule'!$D$35&lt;&gt;"Tier 1",'Daily Schedule'!$N$35&lt;&gt;$JN3,IFERROR(INDEX('Daily Workforce'!$M$6:$M$205,MATCH('Daily Schedule'!$F$35,'Daily Workforce'!$B$6:$B$205,0)),"N")="Y",COUNTIF($HJ$2:$HJ$8,'Daily Schedule'!$F$35)=0,COUNTIF($JO$1:JO2,'Daily Schedule'!$F$35)=0),IF('Daily Schedule'!$D$35="Tier 4",0,IF('Daily Schedule'!$D$35="Tier 3",1,2))*10000000+IFERROR(INDEX('Daily Workforce'!$V$6:$V$205,MATCH('Daily Schedule'!$F$35,'Daily Workforce'!$B$6:$B$205,0)),0)*1000+35,999999999)</f>
        <v>999999999</v>
      </c>
      <c r="KW3" s="1" t="n">
        <f aca="false">IF(AND($JM3&lt;&gt;"",'Daily Schedule'!$F$36&lt;&gt;"",'Daily Schedule'!$H$36="5:45 AM",'Daily Schedule'!$D$36&lt;&gt;"Tier 1",'Daily Schedule'!$N$36&lt;&gt;$JN3,IFERROR(INDEX('Daily Workforce'!$M$6:$M$205,MATCH('Daily Schedule'!$F$36,'Daily Workforce'!$B$6:$B$205,0)),"N")="Y",COUNTIF($HJ$2:$HJ$8,'Daily Schedule'!$F$36)=0,COUNTIF($JO$1:JO2,'Daily Schedule'!$F$36)=0),IF('Daily Schedule'!$D$36="Tier 4",0,IF('Daily Schedule'!$D$36="Tier 3",1,2))*10000000+IFERROR(INDEX('Daily Workforce'!$V$6:$V$205,MATCH('Daily Schedule'!$F$36,'Daily Workforce'!$B$6:$B$205,0)),0)*1000+36,999999999)</f>
        <v>999999999</v>
      </c>
      <c r="KX3" s="1" t="n">
        <f aca="false">IF(AND($JM3&lt;&gt;"",'Daily Schedule'!$F$37&lt;&gt;"",'Daily Schedule'!$H$37="5:45 AM",'Daily Schedule'!$D$37&lt;&gt;"Tier 1",'Daily Schedule'!$N$37&lt;&gt;$JN3,IFERROR(INDEX('Daily Workforce'!$M$6:$M$205,MATCH('Daily Schedule'!$F$37,'Daily Workforce'!$B$6:$B$205,0)),"N")="Y",COUNTIF($HJ$2:$HJ$8,'Daily Schedule'!$F$37)=0,COUNTIF($JO$1:JO2,'Daily Schedule'!$F$37)=0),IF('Daily Schedule'!$D$37="Tier 4",0,IF('Daily Schedule'!$D$37="Tier 3",1,2))*10000000+IFERROR(INDEX('Daily Workforce'!$V$6:$V$205,MATCH('Daily Schedule'!$F$37,'Daily Workforce'!$B$6:$B$205,0)),0)*1000+37,999999999)</f>
        <v>999999999</v>
      </c>
      <c r="KY3" s="1" t="n">
        <f aca="false">IF(AND($JM3&lt;&gt;"",'Daily Schedule'!$F$38&lt;&gt;"",'Daily Schedule'!$H$38="5:45 AM",'Daily Schedule'!$D$38&lt;&gt;"Tier 1",'Daily Schedule'!$N$38&lt;&gt;$JN3,IFERROR(INDEX('Daily Workforce'!$M$6:$M$205,MATCH('Daily Schedule'!$F$38,'Daily Workforce'!$B$6:$B$205,0)),"N")="Y",COUNTIF($HJ$2:$HJ$8,'Daily Schedule'!$F$38)=0,COUNTIF($JO$1:JO2,'Daily Schedule'!$F$38)=0),IF('Daily Schedule'!$D$38="Tier 4",0,IF('Daily Schedule'!$D$38="Tier 3",1,2))*10000000+IFERROR(INDEX('Daily Workforce'!$V$6:$V$205,MATCH('Daily Schedule'!$F$38,'Daily Workforce'!$B$6:$B$205,0)),0)*1000+38,999999999)</f>
        <v>20000038</v>
      </c>
      <c r="KZ3" s="1" t="n">
        <f aca="false">IF(AND($JM3&lt;&gt;"",'Daily Schedule'!$F$39&lt;&gt;"",'Daily Schedule'!$H$39="5:45 AM",'Daily Schedule'!$D$39&lt;&gt;"Tier 1",'Daily Schedule'!$N$39&lt;&gt;$JN3,IFERROR(INDEX('Daily Workforce'!$M$6:$M$205,MATCH('Daily Schedule'!$F$39,'Daily Workforce'!$B$6:$B$205,0)),"N")="Y",COUNTIF($HJ$2:$HJ$8,'Daily Schedule'!$F$39)=0,COUNTIF($JO$1:JO2,'Daily Schedule'!$F$39)=0),IF('Daily Schedule'!$D$39="Tier 4",0,IF('Daily Schedule'!$D$39="Tier 3",1,2))*10000000+IFERROR(INDEX('Daily Workforce'!$V$6:$V$205,MATCH('Daily Schedule'!$F$39,'Daily Workforce'!$B$6:$B$205,0)),0)*1000+39,999999999)</f>
        <v>10000039</v>
      </c>
      <c r="LA3" s="1" t="n">
        <f aca="false">IF(AND($JM3&lt;&gt;"",'Daily Schedule'!$F$40&lt;&gt;"",'Daily Schedule'!$H$40="5:45 AM",'Daily Schedule'!$D$40&lt;&gt;"Tier 1",'Daily Schedule'!$N$40&lt;&gt;$JN3,IFERROR(INDEX('Daily Workforce'!$M$6:$M$205,MATCH('Daily Schedule'!$F$40,'Daily Workforce'!$B$6:$B$205,0)),"N")="Y",COUNTIF($HJ$2:$HJ$8,'Daily Schedule'!$F$40)=0,COUNTIF($JO$1:JO2,'Daily Schedule'!$F$40)=0),IF('Daily Schedule'!$D$40="Tier 4",0,IF('Daily Schedule'!$D$40="Tier 3",1,2))*10000000+IFERROR(INDEX('Daily Workforce'!$V$6:$V$205,MATCH('Daily Schedule'!$F$40,'Daily Workforce'!$B$6:$B$205,0)),0)*1000+40,999999999)</f>
        <v>999999999</v>
      </c>
      <c r="LB3" s="1" t="n">
        <f aca="false">IF(AND($JM3&lt;&gt;"",'Daily Schedule'!$F$41&lt;&gt;"",'Daily Schedule'!$H$41="5:45 AM",'Daily Schedule'!$D$41&lt;&gt;"Tier 1",'Daily Schedule'!$N$41&lt;&gt;$JN3,IFERROR(INDEX('Daily Workforce'!$M$6:$M$205,MATCH('Daily Schedule'!$F$41,'Daily Workforce'!$B$6:$B$205,0)),"N")="Y",COUNTIF($HJ$2:$HJ$8,'Daily Schedule'!$F$41)=0,COUNTIF($JO$1:JO2,'Daily Schedule'!$F$41)=0),IF('Daily Schedule'!$D$41="Tier 4",0,IF('Daily Schedule'!$D$41="Tier 3",1,2))*10000000+IFERROR(INDEX('Daily Workforce'!$V$6:$V$205,MATCH('Daily Schedule'!$F$41,'Daily Workforce'!$B$6:$B$205,0)),0)*1000+41,999999999)</f>
        <v>10000041</v>
      </c>
      <c r="LC3" s="1" t="n">
        <f aca="false">IF(AND($JM3&lt;&gt;"",'Daily Schedule'!$F$42&lt;&gt;"",'Daily Schedule'!$H$42="5:45 AM",'Daily Schedule'!$D$42&lt;&gt;"Tier 1",'Daily Schedule'!$N$42&lt;&gt;$JN3,IFERROR(INDEX('Daily Workforce'!$M$6:$M$205,MATCH('Daily Schedule'!$F$42,'Daily Workforce'!$B$6:$B$205,0)),"N")="Y",COUNTIF($HJ$2:$HJ$8,'Daily Schedule'!$F$42)=0,COUNTIF($JO$1:JO2,'Daily Schedule'!$F$42)=0),IF('Daily Schedule'!$D$42="Tier 4",0,IF('Daily Schedule'!$D$42="Tier 3",1,2))*10000000+IFERROR(INDEX('Daily Workforce'!$V$6:$V$205,MATCH('Daily Schedule'!$F$42,'Daily Workforce'!$B$6:$B$205,0)),0)*1000+42,999999999)</f>
        <v>42</v>
      </c>
      <c r="LD3" s="1" t="n">
        <f aca="false">IF(AND($JM3&lt;&gt;"",'Daily Schedule'!$F$43&lt;&gt;"",'Daily Schedule'!$H$43="5:45 AM",'Daily Schedule'!$D$43&lt;&gt;"Tier 1",'Daily Schedule'!$N$43&lt;&gt;$JN3,IFERROR(INDEX('Daily Workforce'!$M$6:$M$205,MATCH('Daily Schedule'!$F$43,'Daily Workforce'!$B$6:$B$205,0)),"N")="Y",COUNTIF($HJ$2:$HJ$8,'Daily Schedule'!$F$43)=0,COUNTIF($JO$1:JO2,'Daily Schedule'!$F$43)=0),IF('Daily Schedule'!$D$43="Tier 4",0,IF('Daily Schedule'!$D$43="Tier 3",1,2))*10000000+IFERROR(INDEX('Daily Workforce'!$V$6:$V$205,MATCH('Daily Schedule'!$F$43,'Daily Workforce'!$B$6:$B$205,0)),0)*1000+43,999999999)</f>
        <v>999999999</v>
      </c>
      <c r="LE3" s="1" t="n">
        <f aca="false">IF(AND($JM3&lt;&gt;"",'Daily Schedule'!$F$44&lt;&gt;"",'Daily Schedule'!$H$44="5:45 AM",'Daily Schedule'!$D$44&lt;&gt;"Tier 1",'Daily Schedule'!$N$44&lt;&gt;$JN3,IFERROR(INDEX('Daily Workforce'!$M$6:$M$205,MATCH('Daily Schedule'!$F$44,'Daily Workforce'!$B$6:$B$205,0)),"N")="Y",COUNTIF($HJ$2:$HJ$8,'Daily Schedule'!$F$44)=0,COUNTIF($JO$1:JO2,'Daily Schedule'!$F$44)=0),IF('Daily Schedule'!$D$44="Tier 4",0,IF('Daily Schedule'!$D$44="Tier 3",1,2))*10000000+IFERROR(INDEX('Daily Workforce'!$V$6:$V$205,MATCH('Daily Schedule'!$F$44,'Daily Workforce'!$B$6:$B$205,0)),0)*1000+44,999999999)</f>
        <v>44</v>
      </c>
      <c r="LF3" s="1" t="n">
        <f aca="false">IF(AND($JM3&lt;&gt;"",'Daily Schedule'!$F$45&lt;&gt;"",'Daily Schedule'!$H$45="5:45 AM",'Daily Schedule'!$D$45&lt;&gt;"Tier 1",'Daily Schedule'!$N$45&lt;&gt;$JN3,IFERROR(INDEX('Daily Workforce'!$M$6:$M$205,MATCH('Daily Schedule'!$F$45,'Daily Workforce'!$B$6:$B$205,0)),"N")="Y",COUNTIF($HJ$2:$HJ$8,'Daily Schedule'!$F$45)=0,COUNTIF($JO$1:JO2,'Daily Schedule'!$F$45)=0),IF('Daily Schedule'!$D$45="Tier 4",0,IF('Daily Schedule'!$D$45="Tier 3",1,2))*10000000+IFERROR(INDEX('Daily Workforce'!$V$6:$V$205,MATCH('Daily Schedule'!$F$45,'Daily Workforce'!$B$6:$B$205,0)),0)*1000+45,999999999)</f>
        <v>45</v>
      </c>
      <c r="LG3" s="1" t="n">
        <f aca="false">IF(AND($JM3&lt;&gt;"",'Daily Schedule'!$F$46&lt;&gt;"",'Daily Schedule'!$H$46="5:45 AM",'Daily Schedule'!$D$46&lt;&gt;"Tier 1",'Daily Schedule'!$N$46&lt;&gt;$JN3,IFERROR(INDEX('Daily Workforce'!$M$6:$M$205,MATCH('Daily Schedule'!$F$46,'Daily Workforce'!$B$6:$B$205,0)),"N")="Y",COUNTIF($HJ$2:$HJ$8,'Daily Schedule'!$F$46)=0,COUNTIF($JO$1:JO2,'Daily Schedule'!$F$46)=0),IF('Daily Schedule'!$D$46="Tier 4",0,IF('Daily Schedule'!$D$46="Tier 3",1,2))*10000000+IFERROR(INDEX('Daily Workforce'!$V$6:$V$205,MATCH('Daily Schedule'!$F$46,'Daily Workforce'!$B$6:$B$205,0)),0)*1000+46,999999999)</f>
        <v>999999999</v>
      </c>
      <c r="LH3" s="1" t="n">
        <f aca="false">IF(AND($JM3&lt;&gt;"",'Daily Schedule'!$F$47&lt;&gt;"",'Daily Schedule'!$H$47="5:45 AM",'Daily Schedule'!$D$47&lt;&gt;"Tier 1",'Daily Schedule'!$N$47&lt;&gt;$JN3,IFERROR(INDEX('Daily Workforce'!$M$6:$M$205,MATCH('Daily Schedule'!$F$47,'Daily Workforce'!$B$6:$B$205,0)),"N")="Y",COUNTIF($HJ$2:$HJ$8,'Daily Schedule'!$F$47)=0,COUNTIF($JO$1:JO2,'Daily Schedule'!$F$47)=0),IF('Daily Schedule'!$D$47="Tier 4",0,IF('Daily Schedule'!$D$47="Tier 3",1,2))*10000000+IFERROR(INDEX('Daily Workforce'!$V$6:$V$205,MATCH('Daily Schedule'!$F$47,'Daily Workforce'!$B$6:$B$205,0)),0)*1000+47,999999999)</f>
        <v>47</v>
      </c>
      <c r="LI3" s="1" t="n">
        <f aca="false">IF(AND($JM3&lt;&gt;"",'Daily Schedule'!$F$48&lt;&gt;"",'Daily Schedule'!$H$48="5:45 AM",'Daily Schedule'!$D$48&lt;&gt;"Tier 1",'Daily Schedule'!$N$48&lt;&gt;$JN3,IFERROR(INDEX('Daily Workforce'!$M$6:$M$205,MATCH('Daily Schedule'!$F$48,'Daily Workforce'!$B$6:$B$205,0)),"N")="Y",COUNTIF($HJ$2:$HJ$8,'Daily Schedule'!$F$48)=0,COUNTIF($JO$1:JO2,'Daily Schedule'!$F$48)=0),IF('Daily Schedule'!$D$48="Tier 4",0,IF('Daily Schedule'!$D$48="Tier 3",1,2))*10000000+IFERROR(INDEX('Daily Workforce'!$V$6:$V$205,MATCH('Daily Schedule'!$F$48,'Daily Workforce'!$B$6:$B$205,0)),0)*1000+48,999999999)</f>
        <v>48</v>
      </c>
      <c r="LJ3" s="1" t="n">
        <f aca="false">IF(AND($JM3&lt;&gt;"",'Daily Schedule'!$F$49&lt;&gt;"",'Daily Schedule'!$H$49="5:45 AM",'Daily Schedule'!$D$49&lt;&gt;"Tier 1",'Daily Schedule'!$N$49&lt;&gt;$JN3,IFERROR(INDEX('Daily Workforce'!$M$6:$M$205,MATCH('Daily Schedule'!$F$49,'Daily Workforce'!$B$6:$B$205,0)),"N")="Y",COUNTIF($HJ$2:$HJ$8,'Daily Schedule'!$F$49)=0,COUNTIF($JO$1:JO2,'Daily Schedule'!$F$49)=0),IF('Daily Schedule'!$D$49="Tier 4",0,IF('Daily Schedule'!$D$49="Tier 3",1,2))*10000000+IFERROR(INDEX('Daily Workforce'!$V$6:$V$205,MATCH('Daily Schedule'!$F$49,'Daily Workforce'!$B$6:$B$205,0)),0)*1000+49,999999999)</f>
        <v>999999999</v>
      </c>
      <c r="LK3" s="1" t="n">
        <f aca="false">IF(AND($JM3&lt;&gt;"",'Daily Schedule'!$F$50&lt;&gt;"",'Daily Schedule'!$H$50="5:45 AM",'Daily Schedule'!$D$50&lt;&gt;"Tier 1",'Daily Schedule'!$N$50&lt;&gt;$JN3,IFERROR(INDEX('Daily Workforce'!$M$6:$M$205,MATCH('Daily Schedule'!$F$50,'Daily Workforce'!$B$6:$B$205,0)),"N")="Y",COUNTIF($HJ$2:$HJ$8,'Daily Schedule'!$F$50)=0,COUNTIF($JO$1:JO2,'Daily Schedule'!$F$50)=0),IF('Daily Schedule'!$D$50="Tier 4",0,IF('Daily Schedule'!$D$50="Tier 3",1,2))*10000000+IFERROR(INDEX('Daily Workforce'!$V$6:$V$205,MATCH('Daily Schedule'!$F$50,'Daily Workforce'!$B$6:$B$205,0)),0)*1000+50,999999999)</f>
        <v>50</v>
      </c>
      <c r="LL3" s="1" t="n">
        <f aca="false">IF(AND($JM3&lt;&gt;"",'Daily Schedule'!$F$51&lt;&gt;"",'Daily Schedule'!$H$51="5:45 AM",'Daily Schedule'!$D$51&lt;&gt;"Tier 1",'Daily Schedule'!$N$51&lt;&gt;$JN3,IFERROR(INDEX('Daily Workforce'!$M$6:$M$205,MATCH('Daily Schedule'!$F$51,'Daily Workforce'!$B$6:$B$205,0)),"N")="Y",COUNTIF($HJ$2:$HJ$8,'Daily Schedule'!$F$51)=0,COUNTIF($JO$1:JO2,'Daily Schedule'!$F$51)=0),IF('Daily Schedule'!$D$51="Tier 4",0,IF('Daily Schedule'!$D$51="Tier 3",1,2))*10000000+IFERROR(INDEX('Daily Workforce'!$V$6:$V$205,MATCH('Daily Schedule'!$F$51,'Daily Workforce'!$B$6:$B$205,0)),0)*1000+51,999999999)</f>
        <v>51</v>
      </c>
      <c r="LM3" s="1" t="n">
        <f aca="false">IF(AND($JM3&lt;&gt;"",'Daily Schedule'!$F$52&lt;&gt;"",'Daily Schedule'!$H$52="5:45 AM",'Daily Schedule'!$D$52&lt;&gt;"Tier 1",'Daily Schedule'!$N$52&lt;&gt;$JN3,IFERROR(INDEX('Daily Workforce'!$M$6:$M$205,MATCH('Daily Schedule'!$F$52,'Daily Workforce'!$B$6:$B$205,0)),"N")="Y",COUNTIF($HJ$2:$HJ$8,'Daily Schedule'!$F$52)=0,COUNTIF($JO$1:JO2,'Daily Schedule'!$F$52)=0),IF('Daily Schedule'!$D$52="Tier 4",0,IF('Daily Schedule'!$D$52="Tier 3",1,2))*10000000+IFERROR(INDEX('Daily Workforce'!$V$6:$V$205,MATCH('Daily Schedule'!$F$52,'Daily Workforce'!$B$6:$B$205,0)),0)*1000+52,999999999)</f>
        <v>999999999</v>
      </c>
      <c r="LN3" s="1" t="n">
        <f aca="false">IF(AND($JM3&lt;&gt;"",'Daily Schedule'!$F$53&lt;&gt;"",'Daily Schedule'!$H$53="5:45 AM",'Daily Schedule'!$D$53&lt;&gt;"Tier 1",'Daily Schedule'!$N$53&lt;&gt;$JN3,IFERROR(INDEX('Daily Workforce'!$M$6:$M$205,MATCH('Daily Schedule'!$F$53,'Daily Workforce'!$B$6:$B$205,0)),"N")="Y",COUNTIF($HJ$2:$HJ$8,'Daily Schedule'!$F$53)=0,COUNTIF($JO$1:JO2,'Daily Schedule'!$F$53)=0),IF('Daily Schedule'!$D$53="Tier 4",0,IF('Daily Schedule'!$D$53="Tier 3",1,2))*10000000+IFERROR(INDEX('Daily Workforce'!$V$6:$V$205,MATCH('Daily Schedule'!$F$53,'Daily Workforce'!$B$6:$B$205,0)),0)*1000+53,999999999)</f>
        <v>53</v>
      </c>
      <c r="LO3" s="1" t="n">
        <f aca="false">IF(AND($JM3&lt;&gt;"",'Daily Schedule'!$F$54&lt;&gt;"",'Daily Schedule'!$H$54="5:45 AM",'Daily Schedule'!$D$54&lt;&gt;"Tier 1",'Daily Schedule'!$N$54&lt;&gt;$JN3,IFERROR(INDEX('Daily Workforce'!$M$6:$M$205,MATCH('Daily Schedule'!$F$54,'Daily Workforce'!$B$6:$B$205,0)),"N")="Y",COUNTIF($HJ$2:$HJ$8,'Daily Schedule'!$F$54)=0,COUNTIF($JO$1:JO2,'Daily Schedule'!$F$54)=0),IF('Daily Schedule'!$D$54="Tier 4",0,IF('Daily Schedule'!$D$54="Tier 3",1,2))*10000000+IFERROR(INDEX('Daily Workforce'!$V$6:$V$205,MATCH('Daily Schedule'!$F$54,'Daily Workforce'!$B$6:$B$205,0)),0)*1000+54,999999999)</f>
        <v>54</v>
      </c>
      <c r="LP3" s="1" t="n">
        <f aca="false">IF(AND($JM3&lt;&gt;"",'Daily Schedule'!$F$55&lt;&gt;"",'Daily Schedule'!$H$55="5:45 AM",'Daily Schedule'!$D$55&lt;&gt;"Tier 1",'Daily Schedule'!$N$55&lt;&gt;$JN3,IFERROR(INDEX('Daily Workforce'!$M$6:$M$205,MATCH('Daily Schedule'!$F$55,'Daily Workforce'!$B$6:$B$205,0)),"N")="Y",COUNTIF($HJ$2:$HJ$8,'Daily Schedule'!$F$55)=0,COUNTIF($JO$1:JO2,'Daily Schedule'!$F$55)=0),IF('Daily Schedule'!$D$55="Tier 4",0,IF('Daily Schedule'!$D$55="Tier 3",1,2))*10000000+IFERROR(INDEX('Daily Workforce'!$V$6:$V$205,MATCH('Daily Schedule'!$F$55,'Daily Workforce'!$B$6:$B$205,0)),0)*1000+55,999999999)</f>
        <v>999999999</v>
      </c>
      <c r="LQ3" s="1" t="n">
        <f aca="false">IF(AND($JM3&lt;&gt;"",'Daily Schedule'!$F$56&lt;&gt;"",'Daily Schedule'!$H$56="5:45 AM",'Daily Schedule'!$D$56&lt;&gt;"Tier 1",'Daily Schedule'!$N$56&lt;&gt;$JN3,IFERROR(INDEX('Daily Workforce'!$M$6:$M$205,MATCH('Daily Schedule'!$F$56,'Daily Workforce'!$B$6:$B$205,0)),"N")="Y",COUNTIF($HJ$2:$HJ$8,'Daily Schedule'!$F$56)=0,COUNTIF($JO$1:JO2,'Daily Schedule'!$F$56)=0),IF('Daily Schedule'!$D$56="Tier 4",0,IF('Daily Schedule'!$D$56="Tier 3",1,2))*10000000+IFERROR(INDEX('Daily Workforce'!$V$6:$V$205,MATCH('Daily Schedule'!$F$56,'Daily Workforce'!$B$6:$B$205,0)),0)*1000+56,999999999)</f>
        <v>56</v>
      </c>
      <c r="LR3" s="1" t="n">
        <f aca="false">IF(AND($JM3&lt;&gt;"",'Daily Schedule'!$F$57&lt;&gt;"",'Daily Schedule'!$H$57="5:45 AM",'Daily Schedule'!$D$57&lt;&gt;"Tier 1",'Daily Schedule'!$N$57&lt;&gt;$JN3,IFERROR(INDEX('Daily Workforce'!$M$6:$M$205,MATCH('Daily Schedule'!$F$57,'Daily Workforce'!$B$6:$B$205,0)),"N")="Y",COUNTIF($HJ$2:$HJ$8,'Daily Schedule'!$F$57)=0,COUNTIF($JO$1:JO2,'Daily Schedule'!$F$57)=0),IF('Daily Schedule'!$D$57="Tier 4",0,IF('Daily Schedule'!$D$57="Tier 3",1,2))*10000000+IFERROR(INDEX('Daily Workforce'!$V$6:$V$205,MATCH('Daily Schedule'!$F$57,'Daily Workforce'!$B$6:$B$205,0)),0)*1000+57,999999999)</f>
        <v>57</v>
      </c>
      <c r="LS3" s="1" t="s">
        <v>783</v>
      </c>
    </row>
    <row r="4" customFormat="false" ht="15" hidden="false" customHeight="true" outlineLevel="0" collapsed="false">
      <c r="A4" s="1" t="s">
        <v>90</v>
      </c>
      <c r="C4" s="1" t="s">
        <v>784</v>
      </c>
      <c r="E4" s="1" t="s">
        <v>782</v>
      </c>
      <c r="H4" s="1" t="s">
        <v>785</v>
      </c>
      <c r="I4" s="1" t="s">
        <v>786</v>
      </c>
      <c r="J4" s="1" t="s">
        <v>466</v>
      </c>
      <c r="K4" s="1" t="s">
        <v>431</v>
      </c>
      <c r="L4" s="1" t="s">
        <v>466</v>
      </c>
      <c r="M4" s="1" t="s">
        <v>142</v>
      </c>
      <c r="N4" s="1" t="n">
        <v>3</v>
      </c>
      <c r="O4" s="1" t="n">
        <f aca="false">IF(AND('Employee Master'!$G4="Y",ISERROR(SEARCH(TEXT('Daily Workforce'!$B$2,"ddd"),'Employee Master'!$D4)),IF('Daily Workforce'!$E$2="",TRUE(),'Employee Master'!$I4='Daily Workforce'!$E$2)),'Employee Master'!$K4*1000+ROW()-1,"")</f>
        <v>2003</v>
      </c>
      <c r="P4" s="1" t="n">
        <f aca="false">IF($O4="","",COUNTIF($O$2:$O$159,"&lt;="&amp;$O4))</f>
        <v>22</v>
      </c>
      <c r="Q4" s="1" t="n">
        <f aca="false">IF(AND('Daily Workforce'!$N6="Y",'Daily Workforce'!$B6&lt;&gt;"",COUNTIF('Daily Schedule'!$F$5:$F7,'Daily Workforce'!$B6)=0,'Daily Workforce'!$M6="Y",IF(OR('Daily Schedule'!$E$2="Full Day",'Daily Schedule'!$E$2="AM"),'Daily Workforce'!$D6="3:45 AM",IF('Daily Schedule'!$E$2="PM",'Daily Workforce'!$E6="PM",'Daily Workforce'!$E6="Overnight"))),'Daily Workforce'!$V6*1000+6,999999999)</f>
        <v>999999999</v>
      </c>
      <c r="R4" s="1" t="n">
        <f aca="false">IF(AND('Daily Workforce'!$N7="Y",'Daily Workforce'!$B7&lt;&gt;"",COUNTIF('Daily Schedule'!$F$5:$F7,'Daily Workforce'!$B7)=0,'Daily Workforce'!$M7="Y",IF(OR('Daily Schedule'!$E$2="Full Day",'Daily Schedule'!$E$2="AM"),'Daily Workforce'!$D7="3:45 AM",IF('Daily Schedule'!$E$2="PM",'Daily Workforce'!$E7="PM",'Daily Workforce'!$E7="Overnight"))),'Daily Workforce'!$V7*1000+7,999999999)</f>
        <v>999999999</v>
      </c>
      <c r="S4" s="1" t="n">
        <f aca="false">IF(AND('Daily Workforce'!$N8="Y",'Daily Workforce'!$B8&lt;&gt;"",COUNTIF('Daily Schedule'!$F$5:$F7,'Daily Workforce'!$B8)=0,'Daily Workforce'!$M8="Y",IF(OR('Daily Schedule'!$E$2="Full Day",'Daily Schedule'!$E$2="AM"),'Daily Workforce'!$D8="3:45 AM",IF('Daily Schedule'!$E$2="PM",'Daily Workforce'!$E8="PM",'Daily Workforce'!$E8="Overnight"))),'Daily Workforce'!$V8*1000+8,999999999)</f>
        <v>8</v>
      </c>
      <c r="T4" s="1" t="n">
        <f aca="false">IF(AND('Daily Workforce'!$N9="Y",'Daily Workforce'!$B9&lt;&gt;"",COUNTIF('Daily Schedule'!$F$5:$F7,'Daily Workforce'!$B9)=0,'Daily Workforce'!$M9="Y",IF(OR('Daily Schedule'!$E$2="Full Day",'Daily Schedule'!$E$2="AM"),'Daily Workforce'!$D9="3:45 AM",IF('Daily Schedule'!$E$2="PM",'Daily Workforce'!$E9="PM",'Daily Workforce'!$E9="Overnight"))),'Daily Workforce'!$V9*1000+9,999999999)</f>
        <v>9</v>
      </c>
      <c r="U4" s="1" t="n">
        <f aca="false">IF(AND('Daily Workforce'!$N10="Y",'Daily Workforce'!$B10&lt;&gt;"",COUNTIF('Daily Schedule'!$F$5:$F7,'Daily Workforce'!$B10)=0,'Daily Workforce'!$M10="Y",IF(OR('Daily Schedule'!$E$2="Full Day",'Daily Schedule'!$E$2="AM"),'Daily Workforce'!$D10="3:45 AM",IF('Daily Schedule'!$E$2="PM",'Daily Workforce'!$E10="PM",'Daily Workforce'!$E10="Overnight"))),'Daily Workforce'!$V10*1000+10,999999999)</f>
        <v>10</v>
      </c>
      <c r="V4" s="1" t="n">
        <f aca="false">IF(AND('Daily Workforce'!$N11="Y",'Daily Workforce'!$B11&lt;&gt;"",COUNTIF('Daily Schedule'!$F$5:$F7,'Daily Workforce'!$B11)=0,'Daily Workforce'!$M11="Y",IF(OR('Daily Schedule'!$E$2="Full Day",'Daily Schedule'!$E$2="AM"),'Daily Workforce'!$D11="3:45 AM",IF('Daily Schedule'!$E$2="PM",'Daily Workforce'!$E11="PM",'Daily Workforce'!$E11="Overnight"))),'Daily Workforce'!$V11*1000+11,999999999)</f>
        <v>11</v>
      </c>
      <c r="W4" s="1" t="n">
        <f aca="false">IF(AND('Daily Workforce'!$N12="Y",'Daily Workforce'!$B12&lt;&gt;"",COUNTIF('Daily Schedule'!$F$5:$F7,'Daily Workforce'!$B12)=0,'Daily Workforce'!$M12="Y",IF(OR('Daily Schedule'!$E$2="Full Day",'Daily Schedule'!$E$2="AM"),'Daily Workforce'!$D12="3:45 AM",IF('Daily Schedule'!$E$2="PM",'Daily Workforce'!$E12="PM",'Daily Workforce'!$E12="Overnight"))),'Daily Workforce'!$V12*1000+12,999999999)</f>
        <v>12</v>
      </c>
      <c r="X4" s="1" t="n">
        <f aca="false">IF(AND('Daily Workforce'!$N13="Y",'Daily Workforce'!$B13&lt;&gt;"",COUNTIF('Daily Schedule'!$F$5:$F7,'Daily Workforce'!$B13)=0,'Daily Workforce'!$M13="Y",IF(OR('Daily Schedule'!$E$2="Full Day",'Daily Schedule'!$E$2="AM"),'Daily Workforce'!$D13="3:45 AM",IF('Daily Schedule'!$E$2="PM",'Daily Workforce'!$E13="PM",'Daily Workforce'!$E13="Overnight"))),'Daily Workforce'!$V13*1000+13,999999999)</f>
        <v>13</v>
      </c>
      <c r="Y4" s="1" t="n">
        <f aca="false">IF(AND('Daily Workforce'!$N14="Y",'Daily Workforce'!$B14&lt;&gt;"",COUNTIF('Daily Schedule'!$F$5:$F7,'Daily Workforce'!$B14)=0,'Daily Workforce'!$M14="Y",IF(OR('Daily Schedule'!$E$2="Full Day",'Daily Schedule'!$E$2="AM"),'Daily Workforce'!$D14="3:45 AM",IF('Daily Schedule'!$E$2="PM",'Daily Workforce'!$E14="PM",'Daily Workforce'!$E14="Overnight"))),'Daily Workforce'!$V14*1000+14,999999999)</f>
        <v>14</v>
      </c>
      <c r="Z4" s="1" t="n">
        <f aca="false">IF(AND('Daily Workforce'!$N15="Y",'Daily Workforce'!$B15&lt;&gt;"",COUNTIF('Daily Schedule'!$F$5:$F7,'Daily Workforce'!$B15)=0,'Daily Workforce'!$M15="Y",IF(OR('Daily Schedule'!$E$2="Full Day",'Daily Schedule'!$E$2="AM"),'Daily Workforce'!$D15="3:45 AM",IF('Daily Schedule'!$E$2="PM",'Daily Workforce'!$E15="PM",'Daily Workforce'!$E15="Overnight"))),'Daily Workforce'!$V15*1000+15,999999999)</f>
        <v>999999999</v>
      </c>
      <c r="AA4" s="1" t="n">
        <f aca="false">IF(AND('Daily Workforce'!$N16="Y",'Daily Workforce'!$B16&lt;&gt;"",COUNTIF('Daily Schedule'!$F$5:$F7,'Daily Workforce'!$B16)=0,'Daily Workforce'!$M16="Y",IF(OR('Daily Schedule'!$E$2="Full Day",'Daily Schedule'!$E$2="AM"),'Daily Workforce'!$D16="3:45 AM",IF('Daily Schedule'!$E$2="PM",'Daily Workforce'!$E16="PM",'Daily Workforce'!$E16="Overnight"))),'Daily Workforce'!$V16*1000+16,999999999)</f>
        <v>16</v>
      </c>
      <c r="AB4" s="1" t="n">
        <f aca="false">IF(AND('Daily Workforce'!$N17="Y",'Daily Workforce'!$B17&lt;&gt;"",COUNTIF('Daily Schedule'!$F$5:$F7,'Daily Workforce'!$B17)=0,'Daily Workforce'!$M17="Y",IF(OR('Daily Schedule'!$E$2="Full Day",'Daily Schedule'!$E$2="AM"),'Daily Workforce'!$D17="3:45 AM",IF('Daily Schedule'!$E$2="PM",'Daily Workforce'!$E17="PM",'Daily Workforce'!$E17="Overnight"))),'Daily Workforce'!$V17*1000+17,999999999)</f>
        <v>17</v>
      </c>
      <c r="AC4" s="1" t="n">
        <f aca="false">IF(AND('Daily Workforce'!$N18="Y",'Daily Workforce'!$B18&lt;&gt;"",COUNTIF('Daily Schedule'!$F$5:$F7,'Daily Workforce'!$B18)=0,'Daily Workforce'!$M18="Y",IF(OR('Daily Schedule'!$E$2="Full Day",'Daily Schedule'!$E$2="AM"),'Daily Workforce'!$D18="3:45 AM",IF('Daily Schedule'!$E$2="PM",'Daily Workforce'!$E18="PM",'Daily Workforce'!$E18="Overnight"))),'Daily Workforce'!$V18*1000+18,999999999)</f>
        <v>18</v>
      </c>
      <c r="AD4" s="1" t="n">
        <f aca="false">IF(AND('Daily Workforce'!$N19="Y",'Daily Workforce'!$B19&lt;&gt;"",COUNTIF('Daily Schedule'!$F$5:$F7,'Daily Workforce'!$B19)=0,'Daily Workforce'!$M19="Y",IF(OR('Daily Schedule'!$E$2="Full Day",'Daily Schedule'!$E$2="AM"),'Daily Workforce'!$D19="3:45 AM",IF('Daily Schedule'!$E$2="PM",'Daily Workforce'!$E19="PM",'Daily Workforce'!$E19="Overnight"))),'Daily Workforce'!$V19*1000+19,999999999)</f>
        <v>19</v>
      </c>
      <c r="AE4" s="1" t="n">
        <f aca="false">IF(AND('Daily Workforce'!$N20="Y",'Daily Workforce'!$B20&lt;&gt;"",COUNTIF('Daily Schedule'!$F$5:$F7,'Daily Workforce'!$B20)=0,'Daily Workforce'!$M20="Y",IF(OR('Daily Schedule'!$E$2="Full Day",'Daily Schedule'!$E$2="AM"),'Daily Workforce'!$D20="3:45 AM",IF('Daily Schedule'!$E$2="PM",'Daily Workforce'!$E20="PM",'Daily Workforce'!$E20="Overnight"))),'Daily Workforce'!$V20*1000+20,999999999)</f>
        <v>20</v>
      </c>
      <c r="AF4" s="1" t="n">
        <f aca="false">IF(AND('Daily Workforce'!$N21="Y",'Daily Workforce'!$B21&lt;&gt;"",COUNTIF('Daily Schedule'!$F$5:$F7,'Daily Workforce'!$B21)=0,'Daily Workforce'!$M21="Y",IF(OR('Daily Schedule'!$E$2="Full Day",'Daily Schedule'!$E$2="AM"),'Daily Workforce'!$D21="3:45 AM",IF('Daily Schedule'!$E$2="PM",'Daily Workforce'!$E21="PM",'Daily Workforce'!$E21="Overnight"))),'Daily Workforce'!$V21*1000+21,999999999)</f>
        <v>21</v>
      </c>
      <c r="AG4" s="1" t="n">
        <f aca="false">IF(AND('Daily Workforce'!$N22="Y",'Daily Workforce'!$B22&lt;&gt;"",COUNTIF('Daily Schedule'!$F$5:$F7,'Daily Workforce'!$B22)=0,'Daily Workforce'!$M22="Y",IF(OR('Daily Schedule'!$E$2="Full Day",'Daily Schedule'!$E$2="AM"),'Daily Workforce'!$D22="3:45 AM",IF('Daily Schedule'!$E$2="PM",'Daily Workforce'!$E22="PM",'Daily Workforce'!$E22="Overnight"))),'Daily Workforce'!$V22*1000+22,999999999)</f>
        <v>22</v>
      </c>
      <c r="AH4" s="1" t="n">
        <f aca="false">IF(AND('Daily Workforce'!$N23="Y",'Daily Workforce'!$B23&lt;&gt;"",COUNTIF('Daily Schedule'!$F$5:$F7,'Daily Workforce'!$B23)=0,'Daily Workforce'!$M23="Y",IF(OR('Daily Schedule'!$E$2="Full Day",'Daily Schedule'!$E$2="AM"),'Daily Workforce'!$D23="3:45 AM",IF('Daily Schedule'!$E$2="PM",'Daily Workforce'!$E23="PM",'Daily Workforce'!$E23="Overnight"))),'Daily Workforce'!$V23*1000+23,999999999)</f>
        <v>23</v>
      </c>
      <c r="AI4" s="1" t="n">
        <f aca="false">IF(AND('Daily Workforce'!$N24="Y",'Daily Workforce'!$B24&lt;&gt;"",COUNTIF('Daily Schedule'!$F$5:$F7,'Daily Workforce'!$B24)=0,'Daily Workforce'!$M24="Y",IF(OR('Daily Schedule'!$E$2="Full Day",'Daily Schedule'!$E$2="AM"),'Daily Workforce'!$D24="3:45 AM",IF('Daily Schedule'!$E$2="PM",'Daily Workforce'!$E24="PM",'Daily Workforce'!$E24="Overnight"))),'Daily Workforce'!$V24*1000+24,999999999)</f>
        <v>24</v>
      </c>
      <c r="AJ4" s="1" t="n">
        <f aca="false">IF(AND('Daily Workforce'!$N25="Y",'Daily Workforce'!$B25&lt;&gt;"",COUNTIF('Daily Schedule'!$F$5:$F7,'Daily Workforce'!$B25)=0,'Daily Workforce'!$M25="Y",IF(OR('Daily Schedule'!$E$2="Full Day",'Daily Schedule'!$E$2="AM"),'Daily Workforce'!$D25="3:45 AM",IF('Daily Schedule'!$E$2="PM",'Daily Workforce'!$E25="PM",'Daily Workforce'!$E25="Overnight"))),'Daily Workforce'!$V25*1000+25,999999999)</f>
        <v>25</v>
      </c>
      <c r="AK4" s="1" t="n">
        <f aca="false">IF(AND('Daily Workforce'!$N26="Y",'Daily Workforce'!$B26&lt;&gt;"",COUNTIF('Daily Schedule'!$F$5:$F7,'Daily Workforce'!$B26)=0,'Daily Workforce'!$M26="Y",IF(OR('Daily Schedule'!$E$2="Full Day",'Daily Schedule'!$E$2="AM"),'Daily Workforce'!$D26="3:45 AM",IF('Daily Schedule'!$E$2="PM",'Daily Workforce'!$E26="PM",'Daily Workforce'!$E26="Overnight"))),'Daily Workforce'!$V26*1000+26,999999999)</f>
        <v>26</v>
      </c>
      <c r="AL4" s="1" t="n">
        <f aca="false">IF(AND('Daily Workforce'!$N27="Y",'Daily Workforce'!$B27&lt;&gt;"",COUNTIF('Daily Schedule'!$F$5:$F7,'Daily Workforce'!$B27)=0,'Daily Workforce'!$M27="Y",IF(OR('Daily Schedule'!$E$2="Full Day",'Daily Schedule'!$E$2="AM"),'Daily Workforce'!$D27="3:45 AM",IF('Daily Schedule'!$E$2="PM",'Daily Workforce'!$E27="PM",'Daily Workforce'!$E27="Overnight"))),'Daily Workforce'!$V27*1000+27,999999999)</f>
        <v>999999999</v>
      </c>
      <c r="AM4" s="1" t="n">
        <f aca="false">IF(AND('Daily Workforce'!$N28="Y",'Daily Workforce'!$B28&lt;&gt;"",COUNTIF('Daily Schedule'!$F$5:$F7,'Daily Workforce'!$B28)=0,'Daily Workforce'!$M28="Y",IF(OR('Daily Schedule'!$E$2="Full Day",'Daily Schedule'!$E$2="AM"),'Daily Workforce'!$D28="3:45 AM",IF('Daily Schedule'!$E$2="PM",'Daily Workforce'!$E28="PM",'Daily Workforce'!$E28="Overnight"))),'Daily Workforce'!$V28*1000+28,999999999)</f>
        <v>999999999</v>
      </c>
      <c r="AN4" s="1" t="n">
        <f aca="false">IF(AND('Daily Workforce'!$N29="Y",'Daily Workforce'!$B29&lt;&gt;"",COUNTIF('Daily Schedule'!$F$5:$F7,'Daily Workforce'!$B29)=0,'Daily Workforce'!$M29="Y",IF(OR('Daily Schedule'!$E$2="Full Day",'Daily Schedule'!$E$2="AM"),'Daily Workforce'!$D29="3:45 AM",IF('Daily Schedule'!$E$2="PM",'Daily Workforce'!$E29="PM",'Daily Workforce'!$E29="Overnight"))),'Daily Workforce'!$V29*1000+29,999999999)</f>
        <v>999999999</v>
      </c>
      <c r="AO4" s="1" t="n">
        <f aca="false">IF(AND('Daily Workforce'!$N30="Y",'Daily Workforce'!$B30&lt;&gt;"",COUNTIF('Daily Schedule'!$F$5:$F7,'Daily Workforce'!$B30)=0,'Daily Workforce'!$M30="Y",IF(OR('Daily Schedule'!$E$2="Full Day",'Daily Schedule'!$E$2="AM"),'Daily Workforce'!$D30="3:45 AM",IF('Daily Schedule'!$E$2="PM",'Daily Workforce'!$E30="PM",'Daily Workforce'!$E30="Overnight"))),'Daily Workforce'!$V30*1000+30,999999999)</f>
        <v>999999999</v>
      </c>
      <c r="AP4" s="1" t="n">
        <f aca="false">IF(AND('Daily Workforce'!$N31="Y",'Daily Workforce'!$B31&lt;&gt;"",COUNTIF('Daily Schedule'!$F$5:$F7,'Daily Workforce'!$B31)=0,'Daily Workforce'!$M31="Y",IF(OR('Daily Schedule'!$E$2="Full Day",'Daily Schedule'!$E$2="AM"),'Daily Workforce'!$D31="3:45 AM",IF('Daily Schedule'!$E$2="PM",'Daily Workforce'!$E31="PM",'Daily Workforce'!$E31="Overnight"))),'Daily Workforce'!$V31*1000+31,999999999)</f>
        <v>999999999</v>
      </c>
      <c r="AQ4" s="1" t="n">
        <f aca="false">IF(AND('Daily Workforce'!$N32="Y",'Daily Workforce'!$B32&lt;&gt;"",COUNTIF('Daily Schedule'!$F$5:$F7,'Daily Workforce'!$B32)=0,'Daily Workforce'!$M32="Y",IF(OR('Daily Schedule'!$E$2="Full Day",'Daily Schedule'!$E$2="AM"),'Daily Workforce'!$D32="3:45 AM",IF('Daily Schedule'!$E$2="PM",'Daily Workforce'!$E32="PM",'Daily Workforce'!$E32="Overnight"))),'Daily Workforce'!$V32*1000+32,999999999)</f>
        <v>999999999</v>
      </c>
      <c r="AR4" s="1" t="n">
        <f aca="false">IF(AND('Daily Workforce'!$N33="Y",'Daily Workforce'!$B33&lt;&gt;"",COUNTIF('Daily Schedule'!$F$5:$F7,'Daily Workforce'!$B33)=0,'Daily Workforce'!$M33="Y",IF(OR('Daily Schedule'!$E$2="Full Day",'Daily Schedule'!$E$2="AM"),'Daily Workforce'!$D33="3:45 AM",IF('Daily Schedule'!$E$2="PM",'Daily Workforce'!$E33="PM",'Daily Workforce'!$E33="Overnight"))),'Daily Workforce'!$V33*1000+33,999999999)</f>
        <v>999999999</v>
      </c>
      <c r="AS4" s="1" t="n">
        <f aca="false">IF(AND('Daily Workforce'!$N34="Y",'Daily Workforce'!$B34&lt;&gt;"",COUNTIF('Daily Schedule'!$F$5:$F7,'Daily Workforce'!$B34)=0,'Daily Workforce'!$M34="Y",IF(OR('Daily Schedule'!$E$2="Full Day",'Daily Schedule'!$E$2="AM"),'Daily Workforce'!$D34="3:45 AM",IF('Daily Schedule'!$E$2="PM",'Daily Workforce'!$E34="PM",'Daily Workforce'!$E34="Overnight"))),'Daily Workforce'!$V34*1000+34,999999999)</f>
        <v>999999999</v>
      </c>
      <c r="AT4" s="1" t="n">
        <f aca="false">IF(AND('Daily Workforce'!$N35="Y",'Daily Workforce'!$B35&lt;&gt;"",COUNTIF('Daily Schedule'!$F$5:$F7,'Daily Workforce'!$B35)=0,'Daily Workforce'!$M35="Y",IF(OR('Daily Schedule'!$E$2="Full Day",'Daily Schedule'!$E$2="AM"),'Daily Workforce'!$D35="3:45 AM",IF('Daily Schedule'!$E$2="PM",'Daily Workforce'!$E35="PM",'Daily Workforce'!$E35="Overnight"))),'Daily Workforce'!$V35*1000+35,999999999)</f>
        <v>999999999</v>
      </c>
      <c r="AU4" s="1" t="n">
        <f aca="false">IF(AND('Daily Workforce'!$N36="Y",'Daily Workforce'!$B36&lt;&gt;"",COUNTIF('Daily Schedule'!$F$5:$F7,'Daily Workforce'!$B36)=0,'Daily Workforce'!$M36="Y",IF(OR('Daily Schedule'!$E$2="Full Day",'Daily Schedule'!$E$2="AM"),'Daily Workforce'!$D36="3:45 AM",IF('Daily Schedule'!$E$2="PM",'Daily Workforce'!$E36="PM",'Daily Workforce'!$E36="Overnight"))),'Daily Workforce'!$V36*1000+36,999999999)</f>
        <v>999999999</v>
      </c>
      <c r="AV4" s="1" t="n">
        <f aca="false">IF(AND('Daily Workforce'!$N37="Y",'Daily Workforce'!$B37&lt;&gt;"",COUNTIF('Daily Schedule'!$F$5:$F7,'Daily Workforce'!$B37)=0,'Daily Workforce'!$M37="Y",IF(OR('Daily Schedule'!$E$2="Full Day",'Daily Schedule'!$E$2="AM"),'Daily Workforce'!$D37="3:45 AM",IF('Daily Schedule'!$E$2="PM",'Daily Workforce'!$E37="PM",'Daily Workforce'!$E37="Overnight"))),'Daily Workforce'!$V37*1000+37,999999999)</f>
        <v>999999999</v>
      </c>
      <c r="AW4" s="1" t="n">
        <f aca="false">IF(AND('Daily Workforce'!$N38="Y",'Daily Workforce'!$B38&lt;&gt;"",COUNTIF('Daily Schedule'!$F$5:$F7,'Daily Workforce'!$B38)=0,'Daily Workforce'!$M38="Y",IF(OR('Daily Schedule'!$E$2="Full Day",'Daily Schedule'!$E$2="AM"),'Daily Workforce'!$D38="3:45 AM",IF('Daily Schedule'!$E$2="PM",'Daily Workforce'!$E38="PM",'Daily Workforce'!$E38="Overnight"))),'Daily Workforce'!$V38*1000+38,999999999)</f>
        <v>999999999</v>
      </c>
      <c r="AX4" s="1" t="n">
        <f aca="false">IF(AND('Daily Workforce'!$N39="Y",'Daily Workforce'!$B39&lt;&gt;"",COUNTIF('Daily Schedule'!$F$5:$F7,'Daily Workforce'!$B39)=0,'Daily Workforce'!$M39="Y",IF(OR('Daily Schedule'!$E$2="Full Day",'Daily Schedule'!$E$2="AM"),'Daily Workforce'!$D39="3:45 AM",IF('Daily Schedule'!$E$2="PM",'Daily Workforce'!$E39="PM",'Daily Workforce'!$E39="Overnight"))),'Daily Workforce'!$V39*1000+39,999999999)</f>
        <v>999999999</v>
      </c>
      <c r="AY4" s="1" t="n">
        <f aca="false">IF(AND('Daily Workforce'!$N40="Y",'Daily Workforce'!$B40&lt;&gt;"",COUNTIF('Daily Schedule'!$F$5:$F7,'Daily Workforce'!$B40)=0,'Daily Workforce'!$M40="Y",IF(OR('Daily Schedule'!$E$2="Full Day",'Daily Schedule'!$E$2="AM"),'Daily Workforce'!$D40="3:45 AM",IF('Daily Schedule'!$E$2="PM",'Daily Workforce'!$E40="PM",'Daily Workforce'!$E40="Overnight"))),'Daily Workforce'!$V40*1000+40,999999999)</f>
        <v>999999999</v>
      </c>
      <c r="AZ4" s="1" t="n">
        <f aca="false">IF(AND('Daily Workforce'!$N41="Y",'Daily Workforce'!$B41&lt;&gt;"",COUNTIF('Daily Schedule'!$F$5:$F7,'Daily Workforce'!$B41)=0,'Daily Workforce'!$M41="Y",IF(OR('Daily Schedule'!$E$2="Full Day",'Daily Schedule'!$E$2="AM"),'Daily Workforce'!$D41="3:45 AM",IF('Daily Schedule'!$E$2="PM",'Daily Workforce'!$E41="PM",'Daily Workforce'!$E41="Overnight"))),'Daily Workforce'!$V41*1000+41,999999999)</f>
        <v>999999999</v>
      </c>
      <c r="BA4" s="1" t="n">
        <f aca="false">IF(AND('Daily Workforce'!$N42="Y",'Daily Workforce'!$B42&lt;&gt;"",COUNTIF('Daily Schedule'!$F$5:$F7,'Daily Workforce'!$B42)=0,'Daily Workforce'!$M42="Y",IF(OR('Daily Schedule'!$E$2="Full Day",'Daily Schedule'!$E$2="AM"),'Daily Workforce'!$D42="3:45 AM",IF('Daily Schedule'!$E$2="PM",'Daily Workforce'!$E42="PM",'Daily Workforce'!$E42="Overnight"))),'Daily Workforce'!$V42*1000+42,999999999)</f>
        <v>999999999</v>
      </c>
      <c r="BB4" s="1" t="n">
        <f aca="false">IF(AND('Daily Workforce'!$N43="Y",'Daily Workforce'!$B43&lt;&gt;"",COUNTIF('Daily Schedule'!$F$5:$F7,'Daily Workforce'!$B43)=0,'Daily Workforce'!$M43="Y",IF(OR('Daily Schedule'!$E$2="Full Day",'Daily Schedule'!$E$2="AM"),'Daily Workforce'!$D43="3:45 AM",IF('Daily Schedule'!$E$2="PM",'Daily Workforce'!$E43="PM",'Daily Workforce'!$E43="Overnight"))),'Daily Workforce'!$V43*1000+43,999999999)</f>
        <v>999999999</v>
      </c>
      <c r="BC4" s="1" t="n">
        <f aca="false">IF(AND('Daily Workforce'!$N44="Y",'Daily Workforce'!$B44&lt;&gt;"",COUNTIF('Daily Schedule'!$F$5:$F7,'Daily Workforce'!$B44)=0,'Daily Workforce'!$M44="Y",IF(OR('Daily Schedule'!$E$2="Full Day",'Daily Schedule'!$E$2="AM"),'Daily Workforce'!$D44="3:45 AM",IF('Daily Schedule'!$E$2="PM",'Daily Workforce'!$E44="PM",'Daily Workforce'!$E44="Overnight"))),'Daily Workforce'!$V44*1000+44,999999999)</f>
        <v>999999999</v>
      </c>
      <c r="BD4" s="1" t="n">
        <f aca="false">IF(AND('Daily Workforce'!$N45="Y",'Daily Workforce'!$B45&lt;&gt;"",COUNTIF('Daily Schedule'!$F$5:$F7,'Daily Workforce'!$B45)=0,'Daily Workforce'!$M45="Y",IF(OR('Daily Schedule'!$E$2="Full Day",'Daily Schedule'!$E$2="AM"),'Daily Workforce'!$D45="3:45 AM",IF('Daily Schedule'!$E$2="PM",'Daily Workforce'!$E45="PM",'Daily Workforce'!$E45="Overnight"))),'Daily Workforce'!$V45*1000+45,999999999)</f>
        <v>999999999</v>
      </c>
      <c r="BE4" s="1" t="n">
        <f aca="false">IF(AND('Daily Workforce'!$N46="Y",'Daily Workforce'!$B46&lt;&gt;"",COUNTIF('Daily Schedule'!$F$5:$F7,'Daily Workforce'!$B46)=0,'Daily Workforce'!$M46="Y",IF(OR('Daily Schedule'!$E$2="Full Day",'Daily Schedule'!$E$2="AM"),'Daily Workforce'!$D46="3:45 AM",IF('Daily Schedule'!$E$2="PM",'Daily Workforce'!$E46="PM",'Daily Workforce'!$E46="Overnight"))),'Daily Workforce'!$V46*1000+46,999999999)</f>
        <v>999999999</v>
      </c>
      <c r="BF4" s="1" t="n">
        <f aca="false">IF(AND('Daily Workforce'!$N47="Y",'Daily Workforce'!$B47&lt;&gt;"",COUNTIF('Daily Schedule'!$F$5:$F7,'Daily Workforce'!$B47)=0,'Daily Workforce'!$M47="Y",IF(OR('Daily Schedule'!$E$2="Full Day",'Daily Schedule'!$E$2="AM"),'Daily Workforce'!$D47="3:45 AM",IF('Daily Schedule'!$E$2="PM",'Daily Workforce'!$E47="PM",'Daily Workforce'!$E47="Overnight"))),'Daily Workforce'!$V47*1000+47,999999999)</f>
        <v>999999999</v>
      </c>
      <c r="BG4" s="1" t="n">
        <f aca="false">IF(AND('Daily Workforce'!$N48="Y",'Daily Workforce'!$B48&lt;&gt;"",COUNTIF('Daily Schedule'!$F$5:$F7,'Daily Workforce'!$B48)=0,'Daily Workforce'!$M48="Y",IF(OR('Daily Schedule'!$E$2="Full Day",'Daily Schedule'!$E$2="AM"),'Daily Workforce'!$D48="3:45 AM",IF('Daily Schedule'!$E$2="PM",'Daily Workforce'!$E48="PM",'Daily Workforce'!$E48="Overnight"))),'Daily Workforce'!$V48*1000+48,999999999)</f>
        <v>999999999</v>
      </c>
      <c r="BH4" s="1" t="n">
        <f aca="false">IF(AND('Daily Workforce'!$N49="Y",'Daily Workforce'!$B49&lt;&gt;"",COUNTIF('Daily Schedule'!$F$5:$F7,'Daily Workforce'!$B49)=0,'Daily Workforce'!$M49="Y",IF(OR('Daily Schedule'!$E$2="Full Day",'Daily Schedule'!$E$2="AM"),'Daily Workforce'!$D49="3:45 AM",IF('Daily Schedule'!$E$2="PM",'Daily Workforce'!$E49="PM",'Daily Workforce'!$E49="Overnight"))),'Daily Workforce'!$V49*1000+49,999999999)</f>
        <v>999999999</v>
      </c>
      <c r="BI4" s="1" t="n">
        <f aca="false">IF(AND('Daily Workforce'!$N50="Y",'Daily Workforce'!$B50&lt;&gt;"",COUNTIF('Daily Schedule'!$F$5:$F7,'Daily Workforce'!$B50)=0,'Daily Workforce'!$M50="Y",IF(OR('Daily Schedule'!$E$2="Full Day",'Daily Schedule'!$E$2="AM"),'Daily Workforce'!$D50="3:45 AM",IF('Daily Schedule'!$E$2="PM",'Daily Workforce'!$E50="PM",'Daily Workforce'!$E50="Overnight"))),'Daily Workforce'!$V50*1000+50,999999999)</f>
        <v>999999999</v>
      </c>
      <c r="BJ4" s="1" t="n">
        <f aca="false">IF(AND('Daily Workforce'!$N51="Y",'Daily Workforce'!$B51&lt;&gt;"",COUNTIF('Daily Schedule'!$F$5:$F7,'Daily Workforce'!$B51)=0,'Daily Workforce'!$M51="Y",IF(OR('Daily Schedule'!$E$2="Full Day",'Daily Schedule'!$E$2="AM"),'Daily Workforce'!$D51="3:45 AM",IF('Daily Schedule'!$E$2="PM",'Daily Workforce'!$E51="PM",'Daily Workforce'!$E51="Overnight"))),'Daily Workforce'!$V51*1000+51,999999999)</f>
        <v>999999999</v>
      </c>
      <c r="BK4" s="1" t="n">
        <f aca="false">IF(AND('Daily Workforce'!$N52="Y",'Daily Workforce'!$B52&lt;&gt;"",COUNTIF('Daily Schedule'!$F$5:$F7,'Daily Workforce'!$B52)=0,'Daily Workforce'!$M52="Y",IF(OR('Daily Schedule'!$E$2="Full Day",'Daily Schedule'!$E$2="AM"),'Daily Workforce'!$D52="3:45 AM",IF('Daily Schedule'!$E$2="PM",'Daily Workforce'!$E52="PM",'Daily Workforce'!$E52="Overnight"))),'Daily Workforce'!$V52*1000+52,999999999)</f>
        <v>999999999</v>
      </c>
      <c r="BL4" s="1" t="n">
        <f aca="false">IF(AND('Daily Workforce'!$N53="Y",'Daily Workforce'!$B53&lt;&gt;"",COUNTIF('Daily Schedule'!$F$5:$F7,'Daily Workforce'!$B53)=0,'Daily Workforce'!$M53="Y",IF(OR('Daily Schedule'!$E$2="Full Day",'Daily Schedule'!$E$2="AM"),'Daily Workforce'!$D53="3:45 AM",IF('Daily Schedule'!$E$2="PM",'Daily Workforce'!$E53="PM",'Daily Workforce'!$E53="Overnight"))),'Daily Workforce'!$V53*1000+53,999999999)</f>
        <v>999999999</v>
      </c>
      <c r="BM4" s="1" t="n">
        <f aca="false">IF(AND('Daily Workforce'!$N54="Y",'Daily Workforce'!$B54&lt;&gt;"",COUNTIF('Daily Schedule'!$F$5:$F7,'Daily Workforce'!$B54)=0,'Daily Workforce'!$M54="Y",IF(OR('Daily Schedule'!$E$2="Full Day",'Daily Schedule'!$E$2="AM"),'Daily Workforce'!$D54="3:45 AM",IF('Daily Schedule'!$E$2="PM",'Daily Workforce'!$E54="PM",'Daily Workforce'!$E54="Overnight"))),'Daily Workforce'!$V54*1000+54,999999999)</f>
        <v>999999999</v>
      </c>
      <c r="BN4" s="1" t="n">
        <f aca="false">IF(AND('Daily Workforce'!$N55="Y",'Daily Workforce'!$B55&lt;&gt;"",COUNTIF('Daily Schedule'!$F$5:$F7,'Daily Workforce'!$B55)=0,'Daily Workforce'!$M55="Y",IF(OR('Daily Schedule'!$E$2="Full Day",'Daily Schedule'!$E$2="AM"),'Daily Workforce'!$D55="3:45 AM",IF('Daily Schedule'!$E$2="PM",'Daily Workforce'!$E55="PM",'Daily Workforce'!$E55="Overnight"))),'Daily Workforce'!$V55*1000+55,999999999)</f>
        <v>999999999</v>
      </c>
      <c r="BO4" s="1" t="n">
        <f aca="false">IF(AND('Daily Workforce'!$N56="Y",'Daily Workforce'!$B56&lt;&gt;"",COUNTIF('Daily Schedule'!$F$5:$F7,'Daily Workforce'!$B56)=0,'Daily Workforce'!$M56="Y",IF(OR('Daily Schedule'!$E$2="Full Day",'Daily Schedule'!$E$2="AM"),'Daily Workforce'!$D56="3:45 AM",IF('Daily Schedule'!$E$2="PM",'Daily Workforce'!$E56="PM",'Daily Workforce'!$E56="Overnight"))),'Daily Workforce'!$V56*1000+56,999999999)</f>
        <v>999999999</v>
      </c>
      <c r="BP4" s="1" t="n">
        <f aca="false">IF(AND('Daily Workforce'!$N57="Y",'Daily Workforce'!$B57&lt;&gt;"",COUNTIF('Daily Schedule'!$F$5:$F7,'Daily Workforce'!$B57)=0,'Daily Workforce'!$M57="Y",IF(OR('Daily Schedule'!$E$2="Full Day",'Daily Schedule'!$E$2="AM"),'Daily Workforce'!$D57="3:45 AM",IF('Daily Schedule'!$E$2="PM",'Daily Workforce'!$E57="PM",'Daily Workforce'!$E57="Overnight"))),'Daily Workforce'!$V57*1000+57,999999999)</f>
        <v>999999999</v>
      </c>
      <c r="BQ4" s="1" t="n">
        <f aca="false">IF(AND('Daily Workforce'!$N58="Y",'Daily Workforce'!$B58&lt;&gt;"",COUNTIF('Daily Schedule'!$F$5:$F7,'Daily Workforce'!$B58)=0,'Daily Workforce'!$M58="Y",IF(OR('Daily Schedule'!$E$2="Full Day",'Daily Schedule'!$E$2="AM"),'Daily Workforce'!$D58="3:45 AM",IF('Daily Schedule'!$E$2="PM",'Daily Workforce'!$E58="PM",'Daily Workforce'!$E58="Overnight"))),'Daily Workforce'!$V58*1000+58,999999999)</f>
        <v>999999999</v>
      </c>
      <c r="BR4" s="1" t="n">
        <f aca="false">IF(AND('Daily Workforce'!$N59="Y",'Daily Workforce'!$B59&lt;&gt;"",COUNTIF('Daily Schedule'!$F$5:$F7,'Daily Workforce'!$B59)=0,'Daily Workforce'!$M59="Y",IF(OR('Daily Schedule'!$E$2="Full Day",'Daily Schedule'!$E$2="AM"),'Daily Workforce'!$D59="3:45 AM",IF('Daily Schedule'!$E$2="PM",'Daily Workforce'!$E59="PM",'Daily Workforce'!$E59="Overnight"))),'Daily Workforce'!$V59*1000+59,999999999)</f>
        <v>999999999</v>
      </c>
      <c r="BS4" s="1" t="n">
        <f aca="false">IF(AND('Daily Workforce'!$N60="Y",'Daily Workforce'!$B60&lt;&gt;"",COUNTIF('Daily Schedule'!$F$5:$F7,'Daily Workforce'!$B60)=0,'Daily Workforce'!$M60="Y",IF(OR('Daily Schedule'!$E$2="Full Day",'Daily Schedule'!$E$2="AM"),'Daily Workforce'!$D60="3:45 AM",IF('Daily Schedule'!$E$2="PM",'Daily Workforce'!$E60="PM",'Daily Workforce'!$E60="Overnight"))),'Daily Workforce'!$V60*1000+60,999999999)</f>
        <v>999999999</v>
      </c>
      <c r="BT4" s="1" t="n">
        <f aca="false">IF(AND('Daily Workforce'!$N61="Y",'Daily Workforce'!$B61&lt;&gt;"",COUNTIF('Daily Schedule'!$F$5:$F7,'Daily Workforce'!$B61)=0,'Daily Workforce'!$M61="Y",IF(OR('Daily Schedule'!$E$2="Full Day",'Daily Schedule'!$E$2="AM"),'Daily Workforce'!$D61="3:45 AM",IF('Daily Schedule'!$E$2="PM",'Daily Workforce'!$E61="PM",'Daily Workforce'!$E61="Overnight"))),'Daily Workforce'!$V61*1000+61,999999999)</f>
        <v>999999999</v>
      </c>
      <c r="BU4" s="1" t="n">
        <f aca="false">IF(AND('Daily Workforce'!$N62="Y",'Daily Workforce'!$B62&lt;&gt;"",COUNTIF('Daily Schedule'!$F$5:$F7,'Daily Workforce'!$B62)=0,'Daily Workforce'!$M62="Y",IF(OR('Daily Schedule'!$E$2="Full Day",'Daily Schedule'!$E$2="AM"),'Daily Workforce'!$D62="3:45 AM",IF('Daily Schedule'!$E$2="PM",'Daily Workforce'!$E62="PM",'Daily Workforce'!$E62="Overnight"))),'Daily Workforce'!$V62*1000+62,999999999)</f>
        <v>999999999</v>
      </c>
      <c r="BV4" s="1" t="n">
        <f aca="false">IF(AND('Daily Workforce'!$N63="Y",'Daily Workforce'!$B63&lt;&gt;"",COUNTIF('Daily Schedule'!$F$5:$F7,'Daily Workforce'!$B63)=0,'Daily Workforce'!$M63="Y",IF(OR('Daily Schedule'!$E$2="Full Day",'Daily Schedule'!$E$2="AM"),'Daily Workforce'!$D63="3:45 AM",IF('Daily Schedule'!$E$2="PM",'Daily Workforce'!$E63="PM",'Daily Workforce'!$E63="Overnight"))),'Daily Workforce'!$V63*1000+63,999999999)</f>
        <v>999999999</v>
      </c>
      <c r="BW4" s="1" t="n">
        <f aca="false">IF(AND('Daily Workforce'!$N64="Y",'Daily Workforce'!$B64&lt;&gt;"",COUNTIF('Daily Schedule'!$F$5:$F7,'Daily Workforce'!$B64)=0,'Daily Workforce'!$M64="Y",IF(OR('Daily Schedule'!$E$2="Full Day",'Daily Schedule'!$E$2="AM"),'Daily Workforce'!$D64="3:45 AM",IF('Daily Schedule'!$E$2="PM",'Daily Workforce'!$E64="PM",'Daily Workforce'!$E64="Overnight"))),'Daily Workforce'!$V64*1000+64,999999999)</f>
        <v>999999999</v>
      </c>
      <c r="BX4" s="1" t="n">
        <f aca="false">IF(AND('Daily Workforce'!$N65="Y",'Daily Workforce'!$B65&lt;&gt;"",COUNTIF('Daily Schedule'!$F$5:$F7,'Daily Workforce'!$B65)=0,'Daily Workforce'!$M65="Y",IF(OR('Daily Schedule'!$E$2="Full Day",'Daily Schedule'!$E$2="AM"),'Daily Workforce'!$D65="3:45 AM",IF('Daily Schedule'!$E$2="PM",'Daily Workforce'!$E65="PM",'Daily Workforce'!$E65="Overnight"))),'Daily Workforce'!$V65*1000+65,999999999)</f>
        <v>999999999</v>
      </c>
      <c r="BY4" s="1" t="n">
        <f aca="false">IF(AND('Daily Workforce'!$N66="Y",'Daily Workforce'!$B66&lt;&gt;"",COUNTIF('Daily Schedule'!$F$5:$F7,'Daily Workforce'!$B66)=0,'Daily Workforce'!$M66="Y",IF(OR('Daily Schedule'!$E$2="Full Day",'Daily Schedule'!$E$2="AM"),'Daily Workforce'!$D66="3:45 AM",IF('Daily Schedule'!$E$2="PM",'Daily Workforce'!$E66="PM",'Daily Workforce'!$E66="Overnight"))),'Daily Workforce'!$V66*1000+66,999999999)</f>
        <v>999999999</v>
      </c>
      <c r="BZ4" s="1" t="n">
        <f aca="false">IF(AND('Daily Workforce'!$N67="Y",'Daily Workforce'!$B67&lt;&gt;"",COUNTIF('Daily Schedule'!$F$5:$F7,'Daily Workforce'!$B67)=0,'Daily Workforce'!$M67="Y",IF(OR('Daily Schedule'!$E$2="Full Day",'Daily Schedule'!$E$2="AM"),'Daily Workforce'!$D67="3:45 AM",IF('Daily Schedule'!$E$2="PM",'Daily Workforce'!$E67="PM",'Daily Workforce'!$E67="Overnight"))),'Daily Workforce'!$V67*1000+67,999999999)</f>
        <v>999999999</v>
      </c>
      <c r="CA4" s="1" t="n">
        <f aca="false">IF(AND('Daily Workforce'!$N68="Y",'Daily Workforce'!$B68&lt;&gt;"",COUNTIF('Daily Schedule'!$F$5:$F7,'Daily Workforce'!$B68)=0,'Daily Workforce'!$M68="Y",IF(OR('Daily Schedule'!$E$2="Full Day",'Daily Schedule'!$E$2="AM"),'Daily Workforce'!$D68="3:45 AM",IF('Daily Schedule'!$E$2="PM",'Daily Workforce'!$E68="PM",'Daily Workforce'!$E68="Overnight"))),'Daily Workforce'!$V68*1000+68,999999999)</f>
        <v>999999999</v>
      </c>
      <c r="CB4" s="1" t="n">
        <f aca="false">IF(AND('Daily Workforce'!$N69="Y",'Daily Workforce'!$B69&lt;&gt;"",COUNTIF('Daily Schedule'!$F$5:$F7,'Daily Workforce'!$B69)=0,'Daily Workforce'!$M69="Y",IF(OR('Daily Schedule'!$E$2="Full Day",'Daily Schedule'!$E$2="AM"),'Daily Workforce'!$D69="3:45 AM",IF('Daily Schedule'!$E$2="PM",'Daily Workforce'!$E69="PM",'Daily Workforce'!$E69="Overnight"))),'Daily Workforce'!$V69*1000+69,999999999)</f>
        <v>999999999</v>
      </c>
      <c r="CC4" s="1" t="n">
        <f aca="false">IF(AND('Daily Workforce'!$N70="Y",'Daily Workforce'!$B70&lt;&gt;"",COUNTIF('Daily Schedule'!$F$5:$F7,'Daily Workforce'!$B70)=0,'Daily Workforce'!$M70="Y",IF(OR('Daily Schedule'!$E$2="Full Day",'Daily Schedule'!$E$2="AM"),'Daily Workforce'!$D70="3:45 AM",IF('Daily Schedule'!$E$2="PM",'Daily Workforce'!$E70="PM",'Daily Workforce'!$E70="Overnight"))),'Daily Workforce'!$V70*1000+70,999999999)</f>
        <v>999999999</v>
      </c>
      <c r="CD4" s="1" t="n">
        <f aca="false">IF(AND('Daily Workforce'!$N71="Y",'Daily Workforce'!$B71&lt;&gt;"",COUNTIF('Daily Schedule'!$F$5:$F7,'Daily Workforce'!$B71)=0,'Daily Workforce'!$M71="Y",IF(OR('Daily Schedule'!$E$2="Full Day",'Daily Schedule'!$E$2="AM"),'Daily Workforce'!$D71="3:45 AM",IF('Daily Schedule'!$E$2="PM",'Daily Workforce'!$E71="PM",'Daily Workforce'!$E71="Overnight"))),'Daily Workforce'!$V71*1000+71,999999999)</f>
        <v>999999999</v>
      </c>
      <c r="CE4" s="1" t="n">
        <f aca="false">IF(AND('Daily Workforce'!$N72="Y",'Daily Workforce'!$B72&lt;&gt;"",COUNTIF('Daily Schedule'!$F$5:$F7,'Daily Workforce'!$B72)=0,'Daily Workforce'!$M72="Y",IF(OR('Daily Schedule'!$E$2="Full Day",'Daily Schedule'!$E$2="AM"),'Daily Workforce'!$D72="3:45 AM",IF('Daily Schedule'!$E$2="PM",'Daily Workforce'!$E72="PM",'Daily Workforce'!$E72="Overnight"))),'Daily Workforce'!$V72*1000+72,999999999)</f>
        <v>999999999</v>
      </c>
      <c r="CF4" s="1" t="n">
        <f aca="false">IF(AND('Daily Workforce'!$N73="Y",'Daily Workforce'!$B73&lt;&gt;"",COUNTIF('Daily Schedule'!$F$5:$F7,'Daily Workforce'!$B73)=0,'Daily Workforce'!$M73="Y",IF(OR('Daily Schedule'!$E$2="Full Day",'Daily Schedule'!$E$2="AM"),'Daily Workforce'!$D73="3:45 AM",IF('Daily Schedule'!$E$2="PM",'Daily Workforce'!$E73="PM",'Daily Workforce'!$E73="Overnight"))),'Daily Workforce'!$V73*1000+73,999999999)</f>
        <v>999999999</v>
      </c>
      <c r="CG4" s="1" t="n">
        <f aca="false">IF(AND('Daily Workforce'!$N74="Y",'Daily Workforce'!$B74&lt;&gt;"",COUNTIF('Daily Schedule'!$F$5:$F7,'Daily Workforce'!$B74)=0,'Daily Workforce'!$M74="Y",IF(OR('Daily Schedule'!$E$2="Full Day",'Daily Schedule'!$E$2="AM"),'Daily Workforce'!$D74="3:45 AM",IF('Daily Schedule'!$E$2="PM",'Daily Workforce'!$E74="PM",'Daily Workforce'!$E74="Overnight"))),'Daily Workforce'!$V74*1000+74,999999999)</f>
        <v>999999999</v>
      </c>
      <c r="CH4" s="1" t="n">
        <f aca="false">IF(AND('Daily Workforce'!$N75="Y",'Daily Workforce'!$B75&lt;&gt;"",COUNTIF('Daily Schedule'!$F$5:$F7,'Daily Workforce'!$B75)=0,'Daily Workforce'!$M75="Y",IF(OR('Daily Schedule'!$E$2="Full Day",'Daily Schedule'!$E$2="AM"),'Daily Workforce'!$D75="3:45 AM",IF('Daily Schedule'!$E$2="PM",'Daily Workforce'!$E75="PM",'Daily Workforce'!$E75="Overnight"))),'Daily Workforce'!$V75*1000+75,999999999)</f>
        <v>999999999</v>
      </c>
      <c r="CI4" s="1" t="n">
        <f aca="false">IF(AND('Daily Workforce'!$N76="Y",'Daily Workforce'!$B76&lt;&gt;"",COUNTIF('Daily Schedule'!$F$5:$F7,'Daily Workforce'!$B76)=0,'Daily Workforce'!$M76="Y",IF(OR('Daily Schedule'!$E$2="Full Day",'Daily Schedule'!$E$2="AM"),'Daily Workforce'!$D76="3:45 AM",IF('Daily Schedule'!$E$2="PM",'Daily Workforce'!$E76="PM",'Daily Workforce'!$E76="Overnight"))),'Daily Workforce'!$V76*1000+76,999999999)</f>
        <v>999999999</v>
      </c>
      <c r="CJ4" s="1" t="n">
        <f aca="false">IF(AND('Daily Workforce'!$N77="Y",'Daily Workforce'!$B77&lt;&gt;"",COUNTIF('Daily Schedule'!$F$5:$F7,'Daily Workforce'!$B77)=0,'Daily Workforce'!$M77="Y",IF(OR('Daily Schedule'!$E$2="Full Day",'Daily Schedule'!$E$2="AM"),'Daily Workforce'!$D77="3:45 AM",IF('Daily Schedule'!$E$2="PM",'Daily Workforce'!$E77="PM",'Daily Workforce'!$E77="Overnight"))),'Daily Workforce'!$V77*1000+77,999999999)</f>
        <v>999999999</v>
      </c>
      <c r="CK4" s="1" t="n">
        <f aca="false">IF(AND('Daily Workforce'!$N78="Y",'Daily Workforce'!$B78&lt;&gt;"",COUNTIF('Daily Schedule'!$F$5:$F7,'Daily Workforce'!$B78)=0,'Daily Workforce'!$M78="Y",IF(OR('Daily Schedule'!$E$2="Full Day",'Daily Schedule'!$E$2="AM"),'Daily Workforce'!$D78="3:45 AM",IF('Daily Schedule'!$E$2="PM",'Daily Workforce'!$E78="PM",'Daily Workforce'!$E78="Overnight"))),'Daily Workforce'!$V78*1000+78,999999999)</f>
        <v>999999999</v>
      </c>
      <c r="CL4" s="1" t="n">
        <f aca="false">IF(AND('Daily Workforce'!$N79="Y",'Daily Workforce'!$B79&lt;&gt;"",COUNTIF('Daily Schedule'!$F$5:$F7,'Daily Workforce'!$B79)=0,'Daily Workforce'!$M79="Y",IF(OR('Daily Schedule'!$E$2="Full Day",'Daily Schedule'!$E$2="AM"),'Daily Workforce'!$D79="3:45 AM",IF('Daily Schedule'!$E$2="PM",'Daily Workforce'!$E79="PM",'Daily Workforce'!$E79="Overnight"))),'Daily Workforce'!$V79*1000+79,999999999)</f>
        <v>999999999</v>
      </c>
      <c r="CM4" s="1" t="n">
        <f aca="false">IF(AND('Daily Workforce'!$N80="Y",'Daily Workforce'!$B80&lt;&gt;"",COUNTIF('Daily Schedule'!$F$5:$F7,'Daily Workforce'!$B80)=0,'Daily Workforce'!$M80="Y",IF(OR('Daily Schedule'!$E$2="Full Day",'Daily Schedule'!$E$2="AM"),'Daily Workforce'!$D80="3:45 AM",IF('Daily Schedule'!$E$2="PM",'Daily Workforce'!$E80="PM",'Daily Workforce'!$E80="Overnight"))),'Daily Workforce'!$V80*1000+80,999999999)</f>
        <v>999999999</v>
      </c>
      <c r="CN4" s="1" t="n">
        <f aca="false">IF(AND('Daily Workforce'!$N81="Y",'Daily Workforce'!$B81&lt;&gt;"",COUNTIF('Daily Schedule'!$F$5:$F7,'Daily Workforce'!$B81)=0,'Daily Workforce'!$M81="Y",IF(OR('Daily Schedule'!$E$2="Full Day",'Daily Schedule'!$E$2="AM"),'Daily Workforce'!$D81="3:45 AM",IF('Daily Schedule'!$E$2="PM",'Daily Workforce'!$E81="PM",'Daily Workforce'!$E81="Overnight"))),'Daily Workforce'!$V81*1000+81,999999999)</f>
        <v>999999999</v>
      </c>
      <c r="CO4" s="1" t="n">
        <f aca="false">IF(AND('Daily Workforce'!$N82="Y",'Daily Workforce'!$B82&lt;&gt;"",COUNTIF('Daily Schedule'!$F$5:$F7,'Daily Workforce'!$B82)=0,'Daily Workforce'!$M82="Y",IF(OR('Daily Schedule'!$E$2="Full Day",'Daily Schedule'!$E$2="AM"),'Daily Workforce'!$D82="3:45 AM",IF('Daily Schedule'!$E$2="PM",'Daily Workforce'!$E82="PM",'Daily Workforce'!$E82="Overnight"))),'Daily Workforce'!$V82*1000+82,999999999)</f>
        <v>999999999</v>
      </c>
      <c r="CP4" s="1" t="n">
        <f aca="false">IF(AND('Daily Workforce'!$N83="Y",'Daily Workforce'!$B83&lt;&gt;"",COUNTIF('Daily Schedule'!$F$5:$F7,'Daily Workforce'!$B83)=0,'Daily Workforce'!$M83="Y",IF(OR('Daily Schedule'!$E$2="Full Day",'Daily Schedule'!$E$2="AM"),'Daily Workforce'!$D83="3:45 AM",IF('Daily Schedule'!$E$2="PM",'Daily Workforce'!$E83="PM",'Daily Workforce'!$E83="Overnight"))),'Daily Workforce'!$V83*1000+83,999999999)</f>
        <v>999999999</v>
      </c>
      <c r="CQ4" s="1" t="n">
        <f aca="false">IF(AND('Daily Workforce'!$N84="Y",'Daily Workforce'!$B84&lt;&gt;"",COUNTIF('Daily Schedule'!$F$5:$F7,'Daily Workforce'!$B84)=0,'Daily Workforce'!$M84="Y",IF(OR('Daily Schedule'!$E$2="Full Day",'Daily Schedule'!$E$2="AM"),'Daily Workforce'!$D84="3:45 AM",IF('Daily Schedule'!$E$2="PM",'Daily Workforce'!$E84="PM",'Daily Workforce'!$E84="Overnight"))),'Daily Workforce'!$V84*1000+84,999999999)</f>
        <v>999999999</v>
      </c>
      <c r="CR4" s="1" t="n">
        <f aca="false">IF(AND('Daily Workforce'!$N85="Y",'Daily Workforce'!$B85&lt;&gt;"",COUNTIF('Daily Schedule'!$F$5:$F7,'Daily Workforce'!$B85)=0,'Daily Workforce'!$M85="Y",IF(OR('Daily Schedule'!$E$2="Full Day",'Daily Schedule'!$E$2="AM"),'Daily Workforce'!$D85="3:45 AM",IF('Daily Schedule'!$E$2="PM",'Daily Workforce'!$E85="PM",'Daily Workforce'!$E85="Overnight"))),'Daily Workforce'!$V85*1000+85,999999999)</f>
        <v>999999999</v>
      </c>
      <c r="CS4" s="1" t="n">
        <f aca="false">IF(AND('Daily Workforce'!$N86="Y",'Daily Workforce'!$B86&lt;&gt;"",COUNTIF('Daily Schedule'!$F$5:$F7,'Daily Workforce'!$B86)=0,'Daily Workforce'!$M86="Y",IF(OR('Daily Schedule'!$E$2="Full Day",'Daily Schedule'!$E$2="AM"),'Daily Workforce'!$D86="3:45 AM",IF('Daily Schedule'!$E$2="PM",'Daily Workforce'!$E86="PM",'Daily Workforce'!$E86="Overnight"))),'Daily Workforce'!$V86*1000+86,999999999)</f>
        <v>999999999</v>
      </c>
      <c r="CT4" s="1" t="n">
        <f aca="false">IF(AND('Daily Workforce'!$N87="Y",'Daily Workforce'!$B87&lt;&gt;"",COUNTIF('Daily Schedule'!$F$5:$F7,'Daily Workforce'!$B87)=0,'Daily Workforce'!$M87="Y",IF(OR('Daily Schedule'!$E$2="Full Day",'Daily Schedule'!$E$2="AM"),'Daily Workforce'!$D87="3:45 AM",IF('Daily Schedule'!$E$2="PM",'Daily Workforce'!$E87="PM",'Daily Workforce'!$E87="Overnight"))),'Daily Workforce'!$V87*1000+87,999999999)</f>
        <v>999999999</v>
      </c>
      <c r="CU4" s="1" t="n">
        <f aca="false">IF(AND('Daily Workforce'!$N88="Y",'Daily Workforce'!$B88&lt;&gt;"",COUNTIF('Daily Schedule'!$F$5:$F7,'Daily Workforce'!$B88)=0,'Daily Workforce'!$M88="Y",IF(OR('Daily Schedule'!$E$2="Full Day",'Daily Schedule'!$E$2="AM"),'Daily Workforce'!$D88="3:45 AM",IF('Daily Schedule'!$E$2="PM",'Daily Workforce'!$E88="PM",'Daily Workforce'!$E88="Overnight"))),'Daily Workforce'!$V88*1000+88,999999999)</f>
        <v>999999999</v>
      </c>
      <c r="CV4" s="1" t="n">
        <f aca="false">IF(AND('Daily Workforce'!$N89="Y",'Daily Workforce'!$B89&lt;&gt;"",COUNTIF('Daily Schedule'!$F$5:$F7,'Daily Workforce'!$B89)=0,'Daily Workforce'!$M89="Y",IF(OR('Daily Schedule'!$E$2="Full Day",'Daily Schedule'!$E$2="AM"),'Daily Workforce'!$D89="3:45 AM",IF('Daily Schedule'!$E$2="PM",'Daily Workforce'!$E89="PM",'Daily Workforce'!$E89="Overnight"))),'Daily Workforce'!$V89*1000+89,999999999)</f>
        <v>999999999</v>
      </c>
      <c r="CW4" s="1" t="n">
        <f aca="false">IF(AND('Daily Workforce'!$N90="Y",'Daily Workforce'!$B90&lt;&gt;"",COUNTIF('Daily Schedule'!$F$5:$F7,'Daily Workforce'!$B90)=0,'Daily Workforce'!$M90="Y",IF(OR('Daily Schedule'!$E$2="Full Day",'Daily Schedule'!$E$2="AM"),'Daily Workforce'!$D90="3:45 AM",IF('Daily Schedule'!$E$2="PM",'Daily Workforce'!$E90="PM",'Daily Workforce'!$E90="Overnight"))),'Daily Workforce'!$V90*1000+90,999999999)</f>
        <v>999999999</v>
      </c>
      <c r="CX4" s="1" t="n">
        <f aca="false">IF(AND('Daily Workforce'!$N91="Y",'Daily Workforce'!$B91&lt;&gt;"",COUNTIF('Daily Schedule'!$F$5:$F7,'Daily Workforce'!$B91)=0,'Daily Workforce'!$M91="Y",IF(OR('Daily Schedule'!$E$2="Full Day",'Daily Schedule'!$E$2="AM"),'Daily Workforce'!$D91="3:45 AM",IF('Daily Schedule'!$E$2="PM",'Daily Workforce'!$E91="PM",'Daily Workforce'!$E91="Overnight"))),'Daily Workforce'!$V91*1000+91,999999999)</f>
        <v>999999999</v>
      </c>
      <c r="CY4" s="1" t="n">
        <f aca="false">IF(AND('Daily Workforce'!$N92="Y",'Daily Workforce'!$B92&lt;&gt;"",COUNTIF('Daily Schedule'!$F$5:$F7,'Daily Workforce'!$B92)=0,'Daily Workforce'!$M92="Y",IF(OR('Daily Schedule'!$E$2="Full Day",'Daily Schedule'!$E$2="AM"),'Daily Workforce'!$D92="3:45 AM",IF('Daily Schedule'!$E$2="PM",'Daily Workforce'!$E92="PM",'Daily Workforce'!$E92="Overnight"))),'Daily Workforce'!$V92*1000+92,999999999)</f>
        <v>999999999</v>
      </c>
      <c r="CZ4" s="1" t="n">
        <f aca="false">IF(AND('Daily Workforce'!$N93="Y",'Daily Workforce'!$B93&lt;&gt;"",COUNTIF('Daily Schedule'!$F$5:$F7,'Daily Workforce'!$B93)=0,'Daily Workforce'!$M93="Y",IF(OR('Daily Schedule'!$E$2="Full Day",'Daily Schedule'!$E$2="AM"),'Daily Workforce'!$D93="3:45 AM",IF('Daily Schedule'!$E$2="PM",'Daily Workforce'!$E93="PM",'Daily Workforce'!$E93="Overnight"))),'Daily Workforce'!$V93*1000+93,999999999)</f>
        <v>999999999</v>
      </c>
      <c r="DA4" s="1" t="n">
        <f aca="false">IF(AND('Daily Workforce'!$N94="Y",'Daily Workforce'!$B94&lt;&gt;"",COUNTIF('Daily Schedule'!$F$5:$F7,'Daily Workforce'!$B94)=0,'Daily Workforce'!$M94="Y",IF(OR('Daily Schedule'!$E$2="Full Day",'Daily Schedule'!$E$2="AM"),'Daily Workforce'!$D94="3:45 AM",IF('Daily Schedule'!$E$2="PM",'Daily Workforce'!$E94="PM",'Daily Workforce'!$E94="Overnight"))),'Daily Workforce'!$V94*1000+94,999999999)</f>
        <v>999999999</v>
      </c>
      <c r="DB4" s="1" t="n">
        <f aca="false">IF(AND('Daily Workforce'!$N95="Y",'Daily Workforce'!$B95&lt;&gt;"",COUNTIF('Daily Schedule'!$F$5:$F7,'Daily Workforce'!$B95)=0,'Daily Workforce'!$M95="Y",IF(OR('Daily Schedule'!$E$2="Full Day",'Daily Schedule'!$E$2="AM"),'Daily Workforce'!$D95="3:45 AM",IF('Daily Schedule'!$E$2="PM",'Daily Workforce'!$E95="PM",'Daily Workforce'!$E95="Overnight"))),'Daily Workforce'!$V95*1000+95,999999999)</f>
        <v>999999999</v>
      </c>
      <c r="DC4" s="1" t="n">
        <f aca="false">IF(AND('Daily Workforce'!$N96="Y",'Daily Workforce'!$B96&lt;&gt;"",COUNTIF('Daily Schedule'!$F$5:$F7,'Daily Workforce'!$B96)=0,'Daily Workforce'!$M96="Y",IF(OR('Daily Schedule'!$E$2="Full Day",'Daily Schedule'!$E$2="AM"),'Daily Workforce'!$D96="3:45 AM",IF('Daily Schedule'!$E$2="PM",'Daily Workforce'!$E96="PM",'Daily Workforce'!$E96="Overnight"))),'Daily Workforce'!$V96*1000+96,999999999)</f>
        <v>999999999</v>
      </c>
      <c r="DD4" s="1" t="n">
        <f aca="false">IF(AND('Daily Workforce'!$N97="Y",'Daily Workforce'!$B97&lt;&gt;"",COUNTIF('Daily Schedule'!$F$5:$F7,'Daily Workforce'!$B97)=0,'Daily Workforce'!$M97="Y",IF(OR('Daily Schedule'!$E$2="Full Day",'Daily Schedule'!$E$2="AM"),'Daily Workforce'!$D97="3:45 AM",IF('Daily Schedule'!$E$2="PM",'Daily Workforce'!$E97="PM",'Daily Workforce'!$E97="Overnight"))),'Daily Workforce'!$V97*1000+97,999999999)</f>
        <v>999999999</v>
      </c>
      <c r="DE4" s="1" t="n">
        <f aca="false">IF(AND('Daily Workforce'!$N98="Y",'Daily Workforce'!$B98&lt;&gt;"",COUNTIF('Daily Schedule'!$F$5:$F7,'Daily Workforce'!$B98)=0,'Daily Workforce'!$M98="Y",IF(OR('Daily Schedule'!$E$2="Full Day",'Daily Schedule'!$E$2="AM"),'Daily Workforce'!$D98="3:45 AM",IF('Daily Schedule'!$E$2="PM",'Daily Workforce'!$E98="PM",'Daily Workforce'!$E98="Overnight"))),'Daily Workforce'!$V98*1000+98,999999999)</f>
        <v>999999999</v>
      </c>
      <c r="DF4" s="1" t="n">
        <f aca="false">IF(AND('Daily Workforce'!$N99="Y",'Daily Workforce'!$B99&lt;&gt;"",COUNTIF('Daily Schedule'!$F$5:$F7,'Daily Workforce'!$B99)=0,'Daily Workforce'!$M99="Y",IF(OR('Daily Schedule'!$E$2="Full Day",'Daily Schedule'!$E$2="AM"),'Daily Workforce'!$D99="3:45 AM",IF('Daily Schedule'!$E$2="PM",'Daily Workforce'!$E99="PM",'Daily Workforce'!$E99="Overnight"))),'Daily Workforce'!$V99*1000+99,999999999)</f>
        <v>999999999</v>
      </c>
      <c r="DG4" s="1" t="n">
        <f aca="false">IF(AND('Daily Workforce'!$N100="Y",'Daily Workforce'!$B100&lt;&gt;"",COUNTIF('Daily Schedule'!$F$5:$F7,'Daily Workforce'!$B100)=0,'Daily Workforce'!$M100="Y",IF(OR('Daily Schedule'!$E$2="Full Day",'Daily Schedule'!$E$2="AM"),'Daily Workforce'!$D100="3:45 AM",IF('Daily Schedule'!$E$2="PM",'Daily Workforce'!$E100="PM",'Daily Workforce'!$E100="Overnight"))),'Daily Workforce'!$V100*1000+100,999999999)</f>
        <v>999999999</v>
      </c>
      <c r="DH4" s="1" t="n">
        <f aca="false">IF(AND('Daily Workforce'!$N101="Y",'Daily Workforce'!$B101&lt;&gt;"",COUNTIF('Daily Schedule'!$F$5:$F7,'Daily Workforce'!$B101)=0,'Daily Workforce'!$M101="Y",IF(OR('Daily Schedule'!$E$2="Full Day",'Daily Schedule'!$E$2="AM"),'Daily Workforce'!$D101="3:45 AM",IF('Daily Schedule'!$E$2="PM",'Daily Workforce'!$E101="PM",'Daily Workforce'!$E101="Overnight"))),'Daily Workforce'!$V101*1000+101,999999999)</f>
        <v>999999999</v>
      </c>
      <c r="DI4" s="1" t="n">
        <f aca="false">IF(AND('Daily Workforce'!$N102="Y",'Daily Workforce'!$B102&lt;&gt;"",COUNTIF('Daily Schedule'!$F$5:$F7,'Daily Workforce'!$B102)=0,'Daily Workforce'!$M102="Y",IF(OR('Daily Schedule'!$E$2="Full Day",'Daily Schedule'!$E$2="AM"),'Daily Workforce'!$D102="3:45 AM",IF('Daily Schedule'!$E$2="PM",'Daily Workforce'!$E102="PM",'Daily Workforce'!$E102="Overnight"))),'Daily Workforce'!$V102*1000+102,999999999)</f>
        <v>999999999</v>
      </c>
      <c r="DJ4" s="1" t="n">
        <f aca="false">IF(AND('Daily Workforce'!$N103="Y",'Daily Workforce'!$B103&lt;&gt;"",COUNTIF('Daily Schedule'!$F$5:$F7,'Daily Workforce'!$B103)=0,'Daily Workforce'!$M103="Y",IF(OR('Daily Schedule'!$E$2="Full Day",'Daily Schedule'!$E$2="AM"),'Daily Workforce'!$D103="3:45 AM",IF('Daily Schedule'!$E$2="PM",'Daily Workforce'!$E103="PM",'Daily Workforce'!$E103="Overnight"))),'Daily Workforce'!$V103*1000+103,999999999)</f>
        <v>999999999</v>
      </c>
      <c r="DK4" s="1" t="n">
        <f aca="false">IF(AND('Daily Workforce'!$N104="Y",'Daily Workforce'!$B104&lt;&gt;"",COUNTIF('Daily Schedule'!$F$5:$F7,'Daily Workforce'!$B104)=0,'Daily Workforce'!$M104="Y",IF(OR('Daily Schedule'!$E$2="Full Day",'Daily Schedule'!$E$2="AM"),'Daily Workforce'!$D104="3:45 AM",IF('Daily Schedule'!$E$2="PM",'Daily Workforce'!$E104="PM",'Daily Workforce'!$E104="Overnight"))),'Daily Workforce'!$V104*1000+104,999999999)</f>
        <v>999999999</v>
      </c>
      <c r="DL4" s="1" t="n">
        <f aca="false">IF(AND('Daily Workforce'!$N105="Y",'Daily Workforce'!$B105&lt;&gt;"",COUNTIF('Daily Schedule'!$F$5:$F7,'Daily Workforce'!$B105)=0,'Daily Workforce'!$M105="Y",IF(OR('Daily Schedule'!$E$2="Full Day",'Daily Schedule'!$E$2="AM"),'Daily Workforce'!$D105="3:45 AM",IF('Daily Schedule'!$E$2="PM",'Daily Workforce'!$E105="PM",'Daily Workforce'!$E105="Overnight"))),'Daily Workforce'!$V105*1000+105,999999999)</f>
        <v>999999999</v>
      </c>
      <c r="DM4" s="1" t="n">
        <f aca="false">IF(AND('Daily Workforce'!$N106="Y",'Daily Workforce'!$B106&lt;&gt;"",COUNTIF('Daily Schedule'!$F$5:$F7,'Daily Workforce'!$B106)=0,'Daily Workforce'!$M106="Y",IF(OR('Daily Schedule'!$E$2="Full Day",'Daily Schedule'!$E$2="AM"),'Daily Workforce'!$D106="3:45 AM",IF('Daily Schedule'!$E$2="PM",'Daily Workforce'!$E106="PM",'Daily Workforce'!$E106="Overnight"))),'Daily Workforce'!$V106*1000+106,999999999)</f>
        <v>999999999</v>
      </c>
      <c r="DN4" s="1" t="n">
        <f aca="false">IF(AND('Daily Workforce'!$N107="Y",'Daily Workforce'!$B107&lt;&gt;"",COUNTIF('Daily Schedule'!$F$5:$F7,'Daily Workforce'!$B107)=0,'Daily Workforce'!$M107="Y",IF(OR('Daily Schedule'!$E$2="Full Day",'Daily Schedule'!$E$2="AM"),'Daily Workforce'!$D107="3:45 AM",IF('Daily Schedule'!$E$2="PM",'Daily Workforce'!$E107="PM",'Daily Workforce'!$E107="Overnight"))),'Daily Workforce'!$V107*1000+107,999999999)</f>
        <v>999999999</v>
      </c>
      <c r="DO4" s="1" t="n">
        <f aca="false">IF(AND('Daily Workforce'!$N108="Y",'Daily Workforce'!$B108&lt;&gt;"",COUNTIF('Daily Schedule'!$F$5:$F7,'Daily Workforce'!$B108)=0,'Daily Workforce'!$M108="Y",IF(OR('Daily Schedule'!$E$2="Full Day",'Daily Schedule'!$E$2="AM"),'Daily Workforce'!$D108="3:45 AM",IF('Daily Schedule'!$E$2="PM",'Daily Workforce'!$E108="PM",'Daily Workforce'!$E108="Overnight"))),'Daily Workforce'!$V108*1000+108,999999999)</f>
        <v>999999999</v>
      </c>
      <c r="DP4" s="1" t="n">
        <f aca="false">IF(AND('Daily Workforce'!$N109="Y",'Daily Workforce'!$B109&lt;&gt;"",COUNTIF('Daily Schedule'!$F$5:$F7,'Daily Workforce'!$B109)=0,'Daily Workforce'!$M109="Y",IF(OR('Daily Schedule'!$E$2="Full Day",'Daily Schedule'!$E$2="AM"),'Daily Workforce'!$D109="3:45 AM",IF('Daily Schedule'!$E$2="PM",'Daily Workforce'!$E109="PM",'Daily Workforce'!$E109="Overnight"))),'Daily Workforce'!$V109*1000+109,999999999)</f>
        <v>999999999</v>
      </c>
      <c r="DQ4" s="1" t="n">
        <f aca="false">IF(AND('Daily Workforce'!$N110="Y",'Daily Workforce'!$B110&lt;&gt;"",COUNTIF('Daily Schedule'!$F$5:$F7,'Daily Workforce'!$B110)=0,'Daily Workforce'!$M110="Y",IF(OR('Daily Schedule'!$E$2="Full Day",'Daily Schedule'!$E$2="AM"),'Daily Workforce'!$D110="3:45 AM",IF('Daily Schedule'!$E$2="PM",'Daily Workforce'!$E110="PM",'Daily Workforce'!$E110="Overnight"))),'Daily Workforce'!$V110*1000+110,999999999)</f>
        <v>999999999</v>
      </c>
      <c r="DR4" s="1" t="n">
        <f aca="false">IF(AND('Daily Workforce'!$N111="Y",'Daily Workforce'!$B111&lt;&gt;"",COUNTIF('Daily Schedule'!$F$5:$F7,'Daily Workforce'!$B111)=0,'Daily Workforce'!$M111="Y",IF(OR('Daily Schedule'!$E$2="Full Day",'Daily Schedule'!$E$2="AM"),'Daily Workforce'!$D111="3:45 AM",IF('Daily Schedule'!$E$2="PM",'Daily Workforce'!$E111="PM",'Daily Workforce'!$E111="Overnight"))),'Daily Workforce'!$V111*1000+111,999999999)</f>
        <v>999999999</v>
      </c>
      <c r="DS4" s="1" t="n">
        <f aca="false">IF(AND('Daily Workforce'!$N112="Y",'Daily Workforce'!$B112&lt;&gt;"",COUNTIF('Daily Schedule'!$F$5:$F7,'Daily Workforce'!$B112)=0,'Daily Workforce'!$M112="Y",IF(OR('Daily Schedule'!$E$2="Full Day",'Daily Schedule'!$E$2="AM"),'Daily Workforce'!$D112="3:45 AM",IF('Daily Schedule'!$E$2="PM",'Daily Workforce'!$E112="PM",'Daily Workforce'!$E112="Overnight"))),'Daily Workforce'!$V112*1000+112,999999999)</f>
        <v>999999999</v>
      </c>
      <c r="DT4" s="1" t="n">
        <f aca="false">IF(AND('Daily Workforce'!$N113="Y",'Daily Workforce'!$B113&lt;&gt;"",COUNTIF('Daily Schedule'!$F$5:$F7,'Daily Workforce'!$B113)=0,'Daily Workforce'!$M113="Y",IF(OR('Daily Schedule'!$E$2="Full Day",'Daily Schedule'!$E$2="AM"),'Daily Workforce'!$D113="3:45 AM",IF('Daily Schedule'!$E$2="PM",'Daily Workforce'!$E113="PM",'Daily Workforce'!$E113="Overnight"))),'Daily Workforce'!$V113*1000+113,999999999)</f>
        <v>999999999</v>
      </c>
      <c r="DU4" s="1" t="n">
        <f aca="false">IF(AND('Daily Workforce'!$N114="Y",'Daily Workforce'!$B114&lt;&gt;"",COUNTIF('Daily Schedule'!$F$5:$F7,'Daily Workforce'!$B114)=0,'Daily Workforce'!$M114="Y",IF(OR('Daily Schedule'!$E$2="Full Day",'Daily Schedule'!$E$2="AM"),'Daily Workforce'!$D114="3:45 AM",IF('Daily Schedule'!$E$2="PM",'Daily Workforce'!$E114="PM",'Daily Workforce'!$E114="Overnight"))),'Daily Workforce'!$V114*1000+114,999999999)</f>
        <v>999999999</v>
      </c>
      <c r="DV4" s="1" t="n">
        <f aca="false">IF(AND('Daily Workforce'!$N115="Y",'Daily Workforce'!$B115&lt;&gt;"",COUNTIF('Daily Schedule'!$F$5:$F7,'Daily Workforce'!$B115)=0,'Daily Workforce'!$M115="Y",IF(OR('Daily Schedule'!$E$2="Full Day",'Daily Schedule'!$E$2="AM"),'Daily Workforce'!$D115="3:45 AM",IF('Daily Schedule'!$E$2="PM",'Daily Workforce'!$E115="PM",'Daily Workforce'!$E115="Overnight"))),'Daily Workforce'!$V115*1000+115,999999999)</f>
        <v>999999999</v>
      </c>
      <c r="DW4" s="1" t="n">
        <f aca="false">IF(AND('Daily Workforce'!$N116="Y",'Daily Workforce'!$B116&lt;&gt;"",COUNTIF('Daily Schedule'!$F$5:$F7,'Daily Workforce'!$B116)=0,'Daily Workforce'!$M116="Y",IF(OR('Daily Schedule'!$E$2="Full Day",'Daily Schedule'!$E$2="AM"),'Daily Workforce'!$D116="3:45 AM",IF('Daily Schedule'!$E$2="PM",'Daily Workforce'!$E116="PM",'Daily Workforce'!$E116="Overnight"))),'Daily Workforce'!$V116*1000+116,999999999)</f>
        <v>999999999</v>
      </c>
      <c r="DX4" s="1" t="n">
        <f aca="false">IF(AND('Daily Workforce'!$N117="Y",'Daily Workforce'!$B117&lt;&gt;"",COUNTIF('Daily Schedule'!$F$5:$F7,'Daily Workforce'!$B117)=0,'Daily Workforce'!$M117="Y",IF(OR('Daily Schedule'!$E$2="Full Day",'Daily Schedule'!$E$2="AM"),'Daily Workforce'!$D117="3:45 AM",IF('Daily Schedule'!$E$2="PM",'Daily Workforce'!$E117="PM",'Daily Workforce'!$E117="Overnight"))),'Daily Workforce'!$V117*1000+117,999999999)</f>
        <v>999999999</v>
      </c>
      <c r="DY4" s="1" t="n">
        <f aca="false">IF(AND('Daily Workforce'!$N118="Y",'Daily Workforce'!$B118&lt;&gt;"",COUNTIF('Daily Schedule'!$F$5:$F7,'Daily Workforce'!$B118)=0,'Daily Workforce'!$M118="Y",IF(OR('Daily Schedule'!$E$2="Full Day",'Daily Schedule'!$E$2="AM"),'Daily Workforce'!$D118="3:45 AM",IF('Daily Schedule'!$E$2="PM",'Daily Workforce'!$E118="PM",'Daily Workforce'!$E118="Overnight"))),'Daily Workforce'!$V118*1000+118,999999999)</f>
        <v>999999999</v>
      </c>
      <c r="DZ4" s="1" t="n">
        <f aca="false">IF(AND('Daily Workforce'!$N119="Y",'Daily Workforce'!$B119&lt;&gt;"",COUNTIF('Daily Schedule'!$F$5:$F7,'Daily Workforce'!$B119)=0,'Daily Workforce'!$M119="Y",IF(OR('Daily Schedule'!$E$2="Full Day",'Daily Schedule'!$E$2="AM"),'Daily Workforce'!$D119="3:45 AM",IF('Daily Schedule'!$E$2="PM",'Daily Workforce'!$E119="PM",'Daily Workforce'!$E119="Overnight"))),'Daily Workforce'!$V119*1000+119,999999999)</f>
        <v>999999999</v>
      </c>
      <c r="EA4" s="1" t="n">
        <f aca="false">IF(AND('Daily Workforce'!$N120="Y",'Daily Workforce'!$B120&lt;&gt;"",COUNTIF('Daily Schedule'!$F$5:$F7,'Daily Workforce'!$B120)=0,'Daily Workforce'!$M120="Y",IF(OR('Daily Schedule'!$E$2="Full Day",'Daily Schedule'!$E$2="AM"),'Daily Workforce'!$D120="3:45 AM",IF('Daily Schedule'!$E$2="PM",'Daily Workforce'!$E120="PM",'Daily Workforce'!$E120="Overnight"))),'Daily Workforce'!$V120*1000+120,999999999)</f>
        <v>999999999</v>
      </c>
      <c r="EB4" s="1" t="n">
        <f aca="false">IF(AND('Daily Workforce'!$N121="Y",'Daily Workforce'!$B121&lt;&gt;"",COUNTIF('Daily Schedule'!$F$5:$F7,'Daily Workforce'!$B121)=0,'Daily Workforce'!$M121="Y",IF(OR('Daily Schedule'!$E$2="Full Day",'Daily Schedule'!$E$2="AM"),'Daily Workforce'!$D121="3:45 AM",IF('Daily Schedule'!$E$2="PM",'Daily Workforce'!$E121="PM",'Daily Workforce'!$E121="Overnight"))),'Daily Workforce'!$V121*1000+121,999999999)</f>
        <v>999999999</v>
      </c>
      <c r="EC4" s="1" t="n">
        <f aca="false">IF(AND('Daily Workforce'!$N122="Y",'Daily Workforce'!$B122&lt;&gt;"",COUNTIF('Daily Schedule'!$F$5:$F7,'Daily Workforce'!$B122)=0,'Daily Workforce'!$M122="Y",IF(OR('Daily Schedule'!$E$2="Full Day",'Daily Schedule'!$E$2="AM"),'Daily Workforce'!$D122="3:45 AM",IF('Daily Schedule'!$E$2="PM",'Daily Workforce'!$E122="PM",'Daily Workforce'!$E122="Overnight"))),'Daily Workforce'!$V122*1000+122,999999999)</f>
        <v>999999999</v>
      </c>
      <c r="ED4" s="1" t="n">
        <f aca="false">IF(AND('Daily Workforce'!$N123="Y",'Daily Workforce'!$B123&lt;&gt;"",COUNTIF('Daily Schedule'!$F$5:$F7,'Daily Workforce'!$B123)=0,'Daily Workforce'!$M123="Y",IF(OR('Daily Schedule'!$E$2="Full Day",'Daily Schedule'!$E$2="AM"),'Daily Workforce'!$D123="3:45 AM",IF('Daily Schedule'!$E$2="PM",'Daily Workforce'!$E123="PM",'Daily Workforce'!$E123="Overnight"))),'Daily Workforce'!$V123*1000+123,999999999)</f>
        <v>999999999</v>
      </c>
      <c r="EE4" s="1" t="n">
        <f aca="false">IF(AND('Daily Workforce'!$N124="Y",'Daily Workforce'!$B124&lt;&gt;"",COUNTIF('Daily Schedule'!$F$5:$F7,'Daily Workforce'!$B124)=0,'Daily Workforce'!$M124="Y",IF(OR('Daily Schedule'!$E$2="Full Day",'Daily Schedule'!$E$2="AM"),'Daily Workforce'!$D124="3:45 AM",IF('Daily Schedule'!$E$2="PM",'Daily Workforce'!$E124="PM",'Daily Workforce'!$E124="Overnight"))),'Daily Workforce'!$V124*1000+124,999999999)</f>
        <v>999999999</v>
      </c>
      <c r="EF4" s="1" t="n">
        <f aca="false">IF(AND('Daily Workforce'!$N125="Y",'Daily Workforce'!$B125&lt;&gt;"",COUNTIF('Daily Schedule'!$F$5:$F7,'Daily Workforce'!$B125)=0,'Daily Workforce'!$M125="Y",IF(OR('Daily Schedule'!$E$2="Full Day",'Daily Schedule'!$E$2="AM"),'Daily Workforce'!$D125="3:45 AM",IF('Daily Schedule'!$E$2="PM",'Daily Workforce'!$E125="PM",'Daily Workforce'!$E125="Overnight"))),'Daily Workforce'!$V125*1000+125,999999999)</f>
        <v>999999999</v>
      </c>
      <c r="EG4" s="1" t="n">
        <f aca="false">IF(AND('Daily Workforce'!$N126="Y",'Daily Workforce'!$B126&lt;&gt;"",COUNTIF('Daily Schedule'!$F$5:$F7,'Daily Workforce'!$B126)=0,'Daily Workforce'!$M126="Y",IF(OR('Daily Schedule'!$E$2="Full Day",'Daily Schedule'!$E$2="AM"),'Daily Workforce'!$D126="3:45 AM",IF('Daily Schedule'!$E$2="PM",'Daily Workforce'!$E126="PM",'Daily Workforce'!$E126="Overnight"))),'Daily Workforce'!$V126*1000+126,999999999)</f>
        <v>999999999</v>
      </c>
      <c r="EH4" s="1" t="n">
        <f aca="false">IF(AND('Daily Workforce'!$N127="Y",'Daily Workforce'!$B127&lt;&gt;"",COUNTIF('Daily Schedule'!$F$5:$F7,'Daily Workforce'!$B127)=0,'Daily Workforce'!$M127="Y",IF(OR('Daily Schedule'!$E$2="Full Day",'Daily Schedule'!$E$2="AM"),'Daily Workforce'!$D127="3:45 AM",IF('Daily Schedule'!$E$2="PM",'Daily Workforce'!$E127="PM",'Daily Workforce'!$E127="Overnight"))),'Daily Workforce'!$V127*1000+127,999999999)</f>
        <v>999999999</v>
      </c>
      <c r="EI4" s="1" t="n">
        <f aca="false">IF(AND('Daily Workforce'!$N128="Y",'Daily Workforce'!$B128&lt;&gt;"",COUNTIF('Daily Schedule'!$F$5:$F7,'Daily Workforce'!$B128)=0,'Daily Workforce'!$M128="Y",IF(OR('Daily Schedule'!$E$2="Full Day",'Daily Schedule'!$E$2="AM"),'Daily Workforce'!$D128="3:45 AM",IF('Daily Schedule'!$E$2="PM",'Daily Workforce'!$E128="PM",'Daily Workforce'!$E128="Overnight"))),'Daily Workforce'!$V128*1000+128,999999999)</f>
        <v>999999999</v>
      </c>
      <c r="EJ4" s="1" t="n">
        <f aca="false">IF(AND('Daily Workforce'!$N129="Y",'Daily Workforce'!$B129&lt;&gt;"",COUNTIF('Daily Schedule'!$F$5:$F7,'Daily Workforce'!$B129)=0,'Daily Workforce'!$M129="Y",IF(OR('Daily Schedule'!$E$2="Full Day",'Daily Schedule'!$E$2="AM"),'Daily Workforce'!$D129="3:45 AM",IF('Daily Schedule'!$E$2="PM",'Daily Workforce'!$E129="PM",'Daily Workforce'!$E129="Overnight"))),'Daily Workforce'!$V129*1000+129,999999999)</f>
        <v>999999999</v>
      </c>
      <c r="EK4" s="1" t="n">
        <f aca="false">IF(AND('Daily Workforce'!$N130="Y",'Daily Workforce'!$B130&lt;&gt;"",COUNTIF('Daily Schedule'!$F$5:$F7,'Daily Workforce'!$B130)=0,'Daily Workforce'!$M130="Y",IF(OR('Daily Schedule'!$E$2="Full Day",'Daily Schedule'!$E$2="AM"),'Daily Workforce'!$D130="3:45 AM",IF('Daily Schedule'!$E$2="PM",'Daily Workforce'!$E130="PM",'Daily Workforce'!$E130="Overnight"))),'Daily Workforce'!$V130*1000+130,999999999)</f>
        <v>999999999</v>
      </c>
      <c r="EL4" s="1" t="n">
        <f aca="false">IF(AND('Daily Workforce'!$N131="Y",'Daily Workforce'!$B131&lt;&gt;"",COUNTIF('Daily Schedule'!$F$5:$F7,'Daily Workforce'!$B131)=0,'Daily Workforce'!$M131="Y",IF(OR('Daily Schedule'!$E$2="Full Day",'Daily Schedule'!$E$2="AM"),'Daily Workforce'!$D131="3:45 AM",IF('Daily Schedule'!$E$2="PM",'Daily Workforce'!$E131="PM",'Daily Workforce'!$E131="Overnight"))),'Daily Workforce'!$V131*1000+131,999999999)</f>
        <v>999999999</v>
      </c>
      <c r="EM4" s="1" t="n">
        <f aca="false">IF(AND('Daily Workforce'!$N132="Y",'Daily Workforce'!$B132&lt;&gt;"",COUNTIF('Daily Schedule'!$F$5:$F7,'Daily Workforce'!$B132)=0,'Daily Workforce'!$M132="Y",IF(OR('Daily Schedule'!$E$2="Full Day",'Daily Schedule'!$E$2="AM"),'Daily Workforce'!$D132="3:45 AM",IF('Daily Schedule'!$E$2="PM",'Daily Workforce'!$E132="PM",'Daily Workforce'!$E132="Overnight"))),'Daily Workforce'!$V132*1000+132,999999999)</f>
        <v>999999999</v>
      </c>
      <c r="EN4" s="1" t="n">
        <f aca="false">IF(AND('Daily Workforce'!$N133="Y",'Daily Workforce'!$B133&lt;&gt;"",COUNTIF('Daily Schedule'!$F$5:$F7,'Daily Workforce'!$B133)=0,'Daily Workforce'!$M133="Y",IF(OR('Daily Schedule'!$E$2="Full Day",'Daily Schedule'!$E$2="AM"),'Daily Workforce'!$D133="3:45 AM",IF('Daily Schedule'!$E$2="PM",'Daily Workforce'!$E133="PM",'Daily Workforce'!$E133="Overnight"))),'Daily Workforce'!$V133*1000+133,999999999)</f>
        <v>999999999</v>
      </c>
      <c r="EO4" s="1" t="n">
        <f aca="false">IF(AND('Daily Workforce'!$N134="Y",'Daily Workforce'!$B134&lt;&gt;"",COUNTIF('Daily Schedule'!$F$5:$F7,'Daily Workforce'!$B134)=0,'Daily Workforce'!$M134="Y",IF(OR('Daily Schedule'!$E$2="Full Day",'Daily Schedule'!$E$2="AM"),'Daily Workforce'!$D134="3:45 AM",IF('Daily Schedule'!$E$2="PM",'Daily Workforce'!$E134="PM",'Daily Workforce'!$E134="Overnight"))),'Daily Workforce'!$V134*1000+134,999999999)</f>
        <v>999999999</v>
      </c>
      <c r="EP4" s="1" t="n">
        <f aca="false">IF(AND('Daily Workforce'!$N135="Y",'Daily Workforce'!$B135&lt;&gt;"",COUNTIF('Daily Schedule'!$F$5:$F7,'Daily Workforce'!$B135)=0,'Daily Workforce'!$M135="Y",IF(OR('Daily Schedule'!$E$2="Full Day",'Daily Schedule'!$E$2="AM"),'Daily Workforce'!$D135="3:45 AM",IF('Daily Schedule'!$E$2="PM",'Daily Workforce'!$E135="PM",'Daily Workforce'!$E135="Overnight"))),'Daily Workforce'!$V135*1000+135,999999999)</f>
        <v>999999999</v>
      </c>
      <c r="EQ4" s="1" t="n">
        <f aca="false">IF(AND('Daily Workforce'!$N136="Y",'Daily Workforce'!$B136&lt;&gt;"",COUNTIF('Daily Schedule'!$F$5:$F7,'Daily Workforce'!$B136)=0,'Daily Workforce'!$M136="Y",IF(OR('Daily Schedule'!$E$2="Full Day",'Daily Schedule'!$E$2="AM"),'Daily Workforce'!$D136="3:45 AM",IF('Daily Schedule'!$E$2="PM",'Daily Workforce'!$E136="PM",'Daily Workforce'!$E136="Overnight"))),'Daily Workforce'!$V136*1000+136,999999999)</f>
        <v>999999999</v>
      </c>
      <c r="ER4" s="1" t="n">
        <f aca="false">IF(AND('Daily Workforce'!$N137="Y",'Daily Workforce'!$B137&lt;&gt;"",COUNTIF('Daily Schedule'!$F$5:$F7,'Daily Workforce'!$B137)=0,'Daily Workforce'!$M137="Y",IF(OR('Daily Schedule'!$E$2="Full Day",'Daily Schedule'!$E$2="AM"),'Daily Workforce'!$D137="3:45 AM",IF('Daily Schedule'!$E$2="PM",'Daily Workforce'!$E137="PM",'Daily Workforce'!$E137="Overnight"))),'Daily Workforce'!$V137*1000+137,999999999)</f>
        <v>999999999</v>
      </c>
      <c r="ES4" s="1" t="n">
        <f aca="false">IF(AND('Daily Workforce'!$N138="Y",'Daily Workforce'!$B138&lt;&gt;"",COUNTIF('Daily Schedule'!$F$5:$F7,'Daily Workforce'!$B138)=0,'Daily Workforce'!$M138="Y",IF(OR('Daily Schedule'!$E$2="Full Day",'Daily Schedule'!$E$2="AM"),'Daily Workforce'!$D138="3:45 AM",IF('Daily Schedule'!$E$2="PM",'Daily Workforce'!$E138="PM",'Daily Workforce'!$E138="Overnight"))),'Daily Workforce'!$V138*1000+138,999999999)</f>
        <v>999999999</v>
      </c>
      <c r="ET4" s="1" t="n">
        <f aca="false">IF(AND('Daily Workforce'!$N139="Y",'Daily Workforce'!$B139&lt;&gt;"",COUNTIF('Daily Schedule'!$F$5:$F7,'Daily Workforce'!$B139)=0,'Daily Workforce'!$M139="Y",IF(OR('Daily Schedule'!$E$2="Full Day",'Daily Schedule'!$E$2="AM"),'Daily Workforce'!$D139="3:45 AM",IF('Daily Schedule'!$E$2="PM",'Daily Workforce'!$E139="PM",'Daily Workforce'!$E139="Overnight"))),'Daily Workforce'!$V139*1000+139,999999999)</f>
        <v>999999999</v>
      </c>
      <c r="EU4" s="1" t="n">
        <f aca="false">IF(AND('Daily Workforce'!$N140="Y",'Daily Workforce'!$B140&lt;&gt;"",COUNTIF('Daily Schedule'!$F$5:$F7,'Daily Workforce'!$B140)=0,'Daily Workforce'!$M140="Y",IF(OR('Daily Schedule'!$E$2="Full Day",'Daily Schedule'!$E$2="AM"),'Daily Workforce'!$D140="3:45 AM",IF('Daily Schedule'!$E$2="PM",'Daily Workforce'!$E140="PM",'Daily Workforce'!$E140="Overnight"))),'Daily Workforce'!$V140*1000+140,999999999)</f>
        <v>999999999</v>
      </c>
      <c r="EV4" s="1" t="n">
        <f aca="false">IF(AND('Daily Workforce'!$N141="Y",'Daily Workforce'!$B141&lt;&gt;"",COUNTIF('Daily Schedule'!$F$5:$F7,'Daily Workforce'!$B141)=0,'Daily Workforce'!$M141="Y",IF(OR('Daily Schedule'!$E$2="Full Day",'Daily Schedule'!$E$2="AM"),'Daily Workforce'!$D141="3:45 AM",IF('Daily Schedule'!$E$2="PM",'Daily Workforce'!$E141="PM",'Daily Workforce'!$E141="Overnight"))),'Daily Workforce'!$V141*1000+141,999999999)</f>
        <v>999999999</v>
      </c>
      <c r="EW4" s="1" t="n">
        <f aca="false">IF(AND('Daily Workforce'!$N142="Y",'Daily Workforce'!$B142&lt;&gt;"",COUNTIF('Daily Schedule'!$F$5:$F7,'Daily Workforce'!$B142)=0,'Daily Workforce'!$M142="Y",IF(OR('Daily Schedule'!$E$2="Full Day",'Daily Schedule'!$E$2="AM"),'Daily Workforce'!$D142="3:45 AM",IF('Daily Schedule'!$E$2="PM",'Daily Workforce'!$E142="PM",'Daily Workforce'!$E142="Overnight"))),'Daily Workforce'!$V142*1000+142,999999999)</f>
        <v>999999999</v>
      </c>
      <c r="EX4" s="1" t="n">
        <f aca="false">IF(AND('Daily Workforce'!$N143="Y",'Daily Workforce'!$B143&lt;&gt;"",COUNTIF('Daily Schedule'!$F$5:$F7,'Daily Workforce'!$B143)=0,'Daily Workforce'!$M143="Y",IF(OR('Daily Schedule'!$E$2="Full Day",'Daily Schedule'!$E$2="AM"),'Daily Workforce'!$D143="3:45 AM",IF('Daily Schedule'!$E$2="PM",'Daily Workforce'!$E143="PM",'Daily Workforce'!$E143="Overnight"))),'Daily Workforce'!$V143*1000+143,999999999)</f>
        <v>999999999</v>
      </c>
      <c r="EY4" s="1" t="n">
        <f aca="false">IF(AND('Daily Workforce'!$N144="Y",'Daily Workforce'!$B144&lt;&gt;"",COUNTIF('Daily Schedule'!$F$5:$F7,'Daily Workforce'!$B144)=0,'Daily Workforce'!$M144="Y",IF(OR('Daily Schedule'!$E$2="Full Day",'Daily Schedule'!$E$2="AM"),'Daily Workforce'!$D144="3:45 AM",IF('Daily Schedule'!$E$2="PM",'Daily Workforce'!$E144="PM",'Daily Workforce'!$E144="Overnight"))),'Daily Workforce'!$V144*1000+144,999999999)</f>
        <v>999999999</v>
      </c>
      <c r="EZ4" s="1" t="n">
        <f aca="false">IF(AND('Daily Workforce'!$N145="Y",'Daily Workforce'!$B145&lt;&gt;"",COUNTIF('Daily Schedule'!$F$5:$F7,'Daily Workforce'!$B145)=0,'Daily Workforce'!$M145="Y",IF(OR('Daily Schedule'!$E$2="Full Day",'Daily Schedule'!$E$2="AM"),'Daily Workforce'!$D145="3:45 AM",IF('Daily Schedule'!$E$2="PM",'Daily Workforce'!$E145="PM",'Daily Workforce'!$E145="Overnight"))),'Daily Workforce'!$V145*1000+145,999999999)</f>
        <v>999999999</v>
      </c>
      <c r="FA4" s="1" t="n">
        <f aca="false">IF(AND('Daily Workforce'!$N146="Y",'Daily Workforce'!$B146&lt;&gt;"",COUNTIF('Daily Schedule'!$F$5:$F7,'Daily Workforce'!$B146)=0,'Daily Workforce'!$M146="Y",IF(OR('Daily Schedule'!$E$2="Full Day",'Daily Schedule'!$E$2="AM"),'Daily Workforce'!$D146="3:45 AM",IF('Daily Schedule'!$E$2="PM",'Daily Workforce'!$E146="PM",'Daily Workforce'!$E146="Overnight"))),'Daily Workforce'!$V146*1000+146,999999999)</f>
        <v>999999999</v>
      </c>
      <c r="FB4" s="1" t="n">
        <f aca="false">IF(AND('Daily Workforce'!$N147="Y",'Daily Workforce'!$B147&lt;&gt;"",COUNTIF('Daily Schedule'!$F$5:$F7,'Daily Workforce'!$B147)=0,'Daily Workforce'!$M147="Y",IF(OR('Daily Schedule'!$E$2="Full Day",'Daily Schedule'!$E$2="AM"),'Daily Workforce'!$D147="3:45 AM",IF('Daily Schedule'!$E$2="PM",'Daily Workforce'!$E147="PM",'Daily Workforce'!$E147="Overnight"))),'Daily Workforce'!$V147*1000+147,999999999)</f>
        <v>999999999</v>
      </c>
      <c r="FC4" s="1" t="n">
        <f aca="false">IF(AND('Daily Workforce'!$N148="Y",'Daily Workforce'!$B148&lt;&gt;"",COUNTIF('Daily Schedule'!$F$5:$F7,'Daily Workforce'!$B148)=0,'Daily Workforce'!$M148="Y",IF(OR('Daily Schedule'!$E$2="Full Day",'Daily Schedule'!$E$2="AM"),'Daily Workforce'!$D148="3:45 AM",IF('Daily Schedule'!$E$2="PM",'Daily Workforce'!$E148="PM",'Daily Workforce'!$E148="Overnight"))),'Daily Workforce'!$V148*1000+148,999999999)</f>
        <v>999999999</v>
      </c>
      <c r="FD4" s="1" t="n">
        <f aca="false">IF(AND('Daily Workforce'!$N149="Y",'Daily Workforce'!$B149&lt;&gt;"",COUNTIF('Daily Schedule'!$F$5:$F7,'Daily Workforce'!$B149)=0,'Daily Workforce'!$M149="Y",IF(OR('Daily Schedule'!$E$2="Full Day",'Daily Schedule'!$E$2="AM"),'Daily Workforce'!$D149="3:45 AM",IF('Daily Schedule'!$E$2="PM",'Daily Workforce'!$E149="PM",'Daily Workforce'!$E149="Overnight"))),'Daily Workforce'!$V149*1000+149,999999999)</f>
        <v>999999999</v>
      </c>
      <c r="FE4" s="1" t="n">
        <f aca="false">IF(AND('Daily Workforce'!$N150="Y",'Daily Workforce'!$B150&lt;&gt;"",COUNTIF('Daily Schedule'!$F$5:$F7,'Daily Workforce'!$B150)=0,'Daily Workforce'!$M150="Y",IF(OR('Daily Schedule'!$E$2="Full Day",'Daily Schedule'!$E$2="AM"),'Daily Workforce'!$D150="3:45 AM",IF('Daily Schedule'!$E$2="PM",'Daily Workforce'!$E150="PM",'Daily Workforce'!$E150="Overnight"))),'Daily Workforce'!$V150*1000+150,999999999)</f>
        <v>999999999</v>
      </c>
      <c r="FF4" s="1" t="n">
        <f aca="false">IF(AND('Daily Workforce'!$N151="Y",'Daily Workforce'!$B151&lt;&gt;"",COUNTIF('Daily Schedule'!$F$5:$F7,'Daily Workforce'!$B151)=0,'Daily Workforce'!$M151="Y",IF(OR('Daily Schedule'!$E$2="Full Day",'Daily Schedule'!$E$2="AM"),'Daily Workforce'!$D151="3:45 AM",IF('Daily Schedule'!$E$2="PM",'Daily Workforce'!$E151="PM",'Daily Workforce'!$E151="Overnight"))),'Daily Workforce'!$V151*1000+151,999999999)</f>
        <v>999999999</v>
      </c>
      <c r="FG4" s="1" t="n">
        <f aca="false">IF(AND('Daily Workforce'!$N152="Y",'Daily Workforce'!$B152&lt;&gt;"",COUNTIF('Daily Schedule'!$F$5:$F7,'Daily Workforce'!$B152)=0,'Daily Workforce'!$M152="Y",IF(OR('Daily Schedule'!$E$2="Full Day",'Daily Schedule'!$E$2="AM"),'Daily Workforce'!$D152="3:45 AM",IF('Daily Schedule'!$E$2="PM",'Daily Workforce'!$E152="PM",'Daily Workforce'!$E152="Overnight"))),'Daily Workforce'!$V152*1000+152,999999999)</f>
        <v>999999999</v>
      </c>
      <c r="FH4" s="1" t="n">
        <f aca="false">IF(AND('Daily Workforce'!$N153="Y",'Daily Workforce'!$B153&lt;&gt;"",COUNTIF('Daily Schedule'!$F$5:$F7,'Daily Workforce'!$B153)=0,'Daily Workforce'!$M153="Y",IF(OR('Daily Schedule'!$E$2="Full Day",'Daily Schedule'!$E$2="AM"),'Daily Workforce'!$D153="3:45 AM",IF('Daily Schedule'!$E$2="PM",'Daily Workforce'!$E153="PM",'Daily Workforce'!$E153="Overnight"))),'Daily Workforce'!$V153*1000+153,999999999)</f>
        <v>999999999</v>
      </c>
      <c r="FI4" s="1" t="n">
        <f aca="false">IF(AND('Daily Workforce'!$N154="Y",'Daily Workforce'!$B154&lt;&gt;"",COUNTIF('Daily Schedule'!$F$5:$F7,'Daily Workforce'!$B154)=0,'Daily Workforce'!$M154="Y",IF(OR('Daily Schedule'!$E$2="Full Day",'Daily Schedule'!$E$2="AM"),'Daily Workforce'!$D154="3:45 AM",IF('Daily Schedule'!$E$2="PM",'Daily Workforce'!$E154="PM",'Daily Workforce'!$E154="Overnight"))),'Daily Workforce'!$V154*1000+154,999999999)</f>
        <v>999999999</v>
      </c>
      <c r="FJ4" s="1" t="n">
        <f aca="false">IF(AND('Daily Workforce'!$N155="Y",'Daily Workforce'!$B155&lt;&gt;"",COUNTIF('Daily Schedule'!$F$5:$F7,'Daily Workforce'!$B155)=0,'Daily Workforce'!$M155="Y",IF(OR('Daily Schedule'!$E$2="Full Day",'Daily Schedule'!$E$2="AM"),'Daily Workforce'!$D155="3:45 AM",IF('Daily Schedule'!$E$2="PM",'Daily Workforce'!$E155="PM",'Daily Workforce'!$E155="Overnight"))),'Daily Workforce'!$V155*1000+155,999999999)</f>
        <v>999999999</v>
      </c>
      <c r="FK4" s="1" t="n">
        <f aca="false">IF(AND('Daily Workforce'!$N156="Y",'Daily Workforce'!$B156&lt;&gt;"",COUNTIF('Daily Schedule'!$F$5:$F7,'Daily Workforce'!$B156)=0,'Daily Workforce'!$M156="Y",IF(OR('Daily Schedule'!$E$2="Full Day",'Daily Schedule'!$E$2="AM"),'Daily Workforce'!$D156="3:45 AM",IF('Daily Schedule'!$E$2="PM",'Daily Workforce'!$E156="PM",'Daily Workforce'!$E156="Overnight"))),'Daily Workforce'!$V156*1000+156,999999999)</f>
        <v>999999999</v>
      </c>
      <c r="FL4" s="1" t="n">
        <f aca="false">IF(AND('Daily Workforce'!$N157="Y",'Daily Workforce'!$B157&lt;&gt;"",COUNTIF('Daily Schedule'!$F$5:$F7,'Daily Workforce'!$B157)=0,'Daily Workforce'!$M157="Y",IF(OR('Daily Schedule'!$E$2="Full Day",'Daily Schedule'!$E$2="AM"),'Daily Workforce'!$D157="3:45 AM",IF('Daily Schedule'!$E$2="PM",'Daily Workforce'!$E157="PM",'Daily Workforce'!$E157="Overnight"))),'Daily Workforce'!$V157*1000+157,999999999)</f>
        <v>999999999</v>
      </c>
      <c r="FM4" s="1" t="n">
        <f aca="false">IF(AND('Daily Workforce'!$N158="Y",'Daily Workforce'!$B158&lt;&gt;"",COUNTIF('Daily Schedule'!$F$5:$F7,'Daily Workforce'!$B158)=0,'Daily Workforce'!$M158="Y",IF(OR('Daily Schedule'!$E$2="Full Day",'Daily Schedule'!$E$2="AM"),'Daily Workforce'!$D158="3:45 AM",IF('Daily Schedule'!$E$2="PM",'Daily Workforce'!$E158="PM",'Daily Workforce'!$E158="Overnight"))),'Daily Workforce'!$V158*1000+158,999999999)</f>
        <v>999999999</v>
      </c>
      <c r="FN4" s="1" t="n">
        <f aca="false">IF(AND('Daily Workforce'!$N159="Y",'Daily Workforce'!$B159&lt;&gt;"",COUNTIF('Daily Schedule'!$F$5:$F7,'Daily Workforce'!$B159)=0,'Daily Workforce'!$M159="Y",IF(OR('Daily Schedule'!$E$2="Full Day",'Daily Schedule'!$E$2="AM"),'Daily Workforce'!$D159="3:45 AM",IF('Daily Schedule'!$E$2="PM",'Daily Workforce'!$E159="PM",'Daily Workforce'!$E159="Overnight"))),'Daily Workforce'!$V159*1000+159,999999999)</f>
        <v>999999999</v>
      </c>
      <c r="FO4" s="1" t="n">
        <f aca="false">IF(AND('Daily Workforce'!$N160="Y",'Daily Workforce'!$B160&lt;&gt;"",COUNTIF('Daily Schedule'!$F$5:$F7,'Daily Workforce'!$B160)=0,'Daily Workforce'!$M160="Y",IF(OR('Daily Schedule'!$E$2="Full Day",'Daily Schedule'!$E$2="AM"),'Daily Workforce'!$D160="3:45 AM",IF('Daily Schedule'!$E$2="PM",'Daily Workforce'!$E160="PM",'Daily Workforce'!$E160="Overnight"))),'Daily Workforce'!$V160*1000+160,999999999)</f>
        <v>999999999</v>
      </c>
      <c r="FP4" s="1" t="n">
        <f aca="false">IF(AND('Daily Workforce'!$N161="Y",'Daily Workforce'!$B161&lt;&gt;"",COUNTIF('Daily Schedule'!$F$5:$F7,'Daily Workforce'!$B161)=0,'Daily Workforce'!$M161="Y",IF(OR('Daily Schedule'!$E$2="Full Day",'Daily Schedule'!$E$2="AM"),'Daily Workforce'!$D161="3:45 AM",IF('Daily Schedule'!$E$2="PM",'Daily Workforce'!$E161="PM",'Daily Workforce'!$E161="Overnight"))),'Daily Workforce'!$V161*1000+161,999999999)</f>
        <v>999999999</v>
      </c>
      <c r="FQ4" s="1" t="n">
        <f aca="false">IF(AND('Daily Workforce'!$N162="Y",'Daily Workforce'!$B162&lt;&gt;"",COUNTIF('Daily Schedule'!$F$5:$F7,'Daily Workforce'!$B162)=0,'Daily Workforce'!$M162="Y",IF(OR('Daily Schedule'!$E$2="Full Day",'Daily Schedule'!$E$2="AM"),'Daily Workforce'!$D162="3:45 AM",IF('Daily Schedule'!$E$2="PM",'Daily Workforce'!$E162="PM",'Daily Workforce'!$E162="Overnight"))),'Daily Workforce'!$V162*1000+162,999999999)</f>
        <v>999999999</v>
      </c>
      <c r="FR4" s="1" t="n">
        <f aca="false">IF(AND('Daily Workforce'!$N163="Y",'Daily Workforce'!$B163&lt;&gt;"",COUNTIF('Daily Schedule'!$F$5:$F7,'Daily Workforce'!$B163)=0,'Daily Workforce'!$M163="Y",IF(OR('Daily Schedule'!$E$2="Full Day",'Daily Schedule'!$E$2="AM"),'Daily Workforce'!$D163="3:45 AM",IF('Daily Schedule'!$E$2="PM",'Daily Workforce'!$E163="PM",'Daily Workforce'!$E163="Overnight"))),'Daily Workforce'!$V163*1000+163,999999999)</f>
        <v>999999999</v>
      </c>
      <c r="FS4" s="1" t="n">
        <f aca="false">IF(AND('Daily Workforce'!$N164="Y",'Daily Workforce'!$B164&lt;&gt;"",COUNTIF('Daily Schedule'!$F$5:$F7,'Daily Workforce'!$B164)=0,'Daily Workforce'!$M164="Y",IF(OR('Daily Schedule'!$E$2="Full Day",'Daily Schedule'!$E$2="AM"),'Daily Workforce'!$D164="3:45 AM",IF('Daily Schedule'!$E$2="PM",'Daily Workforce'!$E164="PM",'Daily Workforce'!$E164="Overnight"))),'Daily Workforce'!$V164*1000+164,999999999)</f>
        <v>999999999</v>
      </c>
      <c r="FT4" s="1" t="n">
        <f aca="false">IF(AND('Daily Workforce'!$N165="Y",'Daily Workforce'!$B165&lt;&gt;"",COUNTIF('Daily Schedule'!$F$5:$F7,'Daily Workforce'!$B165)=0,'Daily Workforce'!$M165="Y",IF(OR('Daily Schedule'!$E$2="Full Day",'Daily Schedule'!$E$2="AM"),'Daily Workforce'!$D165="3:45 AM",IF('Daily Schedule'!$E$2="PM",'Daily Workforce'!$E165="PM",'Daily Workforce'!$E165="Overnight"))),'Daily Workforce'!$V165*1000+165,999999999)</f>
        <v>999999999</v>
      </c>
      <c r="FU4" s="1" t="n">
        <f aca="false">IF(AND('Daily Workforce'!$N166="Y",'Daily Workforce'!$B166&lt;&gt;"",COUNTIF('Daily Schedule'!$F$5:$F7,'Daily Workforce'!$B166)=0,'Daily Workforce'!$M166="Y",IF(OR('Daily Schedule'!$E$2="Full Day",'Daily Schedule'!$E$2="AM"),'Daily Workforce'!$D166="3:45 AM",IF('Daily Schedule'!$E$2="PM",'Daily Workforce'!$E166="PM",'Daily Workforce'!$E166="Overnight"))),'Daily Workforce'!$V166*1000+166,999999999)</f>
        <v>999999999</v>
      </c>
      <c r="FV4" s="1" t="n">
        <f aca="false">IF(AND('Daily Workforce'!$N167="Y",'Daily Workforce'!$B167&lt;&gt;"",COUNTIF('Daily Schedule'!$F$5:$F7,'Daily Workforce'!$B167)=0,'Daily Workforce'!$M167="Y",IF(OR('Daily Schedule'!$E$2="Full Day",'Daily Schedule'!$E$2="AM"),'Daily Workforce'!$D167="3:45 AM",IF('Daily Schedule'!$E$2="PM",'Daily Workforce'!$E167="PM",'Daily Workforce'!$E167="Overnight"))),'Daily Workforce'!$V167*1000+167,999999999)</f>
        <v>999999999</v>
      </c>
      <c r="FW4" s="1" t="n">
        <f aca="false">IF(AND('Daily Workforce'!$N168="Y",'Daily Workforce'!$B168&lt;&gt;"",COUNTIF('Daily Schedule'!$F$5:$F7,'Daily Workforce'!$B168)=0,'Daily Workforce'!$M168="Y",IF(OR('Daily Schedule'!$E$2="Full Day",'Daily Schedule'!$E$2="AM"),'Daily Workforce'!$D168="3:45 AM",IF('Daily Schedule'!$E$2="PM",'Daily Workforce'!$E168="PM",'Daily Workforce'!$E168="Overnight"))),'Daily Workforce'!$V168*1000+168,999999999)</f>
        <v>999999999</v>
      </c>
      <c r="FX4" s="1" t="n">
        <f aca="false">IF(AND('Daily Workforce'!$N169="Y",'Daily Workforce'!$B169&lt;&gt;"",COUNTIF('Daily Schedule'!$F$5:$F7,'Daily Workforce'!$B169)=0,'Daily Workforce'!$M169="Y",IF(OR('Daily Schedule'!$E$2="Full Day",'Daily Schedule'!$E$2="AM"),'Daily Workforce'!$D169="3:45 AM",IF('Daily Schedule'!$E$2="PM",'Daily Workforce'!$E169="PM",'Daily Workforce'!$E169="Overnight"))),'Daily Workforce'!$V169*1000+169,999999999)</f>
        <v>999999999</v>
      </c>
      <c r="FY4" s="1" t="n">
        <f aca="false">IF(AND('Daily Workforce'!$N170="Y",'Daily Workforce'!$B170&lt;&gt;"",COUNTIF('Daily Schedule'!$F$5:$F7,'Daily Workforce'!$B170)=0,'Daily Workforce'!$M170="Y",IF(OR('Daily Schedule'!$E$2="Full Day",'Daily Schedule'!$E$2="AM"),'Daily Workforce'!$D170="3:45 AM",IF('Daily Schedule'!$E$2="PM",'Daily Workforce'!$E170="PM",'Daily Workforce'!$E170="Overnight"))),'Daily Workforce'!$V170*1000+170,999999999)</f>
        <v>999999999</v>
      </c>
      <c r="FZ4" s="1" t="n">
        <f aca="false">IF(AND('Daily Workforce'!$N171="Y",'Daily Workforce'!$B171&lt;&gt;"",COUNTIF('Daily Schedule'!$F$5:$F7,'Daily Workforce'!$B171)=0,'Daily Workforce'!$M171="Y",IF(OR('Daily Schedule'!$E$2="Full Day",'Daily Schedule'!$E$2="AM"),'Daily Workforce'!$D171="3:45 AM",IF('Daily Schedule'!$E$2="PM",'Daily Workforce'!$E171="PM",'Daily Workforce'!$E171="Overnight"))),'Daily Workforce'!$V171*1000+171,999999999)</f>
        <v>999999999</v>
      </c>
      <c r="GA4" s="1" t="n">
        <f aca="false">IF(AND('Daily Workforce'!$N172="Y",'Daily Workforce'!$B172&lt;&gt;"",COUNTIF('Daily Schedule'!$F$5:$F7,'Daily Workforce'!$B172)=0,'Daily Workforce'!$M172="Y",IF(OR('Daily Schedule'!$E$2="Full Day",'Daily Schedule'!$E$2="AM"),'Daily Workforce'!$D172="3:45 AM",IF('Daily Schedule'!$E$2="PM",'Daily Workforce'!$E172="PM",'Daily Workforce'!$E172="Overnight"))),'Daily Workforce'!$V172*1000+172,999999999)</f>
        <v>999999999</v>
      </c>
      <c r="GB4" s="1" t="n">
        <f aca="false">IF(AND('Daily Workforce'!$N173="Y",'Daily Workforce'!$B173&lt;&gt;"",COUNTIF('Daily Schedule'!$F$5:$F7,'Daily Workforce'!$B173)=0,'Daily Workforce'!$M173="Y",IF(OR('Daily Schedule'!$E$2="Full Day",'Daily Schedule'!$E$2="AM"),'Daily Workforce'!$D173="3:45 AM",IF('Daily Schedule'!$E$2="PM",'Daily Workforce'!$E173="PM",'Daily Workforce'!$E173="Overnight"))),'Daily Workforce'!$V173*1000+173,999999999)</f>
        <v>999999999</v>
      </c>
      <c r="GC4" s="1" t="n">
        <f aca="false">IF(AND('Daily Workforce'!$N174="Y",'Daily Workforce'!$B174&lt;&gt;"",COUNTIF('Daily Schedule'!$F$5:$F7,'Daily Workforce'!$B174)=0,'Daily Workforce'!$M174="Y",IF(OR('Daily Schedule'!$E$2="Full Day",'Daily Schedule'!$E$2="AM"),'Daily Workforce'!$D174="3:45 AM",IF('Daily Schedule'!$E$2="PM",'Daily Workforce'!$E174="PM",'Daily Workforce'!$E174="Overnight"))),'Daily Workforce'!$V174*1000+174,999999999)</f>
        <v>999999999</v>
      </c>
      <c r="GD4" s="1" t="n">
        <f aca="false">IF(AND('Daily Workforce'!$N175="Y",'Daily Workforce'!$B175&lt;&gt;"",COUNTIF('Daily Schedule'!$F$5:$F7,'Daily Workforce'!$B175)=0,'Daily Workforce'!$M175="Y",IF(OR('Daily Schedule'!$E$2="Full Day",'Daily Schedule'!$E$2="AM"),'Daily Workforce'!$D175="3:45 AM",IF('Daily Schedule'!$E$2="PM",'Daily Workforce'!$E175="PM",'Daily Workforce'!$E175="Overnight"))),'Daily Workforce'!$V175*1000+175,999999999)</f>
        <v>999999999</v>
      </c>
      <c r="GE4" s="1" t="n">
        <f aca="false">IF(AND('Daily Workforce'!$N176="Y",'Daily Workforce'!$B176&lt;&gt;"",COUNTIF('Daily Schedule'!$F$5:$F7,'Daily Workforce'!$B176)=0,'Daily Workforce'!$M176="Y",IF(OR('Daily Schedule'!$E$2="Full Day",'Daily Schedule'!$E$2="AM"),'Daily Workforce'!$D176="3:45 AM",IF('Daily Schedule'!$E$2="PM",'Daily Workforce'!$E176="PM",'Daily Workforce'!$E176="Overnight"))),'Daily Workforce'!$V176*1000+176,999999999)</f>
        <v>999999999</v>
      </c>
      <c r="GF4" s="1" t="n">
        <f aca="false">IF(AND('Daily Workforce'!$N177="Y",'Daily Workforce'!$B177&lt;&gt;"",COUNTIF('Daily Schedule'!$F$5:$F7,'Daily Workforce'!$B177)=0,'Daily Workforce'!$M177="Y",IF(OR('Daily Schedule'!$E$2="Full Day",'Daily Schedule'!$E$2="AM"),'Daily Workforce'!$D177="3:45 AM",IF('Daily Schedule'!$E$2="PM",'Daily Workforce'!$E177="PM",'Daily Workforce'!$E177="Overnight"))),'Daily Workforce'!$V177*1000+177,999999999)</f>
        <v>999999999</v>
      </c>
      <c r="GG4" s="1" t="n">
        <f aca="false">IF(AND('Daily Workforce'!$N178="Y",'Daily Workforce'!$B178&lt;&gt;"",COUNTIF('Daily Schedule'!$F$5:$F7,'Daily Workforce'!$B178)=0,'Daily Workforce'!$M178="Y",IF(OR('Daily Schedule'!$E$2="Full Day",'Daily Schedule'!$E$2="AM"),'Daily Workforce'!$D178="3:45 AM",IF('Daily Schedule'!$E$2="PM",'Daily Workforce'!$E178="PM",'Daily Workforce'!$E178="Overnight"))),'Daily Workforce'!$V178*1000+178,999999999)</f>
        <v>999999999</v>
      </c>
      <c r="GH4" s="1" t="n">
        <f aca="false">IF(AND('Daily Workforce'!$N179="Y",'Daily Workforce'!$B179&lt;&gt;"",COUNTIF('Daily Schedule'!$F$5:$F7,'Daily Workforce'!$B179)=0,'Daily Workforce'!$M179="Y",IF(OR('Daily Schedule'!$E$2="Full Day",'Daily Schedule'!$E$2="AM"),'Daily Workforce'!$D179="3:45 AM",IF('Daily Schedule'!$E$2="PM",'Daily Workforce'!$E179="PM",'Daily Workforce'!$E179="Overnight"))),'Daily Workforce'!$V179*1000+179,999999999)</f>
        <v>999999999</v>
      </c>
      <c r="GI4" s="1" t="n">
        <f aca="false">IF(AND('Daily Workforce'!$N180="Y",'Daily Workforce'!$B180&lt;&gt;"",COUNTIF('Daily Schedule'!$F$5:$F7,'Daily Workforce'!$B180)=0,'Daily Workforce'!$M180="Y",IF(OR('Daily Schedule'!$E$2="Full Day",'Daily Schedule'!$E$2="AM"),'Daily Workforce'!$D180="3:45 AM",IF('Daily Schedule'!$E$2="PM",'Daily Workforce'!$E180="PM",'Daily Workforce'!$E180="Overnight"))),'Daily Workforce'!$V180*1000+180,999999999)</f>
        <v>999999999</v>
      </c>
      <c r="GJ4" s="1" t="n">
        <f aca="false">IF(AND('Daily Workforce'!$N181="Y",'Daily Workforce'!$B181&lt;&gt;"",COUNTIF('Daily Schedule'!$F$5:$F7,'Daily Workforce'!$B181)=0,'Daily Workforce'!$M181="Y",IF(OR('Daily Schedule'!$E$2="Full Day",'Daily Schedule'!$E$2="AM"),'Daily Workforce'!$D181="3:45 AM",IF('Daily Schedule'!$E$2="PM",'Daily Workforce'!$E181="PM",'Daily Workforce'!$E181="Overnight"))),'Daily Workforce'!$V181*1000+181,999999999)</f>
        <v>999999999</v>
      </c>
      <c r="GK4" s="1" t="n">
        <f aca="false">IF(AND('Daily Workforce'!$N182="Y",'Daily Workforce'!$B182&lt;&gt;"",COUNTIF('Daily Schedule'!$F$5:$F7,'Daily Workforce'!$B182)=0,'Daily Workforce'!$M182="Y",IF(OR('Daily Schedule'!$E$2="Full Day",'Daily Schedule'!$E$2="AM"),'Daily Workforce'!$D182="3:45 AM",IF('Daily Schedule'!$E$2="PM",'Daily Workforce'!$E182="PM",'Daily Workforce'!$E182="Overnight"))),'Daily Workforce'!$V182*1000+182,999999999)</f>
        <v>999999999</v>
      </c>
      <c r="GL4" s="1" t="n">
        <f aca="false">IF(AND('Daily Workforce'!$N183="Y",'Daily Workforce'!$B183&lt;&gt;"",COUNTIF('Daily Schedule'!$F$5:$F7,'Daily Workforce'!$B183)=0,'Daily Workforce'!$M183="Y",IF(OR('Daily Schedule'!$E$2="Full Day",'Daily Schedule'!$E$2="AM"),'Daily Workforce'!$D183="3:45 AM",IF('Daily Schedule'!$E$2="PM",'Daily Workforce'!$E183="PM",'Daily Workforce'!$E183="Overnight"))),'Daily Workforce'!$V183*1000+183,999999999)</f>
        <v>999999999</v>
      </c>
      <c r="GM4" s="1" t="n">
        <f aca="false">IF(AND('Daily Workforce'!$N184="Y",'Daily Workforce'!$B184&lt;&gt;"",COUNTIF('Daily Schedule'!$F$5:$F7,'Daily Workforce'!$B184)=0,'Daily Workforce'!$M184="Y",IF(OR('Daily Schedule'!$E$2="Full Day",'Daily Schedule'!$E$2="AM"),'Daily Workforce'!$D184="3:45 AM",IF('Daily Schedule'!$E$2="PM",'Daily Workforce'!$E184="PM",'Daily Workforce'!$E184="Overnight"))),'Daily Workforce'!$V184*1000+184,999999999)</f>
        <v>999999999</v>
      </c>
      <c r="GN4" s="1" t="n">
        <f aca="false">IF(AND('Daily Workforce'!$N185="Y",'Daily Workforce'!$B185&lt;&gt;"",COUNTIF('Daily Schedule'!$F$5:$F7,'Daily Workforce'!$B185)=0,'Daily Workforce'!$M185="Y",IF(OR('Daily Schedule'!$E$2="Full Day",'Daily Schedule'!$E$2="AM"),'Daily Workforce'!$D185="3:45 AM",IF('Daily Schedule'!$E$2="PM",'Daily Workforce'!$E185="PM",'Daily Workforce'!$E185="Overnight"))),'Daily Workforce'!$V185*1000+185,999999999)</f>
        <v>999999999</v>
      </c>
      <c r="GO4" s="1" t="n">
        <f aca="false">IF(AND('Daily Workforce'!$N186="Y",'Daily Workforce'!$B186&lt;&gt;"",COUNTIF('Daily Schedule'!$F$5:$F7,'Daily Workforce'!$B186)=0,'Daily Workforce'!$M186="Y",IF(OR('Daily Schedule'!$E$2="Full Day",'Daily Schedule'!$E$2="AM"),'Daily Workforce'!$D186="3:45 AM",IF('Daily Schedule'!$E$2="PM",'Daily Workforce'!$E186="PM",'Daily Workforce'!$E186="Overnight"))),'Daily Workforce'!$V186*1000+186,999999999)</f>
        <v>999999999</v>
      </c>
      <c r="GP4" s="1" t="n">
        <f aca="false">IF(AND('Daily Workforce'!$N187="Y",'Daily Workforce'!$B187&lt;&gt;"",COUNTIF('Daily Schedule'!$F$5:$F7,'Daily Workforce'!$B187)=0,'Daily Workforce'!$M187="Y",IF(OR('Daily Schedule'!$E$2="Full Day",'Daily Schedule'!$E$2="AM"),'Daily Workforce'!$D187="3:45 AM",IF('Daily Schedule'!$E$2="PM",'Daily Workforce'!$E187="PM",'Daily Workforce'!$E187="Overnight"))),'Daily Workforce'!$V187*1000+187,999999999)</f>
        <v>999999999</v>
      </c>
      <c r="GQ4" s="1" t="n">
        <f aca="false">IF(AND('Daily Workforce'!$N188="Y",'Daily Workforce'!$B188&lt;&gt;"",COUNTIF('Daily Schedule'!$F$5:$F7,'Daily Workforce'!$B188)=0,'Daily Workforce'!$M188="Y",IF(OR('Daily Schedule'!$E$2="Full Day",'Daily Schedule'!$E$2="AM"),'Daily Workforce'!$D188="3:45 AM",IF('Daily Schedule'!$E$2="PM",'Daily Workforce'!$E188="PM",'Daily Workforce'!$E188="Overnight"))),'Daily Workforce'!$V188*1000+188,999999999)</f>
        <v>999999999</v>
      </c>
      <c r="GR4" s="1" t="n">
        <f aca="false">IF(AND('Daily Workforce'!$N189="Y",'Daily Workforce'!$B189&lt;&gt;"",COUNTIF('Daily Schedule'!$F$5:$F7,'Daily Workforce'!$B189)=0,'Daily Workforce'!$M189="Y",IF(OR('Daily Schedule'!$E$2="Full Day",'Daily Schedule'!$E$2="AM"),'Daily Workforce'!$D189="3:45 AM",IF('Daily Schedule'!$E$2="PM",'Daily Workforce'!$E189="PM",'Daily Workforce'!$E189="Overnight"))),'Daily Workforce'!$V189*1000+189,999999999)</f>
        <v>999999999</v>
      </c>
      <c r="GS4" s="1" t="n">
        <f aca="false">IF(AND('Daily Workforce'!$N190="Y",'Daily Workforce'!$B190&lt;&gt;"",COUNTIF('Daily Schedule'!$F$5:$F7,'Daily Workforce'!$B190)=0,'Daily Workforce'!$M190="Y",IF(OR('Daily Schedule'!$E$2="Full Day",'Daily Schedule'!$E$2="AM"),'Daily Workforce'!$D190="3:45 AM",IF('Daily Schedule'!$E$2="PM",'Daily Workforce'!$E190="PM",'Daily Workforce'!$E190="Overnight"))),'Daily Workforce'!$V190*1000+190,999999999)</f>
        <v>999999999</v>
      </c>
      <c r="GT4" s="1" t="n">
        <f aca="false">IF(AND('Daily Workforce'!$N191="Y",'Daily Workforce'!$B191&lt;&gt;"",COUNTIF('Daily Schedule'!$F$5:$F7,'Daily Workforce'!$B191)=0,'Daily Workforce'!$M191="Y",IF(OR('Daily Schedule'!$E$2="Full Day",'Daily Schedule'!$E$2="AM"),'Daily Workforce'!$D191="3:45 AM",IF('Daily Schedule'!$E$2="PM",'Daily Workforce'!$E191="PM",'Daily Workforce'!$E191="Overnight"))),'Daily Workforce'!$V191*1000+191,999999999)</f>
        <v>999999999</v>
      </c>
      <c r="GU4" s="1" t="n">
        <f aca="false">IF(AND('Daily Workforce'!$N192="Y",'Daily Workforce'!$B192&lt;&gt;"",COUNTIF('Daily Schedule'!$F$5:$F7,'Daily Workforce'!$B192)=0,'Daily Workforce'!$M192="Y",IF(OR('Daily Schedule'!$E$2="Full Day",'Daily Schedule'!$E$2="AM"),'Daily Workforce'!$D192="3:45 AM",IF('Daily Schedule'!$E$2="PM",'Daily Workforce'!$E192="PM",'Daily Workforce'!$E192="Overnight"))),'Daily Workforce'!$V192*1000+192,999999999)</f>
        <v>999999999</v>
      </c>
      <c r="GV4" s="1" t="n">
        <f aca="false">IF(AND('Daily Workforce'!$N193="Y",'Daily Workforce'!$B193&lt;&gt;"",COUNTIF('Daily Schedule'!$F$5:$F7,'Daily Workforce'!$B193)=0,'Daily Workforce'!$M193="Y",IF(OR('Daily Schedule'!$E$2="Full Day",'Daily Schedule'!$E$2="AM"),'Daily Workforce'!$D193="3:45 AM",IF('Daily Schedule'!$E$2="PM",'Daily Workforce'!$E193="PM",'Daily Workforce'!$E193="Overnight"))),'Daily Workforce'!$V193*1000+193,999999999)</f>
        <v>999999999</v>
      </c>
      <c r="GW4" s="1" t="n">
        <f aca="false">IF(AND('Daily Workforce'!$N194="Y",'Daily Workforce'!$B194&lt;&gt;"",COUNTIF('Daily Schedule'!$F$5:$F7,'Daily Workforce'!$B194)=0,'Daily Workforce'!$M194="Y",IF(OR('Daily Schedule'!$E$2="Full Day",'Daily Schedule'!$E$2="AM"),'Daily Workforce'!$D194="3:45 AM",IF('Daily Schedule'!$E$2="PM",'Daily Workforce'!$E194="PM",'Daily Workforce'!$E194="Overnight"))),'Daily Workforce'!$V194*1000+194,999999999)</f>
        <v>999999999</v>
      </c>
      <c r="GX4" s="1" t="n">
        <f aca="false">IF(AND('Daily Workforce'!$N195="Y",'Daily Workforce'!$B195&lt;&gt;"",COUNTIF('Daily Schedule'!$F$5:$F7,'Daily Workforce'!$B195)=0,'Daily Workforce'!$M195="Y",IF(OR('Daily Schedule'!$E$2="Full Day",'Daily Schedule'!$E$2="AM"),'Daily Workforce'!$D195="3:45 AM",IF('Daily Schedule'!$E$2="PM",'Daily Workforce'!$E195="PM",'Daily Workforce'!$E195="Overnight"))),'Daily Workforce'!$V195*1000+195,999999999)</f>
        <v>999999999</v>
      </c>
      <c r="GY4" s="1" t="n">
        <f aca="false">IF(AND('Daily Workforce'!$N196="Y",'Daily Workforce'!$B196&lt;&gt;"",COUNTIF('Daily Schedule'!$F$5:$F7,'Daily Workforce'!$B196)=0,'Daily Workforce'!$M196="Y",IF(OR('Daily Schedule'!$E$2="Full Day",'Daily Schedule'!$E$2="AM"),'Daily Workforce'!$D196="3:45 AM",IF('Daily Schedule'!$E$2="PM",'Daily Workforce'!$E196="PM",'Daily Workforce'!$E196="Overnight"))),'Daily Workforce'!$V196*1000+196,999999999)</f>
        <v>999999999</v>
      </c>
      <c r="GZ4" s="1" t="n">
        <f aca="false">IF(AND('Daily Workforce'!$N197="Y",'Daily Workforce'!$B197&lt;&gt;"",COUNTIF('Daily Schedule'!$F$5:$F7,'Daily Workforce'!$B197)=0,'Daily Workforce'!$M197="Y",IF(OR('Daily Schedule'!$E$2="Full Day",'Daily Schedule'!$E$2="AM"),'Daily Workforce'!$D197="3:45 AM",IF('Daily Schedule'!$E$2="PM",'Daily Workforce'!$E197="PM",'Daily Workforce'!$E197="Overnight"))),'Daily Workforce'!$V197*1000+197,999999999)</f>
        <v>999999999</v>
      </c>
      <c r="HA4" s="1" t="n">
        <f aca="false">IF(AND('Daily Workforce'!$N198="Y",'Daily Workforce'!$B198&lt;&gt;"",COUNTIF('Daily Schedule'!$F$5:$F7,'Daily Workforce'!$B198)=0,'Daily Workforce'!$M198="Y",IF(OR('Daily Schedule'!$E$2="Full Day",'Daily Schedule'!$E$2="AM"),'Daily Workforce'!$D198="3:45 AM",IF('Daily Schedule'!$E$2="PM",'Daily Workforce'!$E198="PM",'Daily Workforce'!$E198="Overnight"))),'Daily Workforce'!$V198*1000+198,999999999)</f>
        <v>999999999</v>
      </c>
      <c r="HB4" s="1" t="n">
        <f aca="false">IF(AND('Daily Workforce'!$N199="Y",'Daily Workforce'!$B199&lt;&gt;"",COUNTIF('Daily Schedule'!$F$5:$F7,'Daily Workforce'!$B199)=0,'Daily Workforce'!$M199="Y",IF(OR('Daily Schedule'!$E$2="Full Day",'Daily Schedule'!$E$2="AM"),'Daily Workforce'!$D199="3:45 AM",IF('Daily Schedule'!$E$2="PM",'Daily Workforce'!$E199="PM",'Daily Workforce'!$E199="Overnight"))),'Daily Workforce'!$V199*1000+199,999999999)</f>
        <v>999999999</v>
      </c>
      <c r="HC4" s="1" t="n">
        <f aca="false">IF(AND('Daily Workforce'!$N200="Y",'Daily Workforce'!$B200&lt;&gt;"",COUNTIF('Daily Schedule'!$F$5:$F7,'Daily Workforce'!$B200)=0,'Daily Workforce'!$M200="Y",IF(OR('Daily Schedule'!$E$2="Full Day",'Daily Schedule'!$E$2="AM"),'Daily Workforce'!$D200="3:45 AM",IF('Daily Schedule'!$E$2="PM",'Daily Workforce'!$E200="PM",'Daily Workforce'!$E200="Overnight"))),'Daily Workforce'!$V200*1000+200,999999999)</f>
        <v>999999999</v>
      </c>
      <c r="HD4" s="1" t="n">
        <f aca="false">IF(AND('Daily Workforce'!$N201="Y",'Daily Workforce'!$B201&lt;&gt;"",COUNTIF('Daily Schedule'!$F$5:$F7,'Daily Workforce'!$B201)=0,'Daily Workforce'!$M201="Y",IF(OR('Daily Schedule'!$E$2="Full Day",'Daily Schedule'!$E$2="AM"),'Daily Workforce'!$D201="3:45 AM",IF('Daily Schedule'!$E$2="PM",'Daily Workforce'!$E201="PM",'Daily Workforce'!$E201="Overnight"))),'Daily Workforce'!$V201*1000+201,999999999)</f>
        <v>999999999</v>
      </c>
      <c r="HE4" s="1" t="n">
        <f aca="false">IF(AND('Daily Workforce'!$N202="Y",'Daily Workforce'!$B202&lt;&gt;"",COUNTIF('Daily Schedule'!$F$5:$F7,'Daily Workforce'!$B202)=0,'Daily Workforce'!$M202="Y",IF(OR('Daily Schedule'!$E$2="Full Day",'Daily Schedule'!$E$2="AM"),'Daily Workforce'!$D202="3:45 AM",IF('Daily Schedule'!$E$2="PM",'Daily Workforce'!$E202="PM",'Daily Workforce'!$E202="Overnight"))),'Daily Workforce'!$V202*1000+202,999999999)</f>
        <v>999999999</v>
      </c>
      <c r="HF4" s="1" t="n">
        <f aca="false">IF(AND('Daily Workforce'!$N203="Y",'Daily Workforce'!$B203&lt;&gt;"",COUNTIF('Daily Schedule'!$F$5:$F7,'Daily Workforce'!$B203)=0,'Daily Workforce'!$M203="Y",IF(OR('Daily Schedule'!$E$2="Full Day",'Daily Schedule'!$E$2="AM"),'Daily Workforce'!$D203="3:45 AM",IF('Daily Schedule'!$E$2="PM",'Daily Workforce'!$E203="PM",'Daily Workforce'!$E203="Overnight"))),'Daily Workforce'!$V203*1000+203,999999999)</f>
        <v>999999999</v>
      </c>
      <c r="HG4" s="1" t="n">
        <f aca="false">IF(AND('Daily Workforce'!$N204="Y",'Daily Workforce'!$B204&lt;&gt;"",COUNTIF('Daily Schedule'!$F$5:$F7,'Daily Workforce'!$B204)=0,'Daily Workforce'!$M204="Y",IF(OR('Daily Schedule'!$E$2="Full Day",'Daily Schedule'!$E$2="AM"),'Daily Workforce'!$D204="3:45 AM",IF('Daily Schedule'!$E$2="PM",'Daily Workforce'!$E204="PM",'Daily Workforce'!$E204="Overnight"))),'Daily Workforce'!$V204*1000+204,999999999)</f>
        <v>999999999</v>
      </c>
      <c r="HH4" s="1" t="n">
        <f aca="false">IF(AND('Daily Workforce'!$N205="Y",'Daily Workforce'!$B205&lt;&gt;"",COUNTIF('Daily Schedule'!$F$5:$F7,'Daily Workforce'!$B205)=0,'Daily Workforce'!$M205="Y",IF(OR('Daily Schedule'!$E$2="Full Day",'Daily Schedule'!$E$2="AM"),'Daily Workforce'!$D205="3:45 AM",IF('Daily Schedule'!$E$2="PM",'Daily Workforce'!$E205="PM",'Daily Workforce'!$E205="Overnight"))),'Daily Workforce'!$V205*1000+205,999999999)</f>
        <v>999999999</v>
      </c>
      <c r="HI4" s="1" t="n">
        <v>48</v>
      </c>
      <c r="HJ4" s="1" t="str">
        <f aca="false">IF(MIN(HL4:JK4)&gt;=999999999,"",IFERROR(INDEX('Daily Schedule'!$F$6:$F$57,MATCH(MIN(HL4:JK4),HL4:JK4,0)),""))</f>
        <v>EMP-0026</v>
      </c>
      <c r="HK4" s="1" t="n">
        <f aca="false">IF($HJ4="","",IFERROR(INDEX('Daily Schedule'!$A$6:$A$57,MATCH($HJ4,'Daily Schedule'!$F$6:$F$57,0)),""))</f>
        <v>17</v>
      </c>
      <c r="HL4" s="1" t="n">
        <f aca="false">IF(AND('Daily Schedule'!$F$6&lt;&gt;"",'Daily Schedule'!$H$6="5:45 AM",'Daily Schedule'!$D$6&lt;&gt;"Tier 1",IFERROR(INDEX('Daily Workforce'!$M$6:$M$205,MATCH('Daily Schedule'!$F$6,'Daily Workforce'!$B$6:$B$205,0)),"N")="Y",COUNTIF($HJ$1:HJ3,'Daily Schedule'!$F$6)=0),IFERROR(INDEX('Daily Workforce'!$V$6:$V$205,MATCH('Daily Schedule'!$F$6,'Daily Workforce'!$B$6:$B$205,0)),0)*1000+6,999999999)</f>
        <v>999999999</v>
      </c>
      <c r="HM4" s="1" t="n">
        <f aca="false">IF(AND('Daily Schedule'!$F$7&lt;&gt;"",'Daily Schedule'!$H$7="5:45 AM",'Daily Schedule'!$D$7&lt;&gt;"Tier 1",IFERROR(INDEX('Daily Workforce'!$M$6:$M$205,MATCH('Daily Schedule'!$F$7,'Daily Workforce'!$B$6:$B$205,0)),"N")="Y",COUNTIF($HJ$1:HJ3,'Daily Schedule'!$F$7)=0),IFERROR(INDEX('Daily Workforce'!$V$6:$V$205,MATCH('Daily Schedule'!$F$7,'Daily Workforce'!$B$6:$B$205,0)),0)*1000+7,999999999)</f>
        <v>999999999</v>
      </c>
      <c r="HN4" s="1" t="n">
        <f aca="false">IF(AND('Daily Schedule'!$F$8&lt;&gt;"",'Daily Schedule'!$H$8="5:45 AM",'Daily Schedule'!$D$8&lt;&gt;"Tier 1",IFERROR(INDEX('Daily Workforce'!$M$6:$M$205,MATCH('Daily Schedule'!$F$8,'Daily Workforce'!$B$6:$B$205,0)),"N")="Y",COUNTIF($HJ$1:HJ3,'Daily Schedule'!$F$8)=0),IFERROR(INDEX('Daily Workforce'!$V$6:$V$205,MATCH('Daily Schedule'!$F$8,'Daily Workforce'!$B$6:$B$205,0)),0)*1000+8,999999999)</f>
        <v>999999999</v>
      </c>
      <c r="HO4" s="1" t="n">
        <f aca="false">IF(AND('Daily Schedule'!$F$9&lt;&gt;"",'Daily Schedule'!$H$9="5:45 AM",'Daily Schedule'!$D$9&lt;&gt;"Tier 1",IFERROR(INDEX('Daily Workforce'!$M$6:$M$205,MATCH('Daily Schedule'!$F$9,'Daily Workforce'!$B$6:$B$205,0)),"N")="Y",COUNTIF($HJ$1:HJ3,'Daily Schedule'!$F$9)=0),IFERROR(INDEX('Daily Workforce'!$V$6:$V$205,MATCH('Daily Schedule'!$F$9,'Daily Workforce'!$B$6:$B$205,0)),0)*1000+9,999999999)</f>
        <v>999999999</v>
      </c>
      <c r="HP4" s="1" t="n">
        <f aca="false">IF(AND('Daily Schedule'!$F$10&lt;&gt;"",'Daily Schedule'!$H$10="5:45 AM",'Daily Schedule'!$D$10&lt;&gt;"Tier 1",IFERROR(INDEX('Daily Workforce'!$M$6:$M$205,MATCH('Daily Schedule'!$F$10,'Daily Workforce'!$B$6:$B$205,0)),"N")="Y",COUNTIF($HJ$1:HJ3,'Daily Schedule'!$F$10)=0),IFERROR(INDEX('Daily Workforce'!$V$6:$V$205,MATCH('Daily Schedule'!$F$10,'Daily Workforce'!$B$6:$B$205,0)),0)*1000+10,999999999)</f>
        <v>999999999</v>
      </c>
      <c r="HQ4" s="1" t="n">
        <f aca="false">IF(AND('Daily Schedule'!$F$11&lt;&gt;"",'Daily Schedule'!$H$11="5:45 AM",'Daily Schedule'!$D$11&lt;&gt;"Tier 1",IFERROR(INDEX('Daily Workforce'!$M$6:$M$205,MATCH('Daily Schedule'!$F$11,'Daily Workforce'!$B$6:$B$205,0)),"N")="Y",COUNTIF($HJ$1:HJ3,'Daily Schedule'!$F$11)=0),IFERROR(INDEX('Daily Workforce'!$V$6:$V$205,MATCH('Daily Schedule'!$F$11,'Daily Workforce'!$B$6:$B$205,0)),0)*1000+11,999999999)</f>
        <v>999999999</v>
      </c>
      <c r="HR4" s="1" t="n">
        <f aca="false">IF(AND('Daily Schedule'!$F$12&lt;&gt;"",'Daily Schedule'!$H$12="5:45 AM",'Daily Schedule'!$D$12&lt;&gt;"Tier 1",IFERROR(INDEX('Daily Workforce'!$M$6:$M$205,MATCH('Daily Schedule'!$F$12,'Daily Workforce'!$B$6:$B$205,0)),"N")="Y",COUNTIF($HJ$1:HJ3,'Daily Schedule'!$F$12)=0),IFERROR(INDEX('Daily Workforce'!$V$6:$V$205,MATCH('Daily Schedule'!$F$12,'Daily Workforce'!$B$6:$B$205,0)),0)*1000+12,999999999)</f>
        <v>999999999</v>
      </c>
      <c r="HS4" s="1" t="n">
        <f aca="false">IF(AND('Daily Schedule'!$F$13&lt;&gt;"",'Daily Schedule'!$H$13="5:45 AM",'Daily Schedule'!$D$13&lt;&gt;"Tier 1",IFERROR(INDEX('Daily Workforce'!$M$6:$M$205,MATCH('Daily Schedule'!$F$13,'Daily Workforce'!$B$6:$B$205,0)),"N")="Y",COUNTIF($HJ$1:HJ3,'Daily Schedule'!$F$13)=0),IFERROR(INDEX('Daily Workforce'!$V$6:$V$205,MATCH('Daily Schedule'!$F$13,'Daily Workforce'!$B$6:$B$205,0)),0)*1000+13,999999999)</f>
        <v>999999999</v>
      </c>
      <c r="HT4" s="1" t="n">
        <f aca="false">IF(AND('Daily Schedule'!$F$14&lt;&gt;"",'Daily Schedule'!$H$14="5:45 AM",'Daily Schedule'!$D$14&lt;&gt;"Tier 1",IFERROR(INDEX('Daily Workforce'!$M$6:$M$205,MATCH('Daily Schedule'!$F$14,'Daily Workforce'!$B$6:$B$205,0)),"N")="Y",COUNTIF($HJ$1:HJ3,'Daily Schedule'!$F$14)=0),IFERROR(INDEX('Daily Workforce'!$V$6:$V$205,MATCH('Daily Schedule'!$F$14,'Daily Workforce'!$B$6:$B$205,0)),0)*1000+14,999999999)</f>
        <v>999999999</v>
      </c>
      <c r="HU4" s="1" t="n">
        <f aca="false">IF(AND('Daily Schedule'!$F$15&lt;&gt;"",'Daily Schedule'!$H$15="5:45 AM",'Daily Schedule'!$D$15&lt;&gt;"Tier 1",IFERROR(INDEX('Daily Workforce'!$M$6:$M$205,MATCH('Daily Schedule'!$F$15,'Daily Workforce'!$B$6:$B$205,0)),"N")="Y",COUNTIF($HJ$1:HJ3,'Daily Schedule'!$F$15)=0),IFERROR(INDEX('Daily Workforce'!$V$6:$V$205,MATCH('Daily Schedule'!$F$15,'Daily Workforce'!$B$6:$B$205,0)),0)*1000+15,999999999)</f>
        <v>999999999</v>
      </c>
      <c r="HV4" s="1" t="n">
        <f aca="false">IF(AND('Daily Schedule'!$F$16&lt;&gt;"",'Daily Schedule'!$H$16="5:45 AM",'Daily Schedule'!$D$16&lt;&gt;"Tier 1",IFERROR(INDEX('Daily Workforce'!$M$6:$M$205,MATCH('Daily Schedule'!$F$16,'Daily Workforce'!$B$6:$B$205,0)),"N")="Y",COUNTIF($HJ$1:HJ3,'Daily Schedule'!$F$16)=0),IFERROR(INDEX('Daily Workforce'!$V$6:$V$205,MATCH('Daily Schedule'!$F$16,'Daily Workforce'!$B$6:$B$205,0)),0)*1000+16,999999999)</f>
        <v>999999999</v>
      </c>
      <c r="HW4" s="1" t="n">
        <f aca="false">IF(AND('Daily Schedule'!$F$17&lt;&gt;"",'Daily Schedule'!$H$17="5:45 AM",'Daily Schedule'!$D$17&lt;&gt;"Tier 1",IFERROR(INDEX('Daily Workforce'!$M$6:$M$205,MATCH('Daily Schedule'!$F$17,'Daily Workforce'!$B$6:$B$205,0)),"N")="Y",COUNTIF($HJ$1:HJ3,'Daily Schedule'!$F$17)=0),IFERROR(INDEX('Daily Workforce'!$V$6:$V$205,MATCH('Daily Schedule'!$F$17,'Daily Workforce'!$B$6:$B$205,0)),0)*1000+17,999999999)</f>
        <v>999999999</v>
      </c>
      <c r="HX4" s="1" t="n">
        <f aca="false">IF(AND('Daily Schedule'!$F$18&lt;&gt;"",'Daily Schedule'!$H$18="5:45 AM",'Daily Schedule'!$D$18&lt;&gt;"Tier 1",IFERROR(INDEX('Daily Workforce'!$M$6:$M$205,MATCH('Daily Schedule'!$F$18,'Daily Workforce'!$B$6:$B$205,0)),"N")="Y",COUNTIF($HJ$1:HJ3,'Daily Schedule'!$F$18)=0),IFERROR(INDEX('Daily Workforce'!$V$6:$V$205,MATCH('Daily Schedule'!$F$18,'Daily Workforce'!$B$6:$B$205,0)),0)*1000+18,999999999)</f>
        <v>999999999</v>
      </c>
      <c r="HY4" s="1" t="n">
        <f aca="false">IF(AND('Daily Schedule'!$F$19&lt;&gt;"",'Daily Schedule'!$H$19="5:45 AM",'Daily Schedule'!$D$19&lt;&gt;"Tier 1",IFERROR(INDEX('Daily Workforce'!$M$6:$M$205,MATCH('Daily Schedule'!$F$19,'Daily Workforce'!$B$6:$B$205,0)),"N")="Y",COUNTIF($HJ$1:HJ3,'Daily Schedule'!$F$19)=0),IFERROR(INDEX('Daily Workforce'!$V$6:$V$205,MATCH('Daily Schedule'!$F$19,'Daily Workforce'!$B$6:$B$205,0)),0)*1000+19,999999999)</f>
        <v>999999999</v>
      </c>
      <c r="HZ4" s="1" t="n">
        <f aca="false">IF(AND('Daily Schedule'!$F$20&lt;&gt;"",'Daily Schedule'!$H$20="5:45 AM",'Daily Schedule'!$D$20&lt;&gt;"Tier 1",IFERROR(INDEX('Daily Workforce'!$M$6:$M$205,MATCH('Daily Schedule'!$F$20,'Daily Workforce'!$B$6:$B$205,0)),"N")="Y",COUNTIF($HJ$1:HJ3,'Daily Schedule'!$F$20)=0),IFERROR(INDEX('Daily Workforce'!$V$6:$V$205,MATCH('Daily Schedule'!$F$20,'Daily Workforce'!$B$6:$B$205,0)),0)*1000+20,999999999)</f>
        <v>999999999</v>
      </c>
      <c r="IA4" s="1" t="n">
        <f aca="false">IF(AND('Daily Schedule'!$F$21&lt;&gt;"",'Daily Schedule'!$H$21="5:45 AM",'Daily Schedule'!$D$21&lt;&gt;"Tier 1",IFERROR(INDEX('Daily Workforce'!$M$6:$M$205,MATCH('Daily Schedule'!$F$21,'Daily Workforce'!$B$6:$B$205,0)),"N")="Y",COUNTIF($HJ$1:HJ3,'Daily Schedule'!$F$21)=0),IFERROR(INDEX('Daily Workforce'!$V$6:$V$205,MATCH('Daily Schedule'!$F$21,'Daily Workforce'!$B$6:$B$205,0)),0)*1000+21,999999999)</f>
        <v>999999999</v>
      </c>
      <c r="IB4" s="1" t="n">
        <f aca="false">IF(AND('Daily Schedule'!$F$22&lt;&gt;"",'Daily Schedule'!$H$22="5:45 AM",'Daily Schedule'!$D$22&lt;&gt;"Tier 1",IFERROR(INDEX('Daily Workforce'!$M$6:$M$205,MATCH('Daily Schedule'!$F$22,'Daily Workforce'!$B$6:$B$205,0)),"N")="Y",COUNTIF($HJ$1:HJ3,'Daily Schedule'!$F$22)=0),IFERROR(INDEX('Daily Workforce'!$V$6:$V$205,MATCH('Daily Schedule'!$F$22,'Daily Workforce'!$B$6:$B$205,0)),0)*1000+22,999999999)</f>
        <v>999999999</v>
      </c>
      <c r="IC4" s="1" t="n">
        <f aca="false">IF(AND('Daily Schedule'!$F$23&lt;&gt;"",'Daily Schedule'!$H$23="5:45 AM",'Daily Schedule'!$D$23&lt;&gt;"Tier 1",IFERROR(INDEX('Daily Workforce'!$M$6:$M$205,MATCH('Daily Schedule'!$F$23,'Daily Workforce'!$B$6:$B$205,0)),"N")="Y",COUNTIF($HJ$1:HJ3,'Daily Schedule'!$F$23)=0),IFERROR(INDEX('Daily Workforce'!$V$6:$V$205,MATCH('Daily Schedule'!$F$23,'Daily Workforce'!$B$6:$B$205,0)),0)*1000+23,999999999)</f>
        <v>999999999</v>
      </c>
      <c r="ID4" s="1" t="n">
        <f aca="false">IF(AND('Daily Schedule'!$F$24&lt;&gt;"",'Daily Schedule'!$H$24="5:45 AM",'Daily Schedule'!$D$24&lt;&gt;"Tier 1",IFERROR(INDEX('Daily Workforce'!$M$6:$M$205,MATCH('Daily Schedule'!$F$24,'Daily Workforce'!$B$6:$B$205,0)),"N")="Y",COUNTIF($HJ$1:HJ3,'Daily Schedule'!$F$24)=0),IFERROR(INDEX('Daily Workforce'!$V$6:$V$205,MATCH('Daily Schedule'!$F$24,'Daily Workforce'!$B$6:$B$205,0)),0)*1000+24,999999999)</f>
        <v>999999999</v>
      </c>
      <c r="IE4" s="1" t="n">
        <f aca="false">IF(AND('Daily Schedule'!$F$25&lt;&gt;"",'Daily Schedule'!$H$25="5:45 AM",'Daily Schedule'!$D$25&lt;&gt;"Tier 1",IFERROR(INDEX('Daily Workforce'!$M$6:$M$205,MATCH('Daily Schedule'!$F$25,'Daily Workforce'!$B$6:$B$205,0)),"N")="Y",COUNTIF($HJ$1:HJ3,'Daily Schedule'!$F$25)=0),IFERROR(INDEX('Daily Workforce'!$V$6:$V$205,MATCH('Daily Schedule'!$F$25,'Daily Workforce'!$B$6:$B$205,0)),0)*1000+25,999999999)</f>
        <v>999999999</v>
      </c>
      <c r="IF4" s="1" t="n">
        <f aca="false">IF(AND('Daily Schedule'!$F$26&lt;&gt;"",'Daily Schedule'!$H$26="5:45 AM",'Daily Schedule'!$D$26&lt;&gt;"Tier 1",IFERROR(INDEX('Daily Workforce'!$M$6:$M$205,MATCH('Daily Schedule'!$F$26,'Daily Workforce'!$B$6:$B$205,0)),"N")="Y",COUNTIF($HJ$1:HJ3,'Daily Schedule'!$F$26)=0),IFERROR(INDEX('Daily Workforce'!$V$6:$V$205,MATCH('Daily Schedule'!$F$26,'Daily Workforce'!$B$6:$B$205,0)),0)*1000+26,999999999)</f>
        <v>999999999</v>
      </c>
      <c r="IG4" s="1" t="n">
        <f aca="false">IF(AND('Daily Schedule'!$F$27&lt;&gt;"",'Daily Schedule'!$H$27="5:45 AM",'Daily Schedule'!$D$27&lt;&gt;"Tier 1",IFERROR(INDEX('Daily Workforce'!$M$6:$M$205,MATCH('Daily Schedule'!$F$27,'Daily Workforce'!$B$6:$B$205,0)),"N")="Y",COUNTIF($HJ$1:HJ3,'Daily Schedule'!$F$27)=0),IFERROR(INDEX('Daily Workforce'!$V$6:$V$205,MATCH('Daily Schedule'!$F$27,'Daily Workforce'!$B$6:$B$205,0)),0)*1000+27,999999999)</f>
        <v>999999999</v>
      </c>
      <c r="IH4" s="1" t="n">
        <f aca="false">IF(AND('Daily Schedule'!$F$28&lt;&gt;"",'Daily Schedule'!$H$28="5:45 AM",'Daily Schedule'!$D$28&lt;&gt;"Tier 1",IFERROR(INDEX('Daily Workforce'!$M$6:$M$205,MATCH('Daily Schedule'!$F$28,'Daily Workforce'!$B$6:$B$205,0)),"N")="Y",COUNTIF($HJ$1:HJ3,'Daily Schedule'!$F$28)=0),IFERROR(INDEX('Daily Workforce'!$V$6:$V$205,MATCH('Daily Schedule'!$F$28,'Daily Workforce'!$B$6:$B$205,0)),0)*1000+28,999999999)</f>
        <v>999999999</v>
      </c>
      <c r="II4" s="1" t="n">
        <f aca="false">IF(AND('Daily Schedule'!$F$29&lt;&gt;"",'Daily Schedule'!$H$29="5:45 AM",'Daily Schedule'!$D$29&lt;&gt;"Tier 1",IFERROR(INDEX('Daily Workforce'!$M$6:$M$205,MATCH('Daily Schedule'!$F$29,'Daily Workforce'!$B$6:$B$205,0)),"N")="Y",COUNTIF($HJ$1:HJ3,'Daily Schedule'!$F$29)=0),IFERROR(INDEX('Daily Workforce'!$V$6:$V$205,MATCH('Daily Schedule'!$F$29,'Daily Workforce'!$B$6:$B$205,0)),0)*1000+29,999999999)</f>
        <v>999999999</v>
      </c>
      <c r="IJ4" s="1" t="n">
        <f aca="false">IF(AND('Daily Schedule'!$F$30&lt;&gt;"",'Daily Schedule'!$H$30="5:45 AM",'Daily Schedule'!$D$30&lt;&gt;"Tier 1",IFERROR(INDEX('Daily Workforce'!$M$6:$M$205,MATCH('Daily Schedule'!$F$30,'Daily Workforce'!$B$6:$B$205,0)),"N")="Y",COUNTIF($HJ$1:HJ3,'Daily Schedule'!$F$30)=0),IFERROR(INDEX('Daily Workforce'!$V$6:$V$205,MATCH('Daily Schedule'!$F$30,'Daily Workforce'!$B$6:$B$205,0)),0)*1000+30,999999999)</f>
        <v>999999999</v>
      </c>
      <c r="IK4" s="1" t="n">
        <f aca="false">IF(AND('Daily Schedule'!$F$31&lt;&gt;"",'Daily Schedule'!$H$31="5:45 AM",'Daily Schedule'!$D$31&lt;&gt;"Tier 1",IFERROR(INDEX('Daily Workforce'!$M$6:$M$205,MATCH('Daily Schedule'!$F$31,'Daily Workforce'!$B$6:$B$205,0)),"N")="Y",COUNTIF($HJ$1:HJ3,'Daily Schedule'!$F$31)=0),IFERROR(INDEX('Daily Workforce'!$V$6:$V$205,MATCH('Daily Schedule'!$F$31,'Daily Workforce'!$B$6:$B$205,0)),0)*1000+31,999999999)</f>
        <v>999999999</v>
      </c>
      <c r="IL4" s="1" t="n">
        <f aca="false">IF(AND('Daily Schedule'!$F$32&lt;&gt;"",'Daily Schedule'!$H$32="5:45 AM",'Daily Schedule'!$D$32&lt;&gt;"Tier 1",IFERROR(INDEX('Daily Workforce'!$M$6:$M$205,MATCH('Daily Schedule'!$F$32,'Daily Workforce'!$B$6:$B$205,0)),"N")="Y",COUNTIF($HJ$1:HJ3,'Daily Schedule'!$F$32)=0),IFERROR(INDEX('Daily Workforce'!$V$6:$V$205,MATCH('Daily Schedule'!$F$32,'Daily Workforce'!$B$6:$B$205,0)),0)*1000+32,999999999)</f>
        <v>32</v>
      </c>
      <c r="IM4" s="1" t="n">
        <f aca="false">IF(AND('Daily Schedule'!$F$33&lt;&gt;"",'Daily Schedule'!$H$33="5:45 AM",'Daily Schedule'!$D$33&lt;&gt;"Tier 1",IFERROR(INDEX('Daily Workforce'!$M$6:$M$205,MATCH('Daily Schedule'!$F$33,'Daily Workforce'!$B$6:$B$205,0)),"N")="Y",COUNTIF($HJ$1:HJ3,'Daily Schedule'!$F$33)=0),IFERROR(INDEX('Daily Workforce'!$V$6:$V$205,MATCH('Daily Schedule'!$F$33,'Daily Workforce'!$B$6:$B$205,0)),0)*1000+33,999999999)</f>
        <v>33</v>
      </c>
      <c r="IN4" s="1" t="n">
        <f aca="false">IF(AND('Daily Schedule'!$F$34&lt;&gt;"",'Daily Schedule'!$H$34="5:45 AM",'Daily Schedule'!$D$34&lt;&gt;"Tier 1",IFERROR(INDEX('Daily Workforce'!$M$6:$M$205,MATCH('Daily Schedule'!$F$34,'Daily Workforce'!$B$6:$B$205,0)),"N")="Y",COUNTIF($HJ$1:HJ3,'Daily Schedule'!$F$34)=0),IFERROR(INDEX('Daily Workforce'!$V$6:$V$205,MATCH('Daily Schedule'!$F$34,'Daily Workforce'!$B$6:$B$205,0)),0)*1000+34,999999999)</f>
        <v>34</v>
      </c>
      <c r="IO4" s="1" t="n">
        <f aca="false">IF(AND('Daily Schedule'!$F$35&lt;&gt;"",'Daily Schedule'!$H$35="5:45 AM",'Daily Schedule'!$D$35&lt;&gt;"Tier 1",IFERROR(INDEX('Daily Workforce'!$M$6:$M$205,MATCH('Daily Schedule'!$F$35,'Daily Workforce'!$B$6:$B$205,0)),"N")="Y",COUNTIF($HJ$1:HJ3,'Daily Schedule'!$F$35)=0),IFERROR(INDEX('Daily Workforce'!$V$6:$V$205,MATCH('Daily Schedule'!$F$35,'Daily Workforce'!$B$6:$B$205,0)),0)*1000+35,999999999)</f>
        <v>35</v>
      </c>
      <c r="IP4" s="1" t="n">
        <f aca="false">IF(AND('Daily Schedule'!$F$36&lt;&gt;"",'Daily Schedule'!$H$36="5:45 AM",'Daily Schedule'!$D$36&lt;&gt;"Tier 1",IFERROR(INDEX('Daily Workforce'!$M$6:$M$205,MATCH('Daily Schedule'!$F$36,'Daily Workforce'!$B$6:$B$205,0)),"N")="Y",COUNTIF($HJ$1:HJ3,'Daily Schedule'!$F$36)=0),IFERROR(INDEX('Daily Workforce'!$V$6:$V$205,MATCH('Daily Schedule'!$F$36,'Daily Workforce'!$B$6:$B$205,0)),0)*1000+36,999999999)</f>
        <v>36</v>
      </c>
      <c r="IQ4" s="1" t="n">
        <f aca="false">IF(AND('Daily Schedule'!$F$37&lt;&gt;"",'Daily Schedule'!$H$37="5:45 AM",'Daily Schedule'!$D$37&lt;&gt;"Tier 1",IFERROR(INDEX('Daily Workforce'!$M$6:$M$205,MATCH('Daily Schedule'!$F$37,'Daily Workforce'!$B$6:$B$205,0)),"N")="Y",COUNTIF($HJ$1:HJ3,'Daily Schedule'!$F$37)=0),IFERROR(INDEX('Daily Workforce'!$V$6:$V$205,MATCH('Daily Schedule'!$F$37,'Daily Workforce'!$B$6:$B$205,0)),0)*1000+37,999999999)</f>
        <v>37</v>
      </c>
      <c r="IR4" s="1" t="n">
        <f aca="false">IF(AND('Daily Schedule'!$F$38&lt;&gt;"",'Daily Schedule'!$H$38="5:45 AM",'Daily Schedule'!$D$38&lt;&gt;"Tier 1",IFERROR(INDEX('Daily Workforce'!$M$6:$M$205,MATCH('Daily Schedule'!$F$38,'Daily Workforce'!$B$6:$B$205,0)),"N")="Y",COUNTIF($HJ$1:HJ3,'Daily Schedule'!$F$38)=0),IFERROR(INDEX('Daily Workforce'!$V$6:$V$205,MATCH('Daily Schedule'!$F$38,'Daily Workforce'!$B$6:$B$205,0)),0)*1000+38,999999999)</f>
        <v>38</v>
      </c>
      <c r="IS4" s="1" t="n">
        <f aca="false">IF(AND('Daily Schedule'!$F$39&lt;&gt;"",'Daily Schedule'!$H$39="5:45 AM",'Daily Schedule'!$D$39&lt;&gt;"Tier 1",IFERROR(INDEX('Daily Workforce'!$M$6:$M$205,MATCH('Daily Schedule'!$F$39,'Daily Workforce'!$B$6:$B$205,0)),"N")="Y",COUNTIF($HJ$1:HJ3,'Daily Schedule'!$F$39)=0),IFERROR(INDEX('Daily Workforce'!$V$6:$V$205,MATCH('Daily Schedule'!$F$39,'Daily Workforce'!$B$6:$B$205,0)),0)*1000+39,999999999)</f>
        <v>39</v>
      </c>
      <c r="IT4" s="1" t="n">
        <f aca="false">IF(AND('Daily Schedule'!$F$40&lt;&gt;"",'Daily Schedule'!$H$40="5:45 AM",'Daily Schedule'!$D$40&lt;&gt;"Tier 1",IFERROR(INDEX('Daily Workforce'!$M$6:$M$205,MATCH('Daily Schedule'!$F$40,'Daily Workforce'!$B$6:$B$205,0)),"N")="Y",COUNTIF($HJ$1:HJ3,'Daily Schedule'!$F$40)=0),IFERROR(INDEX('Daily Workforce'!$V$6:$V$205,MATCH('Daily Schedule'!$F$40,'Daily Workforce'!$B$6:$B$205,0)),0)*1000+40,999999999)</f>
        <v>40</v>
      </c>
      <c r="IU4" s="1" t="n">
        <f aca="false">IF(AND('Daily Schedule'!$F$41&lt;&gt;"",'Daily Schedule'!$H$41="5:45 AM",'Daily Schedule'!$D$41&lt;&gt;"Tier 1",IFERROR(INDEX('Daily Workforce'!$M$6:$M$205,MATCH('Daily Schedule'!$F$41,'Daily Workforce'!$B$6:$B$205,0)),"N")="Y",COUNTIF($HJ$1:HJ3,'Daily Schedule'!$F$41)=0),IFERROR(INDEX('Daily Workforce'!$V$6:$V$205,MATCH('Daily Schedule'!$F$41,'Daily Workforce'!$B$6:$B$205,0)),0)*1000+41,999999999)</f>
        <v>41</v>
      </c>
      <c r="IV4" s="1" t="n">
        <f aca="false">IF(AND('Daily Schedule'!$F$42&lt;&gt;"",'Daily Schedule'!$H$42="5:45 AM",'Daily Schedule'!$D$42&lt;&gt;"Tier 1",IFERROR(INDEX('Daily Workforce'!$M$6:$M$205,MATCH('Daily Schedule'!$F$42,'Daily Workforce'!$B$6:$B$205,0)),"N")="Y",COUNTIF($HJ$1:HJ3,'Daily Schedule'!$F$42)=0),IFERROR(INDEX('Daily Workforce'!$V$6:$V$205,MATCH('Daily Schedule'!$F$42,'Daily Workforce'!$B$6:$B$205,0)),0)*1000+42,999999999)</f>
        <v>42</v>
      </c>
      <c r="IW4" s="1" t="n">
        <f aca="false">IF(AND('Daily Schedule'!$F$43&lt;&gt;"",'Daily Schedule'!$H$43="5:45 AM",'Daily Schedule'!$D$43&lt;&gt;"Tier 1",IFERROR(INDEX('Daily Workforce'!$M$6:$M$205,MATCH('Daily Schedule'!$F$43,'Daily Workforce'!$B$6:$B$205,0)),"N")="Y",COUNTIF($HJ$1:HJ3,'Daily Schedule'!$F$43)=0),IFERROR(INDEX('Daily Workforce'!$V$6:$V$205,MATCH('Daily Schedule'!$F$43,'Daily Workforce'!$B$6:$B$205,0)),0)*1000+43,999999999)</f>
        <v>43</v>
      </c>
      <c r="IX4" s="1" t="n">
        <f aca="false">IF(AND('Daily Schedule'!$F$44&lt;&gt;"",'Daily Schedule'!$H$44="5:45 AM",'Daily Schedule'!$D$44&lt;&gt;"Tier 1",IFERROR(INDEX('Daily Workforce'!$M$6:$M$205,MATCH('Daily Schedule'!$F$44,'Daily Workforce'!$B$6:$B$205,0)),"N")="Y",COUNTIF($HJ$1:HJ3,'Daily Schedule'!$F$44)=0),IFERROR(INDEX('Daily Workforce'!$V$6:$V$205,MATCH('Daily Schedule'!$F$44,'Daily Workforce'!$B$6:$B$205,0)),0)*1000+44,999999999)</f>
        <v>44</v>
      </c>
      <c r="IY4" s="1" t="n">
        <f aca="false">IF(AND('Daily Schedule'!$F$45&lt;&gt;"",'Daily Schedule'!$H$45="5:45 AM",'Daily Schedule'!$D$45&lt;&gt;"Tier 1",IFERROR(INDEX('Daily Workforce'!$M$6:$M$205,MATCH('Daily Schedule'!$F$45,'Daily Workforce'!$B$6:$B$205,0)),"N")="Y",COUNTIF($HJ$1:HJ3,'Daily Schedule'!$F$45)=0),IFERROR(INDEX('Daily Workforce'!$V$6:$V$205,MATCH('Daily Schedule'!$F$45,'Daily Workforce'!$B$6:$B$205,0)),0)*1000+45,999999999)</f>
        <v>45</v>
      </c>
      <c r="IZ4" s="1" t="n">
        <f aca="false">IF(AND('Daily Schedule'!$F$46&lt;&gt;"",'Daily Schedule'!$H$46="5:45 AM",'Daily Schedule'!$D$46&lt;&gt;"Tier 1",IFERROR(INDEX('Daily Workforce'!$M$6:$M$205,MATCH('Daily Schedule'!$F$46,'Daily Workforce'!$B$6:$B$205,0)),"N")="Y",COUNTIF($HJ$1:HJ3,'Daily Schedule'!$F$46)=0),IFERROR(INDEX('Daily Workforce'!$V$6:$V$205,MATCH('Daily Schedule'!$F$46,'Daily Workforce'!$B$6:$B$205,0)),0)*1000+46,999999999)</f>
        <v>46</v>
      </c>
      <c r="JA4" s="1" t="n">
        <f aca="false">IF(AND('Daily Schedule'!$F$47&lt;&gt;"",'Daily Schedule'!$H$47="5:45 AM",'Daily Schedule'!$D$47&lt;&gt;"Tier 1",IFERROR(INDEX('Daily Workforce'!$M$6:$M$205,MATCH('Daily Schedule'!$F$47,'Daily Workforce'!$B$6:$B$205,0)),"N")="Y",COUNTIF($HJ$1:HJ3,'Daily Schedule'!$F$47)=0),IFERROR(INDEX('Daily Workforce'!$V$6:$V$205,MATCH('Daily Schedule'!$F$47,'Daily Workforce'!$B$6:$B$205,0)),0)*1000+47,999999999)</f>
        <v>47</v>
      </c>
      <c r="JB4" s="1" t="n">
        <f aca="false">IF(AND('Daily Schedule'!$F$48&lt;&gt;"",'Daily Schedule'!$H$48="5:45 AM",'Daily Schedule'!$D$48&lt;&gt;"Tier 1",IFERROR(INDEX('Daily Workforce'!$M$6:$M$205,MATCH('Daily Schedule'!$F$48,'Daily Workforce'!$B$6:$B$205,0)),"N")="Y",COUNTIF($HJ$1:HJ3,'Daily Schedule'!$F$48)=0),IFERROR(INDEX('Daily Workforce'!$V$6:$V$205,MATCH('Daily Schedule'!$F$48,'Daily Workforce'!$B$6:$B$205,0)),0)*1000+48,999999999)</f>
        <v>48</v>
      </c>
      <c r="JC4" s="1" t="n">
        <f aca="false">IF(AND('Daily Schedule'!$F$49&lt;&gt;"",'Daily Schedule'!$H$49="5:45 AM",'Daily Schedule'!$D$49&lt;&gt;"Tier 1",IFERROR(INDEX('Daily Workforce'!$M$6:$M$205,MATCH('Daily Schedule'!$F$49,'Daily Workforce'!$B$6:$B$205,0)),"N")="Y",COUNTIF($HJ$1:HJ3,'Daily Schedule'!$F$49)=0),IFERROR(INDEX('Daily Workforce'!$V$6:$V$205,MATCH('Daily Schedule'!$F$49,'Daily Workforce'!$B$6:$B$205,0)),0)*1000+49,999999999)</f>
        <v>49</v>
      </c>
      <c r="JD4" s="1" t="n">
        <f aca="false">IF(AND('Daily Schedule'!$F$50&lt;&gt;"",'Daily Schedule'!$H$50="5:45 AM",'Daily Schedule'!$D$50&lt;&gt;"Tier 1",IFERROR(INDEX('Daily Workforce'!$M$6:$M$205,MATCH('Daily Schedule'!$F$50,'Daily Workforce'!$B$6:$B$205,0)),"N")="Y",COUNTIF($HJ$1:HJ3,'Daily Schedule'!$F$50)=0),IFERROR(INDEX('Daily Workforce'!$V$6:$V$205,MATCH('Daily Schedule'!$F$50,'Daily Workforce'!$B$6:$B$205,0)),0)*1000+50,999999999)</f>
        <v>50</v>
      </c>
      <c r="JE4" s="1" t="n">
        <f aca="false">IF(AND('Daily Schedule'!$F$51&lt;&gt;"",'Daily Schedule'!$H$51="5:45 AM",'Daily Schedule'!$D$51&lt;&gt;"Tier 1",IFERROR(INDEX('Daily Workforce'!$M$6:$M$205,MATCH('Daily Schedule'!$F$51,'Daily Workforce'!$B$6:$B$205,0)),"N")="Y",COUNTIF($HJ$1:HJ3,'Daily Schedule'!$F$51)=0),IFERROR(INDEX('Daily Workforce'!$V$6:$V$205,MATCH('Daily Schedule'!$F$51,'Daily Workforce'!$B$6:$B$205,0)),0)*1000+51,999999999)</f>
        <v>51</v>
      </c>
      <c r="JF4" s="1" t="n">
        <f aca="false">IF(AND('Daily Schedule'!$F$52&lt;&gt;"",'Daily Schedule'!$H$52="5:45 AM",'Daily Schedule'!$D$52&lt;&gt;"Tier 1",IFERROR(INDEX('Daily Workforce'!$M$6:$M$205,MATCH('Daily Schedule'!$F$52,'Daily Workforce'!$B$6:$B$205,0)),"N")="Y",COUNTIF($HJ$1:HJ3,'Daily Schedule'!$F$52)=0),IFERROR(INDEX('Daily Workforce'!$V$6:$V$205,MATCH('Daily Schedule'!$F$52,'Daily Workforce'!$B$6:$B$205,0)),0)*1000+52,999999999)</f>
        <v>52</v>
      </c>
      <c r="JG4" s="1" t="n">
        <f aca="false">IF(AND('Daily Schedule'!$F$53&lt;&gt;"",'Daily Schedule'!$H$53="5:45 AM",'Daily Schedule'!$D$53&lt;&gt;"Tier 1",IFERROR(INDEX('Daily Workforce'!$M$6:$M$205,MATCH('Daily Schedule'!$F$53,'Daily Workforce'!$B$6:$B$205,0)),"N")="Y",COUNTIF($HJ$1:HJ3,'Daily Schedule'!$F$53)=0),IFERROR(INDEX('Daily Workforce'!$V$6:$V$205,MATCH('Daily Schedule'!$F$53,'Daily Workforce'!$B$6:$B$205,0)),0)*1000+53,999999999)</f>
        <v>53</v>
      </c>
      <c r="JH4" s="1" t="n">
        <f aca="false">IF(AND('Daily Schedule'!$F$54&lt;&gt;"",'Daily Schedule'!$H$54="5:45 AM",'Daily Schedule'!$D$54&lt;&gt;"Tier 1",IFERROR(INDEX('Daily Workforce'!$M$6:$M$205,MATCH('Daily Schedule'!$F$54,'Daily Workforce'!$B$6:$B$205,0)),"N")="Y",COUNTIF($HJ$1:HJ3,'Daily Schedule'!$F$54)=0),IFERROR(INDEX('Daily Workforce'!$V$6:$V$205,MATCH('Daily Schedule'!$F$54,'Daily Workforce'!$B$6:$B$205,0)),0)*1000+54,999999999)</f>
        <v>54</v>
      </c>
      <c r="JI4" s="1" t="n">
        <f aca="false">IF(AND('Daily Schedule'!$F$55&lt;&gt;"",'Daily Schedule'!$H$55="5:45 AM",'Daily Schedule'!$D$55&lt;&gt;"Tier 1",IFERROR(INDEX('Daily Workforce'!$M$6:$M$205,MATCH('Daily Schedule'!$F$55,'Daily Workforce'!$B$6:$B$205,0)),"N")="Y",COUNTIF($HJ$1:HJ3,'Daily Schedule'!$F$55)=0),IFERROR(INDEX('Daily Workforce'!$V$6:$V$205,MATCH('Daily Schedule'!$F$55,'Daily Workforce'!$B$6:$B$205,0)),0)*1000+55,999999999)</f>
        <v>55</v>
      </c>
      <c r="JJ4" s="1" t="n">
        <f aca="false">IF(AND('Daily Schedule'!$F$56&lt;&gt;"",'Daily Schedule'!$H$56="5:45 AM",'Daily Schedule'!$D$56&lt;&gt;"Tier 1",IFERROR(INDEX('Daily Workforce'!$M$6:$M$205,MATCH('Daily Schedule'!$F$56,'Daily Workforce'!$B$6:$B$205,0)),"N")="Y",COUNTIF($HJ$1:HJ3,'Daily Schedule'!$F$56)=0),IFERROR(INDEX('Daily Workforce'!$V$6:$V$205,MATCH('Daily Schedule'!$F$56,'Daily Workforce'!$B$6:$B$205,0)),0)*1000+56,999999999)</f>
        <v>56</v>
      </c>
      <c r="JK4" s="1" t="n">
        <f aca="false">IF(AND('Daily Schedule'!$F$57&lt;&gt;"",'Daily Schedule'!$H$57="5:45 AM",'Daily Schedule'!$D$57&lt;&gt;"Tier 1",IFERROR(INDEX('Daily Workforce'!$M$6:$M$205,MATCH('Daily Schedule'!$F$57,'Daily Workforce'!$B$6:$B$205,0)),"N")="Y",COUNTIF($HJ$1:HJ3,'Daily Schedule'!$F$57)=0),IFERROR(INDEX('Daily Workforce'!$V$6:$V$205,MATCH('Daily Schedule'!$F$57,'Daily Workforce'!$B$6:$B$205,0)),0)*1000+57,999999999)</f>
        <v>57</v>
      </c>
      <c r="JL4" s="1" t="n">
        <v>48</v>
      </c>
      <c r="JM4" s="1" t="str">
        <f aca="false">$HJ4</f>
        <v>EMP-0026</v>
      </c>
      <c r="JN4" s="1" t="str">
        <f aca="false">IF($JM4="","",IFERROR(INDEX('Daily Schedule'!$N$6:$N$57,MATCH($JM4,'Daily Schedule'!$F$6:$F$57,0)),""))</f>
        <v>10:00 AM</v>
      </c>
      <c r="JO4" s="1" t="str">
        <f aca="false">IF(MIN(JS4:LR4)&gt;=999999999,"",IFERROR(INDEX('Daily Schedule'!$F$6:$F$57,MATCH(MIN(JS4:LR4),JS4:LR4,0)),""))</f>
        <v>EMP-0095</v>
      </c>
      <c r="JP4" s="1" t="n">
        <f aca="false">IF($JO4="","",IFERROR(INDEX('Daily Schedule'!$A$6:$A$57,MATCH($JO4,'Daily Schedule'!$F$6:$F$57,0)),""))</f>
        <v>12</v>
      </c>
      <c r="JQ4" s="1" t="str">
        <f aca="false">IF($JO4="","",IFERROR(INDEX('Daily Schedule'!$N$6:$N$57,MATCH($JO4,'Daily Schedule'!$F$6:$F$57,0)),""))</f>
        <v>9:00 AM</v>
      </c>
      <c r="JR4" s="1" t="str">
        <f aca="false">IF($JM4="","CORE GAP",IF($JO4="","RELIEF GAP",IF($JN4=$JQ4,"LUNCH CONFLICT","COVERED")))</f>
        <v>COVERED</v>
      </c>
      <c r="JS4" s="1" t="n">
        <f aca="false">IF(AND($JM4&lt;&gt;"",'Daily Schedule'!$F$6&lt;&gt;"",'Daily Schedule'!$H$6="5:45 AM",'Daily Schedule'!$D$6&lt;&gt;"Tier 1",'Daily Schedule'!$N$6&lt;&gt;$JN4,IFERROR(INDEX('Daily Workforce'!$M$6:$M$205,MATCH('Daily Schedule'!$F$6,'Daily Workforce'!$B$6:$B$205,0)),"N")="Y",COUNTIF($HJ$2:$HJ$8,'Daily Schedule'!$F$6)=0,COUNTIF($JO$1:JO3,'Daily Schedule'!$F$6)=0),IF('Daily Schedule'!$D$6="Tier 4",0,IF('Daily Schedule'!$D$6="Tier 3",1,2))*10000000+IFERROR(INDEX('Daily Workforce'!$V$6:$V$205,MATCH('Daily Schedule'!$F$6,'Daily Workforce'!$B$6:$B$205,0)),0)*1000+6,999999999)</f>
        <v>999999999</v>
      </c>
      <c r="JT4" s="1" t="n">
        <f aca="false">IF(AND($JM4&lt;&gt;"",'Daily Schedule'!$F$7&lt;&gt;"",'Daily Schedule'!$H$7="5:45 AM",'Daily Schedule'!$D$7&lt;&gt;"Tier 1",'Daily Schedule'!$N$7&lt;&gt;$JN4,IFERROR(INDEX('Daily Workforce'!$M$6:$M$205,MATCH('Daily Schedule'!$F$7,'Daily Workforce'!$B$6:$B$205,0)),"N")="Y",COUNTIF($HJ$2:$HJ$8,'Daily Schedule'!$F$7)=0,COUNTIF($JO$1:JO3,'Daily Schedule'!$F$7)=0),IF('Daily Schedule'!$D$7="Tier 4",0,IF('Daily Schedule'!$D$7="Tier 3",1,2))*10000000+IFERROR(INDEX('Daily Workforce'!$V$6:$V$205,MATCH('Daily Schedule'!$F$7,'Daily Workforce'!$B$6:$B$205,0)),0)*1000+7,999999999)</f>
        <v>999999999</v>
      </c>
      <c r="JU4" s="1" t="n">
        <f aca="false">IF(AND($JM4&lt;&gt;"",'Daily Schedule'!$F$8&lt;&gt;"",'Daily Schedule'!$H$8="5:45 AM",'Daily Schedule'!$D$8&lt;&gt;"Tier 1",'Daily Schedule'!$N$8&lt;&gt;$JN4,IFERROR(INDEX('Daily Workforce'!$M$6:$M$205,MATCH('Daily Schedule'!$F$8,'Daily Workforce'!$B$6:$B$205,0)),"N")="Y",COUNTIF($HJ$2:$HJ$8,'Daily Schedule'!$F$8)=0,COUNTIF($JO$1:JO3,'Daily Schedule'!$F$8)=0),IF('Daily Schedule'!$D$8="Tier 4",0,IF('Daily Schedule'!$D$8="Tier 3",1,2))*10000000+IFERROR(INDEX('Daily Workforce'!$V$6:$V$205,MATCH('Daily Schedule'!$F$8,'Daily Workforce'!$B$6:$B$205,0)),0)*1000+8,999999999)</f>
        <v>999999999</v>
      </c>
      <c r="JV4" s="1" t="n">
        <f aca="false">IF(AND($JM4&lt;&gt;"",'Daily Schedule'!$F$9&lt;&gt;"",'Daily Schedule'!$H$9="5:45 AM",'Daily Schedule'!$D$9&lt;&gt;"Tier 1",'Daily Schedule'!$N$9&lt;&gt;$JN4,IFERROR(INDEX('Daily Workforce'!$M$6:$M$205,MATCH('Daily Schedule'!$F$9,'Daily Workforce'!$B$6:$B$205,0)),"N")="Y",COUNTIF($HJ$2:$HJ$8,'Daily Schedule'!$F$9)=0,COUNTIF($JO$1:JO3,'Daily Schedule'!$F$9)=0),IF('Daily Schedule'!$D$9="Tier 4",0,IF('Daily Schedule'!$D$9="Tier 3",1,2))*10000000+IFERROR(INDEX('Daily Workforce'!$V$6:$V$205,MATCH('Daily Schedule'!$F$9,'Daily Workforce'!$B$6:$B$205,0)),0)*1000+9,999999999)</f>
        <v>999999999</v>
      </c>
      <c r="JW4" s="1" t="n">
        <f aca="false">IF(AND($JM4&lt;&gt;"",'Daily Schedule'!$F$10&lt;&gt;"",'Daily Schedule'!$H$10="5:45 AM",'Daily Schedule'!$D$10&lt;&gt;"Tier 1",'Daily Schedule'!$N$10&lt;&gt;$JN4,IFERROR(INDEX('Daily Workforce'!$M$6:$M$205,MATCH('Daily Schedule'!$F$10,'Daily Workforce'!$B$6:$B$205,0)),"N")="Y",COUNTIF($HJ$2:$HJ$8,'Daily Schedule'!$F$10)=0,COUNTIF($JO$1:JO3,'Daily Schedule'!$F$10)=0),IF('Daily Schedule'!$D$10="Tier 4",0,IF('Daily Schedule'!$D$10="Tier 3",1,2))*10000000+IFERROR(INDEX('Daily Workforce'!$V$6:$V$205,MATCH('Daily Schedule'!$F$10,'Daily Workforce'!$B$6:$B$205,0)),0)*1000+10,999999999)</f>
        <v>999999999</v>
      </c>
      <c r="JX4" s="1" t="n">
        <f aca="false">IF(AND($JM4&lt;&gt;"",'Daily Schedule'!$F$11&lt;&gt;"",'Daily Schedule'!$H$11="5:45 AM",'Daily Schedule'!$D$11&lt;&gt;"Tier 1",'Daily Schedule'!$N$11&lt;&gt;$JN4,IFERROR(INDEX('Daily Workforce'!$M$6:$M$205,MATCH('Daily Schedule'!$F$11,'Daily Workforce'!$B$6:$B$205,0)),"N")="Y",COUNTIF($HJ$2:$HJ$8,'Daily Schedule'!$F$11)=0,COUNTIF($JO$1:JO3,'Daily Schedule'!$F$11)=0),IF('Daily Schedule'!$D$11="Tier 4",0,IF('Daily Schedule'!$D$11="Tier 3",1,2))*10000000+IFERROR(INDEX('Daily Workforce'!$V$6:$V$205,MATCH('Daily Schedule'!$F$11,'Daily Workforce'!$B$6:$B$205,0)),0)*1000+11,999999999)</f>
        <v>999999999</v>
      </c>
      <c r="JY4" s="1" t="n">
        <f aca="false">IF(AND($JM4&lt;&gt;"",'Daily Schedule'!$F$12&lt;&gt;"",'Daily Schedule'!$H$12="5:45 AM",'Daily Schedule'!$D$12&lt;&gt;"Tier 1",'Daily Schedule'!$N$12&lt;&gt;$JN4,IFERROR(INDEX('Daily Workforce'!$M$6:$M$205,MATCH('Daily Schedule'!$F$12,'Daily Workforce'!$B$6:$B$205,0)),"N")="Y",COUNTIF($HJ$2:$HJ$8,'Daily Schedule'!$F$12)=0,COUNTIF($JO$1:JO3,'Daily Schedule'!$F$12)=0),IF('Daily Schedule'!$D$12="Tier 4",0,IF('Daily Schedule'!$D$12="Tier 3",1,2))*10000000+IFERROR(INDEX('Daily Workforce'!$V$6:$V$205,MATCH('Daily Schedule'!$F$12,'Daily Workforce'!$B$6:$B$205,0)),0)*1000+12,999999999)</f>
        <v>999999999</v>
      </c>
      <c r="JZ4" s="1" t="n">
        <f aca="false">IF(AND($JM4&lt;&gt;"",'Daily Schedule'!$F$13&lt;&gt;"",'Daily Schedule'!$H$13="5:45 AM",'Daily Schedule'!$D$13&lt;&gt;"Tier 1",'Daily Schedule'!$N$13&lt;&gt;$JN4,IFERROR(INDEX('Daily Workforce'!$M$6:$M$205,MATCH('Daily Schedule'!$F$13,'Daily Workforce'!$B$6:$B$205,0)),"N")="Y",COUNTIF($HJ$2:$HJ$8,'Daily Schedule'!$F$13)=0,COUNTIF($JO$1:JO3,'Daily Schedule'!$F$13)=0),IF('Daily Schedule'!$D$13="Tier 4",0,IF('Daily Schedule'!$D$13="Tier 3",1,2))*10000000+IFERROR(INDEX('Daily Workforce'!$V$6:$V$205,MATCH('Daily Schedule'!$F$13,'Daily Workforce'!$B$6:$B$205,0)),0)*1000+13,999999999)</f>
        <v>999999999</v>
      </c>
      <c r="KA4" s="1" t="n">
        <f aca="false">IF(AND($JM4&lt;&gt;"",'Daily Schedule'!$F$14&lt;&gt;"",'Daily Schedule'!$H$14="5:45 AM",'Daily Schedule'!$D$14&lt;&gt;"Tier 1",'Daily Schedule'!$N$14&lt;&gt;$JN4,IFERROR(INDEX('Daily Workforce'!$M$6:$M$205,MATCH('Daily Schedule'!$F$14,'Daily Workforce'!$B$6:$B$205,0)),"N")="Y",COUNTIF($HJ$2:$HJ$8,'Daily Schedule'!$F$14)=0,COUNTIF($JO$1:JO3,'Daily Schedule'!$F$14)=0),IF('Daily Schedule'!$D$14="Tier 4",0,IF('Daily Schedule'!$D$14="Tier 3",1,2))*10000000+IFERROR(INDEX('Daily Workforce'!$V$6:$V$205,MATCH('Daily Schedule'!$F$14,'Daily Workforce'!$B$6:$B$205,0)),0)*1000+14,999999999)</f>
        <v>999999999</v>
      </c>
      <c r="KB4" s="1" t="n">
        <f aca="false">IF(AND($JM4&lt;&gt;"",'Daily Schedule'!$F$15&lt;&gt;"",'Daily Schedule'!$H$15="5:45 AM",'Daily Schedule'!$D$15&lt;&gt;"Tier 1",'Daily Schedule'!$N$15&lt;&gt;$JN4,IFERROR(INDEX('Daily Workforce'!$M$6:$M$205,MATCH('Daily Schedule'!$F$15,'Daily Workforce'!$B$6:$B$205,0)),"N")="Y",COUNTIF($HJ$2:$HJ$8,'Daily Schedule'!$F$15)=0,COUNTIF($JO$1:JO3,'Daily Schedule'!$F$15)=0),IF('Daily Schedule'!$D$15="Tier 4",0,IF('Daily Schedule'!$D$15="Tier 3",1,2))*10000000+IFERROR(INDEX('Daily Workforce'!$V$6:$V$205,MATCH('Daily Schedule'!$F$15,'Daily Workforce'!$B$6:$B$205,0)),0)*1000+15,999999999)</f>
        <v>999999999</v>
      </c>
      <c r="KC4" s="1" t="n">
        <f aca="false">IF(AND($JM4&lt;&gt;"",'Daily Schedule'!$F$16&lt;&gt;"",'Daily Schedule'!$H$16="5:45 AM",'Daily Schedule'!$D$16&lt;&gt;"Tier 1",'Daily Schedule'!$N$16&lt;&gt;$JN4,IFERROR(INDEX('Daily Workforce'!$M$6:$M$205,MATCH('Daily Schedule'!$F$16,'Daily Workforce'!$B$6:$B$205,0)),"N")="Y",COUNTIF($HJ$2:$HJ$8,'Daily Schedule'!$F$16)=0,COUNTIF($JO$1:JO3,'Daily Schedule'!$F$16)=0),IF('Daily Schedule'!$D$16="Tier 4",0,IF('Daily Schedule'!$D$16="Tier 3",1,2))*10000000+IFERROR(INDEX('Daily Workforce'!$V$6:$V$205,MATCH('Daily Schedule'!$F$16,'Daily Workforce'!$B$6:$B$205,0)),0)*1000+16,999999999)</f>
        <v>999999999</v>
      </c>
      <c r="KD4" s="1" t="n">
        <f aca="false">IF(AND($JM4&lt;&gt;"",'Daily Schedule'!$F$17&lt;&gt;"",'Daily Schedule'!$H$17="5:45 AM",'Daily Schedule'!$D$17&lt;&gt;"Tier 1",'Daily Schedule'!$N$17&lt;&gt;$JN4,IFERROR(INDEX('Daily Workforce'!$M$6:$M$205,MATCH('Daily Schedule'!$F$17,'Daily Workforce'!$B$6:$B$205,0)),"N")="Y",COUNTIF($HJ$2:$HJ$8,'Daily Schedule'!$F$17)=0,COUNTIF($JO$1:JO3,'Daily Schedule'!$F$17)=0),IF('Daily Schedule'!$D$17="Tier 4",0,IF('Daily Schedule'!$D$17="Tier 3",1,2))*10000000+IFERROR(INDEX('Daily Workforce'!$V$6:$V$205,MATCH('Daily Schedule'!$F$17,'Daily Workforce'!$B$6:$B$205,0)),0)*1000+17,999999999)</f>
        <v>999999999</v>
      </c>
      <c r="KE4" s="1" t="n">
        <f aca="false">IF(AND($JM4&lt;&gt;"",'Daily Schedule'!$F$18&lt;&gt;"",'Daily Schedule'!$H$18="5:45 AM",'Daily Schedule'!$D$18&lt;&gt;"Tier 1",'Daily Schedule'!$N$18&lt;&gt;$JN4,IFERROR(INDEX('Daily Workforce'!$M$6:$M$205,MATCH('Daily Schedule'!$F$18,'Daily Workforce'!$B$6:$B$205,0)),"N")="Y",COUNTIF($HJ$2:$HJ$8,'Daily Schedule'!$F$18)=0,COUNTIF($JO$1:JO3,'Daily Schedule'!$F$18)=0),IF('Daily Schedule'!$D$18="Tier 4",0,IF('Daily Schedule'!$D$18="Tier 3",1,2))*10000000+IFERROR(INDEX('Daily Workforce'!$V$6:$V$205,MATCH('Daily Schedule'!$F$18,'Daily Workforce'!$B$6:$B$205,0)),0)*1000+18,999999999)</f>
        <v>999999999</v>
      </c>
      <c r="KF4" s="1" t="n">
        <f aca="false">IF(AND($JM4&lt;&gt;"",'Daily Schedule'!$F$19&lt;&gt;"",'Daily Schedule'!$H$19="5:45 AM",'Daily Schedule'!$D$19&lt;&gt;"Tier 1",'Daily Schedule'!$N$19&lt;&gt;$JN4,IFERROR(INDEX('Daily Workforce'!$M$6:$M$205,MATCH('Daily Schedule'!$F$19,'Daily Workforce'!$B$6:$B$205,0)),"N")="Y",COUNTIF($HJ$2:$HJ$8,'Daily Schedule'!$F$19)=0,COUNTIF($JO$1:JO3,'Daily Schedule'!$F$19)=0),IF('Daily Schedule'!$D$19="Tier 4",0,IF('Daily Schedule'!$D$19="Tier 3",1,2))*10000000+IFERROR(INDEX('Daily Workforce'!$V$6:$V$205,MATCH('Daily Schedule'!$F$19,'Daily Workforce'!$B$6:$B$205,0)),0)*1000+19,999999999)</f>
        <v>999999999</v>
      </c>
      <c r="KG4" s="1" t="n">
        <f aca="false">IF(AND($JM4&lt;&gt;"",'Daily Schedule'!$F$20&lt;&gt;"",'Daily Schedule'!$H$20="5:45 AM",'Daily Schedule'!$D$20&lt;&gt;"Tier 1",'Daily Schedule'!$N$20&lt;&gt;$JN4,IFERROR(INDEX('Daily Workforce'!$M$6:$M$205,MATCH('Daily Schedule'!$F$20,'Daily Workforce'!$B$6:$B$205,0)),"N")="Y",COUNTIF($HJ$2:$HJ$8,'Daily Schedule'!$F$20)=0,COUNTIF($JO$1:JO3,'Daily Schedule'!$F$20)=0),IF('Daily Schedule'!$D$20="Tier 4",0,IF('Daily Schedule'!$D$20="Tier 3",1,2))*10000000+IFERROR(INDEX('Daily Workforce'!$V$6:$V$205,MATCH('Daily Schedule'!$F$20,'Daily Workforce'!$B$6:$B$205,0)),0)*1000+20,999999999)</f>
        <v>999999999</v>
      </c>
      <c r="KH4" s="1" t="n">
        <f aca="false">IF(AND($JM4&lt;&gt;"",'Daily Schedule'!$F$21&lt;&gt;"",'Daily Schedule'!$H$21="5:45 AM",'Daily Schedule'!$D$21&lt;&gt;"Tier 1",'Daily Schedule'!$N$21&lt;&gt;$JN4,IFERROR(INDEX('Daily Workforce'!$M$6:$M$205,MATCH('Daily Schedule'!$F$21,'Daily Workforce'!$B$6:$B$205,0)),"N")="Y",COUNTIF($HJ$2:$HJ$8,'Daily Schedule'!$F$21)=0,COUNTIF($JO$1:JO3,'Daily Schedule'!$F$21)=0),IF('Daily Schedule'!$D$21="Tier 4",0,IF('Daily Schedule'!$D$21="Tier 3",1,2))*10000000+IFERROR(INDEX('Daily Workforce'!$V$6:$V$205,MATCH('Daily Schedule'!$F$21,'Daily Workforce'!$B$6:$B$205,0)),0)*1000+21,999999999)</f>
        <v>999999999</v>
      </c>
      <c r="KI4" s="1" t="n">
        <f aca="false">IF(AND($JM4&lt;&gt;"",'Daily Schedule'!$F$22&lt;&gt;"",'Daily Schedule'!$H$22="5:45 AM",'Daily Schedule'!$D$22&lt;&gt;"Tier 1",'Daily Schedule'!$N$22&lt;&gt;$JN4,IFERROR(INDEX('Daily Workforce'!$M$6:$M$205,MATCH('Daily Schedule'!$F$22,'Daily Workforce'!$B$6:$B$205,0)),"N")="Y",COUNTIF($HJ$2:$HJ$8,'Daily Schedule'!$F$22)=0,COUNTIF($JO$1:JO3,'Daily Schedule'!$F$22)=0),IF('Daily Schedule'!$D$22="Tier 4",0,IF('Daily Schedule'!$D$22="Tier 3",1,2))*10000000+IFERROR(INDEX('Daily Workforce'!$V$6:$V$205,MATCH('Daily Schedule'!$F$22,'Daily Workforce'!$B$6:$B$205,0)),0)*1000+22,999999999)</f>
        <v>999999999</v>
      </c>
      <c r="KJ4" s="1" t="n">
        <f aca="false">IF(AND($JM4&lt;&gt;"",'Daily Schedule'!$F$23&lt;&gt;"",'Daily Schedule'!$H$23="5:45 AM",'Daily Schedule'!$D$23&lt;&gt;"Tier 1",'Daily Schedule'!$N$23&lt;&gt;$JN4,IFERROR(INDEX('Daily Workforce'!$M$6:$M$205,MATCH('Daily Schedule'!$F$23,'Daily Workforce'!$B$6:$B$205,0)),"N")="Y",COUNTIF($HJ$2:$HJ$8,'Daily Schedule'!$F$23)=0,COUNTIF($JO$1:JO3,'Daily Schedule'!$F$23)=0),IF('Daily Schedule'!$D$23="Tier 4",0,IF('Daily Schedule'!$D$23="Tier 3",1,2))*10000000+IFERROR(INDEX('Daily Workforce'!$V$6:$V$205,MATCH('Daily Schedule'!$F$23,'Daily Workforce'!$B$6:$B$205,0)),0)*1000+23,999999999)</f>
        <v>999999999</v>
      </c>
      <c r="KK4" s="1" t="n">
        <f aca="false">IF(AND($JM4&lt;&gt;"",'Daily Schedule'!$F$24&lt;&gt;"",'Daily Schedule'!$H$24="5:45 AM",'Daily Schedule'!$D$24&lt;&gt;"Tier 1",'Daily Schedule'!$N$24&lt;&gt;$JN4,IFERROR(INDEX('Daily Workforce'!$M$6:$M$205,MATCH('Daily Schedule'!$F$24,'Daily Workforce'!$B$6:$B$205,0)),"N")="Y",COUNTIF($HJ$2:$HJ$8,'Daily Schedule'!$F$24)=0,COUNTIF($JO$1:JO3,'Daily Schedule'!$F$24)=0),IF('Daily Schedule'!$D$24="Tier 4",0,IF('Daily Schedule'!$D$24="Tier 3",1,2))*10000000+IFERROR(INDEX('Daily Workforce'!$V$6:$V$205,MATCH('Daily Schedule'!$F$24,'Daily Workforce'!$B$6:$B$205,0)),0)*1000+24,999999999)</f>
        <v>999999999</v>
      </c>
      <c r="KL4" s="1" t="n">
        <f aca="false">IF(AND($JM4&lt;&gt;"",'Daily Schedule'!$F$25&lt;&gt;"",'Daily Schedule'!$H$25="5:45 AM",'Daily Schedule'!$D$25&lt;&gt;"Tier 1",'Daily Schedule'!$N$25&lt;&gt;$JN4,IFERROR(INDEX('Daily Workforce'!$M$6:$M$205,MATCH('Daily Schedule'!$F$25,'Daily Workforce'!$B$6:$B$205,0)),"N")="Y",COUNTIF($HJ$2:$HJ$8,'Daily Schedule'!$F$25)=0,COUNTIF($JO$1:JO3,'Daily Schedule'!$F$25)=0),IF('Daily Schedule'!$D$25="Tier 4",0,IF('Daily Schedule'!$D$25="Tier 3",1,2))*10000000+IFERROR(INDEX('Daily Workforce'!$V$6:$V$205,MATCH('Daily Schedule'!$F$25,'Daily Workforce'!$B$6:$B$205,0)),0)*1000+25,999999999)</f>
        <v>999999999</v>
      </c>
      <c r="KM4" s="1" t="n">
        <f aca="false">IF(AND($JM4&lt;&gt;"",'Daily Schedule'!$F$26&lt;&gt;"",'Daily Schedule'!$H$26="5:45 AM",'Daily Schedule'!$D$26&lt;&gt;"Tier 1",'Daily Schedule'!$N$26&lt;&gt;$JN4,IFERROR(INDEX('Daily Workforce'!$M$6:$M$205,MATCH('Daily Schedule'!$F$26,'Daily Workforce'!$B$6:$B$205,0)),"N")="Y",COUNTIF($HJ$2:$HJ$8,'Daily Schedule'!$F$26)=0,COUNTIF($JO$1:JO3,'Daily Schedule'!$F$26)=0),IF('Daily Schedule'!$D$26="Tier 4",0,IF('Daily Schedule'!$D$26="Tier 3",1,2))*10000000+IFERROR(INDEX('Daily Workforce'!$V$6:$V$205,MATCH('Daily Schedule'!$F$26,'Daily Workforce'!$B$6:$B$205,0)),0)*1000+26,999999999)</f>
        <v>999999999</v>
      </c>
      <c r="KN4" s="1" t="n">
        <f aca="false">IF(AND($JM4&lt;&gt;"",'Daily Schedule'!$F$27&lt;&gt;"",'Daily Schedule'!$H$27="5:45 AM",'Daily Schedule'!$D$27&lt;&gt;"Tier 1",'Daily Schedule'!$N$27&lt;&gt;$JN4,IFERROR(INDEX('Daily Workforce'!$M$6:$M$205,MATCH('Daily Schedule'!$F$27,'Daily Workforce'!$B$6:$B$205,0)),"N")="Y",COUNTIF($HJ$2:$HJ$8,'Daily Schedule'!$F$27)=0,COUNTIF($JO$1:JO3,'Daily Schedule'!$F$27)=0),IF('Daily Schedule'!$D$27="Tier 4",0,IF('Daily Schedule'!$D$27="Tier 3",1,2))*10000000+IFERROR(INDEX('Daily Workforce'!$V$6:$V$205,MATCH('Daily Schedule'!$F$27,'Daily Workforce'!$B$6:$B$205,0)),0)*1000+27,999999999)</f>
        <v>999999999</v>
      </c>
      <c r="KO4" s="1" t="n">
        <f aca="false">IF(AND($JM4&lt;&gt;"",'Daily Schedule'!$F$28&lt;&gt;"",'Daily Schedule'!$H$28="5:45 AM",'Daily Schedule'!$D$28&lt;&gt;"Tier 1",'Daily Schedule'!$N$28&lt;&gt;$JN4,IFERROR(INDEX('Daily Workforce'!$M$6:$M$205,MATCH('Daily Schedule'!$F$28,'Daily Workforce'!$B$6:$B$205,0)),"N")="Y",COUNTIF($HJ$2:$HJ$8,'Daily Schedule'!$F$28)=0,COUNTIF($JO$1:JO3,'Daily Schedule'!$F$28)=0),IF('Daily Schedule'!$D$28="Tier 4",0,IF('Daily Schedule'!$D$28="Tier 3",1,2))*10000000+IFERROR(INDEX('Daily Workforce'!$V$6:$V$205,MATCH('Daily Schedule'!$F$28,'Daily Workforce'!$B$6:$B$205,0)),0)*1000+28,999999999)</f>
        <v>999999999</v>
      </c>
      <c r="KP4" s="1" t="n">
        <f aca="false">IF(AND($JM4&lt;&gt;"",'Daily Schedule'!$F$29&lt;&gt;"",'Daily Schedule'!$H$29="5:45 AM",'Daily Schedule'!$D$29&lt;&gt;"Tier 1",'Daily Schedule'!$N$29&lt;&gt;$JN4,IFERROR(INDEX('Daily Workforce'!$M$6:$M$205,MATCH('Daily Schedule'!$F$29,'Daily Workforce'!$B$6:$B$205,0)),"N")="Y",COUNTIF($HJ$2:$HJ$8,'Daily Schedule'!$F$29)=0,COUNTIF($JO$1:JO3,'Daily Schedule'!$F$29)=0),IF('Daily Schedule'!$D$29="Tier 4",0,IF('Daily Schedule'!$D$29="Tier 3",1,2))*10000000+IFERROR(INDEX('Daily Workforce'!$V$6:$V$205,MATCH('Daily Schedule'!$F$29,'Daily Workforce'!$B$6:$B$205,0)),0)*1000+29,999999999)</f>
        <v>999999999</v>
      </c>
      <c r="KQ4" s="1" t="n">
        <f aca="false">IF(AND($JM4&lt;&gt;"",'Daily Schedule'!$F$30&lt;&gt;"",'Daily Schedule'!$H$30="5:45 AM",'Daily Schedule'!$D$30&lt;&gt;"Tier 1",'Daily Schedule'!$N$30&lt;&gt;$JN4,IFERROR(INDEX('Daily Workforce'!$M$6:$M$205,MATCH('Daily Schedule'!$F$30,'Daily Workforce'!$B$6:$B$205,0)),"N")="Y",COUNTIF($HJ$2:$HJ$8,'Daily Schedule'!$F$30)=0,COUNTIF($JO$1:JO3,'Daily Schedule'!$F$30)=0),IF('Daily Schedule'!$D$30="Tier 4",0,IF('Daily Schedule'!$D$30="Tier 3",1,2))*10000000+IFERROR(INDEX('Daily Workforce'!$V$6:$V$205,MATCH('Daily Schedule'!$F$30,'Daily Workforce'!$B$6:$B$205,0)),0)*1000+30,999999999)</f>
        <v>999999999</v>
      </c>
      <c r="KR4" s="1" t="n">
        <f aca="false">IF(AND($JM4&lt;&gt;"",'Daily Schedule'!$F$31&lt;&gt;"",'Daily Schedule'!$H$31="5:45 AM",'Daily Schedule'!$D$31&lt;&gt;"Tier 1",'Daily Schedule'!$N$31&lt;&gt;$JN4,IFERROR(INDEX('Daily Workforce'!$M$6:$M$205,MATCH('Daily Schedule'!$F$31,'Daily Workforce'!$B$6:$B$205,0)),"N")="Y",COUNTIF($HJ$2:$HJ$8,'Daily Schedule'!$F$31)=0,COUNTIF($JO$1:JO3,'Daily Schedule'!$F$31)=0),IF('Daily Schedule'!$D$31="Tier 4",0,IF('Daily Schedule'!$D$31="Tier 3",1,2))*10000000+IFERROR(INDEX('Daily Workforce'!$V$6:$V$205,MATCH('Daily Schedule'!$F$31,'Daily Workforce'!$B$6:$B$205,0)),0)*1000+31,999999999)</f>
        <v>999999999</v>
      </c>
      <c r="KS4" s="1" t="n">
        <f aca="false">IF(AND($JM4&lt;&gt;"",'Daily Schedule'!$F$32&lt;&gt;"",'Daily Schedule'!$H$32="5:45 AM",'Daily Schedule'!$D$32&lt;&gt;"Tier 1",'Daily Schedule'!$N$32&lt;&gt;$JN4,IFERROR(INDEX('Daily Workforce'!$M$6:$M$205,MATCH('Daily Schedule'!$F$32,'Daily Workforce'!$B$6:$B$205,0)),"N")="Y",COUNTIF($HJ$2:$HJ$8,'Daily Schedule'!$F$32)=0,COUNTIF($JO$1:JO3,'Daily Schedule'!$F$32)=0),IF('Daily Schedule'!$D$32="Tier 4",0,IF('Daily Schedule'!$D$32="Tier 3",1,2))*10000000+IFERROR(INDEX('Daily Workforce'!$V$6:$V$205,MATCH('Daily Schedule'!$F$32,'Daily Workforce'!$B$6:$B$205,0)),0)*1000+32,999999999)</f>
        <v>999999999</v>
      </c>
      <c r="KT4" s="1" t="n">
        <f aca="false">IF(AND($JM4&lt;&gt;"",'Daily Schedule'!$F$33&lt;&gt;"",'Daily Schedule'!$H$33="5:45 AM",'Daily Schedule'!$D$33&lt;&gt;"Tier 1",'Daily Schedule'!$N$33&lt;&gt;$JN4,IFERROR(INDEX('Daily Workforce'!$M$6:$M$205,MATCH('Daily Schedule'!$F$33,'Daily Workforce'!$B$6:$B$205,0)),"N")="Y",COUNTIF($HJ$2:$HJ$8,'Daily Schedule'!$F$33)=0,COUNTIF($JO$1:JO3,'Daily Schedule'!$F$33)=0),IF('Daily Schedule'!$D$33="Tier 4",0,IF('Daily Schedule'!$D$33="Tier 3",1,2))*10000000+IFERROR(INDEX('Daily Workforce'!$V$6:$V$205,MATCH('Daily Schedule'!$F$33,'Daily Workforce'!$B$6:$B$205,0)),0)*1000+33,999999999)</f>
        <v>999999999</v>
      </c>
      <c r="KU4" s="1" t="n">
        <f aca="false">IF(AND($JM4&lt;&gt;"",'Daily Schedule'!$F$34&lt;&gt;"",'Daily Schedule'!$H$34="5:45 AM",'Daily Schedule'!$D$34&lt;&gt;"Tier 1",'Daily Schedule'!$N$34&lt;&gt;$JN4,IFERROR(INDEX('Daily Workforce'!$M$6:$M$205,MATCH('Daily Schedule'!$F$34,'Daily Workforce'!$B$6:$B$205,0)),"N")="Y",COUNTIF($HJ$2:$HJ$8,'Daily Schedule'!$F$34)=0,COUNTIF($JO$1:JO3,'Daily Schedule'!$F$34)=0),IF('Daily Schedule'!$D$34="Tier 4",0,IF('Daily Schedule'!$D$34="Tier 3",1,2))*10000000+IFERROR(INDEX('Daily Workforce'!$V$6:$V$205,MATCH('Daily Schedule'!$F$34,'Daily Workforce'!$B$6:$B$205,0)),0)*1000+34,999999999)</f>
        <v>999999999</v>
      </c>
      <c r="KV4" s="1" t="n">
        <f aca="false">IF(AND($JM4&lt;&gt;"",'Daily Schedule'!$F$35&lt;&gt;"",'Daily Schedule'!$H$35="5:45 AM",'Daily Schedule'!$D$35&lt;&gt;"Tier 1",'Daily Schedule'!$N$35&lt;&gt;$JN4,IFERROR(INDEX('Daily Workforce'!$M$6:$M$205,MATCH('Daily Schedule'!$F$35,'Daily Workforce'!$B$6:$B$205,0)),"N")="Y",COUNTIF($HJ$2:$HJ$8,'Daily Schedule'!$F$35)=0,COUNTIF($JO$1:JO3,'Daily Schedule'!$F$35)=0),IF('Daily Schedule'!$D$35="Tier 4",0,IF('Daily Schedule'!$D$35="Tier 3",1,2))*10000000+IFERROR(INDEX('Daily Workforce'!$V$6:$V$205,MATCH('Daily Schedule'!$F$35,'Daily Workforce'!$B$6:$B$205,0)),0)*1000+35,999999999)</f>
        <v>999999999</v>
      </c>
      <c r="KW4" s="1" t="n">
        <f aca="false">IF(AND($JM4&lt;&gt;"",'Daily Schedule'!$F$36&lt;&gt;"",'Daily Schedule'!$H$36="5:45 AM",'Daily Schedule'!$D$36&lt;&gt;"Tier 1",'Daily Schedule'!$N$36&lt;&gt;$JN4,IFERROR(INDEX('Daily Workforce'!$M$6:$M$205,MATCH('Daily Schedule'!$F$36,'Daily Workforce'!$B$6:$B$205,0)),"N")="Y",COUNTIF($HJ$2:$HJ$8,'Daily Schedule'!$F$36)=0,COUNTIF($JO$1:JO3,'Daily Schedule'!$F$36)=0),IF('Daily Schedule'!$D$36="Tier 4",0,IF('Daily Schedule'!$D$36="Tier 3",1,2))*10000000+IFERROR(INDEX('Daily Workforce'!$V$6:$V$205,MATCH('Daily Schedule'!$F$36,'Daily Workforce'!$B$6:$B$205,0)),0)*1000+36,999999999)</f>
        <v>999999999</v>
      </c>
      <c r="KX4" s="1" t="n">
        <f aca="false">IF(AND($JM4&lt;&gt;"",'Daily Schedule'!$F$37&lt;&gt;"",'Daily Schedule'!$H$37="5:45 AM",'Daily Schedule'!$D$37&lt;&gt;"Tier 1",'Daily Schedule'!$N$37&lt;&gt;$JN4,IFERROR(INDEX('Daily Workforce'!$M$6:$M$205,MATCH('Daily Schedule'!$F$37,'Daily Workforce'!$B$6:$B$205,0)),"N")="Y",COUNTIF($HJ$2:$HJ$8,'Daily Schedule'!$F$37)=0,COUNTIF($JO$1:JO3,'Daily Schedule'!$F$37)=0),IF('Daily Schedule'!$D$37="Tier 4",0,IF('Daily Schedule'!$D$37="Tier 3",1,2))*10000000+IFERROR(INDEX('Daily Workforce'!$V$6:$V$205,MATCH('Daily Schedule'!$F$37,'Daily Workforce'!$B$6:$B$205,0)),0)*1000+37,999999999)</f>
        <v>20000037</v>
      </c>
      <c r="KY4" s="1" t="n">
        <f aca="false">IF(AND($JM4&lt;&gt;"",'Daily Schedule'!$F$38&lt;&gt;"",'Daily Schedule'!$H$38="5:45 AM",'Daily Schedule'!$D$38&lt;&gt;"Tier 1",'Daily Schedule'!$N$38&lt;&gt;$JN4,IFERROR(INDEX('Daily Workforce'!$M$6:$M$205,MATCH('Daily Schedule'!$F$38,'Daily Workforce'!$B$6:$B$205,0)),"N")="Y",COUNTIF($HJ$2:$HJ$8,'Daily Schedule'!$F$38)=0,COUNTIF($JO$1:JO3,'Daily Schedule'!$F$38)=0),IF('Daily Schedule'!$D$38="Tier 4",0,IF('Daily Schedule'!$D$38="Tier 3",1,2))*10000000+IFERROR(INDEX('Daily Workforce'!$V$6:$V$205,MATCH('Daily Schedule'!$F$38,'Daily Workforce'!$B$6:$B$205,0)),0)*1000+38,999999999)</f>
        <v>999999999</v>
      </c>
      <c r="KZ4" s="1" t="n">
        <f aca="false">IF(AND($JM4&lt;&gt;"",'Daily Schedule'!$F$39&lt;&gt;"",'Daily Schedule'!$H$39="5:45 AM",'Daily Schedule'!$D$39&lt;&gt;"Tier 1",'Daily Schedule'!$N$39&lt;&gt;$JN4,IFERROR(INDEX('Daily Workforce'!$M$6:$M$205,MATCH('Daily Schedule'!$F$39,'Daily Workforce'!$B$6:$B$205,0)),"N")="Y",COUNTIF($HJ$2:$HJ$8,'Daily Schedule'!$F$39)=0,COUNTIF($JO$1:JO3,'Daily Schedule'!$F$39)=0),IF('Daily Schedule'!$D$39="Tier 4",0,IF('Daily Schedule'!$D$39="Tier 3",1,2))*10000000+IFERROR(INDEX('Daily Workforce'!$V$6:$V$205,MATCH('Daily Schedule'!$F$39,'Daily Workforce'!$B$6:$B$205,0)),0)*1000+39,999999999)</f>
        <v>999999999</v>
      </c>
      <c r="LA4" s="1" t="n">
        <f aca="false">IF(AND($JM4&lt;&gt;"",'Daily Schedule'!$F$40&lt;&gt;"",'Daily Schedule'!$H$40="5:45 AM",'Daily Schedule'!$D$40&lt;&gt;"Tier 1",'Daily Schedule'!$N$40&lt;&gt;$JN4,IFERROR(INDEX('Daily Workforce'!$M$6:$M$205,MATCH('Daily Schedule'!$F$40,'Daily Workforce'!$B$6:$B$205,0)),"N")="Y",COUNTIF($HJ$2:$HJ$8,'Daily Schedule'!$F$40)=0,COUNTIF($JO$1:JO3,'Daily Schedule'!$F$40)=0),IF('Daily Schedule'!$D$40="Tier 4",0,IF('Daily Schedule'!$D$40="Tier 3",1,2))*10000000+IFERROR(INDEX('Daily Workforce'!$V$6:$V$205,MATCH('Daily Schedule'!$F$40,'Daily Workforce'!$B$6:$B$205,0)),0)*1000+40,999999999)</f>
        <v>10000040</v>
      </c>
      <c r="LB4" s="1" t="n">
        <f aca="false">IF(AND($JM4&lt;&gt;"",'Daily Schedule'!$F$41&lt;&gt;"",'Daily Schedule'!$H$41="5:45 AM",'Daily Schedule'!$D$41&lt;&gt;"Tier 1",'Daily Schedule'!$N$41&lt;&gt;$JN4,IFERROR(INDEX('Daily Workforce'!$M$6:$M$205,MATCH('Daily Schedule'!$F$41,'Daily Workforce'!$B$6:$B$205,0)),"N")="Y",COUNTIF($HJ$2:$HJ$8,'Daily Schedule'!$F$41)=0,COUNTIF($JO$1:JO3,'Daily Schedule'!$F$41)=0),IF('Daily Schedule'!$D$41="Tier 4",0,IF('Daily Schedule'!$D$41="Tier 3",1,2))*10000000+IFERROR(INDEX('Daily Workforce'!$V$6:$V$205,MATCH('Daily Schedule'!$F$41,'Daily Workforce'!$B$6:$B$205,0)),0)*1000+41,999999999)</f>
        <v>999999999</v>
      </c>
      <c r="LC4" s="1" t="n">
        <f aca="false">IF(AND($JM4&lt;&gt;"",'Daily Schedule'!$F$42&lt;&gt;"",'Daily Schedule'!$H$42="5:45 AM",'Daily Schedule'!$D$42&lt;&gt;"Tier 1",'Daily Schedule'!$N$42&lt;&gt;$JN4,IFERROR(INDEX('Daily Workforce'!$M$6:$M$205,MATCH('Daily Schedule'!$F$42,'Daily Workforce'!$B$6:$B$205,0)),"N")="Y",COUNTIF($HJ$2:$HJ$8,'Daily Schedule'!$F$42)=0,COUNTIF($JO$1:JO3,'Daily Schedule'!$F$42)=0),IF('Daily Schedule'!$D$42="Tier 4",0,IF('Daily Schedule'!$D$42="Tier 3",1,2))*10000000+IFERROR(INDEX('Daily Workforce'!$V$6:$V$205,MATCH('Daily Schedule'!$F$42,'Daily Workforce'!$B$6:$B$205,0)),0)*1000+42,999999999)</f>
        <v>999999999</v>
      </c>
      <c r="LD4" s="1" t="n">
        <f aca="false">IF(AND($JM4&lt;&gt;"",'Daily Schedule'!$F$43&lt;&gt;"",'Daily Schedule'!$H$43="5:45 AM",'Daily Schedule'!$D$43&lt;&gt;"Tier 1",'Daily Schedule'!$N$43&lt;&gt;$JN4,IFERROR(INDEX('Daily Workforce'!$M$6:$M$205,MATCH('Daily Schedule'!$F$43,'Daily Workforce'!$B$6:$B$205,0)),"N")="Y",COUNTIF($HJ$2:$HJ$8,'Daily Schedule'!$F$43)=0,COUNTIF($JO$1:JO3,'Daily Schedule'!$F$43)=0),IF('Daily Schedule'!$D$43="Tier 4",0,IF('Daily Schedule'!$D$43="Tier 3",1,2))*10000000+IFERROR(INDEX('Daily Workforce'!$V$6:$V$205,MATCH('Daily Schedule'!$F$43,'Daily Workforce'!$B$6:$B$205,0)),0)*1000+43,999999999)</f>
        <v>999999999</v>
      </c>
      <c r="LE4" s="1" t="n">
        <f aca="false">IF(AND($JM4&lt;&gt;"",'Daily Schedule'!$F$44&lt;&gt;"",'Daily Schedule'!$H$44="5:45 AM",'Daily Schedule'!$D$44&lt;&gt;"Tier 1",'Daily Schedule'!$N$44&lt;&gt;$JN4,IFERROR(INDEX('Daily Workforce'!$M$6:$M$205,MATCH('Daily Schedule'!$F$44,'Daily Workforce'!$B$6:$B$205,0)),"N")="Y",COUNTIF($HJ$2:$HJ$8,'Daily Schedule'!$F$44)=0,COUNTIF($JO$1:JO3,'Daily Schedule'!$F$44)=0),IF('Daily Schedule'!$D$44="Tier 4",0,IF('Daily Schedule'!$D$44="Tier 3",1,2))*10000000+IFERROR(INDEX('Daily Workforce'!$V$6:$V$205,MATCH('Daily Schedule'!$F$44,'Daily Workforce'!$B$6:$B$205,0)),0)*1000+44,999999999)</f>
        <v>999999999</v>
      </c>
      <c r="LF4" s="1" t="n">
        <f aca="false">IF(AND($JM4&lt;&gt;"",'Daily Schedule'!$F$45&lt;&gt;"",'Daily Schedule'!$H$45="5:45 AM",'Daily Schedule'!$D$45&lt;&gt;"Tier 1",'Daily Schedule'!$N$45&lt;&gt;$JN4,IFERROR(INDEX('Daily Workforce'!$M$6:$M$205,MATCH('Daily Schedule'!$F$45,'Daily Workforce'!$B$6:$B$205,0)),"N")="Y",COUNTIF($HJ$2:$HJ$8,'Daily Schedule'!$F$45)=0,COUNTIF($JO$1:JO3,'Daily Schedule'!$F$45)=0),IF('Daily Schedule'!$D$45="Tier 4",0,IF('Daily Schedule'!$D$45="Tier 3",1,2))*10000000+IFERROR(INDEX('Daily Workforce'!$V$6:$V$205,MATCH('Daily Schedule'!$F$45,'Daily Workforce'!$B$6:$B$205,0)),0)*1000+45,999999999)</f>
        <v>999999999</v>
      </c>
      <c r="LG4" s="1" t="n">
        <f aca="false">IF(AND($JM4&lt;&gt;"",'Daily Schedule'!$F$46&lt;&gt;"",'Daily Schedule'!$H$46="5:45 AM",'Daily Schedule'!$D$46&lt;&gt;"Tier 1",'Daily Schedule'!$N$46&lt;&gt;$JN4,IFERROR(INDEX('Daily Workforce'!$M$6:$M$205,MATCH('Daily Schedule'!$F$46,'Daily Workforce'!$B$6:$B$205,0)),"N")="Y",COUNTIF($HJ$2:$HJ$8,'Daily Schedule'!$F$46)=0,COUNTIF($JO$1:JO3,'Daily Schedule'!$F$46)=0),IF('Daily Schedule'!$D$46="Tier 4",0,IF('Daily Schedule'!$D$46="Tier 3",1,2))*10000000+IFERROR(INDEX('Daily Workforce'!$V$6:$V$205,MATCH('Daily Schedule'!$F$46,'Daily Workforce'!$B$6:$B$205,0)),0)*1000+46,999999999)</f>
        <v>46</v>
      </c>
      <c r="LH4" s="1" t="n">
        <f aca="false">IF(AND($JM4&lt;&gt;"",'Daily Schedule'!$F$47&lt;&gt;"",'Daily Schedule'!$H$47="5:45 AM",'Daily Schedule'!$D$47&lt;&gt;"Tier 1",'Daily Schedule'!$N$47&lt;&gt;$JN4,IFERROR(INDEX('Daily Workforce'!$M$6:$M$205,MATCH('Daily Schedule'!$F$47,'Daily Workforce'!$B$6:$B$205,0)),"N")="Y",COUNTIF($HJ$2:$HJ$8,'Daily Schedule'!$F$47)=0,COUNTIF($JO$1:JO3,'Daily Schedule'!$F$47)=0),IF('Daily Schedule'!$D$47="Tier 4",0,IF('Daily Schedule'!$D$47="Tier 3",1,2))*10000000+IFERROR(INDEX('Daily Workforce'!$V$6:$V$205,MATCH('Daily Schedule'!$F$47,'Daily Workforce'!$B$6:$B$205,0)),0)*1000+47,999999999)</f>
        <v>999999999</v>
      </c>
      <c r="LI4" s="1" t="n">
        <f aca="false">IF(AND($JM4&lt;&gt;"",'Daily Schedule'!$F$48&lt;&gt;"",'Daily Schedule'!$H$48="5:45 AM",'Daily Schedule'!$D$48&lt;&gt;"Tier 1",'Daily Schedule'!$N$48&lt;&gt;$JN4,IFERROR(INDEX('Daily Workforce'!$M$6:$M$205,MATCH('Daily Schedule'!$F$48,'Daily Workforce'!$B$6:$B$205,0)),"N")="Y",COUNTIF($HJ$2:$HJ$8,'Daily Schedule'!$F$48)=0,COUNTIF($JO$1:JO3,'Daily Schedule'!$F$48)=0),IF('Daily Schedule'!$D$48="Tier 4",0,IF('Daily Schedule'!$D$48="Tier 3",1,2))*10000000+IFERROR(INDEX('Daily Workforce'!$V$6:$V$205,MATCH('Daily Schedule'!$F$48,'Daily Workforce'!$B$6:$B$205,0)),0)*1000+48,999999999)</f>
        <v>999999999</v>
      </c>
      <c r="LJ4" s="1" t="n">
        <f aca="false">IF(AND($JM4&lt;&gt;"",'Daily Schedule'!$F$49&lt;&gt;"",'Daily Schedule'!$H$49="5:45 AM",'Daily Schedule'!$D$49&lt;&gt;"Tier 1",'Daily Schedule'!$N$49&lt;&gt;$JN4,IFERROR(INDEX('Daily Workforce'!$M$6:$M$205,MATCH('Daily Schedule'!$F$49,'Daily Workforce'!$B$6:$B$205,0)),"N")="Y",COUNTIF($HJ$2:$HJ$8,'Daily Schedule'!$F$49)=0,COUNTIF($JO$1:JO3,'Daily Schedule'!$F$49)=0),IF('Daily Schedule'!$D$49="Tier 4",0,IF('Daily Schedule'!$D$49="Tier 3",1,2))*10000000+IFERROR(INDEX('Daily Workforce'!$V$6:$V$205,MATCH('Daily Schedule'!$F$49,'Daily Workforce'!$B$6:$B$205,0)),0)*1000+49,999999999)</f>
        <v>49</v>
      </c>
      <c r="LK4" s="1" t="n">
        <f aca="false">IF(AND($JM4&lt;&gt;"",'Daily Schedule'!$F$50&lt;&gt;"",'Daily Schedule'!$H$50="5:45 AM",'Daily Schedule'!$D$50&lt;&gt;"Tier 1",'Daily Schedule'!$N$50&lt;&gt;$JN4,IFERROR(INDEX('Daily Workforce'!$M$6:$M$205,MATCH('Daily Schedule'!$F$50,'Daily Workforce'!$B$6:$B$205,0)),"N")="Y",COUNTIF($HJ$2:$HJ$8,'Daily Schedule'!$F$50)=0,COUNTIF($JO$1:JO3,'Daily Schedule'!$F$50)=0),IF('Daily Schedule'!$D$50="Tier 4",0,IF('Daily Schedule'!$D$50="Tier 3",1,2))*10000000+IFERROR(INDEX('Daily Workforce'!$V$6:$V$205,MATCH('Daily Schedule'!$F$50,'Daily Workforce'!$B$6:$B$205,0)),0)*1000+50,999999999)</f>
        <v>999999999</v>
      </c>
      <c r="LL4" s="1" t="n">
        <f aca="false">IF(AND($JM4&lt;&gt;"",'Daily Schedule'!$F$51&lt;&gt;"",'Daily Schedule'!$H$51="5:45 AM",'Daily Schedule'!$D$51&lt;&gt;"Tier 1",'Daily Schedule'!$N$51&lt;&gt;$JN4,IFERROR(INDEX('Daily Workforce'!$M$6:$M$205,MATCH('Daily Schedule'!$F$51,'Daily Workforce'!$B$6:$B$205,0)),"N")="Y",COUNTIF($HJ$2:$HJ$8,'Daily Schedule'!$F$51)=0,COUNTIF($JO$1:JO3,'Daily Schedule'!$F$51)=0),IF('Daily Schedule'!$D$51="Tier 4",0,IF('Daily Schedule'!$D$51="Tier 3",1,2))*10000000+IFERROR(INDEX('Daily Workforce'!$V$6:$V$205,MATCH('Daily Schedule'!$F$51,'Daily Workforce'!$B$6:$B$205,0)),0)*1000+51,999999999)</f>
        <v>999999999</v>
      </c>
      <c r="LM4" s="1" t="n">
        <f aca="false">IF(AND($JM4&lt;&gt;"",'Daily Schedule'!$F$52&lt;&gt;"",'Daily Schedule'!$H$52="5:45 AM",'Daily Schedule'!$D$52&lt;&gt;"Tier 1",'Daily Schedule'!$N$52&lt;&gt;$JN4,IFERROR(INDEX('Daily Workforce'!$M$6:$M$205,MATCH('Daily Schedule'!$F$52,'Daily Workforce'!$B$6:$B$205,0)),"N")="Y",COUNTIF($HJ$2:$HJ$8,'Daily Schedule'!$F$52)=0,COUNTIF($JO$1:JO3,'Daily Schedule'!$F$52)=0),IF('Daily Schedule'!$D$52="Tier 4",0,IF('Daily Schedule'!$D$52="Tier 3",1,2))*10000000+IFERROR(INDEX('Daily Workforce'!$V$6:$V$205,MATCH('Daily Schedule'!$F$52,'Daily Workforce'!$B$6:$B$205,0)),0)*1000+52,999999999)</f>
        <v>52</v>
      </c>
      <c r="LN4" s="1" t="n">
        <f aca="false">IF(AND($JM4&lt;&gt;"",'Daily Schedule'!$F$53&lt;&gt;"",'Daily Schedule'!$H$53="5:45 AM",'Daily Schedule'!$D$53&lt;&gt;"Tier 1",'Daily Schedule'!$N$53&lt;&gt;$JN4,IFERROR(INDEX('Daily Workforce'!$M$6:$M$205,MATCH('Daily Schedule'!$F$53,'Daily Workforce'!$B$6:$B$205,0)),"N")="Y",COUNTIF($HJ$2:$HJ$8,'Daily Schedule'!$F$53)=0,COUNTIF($JO$1:JO3,'Daily Schedule'!$F$53)=0),IF('Daily Schedule'!$D$53="Tier 4",0,IF('Daily Schedule'!$D$53="Tier 3",1,2))*10000000+IFERROR(INDEX('Daily Workforce'!$V$6:$V$205,MATCH('Daily Schedule'!$F$53,'Daily Workforce'!$B$6:$B$205,0)),0)*1000+53,999999999)</f>
        <v>999999999</v>
      </c>
      <c r="LO4" s="1" t="n">
        <f aca="false">IF(AND($JM4&lt;&gt;"",'Daily Schedule'!$F$54&lt;&gt;"",'Daily Schedule'!$H$54="5:45 AM",'Daily Schedule'!$D$54&lt;&gt;"Tier 1",'Daily Schedule'!$N$54&lt;&gt;$JN4,IFERROR(INDEX('Daily Workforce'!$M$6:$M$205,MATCH('Daily Schedule'!$F$54,'Daily Workforce'!$B$6:$B$205,0)),"N")="Y",COUNTIF($HJ$2:$HJ$8,'Daily Schedule'!$F$54)=0,COUNTIF($JO$1:JO3,'Daily Schedule'!$F$54)=0),IF('Daily Schedule'!$D$54="Tier 4",0,IF('Daily Schedule'!$D$54="Tier 3",1,2))*10000000+IFERROR(INDEX('Daily Workforce'!$V$6:$V$205,MATCH('Daily Schedule'!$F$54,'Daily Workforce'!$B$6:$B$205,0)),0)*1000+54,999999999)</f>
        <v>999999999</v>
      </c>
      <c r="LP4" s="1" t="n">
        <f aca="false">IF(AND($JM4&lt;&gt;"",'Daily Schedule'!$F$55&lt;&gt;"",'Daily Schedule'!$H$55="5:45 AM",'Daily Schedule'!$D$55&lt;&gt;"Tier 1",'Daily Schedule'!$N$55&lt;&gt;$JN4,IFERROR(INDEX('Daily Workforce'!$M$6:$M$205,MATCH('Daily Schedule'!$F$55,'Daily Workforce'!$B$6:$B$205,0)),"N")="Y",COUNTIF($HJ$2:$HJ$8,'Daily Schedule'!$F$55)=0,COUNTIF($JO$1:JO3,'Daily Schedule'!$F$55)=0),IF('Daily Schedule'!$D$55="Tier 4",0,IF('Daily Schedule'!$D$55="Tier 3",1,2))*10000000+IFERROR(INDEX('Daily Workforce'!$V$6:$V$205,MATCH('Daily Schedule'!$F$55,'Daily Workforce'!$B$6:$B$205,0)),0)*1000+55,999999999)</f>
        <v>55</v>
      </c>
      <c r="LQ4" s="1" t="n">
        <f aca="false">IF(AND($JM4&lt;&gt;"",'Daily Schedule'!$F$56&lt;&gt;"",'Daily Schedule'!$H$56="5:45 AM",'Daily Schedule'!$D$56&lt;&gt;"Tier 1",'Daily Schedule'!$N$56&lt;&gt;$JN4,IFERROR(INDEX('Daily Workforce'!$M$6:$M$205,MATCH('Daily Schedule'!$F$56,'Daily Workforce'!$B$6:$B$205,0)),"N")="Y",COUNTIF($HJ$2:$HJ$8,'Daily Schedule'!$F$56)=0,COUNTIF($JO$1:JO3,'Daily Schedule'!$F$56)=0),IF('Daily Schedule'!$D$56="Tier 4",0,IF('Daily Schedule'!$D$56="Tier 3",1,2))*10000000+IFERROR(INDEX('Daily Workforce'!$V$6:$V$205,MATCH('Daily Schedule'!$F$56,'Daily Workforce'!$B$6:$B$205,0)),0)*1000+56,999999999)</f>
        <v>999999999</v>
      </c>
      <c r="LR4" s="1" t="n">
        <f aca="false">IF(AND($JM4&lt;&gt;"",'Daily Schedule'!$F$57&lt;&gt;"",'Daily Schedule'!$H$57="5:45 AM",'Daily Schedule'!$D$57&lt;&gt;"Tier 1",'Daily Schedule'!$N$57&lt;&gt;$JN4,IFERROR(INDEX('Daily Workforce'!$M$6:$M$205,MATCH('Daily Schedule'!$F$57,'Daily Workforce'!$B$6:$B$205,0)),"N")="Y",COUNTIF($HJ$2:$HJ$8,'Daily Schedule'!$F$57)=0,COUNTIF($JO$1:JO3,'Daily Schedule'!$F$57)=0),IF('Daily Schedule'!$D$57="Tier 4",0,IF('Daily Schedule'!$D$57="Tier 3",1,2))*10000000+IFERROR(INDEX('Daily Workforce'!$V$6:$V$205,MATCH('Daily Schedule'!$F$57,'Daily Workforce'!$B$6:$B$205,0)),0)*1000+57,999999999)</f>
        <v>999999999</v>
      </c>
      <c r="LS4" s="1" t="s">
        <v>787</v>
      </c>
    </row>
    <row r="5" customFormat="false" ht="15" hidden="false" customHeight="true" outlineLevel="0" collapsed="false">
      <c r="A5" s="1" t="s">
        <v>74</v>
      </c>
      <c r="C5" s="1" t="s">
        <v>788</v>
      </c>
      <c r="E5" s="1" t="s">
        <v>466</v>
      </c>
      <c r="H5" s="1" t="s">
        <v>789</v>
      </c>
      <c r="J5" s="1" t="s">
        <v>467</v>
      </c>
      <c r="K5" s="1" t="s">
        <v>418</v>
      </c>
      <c r="L5" s="1" t="s">
        <v>467</v>
      </c>
      <c r="M5" s="1" t="s">
        <v>75</v>
      </c>
      <c r="O5" s="1" t="n">
        <f aca="false">IF(AND('Employee Master'!$G5="Y",ISERROR(SEARCH(TEXT('Daily Workforce'!$B$2,"ddd"),'Employee Master'!$D5)),IF('Daily Workforce'!$E$2="",TRUE(),'Employee Master'!$I5='Daily Workforce'!$E$2)),'Employee Master'!$K5*1000+ROW()-1,"")</f>
        <v>2004</v>
      </c>
      <c r="P5" s="1" t="n">
        <f aca="false">IF($O5="","",COUNTIF($O$2:$O$159,"&lt;="&amp;$O5))</f>
        <v>23</v>
      </c>
      <c r="Q5" s="1" t="n">
        <f aca="false">IF(AND('Daily Workforce'!$N6="Y",'Daily Workforce'!$B6&lt;&gt;"",COUNTIF('Daily Schedule'!$F$5:$F8,'Daily Workforce'!$B6)=0,'Daily Workforce'!$M6="Y",IF(OR('Daily Schedule'!$E$2="Full Day",'Daily Schedule'!$E$2="AM"),'Daily Workforce'!$D6="3:45 AM",IF('Daily Schedule'!$E$2="PM",'Daily Workforce'!$E6="PM",'Daily Workforce'!$E6="Overnight"))),'Daily Workforce'!$V6*1000+6,999999999)</f>
        <v>999999999</v>
      </c>
      <c r="R5" s="1" t="n">
        <f aca="false">IF(AND('Daily Workforce'!$N7="Y",'Daily Workforce'!$B7&lt;&gt;"",COUNTIF('Daily Schedule'!$F$5:$F8,'Daily Workforce'!$B7)=0,'Daily Workforce'!$M7="Y",IF(OR('Daily Schedule'!$E$2="Full Day",'Daily Schedule'!$E$2="AM"),'Daily Workforce'!$D7="3:45 AM",IF('Daily Schedule'!$E$2="PM",'Daily Workforce'!$E7="PM",'Daily Workforce'!$E7="Overnight"))),'Daily Workforce'!$V7*1000+7,999999999)</f>
        <v>999999999</v>
      </c>
      <c r="S5" s="1" t="n">
        <f aca="false">IF(AND('Daily Workforce'!$N8="Y",'Daily Workforce'!$B8&lt;&gt;"",COUNTIF('Daily Schedule'!$F$5:$F8,'Daily Workforce'!$B8)=0,'Daily Workforce'!$M8="Y",IF(OR('Daily Schedule'!$E$2="Full Day",'Daily Schedule'!$E$2="AM"),'Daily Workforce'!$D8="3:45 AM",IF('Daily Schedule'!$E$2="PM",'Daily Workforce'!$E8="PM",'Daily Workforce'!$E8="Overnight"))),'Daily Workforce'!$V8*1000+8,999999999)</f>
        <v>999999999</v>
      </c>
      <c r="T5" s="1" t="n">
        <f aca="false">IF(AND('Daily Workforce'!$N9="Y",'Daily Workforce'!$B9&lt;&gt;"",COUNTIF('Daily Schedule'!$F$5:$F8,'Daily Workforce'!$B9)=0,'Daily Workforce'!$M9="Y",IF(OR('Daily Schedule'!$E$2="Full Day",'Daily Schedule'!$E$2="AM"),'Daily Workforce'!$D9="3:45 AM",IF('Daily Schedule'!$E$2="PM",'Daily Workforce'!$E9="PM",'Daily Workforce'!$E9="Overnight"))),'Daily Workforce'!$V9*1000+9,999999999)</f>
        <v>9</v>
      </c>
      <c r="U5" s="1" t="n">
        <f aca="false">IF(AND('Daily Workforce'!$N10="Y",'Daily Workforce'!$B10&lt;&gt;"",COUNTIF('Daily Schedule'!$F$5:$F8,'Daily Workforce'!$B10)=0,'Daily Workforce'!$M10="Y",IF(OR('Daily Schedule'!$E$2="Full Day",'Daily Schedule'!$E$2="AM"),'Daily Workforce'!$D10="3:45 AM",IF('Daily Schedule'!$E$2="PM",'Daily Workforce'!$E10="PM",'Daily Workforce'!$E10="Overnight"))),'Daily Workforce'!$V10*1000+10,999999999)</f>
        <v>10</v>
      </c>
      <c r="V5" s="1" t="n">
        <f aca="false">IF(AND('Daily Workforce'!$N11="Y",'Daily Workforce'!$B11&lt;&gt;"",COUNTIF('Daily Schedule'!$F$5:$F8,'Daily Workforce'!$B11)=0,'Daily Workforce'!$M11="Y",IF(OR('Daily Schedule'!$E$2="Full Day",'Daily Schedule'!$E$2="AM"),'Daily Workforce'!$D11="3:45 AM",IF('Daily Schedule'!$E$2="PM",'Daily Workforce'!$E11="PM",'Daily Workforce'!$E11="Overnight"))),'Daily Workforce'!$V11*1000+11,999999999)</f>
        <v>11</v>
      </c>
      <c r="W5" s="1" t="n">
        <f aca="false">IF(AND('Daily Workforce'!$N12="Y",'Daily Workforce'!$B12&lt;&gt;"",COUNTIF('Daily Schedule'!$F$5:$F8,'Daily Workforce'!$B12)=0,'Daily Workforce'!$M12="Y",IF(OR('Daily Schedule'!$E$2="Full Day",'Daily Schedule'!$E$2="AM"),'Daily Workforce'!$D12="3:45 AM",IF('Daily Schedule'!$E$2="PM",'Daily Workforce'!$E12="PM",'Daily Workforce'!$E12="Overnight"))),'Daily Workforce'!$V12*1000+12,999999999)</f>
        <v>12</v>
      </c>
      <c r="X5" s="1" t="n">
        <f aca="false">IF(AND('Daily Workforce'!$N13="Y",'Daily Workforce'!$B13&lt;&gt;"",COUNTIF('Daily Schedule'!$F$5:$F8,'Daily Workforce'!$B13)=0,'Daily Workforce'!$M13="Y",IF(OR('Daily Schedule'!$E$2="Full Day",'Daily Schedule'!$E$2="AM"),'Daily Workforce'!$D13="3:45 AM",IF('Daily Schedule'!$E$2="PM",'Daily Workforce'!$E13="PM",'Daily Workforce'!$E13="Overnight"))),'Daily Workforce'!$V13*1000+13,999999999)</f>
        <v>13</v>
      </c>
      <c r="Y5" s="1" t="n">
        <f aca="false">IF(AND('Daily Workforce'!$N14="Y",'Daily Workforce'!$B14&lt;&gt;"",COUNTIF('Daily Schedule'!$F$5:$F8,'Daily Workforce'!$B14)=0,'Daily Workforce'!$M14="Y",IF(OR('Daily Schedule'!$E$2="Full Day",'Daily Schedule'!$E$2="AM"),'Daily Workforce'!$D14="3:45 AM",IF('Daily Schedule'!$E$2="PM",'Daily Workforce'!$E14="PM",'Daily Workforce'!$E14="Overnight"))),'Daily Workforce'!$V14*1000+14,999999999)</f>
        <v>14</v>
      </c>
      <c r="Z5" s="1" t="n">
        <f aca="false">IF(AND('Daily Workforce'!$N15="Y",'Daily Workforce'!$B15&lt;&gt;"",COUNTIF('Daily Schedule'!$F$5:$F8,'Daily Workforce'!$B15)=0,'Daily Workforce'!$M15="Y",IF(OR('Daily Schedule'!$E$2="Full Day",'Daily Schedule'!$E$2="AM"),'Daily Workforce'!$D15="3:45 AM",IF('Daily Schedule'!$E$2="PM",'Daily Workforce'!$E15="PM",'Daily Workforce'!$E15="Overnight"))),'Daily Workforce'!$V15*1000+15,999999999)</f>
        <v>999999999</v>
      </c>
      <c r="AA5" s="1" t="n">
        <f aca="false">IF(AND('Daily Workforce'!$N16="Y",'Daily Workforce'!$B16&lt;&gt;"",COUNTIF('Daily Schedule'!$F$5:$F8,'Daily Workforce'!$B16)=0,'Daily Workforce'!$M16="Y",IF(OR('Daily Schedule'!$E$2="Full Day",'Daily Schedule'!$E$2="AM"),'Daily Workforce'!$D16="3:45 AM",IF('Daily Schedule'!$E$2="PM",'Daily Workforce'!$E16="PM",'Daily Workforce'!$E16="Overnight"))),'Daily Workforce'!$V16*1000+16,999999999)</f>
        <v>16</v>
      </c>
      <c r="AB5" s="1" t="n">
        <f aca="false">IF(AND('Daily Workforce'!$N17="Y",'Daily Workforce'!$B17&lt;&gt;"",COUNTIF('Daily Schedule'!$F$5:$F8,'Daily Workforce'!$B17)=0,'Daily Workforce'!$M17="Y",IF(OR('Daily Schedule'!$E$2="Full Day",'Daily Schedule'!$E$2="AM"),'Daily Workforce'!$D17="3:45 AM",IF('Daily Schedule'!$E$2="PM",'Daily Workforce'!$E17="PM",'Daily Workforce'!$E17="Overnight"))),'Daily Workforce'!$V17*1000+17,999999999)</f>
        <v>17</v>
      </c>
      <c r="AC5" s="1" t="n">
        <f aca="false">IF(AND('Daily Workforce'!$N18="Y",'Daily Workforce'!$B18&lt;&gt;"",COUNTIF('Daily Schedule'!$F$5:$F8,'Daily Workforce'!$B18)=0,'Daily Workforce'!$M18="Y",IF(OR('Daily Schedule'!$E$2="Full Day",'Daily Schedule'!$E$2="AM"),'Daily Workforce'!$D18="3:45 AM",IF('Daily Schedule'!$E$2="PM",'Daily Workforce'!$E18="PM",'Daily Workforce'!$E18="Overnight"))),'Daily Workforce'!$V18*1000+18,999999999)</f>
        <v>18</v>
      </c>
      <c r="AD5" s="1" t="n">
        <f aca="false">IF(AND('Daily Workforce'!$N19="Y",'Daily Workforce'!$B19&lt;&gt;"",COUNTIF('Daily Schedule'!$F$5:$F8,'Daily Workforce'!$B19)=0,'Daily Workforce'!$M19="Y",IF(OR('Daily Schedule'!$E$2="Full Day",'Daily Schedule'!$E$2="AM"),'Daily Workforce'!$D19="3:45 AM",IF('Daily Schedule'!$E$2="PM",'Daily Workforce'!$E19="PM",'Daily Workforce'!$E19="Overnight"))),'Daily Workforce'!$V19*1000+19,999999999)</f>
        <v>19</v>
      </c>
      <c r="AE5" s="1" t="n">
        <f aca="false">IF(AND('Daily Workforce'!$N20="Y",'Daily Workforce'!$B20&lt;&gt;"",COUNTIF('Daily Schedule'!$F$5:$F8,'Daily Workforce'!$B20)=0,'Daily Workforce'!$M20="Y",IF(OR('Daily Schedule'!$E$2="Full Day",'Daily Schedule'!$E$2="AM"),'Daily Workforce'!$D20="3:45 AM",IF('Daily Schedule'!$E$2="PM",'Daily Workforce'!$E20="PM",'Daily Workforce'!$E20="Overnight"))),'Daily Workforce'!$V20*1000+20,999999999)</f>
        <v>20</v>
      </c>
      <c r="AF5" s="1" t="n">
        <f aca="false">IF(AND('Daily Workforce'!$N21="Y",'Daily Workforce'!$B21&lt;&gt;"",COUNTIF('Daily Schedule'!$F$5:$F8,'Daily Workforce'!$B21)=0,'Daily Workforce'!$M21="Y",IF(OR('Daily Schedule'!$E$2="Full Day",'Daily Schedule'!$E$2="AM"),'Daily Workforce'!$D21="3:45 AM",IF('Daily Schedule'!$E$2="PM",'Daily Workforce'!$E21="PM",'Daily Workforce'!$E21="Overnight"))),'Daily Workforce'!$V21*1000+21,999999999)</f>
        <v>21</v>
      </c>
      <c r="AG5" s="1" t="n">
        <f aca="false">IF(AND('Daily Workforce'!$N22="Y",'Daily Workforce'!$B22&lt;&gt;"",COUNTIF('Daily Schedule'!$F$5:$F8,'Daily Workforce'!$B22)=0,'Daily Workforce'!$M22="Y",IF(OR('Daily Schedule'!$E$2="Full Day",'Daily Schedule'!$E$2="AM"),'Daily Workforce'!$D22="3:45 AM",IF('Daily Schedule'!$E$2="PM",'Daily Workforce'!$E22="PM",'Daily Workforce'!$E22="Overnight"))),'Daily Workforce'!$V22*1000+22,999999999)</f>
        <v>22</v>
      </c>
      <c r="AH5" s="1" t="n">
        <f aca="false">IF(AND('Daily Workforce'!$N23="Y",'Daily Workforce'!$B23&lt;&gt;"",COUNTIF('Daily Schedule'!$F$5:$F8,'Daily Workforce'!$B23)=0,'Daily Workforce'!$M23="Y",IF(OR('Daily Schedule'!$E$2="Full Day",'Daily Schedule'!$E$2="AM"),'Daily Workforce'!$D23="3:45 AM",IF('Daily Schedule'!$E$2="PM",'Daily Workforce'!$E23="PM",'Daily Workforce'!$E23="Overnight"))),'Daily Workforce'!$V23*1000+23,999999999)</f>
        <v>23</v>
      </c>
      <c r="AI5" s="1" t="n">
        <f aca="false">IF(AND('Daily Workforce'!$N24="Y",'Daily Workforce'!$B24&lt;&gt;"",COUNTIF('Daily Schedule'!$F$5:$F8,'Daily Workforce'!$B24)=0,'Daily Workforce'!$M24="Y",IF(OR('Daily Schedule'!$E$2="Full Day",'Daily Schedule'!$E$2="AM"),'Daily Workforce'!$D24="3:45 AM",IF('Daily Schedule'!$E$2="PM",'Daily Workforce'!$E24="PM",'Daily Workforce'!$E24="Overnight"))),'Daily Workforce'!$V24*1000+24,999999999)</f>
        <v>24</v>
      </c>
      <c r="AJ5" s="1" t="n">
        <f aca="false">IF(AND('Daily Workforce'!$N25="Y",'Daily Workforce'!$B25&lt;&gt;"",COUNTIF('Daily Schedule'!$F$5:$F8,'Daily Workforce'!$B25)=0,'Daily Workforce'!$M25="Y",IF(OR('Daily Schedule'!$E$2="Full Day",'Daily Schedule'!$E$2="AM"),'Daily Workforce'!$D25="3:45 AM",IF('Daily Schedule'!$E$2="PM",'Daily Workforce'!$E25="PM",'Daily Workforce'!$E25="Overnight"))),'Daily Workforce'!$V25*1000+25,999999999)</f>
        <v>25</v>
      </c>
      <c r="AK5" s="1" t="n">
        <f aca="false">IF(AND('Daily Workforce'!$N26="Y",'Daily Workforce'!$B26&lt;&gt;"",COUNTIF('Daily Schedule'!$F$5:$F8,'Daily Workforce'!$B26)=0,'Daily Workforce'!$M26="Y",IF(OR('Daily Schedule'!$E$2="Full Day",'Daily Schedule'!$E$2="AM"),'Daily Workforce'!$D26="3:45 AM",IF('Daily Schedule'!$E$2="PM",'Daily Workforce'!$E26="PM",'Daily Workforce'!$E26="Overnight"))),'Daily Workforce'!$V26*1000+26,999999999)</f>
        <v>26</v>
      </c>
      <c r="AL5" s="1" t="n">
        <f aca="false">IF(AND('Daily Workforce'!$N27="Y",'Daily Workforce'!$B27&lt;&gt;"",COUNTIF('Daily Schedule'!$F$5:$F8,'Daily Workforce'!$B27)=0,'Daily Workforce'!$M27="Y",IF(OR('Daily Schedule'!$E$2="Full Day",'Daily Schedule'!$E$2="AM"),'Daily Workforce'!$D27="3:45 AM",IF('Daily Schedule'!$E$2="PM",'Daily Workforce'!$E27="PM",'Daily Workforce'!$E27="Overnight"))),'Daily Workforce'!$V27*1000+27,999999999)</f>
        <v>999999999</v>
      </c>
      <c r="AM5" s="1" t="n">
        <f aca="false">IF(AND('Daily Workforce'!$N28="Y",'Daily Workforce'!$B28&lt;&gt;"",COUNTIF('Daily Schedule'!$F$5:$F8,'Daily Workforce'!$B28)=0,'Daily Workforce'!$M28="Y",IF(OR('Daily Schedule'!$E$2="Full Day",'Daily Schedule'!$E$2="AM"),'Daily Workforce'!$D28="3:45 AM",IF('Daily Schedule'!$E$2="PM",'Daily Workforce'!$E28="PM",'Daily Workforce'!$E28="Overnight"))),'Daily Workforce'!$V28*1000+28,999999999)</f>
        <v>999999999</v>
      </c>
      <c r="AN5" s="1" t="n">
        <f aca="false">IF(AND('Daily Workforce'!$N29="Y",'Daily Workforce'!$B29&lt;&gt;"",COUNTIF('Daily Schedule'!$F$5:$F8,'Daily Workforce'!$B29)=0,'Daily Workforce'!$M29="Y",IF(OR('Daily Schedule'!$E$2="Full Day",'Daily Schedule'!$E$2="AM"),'Daily Workforce'!$D29="3:45 AM",IF('Daily Schedule'!$E$2="PM",'Daily Workforce'!$E29="PM",'Daily Workforce'!$E29="Overnight"))),'Daily Workforce'!$V29*1000+29,999999999)</f>
        <v>999999999</v>
      </c>
      <c r="AO5" s="1" t="n">
        <f aca="false">IF(AND('Daily Workforce'!$N30="Y",'Daily Workforce'!$B30&lt;&gt;"",COUNTIF('Daily Schedule'!$F$5:$F8,'Daily Workforce'!$B30)=0,'Daily Workforce'!$M30="Y",IF(OR('Daily Schedule'!$E$2="Full Day",'Daily Schedule'!$E$2="AM"),'Daily Workforce'!$D30="3:45 AM",IF('Daily Schedule'!$E$2="PM",'Daily Workforce'!$E30="PM",'Daily Workforce'!$E30="Overnight"))),'Daily Workforce'!$V30*1000+30,999999999)</f>
        <v>999999999</v>
      </c>
      <c r="AP5" s="1" t="n">
        <f aca="false">IF(AND('Daily Workforce'!$N31="Y",'Daily Workforce'!$B31&lt;&gt;"",COUNTIF('Daily Schedule'!$F$5:$F8,'Daily Workforce'!$B31)=0,'Daily Workforce'!$M31="Y",IF(OR('Daily Schedule'!$E$2="Full Day",'Daily Schedule'!$E$2="AM"),'Daily Workforce'!$D31="3:45 AM",IF('Daily Schedule'!$E$2="PM",'Daily Workforce'!$E31="PM",'Daily Workforce'!$E31="Overnight"))),'Daily Workforce'!$V31*1000+31,999999999)</f>
        <v>999999999</v>
      </c>
      <c r="AQ5" s="1" t="n">
        <f aca="false">IF(AND('Daily Workforce'!$N32="Y",'Daily Workforce'!$B32&lt;&gt;"",COUNTIF('Daily Schedule'!$F$5:$F8,'Daily Workforce'!$B32)=0,'Daily Workforce'!$M32="Y",IF(OR('Daily Schedule'!$E$2="Full Day",'Daily Schedule'!$E$2="AM"),'Daily Workforce'!$D32="3:45 AM",IF('Daily Schedule'!$E$2="PM",'Daily Workforce'!$E32="PM",'Daily Workforce'!$E32="Overnight"))),'Daily Workforce'!$V32*1000+32,999999999)</f>
        <v>999999999</v>
      </c>
      <c r="AR5" s="1" t="n">
        <f aca="false">IF(AND('Daily Workforce'!$N33="Y",'Daily Workforce'!$B33&lt;&gt;"",COUNTIF('Daily Schedule'!$F$5:$F8,'Daily Workforce'!$B33)=0,'Daily Workforce'!$M33="Y",IF(OR('Daily Schedule'!$E$2="Full Day",'Daily Schedule'!$E$2="AM"),'Daily Workforce'!$D33="3:45 AM",IF('Daily Schedule'!$E$2="PM",'Daily Workforce'!$E33="PM",'Daily Workforce'!$E33="Overnight"))),'Daily Workforce'!$V33*1000+33,999999999)</f>
        <v>999999999</v>
      </c>
      <c r="AS5" s="1" t="n">
        <f aca="false">IF(AND('Daily Workforce'!$N34="Y",'Daily Workforce'!$B34&lt;&gt;"",COUNTIF('Daily Schedule'!$F$5:$F8,'Daily Workforce'!$B34)=0,'Daily Workforce'!$M34="Y",IF(OR('Daily Schedule'!$E$2="Full Day",'Daily Schedule'!$E$2="AM"),'Daily Workforce'!$D34="3:45 AM",IF('Daily Schedule'!$E$2="PM",'Daily Workforce'!$E34="PM",'Daily Workforce'!$E34="Overnight"))),'Daily Workforce'!$V34*1000+34,999999999)</f>
        <v>999999999</v>
      </c>
      <c r="AT5" s="1" t="n">
        <f aca="false">IF(AND('Daily Workforce'!$N35="Y",'Daily Workforce'!$B35&lt;&gt;"",COUNTIF('Daily Schedule'!$F$5:$F8,'Daily Workforce'!$B35)=0,'Daily Workforce'!$M35="Y",IF(OR('Daily Schedule'!$E$2="Full Day",'Daily Schedule'!$E$2="AM"),'Daily Workforce'!$D35="3:45 AM",IF('Daily Schedule'!$E$2="PM",'Daily Workforce'!$E35="PM",'Daily Workforce'!$E35="Overnight"))),'Daily Workforce'!$V35*1000+35,999999999)</f>
        <v>999999999</v>
      </c>
      <c r="AU5" s="1" t="n">
        <f aca="false">IF(AND('Daily Workforce'!$N36="Y",'Daily Workforce'!$B36&lt;&gt;"",COUNTIF('Daily Schedule'!$F$5:$F8,'Daily Workforce'!$B36)=0,'Daily Workforce'!$M36="Y",IF(OR('Daily Schedule'!$E$2="Full Day",'Daily Schedule'!$E$2="AM"),'Daily Workforce'!$D36="3:45 AM",IF('Daily Schedule'!$E$2="PM",'Daily Workforce'!$E36="PM",'Daily Workforce'!$E36="Overnight"))),'Daily Workforce'!$V36*1000+36,999999999)</f>
        <v>999999999</v>
      </c>
      <c r="AV5" s="1" t="n">
        <f aca="false">IF(AND('Daily Workforce'!$N37="Y",'Daily Workforce'!$B37&lt;&gt;"",COUNTIF('Daily Schedule'!$F$5:$F8,'Daily Workforce'!$B37)=0,'Daily Workforce'!$M37="Y",IF(OR('Daily Schedule'!$E$2="Full Day",'Daily Schedule'!$E$2="AM"),'Daily Workforce'!$D37="3:45 AM",IF('Daily Schedule'!$E$2="PM",'Daily Workforce'!$E37="PM",'Daily Workforce'!$E37="Overnight"))),'Daily Workforce'!$V37*1000+37,999999999)</f>
        <v>999999999</v>
      </c>
      <c r="AW5" s="1" t="n">
        <f aca="false">IF(AND('Daily Workforce'!$N38="Y",'Daily Workforce'!$B38&lt;&gt;"",COUNTIF('Daily Schedule'!$F$5:$F8,'Daily Workforce'!$B38)=0,'Daily Workforce'!$M38="Y",IF(OR('Daily Schedule'!$E$2="Full Day",'Daily Schedule'!$E$2="AM"),'Daily Workforce'!$D38="3:45 AM",IF('Daily Schedule'!$E$2="PM",'Daily Workforce'!$E38="PM",'Daily Workforce'!$E38="Overnight"))),'Daily Workforce'!$V38*1000+38,999999999)</f>
        <v>999999999</v>
      </c>
      <c r="AX5" s="1" t="n">
        <f aca="false">IF(AND('Daily Workforce'!$N39="Y",'Daily Workforce'!$B39&lt;&gt;"",COUNTIF('Daily Schedule'!$F$5:$F8,'Daily Workforce'!$B39)=0,'Daily Workforce'!$M39="Y",IF(OR('Daily Schedule'!$E$2="Full Day",'Daily Schedule'!$E$2="AM"),'Daily Workforce'!$D39="3:45 AM",IF('Daily Schedule'!$E$2="PM",'Daily Workforce'!$E39="PM",'Daily Workforce'!$E39="Overnight"))),'Daily Workforce'!$V39*1000+39,999999999)</f>
        <v>999999999</v>
      </c>
      <c r="AY5" s="1" t="n">
        <f aca="false">IF(AND('Daily Workforce'!$N40="Y",'Daily Workforce'!$B40&lt;&gt;"",COUNTIF('Daily Schedule'!$F$5:$F8,'Daily Workforce'!$B40)=0,'Daily Workforce'!$M40="Y",IF(OR('Daily Schedule'!$E$2="Full Day",'Daily Schedule'!$E$2="AM"),'Daily Workforce'!$D40="3:45 AM",IF('Daily Schedule'!$E$2="PM",'Daily Workforce'!$E40="PM",'Daily Workforce'!$E40="Overnight"))),'Daily Workforce'!$V40*1000+40,999999999)</f>
        <v>999999999</v>
      </c>
      <c r="AZ5" s="1" t="n">
        <f aca="false">IF(AND('Daily Workforce'!$N41="Y",'Daily Workforce'!$B41&lt;&gt;"",COUNTIF('Daily Schedule'!$F$5:$F8,'Daily Workforce'!$B41)=0,'Daily Workforce'!$M41="Y",IF(OR('Daily Schedule'!$E$2="Full Day",'Daily Schedule'!$E$2="AM"),'Daily Workforce'!$D41="3:45 AM",IF('Daily Schedule'!$E$2="PM",'Daily Workforce'!$E41="PM",'Daily Workforce'!$E41="Overnight"))),'Daily Workforce'!$V41*1000+41,999999999)</f>
        <v>999999999</v>
      </c>
      <c r="BA5" s="1" t="n">
        <f aca="false">IF(AND('Daily Workforce'!$N42="Y",'Daily Workforce'!$B42&lt;&gt;"",COUNTIF('Daily Schedule'!$F$5:$F8,'Daily Workforce'!$B42)=0,'Daily Workforce'!$M42="Y",IF(OR('Daily Schedule'!$E$2="Full Day",'Daily Schedule'!$E$2="AM"),'Daily Workforce'!$D42="3:45 AM",IF('Daily Schedule'!$E$2="PM",'Daily Workforce'!$E42="PM",'Daily Workforce'!$E42="Overnight"))),'Daily Workforce'!$V42*1000+42,999999999)</f>
        <v>999999999</v>
      </c>
      <c r="BB5" s="1" t="n">
        <f aca="false">IF(AND('Daily Workforce'!$N43="Y",'Daily Workforce'!$B43&lt;&gt;"",COUNTIF('Daily Schedule'!$F$5:$F8,'Daily Workforce'!$B43)=0,'Daily Workforce'!$M43="Y",IF(OR('Daily Schedule'!$E$2="Full Day",'Daily Schedule'!$E$2="AM"),'Daily Workforce'!$D43="3:45 AM",IF('Daily Schedule'!$E$2="PM",'Daily Workforce'!$E43="PM",'Daily Workforce'!$E43="Overnight"))),'Daily Workforce'!$V43*1000+43,999999999)</f>
        <v>999999999</v>
      </c>
      <c r="BC5" s="1" t="n">
        <f aca="false">IF(AND('Daily Workforce'!$N44="Y",'Daily Workforce'!$B44&lt;&gt;"",COUNTIF('Daily Schedule'!$F$5:$F8,'Daily Workforce'!$B44)=0,'Daily Workforce'!$M44="Y",IF(OR('Daily Schedule'!$E$2="Full Day",'Daily Schedule'!$E$2="AM"),'Daily Workforce'!$D44="3:45 AM",IF('Daily Schedule'!$E$2="PM",'Daily Workforce'!$E44="PM",'Daily Workforce'!$E44="Overnight"))),'Daily Workforce'!$V44*1000+44,999999999)</f>
        <v>999999999</v>
      </c>
      <c r="BD5" s="1" t="n">
        <f aca="false">IF(AND('Daily Workforce'!$N45="Y",'Daily Workforce'!$B45&lt;&gt;"",COUNTIF('Daily Schedule'!$F$5:$F8,'Daily Workforce'!$B45)=0,'Daily Workforce'!$M45="Y",IF(OR('Daily Schedule'!$E$2="Full Day",'Daily Schedule'!$E$2="AM"),'Daily Workforce'!$D45="3:45 AM",IF('Daily Schedule'!$E$2="PM",'Daily Workforce'!$E45="PM",'Daily Workforce'!$E45="Overnight"))),'Daily Workforce'!$V45*1000+45,999999999)</f>
        <v>999999999</v>
      </c>
      <c r="BE5" s="1" t="n">
        <f aca="false">IF(AND('Daily Workforce'!$N46="Y",'Daily Workforce'!$B46&lt;&gt;"",COUNTIF('Daily Schedule'!$F$5:$F8,'Daily Workforce'!$B46)=0,'Daily Workforce'!$M46="Y",IF(OR('Daily Schedule'!$E$2="Full Day",'Daily Schedule'!$E$2="AM"),'Daily Workforce'!$D46="3:45 AM",IF('Daily Schedule'!$E$2="PM",'Daily Workforce'!$E46="PM",'Daily Workforce'!$E46="Overnight"))),'Daily Workforce'!$V46*1000+46,999999999)</f>
        <v>999999999</v>
      </c>
      <c r="BF5" s="1" t="n">
        <f aca="false">IF(AND('Daily Workforce'!$N47="Y",'Daily Workforce'!$B47&lt;&gt;"",COUNTIF('Daily Schedule'!$F$5:$F8,'Daily Workforce'!$B47)=0,'Daily Workforce'!$M47="Y",IF(OR('Daily Schedule'!$E$2="Full Day",'Daily Schedule'!$E$2="AM"),'Daily Workforce'!$D47="3:45 AM",IF('Daily Schedule'!$E$2="PM",'Daily Workforce'!$E47="PM",'Daily Workforce'!$E47="Overnight"))),'Daily Workforce'!$V47*1000+47,999999999)</f>
        <v>999999999</v>
      </c>
      <c r="BG5" s="1" t="n">
        <f aca="false">IF(AND('Daily Workforce'!$N48="Y",'Daily Workforce'!$B48&lt;&gt;"",COUNTIF('Daily Schedule'!$F$5:$F8,'Daily Workforce'!$B48)=0,'Daily Workforce'!$M48="Y",IF(OR('Daily Schedule'!$E$2="Full Day",'Daily Schedule'!$E$2="AM"),'Daily Workforce'!$D48="3:45 AM",IF('Daily Schedule'!$E$2="PM",'Daily Workforce'!$E48="PM",'Daily Workforce'!$E48="Overnight"))),'Daily Workforce'!$V48*1000+48,999999999)</f>
        <v>999999999</v>
      </c>
      <c r="BH5" s="1" t="n">
        <f aca="false">IF(AND('Daily Workforce'!$N49="Y",'Daily Workforce'!$B49&lt;&gt;"",COUNTIF('Daily Schedule'!$F$5:$F8,'Daily Workforce'!$B49)=0,'Daily Workforce'!$M49="Y",IF(OR('Daily Schedule'!$E$2="Full Day",'Daily Schedule'!$E$2="AM"),'Daily Workforce'!$D49="3:45 AM",IF('Daily Schedule'!$E$2="PM",'Daily Workforce'!$E49="PM",'Daily Workforce'!$E49="Overnight"))),'Daily Workforce'!$V49*1000+49,999999999)</f>
        <v>999999999</v>
      </c>
      <c r="BI5" s="1" t="n">
        <f aca="false">IF(AND('Daily Workforce'!$N50="Y",'Daily Workforce'!$B50&lt;&gt;"",COUNTIF('Daily Schedule'!$F$5:$F8,'Daily Workforce'!$B50)=0,'Daily Workforce'!$M50="Y",IF(OR('Daily Schedule'!$E$2="Full Day",'Daily Schedule'!$E$2="AM"),'Daily Workforce'!$D50="3:45 AM",IF('Daily Schedule'!$E$2="PM",'Daily Workforce'!$E50="PM",'Daily Workforce'!$E50="Overnight"))),'Daily Workforce'!$V50*1000+50,999999999)</f>
        <v>999999999</v>
      </c>
      <c r="BJ5" s="1" t="n">
        <f aca="false">IF(AND('Daily Workforce'!$N51="Y",'Daily Workforce'!$B51&lt;&gt;"",COUNTIF('Daily Schedule'!$F$5:$F8,'Daily Workforce'!$B51)=0,'Daily Workforce'!$M51="Y",IF(OR('Daily Schedule'!$E$2="Full Day",'Daily Schedule'!$E$2="AM"),'Daily Workforce'!$D51="3:45 AM",IF('Daily Schedule'!$E$2="PM",'Daily Workforce'!$E51="PM",'Daily Workforce'!$E51="Overnight"))),'Daily Workforce'!$V51*1000+51,999999999)</f>
        <v>999999999</v>
      </c>
      <c r="BK5" s="1" t="n">
        <f aca="false">IF(AND('Daily Workforce'!$N52="Y",'Daily Workforce'!$B52&lt;&gt;"",COUNTIF('Daily Schedule'!$F$5:$F8,'Daily Workforce'!$B52)=0,'Daily Workforce'!$M52="Y",IF(OR('Daily Schedule'!$E$2="Full Day",'Daily Schedule'!$E$2="AM"),'Daily Workforce'!$D52="3:45 AM",IF('Daily Schedule'!$E$2="PM",'Daily Workforce'!$E52="PM",'Daily Workforce'!$E52="Overnight"))),'Daily Workforce'!$V52*1000+52,999999999)</f>
        <v>999999999</v>
      </c>
      <c r="BL5" s="1" t="n">
        <f aca="false">IF(AND('Daily Workforce'!$N53="Y",'Daily Workforce'!$B53&lt;&gt;"",COUNTIF('Daily Schedule'!$F$5:$F8,'Daily Workforce'!$B53)=0,'Daily Workforce'!$M53="Y",IF(OR('Daily Schedule'!$E$2="Full Day",'Daily Schedule'!$E$2="AM"),'Daily Workforce'!$D53="3:45 AM",IF('Daily Schedule'!$E$2="PM",'Daily Workforce'!$E53="PM",'Daily Workforce'!$E53="Overnight"))),'Daily Workforce'!$V53*1000+53,999999999)</f>
        <v>999999999</v>
      </c>
      <c r="BM5" s="1" t="n">
        <f aca="false">IF(AND('Daily Workforce'!$N54="Y",'Daily Workforce'!$B54&lt;&gt;"",COUNTIF('Daily Schedule'!$F$5:$F8,'Daily Workforce'!$B54)=0,'Daily Workforce'!$M54="Y",IF(OR('Daily Schedule'!$E$2="Full Day",'Daily Schedule'!$E$2="AM"),'Daily Workforce'!$D54="3:45 AM",IF('Daily Schedule'!$E$2="PM",'Daily Workforce'!$E54="PM",'Daily Workforce'!$E54="Overnight"))),'Daily Workforce'!$V54*1000+54,999999999)</f>
        <v>999999999</v>
      </c>
      <c r="BN5" s="1" t="n">
        <f aca="false">IF(AND('Daily Workforce'!$N55="Y",'Daily Workforce'!$B55&lt;&gt;"",COUNTIF('Daily Schedule'!$F$5:$F8,'Daily Workforce'!$B55)=0,'Daily Workforce'!$M55="Y",IF(OR('Daily Schedule'!$E$2="Full Day",'Daily Schedule'!$E$2="AM"),'Daily Workforce'!$D55="3:45 AM",IF('Daily Schedule'!$E$2="PM",'Daily Workforce'!$E55="PM",'Daily Workforce'!$E55="Overnight"))),'Daily Workforce'!$V55*1000+55,999999999)</f>
        <v>999999999</v>
      </c>
      <c r="BO5" s="1" t="n">
        <f aca="false">IF(AND('Daily Workforce'!$N56="Y",'Daily Workforce'!$B56&lt;&gt;"",COUNTIF('Daily Schedule'!$F$5:$F8,'Daily Workforce'!$B56)=0,'Daily Workforce'!$M56="Y",IF(OR('Daily Schedule'!$E$2="Full Day",'Daily Schedule'!$E$2="AM"),'Daily Workforce'!$D56="3:45 AM",IF('Daily Schedule'!$E$2="PM",'Daily Workforce'!$E56="PM",'Daily Workforce'!$E56="Overnight"))),'Daily Workforce'!$V56*1000+56,999999999)</f>
        <v>999999999</v>
      </c>
      <c r="BP5" s="1" t="n">
        <f aca="false">IF(AND('Daily Workforce'!$N57="Y",'Daily Workforce'!$B57&lt;&gt;"",COUNTIF('Daily Schedule'!$F$5:$F8,'Daily Workforce'!$B57)=0,'Daily Workforce'!$M57="Y",IF(OR('Daily Schedule'!$E$2="Full Day",'Daily Schedule'!$E$2="AM"),'Daily Workforce'!$D57="3:45 AM",IF('Daily Schedule'!$E$2="PM",'Daily Workforce'!$E57="PM",'Daily Workforce'!$E57="Overnight"))),'Daily Workforce'!$V57*1000+57,999999999)</f>
        <v>999999999</v>
      </c>
      <c r="BQ5" s="1" t="n">
        <f aca="false">IF(AND('Daily Workforce'!$N58="Y",'Daily Workforce'!$B58&lt;&gt;"",COUNTIF('Daily Schedule'!$F$5:$F8,'Daily Workforce'!$B58)=0,'Daily Workforce'!$M58="Y",IF(OR('Daily Schedule'!$E$2="Full Day",'Daily Schedule'!$E$2="AM"),'Daily Workforce'!$D58="3:45 AM",IF('Daily Schedule'!$E$2="PM",'Daily Workforce'!$E58="PM",'Daily Workforce'!$E58="Overnight"))),'Daily Workforce'!$V58*1000+58,999999999)</f>
        <v>999999999</v>
      </c>
      <c r="BR5" s="1" t="n">
        <f aca="false">IF(AND('Daily Workforce'!$N59="Y",'Daily Workforce'!$B59&lt;&gt;"",COUNTIF('Daily Schedule'!$F$5:$F8,'Daily Workforce'!$B59)=0,'Daily Workforce'!$M59="Y",IF(OR('Daily Schedule'!$E$2="Full Day",'Daily Schedule'!$E$2="AM"),'Daily Workforce'!$D59="3:45 AM",IF('Daily Schedule'!$E$2="PM",'Daily Workforce'!$E59="PM",'Daily Workforce'!$E59="Overnight"))),'Daily Workforce'!$V59*1000+59,999999999)</f>
        <v>999999999</v>
      </c>
      <c r="BS5" s="1" t="n">
        <f aca="false">IF(AND('Daily Workforce'!$N60="Y",'Daily Workforce'!$B60&lt;&gt;"",COUNTIF('Daily Schedule'!$F$5:$F8,'Daily Workforce'!$B60)=0,'Daily Workforce'!$M60="Y",IF(OR('Daily Schedule'!$E$2="Full Day",'Daily Schedule'!$E$2="AM"),'Daily Workforce'!$D60="3:45 AM",IF('Daily Schedule'!$E$2="PM",'Daily Workforce'!$E60="PM",'Daily Workforce'!$E60="Overnight"))),'Daily Workforce'!$V60*1000+60,999999999)</f>
        <v>999999999</v>
      </c>
      <c r="BT5" s="1" t="n">
        <f aca="false">IF(AND('Daily Workforce'!$N61="Y",'Daily Workforce'!$B61&lt;&gt;"",COUNTIF('Daily Schedule'!$F$5:$F8,'Daily Workforce'!$B61)=0,'Daily Workforce'!$M61="Y",IF(OR('Daily Schedule'!$E$2="Full Day",'Daily Schedule'!$E$2="AM"),'Daily Workforce'!$D61="3:45 AM",IF('Daily Schedule'!$E$2="PM",'Daily Workforce'!$E61="PM",'Daily Workforce'!$E61="Overnight"))),'Daily Workforce'!$V61*1000+61,999999999)</f>
        <v>999999999</v>
      </c>
      <c r="BU5" s="1" t="n">
        <f aca="false">IF(AND('Daily Workforce'!$N62="Y",'Daily Workforce'!$B62&lt;&gt;"",COUNTIF('Daily Schedule'!$F$5:$F8,'Daily Workforce'!$B62)=0,'Daily Workforce'!$M62="Y",IF(OR('Daily Schedule'!$E$2="Full Day",'Daily Schedule'!$E$2="AM"),'Daily Workforce'!$D62="3:45 AM",IF('Daily Schedule'!$E$2="PM",'Daily Workforce'!$E62="PM",'Daily Workforce'!$E62="Overnight"))),'Daily Workforce'!$V62*1000+62,999999999)</f>
        <v>999999999</v>
      </c>
      <c r="BV5" s="1" t="n">
        <f aca="false">IF(AND('Daily Workforce'!$N63="Y",'Daily Workforce'!$B63&lt;&gt;"",COUNTIF('Daily Schedule'!$F$5:$F8,'Daily Workforce'!$B63)=0,'Daily Workforce'!$M63="Y",IF(OR('Daily Schedule'!$E$2="Full Day",'Daily Schedule'!$E$2="AM"),'Daily Workforce'!$D63="3:45 AM",IF('Daily Schedule'!$E$2="PM",'Daily Workforce'!$E63="PM",'Daily Workforce'!$E63="Overnight"))),'Daily Workforce'!$V63*1000+63,999999999)</f>
        <v>999999999</v>
      </c>
      <c r="BW5" s="1" t="n">
        <f aca="false">IF(AND('Daily Workforce'!$N64="Y",'Daily Workforce'!$B64&lt;&gt;"",COUNTIF('Daily Schedule'!$F$5:$F8,'Daily Workforce'!$B64)=0,'Daily Workforce'!$M64="Y",IF(OR('Daily Schedule'!$E$2="Full Day",'Daily Schedule'!$E$2="AM"),'Daily Workforce'!$D64="3:45 AM",IF('Daily Schedule'!$E$2="PM",'Daily Workforce'!$E64="PM",'Daily Workforce'!$E64="Overnight"))),'Daily Workforce'!$V64*1000+64,999999999)</f>
        <v>999999999</v>
      </c>
      <c r="BX5" s="1" t="n">
        <f aca="false">IF(AND('Daily Workforce'!$N65="Y",'Daily Workforce'!$B65&lt;&gt;"",COUNTIF('Daily Schedule'!$F$5:$F8,'Daily Workforce'!$B65)=0,'Daily Workforce'!$M65="Y",IF(OR('Daily Schedule'!$E$2="Full Day",'Daily Schedule'!$E$2="AM"),'Daily Workforce'!$D65="3:45 AM",IF('Daily Schedule'!$E$2="PM",'Daily Workforce'!$E65="PM",'Daily Workforce'!$E65="Overnight"))),'Daily Workforce'!$V65*1000+65,999999999)</f>
        <v>999999999</v>
      </c>
      <c r="BY5" s="1" t="n">
        <f aca="false">IF(AND('Daily Workforce'!$N66="Y",'Daily Workforce'!$B66&lt;&gt;"",COUNTIF('Daily Schedule'!$F$5:$F8,'Daily Workforce'!$B66)=0,'Daily Workforce'!$M66="Y",IF(OR('Daily Schedule'!$E$2="Full Day",'Daily Schedule'!$E$2="AM"),'Daily Workforce'!$D66="3:45 AM",IF('Daily Schedule'!$E$2="PM",'Daily Workforce'!$E66="PM",'Daily Workforce'!$E66="Overnight"))),'Daily Workforce'!$V66*1000+66,999999999)</f>
        <v>999999999</v>
      </c>
      <c r="BZ5" s="1" t="n">
        <f aca="false">IF(AND('Daily Workforce'!$N67="Y",'Daily Workforce'!$B67&lt;&gt;"",COUNTIF('Daily Schedule'!$F$5:$F8,'Daily Workforce'!$B67)=0,'Daily Workforce'!$M67="Y",IF(OR('Daily Schedule'!$E$2="Full Day",'Daily Schedule'!$E$2="AM"),'Daily Workforce'!$D67="3:45 AM",IF('Daily Schedule'!$E$2="PM",'Daily Workforce'!$E67="PM",'Daily Workforce'!$E67="Overnight"))),'Daily Workforce'!$V67*1000+67,999999999)</f>
        <v>999999999</v>
      </c>
      <c r="CA5" s="1" t="n">
        <f aca="false">IF(AND('Daily Workforce'!$N68="Y",'Daily Workforce'!$B68&lt;&gt;"",COUNTIF('Daily Schedule'!$F$5:$F8,'Daily Workforce'!$B68)=0,'Daily Workforce'!$M68="Y",IF(OR('Daily Schedule'!$E$2="Full Day",'Daily Schedule'!$E$2="AM"),'Daily Workforce'!$D68="3:45 AM",IF('Daily Schedule'!$E$2="PM",'Daily Workforce'!$E68="PM",'Daily Workforce'!$E68="Overnight"))),'Daily Workforce'!$V68*1000+68,999999999)</f>
        <v>999999999</v>
      </c>
      <c r="CB5" s="1" t="n">
        <f aca="false">IF(AND('Daily Workforce'!$N69="Y",'Daily Workforce'!$B69&lt;&gt;"",COUNTIF('Daily Schedule'!$F$5:$F8,'Daily Workforce'!$B69)=0,'Daily Workforce'!$M69="Y",IF(OR('Daily Schedule'!$E$2="Full Day",'Daily Schedule'!$E$2="AM"),'Daily Workforce'!$D69="3:45 AM",IF('Daily Schedule'!$E$2="PM",'Daily Workforce'!$E69="PM",'Daily Workforce'!$E69="Overnight"))),'Daily Workforce'!$V69*1000+69,999999999)</f>
        <v>999999999</v>
      </c>
      <c r="CC5" s="1" t="n">
        <f aca="false">IF(AND('Daily Workforce'!$N70="Y",'Daily Workforce'!$B70&lt;&gt;"",COUNTIF('Daily Schedule'!$F$5:$F8,'Daily Workforce'!$B70)=0,'Daily Workforce'!$M70="Y",IF(OR('Daily Schedule'!$E$2="Full Day",'Daily Schedule'!$E$2="AM"),'Daily Workforce'!$D70="3:45 AM",IF('Daily Schedule'!$E$2="PM",'Daily Workforce'!$E70="PM",'Daily Workforce'!$E70="Overnight"))),'Daily Workforce'!$V70*1000+70,999999999)</f>
        <v>999999999</v>
      </c>
      <c r="CD5" s="1" t="n">
        <f aca="false">IF(AND('Daily Workforce'!$N71="Y",'Daily Workforce'!$B71&lt;&gt;"",COUNTIF('Daily Schedule'!$F$5:$F8,'Daily Workforce'!$B71)=0,'Daily Workforce'!$M71="Y",IF(OR('Daily Schedule'!$E$2="Full Day",'Daily Schedule'!$E$2="AM"),'Daily Workforce'!$D71="3:45 AM",IF('Daily Schedule'!$E$2="PM",'Daily Workforce'!$E71="PM",'Daily Workforce'!$E71="Overnight"))),'Daily Workforce'!$V71*1000+71,999999999)</f>
        <v>999999999</v>
      </c>
      <c r="CE5" s="1" t="n">
        <f aca="false">IF(AND('Daily Workforce'!$N72="Y",'Daily Workforce'!$B72&lt;&gt;"",COUNTIF('Daily Schedule'!$F$5:$F8,'Daily Workforce'!$B72)=0,'Daily Workforce'!$M72="Y",IF(OR('Daily Schedule'!$E$2="Full Day",'Daily Schedule'!$E$2="AM"),'Daily Workforce'!$D72="3:45 AM",IF('Daily Schedule'!$E$2="PM",'Daily Workforce'!$E72="PM",'Daily Workforce'!$E72="Overnight"))),'Daily Workforce'!$V72*1000+72,999999999)</f>
        <v>999999999</v>
      </c>
      <c r="CF5" s="1" t="n">
        <f aca="false">IF(AND('Daily Workforce'!$N73="Y",'Daily Workforce'!$B73&lt;&gt;"",COUNTIF('Daily Schedule'!$F$5:$F8,'Daily Workforce'!$B73)=0,'Daily Workforce'!$M73="Y",IF(OR('Daily Schedule'!$E$2="Full Day",'Daily Schedule'!$E$2="AM"),'Daily Workforce'!$D73="3:45 AM",IF('Daily Schedule'!$E$2="PM",'Daily Workforce'!$E73="PM",'Daily Workforce'!$E73="Overnight"))),'Daily Workforce'!$V73*1000+73,999999999)</f>
        <v>999999999</v>
      </c>
      <c r="CG5" s="1" t="n">
        <f aca="false">IF(AND('Daily Workforce'!$N74="Y",'Daily Workforce'!$B74&lt;&gt;"",COUNTIF('Daily Schedule'!$F$5:$F8,'Daily Workforce'!$B74)=0,'Daily Workforce'!$M74="Y",IF(OR('Daily Schedule'!$E$2="Full Day",'Daily Schedule'!$E$2="AM"),'Daily Workforce'!$D74="3:45 AM",IF('Daily Schedule'!$E$2="PM",'Daily Workforce'!$E74="PM",'Daily Workforce'!$E74="Overnight"))),'Daily Workforce'!$V74*1000+74,999999999)</f>
        <v>999999999</v>
      </c>
      <c r="CH5" s="1" t="n">
        <f aca="false">IF(AND('Daily Workforce'!$N75="Y",'Daily Workforce'!$B75&lt;&gt;"",COUNTIF('Daily Schedule'!$F$5:$F8,'Daily Workforce'!$B75)=0,'Daily Workforce'!$M75="Y",IF(OR('Daily Schedule'!$E$2="Full Day",'Daily Schedule'!$E$2="AM"),'Daily Workforce'!$D75="3:45 AM",IF('Daily Schedule'!$E$2="PM",'Daily Workforce'!$E75="PM",'Daily Workforce'!$E75="Overnight"))),'Daily Workforce'!$V75*1000+75,999999999)</f>
        <v>999999999</v>
      </c>
      <c r="CI5" s="1" t="n">
        <f aca="false">IF(AND('Daily Workforce'!$N76="Y",'Daily Workforce'!$B76&lt;&gt;"",COUNTIF('Daily Schedule'!$F$5:$F8,'Daily Workforce'!$B76)=0,'Daily Workforce'!$M76="Y",IF(OR('Daily Schedule'!$E$2="Full Day",'Daily Schedule'!$E$2="AM"),'Daily Workforce'!$D76="3:45 AM",IF('Daily Schedule'!$E$2="PM",'Daily Workforce'!$E76="PM",'Daily Workforce'!$E76="Overnight"))),'Daily Workforce'!$V76*1000+76,999999999)</f>
        <v>999999999</v>
      </c>
      <c r="CJ5" s="1" t="n">
        <f aca="false">IF(AND('Daily Workforce'!$N77="Y",'Daily Workforce'!$B77&lt;&gt;"",COUNTIF('Daily Schedule'!$F$5:$F8,'Daily Workforce'!$B77)=0,'Daily Workforce'!$M77="Y",IF(OR('Daily Schedule'!$E$2="Full Day",'Daily Schedule'!$E$2="AM"),'Daily Workforce'!$D77="3:45 AM",IF('Daily Schedule'!$E$2="PM",'Daily Workforce'!$E77="PM",'Daily Workforce'!$E77="Overnight"))),'Daily Workforce'!$V77*1000+77,999999999)</f>
        <v>999999999</v>
      </c>
      <c r="CK5" s="1" t="n">
        <f aca="false">IF(AND('Daily Workforce'!$N78="Y",'Daily Workforce'!$B78&lt;&gt;"",COUNTIF('Daily Schedule'!$F$5:$F8,'Daily Workforce'!$B78)=0,'Daily Workforce'!$M78="Y",IF(OR('Daily Schedule'!$E$2="Full Day",'Daily Schedule'!$E$2="AM"),'Daily Workforce'!$D78="3:45 AM",IF('Daily Schedule'!$E$2="PM",'Daily Workforce'!$E78="PM",'Daily Workforce'!$E78="Overnight"))),'Daily Workforce'!$V78*1000+78,999999999)</f>
        <v>999999999</v>
      </c>
      <c r="CL5" s="1" t="n">
        <f aca="false">IF(AND('Daily Workforce'!$N79="Y",'Daily Workforce'!$B79&lt;&gt;"",COUNTIF('Daily Schedule'!$F$5:$F8,'Daily Workforce'!$B79)=0,'Daily Workforce'!$M79="Y",IF(OR('Daily Schedule'!$E$2="Full Day",'Daily Schedule'!$E$2="AM"),'Daily Workforce'!$D79="3:45 AM",IF('Daily Schedule'!$E$2="PM",'Daily Workforce'!$E79="PM",'Daily Workforce'!$E79="Overnight"))),'Daily Workforce'!$V79*1000+79,999999999)</f>
        <v>999999999</v>
      </c>
      <c r="CM5" s="1" t="n">
        <f aca="false">IF(AND('Daily Workforce'!$N80="Y",'Daily Workforce'!$B80&lt;&gt;"",COUNTIF('Daily Schedule'!$F$5:$F8,'Daily Workforce'!$B80)=0,'Daily Workforce'!$M80="Y",IF(OR('Daily Schedule'!$E$2="Full Day",'Daily Schedule'!$E$2="AM"),'Daily Workforce'!$D80="3:45 AM",IF('Daily Schedule'!$E$2="PM",'Daily Workforce'!$E80="PM",'Daily Workforce'!$E80="Overnight"))),'Daily Workforce'!$V80*1000+80,999999999)</f>
        <v>999999999</v>
      </c>
      <c r="CN5" s="1" t="n">
        <f aca="false">IF(AND('Daily Workforce'!$N81="Y",'Daily Workforce'!$B81&lt;&gt;"",COUNTIF('Daily Schedule'!$F$5:$F8,'Daily Workforce'!$B81)=0,'Daily Workforce'!$M81="Y",IF(OR('Daily Schedule'!$E$2="Full Day",'Daily Schedule'!$E$2="AM"),'Daily Workforce'!$D81="3:45 AM",IF('Daily Schedule'!$E$2="PM",'Daily Workforce'!$E81="PM",'Daily Workforce'!$E81="Overnight"))),'Daily Workforce'!$V81*1000+81,999999999)</f>
        <v>999999999</v>
      </c>
      <c r="CO5" s="1" t="n">
        <f aca="false">IF(AND('Daily Workforce'!$N82="Y",'Daily Workforce'!$B82&lt;&gt;"",COUNTIF('Daily Schedule'!$F$5:$F8,'Daily Workforce'!$B82)=0,'Daily Workforce'!$M82="Y",IF(OR('Daily Schedule'!$E$2="Full Day",'Daily Schedule'!$E$2="AM"),'Daily Workforce'!$D82="3:45 AM",IF('Daily Schedule'!$E$2="PM",'Daily Workforce'!$E82="PM",'Daily Workforce'!$E82="Overnight"))),'Daily Workforce'!$V82*1000+82,999999999)</f>
        <v>999999999</v>
      </c>
      <c r="CP5" s="1" t="n">
        <f aca="false">IF(AND('Daily Workforce'!$N83="Y",'Daily Workforce'!$B83&lt;&gt;"",COUNTIF('Daily Schedule'!$F$5:$F8,'Daily Workforce'!$B83)=0,'Daily Workforce'!$M83="Y",IF(OR('Daily Schedule'!$E$2="Full Day",'Daily Schedule'!$E$2="AM"),'Daily Workforce'!$D83="3:45 AM",IF('Daily Schedule'!$E$2="PM",'Daily Workforce'!$E83="PM",'Daily Workforce'!$E83="Overnight"))),'Daily Workforce'!$V83*1000+83,999999999)</f>
        <v>999999999</v>
      </c>
      <c r="CQ5" s="1" t="n">
        <f aca="false">IF(AND('Daily Workforce'!$N84="Y",'Daily Workforce'!$B84&lt;&gt;"",COUNTIF('Daily Schedule'!$F$5:$F8,'Daily Workforce'!$B84)=0,'Daily Workforce'!$M84="Y",IF(OR('Daily Schedule'!$E$2="Full Day",'Daily Schedule'!$E$2="AM"),'Daily Workforce'!$D84="3:45 AM",IF('Daily Schedule'!$E$2="PM",'Daily Workforce'!$E84="PM",'Daily Workforce'!$E84="Overnight"))),'Daily Workforce'!$V84*1000+84,999999999)</f>
        <v>999999999</v>
      </c>
      <c r="CR5" s="1" t="n">
        <f aca="false">IF(AND('Daily Workforce'!$N85="Y",'Daily Workforce'!$B85&lt;&gt;"",COUNTIF('Daily Schedule'!$F$5:$F8,'Daily Workforce'!$B85)=0,'Daily Workforce'!$M85="Y",IF(OR('Daily Schedule'!$E$2="Full Day",'Daily Schedule'!$E$2="AM"),'Daily Workforce'!$D85="3:45 AM",IF('Daily Schedule'!$E$2="PM",'Daily Workforce'!$E85="PM",'Daily Workforce'!$E85="Overnight"))),'Daily Workforce'!$V85*1000+85,999999999)</f>
        <v>999999999</v>
      </c>
      <c r="CS5" s="1" t="n">
        <f aca="false">IF(AND('Daily Workforce'!$N86="Y",'Daily Workforce'!$B86&lt;&gt;"",COUNTIF('Daily Schedule'!$F$5:$F8,'Daily Workforce'!$B86)=0,'Daily Workforce'!$M86="Y",IF(OR('Daily Schedule'!$E$2="Full Day",'Daily Schedule'!$E$2="AM"),'Daily Workforce'!$D86="3:45 AM",IF('Daily Schedule'!$E$2="PM",'Daily Workforce'!$E86="PM",'Daily Workforce'!$E86="Overnight"))),'Daily Workforce'!$V86*1000+86,999999999)</f>
        <v>999999999</v>
      </c>
      <c r="CT5" s="1" t="n">
        <f aca="false">IF(AND('Daily Workforce'!$N87="Y",'Daily Workforce'!$B87&lt;&gt;"",COUNTIF('Daily Schedule'!$F$5:$F8,'Daily Workforce'!$B87)=0,'Daily Workforce'!$M87="Y",IF(OR('Daily Schedule'!$E$2="Full Day",'Daily Schedule'!$E$2="AM"),'Daily Workforce'!$D87="3:45 AM",IF('Daily Schedule'!$E$2="PM",'Daily Workforce'!$E87="PM",'Daily Workforce'!$E87="Overnight"))),'Daily Workforce'!$V87*1000+87,999999999)</f>
        <v>999999999</v>
      </c>
      <c r="CU5" s="1" t="n">
        <f aca="false">IF(AND('Daily Workforce'!$N88="Y",'Daily Workforce'!$B88&lt;&gt;"",COUNTIF('Daily Schedule'!$F$5:$F8,'Daily Workforce'!$B88)=0,'Daily Workforce'!$M88="Y",IF(OR('Daily Schedule'!$E$2="Full Day",'Daily Schedule'!$E$2="AM"),'Daily Workforce'!$D88="3:45 AM",IF('Daily Schedule'!$E$2="PM",'Daily Workforce'!$E88="PM",'Daily Workforce'!$E88="Overnight"))),'Daily Workforce'!$V88*1000+88,999999999)</f>
        <v>999999999</v>
      </c>
      <c r="CV5" s="1" t="n">
        <f aca="false">IF(AND('Daily Workforce'!$N89="Y",'Daily Workforce'!$B89&lt;&gt;"",COUNTIF('Daily Schedule'!$F$5:$F8,'Daily Workforce'!$B89)=0,'Daily Workforce'!$M89="Y",IF(OR('Daily Schedule'!$E$2="Full Day",'Daily Schedule'!$E$2="AM"),'Daily Workforce'!$D89="3:45 AM",IF('Daily Schedule'!$E$2="PM",'Daily Workforce'!$E89="PM",'Daily Workforce'!$E89="Overnight"))),'Daily Workforce'!$V89*1000+89,999999999)</f>
        <v>999999999</v>
      </c>
      <c r="CW5" s="1" t="n">
        <f aca="false">IF(AND('Daily Workforce'!$N90="Y",'Daily Workforce'!$B90&lt;&gt;"",COUNTIF('Daily Schedule'!$F$5:$F8,'Daily Workforce'!$B90)=0,'Daily Workforce'!$M90="Y",IF(OR('Daily Schedule'!$E$2="Full Day",'Daily Schedule'!$E$2="AM"),'Daily Workforce'!$D90="3:45 AM",IF('Daily Schedule'!$E$2="PM",'Daily Workforce'!$E90="PM",'Daily Workforce'!$E90="Overnight"))),'Daily Workforce'!$V90*1000+90,999999999)</f>
        <v>999999999</v>
      </c>
      <c r="CX5" s="1" t="n">
        <f aca="false">IF(AND('Daily Workforce'!$N91="Y",'Daily Workforce'!$B91&lt;&gt;"",COUNTIF('Daily Schedule'!$F$5:$F8,'Daily Workforce'!$B91)=0,'Daily Workforce'!$M91="Y",IF(OR('Daily Schedule'!$E$2="Full Day",'Daily Schedule'!$E$2="AM"),'Daily Workforce'!$D91="3:45 AM",IF('Daily Schedule'!$E$2="PM",'Daily Workforce'!$E91="PM",'Daily Workforce'!$E91="Overnight"))),'Daily Workforce'!$V91*1000+91,999999999)</f>
        <v>999999999</v>
      </c>
      <c r="CY5" s="1" t="n">
        <f aca="false">IF(AND('Daily Workforce'!$N92="Y",'Daily Workforce'!$B92&lt;&gt;"",COUNTIF('Daily Schedule'!$F$5:$F8,'Daily Workforce'!$B92)=0,'Daily Workforce'!$M92="Y",IF(OR('Daily Schedule'!$E$2="Full Day",'Daily Schedule'!$E$2="AM"),'Daily Workforce'!$D92="3:45 AM",IF('Daily Schedule'!$E$2="PM",'Daily Workforce'!$E92="PM",'Daily Workforce'!$E92="Overnight"))),'Daily Workforce'!$V92*1000+92,999999999)</f>
        <v>999999999</v>
      </c>
      <c r="CZ5" s="1" t="n">
        <f aca="false">IF(AND('Daily Workforce'!$N93="Y",'Daily Workforce'!$B93&lt;&gt;"",COUNTIF('Daily Schedule'!$F$5:$F8,'Daily Workforce'!$B93)=0,'Daily Workforce'!$M93="Y",IF(OR('Daily Schedule'!$E$2="Full Day",'Daily Schedule'!$E$2="AM"),'Daily Workforce'!$D93="3:45 AM",IF('Daily Schedule'!$E$2="PM",'Daily Workforce'!$E93="PM",'Daily Workforce'!$E93="Overnight"))),'Daily Workforce'!$V93*1000+93,999999999)</f>
        <v>999999999</v>
      </c>
      <c r="DA5" s="1" t="n">
        <f aca="false">IF(AND('Daily Workforce'!$N94="Y",'Daily Workforce'!$B94&lt;&gt;"",COUNTIF('Daily Schedule'!$F$5:$F8,'Daily Workforce'!$B94)=0,'Daily Workforce'!$M94="Y",IF(OR('Daily Schedule'!$E$2="Full Day",'Daily Schedule'!$E$2="AM"),'Daily Workforce'!$D94="3:45 AM",IF('Daily Schedule'!$E$2="PM",'Daily Workforce'!$E94="PM",'Daily Workforce'!$E94="Overnight"))),'Daily Workforce'!$V94*1000+94,999999999)</f>
        <v>999999999</v>
      </c>
      <c r="DB5" s="1" t="n">
        <f aca="false">IF(AND('Daily Workforce'!$N95="Y",'Daily Workforce'!$B95&lt;&gt;"",COUNTIF('Daily Schedule'!$F$5:$F8,'Daily Workforce'!$B95)=0,'Daily Workforce'!$M95="Y",IF(OR('Daily Schedule'!$E$2="Full Day",'Daily Schedule'!$E$2="AM"),'Daily Workforce'!$D95="3:45 AM",IF('Daily Schedule'!$E$2="PM",'Daily Workforce'!$E95="PM",'Daily Workforce'!$E95="Overnight"))),'Daily Workforce'!$V95*1000+95,999999999)</f>
        <v>999999999</v>
      </c>
      <c r="DC5" s="1" t="n">
        <f aca="false">IF(AND('Daily Workforce'!$N96="Y",'Daily Workforce'!$B96&lt;&gt;"",COUNTIF('Daily Schedule'!$F$5:$F8,'Daily Workforce'!$B96)=0,'Daily Workforce'!$M96="Y",IF(OR('Daily Schedule'!$E$2="Full Day",'Daily Schedule'!$E$2="AM"),'Daily Workforce'!$D96="3:45 AM",IF('Daily Schedule'!$E$2="PM",'Daily Workforce'!$E96="PM",'Daily Workforce'!$E96="Overnight"))),'Daily Workforce'!$V96*1000+96,999999999)</f>
        <v>999999999</v>
      </c>
      <c r="DD5" s="1" t="n">
        <f aca="false">IF(AND('Daily Workforce'!$N97="Y",'Daily Workforce'!$B97&lt;&gt;"",COUNTIF('Daily Schedule'!$F$5:$F8,'Daily Workforce'!$B97)=0,'Daily Workforce'!$M97="Y",IF(OR('Daily Schedule'!$E$2="Full Day",'Daily Schedule'!$E$2="AM"),'Daily Workforce'!$D97="3:45 AM",IF('Daily Schedule'!$E$2="PM",'Daily Workforce'!$E97="PM",'Daily Workforce'!$E97="Overnight"))),'Daily Workforce'!$V97*1000+97,999999999)</f>
        <v>999999999</v>
      </c>
      <c r="DE5" s="1" t="n">
        <f aca="false">IF(AND('Daily Workforce'!$N98="Y",'Daily Workforce'!$B98&lt;&gt;"",COUNTIF('Daily Schedule'!$F$5:$F8,'Daily Workforce'!$B98)=0,'Daily Workforce'!$M98="Y",IF(OR('Daily Schedule'!$E$2="Full Day",'Daily Schedule'!$E$2="AM"),'Daily Workforce'!$D98="3:45 AM",IF('Daily Schedule'!$E$2="PM",'Daily Workforce'!$E98="PM",'Daily Workforce'!$E98="Overnight"))),'Daily Workforce'!$V98*1000+98,999999999)</f>
        <v>999999999</v>
      </c>
      <c r="DF5" s="1" t="n">
        <f aca="false">IF(AND('Daily Workforce'!$N99="Y",'Daily Workforce'!$B99&lt;&gt;"",COUNTIF('Daily Schedule'!$F$5:$F8,'Daily Workforce'!$B99)=0,'Daily Workforce'!$M99="Y",IF(OR('Daily Schedule'!$E$2="Full Day",'Daily Schedule'!$E$2="AM"),'Daily Workforce'!$D99="3:45 AM",IF('Daily Schedule'!$E$2="PM",'Daily Workforce'!$E99="PM",'Daily Workforce'!$E99="Overnight"))),'Daily Workforce'!$V99*1000+99,999999999)</f>
        <v>999999999</v>
      </c>
      <c r="DG5" s="1" t="n">
        <f aca="false">IF(AND('Daily Workforce'!$N100="Y",'Daily Workforce'!$B100&lt;&gt;"",COUNTIF('Daily Schedule'!$F$5:$F8,'Daily Workforce'!$B100)=0,'Daily Workforce'!$M100="Y",IF(OR('Daily Schedule'!$E$2="Full Day",'Daily Schedule'!$E$2="AM"),'Daily Workforce'!$D100="3:45 AM",IF('Daily Schedule'!$E$2="PM",'Daily Workforce'!$E100="PM",'Daily Workforce'!$E100="Overnight"))),'Daily Workforce'!$V100*1000+100,999999999)</f>
        <v>999999999</v>
      </c>
      <c r="DH5" s="1" t="n">
        <f aca="false">IF(AND('Daily Workforce'!$N101="Y",'Daily Workforce'!$B101&lt;&gt;"",COUNTIF('Daily Schedule'!$F$5:$F8,'Daily Workforce'!$B101)=0,'Daily Workforce'!$M101="Y",IF(OR('Daily Schedule'!$E$2="Full Day",'Daily Schedule'!$E$2="AM"),'Daily Workforce'!$D101="3:45 AM",IF('Daily Schedule'!$E$2="PM",'Daily Workforce'!$E101="PM",'Daily Workforce'!$E101="Overnight"))),'Daily Workforce'!$V101*1000+101,999999999)</f>
        <v>999999999</v>
      </c>
      <c r="DI5" s="1" t="n">
        <f aca="false">IF(AND('Daily Workforce'!$N102="Y",'Daily Workforce'!$B102&lt;&gt;"",COUNTIF('Daily Schedule'!$F$5:$F8,'Daily Workforce'!$B102)=0,'Daily Workforce'!$M102="Y",IF(OR('Daily Schedule'!$E$2="Full Day",'Daily Schedule'!$E$2="AM"),'Daily Workforce'!$D102="3:45 AM",IF('Daily Schedule'!$E$2="PM",'Daily Workforce'!$E102="PM",'Daily Workforce'!$E102="Overnight"))),'Daily Workforce'!$V102*1000+102,999999999)</f>
        <v>999999999</v>
      </c>
      <c r="DJ5" s="1" t="n">
        <f aca="false">IF(AND('Daily Workforce'!$N103="Y",'Daily Workforce'!$B103&lt;&gt;"",COUNTIF('Daily Schedule'!$F$5:$F8,'Daily Workforce'!$B103)=0,'Daily Workforce'!$M103="Y",IF(OR('Daily Schedule'!$E$2="Full Day",'Daily Schedule'!$E$2="AM"),'Daily Workforce'!$D103="3:45 AM",IF('Daily Schedule'!$E$2="PM",'Daily Workforce'!$E103="PM",'Daily Workforce'!$E103="Overnight"))),'Daily Workforce'!$V103*1000+103,999999999)</f>
        <v>999999999</v>
      </c>
      <c r="DK5" s="1" t="n">
        <f aca="false">IF(AND('Daily Workforce'!$N104="Y",'Daily Workforce'!$B104&lt;&gt;"",COUNTIF('Daily Schedule'!$F$5:$F8,'Daily Workforce'!$B104)=0,'Daily Workforce'!$M104="Y",IF(OR('Daily Schedule'!$E$2="Full Day",'Daily Schedule'!$E$2="AM"),'Daily Workforce'!$D104="3:45 AM",IF('Daily Schedule'!$E$2="PM",'Daily Workforce'!$E104="PM",'Daily Workforce'!$E104="Overnight"))),'Daily Workforce'!$V104*1000+104,999999999)</f>
        <v>999999999</v>
      </c>
      <c r="DL5" s="1" t="n">
        <f aca="false">IF(AND('Daily Workforce'!$N105="Y",'Daily Workforce'!$B105&lt;&gt;"",COUNTIF('Daily Schedule'!$F$5:$F8,'Daily Workforce'!$B105)=0,'Daily Workforce'!$M105="Y",IF(OR('Daily Schedule'!$E$2="Full Day",'Daily Schedule'!$E$2="AM"),'Daily Workforce'!$D105="3:45 AM",IF('Daily Schedule'!$E$2="PM",'Daily Workforce'!$E105="PM",'Daily Workforce'!$E105="Overnight"))),'Daily Workforce'!$V105*1000+105,999999999)</f>
        <v>999999999</v>
      </c>
      <c r="DM5" s="1" t="n">
        <f aca="false">IF(AND('Daily Workforce'!$N106="Y",'Daily Workforce'!$B106&lt;&gt;"",COUNTIF('Daily Schedule'!$F$5:$F8,'Daily Workforce'!$B106)=0,'Daily Workforce'!$M106="Y",IF(OR('Daily Schedule'!$E$2="Full Day",'Daily Schedule'!$E$2="AM"),'Daily Workforce'!$D106="3:45 AM",IF('Daily Schedule'!$E$2="PM",'Daily Workforce'!$E106="PM",'Daily Workforce'!$E106="Overnight"))),'Daily Workforce'!$V106*1000+106,999999999)</f>
        <v>999999999</v>
      </c>
      <c r="DN5" s="1" t="n">
        <f aca="false">IF(AND('Daily Workforce'!$N107="Y",'Daily Workforce'!$B107&lt;&gt;"",COUNTIF('Daily Schedule'!$F$5:$F8,'Daily Workforce'!$B107)=0,'Daily Workforce'!$M107="Y",IF(OR('Daily Schedule'!$E$2="Full Day",'Daily Schedule'!$E$2="AM"),'Daily Workforce'!$D107="3:45 AM",IF('Daily Schedule'!$E$2="PM",'Daily Workforce'!$E107="PM",'Daily Workforce'!$E107="Overnight"))),'Daily Workforce'!$V107*1000+107,999999999)</f>
        <v>999999999</v>
      </c>
      <c r="DO5" s="1" t="n">
        <f aca="false">IF(AND('Daily Workforce'!$N108="Y",'Daily Workforce'!$B108&lt;&gt;"",COUNTIF('Daily Schedule'!$F$5:$F8,'Daily Workforce'!$B108)=0,'Daily Workforce'!$M108="Y",IF(OR('Daily Schedule'!$E$2="Full Day",'Daily Schedule'!$E$2="AM"),'Daily Workforce'!$D108="3:45 AM",IF('Daily Schedule'!$E$2="PM",'Daily Workforce'!$E108="PM",'Daily Workforce'!$E108="Overnight"))),'Daily Workforce'!$V108*1000+108,999999999)</f>
        <v>999999999</v>
      </c>
      <c r="DP5" s="1" t="n">
        <f aca="false">IF(AND('Daily Workforce'!$N109="Y",'Daily Workforce'!$B109&lt;&gt;"",COUNTIF('Daily Schedule'!$F$5:$F8,'Daily Workforce'!$B109)=0,'Daily Workforce'!$M109="Y",IF(OR('Daily Schedule'!$E$2="Full Day",'Daily Schedule'!$E$2="AM"),'Daily Workforce'!$D109="3:45 AM",IF('Daily Schedule'!$E$2="PM",'Daily Workforce'!$E109="PM",'Daily Workforce'!$E109="Overnight"))),'Daily Workforce'!$V109*1000+109,999999999)</f>
        <v>999999999</v>
      </c>
      <c r="DQ5" s="1" t="n">
        <f aca="false">IF(AND('Daily Workforce'!$N110="Y",'Daily Workforce'!$B110&lt;&gt;"",COUNTIF('Daily Schedule'!$F$5:$F8,'Daily Workforce'!$B110)=0,'Daily Workforce'!$M110="Y",IF(OR('Daily Schedule'!$E$2="Full Day",'Daily Schedule'!$E$2="AM"),'Daily Workforce'!$D110="3:45 AM",IF('Daily Schedule'!$E$2="PM",'Daily Workforce'!$E110="PM",'Daily Workforce'!$E110="Overnight"))),'Daily Workforce'!$V110*1000+110,999999999)</f>
        <v>999999999</v>
      </c>
      <c r="DR5" s="1" t="n">
        <f aca="false">IF(AND('Daily Workforce'!$N111="Y",'Daily Workforce'!$B111&lt;&gt;"",COUNTIF('Daily Schedule'!$F$5:$F8,'Daily Workforce'!$B111)=0,'Daily Workforce'!$M111="Y",IF(OR('Daily Schedule'!$E$2="Full Day",'Daily Schedule'!$E$2="AM"),'Daily Workforce'!$D111="3:45 AM",IF('Daily Schedule'!$E$2="PM",'Daily Workforce'!$E111="PM",'Daily Workforce'!$E111="Overnight"))),'Daily Workforce'!$V111*1000+111,999999999)</f>
        <v>999999999</v>
      </c>
      <c r="DS5" s="1" t="n">
        <f aca="false">IF(AND('Daily Workforce'!$N112="Y",'Daily Workforce'!$B112&lt;&gt;"",COUNTIF('Daily Schedule'!$F$5:$F8,'Daily Workforce'!$B112)=0,'Daily Workforce'!$M112="Y",IF(OR('Daily Schedule'!$E$2="Full Day",'Daily Schedule'!$E$2="AM"),'Daily Workforce'!$D112="3:45 AM",IF('Daily Schedule'!$E$2="PM",'Daily Workforce'!$E112="PM",'Daily Workforce'!$E112="Overnight"))),'Daily Workforce'!$V112*1000+112,999999999)</f>
        <v>999999999</v>
      </c>
      <c r="DT5" s="1" t="n">
        <f aca="false">IF(AND('Daily Workforce'!$N113="Y",'Daily Workforce'!$B113&lt;&gt;"",COUNTIF('Daily Schedule'!$F$5:$F8,'Daily Workforce'!$B113)=0,'Daily Workforce'!$M113="Y",IF(OR('Daily Schedule'!$E$2="Full Day",'Daily Schedule'!$E$2="AM"),'Daily Workforce'!$D113="3:45 AM",IF('Daily Schedule'!$E$2="PM",'Daily Workforce'!$E113="PM",'Daily Workforce'!$E113="Overnight"))),'Daily Workforce'!$V113*1000+113,999999999)</f>
        <v>999999999</v>
      </c>
      <c r="DU5" s="1" t="n">
        <f aca="false">IF(AND('Daily Workforce'!$N114="Y",'Daily Workforce'!$B114&lt;&gt;"",COUNTIF('Daily Schedule'!$F$5:$F8,'Daily Workforce'!$B114)=0,'Daily Workforce'!$M114="Y",IF(OR('Daily Schedule'!$E$2="Full Day",'Daily Schedule'!$E$2="AM"),'Daily Workforce'!$D114="3:45 AM",IF('Daily Schedule'!$E$2="PM",'Daily Workforce'!$E114="PM",'Daily Workforce'!$E114="Overnight"))),'Daily Workforce'!$V114*1000+114,999999999)</f>
        <v>999999999</v>
      </c>
      <c r="DV5" s="1" t="n">
        <f aca="false">IF(AND('Daily Workforce'!$N115="Y",'Daily Workforce'!$B115&lt;&gt;"",COUNTIF('Daily Schedule'!$F$5:$F8,'Daily Workforce'!$B115)=0,'Daily Workforce'!$M115="Y",IF(OR('Daily Schedule'!$E$2="Full Day",'Daily Schedule'!$E$2="AM"),'Daily Workforce'!$D115="3:45 AM",IF('Daily Schedule'!$E$2="PM",'Daily Workforce'!$E115="PM",'Daily Workforce'!$E115="Overnight"))),'Daily Workforce'!$V115*1000+115,999999999)</f>
        <v>999999999</v>
      </c>
      <c r="DW5" s="1" t="n">
        <f aca="false">IF(AND('Daily Workforce'!$N116="Y",'Daily Workforce'!$B116&lt;&gt;"",COUNTIF('Daily Schedule'!$F$5:$F8,'Daily Workforce'!$B116)=0,'Daily Workforce'!$M116="Y",IF(OR('Daily Schedule'!$E$2="Full Day",'Daily Schedule'!$E$2="AM"),'Daily Workforce'!$D116="3:45 AM",IF('Daily Schedule'!$E$2="PM",'Daily Workforce'!$E116="PM",'Daily Workforce'!$E116="Overnight"))),'Daily Workforce'!$V116*1000+116,999999999)</f>
        <v>999999999</v>
      </c>
      <c r="DX5" s="1" t="n">
        <f aca="false">IF(AND('Daily Workforce'!$N117="Y",'Daily Workforce'!$B117&lt;&gt;"",COUNTIF('Daily Schedule'!$F$5:$F8,'Daily Workforce'!$B117)=0,'Daily Workforce'!$M117="Y",IF(OR('Daily Schedule'!$E$2="Full Day",'Daily Schedule'!$E$2="AM"),'Daily Workforce'!$D117="3:45 AM",IF('Daily Schedule'!$E$2="PM",'Daily Workforce'!$E117="PM",'Daily Workforce'!$E117="Overnight"))),'Daily Workforce'!$V117*1000+117,999999999)</f>
        <v>999999999</v>
      </c>
      <c r="DY5" s="1" t="n">
        <f aca="false">IF(AND('Daily Workforce'!$N118="Y",'Daily Workforce'!$B118&lt;&gt;"",COUNTIF('Daily Schedule'!$F$5:$F8,'Daily Workforce'!$B118)=0,'Daily Workforce'!$M118="Y",IF(OR('Daily Schedule'!$E$2="Full Day",'Daily Schedule'!$E$2="AM"),'Daily Workforce'!$D118="3:45 AM",IF('Daily Schedule'!$E$2="PM",'Daily Workforce'!$E118="PM",'Daily Workforce'!$E118="Overnight"))),'Daily Workforce'!$V118*1000+118,999999999)</f>
        <v>999999999</v>
      </c>
      <c r="DZ5" s="1" t="n">
        <f aca="false">IF(AND('Daily Workforce'!$N119="Y",'Daily Workforce'!$B119&lt;&gt;"",COUNTIF('Daily Schedule'!$F$5:$F8,'Daily Workforce'!$B119)=0,'Daily Workforce'!$M119="Y",IF(OR('Daily Schedule'!$E$2="Full Day",'Daily Schedule'!$E$2="AM"),'Daily Workforce'!$D119="3:45 AM",IF('Daily Schedule'!$E$2="PM",'Daily Workforce'!$E119="PM",'Daily Workforce'!$E119="Overnight"))),'Daily Workforce'!$V119*1000+119,999999999)</f>
        <v>999999999</v>
      </c>
      <c r="EA5" s="1" t="n">
        <f aca="false">IF(AND('Daily Workforce'!$N120="Y",'Daily Workforce'!$B120&lt;&gt;"",COUNTIF('Daily Schedule'!$F$5:$F8,'Daily Workforce'!$B120)=0,'Daily Workforce'!$M120="Y",IF(OR('Daily Schedule'!$E$2="Full Day",'Daily Schedule'!$E$2="AM"),'Daily Workforce'!$D120="3:45 AM",IF('Daily Schedule'!$E$2="PM",'Daily Workforce'!$E120="PM",'Daily Workforce'!$E120="Overnight"))),'Daily Workforce'!$V120*1000+120,999999999)</f>
        <v>999999999</v>
      </c>
      <c r="EB5" s="1" t="n">
        <f aca="false">IF(AND('Daily Workforce'!$N121="Y",'Daily Workforce'!$B121&lt;&gt;"",COUNTIF('Daily Schedule'!$F$5:$F8,'Daily Workforce'!$B121)=0,'Daily Workforce'!$M121="Y",IF(OR('Daily Schedule'!$E$2="Full Day",'Daily Schedule'!$E$2="AM"),'Daily Workforce'!$D121="3:45 AM",IF('Daily Schedule'!$E$2="PM",'Daily Workforce'!$E121="PM",'Daily Workforce'!$E121="Overnight"))),'Daily Workforce'!$V121*1000+121,999999999)</f>
        <v>999999999</v>
      </c>
      <c r="EC5" s="1" t="n">
        <f aca="false">IF(AND('Daily Workforce'!$N122="Y",'Daily Workforce'!$B122&lt;&gt;"",COUNTIF('Daily Schedule'!$F$5:$F8,'Daily Workforce'!$B122)=0,'Daily Workforce'!$M122="Y",IF(OR('Daily Schedule'!$E$2="Full Day",'Daily Schedule'!$E$2="AM"),'Daily Workforce'!$D122="3:45 AM",IF('Daily Schedule'!$E$2="PM",'Daily Workforce'!$E122="PM",'Daily Workforce'!$E122="Overnight"))),'Daily Workforce'!$V122*1000+122,999999999)</f>
        <v>999999999</v>
      </c>
      <c r="ED5" s="1" t="n">
        <f aca="false">IF(AND('Daily Workforce'!$N123="Y",'Daily Workforce'!$B123&lt;&gt;"",COUNTIF('Daily Schedule'!$F$5:$F8,'Daily Workforce'!$B123)=0,'Daily Workforce'!$M123="Y",IF(OR('Daily Schedule'!$E$2="Full Day",'Daily Schedule'!$E$2="AM"),'Daily Workforce'!$D123="3:45 AM",IF('Daily Schedule'!$E$2="PM",'Daily Workforce'!$E123="PM",'Daily Workforce'!$E123="Overnight"))),'Daily Workforce'!$V123*1000+123,999999999)</f>
        <v>999999999</v>
      </c>
      <c r="EE5" s="1" t="n">
        <f aca="false">IF(AND('Daily Workforce'!$N124="Y",'Daily Workforce'!$B124&lt;&gt;"",COUNTIF('Daily Schedule'!$F$5:$F8,'Daily Workforce'!$B124)=0,'Daily Workforce'!$M124="Y",IF(OR('Daily Schedule'!$E$2="Full Day",'Daily Schedule'!$E$2="AM"),'Daily Workforce'!$D124="3:45 AM",IF('Daily Schedule'!$E$2="PM",'Daily Workforce'!$E124="PM",'Daily Workforce'!$E124="Overnight"))),'Daily Workforce'!$V124*1000+124,999999999)</f>
        <v>999999999</v>
      </c>
      <c r="EF5" s="1" t="n">
        <f aca="false">IF(AND('Daily Workforce'!$N125="Y",'Daily Workforce'!$B125&lt;&gt;"",COUNTIF('Daily Schedule'!$F$5:$F8,'Daily Workforce'!$B125)=0,'Daily Workforce'!$M125="Y",IF(OR('Daily Schedule'!$E$2="Full Day",'Daily Schedule'!$E$2="AM"),'Daily Workforce'!$D125="3:45 AM",IF('Daily Schedule'!$E$2="PM",'Daily Workforce'!$E125="PM",'Daily Workforce'!$E125="Overnight"))),'Daily Workforce'!$V125*1000+125,999999999)</f>
        <v>999999999</v>
      </c>
      <c r="EG5" s="1" t="n">
        <f aca="false">IF(AND('Daily Workforce'!$N126="Y",'Daily Workforce'!$B126&lt;&gt;"",COUNTIF('Daily Schedule'!$F$5:$F8,'Daily Workforce'!$B126)=0,'Daily Workforce'!$M126="Y",IF(OR('Daily Schedule'!$E$2="Full Day",'Daily Schedule'!$E$2="AM"),'Daily Workforce'!$D126="3:45 AM",IF('Daily Schedule'!$E$2="PM",'Daily Workforce'!$E126="PM",'Daily Workforce'!$E126="Overnight"))),'Daily Workforce'!$V126*1000+126,999999999)</f>
        <v>999999999</v>
      </c>
      <c r="EH5" s="1" t="n">
        <f aca="false">IF(AND('Daily Workforce'!$N127="Y",'Daily Workforce'!$B127&lt;&gt;"",COUNTIF('Daily Schedule'!$F$5:$F8,'Daily Workforce'!$B127)=0,'Daily Workforce'!$M127="Y",IF(OR('Daily Schedule'!$E$2="Full Day",'Daily Schedule'!$E$2="AM"),'Daily Workforce'!$D127="3:45 AM",IF('Daily Schedule'!$E$2="PM",'Daily Workforce'!$E127="PM",'Daily Workforce'!$E127="Overnight"))),'Daily Workforce'!$V127*1000+127,999999999)</f>
        <v>999999999</v>
      </c>
      <c r="EI5" s="1" t="n">
        <f aca="false">IF(AND('Daily Workforce'!$N128="Y",'Daily Workforce'!$B128&lt;&gt;"",COUNTIF('Daily Schedule'!$F$5:$F8,'Daily Workforce'!$B128)=0,'Daily Workforce'!$M128="Y",IF(OR('Daily Schedule'!$E$2="Full Day",'Daily Schedule'!$E$2="AM"),'Daily Workforce'!$D128="3:45 AM",IF('Daily Schedule'!$E$2="PM",'Daily Workforce'!$E128="PM",'Daily Workforce'!$E128="Overnight"))),'Daily Workforce'!$V128*1000+128,999999999)</f>
        <v>999999999</v>
      </c>
      <c r="EJ5" s="1" t="n">
        <f aca="false">IF(AND('Daily Workforce'!$N129="Y",'Daily Workforce'!$B129&lt;&gt;"",COUNTIF('Daily Schedule'!$F$5:$F8,'Daily Workforce'!$B129)=0,'Daily Workforce'!$M129="Y",IF(OR('Daily Schedule'!$E$2="Full Day",'Daily Schedule'!$E$2="AM"),'Daily Workforce'!$D129="3:45 AM",IF('Daily Schedule'!$E$2="PM",'Daily Workforce'!$E129="PM",'Daily Workforce'!$E129="Overnight"))),'Daily Workforce'!$V129*1000+129,999999999)</f>
        <v>999999999</v>
      </c>
      <c r="EK5" s="1" t="n">
        <f aca="false">IF(AND('Daily Workforce'!$N130="Y",'Daily Workforce'!$B130&lt;&gt;"",COUNTIF('Daily Schedule'!$F$5:$F8,'Daily Workforce'!$B130)=0,'Daily Workforce'!$M130="Y",IF(OR('Daily Schedule'!$E$2="Full Day",'Daily Schedule'!$E$2="AM"),'Daily Workforce'!$D130="3:45 AM",IF('Daily Schedule'!$E$2="PM",'Daily Workforce'!$E130="PM",'Daily Workforce'!$E130="Overnight"))),'Daily Workforce'!$V130*1000+130,999999999)</f>
        <v>999999999</v>
      </c>
      <c r="EL5" s="1" t="n">
        <f aca="false">IF(AND('Daily Workforce'!$N131="Y",'Daily Workforce'!$B131&lt;&gt;"",COUNTIF('Daily Schedule'!$F$5:$F8,'Daily Workforce'!$B131)=0,'Daily Workforce'!$M131="Y",IF(OR('Daily Schedule'!$E$2="Full Day",'Daily Schedule'!$E$2="AM"),'Daily Workforce'!$D131="3:45 AM",IF('Daily Schedule'!$E$2="PM",'Daily Workforce'!$E131="PM",'Daily Workforce'!$E131="Overnight"))),'Daily Workforce'!$V131*1000+131,999999999)</f>
        <v>999999999</v>
      </c>
      <c r="EM5" s="1" t="n">
        <f aca="false">IF(AND('Daily Workforce'!$N132="Y",'Daily Workforce'!$B132&lt;&gt;"",COUNTIF('Daily Schedule'!$F$5:$F8,'Daily Workforce'!$B132)=0,'Daily Workforce'!$M132="Y",IF(OR('Daily Schedule'!$E$2="Full Day",'Daily Schedule'!$E$2="AM"),'Daily Workforce'!$D132="3:45 AM",IF('Daily Schedule'!$E$2="PM",'Daily Workforce'!$E132="PM",'Daily Workforce'!$E132="Overnight"))),'Daily Workforce'!$V132*1000+132,999999999)</f>
        <v>999999999</v>
      </c>
      <c r="EN5" s="1" t="n">
        <f aca="false">IF(AND('Daily Workforce'!$N133="Y",'Daily Workforce'!$B133&lt;&gt;"",COUNTIF('Daily Schedule'!$F$5:$F8,'Daily Workforce'!$B133)=0,'Daily Workforce'!$M133="Y",IF(OR('Daily Schedule'!$E$2="Full Day",'Daily Schedule'!$E$2="AM"),'Daily Workforce'!$D133="3:45 AM",IF('Daily Schedule'!$E$2="PM",'Daily Workforce'!$E133="PM",'Daily Workforce'!$E133="Overnight"))),'Daily Workforce'!$V133*1000+133,999999999)</f>
        <v>999999999</v>
      </c>
      <c r="EO5" s="1" t="n">
        <f aca="false">IF(AND('Daily Workforce'!$N134="Y",'Daily Workforce'!$B134&lt;&gt;"",COUNTIF('Daily Schedule'!$F$5:$F8,'Daily Workforce'!$B134)=0,'Daily Workforce'!$M134="Y",IF(OR('Daily Schedule'!$E$2="Full Day",'Daily Schedule'!$E$2="AM"),'Daily Workforce'!$D134="3:45 AM",IF('Daily Schedule'!$E$2="PM",'Daily Workforce'!$E134="PM",'Daily Workforce'!$E134="Overnight"))),'Daily Workforce'!$V134*1000+134,999999999)</f>
        <v>999999999</v>
      </c>
      <c r="EP5" s="1" t="n">
        <f aca="false">IF(AND('Daily Workforce'!$N135="Y",'Daily Workforce'!$B135&lt;&gt;"",COUNTIF('Daily Schedule'!$F$5:$F8,'Daily Workforce'!$B135)=0,'Daily Workforce'!$M135="Y",IF(OR('Daily Schedule'!$E$2="Full Day",'Daily Schedule'!$E$2="AM"),'Daily Workforce'!$D135="3:45 AM",IF('Daily Schedule'!$E$2="PM",'Daily Workforce'!$E135="PM",'Daily Workforce'!$E135="Overnight"))),'Daily Workforce'!$V135*1000+135,999999999)</f>
        <v>999999999</v>
      </c>
      <c r="EQ5" s="1" t="n">
        <f aca="false">IF(AND('Daily Workforce'!$N136="Y",'Daily Workforce'!$B136&lt;&gt;"",COUNTIF('Daily Schedule'!$F$5:$F8,'Daily Workforce'!$B136)=0,'Daily Workforce'!$M136="Y",IF(OR('Daily Schedule'!$E$2="Full Day",'Daily Schedule'!$E$2="AM"),'Daily Workforce'!$D136="3:45 AM",IF('Daily Schedule'!$E$2="PM",'Daily Workforce'!$E136="PM",'Daily Workforce'!$E136="Overnight"))),'Daily Workforce'!$V136*1000+136,999999999)</f>
        <v>999999999</v>
      </c>
      <c r="ER5" s="1" t="n">
        <f aca="false">IF(AND('Daily Workforce'!$N137="Y",'Daily Workforce'!$B137&lt;&gt;"",COUNTIF('Daily Schedule'!$F$5:$F8,'Daily Workforce'!$B137)=0,'Daily Workforce'!$M137="Y",IF(OR('Daily Schedule'!$E$2="Full Day",'Daily Schedule'!$E$2="AM"),'Daily Workforce'!$D137="3:45 AM",IF('Daily Schedule'!$E$2="PM",'Daily Workforce'!$E137="PM",'Daily Workforce'!$E137="Overnight"))),'Daily Workforce'!$V137*1000+137,999999999)</f>
        <v>999999999</v>
      </c>
      <c r="ES5" s="1" t="n">
        <f aca="false">IF(AND('Daily Workforce'!$N138="Y",'Daily Workforce'!$B138&lt;&gt;"",COUNTIF('Daily Schedule'!$F$5:$F8,'Daily Workforce'!$B138)=0,'Daily Workforce'!$M138="Y",IF(OR('Daily Schedule'!$E$2="Full Day",'Daily Schedule'!$E$2="AM"),'Daily Workforce'!$D138="3:45 AM",IF('Daily Schedule'!$E$2="PM",'Daily Workforce'!$E138="PM",'Daily Workforce'!$E138="Overnight"))),'Daily Workforce'!$V138*1000+138,999999999)</f>
        <v>999999999</v>
      </c>
      <c r="ET5" s="1" t="n">
        <f aca="false">IF(AND('Daily Workforce'!$N139="Y",'Daily Workforce'!$B139&lt;&gt;"",COUNTIF('Daily Schedule'!$F$5:$F8,'Daily Workforce'!$B139)=0,'Daily Workforce'!$M139="Y",IF(OR('Daily Schedule'!$E$2="Full Day",'Daily Schedule'!$E$2="AM"),'Daily Workforce'!$D139="3:45 AM",IF('Daily Schedule'!$E$2="PM",'Daily Workforce'!$E139="PM",'Daily Workforce'!$E139="Overnight"))),'Daily Workforce'!$V139*1000+139,999999999)</f>
        <v>999999999</v>
      </c>
      <c r="EU5" s="1" t="n">
        <f aca="false">IF(AND('Daily Workforce'!$N140="Y",'Daily Workforce'!$B140&lt;&gt;"",COUNTIF('Daily Schedule'!$F$5:$F8,'Daily Workforce'!$B140)=0,'Daily Workforce'!$M140="Y",IF(OR('Daily Schedule'!$E$2="Full Day",'Daily Schedule'!$E$2="AM"),'Daily Workforce'!$D140="3:45 AM",IF('Daily Schedule'!$E$2="PM",'Daily Workforce'!$E140="PM",'Daily Workforce'!$E140="Overnight"))),'Daily Workforce'!$V140*1000+140,999999999)</f>
        <v>999999999</v>
      </c>
      <c r="EV5" s="1" t="n">
        <f aca="false">IF(AND('Daily Workforce'!$N141="Y",'Daily Workforce'!$B141&lt;&gt;"",COUNTIF('Daily Schedule'!$F$5:$F8,'Daily Workforce'!$B141)=0,'Daily Workforce'!$M141="Y",IF(OR('Daily Schedule'!$E$2="Full Day",'Daily Schedule'!$E$2="AM"),'Daily Workforce'!$D141="3:45 AM",IF('Daily Schedule'!$E$2="PM",'Daily Workforce'!$E141="PM",'Daily Workforce'!$E141="Overnight"))),'Daily Workforce'!$V141*1000+141,999999999)</f>
        <v>999999999</v>
      </c>
      <c r="EW5" s="1" t="n">
        <f aca="false">IF(AND('Daily Workforce'!$N142="Y",'Daily Workforce'!$B142&lt;&gt;"",COUNTIF('Daily Schedule'!$F$5:$F8,'Daily Workforce'!$B142)=0,'Daily Workforce'!$M142="Y",IF(OR('Daily Schedule'!$E$2="Full Day",'Daily Schedule'!$E$2="AM"),'Daily Workforce'!$D142="3:45 AM",IF('Daily Schedule'!$E$2="PM",'Daily Workforce'!$E142="PM",'Daily Workforce'!$E142="Overnight"))),'Daily Workforce'!$V142*1000+142,999999999)</f>
        <v>999999999</v>
      </c>
      <c r="EX5" s="1" t="n">
        <f aca="false">IF(AND('Daily Workforce'!$N143="Y",'Daily Workforce'!$B143&lt;&gt;"",COUNTIF('Daily Schedule'!$F$5:$F8,'Daily Workforce'!$B143)=0,'Daily Workforce'!$M143="Y",IF(OR('Daily Schedule'!$E$2="Full Day",'Daily Schedule'!$E$2="AM"),'Daily Workforce'!$D143="3:45 AM",IF('Daily Schedule'!$E$2="PM",'Daily Workforce'!$E143="PM",'Daily Workforce'!$E143="Overnight"))),'Daily Workforce'!$V143*1000+143,999999999)</f>
        <v>999999999</v>
      </c>
      <c r="EY5" s="1" t="n">
        <f aca="false">IF(AND('Daily Workforce'!$N144="Y",'Daily Workforce'!$B144&lt;&gt;"",COUNTIF('Daily Schedule'!$F$5:$F8,'Daily Workforce'!$B144)=0,'Daily Workforce'!$M144="Y",IF(OR('Daily Schedule'!$E$2="Full Day",'Daily Schedule'!$E$2="AM"),'Daily Workforce'!$D144="3:45 AM",IF('Daily Schedule'!$E$2="PM",'Daily Workforce'!$E144="PM",'Daily Workforce'!$E144="Overnight"))),'Daily Workforce'!$V144*1000+144,999999999)</f>
        <v>999999999</v>
      </c>
      <c r="EZ5" s="1" t="n">
        <f aca="false">IF(AND('Daily Workforce'!$N145="Y",'Daily Workforce'!$B145&lt;&gt;"",COUNTIF('Daily Schedule'!$F$5:$F8,'Daily Workforce'!$B145)=0,'Daily Workforce'!$M145="Y",IF(OR('Daily Schedule'!$E$2="Full Day",'Daily Schedule'!$E$2="AM"),'Daily Workforce'!$D145="3:45 AM",IF('Daily Schedule'!$E$2="PM",'Daily Workforce'!$E145="PM",'Daily Workforce'!$E145="Overnight"))),'Daily Workforce'!$V145*1000+145,999999999)</f>
        <v>999999999</v>
      </c>
      <c r="FA5" s="1" t="n">
        <f aca="false">IF(AND('Daily Workforce'!$N146="Y",'Daily Workforce'!$B146&lt;&gt;"",COUNTIF('Daily Schedule'!$F$5:$F8,'Daily Workforce'!$B146)=0,'Daily Workforce'!$M146="Y",IF(OR('Daily Schedule'!$E$2="Full Day",'Daily Schedule'!$E$2="AM"),'Daily Workforce'!$D146="3:45 AM",IF('Daily Schedule'!$E$2="PM",'Daily Workforce'!$E146="PM",'Daily Workforce'!$E146="Overnight"))),'Daily Workforce'!$V146*1000+146,999999999)</f>
        <v>999999999</v>
      </c>
      <c r="FB5" s="1" t="n">
        <f aca="false">IF(AND('Daily Workforce'!$N147="Y",'Daily Workforce'!$B147&lt;&gt;"",COUNTIF('Daily Schedule'!$F$5:$F8,'Daily Workforce'!$B147)=0,'Daily Workforce'!$M147="Y",IF(OR('Daily Schedule'!$E$2="Full Day",'Daily Schedule'!$E$2="AM"),'Daily Workforce'!$D147="3:45 AM",IF('Daily Schedule'!$E$2="PM",'Daily Workforce'!$E147="PM",'Daily Workforce'!$E147="Overnight"))),'Daily Workforce'!$V147*1000+147,999999999)</f>
        <v>999999999</v>
      </c>
      <c r="FC5" s="1" t="n">
        <f aca="false">IF(AND('Daily Workforce'!$N148="Y",'Daily Workforce'!$B148&lt;&gt;"",COUNTIF('Daily Schedule'!$F$5:$F8,'Daily Workforce'!$B148)=0,'Daily Workforce'!$M148="Y",IF(OR('Daily Schedule'!$E$2="Full Day",'Daily Schedule'!$E$2="AM"),'Daily Workforce'!$D148="3:45 AM",IF('Daily Schedule'!$E$2="PM",'Daily Workforce'!$E148="PM",'Daily Workforce'!$E148="Overnight"))),'Daily Workforce'!$V148*1000+148,999999999)</f>
        <v>999999999</v>
      </c>
      <c r="FD5" s="1" t="n">
        <f aca="false">IF(AND('Daily Workforce'!$N149="Y",'Daily Workforce'!$B149&lt;&gt;"",COUNTIF('Daily Schedule'!$F$5:$F8,'Daily Workforce'!$B149)=0,'Daily Workforce'!$M149="Y",IF(OR('Daily Schedule'!$E$2="Full Day",'Daily Schedule'!$E$2="AM"),'Daily Workforce'!$D149="3:45 AM",IF('Daily Schedule'!$E$2="PM",'Daily Workforce'!$E149="PM",'Daily Workforce'!$E149="Overnight"))),'Daily Workforce'!$V149*1000+149,999999999)</f>
        <v>999999999</v>
      </c>
      <c r="FE5" s="1" t="n">
        <f aca="false">IF(AND('Daily Workforce'!$N150="Y",'Daily Workforce'!$B150&lt;&gt;"",COUNTIF('Daily Schedule'!$F$5:$F8,'Daily Workforce'!$B150)=0,'Daily Workforce'!$M150="Y",IF(OR('Daily Schedule'!$E$2="Full Day",'Daily Schedule'!$E$2="AM"),'Daily Workforce'!$D150="3:45 AM",IF('Daily Schedule'!$E$2="PM",'Daily Workforce'!$E150="PM",'Daily Workforce'!$E150="Overnight"))),'Daily Workforce'!$V150*1000+150,999999999)</f>
        <v>999999999</v>
      </c>
      <c r="FF5" s="1" t="n">
        <f aca="false">IF(AND('Daily Workforce'!$N151="Y",'Daily Workforce'!$B151&lt;&gt;"",COUNTIF('Daily Schedule'!$F$5:$F8,'Daily Workforce'!$B151)=0,'Daily Workforce'!$M151="Y",IF(OR('Daily Schedule'!$E$2="Full Day",'Daily Schedule'!$E$2="AM"),'Daily Workforce'!$D151="3:45 AM",IF('Daily Schedule'!$E$2="PM",'Daily Workforce'!$E151="PM",'Daily Workforce'!$E151="Overnight"))),'Daily Workforce'!$V151*1000+151,999999999)</f>
        <v>999999999</v>
      </c>
      <c r="FG5" s="1" t="n">
        <f aca="false">IF(AND('Daily Workforce'!$N152="Y",'Daily Workforce'!$B152&lt;&gt;"",COUNTIF('Daily Schedule'!$F$5:$F8,'Daily Workforce'!$B152)=0,'Daily Workforce'!$M152="Y",IF(OR('Daily Schedule'!$E$2="Full Day",'Daily Schedule'!$E$2="AM"),'Daily Workforce'!$D152="3:45 AM",IF('Daily Schedule'!$E$2="PM",'Daily Workforce'!$E152="PM",'Daily Workforce'!$E152="Overnight"))),'Daily Workforce'!$V152*1000+152,999999999)</f>
        <v>999999999</v>
      </c>
      <c r="FH5" s="1" t="n">
        <f aca="false">IF(AND('Daily Workforce'!$N153="Y",'Daily Workforce'!$B153&lt;&gt;"",COUNTIF('Daily Schedule'!$F$5:$F8,'Daily Workforce'!$B153)=0,'Daily Workforce'!$M153="Y",IF(OR('Daily Schedule'!$E$2="Full Day",'Daily Schedule'!$E$2="AM"),'Daily Workforce'!$D153="3:45 AM",IF('Daily Schedule'!$E$2="PM",'Daily Workforce'!$E153="PM",'Daily Workforce'!$E153="Overnight"))),'Daily Workforce'!$V153*1000+153,999999999)</f>
        <v>999999999</v>
      </c>
      <c r="FI5" s="1" t="n">
        <f aca="false">IF(AND('Daily Workforce'!$N154="Y",'Daily Workforce'!$B154&lt;&gt;"",COUNTIF('Daily Schedule'!$F$5:$F8,'Daily Workforce'!$B154)=0,'Daily Workforce'!$M154="Y",IF(OR('Daily Schedule'!$E$2="Full Day",'Daily Schedule'!$E$2="AM"),'Daily Workforce'!$D154="3:45 AM",IF('Daily Schedule'!$E$2="PM",'Daily Workforce'!$E154="PM",'Daily Workforce'!$E154="Overnight"))),'Daily Workforce'!$V154*1000+154,999999999)</f>
        <v>999999999</v>
      </c>
      <c r="FJ5" s="1" t="n">
        <f aca="false">IF(AND('Daily Workforce'!$N155="Y",'Daily Workforce'!$B155&lt;&gt;"",COUNTIF('Daily Schedule'!$F$5:$F8,'Daily Workforce'!$B155)=0,'Daily Workforce'!$M155="Y",IF(OR('Daily Schedule'!$E$2="Full Day",'Daily Schedule'!$E$2="AM"),'Daily Workforce'!$D155="3:45 AM",IF('Daily Schedule'!$E$2="PM",'Daily Workforce'!$E155="PM",'Daily Workforce'!$E155="Overnight"))),'Daily Workforce'!$V155*1000+155,999999999)</f>
        <v>999999999</v>
      </c>
      <c r="FK5" s="1" t="n">
        <f aca="false">IF(AND('Daily Workforce'!$N156="Y",'Daily Workforce'!$B156&lt;&gt;"",COUNTIF('Daily Schedule'!$F$5:$F8,'Daily Workforce'!$B156)=0,'Daily Workforce'!$M156="Y",IF(OR('Daily Schedule'!$E$2="Full Day",'Daily Schedule'!$E$2="AM"),'Daily Workforce'!$D156="3:45 AM",IF('Daily Schedule'!$E$2="PM",'Daily Workforce'!$E156="PM",'Daily Workforce'!$E156="Overnight"))),'Daily Workforce'!$V156*1000+156,999999999)</f>
        <v>999999999</v>
      </c>
      <c r="FL5" s="1" t="n">
        <f aca="false">IF(AND('Daily Workforce'!$N157="Y",'Daily Workforce'!$B157&lt;&gt;"",COUNTIF('Daily Schedule'!$F$5:$F8,'Daily Workforce'!$B157)=0,'Daily Workforce'!$M157="Y",IF(OR('Daily Schedule'!$E$2="Full Day",'Daily Schedule'!$E$2="AM"),'Daily Workforce'!$D157="3:45 AM",IF('Daily Schedule'!$E$2="PM",'Daily Workforce'!$E157="PM",'Daily Workforce'!$E157="Overnight"))),'Daily Workforce'!$V157*1000+157,999999999)</f>
        <v>999999999</v>
      </c>
      <c r="FM5" s="1" t="n">
        <f aca="false">IF(AND('Daily Workforce'!$N158="Y",'Daily Workforce'!$B158&lt;&gt;"",COUNTIF('Daily Schedule'!$F$5:$F8,'Daily Workforce'!$B158)=0,'Daily Workforce'!$M158="Y",IF(OR('Daily Schedule'!$E$2="Full Day",'Daily Schedule'!$E$2="AM"),'Daily Workforce'!$D158="3:45 AM",IF('Daily Schedule'!$E$2="PM",'Daily Workforce'!$E158="PM",'Daily Workforce'!$E158="Overnight"))),'Daily Workforce'!$V158*1000+158,999999999)</f>
        <v>999999999</v>
      </c>
      <c r="FN5" s="1" t="n">
        <f aca="false">IF(AND('Daily Workforce'!$N159="Y",'Daily Workforce'!$B159&lt;&gt;"",COUNTIF('Daily Schedule'!$F$5:$F8,'Daily Workforce'!$B159)=0,'Daily Workforce'!$M159="Y",IF(OR('Daily Schedule'!$E$2="Full Day",'Daily Schedule'!$E$2="AM"),'Daily Workforce'!$D159="3:45 AM",IF('Daily Schedule'!$E$2="PM",'Daily Workforce'!$E159="PM",'Daily Workforce'!$E159="Overnight"))),'Daily Workforce'!$V159*1000+159,999999999)</f>
        <v>999999999</v>
      </c>
      <c r="FO5" s="1" t="n">
        <f aca="false">IF(AND('Daily Workforce'!$N160="Y",'Daily Workforce'!$B160&lt;&gt;"",COUNTIF('Daily Schedule'!$F$5:$F8,'Daily Workforce'!$B160)=0,'Daily Workforce'!$M160="Y",IF(OR('Daily Schedule'!$E$2="Full Day",'Daily Schedule'!$E$2="AM"),'Daily Workforce'!$D160="3:45 AM",IF('Daily Schedule'!$E$2="PM",'Daily Workforce'!$E160="PM",'Daily Workforce'!$E160="Overnight"))),'Daily Workforce'!$V160*1000+160,999999999)</f>
        <v>999999999</v>
      </c>
      <c r="FP5" s="1" t="n">
        <f aca="false">IF(AND('Daily Workforce'!$N161="Y",'Daily Workforce'!$B161&lt;&gt;"",COUNTIF('Daily Schedule'!$F$5:$F8,'Daily Workforce'!$B161)=0,'Daily Workforce'!$M161="Y",IF(OR('Daily Schedule'!$E$2="Full Day",'Daily Schedule'!$E$2="AM"),'Daily Workforce'!$D161="3:45 AM",IF('Daily Schedule'!$E$2="PM",'Daily Workforce'!$E161="PM",'Daily Workforce'!$E161="Overnight"))),'Daily Workforce'!$V161*1000+161,999999999)</f>
        <v>999999999</v>
      </c>
      <c r="FQ5" s="1" t="n">
        <f aca="false">IF(AND('Daily Workforce'!$N162="Y",'Daily Workforce'!$B162&lt;&gt;"",COUNTIF('Daily Schedule'!$F$5:$F8,'Daily Workforce'!$B162)=0,'Daily Workforce'!$M162="Y",IF(OR('Daily Schedule'!$E$2="Full Day",'Daily Schedule'!$E$2="AM"),'Daily Workforce'!$D162="3:45 AM",IF('Daily Schedule'!$E$2="PM",'Daily Workforce'!$E162="PM",'Daily Workforce'!$E162="Overnight"))),'Daily Workforce'!$V162*1000+162,999999999)</f>
        <v>999999999</v>
      </c>
      <c r="FR5" s="1" t="n">
        <f aca="false">IF(AND('Daily Workforce'!$N163="Y",'Daily Workforce'!$B163&lt;&gt;"",COUNTIF('Daily Schedule'!$F$5:$F8,'Daily Workforce'!$B163)=0,'Daily Workforce'!$M163="Y",IF(OR('Daily Schedule'!$E$2="Full Day",'Daily Schedule'!$E$2="AM"),'Daily Workforce'!$D163="3:45 AM",IF('Daily Schedule'!$E$2="PM",'Daily Workforce'!$E163="PM",'Daily Workforce'!$E163="Overnight"))),'Daily Workforce'!$V163*1000+163,999999999)</f>
        <v>999999999</v>
      </c>
      <c r="FS5" s="1" t="n">
        <f aca="false">IF(AND('Daily Workforce'!$N164="Y",'Daily Workforce'!$B164&lt;&gt;"",COUNTIF('Daily Schedule'!$F$5:$F8,'Daily Workforce'!$B164)=0,'Daily Workforce'!$M164="Y",IF(OR('Daily Schedule'!$E$2="Full Day",'Daily Schedule'!$E$2="AM"),'Daily Workforce'!$D164="3:45 AM",IF('Daily Schedule'!$E$2="PM",'Daily Workforce'!$E164="PM",'Daily Workforce'!$E164="Overnight"))),'Daily Workforce'!$V164*1000+164,999999999)</f>
        <v>999999999</v>
      </c>
      <c r="FT5" s="1" t="n">
        <f aca="false">IF(AND('Daily Workforce'!$N165="Y",'Daily Workforce'!$B165&lt;&gt;"",COUNTIF('Daily Schedule'!$F$5:$F8,'Daily Workforce'!$B165)=0,'Daily Workforce'!$M165="Y",IF(OR('Daily Schedule'!$E$2="Full Day",'Daily Schedule'!$E$2="AM"),'Daily Workforce'!$D165="3:45 AM",IF('Daily Schedule'!$E$2="PM",'Daily Workforce'!$E165="PM",'Daily Workforce'!$E165="Overnight"))),'Daily Workforce'!$V165*1000+165,999999999)</f>
        <v>999999999</v>
      </c>
      <c r="FU5" s="1" t="n">
        <f aca="false">IF(AND('Daily Workforce'!$N166="Y",'Daily Workforce'!$B166&lt;&gt;"",COUNTIF('Daily Schedule'!$F$5:$F8,'Daily Workforce'!$B166)=0,'Daily Workforce'!$M166="Y",IF(OR('Daily Schedule'!$E$2="Full Day",'Daily Schedule'!$E$2="AM"),'Daily Workforce'!$D166="3:45 AM",IF('Daily Schedule'!$E$2="PM",'Daily Workforce'!$E166="PM",'Daily Workforce'!$E166="Overnight"))),'Daily Workforce'!$V166*1000+166,999999999)</f>
        <v>999999999</v>
      </c>
      <c r="FV5" s="1" t="n">
        <f aca="false">IF(AND('Daily Workforce'!$N167="Y",'Daily Workforce'!$B167&lt;&gt;"",COUNTIF('Daily Schedule'!$F$5:$F8,'Daily Workforce'!$B167)=0,'Daily Workforce'!$M167="Y",IF(OR('Daily Schedule'!$E$2="Full Day",'Daily Schedule'!$E$2="AM"),'Daily Workforce'!$D167="3:45 AM",IF('Daily Schedule'!$E$2="PM",'Daily Workforce'!$E167="PM",'Daily Workforce'!$E167="Overnight"))),'Daily Workforce'!$V167*1000+167,999999999)</f>
        <v>999999999</v>
      </c>
      <c r="FW5" s="1" t="n">
        <f aca="false">IF(AND('Daily Workforce'!$N168="Y",'Daily Workforce'!$B168&lt;&gt;"",COUNTIF('Daily Schedule'!$F$5:$F8,'Daily Workforce'!$B168)=0,'Daily Workforce'!$M168="Y",IF(OR('Daily Schedule'!$E$2="Full Day",'Daily Schedule'!$E$2="AM"),'Daily Workforce'!$D168="3:45 AM",IF('Daily Schedule'!$E$2="PM",'Daily Workforce'!$E168="PM",'Daily Workforce'!$E168="Overnight"))),'Daily Workforce'!$V168*1000+168,999999999)</f>
        <v>999999999</v>
      </c>
      <c r="FX5" s="1" t="n">
        <f aca="false">IF(AND('Daily Workforce'!$N169="Y",'Daily Workforce'!$B169&lt;&gt;"",COUNTIF('Daily Schedule'!$F$5:$F8,'Daily Workforce'!$B169)=0,'Daily Workforce'!$M169="Y",IF(OR('Daily Schedule'!$E$2="Full Day",'Daily Schedule'!$E$2="AM"),'Daily Workforce'!$D169="3:45 AM",IF('Daily Schedule'!$E$2="PM",'Daily Workforce'!$E169="PM",'Daily Workforce'!$E169="Overnight"))),'Daily Workforce'!$V169*1000+169,999999999)</f>
        <v>999999999</v>
      </c>
      <c r="FY5" s="1" t="n">
        <f aca="false">IF(AND('Daily Workforce'!$N170="Y",'Daily Workforce'!$B170&lt;&gt;"",COUNTIF('Daily Schedule'!$F$5:$F8,'Daily Workforce'!$B170)=0,'Daily Workforce'!$M170="Y",IF(OR('Daily Schedule'!$E$2="Full Day",'Daily Schedule'!$E$2="AM"),'Daily Workforce'!$D170="3:45 AM",IF('Daily Schedule'!$E$2="PM",'Daily Workforce'!$E170="PM",'Daily Workforce'!$E170="Overnight"))),'Daily Workforce'!$V170*1000+170,999999999)</f>
        <v>999999999</v>
      </c>
      <c r="FZ5" s="1" t="n">
        <f aca="false">IF(AND('Daily Workforce'!$N171="Y",'Daily Workforce'!$B171&lt;&gt;"",COUNTIF('Daily Schedule'!$F$5:$F8,'Daily Workforce'!$B171)=0,'Daily Workforce'!$M171="Y",IF(OR('Daily Schedule'!$E$2="Full Day",'Daily Schedule'!$E$2="AM"),'Daily Workforce'!$D171="3:45 AM",IF('Daily Schedule'!$E$2="PM",'Daily Workforce'!$E171="PM",'Daily Workforce'!$E171="Overnight"))),'Daily Workforce'!$V171*1000+171,999999999)</f>
        <v>999999999</v>
      </c>
      <c r="GA5" s="1" t="n">
        <f aca="false">IF(AND('Daily Workforce'!$N172="Y",'Daily Workforce'!$B172&lt;&gt;"",COUNTIF('Daily Schedule'!$F$5:$F8,'Daily Workforce'!$B172)=0,'Daily Workforce'!$M172="Y",IF(OR('Daily Schedule'!$E$2="Full Day",'Daily Schedule'!$E$2="AM"),'Daily Workforce'!$D172="3:45 AM",IF('Daily Schedule'!$E$2="PM",'Daily Workforce'!$E172="PM",'Daily Workforce'!$E172="Overnight"))),'Daily Workforce'!$V172*1000+172,999999999)</f>
        <v>999999999</v>
      </c>
      <c r="GB5" s="1" t="n">
        <f aca="false">IF(AND('Daily Workforce'!$N173="Y",'Daily Workforce'!$B173&lt;&gt;"",COUNTIF('Daily Schedule'!$F$5:$F8,'Daily Workforce'!$B173)=0,'Daily Workforce'!$M173="Y",IF(OR('Daily Schedule'!$E$2="Full Day",'Daily Schedule'!$E$2="AM"),'Daily Workforce'!$D173="3:45 AM",IF('Daily Schedule'!$E$2="PM",'Daily Workforce'!$E173="PM",'Daily Workforce'!$E173="Overnight"))),'Daily Workforce'!$V173*1000+173,999999999)</f>
        <v>999999999</v>
      </c>
      <c r="GC5" s="1" t="n">
        <f aca="false">IF(AND('Daily Workforce'!$N174="Y",'Daily Workforce'!$B174&lt;&gt;"",COUNTIF('Daily Schedule'!$F$5:$F8,'Daily Workforce'!$B174)=0,'Daily Workforce'!$M174="Y",IF(OR('Daily Schedule'!$E$2="Full Day",'Daily Schedule'!$E$2="AM"),'Daily Workforce'!$D174="3:45 AM",IF('Daily Schedule'!$E$2="PM",'Daily Workforce'!$E174="PM",'Daily Workforce'!$E174="Overnight"))),'Daily Workforce'!$V174*1000+174,999999999)</f>
        <v>999999999</v>
      </c>
      <c r="GD5" s="1" t="n">
        <f aca="false">IF(AND('Daily Workforce'!$N175="Y",'Daily Workforce'!$B175&lt;&gt;"",COUNTIF('Daily Schedule'!$F$5:$F8,'Daily Workforce'!$B175)=0,'Daily Workforce'!$M175="Y",IF(OR('Daily Schedule'!$E$2="Full Day",'Daily Schedule'!$E$2="AM"),'Daily Workforce'!$D175="3:45 AM",IF('Daily Schedule'!$E$2="PM",'Daily Workforce'!$E175="PM",'Daily Workforce'!$E175="Overnight"))),'Daily Workforce'!$V175*1000+175,999999999)</f>
        <v>999999999</v>
      </c>
      <c r="GE5" s="1" t="n">
        <f aca="false">IF(AND('Daily Workforce'!$N176="Y",'Daily Workforce'!$B176&lt;&gt;"",COUNTIF('Daily Schedule'!$F$5:$F8,'Daily Workforce'!$B176)=0,'Daily Workforce'!$M176="Y",IF(OR('Daily Schedule'!$E$2="Full Day",'Daily Schedule'!$E$2="AM"),'Daily Workforce'!$D176="3:45 AM",IF('Daily Schedule'!$E$2="PM",'Daily Workforce'!$E176="PM",'Daily Workforce'!$E176="Overnight"))),'Daily Workforce'!$V176*1000+176,999999999)</f>
        <v>999999999</v>
      </c>
      <c r="GF5" s="1" t="n">
        <f aca="false">IF(AND('Daily Workforce'!$N177="Y",'Daily Workforce'!$B177&lt;&gt;"",COUNTIF('Daily Schedule'!$F$5:$F8,'Daily Workforce'!$B177)=0,'Daily Workforce'!$M177="Y",IF(OR('Daily Schedule'!$E$2="Full Day",'Daily Schedule'!$E$2="AM"),'Daily Workforce'!$D177="3:45 AM",IF('Daily Schedule'!$E$2="PM",'Daily Workforce'!$E177="PM",'Daily Workforce'!$E177="Overnight"))),'Daily Workforce'!$V177*1000+177,999999999)</f>
        <v>999999999</v>
      </c>
      <c r="GG5" s="1" t="n">
        <f aca="false">IF(AND('Daily Workforce'!$N178="Y",'Daily Workforce'!$B178&lt;&gt;"",COUNTIF('Daily Schedule'!$F$5:$F8,'Daily Workforce'!$B178)=0,'Daily Workforce'!$M178="Y",IF(OR('Daily Schedule'!$E$2="Full Day",'Daily Schedule'!$E$2="AM"),'Daily Workforce'!$D178="3:45 AM",IF('Daily Schedule'!$E$2="PM",'Daily Workforce'!$E178="PM",'Daily Workforce'!$E178="Overnight"))),'Daily Workforce'!$V178*1000+178,999999999)</f>
        <v>999999999</v>
      </c>
      <c r="GH5" s="1" t="n">
        <f aca="false">IF(AND('Daily Workforce'!$N179="Y",'Daily Workforce'!$B179&lt;&gt;"",COUNTIF('Daily Schedule'!$F$5:$F8,'Daily Workforce'!$B179)=0,'Daily Workforce'!$M179="Y",IF(OR('Daily Schedule'!$E$2="Full Day",'Daily Schedule'!$E$2="AM"),'Daily Workforce'!$D179="3:45 AM",IF('Daily Schedule'!$E$2="PM",'Daily Workforce'!$E179="PM",'Daily Workforce'!$E179="Overnight"))),'Daily Workforce'!$V179*1000+179,999999999)</f>
        <v>999999999</v>
      </c>
      <c r="GI5" s="1" t="n">
        <f aca="false">IF(AND('Daily Workforce'!$N180="Y",'Daily Workforce'!$B180&lt;&gt;"",COUNTIF('Daily Schedule'!$F$5:$F8,'Daily Workforce'!$B180)=0,'Daily Workforce'!$M180="Y",IF(OR('Daily Schedule'!$E$2="Full Day",'Daily Schedule'!$E$2="AM"),'Daily Workforce'!$D180="3:45 AM",IF('Daily Schedule'!$E$2="PM",'Daily Workforce'!$E180="PM",'Daily Workforce'!$E180="Overnight"))),'Daily Workforce'!$V180*1000+180,999999999)</f>
        <v>999999999</v>
      </c>
      <c r="GJ5" s="1" t="n">
        <f aca="false">IF(AND('Daily Workforce'!$N181="Y",'Daily Workforce'!$B181&lt;&gt;"",COUNTIF('Daily Schedule'!$F$5:$F8,'Daily Workforce'!$B181)=0,'Daily Workforce'!$M181="Y",IF(OR('Daily Schedule'!$E$2="Full Day",'Daily Schedule'!$E$2="AM"),'Daily Workforce'!$D181="3:45 AM",IF('Daily Schedule'!$E$2="PM",'Daily Workforce'!$E181="PM",'Daily Workforce'!$E181="Overnight"))),'Daily Workforce'!$V181*1000+181,999999999)</f>
        <v>999999999</v>
      </c>
      <c r="GK5" s="1" t="n">
        <f aca="false">IF(AND('Daily Workforce'!$N182="Y",'Daily Workforce'!$B182&lt;&gt;"",COUNTIF('Daily Schedule'!$F$5:$F8,'Daily Workforce'!$B182)=0,'Daily Workforce'!$M182="Y",IF(OR('Daily Schedule'!$E$2="Full Day",'Daily Schedule'!$E$2="AM"),'Daily Workforce'!$D182="3:45 AM",IF('Daily Schedule'!$E$2="PM",'Daily Workforce'!$E182="PM",'Daily Workforce'!$E182="Overnight"))),'Daily Workforce'!$V182*1000+182,999999999)</f>
        <v>999999999</v>
      </c>
      <c r="GL5" s="1" t="n">
        <f aca="false">IF(AND('Daily Workforce'!$N183="Y",'Daily Workforce'!$B183&lt;&gt;"",COUNTIF('Daily Schedule'!$F$5:$F8,'Daily Workforce'!$B183)=0,'Daily Workforce'!$M183="Y",IF(OR('Daily Schedule'!$E$2="Full Day",'Daily Schedule'!$E$2="AM"),'Daily Workforce'!$D183="3:45 AM",IF('Daily Schedule'!$E$2="PM",'Daily Workforce'!$E183="PM",'Daily Workforce'!$E183="Overnight"))),'Daily Workforce'!$V183*1000+183,999999999)</f>
        <v>999999999</v>
      </c>
      <c r="GM5" s="1" t="n">
        <f aca="false">IF(AND('Daily Workforce'!$N184="Y",'Daily Workforce'!$B184&lt;&gt;"",COUNTIF('Daily Schedule'!$F$5:$F8,'Daily Workforce'!$B184)=0,'Daily Workforce'!$M184="Y",IF(OR('Daily Schedule'!$E$2="Full Day",'Daily Schedule'!$E$2="AM"),'Daily Workforce'!$D184="3:45 AM",IF('Daily Schedule'!$E$2="PM",'Daily Workforce'!$E184="PM",'Daily Workforce'!$E184="Overnight"))),'Daily Workforce'!$V184*1000+184,999999999)</f>
        <v>999999999</v>
      </c>
      <c r="GN5" s="1" t="n">
        <f aca="false">IF(AND('Daily Workforce'!$N185="Y",'Daily Workforce'!$B185&lt;&gt;"",COUNTIF('Daily Schedule'!$F$5:$F8,'Daily Workforce'!$B185)=0,'Daily Workforce'!$M185="Y",IF(OR('Daily Schedule'!$E$2="Full Day",'Daily Schedule'!$E$2="AM"),'Daily Workforce'!$D185="3:45 AM",IF('Daily Schedule'!$E$2="PM",'Daily Workforce'!$E185="PM",'Daily Workforce'!$E185="Overnight"))),'Daily Workforce'!$V185*1000+185,999999999)</f>
        <v>999999999</v>
      </c>
      <c r="GO5" s="1" t="n">
        <f aca="false">IF(AND('Daily Workforce'!$N186="Y",'Daily Workforce'!$B186&lt;&gt;"",COUNTIF('Daily Schedule'!$F$5:$F8,'Daily Workforce'!$B186)=0,'Daily Workforce'!$M186="Y",IF(OR('Daily Schedule'!$E$2="Full Day",'Daily Schedule'!$E$2="AM"),'Daily Workforce'!$D186="3:45 AM",IF('Daily Schedule'!$E$2="PM",'Daily Workforce'!$E186="PM",'Daily Workforce'!$E186="Overnight"))),'Daily Workforce'!$V186*1000+186,999999999)</f>
        <v>999999999</v>
      </c>
      <c r="GP5" s="1" t="n">
        <f aca="false">IF(AND('Daily Workforce'!$N187="Y",'Daily Workforce'!$B187&lt;&gt;"",COUNTIF('Daily Schedule'!$F$5:$F8,'Daily Workforce'!$B187)=0,'Daily Workforce'!$M187="Y",IF(OR('Daily Schedule'!$E$2="Full Day",'Daily Schedule'!$E$2="AM"),'Daily Workforce'!$D187="3:45 AM",IF('Daily Schedule'!$E$2="PM",'Daily Workforce'!$E187="PM",'Daily Workforce'!$E187="Overnight"))),'Daily Workforce'!$V187*1000+187,999999999)</f>
        <v>999999999</v>
      </c>
      <c r="GQ5" s="1" t="n">
        <f aca="false">IF(AND('Daily Workforce'!$N188="Y",'Daily Workforce'!$B188&lt;&gt;"",COUNTIF('Daily Schedule'!$F$5:$F8,'Daily Workforce'!$B188)=0,'Daily Workforce'!$M188="Y",IF(OR('Daily Schedule'!$E$2="Full Day",'Daily Schedule'!$E$2="AM"),'Daily Workforce'!$D188="3:45 AM",IF('Daily Schedule'!$E$2="PM",'Daily Workforce'!$E188="PM",'Daily Workforce'!$E188="Overnight"))),'Daily Workforce'!$V188*1000+188,999999999)</f>
        <v>999999999</v>
      </c>
      <c r="GR5" s="1" t="n">
        <f aca="false">IF(AND('Daily Workforce'!$N189="Y",'Daily Workforce'!$B189&lt;&gt;"",COUNTIF('Daily Schedule'!$F$5:$F8,'Daily Workforce'!$B189)=0,'Daily Workforce'!$M189="Y",IF(OR('Daily Schedule'!$E$2="Full Day",'Daily Schedule'!$E$2="AM"),'Daily Workforce'!$D189="3:45 AM",IF('Daily Schedule'!$E$2="PM",'Daily Workforce'!$E189="PM",'Daily Workforce'!$E189="Overnight"))),'Daily Workforce'!$V189*1000+189,999999999)</f>
        <v>999999999</v>
      </c>
      <c r="GS5" s="1" t="n">
        <f aca="false">IF(AND('Daily Workforce'!$N190="Y",'Daily Workforce'!$B190&lt;&gt;"",COUNTIF('Daily Schedule'!$F$5:$F8,'Daily Workforce'!$B190)=0,'Daily Workforce'!$M190="Y",IF(OR('Daily Schedule'!$E$2="Full Day",'Daily Schedule'!$E$2="AM"),'Daily Workforce'!$D190="3:45 AM",IF('Daily Schedule'!$E$2="PM",'Daily Workforce'!$E190="PM",'Daily Workforce'!$E190="Overnight"))),'Daily Workforce'!$V190*1000+190,999999999)</f>
        <v>999999999</v>
      </c>
      <c r="GT5" s="1" t="n">
        <f aca="false">IF(AND('Daily Workforce'!$N191="Y",'Daily Workforce'!$B191&lt;&gt;"",COUNTIF('Daily Schedule'!$F$5:$F8,'Daily Workforce'!$B191)=0,'Daily Workforce'!$M191="Y",IF(OR('Daily Schedule'!$E$2="Full Day",'Daily Schedule'!$E$2="AM"),'Daily Workforce'!$D191="3:45 AM",IF('Daily Schedule'!$E$2="PM",'Daily Workforce'!$E191="PM",'Daily Workforce'!$E191="Overnight"))),'Daily Workforce'!$V191*1000+191,999999999)</f>
        <v>999999999</v>
      </c>
      <c r="GU5" s="1" t="n">
        <f aca="false">IF(AND('Daily Workforce'!$N192="Y",'Daily Workforce'!$B192&lt;&gt;"",COUNTIF('Daily Schedule'!$F$5:$F8,'Daily Workforce'!$B192)=0,'Daily Workforce'!$M192="Y",IF(OR('Daily Schedule'!$E$2="Full Day",'Daily Schedule'!$E$2="AM"),'Daily Workforce'!$D192="3:45 AM",IF('Daily Schedule'!$E$2="PM",'Daily Workforce'!$E192="PM",'Daily Workforce'!$E192="Overnight"))),'Daily Workforce'!$V192*1000+192,999999999)</f>
        <v>999999999</v>
      </c>
      <c r="GV5" s="1" t="n">
        <f aca="false">IF(AND('Daily Workforce'!$N193="Y",'Daily Workforce'!$B193&lt;&gt;"",COUNTIF('Daily Schedule'!$F$5:$F8,'Daily Workforce'!$B193)=0,'Daily Workforce'!$M193="Y",IF(OR('Daily Schedule'!$E$2="Full Day",'Daily Schedule'!$E$2="AM"),'Daily Workforce'!$D193="3:45 AM",IF('Daily Schedule'!$E$2="PM",'Daily Workforce'!$E193="PM",'Daily Workforce'!$E193="Overnight"))),'Daily Workforce'!$V193*1000+193,999999999)</f>
        <v>999999999</v>
      </c>
      <c r="GW5" s="1" t="n">
        <f aca="false">IF(AND('Daily Workforce'!$N194="Y",'Daily Workforce'!$B194&lt;&gt;"",COUNTIF('Daily Schedule'!$F$5:$F8,'Daily Workforce'!$B194)=0,'Daily Workforce'!$M194="Y",IF(OR('Daily Schedule'!$E$2="Full Day",'Daily Schedule'!$E$2="AM"),'Daily Workforce'!$D194="3:45 AM",IF('Daily Schedule'!$E$2="PM",'Daily Workforce'!$E194="PM",'Daily Workforce'!$E194="Overnight"))),'Daily Workforce'!$V194*1000+194,999999999)</f>
        <v>999999999</v>
      </c>
      <c r="GX5" s="1" t="n">
        <f aca="false">IF(AND('Daily Workforce'!$N195="Y",'Daily Workforce'!$B195&lt;&gt;"",COUNTIF('Daily Schedule'!$F$5:$F8,'Daily Workforce'!$B195)=0,'Daily Workforce'!$M195="Y",IF(OR('Daily Schedule'!$E$2="Full Day",'Daily Schedule'!$E$2="AM"),'Daily Workforce'!$D195="3:45 AM",IF('Daily Schedule'!$E$2="PM",'Daily Workforce'!$E195="PM",'Daily Workforce'!$E195="Overnight"))),'Daily Workforce'!$V195*1000+195,999999999)</f>
        <v>999999999</v>
      </c>
      <c r="GY5" s="1" t="n">
        <f aca="false">IF(AND('Daily Workforce'!$N196="Y",'Daily Workforce'!$B196&lt;&gt;"",COUNTIF('Daily Schedule'!$F$5:$F8,'Daily Workforce'!$B196)=0,'Daily Workforce'!$M196="Y",IF(OR('Daily Schedule'!$E$2="Full Day",'Daily Schedule'!$E$2="AM"),'Daily Workforce'!$D196="3:45 AM",IF('Daily Schedule'!$E$2="PM",'Daily Workforce'!$E196="PM",'Daily Workforce'!$E196="Overnight"))),'Daily Workforce'!$V196*1000+196,999999999)</f>
        <v>999999999</v>
      </c>
      <c r="GZ5" s="1" t="n">
        <f aca="false">IF(AND('Daily Workforce'!$N197="Y",'Daily Workforce'!$B197&lt;&gt;"",COUNTIF('Daily Schedule'!$F$5:$F8,'Daily Workforce'!$B197)=0,'Daily Workforce'!$M197="Y",IF(OR('Daily Schedule'!$E$2="Full Day",'Daily Schedule'!$E$2="AM"),'Daily Workforce'!$D197="3:45 AM",IF('Daily Schedule'!$E$2="PM",'Daily Workforce'!$E197="PM",'Daily Workforce'!$E197="Overnight"))),'Daily Workforce'!$V197*1000+197,999999999)</f>
        <v>999999999</v>
      </c>
      <c r="HA5" s="1" t="n">
        <f aca="false">IF(AND('Daily Workforce'!$N198="Y",'Daily Workforce'!$B198&lt;&gt;"",COUNTIF('Daily Schedule'!$F$5:$F8,'Daily Workforce'!$B198)=0,'Daily Workforce'!$M198="Y",IF(OR('Daily Schedule'!$E$2="Full Day",'Daily Schedule'!$E$2="AM"),'Daily Workforce'!$D198="3:45 AM",IF('Daily Schedule'!$E$2="PM",'Daily Workforce'!$E198="PM",'Daily Workforce'!$E198="Overnight"))),'Daily Workforce'!$V198*1000+198,999999999)</f>
        <v>999999999</v>
      </c>
      <c r="HB5" s="1" t="n">
        <f aca="false">IF(AND('Daily Workforce'!$N199="Y",'Daily Workforce'!$B199&lt;&gt;"",COUNTIF('Daily Schedule'!$F$5:$F8,'Daily Workforce'!$B199)=0,'Daily Workforce'!$M199="Y",IF(OR('Daily Schedule'!$E$2="Full Day",'Daily Schedule'!$E$2="AM"),'Daily Workforce'!$D199="3:45 AM",IF('Daily Schedule'!$E$2="PM",'Daily Workforce'!$E199="PM",'Daily Workforce'!$E199="Overnight"))),'Daily Workforce'!$V199*1000+199,999999999)</f>
        <v>999999999</v>
      </c>
      <c r="HC5" s="1" t="n">
        <f aca="false">IF(AND('Daily Workforce'!$N200="Y",'Daily Workforce'!$B200&lt;&gt;"",COUNTIF('Daily Schedule'!$F$5:$F8,'Daily Workforce'!$B200)=0,'Daily Workforce'!$M200="Y",IF(OR('Daily Schedule'!$E$2="Full Day",'Daily Schedule'!$E$2="AM"),'Daily Workforce'!$D200="3:45 AM",IF('Daily Schedule'!$E$2="PM",'Daily Workforce'!$E200="PM",'Daily Workforce'!$E200="Overnight"))),'Daily Workforce'!$V200*1000+200,999999999)</f>
        <v>999999999</v>
      </c>
      <c r="HD5" s="1" t="n">
        <f aca="false">IF(AND('Daily Workforce'!$N201="Y",'Daily Workforce'!$B201&lt;&gt;"",COUNTIF('Daily Schedule'!$F$5:$F8,'Daily Workforce'!$B201)=0,'Daily Workforce'!$M201="Y",IF(OR('Daily Schedule'!$E$2="Full Day",'Daily Schedule'!$E$2="AM"),'Daily Workforce'!$D201="3:45 AM",IF('Daily Schedule'!$E$2="PM",'Daily Workforce'!$E201="PM",'Daily Workforce'!$E201="Overnight"))),'Daily Workforce'!$V201*1000+201,999999999)</f>
        <v>999999999</v>
      </c>
      <c r="HE5" s="1" t="n">
        <f aca="false">IF(AND('Daily Workforce'!$N202="Y",'Daily Workforce'!$B202&lt;&gt;"",COUNTIF('Daily Schedule'!$F$5:$F8,'Daily Workforce'!$B202)=0,'Daily Workforce'!$M202="Y",IF(OR('Daily Schedule'!$E$2="Full Day",'Daily Schedule'!$E$2="AM"),'Daily Workforce'!$D202="3:45 AM",IF('Daily Schedule'!$E$2="PM",'Daily Workforce'!$E202="PM",'Daily Workforce'!$E202="Overnight"))),'Daily Workforce'!$V202*1000+202,999999999)</f>
        <v>999999999</v>
      </c>
      <c r="HF5" s="1" t="n">
        <f aca="false">IF(AND('Daily Workforce'!$N203="Y",'Daily Workforce'!$B203&lt;&gt;"",COUNTIF('Daily Schedule'!$F$5:$F8,'Daily Workforce'!$B203)=0,'Daily Workforce'!$M203="Y",IF(OR('Daily Schedule'!$E$2="Full Day",'Daily Schedule'!$E$2="AM"),'Daily Workforce'!$D203="3:45 AM",IF('Daily Schedule'!$E$2="PM",'Daily Workforce'!$E203="PM",'Daily Workforce'!$E203="Overnight"))),'Daily Workforce'!$V203*1000+203,999999999)</f>
        <v>999999999</v>
      </c>
      <c r="HG5" s="1" t="n">
        <f aca="false">IF(AND('Daily Workforce'!$N204="Y",'Daily Workforce'!$B204&lt;&gt;"",COUNTIF('Daily Schedule'!$F$5:$F8,'Daily Workforce'!$B204)=0,'Daily Workforce'!$M204="Y",IF(OR('Daily Schedule'!$E$2="Full Day",'Daily Schedule'!$E$2="AM"),'Daily Workforce'!$D204="3:45 AM",IF('Daily Schedule'!$E$2="PM",'Daily Workforce'!$E204="PM",'Daily Workforce'!$E204="Overnight"))),'Daily Workforce'!$V204*1000+204,999999999)</f>
        <v>999999999</v>
      </c>
      <c r="HH5" s="1" t="n">
        <f aca="false">IF(AND('Daily Workforce'!$N205="Y",'Daily Workforce'!$B205&lt;&gt;"",COUNTIF('Daily Schedule'!$F$5:$F8,'Daily Workforce'!$B205)=0,'Daily Workforce'!$M205="Y",IF(OR('Daily Schedule'!$E$2="Full Day",'Daily Schedule'!$E$2="AM"),'Daily Workforce'!$D205="3:45 AM",IF('Daily Schedule'!$E$2="PM",'Daily Workforce'!$E205="PM",'Daily Workforce'!$E205="Overnight"))),'Daily Workforce'!$V205*1000+205,999999999)</f>
        <v>999999999</v>
      </c>
      <c r="HI5" s="1" t="n">
        <v>49</v>
      </c>
      <c r="HJ5" s="1" t="str">
        <f aca="false">IF(MIN(HL5:JK5)&gt;=999999999,"",IFERROR(INDEX('Daily Schedule'!$F$6:$F$57,MATCH(MIN(HL5:JK5),HL5:JK5,0)),""))</f>
        <v>EMP-0028</v>
      </c>
      <c r="HK5" s="1" t="n">
        <f aca="false">IF($HJ5="","",IFERROR(INDEX('Daily Schedule'!$A$6:$A$57,MATCH($HJ5,'Daily Schedule'!$F$6:$F$57,0)),""))</f>
        <v>18</v>
      </c>
      <c r="HL5" s="1" t="n">
        <f aca="false">IF(AND('Daily Schedule'!$F$6&lt;&gt;"",'Daily Schedule'!$H$6="5:45 AM",'Daily Schedule'!$D$6&lt;&gt;"Tier 1",IFERROR(INDEX('Daily Workforce'!$M$6:$M$205,MATCH('Daily Schedule'!$F$6,'Daily Workforce'!$B$6:$B$205,0)),"N")="Y",COUNTIF($HJ$1:HJ4,'Daily Schedule'!$F$6)=0),IFERROR(INDEX('Daily Workforce'!$V$6:$V$205,MATCH('Daily Schedule'!$F$6,'Daily Workforce'!$B$6:$B$205,0)),0)*1000+6,999999999)</f>
        <v>999999999</v>
      </c>
      <c r="HM5" s="1" t="n">
        <f aca="false">IF(AND('Daily Schedule'!$F$7&lt;&gt;"",'Daily Schedule'!$H$7="5:45 AM",'Daily Schedule'!$D$7&lt;&gt;"Tier 1",IFERROR(INDEX('Daily Workforce'!$M$6:$M$205,MATCH('Daily Schedule'!$F$7,'Daily Workforce'!$B$6:$B$205,0)),"N")="Y",COUNTIF($HJ$1:HJ4,'Daily Schedule'!$F$7)=0),IFERROR(INDEX('Daily Workforce'!$V$6:$V$205,MATCH('Daily Schedule'!$F$7,'Daily Workforce'!$B$6:$B$205,0)),0)*1000+7,999999999)</f>
        <v>999999999</v>
      </c>
      <c r="HN5" s="1" t="n">
        <f aca="false">IF(AND('Daily Schedule'!$F$8&lt;&gt;"",'Daily Schedule'!$H$8="5:45 AM",'Daily Schedule'!$D$8&lt;&gt;"Tier 1",IFERROR(INDEX('Daily Workforce'!$M$6:$M$205,MATCH('Daily Schedule'!$F$8,'Daily Workforce'!$B$6:$B$205,0)),"N")="Y",COUNTIF($HJ$1:HJ4,'Daily Schedule'!$F$8)=0),IFERROR(INDEX('Daily Workforce'!$V$6:$V$205,MATCH('Daily Schedule'!$F$8,'Daily Workforce'!$B$6:$B$205,0)),0)*1000+8,999999999)</f>
        <v>999999999</v>
      </c>
      <c r="HO5" s="1" t="n">
        <f aca="false">IF(AND('Daily Schedule'!$F$9&lt;&gt;"",'Daily Schedule'!$H$9="5:45 AM",'Daily Schedule'!$D$9&lt;&gt;"Tier 1",IFERROR(INDEX('Daily Workforce'!$M$6:$M$205,MATCH('Daily Schedule'!$F$9,'Daily Workforce'!$B$6:$B$205,0)),"N")="Y",COUNTIF($HJ$1:HJ4,'Daily Schedule'!$F$9)=0),IFERROR(INDEX('Daily Workforce'!$V$6:$V$205,MATCH('Daily Schedule'!$F$9,'Daily Workforce'!$B$6:$B$205,0)),0)*1000+9,999999999)</f>
        <v>999999999</v>
      </c>
      <c r="HP5" s="1" t="n">
        <f aca="false">IF(AND('Daily Schedule'!$F$10&lt;&gt;"",'Daily Schedule'!$H$10="5:45 AM",'Daily Schedule'!$D$10&lt;&gt;"Tier 1",IFERROR(INDEX('Daily Workforce'!$M$6:$M$205,MATCH('Daily Schedule'!$F$10,'Daily Workforce'!$B$6:$B$205,0)),"N")="Y",COUNTIF($HJ$1:HJ4,'Daily Schedule'!$F$10)=0),IFERROR(INDEX('Daily Workforce'!$V$6:$V$205,MATCH('Daily Schedule'!$F$10,'Daily Workforce'!$B$6:$B$205,0)),0)*1000+10,999999999)</f>
        <v>999999999</v>
      </c>
      <c r="HQ5" s="1" t="n">
        <f aca="false">IF(AND('Daily Schedule'!$F$11&lt;&gt;"",'Daily Schedule'!$H$11="5:45 AM",'Daily Schedule'!$D$11&lt;&gt;"Tier 1",IFERROR(INDEX('Daily Workforce'!$M$6:$M$205,MATCH('Daily Schedule'!$F$11,'Daily Workforce'!$B$6:$B$205,0)),"N")="Y",COUNTIF($HJ$1:HJ4,'Daily Schedule'!$F$11)=0),IFERROR(INDEX('Daily Workforce'!$V$6:$V$205,MATCH('Daily Schedule'!$F$11,'Daily Workforce'!$B$6:$B$205,0)),0)*1000+11,999999999)</f>
        <v>999999999</v>
      </c>
      <c r="HR5" s="1" t="n">
        <f aca="false">IF(AND('Daily Schedule'!$F$12&lt;&gt;"",'Daily Schedule'!$H$12="5:45 AM",'Daily Schedule'!$D$12&lt;&gt;"Tier 1",IFERROR(INDEX('Daily Workforce'!$M$6:$M$205,MATCH('Daily Schedule'!$F$12,'Daily Workforce'!$B$6:$B$205,0)),"N")="Y",COUNTIF($HJ$1:HJ4,'Daily Schedule'!$F$12)=0),IFERROR(INDEX('Daily Workforce'!$V$6:$V$205,MATCH('Daily Schedule'!$F$12,'Daily Workforce'!$B$6:$B$205,0)),0)*1000+12,999999999)</f>
        <v>999999999</v>
      </c>
      <c r="HS5" s="1" t="n">
        <f aca="false">IF(AND('Daily Schedule'!$F$13&lt;&gt;"",'Daily Schedule'!$H$13="5:45 AM",'Daily Schedule'!$D$13&lt;&gt;"Tier 1",IFERROR(INDEX('Daily Workforce'!$M$6:$M$205,MATCH('Daily Schedule'!$F$13,'Daily Workforce'!$B$6:$B$205,0)),"N")="Y",COUNTIF($HJ$1:HJ4,'Daily Schedule'!$F$13)=0),IFERROR(INDEX('Daily Workforce'!$V$6:$V$205,MATCH('Daily Schedule'!$F$13,'Daily Workforce'!$B$6:$B$205,0)),0)*1000+13,999999999)</f>
        <v>999999999</v>
      </c>
      <c r="HT5" s="1" t="n">
        <f aca="false">IF(AND('Daily Schedule'!$F$14&lt;&gt;"",'Daily Schedule'!$H$14="5:45 AM",'Daily Schedule'!$D$14&lt;&gt;"Tier 1",IFERROR(INDEX('Daily Workforce'!$M$6:$M$205,MATCH('Daily Schedule'!$F$14,'Daily Workforce'!$B$6:$B$205,0)),"N")="Y",COUNTIF($HJ$1:HJ4,'Daily Schedule'!$F$14)=0),IFERROR(INDEX('Daily Workforce'!$V$6:$V$205,MATCH('Daily Schedule'!$F$14,'Daily Workforce'!$B$6:$B$205,0)),0)*1000+14,999999999)</f>
        <v>999999999</v>
      </c>
      <c r="HU5" s="1" t="n">
        <f aca="false">IF(AND('Daily Schedule'!$F$15&lt;&gt;"",'Daily Schedule'!$H$15="5:45 AM",'Daily Schedule'!$D$15&lt;&gt;"Tier 1",IFERROR(INDEX('Daily Workforce'!$M$6:$M$205,MATCH('Daily Schedule'!$F$15,'Daily Workforce'!$B$6:$B$205,0)),"N")="Y",COUNTIF($HJ$1:HJ4,'Daily Schedule'!$F$15)=0),IFERROR(INDEX('Daily Workforce'!$V$6:$V$205,MATCH('Daily Schedule'!$F$15,'Daily Workforce'!$B$6:$B$205,0)),0)*1000+15,999999999)</f>
        <v>999999999</v>
      </c>
      <c r="HV5" s="1" t="n">
        <f aca="false">IF(AND('Daily Schedule'!$F$16&lt;&gt;"",'Daily Schedule'!$H$16="5:45 AM",'Daily Schedule'!$D$16&lt;&gt;"Tier 1",IFERROR(INDEX('Daily Workforce'!$M$6:$M$205,MATCH('Daily Schedule'!$F$16,'Daily Workforce'!$B$6:$B$205,0)),"N")="Y",COUNTIF($HJ$1:HJ4,'Daily Schedule'!$F$16)=0),IFERROR(INDEX('Daily Workforce'!$V$6:$V$205,MATCH('Daily Schedule'!$F$16,'Daily Workforce'!$B$6:$B$205,0)),0)*1000+16,999999999)</f>
        <v>999999999</v>
      </c>
      <c r="HW5" s="1" t="n">
        <f aca="false">IF(AND('Daily Schedule'!$F$17&lt;&gt;"",'Daily Schedule'!$H$17="5:45 AM",'Daily Schedule'!$D$17&lt;&gt;"Tier 1",IFERROR(INDEX('Daily Workforce'!$M$6:$M$205,MATCH('Daily Schedule'!$F$17,'Daily Workforce'!$B$6:$B$205,0)),"N")="Y",COUNTIF($HJ$1:HJ4,'Daily Schedule'!$F$17)=0),IFERROR(INDEX('Daily Workforce'!$V$6:$V$205,MATCH('Daily Schedule'!$F$17,'Daily Workforce'!$B$6:$B$205,0)),0)*1000+17,999999999)</f>
        <v>999999999</v>
      </c>
      <c r="HX5" s="1" t="n">
        <f aca="false">IF(AND('Daily Schedule'!$F$18&lt;&gt;"",'Daily Schedule'!$H$18="5:45 AM",'Daily Schedule'!$D$18&lt;&gt;"Tier 1",IFERROR(INDEX('Daily Workforce'!$M$6:$M$205,MATCH('Daily Schedule'!$F$18,'Daily Workforce'!$B$6:$B$205,0)),"N")="Y",COUNTIF($HJ$1:HJ4,'Daily Schedule'!$F$18)=0),IFERROR(INDEX('Daily Workforce'!$V$6:$V$205,MATCH('Daily Schedule'!$F$18,'Daily Workforce'!$B$6:$B$205,0)),0)*1000+18,999999999)</f>
        <v>999999999</v>
      </c>
      <c r="HY5" s="1" t="n">
        <f aca="false">IF(AND('Daily Schedule'!$F$19&lt;&gt;"",'Daily Schedule'!$H$19="5:45 AM",'Daily Schedule'!$D$19&lt;&gt;"Tier 1",IFERROR(INDEX('Daily Workforce'!$M$6:$M$205,MATCH('Daily Schedule'!$F$19,'Daily Workforce'!$B$6:$B$205,0)),"N")="Y",COUNTIF($HJ$1:HJ4,'Daily Schedule'!$F$19)=0),IFERROR(INDEX('Daily Workforce'!$V$6:$V$205,MATCH('Daily Schedule'!$F$19,'Daily Workforce'!$B$6:$B$205,0)),0)*1000+19,999999999)</f>
        <v>999999999</v>
      </c>
      <c r="HZ5" s="1" t="n">
        <f aca="false">IF(AND('Daily Schedule'!$F$20&lt;&gt;"",'Daily Schedule'!$H$20="5:45 AM",'Daily Schedule'!$D$20&lt;&gt;"Tier 1",IFERROR(INDEX('Daily Workforce'!$M$6:$M$205,MATCH('Daily Schedule'!$F$20,'Daily Workforce'!$B$6:$B$205,0)),"N")="Y",COUNTIF($HJ$1:HJ4,'Daily Schedule'!$F$20)=0),IFERROR(INDEX('Daily Workforce'!$V$6:$V$205,MATCH('Daily Schedule'!$F$20,'Daily Workforce'!$B$6:$B$205,0)),0)*1000+20,999999999)</f>
        <v>999999999</v>
      </c>
      <c r="IA5" s="1" t="n">
        <f aca="false">IF(AND('Daily Schedule'!$F$21&lt;&gt;"",'Daily Schedule'!$H$21="5:45 AM",'Daily Schedule'!$D$21&lt;&gt;"Tier 1",IFERROR(INDEX('Daily Workforce'!$M$6:$M$205,MATCH('Daily Schedule'!$F$21,'Daily Workforce'!$B$6:$B$205,0)),"N")="Y",COUNTIF($HJ$1:HJ4,'Daily Schedule'!$F$21)=0),IFERROR(INDEX('Daily Workforce'!$V$6:$V$205,MATCH('Daily Schedule'!$F$21,'Daily Workforce'!$B$6:$B$205,0)),0)*1000+21,999999999)</f>
        <v>999999999</v>
      </c>
      <c r="IB5" s="1" t="n">
        <f aca="false">IF(AND('Daily Schedule'!$F$22&lt;&gt;"",'Daily Schedule'!$H$22="5:45 AM",'Daily Schedule'!$D$22&lt;&gt;"Tier 1",IFERROR(INDEX('Daily Workforce'!$M$6:$M$205,MATCH('Daily Schedule'!$F$22,'Daily Workforce'!$B$6:$B$205,0)),"N")="Y",COUNTIF($HJ$1:HJ4,'Daily Schedule'!$F$22)=0),IFERROR(INDEX('Daily Workforce'!$V$6:$V$205,MATCH('Daily Schedule'!$F$22,'Daily Workforce'!$B$6:$B$205,0)),0)*1000+22,999999999)</f>
        <v>999999999</v>
      </c>
      <c r="IC5" s="1" t="n">
        <f aca="false">IF(AND('Daily Schedule'!$F$23&lt;&gt;"",'Daily Schedule'!$H$23="5:45 AM",'Daily Schedule'!$D$23&lt;&gt;"Tier 1",IFERROR(INDEX('Daily Workforce'!$M$6:$M$205,MATCH('Daily Schedule'!$F$23,'Daily Workforce'!$B$6:$B$205,0)),"N")="Y",COUNTIF($HJ$1:HJ4,'Daily Schedule'!$F$23)=0),IFERROR(INDEX('Daily Workforce'!$V$6:$V$205,MATCH('Daily Schedule'!$F$23,'Daily Workforce'!$B$6:$B$205,0)),0)*1000+23,999999999)</f>
        <v>999999999</v>
      </c>
      <c r="ID5" s="1" t="n">
        <f aca="false">IF(AND('Daily Schedule'!$F$24&lt;&gt;"",'Daily Schedule'!$H$24="5:45 AM",'Daily Schedule'!$D$24&lt;&gt;"Tier 1",IFERROR(INDEX('Daily Workforce'!$M$6:$M$205,MATCH('Daily Schedule'!$F$24,'Daily Workforce'!$B$6:$B$205,0)),"N")="Y",COUNTIF($HJ$1:HJ4,'Daily Schedule'!$F$24)=0),IFERROR(INDEX('Daily Workforce'!$V$6:$V$205,MATCH('Daily Schedule'!$F$24,'Daily Workforce'!$B$6:$B$205,0)),0)*1000+24,999999999)</f>
        <v>999999999</v>
      </c>
      <c r="IE5" s="1" t="n">
        <f aca="false">IF(AND('Daily Schedule'!$F$25&lt;&gt;"",'Daily Schedule'!$H$25="5:45 AM",'Daily Schedule'!$D$25&lt;&gt;"Tier 1",IFERROR(INDEX('Daily Workforce'!$M$6:$M$205,MATCH('Daily Schedule'!$F$25,'Daily Workforce'!$B$6:$B$205,0)),"N")="Y",COUNTIF($HJ$1:HJ4,'Daily Schedule'!$F$25)=0),IFERROR(INDEX('Daily Workforce'!$V$6:$V$205,MATCH('Daily Schedule'!$F$25,'Daily Workforce'!$B$6:$B$205,0)),0)*1000+25,999999999)</f>
        <v>999999999</v>
      </c>
      <c r="IF5" s="1" t="n">
        <f aca="false">IF(AND('Daily Schedule'!$F$26&lt;&gt;"",'Daily Schedule'!$H$26="5:45 AM",'Daily Schedule'!$D$26&lt;&gt;"Tier 1",IFERROR(INDEX('Daily Workforce'!$M$6:$M$205,MATCH('Daily Schedule'!$F$26,'Daily Workforce'!$B$6:$B$205,0)),"N")="Y",COUNTIF($HJ$1:HJ4,'Daily Schedule'!$F$26)=0),IFERROR(INDEX('Daily Workforce'!$V$6:$V$205,MATCH('Daily Schedule'!$F$26,'Daily Workforce'!$B$6:$B$205,0)),0)*1000+26,999999999)</f>
        <v>999999999</v>
      </c>
      <c r="IG5" s="1" t="n">
        <f aca="false">IF(AND('Daily Schedule'!$F$27&lt;&gt;"",'Daily Schedule'!$H$27="5:45 AM",'Daily Schedule'!$D$27&lt;&gt;"Tier 1",IFERROR(INDEX('Daily Workforce'!$M$6:$M$205,MATCH('Daily Schedule'!$F$27,'Daily Workforce'!$B$6:$B$205,0)),"N")="Y",COUNTIF($HJ$1:HJ4,'Daily Schedule'!$F$27)=0),IFERROR(INDEX('Daily Workforce'!$V$6:$V$205,MATCH('Daily Schedule'!$F$27,'Daily Workforce'!$B$6:$B$205,0)),0)*1000+27,999999999)</f>
        <v>999999999</v>
      </c>
      <c r="IH5" s="1" t="n">
        <f aca="false">IF(AND('Daily Schedule'!$F$28&lt;&gt;"",'Daily Schedule'!$H$28="5:45 AM",'Daily Schedule'!$D$28&lt;&gt;"Tier 1",IFERROR(INDEX('Daily Workforce'!$M$6:$M$205,MATCH('Daily Schedule'!$F$28,'Daily Workforce'!$B$6:$B$205,0)),"N")="Y",COUNTIF($HJ$1:HJ4,'Daily Schedule'!$F$28)=0),IFERROR(INDEX('Daily Workforce'!$V$6:$V$205,MATCH('Daily Schedule'!$F$28,'Daily Workforce'!$B$6:$B$205,0)),0)*1000+28,999999999)</f>
        <v>999999999</v>
      </c>
      <c r="II5" s="1" t="n">
        <f aca="false">IF(AND('Daily Schedule'!$F$29&lt;&gt;"",'Daily Schedule'!$H$29="5:45 AM",'Daily Schedule'!$D$29&lt;&gt;"Tier 1",IFERROR(INDEX('Daily Workforce'!$M$6:$M$205,MATCH('Daily Schedule'!$F$29,'Daily Workforce'!$B$6:$B$205,0)),"N")="Y",COUNTIF($HJ$1:HJ4,'Daily Schedule'!$F$29)=0),IFERROR(INDEX('Daily Workforce'!$V$6:$V$205,MATCH('Daily Schedule'!$F$29,'Daily Workforce'!$B$6:$B$205,0)),0)*1000+29,999999999)</f>
        <v>999999999</v>
      </c>
      <c r="IJ5" s="1" t="n">
        <f aca="false">IF(AND('Daily Schedule'!$F$30&lt;&gt;"",'Daily Schedule'!$H$30="5:45 AM",'Daily Schedule'!$D$30&lt;&gt;"Tier 1",IFERROR(INDEX('Daily Workforce'!$M$6:$M$205,MATCH('Daily Schedule'!$F$30,'Daily Workforce'!$B$6:$B$205,0)),"N")="Y",COUNTIF($HJ$1:HJ4,'Daily Schedule'!$F$30)=0),IFERROR(INDEX('Daily Workforce'!$V$6:$V$205,MATCH('Daily Schedule'!$F$30,'Daily Workforce'!$B$6:$B$205,0)),0)*1000+30,999999999)</f>
        <v>999999999</v>
      </c>
      <c r="IK5" s="1" t="n">
        <f aca="false">IF(AND('Daily Schedule'!$F$31&lt;&gt;"",'Daily Schedule'!$H$31="5:45 AM",'Daily Schedule'!$D$31&lt;&gt;"Tier 1",IFERROR(INDEX('Daily Workforce'!$M$6:$M$205,MATCH('Daily Schedule'!$F$31,'Daily Workforce'!$B$6:$B$205,0)),"N")="Y",COUNTIF($HJ$1:HJ4,'Daily Schedule'!$F$31)=0),IFERROR(INDEX('Daily Workforce'!$V$6:$V$205,MATCH('Daily Schedule'!$F$31,'Daily Workforce'!$B$6:$B$205,0)),0)*1000+31,999999999)</f>
        <v>999999999</v>
      </c>
      <c r="IL5" s="1" t="n">
        <f aca="false">IF(AND('Daily Schedule'!$F$32&lt;&gt;"",'Daily Schedule'!$H$32="5:45 AM",'Daily Schedule'!$D$32&lt;&gt;"Tier 1",IFERROR(INDEX('Daily Workforce'!$M$6:$M$205,MATCH('Daily Schedule'!$F$32,'Daily Workforce'!$B$6:$B$205,0)),"N")="Y",COUNTIF($HJ$1:HJ4,'Daily Schedule'!$F$32)=0),IFERROR(INDEX('Daily Workforce'!$V$6:$V$205,MATCH('Daily Schedule'!$F$32,'Daily Workforce'!$B$6:$B$205,0)),0)*1000+32,999999999)</f>
        <v>999999999</v>
      </c>
      <c r="IM5" s="1" t="n">
        <f aca="false">IF(AND('Daily Schedule'!$F$33&lt;&gt;"",'Daily Schedule'!$H$33="5:45 AM",'Daily Schedule'!$D$33&lt;&gt;"Tier 1",IFERROR(INDEX('Daily Workforce'!$M$6:$M$205,MATCH('Daily Schedule'!$F$33,'Daily Workforce'!$B$6:$B$205,0)),"N")="Y",COUNTIF($HJ$1:HJ4,'Daily Schedule'!$F$33)=0),IFERROR(INDEX('Daily Workforce'!$V$6:$V$205,MATCH('Daily Schedule'!$F$33,'Daily Workforce'!$B$6:$B$205,0)),0)*1000+33,999999999)</f>
        <v>33</v>
      </c>
      <c r="IN5" s="1" t="n">
        <f aca="false">IF(AND('Daily Schedule'!$F$34&lt;&gt;"",'Daily Schedule'!$H$34="5:45 AM",'Daily Schedule'!$D$34&lt;&gt;"Tier 1",IFERROR(INDEX('Daily Workforce'!$M$6:$M$205,MATCH('Daily Schedule'!$F$34,'Daily Workforce'!$B$6:$B$205,0)),"N")="Y",COUNTIF($HJ$1:HJ4,'Daily Schedule'!$F$34)=0),IFERROR(INDEX('Daily Workforce'!$V$6:$V$205,MATCH('Daily Schedule'!$F$34,'Daily Workforce'!$B$6:$B$205,0)),0)*1000+34,999999999)</f>
        <v>34</v>
      </c>
      <c r="IO5" s="1" t="n">
        <f aca="false">IF(AND('Daily Schedule'!$F$35&lt;&gt;"",'Daily Schedule'!$H$35="5:45 AM",'Daily Schedule'!$D$35&lt;&gt;"Tier 1",IFERROR(INDEX('Daily Workforce'!$M$6:$M$205,MATCH('Daily Schedule'!$F$35,'Daily Workforce'!$B$6:$B$205,0)),"N")="Y",COUNTIF($HJ$1:HJ4,'Daily Schedule'!$F$35)=0),IFERROR(INDEX('Daily Workforce'!$V$6:$V$205,MATCH('Daily Schedule'!$F$35,'Daily Workforce'!$B$6:$B$205,0)),0)*1000+35,999999999)</f>
        <v>35</v>
      </c>
      <c r="IP5" s="1" t="n">
        <f aca="false">IF(AND('Daily Schedule'!$F$36&lt;&gt;"",'Daily Schedule'!$H$36="5:45 AM",'Daily Schedule'!$D$36&lt;&gt;"Tier 1",IFERROR(INDEX('Daily Workforce'!$M$6:$M$205,MATCH('Daily Schedule'!$F$36,'Daily Workforce'!$B$6:$B$205,0)),"N")="Y",COUNTIF($HJ$1:HJ4,'Daily Schedule'!$F$36)=0),IFERROR(INDEX('Daily Workforce'!$V$6:$V$205,MATCH('Daily Schedule'!$F$36,'Daily Workforce'!$B$6:$B$205,0)),0)*1000+36,999999999)</f>
        <v>36</v>
      </c>
      <c r="IQ5" s="1" t="n">
        <f aca="false">IF(AND('Daily Schedule'!$F$37&lt;&gt;"",'Daily Schedule'!$H$37="5:45 AM",'Daily Schedule'!$D$37&lt;&gt;"Tier 1",IFERROR(INDEX('Daily Workforce'!$M$6:$M$205,MATCH('Daily Schedule'!$F$37,'Daily Workforce'!$B$6:$B$205,0)),"N")="Y",COUNTIF($HJ$1:HJ4,'Daily Schedule'!$F$37)=0),IFERROR(INDEX('Daily Workforce'!$V$6:$V$205,MATCH('Daily Schedule'!$F$37,'Daily Workforce'!$B$6:$B$205,0)),0)*1000+37,999999999)</f>
        <v>37</v>
      </c>
      <c r="IR5" s="1" t="n">
        <f aca="false">IF(AND('Daily Schedule'!$F$38&lt;&gt;"",'Daily Schedule'!$H$38="5:45 AM",'Daily Schedule'!$D$38&lt;&gt;"Tier 1",IFERROR(INDEX('Daily Workforce'!$M$6:$M$205,MATCH('Daily Schedule'!$F$38,'Daily Workforce'!$B$6:$B$205,0)),"N")="Y",COUNTIF($HJ$1:HJ4,'Daily Schedule'!$F$38)=0),IFERROR(INDEX('Daily Workforce'!$V$6:$V$205,MATCH('Daily Schedule'!$F$38,'Daily Workforce'!$B$6:$B$205,0)),0)*1000+38,999999999)</f>
        <v>38</v>
      </c>
      <c r="IS5" s="1" t="n">
        <f aca="false">IF(AND('Daily Schedule'!$F$39&lt;&gt;"",'Daily Schedule'!$H$39="5:45 AM",'Daily Schedule'!$D$39&lt;&gt;"Tier 1",IFERROR(INDEX('Daily Workforce'!$M$6:$M$205,MATCH('Daily Schedule'!$F$39,'Daily Workforce'!$B$6:$B$205,0)),"N")="Y",COUNTIF($HJ$1:HJ4,'Daily Schedule'!$F$39)=0),IFERROR(INDEX('Daily Workforce'!$V$6:$V$205,MATCH('Daily Schedule'!$F$39,'Daily Workforce'!$B$6:$B$205,0)),0)*1000+39,999999999)</f>
        <v>39</v>
      </c>
      <c r="IT5" s="1" t="n">
        <f aca="false">IF(AND('Daily Schedule'!$F$40&lt;&gt;"",'Daily Schedule'!$H$40="5:45 AM",'Daily Schedule'!$D$40&lt;&gt;"Tier 1",IFERROR(INDEX('Daily Workforce'!$M$6:$M$205,MATCH('Daily Schedule'!$F$40,'Daily Workforce'!$B$6:$B$205,0)),"N")="Y",COUNTIF($HJ$1:HJ4,'Daily Schedule'!$F$40)=0),IFERROR(INDEX('Daily Workforce'!$V$6:$V$205,MATCH('Daily Schedule'!$F$40,'Daily Workforce'!$B$6:$B$205,0)),0)*1000+40,999999999)</f>
        <v>40</v>
      </c>
      <c r="IU5" s="1" t="n">
        <f aca="false">IF(AND('Daily Schedule'!$F$41&lt;&gt;"",'Daily Schedule'!$H$41="5:45 AM",'Daily Schedule'!$D$41&lt;&gt;"Tier 1",IFERROR(INDEX('Daily Workforce'!$M$6:$M$205,MATCH('Daily Schedule'!$F$41,'Daily Workforce'!$B$6:$B$205,0)),"N")="Y",COUNTIF($HJ$1:HJ4,'Daily Schedule'!$F$41)=0),IFERROR(INDEX('Daily Workforce'!$V$6:$V$205,MATCH('Daily Schedule'!$F$41,'Daily Workforce'!$B$6:$B$205,0)),0)*1000+41,999999999)</f>
        <v>41</v>
      </c>
      <c r="IV5" s="1" t="n">
        <f aca="false">IF(AND('Daily Schedule'!$F$42&lt;&gt;"",'Daily Schedule'!$H$42="5:45 AM",'Daily Schedule'!$D$42&lt;&gt;"Tier 1",IFERROR(INDEX('Daily Workforce'!$M$6:$M$205,MATCH('Daily Schedule'!$F$42,'Daily Workforce'!$B$6:$B$205,0)),"N")="Y",COUNTIF($HJ$1:HJ4,'Daily Schedule'!$F$42)=0),IFERROR(INDEX('Daily Workforce'!$V$6:$V$205,MATCH('Daily Schedule'!$F$42,'Daily Workforce'!$B$6:$B$205,0)),0)*1000+42,999999999)</f>
        <v>42</v>
      </c>
      <c r="IW5" s="1" t="n">
        <f aca="false">IF(AND('Daily Schedule'!$F$43&lt;&gt;"",'Daily Schedule'!$H$43="5:45 AM",'Daily Schedule'!$D$43&lt;&gt;"Tier 1",IFERROR(INDEX('Daily Workforce'!$M$6:$M$205,MATCH('Daily Schedule'!$F$43,'Daily Workforce'!$B$6:$B$205,0)),"N")="Y",COUNTIF($HJ$1:HJ4,'Daily Schedule'!$F$43)=0),IFERROR(INDEX('Daily Workforce'!$V$6:$V$205,MATCH('Daily Schedule'!$F$43,'Daily Workforce'!$B$6:$B$205,0)),0)*1000+43,999999999)</f>
        <v>43</v>
      </c>
      <c r="IX5" s="1" t="n">
        <f aca="false">IF(AND('Daily Schedule'!$F$44&lt;&gt;"",'Daily Schedule'!$H$44="5:45 AM",'Daily Schedule'!$D$44&lt;&gt;"Tier 1",IFERROR(INDEX('Daily Workforce'!$M$6:$M$205,MATCH('Daily Schedule'!$F$44,'Daily Workforce'!$B$6:$B$205,0)),"N")="Y",COUNTIF($HJ$1:HJ4,'Daily Schedule'!$F$44)=0),IFERROR(INDEX('Daily Workforce'!$V$6:$V$205,MATCH('Daily Schedule'!$F$44,'Daily Workforce'!$B$6:$B$205,0)),0)*1000+44,999999999)</f>
        <v>44</v>
      </c>
      <c r="IY5" s="1" t="n">
        <f aca="false">IF(AND('Daily Schedule'!$F$45&lt;&gt;"",'Daily Schedule'!$H$45="5:45 AM",'Daily Schedule'!$D$45&lt;&gt;"Tier 1",IFERROR(INDEX('Daily Workforce'!$M$6:$M$205,MATCH('Daily Schedule'!$F$45,'Daily Workforce'!$B$6:$B$205,0)),"N")="Y",COUNTIF($HJ$1:HJ4,'Daily Schedule'!$F$45)=0),IFERROR(INDEX('Daily Workforce'!$V$6:$V$205,MATCH('Daily Schedule'!$F$45,'Daily Workforce'!$B$6:$B$205,0)),0)*1000+45,999999999)</f>
        <v>45</v>
      </c>
      <c r="IZ5" s="1" t="n">
        <f aca="false">IF(AND('Daily Schedule'!$F$46&lt;&gt;"",'Daily Schedule'!$H$46="5:45 AM",'Daily Schedule'!$D$46&lt;&gt;"Tier 1",IFERROR(INDEX('Daily Workforce'!$M$6:$M$205,MATCH('Daily Schedule'!$F$46,'Daily Workforce'!$B$6:$B$205,0)),"N")="Y",COUNTIF($HJ$1:HJ4,'Daily Schedule'!$F$46)=0),IFERROR(INDEX('Daily Workforce'!$V$6:$V$205,MATCH('Daily Schedule'!$F$46,'Daily Workforce'!$B$6:$B$205,0)),0)*1000+46,999999999)</f>
        <v>46</v>
      </c>
      <c r="JA5" s="1" t="n">
        <f aca="false">IF(AND('Daily Schedule'!$F$47&lt;&gt;"",'Daily Schedule'!$H$47="5:45 AM",'Daily Schedule'!$D$47&lt;&gt;"Tier 1",IFERROR(INDEX('Daily Workforce'!$M$6:$M$205,MATCH('Daily Schedule'!$F$47,'Daily Workforce'!$B$6:$B$205,0)),"N")="Y",COUNTIF($HJ$1:HJ4,'Daily Schedule'!$F$47)=0),IFERROR(INDEX('Daily Workforce'!$V$6:$V$205,MATCH('Daily Schedule'!$F$47,'Daily Workforce'!$B$6:$B$205,0)),0)*1000+47,999999999)</f>
        <v>47</v>
      </c>
      <c r="JB5" s="1" t="n">
        <f aca="false">IF(AND('Daily Schedule'!$F$48&lt;&gt;"",'Daily Schedule'!$H$48="5:45 AM",'Daily Schedule'!$D$48&lt;&gt;"Tier 1",IFERROR(INDEX('Daily Workforce'!$M$6:$M$205,MATCH('Daily Schedule'!$F$48,'Daily Workforce'!$B$6:$B$205,0)),"N")="Y",COUNTIF($HJ$1:HJ4,'Daily Schedule'!$F$48)=0),IFERROR(INDEX('Daily Workforce'!$V$6:$V$205,MATCH('Daily Schedule'!$F$48,'Daily Workforce'!$B$6:$B$205,0)),0)*1000+48,999999999)</f>
        <v>48</v>
      </c>
      <c r="JC5" s="1" t="n">
        <f aca="false">IF(AND('Daily Schedule'!$F$49&lt;&gt;"",'Daily Schedule'!$H$49="5:45 AM",'Daily Schedule'!$D$49&lt;&gt;"Tier 1",IFERROR(INDEX('Daily Workforce'!$M$6:$M$205,MATCH('Daily Schedule'!$F$49,'Daily Workforce'!$B$6:$B$205,0)),"N")="Y",COUNTIF($HJ$1:HJ4,'Daily Schedule'!$F$49)=0),IFERROR(INDEX('Daily Workforce'!$V$6:$V$205,MATCH('Daily Schedule'!$F$49,'Daily Workforce'!$B$6:$B$205,0)),0)*1000+49,999999999)</f>
        <v>49</v>
      </c>
      <c r="JD5" s="1" t="n">
        <f aca="false">IF(AND('Daily Schedule'!$F$50&lt;&gt;"",'Daily Schedule'!$H$50="5:45 AM",'Daily Schedule'!$D$50&lt;&gt;"Tier 1",IFERROR(INDEX('Daily Workforce'!$M$6:$M$205,MATCH('Daily Schedule'!$F$50,'Daily Workforce'!$B$6:$B$205,0)),"N")="Y",COUNTIF($HJ$1:HJ4,'Daily Schedule'!$F$50)=0),IFERROR(INDEX('Daily Workforce'!$V$6:$V$205,MATCH('Daily Schedule'!$F$50,'Daily Workforce'!$B$6:$B$205,0)),0)*1000+50,999999999)</f>
        <v>50</v>
      </c>
      <c r="JE5" s="1" t="n">
        <f aca="false">IF(AND('Daily Schedule'!$F$51&lt;&gt;"",'Daily Schedule'!$H$51="5:45 AM",'Daily Schedule'!$D$51&lt;&gt;"Tier 1",IFERROR(INDEX('Daily Workforce'!$M$6:$M$205,MATCH('Daily Schedule'!$F$51,'Daily Workforce'!$B$6:$B$205,0)),"N")="Y",COUNTIF($HJ$1:HJ4,'Daily Schedule'!$F$51)=0),IFERROR(INDEX('Daily Workforce'!$V$6:$V$205,MATCH('Daily Schedule'!$F$51,'Daily Workforce'!$B$6:$B$205,0)),0)*1000+51,999999999)</f>
        <v>51</v>
      </c>
      <c r="JF5" s="1" t="n">
        <f aca="false">IF(AND('Daily Schedule'!$F$52&lt;&gt;"",'Daily Schedule'!$H$52="5:45 AM",'Daily Schedule'!$D$52&lt;&gt;"Tier 1",IFERROR(INDEX('Daily Workforce'!$M$6:$M$205,MATCH('Daily Schedule'!$F$52,'Daily Workforce'!$B$6:$B$205,0)),"N")="Y",COUNTIF($HJ$1:HJ4,'Daily Schedule'!$F$52)=0),IFERROR(INDEX('Daily Workforce'!$V$6:$V$205,MATCH('Daily Schedule'!$F$52,'Daily Workforce'!$B$6:$B$205,0)),0)*1000+52,999999999)</f>
        <v>52</v>
      </c>
      <c r="JG5" s="1" t="n">
        <f aca="false">IF(AND('Daily Schedule'!$F$53&lt;&gt;"",'Daily Schedule'!$H$53="5:45 AM",'Daily Schedule'!$D$53&lt;&gt;"Tier 1",IFERROR(INDEX('Daily Workforce'!$M$6:$M$205,MATCH('Daily Schedule'!$F$53,'Daily Workforce'!$B$6:$B$205,0)),"N")="Y",COUNTIF($HJ$1:HJ4,'Daily Schedule'!$F$53)=0),IFERROR(INDEX('Daily Workforce'!$V$6:$V$205,MATCH('Daily Schedule'!$F$53,'Daily Workforce'!$B$6:$B$205,0)),0)*1000+53,999999999)</f>
        <v>53</v>
      </c>
      <c r="JH5" s="1" t="n">
        <f aca="false">IF(AND('Daily Schedule'!$F$54&lt;&gt;"",'Daily Schedule'!$H$54="5:45 AM",'Daily Schedule'!$D$54&lt;&gt;"Tier 1",IFERROR(INDEX('Daily Workforce'!$M$6:$M$205,MATCH('Daily Schedule'!$F$54,'Daily Workforce'!$B$6:$B$205,0)),"N")="Y",COUNTIF($HJ$1:HJ4,'Daily Schedule'!$F$54)=0),IFERROR(INDEX('Daily Workforce'!$V$6:$V$205,MATCH('Daily Schedule'!$F$54,'Daily Workforce'!$B$6:$B$205,0)),0)*1000+54,999999999)</f>
        <v>54</v>
      </c>
      <c r="JI5" s="1" t="n">
        <f aca="false">IF(AND('Daily Schedule'!$F$55&lt;&gt;"",'Daily Schedule'!$H$55="5:45 AM",'Daily Schedule'!$D$55&lt;&gt;"Tier 1",IFERROR(INDEX('Daily Workforce'!$M$6:$M$205,MATCH('Daily Schedule'!$F$55,'Daily Workforce'!$B$6:$B$205,0)),"N")="Y",COUNTIF($HJ$1:HJ4,'Daily Schedule'!$F$55)=0),IFERROR(INDEX('Daily Workforce'!$V$6:$V$205,MATCH('Daily Schedule'!$F$55,'Daily Workforce'!$B$6:$B$205,0)),0)*1000+55,999999999)</f>
        <v>55</v>
      </c>
      <c r="JJ5" s="1" t="n">
        <f aca="false">IF(AND('Daily Schedule'!$F$56&lt;&gt;"",'Daily Schedule'!$H$56="5:45 AM",'Daily Schedule'!$D$56&lt;&gt;"Tier 1",IFERROR(INDEX('Daily Workforce'!$M$6:$M$205,MATCH('Daily Schedule'!$F$56,'Daily Workforce'!$B$6:$B$205,0)),"N")="Y",COUNTIF($HJ$1:HJ4,'Daily Schedule'!$F$56)=0),IFERROR(INDEX('Daily Workforce'!$V$6:$V$205,MATCH('Daily Schedule'!$F$56,'Daily Workforce'!$B$6:$B$205,0)),0)*1000+56,999999999)</f>
        <v>56</v>
      </c>
      <c r="JK5" s="1" t="n">
        <f aca="false">IF(AND('Daily Schedule'!$F$57&lt;&gt;"",'Daily Schedule'!$H$57="5:45 AM",'Daily Schedule'!$D$57&lt;&gt;"Tier 1",IFERROR(INDEX('Daily Workforce'!$M$6:$M$205,MATCH('Daily Schedule'!$F$57,'Daily Workforce'!$B$6:$B$205,0)),"N")="Y",COUNTIF($HJ$1:HJ4,'Daily Schedule'!$F$57)=0),IFERROR(INDEX('Daily Workforce'!$V$6:$V$205,MATCH('Daily Schedule'!$F$57,'Daily Workforce'!$B$6:$B$205,0)),0)*1000+57,999999999)</f>
        <v>57</v>
      </c>
      <c r="JL5" s="1" t="n">
        <v>49</v>
      </c>
      <c r="JM5" s="1" t="str">
        <f aca="false">$HJ5</f>
        <v>EMP-0028</v>
      </c>
      <c r="JN5" s="1" t="str">
        <f aca="false">IF($JM5="","",IFERROR(INDEX('Daily Schedule'!$N$6:$N$57,MATCH($JM5,'Daily Schedule'!$F$6:$F$57,0)),""))</f>
        <v>10:00 AM</v>
      </c>
      <c r="JO5" s="1" t="str">
        <f aca="false">IF(MIN(JS5:LR5)&gt;=999999999,"",IFERROR(INDEX('Daily Schedule'!$F$6:$F$57,MATCH(MIN(JS5:LR5),JS5:LR5,0)),""))</f>
        <v>EMP-0105</v>
      </c>
      <c r="JP5" s="1" t="n">
        <f aca="false">IF($JO5="","",IFERROR(INDEX('Daily Schedule'!$A$6:$A$57,MATCH($JO5,'Daily Schedule'!$F$6:$F$57,0)),""))</f>
        <v>21</v>
      </c>
      <c r="JQ5" s="1" t="str">
        <f aca="false">IF($JO5="","",IFERROR(INDEX('Daily Schedule'!$N$6:$N$57,MATCH($JO5,'Daily Schedule'!$F$6:$F$57,0)),""))</f>
        <v>9:00 AM</v>
      </c>
      <c r="JR5" s="1" t="str">
        <f aca="false">IF($JM5="","CORE GAP",IF($JO5="","RELIEF GAP",IF($JN5=$JQ5,"LUNCH CONFLICT","COVERED")))</f>
        <v>COVERED</v>
      </c>
      <c r="JS5" s="1" t="n">
        <f aca="false">IF(AND($JM5&lt;&gt;"",'Daily Schedule'!$F$6&lt;&gt;"",'Daily Schedule'!$H$6="5:45 AM",'Daily Schedule'!$D$6&lt;&gt;"Tier 1",'Daily Schedule'!$N$6&lt;&gt;$JN5,IFERROR(INDEX('Daily Workforce'!$M$6:$M$205,MATCH('Daily Schedule'!$F$6,'Daily Workforce'!$B$6:$B$205,0)),"N")="Y",COUNTIF($HJ$2:$HJ$8,'Daily Schedule'!$F$6)=0,COUNTIF($JO$1:JO4,'Daily Schedule'!$F$6)=0),IF('Daily Schedule'!$D$6="Tier 4",0,IF('Daily Schedule'!$D$6="Tier 3",1,2))*10000000+IFERROR(INDEX('Daily Workforce'!$V$6:$V$205,MATCH('Daily Schedule'!$F$6,'Daily Workforce'!$B$6:$B$205,0)),0)*1000+6,999999999)</f>
        <v>999999999</v>
      </c>
      <c r="JT5" s="1" t="n">
        <f aca="false">IF(AND($JM5&lt;&gt;"",'Daily Schedule'!$F$7&lt;&gt;"",'Daily Schedule'!$H$7="5:45 AM",'Daily Schedule'!$D$7&lt;&gt;"Tier 1",'Daily Schedule'!$N$7&lt;&gt;$JN5,IFERROR(INDEX('Daily Workforce'!$M$6:$M$205,MATCH('Daily Schedule'!$F$7,'Daily Workforce'!$B$6:$B$205,0)),"N")="Y",COUNTIF($HJ$2:$HJ$8,'Daily Schedule'!$F$7)=0,COUNTIF($JO$1:JO4,'Daily Schedule'!$F$7)=0),IF('Daily Schedule'!$D$7="Tier 4",0,IF('Daily Schedule'!$D$7="Tier 3",1,2))*10000000+IFERROR(INDEX('Daily Workforce'!$V$6:$V$205,MATCH('Daily Schedule'!$F$7,'Daily Workforce'!$B$6:$B$205,0)),0)*1000+7,999999999)</f>
        <v>999999999</v>
      </c>
      <c r="JU5" s="1" t="n">
        <f aca="false">IF(AND($JM5&lt;&gt;"",'Daily Schedule'!$F$8&lt;&gt;"",'Daily Schedule'!$H$8="5:45 AM",'Daily Schedule'!$D$8&lt;&gt;"Tier 1",'Daily Schedule'!$N$8&lt;&gt;$JN5,IFERROR(INDEX('Daily Workforce'!$M$6:$M$205,MATCH('Daily Schedule'!$F$8,'Daily Workforce'!$B$6:$B$205,0)),"N")="Y",COUNTIF($HJ$2:$HJ$8,'Daily Schedule'!$F$8)=0,COUNTIF($JO$1:JO4,'Daily Schedule'!$F$8)=0),IF('Daily Schedule'!$D$8="Tier 4",0,IF('Daily Schedule'!$D$8="Tier 3",1,2))*10000000+IFERROR(INDEX('Daily Workforce'!$V$6:$V$205,MATCH('Daily Schedule'!$F$8,'Daily Workforce'!$B$6:$B$205,0)),0)*1000+8,999999999)</f>
        <v>999999999</v>
      </c>
      <c r="JV5" s="1" t="n">
        <f aca="false">IF(AND($JM5&lt;&gt;"",'Daily Schedule'!$F$9&lt;&gt;"",'Daily Schedule'!$H$9="5:45 AM",'Daily Schedule'!$D$9&lt;&gt;"Tier 1",'Daily Schedule'!$N$9&lt;&gt;$JN5,IFERROR(INDEX('Daily Workforce'!$M$6:$M$205,MATCH('Daily Schedule'!$F$9,'Daily Workforce'!$B$6:$B$205,0)),"N")="Y",COUNTIF($HJ$2:$HJ$8,'Daily Schedule'!$F$9)=0,COUNTIF($JO$1:JO4,'Daily Schedule'!$F$9)=0),IF('Daily Schedule'!$D$9="Tier 4",0,IF('Daily Schedule'!$D$9="Tier 3",1,2))*10000000+IFERROR(INDEX('Daily Workforce'!$V$6:$V$205,MATCH('Daily Schedule'!$F$9,'Daily Workforce'!$B$6:$B$205,0)),0)*1000+9,999999999)</f>
        <v>999999999</v>
      </c>
      <c r="JW5" s="1" t="n">
        <f aca="false">IF(AND($JM5&lt;&gt;"",'Daily Schedule'!$F$10&lt;&gt;"",'Daily Schedule'!$H$10="5:45 AM",'Daily Schedule'!$D$10&lt;&gt;"Tier 1",'Daily Schedule'!$N$10&lt;&gt;$JN5,IFERROR(INDEX('Daily Workforce'!$M$6:$M$205,MATCH('Daily Schedule'!$F$10,'Daily Workforce'!$B$6:$B$205,0)),"N")="Y",COUNTIF($HJ$2:$HJ$8,'Daily Schedule'!$F$10)=0,COUNTIF($JO$1:JO4,'Daily Schedule'!$F$10)=0),IF('Daily Schedule'!$D$10="Tier 4",0,IF('Daily Schedule'!$D$10="Tier 3",1,2))*10000000+IFERROR(INDEX('Daily Workforce'!$V$6:$V$205,MATCH('Daily Schedule'!$F$10,'Daily Workforce'!$B$6:$B$205,0)),0)*1000+10,999999999)</f>
        <v>999999999</v>
      </c>
      <c r="JX5" s="1" t="n">
        <f aca="false">IF(AND($JM5&lt;&gt;"",'Daily Schedule'!$F$11&lt;&gt;"",'Daily Schedule'!$H$11="5:45 AM",'Daily Schedule'!$D$11&lt;&gt;"Tier 1",'Daily Schedule'!$N$11&lt;&gt;$JN5,IFERROR(INDEX('Daily Workforce'!$M$6:$M$205,MATCH('Daily Schedule'!$F$11,'Daily Workforce'!$B$6:$B$205,0)),"N")="Y",COUNTIF($HJ$2:$HJ$8,'Daily Schedule'!$F$11)=0,COUNTIF($JO$1:JO4,'Daily Schedule'!$F$11)=0),IF('Daily Schedule'!$D$11="Tier 4",0,IF('Daily Schedule'!$D$11="Tier 3",1,2))*10000000+IFERROR(INDEX('Daily Workforce'!$V$6:$V$205,MATCH('Daily Schedule'!$F$11,'Daily Workforce'!$B$6:$B$205,0)),0)*1000+11,999999999)</f>
        <v>999999999</v>
      </c>
      <c r="JY5" s="1" t="n">
        <f aca="false">IF(AND($JM5&lt;&gt;"",'Daily Schedule'!$F$12&lt;&gt;"",'Daily Schedule'!$H$12="5:45 AM",'Daily Schedule'!$D$12&lt;&gt;"Tier 1",'Daily Schedule'!$N$12&lt;&gt;$JN5,IFERROR(INDEX('Daily Workforce'!$M$6:$M$205,MATCH('Daily Schedule'!$F$12,'Daily Workforce'!$B$6:$B$205,0)),"N")="Y",COUNTIF($HJ$2:$HJ$8,'Daily Schedule'!$F$12)=0,COUNTIF($JO$1:JO4,'Daily Schedule'!$F$12)=0),IF('Daily Schedule'!$D$12="Tier 4",0,IF('Daily Schedule'!$D$12="Tier 3",1,2))*10000000+IFERROR(INDEX('Daily Workforce'!$V$6:$V$205,MATCH('Daily Schedule'!$F$12,'Daily Workforce'!$B$6:$B$205,0)),0)*1000+12,999999999)</f>
        <v>999999999</v>
      </c>
      <c r="JZ5" s="1" t="n">
        <f aca="false">IF(AND($JM5&lt;&gt;"",'Daily Schedule'!$F$13&lt;&gt;"",'Daily Schedule'!$H$13="5:45 AM",'Daily Schedule'!$D$13&lt;&gt;"Tier 1",'Daily Schedule'!$N$13&lt;&gt;$JN5,IFERROR(INDEX('Daily Workforce'!$M$6:$M$205,MATCH('Daily Schedule'!$F$13,'Daily Workforce'!$B$6:$B$205,0)),"N")="Y",COUNTIF($HJ$2:$HJ$8,'Daily Schedule'!$F$13)=0,COUNTIF($JO$1:JO4,'Daily Schedule'!$F$13)=0),IF('Daily Schedule'!$D$13="Tier 4",0,IF('Daily Schedule'!$D$13="Tier 3",1,2))*10000000+IFERROR(INDEX('Daily Workforce'!$V$6:$V$205,MATCH('Daily Schedule'!$F$13,'Daily Workforce'!$B$6:$B$205,0)),0)*1000+13,999999999)</f>
        <v>999999999</v>
      </c>
      <c r="KA5" s="1" t="n">
        <f aca="false">IF(AND($JM5&lt;&gt;"",'Daily Schedule'!$F$14&lt;&gt;"",'Daily Schedule'!$H$14="5:45 AM",'Daily Schedule'!$D$14&lt;&gt;"Tier 1",'Daily Schedule'!$N$14&lt;&gt;$JN5,IFERROR(INDEX('Daily Workforce'!$M$6:$M$205,MATCH('Daily Schedule'!$F$14,'Daily Workforce'!$B$6:$B$205,0)),"N")="Y",COUNTIF($HJ$2:$HJ$8,'Daily Schedule'!$F$14)=0,COUNTIF($JO$1:JO4,'Daily Schedule'!$F$14)=0),IF('Daily Schedule'!$D$14="Tier 4",0,IF('Daily Schedule'!$D$14="Tier 3",1,2))*10000000+IFERROR(INDEX('Daily Workforce'!$V$6:$V$205,MATCH('Daily Schedule'!$F$14,'Daily Workforce'!$B$6:$B$205,0)),0)*1000+14,999999999)</f>
        <v>999999999</v>
      </c>
      <c r="KB5" s="1" t="n">
        <f aca="false">IF(AND($JM5&lt;&gt;"",'Daily Schedule'!$F$15&lt;&gt;"",'Daily Schedule'!$H$15="5:45 AM",'Daily Schedule'!$D$15&lt;&gt;"Tier 1",'Daily Schedule'!$N$15&lt;&gt;$JN5,IFERROR(INDEX('Daily Workforce'!$M$6:$M$205,MATCH('Daily Schedule'!$F$15,'Daily Workforce'!$B$6:$B$205,0)),"N")="Y",COUNTIF($HJ$2:$HJ$8,'Daily Schedule'!$F$15)=0,COUNTIF($JO$1:JO4,'Daily Schedule'!$F$15)=0),IF('Daily Schedule'!$D$15="Tier 4",0,IF('Daily Schedule'!$D$15="Tier 3",1,2))*10000000+IFERROR(INDEX('Daily Workforce'!$V$6:$V$205,MATCH('Daily Schedule'!$F$15,'Daily Workforce'!$B$6:$B$205,0)),0)*1000+15,999999999)</f>
        <v>999999999</v>
      </c>
      <c r="KC5" s="1" t="n">
        <f aca="false">IF(AND($JM5&lt;&gt;"",'Daily Schedule'!$F$16&lt;&gt;"",'Daily Schedule'!$H$16="5:45 AM",'Daily Schedule'!$D$16&lt;&gt;"Tier 1",'Daily Schedule'!$N$16&lt;&gt;$JN5,IFERROR(INDEX('Daily Workforce'!$M$6:$M$205,MATCH('Daily Schedule'!$F$16,'Daily Workforce'!$B$6:$B$205,0)),"N")="Y",COUNTIF($HJ$2:$HJ$8,'Daily Schedule'!$F$16)=0,COUNTIF($JO$1:JO4,'Daily Schedule'!$F$16)=0),IF('Daily Schedule'!$D$16="Tier 4",0,IF('Daily Schedule'!$D$16="Tier 3",1,2))*10000000+IFERROR(INDEX('Daily Workforce'!$V$6:$V$205,MATCH('Daily Schedule'!$F$16,'Daily Workforce'!$B$6:$B$205,0)),0)*1000+16,999999999)</f>
        <v>999999999</v>
      </c>
      <c r="KD5" s="1" t="n">
        <f aca="false">IF(AND($JM5&lt;&gt;"",'Daily Schedule'!$F$17&lt;&gt;"",'Daily Schedule'!$H$17="5:45 AM",'Daily Schedule'!$D$17&lt;&gt;"Tier 1",'Daily Schedule'!$N$17&lt;&gt;$JN5,IFERROR(INDEX('Daily Workforce'!$M$6:$M$205,MATCH('Daily Schedule'!$F$17,'Daily Workforce'!$B$6:$B$205,0)),"N")="Y",COUNTIF($HJ$2:$HJ$8,'Daily Schedule'!$F$17)=0,COUNTIF($JO$1:JO4,'Daily Schedule'!$F$17)=0),IF('Daily Schedule'!$D$17="Tier 4",0,IF('Daily Schedule'!$D$17="Tier 3",1,2))*10000000+IFERROR(INDEX('Daily Workforce'!$V$6:$V$205,MATCH('Daily Schedule'!$F$17,'Daily Workforce'!$B$6:$B$205,0)),0)*1000+17,999999999)</f>
        <v>999999999</v>
      </c>
      <c r="KE5" s="1" t="n">
        <f aca="false">IF(AND($JM5&lt;&gt;"",'Daily Schedule'!$F$18&lt;&gt;"",'Daily Schedule'!$H$18="5:45 AM",'Daily Schedule'!$D$18&lt;&gt;"Tier 1",'Daily Schedule'!$N$18&lt;&gt;$JN5,IFERROR(INDEX('Daily Workforce'!$M$6:$M$205,MATCH('Daily Schedule'!$F$18,'Daily Workforce'!$B$6:$B$205,0)),"N")="Y",COUNTIF($HJ$2:$HJ$8,'Daily Schedule'!$F$18)=0,COUNTIF($JO$1:JO4,'Daily Schedule'!$F$18)=0),IF('Daily Schedule'!$D$18="Tier 4",0,IF('Daily Schedule'!$D$18="Tier 3",1,2))*10000000+IFERROR(INDEX('Daily Workforce'!$V$6:$V$205,MATCH('Daily Schedule'!$F$18,'Daily Workforce'!$B$6:$B$205,0)),0)*1000+18,999999999)</f>
        <v>999999999</v>
      </c>
      <c r="KF5" s="1" t="n">
        <f aca="false">IF(AND($JM5&lt;&gt;"",'Daily Schedule'!$F$19&lt;&gt;"",'Daily Schedule'!$H$19="5:45 AM",'Daily Schedule'!$D$19&lt;&gt;"Tier 1",'Daily Schedule'!$N$19&lt;&gt;$JN5,IFERROR(INDEX('Daily Workforce'!$M$6:$M$205,MATCH('Daily Schedule'!$F$19,'Daily Workforce'!$B$6:$B$205,0)),"N")="Y",COUNTIF($HJ$2:$HJ$8,'Daily Schedule'!$F$19)=0,COUNTIF($JO$1:JO4,'Daily Schedule'!$F$19)=0),IF('Daily Schedule'!$D$19="Tier 4",0,IF('Daily Schedule'!$D$19="Tier 3",1,2))*10000000+IFERROR(INDEX('Daily Workforce'!$V$6:$V$205,MATCH('Daily Schedule'!$F$19,'Daily Workforce'!$B$6:$B$205,0)),0)*1000+19,999999999)</f>
        <v>999999999</v>
      </c>
      <c r="KG5" s="1" t="n">
        <f aca="false">IF(AND($JM5&lt;&gt;"",'Daily Schedule'!$F$20&lt;&gt;"",'Daily Schedule'!$H$20="5:45 AM",'Daily Schedule'!$D$20&lt;&gt;"Tier 1",'Daily Schedule'!$N$20&lt;&gt;$JN5,IFERROR(INDEX('Daily Workforce'!$M$6:$M$205,MATCH('Daily Schedule'!$F$20,'Daily Workforce'!$B$6:$B$205,0)),"N")="Y",COUNTIF($HJ$2:$HJ$8,'Daily Schedule'!$F$20)=0,COUNTIF($JO$1:JO4,'Daily Schedule'!$F$20)=0),IF('Daily Schedule'!$D$20="Tier 4",0,IF('Daily Schedule'!$D$20="Tier 3",1,2))*10000000+IFERROR(INDEX('Daily Workforce'!$V$6:$V$205,MATCH('Daily Schedule'!$F$20,'Daily Workforce'!$B$6:$B$205,0)),0)*1000+20,999999999)</f>
        <v>999999999</v>
      </c>
      <c r="KH5" s="1" t="n">
        <f aca="false">IF(AND($JM5&lt;&gt;"",'Daily Schedule'!$F$21&lt;&gt;"",'Daily Schedule'!$H$21="5:45 AM",'Daily Schedule'!$D$21&lt;&gt;"Tier 1",'Daily Schedule'!$N$21&lt;&gt;$JN5,IFERROR(INDEX('Daily Workforce'!$M$6:$M$205,MATCH('Daily Schedule'!$F$21,'Daily Workforce'!$B$6:$B$205,0)),"N")="Y",COUNTIF($HJ$2:$HJ$8,'Daily Schedule'!$F$21)=0,COUNTIF($JO$1:JO4,'Daily Schedule'!$F$21)=0),IF('Daily Schedule'!$D$21="Tier 4",0,IF('Daily Schedule'!$D$21="Tier 3",1,2))*10000000+IFERROR(INDEX('Daily Workforce'!$V$6:$V$205,MATCH('Daily Schedule'!$F$21,'Daily Workforce'!$B$6:$B$205,0)),0)*1000+21,999999999)</f>
        <v>999999999</v>
      </c>
      <c r="KI5" s="1" t="n">
        <f aca="false">IF(AND($JM5&lt;&gt;"",'Daily Schedule'!$F$22&lt;&gt;"",'Daily Schedule'!$H$22="5:45 AM",'Daily Schedule'!$D$22&lt;&gt;"Tier 1",'Daily Schedule'!$N$22&lt;&gt;$JN5,IFERROR(INDEX('Daily Workforce'!$M$6:$M$205,MATCH('Daily Schedule'!$F$22,'Daily Workforce'!$B$6:$B$205,0)),"N")="Y",COUNTIF($HJ$2:$HJ$8,'Daily Schedule'!$F$22)=0,COUNTIF($JO$1:JO4,'Daily Schedule'!$F$22)=0),IF('Daily Schedule'!$D$22="Tier 4",0,IF('Daily Schedule'!$D$22="Tier 3",1,2))*10000000+IFERROR(INDEX('Daily Workforce'!$V$6:$V$205,MATCH('Daily Schedule'!$F$22,'Daily Workforce'!$B$6:$B$205,0)),0)*1000+22,999999999)</f>
        <v>999999999</v>
      </c>
      <c r="KJ5" s="1" t="n">
        <f aca="false">IF(AND($JM5&lt;&gt;"",'Daily Schedule'!$F$23&lt;&gt;"",'Daily Schedule'!$H$23="5:45 AM",'Daily Schedule'!$D$23&lt;&gt;"Tier 1",'Daily Schedule'!$N$23&lt;&gt;$JN5,IFERROR(INDEX('Daily Workforce'!$M$6:$M$205,MATCH('Daily Schedule'!$F$23,'Daily Workforce'!$B$6:$B$205,0)),"N")="Y",COUNTIF($HJ$2:$HJ$8,'Daily Schedule'!$F$23)=0,COUNTIF($JO$1:JO4,'Daily Schedule'!$F$23)=0),IF('Daily Schedule'!$D$23="Tier 4",0,IF('Daily Schedule'!$D$23="Tier 3",1,2))*10000000+IFERROR(INDEX('Daily Workforce'!$V$6:$V$205,MATCH('Daily Schedule'!$F$23,'Daily Workforce'!$B$6:$B$205,0)),0)*1000+23,999999999)</f>
        <v>999999999</v>
      </c>
      <c r="KK5" s="1" t="n">
        <f aca="false">IF(AND($JM5&lt;&gt;"",'Daily Schedule'!$F$24&lt;&gt;"",'Daily Schedule'!$H$24="5:45 AM",'Daily Schedule'!$D$24&lt;&gt;"Tier 1",'Daily Schedule'!$N$24&lt;&gt;$JN5,IFERROR(INDEX('Daily Workforce'!$M$6:$M$205,MATCH('Daily Schedule'!$F$24,'Daily Workforce'!$B$6:$B$205,0)),"N")="Y",COUNTIF($HJ$2:$HJ$8,'Daily Schedule'!$F$24)=0,COUNTIF($JO$1:JO4,'Daily Schedule'!$F$24)=0),IF('Daily Schedule'!$D$24="Tier 4",0,IF('Daily Schedule'!$D$24="Tier 3",1,2))*10000000+IFERROR(INDEX('Daily Workforce'!$V$6:$V$205,MATCH('Daily Schedule'!$F$24,'Daily Workforce'!$B$6:$B$205,0)),0)*1000+24,999999999)</f>
        <v>999999999</v>
      </c>
      <c r="KL5" s="1" t="n">
        <f aca="false">IF(AND($JM5&lt;&gt;"",'Daily Schedule'!$F$25&lt;&gt;"",'Daily Schedule'!$H$25="5:45 AM",'Daily Schedule'!$D$25&lt;&gt;"Tier 1",'Daily Schedule'!$N$25&lt;&gt;$JN5,IFERROR(INDEX('Daily Workforce'!$M$6:$M$205,MATCH('Daily Schedule'!$F$25,'Daily Workforce'!$B$6:$B$205,0)),"N")="Y",COUNTIF($HJ$2:$HJ$8,'Daily Schedule'!$F$25)=0,COUNTIF($JO$1:JO4,'Daily Schedule'!$F$25)=0),IF('Daily Schedule'!$D$25="Tier 4",0,IF('Daily Schedule'!$D$25="Tier 3",1,2))*10000000+IFERROR(INDEX('Daily Workforce'!$V$6:$V$205,MATCH('Daily Schedule'!$F$25,'Daily Workforce'!$B$6:$B$205,0)),0)*1000+25,999999999)</f>
        <v>999999999</v>
      </c>
      <c r="KM5" s="1" t="n">
        <f aca="false">IF(AND($JM5&lt;&gt;"",'Daily Schedule'!$F$26&lt;&gt;"",'Daily Schedule'!$H$26="5:45 AM",'Daily Schedule'!$D$26&lt;&gt;"Tier 1",'Daily Schedule'!$N$26&lt;&gt;$JN5,IFERROR(INDEX('Daily Workforce'!$M$6:$M$205,MATCH('Daily Schedule'!$F$26,'Daily Workforce'!$B$6:$B$205,0)),"N")="Y",COUNTIF($HJ$2:$HJ$8,'Daily Schedule'!$F$26)=0,COUNTIF($JO$1:JO4,'Daily Schedule'!$F$26)=0),IF('Daily Schedule'!$D$26="Tier 4",0,IF('Daily Schedule'!$D$26="Tier 3",1,2))*10000000+IFERROR(INDEX('Daily Workforce'!$V$6:$V$205,MATCH('Daily Schedule'!$F$26,'Daily Workforce'!$B$6:$B$205,0)),0)*1000+26,999999999)</f>
        <v>999999999</v>
      </c>
      <c r="KN5" s="1" t="n">
        <f aca="false">IF(AND($JM5&lt;&gt;"",'Daily Schedule'!$F$27&lt;&gt;"",'Daily Schedule'!$H$27="5:45 AM",'Daily Schedule'!$D$27&lt;&gt;"Tier 1",'Daily Schedule'!$N$27&lt;&gt;$JN5,IFERROR(INDEX('Daily Workforce'!$M$6:$M$205,MATCH('Daily Schedule'!$F$27,'Daily Workforce'!$B$6:$B$205,0)),"N")="Y",COUNTIF($HJ$2:$HJ$8,'Daily Schedule'!$F$27)=0,COUNTIF($JO$1:JO4,'Daily Schedule'!$F$27)=0),IF('Daily Schedule'!$D$27="Tier 4",0,IF('Daily Schedule'!$D$27="Tier 3",1,2))*10000000+IFERROR(INDEX('Daily Workforce'!$V$6:$V$205,MATCH('Daily Schedule'!$F$27,'Daily Workforce'!$B$6:$B$205,0)),0)*1000+27,999999999)</f>
        <v>999999999</v>
      </c>
      <c r="KO5" s="1" t="n">
        <f aca="false">IF(AND($JM5&lt;&gt;"",'Daily Schedule'!$F$28&lt;&gt;"",'Daily Schedule'!$H$28="5:45 AM",'Daily Schedule'!$D$28&lt;&gt;"Tier 1",'Daily Schedule'!$N$28&lt;&gt;$JN5,IFERROR(INDEX('Daily Workforce'!$M$6:$M$205,MATCH('Daily Schedule'!$F$28,'Daily Workforce'!$B$6:$B$205,0)),"N")="Y",COUNTIF($HJ$2:$HJ$8,'Daily Schedule'!$F$28)=0,COUNTIF($JO$1:JO4,'Daily Schedule'!$F$28)=0),IF('Daily Schedule'!$D$28="Tier 4",0,IF('Daily Schedule'!$D$28="Tier 3",1,2))*10000000+IFERROR(INDEX('Daily Workforce'!$V$6:$V$205,MATCH('Daily Schedule'!$F$28,'Daily Workforce'!$B$6:$B$205,0)),0)*1000+28,999999999)</f>
        <v>999999999</v>
      </c>
      <c r="KP5" s="1" t="n">
        <f aca="false">IF(AND($JM5&lt;&gt;"",'Daily Schedule'!$F$29&lt;&gt;"",'Daily Schedule'!$H$29="5:45 AM",'Daily Schedule'!$D$29&lt;&gt;"Tier 1",'Daily Schedule'!$N$29&lt;&gt;$JN5,IFERROR(INDEX('Daily Workforce'!$M$6:$M$205,MATCH('Daily Schedule'!$F$29,'Daily Workforce'!$B$6:$B$205,0)),"N")="Y",COUNTIF($HJ$2:$HJ$8,'Daily Schedule'!$F$29)=0,COUNTIF($JO$1:JO4,'Daily Schedule'!$F$29)=0),IF('Daily Schedule'!$D$29="Tier 4",0,IF('Daily Schedule'!$D$29="Tier 3",1,2))*10000000+IFERROR(INDEX('Daily Workforce'!$V$6:$V$205,MATCH('Daily Schedule'!$F$29,'Daily Workforce'!$B$6:$B$205,0)),0)*1000+29,999999999)</f>
        <v>999999999</v>
      </c>
      <c r="KQ5" s="1" t="n">
        <f aca="false">IF(AND($JM5&lt;&gt;"",'Daily Schedule'!$F$30&lt;&gt;"",'Daily Schedule'!$H$30="5:45 AM",'Daily Schedule'!$D$30&lt;&gt;"Tier 1",'Daily Schedule'!$N$30&lt;&gt;$JN5,IFERROR(INDEX('Daily Workforce'!$M$6:$M$205,MATCH('Daily Schedule'!$F$30,'Daily Workforce'!$B$6:$B$205,0)),"N")="Y",COUNTIF($HJ$2:$HJ$8,'Daily Schedule'!$F$30)=0,COUNTIF($JO$1:JO4,'Daily Schedule'!$F$30)=0),IF('Daily Schedule'!$D$30="Tier 4",0,IF('Daily Schedule'!$D$30="Tier 3",1,2))*10000000+IFERROR(INDEX('Daily Workforce'!$V$6:$V$205,MATCH('Daily Schedule'!$F$30,'Daily Workforce'!$B$6:$B$205,0)),0)*1000+30,999999999)</f>
        <v>999999999</v>
      </c>
      <c r="KR5" s="1" t="n">
        <f aca="false">IF(AND($JM5&lt;&gt;"",'Daily Schedule'!$F$31&lt;&gt;"",'Daily Schedule'!$H$31="5:45 AM",'Daily Schedule'!$D$31&lt;&gt;"Tier 1",'Daily Schedule'!$N$31&lt;&gt;$JN5,IFERROR(INDEX('Daily Workforce'!$M$6:$M$205,MATCH('Daily Schedule'!$F$31,'Daily Workforce'!$B$6:$B$205,0)),"N")="Y",COUNTIF($HJ$2:$HJ$8,'Daily Schedule'!$F$31)=0,COUNTIF($JO$1:JO4,'Daily Schedule'!$F$31)=0),IF('Daily Schedule'!$D$31="Tier 4",0,IF('Daily Schedule'!$D$31="Tier 3",1,2))*10000000+IFERROR(INDEX('Daily Workforce'!$V$6:$V$205,MATCH('Daily Schedule'!$F$31,'Daily Workforce'!$B$6:$B$205,0)),0)*1000+31,999999999)</f>
        <v>999999999</v>
      </c>
      <c r="KS5" s="1" t="n">
        <f aca="false">IF(AND($JM5&lt;&gt;"",'Daily Schedule'!$F$32&lt;&gt;"",'Daily Schedule'!$H$32="5:45 AM",'Daily Schedule'!$D$32&lt;&gt;"Tier 1",'Daily Schedule'!$N$32&lt;&gt;$JN5,IFERROR(INDEX('Daily Workforce'!$M$6:$M$205,MATCH('Daily Schedule'!$F$32,'Daily Workforce'!$B$6:$B$205,0)),"N")="Y",COUNTIF($HJ$2:$HJ$8,'Daily Schedule'!$F$32)=0,COUNTIF($JO$1:JO4,'Daily Schedule'!$F$32)=0),IF('Daily Schedule'!$D$32="Tier 4",0,IF('Daily Schedule'!$D$32="Tier 3",1,2))*10000000+IFERROR(INDEX('Daily Workforce'!$V$6:$V$205,MATCH('Daily Schedule'!$F$32,'Daily Workforce'!$B$6:$B$205,0)),0)*1000+32,999999999)</f>
        <v>999999999</v>
      </c>
      <c r="KT5" s="1" t="n">
        <f aca="false">IF(AND($JM5&lt;&gt;"",'Daily Schedule'!$F$33&lt;&gt;"",'Daily Schedule'!$H$33="5:45 AM",'Daily Schedule'!$D$33&lt;&gt;"Tier 1",'Daily Schedule'!$N$33&lt;&gt;$JN5,IFERROR(INDEX('Daily Workforce'!$M$6:$M$205,MATCH('Daily Schedule'!$F$33,'Daily Workforce'!$B$6:$B$205,0)),"N")="Y",COUNTIF($HJ$2:$HJ$8,'Daily Schedule'!$F$33)=0,COUNTIF($JO$1:JO4,'Daily Schedule'!$F$33)=0),IF('Daily Schedule'!$D$33="Tier 4",0,IF('Daily Schedule'!$D$33="Tier 3",1,2))*10000000+IFERROR(INDEX('Daily Workforce'!$V$6:$V$205,MATCH('Daily Schedule'!$F$33,'Daily Workforce'!$B$6:$B$205,0)),0)*1000+33,999999999)</f>
        <v>999999999</v>
      </c>
      <c r="KU5" s="1" t="n">
        <f aca="false">IF(AND($JM5&lt;&gt;"",'Daily Schedule'!$F$34&lt;&gt;"",'Daily Schedule'!$H$34="5:45 AM",'Daily Schedule'!$D$34&lt;&gt;"Tier 1",'Daily Schedule'!$N$34&lt;&gt;$JN5,IFERROR(INDEX('Daily Workforce'!$M$6:$M$205,MATCH('Daily Schedule'!$F$34,'Daily Workforce'!$B$6:$B$205,0)),"N")="Y",COUNTIF($HJ$2:$HJ$8,'Daily Schedule'!$F$34)=0,COUNTIF($JO$1:JO4,'Daily Schedule'!$F$34)=0),IF('Daily Schedule'!$D$34="Tier 4",0,IF('Daily Schedule'!$D$34="Tier 3",1,2))*10000000+IFERROR(INDEX('Daily Workforce'!$V$6:$V$205,MATCH('Daily Schedule'!$F$34,'Daily Workforce'!$B$6:$B$205,0)),0)*1000+34,999999999)</f>
        <v>999999999</v>
      </c>
      <c r="KV5" s="1" t="n">
        <f aca="false">IF(AND($JM5&lt;&gt;"",'Daily Schedule'!$F$35&lt;&gt;"",'Daily Schedule'!$H$35="5:45 AM",'Daily Schedule'!$D$35&lt;&gt;"Tier 1",'Daily Schedule'!$N$35&lt;&gt;$JN5,IFERROR(INDEX('Daily Workforce'!$M$6:$M$205,MATCH('Daily Schedule'!$F$35,'Daily Workforce'!$B$6:$B$205,0)),"N")="Y",COUNTIF($HJ$2:$HJ$8,'Daily Schedule'!$F$35)=0,COUNTIF($JO$1:JO4,'Daily Schedule'!$F$35)=0),IF('Daily Schedule'!$D$35="Tier 4",0,IF('Daily Schedule'!$D$35="Tier 3",1,2))*10000000+IFERROR(INDEX('Daily Workforce'!$V$6:$V$205,MATCH('Daily Schedule'!$F$35,'Daily Workforce'!$B$6:$B$205,0)),0)*1000+35,999999999)</f>
        <v>999999999</v>
      </c>
      <c r="KW5" s="1" t="n">
        <f aca="false">IF(AND($JM5&lt;&gt;"",'Daily Schedule'!$F$36&lt;&gt;"",'Daily Schedule'!$H$36="5:45 AM",'Daily Schedule'!$D$36&lt;&gt;"Tier 1",'Daily Schedule'!$N$36&lt;&gt;$JN5,IFERROR(INDEX('Daily Workforce'!$M$6:$M$205,MATCH('Daily Schedule'!$F$36,'Daily Workforce'!$B$6:$B$205,0)),"N")="Y",COUNTIF($HJ$2:$HJ$8,'Daily Schedule'!$F$36)=0,COUNTIF($JO$1:JO4,'Daily Schedule'!$F$36)=0),IF('Daily Schedule'!$D$36="Tier 4",0,IF('Daily Schedule'!$D$36="Tier 3",1,2))*10000000+IFERROR(INDEX('Daily Workforce'!$V$6:$V$205,MATCH('Daily Schedule'!$F$36,'Daily Workforce'!$B$6:$B$205,0)),0)*1000+36,999999999)</f>
        <v>999999999</v>
      </c>
      <c r="KX5" s="1" t="n">
        <f aca="false">IF(AND($JM5&lt;&gt;"",'Daily Schedule'!$F$37&lt;&gt;"",'Daily Schedule'!$H$37="5:45 AM",'Daily Schedule'!$D$37&lt;&gt;"Tier 1",'Daily Schedule'!$N$37&lt;&gt;$JN5,IFERROR(INDEX('Daily Workforce'!$M$6:$M$205,MATCH('Daily Schedule'!$F$37,'Daily Workforce'!$B$6:$B$205,0)),"N")="Y",COUNTIF($HJ$2:$HJ$8,'Daily Schedule'!$F$37)=0,COUNTIF($JO$1:JO4,'Daily Schedule'!$F$37)=0),IF('Daily Schedule'!$D$37="Tier 4",0,IF('Daily Schedule'!$D$37="Tier 3",1,2))*10000000+IFERROR(INDEX('Daily Workforce'!$V$6:$V$205,MATCH('Daily Schedule'!$F$37,'Daily Workforce'!$B$6:$B$205,0)),0)*1000+37,999999999)</f>
        <v>20000037</v>
      </c>
      <c r="KY5" s="1" t="n">
        <f aca="false">IF(AND($JM5&lt;&gt;"",'Daily Schedule'!$F$38&lt;&gt;"",'Daily Schedule'!$H$38="5:45 AM",'Daily Schedule'!$D$38&lt;&gt;"Tier 1",'Daily Schedule'!$N$38&lt;&gt;$JN5,IFERROR(INDEX('Daily Workforce'!$M$6:$M$205,MATCH('Daily Schedule'!$F$38,'Daily Workforce'!$B$6:$B$205,0)),"N")="Y",COUNTIF($HJ$2:$HJ$8,'Daily Schedule'!$F$38)=0,COUNTIF($JO$1:JO4,'Daily Schedule'!$F$38)=0),IF('Daily Schedule'!$D$38="Tier 4",0,IF('Daily Schedule'!$D$38="Tier 3",1,2))*10000000+IFERROR(INDEX('Daily Workforce'!$V$6:$V$205,MATCH('Daily Schedule'!$F$38,'Daily Workforce'!$B$6:$B$205,0)),0)*1000+38,999999999)</f>
        <v>999999999</v>
      </c>
      <c r="KZ5" s="1" t="n">
        <f aca="false">IF(AND($JM5&lt;&gt;"",'Daily Schedule'!$F$39&lt;&gt;"",'Daily Schedule'!$H$39="5:45 AM",'Daily Schedule'!$D$39&lt;&gt;"Tier 1",'Daily Schedule'!$N$39&lt;&gt;$JN5,IFERROR(INDEX('Daily Workforce'!$M$6:$M$205,MATCH('Daily Schedule'!$F$39,'Daily Workforce'!$B$6:$B$205,0)),"N")="Y",COUNTIF($HJ$2:$HJ$8,'Daily Schedule'!$F$39)=0,COUNTIF($JO$1:JO4,'Daily Schedule'!$F$39)=0),IF('Daily Schedule'!$D$39="Tier 4",0,IF('Daily Schedule'!$D$39="Tier 3",1,2))*10000000+IFERROR(INDEX('Daily Workforce'!$V$6:$V$205,MATCH('Daily Schedule'!$F$39,'Daily Workforce'!$B$6:$B$205,0)),0)*1000+39,999999999)</f>
        <v>999999999</v>
      </c>
      <c r="LA5" s="1" t="n">
        <f aca="false">IF(AND($JM5&lt;&gt;"",'Daily Schedule'!$F$40&lt;&gt;"",'Daily Schedule'!$H$40="5:45 AM",'Daily Schedule'!$D$40&lt;&gt;"Tier 1",'Daily Schedule'!$N$40&lt;&gt;$JN5,IFERROR(INDEX('Daily Workforce'!$M$6:$M$205,MATCH('Daily Schedule'!$F$40,'Daily Workforce'!$B$6:$B$205,0)),"N")="Y",COUNTIF($HJ$2:$HJ$8,'Daily Schedule'!$F$40)=0,COUNTIF($JO$1:JO4,'Daily Schedule'!$F$40)=0),IF('Daily Schedule'!$D$40="Tier 4",0,IF('Daily Schedule'!$D$40="Tier 3",1,2))*10000000+IFERROR(INDEX('Daily Workforce'!$V$6:$V$205,MATCH('Daily Schedule'!$F$40,'Daily Workforce'!$B$6:$B$205,0)),0)*1000+40,999999999)</f>
        <v>10000040</v>
      </c>
      <c r="LB5" s="1" t="n">
        <f aca="false">IF(AND($JM5&lt;&gt;"",'Daily Schedule'!$F$41&lt;&gt;"",'Daily Schedule'!$H$41="5:45 AM",'Daily Schedule'!$D$41&lt;&gt;"Tier 1",'Daily Schedule'!$N$41&lt;&gt;$JN5,IFERROR(INDEX('Daily Workforce'!$M$6:$M$205,MATCH('Daily Schedule'!$F$41,'Daily Workforce'!$B$6:$B$205,0)),"N")="Y",COUNTIF($HJ$2:$HJ$8,'Daily Schedule'!$F$41)=0,COUNTIF($JO$1:JO4,'Daily Schedule'!$F$41)=0),IF('Daily Schedule'!$D$41="Tier 4",0,IF('Daily Schedule'!$D$41="Tier 3",1,2))*10000000+IFERROR(INDEX('Daily Workforce'!$V$6:$V$205,MATCH('Daily Schedule'!$F$41,'Daily Workforce'!$B$6:$B$205,0)),0)*1000+41,999999999)</f>
        <v>999999999</v>
      </c>
      <c r="LC5" s="1" t="n">
        <f aca="false">IF(AND($JM5&lt;&gt;"",'Daily Schedule'!$F$42&lt;&gt;"",'Daily Schedule'!$H$42="5:45 AM",'Daily Schedule'!$D$42&lt;&gt;"Tier 1",'Daily Schedule'!$N$42&lt;&gt;$JN5,IFERROR(INDEX('Daily Workforce'!$M$6:$M$205,MATCH('Daily Schedule'!$F$42,'Daily Workforce'!$B$6:$B$205,0)),"N")="Y",COUNTIF($HJ$2:$HJ$8,'Daily Schedule'!$F$42)=0,COUNTIF($JO$1:JO4,'Daily Schedule'!$F$42)=0),IF('Daily Schedule'!$D$42="Tier 4",0,IF('Daily Schedule'!$D$42="Tier 3",1,2))*10000000+IFERROR(INDEX('Daily Workforce'!$V$6:$V$205,MATCH('Daily Schedule'!$F$42,'Daily Workforce'!$B$6:$B$205,0)),0)*1000+42,999999999)</f>
        <v>999999999</v>
      </c>
      <c r="LD5" s="1" t="n">
        <f aca="false">IF(AND($JM5&lt;&gt;"",'Daily Schedule'!$F$43&lt;&gt;"",'Daily Schedule'!$H$43="5:45 AM",'Daily Schedule'!$D$43&lt;&gt;"Tier 1",'Daily Schedule'!$N$43&lt;&gt;$JN5,IFERROR(INDEX('Daily Workforce'!$M$6:$M$205,MATCH('Daily Schedule'!$F$43,'Daily Workforce'!$B$6:$B$205,0)),"N")="Y",COUNTIF($HJ$2:$HJ$8,'Daily Schedule'!$F$43)=0,COUNTIF($JO$1:JO4,'Daily Schedule'!$F$43)=0),IF('Daily Schedule'!$D$43="Tier 4",0,IF('Daily Schedule'!$D$43="Tier 3",1,2))*10000000+IFERROR(INDEX('Daily Workforce'!$V$6:$V$205,MATCH('Daily Schedule'!$F$43,'Daily Workforce'!$B$6:$B$205,0)),0)*1000+43,999999999)</f>
        <v>999999999</v>
      </c>
      <c r="LE5" s="1" t="n">
        <f aca="false">IF(AND($JM5&lt;&gt;"",'Daily Schedule'!$F$44&lt;&gt;"",'Daily Schedule'!$H$44="5:45 AM",'Daily Schedule'!$D$44&lt;&gt;"Tier 1",'Daily Schedule'!$N$44&lt;&gt;$JN5,IFERROR(INDEX('Daily Workforce'!$M$6:$M$205,MATCH('Daily Schedule'!$F$44,'Daily Workforce'!$B$6:$B$205,0)),"N")="Y",COUNTIF($HJ$2:$HJ$8,'Daily Schedule'!$F$44)=0,COUNTIF($JO$1:JO4,'Daily Schedule'!$F$44)=0),IF('Daily Schedule'!$D$44="Tier 4",0,IF('Daily Schedule'!$D$44="Tier 3",1,2))*10000000+IFERROR(INDEX('Daily Workforce'!$V$6:$V$205,MATCH('Daily Schedule'!$F$44,'Daily Workforce'!$B$6:$B$205,0)),0)*1000+44,999999999)</f>
        <v>999999999</v>
      </c>
      <c r="LF5" s="1" t="n">
        <f aca="false">IF(AND($JM5&lt;&gt;"",'Daily Schedule'!$F$45&lt;&gt;"",'Daily Schedule'!$H$45="5:45 AM",'Daily Schedule'!$D$45&lt;&gt;"Tier 1",'Daily Schedule'!$N$45&lt;&gt;$JN5,IFERROR(INDEX('Daily Workforce'!$M$6:$M$205,MATCH('Daily Schedule'!$F$45,'Daily Workforce'!$B$6:$B$205,0)),"N")="Y",COUNTIF($HJ$2:$HJ$8,'Daily Schedule'!$F$45)=0,COUNTIF($JO$1:JO4,'Daily Schedule'!$F$45)=0),IF('Daily Schedule'!$D$45="Tier 4",0,IF('Daily Schedule'!$D$45="Tier 3",1,2))*10000000+IFERROR(INDEX('Daily Workforce'!$V$6:$V$205,MATCH('Daily Schedule'!$F$45,'Daily Workforce'!$B$6:$B$205,0)),0)*1000+45,999999999)</f>
        <v>999999999</v>
      </c>
      <c r="LG5" s="1" t="n">
        <f aca="false">IF(AND($JM5&lt;&gt;"",'Daily Schedule'!$F$46&lt;&gt;"",'Daily Schedule'!$H$46="5:45 AM",'Daily Schedule'!$D$46&lt;&gt;"Tier 1",'Daily Schedule'!$N$46&lt;&gt;$JN5,IFERROR(INDEX('Daily Workforce'!$M$6:$M$205,MATCH('Daily Schedule'!$F$46,'Daily Workforce'!$B$6:$B$205,0)),"N")="Y",COUNTIF($HJ$2:$HJ$8,'Daily Schedule'!$F$46)=0,COUNTIF($JO$1:JO4,'Daily Schedule'!$F$46)=0),IF('Daily Schedule'!$D$46="Tier 4",0,IF('Daily Schedule'!$D$46="Tier 3",1,2))*10000000+IFERROR(INDEX('Daily Workforce'!$V$6:$V$205,MATCH('Daily Schedule'!$F$46,'Daily Workforce'!$B$6:$B$205,0)),0)*1000+46,999999999)</f>
        <v>999999999</v>
      </c>
      <c r="LH5" s="1" t="n">
        <f aca="false">IF(AND($JM5&lt;&gt;"",'Daily Schedule'!$F$47&lt;&gt;"",'Daily Schedule'!$H$47="5:45 AM",'Daily Schedule'!$D$47&lt;&gt;"Tier 1",'Daily Schedule'!$N$47&lt;&gt;$JN5,IFERROR(INDEX('Daily Workforce'!$M$6:$M$205,MATCH('Daily Schedule'!$F$47,'Daily Workforce'!$B$6:$B$205,0)),"N")="Y",COUNTIF($HJ$2:$HJ$8,'Daily Schedule'!$F$47)=0,COUNTIF($JO$1:JO4,'Daily Schedule'!$F$47)=0),IF('Daily Schedule'!$D$47="Tier 4",0,IF('Daily Schedule'!$D$47="Tier 3",1,2))*10000000+IFERROR(INDEX('Daily Workforce'!$V$6:$V$205,MATCH('Daily Schedule'!$F$47,'Daily Workforce'!$B$6:$B$205,0)),0)*1000+47,999999999)</f>
        <v>999999999</v>
      </c>
      <c r="LI5" s="1" t="n">
        <f aca="false">IF(AND($JM5&lt;&gt;"",'Daily Schedule'!$F$48&lt;&gt;"",'Daily Schedule'!$H$48="5:45 AM",'Daily Schedule'!$D$48&lt;&gt;"Tier 1",'Daily Schedule'!$N$48&lt;&gt;$JN5,IFERROR(INDEX('Daily Workforce'!$M$6:$M$205,MATCH('Daily Schedule'!$F$48,'Daily Workforce'!$B$6:$B$205,0)),"N")="Y",COUNTIF($HJ$2:$HJ$8,'Daily Schedule'!$F$48)=0,COUNTIF($JO$1:JO4,'Daily Schedule'!$F$48)=0),IF('Daily Schedule'!$D$48="Tier 4",0,IF('Daily Schedule'!$D$48="Tier 3",1,2))*10000000+IFERROR(INDEX('Daily Workforce'!$V$6:$V$205,MATCH('Daily Schedule'!$F$48,'Daily Workforce'!$B$6:$B$205,0)),0)*1000+48,999999999)</f>
        <v>999999999</v>
      </c>
      <c r="LJ5" s="1" t="n">
        <f aca="false">IF(AND($JM5&lt;&gt;"",'Daily Schedule'!$F$49&lt;&gt;"",'Daily Schedule'!$H$49="5:45 AM",'Daily Schedule'!$D$49&lt;&gt;"Tier 1",'Daily Schedule'!$N$49&lt;&gt;$JN5,IFERROR(INDEX('Daily Workforce'!$M$6:$M$205,MATCH('Daily Schedule'!$F$49,'Daily Workforce'!$B$6:$B$205,0)),"N")="Y",COUNTIF($HJ$2:$HJ$8,'Daily Schedule'!$F$49)=0,COUNTIF($JO$1:JO4,'Daily Schedule'!$F$49)=0),IF('Daily Schedule'!$D$49="Tier 4",0,IF('Daily Schedule'!$D$49="Tier 3",1,2))*10000000+IFERROR(INDEX('Daily Workforce'!$V$6:$V$205,MATCH('Daily Schedule'!$F$49,'Daily Workforce'!$B$6:$B$205,0)),0)*1000+49,999999999)</f>
        <v>49</v>
      </c>
      <c r="LK5" s="1" t="n">
        <f aca="false">IF(AND($JM5&lt;&gt;"",'Daily Schedule'!$F$50&lt;&gt;"",'Daily Schedule'!$H$50="5:45 AM",'Daily Schedule'!$D$50&lt;&gt;"Tier 1",'Daily Schedule'!$N$50&lt;&gt;$JN5,IFERROR(INDEX('Daily Workforce'!$M$6:$M$205,MATCH('Daily Schedule'!$F$50,'Daily Workforce'!$B$6:$B$205,0)),"N")="Y",COUNTIF($HJ$2:$HJ$8,'Daily Schedule'!$F$50)=0,COUNTIF($JO$1:JO4,'Daily Schedule'!$F$50)=0),IF('Daily Schedule'!$D$50="Tier 4",0,IF('Daily Schedule'!$D$50="Tier 3",1,2))*10000000+IFERROR(INDEX('Daily Workforce'!$V$6:$V$205,MATCH('Daily Schedule'!$F$50,'Daily Workforce'!$B$6:$B$205,0)),0)*1000+50,999999999)</f>
        <v>999999999</v>
      </c>
      <c r="LL5" s="1" t="n">
        <f aca="false">IF(AND($JM5&lt;&gt;"",'Daily Schedule'!$F$51&lt;&gt;"",'Daily Schedule'!$H$51="5:45 AM",'Daily Schedule'!$D$51&lt;&gt;"Tier 1",'Daily Schedule'!$N$51&lt;&gt;$JN5,IFERROR(INDEX('Daily Workforce'!$M$6:$M$205,MATCH('Daily Schedule'!$F$51,'Daily Workforce'!$B$6:$B$205,0)),"N")="Y",COUNTIF($HJ$2:$HJ$8,'Daily Schedule'!$F$51)=0,COUNTIF($JO$1:JO4,'Daily Schedule'!$F$51)=0),IF('Daily Schedule'!$D$51="Tier 4",0,IF('Daily Schedule'!$D$51="Tier 3",1,2))*10000000+IFERROR(INDEX('Daily Workforce'!$V$6:$V$205,MATCH('Daily Schedule'!$F$51,'Daily Workforce'!$B$6:$B$205,0)),0)*1000+51,999999999)</f>
        <v>999999999</v>
      </c>
      <c r="LM5" s="1" t="n">
        <f aca="false">IF(AND($JM5&lt;&gt;"",'Daily Schedule'!$F$52&lt;&gt;"",'Daily Schedule'!$H$52="5:45 AM",'Daily Schedule'!$D$52&lt;&gt;"Tier 1",'Daily Schedule'!$N$52&lt;&gt;$JN5,IFERROR(INDEX('Daily Workforce'!$M$6:$M$205,MATCH('Daily Schedule'!$F$52,'Daily Workforce'!$B$6:$B$205,0)),"N")="Y",COUNTIF($HJ$2:$HJ$8,'Daily Schedule'!$F$52)=0,COUNTIF($JO$1:JO4,'Daily Schedule'!$F$52)=0),IF('Daily Schedule'!$D$52="Tier 4",0,IF('Daily Schedule'!$D$52="Tier 3",1,2))*10000000+IFERROR(INDEX('Daily Workforce'!$V$6:$V$205,MATCH('Daily Schedule'!$F$52,'Daily Workforce'!$B$6:$B$205,0)),0)*1000+52,999999999)</f>
        <v>52</v>
      </c>
      <c r="LN5" s="1" t="n">
        <f aca="false">IF(AND($JM5&lt;&gt;"",'Daily Schedule'!$F$53&lt;&gt;"",'Daily Schedule'!$H$53="5:45 AM",'Daily Schedule'!$D$53&lt;&gt;"Tier 1",'Daily Schedule'!$N$53&lt;&gt;$JN5,IFERROR(INDEX('Daily Workforce'!$M$6:$M$205,MATCH('Daily Schedule'!$F$53,'Daily Workforce'!$B$6:$B$205,0)),"N")="Y",COUNTIF($HJ$2:$HJ$8,'Daily Schedule'!$F$53)=0,COUNTIF($JO$1:JO4,'Daily Schedule'!$F$53)=0),IF('Daily Schedule'!$D$53="Tier 4",0,IF('Daily Schedule'!$D$53="Tier 3",1,2))*10000000+IFERROR(INDEX('Daily Workforce'!$V$6:$V$205,MATCH('Daily Schedule'!$F$53,'Daily Workforce'!$B$6:$B$205,0)),0)*1000+53,999999999)</f>
        <v>999999999</v>
      </c>
      <c r="LO5" s="1" t="n">
        <f aca="false">IF(AND($JM5&lt;&gt;"",'Daily Schedule'!$F$54&lt;&gt;"",'Daily Schedule'!$H$54="5:45 AM",'Daily Schedule'!$D$54&lt;&gt;"Tier 1",'Daily Schedule'!$N$54&lt;&gt;$JN5,IFERROR(INDEX('Daily Workforce'!$M$6:$M$205,MATCH('Daily Schedule'!$F$54,'Daily Workforce'!$B$6:$B$205,0)),"N")="Y",COUNTIF($HJ$2:$HJ$8,'Daily Schedule'!$F$54)=0,COUNTIF($JO$1:JO4,'Daily Schedule'!$F$54)=0),IF('Daily Schedule'!$D$54="Tier 4",0,IF('Daily Schedule'!$D$54="Tier 3",1,2))*10000000+IFERROR(INDEX('Daily Workforce'!$V$6:$V$205,MATCH('Daily Schedule'!$F$54,'Daily Workforce'!$B$6:$B$205,0)),0)*1000+54,999999999)</f>
        <v>999999999</v>
      </c>
      <c r="LP5" s="1" t="n">
        <f aca="false">IF(AND($JM5&lt;&gt;"",'Daily Schedule'!$F$55&lt;&gt;"",'Daily Schedule'!$H$55="5:45 AM",'Daily Schedule'!$D$55&lt;&gt;"Tier 1",'Daily Schedule'!$N$55&lt;&gt;$JN5,IFERROR(INDEX('Daily Workforce'!$M$6:$M$205,MATCH('Daily Schedule'!$F$55,'Daily Workforce'!$B$6:$B$205,0)),"N")="Y",COUNTIF($HJ$2:$HJ$8,'Daily Schedule'!$F$55)=0,COUNTIF($JO$1:JO4,'Daily Schedule'!$F$55)=0),IF('Daily Schedule'!$D$55="Tier 4",0,IF('Daily Schedule'!$D$55="Tier 3",1,2))*10000000+IFERROR(INDEX('Daily Workforce'!$V$6:$V$205,MATCH('Daily Schedule'!$F$55,'Daily Workforce'!$B$6:$B$205,0)),0)*1000+55,999999999)</f>
        <v>55</v>
      </c>
      <c r="LQ5" s="1" t="n">
        <f aca="false">IF(AND($JM5&lt;&gt;"",'Daily Schedule'!$F$56&lt;&gt;"",'Daily Schedule'!$H$56="5:45 AM",'Daily Schedule'!$D$56&lt;&gt;"Tier 1",'Daily Schedule'!$N$56&lt;&gt;$JN5,IFERROR(INDEX('Daily Workforce'!$M$6:$M$205,MATCH('Daily Schedule'!$F$56,'Daily Workforce'!$B$6:$B$205,0)),"N")="Y",COUNTIF($HJ$2:$HJ$8,'Daily Schedule'!$F$56)=0,COUNTIF($JO$1:JO4,'Daily Schedule'!$F$56)=0),IF('Daily Schedule'!$D$56="Tier 4",0,IF('Daily Schedule'!$D$56="Tier 3",1,2))*10000000+IFERROR(INDEX('Daily Workforce'!$V$6:$V$205,MATCH('Daily Schedule'!$F$56,'Daily Workforce'!$B$6:$B$205,0)),0)*1000+56,999999999)</f>
        <v>999999999</v>
      </c>
      <c r="LR5" s="1" t="n">
        <f aca="false">IF(AND($JM5&lt;&gt;"",'Daily Schedule'!$F$57&lt;&gt;"",'Daily Schedule'!$H$57="5:45 AM",'Daily Schedule'!$D$57&lt;&gt;"Tier 1",'Daily Schedule'!$N$57&lt;&gt;$JN5,IFERROR(INDEX('Daily Workforce'!$M$6:$M$205,MATCH('Daily Schedule'!$F$57,'Daily Workforce'!$B$6:$B$205,0)),"N")="Y",COUNTIF($HJ$2:$HJ$8,'Daily Schedule'!$F$57)=0,COUNTIF($JO$1:JO4,'Daily Schedule'!$F$57)=0),IF('Daily Schedule'!$D$57="Tier 4",0,IF('Daily Schedule'!$D$57="Tier 3",1,2))*10000000+IFERROR(INDEX('Daily Workforce'!$V$6:$V$205,MATCH('Daily Schedule'!$F$57,'Daily Workforce'!$B$6:$B$205,0)),0)*1000+57,999999999)</f>
        <v>999999999</v>
      </c>
      <c r="LS5" s="1" t="s">
        <v>790</v>
      </c>
    </row>
    <row r="6" customFormat="false" ht="15" hidden="false" customHeight="true" outlineLevel="0" collapsed="false">
      <c r="A6" s="1" t="s">
        <v>126</v>
      </c>
      <c r="C6" s="1" t="s">
        <v>791</v>
      </c>
      <c r="J6" s="1" t="s">
        <v>465</v>
      </c>
      <c r="L6" s="1" t="s">
        <v>465</v>
      </c>
      <c r="M6" s="1" t="s">
        <v>98</v>
      </c>
      <c r="O6" s="1" t="n">
        <f aca="false">IF(AND('Employee Master'!$G6="Y",ISERROR(SEARCH(TEXT('Daily Workforce'!$B$2,"ddd"),'Employee Master'!$D6)),IF('Daily Workforce'!$E$2="",TRUE(),'Employee Master'!$I6='Daily Workforce'!$E$2)),'Employee Master'!$K6*1000+ROW()-1,"")</f>
        <v>3005</v>
      </c>
      <c r="P6" s="1" t="n">
        <f aca="false">IF($O6="","",COUNTIF($O$2:$O$159,"&lt;="&amp;$O6))</f>
        <v>56</v>
      </c>
      <c r="Q6" s="1" t="n">
        <f aca="false">IF(AND('Daily Workforce'!$N6="Y",'Daily Workforce'!$B6&lt;&gt;"",COUNTIF('Daily Schedule'!$F$5:$F9,'Daily Workforce'!$B6)=0,'Daily Workforce'!$M6="Y",IF(OR('Daily Schedule'!$E$2="Full Day",'Daily Schedule'!$E$2="AM"),'Daily Workforce'!$D6="3:45 AM",IF('Daily Schedule'!$E$2="PM",'Daily Workforce'!$E6="PM",'Daily Workforce'!$E6="Overnight"))),'Daily Workforce'!$V6*1000+6,999999999)</f>
        <v>999999999</v>
      </c>
      <c r="R6" s="1" t="n">
        <f aca="false">IF(AND('Daily Workforce'!$N7="Y",'Daily Workforce'!$B7&lt;&gt;"",COUNTIF('Daily Schedule'!$F$5:$F9,'Daily Workforce'!$B7)=0,'Daily Workforce'!$M7="Y",IF(OR('Daily Schedule'!$E$2="Full Day",'Daily Schedule'!$E$2="AM"),'Daily Workforce'!$D7="3:45 AM",IF('Daily Schedule'!$E$2="PM",'Daily Workforce'!$E7="PM",'Daily Workforce'!$E7="Overnight"))),'Daily Workforce'!$V7*1000+7,999999999)</f>
        <v>999999999</v>
      </c>
      <c r="S6" s="1" t="n">
        <f aca="false">IF(AND('Daily Workforce'!$N8="Y",'Daily Workforce'!$B8&lt;&gt;"",COUNTIF('Daily Schedule'!$F$5:$F9,'Daily Workforce'!$B8)=0,'Daily Workforce'!$M8="Y",IF(OR('Daily Schedule'!$E$2="Full Day",'Daily Schedule'!$E$2="AM"),'Daily Workforce'!$D8="3:45 AM",IF('Daily Schedule'!$E$2="PM",'Daily Workforce'!$E8="PM",'Daily Workforce'!$E8="Overnight"))),'Daily Workforce'!$V8*1000+8,999999999)</f>
        <v>999999999</v>
      </c>
      <c r="T6" s="1" t="n">
        <f aca="false">IF(AND('Daily Workforce'!$N9="Y",'Daily Workforce'!$B9&lt;&gt;"",COUNTIF('Daily Schedule'!$F$5:$F9,'Daily Workforce'!$B9)=0,'Daily Workforce'!$M9="Y",IF(OR('Daily Schedule'!$E$2="Full Day",'Daily Schedule'!$E$2="AM"),'Daily Workforce'!$D9="3:45 AM",IF('Daily Schedule'!$E$2="PM",'Daily Workforce'!$E9="PM",'Daily Workforce'!$E9="Overnight"))),'Daily Workforce'!$V9*1000+9,999999999)</f>
        <v>999999999</v>
      </c>
      <c r="U6" s="1" t="n">
        <f aca="false">IF(AND('Daily Workforce'!$N10="Y",'Daily Workforce'!$B10&lt;&gt;"",COUNTIF('Daily Schedule'!$F$5:$F9,'Daily Workforce'!$B10)=0,'Daily Workforce'!$M10="Y",IF(OR('Daily Schedule'!$E$2="Full Day",'Daily Schedule'!$E$2="AM"),'Daily Workforce'!$D10="3:45 AM",IF('Daily Schedule'!$E$2="PM",'Daily Workforce'!$E10="PM",'Daily Workforce'!$E10="Overnight"))),'Daily Workforce'!$V10*1000+10,999999999)</f>
        <v>10</v>
      </c>
      <c r="V6" s="1" t="n">
        <f aca="false">IF(AND('Daily Workforce'!$N11="Y",'Daily Workforce'!$B11&lt;&gt;"",COUNTIF('Daily Schedule'!$F$5:$F9,'Daily Workforce'!$B11)=0,'Daily Workforce'!$M11="Y",IF(OR('Daily Schedule'!$E$2="Full Day",'Daily Schedule'!$E$2="AM"),'Daily Workforce'!$D11="3:45 AM",IF('Daily Schedule'!$E$2="PM",'Daily Workforce'!$E11="PM",'Daily Workforce'!$E11="Overnight"))),'Daily Workforce'!$V11*1000+11,999999999)</f>
        <v>11</v>
      </c>
      <c r="W6" s="1" t="n">
        <f aca="false">IF(AND('Daily Workforce'!$N12="Y",'Daily Workforce'!$B12&lt;&gt;"",COUNTIF('Daily Schedule'!$F$5:$F9,'Daily Workforce'!$B12)=0,'Daily Workforce'!$M12="Y",IF(OR('Daily Schedule'!$E$2="Full Day",'Daily Schedule'!$E$2="AM"),'Daily Workforce'!$D12="3:45 AM",IF('Daily Schedule'!$E$2="PM",'Daily Workforce'!$E12="PM",'Daily Workforce'!$E12="Overnight"))),'Daily Workforce'!$V12*1000+12,999999999)</f>
        <v>12</v>
      </c>
      <c r="X6" s="1" t="n">
        <f aca="false">IF(AND('Daily Workforce'!$N13="Y",'Daily Workforce'!$B13&lt;&gt;"",COUNTIF('Daily Schedule'!$F$5:$F9,'Daily Workforce'!$B13)=0,'Daily Workforce'!$M13="Y",IF(OR('Daily Schedule'!$E$2="Full Day",'Daily Schedule'!$E$2="AM"),'Daily Workforce'!$D13="3:45 AM",IF('Daily Schedule'!$E$2="PM",'Daily Workforce'!$E13="PM",'Daily Workforce'!$E13="Overnight"))),'Daily Workforce'!$V13*1000+13,999999999)</f>
        <v>13</v>
      </c>
      <c r="Y6" s="1" t="n">
        <f aca="false">IF(AND('Daily Workforce'!$N14="Y",'Daily Workforce'!$B14&lt;&gt;"",COUNTIF('Daily Schedule'!$F$5:$F9,'Daily Workforce'!$B14)=0,'Daily Workforce'!$M14="Y",IF(OR('Daily Schedule'!$E$2="Full Day",'Daily Schedule'!$E$2="AM"),'Daily Workforce'!$D14="3:45 AM",IF('Daily Schedule'!$E$2="PM",'Daily Workforce'!$E14="PM",'Daily Workforce'!$E14="Overnight"))),'Daily Workforce'!$V14*1000+14,999999999)</f>
        <v>14</v>
      </c>
      <c r="Z6" s="1" t="n">
        <f aca="false">IF(AND('Daily Workforce'!$N15="Y",'Daily Workforce'!$B15&lt;&gt;"",COUNTIF('Daily Schedule'!$F$5:$F9,'Daily Workforce'!$B15)=0,'Daily Workforce'!$M15="Y",IF(OR('Daily Schedule'!$E$2="Full Day",'Daily Schedule'!$E$2="AM"),'Daily Workforce'!$D15="3:45 AM",IF('Daily Schedule'!$E$2="PM",'Daily Workforce'!$E15="PM",'Daily Workforce'!$E15="Overnight"))),'Daily Workforce'!$V15*1000+15,999999999)</f>
        <v>999999999</v>
      </c>
      <c r="AA6" s="1" t="n">
        <f aca="false">IF(AND('Daily Workforce'!$N16="Y",'Daily Workforce'!$B16&lt;&gt;"",COUNTIF('Daily Schedule'!$F$5:$F9,'Daily Workforce'!$B16)=0,'Daily Workforce'!$M16="Y",IF(OR('Daily Schedule'!$E$2="Full Day",'Daily Schedule'!$E$2="AM"),'Daily Workforce'!$D16="3:45 AM",IF('Daily Schedule'!$E$2="PM",'Daily Workforce'!$E16="PM",'Daily Workforce'!$E16="Overnight"))),'Daily Workforce'!$V16*1000+16,999999999)</f>
        <v>16</v>
      </c>
      <c r="AB6" s="1" t="n">
        <f aca="false">IF(AND('Daily Workforce'!$N17="Y",'Daily Workforce'!$B17&lt;&gt;"",COUNTIF('Daily Schedule'!$F$5:$F9,'Daily Workforce'!$B17)=0,'Daily Workforce'!$M17="Y",IF(OR('Daily Schedule'!$E$2="Full Day",'Daily Schedule'!$E$2="AM"),'Daily Workforce'!$D17="3:45 AM",IF('Daily Schedule'!$E$2="PM",'Daily Workforce'!$E17="PM",'Daily Workforce'!$E17="Overnight"))),'Daily Workforce'!$V17*1000+17,999999999)</f>
        <v>17</v>
      </c>
      <c r="AC6" s="1" t="n">
        <f aca="false">IF(AND('Daily Workforce'!$N18="Y",'Daily Workforce'!$B18&lt;&gt;"",COUNTIF('Daily Schedule'!$F$5:$F9,'Daily Workforce'!$B18)=0,'Daily Workforce'!$M18="Y",IF(OR('Daily Schedule'!$E$2="Full Day",'Daily Schedule'!$E$2="AM"),'Daily Workforce'!$D18="3:45 AM",IF('Daily Schedule'!$E$2="PM",'Daily Workforce'!$E18="PM",'Daily Workforce'!$E18="Overnight"))),'Daily Workforce'!$V18*1000+18,999999999)</f>
        <v>18</v>
      </c>
      <c r="AD6" s="1" t="n">
        <f aca="false">IF(AND('Daily Workforce'!$N19="Y",'Daily Workforce'!$B19&lt;&gt;"",COUNTIF('Daily Schedule'!$F$5:$F9,'Daily Workforce'!$B19)=0,'Daily Workforce'!$M19="Y",IF(OR('Daily Schedule'!$E$2="Full Day",'Daily Schedule'!$E$2="AM"),'Daily Workforce'!$D19="3:45 AM",IF('Daily Schedule'!$E$2="PM",'Daily Workforce'!$E19="PM",'Daily Workforce'!$E19="Overnight"))),'Daily Workforce'!$V19*1000+19,999999999)</f>
        <v>19</v>
      </c>
      <c r="AE6" s="1" t="n">
        <f aca="false">IF(AND('Daily Workforce'!$N20="Y",'Daily Workforce'!$B20&lt;&gt;"",COUNTIF('Daily Schedule'!$F$5:$F9,'Daily Workforce'!$B20)=0,'Daily Workforce'!$M20="Y",IF(OR('Daily Schedule'!$E$2="Full Day",'Daily Schedule'!$E$2="AM"),'Daily Workforce'!$D20="3:45 AM",IF('Daily Schedule'!$E$2="PM",'Daily Workforce'!$E20="PM",'Daily Workforce'!$E20="Overnight"))),'Daily Workforce'!$V20*1000+20,999999999)</f>
        <v>20</v>
      </c>
      <c r="AF6" s="1" t="n">
        <f aca="false">IF(AND('Daily Workforce'!$N21="Y",'Daily Workforce'!$B21&lt;&gt;"",COUNTIF('Daily Schedule'!$F$5:$F9,'Daily Workforce'!$B21)=0,'Daily Workforce'!$M21="Y",IF(OR('Daily Schedule'!$E$2="Full Day",'Daily Schedule'!$E$2="AM"),'Daily Workforce'!$D21="3:45 AM",IF('Daily Schedule'!$E$2="PM",'Daily Workforce'!$E21="PM",'Daily Workforce'!$E21="Overnight"))),'Daily Workforce'!$V21*1000+21,999999999)</f>
        <v>21</v>
      </c>
      <c r="AG6" s="1" t="n">
        <f aca="false">IF(AND('Daily Workforce'!$N22="Y",'Daily Workforce'!$B22&lt;&gt;"",COUNTIF('Daily Schedule'!$F$5:$F9,'Daily Workforce'!$B22)=0,'Daily Workforce'!$M22="Y",IF(OR('Daily Schedule'!$E$2="Full Day",'Daily Schedule'!$E$2="AM"),'Daily Workforce'!$D22="3:45 AM",IF('Daily Schedule'!$E$2="PM",'Daily Workforce'!$E22="PM",'Daily Workforce'!$E22="Overnight"))),'Daily Workforce'!$V22*1000+22,999999999)</f>
        <v>22</v>
      </c>
      <c r="AH6" s="1" t="n">
        <f aca="false">IF(AND('Daily Workforce'!$N23="Y",'Daily Workforce'!$B23&lt;&gt;"",COUNTIF('Daily Schedule'!$F$5:$F9,'Daily Workforce'!$B23)=0,'Daily Workforce'!$M23="Y",IF(OR('Daily Schedule'!$E$2="Full Day",'Daily Schedule'!$E$2="AM"),'Daily Workforce'!$D23="3:45 AM",IF('Daily Schedule'!$E$2="PM",'Daily Workforce'!$E23="PM",'Daily Workforce'!$E23="Overnight"))),'Daily Workforce'!$V23*1000+23,999999999)</f>
        <v>23</v>
      </c>
      <c r="AI6" s="1" t="n">
        <f aca="false">IF(AND('Daily Workforce'!$N24="Y",'Daily Workforce'!$B24&lt;&gt;"",COUNTIF('Daily Schedule'!$F$5:$F9,'Daily Workforce'!$B24)=0,'Daily Workforce'!$M24="Y",IF(OR('Daily Schedule'!$E$2="Full Day",'Daily Schedule'!$E$2="AM"),'Daily Workforce'!$D24="3:45 AM",IF('Daily Schedule'!$E$2="PM",'Daily Workforce'!$E24="PM",'Daily Workforce'!$E24="Overnight"))),'Daily Workforce'!$V24*1000+24,999999999)</f>
        <v>24</v>
      </c>
      <c r="AJ6" s="1" t="n">
        <f aca="false">IF(AND('Daily Workforce'!$N25="Y",'Daily Workforce'!$B25&lt;&gt;"",COUNTIF('Daily Schedule'!$F$5:$F9,'Daily Workforce'!$B25)=0,'Daily Workforce'!$M25="Y",IF(OR('Daily Schedule'!$E$2="Full Day",'Daily Schedule'!$E$2="AM"),'Daily Workforce'!$D25="3:45 AM",IF('Daily Schedule'!$E$2="PM",'Daily Workforce'!$E25="PM",'Daily Workforce'!$E25="Overnight"))),'Daily Workforce'!$V25*1000+25,999999999)</f>
        <v>25</v>
      </c>
      <c r="AK6" s="1" t="n">
        <f aca="false">IF(AND('Daily Workforce'!$N26="Y",'Daily Workforce'!$B26&lt;&gt;"",COUNTIF('Daily Schedule'!$F$5:$F9,'Daily Workforce'!$B26)=0,'Daily Workforce'!$M26="Y",IF(OR('Daily Schedule'!$E$2="Full Day",'Daily Schedule'!$E$2="AM"),'Daily Workforce'!$D26="3:45 AM",IF('Daily Schedule'!$E$2="PM",'Daily Workforce'!$E26="PM",'Daily Workforce'!$E26="Overnight"))),'Daily Workforce'!$V26*1000+26,999999999)</f>
        <v>26</v>
      </c>
      <c r="AL6" s="1" t="n">
        <f aca="false">IF(AND('Daily Workforce'!$N27="Y",'Daily Workforce'!$B27&lt;&gt;"",COUNTIF('Daily Schedule'!$F$5:$F9,'Daily Workforce'!$B27)=0,'Daily Workforce'!$M27="Y",IF(OR('Daily Schedule'!$E$2="Full Day",'Daily Schedule'!$E$2="AM"),'Daily Workforce'!$D27="3:45 AM",IF('Daily Schedule'!$E$2="PM",'Daily Workforce'!$E27="PM",'Daily Workforce'!$E27="Overnight"))),'Daily Workforce'!$V27*1000+27,999999999)</f>
        <v>999999999</v>
      </c>
      <c r="AM6" s="1" t="n">
        <f aca="false">IF(AND('Daily Workforce'!$N28="Y",'Daily Workforce'!$B28&lt;&gt;"",COUNTIF('Daily Schedule'!$F$5:$F9,'Daily Workforce'!$B28)=0,'Daily Workforce'!$M28="Y",IF(OR('Daily Schedule'!$E$2="Full Day",'Daily Schedule'!$E$2="AM"),'Daily Workforce'!$D28="3:45 AM",IF('Daily Schedule'!$E$2="PM",'Daily Workforce'!$E28="PM",'Daily Workforce'!$E28="Overnight"))),'Daily Workforce'!$V28*1000+28,999999999)</f>
        <v>999999999</v>
      </c>
      <c r="AN6" s="1" t="n">
        <f aca="false">IF(AND('Daily Workforce'!$N29="Y",'Daily Workforce'!$B29&lt;&gt;"",COUNTIF('Daily Schedule'!$F$5:$F9,'Daily Workforce'!$B29)=0,'Daily Workforce'!$M29="Y",IF(OR('Daily Schedule'!$E$2="Full Day",'Daily Schedule'!$E$2="AM"),'Daily Workforce'!$D29="3:45 AM",IF('Daily Schedule'!$E$2="PM",'Daily Workforce'!$E29="PM",'Daily Workforce'!$E29="Overnight"))),'Daily Workforce'!$V29*1000+29,999999999)</f>
        <v>999999999</v>
      </c>
      <c r="AO6" s="1" t="n">
        <f aca="false">IF(AND('Daily Workforce'!$N30="Y",'Daily Workforce'!$B30&lt;&gt;"",COUNTIF('Daily Schedule'!$F$5:$F9,'Daily Workforce'!$B30)=0,'Daily Workforce'!$M30="Y",IF(OR('Daily Schedule'!$E$2="Full Day",'Daily Schedule'!$E$2="AM"),'Daily Workforce'!$D30="3:45 AM",IF('Daily Schedule'!$E$2="PM",'Daily Workforce'!$E30="PM",'Daily Workforce'!$E30="Overnight"))),'Daily Workforce'!$V30*1000+30,999999999)</f>
        <v>999999999</v>
      </c>
      <c r="AP6" s="1" t="n">
        <f aca="false">IF(AND('Daily Workforce'!$N31="Y",'Daily Workforce'!$B31&lt;&gt;"",COUNTIF('Daily Schedule'!$F$5:$F9,'Daily Workforce'!$B31)=0,'Daily Workforce'!$M31="Y",IF(OR('Daily Schedule'!$E$2="Full Day",'Daily Schedule'!$E$2="AM"),'Daily Workforce'!$D31="3:45 AM",IF('Daily Schedule'!$E$2="PM",'Daily Workforce'!$E31="PM",'Daily Workforce'!$E31="Overnight"))),'Daily Workforce'!$V31*1000+31,999999999)</f>
        <v>999999999</v>
      </c>
      <c r="AQ6" s="1" t="n">
        <f aca="false">IF(AND('Daily Workforce'!$N32="Y",'Daily Workforce'!$B32&lt;&gt;"",COUNTIF('Daily Schedule'!$F$5:$F9,'Daily Workforce'!$B32)=0,'Daily Workforce'!$M32="Y",IF(OR('Daily Schedule'!$E$2="Full Day",'Daily Schedule'!$E$2="AM"),'Daily Workforce'!$D32="3:45 AM",IF('Daily Schedule'!$E$2="PM",'Daily Workforce'!$E32="PM",'Daily Workforce'!$E32="Overnight"))),'Daily Workforce'!$V32*1000+32,999999999)</f>
        <v>999999999</v>
      </c>
      <c r="AR6" s="1" t="n">
        <f aca="false">IF(AND('Daily Workforce'!$N33="Y",'Daily Workforce'!$B33&lt;&gt;"",COUNTIF('Daily Schedule'!$F$5:$F9,'Daily Workforce'!$B33)=0,'Daily Workforce'!$M33="Y",IF(OR('Daily Schedule'!$E$2="Full Day",'Daily Schedule'!$E$2="AM"),'Daily Workforce'!$D33="3:45 AM",IF('Daily Schedule'!$E$2="PM",'Daily Workforce'!$E33="PM",'Daily Workforce'!$E33="Overnight"))),'Daily Workforce'!$V33*1000+33,999999999)</f>
        <v>999999999</v>
      </c>
      <c r="AS6" s="1" t="n">
        <f aca="false">IF(AND('Daily Workforce'!$N34="Y",'Daily Workforce'!$B34&lt;&gt;"",COUNTIF('Daily Schedule'!$F$5:$F9,'Daily Workforce'!$B34)=0,'Daily Workforce'!$M34="Y",IF(OR('Daily Schedule'!$E$2="Full Day",'Daily Schedule'!$E$2="AM"),'Daily Workforce'!$D34="3:45 AM",IF('Daily Schedule'!$E$2="PM",'Daily Workforce'!$E34="PM",'Daily Workforce'!$E34="Overnight"))),'Daily Workforce'!$V34*1000+34,999999999)</f>
        <v>999999999</v>
      </c>
      <c r="AT6" s="1" t="n">
        <f aca="false">IF(AND('Daily Workforce'!$N35="Y",'Daily Workforce'!$B35&lt;&gt;"",COUNTIF('Daily Schedule'!$F$5:$F9,'Daily Workforce'!$B35)=0,'Daily Workforce'!$M35="Y",IF(OR('Daily Schedule'!$E$2="Full Day",'Daily Schedule'!$E$2="AM"),'Daily Workforce'!$D35="3:45 AM",IF('Daily Schedule'!$E$2="PM",'Daily Workforce'!$E35="PM",'Daily Workforce'!$E35="Overnight"))),'Daily Workforce'!$V35*1000+35,999999999)</f>
        <v>999999999</v>
      </c>
      <c r="AU6" s="1" t="n">
        <f aca="false">IF(AND('Daily Workforce'!$N36="Y",'Daily Workforce'!$B36&lt;&gt;"",COUNTIF('Daily Schedule'!$F$5:$F9,'Daily Workforce'!$B36)=0,'Daily Workforce'!$M36="Y",IF(OR('Daily Schedule'!$E$2="Full Day",'Daily Schedule'!$E$2="AM"),'Daily Workforce'!$D36="3:45 AM",IF('Daily Schedule'!$E$2="PM",'Daily Workforce'!$E36="PM",'Daily Workforce'!$E36="Overnight"))),'Daily Workforce'!$V36*1000+36,999999999)</f>
        <v>999999999</v>
      </c>
      <c r="AV6" s="1" t="n">
        <f aca="false">IF(AND('Daily Workforce'!$N37="Y",'Daily Workforce'!$B37&lt;&gt;"",COUNTIF('Daily Schedule'!$F$5:$F9,'Daily Workforce'!$B37)=0,'Daily Workforce'!$M37="Y",IF(OR('Daily Schedule'!$E$2="Full Day",'Daily Schedule'!$E$2="AM"),'Daily Workforce'!$D37="3:45 AM",IF('Daily Schedule'!$E$2="PM",'Daily Workforce'!$E37="PM",'Daily Workforce'!$E37="Overnight"))),'Daily Workforce'!$V37*1000+37,999999999)</f>
        <v>999999999</v>
      </c>
      <c r="AW6" s="1" t="n">
        <f aca="false">IF(AND('Daily Workforce'!$N38="Y",'Daily Workforce'!$B38&lt;&gt;"",COUNTIF('Daily Schedule'!$F$5:$F9,'Daily Workforce'!$B38)=0,'Daily Workforce'!$M38="Y",IF(OR('Daily Schedule'!$E$2="Full Day",'Daily Schedule'!$E$2="AM"),'Daily Workforce'!$D38="3:45 AM",IF('Daily Schedule'!$E$2="PM",'Daily Workforce'!$E38="PM",'Daily Workforce'!$E38="Overnight"))),'Daily Workforce'!$V38*1000+38,999999999)</f>
        <v>999999999</v>
      </c>
      <c r="AX6" s="1" t="n">
        <f aca="false">IF(AND('Daily Workforce'!$N39="Y",'Daily Workforce'!$B39&lt;&gt;"",COUNTIF('Daily Schedule'!$F$5:$F9,'Daily Workforce'!$B39)=0,'Daily Workforce'!$M39="Y",IF(OR('Daily Schedule'!$E$2="Full Day",'Daily Schedule'!$E$2="AM"),'Daily Workforce'!$D39="3:45 AM",IF('Daily Schedule'!$E$2="PM",'Daily Workforce'!$E39="PM",'Daily Workforce'!$E39="Overnight"))),'Daily Workforce'!$V39*1000+39,999999999)</f>
        <v>999999999</v>
      </c>
      <c r="AY6" s="1" t="n">
        <f aca="false">IF(AND('Daily Workforce'!$N40="Y",'Daily Workforce'!$B40&lt;&gt;"",COUNTIF('Daily Schedule'!$F$5:$F9,'Daily Workforce'!$B40)=0,'Daily Workforce'!$M40="Y",IF(OR('Daily Schedule'!$E$2="Full Day",'Daily Schedule'!$E$2="AM"),'Daily Workforce'!$D40="3:45 AM",IF('Daily Schedule'!$E$2="PM",'Daily Workforce'!$E40="PM",'Daily Workforce'!$E40="Overnight"))),'Daily Workforce'!$V40*1000+40,999999999)</f>
        <v>999999999</v>
      </c>
      <c r="AZ6" s="1" t="n">
        <f aca="false">IF(AND('Daily Workforce'!$N41="Y",'Daily Workforce'!$B41&lt;&gt;"",COUNTIF('Daily Schedule'!$F$5:$F9,'Daily Workforce'!$B41)=0,'Daily Workforce'!$M41="Y",IF(OR('Daily Schedule'!$E$2="Full Day",'Daily Schedule'!$E$2="AM"),'Daily Workforce'!$D41="3:45 AM",IF('Daily Schedule'!$E$2="PM",'Daily Workforce'!$E41="PM",'Daily Workforce'!$E41="Overnight"))),'Daily Workforce'!$V41*1000+41,999999999)</f>
        <v>999999999</v>
      </c>
      <c r="BA6" s="1" t="n">
        <f aca="false">IF(AND('Daily Workforce'!$N42="Y",'Daily Workforce'!$B42&lt;&gt;"",COUNTIF('Daily Schedule'!$F$5:$F9,'Daily Workforce'!$B42)=0,'Daily Workforce'!$M42="Y",IF(OR('Daily Schedule'!$E$2="Full Day",'Daily Schedule'!$E$2="AM"),'Daily Workforce'!$D42="3:45 AM",IF('Daily Schedule'!$E$2="PM",'Daily Workforce'!$E42="PM",'Daily Workforce'!$E42="Overnight"))),'Daily Workforce'!$V42*1000+42,999999999)</f>
        <v>999999999</v>
      </c>
      <c r="BB6" s="1" t="n">
        <f aca="false">IF(AND('Daily Workforce'!$N43="Y",'Daily Workforce'!$B43&lt;&gt;"",COUNTIF('Daily Schedule'!$F$5:$F9,'Daily Workforce'!$B43)=0,'Daily Workforce'!$M43="Y",IF(OR('Daily Schedule'!$E$2="Full Day",'Daily Schedule'!$E$2="AM"),'Daily Workforce'!$D43="3:45 AM",IF('Daily Schedule'!$E$2="PM",'Daily Workforce'!$E43="PM",'Daily Workforce'!$E43="Overnight"))),'Daily Workforce'!$V43*1000+43,999999999)</f>
        <v>999999999</v>
      </c>
      <c r="BC6" s="1" t="n">
        <f aca="false">IF(AND('Daily Workforce'!$N44="Y",'Daily Workforce'!$B44&lt;&gt;"",COUNTIF('Daily Schedule'!$F$5:$F9,'Daily Workforce'!$B44)=0,'Daily Workforce'!$M44="Y",IF(OR('Daily Schedule'!$E$2="Full Day",'Daily Schedule'!$E$2="AM"),'Daily Workforce'!$D44="3:45 AM",IF('Daily Schedule'!$E$2="PM",'Daily Workforce'!$E44="PM",'Daily Workforce'!$E44="Overnight"))),'Daily Workforce'!$V44*1000+44,999999999)</f>
        <v>999999999</v>
      </c>
      <c r="BD6" s="1" t="n">
        <f aca="false">IF(AND('Daily Workforce'!$N45="Y",'Daily Workforce'!$B45&lt;&gt;"",COUNTIF('Daily Schedule'!$F$5:$F9,'Daily Workforce'!$B45)=0,'Daily Workforce'!$M45="Y",IF(OR('Daily Schedule'!$E$2="Full Day",'Daily Schedule'!$E$2="AM"),'Daily Workforce'!$D45="3:45 AM",IF('Daily Schedule'!$E$2="PM",'Daily Workforce'!$E45="PM",'Daily Workforce'!$E45="Overnight"))),'Daily Workforce'!$V45*1000+45,999999999)</f>
        <v>999999999</v>
      </c>
      <c r="BE6" s="1" t="n">
        <f aca="false">IF(AND('Daily Workforce'!$N46="Y",'Daily Workforce'!$B46&lt;&gt;"",COUNTIF('Daily Schedule'!$F$5:$F9,'Daily Workforce'!$B46)=0,'Daily Workforce'!$M46="Y",IF(OR('Daily Schedule'!$E$2="Full Day",'Daily Schedule'!$E$2="AM"),'Daily Workforce'!$D46="3:45 AM",IF('Daily Schedule'!$E$2="PM",'Daily Workforce'!$E46="PM",'Daily Workforce'!$E46="Overnight"))),'Daily Workforce'!$V46*1000+46,999999999)</f>
        <v>999999999</v>
      </c>
      <c r="BF6" s="1" t="n">
        <f aca="false">IF(AND('Daily Workforce'!$N47="Y",'Daily Workforce'!$B47&lt;&gt;"",COUNTIF('Daily Schedule'!$F$5:$F9,'Daily Workforce'!$B47)=0,'Daily Workforce'!$M47="Y",IF(OR('Daily Schedule'!$E$2="Full Day",'Daily Schedule'!$E$2="AM"),'Daily Workforce'!$D47="3:45 AM",IF('Daily Schedule'!$E$2="PM",'Daily Workforce'!$E47="PM",'Daily Workforce'!$E47="Overnight"))),'Daily Workforce'!$V47*1000+47,999999999)</f>
        <v>999999999</v>
      </c>
      <c r="BG6" s="1" t="n">
        <f aca="false">IF(AND('Daily Workforce'!$N48="Y",'Daily Workforce'!$B48&lt;&gt;"",COUNTIF('Daily Schedule'!$F$5:$F9,'Daily Workforce'!$B48)=0,'Daily Workforce'!$M48="Y",IF(OR('Daily Schedule'!$E$2="Full Day",'Daily Schedule'!$E$2="AM"),'Daily Workforce'!$D48="3:45 AM",IF('Daily Schedule'!$E$2="PM",'Daily Workforce'!$E48="PM",'Daily Workforce'!$E48="Overnight"))),'Daily Workforce'!$V48*1000+48,999999999)</f>
        <v>999999999</v>
      </c>
      <c r="BH6" s="1" t="n">
        <f aca="false">IF(AND('Daily Workforce'!$N49="Y",'Daily Workforce'!$B49&lt;&gt;"",COUNTIF('Daily Schedule'!$F$5:$F9,'Daily Workforce'!$B49)=0,'Daily Workforce'!$M49="Y",IF(OR('Daily Schedule'!$E$2="Full Day",'Daily Schedule'!$E$2="AM"),'Daily Workforce'!$D49="3:45 AM",IF('Daily Schedule'!$E$2="PM",'Daily Workforce'!$E49="PM",'Daily Workforce'!$E49="Overnight"))),'Daily Workforce'!$V49*1000+49,999999999)</f>
        <v>999999999</v>
      </c>
      <c r="BI6" s="1" t="n">
        <f aca="false">IF(AND('Daily Workforce'!$N50="Y",'Daily Workforce'!$B50&lt;&gt;"",COUNTIF('Daily Schedule'!$F$5:$F9,'Daily Workforce'!$B50)=0,'Daily Workforce'!$M50="Y",IF(OR('Daily Schedule'!$E$2="Full Day",'Daily Schedule'!$E$2="AM"),'Daily Workforce'!$D50="3:45 AM",IF('Daily Schedule'!$E$2="PM",'Daily Workforce'!$E50="PM",'Daily Workforce'!$E50="Overnight"))),'Daily Workforce'!$V50*1000+50,999999999)</f>
        <v>999999999</v>
      </c>
      <c r="BJ6" s="1" t="n">
        <f aca="false">IF(AND('Daily Workforce'!$N51="Y",'Daily Workforce'!$B51&lt;&gt;"",COUNTIF('Daily Schedule'!$F$5:$F9,'Daily Workforce'!$B51)=0,'Daily Workforce'!$M51="Y",IF(OR('Daily Schedule'!$E$2="Full Day",'Daily Schedule'!$E$2="AM"),'Daily Workforce'!$D51="3:45 AM",IF('Daily Schedule'!$E$2="PM",'Daily Workforce'!$E51="PM",'Daily Workforce'!$E51="Overnight"))),'Daily Workforce'!$V51*1000+51,999999999)</f>
        <v>999999999</v>
      </c>
      <c r="BK6" s="1" t="n">
        <f aca="false">IF(AND('Daily Workforce'!$N52="Y",'Daily Workforce'!$B52&lt;&gt;"",COUNTIF('Daily Schedule'!$F$5:$F9,'Daily Workforce'!$B52)=0,'Daily Workforce'!$M52="Y",IF(OR('Daily Schedule'!$E$2="Full Day",'Daily Schedule'!$E$2="AM"),'Daily Workforce'!$D52="3:45 AM",IF('Daily Schedule'!$E$2="PM",'Daily Workforce'!$E52="PM",'Daily Workforce'!$E52="Overnight"))),'Daily Workforce'!$V52*1000+52,999999999)</f>
        <v>999999999</v>
      </c>
      <c r="BL6" s="1" t="n">
        <f aca="false">IF(AND('Daily Workforce'!$N53="Y",'Daily Workforce'!$B53&lt;&gt;"",COUNTIF('Daily Schedule'!$F$5:$F9,'Daily Workforce'!$B53)=0,'Daily Workforce'!$M53="Y",IF(OR('Daily Schedule'!$E$2="Full Day",'Daily Schedule'!$E$2="AM"),'Daily Workforce'!$D53="3:45 AM",IF('Daily Schedule'!$E$2="PM",'Daily Workforce'!$E53="PM",'Daily Workforce'!$E53="Overnight"))),'Daily Workforce'!$V53*1000+53,999999999)</f>
        <v>999999999</v>
      </c>
      <c r="BM6" s="1" t="n">
        <f aca="false">IF(AND('Daily Workforce'!$N54="Y",'Daily Workforce'!$B54&lt;&gt;"",COUNTIF('Daily Schedule'!$F$5:$F9,'Daily Workforce'!$B54)=0,'Daily Workforce'!$M54="Y",IF(OR('Daily Schedule'!$E$2="Full Day",'Daily Schedule'!$E$2="AM"),'Daily Workforce'!$D54="3:45 AM",IF('Daily Schedule'!$E$2="PM",'Daily Workforce'!$E54="PM",'Daily Workforce'!$E54="Overnight"))),'Daily Workforce'!$V54*1000+54,999999999)</f>
        <v>999999999</v>
      </c>
      <c r="BN6" s="1" t="n">
        <f aca="false">IF(AND('Daily Workforce'!$N55="Y",'Daily Workforce'!$B55&lt;&gt;"",COUNTIF('Daily Schedule'!$F$5:$F9,'Daily Workforce'!$B55)=0,'Daily Workforce'!$M55="Y",IF(OR('Daily Schedule'!$E$2="Full Day",'Daily Schedule'!$E$2="AM"),'Daily Workforce'!$D55="3:45 AM",IF('Daily Schedule'!$E$2="PM",'Daily Workforce'!$E55="PM",'Daily Workforce'!$E55="Overnight"))),'Daily Workforce'!$V55*1000+55,999999999)</f>
        <v>999999999</v>
      </c>
      <c r="BO6" s="1" t="n">
        <f aca="false">IF(AND('Daily Workforce'!$N56="Y",'Daily Workforce'!$B56&lt;&gt;"",COUNTIF('Daily Schedule'!$F$5:$F9,'Daily Workforce'!$B56)=0,'Daily Workforce'!$M56="Y",IF(OR('Daily Schedule'!$E$2="Full Day",'Daily Schedule'!$E$2="AM"),'Daily Workforce'!$D56="3:45 AM",IF('Daily Schedule'!$E$2="PM",'Daily Workforce'!$E56="PM",'Daily Workforce'!$E56="Overnight"))),'Daily Workforce'!$V56*1000+56,999999999)</f>
        <v>999999999</v>
      </c>
      <c r="BP6" s="1" t="n">
        <f aca="false">IF(AND('Daily Workforce'!$N57="Y",'Daily Workforce'!$B57&lt;&gt;"",COUNTIF('Daily Schedule'!$F$5:$F9,'Daily Workforce'!$B57)=0,'Daily Workforce'!$M57="Y",IF(OR('Daily Schedule'!$E$2="Full Day",'Daily Schedule'!$E$2="AM"),'Daily Workforce'!$D57="3:45 AM",IF('Daily Schedule'!$E$2="PM",'Daily Workforce'!$E57="PM",'Daily Workforce'!$E57="Overnight"))),'Daily Workforce'!$V57*1000+57,999999999)</f>
        <v>999999999</v>
      </c>
      <c r="BQ6" s="1" t="n">
        <f aca="false">IF(AND('Daily Workforce'!$N58="Y",'Daily Workforce'!$B58&lt;&gt;"",COUNTIF('Daily Schedule'!$F$5:$F9,'Daily Workforce'!$B58)=0,'Daily Workforce'!$M58="Y",IF(OR('Daily Schedule'!$E$2="Full Day",'Daily Schedule'!$E$2="AM"),'Daily Workforce'!$D58="3:45 AM",IF('Daily Schedule'!$E$2="PM",'Daily Workforce'!$E58="PM",'Daily Workforce'!$E58="Overnight"))),'Daily Workforce'!$V58*1000+58,999999999)</f>
        <v>999999999</v>
      </c>
      <c r="BR6" s="1" t="n">
        <f aca="false">IF(AND('Daily Workforce'!$N59="Y",'Daily Workforce'!$B59&lt;&gt;"",COUNTIF('Daily Schedule'!$F$5:$F9,'Daily Workforce'!$B59)=0,'Daily Workforce'!$M59="Y",IF(OR('Daily Schedule'!$E$2="Full Day",'Daily Schedule'!$E$2="AM"),'Daily Workforce'!$D59="3:45 AM",IF('Daily Schedule'!$E$2="PM",'Daily Workforce'!$E59="PM",'Daily Workforce'!$E59="Overnight"))),'Daily Workforce'!$V59*1000+59,999999999)</f>
        <v>999999999</v>
      </c>
      <c r="BS6" s="1" t="n">
        <f aca="false">IF(AND('Daily Workforce'!$N60="Y",'Daily Workforce'!$B60&lt;&gt;"",COUNTIF('Daily Schedule'!$F$5:$F9,'Daily Workforce'!$B60)=0,'Daily Workforce'!$M60="Y",IF(OR('Daily Schedule'!$E$2="Full Day",'Daily Schedule'!$E$2="AM"),'Daily Workforce'!$D60="3:45 AM",IF('Daily Schedule'!$E$2="PM",'Daily Workforce'!$E60="PM",'Daily Workforce'!$E60="Overnight"))),'Daily Workforce'!$V60*1000+60,999999999)</f>
        <v>999999999</v>
      </c>
      <c r="BT6" s="1" t="n">
        <f aca="false">IF(AND('Daily Workforce'!$N61="Y",'Daily Workforce'!$B61&lt;&gt;"",COUNTIF('Daily Schedule'!$F$5:$F9,'Daily Workforce'!$B61)=0,'Daily Workforce'!$M61="Y",IF(OR('Daily Schedule'!$E$2="Full Day",'Daily Schedule'!$E$2="AM"),'Daily Workforce'!$D61="3:45 AM",IF('Daily Schedule'!$E$2="PM",'Daily Workforce'!$E61="PM",'Daily Workforce'!$E61="Overnight"))),'Daily Workforce'!$V61*1000+61,999999999)</f>
        <v>999999999</v>
      </c>
      <c r="BU6" s="1" t="n">
        <f aca="false">IF(AND('Daily Workforce'!$N62="Y",'Daily Workforce'!$B62&lt;&gt;"",COUNTIF('Daily Schedule'!$F$5:$F9,'Daily Workforce'!$B62)=0,'Daily Workforce'!$M62="Y",IF(OR('Daily Schedule'!$E$2="Full Day",'Daily Schedule'!$E$2="AM"),'Daily Workforce'!$D62="3:45 AM",IF('Daily Schedule'!$E$2="PM",'Daily Workforce'!$E62="PM",'Daily Workforce'!$E62="Overnight"))),'Daily Workforce'!$V62*1000+62,999999999)</f>
        <v>999999999</v>
      </c>
      <c r="BV6" s="1" t="n">
        <f aca="false">IF(AND('Daily Workforce'!$N63="Y",'Daily Workforce'!$B63&lt;&gt;"",COUNTIF('Daily Schedule'!$F$5:$F9,'Daily Workforce'!$B63)=0,'Daily Workforce'!$M63="Y",IF(OR('Daily Schedule'!$E$2="Full Day",'Daily Schedule'!$E$2="AM"),'Daily Workforce'!$D63="3:45 AM",IF('Daily Schedule'!$E$2="PM",'Daily Workforce'!$E63="PM",'Daily Workforce'!$E63="Overnight"))),'Daily Workforce'!$V63*1000+63,999999999)</f>
        <v>999999999</v>
      </c>
      <c r="BW6" s="1" t="n">
        <f aca="false">IF(AND('Daily Workforce'!$N64="Y",'Daily Workforce'!$B64&lt;&gt;"",COUNTIF('Daily Schedule'!$F$5:$F9,'Daily Workforce'!$B64)=0,'Daily Workforce'!$M64="Y",IF(OR('Daily Schedule'!$E$2="Full Day",'Daily Schedule'!$E$2="AM"),'Daily Workforce'!$D64="3:45 AM",IF('Daily Schedule'!$E$2="PM",'Daily Workforce'!$E64="PM",'Daily Workforce'!$E64="Overnight"))),'Daily Workforce'!$V64*1000+64,999999999)</f>
        <v>999999999</v>
      </c>
      <c r="BX6" s="1" t="n">
        <f aca="false">IF(AND('Daily Workforce'!$N65="Y",'Daily Workforce'!$B65&lt;&gt;"",COUNTIF('Daily Schedule'!$F$5:$F9,'Daily Workforce'!$B65)=0,'Daily Workforce'!$M65="Y",IF(OR('Daily Schedule'!$E$2="Full Day",'Daily Schedule'!$E$2="AM"),'Daily Workforce'!$D65="3:45 AM",IF('Daily Schedule'!$E$2="PM",'Daily Workforce'!$E65="PM",'Daily Workforce'!$E65="Overnight"))),'Daily Workforce'!$V65*1000+65,999999999)</f>
        <v>999999999</v>
      </c>
      <c r="BY6" s="1" t="n">
        <f aca="false">IF(AND('Daily Workforce'!$N66="Y",'Daily Workforce'!$B66&lt;&gt;"",COUNTIF('Daily Schedule'!$F$5:$F9,'Daily Workforce'!$B66)=0,'Daily Workforce'!$M66="Y",IF(OR('Daily Schedule'!$E$2="Full Day",'Daily Schedule'!$E$2="AM"),'Daily Workforce'!$D66="3:45 AM",IF('Daily Schedule'!$E$2="PM",'Daily Workforce'!$E66="PM",'Daily Workforce'!$E66="Overnight"))),'Daily Workforce'!$V66*1000+66,999999999)</f>
        <v>999999999</v>
      </c>
      <c r="BZ6" s="1" t="n">
        <f aca="false">IF(AND('Daily Workforce'!$N67="Y",'Daily Workforce'!$B67&lt;&gt;"",COUNTIF('Daily Schedule'!$F$5:$F9,'Daily Workforce'!$B67)=0,'Daily Workforce'!$M67="Y",IF(OR('Daily Schedule'!$E$2="Full Day",'Daily Schedule'!$E$2="AM"),'Daily Workforce'!$D67="3:45 AM",IF('Daily Schedule'!$E$2="PM",'Daily Workforce'!$E67="PM",'Daily Workforce'!$E67="Overnight"))),'Daily Workforce'!$V67*1000+67,999999999)</f>
        <v>999999999</v>
      </c>
      <c r="CA6" s="1" t="n">
        <f aca="false">IF(AND('Daily Workforce'!$N68="Y",'Daily Workforce'!$B68&lt;&gt;"",COUNTIF('Daily Schedule'!$F$5:$F9,'Daily Workforce'!$B68)=0,'Daily Workforce'!$M68="Y",IF(OR('Daily Schedule'!$E$2="Full Day",'Daily Schedule'!$E$2="AM"),'Daily Workforce'!$D68="3:45 AM",IF('Daily Schedule'!$E$2="PM",'Daily Workforce'!$E68="PM",'Daily Workforce'!$E68="Overnight"))),'Daily Workforce'!$V68*1000+68,999999999)</f>
        <v>999999999</v>
      </c>
      <c r="CB6" s="1" t="n">
        <f aca="false">IF(AND('Daily Workforce'!$N69="Y",'Daily Workforce'!$B69&lt;&gt;"",COUNTIF('Daily Schedule'!$F$5:$F9,'Daily Workforce'!$B69)=0,'Daily Workforce'!$M69="Y",IF(OR('Daily Schedule'!$E$2="Full Day",'Daily Schedule'!$E$2="AM"),'Daily Workforce'!$D69="3:45 AM",IF('Daily Schedule'!$E$2="PM",'Daily Workforce'!$E69="PM",'Daily Workforce'!$E69="Overnight"))),'Daily Workforce'!$V69*1000+69,999999999)</f>
        <v>999999999</v>
      </c>
      <c r="CC6" s="1" t="n">
        <f aca="false">IF(AND('Daily Workforce'!$N70="Y",'Daily Workforce'!$B70&lt;&gt;"",COUNTIF('Daily Schedule'!$F$5:$F9,'Daily Workforce'!$B70)=0,'Daily Workforce'!$M70="Y",IF(OR('Daily Schedule'!$E$2="Full Day",'Daily Schedule'!$E$2="AM"),'Daily Workforce'!$D70="3:45 AM",IF('Daily Schedule'!$E$2="PM",'Daily Workforce'!$E70="PM",'Daily Workforce'!$E70="Overnight"))),'Daily Workforce'!$V70*1000+70,999999999)</f>
        <v>999999999</v>
      </c>
      <c r="CD6" s="1" t="n">
        <f aca="false">IF(AND('Daily Workforce'!$N71="Y",'Daily Workforce'!$B71&lt;&gt;"",COUNTIF('Daily Schedule'!$F$5:$F9,'Daily Workforce'!$B71)=0,'Daily Workforce'!$M71="Y",IF(OR('Daily Schedule'!$E$2="Full Day",'Daily Schedule'!$E$2="AM"),'Daily Workforce'!$D71="3:45 AM",IF('Daily Schedule'!$E$2="PM",'Daily Workforce'!$E71="PM",'Daily Workforce'!$E71="Overnight"))),'Daily Workforce'!$V71*1000+71,999999999)</f>
        <v>999999999</v>
      </c>
      <c r="CE6" s="1" t="n">
        <f aca="false">IF(AND('Daily Workforce'!$N72="Y",'Daily Workforce'!$B72&lt;&gt;"",COUNTIF('Daily Schedule'!$F$5:$F9,'Daily Workforce'!$B72)=0,'Daily Workforce'!$M72="Y",IF(OR('Daily Schedule'!$E$2="Full Day",'Daily Schedule'!$E$2="AM"),'Daily Workforce'!$D72="3:45 AM",IF('Daily Schedule'!$E$2="PM",'Daily Workforce'!$E72="PM",'Daily Workforce'!$E72="Overnight"))),'Daily Workforce'!$V72*1000+72,999999999)</f>
        <v>999999999</v>
      </c>
      <c r="CF6" s="1" t="n">
        <f aca="false">IF(AND('Daily Workforce'!$N73="Y",'Daily Workforce'!$B73&lt;&gt;"",COUNTIF('Daily Schedule'!$F$5:$F9,'Daily Workforce'!$B73)=0,'Daily Workforce'!$M73="Y",IF(OR('Daily Schedule'!$E$2="Full Day",'Daily Schedule'!$E$2="AM"),'Daily Workforce'!$D73="3:45 AM",IF('Daily Schedule'!$E$2="PM",'Daily Workforce'!$E73="PM",'Daily Workforce'!$E73="Overnight"))),'Daily Workforce'!$V73*1000+73,999999999)</f>
        <v>999999999</v>
      </c>
      <c r="CG6" s="1" t="n">
        <f aca="false">IF(AND('Daily Workforce'!$N74="Y",'Daily Workforce'!$B74&lt;&gt;"",COUNTIF('Daily Schedule'!$F$5:$F9,'Daily Workforce'!$B74)=0,'Daily Workforce'!$M74="Y",IF(OR('Daily Schedule'!$E$2="Full Day",'Daily Schedule'!$E$2="AM"),'Daily Workforce'!$D74="3:45 AM",IF('Daily Schedule'!$E$2="PM",'Daily Workforce'!$E74="PM",'Daily Workforce'!$E74="Overnight"))),'Daily Workforce'!$V74*1000+74,999999999)</f>
        <v>999999999</v>
      </c>
      <c r="CH6" s="1" t="n">
        <f aca="false">IF(AND('Daily Workforce'!$N75="Y",'Daily Workforce'!$B75&lt;&gt;"",COUNTIF('Daily Schedule'!$F$5:$F9,'Daily Workforce'!$B75)=0,'Daily Workforce'!$M75="Y",IF(OR('Daily Schedule'!$E$2="Full Day",'Daily Schedule'!$E$2="AM"),'Daily Workforce'!$D75="3:45 AM",IF('Daily Schedule'!$E$2="PM",'Daily Workforce'!$E75="PM",'Daily Workforce'!$E75="Overnight"))),'Daily Workforce'!$V75*1000+75,999999999)</f>
        <v>999999999</v>
      </c>
      <c r="CI6" s="1" t="n">
        <f aca="false">IF(AND('Daily Workforce'!$N76="Y",'Daily Workforce'!$B76&lt;&gt;"",COUNTIF('Daily Schedule'!$F$5:$F9,'Daily Workforce'!$B76)=0,'Daily Workforce'!$M76="Y",IF(OR('Daily Schedule'!$E$2="Full Day",'Daily Schedule'!$E$2="AM"),'Daily Workforce'!$D76="3:45 AM",IF('Daily Schedule'!$E$2="PM",'Daily Workforce'!$E76="PM",'Daily Workforce'!$E76="Overnight"))),'Daily Workforce'!$V76*1000+76,999999999)</f>
        <v>999999999</v>
      </c>
      <c r="CJ6" s="1" t="n">
        <f aca="false">IF(AND('Daily Workforce'!$N77="Y",'Daily Workforce'!$B77&lt;&gt;"",COUNTIF('Daily Schedule'!$F$5:$F9,'Daily Workforce'!$B77)=0,'Daily Workforce'!$M77="Y",IF(OR('Daily Schedule'!$E$2="Full Day",'Daily Schedule'!$E$2="AM"),'Daily Workforce'!$D77="3:45 AM",IF('Daily Schedule'!$E$2="PM",'Daily Workforce'!$E77="PM",'Daily Workforce'!$E77="Overnight"))),'Daily Workforce'!$V77*1000+77,999999999)</f>
        <v>999999999</v>
      </c>
      <c r="CK6" s="1" t="n">
        <f aca="false">IF(AND('Daily Workforce'!$N78="Y",'Daily Workforce'!$B78&lt;&gt;"",COUNTIF('Daily Schedule'!$F$5:$F9,'Daily Workforce'!$B78)=0,'Daily Workforce'!$M78="Y",IF(OR('Daily Schedule'!$E$2="Full Day",'Daily Schedule'!$E$2="AM"),'Daily Workforce'!$D78="3:45 AM",IF('Daily Schedule'!$E$2="PM",'Daily Workforce'!$E78="PM",'Daily Workforce'!$E78="Overnight"))),'Daily Workforce'!$V78*1000+78,999999999)</f>
        <v>999999999</v>
      </c>
      <c r="CL6" s="1" t="n">
        <f aca="false">IF(AND('Daily Workforce'!$N79="Y",'Daily Workforce'!$B79&lt;&gt;"",COUNTIF('Daily Schedule'!$F$5:$F9,'Daily Workforce'!$B79)=0,'Daily Workforce'!$M79="Y",IF(OR('Daily Schedule'!$E$2="Full Day",'Daily Schedule'!$E$2="AM"),'Daily Workforce'!$D79="3:45 AM",IF('Daily Schedule'!$E$2="PM",'Daily Workforce'!$E79="PM",'Daily Workforce'!$E79="Overnight"))),'Daily Workforce'!$V79*1000+79,999999999)</f>
        <v>999999999</v>
      </c>
      <c r="CM6" s="1" t="n">
        <f aca="false">IF(AND('Daily Workforce'!$N80="Y",'Daily Workforce'!$B80&lt;&gt;"",COUNTIF('Daily Schedule'!$F$5:$F9,'Daily Workforce'!$B80)=0,'Daily Workforce'!$M80="Y",IF(OR('Daily Schedule'!$E$2="Full Day",'Daily Schedule'!$E$2="AM"),'Daily Workforce'!$D80="3:45 AM",IF('Daily Schedule'!$E$2="PM",'Daily Workforce'!$E80="PM",'Daily Workforce'!$E80="Overnight"))),'Daily Workforce'!$V80*1000+80,999999999)</f>
        <v>999999999</v>
      </c>
      <c r="CN6" s="1" t="n">
        <f aca="false">IF(AND('Daily Workforce'!$N81="Y",'Daily Workforce'!$B81&lt;&gt;"",COUNTIF('Daily Schedule'!$F$5:$F9,'Daily Workforce'!$B81)=0,'Daily Workforce'!$M81="Y",IF(OR('Daily Schedule'!$E$2="Full Day",'Daily Schedule'!$E$2="AM"),'Daily Workforce'!$D81="3:45 AM",IF('Daily Schedule'!$E$2="PM",'Daily Workforce'!$E81="PM",'Daily Workforce'!$E81="Overnight"))),'Daily Workforce'!$V81*1000+81,999999999)</f>
        <v>999999999</v>
      </c>
      <c r="CO6" s="1" t="n">
        <f aca="false">IF(AND('Daily Workforce'!$N82="Y",'Daily Workforce'!$B82&lt;&gt;"",COUNTIF('Daily Schedule'!$F$5:$F9,'Daily Workforce'!$B82)=0,'Daily Workforce'!$M82="Y",IF(OR('Daily Schedule'!$E$2="Full Day",'Daily Schedule'!$E$2="AM"),'Daily Workforce'!$D82="3:45 AM",IF('Daily Schedule'!$E$2="PM",'Daily Workforce'!$E82="PM",'Daily Workforce'!$E82="Overnight"))),'Daily Workforce'!$V82*1000+82,999999999)</f>
        <v>999999999</v>
      </c>
      <c r="CP6" s="1" t="n">
        <f aca="false">IF(AND('Daily Workforce'!$N83="Y",'Daily Workforce'!$B83&lt;&gt;"",COUNTIF('Daily Schedule'!$F$5:$F9,'Daily Workforce'!$B83)=0,'Daily Workforce'!$M83="Y",IF(OR('Daily Schedule'!$E$2="Full Day",'Daily Schedule'!$E$2="AM"),'Daily Workforce'!$D83="3:45 AM",IF('Daily Schedule'!$E$2="PM",'Daily Workforce'!$E83="PM",'Daily Workforce'!$E83="Overnight"))),'Daily Workforce'!$V83*1000+83,999999999)</f>
        <v>999999999</v>
      </c>
      <c r="CQ6" s="1" t="n">
        <f aca="false">IF(AND('Daily Workforce'!$N84="Y",'Daily Workforce'!$B84&lt;&gt;"",COUNTIF('Daily Schedule'!$F$5:$F9,'Daily Workforce'!$B84)=0,'Daily Workforce'!$M84="Y",IF(OR('Daily Schedule'!$E$2="Full Day",'Daily Schedule'!$E$2="AM"),'Daily Workforce'!$D84="3:45 AM",IF('Daily Schedule'!$E$2="PM",'Daily Workforce'!$E84="PM",'Daily Workforce'!$E84="Overnight"))),'Daily Workforce'!$V84*1000+84,999999999)</f>
        <v>999999999</v>
      </c>
      <c r="CR6" s="1" t="n">
        <f aca="false">IF(AND('Daily Workforce'!$N85="Y",'Daily Workforce'!$B85&lt;&gt;"",COUNTIF('Daily Schedule'!$F$5:$F9,'Daily Workforce'!$B85)=0,'Daily Workforce'!$M85="Y",IF(OR('Daily Schedule'!$E$2="Full Day",'Daily Schedule'!$E$2="AM"),'Daily Workforce'!$D85="3:45 AM",IF('Daily Schedule'!$E$2="PM",'Daily Workforce'!$E85="PM",'Daily Workforce'!$E85="Overnight"))),'Daily Workforce'!$V85*1000+85,999999999)</f>
        <v>999999999</v>
      </c>
      <c r="CS6" s="1" t="n">
        <f aca="false">IF(AND('Daily Workforce'!$N86="Y",'Daily Workforce'!$B86&lt;&gt;"",COUNTIF('Daily Schedule'!$F$5:$F9,'Daily Workforce'!$B86)=0,'Daily Workforce'!$M86="Y",IF(OR('Daily Schedule'!$E$2="Full Day",'Daily Schedule'!$E$2="AM"),'Daily Workforce'!$D86="3:45 AM",IF('Daily Schedule'!$E$2="PM",'Daily Workforce'!$E86="PM",'Daily Workforce'!$E86="Overnight"))),'Daily Workforce'!$V86*1000+86,999999999)</f>
        <v>999999999</v>
      </c>
      <c r="CT6" s="1" t="n">
        <f aca="false">IF(AND('Daily Workforce'!$N87="Y",'Daily Workforce'!$B87&lt;&gt;"",COUNTIF('Daily Schedule'!$F$5:$F9,'Daily Workforce'!$B87)=0,'Daily Workforce'!$M87="Y",IF(OR('Daily Schedule'!$E$2="Full Day",'Daily Schedule'!$E$2="AM"),'Daily Workforce'!$D87="3:45 AM",IF('Daily Schedule'!$E$2="PM",'Daily Workforce'!$E87="PM",'Daily Workforce'!$E87="Overnight"))),'Daily Workforce'!$V87*1000+87,999999999)</f>
        <v>999999999</v>
      </c>
      <c r="CU6" s="1" t="n">
        <f aca="false">IF(AND('Daily Workforce'!$N88="Y",'Daily Workforce'!$B88&lt;&gt;"",COUNTIF('Daily Schedule'!$F$5:$F9,'Daily Workforce'!$B88)=0,'Daily Workforce'!$M88="Y",IF(OR('Daily Schedule'!$E$2="Full Day",'Daily Schedule'!$E$2="AM"),'Daily Workforce'!$D88="3:45 AM",IF('Daily Schedule'!$E$2="PM",'Daily Workforce'!$E88="PM",'Daily Workforce'!$E88="Overnight"))),'Daily Workforce'!$V88*1000+88,999999999)</f>
        <v>999999999</v>
      </c>
      <c r="CV6" s="1" t="n">
        <f aca="false">IF(AND('Daily Workforce'!$N89="Y",'Daily Workforce'!$B89&lt;&gt;"",COUNTIF('Daily Schedule'!$F$5:$F9,'Daily Workforce'!$B89)=0,'Daily Workforce'!$M89="Y",IF(OR('Daily Schedule'!$E$2="Full Day",'Daily Schedule'!$E$2="AM"),'Daily Workforce'!$D89="3:45 AM",IF('Daily Schedule'!$E$2="PM",'Daily Workforce'!$E89="PM",'Daily Workforce'!$E89="Overnight"))),'Daily Workforce'!$V89*1000+89,999999999)</f>
        <v>999999999</v>
      </c>
      <c r="CW6" s="1" t="n">
        <f aca="false">IF(AND('Daily Workforce'!$N90="Y",'Daily Workforce'!$B90&lt;&gt;"",COUNTIF('Daily Schedule'!$F$5:$F9,'Daily Workforce'!$B90)=0,'Daily Workforce'!$M90="Y",IF(OR('Daily Schedule'!$E$2="Full Day",'Daily Schedule'!$E$2="AM"),'Daily Workforce'!$D90="3:45 AM",IF('Daily Schedule'!$E$2="PM",'Daily Workforce'!$E90="PM",'Daily Workforce'!$E90="Overnight"))),'Daily Workforce'!$V90*1000+90,999999999)</f>
        <v>999999999</v>
      </c>
      <c r="CX6" s="1" t="n">
        <f aca="false">IF(AND('Daily Workforce'!$N91="Y",'Daily Workforce'!$B91&lt;&gt;"",COUNTIF('Daily Schedule'!$F$5:$F9,'Daily Workforce'!$B91)=0,'Daily Workforce'!$M91="Y",IF(OR('Daily Schedule'!$E$2="Full Day",'Daily Schedule'!$E$2="AM"),'Daily Workforce'!$D91="3:45 AM",IF('Daily Schedule'!$E$2="PM",'Daily Workforce'!$E91="PM",'Daily Workforce'!$E91="Overnight"))),'Daily Workforce'!$V91*1000+91,999999999)</f>
        <v>999999999</v>
      </c>
      <c r="CY6" s="1" t="n">
        <f aca="false">IF(AND('Daily Workforce'!$N92="Y",'Daily Workforce'!$B92&lt;&gt;"",COUNTIF('Daily Schedule'!$F$5:$F9,'Daily Workforce'!$B92)=0,'Daily Workforce'!$M92="Y",IF(OR('Daily Schedule'!$E$2="Full Day",'Daily Schedule'!$E$2="AM"),'Daily Workforce'!$D92="3:45 AM",IF('Daily Schedule'!$E$2="PM",'Daily Workforce'!$E92="PM",'Daily Workforce'!$E92="Overnight"))),'Daily Workforce'!$V92*1000+92,999999999)</f>
        <v>999999999</v>
      </c>
      <c r="CZ6" s="1" t="n">
        <f aca="false">IF(AND('Daily Workforce'!$N93="Y",'Daily Workforce'!$B93&lt;&gt;"",COUNTIF('Daily Schedule'!$F$5:$F9,'Daily Workforce'!$B93)=0,'Daily Workforce'!$M93="Y",IF(OR('Daily Schedule'!$E$2="Full Day",'Daily Schedule'!$E$2="AM"),'Daily Workforce'!$D93="3:45 AM",IF('Daily Schedule'!$E$2="PM",'Daily Workforce'!$E93="PM",'Daily Workforce'!$E93="Overnight"))),'Daily Workforce'!$V93*1000+93,999999999)</f>
        <v>999999999</v>
      </c>
      <c r="DA6" s="1" t="n">
        <f aca="false">IF(AND('Daily Workforce'!$N94="Y",'Daily Workforce'!$B94&lt;&gt;"",COUNTIF('Daily Schedule'!$F$5:$F9,'Daily Workforce'!$B94)=0,'Daily Workforce'!$M94="Y",IF(OR('Daily Schedule'!$E$2="Full Day",'Daily Schedule'!$E$2="AM"),'Daily Workforce'!$D94="3:45 AM",IF('Daily Schedule'!$E$2="PM",'Daily Workforce'!$E94="PM",'Daily Workforce'!$E94="Overnight"))),'Daily Workforce'!$V94*1000+94,999999999)</f>
        <v>999999999</v>
      </c>
      <c r="DB6" s="1" t="n">
        <f aca="false">IF(AND('Daily Workforce'!$N95="Y",'Daily Workforce'!$B95&lt;&gt;"",COUNTIF('Daily Schedule'!$F$5:$F9,'Daily Workforce'!$B95)=0,'Daily Workforce'!$M95="Y",IF(OR('Daily Schedule'!$E$2="Full Day",'Daily Schedule'!$E$2="AM"),'Daily Workforce'!$D95="3:45 AM",IF('Daily Schedule'!$E$2="PM",'Daily Workforce'!$E95="PM",'Daily Workforce'!$E95="Overnight"))),'Daily Workforce'!$V95*1000+95,999999999)</f>
        <v>999999999</v>
      </c>
      <c r="DC6" s="1" t="n">
        <f aca="false">IF(AND('Daily Workforce'!$N96="Y",'Daily Workforce'!$B96&lt;&gt;"",COUNTIF('Daily Schedule'!$F$5:$F9,'Daily Workforce'!$B96)=0,'Daily Workforce'!$M96="Y",IF(OR('Daily Schedule'!$E$2="Full Day",'Daily Schedule'!$E$2="AM"),'Daily Workforce'!$D96="3:45 AM",IF('Daily Schedule'!$E$2="PM",'Daily Workforce'!$E96="PM",'Daily Workforce'!$E96="Overnight"))),'Daily Workforce'!$V96*1000+96,999999999)</f>
        <v>999999999</v>
      </c>
      <c r="DD6" s="1" t="n">
        <f aca="false">IF(AND('Daily Workforce'!$N97="Y",'Daily Workforce'!$B97&lt;&gt;"",COUNTIF('Daily Schedule'!$F$5:$F9,'Daily Workforce'!$B97)=0,'Daily Workforce'!$M97="Y",IF(OR('Daily Schedule'!$E$2="Full Day",'Daily Schedule'!$E$2="AM"),'Daily Workforce'!$D97="3:45 AM",IF('Daily Schedule'!$E$2="PM",'Daily Workforce'!$E97="PM",'Daily Workforce'!$E97="Overnight"))),'Daily Workforce'!$V97*1000+97,999999999)</f>
        <v>999999999</v>
      </c>
      <c r="DE6" s="1" t="n">
        <f aca="false">IF(AND('Daily Workforce'!$N98="Y",'Daily Workforce'!$B98&lt;&gt;"",COUNTIF('Daily Schedule'!$F$5:$F9,'Daily Workforce'!$B98)=0,'Daily Workforce'!$M98="Y",IF(OR('Daily Schedule'!$E$2="Full Day",'Daily Schedule'!$E$2="AM"),'Daily Workforce'!$D98="3:45 AM",IF('Daily Schedule'!$E$2="PM",'Daily Workforce'!$E98="PM",'Daily Workforce'!$E98="Overnight"))),'Daily Workforce'!$V98*1000+98,999999999)</f>
        <v>999999999</v>
      </c>
      <c r="DF6" s="1" t="n">
        <f aca="false">IF(AND('Daily Workforce'!$N99="Y",'Daily Workforce'!$B99&lt;&gt;"",COUNTIF('Daily Schedule'!$F$5:$F9,'Daily Workforce'!$B99)=0,'Daily Workforce'!$M99="Y",IF(OR('Daily Schedule'!$E$2="Full Day",'Daily Schedule'!$E$2="AM"),'Daily Workforce'!$D99="3:45 AM",IF('Daily Schedule'!$E$2="PM",'Daily Workforce'!$E99="PM",'Daily Workforce'!$E99="Overnight"))),'Daily Workforce'!$V99*1000+99,999999999)</f>
        <v>999999999</v>
      </c>
      <c r="DG6" s="1" t="n">
        <f aca="false">IF(AND('Daily Workforce'!$N100="Y",'Daily Workforce'!$B100&lt;&gt;"",COUNTIF('Daily Schedule'!$F$5:$F9,'Daily Workforce'!$B100)=0,'Daily Workforce'!$M100="Y",IF(OR('Daily Schedule'!$E$2="Full Day",'Daily Schedule'!$E$2="AM"),'Daily Workforce'!$D100="3:45 AM",IF('Daily Schedule'!$E$2="PM",'Daily Workforce'!$E100="PM",'Daily Workforce'!$E100="Overnight"))),'Daily Workforce'!$V100*1000+100,999999999)</f>
        <v>999999999</v>
      </c>
      <c r="DH6" s="1" t="n">
        <f aca="false">IF(AND('Daily Workforce'!$N101="Y",'Daily Workforce'!$B101&lt;&gt;"",COUNTIF('Daily Schedule'!$F$5:$F9,'Daily Workforce'!$B101)=0,'Daily Workforce'!$M101="Y",IF(OR('Daily Schedule'!$E$2="Full Day",'Daily Schedule'!$E$2="AM"),'Daily Workforce'!$D101="3:45 AM",IF('Daily Schedule'!$E$2="PM",'Daily Workforce'!$E101="PM",'Daily Workforce'!$E101="Overnight"))),'Daily Workforce'!$V101*1000+101,999999999)</f>
        <v>999999999</v>
      </c>
      <c r="DI6" s="1" t="n">
        <f aca="false">IF(AND('Daily Workforce'!$N102="Y",'Daily Workforce'!$B102&lt;&gt;"",COUNTIF('Daily Schedule'!$F$5:$F9,'Daily Workforce'!$B102)=0,'Daily Workforce'!$M102="Y",IF(OR('Daily Schedule'!$E$2="Full Day",'Daily Schedule'!$E$2="AM"),'Daily Workforce'!$D102="3:45 AM",IF('Daily Schedule'!$E$2="PM",'Daily Workforce'!$E102="PM",'Daily Workforce'!$E102="Overnight"))),'Daily Workforce'!$V102*1000+102,999999999)</f>
        <v>999999999</v>
      </c>
      <c r="DJ6" s="1" t="n">
        <f aca="false">IF(AND('Daily Workforce'!$N103="Y",'Daily Workforce'!$B103&lt;&gt;"",COUNTIF('Daily Schedule'!$F$5:$F9,'Daily Workforce'!$B103)=0,'Daily Workforce'!$M103="Y",IF(OR('Daily Schedule'!$E$2="Full Day",'Daily Schedule'!$E$2="AM"),'Daily Workforce'!$D103="3:45 AM",IF('Daily Schedule'!$E$2="PM",'Daily Workforce'!$E103="PM",'Daily Workforce'!$E103="Overnight"))),'Daily Workforce'!$V103*1000+103,999999999)</f>
        <v>999999999</v>
      </c>
      <c r="DK6" s="1" t="n">
        <f aca="false">IF(AND('Daily Workforce'!$N104="Y",'Daily Workforce'!$B104&lt;&gt;"",COUNTIF('Daily Schedule'!$F$5:$F9,'Daily Workforce'!$B104)=0,'Daily Workforce'!$M104="Y",IF(OR('Daily Schedule'!$E$2="Full Day",'Daily Schedule'!$E$2="AM"),'Daily Workforce'!$D104="3:45 AM",IF('Daily Schedule'!$E$2="PM",'Daily Workforce'!$E104="PM",'Daily Workforce'!$E104="Overnight"))),'Daily Workforce'!$V104*1000+104,999999999)</f>
        <v>999999999</v>
      </c>
      <c r="DL6" s="1" t="n">
        <f aca="false">IF(AND('Daily Workforce'!$N105="Y",'Daily Workforce'!$B105&lt;&gt;"",COUNTIF('Daily Schedule'!$F$5:$F9,'Daily Workforce'!$B105)=0,'Daily Workforce'!$M105="Y",IF(OR('Daily Schedule'!$E$2="Full Day",'Daily Schedule'!$E$2="AM"),'Daily Workforce'!$D105="3:45 AM",IF('Daily Schedule'!$E$2="PM",'Daily Workforce'!$E105="PM",'Daily Workforce'!$E105="Overnight"))),'Daily Workforce'!$V105*1000+105,999999999)</f>
        <v>999999999</v>
      </c>
      <c r="DM6" s="1" t="n">
        <f aca="false">IF(AND('Daily Workforce'!$N106="Y",'Daily Workforce'!$B106&lt;&gt;"",COUNTIF('Daily Schedule'!$F$5:$F9,'Daily Workforce'!$B106)=0,'Daily Workforce'!$M106="Y",IF(OR('Daily Schedule'!$E$2="Full Day",'Daily Schedule'!$E$2="AM"),'Daily Workforce'!$D106="3:45 AM",IF('Daily Schedule'!$E$2="PM",'Daily Workforce'!$E106="PM",'Daily Workforce'!$E106="Overnight"))),'Daily Workforce'!$V106*1000+106,999999999)</f>
        <v>999999999</v>
      </c>
      <c r="DN6" s="1" t="n">
        <f aca="false">IF(AND('Daily Workforce'!$N107="Y",'Daily Workforce'!$B107&lt;&gt;"",COUNTIF('Daily Schedule'!$F$5:$F9,'Daily Workforce'!$B107)=0,'Daily Workforce'!$M107="Y",IF(OR('Daily Schedule'!$E$2="Full Day",'Daily Schedule'!$E$2="AM"),'Daily Workforce'!$D107="3:45 AM",IF('Daily Schedule'!$E$2="PM",'Daily Workforce'!$E107="PM",'Daily Workforce'!$E107="Overnight"))),'Daily Workforce'!$V107*1000+107,999999999)</f>
        <v>999999999</v>
      </c>
      <c r="DO6" s="1" t="n">
        <f aca="false">IF(AND('Daily Workforce'!$N108="Y",'Daily Workforce'!$B108&lt;&gt;"",COUNTIF('Daily Schedule'!$F$5:$F9,'Daily Workforce'!$B108)=0,'Daily Workforce'!$M108="Y",IF(OR('Daily Schedule'!$E$2="Full Day",'Daily Schedule'!$E$2="AM"),'Daily Workforce'!$D108="3:45 AM",IF('Daily Schedule'!$E$2="PM",'Daily Workforce'!$E108="PM",'Daily Workforce'!$E108="Overnight"))),'Daily Workforce'!$V108*1000+108,999999999)</f>
        <v>999999999</v>
      </c>
      <c r="DP6" s="1" t="n">
        <f aca="false">IF(AND('Daily Workforce'!$N109="Y",'Daily Workforce'!$B109&lt;&gt;"",COUNTIF('Daily Schedule'!$F$5:$F9,'Daily Workforce'!$B109)=0,'Daily Workforce'!$M109="Y",IF(OR('Daily Schedule'!$E$2="Full Day",'Daily Schedule'!$E$2="AM"),'Daily Workforce'!$D109="3:45 AM",IF('Daily Schedule'!$E$2="PM",'Daily Workforce'!$E109="PM",'Daily Workforce'!$E109="Overnight"))),'Daily Workforce'!$V109*1000+109,999999999)</f>
        <v>999999999</v>
      </c>
      <c r="DQ6" s="1" t="n">
        <f aca="false">IF(AND('Daily Workforce'!$N110="Y",'Daily Workforce'!$B110&lt;&gt;"",COUNTIF('Daily Schedule'!$F$5:$F9,'Daily Workforce'!$B110)=0,'Daily Workforce'!$M110="Y",IF(OR('Daily Schedule'!$E$2="Full Day",'Daily Schedule'!$E$2="AM"),'Daily Workforce'!$D110="3:45 AM",IF('Daily Schedule'!$E$2="PM",'Daily Workforce'!$E110="PM",'Daily Workforce'!$E110="Overnight"))),'Daily Workforce'!$V110*1000+110,999999999)</f>
        <v>999999999</v>
      </c>
      <c r="DR6" s="1" t="n">
        <f aca="false">IF(AND('Daily Workforce'!$N111="Y",'Daily Workforce'!$B111&lt;&gt;"",COUNTIF('Daily Schedule'!$F$5:$F9,'Daily Workforce'!$B111)=0,'Daily Workforce'!$M111="Y",IF(OR('Daily Schedule'!$E$2="Full Day",'Daily Schedule'!$E$2="AM"),'Daily Workforce'!$D111="3:45 AM",IF('Daily Schedule'!$E$2="PM",'Daily Workforce'!$E111="PM",'Daily Workforce'!$E111="Overnight"))),'Daily Workforce'!$V111*1000+111,999999999)</f>
        <v>999999999</v>
      </c>
      <c r="DS6" s="1" t="n">
        <f aca="false">IF(AND('Daily Workforce'!$N112="Y",'Daily Workforce'!$B112&lt;&gt;"",COUNTIF('Daily Schedule'!$F$5:$F9,'Daily Workforce'!$B112)=0,'Daily Workforce'!$M112="Y",IF(OR('Daily Schedule'!$E$2="Full Day",'Daily Schedule'!$E$2="AM"),'Daily Workforce'!$D112="3:45 AM",IF('Daily Schedule'!$E$2="PM",'Daily Workforce'!$E112="PM",'Daily Workforce'!$E112="Overnight"))),'Daily Workforce'!$V112*1000+112,999999999)</f>
        <v>999999999</v>
      </c>
      <c r="DT6" s="1" t="n">
        <f aca="false">IF(AND('Daily Workforce'!$N113="Y",'Daily Workforce'!$B113&lt;&gt;"",COUNTIF('Daily Schedule'!$F$5:$F9,'Daily Workforce'!$B113)=0,'Daily Workforce'!$M113="Y",IF(OR('Daily Schedule'!$E$2="Full Day",'Daily Schedule'!$E$2="AM"),'Daily Workforce'!$D113="3:45 AM",IF('Daily Schedule'!$E$2="PM",'Daily Workforce'!$E113="PM",'Daily Workforce'!$E113="Overnight"))),'Daily Workforce'!$V113*1000+113,999999999)</f>
        <v>999999999</v>
      </c>
      <c r="DU6" s="1" t="n">
        <f aca="false">IF(AND('Daily Workforce'!$N114="Y",'Daily Workforce'!$B114&lt;&gt;"",COUNTIF('Daily Schedule'!$F$5:$F9,'Daily Workforce'!$B114)=0,'Daily Workforce'!$M114="Y",IF(OR('Daily Schedule'!$E$2="Full Day",'Daily Schedule'!$E$2="AM"),'Daily Workforce'!$D114="3:45 AM",IF('Daily Schedule'!$E$2="PM",'Daily Workforce'!$E114="PM",'Daily Workforce'!$E114="Overnight"))),'Daily Workforce'!$V114*1000+114,999999999)</f>
        <v>999999999</v>
      </c>
      <c r="DV6" s="1" t="n">
        <f aca="false">IF(AND('Daily Workforce'!$N115="Y",'Daily Workforce'!$B115&lt;&gt;"",COUNTIF('Daily Schedule'!$F$5:$F9,'Daily Workforce'!$B115)=0,'Daily Workforce'!$M115="Y",IF(OR('Daily Schedule'!$E$2="Full Day",'Daily Schedule'!$E$2="AM"),'Daily Workforce'!$D115="3:45 AM",IF('Daily Schedule'!$E$2="PM",'Daily Workforce'!$E115="PM",'Daily Workforce'!$E115="Overnight"))),'Daily Workforce'!$V115*1000+115,999999999)</f>
        <v>999999999</v>
      </c>
      <c r="DW6" s="1" t="n">
        <f aca="false">IF(AND('Daily Workforce'!$N116="Y",'Daily Workforce'!$B116&lt;&gt;"",COUNTIF('Daily Schedule'!$F$5:$F9,'Daily Workforce'!$B116)=0,'Daily Workforce'!$M116="Y",IF(OR('Daily Schedule'!$E$2="Full Day",'Daily Schedule'!$E$2="AM"),'Daily Workforce'!$D116="3:45 AM",IF('Daily Schedule'!$E$2="PM",'Daily Workforce'!$E116="PM",'Daily Workforce'!$E116="Overnight"))),'Daily Workforce'!$V116*1000+116,999999999)</f>
        <v>999999999</v>
      </c>
      <c r="DX6" s="1" t="n">
        <f aca="false">IF(AND('Daily Workforce'!$N117="Y",'Daily Workforce'!$B117&lt;&gt;"",COUNTIF('Daily Schedule'!$F$5:$F9,'Daily Workforce'!$B117)=0,'Daily Workforce'!$M117="Y",IF(OR('Daily Schedule'!$E$2="Full Day",'Daily Schedule'!$E$2="AM"),'Daily Workforce'!$D117="3:45 AM",IF('Daily Schedule'!$E$2="PM",'Daily Workforce'!$E117="PM",'Daily Workforce'!$E117="Overnight"))),'Daily Workforce'!$V117*1000+117,999999999)</f>
        <v>999999999</v>
      </c>
      <c r="DY6" s="1" t="n">
        <f aca="false">IF(AND('Daily Workforce'!$N118="Y",'Daily Workforce'!$B118&lt;&gt;"",COUNTIF('Daily Schedule'!$F$5:$F9,'Daily Workforce'!$B118)=0,'Daily Workforce'!$M118="Y",IF(OR('Daily Schedule'!$E$2="Full Day",'Daily Schedule'!$E$2="AM"),'Daily Workforce'!$D118="3:45 AM",IF('Daily Schedule'!$E$2="PM",'Daily Workforce'!$E118="PM",'Daily Workforce'!$E118="Overnight"))),'Daily Workforce'!$V118*1000+118,999999999)</f>
        <v>999999999</v>
      </c>
      <c r="DZ6" s="1" t="n">
        <f aca="false">IF(AND('Daily Workforce'!$N119="Y",'Daily Workforce'!$B119&lt;&gt;"",COUNTIF('Daily Schedule'!$F$5:$F9,'Daily Workforce'!$B119)=0,'Daily Workforce'!$M119="Y",IF(OR('Daily Schedule'!$E$2="Full Day",'Daily Schedule'!$E$2="AM"),'Daily Workforce'!$D119="3:45 AM",IF('Daily Schedule'!$E$2="PM",'Daily Workforce'!$E119="PM",'Daily Workforce'!$E119="Overnight"))),'Daily Workforce'!$V119*1000+119,999999999)</f>
        <v>999999999</v>
      </c>
      <c r="EA6" s="1" t="n">
        <f aca="false">IF(AND('Daily Workforce'!$N120="Y",'Daily Workforce'!$B120&lt;&gt;"",COUNTIF('Daily Schedule'!$F$5:$F9,'Daily Workforce'!$B120)=0,'Daily Workforce'!$M120="Y",IF(OR('Daily Schedule'!$E$2="Full Day",'Daily Schedule'!$E$2="AM"),'Daily Workforce'!$D120="3:45 AM",IF('Daily Schedule'!$E$2="PM",'Daily Workforce'!$E120="PM",'Daily Workforce'!$E120="Overnight"))),'Daily Workforce'!$V120*1000+120,999999999)</f>
        <v>999999999</v>
      </c>
      <c r="EB6" s="1" t="n">
        <f aca="false">IF(AND('Daily Workforce'!$N121="Y",'Daily Workforce'!$B121&lt;&gt;"",COUNTIF('Daily Schedule'!$F$5:$F9,'Daily Workforce'!$B121)=0,'Daily Workforce'!$M121="Y",IF(OR('Daily Schedule'!$E$2="Full Day",'Daily Schedule'!$E$2="AM"),'Daily Workforce'!$D121="3:45 AM",IF('Daily Schedule'!$E$2="PM",'Daily Workforce'!$E121="PM",'Daily Workforce'!$E121="Overnight"))),'Daily Workforce'!$V121*1000+121,999999999)</f>
        <v>999999999</v>
      </c>
      <c r="EC6" s="1" t="n">
        <f aca="false">IF(AND('Daily Workforce'!$N122="Y",'Daily Workforce'!$B122&lt;&gt;"",COUNTIF('Daily Schedule'!$F$5:$F9,'Daily Workforce'!$B122)=0,'Daily Workforce'!$M122="Y",IF(OR('Daily Schedule'!$E$2="Full Day",'Daily Schedule'!$E$2="AM"),'Daily Workforce'!$D122="3:45 AM",IF('Daily Schedule'!$E$2="PM",'Daily Workforce'!$E122="PM",'Daily Workforce'!$E122="Overnight"))),'Daily Workforce'!$V122*1000+122,999999999)</f>
        <v>999999999</v>
      </c>
      <c r="ED6" s="1" t="n">
        <f aca="false">IF(AND('Daily Workforce'!$N123="Y",'Daily Workforce'!$B123&lt;&gt;"",COUNTIF('Daily Schedule'!$F$5:$F9,'Daily Workforce'!$B123)=0,'Daily Workforce'!$M123="Y",IF(OR('Daily Schedule'!$E$2="Full Day",'Daily Schedule'!$E$2="AM"),'Daily Workforce'!$D123="3:45 AM",IF('Daily Schedule'!$E$2="PM",'Daily Workforce'!$E123="PM",'Daily Workforce'!$E123="Overnight"))),'Daily Workforce'!$V123*1000+123,999999999)</f>
        <v>999999999</v>
      </c>
      <c r="EE6" s="1" t="n">
        <f aca="false">IF(AND('Daily Workforce'!$N124="Y",'Daily Workforce'!$B124&lt;&gt;"",COUNTIF('Daily Schedule'!$F$5:$F9,'Daily Workforce'!$B124)=0,'Daily Workforce'!$M124="Y",IF(OR('Daily Schedule'!$E$2="Full Day",'Daily Schedule'!$E$2="AM"),'Daily Workforce'!$D124="3:45 AM",IF('Daily Schedule'!$E$2="PM",'Daily Workforce'!$E124="PM",'Daily Workforce'!$E124="Overnight"))),'Daily Workforce'!$V124*1000+124,999999999)</f>
        <v>999999999</v>
      </c>
      <c r="EF6" s="1" t="n">
        <f aca="false">IF(AND('Daily Workforce'!$N125="Y",'Daily Workforce'!$B125&lt;&gt;"",COUNTIF('Daily Schedule'!$F$5:$F9,'Daily Workforce'!$B125)=0,'Daily Workforce'!$M125="Y",IF(OR('Daily Schedule'!$E$2="Full Day",'Daily Schedule'!$E$2="AM"),'Daily Workforce'!$D125="3:45 AM",IF('Daily Schedule'!$E$2="PM",'Daily Workforce'!$E125="PM",'Daily Workforce'!$E125="Overnight"))),'Daily Workforce'!$V125*1000+125,999999999)</f>
        <v>999999999</v>
      </c>
      <c r="EG6" s="1" t="n">
        <f aca="false">IF(AND('Daily Workforce'!$N126="Y",'Daily Workforce'!$B126&lt;&gt;"",COUNTIF('Daily Schedule'!$F$5:$F9,'Daily Workforce'!$B126)=0,'Daily Workforce'!$M126="Y",IF(OR('Daily Schedule'!$E$2="Full Day",'Daily Schedule'!$E$2="AM"),'Daily Workforce'!$D126="3:45 AM",IF('Daily Schedule'!$E$2="PM",'Daily Workforce'!$E126="PM",'Daily Workforce'!$E126="Overnight"))),'Daily Workforce'!$V126*1000+126,999999999)</f>
        <v>999999999</v>
      </c>
      <c r="EH6" s="1" t="n">
        <f aca="false">IF(AND('Daily Workforce'!$N127="Y",'Daily Workforce'!$B127&lt;&gt;"",COUNTIF('Daily Schedule'!$F$5:$F9,'Daily Workforce'!$B127)=0,'Daily Workforce'!$M127="Y",IF(OR('Daily Schedule'!$E$2="Full Day",'Daily Schedule'!$E$2="AM"),'Daily Workforce'!$D127="3:45 AM",IF('Daily Schedule'!$E$2="PM",'Daily Workforce'!$E127="PM",'Daily Workforce'!$E127="Overnight"))),'Daily Workforce'!$V127*1000+127,999999999)</f>
        <v>999999999</v>
      </c>
      <c r="EI6" s="1" t="n">
        <f aca="false">IF(AND('Daily Workforce'!$N128="Y",'Daily Workforce'!$B128&lt;&gt;"",COUNTIF('Daily Schedule'!$F$5:$F9,'Daily Workforce'!$B128)=0,'Daily Workforce'!$M128="Y",IF(OR('Daily Schedule'!$E$2="Full Day",'Daily Schedule'!$E$2="AM"),'Daily Workforce'!$D128="3:45 AM",IF('Daily Schedule'!$E$2="PM",'Daily Workforce'!$E128="PM",'Daily Workforce'!$E128="Overnight"))),'Daily Workforce'!$V128*1000+128,999999999)</f>
        <v>999999999</v>
      </c>
      <c r="EJ6" s="1" t="n">
        <f aca="false">IF(AND('Daily Workforce'!$N129="Y",'Daily Workforce'!$B129&lt;&gt;"",COUNTIF('Daily Schedule'!$F$5:$F9,'Daily Workforce'!$B129)=0,'Daily Workforce'!$M129="Y",IF(OR('Daily Schedule'!$E$2="Full Day",'Daily Schedule'!$E$2="AM"),'Daily Workforce'!$D129="3:45 AM",IF('Daily Schedule'!$E$2="PM",'Daily Workforce'!$E129="PM",'Daily Workforce'!$E129="Overnight"))),'Daily Workforce'!$V129*1000+129,999999999)</f>
        <v>999999999</v>
      </c>
      <c r="EK6" s="1" t="n">
        <f aca="false">IF(AND('Daily Workforce'!$N130="Y",'Daily Workforce'!$B130&lt;&gt;"",COUNTIF('Daily Schedule'!$F$5:$F9,'Daily Workforce'!$B130)=0,'Daily Workforce'!$M130="Y",IF(OR('Daily Schedule'!$E$2="Full Day",'Daily Schedule'!$E$2="AM"),'Daily Workforce'!$D130="3:45 AM",IF('Daily Schedule'!$E$2="PM",'Daily Workforce'!$E130="PM",'Daily Workforce'!$E130="Overnight"))),'Daily Workforce'!$V130*1000+130,999999999)</f>
        <v>999999999</v>
      </c>
      <c r="EL6" s="1" t="n">
        <f aca="false">IF(AND('Daily Workforce'!$N131="Y",'Daily Workforce'!$B131&lt;&gt;"",COUNTIF('Daily Schedule'!$F$5:$F9,'Daily Workforce'!$B131)=0,'Daily Workforce'!$M131="Y",IF(OR('Daily Schedule'!$E$2="Full Day",'Daily Schedule'!$E$2="AM"),'Daily Workforce'!$D131="3:45 AM",IF('Daily Schedule'!$E$2="PM",'Daily Workforce'!$E131="PM",'Daily Workforce'!$E131="Overnight"))),'Daily Workforce'!$V131*1000+131,999999999)</f>
        <v>999999999</v>
      </c>
      <c r="EM6" s="1" t="n">
        <f aca="false">IF(AND('Daily Workforce'!$N132="Y",'Daily Workforce'!$B132&lt;&gt;"",COUNTIF('Daily Schedule'!$F$5:$F9,'Daily Workforce'!$B132)=0,'Daily Workforce'!$M132="Y",IF(OR('Daily Schedule'!$E$2="Full Day",'Daily Schedule'!$E$2="AM"),'Daily Workforce'!$D132="3:45 AM",IF('Daily Schedule'!$E$2="PM",'Daily Workforce'!$E132="PM",'Daily Workforce'!$E132="Overnight"))),'Daily Workforce'!$V132*1000+132,999999999)</f>
        <v>999999999</v>
      </c>
      <c r="EN6" s="1" t="n">
        <f aca="false">IF(AND('Daily Workforce'!$N133="Y",'Daily Workforce'!$B133&lt;&gt;"",COUNTIF('Daily Schedule'!$F$5:$F9,'Daily Workforce'!$B133)=0,'Daily Workforce'!$M133="Y",IF(OR('Daily Schedule'!$E$2="Full Day",'Daily Schedule'!$E$2="AM"),'Daily Workforce'!$D133="3:45 AM",IF('Daily Schedule'!$E$2="PM",'Daily Workforce'!$E133="PM",'Daily Workforce'!$E133="Overnight"))),'Daily Workforce'!$V133*1000+133,999999999)</f>
        <v>999999999</v>
      </c>
      <c r="EO6" s="1" t="n">
        <f aca="false">IF(AND('Daily Workforce'!$N134="Y",'Daily Workforce'!$B134&lt;&gt;"",COUNTIF('Daily Schedule'!$F$5:$F9,'Daily Workforce'!$B134)=0,'Daily Workforce'!$M134="Y",IF(OR('Daily Schedule'!$E$2="Full Day",'Daily Schedule'!$E$2="AM"),'Daily Workforce'!$D134="3:45 AM",IF('Daily Schedule'!$E$2="PM",'Daily Workforce'!$E134="PM",'Daily Workforce'!$E134="Overnight"))),'Daily Workforce'!$V134*1000+134,999999999)</f>
        <v>999999999</v>
      </c>
      <c r="EP6" s="1" t="n">
        <f aca="false">IF(AND('Daily Workforce'!$N135="Y",'Daily Workforce'!$B135&lt;&gt;"",COUNTIF('Daily Schedule'!$F$5:$F9,'Daily Workforce'!$B135)=0,'Daily Workforce'!$M135="Y",IF(OR('Daily Schedule'!$E$2="Full Day",'Daily Schedule'!$E$2="AM"),'Daily Workforce'!$D135="3:45 AM",IF('Daily Schedule'!$E$2="PM",'Daily Workforce'!$E135="PM",'Daily Workforce'!$E135="Overnight"))),'Daily Workforce'!$V135*1000+135,999999999)</f>
        <v>999999999</v>
      </c>
      <c r="EQ6" s="1" t="n">
        <f aca="false">IF(AND('Daily Workforce'!$N136="Y",'Daily Workforce'!$B136&lt;&gt;"",COUNTIF('Daily Schedule'!$F$5:$F9,'Daily Workforce'!$B136)=0,'Daily Workforce'!$M136="Y",IF(OR('Daily Schedule'!$E$2="Full Day",'Daily Schedule'!$E$2="AM"),'Daily Workforce'!$D136="3:45 AM",IF('Daily Schedule'!$E$2="PM",'Daily Workforce'!$E136="PM",'Daily Workforce'!$E136="Overnight"))),'Daily Workforce'!$V136*1000+136,999999999)</f>
        <v>999999999</v>
      </c>
      <c r="ER6" s="1" t="n">
        <f aca="false">IF(AND('Daily Workforce'!$N137="Y",'Daily Workforce'!$B137&lt;&gt;"",COUNTIF('Daily Schedule'!$F$5:$F9,'Daily Workforce'!$B137)=0,'Daily Workforce'!$M137="Y",IF(OR('Daily Schedule'!$E$2="Full Day",'Daily Schedule'!$E$2="AM"),'Daily Workforce'!$D137="3:45 AM",IF('Daily Schedule'!$E$2="PM",'Daily Workforce'!$E137="PM",'Daily Workforce'!$E137="Overnight"))),'Daily Workforce'!$V137*1000+137,999999999)</f>
        <v>999999999</v>
      </c>
      <c r="ES6" s="1" t="n">
        <f aca="false">IF(AND('Daily Workforce'!$N138="Y",'Daily Workforce'!$B138&lt;&gt;"",COUNTIF('Daily Schedule'!$F$5:$F9,'Daily Workforce'!$B138)=0,'Daily Workforce'!$M138="Y",IF(OR('Daily Schedule'!$E$2="Full Day",'Daily Schedule'!$E$2="AM"),'Daily Workforce'!$D138="3:45 AM",IF('Daily Schedule'!$E$2="PM",'Daily Workforce'!$E138="PM",'Daily Workforce'!$E138="Overnight"))),'Daily Workforce'!$V138*1000+138,999999999)</f>
        <v>999999999</v>
      </c>
      <c r="ET6" s="1" t="n">
        <f aca="false">IF(AND('Daily Workforce'!$N139="Y",'Daily Workforce'!$B139&lt;&gt;"",COUNTIF('Daily Schedule'!$F$5:$F9,'Daily Workforce'!$B139)=0,'Daily Workforce'!$M139="Y",IF(OR('Daily Schedule'!$E$2="Full Day",'Daily Schedule'!$E$2="AM"),'Daily Workforce'!$D139="3:45 AM",IF('Daily Schedule'!$E$2="PM",'Daily Workforce'!$E139="PM",'Daily Workforce'!$E139="Overnight"))),'Daily Workforce'!$V139*1000+139,999999999)</f>
        <v>999999999</v>
      </c>
      <c r="EU6" s="1" t="n">
        <f aca="false">IF(AND('Daily Workforce'!$N140="Y",'Daily Workforce'!$B140&lt;&gt;"",COUNTIF('Daily Schedule'!$F$5:$F9,'Daily Workforce'!$B140)=0,'Daily Workforce'!$M140="Y",IF(OR('Daily Schedule'!$E$2="Full Day",'Daily Schedule'!$E$2="AM"),'Daily Workforce'!$D140="3:45 AM",IF('Daily Schedule'!$E$2="PM",'Daily Workforce'!$E140="PM",'Daily Workforce'!$E140="Overnight"))),'Daily Workforce'!$V140*1000+140,999999999)</f>
        <v>999999999</v>
      </c>
      <c r="EV6" s="1" t="n">
        <f aca="false">IF(AND('Daily Workforce'!$N141="Y",'Daily Workforce'!$B141&lt;&gt;"",COUNTIF('Daily Schedule'!$F$5:$F9,'Daily Workforce'!$B141)=0,'Daily Workforce'!$M141="Y",IF(OR('Daily Schedule'!$E$2="Full Day",'Daily Schedule'!$E$2="AM"),'Daily Workforce'!$D141="3:45 AM",IF('Daily Schedule'!$E$2="PM",'Daily Workforce'!$E141="PM",'Daily Workforce'!$E141="Overnight"))),'Daily Workforce'!$V141*1000+141,999999999)</f>
        <v>999999999</v>
      </c>
      <c r="EW6" s="1" t="n">
        <f aca="false">IF(AND('Daily Workforce'!$N142="Y",'Daily Workforce'!$B142&lt;&gt;"",COUNTIF('Daily Schedule'!$F$5:$F9,'Daily Workforce'!$B142)=0,'Daily Workforce'!$M142="Y",IF(OR('Daily Schedule'!$E$2="Full Day",'Daily Schedule'!$E$2="AM"),'Daily Workforce'!$D142="3:45 AM",IF('Daily Schedule'!$E$2="PM",'Daily Workforce'!$E142="PM",'Daily Workforce'!$E142="Overnight"))),'Daily Workforce'!$V142*1000+142,999999999)</f>
        <v>999999999</v>
      </c>
      <c r="EX6" s="1" t="n">
        <f aca="false">IF(AND('Daily Workforce'!$N143="Y",'Daily Workforce'!$B143&lt;&gt;"",COUNTIF('Daily Schedule'!$F$5:$F9,'Daily Workforce'!$B143)=0,'Daily Workforce'!$M143="Y",IF(OR('Daily Schedule'!$E$2="Full Day",'Daily Schedule'!$E$2="AM"),'Daily Workforce'!$D143="3:45 AM",IF('Daily Schedule'!$E$2="PM",'Daily Workforce'!$E143="PM",'Daily Workforce'!$E143="Overnight"))),'Daily Workforce'!$V143*1000+143,999999999)</f>
        <v>999999999</v>
      </c>
      <c r="EY6" s="1" t="n">
        <f aca="false">IF(AND('Daily Workforce'!$N144="Y",'Daily Workforce'!$B144&lt;&gt;"",COUNTIF('Daily Schedule'!$F$5:$F9,'Daily Workforce'!$B144)=0,'Daily Workforce'!$M144="Y",IF(OR('Daily Schedule'!$E$2="Full Day",'Daily Schedule'!$E$2="AM"),'Daily Workforce'!$D144="3:45 AM",IF('Daily Schedule'!$E$2="PM",'Daily Workforce'!$E144="PM",'Daily Workforce'!$E144="Overnight"))),'Daily Workforce'!$V144*1000+144,999999999)</f>
        <v>999999999</v>
      </c>
      <c r="EZ6" s="1" t="n">
        <f aca="false">IF(AND('Daily Workforce'!$N145="Y",'Daily Workforce'!$B145&lt;&gt;"",COUNTIF('Daily Schedule'!$F$5:$F9,'Daily Workforce'!$B145)=0,'Daily Workforce'!$M145="Y",IF(OR('Daily Schedule'!$E$2="Full Day",'Daily Schedule'!$E$2="AM"),'Daily Workforce'!$D145="3:45 AM",IF('Daily Schedule'!$E$2="PM",'Daily Workforce'!$E145="PM",'Daily Workforce'!$E145="Overnight"))),'Daily Workforce'!$V145*1000+145,999999999)</f>
        <v>999999999</v>
      </c>
      <c r="FA6" s="1" t="n">
        <f aca="false">IF(AND('Daily Workforce'!$N146="Y",'Daily Workforce'!$B146&lt;&gt;"",COUNTIF('Daily Schedule'!$F$5:$F9,'Daily Workforce'!$B146)=0,'Daily Workforce'!$M146="Y",IF(OR('Daily Schedule'!$E$2="Full Day",'Daily Schedule'!$E$2="AM"),'Daily Workforce'!$D146="3:45 AM",IF('Daily Schedule'!$E$2="PM",'Daily Workforce'!$E146="PM",'Daily Workforce'!$E146="Overnight"))),'Daily Workforce'!$V146*1000+146,999999999)</f>
        <v>999999999</v>
      </c>
      <c r="FB6" s="1" t="n">
        <f aca="false">IF(AND('Daily Workforce'!$N147="Y",'Daily Workforce'!$B147&lt;&gt;"",COUNTIF('Daily Schedule'!$F$5:$F9,'Daily Workforce'!$B147)=0,'Daily Workforce'!$M147="Y",IF(OR('Daily Schedule'!$E$2="Full Day",'Daily Schedule'!$E$2="AM"),'Daily Workforce'!$D147="3:45 AM",IF('Daily Schedule'!$E$2="PM",'Daily Workforce'!$E147="PM",'Daily Workforce'!$E147="Overnight"))),'Daily Workforce'!$V147*1000+147,999999999)</f>
        <v>999999999</v>
      </c>
      <c r="FC6" s="1" t="n">
        <f aca="false">IF(AND('Daily Workforce'!$N148="Y",'Daily Workforce'!$B148&lt;&gt;"",COUNTIF('Daily Schedule'!$F$5:$F9,'Daily Workforce'!$B148)=0,'Daily Workforce'!$M148="Y",IF(OR('Daily Schedule'!$E$2="Full Day",'Daily Schedule'!$E$2="AM"),'Daily Workforce'!$D148="3:45 AM",IF('Daily Schedule'!$E$2="PM",'Daily Workforce'!$E148="PM",'Daily Workforce'!$E148="Overnight"))),'Daily Workforce'!$V148*1000+148,999999999)</f>
        <v>999999999</v>
      </c>
      <c r="FD6" s="1" t="n">
        <f aca="false">IF(AND('Daily Workforce'!$N149="Y",'Daily Workforce'!$B149&lt;&gt;"",COUNTIF('Daily Schedule'!$F$5:$F9,'Daily Workforce'!$B149)=0,'Daily Workforce'!$M149="Y",IF(OR('Daily Schedule'!$E$2="Full Day",'Daily Schedule'!$E$2="AM"),'Daily Workforce'!$D149="3:45 AM",IF('Daily Schedule'!$E$2="PM",'Daily Workforce'!$E149="PM",'Daily Workforce'!$E149="Overnight"))),'Daily Workforce'!$V149*1000+149,999999999)</f>
        <v>999999999</v>
      </c>
      <c r="FE6" s="1" t="n">
        <f aca="false">IF(AND('Daily Workforce'!$N150="Y",'Daily Workforce'!$B150&lt;&gt;"",COUNTIF('Daily Schedule'!$F$5:$F9,'Daily Workforce'!$B150)=0,'Daily Workforce'!$M150="Y",IF(OR('Daily Schedule'!$E$2="Full Day",'Daily Schedule'!$E$2="AM"),'Daily Workforce'!$D150="3:45 AM",IF('Daily Schedule'!$E$2="PM",'Daily Workforce'!$E150="PM",'Daily Workforce'!$E150="Overnight"))),'Daily Workforce'!$V150*1000+150,999999999)</f>
        <v>999999999</v>
      </c>
      <c r="FF6" s="1" t="n">
        <f aca="false">IF(AND('Daily Workforce'!$N151="Y",'Daily Workforce'!$B151&lt;&gt;"",COUNTIF('Daily Schedule'!$F$5:$F9,'Daily Workforce'!$B151)=0,'Daily Workforce'!$M151="Y",IF(OR('Daily Schedule'!$E$2="Full Day",'Daily Schedule'!$E$2="AM"),'Daily Workforce'!$D151="3:45 AM",IF('Daily Schedule'!$E$2="PM",'Daily Workforce'!$E151="PM",'Daily Workforce'!$E151="Overnight"))),'Daily Workforce'!$V151*1000+151,999999999)</f>
        <v>999999999</v>
      </c>
      <c r="FG6" s="1" t="n">
        <f aca="false">IF(AND('Daily Workforce'!$N152="Y",'Daily Workforce'!$B152&lt;&gt;"",COUNTIF('Daily Schedule'!$F$5:$F9,'Daily Workforce'!$B152)=0,'Daily Workforce'!$M152="Y",IF(OR('Daily Schedule'!$E$2="Full Day",'Daily Schedule'!$E$2="AM"),'Daily Workforce'!$D152="3:45 AM",IF('Daily Schedule'!$E$2="PM",'Daily Workforce'!$E152="PM",'Daily Workforce'!$E152="Overnight"))),'Daily Workforce'!$V152*1000+152,999999999)</f>
        <v>999999999</v>
      </c>
      <c r="FH6" s="1" t="n">
        <f aca="false">IF(AND('Daily Workforce'!$N153="Y",'Daily Workforce'!$B153&lt;&gt;"",COUNTIF('Daily Schedule'!$F$5:$F9,'Daily Workforce'!$B153)=0,'Daily Workforce'!$M153="Y",IF(OR('Daily Schedule'!$E$2="Full Day",'Daily Schedule'!$E$2="AM"),'Daily Workforce'!$D153="3:45 AM",IF('Daily Schedule'!$E$2="PM",'Daily Workforce'!$E153="PM",'Daily Workforce'!$E153="Overnight"))),'Daily Workforce'!$V153*1000+153,999999999)</f>
        <v>999999999</v>
      </c>
      <c r="FI6" s="1" t="n">
        <f aca="false">IF(AND('Daily Workforce'!$N154="Y",'Daily Workforce'!$B154&lt;&gt;"",COUNTIF('Daily Schedule'!$F$5:$F9,'Daily Workforce'!$B154)=0,'Daily Workforce'!$M154="Y",IF(OR('Daily Schedule'!$E$2="Full Day",'Daily Schedule'!$E$2="AM"),'Daily Workforce'!$D154="3:45 AM",IF('Daily Schedule'!$E$2="PM",'Daily Workforce'!$E154="PM",'Daily Workforce'!$E154="Overnight"))),'Daily Workforce'!$V154*1000+154,999999999)</f>
        <v>999999999</v>
      </c>
      <c r="FJ6" s="1" t="n">
        <f aca="false">IF(AND('Daily Workforce'!$N155="Y",'Daily Workforce'!$B155&lt;&gt;"",COUNTIF('Daily Schedule'!$F$5:$F9,'Daily Workforce'!$B155)=0,'Daily Workforce'!$M155="Y",IF(OR('Daily Schedule'!$E$2="Full Day",'Daily Schedule'!$E$2="AM"),'Daily Workforce'!$D155="3:45 AM",IF('Daily Schedule'!$E$2="PM",'Daily Workforce'!$E155="PM",'Daily Workforce'!$E155="Overnight"))),'Daily Workforce'!$V155*1000+155,999999999)</f>
        <v>999999999</v>
      </c>
      <c r="FK6" s="1" t="n">
        <f aca="false">IF(AND('Daily Workforce'!$N156="Y",'Daily Workforce'!$B156&lt;&gt;"",COUNTIF('Daily Schedule'!$F$5:$F9,'Daily Workforce'!$B156)=0,'Daily Workforce'!$M156="Y",IF(OR('Daily Schedule'!$E$2="Full Day",'Daily Schedule'!$E$2="AM"),'Daily Workforce'!$D156="3:45 AM",IF('Daily Schedule'!$E$2="PM",'Daily Workforce'!$E156="PM",'Daily Workforce'!$E156="Overnight"))),'Daily Workforce'!$V156*1000+156,999999999)</f>
        <v>999999999</v>
      </c>
      <c r="FL6" s="1" t="n">
        <f aca="false">IF(AND('Daily Workforce'!$N157="Y",'Daily Workforce'!$B157&lt;&gt;"",COUNTIF('Daily Schedule'!$F$5:$F9,'Daily Workforce'!$B157)=0,'Daily Workforce'!$M157="Y",IF(OR('Daily Schedule'!$E$2="Full Day",'Daily Schedule'!$E$2="AM"),'Daily Workforce'!$D157="3:45 AM",IF('Daily Schedule'!$E$2="PM",'Daily Workforce'!$E157="PM",'Daily Workforce'!$E157="Overnight"))),'Daily Workforce'!$V157*1000+157,999999999)</f>
        <v>999999999</v>
      </c>
      <c r="FM6" s="1" t="n">
        <f aca="false">IF(AND('Daily Workforce'!$N158="Y",'Daily Workforce'!$B158&lt;&gt;"",COUNTIF('Daily Schedule'!$F$5:$F9,'Daily Workforce'!$B158)=0,'Daily Workforce'!$M158="Y",IF(OR('Daily Schedule'!$E$2="Full Day",'Daily Schedule'!$E$2="AM"),'Daily Workforce'!$D158="3:45 AM",IF('Daily Schedule'!$E$2="PM",'Daily Workforce'!$E158="PM",'Daily Workforce'!$E158="Overnight"))),'Daily Workforce'!$V158*1000+158,999999999)</f>
        <v>999999999</v>
      </c>
      <c r="FN6" s="1" t="n">
        <f aca="false">IF(AND('Daily Workforce'!$N159="Y",'Daily Workforce'!$B159&lt;&gt;"",COUNTIF('Daily Schedule'!$F$5:$F9,'Daily Workforce'!$B159)=0,'Daily Workforce'!$M159="Y",IF(OR('Daily Schedule'!$E$2="Full Day",'Daily Schedule'!$E$2="AM"),'Daily Workforce'!$D159="3:45 AM",IF('Daily Schedule'!$E$2="PM",'Daily Workforce'!$E159="PM",'Daily Workforce'!$E159="Overnight"))),'Daily Workforce'!$V159*1000+159,999999999)</f>
        <v>999999999</v>
      </c>
      <c r="FO6" s="1" t="n">
        <f aca="false">IF(AND('Daily Workforce'!$N160="Y",'Daily Workforce'!$B160&lt;&gt;"",COUNTIF('Daily Schedule'!$F$5:$F9,'Daily Workforce'!$B160)=0,'Daily Workforce'!$M160="Y",IF(OR('Daily Schedule'!$E$2="Full Day",'Daily Schedule'!$E$2="AM"),'Daily Workforce'!$D160="3:45 AM",IF('Daily Schedule'!$E$2="PM",'Daily Workforce'!$E160="PM",'Daily Workforce'!$E160="Overnight"))),'Daily Workforce'!$V160*1000+160,999999999)</f>
        <v>999999999</v>
      </c>
      <c r="FP6" s="1" t="n">
        <f aca="false">IF(AND('Daily Workforce'!$N161="Y",'Daily Workforce'!$B161&lt;&gt;"",COUNTIF('Daily Schedule'!$F$5:$F9,'Daily Workforce'!$B161)=0,'Daily Workforce'!$M161="Y",IF(OR('Daily Schedule'!$E$2="Full Day",'Daily Schedule'!$E$2="AM"),'Daily Workforce'!$D161="3:45 AM",IF('Daily Schedule'!$E$2="PM",'Daily Workforce'!$E161="PM",'Daily Workforce'!$E161="Overnight"))),'Daily Workforce'!$V161*1000+161,999999999)</f>
        <v>999999999</v>
      </c>
      <c r="FQ6" s="1" t="n">
        <f aca="false">IF(AND('Daily Workforce'!$N162="Y",'Daily Workforce'!$B162&lt;&gt;"",COUNTIF('Daily Schedule'!$F$5:$F9,'Daily Workforce'!$B162)=0,'Daily Workforce'!$M162="Y",IF(OR('Daily Schedule'!$E$2="Full Day",'Daily Schedule'!$E$2="AM"),'Daily Workforce'!$D162="3:45 AM",IF('Daily Schedule'!$E$2="PM",'Daily Workforce'!$E162="PM",'Daily Workforce'!$E162="Overnight"))),'Daily Workforce'!$V162*1000+162,999999999)</f>
        <v>999999999</v>
      </c>
      <c r="FR6" s="1" t="n">
        <f aca="false">IF(AND('Daily Workforce'!$N163="Y",'Daily Workforce'!$B163&lt;&gt;"",COUNTIF('Daily Schedule'!$F$5:$F9,'Daily Workforce'!$B163)=0,'Daily Workforce'!$M163="Y",IF(OR('Daily Schedule'!$E$2="Full Day",'Daily Schedule'!$E$2="AM"),'Daily Workforce'!$D163="3:45 AM",IF('Daily Schedule'!$E$2="PM",'Daily Workforce'!$E163="PM",'Daily Workforce'!$E163="Overnight"))),'Daily Workforce'!$V163*1000+163,999999999)</f>
        <v>999999999</v>
      </c>
      <c r="FS6" s="1" t="n">
        <f aca="false">IF(AND('Daily Workforce'!$N164="Y",'Daily Workforce'!$B164&lt;&gt;"",COUNTIF('Daily Schedule'!$F$5:$F9,'Daily Workforce'!$B164)=0,'Daily Workforce'!$M164="Y",IF(OR('Daily Schedule'!$E$2="Full Day",'Daily Schedule'!$E$2="AM"),'Daily Workforce'!$D164="3:45 AM",IF('Daily Schedule'!$E$2="PM",'Daily Workforce'!$E164="PM",'Daily Workforce'!$E164="Overnight"))),'Daily Workforce'!$V164*1000+164,999999999)</f>
        <v>999999999</v>
      </c>
      <c r="FT6" s="1" t="n">
        <f aca="false">IF(AND('Daily Workforce'!$N165="Y",'Daily Workforce'!$B165&lt;&gt;"",COUNTIF('Daily Schedule'!$F$5:$F9,'Daily Workforce'!$B165)=0,'Daily Workforce'!$M165="Y",IF(OR('Daily Schedule'!$E$2="Full Day",'Daily Schedule'!$E$2="AM"),'Daily Workforce'!$D165="3:45 AM",IF('Daily Schedule'!$E$2="PM",'Daily Workforce'!$E165="PM",'Daily Workforce'!$E165="Overnight"))),'Daily Workforce'!$V165*1000+165,999999999)</f>
        <v>999999999</v>
      </c>
      <c r="FU6" s="1" t="n">
        <f aca="false">IF(AND('Daily Workforce'!$N166="Y",'Daily Workforce'!$B166&lt;&gt;"",COUNTIF('Daily Schedule'!$F$5:$F9,'Daily Workforce'!$B166)=0,'Daily Workforce'!$M166="Y",IF(OR('Daily Schedule'!$E$2="Full Day",'Daily Schedule'!$E$2="AM"),'Daily Workforce'!$D166="3:45 AM",IF('Daily Schedule'!$E$2="PM",'Daily Workforce'!$E166="PM",'Daily Workforce'!$E166="Overnight"))),'Daily Workforce'!$V166*1000+166,999999999)</f>
        <v>999999999</v>
      </c>
      <c r="FV6" s="1" t="n">
        <f aca="false">IF(AND('Daily Workforce'!$N167="Y",'Daily Workforce'!$B167&lt;&gt;"",COUNTIF('Daily Schedule'!$F$5:$F9,'Daily Workforce'!$B167)=0,'Daily Workforce'!$M167="Y",IF(OR('Daily Schedule'!$E$2="Full Day",'Daily Schedule'!$E$2="AM"),'Daily Workforce'!$D167="3:45 AM",IF('Daily Schedule'!$E$2="PM",'Daily Workforce'!$E167="PM",'Daily Workforce'!$E167="Overnight"))),'Daily Workforce'!$V167*1000+167,999999999)</f>
        <v>999999999</v>
      </c>
      <c r="FW6" s="1" t="n">
        <f aca="false">IF(AND('Daily Workforce'!$N168="Y",'Daily Workforce'!$B168&lt;&gt;"",COUNTIF('Daily Schedule'!$F$5:$F9,'Daily Workforce'!$B168)=0,'Daily Workforce'!$M168="Y",IF(OR('Daily Schedule'!$E$2="Full Day",'Daily Schedule'!$E$2="AM"),'Daily Workforce'!$D168="3:45 AM",IF('Daily Schedule'!$E$2="PM",'Daily Workforce'!$E168="PM",'Daily Workforce'!$E168="Overnight"))),'Daily Workforce'!$V168*1000+168,999999999)</f>
        <v>999999999</v>
      </c>
      <c r="FX6" s="1" t="n">
        <f aca="false">IF(AND('Daily Workforce'!$N169="Y",'Daily Workforce'!$B169&lt;&gt;"",COUNTIF('Daily Schedule'!$F$5:$F9,'Daily Workforce'!$B169)=0,'Daily Workforce'!$M169="Y",IF(OR('Daily Schedule'!$E$2="Full Day",'Daily Schedule'!$E$2="AM"),'Daily Workforce'!$D169="3:45 AM",IF('Daily Schedule'!$E$2="PM",'Daily Workforce'!$E169="PM",'Daily Workforce'!$E169="Overnight"))),'Daily Workforce'!$V169*1000+169,999999999)</f>
        <v>999999999</v>
      </c>
      <c r="FY6" s="1" t="n">
        <f aca="false">IF(AND('Daily Workforce'!$N170="Y",'Daily Workforce'!$B170&lt;&gt;"",COUNTIF('Daily Schedule'!$F$5:$F9,'Daily Workforce'!$B170)=0,'Daily Workforce'!$M170="Y",IF(OR('Daily Schedule'!$E$2="Full Day",'Daily Schedule'!$E$2="AM"),'Daily Workforce'!$D170="3:45 AM",IF('Daily Schedule'!$E$2="PM",'Daily Workforce'!$E170="PM",'Daily Workforce'!$E170="Overnight"))),'Daily Workforce'!$V170*1000+170,999999999)</f>
        <v>999999999</v>
      </c>
      <c r="FZ6" s="1" t="n">
        <f aca="false">IF(AND('Daily Workforce'!$N171="Y",'Daily Workforce'!$B171&lt;&gt;"",COUNTIF('Daily Schedule'!$F$5:$F9,'Daily Workforce'!$B171)=0,'Daily Workforce'!$M171="Y",IF(OR('Daily Schedule'!$E$2="Full Day",'Daily Schedule'!$E$2="AM"),'Daily Workforce'!$D171="3:45 AM",IF('Daily Schedule'!$E$2="PM",'Daily Workforce'!$E171="PM",'Daily Workforce'!$E171="Overnight"))),'Daily Workforce'!$V171*1000+171,999999999)</f>
        <v>999999999</v>
      </c>
      <c r="GA6" s="1" t="n">
        <f aca="false">IF(AND('Daily Workforce'!$N172="Y",'Daily Workforce'!$B172&lt;&gt;"",COUNTIF('Daily Schedule'!$F$5:$F9,'Daily Workforce'!$B172)=0,'Daily Workforce'!$M172="Y",IF(OR('Daily Schedule'!$E$2="Full Day",'Daily Schedule'!$E$2="AM"),'Daily Workforce'!$D172="3:45 AM",IF('Daily Schedule'!$E$2="PM",'Daily Workforce'!$E172="PM",'Daily Workforce'!$E172="Overnight"))),'Daily Workforce'!$V172*1000+172,999999999)</f>
        <v>999999999</v>
      </c>
      <c r="GB6" s="1" t="n">
        <f aca="false">IF(AND('Daily Workforce'!$N173="Y",'Daily Workforce'!$B173&lt;&gt;"",COUNTIF('Daily Schedule'!$F$5:$F9,'Daily Workforce'!$B173)=0,'Daily Workforce'!$M173="Y",IF(OR('Daily Schedule'!$E$2="Full Day",'Daily Schedule'!$E$2="AM"),'Daily Workforce'!$D173="3:45 AM",IF('Daily Schedule'!$E$2="PM",'Daily Workforce'!$E173="PM",'Daily Workforce'!$E173="Overnight"))),'Daily Workforce'!$V173*1000+173,999999999)</f>
        <v>999999999</v>
      </c>
      <c r="GC6" s="1" t="n">
        <f aca="false">IF(AND('Daily Workforce'!$N174="Y",'Daily Workforce'!$B174&lt;&gt;"",COUNTIF('Daily Schedule'!$F$5:$F9,'Daily Workforce'!$B174)=0,'Daily Workforce'!$M174="Y",IF(OR('Daily Schedule'!$E$2="Full Day",'Daily Schedule'!$E$2="AM"),'Daily Workforce'!$D174="3:45 AM",IF('Daily Schedule'!$E$2="PM",'Daily Workforce'!$E174="PM",'Daily Workforce'!$E174="Overnight"))),'Daily Workforce'!$V174*1000+174,999999999)</f>
        <v>999999999</v>
      </c>
      <c r="GD6" s="1" t="n">
        <f aca="false">IF(AND('Daily Workforce'!$N175="Y",'Daily Workforce'!$B175&lt;&gt;"",COUNTIF('Daily Schedule'!$F$5:$F9,'Daily Workforce'!$B175)=0,'Daily Workforce'!$M175="Y",IF(OR('Daily Schedule'!$E$2="Full Day",'Daily Schedule'!$E$2="AM"),'Daily Workforce'!$D175="3:45 AM",IF('Daily Schedule'!$E$2="PM",'Daily Workforce'!$E175="PM",'Daily Workforce'!$E175="Overnight"))),'Daily Workforce'!$V175*1000+175,999999999)</f>
        <v>999999999</v>
      </c>
      <c r="GE6" s="1" t="n">
        <f aca="false">IF(AND('Daily Workforce'!$N176="Y",'Daily Workforce'!$B176&lt;&gt;"",COUNTIF('Daily Schedule'!$F$5:$F9,'Daily Workforce'!$B176)=0,'Daily Workforce'!$M176="Y",IF(OR('Daily Schedule'!$E$2="Full Day",'Daily Schedule'!$E$2="AM"),'Daily Workforce'!$D176="3:45 AM",IF('Daily Schedule'!$E$2="PM",'Daily Workforce'!$E176="PM",'Daily Workforce'!$E176="Overnight"))),'Daily Workforce'!$V176*1000+176,999999999)</f>
        <v>999999999</v>
      </c>
      <c r="GF6" s="1" t="n">
        <f aca="false">IF(AND('Daily Workforce'!$N177="Y",'Daily Workforce'!$B177&lt;&gt;"",COUNTIF('Daily Schedule'!$F$5:$F9,'Daily Workforce'!$B177)=0,'Daily Workforce'!$M177="Y",IF(OR('Daily Schedule'!$E$2="Full Day",'Daily Schedule'!$E$2="AM"),'Daily Workforce'!$D177="3:45 AM",IF('Daily Schedule'!$E$2="PM",'Daily Workforce'!$E177="PM",'Daily Workforce'!$E177="Overnight"))),'Daily Workforce'!$V177*1000+177,999999999)</f>
        <v>999999999</v>
      </c>
      <c r="GG6" s="1" t="n">
        <f aca="false">IF(AND('Daily Workforce'!$N178="Y",'Daily Workforce'!$B178&lt;&gt;"",COUNTIF('Daily Schedule'!$F$5:$F9,'Daily Workforce'!$B178)=0,'Daily Workforce'!$M178="Y",IF(OR('Daily Schedule'!$E$2="Full Day",'Daily Schedule'!$E$2="AM"),'Daily Workforce'!$D178="3:45 AM",IF('Daily Schedule'!$E$2="PM",'Daily Workforce'!$E178="PM",'Daily Workforce'!$E178="Overnight"))),'Daily Workforce'!$V178*1000+178,999999999)</f>
        <v>999999999</v>
      </c>
      <c r="GH6" s="1" t="n">
        <f aca="false">IF(AND('Daily Workforce'!$N179="Y",'Daily Workforce'!$B179&lt;&gt;"",COUNTIF('Daily Schedule'!$F$5:$F9,'Daily Workforce'!$B179)=0,'Daily Workforce'!$M179="Y",IF(OR('Daily Schedule'!$E$2="Full Day",'Daily Schedule'!$E$2="AM"),'Daily Workforce'!$D179="3:45 AM",IF('Daily Schedule'!$E$2="PM",'Daily Workforce'!$E179="PM",'Daily Workforce'!$E179="Overnight"))),'Daily Workforce'!$V179*1000+179,999999999)</f>
        <v>999999999</v>
      </c>
      <c r="GI6" s="1" t="n">
        <f aca="false">IF(AND('Daily Workforce'!$N180="Y",'Daily Workforce'!$B180&lt;&gt;"",COUNTIF('Daily Schedule'!$F$5:$F9,'Daily Workforce'!$B180)=0,'Daily Workforce'!$M180="Y",IF(OR('Daily Schedule'!$E$2="Full Day",'Daily Schedule'!$E$2="AM"),'Daily Workforce'!$D180="3:45 AM",IF('Daily Schedule'!$E$2="PM",'Daily Workforce'!$E180="PM",'Daily Workforce'!$E180="Overnight"))),'Daily Workforce'!$V180*1000+180,999999999)</f>
        <v>999999999</v>
      </c>
      <c r="GJ6" s="1" t="n">
        <f aca="false">IF(AND('Daily Workforce'!$N181="Y",'Daily Workforce'!$B181&lt;&gt;"",COUNTIF('Daily Schedule'!$F$5:$F9,'Daily Workforce'!$B181)=0,'Daily Workforce'!$M181="Y",IF(OR('Daily Schedule'!$E$2="Full Day",'Daily Schedule'!$E$2="AM"),'Daily Workforce'!$D181="3:45 AM",IF('Daily Schedule'!$E$2="PM",'Daily Workforce'!$E181="PM",'Daily Workforce'!$E181="Overnight"))),'Daily Workforce'!$V181*1000+181,999999999)</f>
        <v>999999999</v>
      </c>
      <c r="GK6" s="1" t="n">
        <f aca="false">IF(AND('Daily Workforce'!$N182="Y",'Daily Workforce'!$B182&lt;&gt;"",COUNTIF('Daily Schedule'!$F$5:$F9,'Daily Workforce'!$B182)=0,'Daily Workforce'!$M182="Y",IF(OR('Daily Schedule'!$E$2="Full Day",'Daily Schedule'!$E$2="AM"),'Daily Workforce'!$D182="3:45 AM",IF('Daily Schedule'!$E$2="PM",'Daily Workforce'!$E182="PM",'Daily Workforce'!$E182="Overnight"))),'Daily Workforce'!$V182*1000+182,999999999)</f>
        <v>999999999</v>
      </c>
      <c r="GL6" s="1" t="n">
        <f aca="false">IF(AND('Daily Workforce'!$N183="Y",'Daily Workforce'!$B183&lt;&gt;"",COUNTIF('Daily Schedule'!$F$5:$F9,'Daily Workforce'!$B183)=0,'Daily Workforce'!$M183="Y",IF(OR('Daily Schedule'!$E$2="Full Day",'Daily Schedule'!$E$2="AM"),'Daily Workforce'!$D183="3:45 AM",IF('Daily Schedule'!$E$2="PM",'Daily Workforce'!$E183="PM",'Daily Workforce'!$E183="Overnight"))),'Daily Workforce'!$V183*1000+183,999999999)</f>
        <v>999999999</v>
      </c>
      <c r="GM6" s="1" t="n">
        <f aca="false">IF(AND('Daily Workforce'!$N184="Y",'Daily Workforce'!$B184&lt;&gt;"",COUNTIF('Daily Schedule'!$F$5:$F9,'Daily Workforce'!$B184)=0,'Daily Workforce'!$M184="Y",IF(OR('Daily Schedule'!$E$2="Full Day",'Daily Schedule'!$E$2="AM"),'Daily Workforce'!$D184="3:45 AM",IF('Daily Schedule'!$E$2="PM",'Daily Workforce'!$E184="PM",'Daily Workforce'!$E184="Overnight"))),'Daily Workforce'!$V184*1000+184,999999999)</f>
        <v>999999999</v>
      </c>
      <c r="GN6" s="1" t="n">
        <f aca="false">IF(AND('Daily Workforce'!$N185="Y",'Daily Workforce'!$B185&lt;&gt;"",COUNTIF('Daily Schedule'!$F$5:$F9,'Daily Workforce'!$B185)=0,'Daily Workforce'!$M185="Y",IF(OR('Daily Schedule'!$E$2="Full Day",'Daily Schedule'!$E$2="AM"),'Daily Workforce'!$D185="3:45 AM",IF('Daily Schedule'!$E$2="PM",'Daily Workforce'!$E185="PM",'Daily Workforce'!$E185="Overnight"))),'Daily Workforce'!$V185*1000+185,999999999)</f>
        <v>999999999</v>
      </c>
      <c r="GO6" s="1" t="n">
        <f aca="false">IF(AND('Daily Workforce'!$N186="Y",'Daily Workforce'!$B186&lt;&gt;"",COUNTIF('Daily Schedule'!$F$5:$F9,'Daily Workforce'!$B186)=0,'Daily Workforce'!$M186="Y",IF(OR('Daily Schedule'!$E$2="Full Day",'Daily Schedule'!$E$2="AM"),'Daily Workforce'!$D186="3:45 AM",IF('Daily Schedule'!$E$2="PM",'Daily Workforce'!$E186="PM",'Daily Workforce'!$E186="Overnight"))),'Daily Workforce'!$V186*1000+186,999999999)</f>
        <v>999999999</v>
      </c>
      <c r="GP6" s="1" t="n">
        <f aca="false">IF(AND('Daily Workforce'!$N187="Y",'Daily Workforce'!$B187&lt;&gt;"",COUNTIF('Daily Schedule'!$F$5:$F9,'Daily Workforce'!$B187)=0,'Daily Workforce'!$M187="Y",IF(OR('Daily Schedule'!$E$2="Full Day",'Daily Schedule'!$E$2="AM"),'Daily Workforce'!$D187="3:45 AM",IF('Daily Schedule'!$E$2="PM",'Daily Workforce'!$E187="PM",'Daily Workforce'!$E187="Overnight"))),'Daily Workforce'!$V187*1000+187,999999999)</f>
        <v>999999999</v>
      </c>
      <c r="GQ6" s="1" t="n">
        <f aca="false">IF(AND('Daily Workforce'!$N188="Y",'Daily Workforce'!$B188&lt;&gt;"",COUNTIF('Daily Schedule'!$F$5:$F9,'Daily Workforce'!$B188)=0,'Daily Workforce'!$M188="Y",IF(OR('Daily Schedule'!$E$2="Full Day",'Daily Schedule'!$E$2="AM"),'Daily Workforce'!$D188="3:45 AM",IF('Daily Schedule'!$E$2="PM",'Daily Workforce'!$E188="PM",'Daily Workforce'!$E188="Overnight"))),'Daily Workforce'!$V188*1000+188,999999999)</f>
        <v>999999999</v>
      </c>
      <c r="GR6" s="1" t="n">
        <f aca="false">IF(AND('Daily Workforce'!$N189="Y",'Daily Workforce'!$B189&lt;&gt;"",COUNTIF('Daily Schedule'!$F$5:$F9,'Daily Workforce'!$B189)=0,'Daily Workforce'!$M189="Y",IF(OR('Daily Schedule'!$E$2="Full Day",'Daily Schedule'!$E$2="AM"),'Daily Workforce'!$D189="3:45 AM",IF('Daily Schedule'!$E$2="PM",'Daily Workforce'!$E189="PM",'Daily Workforce'!$E189="Overnight"))),'Daily Workforce'!$V189*1000+189,999999999)</f>
        <v>999999999</v>
      </c>
      <c r="GS6" s="1" t="n">
        <f aca="false">IF(AND('Daily Workforce'!$N190="Y",'Daily Workforce'!$B190&lt;&gt;"",COUNTIF('Daily Schedule'!$F$5:$F9,'Daily Workforce'!$B190)=0,'Daily Workforce'!$M190="Y",IF(OR('Daily Schedule'!$E$2="Full Day",'Daily Schedule'!$E$2="AM"),'Daily Workforce'!$D190="3:45 AM",IF('Daily Schedule'!$E$2="PM",'Daily Workforce'!$E190="PM",'Daily Workforce'!$E190="Overnight"))),'Daily Workforce'!$V190*1000+190,999999999)</f>
        <v>999999999</v>
      </c>
      <c r="GT6" s="1" t="n">
        <f aca="false">IF(AND('Daily Workforce'!$N191="Y",'Daily Workforce'!$B191&lt;&gt;"",COUNTIF('Daily Schedule'!$F$5:$F9,'Daily Workforce'!$B191)=0,'Daily Workforce'!$M191="Y",IF(OR('Daily Schedule'!$E$2="Full Day",'Daily Schedule'!$E$2="AM"),'Daily Workforce'!$D191="3:45 AM",IF('Daily Schedule'!$E$2="PM",'Daily Workforce'!$E191="PM",'Daily Workforce'!$E191="Overnight"))),'Daily Workforce'!$V191*1000+191,999999999)</f>
        <v>999999999</v>
      </c>
      <c r="GU6" s="1" t="n">
        <f aca="false">IF(AND('Daily Workforce'!$N192="Y",'Daily Workforce'!$B192&lt;&gt;"",COUNTIF('Daily Schedule'!$F$5:$F9,'Daily Workforce'!$B192)=0,'Daily Workforce'!$M192="Y",IF(OR('Daily Schedule'!$E$2="Full Day",'Daily Schedule'!$E$2="AM"),'Daily Workforce'!$D192="3:45 AM",IF('Daily Schedule'!$E$2="PM",'Daily Workforce'!$E192="PM",'Daily Workforce'!$E192="Overnight"))),'Daily Workforce'!$V192*1000+192,999999999)</f>
        <v>999999999</v>
      </c>
      <c r="GV6" s="1" t="n">
        <f aca="false">IF(AND('Daily Workforce'!$N193="Y",'Daily Workforce'!$B193&lt;&gt;"",COUNTIF('Daily Schedule'!$F$5:$F9,'Daily Workforce'!$B193)=0,'Daily Workforce'!$M193="Y",IF(OR('Daily Schedule'!$E$2="Full Day",'Daily Schedule'!$E$2="AM"),'Daily Workforce'!$D193="3:45 AM",IF('Daily Schedule'!$E$2="PM",'Daily Workforce'!$E193="PM",'Daily Workforce'!$E193="Overnight"))),'Daily Workforce'!$V193*1000+193,999999999)</f>
        <v>999999999</v>
      </c>
      <c r="GW6" s="1" t="n">
        <f aca="false">IF(AND('Daily Workforce'!$N194="Y",'Daily Workforce'!$B194&lt;&gt;"",COUNTIF('Daily Schedule'!$F$5:$F9,'Daily Workforce'!$B194)=0,'Daily Workforce'!$M194="Y",IF(OR('Daily Schedule'!$E$2="Full Day",'Daily Schedule'!$E$2="AM"),'Daily Workforce'!$D194="3:45 AM",IF('Daily Schedule'!$E$2="PM",'Daily Workforce'!$E194="PM",'Daily Workforce'!$E194="Overnight"))),'Daily Workforce'!$V194*1000+194,999999999)</f>
        <v>999999999</v>
      </c>
      <c r="GX6" s="1" t="n">
        <f aca="false">IF(AND('Daily Workforce'!$N195="Y",'Daily Workforce'!$B195&lt;&gt;"",COUNTIF('Daily Schedule'!$F$5:$F9,'Daily Workforce'!$B195)=0,'Daily Workforce'!$M195="Y",IF(OR('Daily Schedule'!$E$2="Full Day",'Daily Schedule'!$E$2="AM"),'Daily Workforce'!$D195="3:45 AM",IF('Daily Schedule'!$E$2="PM",'Daily Workforce'!$E195="PM",'Daily Workforce'!$E195="Overnight"))),'Daily Workforce'!$V195*1000+195,999999999)</f>
        <v>999999999</v>
      </c>
      <c r="GY6" s="1" t="n">
        <f aca="false">IF(AND('Daily Workforce'!$N196="Y",'Daily Workforce'!$B196&lt;&gt;"",COUNTIF('Daily Schedule'!$F$5:$F9,'Daily Workforce'!$B196)=0,'Daily Workforce'!$M196="Y",IF(OR('Daily Schedule'!$E$2="Full Day",'Daily Schedule'!$E$2="AM"),'Daily Workforce'!$D196="3:45 AM",IF('Daily Schedule'!$E$2="PM",'Daily Workforce'!$E196="PM",'Daily Workforce'!$E196="Overnight"))),'Daily Workforce'!$V196*1000+196,999999999)</f>
        <v>999999999</v>
      </c>
      <c r="GZ6" s="1" t="n">
        <f aca="false">IF(AND('Daily Workforce'!$N197="Y",'Daily Workforce'!$B197&lt;&gt;"",COUNTIF('Daily Schedule'!$F$5:$F9,'Daily Workforce'!$B197)=0,'Daily Workforce'!$M197="Y",IF(OR('Daily Schedule'!$E$2="Full Day",'Daily Schedule'!$E$2="AM"),'Daily Workforce'!$D197="3:45 AM",IF('Daily Schedule'!$E$2="PM",'Daily Workforce'!$E197="PM",'Daily Workforce'!$E197="Overnight"))),'Daily Workforce'!$V197*1000+197,999999999)</f>
        <v>999999999</v>
      </c>
      <c r="HA6" s="1" t="n">
        <f aca="false">IF(AND('Daily Workforce'!$N198="Y",'Daily Workforce'!$B198&lt;&gt;"",COUNTIF('Daily Schedule'!$F$5:$F9,'Daily Workforce'!$B198)=0,'Daily Workforce'!$M198="Y",IF(OR('Daily Schedule'!$E$2="Full Day",'Daily Schedule'!$E$2="AM"),'Daily Workforce'!$D198="3:45 AM",IF('Daily Schedule'!$E$2="PM",'Daily Workforce'!$E198="PM",'Daily Workforce'!$E198="Overnight"))),'Daily Workforce'!$V198*1000+198,999999999)</f>
        <v>999999999</v>
      </c>
      <c r="HB6" s="1" t="n">
        <f aca="false">IF(AND('Daily Workforce'!$N199="Y",'Daily Workforce'!$B199&lt;&gt;"",COUNTIF('Daily Schedule'!$F$5:$F9,'Daily Workforce'!$B199)=0,'Daily Workforce'!$M199="Y",IF(OR('Daily Schedule'!$E$2="Full Day",'Daily Schedule'!$E$2="AM"),'Daily Workforce'!$D199="3:45 AM",IF('Daily Schedule'!$E$2="PM",'Daily Workforce'!$E199="PM",'Daily Workforce'!$E199="Overnight"))),'Daily Workforce'!$V199*1000+199,999999999)</f>
        <v>999999999</v>
      </c>
      <c r="HC6" s="1" t="n">
        <f aca="false">IF(AND('Daily Workforce'!$N200="Y",'Daily Workforce'!$B200&lt;&gt;"",COUNTIF('Daily Schedule'!$F$5:$F9,'Daily Workforce'!$B200)=0,'Daily Workforce'!$M200="Y",IF(OR('Daily Schedule'!$E$2="Full Day",'Daily Schedule'!$E$2="AM"),'Daily Workforce'!$D200="3:45 AM",IF('Daily Schedule'!$E$2="PM",'Daily Workforce'!$E200="PM",'Daily Workforce'!$E200="Overnight"))),'Daily Workforce'!$V200*1000+200,999999999)</f>
        <v>999999999</v>
      </c>
      <c r="HD6" s="1" t="n">
        <f aca="false">IF(AND('Daily Workforce'!$N201="Y",'Daily Workforce'!$B201&lt;&gt;"",COUNTIF('Daily Schedule'!$F$5:$F9,'Daily Workforce'!$B201)=0,'Daily Workforce'!$M201="Y",IF(OR('Daily Schedule'!$E$2="Full Day",'Daily Schedule'!$E$2="AM"),'Daily Workforce'!$D201="3:45 AM",IF('Daily Schedule'!$E$2="PM",'Daily Workforce'!$E201="PM",'Daily Workforce'!$E201="Overnight"))),'Daily Workforce'!$V201*1000+201,999999999)</f>
        <v>999999999</v>
      </c>
      <c r="HE6" s="1" t="n">
        <f aca="false">IF(AND('Daily Workforce'!$N202="Y",'Daily Workforce'!$B202&lt;&gt;"",COUNTIF('Daily Schedule'!$F$5:$F9,'Daily Workforce'!$B202)=0,'Daily Workforce'!$M202="Y",IF(OR('Daily Schedule'!$E$2="Full Day",'Daily Schedule'!$E$2="AM"),'Daily Workforce'!$D202="3:45 AM",IF('Daily Schedule'!$E$2="PM",'Daily Workforce'!$E202="PM",'Daily Workforce'!$E202="Overnight"))),'Daily Workforce'!$V202*1000+202,999999999)</f>
        <v>999999999</v>
      </c>
      <c r="HF6" s="1" t="n">
        <f aca="false">IF(AND('Daily Workforce'!$N203="Y",'Daily Workforce'!$B203&lt;&gt;"",COUNTIF('Daily Schedule'!$F$5:$F9,'Daily Workforce'!$B203)=0,'Daily Workforce'!$M203="Y",IF(OR('Daily Schedule'!$E$2="Full Day",'Daily Schedule'!$E$2="AM"),'Daily Workforce'!$D203="3:45 AM",IF('Daily Schedule'!$E$2="PM",'Daily Workforce'!$E203="PM",'Daily Workforce'!$E203="Overnight"))),'Daily Workforce'!$V203*1000+203,999999999)</f>
        <v>999999999</v>
      </c>
      <c r="HG6" s="1" t="n">
        <f aca="false">IF(AND('Daily Workforce'!$N204="Y",'Daily Workforce'!$B204&lt;&gt;"",COUNTIF('Daily Schedule'!$F$5:$F9,'Daily Workforce'!$B204)=0,'Daily Workforce'!$M204="Y",IF(OR('Daily Schedule'!$E$2="Full Day",'Daily Schedule'!$E$2="AM"),'Daily Workforce'!$D204="3:45 AM",IF('Daily Schedule'!$E$2="PM",'Daily Workforce'!$E204="PM",'Daily Workforce'!$E204="Overnight"))),'Daily Workforce'!$V204*1000+204,999999999)</f>
        <v>999999999</v>
      </c>
      <c r="HH6" s="1" t="n">
        <f aca="false">IF(AND('Daily Workforce'!$N205="Y",'Daily Workforce'!$B205&lt;&gt;"",COUNTIF('Daily Schedule'!$F$5:$F9,'Daily Workforce'!$B205)=0,'Daily Workforce'!$M205="Y",IF(OR('Daily Schedule'!$E$2="Full Day",'Daily Schedule'!$E$2="AM"),'Daily Workforce'!$D205="3:45 AM",IF('Daily Schedule'!$E$2="PM",'Daily Workforce'!$E205="PM",'Daily Workforce'!$E205="Overnight"))),'Daily Workforce'!$V205*1000+205,999999999)</f>
        <v>999999999</v>
      </c>
      <c r="HI6" s="1" t="n">
        <v>50</v>
      </c>
      <c r="HJ6" s="1" t="str">
        <f aca="false">IF(MIN(HL6:JK6)&gt;=999999999,"",IFERROR(INDEX('Daily Schedule'!$F$6:$F$57,MATCH(MIN(HL6:JK6),HL6:JK6,0)),""))</f>
        <v>EMP-0040</v>
      </c>
      <c r="HK6" s="1" t="n">
        <f aca="false">IF($HJ6="","",IFERROR(INDEX('Daily Schedule'!$A$6:$A$57,MATCH($HJ6,'Daily Schedule'!$F$6:$F$57,0)),""))</f>
        <v>29</v>
      </c>
      <c r="HL6" s="1" t="n">
        <f aca="false">IF(AND('Daily Schedule'!$F$6&lt;&gt;"",'Daily Schedule'!$H$6="5:45 AM",'Daily Schedule'!$D$6&lt;&gt;"Tier 1",IFERROR(INDEX('Daily Workforce'!$M$6:$M$205,MATCH('Daily Schedule'!$F$6,'Daily Workforce'!$B$6:$B$205,0)),"N")="Y",COUNTIF($HJ$1:HJ5,'Daily Schedule'!$F$6)=0),IFERROR(INDEX('Daily Workforce'!$V$6:$V$205,MATCH('Daily Schedule'!$F$6,'Daily Workforce'!$B$6:$B$205,0)),0)*1000+6,999999999)</f>
        <v>999999999</v>
      </c>
      <c r="HM6" s="1" t="n">
        <f aca="false">IF(AND('Daily Schedule'!$F$7&lt;&gt;"",'Daily Schedule'!$H$7="5:45 AM",'Daily Schedule'!$D$7&lt;&gt;"Tier 1",IFERROR(INDEX('Daily Workforce'!$M$6:$M$205,MATCH('Daily Schedule'!$F$7,'Daily Workforce'!$B$6:$B$205,0)),"N")="Y",COUNTIF($HJ$1:HJ5,'Daily Schedule'!$F$7)=0),IFERROR(INDEX('Daily Workforce'!$V$6:$V$205,MATCH('Daily Schedule'!$F$7,'Daily Workforce'!$B$6:$B$205,0)),0)*1000+7,999999999)</f>
        <v>999999999</v>
      </c>
      <c r="HN6" s="1" t="n">
        <f aca="false">IF(AND('Daily Schedule'!$F$8&lt;&gt;"",'Daily Schedule'!$H$8="5:45 AM",'Daily Schedule'!$D$8&lt;&gt;"Tier 1",IFERROR(INDEX('Daily Workforce'!$M$6:$M$205,MATCH('Daily Schedule'!$F$8,'Daily Workforce'!$B$6:$B$205,0)),"N")="Y",COUNTIF($HJ$1:HJ5,'Daily Schedule'!$F$8)=0),IFERROR(INDEX('Daily Workforce'!$V$6:$V$205,MATCH('Daily Schedule'!$F$8,'Daily Workforce'!$B$6:$B$205,0)),0)*1000+8,999999999)</f>
        <v>999999999</v>
      </c>
      <c r="HO6" s="1" t="n">
        <f aca="false">IF(AND('Daily Schedule'!$F$9&lt;&gt;"",'Daily Schedule'!$H$9="5:45 AM",'Daily Schedule'!$D$9&lt;&gt;"Tier 1",IFERROR(INDEX('Daily Workforce'!$M$6:$M$205,MATCH('Daily Schedule'!$F$9,'Daily Workforce'!$B$6:$B$205,0)),"N")="Y",COUNTIF($HJ$1:HJ5,'Daily Schedule'!$F$9)=0),IFERROR(INDEX('Daily Workforce'!$V$6:$V$205,MATCH('Daily Schedule'!$F$9,'Daily Workforce'!$B$6:$B$205,0)),0)*1000+9,999999999)</f>
        <v>999999999</v>
      </c>
      <c r="HP6" s="1" t="n">
        <f aca="false">IF(AND('Daily Schedule'!$F$10&lt;&gt;"",'Daily Schedule'!$H$10="5:45 AM",'Daily Schedule'!$D$10&lt;&gt;"Tier 1",IFERROR(INDEX('Daily Workforce'!$M$6:$M$205,MATCH('Daily Schedule'!$F$10,'Daily Workforce'!$B$6:$B$205,0)),"N")="Y",COUNTIF($HJ$1:HJ5,'Daily Schedule'!$F$10)=0),IFERROR(INDEX('Daily Workforce'!$V$6:$V$205,MATCH('Daily Schedule'!$F$10,'Daily Workforce'!$B$6:$B$205,0)),0)*1000+10,999999999)</f>
        <v>999999999</v>
      </c>
      <c r="HQ6" s="1" t="n">
        <f aca="false">IF(AND('Daily Schedule'!$F$11&lt;&gt;"",'Daily Schedule'!$H$11="5:45 AM",'Daily Schedule'!$D$11&lt;&gt;"Tier 1",IFERROR(INDEX('Daily Workforce'!$M$6:$M$205,MATCH('Daily Schedule'!$F$11,'Daily Workforce'!$B$6:$B$205,0)),"N")="Y",COUNTIF($HJ$1:HJ5,'Daily Schedule'!$F$11)=0),IFERROR(INDEX('Daily Workforce'!$V$6:$V$205,MATCH('Daily Schedule'!$F$11,'Daily Workforce'!$B$6:$B$205,0)),0)*1000+11,999999999)</f>
        <v>999999999</v>
      </c>
      <c r="HR6" s="1" t="n">
        <f aca="false">IF(AND('Daily Schedule'!$F$12&lt;&gt;"",'Daily Schedule'!$H$12="5:45 AM",'Daily Schedule'!$D$12&lt;&gt;"Tier 1",IFERROR(INDEX('Daily Workforce'!$M$6:$M$205,MATCH('Daily Schedule'!$F$12,'Daily Workforce'!$B$6:$B$205,0)),"N")="Y",COUNTIF($HJ$1:HJ5,'Daily Schedule'!$F$12)=0),IFERROR(INDEX('Daily Workforce'!$V$6:$V$205,MATCH('Daily Schedule'!$F$12,'Daily Workforce'!$B$6:$B$205,0)),0)*1000+12,999999999)</f>
        <v>999999999</v>
      </c>
      <c r="HS6" s="1" t="n">
        <f aca="false">IF(AND('Daily Schedule'!$F$13&lt;&gt;"",'Daily Schedule'!$H$13="5:45 AM",'Daily Schedule'!$D$13&lt;&gt;"Tier 1",IFERROR(INDEX('Daily Workforce'!$M$6:$M$205,MATCH('Daily Schedule'!$F$13,'Daily Workforce'!$B$6:$B$205,0)),"N")="Y",COUNTIF($HJ$1:HJ5,'Daily Schedule'!$F$13)=0),IFERROR(INDEX('Daily Workforce'!$V$6:$V$205,MATCH('Daily Schedule'!$F$13,'Daily Workforce'!$B$6:$B$205,0)),0)*1000+13,999999999)</f>
        <v>999999999</v>
      </c>
      <c r="HT6" s="1" t="n">
        <f aca="false">IF(AND('Daily Schedule'!$F$14&lt;&gt;"",'Daily Schedule'!$H$14="5:45 AM",'Daily Schedule'!$D$14&lt;&gt;"Tier 1",IFERROR(INDEX('Daily Workforce'!$M$6:$M$205,MATCH('Daily Schedule'!$F$14,'Daily Workforce'!$B$6:$B$205,0)),"N")="Y",COUNTIF($HJ$1:HJ5,'Daily Schedule'!$F$14)=0),IFERROR(INDEX('Daily Workforce'!$V$6:$V$205,MATCH('Daily Schedule'!$F$14,'Daily Workforce'!$B$6:$B$205,0)),0)*1000+14,999999999)</f>
        <v>999999999</v>
      </c>
      <c r="HU6" s="1" t="n">
        <f aca="false">IF(AND('Daily Schedule'!$F$15&lt;&gt;"",'Daily Schedule'!$H$15="5:45 AM",'Daily Schedule'!$D$15&lt;&gt;"Tier 1",IFERROR(INDEX('Daily Workforce'!$M$6:$M$205,MATCH('Daily Schedule'!$F$15,'Daily Workforce'!$B$6:$B$205,0)),"N")="Y",COUNTIF($HJ$1:HJ5,'Daily Schedule'!$F$15)=0),IFERROR(INDEX('Daily Workforce'!$V$6:$V$205,MATCH('Daily Schedule'!$F$15,'Daily Workforce'!$B$6:$B$205,0)),0)*1000+15,999999999)</f>
        <v>999999999</v>
      </c>
      <c r="HV6" s="1" t="n">
        <f aca="false">IF(AND('Daily Schedule'!$F$16&lt;&gt;"",'Daily Schedule'!$H$16="5:45 AM",'Daily Schedule'!$D$16&lt;&gt;"Tier 1",IFERROR(INDEX('Daily Workforce'!$M$6:$M$205,MATCH('Daily Schedule'!$F$16,'Daily Workforce'!$B$6:$B$205,0)),"N")="Y",COUNTIF($HJ$1:HJ5,'Daily Schedule'!$F$16)=0),IFERROR(INDEX('Daily Workforce'!$V$6:$V$205,MATCH('Daily Schedule'!$F$16,'Daily Workforce'!$B$6:$B$205,0)),0)*1000+16,999999999)</f>
        <v>999999999</v>
      </c>
      <c r="HW6" s="1" t="n">
        <f aca="false">IF(AND('Daily Schedule'!$F$17&lt;&gt;"",'Daily Schedule'!$H$17="5:45 AM",'Daily Schedule'!$D$17&lt;&gt;"Tier 1",IFERROR(INDEX('Daily Workforce'!$M$6:$M$205,MATCH('Daily Schedule'!$F$17,'Daily Workforce'!$B$6:$B$205,0)),"N")="Y",COUNTIF($HJ$1:HJ5,'Daily Schedule'!$F$17)=0),IFERROR(INDEX('Daily Workforce'!$V$6:$V$205,MATCH('Daily Schedule'!$F$17,'Daily Workforce'!$B$6:$B$205,0)),0)*1000+17,999999999)</f>
        <v>999999999</v>
      </c>
      <c r="HX6" s="1" t="n">
        <f aca="false">IF(AND('Daily Schedule'!$F$18&lt;&gt;"",'Daily Schedule'!$H$18="5:45 AM",'Daily Schedule'!$D$18&lt;&gt;"Tier 1",IFERROR(INDEX('Daily Workforce'!$M$6:$M$205,MATCH('Daily Schedule'!$F$18,'Daily Workforce'!$B$6:$B$205,0)),"N")="Y",COUNTIF($HJ$1:HJ5,'Daily Schedule'!$F$18)=0),IFERROR(INDEX('Daily Workforce'!$V$6:$V$205,MATCH('Daily Schedule'!$F$18,'Daily Workforce'!$B$6:$B$205,0)),0)*1000+18,999999999)</f>
        <v>999999999</v>
      </c>
      <c r="HY6" s="1" t="n">
        <f aca="false">IF(AND('Daily Schedule'!$F$19&lt;&gt;"",'Daily Schedule'!$H$19="5:45 AM",'Daily Schedule'!$D$19&lt;&gt;"Tier 1",IFERROR(INDEX('Daily Workforce'!$M$6:$M$205,MATCH('Daily Schedule'!$F$19,'Daily Workforce'!$B$6:$B$205,0)),"N")="Y",COUNTIF($HJ$1:HJ5,'Daily Schedule'!$F$19)=0),IFERROR(INDEX('Daily Workforce'!$V$6:$V$205,MATCH('Daily Schedule'!$F$19,'Daily Workforce'!$B$6:$B$205,0)),0)*1000+19,999999999)</f>
        <v>999999999</v>
      </c>
      <c r="HZ6" s="1" t="n">
        <f aca="false">IF(AND('Daily Schedule'!$F$20&lt;&gt;"",'Daily Schedule'!$H$20="5:45 AM",'Daily Schedule'!$D$20&lt;&gt;"Tier 1",IFERROR(INDEX('Daily Workforce'!$M$6:$M$205,MATCH('Daily Schedule'!$F$20,'Daily Workforce'!$B$6:$B$205,0)),"N")="Y",COUNTIF($HJ$1:HJ5,'Daily Schedule'!$F$20)=0),IFERROR(INDEX('Daily Workforce'!$V$6:$V$205,MATCH('Daily Schedule'!$F$20,'Daily Workforce'!$B$6:$B$205,0)),0)*1000+20,999999999)</f>
        <v>999999999</v>
      </c>
      <c r="IA6" s="1" t="n">
        <f aca="false">IF(AND('Daily Schedule'!$F$21&lt;&gt;"",'Daily Schedule'!$H$21="5:45 AM",'Daily Schedule'!$D$21&lt;&gt;"Tier 1",IFERROR(INDEX('Daily Workforce'!$M$6:$M$205,MATCH('Daily Schedule'!$F$21,'Daily Workforce'!$B$6:$B$205,0)),"N")="Y",COUNTIF($HJ$1:HJ5,'Daily Schedule'!$F$21)=0),IFERROR(INDEX('Daily Workforce'!$V$6:$V$205,MATCH('Daily Schedule'!$F$21,'Daily Workforce'!$B$6:$B$205,0)),0)*1000+21,999999999)</f>
        <v>999999999</v>
      </c>
      <c r="IB6" s="1" t="n">
        <f aca="false">IF(AND('Daily Schedule'!$F$22&lt;&gt;"",'Daily Schedule'!$H$22="5:45 AM",'Daily Schedule'!$D$22&lt;&gt;"Tier 1",IFERROR(INDEX('Daily Workforce'!$M$6:$M$205,MATCH('Daily Schedule'!$F$22,'Daily Workforce'!$B$6:$B$205,0)),"N")="Y",COUNTIF($HJ$1:HJ5,'Daily Schedule'!$F$22)=0),IFERROR(INDEX('Daily Workforce'!$V$6:$V$205,MATCH('Daily Schedule'!$F$22,'Daily Workforce'!$B$6:$B$205,0)),0)*1000+22,999999999)</f>
        <v>999999999</v>
      </c>
      <c r="IC6" s="1" t="n">
        <f aca="false">IF(AND('Daily Schedule'!$F$23&lt;&gt;"",'Daily Schedule'!$H$23="5:45 AM",'Daily Schedule'!$D$23&lt;&gt;"Tier 1",IFERROR(INDEX('Daily Workforce'!$M$6:$M$205,MATCH('Daily Schedule'!$F$23,'Daily Workforce'!$B$6:$B$205,0)),"N")="Y",COUNTIF($HJ$1:HJ5,'Daily Schedule'!$F$23)=0),IFERROR(INDEX('Daily Workforce'!$V$6:$V$205,MATCH('Daily Schedule'!$F$23,'Daily Workforce'!$B$6:$B$205,0)),0)*1000+23,999999999)</f>
        <v>999999999</v>
      </c>
      <c r="ID6" s="1" t="n">
        <f aca="false">IF(AND('Daily Schedule'!$F$24&lt;&gt;"",'Daily Schedule'!$H$24="5:45 AM",'Daily Schedule'!$D$24&lt;&gt;"Tier 1",IFERROR(INDEX('Daily Workforce'!$M$6:$M$205,MATCH('Daily Schedule'!$F$24,'Daily Workforce'!$B$6:$B$205,0)),"N")="Y",COUNTIF($HJ$1:HJ5,'Daily Schedule'!$F$24)=0),IFERROR(INDEX('Daily Workforce'!$V$6:$V$205,MATCH('Daily Schedule'!$F$24,'Daily Workforce'!$B$6:$B$205,0)),0)*1000+24,999999999)</f>
        <v>999999999</v>
      </c>
      <c r="IE6" s="1" t="n">
        <f aca="false">IF(AND('Daily Schedule'!$F$25&lt;&gt;"",'Daily Schedule'!$H$25="5:45 AM",'Daily Schedule'!$D$25&lt;&gt;"Tier 1",IFERROR(INDEX('Daily Workforce'!$M$6:$M$205,MATCH('Daily Schedule'!$F$25,'Daily Workforce'!$B$6:$B$205,0)),"N")="Y",COUNTIF($HJ$1:HJ5,'Daily Schedule'!$F$25)=0),IFERROR(INDEX('Daily Workforce'!$V$6:$V$205,MATCH('Daily Schedule'!$F$25,'Daily Workforce'!$B$6:$B$205,0)),0)*1000+25,999999999)</f>
        <v>999999999</v>
      </c>
      <c r="IF6" s="1" t="n">
        <f aca="false">IF(AND('Daily Schedule'!$F$26&lt;&gt;"",'Daily Schedule'!$H$26="5:45 AM",'Daily Schedule'!$D$26&lt;&gt;"Tier 1",IFERROR(INDEX('Daily Workforce'!$M$6:$M$205,MATCH('Daily Schedule'!$F$26,'Daily Workforce'!$B$6:$B$205,0)),"N")="Y",COUNTIF($HJ$1:HJ5,'Daily Schedule'!$F$26)=0),IFERROR(INDEX('Daily Workforce'!$V$6:$V$205,MATCH('Daily Schedule'!$F$26,'Daily Workforce'!$B$6:$B$205,0)),0)*1000+26,999999999)</f>
        <v>999999999</v>
      </c>
      <c r="IG6" s="1" t="n">
        <f aca="false">IF(AND('Daily Schedule'!$F$27&lt;&gt;"",'Daily Schedule'!$H$27="5:45 AM",'Daily Schedule'!$D$27&lt;&gt;"Tier 1",IFERROR(INDEX('Daily Workforce'!$M$6:$M$205,MATCH('Daily Schedule'!$F$27,'Daily Workforce'!$B$6:$B$205,0)),"N")="Y",COUNTIF($HJ$1:HJ5,'Daily Schedule'!$F$27)=0),IFERROR(INDEX('Daily Workforce'!$V$6:$V$205,MATCH('Daily Schedule'!$F$27,'Daily Workforce'!$B$6:$B$205,0)),0)*1000+27,999999999)</f>
        <v>999999999</v>
      </c>
      <c r="IH6" s="1" t="n">
        <f aca="false">IF(AND('Daily Schedule'!$F$28&lt;&gt;"",'Daily Schedule'!$H$28="5:45 AM",'Daily Schedule'!$D$28&lt;&gt;"Tier 1",IFERROR(INDEX('Daily Workforce'!$M$6:$M$205,MATCH('Daily Schedule'!$F$28,'Daily Workforce'!$B$6:$B$205,0)),"N")="Y",COUNTIF($HJ$1:HJ5,'Daily Schedule'!$F$28)=0),IFERROR(INDEX('Daily Workforce'!$V$6:$V$205,MATCH('Daily Schedule'!$F$28,'Daily Workforce'!$B$6:$B$205,0)),0)*1000+28,999999999)</f>
        <v>999999999</v>
      </c>
      <c r="II6" s="1" t="n">
        <f aca="false">IF(AND('Daily Schedule'!$F$29&lt;&gt;"",'Daily Schedule'!$H$29="5:45 AM",'Daily Schedule'!$D$29&lt;&gt;"Tier 1",IFERROR(INDEX('Daily Workforce'!$M$6:$M$205,MATCH('Daily Schedule'!$F$29,'Daily Workforce'!$B$6:$B$205,0)),"N")="Y",COUNTIF($HJ$1:HJ5,'Daily Schedule'!$F$29)=0),IFERROR(INDEX('Daily Workforce'!$V$6:$V$205,MATCH('Daily Schedule'!$F$29,'Daily Workforce'!$B$6:$B$205,0)),0)*1000+29,999999999)</f>
        <v>999999999</v>
      </c>
      <c r="IJ6" s="1" t="n">
        <f aca="false">IF(AND('Daily Schedule'!$F$30&lt;&gt;"",'Daily Schedule'!$H$30="5:45 AM",'Daily Schedule'!$D$30&lt;&gt;"Tier 1",IFERROR(INDEX('Daily Workforce'!$M$6:$M$205,MATCH('Daily Schedule'!$F$30,'Daily Workforce'!$B$6:$B$205,0)),"N")="Y",COUNTIF($HJ$1:HJ5,'Daily Schedule'!$F$30)=0),IFERROR(INDEX('Daily Workforce'!$V$6:$V$205,MATCH('Daily Schedule'!$F$30,'Daily Workforce'!$B$6:$B$205,0)),0)*1000+30,999999999)</f>
        <v>999999999</v>
      </c>
      <c r="IK6" s="1" t="n">
        <f aca="false">IF(AND('Daily Schedule'!$F$31&lt;&gt;"",'Daily Schedule'!$H$31="5:45 AM",'Daily Schedule'!$D$31&lt;&gt;"Tier 1",IFERROR(INDEX('Daily Workforce'!$M$6:$M$205,MATCH('Daily Schedule'!$F$31,'Daily Workforce'!$B$6:$B$205,0)),"N")="Y",COUNTIF($HJ$1:HJ5,'Daily Schedule'!$F$31)=0),IFERROR(INDEX('Daily Workforce'!$V$6:$V$205,MATCH('Daily Schedule'!$F$31,'Daily Workforce'!$B$6:$B$205,0)),0)*1000+31,999999999)</f>
        <v>999999999</v>
      </c>
      <c r="IL6" s="1" t="n">
        <f aca="false">IF(AND('Daily Schedule'!$F$32&lt;&gt;"",'Daily Schedule'!$H$32="5:45 AM",'Daily Schedule'!$D$32&lt;&gt;"Tier 1",IFERROR(INDEX('Daily Workforce'!$M$6:$M$205,MATCH('Daily Schedule'!$F$32,'Daily Workforce'!$B$6:$B$205,0)),"N")="Y",COUNTIF($HJ$1:HJ5,'Daily Schedule'!$F$32)=0),IFERROR(INDEX('Daily Workforce'!$V$6:$V$205,MATCH('Daily Schedule'!$F$32,'Daily Workforce'!$B$6:$B$205,0)),0)*1000+32,999999999)</f>
        <v>999999999</v>
      </c>
      <c r="IM6" s="1" t="n">
        <f aca="false">IF(AND('Daily Schedule'!$F$33&lt;&gt;"",'Daily Schedule'!$H$33="5:45 AM",'Daily Schedule'!$D$33&lt;&gt;"Tier 1",IFERROR(INDEX('Daily Workforce'!$M$6:$M$205,MATCH('Daily Schedule'!$F$33,'Daily Workforce'!$B$6:$B$205,0)),"N")="Y",COUNTIF($HJ$1:HJ5,'Daily Schedule'!$F$33)=0),IFERROR(INDEX('Daily Workforce'!$V$6:$V$205,MATCH('Daily Schedule'!$F$33,'Daily Workforce'!$B$6:$B$205,0)),0)*1000+33,999999999)</f>
        <v>999999999</v>
      </c>
      <c r="IN6" s="1" t="n">
        <f aca="false">IF(AND('Daily Schedule'!$F$34&lt;&gt;"",'Daily Schedule'!$H$34="5:45 AM",'Daily Schedule'!$D$34&lt;&gt;"Tier 1",IFERROR(INDEX('Daily Workforce'!$M$6:$M$205,MATCH('Daily Schedule'!$F$34,'Daily Workforce'!$B$6:$B$205,0)),"N")="Y",COUNTIF($HJ$1:HJ5,'Daily Schedule'!$F$34)=0),IFERROR(INDEX('Daily Workforce'!$V$6:$V$205,MATCH('Daily Schedule'!$F$34,'Daily Workforce'!$B$6:$B$205,0)),0)*1000+34,999999999)</f>
        <v>34</v>
      </c>
      <c r="IO6" s="1" t="n">
        <f aca="false">IF(AND('Daily Schedule'!$F$35&lt;&gt;"",'Daily Schedule'!$H$35="5:45 AM",'Daily Schedule'!$D$35&lt;&gt;"Tier 1",IFERROR(INDEX('Daily Workforce'!$M$6:$M$205,MATCH('Daily Schedule'!$F$35,'Daily Workforce'!$B$6:$B$205,0)),"N")="Y",COUNTIF($HJ$1:HJ5,'Daily Schedule'!$F$35)=0),IFERROR(INDEX('Daily Workforce'!$V$6:$V$205,MATCH('Daily Schedule'!$F$35,'Daily Workforce'!$B$6:$B$205,0)),0)*1000+35,999999999)</f>
        <v>35</v>
      </c>
      <c r="IP6" s="1" t="n">
        <f aca="false">IF(AND('Daily Schedule'!$F$36&lt;&gt;"",'Daily Schedule'!$H$36="5:45 AM",'Daily Schedule'!$D$36&lt;&gt;"Tier 1",IFERROR(INDEX('Daily Workforce'!$M$6:$M$205,MATCH('Daily Schedule'!$F$36,'Daily Workforce'!$B$6:$B$205,0)),"N")="Y",COUNTIF($HJ$1:HJ5,'Daily Schedule'!$F$36)=0),IFERROR(INDEX('Daily Workforce'!$V$6:$V$205,MATCH('Daily Schedule'!$F$36,'Daily Workforce'!$B$6:$B$205,0)),0)*1000+36,999999999)</f>
        <v>36</v>
      </c>
      <c r="IQ6" s="1" t="n">
        <f aca="false">IF(AND('Daily Schedule'!$F$37&lt;&gt;"",'Daily Schedule'!$H$37="5:45 AM",'Daily Schedule'!$D$37&lt;&gt;"Tier 1",IFERROR(INDEX('Daily Workforce'!$M$6:$M$205,MATCH('Daily Schedule'!$F$37,'Daily Workforce'!$B$6:$B$205,0)),"N")="Y",COUNTIF($HJ$1:HJ5,'Daily Schedule'!$F$37)=0),IFERROR(INDEX('Daily Workforce'!$V$6:$V$205,MATCH('Daily Schedule'!$F$37,'Daily Workforce'!$B$6:$B$205,0)),0)*1000+37,999999999)</f>
        <v>37</v>
      </c>
      <c r="IR6" s="1" t="n">
        <f aca="false">IF(AND('Daily Schedule'!$F$38&lt;&gt;"",'Daily Schedule'!$H$38="5:45 AM",'Daily Schedule'!$D$38&lt;&gt;"Tier 1",IFERROR(INDEX('Daily Workforce'!$M$6:$M$205,MATCH('Daily Schedule'!$F$38,'Daily Workforce'!$B$6:$B$205,0)),"N")="Y",COUNTIF($HJ$1:HJ5,'Daily Schedule'!$F$38)=0),IFERROR(INDEX('Daily Workforce'!$V$6:$V$205,MATCH('Daily Schedule'!$F$38,'Daily Workforce'!$B$6:$B$205,0)),0)*1000+38,999999999)</f>
        <v>38</v>
      </c>
      <c r="IS6" s="1" t="n">
        <f aca="false">IF(AND('Daily Schedule'!$F$39&lt;&gt;"",'Daily Schedule'!$H$39="5:45 AM",'Daily Schedule'!$D$39&lt;&gt;"Tier 1",IFERROR(INDEX('Daily Workforce'!$M$6:$M$205,MATCH('Daily Schedule'!$F$39,'Daily Workforce'!$B$6:$B$205,0)),"N")="Y",COUNTIF($HJ$1:HJ5,'Daily Schedule'!$F$39)=0),IFERROR(INDEX('Daily Workforce'!$V$6:$V$205,MATCH('Daily Schedule'!$F$39,'Daily Workforce'!$B$6:$B$205,0)),0)*1000+39,999999999)</f>
        <v>39</v>
      </c>
      <c r="IT6" s="1" t="n">
        <f aca="false">IF(AND('Daily Schedule'!$F$40&lt;&gt;"",'Daily Schedule'!$H$40="5:45 AM",'Daily Schedule'!$D$40&lt;&gt;"Tier 1",IFERROR(INDEX('Daily Workforce'!$M$6:$M$205,MATCH('Daily Schedule'!$F$40,'Daily Workforce'!$B$6:$B$205,0)),"N")="Y",COUNTIF($HJ$1:HJ5,'Daily Schedule'!$F$40)=0),IFERROR(INDEX('Daily Workforce'!$V$6:$V$205,MATCH('Daily Schedule'!$F$40,'Daily Workforce'!$B$6:$B$205,0)),0)*1000+40,999999999)</f>
        <v>40</v>
      </c>
      <c r="IU6" s="1" t="n">
        <f aca="false">IF(AND('Daily Schedule'!$F$41&lt;&gt;"",'Daily Schedule'!$H$41="5:45 AM",'Daily Schedule'!$D$41&lt;&gt;"Tier 1",IFERROR(INDEX('Daily Workforce'!$M$6:$M$205,MATCH('Daily Schedule'!$F$41,'Daily Workforce'!$B$6:$B$205,0)),"N")="Y",COUNTIF($HJ$1:HJ5,'Daily Schedule'!$F$41)=0),IFERROR(INDEX('Daily Workforce'!$V$6:$V$205,MATCH('Daily Schedule'!$F$41,'Daily Workforce'!$B$6:$B$205,0)),0)*1000+41,999999999)</f>
        <v>41</v>
      </c>
      <c r="IV6" s="1" t="n">
        <f aca="false">IF(AND('Daily Schedule'!$F$42&lt;&gt;"",'Daily Schedule'!$H$42="5:45 AM",'Daily Schedule'!$D$42&lt;&gt;"Tier 1",IFERROR(INDEX('Daily Workforce'!$M$6:$M$205,MATCH('Daily Schedule'!$F$42,'Daily Workforce'!$B$6:$B$205,0)),"N")="Y",COUNTIF($HJ$1:HJ5,'Daily Schedule'!$F$42)=0),IFERROR(INDEX('Daily Workforce'!$V$6:$V$205,MATCH('Daily Schedule'!$F$42,'Daily Workforce'!$B$6:$B$205,0)),0)*1000+42,999999999)</f>
        <v>42</v>
      </c>
      <c r="IW6" s="1" t="n">
        <f aca="false">IF(AND('Daily Schedule'!$F$43&lt;&gt;"",'Daily Schedule'!$H$43="5:45 AM",'Daily Schedule'!$D$43&lt;&gt;"Tier 1",IFERROR(INDEX('Daily Workforce'!$M$6:$M$205,MATCH('Daily Schedule'!$F$43,'Daily Workforce'!$B$6:$B$205,0)),"N")="Y",COUNTIF($HJ$1:HJ5,'Daily Schedule'!$F$43)=0),IFERROR(INDEX('Daily Workforce'!$V$6:$V$205,MATCH('Daily Schedule'!$F$43,'Daily Workforce'!$B$6:$B$205,0)),0)*1000+43,999999999)</f>
        <v>43</v>
      </c>
      <c r="IX6" s="1" t="n">
        <f aca="false">IF(AND('Daily Schedule'!$F$44&lt;&gt;"",'Daily Schedule'!$H$44="5:45 AM",'Daily Schedule'!$D$44&lt;&gt;"Tier 1",IFERROR(INDEX('Daily Workforce'!$M$6:$M$205,MATCH('Daily Schedule'!$F$44,'Daily Workforce'!$B$6:$B$205,0)),"N")="Y",COUNTIF($HJ$1:HJ5,'Daily Schedule'!$F$44)=0),IFERROR(INDEX('Daily Workforce'!$V$6:$V$205,MATCH('Daily Schedule'!$F$44,'Daily Workforce'!$B$6:$B$205,0)),0)*1000+44,999999999)</f>
        <v>44</v>
      </c>
      <c r="IY6" s="1" t="n">
        <f aca="false">IF(AND('Daily Schedule'!$F$45&lt;&gt;"",'Daily Schedule'!$H$45="5:45 AM",'Daily Schedule'!$D$45&lt;&gt;"Tier 1",IFERROR(INDEX('Daily Workforce'!$M$6:$M$205,MATCH('Daily Schedule'!$F$45,'Daily Workforce'!$B$6:$B$205,0)),"N")="Y",COUNTIF($HJ$1:HJ5,'Daily Schedule'!$F$45)=0),IFERROR(INDEX('Daily Workforce'!$V$6:$V$205,MATCH('Daily Schedule'!$F$45,'Daily Workforce'!$B$6:$B$205,0)),0)*1000+45,999999999)</f>
        <v>45</v>
      </c>
      <c r="IZ6" s="1" t="n">
        <f aca="false">IF(AND('Daily Schedule'!$F$46&lt;&gt;"",'Daily Schedule'!$H$46="5:45 AM",'Daily Schedule'!$D$46&lt;&gt;"Tier 1",IFERROR(INDEX('Daily Workforce'!$M$6:$M$205,MATCH('Daily Schedule'!$F$46,'Daily Workforce'!$B$6:$B$205,0)),"N")="Y",COUNTIF($HJ$1:HJ5,'Daily Schedule'!$F$46)=0),IFERROR(INDEX('Daily Workforce'!$V$6:$V$205,MATCH('Daily Schedule'!$F$46,'Daily Workforce'!$B$6:$B$205,0)),0)*1000+46,999999999)</f>
        <v>46</v>
      </c>
      <c r="JA6" s="1" t="n">
        <f aca="false">IF(AND('Daily Schedule'!$F$47&lt;&gt;"",'Daily Schedule'!$H$47="5:45 AM",'Daily Schedule'!$D$47&lt;&gt;"Tier 1",IFERROR(INDEX('Daily Workforce'!$M$6:$M$205,MATCH('Daily Schedule'!$F$47,'Daily Workforce'!$B$6:$B$205,0)),"N")="Y",COUNTIF($HJ$1:HJ5,'Daily Schedule'!$F$47)=0),IFERROR(INDEX('Daily Workforce'!$V$6:$V$205,MATCH('Daily Schedule'!$F$47,'Daily Workforce'!$B$6:$B$205,0)),0)*1000+47,999999999)</f>
        <v>47</v>
      </c>
      <c r="JB6" s="1" t="n">
        <f aca="false">IF(AND('Daily Schedule'!$F$48&lt;&gt;"",'Daily Schedule'!$H$48="5:45 AM",'Daily Schedule'!$D$48&lt;&gt;"Tier 1",IFERROR(INDEX('Daily Workforce'!$M$6:$M$205,MATCH('Daily Schedule'!$F$48,'Daily Workforce'!$B$6:$B$205,0)),"N")="Y",COUNTIF($HJ$1:HJ5,'Daily Schedule'!$F$48)=0),IFERROR(INDEX('Daily Workforce'!$V$6:$V$205,MATCH('Daily Schedule'!$F$48,'Daily Workforce'!$B$6:$B$205,0)),0)*1000+48,999999999)</f>
        <v>48</v>
      </c>
      <c r="JC6" s="1" t="n">
        <f aca="false">IF(AND('Daily Schedule'!$F$49&lt;&gt;"",'Daily Schedule'!$H$49="5:45 AM",'Daily Schedule'!$D$49&lt;&gt;"Tier 1",IFERROR(INDEX('Daily Workforce'!$M$6:$M$205,MATCH('Daily Schedule'!$F$49,'Daily Workforce'!$B$6:$B$205,0)),"N")="Y",COUNTIF($HJ$1:HJ5,'Daily Schedule'!$F$49)=0),IFERROR(INDEX('Daily Workforce'!$V$6:$V$205,MATCH('Daily Schedule'!$F$49,'Daily Workforce'!$B$6:$B$205,0)),0)*1000+49,999999999)</f>
        <v>49</v>
      </c>
      <c r="JD6" s="1" t="n">
        <f aca="false">IF(AND('Daily Schedule'!$F$50&lt;&gt;"",'Daily Schedule'!$H$50="5:45 AM",'Daily Schedule'!$D$50&lt;&gt;"Tier 1",IFERROR(INDEX('Daily Workforce'!$M$6:$M$205,MATCH('Daily Schedule'!$F$50,'Daily Workforce'!$B$6:$B$205,0)),"N")="Y",COUNTIF($HJ$1:HJ5,'Daily Schedule'!$F$50)=0),IFERROR(INDEX('Daily Workforce'!$V$6:$V$205,MATCH('Daily Schedule'!$F$50,'Daily Workforce'!$B$6:$B$205,0)),0)*1000+50,999999999)</f>
        <v>50</v>
      </c>
      <c r="JE6" s="1" t="n">
        <f aca="false">IF(AND('Daily Schedule'!$F$51&lt;&gt;"",'Daily Schedule'!$H$51="5:45 AM",'Daily Schedule'!$D$51&lt;&gt;"Tier 1",IFERROR(INDEX('Daily Workforce'!$M$6:$M$205,MATCH('Daily Schedule'!$F$51,'Daily Workforce'!$B$6:$B$205,0)),"N")="Y",COUNTIF($HJ$1:HJ5,'Daily Schedule'!$F$51)=0),IFERROR(INDEX('Daily Workforce'!$V$6:$V$205,MATCH('Daily Schedule'!$F$51,'Daily Workforce'!$B$6:$B$205,0)),0)*1000+51,999999999)</f>
        <v>51</v>
      </c>
      <c r="JF6" s="1" t="n">
        <f aca="false">IF(AND('Daily Schedule'!$F$52&lt;&gt;"",'Daily Schedule'!$H$52="5:45 AM",'Daily Schedule'!$D$52&lt;&gt;"Tier 1",IFERROR(INDEX('Daily Workforce'!$M$6:$M$205,MATCH('Daily Schedule'!$F$52,'Daily Workforce'!$B$6:$B$205,0)),"N")="Y",COUNTIF($HJ$1:HJ5,'Daily Schedule'!$F$52)=0),IFERROR(INDEX('Daily Workforce'!$V$6:$V$205,MATCH('Daily Schedule'!$F$52,'Daily Workforce'!$B$6:$B$205,0)),0)*1000+52,999999999)</f>
        <v>52</v>
      </c>
      <c r="JG6" s="1" t="n">
        <f aca="false">IF(AND('Daily Schedule'!$F$53&lt;&gt;"",'Daily Schedule'!$H$53="5:45 AM",'Daily Schedule'!$D$53&lt;&gt;"Tier 1",IFERROR(INDEX('Daily Workforce'!$M$6:$M$205,MATCH('Daily Schedule'!$F$53,'Daily Workforce'!$B$6:$B$205,0)),"N")="Y",COUNTIF($HJ$1:HJ5,'Daily Schedule'!$F$53)=0),IFERROR(INDEX('Daily Workforce'!$V$6:$V$205,MATCH('Daily Schedule'!$F$53,'Daily Workforce'!$B$6:$B$205,0)),0)*1000+53,999999999)</f>
        <v>53</v>
      </c>
      <c r="JH6" s="1" t="n">
        <f aca="false">IF(AND('Daily Schedule'!$F$54&lt;&gt;"",'Daily Schedule'!$H$54="5:45 AM",'Daily Schedule'!$D$54&lt;&gt;"Tier 1",IFERROR(INDEX('Daily Workforce'!$M$6:$M$205,MATCH('Daily Schedule'!$F$54,'Daily Workforce'!$B$6:$B$205,0)),"N")="Y",COUNTIF($HJ$1:HJ5,'Daily Schedule'!$F$54)=0),IFERROR(INDEX('Daily Workforce'!$V$6:$V$205,MATCH('Daily Schedule'!$F$54,'Daily Workforce'!$B$6:$B$205,0)),0)*1000+54,999999999)</f>
        <v>54</v>
      </c>
      <c r="JI6" s="1" t="n">
        <f aca="false">IF(AND('Daily Schedule'!$F$55&lt;&gt;"",'Daily Schedule'!$H$55="5:45 AM",'Daily Schedule'!$D$55&lt;&gt;"Tier 1",IFERROR(INDEX('Daily Workforce'!$M$6:$M$205,MATCH('Daily Schedule'!$F$55,'Daily Workforce'!$B$6:$B$205,0)),"N")="Y",COUNTIF($HJ$1:HJ5,'Daily Schedule'!$F$55)=0),IFERROR(INDEX('Daily Workforce'!$V$6:$V$205,MATCH('Daily Schedule'!$F$55,'Daily Workforce'!$B$6:$B$205,0)),0)*1000+55,999999999)</f>
        <v>55</v>
      </c>
      <c r="JJ6" s="1" t="n">
        <f aca="false">IF(AND('Daily Schedule'!$F$56&lt;&gt;"",'Daily Schedule'!$H$56="5:45 AM",'Daily Schedule'!$D$56&lt;&gt;"Tier 1",IFERROR(INDEX('Daily Workforce'!$M$6:$M$205,MATCH('Daily Schedule'!$F$56,'Daily Workforce'!$B$6:$B$205,0)),"N")="Y",COUNTIF($HJ$1:HJ5,'Daily Schedule'!$F$56)=0),IFERROR(INDEX('Daily Workforce'!$V$6:$V$205,MATCH('Daily Schedule'!$F$56,'Daily Workforce'!$B$6:$B$205,0)),0)*1000+56,999999999)</f>
        <v>56</v>
      </c>
      <c r="JK6" s="1" t="n">
        <f aca="false">IF(AND('Daily Schedule'!$F$57&lt;&gt;"",'Daily Schedule'!$H$57="5:45 AM",'Daily Schedule'!$D$57&lt;&gt;"Tier 1",IFERROR(INDEX('Daily Workforce'!$M$6:$M$205,MATCH('Daily Schedule'!$F$57,'Daily Workforce'!$B$6:$B$205,0)),"N")="Y",COUNTIF($HJ$1:HJ5,'Daily Schedule'!$F$57)=0),IFERROR(INDEX('Daily Workforce'!$V$6:$V$205,MATCH('Daily Schedule'!$F$57,'Daily Workforce'!$B$6:$B$205,0)),0)*1000+57,999999999)</f>
        <v>57</v>
      </c>
      <c r="JL6" s="1" t="n">
        <v>50</v>
      </c>
      <c r="JM6" s="1" t="str">
        <f aca="false">$HJ6</f>
        <v>EMP-0040</v>
      </c>
      <c r="JN6" s="1" t="str">
        <f aca="false">IF($JM6="","",IFERROR(INDEX('Daily Schedule'!$N$6:$N$57,MATCH($JM6,'Daily Schedule'!$F$6:$F$57,0)),""))</f>
        <v>9:00 AM</v>
      </c>
      <c r="JO6" s="1" t="str">
        <f aca="false">IF(MIN(JS6:LR6)&gt;=999999999,"",IFERROR(INDEX('Daily Schedule'!$F$6:$F$57,MATCH(MIN(JS6:LR6),JS6:LR6,0)),""))</f>
        <v>EMP-0086</v>
      </c>
      <c r="JP6" s="1" t="n">
        <f aca="false">IF($JO6="","",IFERROR(INDEX('Daily Schedule'!$A$6:$A$57,MATCH($JO6,'Daily Schedule'!$F$6:$F$57,0)),""))</f>
        <v>10</v>
      </c>
      <c r="JQ6" s="1" t="str">
        <f aca="false">IF($JO6="","",IFERROR(INDEX('Daily Schedule'!$N$6:$N$57,MATCH($JO6,'Daily Schedule'!$F$6:$F$57,0)),""))</f>
        <v>10:00 AM</v>
      </c>
      <c r="JR6" s="1" t="str">
        <f aca="false">IF($JM6="","CORE GAP",IF($JO6="","RELIEF GAP",IF($JN6=$JQ6,"LUNCH CONFLICT","COVERED")))</f>
        <v>COVERED</v>
      </c>
      <c r="JS6" s="1" t="n">
        <f aca="false">IF(AND($JM6&lt;&gt;"",'Daily Schedule'!$F$6&lt;&gt;"",'Daily Schedule'!$H$6="5:45 AM",'Daily Schedule'!$D$6&lt;&gt;"Tier 1",'Daily Schedule'!$N$6&lt;&gt;$JN6,IFERROR(INDEX('Daily Workforce'!$M$6:$M$205,MATCH('Daily Schedule'!$F$6,'Daily Workforce'!$B$6:$B$205,0)),"N")="Y",COUNTIF($HJ$2:$HJ$8,'Daily Schedule'!$F$6)=0,COUNTIF($JO$1:JO5,'Daily Schedule'!$F$6)=0),IF('Daily Schedule'!$D$6="Tier 4",0,IF('Daily Schedule'!$D$6="Tier 3",1,2))*10000000+IFERROR(INDEX('Daily Workforce'!$V$6:$V$205,MATCH('Daily Schedule'!$F$6,'Daily Workforce'!$B$6:$B$205,0)),0)*1000+6,999999999)</f>
        <v>999999999</v>
      </c>
      <c r="JT6" s="1" t="n">
        <f aca="false">IF(AND($JM6&lt;&gt;"",'Daily Schedule'!$F$7&lt;&gt;"",'Daily Schedule'!$H$7="5:45 AM",'Daily Schedule'!$D$7&lt;&gt;"Tier 1",'Daily Schedule'!$N$7&lt;&gt;$JN6,IFERROR(INDEX('Daily Workforce'!$M$6:$M$205,MATCH('Daily Schedule'!$F$7,'Daily Workforce'!$B$6:$B$205,0)),"N")="Y",COUNTIF($HJ$2:$HJ$8,'Daily Schedule'!$F$7)=0,COUNTIF($JO$1:JO5,'Daily Schedule'!$F$7)=0),IF('Daily Schedule'!$D$7="Tier 4",0,IF('Daily Schedule'!$D$7="Tier 3",1,2))*10000000+IFERROR(INDEX('Daily Workforce'!$V$6:$V$205,MATCH('Daily Schedule'!$F$7,'Daily Workforce'!$B$6:$B$205,0)),0)*1000+7,999999999)</f>
        <v>999999999</v>
      </c>
      <c r="JU6" s="1" t="n">
        <f aca="false">IF(AND($JM6&lt;&gt;"",'Daily Schedule'!$F$8&lt;&gt;"",'Daily Schedule'!$H$8="5:45 AM",'Daily Schedule'!$D$8&lt;&gt;"Tier 1",'Daily Schedule'!$N$8&lt;&gt;$JN6,IFERROR(INDEX('Daily Workforce'!$M$6:$M$205,MATCH('Daily Schedule'!$F$8,'Daily Workforce'!$B$6:$B$205,0)),"N")="Y",COUNTIF($HJ$2:$HJ$8,'Daily Schedule'!$F$8)=0,COUNTIF($JO$1:JO5,'Daily Schedule'!$F$8)=0),IF('Daily Schedule'!$D$8="Tier 4",0,IF('Daily Schedule'!$D$8="Tier 3",1,2))*10000000+IFERROR(INDEX('Daily Workforce'!$V$6:$V$205,MATCH('Daily Schedule'!$F$8,'Daily Workforce'!$B$6:$B$205,0)),0)*1000+8,999999999)</f>
        <v>999999999</v>
      </c>
      <c r="JV6" s="1" t="n">
        <f aca="false">IF(AND($JM6&lt;&gt;"",'Daily Schedule'!$F$9&lt;&gt;"",'Daily Schedule'!$H$9="5:45 AM",'Daily Schedule'!$D$9&lt;&gt;"Tier 1",'Daily Schedule'!$N$9&lt;&gt;$JN6,IFERROR(INDEX('Daily Workforce'!$M$6:$M$205,MATCH('Daily Schedule'!$F$9,'Daily Workforce'!$B$6:$B$205,0)),"N")="Y",COUNTIF($HJ$2:$HJ$8,'Daily Schedule'!$F$9)=0,COUNTIF($JO$1:JO5,'Daily Schedule'!$F$9)=0),IF('Daily Schedule'!$D$9="Tier 4",0,IF('Daily Schedule'!$D$9="Tier 3",1,2))*10000000+IFERROR(INDEX('Daily Workforce'!$V$6:$V$205,MATCH('Daily Schedule'!$F$9,'Daily Workforce'!$B$6:$B$205,0)),0)*1000+9,999999999)</f>
        <v>999999999</v>
      </c>
      <c r="JW6" s="1" t="n">
        <f aca="false">IF(AND($JM6&lt;&gt;"",'Daily Schedule'!$F$10&lt;&gt;"",'Daily Schedule'!$H$10="5:45 AM",'Daily Schedule'!$D$10&lt;&gt;"Tier 1",'Daily Schedule'!$N$10&lt;&gt;$JN6,IFERROR(INDEX('Daily Workforce'!$M$6:$M$205,MATCH('Daily Schedule'!$F$10,'Daily Workforce'!$B$6:$B$205,0)),"N")="Y",COUNTIF($HJ$2:$HJ$8,'Daily Schedule'!$F$10)=0,COUNTIF($JO$1:JO5,'Daily Schedule'!$F$10)=0),IF('Daily Schedule'!$D$10="Tier 4",0,IF('Daily Schedule'!$D$10="Tier 3",1,2))*10000000+IFERROR(INDEX('Daily Workforce'!$V$6:$V$205,MATCH('Daily Schedule'!$F$10,'Daily Workforce'!$B$6:$B$205,0)),0)*1000+10,999999999)</f>
        <v>999999999</v>
      </c>
      <c r="JX6" s="1" t="n">
        <f aca="false">IF(AND($JM6&lt;&gt;"",'Daily Schedule'!$F$11&lt;&gt;"",'Daily Schedule'!$H$11="5:45 AM",'Daily Schedule'!$D$11&lt;&gt;"Tier 1",'Daily Schedule'!$N$11&lt;&gt;$JN6,IFERROR(INDEX('Daily Workforce'!$M$6:$M$205,MATCH('Daily Schedule'!$F$11,'Daily Workforce'!$B$6:$B$205,0)),"N")="Y",COUNTIF($HJ$2:$HJ$8,'Daily Schedule'!$F$11)=0,COUNTIF($JO$1:JO5,'Daily Schedule'!$F$11)=0),IF('Daily Schedule'!$D$11="Tier 4",0,IF('Daily Schedule'!$D$11="Tier 3",1,2))*10000000+IFERROR(INDEX('Daily Workforce'!$V$6:$V$205,MATCH('Daily Schedule'!$F$11,'Daily Workforce'!$B$6:$B$205,0)),0)*1000+11,999999999)</f>
        <v>999999999</v>
      </c>
      <c r="JY6" s="1" t="n">
        <f aca="false">IF(AND($JM6&lt;&gt;"",'Daily Schedule'!$F$12&lt;&gt;"",'Daily Schedule'!$H$12="5:45 AM",'Daily Schedule'!$D$12&lt;&gt;"Tier 1",'Daily Schedule'!$N$12&lt;&gt;$JN6,IFERROR(INDEX('Daily Workforce'!$M$6:$M$205,MATCH('Daily Schedule'!$F$12,'Daily Workforce'!$B$6:$B$205,0)),"N")="Y",COUNTIF($HJ$2:$HJ$8,'Daily Schedule'!$F$12)=0,COUNTIF($JO$1:JO5,'Daily Schedule'!$F$12)=0),IF('Daily Schedule'!$D$12="Tier 4",0,IF('Daily Schedule'!$D$12="Tier 3",1,2))*10000000+IFERROR(INDEX('Daily Workforce'!$V$6:$V$205,MATCH('Daily Schedule'!$F$12,'Daily Workforce'!$B$6:$B$205,0)),0)*1000+12,999999999)</f>
        <v>999999999</v>
      </c>
      <c r="JZ6" s="1" t="n">
        <f aca="false">IF(AND($JM6&lt;&gt;"",'Daily Schedule'!$F$13&lt;&gt;"",'Daily Schedule'!$H$13="5:45 AM",'Daily Schedule'!$D$13&lt;&gt;"Tier 1",'Daily Schedule'!$N$13&lt;&gt;$JN6,IFERROR(INDEX('Daily Workforce'!$M$6:$M$205,MATCH('Daily Schedule'!$F$13,'Daily Workforce'!$B$6:$B$205,0)),"N")="Y",COUNTIF($HJ$2:$HJ$8,'Daily Schedule'!$F$13)=0,COUNTIF($JO$1:JO5,'Daily Schedule'!$F$13)=0),IF('Daily Schedule'!$D$13="Tier 4",0,IF('Daily Schedule'!$D$13="Tier 3",1,2))*10000000+IFERROR(INDEX('Daily Workforce'!$V$6:$V$205,MATCH('Daily Schedule'!$F$13,'Daily Workforce'!$B$6:$B$205,0)),0)*1000+13,999999999)</f>
        <v>999999999</v>
      </c>
      <c r="KA6" s="1" t="n">
        <f aca="false">IF(AND($JM6&lt;&gt;"",'Daily Schedule'!$F$14&lt;&gt;"",'Daily Schedule'!$H$14="5:45 AM",'Daily Schedule'!$D$14&lt;&gt;"Tier 1",'Daily Schedule'!$N$14&lt;&gt;$JN6,IFERROR(INDEX('Daily Workforce'!$M$6:$M$205,MATCH('Daily Schedule'!$F$14,'Daily Workforce'!$B$6:$B$205,0)),"N")="Y",COUNTIF($HJ$2:$HJ$8,'Daily Schedule'!$F$14)=0,COUNTIF($JO$1:JO5,'Daily Schedule'!$F$14)=0),IF('Daily Schedule'!$D$14="Tier 4",0,IF('Daily Schedule'!$D$14="Tier 3",1,2))*10000000+IFERROR(INDEX('Daily Workforce'!$V$6:$V$205,MATCH('Daily Schedule'!$F$14,'Daily Workforce'!$B$6:$B$205,0)),0)*1000+14,999999999)</f>
        <v>999999999</v>
      </c>
      <c r="KB6" s="1" t="n">
        <f aca="false">IF(AND($JM6&lt;&gt;"",'Daily Schedule'!$F$15&lt;&gt;"",'Daily Schedule'!$H$15="5:45 AM",'Daily Schedule'!$D$15&lt;&gt;"Tier 1",'Daily Schedule'!$N$15&lt;&gt;$JN6,IFERROR(INDEX('Daily Workforce'!$M$6:$M$205,MATCH('Daily Schedule'!$F$15,'Daily Workforce'!$B$6:$B$205,0)),"N")="Y",COUNTIF($HJ$2:$HJ$8,'Daily Schedule'!$F$15)=0,COUNTIF($JO$1:JO5,'Daily Schedule'!$F$15)=0),IF('Daily Schedule'!$D$15="Tier 4",0,IF('Daily Schedule'!$D$15="Tier 3",1,2))*10000000+IFERROR(INDEX('Daily Workforce'!$V$6:$V$205,MATCH('Daily Schedule'!$F$15,'Daily Workforce'!$B$6:$B$205,0)),0)*1000+15,999999999)</f>
        <v>999999999</v>
      </c>
      <c r="KC6" s="1" t="n">
        <f aca="false">IF(AND($JM6&lt;&gt;"",'Daily Schedule'!$F$16&lt;&gt;"",'Daily Schedule'!$H$16="5:45 AM",'Daily Schedule'!$D$16&lt;&gt;"Tier 1",'Daily Schedule'!$N$16&lt;&gt;$JN6,IFERROR(INDEX('Daily Workforce'!$M$6:$M$205,MATCH('Daily Schedule'!$F$16,'Daily Workforce'!$B$6:$B$205,0)),"N")="Y",COUNTIF($HJ$2:$HJ$8,'Daily Schedule'!$F$16)=0,COUNTIF($JO$1:JO5,'Daily Schedule'!$F$16)=0),IF('Daily Schedule'!$D$16="Tier 4",0,IF('Daily Schedule'!$D$16="Tier 3",1,2))*10000000+IFERROR(INDEX('Daily Workforce'!$V$6:$V$205,MATCH('Daily Schedule'!$F$16,'Daily Workforce'!$B$6:$B$205,0)),0)*1000+16,999999999)</f>
        <v>999999999</v>
      </c>
      <c r="KD6" s="1" t="n">
        <f aca="false">IF(AND($JM6&lt;&gt;"",'Daily Schedule'!$F$17&lt;&gt;"",'Daily Schedule'!$H$17="5:45 AM",'Daily Schedule'!$D$17&lt;&gt;"Tier 1",'Daily Schedule'!$N$17&lt;&gt;$JN6,IFERROR(INDEX('Daily Workforce'!$M$6:$M$205,MATCH('Daily Schedule'!$F$17,'Daily Workforce'!$B$6:$B$205,0)),"N")="Y",COUNTIF($HJ$2:$HJ$8,'Daily Schedule'!$F$17)=0,COUNTIF($JO$1:JO5,'Daily Schedule'!$F$17)=0),IF('Daily Schedule'!$D$17="Tier 4",0,IF('Daily Schedule'!$D$17="Tier 3",1,2))*10000000+IFERROR(INDEX('Daily Workforce'!$V$6:$V$205,MATCH('Daily Schedule'!$F$17,'Daily Workforce'!$B$6:$B$205,0)),0)*1000+17,999999999)</f>
        <v>999999999</v>
      </c>
      <c r="KE6" s="1" t="n">
        <f aca="false">IF(AND($JM6&lt;&gt;"",'Daily Schedule'!$F$18&lt;&gt;"",'Daily Schedule'!$H$18="5:45 AM",'Daily Schedule'!$D$18&lt;&gt;"Tier 1",'Daily Schedule'!$N$18&lt;&gt;$JN6,IFERROR(INDEX('Daily Workforce'!$M$6:$M$205,MATCH('Daily Schedule'!$F$18,'Daily Workforce'!$B$6:$B$205,0)),"N")="Y",COUNTIF($HJ$2:$HJ$8,'Daily Schedule'!$F$18)=0,COUNTIF($JO$1:JO5,'Daily Schedule'!$F$18)=0),IF('Daily Schedule'!$D$18="Tier 4",0,IF('Daily Schedule'!$D$18="Tier 3",1,2))*10000000+IFERROR(INDEX('Daily Workforce'!$V$6:$V$205,MATCH('Daily Schedule'!$F$18,'Daily Workforce'!$B$6:$B$205,0)),0)*1000+18,999999999)</f>
        <v>999999999</v>
      </c>
      <c r="KF6" s="1" t="n">
        <f aca="false">IF(AND($JM6&lt;&gt;"",'Daily Schedule'!$F$19&lt;&gt;"",'Daily Schedule'!$H$19="5:45 AM",'Daily Schedule'!$D$19&lt;&gt;"Tier 1",'Daily Schedule'!$N$19&lt;&gt;$JN6,IFERROR(INDEX('Daily Workforce'!$M$6:$M$205,MATCH('Daily Schedule'!$F$19,'Daily Workforce'!$B$6:$B$205,0)),"N")="Y",COUNTIF($HJ$2:$HJ$8,'Daily Schedule'!$F$19)=0,COUNTIF($JO$1:JO5,'Daily Schedule'!$F$19)=0),IF('Daily Schedule'!$D$19="Tier 4",0,IF('Daily Schedule'!$D$19="Tier 3",1,2))*10000000+IFERROR(INDEX('Daily Workforce'!$V$6:$V$205,MATCH('Daily Schedule'!$F$19,'Daily Workforce'!$B$6:$B$205,0)),0)*1000+19,999999999)</f>
        <v>999999999</v>
      </c>
      <c r="KG6" s="1" t="n">
        <f aca="false">IF(AND($JM6&lt;&gt;"",'Daily Schedule'!$F$20&lt;&gt;"",'Daily Schedule'!$H$20="5:45 AM",'Daily Schedule'!$D$20&lt;&gt;"Tier 1",'Daily Schedule'!$N$20&lt;&gt;$JN6,IFERROR(INDEX('Daily Workforce'!$M$6:$M$205,MATCH('Daily Schedule'!$F$20,'Daily Workforce'!$B$6:$B$205,0)),"N")="Y",COUNTIF($HJ$2:$HJ$8,'Daily Schedule'!$F$20)=0,COUNTIF($JO$1:JO5,'Daily Schedule'!$F$20)=0),IF('Daily Schedule'!$D$20="Tier 4",0,IF('Daily Schedule'!$D$20="Tier 3",1,2))*10000000+IFERROR(INDEX('Daily Workforce'!$V$6:$V$205,MATCH('Daily Schedule'!$F$20,'Daily Workforce'!$B$6:$B$205,0)),0)*1000+20,999999999)</f>
        <v>999999999</v>
      </c>
      <c r="KH6" s="1" t="n">
        <f aca="false">IF(AND($JM6&lt;&gt;"",'Daily Schedule'!$F$21&lt;&gt;"",'Daily Schedule'!$H$21="5:45 AM",'Daily Schedule'!$D$21&lt;&gt;"Tier 1",'Daily Schedule'!$N$21&lt;&gt;$JN6,IFERROR(INDEX('Daily Workforce'!$M$6:$M$205,MATCH('Daily Schedule'!$F$21,'Daily Workforce'!$B$6:$B$205,0)),"N")="Y",COUNTIF($HJ$2:$HJ$8,'Daily Schedule'!$F$21)=0,COUNTIF($JO$1:JO5,'Daily Schedule'!$F$21)=0),IF('Daily Schedule'!$D$21="Tier 4",0,IF('Daily Schedule'!$D$21="Tier 3",1,2))*10000000+IFERROR(INDEX('Daily Workforce'!$V$6:$V$205,MATCH('Daily Schedule'!$F$21,'Daily Workforce'!$B$6:$B$205,0)),0)*1000+21,999999999)</f>
        <v>999999999</v>
      </c>
      <c r="KI6" s="1" t="n">
        <f aca="false">IF(AND($JM6&lt;&gt;"",'Daily Schedule'!$F$22&lt;&gt;"",'Daily Schedule'!$H$22="5:45 AM",'Daily Schedule'!$D$22&lt;&gt;"Tier 1",'Daily Schedule'!$N$22&lt;&gt;$JN6,IFERROR(INDEX('Daily Workforce'!$M$6:$M$205,MATCH('Daily Schedule'!$F$22,'Daily Workforce'!$B$6:$B$205,0)),"N")="Y",COUNTIF($HJ$2:$HJ$8,'Daily Schedule'!$F$22)=0,COUNTIF($JO$1:JO5,'Daily Schedule'!$F$22)=0),IF('Daily Schedule'!$D$22="Tier 4",0,IF('Daily Schedule'!$D$22="Tier 3",1,2))*10000000+IFERROR(INDEX('Daily Workforce'!$V$6:$V$205,MATCH('Daily Schedule'!$F$22,'Daily Workforce'!$B$6:$B$205,0)),0)*1000+22,999999999)</f>
        <v>999999999</v>
      </c>
      <c r="KJ6" s="1" t="n">
        <f aca="false">IF(AND($JM6&lt;&gt;"",'Daily Schedule'!$F$23&lt;&gt;"",'Daily Schedule'!$H$23="5:45 AM",'Daily Schedule'!$D$23&lt;&gt;"Tier 1",'Daily Schedule'!$N$23&lt;&gt;$JN6,IFERROR(INDEX('Daily Workforce'!$M$6:$M$205,MATCH('Daily Schedule'!$F$23,'Daily Workforce'!$B$6:$B$205,0)),"N")="Y",COUNTIF($HJ$2:$HJ$8,'Daily Schedule'!$F$23)=0,COUNTIF($JO$1:JO5,'Daily Schedule'!$F$23)=0),IF('Daily Schedule'!$D$23="Tier 4",0,IF('Daily Schedule'!$D$23="Tier 3",1,2))*10000000+IFERROR(INDEX('Daily Workforce'!$V$6:$V$205,MATCH('Daily Schedule'!$F$23,'Daily Workforce'!$B$6:$B$205,0)),0)*1000+23,999999999)</f>
        <v>999999999</v>
      </c>
      <c r="KK6" s="1" t="n">
        <f aca="false">IF(AND($JM6&lt;&gt;"",'Daily Schedule'!$F$24&lt;&gt;"",'Daily Schedule'!$H$24="5:45 AM",'Daily Schedule'!$D$24&lt;&gt;"Tier 1",'Daily Schedule'!$N$24&lt;&gt;$JN6,IFERROR(INDEX('Daily Workforce'!$M$6:$M$205,MATCH('Daily Schedule'!$F$24,'Daily Workforce'!$B$6:$B$205,0)),"N")="Y",COUNTIF($HJ$2:$HJ$8,'Daily Schedule'!$F$24)=0,COUNTIF($JO$1:JO5,'Daily Schedule'!$F$24)=0),IF('Daily Schedule'!$D$24="Tier 4",0,IF('Daily Schedule'!$D$24="Tier 3",1,2))*10000000+IFERROR(INDEX('Daily Workforce'!$V$6:$V$205,MATCH('Daily Schedule'!$F$24,'Daily Workforce'!$B$6:$B$205,0)),0)*1000+24,999999999)</f>
        <v>999999999</v>
      </c>
      <c r="KL6" s="1" t="n">
        <f aca="false">IF(AND($JM6&lt;&gt;"",'Daily Schedule'!$F$25&lt;&gt;"",'Daily Schedule'!$H$25="5:45 AM",'Daily Schedule'!$D$25&lt;&gt;"Tier 1",'Daily Schedule'!$N$25&lt;&gt;$JN6,IFERROR(INDEX('Daily Workforce'!$M$6:$M$205,MATCH('Daily Schedule'!$F$25,'Daily Workforce'!$B$6:$B$205,0)),"N")="Y",COUNTIF($HJ$2:$HJ$8,'Daily Schedule'!$F$25)=0,COUNTIF($JO$1:JO5,'Daily Schedule'!$F$25)=0),IF('Daily Schedule'!$D$25="Tier 4",0,IF('Daily Schedule'!$D$25="Tier 3",1,2))*10000000+IFERROR(INDEX('Daily Workforce'!$V$6:$V$205,MATCH('Daily Schedule'!$F$25,'Daily Workforce'!$B$6:$B$205,0)),0)*1000+25,999999999)</f>
        <v>999999999</v>
      </c>
      <c r="KM6" s="1" t="n">
        <f aca="false">IF(AND($JM6&lt;&gt;"",'Daily Schedule'!$F$26&lt;&gt;"",'Daily Schedule'!$H$26="5:45 AM",'Daily Schedule'!$D$26&lt;&gt;"Tier 1",'Daily Schedule'!$N$26&lt;&gt;$JN6,IFERROR(INDEX('Daily Workforce'!$M$6:$M$205,MATCH('Daily Schedule'!$F$26,'Daily Workforce'!$B$6:$B$205,0)),"N")="Y",COUNTIF($HJ$2:$HJ$8,'Daily Schedule'!$F$26)=0,COUNTIF($JO$1:JO5,'Daily Schedule'!$F$26)=0),IF('Daily Schedule'!$D$26="Tier 4",0,IF('Daily Schedule'!$D$26="Tier 3",1,2))*10000000+IFERROR(INDEX('Daily Workforce'!$V$6:$V$205,MATCH('Daily Schedule'!$F$26,'Daily Workforce'!$B$6:$B$205,0)),0)*1000+26,999999999)</f>
        <v>999999999</v>
      </c>
      <c r="KN6" s="1" t="n">
        <f aca="false">IF(AND($JM6&lt;&gt;"",'Daily Schedule'!$F$27&lt;&gt;"",'Daily Schedule'!$H$27="5:45 AM",'Daily Schedule'!$D$27&lt;&gt;"Tier 1",'Daily Schedule'!$N$27&lt;&gt;$JN6,IFERROR(INDEX('Daily Workforce'!$M$6:$M$205,MATCH('Daily Schedule'!$F$27,'Daily Workforce'!$B$6:$B$205,0)),"N")="Y",COUNTIF($HJ$2:$HJ$8,'Daily Schedule'!$F$27)=0,COUNTIF($JO$1:JO5,'Daily Schedule'!$F$27)=0),IF('Daily Schedule'!$D$27="Tier 4",0,IF('Daily Schedule'!$D$27="Tier 3",1,2))*10000000+IFERROR(INDEX('Daily Workforce'!$V$6:$V$205,MATCH('Daily Schedule'!$F$27,'Daily Workforce'!$B$6:$B$205,0)),0)*1000+27,999999999)</f>
        <v>999999999</v>
      </c>
      <c r="KO6" s="1" t="n">
        <f aca="false">IF(AND($JM6&lt;&gt;"",'Daily Schedule'!$F$28&lt;&gt;"",'Daily Schedule'!$H$28="5:45 AM",'Daily Schedule'!$D$28&lt;&gt;"Tier 1",'Daily Schedule'!$N$28&lt;&gt;$JN6,IFERROR(INDEX('Daily Workforce'!$M$6:$M$205,MATCH('Daily Schedule'!$F$28,'Daily Workforce'!$B$6:$B$205,0)),"N")="Y",COUNTIF($HJ$2:$HJ$8,'Daily Schedule'!$F$28)=0,COUNTIF($JO$1:JO5,'Daily Schedule'!$F$28)=0),IF('Daily Schedule'!$D$28="Tier 4",0,IF('Daily Schedule'!$D$28="Tier 3",1,2))*10000000+IFERROR(INDEX('Daily Workforce'!$V$6:$V$205,MATCH('Daily Schedule'!$F$28,'Daily Workforce'!$B$6:$B$205,0)),0)*1000+28,999999999)</f>
        <v>999999999</v>
      </c>
      <c r="KP6" s="1" t="n">
        <f aca="false">IF(AND($JM6&lt;&gt;"",'Daily Schedule'!$F$29&lt;&gt;"",'Daily Schedule'!$H$29="5:45 AM",'Daily Schedule'!$D$29&lt;&gt;"Tier 1",'Daily Schedule'!$N$29&lt;&gt;$JN6,IFERROR(INDEX('Daily Workforce'!$M$6:$M$205,MATCH('Daily Schedule'!$F$29,'Daily Workforce'!$B$6:$B$205,0)),"N")="Y",COUNTIF($HJ$2:$HJ$8,'Daily Schedule'!$F$29)=0,COUNTIF($JO$1:JO5,'Daily Schedule'!$F$29)=0),IF('Daily Schedule'!$D$29="Tier 4",0,IF('Daily Schedule'!$D$29="Tier 3",1,2))*10000000+IFERROR(INDEX('Daily Workforce'!$V$6:$V$205,MATCH('Daily Schedule'!$F$29,'Daily Workforce'!$B$6:$B$205,0)),0)*1000+29,999999999)</f>
        <v>999999999</v>
      </c>
      <c r="KQ6" s="1" t="n">
        <f aca="false">IF(AND($JM6&lt;&gt;"",'Daily Schedule'!$F$30&lt;&gt;"",'Daily Schedule'!$H$30="5:45 AM",'Daily Schedule'!$D$30&lt;&gt;"Tier 1",'Daily Schedule'!$N$30&lt;&gt;$JN6,IFERROR(INDEX('Daily Workforce'!$M$6:$M$205,MATCH('Daily Schedule'!$F$30,'Daily Workforce'!$B$6:$B$205,0)),"N")="Y",COUNTIF($HJ$2:$HJ$8,'Daily Schedule'!$F$30)=0,COUNTIF($JO$1:JO5,'Daily Schedule'!$F$30)=0),IF('Daily Schedule'!$D$30="Tier 4",0,IF('Daily Schedule'!$D$30="Tier 3",1,2))*10000000+IFERROR(INDEX('Daily Workforce'!$V$6:$V$205,MATCH('Daily Schedule'!$F$30,'Daily Workforce'!$B$6:$B$205,0)),0)*1000+30,999999999)</f>
        <v>999999999</v>
      </c>
      <c r="KR6" s="1" t="n">
        <f aca="false">IF(AND($JM6&lt;&gt;"",'Daily Schedule'!$F$31&lt;&gt;"",'Daily Schedule'!$H$31="5:45 AM",'Daily Schedule'!$D$31&lt;&gt;"Tier 1",'Daily Schedule'!$N$31&lt;&gt;$JN6,IFERROR(INDEX('Daily Workforce'!$M$6:$M$205,MATCH('Daily Schedule'!$F$31,'Daily Workforce'!$B$6:$B$205,0)),"N")="Y",COUNTIF($HJ$2:$HJ$8,'Daily Schedule'!$F$31)=0,COUNTIF($JO$1:JO5,'Daily Schedule'!$F$31)=0),IF('Daily Schedule'!$D$31="Tier 4",0,IF('Daily Schedule'!$D$31="Tier 3",1,2))*10000000+IFERROR(INDEX('Daily Workforce'!$V$6:$V$205,MATCH('Daily Schedule'!$F$31,'Daily Workforce'!$B$6:$B$205,0)),0)*1000+31,999999999)</f>
        <v>999999999</v>
      </c>
      <c r="KS6" s="1" t="n">
        <f aca="false">IF(AND($JM6&lt;&gt;"",'Daily Schedule'!$F$32&lt;&gt;"",'Daily Schedule'!$H$32="5:45 AM",'Daily Schedule'!$D$32&lt;&gt;"Tier 1",'Daily Schedule'!$N$32&lt;&gt;$JN6,IFERROR(INDEX('Daily Workforce'!$M$6:$M$205,MATCH('Daily Schedule'!$F$32,'Daily Workforce'!$B$6:$B$205,0)),"N")="Y",COUNTIF($HJ$2:$HJ$8,'Daily Schedule'!$F$32)=0,COUNTIF($JO$1:JO5,'Daily Schedule'!$F$32)=0),IF('Daily Schedule'!$D$32="Tier 4",0,IF('Daily Schedule'!$D$32="Tier 3",1,2))*10000000+IFERROR(INDEX('Daily Workforce'!$V$6:$V$205,MATCH('Daily Schedule'!$F$32,'Daily Workforce'!$B$6:$B$205,0)),0)*1000+32,999999999)</f>
        <v>999999999</v>
      </c>
      <c r="KT6" s="1" t="n">
        <f aca="false">IF(AND($JM6&lt;&gt;"",'Daily Schedule'!$F$33&lt;&gt;"",'Daily Schedule'!$H$33="5:45 AM",'Daily Schedule'!$D$33&lt;&gt;"Tier 1",'Daily Schedule'!$N$33&lt;&gt;$JN6,IFERROR(INDEX('Daily Workforce'!$M$6:$M$205,MATCH('Daily Schedule'!$F$33,'Daily Workforce'!$B$6:$B$205,0)),"N")="Y",COUNTIF($HJ$2:$HJ$8,'Daily Schedule'!$F$33)=0,COUNTIF($JO$1:JO5,'Daily Schedule'!$F$33)=0),IF('Daily Schedule'!$D$33="Tier 4",0,IF('Daily Schedule'!$D$33="Tier 3",1,2))*10000000+IFERROR(INDEX('Daily Workforce'!$V$6:$V$205,MATCH('Daily Schedule'!$F$33,'Daily Workforce'!$B$6:$B$205,0)),0)*1000+33,999999999)</f>
        <v>999999999</v>
      </c>
      <c r="KU6" s="1" t="n">
        <f aca="false">IF(AND($JM6&lt;&gt;"",'Daily Schedule'!$F$34&lt;&gt;"",'Daily Schedule'!$H$34="5:45 AM",'Daily Schedule'!$D$34&lt;&gt;"Tier 1",'Daily Schedule'!$N$34&lt;&gt;$JN6,IFERROR(INDEX('Daily Workforce'!$M$6:$M$205,MATCH('Daily Schedule'!$F$34,'Daily Workforce'!$B$6:$B$205,0)),"N")="Y",COUNTIF($HJ$2:$HJ$8,'Daily Schedule'!$F$34)=0,COUNTIF($JO$1:JO5,'Daily Schedule'!$F$34)=0),IF('Daily Schedule'!$D$34="Tier 4",0,IF('Daily Schedule'!$D$34="Tier 3",1,2))*10000000+IFERROR(INDEX('Daily Workforce'!$V$6:$V$205,MATCH('Daily Schedule'!$F$34,'Daily Workforce'!$B$6:$B$205,0)),0)*1000+34,999999999)</f>
        <v>999999999</v>
      </c>
      <c r="KV6" s="1" t="n">
        <f aca="false">IF(AND($JM6&lt;&gt;"",'Daily Schedule'!$F$35&lt;&gt;"",'Daily Schedule'!$H$35="5:45 AM",'Daily Schedule'!$D$35&lt;&gt;"Tier 1",'Daily Schedule'!$N$35&lt;&gt;$JN6,IFERROR(INDEX('Daily Workforce'!$M$6:$M$205,MATCH('Daily Schedule'!$F$35,'Daily Workforce'!$B$6:$B$205,0)),"N")="Y",COUNTIF($HJ$2:$HJ$8,'Daily Schedule'!$F$35)=0,COUNTIF($JO$1:JO5,'Daily Schedule'!$F$35)=0),IF('Daily Schedule'!$D$35="Tier 4",0,IF('Daily Schedule'!$D$35="Tier 3",1,2))*10000000+IFERROR(INDEX('Daily Workforce'!$V$6:$V$205,MATCH('Daily Schedule'!$F$35,'Daily Workforce'!$B$6:$B$205,0)),0)*1000+35,999999999)</f>
        <v>999999999</v>
      </c>
      <c r="KW6" s="1" t="n">
        <f aca="false">IF(AND($JM6&lt;&gt;"",'Daily Schedule'!$F$36&lt;&gt;"",'Daily Schedule'!$H$36="5:45 AM",'Daily Schedule'!$D$36&lt;&gt;"Tier 1",'Daily Schedule'!$N$36&lt;&gt;$JN6,IFERROR(INDEX('Daily Workforce'!$M$6:$M$205,MATCH('Daily Schedule'!$F$36,'Daily Workforce'!$B$6:$B$205,0)),"N")="Y",COUNTIF($HJ$2:$HJ$8,'Daily Schedule'!$F$36)=0,COUNTIF($JO$1:JO5,'Daily Schedule'!$F$36)=0),IF('Daily Schedule'!$D$36="Tier 4",0,IF('Daily Schedule'!$D$36="Tier 3",1,2))*10000000+IFERROR(INDEX('Daily Workforce'!$V$6:$V$205,MATCH('Daily Schedule'!$F$36,'Daily Workforce'!$B$6:$B$205,0)),0)*1000+36,999999999)</f>
        <v>999999999</v>
      </c>
      <c r="KX6" s="1" t="n">
        <f aca="false">IF(AND($JM6&lt;&gt;"",'Daily Schedule'!$F$37&lt;&gt;"",'Daily Schedule'!$H$37="5:45 AM",'Daily Schedule'!$D$37&lt;&gt;"Tier 1",'Daily Schedule'!$N$37&lt;&gt;$JN6,IFERROR(INDEX('Daily Workforce'!$M$6:$M$205,MATCH('Daily Schedule'!$F$37,'Daily Workforce'!$B$6:$B$205,0)),"N")="Y",COUNTIF($HJ$2:$HJ$8,'Daily Schedule'!$F$37)=0,COUNTIF($JO$1:JO5,'Daily Schedule'!$F$37)=0),IF('Daily Schedule'!$D$37="Tier 4",0,IF('Daily Schedule'!$D$37="Tier 3",1,2))*10000000+IFERROR(INDEX('Daily Workforce'!$V$6:$V$205,MATCH('Daily Schedule'!$F$37,'Daily Workforce'!$B$6:$B$205,0)),0)*1000+37,999999999)</f>
        <v>999999999</v>
      </c>
      <c r="KY6" s="1" t="n">
        <f aca="false">IF(AND($JM6&lt;&gt;"",'Daily Schedule'!$F$38&lt;&gt;"",'Daily Schedule'!$H$38="5:45 AM",'Daily Schedule'!$D$38&lt;&gt;"Tier 1",'Daily Schedule'!$N$38&lt;&gt;$JN6,IFERROR(INDEX('Daily Workforce'!$M$6:$M$205,MATCH('Daily Schedule'!$F$38,'Daily Workforce'!$B$6:$B$205,0)),"N")="Y",COUNTIF($HJ$2:$HJ$8,'Daily Schedule'!$F$38)=0,COUNTIF($JO$1:JO5,'Daily Schedule'!$F$38)=0),IF('Daily Schedule'!$D$38="Tier 4",0,IF('Daily Schedule'!$D$38="Tier 3",1,2))*10000000+IFERROR(INDEX('Daily Workforce'!$V$6:$V$205,MATCH('Daily Schedule'!$F$38,'Daily Workforce'!$B$6:$B$205,0)),0)*1000+38,999999999)</f>
        <v>20000038</v>
      </c>
      <c r="KZ6" s="1" t="n">
        <f aca="false">IF(AND($JM6&lt;&gt;"",'Daily Schedule'!$F$39&lt;&gt;"",'Daily Schedule'!$H$39="5:45 AM",'Daily Schedule'!$D$39&lt;&gt;"Tier 1",'Daily Schedule'!$N$39&lt;&gt;$JN6,IFERROR(INDEX('Daily Workforce'!$M$6:$M$205,MATCH('Daily Schedule'!$F$39,'Daily Workforce'!$B$6:$B$205,0)),"N")="Y",COUNTIF($HJ$2:$HJ$8,'Daily Schedule'!$F$39)=0,COUNTIF($JO$1:JO5,'Daily Schedule'!$F$39)=0),IF('Daily Schedule'!$D$39="Tier 4",0,IF('Daily Schedule'!$D$39="Tier 3",1,2))*10000000+IFERROR(INDEX('Daily Workforce'!$V$6:$V$205,MATCH('Daily Schedule'!$F$39,'Daily Workforce'!$B$6:$B$205,0)),0)*1000+39,999999999)</f>
        <v>10000039</v>
      </c>
      <c r="LA6" s="1" t="n">
        <f aca="false">IF(AND($JM6&lt;&gt;"",'Daily Schedule'!$F$40&lt;&gt;"",'Daily Schedule'!$H$40="5:45 AM",'Daily Schedule'!$D$40&lt;&gt;"Tier 1",'Daily Schedule'!$N$40&lt;&gt;$JN6,IFERROR(INDEX('Daily Workforce'!$M$6:$M$205,MATCH('Daily Schedule'!$F$40,'Daily Workforce'!$B$6:$B$205,0)),"N")="Y",COUNTIF($HJ$2:$HJ$8,'Daily Schedule'!$F$40)=0,COUNTIF($JO$1:JO5,'Daily Schedule'!$F$40)=0),IF('Daily Schedule'!$D$40="Tier 4",0,IF('Daily Schedule'!$D$40="Tier 3",1,2))*10000000+IFERROR(INDEX('Daily Workforce'!$V$6:$V$205,MATCH('Daily Schedule'!$F$40,'Daily Workforce'!$B$6:$B$205,0)),0)*1000+40,999999999)</f>
        <v>999999999</v>
      </c>
      <c r="LB6" s="1" t="n">
        <f aca="false">IF(AND($JM6&lt;&gt;"",'Daily Schedule'!$F$41&lt;&gt;"",'Daily Schedule'!$H$41="5:45 AM",'Daily Schedule'!$D$41&lt;&gt;"Tier 1",'Daily Schedule'!$N$41&lt;&gt;$JN6,IFERROR(INDEX('Daily Workforce'!$M$6:$M$205,MATCH('Daily Schedule'!$F$41,'Daily Workforce'!$B$6:$B$205,0)),"N")="Y",COUNTIF($HJ$2:$HJ$8,'Daily Schedule'!$F$41)=0,COUNTIF($JO$1:JO5,'Daily Schedule'!$F$41)=0),IF('Daily Schedule'!$D$41="Tier 4",0,IF('Daily Schedule'!$D$41="Tier 3",1,2))*10000000+IFERROR(INDEX('Daily Workforce'!$V$6:$V$205,MATCH('Daily Schedule'!$F$41,'Daily Workforce'!$B$6:$B$205,0)),0)*1000+41,999999999)</f>
        <v>10000041</v>
      </c>
      <c r="LC6" s="1" t="n">
        <f aca="false">IF(AND($JM6&lt;&gt;"",'Daily Schedule'!$F$42&lt;&gt;"",'Daily Schedule'!$H$42="5:45 AM",'Daily Schedule'!$D$42&lt;&gt;"Tier 1",'Daily Schedule'!$N$42&lt;&gt;$JN6,IFERROR(INDEX('Daily Workforce'!$M$6:$M$205,MATCH('Daily Schedule'!$F$42,'Daily Workforce'!$B$6:$B$205,0)),"N")="Y",COUNTIF($HJ$2:$HJ$8,'Daily Schedule'!$F$42)=0,COUNTIF($JO$1:JO5,'Daily Schedule'!$F$42)=0),IF('Daily Schedule'!$D$42="Tier 4",0,IF('Daily Schedule'!$D$42="Tier 3",1,2))*10000000+IFERROR(INDEX('Daily Workforce'!$V$6:$V$205,MATCH('Daily Schedule'!$F$42,'Daily Workforce'!$B$6:$B$205,0)),0)*1000+42,999999999)</f>
        <v>999999999</v>
      </c>
      <c r="LD6" s="1" t="n">
        <f aca="false">IF(AND($JM6&lt;&gt;"",'Daily Schedule'!$F$43&lt;&gt;"",'Daily Schedule'!$H$43="5:45 AM",'Daily Schedule'!$D$43&lt;&gt;"Tier 1",'Daily Schedule'!$N$43&lt;&gt;$JN6,IFERROR(INDEX('Daily Workforce'!$M$6:$M$205,MATCH('Daily Schedule'!$F$43,'Daily Workforce'!$B$6:$B$205,0)),"N")="Y",COUNTIF($HJ$2:$HJ$8,'Daily Schedule'!$F$43)=0,COUNTIF($JO$1:JO5,'Daily Schedule'!$F$43)=0),IF('Daily Schedule'!$D$43="Tier 4",0,IF('Daily Schedule'!$D$43="Tier 3",1,2))*10000000+IFERROR(INDEX('Daily Workforce'!$V$6:$V$205,MATCH('Daily Schedule'!$F$43,'Daily Workforce'!$B$6:$B$205,0)),0)*1000+43,999999999)</f>
        <v>999999999</v>
      </c>
      <c r="LE6" s="1" t="n">
        <f aca="false">IF(AND($JM6&lt;&gt;"",'Daily Schedule'!$F$44&lt;&gt;"",'Daily Schedule'!$H$44="5:45 AM",'Daily Schedule'!$D$44&lt;&gt;"Tier 1",'Daily Schedule'!$N$44&lt;&gt;$JN6,IFERROR(INDEX('Daily Workforce'!$M$6:$M$205,MATCH('Daily Schedule'!$F$44,'Daily Workforce'!$B$6:$B$205,0)),"N")="Y",COUNTIF($HJ$2:$HJ$8,'Daily Schedule'!$F$44)=0,COUNTIF($JO$1:JO5,'Daily Schedule'!$F$44)=0),IF('Daily Schedule'!$D$44="Tier 4",0,IF('Daily Schedule'!$D$44="Tier 3",1,2))*10000000+IFERROR(INDEX('Daily Workforce'!$V$6:$V$205,MATCH('Daily Schedule'!$F$44,'Daily Workforce'!$B$6:$B$205,0)),0)*1000+44,999999999)</f>
        <v>44</v>
      </c>
      <c r="LF6" s="1" t="n">
        <f aca="false">IF(AND($JM6&lt;&gt;"",'Daily Schedule'!$F$45&lt;&gt;"",'Daily Schedule'!$H$45="5:45 AM",'Daily Schedule'!$D$45&lt;&gt;"Tier 1",'Daily Schedule'!$N$45&lt;&gt;$JN6,IFERROR(INDEX('Daily Workforce'!$M$6:$M$205,MATCH('Daily Schedule'!$F$45,'Daily Workforce'!$B$6:$B$205,0)),"N")="Y",COUNTIF($HJ$2:$HJ$8,'Daily Schedule'!$F$45)=0,COUNTIF($JO$1:JO5,'Daily Schedule'!$F$45)=0),IF('Daily Schedule'!$D$45="Tier 4",0,IF('Daily Schedule'!$D$45="Tier 3",1,2))*10000000+IFERROR(INDEX('Daily Workforce'!$V$6:$V$205,MATCH('Daily Schedule'!$F$45,'Daily Workforce'!$B$6:$B$205,0)),0)*1000+45,999999999)</f>
        <v>45</v>
      </c>
      <c r="LG6" s="1" t="n">
        <f aca="false">IF(AND($JM6&lt;&gt;"",'Daily Schedule'!$F$46&lt;&gt;"",'Daily Schedule'!$H$46="5:45 AM",'Daily Schedule'!$D$46&lt;&gt;"Tier 1",'Daily Schedule'!$N$46&lt;&gt;$JN6,IFERROR(INDEX('Daily Workforce'!$M$6:$M$205,MATCH('Daily Schedule'!$F$46,'Daily Workforce'!$B$6:$B$205,0)),"N")="Y",COUNTIF($HJ$2:$HJ$8,'Daily Schedule'!$F$46)=0,COUNTIF($JO$1:JO5,'Daily Schedule'!$F$46)=0),IF('Daily Schedule'!$D$46="Tier 4",0,IF('Daily Schedule'!$D$46="Tier 3",1,2))*10000000+IFERROR(INDEX('Daily Workforce'!$V$6:$V$205,MATCH('Daily Schedule'!$F$46,'Daily Workforce'!$B$6:$B$205,0)),0)*1000+46,999999999)</f>
        <v>999999999</v>
      </c>
      <c r="LH6" s="1" t="n">
        <f aca="false">IF(AND($JM6&lt;&gt;"",'Daily Schedule'!$F$47&lt;&gt;"",'Daily Schedule'!$H$47="5:45 AM",'Daily Schedule'!$D$47&lt;&gt;"Tier 1",'Daily Schedule'!$N$47&lt;&gt;$JN6,IFERROR(INDEX('Daily Workforce'!$M$6:$M$205,MATCH('Daily Schedule'!$F$47,'Daily Workforce'!$B$6:$B$205,0)),"N")="Y",COUNTIF($HJ$2:$HJ$8,'Daily Schedule'!$F$47)=0,COUNTIF($JO$1:JO5,'Daily Schedule'!$F$47)=0),IF('Daily Schedule'!$D$47="Tier 4",0,IF('Daily Schedule'!$D$47="Tier 3",1,2))*10000000+IFERROR(INDEX('Daily Workforce'!$V$6:$V$205,MATCH('Daily Schedule'!$F$47,'Daily Workforce'!$B$6:$B$205,0)),0)*1000+47,999999999)</f>
        <v>47</v>
      </c>
      <c r="LI6" s="1" t="n">
        <f aca="false">IF(AND($JM6&lt;&gt;"",'Daily Schedule'!$F$48&lt;&gt;"",'Daily Schedule'!$H$48="5:45 AM",'Daily Schedule'!$D$48&lt;&gt;"Tier 1",'Daily Schedule'!$N$48&lt;&gt;$JN6,IFERROR(INDEX('Daily Workforce'!$M$6:$M$205,MATCH('Daily Schedule'!$F$48,'Daily Workforce'!$B$6:$B$205,0)),"N")="Y",COUNTIF($HJ$2:$HJ$8,'Daily Schedule'!$F$48)=0,COUNTIF($JO$1:JO5,'Daily Schedule'!$F$48)=0),IF('Daily Schedule'!$D$48="Tier 4",0,IF('Daily Schedule'!$D$48="Tier 3",1,2))*10000000+IFERROR(INDEX('Daily Workforce'!$V$6:$V$205,MATCH('Daily Schedule'!$F$48,'Daily Workforce'!$B$6:$B$205,0)),0)*1000+48,999999999)</f>
        <v>48</v>
      </c>
      <c r="LJ6" s="1" t="n">
        <f aca="false">IF(AND($JM6&lt;&gt;"",'Daily Schedule'!$F$49&lt;&gt;"",'Daily Schedule'!$H$49="5:45 AM",'Daily Schedule'!$D$49&lt;&gt;"Tier 1",'Daily Schedule'!$N$49&lt;&gt;$JN6,IFERROR(INDEX('Daily Workforce'!$M$6:$M$205,MATCH('Daily Schedule'!$F$49,'Daily Workforce'!$B$6:$B$205,0)),"N")="Y",COUNTIF($HJ$2:$HJ$8,'Daily Schedule'!$F$49)=0,COUNTIF($JO$1:JO5,'Daily Schedule'!$F$49)=0),IF('Daily Schedule'!$D$49="Tier 4",0,IF('Daily Schedule'!$D$49="Tier 3",1,2))*10000000+IFERROR(INDEX('Daily Workforce'!$V$6:$V$205,MATCH('Daily Schedule'!$F$49,'Daily Workforce'!$B$6:$B$205,0)),0)*1000+49,999999999)</f>
        <v>999999999</v>
      </c>
      <c r="LK6" s="1" t="n">
        <f aca="false">IF(AND($JM6&lt;&gt;"",'Daily Schedule'!$F$50&lt;&gt;"",'Daily Schedule'!$H$50="5:45 AM",'Daily Schedule'!$D$50&lt;&gt;"Tier 1",'Daily Schedule'!$N$50&lt;&gt;$JN6,IFERROR(INDEX('Daily Workforce'!$M$6:$M$205,MATCH('Daily Schedule'!$F$50,'Daily Workforce'!$B$6:$B$205,0)),"N")="Y",COUNTIF($HJ$2:$HJ$8,'Daily Schedule'!$F$50)=0,COUNTIF($JO$1:JO5,'Daily Schedule'!$F$50)=0),IF('Daily Schedule'!$D$50="Tier 4",0,IF('Daily Schedule'!$D$50="Tier 3",1,2))*10000000+IFERROR(INDEX('Daily Workforce'!$V$6:$V$205,MATCH('Daily Schedule'!$F$50,'Daily Workforce'!$B$6:$B$205,0)),0)*1000+50,999999999)</f>
        <v>50</v>
      </c>
      <c r="LL6" s="1" t="n">
        <f aca="false">IF(AND($JM6&lt;&gt;"",'Daily Schedule'!$F$51&lt;&gt;"",'Daily Schedule'!$H$51="5:45 AM",'Daily Schedule'!$D$51&lt;&gt;"Tier 1",'Daily Schedule'!$N$51&lt;&gt;$JN6,IFERROR(INDEX('Daily Workforce'!$M$6:$M$205,MATCH('Daily Schedule'!$F$51,'Daily Workforce'!$B$6:$B$205,0)),"N")="Y",COUNTIF($HJ$2:$HJ$8,'Daily Schedule'!$F$51)=0,COUNTIF($JO$1:JO5,'Daily Schedule'!$F$51)=0),IF('Daily Schedule'!$D$51="Tier 4",0,IF('Daily Schedule'!$D$51="Tier 3",1,2))*10000000+IFERROR(INDEX('Daily Workforce'!$V$6:$V$205,MATCH('Daily Schedule'!$F$51,'Daily Workforce'!$B$6:$B$205,0)),0)*1000+51,999999999)</f>
        <v>51</v>
      </c>
      <c r="LM6" s="1" t="n">
        <f aca="false">IF(AND($JM6&lt;&gt;"",'Daily Schedule'!$F$52&lt;&gt;"",'Daily Schedule'!$H$52="5:45 AM",'Daily Schedule'!$D$52&lt;&gt;"Tier 1",'Daily Schedule'!$N$52&lt;&gt;$JN6,IFERROR(INDEX('Daily Workforce'!$M$6:$M$205,MATCH('Daily Schedule'!$F$52,'Daily Workforce'!$B$6:$B$205,0)),"N")="Y",COUNTIF($HJ$2:$HJ$8,'Daily Schedule'!$F$52)=0,COUNTIF($JO$1:JO5,'Daily Schedule'!$F$52)=0),IF('Daily Schedule'!$D$52="Tier 4",0,IF('Daily Schedule'!$D$52="Tier 3",1,2))*10000000+IFERROR(INDEX('Daily Workforce'!$V$6:$V$205,MATCH('Daily Schedule'!$F$52,'Daily Workforce'!$B$6:$B$205,0)),0)*1000+52,999999999)</f>
        <v>999999999</v>
      </c>
      <c r="LN6" s="1" t="n">
        <f aca="false">IF(AND($JM6&lt;&gt;"",'Daily Schedule'!$F$53&lt;&gt;"",'Daily Schedule'!$H$53="5:45 AM",'Daily Schedule'!$D$53&lt;&gt;"Tier 1",'Daily Schedule'!$N$53&lt;&gt;$JN6,IFERROR(INDEX('Daily Workforce'!$M$6:$M$205,MATCH('Daily Schedule'!$F$53,'Daily Workforce'!$B$6:$B$205,0)),"N")="Y",COUNTIF($HJ$2:$HJ$8,'Daily Schedule'!$F$53)=0,COUNTIF($JO$1:JO5,'Daily Schedule'!$F$53)=0),IF('Daily Schedule'!$D$53="Tier 4",0,IF('Daily Schedule'!$D$53="Tier 3",1,2))*10000000+IFERROR(INDEX('Daily Workforce'!$V$6:$V$205,MATCH('Daily Schedule'!$F$53,'Daily Workforce'!$B$6:$B$205,0)),0)*1000+53,999999999)</f>
        <v>53</v>
      </c>
      <c r="LO6" s="1" t="n">
        <f aca="false">IF(AND($JM6&lt;&gt;"",'Daily Schedule'!$F$54&lt;&gt;"",'Daily Schedule'!$H$54="5:45 AM",'Daily Schedule'!$D$54&lt;&gt;"Tier 1",'Daily Schedule'!$N$54&lt;&gt;$JN6,IFERROR(INDEX('Daily Workforce'!$M$6:$M$205,MATCH('Daily Schedule'!$F$54,'Daily Workforce'!$B$6:$B$205,0)),"N")="Y",COUNTIF($HJ$2:$HJ$8,'Daily Schedule'!$F$54)=0,COUNTIF($JO$1:JO5,'Daily Schedule'!$F$54)=0),IF('Daily Schedule'!$D$54="Tier 4",0,IF('Daily Schedule'!$D$54="Tier 3",1,2))*10000000+IFERROR(INDEX('Daily Workforce'!$V$6:$V$205,MATCH('Daily Schedule'!$F$54,'Daily Workforce'!$B$6:$B$205,0)),0)*1000+54,999999999)</f>
        <v>54</v>
      </c>
      <c r="LP6" s="1" t="n">
        <f aca="false">IF(AND($JM6&lt;&gt;"",'Daily Schedule'!$F$55&lt;&gt;"",'Daily Schedule'!$H$55="5:45 AM",'Daily Schedule'!$D$55&lt;&gt;"Tier 1",'Daily Schedule'!$N$55&lt;&gt;$JN6,IFERROR(INDEX('Daily Workforce'!$M$6:$M$205,MATCH('Daily Schedule'!$F$55,'Daily Workforce'!$B$6:$B$205,0)),"N")="Y",COUNTIF($HJ$2:$HJ$8,'Daily Schedule'!$F$55)=0,COUNTIF($JO$1:JO5,'Daily Schedule'!$F$55)=0),IF('Daily Schedule'!$D$55="Tier 4",0,IF('Daily Schedule'!$D$55="Tier 3",1,2))*10000000+IFERROR(INDEX('Daily Workforce'!$V$6:$V$205,MATCH('Daily Schedule'!$F$55,'Daily Workforce'!$B$6:$B$205,0)),0)*1000+55,999999999)</f>
        <v>999999999</v>
      </c>
      <c r="LQ6" s="1" t="n">
        <f aca="false">IF(AND($JM6&lt;&gt;"",'Daily Schedule'!$F$56&lt;&gt;"",'Daily Schedule'!$H$56="5:45 AM",'Daily Schedule'!$D$56&lt;&gt;"Tier 1",'Daily Schedule'!$N$56&lt;&gt;$JN6,IFERROR(INDEX('Daily Workforce'!$M$6:$M$205,MATCH('Daily Schedule'!$F$56,'Daily Workforce'!$B$6:$B$205,0)),"N")="Y",COUNTIF($HJ$2:$HJ$8,'Daily Schedule'!$F$56)=0,COUNTIF($JO$1:JO5,'Daily Schedule'!$F$56)=0),IF('Daily Schedule'!$D$56="Tier 4",0,IF('Daily Schedule'!$D$56="Tier 3",1,2))*10000000+IFERROR(INDEX('Daily Workforce'!$V$6:$V$205,MATCH('Daily Schedule'!$F$56,'Daily Workforce'!$B$6:$B$205,0)),0)*1000+56,999999999)</f>
        <v>56</v>
      </c>
      <c r="LR6" s="1" t="n">
        <f aca="false">IF(AND($JM6&lt;&gt;"",'Daily Schedule'!$F$57&lt;&gt;"",'Daily Schedule'!$H$57="5:45 AM",'Daily Schedule'!$D$57&lt;&gt;"Tier 1",'Daily Schedule'!$N$57&lt;&gt;$JN6,IFERROR(INDEX('Daily Workforce'!$M$6:$M$205,MATCH('Daily Schedule'!$F$57,'Daily Workforce'!$B$6:$B$205,0)),"N")="Y",COUNTIF($HJ$2:$HJ$8,'Daily Schedule'!$F$57)=0,COUNTIF($JO$1:JO5,'Daily Schedule'!$F$57)=0),IF('Daily Schedule'!$D$57="Tier 4",0,IF('Daily Schedule'!$D$57="Tier 3",1,2))*10000000+IFERROR(INDEX('Daily Workforce'!$V$6:$V$205,MATCH('Daily Schedule'!$F$57,'Daily Workforce'!$B$6:$B$205,0)),0)*1000+57,999999999)</f>
        <v>57</v>
      </c>
      <c r="LS6" s="1" t="s">
        <v>792</v>
      </c>
    </row>
    <row r="7" customFormat="false" ht="15" hidden="false" customHeight="true" outlineLevel="0" collapsed="false">
      <c r="C7" s="1" t="s">
        <v>793</v>
      </c>
      <c r="L7" s="1" t="s">
        <v>794</v>
      </c>
      <c r="M7" s="1" t="s">
        <v>94</v>
      </c>
      <c r="O7" s="1" t="n">
        <f aca="false">IF(AND('Employee Master'!$G7="Y",ISERROR(SEARCH(TEXT('Daily Workforce'!$B$2,"ddd"),'Employee Master'!$D7)),IF('Daily Workforce'!$E$2="",TRUE(),'Employee Master'!$I7='Daily Workforce'!$E$2)),'Employee Master'!$K7*1000+ROW()-1,"")</f>
        <v>3006</v>
      </c>
      <c r="P7" s="1" t="n">
        <f aca="false">IF($O7="","",COUNTIF($O$2:$O$159,"&lt;="&amp;$O7))</f>
        <v>57</v>
      </c>
      <c r="Q7" s="1" t="n">
        <f aca="false">IF(AND('Daily Workforce'!$N6="Y",'Daily Workforce'!$B6&lt;&gt;"",COUNTIF('Daily Schedule'!$F$5:$F10,'Daily Workforce'!$B6)=0,'Daily Workforce'!$M6="Y",IF(OR('Daily Schedule'!$E$2="Full Day",'Daily Schedule'!$E$2="AM"),'Daily Workforce'!$D6="3:45 AM",IF('Daily Schedule'!$E$2="PM",'Daily Workforce'!$E6="PM",'Daily Workforce'!$E6="Overnight"))),'Daily Workforce'!$V6*1000+6,999999999)</f>
        <v>999999999</v>
      </c>
      <c r="R7" s="1" t="n">
        <f aca="false">IF(AND('Daily Workforce'!$N7="Y",'Daily Workforce'!$B7&lt;&gt;"",COUNTIF('Daily Schedule'!$F$5:$F10,'Daily Workforce'!$B7)=0,'Daily Workforce'!$M7="Y",IF(OR('Daily Schedule'!$E$2="Full Day",'Daily Schedule'!$E$2="AM"),'Daily Workforce'!$D7="3:45 AM",IF('Daily Schedule'!$E$2="PM",'Daily Workforce'!$E7="PM",'Daily Workforce'!$E7="Overnight"))),'Daily Workforce'!$V7*1000+7,999999999)</f>
        <v>999999999</v>
      </c>
      <c r="S7" s="1" t="n">
        <f aca="false">IF(AND('Daily Workforce'!$N8="Y",'Daily Workforce'!$B8&lt;&gt;"",COUNTIF('Daily Schedule'!$F$5:$F10,'Daily Workforce'!$B8)=0,'Daily Workforce'!$M8="Y",IF(OR('Daily Schedule'!$E$2="Full Day",'Daily Schedule'!$E$2="AM"),'Daily Workforce'!$D8="3:45 AM",IF('Daily Schedule'!$E$2="PM",'Daily Workforce'!$E8="PM",'Daily Workforce'!$E8="Overnight"))),'Daily Workforce'!$V8*1000+8,999999999)</f>
        <v>999999999</v>
      </c>
      <c r="T7" s="1" t="n">
        <f aca="false">IF(AND('Daily Workforce'!$N9="Y",'Daily Workforce'!$B9&lt;&gt;"",COUNTIF('Daily Schedule'!$F$5:$F10,'Daily Workforce'!$B9)=0,'Daily Workforce'!$M9="Y",IF(OR('Daily Schedule'!$E$2="Full Day",'Daily Schedule'!$E$2="AM"),'Daily Workforce'!$D9="3:45 AM",IF('Daily Schedule'!$E$2="PM",'Daily Workforce'!$E9="PM",'Daily Workforce'!$E9="Overnight"))),'Daily Workforce'!$V9*1000+9,999999999)</f>
        <v>999999999</v>
      </c>
      <c r="U7" s="1" t="n">
        <f aca="false">IF(AND('Daily Workforce'!$N10="Y",'Daily Workforce'!$B10&lt;&gt;"",COUNTIF('Daily Schedule'!$F$5:$F10,'Daily Workforce'!$B10)=0,'Daily Workforce'!$M10="Y",IF(OR('Daily Schedule'!$E$2="Full Day",'Daily Schedule'!$E$2="AM"),'Daily Workforce'!$D10="3:45 AM",IF('Daily Schedule'!$E$2="PM",'Daily Workforce'!$E10="PM",'Daily Workforce'!$E10="Overnight"))),'Daily Workforce'!$V10*1000+10,999999999)</f>
        <v>999999999</v>
      </c>
      <c r="V7" s="1" t="n">
        <f aca="false">IF(AND('Daily Workforce'!$N11="Y",'Daily Workforce'!$B11&lt;&gt;"",COUNTIF('Daily Schedule'!$F$5:$F10,'Daily Workforce'!$B11)=0,'Daily Workforce'!$M11="Y",IF(OR('Daily Schedule'!$E$2="Full Day",'Daily Schedule'!$E$2="AM"),'Daily Workforce'!$D11="3:45 AM",IF('Daily Schedule'!$E$2="PM",'Daily Workforce'!$E11="PM",'Daily Workforce'!$E11="Overnight"))),'Daily Workforce'!$V11*1000+11,999999999)</f>
        <v>11</v>
      </c>
      <c r="W7" s="1" t="n">
        <f aca="false">IF(AND('Daily Workforce'!$N12="Y",'Daily Workforce'!$B12&lt;&gt;"",COUNTIF('Daily Schedule'!$F$5:$F10,'Daily Workforce'!$B12)=0,'Daily Workforce'!$M12="Y",IF(OR('Daily Schedule'!$E$2="Full Day",'Daily Schedule'!$E$2="AM"),'Daily Workforce'!$D12="3:45 AM",IF('Daily Schedule'!$E$2="PM",'Daily Workforce'!$E12="PM",'Daily Workforce'!$E12="Overnight"))),'Daily Workforce'!$V12*1000+12,999999999)</f>
        <v>12</v>
      </c>
      <c r="X7" s="1" t="n">
        <f aca="false">IF(AND('Daily Workforce'!$N13="Y",'Daily Workforce'!$B13&lt;&gt;"",COUNTIF('Daily Schedule'!$F$5:$F10,'Daily Workforce'!$B13)=0,'Daily Workforce'!$M13="Y",IF(OR('Daily Schedule'!$E$2="Full Day",'Daily Schedule'!$E$2="AM"),'Daily Workforce'!$D13="3:45 AM",IF('Daily Schedule'!$E$2="PM",'Daily Workforce'!$E13="PM",'Daily Workforce'!$E13="Overnight"))),'Daily Workforce'!$V13*1000+13,999999999)</f>
        <v>13</v>
      </c>
      <c r="Y7" s="1" t="n">
        <f aca="false">IF(AND('Daily Workforce'!$N14="Y",'Daily Workforce'!$B14&lt;&gt;"",COUNTIF('Daily Schedule'!$F$5:$F10,'Daily Workforce'!$B14)=0,'Daily Workforce'!$M14="Y",IF(OR('Daily Schedule'!$E$2="Full Day",'Daily Schedule'!$E$2="AM"),'Daily Workforce'!$D14="3:45 AM",IF('Daily Schedule'!$E$2="PM",'Daily Workforce'!$E14="PM",'Daily Workforce'!$E14="Overnight"))),'Daily Workforce'!$V14*1000+14,999999999)</f>
        <v>14</v>
      </c>
      <c r="Z7" s="1" t="n">
        <f aca="false">IF(AND('Daily Workforce'!$N15="Y",'Daily Workforce'!$B15&lt;&gt;"",COUNTIF('Daily Schedule'!$F$5:$F10,'Daily Workforce'!$B15)=0,'Daily Workforce'!$M15="Y",IF(OR('Daily Schedule'!$E$2="Full Day",'Daily Schedule'!$E$2="AM"),'Daily Workforce'!$D15="3:45 AM",IF('Daily Schedule'!$E$2="PM",'Daily Workforce'!$E15="PM",'Daily Workforce'!$E15="Overnight"))),'Daily Workforce'!$V15*1000+15,999999999)</f>
        <v>999999999</v>
      </c>
      <c r="AA7" s="1" t="n">
        <f aca="false">IF(AND('Daily Workforce'!$N16="Y",'Daily Workforce'!$B16&lt;&gt;"",COUNTIF('Daily Schedule'!$F$5:$F10,'Daily Workforce'!$B16)=0,'Daily Workforce'!$M16="Y",IF(OR('Daily Schedule'!$E$2="Full Day",'Daily Schedule'!$E$2="AM"),'Daily Workforce'!$D16="3:45 AM",IF('Daily Schedule'!$E$2="PM",'Daily Workforce'!$E16="PM",'Daily Workforce'!$E16="Overnight"))),'Daily Workforce'!$V16*1000+16,999999999)</f>
        <v>16</v>
      </c>
      <c r="AB7" s="1" t="n">
        <f aca="false">IF(AND('Daily Workforce'!$N17="Y",'Daily Workforce'!$B17&lt;&gt;"",COUNTIF('Daily Schedule'!$F$5:$F10,'Daily Workforce'!$B17)=0,'Daily Workforce'!$M17="Y",IF(OR('Daily Schedule'!$E$2="Full Day",'Daily Schedule'!$E$2="AM"),'Daily Workforce'!$D17="3:45 AM",IF('Daily Schedule'!$E$2="PM",'Daily Workforce'!$E17="PM",'Daily Workforce'!$E17="Overnight"))),'Daily Workforce'!$V17*1000+17,999999999)</f>
        <v>17</v>
      </c>
      <c r="AC7" s="1" t="n">
        <f aca="false">IF(AND('Daily Workforce'!$N18="Y",'Daily Workforce'!$B18&lt;&gt;"",COUNTIF('Daily Schedule'!$F$5:$F10,'Daily Workforce'!$B18)=0,'Daily Workforce'!$M18="Y",IF(OR('Daily Schedule'!$E$2="Full Day",'Daily Schedule'!$E$2="AM"),'Daily Workforce'!$D18="3:45 AM",IF('Daily Schedule'!$E$2="PM",'Daily Workforce'!$E18="PM",'Daily Workforce'!$E18="Overnight"))),'Daily Workforce'!$V18*1000+18,999999999)</f>
        <v>18</v>
      </c>
      <c r="AD7" s="1" t="n">
        <f aca="false">IF(AND('Daily Workforce'!$N19="Y",'Daily Workforce'!$B19&lt;&gt;"",COUNTIF('Daily Schedule'!$F$5:$F10,'Daily Workforce'!$B19)=0,'Daily Workforce'!$M19="Y",IF(OR('Daily Schedule'!$E$2="Full Day",'Daily Schedule'!$E$2="AM"),'Daily Workforce'!$D19="3:45 AM",IF('Daily Schedule'!$E$2="PM",'Daily Workforce'!$E19="PM",'Daily Workforce'!$E19="Overnight"))),'Daily Workforce'!$V19*1000+19,999999999)</f>
        <v>19</v>
      </c>
      <c r="AE7" s="1" t="n">
        <f aca="false">IF(AND('Daily Workforce'!$N20="Y",'Daily Workforce'!$B20&lt;&gt;"",COUNTIF('Daily Schedule'!$F$5:$F10,'Daily Workforce'!$B20)=0,'Daily Workforce'!$M20="Y",IF(OR('Daily Schedule'!$E$2="Full Day",'Daily Schedule'!$E$2="AM"),'Daily Workforce'!$D20="3:45 AM",IF('Daily Schedule'!$E$2="PM",'Daily Workforce'!$E20="PM",'Daily Workforce'!$E20="Overnight"))),'Daily Workforce'!$V20*1000+20,999999999)</f>
        <v>20</v>
      </c>
      <c r="AF7" s="1" t="n">
        <f aca="false">IF(AND('Daily Workforce'!$N21="Y",'Daily Workforce'!$B21&lt;&gt;"",COUNTIF('Daily Schedule'!$F$5:$F10,'Daily Workforce'!$B21)=0,'Daily Workforce'!$M21="Y",IF(OR('Daily Schedule'!$E$2="Full Day",'Daily Schedule'!$E$2="AM"),'Daily Workforce'!$D21="3:45 AM",IF('Daily Schedule'!$E$2="PM",'Daily Workforce'!$E21="PM",'Daily Workforce'!$E21="Overnight"))),'Daily Workforce'!$V21*1000+21,999999999)</f>
        <v>21</v>
      </c>
      <c r="AG7" s="1" t="n">
        <f aca="false">IF(AND('Daily Workforce'!$N22="Y",'Daily Workforce'!$B22&lt;&gt;"",COUNTIF('Daily Schedule'!$F$5:$F10,'Daily Workforce'!$B22)=0,'Daily Workforce'!$M22="Y",IF(OR('Daily Schedule'!$E$2="Full Day",'Daily Schedule'!$E$2="AM"),'Daily Workforce'!$D22="3:45 AM",IF('Daily Schedule'!$E$2="PM",'Daily Workforce'!$E22="PM",'Daily Workforce'!$E22="Overnight"))),'Daily Workforce'!$V22*1000+22,999999999)</f>
        <v>22</v>
      </c>
      <c r="AH7" s="1" t="n">
        <f aca="false">IF(AND('Daily Workforce'!$N23="Y",'Daily Workforce'!$B23&lt;&gt;"",COUNTIF('Daily Schedule'!$F$5:$F10,'Daily Workforce'!$B23)=0,'Daily Workforce'!$M23="Y",IF(OR('Daily Schedule'!$E$2="Full Day",'Daily Schedule'!$E$2="AM"),'Daily Workforce'!$D23="3:45 AM",IF('Daily Schedule'!$E$2="PM",'Daily Workforce'!$E23="PM",'Daily Workforce'!$E23="Overnight"))),'Daily Workforce'!$V23*1000+23,999999999)</f>
        <v>23</v>
      </c>
      <c r="AI7" s="1" t="n">
        <f aca="false">IF(AND('Daily Workforce'!$N24="Y",'Daily Workforce'!$B24&lt;&gt;"",COUNTIF('Daily Schedule'!$F$5:$F10,'Daily Workforce'!$B24)=0,'Daily Workforce'!$M24="Y",IF(OR('Daily Schedule'!$E$2="Full Day",'Daily Schedule'!$E$2="AM"),'Daily Workforce'!$D24="3:45 AM",IF('Daily Schedule'!$E$2="PM",'Daily Workforce'!$E24="PM",'Daily Workforce'!$E24="Overnight"))),'Daily Workforce'!$V24*1000+24,999999999)</f>
        <v>24</v>
      </c>
      <c r="AJ7" s="1" t="n">
        <f aca="false">IF(AND('Daily Workforce'!$N25="Y",'Daily Workforce'!$B25&lt;&gt;"",COUNTIF('Daily Schedule'!$F$5:$F10,'Daily Workforce'!$B25)=0,'Daily Workforce'!$M25="Y",IF(OR('Daily Schedule'!$E$2="Full Day",'Daily Schedule'!$E$2="AM"),'Daily Workforce'!$D25="3:45 AM",IF('Daily Schedule'!$E$2="PM",'Daily Workforce'!$E25="PM",'Daily Workforce'!$E25="Overnight"))),'Daily Workforce'!$V25*1000+25,999999999)</f>
        <v>25</v>
      </c>
      <c r="AK7" s="1" t="n">
        <f aca="false">IF(AND('Daily Workforce'!$N26="Y",'Daily Workforce'!$B26&lt;&gt;"",COUNTIF('Daily Schedule'!$F$5:$F10,'Daily Workforce'!$B26)=0,'Daily Workforce'!$M26="Y",IF(OR('Daily Schedule'!$E$2="Full Day",'Daily Schedule'!$E$2="AM"),'Daily Workforce'!$D26="3:45 AM",IF('Daily Schedule'!$E$2="PM",'Daily Workforce'!$E26="PM",'Daily Workforce'!$E26="Overnight"))),'Daily Workforce'!$V26*1000+26,999999999)</f>
        <v>26</v>
      </c>
      <c r="AL7" s="1" t="n">
        <f aca="false">IF(AND('Daily Workforce'!$N27="Y",'Daily Workforce'!$B27&lt;&gt;"",COUNTIF('Daily Schedule'!$F$5:$F10,'Daily Workforce'!$B27)=0,'Daily Workforce'!$M27="Y",IF(OR('Daily Schedule'!$E$2="Full Day",'Daily Schedule'!$E$2="AM"),'Daily Workforce'!$D27="3:45 AM",IF('Daily Schedule'!$E$2="PM",'Daily Workforce'!$E27="PM",'Daily Workforce'!$E27="Overnight"))),'Daily Workforce'!$V27*1000+27,999999999)</f>
        <v>999999999</v>
      </c>
      <c r="AM7" s="1" t="n">
        <f aca="false">IF(AND('Daily Workforce'!$N28="Y",'Daily Workforce'!$B28&lt;&gt;"",COUNTIF('Daily Schedule'!$F$5:$F10,'Daily Workforce'!$B28)=0,'Daily Workforce'!$M28="Y",IF(OR('Daily Schedule'!$E$2="Full Day",'Daily Schedule'!$E$2="AM"),'Daily Workforce'!$D28="3:45 AM",IF('Daily Schedule'!$E$2="PM",'Daily Workforce'!$E28="PM",'Daily Workforce'!$E28="Overnight"))),'Daily Workforce'!$V28*1000+28,999999999)</f>
        <v>999999999</v>
      </c>
      <c r="AN7" s="1" t="n">
        <f aca="false">IF(AND('Daily Workforce'!$N29="Y",'Daily Workforce'!$B29&lt;&gt;"",COUNTIF('Daily Schedule'!$F$5:$F10,'Daily Workforce'!$B29)=0,'Daily Workforce'!$M29="Y",IF(OR('Daily Schedule'!$E$2="Full Day",'Daily Schedule'!$E$2="AM"),'Daily Workforce'!$D29="3:45 AM",IF('Daily Schedule'!$E$2="PM",'Daily Workforce'!$E29="PM",'Daily Workforce'!$E29="Overnight"))),'Daily Workforce'!$V29*1000+29,999999999)</f>
        <v>999999999</v>
      </c>
      <c r="AO7" s="1" t="n">
        <f aca="false">IF(AND('Daily Workforce'!$N30="Y",'Daily Workforce'!$B30&lt;&gt;"",COUNTIF('Daily Schedule'!$F$5:$F10,'Daily Workforce'!$B30)=0,'Daily Workforce'!$M30="Y",IF(OR('Daily Schedule'!$E$2="Full Day",'Daily Schedule'!$E$2="AM"),'Daily Workforce'!$D30="3:45 AM",IF('Daily Schedule'!$E$2="PM",'Daily Workforce'!$E30="PM",'Daily Workforce'!$E30="Overnight"))),'Daily Workforce'!$V30*1000+30,999999999)</f>
        <v>999999999</v>
      </c>
      <c r="AP7" s="1" t="n">
        <f aca="false">IF(AND('Daily Workforce'!$N31="Y",'Daily Workforce'!$B31&lt;&gt;"",COUNTIF('Daily Schedule'!$F$5:$F10,'Daily Workforce'!$B31)=0,'Daily Workforce'!$M31="Y",IF(OR('Daily Schedule'!$E$2="Full Day",'Daily Schedule'!$E$2="AM"),'Daily Workforce'!$D31="3:45 AM",IF('Daily Schedule'!$E$2="PM",'Daily Workforce'!$E31="PM",'Daily Workforce'!$E31="Overnight"))),'Daily Workforce'!$V31*1000+31,999999999)</f>
        <v>999999999</v>
      </c>
      <c r="AQ7" s="1" t="n">
        <f aca="false">IF(AND('Daily Workforce'!$N32="Y",'Daily Workforce'!$B32&lt;&gt;"",COUNTIF('Daily Schedule'!$F$5:$F10,'Daily Workforce'!$B32)=0,'Daily Workforce'!$M32="Y",IF(OR('Daily Schedule'!$E$2="Full Day",'Daily Schedule'!$E$2="AM"),'Daily Workforce'!$D32="3:45 AM",IF('Daily Schedule'!$E$2="PM",'Daily Workforce'!$E32="PM",'Daily Workforce'!$E32="Overnight"))),'Daily Workforce'!$V32*1000+32,999999999)</f>
        <v>999999999</v>
      </c>
      <c r="AR7" s="1" t="n">
        <f aca="false">IF(AND('Daily Workforce'!$N33="Y",'Daily Workforce'!$B33&lt;&gt;"",COUNTIF('Daily Schedule'!$F$5:$F10,'Daily Workforce'!$B33)=0,'Daily Workforce'!$M33="Y",IF(OR('Daily Schedule'!$E$2="Full Day",'Daily Schedule'!$E$2="AM"),'Daily Workforce'!$D33="3:45 AM",IF('Daily Schedule'!$E$2="PM",'Daily Workforce'!$E33="PM",'Daily Workforce'!$E33="Overnight"))),'Daily Workforce'!$V33*1000+33,999999999)</f>
        <v>999999999</v>
      </c>
      <c r="AS7" s="1" t="n">
        <f aca="false">IF(AND('Daily Workforce'!$N34="Y",'Daily Workforce'!$B34&lt;&gt;"",COUNTIF('Daily Schedule'!$F$5:$F10,'Daily Workforce'!$B34)=0,'Daily Workforce'!$M34="Y",IF(OR('Daily Schedule'!$E$2="Full Day",'Daily Schedule'!$E$2="AM"),'Daily Workforce'!$D34="3:45 AM",IF('Daily Schedule'!$E$2="PM",'Daily Workforce'!$E34="PM",'Daily Workforce'!$E34="Overnight"))),'Daily Workforce'!$V34*1000+34,999999999)</f>
        <v>999999999</v>
      </c>
      <c r="AT7" s="1" t="n">
        <f aca="false">IF(AND('Daily Workforce'!$N35="Y",'Daily Workforce'!$B35&lt;&gt;"",COUNTIF('Daily Schedule'!$F$5:$F10,'Daily Workforce'!$B35)=0,'Daily Workforce'!$M35="Y",IF(OR('Daily Schedule'!$E$2="Full Day",'Daily Schedule'!$E$2="AM"),'Daily Workforce'!$D35="3:45 AM",IF('Daily Schedule'!$E$2="PM",'Daily Workforce'!$E35="PM",'Daily Workforce'!$E35="Overnight"))),'Daily Workforce'!$V35*1000+35,999999999)</f>
        <v>999999999</v>
      </c>
      <c r="AU7" s="1" t="n">
        <f aca="false">IF(AND('Daily Workforce'!$N36="Y",'Daily Workforce'!$B36&lt;&gt;"",COUNTIF('Daily Schedule'!$F$5:$F10,'Daily Workforce'!$B36)=0,'Daily Workforce'!$M36="Y",IF(OR('Daily Schedule'!$E$2="Full Day",'Daily Schedule'!$E$2="AM"),'Daily Workforce'!$D36="3:45 AM",IF('Daily Schedule'!$E$2="PM",'Daily Workforce'!$E36="PM",'Daily Workforce'!$E36="Overnight"))),'Daily Workforce'!$V36*1000+36,999999999)</f>
        <v>999999999</v>
      </c>
      <c r="AV7" s="1" t="n">
        <f aca="false">IF(AND('Daily Workforce'!$N37="Y",'Daily Workforce'!$B37&lt;&gt;"",COUNTIF('Daily Schedule'!$F$5:$F10,'Daily Workforce'!$B37)=0,'Daily Workforce'!$M37="Y",IF(OR('Daily Schedule'!$E$2="Full Day",'Daily Schedule'!$E$2="AM"),'Daily Workforce'!$D37="3:45 AM",IF('Daily Schedule'!$E$2="PM",'Daily Workforce'!$E37="PM",'Daily Workforce'!$E37="Overnight"))),'Daily Workforce'!$V37*1000+37,999999999)</f>
        <v>999999999</v>
      </c>
      <c r="AW7" s="1" t="n">
        <f aca="false">IF(AND('Daily Workforce'!$N38="Y",'Daily Workforce'!$B38&lt;&gt;"",COUNTIF('Daily Schedule'!$F$5:$F10,'Daily Workforce'!$B38)=0,'Daily Workforce'!$M38="Y",IF(OR('Daily Schedule'!$E$2="Full Day",'Daily Schedule'!$E$2="AM"),'Daily Workforce'!$D38="3:45 AM",IF('Daily Schedule'!$E$2="PM",'Daily Workforce'!$E38="PM",'Daily Workforce'!$E38="Overnight"))),'Daily Workforce'!$V38*1000+38,999999999)</f>
        <v>999999999</v>
      </c>
      <c r="AX7" s="1" t="n">
        <f aca="false">IF(AND('Daily Workforce'!$N39="Y",'Daily Workforce'!$B39&lt;&gt;"",COUNTIF('Daily Schedule'!$F$5:$F10,'Daily Workforce'!$B39)=0,'Daily Workforce'!$M39="Y",IF(OR('Daily Schedule'!$E$2="Full Day",'Daily Schedule'!$E$2="AM"),'Daily Workforce'!$D39="3:45 AM",IF('Daily Schedule'!$E$2="PM",'Daily Workforce'!$E39="PM",'Daily Workforce'!$E39="Overnight"))),'Daily Workforce'!$V39*1000+39,999999999)</f>
        <v>999999999</v>
      </c>
      <c r="AY7" s="1" t="n">
        <f aca="false">IF(AND('Daily Workforce'!$N40="Y",'Daily Workforce'!$B40&lt;&gt;"",COUNTIF('Daily Schedule'!$F$5:$F10,'Daily Workforce'!$B40)=0,'Daily Workforce'!$M40="Y",IF(OR('Daily Schedule'!$E$2="Full Day",'Daily Schedule'!$E$2="AM"),'Daily Workforce'!$D40="3:45 AM",IF('Daily Schedule'!$E$2="PM",'Daily Workforce'!$E40="PM",'Daily Workforce'!$E40="Overnight"))),'Daily Workforce'!$V40*1000+40,999999999)</f>
        <v>999999999</v>
      </c>
      <c r="AZ7" s="1" t="n">
        <f aca="false">IF(AND('Daily Workforce'!$N41="Y",'Daily Workforce'!$B41&lt;&gt;"",COUNTIF('Daily Schedule'!$F$5:$F10,'Daily Workforce'!$B41)=0,'Daily Workforce'!$M41="Y",IF(OR('Daily Schedule'!$E$2="Full Day",'Daily Schedule'!$E$2="AM"),'Daily Workforce'!$D41="3:45 AM",IF('Daily Schedule'!$E$2="PM",'Daily Workforce'!$E41="PM",'Daily Workforce'!$E41="Overnight"))),'Daily Workforce'!$V41*1000+41,999999999)</f>
        <v>999999999</v>
      </c>
      <c r="BA7" s="1" t="n">
        <f aca="false">IF(AND('Daily Workforce'!$N42="Y",'Daily Workforce'!$B42&lt;&gt;"",COUNTIF('Daily Schedule'!$F$5:$F10,'Daily Workforce'!$B42)=0,'Daily Workforce'!$M42="Y",IF(OR('Daily Schedule'!$E$2="Full Day",'Daily Schedule'!$E$2="AM"),'Daily Workforce'!$D42="3:45 AM",IF('Daily Schedule'!$E$2="PM",'Daily Workforce'!$E42="PM",'Daily Workforce'!$E42="Overnight"))),'Daily Workforce'!$V42*1000+42,999999999)</f>
        <v>999999999</v>
      </c>
      <c r="BB7" s="1" t="n">
        <f aca="false">IF(AND('Daily Workforce'!$N43="Y",'Daily Workforce'!$B43&lt;&gt;"",COUNTIF('Daily Schedule'!$F$5:$F10,'Daily Workforce'!$B43)=0,'Daily Workforce'!$M43="Y",IF(OR('Daily Schedule'!$E$2="Full Day",'Daily Schedule'!$E$2="AM"),'Daily Workforce'!$D43="3:45 AM",IF('Daily Schedule'!$E$2="PM",'Daily Workforce'!$E43="PM",'Daily Workforce'!$E43="Overnight"))),'Daily Workforce'!$V43*1000+43,999999999)</f>
        <v>999999999</v>
      </c>
      <c r="BC7" s="1" t="n">
        <f aca="false">IF(AND('Daily Workforce'!$N44="Y",'Daily Workforce'!$B44&lt;&gt;"",COUNTIF('Daily Schedule'!$F$5:$F10,'Daily Workforce'!$B44)=0,'Daily Workforce'!$M44="Y",IF(OR('Daily Schedule'!$E$2="Full Day",'Daily Schedule'!$E$2="AM"),'Daily Workforce'!$D44="3:45 AM",IF('Daily Schedule'!$E$2="PM",'Daily Workforce'!$E44="PM",'Daily Workforce'!$E44="Overnight"))),'Daily Workforce'!$V44*1000+44,999999999)</f>
        <v>999999999</v>
      </c>
      <c r="BD7" s="1" t="n">
        <f aca="false">IF(AND('Daily Workforce'!$N45="Y",'Daily Workforce'!$B45&lt;&gt;"",COUNTIF('Daily Schedule'!$F$5:$F10,'Daily Workforce'!$B45)=0,'Daily Workforce'!$M45="Y",IF(OR('Daily Schedule'!$E$2="Full Day",'Daily Schedule'!$E$2="AM"),'Daily Workforce'!$D45="3:45 AM",IF('Daily Schedule'!$E$2="PM",'Daily Workforce'!$E45="PM",'Daily Workforce'!$E45="Overnight"))),'Daily Workforce'!$V45*1000+45,999999999)</f>
        <v>999999999</v>
      </c>
      <c r="BE7" s="1" t="n">
        <f aca="false">IF(AND('Daily Workforce'!$N46="Y",'Daily Workforce'!$B46&lt;&gt;"",COUNTIF('Daily Schedule'!$F$5:$F10,'Daily Workforce'!$B46)=0,'Daily Workforce'!$M46="Y",IF(OR('Daily Schedule'!$E$2="Full Day",'Daily Schedule'!$E$2="AM"),'Daily Workforce'!$D46="3:45 AM",IF('Daily Schedule'!$E$2="PM",'Daily Workforce'!$E46="PM",'Daily Workforce'!$E46="Overnight"))),'Daily Workforce'!$V46*1000+46,999999999)</f>
        <v>999999999</v>
      </c>
      <c r="BF7" s="1" t="n">
        <f aca="false">IF(AND('Daily Workforce'!$N47="Y",'Daily Workforce'!$B47&lt;&gt;"",COUNTIF('Daily Schedule'!$F$5:$F10,'Daily Workforce'!$B47)=0,'Daily Workforce'!$M47="Y",IF(OR('Daily Schedule'!$E$2="Full Day",'Daily Schedule'!$E$2="AM"),'Daily Workforce'!$D47="3:45 AM",IF('Daily Schedule'!$E$2="PM",'Daily Workforce'!$E47="PM",'Daily Workforce'!$E47="Overnight"))),'Daily Workforce'!$V47*1000+47,999999999)</f>
        <v>999999999</v>
      </c>
      <c r="BG7" s="1" t="n">
        <f aca="false">IF(AND('Daily Workforce'!$N48="Y",'Daily Workforce'!$B48&lt;&gt;"",COUNTIF('Daily Schedule'!$F$5:$F10,'Daily Workforce'!$B48)=0,'Daily Workforce'!$M48="Y",IF(OR('Daily Schedule'!$E$2="Full Day",'Daily Schedule'!$E$2="AM"),'Daily Workforce'!$D48="3:45 AM",IF('Daily Schedule'!$E$2="PM",'Daily Workforce'!$E48="PM",'Daily Workforce'!$E48="Overnight"))),'Daily Workforce'!$V48*1000+48,999999999)</f>
        <v>999999999</v>
      </c>
      <c r="BH7" s="1" t="n">
        <f aca="false">IF(AND('Daily Workforce'!$N49="Y",'Daily Workforce'!$B49&lt;&gt;"",COUNTIF('Daily Schedule'!$F$5:$F10,'Daily Workforce'!$B49)=0,'Daily Workforce'!$M49="Y",IF(OR('Daily Schedule'!$E$2="Full Day",'Daily Schedule'!$E$2="AM"),'Daily Workforce'!$D49="3:45 AM",IF('Daily Schedule'!$E$2="PM",'Daily Workforce'!$E49="PM",'Daily Workforce'!$E49="Overnight"))),'Daily Workforce'!$V49*1000+49,999999999)</f>
        <v>999999999</v>
      </c>
      <c r="BI7" s="1" t="n">
        <f aca="false">IF(AND('Daily Workforce'!$N50="Y",'Daily Workforce'!$B50&lt;&gt;"",COUNTIF('Daily Schedule'!$F$5:$F10,'Daily Workforce'!$B50)=0,'Daily Workforce'!$M50="Y",IF(OR('Daily Schedule'!$E$2="Full Day",'Daily Schedule'!$E$2="AM"),'Daily Workforce'!$D50="3:45 AM",IF('Daily Schedule'!$E$2="PM",'Daily Workforce'!$E50="PM",'Daily Workforce'!$E50="Overnight"))),'Daily Workforce'!$V50*1000+50,999999999)</f>
        <v>999999999</v>
      </c>
      <c r="BJ7" s="1" t="n">
        <f aca="false">IF(AND('Daily Workforce'!$N51="Y",'Daily Workforce'!$B51&lt;&gt;"",COUNTIF('Daily Schedule'!$F$5:$F10,'Daily Workforce'!$B51)=0,'Daily Workforce'!$M51="Y",IF(OR('Daily Schedule'!$E$2="Full Day",'Daily Schedule'!$E$2="AM"),'Daily Workforce'!$D51="3:45 AM",IF('Daily Schedule'!$E$2="PM",'Daily Workforce'!$E51="PM",'Daily Workforce'!$E51="Overnight"))),'Daily Workforce'!$V51*1000+51,999999999)</f>
        <v>999999999</v>
      </c>
      <c r="BK7" s="1" t="n">
        <f aca="false">IF(AND('Daily Workforce'!$N52="Y",'Daily Workforce'!$B52&lt;&gt;"",COUNTIF('Daily Schedule'!$F$5:$F10,'Daily Workforce'!$B52)=0,'Daily Workforce'!$M52="Y",IF(OR('Daily Schedule'!$E$2="Full Day",'Daily Schedule'!$E$2="AM"),'Daily Workforce'!$D52="3:45 AM",IF('Daily Schedule'!$E$2="PM",'Daily Workforce'!$E52="PM",'Daily Workforce'!$E52="Overnight"))),'Daily Workforce'!$V52*1000+52,999999999)</f>
        <v>999999999</v>
      </c>
      <c r="BL7" s="1" t="n">
        <f aca="false">IF(AND('Daily Workforce'!$N53="Y",'Daily Workforce'!$B53&lt;&gt;"",COUNTIF('Daily Schedule'!$F$5:$F10,'Daily Workforce'!$B53)=0,'Daily Workforce'!$M53="Y",IF(OR('Daily Schedule'!$E$2="Full Day",'Daily Schedule'!$E$2="AM"),'Daily Workforce'!$D53="3:45 AM",IF('Daily Schedule'!$E$2="PM",'Daily Workforce'!$E53="PM",'Daily Workforce'!$E53="Overnight"))),'Daily Workforce'!$V53*1000+53,999999999)</f>
        <v>999999999</v>
      </c>
      <c r="BM7" s="1" t="n">
        <f aca="false">IF(AND('Daily Workforce'!$N54="Y",'Daily Workforce'!$B54&lt;&gt;"",COUNTIF('Daily Schedule'!$F$5:$F10,'Daily Workforce'!$B54)=0,'Daily Workforce'!$M54="Y",IF(OR('Daily Schedule'!$E$2="Full Day",'Daily Schedule'!$E$2="AM"),'Daily Workforce'!$D54="3:45 AM",IF('Daily Schedule'!$E$2="PM",'Daily Workforce'!$E54="PM",'Daily Workforce'!$E54="Overnight"))),'Daily Workforce'!$V54*1000+54,999999999)</f>
        <v>999999999</v>
      </c>
      <c r="BN7" s="1" t="n">
        <f aca="false">IF(AND('Daily Workforce'!$N55="Y",'Daily Workforce'!$B55&lt;&gt;"",COUNTIF('Daily Schedule'!$F$5:$F10,'Daily Workforce'!$B55)=0,'Daily Workforce'!$M55="Y",IF(OR('Daily Schedule'!$E$2="Full Day",'Daily Schedule'!$E$2="AM"),'Daily Workforce'!$D55="3:45 AM",IF('Daily Schedule'!$E$2="PM",'Daily Workforce'!$E55="PM",'Daily Workforce'!$E55="Overnight"))),'Daily Workforce'!$V55*1000+55,999999999)</f>
        <v>999999999</v>
      </c>
      <c r="BO7" s="1" t="n">
        <f aca="false">IF(AND('Daily Workforce'!$N56="Y",'Daily Workforce'!$B56&lt;&gt;"",COUNTIF('Daily Schedule'!$F$5:$F10,'Daily Workforce'!$B56)=0,'Daily Workforce'!$M56="Y",IF(OR('Daily Schedule'!$E$2="Full Day",'Daily Schedule'!$E$2="AM"),'Daily Workforce'!$D56="3:45 AM",IF('Daily Schedule'!$E$2="PM",'Daily Workforce'!$E56="PM",'Daily Workforce'!$E56="Overnight"))),'Daily Workforce'!$V56*1000+56,999999999)</f>
        <v>999999999</v>
      </c>
      <c r="BP7" s="1" t="n">
        <f aca="false">IF(AND('Daily Workforce'!$N57="Y",'Daily Workforce'!$B57&lt;&gt;"",COUNTIF('Daily Schedule'!$F$5:$F10,'Daily Workforce'!$B57)=0,'Daily Workforce'!$M57="Y",IF(OR('Daily Schedule'!$E$2="Full Day",'Daily Schedule'!$E$2="AM"),'Daily Workforce'!$D57="3:45 AM",IF('Daily Schedule'!$E$2="PM",'Daily Workforce'!$E57="PM",'Daily Workforce'!$E57="Overnight"))),'Daily Workforce'!$V57*1000+57,999999999)</f>
        <v>999999999</v>
      </c>
      <c r="BQ7" s="1" t="n">
        <f aca="false">IF(AND('Daily Workforce'!$N58="Y",'Daily Workforce'!$B58&lt;&gt;"",COUNTIF('Daily Schedule'!$F$5:$F10,'Daily Workforce'!$B58)=0,'Daily Workforce'!$M58="Y",IF(OR('Daily Schedule'!$E$2="Full Day",'Daily Schedule'!$E$2="AM"),'Daily Workforce'!$D58="3:45 AM",IF('Daily Schedule'!$E$2="PM",'Daily Workforce'!$E58="PM",'Daily Workforce'!$E58="Overnight"))),'Daily Workforce'!$V58*1000+58,999999999)</f>
        <v>999999999</v>
      </c>
      <c r="BR7" s="1" t="n">
        <f aca="false">IF(AND('Daily Workforce'!$N59="Y",'Daily Workforce'!$B59&lt;&gt;"",COUNTIF('Daily Schedule'!$F$5:$F10,'Daily Workforce'!$B59)=0,'Daily Workforce'!$M59="Y",IF(OR('Daily Schedule'!$E$2="Full Day",'Daily Schedule'!$E$2="AM"),'Daily Workforce'!$D59="3:45 AM",IF('Daily Schedule'!$E$2="PM",'Daily Workforce'!$E59="PM",'Daily Workforce'!$E59="Overnight"))),'Daily Workforce'!$V59*1000+59,999999999)</f>
        <v>999999999</v>
      </c>
      <c r="BS7" s="1" t="n">
        <f aca="false">IF(AND('Daily Workforce'!$N60="Y",'Daily Workforce'!$B60&lt;&gt;"",COUNTIF('Daily Schedule'!$F$5:$F10,'Daily Workforce'!$B60)=0,'Daily Workforce'!$M60="Y",IF(OR('Daily Schedule'!$E$2="Full Day",'Daily Schedule'!$E$2="AM"),'Daily Workforce'!$D60="3:45 AM",IF('Daily Schedule'!$E$2="PM",'Daily Workforce'!$E60="PM",'Daily Workforce'!$E60="Overnight"))),'Daily Workforce'!$V60*1000+60,999999999)</f>
        <v>999999999</v>
      </c>
      <c r="BT7" s="1" t="n">
        <f aca="false">IF(AND('Daily Workforce'!$N61="Y",'Daily Workforce'!$B61&lt;&gt;"",COUNTIF('Daily Schedule'!$F$5:$F10,'Daily Workforce'!$B61)=0,'Daily Workforce'!$M61="Y",IF(OR('Daily Schedule'!$E$2="Full Day",'Daily Schedule'!$E$2="AM"),'Daily Workforce'!$D61="3:45 AM",IF('Daily Schedule'!$E$2="PM",'Daily Workforce'!$E61="PM",'Daily Workforce'!$E61="Overnight"))),'Daily Workforce'!$V61*1000+61,999999999)</f>
        <v>999999999</v>
      </c>
      <c r="BU7" s="1" t="n">
        <f aca="false">IF(AND('Daily Workforce'!$N62="Y",'Daily Workforce'!$B62&lt;&gt;"",COUNTIF('Daily Schedule'!$F$5:$F10,'Daily Workforce'!$B62)=0,'Daily Workforce'!$M62="Y",IF(OR('Daily Schedule'!$E$2="Full Day",'Daily Schedule'!$E$2="AM"),'Daily Workforce'!$D62="3:45 AM",IF('Daily Schedule'!$E$2="PM",'Daily Workforce'!$E62="PM",'Daily Workforce'!$E62="Overnight"))),'Daily Workforce'!$V62*1000+62,999999999)</f>
        <v>999999999</v>
      </c>
      <c r="BV7" s="1" t="n">
        <f aca="false">IF(AND('Daily Workforce'!$N63="Y",'Daily Workforce'!$B63&lt;&gt;"",COUNTIF('Daily Schedule'!$F$5:$F10,'Daily Workforce'!$B63)=0,'Daily Workforce'!$M63="Y",IF(OR('Daily Schedule'!$E$2="Full Day",'Daily Schedule'!$E$2="AM"),'Daily Workforce'!$D63="3:45 AM",IF('Daily Schedule'!$E$2="PM",'Daily Workforce'!$E63="PM",'Daily Workforce'!$E63="Overnight"))),'Daily Workforce'!$V63*1000+63,999999999)</f>
        <v>999999999</v>
      </c>
      <c r="BW7" s="1" t="n">
        <f aca="false">IF(AND('Daily Workforce'!$N64="Y",'Daily Workforce'!$B64&lt;&gt;"",COUNTIF('Daily Schedule'!$F$5:$F10,'Daily Workforce'!$B64)=0,'Daily Workforce'!$M64="Y",IF(OR('Daily Schedule'!$E$2="Full Day",'Daily Schedule'!$E$2="AM"),'Daily Workforce'!$D64="3:45 AM",IF('Daily Schedule'!$E$2="PM",'Daily Workforce'!$E64="PM",'Daily Workforce'!$E64="Overnight"))),'Daily Workforce'!$V64*1000+64,999999999)</f>
        <v>999999999</v>
      </c>
      <c r="BX7" s="1" t="n">
        <f aca="false">IF(AND('Daily Workforce'!$N65="Y",'Daily Workforce'!$B65&lt;&gt;"",COUNTIF('Daily Schedule'!$F$5:$F10,'Daily Workforce'!$B65)=0,'Daily Workforce'!$M65="Y",IF(OR('Daily Schedule'!$E$2="Full Day",'Daily Schedule'!$E$2="AM"),'Daily Workforce'!$D65="3:45 AM",IF('Daily Schedule'!$E$2="PM",'Daily Workforce'!$E65="PM",'Daily Workforce'!$E65="Overnight"))),'Daily Workforce'!$V65*1000+65,999999999)</f>
        <v>999999999</v>
      </c>
      <c r="BY7" s="1" t="n">
        <f aca="false">IF(AND('Daily Workforce'!$N66="Y",'Daily Workforce'!$B66&lt;&gt;"",COUNTIF('Daily Schedule'!$F$5:$F10,'Daily Workforce'!$B66)=0,'Daily Workforce'!$M66="Y",IF(OR('Daily Schedule'!$E$2="Full Day",'Daily Schedule'!$E$2="AM"),'Daily Workforce'!$D66="3:45 AM",IF('Daily Schedule'!$E$2="PM",'Daily Workforce'!$E66="PM",'Daily Workforce'!$E66="Overnight"))),'Daily Workforce'!$V66*1000+66,999999999)</f>
        <v>999999999</v>
      </c>
      <c r="BZ7" s="1" t="n">
        <f aca="false">IF(AND('Daily Workforce'!$N67="Y",'Daily Workforce'!$B67&lt;&gt;"",COUNTIF('Daily Schedule'!$F$5:$F10,'Daily Workforce'!$B67)=0,'Daily Workforce'!$M67="Y",IF(OR('Daily Schedule'!$E$2="Full Day",'Daily Schedule'!$E$2="AM"),'Daily Workforce'!$D67="3:45 AM",IF('Daily Schedule'!$E$2="PM",'Daily Workforce'!$E67="PM",'Daily Workforce'!$E67="Overnight"))),'Daily Workforce'!$V67*1000+67,999999999)</f>
        <v>999999999</v>
      </c>
      <c r="CA7" s="1" t="n">
        <f aca="false">IF(AND('Daily Workforce'!$N68="Y",'Daily Workforce'!$B68&lt;&gt;"",COUNTIF('Daily Schedule'!$F$5:$F10,'Daily Workforce'!$B68)=0,'Daily Workforce'!$M68="Y",IF(OR('Daily Schedule'!$E$2="Full Day",'Daily Schedule'!$E$2="AM"),'Daily Workforce'!$D68="3:45 AM",IF('Daily Schedule'!$E$2="PM",'Daily Workforce'!$E68="PM",'Daily Workforce'!$E68="Overnight"))),'Daily Workforce'!$V68*1000+68,999999999)</f>
        <v>999999999</v>
      </c>
      <c r="CB7" s="1" t="n">
        <f aca="false">IF(AND('Daily Workforce'!$N69="Y",'Daily Workforce'!$B69&lt;&gt;"",COUNTIF('Daily Schedule'!$F$5:$F10,'Daily Workforce'!$B69)=0,'Daily Workforce'!$M69="Y",IF(OR('Daily Schedule'!$E$2="Full Day",'Daily Schedule'!$E$2="AM"),'Daily Workforce'!$D69="3:45 AM",IF('Daily Schedule'!$E$2="PM",'Daily Workforce'!$E69="PM",'Daily Workforce'!$E69="Overnight"))),'Daily Workforce'!$V69*1000+69,999999999)</f>
        <v>999999999</v>
      </c>
      <c r="CC7" s="1" t="n">
        <f aca="false">IF(AND('Daily Workforce'!$N70="Y",'Daily Workforce'!$B70&lt;&gt;"",COUNTIF('Daily Schedule'!$F$5:$F10,'Daily Workforce'!$B70)=0,'Daily Workforce'!$M70="Y",IF(OR('Daily Schedule'!$E$2="Full Day",'Daily Schedule'!$E$2="AM"),'Daily Workforce'!$D70="3:45 AM",IF('Daily Schedule'!$E$2="PM",'Daily Workforce'!$E70="PM",'Daily Workforce'!$E70="Overnight"))),'Daily Workforce'!$V70*1000+70,999999999)</f>
        <v>999999999</v>
      </c>
      <c r="CD7" s="1" t="n">
        <f aca="false">IF(AND('Daily Workforce'!$N71="Y",'Daily Workforce'!$B71&lt;&gt;"",COUNTIF('Daily Schedule'!$F$5:$F10,'Daily Workforce'!$B71)=0,'Daily Workforce'!$M71="Y",IF(OR('Daily Schedule'!$E$2="Full Day",'Daily Schedule'!$E$2="AM"),'Daily Workforce'!$D71="3:45 AM",IF('Daily Schedule'!$E$2="PM",'Daily Workforce'!$E71="PM",'Daily Workforce'!$E71="Overnight"))),'Daily Workforce'!$V71*1000+71,999999999)</f>
        <v>999999999</v>
      </c>
      <c r="CE7" s="1" t="n">
        <f aca="false">IF(AND('Daily Workforce'!$N72="Y",'Daily Workforce'!$B72&lt;&gt;"",COUNTIF('Daily Schedule'!$F$5:$F10,'Daily Workforce'!$B72)=0,'Daily Workforce'!$M72="Y",IF(OR('Daily Schedule'!$E$2="Full Day",'Daily Schedule'!$E$2="AM"),'Daily Workforce'!$D72="3:45 AM",IF('Daily Schedule'!$E$2="PM",'Daily Workforce'!$E72="PM",'Daily Workforce'!$E72="Overnight"))),'Daily Workforce'!$V72*1000+72,999999999)</f>
        <v>999999999</v>
      </c>
      <c r="CF7" s="1" t="n">
        <f aca="false">IF(AND('Daily Workforce'!$N73="Y",'Daily Workforce'!$B73&lt;&gt;"",COUNTIF('Daily Schedule'!$F$5:$F10,'Daily Workforce'!$B73)=0,'Daily Workforce'!$M73="Y",IF(OR('Daily Schedule'!$E$2="Full Day",'Daily Schedule'!$E$2="AM"),'Daily Workforce'!$D73="3:45 AM",IF('Daily Schedule'!$E$2="PM",'Daily Workforce'!$E73="PM",'Daily Workforce'!$E73="Overnight"))),'Daily Workforce'!$V73*1000+73,999999999)</f>
        <v>999999999</v>
      </c>
      <c r="CG7" s="1" t="n">
        <f aca="false">IF(AND('Daily Workforce'!$N74="Y",'Daily Workforce'!$B74&lt;&gt;"",COUNTIF('Daily Schedule'!$F$5:$F10,'Daily Workforce'!$B74)=0,'Daily Workforce'!$M74="Y",IF(OR('Daily Schedule'!$E$2="Full Day",'Daily Schedule'!$E$2="AM"),'Daily Workforce'!$D74="3:45 AM",IF('Daily Schedule'!$E$2="PM",'Daily Workforce'!$E74="PM",'Daily Workforce'!$E74="Overnight"))),'Daily Workforce'!$V74*1000+74,999999999)</f>
        <v>999999999</v>
      </c>
      <c r="CH7" s="1" t="n">
        <f aca="false">IF(AND('Daily Workforce'!$N75="Y",'Daily Workforce'!$B75&lt;&gt;"",COUNTIF('Daily Schedule'!$F$5:$F10,'Daily Workforce'!$B75)=0,'Daily Workforce'!$M75="Y",IF(OR('Daily Schedule'!$E$2="Full Day",'Daily Schedule'!$E$2="AM"),'Daily Workforce'!$D75="3:45 AM",IF('Daily Schedule'!$E$2="PM",'Daily Workforce'!$E75="PM",'Daily Workforce'!$E75="Overnight"))),'Daily Workforce'!$V75*1000+75,999999999)</f>
        <v>999999999</v>
      </c>
      <c r="CI7" s="1" t="n">
        <f aca="false">IF(AND('Daily Workforce'!$N76="Y",'Daily Workforce'!$B76&lt;&gt;"",COUNTIF('Daily Schedule'!$F$5:$F10,'Daily Workforce'!$B76)=0,'Daily Workforce'!$M76="Y",IF(OR('Daily Schedule'!$E$2="Full Day",'Daily Schedule'!$E$2="AM"),'Daily Workforce'!$D76="3:45 AM",IF('Daily Schedule'!$E$2="PM",'Daily Workforce'!$E76="PM",'Daily Workforce'!$E76="Overnight"))),'Daily Workforce'!$V76*1000+76,999999999)</f>
        <v>999999999</v>
      </c>
      <c r="CJ7" s="1" t="n">
        <f aca="false">IF(AND('Daily Workforce'!$N77="Y",'Daily Workforce'!$B77&lt;&gt;"",COUNTIF('Daily Schedule'!$F$5:$F10,'Daily Workforce'!$B77)=0,'Daily Workforce'!$M77="Y",IF(OR('Daily Schedule'!$E$2="Full Day",'Daily Schedule'!$E$2="AM"),'Daily Workforce'!$D77="3:45 AM",IF('Daily Schedule'!$E$2="PM",'Daily Workforce'!$E77="PM",'Daily Workforce'!$E77="Overnight"))),'Daily Workforce'!$V77*1000+77,999999999)</f>
        <v>999999999</v>
      </c>
      <c r="CK7" s="1" t="n">
        <f aca="false">IF(AND('Daily Workforce'!$N78="Y",'Daily Workforce'!$B78&lt;&gt;"",COUNTIF('Daily Schedule'!$F$5:$F10,'Daily Workforce'!$B78)=0,'Daily Workforce'!$M78="Y",IF(OR('Daily Schedule'!$E$2="Full Day",'Daily Schedule'!$E$2="AM"),'Daily Workforce'!$D78="3:45 AM",IF('Daily Schedule'!$E$2="PM",'Daily Workforce'!$E78="PM",'Daily Workforce'!$E78="Overnight"))),'Daily Workforce'!$V78*1000+78,999999999)</f>
        <v>999999999</v>
      </c>
      <c r="CL7" s="1" t="n">
        <f aca="false">IF(AND('Daily Workforce'!$N79="Y",'Daily Workforce'!$B79&lt;&gt;"",COUNTIF('Daily Schedule'!$F$5:$F10,'Daily Workforce'!$B79)=0,'Daily Workforce'!$M79="Y",IF(OR('Daily Schedule'!$E$2="Full Day",'Daily Schedule'!$E$2="AM"),'Daily Workforce'!$D79="3:45 AM",IF('Daily Schedule'!$E$2="PM",'Daily Workforce'!$E79="PM",'Daily Workforce'!$E79="Overnight"))),'Daily Workforce'!$V79*1000+79,999999999)</f>
        <v>999999999</v>
      </c>
      <c r="CM7" s="1" t="n">
        <f aca="false">IF(AND('Daily Workforce'!$N80="Y",'Daily Workforce'!$B80&lt;&gt;"",COUNTIF('Daily Schedule'!$F$5:$F10,'Daily Workforce'!$B80)=0,'Daily Workforce'!$M80="Y",IF(OR('Daily Schedule'!$E$2="Full Day",'Daily Schedule'!$E$2="AM"),'Daily Workforce'!$D80="3:45 AM",IF('Daily Schedule'!$E$2="PM",'Daily Workforce'!$E80="PM",'Daily Workforce'!$E80="Overnight"))),'Daily Workforce'!$V80*1000+80,999999999)</f>
        <v>999999999</v>
      </c>
      <c r="CN7" s="1" t="n">
        <f aca="false">IF(AND('Daily Workforce'!$N81="Y",'Daily Workforce'!$B81&lt;&gt;"",COUNTIF('Daily Schedule'!$F$5:$F10,'Daily Workforce'!$B81)=0,'Daily Workforce'!$M81="Y",IF(OR('Daily Schedule'!$E$2="Full Day",'Daily Schedule'!$E$2="AM"),'Daily Workforce'!$D81="3:45 AM",IF('Daily Schedule'!$E$2="PM",'Daily Workforce'!$E81="PM",'Daily Workforce'!$E81="Overnight"))),'Daily Workforce'!$V81*1000+81,999999999)</f>
        <v>999999999</v>
      </c>
      <c r="CO7" s="1" t="n">
        <f aca="false">IF(AND('Daily Workforce'!$N82="Y",'Daily Workforce'!$B82&lt;&gt;"",COUNTIF('Daily Schedule'!$F$5:$F10,'Daily Workforce'!$B82)=0,'Daily Workforce'!$M82="Y",IF(OR('Daily Schedule'!$E$2="Full Day",'Daily Schedule'!$E$2="AM"),'Daily Workforce'!$D82="3:45 AM",IF('Daily Schedule'!$E$2="PM",'Daily Workforce'!$E82="PM",'Daily Workforce'!$E82="Overnight"))),'Daily Workforce'!$V82*1000+82,999999999)</f>
        <v>999999999</v>
      </c>
      <c r="CP7" s="1" t="n">
        <f aca="false">IF(AND('Daily Workforce'!$N83="Y",'Daily Workforce'!$B83&lt;&gt;"",COUNTIF('Daily Schedule'!$F$5:$F10,'Daily Workforce'!$B83)=0,'Daily Workforce'!$M83="Y",IF(OR('Daily Schedule'!$E$2="Full Day",'Daily Schedule'!$E$2="AM"),'Daily Workforce'!$D83="3:45 AM",IF('Daily Schedule'!$E$2="PM",'Daily Workforce'!$E83="PM",'Daily Workforce'!$E83="Overnight"))),'Daily Workforce'!$V83*1000+83,999999999)</f>
        <v>999999999</v>
      </c>
      <c r="CQ7" s="1" t="n">
        <f aca="false">IF(AND('Daily Workforce'!$N84="Y",'Daily Workforce'!$B84&lt;&gt;"",COUNTIF('Daily Schedule'!$F$5:$F10,'Daily Workforce'!$B84)=0,'Daily Workforce'!$M84="Y",IF(OR('Daily Schedule'!$E$2="Full Day",'Daily Schedule'!$E$2="AM"),'Daily Workforce'!$D84="3:45 AM",IF('Daily Schedule'!$E$2="PM",'Daily Workforce'!$E84="PM",'Daily Workforce'!$E84="Overnight"))),'Daily Workforce'!$V84*1000+84,999999999)</f>
        <v>999999999</v>
      </c>
      <c r="CR7" s="1" t="n">
        <f aca="false">IF(AND('Daily Workforce'!$N85="Y",'Daily Workforce'!$B85&lt;&gt;"",COUNTIF('Daily Schedule'!$F$5:$F10,'Daily Workforce'!$B85)=0,'Daily Workforce'!$M85="Y",IF(OR('Daily Schedule'!$E$2="Full Day",'Daily Schedule'!$E$2="AM"),'Daily Workforce'!$D85="3:45 AM",IF('Daily Schedule'!$E$2="PM",'Daily Workforce'!$E85="PM",'Daily Workforce'!$E85="Overnight"))),'Daily Workforce'!$V85*1000+85,999999999)</f>
        <v>999999999</v>
      </c>
      <c r="CS7" s="1" t="n">
        <f aca="false">IF(AND('Daily Workforce'!$N86="Y",'Daily Workforce'!$B86&lt;&gt;"",COUNTIF('Daily Schedule'!$F$5:$F10,'Daily Workforce'!$B86)=0,'Daily Workforce'!$M86="Y",IF(OR('Daily Schedule'!$E$2="Full Day",'Daily Schedule'!$E$2="AM"),'Daily Workforce'!$D86="3:45 AM",IF('Daily Schedule'!$E$2="PM",'Daily Workforce'!$E86="PM",'Daily Workforce'!$E86="Overnight"))),'Daily Workforce'!$V86*1000+86,999999999)</f>
        <v>999999999</v>
      </c>
      <c r="CT7" s="1" t="n">
        <f aca="false">IF(AND('Daily Workforce'!$N87="Y",'Daily Workforce'!$B87&lt;&gt;"",COUNTIF('Daily Schedule'!$F$5:$F10,'Daily Workforce'!$B87)=0,'Daily Workforce'!$M87="Y",IF(OR('Daily Schedule'!$E$2="Full Day",'Daily Schedule'!$E$2="AM"),'Daily Workforce'!$D87="3:45 AM",IF('Daily Schedule'!$E$2="PM",'Daily Workforce'!$E87="PM",'Daily Workforce'!$E87="Overnight"))),'Daily Workforce'!$V87*1000+87,999999999)</f>
        <v>999999999</v>
      </c>
      <c r="CU7" s="1" t="n">
        <f aca="false">IF(AND('Daily Workforce'!$N88="Y",'Daily Workforce'!$B88&lt;&gt;"",COUNTIF('Daily Schedule'!$F$5:$F10,'Daily Workforce'!$B88)=0,'Daily Workforce'!$M88="Y",IF(OR('Daily Schedule'!$E$2="Full Day",'Daily Schedule'!$E$2="AM"),'Daily Workforce'!$D88="3:45 AM",IF('Daily Schedule'!$E$2="PM",'Daily Workforce'!$E88="PM",'Daily Workforce'!$E88="Overnight"))),'Daily Workforce'!$V88*1000+88,999999999)</f>
        <v>999999999</v>
      </c>
      <c r="CV7" s="1" t="n">
        <f aca="false">IF(AND('Daily Workforce'!$N89="Y",'Daily Workforce'!$B89&lt;&gt;"",COUNTIF('Daily Schedule'!$F$5:$F10,'Daily Workforce'!$B89)=0,'Daily Workforce'!$M89="Y",IF(OR('Daily Schedule'!$E$2="Full Day",'Daily Schedule'!$E$2="AM"),'Daily Workforce'!$D89="3:45 AM",IF('Daily Schedule'!$E$2="PM",'Daily Workforce'!$E89="PM",'Daily Workforce'!$E89="Overnight"))),'Daily Workforce'!$V89*1000+89,999999999)</f>
        <v>999999999</v>
      </c>
      <c r="CW7" s="1" t="n">
        <f aca="false">IF(AND('Daily Workforce'!$N90="Y",'Daily Workforce'!$B90&lt;&gt;"",COUNTIF('Daily Schedule'!$F$5:$F10,'Daily Workforce'!$B90)=0,'Daily Workforce'!$M90="Y",IF(OR('Daily Schedule'!$E$2="Full Day",'Daily Schedule'!$E$2="AM"),'Daily Workforce'!$D90="3:45 AM",IF('Daily Schedule'!$E$2="PM",'Daily Workforce'!$E90="PM",'Daily Workforce'!$E90="Overnight"))),'Daily Workforce'!$V90*1000+90,999999999)</f>
        <v>999999999</v>
      </c>
      <c r="CX7" s="1" t="n">
        <f aca="false">IF(AND('Daily Workforce'!$N91="Y",'Daily Workforce'!$B91&lt;&gt;"",COUNTIF('Daily Schedule'!$F$5:$F10,'Daily Workforce'!$B91)=0,'Daily Workforce'!$M91="Y",IF(OR('Daily Schedule'!$E$2="Full Day",'Daily Schedule'!$E$2="AM"),'Daily Workforce'!$D91="3:45 AM",IF('Daily Schedule'!$E$2="PM",'Daily Workforce'!$E91="PM",'Daily Workforce'!$E91="Overnight"))),'Daily Workforce'!$V91*1000+91,999999999)</f>
        <v>999999999</v>
      </c>
      <c r="CY7" s="1" t="n">
        <f aca="false">IF(AND('Daily Workforce'!$N92="Y",'Daily Workforce'!$B92&lt;&gt;"",COUNTIF('Daily Schedule'!$F$5:$F10,'Daily Workforce'!$B92)=0,'Daily Workforce'!$M92="Y",IF(OR('Daily Schedule'!$E$2="Full Day",'Daily Schedule'!$E$2="AM"),'Daily Workforce'!$D92="3:45 AM",IF('Daily Schedule'!$E$2="PM",'Daily Workforce'!$E92="PM",'Daily Workforce'!$E92="Overnight"))),'Daily Workforce'!$V92*1000+92,999999999)</f>
        <v>999999999</v>
      </c>
      <c r="CZ7" s="1" t="n">
        <f aca="false">IF(AND('Daily Workforce'!$N93="Y",'Daily Workforce'!$B93&lt;&gt;"",COUNTIF('Daily Schedule'!$F$5:$F10,'Daily Workforce'!$B93)=0,'Daily Workforce'!$M93="Y",IF(OR('Daily Schedule'!$E$2="Full Day",'Daily Schedule'!$E$2="AM"),'Daily Workforce'!$D93="3:45 AM",IF('Daily Schedule'!$E$2="PM",'Daily Workforce'!$E93="PM",'Daily Workforce'!$E93="Overnight"))),'Daily Workforce'!$V93*1000+93,999999999)</f>
        <v>999999999</v>
      </c>
      <c r="DA7" s="1" t="n">
        <f aca="false">IF(AND('Daily Workforce'!$N94="Y",'Daily Workforce'!$B94&lt;&gt;"",COUNTIF('Daily Schedule'!$F$5:$F10,'Daily Workforce'!$B94)=0,'Daily Workforce'!$M94="Y",IF(OR('Daily Schedule'!$E$2="Full Day",'Daily Schedule'!$E$2="AM"),'Daily Workforce'!$D94="3:45 AM",IF('Daily Schedule'!$E$2="PM",'Daily Workforce'!$E94="PM",'Daily Workforce'!$E94="Overnight"))),'Daily Workforce'!$V94*1000+94,999999999)</f>
        <v>999999999</v>
      </c>
      <c r="DB7" s="1" t="n">
        <f aca="false">IF(AND('Daily Workforce'!$N95="Y",'Daily Workforce'!$B95&lt;&gt;"",COUNTIF('Daily Schedule'!$F$5:$F10,'Daily Workforce'!$B95)=0,'Daily Workforce'!$M95="Y",IF(OR('Daily Schedule'!$E$2="Full Day",'Daily Schedule'!$E$2="AM"),'Daily Workforce'!$D95="3:45 AM",IF('Daily Schedule'!$E$2="PM",'Daily Workforce'!$E95="PM",'Daily Workforce'!$E95="Overnight"))),'Daily Workforce'!$V95*1000+95,999999999)</f>
        <v>999999999</v>
      </c>
      <c r="DC7" s="1" t="n">
        <f aca="false">IF(AND('Daily Workforce'!$N96="Y",'Daily Workforce'!$B96&lt;&gt;"",COUNTIF('Daily Schedule'!$F$5:$F10,'Daily Workforce'!$B96)=0,'Daily Workforce'!$M96="Y",IF(OR('Daily Schedule'!$E$2="Full Day",'Daily Schedule'!$E$2="AM"),'Daily Workforce'!$D96="3:45 AM",IF('Daily Schedule'!$E$2="PM",'Daily Workforce'!$E96="PM",'Daily Workforce'!$E96="Overnight"))),'Daily Workforce'!$V96*1000+96,999999999)</f>
        <v>999999999</v>
      </c>
      <c r="DD7" s="1" t="n">
        <f aca="false">IF(AND('Daily Workforce'!$N97="Y",'Daily Workforce'!$B97&lt;&gt;"",COUNTIF('Daily Schedule'!$F$5:$F10,'Daily Workforce'!$B97)=0,'Daily Workforce'!$M97="Y",IF(OR('Daily Schedule'!$E$2="Full Day",'Daily Schedule'!$E$2="AM"),'Daily Workforce'!$D97="3:45 AM",IF('Daily Schedule'!$E$2="PM",'Daily Workforce'!$E97="PM",'Daily Workforce'!$E97="Overnight"))),'Daily Workforce'!$V97*1000+97,999999999)</f>
        <v>999999999</v>
      </c>
      <c r="DE7" s="1" t="n">
        <f aca="false">IF(AND('Daily Workforce'!$N98="Y",'Daily Workforce'!$B98&lt;&gt;"",COUNTIF('Daily Schedule'!$F$5:$F10,'Daily Workforce'!$B98)=0,'Daily Workforce'!$M98="Y",IF(OR('Daily Schedule'!$E$2="Full Day",'Daily Schedule'!$E$2="AM"),'Daily Workforce'!$D98="3:45 AM",IF('Daily Schedule'!$E$2="PM",'Daily Workforce'!$E98="PM",'Daily Workforce'!$E98="Overnight"))),'Daily Workforce'!$V98*1000+98,999999999)</f>
        <v>999999999</v>
      </c>
      <c r="DF7" s="1" t="n">
        <f aca="false">IF(AND('Daily Workforce'!$N99="Y",'Daily Workforce'!$B99&lt;&gt;"",COUNTIF('Daily Schedule'!$F$5:$F10,'Daily Workforce'!$B99)=0,'Daily Workforce'!$M99="Y",IF(OR('Daily Schedule'!$E$2="Full Day",'Daily Schedule'!$E$2="AM"),'Daily Workforce'!$D99="3:45 AM",IF('Daily Schedule'!$E$2="PM",'Daily Workforce'!$E99="PM",'Daily Workforce'!$E99="Overnight"))),'Daily Workforce'!$V99*1000+99,999999999)</f>
        <v>999999999</v>
      </c>
      <c r="DG7" s="1" t="n">
        <f aca="false">IF(AND('Daily Workforce'!$N100="Y",'Daily Workforce'!$B100&lt;&gt;"",COUNTIF('Daily Schedule'!$F$5:$F10,'Daily Workforce'!$B100)=0,'Daily Workforce'!$M100="Y",IF(OR('Daily Schedule'!$E$2="Full Day",'Daily Schedule'!$E$2="AM"),'Daily Workforce'!$D100="3:45 AM",IF('Daily Schedule'!$E$2="PM",'Daily Workforce'!$E100="PM",'Daily Workforce'!$E100="Overnight"))),'Daily Workforce'!$V100*1000+100,999999999)</f>
        <v>999999999</v>
      </c>
      <c r="DH7" s="1" t="n">
        <f aca="false">IF(AND('Daily Workforce'!$N101="Y",'Daily Workforce'!$B101&lt;&gt;"",COUNTIF('Daily Schedule'!$F$5:$F10,'Daily Workforce'!$B101)=0,'Daily Workforce'!$M101="Y",IF(OR('Daily Schedule'!$E$2="Full Day",'Daily Schedule'!$E$2="AM"),'Daily Workforce'!$D101="3:45 AM",IF('Daily Schedule'!$E$2="PM",'Daily Workforce'!$E101="PM",'Daily Workforce'!$E101="Overnight"))),'Daily Workforce'!$V101*1000+101,999999999)</f>
        <v>999999999</v>
      </c>
      <c r="DI7" s="1" t="n">
        <f aca="false">IF(AND('Daily Workforce'!$N102="Y",'Daily Workforce'!$B102&lt;&gt;"",COUNTIF('Daily Schedule'!$F$5:$F10,'Daily Workforce'!$B102)=0,'Daily Workforce'!$M102="Y",IF(OR('Daily Schedule'!$E$2="Full Day",'Daily Schedule'!$E$2="AM"),'Daily Workforce'!$D102="3:45 AM",IF('Daily Schedule'!$E$2="PM",'Daily Workforce'!$E102="PM",'Daily Workforce'!$E102="Overnight"))),'Daily Workforce'!$V102*1000+102,999999999)</f>
        <v>999999999</v>
      </c>
      <c r="DJ7" s="1" t="n">
        <f aca="false">IF(AND('Daily Workforce'!$N103="Y",'Daily Workforce'!$B103&lt;&gt;"",COUNTIF('Daily Schedule'!$F$5:$F10,'Daily Workforce'!$B103)=0,'Daily Workforce'!$M103="Y",IF(OR('Daily Schedule'!$E$2="Full Day",'Daily Schedule'!$E$2="AM"),'Daily Workforce'!$D103="3:45 AM",IF('Daily Schedule'!$E$2="PM",'Daily Workforce'!$E103="PM",'Daily Workforce'!$E103="Overnight"))),'Daily Workforce'!$V103*1000+103,999999999)</f>
        <v>999999999</v>
      </c>
      <c r="DK7" s="1" t="n">
        <f aca="false">IF(AND('Daily Workforce'!$N104="Y",'Daily Workforce'!$B104&lt;&gt;"",COUNTIF('Daily Schedule'!$F$5:$F10,'Daily Workforce'!$B104)=0,'Daily Workforce'!$M104="Y",IF(OR('Daily Schedule'!$E$2="Full Day",'Daily Schedule'!$E$2="AM"),'Daily Workforce'!$D104="3:45 AM",IF('Daily Schedule'!$E$2="PM",'Daily Workforce'!$E104="PM",'Daily Workforce'!$E104="Overnight"))),'Daily Workforce'!$V104*1000+104,999999999)</f>
        <v>999999999</v>
      </c>
      <c r="DL7" s="1" t="n">
        <f aca="false">IF(AND('Daily Workforce'!$N105="Y",'Daily Workforce'!$B105&lt;&gt;"",COUNTIF('Daily Schedule'!$F$5:$F10,'Daily Workforce'!$B105)=0,'Daily Workforce'!$M105="Y",IF(OR('Daily Schedule'!$E$2="Full Day",'Daily Schedule'!$E$2="AM"),'Daily Workforce'!$D105="3:45 AM",IF('Daily Schedule'!$E$2="PM",'Daily Workforce'!$E105="PM",'Daily Workforce'!$E105="Overnight"))),'Daily Workforce'!$V105*1000+105,999999999)</f>
        <v>999999999</v>
      </c>
      <c r="DM7" s="1" t="n">
        <f aca="false">IF(AND('Daily Workforce'!$N106="Y",'Daily Workforce'!$B106&lt;&gt;"",COUNTIF('Daily Schedule'!$F$5:$F10,'Daily Workforce'!$B106)=0,'Daily Workforce'!$M106="Y",IF(OR('Daily Schedule'!$E$2="Full Day",'Daily Schedule'!$E$2="AM"),'Daily Workforce'!$D106="3:45 AM",IF('Daily Schedule'!$E$2="PM",'Daily Workforce'!$E106="PM",'Daily Workforce'!$E106="Overnight"))),'Daily Workforce'!$V106*1000+106,999999999)</f>
        <v>999999999</v>
      </c>
      <c r="DN7" s="1" t="n">
        <f aca="false">IF(AND('Daily Workforce'!$N107="Y",'Daily Workforce'!$B107&lt;&gt;"",COUNTIF('Daily Schedule'!$F$5:$F10,'Daily Workforce'!$B107)=0,'Daily Workforce'!$M107="Y",IF(OR('Daily Schedule'!$E$2="Full Day",'Daily Schedule'!$E$2="AM"),'Daily Workforce'!$D107="3:45 AM",IF('Daily Schedule'!$E$2="PM",'Daily Workforce'!$E107="PM",'Daily Workforce'!$E107="Overnight"))),'Daily Workforce'!$V107*1000+107,999999999)</f>
        <v>999999999</v>
      </c>
      <c r="DO7" s="1" t="n">
        <f aca="false">IF(AND('Daily Workforce'!$N108="Y",'Daily Workforce'!$B108&lt;&gt;"",COUNTIF('Daily Schedule'!$F$5:$F10,'Daily Workforce'!$B108)=0,'Daily Workforce'!$M108="Y",IF(OR('Daily Schedule'!$E$2="Full Day",'Daily Schedule'!$E$2="AM"),'Daily Workforce'!$D108="3:45 AM",IF('Daily Schedule'!$E$2="PM",'Daily Workforce'!$E108="PM",'Daily Workforce'!$E108="Overnight"))),'Daily Workforce'!$V108*1000+108,999999999)</f>
        <v>999999999</v>
      </c>
      <c r="DP7" s="1" t="n">
        <f aca="false">IF(AND('Daily Workforce'!$N109="Y",'Daily Workforce'!$B109&lt;&gt;"",COUNTIF('Daily Schedule'!$F$5:$F10,'Daily Workforce'!$B109)=0,'Daily Workforce'!$M109="Y",IF(OR('Daily Schedule'!$E$2="Full Day",'Daily Schedule'!$E$2="AM"),'Daily Workforce'!$D109="3:45 AM",IF('Daily Schedule'!$E$2="PM",'Daily Workforce'!$E109="PM",'Daily Workforce'!$E109="Overnight"))),'Daily Workforce'!$V109*1000+109,999999999)</f>
        <v>999999999</v>
      </c>
      <c r="DQ7" s="1" t="n">
        <f aca="false">IF(AND('Daily Workforce'!$N110="Y",'Daily Workforce'!$B110&lt;&gt;"",COUNTIF('Daily Schedule'!$F$5:$F10,'Daily Workforce'!$B110)=0,'Daily Workforce'!$M110="Y",IF(OR('Daily Schedule'!$E$2="Full Day",'Daily Schedule'!$E$2="AM"),'Daily Workforce'!$D110="3:45 AM",IF('Daily Schedule'!$E$2="PM",'Daily Workforce'!$E110="PM",'Daily Workforce'!$E110="Overnight"))),'Daily Workforce'!$V110*1000+110,999999999)</f>
        <v>999999999</v>
      </c>
      <c r="DR7" s="1" t="n">
        <f aca="false">IF(AND('Daily Workforce'!$N111="Y",'Daily Workforce'!$B111&lt;&gt;"",COUNTIF('Daily Schedule'!$F$5:$F10,'Daily Workforce'!$B111)=0,'Daily Workforce'!$M111="Y",IF(OR('Daily Schedule'!$E$2="Full Day",'Daily Schedule'!$E$2="AM"),'Daily Workforce'!$D111="3:45 AM",IF('Daily Schedule'!$E$2="PM",'Daily Workforce'!$E111="PM",'Daily Workforce'!$E111="Overnight"))),'Daily Workforce'!$V111*1000+111,999999999)</f>
        <v>999999999</v>
      </c>
      <c r="DS7" s="1" t="n">
        <f aca="false">IF(AND('Daily Workforce'!$N112="Y",'Daily Workforce'!$B112&lt;&gt;"",COUNTIF('Daily Schedule'!$F$5:$F10,'Daily Workforce'!$B112)=0,'Daily Workforce'!$M112="Y",IF(OR('Daily Schedule'!$E$2="Full Day",'Daily Schedule'!$E$2="AM"),'Daily Workforce'!$D112="3:45 AM",IF('Daily Schedule'!$E$2="PM",'Daily Workforce'!$E112="PM",'Daily Workforce'!$E112="Overnight"))),'Daily Workforce'!$V112*1000+112,999999999)</f>
        <v>999999999</v>
      </c>
      <c r="DT7" s="1" t="n">
        <f aca="false">IF(AND('Daily Workforce'!$N113="Y",'Daily Workforce'!$B113&lt;&gt;"",COUNTIF('Daily Schedule'!$F$5:$F10,'Daily Workforce'!$B113)=0,'Daily Workforce'!$M113="Y",IF(OR('Daily Schedule'!$E$2="Full Day",'Daily Schedule'!$E$2="AM"),'Daily Workforce'!$D113="3:45 AM",IF('Daily Schedule'!$E$2="PM",'Daily Workforce'!$E113="PM",'Daily Workforce'!$E113="Overnight"))),'Daily Workforce'!$V113*1000+113,999999999)</f>
        <v>999999999</v>
      </c>
      <c r="DU7" s="1" t="n">
        <f aca="false">IF(AND('Daily Workforce'!$N114="Y",'Daily Workforce'!$B114&lt;&gt;"",COUNTIF('Daily Schedule'!$F$5:$F10,'Daily Workforce'!$B114)=0,'Daily Workforce'!$M114="Y",IF(OR('Daily Schedule'!$E$2="Full Day",'Daily Schedule'!$E$2="AM"),'Daily Workforce'!$D114="3:45 AM",IF('Daily Schedule'!$E$2="PM",'Daily Workforce'!$E114="PM",'Daily Workforce'!$E114="Overnight"))),'Daily Workforce'!$V114*1000+114,999999999)</f>
        <v>999999999</v>
      </c>
      <c r="DV7" s="1" t="n">
        <f aca="false">IF(AND('Daily Workforce'!$N115="Y",'Daily Workforce'!$B115&lt;&gt;"",COUNTIF('Daily Schedule'!$F$5:$F10,'Daily Workforce'!$B115)=0,'Daily Workforce'!$M115="Y",IF(OR('Daily Schedule'!$E$2="Full Day",'Daily Schedule'!$E$2="AM"),'Daily Workforce'!$D115="3:45 AM",IF('Daily Schedule'!$E$2="PM",'Daily Workforce'!$E115="PM",'Daily Workforce'!$E115="Overnight"))),'Daily Workforce'!$V115*1000+115,999999999)</f>
        <v>999999999</v>
      </c>
      <c r="DW7" s="1" t="n">
        <f aca="false">IF(AND('Daily Workforce'!$N116="Y",'Daily Workforce'!$B116&lt;&gt;"",COUNTIF('Daily Schedule'!$F$5:$F10,'Daily Workforce'!$B116)=0,'Daily Workforce'!$M116="Y",IF(OR('Daily Schedule'!$E$2="Full Day",'Daily Schedule'!$E$2="AM"),'Daily Workforce'!$D116="3:45 AM",IF('Daily Schedule'!$E$2="PM",'Daily Workforce'!$E116="PM",'Daily Workforce'!$E116="Overnight"))),'Daily Workforce'!$V116*1000+116,999999999)</f>
        <v>999999999</v>
      </c>
      <c r="DX7" s="1" t="n">
        <f aca="false">IF(AND('Daily Workforce'!$N117="Y",'Daily Workforce'!$B117&lt;&gt;"",COUNTIF('Daily Schedule'!$F$5:$F10,'Daily Workforce'!$B117)=0,'Daily Workforce'!$M117="Y",IF(OR('Daily Schedule'!$E$2="Full Day",'Daily Schedule'!$E$2="AM"),'Daily Workforce'!$D117="3:45 AM",IF('Daily Schedule'!$E$2="PM",'Daily Workforce'!$E117="PM",'Daily Workforce'!$E117="Overnight"))),'Daily Workforce'!$V117*1000+117,999999999)</f>
        <v>999999999</v>
      </c>
      <c r="DY7" s="1" t="n">
        <f aca="false">IF(AND('Daily Workforce'!$N118="Y",'Daily Workforce'!$B118&lt;&gt;"",COUNTIF('Daily Schedule'!$F$5:$F10,'Daily Workforce'!$B118)=0,'Daily Workforce'!$M118="Y",IF(OR('Daily Schedule'!$E$2="Full Day",'Daily Schedule'!$E$2="AM"),'Daily Workforce'!$D118="3:45 AM",IF('Daily Schedule'!$E$2="PM",'Daily Workforce'!$E118="PM",'Daily Workforce'!$E118="Overnight"))),'Daily Workforce'!$V118*1000+118,999999999)</f>
        <v>999999999</v>
      </c>
      <c r="DZ7" s="1" t="n">
        <f aca="false">IF(AND('Daily Workforce'!$N119="Y",'Daily Workforce'!$B119&lt;&gt;"",COUNTIF('Daily Schedule'!$F$5:$F10,'Daily Workforce'!$B119)=0,'Daily Workforce'!$M119="Y",IF(OR('Daily Schedule'!$E$2="Full Day",'Daily Schedule'!$E$2="AM"),'Daily Workforce'!$D119="3:45 AM",IF('Daily Schedule'!$E$2="PM",'Daily Workforce'!$E119="PM",'Daily Workforce'!$E119="Overnight"))),'Daily Workforce'!$V119*1000+119,999999999)</f>
        <v>999999999</v>
      </c>
      <c r="EA7" s="1" t="n">
        <f aca="false">IF(AND('Daily Workforce'!$N120="Y",'Daily Workforce'!$B120&lt;&gt;"",COUNTIF('Daily Schedule'!$F$5:$F10,'Daily Workforce'!$B120)=0,'Daily Workforce'!$M120="Y",IF(OR('Daily Schedule'!$E$2="Full Day",'Daily Schedule'!$E$2="AM"),'Daily Workforce'!$D120="3:45 AM",IF('Daily Schedule'!$E$2="PM",'Daily Workforce'!$E120="PM",'Daily Workforce'!$E120="Overnight"))),'Daily Workforce'!$V120*1000+120,999999999)</f>
        <v>999999999</v>
      </c>
      <c r="EB7" s="1" t="n">
        <f aca="false">IF(AND('Daily Workforce'!$N121="Y",'Daily Workforce'!$B121&lt;&gt;"",COUNTIF('Daily Schedule'!$F$5:$F10,'Daily Workforce'!$B121)=0,'Daily Workforce'!$M121="Y",IF(OR('Daily Schedule'!$E$2="Full Day",'Daily Schedule'!$E$2="AM"),'Daily Workforce'!$D121="3:45 AM",IF('Daily Schedule'!$E$2="PM",'Daily Workforce'!$E121="PM",'Daily Workforce'!$E121="Overnight"))),'Daily Workforce'!$V121*1000+121,999999999)</f>
        <v>999999999</v>
      </c>
      <c r="EC7" s="1" t="n">
        <f aca="false">IF(AND('Daily Workforce'!$N122="Y",'Daily Workforce'!$B122&lt;&gt;"",COUNTIF('Daily Schedule'!$F$5:$F10,'Daily Workforce'!$B122)=0,'Daily Workforce'!$M122="Y",IF(OR('Daily Schedule'!$E$2="Full Day",'Daily Schedule'!$E$2="AM"),'Daily Workforce'!$D122="3:45 AM",IF('Daily Schedule'!$E$2="PM",'Daily Workforce'!$E122="PM",'Daily Workforce'!$E122="Overnight"))),'Daily Workforce'!$V122*1000+122,999999999)</f>
        <v>999999999</v>
      </c>
      <c r="ED7" s="1" t="n">
        <f aca="false">IF(AND('Daily Workforce'!$N123="Y",'Daily Workforce'!$B123&lt;&gt;"",COUNTIF('Daily Schedule'!$F$5:$F10,'Daily Workforce'!$B123)=0,'Daily Workforce'!$M123="Y",IF(OR('Daily Schedule'!$E$2="Full Day",'Daily Schedule'!$E$2="AM"),'Daily Workforce'!$D123="3:45 AM",IF('Daily Schedule'!$E$2="PM",'Daily Workforce'!$E123="PM",'Daily Workforce'!$E123="Overnight"))),'Daily Workforce'!$V123*1000+123,999999999)</f>
        <v>999999999</v>
      </c>
      <c r="EE7" s="1" t="n">
        <f aca="false">IF(AND('Daily Workforce'!$N124="Y",'Daily Workforce'!$B124&lt;&gt;"",COUNTIF('Daily Schedule'!$F$5:$F10,'Daily Workforce'!$B124)=0,'Daily Workforce'!$M124="Y",IF(OR('Daily Schedule'!$E$2="Full Day",'Daily Schedule'!$E$2="AM"),'Daily Workforce'!$D124="3:45 AM",IF('Daily Schedule'!$E$2="PM",'Daily Workforce'!$E124="PM",'Daily Workforce'!$E124="Overnight"))),'Daily Workforce'!$V124*1000+124,999999999)</f>
        <v>999999999</v>
      </c>
      <c r="EF7" s="1" t="n">
        <f aca="false">IF(AND('Daily Workforce'!$N125="Y",'Daily Workforce'!$B125&lt;&gt;"",COUNTIF('Daily Schedule'!$F$5:$F10,'Daily Workforce'!$B125)=0,'Daily Workforce'!$M125="Y",IF(OR('Daily Schedule'!$E$2="Full Day",'Daily Schedule'!$E$2="AM"),'Daily Workforce'!$D125="3:45 AM",IF('Daily Schedule'!$E$2="PM",'Daily Workforce'!$E125="PM",'Daily Workforce'!$E125="Overnight"))),'Daily Workforce'!$V125*1000+125,999999999)</f>
        <v>999999999</v>
      </c>
      <c r="EG7" s="1" t="n">
        <f aca="false">IF(AND('Daily Workforce'!$N126="Y",'Daily Workforce'!$B126&lt;&gt;"",COUNTIF('Daily Schedule'!$F$5:$F10,'Daily Workforce'!$B126)=0,'Daily Workforce'!$M126="Y",IF(OR('Daily Schedule'!$E$2="Full Day",'Daily Schedule'!$E$2="AM"),'Daily Workforce'!$D126="3:45 AM",IF('Daily Schedule'!$E$2="PM",'Daily Workforce'!$E126="PM",'Daily Workforce'!$E126="Overnight"))),'Daily Workforce'!$V126*1000+126,999999999)</f>
        <v>999999999</v>
      </c>
      <c r="EH7" s="1" t="n">
        <f aca="false">IF(AND('Daily Workforce'!$N127="Y",'Daily Workforce'!$B127&lt;&gt;"",COUNTIF('Daily Schedule'!$F$5:$F10,'Daily Workforce'!$B127)=0,'Daily Workforce'!$M127="Y",IF(OR('Daily Schedule'!$E$2="Full Day",'Daily Schedule'!$E$2="AM"),'Daily Workforce'!$D127="3:45 AM",IF('Daily Schedule'!$E$2="PM",'Daily Workforce'!$E127="PM",'Daily Workforce'!$E127="Overnight"))),'Daily Workforce'!$V127*1000+127,999999999)</f>
        <v>999999999</v>
      </c>
      <c r="EI7" s="1" t="n">
        <f aca="false">IF(AND('Daily Workforce'!$N128="Y",'Daily Workforce'!$B128&lt;&gt;"",COUNTIF('Daily Schedule'!$F$5:$F10,'Daily Workforce'!$B128)=0,'Daily Workforce'!$M128="Y",IF(OR('Daily Schedule'!$E$2="Full Day",'Daily Schedule'!$E$2="AM"),'Daily Workforce'!$D128="3:45 AM",IF('Daily Schedule'!$E$2="PM",'Daily Workforce'!$E128="PM",'Daily Workforce'!$E128="Overnight"))),'Daily Workforce'!$V128*1000+128,999999999)</f>
        <v>999999999</v>
      </c>
      <c r="EJ7" s="1" t="n">
        <f aca="false">IF(AND('Daily Workforce'!$N129="Y",'Daily Workforce'!$B129&lt;&gt;"",COUNTIF('Daily Schedule'!$F$5:$F10,'Daily Workforce'!$B129)=0,'Daily Workforce'!$M129="Y",IF(OR('Daily Schedule'!$E$2="Full Day",'Daily Schedule'!$E$2="AM"),'Daily Workforce'!$D129="3:45 AM",IF('Daily Schedule'!$E$2="PM",'Daily Workforce'!$E129="PM",'Daily Workforce'!$E129="Overnight"))),'Daily Workforce'!$V129*1000+129,999999999)</f>
        <v>999999999</v>
      </c>
      <c r="EK7" s="1" t="n">
        <f aca="false">IF(AND('Daily Workforce'!$N130="Y",'Daily Workforce'!$B130&lt;&gt;"",COUNTIF('Daily Schedule'!$F$5:$F10,'Daily Workforce'!$B130)=0,'Daily Workforce'!$M130="Y",IF(OR('Daily Schedule'!$E$2="Full Day",'Daily Schedule'!$E$2="AM"),'Daily Workforce'!$D130="3:45 AM",IF('Daily Schedule'!$E$2="PM",'Daily Workforce'!$E130="PM",'Daily Workforce'!$E130="Overnight"))),'Daily Workforce'!$V130*1000+130,999999999)</f>
        <v>999999999</v>
      </c>
      <c r="EL7" s="1" t="n">
        <f aca="false">IF(AND('Daily Workforce'!$N131="Y",'Daily Workforce'!$B131&lt;&gt;"",COUNTIF('Daily Schedule'!$F$5:$F10,'Daily Workforce'!$B131)=0,'Daily Workforce'!$M131="Y",IF(OR('Daily Schedule'!$E$2="Full Day",'Daily Schedule'!$E$2="AM"),'Daily Workforce'!$D131="3:45 AM",IF('Daily Schedule'!$E$2="PM",'Daily Workforce'!$E131="PM",'Daily Workforce'!$E131="Overnight"))),'Daily Workforce'!$V131*1000+131,999999999)</f>
        <v>999999999</v>
      </c>
      <c r="EM7" s="1" t="n">
        <f aca="false">IF(AND('Daily Workforce'!$N132="Y",'Daily Workforce'!$B132&lt;&gt;"",COUNTIF('Daily Schedule'!$F$5:$F10,'Daily Workforce'!$B132)=0,'Daily Workforce'!$M132="Y",IF(OR('Daily Schedule'!$E$2="Full Day",'Daily Schedule'!$E$2="AM"),'Daily Workforce'!$D132="3:45 AM",IF('Daily Schedule'!$E$2="PM",'Daily Workforce'!$E132="PM",'Daily Workforce'!$E132="Overnight"))),'Daily Workforce'!$V132*1000+132,999999999)</f>
        <v>999999999</v>
      </c>
      <c r="EN7" s="1" t="n">
        <f aca="false">IF(AND('Daily Workforce'!$N133="Y",'Daily Workforce'!$B133&lt;&gt;"",COUNTIF('Daily Schedule'!$F$5:$F10,'Daily Workforce'!$B133)=0,'Daily Workforce'!$M133="Y",IF(OR('Daily Schedule'!$E$2="Full Day",'Daily Schedule'!$E$2="AM"),'Daily Workforce'!$D133="3:45 AM",IF('Daily Schedule'!$E$2="PM",'Daily Workforce'!$E133="PM",'Daily Workforce'!$E133="Overnight"))),'Daily Workforce'!$V133*1000+133,999999999)</f>
        <v>999999999</v>
      </c>
      <c r="EO7" s="1" t="n">
        <f aca="false">IF(AND('Daily Workforce'!$N134="Y",'Daily Workforce'!$B134&lt;&gt;"",COUNTIF('Daily Schedule'!$F$5:$F10,'Daily Workforce'!$B134)=0,'Daily Workforce'!$M134="Y",IF(OR('Daily Schedule'!$E$2="Full Day",'Daily Schedule'!$E$2="AM"),'Daily Workforce'!$D134="3:45 AM",IF('Daily Schedule'!$E$2="PM",'Daily Workforce'!$E134="PM",'Daily Workforce'!$E134="Overnight"))),'Daily Workforce'!$V134*1000+134,999999999)</f>
        <v>999999999</v>
      </c>
      <c r="EP7" s="1" t="n">
        <f aca="false">IF(AND('Daily Workforce'!$N135="Y",'Daily Workforce'!$B135&lt;&gt;"",COUNTIF('Daily Schedule'!$F$5:$F10,'Daily Workforce'!$B135)=0,'Daily Workforce'!$M135="Y",IF(OR('Daily Schedule'!$E$2="Full Day",'Daily Schedule'!$E$2="AM"),'Daily Workforce'!$D135="3:45 AM",IF('Daily Schedule'!$E$2="PM",'Daily Workforce'!$E135="PM",'Daily Workforce'!$E135="Overnight"))),'Daily Workforce'!$V135*1000+135,999999999)</f>
        <v>999999999</v>
      </c>
      <c r="EQ7" s="1" t="n">
        <f aca="false">IF(AND('Daily Workforce'!$N136="Y",'Daily Workforce'!$B136&lt;&gt;"",COUNTIF('Daily Schedule'!$F$5:$F10,'Daily Workforce'!$B136)=0,'Daily Workforce'!$M136="Y",IF(OR('Daily Schedule'!$E$2="Full Day",'Daily Schedule'!$E$2="AM"),'Daily Workforce'!$D136="3:45 AM",IF('Daily Schedule'!$E$2="PM",'Daily Workforce'!$E136="PM",'Daily Workforce'!$E136="Overnight"))),'Daily Workforce'!$V136*1000+136,999999999)</f>
        <v>999999999</v>
      </c>
      <c r="ER7" s="1" t="n">
        <f aca="false">IF(AND('Daily Workforce'!$N137="Y",'Daily Workforce'!$B137&lt;&gt;"",COUNTIF('Daily Schedule'!$F$5:$F10,'Daily Workforce'!$B137)=0,'Daily Workforce'!$M137="Y",IF(OR('Daily Schedule'!$E$2="Full Day",'Daily Schedule'!$E$2="AM"),'Daily Workforce'!$D137="3:45 AM",IF('Daily Schedule'!$E$2="PM",'Daily Workforce'!$E137="PM",'Daily Workforce'!$E137="Overnight"))),'Daily Workforce'!$V137*1000+137,999999999)</f>
        <v>999999999</v>
      </c>
      <c r="ES7" s="1" t="n">
        <f aca="false">IF(AND('Daily Workforce'!$N138="Y",'Daily Workforce'!$B138&lt;&gt;"",COUNTIF('Daily Schedule'!$F$5:$F10,'Daily Workforce'!$B138)=0,'Daily Workforce'!$M138="Y",IF(OR('Daily Schedule'!$E$2="Full Day",'Daily Schedule'!$E$2="AM"),'Daily Workforce'!$D138="3:45 AM",IF('Daily Schedule'!$E$2="PM",'Daily Workforce'!$E138="PM",'Daily Workforce'!$E138="Overnight"))),'Daily Workforce'!$V138*1000+138,999999999)</f>
        <v>999999999</v>
      </c>
      <c r="ET7" s="1" t="n">
        <f aca="false">IF(AND('Daily Workforce'!$N139="Y",'Daily Workforce'!$B139&lt;&gt;"",COUNTIF('Daily Schedule'!$F$5:$F10,'Daily Workforce'!$B139)=0,'Daily Workforce'!$M139="Y",IF(OR('Daily Schedule'!$E$2="Full Day",'Daily Schedule'!$E$2="AM"),'Daily Workforce'!$D139="3:45 AM",IF('Daily Schedule'!$E$2="PM",'Daily Workforce'!$E139="PM",'Daily Workforce'!$E139="Overnight"))),'Daily Workforce'!$V139*1000+139,999999999)</f>
        <v>999999999</v>
      </c>
      <c r="EU7" s="1" t="n">
        <f aca="false">IF(AND('Daily Workforce'!$N140="Y",'Daily Workforce'!$B140&lt;&gt;"",COUNTIF('Daily Schedule'!$F$5:$F10,'Daily Workforce'!$B140)=0,'Daily Workforce'!$M140="Y",IF(OR('Daily Schedule'!$E$2="Full Day",'Daily Schedule'!$E$2="AM"),'Daily Workforce'!$D140="3:45 AM",IF('Daily Schedule'!$E$2="PM",'Daily Workforce'!$E140="PM",'Daily Workforce'!$E140="Overnight"))),'Daily Workforce'!$V140*1000+140,999999999)</f>
        <v>999999999</v>
      </c>
      <c r="EV7" s="1" t="n">
        <f aca="false">IF(AND('Daily Workforce'!$N141="Y",'Daily Workforce'!$B141&lt;&gt;"",COUNTIF('Daily Schedule'!$F$5:$F10,'Daily Workforce'!$B141)=0,'Daily Workforce'!$M141="Y",IF(OR('Daily Schedule'!$E$2="Full Day",'Daily Schedule'!$E$2="AM"),'Daily Workforce'!$D141="3:45 AM",IF('Daily Schedule'!$E$2="PM",'Daily Workforce'!$E141="PM",'Daily Workforce'!$E141="Overnight"))),'Daily Workforce'!$V141*1000+141,999999999)</f>
        <v>999999999</v>
      </c>
      <c r="EW7" s="1" t="n">
        <f aca="false">IF(AND('Daily Workforce'!$N142="Y",'Daily Workforce'!$B142&lt;&gt;"",COUNTIF('Daily Schedule'!$F$5:$F10,'Daily Workforce'!$B142)=0,'Daily Workforce'!$M142="Y",IF(OR('Daily Schedule'!$E$2="Full Day",'Daily Schedule'!$E$2="AM"),'Daily Workforce'!$D142="3:45 AM",IF('Daily Schedule'!$E$2="PM",'Daily Workforce'!$E142="PM",'Daily Workforce'!$E142="Overnight"))),'Daily Workforce'!$V142*1000+142,999999999)</f>
        <v>999999999</v>
      </c>
      <c r="EX7" s="1" t="n">
        <f aca="false">IF(AND('Daily Workforce'!$N143="Y",'Daily Workforce'!$B143&lt;&gt;"",COUNTIF('Daily Schedule'!$F$5:$F10,'Daily Workforce'!$B143)=0,'Daily Workforce'!$M143="Y",IF(OR('Daily Schedule'!$E$2="Full Day",'Daily Schedule'!$E$2="AM"),'Daily Workforce'!$D143="3:45 AM",IF('Daily Schedule'!$E$2="PM",'Daily Workforce'!$E143="PM",'Daily Workforce'!$E143="Overnight"))),'Daily Workforce'!$V143*1000+143,999999999)</f>
        <v>999999999</v>
      </c>
      <c r="EY7" s="1" t="n">
        <f aca="false">IF(AND('Daily Workforce'!$N144="Y",'Daily Workforce'!$B144&lt;&gt;"",COUNTIF('Daily Schedule'!$F$5:$F10,'Daily Workforce'!$B144)=0,'Daily Workforce'!$M144="Y",IF(OR('Daily Schedule'!$E$2="Full Day",'Daily Schedule'!$E$2="AM"),'Daily Workforce'!$D144="3:45 AM",IF('Daily Schedule'!$E$2="PM",'Daily Workforce'!$E144="PM",'Daily Workforce'!$E144="Overnight"))),'Daily Workforce'!$V144*1000+144,999999999)</f>
        <v>999999999</v>
      </c>
      <c r="EZ7" s="1" t="n">
        <f aca="false">IF(AND('Daily Workforce'!$N145="Y",'Daily Workforce'!$B145&lt;&gt;"",COUNTIF('Daily Schedule'!$F$5:$F10,'Daily Workforce'!$B145)=0,'Daily Workforce'!$M145="Y",IF(OR('Daily Schedule'!$E$2="Full Day",'Daily Schedule'!$E$2="AM"),'Daily Workforce'!$D145="3:45 AM",IF('Daily Schedule'!$E$2="PM",'Daily Workforce'!$E145="PM",'Daily Workforce'!$E145="Overnight"))),'Daily Workforce'!$V145*1000+145,999999999)</f>
        <v>999999999</v>
      </c>
      <c r="FA7" s="1" t="n">
        <f aca="false">IF(AND('Daily Workforce'!$N146="Y",'Daily Workforce'!$B146&lt;&gt;"",COUNTIF('Daily Schedule'!$F$5:$F10,'Daily Workforce'!$B146)=0,'Daily Workforce'!$M146="Y",IF(OR('Daily Schedule'!$E$2="Full Day",'Daily Schedule'!$E$2="AM"),'Daily Workforce'!$D146="3:45 AM",IF('Daily Schedule'!$E$2="PM",'Daily Workforce'!$E146="PM",'Daily Workforce'!$E146="Overnight"))),'Daily Workforce'!$V146*1000+146,999999999)</f>
        <v>999999999</v>
      </c>
      <c r="FB7" s="1" t="n">
        <f aca="false">IF(AND('Daily Workforce'!$N147="Y",'Daily Workforce'!$B147&lt;&gt;"",COUNTIF('Daily Schedule'!$F$5:$F10,'Daily Workforce'!$B147)=0,'Daily Workforce'!$M147="Y",IF(OR('Daily Schedule'!$E$2="Full Day",'Daily Schedule'!$E$2="AM"),'Daily Workforce'!$D147="3:45 AM",IF('Daily Schedule'!$E$2="PM",'Daily Workforce'!$E147="PM",'Daily Workforce'!$E147="Overnight"))),'Daily Workforce'!$V147*1000+147,999999999)</f>
        <v>999999999</v>
      </c>
      <c r="FC7" s="1" t="n">
        <f aca="false">IF(AND('Daily Workforce'!$N148="Y",'Daily Workforce'!$B148&lt;&gt;"",COUNTIF('Daily Schedule'!$F$5:$F10,'Daily Workforce'!$B148)=0,'Daily Workforce'!$M148="Y",IF(OR('Daily Schedule'!$E$2="Full Day",'Daily Schedule'!$E$2="AM"),'Daily Workforce'!$D148="3:45 AM",IF('Daily Schedule'!$E$2="PM",'Daily Workforce'!$E148="PM",'Daily Workforce'!$E148="Overnight"))),'Daily Workforce'!$V148*1000+148,999999999)</f>
        <v>999999999</v>
      </c>
      <c r="FD7" s="1" t="n">
        <f aca="false">IF(AND('Daily Workforce'!$N149="Y",'Daily Workforce'!$B149&lt;&gt;"",COUNTIF('Daily Schedule'!$F$5:$F10,'Daily Workforce'!$B149)=0,'Daily Workforce'!$M149="Y",IF(OR('Daily Schedule'!$E$2="Full Day",'Daily Schedule'!$E$2="AM"),'Daily Workforce'!$D149="3:45 AM",IF('Daily Schedule'!$E$2="PM",'Daily Workforce'!$E149="PM",'Daily Workforce'!$E149="Overnight"))),'Daily Workforce'!$V149*1000+149,999999999)</f>
        <v>999999999</v>
      </c>
      <c r="FE7" s="1" t="n">
        <f aca="false">IF(AND('Daily Workforce'!$N150="Y",'Daily Workforce'!$B150&lt;&gt;"",COUNTIF('Daily Schedule'!$F$5:$F10,'Daily Workforce'!$B150)=0,'Daily Workforce'!$M150="Y",IF(OR('Daily Schedule'!$E$2="Full Day",'Daily Schedule'!$E$2="AM"),'Daily Workforce'!$D150="3:45 AM",IF('Daily Schedule'!$E$2="PM",'Daily Workforce'!$E150="PM",'Daily Workforce'!$E150="Overnight"))),'Daily Workforce'!$V150*1000+150,999999999)</f>
        <v>999999999</v>
      </c>
      <c r="FF7" s="1" t="n">
        <f aca="false">IF(AND('Daily Workforce'!$N151="Y",'Daily Workforce'!$B151&lt;&gt;"",COUNTIF('Daily Schedule'!$F$5:$F10,'Daily Workforce'!$B151)=0,'Daily Workforce'!$M151="Y",IF(OR('Daily Schedule'!$E$2="Full Day",'Daily Schedule'!$E$2="AM"),'Daily Workforce'!$D151="3:45 AM",IF('Daily Schedule'!$E$2="PM",'Daily Workforce'!$E151="PM",'Daily Workforce'!$E151="Overnight"))),'Daily Workforce'!$V151*1000+151,999999999)</f>
        <v>999999999</v>
      </c>
      <c r="FG7" s="1" t="n">
        <f aca="false">IF(AND('Daily Workforce'!$N152="Y",'Daily Workforce'!$B152&lt;&gt;"",COUNTIF('Daily Schedule'!$F$5:$F10,'Daily Workforce'!$B152)=0,'Daily Workforce'!$M152="Y",IF(OR('Daily Schedule'!$E$2="Full Day",'Daily Schedule'!$E$2="AM"),'Daily Workforce'!$D152="3:45 AM",IF('Daily Schedule'!$E$2="PM",'Daily Workforce'!$E152="PM",'Daily Workforce'!$E152="Overnight"))),'Daily Workforce'!$V152*1000+152,999999999)</f>
        <v>999999999</v>
      </c>
      <c r="FH7" s="1" t="n">
        <f aca="false">IF(AND('Daily Workforce'!$N153="Y",'Daily Workforce'!$B153&lt;&gt;"",COUNTIF('Daily Schedule'!$F$5:$F10,'Daily Workforce'!$B153)=0,'Daily Workforce'!$M153="Y",IF(OR('Daily Schedule'!$E$2="Full Day",'Daily Schedule'!$E$2="AM"),'Daily Workforce'!$D153="3:45 AM",IF('Daily Schedule'!$E$2="PM",'Daily Workforce'!$E153="PM",'Daily Workforce'!$E153="Overnight"))),'Daily Workforce'!$V153*1000+153,999999999)</f>
        <v>999999999</v>
      </c>
      <c r="FI7" s="1" t="n">
        <f aca="false">IF(AND('Daily Workforce'!$N154="Y",'Daily Workforce'!$B154&lt;&gt;"",COUNTIF('Daily Schedule'!$F$5:$F10,'Daily Workforce'!$B154)=0,'Daily Workforce'!$M154="Y",IF(OR('Daily Schedule'!$E$2="Full Day",'Daily Schedule'!$E$2="AM"),'Daily Workforce'!$D154="3:45 AM",IF('Daily Schedule'!$E$2="PM",'Daily Workforce'!$E154="PM",'Daily Workforce'!$E154="Overnight"))),'Daily Workforce'!$V154*1000+154,999999999)</f>
        <v>999999999</v>
      </c>
      <c r="FJ7" s="1" t="n">
        <f aca="false">IF(AND('Daily Workforce'!$N155="Y",'Daily Workforce'!$B155&lt;&gt;"",COUNTIF('Daily Schedule'!$F$5:$F10,'Daily Workforce'!$B155)=0,'Daily Workforce'!$M155="Y",IF(OR('Daily Schedule'!$E$2="Full Day",'Daily Schedule'!$E$2="AM"),'Daily Workforce'!$D155="3:45 AM",IF('Daily Schedule'!$E$2="PM",'Daily Workforce'!$E155="PM",'Daily Workforce'!$E155="Overnight"))),'Daily Workforce'!$V155*1000+155,999999999)</f>
        <v>999999999</v>
      </c>
      <c r="FK7" s="1" t="n">
        <f aca="false">IF(AND('Daily Workforce'!$N156="Y",'Daily Workforce'!$B156&lt;&gt;"",COUNTIF('Daily Schedule'!$F$5:$F10,'Daily Workforce'!$B156)=0,'Daily Workforce'!$M156="Y",IF(OR('Daily Schedule'!$E$2="Full Day",'Daily Schedule'!$E$2="AM"),'Daily Workforce'!$D156="3:45 AM",IF('Daily Schedule'!$E$2="PM",'Daily Workforce'!$E156="PM",'Daily Workforce'!$E156="Overnight"))),'Daily Workforce'!$V156*1000+156,999999999)</f>
        <v>999999999</v>
      </c>
      <c r="FL7" s="1" t="n">
        <f aca="false">IF(AND('Daily Workforce'!$N157="Y",'Daily Workforce'!$B157&lt;&gt;"",COUNTIF('Daily Schedule'!$F$5:$F10,'Daily Workforce'!$B157)=0,'Daily Workforce'!$M157="Y",IF(OR('Daily Schedule'!$E$2="Full Day",'Daily Schedule'!$E$2="AM"),'Daily Workforce'!$D157="3:45 AM",IF('Daily Schedule'!$E$2="PM",'Daily Workforce'!$E157="PM",'Daily Workforce'!$E157="Overnight"))),'Daily Workforce'!$V157*1000+157,999999999)</f>
        <v>999999999</v>
      </c>
      <c r="FM7" s="1" t="n">
        <f aca="false">IF(AND('Daily Workforce'!$N158="Y",'Daily Workforce'!$B158&lt;&gt;"",COUNTIF('Daily Schedule'!$F$5:$F10,'Daily Workforce'!$B158)=0,'Daily Workforce'!$M158="Y",IF(OR('Daily Schedule'!$E$2="Full Day",'Daily Schedule'!$E$2="AM"),'Daily Workforce'!$D158="3:45 AM",IF('Daily Schedule'!$E$2="PM",'Daily Workforce'!$E158="PM",'Daily Workforce'!$E158="Overnight"))),'Daily Workforce'!$V158*1000+158,999999999)</f>
        <v>999999999</v>
      </c>
      <c r="FN7" s="1" t="n">
        <f aca="false">IF(AND('Daily Workforce'!$N159="Y",'Daily Workforce'!$B159&lt;&gt;"",COUNTIF('Daily Schedule'!$F$5:$F10,'Daily Workforce'!$B159)=0,'Daily Workforce'!$M159="Y",IF(OR('Daily Schedule'!$E$2="Full Day",'Daily Schedule'!$E$2="AM"),'Daily Workforce'!$D159="3:45 AM",IF('Daily Schedule'!$E$2="PM",'Daily Workforce'!$E159="PM",'Daily Workforce'!$E159="Overnight"))),'Daily Workforce'!$V159*1000+159,999999999)</f>
        <v>999999999</v>
      </c>
      <c r="FO7" s="1" t="n">
        <f aca="false">IF(AND('Daily Workforce'!$N160="Y",'Daily Workforce'!$B160&lt;&gt;"",COUNTIF('Daily Schedule'!$F$5:$F10,'Daily Workforce'!$B160)=0,'Daily Workforce'!$M160="Y",IF(OR('Daily Schedule'!$E$2="Full Day",'Daily Schedule'!$E$2="AM"),'Daily Workforce'!$D160="3:45 AM",IF('Daily Schedule'!$E$2="PM",'Daily Workforce'!$E160="PM",'Daily Workforce'!$E160="Overnight"))),'Daily Workforce'!$V160*1000+160,999999999)</f>
        <v>999999999</v>
      </c>
      <c r="FP7" s="1" t="n">
        <f aca="false">IF(AND('Daily Workforce'!$N161="Y",'Daily Workforce'!$B161&lt;&gt;"",COUNTIF('Daily Schedule'!$F$5:$F10,'Daily Workforce'!$B161)=0,'Daily Workforce'!$M161="Y",IF(OR('Daily Schedule'!$E$2="Full Day",'Daily Schedule'!$E$2="AM"),'Daily Workforce'!$D161="3:45 AM",IF('Daily Schedule'!$E$2="PM",'Daily Workforce'!$E161="PM",'Daily Workforce'!$E161="Overnight"))),'Daily Workforce'!$V161*1000+161,999999999)</f>
        <v>999999999</v>
      </c>
      <c r="FQ7" s="1" t="n">
        <f aca="false">IF(AND('Daily Workforce'!$N162="Y",'Daily Workforce'!$B162&lt;&gt;"",COUNTIF('Daily Schedule'!$F$5:$F10,'Daily Workforce'!$B162)=0,'Daily Workforce'!$M162="Y",IF(OR('Daily Schedule'!$E$2="Full Day",'Daily Schedule'!$E$2="AM"),'Daily Workforce'!$D162="3:45 AM",IF('Daily Schedule'!$E$2="PM",'Daily Workforce'!$E162="PM",'Daily Workforce'!$E162="Overnight"))),'Daily Workforce'!$V162*1000+162,999999999)</f>
        <v>999999999</v>
      </c>
      <c r="FR7" s="1" t="n">
        <f aca="false">IF(AND('Daily Workforce'!$N163="Y",'Daily Workforce'!$B163&lt;&gt;"",COUNTIF('Daily Schedule'!$F$5:$F10,'Daily Workforce'!$B163)=0,'Daily Workforce'!$M163="Y",IF(OR('Daily Schedule'!$E$2="Full Day",'Daily Schedule'!$E$2="AM"),'Daily Workforce'!$D163="3:45 AM",IF('Daily Schedule'!$E$2="PM",'Daily Workforce'!$E163="PM",'Daily Workforce'!$E163="Overnight"))),'Daily Workforce'!$V163*1000+163,999999999)</f>
        <v>999999999</v>
      </c>
      <c r="FS7" s="1" t="n">
        <f aca="false">IF(AND('Daily Workforce'!$N164="Y",'Daily Workforce'!$B164&lt;&gt;"",COUNTIF('Daily Schedule'!$F$5:$F10,'Daily Workforce'!$B164)=0,'Daily Workforce'!$M164="Y",IF(OR('Daily Schedule'!$E$2="Full Day",'Daily Schedule'!$E$2="AM"),'Daily Workforce'!$D164="3:45 AM",IF('Daily Schedule'!$E$2="PM",'Daily Workforce'!$E164="PM",'Daily Workforce'!$E164="Overnight"))),'Daily Workforce'!$V164*1000+164,999999999)</f>
        <v>999999999</v>
      </c>
      <c r="FT7" s="1" t="n">
        <f aca="false">IF(AND('Daily Workforce'!$N165="Y",'Daily Workforce'!$B165&lt;&gt;"",COUNTIF('Daily Schedule'!$F$5:$F10,'Daily Workforce'!$B165)=0,'Daily Workforce'!$M165="Y",IF(OR('Daily Schedule'!$E$2="Full Day",'Daily Schedule'!$E$2="AM"),'Daily Workforce'!$D165="3:45 AM",IF('Daily Schedule'!$E$2="PM",'Daily Workforce'!$E165="PM",'Daily Workforce'!$E165="Overnight"))),'Daily Workforce'!$V165*1000+165,999999999)</f>
        <v>999999999</v>
      </c>
      <c r="FU7" s="1" t="n">
        <f aca="false">IF(AND('Daily Workforce'!$N166="Y",'Daily Workforce'!$B166&lt;&gt;"",COUNTIF('Daily Schedule'!$F$5:$F10,'Daily Workforce'!$B166)=0,'Daily Workforce'!$M166="Y",IF(OR('Daily Schedule'!$E$2="Full Day",'Daily Schedule'!$E$2="AM"),'Daily Workforce'!$D166="3:45 AM",IF('Daily Schedule'!$E$2="PM",'Daily Workforce'!$E166="PM",'Daily Workforce'!$E166="Overnight"))),'Daily Workforce'!$V166*1000+166,999999999)</f>
        <v>999999999</v>
      </c>
      <c r="FV7" s="1" t="n">
        <f aca="false">IF(AND('Daily Workforce'!$N167="Y",'Daily Workforce'!$B167&lt;&gt;"",COUNTIF('Daily Schedule'!$F$5:$F10,'Daily Workforce'!$B167)=0,'Daily Workforce'!$M167="Y",IF(OR('Daily Schedule'!$E$2="Full Day",'Daily Schedule'!$E$2="AM"),'Daily Workforce'!$D167="3:45 AM",IF('Daily Schedule'!$E$2="PM",'Daily Workforce'!$E167="PM",'Daily Workforce'!$E167="Overnight"))),'Daily Workforce'!$V167*1000+167,999999999)</f>
        <v>999999999</v>
      </c>
      <c r="FW7" s="1" t="n">
        <f aca="false">IF(AND('Daily Workforce'!$N168="Y",'Daily Workforce'!$B168&lt;&gt;"",COUNTIF('Daily Schedule'!$F$5:$F10,'Daily Workforce'!$B168)=0,'Daily Workforce'!$M168="Y",IF(OR('Daily Schedule'!$E$2="Full Day",'Daily Schedule'!$E$2="AM"),'Daily Workforce'!$D168="3:45 AM",IF('Daily Schedule'!$E$2="PM",'Daily Workforce'!$E168="PM",'Daily Workforce'!$E168="Overnight"))),'Daily Workforce'!$V168*1000+168,999999999)</f>
        <v>999999999</v>
      </c>
      <c r="FX7" s="1" t="n">
        <f aca="false">IF(AND('Daily Workforce'!$N169="Y",'Daily Workforce'!$B169&lt;&gt;"",COUNTIF('Daily Schedule'!$F$5:$F10,'Daily Workforce'!$B169)=0,'Daily Workforce'!$M169="Y",IF(OR('Daily Schedule'!$E$2="Full Day",'Daily Schedule'!$E$2="AM"),'Daily Workforce'!$D169="3:45 AM",IF('Daily Schedule'!$E$2="PM",'Daily Workforce'!$E169="PM",'Daily Workforce'!$E169="Overnight"))),'Daily Workforce'!$V169*1000+169,999999999)</f>
        <v>999999999</v>
      </c>
      <c r="FY7" s="1" t="n">
        <f aca="false">IF(AND('Daily Workforce'!$N170="Y",'Daily Workforce'!$B170&lt;&gt;"",COUNTIF('Daily Schedule'!$F$5:$F10,'Daily Workforce'!$B170)=0,'Daily Workforce'!$M170="Y",IF(OR('Daily Schedule'!$E$2="Full Day",'Daily Schedule'!$E$2="AM"),'Daily Workforce'!$D170="3:45 AM",IF('Daily Schedule'!$E$2="PM",'Daily Workforce'!$E170="PM",'Daily Workforce'!$E170="Overnight"))),'Daily Workforce'!$V170*1000+170,999999999)</f>
        <v>999999999</v>
      </c>
      <c r="FZ7" s="1" t="n">
        <f aca="false">IF(AND('Daily Workforce'!$N171="Y",'Daily Workforce'!$B171&lt;&gt;"",COUNTIF('Daily Schedule'!$F$5:$F10,'Daily Workforce'!$B171)=0,'Daily Workforce'!$M171="Y",IF(OR('Daily Schedule'!$E$2="Full Day",'Daily Schedule'!$E$2="AM"),'Daily Workforce'!$D171="3:45 AM",IF('Daily Schedule'!$E$2="PM",'Daily Workforce'!$E171="PM",'Daily Workforce'!$E171="Overnight"))),'Daily Workforce'!$V171*1000+171,999999999)</f>
        <v>999999999</v>
      </c>
      <c r="GA7" s="1" t="n">
        <f aca="false">IF(AND('Daily Workforce'!$N172="Y",'Daily Workforce'!$B172&lt;&gt;"",COUNTIF('Daily Schedule'!$F$5:$F10,'Daily Workforce'!$B172)=0,'Daily Workforce'!$M172="Y",IF(OR('Daily Schedule'!$E$2="Full Day",'Daily Schedule'!$E$2="AM"),'Daily Workforce'!$D172="3:45 AM",IF('Daily Schedule'!$E$2="PM",'Daily Workforce'!$E172="PM",'Daily Workforce'!$E172="Overnight"))),'Daily Workforce'!$V172*1000+172,999999999)</f>
        <v>999999999</v>
      </c>
      <c r="GB7" s="1" t="n">
        <f aca="false">IF(AND('Daily Workforce'!$N173="Y",'Daily Workforce'!$B173&lt;&gt;"",COUNTIF('Daily Schedule'!$F$5:$F10,'Daily Workforce'!$B173)=0,'Daily Workforce'!$M173="Y",IF(OR('Daily Schedule'!$E$2="Full Day",'Daily Schedule'!$E$2="AM"),'Daily Workforce'!$D173="3:45 AM",IF('Daily Schedule'!$E$2="PM",'Daily Workforce'!$E173="PM",'Daily Workforce'!$E173="Overnight"))),'Daily Workforce'!$V173*1000+173,999999999)</f>
        <v>999999999</v>
      </c>
      <c r="GC7" s="1" t="n">
        <f aca="false">IF(AND('Daily Workforce'!$N174="Y",'Daily Workforce'!$B174&lt;&gt;"",COUNTIF('Daily Schedule'!$F$5:$F10,'Daily Workforce'!$B174)=0,'Daily Workforce'!$M174="Y",IF(OR('Daily Schedule'!$E$2="Full Day",'Daily Schedule'!$E$2="AM"),'Daily Workforce'!$D174="3:45 AM",IF('Daily Schedule'!$E$2="PM",'Daily Workforce'!$E174="PM",'Daily Workforce'!$E174="Overnight"))),'Daily Workforce'!$V174*1000+174,999999999)</f>
        <v>999999999</v>
      </c>
      <c r="GD7" s="1" t="n">
        <f aca="false">IF(AND('Daily Workforce'!$N175="Y",'Daily Workforce'!$B175&lt;&gt;"",COUNTIF('Daily Schedule'!$F$5:$F10,'Daily Workforce'!$B175)=0,'Daily Workforce'!$M175="Y",IF(OR('Daily Schedule'!$E$2="Full Day",'Daily Schedule'!$E$2="AM"),'Daily Workforce'!$D175="3:45 AM",IF('Daily Schedule'!$E$2="PM",'Daily Workforce'!$E175="PM",'Daily Workforce'!$E175="Overnight"))),'Daily Workforce'!$V175*1000+175,999999999)</f>
        <v>999999999</v>
      </c>
      <c r="GE7" s="1" t="n">
        <f aca="false">IF(AND('Daily Workforce'!$N176="Y",'Daily Workforce'!$B176&lt;&gt;"",COUNTIF('Daily Schedule'!$F$5:$F10,'Daily Workforce'!$B176)=0,'Daily Workforce'!$M176="Y",IF(OR('Daily Schedule'!$E$2="Full Day",'Daily Schedule'!$E$2="AM"),'Daily Workforce'!$D176="3:45 AM",IF('Daily Schedule'!$E$2="PM",'Daily Workforce'!$E176="PM",'Daily Workforce'!$E176="Overnight"))),'Daily Workforce'!$V176*1000+176,999999999)</f>
        <v>999999999</v>
      </c>
      <c r="GF7" s="1" t="n">
        <f aca="false">IF(AND('Daily Workforce'!$N177="Y",'Daily Workforce'!$B177&lt;&gt;"",COUNTIF('Daily Schedule'!$F$5:$F10,'Daily Workforce'!$B177)=0,'Daily Workforce'!$M177="Y",IF(OR('Daily Schedule'!$E$2="Full Day",'Daily Schedule'!$E$2="AM"),'Daily Workforce'!$D177="3:45 AM",IF('Daily Schedule'!$E$2="PM",'Daily Workforce'!$E177="PM",'Daily Workforce'!$E177="Overnight"))),'Daily Workforce'!$V177*1000+177,999999999)</f>
        <v>999999999</v>
      </c>
      <c r="GG7" s="1" t="n">
        <f aca="false">IF(AND('Daily Workforce'!$N178="Y",'Daily Workforce'!$B178&lt;&gt;"",COUNTIF('Daily Schedule'!$F$5:$F10,'Daily Workforce'!$B178)=0,'Daily Workforce'!$M178="Y",IF(OR('Daily Schedule'!$E$2="Full Day",'Daily Schedule'!$E$2="AM"),'Daily Workforce'!$D178="3:45 AM",IF('Daily Schedule'!$E$2="PM",'Daily Workforce'!$E178="PM",'Daily Workforce'!$E178="Overnight"))),'Daily Workforce'!$V178*1000+178,999999999)</f>
        <v>999999999</v>
      </c>
      <c r="GH7" s="1" t="n">
        <f aca="false">IF(AND('Daily Workforce'!$N179="Y",'Daily Workforce'!$B179&lt;&gt;"",COUNTIF('Daily Schedule'!$F$5:$F10,'Daily Workforce'!$B179)=0,'Daily Workforce'!$M179="Y",IF(OR('Daily Schedule'!$E$2="Full Day",'Daily Schedule'!$E$2="AM"),'Daily Workforce'!$D179="3:45 AM",IF('Daily Schedule'!$E$2="PM",'Daily Workforce'!$E179="PM",'Daily Workforce'!$E179="Overnight"))),'Daily Workforce'!$V179*1000+179,999999999)</f>
        <v>999999999</v>
      </c>
      <c r="GI7" s="1" t="n">
        <f aca="false">IF(AND('Daily Workforce'!$N180="Y",'Daily Workforce'!$B180&lt;&gt;"",COUNTIF('Daily Schedule'!$F$5:$F10,'Daily Workforce'!$B180)=0,'Daily Workforce'!$M180="Y",IF(OR('Daily Schedule'!$E$2="Full Day",'Daily Schedule'!$E$2="AM"),'Daily Workforce'!$D180="3:45 AM",IF('Daily Schedule'!$E$2="PM",'Daily Workforce'!$E180="PM",'Daily Workforce'!$E180="Overnight"))),'Daily Workforce'!$V180*1000+180,999999999)</f>
        <v>999999999</v>
      </c>
      <c r="GJ7" s="1" t="n">
        <f aca="false">IF(AND('Daily Workforce'!$N181="Y",'Daily Workforce'!$B181&lt;&gt;"",COUNTIF('Daily Schedule'!$F$5:$F10,'Daily Workforce'!$B181)=0,'Daily Workforce'!$M181="Y",IF(OR('Daily Schedule'!$E$2="Full Day",'Daily Schedule'!$E$2="AM"),'Daily Workforce'!$D181="3:45 AM",IF('Daily Schedule'!$E$2="PM",'Daily Workforce'!$E181="PM",'Daily Workforce'!$E181="Overnight"))),'Daily Workforce'!$V181*1000+181,999999999)</f>
        <v>999999999</v>
      </c>
      <c r="GK7" s="1" t="n">
        <f aca="false">IF(AND('Daily Workforce'!$N182="Y",'Daily Workforce'!$B182&lt;&gt;"",COUNTIF('Daily Schedule'!$F$5:$F10,'Daily Workforce'!$B182)=0,'Daily Workforce'!$M182="Y",IF(OR('Daily Schedule'!$E$2="Full Day",'Daily Schedule'!$E$2="AM"),'Daily Workforce'!$D182="3:45 AM",IF('Daily Schedule'!$E$2="PM",'Daily Workforce'!$E182="PM",'Daily Workforce'!$E182="Overnight"))),'Daily Workforce'!$V182*1000+182,999999999)</f>
        <v>999999999</v>
      </c>
      <c r="GL7" s="1" t="n">
        <f aca="false">IF(AND('Daily Workforce'!$N183="Y",'Daily Workforce'!$B183&lt;&gt;"",COUNTIF('Daily Schedule'!$F$5:$F10,'Daily Workforce'!$B183)=0,'Daily Workforce'!$M183="Y",IF(OR('Daily Schedule'!$E$2="Full Day",'Daily Schedule'!$E$2="AM"),'Daily Workforce'!$D183="3:45 AM",IF('Daily Schedule'!$E$2="PM",'Daily Workforce'!$E183="PM",'Daily Workforce'!$E183="Overnight"))),'Daily Workforce'!$V183*1000+183,999999999)</f>
        <v>999999999</v>
      </c>
      <c r="GM7" s="1" t="n">
        <f aca="false">IF(AND('Daily Workforce'!$N184="Y",'Daily Workforce'!$B184&lt;&gt;"",COUNTIF('Daily Schedule'!$F$5:$F10,'Daily Workforce'!$B184)=0,'Daily Workforce'!$M184="Y",IF(OR('Daily Schedule'!$E$2="Full Day",'Daily Schedule'!$E$2="AM"),'Daily Workforce'!$D184="3:45 AM",IF('Daily Schedule'!$E$2="PM",'Daily Workforce'!$E184="PM",'Daily Workforce'!$E184="Overnight"))),'Daily Workforce'!$V184*1000+184,999999999)</f>
        <v>999999999</v>
      </c>
      <c r="GN7" s="1" t="n">
        <f aca="false">IF(AND('Daily Workforce'!$N185="Y",'Daily Workforce'!$B185&lt;&gt;"",COUNTIF('Daily Schedule'!$F$5:$F10,'Daily Workforce'!$B185)=0,'Daily Workforce'!$M185="Y",IF(OR('Daily Schedule'!$E$2="Full Day",'Daily Schedule'!$E$2="AM"),'Daily Workforce'!$D185="3:45 AM",IF('Daily Schedule'!$E$2="PM",'Daily Workforce'!$E185="PM",'Daily Workforce'!$E185="Overnight"))),'Daily Workforce'!$V185*1000+185,999999999)</f>
        <v>999999999</v>
      </c>
      <c r="GO7" s="1" t="n">
        <f aca="false">IF(AND('Daily Workforce'!$N186="Y",'Daily Workforce'!$B186&lt;&gt;"",COUNTIF('Daily Schedule'!$F$5:$F10,'Daily Workforce'!$B186)=0,'Daily Workforce'!$M186="Y",IF(OR('Daily Schedule'!$E$2="Full Day",'Daily Schedule'!$E$2="AM"),'Daily Workforce'!$D186="3:45 AM",IF('Daily Schedule'!$E$2="PM",'Daily Workforce'!$E186="PM",'Daily Workforce'!$E186="Overnight"))),'Daily Workforce'!$V186*1000+186,999999999)</f>
        <v>999999999</v>
      </c>
      <c r="GP7" s="1" t="n">
        <f aca="false">IF(AND('Daily Workforce'!$N187="Y",'Daily Workforce'!$B187&lt;&gt;"",COUNTIF('Daily Schedule'!$F$5:$F10,'Daily Workforce'!$B187)=0,'Daily Workforce'!$M187="Y",IF(OR('Daily Schedule'!$E$2="Full Day",'Daily Schedule'!$E$2="AM"),'Daily Workforce'!$D187="3:45 AM",IF('Daily Schedule'!$E$2="PM",'Daily Workforce'!$E187="PM",'Daily Workforce'!$E187="Overnight"))),'Daily Workforce'!$V187*1000+187,999999999)</f>
        <v>999999999</v>
      </c>
      <c r="GQ7" s="1" t="n">
        <f aca="false">IF(AND('Daily Workforce'!$N188="Y",'Daily Workforce'!$B188&lt;&gt;"",COUNTIF('Daily Schedule'!$F$5:$F10,'Daily Workforce'!$B188)=0,'Daily Workforce'!$M188="Y",IF(OR('Daily Schedule'!$E$2="Full Day",'Daily Schedule'!$E$2="AM"),'Daily Workforce'!$D188="3:45 AM",IF('Daily Schedule'!$E$2="PM",'Daily Workforce'!$E188="PM",'Daily Workforce'!$E188="Overnight"))),'Daily Workforce'!$V188*1000+188,999999999)</f>
        <v>999999999</v>
      </c>
      <c r="GR7" s="1" t="n">
        <f aca="false">IF(AND('Daily Workforce'!$N189="Y",'Daily Workforce'!$B189&lt;&gt;"",COUNTIF('Daily Schedule'!$F$5:$F10,'Daily Workforce'!$B189)=0,'Daily Workforce'!$M189="Y",IF(OR('Daily Schedule'!$E$2="Full Day",'Daily Schedule'!$E$2="AM"),'Daily Workforce'!$D189="3:45 AM",IF('Daily Schedule'!$E$2="PM",'Daily Workforce'!$E189="PM",'Daily Workforce'!$E189="Overnight"))),'Daily Workforce'!$V189*1000+189,999999999)</f>
        <v>999999999</v>
      </c>
      <c r="GS7" s="1" t="n">
        <f aca="false">IF(AND('Daily Workforce'!$N190="Y",'Daily Workforce'!$B190&lt;&gt;"",COUNTIF('Daily Schedule'!$F$5:$F10,'Daily Workforce'!$B190)=0,'Daily Workforce'!$M190="Y",IF(OR('Daily Schedule'!$E$2="Full Day",'Daily Schedule'!$E$2="AM"),'Daily Workforce'!$D190="3:45 AM",IF('Daily Schedule'!$E$2="PM",'Daily Workforce'!$E190="PM",'Daily Workforce'!$E190="Overnight"))),'Daily Workforce'!$V190*1000+190,999999999)</f>
        <v>999999999</v>
      </c>
      <c r="GT7" s="1" t="n">
        <f aca="false">IF(AND('Daily Workforce'!$N191="Y",'Daily Workforce'!$B191&lt;&gt;"",COUNTIF('Daily Schedule'!$F$5:$F10,'Daily Workforce'!$B191)=0,'Daily Workforce'!$M191="Y",IF(OR('Daily Schedule'!$E$2="Full Day",'Daily Schedule'!$E$2="AM"),'Daily Workforce'!$D191="3:45 AM",IF('Daily Schedule'!$E$2="PM",'Daily Workforce'!$E191="PM",'Daily Workforce'!$E191="Overnight"))),'Daily Workforce'!$V191*1000+191,999999999)</f>
        <v>999999999</v>
      </c>
      <c r="GU7" s="1" t="n">
        <f aca="false">IF(AND('Daily Workforce'!$N192="Y",'Daily Workforce'!$B192&lt;&gt;"",COUNTIF('Daily Schedule'!$F$5:$F10,'Daily Workforce'!$B192)=0,'Daily Workforce'!$M192="Y",IF(OR('Daily Schedule'!$E$2="Full Day",'Daily Schedule'!$E$2="AM"),'Daily Workforce'!$D192="3:45 AM",IF('Daily Schedule'!$E$2="PM",'Daily Workforce'!$E192="PM",'Daily Workforce'!$E192="Overnight"))),'Daily Workforce'!$V192*1000+192,999999999)</f>
        <v>999999999</v>
      </c>
      <c r="GV7" s="1" t="n">
        <f aca="false">IF(AND('Daily Workforce'!$N193="Y",'Daily Workforce'!$B193&lt;&gt;"",COUNTIF('Daily Schedule'!$F$5:$F10,'Daily Workforce'!$B193)=0,'Daily Workforce'!$M193="Y",IF(OR('Daily Schedule'!$E$2="Full Day",'Daily Schedule'!$E$2="AM"),'Daily Workforce'!$D193="3:45 AM",IF('Daily Schedule'!$E$2="PM",'Daily Workforce'!$E193="PM",'Daily Workforce'!$E193="Overnight"))),'Daily Workforce'!$V193*1000+193,999999999)</f>
        <v>999999999</v>
      </c>
      <c r="GW7" s="1" t="n">
        <f aca="false">IF(AND('Daily Workforce'!$N194="Y",'Daily Workforce'!$B194&lt;&gt;"",COUNTIF('Daily Schedule'!$F$5:$F10,'Daily Workforce'!$B194)=0,'Daily Workforce'!$M194="Y",IF(OR('Daily Schedule'!$E$2="Full Day",'Daily Schedule'!$E$2="AM"),'Daily Workforce'!$D194="3:45 AM",IF('Daily Schedule'!$E$2="PM",'Daily Workforce'!$E194="PM",'Daily Workforce'!$E194="Overnight"))),'Daily Workforce'!$V194*1000+194,999999999)</f>
        <v>999999999</v>
      </c>
      <c r="GX7" s="1" t="n">
        <f aca="false">IF(AND('Daily Workforce'!$N195="Y",'Daily Workforce'!$B195&lt;&gt;"",COUNTIF('Daily Schedule'!$F$5:$F10,'Daily Workforce'!$B195)=0,'Daily Workforce'!$M195="Y",IF(OR('Daily Schedule'!$E$2="Full Day",'Daily Schedule'!$E$2="AM"),'Daily Workforce'!$D195="3:45 AM",IF('Daily Schedule'!$E$2="PM",'Daily Workforce'!$E195="PM",'Daily Workforce'!$E195="Overnight"))),'Daily Workforce'!$V195*1000+195,999999999)</f>
        <v>999999999</v>
      </c>
      <c r="GY7" s="1" t="n">
        <f aca="false">IF(AND('Daily Workforce'!$N196="Y",'Daily Workforce'!$B196&lt;&gt;"",COUNTIF('Daily Schedule'!$F$5:$F10,'Daily Workforce'!$B196)=0,'Daily Workforce'!$M196="Y",IF(OR('Daily Schedule'!$E$2="Full Day",'Daily Schedule'!$E$2="AM"),'Daily Workforce'!$D196="3:45 AM",IF('Daily Schedule'!$E$2="PM",'Daily Workforce'!$E196="PM",'Daily Workforce'!$E196="Overnight"))),'Daily Workforce'!$V196*1000+196,999999999)</f>
        <v>999999999</v>
      </c>
      <c r="GZ7" s="1" t="n">
        <f aca="false">IF(AND('Daily Workforce'!$N197="Y",'Daily Workforce'!$B197&lt;&gt;"",COUNTIF('Daily Schedule'!$F$5:$F10,'Daily Workforce'!$B197)=0,'Daily Workforce'!$M197="Y",IF(OR('Daily Schedule'!$E$2="Full Day",'Daily Schedule'!$E$2="AM"),'Daily Workforce'!$D197="3:45 AM",IF('Daily Schedule'!$E$2="PM",'Daily Workforce'!$E197="PM",'Daily Workforce'!$E197="Overnight"))),'Daily Workforce'!$V197*1000+197,999999999)</f>
        <v>999999999</v>
      </c>
      <c r="HA7" s="1" t="n">
        <f aca="false">IF(AND('Daily Workforce'!$N198="Y",'Daily Workforce'!$B198&lt;&gt;"",COUNTIF('Daily Schedule'!$F$5:$F10,'Daily Workforce'!$B198)=0,'Daily Workforce'!$M198="Y",IF(OR('Daily Schedule'!$E$2="Full Day",'Daily Schedule'!$E$2="AM"),'Daily Workforce'!$D198="3:45 AM",IF('Daily Schedule'!$E$2="PM",'Daily Workforce'!$E198="PM",'Daily Workforce'!$E198="Overnight"))),'Daily Workforce'!$V198*1000+198,999999999)</f>
        <v>999999999</v>
      </c>
      <c r="HB7" s="1" t="n">
        <f aca="false">IF(AND('Daily Workforce'!$N199="Y",'Daily Workforce'!$B199&lt;&gt;"",COUNTIF('Daily Schedule'!$F$5:$F10,'Daily Workforce'!$B199)=0,'Daily Workforce'!$M199="Y",IF(OR('Daily Schedule'!$E$2="Full Day",'Daily Schedule'!$E$2="AM"),'Daily Workforce'!$D199="3:45 AM",IF('Daily Schedule'!$E$2="PM",'Daily Workforce'!$E199="PM",'Daily Workforce'!$E199="Overnight"))),'Daily Workforce'!$V199*1000+199,999999999)</f>
        <v>999999999</v>
      </c>
      <c r="HC7" s="1" t="n">
        <f aca="false">IF(AND('Daily Workforce'!$N200="Y",'Daily Workforce'!$B200&lt;&gt;"",COUNTIF('Daily Schedule'!$F$5:$F10,'Daily Workforce'!$B200)=0,'Daily Workforce'!$M200="Y",IF(OR('Daily Schedule'!$E$2="Full Day",'Daily Schedule'!$E$2="AM"),'Daily Workforce'!$D200="3:45 AM",IF('Daily Schedule'!$E$2="PM",'Daily Workforce'!$E200="PM",'Daily Workforce'!$E200="Overnight"))),'Daily Workforce'!$V200*1000+200,999999999)</f>
        <v>999999999</v>
      </c>
      <c r="HD7" s="1" t="n">
        <f aca="false">IF(AND('Daily Workforce'!$N201="Y",'Daily Workforce'!$B201&lt;&gt;"",COUNTIF('Daily Schedule'!$F$5:$F10,'Daily Workforce'!$B201)=0,'Daily Workforce'!$M201="Y",IF(OR('Daily Schedule'!$E$2="Full Day",'Daily Schedule'!$E$2="AM"),'Daily Workforce'!$D201="3:45 AM",IF('Daily Schedule'!$E$2="PM",'Daily Workforce'!$E201="PM",'Daily Workforce'!$E201="Overnight"))),'Daily Workforce'!$V201*1000+201,999999999)</f>
        <v>999999999</v>
      </c>
      <c r="HE7" s="1" t="n">
        <f aca="false">IF(AND('Daily Workforce'!$N202="Y",'Daily Workforce'!$B202&lt;&gt;"",COUNTIF('Daily Schedule'!$F$5:$F10,'Daily Workforce'!$B202)=0,'Daily Workforce'!$M202="Y",IF(OR('Daily Schedule'!$E$2="Full Day",'Daily Schedule'!$E$2="AM"),'Daily Workforce'!$D202="3:45 AM",IF('Daily Schedule'!$E$2="PM",'Daily Workforce'!$E202="PM",'Daily Workforce'!$E202="Overnight"))),'Daily Workforce'!$V202*1000+202,999999999)</f>
        <v>999999999</v>
      </c>
      <c r="HF7" s="1" t="n">
        <f aca="false">IF(AND('Daily Workforce'!$N203="Y",'Daily Workforce'!$B203&lt;&gt;"",COUNTIF('Daily Schedule'!$F$5:$F10,'Daily Workforce'!$B203)=0,'Daily Workforce'!$M203="Y",IF(OR('Daily Schedule'!$E$2="Full Day",'Daily Schedule'!$E$2="AM"),'Daily Workforce'!$D203="3:45 AM",IF('Daily Schedule'!$E$2="PM",'Daily Workforce'!$E203="PM",'Daily Workforce'!$E203="Overnight"))),'Daily Workforce'!$V203*1000+203,999999999)</f>
        <v>999999999</v>
      </c>
      <c r="HG7" s="1" t="n">
        <f aca="false">IF(AND('Daily Workforce'!$N204="Y",'Daily Workforce'!$B204&lt;&gt;"",COUNTIF('Daily Schedule'!$F$5:$F10,'Daily Workforce'!$B204)=0,'Daily Workforce'!$M204="Y",IF(OR('Daily Schedule'!$E$2="Full Day",'Daily Schedule'!$E$2="AM"),'Daily Workforce'!$D204="3:45 AM",IF('Daily Schedule'!$E$2="PM",'Daily Workforce'!$E204="PM",'Daily Workforce'!$E204="Overnight"))),'Daily Workforce'!$V204*1000+204,999999999)</f>
        <v>999999999</v>
      </c>
      <c r="HH7" s="1" t="n">
        <f aca="false">IF(AND('Daily Workforce'!$N205="Y",'Daily Workforce'!$B205&lt;&gt;"",COUNTIF('Daily Schedule'!$F$5:$F10,'Daily Workforce'!$B205)=0,'Daily Workforce'!$M205="Y",IF(OR('Daily Schedule'!$E$2="Full Day",'Daily Schedule'!$E$2="AM"),'Daily Workforce'!$D205="3:45 AM",IF('Daily Schedule'!$E$2="PM",'Daily Workforce'!$E205="PM",'Daily Workforce'!$E205="Overnight"))),'Daily Workforce'!$V205*1000+205,999999999)</f>
        <v>999999999</v>
      </c>
      <c r="HI7" s="1" t="n">
        <v>51</v>
      </c>
      <c r="HJ7" s="1" t="str">
        <f aca="false">IF(MIN(HL7:JK7)&gt;=999999999,"",IFERROR(INDEX('Daily Schedule'!$F$6:$F$57,MATCH(MIN(HL7:JK7),HL7:JK7,0)),""))</f>
        <v>EMP-0041</v>
      </c>
      <c r="HK7" s="1" t="n">
        <f aca="false">IF($HJ7="","",IFERROR(INDEX('Daily Schedule'!$A$6:$A$57,MATCH($HJ7,'Daily Schedule'!$F$6:$F$57,0)),""))</f>
        <v>31</v>
      </c>
      <c r="HL7" s="1" t="n">
        <f aca="false">IF(AND('Daily Schedule'!$F$6&lt;&gt;"",'Daily Schedule'!$H$6="5:45 AM",'Daily Schedule'!$D$6&lt;&gt;"Tier 1",IFERROR(INDEX('Daily Workforce'!$M$6:$M$205,MATCH('Daily Schedule'!$F$6,'Daily Workforce'!$B$6:$B$205,0)),"N")="Y",COUNTIF($HJ$1:HJ6,'Daily Schedule'!$F$6)=0),IFERROR(INDEX('Daily Workforce'!$V$6:$V$205,MATCH('Daily Schedule'!$F$6,'Daily Workforce'!$B$6:$B$205,0)),0)*1000+6,999999999)</f>
        <v>999999999</v>
      </c>
      <c r="HM7" s="1" t="n">
        <f aca="false">IF(AND('Daily Schedule'!$F$7&lt;&gt;"",'Daily Schedule'!$H$7="5:45 AM",'Daily Schedule'!$D$7&lt;&gt;"Tier 1",IFERROR(INDEX('Daily Workforce'!$M$6:$M$205,MATCH('Daily Schedule'!$F$7,'Daily Workforce'!$B$6:$B$205,0)),"N")="Y",COUNTIF($HJ$1:HJ6,'Daily Schedule'!$F$7)=0),IFERROR(INDEX('Daily Workforce'!$V$6:$V$205,MATCH('Daily Schedule'!$F$7,'Daily Workforce'!$B$6:$B$205,0)),0)*1000+7,999999999)</f>
        <v>999999999</v>
      </c>
      <c r="HN7" s="1" t="n">
        <f aca="false">IF(AND('Daily Schedule'!$F$8&lt;&gt;"",'Daily Schedule'!$H$8="5:45 AM",'Daily Schedule'!$D$8&lt;&gt;"Tier 1",IFERROR(INDEX('Daily Workforce'!$M$6:$M$205,MATCH('Daily Schedule'!$F$8,'Daily Workforce'!$B$6:$B$205,0)),"N")="Y",COUNTIF($HJ$1:HJ6,'Daily Schedule'!$F$8)=0),IFERROR(INDEX('Daily Workforce'!$V$6:$V$205,MATCH('Daily Schedule'!$F$8,'Daily Workforce'!$B$6:$B$205,0)),0)*1000+8,999999999)</f>
        <v>999999999</v>
      </c>
      <c r="HO7" s="1" t="n">
        <f aca="false">IF(AND('Daily Schedule'!$F$9&lt;&gt;"",'Daily Schedule'!$H$9="5:45 AM",'Daily Schedule'!$D$9&lt;&gt;"Tier 1",IFERROR(INDEX('Daily Workforce'!$M$6:$M$205,MATCH('Daily Schedule'!$F$9,'Daily Workforce'!$B$6:$B$205,0)),"N")="Y",COUNTIF($HJ$1:HJ6,'Daily Schedule'!$F$9)=0),IFERROR(INDEX('Daily Workforce'!$V$6:$V$205,MATCH('Daily Schedule'!$F$9,'Daily Workforce'!$B$6:$B$205,0)),0)*1000+9,999999999)</f>
        <v>999999999</v>
      </c>
      <c r="HP7" s="1" t="n">
        <f aca="false">IF(AND('Daily Schedule'!$F$10&lt;&gt;"",'Daily Schedule'!$H$10="5:45 AM",'Daily Schedule'!$D$10&lt;&gt;"Tier 1",IFERROR(INDEX('Daily Workforce'!$M$6:$M$205,MATCH('Daily Schedule'!$F$10,'Daily Workforce'!$B$6:$B$205,0)),"N")="Y",COUNTIF($HJ$1:HJ6,'Daily Schedule'!$F$10)=0),IFERROR(INDEX('Daily Workforce'!$V$6:$V$205,MATCH('Daily Schedule'!$F$10,'Daily Workforce'!$B$6:$B$205,0)),0)*1000+10,999999999)</f>
        <v>999999999</v>
      </c>
      <c r="HQ7" s="1" t="n">
        <f aca="false">IF(AND('Daily Schedule'!$F$11&lt;&gt;"",'Daily Schedule'!$H$11="5:45 AM",'Daily Schedule'!$D$11&lt;&gt;"Tier 1",IFERROR(INDEX('Daily Workforce'!$M$6:$M$205,MATCH('Daily Schedule'!$F$11,'Daily Workforce'!$B$6:$B$205,0)),"N")="Y",COUNTIF($HJ$1:HJ6,'Daily Schedule'!$F$11)=0),IFERROR(INDEX('Daily Workforce'!$V$6:$V$205,MATCH('Daily Schedule'!$F$11,'Daily Workforce'!$B$6:$B$205,0)),0)*1000+11,999999999)</f>
        <v>999999999</v>
      </c>
      <c r="HR7" s="1" t="n">
        <f aca="false">IF(AND('Daily Schedule'!$F$12&lt;&gt;"",'Daily Schedule'!$H$12="5:45 AM",'Daily Schedule'!$D$12&lt;&gt;"Tier 1",IFERROR(INDEX('Daily Workforce'!$M$6:$M$205,MATCH('Daily Schedule'!$F$12,'Daily Workforce'!$B$6:$B$205,0)),"N")="Y",COUNTIF($HJ$1:HJ6,'Daily Schedule'!$F$12)=0),IFERROR(INDEX('Daily Workforce'!$V$6:$V$205,MATCH('Daily Schedule'!$F$12,'Daily Workforce'!$B$6:$B$205,0)),0)*1000+12,999999999)</f>
        <v>999999999</v>
      </c>
      <c r="HS7" s="1" t="n">
        <f aca="false">IF(AND('Daily Schedule'!$F$13&lt;&gt;"",'Daily Schedule'!$H$13="5:45 AM",'Daily Schedule'!$D$13&lt;&gt;"Tier 1",IFERROR(INDEX('Daily Workforce'!$M$6:$M$205,MATCH('Daily Schedule'!$F$13,'Daily Workforce'!$B$6:$B$205,0)),"N")="Y",COUNTIF($HJ$1:HJ6,'Daily Schedule'!$F$13)=0),IFERROR(INDEX('Daily Workforce'!$V$6:$V$205,MATCH('Daily Schedule'!$F$13,'Daily Workforce'!$B$6:$B$205,0)),0)*1000+13,999999999)</f>
        <v>999999999</v>
      </c>
      <c r="HT7" s="1" t="n">
        <f aca="false">IF(AND('Daily Schedule'!$F$14&lt;&gt;"",'Daily Schedule'!$H$14="5:45 AM",'Daily Schedule'!$D$14&lt;&gt;"Tier 1",IFERROR(INDEX('Daily Workforce'!$M$6:$M$205,MATCH('Daily Schedule'!$F$14,'Daily Workforce'!$B$6:$B$205,0)),"N")="Y",COUNTIF($HJ$1:HJ6,'Daily Schedule'!$F$14)=0),IFERROR(INDEX('Daily Workforce'!$V$6:$V$205,MATCH('Daily Schedule'!$F$14,'Daily Workforce'!$B$6:$B$205,0)),0)*1000+14,999999999)</f>
        <v>999999999</v>
      </c>
      <c r="HU7" s="1" t="n">
        <f aca="false">IF(AND('Daily Schedule'!$F$15&lt;&gt;"",'Daily Schedule'!$H$15="5:45 AM",'Daily Schedule'!$D$15&lt;&gt;"Tier 1",IFERROR(INDEX('Daily Workforce'!$M$6:$M$205,MATCH('Daily Schedule'!$F$15,'Daily Workforce'!$B$6:$B$205,0)),"N")="Y",COUNTIF($HJ$1:HJ6,'Daily Schedule'!$F$15)=0),IFERROR(INDEX('Daily Workforce'!$V$6:$V$205,MATCH('Daily Schedule'!$F$15,'Daily Workforce'!$B$6:$B$205,0)),0)*1000+15,999999999)</f>
        <v>999999999</v>
      </c>
      <c r="HV7" s="1" t="n">
        <f aca="false">IF(AND('Daily Schedule'!$F$16&lt;&gt;"",'Daily Schedule'!$H$16="5:45 AM",'Daily Schedule'!$D$16&lt;&gt;"Tier 1",IFERROR(INDEX('Daily Workforce'!$M$6:$M$205,MATCH('Daily Schedule'!$F$16,'Daily Workforce'!$B$6:$B$205,0)),"N")="Y",COUNTIF($HJ$1:HJ6,'Daily Schedule'!$F$16)=0),IFERROR(INDEX('Daily Workforce'!$V$6:$V$205,MATCH('Daily Schedule'!$F$16,'Daily Workforce'!$B$6:$B$205,0)),0)*1000+16,999999999)</f>
        <v>999999999</v>
      </c>
      <c r="HW7" s="1" t="n">
        <f aca="false">IF(AND('Daily Schedule'!$F$17&lt;&gt;"",'Daily Schedule'!$H$17="5:45 AM",'Daily Schedule'!$D$17&lt;&gt;"Tier 1",IFERROR(INDEX('Daily Workforce'!$M$6:$M$205,MATCH('Daily Schedule'!$F$17,'Daily Workforce'!$B$6:$B$205,0)),"N")="Y",COUNTIF($HJ$1:HJ6,'Daily Schedule'!$F$17)=0),IFERROR(INDEX('Daily Workforce'!$V$6:$V$205,MATCH('Daily Schedule'!$F$17,'Daily Workforce'!$B$6:$B$205,0)),0)*1000+17,999999999)</f>
        <v>999999999</v>
      </c>
      <c r="HX7" s="1" t="n">
        <f aca="false">IF(AND('Daily Schedule'!$F$18&lt;&gt;"",'Daily Schedule'!$H$18="5:45 AM",'Daily Schedule'!$D$18&lt;&gt;"Tier 1",IFERROR(INDEX('Daily Workforce'!$M$6:$M$205,MATCH('Daily Schedule'!$F$18,'Daily Workforce'!$B$6:$B$205,0)),"N")="Y",COUNTIF($HJ$1:HJ6,'Daily Schedule'!$F$18)=0),IFERROR(INDEX('Daily Workforce'!$V$6:$V$205,MATCH('Daily Schedule'!$F$18,'Daily Workforce'!$B$6:$B$205,0)),0)*1000+18,999999999)</f>
        <v>999999999</v>
      </c>
      <c r="HY7" s="1" t="n">
        <f aca="false">IF(AND('Daily Schedule'!$F$19&lt;&gt;"",'Daily Schedule'!$H$19="5:45 AM",'Daily Schedule'!$D$19&lt;&gt;"Tier 1",IFERROR(INDEX('Daily Workforce'!$M$6:$M$205,MATCH('Daily Schedule'!$F$19,'Daily Workforce'!$B$6:$B$205,0)),"N")="Y",COUNTIF($HJ$1:HJ6,'Daily Schedule'!$F$19)=0),IFERROR(INDEX('Daily Workforce'!$V$6:$V$205,MATCH('Daily Schedule'!$F$19,'Daily Workforce'!$B$6:$B$205,0)),0)*1000+19,999999999)</f>
        <v>999999999</v>
      </c>
      <c r="HZ7" s="1" t="n">
        <f aca="false">IF(AND('Daily Schedule'!$F$20&lt;&gt;"",'Daily Schedule'!$H$20="5:45 AM",'Daily Schedule'!$D$20&lt;&gt;"Tier 1",IFERROR(INDEX('Daily Workforce'!$M$6:$M$205,MATCH('Daily Schedule'!$F$20,'Daily Workforce'!$B$6:$B$205,0)),"N")="Y",COUNTIF($HJ$1:HJ6,'Daily Schedule'!$F$20)=0),IFERROR(INDEX('Daily Workforce'!$V$6:$V$205,MATCH('Daily Schedule'!$F$20,'Daily Workforce'!$B$6:$B$205,0)),0)*1000+20,999999999)</f>
        <v>999999999</v>
      </c>
      <c r="IA7" s="1" t="n">
        <f aca="false">IF(AND('Daily Schedule'!$F$21&lt;&gt;"",'Daily Schedule'!$H$21="5:45 AM",'Daily Schedule'!$D$21&lt;&gt;"Tier 1",IFERROR(INDEX('Daily Workforce'!$M$6:$M$205,MATCH('Daily Schedule'!$F$21,'Daily Workforce'!$B$6:$B$205,0)),"N")="Y",COUNTIF($HJ$1:HJ6,'Daily Schedule'!$F$21)=0),IFERROR(INDEX('Daily Workforce'!$V$6:$V$205,MATCH('Daily Schedule'!$F$21,'Daily Workforce'!$B$6:$B$205,0)),0)*1000+21,999999999)</f>
        <v>999999999</v>
      </c>
      <c r="IB7" s="1" t="n">
        <f aca="false">IF(AND('Daily Schedule'!$F$22&lt;&gt;"",'Daily Schedule'!$H$22="5:45 AM",'Daily Schedule'!$D$22&lt;&gt;"Tier 1",IFERROR(INDEX('Daily Workforce'!$M$6:$M$205,MATCH('Daily Schedule'!$F$22,'Daily Workforce'!$B$6:$B$205,0)),"N")="Y",COUNTIF($HJ$1:HJ6,'Daily Schedule'!$F$22)=0),IFERROR(INDEX('Daily Workforce'!$V$6:$V$205,MATCH('Daily Schedule'!$F$22,'Daily Workforce'!$B$6:$B$205,0)),0)*1000+22,999999999)</f>
        <v>999999999</v>
      </c>
      <c r="IC7" s="1" t="n">
        <f aca="false">IF(AND('Daily Schedule'!$F$23&lt;&gt;"",'Daily Schedule'!$H$23="5:45 AM",'Daily Schedule'!$D$23&lt;&gt;"Tier 1",IFERROR(INDEX('Daily Workforce'!$M$6:$M$205,MATCH('Daily Schedule'!$F$23,'Daily Workforce'!$B$6:$B$205,0)),"N")="Y",COUNTIF($HJ$1:HJ6,'Daily Schedule'!$F$23)=0),IFERROR(INDEX('Daily Workforce'!$V$6:$V$205,MATCH('Daily Schedule'!$F$23,'Daily Workforce'!$B$6:$B$205,0)),0)*1000+23,999999999)</f>
        <v>999999999</v>
      </c>
      <c r="ID7" s="1" t="n">
        <f aca="false">IF(AND('Daily Schedule'!$F$24&lt;&gt;"",'Daily Schedule'!$H$24="5:45 AM",'Daily Schedule'!$D$24&lt;&gt;"Tier 1",IFERROR(INDEX('Daily Workforce'!$M$6:$M$205,MATCH('Daily Schedule'!$F$24,'Daily Workforce'!$B$6:$B$205,0)),"N")="Y",COUNTIF($HJ$1:HJ6,'Daily Schedule'!$F$24)=0),IFERROR(INDEX('Daily Workforce'!$V$6:$V$205,MATCH('Daily Schedule'!$F$24,'Daily Workforce'!$B$6:$B$205,0)),0)*1000+24,999999999)</f>
        <v>999999999</v>
      </c>
      <c r="IE7" s="1" t="n">
        <f aca="false">IF(AND('Daily Schedule'!$F$25&lt;&gt;"",'Daily Schedule'!$H$25="5:45 AM",'Daily Schedule'!$D$25&lt;&gt;"Tier 1",IFERROR(INDEX('Daily Workforce'!$M$6:$M$205,MATCH('Daily Schedule'!$F$25,'Daily Workforce'!$B$6:$B$205,0)),"N")="Y",COUNTIF($HJ$1:HJ6,'Daily Schedule'!$F$25)=0),IFERROR(INDEX('Daily Workforce'!$V$6:$V$205,MATCH('Daily Schedule'!$F$25,'Daily Workforce'!$B$6:$B$205,0)),0)*1000+25,999999999)</f>
        <v>999999999</v>
      </c>
      <c r="IF7" s="1" t="n">
        <f aca="false">IF(AND('Daily Schedule'!$F$26&lt;&gt;"",'Daily Schedule'!$H$26="5:45 AM",'Daily Schedule'!$D$26&lt;&gt;"Tier 1",IFERROR(INDEX('Daily Workforce'!$M$6:$M$205,MATCH('Daily Schedule'!$F$26,'Daily Workforce'!$B$6:$B$205,0)),"N")="Y",COUNTIF($HJ$1:HJ6,'Daily Schedule'!$F$26)=0),IFERROR(INDEX('Daily Workforce'!$V$6:$V$205,MATCH('Daily Schedule'!$F$26,'Daily Workforce'!$B$6:$B$205,0)),0)*1000+26,999999999)</f>
        <v>999999999</v>
      </c>
      <c r="IG7" s="1" t="n">
        <f aca="false">IF(AND('Daily Schedule'!$F$27&lt;&gt;"",'Daily Schedule'!$H$27="5:45 AM",'Daily Schedule'!$D$27&lt;&gt;"Tier 1",IFERROR(INDEX('Daily Workforce'!$M$6:$M$205,MATCH('Daily Schedule'!$F$27,'Daily Workforce'!$B$6:$B$205,0)),"N")="Y",COUNTIF($HJ$1:HJ6,'Daily Schedule'!$F$27)=0),IFERROR(INDEX('Daily Workforce'!$V$6:$V$205,MATCH('Daily Schedule'!$F$27,'Daily Workforce'!$B$6:$B$205,0)),0)*1000+27,999999999)</f>
        <v>999999999</v>
      </c>
      <c r="IH7" s="1" t="n">
        <f aca="false">IF(AND('Daily Schedule'!$F$28&lt;&gt;"",'Daily Schedule'!$H$28="5:45 AM",'Daily Schedule'!$D$28&lt;&gt;"Tier 1",IFERROR(INDEX('Daily Workforce'!$M$6:$M$205,MATCH('Daily Schedule'!$F$28,'Daily Workforce'!$B$6:$B$205,0)),"N")="Y",COUNTIF($HJ$1:HJ6,'Daily Schedule'!$F$28)=0),IFERROR(INDEX('Daily Workforce'!$V$6:$V$205,MATCH('Daily Schedule'!$F$28,'Daily Workforce'!$B$6:$B$205,0)),0)*1000+28,999999999)</f>
        <v>999999999</v>
      </c>
      <c r="II7" s="1" t="n">
        <f aca="false">IF(AND('Daily Schedule'!$F$29&lt;&gt;"",'Daily Schedule'!$H$29="5:45 AM",'Daily Schedule'!$D$29&lt;&gt;"Tier 1",IFERROR(INDEX('Daily Workforce'!$M$6:$M$205,MATCH('Daily Schedule'!$F$29,'Daily Workforce'!$B$6:$B$205,0)),"N")="Y",COUNTIF($HJ$1:HJ6,'Daily Schedule'!$F$29)=0),IFERROR(INDEX('Daily Workforce'!$V$6:$V$205,MATCH('Daily Schedule'!$F$29,'Daily Workforce'!$B$6:$B$205,0)),0)*1000+29,999999999)</f>
        <v>999999999</v>
      </c>
      <c r="IJ7" s="1" t="n">
        <f aca="false">IF(AND('Daily Schedule'!$F$30&lt;&gt;"",'Daily Schedule'!$H$30="5:45 AM",'Daily Schedule'!$D$30&lt;&gt;"Tier 1",IFERROR(INDEX('Daily Workforce'!$M$6:$M$205,MATCH('Daily Schedule'!$F$30,'Daily Workforce'!$B$6:$B$205,0)),"N")="Y",COUNTIF($HJ$1:HJ6,'Daily Schedule'!$F$30)=0),IFERROR(INDEX('Daily Workforce'!$V$6:$V$205,MATCH('Daily Schedule'!$F$30,'Daily Workforce'!$B$6:$B$205,0)),0)*1000+30,999999999)</f>
        <v>999999999</v>
      </c>
      <c r="IK7" s="1" t="n">
        <f aca="false">IF(AND('Daily Schedule'!$F$31&lt;&gt;"",'Daily Schedule'!$H$31="5:45 AM",'Daily Schedule'!$D$31&lt;&gt;"Tier 1",IFERROR(INDEX('Daily Workforce'!$M$6:$M$205,MATCH('Daily Schedule'!$F$31,'Daily Workforce'!$B$6:$B$205,0)),"N")="Y",COUNTIF($HJ$1:HJ6,'Daily Schedule'!$F$31)=0),IFERROR(INDEX('Daily Workforce'!$V$6:$V$205,MATCH('Daily Schedule'!$F$31,'Daily Workforce'!$B$6:$B$205,0)),0)*1000+31,999999999)</f>
        <v>999999999</v>
      </c>
      <c r="IL7" s="1" t="n">
        <f aca="false">IF(AND('Daily Schedule'!$F$32&lt;&gt;"",'Daily Schedule'!$H$32="5:45 AM",'Daily Schedule'!$D$32&lt;&gt;"Tier 1",IFERROR(INDEX('Daily Workforce'!$M$6:$M$205,MATCH('Daily Schedule'!$F$32,'Daily Workforce'!$B$6:$B$205,0)),"N")="Y",COUNTIF($HJ$1:HJ6,'Daily Schedule'!$F$32)=0),IFERROR(INDEX('Daily Workforce'!$V$6:$V$205,MATCH('Daily Schedule'!$F$32,'Daily Workforce'!$B$6:$B$205,0)),0)*1000+32,999999999)</f>
        <v>999999999</v>
      </c>
      <c r="IM7" s="1" t="n">
        <f aca="false">IF(AND('Daily Schedule'!$F$33&lt;&gt;"",'Daily Schedule'!$H$33="5:45 AM",'Daily Schedule'!$D$33&lt;&gt;"Tier 1",IFERROR(INDEX('Daily Workforce'!$M$6:$M$205,MATCH('Daily Schedule'!$F$33,'Daily Workforce'!$B$6:$B$205,0)),"N")="Y",COUNTIF($HJ$1:HJ6,'Daily Schedule'!$F$33)=0),IFERROR(INDEX('Daily Workforce'!$V$6:$V$205,MATCH('Daily Schedule'!$F$33,'Daily Workforce'!$B$6:$B$205,0)),0)*1000+33,999999999)</f>
        <v>999999999</v>
      </c>
      <c r="IN7" s="1" t="n">
        <f aca="false">IF(AND('Daily Schedule'!$F$34&lt;&gt;"",'Daily Schedule'!$H$34="5:45 AM",'Daily Schedule'!$D$34&lt;&gt;"Tier 1",IFERROR(INDEX('Daily Workforce'!$M$6:$M$205,MATCH('Daily Schedule'!$F$34,'Daily Workforce'!$B$6:$B$205,0)),"N")="Y",COUNTIF($HJ$1:HJ6,'Daily Schedule'!$F$34)=0),IFERROR(INDEX('Daily Workforce'!$V$6:$V$205,MATCH('Daily Schedule'!$F$34,'Daily Workforce'!$B$6:$B$205,0)),0)*1000+34,999999999)</f>
        <v>999999999</v>
      </c>
      <c r="IO7" s="1" t="n">
        <f aca="false">IF(AND('Daily Schedule'!$F$35&lt;&gt;"",'Daily Schedule'!$H$35="5:45 AM",'Daily Schedule'!$D$35&lt;&gt;"Tier 1",IFERROR(INDEX('Daily Workforce'!$M$6:$M$205,MATCH('Daily Schedule'!$F$35,'Daily Workforce'!$B$6:$B$205,0)),"N")="Y",COUNTIF($HJ$1:HJ6,'Daily Schedule'!$F$35)=0),IFERROR(INDEX('Daily Workforce'!$V$6:$V$205,MATCH('Daily Schedule'!$F$35,'Daily Workforce'!$B$6:$B$205,0)),0)*1000+35,999999999)</f>
        <v>35</v>
      </c>
      <c r="IP7" s="1" t="n">
        <f aca="false">IF(AND('Daily Schedule'!$F$36&lt;&gt;"",'Daily Schedule'!$H$36="5:45 AM",'Daily Schedule'!$D$36&lt;&gt;"Tier 1",IFERROR(INDEX('Daily Workforce'!$M$6:$M$205,MATCH('Daily Schedule'!$F$36,'Daily Workforce'!$B$6:$B$205,0)),"N")="Y",COUNTIF($HJ$1:HJ6,'Daily Schedule'!$F$36)=0),IFERROR(INDEX('Daily Workforce'!$V$6:$V$205,MATCH('Daily Schedule'!$F$36,'Daily Workforce'!$B$6:$B$205,0)),0)*1000+36,999999999)</f>
        <v>36</v>
      </c>
      <c r="IQ7" s="1" t="n">
        <f aca="false">IF(AND('Daily Schedule'!$F$37&lt;&gt;"",'Daily Schedule'!$H$37="5:45 AM",'Daily Schedule'!$D$37&lt;&gt;"Tier 1",IFERROR(INDEX('Daily Workforce'!$M$6:$M$205,MATCH('Daily Schedule'!$F$37,'Daily Workforce'!$B$6:$B$205,0)),"N")="Y",COUNTIF($HJ$1:HJ6,'Daily Schedule'!$F$37)=0),IFERROR(INDEX('Daily Workforce'!$V$6:$V$205,MATCH('Daily Schedule'!$F$37,'Daily Workforce'!$B$6:$B$205,0)),0)*1000+37,999999999)</f>
        <v>37</v>
      </c>
      <c r="IR7" s="1" t="n">
        <f aca="false">IF(AND('Daily Schedule'!$F$38&lt;&gt;"",'Daily Schedule'!$H$38="5:45 AM",'Daily Schedule'!$D$38&lt;&gt;"Tier 1",IFERROR(INDEX('Daily Workforce'!$M$6:$M$205,MATCH('Daily Schedule'!$F$38,'Daily Workforce'!$B$6:$B$205,0)),"N")="Y",COUNTIF($HJ$1:HJ6,'Daily Schedule'!$F$38)=0),IFERROR(INDEX('Daily Workforce'!$V$6:$V$205,MATCH('Daily Schedule'!$F$38,'Daily Workforce'!$B$6:$B$205,0)),0)*1000+38,999999999)</f>
        <v>38</v>
      </c>
      <c r="IS7" s="1" t="n">
        <f aca="false">IF(AND('Daily Schedule'!$F$39&lt;&gt;"",'Daily Schedule'!$H$39="5:45 AM",'Daily Schedule'!$D$39&lt;&gt;"Tier 1",IFERROR(INDEX('Daily Workforce'!$M$6:$M$205,MATCH('Daily Schedule'!$F$39,'Daily Workforce'!$B$6:$B$205,0)),"N")="Y",COUNTIF($HJ$1:HJ6,'Daily Schedule'!$F$39)=0),IFERROR(INDEX('Daily Workforce'!$V$6:$V$205,MATCH('Daily Schedule'!$F$39,'Daily Workforce'!$B$6:$B$205,0)),0)*1000+39,999999999)</f>
        <v>39</v>
      </c>
      <c r="IT7" s="1" t="n">
        <f aca="false">IF(AND('Daily Schedule'!$F$40&lt;&gt;"",'Daily Schedule'!$H$40="5:45 AM",'Daily Schedule'!$D$40&lt;&gt;"Tier 1",IFERROR(INDEX('Daily Workforce'!$M$6:$M$205,MATCH('Daily Schedule'!$F$40,'Daily Workforce'!$B$6:$B$205,0)),"N")="Y",COUNTIF($HJ$1:HJ6,'Daily Schedule'!$F$40)=0),IFERROR(INDEX('Daily Workforce'!$V$6:$V$205,MATCH('Daily Schedule'!$F$40,'Daily Workforce'!$B$6:$B$205,0)),0)*1000+40,999999999)</f>
        <v>40</v>
      </c>
      <c r="IU7" s="1" t="n">
        <f aca="false">IF(AND('Daily Schedule'!$F$41&lt;&gt;"",'Daily Schedule'!$H$41="5:45 AM",'Daily Schedule'!$D$41&lt;&gt;"Tier 1",IFERROR(INDEX('Daily Workforce'!$M$6:$M$205,MATCH('Daily Schedule'!$F$41,'Daily Workforce'!$B$6:$B$205,0)),"N")="Y",COUNTIF($HJ$1:HJ6,'Daily Schedule'!$F$41)=0),IFERROR(INDEX('Daily Workforce'!$V$6:$V$205,MATCH('Daily Schedule'!$F$41,'Daily Workforce'!$B$6:$B$205,0)),0)*1000+41,999999999)</f>
        <v>41</v>
      </c>
      <c r="IV7" s="1" t="n">
        <f aca="false">IF(AND('Daily Schedule'!$F$42&lt;&gt;"",'Daily Schedule'!$H$42="5:45 AM",'Daily Schedule'!$D$42&lt;&gt;"Tier 1",IFERROR(INDEX('Daily Workforce'!$M$6:$M$205,MATCH('Daily Schedule'!$F$42,'Daily Workforce'!$B$6:$B$205,0)),"N")="Y",COUNTIF($HJ$1:HJ6,'Daily Schedule'!$F$42)=0),IFERROR(INDEX('Daily Workforce'!$V$6:$V$205,MATCH('Daily Schedule'!$F$42,'Daily Workforce'!$B$6:$B$205,0)),0)*1000+42,999999999)</f>
        <v>42</v>
      </c>
      <c r="IW7" s="1" t="n">
        <f aca="false">IF(AND('Daily Schedule'!$F$43&lt;&gt;"",'Daily Schedule'!$H$43="5:45 AM",'Daily Schedule'!$D$43&lt;&gt;"Tier 1",IFERROR(INDEX('Daily Workforce'!$M$6:$M$205,MATCH('Daily Schedule'!$F$43,'Daily Workforce'!$B$6:$B$205,0)),"N")="Y",COUNTIF($HJ$1:HJ6,'Daily Schedule'!$F$43)=0),IFERROR(INDEX('Daily Workforce'!$V$6:$V$205,MATCH('Daily Schedule'!$F$43,'Daily Workforce'!$B$6:$B$205,0)),0)*1000+43,999999999)</f>
        <v>43</v>
      </c>
      <c r="IX7" s="1" t="n">
        <f aca="false">IF(AND('Daily Schedule'!$F$44&lt;&gt;"",'Daily Schedule'!$H$44="5:45 AM",'Daily Schedule'!$D$44&lt;&gt;"Tier 1",IFERROR(INDEX('Daily Workforce'!$M$6:$M$205,MATCH('Daily Schedule'!$F$44,'Daily Workforce'!$B$6:$B$205,0)),"N")="Y",COUNTIF($HJ$1:HJ6,'Daily Schedule'!$F$44)=0),IFERROR(INDEX('Daily Workforce'!$V$6:$V$205,MATCH('Daily Schedule'!$F$44,'Daily Workforce'!$B$6:$B$205,0)),0)*1000+44,999999999)</f>
        <v>44</v>
      </c>
      <c r="IY7" s="1" t="n">
        <f aca="false">IF(AND('Daily Schedule'!$F$45&lt;&gt;"",'Daily Schedule'!$H$45="5:45 AM",'Daily Schedule'!$D$45&lt;&gt;"Tier 1",IFERROR(INDEX('Daily Workforce'!$M$6:$M$205,MATCH('Daily Schedule'!$F$45,'Daily Workforce'!$B$6:$B$205,0)),"N")="Y",COUNTIF($HJ$1:HJ6,'Daily Schedule'!$F$45)=0),IFERROR(INDEX('Daily Workforce'!$V$6:$V$205,MATCH('Daily Schedule'!$F$45,'Daily Workforce'!$B$6:$B$205,0)),0)*1000+45,999999999)</f>
        <v>45</v>
      </c>
      <c r="IZ7" s="1" t="n">
        <f aca="false">IF(AND('Daily Schedule'!$F$46&lt;&gt;"",'Daily Schedule'!$H$46="5:45 AM",'Daily Schedule'!$D$46&lt;&gt;"Tier 1",IFERROR(INDEX('Daily Workforce'!$M$6:$M$205,MATCH('Daily Schedule'!$F$46,'Daily Workforce'!$B$6:$B$205,0)),"N")="Y",COUNTIF($HJ$1:HJ6,'Daily Schedule'!$F$46)=0),IFERROR(INDEX('Daily Workforce'!$V$6:$V$205,MATCH('Daily Schedule'!$F$46,'Daily Workforce'!$B$6:$B$205,0)),0)*1000+46,999999999)</f>
        <v>46</v>
      </c>
      <c r="JA7" s="1" t="n">
        <f aca="false">IF(AND('Daily Schedule'!$F$47&lt;&gt;"",'Daily Schedule'!$H$47="5:45 AM",'Daily Schedule'!$D$47&lt;&gt;"Tier 1",IFERROR(INDEX('Daily Workforce'!$M$6:$M$205,MATCH('Daily Schedule'!$F$47,'Daily Workforce'!$B$6:$B$205,0)),"N")="Y",COUNTIF($HJ$1:HJ6,'Daily Schedule'!$F$47)=0),IFERROR(INDEX('Daily Workforce'!$V$6:$V$205,MATCH('Daily Schedule'!$F$47,'Daily Workforce'!$B$6:$B$205,0)),0)*1000+47,999999999)</f>
        <v>47</v>
      </c>
      <c r="JB7" s="1" t="n">
        <f aca="false">IF(AND('Daily Schedule'!$F$48&lt;&gt;"",'Daily Schedule'!$H$48="5:45 AM",'Daily Schedule'!$D$48&lt;&gt;"Tier 1",IFERROR(INDEX('Daily Workforce'!$M$6:$M$205,MATCH('Daily Schedule'!$F$48,'Daily Workforce'!$B$6:$B$205,0)),"N")="Y",COUNTIF($HJ$1:HJ6,'Daily Schedule'!$F$48)=0),IFERROR(INDEX('Daily Workforce'!$V$6:$V$205,MATCH('Daily Schedule'!$F$48,'Daily Workforce'!$B$6:$B$205,0)),0)*1000+48,999999999)</f>
        <v>48</v>
      </c>
      <c r="JC7" s="1" t="n">
        <f aca="false">IF(AND('Daily Schedule'!$F$49&lt;&gt;"",'Daily Schedule'!$H$49="5:45 AM",'Daily Schedule'!$D$49&lt;&gt;"Tier 1",IFERROR(INDEX('Daily Workforce'!$M$6:$M$205,MATCH('Daily Schedule'!$F$49,'Daily Workforce'!$B$6:$B$205,0)),"N")="Y",COUNTIF($HJ$1:HJ6,'Daily Schedule'!$F$49)=0),IFERROR(INDEX('Daily Workforce'!$V$6:$V$205,MATCH('Daily Schedule'!$F$49,'Daily Workforce'!$B$6:$B$205,0)),0)*1000+49,999999999)</f>
        <v>49</v>
      </c>
      <c r="JD7" s="1" t="n">
        <f aca="false">IF(AND('Daily Schedule'!$F$50&lt;&gt;"",'Daily Schedule'!$H$50="5:45 AM",'Daily Schedule'!$D$50&lt;&gt;"Tier 1",IFERROR(INDEX('Daily Workforce'!$M$6:$M$205,MATCH('Daily Schedule'!$F$50,'Daily Workforce'!$B$6:$B$205,0)),"N")="Y",COUNTIF($HJ$1:HJ6,'Daily Schedule'!$F$50)=0),IFERROR(INDEX('Daily Workforce'!$V$6:$V$205,MATCH('Daily Schedule'!$F$50,'Daily Workforce'!$B$6:$B$205,0)),0)*1000+50,999999999)</f>
        <v>50</v>
      </c>
      <c r="JE7" s="1" t="n">
        <f aca="false">IF(AND('Daily Schedule'!$F$51&lt;&gt;"",'Daily Schedule'!$H$51="5:45 AM",'Daily Schedule'!$D$51&lt;&gt;"Tier 1",IFERROR(INDEX('Daily Workforce'!$M$6:$M$205,MATCH('Daily Schedule'!$F$51,'Daily Workforce'!$B$6:$B$205,0)),"N")="Y",COUNTIF($HJ$1:HJ6,'Daily Schedule'!$F$51)=0),IFERROR(INDEX('Daily Workforce'!$V$6:$V$205,MATCH('Daily Schedule'!$F$51,'Daily Workforce'!$B$6:$B$205,0)),0)*1000+51,999999999)</f>
        <v>51</v>
      </c>
      <c r="JF7" s="1" t="n">
        <f aca="false">IF(AND('Daily Schedule'!$F$52&lt;&gt;"",'Daily Schedule'!$H$52="5:45 AM",'Daily Schedule'!$D$52&lt;&gt;"Tier 1",IFERROR(INDEX('Daily Workforce'!$M$6:$M$205,MATCH('Daily Schedule'!$F$52,'Daily Workforce'!$B$6:$B$205,0)),"N")="Y",COUNTIF($HJ$1:HJ6,'Daily Schedule'!$F$52)=0),IFERROR(INDEX('Daily Workforce'!$V$6:$V$205,MATCH('Daily Schedule'!$F$52,'Daily Workforce'!$B$6:$B$205,0)),0)*1000+52,999999999)</f>
        <v>52</v>
      </c>
      <c r="JG7" s="1" t="n">
        <f aca="false">IF(AND('Daily Schedule'!$F$53&lt;&gt;"",'Daily Schedule'!$H$53="5:45 AM",'Daily Schedule'!$D$53&lt;&gt;"Tier 1",IFERROR(INDEX('Daily Workforce'!$M$6:$M$205,MATCH('Daily Schedule'!$F$53,'Daily Workforce'!$B$6:$B$205,0)),"N")="Y",COUNTIF($HJ$1:HJ6,'Daily Schedule'!$F$53)=0),IFERROR(INDEX('Daily Workforce'!$V$6:$V$205,MATCH('Daily Schedule'!$F$53,'Daily Workforce'!$B$6:$B$205,0)),0)*1000+53,999999999)</f>
        <v>53</v>
      </c>
      <c r="JH7" s="1" t="n">
        <f aca="false">IF(AND('Daily Schedule'!$F$54&lt;&gt;"",'Daily Schedule'!$H$54="5:45 AM",'Daily Schedule'!$D$54&lt;&gt;"Tier 1",IFERROR(INDEX('Daily Workforce'!$M$6:$M$205,MATCH('Daily Schedule'!$F$54,'Daily Workforce'!$B$6:$B$205,0)),"N")="Y",COUNTIF($HJ$1:HJ6,'Daily Schedule'!$F$54)=0),IFERROR(INDEX('Daily Workforce'!$V$6:$V$205,MATCH('Daily Schedule'!$F$54,'Daily Workforce'!$B$6:$B$205,0)),0)*1000+54,999999999)</f>
        <v>54</v>
      </c>
      <c r="JI7" s="1" t="n">
        <f aca="false">IF(AND('Daily Schedule'!$F$55&lt;&gt;"",'Daily Schedule'!$H$55="5:45 AM",'Daily Schedule'!$D$55&lt;&gt;"Tier 1",IFERROR(INDEX('Daily Workforce'!$M$6:$M$205,MATCH('Daily Schedule'!$F$55,'Daily Workforce'!$B$6:$B$205,0)),"N")="Y",COUNTIF($HJ$1:HJ6,'Daily Schedule'!$F$55)=0),IFERROR(INDEX('Daily Workforce'!$V$6:$V$205,MATCH('Daily Schedule'!$F$55,'Daily Workforce'!$B$6:$B$205,0)),0)*1000+55,999999999)</f>
        <v>55</v>
      </c>
      <c r="JJ7" s="1" t="n">
        <f aca="false">IF(AND('Daily Schedule'!$F$56&lt;&gt;"",'Daily Schedule'!$H$56="5:45 AM",'Daily Schedule'!$D$56&lt;&gt;"Tier 1",IFERROR(INDEX('Daily Workforce'!$M$6:$M$205,MATCH('Daily Schedule'!$F$56,'Daily Workforce'!$B$6:$B$205,0)),"N")="Y",COUNTIF($HJ$1:HJ6,'Daily Schedule'!$F$56)=0),IFERROR(INDEX('Daily Workforce'!$V$6:$V$205,MATCH('Daily Schedule'!$F$56,'Daily Workforce'!$B$6:$B$205,0)),0)*1000+56,999999999)</f>
        <v>56</v>
      </c>
      <c r="JK7" s="1" t="n">
        <f aca="false">IF(AND('Daily Schedule'!$F$57&lt;&gt;"",'Daily Schedule'!$H$57="5:45 AM",'Daily Schedule'!$D$57&lt;&gt;"Tier 1",IFERROR(INDEX('Daily Workforce'!$M$6:$M$205,MATCH('Daily Schedule'!$F$57,'Daily Workforce'!$B$6:$B$205,0)),"N")="Y",COUNTIF($HJ$1:HJ6,'Daily Schedule'!$F$57)=0),IFERROR(INDEX('Daily Workforce'!$V$6:$V$205,MATCH('Daily Schedule'!$F$57,'Daily Workforce'!$B$6:$B$205,0)),0)*1000+57,999999999)</f>
        <v>57</v>
      </c>
      <c r="JL7" s="1" t="n">
        <v>51</v>
      </c>
      <c r="JM7" s="1" t="str">
        <f aca="false">$HJ7</f>
        <v>EMP-0041</v>
      </c>
      <c r="JN7" s="1" t="str">
        <f aca="false">IF($JM7="","",IFERROR(INDEX('Daily Schedule'!$N$6:$N$57,MATCH($JM7,'Daily Schedule'!$F$6:$F$57,0)),""))</f>
        <v>10:00 AM</v>
      </c>
      <c r="JO7" s="1" t="str">
        <f aca="false">IF(MIN(JS7:LR7)&gt;=999999999,"",IFERROR(INDEX('Daily Schedule'!$F$6:$F$57,MATCH(MIN(JS7:LR7),JS7:LR7,0)),""))</f>
        <v>EMP-0129</v>
      </c>
      <c r="JP7" s="1" t="n">
        <f aca="false">IF($JO7="","",IFERROR(INDEX('Daily Schedule'!$A$6:$A$57,MATCH($JO7,'Daily Schedule'!$F$6:$F$57,0)),""))</f>
        <v>28</v>
      </c>
      <c r="JQ7" s="1" t="str">
        <f aca="false">IF($JO7="","",IFERROR(INDEX('Daily Schedule'!$N$6:$N$57,MATCH($JO7,'Daily Schedule'!$F$6:$F$57,0)),""))</f>
        <v>9:00 AM</v>
      </c>
      <c r="JR7" s="1" t="str">
        <f aca="false">IF($JM7="","CORE GAP",IF($JO7="","RELIEF GAP",IF($JN7=$JQ7,"LUNCH CONFLICT","COVERED")))</f>
        <v>COVERED</v>
      </c>
      <c r="JS7" s="1" t="n">
        <f aca="false">IF(AND($JM7&lt;&gt;"",'Daily Schedule'!$F$6&lt;&gt;"",'Daily Schedule'!$H$6="5:45 AM",'Daily Schedule'!$D$6&lt;&gt;"Tier 1",'Daily Schedule'!$N$6&lt;&gt;$JN7,IFERROR(INDEX('Daily Workforce'!$M$6:$M$205,MATCH('Daily Schedule'!$F$6,'Daily Workforce'!$B$6:$B$205,0)),"N")="Y",COUNTIF($HJ$2:$HJ$8,'Daily Schedule'!$F$6)=0,COUNTIF($JO$1:JO6,'Daily Schedule'!$F$6)=0),IF('Daily Schedule'!$D$6="Tier 4",0,IF('Daily Schedule'!$D$6="Tier 3",1,2))*10000000+IFERROR(INDEX('Daily Workforce'!$V$6:$V$205,MATCH('Daily Schedule'!$F$6,'Daily Workforce'!$B$6:$B$205,0)),0)*1000+6,999999999)</f>
        <v>999999999</v>
      </c>
      <c r="JT7" s="1" t="n">
        <f aca="false">IF(AND($JM7&lt;&gt;"",'Daily Schedule'!$F$7&lt;&gt;"",'Daily Schedule'!$H$7="5:45 AM",'Daily Schedule'!$D$7&lt;&gt;"Tier 1",'Daily Schedule'!$N$7&lt;&gt;$JN7,IFERROR(INDEX('Daily Workforce'!$M$6:$M$205,MATCH('Daily Schedule'!$F$7,'Daily Workforce'!$B$6:$B$205,0)),"N")="Y",COUNTIF($HJ$2:$HJ$8,'Daily Schedule'!$F$7)=0,COUNTIF($JO$1:JO6,'Daily Schedule'!$F$7)=0),IF('Daily Schedule'!$D$7="Tier 4",0,IF('Daily Schedule'!$D$7="Tier 3",1,2))*10000000+IFERROR(INDEX('Daily Workforce'!$V$6:$V$205,MATCH('Daily Schedule'!$F$7,'Daily Workforce'!$B$6:$B$205,0)),0)*1000+7,999999999)</f>
        <v>999999999</v>
      </c>
      <c r="JU7" s="1" t="n">
        <f aca="false">IF(AND($JM7&lt;&gt;"",'Daily Schedule'!$F$8&lt;&gt;"",'Daily Schedule'!$H$8="5:45 AM",'Daily Schedule'!$D$8&lt;&gt;"Tier 1",'Daily Schedule'!$N$8&lt;&gt;$JN7,IFERROR(INDEX('Daily Workforce'!$M$6:$M$205,MATCH('Daily Schedule'!$F$8,'Daily Workforce'!$B$6:$B$205,0)),"N")="Y",COUNTIF($HJ$2:$HJ$8,'Daily Schedule'!$F$8)=0,COUNTIF($JO$1:JO6,'Daily Schedule'!$F$8)=0),IF('Daily Schedule'!$D$8="Tier 4",0,IF('Daily Schedule'!$D$8="Tier 3",1,2))*10000000+IFERROR(INDEX('Daily Workforce'!$V$6:$V$205,MATCH('Daily Schedule'!$F$8,'Daily Workforce'!$B$6:$B$205,0)),0)*1000+8,999999999)</f>
        <v>999999999</v>
      </c>
      <c r="JV7" s="1" t="n">
        <f aca="false">IF(AND($JM7&lt;&gt;"",'Daily Schedule'!$F$9&lt;&gt;"",'Daily Schedule'!$H$9="5:45 AM",'Daily Schedule'!$D$9&lt;&gt;"Tier 1",'Daily Schedule'!$N$9&lt;&gt;$JN7,IFERROR(INDEX('Daily Workforce'!$M$6:$M$205,MATCH('Daily Schedule'!$F$9,'Daily Workforce'!$B$6:$B$205,0)),"N")="Y",COUNTIF($HJ$2:$HJ$8,'Daily Schedule'!$F$9)=0,COUNTIF($JO$1:JO6,'Daily Schedule'!$F$9)=0),IF('Daily Schedule'!$D$9="Tier 4",0,IF('Daily Schedule'!$D$9="Tier 3",1,2))*10000000+IFERROR(INDEX('Daily Workforce'!$V$6:$V$205,MATCH('Daily Schedule'!$F$9,'Daily Workforce'!$B$6:$B$205,0)),0)*1000+9,999999999)</f>
        <v>999999999</v>
      </c>
      <c r="JW7" s="1" t="n">
        <f aca="false">IF(AND($JM7&lt;&gt;"",'Daily Schedule'!$F$10&lt;&gt;"",'Daily Schedule'!$H$10="5:45 AM",'Daily Schedule'!$D$10&lt;&gt;"Tier 1",'Daily Schedule'!$N$10&lt;&gt;$JN7,IFERROR(INDEX('Daily Workforce'!$M$6:$M$205,MATCH('Daily Schedule'!$F$10,'Daily Workforce'!$B$6:$B$205,0)),"N")="Y",COUNTIF($HJ$2:$HJ$8,'Daily Schedule'!$F$10)=0,COUNTIF($JO$1:JO6,'Daily Schedule'!$F$10)=0),IF('Daily Schedule'!$D$10="Tier 4",0,IF('Daily Schedule'!$D$10="Tier 3",1,2))*10000000+IFERROR(INDEX('Daily Workforce'!$V$6:$V$205,MATCH('Daily Schedule'!$F$10,'Daily Workforce'!$B$6:$B$205,0)),0)*1000+10,999999999)</f>
        <v>999999999</v>
      </c>
      <c r="JX7" s="1" t="n">
        <f aca="false">IF(AND($JM7&lt;&gt;"",'Daily Schedule'!$F$11&lt;&gt;"",'Daily Schedule'!$H$11="5:45 AM",'Daily Schedule'!$D$11&lt;&gt;"Tier 1",'Daily Schedule'!$N$11&lt;&gt;$JN7,IFERROR(INDEX('Daily Workforce'!$M$6:$M$205,MATCH('Daily Schedule'!$F$11,'Daily Workforce'!$B$6:$B$205,0)),"N")="Y",COUNTIF($HJ$2:$HJ$8,'Daily Schedule'!$F$11)=0,COUNTIF($JO$1:JO6,'Daily Schedule'!$F$11)=0),IF('Daily Schedule'!$D$11="Tier 4",0,IF('Daily Schedule'!$D$11="Tier 3",1,2))*10000000+IFERROR(INDEX('Daily Workforce'!$V$6:$V$205,MATCH('Daily Schedule'!$F$11,'Daily Workforce'!$B$6:$B$205,0)),0)*1000+11,999999999)</f>
        <v>999999999</v>
      </c>
      <c r="JY7" s="1" t="n">
        <f aca="false">IF(AND($JM7&lt;&gt;"",'Daily Schedule'!$F$12&lt;&gt;"",'Daily Schedule'!$H$12="5:45 AM",'Daily Schedule'!$D$12&lt;&gt;"Tier 1",'Daily Schedule'!$N$12&lt;&gt;$JN7,IFERROR(INDEX('Daily Workforce'!$M$6:$M$205,MATCH('Daily Schedule'!$F$12,'Daily Workforce'!$B$6:$B$205,0)),"N")="Y",COUNTIF($HJ$2:$HJ$8,'Daily Schedule'!$F$12)=0,COUNTIF($JO$1:JO6,'Daily Schedule'!$F$12)=0),IF('Daily Schedule'!$D$12="Tier 4",0,IF('Daily Schedule'!$D$12="Tier 3",1,2))*10000000+IFERROR(INDEX('Daily Workforce'!$V$6:$V$205,MATCH('Daily Schedule'!$F$12,'Daily Workforce'!$B$6:$B$205,0)),0)*1000+12,999999999)</f>
        <v>999999999</v>
      </c>
      <c r="JZ7" s="1" t="n">
        <f aca="false">IF(AND($JM7&lt;&gt;"",'Daily Schedule'!$F$13&lt;&gt;"",'Daily Schedule'!$H$13="5:45 AM",'Daily Schedule'!$D$13&lt;&gt;"Tier 1",'Daily Schedule'!$N$13&lt;&gt;$JN7,IFERROR(INDEX('Daily Workforce'!$M$6:$M$205,MATCH('Daily Schedule'!$F$13,'Daily Workforce'!$B$6:$B$205,0)),"N")="Y",COUNTIF($HJ$2:$HJ$8,'Daily Schedule'!$F$13)=0,COUNTIF($JO$1:JO6,'Daily Schedule'!$F$13)=0),IF('Daily Schedule'!$D$13="Tier 4",0,IF('Daily Schedule'!$D$13="Tier 3",1,2))*10000000+IFERROR(INDEX('Daily Workforce'!$V$6:$V$205,MATCH('Daily Schedule'!$F$13,'Daily Workforce'!$B$6:$B$205,0)),0)*1000+13,999999999)</f>
        <v>999999999</v>
      </c>
      <c r="KA7" s="1" t="n">
        <f aca="false">IF(AND($JM7&lt;&gt;"",'Daily Schedule'!$F$14&lt;&gt;"",'Daily Schedule'!$H$14="5:45 AM",'Daily Schedule'!$D$14&lt;&gt;"Tier 1",'Daily Schedule'!$N$14&lt;&gt;$JN7,IFERROR(INDEX('Daily Workforce'!$M$6:$M$205,MATCH('Daily Schedule'!$F$14,'Daily Workforce'!$B$6:$B$205,0)),"N")="Y",COUNTIF($HJ$2:$HJ$8,'Daily Schedule'!$F$14)=0,COUNTIF($JO$1:JO6,'Daily Schedule'!$F$14)=0),IF('Daily Schedule'!$D$14="Tier 4",0,IF('Daily Schedule'!$D$14="Tier 3",1,2))*10000000+IFERROR(INDEX('Daily Workforce'!$V$6:$V$205,MATCH('Daily Schedule'!$F$14,'Daily Workforce'!$B$6:$B$205,0)),0)*1000+14,999999999)</f>
        <v>999999999</v>
      </c>
      <c r="KB7" s="1" t="n">
        <f aca="false">IF(AND($JM7&lt;&gt;"",'Daily Schedule'!$F$15&lt;&gt;"",'Daily Schedule'!$H$15="5:45 AM",'Daily Schedule'!$D$15&lt;&gt;"Tier 1",'Daily Schedule'!$N$15&lt;&gt;$JN7,IFERROR(INDEX('Daily Workforce'!$M$6:$M$205,MATCH('Daily Schedule'!$F$15,'Daily Workforce'!$B$6:$B$205,0)),"N")="Y",COUNTIF($HJ$2:$HJ$8,'Daily Schedule'!$F$15)=0,COUNTIF($JO$1:JO6,'Daily Schedule'!$F$15)=0),IF('Daily Schedule'!$D$15="Tier 4",0,IF('Daily Schedule'!$D$15="Tier 3",1,2))*10000000+IFERROR(INDEX('Daily Workforce'!$V$6:$V$205,MATCH('Daily Schedule'!$F$15,'Daily Workforce'!$B$6:$B$205,0)),0)*1000+15,999999999)</f>
        <v>999999999</v>
      </c>
      <c r="KC7" s="1" t="n">
        <f aca="false">IF(AND($JM7&lt;&gt;"",'Daily Schedule'!$F$16&lt;&gt;"",'Daily Schedule'!$H$16="5:45 AM",'Daily Schedule'!$D$16&lt;&gt;"Tier 1",'Daily Schedule'!$N$16&lt;&gt;$JN7,IFERROR(INDEX('Daily Workforce'!$M$6:$M$205,MATCH('Daily Schedule'!$F$16,'Daily Workforce'!$B$6:$B$205,0)),"N")="Y",COUNTIF($HJ$2:$HJ$8,'Daily Schedule'!$F$16)=0,COUNTIF($JO$1:JO6,'Daily Schedule'!$F$16)=0),IF('Daily Schedule'!$D$16="Tier 4",0,IF('Daily Schedule'!$D$16="Tier 3",1,2))*10000000+IFERROR(INDEX('Daily Workforce'!$V$6:$V$205,MATCH('Daily Schedule'!$F$16,'Daily Workforce'!$B$6:$B$205,0)),0)*1000+16,999999999)</f>
        <v>999999999</v>
      </c>
      <c r="KD7" s="1" t="n">
        <f aca="false">IF(AND($JM7&lt;&gt;"",'Daily Schedule'!$F$17&lt;&gt;"",'Daily Schedule'!$H$17="5:45 AM",'Daily Schedule'!$D$17&lt;&gt;"Tier 1",'Daily Schedule'!$N$17&lt;&gt;$JN7,IFERROR(INDEX('Daily Workforce'!$M$6:$M$205,MATCH('Daily Schedule'!$F$17,'Daily Workforce'!$B$6:$B$205,0)),"N")="Y",COUNTIF($HJ$2:$HJ$8,'Daily Schedule'!$F$17)=0,COUNTIF($JO$1:JO6,'Daily Schedule'!$F$17)=0),IF('Daily Schedule'!$D$17="Tier 4",0,IF('Daily Schedule'!$D$17="Tier 3",1,2))*10000000+IFERROR(INDEX('Daily Workforce'!$V$6:$V$205,MATCH('Daily Schedule'!$F$17,'Daily Workforce'!$B$6:$B$205,0)),0)*1000+17,999999999)</f>
        <v>999999999</v>
      </c>
      <c r="KE7" s="1" t="n">
        <f aca="false">IF(AND($JM7&lt;&gt;"",'Daily Schedule'!$F$18&lt;&gt;"",'Daily Schedule'!$H$18="5:45 AM",'Daily Schedule'!$D$18&lt;&gt;"Tier 1",'Daily Schedule'!$N$18&lt;&gt;$JN7,IFERROR(INDEX('Daily Workforce'!$M$6:$M$205,MATCH('Daily Schedule'!$F$18,'Daily Workforce'!$B$6:$B$205,0)),"N")="Y",COUNTIF($HJ$2:$HJ$8,'Daily Schedule'!$F$18)=0,COUNTIF($JO$1:JO6,'Daily Schedule'!$F$18)=0),IF('Daily Schedule'!$D$18="Tier 4",0,IF('Daily Schedule'!$D$18="Tier 3",1,2))*10000000+IFERROR(INDEX('Daily Workforce'!$V$6:$V$205,MATCH('Daily Schedule'!$F$18,'Daily Workforce'!$B$6:$B$205,0)),0)*1000+18,999999999)</f>
        <v>999999999</v>
      </c>
      <c r="KF7" s="1" t="n">
        <f aca="false">IF(AND($JM7&lt;&gt;"",'Daily Schedule'!$F$19&lt;&gt;"",'Daily Schedule'!$H$19="5:45 AM",'Daily Schedule'!$D$19&lt;&gt;"Tier 1",'Daily Schedule'!$N$19&lt;&gt;$JN7,IFERROR(INDEX('Daily Workforce'!$M$6:$M$205,MATCH('Daily Schedule'!$F$19,'Daily Workforce'!$B$6:$B$205,0)),"N")="Y",COUNTIF($HJ$2:$HJ$8,'Daily Schedule'!$F$19)=0,COUNTIF($JO$1:JO6,'Daily Schedule'!$F$19)=0),IF('Daily Schedule'!$D$19="Tier 4",0,IF('Daily Schedule'!$D$19="Tier 3",1,2))*10000000+IFERROR(INDEX('Daily Workforce'!$V$6:$V$205,MATCH('Daily Schedule'!$F$19,'Daily Workforce'!$B$6:$B$205,0)),0)*1000+19,999999999)</f>
        <v>999999999</v>
      </c>
      <c r="KG7" s="1" t="n">
        <f aca="false">IF(AND($JM7&lt;&gt;"",'Daily Schedule'!$F$20&lt;&gt;"",'Daily Schedule'!$H$20="5:45 AM",'Daily Schedule'!$D$20&lt;&gt;"Tier 1",'Daily Schedule'!$N$20&lt;&gt;$JN7,IFERROR(INDEX('Daily Workforce'!$M$6:$M$205,MATCH('Daily Schedule'!$F$20,'Daily Workforce'!$B$6:$B$205,0)),"N")="Y",COUNTIF($HJ$2:$HJ$8,'Daily Schedule'!$F$20)=0,COUNTIF($JO$1:JO6,'Daily Schedule'!$F$20)=0),IF('Daily Schedule'!$D$20="Tier 4",0,IF('Daily Schedule'!$D$20="Tier 3",1,2))*10000000+IFERROR(INDEX('Daily Workforce'!$V$6:$V$205,MATCH('Daily Schedule'!$F$20,'Daily Workforce'!$B$6:$B$205,0)),0)*1000+20,999999999)</f>
        <v>999999999</v>
      </c>
      <c r="KH7" s="1" t="n">
        <f aca="false">IF(AND($JM7&lt;&gt;"",'Daily Schedule'!$F$21&lt;&gt;"",'Daily Schedule'!$H$21="5:45 AM",'Daily Schedule'!$D$21&lt;&gt;"Tier 1",'Daily Schedule'!$N$21&lt;&gt;$JN7,IFERROR(INDEX('Daily Workforce'!$M$6:$M$205,MATCH('Daily Schedule'!$F$21,'Daily Workforce'!$B$6:$B$205,0)),"N")="Y",COUNTIF($HJ$2:$HJ$8,'Daily Schedule'!$F$21)=0,COUNTIF($JO$1:JO6,'Daily Schedule'!$F$21)=0),IF('Daily Schedule'!$D$21="Tier 4",0,IF('Daily Schedule'!$D$21="Tier 3",1,2))*10000000+IFERROR(INDEX('Daily Workforce'!$V$6:$V$205,MATCH('Daily Schedule'!$F$21,'Daily Workforce'!$B$6:$B$205,0)),0)*1000+21,999999999)</f>
        <v>999999999</v>
      </c>
      <c r="KI7" s="1" t="n">
        <f aca="false">IF(AND($JM7&lt;&gt;"",'Daily Schedule'!$F$22&lt;&gt;"",'Daily Schedule'!$H$22="5:45 AM",'Daily Schedule'!$D$22&lt;&gt;"Tier 1",'Daily Schedule'!$N$22&lt;&gt;$JN7,IFERROR(INDEX('Daily Workforce'!$M$6:$M$205,MATCH('Daily Schedule'!$F$22,'Daily Workforce'!$B$6:$B$205,0)),"N")="Y",COUNTIF($HJ$2:$HJ$8,'Daily Schedule'!$F$22)=0,COUNTIF($JO$1:JO6,'Daily Schedule'!$F$22)=0),IF('Daily Schedule'!$D$22="Tier 4",0,IF('Daily Schedule'!$D$22="Tier 3",1,2))*10000000+IFERROR(INDEX('Daily Workforce'!$V$6:$V$205,MATCH('Daily Schedule'!$F$22,'Daily Workforce'!$B$6:$B$205,0)),0)*1000+22,999999999)</f>
        <v>999999999</v>
      </c>
      <c r="KJ7" s="1" t="n">
        <f aca="false">IF(AND($JM7&lt;&gt;"",'Daily Schedule'!$F$23&lt;&gt;"",'Daily Schedule'!$H$23="5:45 AM",'Daily Schedule'!$D$23&lt;&gt;"Tier 1",'Daily Schedule'!$N$23&lt;&gt;$JN7,IFERROR(INDEX('Daily Workforce'!$M$6:$M$205,MATCH('Daily Schedule'!$F$23,'Daily Workforce'!$B$6:$B$205,0)),"N")="Y",COUNTIF($HJ$2:$HJ$8,'Daily Schedule'!$F$23)=0,COUNTIF($JO$1:JO6,'Daily Schedule'!$F$23)=0),IF('Daily Schedule'!$D$23="Tier 4",0,IF('Daily Schedule'!$D$23="Tier 3",1,2))*10000000+IFERROR(INDEX('Daily Workforce'!$V$6:$V$205,MATCH('Daily Schedule'!$F$23,'Daily Workforce'!$B$6:$B$205,0)),0)*1000+23,999999999)</f>
        <v>999999999</v>
      </c>
      <c r="KK7" s="1" t="n">
        <f aca="false">IF(AND($JM7&lt;&gt;"",'Daily Schedule'!$F$24&lt;&gt;"",'Daily Schedule'!$H$24="5:45 AM",'Daily Schedule'!$D$24&lt;&gt;"Tier 1",'Daily Schedule'!$N$24&lt;&gt;$JN7,IFERROR(INDEX('Daily Workforce'!$M$6:$M$205,MATCH('Daily Schedule'!$F$24,'Daily Workforce'!$B$6:$B$205,0)),"N")="Y",COUNTIF($HJ$2:$HJ$8,'Daily Schedule'!$F$24)=0,COUNTIF($JO$1:JO6,'Daily Schedule'!$F$24)=0),IF('Daily Schedule'!$D$24="Tier 4",0,IF('Daily Schedule'!$D$24="Tier 3",1,2))*10000000+IFERROR(INDEX('Daily Workforce'!$V$6:$V$205,MATCH('Daily Schedule'!$F$24,'Daily Workforce'!$B$6:$B$205,0)),0)*1000+24,999999999)</f>
        <v>999999999</v>
      </c>
      <c r="KL7" s="1" t="n">
        <f aca="false">IF(AND($JM7&lt;&gt;"",'Daily Schedule'!$F$25&lt;&gt;"",'Daily Schedule'!$H$25="5:45 AM",'Daily Schedule'!$D$25&lt;&gt;"Tier 1",'Daily Schedule'!$N$25&lt;&gt;$JN7,IFERROR(INDEX('Daily Workforce'!$M$6:$M$205,MATCH('Daily Schedule'!$F$25,'Daily Workforce'!$B$6:$B$205,0)),"N")="Y",COUNTIF($HJ$2:$HJ$8,'Daily Schedule'!$F$25)=0,COUNTIF($JO$1:JO6,'Daily Schedule'!$F$25)=0),IF('Daily Schedule'!$D$25="Tier 4",0,IF('Daily Schedule'!$D$25="Tier 3",1,2))*10000000+IFERROR(INDEX('Daily Workforce'!$V$6:$V$205,MATCH('Daily Schedule'!$F$25,'Daily Workforce'!$B$6:$B$205,0)),0)*1000+25,999999999)</f>
        <v>999999999</v>
      </c>
      <c r="KM7" s="1" t="n">
        <f aca="false">IF(AND($JM7&lt;&gt;"",'Daily Schedule'!$F$26&lt;&gt;"",'Daily Schedule'!$H$26="5:45 AM",'Daily Schedule'!$D$26&lt;&gt;"Tier 1",'Daily Schedule'!$N$26&lt;&gt;$JN7,IFERROR(INDEX('Daily Workforce'!$M$6:$M$205,MATCH('Daily Schedule'!$F$26,'Daily Workforce'!$B$6:$B$205,0)),"N")="Y",COUNTIF($HJ$2:$HJ$8,'Daily Schedule'!$F$26)=0,COUNTIF($JO$1:JO6,'Daily Schedule'!$F$26)=0),IF('Daily Schedule'!$D$26="Tier 4",0,IF('Daily Schedule'!$D$26="Tier 3",1,2))*10000000+IFERROR(INDEX('Daily Workforce'!$V$6:$V$205,MATCH('Daily Schedule'!$F$26,'Daily Workforce'!$B$6:$B$205,0)),0)*1000+26,999999999)</f>
        <v>999999999</v>
      </c>
      <c r="KN7" s="1" t="n">
        <f aca="false">IF(AND($JM7&lt;&gt;"",'Daily Schedule'!$F$27&lt;&gt;"",'Daily Schedule'!$H$27="5:45 AM",'Daily Schedule'!$D$27&lt;&gt;"Tier 1",'Daily Schedule'!$N$27&lt;&gt;$JN7,IFERROR(INDEX('Daily Workforce'!$M$6:$M$205,MATCH('Daily Schedule'!$F$27,'Daily Workforce'!$B$6:$B$205,0)),"N")="Y",COUNTIF($HJ$2:$HJ$8,'Daily Schedule'!$F$27)=0,COUNTIF($JO$1:JO6,'Daily Schedule'!$F$27)=0),IF('Daily Schedule'!$D$27="Tier 4",0,IF('Daily Schedule'!$D$27="Tier 3",1,2))*10000000+IFERROR(INDEX('Daily Workforce'!$V$6:$V$205,MATCH('Daily Schedule'!$F$27,'Daily Workforce'!$B$6:$B$205,0)),0)*1000+27,999999999)</f>
        <v>999999999</v>
      </c>
      <c r="KO7" s="1" t="n">
        <f aca="false">IF(AND($JM7&lt;&gt;"",'Daily Schedule'!$F$28&lt;&gt;"",'Daily Schedule'!$H$28="5:45 AM",'Daily Schedule'!$D$28&lt;&gt;"Tier 1",'Daily Schedule'!$N$28&lt;&gt;$JN7,IFERROR(INDEX('Daily Workforce'!$M$6:$M$205,MATCH('Daily Schedule'!$F$28,'Daily Workforce'!$B$6:$B$205,0)),"N")="Y",COUNTIF($HJ$2:$HJ$8,'Daily Schedule'!$F$28)=0,COUNTIF($JO$1:JO6,'Daily Schedule'!$F$28)=0),IF('Daily Schedule'!$D$28="Tier 4",0,IF('Daily Schedule'!$D$28="Tier 3",1,2))*10000000+IFERROR(INDEX('Daily Workforce'!$V$6:$V$205,MATCH('Daily Schedule'!$F$28,'Daily Workforce'!$B$6:$B$205,0)),0)*1000+28,999999999)</f>
        <v>999999999</v>
      </c>
      <c r="KP7" s="1" t="n">
        <f aca="false">IF(AND($JM7&lt;&gt;"",'Daily Schedule'!$F$29&lt;&gt;"",'Daily Schedule'!$H$29="5:45 AM",'Daily Schedule'!$D$29&lt;&gt;"Tier 1",'Daily Schedule'!$N$29&lt;&gt;$JN7,IFERROR(INDEX('Daily Workforce'!$M$6:$M$205,MATCH('Daily Schedule'!$F$29,'Daily Workforce'!$B$6:$B$205,0)),"N")="Y",COUNTIF($HJ$2:$HJ$8,'Daily Schedule'!$F$29)=0,COUNTIF($JO$1:JO6,'Daily Schedule'!$F$29)=0),IF('Daily Schedule'!$D$29="Tier 4",0,IF('Daily Schedule'!$D$29="Tier 3",1,2))*10000000+IFERROR(INDEX('Daily Workforce'!$V$6:$V$205,MATCH('Daily Schedule'!$F$29,'Daily Workforce'!$B$6:$B$205,0)),0)*1000+29,999999999)</f>
        <v>999999999</v>
      </c>
      <c r="KQ7" s="1" t="n">
        <f aca="false">IF(AND($JM7&lt;&gt;"",'Daily Schedule'!$F$30&lt;&gt;"",'Daily Schedule'!$H$30="5:45 AM",'Daily Schedule'!$D$30&lt;&gt;"Tier 1",'Daily Schedule'!$N$30&lt;&gt;$JN7,IFERROR(INDEX('Daily Workforce'!$M$6:$M$205,MATCH('Daily Schedule'!$F$30,'Daily Workforce'!$B$6:$B$205,0)),"N")="Y",COUNTIF($HJ$2:$HJ$8,'Daily Schedule'!$F$30)=0,COUNTIF($JO$1:JO6,'Daily Schedule'!$F$30)=0),IF('Daily Schedule'!$D$30="Tier 4",0,IF('Daily Schedule'!$D$30="Tier 3",1,2))*10000000+IFERROR(INDEX('Daily Workforce'!$V$6:$V$205,MATCH('Daily Schedule'!$F$30,'Daily Workforce'!$B$6:$B$205,0)),0)*1000+30,999999999)</f>
        <v>999999999</v>
      </c>
      <c r="KR7" s="1" t="n">
        <f aca="false">IF(AND($JM7&lt;&gt;"",'Daily Schedule'!$F$31&lt;&gt;"",'Daily Schedule'!$H$31="5:45 AM",'Daily Schedule'!$D$31&lt;&gt;"Tier 1",'Daily Schedule'!$N$31&lt;&gt;$JN7,IFERROR(INDEX('Daily Workforce'!$M$6:$M$205,MATCH('Daily Schedule'!$F$31,'Daily Workforce'!$B$6:$B$205,0)),"N")="Y",COUNTIF($HJ$2:$HJ$8,'Daily Schedule'!$F$31)=0,COUNTIF($JO$1:JO6,'Daily Schedule'!$F$31)=0),IF('Daily Schedule'!$D$31="Tier 4",0,IF('Daily Schedule'!$D$31="Tier 3",1,2))*10000000+IFERROR(INDEX('Daily Workforce'!$V$6:$V$205,MATCH('Daily Schedule'!$F$31,'Daily Workforce'!$B$6:$B$205,0)),0)*1000+31,999999999)</f>
        <v>999999999</v>
      </c>
      <c r="KS7" s="1" t="n">
        <f aca="false">IF(AND($JM7&lt;&gt;"",'Daily Schedule'!$F$32&lt;&gt;"",'Daily Schedule'!$H$32="5:45 AM",'Daily Schedule'!$D$32&lt;&gt;"Tier 1",'Daily Schedule'!$N$32&lt;&gt;$JN7,IFERROR(INDEX('Daily Workforce'!$M$6:$M$205,MATCH('Daily Schedule'!$F$32,'Daily Workforce'!$B$6:$B$205,0)),"N")="Y",COUNTIF($HJ$2:$HJ$8,'Daily Schedule'!$F$32)=0,COUNTIF($JO$1:JO6,'Daily Schedule'!$F$32)=0),IF('Daily Schedule'!$D$32="Tier 4",0,IF('Daily Schedule'!$D$32="Tier 3",1,2))*10000000+IFERROR(INDEX('Daily Workforce'!$V$6:$V$205,MATCH('Daily Schedule'!$F$32,'Daily Workforce'!$B$6:$B$205,0)),0)*1000+32,999999999)</f>
        <v>999999999</v>
      </c>
      <c r="KT7" s="1" t="n">
        <f aca="false">IF(AND($JM7&lt;&gt;"",'Daily Schedule'!$F$33&lt;&gt;"",'Daily Schedule'!$H$33="5:45 AM",'Daily Schedule'!$D$33&lt;&gt;"Tier 1",'Daily Schedule'!$N$33&lt;&gt;$JN7,IFERROR(INDEX('Daily Workforce'!$M$6:$M$205,MATCH('Daily Schedule'!$F$33,'Daily Workforce'!$B$6:$B$205,0)),"N")="Y",COUNTIF($HJ$2:$HJ$8,'Daily Schedule'!$F$33)=0,COUNTIF($JO$1:JO6,'Daily Schedule'!$F$33)=0),IF('Daily Schedule'!$D$33="Tier 4",0,IF('Daily Schedule'!$D$33="Tier 3",1,2))*10000000+IFERROR(INDEX('Daily Workforce'!$V$6:$V$205,MATCH('Daily Schedule'!$F$33,'Daily Workforce'!$B$6:$B$205,0)),0)*1000+33,999999999)</f>
        <v>999999999</v>
      </c>
      <c r="KU7" s="1" t="n">
        <f aca="false">IF(AND($JM7&lt;&gt;"",'Daily Schedule'!$F$34&lt;&gt;"",'Daily Schedule'!$H$34="5:45 AM",'Daily Schedule'!$D$34&lt;&gt;"Tier 1",'Daily Schedule'!$N$34&lt;&gt;$JN7,IFERROR(INDEX('Daily Workforce'!$M$6:$M$205,MATCH('Daily Schedule'!$F$34,'Daily Workforce'!$B$6:$B$205,0)),"N")="Y",COUNTIF($HJ$2:$HJ$8,'Daily Schedule'!$F$34)=0,COUNTIF($JO$1:JO6,'Daily Schedule'!$F$34)=0),IF('Daily Schedule'!$D$34="Tier 4",0,IF('Daily Schedule'!$D$34="Tier 3",1,2))*10000000+IFERROR(INDEX('Daily Workforce'!$V$6:$V$205,MATCH('Daily Schedule'!$F$34,'Daily Workforce'!$B$6:$B$205,0)),0)*1000+34,999999999)</f>
        <v>999999999</v>
      </c>
      <c r="KV7" s="1" t="n">
        <f aca="false">IF(AND($JM7&lt;&gt;"",'Daily Schedule'!$F$35&lt;&gt;"",'Daily Schedule'!$H$35="5:45 AM",'Daily Schedule'!$D$35&lt;&gt;"Tier 1",'Daily Schedule'!$N$35&lt;&gt;$JN7,IFERROR(INDEX('Daily Workforce'!$M$6:$M$205,MATCH('Daily Schedule'!$F$35,'Daily Workforce'!$B$6:$B$205,0)),"N")="Y",COUNTIF($HJ$2:$HJ$8,'Daily Schedule'!$F$35)=0,COUNTIF($JO$1:JO6,'Daily Schedule'!$F$35)=0),IF('Daily Schedule'!$D$35="Tier 4",0,IF('Daily Schedule'!$D$35="Tier 3",1,2))*10000000+IFERROR(INDEX('Daily Workforce'!$V$6:$V$205,MATCH('Daily Schedule'!$F$35,'Daily Workforce'!$B$6:$B$205,0)),0)*1000+35,999999999)</f>
        <v>999999999</v>
      </c>
      <c r="KW7" s="1" t="n">
        <f aca="false">IF(AND($JM7&lt;&gt;"",'Daily Schedule'!$F$36&lt;&gt;"",'Daily Schedule'!$H$36="5:45 AM",'Daily Schedule'!$D$36&lt;&gt;"Tier 1",'Daily Schedule'!$N$36&lt;&gt;$JN7,IFERROR(INDEX('Daily Workforce'!$M$6:$M$205,MATCH('Daily Schedule'!$F$36,'Daily Workforce'!$B$6:$B$205,0)),"N")="Y",COUNTIF($HJ$2:$HJ$8,'Daily Schedule'!$F$36)=0,COUNTIF($JO$1:JO6,'Daily Schedule'!$F$36)=0),IF('Daily Schedule'!$D$36="Tier 4",0,IF('Daily Schedule'!$D$36="Tier 3",1,2))*10000000+IFERROR(INDEX('Daily Workforce'!$V$6:$V$205,MATCH('Daily Schedule'!$F$36,'Daily Workforce'!$B$6:$B$205,0)),0)*1000+36,999999999)</f>
        <v>999999999</v>
      </c>
      <c r="KX7" s="1" t="n">
        <f aca="false">IF(AND($JM7&lt;&gt;"",'Daily Schedule'!$F$37&lt;&gt;"",'Daily Schedule'!$H$37="5:45 AM",'Daily Schedule'!$D$37&lt;&gt;"Tier 1",'Daily Schedule'!$N$37&lt;&gt;$JN7,IFERROR(INDEX('Daily Workforce'!$M$6:$M$205,MATCH('Daily Schedule'!$F$37,'Daily Workforce'!$B$6:$B$205,0)),"N")="Y",COUNTIF($HJ$2:$HJ$8,'Daily Schedule'!$F$37)=0,COUNTIF($JO$1:JO6,'Daily Schedule'!$F$37)=0),IF('Daily Schedule'!$D$37="Tier 4",0,IF('Daily Schedule'!$D$37="Tier 3",1,2))*10000000+IFERROR(INDEX('Daily Workforce'!$V$6:$V$205,MATCH('Daily Schedule'!$F$37,'Daily Workforce'!$B$6:$B$205,0)),0)*1000+37,999999999)</f>
        <v>20000037</v>
      </c>
      <c r="KY7" s="1" t="n">
        <f aca="false">IF(AND($JM7&lt;&gt;"",'Daily Schedule'!$F$38&lt;&gt;"",'Daily Schedule'!$H$38="5:45 AM",'Daily Schedule'!$D$38&lt;&gt;"Tier 1",'Daily Schedule'!$N$38&lt;&gt;$JN7,IFERROR(INDEX('Daily Workforce'!$M$6:$M$205,MATCH('Daily Schedule'!$F$38,'Daily Workforce'!$B$6:$B$205,0)),"N")="Y",COUNTIF($HJ$2:$HJ$8,'Daily Schedule'!$F$38)=0,COUNTIF($JO$1:JO6,'Daily Schedule'!$F$38)=0),IF('Daily Schedule'!$D$38="Tier 4",0,IF('Daily Schedule'!$D$38="Tier 3",1,2))*10000000+IFERROR(INDEX('Daily Workforce'!$V$6:$V$205,MATCH('Daily Schedule'!$F$38,'Daily Workforce'!$B$6:$B$205,0)),0)*1000+38,999999999)</f>
        <v>999999999</v>
      </c>
      <c r="KZ7" s="1" t="n">
        <f aca="false">IF(AND($JM7&lt;&gt;"",'Daily Schedule'!$F$39&lt;&gt;"",'Daily Schedule'!$H$39="5:45 AM",'Daily Schedule'!$D$39&lt;&gt;"Tier 1",'Daily Schedule'!$N$39&lt;&gt;$JN7,IFERROR(INDEX('Daily Workforce'!$M$6:$M$205,MATCH('Daily Schedule'!$F$39,'Daily Workforce'!$B$6:$B$205,0)),"N")="Y",COUNTIF($HJ$2:$HJ$8,'Daily Schedule'!$F$39)=0,COUNTIF($JO$1:JO6,'Daily Schedule'!$F$39)=0),IF('Daily Schedule'!$D$39="Tier 4",0,IF('Daily Schedule'!$D$39="Tier 3",1,2))*10000000+IFERROR(INDEX('Daily Workforce'!$V$6:$V$205,MATCH('Daily Schedule'!$F$39,'Daily Workforce'!$B$6:$B$205,0)),0)*1000+39,999999999)</f>
        <v>999999999</v>
      </c>
      <c r="LA7" s="1" t="n">
        <f aca="false">IF(AND($JM7&lt;&gt;"",'Daily Schedule'!$F$40&lt;&gt;"",'Daily Schedule'!$H$40="5:45 AM",'Daily Schedule'!$D$40&lt;&gt;"Tier 1",'Daily Schedule'!$N$40&lt;&gt;$JN7,IFERROR(INDEX('Daily Workforce'!$M$6:$M$205,MATCH('Daily Schedule'!$F$40,'Daily Workforce'!$B$6:$B$205,0)),"N")="Y",COUNTIF($HJ$2:$HJ$8,'Daily Schedule'!$F$40)=0,COUNTIF($JO$1:JO6,'Daily Schedule'!$F$40)=0),IF('Daily Schedule'!$D$40="Tier 4",0,IF('Daily Schedule'!$D$40="Tier 3",1,2))*10000000+IFERROR(INDEX('Daily Workforce'!$V$6:$V$205,MATCH('Daily Schedule'!$F$40,'Daily Workforce'!$B$6:$B$205,0)),0)*1000+40,999999999)</f>
        <v>10000040</v>
      </c>
      <c r="LB7" s="1" t="n">
        <f aca="false">IF(AND($JM7&lt;&gt;"",'Daily Schedule'!$F$41&lt;&gt;"",'Daily Schedule'!$H$41="5:45 AM",'Daily Schedule'!$D$41&lt;&gt;"Tier 1",'Daily Schedule'!$N$41&lt;&gt;$JN7,IFERROR(INDEX('Daily Workforce'!$M$6:$M$205,MATCH('Daily Schedule'!$F$41,'Daily Workforce'!$B$6:$B$205,0)),"N")="Y",COUNTIF($HJ$2:$HJ$8,'Daily Schedule'!$F$41)=0,COUNTIF($JO$1:JO6,'Daily Schedule'!$F$41)=0),IF('Daily Schedule'!$D$41="Tier 4",0,IF('Daily Schedule'!$D$41="Tier 3",1,2))*10000000+IFERROR(INDEX('Daily Workforce'!$V$6:$V$205,MATCH('Daily Schedule'!$F$41,'Daily Workforce'!$B$6:$B$205,0)),0)*1000+41,999999999)</f>
        <v>999999999</v>
      </c>
      <c r="LC7" s="1" t="n">
        <f aca="false">IF(AND($JM7&lt;&gt;"",'Daily Schedule'!$F$42&lt;&gt;"",'Daily Schedule'!$H$42="5:45 AM",'Daily Schedule'!$D$42&lt;&gt;"Tier 1",'Daily Schedule'!$N$42&lt;&gt;$JN7,IFERROR(INDEX('Daily Workforce'!$M$6:$M$205,MATCH('Daily Schedule'!$F$42,'Daily Workforce'!$B$6:$B$205,0)),"N")="Y",COUNTIF($HJ$2:$HJ$8,'Daily Schedule'!$F$42)=0,COUNTIF($JO$1:JO6,'Daily Schedule'!$F$42)=0),IF('Daily Schedule'!$D$42="Tier 4",0,IF('Daily Schedule'!$D$42="Tier 3",1,2))*10000000+IFERROR(INDEX('Daily Workforce'!$V$6:$V$205,MATCH('Daily Schedule'!$F$42,'Daily Workforce'!$B$6:$B$205,0)),0)*1000+42,999999999)</f>
        <v>999999999</v>
      </c>
      <c r="LD7" s="1" t="n">
        <f aca="false">IF(AND($JM7&lt;&gt;"",'Daily Schedule'!$F$43&lt;&gt;"",'Daily Schedule'!$H$43="5:45 AM",'Daily Schedule'!$D$43&lt;&gt;"Tier 1",'Daily Schedule'!$N$43&lt;&gt;$JN7,IFERROR(INDEX('Daily Workforce'!$M$6:$M$205,MATCH('Daily Schedule'!$F$43,'Daily Workforce'!$B$6:$B$205,0)),"N")="Y",COUNTIF($HJ$2:$HJ$8,'Daily Schedule'!$F$43)=0,COUNTIF($JO$1:JO6,'Daily Schedule'!$F$43)=0),IF('Daily Schedule'!$D$43="Tier 4",0,IF('Daily Schedule'!$D$43="Tier 3",1,2))*10000000+IFERROR(INDEX('Daily Workforce'!$V$6:$V$205,MATCH('Daily Schedule'!$F$43,'Daily Workforce'!$B$6:$B$205,0)),0)*1000+43,999999999)</f>
        <v>999999999</v>
      </c>
      <c r="LE7" s="1" t="n">
        <f aca="false">IF(AND($JM7&lt;&gt;"",'Daily Schedule'!$F$44&lt;&gt;"",'Daily Schedule'!$H$44="5:45 AM",'Daily Schedule'!$D$44&lt;&gt;"Tier 1",'Daily Schedule'!$N$44&lt;&gt;$JN7,IFERROR(INDEX('Daily Workforce'!$M$6:$M$205,MATCH('Daily Schedule'!$F$44,'Daily Workforce'!$B$6:$B$205,0)),"N")="Y",COUNTIF($HJ$2:$HJ$8,'Daily Schedule'!$F$44)=0,COUNTIF($JO$1:JO6,'Daily Schedule'!$F$44)=0),IF('Daily Schedule'!$D$44="Tier 4",0,IF('Daily Schedule'!$D$44="Tier 3",1,2))*10000000+IFERROR(INDEX('Daily Workforce'!$V$6:$V$205,MATCH('Daily Schedule'!$F$44,'Daily Workforce'!$B$6:$B$205,0)),0)*1000+44,999999999)</f>
        <v>999999999</v>
      </c>
      <c r="LF7" s="1" t="n">
        <f aca="false">IF(AND($JM7&lt;&gt;"",'Daily Schedule'!$F$45&lt;&gt;"",'Daily Schedule'!$H$45="5:45 AM",'Daily Schedule'!$D$45&lt;&gt;"Tier 1",'Daily Schedule'!$N$45&lt;&gt;$JN7,IFERROR(INDEX('Daily Workforce'!$M$6:$M$205,MATCH('Daily Schedule'!$F$45,'Daily Workforce'!$B$6:$B$205,0)),"N")="Y",COUNTIF($HJ$2:$HJ$8,'Daily Schedule'!$F$45)=0,COUNTIF($JO$1:JO6,'Daily Schedule'!$F$45)=0),IF('Daily Schedule'!$D$45="Tier 4",0,IF('Daily Schedule'!$D$45="Tier 3",1,2))*10000000+IFERROR(INDEX('Daily Workforce'!$V$6:$V$205,MATCH('Daily Schedule'!$F$45,'Daily Workforce'!$B$6:$B$205,0)),0)*1000+45,999999999)</f>
        <v>999999999</v>
      </c>
      <c r="LG7" s="1" t="n">
        <f aca="false">IF(AND($JM7&lt;&gt;"",'Daily Schedule'!$F$46&lt;&gt;"",'Daily Schedule'!$H$46="5:45 AM",'Daily Schedule'!$D$46&lt;&gt;"Tier 1",'Daily Schedule'!$N$46&lt;&gt;$JN7,IFERROR(INDEX('Daily Workforce'!$M$6:$M$205,MATCH('Daily Schedule'!$F$46,'Daily Workforce'!$B$6:$B$205,0)),"N")="Y",COUNTIF($HJ$2:$HJ$8,'Daily Schedule'!$F$46)=0,COUNTIF($JO$1:JO6,'Daily Schedule'!$F$46)=0),IF('Daily Schedule'!$D$46="Tier 4",0,IF('Daily Schedule'!$D$46="Tier 3",1,2))*10000000+IFERROR(INDEX('Daily Workforce'!$V$6:$V$205,MATCH('Daily Schedule'!$F$46,'Daily Workforce'!$B$6:$B$205,0)),0)*1000+46,999999999)</f>
        <v>999999999</v>
      </c>
      <c r="LH7" s="1" t="n">
        <f aca="false">IF(AND($JM7&lt;&gt;"",'Daily Schedule'!$F$47&lt;&gt;"",'Daily Schedule'!$H$47="5:45 AM",'Daily Schedule'!$D$47&lt;&gt;"Tier 1",'Daily Schedule'!$N$47&lt;&gt;$JN7,IFERROR(INDEX('Daily Workforce'!$M$6:$M$205,MATCH('Daily Schedule'!$F$47,'Daily Workforce'!$B$6:$B$205,0)),"N")="Y",COUNTIF($HJ$2:$HJ$8,'Daily Schedule'!$F$47)=0,COUNTIF($JO$1:JO6,'Daily Schedule'!$F$47)=0),IF('Daily Schedule'!$D$47="Tier 4",0,IF('Daily Schedule'!$D$47="Tier 3",1,2))*10000000+IFERROR(INDEX('Daily Workforce'!$V$6:$V$205,MATCH('Daily Schedule'!$F$47,'Daily Workforce'!$B$6:$B$205,0)),0)*1000+47,999999999)</f>
        <v>999999999</v>
      </c>
      <c r="LI7" s="1" t="n">
        <f aca="false">IF(AND($JM7&lt;&gt;"",'Daily Schedule'!$F$48&lt;&gt;"",'Daily Schedule'!$H$48="5:45 AM",'Daily Schedule'!$D$48&lt;&gt;"Tier 1",'Daily Schedule'!$N$48&lt;&gt;$JN7,IFERROR(INDEX('Daily Workforce'!$M$6:$M$205,MATCH('Daily Schedule'!$F$48,'Daily Workforce'!$B$6:$B$205,0)),"N")="Y",COUNTIF($HJ$2:$HJ$8,'Daily Schedule'!$F$48)=0,COUNTIF($JO$1:JO6,'Daily Schedule'!$F$48)=0),IF('Daily Schedule'!$D$48="Tier 4",0,IF('Daily Schedule'!$D$48="Tier 3",1,2))*10000000+IFERROR(INDEX('Daily Workforce'!$V$6:$V$205,MATCH('Daily Schedule'!$F$48,'Daily Workforce'!$B$6:$B$205,0)),0)*1000+48,999999999)</f>
        <v>999999999</v>
      </c>
      <c r="LJ7" s="1" t="n">
        <f aca="false">IF(AND($JM7&lt;&gt;"",'Daily Schedule'!$F$49&lt;&gt;"",'Daily Schedule'!$H$49="5:45 AM",'Daily Schedule'!$D$49&lt;&gt;"Tier 1",'Daily Schedule'!$N$49&lt;&gt;$JN7,IFERROR(INDEX('Daily Workforce'!$M$6:$M$205,MATCH('Daily Schedule'!$F$49,'Daily Workforce'!$B$6:$B$205,0)),"N")="Y",COUNTIF($HJ$2:$HJ$8,'Daily Schedule'!$F$49)=0,COUNTIF($JO$1:JO6,'Daily Schedule'!$F$49)=0),IF('Daily Schedule'!$D$49="Tier 4",0,IF('Daily Schedule'!$D$49="Tier 3",1,2))*10000000+IFERROR(INDEX('Daily Workforce'!$V$6:$V$205,MATCH('Daily Schedule'!$F$49,'Daily Workforce'!$B$6:$B$205,0)),0)*1000+49,999999999)</f>
        <v>999999999</v>
      </c>
      <c r="LK7" s="1" t="n">
        <f aca="false">IF(AND($JM7&lt;&gt;"",'Daily Schedule'!$F$50&lt;&gt;"",'Daily Schedule'!$H$50="5:45 AM",'Daily Schedule'!$D$50&lt;&gt;"Tier 1",'Daily Schedule'!$N$50&lt;&gt;$JN7,IFERROR(INDEX('Daily Workforce'!$M$6:$M$205,MATCH('Daily Schedule'!$F$50,'Daily Workforce'!$B$6:$B$205,0)),"N")="Y",COUNTIF($HJ$2:$HJ$8,'Daily Schedule'!$F$50)=0,COUNTIF($JO$1:JO6,'Daily Schedule'!$F$50)=0),IF('Daily Schedule'!$D$50="Tier 4",0,IF('Daily Schedule'!$D$50="Tier 3",1,2))*10000000+IFERROR(INDEX('Daily Workforce'!$V$6:$V$205,MATCH('Daily Schedule'!$F$50,'Daily Workforce'!$B$6:$B$205,0)),0)*1000+50,999999999)</f>
        <v>999999999</v>
      </c>
      <c r="LL7" s="1" t="n">
        <f aca="false">IF(AND($JM7&lt;&gt;"",'Daily Schedule'!$F$51&lt;&gt;"",'Daily Schedule'!$H$51="5:45 AM",'Daily Schedule'!$D$51&lt;&gt;"Tier 1",'Daily Schedule'!$N$51&lt;&gt;$JN7,IFERROR(INDEX('Daily Workforce'!$M$6:$M$205,MATCH('Daily Schedule'!$F$51,'Daily Workforce'!$B$6:$B$205,0)),"N")="Y",COUNTIF($HJ$2:$HJ$8,'Daily Schedule'!$F$51)=0,COUNTIF($JO$1:JO6,'Daily Schedule'!$F$51)=0),IF('Daily Schedule'!$D$51="Tier 4",0,IF('Daily Schedule'!$D$51="Tier 3",1,2))*10000000+IFERROR(INDEX('Daily Workforce'!$V$6:$V$205,MATCH('Daily Schedule'!$F$51,'Daily Workforce'!$B$6:$B$205,0)),0)*1000+51,999999999)</f>
        <v>999999999</v>
      </c>
      <c r="LM7" s="1" t="n">
        <f aca="false">IF(AND($JM7&lt;&gt;"",'Daily Schedule'!$F$52&lt;&gt;"",'Daily Schedule'!$H$52="5:45 AM",'Daily Schedule'!$D$52&lt;&gt;"Tier 1",'Daily Schedule'!$N$52&lt;&gt;$JN7,IFERROR(INDEX('Daily Workforce'!$M$6:$M$205,MATCH('Daily Schedule'!$F$52,'Daily Workforce'!$B$6:$B$205,0)),"N")="Y",COUNTIF($HJ$2:$HJ$8,'Daily Schedule'!$F$52)=0,COUNTIF($JO$1:JO6,'Daily Schedule'!$F$52)=0),IF('Daily Schedule'!$D$52="Tier 4",0,IF('Daily Schedule'!$D$52="Tier 3",1,2))*10000000+IFERROR(INDEX('Daily Workforce'!$V$6:$V$205,MATCH('Daily Schedule'!$F$52,'Daily Workforce'!$B$6:$B$205,0)),0)*1000+52,999999999)</f>
        <v>52</v>
      </c>
      <c r="LN7" s="1" t="n">
        <f aca="false">IF(AND($JM7&lt;&gt;"",'Daily Schedule'!$F$53&lt;&gt;"",'Daily Schedule'!$H$53="5:45 AM",'Daily Schedule'!$D$53&lt;&gt;"Tier 1",'Daily Schedule'!$N$53&lt;&gt;$JN7,IFERROR(INDEX('Daily Workforce'!$M$6:$M$205,MATCH('Daily Schedule'!$F$53,'Daily Workforce'!$B$6:$B$205,0)),"N")="Y",COUNTIF($HJ$2:$HJ$8,'Daily Schedule'!$F$53)=0,COUNTIF($JO$1:JO6,'Daily Schedule'!$F$53)=0),IF('Daily Schedule'!$D$53="Tier 4",0,IF('Daily Schedule'!$D$53="Tier 3",1,2))*10000000+IFERROR(INDEX('Daily Workforce'!$V$6:$V$205,MATCH('Daily Schedule'!$F$53,'Daily Workforce'!$B$6:$B$205,0)),0)*1000+53,999999999)</f>
        <v>999999999</v>
      </c>
      <c r="LO7" s="1" t="n">
        <f aca="false">IF(AND($JM7&lt;&gt;"",'Daily Schedule'!$F$54&lt;&gt;"",'Daily Schedule'!$H$54="5:45 AM",'Daily Schedule'!$D$54&lt;&gt;"Tier 1",'Daily Schedule'!$N$54&lt;&gt;$JN7,IFERROR(INDEX('Daily Workforce'!$M$6:$M$205,MATCH('Daily Schedule'!$F$54,'Daily Workforce'!$B$6:$B$205,0)),"N")="Y",COUNTIF($HJ$2:$HJ$8,'Daily Schedule'!$F$54)=0,COUNTIF($JO$1:JO6,'Daily Schedule'!$F$54)=0),IF('Daily Schedule'!$D$54="Tier 4",0,IF('Daily Schedule'!$D$54="Tier 3",1,2))*10000000+IFERROR(INDEX('Daily Workforce'!$V$6:$V$205,MATCH('Daily Schedule'!$F$54,'Daily Workforce'!$B$6:$B$205,0)),0)*1000+54,999999999)</f>
        <v>999999999</v>
      </c>
      <c r="LP7" s="1" t="n">
        <f aca="false">IF(AND($JM7&lt;&gt;"",'Daily Schedule'!$F$55&lt;&gt;"",'Daily Schedule'!$H$55="5:45 AM",'Daily Schedule'!$D$55&lt;&gt;"Tier 1",'Daily Schedule'!$N$55&lt;&gt;$JN7,IFERROR(INDEX('Daily Workforce'!$M$6:$M$205,MATCH('Daily Schedule'!$F$55,'Daily Workforce'!$B$6:$B$205,0)),"N")="Y",COUNTIF($HJ$2:$HJ$8,'Daily Schedule'!$F$55)=0,COUNTIF($JO$1:JO6,'Daily Schedule'!$F$55)=0),IF('Daily Schedule'!$D$55="Tier 4",0,IF('Daily Schedule'!$D$55="Tier 3",1,2))*10000000+IFERROR(INDEX('Daily Workforce'!$V$6:$V$205,MATCH('Daily Schedule'!$F$55,'Daily Workforce'!$B$6:$B$205,0)),0)*1000+55,999999999)</f>
        <v>55</v>
      </c>
      <c r="LQ7" s="1" t="n">
        <f aca="false">IF(AND($JM7&lt;&gt;"",'Daily Schedule'!$F$56&lt;&gt;"",'Daily Schedule'!$H$56="5:45 AM",'Daily Schedule'!$D$56&lt;&gt;"Tier 1",'Daily Schedule'!$N$56&lt;&gt;$JN7,IFERROR(INDEX('Daily Workforce'!$M$6:$M$205,MATCH('Daily Schedule'!$F$56,'Daily Workforce'!$B$6:$B$205,0)),"N")="Y",COUNTIF($HJ$2:$HJ$8,'Daily Schedule'!$F$56)=0,COUNTIF($JO$1:JO6,'Daily Schedule'!$F$56)=0),IF('Daily Schedule'!$D$56="Tier 4",0,IF('Daily Schedule'!$D$56="Tier 3",1,2))*10000000+IFERROR(INDEX('Daily Workforce'!$V$6:$V$205,MATCH('Daily Schedule'!$F$56,'Daily Workforce'!$B$6:$B$205,0)),0)*1000+56,999999999)</f>
        <v>999999999</v>
      </c>
      <c r="LR7" s="1" t="n">
        <f aca="false">IF(AND($JM7&lt;&gt;"",'Daily Schedule'!$F$57&lt;&gt;"",'Daily Schedule'!$H$57="5:45 AM",'Daily Schedule'!$D$57&lt;&gt;"Tier 1",'Daily Schedule'!$N$57&lt;&gt;$JN7,IFERROR(INDEX('Daily Workforce'!$M$6:$M$205,MATCH('Daily Schedule'!$F$57,'Daily Workforce'!$B$6:$B$205,0)),"N")="Y",COUNTIF($HJ$2:$HJ$8,'Daily Schedule'!$F$57)=0,COUNTIF($JO$1:JO6,'Daily Schedule'!$F$57)=0),IF('Daily Schedule'!$D$57="Tier 4",0,IF('Daily Schedule'!$D$57="Tier 3",1,2))*10000000+IFERROR(INDEX('Daily Workforce'!$V$6:$V$205,MATCH('Daily Schedule'!$F$57,'Daily Workforce'!$B$6:$B$205,0)),0)*1000+57,999999999)</f>
        <v>999999999</v>
      </c>
    </row>
    <row r="8" customFormat="false" ht="15" hidden="false" customHeight="true" outlineLevel="0" collapsed="false">
      <c r="C8" s="1" t="s">
        <v>795</v>
      </c>
      <c r="L8" s="1" t="s">
        <v>796</v>
      </c>
      <c r="M8" s="1" t="s">
        <v>85</v>
      </c>
      <c r="O8" s="1" t="n">
        <f aca="false">IF(AND('Employee Master'!$G8="Y",ISERROR(SEARCH(TEXT('Daily Workforce'!$B$2,"ddd"),'Employee Master'!$D8)),IF('Daily Workforce'!$E$2="",TRUE(),'Employee Master'!$I8='Daily Workforce'!$E$2)),'Employee Master'!$K8*1000+ROW()-1,"")</f>
        <v>1007</v>
      </c>
      <c r="P8" s="1" t="n">
        <f aca="false">IF($O8="","",COUNTIF($O$2:$O$159,"&lt;="&amp;$O8))</f>
        <v>1</v>
      </c>
      <c r="Q8" s="1" t="n">
        <f aca="false">IF(AND('Daily Workforce'!$N6="Y",'Daily Workforce'!$B6&lt;&gt;"",COUNTIF('Daily Schedule'!$F$5:$F11,'Daily Workforce'!$B6)=0,'Daily Workforce'!$M6="Y",IF(OR('Daily Schedule'!$E$2="Full Day",'Daily Schedule'!$E$2="AM"),'Daily Workforce'!$D6="3:45 AM",IF('Daily Schedule'!$E$2="PM",'Daily Workforce'!$E6="PM",'Daily Workforce'!$E6="Overnight"))),'Daily Workforce'!$V6*1000+6,999999999)</f>
        <v>999999999</v>
      </c>
      <c r="R8" s="1" t="n">
        <f aca="false">IF(AND('Daily Workforce'!$N7="Y",'Daily Workforce'!$B7&lt;&gt;"",COUNTIF('Daily Schedule'!$F$5:$F11,'Daily Workforce'!$B7)=0,'Daily Workforce'!$M7="Y",IF(OR('Daily Schedule'!$E$2="Full Day",'Daily Schedule'!$E$2="AM"),'Daily Workforce'!$D7="3:45 AM",IF('Daily Schedule'!$E$2="PM",'Daily Workforce'!$E7="PM",'Daily Workforce'!$E7="Overnight"))),'Daily Workforce'!$V7*1000+7,999999999)</f>
        <v>999999999</v>
      </c>
      <c r="S8" s="1" t="n">
        <f aca="false">IF(AND('Daily Workforce'!$N8="Y",'Daily Workforce'!$B8&lt;&gt;"",COUNTIF('Daily Schedule'!$F$5:$F11,'Daily Workforce'!$B8)=0,'Daily Workforce'!$M8="Y",IF(OR('Daily Schedule'!$E$2="Full Day",'Daily Schedule'!$E$2="AM"),'Daily Workforce'!$D8="3:45 AM",IF('Daily Schedule'!$E$2="PM",'Daily Workforce'!$E8="PM",'Daily Workforce'!$E8="Overnight"))),'Daily Workforce'!$V8*1000+8,999999999)</f>
        <v>999999999</v>
      </c>
      <c r="T8" s="1" t="n">
        <f aca="false">IF(AND('Daily Workforce'!$N9="Y",'Daily Workforce'!$B9&lt;&gt;"",COUNTIF('Daily Schedule'!$F$5:$F11,'Daily Workforce'!$B9)=0,'Daily Workforce'!$M9="Y",IF(OR('Daily Schedule'!$E$2="Full Day",'Daily Schedule'!$E$2="AM"),'Daily Workforce'!$D9="3:45 AM",IF('Daily Schedule'!$E$2="PM",'Daily Workforce'!$E9="PM",'Daily Workforce'!$E9="Overnight"))),'Daily Workforce'!$V9*1000+9,999999999)</f>
        <v>999999999</v>
      </c>
      <c r="U8" s="1" t="n">
        <f aca="false">IF(AND('Daily Workforce'!$N10="Y",'Daily Workforce'!$B10&lt;&gt;"",COUNTIF('Daily Schedule'!$F$5:$F11,'Daily Workforce'!$B10)=0,'Daily Workforce'!$M10="Y",IF(OR('Daily Schedule'!$E$2="Full Day",'Daily Schedule'!$E$2="AM"),'Daily Workforce'!$D10="3:45 AM",IF('Daily Schedule'!$E$2="PM",'Daily Workforce'!$E10="PM",'Daily Workforce'!$E10="Overnight"))),'Daily Workforce'!$V10*1000+10,999999999)</f>
        <v>999999999</v>
      </c>
      <c r="V8" s="1" t="n">
        <f aca="false">IF(AND('Daily Workforce'!$N11="Y",'Daily Workforce'!$B11&lt;&gt;"",COUNTIF('Daily Schedule'!$F$5:$F11,'Daily Workforce'!$B11)=0,'Daily Workforce'!$M11="Y",IF(OR('Daily Schedule'!$E$2="Full Day",'Daily Schedule'!$E$2="AM"),'Daily Workforce'!$D11="3:45 AM",IF('Daily Schedule'!$E$2="PM",'Daily Workforce'!$E11="PM",'Daily Workforce'!$E11="Overnight"))),'Daily Workforce'!$V11*1000+11,999999999)</f>
        <v>999999999</v>
      </c>
      <c r="W8" s="1" t="n">
        <f aca="false">IF(AND('Daily Workforce'!$N12="Y",'Daily Workforce'!$B12&lt;&gt;"",COUNTIF('Daily Schedule'!$F$5:$F11,'Daily Workforce'!$B12)=0,'Daily Workforce'!$M12="Y",IF(OR('Daily Schedule'!$E$2="Full Day",'Daily Schedule'!$E$2="AM"),'Daily Workforce'!$D12="3:45 AM",IF('Daily Schedule'!$E$2="PM",'Daily Workforce'!$E12="PM",'Daily Workforce'!$E12="Overnight"))),'Daily Workforce'!$V12*1000+12,999999999)</f>
        <v>12</v>
      </c>
      <c r="X8" s="1" t="n">
        <f aca="false">IF(AND('Daily Workforce'!$N13="Y",'Daily Workforce'!$B13&lt;&gt;"",COUNTIF('Daily Schedule'!$F$5:$F11,'Daily Workforce'!$B13)=0,'Daily Workforce'!$M13="Y",IF(OR('Daily Schedule'!$E$2="Full Day",'Daily Schedule'!$E$2="AM"),'Daily Workforce'!$D13="3:45 AM",IF('Daily Schedule'!$E$2="PM",'Daily Workforce'!$E13="PM",'Daily Workforce'!$E13="Overnight"))),'Daily Workforce'!$V13*1000+13,999999999)</f>
        <v>13</v>
      </c>
      <c r="Y8" s="1" t="n">
        <f aca="false">IF(AND('Daily Workforce'!$N14="Y",'Daily Workforce'!$B14&lt;&gt;"",COUNTIF('Daily Schedule'!$F$5:$F11,'Daily Workforce'!$B14)=0,'Daily Workforce'!$M14="Y",IF(OR('Daily Schedule'!$E$2="Full Day",'Daily Schedule'!$E$2="AM"),'Daily Workforce'!$D14="3:45 AM",IF('Daily Schedule'!$E$2="PM",'Daily Workforce'!$E14="PM",'Daily Workforce'!$E14="Overnight"))),'Daily Workforce'!$V14*1000+14,999999999)</f>
        <v>14</v>
      </c>
      <c r="Z8" s="1" t="n">
        <f aca="false">IF(AND('Daily Workforce'!$N15="Y",'Daily Workforce'!$B15&lt;&gt;"",COUNTIF('Daily Schedule'!$F$5:$F11,'Daily Workforce'!$B15)=0,'Daily Workforce'!$M15="Y",IF(OR('Daily Schedule'!$E$2="Full Day",'Daily Schedule'!$E$2="AM"),'Daily Workforce'!$D15="3:45 AM",IF('Daily Schedule'!$E$2="PM",'Daily Workforce'!$E15="PM",'Daily Workforce'!$E15="Overnight"))),'Daily Workforce'!$V15*1000+15,999999999)</f>
        <v>999999999</v>
      </c>
      <c r="AA8" s="1" t="n">
        <f aca="false">IF(AND('Daily Workforce'!$N16="Y",'Daily Workforce'!$B16&lt;&gt;"",COUNTIF('Daily Schedule'!$F$5:$F11,'Daily Workforce'!$B16)=0,'Daily Workforce'!$M16="Y",IF(OR('Daily Schedule'!$E$2="Full Day",'Daily Schedule'!$E$2="AM"),'Daily Workforce'!$D16="3:45 AM",IF('Daily Schedule'!$E$2="PM",'Daily Workforce'!$E16="PM",'Daily Workforce'!$E16="Overnight"))),'Daily Workforce'!$V16*1000+16,999999999)</f>
        <v>16</v>
      </c>
      <c r="AB8" s="1" t="n">
        <f aca="false">IF(AND('Daily Workforce'!$N17="Y",'Daily Workforce'!$B17&lt;&gt;"",COUNTIF('Daily Schedule'!$F$5:$F11,'Daily Workforce'!$B17)=0,'Daily Workforce'!$M17="Y",IF(OR('Daily Schedule'!$E$2="Full Day",'Daily Schedule'!$E$2="AM"),'Daily Workforce'!$D17="3:45 AM",IF('Daily Schedule'!$E$2="PM",'Daily Workforce'!$E17="PM",'Daily Workforce'!$E17="Overnight"))),'Daily Workforce'!$V17*1000+17,999999999)</f>
        <v>17</v>
      </c>
      <c r="AC8" s="1" t="n">
        <f aca="false">IF(AND('Daily Workforce'!$N18="Y",'Daily Workforce'!$B18&lt;&gt;"",COUNTIF('Daily Schedule'!$F$5:$F11,'Daily Workforce'!$B18)=0,'Daily Workforce'!$M18="Y",IF(OR('Daily Schedule'!$E$2="Full Day",'Daily Schedule'!$E$2="AM"),'Daily Workforce'!$D18="3:45 AM",IF('Daily Schedule'!$E$2="PM",'Daily Workforce'!$E18="PM",'Daily Workforce'!$E18="Overnight"))),'Daily Workforce'!$V18*1000+18,999999999)</f>
        <v>18</v>
      </c>
      <c r="AD8" s="1" t="n">
        <f aca="false">IF(AND('Daily Workforce'!$N19="Y",'Daily Workforce'!$B19&lt;&gt;"",COUNTIF('Daily Schedule'!$F$5:$F11,'Daily Workforce'!$B19)=0,'Daily Workforce'!$M19="Y",IF(OR('Daily Schedule'!$E$2="Full Day",'Daily Schedule'!$E$2="AM"),'Daily Workforce'!$D19="3:45 AM",IF('Daily Schedule'!$E$2="PM",'Daily Workforce'!$E19="PM",'Daily Workforce'!$E19="Overnight"))),'Daily Workforce'!$V19*1000+19,999999999)</f>
        <v>19</v>
      </c>
      <c r="AE8" s="1" t="n">
        <f aca="false">IF(AND('Daily Workforce'!$N20="Y",'Daily Workforce'!$B20&lt;&gt;"",COUNTIF('Daily Schedule'!$F$5:$F11,'Daily Workforce'!$B20)=0,'Daily Workforce'!$M20="Y",IF(OR('Daily Schedule'!$E$2="Full Day",'Daily Schedule'!$E$2="AM"),'Daily Workforce'!$D20="3:45 AM",IF('Daily Schedule'!$E$2="PM",'Daily Workforce'!$E20="PM",'Daily Workforce'!$E20="Overnight"))),'Daily Workforce'!$V20*1000+20,999999999)</f>
        <v>20</v>
      </c>
      <c r="AF8" s="1" t="n">
        <f aca="false">IF(AND('Daily Workforce'!$N21="Y",'Daily Workforce'!$B21&lt;&gt;"",COUNTIF('Daily Schedule'!$F$5:$F11,'Daily Workforce'!$B21)=0,'Daily Workforce'!$M21="Y",IF(OR('Daily Schedule'!$E$2="Full Day",'Daily Schedule'!$E$2="AM"),'Daily Workforce'!$D21="3:45 AM",IF('Daily Schedule'!$E$2="PM",'Daily Workforce'!$E21="PM",'Daily Workforce'!$E21="Overnight"))),'Daily Workforce'!$V21*1000+21,999999999)</f>
        <v>21</v>
      </c>
      <c r="AG8" s="1" t="n">
        <f aca="false">IF(AND('Daily Workforce'!$N22="Y",'Daily Workforce'!$B22&lt;&gt;"",COUNTIF('Daily Schedule'!$F$5:$F11,'Daily Workforce'!$B22)=0,'Daily Workforce'!$M22="Y",IF(OR('Daily Schedule'!$E$2="Full Day",'Daily Schedule'!$E$2="AM"),'Daily Workforce'!$D22="3:45 AM",IF('Daily Schedule'!$E$2="PM",'Daily Workforce'!$E22="PM",'Daily Workforce'!$E22="Overnight"))),'Daily Workforce'!$V22*1000+22,999999999)</f>
        <v>22</v>
      </c>
      <c r="AH8" s="1" t="n">
        <f aca="false">IF(AND('Daily Workforce'!$N23="Y",'Daily Workforce'!$B23&lt;&gt;"",COUNTIF('Daily Schedule'!$F$5:$F11,'Daily Workforce'!$B23)=0,'Daily Workforce'!$M23="Y",IF(OR('Daily Schedule'!$E$2="Full Day",'Daily Schedule'!$E$2="AM"),'Daily Workforce'!$D23="3:45 AM",IF('Daily Schedule'!$E$2="PM",'Daily Workforce'!$E23="PM",'Daily Workforce'!$E23="Overnight"))),'Daily Workforce'!$V23*1000+23,999999999)</f>
        <v>23</v>
      </c>
      <c r="AI8" s="1" t="n">
        <f aca="false">IF(AND('Daily Workforce'!$N24="Y",'Daily Workforce'!$B24&lt;&gt;"",COUNTIF('Daily Schedule'!$F$5:$F11,'Daily Workforce'!$B24)=0,'Daily Workforce'!$M24="Y",IF(OR('Daily Schedule'!$E$2="Full Day",'Daily Schedule'!$E$2="AM"),'Daily Workforce'!$D24="3:45 AM",IF('Daily Schedule'!$E$2="PM",'Daily Workforce'!$E24="PM",'Daily Workforce'!$E24="Overnight"))),'Daily Workforce'!$V24*1000+24,999999999)</f>
        <v>24</v>
      </c>
      <c r="AJ8" s="1" t="n">
        <f aca="false">IF(AND('Daily Workforce'!$N25="Y",'Daily Workforce'!$B25&lt;&gt;"",COUNTIF('Daily Schedule'!$F$5:$F11,'Daily Workforce'!$B25)=0,'Daily Workforce'!$M25="Y",IF(OR('Daily Schedule'!$E$2="Full Day",'Daily Schedule'!$E$2="AM"),'Daily Workforce'!$D25="3:45 AM",IF('Daily Schedule'!$E$2="PM",'Daily Workforce'!$E25="PM",'Daily Workforce'!$E25="Overnight"))),'Daily Workforce'!$V25*1000+25,999999999)</f>
        <v>25</v>
      </c>
      <c r="AK8" s="1" t="n">
        <f aca="false">IF(AND('Daily Workforce'!$N26="Y",'Daily Workforce'!$B26&lt;&gt;"",COUNTIF('Daily Schedule'!$F$5:$F11,'Daily Workforce'!$B26)=0,'Daily Workforce'!$M26="Y",IF(OR('Daily Schedule'!$E$2="Full Day",'Daily Schedule'!$E$2="AM"),'Daily Workforce'!$D26="3:45 AM",IF('Daily Schedule'!$E$2="PM",'Daily Workforce'!$E26="PM",'Daily Workforce'!$E26="Overnight"))),'Daily Workforce'!$V26*1000+26,999999999)</f>
        <v>26</v>
      </c>
      <c r="AL8" s="1" t="n">
        <f aca="false">IF(AND('Daily Workforce'!$N27="Y",'Daily Workforce'!$B27&lt;&gt;"",COUNTIF('Daily Schedule'!$F$5:$F11,'Daily Workforce'!$B27)=0,'Daily Workforce'!$M27="Y",IF(OR('Daily Schedule'!$E$2="Full Day",'Daily Schedule'!$E$2="AM"),'Daily Workforce'!$D27="3:45 AM",IF('Daily Schedule'!$E$2="PM",'Daily Workforce'!$E27="PM",'Daily Workforce'!$E27="Overnight"))),'Daily Workforce'!$V27*1000+27,999999999)</f>
        <v>999999999</v>
      </c>
      <c r="AM8" s="1" t="n">
        <f aca="false">IF(AND('Daily Workforce'!$N28="Y",'Daily Workforce'!$B28&lt;&gt;"",COUNTIF('Daily Schedule'!$F$5:$F11,'Daily Workforce'!$B28)=0,'Daily Workforce'!$M28="Y",IF(OR('Daily Schedule'!$E$2="Full Day",'Daily Schedule'!$E$2="AM"),'Daily Workforce'!$D28="3:45 AM",IF('Daily Schedule'!$E$2="PM",'Daily Workforce'!$E28="PM",'Daily Workforce'!$E28="Overnight"))),'Daily Workforce'!$V28*1000+28,999999999)</f>
        <v>999999999</v>
      </c>
      <c r="AN8" s="1" t="n">
        <f aca="false">IF(AND('Daily Workforce'!$N29="Y",'Daily Workforce'!$B29&lt;&gt;"",COUNTIF('Daily Schedule'!$F$5:$F11,'Daily Workforce'!$B29)=0,'Daily Workforce'!$M29="Y",IF(OR('Daily Schedule'!$E$2="Full Day",'Daily Schedule'!$E$2="AM"),'Daily Workforce'!$D29="3:45 AM",IF('Daily Schedule'!$E$2="PM",'Daily Workforce'!$E29="PM",'Daily Workforce'!$E29="Overnight"))),'Daily Workforce'!$V29*1000+29,999999999)</f>
        <v>999999999</v>
      </c>
      <c r="AO8" s="1" t="n">
        <f aca="false">IF(AND('Daily Workforce'!$N30="Y",'Daily Workforce'!$B30&lt;&gt;"",COUNTIF('Daily Schedule'!$F$5:$F11,'Daily Workforce'!$B30)=0,'Daily Workforce'!$M30="Y",IF(OR('Daily Schedule'!$E$2="Full Day",'Daily Schedule'!$E$2="AM"),'Daily Workforce'!$D30="3:45 AM",IF('Daily Schedule'!$E$2="PM",'Daily Workforce'!$E30="PM",'Daily Workforce'!$E30="Overnight"))),'Daily Workforce'!$V30*1000+30,999999999)</f>
        <v>999999999</v>
      </c>
      <c r="AP8" s="1" t="n">
        <f aca="false">IF(AND('Daily Workforce'!$N31="Y",'Daily Workforce'!$B31&lt;&gt;"",COUNTIF('Daily Schedule'!$F$5:$F11,'Daily Workforce'!$B31)=0,'Daily Workforce'!$M31="Y",IF(OR('Daily Schedule'!$E$2="Full Day",'Daily Schedule'!$E$2="AM"),'Daily Workforce'!$D31="3:45 AM",IF('Daily Schedule'!$E$2="PM",'Daily Workforce'!$E31="PM",'Daily Workforce'!$E31="Overnight"))),'Daily Workforce'!$V31*1000+31,999999999)</f>
        <v>999999999</v>
      </c>
      <c r="AQ8" s="1" t="n">
        <f aca="false">IF(AND('Daily Workforce'!$N32="Y",'Daily Workforce'!$B32&lt;&gt;"",COUNTIF('Daily Schedule'!$F$5:$F11,'Daily Workforce'!$B32)=0,'Daily Workforce'!$M32="Y",IF(OR('Daily Schedule'!$E$2="Full Day",'Daily Schedule'!$E$2="AM"),'Daily Workforce'!$D32="3:45 AM",IF('Daily Schedule'!$E$2="PM",'Daily Workforce'!$E32="PM",'Daily Workforce'!$E32="Overnight"))),'Daily Workforce'!$V32*1000+32,999999999)</f>
        <v>999999999</v>
      </c>
      <c r="AR8" s="1" t="n">
        <f aca="false">IF(AND('Daily Workforce'!$N33="Y",'Daily Workforce'!$B33&lt;&gt;"",COUNTIF('Daily Schedule'!$F$5:$F11,'Daily Workforce'!$B33)=0,'Daily Workforce'!$M33="Y",IF(OR('Daily Schedule'!$E$2="Full Day",'Daily Schedule'!$E$2="AM"),'Daily Workforce'!$D33="3:45 AM",IF('Daily Schedule'!$E$2="PM",'Daily Workforce'!$E33="PM",'Daily Workforce'!$E33="Overnight"))),'Daily Workforce'!$V33*1000+33,999999999)</f>
        <v>999999999</v>
      </c>
      <c r="AS8" s="1" t="n">
        <f aca="false">IF(AND('Daily Workforce'!$N34="Y",'Daily Workforce'!$B34&lt;&gt;"",COUNTIF('Daily Schedule'!$F$5:$F11,'Daily Workforce'!$B34)=0,'Daily Workforce'!$M34="Y",IF(OR('Daily Schedule'!$E$2="Full Day",'Daily Schedule'!$E$2="AM"),'Daily Workforce'!$D34="3:45 AM",IF('Daily Schedule'!$E$2="PM",'Daily Workforce'!$E34="PM",'Daily Workforce'!$E34="Overnight"))),'Daily Workforce'!$V34*1000+34,999999999)</f>
        <v>999999999</v>
      </c>
      <c r="AT8" s="1" t="n">
        <f aca="false">IF(AND('Daily Workforce'!$N35="Y",'Daily Workforce'!$B35&lt;&gt;"",COUNTIF('Daily Schedule'!$F$5:$F11,'Daily Workforce'!$B35)=0,'Daily Workforce'!$M35="Y",IF(OR('Daily Schedule'!$E$2="Full Day",'Daily Schedule'!$E$2="AM"),'Daily Workforce'!$D35="3:45 AM",IF('Daily Schedule'!$E$2="PM",'Daily Workforce'!$E35="PM",'Daily Workforce'!$E35="Overnight"))),'Daily Workforce'!$V35*1000+35,999999999)</f>
        <v>999999999</v>
      </c>
      <c r="AU8" s="1" t="n">
        <f aca="false">IF(AND('Daily Workforce'!$N36="Y",'Daily Workforce'!$B36&lt;&gt;"",COUNTIF('Daily Schedule'!$F$5:$F11,'Daily Workforce'!$B36)=0,'Daily Workforce'!$M36="Y",IF(OR('Daily Schedule'!$E$2="Full Day",'Daily Schedule'!$E$2="AM"),'Daily Workforce'!$D36="3:45 AM",IF('Daily Schedule'!$E$2="PM",'Daily Workforce'!$E36="PM",'Daily Workforce'!$E36="Overnight"))),'Daily Workforce'!$V36*1000+36,999999999)</f>
        <v>999999999</v>
      </c>
      <c r="AV8" s="1" t="n">
        <f aca="false">IF(AND('Daily Workforce'!$N37="Y",'Daily Workforce'!$B37&lt;&gt;"",COUNTIF('Daily Schedule'!$F$5:$F11,'Daily Workforce'!$B37)=0,'Daily Workforce'!$M37="Y",IF(OR('Daily Schedule'!$E$2="Full Day",'Daily Schedule'!$E$2="AM"),'Daily Workforce'!$D37="3:45 AM",IF('Daily Schedule'!$E$2="PM",'Daily Workforce'!$E37="PM",'Daily Workforce'!$E37="Overnight"))),'Daily Workforce'!$V37*1000+37,999999999)</f>
        <v>999999999</v>
      </c>
      <c r="AW8" s="1" t="n">
        <f aca="false">IF(AND('Daily Workforce'!$N38="Y",'Daily Workforce'!$B38&lt;&gt;"",COUNTIF('Daily Schedule'!$F$5:$F11,'Daily Workforce'!$B38)=0,'Daily Workforce'!$M38="Y",IF(OR('Daily Schedule'!$E$2="Full Day",'Daily Schedule'!$E$2="AM"),'Daily Workforce'!$D38="3:45 AM",IF('Daily Schedule'!$E$2="PM",'Daily Workforce'!$E38="PM",'Daily Workforce'!$E38="Overnight"))),'Daily Workforce'!$V38*1000+38,999999999)</f>
        <v>999999999</v>
      </c>
      <c r="AX8" s="1" t="n">
        <f aca="false">IF(AND('Daily Workforce'!$N39="Y",'Daily Workforce'!$B39&lt;&gt;"",COUNTIF('Daily Schedule'!$F$5:$F11,'Daily Workforce'!$B39)=0,'Daily Workforce'!$M39="Y",IF(OR('Daily Schedule'!$E$2="Full Day",'Daily Schedule'!$E$2="AM"),'Daily Workforce'!$D39="3:45 AM",IF('Daily Schedule'!$E$2="PM",'Daily Workforce'!$E39="PM",'Daily Workforce'!$E39="Overnight"))),'Daily Workforce'!$V39*1000+39,999999999)</f>
        <v>999999999</v>
      </c>
      <c r="AY8" s="1" t="n">
        <f aca="false">IF(AND('Daily Workforce'!$N40="Y",'Daily Workforce'!$B40&lt;&gt;"",COUNTIF('Daily Schedule'!$F$5:$F11,'Daily Workforce'!$B40)=0,'Daily Workforce'!$M40="Y",IF(OR('Daily Schedule'!$E$2="Full Day",'Daily Schedule'!$E$2="AM"),'Daily Workforce'!$D40="3:45 AM",IF('Daily Schedule'!$E$2="PM",'Daily Workforce'!$E40="PM",'Daily Workforce'!$E40="Overnight"))),'Daily Workforce'!$V40*1000+40,999999999)</f>
        <v>999999999</v>
      </c>
      <c r="AZ8" s="1" t="n">
        <f aca="false">IF(AND('Daily Workforce'!$N41="Y",'Daily Workforce'!$B41&lt;&gt;"",COUNTIF('Daily Schedule'!$F$5:$F11,'Daily Workforce'!$B41)=0,'Daily Workforce'!$M41="Y",IF(OR('Daily Schedule'!$E$2="Full Day",'Daily Schedule'!$E$2="AM"),'Daily Workforce'!$D41="3:45 AM",IF('Daily Schedule'!$E$2="PM",'Daily Workforce'!$E41="PM",'Daily Workforce'!$E41="Overnight"))),'Daily Workforce'!$V41*1000+41,999999999)</f>
        <v>999999999</v>
      </c>
      <c r="BA8" s="1" t="n">
        <f aca="false">IF(AND('Daily Workforce'!$N42="Y",'Daily Workforce'!$B42&lt;&gt;"",COUNTIF('Daily Schedule'!$F$5:$F11,'Daily Workforce'!$B42)=0,'Daily Workforce'!$M42="Y",IF(OR('Daily Schedule'!$E$2="Full Day",'Daily Schedule'!$E$2="AM"),'Daily Workforce'!$D42="3:45 AM",IF('Daily Schedule'!$E$2="PM",'Daily Workforce'!$E42="PM",'Daily Workforce'!$E42="Overnight"))),'Daily Workforce'!$V42*1000+42,999999999)</f>
        <v>999999999</v>
      </c>
      <c r="BB8" s="1" t="n">
        <f aca="false">IF(AND('Daily Workforce'!$N43="Y",'Daily Workforce'!$B43&lt;&gt;"",COUNTIF('Daily Schedule'!$F$5:$F11,'Daily Workforce'!$B43)=0,'Daily Workforce'!$M43="Y",IF(OR('Daily Schedule'!$E$2="Full Day",'Daily Schedule'!$E$2="AM"),'Daily Workforce'!$D43="3:45 AM",IF('Daily Schedule'!$E$2="PM",'Daily Workforce'!$E43="PM",'Daily Workforce'!$E43="Overnight"))),'Daily Workforce'!$V43*1000+43,999999999)</f>
        <v>999999999</v>
      </c>
      <c r="BC8" s="1" t="n">
        <f aca="false">IF(AND('Daily Workforce'!$N44="Y",'Daily Workforce'!$B44&lt;&gt;"",COUNTIF('Daily Schedule'!$F$5:$F11,'Daily Workforce'!$B44)=0,'Daily Workforce'!$M44="Y",IF(OR('Daily Schedule'!$E$2="Full Day",'Daily Schedule'!$E$2="AM"),'Daily Workforce'!$D44="3:45 AM",IF('Daily Schedule'!$E$2="PM",'Daily Workforce'!$E44="PM",'Daily Workforce'!$E44="Overnight"))),'Daily Workforce'!$V44*1000+44,999999999)</f>
        <v>999999999</v>
      </c>
      <c r="BD8" s="1" t="n">
        <f aca="false">IF(AND('Daily Workforce'!$N45="Y",'Daily Workforce'!$B45&lt;&gt;"",COUNTIF('Daily Schedule'!$F$5:$F11,'Daily Workforce'!$B45)=0,'Daily Workforce'!$M45="Y",IF(OR('Daily Schedule'!$E$2="Full Day",'Daily Schedule'!$E$2="AM"),'Daily Workforce'!$D45="3:45 AM",IF('Daily Schedule'!$E$2="PM",'Daily Workforce'!$E45="PM",'Daily Workforce'!$E45="Overnight"))),'Daily Workforce'!$V45*1000+45,999999999)</f>
        <v>999999999</v>
      </c>
      <c r="BE8" s="1" t="n">
        <f aca="false">IF(AND('Daily Workforce'!$N46="Y",'Daily Workforce'!$B46&lt;&gt;"",COUNTIF('Daily Schedule'!$F$5:$F11,'Daily Workforce'!$B46)=0,'Daily Workforce'!$M46="Y",IF(OR('Daily Schedule'!$E$2="Full Day",'Daily Schedule'!$E$2="AM"),'Daily Workforce'!$D46="3:45 AM",IF('Daily Schedule'!$E$2="PM",'Daily Workforce'!$E46="PM",'Daily Workforce'!$E46="Overnight"))),'Daily Workforce'!$V46*1000+46,999999999)</f>
        <v>999999999</v>
      </c>
      <c r="BF8" s="1" t="n">
        <f aca="false">IF(AND('Daily Workforce'!$N47="Y",'Daily Workforce'!$B47&lt;&gt;"",COUNTIF('Daily Schedule'!$F$5:$F11,'Daily Workforce'!$B47)=0,'Daily Workforce'!$M47="Y",IF(OR('Daily Schedule'!$E$2="Full Day",'Daily Schedule'!$E$2="AM"),'Daily Workforce'!$D47="3:45 AM",IF('Daily Schedule'!$E$2="PM",'Daily Workforce'!$E47="PM",'Daily Workforce'!$E47="Overnight"))),'Daily Workforce'!$V47*1000+47,999999999)</f>
        <v>999999999</v>
      </c>
      <c r="BG8" s="1" t="n">
        <f aca="false">IF(AND('Daily Workforce'!$N48="Y",'Daily Workforce'!$B48&lt;&gt;"",COUNTIF('Daily Schedule'!$F$5:$F11,'Daily Workforce'!$B48)=0,'Daily Workforce'!$M48="Y",IF(OR('Daily Schedule'!$E$2="Full Day",'Daily Schedule'!$E$2="AM"),'Daily Workforce'!$D48="3:45 AM",IF('Daily Schedule'!$E$2="PM",'Daily Workforce'!$E48="PM",'Daily Workforce'!$E48="Overnight"))),'Daily Workforce'!$V48*1000+48,999999999)</f>
        <v>999999999</v>
      </c>
      <c r="BH8" s="1" t="n">
        <f aca="false">IF(AND('Daily Workforce'!$N49="Y",'Daily Workforce'!$B49&lt;&gt;"",COUNTIF('Daily Schedule'!$F$5:$F11,'Daily Workforce'!$B49)=0,'Daily Workforce'!$M49="Y",IF(OR('Daily Schedule'!$E$2="Full Day",'Daily Schedule'!$E$2="AM"),'Daily Workforce'!$D49="3:45 AM",IF('Daily Schedule'!$E$2="PM",'Daily Workforce'!$E49="PM",'Daily Workforce'!$E49="Overnight"))),'Daily Workforce'!$V49*1000+49,999999999)</f>
        <v>999999999</v>
      </c>
      <c r="BI8" s="1" t="n">
        <f aca="false">IF(AND('Daily Workforce'!$N50="Y",'Daily Workforce'!$B50&lt;&gt;"",COUNTIF('Daily Schedule'!$F$5:$F11,'Daily Workforce'!$B50)=0,'Daily Workforce'!$M50="Y",IF(OR('Daily Schedule'!$E$2="Full Day",'Daily Schedule'!$E$2="AM"),'Daily Workforce'!$D50="3:45 AM",IF('Daily Schedule'!$E$2="PM",'Daily Workforce'!$E50="PM",'Daily Workforce'!$E50="Overnight"))),'Daily Workforce'!$V50*1000+50,999999999)</f>
        <v>999999999</v>
      </c>
      <c r="BJ8" s="1" t="n">
        <f aca="false">IF(AND('Daily Workforce'!$N51="Y",'Daily Workforce'!$B51&lt;&gt;"",COUNTIF('Daily Schedule'!$F$5:$F11,'Daily Workforce'!$B51)=0,'Daily Workforce'!$M51="Y",IF(OR('Daily Schedule'!$E$2="Full Day",'Daily Schedule'!$E$2="AM"),'Daily Workforce'!$D51="3:45 AM",IF('Daily Schedule'!$E$2="PM",'Daily Workforce'!$E51="PM",'Daily Workforce'!$E51="Overnight"))),'Daily Workforce'!$V51*1000+51,999999999)</f>
        <v>999999999</v>
      </c>
      <c r="BK8" s="1" t="n">
        <f aca="false">IF(AND('Daily Workforce'!$N52="Y",'Daily Workforce'!$B52&lt;&gt;"",COUNTIF('Daily Schedule'!$F$5:$F11,'Daily Workforce'!$B52)=0,'Daily Workforce'!$M52="Y",IF(OR('Daily Schedule'!$E$2="Full Day",'Daily Schedule'!$E$2="AM"),'Daily Workforce'!$D52="3:45 AM",IF('Daily Schedule'!$E$2="PM",'Daily Workforce'!$E52="PM",'Daily Workforce'!$E52="Overnight"))),'Daily Workforce'!$V52*1000+52,999999999)</f>
        <v>999999999</v>
      </c>
      <c r="BL8" s="1" t="n">
        <f aca="false">IF(AND('Daily Workforce'!$N53="Y",'Daily Workforce'!$B53&lt;&gt;"",COUNTIF('Daily Schedule'!$F$5:$F11,'Daily Workforce'!$B53)=0,'Daily Workforce'!$M53="Y",IF(OR('Daily Schedule'!$E$2="Full Day",'Daily Schedule'!$E$2="AM"),'Daily Workforce'!$D53="3:45 AM",IF('Daily Schedule'!$E$2="PM",'Daily Workforce'!$E53="PM",'Daily Workforce'!$E53="Overnight"))),'Daily Workforce'!$V53*1000+53,999999999)</f>
        <v>999999999</v>
      </c>
      <c r="BM8" s="1" t="n">
        <f aca="false">IF(AND('Daily Workforce'!$N54="Y",'Daily Workforce'!$B54&lt;&gt;"",COUNTIF('Daily Schedule'!$F$5:$F11,'Daily Workforce'!$B54)=0,'Daily Workforce'!$M54="Y",IF(OR('Daily Schedule'!$E$2="Full Day",'Daily Schedule'!$E$2="AM"),'Daily Workforce'!$D54="3:45 AM",IF('Daily Schedule'!$E$2="PM",'Daily Workforce'!$E54="PM",'Daily Workforce'!$E54="Overnight"))),'Daily Workforce'!$V54*1000+54,999999999)</f>
        <v>999999999</v>
      </c>
      <c r="BN8" s="1" t="n">
        <f aca="false">IF(AND('Daily Workforce'!$N55="Y",'Daily Workforce'!$B55&lt;&gt;"",COUNTIF('Daily Schedule'!$F$5:$F11,'Daily Workforce'!$B55)=0,'Daily Workforce'!$M55="Y",IF(OR('Daily Schedule'!$E$2="Full Day",'Daily Schedule'!$E$2="AM"),'Daily Workforce'!$D55="3:45 AM",IF('Daily Schedule'!$E$2="PM",'Daily Workforce'!$E55="PM",'Daily Workforce'!$E55="Overnight"))),'Daily Workforce'!$V55*1000+55,999999999)</f>
        <v>999999999</v>
      </c>
      <c r="BO8" s="1" t="n">
        <f aca="false">IF(AND('Daily Workforce'!$N56="Y",'Daily Workforce'!$B56&lt;&gt;"",COUNTIF('Daily Schedule'!$F$5:$F11,'Daily Workforce'!$B56)=0,'Daily Workforce'!$M56="Y",IF(OR('Daily Schedule'!$E$2="Full Day",'Daily Schedule'!$E$2="AM"),'Daily Workforce'!$D56="3:45 AM",IF('Daily Schedule'!$E$2="PM",'Daily Workforce'!$E56="PM",'Daily Workforce'!$E56="Overnight"))),'Daily Workforce'!$V56*1000+56,999999999)</f>
        <v>999999999</v>
      </c>
      <c r="BP8" s="1" t="n">
        <f aca="false">IF(AND('Daily Workforce'!$N57="Y",'Daily Workforce'!$B57&lt;&gt;"",COUNTIF('Daily Schedule'!$F$5:$F11,'Daily Workforce'!$B57)=0,'Daily Workforce'!$M57="Y",IF(OR('Daily Schedule'!$E$2="Full Day",'Daily Schedule'!$E$2="AM"),'Daily Workforce'!$D57="3:45 AM",IF('Daily Schedule'!$E$2="PM",'Daily Workforce'!$E57="PM",'Daily Workforce'!$E57="Overnight"))),'Daily Workforce'!$V57*1000+57,999999999)</f>
        <v>999999999</v>
      </c>
      <c r="BQ8" s="1" t="n">
        <f aca="false">IF(AND('Daily Workforce'!$N58="Y",'Daily Workforce'!$B58&lt;&gt;"",COUNTIF('Daily Schedule'!$F$5:$F11,'Daily Workforce'!$B58)=0,'Daily Workforce'!$M58="Y",IF(OR('Daily Schedule'!$E$2="Full Day",'Daily Schedule'!$E$2="AM"),'Daily Workforce'!$D58="3:45 AM",IF('Daily Schedule'!$E$2="PM",'Daily Workforce'!$E58="PM",'Daily Workforce'!$E58="Overnight"))),'Daily Workforce'!$V58*1000+58,999999999)</f>
        <v>999999999</v>
      </c>
      <c r="BR8" s="1" t="n">
        <f aca="false">IF(AND('Daily Workforce'!$N59="Y",'Daily Workforce'!$B59&lt;&gt;"",COUNTIF('Daily Schedule'!$F$5:$F11,'Daily Workforce'!$B59)=0,'Daily Workforce'!$M59="Y",IF(OR('Daily Schedule'!$E$2="Full Day",'Daily Schedule'!$E$2="AM"),'Daily Workforce'!$D59="3:45 AM",IF('Daily Schedule'!$E$2="PM",'Daily Workforce'!$E59="PM",'Daily Workforce'!$E59="Overnight"))),'Daily Workforce'!$V59*1000+59,999999999)</f>
        <v>999999999</v>
      </c>
      <c r="BS8" s="1" t="n">
        <f aca="false">IF(AND('Daily Workforce'!$N60="Y",'Daily Workforce'!$B60&lt;&gt;"",COUNTIF('Daily Schedule'!$F$5:$F11,'Daily Workforce'!$B60)=0,'Daily Workforce'!$M60="Y",IF(OR('Daily Schedule'!$E$2="Full Day",'Daily Schedule'!$E$2="AM"),'Daily Workforce'!$D60="3:45 AM",IF('Daily Schedule'!$E$2="PM",'Daily Workforce'!$E60="PM",'Daily Workforce'!$E60="Overnight"))),'Daily Workforce'!$V60*1000+60,999999999)</f>
        <v>999999999</v>
      </c>
      <c r="BT8" s="1" t="n">
        <f aca="false">IF(AND('Daily Workforce'!$N61="Y",'Daily Workforce'!$B61&lt;&gt;"",COUNTIF('Daily Schedule'!$F$5:$F11,'Daily Workforce'!$B61)=0,'Daily Workforce'!$M61="Y",IF(OR('Daily Schedule'!$E$2="Full Day",'Daily Schedule'!$E$2="AM"),'Daily Workforce'!$D61="3:45 AM",IF('Daily Schedule'!$E$2="PM",'Daily Workforce'!$E61="PM",'Daily Workforce'!$E61="Overnight"))),'Daily Workforce'!$V61*1000+61,999999999)</f>
        <v>999999999</v>
      </c>
      <c r="BU8" s="1" t="n">
        <f aca="false">IF(AND('Daily Workforce'!$N62="Y",'Daily Workforce'!$B62&lt;&gt;"",COUNTIF('Daily Schedule'!$F$5:$F11,'Daily Workforce'!$B62)=0,'Daily Workforce'!$M62="Y",IF(OR('Daily Schedule'!$E$2="Full Day",'Daily Schedule'!$E$2="AM"),'Daily Workforce'!$D62="3:45 AM",IF('Daily Schedule'!$E$2="PM",'Daily Workforce'!$E62="PM",'Daily Workforce'!$E62="Overnight"))),'Daily Workforce'!$V62*1000+62,999999999)</f>
        <v>999999999</v>
      </c>
      <c r="BV8" s="1" t="n">
        <f aca="false">IF(AND('Daily Workforce'!$N63="Y",'Daily Workforce'!$B63&lt;&gt;"",COUNTIF('Daily Schedule'!$F$5:$F11,'Daily Workforce'!$B63)=0,'Daily Workforce'!$M63="Y",IF(OR('Daily Schedule'!$E$2="Full Day",'Daily Schedule'!$E$2="AM"),'Daily Workforce'!$D63="3:45 AM",IF('Daily Schedule'!$E$2="PM",'Daily Workforce'!$E63="PM",'Daily Workforce'!$E63="Overnight"))),'Daily Workforce'!$V63*1000+63,999999999)</f>
        <v>999999999</v>
      </c>
      <c r="BW8" s="1" t="n">
        <f aca="false">IF(AND('Daily Workforce'!$N64="Y",'Daily Workforce'!$B64&lt;&gt;"",COUNTIF('Daily Schedule'!$F$5:$F11,'Daily Workforce'!$B64)=0,'Daily Workforce'!$M64="Y",IF(OR('Daily Schedule'!$E$2="Full Day",'Daily Schedule'!$E$2="AM"),'Daily Workforce'!$D64="3:45 AM",IF('Daily Schedule'!$E$2="PM",'Daily Workforce'!$E64="PM",'Daily Workforce'!$E64="Overnight"))),'Daily Workforce'!$V64*1000+64,999999999)</f>
        <v>999999999</v>
      </c>
      <c r="BX8" s="1" t="n">
        <f aca="false">IF(AND('Daily Workforce'!$N65="Y",'Daily Workforce'!$B65&lt;&gt;"",COUNTIF('Daily Schedule'!$F$5:$F11,'Daily Workforce'!$B65)=0,'Daily Workforce'!$M65="Y",IF(OR('Daily Schedule'!$E$2="Full Day",'Daily Schedule'!$E$2="AM"),'Daily Workforce'!$D65="3:45 AM",IF('Daily Schedule'!$E$2="PM",'Daily Workforce'!$E65="PM",'Daily Workforce'!$E65="Overnight"))),'Daily Workforce'!$V65*1000+65,999999999)</f>
        <v>999999999</v>
      </c>
      <c r="BY8" s="1" t="n">
        <f aca="false">IF(AND('Daily Workforce'!$N66="Y",'Daily Workforce'!$B66&lt;&gt;"",COUNTIF('Daily Schedule'!$F$5:$F11,'Daily Workforce'!$B66)=0,'Daily Workforce'!$M66="Y",IF(OR('Daily Schedule'!$E$2="Full Day",'Daily Schedule'!$E$2="AM"),'Daily Workforce'!$D66="3:45 AM",IF('Daily Schedule'!$E$2="PM",'Daily Workforce'!$E66="PM",'Daily Workforce'!$E66="Overnight"))),'Daily Workforce'!$V66*1000+66,999999999)</f>
        <v>999999999</v>
      </c>
      <c r="BZ8" s="1" t="n">
        <f aca="false">IF(AND('Daily Workforce'!$N67="Y",'Daily Workforce'!$B67&lt;&gt;"",COUNTIF('Daily Schedule'!$F$5:$F11,'Daily Workforce'!$B67)=0,'Daily Workforce'!$M67="Y",IF(OR('Daily Schedule'!$E$2="Full Day",'Daily Schedule'!$E$2="AM"),'Daily Workforce'!$D67="3:45 AM",IF('Daily Schedule'!$E$2="PM",'Daily Workforce'!$E67="PM",'Daily Workforce'!$E67="Overnight"))),'Daily Workforce'!$V67*1000+67,999999999)</f>
        <v>999999999</v>
      </c>
      <c r="CA8" s="1" t="n">
        <f aca="false">IF(AND('Daily Workforce'!$N68="Y",'Daily Workforce'!$B68&lt;&gt;"",COUNTIF('Daily Schedule'!$F$5:$F11,'Daily Workforce'!$B68)=0,'Daily Workforce'!$M68="Y",IF(OR('Daily Schedule'!$E$2="Full Day",'Daily Schedule'!$E$2="AM"),'Daily Workforce'!$D68="3:45 AM",IF('Daily Schedule'!$E$2="PM",'Daily Workforce'!$E68="PM",'Daily Workforce'!$E68="Overnight"))),'Daily Workforce'!$V68*1000+68,999999999)</f>
        <v>999999999</v>
      </c>
      <c r="CB8" s="1" t="n">
        <f aca="false">IF(AND('Daily Workforce'!$N69="Y",'Daily Workforce'!$B69&lt;&gt;"",COUNTIF('Daily Schedule'!$F$5:$F11,'Daily Workforce'!$B69)=0,'Daily Workforce'!$M69="Y",IF(OR('Daily Schedule'!$E$2="Full Day",'Daily Schedule'!$E$2="AM"),'Daily Workforce'!$D69="3:45 AM",IF('Daily Schedule'!$E$2="PM",'Daily Workforce'!$E69="PM",'Daily Workforce'!$E69="Overnight"))),'Daily Workforce'!$V69*1000+69,999999999)</f>
        <v>999999999</v>
      </c>
      <c r="CC8" s="1" t="n">
        <f aca="false">IF(AND('Daily Workforce'!$N70="Y",'Daily Workforce'!$B70&lt;&gt;"",COUNTIF('Daily Schedule'!$F$5:$F11,'Daily Workforce'!$B70)=0,'Daily Workforce'!$M70="Y",IF(OR('Daily Schedule'!$E$2="Full Day",'Daily Schedule'!$E$2="AM"),'Daily Workforce'!$D70="3:45 AM",IF('Daily Schedule'!$E$2="PM",'Daily Workforce'!$E70="PM",'Daily Workforce'!$E70="Overnight"))),'Daily Workforce'!$V70*1000+70,999999999)</f>
        <v>999999999</v>
      </c>
      <c r="CD8" s="1" t="n">
        <f aca="false">IF(AND('Daily Workforce'!$N71="Y",'Daily Workforce'!$B71&lt;&gt;"",COUNTIF('Daily Schedule'!$F$5:$F11,'Daily Workforce'!$B71)=0,'Daily Workforce'!$M71="Y",IF(OR('Daily Schedule'!$E$2="Full Day",'Daily Schedule'!$E$2="AM"),'Daily Workforce'!$D71="3:45 AM",IF('Daily Schedule'!$E$2="PM",'Daily Workforce'!$E71="PM",'Daily Workforce'!$E71="Overnight"))),'Daily Workforce'!$V71*1000+71,999999999)</f>
        <v>999999999</v>
      </c>
      <c r="CE8" s="1" t="n">
        <f aca="false">IF(AND('Daily Workforce'!$N72="Y",'Daily Workforce'!$B72&lt;&gt;"",COUNTIF('Daily Schedule'!$F$5:$F11,'Daily Workforce'!$B72)=0,'Daily Workforce'!$M72="Y",IF(OR('Daily Schedule'!$E$2="Full Day",'Daily Schedule'!$E$2="AM"),'Daily Workforce'!$D72="3:45 AM",IF('Daily Schedule'!$E$2="PM",'Daily Workforce'!$E72="PM",'Daily Workforce'!$E72="Overnight"))),'Daily Workforce'!$V72*1000+72,999999999)</f>
        <v>999999999</v>
      </c>
      <c r="CF8" s="1" t="n">
        <f aca="false">IF(AND('Daily Workforce'!$N73="Y",'Daily Workforce'!$B73&lt;&gt;"",COUNTIF('Daily Schedule'!$F$5:$F11,'Daily Workforce'!$B73)=0,'Daily Workforce'!$M73="Y",IF(OR('Daily Schedule'!$E$2="Full Day",'Daily Schedule'!$E$2="AM"),'Daily Workforce'!$D73="3:45 AM",IF('Daily Schedule'!$E$2="PM",'Daily Workforce'!$E73="PM",'Daily Workforce'!$E73="Overnight"))),'Daily Workforce'!$V73*1000+73,999999999)</f>
        <v>999999999</v>
      </c>
      <c r="CG8" s="1" t="n">
        <f aca="false">IF(AND('Daily Workforce'!$N74="Y",'Daily Workforce'!$B74&lt;&gt;"",COUNTIF('Daily Schedule'!$F$5:$F11,'Daily Workforce'!$B74)=0,'Daily Workforce'!$M74="Y",IF(OR('Daily Schedule'!$E$2="Full Day",'Daily Schedule'!$E$2="AM"),'Daily Workforce'!$D74="3:45 AM",IF('Daily Schedule'!$E$2="PM",'Daily Workforce'!$E74="PM",'Daily Workforce'!$E74="Overnight"))),'Daily Workforce'!$V74*1000+74,999999999)</f>
        <v>999999999</v>
      </c>
      <c r="CH8" s="1" t="n">
        <f aca="false">IF(AND('Daily Workforce'!$N75="Y",'Daily Workforce'!$B75&lt;&gt;"",COUNTIF('Daily Schedule'!$F$5:$F11,'Daily Workforce'!$B75)=0,'Daily Workforce'!$M75="Y",IF(OR('Daily Schedule'!$E$2="Full Day",'Daily Schedule'!$E$2="AM"),'Daily Workforce'!$D75="3:45 AM",IF('Daily Schedule'!$E$2="PM",'Daily Workforce'!$E75="PM",'Daily Workforce'!$E75="Overnight"))),'Daily Workforce'!$V75*1000+75,999999999)</f>
        <v>999999999</v>
      </c>
      <c r="CI8" s="1" t="n">
        <f aca="false">IF(AND('Daily Workforce'!$N76="Y",'Daily Workforce'!$B76&lt;&gt;"",COUNTIF('Daily Schedule'!$F$5:$F11,'Daily Workforce'!$B76)=0,'Daily Workforce'!$M76="Y",IF(OR('Daily Schedule'!$E$2="Full Day",'Daily Schedule'!$E$2="AM"),'Daily Workforce'!$D76="3:45 AM",IF('Daily Schedule'!$E$2="PM",'Daily Workforce'!$E76="PM",'Daily Workforce'!$E76="Overnight"))),'Daily Workforce'!$V76*1000+76,999999999)</f>
        <v>999999999</v>
      </c>
      <c r="CJ8" s="1" t="n">
        <f aca="false">IF(AND('Daily Workforce'!$N77="Y",'Daily Workforce'!$B77&lt;&gt;"",COUNTIF('Daily Schedule'!$F$5:$F11,'Daily Workforce'!$B77)=0,'Daily Workforce'!$M77="Y",IF(OR('Daily Schedule'!$E$2="Full Day",'Daily Schedule'!$E$2="AM"),'Daily Workforce'!$D77="3:45 AM",IF('Daily Schedule'!$E$2="PM",'Daily Workforce'!$E77="PM",'Daily Workforce'!$E77="Overnight"))),'Daily Workforce'!$V77*1000+77,999999999)</f>
        <v>999999999</v>
      </c>
      <c r="CK8" s="1" t="n">
        <f aca="false">IF(AND('Daily Workforce'!$N78="Y",'Daily Workforce'!$B78&lt;&gt;"",COUNTIF('Daily Schedule'!$F$5:$F11,'Daily Workforce'!$B78)=0,'Daily Workforce'!$M78="Y",IF(OR('Daily Schedule'!$E$2="Full Day",'Daily Schedule'!$E$2="AM"),'Daily Workforce'!$D78="3:45 AM",IF('Daily Schedule'!$E$2="PM",'Daily Workforce'!$E78="PM",'Daily Workforce'!$E78="Overnight"))),'Daily Workforce'!$V78*1000+78,999999999)</f>
        <v>999999999</v>
      </c>
      <c r="CL8" s="1" t="n">
        <f aca="false">IF(AND('Daily Workforce'!$N79="Y",'Daily Workforce'!$B79&lt;&gt;"",COUNTIF('Daily Schedule'!$F$5:$F11,'Daily Workforce'!$B79)=0,'Daily Workforce'!$M79="Y",IF(OR('Daily Schedule'!$E$2="Full Day",'Daily Schedule'!$E$2="AM"),'Daily Workforce'!$D79="3:45 AM",IF('Daily Schedule'!$E$2="PM",'Daily Workforce'!$E79="PM",'Daily Workforce'!$E79="Overnight"))),'Daily Workforce'!$V79*1000+79,999999999)</f>
        <v>999999999</v>
      </c>
      <c r="CM8" s="1" t="n">
        <f aca="false">IF(AND('Daily Workforce'!$N80="Y",'Daily Workforce'!$B80&lt;&gt;"",COUNTIF('Daily Schedule'!$F$5:$F11,'Daily Workforce'!$B80)=0,'Daily Workforce'!$M80="Y",IF(OR('Daily Schedule'!$E$2="Full Day",'Daily Schedule'!$E$2="AM"),'Daily Workforce'!$D80="3:45 AM",IF('Daily Schedule'!$E$2="PM",'Daily Workforce'!$E80="PM",'Daily Workforce'!$E80="Overnight"))),'Daily Workforce'!$V80*1000+80,999999999)</f>
        <v>999999999</v>
      </c>
      <c r="CN8" s="1" t="n">
        <f aca="false">IF(AND('Daily Workforce'!$N81="Y",'Daily Workforce'!$B81&lt;&gt;"",COUNTIF('Daily Schedule'!$F$5:$F11,'Daily Workforce'!$B81)=0,'Daily Workforce'!$M81="Y",IF(OR('Daily Schedule'!$E$2="Full Day",'Daily Schedule'!$E$2="AM"),'Daily Workforce'!$D81="3:45 AM",IF('Daily Schedule'!$E$2="PM",'Daily Workforce'!$E81="PM",'Daily Workforce'!$E81="Overnight"))),'Daily Workforce'!$V81*1000+81,999999999)</f>
        <v>999999999</v>
      </c>
      <c r="CO8" s="1" t="n">
        <f aca="false">IF(AND('Daily Workforce'!$N82="Y",'Daily Workforce'!$B82&lt;&gt;"",COUNTIF('Daily Schedule'!$F$5:$F11,'Daily Workforce'!$B82)=0,'Daily Workforce'!$M82="Y",IF(OR('Daily Schedule'!$E$2="Full Day",'Daily Schedule'!$E$2="AM"),'Daily Workforce'!$D82="3:45 AM",IF('Daily Schedule'!$E$2="PM",'Daily Workforce'!$E82="PM",'Daily Workforce'!$E82="Overnight"))),'Daily Workforce'!$V82*1000+82,999999999)</f>
        <v>999999999</v>
      </c>
      <c r="CP8" s="1" t="n">
        <f aca="false">IF(AND('Daily Workforce'!$N83="Y",'Daily Workforce'!$B83&lt;&gt;"",COUNTIF('Daily Schedule'!$F$5:$F11,'Daily Workforce'!$B83)=0,'Daily Workforce'!$M83="Y",IF(OR('Daily Schedule'!$E$2="Full Day",'Daily Schedule'!$E$2="AM"),'Daily Workforce'!$D83="3:45 AM",IF('Daily Schedule'!$E$2="PM",'Daily Workforce'!$E83="PM",'Daily Workforce'!$E83="Overnight"))),'Daily Workforce'!$V83*1000+83,999999999)</f>
        <v>999999999</v>
      </c>
      <c r="CQ8" s="1" t="n">
        <f aca="false">IF(AND('Daily Workforce'!$N84="Y",'Daily Workforce'!$B84&lt;&gt;"",COUNTIF('Daily Schedule'!$F$5:$F11,'Daily Workforce'!$B84)=0,'Daily Workforce'!$M84="Y",IF(OR('Daily Schedule'!$E$2="Full Day",'Daily Schedule'!$E$2="AM"),'Daily Workforce'!$D84="3:45 AM",IF('Daily Schedule'!$E$2="PM",'Daily Workforce'!$E84="PM",'Daily Workforce'!$E84="Overnight"))),'Daily Workforce'!$V84*1000+84,999999999)</f>
        <v>999999999</v>
      </c>
      <c r="CR8" s="1" t="n">
        <f aca="false">IF(AND('Daily Workforce'!$N85="Y",'Daily Workforce'!$B85&lt;&gt;"",COUNTIF('Daily Schedule'!$F$5:$F11,'Daily Workforce'!$B85)=0,'Daily Workforce'!$M85="Y",IF(OR('Daily Schedule'!$E$2="Full Day",'Daily Schedule'!$E$2="AM"),'Daily Workforce'!$D85="3:45 AM",IF('Daily Schedule'!$E$2="PM",'Daily Workforce'!$E85="PM",'Daily Workforce'!$E85="Overnight"))),'Daily Workforce'!$V85*1000+85,999999999)</f>
        <v>999999999</v>
      </c>
      <c r="CS8" s="1" t="n">
        <f aca="false">IF(AND('Daily Workforce'!$N86="Y",'Daily Workforce'!$B86&lt;&gt;"",COUNTIF('Daily Schedule'!$F$5:$F11,'Daily Workforce'!$B86)=0,'Daily Workforce'!$M86="Y",IF(OR('Daily Schedule'!$E$2="Full Day",'Daily Schedule'!$E$2="AM"),'Daily Workforce'!$D86="3:45 AM",IF('Daily Schedule'!$E$2="PM",'Daily Workforce'!$E86="PM",'Daily Workforce'!$E86="Overnight"))),'Daily Workforce'!$V86*1000+86,999999999)</f>
        <v>999999999</v>
      </c>
      <c r="CT8" s="1" t="n">
        <f aca="false">IF(AND('Daily Workforce'!$N87="Y",'Daily Workforce'!$B87&lt;&gt;"",COUNTIF('Daily Schedule'!$F$5:$F11,'Daily Workforce'!$B87)=0,'Daily Workforce'!$M87="Y",IF(OR('Daily Schedule'!$E$2="Full Day",'Daily Schedule'!$E$2="AM"),'Daily Workforce'!$D87="3:45 AM",IF('Daily Schedule'!$E$2="PM",'Daily Workforce'!$E87="PM",'Daily Workforce'!$E87="Overnight"))),'Daily Workforce'!$V87*1000+87,999999999)</f>
        <v>999999999</v>
      </c>
      <c r="CU8" s="1" t="n">
        <f aca="false">IF(AND('Daily Workforce'!$N88="Y",'Daily Workforce'!$B88&lt;&gt;"",COUNTIF('Daily Schedule'!$F$5:$F11,'Daily Workforce'!$B88)=0,'Daily Workforce'!$M88="Y",IF(OR('Daily Schedule'!$E$2="Full Day",'Daily Schedule'!$E$2="AM"),'Daily Workforce'!$D88="3:45 AM",IF('Daily Schedule'!$E$2="PM",'Daily Workforce'!$E88="PM",'Daily Workforce'!$E88="Overnight"))),'Daily Workforce'!$V88*1000+88,999999999)</f>
        <v>999999999</v>
      </c>
      <c r="CV8" s="1" t="n">
        <f aca="false">IF(AND('Daily Workforce'!$N89="Y",'Daily Workforce'!$B89&lt;&gt;"",COUNTIF('Daily Schedule'!$F$5:$F11,'Daily Workforce'!$B89)=0,'Daily Workforce'!$M89="Y",IF(OR('Daily Schedule'!$E$2="Full Day",'Daily Schedule'!$E$2="AM"),'Daily Workforce'!$D89="3:45 AM",IF('Daily Schedule'!$E$2="PM",'Daily Workforce'!$E89="PM",'Daily Workforce'!$E89="Overnight"))),'Daily Workforce'!$V89*1000+89,999999999)</f>
        <v>999999999</v>
      </c>
      <c r="CW8" s="1" t="n">
        <f aca="false">IF(AND('Daily Workforce'!$N90="Y",'Daily Workforce'!$B90&lt;&gt;"",COUNTIF('Daily Schedule'!$F$5:$F11,'Daily Workforce'!$B90)=0,'Daily Workforce'!$M90="Y",IF(OR('Daily Schedule'!$E$2="Full Day",'Daily Schedule'!$E$2="AM"),'Daily Workforce'!$D90="3:45 AM",IF('Daily Schedule'!$E$2="PM",'Daily Workforce'!$E90="PM",'Daily Workforce'!$E90="Overnight"))),'Daily Workforce'!$V90*1000+90,999999999)</f>
        <v>999999999</v>
      </c>
      <c r="CX8" s="1" t="n">
        <f aca="false">IF(AND('Daily Workforce'!$N91="Y",'Daily Workforce'!$B91&lt;&gt;"",COUNTIF('Daily Schedule'!$F$5:$F11,'Daily Workforce'!$B91)=0,'Daily Workforce'!$M91="Y",IF(OR('Daily Schedule'!$E$2="Full Day",'Daily Schedule'!$E$2="AM"),'Daily Workforce'!$D91="3:45 AM",IF('Daily Schedule'!$E$2="PM",'Daily Workforce'!$E91="PM",'Daily Workforce'!$E91="Overnight"))),'Daily Workforce'!$V91*1000+91,999999999)</f>
        <v>999999999</v>
      </c>
      <c r="CY8" s="1" t="n">
        <f aca="false">IF(AND('Daily Workforce'!$N92="Y",'Daily Workforce'!$B92&lt;&gt;"",COUNTIF('Daily Schedule'!$F$5:$F11,'Daily Workforce'!$B92)=0,'Daily Workforce'!$M92="Y",IF(OR('Daily Schedule'!$E$2="Full Day",'Daily Schedule'!$E$2="AM"),'Daily Workforce'!$D92="3:45 AM",IF('Daily Schedule'!$E$2="PM",'Daily Workforce'!$E92="PM",'Daily Workforce'!$E92="Overnight"))),'Daily Workforce'!$V92*1000+92,999999999)</f>
        <v>999999999</v>
      </c>
      <c r="CZ8" s="1" t="n">
        <f aca="false">IF(AND('Daily Workforce'!$N93="Y",'Daily Workforce'!$B93&lt;&gt;"",COUNTIF('Daily Schedule'!$F$5:$F11,'Daily Workforce'!$B93)=0,'Daily Workforce'!$M93="Y",IF(OR('Daily Schedule'!$E$2="Full Day",'Daily Schedule'!$E$2="AM"),'Daily Workforce'!$D93="3:45 AM",IF('Daily Schedule'!$E$2="PM",'Daily Workforce'!$E93="PM",'Daily Workforce'!$E93="Overnight"))),'Daily Workforce'!$V93*1000+93,999999999)</f>
        <v>999999999</v>
      </c>
      <c r="DA8" s="1" t="n">
        <f aca="false">IF(AND('Daily Workforce'!$N94="Y",'Daily Workforce'!$B94&lt;&gt;"",COUNTIF('Daily Schedule'!$F$5:$F11,'Daily Workforce'!$B94)=0,'Daily Workforce'!$M94="Y",IF(OR('Daily Schedule'!$E$2="Full Day",'Daily Schedule'!$E$2="AM"),'Daily Workforce'!$D94="3:45 AM",IF('Daily Schedule'!$E$2="PM",'Daily Workforce'!$E94="PM",'Daily Workforce'!$E94="Overnight"))),'Daily Workforce'!$V94*1000+94,999999999)</f>
        <v>999999999</v>
      </c>
      <c r="DB8" s="1" t="n">
        <f aca="false">IF(AND('Daily Workforce'!$N95="Y",'Daily Workforce'!$B95&lt;&gt;"",COUNTIF('Daily Schedule'!$F$5:$F11,'Daily Workforce'!$B95)=0,'Daily Workforce'!$M95="Y",IF(OR('Daily Schedule'!$E$2="Full Day",'Daily Schedule'!$E$2="AM"),'Daily Workforce'!$D95="3:45 AM",IF('Daily Schedule'!$E$2="PM",'Daily Workforce'!$E95="PM",'Daily Workforce'!$E95="Overnight"))),'Daily Workforce'!$V95*1000+95,999999999)</f>
        <v>999999999</v>
      </c>
      <c r="DC8" s="1" t="n">
        <f aca="false">IF(AND('Daily Workforce'!$N96="Y",'Daily Workforce'!$B96&lt;&gt;"",COUNTIF('Daily Schedule'!$F$5:$F11,'Daily Workforce'!$B96)=0,'Daily Workforce'!$M96="Y",IF(OR('Daily Schedule'!$E$2="Full Day",'Daily Schedule'!$E$2="AM"),'Daily Workforce'!$D96="3:45 AM",IF('Daily Schedule'!$E$2="PM",'Daily Workforce'!$E96="PM",'Daily Workforce'!$E96="Overnight"))),'Daily Workforce'!$V96*1000+96,999999999)</f>
        <v>999999999</v>
      </c>
      <c r="DD8" s="1" t="n">
        <f aca="false">IF(AND('Daily Workforce'!$N97="Y",'Daily Workforce'!$B97&lt;&gt;"",COUNTIF('Daily Schedule'!$F$5:$F11,'Daily Workforce'!$B97)=0,'Daily Workforce'!$M97="Y",IF(OR('Daily Schedule'!$E$2="Full Day",'Daily Schedule'!$E$2="AM"),'Daily Workforce'!$D97="3:45 AM",IF('Daily Schedule'!$E$2="PM",'Daily Workforce'!$E97="PM",'Daily Workforce'!$E97="Overnight"))),'Daily Workforce'!$V97*1000+97,999999999)</f>
        <v>999999999</v>
      </c>
      <c r="DE8" s="1" t="n">
        <f aca="false">IF(AND('Daily Workforce'!$N98="Y",'Daily Workforce'!$B98&lt;&gt;"",COUNTIF('Daily Schedule'!$F$5:$F11,'Daily Workforce'!$B98)=0,'Daily Workforce'!$M98="Y",IF(OR('Daily Schedule'!$E$2="Full Day",'Daily Schedule'!$E$2="AM"),'Daily Workforce'!$D98="3:45 AM",IF('Daily Schedule'!$E$2="PM",'Daily Workforce'!$E98="PM",'Daily Workforce'!$E98="Overnight"))),'Daily Workforce'!$V98*1000+98,999999999)</f>
        <v>999999999</v>
      </c>
      <c r="DF8" s="1" t="n">
        <f aca="false">IF(AND('Daily Workforce'!$N99="Y",'Daily Workforce'!$B99&lt;&gt;"",COUNTIF('Daily Schedule'!$F$5:$F11,'Daily Workforce'!$B99)=0,'Daily Workforce'!$M99="Y",IF(OR('Daily Schedule'!$E$2="Full Day",'Daily Schedule'!$E$2="AM"),'Daily Workforce'!$D99="3:45 AM",IF('Daily Schedule'!$E$2="PM",'Daily Workforce'!$E99="PM",'Daily Workforce'!$E99="Overnight"))),'Daily Workforce'!$V99*1000+99,999999999)</f>
        <v>999999999</v>
      </c>
      <c r="DG8" s="1" t="n">
        <f aca="false">IF(AND('Daily Workforce'!$N100="Y",'Daily Workforce'!$B100&lt;&gt;"",COUNTIF('Daily Schedule'!$F$5:$F11,'Daily Workforce'!$B100)=0,'Daily Workforce'!$M100="Y",IF(OR('Daily Schedule'!$E$2="Full Day",'Daily Schedule'!$E$2="AM"),'Daily Workforce'!$D100="3:45 AM",IF('Daily Schedule'!$E$2="PM",'Daily Workforce'!$E100="PM",'Daily Workforce'!$E100="Overnight"))),'Daily Workforce'!$V100*1000+100,999999999)</f>
        <v>999999999</v>
      </c>
      <c r="DH8" s="1" t="n">
        <f aca="false">IF(AND('Daily Workforce'!$N101="Y",'Daily Workforce'!$B101&lt;&gt;"",COUNTIF('Daily Schedule'!$F$5:$F11,'Daily Workforce'!$B101)=0,'Daily Workforce'!$M101="Y",IF(OR('Daily Schedule'!$E$2="Full Day",'Daily Schedule'!$E$2="AM"),'Daily Workforce'!$D101="3:45 AM",IF('Daily Schedule'!$E$2="PM",'Daily Workforce'!$E101="PM",'Daily Workforce'!$E101="Overnight"))),'Daily Workforce'!$V101*1000+101,999999999)</f>
        <v>999999999</v>
      </c>
      <c r="DI8" s="1" t="n">
        <f aca="false">IF(AND('Daily Workforce'!$N102="Y",'Daily Workforce'!$B102&lt;&gt;"",COUNTIF('Daily Schedule'!$F$5:$F11,'Daily Workforce'!$B102)=0,'Daily Workforce'!$M102="Y",IF(OR('Daily Schedule'!$E$2="Full Day",'Daily Schedule'!$E$2="AM"),'Daily Workforce'!$D102="3:45 AM",IF('Daily Schedule'!$E$2="PM",'Daily Workforce'!$E102="PM",'Daily Workforce'!$E102="Overnight"))),'Daily Workforce'!$V102*1000+102,999999999)</f>
        <v>999999999</v>
      </c>
      <c r="DJ8" s="1" t="n">
        <f aca="false">IF(AND('Daily Workforce'!$N103="Y",'Daily Workforce'!$B103&lt;&gt;"",COUNTIF('Daily Schedule'!$F$5:$F11,'Daily Workforce'!$B103)=0,'Daily Workforce'!$M103="Y",IF(OR('Daily Schedule'!$E$2="Full Day",'Daily Schedule'!$E$2="AM"),'Daily Workforce'!$D103="3:45 AM",IF('Daily Schedule'!$E$2="PM",'Daily Workforce'!$E103="PM",'Daily Workforce'!$E103="Overnight"))),'Daily Workforce'!$V103*1000+103,999999999)</f>
        <v>999999999</v>
      </c>
      <c r="DK8" s="1" t="n">
        <f aca="false">IF(AND('Daily Workforce'!$N104="Y",'Daily Workforce'!$B104&lt;&gt;"",COUNTIF('Daily Schedule'!$F$5:$F11,'Daily Workforce'!$B104)=0,'Daily Workforce'!$M104="Y",IF(OR('Daily Schedule'!$E$2="Full Day",'Daily Schedule'!$E$2="AM"),'Daily Workforce'!$D104="3:45 AM",IF('Daily Schedule'!$E$2="PM",'Daily Workforce'!$E104="PM",'Daily Workforce'!$E104="Overnight"))),'Daily Workforce'!$V104*1000+104,999999999)</f>
        <v>999999999</v>
      </c>
      <c r="DL8" s="1" t="n">
        <f aca="false">IF(AND('Daily Workforce'!$N105="Y",'Daily Workforce'!$B105&lt;&gt;"",COUNTIF('Daily Schedule'!$F$5:$F11,'Daily Workforce'!$B105)=0,'Daily Workforce'!$M105="Y",IF(OR('Daily Schedule'!$E$2="Full Day",'Daily Schedule'!$E$2="AM"),'Daily Workforce'!$D105="3:45 AM",IF('Daily Schedule'!$E$2="PM",'Daily Workforce'!$E105="PM",'Daily Workforce'!$E105="Overnight"))),'Daily Workforce'!$V105*1000+105,999999999)</f>
        <v>999999999</v>
      </c>
      <c r="DM8" s="1" t="n">
        <f aca="false">IF(AND('Daily Workforce'!$N106="Y",'Daily Workforce'!$B106&lt;&gt;"",COUNTIF('Daily Schedule'!$F$5:$F11,'Daily Workforce'!$B106)=0,'Daily Workforce'!$M106="Y",IF(OR('Daily Schedule'!$E$2="Full Day",'Daily Schedule'!$E$2="AM"),'Daily Workforce'!$D106="3:45 AM",IF('Daily Schedule'!$E$2="PM",'Daily Workforce'!$E106="PM",'Daily Workforce'!$E106="Overnight"))),'Daily Workforce'!$V106*1000+106,999999999)</f>
        <v>999999999</v>
      </c>
      <c r="DN8" s="1" t="n">
        <f aca="false">IF(AND('Daily Workforce'!$N107="Y",'Daily Workforce'!$B107&lt;&gt;"",COUNTIF('Daily Schedule'!$F$5:$F11,'Daily Workforce'!$B107)=0,'Daily Workforce'!$M107="Y",IF(OR('Daily Schedule'!$E$2="Full Day",'Daily Schedule'!$E$2="AM"),'Daily Workforce'!$D107="3:45 AM",IF('Daily Schedule'!$E$2="PM",'Daily Workforce'!$E107="PM",'Daily Workforce'!$E107="Overnight"))),'Daily Workforce'!$V107*1000+107,999999999)</f>
        <v>999999999</v>
      </c>
      <c r="DO8" s="1" t="n">
        <f aca="false">IF(AND('Daily Workforce'!$N108="Y",'Daily Workforce'!$B108&lt;&gt;"",COUNTIF('Daily Schedule'!$F$5:$F11,'Daily Workforce'!$B108)=0,'Daily Workforce'!$M108="Y",IF(OR('Daily Schedule'!$E$2="Full Day",'Daily Schedule'!$E$2="AM"),'Daily Workforce'!$D108="3:45 AM",IF('Daily Schedule'!$E$2="PM",'Daily Workforce'!$E108="PM",'Daily Workforce'!$E108="Overnight"))),'Daily Workforce'!$V108*1000+108,999999999)</f>
        <v>999999999</v>
      </c>
      <c r="DP8" s="1" t="n">
        <f aca="false">IF(AND('Daily Workforce'!$N109="Y",'Daily Workforce'!$B109&lt;&gt;"",COUNTIF('Daily Schedule'!$F$5:$F11,'Daily Workforce'!$B109)=0,'Daily Workforce'!$M109="Y",IF(OR('Daily Schedule'!$E$2="Full Day",'Daily Schedule'!$E$2="AM"),'Daily Workforce'!$D109="3:45 AM",IF('Daily Schedule'!$E$2="PM",'Daily Workforce'!$E109="PM",'Daily Workforce'!$E109="Overnight"))),'Daily Workforce'!$V109*1000+109,999999999)</f>
        <v>999999999</v>
      </c>
      <c r="DQ8" s="1" t="n">
        <f aca="false">IF(AND('Daily Workforce'!$N110="Y",'Daily Workforce'!$B110&lt;&gt;"",COUNTIF('Daily Schedule'!$F$5:$F11,'Daily Workforce'!$B110)=0,'Daily Workforce'!$M110="Y",IF(OR('Daily Schedule'!$E$2="Full Day",'Daily Schedule'!$E$2="AM"),'Daily Workforce'!$D110="3:45 AM",IF('Daily Schedule'!$E$2="PM",'Daily Workforce'!$E110="PM",'Daily Workforce'!$E110="Overnight"))),'Daily Workforce'!$V110*1000+110,999999999)</f>
        <v>999999999</v>
      </c>
      <c r="DR8" s="1" t="n">
        <f aca="false">IF(AND('Daily Workforce'!$N111="Y",'Daily Workforce'!$B111&lt;&gt;"",COUNTIF('Daily Schedule'!$F$5:$F11,'Daily Workforce'!$B111)=0,'Daily Workforce'!$M111="Y",IF(OR('Daily Schedule'!$E$2="Full Day",'Daily Schedule'!$E$2="AM"),'Daily Workforce'!$D111="3:45 AM",IF('Daily Schedule'!$E$2="PM",'Daily Workforce'!$E111="PM",'Daily Workforce'!$E111="Overnight"))),'Daily Workforce'!$V111*1000+111,999999999)</f>
        <v>999999999</v>
      </c>
      <c r="DS8" s="1" t="n">
        <f aca="false">IF(AND('Daily Workforce'!$N112="Y",'Daily Workforce'!$B112&lt;&gt;"",COUNTIF('Daily Schedule'!$F$5:$F11,'Daily Workforce'!$B112)=0,'Daily Workforce'!$M112="Y",IF(OR('Daily Schedule'!$E$2="Full Day",'Daily Schedule'!$E$2="AM"),'Daily Workforce'!$D112="3:45 AM",IF('Daily Schedule'!$E$2="PM",'Daily Workforce'!$E112="PM",'Daily Workforce'!$E112="Overnight"))),'Daily Workforce'!$V112*1000+112,999999999)</f>
        <v>999999999</v>
      </c>
      <c r="DT8" s="1" t="n">
        <f aca="false">IF(AND('Daily Workforce'!$N113="Y",'Daily Workforce'!$B113&lt;&gt;"",COUNTIF('Daily Schedule'!$F$5:$F11,'Daily Workforce'!$B113)=0,'Daily Workforce'!$M113="Y",IF(OR('Daily Schedule'!$E$2="Full Day",'Daily Schedule'!$E$2="AM"),'Daily Workforce'!$D113="3:45 AM",IF('Daily Schedule'!$E$2="PM",'Daily Workforce'!$E113="PM",'Daily Workforce'!$E113="Overnight"))),'Daily Workforce'!$V113*1000+113,999999999)</f>
        <v>999999999</v>
      </c>
      <c r="DU8" s="1" t="n">
        <f aca="false">IF(AND('Daily Workforce'!$N114="Y",'Daily Workforce'!$B114&lt;&gt;"",COUNTIF('Daily Schedule'!$F$5:$F11,'Daily Workforce'!$B114)=0,'Daily Workforce'!$M114="Y",IF(OR('Daily Schedule'!$E$2="Full Day",'Daily Schedule'!$E$2="AM"),'Daily Workforce'!$D114="3:45 AM",IF('Daily Schedule'!$E$2="PM",'Daily Workforce'!$E114="PM",'Daily Workforce'!$E114="Overnight"))),'Daily Workforce'!$V114*1000+114,999999999)</f>
        <v>999999999</v>
      </c>
      <c r="DV8" s="1" t="n">
        <f aca="false">IF(AND('Daily Workforce'!$N115="Y",'Daily Workforce'!$B115&lt;&gt;"",COUNTIF('Daily Schedule'!$F$5:$F11,'Daily Workforce'!$B115)=0,'Daily Workforce'!$M115="Y",IF(OR('Daily Schedule'!$E$2="Full Day",'Daily Schedule'!$E$2="AM"),'Daily Workforce'!$D115="3:45 AM",IF('Daily Schedule'!$E$2="PM",'Daily Workforce'!$E115="PM",'Daily Workforce'!$E115="Overnight"))),'Daily Workforce'!$V115*1000+115,999999999)</f>
        <v>999999999</v>
      </c>
      <c r="DW8" s="1" t="n">
        <f aca="false">IF(AND('Daily Workforce'!$N116="Y",'Daily Workforce'!$B116&lt;&gt;"",COUNTIF('Daily Schedule'!$F$5:$F11,'Daily Workforce'!$B116)=0,'Daily Workforce'!$M116="Y",IF(OR('Daily Schedule'!$E$2="Full Day",'Daily Schedule'!$E$2="AM"),'Daily Workforce'!$D116="3:45 AM",IF('Daily Schedule'!$E$2="PM",'Daily Workforce'!$E116="PM",'Daily Workforce'!$E116="Overnight"))),'Daily Workforce'!$V116*1000+116,999999999)</f>
        <v>999999999</v>
      </c>
      <c r="DX8" s="1" t="n">
        <f aca="false">IF(AND('Daily Workforce'!$N117="Y",'Daily Workforce'!$B117&lt;&gt;"",COUNTIF('Daily Schedule'!$F$5:$F11,'Daily Workforce'!$B117)=0,'Daily Workforce'!$M117="Y",IF(OR('Daily Schedule'!$E$2="Full Day",'Daily Schedule'!$E$2="AM"),'Daily Workforce'!$D117="3:45 AM",IF('Daily Schedule'!$E$2="PM",'Daily Workforce'!$E117="PM",'Daily Workforce'!$E117="Overnight"))),'Daily Workforce'!$V117*1000+117,999999999)</f>
        <v>999999999</v>
      </c>
      <c r="DY8" s="1" t="n">
        <f aca="false">IF(AND('Daily Workforce'!$N118="Y",'Daily Workforce'!$B118&lt;&gt;"",COUNTIF('Daily Schedule'!$F$5:$F11,'Daily Workforce'!$B118)=0,'Daily Workforce'!$M118="Y",IF(OR('Daily Schedule'!$E$2="Full Day",'Daily Schedule'!$E$2="AM"),'Daily Workforce'!$D118="3:45 AM",IF('Daily Schedule'!$E$2="PM",'Daily Workforce'!$E118="PM",'Daily Workforce'!$E118="Overnight"))),'Daily Workforce'!$V118*1000+118,999999999)</f>
        <v>999999999</v>
      </c>
      <c r="DZ8" s="1" t="n">
        <f aca="false">IF(AND('Daily Workforce'!$N119="Y",'Daily Workforce'!$B119&lt;&gt;"",COUNTIF('Daily Schedule'!$F$5:$F11,'Daily Workforce'!$B119)=0,'Daily Workforce'!$M119="Y",IF(OR('Daily Schedule'!$E$2="Full Day",'Daily Schedule'!$E$2="AM"),'Daily Workforce'!$D119="3:45 AM",IF('Daily Schedule'!$E$2="PM",'Daily Workforce'!$E119="PM",'Daily Workforce'!$E119="Overnight"))),'Daily Workforce'!$V119*1000+119,999999999)</f>
        <v>999999999</v>
      </c>
      <c r="EA8" s="1" t="n">
        <f aca="false">IF(AND('Daily Workforce'!$N120="Y",'Daily Workforce'!$B120&lt;&gt;"",COUNTIF('Daily Schedule'!$F$5:$F11,'Daily Workforce'!$B120)=0,'Daily Workforce'!$M120="Y",IF(OR('Daily Schedule'!$E$2="Full Day",'Daily Schedule'!$E$2="AM"),'Daily Workforce'!$D120="3:45 AM",IF('Daily Schedule'!$E$2="PM",'Daily Workforce'!$E120="PM",'Daily Workforce'!$E120="Overnight"))),'Daily Workforce'!$V120*1000+120,999999999)</f>
        <v>999999999</v>
      </c>
      <c r="EB8" s="1" t="n">
        <f aca="false">IF(AND('Daily Workforce'!$N121="Y",'Daily Workforce'!$B121&lt;&gt;"",COUNTIF('Daily Schedule'!$F$5:$F11,'Daily Workforce'!$B121)=0,'Daily Workforce'!$M121="Y",IF(OR('Daily Schedule'!$E$2="Full Day",'Daily Schedule'!$E$2="AM"),'Daily Workforce'!$D121="3:45 AM",IF('Daily Schedule'!$E$2="PM",'Daily Workforce'!$E121="PM",'Daily Workforce'!$E121="Overnight"))),'Daily Workforce'!$V121*1000+121,999999999)</f>
        <v>999999999</v>
      </c>
      <c r="EC8" s="1" t="n">
        <f aca="false">IF(AND('Daily Workforce'!$N122="Y",'Daily Workforce'!$B122&lt;&gt;"",COUNTIF('Daily Schedule'!$F$5:$F11,'Daily Workforce'!$B122)=0,'Daily Workforce'!$M122="Y",IF(OR('Daily Schedule'!$E$2="Full Day",'Daily Schedule'!$E$2="AM"),'Daily Workforce'!$D122="3:45 AM",IF('Daily Schedule'!$E$2="PM",'Daily Workforce'!$E122="PM",'Daily Workforce'!$E122="Overnight"))),'Daily Workforce'!$V122*1000+122,999999999)</f>
        <v>999999999</v>
      </c>
      <c r="ED8" s="1" t="n">
        <f aca="false">IF(AND('Daily Workforce'!$N123="Y",'Daily Workforce'!$B123&lt;&gt;"",COUNTIF('Daily Schedule'!$F$5:$F11,'Daily Workforce'!$B123)=0,'Daily Workforce'!$M123="Y",IF(OR('Daily Schedule'!$E$2="Full Day",'Daily Schedule'!$E$2="AM"),'Daily Workforce'!$D123="3:45 AM",IF('Daily Schedule'!$E$2="PM",'Daily Workforce'!$E123="PM",'Daily Workforce'!$E123="Overnight"))),'Daily Workforce'!$V123*1000+123,999999999)</f>
        <v>999999999</v>
      </c>
      <c r="EE8" s="1" t="n">
        <f aca="false">IF(AND('Daily Workforce'!$N124="Y",'Daily Workforce'!$B124&lt;&gt;"",COUNTIF('Daily Schedule'!$F$5:$F11,'Daily Workforce'!$B124)=0,'Daily Workforce'!$M124="Y",IF(OR('Daily Schedule'!$E$2="Full Day",'Daily Schedule'!$E$2="AM"),'Daily Workforce'!$D124="3:45 AM",IF('Daily Schedule'!$E$2="PM",'Daily Workforce'!$E124="PM",'Daily Workforce'!$E124="Overnight"))),'Daily Workforce'!$V124*1000+124,999999999)</f>
        <v>999999999</v>
      </c>
      <c r="EF8" s="1" t="n">
        <f aca="false">IF(AND('Daily Workforce'!$N125="Y",'Daily Workforce'!$B125&lt;&gt;"",COUNTIF('Daily Schedule'!$F$5:$F11,'Daily Workforce'!$B125)=0,'Daily Workforce'!$M125="Y",IF(OR('Daily Schedule'!$E$2="Full Day",'Daily Schedule'!$E$2="AM"),'Daily Workforce'!$D125="3:45 AM",IF('Daily Schedule'!$E$2="PM",'Daily Workforce'!$E125="PM",'Daily Workforce'!$E125="Overnight"))),'Daily Workforce'!$V125*1000+125,999999999)</f>
        <v>999999999</v>
      </c>
      <c r="EG8" s="1" t="n">
        <f aca="false">IF(AND('Daily Workforce'!$N126="Y",'Daily Workforce'!$B126&lt;&gt;"",COUNTIF('Daily Schedule'!$F$5:$F11,'Daily Workforce'!$B126)=0,'Daily Workforce'!$M126="Y",IF(OR('Daily Schedule'!$E$2="Full Day",'Daily Schedule'!$E$2="AM"),'Daily Workforce'!$D126="3:45 AM",IF('Daily Schedule'!$E$2="PM",'Daily Workforce'!$E126="PM",'Daily Workforce'!$E126="Overnight"))),'Daily Workforce'!$V126*1000+126,999999999)</f>
        <v>999999999</v>
      </c>
      <c r="EH8" s="1" t="n">
        <f aca="false">IF(AND('Daily Workforce'!$N127="Y",'Daily Workforce'!$B127&lt;&gt;"",COUNTIF('Daily Schedule'!$F$5:$F11,'Daily Workforce'!$B127)=0,'Daily Workforce'!$M127="Y",IF(OR('Daily Schedule'!$E$2="Full Day",'Daily Schedule'!$E$2="AM"),'Daily Workforce'!$D127="3:45 AM",IF('Daily Schedule'!$E$2="PM",'Daily Workforce'!$E127="PM",'Daily Workforce'!$E127="Overnight"))),'Daily Workforce'!$V127*1000+127,999999999)</f>
        <v>999999999</v>
      </c>
      <c r="EI8" s="1" t="n">
        <f aca="false">IF(AND('Daily Workforce'!$N128="Y",'Daily Workforce'!$B128&lt;&gt;"",COUNTIF('Daily Schedule'!$F$5:$F11,'Daily Workforce'!$B128)=0,'Daily Workforce'!$M128="Y",IF(OR('Daily Schedule'!$E$2="Full Day",'Daily Schedule'!$E$2="AM"),'Daily Workforce'!$D128="3:45 AM",IF('Daily Schedule'!$E$2="PM",'Daily Workforce'!$E128="PM",'Daily Workforce'!$E128="Overnight"))),'Daily Workforce'!$V128*1000+128,999999999)</f>
        <v>999999999</v>
      </c>
      <c r="EJ8" s="1" t="n">
        <f aca="false">IF(AND('Daily Workforce'!$N129="Y",'Daily Workforce'!$B129&lt;&gt;"",COUNTIF('Daily Schedule'!$F$5:$F11,'Daily Workforce'!$B129)=0,'Daily Workforce'!$M129="Y",IF(OR('Daily Schedule'!$E$2="Full Day",'Daily Schedule'!$E$2="AM"),'Daily Workforce'!$D129="3:45 AM",IF('Daily Schedule'!$E$2="PM",'Daily Workforce'!$E129="PM",'Daily Workforce'!$E129="Overnight"))),'Daily Workforce'!$V129*1000+129,999999999)</f>
        <v>999999999</v>
      </c>
      <c r="EK8" s="1" t="n">
        <f aca="false">IF(AND('Daily Workforce'!$N130="Y",'Daily Workforce'!$B130&lt;&gt;"",COUNTIF('Daily Schedule'!$F$5:$F11,'Daily Workforce'!$B130)=0,'Daily Workforce'!$M130="Y",IF(OR('Daily Schedule'!$E$2="Full Day",'Daily Schedule'!$E$2="AM"),'Daily Workforce'!$D130="3:45 AM",IF('Daily Schedule'!$E$2="PM",'Daily Workforce'!$E130="PM",'Daily Workforce'!$E130="Overnight"))),'Daily Workforce'!$V130*1000+130,999999999)</f>
        <v>999999999</v>
      </c>
      <c r="EL8" s="1" t="n">
        <f aca="false">IF(AND('Daily Workforce'!$N131="Y",'Daily Workforce'!$B131&lt;&gt;"",COUNTIF('Daily Schedule'!$F$5:$F11,'Daily Workforce'!$B131)=0,'Daily Workforce'!$M131="Y",IF(OR('Daily Schedule'!$E$2="Full Day",'Daily Schedule'!$E$2="AM"),'Daily Workforce'!$D131="3:45 AM",IF('Daily Schedule'!$E$2="PM",'Daily Workforce'!$E131="PM",'Daily Workforce'!$E131="Overnight"))),'Daily Workforce'!$V131*1000+131,999999999)</f>
        <v>999999999</v>
      </c>
      <c r="EM8" s="1" t="n">
        <f aca="false">IF(AND('Daily Workforce'!$N132="Y",'Daily Workforce'!$B132&lt;&gt;"",COUNTIF('Daily Schedule'!$F$5:$F11,'Daily Workforce'!$B132)=0,'Daily Workforce'!$M132="Y",IF(OR('Daily Schedule'!$E$2="Full Day",'Daily Schedule'!$E$2="AM"),'Daily Workforce'!$D132="3:45 AM",IF('Daily Schedule'!$E$2="PM",'Daily Workforce'!$E132="PM",'Daily Workforce'!$E132="Overnight"))),'Daily Workforce'!$V132*1000+132,999999999)</f>
        <v>999999999</v>
      </c>
      <c r="EN8" s="1" t="n">
        <f aca="false">IF(AND('Daily Workforce'!$N133="Y",'Daily Workforce'!$B133&lt;&gt;"",COUNTIF('Daily Schedule'!$F$5:$F11,'Daily Workforce'!$B133)=0,'Daily Workforce'!$M133="Y",IF(OR('Daily Schedule'!$E$2="Full Day",'Daily Schedule'!$E$2="AM"),'Daily Workforce'!$D133="3:45 AM",IF('Daily Schedule'!$E$2="PM",'Daily Workforce'!$E133="PM",'Daily Workforce'!$E133="Overnight"))),'Daily Workforce'!$V133*1000+133,999999999)</f>
        <v>999999999</v>
      </c>
      <c r="EO8" s="1" t="n">
        <f aca="false">IF(AND('Daily Workforce'!$N134="Y",'Daily Workforce'!$B134&lt;&gt;"",COUNTIF('Daily Schedule'!$F$5:$F11,'Daily Workforce'!$B134)=0,'Daily Workforce'!$M134="Y",IF(OR('Daily Schedule'!$E$2="Full Day",'Daily Schedule'!$E$2="AM"),'Daily Workforce'!$D134="3:45 AM",IF('Daily Schedule'!$E$2="PM",'Daily Workforce'!$E134="PM",'Daily Workforce'!$E134="Overnight"))),'Daily Workforce'!$V134*1000+134,999999999)</f>
        <v>999999999</v>
      </c>
      <c r="EP8" s="1" t="n">
        <f aca="false">IF(AND('Daily Workforce'!$N135="Y",'Daily Workforce'!$B135&lt;&gt;"",COUNTIF('Daily Schedule'!$F$5:$F11,'Daily Workforce'!$B135)=0,'Daily Workforce'!$M135="Y",IF(OR('Daily Schedule'!$E$2="Full Day",'Daily Schedule'!$E$2="AM"),'Daily Workforce'!$D135="3:45 AM",IF('Daily Schedule'!$E$2="PM",'Daily Workforce'!$E135="PM",'Daily Workforce'!$E135="Overnight"))),'Daily Workforce'!$V135*1000+135,999999999)</f>
        <v>999999999</v>
      </c>
      <c r="EQ8" s="1" t="n">
        <f aca="false">IF(AND('Daily Workforce'!$N136="Y",'Daily Workforce'!$B136&lt;&gt;"",COUNTIF('Daily Schedule'!$F$5:$F11,'Daily Workforce'!$B136)=0,'Daily Workforce'!$M136="Y",IF(OR('Daily Schedule'!$E$2="Full Day",'Daily Schedule'!$E$2="AM"),'Daily Workforce'!$D136="3:45 AM",IF('Daily Schedule'!$E$2="PM",'Daily Workforce'!$E136="PM",'Daily Workforce'!$E136="Overnight"))),'Daily Workforce'!$V136*1000+136,999999999)</f>
        <v>999999999</v>
      </c>
      <c r="ER8" s="1" t="n">
        <f aca="false">IF(AND('Daily Workforce'!$N137="Y",'Daily Workforce'!$B137&lt;&gt;"",COUNTIF('Daily Schedule'!$F$5:$F11,'Daily Workforce'!$B137)=0,'Daily Workforce'!$M137="Y",IF(OR('Daily Schedule'!$E$2="Full Day",'Daily Schedule'!$E$2="AM"),'Daily Workforce'!$D137="3:45 AM",IF('Daily Schedule'!$E$2="PM",'Daily Workforce'!$E137="PM",'Daily Workforce'!$E137="Overnight"))),'Daily Workforce'!$V137*1000+137,999999999)</f>
        <v>999999999</v>
      </c>
      <c r="ES8" s="1" t="n">
        <f aca="false">IF(AND('Daily Workforce'!$N138="Y",'Daily Workforce'!$B138&lt;&gt;"",COUNTIF('Daily Schedule'!$F$5:$F11,'Daily Workforce'!$B138)=0,'Daily Workforce'!$M138="Y",IF(OR('Daily Schedule'!$E$2="Full Day",'Daily Schedule'!$E$2="AM"),'Daily Workforce'!$D138="3:45 AM",IF('Daily Schedule'!$E$2="PM",'Daily Workforce'!$E138="PM",'Daily Workforce'!$E138="Overnight"))),'Daily Workforce'!$V138*1000+138,999999999)</f>
        <v>999999999</v>
      </c>
      <c r="ET8" s="1" t="n">
        <f aca="false">IF(AND('Daily Workforce'!$N139="Y",'Daily Workforce'!$B139&lt;&gt;"",COUNTIF('Daily Schedule'!$F$5:$F11,'Daily Workforce'!$B139)=0,'Daily Workforce'!$M139="Y",IF(OR('Daily Schedule'!$E$2="Full Day",'Daily Schedule'!$E$2="AM"),'Daily Workforce'!$D139="3:45 AM",IF('Daily Schedule'!$E$2="PM",'Daily Workforce'!$E139="PM",'Daily Workforce'!$E139="Overnight"))),'Daily Workforce'!$V139*1000+139,999999999)</f>
        <v>999999999</v>
      </c>
      <c r="EU8" s="1" t="n">
        <f aca="false">IF(AND('Daily Workforce'!$N140="Y",'Daily Workforce'!$B140&lt;&gt;"",COUNTIF('Daily Schedule'!$F$5:$F11,'Daily Workforce'!$B140)=0,'Daily Workforce'!$M140="Y",IF(OR('Daily Schedule'!$E$2="Full Day",'Daily Schedule'!$E$2="AM"),'Daily Workforce'!$D140="3:45 AM",IF('Daily Schedule'!$E$2="PM",'Daily Workforce'!$E140="PM",'Daily Workforce'!$E140="Overnight"))),'Daily Workforce'!$V140*1000+140,999999999)</f>
        <v>999999999</v>
      </c>
      <c r="EV8" s="1" t="n">
        <f aca="false">IF(AND('Daily Workforce'!$N141="Y",'Daily Workforce'!$B141&lt;&gt;"",COUNTIF('Daily Schedule'!$F$5:$F11,'Daily Workforce'!$B141)=0,'Daily Workforce'!$M141="Y",IF(OR('Daily Schedule'!$E$2="Full Day",'Daily Schedule'!$E$2="AM"),'Daily Workforce'!$D141="3:45 AM",IF('Daily Schedule'!$E$2="PM",'Daily Workforce'!$E141="PM",'Daily Workforce'!$E141="Overnight"))),'Daily Workforce'!$V141*1000+141,999999999)</f>
        <v>999999999</v>
      </c>
      <c r="EW8" s="1" t="n">
        <f aca="false">IF(AND('Daily Workforce'!$N142="Y",'Daily Workforce'!$B142&lt;&gt;"",COUNTIF('Daily Schedule'!$F$5:$F11,'Daily Workforce'!$B142)=0,'Daily Workforce'!$M142="Y",IF(OR('Daily Schedule'!$E$2="Full Day",'Daily Schedule'!$E$2="AM"),'Daily Workforce'!$D142="3:45 AM",IF('Daily Schedule'!$E$2="PM",'Daily Workforce'!$E142="PM",'Daily Workforce'!$E142="Overnight"))),'Daily Workforce'!$V142*1000+142,999999999)</f>
        <v>999999999</v>
      </c>
      <c r="EX8" s="1" t="n">
        <f aca="false">IF(AND('Daily Workforce'!$N143="Y",'Daily Workforce'!$B143&lt;&gt;"",COUNTIF('Daily Schedule'!$F$5:$F11,'Daily Workforce'!$B143)=0,'Daily Workforce'!$M143="Y",IF(OR('Daily Schedule'!$E$2="Full Day",'Daily Schedule'!$E$2="AM"),'Daily Workforce'!$D143="3:45 AM",IF('Daily Schedule'!$E$2="PM",'Daily Workforce'!$E143="PM",'Daily Workforce'!$E143="Overnight"))),'Daily Workforce'!$V143*1000+143,999999999)</f>
        <v>999999999</v>
      </c>
      <c r="EY8" s="1" t="n">
        <f aca="false">IF(AND('Daily Workforce'!$N144="Y",'Daily Workforce'!$B144&lt;&gt;"",COUNTIF('Daily Schedule'!$F$5:$F11,'Daily Workforce'!$B144)=0,'Daily Workforce'!$M144="Y",IF(OR('Daily Schedule'!$E$2="Full Day",'Daily Schedule'!$E$2="AM"),'Daily Workforce'!$D144="3:45 AM",IF('Daily Schedule'!$E$2="PM",'Daily Workforce'!$E144="PM",'Daily Workforce'!$E144="Overnight"))),'Daily Workforce'!$V144*1000+144,999999999)</f>
        <v>999999999</v>
      </c>
      <c r="EZ8" s="1" t="n">
        <f aca="false">IF(AND('Daily Workforce'!$N145="Y",'Daily Workforce'!$B145&lt;&gt;"",COUNTIF('Daily Schedule'!$F$5:$F11,'Daily Workforce'!$B145)=0,'Daily Workforce'!$M145="Y",IF(OR('Daily Schedule'!$E$2="Full Day",'Daily Schedule'!$E$2="AM"),'Daily Workforce'!$D145="3:45 AM",IF('Daily Schedule'!$E$2="PM",'Daily Workforce'!$E145="PM",'Daily Workforce'!$E145="Overnight"))),'Daily Workforce'!$V145*1000+145,999999999)</f>
        <v>999999999</v>
      </c>
      <c r="FA8" s="1" t="n">
        <f aca="false">IF(AND('Daily Workforce'!$N146="Y",'Daily Workforce'!$B146&lt;&gt;"",COUNTIF('Daily Schedule'!$F$5:$F11,'Daily Workforce'!$B146)=0,'Daily Workforce'!$M146="Y",IF(OR('Daily Schedule'!$E$2="Full Day",'Daily Schedule'!$E$2="AM"),'Daily Workforce'!$D146="3:45 AM",IF('Daily Schedule'!$E$2="PM",'Daily Workforce'!$E146="PM",'Daily Workforce'!$E146="Overnight"))),'Daily Workforce'!$V146*1000+146,999999999)</f>
        <v>999999999</v>
      </c>
      <c r="FB8" s="1" t="n">
        <f aca="false">IF(AND('Daily Workforce'!$N147="Y",'Daily Workforce'!$B147&lt;&gt;"",COUNTIF('Daily Schedule'!$F$5:$F11,'Daily Workforce'!$B147)=0,'Daily Workforce'!$M147="Y",IF(OR('Daily Schedule'!$E$2="Full Day",'Daily Schedule'!$E$2="AM"),'Daily Workforce'!$D147="3:45 AM",IF('Daily Schedule'!$E$2="PM",'Daily Workforce'!$E147="PM",'Daily Workforce'!$E147="Overnight"))),'Daily Workforce'!$V147*1000+147,999999999)</f>
        <v>999999999</v>
      </c>
      <c r="FC8" s="1" t="n">
        <f aca="false">IF(AND('Daily Workforce'!$N148="Y",'Daily Workforce'!$B148&lt;&gt;"",COUNTIF('Daily Schedule'!$F$5:$F11,'Daily Workforce'!$B148)=0,'Daily Workforce'!$M148="Y",IF(OR('Daily Schedule'!$E$2="Full Day",'Daily Schedule'!$E$2="AM"),'Daily Workforce'!$D148="3:45 AM",IF('Daily Schedule'!$E$2="PM",'Daily Workforce'!$E148="PM",'Daily Workforce'!$E148="Overnight"))),'Daily Workforce'!$V148*1000+148,999999999)</f>
        <v>999999999</v>
      </c>
      <c r="FD8" s="1" t="n">
        <f aca="false">IF(AND('Daily Workforce'!$N149="Y",'Daily Workforce'!$B149&lt;&gt;"",COUNTIF('Daily Schedule'!$F$5:$F11,'Daily Workforce'!$B149)=0,'Daily Workforce'!$M149="Y",IF(OR('Daily Schedule'!$E$2="Full Day",'Daily Schedule'!$E$2="AM"),'Daily Workforce'!$D149="3:45 AM",IF('Daily Schedule'!$E$2="PM",'Daily Workforce'!$E149="PM",'Daily Workforce'!$E149="Overnight"))),'Daily Workforce'!$V149*1000+149,999999999)</f>
        <v>999999999</v>
      </c>
      <c r="FE8" s="1" t="n">
        <f aca="false">IF(AND('Daily Workforce'!$N150="Y",'Daily Workforce'!$B150&lt;&gt;"",COUNTIF('Daily Schedule'!$F$5:$F11,'Daily Workforce'!$B150)=0,'Daily Workforce'!$M150="Y",IF(OR('Daily Schedule'!$E$2="Full Day",'Daily Schedule'!$E$2="AM"),'Daily Workforce'!$D150="3:45 AM",IF('Daily Schedule'!$E$2="PM",'Daily Workforce'!$E150="PM",'Daily Workforce'!$E150="Overnight"))),'Daily Workforce'!$V150*1000+150,999999999)</f>
        <v>999999999</v>
      </c>
      <c r="FF8" s="1" t="n">
        <f aca="false">IF(AND('Daily Workforce'!$N151="Y",'Daily Workforce'!$B151&lt;&gt;"",COUNTIF('Daily Schedule'!$F$5:$F11,'Daily Workforce'!$B151)=0,'Daily Workforce'!$M151="Y",IF(OR('Daily Schedule'!$E$2="Full Day",'Daily Schedule'!$E$2="AM"),'Daily Workforce'!$D151="3:45 AM",IF('Daily Schedule'!$E$2="PM",'Daily Workforce'!$E151="PM",'Daily Workforce'!$E151="Overnight"))),'Daily Workforce'!$V151*1000+151,999999999)</f>
        <v>999999999</v>
      </c>
      <c r="FG8" s="1" t="n">
        <f aca="false">IF(AND('Daily Workforce'!$N152="Y",'Daily Workforce'!$B152&lt;&gt;"",COUNTIF('Daily Schedule'!$F$5:$F11,'Daily Workforce'!$B152)=0,'Daily Workforce'!$M152="Y",IF(OR('Daily Schedule'!$E$2="Full Day",'Daily Schedule'!$E$2="AM"),'Daily Workforce'!$D152="3:45 AM",IF('Daily Schedule'!$E$2="PM",'Daily Workforce'!$E152="PM",'Daily Workforce'!$E152="Overnight"))),'Daily Workforce'!$V152*1000+152,999999999)</f>
        <v>999999999</v>
      </c>
      <c r="FH8" s="1" t="n">
        <f aca="false">IF(AND('Daily Workforce'!$N153="Y",'Daily Workforce'!$B153&lt;&gt;"",COUNTIF('Daily Schedule'!$F$5:$F11,'Daily Workforce'!$B153)=0,'Daily Workforce'!$M153="Y",IF(OR('Daily Schedule'!$E$2="Full Day",'Daily Schedule'!$E$2="AM"),'Daily Workforce'!$D153="3:45 AM",IF('Daily Schedule'!$E$2="PM",'Daily Workforce'!$E153="PM",'Daily Workforce'!$E153="Overnight"))),'Daily Workforce'!$V153*1000+153,999999999)</f>
        <v>999999999</v>
      </c>
      <c r="FI8" s="1" t="n">
        <f aca="false">IF(AND('Daily Workforce'!$N154="Y",'Daily Workforce'!$B154&lt;&gt;"",COUNTIF('Daily Schedule'!$F$5:$F11,'Daily Workforce'!$B154)=0,'Daily Workforce'!$M154="Y",IF(OR('Daily Schedule'!$E$2="Full Day",'Daily Schedule'!$E$2="AM"),'Daily Workforce'!$D154="3:45 AM",IF('Daily Schedule'!$E$2="PM",'Daily Workforce'!$E154="PM",'Daily Workforce'!$E154="Overnight"))),'Daily Workforce'!$V154*1000+154,999999999)</f>
        <v>999999999</v>
      </c>
      <c r="FJ8" s="1" t="n">
        <f aca="false">IF(AND('Daily Workforce'!$N155="Y",'Daily Workforce'!$B155&lt;&gt;"",COUNTIF('Daily Schedule'!$F$5:$F11,'Daily Workforce'!$B155)=0,'Daily Workforce'!$M155="Y",IF(OR('Daily Schedule'!$E$2="Full Day",'Daily Schedule'!$E$2="AM"),'Daily Workforce'!$D155="3:45 AM",IF('Daily Schedule'!$E$2="PM",'Daily Workforce'!$E155="PM",'Daily Workforce'!$E155="Overnight"))),'Daily Workforce'!$V155*1000+155,999999999)</f>
        <v>999999999</v>
      </c>
      <c r="FK8" s="1" t="n">
        <f aca="false">IF(AND('Daily Workforce'!$N156="Y",'Daily Workforce'!$B156&lt;&gt;"",COUNTIF('Daily Schedule'!$F$5:$F11,'Daily Workforce'!$B156)=0,'Daily Workforce'!$M156="Y",IF(OR('Daily Schedule'!$E$2="Full Day",'Daily Schedule'!$E$2="AM"),'Daily Workforce'!$D156="3:45 AM",IF('Daily Schedule'!$E$2="PM",'Daily Workforce'!$E156="PM",'Daily Workforce'!$E156="Overnight"))),'Daily Workforce'!$V156*1000+156,999999999)</f>
        <v>999999999</v>
      </c>
      <c r="FL8" s="1" t="n">
        <f aca="false">IF(AND('Daily Workforce'!$N157="Y",'Daily Workforce'!$B157&lt;&gt;"",COUNTIF('Daily Schedule'!$F$5:$F11,'Daily Workforce'!$B157)=0,'Daily Workforce'!$M157="Y",IF(OR('Daily Schedule'!$E$2="Full Day",'Daily Schedule'!$E$2="AM"),'Daily Workforce'!$D157="3:45 AM",IF('Daily Schedule'!$E$2="PM",'Daily Workforce'!$E157="PM",'Daily Workforce'!$E157="Overnight"))),'Daily Workforce'!$V157*1000+157,999999999)</f>
        <v>999999999</v>
      </c>
      <c r="FM8" s="1" t="n">
        <f aca="false">IF(AND('Daily Workforce'!$N158="Y",'Daily Workforce'!$B158&lt;&gt;"",COUNTIF('Daily Schedule'!$F$5:$F11,'Daily Workforce'!$B158)=0,'Daily Workforce'!$M158="Y",IF(OR('Daily Schedule'!$E$2="Full Day",'Daily Schedule'!$E$2="AM"),'Daily Workforce'!$D158="3:45 AM",IF('Daily Schedule'!$E$2="PM",'Daily Workforce'!$E158="PM",'Daily Workforce'!$E158="Overnight"))),'Daily Workforce'!$V158*1000+158,999999999)</f>
        <v>999999999</v>
      </c>
      <c r="FN8" s="1" t="n">
        <f aca="false">IF(AND('Daily Workforce'!$N159="Y",'Daily Workforce'!$B159&lt;&gt;"",COUNTIF('Daily Schedule'!$F$5:$F11,'Daily Workforce'!$B159)=0,'Daily Workforce'!$M159="Y",IF(OR('Daily Schedule'!$E$2="Full Day",'Daily Schedule'!$E$2="AM"),'Daily Workforce'!$D159="3:45 AM",IF('Daily Schedule'!$E$2="PM",'Daily Workforce'!$E159="PM",'Daily Workforce'!$E159="Overnight"))),'Daily Workforce'!$V159*1000+159,999999999)</f>
        <v>999999999</v>
      </c>
      <c r="FO8" s="1" t="n">
        <f aca="false">IF(AND('Daily Workforce'!$N160="Y",'Daily Workforce'!$B160&lt;&gt;"",COUNTIF('Daily Schedule'!$F$5:$F11,'Daily Workforce'!$B160)=0,'Daily Workforce'!$M160="Y",IF(OR('Daily Schedule'!$E$2="Full Day",'Daily Schedule'!$E$2="AM"),'Daily Workforce'!$D160="3:45 AM",IF('Daily Schedule'!$E$2="PM",'Daily Workforce'!$E160="PM",'Daily Workforce'!$E160="Overnight"))),'Daily Workforce'!$V160*1000+160,999999999)</f>
        <v>999999999</v>
      </c>
      <c r="FP8" s="1" t="n">
        <f aca="false">IF(AND('Daily Workforce'!$N161="Y",'Daily Workforce'!$B161&lt;&gt;"",COUNTIF('Daily Schedule'!$F$5:$F11,'Daily Workforce'!$B161)=0,'Daily Workforce'!$M161="Y",IF(OR('Daily Schedule'!$E$2="Full Day",'Daily Schedule'!$E$2="AM"),'Daily Workforce'!$D161="3:45 AM",IF('Daily Schedule'!$E$2="PM",'Daily Workforce'!$E161="PM",'Daily Workforce'!$E161="Overnight"))),'Daily Workforce'!$V161*1000+161,999999999)</f>
        <v>999999999</v>
      </c>
      <c r="FQ8" s="1" t="n">
        <f aca="false">IF(AND('Daily Workforce'!$N162="Y",'Daily Workforce'!$B162&lt;&gt;"",COUNTIF('Daily Schedule'!$F$5:$F11,'Daily Workforce'!$B162)=0,'Daily Workforce'!$M162="Y",IF(OR('Daily Schedule'!$E$2="Full Day",'Daily Schedule'!$E$2="AM"),'Daily Workforce'!$D162="3:45 AM",IF('Daily Schedule'!$E$2="PM",'Daily Workforce'!$E162="PM",'Daily Workforce'!$E162="Overnight"))),'Daily Workforce'!$V162*1000+162,999999999)</f>
        <v>999999999</v>
      </c>
      <c r="FR8" s="1" t="n">
        <f aca="false">IF(AND('Daily Workforce'!$N163="Y",'Daily Workforce'!$B163&lt;&gt;"",COUNTIF('Daily Schedule'!$F$5:$F11,'Daily Workforce'!$B163)=0,'Daily Workforce'!$M163="Y",IF(OR('Daily Schedule'!$E$2="Full Day",'Daily Schedule'!$E$2="AM"),'Daily Workforce'!$D163="3:45 AM",IF('Daily Schedule'!$E$2="PM",'Daily Workforce'!$E163="PM",'Daily Workforce'!$E163="Overnight"))),'Daily Workforce'!$V163*1000+163,999999999)</f>
        <v>999999999</v>
      </c>
      <c r="FS8" s="1" t="n">
        <f aca="false">IF(AND('Daily Workforce'!$N164="Y",'Daily Workforce'!$B164&lt;&gt;"",COUNTIF('Daily Schedule'!$F$5:$F11,'Daily Workforce'!$B164)=0,'Daily Workforce'!$M164="Y",IF(OR('Daily Schedule'!$E$2="Full Day",'Daily Schedule'!$E$2="AM"),'Daily Workforce'!$D164="3:45 AM",IF('Daily Schedule'!$E$2="PM",'Daily Workforce'!$E164="PM",'Daily Workforce'!$E164="Overnight"))),'Daily Workforce'!$V164*1000+164,999999999)</f>
        <v>999999999</v>
      </c>
      <c r="FT8" s="1" t="n">
        <f aca="false">IF(AND('Daily Workforce'!$N165="Y",'Daily Workforce'!$B165&lt;&gt;"",COUNTIF('Daily Schedule'!$F$5:$F11,'Daily Workforce'!$B165)=0,'Daily Workforce'!$M165="Y",IF(OR('Daily Schedule'!$E$2="Full Day",'Daily Schedule'!$E$2="AM"),'Daily Workforce'!$D165="3:45 AM",IF('Daily Schedule'!$E$2="PM",'Daily Workforce'!$E165="PM",'Daily Workforce'!$E165="Overnight"))),'Daily Workforce'!$V165*1000+165,999999999)</f>
        <v>999999999</v>
      </c>
      <c r="FU8" s="1" t="n">
        <f aca="false">IF(AND('Daily Workforce'!$N166="Y",'Daily Workforce'!$B166&lt;&gt;"",COUNTIF('Daily Schedule'!$F$5:$F11,'Daily Workforce'!$B166)=0,'Daily Workforce'!$M166="Y",IF(OR('Daily Schedule'!$E$2="Full Day",'Daily Schedule'!$E$2="AM"),'Daily Workforce'!$D166="3:45 AM",IF('Daily Schedule'!$E$2="PM",'Daily Workforce'!$E166="PM",'Daily Workforce'!$E166="Overnight"))),'Daily Workforce'!$V166*1000+166,999999999)</f>
        <v>999999999</v>
      </c>
      <c r="FV8" s="1" t="n">
        <f aca="false">IF(AND('Daily Workforce'!$N167="Y",'Daily Workforce'!$B167&lt;&gt;"",COUNTIF('Daily Schedule'!$F$5:$F11,'Daily Workforce'!$B167)=0,'Daily Workforce'!$M167="Y",IF(OR('Daily Schedule'!$E$2="Full Day",'Daily Schedule'!$E$2="AM"),'Daily Workforce'!$D167="3:45 AM",IF('Daily Schedule'!$E$2="PM",'Daily Workforce'!$E167="PM",'Daily Workforce'!$E167="Overnight"))),'Daily Workforce'!$V167*1000+167,999999999)</f>
        <v>999999999</v>
      </c>
      <c r="FW8" s="1" t="n">
        <f aca="false">IF(AND('Daily Workforce'!$N168="Y",'Daily Workforce'!$B168&lt;&gt;"",COUNTIF('Daily Schedule'!$F$5:$F11,'Daily Workforce'!$B168)=0,'Daily Workforce'!$M168="Y",IF(OR('Daily Schedule'!$E$2="Full Day",'Daily Schedule'!$E$2="AM"),'Daily Workforce'!$D168="3:45 AM",IF('Daily Schedule'!$E$2="PM",'Daily Workforce'!$E168="PM",'Daily Workforce'!$E168="Overnight"))),'Daily Workforce'!$V168*1000+168,999999999)</f>
        <v>999999999</v>
      </c>
      <c r="FX8" s="1" t="n">
        <f aca="false">IF(AND('Daily Workforce'!$N169="Y",'Daily Workforce'!$B169&lt;&gt;"",COUNTIF('Daily Schedule'!$F$5:$F11,'Daily Workforce'!$B169)=0,'Daily Workforce'!$M169="Y",IF(OR('Daily Schedule'!$E$2="Full Day",'Daily Schedule'!$E$2="AM"),'Daily Workforce'!$D169="3:45 AM",IF('Daily Schedule'!$E$2="PM",'Daily Workforce'!$E169="PM",'Daily Workforce'!$E169="Overnight"))),'Daily Workforce'!$V169*1000+169,999999999)</f>
        <v>999999999</v>
      </c>
      <c r="FY8" s="1" t="n">
        <f aca="false">IF(AND('Daily Workforce'!$N170="Y",'Daily Workforce'!$B170&lt;&gt;"",COUNTIF('Daily Schedule'!$F$5:$F11,'Daily Workforce'!$B170)=0,'Daily Workforce'!$M170="Y",IF(OR('Daily Schedule'!$E$2="Full Day",'Daily Schedule'!$E$2="AM"),'Daily Workforce'!$D170="3:45 AM",IF('Daily Schedule'!$E$2="PM",'Daily Workforce'!$E170="PM",'Daily Workforce'!$E170="Overnight"))),'Daily Workforce'!$V170*1000+170,999999999)</f>
        <v>999999999</v>
      </c>
      <c r="FZ8" s="1" t="n">
        <f aca="false">IF(AND('Daily Workforce'!$N171="Y",'Daily Workforce'!$B171&lt;&gt;"",COUNTIF('Daily Schedule'!$F$5:$F11,'Daily Workforce'!$B171)=0,'Daily Workforce'!$M171="Y",IF(OR('Daily Schedule'!$E$2="Full Day",'Daily Schedule'!$E$2="AM"),'Daily Workforce'!$D171="3:45 AM",IF('Daily Schedule'!$E$2="PM",'Daily Workforce'!$E171="PM",'Daily Workforce'!$E171="Overnight"))),'Daily Workforce'!$V171*1000+171,999999999)</f>
        <v>999999999</v>
      </c>
      <c r="GA8" s="1" t="n">
        <f aca="false">IF(AND('Daily Workforce'!$N172="Y",'Daily Workforce'!$B172&lt;&gt;"",COUNTIF('Daily Schedule'!$F$5:$F11,'Daily Workforce'!$B172)=0,'Daily Workforce'!$M172="Y",IF(OR('Daily Schedule'!$E$2="Full Day",'Daily Schedule'!$E$2="AM"),'Daily Workforce'!$D172="3:45 AM",IF('Daily Schedule'!$E$2="PM",'Daily Workforce'!$E172="PM",'Daily Workforce'!$E172="Overnight"))),'Daily Workforce'!$V172*1000+172,999999999)</f>
        <v>999999999</v>
      </c>
      <c r="GB8" s="1" t="n">
        <f aca="false">IF(AND('Daily Workforce'!$N173="Y",'Daily Workforce'!$B173&lt;&gt;"",COUNTIF('Daily Schedule'!$F$5:$F11,'Daily Workforce'!$B173)=0,'Daily Workforce'!$M173="Y",IF(OR('Daily Schedule'!$E$2="Full Day",'Daily Schedule'!$E$2="AM"),'Daily Workforce'!$D173="3:45 AM",IF('Daily Schedule'!$E$2="PM",'Daily Workforce'!$E173="PM",'Daily Workforce'!$E173="Overnight"))),'Daily Workforce'!$V173*1000+173,999999999)</f>
        <v>999999999</v>
      </c>
      <c r="GC8" s="1" t="n">
        <f aca="false">IF(AND('Daily Workforce'!$N174="Y",'Daily Workforce'!$B174&lt;&gt;"",COUNTIF('Daily Schedule'!$F$5:$F11,'Daily Workforce'!$B174)=0,'Daily Workforce'!$M174="Y",IF(OR('Daily Schedule'!$E$2="Full Day",'Daily Schedule'!$E$2="AM"),'Daily Workforce'!$D174="3:45 AM",IF('Daily Schedule'!$E$2="PM",'Daily Workforce'!$E174="PM",'Daily Workforce'!$E174="Overnight"))),'Daily Workforce'!$V174*1000+174,999999999)</f>
        <v>999999999</v>
      </c>
      <c r="GD8" s="1" t="n">
        <f aca="false">IF(AND('Daily Workforce'!$N175="Y",'Daily Workforce'!$B175&lt;&gt;"",COUNTIF('Daily Schedule'!$F$5:$F11,'Daily Workforce'!$B175)=0,'Daily Workforce'!$M175="Y",IF(OR('Daily Schedule'!$E$2="Full Day",'Daily Schedule'!$E$2="AM"),'Daily Workforce'!$D175="3:45 AM",IF('Daily Schedule'!$E$2="PM",'Daily Workforce'!$E175="PM",'Daily Workforce'!$E175="Overnight"))),'Daily Workforce'!$V175*1000+175,999999999)</f>
        <v>999999999</v>
      </c>
      <c r="GE8" s="1" t="n">
        <f aca="false">IF(AND('Daily Workforce'!$N176="Y",'Daily Workforce'!$B176&lt;&gt;"",COUNTIF('Daily Schedule'!$F$5:$F11,'Daily Workforce'!$B176)=0,'Daily Workforce'!$M176="Y",IF(OR('Daily Schedule'!$E$2="Full Day",'Daily Schedule'!$E$2="AM"),'Daily Workforce'!$D176="3:45 AM",IF('Daily Schedule'!$E$2="PM",'Daily Workforce'!$E176="PM",'Daily Workforce'!$E176="Overnight"))),'Daily Workforce'!$V176*1000+176,999999999)</f>
        <v>999999999</v>
      </c>
      <c r="GF8" s="1" t="n">
        <f aca="false">IF(AND('Daily Workforce'!$N177="Y",'Daily Workforce'!$B177&lt;&gt;"",COUNTIF('Daily Schedule'!$F$5:$F11,'Daily Workforce'!$B177)=0,'Daily Workforce'!$M177="Y",IF(OR('Daily Schedule'!$E$2="Full Day",'Daily Schedule'!$E$2="AM"),'Daily Workforce'!$D177="3:45 AM",IF('Daily Schedule'!$E$2="PM",'Daily Workforce'!$E177="PM",'Daily Workforce'!$E177="Overnight"))),'Daily Workforce'!$V177*1000+177,999999999)</f>
        <v>999999999</v>
      </c>
      <c r="GG8" s="1" t="n">
        <f aca="false">IF(AND('Daily Workforce'!$N178="Y",'Daily Workforce'!$B178&lt;&gt;"",COUNTIF('Daily Schedule'!$F$5:$F11,'Daily Workforce'!$B178)=0,'Daily Workforce'!$M178="Y",IF(OR('Daily Schedule'!$E$2="Full Day",'Daily Schedule'!$E$2="AM"),'Daily Workforce'!$D178="3:45 AM",IF('Daily Schedule'!$E$2="PM",'Daily Workforce'!$E178="PM",'Daily Workforce'!$E178="Overnight"))),'Daily Workforce'!$V178*1000+178,999999999)</f>
        <v>999999999</v>
      </c>
      <c r="GH8" s="1" t="n">
        <f aca="false">IF(AND('Daily Workforce'!$N179="Y",'Daily Workforce'!$B179&lt;&gt;"",COUNTIF('Daily Schedule'!$F$5:$F11,'Daily Workforce'!$B179)=0,'Daily Workforce'!$M179="Y",IF(OR('Daily Schedule'!$E$2="Full Day",'Daily Schedule'!$E$2="AM"),'Daily Workforce'!$D179="3:45 AM",IF('Daily Schedule'!$E$2="PM",'Daily Workforce'!$E179="PM",'Daily Workforce'!$E179="Overnight"))),'Daily Workforce'!$V179*1000+179,999999999)</f>
        <v>999999999</v>
      </c>
      <c r="GI8" s="1" t="n">
        <f aca="false">IF(AND('Daily Workforce'!$N180="Y",'Daily Workforce'!$B180&lt;&gt;"",COUNTIF('Daily Schedule'!$F$5:$F11,'Daily Workforce'!$B180)=0,'Daily Workforce'!$M180="Y",IF(OR('Daily Schedule'!$E$2="Full Day",'Daily Schedule'!$E$2="AM"),'Daily Workforce'!$D180="3:45 AM",IF('Daily Schedule'!$E$2="PM",'Daily Workforce'!$E180="PM",'Daily Workforce'!$E180="Overnight"))),'Daily Workforce'!$V180*1000+180,999999999)</f>
        <v>999999999</v>
      </c>
      <c r="GJ8" s="1" t="n">
        <f aca="false">IF(AND('Daily Workforce'!$N181="Y",'Daily Workforce'!$B181&lt;&gt;"",COUNTIF('Daily Schedule'!$F$5:$F11,'Daily Workforce'!$B181)=0,'Daily Workforce'!$M181="Y",IF(OR('Daily Schedule'!$E$2="Full Day",'Daily Schedule'!$E$2="AM"),'Daily Workforce'!$D181="3:45 AM",IF('Daily Schedule'!$E$2="PM",'Daily Workforce'!$E181="PM",'Daily Workforce'!$E181="Overnight"))),'Daily Workforce'!$V181*1000+181,999999999)</f>
        <v>999999999</v>
      </c>
      <c r="GK8" s="1" t="n">
        <f aca="false">IF(AND('Daily Workforce'!$N182="Y",'Daily Workforce'!$B182&lt;&gt;"",COUNTIF('Daily Schedule'!$F$5:$F11,'Daily Workforce'!$B182)=0,'Daily Workforce'!$M182="Y",IF(OR('Daily Schedule'!$E$2="Full Day",'Daily Schedule'!$E$2="AM"),'Daily Workforce'!$D182="3:45 AM",IF('Daily Schedule'!$E$2="PM",'Daily Workforce'!$E182="PM",'Daily Workforce'!$E182="Overnight"))),'Daily Workforce'!$V182*1000+182,999999999)</f>
        <v>999999999</v>
      </c>
      <c r="GL8" s="1" t="n">
        <f aca="false">IF(AND('Daily Workforce'!$N183="Y",'Daily Workforce'!$B183&lt;&gt;"",COUNTIF('Daily Schedule'!$F$5:$F11,'Daily Workforce'!$B183)=0,'Daily Workforce'!$M183="Y",IF(OR('Daily Schedule'!$E$2="Full Day",'Daily Schedule'!$E$2="AM"),'Daily Workforce'!$D183="3:45 AM",IF('Daily Schedule'!$E$2="PM",'Daily Workforce'!$E183="PM",'Daily Workforce'!$E183="Overnight"))),'Daily Workforce'!$V183*1000+183,999999999)</f>
        <v>999999999</v>
      </c>
      <c r="GM8" s="1" t="n">
        <f aca="false">IF(AND('Daily Workforce'!$N184="Y",'Daily Workforce'!$B184&lt;&gt;"",COUNTIF('Daily Schedule'!$F$5:$F11,'Daily Workforce'!$B184)=0,'Daily Workforce'!$M184="Y",IF(OR('Daily Schedule'!$E$2="Full Day",'Daily Schedule'!$E$2="AM"),'Daily Workforce'!$D184="3:45 AM",IF('Daily Schedule'!$E$2="PM",'Daily Workforce'!$E184="PM",'Daily Workforce'!$E184="Overnight"))),'Daily Workforce'!$V184*1000+184,999999999)</f>
        <v>999999999</v>
      </c>
      <c r="GN8" s="1" t="n">
        <f aca="false">IF(AND('Daily Workforce'!$N185="Y",'Daily Workforce'!$B185&lt;&gt;"",COUNTIF('Daily Schedule'!$F$5:$F11,'Daily Workforce'!$B185)=0,'Daily Workforce'!$M185="Y",IF(OR('Daily Schedule'!$E$2="Full Day",'Daily Schedule'!$E$2="AM"),'Daily Workforce'!$D185="3:45 AM",IF('Daily Schedule'!$E$2="PM",'Daily Workforce'!$E185="PM",'Daily Workforce'!$E185="Overnight"))),'Daily Workforce'!$V185*1000+185,999999999)</f>
        <v>999999999</v>
      </c>
      <c r="GO8" s="1" t="n">
        <f aca="false">IF(AND('Daily Workforce'!$N186="Y",'Daily Workforce'!$B186&lt;&gt;"",COUNTIF('Daily Schedule'!$F$5:$F11,'Daily Workforce'!$B186)=0,'Daily Workforce'!$M186="Y",IF(OR('Daily Schedule'!$E$2="Full Day",'Daily Schedule'!$E$2="AM"),'Daily Workforce'!$D186="3:45 AM",IF('Daily Schedule'!$E$2="PM",'Daily Workforce'!$E186="PM",'Daily Workforce'!$E186="Overnight"))),'Daily Workforce'!$V186*1000+186,999999999)</f>
        <v>999999999</v>
      </c>
      <c r="GP8" s="1" t="n">
        <f aca="false">IF(AND('Daily Workforce'!$N187="Y",'Daily Workforce'!$B187&lt;&gt;"",COUNTIF('Daily Schedule'!$F$5:$F11,'Daily Workforce'!$B187)=0,'Daily Workforce'!$M187="Y",IF(OR('Daily Schedule'!$E$2="Full Day",'Daily Schedule'!$E$2="AM"),'Daily Workforce'!$D187="3:45 AM",IF('Daily Schedule'!$E$2="PM",'Daily Workforce'!$E187="PM",'Daily Workforce'!$E187="Overnight"))),'Daily Workforce'!$V187*1000+187,999999999)</f>
        <v>999999999</v>
      </c>
      <c r="GQ8" s="1" t="n">
        <f aca="false">IF(AND('Daily Workforce'!$N188="Y",'Daily Workforce'!$B188&lt;&gt;"",COUNTIF('Daily Schedule'!$F$5:$F11,'Daily Workforce'!$B188)=0,'Daily Workforce'!$M188="Y",IF(OR('Daily Schedule'!$E$2="Full Day",'Daily Schedule'!$E$2="AM"),'Daily Workforce'!$D188="3:45 AM",IF('Daily Schedule'!$E$2="PM",'Daily Workforce'!$E188="PM",'Daily Workforce'!$E188="Overnight"))),'Daily Workforce'!$V188*1000+188,999999999)</f>
        <v>999999999</v>
      </c>
      <c r="GR8" s="1" t="n">
        <f aca="false">IF(AND('Daily Workforce'!$N189="Y",'Daily Workforce'!$B189&lt;&gt;"",COUNTIF('Daily Schedule'!$F$5:$F11,'Daily Workforce'!$B189)=0,'Daily Workforce'!$M189="Y",IF(OR('Daily Schedule'!$E$2="Full Day",'Daily Schedule'!$E$2="AM"),'Daily Workforce'!$D189="3:45 AM",IF('Daily Schedule'!$E$2="PM",'Daily Workforce'!$E189="PM",'Daily Workforce'!$E189="Overnight"))),'Daily Workforce'!$V189*1000+189,999999999)</f>
        <v>999999999</v>
      </c>
      <c r="GS8" s="1" t="n">
        <f aca="false">IF(AND('Daily Workforce'!$N190="Y",'Daily Workforce'!$B190&lt;&gt;"",COUNTIF('Daily Schedule'!$F$5:$F11,'Daily Workforce'!$B190)=0,'Daily Workforce'!$M190="Y",IF(OR('Daily Schedule'!$E$2="Full Day",'Daily Schedule'!$E$2="AM"),'Daily Workforce'!$D190="3:45 AM",IF('Daily Schedule'!$E$2="PM",'Daily Workforce'!$E190="PM",'Daily Workforce'!$E190="Overnight"))),'Daily Workforce'!$V190*1000+190,999999999)</f>
        <v>999999999</v>
      </c>
      <c r="GT8" s="1" t="n">
        <f aca="false">IF(AND('Daily Workforce'!$N191="Y",'Daily Workforce'!$B191&lt;&gt;"",COUNTIF('Daily Schedule'!$F$5:$F11,'Daily Workforce'!$B191)=0,'Daily Workforce'!$M191="Y",IF(OR('Daily Schedule'!$E$2="Full Day",'Daily Schedule'!$E$2="AM"),'Daily Workforce'!$D191="3:45 AM",IF('Daily Schedule'!$E$2="PM",'Daily Workforce'!$E191="PM",'Daily Workforce'!$E191="Overnight"))),'Daily Workforce'!$V191*1000+191,999999999)</f>
        <v>999999999</v>
      </c>
      <c r="GU8" s="1" t="n">
        <f aca="false">IF(AND('Daily Workforce'!$N192="Y",'Daily Workforce'!$B192&lt;&gt;"",COUNTIF('Daily Schedule'!$F$5:$F11,'Daily Workforce'!$B192)=0,'Daily Workforce'!$M192="Y",IF(OR('Daily Schedule'!$E$2="Full Day",'Daily Schedule'!$E$2="AM"),'Daily Workforce'!$D192="3:45 AM",IF('Daily Schedule'!$E$2="PM",'Daily Workforce'!$E192="PM",'Daily Workforce'!$E192="Overnight"))),'Daily Workforce'!$V192*1000+192,999999999)</f>
        <v>999999999</v>
      </c>
      <c r="GV8" s="1" t="n">
        <f aca="false">IF(AND('Daily Workforce'!$N193="Y",'Daily Workforce'!$B193&lt;&gt;"",COUNTIF('Daily Schedule'!$F$5:$F11,'Daily Workforce'!$B193)=0,'Daily Workforce'!$M193="Y",IF(OR('Daily Schedule'!$E$2="Full Day",'Daily Schedule'!$E$2="AM"),'Daily Workforce'!$D193="3:45 AM",IF('Daily Schedule'!$E$2="PM",'Daily Workforce'!$E193="PM",'Daily Workforce'!$E193="Overnight"))),'Daily Workforce'!$V193*1000+193,999999999)</f>
        <v>999999999</v>
      </c>
      <c r="GW8" s="1" t="n">
        <f aca="false">IF(AND('Daily Workforce'!$N194="Y",'Daily Workforce'!$B194&lt;&gt;"",COUNTIF('Daily Schedule'!$F$5:$F11,'Daily Workforce'!$B194)=0,'Daily Workforce'!$M194="Y",IF(OR('Daily Schedule'!$E$2="Full Day",'Daily Schedule'!$E$2="AM"),'Daily Workforce'!$D194="3:45 AM",IF('Daily Schedule'!$E$2="PM",'Daily Workforce'!$E194="PM",'Daily Workforce'!$E194="Overnight"))),'Daily Workforce'!$V194*1000+194,999999999)</f>
        <v>999999999</v>
      </c>
      <c r="GX8" s="1" t="n">
        <f aca="false">IF(AND('Daily Workforce'!$N195="Y",'Daily Workforce'!$B195&lt;&gt;"",COUNTIF('Daily Schedule'!$F$5:$F11,'Daily Workforce'!$B195)=0,'Daily Workforce'!$M195="Y",IF(OR('Daily Schedule'!$E$2="Full Day",'Daily Schedule'!$E$2="AM"),'Daily Workforce'!$D195="3:45 AM",IF('Daily Schedule'!$E$2="PM",'Daily Workforce'!$E195="PM",'Daily Workforce'!$E195="Overnight"))),'Daily Workforce'!$V195*1000+195,999999999)</f>
        <v>999999999</v>
      </c>
      <c r="GY8" s="1" t="n">
        <f aca="false">IF(AND('Daily Workforce'!$N196="Y",'Daily Workforce'!$B196&lt;&gt;"",COUNTIF('Daily Schedule'!$F$5:$F11,'Daily Workforce'!$B196)=0,'Daily Workforce'!$M196="Y",IF(OR('Daily Schedule'!$E$2="Full Day",'Daily Schedule'!$E$2="AM"),'Daily Workforce'!$D196="3:45 AM",IF('Daily Schedule'!$E$2="PM",'Daily Workforce'!$E196="PM",'Daily Workforce'!$E196="Overnight"))),'Daily Workforce'!$V196*1000+196,999999999)</f>
        <v>999999999</v>
      </c>
      <c r="GZ8" s="1" t="n">
        <f aca="false">IF(AND('Daily Workforce'!$N197="Y",'Daily Workforce'!$B197&lt;&gt;"",COUNTIF('Daily Schedule'!$F$5:$F11,'Daily Workforce'!$B197)=0,'Daily Workforce'!$M197="Y",IF(OR('Daily Schedule'!$E$2="Full Day",'Daily Schedule'!$E$2="AM"),'Daily Workforce'!$D197="3:45 AM",IF('Daily Schedule'!$E$2="PM",'Daily Workforce'!$E197="PM",'Daily Workforce'!$E197="Overnight"))),'Daily Workforce'!$V197*1000+197,999999999)</f>
        <v>999999999</v>
      </c>
      <c r="HA8" s="1" t="n">
        <f aca="false">IF(AND('Daily Workforce'!$N198="Y",'Daily Workforce'!$B198&lt;&gt;"",COUNTIF('Daily Schedule'!$F$5:$F11,'Daily Workforce'!$B198)=0,'Daily Workforce'!$M198="Y",IF(OR('Daily Schedule'!$E$2="Full Day",'Daily Schedule'!$E$2="AM"),'Daily Workforce'!$D198="3:45 AM",IF('Daily Schedule'!$E$2="PM",'Daily Workforce'!$E198="PM",'Daily Workforce'!$E198="Overnight"))),'Daily Workforce'!$V198*1000+198,999999999)</f>
        <v>999999999</v>
      </c>
      <c r="HB8" s="1" t="n">
        <f aca="false">IF(AND('Daily Workforce'!$N199="Y",'Daily Workforce'!$B199&lt;&gt;"",COUNTIF('Daily Schedule'!$F$5:$F11,'Daily Workforce'!$B199)=0,'Daily Workforce'!$M199="Y",IF(OR('Daily Schedule'!$E$2="Full Day",'Daily Schedule'!$E$2="AM"),'Daily Workforce'!$D199="3:45 AM",IF('Daily Schedule'!$E$2="PM",'Daily Workforce'!$E199="PM",'Daily Workforce'!$E199="Overnight"))),'Daily Workforce'!$V199*1000+199,999999999)</f>
        <v>999999999</v>
      </c>
      <c r="HC8" s="1" t="n">
        <f aca="false">IF(AND('Daily Workforce'!$N200="Y",'Daily Workforce'!$B200&lt;&gt;"",COUNTIF('Daily Schedule'!$F$5:$F11,'Daily Workforce'!$B200)=0,'Daily Workforce'!$M200="Y",IF(OR('Daily Schedule'!$E$2="Full Day",'Daily Schedule'!$E$2="AM"),'Daily Workforce'!$D200="3:45 AM",IF('Daily Schedule'!$E$2="PM",'Daily Workforce'!$E200="PM",'Daily Workforce'!$E200="Overnight"))),'Daily Workforce'!$V200*1000+200,999999999)</f>
        <v>999999999</v>
      </c>
      <c r="HD8" s="1" t="n">
        <f aca="false">IF(AND('Daily Workforce'!$N201="Y",'Daily Workforce'!$B201&lt;&gt;"",COUNTIF('Daily Schedule'!$F$5:$F11,'Daily Workforce'!$B201)=0,'Daily Workforce'!$M201="Y",IF(OR('Daily Schedule'!$E$2="Full Day",'Daily Schedule'!$E$2="AM"),'Daily Workforce'!$D201="3:45 AM",IF('Daily Schedule'!$E$2="PM",'Daily Workforce'!$E201="PM",'Daily Workforce'!$E201="Overnight"))),'Daily Workforce'!$V201*1000+201,999999999)</f>
        <v>999999999</v>
      </c>
      <c r="HE8" s="1" t="n">
        <f aca="false">IF(AND('Daily Workforce'!$N202="Y",'Daily Workforce'!$B202&lt;&gt;"",COUNTIF('Daily Schedule'!$F$5:$F11,'Daily Workforce'!$B202)=0,'Daily Workforce'!$M202="Y",IF(OR('Daily Schedule'!$E$2="Full Day",'Daily Schedule'!$E$2="AM"),'Daily Workforce'!$D202="3:45 AM",IF('Daily Schedule'!$E$2="PM",'Daily Workforce'!$E202="PM",'Daily Workforce'!$E202="Overnight"))),'Daily Workforce'!$V202*1000+202,999999999)</f>
        <v>999999999</v>
      </c>
      <c r="HF8" s="1" t="n">
        <f aca="false">IF(AND('Daily Workforce'!$N203="Y",'Daily Workforce'!$B203&lt;&gt;"",COUNTIF('Daily Schedule'!$F$5:$F11,'Daily Workforce'!$B203)=0,'Daily Workforce'!$M203="Y",IF(OR('Daily Schedule'!$E$2="Full Day",'Daily Schedule'!$E$2="AM"),'Daily Workforce'!$D203="3:45 AM",IF('Daily Schedule'!$E$2="PM",'Daily Workforce'!$E203="PM",'Daily Workforce'!$E203="Overnight"))),'Daily Workforce'!$V203*1000+203,999999999)</f>
        <v>999999999</v>
      </c>
      <c r="HG8" s="1" t="n">
        <f aca="false">IF(AND('Daily Workforce'!$N204="Y",'Daily Workforce'!$B204&lt;&gt;"",COUNTIF('Daily Schedule'!$F$5:$F11,'Daily Workforce'!$B204)=0,'Daily Workforce'!$M204="Y",IF(OR('Daily Schedule'!$E$2="Full Day",'Daily Schedule'!$E$2="AM"),'Daily Workforce'!$D204="3:45 AM",IF('Daily Schedule'!$E$2="PM",'Daily Workforce'!$E204="PM",'Daily Workforce'!$E204="Overnight"))),'Daily Workforce'!$V204*1000+204,999999999)</f>
        <v>999999999</v>
      </c>
      <c r="HH8" s="1" t="n">
        <f aca="false">IF(AND('Daily Workforce'!$N205="Y",'Daily Workforce'!$B205&lt;&gt;"",COUNTIF('Daily Schedule'!$F$5:$F11,'Daily Workforce'!$B205)=0,'Daily Workforce'!$M205="Y",IF(OR('Daily Schedule'!$E$2="Full Day",'Daily Schedule'!$E$2="AM"),'Daily Workforce'!$D205="3:45 AM",IF('Daily Schedule'!$E$2="PM",'Daily Workforce'!$E205="PM",'Daily Workforce'!$E205="Overnight"))),'Daily Workforce'!$V205*1000+205,999999999)</f>
        <v>999999999</v>
      </c>
      <c r="HI8" s="1" t="n">
        <v>52</v>
      </c>
      <c r="HJ8" s="1" t="str">
        <f aca="false">IF(MIN(HL8:JK8)&gt;=999999999,"",IFERROR(INDEX('Daily Schedule'!$F$6:$F$57,MATCH(MIN(HL8:JK8),HL8:JK8,0)),""))</f>
        <v>EMP-0051</v>
      </c>
      <c r="HK8" s="1" t="n">
        <f aca="false">IF($HJ8="","",IFERROR(INDEX('Daily Schedule'!$A$6:$A$57,MATCH($HJ8,'Daily Schedule'!$F$6:$F$57,0)),""))</f>
        <v>36</v>
      </c>
      <c r="HL8" s="1" t="n">
        <f aca="false">IF(AND('Daily Schedule'!$F$6&lt;&gt;"",'Daily Schedule'!$H$6="5:45 AM",'Daily Schedule'!$D$6&lt;&gt;"Tier 1",IFERROR(INDEX('Daily Workforce'!$M$6:$M$205,MATCH('Daily Schedule'!$F$6,'Daily Workforce'!$B$6:$B$205,0)),"N")="Y",COUNTIF($HJ$1:HJ7,'Daily Schedule'!$F$6)=0),IFERROR(INDEX('Daily Workforce'!$V$6:$V$205,MATCH('Daily Schedule'!$F$6,'Daily Workforce'!$B$6:$B$205,0)),0)*1000+6,999999999)</f>
        <v>999999999</v>
      </c>
      <c r="HM8" s="1" t="n">
        <f aca="false">IF(AND('Daily Schedule'!$F$7&lt;&gt;"",'Daily Schedule'!$H$7="5:45 AM",'Daily Schedule'!$D$7&lt;&gt;"Tier 1",IFERROR(INDEX('Daily Workforce'!$M$6:$M$205,MATCH('Daily Schedule'!$F$7,'Daily Workforce'!$B$6:$B$205,0)),"N")="Y",COUNTIF($HJ$1:HJ7,'Daily Schedule'!$F$7)=0),IFERROR(INDEX('Daily Workforce'!$V$6:$V$205,MATCH('Daily Schedule'!$F$7,'Daily Workforce'!$B$6:$B$205,0)),0)*1000+7,999999999)</f>
        <v>999999999</v>
      </c>
      <c r="HN8" s="1" t="n">
        <f aca="false">IF(AND('Daily Schedule'!$F$8&lt;&gt;"",'Daily Schedule'!$H$8="5:45 AM",'Daily Schedule'!$D$8&lt;&gt;"Tier 1",IFERROR(INDEX('Daily Workforce'!$M$6:$M$205,MATCH('Daily Schedule'!$F$8,'Daily Workforce'!$B$6:$B$205,0)),"N")="Y",COUNTIF($HJ$1:HJ7,'Daily Schedule'!$F$8)=0),IFERROR(INDEX('Daily Workforce'!$V$6:$V$205,MATCH('Daily Schedule'!$F$8,'Daily Workforce'!$B$6:$B$205,0)),0)*1000+8,999999999)</f>
        <v>999999999</v>
      </c>
      <c r="HO8" s="1" t="n">
        <f aca="false">IF(AND('Daily Schedule'!$F$9&lt;&gt;"",'Daily Schedule'!$H$9="5:45 AM",'Daily Schedule'!$D$9&lt;&gt;"Tier 1",IFERROR(INDEX('Daily Workforce'!$M$6:$M$205,MATCH('Daily Schedule'!$F$9,'Daily Workforce'!$B$6:$B$205,0)),"N")="Y",COUNTIF($HJ$1:HJ7,'Daily Schedule'!$F$9)=0),IFERROR(INDEX('Daily Workforce'!$V$6:$V$205,MATCH('Daily Schedule'!$F$9,'Daily Workforce'!$B$6:$B$205,0)),0)*1000+9,999999999)</f>
        <v>999999999</v>
      </c>
      <c r="HP8" s="1" t="n">
        <f aca="false">IF(AND('Daily Schedule'!$F$10&lt;&gt;"",'Daily Schedule'!$H$10="5:45 AM",'Daily Schedule'!$D$10&lt;&gt;"Tier 1",IFERROR(INDEX('Daily Workforce'!$M$6:$M$205,MATCH('Daily Schedule'!$F$10,'Daily Workforce'!$B$6:$B$205,0)),"N")="Y",COUNTIF($HJ$1:HJ7,'Daily Schedule'!$F$10)=0),IFERROR(INDEX('Daily Workforce'!$V$6:$V$205,MATCH('Daily Schedule'!$F$10,'Daily Workforce'!$B$6:$B$205,0)),0)*1000+10,999999999)</f>
        <v>999999999</v>
      </c>
      <c r="HQ8" s="1" t="n">
        <f aca="false">IF(AND('Daily Schedule'!$F$11&lt;&gt;"",'Daily Schedule'!$H$11="5:45 AM",'Daily Schedule'!$D$11&lt;&gt;"Tier 1",IFERROR(INDEX('Daily Workforce'!$M$6:$M$205,MATCH('Daily Schedule'!$F$11,'Daily Workforce'!$B$6:$B$205,0)),"N")="Y",COUNTIF($HJ$1:HJ7,'Daily Schedule'!$F$11)=0),IFERROR(INDEX('Daily Workforce'!$V$6:$V$205,MATCH('Daily Schedule'!$F$11,'Daily Workforce'!$B$6:$B$205,0)),0)*1000+11,999999999)</f>
        <v>999999999</v>
      </c>
      <c r="HR8" s="1" t="n">
        <f aca="false">IF(AND('Daily Schedule'!$F$12&lt;&gt;"",'Daily Schedule'!$H$12="5:45 AM",'Daily Schedule'!$D$12&lt;&gt;"Tier 1",IFERROR(INDEX('Daily Workforce'!$M$6:$M$205,MATCH('Daily Schedule'!$F$12,'Daily Workforce'!$B$6:$B$205,0)),"N")="Y",COUNTIF($HJ$1:HJ7,'Daily Schedule'!$F$12)=0),IFERROR(INDEX('Daily Workforce'!$V$6:$V$205,MATCH('Daily Schedule'!$F$12,'Daily Workforce'!$B$6:$B$205,0)),0)*1000+12,999999999)</f>
        <v>999999999</v>
      </c>
      <c r="HS8" s="1" t="n">
        <f aca="false">IF(AND('Daily Schedule'!$F$13&lt;&gt;"",'Daily Schedule'!$H$13="5:45 AM",'Daily Schedule'!$D$13&lt;&gt;"Tier 1",IFERROR(INDEX('Daily Workforce'!$M$6:$M$205,MATCH('Daily Schedule'!$F$13,'Daily Workforce'!$B$6:$B$205,0)),"N")="Y",COUNTIF($HJ$1:HJ7,'Daily Schedule'!$F$13)=0),IFERROR(INDEX('Daily Workforce'!$V$6:$V$205,MATCH('Daily Schedule'!$F$13,'Daily Workforce'!$B$6:$B$205,0)),0)*1000+13,999999999)</f>
        <v>999999999</v>
      </c>
      <c r="HT8" s="1" t="n">
        <f aca="false">IF(AND('Daily Schedule'!$F$14&lt;&gt;"",'Daily Schedule'!$H$14="5:45 AM",'Daily Schedule'!$D$14&lt;&gt;"Tier 1",IFERROR(INDEX('Daily Workforce'!$M$6:$M$205,MATCH('Daily Schedule'!$F$14,'Daily Workforce'!$B$6:$B$205,0)),"N")="Y",COUNTIF($HJ$1:HJ7,'Daily Schedule'!$F$14)=0),IFERROR(INDEX('Daily Workforce'!$V$6:$V$205,MATCH('Daily Schedule'!$F$14,'Daily Workforce'!$B$6:$B$205,0)),0)*1000+14,999999999)</f>
        <v>999999999</v>
      </c>
      <c r="HU8" s="1" t="n">
        <f aca="false">IF(AND('Daily Schedule'!$F$15&lt;&gt;"",'Daily Schedule'!$H$15="5:45 AM",'Daily Schedule'!$D$15&lt;&gt;"Tier 1",IFERROR(INDEX('Daily Workforce'!$M$6:$M$205,MATCH('Daily Schedule'!$F$15,'Daily Workforce'!$B$6:$B$205,0)),"N")="Y",COUNTIF($HJ$1:HJ7,'Daily Schedule'!$F$15)=0),IFERROR(INDEX('Daily Workforce'!$V$6:$V$205,MATCH('Daily Schedule'!$F$15,'Daily Workforce'!$B$6:$B$205,0)),0)*1000+15,999999999)</f>
        <v>999999999</v>
      </c>
      <c r="HV8" s="1" t="n">
        <f aca="false">IF(AND('Daily Schedule'!$F$16&lt;&gt;"",'Daily Schedule'!$H$16="5:45 AM",'Daily Schedule'!$D$16&lt;&gt;"Tier 1",IFERROR(INDEX('Daily Workforce'!$M$6:$M$205,MATCH('Daily Schedule'!$F$16,'Daily Workforce'!$B$6:$B$205,0)),"N")="Y",COUNTIF($HJ$1:HJ7,'Daily Schedule'!$F$16)=0),IFERROR(INDEX('Daily Workforce'!$V$6:$V$205,MATCH('Daily Schedule'!$F$16,'Daily Workforce'!$B$6:$B$205,0)),0)*1000+16,999999999)</f>
        <v>999999999</v>
      </c>
      <c r="HW8" s="1" t="n">
        <f aca="false">IF(AND('Daily Schedule'!$F$17&lt;&gt;"",'Daily Schedule'!$H$17="5:45 AM",'Daily Schedule'!$D$17&lt;&gt;"Tier 1",IFERROR(INDEX('Daily Workforce'!$M$6:$M$205,MATCH('Daily Schedule'!$F$17,'Daily Workforce'!$B$6:$B$205,0)),"N")="Y",COUNTIF($HJ$1:HJ7,'Daily Schedule'!$F$17)=0),IFERROR(INDEX('Daily Workforce'!$V$6:$V$205,MATCH('Daily Schedule'!$F$17,'Daily Workforce'!$B$6:$B$205,0)),0)*1000+17,999999999)</f>
        <v>999999999</v>
      </c>
      <c r="HX8" s="1" t="n">
        <f aca="false">IF(AND('Daily Schedule'!$F$18&lt;&gt;"",'Daily Schedule'!$H$18="5:45 AM",'Daily Schedule'!$D$18&lt;&gt;"Tier 1",IFERROR(INDEX('Daily Workforce'!$M$6:$M$205,MATCH('Daily Schedule'!$F$18,'Daily Workforce'!$B$6:$B$205,0)),"N")="Y",COUNTIF($HJ$1:HJ7,'Daily Schedule'!$F$18)=0),IFERROR(INDEX('Daily Workforce'!$V$6:$V$205,MATCH('Daily Schedule'!$F$18,'Daily Workforce'!$B$6:$B$205,0)),0)*1000+18,999999999)</f>
        <v>999999999</v>
      </c>
      <c r="HY8" s="1" t="n">
        <f aca="false">IF(AND('Daily Schedule'!$F$19&lt;&gt;"",'Daily Schedule'!$H$19="5:45 AM",'Daily Schedule'!$D$19&lt;&gt;"Tier 1",IFERROR(INDEX('Daily Workforce'!$M$6:$M$205,MATCH('Daily Schedule'!$F$19,'Daily Workforce'!$B$6:$B$205,0)),"N")="Y",COUNTIF($HJ$1:HJ7,'Daily Schedule'!$F$19)=0),IFERROR(INDEX('Daily Workforce'!$V$6:$V$205,MATCH('Daily Schedule'!$F$19,'Daily Workforce'!$B$6:$B$205,0)),0)*1000+19,999999999)</f>
        <v>999999999</v>
      </c>
      <c r="HZ8" s="1" t="n">
        <f aca="false">IF(AND('Daily Schedule'!$F$20&lt;&gt;"",'Daily Schedule'!$H$20="5:45 AM",'Daily Schedule'!$D$20&lt;&gt;"Tier 1",IFERROR(INDEX('Daily Workforce'!$M$6:$M$205,MATCH('Daily Schedule'!$F$20,'Daily Workforce'!$B$6:$B$205,0)),"N")="Y",COUNTIF($HJ$1:HJ7,'Daily Schedule'!$F$20)=0),IFERROR(INDEX('Daily Workforce'!$V$6:$V$205,MATCH('Daily Schedule'!$F$20,'Daily Workforce'!$B$6:$B$205,0)),0)*1000+20,999999999)</f>
        <v>999999999</v>
      </c>
      <c r="IA8" s="1" t="n">
        <f aca="false">IF(AND('Daily Schedule'!$F$21&lt;&gt;"",'Daily Schedule'!$H$21="5:45 AM",'Daily Schedule'!$D$21&lt;&gt;"Tier 1",IFERROR(INDEX('Daily Workforce'!$M$6:$M$205,MATCH('Daily Schedule'!$F$21,'Daily Workforce'!$B$6:$B$205,0)),"N")="Y",COUNTIF($HJ$1:HJ7,'Daily Schedule'!$F$21)=0),IFERROR(INDEX('Daily Workforce'!$V$6:$V$205,MATCH('Daily Schedule'!$F$21,'Daily Workforce'!$B$6:$B$205,0)),0)*1000+21,999999999)</f>
        <v>999999999</v>
      </c>
      <c r="IB8" s="1" t="n">
        <f aca="false">IF(AND('Daily Schedule'!$F$22&lt;&gt;"",'Daily Schedule'!$H$22="5:45 AM",'Daily Schedule'!$D$22&lt;&gt;"Tier 1",IFERROR(INDEX('Daily Workforce'!$M$6:$M$205,MATCH('Daily Schedule'!$F$22,'Daily Workforce'!$B$6:$B$205,0)),"N")="Y",COUNTIF($HJ$1:HJ7,'Daily Schedule'!$F$22)=0),IFERROR(INDEX('Daily Workforce'!$V$6:$V$205,MATCH('Daily Schedule'!$F$22,'Daily Workforce'!$B$6:$B$205,0)),0)*1000+22,999999999)</f>
        <v>999999999</v>
      </c>
      <c r="IC8" s="1" t="n">
        <f aca="false">IF(AND('Daily Schedule'!$F$23&lt;&gt;"",'Daily Schedule'!$H$23="5:45 AM",'Daily Schedule'!$D$23&lt;&gt;"Tier 1",IFERROR(INDEX('Daily Workforce'!$M$6:$M$205,MATCH('Daily Schedule'!$F$23,'Daily Workforce'!$B$6:$B$205,0)),"N")="Y",COUNTIF($HJ$1:HJ7,'Daily Schedule'!$F$23)=0),IFERROR(INDEX('Daily Workforce'!$V$6:$V$205,MATCH('Daily Schedule'!$F$23,'Daily Workforce'!$B$6:$B$205,0)),0)*1000+23,999999999)</f>
        <v>999999999</v>
      </c>
      <c r="ID8" s="1" t="n">
        <f aca="false">IF(AND('Daily Schedule'!$F$24&lt;&gt;"",'Daily Schedule'!$H$24="5:45 AM",'Daily Schedule'!$D$24&lt;&gt;"Tier 1",IFERROR(INDEX('Daily Workforce'!$M$6:$M$205,MATCH('Daily Schedule'!$F$24,'Daily Workforce'!$B$6:$B$205,0)),"N")="Y",COUNTIF($HJ$1:HJ7,'Daily Schedule'!$F$24)=0),IFERROR(INDEX('Daily Workforce'!$V$6:$V$205,MATCH('Daily Schedule'!$F$24,'Daily Workforce'!$B$6:$B$205,0)),0)*1000+24,999999999)</f>
        <v>999999999</v>
      </c>
      <c r="IE8" s="1" t="n">
        <f aca="false">IF(AND('Daily Schedule'!$F$25&lt;&gt;"",'Daily Schedule'!$H$25="5:45 AM",'Daily Schedule'!$D$25&lt;&gt;"Tier 1",IFERROR(INDEX('Daily Workforce'!$M$6:$M$205,MATCH('Daily Schedule'!$F$25,'Daily Workforce'!$B$6:$B$205,0)),"N")="Y",COUNTIF($HJ$1:HJ7,'Daily Schedule'!$F$25)=0),IFERROR(INDEX('Daily Workforce'!$V$6:$V$205,MATCH('Daily Schedule'!$F$25,'Daily Workforce'!$B$6:$B$205,0)),0)*1000+25,999999999)</f>
        <v>999999999</v>
      </c>
      <c r="IF8" s="1" t="n">
        <f aca="false">IF(AND('Daily Schedule'!$F$26&lt;&gt;"",'Daily Schedule'!$H$26="5:45 AM",'Daily Schedule'!$D$26&lt;&gt;"Tier 1",IFERROR(INDEX('Daily Workforce'!$M$6:$M$205,MATCH('Daily Schedule'!$F$26,'Daily Workforce'!$B$6:$B$205,0)),"N")="Y",COUNTIF($HJ$1:HJ7,'Daily Schedule'!$F$26)=0),IFERROR(INDEX('Daily Workforce'!$V$6:$V$205,MATCH('Daily Schedule'!$F$26,'Daily Workforce'!$B$6:$B$205,0)),0)*1000+26,999999999)</f>
        <v>999999999</v>
      </c>
      <c r="IG8" s="1" t="n">
        <f aca="false">IF(AND('Daily Schedule'!$F$27&lt;&gt;"",'Daily Schedule'!$H$27="5:45 AM",'Daily Schedule'!$D$27&lt;&gt;"Tier 1",IFERROR(INDEX('Daily Workforce'!$M$6:$M$205,MATCH('Daily Schedule'!$F$27,'Daily Workforce'!$B$6:$B$205,0)),"N")="Y",COUNTIF($HJ$1:HJ7,'Daily Schedule'!$F$27)=0),IFERROR(INDEX('Daily Workforce'!$V$6:$V$205,MATCH('Daily Schedule'!$F$27,'Daily Workforce'!$B$6:$B$205,0)),0)*1000+27,999999999)</f>
        <v>999999999</v>
      </c>
      <c r="IH8" s="1" t="n">
        <f aca="false">IF(AND('Daily Schedule'!$F$28&lt;&gt;"",'Daily Schedule'!$H$28="5:45 AM",'Daily Schedule'!$D$28&lt;&gt;"Tier 1",IFERROR(INDEX('Daily Workforce'!$M$6:$M$205,MATCH('Daily Schedule'!$F$28,'Daily Workforce'!$B$6:$B$205,0)),"N")="Y",COUNTIF($HJ$1:HJ7,'Daily Schedule'!$F$28)=0),IFERROR(INDEX('Daily Workforce'!$V$6:$V$205,MATCH('Daily Schedule'!$F$28,'Daily Workforce'!$B$6:$B$205,0)),0)*1000+28,999999999)</f>
        <v>999999999</v>
      </c>
      <c r="II8" s="1" t="n">
        <f aca="false">IF(AND('Daily Schedule'!$F$29&lt;&gt;"",'Daily Schedule'!$H$29="5:45 AM",'Daily Schedule'!$D$29&lt;&gt;"Tier 1",IFERROR(INDEX('Daily Workforce'!$M$6:$M$205,MATCH('Daily Schedule'!$F$29,'Daily Workforce'!$B$6:$B$205,0)),"N")="Y",COUNTIF($HJ$1:HJ7,'Daily Schedule'!$F$29)=0),IFERROR(INDEX('Daily Workforce'!$V$6:$V$205,MATCH('Daily Schedule'!$F$29,'Daily Workforce'!$B$6:$B$205,0)),0)*1000+29,999999999)</f>
        <v>999999999</v>
      </c>
      <c r="IJ8" s="1" t="n">
        <f aca="false">IF(AND('Daily Schedule'!$F$30&lt;&gt;"",'Daily Schedule'!$H$30="5:45 AM",'Daily Schedule'!$D$30&lt;&gt;"Tier 1",IFERROR(INDEX('Daily Workforce'!$M$6:$M$205,MATCH('Daily Schedule'!$F$30,'Daily Workforce'!$B$6:$B$205,0)),"N")="Y",COUNTIF($HJ$1:HJ7,'Daily Schedule'!$F$30)=0),IFERROR(INDEX('Daily Workforce'!$V$6:$V$205,MATCH('Daily Schedule'!$F$30,'Daily Workforce'!$B$6:$B$205,0)),0)*1000+30,999999999)</f>
        <v>999999999</v>
      </c>
      <c r="IK8" s="1" t="n">
        <f aca="false">IF(AND('Daily Schedule'!$F$31&lt;&gt;"",'Daily Schedule'!$H$31="5:45 AM",'Daily Schedule'!$D$31&lt;&gt;"Tier 1",IFERROR(INDEX('Daily Workforce'!$M$6:$M$205,MATCH('Daily Schedule'!$F$31,'Daily Workforce'!$B$6:$B$205,0)),"N")="Y",COUNTIF($HJ$1:HJ7,'Daily Schedule'!$F$31)=0),IFERROR(INDEX('Daily Workforce'!$V$6:$V$205,MATCH('Daily Schedule'!$F$31,'Daily Workforce'!$B$6:$B$205,0)),0)*1000+31,999999999)</f>
        <v>999999999</v>
      </c>
      <c r="IL8" s="1" t="n">
        <f aca="false">IF(AND('Daily Schedule'!$F$32&lt;&gt;"",'Daily Schedule'!$H$32="5:45 AM",'Daily Schedule'!$D$32&lt;&gt;"Tier 1",IFERROR(INDEX('Daily Workforce'!$M$6:$M$205,MATCH('Daily Schedule'!$F$32,'Daily Workforce'!$B$6:$B$205,0)),"N")="Y",COUNTIF($HJ$1:HJ7,'Daily Schedule'!$F$32)=0),IFERROR(INDEX('Daily Workforce'!$V$6:$V$205,MATCH('Daily Schedule'!$F$32,'Daily Workforce'!$B$6:$B$205,0)),0)*1000+32,999999999)</f>
        <v>999999999</v>
      </c>
      <c r="IM8" s="1" t="n">
        <f aca="false">IF(AND('Daily Schedule'!$F$33&lt;&gt;"",'Daily Schedule'!$H$33="5:45 AM",'Daily Schedule'!$D$33&lt;&gt;"Tier 1",IFERROR(INDEX('Daily Workforce'!$M$6:$M$205,MATCH('Daily Schedule'!$F$33,'Daily Workforce'!$B$6:$B$205,0)),"N")="Y",COUNTIF($HJ$1:HJ7,'Daily Schedule'!$F$33)=0),IFERROR(INDEX('Daily Workforce'!$V$6:$V$205,MATCH('Daily Schedule'!$F$33,'Daily Workforce'!$B$6:$B$205,0)),0)*1000+33,999999999)</f>
        <v>999999999</v>
      </c>
      <c r="IN8" s="1" t="n">
        <f aca="false">IF(AND('Daily Schedule'!$F$34&lt;&gt;"",'Daily Schedule'!$H$34="5:45 AM",'Daily Schedule'!$D$34&lt;&gt;"Tier 1",IFERROR(INDEX('Daily Workforce'!$M$6:$M$205,MATCH('Daily Schedule'!$F$34,'Daily Workforce'!$B$6:$B$205,0)),"N")="Y",COUNTIF($HJ$1:HJ7,'Daily Schedule'!$F$34)=0),IFERROR(INDEX('Daily Workforce'!$V$6:$V$205,MATCH('Daily Schedule'!$F$34,'Daily Workforce'!$B$6:$B$205,0)),0)*1000+34,999999999)</f>
        <v>999999999</v>
      </c>
      <c r="IO8" s="1" t="n">
        <f aca="false">IF(AND('Daily Schedule'!$F$35&lt;&gt;"",'Daily Schedule'!$H$35="5:45 AM",'Daily Schedule'!$D$35&lt;&gt;"Tier 1",IFERROR(INDEX('Daily Workforce'!$M$6:$M$205,MATCH('Daily Schedule'!$F$35,'Daily Workforce'!$B$6:$B$205,0)),"N")="Y",COUNTIF($HJ$1:HJ7,'Daily Schedule'!$F$35)=0),IFERROR(INDEX('Daily Workforce'!$V$6:$V$205,MATCH('Daily Schedule'!$F$35,'Daily Workforce'!$B$6:$B$205,0)),0)*1000+35,999999999)</f>
        <v>999999999</v>
      </c>
      <c r="IP8" s="1" t="n">
        <f aca="false">IF(AND('Daily Schedule'!$F$36&lt;&gt;"",'Daily Schedule'!$H$36="5:45 AM",'Daily Schedule'!$D$36&lt;&gt;"Tier 1",IFERROR(INDEX('Daily Workforce'!$M$6:$M$205,MATCH('Daily Schedule'!$F$36,'Daily Workforce'!$B$6:$B$205,0)),"N")="Y",COUNTIF($HJ$1:HJ7,'Daily Schedule'!$F$36)=0),IFERROR(INDEX('Daily Workforce'!$V$6:$V$205,MATCH('Daily Schedule'!$F$36,'Daily Workforce'!$B$6:$B$205,0)),0)*1000+36,999999999)</f>
        <v>36</v>
      </c>
      <c r="IQ8" s="1" t="n">
        <f aca="false">IF(AND('Daily Schedule'!$F$37&lt;&gt;"",'Daily Schedule'!$H$37="5:45 AM",'Daily Schedule'!$D$37&lt;&gt;"Tier 1",IFERROR(INDEX('Daily Workforce'!$M$6:$M$205,MATCH('Daily Schedule'!$F$37,'Daily Workforce'!$B$6:$B$205,0)),"N")="Y",COUNTIF($HJ$1:HJ7,'Daily Schedule'!$F$37)=0),IFERROR(INDEX('Daily Workforce'!$V$6:$V$205,MATCH('Daily Schedule'!$F$37,'Daily Workforce'!$B$6:$B$205,0)),0)*1000+37,999999999)</f>
        <v>37</v>
      </c>
      <c r="IR8" s="1" t="n">
        <f aca="false">IF(AND('Daily Schedule'!$F$38&lt;&gt;"",'Daily Schedule'!$H$38="5:45 AM",'Daily Schedule'!$D$38&lt;&gt;"Tier 1",IFERROR(INDEX('Daily Workforce'!$M$6:$M$205,MATCH('Daily Schedule'!$F$38,'Daily Workforce'!$B$6:$B$205,0)),"N")="Y",COUNTIF($HJ$1:HJ7,'Daily Schedule'!$F$38)=0),IFERROR(INDEX('Daily Workforce'!$V$6:$V$205,MATCH('Daily Schedule'!$F$38,'Daily Workforce'!$B$6:$B$205,0)),0)*1000+38,999999999)</f>
        <v>38</v>
      </c>
      <c r="IS8" s="1" t="n">
        <f aca="false">IF(AND('Daily Schedule'!$F$39&lt;&gt;"",'Daily Schedule'!$H$39="5:45 AM",'Daily Schedule'!$D$39&lt;&gt;"Tier 1",IFERROR(INDEX('Daily Workforce'!$M$6:$M$205,MATCH('Daily Schedule'!$F$39,'Daily Workforce'!$B$6:$B$205,0)),"N")="Y",COUNTIF($HJ$1:HJ7,'Daily Schedule'!$F$39)=0),IFERROR(INDEX('Daily Workforce'!$V$6:$V$205,MATCH('Daily Schedule'!$F$39,'Daily Workforce'!$B$6:$B$205,0)),0)*1000+39,999999999)</f>
        <v>39</v>
      </c>
      <c r="IT8" s="1" t="n">
        <f aca="false">IF(AND('Daily Schedule'!$F$40&lt;&gt;"",'Daily Schedule'!$H$40="5:45 AM",'Daily Schedule'!$D$40&lt;&gt;"Tier 1",IFERROR(INDEX('Daily Workforce'!$M$6:$M$205,MATCH('Daily Schedule'!$F$40,'Daily Workforce'!$B$6:$B$205,0)),"N")="Y",COUNTIF($HJ$1:HJ7,'Daily Schedule'!$F$40)=0),IFERROR(INDEX('Daily Workforce'!$V$6:$V$205,MATCH('Daily Schedule'!$F$40,'Daily Workforce'!$B$6:$B$205,0)),0)*1000+40,999999999)</f>
        <v>40</v>
      </c>
      <c r="IU8" s="1" t="n">
        <f aca="false">IF(AND('Daily Schedule'!$F$41&lt;&gt;"",'Daily Schedule'!$H$41="5:45 AM",'Daily Schedule'!$D$41&lt;&gt;"Tier 1",IFERROR(INDEX('Daily Workforce'!$M$6:$M$205,MATCH('Daily Schedule'!$F$41,'Daily Workforce'!$B$6:$B$205,0)),"N")="Y",COUNTIF($HJ$1:HJ7,'Daily Schedule'!$F$41)=0),IFERROR(INDEX('Daily Workforce'!$V$6:$V$205,MATCH('Daily Schedule'!$F$41,'Daily Workforce'!$B$6:$B$205,0)),0)*1000+41,999999999)</f>
        <v>41</v>
      </c>
      <c r="IV8" s="1" t="n">
        <f aca="false">IF(AND('Daily Schedule'!$F$42&lt;&gt;"",'Daily Schedule'!$H$42="5:45 AM",'Daily Schedule'!$D$42&lt;&gt;"Tier 1",IFERROR(INDEX('Daily Workforce'!$M$6:$M$205,MATCH('Daily Schedule'!$F$42,'Daily Workforce'!$B$6:$B$205,0)),"N")="Y",COUNTIF($HJ$1:HJ7,'Daily Schedule'!$F$42)=0),IFERROR(INDEX('Daily Workforce'!$V$6:$V$205,MATCH('Daily Schedule'!$F$42,'Daily Workforce'!$B$6:$B$205,0)),0)*1000+42,999999999)</f>
        <v>42</v>
      </c>
      <c r="IW8" s="1" t="n">
        <f aca="false">IF(AND('Daily Schedule'!$F$43&lt;&gt;"",'Daily Schedule'!$H$43="5:45 AM",'Daily Schedule'!$D$43&lt;&gt;"Tier 1",IFERROR(INDEX('Daily Workforce'!$M$6:$M$205,MATCH('Daily Schedule'!$F$43,'Daily Workforce'!$B$6:$B$205,0)),"N")="Y",COUNTIF($HJ$1:HJ7,'Daily Schedule'!$F$43)=0),IFERROR(INDEX('Daily Workforce'!$V$6:$V$205,MATCH('Daily Schedule'!$F$43,'Daily Workforce'!$B$6:$B$205,0)),0)*1000+43,999999999)</f>
        <v>43</v>
      </c>
      <c r="IX8" s="1" t="n">
        <f aca="false">IF(AND('Daily Schedule'!$F$44&lt;&gt;"",'Daily Schedule'!$H$44="5:45 AM",'Daily Schedule'!$D$44&lt;&gt;"Tier 1",IFERROR(INDEX('Daily Workforce'!$M$6:$M$205,MATCH('Daily Schedule'!$F$44,'Daily Workforce'!$B$6:$B$205,0)),"N")="Y",COUNTIF($HJ$1:HJ7,'Daily Schedule'!$F$44)=0),IFERROR(INDEX('Daily Workforce'!$V$6:$V$205,MATCH('Daily Schedule'!$F$44,'Daily Workforce'!$B$6:$B$205,0)),0)*1000+44,999999999)</f>
        <v>44</v>
      </c>
      <c r="IY8" s="1" t="n">
        <f aca="false">IF(AND('Daily Schedule'!$F$45&lt;&gt;"",'Daily Schedule'!$H$45="5:45 AM",'Daily Schedule'!$D$45&lt;&gt;"Tier 1",IFERROR(INDEX('Daily Workforce'!$M$6:$M$205,MATCH('Daily Schedule'!$F$45,'Daily Workforce'!$B$6:$B$205,0)),"N")="Y",COUNTIF($HJ$1:HJ7,'Daily Schedule'!$F$45)=0),IFERROR(INDEX('Daily Workforce'!$V$6:$V$205,MATCH('Daily Schedule'!$F$45,'Daily Workforce'!$B$6:$B$205,0)),0)*1000+45,999999999)</f>
        <v>45</v>
      </c>
      <c r="IZ8" s="1" t="n">
        <f aca="false">IF(AND('Daily Schedule'!$F$46&lt;&gt;"",'Daily Schedule'!$H$46="5:45 AM",'Daily Schedule'!$D$46&lt;&gt;"Tier 1",IFERROR(INDEX('Daily Workforce'!$M$6:$M$205,MATCH('Daily Schedule'!$F$46,'Daily Workforce'!$B$6:$B$205,0)),"N")="Y",COUNTIF($HJ$1:HJ7,'Daily Schedule'!$F$46)=0),IFERROR(INDEX('Daily Workforce'!$V$6:$V$205,MATCH('Daily Schedule'!$F$46,'Daily Workforce'!$B$6:$B$205,0)),0)*1000+46,999999999)</f>
        <v>46</v>
      </c>
      <c r="JA8" s="1" t="n">
        <f aca="false">IF(AND('Daily Schedule'!$F$47&lt;&gt;"",'Daily Schedule'!$H$47="5:45 AM",'Daily Schedule'!$D$47&lt;&gt;"Tier 1",IFERROR(INDEX('Daily Workforce'!$M$6:$M$205,MATCH('Daily Schedule'!$F$47,'Daily Workforce'!$B$6:$B$205,0)),"N")="Y",COUNTIF($HJ$1:HJ7,'Daily Schedule'!$F$47)=0),IFERROR(INDEX('Daily Workforce'!$V$6:$V$205,MATCH('Daily Schedule'!$F$47,'Daily Workforce'!$B$6:$B$205,0)),0)*1000+47,999999999)</f>
        <v>47</v>
      </c>
      <c r="JB8" s="1" t="n">
        <f aca="false">IF(AND('Daily Schedule'!$F$48&lt;&gt;"",'Daily Schedule'!$H$48="5:45 AM",'Daily Schedule'!$D$48&lt;&gt;"Tier 1",IFERROR(INDEX('Daily Workforce'!$M$6:$M$205,MATCH('Daily Schedule'!$F$48,'Daily Workforce'!$B$6:$B$205,0)),"N")="Y",COUNTIF($HJ$1:HJ7,'Daily Schedule'!$F$48)=0),IFERROR(INDEX('Daily Workforce'!$V$6:$V$205,MATCH('Daily Schedule'!$F$48,'Daily Workforce'!$B$6:$B$205,0)),0)*1000+48,999999999)</f>
        <v>48</v>
      </c>
      <c r="JC8" s="1" t="n">
        <f aca="false">IF(AND('Daily Schedule'!$F$49&lt;&gt;"",'Daily Schedule'!$H$49="5:45 AM",'Daily Schedule'!$D$49&lt;&gt;"Tier 1",IFERROR(INDEX('Daily Workforce'!$M$6:$M$205,MATCH('Daily Schedule'!$F$49,'Daily Workforce'!$B$6:$B$205,0)),"N")="Y",COUNTIF($HJ$1:HJ7,'Daily Schedule'!$F$49)=0),IFERROR(INDEX('Daily Workforce'!$V$6:$V$205,MATCH('Daily Schedule'!$F$49,'Daily Workforce'!$B$6:$B$205,0)),0)*1000+49,999999999)</f>
        <v>49</v>
      </c>
      <c r="JD8" s="1" t="n">
        <f aca="false">IF(AND('Daily Schedule'!$F$50&lt;&gt;"",'Daily Schedule'!$H$50="5:45 AM",'Daily Schedule'!$D$50&lt;&gt;"Tier 1",IFERROR(INDEX('Daily Workforce'!$M$6:$M$205,MATCH('Daily Schedule'!$F$50,'Daily Workforce'!$B$6:$B$205,0)),"N")="Y",COUNTIF($HJ$1:HJ7,'Daily Schedule'!$F$50)=0),IFERROR(INDEX('Daily Workforce'!$V$6:$V$205,MATCH('Daily Schedule'!$F$50,'Daily Workforce'!$B$6:$B$205,0)),0)*1000+50,999999999)</f>
        <v>50</v>
      </c>
      <c r="JE8" s="1" t="n">
        <f aca="false">IF(AND('Daily Schedule'!$F$51&lt;&gt;"",'Daily Schedule'!$H$51="5:45 AM",'Daily Schedule'!$D$51&lt;&gt;"Tier 1",IFERROR(INDEX('Daily Workforce'!$M$6:$M$205,MATCH('Daily Schedule'!$F$51,'Daily Workforce'!$B$6:$B$205,0)),"N")="Y",COUNTIF($HJ$1:HJ7,'Daily Schedule'!$F$51)=0),IFERROR(INDEX('Daily Workforce'!$V$6:$V$205,MATCH('Daily Schedule'!$F$51,'Daily Workforce'!$B$6:$B$205,0)),0)*1000+51,999999999)</f>
        <v>51</v>
      </c>
      <c r="JF8" s="1" t="n">
        <f aca="false">IF(AND('Daily Schedule'!$F$52&lt;&gt;"",'Daily Schedule'!$H$52="5:45 AM",'Daily Schedule'!$D$52&lt;&gt;"Tier 1",IFERROR(INDEX('Daily Workforce'!$M$6:$M$205,MATCH('Daily Schedule'!$F$52,'Daily Workforce'!$B$6:$B$205,0)),"N")="Y",COUNTIF($HJ$1:HJ7,'Daily Schedule'!$F$52)=0),IFERROR(INDEX('Daily Workforce'!$V$6:$V$205,MATCH('Daily Schedule'!$F$52,'Daily Workforce'!$B$6:$B$205,0)),0)*1000+52,999999999)</f>
        <v>52</v>
      </c>
      <c r="JG8" s="1" t="n">
        <f aca="false">IF(AND('Daily Schedule'!$F$53&lt;&gt;"",'Daily Schedule'!$H$53="5:45 AM",'Daily Schedule'!$D$53&lt;&gt;"Tier 1",IFERROR(INDEX('Daily Workforce'!$M$6:$M$205,MATCH('Daily Schedule'!$F$53,'Daily Workforce'!$B$6:$B$205,0)),"N")="Y",COUNTIF($HJ$1:HJ7,'Daily Schedule'!$F$53)=0),IFERROR(INDEX('Daily Workforce'!$V$6:$V$205,MATCH('Daily Schedule'!$F$53,'Daily Workforce'!$B$6:$B$205,0)),0)*1000+53,999999999)</f>
        <v>53</v>
      </c>
      <c r="JH8" s="1" t="n">
        <f aca="false">IF(AND('Daily Schedule'!$F$54&lt;&gt;"",'Daily Schedule'!$H$54="5:45 AM",'Daily Schedule'!$D$54&lt;&gt;"Tier 1",IFERROR(INDEX('Daily Workforce'!$M$6:$M$205,MATCH('Daily Schedule'!$F$54,'Daily Workforce'!$B$6:$B$205,0)),"N")="Y",COUNTIF($HJ$1:HJ7,'Daily Schedule'!$F$54)=0),IFERROR(INDEX('Daily Workforce'!$V$6:$V$205,MATCH('Daily Schedule'!$F$54,'Daily Workforce'!$B$6:$B$205,0)),0)*1000+54,999999999)</f>
        <v>54</v>
      </c>
      <c r="JI8" s="1" t="n">
        <f aca="false">IF(AND('Daily Schedule'!$F$55&lt;&gt;"",'Daily Schedule'!$H$55="5:45 AM",'Daily Schedule'!$D$55&lt;&gt;"Tier 1",IFERROR(INDEX('Daily Workforce'!$M$6:$M$205,MATCH('Daily Schedule'!$F$55,'Daily Workforce'!$B$6:$B$205,0)),"N")="Y",COUNTIF($HJ$1:HJ7,'Daily Schedule'!$F$55)=0),IFERROR(INDEX('Daily Workforce'!$V$6:$V$205,MATCH('Daily Schedule'!$F$55,'Daily Workforce'!$B$6:$B$205,0)),0)*1000+55,999999999)</f>
        <v>55</v>
      </c>
      <c r="JJ8" s="1" t="n">
        <f aca="false">IF(AND('Daily Schedule'!$F$56&lt;&gt;"",'Daily Schedule'!$H$56="5:45 AM",'Daily Schedule'!$D$56&lt;&gt;"Tier 1",IFERROR(INDEX('Daily Workforce'!$M$6:$M$205,MATCH('Daily Schedule'!$F$56,'Daily Workforce'!$B$6:$B$205,0)),"N")="Y",COUNTIF($HJ$1:HJ7,'Daily Schedule'!$F$56)=0),IFERROR(INDEX('Daily Workforce'!$V$6:$V$205,MATCH('Daily Schedule'!$F$56,'Daily Workforce'!$B$6:$B$205,0)),0)*1000+56,999999999)</f>
        <v>56</v>
      </c>
      <c r="JK8" s="1" t="n">
        <f aca="false">IF(AND('Daily Schedule'!$F$57&lt;&gt;"",'Daily Schedule'!$H$57="5:45 AM",'Daily Schedule'!$D$57&lt;&gt;"Tier 1",IFERROR(INDEX('Daily Workforce'!$M$6:$M$205,MATCH('Daily Schedule'!$F$57,'Daily Workforce'!$B$6:$B$205,0)),"N")="Y",COUNTIF($HJ$1:HJ7,'Daily Schedule'!$F$57)=0),IFERROR(INDEX('Daily Workforce'!$V$6:$V$205,MATCH('Daily Schedule'!$F$57,'Daily Workforce'!$B$6:$B$205,0)),0)*1000+57,999999999)</f>
        <v>57</v>
      </c>
      <c r="JL8" s="1" t="n">
        <v>52</v>
      </c>
      <c r="JM8" s="1" t="str">
        <f aca="false">$HJ8</f>
        <v>EMP-0051</v>
      </c>
      <c r="JN8" s="1" t="str">
        <f aca="false">IF($JM8="","",IFERROR(INDEX('Daily Schedule'!$N$6:$N$57,MATCH($JM8,'Daily Schedule'!$F$6:$F$57,0)),""))</f>
        <v>10:00 AM</v>
      </c>
      <c r="JO8" s="1" t="str">
        <f aca="false">IF(MIN(JS8:LR8)&gt;=999999999,"",IFERROR(INDEX('Daily Schedule'!$F$6:$F$57,MATCH(MIN(JS8:LR8),JS8:LR8,0)),""))</f>
        <v>EMP-0134</v>
      </c>
      <c r="JP8" s="1" t="n">
        <f aca="false">IF($JO8="","",IFERROR(INDEX('Daily Schedule'!$A$6:$A$57,MATCH($JO8,'Daily Schedule'!$F$6:$F$57,0)),""))</f>
        <v>42</v>
      </c>
      <c r="JQ8" s="1" t="str">
        <f aca="false">IF($JO8="","",IFERROR(INDEX('Daily Schedule'!$N$6:$N$57,MATCH($JO8,'Daily Schedule'!$F$6:$F$57,0)),""))</f>
        <v>9:00 AM</v>
      </c>
      <c r="JR8" s="1" t="str">
        <f aca="false">IF($JM8="","CORE GAP",IF($JO8="","RELIEF GAP",IF($JN8=$JQ8,"LUNCH CONFLICT","COVERED")))</f>
        <v>COVERED</v>
      </c>
      <c r="JS8" s="1" t="n">
        <f aca="false">IF(AND($JM8&lt;&gt;"",'Daily Schedule'!$F$6&lt;&gt;"",'Daily Schedule'!$H$6="5:45 AM",'Daily Schedule'!$D$6&lt;&gt;"Tier 1",'Daily Schedule'!$N$6&lt;&gt;$JN8,IFERROR(INDEX('Daily Workforce'!$M$6:$M$205,MATCH('Daily Schedule'!$F$6,'Daily Workforce'!$B$6:$B$205,0)),"N")="Y",COUNTIF($HJ$2:$HJ$8,'Daily Schedule'!$F$6)=0,COUNTIF($JO$1:JO7,'Daily Schedule'!$F$6)=0),IF('Daily Schedule'!$D$6="Tier 4",0,IF('Daily Schedule'!$D$6="Tier 3",1,2))*10000000+IFERROR(INDEX('Daily Workforce'!$V$6:$V$205,MATCH('Daily Schedule'!$F$6,'Daily Workforce'!$B$6:$B$205,0)),0)*1000+6,999999999)</f>
        <v>999999999</v>
      </c>
      <c r="JT8" s="1" t="n">
        <f aca="false">IF(AND($JM8&lt;&gt;"",'Daily Schedule'!$F$7&lt;&gt;"",'Daily Schedule'!$H$7="5:45 AM",'Daily Schedule'!$D$7&lt;&gt;"Tier 1",'Daily Schedule'!$N$7&lt;&gt;$JN8,IFERROR(INDEX('Daily Workforce'!$M$6:$M$205,MATCH('Daily Schedule'!$F$7,'Daily Workforce'!$B$6:$B$205,0)),"N")="Y",COUNTIF($HJ$2:$HJ$8,'Daily Schedule'!$F$7)=0,COUNTIF($JO$1:JO7,'Daily Schedule'!$F$7)=0),IF('Daily Schedule'!$D$7="Tier 4",0,IF('Daily Schedule'!$D$7="Tier 3",1,2))*10000000+IFERROR(INDEX('Daily Workforce'!$V$6:$V$205,MATCH('Daily Schedule'!$F$7,'Daily Workforce'!$B$6:$B$205,0)),0)*1000+7,999999999)</f>
        <v>999999999</v>
      </c>
      <c r="JU8" s="1" t="n">
        <f aca="false">IF(AND($JM8&lt;&gt;"",'Daily Schedule'!$F$8&lt;&gt;"",'Daily Schedule'!$H$8="5:45 AM",'Daily Schedule'!$D$8&lt;&gt;"Tier 1",'Daily Schedule'!$N$8&lt;&gt;$JN8,IFERROR(INDEX('Daily Workforce'!$M$6:$M$205,MATCH('Daily Schedule'!$F$8,'Daily Workforce'!$B$6:$B$205,0)),"N")="Y",COUNTIF($HJ$2:$HJ$8,'Daily Schedule'!$F$8)=0,COUNTIF($JO$1:JO7,'Daily Schedule'!$F$8)=0),IF('Daily Schedule'!$D$8="Tier 4",0,IF('Daily Schedule'!$D$8="Tier 3",1,2))*10000000+IFERROR(INDEX('Daily Workforce'!$V$6:$V$205,MATCH('Daily Schedule'!$F$8,'Daily Workforce'!$B$6:$B$205,0)),0)*1000+8,999999999)</f>
        <v>999999999</v>
      </c>
      <c r="JV8" s="1" t="n">
        <f aca="false">IF(AND($JM8&lt;&gt;"",'Daily Schedule'!$F$9&lt;&gt;"",'Daily Schedule'!$H$9="5:45 AM",'Daily Schedule'!$D$9&lt;&gt;"Tier 1",'Daily Schedule'!$N$9&lt;&gt;$JN8,IFERROR(INDEX('Daily Workforce'!$M$6:$M$205,MATCH('Daily Schedule'!$F$9,'Daily Workforce'!$B$6:$B$205,0)),"N")="Y",COUNTIF($HJ$2:$HJ$8,'Daily Schedule'!$F$9)=0,COUNTIF($JO$1:JO7,'Daily Schedule'!$F$9)=0),IF('Daily Schedule'!$D$9="Tier 4",0,IF('Daily Schedule'!$D$9="Tier 3",1,2))*10000000+IFERROR(INDEX('Daily Workforce'!$V$6:$V$205,MATCH('Daily Schedule'!$F$9,'Daily Workforce'!$B$6:$B$205,0)),0)*1000+9,999999999)</f>
        <v>999999999</v>
      </c>
      <c r="JW8" s="1" t="n">
        <f aca="false">IF(AND($JM8&lt;&gt;"",'Daily Schedule'!$F$10&lt;&gt;"",'Daily Schedule'!$H$10="5:45 AM",'Daily Schedule'!$D$10&lt;&gt;"Tier 1",'Daily Schedule'!$N$10&lt;&gt;$JN8,IFERROR(INDEX('Daily Workforce'!$M$6:$M$205,MATCH('Daily Schedule'!$F$10,'Daily Workforce'!$B$6:$B$205,0)),"N")="Y",COUNTIF($HJ$2:$HJ$8,'Daily Schedule'!$F$10)=0,COUNTIF($JO$1:JO7,'Daily Schedule'!$F$10)=0),IF('Daily Schedule'!$D$10="Tier 4",0,IF('Daily Schedule'!$D$10="Tier 3",1,2))*10000000+IFERROR(INDEX('Daily Workforce'!$V$6:$V$205,MATCH('Daily Schedule'!$F$10,'Daily Workforce'!$B$6:$B$205,0)),0)*1000+10,999999999)</f>
        <v>999999999</v>
      </c>
      <c r="JX8" s="1" t="n">
        <f aca="false">IF(AND($JM8&lt;&gt;"",'Daily Schedule'!$F$11&lt;&gt;"",'Daily Schedule'!$H$11="5:45 AM",'Daily Schedule'!$D$11&lt;&gt;"Tier 1",'Daily Schedule'!$N$11&lt;&gt;$JN8,IFERROR(INDEX('Daily Workforce'!$M$6:$M$205,MATCH('Daily Schedule'!$F$11,'Daily Workforce'!$B$6:$B$205,0)),"N")="Y",COUNTIF($HJ$2:$HJ$8,'Daily Schedule'!$F$11)=0,COUNTIF($JO$1:JO7,'Daily Schedule'!$F$11)=0),IF('Daily Schedule'!$D$11="Tier 4",0,IF('Daily Schedule'!$D$11="Tier 3",1,2))*10000000+IFERROR(INDEX('Daily Workforce'!$V$6:$V$205,MATCH('Daily Schedule'!$F$11,'Daily Workforce'!$B$6:$B$205,0)),0)*1000+11,999999999)</f>
        <v>999999999</v>
      </c>
      <c r="JY8" s="1" t="n">
        <f aca="false">IF(AND($JM8&lt;&gt;"",'Daily Schedule'!$F$12&lt;&gt;"",'Daily Schedule'!$H$12="5:45 AM",'Daily Schedule'!$D$12&lt;&gt;"Tier 1",'Daily Schedule'!$N$12&lt;&gt;$JN8,IFERROR(INDEX('Daily Workforce'!$M$6:$M$205,MATCH('Daily Schedule'!$F$12,'Daily Workforce'!$B$6:$B$205,0)),"N")="Y",COUNTIF($HJ$2:$HJ$8,'Daily Schedule'!$F$12)=0,COUNTIF($JO$1:JO7,'Daily Schedule'!$F$12)=0),IF('Daily Schedule'!$D$12="Tier 4",0,IF('Daily Schedule'!$D$12="Tier 3",1,2))*10000000+IFERROR(INDEX('Daily Workforce'!$V$6:$V$205,MATCH('Daily Schedule'!$F$12,'Daily Workforce'!$B$6:$B$205,0)),0)*1000+12,999999999)</f>
        <v>999999999</v>
      </c>
      <c r="JZ8" s="1" t="n">
        <f aca="false">IF(AND($JM8&lt;&gt;"",'Daily Schedule'!$F$13&lt;&gt;"",'Daily Schedule'!$H$13="5:45 AM",'Daily Schedule'!$D$13&lt;&gt;"Tier 1",'Daily Schedule'!$N$13&lt;&gt;$JN8,IFERROR(INDEX('Daily Workforce'!$M$6:$M$205,MATCH('Daily Schedule'!$F$13,'Daily Workforce'!$B$6:$B$205,0)),"N")="Y",COUNTIF($HJ$2:$HJ$8,'Daily Schedule'!$F$13)=0,COUNTIF($JO$1:JO7,'Daily Schedule'!$F$13)=0),IF('Daily Schedule'!$D$13="Tier 4",0,IF('Daily Schedule'!$D$13="Tier 3",1,2))*10000000+IFERROR(INDEX('Daily Workforce'!$V$6:$V$205,MATCH('Daily Schedule'!$F$13,'Daily Workforce'!$B$6:$B$205,0)),0)*1000+13,999999999)</f>
        <v>999999999</v>
      </c>
      <c r="KA8" s="1" t="n">
        <f aca="false">IF(AND($JM8&lt;&gt;"",'Daily Schedule'!$F$14&lt;&gt;"",'Daily Schedule'!$H$14="5:45 AM",'Daily Schedule'!$D$14&lt;&gt;"Tier 1",'Daily Schedule'!$N$14&lt;&gt;$JN8,IFERROR(INDEX('Daily Workforce'!$M$6:$M$205,MATCH('Daily Schedule'!$F$14,'Daily Workforce'!$B$6:$B$205,0)),"N")="Y",COUNTIF($HJ$2:$HJ$8,'Daily Schedule'!$F$14)=0,COUNTIF($JO$1:JO7,'Daily Schedule'!$F$14)=0),IF('Daily Schedule'!$D$14="Tier 4",0,IF('Daily Schedule'!$D$14="Tier 3",1,2))*10000000+IFERROR(INDEX('Daily Workforce'!$V$6:$V$205,MATCH('Daily Schedule'!$F$14,'Daily Workforce'!$B$6:$B$205,0)),0)*1000+14,999999999)</f>
        <v>999999999</v>
      </c>
      <c r="KB8" s="1" t="n">
        <f aca="false">IF(AND($JM8&lt;&gt;"",'Daily Schedule'!$F$15&lt;&gt;"",'Daily Schedule'!$H$15="5:45 AM",'Daily Schedule'!$D$15&lt;&gt;"Tier 1",'Daily Schedule'!$N$15&lt;&gt;$JN8,IFERROR(INDEX('Daily Workforce'!$M$6:$M$205,MATCH('Daily Schedule'!$F$15,'Daily Workforce'!$B$6:$B$205,0)),"N")="Y",COUNTIF($HJ$2:$HJ$8,'Daily Schedule'!$F$15)=0,COUNTIF($JO$1:JO7,'Daily Schedule'!$F$15)=0),IF('Daily Schedule'!$D$15="Tier 4",0,IF('Daily Schedule'!$D$15="Tier 3",1,2))*10000000+IFERROR(INDEX('Daily Workforce'!$V$6:$V$205,MATCH('Daily Schedule'!$F$15,'Daily Workforce'!$B$6:$B$205,0)),0)*1000+15,999999999)</f>
        <v>999999999</v>
      </c>
      <c r="KC8" s="1" t="n">
        <f aca="false">IF(AND($JM8&lt;&gt;"",'Daily Schedule'!$F$16&lt;&gt;"",'Daily Schedule'!$H$16="5:45 AM",'Daily Schedule'!$D$16&lt;&gt;"Tier 1",'Daily Schedule'!$N$16&lt;&gt;$JN8,IFERROR(INDEX('Daily Workforce'!$M$6:$M$205,MATCH('Daily Schedule'!$F$16,'Daily Workforce'!$B$6:$B$205,0)),"N")="Y",COUNTIF($HJ$2:$HJ$8,'Daily Schedule'!$F$16)=0,COUNTIF($JO$1:JO7,'Daily Schedule'!$F$16)=0),IF('Daily Schedule'!$D$16="Tier 4",0,IF('Daily Schedule'!$D$16="Tier 3",1,2))*10000000+IFERROR(INDEX('Daily Workforce'!$V$6:$V$205,MATCH('Daily Schedule'!$F$16,'Daily Workforce'!$B$6:$B$205,0)),0)*1000+16,999999999)</f>
        <v>999999999</v>
      </c>
      <c r="KD8" s="1" t="n">
        <f aca="false">IF(AND($JM8&lt;&gt;"",'Daily Schedule'!$F$17&lt;&gt;"",'Daily Schedule'!$H$17="5:45 AM",'Daily Schedule'!$D$17&lt;&gt;"Tier 1",'Daily Schedule'!$N$17&lt;&gt;$JN8,IFERROR(INDEX('Daily Workforce'!$M$6:$M$205,MATCH('Daily Schedule'!$F$17,'Daily Workforce'!$B$6:$B$205,0)),"N")="Y",COUNTIF($HJ$2:$HJ$8,'Daily Schedule'!$F$17)=0,COUNTIF($JO$1:JO7,'Daily Schedule'!$F$17)=0),IF('Daily Schedule'!$D$17="Tier 4",0,IF('Daily Schedule'!$D$17="Tier 3",1,2))*10000000+IFERROR(INDEX('Daily Workforce'!$V$6:$V$205,MATCH('Daily Schedule'!$F$17,'Daily Workforce'!$B$6:$B$205,0)),0)*1000+17,999999999)</f>
        <v>999999999</v>
      </c>
      <c r="KE8" s="1" t="n">
        <f aca="false">IF(AND($JM8&lt;&gt;"",'Daily Schedule'!$F$18&lt;&gt;"",'Daily Schedule'!$H$18="5:45 AM",'Daily Schedule'!$D$18&lt;&gt;"Tier 1",'Daily Schedule'!$N$18&lt;&gt;$JN8,IFERROR(INDEX('Daily Workforce'!$M$6:$M$205,MATCH('Daily Schedule'!$F$18,'Daily Workforce'!$B$6:$B$205,0)),"N")="Y",COUNTIF($HJ$2:$HJ$8,'Daily Schedule'!$F$18)=0,COUNTIF($JO$1:JO7,'Daily Schedule'!$F$18)=0),IF('Daily Schedule'!$D$18="Tier 4",0,IF('Daily Schedule'!$D$18="Tier 3",1,2))*10000000+IFERROR(INDEX('Daily Workforce'!$V$6:$V$205,MATCH('Daily Schedule'!$F$18,'Daily Workforce'!$B$6:$B$205,0)),0)*1000+18,999999999)</f>
        <v>999999999</v>
      </c>
      <c r="KF8" s="1" t="n">
        <f aca="false">IF(AND($JM8&lt;&gt;"",'Daily Schedule'!$F$19&lt;&gt;"",'Daily Schedule'!$H$19="5:45 AM",'Daily Schedule'!$D$19&lt;&gt;"Tier 1",'Daily Schedule'!$N$19&lt;&gt;$JN8,IFERROR(INDEX('Daily Workforce'!$M$6:$M$205,MATCH('Daily Schedule'!$F$19,'Daily Workforce'!$B$6:$B$205,0)),"N")="Y",COUNTIF($HJ$2:$HJ$8,'Daily Schedule'!$F$19)=0,COUNTIF($JO$1:JO7,'Daily Schedule'!$F$19)=0),IF('Daily Schedule'!$D$19="Tier 4",0,IF('Daily Schedule'!$D$19="Tier 3",1,2))*10000000+IFERROR(INDEX('Daily Workforce'!$V$6:$V$205,MATCH('Daily Schedule'!$F$19,'Daily Workforce'!$B$6:$B$205,0)),0)*1000+19,999999999)</f>
        <v>999999999</v>
      </c>
      <c r="KG8" s="1" t="n">
        <f aca="false">IF(AND($JM8&lt;&gt;"",'Daily Schedule'!$F$20&lt;&gt;"",'Daily Schedule'!$H$20="5:45 AM",'Daily Schedule'!$D$20&lt;&gt;"Tier 1",'Daily Schedule'!$N$20&lt;&gt;$JN8,IFERROR(INDEX('Daily Workforce'!$M$6:$M$205,MATCH('Daily Schedule'!$F$20,'Daily Workforce'!$B$6:$B$205,0)),"N")="Y",COUNTIF($HJ$2:$HJ$8,'Daily Schedule'!$F$20)=0,COUNTIF($JO$1:JO7,'Daily Schedule'!$F$20)=0),IF('Daily Schedule'!$D$20="Tier 4",0,IF('Daily Schedule'!$D$20="Tier 3",1,2))*10000000+IFERROR(INDEX('Daily Workforce'!$V$6:$V$205,MATCH('Daily Schedule'!$F$20,'Daily Workforce'!$B$6:$B$205,0)),0)*1000+20,999999999)</f>
        <v>999999999</v>
      </c>
      <c r="KH8" s="1" t="n">
        <f aca="false">IF(AND($JM8&lt;&gt;"",'Daily Schedule'!$F$21&lt;&gt;"",'Daily Schedule'!$H$21="5:45 AM",'Daily Schedule'!$D$21&lt;&gt;"Tier 1",'Daily Schedule'!$N$21&lt;&gt;$JN8,IFERROR(INDEX('Daily Workforce'!$M$6:$M$205,MATCH('Daily Schedule'!$F$21,'Daily Workforce'!$B$6:$B$205,0)),"N")="Y",COUNTIF($HJ$2:$HJ$8,'Daily Schedule'!$F$21)=0,COUNTIF($JO$1:JO7,'Daily Schedule'!$F$21)=0),IF('Daily Schedule'!$D$21="Tier 4",0,IF('Daily Schedule'!$D$21="Tier 3",1,2))*10000000+IFERROR(INDEX('Daily Workforce'!$V$6:$V$205,MATCH('Daily Schedule'!$F$21,'Daily Workforce'!$B$6:$B$205,0)),0)*1000+21,999999999)</f>
        <v>999999999</v>
      </c>
      <c r="KI8" s="1" t="n">
        <f aca="false">IF(AND($JM8&lt;&gt;"",'Daily Schedule'!$F$22&lt;&gt;"",'Daily Schedule'!$H$22="5:45 AM",'Daily Schedule'!$D$22&lt;&gt;"Tier 1",'Daily Schedule'!$N$22&lt;&gt;$JN8,IFERROR(INDEX('Daily Workforce'!$M$6:$M$205,MATCH('Daily Schedule'!$F$22,'Daily Workforce'!$B$6:$B$205,0)),"N")="Y",COUNTIF($HJ$2:$HJ$8,'Daily Schedule'!$F$22)=0,COUNTIF($JO$1:JO7,'Daily Schedule'!$F$22)=0),IF('Daily Schedule'!$D$22="Tier 4",0,IF('Daily Schedule'!$D$22="Tier 3",1,2))*10000000+IFERROR(INDEX('Daily Workforce'!$V$6:$V$205,MATCH('Daily Schedule'!$F$22,'Daily Workforce'!$B$6:$B$205,0)),0)*1000+22,999999999)</f>
        <v>999999999</v>
      </c>
      <c r="KJ8" s="1" t="n">
        <f aca="false">IF(AND($JM8&lt;&gt;"",'Daily Schedule'!$F$23&lt;&gt;"",'Daily Schedule'!$H$23="5:45 AM",'Daily Schedule'!$D$23&lt;&gt;"Tier 1",'Daily Schedule'!$N$23&lt;&gt;$JN8,IFERROR(INDEX('Daily Workforce'!$M$6:$M$205,MATCH('Daily Schedule'!$F$23,'Daily Workforce'!$B$6:$B$205,0)),"N")="Y",COUNTIF($HJ$2:$HJ$8,'Daily Schedule'!$F$23)=0,COUNTIF($JO$1:JO7,'Daily Schedule'!$F$23)=0),IF('Daily Schedule'!$D$23="Tier 4",0,IF('Daily Schedule'!$D$23="Tier 3",1,2))*10000000+IFERROR(INDEX('Daily Workforce'!$V$6:$V$205,MATCH('Daily Schedule'!$F$23,'Daily Workforce'!$B$6:$B$205,0)),0)*1000+23,999999999)</f>
        <v>999999999</v>
      </c>
      <c r="KK8" s="1" t="n">
        <f aca="false">IF(AND($JM8&lt;&gt;"",'Daily Schedule'!$F$24&lt;&gt;"",'Daily Schedule'!$H$24="5:45 AM",'Daily Schedule'!$D$24&lt;&gt;"Tier 1",'Daily Schedule'!$N$24&lt;&gt;$JN8,IFERROR(INDEX('Daily Workforce'!$M$6:$M$205,MATCH('Daily Schedule'!$F$24,'Daily Workforce'!$B$6:$B$205,0)),"N")="Y",COUNTIF($HJ$2:$HJ$8,'Daily Schedule'!$F$24)=0,COUNTIF($JO$1:JO7,'Daily Schedule'!$F$24)=0),IF('Daily Schedule'!$D$24="Tier 4",0,IF('Daily Schedule'!$D$24="Tier 3",1,2))*10000000+IFERROR(INDEX('Daily Workforce'!$V$6:$V$205,MATCH('Daily Schedule'!$F$24,'Daily Workforce'!$B$6:$B$205,0)),0)*1000+24,999999999)</f>
        <v>999999999</v>
      </c>
      <c r="KL8" s="1" t="n">
        <f aca="false">IF(AND($JM8&lt;&gt;"",'Daily Schedule'!$F$25&lt;&gt;"",'Daily Schedule'!$H$25="5:45 AM",'Daily Schedule'!$D$25&lt;&gt;"Tier 1",'Daily Schedule'!$N$25&lt;&gt;$JN8,IFERROR(INDEX('Daily Workforce'!$M$6:$M$205,MATCH('Daily Schedule'!$F$25,'Daily Workforce'!$B$6:$B$205,0)),"N")="Y",COUNTIF($HJ$2:$HJ$8,'Daily Schedule'!$F$25)=0,COUNTIF($JO$1:JO7,'Daily Schedule'!$F$25)=0),IF('Daily Schedule'!$D$25="Tier 4",0,IF('Daily Schedule'!$D$25="Tier 3",1,2))*10000000+IFERROR(INDEX('Daily Workforce'!$V$6:$V$205,MATCH('Daily Schedule'!$F$25,'Daily Workforce'!$B$6:$B$205,0)),0)*1000+25,999999999)</f>
        <v>999999999</v>
      </c>
      <c r="KM8" s="1" t="n">
        <f aca="false">IF(AND($JM8&lt;&gt;"",'Daily Schedule'!$F$26&lt;&gt;"",'Daily Schedule'!$H$26="5:45 AM",'Daily Schedule'!$D$26&lt;&gt;"Tier 1",'Daily Schedule'!$N$26&lt;&gt;$JN8,IFERROR(INDEX('Daily Workforce'!$M$6:$M$205,MATCH('Daily Schedule'!$F$26,'Daily Workforce'!$B$6:$B$205,0)),"N")="Y",COUNTIF($HJ$2:$HJ$8,'Daily Schedule'!$F$26)=0,COUNTIF($JO$1:JO7,'Daily Schedule'!$F$26)=0),IF('Daily Schedule'!$D$26="Tier 4",0,IF('Daily Schedule'!$D$26="Tier 3",1,2))*10000000+IFERROR(INDEX('Daily Workforce'!$V$6:$V$205,MATCH('Daily Schedule'!$F$26,'Daily Workforce'!$B$6:$B$205,0)),0)*1000+26,999999999)</f>
        <v>999999999</v>
      </c>
      <c r="KN8" s="1" t="n">
        <f aca="false">IF(AND($JM8&lt;&gt;"",'Daily Schedule'!$F$27&lt;&gt;"",'Daily Schedule'!$H$27="5:45 AM",'Daily Schedule'!$D$27&lt;&gt;"Tier 1",'Daily Schedule'!$N$27&lt;&gt;$JN8,IFERROR(INDEX('Daily Workforce'!$M$6:$M$205,MATCH('Daily Schedule'!$F$27,'Daily Workforce'!$B$6:$B$205,0)),"N")="Y",COUNTIF($HJ$2:$HJ$8,'Daily Schedule'!$F$27)=0,COUNTIF($JO$1:JO7,'Daily Schedule'!$F$27)=0),IF('Daily Schedule'!$D$27="Tier 4",0,IF('Daily Schedule'!$D$27="Tier 3",1,2))*10000000+IFERROR(INDEX('Daily Workforce'!$V$6:$V$205,MATCH('Daily Schedule'!$F$27,'Daily Workforce'!$B$6:$B$205,0)),0)*1000+27,999999999)</f>
        <v>999999999</v>
      </c>
      <c r="KO8" s="1" t="n">
        <f aca="false">IF(AND($JM8&lt;&gt;"",'Daily Schedule'!$F$28&lt;&gt;"",'Daily Schedule'!$H$28="5:45 AM",'Daily Schedule'!$D$28&lt;&gt;"Tier 1",'Daily Schedule'!$N$28&lt;&gt;$JN8,IFERROR(INDEX('Daily Workforce'!$M$6:$M$205,MATCH('Daily Schedule'!$F$28,'Daily Workforce'!$B$6:$B$205,0)),"N")="Y",COUNTIF($HJ$2:$HJ$8,'Daily Schedule'!$F$28)=0,COUNTIF($JO$1:JO7,'Daily Schedule'!$F$28)=0),IF('Daily Schedule'!$D$28="Tier 4",0,IF('Daily Schedule'!$D$28="Tier 3",1,2))*10000000+IFERROR(INDEX('Daily Workforce'!$V$6:$V$205,MATCH('Daily Schedule'!$F$28,'Daily Workforce'!$B$6:$B$205,0)),0)*1000+28,999999999)</f>
        <v>999999999</v>
      </c>
      <c r="KP8" s="1" t="n">
        <f aca="false">IF(AND($JM8&lt;&gt;"",'Daily Schedule'!$F$29&lt;&gt;"",'Daily Schedule'!$H$29="5:45 AM",'Daily Schedule'!$D$29&lt;&gt;"Tier 1",'Daily Schedule'!$N$29&lt;&gt;$JN8,IFERROR(INDEX('Daily Workforce'!$M$6:$M$205,MATCH('Daily Schedule'!$F$29,'Daily Workforce'!$B$6:$B$205,0)),"N")="Y",COUNTIF($HJ$2:$HJ$8,'Daily Schedule'!$F$29)=0,COUNTIF($JO$1:JO7,'Daily Schedule'!$F$29)=0),IF('Daily Schedule'!$D$29="Tier 4",0,IF('Daily Schedule'!$D$29="Tier 3",1,2))*10000000+IFERROR(INDEX('Daily Workforce'!$V$6:$V$205,MATCH('Daily Schedule'!$F$29,'Daily Workforce'!$B$6:$B$205,0)),0)*1000+29,999999999)</f>
        <v>999999999</v>
      </c>
      <c r="KQ8" s="1" t="n">
        <f aca="false">IF(AND($JM8&lt;&gt;"",'Daily Schedule'!$F$30&lt;&gt;"",'Daily Schedule'!$H$30="5:45 AM",'Daily Schedule'!$D$30&lt;&gt;"Tier 1",'Daily Schedule'!$N$30&lt;&gt;$JN8,IFERROR(INDEX('Daily Workforce'!$M$6:$M$205,MATCH('Daily Schedule'!$F$30,'Daily Workforce'!$B$6:$B$205,0)),"N")="Y",COUNTIF($HJ$2:$HJ$8,'Daily Schedule'!$F$30)=0,COUNTIF($JO$1:JO7,'Daily Schedule'!$F$30)=0),IF('Daily Schedule'!$D$30="Tier 4",0,IF('Daily Schedule'!$D$30="Tier 3",1,2))*10000000+IFERROR(INDEX('Daily Workforce'!$V$6:$V$205,MATCH('Daily Schedule'!$F$30,'Daily Workforce'!$B$6:$B$205,0)),0)*1000+30,999999999)</f>
        <v>999999999</v>
      </c>
      <c r="KR8" s="1" t="n">
        <f aca="false">IF(AND($JM8&lt;&gt;"",'Daily Schedule'!$F$31&lt;&gt;"",'Daily Schedule'!$H$31="5:45 AM",'Daily Schedule'!$D$31&lt;&gt;"Tier 1",'Daily Schedule'!$N$31&lt;&gt;$JN8,IFERROR(INDEX('Daily Workforce'!$M$6:$M$205,MATCH('Daily Schedule'!$F$31,'Daily Workforce'!$B$6:$B$205,0)),"N")="Y",COUNTIF($HJ$2:$HJ$8,'Daily Schedule'!$F$31)=0,COUNTIF($JO$1:JO7,'Daily Schedule'!$F$31)=0),IF('Daily Schedule'!$D$31="Tier 4",0,IF('Daily Schedule'!$D$31="Tier 3",1,2))*10000000+IFERROR(INDEX('Daily Workforce'!$V$6:$V$205,MATCH('Daily Schedule'!$F$31,'Daily Workforce'!$B$6:$B$205,0)),0)*1000+31,999999999)</f>
        <v>999999999</v>
      </c>
      <c r="KS8" s="1" t="n">
        <f aca="false">IF(AND($JM8&lt;&gt;"",'Daily Schedule'!$F$32&lt;&gt;"",'Daily Schedule'!$H$32="5:45 AM",'Daily Schedule'!$D$32&lt;&gt;"Tier 1",'Daily Schedule'!$N$32&lt;&gt;$JN8,IFERROR(INDEX('Daily Workforce'!$M$6:$M$205,MATCH('Daily Schedule'!$F$32,'Daily Workforce'!$B$6:$B$205,0)),"N")="Y",COUNTIF($HJ$2:$HJ$8,'Daily Schedule'!$F$32)=0,COUNTIF($JO$1:JO7,'Daily Schedule'!$F$32)=0),IF('Daily Schedule'!$D$32="Tier 4",0,IF('Daily Schedule'!$D$32="Tier 3",1,2))*10000000+IFERROR(INDEX('Daily Workforce'!$V$6:$V$205,MATCH('Daily Schedule'!$F$32,'Daily Workforce'!$B$6:$B$205,0)),0)*1000+32,999999999)</f>
        <v>999999999</v>
      </c>
      <c r="KT8" s="1" t="n">
        <f aca="false">IF(AND($JM8&lt;&gt;"",'Daily Schedule'!$F$33&lt;&gt;"",'Daily Schedule'!$H$33="5:45 AM",'Daily Schedule'!$D$33&lt;&gt;"Tier 1",'Daily Schedule'!$N$33&lt;&gt;$JN8,IFERROR(INDEX('Daily Workforce'!$M$6:$M$205,MATCH('Daily Schedule'!$F$33,'Daily Workforce'!$B$6:$B$205,0)),"N")="Y",COUNTIF($HJ$2:$HJ$8,'Daily Schedule'!$F$33)=0,COUNTIF($JO$1:JO7,'Daily Schedule'!$F$33)=0),IF('Daily Schedule'!$D$33="Tier 4",0,IF('Daily Schedule'!$D$33="Tier 3",1,2))*10000000+IFERROR(INDEX('Daily Workforce'!$V$6:$V$205,MATCH('Daily Schedule'!$F$33,'Daily Workforce'!$B$6:$B$205,0)),0)*1000+33,999999999)</f>
        <v>999999999</v>
      </c>
      <c r="KU8" s="1" t="n">
        <f aca="false">IF(AND($JM8&lt;&gt;"",'Daily Schedule'!$F$34&lt;&gt;"",'Daily Schedule'!$H$34="5:45 AM",'Daily Schedule'!$D$34&lt;&gt;"Tier 1",'Daily Schedule'!$N$34&lt;&gt;$JN8,IFERROR(INDEX('Daily Workforce'!$M$6:$M$205,MATCH('Daily Schedule'!$F$34,'Daily Workforce'!$B$6:$B$205,0)),"N")="Y",COUNTIF($HJ$2:$HJ$8,'Daily Schedule'!$F$34)=0,COUNTIF($JO$1:JO7,'Daily Schedule'!$F$34)=0),IF('Daily Schedule'!$D$34="Tier 4",0,IF('Daily Schedule'!$D$34="Tier 3",1,2))*10000000+IFERROR(INDEX('Daily Workforce'!$V$6:$V$205,MATCH('Daily Schedule'!$F$34,'Daily Workforce'!$B$6:$B$205,0)),0)*1000+34,999999999)</f>
        <v>999999999</v>
      </c>
      <c r="KV8" s="1" t="n">
        <f aca="false">IF(AND($JM8&lt;&gt;"",'Daily Schedule'!$F$35&lt;&gt;"",'Daily Schedule'!$H$35="5:45 AM",'Daily Schedule'!$D$35&lt;&gt;"Tier 1",'Daily Schedule'!$N$35&lt;&gt;$JN8,IFERROR(INDEX('Daily Workforce'!$M$6:$M$205,MATCH('Daily Schedule'!$F$35,'Daily Workforce'!$B$6:$B$205,0)),"N")="Y",COUNTIF($HJ$2:$HJ$8,'Daily Schedule'!$F$35)=0,COUNTIF($JO$1:JO7,'Daily Schedule'!$F$35)=0),IF('Daily Schedule'!$D$35="Tier 4",0,IF('Daily Schedule'!$D$35="Tier 3",1,2))*10000000+IFERROR(INDEX('Daily Workforce'!$V$6:$V$205,MATCH('Daily Schedule'!$F$35,'Daily Workforce'!$B$6:$B$205,0)),0)*1000+35,999999999)</f>
        <v>999999999</v>
      </c>
      <c r="KW8" s="1" t="n">
        <f aca="false">IF(AND($JM8&lt;&gt;"",'Daily Schedule'!$F$36&lt;&gt;"",'Daily Schedule'!$H$36="5:45 AM",'Daily Schedule'!$D$36&lt;&gt;"Tier 1",'Daily Schedule'!$N$36&lt;&gt;$JN8,IFERROR(INDEX('Daily Workforce'!$M$6:$M$205,MATCH('Daily Schedule'!$F$36,'Daily Workforce'!$B$6:$B$205,0)),"N")="Y",COUNTIF($HJ$2:$HJ$8,'Daily Schedule'!$F$36)=0,COUNTIF($JO$1:JO7,'Daily Schedule'!$F$36)=0),IF('Daily Schedule'!$D$36="Tier 4",0,IF('Daily Schedule'!$D$36="Tier 3",1,2))*10000000+IFERROR(INDEX('Daily Workforce'!$V$6:$V$205,MATCH('Daily Schedule'!$F$36,'Daily Workforce'!$B$6:$B$205,0)),0)*1000+36,999999999)</f>
        <v>999999999</v>
      </c>
      <c r="KX8" s="1" t="n">
        <f aca="false">IF(AND($JM8&lt;&gt;"",'Daily Schedule'!$F$37&lt;&gt;"",'Daily Schedule'!$H$37="5:45 AM",'Daily Schedule'!$D$37&lt;&gt;"Tier 1",'Daily Schedule'!$N$37&lt;&gt;$JN8,IFERROR(INDEX('Daily Workforce'!$M$6:$M$205,MATCH('Daily Schedule'!$F$37,'Daily Workforce'!$B$6:$B$205,0)),"N")="Y",COUNTIF($HJ$2:$HJ$8,'Daily Schedule'!$F$37)=0,COUNTIF($JO$1:JO7,'Daily Schedule'!$F$37)=0),IF('Daily Schedule'!$D$37="Tier 4",0,IF('Daily Schedule'!$D$37="Tier 3",1,2))*10000000+IFERROR(INDEX('Daily Workforce'!$V$6:$V$205,MATCH('Daily Schedule'!$F$37,'Daily Workforce'!$B$6:$B$205,0)),0)*1000+37,999999999)</f>
        <v>20000037</v>
      </c>
      <c r="KY8" s="1" t="n">
        <f aca="false">IF(AND($JM8&lt;&gt;"",'Daily Schedule'!$F$38&lt;&gt;"",'Daily Schedule'!$H$38="5:45 AM",'Daily Schedule'!$D$38&lt;&gt;"Tier 1",'Daily Schedule'!$N$38&lt;&gt;$JN8,IFERROR(INDEX('Daily Workforce'!$M$6:$M$205,MATCH('Daily Schedule'!$F$38,'Daily Workforce'!$B$6:$B$205,0)),"N")="Y",COUNTIF($HJ$2:$HJ$8,'Daily Schedule'!$F$38)=0,COUNTIF($JO$1:JO7,'Daily Schedule'!$F$38)=0),IF('Daily Schedule'!$D$38="Tier 4",0,IF('Daily Schedule'!$D$38="Tier 3",1,2))*10000000+IFERROR(INDEX('Daily Workforce'!$V$6:$V$205,MATCH('Daily Schedule'!$F$38,'Daily Workforce'!$B$6:$B$205,0)),0)*1000+38,999999999)</f>
        <v>999999999</v>
      </c>
      <c r="KZ8" s="1" t="n">
        <f aca="false">IF(AND($JM8&lt;&gt;"",'Daily Schedule'!$F$39&lt;&gt;"",'Daily Schedule'!$H$39="5:45 AM",'Daily Schedule'!$D$39&lt;&gt;"Tier 1",'Daily Schedule'!$N$39&lt;&gt;$JN8,IFERROR(INDEX('Daily Workforce'!$M$6:$M$205,MATCH('Daily Schedule'!$F$39,'Daily Workforce'!$B$6:$B$205,0)),"N")="Y",COUNTIF($HJ$2:$HJ$8,'Daily Schedule'!$F$39)=0,COUNTIF($JO$1:JO7,'Daily Schedule'!$F$39)=0),IF('Daily Schedule'!$D$39="Tier 4",0,IF('Daily Schedule'!$D$39="Tier 3",1,2))*10000000+IFERROR(INDEX('Daily Workforce'!$V$6:$V$205,MATCH('Daily Schedule'!$F$39,'Daily Workforce'!$B$6:$B$205,0)),0)*1000+39,999999999)</f>
        <v>999999999</v>
      </c>
      <c r="LA8" s="1" t="n">
        <f aca="false">IF(AND($JM8&lt;&gt;"",'Daily Schedule'!$F$40&lt;&gt;"",'Daily Schedule'!$H$40="5:45 AM",'Daily Schedule'!$D$40&lt;&gt;"Tier 1",'Daily Schedule'!$N$40&lt;&gt;$JN8,IFERROR(INDEX('Daily Workforce'!$M$6:$M$205,MATCH('Daily Schedule'!$F$40,'Daily Workforce'!$B$6:$B$205,0)),"N")="Y",COUNTIF($HJ$2:$HJ$8,'Daily Schedule'!$F$40)=0,COUNTIF($JO$1:JO7,'Daily Schedule'!$F$40)=0),IF('Daily Schedule'!$D$40="Tier 4",0,IF('Daily Schedule'!$D$40="Tier 3",1,2))*10000000+IFERROR(INDEX('Daily Workforce'!$V$6:$V$205,MATCH('Daily Schedule'!$F$40,'Daily Workforce'!$B$6:$B$205,0)),0)*1000+40,999999999)</f>
        <v>10000040</v>
      </c>
      <c r="LB8" s="1" t="n">
        <f aca="false">IF(AND($JM8&lt;&gt;"",'Daily Schedule'!$F$41&lt;&gt;"",'Daily Schedule'!$H$41="5:45 AM",'Daily Schedule'!$D$41&lt;&gt;"Tier 1",'Daily Schedule'!$N$41&lt;&gt;$JN8,IFERROR(INDEX('Daily Workforce'!$M$6:$M$205,MATCH('Daily Schedule'!$F$41,'Daily Workforce'!$B$6:$B$205,0)),"N")="Y",COUNTIF($HJ$2:$HJ$8,'Daily Schedule'!$F$41)=0,COUNTIF($JO$1:JO7,'Daily Schedule'!$F$41)=0),IF('Daily Schedule'!$D$41="Tier 4",0,IF('Daily Schedule'!$D$41="Tier 3",1,2))*10000000+IFERROR(INDEX('Daily Workforce'!$V$6:$V$205,MATCH('Daily Schedule'!$F$41,'Daily Workforce'!$B$6:$B$205,0)),0)*1000+41,999999999)</f>
        <v>999999999</v>
      </c>
      <c r="LC8" s="1" t="n">
        <f aca="false">IF(AND($JM8&lt;&gt;"",'Daily Schedule'!$F$42&lt;&gt;"",'Daily Schedule'!$H$42="5:45 AM",'Daily Schedule'!$D$42&lt;&gt;"Tier 1",'Daily Schedule'!$N$42&lt;&gt;$JN8,IFERROR(INDEX('Daily Workforce'!$M$6:$M$205,MATCH('Daily Schedule'!$F$42,'Daily Workforce'!$B$6:$B$205,0)),"N")="Y",COUNTIF($HJ$2:$HJ$8,'Daily Schedule'!$F$42)=0,COUNTIF($JO$1:JO7,'Daily Schedule'!$F$42)=0),IF('Daily Schedule'!$D$42="Tier 4",0,IF('Daily Schedule'!$D$42="Tier 3",1,2))*10000000+IFERROR(INDEX('Daily Workforce'!$V$6:$V$205,MATCH('Daily Schedule'!$F$42,'Daily Workforce'!$B$6:$B$205,0)),0)*1000+42,999999999)</f>
        <v>999999999</v>
      </c>
      <c r="LD8" s="1" t="n">
        <f aca="false">IF(AND($JM8&lt;&gt;"",'Daily Schedule'!$F$43&lt;&gt;"",'Daily Schedule'!$H$43="5:45 AM",'Daily Schedule'!$D$43&lt;&gt;"Tier 1",'Daily Schedule'!$N$43&lt;&gt;$JN8,IFERROR(INDEX('Daily Workforce'!$M$6:$M$205,MATCH('Daily Schedule'!$F$43,'Daily Workforce'!$B$6:$B$205,0)),"N")="Y",COUNTIF($HJ$2:$HJ$8,'Daily Schedule'!$F$43)=0,COUNTIF($JO$1:JO7,'Daily Schedule'!$F$43)=0),IF('Daily Schedule'!$D$43="Tier 4",0,IF('Daily Schedule'!$D$43="Tier 3",1,2))*10000000+IFERROR(INDEX('Daily Workforce'!$V$6:$V$205,MATCH('Daily Schedule'!$F$43,'Daily Workforce'!$B$6:$B$205,0)),0)*1000+43,999999999)</f>
        <v>999999999</v>
      </c>
      <c r="LE8" s="1" t="n">
        <f aca="false">IF(AND($JM8&lt;&gt;"",'Daily Schedule'!$F$44&lt;&gt;"",'Daily Schedule'!$H$44="5:45 AM",'Daily Schedule'!$D$44&lt;&gt;"Tier 1",'Daily Schedule'!$N$44&lt;&gt;$JN8,IFERROR(INDEX('Daily Workforce'!$M$6:$M$205,MATCH('Daily Schedule'!$F$44,'Daily Workforce'!$B$6:$B$205,0)),"N")="Y",COUNTIF($HJ$2:$HJ$8,'Daily Schedule'!$F$44)=0,COUNTIF($JO$1:JO7,'Daily Schedule'!$F$44)=0),IF('Daily Schedule'!$D$44="Tier 4",0,IF('Daily Schedule'!$D$44="Tier 3",1,2))*10000000+IFERROR(INDEX('Daily Workforce'!$V$6:$V$205,MATCH('Daily Schedule'!$F$44,'Daily Workforce'!$B$6:$B$205,0)),0)*1000+44,999999999)</f>
        <v>999999999</v>
      </c>
      <c r="LF8" s="1" t="n">
        <f aca="false">IF(AND($JM8&lt;&gt;"",'Daily Schedule'!$F$45&lt;&gt;"",'Daily Schedule'!$H$45="5:45 AM",'Daily Schedule'!$D$45&lt;&gt;"Tier 1",'Daily Schedule'!$N$45&lt;&gt;$JN8,IFERROR(INDEX('Daily Workforce'!$M$6:$M$205,MATCH('Daily Schedule'!$F$45,'Daily Workforce'!$B$6:$B$205,0)),"N")="Y",COUNTIF($HJ$2:$HJ$8,'Daily Schedule'!$F$45)=0,COUNTIF($JO$1:JO7,'Daily Schedule'!$F$45)=0),IF('Daily Schedule'!$D$45="Tier 4",0,IF('Daily Schedule'!$D$45="Tier 3",1,2))*10000000+IFERROR(INDEX('Daily Workforce'!$V$6:$V$205,MATCH('Daily Schedule'!$F$45,'Daily Workforce'!$B$6:$B$205,0)),0)*1000+45,999999999)</f>
        <v>999999999</v>
      </c>
      <c r="LG8" s="1" t="n">
        <f aca="false">IF(AND($JM8&lt;&gt;"",'Daily Schedule'!$F$46&lt;&gt;"",'Daily Schedule'!$H$46="5:45 AM",'Daily Schedule'!$D$46&lt;&gt;"Tier 1",'Daily Schedule'!$N$46&lt;&gt;$JN8,IFERROR(INDEX('Daily Workforce'!$M$6:$M$205,MATCH('Daily Schedule'!$F$46,'Daily Workforce'!$B$6:$B$205,0)),"N")="Y",COUNTIF($HJ$2:$HJ$8,'Daily Schedule'!$F$46)=0,COUNTIF($JO$1:JO7,'Daily Schedule'!$F$46)=0),IF('Daily Schedule'!$D$46="Tier 4",0,IF('Daily Schedule'!$D$46="Tier 3",1,2))*10000000+IFERROR(INDEX('Daily Workforce'!$V$6:$V$205,MATCH('Daily Schedule'!$F$46,'Daily Workforce'!$B$6:$B$205,0)),0)*1000+46,999999999)</f>
        <v>999999999</v>
      </c>
      <c r="LH8" s="1" t="n">
        <f aca="false">IF(AND($JM8&lt;&gt;"",'Daily Schedule'!$F$47&lt;&gt;"",'Daily Schedule'!$H$47="5:45 AM",'Daily Schedule'!$D$47&lt;&gt;"Tier 1",'Daily Schedule'!$N$47&lt;&gt;$JN8,IFERROR(INDEX('Daily Workforce'!$M$6:$M$205,MATCH('Daily Schedule'!$F$47,'Daily Workforce'!$B$6:$B$205,0)),"N")="Y",COUNTIF($HJ$2:$HJ$8,'Daily Schedule'!$F$47)=0,COUNTIF($JO$1:JO7,'Daily Schedule'!$F$47)=0),IF('Daily Schedule'!$D$47="Tier 4",0,IF('Daily Schedule'!$D$47="Tier 3",1,2))*10000000+IFERROR(INDEX('Daily Workforce'!$V$6:$V$205,MATCH('Daily Schedule'!$F$47,'Daily Workforce'!$B$6:$B$205,0)),0)*1000+47,999999999)</f>
        <v>999999999</v>
      </c>
      <c r="LI8" s="1" t="n">
        <f aca="false">IF(AND($JM8&lt;&gt;"",'Daily Schedule'!$F$48&lt;&gt;"",'Daily Schedule'!$H$48="5:45 AM",'Daily Schedule'!$D$48&lt;&gt;"Tier 1",'Daily Schedule'!$N$48&lt;&gt;$JN8,IFERROR(INDEX('Daily Workforce'!$M$6:$M$205,MATCH('Daily Schedule'!$F$48,'Daily Workforce'!$B$6:$B$205,0)),"N")="Y",COUNTIF($HJ$2:$HJ$8,'Daily Schedule'!$F$48)=0,COUNTIF($JO$1:JO7,'Daily Schedule'!$F$48)=0),IF('Daily Schedule'!$D$48="Tier 4",0,IF('Daily Schedule'!$D$48="Tier 3",1,2))*10000000+IFERROR(INDEX('Daily Workforce'!$V$6:$V$205,MATCH('Daily Schedule'!$F$48,'Daily Workforce'!$B$6:$B$205,0)),0)*1000+48,999999999)</f>
        <v>999999999</v>
      </c>
      <c r="LJ8" s="1" t="n">
        <f aca="false">IF(AND($JM8&lt;&gt;"",'Daily Schedule'!$F$49&lt;&gt;"",'Daily Schedule'!$H$49="5:45 AM",'Daily Schedule'!$D$49&lt;&gt;"Tier 1",'Daily Schedule'!$N$49&lt;&gt;$JN8,IFERROR(INDEX('Daily Workforce'!$M$6:$M$205,MATCH('Daily Schedule'!$F$49,'Daily Workforce'!$B$6:$B$205,0)),"N")="Y",COUNTIF($HJ$2:$HJ$8,'Daily Schedule'!$F$49)=0,COUNTIF($JO$1:JO7,'Daily Schedule'!$F$49)=0),IF('Daily Schedule'!$D$49="Tier 4",0,IF('Daily Schedule'!$D$49="Tier 3",1,2))*10000000+IFERROR(INDEX('Daily Workforce'!$V$6:$V$205,MATCH('Daily Schedule'!$F$49,'Daily Workforce'!$B$6:$B$205,0)),0)*1000+49,999999999)</f>
        <v>999999999</v>
      </c>
      <c r="LK8" s="1" t="n">
        <f aca="false">IF(AND($JM8&lt;&gt;"",'Daily Schedule'!$F$50&lt;&gt;"",'Daily Schedule'!$H$50="5:45 AM",'Daily Schedule'!$D$50&lt;&gt;"Tier 1",'Daily Schedule'!$N$50&lt;&gt;$JN8,IFERROR(INDEX('Daily Workforce'!$M$6:$M$205,MATCH('Daily Schedule'!$F$50,'Daily Workforce'!$B$6:$B$205,0)),"N")="Y",COUNTIF($HJ$2:$HJ$8,'Daily Schedule'!$F$50)=0,COUNTIF($JO$1:JO7,'Daily Schedule'!$F$50)=0),IF('Daily Schedule'!$D$50="Tier 4",0,IF('Daily Schedule'!$D$50="Tier 3",1,2))*10000000+IFERROR(INDEX('Daily Workforce'!$V$6:$V$205,MATCH('Daily Schedule'!$F$50,'Daily Workforce'!$B$6:$B$205,0)),0)*1000+50,999999999)</f>
        <v>999999999</v>
      </c>
      <c r="LL8" s="1" t="n">
        <f aca="false">IF(AND($JM8&lt;&gt;"",'Daily Schedule'!$F$51&lt;&gt;"",'Daily Schedule'!$H$51="5:45 AM",'Daily Schedule'!$D$51&lt;&gt;"Tier 1",'Daily Schedule'!$N$51&lt;&gt;$JN8,IFERROR(INDEX('Daily Workforce'!$M$6:$M$205,MATCH('Daily Schedule'!$F$51,'Daily Workforce'!$B$6:$B$205,0)),"N")="Y",COUNTIF($HJ$2:$HJ$8,'Daily Schedule'!$F$51)=0,COUNTIF($JO$1:JO7,'Daily Schedule'!$F$51)=0),IF('Daily Schedule'!$D$51="Tier 4",0,IF('Daily Schedule'!$D$51="Tier 3",1,2))*10000000+IFERROR(INDEX('Daily Workforce'!$V$6:$V$205,MATCH('Daily Schedule'!$F$51,'Daily Workforce'!$B$6:$B$205,0)),0)*1000+51,999999999)</f>
        <v>999999999</v>
      </c>
      <c r="LM8" s="1" t="n">
        <f aca="false">IF(AND($JM8&lt;&gt;"",'Daily Schedule'!$F$52&lt;&gt;"",'Daily Schedule'!$H$52="5:45 AM",'Daily Schedule'!$D$52&lt;&gt;"Tier 1",'Daily Schedule'!$N$52&lt;&gt;$JN8,IFERROR(INDEX('Daily Workforce'!$M$6:$M$205,MATCH('Daily Schedule'!$F$52,'Daily Workforce'!$B$6:$B$205,0)),"N")="Y",COUNTIF($HJ$2:$HJ$8,'Daily Schedule'!$F$52)=0,COUNTIF($JO$1:JO7,'Daily Schedule'!$F$52)=0),IF('Daily Schedule'!$D$52="Tier 4",0,IF('Daily Schedule'!$D$52="Tier 3",1,2))*10000000+IFERROR(INDEX('Daily Workforce'!$V$6:$V$205,MATCH('Daily Schedule'!$F$52,'Daily Workforce'!$B$6:$B$205,0)),0)*1000+52,999999999)</f>
        <v>999999999</v>
      </c>
      <c r="LN8" s="1" t="n">
        <f aca="false">IF(AND($JM8&lt;&gt;"",'Daily Schedule'!$F$53&lt;&gt;"",'Daily Schedule'!$H$53="5:45 AM",'Daily Schedule'!$D$53&lt;&gt;"Tier 1",'Daily Schedule'!$N$53&lt;&gt;$JN8,IFERROR(INDEX('Daily Workforce'!$M$6:$M$205,MATCH('Daily Schedule'!$F$53,'Daily Workforce'!$B$6:$B$205,0)),"N")="Y",COUNTIF($HJ$2:$HJ$8,'Daily Schedule'!$F$53)=0,COUNTIF($JO$1:JO7,'Daily Schedule'!$F$53)=0),IF('Daily Schedule'!$D$53="Tier 4",0,IF('Daily Schedule'!$D$53="Tier 3",1,2))*10000000+IFERROR(INDEX('Daily Workforce'!$V$6:$V$205,MATCH('Daily Schedule'!$F$53,'Daily Workforce'!$B$6:$B$205,0)),0)*1000+53,999999999)</f>
        <v>999999999</v>
      </c>
      <c r="LO8" s="1" t="n">
        <f aca="false">IF(AND($JM8&lt;&gt;"",'Daily Schedule'!$F$54&lt;&gt;"",'Daily Schedule'!$H$54="5:45 AM",'Daily Schedule'!$D$54&lt;&gt;"Tier 1",'Daily Schedule'!$N$54&lt;&gt;$JN8,IFERROR(INDEX('Daily Workforce'!$M$6:$M$205,MATCH('Daily Schedule'!$F$54,'Daily Workforce'!$B$6:$B$205,0)),"N")="Y",COUNTIF($HJ$2:$HJ$8,'Daily Schedule'!$F$54)=0,COUNTIF($JO$1:JO7,'Daily Schedule'!$F$54)=0),IF('Daily Schedule'!$D$54="Tier 4",0,IF('Daily Schedule'!$D$54="Tier 3",1,2))*10000000+IFERROR(INDEX('Daily Workforce'!$V$6:$V$205,MATCH('Daily Schedule'!$F$54,'Daily Workforce'!$B$6:$B$205,0)),0)*1000+54,999999999)</f>
        <v>999999999</v>
      </c>
      <c r="LP8" s="1" t="n">
        <f aca="false">IF(AND($JM8&lt;&gt;"",'Daily Schedule'!$F$55&lt;&gt;"",'Daily Schedule'!$H$55="5:45 AM",'Daily Schedule'!$D$55&lt;&gt;"Tier 1",'Daily Schedule'!$N$55&lt;&gt;$JN8,IFERROR(INDEX('Daily Workforce'!$M$6:$M$205,MATCH('Daily Schedule'!$F$55,'Daily Workforce'!$B$6:$B$205,0)),"N")="Y",COUNTIF($HJ$2:$HJ$8,'Daily Schedule'!$F$55)=0,COUNTIF($JO$1:JO7,'Daily Schedule'!$F$55)=0),IF('Daily Schedule'!$D$55="Tier 4",0,IF('Daily Schedule'!$D$55="Tier 3",1,2))*10000000+IFERROR(INDEX('Daily Workforce'!$V$6:$V$205,MATCH('Daily Schedule'!$F$55,'Daily Workforce'!$B$6:$B$205,0)),0)*1000+55,999999999)</f>
        <v>55</v>
      </c>
      <c r="LQ8" s="1" t="n">
        <f aca="false">IF(AND($JM8&lt;&gt;"",'Daily Schedule'!$F$56&lt;&gt;"",'Daily Schedule'!$H$56="5:45 AM",'Daily Schedule'!$D$56&lt;&gt;"Tier 1",'Daily Schedule'!$N$56&lt;&gt;$JN8,IFERROR(INDEX('Daily Workforce'!$M$6:$M$205,MATCH('Daily Schedule'!$F$56,'Daily Workforce'!$B$6:$B$205,0)),"N")="Y",COUNTIF($HJ$2:$HJ$8,'Daily Schedule'!$F$56)=0,COUNTIF($JO$1:JO7,'Daily Schedule'!$F$56)=0),IF('Daily Schedule'!$D$56="Tier 4",0,IF('Daily Schedule'!$D$56="Tier 3",1,2))*10000000+IFERROR(INDEX('Daily Workforce'!$V$6:$V$205,MATCH('Daily Schedule'!$F$56,'Daily Workforce'!$B$6:$B$205,0)),0)*1000+56,999999999)</f>
        <v>999999999</v>
      </c>
      <c r="LR8" s="1" t="n">
        <f aca="false">IF(AND($JM8&lt;&gt;"",'Daily Schedule'!$F$57&lt;&gt;"",'Daily Schedule'!$H$57="5:45 AM",'Daily Schedule'!$D$57&lt;&gt;"Tier 1",'Daily Schedule'!$N$57&lt;&gt;$JN8,IFERROR(INDEX('Daily Workforce'!$M$6:$M$205,MATCH('Daily Schedule'!$F$57,'Daily Workforce'!$B$6:$B$205,0)),"N")="Y",COUNTIF($HJ$2:$HJ$8,'Daily Schedule'!$F$57)=0,COUNTIF($JO$1:JO7,'Daily Schedule'!$F$57)=0),IF('Daily Schedule'!$D$57="Tier 4",0,IF('Daily Schedule'!$D$57="Tier 3",1,2))*10000000+IFERROR(INDEX('Daily Workforce'!$V$6:$V$205,MATCH('Daily Schedule'!$F$57,'Daily Workforce'!$B$6:$B$205,0)),0)*1000+57,999999999)</f>
        <v>999999999</v>
      </c>
    </row>
    <row r="9" customFormat="false" ht="15" hidden="false" customHeight="true" outlineLevel="0" collapsed="false">
      <c r="C9" s="1" t="s">
        <v>797</v>
      </c>
      <c r="L9" s="1" t="s">
        <v>798</v>
      </c>
      <c r="M9" s="1" t="s">
        <v>82</v>
      </c>
      <c r="O9" s="1" t="n">
        <f aca="false">IF(AND('Employee Master'!$G9="Y",ISERROR(SEARCH(TEXT('Daily Workforce'!$B$2,"ddd"),'Employee Master'!$D9)),IF('Daily Workforce'!$E$2="",TRUE(),'Employee Master'!$I9='Daily Workforce'!$E$2)),'Employee Master'!$K9*1000+ROW()-1,"")</f>
        <v>4008</v>
      </c>
      <c r="P9" s="1" t="n">
        <f aca="false">IF($O9="","",COUNTIF($O$2:$O$159,"&lt;="&amp;$O9))</f>
        <v>83</v>
      </c>
      <c r="Q9" s="1" t="n">
        <f aca="false">IF(AND('Daily Workforce'!$N6="Y",'Daily Workforce'!$B6&lt;&gt;"",COUNTIF('Daily Schedule'!$F$5:$F12,'Daily Workforce'!$B6)=0,IF('Daily Schedule'!$A13=45,'Daily Workforce'!$J6="Y",IF(OR('Daily Schedule'!$A13=4,'Daily Schedule'!$A13=8),IF(OR(WEEKDAY('Daily Schedule'!$B$2,2)=1,WEEKDAY('Daily Schedule'!$B$2,2)=4,WEEKDAY('Daily Schedule'!$B$2,2)=5,WEEKDAY('Daily Schedule'!$B$2,2)=7),IFERROR(1*'Daily Workforce'!$K6&gt;=3,FALSE()),IFERROR(1*'Daily Workforce'!$K6&gt;=2,FALSE())),IF(AND('Daily Schedule'!$A13&gt;=46,'Daily Schedule'!$A13&lt;=52),'Daily Workforce'!$M6="Y",IFERROR(1*'Daily Workforce'!$P6&gt;=2,FALSE()))))),1,0)</f>
        <v>0</v>
      </c>
      <c r="R9" s="1" t="n">
        <f aca="false">IF(AND('Daily Workforce'!$N7="Y",'Daily Workforce'!$B7&lt;&gt;"",COUNTIF('Daily Schedule'!$F$5:$F12,'Daily Workforce'!$B7)=0,IF('Daily Schedule'!$A13=45,'Daily Workforce'!$J7="Y",IF(OR('Daily Schedule'!$A13=4,'Daily Schedule'!$A13=8),IF(OR(WEEKDAY('Daily Schedule'!$B$2,2)=1,WEEKDAY('Daily Schedule'!$B$2,2)=4,WEEKDAY('Daily Schedule'!$B$2,2)=5,WEEKDAY('Daily Schedule'!$B$2,2)=7),IFERROR(1*'Daily Workforce'!$K7&gt;=3,FALSE()),IFERROR(1*'Daily Workforce'!$K7&gt;=2,FALSE())),IF(AND('Daily Schedule'!$A13&gt;=46,'Daily Schedule'!$A13&lt;=52),'Daily Workforce'!$M7="Y",IFERROR(1*'Daily Workforce'!$P7&gt;=2,FALSE()))))),1,0)</f>
        <v>0</v>
      </c>
      <c r="S9" s="1" t="n">
        <f aca="false">IF(AND('Daily Workforce'!$N8="Y",'Daily Workforce'!$B8&lt;&gt;"",COUNTIF('Daily Schedule'!$F$5:$F12,'Daily Workforce'!$B8)=0,IF('Daily Schedule'!$A13=45,'Daily Workforce'!$J8="Y",IF(OR('Daily Schedule'!$A13=4,'Daily Schedule'!$A13=8),IF(OR(WEEKDAY('Daily Schedule'!$B$2,2)=1,WEEKDAY('Daily Schedule'!$B$2,2)=4,WEEKDAY('Daily Schedule'!$B$2,2)=5,WEEKDAY('Daily Schedule'!$B$2,2)=7),IFERROR(1*'Daily Workforce'!$K8&gt;=3,FALSE()),IFERROR(1*'Daily Workforce'!$K8&gt;=2,FALSE())),IF(AND('Daily Schedule'!$A13&gt;=46,'Daily Schedule'!$A13&lt;=52),'Daily Workforce'!$M8="Y",IFERROR(1*'Daily Workforce'!$P8&gt;=2,FALSE()))))),1,0)</f>
        <v>0</v>
      </c>
      <c r="T9" s="1" t="n">
        <f aca="false">IF(AND('Daily Workforce'!$N9="Y",'Daily Workforce'!$B9&lt;&gt;"",COUNTIF('Daily Schedule'!$F$5:$F12,'Daily Workforce'!$B9)=0,IF('Daily Schedule'!$A13=45,'Daily Workforce'!$J9="Y",IF(OR('Daily Schedule'!$A13=4,'Daily Schedule'!$A13=8),IF(OR(WEEKDAY('Daily Schedule'!$B$2,2)=1,WEEKDAY('Daily Schedule'!$B$2,2)=4,WEEKDAY('Daily Schedule'!$B$2,2)=5,WEEKDAY('Daily Schedule'!$B$2,2)=7),IFERROR(1*'Daily Workforce'!$K9&gt;=3,FALSE()),IFERROR(1*'Daily Workforce'!$K9&gt;=2,FALSE())),IF(AND('Daily Schedule'!$A13&gt;=46,'Daily Schedule'!$A13&lt;=52),'Daily Workforce'!$M9="Y",IFERROR(1*'Daily Workforce'!$P9&gt;=2,FALSE()))))),1,0)</f>
        <v>0</v>
      </c>
      <c r="U9" s="1" t="n">
        <f aca="false">IF(AND('Daily Workforce'!$N10="Y",'Daily Workforce'!$B10&lt;&gt;"",COUNTIF('Daily Schedule'!$F$5:$F12,'Daily Workforce'!$B10)=0,IF('Daily Schedule'!$A13=45,'Daily Workforce'!$J10="Y",IF(OR('Daily Schedule'!$A13=4,'Daily Schedule'!$A13=8),IF(OR(WEEKDAY('Daily Schedule'!$B$2,2)=1,WEEKDAY('Daily Schedule'!$B$2,2)=4,WEEKDAY('Daily Schedule'!$B$2,2)=5,WEEKDAY('Daily Schedule'!$B$2,2)=7),IFERROR(1*'Daily Workforce'!$K10&gt;=3,FALSE()),IFERROR(1*'Daily Workforce'!$K10&gt;=2,FALSE())),IF(AND('Daily Schedule'!$A13&gt;=46,'Daily Schedule'!$A13&lt;=52),'Daily Workforce'!$M10="Y",IFERROR(1*'Daily Workforce'!$P10&gt;=2,FALSE()))))),1,0)</f>
        <v>0</v>
      </c>
      <c r="V9" s="1" t="n">
        <f aca="false">IF(AND('Daily Workforce'!$N11="Y",'Daily Workforce'!$B11&lt;&gt;"",COUNTIF('Daily Schedule'!$F$5:$F12,'Daily Workforce'!$B11)=0,IF('Daily Schedule'!$A13=45,'Daily Workforce'!$J11="Y",IF(OR('Daily Schedule'!$A13=4,'Daily Schedule'!$A13=8),IF(OR(WEEKDAY('Daily Schedule'!$B$2,2)=1,WEEKDAY('Daily Schedule'!$B$2,2)=4,WEEKDAY('Daily Schedule'!$B$2,2)=5,WEEKDAY('Daily Schedule'!$B$2,2)=7),IFERROR(1*'Daily Workforce'!$K11&gt;=3,FALSE()),IFERROR(1*'Daily Workforce'!$K11&gt;=2,FALSE())),IF(AND('Daily Schedule'!$A13&gt;=46,'Daily Schedule'!$A13&lt;=52),'Daily Workforce'!$M11="Y",IFERROR(1*'Daily Workforce'!$P11&gt;=2,FALSE()))))),1,0)</f>
        <v>0</v>
      </c>
      <c r="W9" s="1" t="n">
        <f aca="false">IF(AND('Daily Workforce'!$N12="Y",'Daily Workforce'!$B12&lt;&gt;"",COUNTIF('Daily Schedule'!$F$5:$F12,'Daily Workforce'!$B12)=0,IF('Daily Schedule'!$A13=45,'Daily Workforce'!$J12="Y",IF(OR('Daily Schedule'!$A13=4,'Daily Schedule'!$A13=8),IF(OR(WEEKDAY('Daily Schedule'!$B$2,2)=1,WEEKDAY('Daily Schedule'!$B$2,2)=4,WEEKDAY('Daily Schedule'!$B$2,2)=5,WEEKDAY('Daily Schedule'!$B$2,2)=7),IFERROR(1*'Daily Workforce'!$K12&gt;=3,FALSE()),IFERROR(1*'Daily Workforce'!$K12&gt;=2,FALSE())),IF(AND('Daily Schedule'!$A13&gt;=46,'Daily Schedule'!$A13&lt;=52),'Daily Workforce'!$M12="Y",IFERROR(1*'Daily Workforce'!$P12&gt;=2,FALSE()))))),1,0)</f>
        <v>0</v>
      </c>
      <c r="X9" s="1" t="n">
        <f aca="false">IF(AND('Daily Workforce'!$N13="Y",'Daily Workforce'!$B13&lt;&gt;"",COUNTIF('Daily Schedule'!$F$5:$F12,'Daily Workforce'!$B13)=0,IF('Daily Schedule'!$A13=45,'Daily Workforce'!$J13="Y",IF(OR('Daily Schedule'!$A13=4,'Daily Schedule'!$A13=8),IF(OR(WEEKDAY('Daily Schedule'!$B$2,2)=1,WEEKDAY('Daily Schedule'!$B$2,2)=4,WEEKDAY('Daily Schedule'!$B$2,2)=5,WEEKDAY('Daily Schedule'!$B$2,2)=7),IFERROR(1*'Daily Workforce'!$K13&gt;=3,FALSE()),IFERROR(1*'Daily Workforce'!$K13&gt;=2,FALSE())),IF(AND('Daily Schedule'!$A13&gt;=46,'Daily Schedule'!$A13&lt;=52),'Daily Workforce'!$M13="Y",IFERROR(1*'Daily Workforce'!$P13&gt;=2,FALSE()))))),1,0)</f>
        <v>1</v>
      </c>
      <c r="Y9" s="1" t="n">
        <f aca="false">IF(AND('Daily Workforce'!$N14="Y",'Daily Workforce'!$B14&lt;&gt;"",COUNTIF('Daily Schedule'!$F$5:$F12,'Daily Workforce'!$B14)=0,IF('Daily Schedule'!$A13=45,'Daily Workforce'!$J14="Y",IF(OR('Daily Schedule'!$A13=4,'Daily Schedule'!$A13=8),IF(OR(WEEKDAY('Daily Schedule'!$B$2,2)=1,WEEKDAY('Daily Schedule'!$B$2,2)=4,WEEKDAY('Daily Schedule'!$B$2,2)=5,WEEKDAY('Daily Schedule'!$B$2,2)=7),IFERROR(1*'Daily Workforce'!$K14&gt;=3,FALSE()),IFERROR(1*'Daily Workforce'!$K14&gt;=2,FALSE())),IF(AND('Daily Schedule'!$A13&gt;=46,'Daily Schedule'!$A13&lt;=52),'Daily Workforce'!$M14="Y",IFERROR(1*'Daily Workforce'!$P14&gt;=2,FALSE()))))),1,0)</f>
        <v>1</v>
      </c>
      <c r="Z9" s="1" t="n">
        <f aca="false">IF(AND('Daily Workforce'!$N15="Y",'Daily Workforce'!$B15&lt;&gt;"",COUNTIF('Daily Schedule'!$F$5:$F12,'Daily Workforce'!$B15)=0,IF('Daily Schedule'!$A13=45,'Daily Workforce'!$J15="Y",IF(OR('Daily Schedule'!$A13=4,'Daily Schedule'!$A13=8),IF(OR(WEEKDAY('Daily Schedule'!$B$2,2)=1,WEEKDAY('Daily Schedule'!$B$2,2)=4,WEEKDAY('Daily Schedule'!$B$2,2)=5,WEEKDAY('Daily Schedule'!$B$2,2)=7),IFERROR(1*'Daily Workforce'!$K15&gt;=3,FALSE()),IFERROR(1*'Daily Workforce'!$K15&gt;=2,FALSE())),IF(AND('Daily Schedule'!$A13&gt;=46,'Daily Schedule'!$A13&lt;=52),'Daily Workforce'!$M15="Y",IFERROR(1*'Daily Workforce'!$P15&gt;=2,FALSE()))))),1,0)</f>
        <v>0</v>
      </c>
      <c r="AA9" s="1" t="n">
        <f aca="false">IF(AND('Daily Workforce'!$N16="Y",'Daily Workforce'!$B16&lt;&gt;"",COUNTIF('Daily Schedule'!$F$5:$F12,'Daily Workforce'!$B16)=0,IF('Daily Schedule'!$A13=45,'Daily Workforce'!$J16="Y",IF(OR('Daily Schedule'!$A13=4,'Daily Schedule'!$A13=8),IF(OR(WEEKDAY('Daily Schedule'!$B$2,2)=1,WEEKDAY('Daily Schedule'!$B$2,2)=4,WEEKDAY('Daily Schedule'!$B$2,2)=5,WEEKDAY('Daily Schedule'!$B$2,2)=7),IFERROR(1*'Daily Workforce'!$K16&gt;=3,FALSE()),IFERROR(1*'Daily Workforce'!$K16&gt;=2,FALSE())),IF(AND('Daily Schedule'!$A13&gt;=46,'Daily Schedule'!$A13&lt;=52),'Daily Workforce'!$M16="Y",IFERROR(1*'Daily Workforce'!$P16&gt;=2,FALSE()))))),1,0)</f>
        <v>1</v>
      </c>
      <c r="AB9" s="1" t="n">
        <f aca="false">IF(AND('Daily Workforce'!$N17="Y",'Daily Workforce'!$B17&lt;&gt;"",COUNTIF('Daily Schedule'!$F$5:$F12,'Daily Workforce'!$B17)=0,IF('Daily Schedule'!$A13=45,'Daily Workforce'!$J17="Y",IF(OR('Daily Schedule'!$A13=4,'Daily Schedule'!$A13=8),IF(OR(WEEKDAY('Daily Schedule'!$B$2,2)=1,WEEKDAY('Daily Schedule'!$B$2,2)=4,WEEKDAY('Daily Schedule'!$B$2,2)=5,WEEKDAY('Daily Schedule'!$B$2,2)=7),IFERROR(1*'Daily Workforce'!$K17&gt;=3,FALSE()),IFERROR(1*'Daily Workforce'!$K17&gt;=2,FALSE())),IF(AND('Daily Schedule'!$A13&gt;=46,'Daily Schedule'!$A13&lt;=52),'Daily Workforce'!$M17="Y",IFERROR(1*'Daily Workforce'!$P17&gt;=2,FALSE()))))),1,0)</f>
        <v>1</v>
      </c>
      <c r="AC9" s="1" t="n">
        <f aca="false">IF(AND('Daily Workforce'!$N18="Y",'Daily Workforce'!$B18&lt;&gt;"",COUNTIF('Daily Schedule'!$F$5:$F12,'Daily Workforce'!$B18)=0,IF('Daily Schedule'!$A13=45,'Daily Workforce'!$J18="Y",IF(OR('Daily Schedule'!$A13=4,'Daily Schedule'!$A13=8),IF(OR(WEEKDAY('Daily Schedule'!$B$2,2)=1,WEEKDAY('Daily Schedule'!$B$2,2)=4,WEEKDAY('Daily Schedule'!$B$2,2)=5,WEEKDAY('Daily Schedule'!$B$2,2)=7),IFERROR(1*'Daily Workforce'!$K18&gt;=3,FALSE()),IFERROR(1*'Daily Workforce'!$K18&gt;=2,FALSE())),IF(AND('Daily Schedule'!$A13&gt;=46,'Daily Schedule'!$A13&lt;=52),'Daily Workforce'!$M18="Y",IFERROR(1*'Daily Workforce'!$P18&gt;=2,FALSE()))))),1,0)</f>
        <v>1</v>
      </c>
      <c r="AD9" s="1" t="n">
        <f aca="false">IF(AND('Daily Workforce'!$N19="Y",'Daily Workforce'!$B19&lt;&gt;"",COUNTIF('Daily Schedule'!$F$5:$F12,'Daily Workforce'!$B19)=0,IF('Daily Schedule'!$A13=45,'Daily Workforce'!$J19="Y",IF(OR('Daily Schedule'!$A13=4,'Daily Schedule'!$A13=8),IF(OR(WEEKDAY('Daily Schedule'!$B$2,2)=1,WEEKDAY('Daily Schedule'!$B$2,2)=4,WEEKDAY('Daily Schedule'!$B$2,2)=5,WEEKDAY('Daily Schedule'!$B$2,2)=7),IFERROR(1*'Daily Workforce'!$K19&gt;=3,FALSE()),IFERROR(1*'Daily Workforce'!$K19&gt;=2,FALSE())),IF(AND('Daily Schedule'!$A13&gt;=46,'Daily Schedule'!$A13&lt;=52),'Daily Workforce'!$M19="Y",IFERROR(1*'Daily Workforce'!$P19&gt;=2,FALSE()))))),1,0)</f>
        <v>1</v>
      </c>
      <c r="AE9" s="1" t="n">
        <f aca="false">IF(AND('Daily Workforce'!$N20="Y",'Daily Workforce'!$B20&lt;&gt;"",COUNTIF('Daily Schedule'!$F$5:$F12,'Daily Workforce'!$B20)=0,IF('Daily Schedule'!$A13=45,'Daily Workforce'!$J20="Y",IF(OR('Daily Schedule'!$A13=4,'Daily Schedule'!$A13=8),IF(OR(WEEKDAY('Daily Schedule'!$B$2,2)=1,WEEKDAY('Daily Schedule'!$B$2,2)=4,WEEKDAY('Daily Schedule'!$B$2,2)=5,WEEKDAY('Daily Schedule'!$B$2,2)=7),IFERROR(1*'Daily Workforce'!$K20&gt;=3,FALSE()),IFERROR(1*'Daily Workforce'!$K20&gt;=2,FALSE())),IF(AND('Daily Schedule'!$A13&gt;=46,'Daily Schedule'!$A13&lt;=52),'Daily Workforce'!$M20="Y",IFERROR(1*'Daily Workforce'!$P20&gt;=2,FALSE()))))),1,0)</f>
        <v>1</v>
      </c>
      <c r="AF9" s="1" t="n">
        <f aca="false">IF(AND('Daily Workforce'!$N21="Y",'Daily Workforce'!$B21&lt;&gt;"",COUNTIF('Daily Schedule'!$F$5:$F12,'Daily Workforce'!$B21)=0,IF('Daily Schedule'!$A13=45,'Daily Workforce'!$J21="Y",IF(OR('Daily Schedule'!$A13=4,'Daily Schedule'!$A13=8),IF(OR(WEEKDAY('Daily Schedule'!$B$2,2)=1,WEEKDAY('Daily Schedule'!$B$2,2)=4,WEEKDAY('Daily Schedule'!$B$2,2)=5,WEEKDAY('Daily Schedule'!$B$2,2)=7),IFERROR(1*'Daily Workforce'!$K21&gt;=3,FALSE()),IFERROR(1*'Daily Workforce'!$K21&gt;=2,FALSE())),IF(AND('Daily Schedule'!$A13&gt;=46,'Daily Schedule'!$A13&lt;=52),'Daily Workforce'!$M21="Y",IFERROR(1*'Daily Workforce'!$P21&gt;=2,FALSE()))))),1,0)</f>
        <v>1</v>
      </c>
      <c r="AG9" s="1" t="n">
        <f aca="false">IF(AND('Daily Workforce'!$N22="Y",'Daily Workforce'!$B22&lt;&gt;"",COUNTIF('Daily Schedule'!$F$5:$F12,'Daily Workforce'!$B22)=0,IF('Daily Schedule'!$A13=45,'Daily Workforce'!$J22="Y",IF(OR('Daily Schedule'!$A13=4,'Daily Schedule'!$A13=8),IF(OR(WEEKDAY('Daily Schedule'!$B$2,2)=1,WEEKDAY('Daily Schedule'!$B$2,2)=4,WEEKDAY('Daily Schedule'!$B$2,2)=5,WEEKDAY('Daily Schedule'!$B$2,2)=7),IFERROR(1*'Daily Workforce'!$K22&gt;=3,FALSE()),IFERROR(1*'Daily Workforce'!$K22&gt;=2,FALSE())),IF(AND('Daily Schedule'!$A13&gt;=46,'Daily Schedule'!$A13&lt;=52),'Daily Workforce'!$M22="Y",IFERROR(1*'Daily Workforce'!$P22&gt;=2,FALSE()))))),1,0)</f>
        <v>1</v>
      </c>
      <c r="AH9" s="1" t="n">
        <f aca="false">IF(AND('Daily Workforce'!$N23="Y",'Daily Workforce'!$B23&lt;&gt;"",COUNTIF('Daily Schedule'!$F$5:$F12,'Daily Workforce'!$B23)=0,IF('Daily Schedule'!$A13=45,'Daily Workforce'!$J23="Y",IF(OR('Daily Schedule'!$A13=4,'Daily Schedule'!$A13=8),IF(OR(WEEKDAY('Daily Schedule'!$B$2,2)=1,WEEKDAY('Daily Schedule'!$B$2,2)=4,WEEKDAY('Daily Schedule'!$B$2,2)=5,WEEKDAY('Daily Schedule'!$B$2,2)=7),IFERROR(1*'Daily Workforce'!$K23&gt;=3,FALSE()),IFERROR(1*'Daily Workforce'!$K23&gt;=2,FALSE())),IF(AND('Daily Schedule'!$A13&gt;=46,'Daily Schedule'!$A13&lt;=52),'Daily Workforce'!$M23="Y",IFERROR(1*'Daily Workforce'!$P23&gt;=2,FALSE()))))),1,0)</f>
        <v>1</v>
      </c>
      <c r="AI9" s="1" t="n">
        <f aca="false">IF(AND('Daily Workforce'!$N24="Y",'Daily Workforce'!$B24&lt;&gt;"",COUNTIF('Daily Schedule'!$F$5:$F12,'Daily Workforce'!$B24)=0,IF('Daily Schedule'!$A13=45,'Daily Workforce'!$J24="Y",IF(OR('Daily Schedule'!$A13=4,'Daily Schedule'!$A13=8),IF(OR(WEEKDAY('Daily Schedule'!$B$2,2)=1,WEEKDAY('Daily Schedule'!$B$2,2)=4,WEEKDAY('Daily Schedule'!$B$2,2)=5,WEEKDAY('Daily Schedule'!$B$2,2)=7),IFERROR(1*'Daily Workforce'!$K24&gt;=3,FALSE()),IFERROR(1*'Daily Workforce'!$K24&gt;=2,FALSE())),IF(AND('Daily Schedule'!$A13&gt;=46,'Daily Schedule'!$A13&lt;=52),'Daily Workforce'!$M24="Y",IFERROR(1*'Daily Workforce'!$P24&gt;=2,FALSE()))))),1,0)</f>
        <v>1</v>
      </c>
      <c r="AJ9" s="1" t="n">
        <f aca="false">IF(AND('Daily Workforce'!$N25="Y",'Daily Workforce'!$B25&lt;&gt;"",COUNTIF('Daily Schedule'!$F$5:$F12,'Daily Workforce'!$B25)=0,IF('Daily Schedule'!$A13=45,'Daily Workforce'!$J25="Y",IF(OR('Daily Schedule'!$A13=4,'Daily Schedule'!$A13=8),IF(OR(WEEKDAY('Daily Schedule'!$B$2,2)=1,WEEKDAY('Daily Schedule'!$B$2,2)=4,WEEKDAY('Daily Schedule'!$B$2,2)=5,WEEKDAY('Daily Schedule'!$B$2,2)=7),IFERROR(1*'Daily Workforce'!$K25&gt;=3,FALSE()),IFERROR(1*'Daily Workforce'!$K25&gt;=2,FALSE())),IF(AND('Daily Schedule'!$A13&gt;=46,'Daily Schedule'!$A13&lt;=52),'Daily Workforce'!$M25="Y",IFERROR(1*'Daily Workforce'!$P25&gt;=2,FALSE()))))),1,0)</f>
        <v>1</v>
      </c>
      <c r="AK9" s="1" t="n">
        <f aca="false">IF(AND('Daily Workforce'!$N26="Y",'Daily Workforce'!$B26&lt;&gt;"",COUNTIF('Daily Schedule'!$F$5:$F12,'Daily Workforce'!$B26)=0,IF('Daily Schedule'!$A13=45,'Daily Workforce'!$J26="Y",IF(OR('Daily Schedule'!$A13=4,'Daily Schedule'!$A13=8),IF(OR(WEEKDAY('Daily Schedule'!$B$2,2)=1,WEEKDAY('Daily Schedule'!$B$2,2)=4,WEEKDAY('Daily Schedule'!$B$2,2)=5,WEEKDAY('Daily Schedule'!$B$2,2)=7),IFERROR(1*'Daily Workforce'!$K26&gt;=3,FALSE()),IFERROR(1*'Daily Workforce'!$K26&gt;=2,FALSE())),IF(AND('Daily Schedule'!$A13&gt;=46,'Daily Schedule'!$A13&lt;=52),'Daily Workforce'!$M26="Y",IFERROR(1*'Daily Workforce'!$P26&gt;=2,FALSE()))))),1,0)</f>
        <v>1</v>
      </c>
      <c r="AL9" s="1" t="n">
        <f aca="false">IF(AND('Daily Workforce'!$N27="Y",'Daily Workforce'!$B27&lt;&gt;"",COUNTIF('Daily Schedule'!$F$5:$F12,'Daily Workforce'!$B27)=0,IF('Daily Schedule'!$A13=45,'Daily Workforce'!$J27="Y",IF(OR('Daily Schedule'!$A13=4,'Daily Schedule'!$A13=8),IF(OR(WEEKDAY('Daily Schedule'!$B$2,2)=1,WEEKDAY('Daily Schedule'!$B$2,2)=4,WEEKDAY('Daily Schedule'!$B$2,2)=5,WEEKDAY('Daily Schedule'!$B$2,2)=7),IFERROR(1*'Daily Workforce'!$K27&gt;=3,FALSE()),IFERROR(1*'Daily Workforce'!$K27&gt;=2,FALSE())),IF(AND('Daily Schedule'!$A13&gt;=46,'Daily Schedule'!$A13&lt;=52),'Daily Workforce'!$M27="Y",IFERROR(1*'Daily Workforce'!$P27&gt;=2,FALSE()))))),1,0)</f>
        <v>0</v>
      </c>
      <c r="AM9" s="1" t="n">
        <f aca="false">IF(AND('Daily Workforce'!$N28="Y",'Daily Workforce'!$B28&lt;&gt;"",COUNTIF('Daily Schedule'!$F$5:$F12,'Daily Workforce'!$B28)=0,IF('Daily Schedule'!$A13=45,'Daily Workforce'!$J28="Y",IF(OR('Daily Schedule'!$A13=4,'Daily Schedule'!$A13=8),IF(OR(WEEKDAY('Daily Schedule'!$B$2,2)=1,WEEKDAY('Daily Schedule'!$B$2,2)=4,WEEKDAY('Daily Schedule'!$B$2,2)=5,WEEKDAY('Daily Schedule'!$B$2,2)=7),IFERROR(1*'Daily Workforce'!$K28&gt;=3,FALSE()),IFERROR(1*'Daily Workforce'!$K28&gt;=2,FALSE())),IF(AND('Daily Schedule'!$A13&gt;=46,'Daily Schedule'!$A13&lt;=52),'Daily Workforce'!$M28="Y",IFERROR(1*'Daily Workforce'!$P28&gt;=2,FALSE()))))),1,0)</f>
        <v>1</v>
      </c>
      <c r="AN9" s="1" t="n">
        <f aca="false">IF(AND('Daily Workforce'!$N29="Y",'Daily Workforce'!$B29&lt;&gt;"",COUNTIF('Daily Schedule'!$F$5:$F12,'Daily Workforce'!$B29)=0,IF('Daily Schedule'!$A13=45,'Daily Workforce'!$J29="Y",IF(OR('Daily Schedule'!$A13=4,'Daily Schedule'!$A13=8),IF(OR(WEEKDAY('Daily Schedule'!$B$2,2)=1,WEEKDAY('Daily Schedule'!$B$2,2)=4,WEEKDAY('Daily Schedule'!$B$2,2)=5,WEEKDAY('Daily Schedule'!$B$2,2)=7),IFERROR(1*'Daily Workforce'!$K29&gt;=3,FALSE()),IFERROR(1*'Daily Workforce'!$K29&gt;=2,FALSE())),IF(AND('Daily Schedule'!$A13&gt;=46,'Daily Schedule'!$A13&lt;=52),'Daily Workforce'!$M29="Y",IFERROR(1*'Daily Workforce'!$P29&gt;=2,FALSE()))))),1,0)</f>
        <v>1</v>
      </c>
      <c r="AO9" s="1" t="n">
        <f aca="false">IF(AND('Daily Workforce'!$N30="Y",'Daily Workforce'!$B30&lt;&gt;"",COUNTIF('Daily Schedule'!$F$5:$F12,'Daily Workforce'!$B30)=0,IF('Daily Schedule'!$A13=45,'Daily Workforce'!$J30="Y",IF(OR('Daily Schedule'!$A13=4,'Daily Schedule'!$A13=8),IF(OR(WEEKDAY('Daily Schedule'!$B$2,2)=1,WEEKDAY('Daily Schedule'!$B$2,2)=4,WEEKDAY('Daily Schedule'!$B$2,2)=5,WEEKDAY('Daily Schedule'!$B$2,2)=7),IFERROR(1*'Daily Workforce'!$K30&gt;=3,FALSE()),IFERROR(1*'Daily Workforce'!$K30&gt;=2,FALSE())),IF(AND('Daily Schedule'!$A13&gt;=46,'Daily Schedule'!$A13&lt;=52),'Daily Workforce'!$M30="Y",IFERROR(1*'Daily Workforce'!$P30&gt;=2,FALSE()))))),1,0)</f>
        <v>1</v>
      </c>
      <c r="AP9" s="1" t="n">
        <f aca="false">IF(AND('Daily Workforce'!$N31="Y",'Daily Workforce'!$B31&lt;&gt;"",COUNTIF('Daily Schedule'!$F$5:$F12,'Daily Workforce'!$B31)=0,IF('Daily Schedule'!$A13=45,'Daily Workforce'!$J31="Y",IF(OR('Daily Schedule'!$A13=4,'Daily Schedule'!$A13=8),IF(OR(WEEKDAY('Daily Schedule'!$B$2,2)=1,WEEKDAY('Daily Schedule'!$B$2,2)=4,WEEKDAY('Daily Schedule'!$B$2,2)=5,WEEKDAY('Daily Schedule'!$B$2,2)=7),IFERROR(1*'Daily Workforce'!$K31&gt;=3,FALSE()),IFERROR(1*'Daily Workforce'!$K31&gt;=2,FALSE())),IF(AND('Daily Schedule'!$A13&gt;=46,'Daily Schedule'!$A13&lt;=52),'Daily Workforce'!$M31="Y",IFERROR(1*'Daily Workforce'!$P31&gt;=2,FALSE()))))),1,0)</f>
        <v>1</v>
      </c>
      <c r="AQ9" s="1" t="n">
        <f aca="false">IF(AND('Daily Workforce'!$N32="Y",'Daily Workforce'!$B32&lt;&gt;"",COUNTIF('Daily Schedule'!$F$5:$F12,'Daily Workforce'!$B32)=0,IF('Daily Schedule'!$A13=45,'Daily Workforce'!$J32="Y",IF(OR('Daily Schedule'!$A13=4,'Daily Schedule'!$A13=8),IF(OR(WEEKDAY('Daily Schedule'!$B$2,2)=1,WEEKDAY('Daily Schedule'!$B$2,2)=4,WEEKDAY('Daily Schedule'!$B$2,2)=5,WEEKDAY('Daily Schedule'!$B$2,2)=7),IFERROR(1*'Daily Workforce'!$K32&gt;=3,FALSE()),IFERROR(1*'Daily Workforce'!$K32&gt;=2,FALSE())),IF(AND('Daily Schedule'!$A13&gt;=46,'Daily Schedule'!$A13&lt;=52),'Daily Workforce'!$M32="Y",IFERROR(1*'Daily Workforce'!$P32&gt;=2,FALSE()))))),1,0)</f>
        <v>1</v>
      </c>
      <c r="AR9" s="1" t="n">
        <f aca="false">IF(AND('Daily Workforce'!$N33="Y",'Daily Workforce'!$B33&lt;&gt;"",COUNTIF('Daily Schedule'!$F$5:$F12,'Daily Workforce'!$B33)=0,IF('Daily Schedule'!$A13=45,'Daily Workforce'!$J33="Y",IF(OR('Daily Schedule'!$A13=4,'Daily Schedule'!$A13=8),IF(OR(WEEKDAY('Daily Schedule'!$B$2,2)=1,WEEKDAY('Daily Schedule'!$B$2,2)=4,WEEKDAY('Daily Schedule'!$B$2,2)=5,WEEKDAY('Daily Schedule'!$B$2,2)=7),IFERROR(1*'Daily Workforce'!$K33&gt;=3,FALSE()),IFERROR(1*'Daily Workforce'!$K33&gt;=2,FALSE())),IF(AND('Daily Schedule'!$A13&gt;=46,'Daily Schedule'!$A13&lt;=52),'Daily Workforce'!$M33="Y",IFERROR(1*'Daily Workforce'!$P33&gt;=2,FALSE()))))),1,0)</f>
        <v>1</v>
      </c>
      <c r="AS9" s="1" t="n">
        <f aca="false">IF(AND('Daily Workforce'!$N34="Y",'Daily Workforce'!$B34&lt;&gt;"",COUNTIF('Daily Schedule'!$F$5:$F12,'Daily Workforce'!$B34)=0,IF('Daily Schedule'!$A13=45,'Daily Workforce'!$J34="Y",IF(OR('Daily Schedule'!$A13=4,'Daily Schedule'!$A13=8),IF(OR(WEEKDAY('Daily Schedule'!$B$2,2)=1,WEEKDAY('Daily Schedule'!$B$2,2)=4,WEEKDAY('Daily Schedule'!$B$2,2)=5,WEEKDAY('Daily Schedule'!$B$2,2)=7),IFERROR(1*'Daily Workforce'!$K34&gt;=3,FALSE()),IFERROR(1*'Daily Workforce'!$K34&gt;=2,FALSE())),IF(AND('Daily Schedule'!$A13&gt;=46,'Daily Schedule'!$A13&lt;=52),'Daily Workforce'!$M34="Y",IFERROR(1*'Daily Workforce'!$P34&gt;=2,FALSE()))))),1,0)</f>
        <v>1</v>
      </c>
      <c r="AT9" s="1" t="n">
        <f aca="false">IF(AND('Daily Workforce'!$N35="Y",'Daily Workforce'!$B35&lt;&gt;"",COUNTIF('Daily Schedule'!$F$5:$F12,'Daily Workforce'!$B35)=0,IF('Daily Schedule'!$A13=45,'Daily Workforce'!$J35="Y",IF(OR('Daily Schedule'!$A13=4,'Daily Schedule'!$A13=8),IF(OR(WEEKDAY('Daily Schedule'!$B$2,2)=1,WEEKDAY('Daily Schedule'!$B$2,2)=4,WEEKDAY('Daily Schedule'!$B$2,2)=5,WEEKDAY('Daily Schedule'!$B$2,2)=7),IFERROR(1*'Daily Workforce'!$K35&gt;=3,FALSE()),IFERROR(1*'Daily Workforce'!$K35&gt;=2,FALSE())),IF(AND('Daily Schedule'!$A13&gt;=46,'Daily Schedule'!$A13&lt;=52),'Daily Workforce'!$M35="Y",IFERROR(1*'Daily Workforce'!$P35&gt;=2,FALSE()))))),1,0)</f>
        <v>1</v>
      </c>
      <c r="AU9" s="1" t="n">
        <f aca="false">IF(AND('Daily Workforce'!$N36="Y",'Daily Workforce'!$B36&lt;&gt;"",COUNTIF('Daily Schedule'!$F$5:$F12,'Daily Workforce'!$B36)=0,IF('Daily Schedule'!$A13=45,'Daily Workforce'!$J36="Y",IF(OR('Daily Schedule'!$A13=4,'Daily Schedule'!$A13=8),IF(OR(WEEKDAY('Daily Schedule'!$B$2,2)=1,WEEKDAY('Daily Schedule'!$B$2,2)=4,WEEKDAY('Daily Schedule'!$B$2,2)=5,WEEKDAY('Daily Schedule'!$B$2,2)=7),IFERROR(1*'Daily Workforce'!$K36&gt;=3,FALSE()),IFERROR(1*'Daily Workforce'!$K36&gt;=2,FALSE())),IF(AND('Daily Schedule'!$A13&gt;=46,'Daily Schedule'!$A13&lt;=52),'Daily Workforce'!$M36="Y",IFERROR(1*'Daily Workforce'!$P36&gt;=2,FALSE()))))),1,0)</f>
        <v>1</v>
      </c>
      <c r="AV9" s="1" t="n">
        <f aca="false">IF(AND('Daily Workforce'!$N37="Y",'Daily Workforce'!$B37&lt;&gt;"",COUNTIF('Daily Schedule'!$F$5:$F12,'Daily Workforce'!$B37)=0,IF('Daily Schedule'!$A13=45,'Daily Workforce'!$J37="Y",IF(OR('Daily Schedule'!$A13=4,'Daily Schedule'!$A13=8),IF(OR(WEEKDAY('Daily Schedule'!$B$2,2)=1,WEEKDAY('Daily Schedule'!$B$2,2)=4,WEEKDAY('Daily Schedule'!$B$2,2)=5,WEEKDAY('Daily Schedule'!$B$2,2)=7),IFERROR(1*'Daily Workforce'!$K37&gt;=3,FALSE()),IFERROR(1*'Daily Workforce'!$K37&gt;=2,FALSE())),IF(AND('Daily Schedule'!$A13&gt;=46,'Daily Schedule'!$A13&lt;=52),'Daily Workforce'!$M37="Y",IFERROR(1*'Daily Workforce'!$P37&gt;=2,FALSE()))))),1,0)</f>
        <v>1</v>
      </c>
      <c r="AW9" s="1" t="n">
        <f aca="false">IF(AND('Daily Workforce'!$N38="Y",'Daily Workforce'!$B38&lt;&gt;"",COUNTIF('Daily Schedule'!$F$5:$F12,'Daily Workforce'!$B38)=0,IF('Daily Schedule'!$A13=45,'Daily Workforce'!$J38="Y",IF(OR('Daily Schedule'!$A13=4,'Daily Schedule'!$A13=8),IF(OR(WEEKDAY('Daily Schedule'!$B$2,2)=1,WEEKDAY('Daily Schedule'!$B$2,2)=4,WEEKDAY('Daily Schedule'!$B$2,2)=5,WEEKDAY('Daily Schedule'!$B$2,2)=7),IFERROR(1*'Daily Workforce'!$K38&gt;=3,FALSE()),IFERROR(1*'Daily Workforce'!$K38&gt;=2,FALSE())),IF(AND('Daily Schedule'!$A13&gt;=46,'Daily Schedule'!$A13&lt;=52),'Daily Workforce'!$M38="Y",IFERROR(1*'Daily Workforce'!$P38&gt;=2,FALSE()))))),1,0)</f>
        <v>1</v>
      </c>
      <c r="AX9" s="1" t="n">
        <f aca="false">IF(AND('Daily Workforce'!$N39="Y",'Daily Workforce'!$B39&lt;&gt;"",COUNTIF('Daily Schedule'!$F$5:$F12,'Daily Workforce'!$B39)=0,IF('Daily Schedule'!$A13=45,'Daily Workforce'!$J39="Y",IF(OR('Daily Schedule'!$A13=4,'Daily Schedule'!$A13=8),IF(OR(WEEKDAY('Daily Schedule'!$B$2,2)=1,WEEKDAY('Daily Schedule'!$B$2,2)=4,WEEKDAY('Daily Schedule'!$B$2,2)=5,WEEKDAY('Daily Schedule'!$B$2,2)=7),IFERROR(1*'Daily Workforce'!$K39&gt;=3,FALSE()),IFERROR(1*'Daily Workforce'!$K39&gt;=2,FALSE())),IF(AND('Daily Schedule'!$A13&gt;=46,'Daily Schedule'!$A13&lt;=52),'Daily Workforce'!$M39="Y",IFERROR(1*'Daily Workforce'!$P39&gt;=2,FALSE()))))),1,0)</f>
        <v>1</v>
      </c>
      <c r="AY9" s="1" t="n">
        <f aca="false">IF(AND('Daily Workforce'!$N40="Y",'Daily Workforce'!$B40&lt;&gt;"",COUNTIF('Daily Schedule'!$F$5:$F12,'Daily Workforce'!$B40)=0,IF('Daily Schedule'!$A13=45,'Daily Workforce'!$J40="Y",IF(OR('Daily Schedule'!$A13=4,'Daily Schedule'!$A13=8),IF(OR(WEEKDAY('Daily Schedule'!$B$2,2)=1,WEEKDAY('Daily Schedule'!$B$2,2)=4,WEEKDAY('Daily Schedule'!$B$2,2)=5,WEEKDAY('Daily Schedule'!$B$2,2)=7),IFERROR(1*'Daily Workforce'!$K40&gt;=3,FALSE()),IFERROR(1*'Daily Workforce'!$K40&gt;=2,FALSE())),IF(AND('Daily Schedule'!$A13&gt;=46,'Daily Schedule'!$A13&lt;=52),'Daily Workforce'!$M40="Y",IFERROR(1*'Daily Workforce'!$P40&gt;=2,FALSE()))))),1,0)</f>
        <v>1</v>
      </c>
      <c r="AZ9" s="1" t="n">
        <f aca="false">IF(AND('Daily Workforce'!$N41="Y",'Daily Workforce'!$B41&lt;&gt;"",COUNTIF('Daily Schedule'!$F$5:$F12,'Daily Workforce'!$B41)=0,IF('Daily Schedule'!$A13=45,'Daily Workforce'!$J41="Y",IF(OR('Daily Schedule'!$A13=4,'Daily Schedule'!$A13=8),IF(OR(WEEKDAY('Daily Schedule'!$B$2,2)=1,WEEKDAY('Daily Schedule'!$B$2,2)=4,WEEKDAY('Daily Schedule'!$B$2,2)=5,WEEKDAY('Daily Schedule'!$B$2,2)=7),IFERROR(1*'Daily Workforce'!$K41&gt;=3,FALSE()),IFERROR(1*'Daily Workforce'!$K41&gt;=2,FALSE())),IF(AND('Daily Schedule'!$A13&gt;=46,'Daily Schedule'!$A13&lt;=52),'Daily Workforce'!$M41="Y",IFERROR(1*'Daily Workforce'!$P41&gt;=2,FALSE()))))),1,0)</f>
        <v>1</v>
      </c>
      <c r="BA9" s="1" t="n">
        <f aca="false">IF(AND('Daily Workforce'!$N42="Y",'Daily Workforce'!$B42&lt;&gt;"",COUNTIF('Daily Schedule'!$F$5:$F12,'Daily Workforce'!$B42)=0,IF('Daily Schedule'!$A13=45,'Daily Workforce'!$J42="Y",IF(OR('Daily Schedule'!$A13=4,'Daily Schedule'!$A13=8),IF(OR(WEEKDAY('Daily Schedule'!$B$2,2)=1,WEEKDAY('Daily Schedule'!$B$2,2)=4,WEEKDAY('Daily Schedule'!$B$2,2)=5,WEEKDAY('Daily Schedule'!$B$2,2)=7),IFERROR(1*'Daily Workforce'!$K42&gt;=3,FALSE()),IFERROR(1*'Daily Workforce'!$K42&gt;=2,FALSE())),IF(AND('Daily Schedule'!$A13&gt;=46,'Daily Schedule'!$A13&lt;=52),'Daily Workforce'!$M42="Y",IFERROR(1*'Daily Workforce'!$P42&gt;=2,FALSE()))))),1,0)</f>
        <v>1</v>
      </c>
      <c r="BB9" s="1" t="n">
        <f aca="false">IF(AND('Daily Workforce'!$N43="Y",'Daily Workforce'!$B43&lt;&gt;"",COUNTIF('Daily Schedule'!$F$5:$F12,'Daily Workforce'!$B43)=0,IF('Daily Schedule'!$A13=45,'Daily Workforce'!$J43="Y",IF(OR('Daily Schedule'!$A13=4,'Daily Schedule'!$A13=8),IF(OR(WEEKDAY('Daily Schedule'!$B$2,2)=1,WEEKDAY('Daily Schedule'!$B$2,2)=4,WEEKDAY('Daily Schedule'!$B$2,2)=5,WEEKDAY('Daily Schedule'!$B$2,2)=7),IFERROR(1*'Daily Workforce'!$K43&gt;=3,FALSE()),IFERROR(1*'Daily Workforce'!$K43&gt;=2,FALSE())),IF(AND('Daily Schedule'!$A13&gt;=46,'Daily Schedule'!$A13&lt;=52),'Daily Workforce'!$M43="Y",IFERROR(1*'Daily Workforce'!$P43&gt;=2,FALSE()))))),1,0)</f>
        <v>1</v>
      </c>
      <c r="BC9" s="1" t="n">
        <f aca="false">IF(AND('Daily Workforce'!$N44="Y",'Daily Workforce'!$B44&lt;&gt;"",COUNTIF('Daily Schedule'!$F$5:$F12,'Daily Workforce'!$B44)=0,IF('Daily Schedule'!$A13=45,'Daily Workforce'!$J44="Y",IF(OR('Daily Schedule'!$A13=4,'Daily Schedule'!$A13=8),IF(OR(WEEKDAY('Daily Schedule'!$B$2,2)=1,WEEKDAY('Daily Schedule'!$B$2,2)=4,WEEKDAY('Daily Schedule'!$B$2,2)=5,WEEKDAY('Daily Schedule'!$B$2,2)=7),IFERROR(1*'Daily Workforce'!$K44&gt;=3,FALSE()),IFERROR(1*'Daily Workforce'!$K44&gt;=2,FALSE())),IF(AND('Daily Schedule'!$A13&gt;=46,'Daily Schedule'!$A13&lt;=52),'Daily Workforce'!$M44="Y",IFERROR(1*'Daily Workforce'!$P44&gt;=2,FALSE()))))),1,0)</f>
        <v>1</v>
      </c>
      <c r="BD9" s="1" t="n">
        <f aca="false">IF(AND('Daily Workforce'!$N45="Y",'Daily Workforce'!$B45&lt;&gt;"",COUNTIF('Daily Schedule'!$F$5:$F12,'Daily Workforce'!$B45)=0,IF('Daily Schedule'!$A13=45,'Daily Workforce'!$J45="Y",IF(OR('Daily Schedule'!$A13=4,'Daily Schedule'!$A13=8),IF(OR(WEEKDAY('Daily Schedule'!$B$2,2)=1,WEEKDAY('Daily Schedule'!$B$2,2)=4,WEEKDAY('Daily Schedule'!$B$2,2)=5,WEEKDAY('Daily Schedule'!$B$2,2)=7),IFERROR(1*'Daily Workforce'!$K45&gt;=3,FALSE()),IFERROR(1*'Daily Workforce'!$K45&gt;=2,FALSE())),IF(AND('Daily Schedule'!$A13&gt;=46,'Daily Schedule'!$A13&lt;=52),'Daily Workforce'!$M45="Y",IFERROR(1*'Daily Workforce'!$P45&gt;=2,FALSE()))))),1,0)</f>
        <v>1</v>
      </c>
      <c r="BE9" s="1" t="n">
        <f aca="false">IF(AND('Daily Workforce'!$N46="Y",'Daily Workforce'!$B46&lt;&gt;"",COUNTIF('Daily Schedule'!$F$5:$F12,'Daily Workforce'!$B46)=0,IF('Daily Schedule'!$A13=45,'Daily Workforce'!$J46="Y",IF(OR('Daily Schedule'!$A13=4,'Daily Schedule'!$A13=8),IF(OR(WEEKDAY('Daily Schedule'!$B$2,2)=1,WEEKDAY('Daily Schedule'!$B$2,2)=4,WEEKDAY('Daily Schedule'!$B$2,2)=5,WEEKDAY('Daily Schedule'!$B$2,2)=7),IFERROR(1*'Daily Workforce'!$K46&gt;=3,FALSE()),IFERROR(1*'Daily Workforce'!$K46&gt;=2,FALSE())),IF(AND('Daily Schedule'!$A13&gt;=46,'Daily Schedule'!$A13&lt;=52),'Daily Workforce'!$M46="Y",IFERROR(1*'Daily Workforce'!$P46&gt;=2,FALSE()))))),1,0)</f>
        <v>1</v>
      </c>
      <c r="BF9" s="1" t="n">
        <f aca="false">IF(AND('Daily Workforce'!$N47="Y",'Daily Workforce'!$B47&lt;&gt;"",COUNTIF('Daily Schedule'!$F$5:$F12,'Daily Workforce'!$B47)=0,IF('Daily Schedule'!$A13=45,'Daily Workforce'!$J47="Y",IF(OR('Daily Schedule'!$A13=4,'Daily Schedule'!$A13=8),IF(OR(WEEKDAY('Daily Schedule'!$B$2,2)=1,WEEKDAY('Daily Schedule'!$B$2,2)=4,WEEKDAY('Daily Schedule'!$B$2,2)=5,WEEKDAY('Daily Schedule'!$B$2,2)=7),IFERROR(1*'Daily Workforce'!$K47&gt;=3,FALSE()),IFERROR(1*'Daily Workforce'!$K47&gt;=2,FALSE())),IF(AND('Daily Schedule'!$A13&gt;=46,'Daily Schedule'!$A13&lt;=52),'Daily Workforce'!$M47="Y",IFERROR(1*'Daily Workforce'!$P47&gt;=2,FALSE()))))),1,0)</f>
        <v>0</v>
      </c>
      <c r="BG9" s="1" t="n">
        <f aca="false">IF(AND('Daily Workforce'!$N48="Y",'Daily Workforce'!$B48&lt;&gt;"",COUNTIF('Daily Schedule'!$F$5:$F12,'Daily Workforce'!$B48)=0,IF('Daily Schedule'!$A13=45,'Daily Workforce'!$J48="Y",IF(OR('Daily Schedule'!$A13=4,'Daily Schedule'!$A13=8),IF(OR(WEEKDAY('Daily Schedule'!$B$2,2)=1,WEEKDAY('Daily Schedule'!$B$2,2)=4,WEEKDAY('Daily Schedule'!$B$2,2)=5,WEEKDAY('Daily Schedule'!$B$2,2)=7),IFERROR(1*'Daily Workforce'!$K48&gt;=3,FALSE()),IFERROR(1*'Daily Workforce'!$K48&gt;=2,FALSE())),IF(AND('Daily Schedule'!$A13&gt;=46,'Daily Schedule'!$A13&lt;=52),'Daily Workforce'!$M48="Y",IFERROR(1*'Daily Workforce'!$P48&gt;=2,FALSE()))))),1,0)</f>
        <v>1</v>
      </c>
      <c r="BH9" s="1" t="n">
        <f aca="false">IF(AND('Daily Workforce'!$N49="Y",'Daily Workforce'!$B49&lt;&gt;"",COUNTIF('Daily Schedule'!$F$5:$F12,'Daily Workforce'!$B49)=0,IF('Daily Schedule'!$A13=45,'Daily Workforce'!$J49="Y",IF(OR('Daily Schedule'!$A13=4,'Daily Schedule'!$A13=8),IF(OR(WEEKDAY('Daily Schedule'!$B$2,2)=1,WEEKDAY('Daily Schedule'!$B$2,2)=4,WEEKDAY('Daily Schedule'!$B$2,2)=5,WEEKDAY('Daily Schedule'!$B$2,2)=7),IFERROR(1*'Daily Workforce'!$K49&gt;=3,FALSE()),IFERROR(1*'Daily Workforce'!$K49&gt;=2,FALSE())),IF(AND('Daily Schedule'!$A13&gt;=46,'Daily Schedule'!$A13&lt;=52),'Daily Workforce'!$M49="Y",IFERROR(1*'Daily Workforce'!$P49&gt;=2,FALSE()))))),1,0)</f>
        <v>1</v>
      </c>
      <c r="BI9" s="1" t="n">
        <f aca="false">IF(AND('Daily Workforce'!$N50="Y",'Daily Workforce'!$B50&lt;&gt;"",COUNTIF('Daily Schedule'!$F$5:$F12,'Daily Workforce'!$B50)=0,IF('Daily Schedule'!$A13=45,'Daily Workforce'!$J50="Y",IF(OR('Daily Schedule'!$A13=4,'Daily Schedule'!$A13=8),IF(OR(WEEKDAY('Daily Schedule'!$B$2,2)=1,WEEKDAY('Daily Schedule'!$B$2,2)=4,WEEKDAY('Daily Schedule'!$B$2,2)=5,WEEKDAY('Daily Schedule'!$B$2,2)=7),IFERROR(1*'Daily Workforce'!$K50&gt;=3,FALSE()),IFERROR(1*'Daily Workforce'!$K50&gt;=2,FALSE())),IF(AND('Daily Schedule'!$A13&gt;=46,'Daily Schedule'!$A13&lt;=52),'Daily Workforce'!$M50="Y",IFERROR(1*'Daily Workforce'!$P50&gt;=2,FALSE()))))),1,0)</f>
        <v>0</v>
      </c>
      <c r="BJ9" s="1" t="n">
        <f aca="false">IF(AND('Daily Workforce'!$N51="Y",'Daily Workforce'!$B51&lt;&gt;"",COUNTIF('Daily Schedule'!$F$5:$F12,'Daily Workforce'!$B51)=0,IF('Daily Schedule'!$A13=45,'Daily Workforce'!$J51="Y",IF(OR('Daily Schedule'!$A13=4,'Daily Schedule'!$A13=8),IF(OR(WEEKDAY('Daily Schedule'!$B$2,2)=1,WEEKDAY('Daily Schedule'!$B$2,2)=4,WEEKDAY('Daily Schedule'!$B$2,2)=5,WEEKDAY('Daily Schedule'!$B$2,2)=7),IFERROR(1*'Daily Workforce'!$K51&gt;=3,FALSE()),IFERROR(1*'Daily Workforce'!$K51&gt;=2,FALSE())),IF(AND('Daily Schedule'!$A13&gt;=46,'Daily Schedule'!$A13&lt;=52),'Daily Workforce'!$M51="Y",IFERROR(1*'Daily Workforce'!$P51&gt;=2,FALSE()))))),1,0)</f>
        <v>1</v>
      </c>
      <c r="BK9" s="1" t="n">
        <f aca="false">IF(AND('Daily Workforce'!$N52="Y",'Daily Workforce'!$B52&lt;&gt;"",COUNTIF('Daily Schedule'!$F$5:$F12,'Daily Workforce'!$B52)=0,IF('Daily Schedule'!$A13=45,'Daily Workforce'!$J52="Y",IF(OR('Daily Schedule'!$A13=4,'Daily Schedule'!$A13=8),IF(OR(WEEKDAY('Daily Schedule'!$B$2,2)=1,WEEKDAY('Daily Schedule'!$B$2,2)=4,WEEKDAY('Daily Schedule'!$B$2,2)=5,WEEKDAY('Daily Schedule'!$B$2,2)=7),IFERROR(1*'Daily Workforce'!$K52&gt;=3,FALSE()),IFERROR(1*'Daily Workforce'!$K52&gt;=2,FALSE())),IF(AND('Daily Schedule'!$A13&gt;=46,'Daily Schedule'!$A13&lt;=52),'Daily Workforce'!$M52="Y",IFERROR(1*'Daily Workforce'!$P52&gt;=2,FALSE()))))),1,0)</f>
        <v>1</v>
      </c>
      <c r="BL9" s="1" t="n">
        <f aca="false">IF(AND('Daily Workforce'!$N53="Y",'Daily Workforce'!$B53&lt;&gt;"",COUNTIF('Daily Schedule'!$F$5:$F12,'Daily Workforce'!$B53)=0,IF('Daily Schedule'!$A13=45,'Daily Workforce'!$J53="Y",IF(OR('Daily Schedule'!$A13=4,'Daily Schedule'!$A13=8),IF(OR(WEEKDAY('Daily Schedule'!$B$2,2)=1,WEEKDAY('Daily Schedule'!$B$2,2)=4,WEEKDAY('Daily Schedule'!$B$2,2)=5,WEEKDAY('Daily Schedule'!$B$2,2)=7),IFERROR(1*'Daily Workforce'!$K53&gt;=3,FALSE()),IFERROR(1*'Daily Workforce'!$K53&gt;=2,FALSE())),IF(AND('Daily Schedule'!$A13&gt;=46,'Daily Schedule'!$A13&lt;=52),'Daily Workforce'!$M53="Y",IFERROR(1*'Daily Workforce'!$P53&gt;=2,FALSE()))))),1,0)</f>
        <v>1</v>
      </c>
      <c r="BM9" s="1" t="n">
        <f aca="false">IF(AND('Daily Workforce'!$N54="Y",'Daily Workforce'!$B54&lt;&gt;"",COUNTIF('Daily Schedule'!$F$5:$F12,'Daily Workforce'!$B54)=0,IF('Daily Schedule'!$A13=45,'Daily Workforce'!$J54="Y",IF(OR('Daily Schedule'!$A13=4,'Daily Schedule'!$A13=8),IF(OR(WEEKDAY('Daily Schedule'!$B$2,2)=1,WEEKDAY('Daily Schedule'!$B$2,2)=4,WEEKDAY('Daily Schedule'!$B$2,2)=5,WEEKDAY('Daily Schedule'!$B$2,2)=7),IFERROR(1*'Daily Workforce'!$K54&gt;=3,FALSE()),IFERROR(1*'Daily Workforce'!$K54&gt;=2,FALSE())),IF(AND('Daily Schedule'!$A13&gt;=46,'Daily Schedule'!$A13&lt;=52),'Daily Workforce'!$M54="Y",IFERROR(1*'Daily Workforce'!$P54&gt;=2,FALSE()))))),1,0)</f>
        <v>1</v>
      </c>
      <c r="BN9" s="1" t="n">
        <f aca="false">IF(AND('Daily Workforce'!$N55="Y",'Daily Workforce'!$B55&lt;&gt;"",COUNTIF('Daily Schedule'!$F$5:$F12,'Daily Workforce'!$B55)=0,IF('Daily Schedule'!$A13=45,'Daily Workforce'!$J55="Y",IF(OR('Daily Schedule'!$A13=4,'Daily Schedule'!$A13=8),IF(OR(WEEKDAY('Daily Schedule'!$B$2,2)=1,WEEKDAY('Daily Schedule'!$B$2,2)=4,WEEKDAY('Daily Schedule'!$B$2,2)=5,WEEKDAY('Daily Schedule'!$B$2,2)=7),IFERROR(1*'Daily Workforce'!$K55&gt;=3,FALSE()),IFERROR(1*'Daily Workforce'!$K55&gt;=2,FALSE())),IF(AND('Daily Schedule'!$A13&gt;=46,'Daily Schedule'!$A13&lt;=52),'Daily Workforce'!$M55="Y",IFERROR(1*'Daily Workforce'!$P55&gt;=2,FALSE()))))),1,0)</f>
        <v>1</v>
      </c>
      <c r="BO9" s="1" t="n">
        <f aca="false">IF(AND('Daily Workforce'!$N56="Y",'Daily Workforce'!$B56&lt;&gt;"",COUNTIF('Daily Schedule'!$F$5:$F12,'Daily Workforce'!$B56)=0,IF('Daily Schedule'!$A13=45,'Daily Workforce'!$J56="Y",IF(OR('Daily Schedule'!$A13=4,'Daily Schedule'!$A13=8),IF(OR(WEEKDAY('Daily Schedule'!$B$2,2)=1,WEEKDAY('Daily Schedule'!$B$2,2)=4,WEEKDAY('Daily Schedule'!$B$2,2)=5,WEEKDAY('Daily Schedule'!$B$2,2)=7),IFERROR(1*'Daily Workforce'!$K56&gt;=3,FALSE()),IFERROR(1*'Daily Workforce'!$K56&gt;=2,FALSE())),IF(AND('Daily Schedule'!$A13&gt;=46,'Daily Schedule'!$A13&lt;=52),'Daily Workforce'!$M56="Y",IFERROR(1*'Daily Workforce'!$P56&gt;=2,FALSE()))))),1,0)</f>
        <v>1</v>
      </c>
      <c r="BP9" s="1" t="n">
        <f aca="false">IF(AND('Daily Workforce'!$N57="Y",'Daily Workforce'!$B57&lt;&gt;"",COUNTIF('Daily Schedule'!$F$5:$F12,'Daily Workforce'!$B57)=0,IF('Daily Schedule'!$A13=45,'Daily Workforce'!$J57="Y",IF(OR('Daily Schedule'!$A13=4,'Daily Schedule'!$A13=8),IF(OR(WEEKDAY('Daily Schedule'!$B$2,2)=1,WEEKDAY('Daily Schedule'!$B$2,2)=4,WEEKDAY('Daily Schedule'!$B$2,2)=5,WEEKDAY('Daily Schedule'!$B$2,2)=7),IFERROR(1*'Daily Workforce'!$K57&gt;=3,FALSE()),IFERROR(1*'Daily Workforce'!$K57&gt;=2,FALSE())),IF(AND('Daily Schedule'!$A13&gt;=46,'Daily Schedule'!$A13&lt;=52),'Daily Workforce'!$M57="Y",IFERROR(1*'Daily Workforce'!$P57&gt;=2,FALSE()))))),1,0)</f>
        <v>0</v>
      </c>
      <c r="BQ9" s="1" t="n">
        <f aca="false">IF(AND('Daily Workforce'!$N58="Y",'Daily Workforce'!$B58&lt;&gt;"",COUNTIF('Daily Schedule'!$F$5:$F12,'Daily Workforce'!$B58)=0,IF('Daily Schedule'!$A13=45,'Daily Workforce'!$J58="Y",IF(OR('Daily Schedule'!$A13=4,'Daily Schedule'!$A13=8),IF(OR(WEEKDAY('Daily Schedule'!$B$2,2)=1,WEEKDAY('Daily Schedule'!$B$2,2)=4,WEEKDAY('Daily Schedule'!$B$2,2)=5,WEEKDAY('Daily Schedule'!$B$2,2)=7),IFERROR(1*'Daily Workforce'!$K58&gt;=3,FALSE()),IFERROR(1*'Daily Workforce'!$K58&gt;=2,FALSE())),IF(AND('Daily Schedule'!$A13&gt;=46,'Daily Schedule'!$A13&lt;=52),'Daily Workforce'!$M58="Y",IFERROR(1*'Daily Workforce'!$P58&gt;=2,FALSE()))))),1,0)</f>
        <v>1</v>
      </c>
      <c r="BR9" s="1" t="n">
        <f aca="false">IF(AND('Daily Workforce'!$N59="Y",'Daily Workforce'!$B59&lt;&gt;"",COUNTIF('Daily Schedule'!$F$5:$F12,'Daily Workforce'!$B59)=0,IF('Daily Schedule'!$A13=45,'Daily Workforce'!$J59="Y",IF(OR('Daily Schedule'!$A13=4,'Daily Schedule'!$A13=8),IF(OR(WEEKDAY('Daily Schedule'!$B$2,2)=1,WEEKDAY('Daily Schedule'!$B$2,2)=4,WEEKDAY('Daily Schedule'!$B$2,2)=5,WEEKDAY('Daily Schedule'!$B$2,2)=7),IFERROR(1*'Daily Workforce'!$K59&gt;=3,FALSE()),IFERROR(1*'Daily Workforce'!$K59&gt;=2,FALSE())),IF(AND('Daily Schedule'!$A13&gt;=46,'Daily Schedule'!$A13&lt;=52),'Daily Workforce'!$M59="Y",IFERROR(1*'Daily Workforce'!$P59&gt;=2,FALSE()))))),1,0)</f>
        <v>1</v>
      </c>
      <c r="BS9" s="1" t="n">
        <f aca="false">IF(AND('Daily Workforce'!$N60="Y",'Daily Workforce'!$B60&lt;&gt;"",COUNTIF('Daily Schedule'!$F$5:$F12,'Daily Workforce'!$B60)=0,IF('Daily Schedule'!$A13=45,'Daily Workforce'!$J60="Y",IF(OR('Daily Schedule'!$A13=4,'Daily Schedule'!$A13=8),IF(OR(WEEKDAY('Daily Schedule'!$B$2,2)=1,WEEKDAY('Daily Schedule'!$B$2,2)=4,WEEKDAY('Daily Schedule'!$B$2,2)=5,WEEKDAY('Daily Schedule'!$B$2,2)=7),IFERROR(1*'Daily Workforce'!$K60&gt;=3,FALSE()),IFERROR(1*'Daily Workforce'!$K60&gt;=2,FALSE())),IF(AND('Daily Schedule'!$A13&gt;=46,'Daily Schedule'!$A13&lt;=52),'Daily Workforce'!$M60="Y",IFERROR(1*'Daily Workforce'!$P60&gt;=2,FALSE()))))),1,0)</f>
        <v>1</v>
      </c>
      <c r="BT9" s="1" t="n">
        <f aca="false">IF(AND('Daily Workforce'!$N61="Y",'Daily Workforce'!$B61&lt;&gt;"",COUNTIF('Daily Schedule'!$F$5:$F12,'Daily Workforce'!$B61)=0,IF('Daily Schedule'!$A13=45,'Daily Workforce'!$J61="Y",IF(OR('Daily Schedule'!$A13=4,'Daily Schedule'!$A13=8),IF(OR(WEEKDAY('Daily Schedule'!$B$2,2)=1,WEEKDAY('Daily Schedule'!$B$2,2)=4,WEEKDAY('Daily Schedule'!$B$2,2)=5,WEEKDAY('Daily Schedule'!$B$2,2)=7),IFERROR(1*'Daily Workforce'!$K61&gt;=3,FALSE()),IFERROR(1*'Daily Workforce'!$K61&gt;=2,FALSE())),IF(AND('Daily Schedule'!$A13&gt;=46,'Daily Schedule'!$A13&lt;=52),'Daily Workforce'!$M61="Y",IFERROR(1*'Daily Workforce'!$P61&gt;=2,FALSE()))))),1,0)</f>
        <v>0</v>
      </c>
      <c r="BU9" s="1" t="n">
        <f aca="false">IF(AND('Daily Workforce'!$N62="Y",'Daily Workforce'!$B62&lt;&gt;"",COUNTIF('Daily Schedule'!$F$5:$F12,'Daily Workforce'!$B62)=0,IF('Daily Schedule'!$A13=45,'Daily Workforce'!$J62="Y",IF(OR('Daily Schedule'!$A13=4,'Daily Schedule'!$A13=8),IF(OR(WEEKDAY('Daily Schedule'!$B$2,2)=1,WEEKDAY('Daily Schedule'!$B$2,2)=4,WEEKDAY('Daily Schedule'!$B$2,2)=5,WEEKDAY('Daily Schedule'!$B$2,2)=7),IFERROR(1*'Daily Workforce'!$K62&gt;=3,FALSE()),IFERROR(1*'Daily Workforce'!$K62&gt;=2,FALSE())),IF(AND('Daily Schedule'!$A13&gt;=46,'Daily Schedule'!$A13&lt;=52),'Daily Workforce'!$M62="Y",IFERROR(1*'Daily Workforce'!$P62&gt;=2,FALSE()))))),1,0)</f>
        <v>1</v>
      </c>
      <c r="BV9" s="1" t="n">
        <f aca="false">IF(AND('Daily Workforce'!$N63="Y",'Daily Workforce'!$B63&lt;&gt;"",COUNTIF('Daily Schedule'!$F$5:$F12,'Daily Workforce'!$B63)=0,IF('Daily Schedule'!$A13=45,'Daily Workforce'!$J63="Y",IF(OR('Daily Schedule'!$A13=4,'Daily Schedule'!$A13=8),IF(OR(WEEKDAY('Daily Schedule'!$B$2,2)=1,WEEKDAY('Daily Schedule'!$B$2,2)=4,WEEKDAY('Daily Schedule'!$B$2,2)=5,WEEKDAY('Daily Schedule'!$B$2,2)=7),IFERROR(1*'Daily Workforce'!$K63&gt;=3,FALSE()),IFERROR(1*'Daily Workforce'!$K63&gt;=2,FALSE())),IF(AND('Daily Schedule'!$A13&gt;=46,'Daily Schedule'!$A13&lt;=52),'Daily Workforce'!$M63="Y",IFERROR(1*'Daily Workforce'!$P63&gt;=2,FALSE()))))),1,0)</f>
        <v>1</v>
      </c>
      <c r="BW9" s="1" t="n">
        <f aca="false">IF(AND('Daily Workforce'!$N64="Y",'Daily Workforce'!$B64&lt;&gt;"",COUNTIF('Daily Schedule'!$F$5:$F12,'Daily Workforce'!$B64)=0,IF('Daily Schedule'!$A13=45,'Daily Workforce'!$J64="Y",IF(OR('Daily Schedule'!$A13=4,'Daily Schedule'!$A13=8),IF(OR(WEEKDAY('Daily Schedule'!$B$2,2)=1,WEEKDAY('Daily Schedule'!$B$2,2)=4,WEEKDAY('Daily Schedule'!$B$2,2)=5,WEEKDAY('Daily Schedule'!$B$2,2)=7),IFERROR(1*'Daily Workforce'!$K64&gt;=3,FALSE()),IFERROR(1*'Daily Workforce'!$K64&gt;=2,FALSE())),IF(AND('Daily Schedule'!$A13&gt;=46,'Daily Schedule'!$A13&lt;=52),'Daily Workforce'!$M64="Y",IFERROR(1*'Daily Workforce'!$P64&gt;=2,FALSE()))))),1,0)</f>
        <v>1</v>
      </c>
      <c r="BX9" s="1" t="n">
        <f aca="false">IF(AND('Daily Workforce'!$N65="Y",'Daily Workforce'!$B65&lt;&gt;"",COUNTIF('Daily Schedule'!$F$5:$F12,'Daily Workforce'!$B65)=0,IF('Daily Schedule'!$A13=45,'Daily Workforce'!$J65="Y",IF(OR('Daily Schedule'!$A13=4,'Daily Schedule'!$A13=8),IF(OR(WEEKDAY('Daily Schedule'!$B$2,2)=1,WEEKDAY('Daily Schedule'!$B$2,2)=4,WEEKDAY('Daily Schedule'!$B$2,2)=5,WEEKDAY('Daily Schedule'!$B$2,2)=7),IFERROR(1*'Daily Workforce'!$K65&gt;=3,FALSE()),IFERROR(1*'Daily Workforce'!$K65&gt;=2,FALSE())),IF(AND('Daily Schedule'!$A13&gt;=46,'Daily Schedule'!$A13&lt;=52),'Daily Workforce'!$M65="Y",IFERROR(1*'Daily Workforce'!$P65&gt;=2,FALSE()))))),1,0)</f>
        <v>1</v>
      </c>
      <c r="BY9" s="1" t="n">
        <f aca="false">IF(AND('Daily Workforce'!$N66="Y",'Daily Workforce'!$B66&lt;&gt;"",COUNTIF('Daily Schedule'!$F$5:$F12,'Daily Workforce'!$B66)=0,IF('Daily Schedule'!$A13=45,'Daily Workforce'!$J66="Y",IF(OR('Daily Schedule'!$A13=4,'Daily Schedule'!$A13=8),IF(OR(WEEKDAY('Daily Schedule'!$B$2,2)=1,WEEKDAY('Daily Schedule'!$B$2,2)=4,WEEKDAY('Daily Schedule'!$B$2,2)=5,WEEKDAY('Daily Schedule'!$B$2,2)=7),IFERROR(1*'Daily Workforce'!$K66&gt;=3,FALSE()),IFERROR(1*'Daily Workforce'!$K66&gt;=2,FALSE())),IF(AND('Daily Schedule'!$A13&gt;=46,'Daily Schedule'!$A13&lt;=52),'Daily Workforce'!$M66="Y",IFERROR(1*'Daily Workforce'!$P66&gt;=2,FALSE()))))),1,0)</f>
        <v>1</v>
      </c>
      <c r="BZ9" s="1" t="n">
        <f aca="false">IF(AND('Daily Workforce'!$N67="Y",'Daily Workforce'!$B67&lt;&gt;"",COUNTIF('Daily Schedule'!$F$5:$F12,'Daily Workforce'!$B67)=0,IF('Daily Schedule'!$A13=45,'Daily Workforce'!$J67="Y",IF(OR('Daily Schedule'!$A13=4,'Daily Schedule'!$A13=8),IF(OR(WEEKDAY('Daily Schedule'!$B$2,2)=1,WEEKDAY('Daily Schedule'!$B$2,2)=4,WEEKDAY('Daily Schedule'!$B$2,2)=5,WEEKDAY('Daily Schedule'!$B$2,2)=7),IFERROR(1*'Daily Workforce'!$K67&gt;=3,FALSE()),IFERROR(1*'Daily Workforce'!$K67&gt;=2,FALSE())),IF(AND('Daily Schedule'!$A13&gt;=46,'Daily Schedule'!$A13&lt;=52),'Daily Workforce'!$M67="Y",IFERROR(1*'Daily Workforce'!$P67&gt;=2,FALSE()))))),1,0)</f>
        <v>1</v>
      </c>
      <c r="CA9" s="1" t="n">
        <f aca="false">IF(AND('Daily Workforce'!$N68="Y",'Daily Workforce'!$B68&lt;&gt;"",COUNTIF('Daily Schedule'!$F$5:$F12,'Daily Workforce'!$B68)=0,IF('Daily Schedule'!$A13=45,'Daily Workforce'!$J68="Y",IF(OR('Daily Schedule'!$A13=4,'Daily Schedule'!$A13=8),IF(OR(WEEKDAY('Daily Schedule'!$B$2,2)=1,WEEKDAY('Daily Schedule'!$B$2,2)=4,WEEKDAY('Daily Schedule'!$B$2,2)=5,WEEKDAY('Daily Schedule'!$B$2,2)=7),IFERROR(1*'Daily Workforce'!$K68&gt;=3,FALSE()),IFERROR(1*'Daily Workforce'!$K68&gt;=2,FALSE())),IF(AND('Daily Schedule'!$A13&gt;=46,'Daily Schedule'!$A13&lt;=52),'Daily Workforce'!$M68="Y",IFERROR(1*'Daily Workforce'!$P68&gt;=2,FALSE()))))),1,0)</f>
        <v>1</v>
      </c>
      <c r="CB9" s="1" t="n">
        <f aca="false">IF(AND('Daily Workforce'!$N69="Y",'Daily Workforce'!$B69&lt;&gt;"",COUNTIF('Daily Schedule'!$F$5:$F12,'Daily Workforce'!$B69)=0,IF('Daily Schedule'!$A13=45,'Daily Workforce'!$J69="Y",IF(OR('Daily Schedule'!$A13=4,'Daily Schedule'!$A13=8),IF(OR(WEEKDAY('Daily Schedule'!$B$2,2)=1,WEEKDAY('Daily Schedule'!$B$2,2)=4,WEEKDAY('Daily Schedule'!$B$2,2)=5,WEEKDAY('Daily Schedule'!$B$2,2)=7),IFERROR(1*'Daily Workforce'!$K69&gt;=3,FALSE()),IFERROR(1*'Daily Workforce'!$K69&gt;=2,FALSE())),IF(AND('Daily Schedule'!$A13&gt;=46,'Daily Schedule'!$A13&lt;=52),'Daily Workforce'!$M69="Y",IFERROR(1*'Daily Workforce'!$P69&gt;=2,FALSE()))))),1,0)</f>
        <v>1</v>
      </c>
      <c r="CC9" s="1" t="n">
        <f aca="false">IF(AND('Daily Workforce'!$N70="Y",'Daily Workforce'!$B70&lt;&gt;"",COUNTIF('Daily Schedule'!$F$5:$F12,'Daily Workforce'!$B70)=0,IF('Daily Schedule'!$A13=45,'Daily Workforce'!$J70="Y",IF(OR('Daily Schedule'!$A13=4,'Daily Schedule'!$A13=8),IF(OR(WEEKDAY('Daily Schedule'!$B$2,2)=1,WEEKDAY('Daily Schedule'!$B$2,2)=4,WEEKDAY('Daily Schedule'!$B$2,2)=5,WEEKDAY('Daily Schedule'!$B$2,2)=7),IFERROR(1*'Daily Workforce'!$K70&gt;=3,FALSE()),IFERROR(1*'Daily Workforce'!$K70&gt;=2,FALSE())),IF(AND('Daily Schedule'!$A13&gt;=46,'Daily Schedule'!$A13&lt;=52),'Daily Workforce'!$M70="Y",IFERROR(1*'Daily Workforce'!$P70&gt;=2,FALSE()))))),1,0)</f>
        <v>1</v>
      </c>
      <c r="CD9" s="1" t="n">
        <f aca="false">IF(AND('Daily Workforce'!$N71="Y",'Daily Workforce'!$B71&lt;&gt;"",COUNTIF('Daily Schedule'!$F$5:$F12,'Daily Workforce'!$B71)=0,IF('Daily Schedule'!$A13=45,'Daily Workforce'!$J71="Y",IF(OR('Daily Schedule'!$A13=4,'Daily Schedule'!$A13=8),IF(OR(WEEKDAY('Daily Schedule'!$B$2,2)=1,WEEKDAY('Daily Schedule'!$B$2,2)=4,WEEKDAY('Daily Schedule'!$B$2,2)=5,WEEKDAY('Daily Schedule'!$B$2,2)=7),IFERROR(1*'Daily Workforce'!$K71&gt;=3,FALSE()),IFERROR(1*'Daily Workforce'!$K71&gt;=2,FALSE())),IF(AND('Daily Schedule'!$A13&gt;=46,'Daily Schedule'!$A13&lt;=52),'Daily Workforce'!$M71="Y",IFERROR(1*'Daily Workforce'!$P71&gt;=2,FALSE()))))),1,0)</f>
        <v>1</v>
      </c>
      <c r="CE9" s="1" t="n">
        <f aca="false">IF(AND('Daily Workforce'!$N72="Y",'Daily Workforce'!$B72&lt;&gt;"",COUNTIF('Daily Schedule'!$F$5:$F12,'Daily Workforce'!$B72)=0,IF('Daily Schedule'!$A13=45,'Daily Workforce'!$J72="Y",IF(OR('Daily Schedule'!$A13=4,'Daily Schedule'!$A13=8),IF(OR(WEEKDAY('Daily Schedule'!$B$2,2)=1,WEEKDAY('Daily Schedule'!$B$2,2)=4,WEEKDAY('Daily Schedule'!$B$2,2)=5,WEEKDAY('Daily Schedule'!$B$2,2)=7),IFERROR(1*'Daily Workforce'!$K72&gt;=3,FALSE()),IFERROR(1*'Daily Workforce'!$K72&gt;=2,FALSE())),IF(AND('Daily Schedule'!$A13&gt;=46,'Daily Schedule'!$A13&lt;=52),'Daily Workforce'!$M72="Y",IFERROR(1*'Daily Workforce'!$P72&gt;=2,FALSE()))))),1,0)</f>
        <v>1</v>
      </c>
      <c r="CF9" s="1" t="n">
        <f aca="false">IF(AND('Daily Workforce'!$N73="Y",'Daily Workforce'!$B73&lt;&gt;"",COUNTIF('Daily Schedule'!$F$5:$F12,'Daily Workforce'!$B73)=0,IF('Daily Schedule'!$A13=45,'Daily Workforce'!$J73="Y",IF(OR('Daily Schedule'!$A13=4,'Daily Schedule'!$A13=8),IF(OR(WEEKDAY('Daily Schedule'!$B$2,2)=1,WEEKDAY('Daily Schedule'!$B$2,2)=4,WEEKDAY('Daily Schedule'!$B$2,2)=5,WEEKDAY('Daily Schedule'!$B$2,2)=7),IFERROR(1*'Daily Workforce'!$K73&gt;=3,FALSE()),IFERROR(1*'Daily Workforce'!$K73&gt;=2,FALSE())),IF(AND('Daily Schedule'!$A13&gt;=46,'Daily Schedule'!$A13&lt;=52),'Daily Workforce'!$M73="Y",IFERROR(1*'Daily Workforce'!$P73&gt;=2,FALSE()))))),1,0)</f>
        <v>1</v>
      </c>
      <c r="CG9" s="1" t="n">
        <f aca="false">IF(AND('Daily Workforce'!$N74="Y",'Daily Workforce'!$B74&lt;&gt;"",COUNTIF('Daily Schedule'!$F$5:$F12,'Daily Workforce'!$B74)=0,IF('Daily Schedule'!$A13=45,'Daily Workforce'!$J74="Y",IF(OR('Daily Schedule'!$A13=4,'Daily Schedule'!$A13=8),IF(OR(WEEKDAY('Daily Schedule'!$B$2,2)=1,WEEKDAY('Daily Schedule'!$B$2,2)=4,WEEKDAY('Daily Schedule'!$B$2,2)=5,WEEKDAY('Daily Schedule'!$B$2,2)=7),IFERROR(1*'Daily Workforce'!$K74&gt;=3,FALSE()),IFERROR(1*'Daily Workforce'!$K74&gt;=2,FALSE())),IF(AND('Daily Schedule'!$A13&gt;=46,'Daily Schedule'!$A13&lt;=52),'Daily Workforce'!$M74="Y",IFERROR(1*'Daily Workforce'!$P74&gt;=2,FALSE()))))),1,0)</f>
        <v>1</v>
      </c>
      <c r="CH9" s="1" t="n">
        <f aca="false">IF(AND('Daily Workforce'!$N75="Y",'Daily Workforce'!$B75&lt;&gt;"",COUNTIF('Daily Schedule'!$F$5:$F12,'Daily Workforce'!$B75)=0,IF('Daily Schedule'!$A13=45,'Daily Workforce'!$J75="Y",IF(OR('Daily Schedule'!$A13=4,'Daily Schedule'!$A13=8),IF(OR(WEEKDAY('Daily Schedule'!$B$2,2)=1,WEEKDAY('Daily Schedule'!$B$2,2)=4,WEEKDAY('Daily Schedule'!$B$2,2)=5,WEEKDAY('Daily Schedule'!$B$2,2)=7),IFERROR(1*'Daily Workforce'!$K75&gt;=3,FALSE()),IFERROR(1*'Daily Workforce'!$K75&gt;=2,FALSE())),IF(AND('Daily Schedule'!$A13&gt;=46,'Daily Schedule'!$A13&lt;=52),'Daily Workforce'!$M75="Y",IFERROR(1*'Daily Workforce'!$P75&gt;=2,FALSE()))))),1,0)</f>
        <v>1</v>
      </c>
      <c r="CI9" s="1" t="n">
        <f aca="false">IF(AND('Daily Workforce'!$N76="Y",'Daily Workforce'!$B76&lt;&gt;"",COUNTIF('Daily Schedule'!$F$5:$F12,'Daily Workforce'!$B76)=0,IF('Daily Schedule'!$A13=45,'Daily Workforce'!$J76="Y",IF(OR('Daily Schedule'!$A13=4,'Daily Schedule'!$A13=8),IF(OR(WEEKDAY('Daily Schedule'!$B$2,2)=1,WEEKDAY('Daily Schedule'!$B$2,2)=4,WEEKDAY('Daily Schedule'!$B$2,2)=5,WEEKDAY('Daily Schedule'!$B$2,2)=7),IFERROR(1*'Daily Workforce'!$K76&gt;=3,FALSE()),IFERROR(1*'Daily Workforce'!$K76&gt;=2,FALSE())),IF(AND('Daily Schedule'!$A13&gt;=46,'Daily Schedule'!$A13&lt;=52),'Daily Workforce'!$M76="Y",IFERROR(1*'Daily Workforce'!$P76&gt;=2,FALSE()))))),1,0)</f>
        <v>1</v>
      </c>
      <c r="CJ9" s="1" t="n">
        <f aca="false">IF(AND('Daily Workforce'!$N77="Y",'Daily Workforce'!$B77&lt;&gt;"",COUNTIF('Daily Schedule'!$F$5:$F12,'Daily Workforce'!$B77)=0,IF('Daily Schedule'!$A13=45,'Daily Workforce'!$J77="Y",IF(OR('Daily Schedule'!$A13=4,'Daily Schedule'!$A13=8),IF(OR(WEEKDAY('Daily Schedule'!$B$2,2)=1,WEEKDAY('Daily Schedule'!$B$2,2)=4,WEEKDAY('Daily Schedule'!$B$2,2)=5,WEEKDAY('Daily Schedule'!$B$2,2)=7),IFERROR(1*'Daily Workforce'!$K77&gt;=3,FALSE()),IFERROR(1*'Daily Workforce'!$K77&gt;=2,FALSE())),IF(AND('Daily Schedule'!$A13&gt;=46,'Daily Schedule'!$A13&lt;=52),'Daily Workforce'!$M77="Y",IFERROR(1*'Daily Workforce'!$P77&gt;=2,FALSE()))))),1,0)</f>
        <v>1</v>
      </c>
      <c r="CK9" s="1" t="n">
        <f aca="false">IF(AND('Daily Workforce'!$N78="Y",'Daily Workforce'!$B78&lt;&gt;"",COUNTIF('Daily Schedule'!$F$5:$F12,'Daily Workforce'!$B78)=0,IF('Daily Schedule'!$A13=45,'Daily Workforce'!$J78="Y",IF(OR('Daily Schedule'!$A13=4,'Daily Schedule'!$A13=8),IF(OR(WEEKDAY('Daily Schedule'!$B$2,2)=1,WEEKDAY('Daily Schedule'!$B$2,2)=4,WEEKDAY('Daily Schedule'!$B$2,2)=5,WEEKDAY('Daily Schedule'!$B$2,2)=7),IFERROR(1*'Daily Workforce'!$K78&gt;=3,FALSE()),IFERROR(1*'Daily Workforce'!$K78&gt;=2,FALSE())),IF(AND('Daily Schedule'!$A13&gt;=46,'Daily Schedule'!$A13&lt;=52),'Daily Workforce'!$M78="Y",IFERROR(1*'Daily Workforce'!$P78&gt;=2,FALSE()))))),1,0)</f>
        <v>1</v>
      </c>
      <c r="CL9" s="1" t="n">
        <f aca="false">IF(AND('Daily Workforce'!$N79="Y",'Daily Workforce'!$B79&lt;&gt;"",COUNTIF('Daily Schedule'!$F$5:$F12,'Daily Workforce'!$B79)=0,IF('Daily Schedule'!$A13=45,'Daily Workforce'!$J79="Y",IF(OR('Daily Schedule'!$A13=4,'Daily Schedule'!$A13=8),IF(OR(WEEKDAY('Daily Schedule'!$B$2,2)=1,WEEKDAY('Daily Schedule'!$B$2,2)=4,WEEKDAY('Daily Schedule'!$B$2,2)=5,WEEKDAY('Daily Schedule'!$B$2,2)=7),IFERROR(1*'Daily Workforce'!$K79&gt;=3,FALSE()),IFERROR(1*'Daily Workforce'!$K79&gt;=2,FALSE())),IF(AND('Daily Schedule'!$A13&gt;=46,'Daily Schedule'!$A13&lt;=52),'Daily Workforce'!$M79="Y",IFERROR(1*'Daily Workforce'!$P79&gt;=2,FALSE()))))),1,0)</f>
        <v>1</v>
      </c>
      <c r="CM9" s="1" t="n">
        <f aca="false">IF(AND('Daily Workforce'!$N80="Y",'Daily Workforce'!$B80&lt;&gt;"",COUNTIF('Daily Schedule'!$F$5:$F12,'Daily Workforce'!$B80)=0,IF('Daily Schedule'!$A13=45,'Daily Workforce'!$J80="Y",IF(OR('Daily Schedule'!$A13=4,'Daily Schedule'!$A13=8),IF(OR(WEEKDAY('Daily Schedule'!$B$2,2)=1,WEEKDAY('Daily Schedule'!$B$2,2)=4,WEEKDAY('Daily Schedule'!$B$2,2)=5,WEEKDAY('Daily Schedule'!$B$2,2)=7),IFERROR(1*'Daily Workforce'!$K80&gt;=3,FALSE()),IFERROR(1*'Daily Workforce'!$K80&gt;=2,FALSE())),IF(AND('Daily Schedule'!$A13&gt;=46,'Daily Schedule'!$A13&lt;=52),'Daily Workforce'!$M80="Y",IFERROR(1*'Daily Workforce'!$P80&gt;=2,FALSE()))))),1,0)</f>
        <v>1</v>
      </c>
      <c r="CN9" s="1" t="n">
        <f aca="false">IF(AND('Daily Workforce'!$N81="Y",'Daily Workforce'!$B81&lt;&gt;"",COUNTIF('Daily Schedule'!$F$5:$F12,'Daily Workforce'!$B81)=0,IF('Daily Schedule'!$A13=45,'Daily Workforce'!$J81="Y",IF(OR('Daily Schedule'!$A13=4,'Daily Schedule'!$A13=8),IF(OR(WEEKDAY('Daily Schedule'!$B$2,2)=1,WEEKDAY('Daily Schedule'!$B$2,2)=4,WEEKDAY('Daily Schedule'!$B$2,2)=5,WEEKDAY('Daily Schedule'!$B$2,2)=7),IFERROR(1*'Daily Workforce'!$K81&gt;=3,FALSE()),IFERROR(1*'Daily Workforce'!$K81&gt;=2,FALSE())),IF(AND('Daily Schedule'!$A13&gt;=46,'Daily Schedule'!$A13&lt;=52),'Daily Workforce'!$M81="Y",IFERROR(1*'Daily Workforce'!$P81&gt;=2,FALSE()))))),1,0)</f>
        <v>1</v>
      </c>
      <c r="CO9" s="1" t="n">
        <f aca="false">IF(AND('Daily Workforce'!$N82="Y",'Daily Workforce'!$B82&lt;&gt;"",COUNTIF('Daily Schedule'!$F$5:$F12,'Daily Workforce'!$B82)=0,IF('Daily Schedule'!$A13=45,'Daily Workforce'!$J82="Y",IF(OR('Daily Schedule'!$A13=4,'Daily Schedule'!$A13=8),IF(OR(WEEKDAY('Daily Schedule'!$B$2,2)=1,WEEKDAY('Daily Schedule'!$B$2,2)=4,WEEKDAY('Daily Schedule'!$B$2,2)=5,WEEKDAY('Daily Schedule'!$B$2,2)=7),IFERROR(1*'Daily Workforce'!$K82&gt;=3,FALSE()),IFERROR(1*'Daily Workforce'!$K82&gt;=2,FALSE())),IF(AND('Daily Schedule'!$A13&gt;=46,'Daily Schedule'!$A13&lt;=52),'Daily Workforce'!$M82="Y",IFERROR(1*'Daily Workforce'!$P82&gt;=2,FALSE()))))),1,0)</f>
        <v>1</v>
      </c>
      <c r="CP9" s="1" t="n">
        <f aca="false">IF(AND('Daily Workforce'!$N83="Y",'Daily Workforce'!$B83&lt;&gt;"",COUNTIF('Daily Schedule'!$F$5:$F12,'Daily Workforce'!$B83)=0,IF('Daily Schedule'!$A13=45,'Daily Workforce'!$J83="Y",IF(OR('Daily Schedule'!$A13=4,'Daily Schedule'!$A13=8),IF(OR(WEEKDAY('Daily Schedule'!$B$2,2)=1,WEEKDAY('Daily Schedule'!$B$2,2)=4,WEEKDAY('Daily Schedule'!$B$2,2)=5,WEEKDAY('Daily Schedule'!$B$2,2)=7),IFERROR(1*'Daily Workforce'!$K83&gt;=3,FALSE()),IFERROR(1*'Daily Workforce'!$K83&gt;=2,FALSE())),IF(AND('Daily Schedule'!$A13&gt;=46,'Daily Schedule'!$A13&lt;=52),'Daily Workforce'!$M83="Y",IFERROR(1*'Daily Workforce'!$P83&gt;=2,FALSE()))))),1,0)</f>
        <v>0</v>
      </c>
      <c r="CQ9" s="1" t="n">
        <f aca="false">IF(AND('Daily Workforce'!$N84="Y",'Daily Workforce'!$B84&lt;&gt;"",COUNTIF('Daily Schedule'!$F$5:$F12,'Daily Workforce'!$B84)=0,IF('Daily Schedule'!$A13=45,'Daily Workforce'!$J84="Y",IF(OR('Daily Schedule'!$A13=4,'Daily Schedule'!$A13=8),IF(OR(WEEKDAY('Daily Schedule'!$B$2,2)=1,WEEKDAY('Daily Schedule'!$B$2,2)=4,WEEKDAY('Daily Schedule'!$B$2,2)=5,WEEKDAY('Daily Schedule'!$B$2,2)=7),IFERROR(1*'Daily Workforce'!$K84&gt;=3,FALSE()),IFERROR(1*'Daily Workforce'!$K84&gt;=2,FALSE())),IF(AND('Daily Schedule'!$A13&gt;=46,'Daily Schedule'!$A13&lt;=52),'Daily Workforce'!$M84="Y",IFERROR(1*'Daily Workforce'!$P84&gt;=2,FALSE()))))),1,0)</f>
        <v>1</v>
      </c>
      <c r="CR9" s="1" t="n">
        <f aca="false">IF(AND('Daily Workforce'!$N85="Y",'Daily Workforce'!$B85&lt;&gt;"",COUNTIF('Daily Schedule'!$F$5:$F12,'Daily Workforce'!$B85)=0,IF('Daily Schedule'!$A13=45,'Daily Workforce'!$J85="Y",IF(OR('Daily Schedule'!$A13=4,'Daily Schedule'!$A13=8),IF(OR(WEEKDAY('Daily Schedule'!$B$2,2)=1,WEEKDAY('Daily Schedule'!$B$2,2)=4,WEEKDAY('Daily Schedule'!$B$2,2)=5,WEEKDAY('Daily Schedule'!$B$2,2)=7),IFERROR(1*'Daily Workforce'!$K85&gt;=3,FALSE()),IFERROR(1*'Daily Workforce'!$K85&gt;=2,FALSE())),IF(AND('Daily Schedule'!$A13&gt;=46,'Daily Schedule'!$A13&lt;=52),'Daily Workforce'!$M85="Y",IFERROR(1*'Daily Workforce'!$P85&gt;=2,FALSE()))))),1,0)</f>
        <v>0</v>
      </c>
      <c r="CS9" s="1" t="n">
        <f aca="false">IF(AND('Daily Workforce'!$N86="Y",'Daily Workforce'!$B86&lt;&gt;"",COUNTIF('Daily Schedule'!$F$5:$F12,'Daily Workforce'!$B86)=0,IF('Daily Schedule'!$A13=45,'Daily Workforce'!$J86="Y",IF(OR('Daily Schedule'!$A13=4,'Daily Schedule'!$A13=8),IF(OR(WEEKDAY('Daily Schedule'!$B$2,2)=1,WEEKDAY('Daily Schedule'!$B$2,2)=4,WEEKDAY('Daily Schedule'!$B$2,2)=5,WEEKDAY('Daily Schedule'!$B$2,2)=7),IFERROR(1*'Daily Workforce'!$K86&gt;=3,FALSE()),IFERROR(1*'Daily Workforce'!$K86&gt;=2,FALSE())),IF(AND('Daily Schedule'!$A13&gt;=46,'Daily Schedule'!$A13&lt;=52),'Daily Workforce'!$M86="Y",IFERROR(1*'Daily Workforce'!$P86&gt;=2,FALSE()))))),1,0)</f>
        <v>1</v>
      </c>
      <c r="CT9" s="1" t="n">
        <f aca="false">IF(AND('Daily Workforce'!$N87="Y",'Daily Workforce'!$B87&lt;&gt;"",COUNTIF('Daily Schedule'!$F$5:$F12,'Daily Workforce'!$B87)=0,IF('Daily Schedule'!$A13=45,'Daily Workforce'!$J87="Y",IF(OR('Daily Schedule'!$A13=4,'Daily Schedule'!$A13=8),IF(OR(WEEKDAY('Daily Schedule'!$B$2,2)=1,WEEKDAY('Daily Schedule'!$B$2,2)=4,WEEKDAY('Daily Schedule'!$B$2,2)=5,WEEKDAY('Daily Schedule'!$B$2,2)=7),IFERROR(1*'Daily Workforce'!$K87&gt;=3,FALSE()),IFERROR(1*'Daily Workforce'!$K87&gt;=2,FALSE())),IF(AND('Daily Schedule'!$A13&gt;=46,'Daily Schedule'!$A13&lt;=52),'Daily Workforce'!$M87="Y",IFERROR(1*'Daily Workforce'!$P87&gt;=2,FALSE()))))),1,0)</f>
        <v>1</v>
      </c>
      <c r="CU9" s="1" t="n">
        <f aca="false">IF(AND('Daily Workforce'!$N88="Y",'Daily Workforce'!$B88&lt;&gt;"",COUNTIF('Daily Schedule'!$F$5:$F12,'Daily Workforce'!$B88)=0,IF('Daily Schedule'!$A13=45,'Daily Workforce'!$J88="Y",IF(OR('Daily Schedule'!$A13=4,'Daily Schedule'!$A13=8),IF(OR(WEEKDAY('Daily Schedule'!$B$2,2)=1,WEEKDAY('Daily Schedule'!$B$2,2)=4,WEEKDAY('Daily Schedule'!$B$2,2)=5,WEEKDAY('Daily Schedule'!$B$2,2)=7),IFERROR(1*'Daily Workforce'!$K88&gt;=3,FALSE()),IFERROR(1*'Daily Workforce'!$K88&gt;=2,FALSE())),IF(AND('Daily Schedule'!$A13&gt;=46,'Daily Schedule'!$A13&lt;=52),'Daily Workforce'!$M88="Y",IFERROR(1*'Daily Workforce'!$P88&gt;=2,FALSE()))))),1,0)</f>
        <v>1</v>
      </c>
      <c r="CV9" s="1" t="n">
        <f aca="false">IF(AND('Daily Workforce'!$N89="Y",'Daily Workforce'!$B89&lt;&gt;"",COUNTIF('Daily Schedule'!$F$5:$F12,'Daily Workforce'!$B89)=0,IF('Daily Schedule'!$A13=45,'Daily Workforce'!$J89="Y",IF(OR('Daily Schedule'!$A13=4,'Daily Schedule'!$A13=8),IF(OR(WEEKDAY('Daily Schedule'!$B$2,2)=1,WEEKDAY('Daily Schedule'!$B$2,2)=4,WEEKDAY('Daily Schedule'!$B$2,2)=5,WEEKDAY('Daily Schedule'!$B$2,2)=7),IFERROR(1*'Daily Workforce'!$K89&gt;=3,FALSE()),IFERROR(1*'Daily Workforce'!$K89&gt;=2,FALSE())),IF(AND('Daily Schedule'!$A13&gt;=46,'Daily Schedule'!$A13&lt;=52),'Daily Workforce'!$M89="Y",IFERROR(1*'Daily Workforce'!$P89&gt;=2,FALSE()))))),1,0)</f>
        <v>1</v>
      </c>
      <c r="CW9" s="1" t="n">
        <f aca="false">IF(AND('Daily Workforce'!$N90="Y",'Daily Workforce'!$B90&lt;&gt;"",COUNTIF('Daily Schedule'!$F$5:$F12,'Daily Workforce'!$B90)=0,IF('Daily Schedule'!$A13=45,'Daily Workforce'!$J90="Y",IF(OR('Daily Schedule'!$A13=4,'Daily Schedule'!$A13=8),IF(OR(WEEKDAY('Daily Schedule'!$B$2,2)=1,WEEKDAY('Daily Schedule'!$B$2,2)=4,WEEKDAY('Daily Schedule'!$B$2,2)=5,WEEKDAY('Daily Schedule'!$B$2,2)=7),IFERROR(1*'Daily Workforce'!$K90&gt;=3,FALSE()),IFERROR(1*'Daily Workforce'!$K90&gt;=2,FALSE())),IF(AND('Daily Schedule'!$A13&gt;=46,'Daily Schedule'!$A13&lt;=52),'Daily Workforce'!$M90="Y",IFERROR(1*'Daily Workforce'!$P90&gt;=2,FALSE()))))),1,0)</f>
        <v>1</v>
      </c>
      <c r="CX9" s="1" t="n">
        <f aca="false">IF(AND('Daily Workforce'!$N91="Y",'Daily Workforce'!$B91&lt;&gt;"",COUNTIF('Daily Schedule'!$F$5:$F12,'Daily Workforce'!$B91)=0,IF('Daily Schedule'!$A13=45,'Daily Workforce'!$J91="Y",IF(OR('Daily Schedule'!$A13=4,'Daily Schedule'!$A13=8),IF(OR(WEEKDAY('Daily Schedule'!$B$2,2)=1,WEEKDAY('Daily Schedule'!$B$2,2)=4,WEEKDAY('Daily Schedule'!$B$2,2)=5,WEEKDAY('Daily Schedule'!$B$2,2)=7),IFERROR(1*'Daily Workforce'!$K91&gt;=3,FALSE()),IFERROR(1*'Daily Workforce'!$K91&gt;=2,FALSE())),IF(AND('Daily Schedule'!$A13&gt;=46,'Daily Schedule'!$A13&lt;=52),'Daily Workforce'!$M91="Y",IFERROR(1*'Daily Workforce'!$P91&gt;=2,FALSE()))))),1,0)</f>
        <v>1</v>
      </c>
      <c r="CY9" s="1" t="n">
        <f aca="false">IF(AND('Daily Workforce'!$N92="Y",'Daily Workforce'!$B92&lt;&gt;"",COUNTIF('Daily Schedule'!$F$5:$F12,'Daily Workforce'!$B92)=0,IF('Daily Schedule'!$A13=45,'Daily Workforce'!$J92="Y",IF(OR('Daily Schedule'!$A13=4,'Daily Schedule'!$A13=8),IF(OR(WEEKDAY('Daily Schedule'!$B$2,2)=1,WEEKDAY('Daily Schedule'!$B$2,2)=4,WEEKDAY('Daily Schedule'!$B$2,2)=5,WEEKDAY('Daily Schedule'!$B$2,2)=7),IFERROR(1*'Daily Workforce'!$K92&gt;=3,FALSE()),IFERROR(1*'Daily Workforce'!$K92&gt;=2,FALSE())),IF(AND('Daily Schedule'!$A13&gt;=46,'Daily Schedule'!$A13&lt;=52),'Daily Workforce'!$M92="Y",IFERROR(1*'Daily Workforce'!$P92&gt;=2,FALSE()))))),1,0)</f>
        <v>1</v>
      </c>
      <c r="CZ9" s="1" t="n">
        <f aca="false">IF(AND('Daily Workforce'!$N93="Y",'Daily Workforce'!$B93&lt;&gt;"",COUNTIF('Daily Schedule'!$F$5:$F12,'Daily Workforce'!$B93)=0,IF('Daily Schedule'!$A13=45,'Daily Workforce'!$J93="Y",IF(OR('Daily Schedule'!$A13=4,'Daily Schedule'!$A13=8),IF(OR(WEEKDAY('Daily Schedule'!$B$2,2)=1,WEEKDAY('Daily Schedule'!$B$2,2)=4,WEEKDAY('Daily Schedule'!$B$2,2)=5,WEEKDAY('Daily Schedule'!$B$2,2)=7),IFERROR(1*'Daily Workforce'!$K93&gt;=3,FALSE()),IFERROR(1*'Daily Workforce'!$K93&gt;=2,FALSE())),IF(AND('Daily Schedule'!$A13&gt;=46,'Daily Schedule'!$A13&lt;=52),'Daily Workforce'!$M93="Y",IFERROR(1*'Daily Workforce'!$P93&gt;=2,FALSE()))))),1,0)</f>
        <v>1</v>
      </c>
      <c r="DA9" s="1" t="n">
        <f aca="false">IF(AND('Daily Workforce'!$N94="Y",'Daily Workforce'!$B94&lt;&gt;"",COUNTIF('Daily Schedule'!$F$5:$F12,'Daily Workforce'!$B94)=0,IF('Daily Schedule'!$A13=45,'Daily Workforce'!$J94="Y",IF(OR('Daily Schedule'!$A13=4,'Daily Schedule'!$A13=8),IF(OR(WEEKDAY('Daily Schedule'!$B$2,2)=1,WEEKDAY('Daily Schedule'!$B$2,2)=4,WEEKDAY('Daily Schedule'!$B$2,2)=5,WEEKDAY('Daily Schedule'!$B$2,2)=7),IFERROR(1*'Daily Workforce'!$K94&gt;=3,FALSE()),IFERROR(1*'Daily Workforce'!$K94&gt;=2,FALSE())),IF(AND('Daily Schedule'!$A13&gt;=46,'Daily Schedule'!$A13&lt;=52),'Daily Workforce'!$M94="Y",IFERROR(1*'Daily Workforce'!$P94&gt;=2,FALSE()))))),1,0)</f>
        <v>1</v>
      </c>
      <c r="DB9" s="1" t="n">
        <f aca="false">IF(AND('Daily Workforce'!$N95="Y",'Daily Workforce'!$B95&lt;&gt;"",COUNTIF('Daily Schedule'!$F$5:$F12,'Daily Workforce'!$B95)=0,IF('Daily Schedule'!$A13=45,'Daily Workforce'!$J95="Y",IF(OR('Daily Schedule'!$A13=4,'Daily Schedule'!$A13=8),IF(OR(WEEKDAY('Daily Schedule'!$B$2,2)=1,WEEKDAY('Daily Schedule'!$B$2,2)=4,WEEKDAY('Daily Schedule'!$B$2,2)=5,WEEKDAY('Daily Schedule'!$B$2,2)=7),IFERROR(1*'Daily Workforce'!$K95&gt;=3,FALSE()),IFERROR(1*'Daily Workforce'!$K95&gt;=2,FALSE())),IF(AND('Daily Schedule'!$A13&gt;=46,'Daily Schedule'!$A13&lt;=52),'Daily Workforce'!$M95="Y",IFERROR(1*'Daily Workforce'!$P95&gt;=2,FALSE()))))),1,0)</f>
        <v>1</v>
      </c>
      <c r="DC9" s="1" t="n">
        <f aca="false">IF(AND('Daily Workforce'!$N96="Y",'Daily Workforce'!$B96&lt;&gt;"",COUNTIF('Daily Schedule'!$F$5:$F12,'Daily Workforce'!$B96)=0,IF('Daily Schedule'!$A13=45,'Daily Workforce'!$J96="Y",IF(OR('Daily Schedule'!$A13=4,'Daily Schedule'!$A13=8),IF(OR(WEEKDAY('Daily Schedule'!$B$2,2)=1,WEEKDAY('Daily Schedule'!$B$2,2)=4,WEEKDAY('Daily Schedule'!$B$2,2)=5,WEEKDAY('Daily Schedule'!$B$2,2)=7),IFERROR(1*'Daily Workforce'!$K96&gt;=3,FALSE()),IFERROR(1*'Daily Workforce'!$K96&gt;=2,FALSE())),IF(AND('Daily Schedule'!$A13&gt;=46,'Daily Schedule'!$A13&lt;=52),'Daily Workforce'!$M96="Y",IFERROR(1*'Daily Workforce'!$P96&gt;=2,FALSE()))))),1,0)</f>
        <v>1</v>
      </c>
      <c r="DD9" s="1" t="n">
        <f aca="false">IF(AND('Daily Workforce'!$N97="Y",'Daily Workforce'!$B97&lt;&gt;"",COUNTIF('Daily Schedule'!$F$5:$F12,'Daily Workforce'!$B97)=0,IF('Daily Schedule'!$A13=45,'Daily Workforce'!$J97="Y",IF(OR('Daily Schedule'!$A13=4,'Daily Schedule'!$A13=8),IF(OR(WEEKDAY('Daily Schedule'!$B$2,2)=1,WEEKDAY('Daily Schedule'!$B$2,2)=4,WEEKDAY('Daily Schedule'!$B$2,2)=5,WEEKDAY('Daily Schedule'!$B$2,2)=7),IFERROR(1*'Daily Workforce'!$K97&gt;=3,FALSE()),IFERROR(1*'Daily Workforce'!$K97&gt;=2,FALSE())),IF(AND('Daily Schedule'!$A13&gt;=46,'Daily Schedule'!$A13&lt;=52),'Daily Workforce'!$M97="Y",IFERROR(1*'Daily Workforce'!$P97&gt;=2,FALSE()))))),1,0)</f>
        <v>1</v>
      </c>
      <c r="DE9" s="1" t="n">
        <f aca="false">IF(AND('Daily Workforce'!$N98="Y",'Daily Workforce'!$B98&lt;&gt;"",COUNTIF('Daily Schedule'!$F$5:$F12,'Daily Workforce'!$B98)=0,IF('Daily Schedule'!$A13=45,'Daily Workforce'!$J98="Y",IF(OR('Daily Schedule'!$A13=4,'Daily Schedule'!$A13=8),IF(OR(WEEKDAY('Daily Schedule'!$B$2,2)=1,WEEKDAY('Daily Schedule'!$B$2,2)=4,WEEKDAY('Daily Schedule'!$B$2,2)=5,WEEKDAY('Daily Schedule'!$B$2,2)=7),IFERROR(1*'Daily Workforce'!$K98&gt;=3,FALSE()),IFERROR(1*'Daily Workforce'!$K98&gt;=2,FALSE())),IF(AND('Daily Schedule'!$A13&gt;=46,'Daily Schedule'!$A13&lt;=52),'Daily Workforce'!$M98="Y",IFERROR(1*'Daily Workforce'!$P98&gt;=2,FALSE()))))),1,0)</f>
        <v>1</v>
      </c>
      <c r="DF9" s="1" t="n">
        <f aca="false">IF(AND('Daily Workforce'!$N99="Y",'Daily Workforce'!$B99&lt;&gt;"",COUNTIF('Daily Schedule'!$F$5:$F12,'Daily Workforce'!$B99)=0,IF('Daily Schedule'!$A13=45,'Daily Workforce'!$J99="Y",IF(OR('Daily Schedule'!$A13=4,'Daily Schedule'!$A13=8),IF(OR(WEEKDAY('Daily Schedule'!$B$2,2)=1,WEEKDAY('Daily Schedule'!$B$2,2)=4,WEEKDAY('Daily Schedule'!$B$2,2)=5,WEEKDAY('Daily Schedule'!$B$2,2)=7),IFERROR(1*'Daily Workforce'!$K99&gt;=3,FALSE()),IFERROR(1*'Daily Workforce'!$K99&gt;=2,FALSE())),IF(AND('Daily Schedule'!$A13&gt;=46,'Daily Schedule'!$A13&lt;=52),'Daily Workforce'!$M99="Y",IFERROR(1*'Daily Workforce'!$P99&gt;=2,FALSE()))))),1,0)</f>
        <v>1</v>
      </c>
      <c r="DG9" s="1" t="n">
        <f aca="false">IF(AND('Daily Workforce'!$N100="Y",'Daily Workforce'!$B100&lt;&gt;"",COUNTIF('Daily Schedule'!$F$5:$F12,'Daily Workforce'!$B100)=0,IF('Daily Schedule'!$A13=45,'Daily Workforce'!$J100="Y",IF(OR('Daily Schedule'!$A13=4,'Daily Schedule'!$A13=8),IF(OR(WEEKDAY('Daily Schedule'!$B$2,2)=1,WEEKDAY('Daily Schedule'!$B$2,2)=4,WEEKDAY('Daily Schedule'!$B$2,2)=5,WEEKDAY('Daily Schedule'!$B$2,2)=7),IFERROR(1*'Daily Workforce'!$K100&gt;=3,FALSE()),IFERROR(1*'Daily Workforce'!$K100&gt;=2,FALSE())),IF(AND('Daily Schedule'!$A13&gt;=46,'Daily Schedule'!$A13&lt;=52),'Daily Workforce'!$M100="Y",IFERROR(1*'Daily Workforce'!$P100&gt;=2,FALSE()))))),1,0)</f>
        <v>1</v>
      </c>
      <c r="DH9" s="1" t="n">
        <f aca="false">IF(AND('Daily Workforce'!$N101="Y",'Daily Workforce'!$B101&lt;&gt;"",COUNTIF('Daily Schedule'!$F$5:$F12,'Daily Workforce'!$B101)=0,IF('Daily Schedule'!$A13=45,'Daily Workforce'!$J101="Y",IF(OR('Daily Schedule'!$A13=4,'Daily Schedule'!$A13=8),IF(OR(WEEKDAY('Daily Schedule'!$B$2,2)=1,WEEKDAY('Daily Schedule'!$B$2,2)=4,WEEKDAY('Daily Schedule'!$B$2,2)=5,WEEKDAY('Daily Schedule'!$B$2,2)=7),IFERROR(1*'Daily Workforce'!$K101&gt;=3,FALSE()),IFERROR(1*'Daily Workforce'!$K101&gt;=2,FALSE())),IF(AND('Daily Schedule'!$A13&gt;=46,'Daily Schedule'!$A13&lt;=52),'Daily Workforce'!$M101="Y",IFERROR(1*'Daily Workforce'!$P101&gt;=2,FALSE()))))),1,0)</f>
        <v>1</v>
      </c>
      <c r="DI9" s="1" t="n">
        <f aca="false">IF(AND('Daily Workforce'!$N102="Y",'Daily Workforce'!$B102&lt;&gt;"",COUNTIF('Daily Schedule'!$F$5:$F12,'Daily Workforce'!$B102)=0,IF('Daily Schedule'!$A13=45,'Daily Workforce'!$J102="Y",IF(OR('Daily Schedule'!$A13=4,'Daily Schedule'!$A13=8),IF(OR(WEEKDAY('Daily Schedule'!$B$2,2)=1,WEEKDAY('Daily Schedule'!$B$2,2)=4,WEEKDAY('Daily Schedule'!$B$2,2)=5,WEEKDAY('Daily Schedule'!$B$2,2)=7),IFERROR(1*'Daily Workforce'!$K102&gt;=3,FALSE()),IFERROR(1*'Daily Workforce'!$K102&gt;=2,FALSE())),IF(AND('Daily Schedule'!$A13&gt;=46,'Daily Schedule'!$A13&lt;=52),'Daily Workforce'!$M102="Y",IFERROR(1*'Daily Workforce'!$P102&gt;=2,FALSE()))))),1,0)</f>
        <v>1</v>
      </c>
      <c r="DJ9" s="1" t="n">
        <f aca="false">IF(AND('Daily Workforce'!$N103="Y",'Daily Workforce'!$B103&lt;&gt;"",COUNTIF('Daily Schedule'!$F$5:$F12,'Daily Workforce'!$B103)=0,IF('Daily Schedule'!$A13=45,'Daily Workforce'!$J103="Y",IF(OR('Daily Schedule'!$A13=4,'Daily Schedule'!$A13=8),IF(OR(WEEKDAY('Daily Schedule'!$B$2,2)=1,WEEKDAY('Daily Schedule'!$B$2,2)=4,WEEKDAY('Daily Schedule'!$B$2,2)=5,WEEKDAY('Daily Schedule'!$B$2,2)=7),IFERROR(1*'Daily Workforce'!$K103&gt;=3,FALSE()),IFERROR(1*'Daily Workforce'!$K103&gt;=2,FALSE())),IF(AND('Daily Schedule'!$A13&gt;=46,'Daily Schedule'!$A13&lt;=52),'Daily Workforce'!$M103="Y",IFERROR(1*'Daily Workforce'!$P103&gt;=2,FALSE()))))),1,0)</f>
        <v>1</v>
      </c>
      <c r="DK9" s="1" t="n">
        <f aca="false">IF(AND('Daily Workforce'!$N104="Y",'Daily Workforce'!$B104&lt;&gt;"",COUNTIF('Daily Schedule'!$F$5:$F12,'Daily Workforce'!$B104)=0,IF('Daily Schedule'!$A13=45,'Daily Workforce'!$J104="Y",IF(OR('Daily Schedule'!$A13=4,'Daily Schedule'!$A13=8),IF(OR(WEEKDAY('Daily Schedule'!$B$2,2)=1,WEEKDAY('Daily Schedule'!$B$2,2)=4,WEEKDAY('Daily Schedule'!$B$2,2)=5,WEEKDAY('Daily Schedule'!$B$2,2)=7),IFERROR(1*'Daily Workforce'!$K104&gt;=3,FALSE()),IFERROR(1*'Daily Workforce'!$K104&gt;=2,FALSE())),IF(AND('Daily Schedule'!$A13&gt;=46,'Daily Schedule'!$A13&lt;=52),'Daily Workforce'!$M104="Y",IFERROR(1*'Daily Workforce'!$P104&gt;=2,FALSE()))))),1,0)</f>
        <v>1</v>
      </c>
      <c r="DL9" s="1" t="n">
        <f aca="false">IF(AND('Daily Workforce'!$N105="Y",'Daily Workforce'!$B105&lt;&gt;"",COUNTIF('Daily Schedule'!$F$5:$F12,'Daily Workforce'!$B105)=0,IF('Daily Schedule'!$A13=45,'Daily Workforce'!$J105="Y",IF(OR('Daily Schedule'!$A13=4,'Daily Schedule'!$A13=8),IF(OR(WEEKDAY('Daily Schedule'!$B$2,2)=1,WEEKDAY('Daily Schedule'!$B$2,2)=4,WEEKDAY('Daily Schedule'!$B$2,2)=5,WEEKDAY('Daily Schedule'!$B$2,2)=7),IFERROR(1*'Daily Workforce'!$K105&gt;=3,FALSE()),IFERROR(1*'Daily Workforce'!$K105&gt;=2,FALSE())),IF(AND('Daily Schedule'!$A13&gt;=46,'Daily Schedule'!$A13&lt;=52),'Daily Workforce'!$M105="Y",IFERROR(1*'Daily Workforce'!$P105&gt;=2,FALSE()))))),1,0)</f>
        <v>0</v>
      </c>
      <c r="DM9" s="1" t="n">
        <f aca="false">IF(AND('Daily Workforce'!$N106="Y",'Daily Workforce'!$B106&lt;&gt;"",COUNTIF('Daily Schedule'!$F$5:$F12,'Daily Workforce'!$B106)=0,IF('Daily Schedule'!$A13=45,'Daily Workforce'!$J106="Y",IF(OR('Daily Schedule'!$A13=4,'Daily Schedule'!$A13=8),IF(OR(WEEKDAY('Daily Schedule'!$B$2,2)=1,WEEKDAY('Daily Schedule'!$B$2,2)=4,WEEKDAY('Daily Schedule'!$B$2,2)=5,WEEKDAY('Daily Schedule'!$B$2,2)=7),IFERROR(1*'Daily Workforce'!$K106&gt;=3,FALSE()),IFERROR(1*'Daily Workforce'!$K106&gt;=2,FALSE())),IF(AND('Daily Schedule'!$A13&gt;=46,'Daily Schedule'!$A13&lt;=52),'Daily Workforce'!$M106="Y",IFERROR(1*'Daily Workforce'!$P106&gt;=2,FALSE()))))),1,0)</f>
        <v>1</v>
      </c>
      <c r="DN9" s="1" t="n">
        <f aca="false">IF(AND('Daily Workforce'!$N107="Y",'Daily Workforce'!$B107&lt;&gt;"",COUNTIF('Daily Schedule'!$F$5:$F12,'Daily Workforce'!$B107)=0,IF('Daily Schedule'!$A13=45,'Daily Workforce'!$J107="Y",IF(OR('Daily Schedule'!$A13=4,'Daily Schedule'!$A13=8),IF(OR(WEEKDAY('Daily Schedule'!$B$2,2)=1,WEEKDAY('Daily Schedule'!$B$2,2)=4,WEEKDAY('Daily Schedule'!$B$2,2)=5,WEEKDAY('Daily Schedule'!$B$2,2)=7),IFERROR(1*'Daily Workforce'!$K107&gt;=3,FALSE()),IFERROR(1*'Daily Workforce'!$K107&gt;=2,FALSE())),IF(AND('Daily Schedule'!$A13&gt;=46,'Daily Schedule'!$A13&lt;=52),'Daily Workforce'!$M107="Y",IFERROR(1*'Daily Workforce'!$P107&gt;=2,FALSE()))))),1,0)</f>
        <v>1</v>
      </c>
      <c r="DO9" s="1" t="n">
        <f aca="false">IF(AND('Daily Workforce'!$N108="Y",'Daily Workforce'!$B108&lt;&gt;"",COUNTIF('Daily Schedule'!$F$5:$F12,'Daily Workforce'!$B108)=0,IF('Daily Schedule'!$A13=45,'Daily Workforce'!$J108="Y",IF(OR('Daily Schedule'!$A13=4,'Daily Schedule'!$A13=8),IF(OR(WEEKDAY('Daily Schedule'!$B$2,2)=1,WEEKDAY('Daily Schedule'!$B$2,2)=4,WEEKDAY('Daily Schedule'!$B$2,2)=5,WEEKDAY('Daily Schedule'!$B$2,2)=7),IFERROR(1*'Daily Workforce'!$K108&gt;=3,FALSE()),IFERROR(1*'Daily Workforce'!$K108&gt;=2,FALSE())),IF(AND('Daily Schedule'!$A13&gt;=46,'Daily Schedule'!$A13&lt;=52),'Daily Workforce'!$M108="Y",IFERROR(1*'Daily Workforce'!$P108&gt;=2,FALSE()))))),1,0)</f>
        <v>1</v>
      </c>
      <c r="DP9" s="1" t="n">
        <f aca="false">IF(AND('Daily Workforce'!$N109="Y",'Daily Workforce'!$B109&lt;&gt;"",COUNTIF('Daily Schedule'!$F$5:$F12,'Daily Workforce'!$B109)=0,IF('Daily Schedule'!$A13=45,'Daily Workforce'!$J109="Y",IF(OR('Daily Schedule'!$A13=4,'Daily Schedule'!$A13=8),IF(OR(WEEKDAY('Daily Schedule'!$B$2,2)=1,WEEKDAY('Daily Schedule'!$B$2,2)=4,WEEKDAY('Daily Schedule'!$B$2,2)=5,WEEKDAY('Daily Schedule'!$B$2,2)=7),IFERROR(1*'Daily Workforce'!$K109&gt;=3,FALSE()),IFERROR(1*'Daily Workforce'!$K109&gt;=2,FALSE())),IF(AND('Daily Schedule'!$A13&gt;=46,'Daily Schedule'!$A13&lt;=52),'Daily Workforce'!$M109="Y",IFERROR(1*'Daily Workforce'!$P109&gt;=2,FALSE()))))),1,0)</f>
        <v>1</v>
      </c>
      <c r="DQ9" s="1" t="n">
        <f aca="false">IF(AND('Daily Workforce'!$N110="Y",'Daily Workforce'!$B110&lt;&gt;"",COUNTIF('Daily Schedule'!$F$5:$F12,'Daily Workforce'!$B110)=0,IF('Daily Schedule'!$A13=45,'Daily Workforce'!$J110="Y",IF(OR('Daily Schedule'!$A13=4,'Daily Schedule'!$A13=8),IF(OR(WEEKDAY('Daily Schedule'!$B$2,2)=1,WEEKDAY('Daily Schedule'!$B$2,2)=4,WEEKDAY('Daily Schedule'!$B$2,2)=5,WEEKDAY('Daily Schedule'!$B$2,2)=7),IFERROR(1*'Daily Workforce'!$K110&gt;=3,FALSE()),IFERROR(1*'Daily Workforce'!$K110&gt;=2,FALSE())),IF(AND('Daily Schedule'!$A13&gt;=46,'Daily Schedule'!$A13&lt;=52),'Daily Workforce'!$M110="Y",IFERROR(1*'Daily Workforce'!$P110&gt;=2,FALSE()))))),1,0)</f>
        <v>1</v>
      </c>
      <c r="DR9" s="1" t="n">
        <f aca="false">IF(AND('Daily Workforce'!$N111="Y",'Daily Workforce'!$B111&lt;&gt;"",COUNTIF('Daily Schedule'!$F$5:$F12,'Daily Workforce'!$B111)=0,IF('Daily Schedule'!$A13=45,'Daily Workforce'!$J111="Y",IF(OR('Daily Schedule'!$A13=4,'Daily Schedule'!$A13=8),IF(OR(WEEKDAY('Daily Schedule'!$B$2,2)=1,WEEKDAY('Daily Schedule'!$B$2,2)=4,WEEKDAY('Daily Schedule'!$B$2,2)=5,WEEKDAY('Daily Schedule'!$B$2,2)=7),IFERROR(1*'Daily Workforce'!$K111&gt;=3,FALSE()),IFERROR(1*'Daily Workforce'!$K111&gt;=2,FALSE())),IF(AND('Daily Schedule'!$A13&gt;=46,'Daily Schedule'!$A13&lt;=52),'Daily Workforce'!$M111="Y",IFERROR(1*'Daily Workforce'!$P111&gt;=2,FALSE()))))),1,0)</f>
        <v>1</v>
      </c>
      <c r="DS9" s="1" t="n">
        <f aca="false">IF(AND('Daily Workforce'!$N112="Y",'Daily Workforce'!$B112&lt;&gt;"",COUNTIF('Daily Schedule'!$F$5:$F12,'Daily Workforce'!$B112)=0,IF('Daily Schedule'!$A13=45,'Daily Workforce'!$J112="Y",IF(OR('Daily Schedule'!$A13=4,'Daily Schedule'!$A13=8),IF(OR(WEEKDAY('Daily Schedule'!$B$2,2)=1,WEEKDAY('Daily Schedule'!$B$2,2)=4,WEEKDAY('Daily Schedule'!$B$2,2)=5,WEEKDAY('Daily Schedule'!$B$2,2)=7),IFERROR(1*'Daily Workforce'!$K112&gt;=3,FALSE()),IFERROR(1*'Daily Workforce'!$K112&gt;=2,FALSE())),IF(AND('Daily Schedule'!$A13&gt;=46,'Daily Schedule'!$A13&lt;=52),'Daily Workforce'!$M112="Y",IFERROR(1*'Daily Workforce'!$P112&gt;=2,FALSE()))))),1,0)</f>
        <v>1</v>
      </c>
      <c r="DT9" s="1" t="n">
        <f aca="false">IF(AND('Daily Workforce'!$N113="Y",'Daily Workforce'!$B113&lt;&gt;"",COUNTIF('Daily Schedule'!$F$5:$F12,'Daily Workforce'!$B113)=0,IF('Daily Schedule'!$A13=45,'Daily Workforce'!$J113="Y",IF(OR('Daily Schedule'!$A13=4,'Daily Schedule'!$A13=8),IF(OR(WEEKDAY('Daily Schedule'!$B$2,2)=1,WEEKDAY('Daily Schedule'!$B$2,2)=4,WEEKDAY('Daily Schedule'!$B$2,2)=5,WEEKDAY('Daily Schedule'!$B$2,2)=7),IFERROR(1*'Daily Workforce'!$K113&gt;=3,FALSE()),IFERROR(1*'Daily Workforce'!$K113&gt;=2,FALSE())),IF(AND('Daily Schedule'!$A13&gt;=46,'Daily Schedule'!$A13&lt;=52),'Daily Workforce'!$M113="Y",IFERROR(1*'Daily Workforce'!$P113&gt;=2,FALSE()))))),1,0)</f>
        <v>1</v>
      </c>
      <c r="DU9" s="1" t="n">
        <f aca="false">IF(AND('Daily Workforce'!$N114="Y",'Daily Workforce'!$B114&lt;&gt;"",COUNTIF('Daily Schedule'!$F$5:$F12,'Daily Workforce'!$B114)=0,IF('Daily Schedule'!$A13=45,'Daily Workforce'!$J114="Y",IF(OR('Daily Schedule'!$A13=4,'Daily Schedule'!$A13=8),IF(OR(WEEKDAY('Daily Schedule'!$B$2,2)=1,WEEKDAY('Daily Schedule'!$B$2,2)=4,WEEKDAY('Daily Schedule'!$B$2,2)=5,WEEKDAY('Daily Schedule'!$B$2,2)=7),IFERROR(1*'Daily Workforce'!$K114&gt;=3,FALSE()),IFERROR(1*'Daily Workforce'!$K114&gt;=2,FALSE())),IF(AND('Daily Schedule'!$A13&gt;=46,'Daily Schedule'!$A13&lt;=52),'Daily Workforce'!$M114="Y",IFERROR(1*'Daily Workforce'!$P114&gt;=2,FALSE()))))),1,0)</f>
        <v>1</v>
      </c>
      <c r="DV9" s="1" t="n">
        <f aca="false">IF(AND('Daily Workforce'!$N115="Y",'Daily Workforce'!$B115&lt;&gt;"",COUNTIF('Daily Schedule'!$F$5:$F12,'Daily Workforce'!$B115)=0,IF('Daily Schedule'!$A13=45,'Daily Workforce'!$J115="Y",IF(OR('Daily Schedule'!$A13=4,'Daily Schedule'!$A13=8),IF(OR(WEEKDAY('Daily Schedule'!$B$2,2)=1,WEEKDAY('Daily Schedule'!$B$2,2)=4,WEEKDAY('Daily Schedule'!$B$2,2)=5,WEEKDAY('Daily Schedule'!$B$2,2)=7),IFERROR(1*'Daily Workforce'!$K115&gt;=3,FALSE()),IFERROR(1*'Daily Workforce'!$K115&gt;=2,FALSE())),IF(AND('Daily Schedule'!$A13&gt;=46,'Daily Schedule'!$A13&lt;=52),'Daily Workforce'!$M115="Y",IFERROR(1*'Daily Workforce'!$P115&gt;=2,FALSE()))))),1,0)</f>
        <v>1</v>
      </c>
      <c r="DW9" s="1" t="n">
        <f aca="false">IF(AND('Daily Workforce'!$N116="Y",'Daily Workforce'!$B116&lt;&gt;"",COUNTIF('Daily Schedule'!$F$5:$F12,'Daily Workforce'!$B116)=0,IF('Daily Schedule'!$A13=45,'Daily Workforce'!$J116="Y",IF(OR('Daily Schedule'!$A13=4,'Daily Schedule'!$A13=8),IF(OR(WEEKDAY('Daily Schedule'!$B$2,2)=1,WEEKDAY('Daily Schedule'!$B$2,2)=4,WEEKDAY('Daily Schedule'!$B$2,2)=5,WEEKDAY('Daily Schedule'!$B$2,2)=7),IFERROR(1*'Daily Workforce'!$K116&gt;=3,FALSE()),IFERROR(1*'Daily Workforce'!$K116&gt;=2,FALSE())),IF(AND('Daily Schedule'!$A13&gt;=46,'Daily Schedule'!$A13&lt;=52),'Daily Workforce'!$M116="Y",IFERROR(1*'Daily Workforce'!$P116&gt;=2,FALSE()))))),1,0)</f>
        <v>1</v>
      </c>
      <c r="DX9" s="1" t="n">
        <f aca="false">IF(AND('Daily Workforce'!$N117="Y",'Daily Workforce'!$B117&lt;&gt;"",COUNTIF('Daily Schedule'!$F$5:$F12,'Daily Workforce'!$B117)=0,IF('Daily Schedule'!$A13=45,'Daily Workforce'!$J117="Y",IF(OR('Daily Schedule'!$A13=4,'Daily Schedule'!$A13=8),IF(OR(WEEKDAY('Daily Schedule'!$B$2,2)=1,WEEKDAY('Daily Schedule'!$B$2,2)=4,WEEKDAY('Daily Schedule'!$B$2,2)=5,WEEKDAY('Daily Schedule'!$B$2,2)=7),IFERROR(1*'Daily Workforce'!$K117&gt;=3,FALSE()),IFERROR(1*'Daily Workforce'!$K117&gt;=2,FALSE())),IF(AND('Daily Schedule'!$A13&gt;=46,'Daily Schedule'!$A13&lt;=52),'Daily Workforce'!$M117="Y",IFERROR(1*'Daily Workforce'!$P117&gt;=2,FALSE()))))),1,0)</f>
        <v>1</v>
      </c>
      <c r="DY9" s="1" t="n">
        <f aca="false">IF(AND('Daily Workforce'!$N118="Y",'Daily Workforce'!$B118&lt;&gt;"",COUNTIF('Daily Schedule'!$F$5:$F12,'Daily Workforce'!$B118)=0,IF('Daily Schedule'!$A13=45,'Daily Workforce'!$J118="Y",IF(OR('Daily Schedule'!$A13=4,'Daily Schedule'!$A13=8),IF(OR(WEEKDAY('Daily Schedule'!$B$2,2)=1,WEEKDAY('Daily Schedule'!$B$2,2)=4,WEEKDAY('Daily Schedule'!$B$2,2)=5,WEEKDAY('Daily Schedule'!$B$2,2)=7),IFERROR(1*'Daily Workforce'!$K118&gt;=3,FALSE()),IFERROR(1*'Daily Workforce'!$K118&gt;=2,FALSE())),IF(AND('Daily Schedule'!$A13&gt;=46,'Daily Schedule'!$A13&lt;=52),'Daily Workforce'!$M118="Y",IFERROR(1*'Daily Workforce'!$P118&gt;=2,FALSE()))))),1,0)</f>
        <v>0</v>
      </c>
      <c r="DZ9" s="1" t="n">
        <f aca="false">IF(AND('Daily Workforce'!$N119="Y",'Daily Workforce'!$B119&lt;&gt;"",COUNTIF('Daily Schedule'!$F$5:$F12,'Daily Workforce'!$B119)=0,IF('Daily Schedule'!$A13=45,'Daily Workforce'!$J119="Y",IF(OR('Daily Schedule'!$A13=4,'Daily Schedule'!$A13=8),IF(OR(WEEKDAY('Daily Schedule'!$B$2,2)=1,WEEKDAY('Daily Schedule'!$B$2,2)=4,WEEKDAY('Daily Schedule'!$B$2,2)=5,WEEKDAY('Daily Schedule'!$B$2,2)=7),IFERROR(1*'Daily Workforce'!$K119&gt;=3,FALSE()),IFERROR(1*'Daily Workforce'!$K119&gt;=2,FALSE())),IF(AND('Daily Schedule'!$A13&gt;=46,'Daily Schedule'!$A13&lt;=52),'Daily Workforce'!$M119="Y",IFERROR(1*'Daily Workforce'!$P119&gt;=2,FALSE()))))),1,0)</f>
        <v>0</v>
      </c>
      <c r="EA9" s="1" t="n">
        <f aca="false">IF(AND('Daily Workforce'!$N120="Y",'Daily Workforce'!$B120&lt;&gt;"",COUNTIF('Daily Schedule'!$F$5:$F12,'Daily Workforce'!$B120)=0,IF('Daily Schedule'!$A13=45,'Daily Workforce'!$J120="Y",IF(OR('Daily Schedule'!$A13=4,'Daily Schedule'!$A13=8),IF(OR(WEEKDAY('Daily Schedule'!$B$2,2)=1,WEEKDAY('Daily Schedule'!$B$2,2)=4,WEEKDAY('Daily Schedule'!$B$2,2)=5,WEEKDAY('Daily Schedule'!$B$2,2)=7),IFERROR(1*'Daily Workforce'!$K120&gt;=3,FALSE()),IFERROR(1*'Daily Workforce'!$K120&gt;=2,FALSE())),IF(AND('Daily Schedule'!$A13&gt;=46,'Daily Schedule'!$A13&lt;=52),'Daily Workforce'!$M120="Y",IFERROR(1*'Daily Workforce'!$P120&gt;=2,FALSE()))))),1,0)</f>
        <v>0</v>
      </c>
      <c r="EB9" s="1" t="n">
        <f aca="false">IF(AND('Daily Workforce'!$N121="Y",'Daily Workforce'!$B121&lt;&gt;"",COUNTIF('Daily Schedule'!$F$5:$F12,'Daily Workforce'!$B121)=0,IF('Daily Schedule'!$A13=45,'Daily Workforce'!$J121="Y",IF(OR('Daily Schedule'!$A13=4,'Daily Schedule'!$A13=8),IF(OR(WEEKDAY('Daily Schedule'!$B$2,2)=1,WEEKDAY('Daily Schedule'!$B$2,2)=4,WEEKDAY('Daily Schedule'!$B$2,2)=5,WEEKDAY('Daily Schedule'!$B$2,2)=7),IFERROR(1*'Daily Workforce'!$K121&gt;=3,FALSE()),IFERROR(1*'Daily Workforce'!$K121&gt;=2,FALSE())),IF(AND('Daily Schedule'!$A13&gt;=46,'Daily Schedule'!$A13&lt;=52),'Daily Workforce'!$M121="Y",IFERROR(1*'Daily Workforce'!$P121&gt;=2,FALSE()))))),1,0)</f>
        <v>0</v>
      </c>
      <c r="EC9" s="1" t="n">
        <f aca="false">IF(AND('Daily Workforce'!$N122="Y",'Daily Workforce'!$B122&lt;&gt;"",COUNTIF('Daily Schedule'!$F$5:$F12,'Daily Workforce'!$B122)=0,IF('Daily Schedule'!$A13=45,'Daily Workforce'!$J122="Y",IF(OR('Daily Schedule'!$A13=4,'Daily Schedule'!$A13=8),IF(OR(WEEKDAY('Daily Schedule'!$B$2,2)=1,WEEKDAY('Daily Schedule'!$B$2,2)=4,WEEKDAY('Daily Schedule'!$B$2,2)=5,WEEKDAY('Daily Schedule'!$B$2,2)=7),IFERROR(1*'Daily Workforce'!$K122&gt;=3,FALSE()),IFERROR(1*'Daily Workforce'!$K122&gt;=2,FALSE())),IF(AND('Daily Schedule'!$A13&gt;=46,'Daily Schedule'!$A13&lt;=52),'Daily Workforce'!$M122="Y",IFERROR(1*'Daily Workforce'!$P122&gt;=2,FALSE()))))),1,0)</f>
        <v>0</v>
      </c>
      <c r="ED9" s="1" t="n">
        <f aca="false">IF(AND('Daily Workforce'!$N123="Y",'Daily Workforce'!$B123&lt;&gt;"",COUNTIF('Daily Schedule'!$F$5:$F12,'Daily Workforce'!$B123)=0,IF('Daily Schedule'!$A13=45,'Daily Workforce'!$J123="Y",IF(OR('Daily Schedule'!$A13=4,'Daily Schedule'!$A13=8),IF(OR(WEEKDAY('Daily Schedule'!$B$2,2)=1,WEEKDAY('Daily Schedule'!$B$2,2)=4,WEEKDAY('Daily Schedule'!$B$2,2)=5,WEEKDAY('Daily Schedule'!$B$2,2)=7),IFERROR(1*'Daily Workforce'!$K123&gt;=3,FALSE()),IFERROR(1*'Daily Workforce'!$K123&gt;=2,FALSE())),IF(AND('Daily Schedule'!$A13&gt;=46,'Daily Schedule'!$A13&lt;=52),'Daily Workforce'!$M123="Y",IFERROR(1*'Daily Workforce'!$P123&gt;=2,FALSE()))))),1,0)</f>
        <v>0</v>
      </c>
      <c r="EE9" s="1" t="n">
        <f aca="false">IF(AND('Daily Workforce'!$N124="Y",'Daily Workforce'!$B124&lt;&gt;"",COUNTIF('Daily Schedule'!$F$5:$F12,'Daily Workforce'!$B124)=0,IF('Daily Schedule'!$A13=45,'Daily Workforce'!$J124="Y",IF(OR('Daily Schedule'!$A13=4,'Daily Schedule'!$A13=8),IF(OR(WEEKDAY('Daily Schedule'!$B$2,2)=1,WEEKDAY('Daily Schedule'!$B$2,2)=4,WEEKDAY('Daily Schedule'!$B$2,2)=5,WEEKDAY('Daily Schedule'!$B$2,2)=7),IFERROR(1*'Daily Workforce'!$K124&gt;=3,FALSE()),IFERROR(1*'Daily Workforce'!$K124&gt;=2,FALSE())),IF(AND('Daily Schedule'!$A13&gt;=46,'Daily Schedule'!$A13&lt;=52),'Daily Workforce'!$M124="Y",IFERROR(1*'Daily Workforce'!$P124&gt;=2,FALSE()))))),1,0)</f>
        <v>0</v>
      </c>
      <c r="EF9" s="1" t="n">
        <f aca="false">IF(AND('Daily Workforce'!$N125="Y",'Daily Workforce'!$B125&lt;&gt;"",COUNTIF('Daily Schedule'!$F$5:$F12,'Daily Workforce'!$B125)=0,IF('Daily Schedule'!$A13=45,'Daily Workforce'!$J125="Y",IF(OR('Daily Schedule'!$A13=4,'Daily Schedule'!$A13=8),IF(OR(WEEKDAY('Daily Schedule'!$B$2,2)=1,WEEKDAY('Daily Schedule'!$B$2,2)=4,WEEKDAY('Daily Schedule'!$B$2,2)=5,WEEKDAY('Daily Schedule'!$B$2,2)=7),IFERROR(1*'Daily Workforce'!$K125&gt;=3,FALSE()),IFERROR(1*'Daily Workforce'!$K125&gt;=2,FALSE())),IF(AND('Daily Schedule'!$A13&gt;=46,'Daily Schedule'!$A13&lt;=52),'Daily Workforce'!$M125="Y",IFERROR(1*'Daily Workforce'!$P125&gt;=2,FALSE()))))),1,0)</f>
        <v>0</v>
      </c>
      <c r="EG9" s="1" t="n">
        <f aca="false">IF(AND('Daily Workforce'!$N126="Y",'Daily Workforce'!$B126&lt;&gt;"",COUNTIF('Daily Schedule'!$F$5:$F12,'Daily Workforce'!$B126)=0,IF('Daily Schedule'!$A13=45,'Daily Workforce'!$J126="Y",IF(OR('Daily Schedule'!$A13=4,'Daily Schedule'!$A13=8),IF(OR(WEEKDAY('Daily Schedule'!$B$2,2)=1,WEEKDAY('Daily Schedule'!$B$2,2)=4,WEEKDAY('Daily Schedule'!$B$2,2)=5,WEEKDAY('Daily Schedule'!$B$2,2)=7),IFERROR(1*'Daily Workforce'!$K126&gt;=3,FALSE()),IFERROR(1*'Daily Workforce'!$K126&gt;=2,FALSE())),IF(AND('Daily Schedule'!$A13&gt;=46,'Daily Schedule'!$A13&lt;=52),'Daily Workforce'!$M126="Y",IFERROR(1*'Daily Workforce'!$P126&gt;=2,FALSE()))))),1,0)</f>
        <v>0</v>
      </c>
      <c r="EH9" s="1" t="n">
        <f aca="false">IF(AND('Daily Workforce'!$N127="Y",'Daily Workforce'!$B127&lt;&gt;"",COUNTIF('Daily Schedule'!$F$5:$F12,'Daily Workforce'!$B127)=0,IF('Daily Schedule'!$A13=45,'Daily Workforce'!$J127="Y",IF(OR('Daily Schedule'!$A13=4,'Daily Schedule'!$A13=8),IF(OR(WEEKDAY('Daily Schedule'!$B$2,2)=1,WEEKDAY('Daily Schedule'!$B$2,2)=4,WEEKDAY('Daily Schedule'!$B$2,2)=5,WEEKDAY('Daily Schedule'!$B$2,2)=7),IFERROR(1*'Daily Workforce'!$K127&gt;=3,FALSE()),IFERROR(1*'Daily Workforce'!$K127&gt;=2,FALSE())),IF(AND('Daily Schedule'!$A13&gt;=46,'Daily Schedule'!$A13&lt;=52),'Daily Workforce'!$M127="Y",IFERROR(1*'Daily Workforce'!$P127&gt;=2,FALSE()))))),1,0)</f>
        <v>0</v>
      </c>
      <c r="EI9" s="1" t="n">
        <f aca="false">IF(AND('Daily Workforce'!$N128="Y",'Daily Workforce'!$B128&lt;&gt;"",COUNTIF('Daily Schedule'!$F$5:$F12,'Daily Workforce'!$B128)=0,IF('Daily Schedule'!$A13=45,'Daily Workforce'!$J128="Y",IF(OR('Daily Schedule'!$A13=4,'Daily Schedule'!$A13=8),IF(OR(WEEKDAY('Daily Schedule'!$B$2,2)=1,WEEKDAY('Daily Schedule'!$B$2,2)=4,WEEKDAY('Daily Schedule'!$B$2,2)=5,WEEKDAY('Daily Schedule'!$B$2,2)=7),IFERROR(1*'Daily Workforce'!$K128&gt;=3,FALSE()),IFERROR(1*'Daily Workforce'!$K128&gt;=2,FALSE())),IF(AND('Daily Schedule'!$A13&gt;=46,'Daily Schedule'!$A13&lt;=52),'Daily Workforce'!$M128="Y",IFERROR(1*'Daily Workforce'!$P128&gt;=2,FALSE()))))),1,0)</f>
        <v>0</v>
      </c>
      <c r="EJ9" s="1" t="n">
        <f aca="false">IF(AND('Daily Workforce'!$N129="Y",'Daily Workforce'!$B129&lt;&gt;"",COUNTIF('Daily Schedule'!$F$5:$F12,'Daily Workforce'!$B129)=0,IF('Daily Schedule'!$A13=45,'Daily Workforce'!$J129="Y",IF(OR('Daily Schedule'!$A13=4,'Daily Schedule'!$A13=8),IF(OR(WEEKDAY('Daily Schedule'!$B$2,2)=1,WEEKDAY('Daily Schedule'!$B$2,2)=4,WEEKDAY('Daily Schedule'!$B$2,2)=5,WEEKDAY('Daily Schedule'!$B$2,2)=7),IFERROR(1*'Daily Workforce'!$K129&gt;=3,FALSE()),IFERROR(1*'Daily Workforce'!$K129&gt;=2,FALSE())),IF(AND('Daily Schedule'!$A13&gt;=46,'Daily Schedule'!$A13&lt;=52),'Daily Workforce'!$M129="Y",IFERROR(1*'Daily Workforce'!$P129&gt;=2,FALSE()))))),1,0)</f>
        <v>0</v>
      </c>
      <c r="EK9" s="1" t="n">
        <f aca="false">IF(AND('Daily Workforce'!$N130="Y",'Daily Workforce'!$B130&lt;&gt;"",COUNTIF('Daily Schedule'!$F$5:$F12,'Daily Workforce'!$B130)=0,IF('Daily Schedule'!$A13=45,'Daily Workforce'!$J130="Y",IF(OR('Daily Schedule'!$A13=4,'Daily Schedule'!$A13=8),IF(OR(WEEKDAY('Daily Schedule'!$B$2,2)=1,WEEKDAY('Daily Schedule'!$B$2,2)=4,WEEKDAY('Daily Schedule'!$B$2,2)=5,WEEKDAY('Daily Schedule'!$B$2,2)=7),IFERROR(1*'Daily Workforce'!$K130&gt;=3,FALSE()),IFERROR(1*'Daily Workforce'!$K130&gt;=2,FALSE())),IF(AND('Daily Schedule'!$A13&gt;=46,'Daily Schedule'!$A13&lt;=52),'Daily Workforce'!$M130="Y",IFERROR(1*'Daily Workforce'!$P130&gt;=2,FALSE()))))),1,0)</f>
        <v>0</v>
      </c>
      <c r="EL9" s="1" t="n">
        <f aca="false">IF(AND('Daily Workforce'!$N131="Y",'Daily Workforce'!$B131&lt;&gt;"",COUNTIF('Daily Schedule'!$F$5:$F12,'Daily Workforce'!$B131)=0,IF('Daily Schedule'!$A13=45,'Daily Workforce'!$J131="Y",IF(OR('Daily Schedule'!$A13=4,'Daily Schedule'!$A13=8),IF(OR(WEEKDAY('Daily Schedule'!$B$2,2)=1,WEEKDAY('Daily Schedule'!$B$2,2)=4,WEEKDAY('Daily Schedule'!$B$2,2)=5,WEEKDAY('Daily Schedule'!$B$2,2)=7),IFERROR(1*'Daily Workforce'!$K131&gt;=3,FALSE()),IFERROR(1*'Daily Workforce'!$K131&gt;=2,FALSE())),IF(AND('Daily Schedule'!$A13&gt;=46,'Daily Schedule'!$A13&lt;=52),'Daily Workforce'!$M131="Y",IFERROR(1*'Daily Workforce'!$P131&gt;=2,FALSE()))))),1,0)</f>
        <v>0</v>
      </c>
      <c r="EM9" s="1" t="n">
        <f aca="false">IF(AND('Daily Workforce'!$N132="Y",'Daily Workforce'!$B132&lt;&gt;"",COUNTIF('Daily Schedule'!$F$5:$F12,'Daily Workforce'!$B132)=0,IF('Daily Schedule'!$A13=45,'Daily Workforce'!$J132="Y",IF(OR('Daily Schedule'!$A13=4,'Daily Schedule'!$A13=8),IF(OR(WEEKDAY('Daily Schedule'!$B$2,2)=1,WEEKDAY('Daily Schedule'!$B$2,2)=4,WEEKDAY('Daily Schedule'!$B$2,2)=5,WEEKDAY('Daily Schedule'!$B$2,2)=7),IFERROR(1*'Daily Workforce'!$K132&gt;=3,FALSE()),IFERROR(1*'Daily Workforce'!$K132&gt;=2,FALSE())),IF(AND('Daily Schedule'!$A13&gt;=46,'Daily Schedule'!$A13&lt;=52),'Daily Workforce'!$M132="Y",IFERROR(1*'Daily Workforce'!$P132&gt;=2,FALSE()))))),1,0)</f>
        <v>0</v>
      </c>
      <c r="EN9" s="1" t="n">
        <f aca="false">IF(AND('Daily Workforce'!$N133="Y",'Daily Workforce'!$B133&lt;&gt;"",COUNTIF('Daily Schedule'!$F$5:$F12,'Daily Workforce'!$B133)=0,IF('Daily Schedule'!$A13=45,'Daily Workforce'!$J133="Y",IF(OR('Daily Schedule'!$A13=4,'Daily Schedule'!$A13=8),IF(OR(WEEKDAY('Daily Schedule'!$B$2,2)=1,WEEKDAY('Daily Schedule'!$B$2,2)=4,WEEKDAY('Daily Schedule'!$B$2,2)=5,WEEKDAY('Daily Schedule'!$B$2,2)=7),IFERROR(1*'Daily Workforce'!$K133&gt;=3,FALSE()),IFERROR(1*'Daily Workforce'!$K133&gt;=2,FALSE())),IF(AND('Daily Schedule'!$A13&gt;=46,'Daily Schedule'!$A13&lt;=52),'Daily Workforce'!$M133="Y",IFERROR(1*'Daily Workforce'!$P133&gt;=2,FALSE()))))),1,0)</f>
        <v>0</v>
      </c>
      <c r="EO9" s="1" t="n">
        <f aca="false">IF(AND('Daily Workforce'!$N134="Y",'Daily Workforce'!$B134&lt;&gt;"",COUNTIF('Daily Schedule'!$F$5:$F12,'Daily Workforce'!$B134)=0,IF('Daily Schedule'!$A13=45,'Daily Workforce'!$J134="Y",IF(OR('Daily Schedule'!$A13=4,'Daily Schedule'!$A13=8),IF(OR(WEEKDAY('Daily Schedule'!$B$2,2)=1,WEEKDAY('Daily Schedule'!$B$2,2)=4,WEEKDAY('Daily Schedule'!$B$2,2)=5,WEEKDAY('Daily Schedule'!$B$2,2)=7),IFERROR(1*'Daily Workforce'!$K134&gt;=3,FALSE()),IFERROR(1*'Daily Workforce'!$K134&gt;=2,FALSE())),IF(AND('Daily Schedule'!$A13&gt;=46,'Daily Schedule'!$A13&lt;=52),'Daily Workforce'!$M134="Y",IFERROR(1*'Daily Workforce'!$P134&gt;=2,FALSE()))))),1,0)</f>
        <v>0</v>
      </c>
      <c r="EP9" s="1" t="n">
        <f aca="false">IF(AND('Daily Workforce'!$N135="Y",'Daily Workforce'!$B135&lt;&gt;"",COUNTIF('Daily Schedule'!$F$5:$F12,'Daily Workforce'!$B135)=0,IF('Daily Schedule'!$A13=45,'Daily Workforce'!$J135="Y",IF(OR('Daily Schedule'!$A13=4,'Daily Schedule'!$A13=8),IF(OR(WEEKDAY('Daily Schedule'!$B$2,2)=1,WEEKDAY('Daily Schedule'!$B$2,2)=4,WEEKDAY('Daily Schedule'!$B$2,2)=5,WEEKDAY('Daily Schedule'!$B$2,2)=7),IFERROR(1*'Daily Workforce'!$K135&gt;=3,FALSE()),IFERROR(1*'Daily Workforce'!$K135&gt;=2,FALSE())),IF(AND('Daily Schedule'!$A13&gt;=46,'Daily Schedule'!$A13&lt;=52),'Daily Workforce'!$M135="Y",IFERROR(1*'Daily Workforce'!$P135&gt;=2,FALSE()))))),1,0)</f>
        <v>0</v>
      </c>
      <c r="EQ9" s="1" t="n">
        <f aca="false">IF(AND('Daily Workforce'!$N136="Y",'Daily Workforce'!$B136&lt;&gt;"",COUNTIF('Daily Schedule'!$F$5:$F12,'Daily Workforce'!$B136)=0,IF('Daily Schedule'!$A13=45,'Daily Workforce'!$J136="Y",IF(OR('Daily Schedule'!$A13=4,'Daily Schedule'!$A13=8),IF(OR(WEEKDAY('Daily Schedule'!$B$2,2)=1,WEEKDAY('Daily Schedule'!$B$2,2)=4,WEEKDAY('Daily Schedule'!$B$2,2)=5,WEEKDAY('Daily Schedule'!$B$2,2)=7),IFERROR(1*'Daily Workforce'!$K136&gt;=3,FALSE()),IFERROR(1*'Daily Workforce'!$K136&gt;=2,FALSE())),IF(AND('Daily Schedule'!$A13&gt;=46,'Daily Schedule'!$A13&lt;=52),'Daily Workforce'!$M136="Y",IFERROR(1*'Daily Workforce'!$P136&gt;=2,FALSE()))))),1,0)</f>
        <v>0</v>
      </c>
      <c r="ER9" s="1" t="n">
        <f aca="false">IF(AND('Daily Workforce'!$N137="Y",'Daily Workforce'!$B137&lt;&gt;"",COUNTIF('Daily Schedule'!$F$5:$F12,'Daily Workforce'!$B137)=0,IF('Daily Schedule'!$A13=45,'Daily Workforce'!$J137="Y",IF(OR('Daily Schedule'!$A13=4,'Daily Schedule'!$A13=8),IF(OR(WEEKDAY('Daily Schedule'!$B$2,2)=1,WEEKDAY('Daily Schedule'!$B$2,2)=4,WEEKDAY('Daily Schedule'!$B$2,2)=5,WEEKDAY('Daily Schedule'!$B$2,2)=7),IFERROR(1*'Daily Workforce'!$K137&gt;=3,FALSE()),IFERROR(1*'Daily Workforce'!$K137&gt;=2,FALSE())),IF(AND('Daily Schedule'!$A13&gt;=46,'Daily Schedule'!$A13&lt;=52),'Daily Workforce'!$M137="Y",IFERROR(1*'Daily Workforce'!$P137&gt;=2,FALSE()))))),1,0)</f>
        <v>0</v>
      </c>
      <c r="ES9" s="1" t="n">
        <f aca="false">IF(AND('Daily Workforce'!$N138="Y",'Daily Workforce'!$B138&lt;&gt;"",COUNTIF('Daily Schedule'!$F$5:$F12,'Daily Workforce'!$B138)=0,IF('Daily Schedule'!$A13=45,'Daily Workforce'!$J138="Y",IF(OR('Daily Schedule'!$A13=4,'Daily Schedule'!$A13=8),IF(OR(WEEKDAY('Daily Schedule'!$B$2,2)=1,WEEKDAY('Daily Schedule'!$B$2,2)=4,WEEKDAY('Daily Schedule'!$B$2,2)=5,WEEKDAY('Daily Schedule'!$B$2,2)=7),IFERROR(1*'Daily Workforce'!$K138&gt;=3,FALSE()),IFERROR(1*'Daily Workforce'!$K138&gt;=2,FALSE())),IF(AND('Daily Schedule'!$A13&gt;=46,'Daily Schedule'!$A13&lt;=52),'Daily Workforce'!$M138="Y",IFERROR(1*'Daily Workforce'!$P138&gt;=2,FALSE()))))),1,0)</f>
        <v>0</v>
      </c>
      <c r="ET9" s="1" t="n">
        <f aca="false">IF(AND('Daily Workforce'!$N139="Y",'Daily Workforce'!$B139&lt;&gt;"",COUNTIF('Daily Schedule'!$F$5:$F12,'Daily Workforce'!$B139)=0,IF('Daily Schedule'!$A13=45,'Daily Workforce'!$J139="Y",IF(OR('Daily Schedule'!$A13=4,'Daily Schedule'!$A13=8),IF(OR(WEEKDAY('Daily Schedule'!$B$2,2)=1,WEEKDAY('Daily Schedule'!$B$2,2)=4,WEEKDAY('Daily Schedule'!$B$2,2)=5,WEEKDAY('Daily Schedule'!$B$2,2)=7),IFERROR(1*'Daily Workforce'!$K139&gt;=3,FALSE()),IFERROR(1*'Daily Workforce'!$K139&gt;=2,FALSE())),IF(AND('Daily Schedule'!$A13&gt;=46,'Daily Schedule'!$A13&lt;=52),'Daily Workforce'!$M139="Y",IFERROR(1*'Daily Workforce'!$P139&gt;=2,FALSE()))))),1,0)</f>
        <v>0</v>
      </c>
      <c r="EU9" s="1" t="n">
        <f aca="false">IF(AND('Daily Workforce'!$N140="Y",'Daily Workforce'!$B140&lt;&gt;"",COUNTIF('Daily Schedule'!$F$5:$F12,'Daily Workforce'!$B140)=0,IF('Daily Schedule'!$A13=45,'Daily Workforce'!$J140="Y",IF(OR('Daily Schedule'!$A13=4,'Daily Schedule'!$A13=8),IF(OR(WEEKDAY('Daily Schedule'!$B$2,2)=1,WEEKDAY('Daily Schedule'!$B$2,2)=4,WEEKDAY('Daily Schedule'!$B$2,2)=5,WEEKDAY('Daily Schedule'!$B$2,2)=7),IFERROR(1*'Daily Workforce'!$K140&gt;=3,FALSE()),IFERROR(1*'Daily Workforce'!$K140&gt;=2,FALSE())),IF(AND('Daily Schedule'!$A13&gt;=46,'Daily Schedule'!$A13&lt;=52),'Daily Workforce'!$M140="Y",IFERROR(1*'Daily Workforce'!$P140&gt;=2,FALSE()))))),1,0)</f>
        <v>0</v>
      </c>
      <c r="EV9" s="1" t="n">
        <f aca="false">IF(AND('Daily Workforce'!$N141="Y",'Daily Workforce'!$B141&lt;&gt;"",COUNTIF('Daily Schedule'!$F$5:$F12,'Daily Workforce'!$B141)=0,IF('Daily Schedule'!$A13=45,'Daily Workforce'!$J141="Y",IF(OR('Daily Schedule'!$A13=4,'Daily Schedule'!$A13=8),IF(OR(WEEKDAY('Daily Schedule'!$B$2,2)=1,WEEKDAY('Daily Schedule'!$B$2,2)=4,WEEKDAY('Daily Schedule'!$B$2,2)=5,WEEKDAY('Daily Schedule'!$B$2,2)=7),IFERROR(1*'Daily Workforce'!$K141&gt;=3,FALSE()),IFERROR(1*'Daily Workforce'!$K141&gt;=2,FALSE())),IF(AND('Daily Schedule'!$A13&gt;=46,'Daily Schedule'!$A13&lt;=52),'Daily Workforce'!$M141="Y",IFERROR(1*'Daily Workforce'!$P141&gt;=2,FALSE()))))),1,0)</f>
        <v>0</v>
      </c>
      <c r="EW9" s="1" t="n">
        <f aca="false">IF(AND('Daily Workforce'!$N142="Y",'Daily Workforce'!$B142&lt;&gt;"",COUNTIF('Daily Schedule'!$F$5:$F12,'Daily Workforce'!$B142)=0,IF('Daily Schedule'!$A13=45,'Daily Workforce'!$J142="Y",IF(OR('Daily Schedule'!$A13=4,'Daily Schedule'!$A13=8),IF(OR(WEEKDAY('Daily Schedule'!$B$2,2)=1,WEEKDAY('Daily Schedule'!$B$2,2)=4,WEEKDAY('Daily Schedule'!$B$2,2)=5,WEEKDAY('Daily Schedule'!$B$2,2)=7),IFERROR(1*'Daily Workforce'!$K142&gt;=3,FALSE()),IFERROR(1*'Daily Workforce'!$K142&gt;=2,FALSE())),IF(AND('Daily Schedule'!$A13&gt;=46,'Daily Schedule'!$A13&lt;=52),'Daily Workforce'!$M142="Y",IFERROR(1*'Daily Workforce'!$P142&gt;=2,FALSE()))))),1,0)</f>
        <v>0</v>
      </c>
      <c r="EX9" s="1" t="n">
        <f aca="false">IF(AND('Daily Workforce'!$N143="Y",'Daily Workforce'!$B143&lt;&gt;"",COUNTIF('Daily Schedule'!$F$5:$F12,'Daily Workforce'!$B143)=0,IF('Daily Schedule'!$A13=45,'Daily Workforce'!$J143="Y",IF(OR('Daily Schedule'!$A13=4,'Daily Schedule'!$A13=8),IF(OR(WEEKDAY('Daily Schedule'!$B$2,2)=1,WEEKDAY('Daily Schedule'!$B$2,2)=4,WEEKDAY('Daily Schedule'!$B$2,2)=5,WEEKDAY('Daily Schedule'!$B$2,2)=7),IFERROR(1*'Daily Workforce'!$K143&gt;=3,FALSE()),IFERROR(1*'Daily Workforce'!$K143&gt;=2,FALSE())),IF(AND('Daily Schedule'!$A13&gt;=46,'Daily Schedule'!$A13&lt;=52),'Daily Workforce'!$M143="Y",IFERROR(1*'Daily Workforce'!$P143&gt;=2,FALSE()))))),1,0)</f>
        <v>0</v>
      </c>
      <c r="EY9" s="1" t="n">
        <f aca="false">IF(AND('Daily Workforce'!$N144="Y",'Daily Workforce'!$B144&lt;&gt;"",COUNTIF('Daily Schedule'!$F$5:$F12,'Daily Workforce'!$B144)=0,IF('Daily Schedule'!$A13=45,'Daily Workforce'!$J144="Y",IF(OR('Daily Schedule'!$A13=4,'Daily Schedule'!$A13=8),IF(OR(WEEKDAY('Daily Schedule'!$B$2,2)=1,WEEKDAY('Daily Schedule'!$B$2,2)=4,WEEKDAY('Daily Schedule'!$B$2,2)=5,WEEKDAY('Daily Schedule'!$B$2,2)=7),IFERROR(1*'Daily Workforce'!$K144&gt;=3,FALSE()),IFERROR(1*'Daily Workforce'!$K144&gt;=2,FALSE())),IF(AND('Daily Schedule'!$A13&gt;=46,'Daily Schedule'!$A13&lt;=52),'Daily Workforce'!$M144="Y",IFERROR(1*'Daily Workforce'!$P144&gt;=2,FALSE()))))),1,0)</f>
        <v>0</v>
      </c>
      <c r="EZ9" s="1" t="n">
        <f aca="false">IF(AND('Daily Workforce'!$N145="Y",'Daily Workforce'!$B145&lt;&gt;"",COUNTIF('Daily Schedule'!$F$5:$F12,'Daily Workforce'!$B145)=0,IF('Daily Schedule'!$A13=45,'Daily Workforce'!$J145="Y",IF(OR('Daily Schedule'!$A13=4,'Daily Schedule'!$A13=8),IF(OR(WEEKDAY('Daily Schedule'!$B$2,2)=1,WEEKDAY('Daily Schedule'!$B$2,2)=4,WEEKDAY('Daily Schedule'!$B$2,2)=5,WEEKDAY('Daily Schedule'!$B$2,2)=7),IFERROR(1*'Daily Workforce'!$K145&gt;=3,FALSE()),IFERROR(1*'Daily Workforce'!$K145&gt;=2,FALSE())),IF(AND('Daily Schedule'!$A13&gt;=46,'Daily Schedule'!$A13&lt;=52),'Daily Workforce'!$M145="Y",IFERROR(1*'Daily Workforce'!$P145&gt;=2,FALSE()))))),1,0)</f>
        <v>0</v>
      </c>
      <c r="FA9" s="1" t="n">
        <f aca="false">IF(AND('Daily Workforce'!$N146="Y",'Daily Workforce'!$B146&lt;&gt;"",COUNTIF('Daily Schedule'!$F$5:$F12,'Daily Workforce'!$B146)=0,IF('Daily Schedule'!$A13=45,'Daily Workforce'!$J146="Y",IF(OR('Daily Schedule'!$A13=4,'Daily Schedule'!$A13=8),IF(OR(WEEKDAY('Daily Schedule'!$B$2,2)=1,WEEKDAY('Daily Schedule'!$B$2,2)=4,WEEKDAY('Daily Schedule'!$B$2,2)=5,WEEKDAY('Daily Schedule'!$B$2,2)=7),IFERROR(1*'Daily Workforce'!$K146&gt;=3,FALSE()),IFERROR(1*'Daily Workforce'!$K146&gt;=2,FALSE())),IF(AND('Daily Schedule'!$A13&gt;=46,'Daily Schedule'!$A13&lt;=52),'Daily Workforce'!$M146="Y",IFERROR(1*'Daily Workforce'!$P146&gt;=2,FALSE()))))),1,0)</f>
        <v>0</v>
      </c>
      <c r="FB9" s="1" t="n">
        <f aca="false">IF(AND('Daily Workforce'!$N147="Y",'Daily Workforce'!$B147&lt;&gt;"",COUNTIF('Daily Schedule'!$F$5:$F12,'Daily Workforce'!$B147)=0,IF('Daily Schedule'!$A13=45,'Daily Workforce'!$J147="Y",IF(OR('Daily Schedule'!$A13=4,'Daily Schedule'!$A13=8),IF(OR(WEEKDAY('Daily Schedule'!$B$2,2)=1,WEEKDAY('Daily Schedule'!$B$2,2)=4,WEEKDAY('Daily Schedule'!$B$2,2)=5,WEEKDAY('Daily Schedule'!$B$2,2)=7),IFERROR(1*'Daily Workforce'!$K147&gt;=3,FALSE()),IFERROR(1*'Daily Workforce'!$K147&gt;=2,FALSE())),IF(AND('Daily Schedule'!$A13&gt;=46,'Daily Schedule'!$A13&lt;=52),'Daily Workforce'!$M147="Y",IFERROR(1*'Daily Workforce'!$P147&gt;=2,FALSE()))))),1,0)</f>
        <v>0</v>
      </c>
      <c r="FC9" s="1" t="n">
        <f aca="false">IF(AND('Daily Workforce'!$N148="Y",'Daily Workforce'!$B148&lt;&gt;"",COUNTIF('Daily Schedule'!$F$5:$F12,'Daily Workforce'!$B148)=0,IF('Daily Schedule'!$A13=45,'Daily Workforce'!$J148="Y",IF(OR('Daily Schedule'!$A13=4,'Daily Schedule'!$A13=8),IF(OR(WEEKDAY('Daily Schedule'!$B$2,2)=1,WEEKDAY('Daily Schedule'!$B$2,2)=4,WEEKDAY('Daily Schedule'!$B$2,2)=5,WEEKDAY('Daily Schedule'!$B$2,2)=7),IFERROR(1*'Daily Workforce'!$K148&gt;=3,FALSE()),IFERROR(1*'Daily Workforce'!$K148&gt;=2,FALSE())),IF(AND('Daily Schedule'!$A13&gt;=46,'Daily Schedule'!$A13&lt;=52),'Daily Workforce'!$M148="Y",IFERROR(1*'Daily Workforce'!$P148&gt;=2,FALSE()))))),1,0)</f>
        <v>0</v>
      </c>
      <c r="FD9" s="1" t="n">
        <f aca="false">IF(AND('Daily Workforce'!$N149="Y",'Daily Workforce'!$B149&lt;&gt;"",COUNTIF('Daily Schedule'!$F$5:$F12,'Daily Workforce'!$B149)=0,IF('Daily Schedule'!$A13=45,'Daily Workforce'!$J149="Y",IF(OR('Daily Schedule'!$A13=4,'Daily Schedule'!$A13=8),IF(OR(WEEKDAY('Daily Schedule'!$B$2,2)=1,WEEKDAY('Daily Schedule'!$B$2,2)=4,WEEKDAY('Daily Schedule'!$B$2,2)=5,WEEKDAY('Daily Schedule'!$B$2,2)=7),IFERROR(1*'Daily Workforce'!$K149&gt;=3,FALSE()),IFERROR(1*'Daily Workforce'!$K149&gt;=2,FALSE())),IF(AND('Daily Schedule'!$A13&gt;=46,'Daily Schedule'!$A13&lt;=52),'Daily Workforce'!$M149="Y",IFERROR(1*'Daily Workforce'!$P149&gt;=2,FALSE()))))),1,0)</f>
        <v>0</v>
      </c>
      <c r="FE9" s="1" t="n">
        <f aca="false">IF(AND('Daily Workforce'!$N150="Y",'Daily Workforce'!$B150&lt;&gt;"",COUNTIF('Daily Schedule'!$F$5:$F12,'Daily Workforce'!$B150)=0,IF('Daily Schedule'!$A13=45,'Daily Workforce'!$J150="Y",IF(OR('Daily Schedule'!$A13=4,'Daily Schedule'!$A13=8),IF(OR(WEEKDAY('Daily Schedule'!$B$2,2)=1,WEEKDAY('Daily Schedule'!$B$2,2)=4,WEEKDAY('Daily Schedule'!$B$2,2)=5,WEEKDAY('Daily Schedule'!$B$2,2)=7),IFERROR(1*'Daily Workforce'!$K150&gt;=3,FALSE()),IFERROR(1*'Daily Workforce'!$K150&gt;=2,FALSE())),IF(AND('Daily Schedule'!$A13&gt;=46,'Daily Schedule'!$A13&lt;=52),'Daily Workforce'!$M150="Y",IFERROR(1*'Daily Workforce'!$P150&gt;=2,FALSE()))))),1,0)</f>
        <v>0</v>
      </c>
      <c r="FF9" s="1" t="n">
        <f aca="false">IF(AND('Daily Workforce'!$N151="Y",'Daily Workforce'!$B151&lt;&gt;"",COUNTIF('Daily Schedule'!$F$5:$F12,'Daily Workforce'!$B151)=0,IF('Daily Schedule'!$A13=45,'Daily Workforce'!$J151="Y",IF(OR('Daily Schedule'!$A13=4,'Daily Schedule'!$A13=8),IF(OR(WEEKDAY('Daily Schedule'!$B$2,2)=1,WEEKDAY('Daily Schedule'!$B$2,2)=4,WEEKDAY('Daily Schedule'!$B$2,2)=5,WEEKDAY('Daily Schedule'!$B$2,2)=7),IFERROR(1*'Daily Workforce'!$K151&gt;=3,FALSE()),IFERROR(1*'Daily Workforce'!$K151&gt;=2,FALSE())),IF(AND('Daily Schedule'!$A13&gt;=46,'Daily Schedule'!$A13&lt;=52),'Daily Workforce'!$M151="Y",IFERROR(1*'Daily Workforce'!$P151&gt;=2,FALSE()))))),1,0)</f>
        <v>0</v>
      </c>
      <c r="FG9" s="1" t="n">
        <f aca="false">IF(AND('Daily Workforce'!$N152="Y",'Daily Workforce'!$B152&lt;&gt;"",COUNTIF('Daily Schedule'!$F$5:$F12,'Daily Workforce'!$B152)=0,IF('Daily Schedule'!$A13=45,'Daily Workforce'!$J152="Y",IF(OR('Daily Schedule'!$A13=4,'Daily Schedule'!$A13=8),IF(OR(WEEKDAY('Daily Schedule'!$B$2,2)=1,WEEKDAY('Daily Schedule'!$B$2,2)=4,WEEKDAY('Daily Schedule'!$B$2,2)=5,WEEKDAY('Daily Schedule'!$B$2,2)=7),IFERROR(1*'Daily Workforce'!$K152&gt;=3,FALSE()),IFERROR(1*'Daily Workforce'!$K152&gt;=2,FALSE())),IF(AND('Daily Schedule'!$A13&gt;=46,'Daily Schedule'!$A13&lt;=52),'Daily Workforce'!$M152="Y",IFERROR(1*'Daily Workforce'!$P152&gt;=2,FALSE()))))),1,0)</f>
        <v>0</v>
      </c>
      <c r="FH9" s="1" t="n">
        <f aca="false">IF(AND('Daily Workforce'!$N153="Y",'Daily Workforce'!$B153&lt;&gt;"",COUNTIF('Daily Schedule'!$F$5:$F12,'Daily Workforce'!$B153)=0,IF('Daily Schedule'!$A13=45,'Daily Workforce'!$J153="Y",IF(OR('Daily Schedule'!$A13=4,'Daily Schedule'!$A13=8),IF(OR(WEEKDAY('Daily Schedule'!$B$2,2)=1,WEEKDAY('Daily Schedule'!$B$2,2)=4,WEEKDAY('Daily Schedule'!$B$2,2)=5,WEEKDAY('Daily Schedule'!$B$2,2)=7),IFERROR(1*'Daily Workforce'!$K153&gt;=3,FALSE()),IFERROR(1*'Daily Workforce'!$K153&gt;=2,FALSE())),IF(AND('Daily Schedule'!$A13&gt;=46,'Daily Schedule'!$A13&lt;=52),'Daily Workforce'!$M153="Y",IFERROR(1*'Daily Workforce'!$P153&gt;=2,FALSE()))))),1,0)</f>
        <v>0</v>
      </c>
      <c r="FI9" s="1" t="n">
        <f aca="false">IF(AND('Daily Workforce'!$N154="Y",'Daily Workforce'!$B154&lt;&gt;"",COUNTIF('Daily Schedule'!$F$5:$F12,'Daily Workforce'!$B154)=0,IF('Daily Schedule'!$A13=45,'Daily Workforce'!$J154="Y",IF(OR('Daily Schedule'!$A13=4,'Daily Schedule'!$A13=8),IF(OR(WEEKDAY('Daily Schedule'!$B$2,2)=1,WEEKDAY('Daily Schedule'!$B$2,2)=4,WEEKDAY('Daily Schedule'!$B$2,2)=5,WEEKDAY('Daily Schedule'!$B$2,2)=7),IFERROR(1*'Daily Workforce'!$K154&gt;=3,FALSE()),IFERROR(1*'Daily Workforce'!$K154&gt;=2,FALSE())),IF(AND('Daily Schedule'!$A13&gt;=46,'Daily Schedule'!$A13&lt;=52),'Daily Workforce'!$M154="Y",IFERROR(1*'Daily Workforce'!$P154&gt;=2,FALSE()))))),1,0)</f>
        <v>0</v>
      </c>
      <c r="FJ9" s="1" t="n">
        <f aca="false">IF(AND('Daily Workforce'!$N155="Y",'Daily Workforce'!$B155&lt;&gt;"",COUNTIF('Daily Schedule'!$F$5:$F12,'Daily Workforce'!$B155)=0,IF('Daily Schedule'!$A13=45,'Daily Workforce'!$J155="Y",IF(OR('Daily Schedule'!$A13=4,'Daily Schedule'!$A13=8),IF(OR(WEEKDAY('Daily Schedule'!$B$2,2)=1,WEEKDAY('Daily Schedule'!$B$2,2)=4,WEEKDAY('Daily Schedule'!$B$2,2)=5,WEEKDAY('Daily Schedule'!$B$2,2)=7),IFERROR(1*'Daily Workforce'!$K155&gt;=3,FALSE()),IFERROR(1*'Daily Workforce'!$K155&gt;=2,FALSE())),IF(AND('Daily Schedule'!$A13&gt;=46,'Daily Schedule'!$A13&lt;=52),'Daily Workforce'!$M155="Y",IFERROR(1*'Daily Workforce'!$P155&gt;=2,FALSE()))))),1,0)</f>
        <v>0</v>
      </c>
      <c r="FK9" s="1" t="n">
        <f aca="false">IF(AND('Daily Workforce'!$N156="Y",'Daily Workforce'!$B156&lt;&gt;"",COUNTIF('Daily Schedule'!$F$5:$F12,'Daily Workforce'!$B156)=0,IF('Daily Schedule'!$A13=45,'Daily Workforce'!$J156="Y",IF(OR('Daily Schedule'!$A13=4,'Daily Schedule'!$A13=8),IF(OR(WEEKDAY('Daily Schedule'!$B$2,2)=1,WEEKDAY('Daily Schedule'!$B$2,2)=4,WEEKDAY('Daily Schedule'!$B$2,2)=5,WEEKDAY('Daily Schedule'!$B$2,2)=7),IFERROR(1*'Daily Workforce'!$K156&gt;=3,FALSE()),IFERROR(1*'Daily Workforce'!$K156&gt;=2,FALSE())),IF(AND('Daily Schedule'!$A13&gt;=46,'Daily Schedule'!$A13&lt;=52),'Daily Workforce'!$M156="Y",IFERROR(1*'Daily Workforce'!$P156&gt;=2,FALSE()))))),1,0)</f>
        <v>0</v>
      </c>
      <c r="FL9" s="1" t="n">
        <f aca="false">IF(AND('Daily Workforce'!$N157="Y",'Daily Workforce'!$B157&lt;&gt;"",COUNTIF('Daily Schedule'!$F$5:$F12,'Daily Workforce'!$B157)=0,IF('Daily Schedule'!$A13=45,'Daily Workforce'!$J157="Y",IF(OR('Daily Schedule'!$A13=4,'Daily Schedule'!$A13=8),IF(OR(WEEKDAY('Daily Schedule'!$B$2,2)=1,WEEKDAY('Daily Schedule'!$B$2,2)=4,WEEKDAY('Daily Schedule'!$B$2,2)=5,WEEKDAY('Daily Schedule'!$B$2,2)=7),IFERROR(1*'Daily Workforce'!$K157&gt;=3,FALSE()),IFERROR(1*'Daily Workforce'!$K157&gt;=2,FALSE())),IF(AND('Daily Schedule'!$A13&gt;=46,'Daily Schedule'!$A13&lt;=52),'Daily Workforce'!$M157="Y",IFERROR(1*'Daily Workforce'!$P157&gt;=2,FALSE()))))),1,0)</f>
        <v>0</v>
      </c>
      <c r="FM9" s="1" t="n">
        <f aca="false">IF(AND('Daily Workforce'!$N158="Y",'Daily Workforce'!$B158&lt;&gt;"",COUNTIF('Daily Schedule'!$F$5:$F12,'Daily Workforce'!$B158)=0,IF('Daily Schedule'!$A13=45,'Daily Workforce'!$J158="Y",IF(OR('Daily Schedule'!$A13=4,'Daily Schedule'!$A13=8),IF(OR(WEEKDAY('Daily Schedule'!$B$2,2)=1,WEEKDAY('Daily Schedule'!$B$2,2)=4,WEEKDAY('Daily Schedule'!$B$2,2)=5,WEEKDAY('Daily Schedule'!$B$2,2)=7),IFERROR(1*'Daily Workforce'!$K158&gt;=3,FALSE()),IFERROR(1*'Daily Workforce'!$K158&gt;=2,FALSE())),IF(AND('Daily Schedule'!$A13&gt;=46,'Daily Schedule'!$A13&lt;=52),'Daily Workforce'!$M158="Y",IFERROR(1*'Daily Workforce'!$P158&gt;=2,FALSE()))))),1,0)</f>
        <v>0</v>
      </c>
      <c r="FN9" s="1" t="n">
        <f aca="false">IF(AND('Daily Workforce'!$N159="Y",'Daily Workforce'!$B159&lt;&gt;"",COUNTIF('Daily Schedule'!$F$5:$F12,'Daily Workforce'!$B159)=0,IF('Daily Schedule'!$A13=45,'Daily Workforce'!$J159="Y",IF(OR('Daily Schedule'!$A13=4,'Daily Schedule'!$A13=8),IF(OR(WEEKDAY('Daily Schedule'!$B$2,2)=1,WEEKDAY('Daily Schedule'!$B$2,2)=4,WEEKDAY('Daily Schedule'!$B$2,2)=5,WEEKDAY('Daily Schedule'!$B$2,2)=7),IFERROR(1*'Daily Workforce'!$K159&gt;=3,FALSE()),IFERROR(1*'Daily Workforce'!$K159&gt;=2,FALSE())),IF(AND('Daily Schedule'!$A13&gt;=46,'Daily Schedule'!$A13&lt;=52),'Daily Workforce'!$M159="Y",IFERROR(1*'Daily Workforce'!$P159&gt;=2,FALSE()))))),1,0)</f>
        <v>0</v>
      </c>
      <c r="FO9" s="1" t="n">
        <f aca="false">IF(AND('Daily Workforce'!$N160="Y",'Daily Workforce'!$B160&lt;&gt;"",COUNTIF('Daily Schedule'!$F$5:$F12,'Daily Workforce'!$B160)=0,IF('Daily Schedule'!$A13=45,'Daily Workforce'!$J160="Y",IF(OR('Daily Schedule'!$A13=4,'Daily Schedule'!$A13=8),IF(OR(WEEKDAY('Daily Schedule'!$B$2,2)=1,WEEKDAY('Daily Schedule'!$B$2,2)=4,WEEKDAY('Daily Schedule'!$B$2,2)=5,WEEKDAY('Daily Schedule'!$B$2,2)=7),IFERROR(1*'Daily Workforce'!$K160&gt;=3,FALSE()),IFERROR(1*'Daily Workforce'!$K160&gt;=2,FALSE())),IF(AND('Daily Schedule'!$A13&gt;=46,'Daily Schedule'!$A13&lt;=52),'Daily Workforce'!$M160="Y",IFERROR(1*'Daily Workforce'!$P160&gt;=2,FALSE()))))),1,0)</f>
        <v>0</v>
      </c>
      <c r="FP9" s="1" t="n">
        <f aca="false">IF(AND('Daily Workforce'!$N161="Y",'Daily Workforce'!$B161&lt;&gt;"",COUNTIF('Daily Schedule'!$F$5:$F12,'Daily Workforce'!$B161)=0,IF('Daily Schedule'!$A13=45,'Daily Workforce'!$J161="Y",IF(OR('Daily Schedule'!$A13=4,'Daily Schedule'!$A13=8),IF(OR(WEEKDAY('Daily Schedule'!$B$2,2)=1,WEEKDAY('Daily Schedule'!$B$2,2)=4,WEEKDAY('Daily Schedule'!$B$2,2)=5,WEEKDAY('Daily Schedule'!$B$2,2)=7),IFERROR(1*'Daily Workforce'!$K161&gt;=3,FALSE()),IFERROR(1*'Daily Workforce'!$K161&gt;=2,FALSE())),IF(AND('Daily Schedule'!$A13&gt;=46,'Daily Schedule'!$A13&lt;=52),'Daily Workforce'!$M161="Y",IFERROR(1*'Daily Workforce'!$P161&gt;=2,FALSE()))))),1,0)</f>
        <v>0</v>
      </c>
      <c r="FQ9" s="1" t="n">
        <f aca="false">IF(AND('Daily Workforce'!$N162="Y",'Daily Workforce'!$B162&lt;&gt;"",COUNTIF('Daily Schedule'!$F$5:$F12,'Daily Workforce'!$B162)=0,IF('Daily Schedule'!$A13=45,'Daily Workforce'!$J162="Y",IF(OR('Daily Schedule'!$A13=4,'Daily Schedule'!$A13=8),IF(OR(WEEKDAY('Daily Schedule'!$B$2,2)=1,WEEKDAY('Daily Schedule'!$B$2,2)=4,WEEKDAY('Daily Schedule'!$B$2,2)=5,WEEKDAY('Daily Schedule'!$B$2,2)=7),IFERROR(1*'Daily Workforce'!$K162&gt;=3,FALSE()),IFERROR(1*'Daily Workforce'!$K162&gt;=2,FALSE())),IF(AND('Daily Schedule'!$A13&gt;=46,'Daily Schedule'!$A13&lt;=52),'Daily Workforce'!$M162="Y",IFERROR(1*'Daily Workforce'!$P162&gt;=2,FALSE()))))),1,0)</f>
        <v>0</v>
      </c>
      <c r="FR9" s="1" t="n">
        <f aca="false">IF(AND('Daily Workforce'!$N163="Y",'Daily Workforce'!$B163&lt;&gt;"",COUNTIF('Daily Schedule'!$F$5:$F12,'Daily Workforce'!$B163)=0,IF('Daily Schedule'!$A13=45,'Daily Workforce'!$J163="Y",IF(OR('Daily Schedule'!$A13=4,'Daily Schedule'!$A13=8),IF(OR(WEEKDAY('Daily Schedule'!$B$2,2)=1,WEEKDAY('Daily Schedule'!$B$2,2)=4,WEEKDAY('Daily Schedule'!$B$2,2)=5,WEEKDAY('Daily Schedule'!$B$2,2)=7),IFERROR(1*'Daily Workforce'!$K163&gt;=3,FALSE()),IFERROR(1*'Daily Workforce'!$K163&gt;=2,FALSE())),IF(AND('Daily Schedule'!$A13&gt;=46,'Daily Schedule'!$A13&lt;=52),'Daily Workforce'!$M163="Y",IFERROR(1*'Daily Workforce'!$P163&gt;=2,FALSE()))))),1,0)</f>
        <v>0</v>
      </c>
      <c r="FS9" s="1" t="n">
        <f aca="false">IF(AND('Daily Workforce'!$N164="Y",'Daily Workforce'!$B164&lt;&gt;"",COUNTIF('Daily Schedule'!$F$5:$F12,'Daily Workforce'!$B164)=0,IF('Daily Schedule'!$A13=45,'Daily Workforce'!$J164="Y",IF(OR('Daily Schedule'!$A13=4,'Daily Schedule'!$A13=8),IF(OR(WEEKDAY('Daily Schedule'!$B$2,2)=1,WEEKDAY('Daily Schedule'!$B$2,2)=4,WEEKDAY('Daily Schedule'!$B$2,2)=5,WEEKDAY('Daily Schedule'!$B$2,2)=7),IFERROR(1*'Daily Workforce'!$K164&gt;=3,FALSE()),IFERROR(1*'Daily Workforce'!$K164&gt;=2,FALSE())),IF(AND('Daily Schedule'!$A13&gt;=46,'Daily Schedule'!$A13&lt;=52),'Daily Workforce'!$M164="Y",IFERROR(1*'Daily Workforce'!$P164&gt;=2,FALSE()))))),1,0)</f>
        <v>0</v>
      </c>
      <c r="FT9" s="1" t="n">
        <f aca="false">IF(AND('Daily Workforce'!$N165="Y",'Daily Workforce'!$B165&lt;&gt;"",COUNTIF('Daily Schedule'!$F$5:$F12,'Daily Workforce'!$B165)=0,IF('Daily Schedule'!$A13=45,'Daily Workforce'!$J165="Y",IF(OR('Daily Schedule'!$A13=4,'Daily Schedule'!$A13=8),IF(OR(WEEKDAY('Daily Schedule'!$B$2,2)=1,WEEKDAY('Daily Schedule'!$B$2,2)=4,WEEKDAY('Daily Schedule'!$B$2,2)=5,WEEKDAY('Daily Schedule'!$B$2,2)=7),IFERROR(1*'Daily Workforce'!$K165&gt;=3,FALSE()),IFERROR(1*'Daily Workforce'!$K165&gt;=2,FALSE())),IF(AND('Daily Schedule'!$A13&gt;=46,'Daily Schedule'!$A13&lt;=52),'Daily Workforce'!$M165="Y",IFERROR(1*'Daily Workforce'!$P165&gt;=2,FALSE()))))),1,0)</f>
        <v>0</v>
      </c>
      <c r="FU9" s="1" t="n">
        <f aca="false">IF(AND('Daily Workforce'!$N166="Y",'Daily Workforce'!$B166&lt;&gt;"",COUNTIF('Daily Schedule'!$F$5:$F12,'Daily Workforce'!$B166)=0,IF('Daily Schedule'!$A13=45,'Daily Workforce'!$J166="Y",IF(OR('Daily Schedule'!$A13=4,'Daily Schedule'!$A13=8),IF(OR(WEEKDAY('Daily Schedule'!$B$2,2)=1,WEEKDAY('Daily Schedule'!$B$2,2)=4,WEEKDAY('Daily Schedule'!$B$2,2)=5,WEEKDAY('Daily Schedule'!$B$2,2)=7),IFERROR(1*'Daily Workforce'!$K166&gt;=3,FALSE()),IFERROR(1*'Daily Workforce'!$K166&gt;=2,FALSE())),IF(AND('Daily Schedule'!$A13&gt;=46,'Daily Schedule'!$A13&lt;=52),'Daily Workforce'!$M166="Y",IFERROR(1*'Daily Workforce'!$P166&gt;=2,FALSE()))))),1,0)</f>
        <v>0</v>
      </c>
      <c r="FV9" s="1" t="n">
        <f aca="false">IF(AND('Daily Workforce'!$N167="Y",'Daily Workforce'!$B167&lt;&gt;"",COUNTIF('Daily Schedule'!$F$5:$F12,'Daily Workforce'!$B167)=0,IF('Daily Schedule'!$A13=45,'Daily Workforce'!$J167="Y",IF(OR('Daily Schedule'!$A13=4,'Daily Schedule'!$A13=8),IF(OR(WEEKDAY('Daily Schedule'!$B$2,2)=1,WEEKDAY('Daily Schedule'!$B$2,2)=4,WEEKDAY('Daily Schedule'!$B$2,2)=5,WEEKDAY('Daily Schedule'!$B$2,2)=7),IFERROR(1*'Daily Workforce'!$K167&gt;=3,FALSE()),IFERROR(1*'Daily Workforce'!$K167&gt;=2,FALSE())),IF(AND('Daily Schedule'!$A13&gt;=46,'Daily Schedule'!$A13&lt;=52),'Daily Workforce'!$M167="Y",IFERROR(1*'Daily Workforce'!$P167&gt;=2,FALSE()))))),1,0)</f>
        <v>0</v>
      </c>
      <c r="FW9" s="1" t="n">
        <f aca="false">IF(AND('Daily Workforce'!$N168="Y",'Daily Workforce'!$B168&lt;&gt;"",COUNTIF('Daily Schedule'!$F$5:$F12,'Daily Workforce'!$B168)=0,IF('Daily Schedule'!$A13=45,'Daily Workforce'!$J168="Y",IF(OR('Daily Schedule'!$A13=4,'Daily Schedule'!$A13=8),IF(OR(WEEKDAY('Daily Schedule'!$B$2,2)=1,WEEKDAY('Daily Schedule'!$B$2,2)=4,WEEKDAY('Daily Schedule'!$B$2,2)=5,WEEKDAY('Daily Schedule'!$B$2,2)=7),IFERROR(1*'Daily Workforce'!$K168&gt;=3,FALSE()),IFERROR(1*'Daily Workforce'!$K168&gt;=2,FALSE())),IF(AND('Daily Schedule'!$A13&gt;=46,'Daily Schedule'!$A13&lt;=52),'Daily Workforce'!$M168="Y",IFERROR(1*'Daily Workforce'!$P168&gt;=2,FALSE()))))),1,0)</f>
        <v>0</v>
      </c>
      <c r="FX9" s="1" t="n">
        <f aca="false">IF(AND('Daily Workforce'!$N169="Y",'Daily Workforce'!$B169&lt;&gt;"",COUNTIF('Daily Schedule'!$F$5:$F12,'Daily Workforce'!$B169)=0,IF('Daily Schedule'!$A13=45,'Daily Workforce'!$J169="Y",IF(OR('Daily Schedule'!$A13=4,'Daily Schedule'!$A13=8),IF(OR(WEEKDAY('Daily Schedule'!$B$2,2)=1,WEEKDAY('Daily Schedule'!$B$2,2)=4,WEEKDAY('Daily Schedule'!$B$2,2)=5,WEEKDAY('Daily Schedule'!$B$2,2)=7),IFERROR(1*'Daily Workforce'!$K169&gt;=3,FALSE()),IFERROR(1*'Daily Workforce'!$K169&gt;=2,FALSE())),IF(AND('Daily Schedule'!$A13&gt;=46,'Daily Schedule'!$A13&lt;=52),'Daily Workforce'!$M169="Y",IFERROR(1*'Daily Workforce'!$P169&gt;=2,FALSE()))))),1,0)</f>
        <v>0</v>
      </c>
      <c r="FY9" s="1" t="n">
        <f aca="false">IF(AND('Daily Workforce'!$N170="Y",'Daily Workforce'!$B170&lt;&gt;"",COUNTIF('Daily Schedule'!$F$5:$F12,'Daily Workforce'!$B170)=0,IF('Daily Schedule'!$A13=45,'Daily Workforce'!$J170="Y",IF(OR('Daily Schedule'!$A13=4,'Daily Schedule'!$A13=8),IF(OR(WEEKDAY('Daily Schedule'!$B$2,2)=1,WEEKDAY('Daily Schedule'!$B$2,2)=4,WEEKDAY('Daily Schedule'!$B$2,2)=5,WEEKDAY('Daily Schedule'!$B$2,2)=7),IFERROR(1*'Daily Workforce'!$K170&gt;=3,FALSE()),IFERROR(1*'Daily Workforce'!$K170&gt;=2,FALSE())),IF(AND('Daily Schedule'!$A13&gt;=46,'Daily Schedule'!$A13&lt;=52),'Daily Workforce'!$M170="Y",IFERROR(1*'Daily Workforce'!$P170&gt;=2,FALSE()))))),1,0)</f>
        <v>0</v>
      </c>
      <c r="FZ9" s="1" t="n">
        <f aca="false">IF(AND('Daily Workforce'!$N171="Y",'Daily Workforce'!$B171&lt;&gt;"",COUNTIF('Daily Schedule'!$F$5:$F12,'Daily Workforce'!$B171)=0,IF('Daily Schedule'!$A13=45,'Daily Workforce'!$J171="Y",IF(OR('Daily Schedule'!$A13=4,'Daily Schedule'!$A13=8),IF(OR(WEEKDAY('Daily Schedule'!$B$2,2)=1,WEEKDAY('Daily Schedule'!$B$2,2)=4,WEEKDAY('Daily Schedule'!$B$2,2)=5,WEEKDAY('Daily Schedule'!$B$2,2)=7),IFERROR(1*'Daily Workforce'!$K171&gt;=3,FALSE()),IFERROR(1*'Daily Workforce'!$K171&gt;=2,FALSE())),IF(AND('Daily Schedule'!$A13&gt;=46,'Daily Schedule'!$A13&lt;=52),'Daily Workforce'!$M171="Y",IFERROR(1*'Daily Workforce'!$P171&gt;=2,FALSE()))))),1,0)</f>
        <v>0</v>
      </c>
      <c r="GA9" s="1" t="n">
        <f aca="false">IF(AND('Daily Workforce'!$N172="Y",'Daily Workforce'!$B172&lt;&gt;"",COUNTIF('Daily Schedule'!$F$5:$F12,'Daily Workforce'!$B172)=0,IF('Daily Schedule'!$A13=45,'Daily Workforce'!$J172="Y",IF(OR('Daily Schedule'!$A13=4,'Daily Schedule'!$A13=8),IF(OR(WEEKDAY('Daily Schedule'!$B$2,2)=1,WEEKDAY('Daily Schedule'!$B$2,2)=4,WEEKDAY('Daily Schedule'!$B$2,2)=5,WEEKDAY('Daily Schedule'!$B$2,2)=7),IFERROR(1*'Daily Workforce'!$K172&gt;=3,FALSE()),IFERROR(1*'Daily Workforce'!$K172&gt;=2,FALSE())),IF(AND('Daily Schedule'!$A13&gt;=46,'Daily Schedule'!$A13&lt;=52),'Daily Workforce'!$M172="Y",IFERROR(1*'Daily Workforce'!$P172&gt;=2,FALSE()))))),1,0)</f>
        <v>0</v>
      </c>
      <c r="GB9" s="1" t="n">
        <f aca="false">IF(AND('Daily Workforce'!$N173="Y",'Daily Workforce'!$B173&lt;&gt;"",COUNTIF('Daily Schedule'!$F$5:$F12,'Daily Workforce'!$B173)=0,IF('Daily Schedule'!$A13=45,'Daily Workforce'!$J173="Y",IF(OR('Daily Schedule'!$A13=4,'Daily Schedule'!$A13=8),IF(OR(WEEKDAY('Daily Schedule'!$B$2,2)=1,WEEKDAY('Daily Schedule'!$B$2,2)=4,WEEKDAY('Daily Schedule'!$B$2,2)=5,WEEKDAY('Daily Schedule'!$B$2,2)=7),IFERROR(1*'Daily Workforce'!$K173&gt;=3,FALSE()),IFERROR(1*'Daily Workforce'!$K173&gt;=2,FALSE())),IF(AND('Daily Schedule'!$A13&gt;=46,'Daily Schedule'!$A13&lt;=52),'Daily Workforce'!$M173="Y",IFERROR(1*'Daily Workforce'!$P173&gt;=2,FALSE()))))),1,0)</f>
        <v>0</v>
      </c>
      <c r="GC9" s="1" t="n">
        <f aca="false">IF(AND('Daily Workforce'!$N174="Y",'Daily Workforce'!$B174&lt;&gt;"",COUNTIF('Daily Schedule'!$F$5:$F12,'Daily Workforce'!$B174)=0,IF('Daily Schedule'!$A13=45,'Daily Workforce'!$J174="Y",IF(OR('Daily Schedule'!$A13=4,'Daily Schedule'!$A13=8),IF(OR(WEEKDAY('Daily Schedule'!$B$2,2)=1,WEEKDAY('Daily Schedule'!$B$2,2)=4,WEEKDAY('Daily Schedule'!$B$2,2)=5,WEEKDAY('Daily Schedule'!$B$2,2)=7),IFERROR(1*'Daily Workforce'!$K174&gt;=3,FALSE()),IFERROR(1*'Daily Workforce'!$K174&gt;=2,FALSE())),IF(AND('Daily Schedule'!$A13&gt;=46,'Daily Schedule'!$A13&lt;=52),'Daily Workforce'!$M174="Y",IFERROR(1*'Daily Workforce'!$P174&gt;=2,FALSE()))))),1,0)</f>
        <v>0</v>
      </c>
      <c r="GD9" s="1" t="n">
        <f aca="false">IF(AND('Daily Workforce'!$N175="Y",'Daily Workforce'!$B175&lt;&gt;"",COUNTIF('Daily Schedule'!$F$5:$F12,'Daily Workforce'!$B175)=0,IF('Daily Schedule'!$A13=45,'Daily Workforce'!$J175="Y",IF(OR('Daily Schedule'!$A13=4,'Daily Schedule'!$A13=8),IF(OR(WEEKDAY('Daily Schedule'!$B$2,2)=1,WEEKDAY('Daily Schedule'!$B$2,2)=4,WEEKDAY('Daily Schedule'!$B$2,2)=5,WEEKDAY('Daily Schedule'!$B$2,2)=7),IFERROR(1*'Daily Workforce'!$K175&gt;=3,FALSE()),IFERROR(1*'Daily Workforce'!$K175&gt;=2,FALSE())),IF(AND('Daily Schedule'!$A13&gt;=46,'Daily Schedule'!$A13&lt;=52),'Daily Workforce'!$M175="Y",IFERROR(1*'Daily Workforce'!$P175&gt;=2,FALSE()))))),1,0)</f>
        <v>0</v>
      </c>
      <c r="GE9" s="1" t="n">
        <f aca="false">IF(AND('Daily Workforce'!$N176="Y",'Daily Workforce'!$B176&lt;&gt;"",COUNTIF('Daily Schedule'!$F$5:$F12,'Daily Workforce'!$B176)=0,IF('Daily Schedule'!$A13=45,'Daily Workforce'!$J176="Y",IF(OR('Daily Schedule'!$A13=4,'Daily Schedule'!$A13=8),IF(OR(WEEKDAY('Daily Schedule'!$B$2,2)=1,WEEKDAY('Daily Schedule'!$B$2,2)=4,WEEKDAY('Daily Schedule'!$B$2,2)=5,WEEKDAY('Daily Schedule'!$B$2,2)=7),IFERROR(1*'Daily Workforce'!$K176&gt;=3,FALSE()),IFERROR(1*'Daily Workforce'!$K176&gt;=2,FALSE())),IF(AND('Daily Schedule'!$A13&gt;=46,'Daily Schedule'!$A13&lt;=52),'Daily Workforce'!$M176="Y",IFERROR(1*'Daily Workforce'!$P176&gt;=2,FALSE()))))),1,0)</f>
        <v>0</v>
      </c>
      <c r="GF9" s="1" t="n">
        <f aca="false">IF(AND('Daily Workforce'!$N177="Y",'Daily Workforce'!$B177&lt;&gt;"",COUNTIF('Daily Schedule'!$F$5:$F12,'Daily Workforce'!$B177)=0,IF('Daily Schedule'!$A13=45,'Daily Workforce'!$J177="Y",IF(OR('Daily Schedule'!$A13=4,'Daily Schedule'!$A13=8),IF(OR(WEEKDAY('Daily Schedule'!$B$2,2)=1,WEEKDAY('Daily Schedule'!$B$2,2)=4,WEEKDAY('Daily Schedule'!$B$2,2)=5,WEEKDAY('Daily Schedule'!$B$2,2)=7),IFERROR(1*'Daily Workforce'!$K177&gt;=3,FALSE()),IFERROR(1*'Daily Workforce'!$K177&gt;=2,FALSE())),IF(AND('Daily Schedule'!$A13&gt;=46,'Daily Schedule'!$A13&lt;=52),'Daily Workforce'!$M177="Y",IFERROR(1*'Daily Workforce'!$P177&gt;=2,FALSE()))))),1,0)</f>
        <v>0</v>
      </c>
      <c r="GG9" s="1" t="n">
        <f aca="false">IF(AND('Daily Workforce'!$N178="Y",'Daily Workforce'!$B178&lt;&gt;"",COUNTIF('Daily Schedule'!$F$5:$F12,'Daily Workforce'!$B178)=0,IF('Daily Schedule'!$A13=45,'Daily Workforce'!$J178="Y",IF(OR('Daily Schedule'!$A13=4,'Daily Schedule'!$A13=8),IF(OR(WEEKDAY('Daily Schedule'!$B$2,2)=1,WEEKDAY('Daily Schedule'!$B$2,2)=4,WEEKDAY('Daily Schedule'!$B$2,2)=5,WEEKDAY('Daily Schedule'!$B$2,2)=7),IFERROR(1*'Daily Workforce'!$K178&gt;=3,FALSE()),IFERROR(1*'Daily Workforce'!$K178&gt;=2,FALSE())),IF(AND('Daily Schedule'!$A13&gt;=46,'Daily Schedule'!$A13&lt;=52),'Daily Workforce'!$M178="Y",IFERROR(1*'Daily Workforce'!$P178&gt;=2,FALSE()))))),1,0)</f>
        <v>0</v>
      </c>
      <c r="GH9" s="1" t="n">
        <f aca="false">IF(AND('Daily Workforce'!$N179="Y",'Daily Workforce'!$B179&lt;&gt;"",COUNTIF('Daily Schedule'!$F$5:$F12,'Daily Workforce'!$B179)=0,IF('Daily Schedule'!$A13=45,'Daily Workforce'!$J179="Y",IF(OR('Daily Schedule'!$A13=4,'Daily Schedule'!$A13=8),IF(OR(WEEKDAY('Daily Schedule'!$B$2,2)=1,WEEKDAY('Daily Schedule'!$B$2,2)=4,WEEKDAY('Daily Schedule'!$B$2,2)=5,WEEKDAY('Daily Schedule'!$B$2,2)=7),IFERROR(1*'Daily Workforce'!$K179&gt;=3,FALSE()),IFERROR(1*'Daily Workforce'!$K179&gt;=2,FALSE())),IF(AND('Daily Schedule'!$A13&gt;=46,'Daily Schedule'!$A13&lt;=52),'Daily Workforce'!$M179="Y",IFERROR(1*'Daily Workforce'!$P179&gt;=2,FALSE()))))),1,0)</f>
        <v>0</v>
      </c>
      <c r="GI9" s="1" t="n">
        <f aca="false">IF(AND('Daily Workforce'!$N180="Y",'Daily Workforce'!$B180&lt;&gt;"",COUNTIF('Daily Schedule'!$F$5:$F12,'Daily Workforce'!$B180)=0,IF('Daily Schedule'!$A13=45,'Daily Workforce'!$J180="Y",IF(OR('Daily Schedule'!$A13=4,'Daily Schedule'!$A13=8),IF(OR(WEEKDAY('Daily Schedule'!$B$2,2)=1,WEEKDAY('Daily Schedule'!$B$2,2)=4,WEEKDAY('Daily Schedule'!$B$2,2)=5,WEEKDAY('Daily Schedule'!$B$2,2)=7),IFERROR(1*'Daily Workforce'!$K180&gt;=3,FALSE()),IFERROR(1*'Daily Workforce'!$K180&gt;=2,FALSE())),IF(AND('Daily Schedule'!$A13&gt;=46,'Daily Schedule'!$A13&lt;=52),'Daily Workforce'!$M180="Y",IFERROR(1*'Daily Workforce'!$P180&gt;=2,FALSE()))))),1,0)</f>
        <v>0</v>
      </c>
      <c r="GJ9" s="1" t="n">
        <f aca="false">IF(AND('Daily Workforce'!$N181="Y",'Daily Workforce'!$B181&lt;&gt;"",COUNTIF('Daily Schedule'!$F$5:$F12,'Daily Workforce'!$B181)=0,IF('Daily Schedule'!$A13=45,'Daily Workforce'!$J181="Y",IF(OR('Daily Schedule'!$A13=4,'Daily Schedule'!$A13=8),IF(OR(WEEKDAY('Daily Schedule'!$B$2,2)=1,WEEKDAY('Daily Schedule'!$B$2,2)=4,WEEKDAY('Daily Schedule'!$B$2,2)=5,WEEKDAY('Daily Schedule'!$B$2,2)=7),IFERROR(1*'Daily Workforce'!$K181&gt;=3,FALSE()),IFERROR(1*'Daily Workforce'!$K181&gt;=2,FALSE())),IF(AND('Daily Schedule'!$A13&gt;=46,'Daily Schedule'!$A13&lt;=52),'Daily Workforce'!$M181="Y",IFERROR(1*'Daily Workforce'!$P181&gt;=2,FALSE()))))),1,0)</f>
        <v>0</v>
      </c>
      <c r="GK9" s="1" t="n">
        <f aca="false">IF(AND('Daily Workforce'!$N182="Y",'Daily Workforce'!$B182&lt;&gt;"",COUNTIF('Daily Schedule'!$F$5:$F12,'Daily Workforce'!$B182)=0,IF('Daily Schedule'!$A13=45,'Daily Workforce'!$J182="Y",IF(OR('Daily Schedule'!$A13=4,'Daily Schedule'!$A13=8),IF(OR(WEEKDAY('Daily Schedule'!$B$2,2)=1,WEEKDAY('Daily Schedule'!$B$2,2)=4,WEEKDAY('Daily Schedule'!$B$2,2)=5,WEEKDAY('Daily Schedule'!$B$2,2)=7),IFERROR(1*'Daily Workforce'!$K182&gt;=3,FALSE()),IFERROR(1*'Daily Workforce'!$K182&gt;=2,FALSE())),IF(AND('Daily Schedule'!$A13&gt;=46,'Daily Schedule'!$A13&lt;=52),'Daily Workforce'!$M182="Y",IFERROR(1*'Daily Workforce'!$P182&gt;=2,FALSE()))))),1,0)</f>
        <v>0</v>
      </c>
      <c r="GL9" s="1" t="n">
        <f aca="false">IF(AND('Daily Workforce'!$N183="Y",'Daily Workforce'!$B183&lt;&gt;"",COUNTIF('Daily Schedule'!$F$5:$F12,'Daily Workforce'!$B183)=0,IF('Daily Schedule'!$A13=45,'Daily Workforce'!$J183="Y",IF(OR('Daily Schedule'!$A13=4,'Daily Schedule'!$A13=8),IF(OR(WEEKDAY('Daily Schedule'!$B$2,2)=1,WEEKDAY('Daily Schedule'!$B$2,2)=4,WEEKDAY('Daily Schedule'!$B$2,2)=5,WEEKDAY('Daily Schedule'!$B$2,2)=7),IFERROR(1*'Daily Workforce'!$K183&gt;=3,FALSE()),IFERROR(1*'Daily Workforce'!$K183&gt;=2,FALSE())),IF(AND('Daily Schedule'!$A13&gt;=46,'Daily Schedule'!$A13&lt;=52),'Daily Workforce'!$M183="Y",IFERROR(1*'Daily Workforce'!$P183&gt;=2,FALSE()))))),1,0)</f>
        <v>0</v>
      </c>
      <c r="GM9" s="1" t="n">
        <f aca="false">IF(AND('Daily Workforce'!$N184="Y",'Daily Workforce'!$B184&lt;&gt;"",COUNTIF('Daily Schedule'!$F$5:$F12,'Daily Workforce'!$B184)=0,IF('Daily Schedule'!$A13=45,'Daily Workforce'!$J184="Y",IF(OR('Daily Schedule'!$A13=4,'Daily Schedule'!$A13=8),IF(OR(WEEKDAY('Daily Schedule'!$B$2,2)=1,WEEKDAY('Daily Schedule'!$B$2,2)=4,WEEKDAY('Daily Schedule'!$B$2,2)=5,WEEKDAY('Daily Schedule'!$B$2,2)=7),IFERROR(1*'Daily Workforce'!$K184&gt;=3,FALSE()),IFERROR(1*'Daily Workforce'!$K184&gt;=2,FALSE())),IF(AND('Daily Schedule'!$A13&gt;=46,'Daily Schedule'!$A13&lt;=52),'Daily Workforce'!$M184="Y",IFERROR(1*'Daily Workforce'!$P184&gt;=2,FALSE()))))),1,0)</f>
        <v>0</v>
      </c>
      <c r="GN9" s="1" t="n">
        <f aca="false">IF(AND('Daily Workforce'!$N185="Y",'Daily Workforce'!$B185&lt;&gt;"",COUNTIF('Daily Schedule'!$F$5:$F12,'Daily Workforce'!$B185)=0,IF('Daily Schedule'!$A13=45,'Daily Workforce'!$J185="Y",IF(OR('Daily Schedule'!$A13=4,'Daily Schedule'!$A13=8),IF(OR(WEEKDAY('Daily Schedule'!$B$2,2)=1,WEEKDAY('Daily Schedule'!$B$2,2)=4,WEEKDAY('Daily Schedule'!$B$2,2)=5,WEEKDAY('Daily Schedule'!$B$2,2)=7),IFERROR(1*'Daily Workforce'!$K185&gt;=3,FALSE()),IFERROR(1*'Daily Workforce'!$K185&gt;=2,FALSE())),IF(AND('Daily Schedule'!$A13&gt;=46,'Daily Schedule'!$A13&lt;=52),'Daily Workforce'!$M185="Y",IFERROR(1*'Daily Workforce'!$P185&gt;=2,FALSE()))))),1,0)</f>
        <v>0</v>
      </c>
      <c r="GO9" s="1" t="n">
        <f aca="false">IF(AND('Daily Workforce'!$N186="Y",'Daily Workforce'!$B186&lt;&gt;"",COUNTIF('Daily Schedule'!$F$5:$F12,'Daily Workforce'!$B186)=0,IF('Daily Schedule'!$A13=45,'Daily Workforce'!$J186="Y",IF(OR('Daily Schedule'!$A13=4,'Daily Schedule'!$A13=8),IF(OR(WEEKDAY('Daily Schedule'!$B$2,2)=1,WEEKDAY('Daily Schedule'!$B$2,2)=4,WEEKDAY('Daily Schedule'!$B$2,2)=5,WEEKDAY('Daily Schedule'!$B$2,2)=7),IFERROR(1*'Daily Workforce'!$K186&gt;=3,FALSE()),IFERROR(1*'Daily Workforce'!$K186&gt;=2,FALSE())),IF(AND('Daily Schedule'!$A13&gt;=46,'Daily Schedule'!$A13&lt;=52),'Daily Workforce'!$M186="Y",IFERROR(1*'Daily Workforce'!$P186&gt;=2,FALSE()))))),1,0)</f>
        <v>0</v>
      </c>
      <c r="GP9" s="1" t="n">
        <f aca="false">IF(AND('Daily Workforce'!$N187="Y",'Daily Workforce'!$B187&lt;&gt;"",COUNTIF('Daily Schedule'!$F$5:$F12,'Daily Workforce'!$B187)=0,IF('Daily Schedule'!$A13=45,'Daily Workforce'!$J187="Y",IF(OR('Daily Schedule'!$A13=4,'Daily Schedule'!$A13=8),IF(OR(WEEKDAY('Daily Schedule'!$B$2,2)=1,WEEKDAY('Daily Schedule'!$B$2,2)=4,WEEKDAY('Daily Schedule'!$B$2,2)=5,WEEKDAY('Daily Schedule'!$B$2,2)=7),IFERROR(1*'Daily Workforce'!$K187&gt;=3,FALSE()),IFERROR(1*'Daily Workforce'!$K187&gt;=2,FALSE())),IF(AND('Daily Schedule'!$A13&gt;=46,'Daily Schedule'!$A13&lt;=52),'Daily Workforce'!$M187="Y",IFERROR(1*'Daily Workforce'!$P187&gt;=2,FALSE()))))),1,0)</f>
        <v>0</v>
      </c>
      <c r="GQ9" s="1" t="n">
        <f aca="false">IF(AND('Daily Workforce'!$N188="Y",'Daily Workforce'!$B188&lt;&gt;"",COUNTIF('Daily Schedule'!$F$5:$F12,'Daily Workforce'!$B188)=0,IF('Daily Schedule'!$A13=45,'Daily Workforce'!$J188="Y",IF(OR('Daily Schedule'!$A13=4,'Daily Schedule'!$A13=8),IF(OR(WEEKDAY('Daily Schedule'!$B$2,2)=1,WEEKDAY('Daily Schedule'!$B$2,2)=4,WEEKDAY('Daily Schedule'!$B$2,2)=5,WEEKDAY('Daily Schedule'!$B$2,2)=7),IFERROR(1*'Daily Workforce'!$K188&gt;=3,FALSE()),IFERROR(1*'Daily Workforce'!$K188&gt;=2,FALSE())),IF(AND('Daily Schedule'!$A13&gt;=46,'Daily Schedule'!$A13&lt;=52),'Daily Workforce'!$M188="Y",IFERROR(1*'Daily Workforce'!$P188&gt;=2,FALSE()))))),1,0)</f>
        <v>0</v>
      </c>
      <c r="GR9" s="1" t="n">
        <f aca="false">IF(AND('Daily Workforce'!$N189="Y",'Daily Workforce'!$B189&lt;&gt;"",COUNTIF('Daily Schedule'!$F$5:$F12,'Daily Workforce'!$B189)=0,IF('Daily Schedule'!$A13=45,'Daily Workforce'!$J189="Y",IF(OR('Daily Schedule'!$A13=4,'Daily Schedule'!$A13=8),IF(OR(WEEKDAY('Daily Schedule'!$B$2,2)=1,WEEKDAY('Daily Schedule'!$B$2,2)=4,WEEKDAY('Daily Schedule'!$B$2,2)=5,WEEKDAY('Daily Schedule'!$B$2,2)=7),IFERROR(1*'Daily Workforce'!$K189&gt;=3,FALSE()),IFERROR(1*'Daily Workforce'!$K189&gt;=2,FALSE())),IF(AND('Daily Schedule'!$A13&gt;=46,'Daily Schedule'!$A13&lt;=52),'Daily Workforce'!$M189="Y",IFERROR(1*'Daily Workforce'!$P189&gt;=2,FALSE()))))),1,0)</f>
        <v>0</v>
      </c>
      <c r="GS9" s="1" t="n">
        <f aca="false">IF(AND('Daily Workforce'!$N190="Y",'Daily Workforce'!$B190&lt;&gt;"",COUNTIF('Daily Schedule'!$F$5:$F12,'Daily Workforce'!$B190)=0,IF('Daily Schedule'!$A13=45,'Daily Workforce'!$J190="Y",IF(OR('Daily Schedule'!$A13=4,'Daily Schedule'!$A13=8),IF(OR(WEEKDAY('Daily Schedule'!$B$2,2)=1,WEEKDAY('Daily Schedule'!$B$2,2)=4,WEEKDAY('Daily Schedule'!$B$2,2)=5,WEEKDAY('Daily Schedule'!$B$2,2)=7),IFERROR(1*'Daily Workforce'!$K190&gt;=3,FALSE()),IFERROR(1*'Daily Workforce'!$K190&gt;=2,FALSE())),IF(AND('Daily Schedule'!$A13&gt;=46,'Daily Schedule'!$A13&lt;=52),'Daily Workforce'!$M190="Y",IFERROR(1*'Daily Workforce'!$P190&gt;=2,FALSE()))))),1,0)</f>
        <v>0</v>
      </c>
      <c r="GT9" s="1" t="n">
        <f aca="false">IF(AND('Daily Workforce'!$N191="Y",'Daily Workforce'!$B191&lt;&gt;"",COUNTIF('Daily Schedule'!$F$5:$F12,'Daily Workforce'!$B191)=0,IF('Daily Schedule'!$A13=45,'Daily Workforce'!$J191="Y",IF(OR('Daily Schedule'!$A13=4,'Daily Schedule'!$A13=8),IF(OR(WEEKDAY('Daily Schedule'!$B$2,2)=1,WEEKDAY('Daily Schedule'!$B$2,2)=4,WEEKDAY('Daily Schedule'!$B$2,2)=5,WEEKDAY('Daily Schedule'!$B$2,2)=7),IFERROR(1*'Daily Workforce'!$K191&gt;=3,FALSE()),IFERROR(1*'Daily Workforce'!$K191&gt;=2,FALSE())),IF(AND('Daily Schedule'!$A13&gt;=46,'Daily Schedule'!$A13&lt;=52),'Daily Workforce'!$M191="Y",IFERROR(1*'Daily Workforce'!$P191&gt;=2,FALSE()))))),1,0)</f>
        <v>0</v>
      </c>
      <c r="GU9" s="1" t="n">
        <f aca="false">IF(AND('Daily Workforce'!$N192="Y",'Daily Workforce'!$B192&lt;&gt;"",COUNTIF('Daily Schedule'!$F$5:$F12,'Daily Workforce'!$B192)=0,IF('Daily Schedule'!$A13=45,'Daily Workforce'!$J192="Y",IF(OR('Daily Schedule'!$A13=4,'Daily Schedule'!$A13=8),IF(OR(WEEKDAY('Daily Schedule'!$B$2,2)=1,WEEKDAY('Daily Schedule'!$B$2,2)=4,WEEKDAY('Daily Schedule'!$B$2,2)=5,WEEKDAY('Daily Schedule'!$B$2,2)=7),IFERROR(1*'Daily Workforce'!$K192&gt;=3,FALSE()),IFERROR(1*'Daily Workforce'!$K192&gt;=2,FALSE())),IF(AND('Daily Schedule'!$A13&gt;=46,'Daily Schedule'!$A13&lt;=52),'Daily Workforce'!$M192="Y",IFERROR(1*'Daily Workforce'!$P192&gt;=2,FALSE()))))),1,0)</f>
        <v>0</v>
      </c>
      <c r="GV9" s="1" t="n">
        <f aca="false">IF(AND('Daily Workforce'!$N193="Y",'Daily Workforce'!$B193&lt;&gt;"",COUNTIF('Daily Schedule'!$F$5:$F12,'Daily Workforce'!$B193)=0,IF('Daily Schedule'!$A13=45,'Daily Workforce'!$J193="Y",IF(OR('Daily Schedule'!$A13=4,'Daily Schedule'!$A13=8),IF(OR(WEEKDAY('Daily Schedule'!$B$2,2)=1,WEEKDAY('Daily Schedule'!$B$2,2)=4,WEEKDAY('Daily Schedule'!$B$2,2)=5,WEEKDAY('Daily Schedule'!$B$2,2)=7),IFERROR(1*'Daily Workforce'!$K193&gt;=3,FALSE()),IFERROR(1*'Daily Workforce'!$K193&gt;=2,FALSE())),IF(AND('Daily Schedule'!$A13&gt;=46,'Daily Schedule'!$A13&lt;=52),'Daily Workforce'!$M193="Y",IFERROR(1*'Daily Workforce'!$P193&gt;=2,FALSE()))))),1,0)</f>
        <v>0</v>
      </c>
      <c r="GW9" s="1" t="n">
        <f aca="false">IF(AND('Daily Workforce'!$N194="Y",'Daily Workforce'!$B194&lt;&gt;"",COUNTIF('Daily Schedule'!$F$5:$F12,'Daily Workforce'!$B194)=0,IF('Daily Schedule'!$A13=45,'Daily Workforce'!$J194="Y",IF(OR('Daily Schedule'!$A13=4,'Daily Schedule'!$A13=8),IF(OR(WEEKDAY('Daily Schedule'!$B$2,2)=1,WEEKDAY('Daily Schedule'!$B$2,2)=4,WEEKDAY('Daily Schedule'!$B$2,2)=5,WEEKDAY('Daily Schedule'!$B$2,2)=7),IFERROR(1*'Daily Workforce'!$K194&gt;=3,FALSE()),IFERROR(1*'Daily Workforce'!$K194&gt;=2,FALSE())),IF(AND('Daily Schedule'!$A13&gt;=46,'Daily Schedule'!$A13&lt;=52),'Daily Workforce'!$M194="Y",IFERROR(1*'Daily Workforce'!$P194&gt;=2,FALSE()))))),1,0)</f>
        <v>0</v>
      </c>
      <c r="GX9" s="1" t="n">
        <f aca="false">IF(AND('Daily Workforce'!$N195="Y",'Daily Workforce'!$B195&lt;&gt;"",COUNTIF('Daily Schedule'!$F$5:$F12,'Daily Workforce'!$B195)=0,IF('Daily Schedule'!$A13=45,'Daily Workforce'!$J195="Y",IF(OR('Daily Schedule'!$A13=4,'Daily Schedule'!$A13=8),IF(OR(WEEKDAY('Daily Schedule'!$B$2,2)=1,WEEKDAY('Daily Schedule'!$B$2,2)=4,WEEKDAY('Daily Schedule'!$B$2,2)=5,WEEKDAY('Daily Schedule'!$B$2,2)=7),IFERROR(1*'Daily Workforce'!$K195&gt;=3,FALSE()),IFERROR(1*'Daily Workforce'!$K195&gt;=2,FALSE())),IF(AND('Daily Schedule'!$A13&gt;=46,'Daily Schedule'!$A13&lt;=52),'Daily Workforce'!$M195="Y",IFERROR(1*'Daily Workforce'!$P195&gt;=2,FALSE()))))),1,0)</f>
        <v>0</v>
      </c>
      <c r="GY9" s="1" t="n">
        <f aca="false">IF(AND('Daily Workforce'!$N196="Y",'Daily Workforce'!$B196&lt;&gt;"",COUNTIF('Daily Schedule'!$F$5:$F12,'Daily Workforce'!$B196)=0,IF('Daily Schedule'!$A13=45,'Daily Workforce'!$J196="Y",IF(OR('Daily Schedule'!$A13=4,'Daily Schedule'!$A13=8),IF(OR(WEEKDAY('Daily Schedule'!$B$2,2)=1,WEEKDAY('Daily Schedule'!$B$2,2)=4,WEEKDAY('Daily Schedule'!$B$2,2)=5,WEEKDAY('Daily Schedule'!$B$2,2)=7),IFERROR(1*'Daily Workforce'!$K196&gt;=3,FALSE()),IFERROR(1*'Daily Workforce'!$K196&gt;=2,FALSE())),IF(AND('Daily Schedule'!$A13&gt;=46,'Daily Schedule'!$A13&lt;=52),'Daily Workforce'!$M196="Y",IFERROR(1*'Daily Workforce'!$P196&gt;=2,FALSE()))))),1,0)</f>
        <v>0</v>
      </c>
      <c r="GZ9" s="1" t="n">
        <f aca="false">IF(AND('Daily Workforce'!$N197="Y",'Daily Workforce'!$B197&lt;&gt;"",COUNTIF('Daily Schedule'!$F$5:$F12,'Daily Workforce'!$B197)=0,IF('Daily Schedule'!$A13=45,'Daily Workforce'!$J197="Y",IF(OR('Daily Schedule'!$A13=4,'Daily Schedule'!$A13=8),IF(OR(WEEKDAY('Daily Schedule'!$B$2,2)=1,WEEKDAY('Daily Schedule'!$B$2,2)=4,WEEKDAY('Daily Schedule'!$B$2,2)=5,WEEKDAY('Daily Schedule'!$B$2,2)=7),IFERROR(1*'Daily Workforce'!$K197&gt;=3,FALSE()),IFERROR(1*'Daily Workforce'!$K197&gt;=2,FALSE())),IF(AND('Daily Schedule'!$A13&gt;=46,'Daily Schedule'!$A13&lt;=52),'Daily Workforce'!$M197="Y",IFERROR(1*'Daily Workforce'!$P197&gt;=2,FALSE()))))),1,0)</f>
        <v>0</v>
      </c>
      <c r="HA9" s="1" t="n">
        <f aca="false">IF(AND('Daily Workforce'!$N198="Y",'Daily Workforce'!$B198&lt;&gt;"",COUNTIF('Daily Schedule'!$F$5:$F12,'Daily Workforce'!$B198)=0,IF('Daily Schedule'!$A13=45,'Daily Workforce'!$J198="Y",IF(OR('Daily Schedule'!$A13=4,'Daily Schedule'!$A13=8),IF(OR(WEEKDAY('Daily Schedule'!$B$2,2)=1,WEEKDAY('Daily Schedule'!$B$2,2)=4,WEEKDAY('Daily Schedule'!$B$2,2)=5,WEEKDAY('Daily Schedule'!$B$2,2)=7),IFERROR(1*'Daily Workforce'!$K198&gt;=3,FALSE()),IFERROR(1*'Daily Workforce'!$K198&gt;=2,FALSE())),IF(AND('Daily Schedule'!$A13&gt;=46,'Daily Schedule'!$A13&lt;=52),'Daily Workforce'!$M198="Y",IFERROR(1*'Daily Workforce'!$P198&gt;=2,FALSE()))))),1,0)</f>
        <v>0</v>
      </c>
      <c r="HB9" s="1" t="n">
        <f aca="false">IF(AND('Daily Workforce'!$N199="Y",'Daily Workforce'!$B199&lt;&gt;"",COUNTIF('Daily Schedule'!$F$5:$F12,'Daily Workforce'!$B199)=0,IF('Daily Schedule'!$A13=45,'Daily Workforce'!$J199="Y",IF(OR('Daily Schedule'!$A13=4,'Daily Schedule'!$A13=8),IF(OR(WEEKDAY('Daily Schedule'!$B$2,2)=1,WEEKDAY('Daily Schedule'!$B$2,2)=4,WEEKDAY('Daily Schedule'!$B$2,2)=5,WEEKDAY('Daily Schedule'!$B$2,2)=7),IFERROR(1*'Daily Workforce'!$K199&gt;=3,FALSE()),IFERROR(1*'Daily Workforce'!$K199&gt;=2,FALSE())),IF(AND('Daily Schedule'!$A13&gt;=46,'Daily Schedule'!$A13&lt;=52),'Daily Workforce'!$M199="Y",IFERROR(1*'Daily Workforce'!$P199&gt;=2,FALSE()))))),1,0)</f>
        <v>0</v>
      </c>
      <c r="HC9" s="1" t="n">
        <f aca="false">IF(AND('Daily Workforce'!$N200="Y",'Daily Workforce'!$B200&lt;&gt;"",COUNTIF('Daily Schedule'!$F$5:$F12,'Daily Workforce'!$B200)=0,IF('Daily Schedule'!$A13=45,'Daily Workforce'!$J200="Y",IF(OR('Daily Schedule'!$A13=4,'Daily Schedule'!$A13=8),IF(OR(WEEKDAY('Daily Schedule'!$B$2,2)=1,WEEKDAY('Daily Schedule'!$B$2,2)=4,WEEKDAY('Daily Schedule'!$B$2,2)=5,WEEKDAY('Daily Schedule'!$B$2,2)=7),IFERROR(1*'Daily Workforce'!$K200&gt;=3,FALSE()),IFERROR(1*'Daily Workforce'!$K200&gt;=2,FALSE())),IF(AND('Daily Schedule'!$A13&gt;=46,'Daily Schedule'!$A13&lt;=52),'Daily Workforce'!$M200="Y",IFERROR(1*'Daily Workforce'!$P200&gt;=2,FALSE()))))),1,0)</f>
        <v>0</v>
      </c>
      <c r="HD9" s="1" t="n">
        <f aca="false">IF(AND('Daily Workforce'!$N201="Y",'Daily Workforce'!$B201&lt;&gt;"",COUNTIF('Daily Schedule'!$F$5:$F12,'Daily Workforce'!$B201)=0,IF('Daily Schedule'!$A13=45,'Daily Workforce'!$J201="Y",IF(OR('Daily Schedule'!$A13=4,'Daily Schedule'!$A13=8),IF(OR(WEEKDAY('Daily Schedule'!$B$2,2)=1,WEEKDAY('Daily Schedule'!$B$2,2)=4,WEEKDAY('Daily Schedule'!$B$2,2)=5,WEEKDAY('Daily Schedule'!$B$2,2)=7),IFERROR(1*'Daily Workforce'!$K201&gt;=3,FALSE()),IFERROR(1*'Daily Workforce'!$K201&gt;=2,FALSE())),IF(AND('Daily Schedule'!$A13&gt;=46,'Daily Schedule'!$A13&lt;=52),'Daily Workforce'!$M201="Y",IFERROR(1*'Daily Workforce'!$P201&gt;=2,FALSE()))))),1,0)</f>
        <v>0</v>
      </c>
      <c r="HE9" s="1" t="n">
        <f aca="false">IF(AND('Daily Workforce'!$N202="Y",'Daily Workforce'!$B202&lt;&gt;"",COUNTIF('Daily Schedule'!$F$5:$F12,'Daily Workforce'!$B202)=0,IF('Daily Schedule'!$A13=45,'Daily Workforce'!$J202="Y",IF(OR('Daily Schedule'!$A13=4,'Daily Schedule'!$A13=8),IF(OR(WEEKDAY('Daily Schedule'!$B$2,2)=1,WEEKDAY('Daily Schedule'!$B$2,2)=4,WEEKDAY('Daily Schedule'!$B$2,2)=5,WEEKDAY('Daily Schedule'!$B$2,2)=7),IFERROR(1*'Daily Workforce'!$K202&gt;=3,FALSE()),IFERROR(1*'Daily Workforce'!$K202&gt;=2,FALSE())),IF(AND('Daily Schedule'!$A13&gt;=46,'Daily Schedule'!$A13&lt;=52),'Daily Workforce'!$M202="Y",IFERROR(1*'Daily Workforce'!$P202&gt;=2,FALSE()))))),1,0)</f>
        <v>0</v>
      </c>
      <c r="HF9" s="1" t="n">
        <f aca="false">IF(AND('Daily Workforce'!$N203="Y",'Daily Workforce'!$B203&lt;&gt;"",COUNTIF('Daily Schedule'!$F$5:$F12,'Daily Workforce'!$B203)=0,IF('Daily Schedule'!$A13=45,'Daily Workforce'!$J203="Y",IF(OR('Daily Schedule'!$A13=4,'Daily Schedule'!$A13=8),IF(OR(WEEKDAY('Daily Schedule'!$B$2,2)=1,WEEKDAY('Daily Schedule'!$B$2,2)=4,WEEKDAY('Daily Schedule'!$B$2,2)=5,WEEKDAY('Daily Schedule'!$B$2,2)=7),IFERROR(1*'Daily Workforce'!$K203&gt;=3,FALSE()),IFERROR(1*'Daily Workforce'!$K203&gt;=2,FALSE())),IF(AND('Daily Schedule'!$A13&gt;=46,'Daily Schedule'!$A13&lt;=52),'Daily Workforce'!$M203="Y",IFERROR(1*'Daily Workforce'!$P203&gt;=2,FALSE()))))),1,0)</f>
        <v>0</v>
      </c>
      <c r="HG9" s="1" t="n">
        <f aca="false">IF(AND('Daily Workforce'!$N204="Y",'Daily Workforce'!$B204&lt;&gt;"",COUNTIF('Daily Schedule'!$F$5:$F12,'Daily Workforce'!$B204)=0,IF('Daily Schedule'!$A13=45,'Daily Workforce'!$J204="Y",IF(OR('Daily Schedule'!$A13=4,'Daily Schedule'!$A13=8),IF(OR(WEEKDAY('Daily Schedule'!$B$2,2)=1,WEEKDAY('Daily Schedule'!$B$2,2)=4,WEEKDAY('Daily Schedule'!$B$2,2)=5,WEEKDAY('Daily Schedule'!$B$2,2)=7),IFERROR(1*'Daily Workforce'!$K204&gt;=3,FALSE()),IFERROR(1*'Daily Workforce'!$K204&gt;=2,FALSE())),IF(AND('Daily Schedule'!$A13&gt;=46,'Daily Schedule'!$A13&lt;=52),'Daily Workforce'!$M204="Y",IFERROR(1*'Daily Workforce'!$P204&gt;=2,FALSE()))))),1,0)</f>
        <v>0</v>
      </c>
      <c r="HH9" s="1" t="n">
        <f aca="false">IF(AND('Daily Workforce'!$N205="Y",'Daily Workforce'!$B205&lt;&gt;"",COUNTIF('Daily Schedule'!$F$5:$F12,'Daily Workforce'!$B205)=0,IF('Daily Schedule'!$A13=45,'Daily Workforce'!$J205="Y",IF(OR('Daily Schedule'!$A13=4,'Daily Schedule'!$A13=8),IF(OR(WEEKDAY('Daily Schedule'!$B$2,2)=1,WEEKDAY('Daily Schedule'!$B$2,2)=4,WEEKDAY('Daily Schedule'!$B$2,2)=5,WEEKDAY('Daily Schedule'!$B$2,2)=7),IFERROR(1*'Daily Workforce'!$K205&gt;=3,FALSE()),IFERROR(1*'Daily Workforce'!$K205&gt;=2,FALSE())),IF(AND('Daily Schedule'!$A13&gt;=46,'Daily Schedule'!$A13&lt;=52),'Daily Workforce'!$M205="Y",IFERROR(1*'Daily Workforce'!$P205&gt;=2,FALSE()))))),1,0)</f>
        <v>0</v>
      </c>
    </row>
    <row r="10" customFormat="false" ht="15" hidden="false" customHeight="true" outlineLevel="0" collapsed="false">
      <c r="C10" s="1" t="s">
        <v>799</v>
      </c>
      <c r="L10" s="1" t="s">
        <v>464</v>
      </c>
      <c r="M10" s="1" t="s">
        <v>135</v>
      </c>
      <c r="O10" s="1" t="n">
        <f aca="false">IF(AND('Employee Master'!$G10="Y",ISERROR(SEARCH(TEXT('Daily Workforce'!$B$2,"ddd"),'Employee Master'!$D10)),IF('Daily Workforce'!$E$2="",TRUE(),'Employee Master'!$I10='Daily Workforce'!$E$2)),'Employee Master'!$K10*1000+ROW()-1,"")</f>
        <v>2009</v>
      </c>
      <c r="P10" s="1" t="n">
        <f aca="false">IF($O10="","",COUNTIF($O$2:$O$159,"&lt;="&amp;$O10))</f>
        <v>24</v>
      </c>
      <c r="Q10" s="1" t="n">
        <f aca="false">IF(AND('Daily Workforce'!$N6="Y",'Daily Workforce'!$B6&lt;&gt;"",COUNTIF('Daily Schedule'!$F$5:$F13,'Daily Workforce'!$B6)=0,IF('Daily Schedule'!$A14=45,'Daily Workforce'!$J6="Y",IF(OR('Daily Schedule'!$A14=4,'Daily Schedule'!$A14=8),IF(OR(WEEKDAY('Daily Schedule'!$B$2,2)=1,WEEKDAY('Daily Schedule'!$B$2,2)=4,WEEKDAY('Daily Schedule'!$B$2,2)=5,WEEKDAY('Daily Schedule'!$B$2,2)=7),IFERROR(1*'Daily Workforce'!$K6&gt;=3,FALSE()),IFERROR(1*'Daily Workforce'!$K6&gt;=2,FALSE())),IF(AND('Daily Schedule'!$A14&gt;=46,'Daily Schedule'!$A14&lt;=52),'Daily Workforce'!$M6="Y",IFERROR(1*'Daily Workforce'!$P6&gt;=2,FALSE()))))),1,0)</f>
        <v>0</v>
      </c>
      <c r="R10" s="1" t="n">
        <f aca="false">IF(AND('Daily Workforce'!$N7="Y",'Daily Workforce'!$B7&lt;&gt;"",COUNTIF('Daily Schedule'!$F$5:$F13,'Daily Workforce'!$B7)=0,IF('Daily Schedule'!$A14=45,'Daily Workforce'!$J7="Y",IF(OR('Daily Schedule'!$A14=4,'Daily Schedule'!$A14=8),IF(OR(WEEKDAY('Daily Schedule'!$B$2,2)=1,WEEKDAY('Daily Schedule'!$B$2,2)=4,WEEKDAY('Daily Schedule'!$B$2,2)=5,WEEKDAY('Daily Schedule'!$B$2,2)=7),IFERROR(1*'Daily Workforce'!$K7&gt;=3,FALSE()),IFERROR(1*'Daily Workforce'!$K7&gt;=2,FALSE())),IF(AND('Daily Schedule'!$A14&gt;=46,'Daily Schedule'!$A14&lt;=52),'Daily Workforce'!$M7="Y",IFERROR(1*'Daily Workforce'!$P7&gt;=2,FALSE()))))),1,0)</f>
        <v>0</v>
      </c>
      <c r="S10" s="1" t="n">
        <f aca="false">IF(AND('Daily Workforce'!$N8="Y",'Daily Workforce'!$B8&lt;&gt;"",COUNTIF('Daily Schedule'!$F$5:$F13,'Daily Workforce'!$B8)=0,IF('Daily Schedule'!$A14=45,'Daily Workforce'!$J8="Y",IF(OR('Daily Schedule'!$A14=4,'Daily Schedule'!$A14=8),IF(OR(WEEKDAY('Daily Schedule'!$B$2,2)=1,WEEKDAY('Daily Schedule'!$B$2,2)=4,WEEKDAY('Daily Schedule'!$B$2,2)=5,WEEKDAY('Daily Schedule'!$B$2,2)=7),IFERROR(1*'Daily Workforce'!$K8&gt;=3,FALSE()),IFERROR(1*'Daily Workforce'!$K8&gt;=2,FALSE())),IF(AND('Daily Schedule'!$A14&gt;=46,'Daily Schedule'!$A14&lt;=52),'Daily Workforce'!$M8="Y",IFERROR(1*'Daily Workforce'!$P8&gt;=2,FALSE()))))),1,0)</f>
        <v>0</v>
      </c>
      <c r="T10" s="1" t="n">
        <f aca="false">IF(AND('Daily Workforce'!$N9="Y",'Daily Workforce'!$B9&lt;&gt;"",COUNTIF('Daily Schedule'!$F$5:$F13,'Daily Workforce'!$B9)=0,IF('Daily Schedule'!$A14=45,'Daily Workforce'!$J9="Y",IF(OR('Daily Schedule'!$A14=4,'Daily Schedule'!$A14=8),IF(OR(WEEKDAY('Daily Schedule'!$B$2,2)=1,WEEKDAY('Daily Schedule'!$B$2,2)=4,WEEKDAY('Daily Schedule'!$B$2,2)=5,WEEKDAY('Daily Schedule'!$B$2,2)=7),IFERROR(1*'Daily Workforce'!$K9&gt;=3,FALSE()),IFERROR(1*'Daily Workforce'!$K9&gt;=2,FALSE())),IF(AND('Daily Schedule'!$A14&gt;=46,'Daily Schedule'!$A14&lt;=52),'Daily Workforce'!$M9="Y",IFERROR(1*'Daily Workforce'!$P9&gt;=2,FALSE()))))),1,0)</f>
        <v>0</v>
      </c>
      <c r="U10" s="1" t="n">
        <f aca="false">IF(AND('Daily Workforce'!$N10="Y",'Daily Workforce'!$B10&lt;&gt;"",COUNTIF('Daily Schedule'!$F$5:$F13,'Daily Workforce'!$B10)=0,IF('Daily Schedule'!$A14=45,'Daily Workforce'!$J10="Y",IF(OR('Daily Schedule'!$A14=4,'Daily Schedule'!$A14=8),IF(OR(WEEKDAY('Daily Schedule'!$B$2,2)=1,WEEKDAY('Daily Schedule'!$B$2,2)=4,WEEKDAY('Daily Schedule'!$B$2,2)=5,WEEKDAY('Daily Schedule'!$B$2,2)=7),IFERROR(1*'Daily Workforce'!$K10&gt;=3,FALSE()),IFERROR(1*'Daily Workforce'!$K10&gt;=2,FALSE())),IF(AND('Daily Schedule'!$A14&gt;=46,'Daily Schedule'!$A14&lt;=52),'Daily Workforce'!$M10="Y",IFERROR(1*'Daily Workforce'!$P10&gt;=2,FALSE()))))),1,0)</f>
        <v>0</v>
      </c>
      <c r="V10" s="1" t="n">
        <f aca="false">IF(AND('Daily Workforce'!$N11="Y",'Daily Workforce'!$B11&lt;&gt;"",COUNTIF('Daily Schedule'!$F$5:$F13,'Daily Workforce'!$B11)=0,IF('Daily Schedule'!$A14=45,'Daily Workforce'!$J11="Y",IF(OR('Daily Schedule'!$A14=4,'Daily Schedule'!$A14=8),IF(OR(WEEKDAY('Daily Schedule'!$B$2,2)=1,WEEKDAY('Daily Schedule'!$B$2,2)=4,WEEKDAY('Daily Schedule'!$B$2,2)=5,WEEKDAY('Daily Schedule'!$B$2,2)=7),IFERROR(1*'Daily Workforce'!$K11&gt;=3,FALSE()),IFERROR(1*'Daily Workforce'!$K11&gt;=2,FALSE())),IF(AND('Daily Schedule'!$A14&gt;=46,'Daily Schedule'!$A14&lt;=52),'Daily Workforce'!$M11="Y",IFERROR(1*'Daily Workforce'!$P11&gt;=2,FALSE()))))),1,0)</f>
        <v>0</v>
      </c>
      <c r="W10" s="1" t="n">
        <f aca="false">IF(AND('Daily Workforce'!$N12="Y",'Daily Workforce'!$B12&lt;&gt;"",COUNTIF('Daily Schedule'!$F$5:$F13,'Daily Workforce'!$B12)=0,IF('Daily Schedule'!$A14=45,'Daily Workforce'!$J12="Y",IF(OR('Daily Schedule'!$A14=4,'Daily Schedule'!$A14=8),IF(OR(WEEKDAY('Daily Schedule'!$B$2,2)=1,WEEKDAY('Daily Schedule'!$B$2,2)=4,WEEKDAY('Daily Schedule'!$B$2,2)=5,WEEKDAY('Daily Schedule'!$B$2,2)=7),IFERROR(1*'Daily Workforce'!$K12&gt;=3,FALSE()),IFERROR(1*'Daily Workforce'!$K12&gt;=2,FALSE())),IF(AND('Daily Schedule'!$A14&gt;=46,'Daily Schedule'!$A14&lt;=52),'Daily Workforce'!$M12="Y",IFERROR(1*'Daily Workforce'!$P12&gt;=2,FALSE()))))),1,0)</f>
        <v>0</v>
      </c>
      <c r="X10" s="1" t="n">
        <f aca="false">IF(AND('Daily Workforce'!$N13="Y",'Daily Workforce'!$B13&lt;&gt;"",COUNTIF('Daily Schedule'!$F$5:$F13,'Daily Workforce'!$B13)=0,IF('Daily Schedule'!$A14=45,'Daily Workforce'!$J13="Y",IF(OR('Daily Schedule'!$A14=4,'Daily Schedule'!$A14=8),IF(OR(WEEKDAY('Daily Schedule'!$B$2,2)=1,WEEKDAY('Daily Schedule'!$B$2,2)=4,WEEKDAY('Daily Schedule'!$B$2,2)=5,WEEKDAY('Daily Schedule'!$B$2,2)=7),IFERROR(1*'Daily Workforce'!$K13&gt;=3,FALSE()),IFERROR(1*'Daily Workforce'!$K13&gt;=2,FALSE())),IF(AND('Daily Schedule'!$A14&gt;=46,'Daily Schedule'!$A14&lt;=52),'Daily Workforce'!$M13="Y",IFERROR(1*'Daily Workforce'!$P13&gt;=2,FALSE()))))),1,0)</f>
        <v>0</v>
      </c>
      <c r="Y10" s="1" t="n">
        <f aca="false">IF(AND('Daily Workforce'!$N14="Y",'Daily Workforce'!$B14&lt;&gt;"",COUNTIF('Daily Schedule'!$F$5:$F13,'Daily Workforce'!$B14)=0,IF('Daily Schedule'!$A14=45,'Daily Workforce'!$J14="Y",IF(OR('Daily Schedule'!$A14=4,'Daily Schedule'!$A14=8),IF(OR(WEEKDAY('Daily Schedule'!$B$2,2)=1,WEEKDAY('Daily Schedule'!$B$2,2)=4,WEEKDAY('Daily Schedule'!$B$2,2)=5,WEEKDAY('Daily Schedule'!$B$2,2)=7),IFERROR(1*'Daily Workforce'!$K14&gt;=3,FALSE()),IFERROR(1*'Daily Workforce'!$K14&gt;=2,FALSE())),IF(AND('Daily Schedule'!$A14&gt;=46,'Daily Schedule'!$A14&lt;=52),'Daily Workforce'!$M14="Y",IFERROR(1*'Daily Workforce'!$P14&gt;=2,FALSE()))))),1,0)</f>
        <v>1</v>
      </c>
      <c r="Z10" s="1" t="n">
        <f aca="false">IF(AND('Daily Workforce'!$N15="Y",'Daily Workforce'!$B15&lt;&gt;"",COUNTIF('Daily Schedule'!$F$5:$F13,'Daily Workforce'!$B15)=0,IF('Daily Schedule'!$A14=45,'Daily Workforce'!$J15="Y",IF(OR('Daily Schedule'!$A14=4,'Daily Schedule'!$A14=8),IF(OR(WEEKDAY('Daily Schedule'!$B$2,2)=1,WEEKDAY('Daily Schedule'!$B$2,2)=4,WEEKDAY('Daily Schedule'!$B$2,2)=5,WEEKDAY('Daily Schedule'!$B$2,2)=7),IFERROR(1*'Daily Workforce'!$K15&gt;=3,FALSE()),IFERROR(1*'Daily Workforce'!$K15&gt;=2,FALSE())),IF(AND('Daily Schedule'!$A14&gt;=46,'Daily Schedule'!$A14&lt;=52),'Daily Workforce'!$M15="Y",IFERROR(1*'Daily Workforce'!$P15&gt;=2,FALSE()))))),1,0)</f>
        <v>0</v>
      </c>
      <c r="AA10" s="1" t="n">
        <f aca="false">IF(AND('Daily Workforce'!$N16="Y",'Daily Workforce'!$B16&lt;&gt;"",COUNTIF('Daily Schedule'!$F$5:$F13,'Daily Workforce'!$B16)=0,IF('Daily Schedule'!$A14=45,'Daily Workforce'!$J16="Y",IF(OR('Daily Schedule'!$A14=4,'Daily Schedule'!$A14=8),IF(OR(WEEKDAY('Daily Schedule'!$B$2,2)=1,WEEKDAY('Daily Schedule'!$B$2,2)=4,WEEKDAY('Daily Schedule'!$B$2,2)=5,WEEKDAY('Daily Schedule'!$B$2,2)=7),IFERROR(1*'Daily Workforce'!$K16&gt;=3,FALSE()),IFERROR(1*'Daily Workforce'!$K16&gt;=2,FALSE())),IF(AND('Daily Schedule'!$A14&gt;=46,'Daily Schedule'!$A14&lt;=52),'Daily Workforce'!$M16="Y",IFERROR(1*'Daily Workforce'!$P16&gt;=2,FALSE()))))),1,0)</f>
        <v>1</v>
      </c>
      <c r="AB10" s="1" t="n">
        <f aca="false">IF(AND('Daily Workforce'!$N17="Y",'Daily Workforce'!$B17&lt;&gt;"",COUNTIF('Daily Schedule'!$F$5:$F13,'Daily Workforce'!$B17)=0,IF('Daily Schedule'!$A14=45,'Daily Workforce'!$J17="Y",IF(OR('Daily Schedule'!$A14=4,'Daily Schedule'!$A14=8),IF(OR(WEEKDAY('Daily Schedule'!$B$2,2)=1,WEEKDAY('Daily Schedule'!$B$2,2)=4,WEEKDAY('Daily Schedule'!$B$2,2)=5,WEEKDAY('Daily Schedule'!$B$2,2)=7),IFERROR(1*'Daily Workforce'!$K17&gt;=3,FALSE()),IFERROR(1*'Daily Workforce'!$K17&gt;=2,FALSE())),IF(AND('Daily Schedule'!$A14&gt;=46,'Daily Schedule'!$A14&lt;=52),'Daily Workforce'!$M17="Y",IFERROR(1*'Daily Workforce'!$P17&gt;=2,FALSE()))))),1,0)</f>
        <v>1</v>
      </c>
      <c r="AC10" s="1" t="n">
        <f aca="false">IF(AND('Daily Workforce'!$N18="Y",'Daily Workforce'!$B18&lt;&gt;"",COUNTIF('Daily Schedule'!$F$5:$F13,'Daily Workforce'!$B18)=0,IF('Daily Schedule'!$A14=45,'Daily Workforce'!$J18="Y",IF(OR('Daily Schedule'!$A14=4,'Daily Schedule'!$A14=8),IF(OR(WEEKDAY('Daily Schedule'!$B$2,2)=1,WEEKDAY('Daily Schedule'!$B$2,2)=4,WEEKDAY('Daily Schedule'!$B$2,2)=5,WEEKDAY('Daily Schedule'!$B$2,2)=7),IFERROR(1*'Daily Workforce'!$K18&gt;=3,FALSE()),IFERROR(1*'Daily Workforce'!$K18&gt;=2,FALSE())),IF(AND('Daily Schedule'!$A14&gt;=46,'Daily Schedule'!$A14&lt;=52),'Daily Workforce'!$M18="Y",IFERROR(1*'Daily Workforce'!$P18&gt;=2,FALSE()))))),1,0)</f>
        <v>1</v>
      </c>
      <c r="AD10" s="1" t="n">
        <f aca="false">IF(AND('Daily Workforce'!$N19="Y",'Daily Workforce'!$B19&lt;&gt;"",COUNTIF('Daily Schedule'!$F$5:$F13,'Daily Workforce'!$B19)=0,IF('Daily Schedule'!$A14=45,'Daily Workforce'!$J19="Y",IF(OR('Daily Schedule'!$A14=4,'Daily Schedule'!$A14=8),IF(OR(WEEKDAY('Daily Schedule'!$B$2,2)=1,WEEKDAY('Daily Schedule'!$B$2,2)=4,WEEKDAY('Daily Schedule'!$B$2,2)=5,WEEKDAY('Daily Schedule'!$B$2,2)=7),IFERROR(1*'Daily Workforce'!$K19&gt;=3,FALSE()),IFERROR(1*'Daily Workforce'!$K19&gt;=2,FALSE())),IF(AND('Daily Schedule'!$A14&gt;=46,'Daily Schedule'!$A14&lt;=52),'Daily Workforce'!$M19="Y",IFERROR(1*'Daily Workforce'!$P19&gt;=2,FALSE()))))),1,0)</f>
        <v>1</v>
      </c>
      <c r="AE10" s="1" t="n">
        <f aca="false">IF(AND('Daily Workforce'!$N20="Y",'Daily Workforce'!$B20&lt;&gt;"",COUNTIF('Daily Schedule'!$F$5:$F13,'Daily Workforce'!$B20)=0,IF('Daily Schedule'!$A14=45,'Daily Workforce'!$J20="Y",IF(OR('Daily Schedule'!$A14=4,'Daily Schedule'!$A14=8),IF(OR(WEEKDAY('Daily Schedule'!$B$2,2)=1,WEEKDAY('Daily Schedule'!$B$2,2)=4,WEEKDAY('Daily Schedule'!$B$2,2)=5,WEEKDAY('Daily Schedule'!$B$2,2)=7),IFERROR(1*'Daily Workforce'!$K20&gt;=3,FALSE()),IFERROR(1*'Daily Workforce'!$K20&gt;=2,FALSE())),IF(AND('Daily Schedule'!$A14&gt;=46,'Daily Schedule'!$A14&lt;=52),'Daily Workforce'!$M20="Y",IFERROR(1*'Daily Workforce'!$P20&gt;=2,FALSE()))))),1,0)</f>
        <v>1</v>
      </c>
      <c r="AF10" s="1" t="n">
        <f aca="false">IF(AND('Daily Workforce'!$N21="Y",'Daily Workforce'!$B21&lt;&gt;"",COUNTIF('Daily Schedule'!$F$5:$F13,'Daily Workforce'!$B21)=0,IF('Daily Schedule'!$A14=45,'Daily Workforce'!$J21="Y",IF(OR('Daily Schedule'!$A14=4,'Daily Schedule'!$A14=8),IF(OR(WEEKDAY('Daily Schedule'!$B$2,2)=1,WEEKDAY('Daily Schedule'!$B$2,2)=4,WEEKDAY('Daily Schedule'!$B$2,2)=5,WEEKDAY('Daily Schedule'!$B$2,2)=7),IFERROR(1*'Daily Workforce'!$K21&gt;=3,FALSE()),IFERROR(1*'Daily Workforce'!$K21&gt;=2,FALSE())),IF(AND('Daily Schedule'!$A14&gt;=46,'Daily Schedule'!$A14&lt;=52),'Daily Workforce'!$M21="Y",IFERROR(1*'Daily Workforce'!$P21&gt;=2,FALSE()))))),1,0)</f>
        <v>1</v>
      </c>
      <c r="AG10" s="1" t="n">
        <f aca="false">IF(AND('Daily Workforce'!$N22="Y",'Daily Workforce'!$B22&lt;&gt;"",COUNTIF('Daily Schedule'!$F$5:$F13,'Daily Workforce'!$B22)=0,IF('Daily Schedule'!$A14=45,'Daily Workforce'!$J22="Y",IF(OR('Daily Schedule'!$A14=4,'Daily Schedule'!$A14=8),IF(OR(WEEKDAY('Daily Schedule'!$B$2,2)=1,WEEKDAY('Daily Schedule'!$B$2,2)=4,WEEKDAY('Daily Schedule'!$B$2,2)=5,WEEKDAY('Daily Schedule'!$B$2,2)=7),IFERROR(1*'Daily Workforce'!$K22&gt;=3,FALSE()),IFERROR(1*'Daily Workforce'!$K22&gt;=2,FALSE())),IF(AND('Daily Schedule'!$A14&gt;=46,'Daily Schedule'!$A14&lt;=52),'Daily Workforce'!$M22="Y",IFERROR(1*'Daily Workforce'!$P22&gt;=2,FALSE()))))),1,0)</f>
        <v>1</v>
      </c>
      <c r="AH10" s="1" t="n">
        <f aca="false">IF(AND('Daily Workforce'!$N23="Y",'Daily Workforce'!$B23&lt;&gt;"",COUNTIF('Daily Schedule'!$F$5:$F13,'Daily Workforce'!$B23)=0,IF('Daily Schedule'!$A14=45,'Daily Workforce'!$J23="Y",IF(OR('Daily Schedule'!$A14=4,'Daily Schedule'!$A14=8),IF(OR(WEEKDAY('Daily Schedule'!$B$2,2)=1,WEEKDAY('Daily Schedule'!$B$2,2)=4,WEEKDAY('Daily Schedule'!$B$2,2)=5,WEEKDAY('Daily Schedule'!$B$2,2)=7),IFERROR(1*'Daily Workforce'!$K23&gt;=3,FALSE()),IFERROR(1*'Daily Workforce'!$K23&gt;=2,FALSE())),IF(AND('Daily Schedule'!$A14&gt;=46,'Daily Schedule'!$A14&lt;=52),'Daily Workforce'!$M23="Y",IFERROR(1*'Daily Workforce'!$P23&gt;=2,FALSE()))))),1,0)</f>
        <v>1</v>
      </c>
      <c r="AI10" s="1" t="n">
        <f aca="false">IF(AND('Daily Workforce'!$N24="Y",'Daily Workforce'!$B24&lt;&gt;"",COUNTIF('Daily Schedule'!$F$5:$F13,'Daily Workforce'!$B24)=0,IF('Daily Schedule'!$A14=45,'Daily Workforce'!$J24="Y",IF(OR('Daily Schedule'!$A14=4,'Daily Schedule'!$A14=8),IF(OR(WEEKDAY('Daily Schedule'!$B$2,2)=1,WEEKDAY('Daily Schedule'!$B$2,2)=4,WEEKDAY('Daily Schedule'!$B$2,2)=5,WEEKDAY('Daily Schedule'!$B$2,2)=7),IFERROR(1*'Daily Workforce'!$K24&gt;=3,FALSE()),IFERROR(1*'Daily Workforce'!$K24&gt;=2,FALSE())),IF(AND('Daily Schedule'!$A14&gt;=46,'Daily Schedule'!$A14&lt;=52),'Daily Workforce'!$M24="Y",IFERROR(1*'Daily Workforce'!$P24&gt;=2,FALSE()))))),1,0)</f>
        <v>1</v>
      </c>
      <c r="AJ10" s="1" t="n">
        <f aca="false">IF(AND('Daily Workforce'!$N25="Y",'Daily Workforce'!$B25&lt;&gt;"",COUNTIF('Daily Schedule'!$F$5:$F13,'Daily Workforce'!$B25)=0,IF('Daily Schedule'!$A14=45,'Daily Workforce'!$J25="Y",IF(OR('Daily Schedule'!$A14=4,'Daily Schedule'!$A14=8),IF(OR(WEEKDAY('Daily Schedule'!$B$2,2)=1,WEEKDAY('Daily Schedule'!$B$2,2)=4,WEEKDAY('Daily Schedule'!$B$2,2)=5,WEEKDAY('Daily Schedule'!$B$2,2)=7),IFERROR(1*'Daily Workforce'!$K25&gt;=3,FALSE()),IFERROR(1*'Daily Workforce'!$K25&gt;=2,FALSE())),IF(AND('Daily Schedule'!$A14&gt;=46,'Daily Schedule'!$A14&lt;=52),'Daily Workforce'!$M25="Y",IFERROR(1*'Daily Workforce'!$P25&gt;=2,FALSE()))))),1,0)</f>
        <v>1</v>
      </c>
      <c r="AK10" s="1" t="n">
        <f aca="false">IF(AND('Daily Workforce'!$N26="Y",'Daily Workforce'!$B26&lt;&gt;"",COUNTIF('Daily Schedule'!$F$5:$F13,'Daily Workforce'!$B26)=0,IF('Daily Schedule'!$A14=45,'Daily Workforce'!$J26="Y",IF(OR('Daily Schedule'!$A14=4,'Daily Schedule'!$A14=8),IF(OR(WEEKDAY('Daily Schedule'!$B$2,2)=1,WEEKDAY('Daily Schedule'!$B$2,2)=4,WEEKDAY('Daily Schedule'!$B$2,2)=5,WEEKDAY('Daily Schedule'!$B$2,2)=7),IFERROR(1*'Daily Workforce'!$K26&gt;=3,FALSE()),IFERROR(1*'Daily Workforce'!$K26&gt;=2,FALSE())),IF(AND('Daily Schedule'!$A14&gt;=46,'Daily Schedule'!$A14&lt;=52),'Daily Workforce'!$M26="Y",IFERROR(1*'Daily Workforce'!$P26&gt;=2,FALSE()))))),1,0)</f>
        <v>1</v>
      </c>
      <c r="AL10" s="1" t="n">
        <f aca="false">IF(AND('Daily Workforce'!$N27="Y",'Daily Workforce'!$B27&lt;&gt;"",COUNTIF('Daily Schedule'!$F$5:$F13,'Daily Workforce'!$B27)=0,IF('Daily Schedule'!$A14=45,'Daily Workforce'!$J27="Y",IF(OR('Daily Schedule'!$A14=4,'Daily Schedule'!$A14=8),IF(OR(WEEKDAY('Daily Schedule'!$B$2,2)=1,WEEKDAY('Daily Schedule'!$B$2,2)=4,WEEKDAY('Daily Schedule'!$B$2,2)=5,WEEKDAY('Daily Schedule'!$B$2,2)=7),IFERROR(1*'Daily Workforce'!$K27&gt;=3,FALSE()),IFERROR(1*'Daily Workforce'!$K27&gt;=2,FALSE())),IF(AND('Daily Schedule'!$A14&gt;=46,'Daily Schedule'!$A14&lt;=52),'Daily Workforce'!$M27="Y",IFERROR(1*'Daily Workforce'!$P27&gt;=2,FALSE()))))),1,0)</f>
        <v>0</v>
      </c>
      <c r="AM10" s="1" t="n">
        <f aca="false">IF(AND('Daily Workforce'!$N28="Y",'Daily Workforce'!$B28&lt;&gt;"",COUNTIF('Daily Schedule'!$F$5:$F13,'Daily Workforce'!$B28)=0,IF('Daily Schedule'!$A14=45,'Daily Workforce'!$J28="Y",IF(OR('Daily Schedule'!$A14=4,'Daily Schedule'!$A14=8),IF(OR(WEEKDAY('Daily Schedule'!$B$2,2)=1,WEEKDAY('Daily Schedule'!$B$2,2)=4,WEEKDAY('Daily Schedule'!$B$2,2)=5,WEEKDAY('Daily Schedule'!$B$2,2)=7),IFERROR(1*'Daily Workforce'!$K28&gt;=3,FALSE()),IFERROR(1*'Daily Workforce'!$K28&gt;=2,FALSE())),IF(AND('Daily Schedule'!$A14&gt;=46,'Daily Schedule'!$A14&lt;=52),'Daily Workforce'!$M28="Y",IFERROR(1*'Daily Workforce'!$P28&gt;=2,FALSE()))))),1,0)</f>
        <v>1</v>
      </c>
      <c r="AN10" s="1" t="n">
        <f aca="false">IF(AND('Daily Workforce'!$N29="Y",'Daily Workforce'!$B29&lt;&gt;"",COUNTIF('Daily Schedule'!$F$5:$F13,'Daily Workforce'!$B29)=0,IF('Daily Schedule'!$A14=45,'Daily Workforce'!$J29="Y",IF(OR('Daily Schedule'!$A14=4,'Daily Schedule'!$A14=8),IF(OR(WEEKDAY('Daily Schedule'!$B$2,2)=1,WEEKDAY('Daily Schedule'!$B$2,2)=4,WEEKDAY('Daily Schedule'!$B$2,2)=5,WEEKDAY('Daily Schedule'!$B$2,2)=7),IFERROR(1*'Daily Workforce'!$K29&gt;=3,FALSE()),IFERROR(1*'Daily Workforce'!$K29&gt;=2,FALSE())),IF(AND('Daily Schedule'!$A14&gt;=46,'Daily Schedule'!$A14&lt;=52),'Daily Workforce'!$M29="Y",IFERROR(1*'Daily Workforce'!$P29&gt;=2,FALSE()))))),1,0)</f>
        <v>1</v>
      </c>
      <c r="AO10" s="1" t="n">
        <f aca="false">IF(AND('Daily Workforce'!$N30="Y",'Daily Workforce'!$B30&lt;&gt;"",COUNTIF('Daily Schedule'!$F$5:$F13,'Daily Workforce'!$B30)=0,IF('Daily Schedule'!$A14=45,'Daily Workforce'!$J30="Y",IF(OR('Daily Schedule'!$A14=4,'Daily Schedule'!$A14=8),IF(OR(WEEKDAY('Daily Schedule'!$B$2,2)=1,WEEKDAY('Daily Schedule'!$B$2,2)=4,WEEKDAY('Daily Schedule'!$B$2,2)=5,WEEKDAY('Daily Schedule'!$B$2,2)=7),IFERROR(1*'Daily Workforce'!$K30&gt;=3,FALSE()),IFERROR(1*'Daily Workforce'!$K30&gt;=2,FALSE())),IF(AND('Daily Schedule'!$A14&gt;=46,'Daily Schedule'!$A14&lt;=52),'Daily Workforce'!$M30="Y",IFERROR(1*'Daily Workforce'!$P30&gt;=2,FALSE()))))),1,0)</f>
        <v>1</v>
      </c>
      <c r="AP10" s="1" t="n">
        <f aca="false">IF(AND('Daily Workforce'!$N31="Y",'Daily Workforce'!$B31&lt;&gt;"",COUNTIF('Daily Schedule'!$F$5:$F13,'Daily Workforce'!$B31)=0,IF('Daily Schedule'!$A14=45,'Daily Workforce'!$J31="Y",IF(OR('Daily Schedule'!$A14=4,'Daily Schedule'!$A14=8),IF(OR(WEEKDAY('Daily Schedule'!$B$2,2)=1,WEEKDAY('Daily Schedule'!$B$2,2)=4,WEEKDAY('Daily Schedule'!$B$2,2)=5,WEEKDAY('Daily Schedule'!$B$2,2)=7),IFERROR(1*'Daily Workforce'!$K31&gt;=3,FALSE()),IFERROR(1*'Daily Workforce'!$K31&gt;=2,FALSE())),IF(AND('Daily Schedule'!$A14&gt;=46,'Daily Schedule'!$A14&lt;=52),'Daily Workforce'!$M31="Y",IFERROR(1*'Daily Workforce'!$P31&gt;=2,FALSE()))))),1,0)</f>
        <v>1</v>
      </c>
      <c r="AQ10" s="1" t="n">
        <f aca="false">IF(AND('Daily Workforce'!$N32="Y",'Daily Workforce'!$B32&lt;&gt;"",COUNTIF('Daily Schedule'!$F$5:$F13,'Daily Workforce'!$B32)=0,IF('Daily Schedule'!$A14=45,'Daily Workforce'!$J32="Y",IF(OR('Daily Schedule'!$A14=4,'Daily Schedule'!$A14=8),IF(OR(WEEKDAY('Daily Schedule'!$B$2,2)=1,WEEKDAY('Daily Schedule'!$B$2,2)=4,WEEKDAY('Daily Schedule'!$B$2,2)=5,WEEKDAY('Daily Schedule'!$B$2,2)=7),IFERROR(1*'Daily Workforce'!$K32&gt;=3,FALSE()),IFERROR(1*'Daily Workforce'!$K32&gt;=2,FALSE())),IF(AND('Daily Schedule'!$A14&gt;=46,'Daily Schedule'!$A14&lt;=52),'Daily Workforce'!$M32="Y",IFERROR(1*'Daily Workforce'!$P32&gt;=2,FALSE()))))),1,0)</f>
        <v>1</v>
      </c>
      <c r="AR10" s="1" t="n">
        <f aca="false">IF(AND('Daily Workforce'!$N33="Y",'Daily Workforce'!$B33&lt;&gt;"",COUNTIF('Daily Schedule'!$F$5:$F13,'Daily Workforce'!$B33)=0,IF('Daily Schedule'!$A14=45,'Daily Workforce'!$J33="Y",IF(OR('Daily Schedule'!$A14=4,'Daily Schedule'!$A14=8),IF(OR(WEEKDAY('Daily Schedule'!$B$2,2)=1,WEEKDAY('Daily Schedule'!$B$2,2)=4,WEEKDAY('Daily Schedule'!$B$2,2)=5,WEEKDAY('Daily Schedule'!$B$2,2)=7),IFERROR(1*'Daily Workforce'!$K33&gt;=3,FALSE()),IFERROR(1*'Daily Workforce'!$K33&gt;=2,FALSE())),IF(AND('Daily Schedule'!$A14&gt;=46,'Daily Schedule'!$A14&lt;=52),'Daily Workforce'!$M33="Y",IFERROR(1*'Daily Workforce'!$P33&gt;=2,FALSE()))))),1,0)</f>
        <v>1</v>
      </c>
      <c r="AS10" s="1" t="n">
        <f aca="false">IF(AND('Daily Workforce'!$N34="Y",'Daily Workforce'!$B34&lt;&gt;"",COUNTIF('Daily Schedule'!$F$5:$F13,'Daily Workforce'!$B34)=0,IF('Daily Schedule'!$A14=45,'Daily Workforce'!$J34="Y",IF(OR('Daily Schedule'!$A14=4,'Daily Schedule'!$A14=8),IF(OR(WEEKDAY('Daily Schedule'!$B$2,2)=1,WEEKDAY('Daily Schedule'!$B$2,2)=4,WEEKDAY('Daily Schedule'!$B$2,2)=5,WEEKDAY('Daily Schedule'!$B$2,2)=7),IFERROR(1*'Daily Workforce'!$K34&gt;=3,FALSE()),IFERROR(1*'Daily Workforce'!$K34&gt;=2,FALSE())),IF(AND('Daily Schedule'!$A14&gt;=46,'Daily Schedule'!$A14&lt;=52),'Daily Workforce'!$M34="Y",IFERROR(1*'Daily Workforce'!$P34&gt;=2,FALSE()))))),1,0)</f>
        <v>1</v>
      </c>
      <c r="AT10" s="1" t="n">
        <f aca="false">IF(AND('Daily Workforce'!$N35="Y",'Daily Workforce'!$B35&lt;&gt;"",COUNTIF('Daily Schedule'!$F$5:$F13,'Daily Workforce'!$B35)=0,IF('Daily Schedule'!$A14=45,'Daily Workforce'!$J35="Y",IF(OR('Daily Schedule'!$A14=4,'Daily Schedule'!$A14=8),IF(OR(WEEKDAY('Daily Schedule'!$B$2,2)=1,WEEKDAY('Daily Schedule'!$B$2,2)=4,WEEKDAY('Daily Schedule'!$B$2,2)=5,WEEKDAY('Daily Schedule'!$B$2,2)=7),IFERROR(1*'Daily Workforce'!$K35&gt;=3,FALSE()),IFERROR(1*'Daily Workforce'!$K35&gt;=2,FALSE())),IF(AND('Daily Schedule'!$A14&gt;=46,'Daily Schedule'!$A14&lt;=52),'Daily Workforce'!$M35="Y",IFERROR(1*'Daily Workforce'!$P35&gt;=2,FALSE()))))),1,0)</f>
        <v>1</v>
      </c>
      <c r="AU10" s="1" t="n">
        <f aca="false">IF(AND('Daily Workforce'!$N36="Y",'Daily Workforce'!$B36&lt;&gt;"",COUNTIF('Daily Schedule'!$F$5:$F13,'Daily Workforce'!$B36)=0,IF('Daily Schedule'!$A14=45,'Daily Workforce'!$J36="Y",IF(OR('Daily Schedule'!$A14=4,'Daily Schedule'!$A14=8),IF(OR(WEEKDAY('Daily Schedule'!$B$2,2)=1,WEEKDAY('Daily Schedule'!$B$2,2)=4,WEEKDAY('Daily Schedule'!$B$2,2)=5,WEEKDAY('Daily Schedule'!$B$2,2)=7),IFERROR(1*'Daily Workforce'!$K36&gt;=3,FALSE()),IFERROR(1*'Daily Workforce'!$K36&gt;=2,FALSE())),IF(AND('Daily Schedule'!$A14&gt;=46,'Daily Schedule'!$A14&lt;=52),'Daily Workforce'!$M36="Y",IFERROR(1*'Daily Workforce'!$P36&gt;=2,FALSE()))))),1,0)</f>
        <v>1</v>
      </c>
      <c r="AV10" s="1" t="n">
        <f aca="false">IF(AND('Daily Workforce'!$N37="Y",'Daily Workforce'!$B37&lt;&gt;"",COUNTIF('Daily Schedule'!$F$5:$F13,'Daily Workforce'!$B37)=0,IF('Daily Schedule'!$A14=45,'Daily Workforce'!$J37="Y",IF(OR('Daily Schedule'!$A14=4,'Daily Schedule'!$A14=8),IF(OR(WEEKDAY('Daily Schedule'!$B$2,2)=1,WEEKDAY('Daily Schedule'!$B$2,2)=4,WEEKDAY('Daily Schedule'!$B$2,2)=5,WEEKDAY('Daily Schedule'!$B$2,2)=7),IFERROR(1*'Daily Workforce'!$K37&gt;=3,FALSE()),IFERROR(1*'Daily Workforce'!$K37&gt;=2,FALSE())),IF(AND('Daily Schedule'!$A14&gt;=46,'Daily Schedule'!$A14&lt;=52),'Daily Workforce'!$M37="Y",IFERROR(1*'Daily Workforce'!$P37&gt;=2,FALSE()))))),1,0)</f>
        <v>1</v>
      </c>
      <c r="AW10" s="1" t="n">
        <f aca="false">IF(AND('Daily Workforce'!$N38="Y",'Daily Workforce'!$B38&lt;&gt;"",COUNTIF('Daily Schedule'!$F$5:$F13,'Daily Workforce'!$B38)=0,IF('Daily Schedule'!$A14=45,'Daily Workforce'!$J38="Y",IF(OR('Daily Schedule'!$A14=4,'Daily Schedule'!$A14=8),IF(OR(WEEKDAY('Daily Schedule'!$B$2,2)=1,WEEKDAY('Daily Schedule'!$B$2,2)=4,WEEKDAY('Daily Schedule'!$B$2,2)=5,WEEKDAY('Daily Schedule'!$B$2,2)=7),IFERROR(1*'Daily Workforce'!$K38&gt;=3,FALSE()),IFERROR(1*'Daily Workforce'!$K38&gt;=2,FALSE())),IF(AND('Daily Schedule'!$A14&gt;=46,'Daily Schedule'!$A14&lt;=52),'Daily Workforce'!$M38="Y",IFERROR(1*'Daily Workforce'!$P38&gt;=2,FALSE()))))),1,0)</f>
        <v>1</v>
      </c>
      <c r="AX10" s="1" t="n">
        <f aca="false">IF(AND('Daily Workforce'!$N39="Y",'Daily Workforce'!$B39&lt;&gt;"",COUNTIF('Daily Schedule'!$F$5:$F13,'Daily Workforce'!$B39)=0,IF('Daily Schedule'!$A14=45,'Daily Workforce'!$J39="Y",IF(OR('Daily Schedule'!$A14=4,'Daily Schedule'!$A14=8),IF(OR(WEEKDAY('Daily Schedule'!$B$2,2)=1,WEEKDAY('Daily Schedule'!$B$2,2)=4,WEEKDAY('Daily Schedule'!$B$2,2)=5,WEEKDAY('Daily Schedule'!$B$2,2)=7),IFERROR(1*'Daily Workforce'!$K39&gt;=3,FALSE()),IFERROR(1*'Daily Workforce'!$K39&gt;=2,FALSE())),IF(AND('Daily Schedule'!$A14&gt;=46,'Daily Schedule'!$A14&lt;=52),'Daily Workforce'!$M39="Y",IFERROR(1*'Daily Workforce'!$P39&gt;=2,FALSE()))))),1,0)</f>
        <v>1</v>
      </c>
      <c r="AY10" s="1" t="n">
        <f aca="false">IF(AND('Daily Workforce'!$N40="Y",'Daily Workforce'!$B40&lt;&gt;"",COUNTIF('Daily Schedule'!$F$5:$F13,'Daily Workforce'!$B40)=0,IF('Daily Schedule'!$A14=45,'Daily Workforce'!$J40="Y",IF(OR('Daily Schedule'!$A14=4,'Daily Schedule'!$A14=8),IF(OR(WEEKDAY('Daily Schedule'!$B$2,2)=1,WEEKDAY('Daily Schedule'!$B$2,2)=4,WEEKDAY('Daily Schedule'!$B$2,2)=5,WEEKDAY('Daily Schedule'!$B$2,2)=7),IFERROR(1*'Daily Workforce'!$K40&gt;=3,FALSE()),IFERROR(1*'Daily Workforce'!$K40&gt;=2,FALSE())),IF(AND('Daily Schedule'!$A14&gt;=46,'Daily Schedule'!$A14&lt;=52),'Daily Workforce'!$M40="Y",IFERROR(1*'Daily Workforce'!$P40&gt;=2,FALSE()))))),1,0)</f>
        <v>1</v>
      </c>
      <c r="AZ10" s="1" t="n">
        <f aca="false">IF(AND('Daily Workforce'!$N41="Y",'Daily Workforce'!$B41&lt;&gt;"",COUNTIF('Daily Schedule'!$F$5:$F13,'Daily Workforce'!$B41)=0,IF('Daily Schedule'!$A14=45,'Daily Workforce'!$J41="Y",IF(OR('Daily Schedule'!$A14=4,'Daily Schedule'!$A14=8),IF(OR(WEEKDAY('Daily Schedule'!$B$2,2)=1,WEEKDAY('Daily Schedule'!$B$2,2)=4,WEEKDAY('Daily Schedule'!$B$2,2)=5,WEEKDAY('Daily Schedule'!$B$2,2)=7),IFERROR(1*'Daily Workforce'!$K41&gt;=3,FALSE()),IFERROR(1*'Daily Workforce'!$K41&gt;=2,FALSE())),IF(AND('Daily Schedule'!$A14&gt;=46,'Daily Schedule'!$A14&lt;=52),'Daily Workforce'!$M41="Y",IFERROR(1*'Daily Workforce'!$P41&gt;=2,FALSE()))))),1,0)</f>
        <v>1</v>
      </c>
      <c r="BA10" s="1" t="n">
        <f aca="false">IF(AND('Daily Workforce'!$N42="Y",'Daily Workforce'!$B42&lt;&gt;"",COUNTIF('Daily Schedule'!$F$5:$F13,'Daily Workforce'!$B42)=0,IF('Daily Schedule'!$A14=45,'Daily Workforce'!$J42="Y",IF(OR('Daily Schedule'!$A14=4,'Daily Schedule'!$A14=8),IF(OR(WEEKDAY('Daily Schedule'!$B$2,2)=1,WEEKDAY('Daily Schedule'!$B$2,2)=4,WEEKDAY('Daily Schedule'!$B$2,2)=5,WEEKDAY('Daily Schedule'!$B$2,2)=7),IFERROR(1*'Daily Workforce'!$K42&gt;=3,FALSE()),IFERROR(1*'Daily Workforce'!$K42&gt;=2,FALSE())),IF(AND('Daily Schedule'!$A14&gt;=46,'Daily Schedule'!$A14&lt;=52),'Daily Workforce'!$M42="Y",IFERROR(1*'Daily Workforce'!$P42&gt;=2,FALSE()))))),1,0)</f>
        <v>1</v>
      </c>
      <c r="BB10" s="1" t="n">
        <f aca="false">IF(AND('Daily Workforce'!$N43="Y",'Daily Workforce'!$B43&lt;&gt;"",COUNTIF('Daily Schedule'!$F$5:$F13,'Daily Workforce'!$B43)=0,IF('Daily Schedule'!$A14=45,'Daily Workforce'!$J43="Y",IF(OR('Daily Schedule'!$A14=4,'Daily Schedule'!$A14=8),IF(OR(WEEKDAY('Daily Schedule'!$B$2,2)=1,WEEKDAY('Daily Schedule'!$B$2,2)=4,WEEKDAY('Daily Schedule'!$B$2,2)=5,WEEKDAY('Daily Schedule'!$B$2,2)=7),IFERROR(1*'Daily Workforce'!$K43&gt;=3,FALSE()),IFERROR(1*'Daily Workforce'!$K43&gt;=2,FALSE())),IF(AND('Daily Schedule'!$A14&gt;=46,'Daily Schedule'!$A14&lt;=52),'Daily Workforce'!$M43="Y",IFERROR(1*'Daily Workforce'!$P43&gt;=2,FALSE()))))),1,0)</f>
        <v>1</v>
      </c>
      <c r="BC10" s="1" t="n">
        <f aca="false">IF(AND('Daily Workforce'!$N44="Y",'Daily Workforce'!$B44&lt;&gt;"",COUNTIF('Daily Schedule'!$F$5:$F13,'Daily Workforce'!$B44)=0,IF('Daily Schedule'!$A14=45,'Daily Workforce'!$J44="Y",IF(OR('Daily Schedule'!$A14=4,'Daily Schedule'!$A14=8),IF(OR(WEEKDAY('Daily Schedule'!$B$2,2)=1,WEEKDAY('Daily Schedule'!$B$2,2)=4,WEEKDAY('Daily Schedule'!$B$2,2)=5,WEEKDAY('Daily Schedule'!$B$2,2)=7),IFERROR(1*'Daily Workforce'!$K44&gt;=3,FALSE()),IFERROR(1*'Daily Workforce'!$K44&gt;=2,FALSE())),IF(AND('Daily Schedule'!$A14&gt;=46,'Daily Schedule'!$A14&lt;=52),'Daily Workforce'!$M44="Y",IFERROR(1*'Daily Workforce'!$P44&gt;=2,FALSE()))))),1,0)</f>
        <v>1</v>
      </c>
      <c r="BD10" s="1" t="n">
        <f aca="false">IF(AND('Daily Workforce'!$N45="Y",'Daily Workforce'!$B45&lt;&gt;"",COUNTIF('Daily Schedule'!$F$5:$F13,'Daily Workforce'!$B45)=0,IF('Daily Schedule'!$A14=45,'Daily Workforce'!$J45="Y",IF(OR('Daily Schedule'!$A14=4,'Daily Schedule'!$A14=8),IF(OR(WEEKDAY('Daily Schedule'!$B$2,2)=1,WEEKDAY('Daily Schedule'!$B$2,2)=4,WEEKDAY('Daily Schedule'!$B$2,2)=5,WEEKDAY('Daily Schedule'!$B$2,2)=7),IFERROR(1*'Daily Workforce'!$K45&gt;=3,FALSE()),IFERROR(1*'Daily Workforce'!$K45&gt;=2,FALSE())),IF(AND('Daily Schedule'!$A14&gt;=46,'Daily Schedule'!$A14&lt;=52),'Daily Workforce'!$M45="Y",IFERROR(1*'Daily Workforce'!$P45&gt;=2,FALSE()))))),1,0)</f>
        <v>1</v>
      </c>
      <c r="BE10" s="1" t="n">
        <f aca="false">IF(AND('Daily Workforce'!$N46="Y",'Daily Workforce'!$B46&lt;&gt;"",COUNTIF('Daily Schedule'!$F$5:$F13,'Daily Workforce'!$B46)=0,IF('Daily Schedule'!$A14=45,'Daily Workforce'!$J46="Y",IF(OR('Daily Schedule'!$A14=4,'Daily Schedule'!$A14=8),IF(OR(WEEKDAY('Daily Schedule'!$B$2,2)=1,WEEKDAY('Daily Schedule'!$B$2,2)=4,WEEKDAY('Daily Schedule'!$B$2,2)=5,WEEKDAY('Daily Schedule'!$B$2,2)=7),IFERROR(1*'Daily Workforce'!$K46&gt;=3,FALSE()),IFERROR(1*'Daily Workforce'!$K46&gt;=2,FALSE())),IF(AND('Daily Schedule'!$A14&gt;=46,'Daily Schedule'!$A14&lt;=52),'Daily Workforce'!$M46="Y",IFERROR(1*'Daily Workforce'!$P46&gt;=2,FALSE()))))),1,0)</f>
        <v>1</v>
      </c>
      <c r="BF10" s="1" t="n">
        <f aca="false">IF(AND('Daily Workforce'!$N47="Y",'Daily Workforce'!$B47&lt;&gt;"",COUNTIF('Daily Schedule'!$F$5:$F13,'Daily Workforce'!$B47)=0,IF('Daily Schedule'!$A14=45,'Daily Workforce'!$J47="Y",IF(OR('Daily Schedule'!$A14=4,'Daily Schedule'!$A14=8),IF(OR(WEEKDAY('Daily Schedule'!$B$2,2)=1,WEEKDAY('Daily Schedule'!$B$2,2)=4,WEEKDAY('Daily Schedule'!$B$2,2)=5,WEEKDAY('Daily Schedule'!$B$2,2)=7),IFERROR(1*'Daily Workforce'!$K47&gt;=3,FALSE()),IFERROR(1*'Daily Workforce'!$K47&gt;=2,FALSE())),IF(AND('Daily Schedule'!$A14&gt;=46,'Daily Schedule'!$A14&lt;=52),'Daily Workforce'!$M47="Y",IFERROR(1*'Daily Workforce'!$P47&gt;=2,FALSE()))))),1,0)</f>
        <v>0</v>
      </c>
      <c r="BG10" s="1" t="n">
        <f aca="false">IF(AND('Daily Workforce'!$N48="Y",'Daily Workforce'!$B48&lt;&gt;"",COUNTIF('Daily Schedule'!$F$5:$F13,'Daily Workforce'!$B48)=0,IF('Daily Schedule'!$A14=45,'Daily Workforce'!$J48="Y",IF(OR('Daily Schedule'!$A14=4,'Daily Schedule'!$A14=8),IF(OR(WEEKDAY('Daily Schedule'!$B$2,2)=1,WEEKDAY('Daily Schedule'!$B$2,2)=4,WEEKDAY('Daily Schedule'!$B$2,2)=5,WEEKDAY('Daily Schedule'!$B$2,2)=7),IFERROR(1*'Daily Workforce'!$K48&gt;=3,FALSE()),IFERROR(1*'Daily Workforce'!$K48&gt;=2,FALSE())),IF(AND('Daily Schedule'!$A14&gt;=46,'Daily Schedule'!$A14&lt;=52),'Daily Workforce'!$M48="Y",IFERROR(1*'Daily Workforce'!$P48&gt;=2,FALSE()))))),1,0)</f>
        <v>1</v>
      </c>
      <c r="BH10" s="1" t="n">
        <f aca="false">IF(AND('Daily Workforce'!$N49="Y",'Daily Workforce'!$B49&lt;&gt;"",COUNTIF('Daily Schedule'!$F$5:$F13,'Daily Workforce'!$B49)=0,IF('Daily Schedule'!$A14=45,'Daily Workforce'!$J49="Y",IF(OR('Daily Schedule'!$A14=4,'Daily Schedule'!$A14=8),IF(OR(WEEKDAY('Daily Schedule'!$B$2,2)=1,WEEKDAY('Daily Schedule'!$B$2,2)=4,WEEKDAY('Daily Schedule'!$B$2,2)=5,WEEKDAY('Daily Schedule'!$B$2,2)=7),IFERROR(1*'Daily Workforce'!$K49&gt;=3,FALSE()),IFERROR(1*'Daily Workforce'!$K49&gt;=2,FALSE())),IF(AND('Daily Schedule'!$A14&gt;=46,'Daily Schedule'!$A14&lt;=52),'Daily Workforce'!$M49="Y",IFERROR(1*'Daily Workforce'!$P49&gt;=2,FALSE()))))),1,0)</f>
        <v>1</v>
      </c>
      <c r="BI10" s="1" t="n">
        <f aca="false">IF(AND('Daily Workforce'!$N50="Y",'Daily Workforce'!$B50&lt;&gt;"",COUNTIF('Daily Schedule'!$F$5:$F13,'Daily Workforce'!$B50)=0,IF('Daily Schedule'!$A14=45,'Daily Workforce'!$J50="Y",IF(OR('Daily Schedule'!$A14=4,'Daily Schedule'!$A14=8),IF(OR(WEEKDAY('Daily Schedule'!$B$2,2)=1,WEEKDAY('Daily Schedule'!$B$2,2)=4,WEEKDAY('Daily Schedule'!$B$2,2)=5,WEEKDAY('Daily Schedule'!$B$2,2)=7),IFERROR(1*'Daily Workforce'!$K50&gt;=3,FALSE()),IFERROR(1*'Daily Workforce'!$K50&gt;=2,FALSE())),IF(AND('Daily Schedule'!$A14&gt;=46,'Daily Schedule'!$A14&lt;=52),'Daily Workforce'!$M50="Y",IFERROR(1*'Daily Workforce'!$P50&gt;=2,FALSE()))))),1,0)</f>
        <v>0</v>
      </c>
      <c r="BJ10" s="1" t="n">
        <f aca="false">IF(AND('Daily Workforce'!$N51="Y",'Daily Workforce'!$B51&lt;&gt;"",COUNTIF('Daily Schedule'!$F$5:$F13,'Daily Workforce'!$B51)=0,IF('Daily Schedule'!$A14=45,'Daily Workforce'!$J51="Y",IF(OR('Daily Schedule'!$A14=4,'Daily Schedule'!$A14=8),IF(OR(WEEKDAY('Daily Schedule'!$B$2,2)=1,WEEKDAY('Daily Schedule'!$B$2,2)=4,WEEKDAY('Daily Schedule'!$B$2,2)=5,WEEKDAY('Daily Schedule'!$B$2,2)=7),IFERROR(1*'Daily Workforce'!$K51&gt;=3,FALSE()),IFERROR(1*'Daily Workforce'!$K51&gt;=2,FALSE())),IF(AND('Daily Schedule'!$A14&gt;=46,'Daily Schedule'!$A14&lt;=52),'Daily Workforce'!$M51="Y",IFERROR(1*'Daily Workforce'!$P51&gt;=2,FALSE()))))),1,0)</f>
        <v>1</v>
      </c>
      <c r="BK10" s="1" t="n">
        <f aca="false">IF(AND('Daily Workforce'!$N52="Y",'Daily Workforce'!$B52&lt;&gt;"",COUNTIF('Daily Schedule'!$F$5:$F13,'Daily Workforce'!$B52)=0,IF('Daily Schedule'!$A14=45,'Daily Workforce'!$J52="Y",IF(OR('Daily Schedule'!$A14=4,'Daily Schedule'!$A14=8),IF(OR(WEEKDAY('Daily Schedule'!$B$2,2)=1,WEEKDAY('Daily Schedule'!$B$2,2)=4,WEEKDAY('Daily Schedule'!$B$2,2)=5,WEEKDAY('Daily Schedule'!$B$2,2)=7),IFERROR(1*'Daily Workforce'!$K52&gt;=3,FALSE()),IFERROR(1*'Daily Workforce'!$K52&gt;=2,FALSE())),IF(AND('Daily Schedule'!$A14&gt;=46,'Daily Schedule'!$A14&lt;=52),'Daily Workforce'!$M52="Y",IFERROR(1*'Daily Workforce'!$P52&gt;=2,FALSE()))))),1,0)</f>
        <v>1</v>
      </c>
      <c r="BL10" s="1" t="n">
        <f aca="false">IF(AND('Daily Workforce'!$N53="Y",'Daily Workforce'!$B53&lt;&gt;"",COUNTIF('Daily Schedule'!$F$5:$F13,'Daily Workforce'!$B53)=0,IF('Daily Schedule'!$A14=45,'Daily Workforce'!$J53="Y",IF(OR('Daily Schedule'!$A14=4,'Daily Schedule'!$A14=8),IF(OR(WEEKDAY('Daily Schedule'!$B$2,2)=1,WEEKDAY('Daily Schedule'!$B$2,2)=4,WEEKDAY('Daily Schedule'!$B$2,2)=5,WEEKDAY('Daily Schedule'!$B$2,2)=7),IFERROR(1*'Daily Workforce'!$K53&gt;=3,FALSE()),IFERROR(1*'Daily Workforce'!$K53&gt;=2,FALSE())),IF(AND('Daily Schedule'!$A14&gt;=46,'Daily Schedule'!$A14&lt;=52),'Daily Workforce'!$M53="Y",IFERROR(1*'Daily Workforce'!$P53&gt;=2,FALSE()))))),1,0)</f>
        <v>1</v>
      </c>
      <c r="BM10" s="1" t="n">
        <f aca="false">IF(AND('Daily Workforce'!$N54="Y",'Daily Workforce'!$B54&lt;&gt;"",COUNTIF('Daily Schedule'!$F$5:$F13,'Daily Workforce'!$B54)=0,IF('Daily Schedule'!$A14=45,'Daily Workforce'!$J54="Y",IF(OR('Daily Schedule'!$A14=4,'Daily Schedule'!$A14=8),IF(OR(WEEKDAY('Daily Schedule'!$B$2,2)=1,WEEKDAY('Daily Schedule'!$B$2,2)=4,WEEKDAY('Daily Schedule'!$B$2,2)=5,WEEKDAY('Daily Schedule'!$B$2,2)=7),IFERROR(1*'Daily Workforce'!$K54&gt;=3,FALSE()),IFERROR(1*'Daily Workforce'!$K54&gt;=2,FALSE())),IF(AND('Daily Schedule'!$A14&gt;=46,'Daily Schedule'!$A14&lt;=52),'Daily Workforce'!$M54="Y",IFERROR(1*'Daily Workforce'!$P54&gt;=2,FALSE()))))),1,0)</f>
        <v>1</v>
      </c>
      <c r="BN10" s="1" t="n">
        <f aca="false">IF(AND('Daily Workforce'!$N55="Y",'Daily Workforce'!$B55&lt;&gt;"",COUNTIF('Daily Schedule'!$F$5:$F13,'Daily Workforce'!$B55)=0,IF('Daily Schedule'!$A14=45,'Daily Workforce'!$J55="Y",IF(OR('Daily Schedule'!$A14=4,'Daily Schedule'!$A14=8),IF(OR(WEEKDAY('Daily Schedule'!$B$2,2)=1,WEEKDAY('Daily Schedule'!$B$2,2)=4,WEEKDAY('Daily Schedule'!$B$2,2)=5,WEEKDAY('Daily Schedule'!$B$2,2)=7),IFERROR(1*'Daily Workforce'!$K55&gt;=3,FALSE()),IFERROR(1*'Daily Workforce'!$K55&gt;=2,FALSE())),IF(AND('Daily Schedule'!$A14&gt;=46,'Daily Schedule'!$A14&lt;=52),'Daily Workforce'!$M55="Y",IFERROR(1*'Daily Workforce'!$P55&gt;=2,FALSE()))))),1,0)</f>
        <v>1</v>
      </c>
      <c r="BO10" s="1" t="n">
        <f aca="false">IF(AND('Daily Workforce'!$N56="Y",'Daily Workforce'!$B56&lt;&gt;"",COUNTIF('Daily Schedule'!$F$5:$F13,'Daily Workforce'!$B56)=0,IF('Daily Schedule'!$A14=45,'Daily Workforce'!$J56="Y",IF(OR('Daily Schedule'!$A14=4,'Daily Schedule'!$A14=8),IF(OR(WEEKDAY('Daily Schedule'!$B$2,2)=1,WEEKDAY('Daily Schedule'!$B$2,2)=4,WEEKDAY('Daily Schedule'!$B$2,2)=5,WEEKDAY('Daily Schedule'!$B$2,2)=7),IFERROR(1*'Daily Workforce'!$K56&gt;=3,FALSE()),IFERROR(1*'Daily Workforce'!$K56&gt;=2,FALSE())),IF(AND('Daily Schedule'!$A14&gt;=46,'Daily Schedule'!$A14&lt;=52),'Daily Workforce'!$M56="Y",IFERROR(1*'Daily Workforce'!$P56&gt;=2,FALSE()))))),1,0)</f>
        <v>1</v>
      </c>
      <c r="BP10" s="1" t="n">
        <f aca="false">IF(AND('Daily Workforce'!$N57="Y",'Daily Workforce'!$B57&lt;&gt;"",COUNTIF('Daily Schedule'!$F$5:$F13,'Daily Workforce'!$B57)=0,IF('Daily Schedule'!$A14=45,'Daily Workforce'!$J57="Y",IF(OR('Daily Schedule'!$A14=4,'Daily Schedule'!$A14=8),IF(OR(WEEKDAY('Daily Schedule'!$B$2,2)=1,WEEKDAY('Daily Schedule'!$B$2,2)=4,WEEKDAY('Daily Schedule'!$B$2,2)=5,WEEKDAY('Daily Schedule'!$B$2,2)=7),IFERROR(1*'Daily Workforce'!$K57&gt;=3,FALSE()),IFERROR(1*'Daily Workforce'!$K57&gt;=2,FALSE())),IF(AND('Daily Schedule'!$A14&gt;=46,'Daily Schedule'!$A14&lt;=52),'Daily Workforce'!$M57="Y",IFERROR(1*'Daily Workforce'!$P57&gt;=2,FALSE()))))),1,0)</f>
        <v>0</v>
      </c>
      <c r="BQ10" s="1" t="n">
        <f aca="false">IF(AND('Daily Workforce'!$N58="Y",'Daily Workforce'!$B58&lt;&gt;"",COUNTIF('Daily Schedule'!$F$5:$F13,'Daily Workforce'!$B58)=0,IF('Daily Schedule'!$A14=45,'Daily Workforce'!$J58="Y",IF(OR('Daily Schedule'!$A14=4,'Daily Schedule'!$A14=8),IF(OR(WEEKDAY('Daily Schedule'!$B$2,2)=1,WEEKDAY('Daily Schedule'!$B$2,2)=4,WEEKDAY('Daily Schedule'!$B$2,2)=5,WEEKDAY('Daily Schedule'!$B$2,2)=7),IFERROR(1*'Daily Workforce'!$K58&gt;=3,FALSE()),IFERROR(1*'Daily Workforce'!$K58&gt;=2,FALSE())),IF(AND('Daily Schedule'!$A14&gt;=46,'Daily Schedule'!$A14&lt;=52),'Daily Workforce'!$M58="Y",IFERROR(1*'Daily Workforce'!$P58&gt;=2,FALSE()))))),1,0)</f>
        <v>1</v>
      </c>
      <c r="BR10" s="1" t="n">
        <f aca="false">IF(AND('Daily Workforce'!$N59="Y",'Daily Workforce'!$B59&lt;&gt;"",COUNTIF('Daily Schedule'!$F$5:$F13,'Daily Workforce'!$B59)=0,IF('Daily Schedule'!$A14=45,'Daily Workforce'!$J59="Y",IF(OR('Daily Schedule'!$A14=4,'Daily Schedule'!$A14=8),IF(OR(WEEKDAY('Daily Schedule'!$B$2,2)=1,WEEKDAY('Daily Schedule'!$B$2,2)=4,WEEKDAY('Daily Schedule'!$B$2,2)=5,WEEKDAY('Daily Schedule'!$B$2,2)=7),IFERROR(1*'Daily Workforce'!$K59&gt;=3,FALSE()),IFERROR(1*'Daily Workforce'!$K59&gt;=2,FALSE())),IF(AND('Daily Schedule'!$A14&gt;=46,'Daily Schedule'!$A14&lt;=52),'Daily Workforce'!$M59="Y",IFERROR(1*'Daily Workforce'!$P59&gt;=2,FALSE()))))),1,0)</f>
        <v>1</v>
      </c>
      <c r="BS10" s="1" t="n">
        <f aca="false">IF(AND('Daily Workforce'!$N60="Y",'Daily Workforce'!$B60&lt;&gt;"",COUNTIF('Daily Schedule'!$F$5:$F13,'Daily Workforce'!$B60)=0,IF('Daily Schedule'!$A14=45,'Daily Workforce'!$J60="Y",IF(OR('Daily Schedule'!$A14=4,'Daily Schedule'!$A14=8),IF(OR(WEEKDAY('Daily Schedule'!$B$2,2)=1,WEEKDAY('Daily Schedule'!$B$2,2)=4,WEEKDAY('Daily Schedule'!$B$2,2)=5,WEEKDAY('Daily Schedule'!$B$2,2)=7),IFERROR(1*'Daily Workforce'!$K60&gt;=3,FALSE()),IFERROR(1*'Daily Workforce'!$K60&gt;=2,FALSE())),IF(AND('Daily Schedule'!$A14&gt;=46,'Daily Schedule'!$A14&lt;=52),'Daily Workforce'!$M60="Y",IFERROR(1*'Daily Workforce'!$P60&gt;=2,FALSE()))))),1,0)</f>
        <v>1</v>
      </c>
      <c r="BT10" s="1" t="n">
        <f aca="false">IF(AND('Daily Workforce'!$N61="Y",'Daily Workforce'!$B61&lt;&gt;"",COUNTIF('Daily Schedule'!$F$5:$F13,'Daily Workforce'!$B61)=0,IF('Daily Schedule'!$A14=45,'Daily Workforce'!$J61="Y",IF(OR('Daily Schedule'!$A14=4,'Daily Schedule'!$A14=8),IF(OR(WEEKDAY('Daily Schedule'!$B$2,2)=1,WEEKDAY('Daily Schedule'!$B$2,2)=4,WEEKDAY('Daily Schedule'!$B$2,2)=5,WEEKDAY('Daily Schedule'!$B$2,2)=7),IFERROR(1*'Daily Workforce'!$K61&gt;=3,FALSE()),IFERROR(1*'Daily Workforce'!$K61&gt;=2,FALSE())),IF(AND('Daily Schedule'!$A14&gt;=46,'Daily Schedule'!$A14&lt;=52),'Daily Workforce'!$M61="Y",IFERROR(1*'Daily Workforce'!$P61&gt;=2,FALSE()))))),1,0)</f>
        <v>0</v>
      </c>
      <c r="BU10" s="1" t="n">
        <f aca="false">IF(AND('Daily Workforce'!$N62="Y",'Daily Workforce'!$B62&lt;&gt;"",COUNTIF('Daily Schedule'!$F$5:$F13,'Daily Workforce'!$B62)=0,IF('Daily Schedule'!$A14=45,'Daily Workforce'!$J62="Y",IF(OR('Daily Schedule'!$A14=4,'Daily Schedule'!$A14=8),IF(OR(WEEKDAY('Daily Schedule'!$B$2,2)=1,WEEKDAY('Daily Schedule'!$B$2,2)=4,WEEKDAY('Daily Schedule'!$B$2,2)=5,WEEKDAY('Daily Schedule'!$B$2,2)=7),IFERROR(1*'Daily Workforce'!$K62&gt;=3,FALSE()),IFERROR(1*'Daily Workforce'!$K62&gt;=2,FALSE())),IF(AND('Daily Schedule'!$A14&gt;=46,'Daily Schedule'!$A14&lt;=52),'Daily Workforce'!$M62="Y",IFERROR(1*'Daily Workforce'!$P62&gt;=2,FALSE()))))),1,0)</f>
        <v>1</v>
      </c>
      <c r="BV10" s="1" t="n">
        <f aca="false">IF(AND('Daily Workforce'!$N63="Y",'Daily Workforce'!$B63&lt;&gt;"",COUNTIF('Daily Schedule'!$F$5:$F13,'Daily Workforce'!$B63)=0,IF('Daily Schedule'!$A14=45,'Daily Workforce'!$J63="Y",IF(OR('Daily Schedule'!$A14=4,'Daily Schedule'!$A14=8),IF(OR(WEEKDAY('Daily Schedule'!$B$2,2)=1,WEEKDAY('Daily Schedule'!$B$2,2)=4,WEEKDAY('Daily Schedule'!$B$2,2)=5,WEEKDAY('Daily Schedule'!$B$2,2)=7),IFERROR(1*'Daily Workforce'!$K63&gt;=3,FALSE()),IFERROR(1*'Daily Workforce'!$K63&gt;=2,FALSE())),IF(AND('Daily Schedule'!$A14&gt;=46,'Daily Schedule'!$A14&lt;=52),'Daily Workforce'!$M63="Y",IFERROR(1*'Daily Workforce'!$P63&gt;=2,FALSE()))))),1,0)</f>
        <v>1</v>
      </c>
      <c r="BW10" s="1" t="n">
        <f aca="false">IF(AND('Daily Workforce'!$N64="Y",'Daily Workforce'!$B64&lt;&gt;"",COUNTIF('Daily Schedule'!$F$5:$F13,'Daily Workforce'!$B64)=0,IF('Daily Schedule'!$A14=45,'Daily Workforce'!$J64="Y",IF(OR('Daily Schedule'!$A14=4,'Daily Schedule'!$A14=8),IF(OR(WEEKDAY('Daily Schedule'!$B$2,2)=1,WEEKDAY('Daily Schedule'!$B$2,2)=4,WEEKDAY('Daily Schedule'!$B$2,2)=5,WEEKDAY('Daily Schedule'!$B$2,2)=7),IFERROR(1*'Daily Workforce'!$K64&gt;=3,FALSE()),IFERROR(1*'Daily Workforce'!$K64&gt;=2,FALSE())),IF(AND('Daily Schedule'!$A14&gt;=46,'Daily Schedule'!$A14&lt;=52),'Daily Workforce'!$M64="Y",IFERROR(1*'Daily Workforce'!$P64&gt;=2,FALSE()))))),1,0)</f>
        <v>1</v>
      </c>
      <c r="BX10" s="1" t="n">
        <f aca="false">IF(AND('Daily Workforce'!$N65="Y",'Daily Workforce'!$B65&lt;&gt;"",COUNTIF('Daily Schedule'!$F$5:$F13,'Daily Workforce'!$B65)=0,IF('Daily Schedule'!$A14=45,'Daily Workforce'!$J65="Y",IF(OR('Daily Schedule'!$A14=4,'Daily Schedule'!$A14=8),IF(OR(WEEKDAY('Daily Schedule'!$B$2,2)=1,WEEKDAY('Daily Schedule'!$B$2,2)=4,WEEKDAY('Daily Schedule'!$B$2,2)=5,WEEKDAY('Daily Schedule'!$B$2,2)=7),IFERROR(1*'Daily Workforce'!$K65&gt;=3,FALSE()),IFERROR(1*'Daily Workforce'!$K65&gt;=2,FALSE())),IF(AND('Daily Schedule'!$A14&gt;=46,'Daily Schedule'!$A14&lt;=52),'Daily Workforce'!$M65="Y",IFERROR(1*'Daily Workforce'!$P65&gt;=2,FALSE()))))),1,0)</f>
        <v>1</v>
      </c>
      <c r="BY10" s="1" t="n">
        <f aca="false">IF(AND('Daily Workforce'!$N66="Y",'Daily Workforce'!$B66&lt;&gt;"",COUNTIF('Daily Schedule'!$F$5:$F13,'Daily Workforce'!$B66)=0,IF('Daily Schedule'!$A14=45,'Daily Workforce'!$J66="Y",IF(OR('Daily Schedule'!$A14=4,'Daily Schedule'!$A14=8),IF(OR(WEEKDAY('Daily Schedule'!$B$2,2)=1,WEEKDAY('Daily Schedule'!$B$2,2)=4,WEEKDAY('Daily Schedule'!$B$2,2)=5,WEEKDAY('Daily Schedule'!$B$2,2)=7),IFERROR(1*'Daily Workforce'!$K66&gt;=3,FALSE()),IFERROR(1*'Daily Workforce'!$K66&gt;=2,FALSE())),IF(AND('Daily Schedule'!$A14&gt;=46,'Daily Schedule'!$A14&lt;=52),'Daily Workforce'!$M66="Y",IFERROR(1*'Daily Workforce'!$P66&gt;=2,FALSE()))))),1,0)</f>
        <v>1</v>
      </c>
      <c r="BZ10" s="1" t="n">
        <f aca="false">IF(AND('Daily Workforce'!$N67="Y",'Daily Workforce'!$B67&lt;&gt;"",COUNTIF('Daily Schedule'!$F$5:$F13,'Daily Workforce'!$B67)=0,IF('Daily Schedule'!$A14=45,'Daily Workforce'!$J67="Y",IF(OR('Daily Schedule'!$A14=4,'Daily Schedule'!$A14=8),IF(OR(WEEKDAY('Daily Schedule'!$B$2,2)=1,WEEKDAY('Daily Schedule'!$B$2,2)=4,WEEKDAY('Daily Schedule'!$B$2,2)=5,WEEKDAY('Daily Schedule'!$B$2,2)=7),IFERROR(1*'Daily Workforce'!$K67&gt;=3,FALSE()),IFERROR(1*'Daily Workforce'!$K67&gt;=2,FALSE())),IF(AND('Daily Schedule'!$A14&gt;=46,'Daily Schedule'!$A14&lt;=52),'Daily Workforce'!$M67="Y",IFERROR(1*'Daily Workforce'!$P67&gt;=2,FALSE()))))),1,0)</f>
        <v>1</v>
      </c>
      <c r="CA10" s="1" t="n">
        <f aca="false">IF(AND('Daily Workforce'!$N68="Y",'Daily Workforce'!$B68&lt;&gt;"",COUNTIF('Daily Schedule'!$F$5:$F13,'Daily Workforce'!$B68)=0,IF('Daily Schedule'!$A14=45,'Daily Workforce'!$J68="Y",IF(OR('Daily Schedule'!$A14=4,'Daily Schedule'!$A14=8),IF(OR(WEEKDAY('Daily Schedule'!$B$2,2)=1,WEEKDAY('Daily Schedule'!$B$2,2)=4,WEEKDAY('Daily Schedule'!$B$2,2)=5,WEEKDAY('Daily Schedule'!$B$2,2)=7),IFERROR(1*'Daily Workforce'!$K68&gt;=3,FALSE()),IFERROR(1*'Daily Workforce'!$K68&gt;=2,FALSE())),IF(AND('Daily Schedule'!$A14&gt;=46,'Daily Schedule'!$A14&lt;=52),'Daily Workforce'!$M68="Y",IFERROR(1*'Daily Workforce'!$P68&gt;=2,FALSE()))))),1,0)</f>
        <v>1</v>
      </c>
      <c r="CB10" s="1" t="n">
        <f aca="false">IF(AND('Daily Workforce'!$N69="Y",'Daily Workforce'!$B69&lt;&gt;"",COUNTIF('Daily Schedule'!$F$5:$F13,'Daily Workforce'!$B69)=0,IF('Daily Schedule'!$A14=45,'Daily Workforce'!$J69="Y",IF(OR('Daily Schedule'!$A14=4,'Daily Schedule'!$A14=8),IF(OR(WEEKDAY('Daily Schedule'!$B$2,2)=1,WEEKDAY('Daily Schedule'!$B$2,2)=4,WEEKDAY('Daily Schedule'!$B$2,2)=5,WEEKDAY('Daily Schedule'!$B$2,2)=7),IFERROR(1*'Daily Workforce'!$K69&gt;=3,FALSE()),IFERROR(1*'Daily Workforce'!$K69&gt;=2,FALSE())),IF(AND('Daily Schedule'!$A14&gt;=46,'Daily Schedule'!$A14&lt;=52),'Daily Workforce'!$M69="Y",IFERROR(1*'Daily Workforce'!$P69&gt;=2,FALSE()))))),1,0)</f>
        <v>1</v>
      </c>
      <c r="CC10" s="1" t="n">
        <f aca="false">IF(AND('Daily Workforce'!$N70="Y",'Daily Workforce'!$B70&lt;&gt;"",COUNTIF('Daily Schedule'!$F$5:$F13,'Daily Workforce'!$B70)=0,IF('Daily Schedule'!$A14=45,'Daily Workforce'!$J70="Y",IF(OR('Daily Schedule'!$A14=4,'Daily Schedule'!$A14=8),IF(OR(WEEKDAY('Daily Schedule'!$B$2,2)=1,WEEKDAY('Daily Schedule'!$B$2,2)=4,WEEKDAY('Daily Schedule'!$B$2,2)=5,WEEKDAY('Daily Schedule'!$B$2,2)=7),IFERROR(1*'Daily Workforce'!$K70&gt;=3,FALSE()),IFERROR(1*'Daily Workforce'!$K70&gt;=2,FALSE())),IF(AND('Daily Schedule'!$A14&gt;=46,'Daily Schedule'!$A14&lt;=52),'Daily Workforce'!$M70="Y",IFERROR(1*'Daily Workforce'!$P70&gt;=2,FALSE()))))),1,0)</f>
        <v>1</v>
      </c>
      <c r="CD10" s="1" t="n">
        <f aca="false">IF(AND('Daily Workforce'!$N71="Y",'Daily Workforce'!$B71&lt;&gt;"",COUNTIF('Daily Schedule'!$F$5:$F13,'Daily Workforce'!$B71)=0,IF('Daily Schedule'!$A14=45,'Daily Workforce'!$J71="Y",IF(OR('Daily Schedule'!$A14=4,'Daily Schedule'!$A14=8),IF(OR(WEEKDAY('Daily Schedule'!$B$2,2)=1,WEEKDAY('Daily Schedule'!$B$2,2)=4,WEEKDAY('Daily Schedule'!$B$2,2)=5,WEEKDAY('Daily Schedule'!$B$2,2)=7),IFERROR(1*'Daily Workforce'!$K71&gt;=3,FALSE()),IFERROR(1*'Daily Workforce'!$K71&gt;=2,FALSE())),IF(AND('Daily Schedule'!$A14&gt;=46,'Daily Schedule'!$A14&lt;=52),'Daily Workforce'!$M71="Y",IFERROR(1*'Daily Workforce'!$P71&gt;=2,FALSE()))))),1,0)</f>
        <v>1</v>
      </c>
      <c r="CE10" s="1" t="n">
        <f aca="false">IF(AND('Daily Workforce'!$N72="Y",'Daily Workforce'!$B72&lt;&gt;"",COUNTIF('Daily Schedule'!$F$5:$F13,'Daily Workforce'!$B72)=0,IF('Daily Schedule'!$A14=45,'Daily Workforce'!$J72="Y",IF(OR('Daily Schedule'!$A14=4,'Daily Schedule'!$A14=8),IF(OR(WEEKDAY('Daily Schedule'!$B$2,2)=1,WEEKDAY('Daily Schedule'!$B$2,2)=4,WEEKDAY('Daily Schedule'!$B$2,2)=5,WEEKDAY('Daily Schedule'!$B$2,2)=7),IFERROR(1*'Daily Workforce'!$K72&gt;=3,FALSE()),IFERROR(1*'Daily Workforce'!$K72&gt;=2,FALSE())),IF(AND('Daily Schedule'!$A14&gt;=46,'Daily Schedule'!$A14&lt;=52),'Daily Workforce'!$M72="Y",IFERROR(1*'Daily Workforce'!$P72&gt;=2,FALSE()))))),1,0)</f>
        <v>1</v>
      </c>
      <c r="CF10" s="1" t="n">
        <f aca="false">IF(AND('Daily Workforce'!$N73="Y",'Daily Workforce'!$B73&lt;&gt;"",COUNTIF('Daily Schedule'!$F$5:$F13,'Daily Workforce'!$B73)=0,IF('Daily Schedule'!$A14=45,'Daily Workforce'!$J73="Y",IF(OR('Daily Schedule'!$A14=4,'Daily Schedule'!$A14=8),IF(OR(WEEKDAY('Daily Schedule'!$B$2,2)=1,WEEKDAY('Daily Schedule'!$B$2,2)=4,WEEKDAY('Daily Schedule'!$B$2,2)=5,WEEKDAY('Daily Schedule'!$B$2,2)=7),IFERROR(1*'Daily Workforce'!$K73&gt;=3,FALSE()),IFERROR(1*'Daily Workforce'!$K73&gt;=2,FALSE())),IF(AND('Daily Schedule'!$A14&gt;=46,'Daily Schedule'!$A14&lt;=52),'Daily Workforce'!$M73="Y",IFERROR(1*'Daily Workforce'!$P73&gt;=2,FALSE()))))),1,0)</f>
        <v>1</v>
      </c>
      <c r="CG10" s="1" t="n">
        <f aca="false">IF(AND('Daily Workforce'!$N74="Y",'Daily Workforce'!$B74&lt;&gt;"",COUNTIF('Daily Schedule'!$F$5:$F13,'Daily Workforce'!$B74)=0,IF('Daily Schedule'!$A14=45,'Daily Workforce'!$J74="Y",IF(OR('Daily Schedule'!$A14=4,'Daily Schedule'!$A14=8),IF(OR(WEEKDAY('Daily Schedule'!$B$2,2)=1,WEEKDAY('Daily Schedule'!$B$2,2)=4,WEEKDAY('Daily Schedule'!$B$2,2)=5,WEEKDAY('Daily Schedule'!$B$2,2)=7),IFERROR(1*'Daily Workforce'!$K74&gt;=3,FALSE()),IFERROR(1*'Daily Workforce'!$K74&gt;=2,FALSE())),IF(AND('Daily Schedule'!$A14&gt;=46,'Daily Schedule'!$A14&lt;=52),'Daily Workforce'!$M74="Y",IFERROR(1*'Daily Workforce'!$P74&gt;=2,FALSE()))))),1,0)</f>
        <v>1</v>
      </c>
      <c r="CH10" s="1" t="n">
        <f aca="false">IF(AND('Daily Workforce'!$N75="Y",'Daily Workforce'!$B75&lt;&gt;"",COUNTIF('Daily Schedule'!$F$5:$F13,'Daily Workforce'!$B75)=0,IF('Daily Schedule'!$A14=45,'Daily Workforce'!$J75="Y",IF(OR('Daily Schedule'!$A14=4,'Daily Schedule'!$A14=8),IF(OR(WEEKDAY('Daily Schedule'!$B$2,2)=1,WEEKDAY('Daily Schedule'!$B$2,2)=4,WEEKDAY('Daily Schedule'!$B$2,2)=5,WEEKDAY('Daily Schedule'!$B$2,2)=7),IFERROR(1*'Daily Workforce'!$K75&gt;=3,FALSE()),IFERROR(1*'Daily Workforce'!$K75&gt;=2,FALSE())),IF(AND('Daily Schedule'!$A14&gt;=46,'Daily Schedule'!$A14&lt;=52),'Daily Workforce'!$M75="Y",IFERROR(1*'Daily Workforce'!$P75&gt;=2,FALSE()))))),1,0)</f>
        <v>1</v>
      </c>
      <c r="CI10" s="1" t="n">
        <f aca="false">IF(AND('Daily Workforce'!$N76="Y",'Daily Workforce'!$B76&lt;&gt;"",COUNTIF('Daily Schedule'!$F$5:$F13,'Daily Workforce'!$B76)=0,IF('Daily Schedule'!$A14=45,'Daily Workforce'!$J76="Y",IF(OR('Daily Schedule'!$A14=4,'Daily Schedule'!$A14=8),IF(OR(WEEKDAY('Daily Schedule'!$B$2,2)=1,WEEKDAY('Daily Schedule'!$B$2,2)=4,WEEKDAY('Daily Schedule'!$B$2,2)=5,WEEKDAY('Daily Schedule'!$B$2,2)=7),IFERROR(1*'Daily Workforce'!$K76&gt;=3,FALSE()),IFERROR(1*'Daily Workforce'!$K76&gt;=2,FALSE())),IF(AND('Daily Schedule'!$A14&gt;=46,'Daily Schedule'!$A14&lt;=52),'Daily Workforce'!$M76="Y",IFERROR(1*'Daily Workforce'!$P76&gt;=2,FALSE()))))),1,0)</f>
        <v>1</v>
      </c>
      <c r="CJ10" s="1" t="n">
        <f aca="false">IF(AND('Daily Workforce'!$N77="Y",'Daily Workforce'!$B77&lt;&gt;"",COUNTIF('Daily Schedule'!$F$5:$F13,'Daily Workforce'!$B77)=0,IF('Daily Schedule'!$A14=45,'Daily Workforce'!$J77="Y",IF(OR('Daily Schedule'!$A14=4,'Daily Schedule'!$A14=8),IF(OR(WEEKDAY('Daily Schedule'!$B$2,2)=1,WEEKDAY('Daily Schedule'!$B$2,2)=4,WEEKDAY('Daily Schedule'!$B$2,2)=5,WEEKDAY('Daily Schedule'!$B$2,2)=7),IFERROR(1*'Daily Workforce'!$K77&gt;=3,FALSE()),IFERROR(1*'Daily Workforce'!$K77&gt;=2,FALSE())),IF(AND('Daily Schedule'!$A14&gt;=46,'Daily Schedule'!$A14&lt;=52),'Daily Workforce'!$M77="Y",IFERROR(1*'Daily Workforce'!$P77&gt;=2,FALSE()))))),1,0)</f>
        <v>1</v>
      </c>
      <c r="CK10" s="1" t="n">
        <f aca="false">IF(AND('Daily Workforce'!$N78="Y",'Daily Workforce'!$B78&lt;&gt;"",COUNTIF('Daily Schedule'!$F$5:$F13,'Daily Workforce'!$B78)=0,IF('Daily Schedule'!$A14=45,'Daily Workforce'!$J78="Y",IF(OR('Daily Schedule'!$A14=4,'Daily Schedule'!$A14=8),IF(OR(WEEKDAY('Daily Schedule'!$B$2,2)=1,WEEKDAY('Daily Schedule'!$B$2,2)=4,WEEKDAY('Daily Schedule'!$B$2,2)=5,WEEKDAY('Daily Schedule'!$B$2,2)=7),IFERROR(1*'Daily Workforce'!$K78&gt;=3,FALSE()),IFERROR(1*'Daily Workforce'!$K78&gt;=2,FALSE())),IF(AND('Daily Schedule'!$A14&gt;=46,'Daily Schedule'!$A14&lt;=52),'Daily Workforce'!$M78="Y",IFERROR(1*'Daily Workforce'!$P78&gt;=2,FALSE()))))),1,0)</f>
        <v>1</v>
      </c>
      <c r="CL10" s="1" t="n">
        <f aca="false">IF(AND('Daily Workforce'!$N79="Y",'Daily Workforce'!$B79&lt;&gt;"",COUNTIF('Daily Schedule'!$F$5:$F13,'Daily Workforce'!$B79)=0,IF('Daily Schedule'!$A14=45,'Daily Workforce'!$J79="Y",IF(OR('Daily Schedule'!$A14=4,'Daily Schedule'!$A14=8),IF(OR(WEEKDAY('Daily Schedule'!$B$2,2)=1,WEEKDAY('Daily Schedule'!$B$2,2)=4,WEEKDAY('Daily Schedule'!$B$2,2)=5,WEEKDAY('Daily Schedule'!$B$2,2)=7),IFERROR(1*'Daily Workforce'!$K79&gt;=3,FALSE()),IFERROR(1*'Daily Workforce'!$K79&gt;=2,FALSE())),IF(AND('Daily Schedule'!$A14&gt;=46,'Daily Schedule'!$A14&lt;=52),'Daily Workforce'!$M79="Y",IFERROR(1*'Daily Workforce'!$P79&gt;=2,FALSE()))))),1,0)</f>
        <v>1</v>
      </c>
      <c r="CM10" s="1" t="n">
        <f aca="false">IF(AND('Daily Workforce'!$N80="Y",'Daily Workforce'!$B80&lt;&gt;"",COUNTIF('Daily Schedule'!$F$5:$F13,'Daily Workforce'!$B80)=0,IF('Daily Schedule'!$A14=45,'Daily Workforce'!$J80="Y",IF(OR('Daily Schedule'!$A14=4,'Daily Schedule'!$A14=8),IF(OR(WEEKDAY('Daily Schedule'!$B$2,2)=1,WEEKDAY('Daily Schedule'!$B$2,2)=4,WEEKDAY('Daily Schedule'!$B$2,2)=5,WEEKDAY('Daily Schedule'!$B$2,2)=7),IFERROR(1*'Daily Workforce'!$K80&gt;=3,FALSE()),IFERROR(1*'Daily Workforce'!$K80&gt;=2,FALSE())),IF(AND('Daily Schedule'!$A14&gt;=46,'Daily Schedule'!$A14&lt;=52),'Daily Workforce'!$M80="Y",IFERROR(1*'Daily Workforce'!$P80&gt;=2,FALSE()))))),1,0)</f>
        <v>1</v>
      </c>
      <c r="CN10" s="1" t="n">
        <f aca="false">IF(AND('Daily Workforce'!$N81="Y",'Daily Workforce'!$B81&lt;&gt;"",COUNTIF('Daily Schedule'!$F$5:$F13,'Daily Workforce'!$B81)=0,IF('Daily Schedule'!$A14=45,'Daily Workforce'!$J81="Y",IF(OR('Daily Schedule'!$A14=4,'Daily Schedule'!$A14=8),IF(OR(WEEKDAY('Daily Schedule'!$B$2,2)=1,WEEKDAY('Daily Schedule'!$B$2,2)=4,WEEKDAY('Daily Schedule'!$B$2,2)=5,WEEKDAY('Daily Schedule'!$B$2,2)=7),IFERROR(1*'Daily Workforce'!$K81&gt;=3,FALSE()),IFERROR(1*'Daily Workforce'!$K81&gt;=2,FALSE())),IF(AND('Daily Schedule'!$A14&gt;=46,'Daily Schedule'!$A14&lt;=52),'Daily Workforce'!$M81="Y",IFERROR(1*'Daily Workforce'!$P81&gt;=2,FALSE()))))),1,0)</f>
        <v>1</v>
      </c>
      <c r="CO10" s="1" t="n">
        <f aca="false">IF(AND('Daily Workforce'!$N82="Y",'Daily Workforce'!$B82&lt;&gt;"",COUNTIF('Daily Schedule'!$F$5:$F13,'Daily Workforce'!$B82)=0,IF('Daily Schedule'!$A14=45,'Daily Workforce'!$J82="Y",IF(OR('Daily Schedule'!$A14=4,'Daily Schedule'!$A14=8),IF(OR(WEEKDAY('Daily Schedule'!$B$2,2)=1,WEEKDAY('Daily Schedule'!$B$2,2)=4,WEEKDAY('Daily Schedule'!$B$2,2)=5,WEEKDAY('Daily Schedule'!$B$2,2)=7),IFERROR(1*'Daily Workforce'!$K82&gt;=3,FALSE()),IFERROR(1*'Daily Workforce'!$K82&gt;=2,FALSE())),IF(AND('Daily Schedule'!$A14&gt;=46,'Daily Schedule'!$A14&lt;=52),'Daily Workforce'!$M82="Y",IFERROR(1*'Daily Workforce'!$P82&gt;=2,FALSE()))))),1,0)</f>
        <v>1</v>
      </c>
      <c r="CP10" s="1" t="n">
        <f aca="false">IF(AND('Daily Workforce'!$N83="Y",'Daily Workforce'!$B83&lt;&gt;"",COUNTIF('Daily Schedule'!$F$5:$F13,'Daily Workforce'!$B83)=0,IF('Daily Schedule'!$A14=45,'Daily Workforce'!$J83="Y",IF(OR('Daily Schedule'!$A14=4,'Daily Schedule'!$A14=8),IF(OR(WEEKDAY('Daily Schedule'!$B$2,2)=1,WEEKDAY('Daily Schedule'!$B$2,2)=4,WEEKDAY('Daily Schedule'!$B$2,2)=5,WEEKDAY('Daily Schedule'!$B$2,2)=7),IFERROR(1*'Daily Workforce'!$K83&gt;=3,FALSE()),IFERROR(1*'Daily Workforce'!$K83&gt;=2,FALSE())),IF(AND('Daily Schedule'!$A14&gt;=46,'Daily Schedule'!$A14&lt;=52),'Daily Workforce'!$M83="Y",IFERROR(1*'Daily Workforce'!$P83&gt;=2,FALSE()))))),1,0)</f>
        <v>0</v>
      </c>
      <c r="CQ10" s="1" t="n">
        <f aca="false">IF(AND('Daily Workforce'!$N84="Y",'Daily Workforce'!$B84&lt;&gt;"",COUNTIF('Daily Schedule'!$F$5:$F13,'Daily Workforce'!$B84)=0,IF('Daily Schedule'!$A14=45,'Daily Workforce'!$J84="Y",IF(OR('Daily Schedule'!$A14=4,'Daily Schedule'!$A14=8),IF(OR(WEEKDAY('Daily Schedule'!$B$2,2)=1,WEEKDAY('Daily Schedule'!$B$2,2)=4,WEEKDAY('Daily Schedule'!$B$2,2)=5,WEEKDAY('Daily Schedule'!$B$2,2)=7),IFERROR(1*'Daily Workforce'!$K84&gt;=3,FALSE()),IFERROR(1*'Daily Workforce'!$K84&gt;=2,FALSE())),IF(AND('Daily Schedule'!$A14&gt;=46,'Daily Schedule'!$A14&lt;=52),'Daily Workforce'!$M84="Y",IFERROR(1*'Daily Workforce'!$P84&gt;=2,FALSE()))))),1,0)</f>
        <v>1</v>
      </c>
      <c r="CR10" s="1" t="n">
        <f aca="false">IF(AND('Daily Workforce'!$N85="Y",'Daily Workforce'!$B85&lt;&gt;"",COUNTIF('Daily Schedule'!$F$5:$F13,'Daily Workforce'!$B85)=0,IF('Daily Schedule'!$A14=45,'Daily Workforce'!$J85="Y",IF(OR('Daily Schedule'!$A14=4,'Daily Schedule'!$A14=8),IF(OR(WEEKDAY('Daily Schedule'!$B$2,2)=1,WEEKDAY('Daily Schedule'!$B$2,2)=4,WEEKDAY('Daily Schedule'!$B$2,2)=5,WEEKDAY('Daily Schedule'!$B$2,2)=7),IFERROR(1*'Daily Workforce'!$K85&gt;=3,FALSE()),IFERROR(1*'Daily Workforce'!$K85&gt;=2,FALSE())),IF(AND('Daily Schedule'!$A14&gt;=46,'Daily Schedule'!$A14&lt;=52),'Daily Workforce'!$M85="Y",IFERROR(1*'Daily Workforce'!$P85&gt;=2,FALSE()))))),1,0)</f>
        <v>0</v>
      </c>
      <c r="CS10" s="1" t="n">
        <f aca="false">IF(AND('Daily Workforce'!$N86="Y",'Daily Workforce'!$B86&lt;&gt;"",COUNTIF('Daily Schedule'!$F$5:$F13,'Daily Workforce'!$B86)=0,IF('Daily Schedule'!$A14=45,'Daily Workforce'!$J86="Y",IF(OR('Daily Schedule'!$A14=4,'Daily Schedule'!$A14=8),IF(OR(WEEKDAY('Daily Schedule'!$B$2,2)=1,WEEKDAY('Daily Schedule'!$B$2,2)=4,WEEKDAY('Daily Schedule'!$B$2,2)=5,WEEKDAY('Daily Schedule'!$B$2,2)=7),IFERROR(1*'Daily Workforce'!$K86&gt;=3,FALSE()),IFERROR(1*'Daily Workforce'!$K86&gt;=2,FALSE())),IF(AND('Daily Schedule'!$A14&gt;=46,'Daily Schedule'!$A14&lt;=52),'Daily Workforce'!$M86="Y",IFERROR(1*'Daily Workforce'!$P86&gt;=2,FALSE()))))),1,0)</f>
        <v>1</v>
      </c>
      <c r="CT10" s="1" t="n">
        <f aca="false">IF(AND('Daily Workforce'!$N87="Y",'Daily Workforce'!$B87&lt;&gt;"",COUNTIF('Daily Schedule'!$F$5:$F13,'Daily Workforce'!$B87)=0,IF('Daily Schedule'!$A14=45,'Daily Workforce'!$J87="Y",IF(OR('Daily Schedule'!$A14=4,'Daily Schedule'!$A14=8),IF(OR(WEEKDAY('Daily Schedule'!$B$2,2)=1,WEEKDAY('Daily Schedule'!$B$2,2)=4,WEEKDAY('Daily Schedule'!$B$2,2)=5,WEEKDAY('Daily Schedule'!$B$2,2)=7),IFERROR(1*'Daily Workforce'!$K87&gt;=3,FALSE()),IFERROR(1*'Daily Workforce'!$K87&gt;=2,FALSE())),IF(AND('Daily Schedule'!$A14&gt;=46,'Daily Schedule'!$A14&lt;=52),'Daily Workforce'!$M87="Y",IFERROR(1*'Daily Workforce'!$P87&gt;=2,FALSE()))))),1,0)</f>
        <v>1</v>
      </c>
      <c r="CU10" s="1" t="n">
        <f aca="false">IF(AND('Daily Workforce'!$N88="Y",'Daily Workforce'!$B88&lt;&gt;"",COUNTIF('Daily Schedule'!$F$5:$F13,'Daily Workforce'!$B88)=0,IF('Daily Schedule'!$A14=45,'Daily Workforce'!$J88="Y",IF(OR('Daily Schedule'!$A14=4,'Daily Schedule'!$A14=8),IF(OR(WEEKDAY('Daily Schedule'!$B$2,2)=1,WEEKDAY('Daily Schedule'!$B$2,2)=4,WEEKDAY('Daily Schedule'!$B$2,2)=5,WEEKDAY('Daily Schedule'!$B$2,2)=7),IFERROR(1*'Daily Workforce'!$K88&gt;=3,FALSE()),IFERROR(1*'Daily Workforce'!$K88&gt;=2,FALSE())),IF(AND('Daily Schedule'!$A14&gt;=46,'Daily Schedule'!$A14&lt;=52),'Daily Workforce'!$M88="Y",IFERROR(1*'Daily Workforce'!$P88&gt;=2,FALSE()))))),1,0)</f>
        <v>1</v>
      </c>
      <c r="CV10" s="1" t="n">
        <f aca="false">IF(AND('Daily Workforce'!$N89="Y",'Daily Workforce'!$B89&lt;&gt;"",COUNTIF('Daily Schedule'!$F$5:$F13,'Daily Workforce'!$B89)=0,IF('Daily Schedule'!$A14=45,'Daily Workforce'!$J89="Y",IF(OR('Daily Schedule'!$A14=4,'Daily Schedule'!$A14=8),IF(OR(WEEKDAY('Daily Schedule'!$B$2,2)=1,WEEKDAY('Daily Schedule'!$B$2,2)=4,WEEKDAY('Daily Schedule'!$B$2,2)=5,WEEKDAY('Daily Schedule'!$B$2,2)=7),IFERROR(1*'Daily Workforce'!$K89&gt;=3,FALSE()),IFERROR(1*'Daily Workforce'!$K89&gt;=2,FALSE())),IF(AND('Daily Schedule'!$A14&gt;=46,'Daily Schedule'!$A14&lt;=52),'Daily Workforce'!$M89="Y",IFERROR(1*'Daily Workforce'!$P89&gt;=2,FALSE()))))),1,0)</f>
        <v>1</v>
      </c>
      <c r="CW10" s="1" t="n">
        <f aca="false">IF(AND('Daily Workforce'!$N90="Y",'Daily Workforce'!$B90&lt;&gt;"",COUNTIF('Daily Schedule'!$F$5:$F13,'Daily Workforce'!$B90)=0,IF('Daily Schedule'!$A14=45,'Daily Workforce'!$J90="Y",IF(OR('Daily Schedule'!$A14=4,'Daily Schedule'!$A14=8),IF(OR(WEEKDAY('Daily Schedule'!$B$2,2)=1,WEEKDAY('Daily Schedule'!$B$2,2)=4,WEEKDAY('Daily Schedule'!$B$2,2)=5,WEEKDAY('Daily Schedule'!$B$2,2)=7),IFERROR(1*'Daily Workforce'!$K90&gt;=3,FALSE()),IFERROR(1*'Daily Workforce'!$K90&gt;=2,FALSE())),IF(AND('Daily Schedule'!$A14&gt;=46,'Daily Schedule'!$A14&lt;=52),'Daily Workforce'!$M90="Y",IFERROR(1*'Daily Workforce'!$P90&gt;=2,FALSE()))))),1,0)</f>
        <v>1</v>
      </c>
      <c r="CX10" s="1" t="n">
        <f aca="false">IF(AND('Daily Workforce'!$N91="Y",'Daily Workforce'!$B91&lt;&gt;"",COUNTIF('Daily Schedule'!$F$5:$F13,'Daily Workforce'!$B91)=0,IF('Daily Schedule'!$A14=45,'Daily Workforce'!$J91="Y",IF(OR('Daily Schedule'!$A14=4,'Daily Schedule'!$A14=8),IF(OR(WEEKDAY('Daily Schedule'!$B$2,2)=1,WEEKDAY('Daily Schedule'!$B$2,2)=4,WEEKDAY('Daily Schedule'!$B$2,2)=5,WEEKDAY('Daily Schedule'!$B$2,2)=7),IFERROR(1*'Daily Workforce'!$K91&gt;=3,FALSE()),IFERROR(1*'Daily Workforce'!$K91&gt;=2,FALSE())),IF(AND('Daily Schedule'!$A14&gt;=46,'Daily Schedule'!$A14&lt;=52),'Daily Workforce'!$M91="Y",IFERROR(1*'Daily Workforce'!$P91&gt;=2,FALSE()))))),1,0)</f>
        <v>1</v>
      </c>
      <c r="CY10" s="1" t="n">
        <f aca="false">IF(AND('Daily Workforce'!$N92="Y",'Daily Workforce'!$B92&lt;&gt;"",COUNTIF('Daily Schedule'!$F$5:$F13,'Daily Workforce'!$B92)=0,IF('Daily Schedule'!$A14=45,'Daily Workforce'!$J92="Y",IF(OR('Daily Schedule'!$A14=4,'Daily Schedule'!$A14=8),IF(OR(WEEKDAY('Daily Schedule'!$B$2,2)=1,WEEKDAY('Daily Schedule'!$B$2,2)=4,WEEKDAY('Daily Schedule'!$B$2,2)=5,WEEKDAY('Daily Schedule'!$B$2,2)=7),IFERROR(1*'Daily Workforce'!$K92&gt;=3,FALSE()),IFERROR(1*'Daily Workforce'!$K92&gt;=2,FALSE())),IF(AND('Daily Schedule'!$A14&gt;=46,'Daily Schedule'!$A14&lt;=52),'Daily Workforce'!$M92="Y",IFERROR(1*'Daily Workforce'!$P92&gt;=2,FALSE()))))),1,0)</f>
        <v>1</v>
      </c>
      <c r="CZ10" s="1" t="n">
        <f aca="false">IF(AND('Daily Workforce'!$N93="Y",'Daily Workforce'!$B93&lt;&gt;"",COUNTIF('Daily Schedule'!$F$5:$F13,'Daily Workforce'!$B93)=0,IF('Daily Schedule'!$A14=45,'Daily Workforce'!$J93="Y",IF(OR('Daily Schedule'!$A14=4,'Daily Schedule'!$A14=8),IF(OR(WEEKDAY('Daily Schedule'!$B$2,2)=1,WEEKDAY('Daily Schedule'!$B$2,2)=4,WEEKDAY('Daily Schedule'!$B$2,2)=5,WEEKDAY('Daily Schedule'!$B$2,2)=7),IFERROR(1*'Daily Workforce'!$K93&gt;=3,FALSE()),IFERROR(1*'Daily Workforce'!$K93&gt;=2,FALSE())),IF(AND('Daily Schedule'!$A14&gt;=46,'Daily Schedule'!$A14&lt;=52),'Daily Workforce'!$M93="Y",IFERROR(1*'Daily Workforce'!$P93&gt;=2,FALSE()))))),1,0)</f>
        <v>1</v>
      </c>
      <c r="DA10" s="1" t="n">
        <f aca="false">IF(AND('Daily Workforce'!$N94="Y",'Daily Workforce'!$B94&lt;&gt;"",COUNTIF('Daily Schedule'!$F$5:$F13,'Daily Workforce'!$B94)=0,IF('Daily Schedule'!$A14=45,'Daily Workforce'!$J94="Y",IF(OR('Daily Schedule'!$A14=4,'Daily Schedule'!$A14=8),IF(OR(WEEKDAY('Daily Schedule'!$B$2,2)=1,WEEKDAY('Daily Schedule'!$B$2,2)=4,WEEKDAY('Daily Schedule'!$B$2,2)=5,WEEKDAY('Daily Schedule'!$B$2,2)=7),IFERROR(1*'Daily Workforce'!$K94&gt;=3,FALSE()),IFERROR(1*'Daily Workforce'!$K94&gt;=2,FALSE())),IF(AND('Daily Schedule'!$A14&gt;=46,'Daily Schedule'!$A14&lt;=52),'Daily Workforce'!$M94="Y",IFERROR(1*'Daily Workforce'!$P94&gt;=2,FALSE()))))),1,0)</f>
        <v>1</v>
      </c>
      <c r="DB10" s="1" t="n">
        <f aca="false">IF(AND('Daily Workforce'!$N95="Y",'Daily Workforce'!$B95&lt;&gt;"",COUNTIF('Daily Schedule'!$F$5:$F13,'Daily Workforce'!$B95)=0,IF('Daily Schedule'!$A14=45,'Daily Workforce'!$J95="Y",IF(OR('Daily Schedule'!$A14=4,'Daily Schedule'!$A14=8),IF(OR(WEEKDAY('Daily Schedule'!$B$2,2)=1,WEEKDAY('Daily Schedule'!$B$2,2)=4,WEEKDAY('Daily Schedule'!$B$2,2)=5,WEEKDAY('Daily Schedule'!$B$2,2)=7),IFERROR(1*'Daily Workforce'!$K95&gt;=3,FALSE()),IFERROR(1*'Daily Workforce'!$K95&gt;=2,FALSE())),IF(AND('Daily Schedule'!$A14&gt;=46,'Daily Schedule'!$A14&lt;=52),'Daily Workforce'!$M95="Y",IFERROR(1*'Daily Workforce'!$P95&gt;=2,FALSE()))))),1,0)</f>
        <v>1</v>
      </c>
      <c r="DC10" s="1" t="n">
        <f aca="false">IF(AND('Daily Workforce'!$N96="Y",'Daily Workforce'!$B96&lt;&gt;"",COUNTIF('Daily Schedule'!$F$5:$F13,'Daily Workforce'!$B96)=0,IF('Daily Schedule'!$A14=45,'Daily Workforce'!$J96="Y",IF(OR('Daily Schedule'!$A14=4,'Daily Schedule'!$A14=8),IF(OR(WEEKDAY('Daily Schedule'!$B$2,2)=1,WEEKDAY('Daily Schedule'!$B$2,2)=4,WEEKDAY('Daily Schedule'!$B$2,2)=5,WEEKDAY('Daily Schedule'!$B$2,2)=7),IFERROR(1*'Daily Workforce'!$K96&gt;=3,FALSE()),IFERROR(1*'Daily Workforce'!$K96&gt;=2,FALSE())),IF(AND('Daily Schedule'!$A14&gt;=46,'Daily Schedule'!$A14&lt;=52),'Daily Workforce'!$M96="Y",IFERROR(1*'Daily Workforce'!$P96&gt;=2,FALSE()))))),1,0)</f>
        <v>1</v>
      </c>
      <c r="DD10" s="1" t="n">
        <f aca="false">IF(AND('Daily Workforce'!$N97="Y",'Daily Workforce'!$B97&lt;&gt;"",COUNTIF('Daily Schedule'!$F$5:$F13,'Daily Workforce'!$B97)=0,IF('Daily Schedule'!$A14=45,'Daily Workforce'!$J97="Y",IF(OR('Daily Schedule'!$A14=4,'Daily Schedule'!$A14=8),IF(OR(WEEKDAY('Daily Schedule'!$B$2,2)=1,WEEKDAY('Daily Schedule'!$B$2,2)=4,WEEKDAY('Daily Schedule'!$B$2,2)=5,WEEKDAY('Daily Schedule'!$B$2,2)=7),IFERROR(1*'Daily Workforce'!$K97&gt;=3,FALSE()),IFERROR(1*'Daily Workforce'!$K97&gt;=2,FALSE())),IF(AND('Daily Schedule'!$A14&gt;=46,'Daily Schedule'!$A14&lt;=52),'Daily Workforce'!$M97="Y",IFERROR(1*'Daily Workforce'!$P97&gt;=2,FALSE()))))),1,0)</f>
        <v>1</v>
      </c>
      <c r="DE10" s="1" t="n">
        <f aca="false">IF(AND('Daily Workforce'!$N98="Y",'Daily Workforce'!$B98&lt;&gt;"",COUNTIF('Daily Schedule'!$F$5:$F13,'Daily Workforce'!$B98)=0,IF('Daily Schedule'!$A14=45,'Daily Workforce'!$J98="Y",IF(OR('Daily Schedule'!$A14=4,'Daily Schedule'!$A14=8),IF(OR(WEEKDAY('Daily Schedule'!$B$2,2)=1,WEEKDAY('Daily Schedule'!$B$2,2)=4,WEEKDAY('Daily Schedule'!$B$2,2)=5,WEEKDAY('Daily Schedule'!$B$2,2)=7),IFERROR(1*'Daily Workforce'!$K98&gt;=3,FALSE()),IFERROR(1*'Daily Workforce'!$K98&gt;=2,FALSE())),IF(AND('Daily Schedule'!$A14&gt;=46,'Daily Schedule'!$A14&lt;=52),'Daily Workforce'!$M98="Y",IFERROR(1*'Daily Workforce'!$P98&gt;=2,FALSE()))))),1,0)</f>
        <v>1</v>
      </c>
      <c r="DF10" s="1" t="n">
        <f aca="false">IF(AND('Daily Workforce'!$N99="Y",'Daily Workforce'!$B99&lt;&gt;"",COUNTIF('Daily Schedule'!$F$5:$F13,'Daily Workforce'!$B99)=0,IF('Daily Schedule'!$A14=45,'Daily Workforce'!$J99="Y",IF(OR('Daily Schedule'!$A14=4,'Daily Schedule'!$A14=8),IF(OR(WEEKDAY('Daily Schedule'!$B$2,2)=1,WEEKDAY('Daily Schedule'!$B$2,2)=4,WEEKDAY('Daily Schedule'!$B$2,2)=5,WEEKDAY('Daily Schedule'!$B$2,2)=7),IFERROR(1*'Daily Workforce'!$K99&gt;=3,FALSE()),IFERROR(1*'Daily Workforce'!$K99&gt;=2,FALSE())),IF(AND('Daily Schedule'!$A14&gt;=46,'Daily Schedule'!$A14&lt;=52),'Daily Workforce'!$M99="Y",IFERROR(1*'Daily Workforce'!$P99&gt;=2,FALSE()))))),1,0)</f>
        <v>1</v>
      </c>
      <c r="DG10" s="1" t="n">
        <f aca="false">IF(AND('Daily Workforce'!$N100="Y",'Daily Workforce'!$B100&lt;&gt;"",COUNTIF('Daily Schedule'!$F$5:$F13,'Daily Workforce'!$B100)=0,IF('Daily Schedule'!$A14=45,'Daily Workforce'!$J100="Y",IF(OR('Daily Schedule'!$A14=4,'Daily Schedule'!$A14=8),IF(OR(WEEKDAY('Daily Schedule'!$B$2,2)=1,WEEKDAY('Daily Schedule'!$B$2,2)=4,WEEKDAY('Daily Schedule'!$B$2,2)=5,WEEKDAY('Daily Schedule'!$B$2,2)=7),IFERROR(1*'Daily Workforce'!$K100&gt;=3,FALSE()),IFERROR(1*'Daily Workforce'!$K100&gt;=2,FALSE())),IF(AND('Daily Schedule'!$A14&gt;=46,'Daily Schedule'!$A14&lt;=52),'Daily Workforce'!$M100="Y",IFERROR(1*'Daily Workforce'!$P100&gt;=2,FALSE()))))),1,0)</f>
        <v>1</v>
      </c>
      <c r="DH10" s="1" t="n">
        <f aca="false">IF(AND('Daily Workforce'!$N101="Y",'Daily Workforce'!$B101&lt;&gt;"",COUNTIF('Daily Schedule'!$F$5:$F13,'Daily Workforce'!$B101)=0,IF('Daily Schedule'!$A14=45,'Daily Workforce'!$J101="Y",IF(OR('Daily Schedule'!$A14=4,'Daily Schedule'!$A14=8),IF(OR(WEEKDAY('Daily Schedule'!$B$2,2)=1,WEEKDAY('Daily Schedule'!$B$2,2)=4,WEEKDAY('Daily Schedule'!$B$2,2)=5,WEEKDAY('Daily Schedule'!$B$2,2)=7),IFERROR(1*'Daily Workforce'!$K101&gt;=3,FALSE()),IFERROR(1*'Daily Workforce'!$K101&gt;=2,FALSE())),IF(AND('Daily Schedule'!$A14&gt;=46,'Daily Schedule'!$A14&lt;=52),'Daily Workforce'!$M101="Y",IFERROR(1*'Daily Workforce'!$P101&gt;=2,FALSE()))))),1,0)</f>
        <v>1</v>
      </c>
      <c r="DI10" s="1" t="n">
        <f aca="false">IF(AND('Daily Workforce'!$N102="Y",'Daily Workforce'!$B102&lt;&gt;"",COUNTIF('Daily Schedule'!$F$5:$F13,'Daily Workforce'!$B102)=0,IF('Daily Schedule'!$A14=45,'Daily Workforce'!$J102="Y",IF(OR('Daily Schedule'!$A14=4,'Daily Schedule'!$A14=8),IF(OR(WEEKDAY('Daily Schedule'!$B$2,2)=1,WEEKDAY('Daily Schedule'!$B$2,2)=4,WEEKDAY('Daily Schedule'!$B$2,2)=5,WEEKDAY('Daily Schedule'!$B$2,2)=7),IFERROR(1*'Daily Workforce'!$K102&gt;=3,FALSE()),IFERROR(1*'Daily Workforce'!$K102&gt;=2,FALSE())),IF(AND('Daily Schedule'!$A14&gt;=46,'Daily Schedule'!$A14&lt;=52),'Daily Workforce'!$M102="Y",IFERROR(1*'Daily Workforce'!$P102&gt;=2,FALSE()))))),1,0)</f>
        <v>1</v>
      </c>
      <c r="DJ10" s="1" t="n">
        <f aca="false">IF(AND('Daily Workforce'!$N103="Y",'Daily Workforce'!$B103&lt;&gt;"",COUNTIF('Daily Schedule'!$F$5:$F13,'Daily Workforce'!$B103)=0,IF('Daily Schedule'!$A14=45,'Daily Workforce'!$J103="Y",IF(OR('Daily Schedule'!$A14=4,'Daily Schedule'!$A14=8),IF(OR(WEEKDAY('Daily Schedule'!$B$2,2)=1,WEEKDAY('Daily Schedule'!$B$2,2)=4,WEEKDAY('Daily Schedule'!$B$2,2)=5,WEEKDAY('Daily Schedule'!$B$2,2)=7),IFERROR(1*'Daily Workforce'!$K103&gt;=3,FALSE()),IFERROR(1*'Daily Workforce'!$K103&gt;=2,FALSE())),IF(AND('Daily Schedule'!$A14&gt;=46,'Daily Schedule'!$A14&lt;=52),'Daily Workforce'!$M103="Y",IFERROR(1*'Daily Workforce'!$P103&gt;=2,FALSE()))))),1,0)</f>
        <v>1</v>
      </c>
      <c r="DK10" s="1" t="n">
        <f aca="false">IF(AND('Daily Workforce'!$N104="Y",'Daily Workforce'!$B104&lt;&gt;"",COUNTIF('Daily Schedule'!$F$5:$F13,'Daily Workforce'!$B104)=0,IF('Daily Schedule'!$A14=45,'Daily Workforce'!$J104="Y",IF(OR('Daily Schedule'!$A14=4,'Daily Schedule'!$A14=8),IF(OR(WEEKDAY('Daily Schedule'!$B$2,2)=1,WEEKDAY('Daily Schedule'!$B$2,2)=4,WEEKDAY('Daily Schedule'!$B$2,2)=5,WEEKDAY('Daily Schedule'!$B$2,2)=7),IFERROR(1*'Daily Workforce'!$K104&gt;=3,FALSE()),IFERROR(1*'Daily Workforce'!$K104&gt;=2,FALSE())),IF(AND('Daily Schedule'!$A14&gt;=46,'Daily Schedule'!$A14&lt;=52),'Daily Workforce'!$M104="Y",IFERROR(1*'Daily Workforce'!$P104&gt;=2,FALSE()))))),1,0)</f>
        <v>1</v>
      </c>
      <c r="DL10" s="1" t="n">
        <f aca="false">IF(AND('Daily Workforce'!$N105="Y",'Daily Workforce'!$B105&lt;&gt;"",COUNTIF('Daily Schedule'!$F$5:$F13,'Daily Workforce'!$B105)=0,IF('Daily Schedule'!$A14=45,'Daily Workforce'!$J105="Y",IF(OR('Daily Schedule'!$A14=4,'Daily Schedule'!$A14=8),IF(OR(WEEKDAY('Daily Schedule'!$B$2,2)=1,WEEKDAY('Daily Schedule'!$B$2,2)=4,WEEKDAY('Daily Schedule'!$B$2,2)=5,WEEKDAY('Daily Schedule'!$B$2,2)=7),IFERROR(1*'Daily Workforce'!$K105&gt;=3,FALSE()),IFERROR(1*'Daily Workforce'!$K105&gt;=2,FALSE())),IF(AND('Daily Schedule'!$A14&gt;=46,'Daily Schedule'!$A14&lt;=52),'Daily Workforce'!$M105="Y",IFERROR(1*'Daily Workforce'!$P105&gt;=2,FALSE()))))),1,0)</f>
        <v>0</v>
      </c>
      <c r="DM10" s="1" t="n">
        <f aca="false">IF(AND('Daily Workforce'!$N106="Y",'Daily Workforce'!$B106&lt;&gt;"",COUNTIF('Daily Schedule'!$F$5:$F13,'Daily Workforce'!$B106)=0,IF('Daily Schedule'!$A14=45,'Daily Workforce'!$J106="Y",IF(OR('Daily Schedule'!$A14=4,'Daily Schedule'!$A14=8),IF(OR(WEEKDAY('Daily Schedule'!$B$2,2)=1,WEEKDAY('Daily Schedule'!$B$2,2)=4,WEEKDAY('Daily Schedule'!$B$2,2)=5,WEEKDAY('Daily Schedule'!$B$2,2)=7),IFERROR(1*'Daily Workforce'!$K106&gt;=3,FALSE()),IFERROR(1*'Daily Workforce'!$K106&gt;=2,FALSE())),IF(AND('Daily Schedule'!$A14&gt;=46,'Daily Schedule'!$A14&lt;=52),'Daily Workforce'!$M106="Y",IFERROR(1*'Daily Workforce'!$P106&gt;=2,FALSE()))))),1,0)</f>
        <v>1</v>
      </c>
      <c r="DN10" s="1" t="n">
        <f aca="false">IF(AND('Daily Workforce'!$N107="Y",'Daily Workforce'!$B107&lt;&gt;"",COUNTIF('Daily Schedule'!$F$5:$F13,'Daily Workforce'!$B107)=0,IF('Daily Schedule'!$A14=45,'Daily Workforce'!$J107="Y",IF(OR('Daily Schedule'!$A14=4,'Daily Schedule'!$A14=8),IF(OR(WEEKDAY('Daily Schedule'!$B$2,2)=1,WEEKDAY('Daily Schedule'!$B$2,2)=4,WEEKDAY('Daily Schedule'!$B$2,2)=5,WEEKDAY('Daily Schedule'!$B$2,2)=7),IFERROR(1*'Daily Workforce'!$K107&gt;=3,FALSE()),IFERROR(1*'Daily Workforce'!$K107&gt;=2,FALSE())),IF(AND('Daily Schedule'!$A14&gt;=46,'Daily Schedule'!$A14&lt;=52),'Daily Workforce'!$M107="Y",IFERROR(1*'Daily Workforce'!$P107&gt;=2,FALSE()))))),1,0)</f>
        <v>1</v>
      </c>
      <c r="DO10" s="1" t="n">
        <f aca="false">IF(AND('Daily Workforce'!$N108="Y",'Daily Workforce'!$B108&lt;&gt;"",COUNTIF('Daily Schedule'!$F$5:$F13,'Daily Workforce'!$B108)=0,IF('Daily Schedule'!$A14=45,'Daily Workforce'!$J108="Y",IF(OR('Daily Schedule'!$A14=4,'Daily Schedule'!$A14=8),IF(OR(WEEKDAY('Daily Schedule'!$B$2,2)=1,WEEKDAY('Daily Schedule'!$B$2,2)=4,WEEKDAY('Daily Schedule'!$B$2,2)=5,WEEKDAY('Daily Schedule'!$B$2,2)=7),IFERROR(1*'Daily Workforce'!$K108&gt;=3,FALSE()),IFERROR(1*'Daily Workforce'!$K108&gt;=2,FALSE())),IF(AND('Daily Schedule'!$A14&gt;=46,'Daily Schedule'!$A14&lt;=52),'Daily Workforce'!$M108="Y",IFERROR(1*'Daily Workforce'!$P108&gt;=2,FALSE()))))),1,0)</f>
        <v>1</v>
      </c>
      <c r="DP10" s="1" t="n">
        <f aca="false">IF(AND('Daily Workforce'!$N109="Y",'Daily Workforce'!$B109&lt;&gt;"",COUNTIF('Daily Schedule'!$F$5:$F13,'Daily Workforce'!$B109)=0,IF('Daily Schedule'!$A14=45,'Daily Workforce'!$J109="Y",IF(OR('Daily Schedule'!$A14=4,'Daily Schedule'!$A14=8),IF(OR(WEEKDAY('Daily Schedule'!$B$2,2)=1,WEEKDAY('Daily Schedule'!$B$2,2)=4,WEEKDAY('Daily Schedule'!$B$2,2)=5,WEEKDAY('Daily Schedule'!$B$2,2)=7),IFERROR(1*'Daily Workforce'!$K109&gt;=3,FALSE()),IFERROR(1*'Daily Workforce'!$K109&gt;=2,FALSE())),IF(AND('Daily Schedule'!$A14&gt;=46,'Daily Schedule'!$A14&lt;=52),'Daily Workforce'!$M109="Y",IFERROR(1*'Daily Workforce'!$P109&gt;=2,FALSE()))))),1,0)</f>
        <v>1</v>
      </c>
      <c r="DQ10" s="1" t="n">
        <f aca="false">IF(AND('Daily Workforce'!$N110="Y",'Daily Workforce'!$B110&lt;&gt;"",COUNTIF('Daily Schedule'!$F$5:$F13,'Daily Workforce'!$B110)=0,IF('Daily Schedule'!$A14=45,'Daily Workforce'!$J110="Y",IF(OR('Daily Schedule'!$A14=4,'Daily Schedule'!$A14=8),IF(OR(WEEKDAY('Daily Schedule'!$B$2,2)=1,WEEKDAY('Daily Schedule'!$B$2,2)=4,WEEKDAY('Daily Schedule'!$B$2,2)=5,WEEKDAY('Daily Schedule'!$B$2,2)=7),IFERROR(1*'Daily Workforce'!$K110&gt;=3,FALSE()),IFERROR(1*'Daily Workforce'!$K110&gt;=2,FALSE())),IF(AND('Daily Schedule'!$A14&gt;=46,'Daily Schedule'!$A14&lt;=52),'Daily Workforce'!$M110="Y",IFERROR(1*'Daily Workforce'!$P110&gt;=2,FALSE()))))),1,0)</f>
        <v>1</v>
      </c>
      <c r="DR10" s="1" t="n">
        <f aca="false">IF(AND('Daily Workforce'!$N111="Y",'Daily Workforce'!$B111&lt;&gt;"",COUNTIF('Daily Schedule'!$F$5:$F13,'Daily Workforce'!$B111)=0,IF('Daily Schedule'!$A14=45,'Daily Workforce'!$J111="Y",IF(OR('Daily Schedule'!$A14=4,'Daily Schedule'!$A14=8),IF(OR(WEEKDAY('Daily Schedule'!$B$2,2)=1,WEEKDAY('Daily Schedule'!$B$2,2)=4,WEEKDAY('Daily Schedule'!$B$2,2)=5,WEEKDAY('Daily Schedule'!$B$2,2)=7),IFERROR(1*'Daily Workforce'!$K111&gt;=3,FALSE()),IFERROR(1*'Daily Workforce'!$K111&gt;=2,FALSE())),IF(AND('Daily Schedule'!$A14&gt;=46,'Daily Schedule'!$A14&lt;=52),'Daily Workforce'!$M111="Y",IFERROR(1*'Daily Workforce'!$P111&gt;=2,FALSE()))))),1,0)</f>
        <v>1</v>
      </c>
      <c r="DS10" s="1" t="n">
        <f aca="false">IF(AND('Daily Workforce'!$N112="Y",'Daily Workforce'!$B112&lt;&gt;"",COUNTIF('Daily Schedule'!$F$5:$F13,'Daily Workforce'!$B112)=0,IF('Daily Schedule'!$A14=45,'Daily Workforce'!$J112="Y",IF(OR('Daily Schedule'!$A14=4,'Daily Schedule'!$A14=8),IF(OR(WEEKDAY('Daily Schedule'!$B$2,2)=1,WEEKDAY('Daily Schedule'!$B$2,2)=4,WEEKDAY('Daily Schedule'!$B$2,2)=5,WEEKDAY('Daily Schedule'!$B$2,2)=7),IFERROR(1*'Daily Workforce'!$K112&gt;=3,FALSE()),IFERROR(1*'Daily Workforce'!$K112&gt;=2,FALSE())),IF(AND('Daily Schedule'!$A14&gt;=46,'Daily Schedule'!$A14&lt;=52),'Daily Workforce'!$M112="Y",IFERROR(1*'Daily Workforce'!$P112&gt;=2,FALSE()))))),1,0)</f>
        <v>1</v>
      </c>
      <c r="DT10" s="1" t="n">
        <f aca="false">IF(AND('Daily Workforce'!$N113="Y",'Daily Workforce'!$B113&lt;&gt;"",COUNTIF('Daily Schedule'!$F$5:$F13,'Daily Workforce'!$B113)=0,IF('Daily Schedule'!$A14=45,'Daily Workforce'!$J113="Y",IF(OR('Daily Schedule'!$A14=4,'Daily Schedule'!$A14=8),IF(OR(WEEKDAY('Daily Schedule'!$B$2,2)=1,WEEKDAY('Daily Schedule'!$B$2,2)=4,WEEKDAY('Daily Schedule'!$B$2,2)=5,WEEKDAY('Daily Schedule'!$B$2,2)=7),IFERROR(1*'Daily Workforce'!$K113&gt;=3,FALSE()),IFERROR(1*'Daily Workforce'!$K113&gt;=2,FALSE())),IF(AND('Daily Schedule'!$A14&gt;=46,'Daily Schedule'!$A14&lt;=52),'Daily Workforce'!$M113="Y",IFERROR(1*'Daily Workforce'!$P113&gt;=2,FALSE()))))),1,0)</f>
        <v>1</v>
      </c>
      <c r="DU10" s="1" t="n">
        <f aca="false">IF(AND('Daily Workforce'!$N114="Y",'Daily Workforce'!$B114&lt;&gt;"",COUNTIF('Daily Schedule'!$F$5:$F13,'Daily Workforce'!$B114)=0,IF('Daily Schedule'!$A14=45,'Daily Workforce'!$J114="Y",IF(OR('Daily Schedule'!$A14=4,'Daily Schedule'!$A14=8),IF(OR(WEEKDAY('Daily Schedule'!$B$2,2)=1,WEEKDAY('Daily Schedule'!$B$2,2)=4,WEEKDAY('Daily Schedule'!$B$2,2)=5,WEEKDAY('Daily Schedule'!$B$2,2)=7),IFERROR(1*'Daily Workforce'!$K114&gt;=3,FALSE()),IFERROR(1*'Daily Workforce'!$K114&gt;=2,FALSE())),IF(AND('Daily Schedule'!$A14&gt;=46,'Daily Schedule'!$A14&lt;=52),'Daily Workforce'!$M114="Y",IFERROR(1*'Daily Workforce'!$P114&gt;=2,FALSE()))))),1,0)</f>
        <v>1</v>
      </c>
      <c r="DV10" s="1" t="n">
        <f aca="false">IF(AND('Daily Workforce'!$N115="Y",'Daily Workforce'!$B115&lt;&gt;"",COUNTIF('Daily Schedule'!$F$5:$F13,'Daily Workforce'!$B115)=0,IF('Daily Schedule'!$A14=45,'Daily Workforce'!$J115="Y",IF(OR('Daily Schedule'!$A14=4,'Daily Schedule'!$A14=8),IF(OR(WEEKDAY('Daily Schedule'!$B$2,2)=1,WEEKDAY('Daily Schedule'!$B$2,2)=4,WEEKDAY('Daily Schedule'!$B$2,2)=5,WEEKDAY('Daily Schedule'!$B$2,2)=7),IFERROR(1*'Daily Workforce'!$K115&gt;=3,FALSE()),IFERROR(1*'Daily Workforce'!$K115&gt;=2,FALSE())),IF(AND('Daily Schedule'!$A14&gt;=46,'Daily Schedule'!$A14&lt;=52),'Daily Workforce'!$M115="Y",IFERROR(1*'Daily Workforce'!$P115&gt;=2,FALSE()))))),1,0)</f>
        <v>1</v>
      </c>
      <c r="DW10" s="1" t="n">
        <f aca="false">IF(AND('Daily Workforce'!$N116="Y",'Daily Workforce'!$B116&lt;&gt;"",COUNTIF('Daily Schedule'!$F$5:$F13,'Daily Workforce'!$B116)=0,IF('Daily Schedule'!$A14=45,'Daily Workforce'!$J116="Y",IF(OR('Daily Schedule'!$A14=4,'Daily Schedule'!$A14=8),IF(OR(WEEKDAY('Daily Schedule'!$B$2,2)=1,WEEKDAY('Daily Schedule'!$B$2,2)=4,WEEKDAY('Daily Schedule'!$B$2,2)=5,WEEKDAY('Daily Schedule'!$B$2,2)=7),IFERROR(1*'Daily Workforce'!$K116&gt;=3,FALSE()),IFERROR(1*'Daily Workforce'!$K116&gt;=2,FALSE())),IF(AND('Daily Schedule'!$A14&gt;=46,'Daily Schedule'!$A14&lt;=52),'Daily Workforce'!$M116="Y",IFERROR(1*'Daily Workforce'!$P116&gt;=2,FALSE()))))),1,0)</f>
        <v>1</v>
      </c>
      <c r="DX10" s="1" t="n">
        <f aca="false">IF(AND('Daily Workforce'!$N117="Y",'Daily Workforce'!$B117&lt;&gt;"",COUNTIF('Daily Schedule'!$F$5:$F13,'Daily Workforce'!$B117)=0,IF('Daily Schedule'!$A14=45,'Daily Workforce'!$J117="Y",IF(OR('Daily Schedule'!$A14=4,'Daily Schedule'!$A14=8),IF(OR(WEEKDAY('Daily Schedule'!$B$2,2)=1,WEEKDAY('Daily Schedule'!$B$2,2)=4,WEEKDAY('Daily Schedule'!$B$2,2)=5,WEEKDAY('Daily Schedule'!$B$2,2)=7),IFERROR(1*'Daily Workforce'!$K117&gt;=3,FALSE()),IFERROR(1*'Daily Workforce'!$K117&gt;=2,FALSE())),IF(AND('Daily Schedule'!$A14&gt;=46,'Daily Schedule'!$A14&lt;=52),'Daily Workforce'!$M117="Y",IFERROR(1*'Daily Workforce'!$P117&gt;=2,FALSE()))))),1,0)</f>
        <v>1</v>
      </c>
      <c r="DY10" s="1" t="n">
        <f aca="false">IF(AND('Daily Workforce'!$N118="Y",'Daily Workforce'!$B118&lt;&gt;"",COUNTIF('Daily Schedule'!$F$5:$F13,'Daily Workforce'!$B118)=0,IF('Daily Schedule'!$A14=45,'Daily Workforce'!$J118="Y",IF(OR('Daily Schedule'!$A14=4,'Daily Schedule'!$A14=8),IF(OR(WEEKDAY('Daily Schedule'!$B$2,2)=1,WEEKDAY('Daily Schedule'!$B$2,2)=4,WEEKDAY('Daily Schedule'!$B$2,2)=5,WEEKDAY('Daily Schedule'!$B$2,2)=7),IFERROR(1*'Daily Workforce'!$K118&gt;=3,FALSE()),IFERROR(1*'Daily Workforce'!$K118&gt;=2,FALSE())),IF(AND('Daily Schedule'!$A14&gt;=46,'Daily Schedule'!$A14&lt;=52),'Daily Workforce'!$M118="Y",IFERROR(1*'Daily Workforce'!$P118&gt;=2,FALSE()))))),1,0)</f>
        <v>0</v>
      </c>
      <c r="DZ10" s="1" t="n">
        <f aca="false">IF(AND('Daily Workforce'!$N119="Y",'Daily Workforce'!$B119&lt;&gt;"",COUNTIF('Daily Schedule'!$F$5:$F13,'Daily Workforce'!$B119)=0,IF('Daily Schedule'!$A14=45,'Daily Workforce'!$J119="Y",IF(OR('Daily Schedule'!$A14=4,'Daily Schedule'!$A14=8),IF(OR(WEEKDAY('Daily Schedule'!$B$2,2)=1,WEEKDAY('Daily Schedule'!$B$2,2)=4,WEEKDAY('Daily Schedule'!$B$2,2)=5,WEEKDAY('Daily Schedule'!$B$2,2)=7),IFERROR(1*'Daily Workforce'!$K119&gt;=3,FALSE()),IFERROR(1*'Daily Workforce'!$K119&gt;=2,FALSE())),IF(AND('Daily Schedule'!$A14&gt;=46,'Daily Schedule'!$A14&lt;=52),'Daily Workforce'!$M119="Y",IFERROR(1*'Daily Workforce'!$P119&gt;=2,FALSE()))))),1,0)</f>
        <v>0</v>
      </c>
      <c r="EA10" s="1" t="n">
        <f aca="false">IF(AND('Daily Workforce'!$N120="Y",'Daily Workforce'!$B120&lt;&gt;"",COUNTIF('Daily Schedule'!$F$5:$F13,'Daily Workforce'!$B120)=0,IF('Daily Schedule'!$A14=45,'Daily Workforce'!$J120="Y",IF(OR('Daily Schedule'!$A14=4,'Daily Schedule'!$A14=8),IF(OR(WEEKDAY('Daily Schedule'!$B$2,2)=1,WEEKDAY('Daily Schedule'!$B$2,2)=4,WEEKDAY('Daily Schedule'!$B$2,2)=5,WEEKDAY('Daily Schedule'!$B$2,2)=7),IFERROR(1*'Daily Workforce'!$K120&gt;=3,FALSE()),IFERROR(1*'Daily Workforce'!$K120&gt;=2,FALSE())),IF(AND('Daily Schedule'!$A14&gt;=46,'Daily Schedule'!$A14&lt;=52),'Daily Workforce'!$M120="Y",IFERROR(1*'Daily Workforce'!$P120&gt;=2,FALSE()))))),1,0)</f>
        <v>0</v>
      </c>
      <c r="EB10" s="1" t="n">
        <f aca="false">IF(AND('Daily Workforce'!$N121="Y",'Daily Workforce'!$B121&lt;&gt;"",COUNTIF('Daily Schedule'!$F$5:$F13,'Daily Workforce'!$B121)=0,IF('Daily Schedule'!$A14=45,'Daily Workforce'!$J121="Y",IF(OR('Daily Schedule'!$A14=4,'Daily Schedule'!$A14=8),IF(OR(WEEKDAY('Daily Schedule'!$B$2,2)=1,WEEKDAY('Daily Schedule'!$B$2,2)=4,WEEKDAY('Daily Schedule'!$B$2,2)=5,WEEKDAY('Daily Schedule'!$B$2,2)=7),IFERROR(1*'Daily Workforce'!$K121&gt;=3,FALSE()),IFERROR(1*'Daily Workforce'!$K121&gt;=2,FALSE())),IF(AND('Daily Schedule'!$A14&gt;=46,'Daily Schedule'!$A14&lt;=52),'Daily Workforce'!$M121="Y",IFERROR(1*'Daily Workforce'!$P121&gt;=2,FALSE()))))),1,0)</f>
        <v>0</v>
      </c>
      <c r="EC10" s="1" t="n">
        <f aca="false">IF(AND('Daily Workforce'!$N122="Y",'Daily Workforce'!$B122&lt;&gt;"",COUNTIF('Daily Schedule'!$F$5:$F13,'Daily Workforce'!$B122)=0,IF('Daily Schedule'!$A14=45,'Daily Workforce'!$J122="Y",IF(OR('Daily Schedule'!$A14=4,'Daily Schedule'!$A14=8),IF(OR(WEEKDAY('Daily Schedule'!$B$2,2)=1,WEEKDAY('Daily Schedule'!$B$2,2)=4,WEEKDAY('Daily Schedule'!$B$2,2)=5,WEEKDAY('Daily Schedule'!$B$2,2)=7),IFERROR(1*'Daily Workforce'!$K122&gt;=3,FALSE()),IFERROR(1*'Daily Workforce'!$K122&gt;=2,FALSE())),IF(AND('Daily Schedule'!$A14&gt;=46,'Daily Schedule'!$A14&lt;=52),'Daily Workforce'!$M122="Y",IFERROR(1*'Daily Workforce'!$P122&gt;=2,FALSE()))))),1,0)</f>
        <v>0</v>
      </c>
      <c r="ED10" s="1" t="n">
        <f aca="false">IF(AND('Daily Workforce'!$N123="Y",'Daily Workforce'!$B123&lt;&gt;"",COUNTIF('Daily Schedule'!$F$5:$F13,'Daily Workforce'!$B123)=0,IF('Daily Schedule'!$A14=45,'Daily Workforce'!$J123="Y",IF(OR('Daily Schedule'!$A14=4,'Daily Schedule'!$A14=8),IF(OR(WEEKDAY('Daily Schedule'!$B$2,2)=1,WEEKDAY('Daily Schedule'!$B$2,2)=4,WEEKDAY('Daily Schedule'!$B$2,2)=5,WEEKDAY('Daily Schedule'!$B$2,2)=7),IFERROR(1*'Daily Workforce'!$K123&gt;=3,FALSE()),IFERROR(1*'Daily Workforce'!$K123&gt;=2,FALSE())),IF(AND('Daily Schedule'!$A14&gt;=46,'Daily Schedule'!$A14&lt;=52),'Daily Workforce'!$M123="Y",IFERROR(1*'Daily Workforce'!$P123&gt;=2,FALSE()))))),1,0)</f>
        <v>0</v>
      </c>
      <c r="EE10" s="1" t="n">
        <f aca="false">IF(AND('Daily Workforce'!$N124="Y",'Daily Workforce'!$B124&lt;&gt;"",COUNTIF('Daily Schedule'!$F$5:$F13,'Daily Workforce'!$B124)=0,IF('Daily Schedule'!$A14=45,'Daily Workforce'!$J124="Y",IF(OR('Daily Schedule'!$A14=4,'Daily Schedule'!$A14=8),IF(OR(WEEKDAY('Daily Schedule'!$B$2,2)=1,WEEKDAY('Daily Schedule'!$B$2,2)=4,WEEKDAY('Daily Schedule'!$B$2,2)=5,WEEKDAY('Daily Schedule'!$B$2,2)=7),IFERROR(1*'Daily Workforce'!$K124&gt;=3,FALSE()),IFERROR(1*'Daily Workforce'!$K124&gt;=2,FALSE())),IF(AND('Daily Schedule'!$A14&gt;=46,'Daily Schedule'!$A14&lt;=52),'Daily Workforce'!$M124="Y",IFERROR(1*'Daily Workforce'!$P124&gt;=2,FALSE()))))),1,0)</f>
        <v>0</v>
      </c>
      <c r="EF10" s="1" t="n">
        <f aca="false">IF(AND('Daily Workforce'!$N125="Y",'Daily Workforce'!$B125&lt;&gt;"",COUNTIF('Daily Schedule'!$F$5:$F13,'Daily Workforce'!$B125)=0,IF('Daily Schedule'!$A14=45,'Daily Workforce'!$J125="Y",IF(OR('Daily Schedule'!$A14=4,'Daily Schedule'!$A14=8),IF(OR(WEEKDAY('Daily Schedule'!$B$2,2)=1,WEEKDAY('Daily Schedule'!$B$2,2)=4,WEEKDAY('Daily Schedule'!$B$2,2)=5,WEEKDAY('Daily Schedule'!$B$2,2)=7),IFERROR(1*'Daily Workforce'!$K125&gt;=3,FALSE()),IFERROR(1*'Daily Workforce'!$K125&gt;=2,FALSE())),IF(AND('Daily Schedule'!$A14&gt;=46,'Daily Schedule'!$A14&lt;=52),'Daily Workforce'!$M125="Y",IFERROR(1*'Daily Workforce'!$P125&gt;=2,FALSE()))))),1,0)</f>
        <v>0</v>
      </c>
      <c r="EG10" s="1" t="n">
        <f aca="false">IF(AND('Daily Workforce'!$N126="Y",'Daily Workforce'!$B126&lt;&gt;"",COUNTIF('Daily Schedule'!$F$5:$F13,'Daily Workforce'!$B126)=0,IF('Daily Schedule'!$A14=45,'Daily Workforce'!$J126="Y",IF(OR('Daily Schedule'!$A14=4,'Daily Schedule'!$A14=8),IF(OR(WEEKDAY('Daily Schedule'!$B$2,2)=1,WEEKDAY('Daily Schedule'!$B$2,2)=4,WEEKDAY('Daily Schedule'!$B$2,2)=5,WEEKDAY('Daily Schedule'!$B$2,2)=7),IFERROR(1*'Daily Workforce'!$K126&gt;=3,FALSE()),IFERROR(1*'Daily Workforce'!$K126&gt;=2,FALSE())),IF(AND('Daily Schedule'!$A14&gt;=46,'Daily Schedule'!$A14&lt;=52),'Daily Workforce'!$M126="Y",IFERROR(1*'Daily Workforce'!$P126&gt;=2,FALSE()))))),1,0)</f>
        <v>0</v>
      </c>
      <c r="EH10" s="1" t="n">
        <f aca="false">IF(AND('Daily Workforce'!$N127="Y",'Daily Workforce'!$B127&lt;&gt;"",COUNTIF('Daily Schedule'!$F$5:$F13,'Daily Workforce'!$B127)=0,IF('Daily Schedule'!$A14=45,'Daily Workforce'!$J127="Y",IF(OR('Daily Schedule'!$A14=4,'Daily Schedule'!$A14=8),IF(OR(WEEKDAY('Daily Schedule'!$B$2,2)=1,WEEKDAY('Daily Schedule'!$B$2,2)=4,WEEKDAY('Daily Schedule'!$B$2,2)=5,WEEKDAY('Daily Schedule'!$B$2,2)=7),IFERROR(1*'Daily Workforce'!$K127&gt;=3,FALSE()),IFERROR(1*'Daily Workforce'!$K127&gt;=2,FALSE())),IF(AND('Daily Schedule'!$A14&gt;=46,'Daily Schedule'!$A14&lt;=52),'Daily Workforce'!$M127="Y",IFERROR(1*'Daily Workforce'!$P127&gt;=2,FALSE()))))),1,0)</f>
        <v>0</v>
      </c>
      <c r="EI10" s="1" t="n">
        <f aca="false">IF(AND('Daily Workforce'!$N128="Y",'Daily Workforce'!$B128&lt;&gt;"",COUNTIF('Daily Schedule'!$F$5:$F13,'Daily Workforce'!$B128)=0,IF('Daily Schedule'!$A14=45,'Daily Workforce'!$J128="Y",IF(OR('Daily Schedule'!$A14=4,'Daily Schedule'!$A14=8),IF(OR(WEEKDAY('Daily Schedule'!$B$2,2)=1,WEEKDAY('Daily Schedule'!$B$2,2)=4,WEEKDAY('Daily Schedule'!$B$2,2)=5,WEEKDAY('Daily Schedule'!$B$2,2)=7),IFERROR(1*'Daily Workforce'!$K128&gt;=3,FALSE()),IFERROR(1*'Daily Workforce'!$K128&gt;=2,FALSE())),IF(AND('Daily Schedule'!$A14&gt;=46,'Daily Schedule'!$A14&lt;=52),'Daily Workforce'!$M128="Y",IFERROR(1*'Daily Workforce'!$P128&gt;=2,FALSE()))))),1,0)</f>
        <v>0</v>
      </c>
      <c r="EJ10" s="1" t="n">
        <f aca="false">IF(AND('Daily Workforce'!$N129="Y",'Daily Workforce'!$B129&lt;&gt;"",COUNTIF('Daily Schedule'!$F$5:$F13,'Daily Workforce'!$B129)=0,IF('Daily Schedule'!$A14=45,'Daily Workforce'!$J129="Y",IF(OR('Daily Schedule'!$A14=4,'Daily Schedule'!$A14=8),IF(OR(WEEKDAY('Daily Schedule'!$B$2,2)=1,WEEKDAY('Daily Schedule'!$B$2,2)=4,WEEKDAY('Daily Schedule'!$B$2,2)=5,WEEKDAY('Daily Schedule'!$B$2,2)=7),IFERROR(1*'Daily Workforce'!$K129&gt;=3,FALSE()),IFERROR(1*'Daily Workforce'!$K129&gt;=2,FALSE())),IF(AND('Daily Schedule'!$A14&gt;=46,'Daily Schedule'!$A14&lt;=52),'Daily Workforce'!$M129="Y",IFERROR(1*'Daily Workforce'!$P129&gt;=2,FALSE()))))),1,0)</f>
        <v>0</v>
      </c>
      <c r="EK10" s="1" t="n">
        <f aca="false">IF(AND('Daily Workforce'!$N130="Y",'Daily Workforce'!$B130&lt;&gt;"",COUNTIF('Daily Schedule'!$F$5:$F13,'Daily Workforce'!$B130)=0,IF('Daily Schedule'!$A14=45,'Daily Workforce'!$J130="Y",IF(OR('Daily Schedule'!$A14=4,'Daily Schedule'!$A14=8),IF(OR(WEEKDAY('Daily Schedule'!$B$2,2)=1,WEEKDAY('Daily Schedule'!$B$2,2)=4,WEEKDAY('Daily Schedule'!$B$2,2)=5,WEEKDAY('Daily Schedule'!$B$2,2)=7),IFERROR(1*'Daily Workforce'!$K130&gt;=3,FALSE()),IFERROR(1*'Daily Workforce'!$K130&gt;=2,FALSE())),IF(AND('Daily Schedule'!$A14&gt;=46,'Daily Schedule'!$A14&lt;=52),'Daily Workforce'!$M130="Y",IFERROR(1*'Daily Workforce'!$P130&gt;=2,FALSE()))))),1,0)</f>
        <v>0</v>
      </c>
      <c r="EL10" s="1" t="n">
        <f aca="false">IF(AND('Daily Workforce'!$N131="Y",'Daily Workforce'!$B131&lt;&gt;"",COUNTIF('Daily Schedule'!$F$5:$F13,'Daily Workforce'!$B131)=0,IF('Daily Schedule'!$A14=45,'Daily Workforce'!$J131="Y",IF(OR('Daily Schedule'!$A14=4,'Daily Schedule'!$A14=8),IF(OR(WEEKDAY('Daily Schedule'!$B$2,2)=1,WEEKDAY('Daily Schedule'!$B$2,2)=4,WEEKDAY('Daily Schedule'!$B$2,2)=5,WEEKDAY('Daily Schedule'!$B$2,2)=7),IFERROR(1*'Daily Workforce'!$K131&gt;=3,FALSE()),IFERROR(1*'Daily Workforce'!$K131&gt;=2,FALSE())),IF(AND('Daily Schedule'!$A14&gt;=46,'Daily Schedule'!$A14&lt;=52),'Daily Workforce'!$M131="Y",IFERROR(1*'Daily Workforce'!$P131&gt;=2,FALSE()))))),1,0)</f>
        <v>0</v>
      </c>
      <c r="EM10" s="1" t="n">
        <f aca="false">IF(AND('Daily Workforce'!$N132="Y",'Daily Workforce'!$B132&lt;&gt;"",COUNTIF('Daily Schedule'!$F$5:$F13,'Daily Workforce'!$B132)=0,IF('Daily Schedule'!$A14=45,'Daily Workforce'!$J132="Y",IF(OR('Daily Schedule'!$A14=4,'Daily Schedule'!$A14=8),IF(OR(WEEKDAY('Daily Schedule'!$B$2,2)=1,WEEKDAY('Daily Schedule'!$B$2,2)=4,WEEKDAY('Daily Schedule'!$B$2,2)=5,WEEKDAY('Daily Schedule'!$B$2,2)=7),IFERROR(1*'Daily Workforce'!$K132&gt;=3,FALSE()),IFERROR(1*'Daily Workforce'!$K132&gt;=2,FALSE())),IF(AND('Daily Schedule'!$A14&gt;=46,'Daily Schedule'!$A14&lt;=52),'Daily Workforce'!$M132="Y",IFERROR(1*'Daily Workforce'!$P132&gt;=2,FALSE()))))),1,0)</f>
        <v>0</v>
      </c>
      <c r="EN10" s="1" t="n">
        <f aca="false">IF(AND('Daily Workforce'!$N133="Y",'Daily Workforce'!$B133&lt;&gt;"",COUNTIF('Daily Schedule'!$F$5:$F13,'Daily Workforce'!$B133)=0,IF('Daily Schedule'!$A14=45,'Daily Workforce'!$J133="Y",IF(OR('Daily Schedule'!$A14=4,'Daily Schedule'!$A14=8),IF(OR(WEEKDAY('Daily Schedule'!$B$2,2)=1,WEEKDAY('Daily Schedule'!$B$2,2)=4,WEEKDAY('Daily Schedule'!$B$2,2)=5,WEEKDAY('Daily Schedule'!$B$2,2)=7),IFERROR(1*'Daily Workforce'!$K133&gt;=3,FALSE()),IFERROR(1*'Daily Workforce'!$K133&gt;=2,FALSE())),IF(AND('Daily Schedule'!$A14&gt;=46,'Daily Schedule'!$A14&lt;=52),'Daily Workforce'!$M133="Y",IFERROR(1*'Daily Workforce'!$P133&gt;=2,FALSE()))))),1,0)</f>
        <v>0</v>
      </c>
      <c r="EO10" s="1" t="n">
        <f aca="false">IF(AND('Daily Workforce'!$N134="Y",'Daily Workforce'!$B134&lt;&gt;"",COUNTIF('Daily Schedule'!$F$5:$F13,'Daily Workforce'!$B134)=0,IF('Daily Schedule'!$A14=45,'Daily Workforce'!$J134="Y",IF(OR('Daily Schedule'!$A14=4,'Daily Schedule'!$A14=8),IF(OR(WEEKDAY('Daily Schedule'!$B$2,2)=1,WEEKDAY('Daily Schedule'!$B$2,2)=4,WEEKDAY('Daily Schedule'!$B$2,2)=5,WEEKDAY('Daily Schedule'!$B$2,2)=7),IFERROR(1*'Daily Workforce'!$K134&gt;=3,FALSE()),IFERROR(1*'Daily Workforce'!$K134&gt;=2,FALSE())),IF(AND('Daily Schedule'!$A14&gt;=46,'Daily Schedule'!$A14&lt;=52),'Daily Workforce'!$M134="Y",IFERROR(1*'Daily Workforce'!$P134&gt;=2,FALSE()))))),1,0)</f>
        <v>0</v>
      </c>
      <c r="EP10" s="1" t="n">
        <f aca="false">IF(AND('Daily Workforce'!$N135="Y",'Daily Workforce'!$B135&lt;&gt;"",COUNTIF('Daily Schedule'!$F$5:$F13,'Daily Workforce'!$B135)=0,IF('Daily Schedule'!$A14=45,'Daily Workforce'!$J135="Y",IF(OR('Daily Schedule'!$A14=4,'Daily Schedule'!$A14=8),IF(OR(WEEKDAY('Daily Schedule'!$B$2,2)=1,WEEKDAY('Daily Schedule'!$B$2,2)=4,WEEKDAY('Daily Schedule'!$B$2,2)=5,WEEKDAY('Daily Schedule'!$B$2,2)=7),IFERROR(1*'Daily Workforce'!$K135&gt;=3,FALSE()),IFERROR(1*'Daily Workforce'!$K135&gt;=2,FALSE())),IF(AND('Daily Schedule'!$A14&gt;=46,'Daily Schedule'!$A14&lt;=52),'Daily Workforce'!$M135="Y",IFERROR(1*'Daily Workforce'!$P135&gt;=2,FALSE()))))),1,0)</f>
        <v>0</v>
      </c>
      <c r="EQ10" s="1" t="n">
        <f aca="false">IF(AND('Daily Workforce'!$N136="Y",'Daily Workforce'!$B136&lt;&gt;"",COUNTIF('Daily Schedule'!$F$5:$F13,'Daily Workforce'!$B136)=0,IF('Daily Schedule'!$A14=45,'Daily Workforce'!$J136="Y",IF(OR('Daily Schedule'!$A14=4,'Daily Schedule'!$A14=8),IF(OR(WEEKDAY('Daily Schedule'!$B$2,2)=1,WEEKDAY('Daily Schedule'!$B$2,2)=4,WEEKDAY('Daily Schedule'!$B$2,2)=5,WEEKDAY('Daily Schedule'!$B$2,2)=7),IFERROR(1*'Daily Workforce'!$K136&gt;=3,FALSE()),IFERROR(1*'Daily Workforce'!$K136&gt;=2,FALSE())),IF(AND('Daily Schedule'!$A14&gt;=46,'Daily Schedule'!$A14&lt;=52),'Daily Workforce'!$M136="Y",IFERROR(1*'Daily Workforce'!$P136&gt;=2,FALSE()))))),1,0)</f>
        <v>0</v>
      </c>
      <c r="ER10" s="1" t="n">
        <f aca="false">IF(AND('Daily Workforce'!$N137="Y",'Daily Workforce'!$B137&lt;&gt;"",COUNTIF('Daily Schedule'!$F$5:$F13,'Daily Workforce'!$B137)=0,IF('Daily Schedule'!$A14=45,'Daily Workforce'!$J137="Y",IF(OR('Daily Schedule'!$A14=4,'Daily Schedule'!$A14=8),IF(OR(WEEKDAY('Daily Schedule'!$B$2,2)=1,WEEKDAY('Daily Schedule'!$B$2,2)=4,WEEKDAY('Daily Schedule'!$B$2,2)=5,WEEKDAY('Daily Schedule'!$B$2,2)=7),IFERROR(1*'Daily Workforce'!$K137&gt;=3,FALSE()),IFERROR(1*'Daily Workforce'!$K137&gt;=2,FALSE())),IF(AND('Daily Schedule'!$A14&gt;=46,'Daily Schedule'!$A14&lt;=52),'Daily Workforce'!$M137="Y",IFERROR(1*'Daily Workforce'!$P137&gt;=2,FALSE()))))),1,0)</f>
        <v>0</v>
      </c>
      <c r="ES10" s="1" t="n">
        <f aca="false">IF(AND('Daily Workforce'!$N138="Y",'Daily Workforce'!$B138&lt;&gt;"",COUNTIF('Daily Schedule'!$F$5:$F13,'Daily Workforce'!$B138)=0,IF('Daily Schedule'!$A14=45,'Daily Workforce'!$J138="Y",IF(OR('Daily Schedule'!$A14=4,'Daily Schedule'!$A14=8),IF(OR(WEEKDAY('Daily Schedule'!$B$2,2)=1,WEEKDAY('Daily Schedule'!$B$2,2)=4,WEEKDAY('Daily Schedule'!$B$2,2)=5,WEEKDAY('Daily Schedule'!$B$2,2)=7),IFERROR(1*'Daily Workforce'!$K138&gt;=3,FALSE()),IFERROR(1*'Daily Workforce'!$K138&gt;=2,FALSE())),IF(AND('Daily Schedule'!$A14&gt;=46,'Daily Schedule'!$A14&lt;=52),'Daily Workforce'!$M138="Y",IFERROR(1*'Daily Workforce'!$P138&gt;=2,FALSE()))))),1,0)</f>
        <v>0</v>
      </c>
      <c r="ET10" s="1" t="n">
        <f aca="false">IF(AND('Daily Workforce'!$N139="Y",'Daily Workforce'!$B139&lt;&gt;"",COUNTIF('Daily Schedule'!$F$5:$F13,'Daily Workforce'!$B139)=0,IF('Daily Schedule'!$A14=45,'Daily Workforce'!$J139="Y",IF(OR('Daily Schedule'!$A14=4,'Daily Schedule'!$A14=8),IF(OR(WEEKDAY('Daily Schedule'!$B$2,2)=1,WEEKDAY('Daily Schedule'!$B$2,2)=4,WEEKDAY('Daily Schedule'!$B$2,2)=5,WEEKDAY('Daily Schedule'!$B$2,2)=7),IFERROR(1*'Daily Workforce'!$K139&gt;=3,FALSE()),IFERROR(1*'Daily Workforce'!$K139&gt;=2,FALSE())),IF(AND('Daily Schedule'!$A14&gt;=46,'Daily Schedule'!$A14&lt;=52),'Daily Workforce'!$M139="Y",IFERROR(1*'Daily Workforce'!$P139&gt;=2,FALSE()))))),1,0)</f>
        <v>0</v>
      </c>
      <c r="EU10" s="1" t="n">
        <f aca="false">IF(AND('Daily Workforce'!$N140="Y",'Daily Workforce'!$B140&lt;&gt;"",COUNTIF('Daily Schedule'!$F$5:$F13,'Daily Workforce'!$B140)=0,IF('Daily Schedule'!$A14=45,'Daily Workforce'!$J140="Y",IF(OR('Daily Schedule'!$A14=4,'Daily Schedule'!$A14=8),IF(OR(WEEKDAY('Daily Schedule'!$B$2,2)=1,WEEKDAY('Daily Schedule'!$B$2,2)=4,WEEKDAY('Daily Schedule'!$B$2,2)=5,WEEKDAY('Daily Schedule'!$B$2,2)=7),IFERROR(1*'Daily Workforce'!$K140&gt;=3,FALSE()),IFERROR(1*'Daily Workforce'!$K140&gt;=2,FALSE())),IF(AND('Daily Schedule'!$A14&gt;=46,'Daily Schedule'!$A14&lt;=52),'Daily Workforce'!$M140="Y",IFERROR(1*'Daily Workforce'!$P140&gt;=2,FALSE()))))),1,0)</f>
        <v>0</v>
      </c>
      <c r="EV10" s="1" t="n">
        <f aca="false">IF(AND('Daily Workforce'!$N141="Y",'Daily Workforce'!$B141&lt;&gt;"",COUNTIF('Daily Schedule'!$F$5:$F13,'Daily Workforce'!$B141)=0,IF('Daily Schedule'!$A14=45,'Daily Workforce'!$J141="Y",IF(OR('Daily Schedule'!$A14=4,'Daily Schedule'!$A14=8),IF(OR(WEEKDAY('Daily Schedule'!$B$2,2)=1,WEEKDAY('Daily Schedule'!$B$2,2)=4,WEEKDAY('Daily Schedule'!$B$2,2)=5,WEEKDAY('Daily Schedule'!$B$2,2)=7),IFERROR(1*'Daily Workforce'!$K141&gt;=3,FALSE()),IFERROR(1*'Daily Workforce'!$K141&gt;=2,FALSE())),IF(AND('Daily Schedule'!$A14&gt;=46,'Daily Schedule'!$A14&lt;=52),'Daily Workforce'!$M141="Y",IFERROR(1*'Daily Workforce'!$P141&gt;=2,FALSE()))))),1,0)</f>
        <v>0</v>
      </c>
      <c r="EW10" s="1" t="n">
        <f aca="false">IF(AND('Daily Workforce'!$N142="Y",'Daily Workforce'!$B142&lt;&gt;"",COUNTIF('Daily Schedule'!$F$5:$F13,'Daily Workforce'!$B142)=0,IF('Daily Schedule'!$A14=45,'Daily Workforce'!$J142="Y",IF(OR('Daily Schedule'!$A14=4,'Daily Schedule'!$A14=8),IF(OR(WEEKDAY('Daily Schedule'!$B$2,2)=1,WEEKDAY('Daily Schedule'!$B$2,2)=4,WEEKDAY('Daily Schedule'!$B$2,2)=5,WEEKDAY('Daily Schedule'!$B$2,2)=7),IFERROR(1*'Daily Workforce'!$K142&gt;=3,FALSE()),IFERROR(1*'Daily Workforce'!$K142&gt;=2,FALSE())),IF(AND('Daily Schedule'!$A14&gt;=46,'Daily Schedule'!$A14&lt;=52),'Daily Workforce'!$M142="Y",IFERROR(1*'Daily Workforce'!$P142&gt;=2,FALSE()))))),1,0)</f>
        <v>0</v>
      </c>
      <c r="EX10" s="1" t="n">
        <f aca="false">IF(AND('Daily Workforce'!$N143="Y",'Daily Workforce'!$B143&lt;&gt;"",COUNTIF('Daily Schedule'!$F$5:$F13,'Daily Workforce'!$B143)=0,IF('Daily Schedule'!$A14=45,'Daily Workforce'!$J143="Y",IF(OR('Daily Schedule'!$A14=4,'Daily Schedule'!$A14=8),IF(OR(WEEKDAY('Daily Schedule'!$B$2,2)=1,WEEKDAY('Daily Schedule'!$B$2,2)=4,WEEKDAY('Daily Schedule'!$B$2,2)=5,WEEKDAY('Daily Schedule'!$B$2,2)=7),IFERROR(1*'Daily Workforce'!$K143&gt;=3,FALSE()),IFERROR(1*'Daily Workforce'!$K143&gt;=2,FALSE())),IF(AND('Daily Schedule'!$A14&gt;=46,'Daily Schedule'!$A14&lt;=52),'Daily Workforce'!$M143="Y",IFERROR(1*'Daily Workforce'!$P143&gt;=2,FALSE()))))),1,0)</f>
        <v>0</v>
      </c>
      <c r="EY10" s="1" t="n">
        <f aca="false">IF(AND('Daily Workforce'!$N144="Y",'Daily Workforce'!$B144&lt;&gt;"",COUNTIF('Daily Schedule'!$F$5:$F13,'Daily Workforce'!$B144)=0,IF('Daily Schedule'!$A14=45,'Daily Workforce'!$J144="Y",IF(OR('Daily Schedule'!$A14=4,'Daily Schedule'!$A14=8),IF(OR(WEEKDAY('Daily Schedule'!$B$2,2)=1,WEEKDAY('Daily Schedule'!$B$2,2)=4,WEEKDAY('Daily Schedule'!$B$2,2)=5,WEEKDAY('Daily Schedule'!$B$2,2)=7),IFERROR(1*'Daily Workforce'!$K144&gt;=3,FALSE()),IFERROR(1*'Daily Workforce'!$K144&gt;=2,FALSE())),IF(AND('Daily Schedule'!$A14&gt;=46,'Daily Schedule'!$A14&lt;=52),'Daily Workforce'!$M144="Y",IFERROR(1*'Daily Workforce'!$P144&gt;=2,FALSE()))))),1,0)</f>
        <v>0</v>
      </c>
      <c r="EZ10" s="1" t="n">
        <f aca="false">IF(AND('Daily Workforce'!$N145="Y",'Daily Workforce'!$B145&lt;&gt;"",COUNTIF('Daily Schedule'!$F$5:$F13,'Daily Workforce'!$B145)=0,IF('Daily Schedule'!$A14=45,'Daily Workforce'!$J145="Y",IF(OR('Daily Schedule'!$A14=4,'Daily Schedule'!$A14=8),IF(OR(WEEKDAY('Daily Schedule'!$B$2,2)=1,WEEKDAY('Daily Schedule'!$B$2,2)=4,WEEKDAY('Daily Schedule'!$B$2,2)=5,WEEKDAY('Daily Schedule'!$B$2,2)=7),IFERROR(1*'Daily Workforce'!$K145&gt;=3,FALSE()),IFERROR(1*'Daily Workforce'!$K145&gt;=2,FALSE())),IF(AND('Daily Schedule'!$A14&gt;=46,'Daily Schedule'!$A14&lt;=52),'Daily Workforce'!$M145="Y",IFERROR(1*'Daily Workforce'!$P145&gt;=2,FALSE()))))),1,0)</f>
        <v>0</v>
      </c>
      <c r="FA10" s="1" t="n">
        <f aca="false">IF(AND('Daily Workforce'!$N146="Y",'Daily Workforce'!$B146&lt;&gt;"",COUNTIF('Daily Schedule'!$F$5:$F13,'Daily Workforce'!$B146)=0,IF('Daily Schedule'!$A14=45,'Daily Workforce'!$J146="Y",IF(OR('Daily Schedule'!$A14=4,'Daily Schedule'!$A14=8),IF(OR(WEEKDAY('Daily Schedule'!$B$2,2)=1,WEEKDAY('Daily Schedule'!$B$2,2)=4,WEEKDAY('Daily Schedule'!$B$2,2)=5,WEEKDAY('Daily Schedule'!$B$2,2)=7),IFERROR(1*'Daily Workforce'!$K146&gt;=3,FALSE()),IFERROR(1*'Daily Workforce'!$K146&gt;=2,FALSE())),IF(AND('Daily Schedule'!$A14&gt;=46,'Daily Schedule'!$A14&lt;=52),'Daily Workforce'!$M146="Y",IFERROR(1*'Daily Workforce'!$P146&gt;=2,FALSE()))))),1,0)</f>
        <v>0</v>
      </c>
      <c r="FB10" s="1" t="n">
        <f aca="false">IF(AND('Daily Workforce'!$N147="Y",'Daily Workforce'!$B147&lt;&gt;"",COUNTIF('Daily Schedule'!$F$5:$F13,'Daily Workforce'!$B147)=0,IF('Daily Schedule'!$A14=45,'Daily Workforce'!$J147="Y",IF(OR('Daily Schedule'!$A14=4,'Daily Schedule'!$A14=8),IF(OR(WEEKDAY('Daily Schedule'!$B$2,2)=1,WEEKDAY('Daily Schedule'!$B$2,2)=4,WEEKDAY('Daily Schedule'!$B$2,2)=5,WEEKDAY('Daily Schedule'!$B$2,2)=7),IFERROR(1*'Daily Workforce'!$K147&gt;=3,FALSE()),IFERROR(1*'Daily Workforce'!$K147&gt;=2,FALSE())),IF(AND('Daily Schedule'!$A14&gt;=46,'Daily Schedule'!$A14&lt;=52),'Daily Workforce'!$M147="Y",IFERROR(1*'Daily Workforce'!$P147&gt;=2,FALSE()))))),1,0)</f>
        <v>0</v>
      </c>
      <c r="FC10" s="1" t="n">
        <f aca="false">IF(AND('Daily Workforce'!$N148="Y",'Daily Workforce'!$B148&lt;&gt;"",COUNTIF('Daily Schedule'!$F$5:$F13,'Daily Workforce'!$B148)=0,IF('Daily Schedule'!$A14=45,'Daily Workforce'!$J148="Y",IF(OR('Daily Schedule'!$A14=4,'Daily Schedule'!$A14=8),IF(OR(WEEKDAY('Daily Schedule'!$B$2,2)=1,WEEKDAY('Daily Schedule'!$B$2,2)=4,WEEKDAY('Daily Schedule'!$B$2,2)=5,WEEKDAY('Daily Schedule'!$B$2,2)=7),IFERROR(1*'Daily Workforce'!$K148&gt;=3,FALSE()),IFERROR(1*'Daily Workforce'!$K148&gt;=2,FALSE())),IF(AND('Daily Schedule'!$A14&gt;=46,'Daily Schedule'!$A14&lt;=52),'Daily Workforce'!$M148="Y",IFERROR(1*'Daily Workforce'!$P148&gt;=2,FALSE()))))),1,0)</f>
        <v>0</v>
      </c>
      <c r="FD10" s="1" t="n">
        <f aca="false">IF(AND('Daily Workforce'!$N149="Y",'Daily Workforce'!$B149&lt;&gt;"",COUNTIF('Daily Schedule'!$F$5:$F13,'Daily Workforce'!$B149)=0,IF('Daily Schedule'!$A14=45,'Daily Workforce'!$J149="Y",IF(OR('Daily Schedule'!$A14=4,'Daily Schedule'!$A14=8),IF(OR(WEEKDAY('Daily Schedule'!$B$2,2)=1,WEEKDAY('Daily Schedule'!$B$2,2)=4,WEEKDAY('Daily Schedule'!$B$2,2)=5,WEEKDAY('Daily Schedule'!$B$2,2)=7),IFERROR(1*'Daily Workforce'!$K149&gt;=3,FALSE()),IFERROR(1*'Daily Workforce'!$K149&gt;=2,FALSE())),IF(AND('Daily Schedule'!$A14&gt;=46,'Daily Schedule'!$A14&lt;=52),'Daily Workforce'!$M149="Y",IFERROR(1*'Daily Workforce'!$P149&gt;=2,FALSE()))))),1,0)</f>
        <v>0</v>
      </c>
      <c r="FE10" s="1" t="n">
        <f aca="false">IF(AND('Daily Workforce'!$N150="Y",'Daily Workforce'!$B150&lt;&gt;"",COUNTIF('Daily Schedule'!$F$5:$F13,'Daily Workforce'!$B150)=0,IF('Daily Schedule'!$A14=45,'Daily Workforce'!$J150="Y",IF(OR('Daily Schedule'!$A14=4,'Daily Schedule'!$A14=8),IF(OR(WEEKDAY('Daily Schedule'!$B$2,2)=1,WEEKDAY('Daily Schedule'!$B$2,2)=4,WEEKDAY('Daily Schedule'!$B$2,2)=5,WEEKDAY('Daily Schedule'!$B$2,2)=7),IFERROR(1*'Daily Workforce'!$K150&gt;=3,FALSE()),IFERROR(1*'Daily Workforce'!$K150&gt;=2,FALSE())),IF(AND('Daily Schedule'!$A14&gt;=46,'Daily Schedule'!$A14&lt;=52),'Daily Workforce'!$M150="Y",IFERROR(1*'Daily Workforce'!$P150&gt;=2,FALSE()))))),1,0)</f>
        <v>0</v>
      </c>
      <c r="FF10" s="1" t="n">
        <f aca="false">IF(AND('Daily Workforce'!$N151="Y",'Daily Workforce'!$B151&lt;&gt;"",COUNTIF('Daily Schedule'!$F$5:$F13,'Daily Workforce'!$B151)=0,IF('Daily Schedule'!$A14=45,'Daily Workforce'!$J151="Y",IF(OR('Daily Schedule'!$A14=4,'Daily Schedule'!$A14=8),IF(OR(WEEKDAY('Daily Schedule'!$B$2,2)=1,WEEKDAY('Daily Schedule'!$B$2,2)=4,WEEKDAY('Daily Schedule'!$B$2,2)=5,WEEKDAY('Daily Schedule'!$B$2,2)=7),IFERROR(1*'Daily Workforce'!$K151&gt;=3,FALSE()),IFERROR(1*'Daily Workforce'!$K151&gt;=2,FALSE())),IF(AND('Daily Schedule'!$A14&gt;=46,'Daily Schedule'!$A14&lt;=52),'Daily Workforce'!$M151="Y",IFERROR(1*'Daily Workforce'!$P151&gt;=2,FALSE()))))),1,0)</f>
        <v>0</v>
      </c>
      <c r="FG10" s="1" t="n">
        <f aca="false">IF(AND('Daily Workforce'!$N152="Y",'Daily Workforce'!$B152&lt;&gt;"",COUNTIF('Daily Schedule'!$F$5:$F13,'Daily Workforce'!$B152)=0,IF('Daily Schedule'!$A14=45,'Daily Workforce'!$J152="Y",IF(OR('Daily Schedule'!$A14=4,'Daily Schedule'!$A14=8),IF(OR(WEEKDAY('Daily Schedule'!$B$2,2)=1,WEEKDAY('Daily Schedule'!$B$2,2)=4,WEEKDAY('Daily Schedule'!$B$2,2)=5,WEEKDAY('Daily Schedule'!$B$2,2)=7),IFERROR(1*'Daily Workforce'!$K152&gt;=3,FALSE()),IFERROR(1*'Daily Workforce'!$K152&gt;=2,FALSE())),IF(AND('Daily Schedule'!$A14&gt;=46,'Daily Schedule'!$A14&lt;=52),'Daily Workforce'!$M152="Y",IFERROR(1*'Daily Workforce'!$P152&gt;=2,FALSE()))))),1,0)</f>
        <v>0</v>
      </c>
      <c r="FH10" s="1" t="n">
        <f aca="false">IF(AND('Daily Workforce'!$N153="Y",'Daily Workforce'!$B153&lt;&gt;"",COUNTIF('Daily Schedule'!$F$5:$F13,'Daily Workforce'!$B153)=0,IF('Daily Schedule'!$A14=45,'Daily Workforce'!$J153="Y",IF(OR('Daily Schedule'!$A14=4,'Daily Schedule'!$A14=8),IF(OR(WEEKDAY('Daily Schedule'!$B$2,2)=1,WEEKDAY('Daily Schedule'!$B$2,2)=4,WEEKDAY('Daily Schedule'!$B$2,2)=5,WEEKDAY('Daily Schedule'!$B$2,2)=7),IFERROR(1*'Daily Workforce'!$K153&gt;=3,FALSE()),IFERROR(1*'Daily Workforce'!$K153&gt;=2,FALSE())),IF(AND('Daily Schedule'!$A14&gt;=46,'Daily Schedule'!$A14&lt;=52),'Daily Workforce'!$M153="Y",IFERROR(1*'Daily Workforce'!$P153&gt;=2,FALSE()))))),1,0)</f>
        <v>0</v>
      </c>
      <c r="FI10" s="1" t="n">
        <f aca="false">IF(AND('Daily Workforce'!$N154="Y",'Daily Workforce'!$B154&lt;&gt;"",COUNTIF('Daily Schedule'!$F$5:$F13,'Daily Workforce'!$B154)=0,IF('Daily Schedule'!$A14=45,'Daily Workforce'!$J154="Y",IF(OR('Daily Schedule'!$A14=4,'Daily Schedule'!$A14=8),IF(OR(WEEKDAY('Daily Schedule'!$B$2,2)=1,WEEKDAY('Daily Schedule'!$B$2,2)=4,WEEKDAY('Daily Schedule'!$B$2,2)=5,WEEKDAY('Daily Schedule'!$B$2,2)=7),IFERROR(1*'Daily Workforce'!$K154&gt;=3,FALSE()),IFERROR(1*'Daily Workforce'!$K154&gt;=2,FALSE())),IF(AND('Daily Schedule'!$A14&gt;=46,'Daily Schedule'!$A14&lt;=52),'Daily Workforce'!$M154="Y",IFERROR(1*'Daily Workforce'!$P154&gt;=2,FALSE()))))),1,0)</f>
        <v>0</v>
      </c>
      <c r="FJ10" s="1" t="n">
        <f aca="false">IF(AND('Daily Workforce'!$N155="Y",'Daily Workforce'!$B155&lt;&gt;"",COUNTIF('Daily Schedule'!$F$5:$F13,'Daily Workforce'!$B155)=0,IF('Daily Schedule'!$A14=45,'Daily Workforce'!$J155="Y",IF(OR('Daily Schedule'!$A14=4,'Daily Schedule'!$A14=8),IF(OR(WEEKDAY('Daily Schedule'!$B$2,2)=1,WEEKDAY('Daily Schedule'!$B$2,2)=4,WEEKDAY('Daily Schedule'!$B$2,2)=5,WEEKDAY('Daily Schedule'!$B$2,2)=7),IFERROR(1*'Daily Workforce'!$K155&gt;=3,FALSE()),IFERROR(1*'Daily Workforce'!$K155&gt;=2,FALSE())),IF(AND('Daily Schedule'!$A14&gt;=46,'Daily Schedule'!$A14&lt;=52),'Daily Workforce'!$M155="Y",IFERROR(1*'Daily Workforce'!$P155&gt;=2,FALSE()))))),1,0)</f>
        <v>0</v>
      </c>
      <c r="FK10" s="1" t="n">
        <f aca="false">IF(AND('Daily Workforce'!$N156="Y",'Daily Workforce'!$B156&lt;&gt;"",COUNTIF('Daily Schedule'!$F$5:$F13,'Daily Workforce'!$B156)=0,IF('Daily Schedule'!$A14=45,'Daily Workforce'!$J156="Y",IF(OR('Daily Schedule'!$A14=4,'Daily Schedule'!$A14=8),IF(OR(WEEKDAY('Daily Schedule'!$B$2,2)=1,WEEKDAY('Daily Schedule'!$B$2,2)=4,WEEKDAY('Daily Schedule'!$B$2,2)=5,WEEKDAY('Daily Schedule'!$B$2,2)=7),IFERROR(1*'Daily Workforce'!$K156&gt;=3,FALSE()),IFERROR(1*'Daily Workforce'!$K156&gt;=2,FALSE())),IF(AND('Daily Schedule'!$A14&gt;=46,'Daily Schedule'!$A14&lt;=52),'Daily Workforce'!$M156="Y",IFERROR(1*'Daily Workforce'!$P156&gt;=2,FALSE()))))),1,0)</f>
        <v>0</v>
      </c>
      <c r="FL10" s="1" t="n">
        <f aca="false">IF(AND('Daily Workforce'!$N157="Y",'Daily Workforce'!$B157&lt;&gt;"",COUNTIF('Daily Schedule'!$F$5:$F13,'Daily Workforce'!$B157)=0,IF('Daily Schedule'!$A14=45,'Daily Workforce'!$J157="Y",IF(OR('Daily Schedule'!$A14=4,'Daily Schedule'!$A14=8),IF(OR(WEEKDAY('Daily Schedule'!$B$2,2)=1,WEEKDAY('Daily Schedule'!$B$2,2)=4,WEEKDAY('Daily Schedule'!$B$2,2)=5,WEEKDAY('Daily Schedule'!$B$2,2)=7),IFERROR(1*'Daily Workforce'!$K157&gt;=3,FALSE()),IFERROR(1*'Daily Workforce'!$K157&gt;=2,FALSE())),IF(AND('Daily Schedule'!$A14&gt;=46,'Daily Schedule'!$A14&lt;=52),'Daily Workforce'!$M157="Y",IFERROR(1*'Daily Workforce'!$P157&gt;=2,FALSE()))))),1,0)</f>
        <v>0</v>
      </c>
      <c r="FM10" s="1" t="n">
        <f aca="false">IF(AND('Daily Workforce'!$N158="Y",'Daily Workforce'!$B158&lt;&gt;"",COUNTIF('Daily Schedule'!$F$5:$F13,'Daily Workforce'!$B158)=0,IF('Daily Schedule'!$A14=45,'Daily Workforce'!$J158="Y",IF(OR('Daily Schedule'!$A14=4,'Daily Schedule'!$A14=8),IF(OR(WEEKDAY('Daily Schedule'!$B$2,2)=1,WEEKDAY('Daily Schedule'!$B$2,2)=4,WEEKDAY('Daily Schedule'!$B$2,2)=5,WEEKDAY('Daily Schedule'!$B$2,2)=7),IFERROR(1*'Daily Workforce'!$K158&gt;=3,FALSE()),IFERROR(1*'Daily Workforce'!$K158&gt;=2,FALSE())),IF(AND('Daily Schedule'!$A14&gt;=46,'Daily Schedule'!$A14&lt;=52),'Daily Workforce'!$M158="Y",IFERROR(1*'Daily Workforce'!$P158&gt;=2,FALSE()))))),1,0)</f>
        <v>0</v>
      </c>
      <c r="FN10" s="1" t="n">
        <f aca="false">IF(AND('Daily Workforce'!$N159="Y",'Daily Workforce'!$B159&lt;&gt;"",COUNTIF('Daily Schedule'!$F$5:$F13,'Daily Workforce'!$B159)=0,IF('Daily Schedule'!$A14=45,'Daily Workforce'!$J159="Y",IF(OR('Daily Schedule'!$A14=4,'Daily Schedule'!$A14=8),IF(OR(WEEKDAY('Daily Schedule'!$B$2,2)=1,WEEKDAY('Daily Schedule'!$B$2,2)=4,WEEKDAY('Daily Schedule'!$B$2,2)=5,WEEKDAY('Daily Schedule'!$B$2,2)=7),IFERROR(1*'Daily Workforce'!$K159&gt;=3,FALSE()),IFERROR(1*'Daily Workforce'!$K159&gt;=2,FALSE())),IF(AND('Daily Schedule'!$A14&gt;=46,'Daily Schedule'!$A14&lt;=52),'Daily Workforce'!$M159="Y",IFERROR(1*'Daily Workforce'!$P159&gt;=2,FALSE()))))),1,0)</f>
        <v>0</v>
      </c>
      <c r="FO10" s="1" t="n">
        <f aca="false">IF(AND('Daily Workforce'!$N160="Y",'Daily Workforce'!$B160&lt;&gt;"",COUNTIF('Daily Schedule'!$F$5:$F13,'Daily Workforce'!$B160)=0,IF('Daily Schedule'!$A14=45,'Daily Workforce'!$J160="Y",IF(OR('Daily Schedule'!$A14=4,'Daily Schedule'!$A14=8),IF(OR(WEEKDAY('Daily Schedule'!$B$2,2)=1,WEEKDAY('Daily Schedule'!$B$2,2)=4,WEEKDAY('Daily Schedule'!$B$2,2)=5,WEEKDAY('Daily Schedule'!$B$2,2)=7),IFERROR(1*'Daily Workforce'!$K160&gt;=3,FALSE()),IFERROR(1*'Daily Workforce'!$K160&gt;=2,FALSE())),IF(AND('Daily Schedule'!$A14&gt;=46,'Daily Schedule'!$A14&lt;=52),'Daily Workforce'!$M160="Y",IFERROR(1*'Daily Workforce'!$P160&gt;=2,FALSE()))))),1,0)</f>
        <v>0</v>
      </c>
      <c r="FP10" s="1" t="n">
        <f aca="false">IF(AND('Daily Workforce'!$N161="Y",'Daily Workforce'!$B161&lt;&gt;"",COUNTIF('Daily Schedule'!$F$5:$F13,'Daily Workforce'!$B161)=0,IF('Daily Schedule'!$A14=45,'Daily Workforce'!$J161="Y",IF(OR('Daily Schedule'!$A14=4,'Daily Schedule'!$A14=8),IF(OR(WEEKDAY('Daily Schedule'!$B$2,2)=1,WEEKDAY('Daily Schedule'!$B$2,2)=4,WEEKDAY('Daily Schedule'!$B$2,2)=5,WEEKDAY('Daily Schedule'!$B$2,2)=7),IFERROR(1*'Daily Workforce'!$K161&gt;=3,FALSE()),IFERROR(1*'Daily Workforce'!$K161&gt;=2,FALSE())),IF(AND('Daily Schedule'!$A14&gt;=46,'Daily Schedule'!$A14&lt;=52),'Daily Workforce'!$M161="Y",IFERROR(1*'Daily Workforce'!$P161&gt;=2,FALSE()))))),1,0)</f>
        <v>0</v>
      </c>
      <c r="FQ10" s="1" t="n">
        <f aca="false">IF(AND('Daily Workforce'!$N162="Y",'Daily Workforce'!$B162&lt;&gt;"",COUNTIF('Daily Schedule'!$F$5:$F13,'Daily Workforce'!$B162)=0,IF('Daily Schedule'!$A14=45,'Daily Workforce'!$J162="Y",IF(OR('Daily Schedule'!$A14=4,'Daily Schedule'!$A14=8),IF(OR(WEEKDAY('Daily Schedule'!$B$2,2)=1,WEEKDAY('Daily Schedule'!$B$2,2)=4,WEEKDAY('Daily Schedule'!$B$2,2)=5,WEEKDAY('Daily Schedule'!$B$2,2)=7),IFERROR(1*'Daily Workforce'!$K162&gt;=3,FALSE()),IFERROR(1*'Daily Workforce'!$K162&gt;=2,FALSE())),IF(AND('Daily Schedule'!$A14&gt;=46,'Daily Schedule'!$A14&lt;=52),'Daily Workforce'!$M162="Y",IFERROR(1*'Daily Workforce'!$P162&gt;=2,FALSE()))))),1,0)</f>
        <v>0</v>
      </c>
      <c r="FR10" s="1" t="n">
        <f aca="false">IF(AND('Daily Workforce'!$N163="Y",'Daily Workforce'!$B163&lt;&gt;"",COUNTIF('Daily Schedule'!$F$5:$F13,'Daily Workforce'!$B163)=0,IF('Daily Schedule'!$A14=45,'Daily Workforce'!$J163="Y",IF(OR('Daily Schedule'!$A14=4,'Daily Schedule'!$A14=8),IF(OR(WEEKDAY('Daily Schedule'!$B$2,2)=1,WEEKDAY('Daily Schedule'!$B$2,2)=4,WEEKDAY('Daily Schedule'!$B$2,2)=5,WEEKDAY('Daily Schedule'!$B$2,2)=7),IFERROR(1*'Daily Workforce'!$K163&gt;=3,FALSE()),IFERROR(1*'Daily Workforce'!$K163&gt;=2,FALSE())),IF(AND('Daily Schedule'!$A14&gt;=46,'Daily Schedule'!$A14&lt;=52),'Daily Workforce'!$M163="Y",IFERROR(1*'Daily Workforce'!$P163&gt;=2,FALSE()))))),1,0)</f>
        <v>0</v>
      </c>
      <c r="FS10" s="1" t="n">
        <f aca="false">IF(AND('Daily Workforce'!$N164="Y",'Daily Workforce'!$B164&lt;&gt;"",COUNTIF('Daily Schedule'!$F$5:$F13,'Daily Workforce'!$B164)=0,IF('Daily Schedule'!$A14=45,'Daily Workforce'!$J164="Y",IF(OR('Daily Schedule'!$A14=4,'Daily Schedule'!$A14=8),IF(OR(WEEKDAY('Daily Schedule'!$B$2,2)=1,WEEKDAY('Daily Schedule'!$B$2,2)=4,WEEKDAY('Daily Schedule'!$B$2,2)=5,WEEKDAY('Daily Schedule'!$B$2,2)=7),IFERROR(1*'Daily Workforce'!$K164&gt;=3,FALSE()),IFERROR(1*'Daily Workforce'!$K164&gt;=2,FALSE())),IF(AND('Daily Schedule'!$A14&gt;=46,'Daily Schedule'!$A14&lt;=52),'Daily Workforce'!$M164="Y",IFERROR(1*'Daily Workforce'!$P164&gt;=2,FALSE()))))),1,0)</f>
        <v>0</v>
      </c>
      <c r="FT10" s="1" t="n">
        <f aca="false">IF(AND('Daily Workforce'!$N165="Y",'Daily Workforce'!$B165&lt;&gt;"",COUNTIF('Daily Schedule'!$F$5:$F13,'Daily Workforce'!$B165)=0,IF('Daily Schedule'!$A14=45,'Daily Workforce'!$J165="Y",IF(OR('Daily Schedule'!$A14=4,'Daily Schedule'!$A14=8),IF(OR(WEEKDAY('Daily Schedule'!$B$2,2)=1,WEEKDAY('Daily Schedule'!$B$2,2)=4,WEEKDAY('Daily Schedule'!$B$2,2)=5,WEEKDAY('Daily Schedule'!$B$2,2)=7),IFERROR(1*'Daily Workforce'!$K165&gt;=3,FALSE()),IFERROR(1*'Daily Workforce'!$K165&gt;=2,FALSE())),IF(AND('Daily Schedule'!$A14&gt;=46,'Daily Schedule'!$A14&lt;=52),'Daily Workforce'!$M165="Y",IFERROR(1*'Daily Workforce'!$P165&gt;=2,FALSE()))))),1,0)</f>
        <v>0</v>
      </c>
      <c r="FU10" s="1" t="n">
        <f aca="false">IF(AND('Daily Workforce'!$N166="Y",'Daily Workforce'!$B166&lt;&gt;"",COUNTIF('Daily Schedule'!$F$5:$F13,'Daily Workforce'!$B166)=0,IF('Daily Schedule'!$A14=45,'Daily Workforce'!$J166="Y",IF(OR('Daily Schedule'!$A14=4,'Daily Schedule'!$A14=8),IF(OR(WEEKDAY('Daily Schedule'!$B$2,2)=1,WEEKDAY('Daily Schedule'!$B$2,2)=4,WEEKDAY('Daily Schedule'!$B$2,2)=5,WEEKDAY('Daily Schedule'!$B$2,2)=7),IFERROR(1*'Daily Workforce'!$K166&gt;=3,FALSE()),IFERROR(1*'Daily Workforce'!$K166&gt;=2,FALSE())),IF(AND('Daily Schedule'!$A14&gt;=46,'Daily Schedule'!$A14&lt;=52),'Daily Workforce'!$M166="Y",IFERROR(1*'Daily Workforce'!$P166&gt;=2,FALSE()))))),1,0)</f>
        <v>0</v>
      </c>
      <c r="FV10" s="1" t="n">
        <f aca="false">IF(AND('Daily Workforce'!$N167="Y",'Daily Workforce'!$B167&lt;&gt;"",COUNTIF('Daily Schedule'!$F$5:$F13,'Daily Workforce'!$B167)=0,IF('Daily Schedule'!$A14=45,'Daily Workforce'!$J167="Y",IF(OR('Daily Schedule'!$A14=4,'Daily Schedule'!$A14=8),IF(OR(WEEKDAY('Daily Schedule'!$B$2,2)=1,WEEKDAY('Daily Schedule'!$B$2,2)=4,WEEKDAY('Daily Schedule'!$B$2,2)=5,WEEKDAY('Daily Schedule'!$B$2,2)=7),IFERROR(1*'Daily Workforce'!$K167&gt;=3,FALSE()),IFERROR(1*'Daily Workforce'!$K167&gt;=2,FALSE())),IF(AND('Daily Schedule'!$A14&gt;=46,'Daily Schedule'!$A14&lt;=52),'Daily Workforce'!$M167="Y",IFERROR(1*'Daily Workforce'!$P167&gt;=2,FALSE()))))),1,0)</f>
        <v>0</v>
      </c>
      <c r="FW10" s="1" t="n">
        <f aca="false">IF(AND('Daily Workforce'!$N168="Y",'Daily Workforce'!$B168&lt;&gt;"",COUNTIF('Daily Schedule'!$F$5:$F13,'Daily Workforce'!$B168)=0,IF('Daily Schedule'!$A14=45,'Daily Workforce'!$J168="Y",IF(OR('Daily Schedule'!$A14=4,'Daily Schedule'!$A14=8),IF(OR(WEEKDAY('Daily Schedule'!$B$2,2)=1,WEEKDAY('Daily Schedule'!$B$2,2)=4,WEEKDAY('Daily Schedule'!$B$2,2)=5,WEEKDAY('Daily Schedule'!$B$2,2)=7),IFERROR(1*'Daily Workforce'!$K168&gt;=3,FALSE()),IFERROR(1*'Daily Workforce'!$K168&gt;=2,FALSE())),IF(AND('Daily Schedule'!$A14&gt;=46,'Daily Schedule'!$A14&lt;=52),'Daily Workforce'!$M168="Y",IFERROR(1*'Daily Workforce'!$P168&gt;=2,FALSE()))))),1,0)</f>
        <v>0</v>
      </c>
      <c r="FX10" s="1" t="n">
        <f aca="false">IF(AND('Daily Workforce'!$N169="Y",'Daily Workforce'!$B169&lt;&gt;"",COUNTIF('Daily Schedule'!$F$5:$F13,'Daily Workforce'!$B169)=0,IF('Daily Schedule'!$A14=45,'Daily Workforce'!$J169="Y",IF(OR('Daily Schedule'!$A14=4,'Daily Schedule'!$A14=8),IF(OR(WEEKDAY('Daily Schedule'!$B$2,2)=1,WEEKDAY('Daily Schedule'!$B$2,2)=4,WEEKDAY('Daily Schedule'!$B$2,2)=5,WEEKDAY('Daily Schedule'!$B$2,2)=7),IFERROR(1*'Daily Workforce'!$K169&gt;=3,FALSE()),IFERROR(1*'Daily Workforce'!$K169&gt;=2,FALSE())),IF(AND('Daily Schedule'!$A14&gt;=46,'Daily Schedule'!$A14&lt;=52),'Daily Workforce'!$M169="Y",IFERROR(1*'Daily Workforce'!$P169&gt;=2,FALSE()))))),1,0)</f>
        <v>0</v>
      </c>
      <c r="FY10" s="1" t="n">
        <f aca="false">IF(AND('Daily Workforce'!$N170="Y",'Daily Workforce'!$B170&lt;&gt;"",COUNTIF('Daily Schedule'!$F$5:$F13,'Daily Workforce'!$B170)=0,IF('Daily Schedule'!$A14=45,'Daily Workforce'!$J170="Y",IF(OR('Daily Schedule'!$A14=4,'Daily Schedule'!$A14=8),IF(OR(WEEKDAY('Daily Schedule'!$B$2,2)=1,WEEKDAY('Daily Schedule'!$B$2,2)=4,WEEKDAY('Daily Schedule'!$B$2,2)=5,WEEKDAY('Daily Schedule'!$B$2,2)=7),IFERROR(1*'Daily Workforce'!$K170&gt;=3,FALSE()),IFERROR(1*'Daily Workforce'!$K170&gt;=2,FALSE())),IF(AND('Daily Schedule'!$A14&gt;=46,'Daily Schedule'!$A14&lt;=52),'Daily Workforce'!$M170="Y",IFERROR(1*'Daily Workforce'!$P170&gt;=2,FALSE()))))),1,0)</f>
        <v>0</v>
      </c>
      <c r="FZ10" s="1" t="n">
        <f aca="false">IF(AND('Daily Workforce'!$N171="Y",'Daily Workforce'!$B171&lt;&gt;"",COUNTIF('Daily Schedule'!$F$5:$F13,'Daily Workforce'!$B171)=0,IF('Daily Schedule'!$A14=45,'Daily Workforce'!$J171="Y",IF(OR('Daily Schedule'!$A14=4,'Daily Schedule'!$A14=8),IF(OR(WEEKDAY('Daily Schedule'!$B$2,2)=1,WEEKDAY('Daily Schedule'!$B$2,2)=4,WEEKDAY('Daily Schedule'!$B$2,2)=5,WEEKDAY('Daily Schedule'!$B$2,2)=7),IFERROR(1*'Daily Workforce'!$K171&gt;=3,FALSE()),IFERROR(1*'Daily Workforce'!$K171&gt;=2,FALSE())),IF(AND('Daily Schedule'!$A14&gt;=46,'Daily Schedule'!$A14&lt;=52),'Daily Workforce'!$M171="Y",IFERROR(1*'Daily Workforce'!$P171&gt;=2,FALSE()))))),1,0)</f>
        <v>0</v>
      </c>
      <c r="GA10" s="1" t="n">
        <f aca="false">IF(AND('Daily Workforce'!$N172="Y",'Daily Workforce'!$B172&lt;&gt;"",COUNTIF('Daily Schedule'!$F$5:$F13,'Daily Workforce'!$B172)=0,IF('Daily Schedule'!$A14=45,'Daily Workforce'!$J172="Y",IF(OR('Daily Schedule'!$A14=4,'Daily Schedule'!$A14=8),IF(OR(WEEKDAY('Daily Schedule'!$B$2,2)=1,WEEKDAY('Daily Schedule'!$B$2,2)=4,WEEKDAY('Daily Schedule'!$B$2,2)=5,WEEKDAY('Daily Schedule'!$B$2,2)=7),IFERROR(1*'Daily Workforce'!$K172&gt;=3,FALSE()),IFERROR(1*'Daily Workforce'!$K172&gt;=2,FALSE())),IF(AND('Daily Schedule'!$A14&gt;=46,'Daily Schedule'!$A14&lt;=52),'Daily Workforce'!$M172="Y",IFERROR(1*'Daily Workforce'!$P172&gt;=2,FALSE()))))),1,0)</f>
        <v>0</v>
      </c>
      <c r="GB10" s="1" t="n">
        <f aca="false">IF(AND('Daily Workforce'!$N173="Y",'Daily Workforce'!$B173&lt;&gt;"",COUNTIF('Daily Schedule'!$F$5:$F13,'Daily Workforce'!$B173)=0,IF('Daily Schedule'!$A14=45,'Daily Workforce'!$J173="Y",IF(OR('Daily Schedule'!$A14=4,'Daily Schedule'!$A14=8),IF(OR(WEEKDAY('Daily Schedule'!$B$2,2)=1,WEEKDAY('Daily Schedule'!$B$2,2)=4,WEEKDAY('Daily Schedule'!$B$2,2)=5,WEEKDAY('Daily Schedule'!$B$2,2)=7),IFERROR(1*'Daily Workforce'!$K173&gt;=3,FALSE()),IFERROR(1*'Daily Workforce'!$K173&gt;=2,FALSE())),IF(AND('Daily Schedule'!$A14&gt;=46,'Daily Schedule'!$A14&lt;=52),'Daily Workforce'!$M173="Y",IFERROR(1*'Daily Workforce'!$P173&gt;=2,FALSE()))))),1,0)</f>
        <v>0</v>
      </c>
      <c r="GC10" s="1" t="n">
        <f aca="false">IF(AND('Daily Workforce'!$N174="Y",'Daily Workforce'!$B174&lt;&gt;"",COUNTIF('Daily Schedule'!$F$5:$F13,'Daily Workforce'!$B174)=0,IF('Daily Schedule'!$A14=45,'Daily Workforce'!$J174="Y",IF(OR('Daily Schedule'!$A14=4,'Daily Schedule'!$A14=8),IF(OR(WEEKDAY('Daily Schedule'!$B$2,2)=1,WEEKDAY('Daily Schedule'!$B$2,2)=4,WEEKDAY('Daily Schedule'!$B$2,2)=5,WEEKDAY('Daily Schedule'!$B$2,2)=7),IFERROR(1*'Daily Workforce'!$K174&gt;=3,FALSE()),IFERROR(1*'Daily Workforce'!$K174&gt;=2,FALSE())),IF(AND('Daily Schedule'!$A14&gt;=46,'Daily Schedule'!$A14&lt;=52),'Daily Workforce'!$M174="Y",IFERROR(1*'Daily Workforce'!$P174&gt;=2,FALSE()))))),1,0)</f>
        <v>0</v>
      </c>
      <c r="GD10" s="1" t="n">
        <f aca="false">IF(AND('Daily Workforce'!$N175="Y",'Daily Workforce'!$B175&lt;&gt;"",COUNTIF('Daily Schedule'!$F$5:$F13,'Daily Workforce'!$B175)=0,IF('Daily Schedule'!$A14=45,'Daily Workforce'!$J175="Y",IF(OR('Daily Schedule'!$A14=4,'Daily Schedule'!$A14=8),IF(OR(WEEKDAY('Daily Schedule'!$B$2,2)=1,WEEKDAY('Daily Schedule'!$B$2,2)=4,WEEKDAY('Daily Schedule'!$B$2,2)=5,WEEKDAY('Daily Schedule'!$B$2,2)=7),IFERROR(1*'Daily Workforce'!$K175&gt;=3,FALSE()),IFERROR(1*'Daily Workforce'!$K175&gt;=2,FALSE())),IF(AND('Daily Schedule'!$A14&gt;=46,'Daily Schedule'!$A14&lt;=52),'Daily Workforce'!$M175="Y",IFERROR(1*'Daily Workforce'!$P175&gt;=2,FALSE()))))),1,0)</f>
        <v>0</v>
      </c>
      <c r="GE10" s="1" t="n">
        <f aca="false">IF(AND('Daily Workforce'!$N176="Y",'Daily Workforce'!$B176&lt;&gt;"",COUNTIF('Daily Schedule'!$F$5:$F13,'Daily Workforce'!$B176)=0,IF('Daily Schedule'!$A14=45,'Daily Workforce'!$J176="Y",IF(OR('Daily Schedule'!$A14=4,'Daily Schedule'!$A14=8),IF(OR(WEEKDAY('Daily Schedule'!$B$2,2)=1,WEEKDAY('Daily Schedule'!$B$2,2)=4,WEEKDAY('Daily Schedule'!$B$2,2)=5,WEEKDAY('Daily Schedule'!$B$2,2)=7),IFERROR(1*'Daily Workforce'!$K176&gt;=3,FALSE()),IFERROR(1*'Daily Workforce'!$K176&gt;=2,FALSE())),IF(AND('Daily Schedule'!$A14&gt;=46,'Daily Schedule'!$A14&lt;=52),'Daily Workforce'!$M176="Y",IFERROR(1*'Daily Workforce'!$P176&gt;=2,FALSE()))))),1,0)</f>
        <v>0</v>
      </c>
      <c r="GF10" s="1" t="n">
        <f aca="false">IF(AND('Daily Workforce'!$N177="Y",'Daily Workforce'!$B177&lt;&gt;"",COUNTIF('Daily Schedule'!$F$5:$F13,'Daily Workforce'!$B177)=0,IF('Daily Schedule'!$A14=45,'Daily Workforce'!$J177="Y",IF(OR('Daily Schedule'!$A14=4,'Daily Schedule'!$A14=8),IF(OR(WEEKDAY('Daily Schedule'!$B$2,2)=1,WEEKDAY('Daily Schedule'!$B$2,2)=4,WEEKDAY('Daily Schedule'!$B$2,2)=5,WEEKDAY('Daily Schedule'!$B$2,2)=7),IFERROR(1*'Daily Workforce'!$K177&gt;=3,FALSE()),IFERROR(1*'Daily Workforce'!$K177&gt;=2,FALSE())),IF(AND('Daily Schedule'!$A14&gt;=46,'Daily Schedule'!$A14&lt;=52),'Daily Workforce'!$M177="Y",IFERROR(1*'Daily Workforce'!$P177&gt;=2,FALSE()))))),1,0)</f>
        <v>0</v>
      </c>
      <c r="GG10" s="1" t="n">
        <f aca="false">IF(AND('Daily Workforce'!$N178="Y",'Daily Workforce'!$B178&lt;&gt;"",COUNTIF('Daily Schedule'!$F$5:$F13,'Daily Workforce'!$B178)=0,IF('Daily Schedule'!$A14=45,'Daily Workforce'!$J178="Y",IF(OR('Daily Schedule'!$A14=4,'Daily Schedule'!$A14=8),IF(OR(WEEKDAY('Daily Schedule'!$B$2,2)=1,WEEKDAY('Daily Schedule'!$B$2,2)=4,WEEKDAY('Daily Schedule'!$B$2,2)=5,WEEKDAY('Daily Schedule'!$B$2,2)=7),IFERROR(1*'Daily Workforce'!$K178&gt;=3,FALSE()),IFERROR(1*'Daily Workforce'!$K178&gt;=2,FALSE())),IF(AND('Daily Schedule'!$A14&gt;=46,'Daily Schedule'!$A14&lt;=52),'Daily Workforce'!$M178="Y",IFERROR(1*'Daily Workforce'!$P178&gt;=2,FALSE()))))),1,0)</f>
        <v>0</v>
      </c>
      <c r="GH10" s="1" t="n">
        <f aca="false">IF(AND('Daily Workforce'!$N179="Y",'Daily Workforce'!$B179&lt;&gt;"",COUNTIF('Daily Schedule'!$F$5:$F13,'Daily Workforce'!$B179)=0,IF('Daily Schedule'!$A14=45,'Daily Workforce'!$J179="Y",IF(OR('Daily Schedule'!$A14=4,'Daily Schedule'!$A14=8),IF(OR(WEEKDAY('Daily Schedule'!$B$2,2)=1,WEEKDAY('Daily Schedule'!$B$2,2)=4,WEEKDAY('Daily Schedule'!$B$2,2)=5,WEEKDAY('Daily Schedule'!$B$2,2)=7),IFERROR(1*'Daily Workforce'!$K179&gt;=3,FALSE()),IFERROR(1*'Daily Workforce'!$K179&gt;=2,FALSE())),IF(AND('Daily Schedule'!$A14&gt;=46,'Daily Schedule'!$A14&lt;=52),'Daily Workforce'!$M179="Y",IFERROR(1*'Daily Workforce'!$P179&gt;=2,FALSE()))))),1,0)</f>
        <v>0</v>
      </c>
      <c r="GI10" s="1" t="n">
        <f aca="false">IF(AND('Daily Workforce'!$N180="Y",'Daily Workforce'!$B180&lt;&gt;"",COUNTIF('Daily Schedule'!$F$5:$F13,'Daily Workforce'!$B180)=0,IF('Daily Schedule'!$A14=45,'Daily Workforce'!$J180="Y",IF(OR('Daily Schedule'!$A14=4,'Daily Schedule'!$A14=8),IF(OR(WEEKDAY('Daily Schedule'!$B$2,2)=1,WEEKDAY('Daily Schedule'!$B$2,2)=4,WEEKDAY('Daily Schedule'!$B$2,2)=5,WEEKDAY('Daily Schedule'!$B$2,2)=7),IFERROR(1*'Daily Workforce'!$K180&gt;=3,FALSE()),IFERROR(1*'Daily Workforce'!$K180&gt;=2,FALSE())),IF(AND('Daily Schedule'!$A14&gt;=46,'Daily Schedule'!$A14&lt;=52),'Daily Workforce'!$M180="Y",IFERROR(1*'Daily Workforce'!$P180&gt;=2,FALSE()))))),1,0)</f>
        <v>0</v>
      </c>
      <c r="GJ10" s="1" t="n">
        <f aca="false">IF(AND('Daily Workforce'!$N181="Y",'Daily Workforce'!$B181&lt;&gt;"",COUNTIF('Daily Schedule'!$F$5:$F13,'Daily Workforce'!$B181)=0,IF('Daily Schedule'!$A14=45,'Daily Workforce'!$J181="Y",IF(OR('Daily Schedule'!$A14=4,'Daily Schedule'!$A14=8),IF(OR(WEEKDAY('Daily Schedule'!$B$2,2)=1,WEEKDAY('Daily Schedule'!$B$2,2)=4,WEEKDAY('Daily Schedule'!$B$2,2)=5,WEEKDAY('Daily Schedule'!$B$2,2)=7),IFERROR(1*'Daily Workforce'!$K181&gt;=3,FALSE()),IFERROR(1*'Daily Workforce'!$K181&gt;=2,FALSE())),IF(AND('Daily Schedule'!$A14&gt;=46,'Daily Schedule'!$A14&lt;=52),'Daily Workforce'!$M181="Y",IFERROR(1*'Daily Workforce'!$P181&gt;=2,FALSE()))))),1,0)</f>
        <v>0</v>
      </c>
      <c r="GK10" s="1" t="n">
        <f aca="false">IF(AND('Daily Workforce'!$N182="Y",'Daily Workforce'!$B182&lt;&gt;"",COUNTIF('Daily Schedule'!$F$5:$F13,'Daily Workforce'!$B182)=0,IF('Daily Schedule'!$A14=45,'Daily Workforce'!$J182="Y",IF(OR('Daily Schedule'!$A14=4,'Daily Schedule'!$A14=8),IF(OR(WEEKDAY('Daily Schedule'!$B$2,2)=1,WEEKDAY('Daily Schedule'!$B$2,2)=4,WEEKDAY('Daily Schedule'!$B$2,2)=5,WEEKDAY('Daily Schedule'!$B$2,2)=7),IFERROR(1*'Daily Workforce'!$K182&gt;=3,FALSE()),IFERROR(1*'Daily Workforce'!$K182&gt;=2,FALSE())),IF(AND('Daily Schedule'!$A14&gt;=46,'Daily Schedule'!$A14&lt;=52),'Daily Workforce'!$M182="Y",IFERROR(1*'Daily Workforce'!$P182&gt;=2,FALSE()))))),1,0)</f>
        <v>0</v>
      </c>
      <c r="GL10" s="1" t="n">
        <f aca="false">IF(AND('Daily Workforce'!$N183="Y",'Daily Workforce'!$B183&lt;&gt;"",COUNTIF('Daily Schedule'!$F$5:$F13,'Daily Workforce'!$B183)=0,IF('Daily Schedule'!$A14=45,'Daily Workforce'!$J183="Y",IF(OR('Daily Schedule'!$A14=4,'Daily Schedule'!$A14=8),IF(OR(WEEKDAY('Daily Schedule'!$B$2,2)=1,WEEKDAY('Daily Schedule'!$B$2,2)=4,WEEKDAY('Daily Schedule'!$B$2,2)=5,WEEKDAY('Daily Schedule'!$B$2,2)=7),IFERROR(1*'Daily Workforce'!$K183&gt;=3,FALSE()),IFERROR(1*'Daily Workforce'!$K183&gt;=2,FALSE())),IF(AND('Daily Schedule'!$A14&gt;=46,'Daily Schedule'!$A14&lt;=52),'Daily Workforce'!$M183="Y",IFERROR(1*'Daily Workforce'!$P183&gt;=2,FALSE()))))),1,0)</f>
        <v>0</v>
      </c>
      <c r="GM10" s="1" t="n">
        <f aca="false">IF(AND('Daily Workforce'!$N184="Y",'Daily Workforce'!$B184&lt;&gt;"",COUNTIF('Daily Schedule'!$F$5:$F13,'Daily Workforce'!$B184)=0,IF('Daily Schedule'!$A14=45,'Daily Workforce'!$J184="Y",IF(OR('Daily Schedule'!$A14=4,'Daily Schedule'!$A14=8),IF(OR(WEEKDAY('Daily Schedule'!$B$2,2)=1,WEEKDAY('Daily Schedule'!$B$2,2)=4,WEEKDAY('Daily Schedule'!$B$2,2)=5,WEEKDAY('Daily Schedule'!$B$2,2)=7),IFERROR(1*'Daily Workforce'!$K184&gt;=3,FALSE()),IFERROR(1*'Daily Workforce'!$K184&gt;=2,FALSE())),IF(AND('Daily Schedule'!$A14&gt;=46,'Daily Schedule'!$A14&lt;=52),'Daily Workforce'!$M184="Y",IFERROR(1*'Daily Workforce'!$P184&gt;=2,FALSE()))))),1,0)</f>
        <v>0</v>
      </c>
      <c r="GN10" s="1" t="n">
        <f aca="false">IF(AND('Daily Workforce'!$N185="Y",'Daily Workforce'!$B185&lt;&gt;"",COUNTIF('Daily Schedule'!$F$5:$F13,'Daily Workforce'!$B185)=0,IF('Daily Schedule'!$A14=45,'Daily Workforce'!$J185="Y",IF(OR('Daily Schedule'!$A14=4,'Daily Schedule'!$A14=8),IF(OR(WEEKDAY('Daily Schedule'!$B$2,2)=1,WEEKDAY('Daily Schedule'!$B$2,2)=4,WEEKDAY('Daily Schedule'!$B$2,2)=5,WEEKDAY('Daily Schedule'!$B$2,2)=7),IFERROR(1*'Daily Workforce'!$K185&gt;=3,FALSE()),IFERROR(1*'Daily Workforce'!$K185&gt;=2,FALSE())),IF(AND('Daily Schedule'!$A14&gt;=46,'Daily Schedule'!$A14&lt;=52),'Daily Workforce'!$M185="Y",IFERROR(1*'Daily Workforce'!$P185&gt;=2,FALSE()))))),1,0)</f>
        <v>0</v>
      </c>
      <c r="GO10" s="1" t="n">
        <f aca="false">IF(AND('Daily Workforce'!$N186="Y",'Daily Workforce'!$B186&lt;&gt;"",COUNTIF('Daily Schedule'!$F$5:$F13,'Daily Workforce'!$B186)=0,IF('Daily Schedule'!$A14=45,'Daily Workforce'!$J186="Y",IF(OR('Daily Schedule'!$A14=4,'Daily Schedule'!$A14=8),IF(OR(WEEKDAY('Daily Schedule'!$B$2,2)=1,WEEKDAY('Daily Schedule'!$B$2,2)=4,WEEKDAY('Daily Schedule'!$B$2,2)=5,WEEKDAY('Daily Schedule'!$B$2,2)=7),IFERROR(1*'Daily Workforce'!$K186&gt;=3,FALSE()),IFERROR(1*'Daily Workforce'!$K186&gt;=2,FALSE())),IF(AND('Daily Schedule'!$A14&gt;=46,'Daily Schedule'!$A14&lt;=52),'Daily Workforce'!$M186="Y",IFERROR(1*'Daily Workforce'!$P186&gt;=2,FALSE()))))),1,0)</f>
        <v>0</v>
      </c>
      <c r="GP10" s="1" t="n">
        <f aca="false">IF(AND('Daily Workforce'!$N187="Y",'Daily Workforce'!$B187&lt;&gt;"",COUNTIF('Daily Schedule'!$F$5:$F13,'Daily Workforce'!$B187)=0,IF('Daily Schedule'!$A14=45,'Daily Workforce'!$J187="Y",IF(OR('Daily Schedule'!$A14=4,'Daily Schedule'!$A14=8),IF(OR(WEEKDAY('Daily Schedule'!$B$2,2)=1,WEEKDAY('Daily Schedule'!$B$2,2)=4,WEEKDAY('Daily Schedule'!$B$2,2)=5,WEEKDAY('Daily Schedule'!$B$2,2)=7),IFERROR(1*'Daily Workforce'!$K187&gt;=3,FALSE()),IFERROR(1*'Daily Workforce'!$K187&gt;=2,FALSE())),IF(AND('Daily Schedule'!$A14&gt;=46,'Daily Schedule'!$A14&lt;=52),'Daily Workforce'!$M187="Y",IFERROR(1*'Daily Workforce'!$P187&gt;=2,FALSE()))))),1,0)</f>
        <v>0</v>
      </c>
      <c r="GQ10" s="1" t="n">
        <f aca="false">IF(AND('Daily Workforce'!$N188="Y",'Daily Workforce'!$B188&lt;&gt;"",COUNTIF('Daily Schedule'!$F$5:$F13,'Daily Workforce'!$B188)=0,IF('Daily Schedule'!$A14=45,'Daily Workforce'!$J188="Y",IF(OR('Daily Schedule'!$A14=4,'Daily Schedule'!$A14=8),IF(OR(WEEKDAY('Daily Schedule'!$B$2,2)=1,WEEKDAY('Daily Schedule'!$B$2,2)=4,WEEKDAY('Daily Schedule'!$B$2,2)=5,WEEKDAY('Daily Schedule'!$B$2,2)=7),IFERROR(1*'Daily Workforce'!$K188&gt;=3,FALSE()),IFERROR(1*'Daily Workforce'!$K188&gt;=2,FALSE())),IF(AND('Daily Schedule'!$A14&gt;=46,'Daily Schedule'!$A14&lt;=52),'Daily Workforce'!$M188="Y",IFERROR(1*'Daily Workforce'!$P188&gt;=2,FALSE()))))),1,0)</f>
        <v>0</v>
      </c>
      <c r="GR10" s="1" t="n">
        <f aca="false">IF(AND('Daily Workforce'!$N189="Y",'Daily Workforce'!$B189&lt;&gt;"",COUNTIF('Daily Schedule'!$F$5:$F13,'Daily Workforce'!$B189)=0,IF('Daily Schedule'!$A14=45,'Daily Workforce'!$J189="Y",IF(OR('Daily Schedule'!$A14=4,'Daily Schedule'!$A14=8),IF(OR(WEEKDAY('Daily Schedule'!$B$2,2)=1,WEEKDAY('Daily Schedule'!$B$2,2)=4,WEEKDAY('Daily Schedule'!$B$2,2)=5,WEEKDAY('Daily Schedule'!$B$2,2)=7),IFERROR(1*'Daily Workforce'!$K189&gt;=3,FALSE()),IFERROR(1*'Daily Workforce'!$K189&gt;=2,FALSE())),IF(AND('Daily Schedule'!$A14&gt;=46,'Daily Schedule'!$A14&lt;=52),'Daily Workforce'!$M189="Y",IFERROR(1*'Daily Workforce'!$P189&gt;=2,FALSE()))))),1,0)</f>
        <v>0</v>
      </c>
      <c r="GS10" s="1" t="n">
        <f aca="false">IF(AND('Daily Workforce'!$N190="Y",'Daily Workforce'!$B190&lt;&gt;"",COUNTIF('Daily Schedule'!$F$5:$F13,'Daily Workforce'!$B190)=0,IF('Daily Schedule'!$A14=45,'Daily Workforce'!$J190="Y",IF(OR('Daily Schedule'!$A14=4,'Daily Schedule'!$A14=8),IF(OR(WEEKDAY('Daily Schedule'!$B$2,2)=1,WEEKDAY('Daily Schedule'!$B$2,2)=4,WEEKDAY('Daily Schedule'!$B$2,2)=5,WEEKDAY('Daily Schedule'!$B$2,2)=7),IFERROR(1*'Daily Workforce'!$K190&gt;=3,FALSE()),IFERROR(1*'Daily Workforce'!$K190&gt;=2,FALSE())),IF(AND('Daily Schedule'!$A14&gt;=46,'Daily Schedule'!$A14&lt;=52),'Daily Workforce'!$M190="Y",IFERROR(1*'Daily Workforce'!$P190&gt;=2,FALSE()))))),1,0)</f>
        <v>0</v>
      </c>
      <c r="GT10" s="1" t="n">
        <f aca="false">IF(AND('Daily Workforce'!$N191="Y",'Daily Workforce'!$B191&lt;&gt;"",COUNTIF('Daily Schedule'!$F$5:$F13,'Daily Workforce'!$B191)=0,IF('Daily Schedule'!$A14=45,'Daily Workforce'!$J191="Y",IF(OR('Daily Schedule'!$A14=4,'Daily Schedule'!$A14=8),IF(OR(WEEKDAY('Daily Schedule'!$B$2,2)=1,WEEKDAY('Daily Schedule'!$B$2,2)=4,WEEKDAY('Daily Schedule'!$B$2,2)=5,WEEKDAY('Daily Schedule'!$B$2,2)=7),IFERROR(1*'Daily Workforce'!$K191&gt;=3,FALSE()),IFERROR(1*'Daily Workforce'!$K191&gt;=2,FALSE())),IF(AND('Daily Schedule'!$A14&gt;=46,'Daily Schedule'!$A14&lt;=52),'Daily Workforce'!$M191="Y",IFERROR(1*'Daily Workforce'!$P191&gt;=2,FALSE()))))),1,0)</f>
        <v>0</v>
      </c>
      <c r="GU10" s="1" t="n">
        <f aca="false">IF(AND('Daily Workforce'!$N192="Y",'Daily Workforce'!$B192&lt;&gt;"",COUNTIF('Daily Schedule'!$F$5:$F13,'Daily Workforce'!$B192)=0,IF('Daily Schedule'!$A14=45,'Daily Workforce'!$J192="Y",IF(OR('Daily Schedule'!$A14=4,'Daily Schedule'!$A14=8),IF(OR(WEEKDAY('Daily Schedule'!$B$2,2)=1,WEEKDAY('Daily Schedule'!$B$2,2)=4,WEEKDAY('Daily Schedule'!$B$2,2)=5,WEEKDAY('Daily Schedule'!$B$2,2)=7),IFERROR(1*'Daily Workforce'!$K192&gt;=3,FALSE()),IFERROR(1*'Daily Workforce'!$K192&gt;=2,FALSE())),IF(AND('Daily Schedule'!$A14&gt;=46,'Daily Schedule'!$A14&lt;=52),'Daily Workforce'!$M192="Y",IFERROR(1*'Daily Workforce'!$P192&gt;=2,FALSE()))))),1,0)</f>
        <v>0</v>
      </c>
      <c r="GV10" s="1" t="n">
        <f aca="false">IF(AND('Daily Workforce'!$N193="Y",'Daily Workforce'!$B193&lt;&gt;"",COUNTIF('Daily Schedule'!$F$5:$F13,'Daily Workforce'!$B193)=0,IF('Daily Schedule'!$A14=45,'Daily Workforce'!$J193="Y",IF(OR('Daily Schedule'!$A14=4,'Daily Schedule'!$A14=8),IF(OR(WEEKDAY('Daily Schedule'!$B$2,2)=1,WEEKDAY('Daily Schedule'!$B$2,2)=4,WEEKDAY('Daily Schedule'!$B$2,2)=5,WEEKDAY('Daily Schedule'!$B$2,2)=7),IFERROR(1*'Daily Workforce'!$K193&gt;=3,FALSE()),IFERROR(1*'Daily Workforce'!$K193&gt;=2,FALSE())),IF(AND('Daily Schedule'!$A14&gt;=46,'Daily Schedule'!$A14&lt;=52),'Daily Workforce'!$M193="Y",IFERROR(1*'Daily Workforce'!$P193&gt;=2,FALSE()))))),1,0)</f>
        <v>0</v>
      </c>
      <c r="GW10" s="1" t="n">
        <f aca="false">IF(AND('Daily Workforce'!$N194="Y",'Daily Workforce'!$B194&lt;&gt;"",COUNTIF('Daily Schedule'!$F$5:$F13,'Daily Workforce'!$B194)=0,IF('Daily Schedule'!$A14=45,'Daily Workforce'!$J194="Y",IF(OR('Daily Schedule'!$A14=4,'Daily Schedule'!$A14=8),IF(OR(WEEKDAY('Daily Schedule'!$B$2,2)=1,WEEKDAY('Daily Schedule'!$B$2,2)=4,WEEKDAY('Daily Schedule'!$B$2,2)=5,WEEKDAY('Daily Schedule'!$B$2,2)=7),IFERROR(1*'Daily Workforce'!$K194&gt;=3,FALSE()),IFERROR(1*'Daily Workforce'!$K194&gt;=2,FALSE())),IF(AND('Daily Schedule'!$A14&gt;=46,'Daily Schedule'!$A14&lt;=52),'Daily Workforce'!$M194="Y",IFERROR(1*'Daily Workforce'!$P194&gt;=2,FALSE()))))),1,0)</f>
        <v>0</v>
      </c>
      <c r="GX10" s="1" t="n">
        <f aca="false">IF(AND('Daily Workforce'!$N195="Y",'Daily Workforce'!$B195&lt;&gt;"",COUNTIF('Daily Schedule'!$F$5:$F13,'Daily Workforce'!$B195)=0,IF('Daily Schedule'!$A14=45,'Daily Workforce'!$J195="Y",IF(OR('Daily Schedule'!$A14=4,'Daily Schedule'!$A14=8),IF(OR(WEEKDAY('Daily Schedule'!$B$2,2)=1,WEEKDAY('Daily Schedule'!$B$2,2)=4,WEEKDAY('Daily Schedule'!$B$2,2)=5,WEEKDAY('Daily Schedule'!$B$2,2)=7),IFERROR(1*'Daily Workforce'!$K195&gt;=3,FALSE()),IFERROR(1*'Daily Workforce'!$K195&gt;=2,FALSE())),IF(AND('Daily Schedule'!$A14&gt;=46,'Daily Schedule'!$A14&lt;=52),'Daily Workforce'!$M195="Y",IFERROR(1*'Daily Workforce'!$P195&gt;=2,FALSE()))))),1,0)</f>
        <v>0</v>
      </c>
      <c r="GY10" s="1" t="n">
        <f aca="false">IF(AND('Daily Workforce'!$N196="Y",'Daily Workforce'!$B196&lt;&gt;"",COUNTIF('Daily Schedule'!$F$5:$F13,'Daily Workforce'!$B196)=0,IF('Daily Schedule'!$A14=45,'Daily Workforce'!$J196="Y",IF(OR('Daily Schedule'!$A14=4,'Daily Schedule'!$A14=8),IF(OR(WEEKDAY('Daily Schedule'!$B$2,2)=1,WEEKDAY('Daily Schedule'!$B$2,2)=4,WEEKDAY('Daily Schedule'!$B$2,2)=5,WEEKDAY('Daily Schedule'!$B$2,2)=7),IFERROR(1*'Daily Workforce'!$K196&gt;=3,FALSE()),IFERROR(1*'Daily Workforce'!$K196&gt;=2,FALSE())),IF(AND('Daily Schedule'!$A14&gt;=46,'Daily Schedule'!$A14&lt;=52),'Daily Workforce'!$M196="Y",IFERROR(1*'Daily Workforce'!$P196&gt;=2,FALSE()))))),1,0)</f>
        <v>0</v>
      </c>
      <c r="GZ10" s="1" t="n">
        <f aca="false">IF(AND('Daily Workforce'!$N197="Y",'Daily Workforce'!$B197&lt;&gt;"",COUNTIF('Daily Schedule'!$F$5:$F13,'Daily Workforce'!$B197)=0,IF('Daily Schedule'!$A14=45,'Daily Workforce'!$J197="Y",IF(OR('Daily Schedule'!$A14=4,'Daily Schedule'!$A14=8),IF(OR(WEEKDAY('Daily Schedule'!$B$2,2)=1,WEEKDAY('Daily Schedule'!$B$2,2)=4,WEEKDAY('Daily Schedule'!$B$2,2)=5,WEEKDAY('Daily Schedule'!$B$2,2)=7),IFERROR(1*'Daily Workforce'!$K197&gt;=3,FALSE()),IFERROR(1*'Daily Workforce'!$K197&gt;=2,FALSE())),IF(AND('Daily Schedule'!$A14&gt;=46,'Daily Schedule'!$A14&lt;=52),'Daily Workforce'!$M197="Y",IFERROR(1*'Daily Workforce'!$P197&gt;=2,FALSE()))))),1,0)</f>
        <v>0</v>
      </c>
      <c r="HA10" s="1" t="n">
        <f aca="false">IF(AND('Daily Workforce'!$N198="Y",'Daily Workforce'!$B198&lt;&gt;"",COUNTIF('Daily Schedule'!$F$5:$F13,'Daily Workforce'!$B198)=0,IF('Daily Schedule'!$A14=45,'Daily Workforce'!$J198="Y",IF(OR('Daily Schedule'!$A14=4,'Daily Schedule'!$A14=8),IF(OR(WEEKDAY('Daily Schedule'!$B$2,2)=1,WEEKDAY('Daily Schedule'!$B$2,2)=4,WEEKDAY('Daily Schedule'!$B$2,2)=5,WEEKDAY('Daily Schedule'!$B$2,2)=7),IFERROR(1*'Daily Workforce'!$K198&gt;=3,FALSE()),IFERROR(1*'Daily Workforce'!$K198&gt;=2,FALSE())),IF(AND('Daily Schedule'!$A14&gt;=46,'Daily Schedule'!$A14&lt;=52),'Daily Workforce'!$M198="Y",IFERROR(1*'Daily Workforce'!$P198&gt;=2,FALSE()))))),1,0)</f>
        <v>0</v>
      </c>
      <c r="HB10" s="1" t="n">
        <f aca="false">IF(AND('Daily Workforce'!$N199="Y",'Daily Workforce'!$B199&lt;&gt;"",COUNTIF('Daily Schedule'!$F$5:$F13,'Daily Workforce'!$B199)=0,IF('Daily Schedule'!$A14=45,'Daily Workforce'!$J199="Y",IF(OR('Daily Schedule'!$A14=4,'Daily Schedule'!$A14=8),IF(OR(WEEKDAY('Daily Schedule'!$B$2,2)=1,WEEKDAY('Daily Schedule'!$B$2,2)=4,WEEKDAY('Daily Schedule'!$B$2,2)=5,WEEKDAY('Daily Schedule'!$B$2,2)=7),IFERROR(1*'Daily Workforce'!$K199&gt;=3,FALSE()),IFERROR(1*'Daily Workforce'!$K199&gt;=2,FALSE())),IF(AND('Daily Schedule'!$A14&gt;=46,'Daily Schedule'!$A14&lt;=52),'Daily Workforce'!$M199="Y",IFERROR(1*'Daily Workforce'!$P199&gt;=2,FALSE()))))),1,0)</f>
        <v>0</v>
      </c>
      <c r="HC10" s="1" t="n">
        <f aca="false">IF(AND('Daily Workforce'!$N200="Y",'Daily Workforce'!$B200&lt;&gt;"",COUNTIF('Daily Schedule'!$F$5:$F13,'Daily Workforce'!$B200)=0,IF('Daily Schedule'!$A14=45,'Daily Workforce'!$J200="Y",IF(OR('Daily Schedule'!$A14=4,'Daily Schedule'!$A14=8),IF(OR(WEEKDAY('Daily Schedule'!$B$2,2)=1,WEEKDAY('Daily Schedule'!$B$2,2)=4,WEEKDAY('Daily Schedule'!$B$2,2)=5,WEEKDAY('Daily Schedule'!$B$2,2)=7),IFERROR(1*'Daily Workforce'!$K200&gt;=3,FALSE()),IFERROR(1*'Daily Workforce'!$K200&gt;=2,FALSE())),IF(AND('Daily Schedule'!$A14&gt;=46,'Daily Schedule'!$A14&lt;=52),'Daily Workforce'!$M200="Y",IFERROR(1*'Daily Workforce'!$P200&gt;=2,FALSE()))))),1,0)</f>
        <v>0</v>
      </c>
      <c r="HD10" s="1" t="n">
        <f aca="false">IF(AND('Daily Workforce'!$N201="Y",'Daily Workforce'!$B201&lt;&gt;"",COUNTIF('Daily Schedule'!$F$5:$F13,'Daily Workforce'!$B201)=0,IF('Daily Schedule'!$A14=45,'Daily Workforce'!$J201="Y",IF(OR('Daily Schedule'!$A14=4,'Daily Schedule'!$A14=8),IF(OR(WEEKDAY('Daily Schedule'!$B$2,2)=1,WEEKDAY('Daily Schedule'!$B$2,2)=4,WEEKDAY('Daily Schedule'!$B$2,2)=5,WEEKDAY('Daily Schedule'!$B$2,2)=7),IFERROR(1*'Daily Workforce'!$K201&gt;=3,FALSE()),IFERROR(1*'Daily Workforce'!$K201&gt;=2,FALSE())),IF(AND('Daily Schedule'!$A14&gt;=46,'Daily Schedule'!$A14&lt;=52),'Daily Workforce'!$M201="Y",IFERROR(1*'Daily Workforce'!$P201&gt;=2,FALSE()))))),1,0)</f>
        <v>0</v>
      </c>
      <c r="HE10" s="1" t="n">
        <f aca="false">IF(AND('Daily Workforce'!$N202="Y",'Daily Workforce'!$B202&lt;&gt;"",COUNTIF('Daily Schedule'!$F$5:$F13,'Daily Workforce'!$B202)=0,IF('Daily Schedule'!$A14=45,'Daily Workforce'!$J202="Y",IF(OR('Daily Schedule'!$A14=4,'Daily Schedule'!$A14=8),IF(OR(WEEKDAY('Daily Schedule'!$B$2,2)=1,WEEKDAY('Daily Schedule'!$B$2,2)=4,WEEKDAY('Daily Schedule'!$B$2,2)=5,WEEKDAY('Daily Schedule'!$B$2,2)=7),IFERROR(1*'Daily Workforce'!$K202&gt;=3,FALSE()),IFERROR(1*'Daily Workforce'!$K202&gt;=2,FALSE())),IF(AND('Daily Schedule'!$A14&gt;=46,'Daily Schedule'!$A14&lt;=52),'Daily Workforce'!$M202="Y",IFERROR(1*'Daily Workforce'!$P202&gt;=2,FALSE()))))),1,0)</f>
        <v>0</v>
      </c>
      <c r="HF10" s="1" t="n">
        <f aca="false">IF(AND('Daily Workforce'!$N203="Y",'Daily Workforce'!$B203&lt;&gt;"",COUNTIF('Daily Schedule'!$F$5:$F13,'Daily Workforce'!$B203)=0,IF('Daily Schedule'!$A14=45,'Daily Workforce'!$J203="Y",IF(OR('Daily Schedule'!$A14=4,'Daily Schedule'!$A14=8),IF(OR(WEEKDAY('Daily Schedule'!$B$2,2)=1,WEEKDAY('Daily Schedule'!$B$2,2)=4,WEEKDAY('Daily Schedule'!$B$2,2)=5,WEEKDAY('Daily Schedule'!$B$2,2)=7),IFERROR(1*'Daily Workforce'!$K203&gt;=3,FALSE()),IFERROR(1*'Daily Workforce'!$K203&gt;=2,FALSE())),IF(AND('Daily Schedule'!$A14&gt;=46,'Daily Schedule'!$A14&lt;=52),'Daily Workforce'!$M203="Y",IFERROR(1*'Daily Workforce'!$P203&gt;=2,FALSE()))))),1,0)</f>
        <v>0</v>
      </c>
      <c r="HG10" s="1" t="n">
        <f aca="false">IF(AND('Daily Workforce'!$N204="Y",'Daily Workforce'!$B204&lt;&gt;"",COUNTIF('Daily Schedule'!$F$5:$F13,'Daily Workforce'!$B204)=0,IF('Daily Schedule'!$A14=45,'Daily Workforce'!$J204="Y",IF(OR('Daily Schedule'!$A14=4,'Daily Schedule'!$A14=8),IF(OR(WEEKDAY('Daily Schedule'!$B$2,2)=1,WEEKDAY('Daily Schedule'!$B$2,2)=4,WEEKDAY('Daily Schedule'!$B$2,2)=5,WEEKDAY('Daily Schedule'!$B$2,2)=7),IFERROR(1*'Daily Workforce'!$K204&gt;=3,FALSE()),IFERROR(1*'Daily Workforce'!$K204&gt;=2,FALSE())),IF(AND('Daily Schedule'!$A14&gt;=46,'Daily Schedule'!$A14&lt;=52),'Daily Workforce'!$M204="Y",IFERROR(1*'Daily Workforce'!$P204&gt;=2,FALSE()))))),1,0)</f>
        <v>0</v>
      </c>
      <c r="HH10" s="1" t="n">
        <f aca="false">IF(AND('Daily Workforce'!$N205="Y",'Daily Workforce'!$B205&lt;&gt;"",COUNTIF('Daily Schedule'!$F$5:$F13,'Daily Workforce'!$B205)=0,IF('Daily Schedule'!$A14=45,'Daily Workforce'!$J205="Y",IF(OR('Daily Schedule'!$A14=4,'Daily Schedule'!$A14=8),IF(OR(WEEKDAY('Daily Schedule'!$B$2,2)=1,WEEKDAY('Daily Schedule'!$B$2,2)=4,WEEKDAY('Daily Schedule'!$B$2,2)=5,WEEKDAY('Daily Schedule'!$B$2,2)=7),IFERROR(1*'Daily Workforce'!$K205&gt;=3,FALSE()),IFERROR(1*'Daily Workforce'!$K205&gt;=2,FALSE())),IF(AND('Daily Schedule'!$A14&gt;=46,'Daily Schedule'!$A14&lt;=52),'Daily Workforce'!$M205="Y",IFERROR(1*'Daily Workforce'!$P205&gt;=2,FALSE()))))),1,0)</f>
        <v>0</v>
      </c>
    </row>
    <row r="11" customFormat="false" ht="15" hidden="false" customHeight="true" outlineLevel="0" collapsed="false">
      <c r="C11" s="1" t="s">
        <v>800</v>
      </c>
      <c r="L11" s="1" t="s">
        <v>801</v>
      </c>
      <c r="M11" s="1" t="s">
        <v>281</v>
      </c>
      <c r="O11" s="1" t="n">
        <f aca="false">IF(AND('Employee Master'!$G11="Y",ISERROR(SEARCH(TEXT('Daily Workforce'!$B$2,"ddd"),'Employee Master'!$D11)),IF('Daily Workforce'!$E$2="",TRUE(),'Employee Master'!$I11='Daily Workforce'!$E$2)),'Employee Master'!$K11*1000+ROW()-1,"")</f>
        <v>1010</v>
      </c>
      <c r="P11" s="1" t="n">
        <f aca="false">IF($O11="","",COUNTIF($O$2:$O$159,"&lt;="&amp;$O11))</f>
        <v>2</v>
      </c>
      <c r="Q11" s="1" t="n">
        <f aca="false">IF(AND('Daily Workforce'!$N6="Y",'Daily Workforce'!$B6&lt;&gt;"",COUNTIF('Daily Schedule'!$F$5:$F14,'Daily Workforce'!$B6)=0,IF('Daily Schedule'!$A15=45,'Daily Workforce'!$J6="Y",IF(OR('Daily Schedule'!$A15=4,'Daily Schedule'!$A15=8),IF(OR(WEEKDAY('Daily Schedule'!$B$2,2)=1,WEEKDAY('Daily Schedule'!$B$2,2)=4,WEEKDAY('Daily Schedule'!$B$2,2)=5,WEEKDAY('Daily Schedule'!$B$2,2)=7),IFERROR(1*'Daily Workforce'!$K6&gt;=3,FALSE()),IFERROR(1*'Daily Workforce'!$K6&gt;=2,FALSE())),IF(AND('Daily Schedule'!$A15&gt;=46,'Daily Schedule'!$A15&lt;=52),'Daily Workforce'!$M6="Y",IFERROR(1*'Daily Workforce'!$P6&gt;=2,FALSE()))))),1,0)</f>
        <v>0</v>
      </c>
      <c r="R11" s="1" t="n">
        <f aca="false">IF(AND('Daily Workforce'!$N7="Y",'Daily Workforce'!$B7&lt;&gt;"",COUNTIF('Daily Schedule'!$F$5:$F14,'Daily Workforce'!$B7)=0,IF('Daily Schedule'!$A15=45,'Daily Workforce'!$J7="Y",IF(OR('Daily Schedule'!$A15=4,'Daily Schedule'!$A15=8),IF(OR(WEEKDAY('Daily Schedule'!$B$2,2)=1,WEEKDAY('Daily Schedule'!$B$2,2)=4,WEEKDAY('Daily Schedule'!$B$2,2)=5,WEEKDAY('Daily Schedule'!$B$2,2)=7),IFERROR(1*'Daily Workforce'!$K7&gt;=3,FALSE()),IFERROR(1*'Daily Workforce'!$K7&gt;=2,FALSE())),IF(AND('Daily Schedule'!$A15&gt;=46,'Daily Schedule'!$A15&lt;=52),'Daily Workforce'!$M7="Y",IFERROR(1*'Daily Workforce'!$P7&gt;=2,FALSE()))))),1,0)</f>
        <v>0</v>
      </c>
      <c r="S11" s="1" t="n">
        <f aca="false">IF(AND('Daily Workforce'!$N8="Y",'Daily Workforce'!$B8&lt;&gt;"",COUNTIF('Daily Schedule'!$F$5:$F14,'Daily Workforce'!$B8)=0,IF('Daily Schedule'!$A15=45,'Daily Workforce'!$J8="Y",IF(OR('Daily Schedule'!$A15=4,'Daily Schedule'!$A15=8),IF(OR(WEEKDAY('Daily Schedule'!$B$2,2)=1,WEEKDAY('Daily Schedule'!$B$2,2)=4,WEEKDAY('Daily Schedule'!$B$2,2)=5,WEEKDAY('Daily Schedule'!$B$2,2)=7),IFERROR(1*'Daily Workforce'!$K8&gt;=3,FALSE()),IFERROR(1*'Daily Workforce'!$K8&gt;=2,FALSE())),IF(AND('Daily Schedule'!$A15&gt;=46,'Daily Schedule'!$A15&lt;=52),'Daily Workforce'!$M8="Y",IFERROR(1*'Daily Workforce'!$P8&gt;=2,FALSE()))))),1,0)</f>
        <v>0</v>
      </c>
      <c r="T11" s="1" t="n">
        <f aca="false">IF(AND('Daily Workforce'!$N9="Y",'Daily Workforce'!$B9&lt;&gt;"",COUNTIF('Daily Schedule'!$F$5:$F14,'Daily Workforce'!$B9)=0,IF('Daily Schedule'!$A15=45,'Daily Workforce'!$J9="Y",IF(OR('Daily Schedule'!$A15=4,'Daily Schedule'!$A15=8),IF(OR(WEEKDAY('Daily Schedule'!$B$2,2)=1,WEEKDAY('Daily Schedule'!$B$2,2)=4,WEEKDAY('Daily Schedule'!$B$2,2)=5,WEEKDAY('Daily Schedule'!$B$2,2)=7),IFERROR(1*'Daily Workforce'!$K9&gt;=3,FALSE()),IFERROR(1*'Daily Workforce'!$K9&gt;=2,FALSE())),IF(AND('Daily Schedule'!$A15&gt;=46,'Daily Schedule'!$A15&lt;=52),'Daily Workforce'!$M9="Y",IFERROR(1*'Daily Workforce'!$P9&gt;=2,FALSE()))))),1,0)</f>
        <v>0</v>
      </c>
      <c r="U11" s="1" t="n">
        <f aca="false">IF(AND('Daily Workforce'!$N10="Y",'Daily Workforce'!$B10&lt;&gt;"",COUNTIF('Daily Schedule'!$F$5:$F14,'Daily Workforce'!$B10)=0,IF('Daily Schedule'!$A15=45,'Daily Workforce'!$J10="Y",IF(OR('Daily Schedule'!$A15=4,'Daily Schedule'!$A15=8),IF(OR(WEEKDAY('Daily Schedule'!$B$2,2)=1,WEEKDAY('Daily Schedule'!$B$2,2)=4,WEEKDAY('Daily Schedule'!$B$2,2)=5,WEEKDAY('Daily Schedule'!$B$2,2)=7),IFERROR(1*'Daily Workforce'!$K10&gt;=3,FALSE()),IFERROR(1*'Daily Workforce'!$K10&gt;=2,FALSE())),IF(AND('Daily Schedule'!$A15&gt;=46,'Daily Schedule'!$A15&lt;=52),'Daily Workforce'!$M10="Y",IFERROR(1*'Daily Workforce'!$P10&gt;=2,FALSE()))))),1,0)</f>
        <v>0</v>
      </c>
      <c r="V11" s="1" t="n">
        <f aca="false">IF(AND('Daily Workforce'!$N11="Y",'Daily Workforce'!$B11&lt;&gt;"",COUNTIF('Daily Schedule'!$F$5:$F14,'Daily Workforce'!$B11)=0,IF('Daily Schedule'!$A15=45,'Daily Workforce'!$J11="Y",IF(OR('Daily Schedule'!$A15=4,'Daily Schedule'!$A15=8),IF(OR(WEEKDAY('Daily Schedule'!$B$2,2)=1,WEEKDAY('Daily Schedule'!$B$2,2)=4,WEEKDAY('Daily Schedule'!$B$2,2)=5,WEEKDAY('Daily Schedule'!$B$2,2)=7),IFERROR(1*'Daily Workforce'!$K11&gt;=3,FALSE()),IFERROR(1*'Daily Workforce'!$K11&gt;=2,FALSE())),IF(AND('Daily Schedule'!$A15&gt;=46,'Daily Schedule'!$A15&lt;=52),'Daily Workforce'!$M11="Y",IFERROR(1*'Daily Workforce'!$P11&gt;=2,FALSE()))))),1,0)</f>
        <v>0</v>
      </c>
      <c r="W11" s="1" t="n">
        <f aca="false">IF(AND('Daily Workforce'!$N12="Y",'Daily Workforce'!$B12&lt;&gt;"",COUNTIF('Daily Schedule'!$F$5:$F14,'Daily Workforce'!$B12)=0,IF('Daily Schedule'!$A15=45,'Daily Workforce'!$J12="Y",IF(OR('Daily Schedule'!$A15=4,'Daily Schedule'!$A15=8),IF(OR(WEEKDAY('Daily Schedule'!$B$2,2)=1,WEEKDAY('Daily Schedule'!$B$2,2)=4,WEEKDAY('Daily Schedule'!$B$2,2)=5,WEEKDAY('Daily Schedule'!$B$2,2)=7),IFERROR(1*'Daily Workforce'!$K12&gt;=3,FALSE()),IFERROR(1*'Daily Workforce'!$K12&gt;=2,FALSE())),IF(AND('Daily Schedule'!$A15&gt;=46,'Daily Schedule'!$A15&lt;=52),'Daily Workforce'!$M12="Y",IFERROR(1*'Daily Workforce'!$P12&gt;=2,FALSE()))))),1,0)</f>
        <v>0</v>
      </c>
      <c r="X11" s="1" t="n">
        <f aca="false">IF(AND('Daily Workforce'!$N13="Y",'Daily Workforce'!$B13&lt;&gt;"",COUNTIF('Daily Schedule'!$F$5:$F14,'Daily Workforce'!$B13)=0,IF('Daily Schedule'!$A15=45,'Daily Workforce'!$J13="Y",IF(OR('Daily Schedule'!$A15=4,'Daily Schedule'!$A15=8),IF(OR(WEEKDAY('Daily Schedule'!$B$2,2)=1,WEEKDAY('Daily Schedule'!$B$2,2)=4,WEEKDAY('Daily Schedule'!$B$2,2)=5,WEEKDAY('Daily Schedule'!$B$2,2)=7),IFERROR(1*'Daily Workforce'!$K13&gt;=3,FALSE()),IFERROR(1*'Daily Workforce'!$K13&gt;=2,FALSE())),IF(AND('Daily Schedule'!$A15&gt;=46,'Daily Schedule'!$A15&lt;=52),'Daily Workforce'!$M13="Y",IFERROR(1*'Daily Workforce'!$P13&gt;=2,FALSE()))))),1,0)</f>
        <v>0</v>
      </c>
      <c r="Y11" s="1" t="n">
        <f aca="false">IF(AND('Daily Workforce'!$N14="Y",'Daily Workforce'!$B14&lt;&gt;"",COUNTIF('Daily Schedule'!$F$5:$F14,'Daily Workforce'!$B14)=0,IF('Daily Schedule'!$A15=45,'Daily Workforce'!$J14="Y",IF(OR('Daily Schedule'!$A15=4,'Daily Schedule'!$A15=8),IF(OR(WEEKDAY('Daily Schedule'!$B$2,2)=1,WEEKDAY('Daily Schedule'!$B$2,2)=4,WEEKDAY('Daily Schedule'!$B$2,2)=5,WEEKDAY('Daily Schedule'!$B$2,2)=7),IFERROR(1*'Daily Workforce'!$K14&gt;=3,FALSE()),IFERROR(1*'Daily Workforce'!$K14&gt;=2,FALSE())),IF(AND('Daily Schedule'!$A15&gt;=46,'Daily Schedule'!$A15&lt;=52),'Daily Workforce'!$M14="Y",IFERROR(1*'Daily Workforce'!$P14&gt;=2,FALSE()))))),1,0)</f>
        <v>0</v>
      </c>
      <c r="Z11" s="1" t="n">
        <f aca="false">IF(AND('Daily Workforce'!$N15="Y",'Daily Workforce'!$B15&lt;&gt;"",COUNTIF('Daily Schedule'!$F$5:$F14,'Daily Workforce'!$B15)=0,IF('Daily Schedule'!$A15=45,'Daily Workforce'!$J15="Y",IF(OR('Daily Schedule'!$A15=4,'Daily Schedule'!$A15=8),IF(OR(WEEKDAY('Daily Schedule'!$B$2,2)=1,WEEKDAY('Daily Schedule'!$B$2,2)=4,WEEKDAY('Daily Schedule'!$B$2,2)=5,WEEKDAY('Daily Schedule'!$B$2,2)=7),IFERROR(1*'Daily Workforce'!$K15&gt;=3,FALSE()),IFERROR(1*'Daily Workforce'!$K15&gt;=2,FALSE())),IF(AND('Daily Schedule'!$A15&gt;=46,'Daily Schedule'!$A15&lt;=52),'Daily Workforce'!$M15="Y",IFERROR(1*'Daily Workforce'!$P15&gt;=2,FALSE()))))),1,0)</f>
        <v>0</v>
      </c>
      <c r="AA11" s="1" t="n">
        <f aca="false">IF(AND('Daily Workforce'!$N16="Y",'Daily Workforce'!$B16&lt;&gt;"",COUNTIF('Daily Schedule'!$F$5:$F14,'Daily Workforce'!$B16)=0,IF('Daily Schedule'!$A15=45,'Daily Workforce'!$J16="Y",IF(OR('Daily Schedule'!$A15=4,'Daily Schedule'!$A15=8),IF(OR(WEEKDAY('Daily Schedule'!$B$2,2)=1,WEEKDAY('Daily Schedule'!$B$2,2)=4,WEEKDAY('Daily Schedule'!$B$2,2)=5,WEEKDAY('Daily Schedule'!$B$2,2)=7),IFERROR(1*'Daily Workforce'!$K16&gt;=3,FALSE()),IFERROR(1*'Daily Workforce'!$K16&gt;=2,FALSE())),IF(AND('Daily Schedule'!$A15&gt;=46,'Daily Schedule'!$A15&lt;=52),'Daily Workforce'!$M16="Y",IFERROR(1*'Daily Workforce'!$P16&gt;=2,FALSE()))))),1,0)</f>
        <v>0</v>
      </c>
      <c r="AB11" s="1" t="n">
        <f aca="false">IF(AND('Daily Workforce'!$N17="Y",'Daily Workforce'!$B17&lt;&gt;"",COUNTIF('Daily Schedule'!$F$5:$F14,'Daily Workforce'!$B17)=0,IF('Daily Schedule'!$A15=45,'Daily Workforce'!$J17="Y",IF(OR('Daily Schedule'!$A15=4,'Daily Schedule'!$A15=8),IF(OR(WEEKDAY('Daily Schedule'!$B$2,2)=1,WEEKDAY('Daily Schedule'!$B$2,2)=4,WEEKDAY('Daily Schedule'!$B$2,2)=5,WEEKDAY('Daily Schedule'!$B$2,2)=7),IFERROR(1*'Daily Workforce'!$K17&gt;=3,FALSE()),IFERROR(1*'Daily Workforce'!$K17&gt;=2,FALSE())),IF(AND('Daily Schedule'!$A15&gt;=46,'Daily Schedule'!$A15&lt;=52),'Daily Workforce'!$M17="Y",IFERROR(1*'Daily Workforce'!$P17&gt;=2,FALSE()))))),1,0)</f>
        <v>0</v>
      </c>
      <c r="AC11" s="1" t="n">
        <f aca="false">IF(AND('Daily Workforce'!$N18="Y",'Daily Workforce'!$B18&lt;&gt;"",COUNTIF('Daily Schedule'!$F$5:$F14,'Daily Workforce'!$B18)=0,IF('Daily Schedule'!$A15=45,'Daily Workforce'!$J18="Y",IF(OR('Daily Schedule'!$A15=4,'Daily Schedule'!$A15=8),IF(OR(WEEKDAY('Daily Schedule'!$B$2,2)=1,WEEKDAY('Daily Schedule'!$B$2,2)=4,WEEKDAY('Daily Schedule'!$B$2,2)=5,WEEKDAY('Daily Schedule'!$B$2,2)=7),IFERROR(1*'Daily Workforce'!$K18&gt;=3,FALSE()),IFERROR(1*'Daily Workforce'!$K18&gt;=2,FALSE())),IF(AND('Daily Schedule'!$A15&gt;=46,'Daily Schedule'!$A15&lt;=52),'Daily Workforce'!$M18="Y",IFERROR(1*'Daily Workforce'!$P18&gt;=2,FALSE()))))),1,0)</f>
        <v>0</v>
      </c>
      <c r="AD11" s="1" t="n">
        <f aca="false">IF(AND('Daily Workforce'!$N19="Y",'Daily Workforce'!$B19&lt;&gt;"",COUNTIF('Daily Schedule'!$F$5:$F14,'Daily Workforce'!$B19)=0,IF('Daily Schedule'!$A15=45,'Daily Workforce'!$J19="Y",IF(OR('Daily Schedule'!$A15=4,'Daily Schedule'!$A15=8),IF(OR(WEEKDAY('Daily Schedule'!$B$2,2)=1,WEEKDAY('Daily Schedule'!$B$2,2)=4,WEEKDAY('Daily Schedule'!$B$2,2)=5,WEEKDAY('Daily Schedule'!$B$2,2)=7),IFERROR(1*'Daily Workforce'!$K19&gt;=3,FALSE()),IFERROR(1*'Daily Workforce'!$K19&gt;=2,FALSE())),IF(AND('Daily Schedule'!$A15&gt;=46,'Daily Schedule'!$A15&lt;=52),'Daily Workforce'!$M19="Y",IFERROR(1*'Daily Workforce'!$P19&gt;=2,FALSE()))))),1,0)</f>
        <v>0</v>
      </c>
      <c r="AE11" s="1" t="n">
        <f aca="false">IF(AND('Daily Workforce'!$N20="Y",'Daily Workforce'!$B20&lt;&gt;"",COUNTIF('Daily Schedule'!$F$5:$F14,'Daily Workforce'!$B20)=0,IF('Daily Schedule'!$A15=45,'Daily Workforce'!$J20="Y",IF(OR('Daily Schedule'!$A15=4,'Daily Schedule'!$A15=8),IF(OR(WEEKDAY('Daily Schedule'!$B$2,2)=1,WEEKDAY('Daily Schedule'!$B$2,2)=4,WEEKDAY('Daily Schedule'!$B$2,2)=5,WEEKDAY('Daily Schedule'!$B$2,2)=7),IFERROR(1*'Daily Workforce'!$K20&gt;=3,FALSE()),IFERROR(1*'Daily Workforce'!$K20&gt;=2,FALSE())),IF(AND('Daily Schedule'!$A15&gt;=46,'Daily Schedule'!$A15&lt;=52),'Daily Workforce'!$M20="Y",IFERROR(1*'Daily Workforce'!$P20&gt;=2,FALSE()))))),1,0)</f>
        <v>0</v>
      </c>
      <c r="AF11" s="1" t="n">
        <f aca="false">IF(AND('Daily Workforce'!$N21="Y",'Daily Workforce'!$B21&lt;&gt;"",COUNTIF('Daily Schedule'!$F$5:$F14,'Daily Workforce'!$B21)=0,IF('Daily Schedule'!$A15=45,'Daily Workforce'!$J21="Y",IF(OR('Daily Schedule'!$A15=4,'Daily Schedule'!$A15=8),IF(OR(WEEKDAY('Daily Schedule'!$B$2,2)=1,WEEKDAY('Daily Schedule'!$B$2,2)=4,WEEKDAY('Daily Schedule'!$B$2,2)=5,WEEKDAY('Daily Schedule'!$B$2,2)=7),IFERROR(1*'Daily Workforce'!$K21&gt;=3,FALSE()),IFERROR(1*'Daily Workforce'!$K21&gt;=2,FALSE())),IF(AND('Daily Schedule'!$A15&gt;=46,'Daily Schedule'!$A15&lt;=52),'Daily Workforce'!$M21="Y",IFERROR(1*'Daily Workforce'!$P21&gt;=2,FALSE()))))),1,0)</f>
        <v>0</v>
      </c>
      <c r="AG11" s="1" t="n">
        <f aca="false">IF(AND('Daily Workforce'!$N22="Y",'Daily Workforce'!$B22&lt;&gt;"",COUNTIF('Daily Schedule'!$F$5:$F14,'Daily Workforce'!$B22)=0,IF('Daily Schedule'!$A15=45,'Daily Workforce'!$J22="Y",IF(OR('Daily Schedule'!$A15=4,'Daily Schedule'!$A15=8),IF(OR(WEEKDAY('Daily Schedule'!$B$2,2)=1,WEEKDAY('Daily Schedule'!$B$2,2)=4,WEEKDAY('Daily Schedule'!$B$2,2)=5,WEEKDAY('Daily Schedule'!$B$2,2)=7),IFERROR(1*'Daily Workforce'!$K22&gt;=3,FALSE()),IFERROR(1*'Daily Workforce'!$K22&gt;=2,FALSE())),IF(AND('Daily Schedule'!$A15&gt;=46,'Daily Schedule'!$A15&lt;=52),'Daily Workforce'!$M22="Y",IFERROR(1*'Daily Workforce'!$P22&gt;=2,FALSE()))))),1,0)</f>
        <v>0</v>
      </c>
      <c r="AH11" s="1" t="n">
        <f aca="false">IF(AND('Daily Workforce'!$N23="Y",'Daily Workforce'!$B23&lt;&gt;"",COUNTIF('Daily Schedule'!$F$5:$F14,'Daily Workforce'!$B23)=0,IF('Daily Schedule'!$A15=45,'Daily Workforce'!$J23="Y",IF(OR('Daily Schedule'!$A15=4,'Daily Schedule'!$A15=8),IF(OR(WEEKDAY('Daily Schedule'!$B$2,2)=1,WEEKDAY('Daily Schedule'!$B$2,2)=4,WEEKDAY('Daily Schedule'!$B$2,2)=5,WEEKDAY('Daily Schedule'!$B$2,2)=7),IFERROR(1*'Daily Workforce'!$K23&gt;=3,FALSE()),IFERROR(1*'Daily Workforce'!$K23&gt;=2,FALSE())),IF(AND('Daily Schedule'!$A15&gt;=46,'Daily Schedule'!$A15&lt;=52),'Daily Workforce'!$M23="Y",IFERROR(1*'Daily Workforce'!$P23&gt;=2,FALSE()))))),1,0)</f>
        <v>0</v>
      </c>
      <c r="AI11" s="1" t="n">
        <f aca="false">IF(AND('Daily Workforce'!$N24="Y",'Daily Workforce'!$B24&lt;&gt;"",COUNTIF('Daily Schedule'!$F$5:$F14,'Daily Workforce'!$B24)=0,IF('Daily Schedule'!$A15=45,'Daily Workforce'!$J24="Y",IF(OR('Daily Schedule'!$A15=4,'Daily Schedule'!$A15=8),IF(OR(WEEKDAY('Daily Schedule'!$B$2,2)=1,WEEKDAY('Daily Schedule'!$B$2,2)=4,WEEKDAY('Daily Schedule'!$B$2,2)=5,WEEKDAY('Daily Schedule'!$B$2,2)=7),IFERROR(1*'Daily Workforce'!$K24&gt;=3,FALSE()),IFERROR(1*'Daily Workforce'!$K24&gt;=2,FALSE())),IF(AND('Daily Schedule'!$A15&gt;=46,'Daily Schedule'!$A15&lt;=52),'Daily Workforce'!$M24="Y",IFERROR(1*'Daily Workforce'!$P24&gt;=2,FALSE()))))),1,0)</f>
        <v>0</v>
      </c>
      <c r="AJ11" s="1" t="n">
        <f aca="false">IF(AND('Daily Workforce'!$N25="Y",'Daily Workforce'!$B25&lt;&gt;"",COUNTIF('Daily Schedule'!$F$5:$F14,'Daily Workforce'!$B25)=0,IF('Daily Schedule'!$A15=45,'Daily Workforce'!$J25="Y",IF(OR('Daily Schedule'!$A15=4,'Daily Schedule'!$A15=8),IF(OR(WEEKDAY('Daily Schedule'!$B$2,2)=1,WEEKDAY('Daily Schedule'!$B$2,2)=4,WEEKDAY('Daily Schedule'!$B$2,2)=5,WEEKDAY('Daily Schedule'!$B$2,2)=7),IFERROR(1*'Daily Workforce'!$K25&gt;=3,FALSE()),IFERROR(1*'Daily Workforce'!$K25&gt;=2,FALSE())),IF(AND('Daily Schedule'!$A15&gt;=46,'Daily Schedule'!$A15&lt;=52),'Daily Workforce'!$M25="Y",IFERROR(1*'Daily Workforce'!$P25&gt;=2,FALSE()))))),1,0)</f>
        <v>0</v>
      </c>
      <c r="AK11" s="1" t="n">
        <f aca="false">IF(AND('Daily Workforce'!$N26="Y",'Daily Workforce'!$B26&lt;&gt;"",COUNTIF('Daily Schedule'!$F$5:$F14,'Daily Workforce'!$B26)=0,IF('Daily Schedule'!$A15=45,'Daily Workforce'!$J26="Y",IF(OR('Daily Schedule'!$A15=4,'Daily Schedule'!$A15=8),IF(OR(WEEKDAY('Daily Schedule'!$B$2,2)=1,WEEKDAY('Daily Schedule'!$B$2,2)=4,WEEKDAY('Daily Schedule'!$B$2,2)=5,WEEKDAY('Daily Schedule'!$B$2,2)=7),IFERROR(1*'Daily Workforce'!$K26&gt;=3,FALSE()),IFERROR(1*'Daily Workforce'!$K26&gt;=2,FALSE())),IF(AND('Daily Schedule'!$A15&gt;=46,'Daily Schedule'!$A15&lt;=52),'Daily Workforce'!$M26="Y",IFERROR(1*'Daily Workforce'!$P26&gt;=2,FALSE()))))),1,0)</f>
        <v>0</v>
      </c>
      <c r="AL11" s="1" t="n">
        <f aca="false">IF(AND('Daily Workforce'!$N27="Y",'Daily Workforce'!$B27&lt;&gt;"",COUNTIF('Daily Schedule'!$F$5:$F14,'Daily Workforce'!$B27)=0,IF('Daily Schedule'!$A15=45,'Daily Workforce'!$J27="Y",IF(OR('Daily Schedule'!$A15=4,'Daily Schedule'!$A15=8),IF(OR(WEEKDAY('Daily Schedule'!$B$2,2)=1,WEEKDAY('Daily Schedule'!$B$2,2)=4,WEEKDAY('Daily Schedule'!$B$2,2)=5,WEEKDAY('Daily Schedule'!$B$2,2)=7),IFERROR(1*'Daily Workforce'!$K27&gt;=3,FALSE()),IFERROR(1*'Daily Workforce'!$K27&gt;=2,FALSE())),IF(AND('Daily Schedule'!$A15&gt;=46,'Daily Schedule'!$A15&lt;=52),'Daily Workforce'!$M27="Y",IFERROR(1*'Daily Workforce'!$P27&gt;=2,FALSE()))))),1,0)</f>
        <v>0</v>
      </c>
      <c r="AM11" s="1" t="n">
        <f aca="false">IF(AND('Daily Workforce'!$N28="Y",'Daily Workforce'!$B28&lt;&gt;"",COUNTIF('Daily Schedule'!$F$5:$F14,'Daily Workforce'!$B28)=0,IF('Daily Schedule'!$A15=45,'Daily Workforce'!$J28="Y",IF(OR('Daily Schedule'!$A15=4,'Daily Schedule'!$A15=8),IF(OR(WEEKDAY('Daily Schedule'!$B$2,2)=1,WEEKDAY('Daily Schedule'!$B$2,2)=4,WEEKDAY('Daily Schedule'!$B$2,2)=5,WEEKDAY('Daily Schedule'!$B$2,2)=7),IFERROR(1*'Daily Workforce'!$K28&gt;=3,FALSE()),IFERROR(1*'Daily Workforce'!$K28&gt;=2,FALSE())),IF(AND('Daily Schedule'!$A15&gt;=46,'Daily Schedule'!$A15&lt;=52),'Daily Workforce'!$M28="Y",IFERROR(1*'Daily Workforce'!$P28&gt;=2,FALSE()))))),1,0)</f>
        <v>0</v>
      </c>
      <c r="AN11" s="1" t="n">
        <f aca="false">IF(AND('Daily Workforce'!$N29="Y",'Daily Workforce'!$B29&lt;&gt;"",COUNTIF('Daily Schedule'!$F$5:$F14,'Daily Workforce'!$B29)=0,IF('Daily Schedule'!$A15=45,'Daily Workforce'!$J29="Y",IF(OR('Daily Schedule'!$A15=4,'Daily Schedule'!$A15=8),IF(OR(WEEKDAY('Daily Schedule'!$B$2,2)=1,WEEKDAY('Daily Schedule'!$B$2,2)=4,WEEKDAY('Daily Schedule'!$B$2,2)=5,WEEKDAY('Daily Schedule'!$B$2,2)=7),IFERROR(1*'Daily Workforce'!$K29&gt;=3,FALSE()),IFERROR(1*'Daily Workforce'!$K29&gt;=2,FALSE())),IF(AND('Daily Schedule'!$A15&gt;=46,'Daily Schedule'!$A15&lt;=52),'Daily Workforce'!$M29="Y",IFERROR(1*'Daily Workforce'!$P29&gt;=2,FALSE()))))),1,0)</f>
        <v>0</v>
      </c>
      <c r="AO11" s="1" t="n">
        <f aca="false">IF(AND('Daily Workforce'!$N30="Y",'Daily Workforce'!$B30&lt;&gt;"",COUNTIF('Daily Schedule'!$F$5:$F14,'Daily Workforce'!$B30)=0,IF('Daily Schedule'!$A15=45,'Daily Workforce'!$J30="Y",IF(OR('Daily Schedule'!$A15=4,'Daily Schedule'!$A15=8),IF(OR(WEEKDAY('Daily Schedule'!$B$2,2)=1,WEEKDAY('Daily Schedule'!$B$2,2)=4,WEEKDAY('Daily Schedule'!$B$2,2)=5,WEEKDAY('Daily Schedule'!$B$2,2)=7),IFERROR(1*'Daily Workforce'!$K30&gt;=3,FALSE()),IFERROR(1*'Daily Workforce'!$K30&gt;=2,FALSE())),IF(AND('Daily Schedule'!$A15&gt;=46,'Daily Schedule'!$A15&lt;=52),'Daily Workforce'!$M30="Y",IFERROR(1*'Daily Workforce'!$P30&gt;=2,FALSE()))))),1,0)</f>
        <v>0</v>
      </c>
      <c r="AP11" s="1" t="n">
        <f aca="false">IF(AND('Daily Workforce'!$N31="Y",'Daily Workforce'!$B31&lt;&gt;"",COUNTIF('Daily Schedule'!$F$5:$F14,'Daily Workforce'!$B31)=0,IF('Daily Schedule'!$A15=45,'Daily Workforce'!$J31="Y",IF(OR('Daily Schedule'!$A15=4,'Daily Schedule'!$A15=8),IF(OR(WEEKDAY('Daily Schedule'!$B$2,2)=1,WEEKDAY('Daily Schedule'!$B$2,2)=4,WEEKDAY('Daily Schedule'!$B$2,2)=5,WEEKDAY('Daily Schedule'!$B$2,2)=7),IFERROR(1*'Daily Workforce'!$K31&gt;=3,FALSE()),IFERROR(1*'Daily Workforce'!$K31&gt;=2,FALSE())),IF(AND('Daily Schedule'!$A15&gt;=46,'Daily Schedule'!$A15&lt;=52),'Daily Workforce'!$M31="Y",IFERROR(1*'Daily Workforce'!$P31&gt;=2,FALSE()))))),1,0)</f>
        <v>0</v>
      </c>
      <c r="AQ11" s="1" t="n">
        <f aca="false">IF(AND('Daily Workforce'!$N32="Y",'Daily Workforce'!$B32&lt;&gt;"",COUNTIF('Daily Schedule'!$F$5:$F14,'Daily Workforce'!$B32)=0,IF('Daily Schedule'!$A15=45,'Daily Workforce'!$J32="Y",IF(OR('Daily Schedule'!$A15=4,'Daily Schedule'!$A15=8),IF(OR(WEEKDAY('Daily Schedule'!$B$2,2)=1,WEEKDAY('Daily Schedule'!$B$2,2)=4,WEEKDAY('Daily Schedule'!$B$2,2)=5,WEEKDAY('Daily Schedule'!$B$2,2)=7),IFERROR(1*'Daily Workforce'!$K32&gt;=3,FALSE()),IFERROR(1*'Daily Workforce'!$K32&gt;=2,FALSE())),IF(AND('Daily Schedule'!$A15&gt;=46,'Daily Schedule'!$A15&lt;=52),'Daily Workforce'!$M32="Y",IFERROR(1*'Daily Workforce'!$P32&gt;=2,FALSE()))))),1,0)</f>
        <v>0</v>
      </c>
      <c r="AR11" s="1" t="n">
        <f aca="false">IF(AND('Daily Workforce'!$N33="Y",'Daily Workforce'!$B33&lt;&gt;"",COUNTIF('Daily Schedule'!$F$5:$F14,'Daily Workforce'!$B33)=0,IF('Daily Schedule'!$A15=45,'Daily Workforce'!$J33="Y",IF(OR('Daily Schedule'!$A15=4,'Daily Schedule'!$A15=8),IF(OR(WEEKDAY('Daily Schedule'!$B$2,2)=1,WEEKDAY('Daily Schedule'!$B$2,2)=4,WEEKDAY('Daily Schedule'!$B$2,2)=5,WEEKDAY('Daily Schedule'!$B$2,2)=7),IFERROR(1*'Daily Workforce'!$K33&gt;=3,FALSE()),IFERROR(1*'Daily Workforce'!$K33&gt;=2,FALSE())),IF(AND('Daily Schedule'!$A15&gt;=46,'Daily Schedule'!$A15&lt;=52),'Daily Workforce'!$M33="Y",IFERROR(1*'Daily Workforce'!$P33&gt;=2,FALSE()))))),1,0)</f>
        <v>0</v>
      </c>
      <c r="AS11" s="1" t="n">
        <f aca="false">IF(AND('Daily Workforce'!$N34="Y",'Daily Workforce'!$B34&lt;&gt;"",COUNTIF('Daily Schedule'!$F$5:$F14,'Daily Workforce'!$B34)=0,IF('Daily Schedule'!$A15=45,'Daily Workforce'!$J34="Y",IF(OR('Daily Schedule'!$A15=4,'Daily Schedule'!$A15=8),IF(OR(WEEKDAY('Daily Schedule'!$B$2,2)=1,WEEKDAY('Daily Schedule'!$B$2,2)=4,WEEKDAY('Daily Schedule'!$B$2,2)=5,WEEKDAY('Daily Schedule'!$B$2,2)=7),IFERROR(1*'Daily Workforce'!$K34&gt;=3,FALSE()),IFERROR(1*'Daily Workforce'!$K34&gt;=2,FALSE())),IF(AND('Daily Schedule'!$A15&gt;=46,'Daily Schedule'!$A15&lt;=52),'Daily Workforce'!$M34="Y",IFERROR(1*'Daily Workforce'!$P34&gt;=2,FALSE()))))),1,0)</f>
        <v>0</v>
      </c>
      <c r="AT11" s="1" t="n">
        <f aca="false">IF(AND('Daily Workforce'!$N35="Y",'Daily Workforce'!$B35&lt;&gt;"",COUNTIF('Daily Schedule'!$F$5:$F14,'Daily Workforce'!$B35)=0,IF('Daily Schedule'!$A15=45,'Daily Workforce'!$J35="Y",IF(OR('Daily Schedule'!$A15=4,'Daily Schedule'!$A15=8),IF(OR(WEEKDAY('Daily Schedule'!$B$2,2)=1,WEEKDAY('Daily Schedule'!$B$2,2)=4,WEEKDAY('Daily Schedule'!$B$2,2)=5,WEEKDAY('Daily Schedule'!$B$2,2)=7),IFERROR(1*'Daily Workforce'!$K35&gt;=3,FALSE()),IFERROR(1*'Daily Workforce'!$K35&gt;=2,FALSE())),IF(AND('Daily Schedule'!$A15&gt;=46,'Daily Schedule'!$A15&lt;=52),'Daily Workforce'!$M35="Y",IFERROR(1*'Daily Workforce'!$P35&gt;=2,FALSE()))))),1,0)</f>
        <v>0</v>
      </c>
      <c r="AU11" s="1" t="n">
        <f aca="false">IF(AND('Daily Workforce'!$N36="Y",'Daily Workforce'!$B36&lt;&gt;"",COUNTIF('Daily Schedule'!$F$5:$F14,'Daily Workforce'!$B36)=0,IF('Daily Schedule'!$A15=45,'Daily Workforce'!$J36="Y",IF(OR('Daily Schedule'!$A15=4,'Daily Schedule'!$A15=8),IF(OR(WEEKDAY('Daily Schedule'!$B$2,2)=1,WEEKDAY('Daily Schedule'!$B$2,2)=4,WEEKDAY('Daily Schedule'!$B$2,2)=5,WEEKDAY('Daily Schedule'!$B$2,2)=7),IFERROR(1*'Daily Workforce'!$K36&gt;=3,FALSE()),IFERROR(1*'Daily Workforce'!$K36&gt;=2,FALSE())),IF(AND('Daily Schedule'!$A15&gt;=46,'Daily Schedule'!$A15&lt;=52),'Daily Workforce'!$M36="Y",IFERROR(1*'Daily Workforce'!$P36&gt;=2,FALSE()))))),1,0)</f>
        <v>0</v>
      </c>
      <c r="AV11" s="1" t="n">
        <f aca="false">IF(AND('Daily Workforce'!$N37="Y",'Daily Workforce'!$B37&lt;&gt;"",COUNTIF('Daily Schedule'!$F$5:$F14,'Daily Workforce'!$B37)=0,IF('Daily Schedule'!$A15=45,'Daily Workforce'!$J37="Y",IF(OR('Daily Schedule'!$A15=4,'Daily Schedule'!$A15=8),IF(OR(WEEKDAY('Daily Schedule'!$B$2,2)=1,WEEKDAY('Daily Schedule'!$B$2,2)=4,WEEKDAY('Daily Schedule'!$B$2,2)=5,WEEKDAY('Daily Schedule'!$B$2,2)=7),IFERROR(1*'Daily Workforce'!$K37&gt;=3,FALSE()),IFERROR(1*'Daily Workforce'!$K37&gt;=2,FALSE())),IF(AND('Daily Schedule'!$A15&gt;=46,'Daily Schedule'!$A15&lt;=52),'Daily Workforce'!$M37="Y",IFERROR(1*'Daily Workforce'!$P37&gt;=2,FALSE()))))),1,0)</f>
        <v>0</v>
      </c>
      <c r="AW11" s="1" t="n">
        <f aca="false">IF(AND('Daily Workforce'!$N38="Y",'Daily Workforce'!$B38&lt;&gt;"",COUNTIF('Daily Schedule'!$F$5:$F14,'Daily Workforce'!$B38)=0,IF('Daily Schedule'!$A15=45,'Daily Workforce'!$J38="Y",IF(OR('Daily Schedule'!$A15=4,'Daily Schedule'!$A15=8),IF(OR(WEEKDAY('Daily Schedule'!$B$2,2)=1,WEEKDAY('Daily Schedule'!$B$2,2)=4,WEEKDAY('Daily Schedule'!$B$2,2)=5,WEEKDAY('Daily Schedule'!$B$2,2)=7),IFERROR(1*'Daily Workforce'!$K38&gt;=3,FALSE()),IFERROR(1*'Daily Workforce'!$K38&gt;=2,FALSE())),IF(AND('Daily Schedule'!$A15&gt;=46,'Daily Schedule'!$A15&lt;=52),'Daily Workforce'!$M38="Y",IFERROR(1*'Daily Workforce'!$P38&gt;=2,FALSE()))))),1,0)</f>
        <v>0</v>
      </c>
      <c r="AX11" s="1" t="n">
        <f aca="false">IF(AND('Daily Workforce'!$N39="Y",'Daily Workforce'!$B39&lt;&gt;"",COUNTIF('Daily Schedule'!$F$5:$F14,'Daily Workforce'!$B39)=0,IF('Daily Schedule'!$A15=45,'Daily Workforce'!$J39="Y",IF(OR('Daily Schedule'!$A15=4,'Daily Schedule'!$A15=8),IF(OR(WEEKDAY('Daily Schedule'!$B$2,2)=1,WEEKDAY('Daily Schedule'!$B$2,2)=4,WEEKDAY('Daily Schedule'!$B$2,2)=5,WEEKDAY('Daily Schedule'!$B$2,2)=7),IFERROR(1*'Daily Workforce'!$K39&gt;=3,FALSE()),IFERROR(1*'Daily Workforce'!$K39&gt;=2,FALSE())),IF(AND('Daily Schedule'!$A15&gt;=46,'Daily Schedule'!$A15&lt;=52),'Daily Workforce'!$M39="Y",IFERROR(1*'Daily Workforce'!$P39&gt;=2,FALSE()))))),1,0)</f>
        <v>0</v>
      </c>
      <c r="AY11" s="1" t="n">
        <f aca="false">IF(AND('Daily Workforce'!$N40="Y",'Daily Workforce'!$B40&lt;&gt;"",COUNTIF('Daily Schedule'!$F$5:$F14,'Daily Workforce'!$B40)=0,IF('Daily Schedule'!$A15=45,'Daily Workforce'!$J40="Y",IF(OR('Daily Schedule'!$A15=4,'Daily Schedule'!$A15=8),IF(OR(WEEKDAY('Daily Schedule'!$B$2,2)=1,WEEKDAY('Daily Schedule'!$B$2,2)=4,WEEKDAY('Daily Schedule'!$B$2,2)=5,WEEKDAY('Daily Schedule'!$B$2,2)=7),IFERROR(1*'Daily Workforce'!$K40&gt;=3,FALSE()),IFERROR(1*'Daily Workforce'!$K40&gt;=2,FALSE())),IF(AND('Daily Schedule'!$A15&gt;=46,'Daily Schedule'!$A15&lt;=52),'Daily Workforce'!$M40="Y",IFERROR(1*'Daily Workforce'!$P40&gt;=2,FALSE()))))),1,0)</f>
        <v>0</v>
      </c>
      <c r="AZ11" s="1" t="n">
        <f aca="false">IF(AND('Daily Workforce'!$N41="Y",'Daily Workforce'!$B41&lt;&gt;"",COUNTIF('Daily Schedule'!$F$5:$F14,'Daily Workforce'!$B41)=0,IF('Daily Schedule'!$A15=45,'Daily Workforce'!$J41="Y",IF(OR('Daily Schedule'!$A15=4,'Daily Schedule'!$A15=8),IF(OR(WEEKDAY('Daily Schedule'!$B$2,2)=1,WEEKDAY('Daily Schedule'!$B$2,2)=4,WEEKDAY('Daily Schedule'!$B$2,2)=5,WEEKDAY('Daily Schedule'!$B$2,2)=7),IFERROR(1*'Daily Workforce'!$K41&gt;=3,FALSE()),IFERROR(1*'Daily Workforce'!$K41&gt;=2,FALSE())),IF(AND('Daily Schedule'!$A15&gt;=46,'Daily Schedule'!$A15&lt;=52),'Daily Workforce'!$M41="Y",IFERROR(1*'Daily Workforce'!$P41&gt;=2,FALSE()))))),1,0)</f>
        <v>0</v>
      </c>
      <c r="BA11" s="1" t="n">
        <f aca="false">IF(AND('Daily Workforce'!$N42="Y",'Daily Workforce'!$B42&lt;&gt;"",COUNTIF('Daily Schedule'!$F$5:$F14,'Daily Workforce'!$B42)=0,IF('Daily Schedule'!$A15=45,'Daily Workforce'!$J42="Y",IF(OR('Daily Schedule'!$A15=4,'Daily Schedule'!$A15=8),IF(OR(WEEKDAY('Daily Schedule'!$B$2,2)=1,WEEKDAY('Daily Schedule'!$B$2,2)=4,WEEKDAY('Daily Schedule'!$B$2,2)=5,WEEKDAY('Daily Schedule'!$B$2,2)=7),IFERROR(1*'Daily Workforce'!$K42&gt;=3,FALSE()),IFERROR(1*'Daily Workforce'!$K42&gt;=2,FALSE())),IF(AND('Daily Schedule'!$A15&gt;=46,'Daily Schedule'!$A15&lt;=52),'Daily Workforce'!$M42="Y",IFERROR(1*'Daily Workforce'!$P42&gt;=2,FALSE()))))),1,0)</f>
        <v>0</v>
      </c>
      <c r="BB11" s="1" t="n">
        <f aca="false">IF(AND('Daily Workforce'!$N43="Y",'Daily Workforce'!$B43&lt;&gt;"",COUNTIF('Daily Schedule'!$F$5:$F14,'Daily Workforce'!$B43)=0,IF('Daily Schedule'!$A15=45,'Daily Workforce'!$J43="Y",IF(OR('Daily Schedule'!$A15=4,'Daily Schedule'!$A15=8),IF(OR(WEEKDAY('Daily Schedule'!$B$2,2)=1,WEEKDAY('Daily Schedule'!$B$2,2)=4,WEEKDAY('Daily Schedule'!$B$2,2)=5,WEEKDAY('Daily Schedule'!$B$2,2)=7),IFERROR(1*'Daily Workforce'!$K43&gt;=3,FALSE()),IFERROR(1*'Daily Workforce'!$K43&gt;=2,FALSE())),IF(AND('Daily Schedule'!$A15&gt;=46,'Daily Schedule'!$A15&lt;=52),'Daily Workforce'!$M43="Y",IFERROR(1*'Daily Workforce'!$P43&gt;=2,FALSE()))))),1,0)</f>
        <v>0</v>
      </c>
      <c r="BC11" s="1" t="n">
        <f aca="false">IF(AND('Daily Workforce'!$N44="Y",'Daily Workforce'!$B44&lt;&gt;"",COUNTIF('Daily Schedule'!$F$5:$F14,'Daily Workforce'!$B44)=0,IF('Daily Schedule'!$A15=45,'Daily Workforce'!$J44="Y",IF(OR('Daily Schedule'!$A15=4,'Daily Schedule'!$A15=8),IF(OR(WEEKDAY('Daily Schedule'!$B$2,2)=1,WEEKDAY('Daily Schedule'!$B$2,2)=4,WEEKDAY('Daily Schedule'!$B$2,2)=5,WEEKDAY('Daily Schedule'!$B$2,2)=7),IFERROR(1*'Daily Workforce'!$K44&gt;=3,FALSE()),IFERROR(1*'Daily Workforce'!$K44&gt;=2,FALSE())),IF(AND('Daily Schedule'!$A15&gt;=46,'Daily Schedule'!$A15&lt;=52),'Daily Workforce'!$M44="Y",IFERROR(1*'Daily Workforce'!$P44&gt;=2,FALSE()))))),1,0)</f>
        <v>0</v>
      </c>
      <c r="BD11" s="1" t="n">
        <f aca="false">IF(AND('Daily Workforce'!$N45="Y",'Daily Workforce'!$B45&lt;&gt;"",COUNTIF('Daily Schedule'!$F$5:$F14,'Daily Workforce'!$B45)=0,IF('Daily Schedule'!$A15=45,'Daily Workforce'!$J45="Y",IF(OR('Daily Schedule'!$A15=4,'Daily Schedule'!$A15=8),IF(OR(WEEKDAY('Daily Schedule'!$B$2,2)=1,WEEKDAY('Daily Schedule'!$B$2,2)=4,WEEKDAY('Daily Schedule'!$B$2,2)=5,WEEKDAY('Daily Schedule'!$B$2,2)=7),IFERROR(1*'Daily Workforce'!$K45&gt;=3,FALSE()),IFERROR(1*'Daily Workforce'!$K45&gt;=2,FALSE())),IF(AND('Daily Schedule'!$A15&gt;=46,'Daily Schedule'!$A15&lt;=52),'Daily Workforce'!$M45="Y",IFERROR(1*'Daily Workforce'!$P45&gt;=2,FALSE()))))),1,0)</f>
        <v>0</v>
      </c>
      <c r="BE11" s="1" t="n">
        <f aca="false">IF(AND('Daily Workforce'!$N46="Y",'Daily Workforce'!$B46&lt;&gt;"",COUNTIF('Daily Schedule'!$F$5:$F14,'Daily Workforce'!$B46)=0,IF('Daily Schedule'!$A15=45,'Daily Workforce'!$J46="Y",IF(OR('Daily Schedule'!$A15=4,'Daily Schedule'!$A15=8),IF(OR(WEEKDAY('Daily Schedule'!$B$2,2)=1,WEEKDAY('Daily Schedule'!$B$2,2)=4,WEEKDAY('Daily Schedule'!$B$2,2)=5,WEEKDAY('Daily Schedule'!$B$2,2)=7),IFERROR(1*'Daily Workforce'!$K46&gt;=3,FALSE()),IFERROR(1*'Daily Workforce'!$K46&gt;=2,FALSE())),IF(AND('Daily Schedule'!$A15&gt;=46,'Daily Schedule'!$A15&lt;=52),'Daily Workforce'!$M46="Y",IFERROR(1*'Daily Workforce'!$P46&gt;=2,FALSE()))))),1,0)</f>
        <v>0</v>
      </c>
      <c r="BF11" s="1" t="n">
        <f aca="false">IF(AND('Daily Workforce'!$N47="Y",'Daily Workforce'!$B47&lt;&gt;"",COUNTIF('Daily Schedule'!$F$5:$F14,'Daily Workforce'!$B47)=0,IF('Daily Schedule'!$A15=45,'Daily Workforce'!$J47="Y",IF(OR('Daily Schedule'!$A15=4,'Daily Schedule'!$A15=8),IF(OR(WEEKDAY('Daily Schedule'!$B$2,2)=1,WEEKDAY('Daily Schedule'!$B$2,2)=4,WEEKDAY('Daily Schedule'!$B$2,2)=5,WEEKDAY('Daily Schedule'!$B$2,2)=7),IFERROR(1*'Daily Workforce'!$K47&gt;=3,FALSE()),IFERROR(1*'Daily Workforce'!$K47&gt;=2,FALSE())),IF(AND('Daily Schedule'!$A15&gt;=46,'Daily Schedule'!$A15&lt;=52),'Daily Workforce'!$M47="Y",IFERROR(1*'Daily Workforce'!$P47&gt;=2,FALSE()))))),1,0)</f>
        <v>0</v>
      </c>
      <c r="BG11" s="1" t="n">
        <f aca="false">IF(AND('Daily Workforce'!$N48="Y",'Daily Workforce'!$B48&lt;&gt;"",COUNTIF('Daily Schedule'!$F$5:$F14,'Daily Workforce'!$B48)=0,IF('Daily Schedule'!$A15=45,'Daily Workforce'!$J48="Y",IF(OR('Daily Schedule'!$A15=4,'Daily Schedule'!$A15=8),IF(OR(WEEKDAY('Daily Schedule'!$B$2,2)=1,WEEKDAY('Daily Schedule'!$B$2,2)=4,WEEKDAY('Daily Schedule'!$B$2,2)=5,WEEKDAY('Daily Schedule'!$B$2,2)=7),IFERROR(1*'Daily Workforce'!$K48&gt;=3,FALSE()),IFERROR(1*'Daily Workforce'!$K48&gt;=2,FALSE())),IF(AND('Daily Schedule'!$A15&gt;=46,'Daily Schedule'!$A15&lt;=52),'Daily Workforce'!$M48="Y",IFERROR(1*'Daily Workforce'!$P48&gt;=2,FALSE()))))),1,0)</f>
        <v>0</v>
      </c>
      <c r="BH11" s="1" t="n">
        <f aca="false">IF(AND('Daily Workforce'!$N49="Y",'Daily Workforce'!$B49&lt;&gt;"",COUNTIF('Daily Schedule'!$F$5:$F14,'Daily Workforce'!$B49)=0,IF('Daily Schedule'!$A15=45,'Daily Workforce'!$J49="Y",IF(OR('Daily Schedule'!$A15=4,'Daily Schedule'!$A15=8),IF(OR(WEEKDAY('Daily Schedule'!$B$2,2)=1,WEEKDAY('Daily Schedule'!$B$2,2)=4,WEEKDAY('Daily Schedule'!$B$2,2)=5,WEEKDAY('Daily Schedule'!$B$2,2)=7),IFERROR(1*'Daily Workforce'!$K49&gt;=3,FALSE()),IFERROR(1*'Daily Workforce'!$K49&gt;=2,FALSE())),IF(AND('Daily Schedule'!$A15&gt;=46,'Daily Schedule'!$A15&lt;=52),'Daily Workforce'!$M49="Y",IFERROR(1*'Daily Workforce'!$P49&gt;=2,FALSE()))))),1,0)</f>
        <v>0</v>
      </c>
      <c r="BI11" s="1" t="n">
        <f aca="false">IF(AND('Daily Workforce'!$N50="Y",'Daily Workforce'!$B50&lt;&gt;"",COUNTIF('Daily Schedule'!$F$5:$F14,'Daily Workforce'!$B50)=0,IF('Daily Schedule'!$A15=45,'Daily Workforce'!$J50="Y",IF(OR('Daily Schedule'!$A15=4,'Daily Schedule'!$A15=8),IF(OR(WEEKDAY('Daily Schedule'!$B$2,2)=1,WEEKDAY('Daily Schedule'!$B$2,2)=4,WEEKDAY('Daily Schedule'!$B$2,2)=5,WEEKDAY('Daily Schedule'!$B$2,2)=7),IFERROR(1*'Daily Workforce'!$K50&gt;=3,FALSE()),IFERROR(1*'Daily Workforce'!$K50&gt;=2,FALSE())),IF(AND('Daily Schedule'!$A15&gt;=46,'Daily Schedule'!$A15&lt;=52),'Daily Workforce'!$M50="Y",IFERROR(1*'Daily Workforce'!$P50&gt;=2,FALSE()))))),1,0)</f>
        <v>0</v>
      </c>
      <c r="BJ11" s="1" t="n">
        <f aca="false">IF(AND('Daily Workforce'!$N51="Y",'Daily Workforce'!$B51&lt;&gt;"",COUNTIF('Daily Schedule'!$F$5:$F14,'Daily Workforce'!$B51)=0,IF('Daily Schedule'!$A15=45,'Daily Workforce'!$J51="Y",IF(OR('Daily Schedule'!$A15=4,'Daily Schedule'!$A15=8),IF(OR(WEEKDAY('Daily Schedule'!$B$2,2)=1,WEEKDAY('Daily Schedule'!$B$2,2)=4,WEEKDAY('Daily Schedule'!$B$2,2)=5,WEEKDAY('Daily Schedule'!$B$2,2)=7),IFERROR(1*'Daily Workforce'!$K51&gt;=3,FALSE()),IFERROR(1*'Daily Workforce'!$K51&gt;=2,FALSE())),IF(AND('Daily Schedule'!$A15&gt;=46,'Daily Schedule'!$A15&lt;=52),'Daily Workforce'!$M51="Y",IFERROR(1*'Daily Workforce'!$P51&gt;=2,FALSE()))))),1,0)</f>
        <v>0</v>
      </c>
      <c r="BK11" s="1" t="n">
        <f aca="false">IF(AND('Daily Workforce'!$N52="Y",'Daily Workforce'!$B52&lt;&gt;"",COUNTIF('Daily Schedule'!$F$5:$F14,'Daily Workforce'!$B52)=0,IF('Daily Schedule'!$A15=45,'Daily Workforce'!$J52="Y",IF(OR('Daily Schedule'!$A15=4,'Daily Schedule'!$A15=8),IF(OR(WEEKDAY('Daily Schedule'!$B$2,2)=1,WEEKDAY('Daily Schedule'!$B$2,2)=4,WEEKDAY('Daily Schedule'!$B$2,2)=5,WEEKDAY('Daily Schedule'!$B$2,2)=7),IFERROR(1*'Daily Workforce'!$K52&gt;=3,FALSE()),IFERROR(1*'Daily Workforce'!$K52&gt;=2,FALSE())),IF(AND('Daily Schedule'!$A15&gt;=46,'Daily Schedule'!$A15&lt;=52),'Daily Workforce'!$M52="Y",IFERROR(1*'Daily Workforce'!$P52&gt;=2,FALSE()))))),1,0)</f>
        <v>0</v>
      </c>
      <c r="BL11" s="1" t="n">
        <f aca="false">IF(AND('Daily Workforce'!$N53="Y",'Daily Workforce'!$B53&lt;&gt;"",COUNTIF('Daily Schedule'!$F$5:$F14,'Daily Workforce'!$B53)=0,IF('Daily Schedule'!$A15=45,'Daily Workforce'!$J53="Y",IF(OR('Daily Schedule'!$A15=4,'Daily Schedule'!$A15=8),IF(OR(WEEKDAY('Daily Schedule'!$B$2,2)=1,WEEKDAY('Daily Schedule'!$B$2,2)=4,WEEKDAY('Daily Schedule'!$B$2,2)=5,WEEKDAY('Daily Schedule'!$B$2,2)=7),IFERROR(1*'Daily Workforce'!$K53&gt;=3,FALSE()),IFERROR(1*'Daily Workforce'!$K53&gt;=2,FALSE())),IF(AND('Daily Schedule'!$A15&gt;=46,'Daily Schedule'!$A15&lt;=52),'Daily Workforce'!$M53="Y",IFERROR(1*'Daily Workforce'!$P53&gt;=2,FALSE()))))),1,0)</f>
        <v>0</v>
      </c>
      <c r="BM11" s="1" t="n">
        <f aca="false">IF(AND('Daily Workforce'!$N54="Y",'Daily Workforce'!$B54&lt;&gt;"",COUNTIF('Daily Schedule'!$F$5:$F14,'Daily Workforce'!$B54)=0,IF('Daily Schedule'!$A15=45,'Daily Workforce'!$J54="Y",IF(OR('Daily Schedule'!$A15=4,'Daily Schedule'!$A15=8),IF(OR(WEEKDAY('Daily Schedule'!$B$2,2)=1,WEEKDAY('Daily Schedule'!$B$2,2)=4,WEEKDAY('Daily Schedule'!$B$2,2)=5,WEEKDAY('Daily Schedule'!$B$2,2)=7),IFERROR(1*'Daily Workforce'!$K54&gt;=3,FALSE()),IFERROR(1*'Daily Workforce'!$K54&gt;=2,FALSE())),IF(AND('Daily Schedule'!$A15&gt;=46,'Daily Schedule'!$A15&lt;=52),'Daily Workforce'!$M54="Y",IFERROR(1*'Daily Workforce'!$P54&gt;=2,FALSE()))))),1,0)</f>
        <v>0</v>
      </c>
      <c r="BN11" s="1" t="n">
        <f aca="false">IF(AND('Daily Workforce'!$N55="Y",'Daily Workforce'!$B55&lt;&gt;"",COUNTIF('Daily Schedule'!$F$5:$F14,'Daily Workforce'!$B55)=0,IF('Daily Schedule'!$A15=45,'Daily Workforce'!$J55="Y",IF(OR('Daily Schedule'!$A15=4,'Daily Schedule'!$A15=8),IF(OR(WEEKDAY('Daily Schedule'!$B$2,2)=1,WEEKDAY('Daily Schedule'!$B$2,2)=4,WEEKDAY('Daily Schedule'!$B$2,2)=5,WEEKDAY('Daily Schedule'!$B$2,2)=7),IFERROR(1*'Daily Workforce'!$K55&gt;=3,FALSE()),IFERROR(1*'Daily Workforce'!$K55&gt;=2,FALSE())),IF(AND('Daily Schedule'!$A15&gt;=46,'Daily Schedule'!$A15&lt;=52),'Daily Workforce'!$M55="Y",IFERROR(1*'Daily Workforce'!$P55&gt;=2,FALSE()))))),1,0)</f>
        <v>0</v>
      </c>
      <c r="BO11" s="1" t="n">
        <f aca="false">IF(AND('Daily Workforce'!$N56="Y",'Daily Workforce'!$B56&lt;&gt;"",COUNTIF('Daily Schedule'!$F$5:$F14,'Daily Workforce'!$B56)=0,IF('Daily Schedule'!$A15=45,'Daily Workforce'!$J56="Y",IF(OR('Daily Schedule'!$A15=4,'Daily Schedule'!$A15=8),IF(OR(WEEKDAY('Daily Schedule'!$B$2,2)=1,WEEKDAY('Daily Schedule'!$B$2,2)=4,WEEKDAY('Daily Schedule'!$B$2,2)=5,WEEKDAY('Daily Schedule'!$B$2,2)=7),IFERROR(1*'Daily Workforce'!$K56&gt;=3,FALSE()),IFERROR(1*'Daily Workforce'!$K56&gt;=2,FALSE())),IF(AND('Daily Schedule'!$A15&gt;=46,'Daily Schedule'!$A15&lt;=52),'Daily Workforce'!$M56="Y",IFERROR(1*'Daily Workforce'!$P56&gt;=2,FALSE()))))),1,0)</f>
        <v>0</v>
      </c>
      <c r="BP11" s="1" t="n">
        <f aca="false">IF(AND('Daily Workforce'!$N57="Y",'Daily Workforce'!$B57&lt;&gt;"",COUNTIF('Daily Schedule'!$F$5:$F14,'Daily Workforce'!$B57)=0,IF('Daily Schedule'!$A15=45,'Daily Workforce'!$J57="Y",IF(OR('Daily Schedule'!$A15=4,'Daily Schedule'!$A15=8),IF(OR(WEEKDAY('Daily Schedule'!$B$2,2)=1,WEEKDAY('Daily Schedule'!$B$2,2)=4,WEEKDAY('Daily Schedule'!$B$2,2)=5,WEEKDAY('Daily Schedule'!$B$2,2)=7),IFERROR(1*'Daily Workforce'!$K57&gt;=3,FALSE()),IFERROR(1*'Daily Workforce'!$K57&gt;=2,FALSE())),IF(AND('Daily Schedule'!$A15&gt;=46,'Daily Schedule'!$A15&lt;=52),'Daily Workforce'!$M57="Y",IFERROR(1*'Daily Workforce'!$P57&gt;=2,FALSE()))))),1,0)</f>
        <v>0</v>
      </c>
      <c r="BQ11" s="1" t="n">
        <f aca="false">IF(AND('Daily Workforce'!$N58="Y",'Daily Workforce'!$B58&lt;&gt;"",COUNTIF('Daily Schedule'!$F$5:$F14,'Daily Workforce'!$B58)=0,IF('Daily Schedule'!$A15=45,'Daily Workforce'!$J58="Y",IF(OR('Daily Schedule'!$A15=4,'Daily Schedule'!$A15=8),IF(OR(WEEKDAY('Daily Schedule'!$B$2,2)=1,WEEKDAY('Daily Schedule'!$B$2,2)=4,WEEKDAY('Daily Schedule'!$B$2,2)=5,WEEKDAY('Daily Schedule'!$B$2,2)=7),IFERROR(1*'Daily Workforce'!$K58&gt;=3,FALSE()),IFERROR(1*'Daily Workforce'!$K58&gt;=2,FALSE())),IF(AND('Daily Schedule'!$A15&gt;=46,'Daily Schedule'!$A15&lt;=52),'Daily Workforce'!$M58="Y",IFERROR(1*'Daily Workforce'!$P58&gt;=2,FALSE()))))),1,0)</f>
        <v>0</v>
      </c>
      <c r="BR11" s="1" t="n">
        <f aca="false">IF(AND('Daily Workforce'!$N59="Y",'Daily Workforce'!$B59&lt;&gt;"",COUNTIF('Daily Schedule'!$F$5:$F14,'Daily Workforce'!$B59)=0,IF('Daily Schedule'!$A15=45,'Daily Workforce'!$J59="Y",IF(OR('Daily Schedule'!$A15=4,'Daily Schedule'!$A15=8),IF(OR(WEEKDAY('Daily Schedule'!$B$2,2)=1,WEEKDAY('Daily Schedule'!$B$2,2)=4,WEEKDAY('Daily Schedule'!$B$2,2)=5,WEEKDAY('Daily Schedule'!$B$2,2)=7),IFERROR(1*'Daily Workforce'!$K59&gt;=3,FALSE()),IFERROR(1*'Daily Workforce'!$K59&gt;=2,FALSE())),IF(AND('Daily Schedule'!$A15&gt;=46,'Daily Schedule'!$A15&lt;=52),'Daily Workforce'!$M59="Y",IFERROR(1*'Daily Workforce'!$P59&gt;=2,FALSE()))))),1,0)</f>
        <v>0</v>
      </c>
      <c r="BS11" s="1" t="n">
        <f aca="false">IF(AND('Daily Workforce'!$N60="Y",'Daily Workforce'!$B60&lt;&gt;"",COUNTIF('Daily Schedule'!$F$5:$F14,'Daily Workforce'!$B60)=0,IF('Daily Schedule'!$A15=45,'Daily Workforce'!$J60="Y",IF(OR('Daily Schedule'!$A15=4,'Daily Schedule'!$A15=8),IF(OR(WEEKDAY('Daily Schedule'!$B$2,2)=1,WEEKDAY('Daily Schedule'!$B$2,2)=4,WEEKDAY('Daily Schedule'!$B$2,2)=5,WEEKDAY('Daily Schedule'!$B$2,2)=7),IFERROR(1*'Daily Workforce'!$K60&gt;=3,FALSE()),IFERROR(1*'Daily Workforce'!$K60&gt;=2,FALSE())),IF(AND('Daily Schedule'!$A15&gt;=46,'Daily Schedule'!$A15&lt;=52),'Daily Workforce'!$M60="Y",IFERROR(1*'Daily Workforce'!$P60&gt;=2,FALSE()))))),1,0)</f>
        <v>0</v>
      </c>
      <c r="BT11" s="1" t="n">
        <f aca="false">IF(AND('Daily Workforce'!$N61="Y",'Daily Workforce'!$B61&lt;&gt;"",COUNTIF('Daily Schedule'!$F$5:$F14,'Daily Workforce'!$B61)=0,IF('Daily Schedule'!$A15=45,'Daily Workforce'!$J61="Y",IF(OR('Daily Schedule'!$A15=4,'Daily Schedule'!$A15=8),IF(OR(WEEKDAY('Daily Schedule'!$B$2,2)=1,WEEKDAY('Daily Schedule'!$B$2,2)=4,WEEKDAY('Daily Schedule'!$B$2,2)=5,WEEKDAY('Daily Schedule'!$B$2,2)=7),IFERROR(1*'Daily Workforce'!$K61&gt;=3,FALSE()),IFERROR(1*'Daily Workforce'!$K61&gt;=2,FALSE())),IF(AND('Daily Schedule'!$A15&gt;=46,'Daily Schedule'!$A15&lt;=52),'Daily Workforce'!$M61="Y",IFERROR(1*'Daily Workforce'!$P61&gt;=2,FALSE()))))),1,0)</f>
        <v>0</v>
      </c>
      <c r="BU11" s="1" t="n">
        <f aca="false">IF(AND('Daily Workforce'!$N62="Y",'Daily Workforce'!$B62&lt;&gt;"",COUNTIF('Daily Schedule'!$F$5:$F14,'Daily Workforce'!$B62)=0,IF('Daily Schedule'!$A15=45,'Daily Workforce'!$J62="Y",IF(OR('Daily Schedule'!$A15=4,'Daily Schedule'!$A15=8),IF(OR(WEEKDAY('Daily Schedule'!$B$2,2)=1,WEEKDAY('Daily Schedule'!$B$2,2)=4,WEEKDAY('Daily Schedule'!$B$2,2)=5,WEEKDAY('Daily Schedule'!$B$2,2)=7),IFERROR(1*'Daily Workforce'!$K62&gt;=3,FALSE()),IFERROR(1*'Daily Workforce'!$K62&gt;=2,FALSE())),IF(AND('Daily Schedule'!$A15&gt;=46,'Daily Schedule'!$A15&lt;=52),'Daily Workforce'!$M62="Y",IFERROR(1*'Daily Workforce'!$P62&gt;=2,FALSE()))))),1,0)</f>
        <v>0</v>
      </c>
      <c r="BV11" s="1" t="n">
        <f aca="false">IF(AND('Daily Workforce'!$N63="Y",'Daily Workforce'!$B63&lt;&gt;"",COUNTIF('Daily Schedule'!$F$5:$F14,'Daily Workforce'!$B63)=0,IF('Daily Schedule'!$A15=45,'Daily Workforce'!$J63="Y",IF(OR('Daily Schedule'!$A15=4,'Daily Schedule'!$A15=8),IF(OR(WEEKDAY('Daily Schedule'!$B$2,2)=1,WEEKDAY('Daily Schedule'!$B$2,2)=4,WEEKDAY('Daily Schedule'!$B$2,2)=5,WEEKDAY('Daily Schedule'!$B$2,2)=7),IFERROR(1*'Daily Workforce'!$K63&gt;=3,FALSE()),IFERROR(1*'Daily Workforce'!$K63&gt;=2,FALSE())),IF(AND('Daily Schedule'!$A15&gt;=46,'Daily Schedule'!$A15&lt;=52),'Daily Workforce'!$M63="Y",IFERROR(1*'Daily Workforce'!$P63&gt;=2,FALSE()))))),1,0)</f>
        <v>0</v>
      </c>
      <c r="BW11" s="1" t="n">
        <f aca="false">IF(AND('Daily Workforce'!$N64="Y",'Daily Workforce'!$B64&lt;&gt;"",COUNTIF('Daily Schedule'!$F$5:$F14,'Daily Workforce'!$B64)=0,IF('Daily Schedule'!$A15=45,'Daily Workforce'!$J64="Y",IF(OR('Daily Schedule'!$A15=4,'Daily Schedule'!$A15=8),IF(OR(WEEKDAY('Daily Schedule'!$B$2,2)=1,WEEKDAY('Daily Schedule'!$B$2,2)=4,WEEKDAY('Daily Schedule'!$B$2,2)=5,WEEKDAY('Daily Schedule'!$B$2,2)=7),IFERROR(1*'Daily Workforce'!$K64&gt;=3,FALSE()),IFERROR(1*'Daily Workforce'!$K64&gt;=2,FALSE())),IF(AND('Daily Schedule'!$A15&gt;=46,'Daily Schedule'!$A15&lt;=52),'Daily Workforce'!$M64="Y",IFERROR(1*'Daily Workforce'!$P64&gt;=2,FALSE()))))),1,0)</f>
        <v>0</v>
      </c>
      <c r="BX11" s="1" t="n">
        <f aca="false">IF(AND('Daily Workforce'!$N65="Y",'Daily Workforce'!$B65&lt;&gt;"",COUNTIF('Daily Schedule'!$F$5:$F14,'Daily Workforce'!$B65)=0,IF('Daily Schedule'!$A15=45,'Daily Workforce'!$J65="Y",IF(OR('Daily Schedule'!$A15=4,'Daily Schedule'!$A15=8),IF(OR(WEEKDAY('Daily Schedule'!$B$2,2)=1,WEEKDAY('Daily Schedule'!$B$2,2)=4,WEEKDAY('Daily Schedule'!$B$2,2)=5,WEEKDAY('Daily Schedule'!$B$2,2)=7),IFERROR(1*'Daily Workforce'!$K65&gt;=3,FALSE()),IFERROR(1*'Daily Workforce'!$K65&gt;=2,FALSE())),IF(AND('Daily Schedule'!$A15&gt;=46,'Daily Schedule'!$A15&lt;=52),'Daily Workforce'!$M65="Y",IFERROR(1*'Daily Workforce'!$P65&gt;=2,FALSE()))))),1,0)</f>
        <v>0</v>
      </c>
      <c r="BY11" s="1" t="n">
        <f aca="false">IF(AND('Daily Workforce'!$N66="Y",'Daily Workforce'!$B66&lt;&gt;"",COUNTIF('Daily Schedule'!$F$5:$F14,'Daily Workforce'!$B66)=0,IF('Daily Schedule'!$A15=45,'Daily Workforce'!$J66="Y",IF(OR('Daily Schedule'!$A15=4,'Daily Schedule'!$A15=8),IF(OR(WEEKDAY('Daily Schedule'!$B$2,2)=1,WEEKDAY('Daily Schedule'!$B$2,2)=4,WEEKDAY('Daily Schedule'!$B$2,2)=5,WEEKDAY('Daily Schedule'!$B$2,2)=7),IFERROR(1*'Daily Workforce'!$K66&gt;=3,FALSE()),IFERROR(1*'Daily Workforce'!$K66&gt;=2,FALSE())),IF(AND('Daily Schedule'!$A15&gt;=46,'Daily Schedule'!$A15&lt;=52),'Daily Workforce'!$M66="Y",IFERROR(1*'Daily Workforce'!$P66&gt;=2,FALSE()))))),1,0)</f>
        <v>0</v>
      </c>
      <c r="BZ11" s="1" t="n">
        <f aca="false">IF(AND('Daily Workforce'!$N67="Y",'Daily Workforce'!$B67&lt;&gt;"",COUNTIF('Daily Schedule'!$F$5:$F14,'Daily Workforce'!$B67)=0,IF('Daily Schedule'!$A15=45,'Daily Workforce'!$J67="Y",IF(OR('Daily Schedule'!$A15=4,'Daily Schedule'!$A15=8),IF(OR(WEEKDAY('Daily Schedule'!$B$2,2)=1,WEEKDAY('Daily Schedule'!$B$2,2)=4,WEEKDAY('Daily Schedule'!$B$2,2)=5,WEEKDAY('Daily Schedule'!$B$2,2)=7),IFERROR(1*'Daily Workforce'!$K67&gt;=3,FALSE()),IFERROR(1*'Daily Workforce'!$K67&gt;=2,FALSE())),IF(AND('Daily Schedule'!$A15&gt;=46,'Daily Schedule'!$A15&lt;=52),'Daily Workforce'!$M67="Y",IFERROR(1*'Daily Workforce'!$P67&gt;=2,FALSE()))))),1,0)</f>
        <v>0</v>
      </c>
      <c r="CA11" s="1" t="n">
        <f aca="false">IF(AND('Daily Workforce'!$N68="Y",'Daily Workforce'!$B68&lt;&gt;"",COUNTIF('Daily Schedule'!$F$5:$F14,'Daily Workforce'!$B68)=0,IF('Daily Schedule'!$A15=45,'Daily Workforce'!$J68="Y",IF(OR('Daily Schedule'!$A15=4,'Daily Schedule'!$A15=8),IF(OR(WEEKDAY('Daily Schedule'!$B$2,2)=1,WEEKDAY('Daily Schedule'!$B$2,2)=4,WEEKDAY('Daily Schedule'!$B$2,2)=5,WEEKDAY('Daily Schedule'!$B$2,2)=7),IFERROR(1*'Daily Workforce'!$K68&gt;=3,FALSE()),IFERROR(1*'Daily Workforce'!$K68&gt;=2,FALSE())),IF(AND('Daily Schedule'!$A15&gt;=46,'Daily Schedule'!$A15&lt;=52),'Daily Workforce'!$M68="Y",IFERROR(1*'Daily Workforce'!$P68&gt;=2,FALSE()))))),1,0)</f>
        <v>0</v>
      </c>
      <c r="CB11" s="1" t="n">
        <f aca="false">IF(AND('Daily Workforce'!$N69="Y",'Daily Workforce'!$B69&lt;&gt;"",COUNTIF('Daily Schedule'!$F$5:$F14,'Daily Workforce'!$B69)=0,IF('Daily Schedule'!$A15=45,'Daily Workforce'!$J69="Y",IF(OR('Daily Schedule'!$A15=4,'Daily Schedule'!$A15=8),IF(OR(WEEKDAY('Daily Schedule'!$B$2,2)=1,WEEKDAY('Daily Schedule'!$B$2,2)=4,WEEKDAY('Daily Schedule'!$B$2,2)=5,WEEKDAY('Daily Schedule'!$B$2,2)=7),IFERROR(1*'Daily Workforce'!$K69&gt;=3,FALSE()),IFERROR(1*'Daily Workforce'!$K69&gt;=2,FALSE())),IF(AND('Daily Schedule'!$A15&gt;=46,'Daily Schedule'!$A15&lt;=52),'Daily Workforce'!$M69="Y",IFERROR(1*'Daily Workforce'!$P69&gt;=2,FALSE()))))),1,0)</f>
        <v>0</v>
      </c>
      <c r="CC11" s="1" t="n">
        <f aca="false">IF(AND('Daily Workforce'!$N70="Y",'Daily Workforce'!$B70&lt;&gt;"",COUNTIF('Daily Schedule'!$F$5:$F14,'Daily Workforce'!$B70)=0,IF('Daily Schedule'!$A15=45,'Daily Workforce'!$J70="Y",IF(OR('Daily Schedule'!$A15=4,'Daily Schedule'!$A15=8),IF(OR(WEEKDAY('Daily Schedule'!$B$2,2)=1,WEEKDAY('Daily Schedule'!$B$2,2)=4,WEEKDAY('Daily Schedule'!$B$2,2)=5,WEEKDAY('Daily Schedule'!$B$2,2)=7),IFERROR(1*'Daily Workforce'!$K70&gt;=3,FALSE()),IFERROR(1*'Daily Workforce'!$K70&gt;=2,FALSE())),IF(AND('Daily Schedule'!$A15&gt;=46,'Daily Schedule'!$A15&lt;=52),'Daily Workforce'!$M70="Y",IFERROR(1*'Daily Workforce'!$P70&gt;=2,FALSE()))))),1,0)</f>
        <v>0</v>
      </c>
      <c r="CD11" s="1" t="n">
        <f aca="false">IF(AND('Daily Workforce'!$N71="Y",'Daily Workforce'!$B71&lt;&gt;"",COUNTIF('Daily Schedule'!$F$5:$F14,'Daily Workforce'!$B71)=0,IF('Daily Schedule'!$A15=45,'Daily Workforce'!$J71="Y",IF(OR('Daily Schedule'!$A15=4,'Daily Schedule'!$A15=8),IF(OR(WEEKDAY('Daily Schedule'!$B$2,2)=1,WEEKDAY('Daily Schedule'!$B$2,2)=4,WEEKDAY('Daily Schedule'!$B$2,2)=5,WEEKDAY('Daily Schedule'!$B$2,2)=7),IFERROR(1*'Daily Workforce'!$K71&gt;=3,FALSE()),IFERROR(1*'Daily Workforce'!$K71&gt;=2,FALSE())),IF(AND('Daily Schedule'!$A15&gt;=46,'Daily Schedule'!$A15&lt;=52),'Daily Workforce'!$M71="Y",IFERROR(1*'Daily Workforce'!$P71&gt;=2,FALSE()))))),1,0)</f>
        <v>0</v>
      </c>
      <c r="CE11" s="1" t="n">
        <f aca="false">IF(AND('Daily Workforce'!$N72="Y",'Daily Workforce'!$B72&lt;&gt;"",COUNTIF('Daily Schedule'!$F$5:$F14,'Daily Workforce'!$B72)=0,IF('Daily Schedule'!$A15=45,'Daily Workforce'!$J72="Y",IF(OR('Daily Schedule'!$A15=4,'Daily Schedule'!$A15=8),IF(OR(WEEKDAY('Daily Schedule'!$B$2,2)=1,WEEKDAY('Daily Schedule'!$B$2,2)=4,WEEKDAY('Daily Schedule'!$B$2,2)=5,WEEKDAY('Daily Schedule'!$B$2,2)=7),IFERROR(1*'Daily Workforce'!$K72&gt;=3,FALSE()),IFERROR(1*'Daily Workforce'!$K72&gt;=2,FALSE())),IF(AND('Daily Schedule'!$A15&gt;=46,'Daily Schedule'!$A15&lt;=52),'Daily Workforce'!$M72="Y",IFERROR(1*'Daily Workforce'!$P72&gt;=2,FALSE()))))),1,0)</f>
        <v>0</v>
      </c>
      <c r="CF11" s="1" t="n">
        <f aca="false">IF(AND('Daily Workforce'!$N73="Y",'Daily Workforce'!$B73&lt;&gt;"",COUNTIF('Daily Schedule'!$F$5:$F14,'Daily Workforce'!$B73)=0,IF('Daily Schedule'!$A15=45,'Daily Workforce'!$J73="Y",IF(OR('Daily Schedule'!$A15=4,'Daily Schedule'!$A15=8),IF(OR(WEEKDAY('Daily Schedule'!$B$2,2)=1,WEEKDAY('Daily Schedule'!$B$2,2)=4,WEEKDAY('Daily Schedule'!$B$2,2)=5,WEEKDAY('Daily Schedule'!$B$2,2)=7),IFERROR(1*'Daily Workforce'!$K73&gt;=3,FALSE()),IFERROR(1*'Daily Workforce'!$K73&gt;=2,FALSE())),IF(AND('Daily Schedule'!$A15&gt;=46,'Daily Schedule'!$A15&lt;=52),'Daily Workforce'!$M73="Y",IFERROR(1*'Daily Workforce'!$P73&gt;=2,FALSE()))))),1,0)</f>
        <v>0</v>
      </c>
      <c r="CG11" s="1" t="n">
        <f aca="false">IF(AND('Daily Workforce'!$N74="Y",'Daily Workforce'!$B74&lt;&gt;"",COUNTIF('Daily Schedule'!$F$5:$F14,'Daily Workforce'!$B74)=0,IF('Daily Schedule'!$A15=45,'Daily Workforce'!$J74="Y",IF(OR('Daily Schedule'!$A15=4,'Daily Schedule'!$A15=8),IF(OR(WEEKDAY('Daily Schedule'!$B$2,2)=1,WEEKDAY('Daily Schedule'!$B$2,2)=4,WEEKDAY('Daily Schedule'!$B$2,2)=5,WEEKDAY('Daily Schedule'!$B$2,2)=7),IFERROR(1*'Daily Workforce'!$K74&gt;=3,FALSE()),IFERROR(1*'Daily Workforce'!$K74&gt;=2,FALSE())),IF(AND('Daily Schedule'!$A15&gt;=46,'Daily Schedule'!$A15&lt;=52),'Daily Workforce'!$M74="Y",IFERROR(1*'Daily Workforce'!$P74&gt;=2,FALSE()))))),1,0)</f>
        <v>0</v>
      </c>
      <c r="CH11" s="1" t="n">
        <f aca="false">IF(AND('Daily Workforce'!$N75="Y",'Daily Workforce'!$B75&lt;&gt;"",COUNTIF('Daily Schedule'!$F$5:$F14,'Daily Workforce'!$B75)=0,IF('Daily Schedule'!$A15=45,'Daily Workforce'!$J75="Y",IF(OR('Daily Schedule'!$A15=4,'Daily Schedule'!$A15=8),IF(OR(WEEKDAY('Daily Schedule'!$B$2,2)=1,WEEKDAY('Daily Schedule'!$B$2,2)=4,WEEKDAY('Daily Schedule'!$B$2,2)=5,WEEKDAY('Daily Schedule'!$B$2,2)=7),IFERROR(1*'Daily Workforce'!$K75&gt;=3,FALSE()),IFERROR(1*'Daily Workforce'!$K75&gt;=2,FALSE())),IF(AND('Daily Schedule'!$A15&gt;=46,'Daily Schedule'!$A15&lt;=52),'Daily Workforce'!$M75="Y",IFERROR(1*'Daily Workforce'!$P75&gt;=2,FALSE()))))),1,0)</f>
        <v>0</v>
      </c>
      <c r="CI11" s="1" t="n">
        <f aca="false">IF(AND('Daily Workforce'!$N76="Y",'Daily Workforce'!$B76&lt;&gt;"",COUNTIF('Daily Schedule'!$F$5:$F14,'Daily Workforce'!$B76)=0,IF('Daily Schedule'!$A15=45,'Daily Workforce'!$J76="Y",IF(OR('Daily Schedule'!$A15=4,'Daily Schedule'!$A15=8),IF(OR(WEEKDAY('Daily Schedule'!$B$2,2)=1,WEEKDAY('Daily Schedule'!$B$2,2)=4,WEEKDAY('Daily Schedule'!$B$2,2)=5,WEEKDAY('Daily Schedule'!$B$2,2)=7),IFERROR(1*'Daily Workforce'!$K76&gt;=3,FALSE()),IFERROR(1*'Daily Workforce'!$K76&gt;=2,FALSE())),IF(AND('Daily Schedule'!$A15&gt;=46,'Daily Schedule'!$A15&lt;=52),'Daily Workforce'!$M76="Y",IFERROR(1*'Daily Workforce'!$P76&gt;=2,FALSE()))))),1,0)</f>
        <v>0</v>
      </c>
      <c r="CJ11" s="1" t="n">
        <f aca="false">IF(AND('Daily Workforce'!$N77="Y",'Daily Workforce'!$B77&lt;&gt;"",COUNTIF('Daily Schedule'!$F$5:$F14,'Daily Workforce'!$B77)=0,IF('Daily Schedule'!$A15=45,'Daily Workforce'!$J77="Y",IF(OR('Daily Schedule'!$A15=4,'Daily Schedule'!$A15=8),IF(OR(WEEKDAY('Daily Schedule'!$B$2,2)=1,WEEKDAY('Daily Schedule'!$B$2,2)=4,WEEKDAY('Daily Schedule'!$B$2,2)=5,WEEKDAY('Daily Schedule'!$B$2,2)=7),IFERROR(1*'Daily Workforce'!$K77&gt;=3,FALSE()),IFERROR(1*'Daily Workforce'!$K77&gt;=2,FALSE())),IF(AND('Daily Schedule'!$A15&gt;=46,'Daily Schedule'!$A15&lt;=52),'Daily Workforce'!$M77="Y",IFERROR(1*'Daily Workforce'!$P77&gt;=2,FALSE()))))),1,0)</f>
        <v>0</v>
      </c>
      <c r="CK11" s="1" t="n">
        <f aca="false">IF(AND('Daily Workforce'!$N78="Y",'Daily Workforce'!$B78&lt;&gt;"",COUNTIF('Daily Schedule'!$F$5:$F14,'Daily Workforce'!$B78)=0,IF('Daily Schedule'!$A15=45,'Daily Workforce'!$J78="Y",IF(OR('Daily Schedule'!$A15=4,'Daily Schedule'!$A15=8),IF(OR(WEEKDAY('Daily Schedule'!$B$2,2)=1,WEEKDAY('Daily Schedule'!$B$2,2)=4,WEEKDAY('Daily Schedule'!$B$2,2)=5,WEEKDAY('Daily Schedule'!$B$2,2)=7),IFERROR(1*'Daily Workforce'!$K78&gt;=3,FALSE()),IFERROR(1*'Daily Workforce'!$K78&gt;=2,FALSE())),IF(AND('Daily Schedule'!$A15&gt;=46,'Daily Schedule'!$A15&lt;=52),'Daily Workforce'!$M78="Y",IFERROR(1*'Daily Workforce'!$P78&gt;=2,FALSE()))))),1,0)</f>
        <v>0</v>
      </c>
      <c r="CL11" s="1" t="n">
        <f aca="false">IF(AND('Daily Workforce'!$N79="Y",'Daily Workforce'!$B79&lt;&gt;"",COUNTIF('Daily Schedule'!$F$5:$F14,'Daily Workforce'!$B79)=0,IF('Daily Schedule'!$A15=45,'Daily Workforce'!$J79="Y",IF(OR('Daily Schedule'!$A15=4,'Daily Schedule'!$A15=8),IF(OR(WEEKDAY('Daily Schedule'!$B$2,2)=1,WEEKDAY('Daily Schedule'!$B$2,2)=4,WEEKDAY('Daily Schedule'!$B$2,2)=5,WEEKDAY('Daily Schedule'!$B$2,2)=7),IFERROR(1*'Daily Workforce'!$K79&gt;=3,FALSE()),IFERROR(1*'Daily Workforce'!$K79&gt;=2,FALSE())),IF(AND('Daily Schedule'!$A15&gt;=46,'Daily Schedule'!$A15&lt;=52),'Daily Workforce'!$M79="Y",IFERROR(1*'Daily Workforce'!$P79&gt;=2,FALSE()))))),1,0)</f>
        <v>0</v>
      </c>
      <c r="CM11" s="1" t="n">
        <f aca="false">IF(AND('Daily Workforce'!$N80="Y",'Daily Workforce'!$B80&lt;&gt;"",COUNTIF('Daily Schedule'!$F$5:$F14,'Daily Workforce'!$B80)=0,IF('Daily Schedule'!$A15=45,'Daily Workforce'!$J80="Y",IF(OR('Daily Schedule'!$A15=4,'Daily Schedule'!$A15=8),IF(OR(WEEKDAY('Daily Schedule'!$B$2,2)=1,WEEKDAY('Daily Schedule'!$B$2,2)=4,WEEKDAY('Daily Schedule'!$B$2,2)=5,WEEKDAY('Daily Schedule'!$B$2,2)=7),IFERROR(1*'Daily Workforce'!$K80&gt;=3,FALSE()),IFERROR(1*'Daily Workforce'!$K80&gt;=2,FALSE())),IF(AND('Daily Schedule'!$A15&gt;=46,'Daily Schedule'!$A15&lt;=52),'Daily Workforce'!$M80="Y",IFERROR(1*'Daily Workforce'!$P80&gt;=2,FALSE()))))),1,0)</f>
        <v>0</v>
      </c>
      <c r="CN11" s="1" t="n">
        <f aca="false">IF(AND('Daily Workforce'!$N81="Y",'Daily Workforce'!$B81&lt;&gt;"",COUNTIF('Daily Schedule'!$F$5:$F14,'Daily Workforce'!$B81)=0,IF('Daily Schedule'!$A15=45,'Daily Workforce'!$J81="Y",IF(OR('Daily Schedule'!$A15=4,'Daily Schedule'!$A15=8),IF(OR(WEEKDAY('Daily Schedule'!$B$2,2)=1,WEEKDAY('Daily Schedule'!$B$2,2)=4,WEEKDAY('Daily Schedule'!$B$2,2)=5,WEEKDAY('Daily Schedule'!$B$2,2)=7),IFERROR(1*'Daily Workforce'!$K81&gt;=3,FALSE()),IFERROR(1*'Daily Workforce'!$K81&gt;=2,FALSE())),IF(AND('Daily Schedule'!$A15&gt;=46,'Daily Schedule'!$A15&lt;=52),'Daily Workforce'!$M81="Y",IFERROR(1*'Daily Workforce'!$P81&gt;=2,FALSE()))))),1,0)</f>
        <v>0</v>
      </c>
      <c r="CO11" s="1" t="n">
        <f aca="false">IF(AND('Daily Workforce'!$N82="Y",'Daily Workforce'!$B82&lt;&gt;"",COUNTIF('Daily Schedule'!$F$5:$F14,'Daily Workforce'!$B82)=0,IF('Daily Schedule'!$A15=45,'Daily Workforce'!$J82="Y",IF(OR('Daily Schedule'!$A15=4,'Daily Schedule'!$A15=8),IF(OR(WEEKDAY('Daily Schedule'!$B$2,2)=1,WEEKDAY('Daily Schedule'!$B$2,2)=4,WEEKDAY('Daily Schedule'!$B$2,2)=5,WEEKDAY('Daily Schedule'!$B$2,2)=7),IFERROR(1*'Daily Workforce'!$K82&gt;=3,FALSE()),IFERROR(1*'Daily Workforce'!$K82&gt;=2,FALSE())),IF(AND('Daily Schedule'!$A15&gt;=46,'Daily Schedule'!$A15&lt;=52),'Daily Workforce'!$M82="Y",IFERROR(1*'Daily Workforce'!$P82&gt;=2,FALSE()))))),1,0)</f>
        <v>0</v>
      </c>
      <c r="CP11" s="1" t="n">
        <f aca="false">IF(AND('Daily Workforce'!$N83="Y",'Daily Workforce'!$B83&lt;&gt;"",COUNTIF('Daily Schedule'!$F$5:$F14,'Daily Workforce'!$B83)=0,IF('Daily Schedule'!$A15=45,'Daily Workforce'!$J83="Y",IF(OR('Daily Schedule'!$A15=4,'Daily Schedule'!$A15=8),IF(OR(WEEKDAY('Daily Schedule'!$B$2,2)=1,WEEKDAY('Daily Schedule'!$B$2,2)=4,WEEKDAY('Daily Schedule'!$B$2,2)=5,WEEKDAY('Daily Schedule'!$B$2,2)=7),IFERROR(1*'Daily Workforce'!$K83&gt;=3,FALSE()),IFERROR(1*'Daily Workforce'!$K83&gt;=2,FALSE())),IF(AND('Daily Schedule'!$A15&gt;=46,'Daily Schedule'!$A15&lt;=52),'Daily Workforce'!$M83="Y",IFERROR(1*'Daily Workforce'!$P83&gt;=2,FALSE()))))),1,0)</f>
        <v>0</v>
      </c>
      <c r="CQ11" s="1" t="n">
        <f aca="false">IF(AND('Daily Workforce'!$N84="Y",'Daily Workforce'!$B84&lt;&gt;"",COUNTIF('Daily Schedule'!$F$5:$F14,'Daily Workforce'!$B84)=0,IF('Daily Schedule'!$A15=45,'Daily Workforce'!$J84="Y",IF(OR('Daily Schedule'!$A15=4,'Daily Schedule'!$A15=8),IF(OR(WEEKDAY('Daily Schedule'!$B$2,2)=1,WEEKDAY('Daily Schedule'!$B$2,2)=4,WEEKDAY('Daily Schedule'!$B$2,2)=5,WEEKDAY('Daily Schedule'!$B$2,2)=7),IFERROR(1*'Daily Workforce'!$K84&gt;=3,FALSE()),IFERROR(1*'Daily Workforce'!$K84&gt;=2,FALSE())),IF(AND('Daily Schedule'!$A15&gt;=46,'Daily Schedule'!$A15&lt;=52),'Daily Workforce'!$M84="Y",IFERROR(1*'Daily Workforce'!$P84&gt;=2,FALSE()))))),1,0)</f>
        <v>0</v>
      </c>
      <c r="CR11" s="1" t="n">
        <f aca="false">IF(AND('Daily Workforce'!$N85="Y",'Daily Workforce'!$B85&lt;&gt;"",COUNTIF('Daily Schedule'!$F$5:$F14,'Daily Workforce'!$B85)=0,IF('Daily Schedule'!$A15=45,'Daily Workforce'!$J85="Y",IF(OR('Daily Schedule'!$A15=4,'Daily Schedule'!$A15=8),IF(OR(WEEKDAY('Daily Schedule'!$B$2,2)=1,WEEKDAY('Daily Schedule'!$B$2,2)=4,WEEKDAY('Daily Schedule'!$B$2,2)=5,WEEKDAY('Daily Schedule'!$B$2,2)=7),IFERROR(1*'Daily Workforce'!$K85&gt;=3,FALSE()),IFERROR(1*'Daily Workforce'!$K85&gt;=2,FALSE())),IF(AND('Daily Schedule'!$A15&gt;=46,'Daily Schedule'!$A15&lt;=52),'Daily Workforce'!$M85="Y",IFERROR(1*'Daily Workforce'!$P85&gt;=2,FALSE()))))),1,0)</f>
        <v>0</v>
      </c>
      <c r="CS11" s="1" t="n">
        <f aca="false">IF(AND('Daily Workforce'!$N86="Y",'Daily Workforce'!$B86&lt;&gt;"",COUNTIF('Daily Schedule'!$F$5:$F14,'Daily Workforce'!$B86)=0,IF('Daily Schedule'!$A15=45,'Daily Workforce'!$J86="Y",IF(OR('Daily Schedule'!$A15=4,'Daily Schedule'!$A15=8),IF(OR(WEEKDAY('Daily Schedule'!$B$2,2)=1,WEEKDAY('Daily Schedule'!$B$2,2)=4,WEEKDAY('Daily Schedule'!$B$2,2)=5,WEEKDAY('Daily Schedule'!$B$2,2)=7),IFERROR(1*'Daily Workforce'!$K86&gt;=3,FALSE()),IFERROR(1*'Daily Workforce'!$K86&gt;=2,FALSE())),IF(AND('Daily Schedule'!$A15&gt;=46,'Daily Schedule'!$A15&lt;=52),'Daily Workforce'!$M86="Y",IFERROR(1*'Daily Workforce'!$P86&gt;=2,FALSE()))))),1,0)</f>
        <v>0</v>
      </c>
      <c r="CT11" s="1" t="n">
        <f aca="false">IF(AND('Daily Workforce'!$N87="Y",'Daily Workforce'!$B87&lt;&gt;"",COUNTIF('Daily Schedule'!$F$5:$F14,'Daily Workforce'!$B87)=0,IF('Daily Schedule'!$A15=45,'Daily Workforce'!$J87="Y",IF(OR('Daily Schedule'!$A15=4,'Daily Schedule'!$A15=8),IF(OR(WEEKDAY('Daily Schedule'!$B$2,2)=1,WEEKDAY('Daily Schedule'!$B$2,2)=4,WEEKDAY('Daily Schedule'!$B$2,2)=5,WEEKDAY('Daily Schedule'!$B$2,2)=7),IFERROR(1*'Daily Workforce'!$K87&gt;=3,FALSE()),IFERROR(1*'Daily Workforce'!$K87&gt;=2,FALSE())),IF(AND('Daily Schedule'!$A15&gt;=46,'Daily Schedule'!$A15&lt;=52),'Daily Workforce'!$M87="Y",IFERROR(1*'Daily Workforce'!$P87&gt;=2,FALSE()))))),1,0)</f>
        <v>0</v>
      </c>
      <c r="CU11" s="1" t="n">
        <f aca="false">IF(AND('Daily Workforce'!$N88="Y",'Daily Workforce'!$B88&lt;&gt;"",COUNTIF('Daily Schedule'!$F$5:$F14,'Daily Workforce'!$B88)=0,IF('Daily Schedule'!$A15=45,'Daily Workforce'!$J88="Y",IF(OR('Daily Schedule'!$A15=4,'Daily Schedule'!$A15=8),IF(OR(WEEKDAY('Daily Schedule'!$B$2,2)=1,WEEKDAY('Daily Schedule'!$B$2,2)=4,WEEKDAY('Daily Schedule'!$B$2,2)=5,WEEKDAY('Daily Schedule'!$B$2,2)=7),IFERROR(1*'Daily Workforce'!$K88&gt;=3,FALSE()),IFERROR(1*'Daily Workforce'!$K88&gt;=2,FALSE())),IF(AND('Daily Schedule'!$A15&gt;=46,'Daily Schedule'!$A15&lt;=52),'Daily Workforce'!$M88="Y",IFERROR(1*'Daily Workforce'!$P88&gt;=2,FALSE()))))),1,0)</f>
        <v>0</v>
      </c>
      <c r="CV11" s="1" t="n">
        <f aca="false">IF(AND('Daily Workforce'!$N89="Y",'Daily Workforce'!$B89&lt;&gt;"",COUNTIF('Daily Schedule'!$F$5:$F14,'Daily Workforce'!$B89)=0,IF('Daily Schedule'!$A15=45,'Daily Workforce'!$J89="Y",IF(OR('Daily Schedule'!$A15=4,'Daily Schedule'!$A15=8),IF(OR(WEEKDAY('Daily Schedule'!$B$2,2)=1,WEEKDAY('Daily Schedule'!$B$2,2)=4,WEEKDAY('Daily Schedule'!$B$2,2)=5,WEEKDAY('Daily Schedule'!$B$2,2)=7),IFERROR(1*'Daily Workforce'!$K89&gt;=3,FALSE()),IFERROR(1*'Daily Workforce'!$K89&gt;=2,FALSE())),IF(AND('Daily Schedule'!$A15&gt;=46,'Daily Schedule'!$A15&lt;=52),'Daily Workforce'!$M89="Y",IFERROR(1*'Daily Workforce'!$P89&gt;=2,FALSE()))))),1,0)</f>
        <v>0</v>
      </c>
      <c r="CW11" s="1" t="n">
        <f aca="false">IF(AND('Daily Workforce'!$N90="Y",'Daily Workforce'!$B90&lt;&gt;"",COUNTIF('Daily Schedule'!$F$5:$F14,'Daily Workforce'!$B90)=0,IF('Daily Schedule'!$A15=45,'Daily Workforce'!$J90="Y",IF(OR('Daily Schedule'!$A15=4,'Daily Schedule'!$A15=8),IF(OR(WEEKDAY('Daily Schedule'!$B$2,2)=1,WEEKDAY('Daily Schedule'!$B$2,2)=4,WEEKDAY('Daily Schedule'!$B$2,2)=5,WEEKDAY('Daily Schedule'!$B$2,2)=7),IFERROR(1*'Daily Workforce'!$K90&gt;=3,FALSE()),IFERROR(1*'Daily Workforce'!$K90&gt;=2,FALSE())),IF(AND('Daily Schedule'!$A15&gt;=46,'Daily Schedule'!$A15&lt;=52),'Daily Workforce'!$M90="Y",IFERROR(1*'Daily Workforce'!$P90&gt;=2,FALSE()))))),1,0)</f>
        <v>0</v>
      </c>
      <c r="CX11" s="1" t="n">
        <f aca="false">IF(AND('Daily Workforce'!$N91="Y",'Daily Workforce'!$B91&lt;&gt;"",COUNTIF('Daily Schedule'!$F$5:$F14,'Daily Workforce'!$B91)=0,IF('Daily Schedule'!$A15=45,'Daily Workforce'!$J91="Y",IF(OR('Daily Schedule'!$A15=4,'Daily Schedule'!$A15=8),IF(OR(WEEKDAY('Daily Schedule'!$B$2,2)=1,WEEKDAY('Daily Schedule'!$B$2,2)=4,WEEKDAY('Daily Schedule'!$B$2,2)=5,WEEKDAY('Daily Schedule'!$B$2,2)=7),IFERROR(1*'Daily Workforce'!$K91&gt;=3,FALSE()),IFERROR(1*'Daily Workforce'!$K91&gt;=2,FALSE())),IF(AND('Daily Schedule'!$A15&gt;=46,'Daily Schedule'!$A15&lt;=52),'Daily Workforce'!$M91="Y",IFERROR(1*'Daily Workforce'!$P91&gt;=2,FALSE()))))),1,0)</f>
        <v>0</v>
      </c>
      <c r="CY11" s="1" t="n">
        <f aca="false">IF(AND('Daily Workforce'!$N92="Y",'Daily Workforce'!$B92&lt;&gt;"",COUNTIF('Daily Schedule'!$F$5:$F14,'Daily Workforce'!$B92)=0,IF('Daily Schedule'!$A15=45,'Daily Workforce'!$J92="Y",IF(OR('Daily Schedule'!$A15=4,'Daily Schedule'!$A15=8),IF(OR(WEEKDAY('Daily Schedule'!$B$2,2)=1,WEEKDAY('Daily Schedule'!$B$2,2)=4,WEEKDAY('Daily Schedule'!$B$2,2)=5,WEEKDAY('Daily Schedule'!$B$2,2)=7),IFERROR(1*'Daily Workforce'!$K92&gt;=3,FALSE()),IFERROR(1*'Daily Workforce'!$K92&gt;=2,FALSE())),IF(AND('Daily Schedule'!$A15&gt;=46,'Daily Schedule'!$A15&lt;=52),'Daily Workforce'!$M92="Y",IFERROR(1*'Daily Workforce'!$P92&gt;=2,FALSE()))))),1,0)</f>
        <v>0</v>
      </c>
      <c r="CZ11" s="1" t="n">
        <f aca="false">IF(AND('Daily Workforce'!$N93="Y",'Daily Workforce'!$B93&lt;&gt;"",COUNTIF('Daily Schedule'!$F$5:$F14,'Daily Workforce'!$B93)=0,IF('Daily Schedule'!$A15=45,'Daily Workforce'!$J93="Y",IF(OR('Daily Schedule'!$A15=4,'Daily Schedule'!$A15=8),IF(OR(WEEKDAY('Daily Schedule'!$B$2,2)=1,WEEKDAY('Daily Schedule'!$B$2,2)=4,WEEKDAY('Daily Schedule'!$B$2,2)=5,WEEKDAY('Daily Schedule'!$B$2,2)=7),IFERROR(1*'Daily Workforce'!$K93&gt;=3,FALSE()),IFERROR(1*'Daily Workforce'!$K93&gt;=2,FALSE())),IF(AND('Daily Schedule'!$A15&gt;=46,'Daily Schedule'!$A15&lt;=52),'Daily Workforce'!$M93="Y",IFERROR(1*'Daily Workforce'!$P93&gt;=2,FALSE()))))),1,0)</f>
        <v>0</v>
      </c>
      <c r="DA11" s="1" t="n">
        <f aca="false">IF(AND('Daily Workforce'!$N94="Y",'Daily Workforce'!$B94&lt;&gt;"",COUNTIF('Daily Schedule'!$F$5:$F14,'Daily Workforce'!$B94)=0,IF('Daily Schedule'!$A15=45,'Daily Workforce'!$J94="Y",IF(OR('Daily Schedule'!$A15=4,'Daily Schedule'!$A15=8),IF(OR(WEEKDAY('Daily Schedule'!$B$2,2)=1,WEEKDAY('Daily Schedule'!$B$2,2)=4,WEEKDAY('Daily Schedule'!$B$2,2)=5,WEEKDAY('Daily Schedule'!$B$2,2)=7),IFERROR(1*'Daily Workforce'!$K94&gt;=3,FALSE()),IFERROR(1*'Daily Workforce'!$K94&gt;=2,FALSE())),IF(AND('Daily Schedule'!$A15&gt;=46,'Daily Schedule'!$A15&lt;=52),'Daily Workforce'!$M94="Y",IFERROR(1*'Daily Workforce'!$P94&gt;=2,FALSE()))))),1,0)</f>
        <v>0</v>
      </c>
      <c r="DB11" s="1" t="n">
        <f aca="false">IF(AND('Daily Workforce'!$N95="Y",'Daily Workforce'!$B95&lt;&gt;"",COUNTIF('Daily Schedule'!$F$5:$F14,'Daily Workforce'!$B95)=0,IF('Daily Schedule'!$A15=45,'Daily Workforce'!$J95="Y",IF(OR('Daily Schedule'!$A15=4,'Daily Schedule'!$A15=8),IF(OR(WEEKDAY('Daily Schedule'!$B$2,2)=1,WEEKDAY('Daily Schedule'!$B$2,2)=4,WEEKDAY('Daily Schedule'!$B$2,2)=5,WEEKDAY('Daily Schedule'!$B$2,2)=7),IFERROR(1*'Daily Workforce'!$K95&gt;=3,FALSE()),IFERROR(1*'Daily Workforce'!$K95&gt;=2,FALSE())),IF(AND('Daily Schedule'!$A15&gt;=46,'Daily Schedule'!$A15&lt;=52),'Daily Workforce'!$M95="Y",IFERROR(1*'Daily Workforce'!$P95&gt;=2,FALSE()))))),1,0)</f>
        <v>0</v>
      </c>
      <c r="DC11" s="1" t="n">
        <f aca="false">IF(AND('Daily Workforce'!$N96="Y",'Daily Workforce'!$B96&lt;&gt;"",COUNTIF('Daily Schedule'!$F$5:$F14,'Daily Workforce'!$B96)=0,IF('Daily Schedule'!$A15=45,'Daily Workforce'!$J96="Y",IF(OR('Daily Schedule'!$A15=4,'Daily Schedule'!$A15=8),IF(OR(WEEKDAY('Daily Schedule'!$B$2,2)=1,WEEKDAY('Daily Schedule'!$B$2,2)=4,WEEKDAY('Daily Schedule'!$B$2,2)=5,WEEKDAY('Daily Schedule'!$B$2,2)=7),IFERROR(1*'Daily Workforce'!$K96&gt;=3,FALSE()),IFERROR(1*'Daily Workforce'!$K96&gt;=2,FALSE())),IF(AND('Daily Schedule'!$A15&gt;=46,'Daily Schedule'!$A15&lt;=52),'Daily Workforce'!$M96="Y",IFERROR(1*'Daily Workforce'!$P96&gt;=2,FALSE()))))),1,0)</f>
        <v>0</v>
      </c>
      <c r="DD11" s="1" t="n">
        <f aca="false">IF(AND('Daily Workforce'!$N97="Y",'Daily Workforce'!$B97&lt;&gt;"",COUNTIF('Daily Schedule'!$F$5:$F14,'Daily Workforce'!$B97)=0,IF('Daily Schedule'!$A15=45,'Daily Workforce'!$J97="Y",IF(OR('Daily Schedule'!$A15=4,'Daily Schedule'!$A15=8),IF(OR(WEEKDAY('Daily Schedule'!$B$2,2)=1,WEEKDAY('Daily Schedule'!$B$2,2)=4,WEEKDAY('Daily Schedule'!$B$2,2)=5,WEEKDAY('Daily Schedule'!$B$2,2)=7),IFERROR(1*'Daily Workforce'!$K97&gt;=3,FALSE()),IFERROR(1*'Daily Workforce'!$K97&gt;=2,FALSE())),IF(AND('Daily Schedule'!$A15&gt;=46,'Daily Schedule'!$A15&lt;=52),'Daily Workforce'!$M97="Y",IFERROR(1*'Daily Workforce'!$P97&gt;=2,FALSE()))))),1,0)</f>
        <v>0</v>
      </c>
      <c r="DE11" s="1" t="n">
        <f aca="false">IF(AND('Daily Workforce'!$N98="Y",'Daily Workforce'!$B98&lt;&gt;"",COUNTIF('Daily Schedule'!$F$5:$F14,'Daily Workforce'!$B98)=0,IF('Daily Schedule'!$A15=45,'Daily Workforce'!$J98="Y",IF(OR('Daily Schedule'!$A15=4,'Daily Schedule'!$A15=8),IF(OR(WEEKDAY('Daily Schedule'!$B$2,2)=1,WEEKDAY('Daily Schedule'!$B$2,2)=4,WEEKDAY('Daily Schedule'!$B$2,2)=5,WEEKDAY('Daily Schedule'!$B$2,2)=7),IFERROR(1*'Daily Workforce'!$K98&gt;=3,FALSE()),IFERROR(1*'Daily Workforce'!$K98&gt;=2,FALSE())),IF(AND('Daily Schedule'!$A15&gt;=46,'Daily Schedule'!$A15&lt;=52),'Daily Workforce'!$M98="Y",IFERROR(1*'Daily Workforce'!$P98&gt;=2,FALSE()))))),1,0)</f>
        <v>0</v>
      </c>
      <c r="DF11" s="1" t="n">
        <f aca="false">IF(AND('Daily Workforce'!$N99="Y",'Daily Workforce'!$B99&lt;&gt;"",COUNTIF('Daily Schedule'!$F$5:$F14,'Daily Workforce'!$B99)=0,IF('Daily Schedule'!$A15=45,'Daily Workforce'!$J99="Y",IF(OR('Daily Schedule'!$A15=4,'Daily Schedule'!$A15=8),IF(OR(WEEKDAY('Daily Schedule'!$B$2,2)=1,WEEKDAY('Daily Schedule'!$B$2,2)=4,WEEKDAY('Daily Schedule'!$B$2,2)=5,WEEKDAY('Daily Schedule'!$B$2,2)=7),IFERROR(1*'Daily Workforce'!$K99&gt;=3,FALSE()),IFERROR(1*'Daily Workforce'!$K99&gt;=2,FALSE())),IF(AND('Daily Schedule'!$A15&gt;=46,'Daily Schedule'!$A15&lt;=52),'Daily Workforce'!$M99="Y",IFERROR(1*'Daily Workforce'!$P99&gt;=2,FALSE()))))),1,0)</f>
        <v>0</v>
      </c>
      <c r="DG11" s="1" t="n">
        <f aca="false">IF(AND('Daily Workforce'!$N100="Y",'Daily Workforce'!$B100&lt;&gt;"",COUNTIF('Daily Schedule'!$F$5:$F14,'Daily Workforce'!$B100)=0,IF('Daily Schedule'!$A15=45,'Daily Workforce'!$J100="Y",IF(OR('Daily Schedule'!$A15=4,'Daily Schedule'!$A15=8),IF(OR(WEEKDAY('Daily Schedule'!$B$2,2)=1,WEEKDAY('Daily Schedule'!$B$2,2)=4,WEEKDAY('Daily Schedule'!$B$2,2)=5,WEEKDAY('Daily Schedule'!$B$2,2)=7),IFERROR(1*'Daily Workforce'!$K100&gt;=3,FALSE()),IFERROR(1*'Daily Workforce'!$K100&gt;=2,FALSE())),IF(AND('Daily Schedule'!$A15&gt;=46,'Daily Schedule'!$A15&lt;=52),'Daily Workforce'!$M100="Y",IFERROR(1*'Daily Workforce'!$P100&gt;=2,FALSE()))))),1,0)</f>
        <v>0</v>
      </c>
      <c r="DH11" s="1" t="n">
        <f aca="false">IF(AND('Daily Workforce'!$N101="Y",'Daily Workforce'!$B101&lt;&gt;"",COUNTIF('Daily Schedule'!$F$5:$F14,'Daily Workforce'!$B101)=0,IF('Daily Schedule'!$A15=45,'Daily Workforce'!$J101="Y",IF(OR('Daily Schedule'!$A15=4,'Daily Schedule'!$A15=8),IF(OR(WEEKDAY('Daily Schedule'!$B$2,2)=1,WEEKDAY('Daily Schedule'!$B$2,2)=4,WEEKDAY('Daily Schedule'!$B$2,2)=5,WEEKDAY('Daily Schedule'!$B$2,2)=7),IFERROR(1*'Daily Workforce'!$K101&gt;=3,FALSE()),IFERROR(1*'Daily Workforce'!$K101&gt;=2,FALSE())),IF(AND('Daily Schedule'!$A15&gt;=46,'Daily Schedule'!$A15&lt;=52),'Daily Workforce'!$M101="Y",IFERROR(1*'Daily Workforce'!$P101&gt;=2,FALSE()))))),1,0)</f>
        <v>0</v>
      </c>
      <c r="DI11" s="1" t="n">
        <f aca="false">IF(AND('Daily Workforce'!$N102="Y",'Daily Workforce'!$B102&lt;&gt;"",COUNTIF('Daily Schedule'!$F$5:$F14,'Daily Workforce'!$B102)=0,IF('Daily Schedule'!$A15=45,'Daily Workforce'!$J102="Y",IF(OR('Daily Schedule'!$A15=4,'Daily Schedule'!$A15=8),IF(OR(WEEKDAY('Daily Schedule'!$B$2,2)=1,WEEKDAY('Daily Schedule'!$B$2,2)=4,WEEKDAY('Daily Schedule'!$B$2,2)=5,WEEKDAY('Daily Schedule'!$B$2,2)=7),IFERROR(1*'Daily Workforce'!$K102&gt;=3,FALSE()),IFERROR(1*'Daily Workforce'!$K102&gt;=2,FALSE())),IF(AND('Daily Schedule'!$A15&gt;=46,'Daily Schedule'!$A15&lt;=52),'Daily Workforce'!$M102="Y",IFERROR(1*'Daily Workforce'!$P102&gt;=2,FALSE()))))),1,0)</f>
        <v>0</v>
      </c>
      <c r="DJ11" s="1" t="n">
        <f aca="false">IF(AND('Daily Workforce'!$N103="Y",'Daily Workforce'!$B103&lt;&gt;"",COUNTIF('Daily Schedule'!$F$5:$F14,'Daily Workforce'!$B103)=0,IF('Daily Schedule'!$A15=45,'Daily Workforce'!$J103="Y",IF(OR('Daily Schedule'!$A15=4,'Daily Schedule'!$A15=8),IF(OR(WEEKDAY('Daily Schedule'!$B$2,2)=1,WEEKDAY('Daily Schedule'!$B$2,2)=4,WEEKDAY('Daily Schedule'!$B$2,2)=5,WEEKDAY('Daily Schedule'!$B$2,2)=7),IFERROR(1*'Daily Workforce'!$K103&gt;=3,FALSE()),IFERROR(1*'Daily Workforce'!$K103&gt;=2,FALSE())),IF(AND('Daily Schedule'!$A15&gt;=46,'Daily Schedule'!$A15&lt;=52),'Daily Workforce'!$M103="Y",IFERROR(1*'Daily Workforce'!$P103&gt;=2,FALSE()))))),1,0)</f>
        <v>0</v>
      </c>
      <c r="DK11" s="1" t="n">
        <f aca="false">IF(AND('Daily Workforce'!$N104="Y",'Daily Workforce'!$B104&lt;&gt;"",COUNTIF('Daily Schedule'!$F$5:$F14,'Daily Workforce'!$B104)=0,IF('Daily Schedule'!$A15=45,'Daily Workforce'!$J104="Y",IF(OR('Daily Schedule'!$A15=4,'Daily Schedule'!$A15=8),IF(OR(WEEKDAY('Daily Schedule'!$B$2,2)=1,WEEKDAY('Daily Schedule'!$B$2,2)=4,WEEKDAY('Daily Schedule'!$B$2,2)=5,WEEKDAY('Daily Schedule'!$B$2,2)=7),IFERROR(1*'Daily Workforce'!$K104&gt;=3,FALSE()),IFERROR(1*'Daily Workforce'!$K104&gt;=2,FALSE())),IF(AND('Daily Schedule'!$A15&gt;=46,'Daily Schedule'!$A15&lt;=52),'Daily Workforce'!$M104="Y",IFERROR(1*'Daily Workforce'!$P104&gt;=2,FALSE()))))),1,0)</f>
        <v>0</v>
      </c>
      <c r="DL11" s="1" t="n">
        <f aca="false">IF(AND('Daily Workforce'!$N105="Y",'Daily Workforce'!$B105&lt;&gt;"",COUNTIF('Daily Schedule'!$F$5:$F14,'Daily Workforce'!$B105)=0,IF('Daily Schedule'!$A15=45,'Daily Workforce'!$J105="Y",IF(OR('Daily Schedule'!$A15=4,'Daily Schedule'!$A15=8),IF(OR(WEEKDAY('Daily Schedule'!$B$2,2)=1,WEEKDAY('Daily Schedule'!$B$2,2)=4,WEEKDAY('Daily Schedule'!$B$2,2)=5,WEEKDAY('Daily Schedule'!$B$2,2)=7),IFERROR(1*'Daily Workforce'!$K105&gt;=3,FALSE()),IFERROR(1*'Daily Workforce'!$K105&gt;=2,FALSE())),IF(AND('Daily Schedule'!$A15&gt;=46,'Daily Schedule'!$A15&lt;=52),'Daily Workforce'!$M105="Y",IFERROR(1*'Daily Workforce'!$P105&gt;=2,FALSE()))))),1,0)</f>
        <v>0</v>
      </c>
      <c r="DM11" s="1" t="n">
        <f aca="false">IF(AND('Daily Workforce'!$N106="Y",'Daily Workforce'!$B106&lt;&gt;"",COUNTIF('Daily Schedule'!$F$5:$F14,'Daily Workforce'!$B106)=0,IF('Daily Schedule'!$A15=45,'Daily Workforce'!$J106="Y",IF(OR('Daily Schedule'!$A15=4,'Daily Schedule'!$A15=8),IF(OR(WEEKDAY('Daily Schedule'!$B$2,2)=1,WEEKDAY('Daily Schedule'!$B$2,2)=4,WEEKDAY('Daily Schedule'!$B$2,2)=5,WEEKDAY('Daily Schedule'!$B$2,2)=7),IFERROR(1*'Daily Workforce'!$K106&gt;=3,FALSE()),IFERROR(1*'Daily Workforce'!$K106&gt;=2,FALSE())),IF(AND('Daily Schedule'!$A15&gt;=46,'Daily Schedule'!$A15&lt;=52),'Daily Workforce'!$M106="Y",IFERROR(1*'Daily Workforce'!$P106&gt;=2,FALSE()))))),1,0)</f>
        <v>0</v>
      </c>
      <c r="DN11" s="1" t="n">
        <f aca="false">IF(AND('Daily Workforce'!$N107="Y",'Daily Workforce'!$B107&lt;&gt;"",COUNTIF('Daily Schedule'!$F$5:$F14,'Daily Workforce'!$B107)=0,IF('Daily Schedule'!$A15=45,'Daily Workforce'!$J107="Y",IF(OR('Daily Schedule'!$A15=4,'Daily Schedule'!$A15=8),IF(OR(WEEKDAY('Daily Schedule'!$B$2,2)=1,WEEKDAY('Daily Schedule'!$B$2,2)=4,WEEKDAY('Daily Schedule'!$B$2,2)=5,WEEKDAY('Daily Schedule'!$B$2,2)=7),IFERROR(1*'Daily Workforce'!$K107&gt;=3,FALSE()),IFERROR(1*'Daily Workforce'!$K107&gt;=2,FALSE())),IF(AND('Daily Schedule'!$A15&gt;=46,'Daily Schedule'!$A15&lt;=52),'Daily Workforce'!$M107="Y",IFERROR(1*'Daily Workforce'!$P107&gt;=2,FALSE()))))),1,0)</f>
        <v>0</v>
      </c>
      <c r="DO11" s="1" t="n">
        <f aca="false">IF(AND('Daily Workforce'!$N108="Y",'Daily Workforce'!$B108&lt;&gt;"",COUNTIF('Daily Schedule'!$F$5:$F14,'Daily Workforce'!$B108)=0,IF('Daily Schedule'!$A15=45,'Daily Workforce'!$J108="Y",IF(OR('Daily Schedule'!$A15=4,'Daily Schedule'!$A15=8),IF(OR(WEEKDAY('Daily Schedule'!$B$2,2)=1,WEEKDAY('Daily Schedule'!$B$2,2)=4,WEEKDAY('Daily Schedule'!$B$2,2)=5,WEEKDAY('Daily Schedule'!$B$2,2)=7),IFERROR(1*'Daily Workforce'!$K108&gt;=3,FALSE()),IFERROR(1*'Daily Workforce'!$K108&gt;=2,FALSE())),IF(AND('Daily Schedule'!$A15&gt;=46,'Daily Schedule'!$A15&lt;=52),'Daily Workforce'!$M108="Y",IFERROR(1*'Daily Workforce'!$P108&gt;=2,FALSE()))))),1,0)</f>
        <v>0</v>
      </c>
      <c r="DP11" s="1" t="n">
        <f aca="false">IF(AND('Daily Workforce'!$N109="Y",'Daily Workforce'!$B109&lt;&gt;"",COUNTIF('Daily Schedule'!$F$5:$F14,'Daily Workforce'!$B109)=0,IF('Daily Schedule'!$A15=45,'Daily Workforce'!$J109="Y",IF(OR('Daily Schedule'!$A15=4,'Daily Schedule'!$A15=8),IF(OR(WEEKDAY('Daily Schedule'!$B$2,2)=1,WEEKDAY('Daily Schedule'!$B$2,2)=4,WEEKDAY('Daily Schedule'!$B$2,2)=5,WEEKDAY('Daily Schedule'!$B$2,2)=7),IFERROR(1*'Daily Workforce'!$K109&gt;=3,FALSE()),IFERROR(1*'Daily Workforce'!$K109&gt;=2,FALSE())),IF(AND('Daily Schedule'!$A15&gt;=46,'Daily Schedule'!$A15&lt;=52),'Daily Workforce'!$M109="Y",IFERROR(1*'Daily Workforce'!$P109&gt;=2,FALSE()))))),1,0)</f>
        <v>0</v>
      </c>
      <c r="DQ11" s="1" t="n">
        <f aca="false">IF(AND('Daily Workforce'!$N110="Y",'Daily Workforce'!$B110&lt;&gt;"",COUNTIF('Daily Schedule'!$F$5:$F14,'Daily Workforce'!$B110)=0,IF('Daily Schedule'!$A15=45,'Daily Workforce'!$J110="Y",IF(OR('Daily Schedule'!$A15=4,'Daily Schedule'!$A15=8),IF(OR(WEEKDAY('Daily Schedule'!$B$2,2)=1,WEEKDAY('Daily Schedule'!$B$2,2)=4,WEEKDAY('Daily Schedule'!$B$2,2)=5,WEEKDAY('Daily Schedule'!$B$2,2)=7),IFERROR(1*'Daily Workforce'!$K110&gt;=3,FALSE()),IFERROR(1*'Daily Workforce'!$K110&gt;=2,FALSE())),IF(AND('Daily Schedule'!$A15&gt;=46,'Daily Schedule'!$A15&lt;=52),'Daily Workforce'!$M110="Y",IFERROR(1*'Daily Workforce'!$P110&gt;=2,FALSE()))))),1,0)</f>
        <v>0</v>
      </c>
      <c r="DR11" s="1" t="n">
        <f aca="false">IF(AND('Daily Workforce'!$N111="Y",'Daily Workforce'!$B111&lt;&gt;"",COUNTIF('Daily Schedule'!$F$5:$F14,'Daily Workforce'!$B111)=0,IF('Daily Schedule'!$A15=45,'Daily Workforce'!$J111="Y",IF(OR('Daily Schedule'!$A15=4,'Daily Schedule'!$A15=8),IF(OR(WEEKDAY('Daily Schedule'!$B$2,2)=1,WEEKDAY('Daily Schedule'!$B$2,2)=4,WEEKDAY('Daily Schedule'!$B$2,2)=5,WEEKDAY('Daily Schedule'!$B$2,2)=7),IFERROR(1*'Daily Workforce'!$K111&gt;=3,FALSE()),IFERROR(1*'Daily Workforce'!$K111&gt;=2,FALSE())),IF(AND('Daily Schedule'!$A15&gt;=46,'Daily Schedule'!$A15&lt;=52),'Daily Workforce'!$M111="Y",IFERROR(1*'Daily Workforce'!$P111&gt;=2,FALSE()))))),1,0)</f>
        <v>0</v>
      </c>
      <c r="DS11" s="1" t="n">
        <f aca="false">IF(AND('Daily Workforce'!$N112="Y",'Daily Workforce'!$B112&lt;&gt;"",COUNTIF('Daily Schedule'!$F$5:$F14,'Daily Workforce'!$B112)=0,IF('Daily Schedule'!$A15=45,'Daily Workforce'!$J112="Y",IF(OR('Daily Schedule'!$A15=4,'Daily Schedule'!$A15=8),IF(OR(WEEKDAY('Daily Schedule'!$B$2,2)=1,WEEKDAY('Daily Schedule'!$B$2,2)=4,WEEKDAY('Daily Schedule'!$B$2,2)=5,WEEKDAY('Daily Schedule'!$B$2,2)=7),IFERROR(1*'Daily Workforce'!$K112&gt;=3,FALSE()),IFERROR(1*'Daily Workforce'!$K112&gt;=2,FALSE())),IF(AND('Daily Schedule'!$A15&gt;=46,'Daily Schedule'!$A15&lt;=52),'Daily Workforce'!$M112="Y",IFERROR(1*'Daily Workforce'!$P112&gt;=2,FALSE()))))),1,0)</f>
        <v>0</v>
      </c>
      <c r="DT11" s="1" t="n">
        <f aca="false">IF(AND('Daily Workforce'!$N113="Y",'Daily Workforce'!$B113&lt;&gt;"",COUNTIF('Daily Schedule'!$F$5:$F14,'Daily Workforce'!$B113)=0,IF('Daily Schedule'!$A15=45,'Daily Workforce'!$J113="Y",IF(OR('Daily Schedule'!$A15=4,'Daily Schedule'!$A15=8),IF(OR(WEEKDAY('Daily Schedule'!$B$2,2)=1,WEEKDAY('Daily Schedule'!$B$2,2)=4,WEEKDAY('Daily Schedule'!$B$2,2)=5,WEEKDAY('Daily Schedule'!$B$2,2)=7),IFERROR(1*'Daily Workforce'!$K113&gt;=3,FALSE()),IFERROR(1*'Daily Workforce'!$K113&gt;=2,FALSE())),IF(AND('Daily Schedule'!$A15&gt;=46,'Daily Schedule'!$A15&lt;=52),'Daily Workforce'!$M113="Y",IFERROR(1*'Daily Workforce'!$P113&gt;=2,FALSE()))))),1,0)</f>
        <v>0</v>
      </c>
      <c r="DU11" s="1" t="n">
        <f aca="false">IF(AND('Daily Workforce'!$N114="Y",'Daily Workforce'!$B114&lt;&gt;"",COUNTIF('Daily Schedule'!$F$5:$F14,'Daily Workforce'!$B114)=0,IF('Daily Schedule'!$A15=45,'Daily Workforce'!$J114="Y",IF(OR('Daily Schedule'!$A15=4,'Daily Schedule'!$A15=8),IF(OR(WEEKDAY('Daily Schedule'!$B$2,2)=1,WEEKDAY('Daily Schedule'!$B$2,2)=4,WEEKDAY('Daily Schedule'!$B$2,2)=5,WEEKDAY('Daily Schedule'!$B$2,2)=7),IFERROR(1*'Daily Workforce'!$K114&gt;=3,FALSE()),IFERROR(1*'Daily Workforce'!$K114&gt;=2,FALSE())),IF(AND('Daily Schedule'!$A15&gt;=46,'Daily Schedule'!$A15&lt;=52),'Daily Workforce'!$M114="Y",IFERROR(1*'Daily Workforce'!$P114&gt;=2,FALSE()))))),1,0)</f>
        <v>0</v>
      </c>
      <c r="DV11" s="1" t="n">
        <f aca="false">IF(AND('Daily Workforce'!$N115="Y",'Daily Workforce'!$B115&lt;&gt;"",COUNTIF('Daily Schedule'!$F$5:$F14,'Daily Workforce'!$B115)=0,IF('Daily Schedule'!$A15=45,'Daily Workforce'!$J115="Y",IF(OR('Daily Schedule'!$A15=4,'Daily Schedule'!$A15=8),IF(OR(WEEKDAY('Daily Schedule'!$B$2,2)=1,WEEKDAY('Daily Schedule'!$B$2,2)=4,WEEKDAY('Daily Schedule'!$B$2,2)=5,WEEKDAY('Daily Schedule'!$B$2,2)=7),IFERROR(1*'Daily Workforce'!$K115&gt;=3,FALSE()),IFERROR(1*'Daily Workforce'!$K115&gt;=2,FALSE())),IF(AND('Daily Schedule'!$A15&gt;=46,'Daily Schedule'!$A15&lt;=52),'Daily Workforce'!$M115="Y",IFERROR(1*'Daily Workforce'!$P115&gt;=2,FALSE()))))),1,0)</f>
        <v>0</v>
      </c>
      <c r="DW11" s="1" t="n">
        <f aca="false">IF(AND('Daily Workforce'!$N116="Y",'Daily Workforce'!$B116&lt;&gt;"",COUNTIF('Daily Schedule'!$F$5:$F14,'Daily Workforce'!$B116)=0,IF('Daily Schedule'!$A15=45,'Daily Workforce'!$J116="Y",IF(OR('Daily Schedule'!$A15=4,'Daily Schedule'!$A15=8),IF(OR(WEEKDAY('Daily Schedule'!$B$2,2)=1,WEEKDAY('Daily Schedule'!$B$2,2)=4,WEEKDAY('Daily Schedule'!$B$2,2)=5,WEEKDAY('Daily Schedule'!$B$2,2)=7),IFERROR(1*'Daily Workforce'!$K116&gt;=3,FALSE()),IFERROR(1*'Daily Workforce'!$K116&gt;=2,FALSE())),IF(AND('Daily Schedule'!$A15&gt;=46,'Daily Schedule'!$A15&lt;=52),'Daily Workforce'!$M116="Y",IFERROR(1*'Daily Workforce'!$P116&gt;=2,FALSE()))))),1,0)</f>
        <v>0</v>
      </c>
      <c r="DX11" s="1" t="n">
        <f aca="false">IF(AND('Daily Workforce'!$N117="Y",'Daily Workforce'!$B117&lt;&gt;"",COUNTIF('Daily Schedule'!$F$5:$F14,'Daily Workforce'!$B117)=0,IF('Daily Schedule'!$A15=45,'Daily Workforce'!$J117="Y",IF(OR('Daily Schedule'!$A15=4,'Daily Schedule'!$A15=8),IF(OR(WEEKDAY('Daily Schedule'!$B$2,2)=1,WEEKDAY('Daily Schedule'!$B$2,2)=4,WEEKDAY('Daily Schedule'!$B$2,2)=5,WEEKDAY('Daily Schedule'!$B$2,2)=7),IFERROR(1*'Daily Workforce'!$K117&gt;=3,FALSE()),IFERROR(1*'Daily Workforce'!$K117&gt;=2,FALSE())),IF(AND('Daily Schedule'!$A15&gt;=46,'Daily Schedule'!$A15&lt;=52),'Daily Workforce'!$M117="Y",IFERROR(1*'Daily Workforce'!$P117&gt;=2,FALSE()))))),1,0)</f>
        <v>0</v>
      </c>
      <c r="DY11" s="1" t="n">
        <f aca="false">IF(AND('Daily Workforce'!$N118="Y",'Daily Workforce'!$B118&lt;&gt;"",COUNTIF('Daily Schedule'!$F$5:$F14,'Daily Workforce'!$B118)=0,IF('Daily Schedule'!$A15=45,'Daily Workforce'!$J118="Y",IF(OR('Daily Schedule'!$A15=4,'Daily Schedule'!$A15=8),IF(OR(WEEKDAY('Daily Schedule'!$B$2,2)=1,WEEKDAY('Daily Schedule'!$B$2,2)=4,WEEKDAY('Daily Schedule'!$B$2,2)=5,WEEKDAY('Daily Schedule'!$B$2,2)=7),IFERROR(1*'Daily Workforce'!$K118&gt;=3,FALSE()),IFERROR(1*'Daily Workforce'!$K118&gt;=2,FALSE())),IF(AND('Daily Schedule'!$A15&gt;=46,'Daily Schedule'!$A15&lt;=52),'Daily Workforce'!$M118="Y",IFERROR(1*'Daily Workforce'!$P118&gt;=2,FALSE()))))),1,0)</f>
        <v>0</v>
      </c>
      <c r="DZ11" s="1" t="n">
        <f aca="false">IF(AND('Daily Workforce'!$N119="Y",'Daily Workforce'!$B119&lt;&gt;"",COUNTIF('Daily Schedule'!$F$5:$F14,'Daily Workforce'!$B119)=0,IF('Daily Schedule'!$A15=45,'Daily Workforce'!$J119="Y",IF(OR('Daily Schedule'!$A15=4,'Daily Schedule'!$A15=8),IF(OR(WEEKDAY('Daily Schedule'!$B$2,2)=1,WEEKDAY('Daily Schedule'!$B$2,2)=4,WEEKDAY('Daily Schedule'!$B$2,2)=5,WEEKDAY('Daily Schedule'!$B$2,2)=7),IFERROR(1*'Daily Workforce'!$K119&gt;=3,FALSE()),IFERROR(1*'Daily Workforce'!$K119&gt;=2,FALSE())),IF(AND('Daily Schedule'!$A15&gt;=46,'Daily Schedule'!$A15&lt;=52),'Daily Workforce'!$M119="Y",IFERROR(1*'Daily Workforce'!$P119&gt;=2,FALSE()))))),1,0)</f>
        <v>0</v>
      </c>
      <c r="EA11" s="1" t="n">
        <f aca="false">IF(AND('Daily Workforce'!$N120="Y",'Daily Workforce'!$B120&lt;&gt;"",COUNTIF('Daily Schedule'!$F$5:$F14,'Daily Workforce'!$B120)=0,IF('Daily Schedule'!$A15=45,'Daily Workforce'!$J120="Y",IF(OR('Daily Schedule'!$A15=4,'Daily Schedule'!$A15=8),IF(OR(WEEKDAY('Daily Schedule'!$B$2,2)=1,WEEKDAY('Daily Schedule'!$B$2,2)=4,WEEKDAY('Daily Schedule'!$B$2,2)=5,WEEKDAY('Daily Schedule'!$B$2,2)=7),IFERROR(1*'Daily Workforce'!$K120&gt;=3,FALSE()),IFERROR(1*'Daily Workforce'!$K120&gt;=2,FALSE())),IF(AND('Daily Schedule'!$A15&gt;=46,'Daily Schedule'!$A15&lt;=52),'Daily Workforce'!$M120="Y",IFERROR(1*'Daily Workforce'!$P120&gt;=2,FALSE()))))),1,0)</f>
        <v>0</v>
      </c>
      <c r="EB11" s="1" t="n">
        <f aca="false">IF(AND('Daily Workforce'!$N121="Y",'Daily Workforce'!$B121&lt;&gt;"",COUNTIF('Daily Schedule'!$F$5:$F14,'Daily Workforce'!$B121)=0,IF('Daily Schedule'!$A15=45,'Daily Workforce'!$J121="Y",IF(OR('Daily Schedule'!$A15=4,'Daily Schedule'!$A15=8),IF(OR(WEEKDAY('Daily Schedule'!$B$2,2)=1,WEEKDAY('Daily Schedule'!$B$2,2)=4,WEEKDAY('Daily Schedule'!$B$2,2)=5,WEEKDAY('Daily Schedule'!$B$2,2)=7),IFERROR(1*'Daily Workforce'!$K121&gt;=3,FALSE()),IFERROR(1*'Daily Workforce'!$K121&gt;=2,FALSE())),IF(AND('Daily Schedule'!$A15&gt;=46,'Daily Schedule'!$A15&lt;=52),'Daily Workforce'!$M121="Y",IFERROR(1*'Daily Workforce'!$P121&gt;=2,FALSE()))))),1,0)</f>
        <v>0</v>
      </c>
      <c r="EC11" s="1" t="n">
        <f aca="false">IF(AND('Daily Workforce'!$N122="Y",'Daily Workforce'!$B122&lt;&gt;"",COUNTIF('Daily Schedule'!$F$5:$F14,'Daily Workforce'!$B122)=0,IF('Daily Schedule'!$A15=45,'Daily Workforce'!$J122="Y",IF(OR('Daily Schedule'!$A15=4,'Daily Schedule'!$A15=8),IF(OR(WEEKDAY('Daily Schedule'!$B$2,2)=1,WEEKDAY('Daily Schedule'!$B$2,2)=4,WEEKDAY('Daily Schedule'!$B$2,2)=5,WEEKDAY('Daily Schedule'!$B$2,2)=7),IFERROR(1*'Daily Workforce'!$K122&gt;=3,FALSE()),IFERROR(1*'Daily Workforce'!$K122&gt;=2,FALSE())),IF(AND('Daily Schedule'!$A15&gt;=46,'Daily Schedule'!$A15&lt;=52),'Daily Workforce'!$M122="Y",IFERROR(1*'Daily Workforce'!$P122&gt;=2,FALSE()))))),1,0)</f>
        <v>0</v>
      </c>
      <c r="ED11" s="1" t="n">
        <f aca="false">IF(AND('Daily Workforce'!$N123="Y",'Daily Workforce'!$B123&lt;&gt;"",COUNTIF('Daily Schedule'!$F$5:$F14,'Daily Workforce'!$B123)=0,IF('Daily Schedule'!$A15=45,'Daily Workforce'!$J123="Y",IF(OR('Daily Schedule'!$A15=4,'Daily Schedule'!$A15=8),IF(OR(WEEKDAY('Daily Schedule'!$B$2,2)=1,WEEKDAY('Daily Schedule'!$B$2,2)=4,WEEKDAY('Daily Schedule'!$B$2,2)=5,WEEKDAY('Daily Schedule'!$B$2,2)=7),IFERROR(1*'Daily Workforce'!$K123&gt;=3,FALSE()),IFERROR(1*'Daily Workforce'!$K123&gt;=2,FALSE())),IF(AND('Daily Schedule'!$A15&gt;=46,'Daily Schedule'!$A15&lt;=52),'Daily Workforce'!$M123="Y",IFERROR(1*'Daily Workforce'!$P123&gt;=2,FALSE()))))),1,0)</f>
        <v>0</v>
      </c>
      <c r="EE11" s="1" t="n">
        <f aca="false">IF(AND('Daily Workforce'!$N124="Y",'Daily Workforce'!$B124&lt;&gt;"",COUNTIF('Daily Schedule'!$F$5:$F14,'Daily Workforce'!$B124)=0,IF('Daily Schedule'!$A15=45,'Daily Workforce'!$J124="Y",IF(OR('Daily Schedule'!$A15=4,'Daily Schedule'!$A15=8),IF(OR(WEEKDAY('Daily Schedule'!$B$2,2)=1,WEEKDAY('Daily Schedule'!$B$2,2)=4,WEEKDAY('Daily Schedule'!$B$2,2)=5,WEEKDAY('Daily Schedule'!$B$2,2)=7),IFERROR(1*'Daily Workforce'!$K124&gt;=3,FALSE()),IFERROR(1*'Daily Workforce'!$K124&gt;=2,FALSE())),IF(AND('Daily Schedule'!$A15&gt;=46,'Daily Schedule'!$A15&lt;=52),'Daily Workforce'!$M124="Y",IFERROR(1*'Daily Workforce'!$P124&gt;=2,FALSE()))))),1,0)</f>
        <v>0</v>
      </c>
      <c r="EF11" s="1" t="n">
        <f aca="false">IF(AND('Daily Workforce'!$N125="Y",'Daily Workforce'!$B125&lt;&gt;"",COUNTIF('Daily Schedule'!$F$5:$F14,'Daily Workforce'!$B125)=0,IF('Daily Schedule'!$A15=45,'Daily Workforce'!$J125="Y",IF(OR('Daily Schedule'!$A15=4,'Daily Schedule'!$A15=8),IF(OR(WEEKDAY('Daily Schedule'!$B$2,2)=1,WEEKDAY('Daily Schedule'!$B$2,2)=4,WEEKDAY('Daily Schedule'!$B$2,2)=5,WEEKDAY('Daily Schedule'!$B$2,2)=7),IFERROR(1*'Daily Workforce'!$K125&gt;=3,FALSE()),IFERROR(1*'Daily Workforce'!$K125&gt;=2,FALSE())),IF(AND('Daily Schedule'!$A15&gt;=46,'Daily Schedule'!$A15&lt;=52),'Daily Workforce'!$M125="Y",IFERROR(1*'Daily Workforce'!$P125&gt;=2,FALSE()))))),1,0)</f>
        <v>0</v>
      </c>
      <c r="EG11" s="1" t="n">
        <f aca="false">IF(AND('Daily Workforce'!$N126="Y",'Daily Workforce'!$B126&lt;&gt;"",COUNTIF('Daily Schedule'!$F$5:$F14,'Daily Workforce'!$B126)=0,IF('Daily Schedule'!$A15=45,'Daily Workforce'!$J126="Y",IF(OR('Daily Schedule'!$A15=4,'Daily Schedule'!$A15=8),IF(OR(WEEKDAY('Daily Schedule'!$B$2,2)=1,WEEKDAY('Daily Schedule'!$B$2,2)=4,WEEKDAY('Daily Schedule'!$B$2,2)=5,WEEKDAY('Daily Schedule'!$B$2,2)=7),IFERROR(1*'Daily Workforce'!$K126&gt;=3,FALSE()),IFERROR(1*'Daily Workforce'!$K126&gt;=2,FALSE())),IF(AND('Daily Schedule'!$A15&gt;=46,'Daily Schedule'!$A15&lt;=52),'Daily Workforce'!$M126="Y",IFERROR(1*'Daily Workforce'!$P126&gt;=2,FALSE()))))),1,0)</f>
        <v>0</v>
      </c>
      <c r="EH11" s="1" t="n">
        <f aca="false">IF(AND('Daily Workforce'!$N127="Y",'Daily Workforce'!$B127&lt;&gt;"",COUNTIF('Daily Schedule'!$F$5:$F14,'Daily Workforce'!$B127)=0,IF('Daily Schedule'!$A15=45,'Daily Workforce'!$J127="Y",IF(OR('Daily Schedule'!$A15=4,'Daily Schedule'!$A15=8),IF(OR(WEEKDAY('Daily Schedule'!$B$2,2)=1,WEEKDAY('Daily Schedule'!$B$2,2)=4,WEEKDAY('Daily Schedule'!$B$2,2)=5,WEEKDAY('Daily Schedule'!$B$2,2)=7),IFERROR(1*'Daily Workforce'!$K127&gt;=3,FALSE()),IFERROR(1*'Daily Workforce'!$K127&gt;=2,FALSE())),IF(AND('Daily Schedule'!$A15&gt;=46,'Daily Schedule'!$A15&lt;=52),'Daily Workforce'!$M127="Y",IFERROR(1*'Daily Workforce'!$P127&gt;=2,FALSE()))))),1,0)</f>
        <v>0</v>
      </c>
      <c r="EI11" s="1" t="n">
        <f aca="false">IF(AND('Daily Workforce'!$N128="Y",'Daily Workforce'!$B128&lt;&gt;"",COUNTIF('Daily Schedule'!$F$5:$F14,'Daily Workforce'!$B128)=0,IF('Daily Schedule'!$A15=45,'Daily Workforce'!$J128="Y",IF(OR('Daily Schedule'!$A15=4,'Daily Schedule'!$A15=8),IF(OR(WEEKDAY('Daily Schedule'!$B$2,2)=1,WEEKDAY('Daily Schedule'!$B$2,2)=4,WEEKDAY('Daily Schedule'!$B$2,2)=5,WEEKDAY('Daily Schedule'!$B$2,2)=7),IFERROR(1*'Daily Workforce'!$K128&gt;=3,FALSE()),IFERROR(1*'Daily Workforce'!$K128&gt;=2,FALSE())),IF(AND('Daily Schedule'!$A15&gt;=46,'Daily Schedule'!$A15&lt;=52),'Daily Workforce'!$M128="Y",IFERROR(1*'Daily Workforce'!$P128&gt;=2,FALSE()))))),1,0)</f>
        <v>0</v>
      </c>
      <c r="EJ11" s="1" t="n">
        <f aca="false">IF(AND('Daily Workforce'!$N129="Y",'Daily Workforce'!$B129&lt;&gt;"",COUNTIF('Daily Schedule'!$F$5:$F14,'Daily Workforce'!$B129)=0,IF('Daily Schedule'!$A15=45,'Daily Workforce'!$J129="Y",IF(OR('Daily Schedule'!$A15=4,'Daily Schedule'!$A15=8),IF(OR(WEEKDAY('Daily Schedule'!$B$2,2)=1,WEEKDAY('Daily Schedule'!$B$2,2)=4,WEEKDAY('Daily Schedule'!$B$2,2)=5,WEEKDAY('Daily Schedule'!$B$2,2)=7),IFERROR(1*'Daily Workforce'!$K129&gt;=3,FALSE()),IFERROR(1*'Daily Workforce'!$K129&gt;=2,FALSE())),IF(AND('Daily Schedule'!$A15&gt;=46,'Daily Schedule'!$A15&lt;=52),'Daily Workforce'!$M129="Y",IFERROR(1*'Daily Workforce'!$P129&gt;=2,FALSE()))))),1,0)</f>
        <v>0</v>
      </c>
      <c r="EK11" s="1" t="n">
        <f aca="false">IF(AND('Daily Workforce'!$N130="Y",'Daily Workforce'!$B130&lt;&gt;"",COUNTIF('Daily Schedule'!$F$5:$F14,'Daily Workforce'!$B130)=0,IF('Daily Schedule'!$A15=45,'Daily Workforce'!$J130="Y",IF(OR('Daily Schedule'!$A15=4,'Daily Schedule'!$A15=8),IF(OR(WEEKDAY('Daily Schedule'!$B$2,2)=1,WEEKDAY('Daily Schedule'!$B$2,2)=4,WEEKDAY('Daily Schedule'!$B$2,2)=5,WEEKDAY('Daily Schedule'!$B$2,2)=7),IFERROR(1*'Daily Workforce'!$K130&gt;=3,FALSE()),IFERROR(1*'Daily Workforce'!$K130&gt;=2,FALSE())),IF(AND('Daily Schedule'!$A15&gt;=46,'Daily Schedule'!$A15&lt;=52),'Daily Workforce'!$M130="Y",IFERROR(1*'Daily Workforce'!$P130&gt;=2,FALSE()))))),1,0)</f>
        <v>0</v>
      </c>
      <c r="EL11" s="1" t="n">
        <f aca="false">IF(AND('Daily Workforce'!$N131="Y",'Daily Workforce'!$B131&lt;&gt;"",COUNTIF('Daily Schedule'!$F$5:$F14,'Daily Workforce'!$B131)=0,IF('Daily Schedule'!$A15=45,'Daily Workforce'!$J131="Y",IF(OR('Daily Schedule'!$A15=4,'Daily Schedule'!$A15=8),IF(OR(WEEKDAY('Daily Schedule'!$B$2,2)=1,WEEKDAY('Daily Schedule'!$B$2,2)=4,WEEKDAY('Daily Schedule'!$B$2,2)=5,WEEKDAY('Daily Schedule'!$B$2,2)=7),IFERROR(1*'Daily Workforce'!$K131&gt;=3,FALSE()),IFERROR(1*'Daily Workforce'!$K131&gt;=2,FALSE())),IF(AND('Daily Schedule'!$A15&gt;=46,'Daily Schedule'!$A15&lt;=52),'Daily Workforce'!$M131="Y",IFERROR(1*'Daily Workforce'!$P131&gt;=2,FALSE()))))),1,0)</f>
        <v>0</v>
      </c>
      <c r="EM11" s="1" t="n">
        <f aca="false">IF(AND('Daily Workforce'!$N132="Y",'Daily Workforce'!$B132&lt;&gt;"",COUNTIF('Daily Schedule'!$F$5:$F14,'Daily Workforce'!$B132)=0,IF('Daily Schedule'!$A15=45,'Daily Workforce'!$J132="Y",IF(OR('Daily Schedule'!$A15=4,'Daily Schedule'!$A15=8),IF(OR(WEEKDAY('Daily Schedule'!$B$2,2)=1,WEEKDAY('Daily Schedule'!$B$2,2)=4,WEEKDAY('Daily Schedule'!$B$2,2)=5,WEEKDAY('Daily Schedule'!$B$2,2)=7),IFERROR(1*'Daily Workforce'!$K132&gt;=3,FALSE()),IFERROR(1*'Daily Workforce'!$K132&gt;=2,FALSE())),IF(AND('Daily Schedule'!$A15&gt;=46,'Daily Schedule'!$A15&lt;=52),'Daily Workforce'!$M132="Y",IFERROR(1*'Daily Workforce'!$P132&gt;=2,FALSE()))))),1,0)</f>
        <v>0</v>
      </c>
      <c r="EN11" s="1" t="n">
        <f aca="false">IF(AND('Daily Workforce'!$N133="Y",'Daily Workforce'!$B133&lt;&gt;"",COUNTIF('Daily Schedule'!$F$5:$F14,'Daily Workforce'!$B133)=0,IF('Daily Schedule'!$A15=45,'Daily Workforce'!$J133="Y",IF(OR('Daily Schedule'!$A15=4,'Daily Schedule'!$A15=8),IF(OR(WEEKDAY('Daily Schedule'!$B$2,2)=1,WEEKDAY('Daily Schedule'!$B$2,2)=4,WEEKDAY('Daily Schedule'!$B$2,2)=5,WEEKDAY('Daily Schedule'!$B$2,2)=7),IFERROR(1*'Daily Workforce'!$K133&gt;=3,FALSE()),IFERROR(1*'Daily Workforce'!$K133&gt;=2,FALSE())),IF(AND('Daily Schedule'!$A15&gt;=46,'Daily Schedule'!$A15&lt;=52),'Daily Workforce'!$M133="Y",IFERROR(1*'Daily Workforce'!$P133&gt;=2,FALSE()))))),1,0)</f>
        <v>0</v>
      </c>
      <c r="EO11" s="1" t="n">
        <f aca="false">IF(AND('Daily Workforce'!$N134="Y",'Daily Workforce'!$B134&lt;&gt;"",COUNTIF('Daily Schedule'!$F$5:$F14,'Daily Workforce'!$B134)=0,IF('Daily Schedule'!$A15=45,'Daily Workforce'!$J134="Y",IF(OR('Daily Schedule'!$A15=4,'Daily Schedule'!$A15=8),IF(OR(WEEKDAY('Daily Schedule'!$B$2,2)=1,WEEKDAY('Daily Schedule'!$B$2,2)=4,WEEKDAY('Daily Schedule'!$B$2,2)=5,WEEKDAY('Daily Schedule'!$B$2,2)=7),IFERROR(1*'Daily Workforce'!$K134&gt;=3,FALSE()),IFERROR(1*'Daily Workforce'!$K134&gt;=2,FALSE())),IF(AND('Daily Schedule'!$A15&gt;=46,'Daily Schedule'!$A15&lt;=52),'Daily Workforce'!$M134="Y",IFERROR(1*'Daily Workforce'!$P134&gt;=2,FALSE()))))),1,0)</f>
        <v>0</v>
      </c>
      <c r="EP11" s="1" t="n">
        <f aca="false">IF(AND('Daily Workforce'!$N135="Y",'Daily Workforce'!$B135&lt;&gt;"",COUNTIF('Daily Schedule'!$F$5:$F14,'Daily Workforce'!$B135)=0,IF('Daily Schedule'!$A15=45,'Daily Workforce'!$J135="Y",IF(OR('Daily Schedule'!$A15=4,'Daily Schedule'!$A15=8),IF(OR(WEEKDAY('Daily Schedule'!$B$2,2)=1,WEEKDAY('Daily Schedule'!$B$2,2)=4,WEEKDAY('Daily Schedule'!$B$2,2)=5,WEEKDAY('Daily Schedule'!$B$2,2)=7),IFERROR(1*'Daily Workforce'!$K135&gt;=3,FALSE()),IFERROR(1*'Daily Workforce'!$K135&gt;=2,FALSE())),IF(AND('Daily Schedule'!$A15&gt;=46,'Daily Schedule'!$A15&lt;=52),'Daily Workforce'!$M135="Y",IFERROR(1*'Daily Workforce'!$P135&gt;=2,FALSE()))))),1,0)</f>
        <v>0</v>
      </c>
      <c r="EQ11" s="1" t="n">
        <f aca="false">IF(AND('Daily Workforce'!$N136="Y",'Daily Workforce'!$B136&lt;&gt;"",COUNTIF('Daily Schedule'!$F$5:$F14,'Daily Workforce'!$B136)=0,IF('Daily Schedule'!$A15=45,'Daily Workforce'!$J136="Y",IF(OR('Daily Schedule'!$A15=4,'Daily Schedule'!$A15=8),IF(OR(WEEKDAY('Daily Schedule'!$B$2,2)=1,WEEKDAY('Daily Schedule'!$B$2,2)=4,WEEKDAY('Daily Schedule'!$B$2,2)=5,WEEKDAY('Daily Schedule'!$B$2,2)=7),IFERROR(1*'Daily Workforce'!$K136&gt;=3,FALSE()),IFERROR(1*'Daily Workforce'!$K136&gt;=2,FALSE())),IF(AND('Daily Schedule'!$A15&gt;=46,'Daily Schedule'!$A15&lt;=52),'Daily Workforce'!$M136="Y",IFERROR(1*'Daily Workforce'!$P136&gt;=2,FALSE()))))),1,0)</f>
        <v>0</v>
      </c>
      <c r="ER11" s="1" t="n">
        <f aca="false">IF(AND('Daily Workforce'!$N137="Y",'Daily Workforce'!$B137&lt;&gt;"",COUNTIF('Daily Schedule'!$F$5:$F14,'Daily Workforce'!$B137)=0,IF('Daily Schedule'!$A15=45,'Daily Workforce'!$J137="Y",IF(OR('Daily Schedule'!$A15=4,'Daily Schedule'!$A15=8),IF(OR(WEEKDAY('Daily Schedule'!$B$2,2)=1,WEEKDAY('Daily Schedule'!$B$2,2)=4,WEEKDAY('Daily Schedule'!$B$2,2)=5,WEEKDAY('Daily Schedule'!$B$2,2)=7),IFERROR(1*'Daily Workforce'!$K137&gt;=3,FALSE()),IFERROR(1*'Daily Workforce'!$K137&gt;=2,FALSE())),IF(AND('Daily Schedule'!$A15&gt;=46,'Daily Schedule'!$A15&lt;=52),'Daily Workforce'!$M137="Y",IFERROR(1*'Daily Workforce'!$P137&gt;=2,FALSE()))))),1,0)</f>
        <v>0</v>
      </c>
      <c r="ES11" s="1" t="n">
        <f aca="false">IF(AND('Daily Workforce'!$N138="Y",'Daily Workforce'!$B138&lt;&gt;"",COUNTIF('Daily Schedule'!$F$5:$F14,'Daily Workforce'!$B138)=0,IF('Daily Schedule'!$A15=45,'Daily Workforce'!$J138="Y",IF(OR('Daily Schedule'!$A15=4,'Daily Schedule'!$A15=8),IF(OR(WEEKDAY('Daily Schedule'!$B$2,2)=1,WEEKDAY('Daily Schedule'!$B$2,2)=4,WEEKDAY('Daily Schedule'!$B$2,2)=5,WEEKDAY('Daily Schedule'!$B$2,2)=7),IFERROR(1*'Daily Workforce'!$K138&gt;=3,FALSE()),IFERROR(1*'Daily Workforce'!$K138&gt;=2,FALSE())),IF(AND('Daily Schedule'!$A15&gt;=46,'Daily Schedule'!$A15&lt;=52),'Daily Workforce'!$M138="Y",IFERROR(1*'Daily Workforce'!$P138&gt;=2,FALSE()))))),1,0)</f>
        <v>0</v>
      </c>
      <c r="ET11" s="1" t="n">
        <f aca="false">IF(AND('Daily Workforce'!$N139="Y",'Daily Workforce'!$B139&lt;&gt;"",COUNTIF('Daily Schedule'!$F$5:$F14,'Daily Workforce'!$B139)=0,IF('Daily Schedule'!$A15=45,'Daily Workforce'!$J139="Y",IF(OR('Daily Schedule'!$A15=4,'Daily Schedule'!$A15=8),IF(OR(WEEKDAY('Daily Schedule'!$B$2,2)=1,WEEKDAY('Daily Schedule'!$B$2,2)=4,WEEKDAY('Daily Schedule'!$B$2,2)=5,WEEKDAY('Daily Schedule'!$B$2,2)=7),IFERROR(1*'Daily Workforce'!$K139&gt;=3,FALSE()),IFERROR(1*'Daily Workforce'!$K139&gt;=2,FALSE())),IF(AND('Daily Schedule'!$A15&gt;=46,'Daily Schedule'!$A15&lt;=52),'Daily Workforce'!$M139="Y",IFERROR(1*'Daily Workforce'!$P139&gt;=2,FALSE()))))),1,0)</f>
        <v>0</v>
      </c>
      <c r="EU11" s="1" t="n">
        <f aca="false">IF(AND('Daily Workforce'!$N140="Y",'Daily Workforce'!$B140&lt;&gt;"",COUNTIF('Daily Schedule'!$F$5:$F14,'Daily Workforce'!$B140)=0,IF('Daily Schedule'!$A15=45,'Daily Workforce'!$J140="Y",IF(OR('Daily Schedule'!$A15=4,'Daily Schedule'!$A15=8),IF(OR(WEEKDAY('Daily Schedule'!$B$2,2)=1,WEEKDAY('Daily Schedule'!$B$2,2)=4,WEEKDAY('Daily Schedule'!$B$2,2)=5,WEEKDAY('Daily Schedule'!$B$2,2)=7),IFERROR(1*'Daily Workforce'!$K140&gt;=3,FALSE()),IFERROR(1*'Daily Workforce'!$K140&gt;=2,FALSE())),IF(AND('Daily Schedule'!$A15&gt;=46,'Daily Schedule'!$A15&lt;=52),'Daily Workforce'!$M140="Y",IFERROR(1*'Daily Workforce'!$P140&gt;=2,FALSE()))))),1,0)</f>
        <v>0</v>
      </c>
      <c r="EV11" s="1" t="n">
        <f aca="false">IF(AND('Daily Workforce'!$N141="Y",'Daily Workforce'!$B141&lt;&gt;"",COUNTIF('Daily Schedule'!$F$5:$F14,'Daily Workforce'!$B141)=0,IF('Daily Schedule'!$A15=45,'Daily Workforce'!$J141="Y",IF(OR('Daily Schedule'!$A15=4,'Daily Schedule'!$A15=8),IF(OR(WEEKDAY('Daily Schedule'!$B$2,2)=1,WEEKDAY('Daily Schedule'!$B$2,2)=4,WEEKDAY('Daily Schedule'!$B$2,2)=5,WEEKDAY('Daily Schedule'!$B$2,2)=7),IFERROR(1*'Daily Workforce'!$K141&gt;=3,FALSE()),IFERROR(1*'Daily Workforce'!$K141&gt;=2,FALSE())),IF(AND('Daily Schedule'!$A15&gt;=46,'Daily Schedule'!$A15&lt;=52),'Daily Workforce'!$M141="Y",IFERROR(1*'Daily Workforce'!$P141&gt;=2,FALSE()))))),1,0)</f>
        <v>0</v>
      </c>
      <c r="EW11" s="1" t="n">
        <f aca="false">IF(AND('Daily Workforce'!$N142="Y",'Daily Workforce'!$B142&lt;&gt;"",COUNTIF('Daily Schedule'!$F$5:$F14,'Daily Workforce'!$B142)=0,IF('Daily Schedule'!$A15=45,'Daily Workforce'!$J142="Y",IF(OR('Daily Schedule'!$A15=4,'Daily Schedule'!$A15=8),IF(OR(WEEKDAY('Daily Schedule'!$B$2,2)=1,WEEKDAY('Daily Schedule'!$B$2,2)=4,WEEKDAY('Daily Schedule'!$B$2,2)=5,WEEKDAY('Daily Schedule'!$B$2,2)=7),IFERROR(1*'Daily Workforce'!$K142&gt;=3,FALSE()),IFERROR(1*'Daily Workforce'!$K142&gt;=2,FALSE())),IF(AND('Daily Schedule'!$A15&gt;=46,'Daily Schedule'!$A15&lt;=52),'Daily Workforce'!$M142="Y",IFERROR(1*'Daily Workforce'!$P142&gt;=2,FALSE()))))),1,0)</f>
        <v>0</v>
      </c>
      <c r="EX11" s="1" t="n">
        <f aca="false">IF(AND('Daily Workforce'!$N143="Y",'Daily Workforce'!$B143&lt;&gt;"",COUNTIF('Daily Schedule'!$F$5:$F14,'Daily Workforce'!$B143)=0,IF('Daily Schedule'!$A15=45,'Daily Workforce'!$J143="Y",IF(OR('Daily Schedule'!$A15=4,'Daily Schedule'!$A15=8),IF(OR(WEEKDAY('Daily Schedule'!$B$2,2)=1,WEEKDAY('Daily Schedule'!$B$2,2)=4,WEEKDAY('Daily Schedule'!$B$2,2)=5,WEEKDAY('Daily Schedule'!$B$2,2)=7),IFERROR(1*'Daily Workforce'!$K143&gt;=3,FALSE()),IFERROR(1*'Daily Workforce'!$K143&gt;=2,FALSE())),IF(AND('Daily Schedule'!$A15&gt;=46,'Daily Schedule'!$A15&lt;=52),'Daily Workforce'!$M143="Y",IFERROR(1*'Daily Workforce'!$P143&gt;=2,FALSE()))))),1,0)</f>
        <v>0</v>
      </c>
      <c r="EY11" s="1" t="n">
        <f aca="false">IF(AND('Daily Workforce'!$N144="Y",'Daily Workforce'!$B144&lt;&gt;"",COUNTIF('Daily Schedule'!$F$5:$F14,'Daily Workforce'!$B144)=0,IF('Daily Schedule'!$A15=45,'Daily Workforce'!$J144="Y",IF(OR('Daily Schedule'!$A15=4,'Daily Schedule'!$A15=8),IF(OR(WEEKDAY('Daily Schedule'!$B$2,2)=1,WEEKDAY('Daily Schedule'!$B$2,2)=4,WEEKDAY('Daily Schedule'!$B$2,2)=5,WEEKDAY('Daily Schedule'!$B$2,2)=7),IFERROR(1*'Daily Workforce'!$K144&gt;=3,FALSE()),IFERROR(1*'Daily Workforce'!$K144&gt;=2,FALSE())),IF(AND('Daily Schedule'!$A15&gt;=46,'Daily Schedule'!$A15&lt;=52),'Daily Workforce'!$M144="Y",IFERROR(1*'Daily Workforce'!$P144&gt;=2,FALSE()))))),1,0)</f>
        <v>0</v>
      </c>
      <c r="EZ11" s="1" t="n">
        <f aca="false">IF(AND('Daily Workforce'!$N145="Y",'Daily Workforce'!$B145&lt;&gt;"",COUNTIF('Daily Schedule'!$F$5:$F14,'Daily Workforce'!$B145)=0,IF('Daily Schedule'!$A15=45,'Daily Workforce'!$J145="Y",IF(OR('Daily Schedule'!$A15=4,'Daily Schedule'!$A15=8),IF(OR(WEEKDAY('Daily Schedule'!$B$2,2)=1,WEEKDAY('Daily Schedule'!$B$2,2)=4,WEEKDAY('Daily Schedule'!$B$2,2)=5,WEEKDAY('Daily Schedule'!$B$2,2)=7),IFERROR(1*'Daily Workforce'!$K145&gt;=3,FALSE()),IFERROR(1*'Daily Workforce'!$K145&gt;=2,FALSE())),IF(AND('Daily Schedule'!$A15&gt;=46,'Daily Schedule'!$A15&lt;=52),'Daily Workforce'!$M145="Y",IFERROR(1*'Daily Workforce'!$P145&gt;=2,FALSE()))))),1,0)</f>
        <v>0</v>
      </c>
      <c r="FA11" s="1" t="n">
        <f aca="false">IF(AND('Daily Workforce'!$N146="Y",'Daily Workforce'!$B146&lt;&gt;"",COUNTIF('Daily Schedule'!$F$5:$F14,'Daily Workforce'!$B146)=0,IF('Daily Schedule'!$A15=45,'Daily Workforce'!$J146="Y",IF(OR('Daily Schedule'!$A15=4,'Daily Schedule'!$A15=8),IF(OR(WEEKDAY('Daily Schedule'!$B$2,2)=1,WEEKDAY('Daily Schedule'!$B$2,2)=4,WEEKDAY('Daily Schedule'!$B$2,2)=5,WEEKDAY('Daily Schedule'!$B$2,2)=7),IFERROR(1*'Daily Workforce'!$K146&gt;=3,FALSE()),IFERROR(1*'Daily Workforce'!$K146&gt;=2,FALSE())),IF(AND('Daily Schedule'!$A15&gt;=46,'Daily Schedule'!$A15&lt;=52),'Daily Workforce'!$M146="Y",IFERROR(1*'Daily Workforce'!$P146&gt;=2,FALSE()))))),1,0)</f>
        <v>0</v>
      </c>
      <c r="FB11" s="1" t="n">
        <f aca="false">IF(AND('Daily Workforce'!$N147="Y",'Daily Workforce'!$B147&lt;&gt;"",COUNTIF('Daily Schedule'!$F$5:$F14,'Daily Workforce'!$B147)=0,IF('Daily Schedule'!$A15=45,'Daily Workforce'!$J147="Y",IF(OR('Daily Schedule'!$A15=4,'Daily Schedule'!$A15=8),IF(OR(WEEKDAY('Daily Schedule'!$B$2,2)=1,WEEKDAY('Daily Schedule'!$B$2,2)=4,WEEKDAY('Daily Schedule'!$B$2,2)=5,WEEKDAY('Daily Schedule'!$B$2,2)=7),IFERROR(1*'Daily Workforce'!$K147&gt;=3,FALSE()),IFERROR(1*'Daily Workforce'!$K147&gt;=2,FALSE())),IF(AND('Daily Schedule'!$A15&gt;=46,'Daily Schedule'!$A15&lt;=52),'Daily Workforce'!$M147="Y",IFERROR(1*'Daily Workforce'!$P147&gt;=2,FALSE()))))),1,0)</f>
        <v>0</v>
      </c>
      <c r="FC11" s="1" t="n">
        <f aca="false">IF(AND('Daily Workforce'!$N148="Y",'Daily Workforce'!$B148&lt;&gt;"",COUNTIF('Daily Schedule'!$F$5:$F14,'Daily Workforce'!$B148)=0,IF('Daily Schedule'!$A15=45,'Daily Workforce'!$J148="Y",IF(OR('Daily Schedule'!$A15=4,'Daily Schedule'!$A15=8),IF(OR(WEEKDAY('Daily Schedule'!$B$2,2)=1,WEEKDAY('Daily Schedule'!$B$2,2)=4,WEEKDAY('Daily Schedule'!$B$2,2)=5,WEEKDAY('Daily Schedule'!$B$2,2)=7),IFERROR(1*'Daily Workforce'!$K148&gt;=3,FALSE()),IFERROR(1*'Daily Workforce'!$K148&gt;=2,FALSE())),IF(AND('Daily Schedule'!$A15&gt;=46,'Daily Schedule'!$A15&lt;=52),'Daily Workforce'!$M148="Y",IFERROR(1*'Daily Workforce'!$P148&gt;=2,FALSE()))))),1,0)</f>
        <v>0</v>
      </c>
      <c r="FD11" s="1" t="n">
        <f aca="false">IF(AND('Daily Workforce'!$N149="Y",'Daily Workforce'!$B149&lt;&gt;"",COUNTIF('Daily Schedule'!$F$5:$F14,'Daily Workforce'!$B149)=0,IF('Daily Schedule'!$A15=45,'Daily Workforce'!$J149="Y",IF(OR('Daily Schedule'!$A15=4,'Daily Schedule'!$A15=8),IF(OR(WEEKDAY('Daily Schedule'!$B$2,2)=1,WEEKDAY('Daily Schedule'!$B$2,2)=4,WEEKDAY('Daily Schedule'!$B$2,2)=5,WEEKDAY('Daily Schedule'!$B$2,2)=7),IFERROR(1*'Daily Workforce'!$K149&gt;=3,FALSE()),IFERROR(1*'Daily Workforce'!$K149&gt;=2,FALSE())),IF(AND('Daily Schedule'!$A15&gt;=46,'Daily Schedule'!$A15&lt;=52),'Daily Workforce'!$M149="Y",IFERROR(1*'Daily Workforce'!$P149&gt;=2,FALSE()))))),1,0)</f>
        <v>0</v>
      </c>
      <c r="FE11" s="1" t="n">
        <f aca="false">IF(AND('Daily Workforce'!$N150="Y",'Daily Workforce'!$B150&lt;&gt;"",COUNTIF('Daily Schedule'!$F$5:$F14,'Daily Workforce'!$B150)=0,IF('Daily Schedule'!$A15=45,'Daily Workforce'!$J150="Y",IF(OR('Daily Schedule'!$A15=4,'Daily Schedule'!$A15=8),IF(OR(WEEKDAY('Daily Schedule'!$B$2,2)=1,WEEKDAY('Daily Schedule'!$B$2,2)=4,WEEKDAY('Daily Schedule'!$B$2,2)=5,WEEKDAY('Daily Schedule'!$B$2,2)=7),IFERROR(1*'Daily Workforce'!$K150&gt;=3,FALSE()),IFERROR(1*'Daily Workforce'!$K150&gt;=2,FALSE())),IF(AND('Daily Schedule'!$A15&gt;=46,'Daily Schedule'!$A15&lt;=52),'Daily Workforce'!$M150="Y",IFERROR(1*'Daily Workforce'!$P150&gt;=2,FALSE()))))),1,0)</f>
        <v>0</v>
      </c>
      <c r="FF11" s="1" t="n">
        <f aca="false">IF(AND('Daily Workforce'!$N151="Y",'Daily Workforce'!$B151&lt;&gt;"",COUNTIF('Daily Schedule'!$F$5:$F14,'Daily Workforce'!$B151)=0,IF('Daily Schedule'!$A15=45,'Daily Workforce'!$J151="Y",IF(OR('Daily Schedule'!$A15=4,'Daily Schedule'!$A15=8),IF(OR(WEEKDAY('Daily Schedule'!$B$2,2)=1,WEEKDAY('Daily Schedule'!$B$2,2)=4,WEEKDAY('Daily Schedule'!$B$2,2)=5,WEEKDAY('Daily Schedule'!$B$2,2)=7),IFERROR(1*'Daily Workforce'!$K151&gt;=3,FALSE()),IFERROR(1*'Daily Workforce'!$K151&gt;=2,FALSE())),IF(AND('Daily Schedule'!$A15&gt;=46,'Daily Schedule'!$A15&lt;=52),'Daily Workforce'!$M151="Y",IFERROR(1*'Daily Workforce'!$P151&gt;=2,FALSE()))))),1,0)</f>
        <v>0</v>
      </c>
      <c r="FG11" s="1" t="n">
        <f aca="false">IF(AND('Daily Workforce'!$N152="Y",'Daily Workforce'!$B152&lt;&gt;"",COUNTIF('Daily Schedule'!$F$5:$F14,'Daily Workforce'!$B152)=0,IF('Daily Schedule'!$A15=45,'Daily Workforce'!$J152="Y",IF(OR('Daily Schedule'!$A15=4,'Daily Schedule'!$A15=8),IF(OR(WEEKDAY('Daily Schedule'!$B$2,2)=1,WEEKDAY('Daily Schedule'!$B$2,2)=4,WEEKDAY('Daily Schedule'!$B$2,2)=5,WEEKDAY('Daily Schedule'!$B$2,2)=7),IFERROR(1*'Daily Workforce'!$K152&gt;=3,FALSE()),IFERROR(1*'Daily Workforce'!$K152&gt;=2,FALSE())),IF(AND('Daily Schedule'!$A15&gt;=46,'Daily Schedule'!$A15&lt;=52),'Daily Workforce'!$M152="Y",IFERROR(1*'Daily Workforce'!$P152&gt;=2,FALSE()))))),1,0)</f>
        <v>0</v>
      </c>
      <c r="FH11" s="1" t="n">
        <f aca="false">IF(AND('Daily Workforce'!$N153="Y",'Daily Workforce'!$B153&lt;&gt;"",COUNTIF('Daily Schedule'!$F$5:$F14,'Daily Workforce'!$B153)=0,IF('Daily Schedule'!$A15=45,'Daily Workforce'!$J153="Y",IF(OR('Daily Schedule'!$A15=4,'Daily Schedule'!$A15=8),IF(OR(WEEKDAY('Daily Schedule'!$B$2,2)=1,WEEKDAY('Daily Schedule'!$B$2,2)=4,WEEKDAY('Daily Schedule'!$B$2,2)=5,WEEKDAY('Daily Schedule'!$B$2,2)=7),IFERROR(1*'Daily Workforce'!$K153&gt;=3,FALSE()),IFERROR(1*'Daily Workforce'!$K153&gt;=2,FALSE())),IF(AND('Daily Schedule'!$A15&gt;=46,'Daily Schedule'!$A15&lt;=52),'Daily Workforce'!$M153="Y",IFERROR(1*'Daily Workforce'!$P153&gt;=2,FALSE()))))),1,0)</f>
        <v>0</v>
      </c>
      <c r="FI11" s="1" t="n">
        <f aca="false">IF(AND('Daily Workforce'!$N154="Y",'Daily Workforce'!$B154&lt;&gt;"",COUNTIF('Daily Schedule'!$F$5:$F14,'Daily Workforce'!$B154)=0,IF('Daily Schedule'!$A15=45,'Daily Workforce'!$J154="Y",IF(OR('Daily Schedule'!$A15=4,'Daily Schedule'!$A15=8),IF(OR(WEEKDAY('Daily Schedule'!$B$2,2)=1,WEEKDAY('Daily Schedule'!$B$2,2)=4,WEEKDAY('Daily Schedule'!$B$2,2)=5,WEEKDAY('Daily Schedule'!$B$2,2)=7),IFERROR(1*'Daily Workforce'!$K154&gt;=3,FALSE()),IFERROR(1*'Daily Workforce'!$K154&gt;=2,FALSE())),IF(AND('Daily Schedule'!$A15&gt;=46,'Daily Schedule'!$A15&lt;=52),'Daily Workforce'!$M154="Y",IFERROR(1*'Daily Workforce'!$P154&gt;=2,FALSE()))))),1,0)</f>
        <v>0</v>
      </c>
      <c r="FJ11" s="1" t="n">
        <f aca="false">IF(AND('Daily Workforce'!$N155="Y",'Daily Workforce'!$B155&lt;&gt;"",COUNTIF('Daily Schedule'!$F$5:$F14,'Daily Workforce'!$B155)=0,IF('Daily Schedule'!$A15=45,'Daily Workforce'!$J155="Y",IF(OR('Daily Schedule'!$A15=4,'Daily Schedule'!$A15=8),IF(OR(WEEKDAY('Daily Schedule'!$B$2,2)=1,WEEKDAY('Daily Schedule'!$B$2,2)=4,WEEKDAY('Daily Schedule'!$B$2,2)=5,WEEKDAY('Daily Schedule'!$B$2,2)=7),IFERROR(1*'Daily Workforce'!$K155&gt;=3,FALSE()),IFERROR(1*'Daily Workforce'!$K155&gt;=2,FALSE())),IF(AND('Daily Schedule'!$A15&gt;=46,'Daily Schedule'!$A15&lt;=52),'Daily Workforce'!$M155="Y",IFERROR(1*'Daily Workforce'!$P155&gt;=2,FALSE()))))),1,0)</f>
        <v>0</v>
      </c>
      <c r="FK11" s="1" t="n">
        <f aca="false">IF(AND('Daily Workforce'!$N156="Y",'Daily Workforce'!$B156&lt;&gt;"",COUNTIF('Daily Schedule'!$F$5:$F14,'Daily Workforce'!$B156)=0,IF('Daily Schedule'!$A15=45,'Daily Workforce'!$J156="Y",IF(OR('Daily Schedule'!$A15=4,'Daily Schedule'!$A15=8),IF(OR(WEEKDAY('Daily Schedule'!$B$2,2)=1,WEEKDAY('Daily Schedule'!$B$2,2)=4,WEEKDAY('Daily Schedule'!$B$2,2)=5,WEEKDAY('Daily Schedule'!$B$2,2)=7),IFERROR(1*'Daily Workforce'!$K156&gt;=3,FALSE()),IFERROR(1*'Daily Workforce'!$K156&gt;=2,FALSE())),IF(AND('Daily Schedule'!$A15&gt;=46,'Daily Schedule'!$A15&lt;=52),'Daily Workforce'!$M156="Y",IFERROR(1*'Daily Workforce'!$P156&gt;=2,FALSE()))))),1,0)</f>
        <v>0</v>
      </c>
      <c r="FL11" s="1" t="n">
        <f aca="false">IF(AND('Daily Workforce'!$N157="Y",'Daily Workforce'!$B157&lt;&gt;"",COUNTIF('Daily Schedule'!$F$5:$F14,'Daily Workforce'!$B157)=0,IF('Daily Schedule'!$A15=45,'Daily Workforce'!$J157="Y",IF(OR('Daily Schedule'!$A15=4,'Daily Schedule'!$A15=8),IF(OR(WEEKDAY('Daily Schedule'!$B$2,2)=1,WEEKDAY('Daily Schedule'!$B$2,2)=4,WEEKDAY('Daily Schedule'!$B$2,2)=5,WEEKDAY('Daily Schedule'!$B$2,2)=7),IFERROR(1*'Daily Workforce'!$K157&gt;=3,FALSE()),IFERROR(1*'Daily Workforce'!$K157&gt;=2,FALSE())),IF(AND('Daily Schedule'!$A15&gt;=46,'Daily Schedule'!$A15&lt;=52),'Daily Workforce'!$M157="Y",IFERROR(1*'Daily Workforce'!$P157&gt;=2,FALSE()))))),1,0)</f>
        <v>0</v>
      </c>
      <c r="FM11" s="1" t="n">
        <f aca="false">IF(AND('Daily Workforce'!$N158="Y",'Daily Workforce'!$B158&lt;&gt;"",COUNTIF('Daily Schedule'!$F$5:$F14,'Daily Workforce'!$B158)=0,IF('Daily Schedule'!$A15=45,'Daily Workforce'!$J158="Y",IF(OR('Daily Schedule'!$A15=4,'Daily Schedule'!$A15=8),IF(OR(WEEKDAY('Daily Schedule'!$B$2,2)=1,WEEKDAY('Daily Schedule'!$B$2,2)=4,WEEKDAY('Daily Schedule'!$B$2,2)=5,WEEKDAY('Daily Schedule'!$B$2,2)=7),IFERROR(1*'Daily Workforce'!$K158&gt;=3,FALSE()),IFERROR(1*'Daily Workforce'!$K158&gt;=2,FALSE())),IF(AND('Daily Schedule'!$A15&gt;=46,'Daily Schedule'!$A15&lt;=52),'Daily Workforce'!$M158="Y",IFERROR(1*'Daily Workforce'!$P158&gt;=2,FALSE()))))),1,0)</f>
        <v>0</v>
      </c>
      <c r="FN11" s="1" t="n">
        <f aca="false">IF(AND('Daily Workforce'!$N159="Y",'Daily Workforce'!$B159&lt;&gt;"",COUNTIF('Daily Schedule'!$F$5:$F14,'Daily Workforce'!$B159)=0,IF('Daily Schedule'!$A15=45,'Daily Workforce'!$J159="Y",IF(OR('Daily Schedule'!$A15=4,'Daily Schedule'!$A15=8),IF(OR(WEEKDAY('Daily Schedule'!$B$2,2)=1,WEEKDAY('Daily Schedule'!$B$2,2)=4,WEEKDAY('Daily Schedule'!$B$2,2)=5,WEEKDAY('Daily Schedule'!$B$2,2)=7),IFERROR(1*'Daily Workforce'!$K159&gt;=3,FALSE()),IFERROR(1*'Daily Workforce'!$K159&gt;=2,FALSE())),IF(AND('Daily Schedule'!$A15&gt;=46,'Daily Schedule'!$A15&lt;=52),'Daily Workforce'!$M159="Y",IFERROR(1*'Daily Workforce'!$P159&gt;=2,FALSE()))))),1,0)</f>
        <v>0</v>
      </c>
      <c r="FO11" s="1" t="n">
        <f aca="false">IF(AND('Daily Workforce'!$N160="Y",'Daily Workforce'!$B160&lt;&gt;"",COUNTIF('Daily Schedule'!$F$5:$F14,'Daily Workforce'!$B160)=0,IF('Daily Schedule'!$A15=45,'Daily Workforce'!$J160="Y",IF(OR('Daily Schedule'!$A15=4,'Daily Schedule'!$A15=8),IF(OR(WEEKDAY('Daily Schedule'!$B$2,2)=1,WEEKDAY('Daily Schedule'!$B$2,2)=4,WEEKDAY('Daily Schedule'!$B$2,2)=5,WEEKDAY('Daily Schedule'!$B$2,2)=7),IFERROR(1*'Daily Workforce'!$K160&gt;=3,FALSE()),IFERROR(1*'Daily Workforce'!$K160&gt;=2,FALSE())),IF(AND('Daily Schedule'!$A15&gt;=46,'Daily Schedule'!$A15&lt;=52),'Daily Workforce'!$M160="Y",IFERROR(1*'Daily Workforce'!$P160&gt;=2,FALSE()))))),1,0)</f>
        <v>0</v>
      </c>
      <c r="FP11" s="1" t="n">
        <f aca="false">IF(AND('Daily Workforce'!$N161="Y",'Daily Workforce'!$B161&lt;&gt;"",COUNTIF('Daily Schedule'!$F$5:$F14,'Daily Workforce'!$B161)=0,IF('Daily Schedule'!$A15=45,'Daily Workforce'!$J161="Y",IF(OR('Daily Schedule'!$A15=4,'Daily Schedule'!$A15=8),IF(OR(WEEKDAY('Daily Schedule'!$B$2,2)=1,WEEKDAY('Daily Schedule'!$B$2,2)=4,WEEKDAY('Daily Schedule'!$B$2,2)=5,WEEKDAY('Daily Schedule'!$B$2,2)=7),IFERROR(1*'Daily Workforce'!$K161&gt;=3,FALSE()),IFERROR(1*'Daily Workforce'!$K161&gt;=2,FALSE())),IF(AND('Daily Schedule'!$A15&gt;=46,'Daily Schedule'!$A15&lt;=52),'Daily Workforce'!$M161="Y",IFERROR(1*'Daily Workforce'!$P161&gt;=2,FALSE()))))),1,0)</f>
        <v>0</v>
      </c>
      <c r="FQ11" s="1" t="n">
        <f aca="false">IF(AND('Daily Workforce'!$N162="Y",'Daily Workforce'!$B162&lt;&gt;"",COUNTIF('Daily Schedule'!$F$5:$F14,'Daily Workforce'!$B162)=0,IF('Daily Schedule'!$A15=45,'Daily Workforce'!$J162="Y",IF(OR('Daily Schedule'!$A15=4,'Daily Schedule'!$A15=8),IF(OR(WEEKDAY('Daily Schedule'!$B$2,2)=1,WEEKDAY('Daily Schedule'!$B$2,2)=4,WEEKDAY('Daily Schedule'!$B$2,2)=5,WEEKDAY('Daily Schedule'!$B$2,2)=7),IFERROR(1*'Daily Workforce'!$K162&gt;=3,FALSE()),IFERROR(1*'Daily Workforce'!$K162&gt;=2,FALSE())),IF(AND('Daily Schedule'!$A15&gt;=46,'Daily Schedule'!$A15&lt;=52),'Daily Workforce'!$M162="Y",IFERROR(1*'Daily Workforce'!$P162&gt;=2,FALSE()))))),1,0)</f>
        <v>0</v>
      </c>
      <c r="FR11" s="1" t="n">
        <f aca="false">IF(AND('Daily Workforce'!$N163="Y",'Daily Workforce'!$B163&lt;&gt;"",COUNTIF('Daily Schedule'!$F$5:$F14,'Daily Workforce'!$B163)=0,IF('Daily Schedule'!$A15=45,'Daily Workforce'!$J163="Y",IF(OR('Daily Schedule'!$A15=4,'Daily Schedule'!$A15=8),IF(OR(WEEKDAY('Daily Schedule'!$B$2,2)=1,WEEKDAY('Daily Schedule'!$B$2,2)=4,WEEKDAY('Daily Schedule'!$B$2,2)=5,WEEKDAY('Daily Schedule'!$B$2,2)=7),IFERROR(1*'Daily Workforce'!$K163&gt;=3,FALSE()),IFERROR(1*'Daily Workforce'!$K163&gt;=2,FALSE())),IF(AND('Daily Schedule'!$A15&gt;=46,'Daily Schedule'!$A15&lt;=52),'Daily Workforce'!$M163="Y",IFERROR(1*'Daily Workforce'!$P163&gt;=2,FALSE()))))),1,0)</f>
        <v>0</v>
      </c>
      <c r="FS11" s="1" t="n">
        <f aca="false">IF(AND('Daily Workforce'!$N164="Y",'Daily Workforce'!$B164&lt;&gt;"",COUNTIF('Daily Schedule'!$F$5:$F14,'Daily Workforce'!$B164)=0,IF('Daily Schedule'!$A15=45,'Daily Workforce'!$J164="Y",IF(OR('Daily Schedule'!$A15=4,'Daily Schedule'!$A15=8),IF(OR(WEEKDAY('Daily Schedule'!$B$2,2)=1,WEEKDAY('Daily Schedule'!$B$2,2)=4,WEEKDAY('Daily Schedule'!$B$2,2)=5,WEEKDAY('Daily Schedule'!$B$2,2)=7),IFERROR(1*'Daily Workforce'!$K164&gt;=3,FALSE()),IFERROR(1*'Daily Workforce'!$K164&gt;=2,FALSE())),IF(AND('Daily Schedule'!$A15&gt;=46,'Daily Schedule'!$A15&lt;=52),'Daily Workforce'!$M164="Y",IFERROR(1*'Daily Workforce'!$P164&gt;=2,FALSE()))))),1,0)</f>
        <v>0</v>
      </c>
      <c r="FT11" s="1" t="n">
        <f aca="false">IF(AND('Daily Workforce'!$N165="Y",'Daily Workforce'!$B165&lt;&gt;"",COUNTIF('Daily Schedule'!$F$5:$F14,'Daily Workforce'!$B165)=0,IF('Daily Schedule'!$A15=45,'Daily Workforce'!$J165="Y",IF(OR('Daily Schedule'!$A15=4,'Daily Schedule'!$A15=8),IF(OR(WEEKDAY('Daily Schedule'!$B$2,2)=1,WEEKDAY('Daily Schedule'!$B$2,2)=4,WEEKDAY('Daily Schedule'!$B$2,2)=5,WEEKDAY('Daily Schedule'!$B$2,2)=7),IFERROR(1*'Daily Workforce'!$K165&gt;=3,FALSE()),IFERROR(1*'Daily Workforce'!$K165&gt;=2,FALSE())),IF(AND('Daily Schedule'!$A15&gt;=46,'Daily Schedule'!$A15&lt;=52),'Daily Workforce'!$M165="Y",IFERROR(1*'Daily Workforce'!$P165&gt;=2,FALSE()))))),1,0)</f>
        <v>0</v>
      </c>
      <c r="FU11" s="1" t="n">
        <f aca="false">IF(AND('Daily Workforce'!$N166="Y",'Daily Workforce'!$B166&lt;&gt;"",COUNTIF('Daily Schedule'!$F$5:$F14,'Daily Workforce'!$B166)=0,IF('Daily Schedule'!$A15=45,'Daily Workforce'!$J166="Y",IF(OR('Daily Schedule'!$A15=4,'Daily Schedule'!$A15=8),IF(OR(WEEKDAY('Daily Schedule'!$B$2,2)=1,WEEKDAY('Daily Schedule'!$B$2,2)=4,WEEKDAY('Daily Schedule'!$B$2,2)=5,WEEKDAY('Daily Schedule'!$B$2,2)=7),IFERROR(1*'Daily Workforce'!$K166&gt;=3,FALSE()),IFERROR(1*'Daily Workforce'!$K166&gt;=2,FALSE())),IF(AND('Daily Schedule'!$A15&gt;=46,'Daily Schedule'!$A15&lt;=52),'Daily Workforce'!$M166="Y",IFERROR(1*'Daily Workforce'!$P166&gt;=2,FALSE()))))),1,0)</f>
        <v>0</v>
      </c>
      <c r="FV11" s="1" t="n">
        <f aca="false">IF(AND('Daily Workforce'!$N167="Y",'Daily Workforce'!$B167&lt;&gt;"",COUNTIF('Daily Schedule'!$F$5:$F14,'Daily Workforce'!$B167)=0,IF('Daily Schedule'!$A15=45,'Daily Workforce'!$J167="Y",IF(OR('Daily Schedule'!$A15=4,'Daily Schedule'!$A15=8),IF(OR(WEEKDAY('Daily Schedule'!$B$2,2)=1,WEEKDAY('Daily Schedule'!$B$2,2)=4,WEEKDAY('Daily Schedule'!$B$2,2)=5,WEEKDAY('Daily Schedule'!$B$2,2)=7),IFERROR(1*'Daily Workforce'!$K167&gt;=3,FALSE()),IFERROR(1*'Daily Workforce'!$K167&gt;=2,FALSE())),IF(AND('Daily Schedule'!$A15&gt;=46,'Daily Schedule'!$A15&lt;=52),'Daily Workforce'!$M167="Y",IFERROR(1*'Daily Workforce'!$P167&gt;=2,FALSE()))))),1,0)</f>
        <v>0</v>
      </c>
      <c r="FW11" s="1" t="n">
        <f aca="false">IF(AND('Daily Workforce'!$N168="Y",'Daily Workforce'!$B168&lt;&gt;"",COUNTIF('Daily Schedule'!$F$5:$F14,'Daily Workforce'!$B168)=0,IF('Daily Schedule'!$A15=45,'Daily Workforce'!$J168="Y",IF(OR('Daily Schedule'!$A15=4,'Daily Schedule'!$A15=8),IF(OR(WEEKDAY('Daily Schedule'!$B$2,2)=1,WEEKDAY('Daily Schedule'!$B$2,2)=4,WEEKDAY('Daily Schedule'!$B$2,2)=5,WEEKDAY('Daily Schedule'!$B$2,2)=7),IFERROR(1*'Daily Workforce'!$K168&gt;=3,FALSE()),IFERROR(1*'Daily Workforce'!$K168&gt;=2,FALSE())),IF(AND('Daily Schedule'!$A15&gt;=46,'Daily Schedule'!$A15&lt;=52),'Daily Workforce'!$M168="Y",IFERROR(1*'Daily Workforce'!$P168&gt;=2,FALSE()))))),1,0)</f>
        <v>0</v>
      </c>
      <c r="FX11" s="1" t="n">
        <f aca="false">IF(AND('Daily Workforce'!$N169="Y",'Daily Workforce'!$B169&lt;&gt;"",COUNTIF('Daily Schedule'!$F$5:$F14,'Daily Workforce'!$B169)=0,IF('Daily Schedule'!$A15=45,'Daily Workforce'!$J169="Y",IF(OR('Daily Schedule'!$A15=4,'Daily Schedule'!$A15=8),IF(OR(WEEKDAY('Daily Schedule'!$B$2,2)=1,WEEKDAY('Daily Schedule'!$B$2,2)=4,WEEKDAY('Daily Schedule'!$B$2,2)=5,WEEKDAY('Daily Schedule'!$B$2,2)=7),IFERROR(1*'Daily Workforce'!$K169&gt;=3,FALSE()),IFERROR(1*'Daily Workforce'!$K169&gt;=2,FALSE())),IF(AND('Daily Schedule'!$A15&gt;=46,'Daily Schedule'!$A15&lt;=52),'Daily Workforce'!$M169="Y",IFERROR(1*'Daily Workforce'!$P169&gt;=2,FALSE()))))),1,0)</f>
        <v>0</v>
      </c>
      <c r="FY11" s="1" t="n">
        <f aca="false">IF(AND('Daily Workforce'!$N170="Y",'Daily Workforce'!$B170&lt;&gt;"",COUNTIF('Daily Schedule'!$F$5:$F14,'Daily Workforce'!$B170)=0,IF('Daily Schedule'!$A15=45,'Daily Workforce'!$J170="Y",IF(OR('Daily Schedule'!$A15=4,'Daily Schedule'!$A15=8),IF(OR(WEEKDAY('Daily Schedule'!$B$2,2)=1,WEEKDAY('Daily Schedule'!$B$2,2)=4,WEEKDAY('Daily Schedule'!$B$2,2)=5,WEEKDAY('Daily Schedule'!$B$2,2)=7),IFERROR(1*'Daily Workforce'!$K170&gt;=3,FALSE()),IFERROR(1*'Daily Workforce'!$K170&gt;=2,FALSE())),IF(AND('Daily Schedule'!$A15&gt;=46,'Daily Schedule'!$A15&lt;=52),'Daily Workforce'!$M170="Y",IFERROR(1*'Daily Workforce'!$P170&gt;=2,FALSE()))))),1,0)</f>
        <v>0</v>
      </c>
      <c r="FZ11" s="1" t="n">
        <f aca="false">IF(AND('Daily Workforce'!$N171="Y",'Daily Workforce'!$B171&lt;&gt;"",COUNTIF('Daily Schedule'!$F$5:$F14,'Daily Workforce'!$B171)=0,IF('Daily Schedule'!$A15=45,'Daily Workforce'!$J171="Y",IF(OR('Daily Schedule'!$A15=4,'Daily Schedule'!$A15=8),IF(OR(WEEKDAY('Daily Schedule'!$B$2,2)=1,WEEKDAY('Daily Schedule'!$B$2,2)=4,WEEKDAY('Daily Schedule'!$B$2,2)=5,WEEKDAY('Daily Schedule'!$B$2,2)=7),IFERROR(1*'Daily Workforce'!$K171&gt;=3,FALSE()),IFERROR(1*'Daily Workforce'!$K171&gt;=2,FALSE())),IF(AND('Daily Schedule'!$A15&gt;=46,'Daily Schedule'!$A15&lt;=52),'Daily Workforce'!$M171="Y",IFERROR(1*'Daily Workforce'!$P171&gt;=2,FALSE()))))),1,0)</f>
        <v>0</v>
      </c>
      <c r="GA11" s="1" t="n">
        <f aca="false">IF(AND('Daily Workforce'!$N172="Y",'Daily Workforce'!$B172&lt;&gt;"",COUNTIF('Daily Schedule'!$F$5:$F14,'Daily Workforce'!$B172)=0,IF('Daily Schedule'!$A15=45,'Daily Workforce'!$J172="Y",IF(OR('Daily Schedule'!$A15=4,'Daily Schedule'!$A15=8),IF(OR(WEEKDAY('Daily Schedule'!$B$2,2)=1,WEEKDAY('Daily Schedule'!$B$2,2)=4,WEEKDAY('Daily Schedule'!$B$2,2)=5,WEEKDAY('Daily Schedule'!$B$2,2)=7),IFERROR(1*'Daily Workforce'!$K172&gt;=3,FALSE()),IFERROR(1*'Daily Workforce'!$K172&gt;=2,FALSE())),IF(AND('Daily Schedule'!$A15&gt;=46,'Daily Schedule'!$A15&lt;=52),'Daily Workforce'!$M172="Y",IFERROR(1*'Daily Workforce'!$P172&gt;=2,FALSE()))))),1,0)</f>
        <v>0</v>
      </c>
      <c r="GB11" s="1" t="n">
        <f aca="false">IF(AND('Daily Workforce'!$N173="Y",'Daily Workforce'!$B173&lt;&gt;"",COUNTIF('Daily Schedule'!$F$5:$F14,'Daily Workforce'!$B173)=0,IF('Daily Schedule'!$A15=45,'Daily Workforce'!$J173="Y",IF(OR('Daily Schedule'!$A15=4,'Daily Schedule'!$A15=8),IF(OR(WEEKDAY('Daily Schedule'!$B$2,2)=1,WEEKDAY('Daily Schedule'!$B$2,2)=4,WEEKDAY('Daily Schedule'!$B$2,2)=5,WEEKDAY('Daily Schedule'!$B$2,2)=7),IFERROR(1*'Daily Workforce'!$K173&gt;=3,FALSE()),IFERROR(1*'Daily Workforce'!$K173&gt;=2,FALSE())),IF(AND('Daily Schedule'!$A15&gt;=46,'Daily Schedule'!$A15&lt;=52),'Daily Workforce'!$M173="Y",IFERROR(1*'Daily Workforce'!$P173&gt;=2,FALSE()))))),1,0)</f>
        <v>0</v>
      </c>
      <c r="GC11" s="1" t="n">
        <f aca="false">IF(AND('Daily Workforce'!$N174="Y",'Daily Workforce'!$B174&lt;&gt;"",COUNTIF('Daily Schedule'!$F$5:$F14,'Daily Workforce'!$B174)=0,IF('Daily Schedule'!$A15=45,'Daily Workforce'!$J174="Y",IF(OR('Daily Schedule'!$A15=4,'Daily Schedule'!$A15=8),IF(OR(WEEKDAY('Daily Schedule'!$B$2,2)=1,WEEKDAY('Daily Schedule'!$B$2,2)=4,WEEKDAY('Daily Schedule'!$B$2,2)=5,WEEKDAY('Daily Schedule'!$B$2,2)=7),IFERROR(1*'Daily Workforce'!$K174&gt;=3,FALSE()),IFERROR(1*'Daily Workforce'!$K174&gt;=2,FALSE())),IF(AND('Daily Schedule'!$A15&gt;=46,'Daily Schedule'!$A15&lt;=52),'Daily Workforce'!$M174="Y",IFERROR(1*'Daily Workforce'!$P174&gt;=2,FALSE()))))),1,0)</f>
        <v>0</v>
      </c>
      <c r="GD11" s="1" t="n">
        <f aca="false">IF(AND('Daily Workforce'!$N175="Y",'Daily Workforce'!$B175&lt;&gt;"",COUNTIF('Daily Schedule'!$F$5:$F14,'Daily Workforce'!$B175)=0,IF('Daily Schedule'!$A15=45,'Daily Workforce'!$J175="Y",IF(OR('Daily Schedule'!$A15=4,'Daily Schedule'!$A15=8),IF(OR(WEEKDAY('Daily Schedule'!$B$2,2)=1,WEEKDAY('Daily Schedule'!$B$2,2)=4,WEEKDAY('Daily Schedule'!$B$2,2)=5,WEEKDAY('Daily Schedule'!$B$2,2)=7),IFERROR(1*'Daily Workforce'!$K175&gt;=3,FALSE()),IFERROR(1*'Daily Workforce'!$K175&gt;=2,FALSE())),IF(AND('Daily Schedule'!$A15&gt;=46,'Daily Schedule'!$A15&lt;=52),'Daily Workforce'!$M175="Y",IFERROR(1*'Daily Workforce'!$P175&gt;=2,FALSE()))))),1,0)</f>
        <v>0</v>
      </c>
      <c r="GE11" s="1" t="n">
        <f aca="false">IF(AND('Daily Workforce'!$N176="Y",'Daily Workforce'!$B176&lt;&gt;"",COUNTIF('Daily Schedule'!$F$5:$F14,'Daily Workforce'!$B176)=0,IF('Daily Schedule'!$A15=45,'Daily Workforce'!$J176="Y",IF(OR('Daily Schedule'!$A15=4,'Daily Schedule'!$A15=8),IF(OR(WEEKDAY('Daily Schedule'!$B$2,2)=1,WEEKDAY('Daily Schedule'!$B$2,2)=4,WEEKDAY('Daily Schedule'!$B$2,2)=5,WEEKDAY('Daily Schedule'!$B$2,2)=7),IFERROR(1*'Daily Workforce'!$K176&gt;=3,FALSE()),IFERROR(1*'Daily Workforce'!$K176&gt;=2,FALSE())),IF(AND('Daily Schedule'!$A15&gt;=46,'Daily Schedule'!$A15&lt;=52),'Daily Workforce'!$M176="Y",IFERROR(1*'Daily Workforce'!$P176&gt;=2,FALSE()))))),1,0)</f>
        <v>0</v>
      </c>
      <c r="GF11" s="1" t="n">
        <f aca="false">IF(AND('Daily Workforce'!$N177="Y",'Daily Workforce'!$B177&lt;&gt;"",COUNTIF('Daily Schedule'!$F$5:$F14,'Daily Workforce'!$B177)=0,IF('Daily Schedule'!$A15=45,'Daily Workforce'!$J177="Y",IF(OR('Daily Schedule'!$A15=4,'Daily Schedule'!$A15=8),IF(OR(WEEKDAY('Daily Schedule'!$B$2,2)=1,WEEKDAY('Daily Schedule'!$B$2,2)=4,WEEKDAY('Daily Schedule'!$B$2,2)=5,WEEKDAY('Daily Schedule'!$B$2,2)=7),IFERROR(1*'Daily Workforce'!$K177&gt;=3,FALSE()),IFERROR(1*'Daily Workforce'!$K177&gt;=2,FALSE())),IF(AND('Daily Schedule'!$A15&gt;=46,'Daily Schedule'!$A15&lt;=52),'Daily Workforce'!$M177="Y",IFERROR(1*'Daily Workforce'!$P177&gt;=2,FALSE()))))),1,0)</f>
        <v>0</v>
      </c>
      <c r="GG11" s="1" t="n">
        <f aca="false">IF(AND('Daily Workforce'!$N178="Y",'Daily Workforce'!$B178&lt;&gt;"",COUNTIF('Daily Schedule'!$F$5:$F14,'Daily Workforce'!$B178)=0,IF('Daily Schedule'!$A15=45,'Daily Workforce'!$J178="Y",IF(OR('Daily Schedule'!$A15=4,'Daily Schedule'!$A15=8),IF(OR(WEEKDAY('Daily Schedule'!$B$2,2)=1,WEEKDAY('Daily Schedule'!$B$2,2)=4,WEEKDAY('Daily Schedule'!$B$2,2)=5,WEEKDAY('Daily Schedule'!$B$2,2)=7),IFERROR(1*'Daily Workforce'!$K178&gt;=3,FALSE()),IFERROR(1*'Daily Workforce'!$K178&gt;=2,FALSE())),IF(AND('Daily Schedule'!$A15&gt;=46,'Daily Schedule'!$A15&lt;=52),'Daily Workforce'!$M178="Y",IFERROR(1*'Daily Workforce'!$P178&gt;=2,FALSE()))))),1,0)</f>
        <v>0</v>
      </c>
      <c r="GH11" s="1" t="n">
        <f aca="false">IF(AND('Daily Workforce'!$N179="Y",'Daily Workforce'!$B179&lt;&gt;"",COUNTIF('Daily Schedule'!$F$5:$F14,'Daily Workforce'!$B179)=0,IF('Daily Schedule'!$A15=45,'Daily Workforce'!$J179="Y",IF(OR('Daily Schedule'!$A15=4,'Daily Schedule'!$A15=8),IF(OR(WEEKDAY('Daily Schedule'!$B$2,2)=1,WEEKDAY('Daily Schedule'!$B$2,2)=4,WEEKDAY('Daily Schedule'!$B$2,2)=5,WEEKDAY('Daily Schedule'!$B$2,2)=7),IFERROR(1*'Daily Workforce'!$K179&gt;=3,FALSE()),IFERROR(1*'Daily Workforce'!$K179&gt;=2,FALSE())),IF(AND('Daily Schedule'!$A15&gt;=46,'Daily Schedule'!$A15&lt;=52),'Daily Workforce'!$M179="Y",IFERROR(1*'Daily Workforce'!$P179&gt;=2,FALSE()))))),1,0)</f>
        <v>0</v>
      </c>
      <c r="GI11" s="1" t="n">
        <f aca="false">IF(AND('Daily Workforce'!$N180="Y",'Daily Workforce'!$B180&lt;&gt;"",COUNTIF('Daily Schedule'!$F$5:$F14,'Daily Workforce'!$B180)=0,IF('Daily Schedule'!$A15=45,'Daily Workforce'!$J180="Y",IF(OR('Daily Schedule'!$A15=4,'Daily Schedule'!$A15=8),IF(OR(WEEKDAY('Daily Schedule'!$B$2,2)=1,WEEKDAY('Daily Schedule'!$B$2,2)=4,WEEKDAY('Daily Schedule'!$B$2,2)=5,WEEKDAY('Daily Schedule'!$B$2,2)=7),IFERROR(1*'Daily Workforce'!$K180&gt;=3,FALSE()),IFERROR(1*'Daily Workforce'!$K180&gt;=2,FALSE())),IF(AND('Daily Schedule'!$A15&gt;=46,'Daily Schedule'!$A15&lt;=52),'Daily Workforce'!$M180="Y",IFERROR(1*'Daily Workforce'!$P180&gt;=2,FALSE()))))),1,0)</f>
        <v>0</v>
      </c>
      <c r="GJ11" s="1" t="n">
        <f aca="false">IF(AND('Daily Workforce'!$N181="Y",'Daily Workforce'!$B181&lt;&gt;"",COUNTIF('Daily Schedule'!$F$5:$F14,'Daily Workforce'!$B181)=0,IF('Daily Schedule'!$A15=45,'Daily Workforce'!$J181="Y",IF(OR('Daily Schedule'!$A15=4,'Daily Schedule'!$A15=8),IF(OR(WEEKDAY('Daily Schedule'!$B$2,2)=1,WEEKDAY('Daily Schedule'!$B$2,2)=4,WEEKDAY('Daily Schedule'!$B$2,2)=5,WEEKDAY('Daily Schedule'!$B$2,2)=7),IFERROR(1*'Daily Workforce'!$K181&gt;=3,FALSE()),IFERROR(1*'Daily Workforce'!$K181&gt;=2,FALSE())),IF(AND('Daily Schedule'!$A15&gt;=46,'Daily Schedule'!$A15&lt;=52),'Daily Workforce'!$M181="Y",IFERROR(1*'Daily Workforce'!$P181&gt;=2,FALSE()))))),1,0)</f>
        <v>0</v>
      </c>
      <c r="GK11" s="1" t="n">
        <f aca="false">IF(AND('Daily Workforce'!$N182="Y",'Daily Workforce'!$B182&lt;&gt;"",COUNTIF('Daily Schedule'!$F$5:$F14,'Daily Workforce'!$B182)=0,IF('Daily Schedule'!$A15=45,'Daily Workforce'!$J182="Y",IF(OR('Daily Schedule'!$A15=4,'Daily Schedule'!$A15=8),IF(OR(WEEKDAY('Daily Schedule'!$B$2,2)=1,WEEKDAY('Daily Schedule'!$B$2,2)=4,WEEKDAY('Daily Schedule'!$B$2,2)=5,WEEKDAY('Daily Schedule'!$B$2,2)=7),IFERROR(1*'Daily Workforce'!$K182&gt;=3,FALSE()),IFERROR(1*'Daily Workforce'!$K182&gt;=2,FALSE())),IF(AND('Daily Schedule'!$A15&gt;=46,'Daily Schedule'!$A15&lt;=52),'Daily Workforce'!$M182="Y",IFERROR(1*'Daily Workforce'!$P182&gt;=2,FALSE()))))),1,0)</f>
        <v>0</v>
      </c>
      <c r="GL11" s="1" t="n">
        <f aca="false">IF(AND('Daily Workforce'!$N183="Y",'Daily Workforce'!$B183&lt;&gt;"",COUNTIF('Daily Schedule'!$F$5:$F14,'Daily Workforce'!$B183)=0,IF('Daily Schedule'!$A15=45,'Daily Workforce'!$J183="Y",IF(OR('Daily Schedule'!$A15=4,'Daily Schedule'!$A15=8),IF(OR(WEEKDAY('Daily Schedule'!$B$2,2)=1,WEEKDAY('Daily Schedule'!$B$2,2)=4,WEEKDAY('Daily Schedule'!$B$2,2)=5,WEEKDAY('Daily Schedule'!$B$2,2)=7),IFERROR(1*'Daily Workforce'!$K183&gt;=3,FALSE()),IFERROR(1*'Daily Workforce'!$K183&gt;=2,FALSE())),IF(AND('Daily Schedule'!$A15&gt;=46,'Daily Schedule'!$A15&lt;=52),'Daily Workforce'!$M183="Y",IFERROR(1*'Daily Workforce'!$P183&gt;=2,FALSE()))))),1,0)</f>
        <v>0</v>
      </c>
      <c r="GM11" s="1" t="n">
        <f aca="false">IF(AND('Daily Workforce'!$N184="Y",'Daily Workforce'!$B184&lt;&gt;"",COUNTIF('Daily Schedule'!$F$5:$F14,'Daily Workforce'!$B184)=0,IF('Daily Schedule'!$A15=45,'Daily Workforce'!$J184="Y",IF(OR('Daily Schedule'!$A15=4,'Daily Schedule'!$A15=8),IF(OR(WEEKDAY('Daily Schedule'!$B$2,2)=1,WEEKDAY('Daily Schedule'!$B$2,2)=4,WEEKDAY('Daily Schedule'!$B$2,2)=5,WEEKDAY('Daily Schedule'!$B$2,2)=7),IFERROR(1*'Daily Workforce'!$K184&gt;=3,FALSE()),IFERROR(1*'Daily Workforce'!$K184&gt;=2,FALSE())),IF(AND('Daily Schedule'!$A15&gt;=46,'Daily Schedule'!$A15&lt;=52),'Daily Workforce'!$M184="Y",IFERROR(1*'Daily Workforce'!$P184&gt;=2,FALSE()))))),1,0)</f>
        <v>0</v>
      </c>
      <c r="GN11" s="1" t="n">
        <f aca="false">IF(AND('Daily Workforce'!$N185="Y",'Daily Workforce'!$B185&lt;&gt;"",COUNTIF('Daily Schedule'!$F$5:$F14,'Daily Workforce'!$B185)=0,IF('Daily Schedule'!$A15=45,'Daily Workforce'!$J185="Y",IF(OR('Daily Schedule'!$A15=4,'Daily Schedule'!$A15=8),IF(OR(WEEKDAY('Daily Schedule'!$B$2,2)=1,WEEKDAY('Daily Schedule'!$B$2,2)=4,WEEKDAY('Daily Schedule'!$B$2,2)=5,WEEKDAY('Daily Schedule'!$B$2,2)=7),IFERROR(1*'Daily Workforce'!$K185&gt;=3,FALSE()),IFERROR(1*'Daily Workforce'!$K185&gt;=2,FALSE())),IF(AND('Daily Schedule'!$A15&gt;=46,'Daily Schedule'!$A15&lt;=52),'Daily Workforce'!$M185="Y",IFERROR(1*'Daily Workforce'!$P185&gt;=2,FALSE()))))),1,0)</f>
        <v>0</v>
      </c>
      <c r="GO11" s="1" t="n">
        <f aca="false">IF(AND('Daily Workforce'!$N186="Y",'Daily Workforce'!$B186&lt;&gt;"",COUNTIF('Daily Schedule'!$F$5:$F14,'Daily Workforce'!$B186)=0,IF('Daily Schedule'!$A15=45,'Daily Workforce'!$J186="Y",IF(OR('Daily Schedule'!$A15=4,'Daily Schedule'!$A15=8),IF(OR(WEEKDAY('Daily Schedule'!$B$2,2)=1,WEEKDAY('Daily Schedule'!$B$2,2)=4,WEEKDAY('Daily Schedule'!$B$2,2)=5,WEEKDAY('Daily Schedule'!$B$2,2)=7),IFERROR(1*'Daily Workforce'!$K186&gt;=3,FALSE()),IFERROR(1*'Daily Workforce'!$K186&gt;=2,FALSE())),IF(AND('Daily Schedule'!$A15&gt;=46,'Daily Schedule'!$A15&lt;=52),'Daily Workforce'!$M186="Y",IFERROR(1*'Daily Workforce'!$P186&gt;=2,FALSE()))))),1,0)</f>
        <v>0</v>
      </c>
      <c r="GP11" s="1" t="n">
        <f aca="false">IF(AND('Daily Workforce'!$N187="Y",'Daily Workforce'!$B187&lt;&gt;"",COUNTIF('Daily Schedule'!$F$5:$F14,'Daily Workforce'!$B187)=0,IF('Daily Schedule'!$A15=45,'Daily Workforce'!$J187="Y",IF(OR('Daily Schedule'!$A15=4,'Daily Schedule'!$A15=8),IF(OR(WEEKDAY('Daily Schedule'!$B$2,2)=1,WEEKDAY('Daily Schedule'!$B$2,2)=4,WEEKDAY('Daily Schedule'!$B$2,2)=5,WEEKDAY('Daily Schedule'!$B$2,2)=7),IFERROR(1*'Daily Workforce'!$K187&gt;=3,FALSE()),IFERROR(1*'Daily Workforce'!$K187&gt;=2,FALSE())),IF(AND('Daily Schedule'!$A15&gt;=46,'Daily Schedule'!$A15&lt;=52),'Daily Workforce'!$M187="Y",IFERROR(1*'Daily Workforce'!$P187&gt;=2,FALSE()))))),1,0)</f>
        <v>0</v>
      </c>
      <c r="GQ11" s="1" t="n">
        <f aca="false">IF(AND('Daily Workforce'!$N188="Y",'Daily Workforce'!$B188&lt;&gt;"",COUNTIF('Daily Schedule'!$F$5:$F14,'Daily Workforce'!$B188)=0,IF('Daily Schedule'!$A15=45,'Daily Workforce'!$J188="Y",IF(OR('Daily Schedule'!$A15=4,'Daily Schedule'!$A15=8),IF(OR(WEEKDAY('Daily Schedule'!$B$2,2)=1,WEEKDAY('Daily Schedule'!$B$2,2)=4,WEEKDAY('Daily Schedule'!$B$2,2)=5,WEEKDAY('Daily Schedule'!$B$2,2)=7),IFERROR(1*'Daily Workforce'!$K188&gt;=3,FALSE()),IFERROR(1*'Daily Workforce'!$K188&gt;=2,FALSE())),IF(AND('Daily Schedule'!$A15&gt;=46,'Daily Schedule'!$A15&lt;=52),'Daily Workforce'!$M188="Y",IFERROR(1*'Daily Workforce'!$P188&gt;=2,FALSE()))))),1,0)</f>
        <v>0</v>
      </c>
      <c r="GR11" s="1" t="n">
        <f aca="false">IF(AND('Daily Workforce'!$N189="Y",'Daily Workforce'!$B189&lt;&gt;"",COUNTIF('Daily Schedule'!$F$5:$F14,'Daily Workforce'!$B189)=0,IF('Daily Schedule'!$A15=45,'Daily Workforce'!$J189="Y",IF(OR('Daily Schedule'!$A15=4,'Daily Schedule'!$A15=8),IF(OR(WEEKDAY('Daily Schedule'!$B$2,2)=1,WEEKDAY('Daily Schedule'!$B$2,2)=4,WEEKDAY('Daily Schedule'!$B$2,2)=5,WEEKDAY('Daily Schedule'!$B$2,2)=7),IFERROR(1*'Daily Workforce'!$K189&gt;=3,FALSE()),IFERROR(1*'Daily Workforce'!$K189&gt;=2,FALSE())),IF(AND('Daily Schedule'!$A15&gt;=46,'Daily Schedule'!$A15&lt;=52),'Daily Workforce'!$M189="Y",IFERROR(1*'Daily Workforce'!$P189&gt;=2,FALSE()))))),1,0)</f>
        <v>0</v>
      </c>
      <c r="GS11" s="1" t="n">
        <f aca="false">IF(AND('Daily Workforce'!$N190="Y",'Daily Workforce'!$B190&lt;&gt;"",COUNTIF('Daily Schedule'!$F$5:$F14,'Daily Workforce'!$B190)=0,IF('Daily Schedule'!$A15=45,'Daily Workforce'!$J190="Y",IF(OR('Daily Schedule'!$A15=4,'Daily Schedule'!$A15=8),IF(OR(WEEKDAY('Daily Schedule'!$B$2,2)=1,WEEKDAY('Daily Schedule'!$B$2,2)=4,WEEKDAY('Daily Schedule'!$B$2,2)=5,WEEKDAY('Daily Schedule'!$B$2,2)=7),IFERROR(1*'Daily Workforce'!$K190&gt;=3,FALSE()),IFERROR(1*'Daily Workforce'!$K190&gt;=2,FALSE())),IF(AND('Daily Schedule'!$A15&gt;=46,'Daily Schedule'!$A15&lt;=52),'Daily Workforce'!$M190="Y",IFERROR(1*'Daily Workforce'!$P190&gt;=2,FALSE()))))),1,0)</f>
        <v>0</v>
      </c>
      <c r="GT11" s="1" t="n">
        <f aca="false">IF(AND('Daily Workforce'!$N191="Y",'Daily Workforce'!$B191&lt;&gt;"",COUNTIF('Daily Schedule'!$F$5:$F14,'Daily Workforce'!$B191)=0,IF('Daily Schedule'!$A15=45,'Daily Workforce'!$J191="Y",IF(OR('Daily Schedule'!$A15=4,'Daily Schedule'!$A15=8),IF(OR(WEEKDAY('Daily Schedule'!$B$2,2)=1,WEEKDAY('Daily Schedule'!$B$2,2)=4,WEEKDAY('Daily Schedule'!$B$2,2)=5,WEEKDAY('Daily Schedule'!$B$2,2)=7),IFERROR(1*'Daily Workforce'!$K191&gt;=3,FALSE()),IFERROR(1*'Daily Workforce'!$K191&gt;=2,FALSE())),IF(AND('Daily Schedule'!$A15&gt;=46,'Daily Schedule'!$A15&lt;=52),'Daily Workforce'!$M191="Y",IFERROR(1*'Daily Workforce'!$P191&gt;=2,FALSE()))))),1,0)</f>
        <v>0</v>
      </c>
      <c r="GU11" s="1" t="n">
        <f aca="false">IF(AND('Daily Workforce'!$N192="Y",'Daily Workforce'!$B192&lt;&gt;"",COUNTIF('Daily Schedule'!$F$5:$F14,'Daily Workforce'!$B192)=0,IF('Daily Schedule'!$A15=45,'Daily Workforce'!$J192="Y",IF(OR('Daily Schedule'!$A15=4,'Daily Schedule'!$A15=8),IF(OR(WEEKDAY('Daily Schedule'!$B$2,2)=1,WEEKDAY('Daily Schedule'!$B$2,2)=4,WEEKDAY('Daily Schedule'!$B$2,2)=5,WEEKDAY('Daily Schedule'!$B$2,2)=7),IFERROR(1*'Daily Workforce'!$K192&gt;=3,FALSE()),IFERROR(1*'Daily Workforce'!$K192&gt;=2,FALSE())),IF(AND('Daily Schedule'!$A15&gt;=46,'Daily Schedule'!$A15&lt;=52),'Daily Workforce'!$M192="Y",IFERROR(1*'Daily Workforce'!$P192&gt;=2,FALSE()))))),1,0)</f>
        <v>0</v>
      </c>
      <c r="GV11" s="1" t="n">
        <f aca="false">IF(AND('Daily Workforce'!$N193="Y",'Daily Workforce'!$B193&lt;&gt;"",COUNTIF('Daily Schedule'!$F$5:$F14,'Daily Workforce'!$B193)=0,IF('Daily Schedule'!$A15=45,'Daily Workforce'!$J193="Y",IF(OR('Daily Schedule'!$A15=4,'Daily Schedule'!$A15=8),IF(OR(WEEKDAY('Daily Schedule'!$B$2,2)=1,WEEKDAY('Daily Schedule'!$B$2,2)=4,WEEKDAY('Daily Schedule'!$B$2,2)=5,WEEKDAY('Daily Schedule'!$B$2,2)=7),IFERROR(1*'Daily Workforce'!$K193&gt;=3,FALSE()),IFERROR(1*'Daily Workforce'!$K193&gt;=2,FALSE())),IF(AND('Daily Schedule'!$A15&gt;=46,'Daily Schedule'!$A15&lt;=52),'Daily Workforce'!$M193="Y",IFERROR(1*'Daily Workforce'!$P193&gt;=2,FALSE()))))),1,0)</f>
        <v>0</v>
      </c>
      <c r="GW11" s="1" t="n">
        <f aca="false">IF(AND('Daily Workforce'!$N194="Y",'Daily Workforce'!$B194&lt;&gt;"",COUNTIF('Daily Schedule'!$F$5:$F14,'Daily Workforce'!$B194)=0,IF('Daily Schedule'!$A15=45,'Daily Workforce'!$J194="Y",IF(OR('Daily Schedule'!$A15=4,'Daily Schedule'!$A15=8),IF(OR(WEEKDAY('Daily Schedule'!$B$2,2)=1,WEEKDAY('Daily Schedule'!$B$2,2)=4,WEEKDAY('Daily Schedule'!$B$2,2)=5,WEEKDAY('Daily Schedule'!$B$2,2)=7),IFERROR(1*'Daily Workforce'!$K194&gt;=3,FALSE()),IFERROR(1*'Daily Workforce'!$K194&gt;=2,FALSE())),IF(AND('Daily Schedule'!$A15&gt;=46,'Daily Schedule'!$A15&lt;=52),'Daily Workforce'!$M194="Y",IFERROR(1*'Daily Workforce'!$P194&gt;=2,FALSE()))))),1,0)</f>
        <v>0</v>
      </c>
      <c r="GX11" s="1" t="n">
        <f aca="false">IF(AND('Daily Workforce'!$N195="Y",'Daily Workforce'!$B195&lt;&gt;"",COUNTIF('Daily Schedule'!$F$5:$F14,'Daily Workforce'!$B195)=0,IF('Daily Schedule'!$A15=45,'Daily Workforce'!$J195="Y",IF(OR('Daily Schedule'!$A15=4,'Daily Schedule'!$A15=8),IF(OR(WEEKDAY('Daily Schedule'!$B$2,2)=1,WEEKDAY('Daily Schedule'!$B$2,2)=4,WEEKDAY('Daily Schedule'!$B$2,2)=5,WEEKDAY('Daily Schedule'!$B$2,2)=7),IFERROR(1*'Daily Workforce'!$K195&gt;=3,FALSE()),IFERROR(1*'Daily Workforce'!$K195&gt;=2,FALSE())),IF(AND('Daily Schedule'!$A15&gt;=46,'Daily Schedule'!$A15&lt;=52),'Daily Workforce'!$M195="Y",IFERROR(1*'Daily Workforce'!$P195&gt;=2,FALSE()))))),1,0)</f>
        <v>0</v>
      </c>
      <c r="GY11" s="1" t="n">
        <f aca="false">IF(AND('Daily Workforce'!$N196="Y",'Daily Workforce'!$B196&lt;&gt;"",COUNTIF('Daily Schedule'!$F$5:$F14,'Daily Workforce'!$B196)=0,IF('Daily Schedule'!$A15=45,'Daily Workforce'!$J196="Y",IF(OR('Daily Schedule'!$A15=4,'Daily Schedule'!$A15=8),IF(OR(WEEKDAY('Daily Schedule'!$B$2,2)=1,WEEKDAY('Daily Schedule'!$B$2,2)=4,WEEKDAY('Daily Schedule'!$B$2,2)=5,WEEKDAY('Daily Schedule'!$B$2,2)=7),IFERROR(1*'Daily Workforce'!$K196&gt;=3,FALSE()),IFERROR(1*'Daily Workforce'!$K196&gt;=2,FALSE())),IF(AND('Daily Schedule'!$A15&gt;=46,'Daily Schedule'!$A15&lt;=52),'Daily Workforce'!$M196="Y",IFERROR(1*'Daily Workforce'!$P196&gt;=2,FALSE()))))),1,0)</f>
        <v>0</v>
      </c>
      <c r="GZ11" s="1" t="n">
        <f aca="false">IF(AND('Daily Workforce'!$N197="Y",'Daily Workforce'!$B197&lt;&gt;"",COUNTIF('Daily Schedule'!$F$5:$F14,'Daily Workforce'!$B197)=0,IF('Daily Schedule'!$A15=45,'Daily Workforce'!$J197="Y",IF(OR('Daily Schedule'!$A15=4,'Daily Schedule'!$A15=8),IF(OR(WEEKDAY('Daily Schedule'!$B$2,2)=1,WEEKDAY('Daily Schedule'!$B$2,2)=4,WEEKDAY('Daily Schedule'!$B$2,2)=5,WEEKDAY('Daily Schedule'!$B$2,2)=7),IFERROR(1*'Daily Workforce'!$K197&gt;=3,FALSE()),IFERROR(1*'Daily Workforce'!$K197&gt;=2,FALSE())),IF(AND('Daily Schedule'!$A15&gt;=46,'Daily Schedule'!$A15&lt;=52),'Daily Workforce'!$M197="Y",IFERROR(1*'Daily Workforce'!$P197&gt;=2,FALSE()))))),1,0)</f>
        <v>0</v>
      </c>
      <c r="HA11" s="1" t="n">
        <f aca="false">IF(AND('Daily Workforce'!$N198="Y",'Daily Workforce'!$B198&lt;&gt;"",COUNTIF('Daily Schedule'!$F$5:$F14,'Daily Workforce'!$B198)=0,IF('Daily Schedule'!$A15=45,'Daily Workforce'!$J198="Y",IF(OR('Daily Schedule'!$A15=4,'Daily Schedule'!$A15=8),IF(OR(WEEKDAY('Daily Schedule'!$B$2,2)=1,WEEKDAY('Daily Schedule'!$B$2,2)=4,WEEKDAY('Daily Schedule'!$B$2,2)=5,WEEKDAY('Daily Schedule'!$B$2,2)=7),IFERROR(1*'Daily Workforce'!$K198&gt;=3,FALSE()),IFERROR(1*'Daily Workforce'!$K198&gt;=2,FALSE())),IF(AND('Daily Schedule'!$A15&gt;=46,'Daily Schedule'!$A15&lt;=52),'Daily Workforce'!$M198="Y",IFERROR(1*'Daily Workforce'!$P198&gt;=2,FALSE()))))),1,0)</f>
        <v>0</v>
      </c>
      <c r="HB11" s="1" t="n">
        <f aca="false">IF(AND('Daily Workforce'!$N199="Y",'Daily Workforce'!$B199&lt;&gt;"",COUNTIF('Daily Schedule'!$F$5:$F14,'Daily Workforce'!$B199)=0,IF('Daily Schedule'!$A15=45,'Daily Workforce'!$J199="Y",IF(OR('Daily Schedule'!$A15=4,'Daily Schedule'!$A15=8),IF(OR(WEEKDAY('Daily Schedule'!$B$2,2)=1,WEEKDAY('Daily Schedule'!$B$2,2)=4,WEEKDAY('Daily Schedule'!$B$2,2)=5,WEEKDAY('Daily Schedule'!$B$2,2)=7),IFERROR(1*'Daily Workforce'!$K199&gt;=3,FALSE()),IFERROR(1*'Daily Workforce'!$K199&gt;=2,FALSE())),IF(AND('Daily Schedule'!$A15&gt;=46,'Daily Schedule'!$A15&lt;=52),'Daily Workforce'!$M199="Y",IFERROR(1*'Daily Workforce'!$P199&gt;=2,FALSE()))))),1,0)</f>
        <v>0</v>
      </c>
      <c r="HC11" s="1" t="n">
        <f aca="false">IF(AND('Daily Workforce'!$N200="Y",'Daily Workforce'!$B200&lt;&gt;"",COUNTIF('Daily Schedule'!$F$5:$F14,'Daily Workforce'!$B200)=0,IF('Daily Schedule'!$A15=45,'Daily Workforce'!$J200="Y",IF(OR('Daily Schedule'!$A15=4,'Daily Schedule'!$A15=8),IF(OR(WEEKDAY('Daily Schedule'!$B$2,2)=1,WEEKDAY('Daily Schedule'!$B$2,2)=4,WEEKDAY('Daily Schedule'!$B$2,2)=5,WEEKDAY('Daily Schedule'!$B$2,2)=7),IFERROR(1*'Daily Workforce'!$K200&gt;=3,FALSE()),IFERROR(1*'Daily Workforce'!$K200&gt;=2,FALSE())),IF(AND('Daily Schedule'!$A15&gt;=46,'Daily Schedule'!$A15&lt;=52),'Daily Workforce'!$M200="Y",IFERROR(1*'Daily Workforce'!$P200&gt;=2,FALSE()))))),1,0)</f>
        <v>0</v>
      </c>
      <c r="HD11" s="1" t="n">
        <f aca="false">IF(AND('Daily Workforce'!$N201="Y",'Daily Workforce'!$B201&lt;&gt;"",COUNTIF('Daily Schedule'!$F$5:$F14,'Daily Workforce'!$B201)=0,IF('Daily Schedule'!$A15=45,'Daily Workforce'!$J201="Y",IF(OR('Daily Schedule'!$A15=4,'Daily Schedule'!$A15=8),IF(OR(WEEKDAY('Daily Schedule'!$B$2,2)=1,WEEKDAY('Daily Schedule'!$B$2,2)=4,WEEKDAY('Daily Schedule'!$B$2,2)=5,WEEKDAY('Daily Schedule'!$B$2,2)=7),IFERROR(1*'Daily Workforce'!$K201&gt;=3,FALSE()),IFERROR(1*'Daily Workforce'!$K201&gt;=2,FALSE())),IF(AND('Daily Schedule'!$A15&gt;=46,'Daily Schedule'!$A15&lt;=52),'Daily Workforce'!$M201="Y",IFERROR(1*'Daily Workforce'!$P201&gt;=2,FALSE()))))),1,0)</f>
        <v>0</v>
      </c>
      <c r="HE11" s="1" t="n">
        <f aca="false">IF(AND('Daily Workforce'!$N202="Y",'Daily Workforce'!$B202&lt;&gt;"",COUNTIF('Daily Schedule'!$F$5:$F14,'Daily Workforce'!$B202)=0,IF('Daily Schedule'!$A15=45,'Daily Workforce'!$J202="Y",IF(OR('Daily Schedule'!$A15=4,'Daily Schedule'!$A15=8),IF(OR(WEEKDAY('Daily Schedule'!$B$2,2)=1,WEEKDAY('Daily Schedule'!$B$2,2)=4,WEEKDAY('Daily Schedule'!$B$2,2)=5,WEEKDAY('Daily Schedule'!$B$2,2)=7),IFERROR(1*'Daily Workforce'!$K202&gt;=3,FALSE()),IFERROR(1*'Daily Workforce'!$K202&gt;=2,FALSE())),IF(AND('Daily Schedule'!$A15&gt;=46,'Daily Schedule'!$A15&lt;=52),'Daily Workforce'!$M202="Y",IFERROR(1*'Daily Workforce'!$P202&gt;=2,FALSE()))))),1,0)</f>
        <v>0</v>
      </c>
      <c r="HF11" s="1" t="n">
        <f aca="false">IF(AND('Daily Workforce'!$N203="Y",'Daily Workforce'!$B203&lt;&gt;"",COUNTIF('Daily Schedule'!$F$5:$F14,'Daily Workforce'!$B203)=0,IF('Daily Schedule'!$A15=45,'Daily Workforce'!$J203="Y",IF(OR('Daily Schedule'!$A15=4,'Daily Schedule'!$A15=8),IF(OR(WEEKDAY('Daily Schedule'!$B$2,2)=1,WEEKDAY('Daily Schedule'!$B$2,2)=4,WEEKDAY('Daily Schedule'!$B$2,2)=5,WEEKDAY('Daily Schedule'!$B$2,2)=7),IFERROR(1*'Daily Workforce'!$K203&gt;=3,FALSE()),IFERROR(1*'Daily Workforce'!$K203&gt;=2,FALSE())),IF(AND('Daily Schedule'!$A15&gt;=46,'Daily Schedule'!$A15&lt;=52),'Daily Workforce'!$M203="Y",IFERROR(1*'Daily Workforce'!$P203&gt;=2,FALSE()))))),1,0)</f>
        <v>0</v>
      </c>
      <c r="HG11" s="1" t="n">
        <f aca="false">IF(AND('Daily Workforce'!$N204="Y",'Daily Workforce'!$B204&lt;&gt;"",COUNTIF('Daily Schedule'!$F$5:$F14,'Daily Workforce'!$B204)=0,IF('Daily Schedule'!$A15=45,'Daily Workforce'!$J204="Y",IF(OR('Daily Schedule'!$A15=4,'Daily Schedule'!$A15=8),IF(OR(WEEKDAY('Daily Schedule'!$B$2,2)=1,WEEKDAY('Daily Schedule'!$B$2,2)=4,WEEKDAY('Daily Schedule'!$B$2,2)=5,WEEKDAY('Daily Schedule'!$B$2,2)=7),IFERROR(1*'Daily Workforce'!$K204&gt;=3,FALSE()),IFERROR(1*'Daily Workforce'!$K204&gt;=2,FALSE())),IF(AND('Daily Schedule'!$A15&gt;=46,'Daily Schedule'!$A15&lt;=52),'Daily Workforce'!$M204="Y",IFERROR(1*'Daily Workforce'!$P204&gt;=2,FALSE()))))),1,0)</f>
        <v>0</v>
      </c>
      <c r="HH11" s="1" t="n">
        <f aca="false">IF(AND('Daily Workforce'!$N205="Y",'Daily Workforce'!$B205&lt;&gt;"",COUNTIF('Daily Schedule'!$F$5:$F14,'Daily Workforce'!$B205)=0,IF('Daily Schedule'!$A15=45,'Daily Workforce'!$J205="Y",IF(OR('Daily Schedule'!$A15=4,'Daily Schedule'!$A15=8),IF(OR(WEEKDAY('Daily Schedule'!$B$2,2)=1,WEEKDAY('Daily Schedule'!$B$2,2)=4,WEEKDAY('Daily Schedule'!$B$2,2)=5,WEEKDAY('Daily Schedule'!$B$2,2)=7),IFERROR(1*'Daily Workforce'!$K205&gt;=3,FALSE()),IFERROR(1*'Daily Workforce'!$K205&gt;=2,FALSE())),IF(AND('Daily Schedule'!$A15&gt;=46,'Daily Schedule'!$A15&lt;=52),'Daily Workforce'!$M205="Y",IFERROR(1*'Daily Workforce'!$P205&gt;=2,FALSE()))))),1,0)</f>
        <v>0</v>
      </c>
    </row>
    <row r="12" customFormat="false" ht="15" hidden="false" customHeight="true" outlineLevel="0" collapsed="false">
      <c r="C12" s="1" t="s">
        <v>802</v>
      </c>
      <c r="L12" s="1" t="s">
        <v>803</v>
      </c>
      <c r="M12" s="1" t="s">
        <v>342</v>
      </c>
      <c r="O12" s="1" t="n">
        <f aca="false">IF(AND('Employee Master'!$G12="Y",ISERROR(SEARCH(TEXT('Daily Workforce'!$B$2,"ddd"),'Employee Master'!$D12)),IF('Daily Workforce'!$E$2="",TRUE(),'Employee Master'!$I12='Daily Workforce'!$E$2)),'Employee Master'!$K12*1000+ROW()-1,"")</f>
        <v>3011</v>
      </c>
      <c r="P12" s="1" t="n">
        <f aca="false">IF($O12="","",COUNTIF($O$2:$O$159,"&lt;="&amp;$O12))</f>
        <v>58</v>
      </c>
      <c r="Q12" s="1" t="n">
        <f aca="false">IF(AND('Daily Workforce'!$N6="Y",'Daily Workforce'!$B6&lt;&gt;"",COUNTIF('Daily Schedule'!$F$5:$F15,'Daily Workforce'!$B6)=0,IF('Daily Schedule'!$A16=45,'Daily Workforce'!$J6="Y",IF(OR('Daily Schedule'!$A16=4,'Daily Schedule'!$A16=8),IF(OR(WEEKDAY('Daily Schedule'!$B$2,2)=1,WEEKDAY('Daily Schedule'!$B$2,2)=4,WEEKDAY('Daily Schedule'!$B$2,2)=5,WEEKDAY('Daily Schedule'!$B$2,2)=7),IFERROR(1*'Daily Workforce'!$K6&gt;=3,FALSE()),IFERROR(1*'Daily Workforce'!$K6&gt;=2,FALSE())),IF(AND('Daily Schedule'!$A16&gt;=46,'Daily Schedule'!$A16&lt;=52),'Daily Workforce'!$M6="Y",IFERROR(1*'Daily Workforce'!$P6&gt;=2,FALSE()))))),1,0)</f>
        <v>0</v>
      </c>
      <c r="R12" s="1" t="n">
        <f aca="false">IF(AND('Daily Workforce'!$N7="Y",'Daily Workforce'!$B7&lt;&gt;"",COUNTIF('Daily Schedule'!$F$5:$F15,'Daily Workforce'!$B7)=0,IF('Daily Schedule'!$A16=45,'Daily Workforce'!$J7="Y",IF(OR('Daily Schedule'!$A16=4,'Daily Schedule'!$A16=8),IF(OR(WEEKDAY('Daily Schedule'!$B$2,2)=1,WEEKDAY('Daily Schedule'!$B$2,2)=4,WEEKDAY('Daily Schedule'!$B$2,2)=5,WEEKDAY('Daily Schedule'!$B$2,2)=7),IFERROR(1*'Daily Workforce'!$K7&gt;=3,FALSE()),IFERROR(1*'Daily Workforce'!$K7&gt;=2,FALSE())),IF(AND('Daily Schedule'!$A16&gt;=46,'Daily Schedule'!$A16&lt;=52),'Daily Workforce'!$M7="Y",IFERROR(1*'Daily Workforce'!$P7&gt;=2,FALSE()))))),1,0)</f>
        <v>0</v>
      </c>
      <c r="S12" s="1" t="n">
        <f aca="false">IF(AND('Daily Workforce'!$N8="Y",'Daily Workforce'!$B8&lt;&gt;"",COUNTIF('Daily Schedule'!$F$5:$F15,'Daily Workforce'!$B8)=0,IF('Daily Schedule'!$A16=45,'Daily Workforce'!$J8="Y",IF(OR('Daily Schedule'!$A16=4,'Daily Schedule'!$A16=8),IF(OR(WEEKDAY('Daily Schedule'!$B$2,2)=1,WEEKDAY('Daily Schedule'!$B$2,2)=4,WEEKDAY('Daily Schedule'!$B$2,2)=5,WEEKDAY('Daily Schedule'!$B$2,2)=7),IFERROR(1*'Daily Workforce'!$K8&gt;=3,FALSE()),IFERROR(1*'Daily Workforce'!$K8&gt;=2,FALSE())),IF(AND('Daily Schedule'!$A16&gt;=46,'Daily Schedule'!$A16&lt;=52),'Daily Workforce'!$M8="Y",IFERROR(1*'Daily Workforce'!$P8&gt;=2,FALSE()))))),1,0)</f>
        <v>0</v>
      </c>
      <c r="T12" s="1" t="n">
        <f aca="false">IF(AND('Daily Workforce'!$N9="Y",'Daily Workforce'!$B9&lt;&gt;"",COUNTIF('Daily Schedule'!$F$5:$F15,'Daily Workforce'!$B9)=0,IF('Daily Schedule'!$A16=45,'Daily Workforce'!$J9="Y",IF(OR('Daily Schedule'!$A16=4,'Daily Schedule'!$A16=8),IF(OR(WEEKDAY('Daily Schedule'!$B$2,2)=1,WEEKDAY('Daily Schedule'!$B$2,2)=4,WEEKDAY('Daily Schedule'!$B$2,2)=5,WEEKDAY('Daily Schedule'!$B$2,2)=7),IFERROR(1*'Daily Workforce'!$K9&gt;=3,FALSE()),IFERROR(1*'Daily Workforce'!$K9&gt;=2,FALSE())),IF(AND('Daily Schedule'!$A16&gt;=46,'Daily Schedule'!$A16&lt;=52),'Daily Workforce'!$M9="Y",IFERROR(1*'Daily Workforce'!$P9&gt;=2,FALSE()))))),1,0)</f>
        <v>0</v>
      </c>
      <c r="U12" s="1" t="n">
        <f aca="false">IF(AND('Daily Workforce'!$N10="Y",'Daily Workforce'!$B10&lt;&gt;"",COUNTIF('Daily Schedule'!$F$5:$F15,'Daily Workforce'!$B10)=0,IF('Daily Schedule'!$A16=45,'Daily Workforce'!$J10="Y",IF(OR('Daily Schedule'!$A16=4,'Daily Schedule'!$A16=8),IF(OR(WEEKDAY('Daily Schedule'!$B$2,2)=1,WEEKDAY('Daily Schedule'!$B$2,2)=4,WEEKDAY('Daily Schedule'!$B$2,2)=5,WEEKDAY('Daily Schedule'!$B$2,2)=7),IFERROR(1*'Daily Workforce'!$K10&gt;=3,FALSE()),IFERROR(1*'Daily Workforce'!$K10&gt;=2,FALSE())),IF(AND('Daily Schedule'!$A16&gt;=46,'Daily Schedule'!$A16&lt;=52),'Daily Workforce'!$M10="Y",IFERROR(1*'Daily Workforce'!$P10&gt;=2,FALSE()))))),1,0)</f>
        <v>0</v>
      </c>
      <c r="V12" s="1" t="n">
        <f aca="false">IF(AND('Daily Workforce'!$N11="Y",'Daily Workforce'!$B11&lt;&gt;"",COUNTIF('Daily Schedule'!$F$5:$F15,'Daily Workforce'!$B11)=0,IF('Daily Schedule'!$A16=45,'Daily Workforce'!$J11="Y",IF(OR('Daily Schedule'!$A16=4,'Daily Schedule'!$A16=8),IF(OR(WEEKDAY('Daily Schedule'!$B$2,2)=1,WEEKDAY('Daily Schedule'!$B$2,2)=4,WEEKDAY('Daily Schedule'!$B$2,2)=5,WEEKDAY('Daily Schedule'!$B$2,2)=7),IFERROR(1*'Daily Workforce'!$K11&gt;=3,FALSE()),IFERROR(1*'Daily Workforce'!$K11&gt;=2,FALSE())),IF(AND('Daily Schedule'!$A16&gt;=46,'Daily Schedule'!$A16&lt;=52),'Daily Workforce'!$M11="Y",IFERROR(1*'Daily Workforce'!$P11&gt;=2,FALSE()))))),1,0)</f>
        <v>0</v>
      </c>
      <c r="W12" s="1" t="n">
        <f aca="false">IF(AND('Daily Workforce'!$N12="Y",'Daily Workforce'!$B12&lt;&gt;"",COUNTIF('Daily Schedule'!$F$5:$F15,'Daily Workforce'!$B12)=0,IF('Daily Schedule'!$A16=45,'Daily Workforce'!$J12="Y",IF(OR('Daily Schedule'!$A16=4,'Daily Schedule'!$A16=8),IF(OR(WEEKDAY('Daily Schedule'!$B$2,2)=1,WEEKDAY('Daily Schedule'!$B$2,2)=4,WEEKDAY('Daily Schedule'!$B$2,2)=5,WEEKDAY('Daily Schedule'!$B$2,2)=7),IFERROR(1*'Daily Workforce'!$K12&gt;=3,FALSE()),IFERROR(1*'Daily Workforce'!$K12&gt;=2,FALSE())),IF(AND('Daily Schedule'!$A16&gt;=46,'Daily Schedule'!$A16&lt;=52),'Daily Workforce'!$M12="Y",IFERROR(1*'Daily Workforce'!$P12&gt;=2,FALSE()))))),1,0)</f>
        <v>0</v>
      </c>
      <c r="X12" s="1" t="n">
        <f aca="false">IF(AND('Daily Workforce'!$N13="Y",'Daily Workforce'!$B13&lt;&gt;"",COUNTIF('Daily Schedule'!$F$5:$F15,'Daily Workforce'!$B13)=0,IF('Daily Schedule'!$A16=45,'Daily Workforce'!$J13="Y",IF(OR('Daily Schedule'!$A16=4,'Daily Schedule'!$A16=8),IF(OR(WEEKDAY('Daily Schedule'!$B$2,2)=1,WEEKDAY('Daily Schedule'!$B$2,2)=4,WEEKDAY('Daily Schedule'!$B$2,2)=5,WEEKDAY('Daily Schedule'!$B$2,2)=7),IFERROR(1*'Daily Workforce'!$K13&gt;=3,FALSE()),IFERROR(1*'Daily Workforce'!$K13&gt;=2,FALSE())),IF(AND('Daily Schedule'!$A16&gt;=46,'Daily Schedule'!$A16&lt;=52),'Daily Workforce'!$M13="Y",IFERROR(1*'Daily Workforce'!$P13&gt;=2,FALSE()))))),1,0)</f>
        <v>0</v>
      </c>
      <c r="Y12" s="1" t="n">
        <f aca="false">IF(AND('Daily Workforce'!$N14="Y",'Daily Workforce'!$B14&lt;&gt;"",COUNTIF('Daily Schedule'!$F$5:$F15,'Daily Workforce'!$B14)=0,IF('Daily Schedule'!$A16=45,'Daily Workforce'!$J14="Y",IF(OR('Daily Schedule'!$A16=4,'Daily Schedule'!$A16=8),IF(OR(WEEKDAY('Daily Schedule'!$B$2,2)=1,WEEKDAY('Daily Schedule'!$B$2,2)=4,WEEKDAY('Daily Schedule'!$B$2,2)=5,WEEKDAY('Daily Schedule'!$B$2,2)=7),IFERROR(1*'Daily Workforce'!$K14&gt;=3,FALSE()),IFERROR(1*'Daily Workforce'!$K14&gt;=2,FALSE())),IF(AND('Daily Schedule'!$A16&gt;=46,'Daily Schedule'!$A16&lt;=52),'Daily Workforce'!$M14="Y",IFERROR(1*'Daily Workforce'!$P14&gt;=2,FALSE()))))),1,0)</f>
        <v>0</v>
      </c>
      <c r="Z12" s="1" t="n">
        <f aca="false">IF(AND('Daily Workforce'!$N15="Y",'Daily Workforce'!$B15&lt;&gt;"",COUNTIF('Daily Schedule'!$F$5:$F15,'Daily Workforce'!$B15)=0,IF('Daily Schedule'!$A16=45,'Daily Workforce'!$J15="Y",IF(OR('Daily Schedule'!$A16=4,'Daily Schedule'!$A16=8),IF(OR(WEEKDAY('Daily Schedule'!$B$2,2)=1,WEEKDAY('Daily Schedule'!$B$2,2)=4,WEEKDAY('Daily Schedule'!$B$2,2)=5,WEEKDAY('Daily Schedule'!$B$2,2)=7),IFERROR(1*'Daily Workforce'!$K15&gt;=3,FALSE()),IFERROR(1*'Daily Workforce'!$K15&gt;=2,FALSE())),IF(AND('Daily Schedule'!$A16&gt;=46,'Daily Schedule'!$A16&lt;=52),'Daily Workforce'!$M15="Y",IFERROR(1*'Daily Workforce'!$P15&gt;=2,FALSE()))))),1,0)</f>
        <v>0</v>
      </c>
      <c r="AA12" s="1" t="n">
        <f aca="false">IF(AND('Daily Workforce'!$N16="Y",'Daily Workforce'!$B16&lt;&gt;"",COUNTIF('Daily Schedule'!$F$5:$F15,'Daily Workforce'!$B16)=0,IF('Daily Schedule'!$A16=45,'Daily Workforce'!$J16="Y",IF(OR('Daily Schedule'!$A16=4,'Daily Schedule'!$A16=8),IF(OR(WEEKDAY('Daily Schedule'!$B$2,2)=1,WEEKDAY('Daily Schedule'!$B$2,2)=4,WEEKDAY('Daily Schedule'!$B$2,2)=5,WEEKDAY('Daily Schedule'!$B$2,2)=7),IFERROR(1*'Daily Workforce'!$K16&gt;=3,FALSE()),IFERROR(1*'Daily Workforce'!$K16&gt;=2,FALSE())),IF(AND('Daily Schedule'!$A16&gt;=46,'Daily Schedule'!$A16&lt;=52),'Daily Workforce'!$M16="Y",IFERROR(1*'Daily Workforce'!$P16&gt;=2,FALSE()))))),1,0)</f>
        <v>1</v>
      </c>
      <c r="AB12" s="1" t="n">
        <f aca="false">IF(AND('Daily Workforce'!$N17="Y",'Daily Workforce'!$B17&lt;&gt;"",COUNTIF('Daily Schedule'!$F$5:$F15,'Daily Workforce'!$B17)=0,IF('Daily Schedule'!$A16=45,'Daily Workforce'!$J17="Y",IF(OR('Daily Schedule'!$A16=4,'Daily Schedule'!$A16=8),IF(OR(WEEKDAY('Daily Schedule'!$B$2,2)=1,WEEKDAY('Daily Schedule'!$B$2,2)=4,WEEKDAY('Daily Schedule'!$B$2,2)=5,WEEKDAY('Daily Schedule'!$B$2,2)=7),IFERROR(1*'Daily Workforce'!$K17&gt;=3,FALSE()),IFERROR(1*'Daily Workforce'!$K17&gt;=2,FALSE())),IF(AND('Daily Schedule'!$A16&gt;=46,'Daily Schedule'!$A16&lt;=52),'Daily Workforce'!$M17="Y",IFERROR(1*'Daily Workforce'!$P17&gt;=2,FALSE()))))),1,0)</f>
        <v>1</v>
      </c>
      <c r="AC12" s="1" t="n">
        <f aca="false">IF(AND('Daily Workforce'!$N18="Y",'Daily Workforce'!$B18&lt;&gt;"",COUNTIF('Daily Schedule'!$F$5:$F15,'Daily Workforce'!$B18)=0,IF('Daily Schedule'!$A16=45,'Daily Workforce'!$J18="Y",IF(OR('Daily Schedule'!$A16=4,'Daily Schedule'!$A16=8),IF(OR(WEEKDAY('Daily Schedule'!$B$2,2)=1,WEEKDAY('Daily Schedule'!$B$2,2)=4,WEEKDAY('Daily Schedule'!$B$2,2)=5,WEEKDAY('Daily Schedule'!$B$2,2)=7),IFERROR(1*'Daily Workforce'!$K18&gt;=3,FALSE()),IFERROR(1*'Daily Workforce'!$K18&gt;=2,FALSE())),IF(AND('Daily Schedule'!$A16&gt;=46,'Daily Schedule'!$A16&lt;=52),'Daily Workforce'!$M18="Y",IFERROR(1*'Daily Workforce'!$P18&gt;=2,FALSE()))))),1,0)</f>
        <v>1</v>
      </c>
      <c r="AD12" s="1" t="n">
        <f aca="false">IF(AND('Daily Workforce'!$N19="Y",'Daily Workforce'!$B19&lt;&gt;"",COUNTIF('Daily Schedule'!$F$5:$F15,'Daily Workforce'!$B19)=0,IF('Daily Schedule'!$A16=45,'Daily Workforce'!$J19="Y",IF(OR('Daily Schedule'!$A16=4,'Daily Schedule'!$A16=8),IF(OR(WEEKDAY('Daily Schedule'!$B$2,2)=1,WEEKDAY('Daily Schedule'!$B$2,2)=4,WEEKDAY('Daily Schedule'!$B$2,2)=5,WEEKDAY('Daily Schedule'!$B$2,2)=7),IFERROR(1*'Daily Workforce'!$K19&gt;=3,FALSE()),IFERROR(1*'Daily Workforce'!$K19&gt;=2,FALSE())),IF(AND('Daily Schedule'!$A16&gt;=46,'Daily Schedule'!$A16&lt;=52),'Daily Workforce'!$M19="Y",IFERROR(1*'Daily Workforce'!$P19&gt;=2,FALSE()))))),1,0)</f>
        <v>1</v>
      </c>
      <c r="AE12" s="1" t="n">
        <f aca="false">IF(AND('Daily Workforce'!$N20="Y",'Daily Workforce'!$B20&lt;&gt;"",COUNTIF('Daily Schedule'!$F$5:$F15,'Daily Workforce'!$B20)=0,IF('Daily Schedule'!$A16=45,'Daily Workforce'!$J20="Y",IF(OR('Daily Schedule'!$A16=4,'Daily Schedule'!$A16=8),IF(OR(WEEKDAY('Daily Schedule'!$B$2,2)=1,WEEKDAY('Daily Schedule'!$B$2,2)=4,WEEKDAY('Daily Schedule'!$B$2,2)=5,WEEKDAY('Daily Schedule'!$B$2,2)=7),IFERROR(1*'Daily Workforce'!$K20&gt;=3,FALSE()),IFERROR(1*'Daily Workforce'!$K20&gt;=2,FALSE())),IF(AND('Daily Schedule'!$A16&gt;=46,'Daily Schedule'!$A16&lt;=52),'Daily Workforce'!$M20="Y",IFERROR(1*'Daily Workforce'!$P20&gt;=2,FALSE()))))),1,0)</f>
        <v>1</v>
      </c>
      <c r="AF12" s="1" t="n">
        <f aca="false">IF(AND('Daily Workforce'!$N21="Y",'Daily Workforce'!$B21&lt;&gt;"",COUNTIF('Daily Schedule'!$F$5:$F15,'Daily Workforce'!$B21)=0,IF('Daily Schedule'!$A16=45,'Daily Workforce'!$J21="Y",IF(OR('Daily Schedule'!$A16=4,'Daily Schedule'!$A16=8),IF(OR(WEEKDAY('Daily Schedule'!$B$2,2)=1,WEEKDAY('Daily Schedule'!$B$2,2)=4,WEEKDAY('Daily Schedule'!$B$2,2)=5,WEEKDAY('Daily Schedule'!$B$2,2)=7),IFERROR(1*'Daily Workforce'!$K21&gt;=3,FALSE()),IFERROR(1*'Daily Workforce'!$K21&gt;=2,FALSE())),IF(AND('Daily Schedule'!$A16&gt;=46,'Daily Schedule'!$A16&lt;=52),'Daily Workforce'!$M21="Y",IFERROR(1*'Daily Workforce'!$P21&gt;=2,FALSE()))))),1,0)</f>
        <v>1</v>
      </c>
      <c r="AG12" s="1" t="n">
        <f aca="false">IF(AND('Daily Workforce'!$N22="Y",'Daily Workforce'!$B22&lt;&gt;"",COUNTIF('Daily Schedule'!$F$5:$F15,'Daily Workforce'!$B22)=0,IF('Daily Schedule'!$A16=45,'Daily Workforce'!$J22="Y",IF(OR('Daily Schedule'!$A16=4,'Daily Schedule'!$A16=8),IF(OR(WEEKDAY('Daily Schedule'!$B$2,2)=1,WEEKDAY('Daily Schedule'!$B$2,2)=4,WEEKDAY('Daily Schedule'!$B$2,2)=5,WEEKDAY('Daily Schedule'!$B$2,2)=7),IFERROR(1*'Daily Workforce'!$K22&gt;=3,FALSE()),IFERROR(1*'Daily Workforce'!$K22&gt;=2,FALSE())),IF(AND('Daily Schedule'!$A16&gt;=46,'Daily Schedule'!$A16&lt;=52),'Daily Workforce'!$M22="Y",IFERROR(1*'Daily Workforce'!$P22&gt;=2,FALSE()))))),1,0)</f>
        <v>1</v>
      </c>
      <c r="AH12" s="1" t="n">
        <f aca="false">IF(AND('Daily Workforce'!$N23="Y",'Daily Workforce'!$B23&lt;&gt;"",COUNTIF('Daily Schedule'!$F$5:$F15,'Daily Workforce'!$B23)=0,IF('Daily Schedule'!$A16=45,'Daily Workforce'!$J23="Y",IF(OR('Daily Schedule'!$A16=4,'Daily Schedule'!$A16=8),IF(OR(WEEKDAY('Daily Schedule'!$B$2,2)=1,WEEKDAY('Daily Schedule'!$B$2,2)=4,WEEKDAY('Daily Schedule'!$B$2,2)=5,WEEKDAY('Daily Schedule'!$B$2,2)=7),IFERROR(1*'Daily Workforce'!$K23&gt;=3,FALSE()),IFERROR(1*'Daily Workforce'!$K23&gt;=2,FALSE())),IF(AND('Daily Schedule'!$A16&gt;=46,'Daily Schedule'!$A16&lt;=52),'Daily Workforce'!$M23="Y",IFERROR(1*'Daily Workforce'!$P23&gt;=2,FALSE()))))),1,0)</f>
        <v>1</v>
      </c>
      <c r="AI12" s="1" t="n">
        <f aca="false">IF(AND('Daily Workforce'!$N24="Y",'Daily Workforce'!$B24&lt;&gt;"",COUNTIF('Daily Schedule'!$F$5:$F15,'Daily Workforce'!$B24)=0,IF('Daily Schedule'!$A16=45,'Daily Workforce'!$J24="Y",IF(OR('Daily Schedule'!$A16=4,'Daily Schedule'!$A16=8),IF(OR(WEEKDAY('Daily Schedule'!$B$2,2)=1,WEEKDAY('Daily Schedule'!$B$2,2)=4,WEEKDAY('Daily Schedule'!$B$2,2)=5,WEEKDAY('Daily Schedule'!$B$2,2)=7),IFERROR(1*'Daily Workforce'!$K24&gt;=3,FALSE()),IFERROR(1*'Daily Workforce'!$K24&gt;=2,FALSE())),IF(AND('Daily Schedule'!$A16&gt;=46,'Daily Schedule'!$A16&lt;=52),'Daily Workforce'!$M24="Y",IFERROR(1*'Daily Workforce'!$P24&gt;=2,FALSE()))))),1,0)</f>
        <v>1</v>
      </c>
      <c r="AJ12" s="1" t="n">
        <f aca="false">IF(AND('Daily Workforce'!$N25="Y",'Daily Workforce'!$B25&lt;&gt;"",COUNTIF('Daily Schedule'!$F$5:$F15,'Daily Workforce'!$B25)=0,IF('Daily Schedule'!$A16=45,'Daily Workforce'!$J25="Y",IF(OR('Daily Schedule'!$A16=4,'Daily Schedule'!$A16=8),IF(OR(WEEKDAY('Daily Schedule'!$B$2,2)=1,WEEKDAY('Daily Schedule'!$B$2,2)=4,WEEKDAY('Daily Schedule'!$B$2,2)=5,WEEKDAY('Daily Schedule'!$B$2,2)=7),IFERROR(1*'Daily Workforce'!$K25&gt;=3,FALSE()),IFERROR(1*'Daily Workforce'!$K25&gt;=2,FALSE())),IF(AND('Daily Schedule'!$A16&gt;=46,'Daily Schedule'!$A16&lt;=52),'Daily Workforce'!$M25="Y",IFERROR(1*'Daily Workforce'!$P25&gt;=2,FALSE()))))),1,0)</f>
        <v>1</v>
      </c>
      <c r="AK12" s="1" t="n">
        <f aca="false">IF(AND('Daily Workforce'!$N26="Y",'Daily Workforce'!$B26&lt;&gt;"",COUNTIF('Daily Schedule'!$F$5:$F15,'Daily Workforce'!$B26)=0,IF('Daily Schedule'!$A16=45,'Daily Workforce'!$J26="Y",IF(OR('Daily Schedule'!$A16=4,'Daily Schedule'!$A16=8),IF(OR(WEEKDAY('Daily Schedule'!$B$2,2)=1,WEEKDAY('Daily Schedule'!$B$2,2)=4,WEEKDAY('Daily Schedule'!$B$2,2)=5,WEEKDAY('Daily Schedule'!$B$2,2)=7),IFERROR(1*'Daily Workforce'!$K26&gt;=3,FALSE()),IFERROR(1*'Daily Workforce'!$K26&gt;=2,FALSE())),IF(AND('Daily Schedule'!$A16&gt;=46,'Daily Schedule'!$A16&lt;=52),'Daily Workforce'!$M26="Y",IFERROR(1*'Daily Workforce'!$P26&gt;=2,FALSE()))))),1,0)</f>
        <v>1</v>
      </c>
      <c r="AL12" s="1" t="n">
        <f aca="false">IF(AND('Daily Workforce'!$N27="Y",'Daily Workforce'!$B27&lt;&gt;"",COUNTIF('Daily Schedule'!$F$5:$F15,'Daily Workforce'!$B27)=0,IF('Daily Schedule'!$A16=45,'Daily Workforce'!$J27="Y",IF(OR('Daily Schedule'!$A16=4,'Daily Schedule'!$A16=8),IF(OR(WEEKDAY('Daily Schedule'!$B$2,2)=1,WEEKDAY('Daily Schedule'!$B$2,2)=4,WEEKDAY('Daily Schedule'!$B$2,2)=5,WEEKDAY('Daily Schedule'!$B$2,2)=7),IFERROR(1*'Daily Workforce'!$K27&gt;=3,FALSE()),IFERROR(1*'Daily Workforce'!$K27&gt;=2,FALSE())),IF(AND('Daily Schedule'!$A16&gt;=46,'Daily Schedule'!$A16&lt;=52),'Daily Workforce'!$M27="Y",IFERROR(1*'Daily Workforce'!$P27&gt;=2,FALSE()))))),1,0)</f>
        <v>0</v>
      </c>
      <c r="AM12" s="1" t="n">
        <f aca="false">IF(AND('Daily Workforce'!$N28="Y",'Daily Workforce'!$B28&lt;&gt;"",COUNTIF('Daily Schedule'!$F$5:$F15,'Daily Workforce'!$B28)=0,IF('Daily Schedule'!$A16=45,'Daily Workforce'!$J28="Y",IF(OR('Daily Schedule'!$A16=4,'Daily Schedule'!$A16=8),IF(OR(WEEKDAY('Daily Schedule'!$B$2,2)=1,WEEKDAY('Daily Schedule'!$B$2,2)=4,WEEKDAY('Daily Schedule'!$B$2,2)=5,WEEKDAY('Daily Schedule'!$B$2,2)=7),IFERROR(1*'Daily Workforce'!$K28&gt;=3,FALSE()),IFERROR(1*'Daily Workforce'!$K28&gt;=2,FALSE())),IF(AND('Daily Schedule'!$A16&gt;=46,'Daily Schedule'!$A16&lt;=52),'Daily Workforce'!$M28="Y",IFERROR(1*'Daily Workforce'!$P28&gt;=2,FALSE()))))),1,0)</f>
        <v>1</v>
      </c>
      <c r="AN12" s="1" t="n">
        <f aca="false">IF(AND('Daily Workforce'!$N29="Y",'Daily Workforce'!$B29&lt;&gt;"",COUNTIF('Daily Schedule'!$F$5:$F15,'Daily Workforce'!$B29)=0,IF('Daily Schedule'!$A16=45,'Daily Workforce'!$J29="Y",IF(OR('Daily Schedule'!$A16=4,'Daily Schedule'!$A16=8),IF(OR(WEEKDAY('Daily Schedule'!$B$2,2)=1,WEEKDAY('Daily Schedule'!$B$2,2)=4,WEEKDAY('Daily Schedule'!$B$2,2)=5,WEEKDAY('Daily Schedule'!$B$2,2)=7),IFERROR(1*'Daily Workforce'!$K29&gt;=3,FALSE()),IFERROR(1*'Daily Workforce'!$K29&gt;=2,FALSE())),IF(AND('Daily Schedule'!$A16&gt;=46,'Daily Schedule'!$A16&lt;=52),'Daily Workforce'!$M29="Y",IFERROR(1*'Daily Workforce'!$P29&gt;=2,FALSE()))))),1,0)</f>
        <v>1</v>
      </c>
      <c r="AO12" s="1" t="n">
        <f aca="false">IF(AND('Daily Workforce'!$N30="Y",'Daily Workforce'!$B30&lt;&gt;"",COUNTIF('Daily Schedule'!$F$5:$F15,'Daily Workforce'!$B30)=0,IF('Daily Schedule'!$A16=45,'Daily Workforce'!$J30="Y",IF(OR('Daily Schedule'!$A16=4,'Daily Schedule'!$A16=8),IF(OR(WEEKDAY('Daily Schedule'!$B$2,2)=1,WEEKDAY('Daily Schedule'!$B$2,2)=4,WEEKDAY('Daily Schedule'!$B$2,2)=5,WEEKDAY('Daily Schedule'!$B$2,2)=7),IFERROR(1*'Daily Workforce'!$K30&gt;=3,FALSE()),IFERROR(1*'Daily Workforce'!$K30&gt;=2,FALSE())),IF(AND('Daily Schedule'!$A16&gt;=46,'Daily Schedule'!$A16&lt;=52),'Daily Workforce'!$M30="Y",IFERROR(1*'Daily Workforce'!$P30&gt;=2,FALSE()))))),1,0)</f>
        <v>1</v>
      </c>
      <c r="AP12" s="1" t="n">
        <f aca="false">IF(AND('Daily Workforce'!$N31="Y",'Daily Workforce'!$B31&lt;&gt;"",COUNTIF('Daily Schedule'!$F$5:$F15,'Daily Workforce'!$B31)=0,IF('Daily Schedule'!$A16=45,'Daily Workforce'!$J31="Y",IF(OR('Daily Schedule'!$A16=4,'Daily Schedule'!$A16=8),IF(OR(WEEKDAY('Daily Schedule'!$B$2,2)=1,WEEKDAY('Daily Schedule'!$B$2,2)=4,WEEKDAY('Daily Schedule'!$B$2,2)=5,WEEKDAY('Daily Schedule'!$B$2,2)=7),IFERROR(1*'Daily Workforce'!$K31&gt;=3,FALSE()),IFERROR(1*'Daily Workforce'!$K31&gt;=2,FALSE())),IF(AND('Daily Schedule'!$A16&gt;=46,'Daily Schedule'!$A16&lt;=52),'Daily Workforce'!$M31="Y",IFERROR(1*'Daily Workforce'!$P31&gt;=2,FALSE()))))),1,0)</f>
        <v>1</v>
      </c>
      <c r="AQ12" s="1" t="n">
        <f aca="false">IF(AND('Daily Workforce'!$N32="Y",'Daily Workforce'!$B32&lt;&gt;"",COUNTIF('Daily Schedule'!$F$5:$F15,'Daily Workforce'!$B32)=0,IF('Daily Schedule'!$A16=45,'Daily Workforce'!$J32="Y",IF(OR('Daily Schedule'!$A16=4,'Daily Schedule'!$A16=8),IF(OR(WEEKDAY('Daily Schedule'!$B$2,2)=1,WEEKDAY('Daily Schedule'!$B$2,2)=4,WEEKDAY('Daily Schedule'!$B$2,2)=5,WEEKDAY('Daily Schedule'!$B$2,2)=7),IFERROR(1*'Daily Workforce'!$K32&gt;=3,FALSE()),IFERROR(1*'Daily Workforce'!$K32&gt;=2,FALSE())),IF(AND('Daily Schedule'!$A16&gt;=46,'Daily Schedule'!$A16&lt;=52),'Daily Workforce'!$M32="Y",IFERROR(1*'Daily Workforce'!$P32&gt;=2,FALSE()))))),1,0)</f>
        <v>1</v>
      </c>
      <c r="AR12" s="1" t="n">
        <f aca="false">IF(AND('Daily Workforce'!$N33="Y",'Daily Workforce'!$B33&lt;&gt;"",COUNTIF('Daily Schedule'!$F$5:$F15,'Daily Workforce'!$B33)=0,IF('Daily Schedule'!$A16=45,'Daily Workforce'!$J33="Y",IF(OR('Daily Schedule'!$A16=4,'Daily Schedule'!$A16=8),IF(OR(WEEKDAY('Daily Schedule'!$B$2,2)=1,WEEKDAY('Daily Schedule'!$B$2,2)=4,WEEKDAY('Daily Schedule'!$B$2,2)=5,WEEKDAY('Daily Schedule'!$B$2,2)=7),IFERROR(1*'Daily Workforce'!$K33&gt;=3,FALSE()),IFERROR(1*'Daily Workforce'!$K33&gt;=2,FALSE())),IF(AND('Daily Schedule'!$A16&gt;=46,'Daily Schedule'!$A16&lt;=52),'Daily Workforce'!$M33="Y",IFERROR(1*'Daily Workforce'!$P33&gt;=2,FALSE()))))),1,0)</f>
        <v>1</v>
      </c>
      <c r="AS12" s="1" t="n">
        <f aca="false">IF(AND('Daily Workforce'!$N34="Y",'Daily Workforce'!$B34&lt;&gt;"",COUNTIF('Daily Schedule'!$F$5:$F15,'Daily Workforce'!$B34)=0,IF('Daily Schedule'!$A16=45,'Daily Workforce'!$J34="Y",IF(OR('Daily Schedule'!$A16=4,'Daily Schedule'!$A16=8),IF(OR(WEEKDAY('Daily Schedule'!$B$2,2)=1,WEEKDAY('Daily Schedule'!$B$2,2)=4,WEEKDAY('Daily Schedule'!$B$2,2)=5,WEEKDAY('Daily Schedule'!$B$2,2)=7),IFERROR(1*'Daily Workforce'!$K34&gt;=3,FALSE()),IFERROR(1*'Daily Workforce'!$K34&gt;=2,FALSE())),IF(AND('Daily Schedule'!$A16&gt;=46,'Daily Schedule'!$A16&lt;=52),'Daily Workforce'!$M34="Y",IFERROR(1*'Daily Workforce'!$P34&gt;=2,FALSE()))))),1,0)</f>
        <v>1</v>
      </c>
      <c r="AT12" s="1" t="n">
        <f aca="false">IF(AND('Daily Workforce'!$N35="Y",'Daily Workforce'!$B35&lt;&gt;"",COUNTIF('Daily Schedule'!$F$5:$F15,'Daily Workforce'!$B35)=0,IF('Daily Schedule'!$A16=45,'Daily Workforce'!$J35="Y",IF(OR('Daily Schedule'!$A16=4,'Daily Schedule'!$A16=8),IF(OR(WEEKDAY('Daily Schedule'!$B$2,2)=1,WEEKDAY('Daily Schedule'!$B$2,2)=4,WEEKDAY('Daily Schedule'!$B$2,2)=5,WEEKDAY('Daily Schedule'!$B$2,2)=7),IFERROR(1*'Daily Workforce'!$K35&gt;=3,FALSE()),IFERROR(1*'Daily Workforce'!$K35&gt;=2,FALSE())),IF(AND('Daily Schedule'!$A16&gt;=46,'Daily Schedule'!$A16&lt;=52),'Daily Workforce'!$M35="Y",IFERROR(1*'Daily Workforce'!$P35&gt;=2,FALSE()))))),1,0)</f>
        <v>1</v>
      </c>
      <c r="AU12" s="1" t="n">
        <f aca="false">IF(AND('Daily Workforce'!$N36="Y",'Daily Workforce'!$B36&lt;&gt;"",COUNTIF('Daily Schedule'!$F$5:$F15,'Daily Workforce'!$B36)=0,IF('Daily Schedule'!$A16=45,'Daily Workforce'!$J36="Y",IF(OR('Daily Schedule'!$A16=4,'Daily Schedule'!$A16=8),IF(OR(WEEKDAY('Daily Schedule'!$B$2,2)=1,WEEKDAY('Daily Schedule'!$B$2,2)=4,WEEKDAY('Daily Schedule'!$B$2,2)=5,WEEKDAY('Daily Schedule'!$B$2,2)=7),IFERROR(1*'Daily Workforce'!$K36&gt;=3,FALSE()),IFERROR(1*'Daily Workforce'!$K36&gt;=2,FALSE())),IF(AND('Daily Schedule'!$A16&gt;=46,'Daily Schedule'!$A16&lt;=52),'Daily Workforce'!$M36="Y",IFERROR(1*'Daily Workforce'!$P36&gt;=2,FALSE()))))),1,0)</f>
        <v>1</v>
      </c>
      <c r="AV12" s="1" t="n">
        <f aca="false">IF(AND('Daily Workforce'!$N37="Y",'Daily Workforce'!$B37&lt;&gt;"",COUNTIF('Daily Schedule'!$F$5:$F15,'Daily Workforce'!$B37)=0,IF('Daily Schedule'!$A16=45,'Daily Workforce'!$J37="Y",IF(OR('Daily Schedule'!$A16=4,'Daily Schedule'!$A16=8),IF(OR(WEEKDAY('Daily Schedule'!$B$2,2)=1,WEEKDAY('Daily Schedule'!$B$2,2)=4,WEEKDAY('Daily Schedule'!$B$2,2)=5,WEEKDAY('Daily Schedule'!$B$2,2)=7),IFERROR(1*'Daily Workforce'!$K37&gt;=3,FALSE()),IFERROR(1*'Daily Workforce'!$K37&gt;=2,FALSE())),IF(AND('Daily Schedule'!$A16&gt;=46,'Daily Schedule'!$A16&lt;=52),'Daily Workforce'!$M37="Y",IFERROR(1*'Daily Workforce'!$P37&gt;=2,FALSE()))))),1,0)</f>
        <v>1</v>
      </c>
      <c r="AW12" s="1" t="n">
        <f aca="false">IF(AND('Daily Workforce'!$N38="Y",'Daily Workforce'!$B38&lt;&gt;"",COUNTIF('Daily Schedule'!$F$5:$F15,'Daily Workforce'!$B38)=0,IF('Daily Schedule'!$A16=45,'Daily Workforce'!$J38="Y",IF(OR('Daily Schedule'!$A16=4,'Daily Schedule'!$A16=8),IF(OR(WEEKDAY('Daily Schedule'!$B$2,2)=1,WEEKDAY('Daily Schedule'!$B$2,2)=4,WEEKDAY('Daily Schedule'!$B$2,2)=5,WEEKDAY('Daily Schedule'!$B$2,2)=7),IFERROR(1*'Daily Workforce'!$K38&gt;=3,FALSE()),IFERROR(1*'Daily Workforce'!$K38&gt;=2,FALSE())),IF(AND('Daily Schedule'!$A16&gt;=46,'Daily Schedule'!$A16&lt;=52),'Daily Workforce'!$M38="Y",IFERROR(1*'Daily Workforce'!$P38&gt;=2,FALSE()))))),1,0)</f>
        <v>1</v>
      </c>
      <c r="AX12" s="1" t="n">
        <f aca="false">IF(AND('Daily Workforce'!$N39="Y",'Daily Workforce'!$B39&lt;&gt;"",COUNTIF('Daily Schedule'!$F$5:$F15,'Daily Workforce'!$B39)=0,IF('Daily Schedule'!$A16=45,'Daily Workforce'!$J39="Y",IF(OR('Daily Schedule'!$A16=4,'Daily Schedule'!$A16=8),IF(OR(WEEKDAY('Daily Schedule'!$B$2,2)=1,WEEKDAY('Daily Schedule'!$B$2,2)=4,WEEKDAY('Daily Schedule'!$B$2,2)=5,WEEKDAY('Daily Schedule'!$B$2,2)=7),IFERROR(1*'Daily Workforce'!$K39&gt;=3,FALSE()),IFERROR(1*'Daily Workforce'!$K39&gt;=2,FALSE())),IF(AND('Daily Schedule'!$A16&gt;=46,'Daily Schedule'!$A16&lt;=52),'Daily Workforce'!$M39="Y",IFERROR(1*'Daily Workforce'!$P39&gt;=2,FALSE()))))),1,0)</f>
        <v>1</v>
      </c>
      <c r="AY12" s="1" t="n">
        <f aca="false">IF(AND('Daily Workforce'!$N40="Y",'Daily Workforce'!$B40&lt;&gt;"",COUNTIF('Daily Schedule'!$F$5:$F15,'Daily Workforce'!$B40)=0,IF('Daily Schedule'!$A16=45,'Daily Workforce'!$J40="Y",IF(OR('Daily Schedule'!$A16=4,'Daily Schedule'!$A16=8),IF(OR(WEEKDAY('Daily Schedule'!$B$2,2)=1,WEEKDAY('Daily Schedule'!$B$2,2)=4,WEEKDAY('Daily Schedule'!$B$2,2)=5,WEEKDAY('Daily Schedule'!$B$2,2)=7),IFERROR(1*'Daily Workforce'!$K40&gt;=3,FALSE()),IFERROR(1*'Daily Workforce'!$K40&gt;=2,FALSE())),IF(AND('Daily Schedule'!$A16&gt;=46,'Daily Schedule'!$A16&lt;=52),'Daily Workforce'!$M40="Y",IFERROR(1*'Daily Workforce'!$P40&gt;=2,FALSE()))))),1,0)</f>
        <v>1</v>
      </c>
      <c r="AZ12" s="1" t="n">
        <f aca="false">IF(AND('Daily Workforce'!$N41="Y",'Daily Workforce'!$B41&lt;&gt;"",COUNTIF('Daily Schedule'!$F$5:$F15,'Daily Workforce'!$B41)=0,IF('Daily Schedule'!$A16=45,'Daily Workforce'!$J41="Y",IF(OR('Daily Schedule'!$A16=4,'Daily Schedule'!$A16=8),IF(OR(WEEKDAY('Daily Schedule'!$B$2,2)=1,WEEKDAY('Daily Schedule'!$B$2,2)=4,WEEKDAY('Daily Schedule'!$B$2,2)=5,WEEKDAY('Daily Schedule'!$B$2,2)=7),IFERROR(1*'Daily Workforce'!$K41&gt;=3,FALSE()),IFERROR(1*'Daily Workforce'!$K41&gt;=2,FALSE())),IF(AND('Daily Schedule'!$A16&gt;=46,'Daily Schedule'!$A16&lt;=52),'Daily Workforce'!$M41="Y",IFERROR(1*'Daily Workforce'!$P41&gt;=2,FALSE()))))),1,0)</f>
        <v>1</v>
      </c>
      <c r="BA12" s="1" t="n">
        <f aca="false">IF(AND('Daily Workforce'!$N42="Y",'Daily Workforce'!$B42&lt;&gt;"",COUNTIF('Daily Schedule'!$F$5:$F15,'Daily Workforce'!$B42)=0,IF('Daily Schedule'!$A16=45,'Daily Workforce'!$J42="Y",IF(OR('Daily Schedule'!$A16=4,'Daily Schedule'!$A16=8),IF(OR(WEEKDAY('Daily Schedule'!$B$2,2)=1,WEEKDAY('Daily Schedule'!$B$2,2)=4,WEEKDAY('Daily Schedule'!$B$2,2)=5,WEEKDAY('Daily Schedule'!$B$2,2)=7),IFERROR(1*'Daily Workforce'!$K42&gt;=3,FALSE()),IFERROR(1*'Daily Workforce'!$K42&gt;=2,FALSE())),IF(AND('Daily Schedule'!$A16&gt;=46,'Daily Schedule'!$A16&lt;=52),'Daily Workforce'!$M42="Y",IFERROR(1*'Daily Workforce'!$P42&gt;=2,FALSE()))))),1,0)</f>
        <v>1</v>
      </c>
      <c r="BB12" s="1" t="n">
        <f aca="false">IF(AND('Daily Workforce'!$N43="Y",'Daily Workforce'!$B43&lt;&gt;"",COUNTIF('Daily Schedule'!$F$5:$F15,'Daily Workforce'!$B43)=0,IF('Daily Schedule'!$A16=45,'Daily Workforce'!$J43="Y",IF(OR('Daily Schedule'!$A16=4,'Daily Schedule'!$A16=8),IF(OR(WEEKDAY('Daily Schedule'!$B$2,2)=1,WEEKDAY('Daily Schedule'!$B$2,2)=4,WEEKDAY('Daily Schedule'!$B$2,2)=5,WEEKDAY('Daily Schedule'!$B$2,2)=7),IFERROR(1*'Daily Workforce'!$K43&gt;=3,FALSE()),IFERROR(1*'Daily Workforce'!$K43&gt;=2,FALSE())),IF(AND('Daily Schedule'!$A16&gt;=46,'Daily Schedule'!$A16&lt;=52),'Daily Workforce'!$M43="Y",IFERROR(1*'Daily Workforce'!$P43&gt;=2,FALSE()))))),1,0)</f>
        <v>1</v>
      </c>
      <c r="BC12" s="1" t="n">
        <f aca="false">IF(AND('Daily Workforce'!$N44="Y",'Daily Workforce'!$B44&lt;&gt;"",COUNTIF('Daily Schedule'!$F$5:$F15,'Daily Workforce'!$B44)=0,IF('Daily Schedule'!$A16=45,'Daily Workforce'!$J44="Y",IF(OR('Daily Schedule'!$A16=4,'Daily Schedule'!$A16=8),IF(OR(WEEKDAY('Daily Schedule'!$B$2,2)=1,WEEKDAY('Daily Schedule'!$B$2,2)=4,WEEKDAY('Daily Schedule'!$B$2,2)=5,WEEKDAY('Daily Schedule'!$B$2,2)=7),IFERROR(1*'Daily Workforce'!$K44&gt;=3,FALSE()),IFERROR(1*'Daily Workforce'!$K44&gt;=2,FALSE())),IF(AND('Daily Schedule'!$A16&gt;=46,'Daily Schedule'!$A16&lt;=52),'Daily Workforce'!$M44="Y",IFERROR(1*'Daily Workforce'!$P44&gt;=2,FALSE()))))),1,0)</f>
        <v>1</v>
      </c>
      <c r="BD12" s="1" t="n">
        <f aca="false">IF(AND('Daily Workforce'!$N45="Y",'Daily Workforce'!$B45&lt;&gt;"",COUNTIF('Daily Schedule'!$F$5:$F15,'Daily Workforce'!$B45)=0,IF('Daily Schedule'!$A16=45,'Daily Workforce'!$J45="Y",IF(OR('Daily Schedule'!$A16=4,'Daily Schedule'!$A16=8),IF(OR(WEEKDAY('Daily Schedule'!$B$2,2)=1,WEEKDAY('Daily Schedule'!$B$2,2)=4,WEEKDAY('Daily Schedule'!$B$2,2)=5,WEEKDAY('Daily Schedule'!$B$2,2)=7),IFERROR(1*'Daily Workforce'!$K45&gt;=3,FALSE()),IFERROR(1*'Daily Workforce'!$K45&gt;=2,FALSE())),IF(AND('Daily Schedule'!$A16&gt;=46,'Daily Schedule'!$A16&lt;=52),'Daily Workforce'!$M45="Y",IFERROR(1*'Daily Workforce'!$P45&gt;=2,FALSE()))))),1,0)</f>
        <v>1</v>
      </c>
      <c r="BE12" s="1" t="n">
        <f aca="false">IF(AND('Daily Workforce'!$N46="Y",'Daily Workforce'!$B46&lt;&gt;"",COUNTIF('Daily Schedule'!$F$5:$F15,'Daily Workforce'!$B46)=0,IF('Daily Schedule'!$A16=45,'Daily Workforce'!$J46="Y",IF(OR('Daily Schedule'!$A16=4,'Daily Schedule'!$A16=8),IF(OR(WEEKDAY('Daily Schedule'!$B$2,2)=1,WEEKDAY('Daily Schedule'!$B$2,2)=4,WEEKDAY('Daily Schedule'!$B$2,2)=5,WEEKDAY('Daily Schedule'!$B$2,2)=7),IFERROR(1*'Daily Workforce'!$K46&gt;=3,FALSE()),IFERROR(1*'Daily Workforce'!$K46&gt;=2,FALSE())),IF(AND('Daily Schedule'!$A16&gt;=46,'Daily Schedule'!$A16&lt;=52),'Daily Workforce'!$M46="Y",IFERROR(1*'Daily Workforce'!$P46&gt;=2,FALSE()))))),1,0)</f>
        <v>1</v>
      </c>
      <c r="BF12" s="1" t="n">
        <f aca="false">IF(AND('Daily Workforce'!$N47="Y",'Daily Workforce'!$B47&lt;&gt;"",COUNTIF('Daily Schedule'!$F$5:$F15,'Daily Workforce'!$B47)=0,IF('Daily Schedule'!$A16=45,'Daily Workforce'!$J47="Y",IF(OR('Daily Schedule'!$A16=4,'Daily Schedule'!$A16=8),IF(OR(WEEKDAY('Daily Schedule'!$B$2,2)=1,WEEKDAY('Daily Schedule'!$B$2,2)=4,WEEKDAY('Daily Schedule'!$B$2,2)=5,WEEKDAY('Daily Schedule'!$B$2,2)=7),IFERROR(1*'Daily Workforce'!$K47&gt;=3,FALSE()),IFERROR(1*'Daily Workforce'!$K47&gt;=2,FALSE())),IF(AND('Daily Schedule'!$A16&gt;=46,'Daily Schedule'!$A16&lt;=52),'Daily Workforce'!$M47="Y",IFERROR(1*'Daily Workforce'!$P47&gt;=2,FALSE()))))),1,0)</f>
        <v>0</v>
      </c>
      <c r="BG12" s="1" t="n">
        <f aca="false">IF(AND('Daily Workforce'!$N48="Y",'Daily Workforce'!$B48&lt;&gt;"",COUNTIF('Daily Schedule'!$F$5:$F15,'Daily Workforce'!$B48)=0,IF('Daily Schedule'!$A16=45,'Daily Workforce'!$J48="Y",IF(OR('Daily Schedule'!$A16=4,'Daily Schedule'!$A16=8),IF(OR(WEEKDAY('Daily Schedule'!$B$2,2)=1,WEEKDAY('Daily Schedule'!$B$2,2)=4,WEEKDAY('Daily Schedule'!$B$2,2)=5,WEEKDAY('Daily Schedule'!$B$2,2)=7),IFERROR(1*'Daily Workforce'!$K48&gt;=3,FALSE()),IFERROR(1*'Daily Workforce'!$K48&gt;=2,FALSE())),IF(AND('Daily Schedule'!$A16&gt;=46,'Daily Schedule'!$A16&lt;=52),'Daily Workforce'!$M48="Y",IFERROR(1*'Daily Workforce'!$P48&gt;=2,FALSE()))))),1,0)</f>
        <v>1</v>
      </c>
      <c r="BH12" s="1" t="n">
        <f aca="false">IF(AND('Daily Workforce'!$N49="Y",'Daily Workforce'!$B49&lt;&gt;"",COUNTIF('Daily Schedule'!$F$5:$F15,'Daily Workforce'!$B49)=0,IF('Daily Schedule'!$A16=45,'Daily Workforce'!$J49="Y",IF(OR('Daily Schedule'!$A16=4,'Daily Schedule'!$A16=8),IF(OR(WEEKDAY('Daily Schedule'!$B$2,2)=1,WEEKDAY('Daily Schedule'!$B$2,2)=4,WEEKDAY('Daily Schedule'!$B$2,2)=5,WEEKDAY('Daily Schedule'!$B$2,2)=7),IFERROR(1*'Daily Workforce'!$K49&gt;=3,FALSE()),IFERROR(1*'Daily Workforce'!$K49&gt;=2,FALSE())),IF(AND('Daily Schedule'!$A16&gt;=46,'Daily Schedule'!$A16&lt;=52),'Daily Workforce'!$M49="Y",IFERROR(1*'Daily Workforce'!$P49&gt;=2,FALSE()))))),1,0)</f>
        <v>1</v>
      </c>
      <c r="BI12" s="1" t="n">
        <f aca="false">IF(AND('Daily Workforce'!$N50="Y",'Daily Workforce'!$B50&lt;&gt;"",COUNTIF('Daily Schedule'!$F$5:$F15,'Daily Workforce'!$B50)=0,IF('Daily Schedule'!$A16=45,'Daily Workforce'!$J50="Y",IF(OR('Daily Schedule'!$A16=4,'Daily Schedule'!$A16=8),IF(OR(WEEKDAY('Daily Schedule'!$B$2,2)=1,WEEKDAY('Daily Schedule'!$B$2,2)=4,WEEKDAY('Daily Schedule'!$B$2,2)=5,WEEKDAY('Daily Schedule'!$B$2,2)=7),IFERROR(1*'Daily Workforce'!$K50&gt;=3,FALSE()),IFERROR(1*'Daily Workforce'!$K50&gt;=2,FALSE())),IF(AND('Daily Schedule'!$A16&gt;=46,'Daily Schedule'!$A16&lt;=52),'Daily Workforce'!$M50="Y",IFERROR(1*'Daily Workforce'!$P50&gt;=2,FALSE()))))),1,0)</f>
        <v>0</v>
      </c>
      <c r="BJ12" s="1" t="n">
        <f aca="false">IF(AND('Daily Workforce'!$N51="Y",'Daily Workforce'!$B51&lt;&gt;"",COUNTIF('Daily Schedule'!$F$5:$F15,'Daily Workforce'!$B51)=0,IF('Daily Schedule'!$A16=45,'Daily Workforce'!$J51="Y",IF(OR('Daily Schedule'!$A16=4,'Daily Schedule'!$A16=8),IF(OR(WEEKDAY('Daily Schedule'!$B$2,2)=1,WEEKDAY('Daily Schedule'!$B$2,2)=4,WEEKDAY('Daily Schedule'!$B$2,2)=5,WEEKDAY('Daily Schedule'!$B$2,2)=7),IFERROR(1*'Daily Workforce'!$K51&gt;=3,FALSE()),IFERROR(1*'Daily Workforce'!$K51&gt;=2,FALSE())),IF(AND('Daily Schedule'!$A16&gt;=46,'Daily Schedule'!$A16&lt;=52),'Daily Workforce'!$M51="Y",IFERROR(1*'Daily Workforce'!$P51&gt;=2,FALSE()))))),1,0)</f>
        <v>1</v>
      </c>
      <c r="BK12" s="1" t="n">
        <f aca="false">IF(AND('Daily Workforce'!$N52="Y",'Daily Workforce'!$B52&lt;&gt;"",COUNTIF('Daily Schedule'!$F$5:$F15,'Daily Workforce'!$B52)=0,IF('Daily Schedule'!$A16=45,'Daily Workforce'!$J52="Y",IF(OR('Daily Schedule'!$A16=4,'Daily Schedule'!$A16=8),IF(OR(WEEKDAY('Daily Schedule'!$B$2,2)=1,WEEKDAY('Daily Schedule'!$B$2,2)=4,WEEKDAY('Daily Schedule'!$B$2,2)=5,WEEKDAY('Daily Schedule'!$B$2,2)=7),IFERROR(1*'Daily Workforce'!$K52&gt;=3,FALSE()),IFERROR(1*'Daily Workforce'!$K52&gt;=2,FALSE())),IF(AND('Daily Schedule'!$A16&gt;=46,'Daily Schedule'!$A16&lt;=52),'Daily Workforce'!$M52="Y",IFERROR(1*'Daily Workforce'!$P52&gt;=2,FALSE()))))),1,0)</f>
        <v>1</v>
      </c>
      <c r="BL12" s="1" t="n">
        <f aca="false">IF(AND('Daily Workforce'!$N53="Y",'Daily Workforce'!$B53&lt;&gt;"",COUNTIF('Daily Schedule'!$F$5:$F15,'Daily Workforce'!$B53)=0,IF('Daily Schedule'!$A16=45,'Daily Workforce'!$J53="Y",IF(OR('Daily Schedule'!$A16=4,'Daily Schedule'!$A16=8),IF(OR(WEEKDAY('Daily Schedule'!$B$2,2)=1,WEEKDAY('Daily Schedule'!$B$2,2)=4,WEEKDAY('Daily Schedule'!$B$2,2)=5,WEEKDAY('Daily Schedule'!$B$2,2)=7),IFERROR(1*'Daily Workforce'!$K53&gt;=3,FALSE()),IFERROR(1*'Daily Workforce'!$K53&gt;=2,FALSE())),IF(AND('Daily Schedule'!$A16&gt;=46,'Daily Schedule'!$A16&lt;=52),'Daily Workforce'!$M53="Y",IFERROR(1*'Daily Workforce'!$P53&gt;=2,FALSE()))))),1,0)</f>
        <v>1</v>
      </c>
      <c r="BM12" s="1" t="n">
        <f aca="false">IF(AND('Daily Workforce'!$N54="Y",'Daily Workforce'!$B54&lt;&gt;"",COUNTIF('Daily Schedule'!$F$5:$F15,'Daily Workforce'!$B54)=0,IF('Daily Schedule'!$A16=45,'Daily Workforce'!$J54="Y",IF(OR('Daily Schedule'!$A16=4,'Daily Schedule'!$A16=8),IF(OR(WEEKDAY('Daily Schedule'!$B$2,2)=1,WEEKDAY('Daily Schedule'!$B$2,2)=4,WEEKDAY('Daily Schedule'!$B$2,2)=5,WEEKDAY('Daily Schedule'!$B$2,2)=7),IFERROR(1*'Daily Workforce'!$K54&gt;=3,FALSE()),IFERROR(1*'Daily Workforce'!$K54&gt;=2,FALSE())),IF(AND('Daily Schedule'!$A16&gt;=46,'Daily Schedule'!$A16&lt;=52),'Daily Workforce'!$M54="Y",IFERROR(1*'Daily Workforce'!$P54&gt;=2,FALSE()))))),1,0)</f>
        <v>1</v>
      </c>
      <c r="BN12" s="1" t="n">
        <f aca="false">IF(AND('Daily Workforce'!$N55="Y",'Daily Workforce'!$B55&lt;&gt;"",COUNTIF('Daily Schedule'!$F$5:$F15,'Daily Workforce'!$B55)=0,IF('Daily Schedule'!$A16=45,'Daily Workforce'!$J55="Y",IF(OR('Daily Schedule'!$A16=4,'Daily Schedule'!$A16=8),IF(OR(WEEKDAY('Daily Schedule'!$B$2,2)=1,WEEKDAY('Daily Schedule'!$B$2,2)=4,WEEKDAY('Daily Schedule'!$B$2,2)=5,WEEKDAY('Daily Schedule'!$B$2,2)=7),IFERROR(1*'Daily Workforce'!$K55&gt;=3,FALSE()),IFERROR(1*'Daily Workforce'!$K55&gt;=2,FALSE())),IF(AND('Daily Schedule'!$A16&gt;=46,'Daily Schedule'!$A16&lt;=52),'Daily Workforce'!$M55="Y",IFERROR(1*'Daily Workforce'!$P55&gt;=2,FALSE()))))),1,0)</f>
        <v>1</v>
      </c>
      <c r="BO12" s="1" t="n">
        <f aca="false">IF(AND('Daily Workforce'!$N56="Y",'Daily Workforce'!$B56&lt;&gt;"",COUNTIF('Daily Schedule'!$F$5:$F15,'Daily Workforce'!$B56)=0,IF('Daily Schedule'!$A16=45,'Daily Workforce'!$J56="Y",IF(OR('Daily Schedule'!$A16=4,'Daily Schedule'!$A16=8),IF(OR(WEEKDAY('Daily Schedule'!$B$2,2)=1,WEEKDAY('Daily Schedule'!$B$2,2)=4,WEEKDAY('Daily Schedule'!$B$2,2)=5,WEEKDAY('Daily Schedule'!$B$2,2)=7),IFERROR(1*'Daily Workforce'!$K56&gt;=3,FALSE()),IFERROR(1*'Daily Workforce'!$K56&gt;=2,FALSE())),IF(AND('Daily Schedule'!$A16&gt;=46,'Daily Schedule'!$A16&lt;=52),'Daily Workforce'!$M56="Y",IFERROR(1*'Daily Workforce'!$P56&gt;=2,FALSE()))))),1,0)</f>
        <v>1</v>
      </c>
      <c r="BP12" s="1" t="n">
        <f aca="false">IF(AND('Daily Workforce'!$N57="Y",'Daily Workforce'!$B57&lt;&gt;"",COUNTIF('Daily Schedule'!$F$5:$F15,'Daily Workforce'!$B57)=0,IF('Daily Schedule'!$A16=45,'Daily Workforce'!$J57="Y",IF(OR('Daily Schedule'!$A16=4,'Daily Schedule'!$A16=8),IF(OR(WEEKDAY('Daily Schedule'!$B$2,2)=1,WEEKDAY('Daily Schedule'!$B$2,2)=4,WEEKDAY('Daily Schedule'!$B$2,2)=5,WEEKDAY('Daily Schedule'!$B$2,2)=7),IFERROR(1*'Daily Workforce'!$K57&gt;=3,FALSE()),IFERROR(1*'Daily Workforce'!$K57&gt;=2,FALSE())),IF(AND('Daily Schedule'!$A16&gt;=46,'Daily Schedule'!$A16&lt;=52),'Daily Workforce'!$M57="Y",IFERROR(1*'Daily Workforce'!$P57&gt;=2,FALSE()))))),1,0)</f>
        <v>0</v>
      </c>
      <c r="BQ12" s="1" t="n">
        <f aca="false">IF(AND('Daily Workforce'!$N58="Y",'Daily Workforce'!$B58&lt;&gt;"",COUNTIF('Daily Schedule'!$F$5:$F15,'Daily Workforce'!$B58)=0,IF('Daily Schedule'!$A16=45,'Daily Workforce'!$J58="Y",IF(OR('Daily Schedule'!$A16=4,'Daily Schedule'!$A16=8),IF(OR(WEEKDAY('Daily Schedule'!$B$2,2)=1,WEEKDAY('Daily Schedule'!$B$2,2)=4,WEEKDAY('Daily Schedule'!$B$2,2)=5,WEEKDAY('Daily Schedule'!$B$2,2)=7),IFERROR(1*'Daily Workforce'!$K58&gt;=3,FALSE()),IFERROR(1*'Daily Workforce'!$K58&gt;=2,FALSE())),IF(AND('Daily Schedule'!$A16&gt;=46,'Daily Schedule'!$A16&lt;=52),'Daily Workforce'!$M58="Y",IFERROR(1*'Daily Workforce'!$P58&gt;=2,FALSE()))))),1,0)</f>
        <v>1</v>
      </c>
      <c r="BR12" s="1" t="n">
        <f aca="false">IF(AND('Daily Workforce'!$N59="Y",'Daily Workforce'!$B59&lt;&gt;"",COUNTIF('Daily Schedule'!$F$5:$F15,'Daily Workforce'!$B59)=0,IF('Daily Schedule'!$A16=45,'Daily Workforce'!$J59="Y",IF(OR('Daily Schedule'!$A16=4,'Daily Schedule'!$A16=8),IF(OR(WEEKDAY('Daily Schedule'!$B$2,2)=1,WEEKDAY('Daily Schedule'!$B$2,2)=4,WEEKDAY('Daily Schedule'!$B$2,2)=5,WEEKDAY('Daily Schedule'!$B$2,2)=7),IFERROR(1*'Daily Workforce'!$K59&gt;=3,FALSE()),IFERROR(1*'Daily Workforce'!$K59&gt;=2,FALSE())),IF(AND('Daily Schedule'!$A16&gt;=46,'Daily Schedule'!$A16&lt;=52),'Daily Workforce'!$M59="Y",IFERROR(1*'Daily Workforce'!$P59&gt;=2,FALSE()))))),1,0)</f>
        <v>1</v>
      </c>
      <c r="BS12" s="1" t="n">
        <f aca="false">IF(AND('Daily Workforce'!$N60="Y",'Daily Workforce'!$B60&lt;&gt;"",COUNTIF('Daily Schedule'!$F$5:$F15,'Daily Workforce'!$B60)=0,IF('Daily Schedule'!$A16=45,'Daily Workforce'!$J60="Y",IF(OR('Daily Schedule'!$A16=4,'Daily Schedule'!$A16=8),IF(OR(WEEKDAY('Daily Schedule'!$B$2,2)=1,WEEKDAY('Daily Schedule'!$B$2,2)=4,WEEKDAY('Daily Schedule'!$B$2,2)=5,WEEKDAY('Daily Schedule'!$B$2,2)=7),IFERROR(1*'Daily Workforce'!$K60&gt;=3,FALSE()),IFERROR(1*'Daily Workforce'!$K60&gt;=2,FALSE())),IF(AND('Daily Schedule'!$A16&gt;=46,'Daily Schedule'!$A16&lt;=52),'Daily Workforce'!$M60="Y",IFERROR(1*'Daily Workforce'!$P60&gt;=2,FALSE()))))),1,0)</f>
        <v>1</v>
      </c>
      <c r="BT12" s="1" t="n">
        <f aca="false">IF(AND('Daily Workforce'!$N61="Y",'Daily Workforce'!$B61&lt;&gt;"",COUNTIF('Daily Schedule'!$F$5:$F15,'Daily Workforce'!$B61)=0,IF('Daily Schedule'!$A16=45,'Daily Workforce'!$J61="Y",IF(OR('Daily Schedule'!$A16=4,'Daily Schedule'!$A16=8),IF(OR(WEEKDAY('Daily Schedule'!$B$2,2)=1,WEEKDAY('Daily Schedule'!$B$2,2)=4,WEEKDAY('Daily Schedule'!$B$2,2)=5,WEEKDAY('Daily Schedule'!$B$2,2)=7),IFERROR(1*'Daily Workforce'!$K61&gt;=3,FALSE()),IFERROR(1*'Daily Workforce'!$K61&gt;=2,FALSE())),IF(AND('Daily Schedule'!$A16&gt;=46,'Daily Schedule'!$A16&lt;=52),'Daily Workforce'!$M61="Y",IFERROR(1*'Daily Workforce'!$P61&gt;=2,FALSE()))))),1,0)</f>
        <v>0</v>
      </c>
      <c r="BU12" s="1" t="n">
        <f aca="false">IF(AND('Daily Workforce'!$N62="Y",'Daily Workforce'!$B62&lt;&gt;"",COUNTIF('Daily Schedule'!$F$5:$F15,'Daily Workforce'!$B62)=0,IF('Daily Schedule'!$A16=45,'Daily Workforce'!$J62="Y",IF(OR('Daily Schedule'!$A16=4,'Daily Schedule'!$A16=8),IF(OR(WEEKDAY('Daily Schedule'!$B$2,2)=1,WEEKDAY('Daily Schedule'!$B$2,2)=4,WEEKDAY('Daily Schedule'!$B$2,2)=5,WEEKDAY('Daily Schedule'!$B$2,2)=7),IFERROR(1*'Daily Workforce'!$K62&gt;=3,FALSE()),IFERROR(1*'Daily Workforce'!$K62&gt;=2,FALSE())),IF(AND('Daily Schedule'!$A16&gt;=46,'Daily Schedule'!$A16&lt;=52),'Daily Workforce'!$M62="Y",IFERROR(1*'Daily Workforce'!$P62&gt;=2,FALSE()))))),1,0)</f>
        <v>1</v>
      </c>
      <c r="BV12" s="1" t="n">
        <f aca="false">IF(AND('Daily Workforce'!$N63="Y",'Daily Workforce'!$B63&lt;&gt;"",COUNTIF('Daily Schedule'!$F$5:$F15,'Daily Workforce'!$B63)=0,IF('Daily Schedule'!$A16=45,'Daily Workforce'!$J63="Y",IF(OR('Daily Schedule'!$A16=4,'Daily Schedule'!$A16=8),IF(OR(WEEKDAY('Daily Schedule'!$B$2,2)=1,WEEKDAY('Daily Schedule'!$B$2,2)=4,WEEKDAY('Daily Schedule'!$B$2,2)=5,WEEKDAY('Daily Schedule'!$B$2,2)=7),IFERROR(1*'Daily Workforce'!$K63&gt;=3,FALSE()),IFERROR(1*'Daily Workforce'!$K63&gt;=2,FALSE())),IF(AND('Daily Schedule'!$A16&gt;=46,'Daily Schedule'!$A16&lt;=52),'Daily Workforce'!$M63="Y",IFERROR(1*'Daily Workforce'!$P63&gt;=2,FALSE()))))),1,0)</f>
        <v>1</v>
      </c>
      <c r="BW12" s="1" t="n">
        <f aca="false">IF(AND('Daily Workforce'!$N64="Y",'Daily Workforce'!$B64&lt;&gt;"",COUNTIF('Daily Schedule'!$F$5:$F15,'Daily Workforce'!$B64)=0,IF('Daily Schedule'!$A16=45,'Daily Workforce'!$J64="Y",IF(OR('Daily Schedule'!$A16=4,'Daily Schedule'!$A16=8),IF(OR(WEEKDAY('Daily Schedule'!$B$2,2)=1,WEEKDAY('Daily Schedule'!$B$2,2)=4,WEEKDAY('Daily Schedule'!$B$2,2)=5,WEEKDAY('Daily Schedule'!$B$2,2)=7),IFERROR(1*'Daily Workforce'!$K64&gt;=3,FALSE()),IFERROR(1*'Daily Workforce'!$K64&gt;=2,FALSE())),IF(AND('Daily Schedule'!$A16&gt;=46,'Daily Schedule'!$A16&lt;=52),'Daily Workforce'!$M64="Y",IFERROR(1*'Daily Workforce'!$P64&gt;=2,FALSE()))))),1,0)</f>
        <v>1</v>
      </c>
      <c r="BX12" s="1" t="n">
        <f aca="false">IF(AND('Daily Workforce'!$N65="Y",'Daily Workforce'!$B65&lt;&gt;"",COUNTIF('Daily Schedule'!$F$5:$F15,'Daily Workforce'!$B65)=0,IF('Daily Schedule'!$A16=45,'Daily Workforce'!$J65="Y",IF(OR('Daily Schedule'!$A16=4,'Daily Schedule'!$A16=8),IF(OR(WEEKDAY('Daily Schedule'!$B$2,2)=1,WEEKDAY('Daily Schedule'!$B$2,2)=4,WEEKDAY('Daily Schedule'!$B$2,2)=5,WEEKDAY('Daily Schedule'!$B$2,2)=7),IFERROR(1*'Daily Workforce'!$K65&gt;=3,FALSE()),IFERROR(1*'Daily Workforce'!$K65&gt;=2,FALSE())),IF(AND('Daily Schedule'!$A16&gt;=46,'Daily Schedule'!$A16&lt;=52),'Daily Workforce'!$M65="Y",IFERROR(1*'Daily Workforce'!$P65&gt;=2,FALSE()))))),1,0)</f>
        <v>1</v>
      </c>
      <c r="BY12" s="1" t="n">
        <f aca="false">IF(AND('Daily Workforce'!$N66="Y",'Daily Workforce'!$B66&lt;&gt;"",COUNTIF('Daily Schedule'!$F$5:$F15,'Daily Workforce'!$B66)=0,IF('Daily Schedule'!$A16=45,'Daily Workforce'!$J66="Y",IF(OR('Daily Schedule'!$A16=4,'Daily Schedule'!$A16=8),IF(OR(WEEKDAY('Daily Schedule'!$B$2,2)=1,WEEKDAY('Daily Schedule'!$B$2,2)=4,WEEKDAY('Daily Schedule'!$B$2,2)=5,WEEKDAY('Daily Schedule'!$B$2,2)=7),IFERROR(1*'Daily Workforce'!$K66&gt;=3,FALSE()),IFERROR(1*'Daily Workforce'!$K66&gt;=2,FALSE())),IF(AND('Daily Schedule'!$A16&gt;=46,'Daily Schedule'!$A16&lt;=52),'Daily Workforce'!$M66="Y",IFERROR(1*'Daily Workforce'!$P66&gt;=2,FALSE()))))),1,0)</f>
        <v>1</v>
      </c>
      <c r="BZ12" s="1" t="n">
        <f aca="false">IF(AND('Daily Workforce'!$N67="Y",'Daily Workforce'!$B67&lt;&gt;"",COUNTIF('Daily Schedule'!$F$5:$F15,'Daily Workforce'!$B67)=0,IF('Daily Schedule'!$A16=45,'Daily Workforce'!$J67="Y",IF(OR('Daily Schedule'!$A16=4,'Daily Schedule'!$A16=8),IF(OR(WEEKDAY('Daily Schedule'!$B$2,2)=1,WEEKDAY('Daily Schedule'!$B$2,2)=4,WEEKDAY('Daily Schedule'!$B$2,2)=5,WEEKDAY('Daily Schedule'!$B$2,2)=7),IFERROR(1*'Daily Workforce'!$K67&gt;=3,FALSE()),IFERROR(1*'Daily Workforce'!$K67&gt;=2,FALSE())),IF(AND('Daily Schedule'!$A16&gt;=46,'Daily Schedule'!$A16&lt;=52),'Daily Workforce'!$M67="Y",IFERROR(1*'Daily Workforce'!$P67&gt;=2,FALSE()))))),1,0)</f>
        <v>1</v>
      </c>
      <c r="CA12" s="1" t="n">
        <f aca="false">IF(AND('Daily Workforce'!$N68="Y",'Daily Workforce'!$B68&lt;&gt;"",COUNTIF('Daily Schedule'!$F$5:$F15,'Daily Workforce'!$B68)=0,IF('Daily Schedule'!$A16=45,'Daily Workforce'!$J68="Y",IF(OR('Daily Schedule'!$A16=4,'Daily Schedule'!$A16=8),IF(OR(WEEKDAY('Daily Schedule'!$B$2,2)=1,WEEKDAY('Daily Schedule'!$B$2,2)=4,WEEKDAY('Daily Schedule'!$B$2,2)=5,WEEKDAY('Daily Schedule'!$B$2,2)=7),IFERROR(1*'Daily Workforce'!$K68&gt;=3,FALSE()),IFERROR(1*'Daily Workforce'!$K68&gt;=2,FALSE())),IF(AND('Daily Schedule'!$A16&gt;=46,'Daily Schedule'!$A16&lt;=52),'Daily Workforce'!$M68="Y",IFERROR(1*'Daily Workforce'!$P68&gt;=2,FALSE()))))),1,0)</f>
        <v>1</v>
      </c>
      <c r="CB12" s="1" t="n">
        <f aca="false">IF(AND('Daily Workforce'!$N69="Y",'Daily Workforce'!$B69&lt;&gt;"",COUNTIF('Daily Schedule'!$F$5:$F15,'Daily Workforce'!$B69)=0,IF('Daily Schedule'!$A16=45,'Daily Workforce'!$J69="Y",IF(OR('Daily Schedule'!$A16=4,'Daily Schedule'!$A16=8),IF(OR(WEEKDAY('Daily Schedule'!$B$2,2)=1,WEEKDAY('Daily Schedule'!$B$2,2)=4,WEEKDAY('Daily Schedule'!$B$2,2)=5,WEEKDAY('Daily Schedule'!$B$2,2)=7),IFERROR(1*'Daily Workforce'!$K69&gt;=3,FALSE()),IFERROR(1*'Daily Workforce'!$K69&gt;=2,FALSE())),IF(AND('Daily Schedule'!$A16&gt;=46,'Daily Schedule'!$A16&lt;=52),'Daily Workforce'!$M69="Y",IFERROR(1*'Daily Workforce'!$P69&gt;=2,FALSE()))))),1,0)</f>
        <v>1</v>
      </c>
      <c r="CC12" s="1" t="n">
        <f aca="false">IF(AND('Daily Workforce'!$N70="Y",'Daily Workforce'!$B70&lt;&gt;"",COUNTIF('Daily Schedule'!$F$5:$F15,'Daily Workforce'!$B70)=0,IF('Daily Schedule'!$A16=45,'Daily Workforce'!$J70="Y",IF(OR('Daily Schedule'!$A16=4,'Daily Schedule'!$A16=8),IF(OR(WEEKDAY('Daily Schedule'!$B$2,2)=1,WEEKDAY('Daily Schedule'!$B$2,2)=4,WEEKDAY('Daily Schedule'!$B$2,2)=5,WEEKDAY('Daily Schedule'!$B$2,2)=7),IFERROR(1*'Daily Workforce'!$K70&gt;=3,FALSE()),IFERROR(1*'Daily Workforce'!$K70&gt;=2,FALSE())),IF(AND('Daily Schedule'!$A16&gt;=46,'Daily Schedule'!$A16&lt;=52),'Daily Workforce'!$M70="Y",IFERROR(1*'Daily Workforce'!$P70&gt;=2,FALSE()))))),1,0)</f>
        <v>1</v>
      </c>
      <c r="CD12" s="1" t="n">
        <f aca="false">IF(AND('Daily Workforce'!$N71="Y",'Daily Workforce'!$B71&lt;&gt;"",COUNTIF('Daily Schedule'!$F$5:$F15,'Daily Workforce'!$B71)=0,IF('Daily Schedule'!$A16=45,'Daily Workforce'!$J71="Y",IF(OR('Daily Schedule'!$A16=4,'Daily Schedule'!$A16=8),IF(OR(WEEKDAY('Daily Schedule'!$B$2,2)=1,WEEKDAY('Daily Schedule'!$B$2,2)=4,WEEKDAY('Daily Schedule'!$B$2,2)=5,WEEKDAY('Daily Schedule'!$B$2,2)=7),IFERROR(1*'Daily Workforce'!$K71&gt;=3,FALSE()),IFERROR(1*'Daily Workforce'!$K71&gt;=2,FALSE())),IF(AND('Daily Schedule'!$A16&gt;=46,'Daily Schedule'!$A16&lt;=52),'Daily Workforce'!$M71="Y",IFERROR(1*'Daily Workforce'!$P71&gt;=2,FALSE()))))),1,0)</f>
        <v>1</v>
      </c>
      <c r="CE12" s="1" t="n">
        <f aca="false">IF(AND('Daily Workforce'!$N72="Y",'Daily Workforce'!$B72&lt;&gt;"",COUNTIF('Daily Schedule'!$F$5:$F15,'Daily Workforce'!$B72)=0,IF('Daily Schedule'!$A16=45,'Daily Workforce'!$J72="Y",IF(OR('Daily Schedule'!$A16=4,'Daily Schedule'!$A16=8),IF(OR(WEEKDAY('Daily Schedule'!$B$2,2)=1,WEEKDAY('Daily Schedule'!$B$2,2)=4,WEEKDAY('Daily Schedule'!$B$2,2)=5,WEEKDAY('Daily Schedule'!$B$2,2)=7),IFERROR(1*'Daily Workforce'!$K72&gt;=3,FALSE()),IFERROR(1*'Daily Workforce'!$K72&gt;=2,FALSE())),IF(AND('Daily Schedule'!$A16&gt;=46,'Daily Schedule'!$A16&lt;=52),'Daily Workforce'!$M72="Y",IFERROR(1*'Daily Workforce'!$P72&gt;=2,FALSE()))))),1,0)</f>
        <v>1</v>
      </c>
      <c r="CF12" s="1" t="n">
        <f aca="false">IF(AND('Daily Workforce'!$N73="Y",'Daily Workforce'!$B73&lt;&gt;"",COUNTIF('Daily Schedule'!$F$5:$F15,'Daily Workforce'!$B73)=0,IF('Daily Schedule'!$A16=45,'Daily Workforce'!$J73="Y",IF(OR('Daily Schedule'!$A16=4,'Daily Schedule'!$A16=8),IF(OR(WEEKDAY('Daily Schedule'!$B$2,2)=1,WEEKDAY('Daily Schedule'!$B$2,2)=4,WEEKDAY('Daily Schedule'!$B$2,2)=5,WEEKDAY('Daily Schedule'!$B$2,2)=7),IFERROR(1*'Daily Workforce'!$K73&gt;=3,FALSE()),IFERROR(1*'Daily Workforce'!$K73&gt;=2,FALSE())),IF(AND('Daily Schedule'!$A16&gt;=46,'Daily Schedule'!$A16&lt;=52),'Daily Workforce'!$M73="Y",IFERROR(1*'Daily Workforce'!$P73&gt;=2,FALSE()))))),1,0)</f>
        <v>1</v>
      </c>
      <c r="CG12" s="1" t="n">
        <f aca="false">IF(AND('Daily Workforce'!$N74="Y",'Daily Workforce'!$B74&lt;&gt;"",COUNTIF('Daily Schedule'!$F$5:$F15,'Daily Workforce'!$B74)=0,IF('Daily Schedule'!$A16=45,'Daily Workforce'!$J74="Y",IF(OR('Daily Schedule'!$A16=4,'Daily Schedule'!$A16=8),IF(OR(WEEKDAY('Daily Schedule'!$B$2,2)=1,WEEKDAY('Daily Schedule'!$B$2,2)=4,WEEKDAY('Daily Schedule'!$B$2,2)=5,WEEKDAY('Daily Schedule'!$B$2,2)=7),IFERROR(1*'Daily Workforce'!$K74&gt;=3,FALSE()),IFERROR(1*'Daily Workforce'!$K74&gt;=2,FALSE())),IF(AND('Daily Schedule'!$A16&gt;=46,'Daily Schedule'!$A16&lt;=52),'Daily Workforce'!$M74="Y",IFERROR(1*'Daily Workforce'!$P74&gt;=2,FALSE()))))),1,0)</f>
        <v>1</v>
      </c>
      <c r="CH12" s="1" t="n">
        <f aca="false">IF(AND('Daily Workforce'!$N75="Y",'Daily Workforce'!$B75&lt;&gt;"",COUNTIF('Daily Schedule'!$F$5:$F15,'Daily Workforce'!$B75)=0,IF('Daily Schedule'!$A16=45,'Daily Workforce'!$J75="Y",IF(OR('Daily Schedule'!$A16=4,'Daily Schedule'!$A16=8),IF(OR(WEEKDAY('Daily Schedule'!$B$2,2)=1,WEEKDAY('Daily Schedule'!$B$2,2)=4,WEEKDAY('Daily Schedule'!$B$2,2)=5,WEEKDAY('Daily Schedule'!$B$2,2)=7),IFERROR(1*'Daily Workforce'!$K75&gt;=3,FALSE()),IFERROR(1*'Daily Workforce'!$K75&gt;=2,FALSE())),IF(AND('Daily Schedule'!$A16&gt;=46,'Daily Schedule'!$A16&lt;=52),'Daily Workforce'!$M75="Y",IFERROR(1*'Daily Workforce'!$P75&gt;=2,FALSE()))))),1,0)</f>
        <v>1</v>
      </c>
      <c r="CI12" s="1" t="n">
        <f aca="false">IF(AND('Daily Workforce'!$N76="Y",'Daily Workforce'!$B76&lt;&gt;"",COUNTIF('Daily Schedule'!$F$5:$F15,'Daily Workforce'!$B76)=0,IF('Daily Schedule'!$A16=45,'Daily Workforce'!$J76="Y",IF(OR('Daily Schedule'!$A16=4,'Daily Schedule'!$A16=8),IF(OR(WEEKDAY('Daily Schedule'!$B$2,2)=1,WEEKDAY('Daily Schedule'!$B$2,2)=4,WEEKDAY('Daily Schedule'!$B$2,2)=5,WEEKDAY('Daily Schedule'!$B$2,2)=7),IFERROR(1*'Daily Workforce'!$K76&gt;=3,FALSE()),IFERROR(1*'Daily Workforce'!$K76&gt;=2,FALSE())),IF(AND('Daily Schedule'!$A16&gt;=46,'Daily Schedule'!$A16&lt;=52),'Daily Workforce'!$M76="Y",IFERROR(1*'Daily Workforce'!$P76&gt;=2,FALSE()))))),1,0)</f>
        <v>1</v>
      </c>
      <c r="CJ12" s="1" t="n">
        <f aca="false">IF(AND('Daily Workforce'!$N77="Y",'Daily Workforce'!$B77&lt;&gt;"",COUNTIF('Daily Schedule'!$F$5:$F15,'Daily Workforce'!$B77)=0,IF('Daily Schedule'!$A16=45,'Daily Workforce'!$J77="Y",IF(OR('Daily Schedule'!$A16=4,'Daily Schedule'!$A16=8),IF(OR(WEEKDAY('Daily Schedule'!$B$2,2)=1,WEEKDAY('Daily Schedule'!$B$2,2)=4,WEEKDAY('Daily Schedule'!$B$2,2)=5,WEEKDAY('Daily Schedule'!$B$2,2)=7),IFERROR(1*'Daily Workforce'!$K77&gt;=3,FALSE()),IFERROR(1*'Daily Workforce'!$K77&gt;=2,FALSE())),IF(AND('Daily Schedule'!$A16&gt;=46,'Daily Schedule'!$A16&lt;=52),'Daily Workforce'!$M77="Y",IFERROR(1*'Daily Workforce'!$P77&gt;=2,FALSE()))))),1,0)</f>
        <v>1</v>
      </c>
      <c r="CK12" s="1" t="n">
        <f aca="false">IF(AND('Daily Workforce'!$N78="Y",'Daily Workforce'!$B78&lt;&gt;"",COUNTIF('Daily Schedule'!$F$5:$F15,'Daily Workforce'!$B78)=0,IF('Daily Schedule'!$A16=45,'Daily Workforce'!$J78="Y",IF(OR('Daily Schedule'!$A16=4,'Daily Schedule'!$A16=8),IF(OR(WEEKDAY('Daily Schedule'!$B$2,2)=1,WEEKDAY('Daily Schedule'!$B$2,2)=4,WEEKDAY('Daily Schedule'!$B$2,2)=5,WEEKDAY('Daily Schedule'!$B$2,2)=7),IFERROR(1*'Daily Workforce'!$K78&gt;=3,FALSE()),IFERROR(1*'Daily Workforce'!$K78&gt;=2,FALSE())),IF(AND('Daily Schedule'!$A16&gt;=46,'Daily Schedule'!$A16&lt;=52),'Daily Workforce'!$M78="Y",IFERROR(1*'Daily Workforce'!$P78&gt;=2,FALSE()))))),1,0)</f>
        <v>1</v>
      </c>
      <c r="CL12" s="1" t="n">
        <f aca="false">IF(AND('Daily Workforce'!$N79="Y",'Daily Workforce'!$B79&lt;&gt;"",COUNTIF('Daily Schedule'!$F$5:$F15,'Daily Workforce'!$B79)=0,IF('Daily Schedule'!$A16=45,'Daily Workforce'!$J79="Y",IF(OR('Daily Schedule'!$A16=4,'Daily Schedule'!$A16=8),IF(OR(WEEKDAY('Daily Schedule'!$B$2,2)=1,WEEKDAY('Daily Schedule'!$B$2,2)=4,WEEKDAY('Daily Schedule'!$B$2,2)=5,WEEKDAY('Daily Schedule'!$B$2,2)=7),IFERROR(1*'Daily Workforce'!$K79&gt;=3,FALSE()),IFERROR(1*'Daily Workforce'!$K79&gt;=2,FALSE())),IF(AND('Daily Schedule'!$A16&gt;=46,'Daily Schedule'!$A16&lt;=52),'Daily Workforce'!$M79="Y",IFERROR(1*'Daily Workforce'!$P79&gt;=2,FALSE()))))),1,0)</f>
        <v>1</v>
      </c>
      <c r="CM12" s="1" t="n">
        <f aca="false">IF(AND('Daily Workforce'!$N80="Y",'Daily Workforce'!$B80&lt;&gt;"",COUNTIF('Daily Schedule'!$F$5:$F15,'Daily Workforce'!$B80)=0,IF('Daily Schedule'!$A16=45,'Daily Workforce'!$J80="Y",IF(OR('Daily Schedule'!$A16=4,'Daily Schedule'!$A16=8),IF(OR(WEEKDAY('Daily Schedule'!$B$2,2)=1,WEEKDAY('Daily Schedule'!$B$2,2)=4,WEEKDAY('Daily Schedule'!$B$2,2)=5,WEEKDAY('Daily Schedule'!$B$2,2)=7),IFERROR(1*'Daily Workforce'!$K80&gt;=3,FALSE()),IFERROR(1*'Daily Workforce'!$K80&gt;=2,FALSE())),IF(AND('Daily Schedule'!$A16&gt;=46,'Daily Schedule'!$A16&lt;=52),'Daily Workforce'!$M80="Y",IFERROR(1*'Daily Workforce'!$P80&gt;=2,FALSE()))))),1,0)</f>
        <v>1</v>
      </c>
      <c r="CN12" s="1" t="n">
        <f aca="false">IF(AND('Daily Workforce'!$N81="Y",'Daily Workforce'!$B81&lt;&gt;"",COUNTIF('Daily Schedule'!$F$5:$F15,'Daily Workforce'!$B81)=0,IF('Daily Schedule'!$A16=45,'Daily Workforce'!$J81="Y",IF(OR('Daily Schedule'!$A16=4,'Daily Schedule'!$A16=8),IF(OR(WEEKDAY('Daily Schedule'!$B$2,2)=1,WEEKDAY('Daily Schedule'!$B$2,2)=4,WEEKDAY('Daily Schedule'!$B$2,2)=5,WEEKDAY('Daily Schedule'!$B$2,2)=7),IFERROR(1*'Daily Workforce'!$K81&gt;=3,FALSE()),IFERROR(1*'Daily Workforce'!$K81&gt;=2,FALSE())),IF(AND('Daily Schedule'!$A16&gt;=46,'Daily Schedule'!$A16&lt;=52),'Daily Workforce'!$M81="Y",IFERROR(1*'Daily Workforce'!$P81&gt;=2,FALSE()))))),1,0)</f>
        <v>1</v>
      </c>
      <c r="CO12" s="1" t="n">
        <f aca="false">IF(AND('Daily Workforce'!$N82="Y",'Daily Workforce'!$B82&lt;&gt;"",COUNTIF('Daily Schedule'!$F$5:$F15,'Daily Workforce'!$B82)=0,IF('Daily Schedule'!$A16=45,'Daily Workforce'!$J82="Y",IF(OR('Daily Schedule'!$A16=4,'Daily Schedule'!$A16=8),IF(OR(WEEKDAY('Daily Schedule'!$B$2,2)=1,WEEKDAY('Daily Schedule'!$B$2,2)=4,WEEKDAY('Daily Schedule'!$B$2,2)=5,WEEKDAY('Daily Schedule'!$B$2,2)=7),IFERROR(1*'Daily Workforce'!$K82&gt;=3,FALSE()),IFERROR(1*'Daily Workforce'!$K82&gt;=2,FALSE())),IF(AND('Daily Schedule'!$A16&gt;=46,'Daily Schedule'!$A16&lt;=52),'Daily Workforce'!$M82="Y",IFERROR(1*'Daily Workforce'!$P82&gt;=2,FALSE()))))),1,0)</f>
        <v>1</v>
      </c>
      <c r="CP12" s="1" t="n">
        <f aca="false">IF(AND('Daily Workforce'!$N83="Y",'Daily Workforce'!$B83&lt;&gt;"",COUNTIF('Daily Schedule'!$F$5:$F15,'Daily Workforce'!$B83)=0,IF('Daily Schedule'!$A16=45,'Daily Workforce'!$J83="Y",IF(OR('Daily Schedule'!$A16=4,'Daily Schedule'!$A16=8),IF(OR(WEEKDAY('Daily Schedule'!$B$2,2)=1,WEEKDAY('Daily Schedule'!$B$2,2)=4,WEEKDAY('Daily Schedule'!$B$2,2)=5,WEEKDAY('Daily Schedule'!$B$2,2)=7),IFERROR(1*'Daily Workforce'!$K83&gt;=3,FALSE()),IFERROR(1*'Daily Workforce'!$K83&gt;=2,FALSE())),IF(AND('Daily Schedule'!$A16&gt;=46,'Daily Schedule'!$A16&lt;=52),'Daily Workforce'!$M83="Y",IFERROR(1*'Daily Workforce'!$P83&gt;=2,FALSE()))))),1,0)</f>
        <v>0</v>
      </c>
      <c r="CQ12" s="1" t="n">
        <f aca="false">IF(AND('Daily Workforce'!$N84="Y",'Daily Workforce'!$B84&lt;&gt;"",COUNTIF('Daily Schedule'!$F$5:$F15,'Daily Workforce'!$B84)=0,IF('Daily Schedule'!$A16=45,'Daily Workforce'!$J84="Y",IF(OR('Daily Schedule'!$A16=4,'Daily Schedule'!$A16=8),IF(OR(WEEKDAY('Daily Schedule'!$B$2,2)=1,WEEKDAY('Daily Schedule'!$B$2,2)=4,WEEKDAY('Daily Schedule'!$B$2,2)=5,WEEKDAY('Daily Schedule'!$B$2,2)=7),IFERROR(1*'Daily Workforce'!$K84&gt;=3,FALSE()),IFERROR(1*'Daily Workforce'!$K84&gt;=2,FALSE())),IF(AND('Daily Schedule'!$A16&gt;=46,'Daily Schedule'!$A16&lt;=52),'Daily Workforce'!$M84="Y",IFERROR(1*'Daily Workforce'!$P84&gt;=2,FALSE()))))),1,0)</f>
        <v>1</v>
      </c>
      <c r="CR12" s="1" t="n">
        <f aca="false">IF(AND('Daily Workforce'!$N85="Y",'Daily Workforce'!$B85&lt;&gt;"",COUNTIF('Daily Schedule'!$F$5:$F15,'Daily Workforce'!$B85)=0,IF('Daily Schedule'!$A16=45,'Daily Workforce'!$J85="Y",IF(OR('Daily Schedule'!$A16=4,'Daily Schedule'!$A16=8),IF(OR(WEEKDAY('Daily Schedule'!$B$2,2)=1,WEEKDAY('Daily Schedule'!$B$2,2)=4,WEEKDAY('Daily Schedule'!$B$2,2)=5,WEEKDAY('Daily Schedule'!$B$2,2)=7),IFERROR(1*'Daily Workforce'!$K85&gt;=3,FALSE()),IFERROR(1*'Daily Workforce'!$K85&gt;=2,FALSE())),IF(AND('Daily Schedule'!$A16&gt;=46,'Daily Schedule'!$A16&lt;=52),'Daily Workforce'!$M85="Y",IFERROR(1*'Daily Workforce'!$P85&gt;=2,FALSE()))))),1,0)</f>
        <v>0</v>
      </c>
      <c r="CS12" s="1" t="n">
        <f aca="false">IF(AND('Daily Workforce'!$N86="Y",'Daily Workforce'!$B86&lt;&gt;"",COUNTIF('Daily Schedule'!$F$5:$F15,'Daily Workforce'!$B86)=0,IF('Daily Schedule'!$A16=45,'Daily Workforce'!$J86="Y",IF(OR('Daily Schedule'!$A16=4,'Daily Schedule'!$A16=8),IF(OR(WEEKDAY('Daily Schedule'!$B$2,2)=1,WEEKDAY('Daily Schedule'!$B$2,2)=4,WEEKDAY('Daily Schedule'!$B$2,2)=5,WEEKDAY('Daily Schedule'!$B$2,2)=7),IFERROR(1*'Daily Workforce'!$K86&gt;=3,FALSE()),IFERROR(1*'Daily Workforce'!$K86&gt;=2,FALSE())),IF(AND('Daily Schedule'!$A16&gt;=46,'Daily Schedule'!$A16&lt;=52),'Daily Workforce'!$M86="Y",IFERROR(1*'Daily Workforce'!$P86&gt;=2,FALSE()))))),1,0)</f>
        <v>1</v>
      </c>
      <c r="CT12" s="1" t="n">
        <f aca="false">IF(AND('Daily Workforce'!$N87="Y",'Daily Workforce'!$B87&lt;&gt;"",COUNTIF('Daily Schedule'!$F$5:$F15,'Daily Workforce'!$B87)=0,IF('Daily Schedule'!$A16=45,'Daily Workforce'!$J87="Y",IF(OR('Daily Schedule'!$A16=4,'Daily Schedule'!$A16=8),IF(OR(WEEKDAY('Daily Schedule'!$B$2,2)=1,WEEKDAY('Daily Schedule'!$B$2,2)=4,WEEKDAY('Daily Schedule'!$B$2,2)=5,WEEKDAY('Daily Schedule'!$B$2,2)=7),IFERROR(1*'Daily Workforce'!$K87&gt;=3,FALSE()),IFERROR(1*'Daily Workforce'!$K87&gt;=2,FALSE())),IF(AND('Daily Schedule'!$A16&gt;=46,'Daily Schedule'!$A16&lt;=52),'Daily Workforce'!$M87="Y",IFERROR(1*'Daily Workforce'!$P87&gt;=2,FALSE()))))),1,0)</f>
        <v>1</v>
      </c>
      <c r="CU12" s="1" t="n">
        <f aca="false">IF(AND('Daily Workforce'!$N88="Y",'Daily Workforce'!$B88&lt;&gt;"",COUNTIF('Daily Schedule'!$F$5:$F15,'Daily Workforce'!$B88)=0,IF('Daily Schedule'!$A16=45,'Daily Workforce'!$J88="Y",IF(OR('Daily Schedule'!$A16=4,'Daily Schedule'!$A16=8),IF(OR(WEEKDAY('Daily Schedule'!$B$2,2)=1,WEEKDAY('Daily Schedule'!$B$2,2)=4,WEEKDAY('Daily Schedule'!$B$2,2)=5,WEEKDAY('Daily Schedule'!$B$2,2)=7),IFERROR(1*'Daily Workforce'!$K88&gt;=3,FALSE()),IFERROR(1*'Daily Workforce'!$K88&gt;=2,FALSE())),IF(AND('Daily Schedule'!$A16&gt;=46,'Daily Schedule'!$A16&lt;=52),'Daily Workforce'!$M88="Y",IFERROR(1*'Daily Workforce'!$P88&gt;=2,FALSE()))))),1,0)</f>
        <v>1</v>
      </c>
      <c r="CV12" s="1" t="n">
        <f aca="false">IF(AND('Daily Workforce'!$N89="Y",'Daily Workforce'!$B89&lt;&gt;"",COUNTIF('Daily Schedule'!$F$5:$F15,'Daily Workforce'!$B89)=0,IF('Daily Schedule'!$A16=45,'Daily Workforce'!$J89="Y",IF(OR('Daily Schedule'!$A16=4,'Daily Schedule'!$A16=8),IF(OR(WEEKDAY('Daily Schedule'!$B$2,2)=1,WEEKDAY('Daily Schedule'!$B$2,2)=4,WEEKDAY('Daily Schedule'!$B$2,2)=5,WEEKDAY('Daily Schedule'!$B$2,2)=7),IFERROR(1*'Daily Workforce'!$K89&gt;=3,FALSE()),IFERROR(1*'Daily Workforce'!$K89&gt;=2,FALSE())),IF(AND('Daily Schedule'!$A16&gt;=46,'Daily Schedule'!$A16&lt;=52),'Daily Workforce'!$M89="Y",IFERROR(1*'Daily Workforce'!$P89&gt;=2,FALSE()))))),1,0)</f>
        <v>1</v>
      </c>
      <c r="CW12" s="1" t="n">
        <f aca="false">IF(AND('Daily Workforce'!$N90="Y",'Daily Workforce'!$B90&lt;&gt;"",COUNTIF('Daily Schedule'!$F$5:$F15,'Daily Workforce'!$B90)=0,IF('Daily Schedule'!$A16=45,'Daily Workforce'!$J90="Y",IF(OR('Daily Schedule'!$A16=4,'Daily Schedule'!$A16=8),IF(OR(WEEKDAY('Daily Schedule'!$B$2,2)=1,WEEKDAY('Daily Schedule'!$B$2,2)=4,WEEKDAY('Daily Schedule'!$B$2,2)=5,WEEKDAY('Daily Schedule'!$B$2,2)=7),IFERROR(1*'Daily Workforce'!$K90&gt;=3,FALSE()),IFERROR(1*'Daily Workforce'!$K90&gt;=2,FALSE())),IF(AND('Daily Schedule'!$A16&gt;=46,'Daily Schedule'!$A16&lt;=52),'Daily Workforce'!$M90="Y",IFERROR(1*'Daily Workforce'!$P90&gt;=2,FALSE()))))),1,0)</f>
        <v>1</v>
      </c>
      <c r="CX12" s="1" t="n">
        <f aca="false">IF(AND('Daily Workforce'!$N91="Y",'Daily Workforce'!$B91&lt;&gt;"",COUNTIF('Daily Schedule'!$F$5:$F15,'Daily Workforce'!$B91)=0,IF('Daily Schedule'!$A16=45,'Daily Workforce'!$J91="Y",IF(OR('Daily Schedule'!$A16=4,'Daily Schedule'!$A16=8),IF(OR(WEEKDAY('Daily Schedule'!$B$2,2)=1,WEEKDAY('Daily Schedule'!$B$2,2)=4,WEEKDAY('Daily Schedule'!$B$2,2)=5,WEEKDAY('Daily Schedule'!$B$2,2)=7),IFERROR(1*'Daily Workforce'!$K91&gt;=3,FALSE()),IFERROR(1*'Daily Workforce'!$K91&gt;=2,FALSE())),IF(AND('Daily Schedule'!$A16&gt;=46,'Daily Schedule'!$A16&lt;=52),'Daily Workforce'!$M91="Y",IFERROR(1*'Daily Workforce'!$P91&gt;=2,FALSE()))))),1,0)</f>
        <v>1</v>
      </c>
      <c r="CY12" s="1" t="n">
        <f aca="false">IF(AND('Daily Workforce'!$N92="Y",'Daily Workforce'!$B92&lt;&gt;"",COUNTIF('Daily Schedule'!$F$5:$F15,'Daily Workforce'!$B92)=0,IF('Daily Schedule'!$A16=45,'Daily Workforce'!$J92="Y",IF(OR('Daily Schedule'!$A16=4,'Daily Schedule'!$A16=8),IF(OR(WEEKDAY('Daily Schedule'!$B$2,2)=1,WEEKDAY('Daily Schedule'!$B$2,2)=4,WEEKDAY('Daily Schedule'!$B$2,2)=5,WEEKDAY('Daily Schedule'!$B$2,2)=7),IFERROR(1*'Daily Workforce'!$K92&gt;=3,FALSE()),IFERROR(1*'Daily Workforce'!$K92&gt;=2,FALSE())),IF(AND('Daily Schedule'!$A16&gt;=46,'Daily Schedule'!$A16&lt;=52),'Daily Workforce'!$M92="Y",IFERROR(1*'Daily Workforce'!$P92&gt;=2,FALSE()))))),1,0)</f>
        <v>1</v>
      </c>
      <c r="CZ12" s="1" t="n">
        <f aca="false">IF(AND('Daily Workforce'!$N93="Y",'Daily Workforce'!$B93&lt;&gt;"",COUNTIF('Daily Schedule'!$F$5:$F15,'Daily Workforce'!$B93)=0,IF('Daily Schedule'!$A16=45,'Daily Workforce'!$J93="Y",IF(OR('Daily Schedule'!$A16=4,'Daily Schedule'!$A16=8),IF(OR(WEEKDAY('Daily Schedule'!$B$2,2)=1,WEEKDAY('Daily Schedule'!$B$2,2)=4,WEEKDAY('Daily Schedule'!$B$2,2)=5,WEEKDAY('Daily Schedule'!$B$2,2)=7),IFERROR(1*'Daily Workforce'!$K93&gt;=3,FALSE()),IFERROR(1*'Daily Workforce'!$K93&gt;=2,FALSE())),IF(AND('Daily Schedule'!$A16&gt;=46,'Daily Schedule'!$A16&lt;=52),'Daily Workforce'!$M93="Y",IFERROR(1*'Daily Workforce'!$P93&gt;=2,FALSE()))))),1,0)</f>
        <v>1</v>
      </c>
      <c r="DA12" s="1" t="n">
        <f aca="false">IF(AND('Daily Workforce'!$N94="Y",'Daily Workforce'!$B94&lt;&gt;"",COUNTIF('Daily Schedule'!$F$5:$F15,'Daily Workforce'!$B94)=0,IF('Daily Schedule'!$A16=45,'Daily Workforce'!$J94="Y",IF(OR('Daily Schedule'!$A16=4,'Daily Schedule'!$A16=8),IF(OR(WEEKDAY('Daily Schedule'!$B$2,2)=1,WEEKDAY('Daily Schedule'!$B$2,2)=4,WEEKDAY('Daily Schedule'!$B$2,2)=5,WEEKDAY('Daily Schedule'!$B$2,2)=7),IFERROR(1*'Daily Workforce'!$K94&gt;=3,FALSE()),IFERROR(1*'Daily Workforce'!$K94&gt;=2,FALSE())),IF(AND('Daily Schedule'!$A16&gt;=46,'Daily Schedule'!$A16&lt;=52),'Daily Workforce'!$M94="Y",IFERROR(1*'Daily Workforce'!$P94&gt;=2,FALSE()))))),1,0)</f>
        <v>1</v>
      </c>
      <c r="DB12" s="1" t="n">
        <f aca="false">IF(AND('Daily Workforce'!$N95="Y",'Daily Workforce'!$B95&lt;&gt;"",COUNTIF('Daily Schedule'!$F$5:$F15,'Daily Workforce'!$B95)=0,IF('Daily Schedule'!$A16=45,'Daily Workforce'!$J95="Y",IF(OR('Daily Schedule'!$A16=4,'Daily Schedule'!$A16=8),IF(OR(WEEKDAY('Daily Schedule'!$B$2,2)=1,WEEKDAY('Daily Schedule'!$B$2,2)=4,WEEKDAY('Daily Schedule'!$B$2,2)=5,WEEKDAY('Daily Schedule'!$B$2,2)=7),IFERROR(1*'Daily Workforce'!$K95&gt;=3,FALSE()),IFERROR(1*'Daily Workforce'!$K95&gt;=2,FALSE())),IF(AND('Daily Schedule'!$A16&gt;=46,'Daily Schedule'!$A16&lt;=52),'Daily Workforce'!$M95="Y",IFERROR(1*'Daily Workforce'!$P95&gt;=2,FALSE()))))),1,0)</f>
        <v>1</v>
      </c>
      <c r="DC12" s="1" t="n">
        <f aca="false">IF(AND('Daily Workforce'!$N96="Y",'Daily Workforce'!$B96&lt;&gt;"",COUNTIF('Daily Schedule'!$F$5:$F15,'Daily Workforce'!$B96)=0,IF('Daily Schedule'!$A16=45,'Daily Workforce'!$J96="Y",IF(OR('Daily Schedule'!$A16=4,'Daily Schedule'!$A16=8),IF(OR(WEEKDAY('Daily Schedule'!$B$2,2)=1,WEEKDAY('Daily Schedule'!$B$2,2)=4,WEEKDAY('Daily Schedule'!$B$2,2)=5,WEEKDAY('Daily Schedule'!$B$2,2)=7),IFERROR(1*'Daily Workforce'!$K96&gt;=3,FALSE()),IFERROR(1*'Daily Workforce'!$K96&gt;=2,FALSE())),IF(AND('Daily Schedule'!$A16&gt;=46,'Daily Schedule'!$A16&lt;=52),'Daily Workforce'!$M96="Y",IFERROR(1*'Daily Workforce'!$P96&gt;=2,FALSE()))))),1,0)</f>
        <v>1</v>
      </c>
      <c r="DD12" s="1" t="n">
        <f aca="false">IF(AND('Daily Workforce'!$N97="Y",'Daily Workforce'!$B97&lt;&gt;"",COUNTIF('Daily Schedule'!$F$5:$F15,'Daily Workforce'!$B97)=0,IF('Daily Schedule'!$A16=45,'Daily Workforce'!$J97="Y",IF(OR('Daily Schedule'!$A16=4,'Daily Schedule'!$A16=8),IF(OR(WEEKDAY('Daily Schedule'!$B$2,2)=1,WEEKDAY('Daily Schedule'!$B$2,2)=4,WEEKDAY('Daily Schedule'!$B$2,2)=5,WEEKDAY('Daily Schedule'!$B$2,2)=7),IFERROR(1*'Daily Workforce'!$K97&gt;=3,FALSE()),IFERROR(1*'Daily Workforce'!$K97&gt;=2,FALSE())),IF(AND('Daily Schedule'!$A16&gt;=46,'Daily Schedule'!$A16&lt;=52),'Daily Workforce'!$M97="Y",IFERROR(1*'Daily Workforce'!$P97&gt;=2,FALSE()))))),1,0)</f>
        <v>1</v>
      </c>
      <c r="DE12" s="1" t="n">
        <f aca="false">IF(AND('Daily Workforce'!$N98="Y",'Daily Workforce'!$B98&lt;&gt;"",COUNTIF('Daily Schedule'!$F$5:$F15,'Daily Workforce'!$B98)=0,IF('Daily Schedule'!$A16=45,'Daily Workforce'!$J98="Y",IF(OR('Daily Schedule'!$A16=4,'Daily Schedule'!$A16=8),IF(OR(WEEKDAY('Daily Schedule'!$B$2,2)=1,WEEKDAY('Daily Schedule'!$B$2,2)=4,WEEKDAY('Daily Schedule'!$B$2,2)=5,WEEKDAY('Daily Schedule'!$B$2,2)=7),IFERROR(1*'Daily Workforce'!$K98&gt;=3,FALSE()),IFERROR(1*'Daily Workforce'!$K98&gt;=2,FALSE())),IF(AND('Daily Schedule'!$A16&gt;=46,'Daily Schedule'!$A16&lt;=52),'Daily Workforce'!$M98="Y",IFERROR(1*'Daily Workforce'!$P98&gt;=2,FALSE()))))),1,0)</f>
        <v>1</v>
      </c>
      <c r="DF12" s="1" t="n">
        <f aca="false">IF(AND('Daily Workforce'!$N99="Y",'Daily Workforce'!$B99&lt;&gt;"",COUNTIF('Daily Schedule'!$F$5:$F15,'Daily Workforce'!$B99)=0,IF('Daily Schedule'!$A16=45,'Daily Workforce'!$J99="Y",IF(OR('Daily Schedule'!$A16=4,'Daily Schedule'!$A16=8),IF(OR(WEEKDAY('Daily Schedule'!$B$2,2)=1,WEEKDAY('Daily Schedule'!$B$2,2)=4,WEEKDAY('Daily Schedule'!$B$2,2)=5,WEEKDAY('Daily Schedule'!$B$2,2)=7),IFERROR(1*'Daily Workforce'!$K99&gt;=3,FALSE()),IFERROR(1*'Daily Workforce'!$K99&gt;=2,FALSE())),IF(AND('Daily Schedule'!$A16&gt;=46,'Daily Schedule'!$A16&lt;=52),'Daily Workforce'!$M99="Y",IFERROR(1*'Daily Workforce'!$P99&gt;=2,FALSE()))))),1,0)</f>
        <v>1</v>
      </c>
      <c r="DG12" s="1" t="n">
        <f aca="false">IF(AND('Daily Workforce'!$N100="Y",'Daily Workforce'!$B100&lt;&gt;"",COUNTIF('Daily Schedule'!$F$5:$F15,'Daily Workforce'!$B100)=0,IF('Daily Schedule'!$A16=45,'Daily Workforce'!$J100="Y",IF(OR('Daily Schedule'!$A16=4,'Daily Schedule'!$A16=8),IF(OR(WEEKDAY('Daily Schedule'!$B$2,2)=1,WEEKDAY('Daily Schedule'!$B$2,2)=4,WEEKDAY('Daily Schedule'!$B$2,2)=5,WEEKDAY('Daily Schedule'!$B$2,2)=7),IFERROR(1*'Daily Workforce'!$K100&gt;=3,FALSE()),IFERROR(1*'Daily Workforce'!$K100&gt;=2,FALSE())),IF(AND('Daily Schedule'!$A16&gt;=46,'Daily Schedule'!$A16&lt;=52),'Daily Workforce'!$M100="Y",IFERROR(1*'Daily Workforce'!$P100&gt;=2,FALSE()))))),1,0)</f>
        <v>1</v>
      </c>
      <c r="DH12" s="1" t="n">
        <f aca="false">IF(AND('Daily Workforce'!$N101="Y",'Daily Workforce'!$B101&lt;&gt;"",COUNTIF('Daily Schedule'!$F$5:$F15,'Daily Workforce'!$B101)=0,IF('Daily Schedule'!$A16=45,'Daily Workforce'!$J101="Y",IF(OR('Daily Schedule'!$A16=4,'Daily Schedule'!$A16=8),IF(OR(WEEKDAY('Daily Schedule'!$B$2,2)=1,WEEKDAY('Daily Schedule'!$B$2,2)=4,WEEKDAY('Daily Schedule'!$B$2,2)=5,WEEKDAY('Daily Schedule'!$B$2,2)=7),IFERROR(1*'Daily Workforce'!$K101&gt;=3,FALSE()),IFERROR(1*'Daily Workforce'!$K101&gt;=2,FALSE())),IF(AND('Daily Schedule'!$A16&gt;=46,'Daily Schedule'!$A16&lt;=52),'Daily Workforce'!$M101="Y",IFERROR(1*'Daily Workforce'!$P101&gt;=2,FALSE()))))),1,0)</f>
        <v>1</v>
      </c>
      <c r="DI12" s="1" t="n">
        <f aca="false">IF(AND('Daily Workforce'!$N102="Y",'Daily Workforce'!$B102&lt;&gt;"",COUNTIF('Daily Schedule'!$F$5:$F15,'Daily Workforce'!$B102)=0,IF('Daily Schedule'!$A16=45,'Daily Workforce'!$J102="Y",IF(OR('Daily Schedule'!$A16=4,'Daily Schedule'!$A16=8),IF(OR(WEEKDAY('Daily Schedule'!$B$2,2)=1,WEEKDAY('Daily Schedule'!$B$2,2)=4,WEEKDAY('Daily Schedule'!$B$2,2)=5,WEEKDAY('Daily Schedule'!$B$2,2)=7),IFERROR(1*'Daily Workforce'!$K102&gt;=3,FALSE()),IFERROR(1*'Daily Workforce'!$K102&gt;=2,FALSE())),IF(AND('Daily Schedule'!$A16&gt;=46,'Daily Schedule'!$A16&lt;=52),'Daily Workforce'!$M102="Y",IFERROR(1*'Daily Workforce'!$P102&gt;=2,FALSE()))))),1,0)</f>
        <v>1</v>
      </c>
      <c r="DJ12" s="1" t="n">
        <f aca="false">IF(AND('Daily Workforce'!$N103="Y",'Daily Workforce'!$B103&lt;&gt;"",COUNTIF('Daily Schedule'!$F$5:$F15,'Daily Workforce'!$B103)=0,IF('Daily Schedule'!$A16=45,'Daily Workforce'!$J103="Y",IF(OR('Daily Schedule'!$A16=4,'Daily Schedule'!$A16=8),IF(OR(WEEKDAY('Daily Schedule'!$B$2,2)=1,WEEKDAY('Daily Schedule'!$B$2,2)=4,WEEKDAY('Daily Schedule'!$B$2,2)=5,WEEKDAY('Daily Schedule'!$B$2,2)=7),IFERROR(1*'Daily Workforce'!$K103&gt;=3,FALSE()),IFERROR(1*'Daily Workforce'!$K103&gt;=2,FALSE())),IF(AND('Daily Schedule'!$A16&gt;=46,'Daily Schedule'!$A16&lt;=52),'Daily Workforce'!$M103="Y",IFERROR(1*'Daily Workforce'!$P103&gt;=2,FALSE()))))),1,0)</f>
        <v>1</v>
      </c>
      <c r="DK12" s="1" t="n">
        <f aca="false">IF(AND('Daily Workforce'!$N104="Y",'Daily Workforce'!$B104&lt;&gt;"",COUNTIF('Daily Schedule'!$F$5:$F15,'Daily Workforce'!$B104)=0,IF('Daily Schedule'!$A16=45,'Daily Workforce'!$J104="Y",IF(OR('Daily Schedule'!$A16=4,'Daily Schedule'!$A16=8),IF(OR(WEEKDAY('Daily Schedule'!$B$2,2)=1,WEEKDAY('Daily Schedule'!$B$2,2)=4,WEEKDAY('Daily Schedule'!$B$2,2)=5,WEEKDAY('Daily Schedule'!$B$2,2)=7),IFERROR(1*'Daily Workforce'!$K104&gt;=3,FALSE()),IFERROR(1*'Daily Workforce'!$K104&gt;=2,FALSE())),IF(AND('Daily Schedule'!$A16&gt;=46,'Daily Schedule'!$A16&lt;=52),'Daily Workforce'!$M104="Y",IFERROR(1*'Daily Workforce'!$P104&gt;=2,FALSE()))))),1,0)</f>
        <v>1</v>
      </c>
      <c r="DL12" s="1" t="n">
        <f aca="false">IF(AND('Daily Workforce'!$N105="Y",'Daily Workforce'!$B105&lt;&gt;"",COUNTIF('Daily Schedule'!$F$5:$F15,'Daily Workforce'!$B105)=0,IF('Daily Schedule'!$A16=45,'Daily Workforce'!$J105="Y",IF(OR('Daily Schedule'!$A16=4,'Daily Schedule'!$A16=8),IF(OR(WEEKDAY('Daily Schedule'!$B$2,2)=1,WEEKDAY('Daily Schedule'!$B$2,2)=4,WEEKDAY('Daily Schedule'!$B$2,2)=5,WEEKDAY('Daily Schedule'!$B$2,2)=7),IFERROR(1*'Daily Workforce'!$K105&gt;=3,FALSE()),IFERROR(1*'Daily Workforce'!$K105&gt;=2,FALSE())),IF(AND('Daily Schedule'!$A16&gt;=46,'Daily Schedule'!$A16&lt;=52),'Daily Workforce'!$M105="Y",IFERROR(1*'Daily Workforce'!$P105&gt;=2,FALSE()))))),1,0)</f>
        <v>0</v>
      </c>
      <c r="DM12" s="1" t="n">
        <f aca="false">IF(AND('Daily Workforce'!$N106="Y",'Daily Workforce'!$B106&lt;&gt;"",COUNTIF('Daily Schedule'!$F$5:$F15,'Daily Workforce'!$B106)=0,IF('Daily Schedule'!$A16=45,'Daily Workforce'!$J106="Y",IF(OR('Daily Schedule'!$A16=4,'Daily Schedule'!$A16=8),IF(OR(WEEKDAY('Daily Schedule'!$B$2,2)=1,WEEKDAY('Daily Schedule'!$B$2,2)=4,WEEKDAY('Daily Schedule'!$B$2,2)=5,WEEKDAY('Daily Schedule'!$B$2,2)=7),IFERROR(1*'Daily Workforce'!$K106&gt;=3,FALSE()),IFERROR(1*'Daily Workforce'!$K106&gt;=2,FALSE())),IF(AND('Daily Schedule'!$A16&gt;=46,'Daily Schedule'!$A16&lt;=52),'Daily Workforce'!$M106="Y",IFERROR(1*'Daily Workforce'!$P106&gt;=2,FALSE()))))),1,0)</f>
        <v>1</v>
      </c>
      <c r="DN12" s="1" t="n">
        <f aca="false">IF(AND('Daily Workforce'!$N107="Y",'Daily Workforce'!$B107&lt;&gt;"",COUNTIF('Daily Schedule'!$F$5:$F15,'Daily Workforce'!$B107)=0,IF('Daily Schedule'!$A16=45,'Daily Workforce'!$J107="Y",IF(OR('Daily Schedule'!$A16=4,'Daily Schedule'!$A16=8),IF(OR(WEEKDAY('Daily Schedule'!$B$2,2)=1,WEEKDAY('Daily Schedule'!$B$2,2)=4,WEEKDAY('Daily Schedule'!$B$2,2)=5,WEEKDAY('Daily Schedule'!$B$2,2)=7),IFERROR(1*'Daily Workforce'!$K107&gt;=3,FALSE()),IFERROR(1*'Daily Workforce'!$K107&gt;=2,FALSE())),IF(AND('Daily Schedule'!$A16&gt;=46,'Daily Schedule'!$A16&lt;=52),'Daily Workforce'!$M107="Y",IFERROR(1*'Daily Workforce'!$P107&gt;=2,FALSE()))))),1,0)</f>
        <v>1</v>
      </c>
      <c r="DO12" s="1" t="n">
        <f aca="false">IF(AND('Daily Workforce'!$N108="Y",'Daily Workforce'!$B108&lt;&gt;"",COUNTIF('Daily Schedule'!$F$5:$F15,'Daily Workforce'!$B108)=0,IF('Daily Schedule'!$A16=45,'Daily Workforce'!$J108="Y",IF(OR('Daily Schedule'!$A16=4,'Daily Schedule'!$A16=8),IF(OR(WEEKDAY('Daily Schedule'!$B$2,2)=1,WEEKDAY('Daily Schedule'!$B$2,2)=4,WEEKDAY('Daily Schedule'!$B$2,2)=5,WEEKDAY('Daily Schedule'!$B$2,2)=7),IFERROR(1*'Daily Workforce'!$K108&gt;=3,FALSE()),IFERROR(1*'Daily Workforce'!$K108&gt;=2,FALSE())),IF(AND('Daily Schedule'!$A16&gt;=46,'Daily Schedule'!$A16&lt;=52),'Daily Workforce'!$M108="Y",IFERROR(1*'Daily Workforce'!$P108&gt;=2,FALSE()))))),1,0)</f>
        <v>1</v>
      </c>
      <c r="DP12" s="1" t="n">
        <f aca="false">IF(AND('Daily Workforce'!$N109="Y",'Daily Workforce'!$B109&lt;&gt;"",COUNTIF('Daily Schedule'!$F$5:$F15,'Daily Workforce'!$B109)=0,IF('Daily Schedule'!$A16=45,'Daily Workforce'!$J109="Y",IF(OR('Daily Schedule'!$A16=4,'Daily Schedule'!$A16=8),IF(OR(WEEKDAY('Daily Schedule'!$B$2,2)=1,WEEKDAY('Daily Schedule'!$B$2,2)=4,WEEKDAY('Daily Schedule'!$B$2,2)=5,WEEKDAY('Daily Schedule'!$B$2,2)=7),IFERROR(1*'Daily Workforce'!$K109&gt;=3,FALSE()),IFERROR(1*'Daily Workforce'!$K109&gt;=2,FALSE())),IF(AND('Daily Schedule'!$A16&gt;=46,'Daily Schedule'!$A16&lt;=52),'Daily Workforce'!$M109="Y",IFERROR(1*'Daily Workforce'!$P109&gt;=2,FALSE()))))),1,0)</f>
        <v>1</v>
      </c>
      <c r="DQ12" s="1" t="n">
        <f aca="false">IF(AND('Daily Workforce'!$N110="Y",'Daily Workforce'!$B110&lt;&gt;"",COUNTIF('Daily Schedule'!$F$5:$F15,'Daily Workforce'!$B110)=0,IF('Daily Schedule'!$A16=45,'Daily Workforce'!$J110="Y",IF(OR('Daily Schedule'!$A16=4,'Daily Schedule'!$A16=8),IF(OR(WEEKDAY('Daily Schedule'!$B$2,2)=1,WEEKDAY('Daily Schedule'!$B$2,2)=4,WEEKDAY('Daily Schedule'!$B$2,2)=5,WEEKDAY('Daily Schedule'!$B$2,2)=7),IFERROR(1*'Daily Workforce'!$K110&gt;=3,FALSE()),IFERROR(1*'Daily Workforce'!$K110&gt;=2,FALSE())),IF(AND('Daily Schedule'!$A16&gt;=46,'Daily Schedule'!$A16&lt;=52),'Daily Workforce'!$M110="Y",IFERROR(1*'Daily Workforce'!$P110&gt;=2,FALSE()))))),1,0)</f>
        <v>1</v>
      </c>
      <c r="DR12" s="1" t="n">
        <f aca="false">IF(AND('Daily Workforce'!$N111="Y",'Daily Workforce'!$B111&lt;&gt;"",COUNTIF('Daily Schedule'!$F$5:$F15,'Daily Workforce'!$B111)=0,IF('Daily Schedule'!$A16=45,'Daily Workforce'!$J111="Y",IF(OR('Daily Schedule'!$A16=4,'Daily Schedule'!$A16=8),IF(OR(WEEKDAY('Daily Schedule'!$B$2,2)=1,WEEKDAY('Daily Schedule'!$B$2,2)=4,WEEKDAY('Daily Schedule'!$B$2,2)=5,WEEKDAY('Daily Schedule'!$B$2,2)=7),IFERROR(1*'Daily Workforce'!$K111&gt;=3,FALSE()),IFERROR(1*'Daily Workforce'!$K111&gt;=2,FALSE())),IF(AND('Daily Schedule'!$A16&gt;=46,'Daily Schedule'!$A16&lt;=52),'Daily Workforce'!$M111="Y",IFERROR(1*'Daily Workforce'!$P111&gt;=2,FALSE()))))),1,0)</f>
        <v>1</v>
      </c>
      <c r="DS12" s="1" t="n">
        <f aca="false">IF(AND('Daily Workforce'!$N112="Y",'Daily Workforce'!$B112&lt;&gt;"",COUNTIF('Daily Schedule'!$F$5:$F15,'Daily Workforce'!$B112)=0,IF('Daily Schedule'!$A16=45,'Daily Workforce'!$J112="Y",IF(OR('Daily Schedule'!$A16=4,'Daily Schedule'!$A16=8),IF(OR(WEEKDAY('Daily Schedule'!$B$2,2)=1,WEEKDAY('Daily Schedule'!$B$2,2)=4,WEEKDAY('Daily Schedule'!$B$2,2)=5,WEEKDAY('Daily Schedule'!$B$2,2)=7),IFERROR(1*'Daily Workforce'!$K112&gt;=3,FALSE()),IFERROR(1*'Daily Workforce'!$K112&gt;=2,FALSE())),IF(AND('Daily Schedule'!$A16&gt;=46,'Daily Schedule'!$A16&lt;=52),'Daily Workforce'!$M112="Y",IFERROR(1*'Daily Workforce'!$P112&gt;=2,FALSE()))))),1,0)</f>
        <v>1</v>
      </c>
      <c r="DT12" s="1" t="n">
        <f aca="false">IF(AND('Daily Workforce'!$N113="Y",'Daily Workforce'!$B113&lt;&gt;"",COUNTIF('Daily Schedule'!$F$5:$F15,'Daily Workforce'!$B113)=0,IF('Daily Schedule'!$A16=45,'Daily Workforce'!$J113="Y",IF(OR('Daily Schedule'!$A16=4,'Daily Schedule'!$A16=8),IF(OR(WEEKDAY('Daily Schedule'!$B$2,2)=1,WEEKDAY('Daily Schedule'!$B$2,2)=4,WEEKDAY('Daily Schedule'!$B$2,2)=5,WEEKDAY('Daily Schedule'!$B$2,2)=7),IFERROR(1*'Daily Workforce'!$K113&gt;=3,FALSE()),IFERROR(1*'Daily Workforce'!$K113&gt;=2,FALSE())),IF(AND('Daily Schedule'!$A16&gt;=46,'Daily Schedule'!$A16&lt;=52),'Daily Workforce'!$M113="Y",IFERROR(1*'Daily Workforce'!$P113&gt;=2,FALSE()))))),1,0)</f>
        <v>1</v>
      </c>
      <c r="DU12" s="1" t="n">
        <f aca="false">IF(AND('Daily Workforce'!$N114="Y",'Daily Workforce'!$B114&lt;&gt;"",COUNTIF('Daily Schedule'!$F$5:$F15,'Daily Workforce'!$B114)=0,IF('Daily Schedule'!$A16=45,'Daily Workforce'!$J114="Y",IF(OR('Daily Schedule'!$A16=4,'Daily Schedule'!$A16=8),IF(OR(WEEKDAY('Daily Schedule'!$B$2,2)=1,WEEKDAY('Daily Schedule'!$B$2,2)=4,WEEKDAY('Daily Schedule'!$B$2,2)=5,WEEKDAY('Daily Schedule'!$B$2,2)=7),IFERROR(1*'Daily Workforce'!$K114&gt;=3,FALSE()),IFERROR(1*'Daily Workforce'!$K114&gt;=2,FALSE())),IF(AND('Daily Schedule'!$A16&gt;=46,'Daily Schedule'!$A16&lt;=52),'Daily Workforce'!$M114="Y",IFERROR(1*'Daily Workforce'!$P114&gt;=2,FALSE()))))),1,0)</f>
        <v>1</v>
      </c>
      <c r="DV12" s="1" t="n">
        <f aca="false">IF(AND('Daily Workforce'!$N115="Y",'Daily Workforce'!$B115&lt;&gt;"",COUNTIF('Daily Schedule'!$F$5:$F15,'Daily Workforce'!$B115)=0,IF('Daily Schedule'!$A16=45,'Daily Workforce'!$J115="Y",IF(OR('Daily Schedule'!$A16=4,'Daily Schedule'!$A16=8),IF(OR(WEEKDAY('Daily Schedule'!$B$2,2)=1,WEEKDAY('Daily Schedule'!$B$2,2)=4,WEEKDAY('Daily Schedule'!$B$2,2)=5,WEEKDAY('Daily Schedule'!$B$2,2)=7),IFERROR(1*'Daily Workforce'!$K115&gt;=3,FALSE()),IFERROR(1*'Daily Workforce'!$K115&gt;=2,FALSE())),IF(AND('Daily Schedule'!$A16&gt;=46,'Daily Schedule'!$A16&lt;=52),'Daily Workforce'!$M115="Y",IFERROR(1*'Daily Workforce'!$P115&gt;=2,FALSE()))))),1,0)</f>
        <v>1</v>
      </c>
      <c r="DW12" s="1" t="n">
        <f aca="false">IF(AND('Daily Workforce'!$N116="Y",'Daily Workforce'!$B116&lt;&gt;"",COUNTIF('Daily Schedule'!$F$5:$F15,'Daily Workforce'!$B116)=0,IF('Daily Schedule'!$A16=45,'Daily Workforce'!$J116="Y",IF(OR('Daily Schedule'!$A16=4,'Daily Schedule'!$A16=8),IF(OR(WEEKDAY('Daily Schedule'!$B$2,2)=1,WEEKDAY('Daily Schedule'!$B$2,2)=4,WEEKDAY('Daily Schedule'!$B$2,2)=5,WEEKDAY('Daily Schedule'!$B$2,2)=7),IFERROR(1*'Daily Workforce'!$K116&gt;=3,FALSE()),IFERROR(1*'Daily Workforce'!$K116&gt;=2,FALSE())),IF(AND('Daily Schedule'!$A16&gt;=46,'Daily Schedule'!$A16&lt;=52),'Daily Workforce'!$M116="Y",IFERROR(1*'Daily Workforce'!$P116&gt;=2,FALSE()))))),1,0)</f>
        <v>1</v>
      </c>
      <c r="DX12" s="1" t="n">
        <f aca="false">IF(AND('Daily Workforce'!$N117="Y",'Daily Workforce'!$B117&lt;&gt;"",COUNTIF('Daily Schedule'!$F$5:$F15,'Daily Workforce'!$B117)=0,IF('Daily Schedule'!$A16=45,'Daily Workforce'!$J117="Y",IF(OR('Daily Schedule'!$A16=4,'Daily Schedule'!$A16=8),IF(OR(WEEKDAY('Daily Schedule'!$B$2,2)=1,WEEKDAY('Daily Schedule'!$B$2,2)=4,WEEKDAY('Daily Schedule'!$B$2,2)=5,WEEKDAY('Daily Schedule'!$B$2,2)=7),IFERROR(1*'Daily Workforce'!$K117&gt;=3,FALSE()),IFERROR(1*'Daily Workforce'!$K117&gt;=2,FALSE())),IF(AND('Daily Schedule'!$A16&gt;=46,'Daily Schedule'!$A16&lt;=52),'Daily Workforce'!$M117="Y",IFERROR(1*'Daily Workforce'!$P117&gt;=2,FALSE()))))),1,0)</f>
        <v>1</v>
      </c>
      <c r="DY12" s="1" t="n">
        <f aca="false">IF(AND('Daily Workforce'!$N118="Y",'Daily Workforce'!$B118&lt;&gt;"",COUNTIF('Daily Schedule'!$F$5:$F15,'Daily Workforce'!$B118)=0,IF('Daily Schedule'!$A16=45,'Daily Workforce'!$J118="Y",IF(OR('Daily Schedule'!$A16=4,'Daily Schedule'!$A16=8),IF(OR(WEEKDAY('Daily Schedule'!$B$2,2)=1,WEEKDAY('Daily Schedule'!$B$2,2)=4,WEEKDAY('Daily Schedule'!$B$2,2)=5,WEEKDAY('Daily Schedule'!$B$2,2)=7),IFERROR(1*'Daily Workforce'!$K118&gt;=3,FALSE()),IFERROR(1*'Daily Workforce'!$K118&gt;=2,FALSE())),IF(AND('Daily Schedule'!$A16&gt;=46,'Daily Schedule'!$A16&lt;=52),'Daily Workforce'!$M118="Y",IFERROR(1*'Daily Workforce'!$P118&gt;=2,FALSE()))))),1,0)</f>
        <v>0</v>
      </c>
      <c r="DZ12" s="1" t="n">
        <f aca="false">IF(AND('Daily Workforce'!$N119="Y",'Daily Workforce'!$B119&lt;&gt;"",COUNTIF('Daily Schedule'!$F$5:$F15,'Daily Workforce'!$B119)=0,IF('Daily Schedule'!$A16=45,'Daily Workforce'!$J119="Y",IF(OR('Daily Schedule'!$A16=4,'Daily Schedule'!$A16=8),IF(OR(WEEKDAY('Daily Schedule'!$B$2,2)=1,WEEKDAY('Daily Schedule'!$B$2,2)=4,WEEKDAY('Daily Schedule'!$B$2,2)=5,WEEKDAY('Daily Schedule'!$B$2,2)=7),IFERROR(1*'Daily Workforce'!$K119&gt;=3,FALSE()),IFERROR(1*'Daily Workforce'!$K119&gt;=2,FALSE())),IF(AND('Daily Schedule'!$A16&gt;=46,'Daily Schedule'!$A16&lt;=52),'Daily Workforce'!$M119="Y",IFERROR(1*'Daily Workforce'!$P119&gt;=2,FALSE()))))),1,0)</f>
        <v>0</v>
      </c>
      <c r="EA12" s="1" t="n">
        <f aca="false">IF(AND('Daily Workforce'!$N120="Y",'Daily Workforce'!$B120&lt;&gt;"",COUNTIF('Daily Schedule'!$F$5:$F15,'Daily Workforce'!$B120)=0,IF('Daily Schedule'!$A16=45,'Daily Workforce'!$J120="Y",IF(OR('Daily Schedule'!$A16=4,'Daily Schedule'!$A16=8),IF(OR(WEEKDAY('Daily Schedule'!$B$2,2)=1,WEEKDAY('Daily Schedule'!$B$2,2)=4,WEEKDAY('Daily Schedule'!$B$2,2)=5,WEEKDAY('Daily Schedule'!$B$2,2)=7),IFERROR(1*'Daily Workforce'!$K120&gt;=3,FALSE()),IFERROR(1*'Daily Workforce'!$K120&gt;=2,FALSE())),IF(AND('Daily Schedule'!$A16&gt;=46,'Daily Schedule'!$A16&lt;=52),'Daily Workforce'!$M120="Y",IFERROR(1*'Daily Workforce'!$P120&gt;=2,FALSE()))))),1,0)</f>
        <v>0</v>
      </c>
      <c r="EB12" s="1" t="n">
        <f aca="false">IF(AND('Daily Workforce'!$N121="Y",'Daily Workforce'!$B121&lt;&gt;"",COUNTIF('Daily Schedule'!$F$5:$F15,'Daily Workforce'!$B121)=0,IF('Daily Schedule'!$A16=45,'Daily Workforce'!$J121="Y",IF(OR('Daily Schedule'!$A16=4,'Daily Schedule'!$A16=8),IF(OR(WEEKDAY('Daily Schedule'!$B$2,2)=1,WEEKDAY('Daily Schedule'!$B$2,2)=4,WEEKDAY('Daily Schedule'!$B$2,2)=5,WEEKDAY('Daily Schedule'!$B$2,2)=7),IFERROR(1*'Daily Workforce'!$K121&gt;=3,FALSE()),IFERROR(1*'Daily Workforce'!$K121&gt;=2,FALSE())),IF(AND('Daily Schedule'!$A16&gt;=46,'Daily Schedule'!$A16&lt;=52),'Daily Workforce'!$M121="Y",IFERROR(1*'Daily Workforce'!$P121&gt;=2,FALSE()))))),1,0)</f>
        <v>0</v>
      </c>
      <c r="EC12" s="1" t="n">
        <f aca="false">IF(AND('Daily Workforce'!$N122="Y",'Daily Workforce'!$B122&lt;&gt;"",COUNTIF('Daily Schedule'!$F$5:$F15,'Daily Workforce'!$B122)=0,IF('Daily Schedule'!$A16=45,'Daily Workforce'!$J122="Y",IF(OR('Daily Schedule'!$A16=4,'Daily Schedule'!$A16=8),IF(OR(WEEKDAY('Daily Schedule'!$B$2,2)=1,WEEKDAY('Daily Schedule'!$B$2,2)=4,WEEKDAY('Daily Schedule'!$B$2,2)=5,WEEKDAY('Daily Schedule'!$B$2,2)=7),IFERROR(1*'Daily Workforce'!$K122&gt;=3,FALSE()),IFERROR(1*'Daily Workforce'!$K122&gt;=2,FALSE())),IF(AND('Daily Schedule'!$A16&gt;=46,'Daily Schedule'!$A16&lt;=52),'Daily Workforce'!$M122="Y",IFERROR(1*'Daily Workforce'!$P122&gt;=2,FALSE()))))),1,0)</f>
        <v>0</v>
      </c>
      <c r="ED12" s="1" t="n">
        <f aca="false">IF(AND('Daily Workforce'!$N123="Y",'Daily Workforce'!$B123&lt;&gt;"",COUNTIF('Daily Schedule'!$F$5:$F15,'Daily Workforce'!$B123)=0,IF('Daily Schedule'!$A16=45,'Daily Workforce'!$J123="Y",IF(OR('Daily Schedule'!$A16=4,'Daily Schedule'!$A16=8),IF(OR(WEEKDAY('Daily Schedule'!$B$2,2)=1,WEEKDAY('Daily Schedule'!$B$2,2)=4,WEEKDAY('Daily Schedule'!$B$2,2)=5,WEEKDAY('Daily Schedule'!$B$2,2)=7),IFERROR(1*'Daily Workforce'!$K123&gt;=3,FALSE()),IFERROR(1*'Daily Workforce'!$K123&gt;=2,FALSE())),IF(AND('Daily Schedule'!$A16&gt;=46,'Daily Schedule'!$A16&lt;=52),'Daily Workforce'!$M123="Y",IFERROR(1*'Daily Workforce'!$P123&gt;=2,FALSE()))))),1,0)</f>
        <v>0</v>
      </c>
      <c r="EE12" s="1" t="n">
        <f aca="false">IF(AND('Daily Workforce'!$N124="Y",'Daily Workforce'!$B124&lt;&gt;"",COUNTIF('Daily Schedule'!$F$5:$F15,'Daily Workforce'!$B124)=0,IF('Daily Schedule'!$A16=45,'Daily Workforce'!$J124="Y",IF(OR('Daily Schedule'!$A16=4,'Daily Schedule'!$A16=8),IF(OR(WEEKDAY('Daily Schedule'!$B$2,2)=1,WEEKDAY('Daily Schedule'!$B$2,2)=4,WEEKDAY('Daily Schedule'!$B$2,2)=5,WEEKDAY('Daily Schedule'!$B$2,2)=7),IFERROR(1*'Daily Workforce'!$K124&gt;=3,FALSE()),IFERROR(1*'Daily Workforce'!$K124&gt;=2,FALSE())),IF(AND('Daily Schedule'!$A16&gt;=46,'Daily Schedule'!$A16&lt;=52),'Daily Workforce'!$M124="Y",IFERROR(1*'Daily Workforce'!$P124&gt;=2,FALSE()))))),1,0)</f>
        <v>0</v>
      </c>
      <c r="EF12" s="1" t="n">
        <f aca="false">IF(AND('Daily Workforce'!$N125="Y",'Daily Workforce'!$B125&lt;&gt;"",COUNTIF('Daily Schedule'!$F$5:$F15,'Daily Workforce'!$B125)=0,IF('Daily Schedule'!$A16=45,'Daily Workforce'!$J125="Y",IF(OR('Daily Schedule'!$A16=4,'Daily Schedule'!$A16=8),IF(OR(WEEKDAY('Daily Schedule'!$B$2,2)=1,WEEKDAY('Daily Schedule'!$B$2,2)=4,WEEKDAY('Daily Schedule'!$B$2,2)=5,WEEKDAY('Daily Schedule'!$B$2,2)=7),IFERROR(1*'Daily Workforce'!$K125&gt;=3,FALSE()),IFERROR(1*'Daily Workforce'!$K125&gt;=2,FALSE())),IF(AND('Daily Schedule'!$A16&gt;=46,'Daily Schedule'!$A16&lt;=52),'Daily Workforce'!$M125="Y",IFERROR(1*'Daily Workforce'!$P125&gt;=2,FALSE()))))),1,0)</f>
        <v>0</v>
      </c>
      <c r="EG12" s="1" t="n">
        <f aca="false">IF(AND('Daily Workforce'!$N126="Y",'Daily Workforce'!$B126&lt;&gt;"",COUNTIF('Daily Schedule'!$F$5:$F15,'Daily Workforce'!$B126)=0,IF('Daily Schedule'!$A16=45,'Daily Workforce'!$J126="Y",IF(OR('Daily Schedule'!$A16=4,'Daily Schedule'!$A16=8),IF(OR(WEEKDAY('Daily Schedule'!$B$2,2)=1,WEEKDAY('Daily Schedule'!$B$2,2)=4,WEEKDAY('Daily Schedule'!$B$2,2)=5,WEEKDAY('Daily Schedule'!$B$2,2)=7),IFERROR(1*'Daily Workforce'!$K126&gt;=3,FALSE()),IFERROR(1*'Daily Workforce'!$K126&gt;=2,FALSE())),IF(AND('Daily Schedule'!$A16&gt;=46,'Daily Schedule'!$A16&lt;=52),'Daily Workforce'!$M126="Y",IFERROR(1*'Daily Workforce'!$P126&gt;=2,FALSE()))))),1,0)</f>
        <v>0</v>
      </c>
      <c r="EH12" s="1" t="n">
        <f aca="false">IF(AND('Daily Workforce'!$N127="Y",'Daily Workforce'!$B127&lt;&gt;"",COUNTIF('Daily Schedule'!$F$5:$F15,'Daily Workforce'!$B127)=0,IF('Daily Schedule'!$A16=45,'Daily Workforce'!$J127="Y",IF(OR('Daily Schedule'!$A16=4,'Daily Schedule'!$A16=8),IF(OR(WEEKDAY('Daily Schedule'!$B$2,2)=1,WEEKDAY('Daily Schedule'!$B$2,2)=4,WEEKDAY('Daily Schedule'!$B$2,2)=5,WEEKDAY('Daily Schedule'!$B$2,2)=7),IFERROR(1*'Daily Workforce'!$K127&gt;=3,FALSE()),IFERROR(1*'Daily Workforce'!$K127&gt;=2,FALSE())),IF(AND('Daily Schedule'!$A16&gt;=46,'Daily Schedule'!$A16&lt;=52),'Daily Workforce'!$M127="Y",IFERROR(1*'Daily Workforce'!$P127&gt;=2,FALSE()))))),1,0)</f>
        <v>0</v>
      </c>
      <c r="EI12" s="1" t="n">
        <f aca="false">IF(AND('Daily Workforce'!$N128="Y",'Daily Workforce'!$B128&lt;&gt;"",COUNTIF('Daily Schedule'!$F$5:$F15,'Daily Workforce'!$B128)=0,IF('Daily Schedule'!$A16=45,'Daily Workforce'!$J128="Y",IF(OR('Daily Schedule'!$A16=4,'Daily Schedule'!$A16=8),IF(OR(WEEKDAY('Daily Schedule'!$B$2,2)=1,WEEKDAY('Daily Schedule'!$B$2,2)=4,WEEKDAY('Daily Schedule'!$B$2,2)=5,WEEKDAY('Daily Schedule'!$B$2,2)=7),IFERROR(1*'Daily Workforce'!$K128&gt;=3,FALSE()),IFERROR(1*'Daily Workforce'!$K128&gt;=2,FALSE())),IF(AND('Daily Schedule'!$A16&gt;=46,'Daily Schedule'!$A16&lt;=52),'Daily Workforce'!$M128="Y",IFERROR(1*'Daily Workforce'!$P128&gt;=2,FALSE()))))),1,0)</f>
        <v>0</v>
      </c>
      <c r="EJ12" s="1" t="n">
        <f aca="false">IF(AND('Daily Workforce'!$N129="Y",'Daily Workforce'!$B129&lt;&gt;"",COUNTIF('Daily Schedule'!$F$5:$F15,'Daily Workforce'!$B129)=0,IF('Daily Schedule'!$A16=45,'Daily Workforce'!$J129="Y",IF(OR('Daily Schedule'!$A16=4,'Daily Schedule'!$A16=8),IF(OR(WEEKDAY('Daily Schedule'!$B$2,2)=1,WEEKDAY('Daily Schedule'!$B$2,2)=4,WEEKDAY('Daily Schedule'!$B$2,2)=5,WEEKDAY('Daily Schedule'!$B$2,2)=7),IFERROR(1*'Daily Workforce'!$K129&gt;=3,FALSE()),IFERROR(1*'Daily Workforce'!$K129&gt;=2,FALSE())),IF(AND('Daily Schedule'!$A16&gt;=46,'Daily Schedule'!$A16&lt;=52),'Daily Workforce'!$M129="Y",IFERROR(1*'Daily Workforce'!$P129&gt;=2,FALSE()))))),1,0)</f>
        <v>0</v>
      </c>
      <c r="EK12" s="1" t="n">
        <f aca="false">IF(AND('Daily Workforce'!$N130="Y",'Daily Workforce'!$B130&lt;&gt;"",COUNTIF('Daily Schedule'!$F$5:$F15,'Daily Workforce'!$B130)=0,IF('Daily Schedule'!$A16=45,'Daily Workforce'!$J130="Y",IF(OR('Daily Schedule'!$A16=4,'Daily Schedule'!$A16=8),IF(OR(WEEKDAY('Daily Schedule'!$B$2,2)=1,WEEKDAY('Daily Schedule'!$B$2,2)=4,WEEKDAY('Daily Schedule'!$B$2,2)=5,WEEKDAY('Daily Schedule'!$B$2,2)=7),IFERROR(1*'Daily Workforce'!$K130&gt;=3,FALSE()),IFERROR(1*'Daily Workforce'!$K130&gt;=2,FALSE())),IF(AND('Daily Schedule'!$A16&gt;=46,'Daily Schedule'!$A16&lt;=52),'Daily Workforce'!$M130="Y",IFERROR(1*'Daily Workforce'!$P130&gt;=2,FALSE()))))),1,0)</f>
        <v>0</v>
      </c>
      <c r="EL12" s="1" t="n">
        <f aca="false">IF(AND('Daily Workforce'!$N131="Y",'Daily Workforce'!$B131&lt;&gt;"",COUNTIF('Daily Schedule'!$F$5:$F15,'Daily Workforce'!$B131)=0,IF('Daily Schedule'!$A16=45,'Daily Workforce'!$J131="Y",IF(OR('Daily Schedule'!$A16=4,'Daily Schedule'!$A16=8),IF(OR(WEEKDAY('Daily Schedule'!$B$2,2)=1,WEEKDAY('Daily Schedule'!$B$2,2)=4,WEEKDAY('Daily Schedule'!$B$2,2)=5,WEEKDAY('Daily Schedule'!$B$2,2)=7),IFERROR(1*'Daily Workforce'!$K131&gt;=3,FALSE()),IFERROR(1*'Daily Workforce'!$K131&gt;=2,FALSE())),IF(AND('Daily Schedule'!$A16&gt;=46,'Daily Schedule'!$A16&lt;=52),'Daily Workforce'!$M131="Y",IFERROR(1*'Daily Workforce'!$P131&gt;=2,FALSE()))))),1,0)</f>
        <v>0</v>
      </c>
      <c r="EM12" s="1" t="n">
        <f aca="false">IF(AND('Daily Workforce'!$N132="Y",'Daily Workforce'!$B132&lt;&gt;"",COUNTIF('Daily Schedule'!$F$5:$F15,'Daily Workforce'!$B132)=0,IF('Daily Schedule'!$A16=45,'Daily Workforce'!$J132="Y",IF(OR('Daily Schedule'!$A16=4,'Daily Schedule'!$A16=8),IF(OR(WEEKDAY('Daily Schedule'!$B$2,2)=1,WEEKDAY('Daily Schedule'!$B$2,2)=4,WEEKDAY('Daily Schedule'!$B$2,2)=5,WEEKDAY('Daily Schedule'!$B$2,2)=7),IFERROR(1*'Daily Workforce'!$K132&gt;=3,FALSE()),IFERROR(1*'Daily Workforce'!$K132&gt;=2,FALSE())),IF(AND('Daily Schedule'!$A16&gt;=46,'Daily Schedule'!$A16&lt;=52),'Daily Workforce'!$M132="Y",IFERROR(1*'Daily Workforce'!$P132&gt;=2,FALSE()))))),1,0)</f>
        <v>0</v>
      </c>
      <c r="EN12" s="1" t="n">
        <f aca="false">IF(AND('Daily Workforce'!$N133="Y",'Daily Workforce'!$B133&lt;&gt;"",COUNTIF('Daily Schedule'!$F$5:$F15,'Daily Workforce'!$B133)=0,IF('Daily Schedule'!$A16=45,'Daily Workforce'!$J133="Y",IF(OR('Daily Schedule'!$A16=4,'Daily Schedule'!$A16=8),IF(OR(WEEKDAY('Daily Schedule'!$B$2,2)=1,WEEKDAY('Daily Schedule'!$B$2,2)=4,WEEKDAY('Daily Schedule'!$B$2,2)=5,WEEKDAY('Daily Schedule'!$B$2,2)=7),IFERROR(1*'Daily Workforce'!$K133&gt;=3,FALSE()),IFERROR(1*'Daily Workforce'!$K133&gt;=2,FALSE())),IF(AND('Daily Schedule'!$A16&gt;=46,'Daily Schedule'!$A16&lt;=52),'Daily Workforce'!$M133="Y",IFERROR(1*'Daily Workforce'!$P133&gt;=2,FALSE()))))),1,0)</f>
        <v>0</v>
      </c>
      <c r="EO12" s="1" t="n">
        <f aca="false">IF(AND('Daily Workforce'!$N134="Y",'Daily Workforce'!$B134&lt;&gt;"",COUNTIF('Daily Schedule'!$F$5:$F15,'Daily Workforce'!$B134)=0,IF('Daily Schedule'!$A16=45,'Daily Workforce'!$J134="Y",IF(OR('Daily Schedule'!$A16=4,'Daily Schedule'!$A16=8),IF(OR(WEEKDAY('Daily Schedule'!$B$2,2)=1,WEEKDAY('Daily Schedule'!$B$2,2)=4,WEEKDAY('Daily Schedule'!$B$2,2)=5,WEEKDAY('Daily Schedule'!$B$2,2)=7),IFERROR(1*'Daily Workforce'!$K134&gt;=3,FALSE()),IFERROR(1*'Daily Workforce'!$K134&gt;=2,FALSE())),IF(AND('Daily Schedule'!$A16&gt;=46,'Daily Schedule'!$A16&lt;=52),'Daily Workforce'!$M134="Y",IFERROR(1*'Daily Workforce'!$P134&gt;=2,FALSE()))))),1,0)</f>
        <v>0</v>
      </c>
      <c r="EP12" s="1" t="n">
        <f aca="false">IF(AND('Daily Workforce'!$N135="Y",'Daily Workforce'!$B135&lt;&gt;"",COUNTIF('Daily Schedule'!$F$5:$F15,'Daily Workforce'!$B135)=0,IF('Daily Schedule'!$A16=45,'Daily Workforce'!$J135="Y",IF(OR('Daily Schedule'!$A16=4,'Daily Schedule'!$A16=8),IF(OR(WEEKDAY('Daily Schedule'!$B$2,2)=1,WEEKDAY('Daily Schedule'!$B$2,2)=4,WEEKDAY('Daily Schedule'!$B$2,2)=5,WEEKDAY('Daily Schedule'!$B$2,2)=7),IFERROR(1*'Daily Workforce'!$K135&gt;=3,FALSE()),IFERROR(1*'Daily Workforce'!$K135&gt;=2,FALSE())),IF(AND('Daily Schedule'!$A16&gt;=46,'Daily Schedule'!$A16&lt;=52),'Daily Workforce'!$M135="Y",IFERROR(1*'Daily Workforce'!$P135&gt;=2,FALSE()))))),1,0)</f>
        <v>0</v>
      </c>
      <c r="EQ12" s="1" t="n">
        <f aca="false">IF(AND('Daily Workforce'!$N136="Y",'Daily Workforce'!$B136&lt;&gt;"",COUNTIF('Daily Schedule'!$F$5:$F15,'Daily Workforce'!$B136)=0,IF('Daily Schedule'!$A16=45,'Daily Workforce'!$J136="Y",IF(OR('Daily Schedule'!$A16=4,'Daily Schedule'!$A16=8),IF(OR(WEEKDAY('Daily Schedule'!$B$2,2)=1,WEEKDAY('Daily Schedule'!$B$2,2)=4,WEEKDAY('Daily Schedule'!$B$2,2)=5,WEEKDAY('Daily Schedule'!$B$2,2)=7),IFERROR(1*'Daily Workforce'!$K136&gt;=3,FALSE()),IFERROR(1*'Daily Workforce'!$K136&gt;=2,FALSE())),IF(AND('Daily Schedule'!$A16&gt;=46,'Daily Schedule'!$A16&lt;=52),'Daily Workforce'!$M136="Y",IFERROR(1*'Daily Workforce'!$P136&gt;=2,FALSE()))))),1,0)</f>
        <v>0</v>
      </c>
      <c r="ER12" s="1" t="n">
        <f aca="false">IF(AND('Daily Workforce'!$N137="Y",'Daily Workforce'!$B137&lt;&gt;"",COUNTIF('Daily Schedule'!$F$5:$F15,'Daily Workforce'!$B137)=0,IF('Daily Schedule'!$A16=45,'Daily Workforce'!$J137="Y",IF(OR('Daily Schedule'!$A16=4,'Daily Schedule'!$A16=8),IF(OR(WEEKDAY('Daily Schedule'!$B$2,2)=1,WEEKDAY('Daily Schedule'!$B$2,2)=4,WEEKDAY('Daily Schedule'!$B$2,2)=5,WEEKDAY('Daily Schedule'!$B$2,2)=7),IFERROR(1*'Daily Workforce'!$K137&gt;=3,FALSE()),IFERROR(1*'Daily Workforce'!$K137&gt;=2,FALSE())),IF(AND('Daily Schedule'!$A16&gt;=46,'Daily Schedule'!$A16&lt;=52),'Daily Workforce'!$M137="Y",IFERROR(1*'Daily Workforce'!$P137&gt;=2,FALSE()))))),1,0)</f>
        <v>0</v>
      </c>
      <c r="ES12" s="1" t="n">
        <f aca="false">IF(AND('Daily Workforce'!$N138="Y",'Daily Workforce'!$B138&lt;&gt;"",COUNTIF('Daily Schedule'!$F$5:$F15,'Daily Workforce'!$B138)=0,IF('Daily Schedule'!$A16=45,'Daily Workforce'!$J138="Y",IF(OR('Daily Schedule'!$A16=4,'Daily Schedule'!$A16=8),IF(OR(WEEKDAY('Daily Schedule'!$B$2,2)=1,WEEKDAY('Daily Schedule'!$B$2,2)=4,WEEKDAY('Daily Schedule'!$B$2,2)=5,WEEKDAY('Daily Schedule'!$B$2,2)=7),IFERROR(1*'Daily Workforce'!$K138&gt;=3,FALSE()),IFERROR(1*'Daily Workforce'!$K138&gt;=2,FALSE())),IF(AND('Daily Schedule'!$A16&gt;=46,'Daily Schedule'!$A16&lt;=52),'Daily Workforce'!$M138="Y",IFERROR(1*'Daily Workforce'!$P138&gt;=2,FALSE()))))),1,0)</f>
        <v>0</v>
      </c>
      <c r="ET12" s="1" t="n">
        <f aca="false">IF(AND('Daily Workforce'!$N139="Y",'Daily Workforce'!$B139&lt;&gt;"",COUNTIF('Daily Schedule'!$F$5:$F15,'Daily Workforce'!$B139)=0,IF('Daily Schedule'!$A16=45,'Daily Workforce'!$J139="Y",IF(OR('Daily Schedule'!$A16=4,'Daily Schedule'!$A16=8),IF(OR(WEEKDAY('Daily Schedule'!$B$2,2)=1,WEEKDAY('Daily Schedule'!$B$2,2)=4,WEEKDAY('Daily Schedule'!$B$2,2)=5,WEEKDAY('Daily Schedule'!$B$2,2)=7),IFERROR(1*'Daily Workforce'!$K139&gt;=3,FALSE()),IFERROR(1*'Daily Workforce'!$K139&gt;=2,FALSE())),IF(AND('Daily Schedule'!$A16&gt;=46,'Daily Schedule'!$A16&lt;=52),'Daily Workforce'!$M139="Y",IFERROR(1*'Daily Workforce'!$P139&gt;=2,FALSE()))))),1,0)</f>
        <v>0</v>
      </c>
      <c r="EU12" s="1" t="n">
        <f aca="false">IF(AND('Daily Workforce'!$N140="Y",'Daily Workforce'!$B140&lt;&gt;"",COUNTIF('Daily Schedule'!$F$5:$F15,'Daily Workforce'!$B140)=0,IF('Daily Schedule'!$A16=45,'Daily Workforce'!$J140="Y",IF(OR('Daily Schedule'!$A16=4,'Daily Schedule'!$A16=8),IF(OR(WEEKDAY('Daily Schedule'!$B$2,2)=1,WEEKDAY('Daily Schedule'!$B$2,2)=4,WEEKDAY('Daily Schedule'!$B$2,2)=5,WEEKDAY('Daily Schedule'!$B$2,2)=7),IFERROR(1*'Daily Workforce'!$K140&gt;=3,FALSE()),IFERROR(1*'Daily Workforce'!$K140&gt;=2,FALSE())),IF(AND('Daily Schedule'!$A16&gt;=46,'Daily Schedule'!$A16&lt;=52),'Daily Workforce'!$M140="Y",IFERROR(1*'Daily Workforce'!$P140&gt;=2,FALSE()))))),1,0)</f>
        <v>0</v>
      </c>
      <c r="EV12" s="1" t="n">
        <f aca="false">IF(AND('Daily Workforce'!$N141="Y",'Daily Workforce'!$B141&lt;&gt;"",COUNTIF('Daily Schedule'!$F$5:$F15,'Daily Workforce'!$B141)=0,IF('Daily Schedule'!$A16=45,'Daily Workforce'!$J141="Y",IF(OR('Daily Schedule'!$A16=4,'Daily Schedule'!$A16=8),IF(OR(WEEKDAY('Daily Schedule'!$B$2,2)=1,WEEKDAY('Daily Schedule'!$B$2,2)=4,WEEKDAY('Daily Schedule'!$B$2,2)=5,WEEKDAY('Daily Schedule'!$B$2,2)=7),IFERROR(1*'Daily Workforce'!$K141&gt;=3,FALSE()),IFERROR(1*'Daily Workforce'!$K141&gt;=2,FALSE())),IF(AND('Daily Schedule'!$A16&gt;=46,'Daily Schedule'!$A16&lt;=52),'Daily Workforce'!$M141="Y",IFERROR(1*'Daily Workforce'!$P141&gt;=2,FALSE()))))),1,0)</f>
        <v>0</v>
      </c>
      <c r="EW12" s="1" t="n">
        <f aca="false">IF(AND('Daily Workforce'!$N142="Y",'Daily Workforce'!$B142&lt;&gt;"",COUNTIF('Daily Schedule'!$F$5:$F15,'Daily Workforce'!$B142)=0,IF('Daily Schedule'!$A16=45,'Daily Workforce'!$J142="Y",IF(OR('Daily Schedule'!$A16=4,'Daily Schedule'!$A16=8),IF(OR(WEEKDAY('Daily Schedule'!$B$2,2)=1,WEEKDAY('Daily Schedule'!$B$2,2)=4,WEEKDAY('Daily Schedule'!$B$2,2)=5,WEEKDAY('Daily Schedule'!$B$2,2)=7),IFERROR(1*'Daily Workforce'!$K142&gt;=3,FALSE()),IFERROR(1*'Daily Workforce'!$K142&gt;=2,FALSE())),IF(AND('Daily Schedule'!$A16&gt;=46,'Daily Schedule'!$A16&lt;=52),'Daily Workforce'!$M142="Y",IFERROR(1*'Daily Workforce'!$P142&gt;=2,FALSE()))))),1,0)</f>
        <v>0</v>
      </c>
      <c r="EX12" s="1" t="n">
        <f aca="false">IF(AND('Daily Workforce'!$N143="Y",'Daily Workforce'!$B143&lt;&gt;"",COUNTIF('Daily Schedule'!$F$5:$F15,'Daily Workforce'!$B143)=0,IF('Daily Schedule'!$A16=45,'Daily Workforce'!$J143="Y",IF(OR('Daily Schedule'!$A16=4,'Daily Schedule'!$A16=8),IF(OR(WEEKDAY('Daily Schedule'!$B$2,2)=1,WEEKDAY('Daily Schedule'!$B$2,2)=4,WEEKDAY('Daily Schedule'!$B$2,2)=5,WEEKDAY('Daily Schedule'!$B$2,2)=7),IFERROR(1*'Daily Workforce'!$K143&gt;=3,FALSE()),IFERROR(1*'Daily Workforce'!$K143&gt;=2,FALSE())),IF(AND('Daily Schedule'!$A16&gt;=46,'Daily Schedule'!$A16&lt;=52),'Daily Workforce'!$M143="Y",IFERROR(1*'Daily Workforce'!$P143&gt;=2,FALSE()))))),1,0)</f>
        <v>0</v>
      </c>
      <c r="EY12" s="1" t="n">
        <f aca="false">IF(AND('Daily Workforce'!$N144="Y",'Daily Workforce'!$B144&lt;&gt;"",COUNTIF('Daily Schedule'!$F$5:$F15,'Daily Workforce'!$B144)=0,IF('Daily Schedule'!$A16=45,'Daily Workforce'!$J144="Y",IF(OR('Daily Schedule'!$A16=4,'Daily Schedule'!$A16=8),IF(OR(WEEKDAY('Daily Schedule'!$B$2,2)=1,WEEKDAY('Daily Schedule'!$B$2,2)=4,WEEKDAY('Daily Schedule'!$B$2,2)=5,WEEKDAY('Daily Schedule'!$B$2,2)=7),IFERROR(1*'Daily Workforce'!$K144&gt;=3,FALSE()),IFERROR(1*'Daily Workforce'!$K144&gt;=2,FALSE())),IF(AND('Daily Schedule'!$A16&gt;=46,'Daily Schedule'!$A16&lt;=52),'Daily Workforce'!$M144="Y",IFERROR(1*'Daily Workforce'!$P144&gt;=2,FALSE()))))),1,0)</f>
        <v>0</v>
      </c>
      <c r="EZ12" s="1" t="n">
        <f aca="false">IF(AND('Daily Workforce'!$N145="Y",'Daily Workforce'!$B145&lt;&gt;"",COUNTIF('Daily Schedule'!$F$5:$F15,'Daily Workforce'!$B145)=0,IF('Daily Schedule'!$A16=45,'Daily Workforce'!$J145="Y",IF(OR('Daily Schedule'!$A16=4,'Daily Schedule'!$A16=8),IF(OR(WEEKDAY('Daily Schedule'!$B$2,2)=1,WEEKDAY('Daily Schedule'!$B$2,2)=4,WEEKDAY('Daily Schedule'!$B$2,2)=5,WEEKDAY('Daily Schedule'!$B$2,2)=7),IFERROR(1*'Daily Workforce'!$K145&gt;=3,FALSE()),IFERROR(1*'Daily Workforce'!$K145&gt;=2,FALSE())),IF(AND('Daily Schedule'!$A16&gt;=46,'Daily Schedule'!$A16&lt;=52),'Daily Workforce'!$M145="Y",IFERROR(1*'Daily Workforce'!$P145&gt;=2,FALSE()))))),1,0)</f>
        <v>0</v>
      </c>
      <c r="FA12" s="1" t="n">
        <f aca="false">IF(AND('Daily Workforce'!$N146="Y",'Daily Workforce'!$B146&lt;&gt;"",COUNTIF('Daily Schedule'!$F$5:$F15,'Daily Workforce'!$B146)=0,IF('Daily Schedule'!$A16=45,'Daily Workforce'!$J146="Y",IF(OR('Daily Schedule'!$A16=4,'Daily Schedule'!$A16=8),IF(OR(WEEKDAY('Daily Schedule'!$B$2,2)=1,WEEKDAY('Daily Schedule'!$B$2,2)=4,WEEKDAY('Daily Schedule'!$B$2,2)=5,WEEKDAY('Daily Schedule'!$B$2,2)=7),IFERROR(1*'Daily Workforce'!$K146&gt;=3,FALSE()),IFERROR(1*'Daily Workforce'!$K146&gt;=2,FALSE())),IF(AND('Daily Schedule'!$A16&gt;=46,'Daily Schedule'!$A16&lt;=52),'Daily Workforce'!$M146="Y",IFERROR(1*'Daily Workforce'!$P146&gt;=2,FALSE()))))),1,0)</f>
        <v>0</v>
      </c>
      <c r="FB12" s="1" t="n">
        <f aca="false">IF(AND('Daily Workforce'!$N147="Y",'Daily Workforce'!$B147&lt;&gt;"",COUNTIF('Daily Schedule'!$F$5:$F15,'Daily Workforce'!$B147)=0,IF('Daily Schedule'!$A16=45,'Daily Workforce'!$J147="Y",IF(OR('Daily Schedule'!$A16=4,'Daily Schedule'!$A16=8),IF(OR(WEEKDAY('Daily Schedule'!$B$2,2)=1,WEEKDAY('Daily Schedule'!$B$2,2)=4,WEEKDAY('Daily Schedule'!$B$2,2)=5,WEEKDAY('Daily Schedule'!$B$2,2)=7),IFERROR(1*'Daily Workforce'!$K147&gt;=3,FALSE()),IFERROR(1*'Daily Workforce'!$K147&gt;=2,FALSE())),IF(AND('Daily Schedule'!$A16&gt;=46,'Daily Schedule'!$A16&lt;=52),'Daily Workforce'!$M147="Y",IFERROR(1*'Daily Workforce'!$P147&gt;=2,FALSE()))))),1,0)</f>
        <v>0</v>
      </c>
      <c r="FC12" s="1" t="n">
        <f aca="false">IF(AND('Daily Workforce'!$N148="Y",'Daily Workforce'!$B148&lt;&gt;"",COUNTIF('Daily Schedule'!$F$5:$F15,'Daily Workforce'!$B148)=0,IF('Daily Schedule'!$A16=45,'Daily Workforce'!$J148="Y",IF(OR('Daily Schedule'!$A16=4,'Daily Schedule'!$A16=8),IF(OR(WEEKDAY('Daily Schedule'!$B$2,2)=1,WEEKDAY('Daily Schedule'!$B$2,2)=4,WEEKDAY('Daily Schedule'!$B$2,2)=5,WEEKDAY('Daily Schedule'!$B$2,2)=7),IFERROR(1*'Daily Workforce'!$K148&gt;=3,FALSE()),IFERROR(1*'Daily Workforce'!$K148&gt;=2,FALSE())),IF(AND('Daily Schedule'!$A16&gt;=46,'Daily Schedule'!$A16&lt;=52),'Daily Workforce'!$M148="Y",IFERROR(1*'Daily Workforce'!$P148&gt;=2,FALSE()))))),1,0)</f>
        <v>0</v>
      </c>
      <c r="FD12" s="1" t="n">
        <f aca="false">IF(AND('Daily Workforce'!$N149="Y",'Daily Workforce'!$B149&lt;&gt;"",COUNTIF('Daily Schedule'!$F$5:$F15,'Daily Workforce'!$B149)=0,IF('Daily Schedule'!$A16=45,'Daily Workforce'!$J149="Y",IF(OR('Daily Schedule'!$A16=4,'Daily Schedule'!$A16=8),IF(OR(WEEKDAY('Daily Schedule'!$B$2,2)=1,WEEKDAY('Daily Schedule'!$B$2,2)=4,WEEKDAY('Daily Schedule'!$B$2,2)=5,WEEKDAY('Daily Schedule'!$B$2,2)=7),IFERROR(1*'Daily Workforce'!$K149&gt;=3,FALSE()),IFERROR(1*'Daily Workforce'!$K149&gt;=2,FALSE())),IF(AND('Daily Schedule'!$A16&gt;=46,'Daily Schedule'!$A16&lt;=52),'Daily Workforce'!$M149="Y",IFERROR(1*'Daily Workforce'!$P149&gt;=2,FALSE()))))),1,0)</f>
        <v>0</v>
      </c>
      <c r="FE12" s="1" t="n">
        <f aca="false">IF(AND('Daily Workforce'!$N150="Y",'Daily Workforce'!$B150&lt;&gt;"",COUNTIF('Daily Schedule'!$F$5:$F15,'Daily Workforce'!$B150)=0,IF('Daily Schedule'!$A16=45,'Daily Workforce'!$J150="Y",IF(OR('Daily Schedule'!$A16=4,'Daily Schedule'!$A16=8),IF(OR(WEEKDAY('Daily Schedule'!$B$2,2)=1,WEEKDAY('Daily Schedule'!$B$2,2)=4,WEEKDAY('Daily Schedule'!$B$2,2)=5,WEEKDAY('Daily Schedule'!$B$2,2)=7),IFERROR(1*'Daily Workforce'!$K150&gt;=3,FALSE()),IFERROR(1*'Daily Workforce'!$K150&gt;=2,FALSE())),IF(AND('Daily Schedule'!$A16&gt;=46,'Daily Schedule'!$A16&lt;=52),'Daily Workforce'!$M150="Y",IFERROR(1*'Daily Workforce'!$P150&gt;=2,FALSE()))))),1,0)</f>
        <v>0</v>
      </c>
      <c r="FF12" s="1" t="n">
        <f aca="false">IF(AND('Daily Workforce'!$N151="Y",'Daily Workforce'!$B151&lt;&gt;"",COUNTIF('Daily Schedule'!$F$5:$F15,'Daily Workforce'!$B151)=0,IF('Daily Schedule'!$A16=45,'Daily Workforce'!$J151="Y",IF(OR('Daily Schedule'!$A16=4,'Daily Schedule'!$A16=8),IF(OR(WEEKDAY('Daily Schedule'!$B$2,2)=1,WEEKDAY('Daily Schedule'!$B$2,2)=4,WEEKDAY('Daily Schedule'!$B$2,2)=5,WEEKDAY('Daily Schedule'!$B$2,2)=7),IFERROR(1*'Daily Workforce'!$K151&gt;=3,FALSE()),IFERROR(1*'Daily Workforce'!$K151&gt;=2,FALSE())),IF(AND('Daily Schedule'!$A16&gt;=46,'Daily Schedule'!$A16&lt;=52),'Daily Workforce'!$M151="Y",IFERROR(1*'Daily Workforce'!$P151&gt;=2,FALSE()))))),1,0)</f>
        <v>0</v>
      </c>
      <c r="FG12" s="1" t="n">
        <f aca="false">IF(AND('Daily Workforce'!$N152="Y",'Daily Workforce'!$B152&lt;&gt;"",COUNTIF('Daily Schedule'!$F$5:$F15,'Daily Workforce'!$B152)=0,IF('Daily Schedule'!$A16=45,'Daily Workforce'!$J152="Y",IF(OR('Daily Schedule'!$A16=4,'Daily Schedule'!$A16=8),IF(OR(WEEKDAY('Daily Schedule'!$B$2,2)=1,WEEKDAY('Daily Schedule'!$B$2,2)=4,WEEKDAY('Daily Schedule'!$B$2,2)=5,WEEKDAY('Daily Schedule'!$B$2,2)=7),IFERROR(1*'Daily Workforce'!$K152&gt;=3,FALSE()),IFERROR(1*'Daily Workforce'!$K152&gt;=2,FALSE())),IF(AND('Daily Schedule'!$A16&gt;=46,'Daily Schedule'!$A16&lt;=52),'Daily Workforce'!$M152="Y",IFERROR(1*'Daily Workforce'!$P152&gt;=2,FALSE()))))),1,0)</f>
        <v>0</v>
      </c>
      <c r="FH12" s="1" t="n">
        <f aca="false">IF(AND('Daily Workforce'!$N153="Y",'Daily Workforce'!$B153&lt;&gt;"",COUNTIF('Daily Schedule'!$F$5:$F15,'Daily Workforce'!$B153)=0,IF('Daily Schedule'!$A16=45,'Daily Workforce'!$J153="Y",IF(OR('Daily Schedule'!$A16=4,'Daily Schedule'!$A16=8),IF(OR(WEEKDAY('Daily Schedule'!$B$2,2)=1,WEEKDAY('Daily Schedule'!$B$2,2)=4,WEEKDAY('Daily Schedule'!$B$2,2)=5,WEEKDAY('Daily Schedule'!$B$2,2)=7),IFERROR(1*'Daily Workforce'!$K153&gt;=3,FALSE()),IFERROR(1*'Daily Workforce'!$K153&gt;=2,FALSE())),IF(AND('Daily Schedule'!$A16&gt;=46,'Daily Schedule'!$A16&lt;=52),'Daily Workforce'!$M153="Y",IFERROR(1*'Daily Workforce'!$P153&gt;=2,FALSE()))))),1,0)</f>
        <v>0</v>
      </c>
      <c r="FI12" s="1" t="n">
        <f aca="false">IF(AND('Daily Workforce'!$N154="Y",'Daily Workforce'!$B154&lt;&gt;"",COUNTIF('Daily Schedule'!$F$5:$F15,'Daily Workforce'!$B154)=0,IF('Daily Schedule'!$A16=45,'Daily Workforce'!$J154="Y",IF(OR('Daily Schedule'!$A16=4,'Daily Schedule'!$A16=8),IF(OR(WEEKDAY('Daily Schedule'!$B$2,2)=1,WEEKDAY('Daily Schedule'!$B$2,2)=4,WEEKDAY('Daily Schedule'!$B$2,2)=5,WEEKDAY('Daily Schedule'!$B$2,2)=7),IFERROR(1*'Daily Workforce'!$K154&gt;=3,FALSE()),IFERROR(1*'Daily Workforce'!$K154&gt;=2,FALSE())),IF(AND('Daily Schedule'!$A16&gt;=46,'Daily Schedule'!$A16&lt;=52),'Daily Workforce'!$M154="Y",IFERROR(1*'Daily Workforce'!$P154&gt;=2,FALSE()))))),1,0)</f>
        <v>0</v>
      </c>
      <c r="FJ12" s="1" t="n">
        <f aca="false">IF(AND('Daily Workforce'!$N155="Y",'Daily Workforce'!$B155&lt;&gt;"",COUNTIF('Daily Schedule'!$F$5:$F15,'Daily Workforce'!$B155)=0,IF('Daily Schedule'!$A16=45,'Daily Workforce'!$J155="Y",IF(OR('Daily Schedule'!$A16=4,'Daily Schedule'!$A16=8),IF(OR(WEEKDAY('Daily Schedule'!$B$2,2)=1,WEEKDAY('Daily Schedule'!$B$2,2)=4,WEEKDAY('Daily Schedule'!$B$2,2)=5,WEEKDAY('Daily Schedule'!$B$2,2)=7),IFERROR(1*'Daily Workforce'!$K155&gt;=3,FALSE()),IFERROR(1*'Daily Workforce'!$K155&gt;=2,FALSE())),IF(AND('Daily Schedule'!$A16&gt;=46,'Daily Schedule'!$A16&lt;=52),'Daily Workforce'!$M155="Y",IFERROR(1*'Daily Workforce'!$P155&gt;=2,FALSE()))))),1,0)</f>
        <v>0</v>
      </c>
      <c r="FK12" s="1" t="n">
        <f aca="false">IF(AND('Daily Workforce'!$N156="Y",'Daily Workforce'!$B156&lt;&gt;"",COUNTIF('Daily Schedule'!$F$5:$F15,'Daily Workforce'!$B156)=0,IF('Daily Schedule'!$A16=45,'Daily Workforce'!$J156="Y",IF(OR('Daily Schedule'!$A16=4,'Daily Schedule'!$A16=8),IF(OR(WEEKDAY('Daily Schedule'!$B$2,2)=1,WEEKDAY('Daily Schedule'!$B$2,2)=4,WEEKDAY('Daily Schedule'!$B$2,2)=5,WEEKDAY('Daily Schedule'!$B$2,2)=7),IFERROR(1*'Daily Workforce'!$K156&gt;=3,FALSE()),IFERROR(1*'Daily Workforce'!$K156&gt;=2,FALSE())),IF(AND('Daily Schedule'!$A16&gt;=46,'Daily Schedule'!$A16&lt;=52),'Daily Workforce'!$M156="Y",IFERROR(1*'Daily Workforce'!$P156&gt;=2,FALSE()))))),1,0)</f>
        <v>0</v>
      </c>
      <c r="FL12" s="1" t="n">
        <f aca="false">IF(AND('Daily Workforce'!$N157="Y",'Daily Workforce'!$B157&lt;&gt;"",COUNTIF('Daily Schedule'!$F$5:$F15,'Daily Workforce'!$B157)=0,IF('Daily Schedule'!$A16=45,'Daily Workforce'!$J157="Y",IF(OR('Daily Schedule'!$A16=4,'Daily Schedule'!$A16=8),IF(OR(WEEKDAY('Daily Schedule'!$B$2,2)=1,WEEKDAY('Daily Schedule'!$B$2,2)=4,WEEKDAY('Daily Schedule'!$B$2,2)=5,WEEKDAY('Daily Schedule'!$B$2,2)=7),IFERROR(1*'Daily Workforce'!$K157&gt;=3,FALSE()),IFERROR(1*'Daily Workforce'!$K157&gt;=2,FALSE())),IF(AND('Daily Schedule'!$A16&gt;=46,'Daily Schedule'!$A16&lt;=52),'Daily Workforce'!$M157="Y",IFERROR(1*'Daily Workforce'!$P157&gt;=2,FALSE()))))),1,0)</f>
        <v>0</v>
      </c>
      <c r="FM12" s="1" t="n">
        <f aca="false">IF(AND('Daily Workforce'!$N158="Y",'Daily Workforce'!$B158&lt;&gt;"",COUNTIF('Daily Schedule'!$F$5:$F15,'Daily Workforce'!$B158)=0,IF('Daily Schedule'!$A16=45,'Daily Workforce'!$J158="Y",IF(OR('Daily Schedule'!$A16=4,'Daily Schedule'!$A16=8),IF(OR(WEEKDAY('Daily Schedule'!$B$2,2)=1,WEEKDAY('Daily Schedule'!$B$2,2)=4,WEEKDAY('Daily Schedule'!$B$2,2)=5,WEEKDAY('Daily Schedule'!$B$2,2)=7),IFERROR(1*'Daily Workforce'!$K158&gt;=3,FALSE()),IFERROR(1*'Daily Workforce'!$K158&gt;=2,FALSE())),IF(AND('Daily Schedule'!$A16&gt;=46,'Daily Schedule'!$A16&lt;=52),'Daily Workforce'!$M158="Y",IFERROR(1*'Daily Workforce'!$P158&gt;=2,FALSE()))))),1,0)</f>
        <v>0</v>
      </c>
      <c r="FN12" s="1" t="n">
        <f aca="false">IF(AND('Daily Workforce'!$N159="Y",'Daily Workforce'!$B159&lt;&gt;"",COUNTIF('Daily Schedule'!$F$5:$F15,'Daily Workforce'!$B159)=0,IF('Daily Schedule'!$A16=45,'Daily Workforce'!$J159="Y",IF(OR('Daily Schedule'!$A16=4,'Daily Schedule'!$A16=8),IF(OR(WEEKDAY('Daily Schedule'!$B$2,2)=1,WEEKDAY('Daily Schedule'!$B$2,2)=4,WEEKDAY('Daily Schedule'!$B$2,2)=5,WEEKDAY('Daily Schedule'!$B$2,2)=7),IFERROR(1*'Daily Workforce'!$K159&gt;=3,FALSE()),IFERROR(1*'Daily Workforce'!$K159&gt;=2,FALSE())),IF(AND('Daily Schedule'!$A16&gt;=46,'Daily Schedule'!$A16&lt;=52),'Daily Workforce'!$M159="Y",IFERROR(1*'Daily Workforce'!$P159&gt;=2,FALSE()))))),1,0)</f>
        <v>0</v>
      </c>
      <c r="FO12" s="1" t="n">
        <f aca="false">IF(AND('Daily Workforce'!$N160="Y",'Daily Workforce'!$B160&lt;&gt;"",COUNTIF('Daily Schedule'!$F$5:$F15,'Daily Workforce'!$B160)=0,IF('Daily Schedule'!$A16=45,'Daily Workforce'!$J160="Y",IF(OR('Daily Schedule'!$A16=4,'Daily Schedule'!$A16=8),IF(OR(WEEKDAY('Daily Schedule'!$B$2,2)=1,WEEKDAY('Daily Schedule'!$B$2,2)=4,WEEKDAY('Daily Schedule'!$B$2,2)=5,WEEKDAY('Daily Schedule'!$B$2,2)=7),IFERROR(1*'Daily Workforce'!$K160&gt;=3,FALSE()),IFERROR(1*'Daily Workforce'!$K160&gt;=2,FALSE())),IF(AND('Daily Schedule'!$A16&gt;=46,'Daily Schedule'!$A16&lt;=52),'Daily Workforce'!$M160="Y",IFERROR(1*'Daily Workforce'!$P160&gt;=2,FALSE()))))),1,0)</f>
        <v>0</v>
      </c>
      <c r="FP12" s="1" t="n">
        <f aca="false">IF(AND('Daily Workforce'!$N161="Y",'Daily Workforce'!$B161&lt;&gt;"",COUNTIF('Daily Schedule'!$F$5:$F15,'Daily Workforce'!$B161)=0,IF('Daily Schedule'!$A16=45,'Daily Workforce'!$J161="Y",IF(OR('Daily Schedule'!$A16=4,'Daily Schedule'!$A16=8),IF(OR(WEEKDAY('Daily Schedule'!$B$2,2)=1,WEEKDAY('Daily Schedule'!$B$2,2)=4,WEEKDAY('Daily Schedule'!$B$2,2)=5,WEEKDAY('Daily Schedule'!$B$2,2)=7),IFERROR(1*'Daily Workforce'!$K161&gt;=3,FALSE()),IFERROR(1*'Daily Workforce'!$K161&gt;=2,FALSE())),IF(AND('Daily Schedule'!$A16&gt;=46,'Daily Schedule'!$A16&lt;=52),'Daily Workforce'!$M161="Y",IFERROR(1*'Daily Workforce'!$P161&gt;=2,FALSE()))))),1,0)</f>
        <v>0</v>
      </c>
      <c r="FQ12" s="1" t="n">
        <f aca="false">IF(AND('Daily Workforce'!$N162="Y",'Daily Workforce'!$B162&lt;&gt;"",COUNTIF('Daily Schedule'!$F$5:$F15,'Daily Workforce'!$B162)=0,IF('Daily Schedule'!$A16=45,'Daily Workforce'!$J162="Y",IF(OR('Daily Schedule'!$A16=4,'Daily Schedule'!$A16=8),IF(OR(WEEKDAY('Daily Schedule'!$B$2,2)=1,WEEKDAY('Daily Schedule'!$B$2,2)=4,WEEKDAY('Daily Schedule'!$B$2,2)=5,WEEKDAY('Daily Schedule'!$B$2,2)=7),IFERROR(1*'Daily Workforce'!$K162&gt;=3,FALSE()),IFERROR(1*'Daily Workforce'!$K162&gt;=2,FALSE())),IF(AND('Daily Schedule'!$A16&gt;=46,'Daily Schedule'!$A16&lt;=52),'Daily Workforce'!$M162="Y",IFERROR(1*'Daily Workforce'!$P162&gt;=2,FALSE()))))),1,0)</f>
        <v>0</v>
      </c>
      <c r="FR12" s="1" t="n">
        <f aca="false">IF(AND('Daily Workforce'!$N163="Y",'Daily Workforce'!$B163&lt;&gt;"",COUNTIF('Daily Schedule'!$F$5:$F15,'Daily Workforce'!$B163)=0,IF('Daily Schedule'!$A16=45,'Daily Workforce'!$J163="Y",IF(OR('Daily Schedule'!$A16=4,'Daily Schedule'!$A16=8),IF(OR(WEEKDAY('Daily Schedule'!$B$2,2)=1,WEEKDAY('Daily Schedule'!$B$2,2)=4,WEEKDAY('Daily Schedule'!$B$2,2)=5,WEEKDAY('Daily Schedule'!$B$2,2)=7),IFERROR(1*'Daily Workforce'!$K163&gt;=3,FALSE()),IFERROR(1*'Daily Workforce'!$K163&gt;=2,FALSE())),IF(AND('Daily Schedule'!$A16&gt;=46,'Daily Schedule'!$A16&lt;=52),'Daily Workforce'!$M163="Y",IFERROR(1*'Daily Workforce'!$P163&gt;=2,FALSE()))))),1,0)</f>
        <v>0</v>
      </c>
      <c r="FS12" s="1" t="n">
        <f aca="false">IF(AND('Daily Workforce'!$N164="Y",'Daily Workforce'!$B164&lt;&gt;"",COUNTIF('Daily Schedule'!$F$5:$F15,'Daily Workforce'!$B164)=0,IF('Daily Schedule'!$A16=45,'Daily Workforce'!$J164="Y",IF(OR('Daily Schedule'!$A16=4,'Daily Schedule'!$A16=8),IF(OR(WEEKDAY('Daily Schedule'!$B$2,2)=1,WEEKDAY('Daily Schedule'!$B$2,2)=4,WEEKDAY('Daily Schedule'!$B$2,2)=5,WEEKDAY('Daily Schedule'!$B$2,2)=7),IFERROR(1*'Daily Workforce'!$K164&gt;=3,FALSE()),IFERROR(1*'Daily Workforce'!$K164&gt;=2,FALSE())),IF(AND('Daily Schedule'!$A16&gt;=46,'Daily Schedule'!$A16&lt;=52),'Daily Workforce'!$M164="Y",IFERROR(1*'Daily Workforce'!$P164&gt;=2,FALSE()))))),1,0)</f>
        <v>0</v>
      </c>
      <c r="FT12" s="1" t="n">
        <f aca="false">IF(AND('Daily Workforce'!$N165="Y",'Daily Workforce'!$B165&lt;&gt;"",COUNTIF('Daily Schedule'!$F$5:$F15,'Daily Workforce'!$B165)=0,IF('Daily Schedule'!$A16=45,'Daily Workforce'!$J165="Y",IF(OR('Daily Schedule'!$A16=4,'Daily Schedule'!$A16=8),IF(OR(WEEKDAY('Daily Schedule'!$B$2,2)=1,WEEKDAY('Daily Schedule'!$B$2,2)=4,WEEKDAY('Daily Schedule'!$B$2,2)=5,WEEKDAY('Daily Schedule'!$B$2,2)=7),IFERROR(1*'Daily Workforce'!$K165&gt;=3,FALSE()),IFERROR(1*'Daily Workforce'!$K165&gt;=2,FALSE())),IF(AND('Daily Schedule'!$A16&gt;=46,'Daily Schedule'!$A16&lt;=52),'Daily Workforce'!$M165="Y",IFERROR(1*'Daily Workforce'!$P165&gt;=2,FALSE()))))),1,0)</f>
        <v>0</v>
      </c>
      <c r="FU12" s="1" t="n">
        <f aca="false">IF(AND('Daily Workforce'!$N166="Y",'Daily Workforce'!$B166&lt;&gt;"",COUNTIF('Daily Schedule'!$F$5:$F15,'Daily Workforce'!$B166)=0,IF('Daily Schedule'!$A16=45,'Daily Workforce'!$J166="Y",IF(OR('Daily Schedule'!$A16=4,'Daily Schedule'!$A16=8),IF(OR(WEEKDAY('Daily Schedule'!$B$2,2)=1,WEEKDAY('Daily Schedule'!$B$2,2)=4,WEEKDAY('Daily Schedule'!$B$2,2)=5,WEEKDAY('Daily Schedule'!$B$2,2)=7),IFERROR(1*'Daily Workforce'!$K166&gt;=3,FALSE()),IFERROR(1*'Daily Workforce'!$K166&gt;=2,FALSE())),IF(AND('Daily Schedule'!$A16&gt;=46,'Daily Schedule'!$A16&lt;=52),'Daily Workforce'!$M166="Y",IFERROR(1*'Daily Workforce'!$P166&gt;=2,FALSE()))))),1,0)</f>
        <v>0</v>
      </c>
      <c r="FV12" s="1" t="n">
        <f aca="false">IF(AND('Daily Workforce'!$N167="Y",'Daily Workforce'!$B167&lt;&gt;"",COUNTIF('Daily Schedule'!$F$5:$F15,'Daily Workforce'!$B167)=0,IF('Daily Schedule'!$A16=45,'Daily Workforce'!$J167="Y",IF(OR('Daily Schedule'!$A16=4,'Daily Schedule'!$A16=8),IF(OR(WEEKDAY('Daily Schedule'!$B$2,2)=1,WEEKDAY('Daily Schedule'!$B$2,2)=4,WEEKDAY('Daily Schedule'!$B$2,2)=5,WEEKDAY('Daily Schedule'!$B$2,2)=7),IFERROR(1*'Daily Workforce'!$K167&gt;=3,FALSE()),IFERROR(1*'Daily Workforce'!$K167&gt;=2,FALSE())),IF(AND('Daily Schedule'!$A16&gt;=46,'Daily Schedule'!$A16&lt;=52),'Daily Workforce'!$M167="Y",IFERROR(1*'Daily Workforce'!$P167&gt;=2,FALSE()))))),1,0)</f>
        <v>0</v>
      </c>
      <c r="FW12" s="1" t="n">
        <f aca="false">IF(AND('Daily Workforce'!$N168="Y",'Daily Workforce'!$B168&lt;&gt;"",COUNTIF('Daily Schedule'!$F$5:$F15,'Daily Workforce'!$B168)=0,IF('Daily Schedule'!$A16=45,'Daily Workforce'!$J168="Y",IF(OR('Daily Schedule'!$A16=4,'Daily Schedule'!$A16=8),IF(OR(WEEKDAY('Daily Schedule'!$B$2,2)=1,WEEKDAY('Daily Schedule'!$B$2,2)=4,WEEKDAY('Daily Schedule'!$B$2,2)=5,WEEKDAY('Daily Schedule'!$B$2,2)=7),IFERROR(1*'Daily Workforce'!$K168&gt;=3,FALSE()),IFERROR(1*'Daily Workforce'!$K168&gt;=2,FALSE())),IF(AND('Daily Schedule'!$A16&gt;=46,'Daily Schedule'!$A16&lt;=52),'Daily Workforce'!$M168="Y",IFERROR(1*'Daily Workforce'!$P168&gt;=2,FALSE()))))),1,0)</f>
        <v>0</v>
      </c>
      <c r="FX12" s="1" t="n">
        <f aca="false">IF(AND('Daily Workforce'!$N169="Y",'Daily Workforce'!$B169&lt;&gt;"",COUNTIF('Daily Schedule'!$F$5:$F15,'Daily Workforce'!$B169)=0,IF('Daily Schedule'!$A16=45,'Daily Workforce'!$J169="Y",IF(OR('Daily Schedule'!$A16=4,'Daily Schedule'!$A16=8),IF(OR(WEEKDAY('Daily Schedule'!$B$2,2)=1,WEEKDAY('Daily Schedule'!$B$2,2)=4,WEEKDAY('Daily Schedule'!$B$2,2)=5,WEEKDAY('Daily Schedule'!$B$2,2)=7),IFERROR(1*'Daily Workforce'!$K169&gt;=3,FALSE()),IFERROR(1*'Daily Workforce'!$K169&gt;=2,FALSE())),IF(AND('Daily Schedule'!$A16&gt;=46,'Daily Schedule'!$A16&lt;=52),'Daily Workforce'!$M169="Y",IFERROR(1*'Daily Workforce'!$P169&gt;=2,FALSE()))))),1,0)</f>
        <v>0</v>
      </c>
      <c r="FY12" s="1" t="n">
        <f aca="false">IF(AND('Daily Workforce'!$N170="Y",'Daily Workforce'!$B170&lt;&gt;"",COUNTIF('Daily Schedule'!$F$5:$F15,'Daily Workforce'!$B170)=0,IF('Daily Schedule'!$A16=45,'Daily Workforce'!$J170="Y",IF(OR('Daily Schedule'!$A16=4,'Daily Schedule'!$A16=8),IF(OR(WEEKDAY('Daily Schedule'!$B$2,2)=1,WEEKDAY('Daily Schedule'!$B$2,2)=4,WEEKDAY('Daily Schedule'!$B$2,2)=5,WEEKDAY('Daily Schedule'!$B$2,2)=7),IFERROR(1*'Daily Workforce'!$K170&gt;=3,FALSE()),IFERROR(1*'Daily Workforce'!$K170&gt;=2,FALSE())),IF(AND('Daily Schedule'!$A16&gt;=46,'Daily Schedule'!$A16&lt;=52),'Daily Workforce'!$M170="Y",IFERROR(1*'Daily Workforce'!$P170&gt;=2,FALSE()))))),1,0)</f>
        <v>0</v>
      </c>
      <c r="FZ12" s="1" t="n">
        <f aca="false">IF(AND('Daily Workforce'!$N171="Y",'Daily Workforce'!$B171&lt;&gt;"",COUNTIF('Daily Schedule'!$F$5:$F15,'Daily Workforce'!$B171)=0,IF('Daily Schedule'!$A16=45,'Daily Workforce'!$J171="Y",IF(OR('Daily Schedule'!$A16=4,'Daily Schedule'!$A16=8),IF(OR(WEEKDAY('Daily Schedule'!$B$2,2)=1,WEEKDAY('Daily Schedule'!$B$2,2)=4,WEEKDAY('Daily Schedule'!$B$2,2)=5,WEEKDAY('Daily Schedule'!$B$2,2)=7),IFERROR(1*'Daily Workforce'!$K171&gt;=3,FALSE()),IFERROR(1*'Daily Workforce'!$K171&gt;=2,FALSE())),IF(AND('Daily Schedule'!$A16&gt;=46,'Daily Schedule'!$A16&lt;=52),'Daily Workforce'!$M171="Y",IFERROR(1*'Daily Workforce'!$P171&gt;=2,FALSE()))))),1,0)</f>
        <v>0</v>
      </c>
      <c r="GA12" s="1" t="n">
        <f aca="false">IF(AND('Daily Workforce'!$N172="Y",'Daily Workforce'!$B172&lt;&gt;"",COUNTIF('Daily Schedule'!$F$5:$F15,'Daily Workforce'!$B172)=0,IF('Daily Schedule'!$A16=45,'Daily Workforce'!$J172="Y",IF(OR('Daily Schedule'!$A16=4,'Daily Schedule'!$A16=8),IF(OR(WEEKDAY('Daily Schedule'!$B$2,2)=1,WEEKDAY('Daily Schedule'!$B$2,2)=4,WEEKDAY('Daily Schedule'!$B$2,2)=5,WEEKDAY('Daily Schedule'!$B$2,2)=7),IFERROR(1*'Daily Workforce'!$K172&gt;=3,FALSE()),IFERROR(1*'Daily Workforce'!$K172&gt;=2,FALSE())),IF(AND('Daily Schedule'!$A16&gt;=46,'Daily Schedule'!$A16&lt;=52),'Daily Workforce'!$M172="Y",IFERROR(1*'Daily Workforce'!$P172&gt;=2,FALSE()))))),1,0)</f>
        <v>0</v>
      </c>
      <c r="GB12" s="1" t="n">
        <f aca="false">IF(AND('Daily Workforce'!$N173="Y",'Daily Workforce'!$B173&lt;&gt;"",COUNTIF('Daily Schedule'!$F$5:$F15,'Daily Workforce'!$B173)=0,IF('Daily Schedule'!$A16=45,'Daily Workforce'!$J173="Y",IF(OR('Daily Schedule'!$A16=4,'Daily Schedule'!$A16=8),IF(OR(WEEKDAY('Daily Schedule'!$B$2,2)=1,WEEKDAY('Daily Schedule'!$B$2,2)=4,WEEKDAY('Daily Schedule'!$B$2,2)=5,WEEKDAY('Daily Schedule'!$B$2,2)=7),IFERROR(1*'Daily Workforce'!$K173&gt;=3,FALSE()),IFERROR(1*'Daily Workforce'!$K173&gt;=2,FALSE())),IF(AND('Daily Schedule'!$A16&gt;=46,'Daily Schedule'!$A16&lt;=52),'Daily Workforce'!$M173="Y",IFERROR(1*'Daily Workforce'!$P173&gt;=2,FALSE()))))),1,0)</f>
        <v>0</v>
      </c>
      <c r="GC12" s="1" t="n">
        <f aca="false">IF(AND('Daily Workforce'!$N174="Y",'Daily Workforce'!$B174&lt;&gt;"",COUNTIF('Daily Schedule'!$F$5:$F15,'Daily Workforce'!$B174)=0,IF('Daily Schedule'!$A16=45,'Daily Workforce'!$J174="Y",IF(OR('Daily Schedule'!$A16=4,'Daily Schedule'!$A16=8),IF(OR(WEEKDAY('Daily Schedule'!$B$2,2)=1,WEEKDAY('Daily Schedule'!$B$2,2)=4,WEEKDAY('Daily Schedule'!$B$2,2)=5,WEEKDAY('Daily Schedule'!$B$2,2)=7),IFERROR(1*'Daily Workforce'!$K174&gt;=3,FALSE()),IFERROR(1*'Daily Workforce'!$K174&gt;=2,FALSE())),IF(AND('Daily Schedule'!$A16&gt;=46,'Daily Schedule'!$A16&lt;=52),'Daily Workforce'!$M174="Y",IFERROR(1*'Daily Workforce'!$P174&gt;=2,FALSE()))))),1,0)</f>
        <v>0</v>
      </c>
      <c r="GD12" s="1" t="n">
        <f aca="false">IF(AND('Daily Workforce'!$N175="Y",'Daily Workforce'!$B175&lt;&gt;"",COUNTIF('Daily Schedule'!$F$5:$F15,'Daily Workforce'!$B175)=0,IF('Daily Schedule'!$A16=45,'Daily Workforce'!$J175="Y",IF(OR('Daily Schedule'!$A16=4,'Daily Schedule'!$A16=8),IF(OR(WEEKDAY('Daily Schedule'!$B$2,2)=1,WEEKDAY('Daily Schedule'!$B$2,2)=4,WEEKDAY('Daily Schedule'!$B$2,2)=5,WEEKDAY('Daily Schedule'!$B$2,2)=7),IFERROR(1*'Daily Workforce'!$K175&gt;=3,FALSE()),IFERROR(1*'Daily Workforce'!$K175&gt;=2,FALSE())),IF(AND('Daily Schedule'!$A16&gt;=46,'Daily Schedule'!$A16&lt;=52),'Daily Workforce'!$M175="Y",IFERROR(1*'Daily Workforce'!$P175&gt;=2,FALSE()))))),1,0)</f>
        <v>0</v>
      </c>
      <c r="GE12" s="1" t="n">
        <f aca="false">IF(AND('Daily Workforce'!$N176="Y",'Daily Workforce'!$B176&lt;&gt;"",COUNTIF('Daily Schedule'!$F$5:$F15,'Daily Workforce'!$B176)=0,IF('Daily Schedule'!$A16=45,'Daily Workforce'!$J176="Y",IF(OR('Daily Schedule'!$A16=4,'Daily Schedule'!$A16=8),IF(OR(WEEKDAY('Daily Schedule'!$B$2,2)=1,WEEKDAY('Daily Schedule'!$B$2,2)=4,WEEKDAY('Daily Schedule'!$B$2,2)=5,WEEKDAY('Daily Schedule'!$B$2,2)=7),IFERROR(1*'Daily Workforce'!$K176&gt;=3,FALSE()),IFERROR(1*'Daily Workforce'!$K176&gt;=2,FALSE())),IF(AND('Daily Schedule'!$A16&gt;=46,'Daily Schedule'!$A16&lt;=52),'Daily Workforce'!$M176="Y",IFERROR(1*'Daily Workforce'!$P176&gt;=2,FALSE()))))),1,0)</f>
        <v>0</v>
      </c>
      <c r="GF12" s="1" t="n">
        <f aca="false">IF(AND('Daily Workforce'!$N177="Y",'Daily Workforce'!$B177&lt;&gt;"",COUNTIF('Daily Schedule'!$F$5:$F15,'Daily Workforce'!$B177)=0,IF('Daily Schedule'!$A16=45,'Daily Workforce'!$J177="Y",IF(OR('Daily Schedule'!$A16=4,'Daily Schedule'!$A16=8),IF(OR(WEEKDAY('Daily Schedule'!$B$2,2)=1,WEEKDAY('Daily Schedule'!$B$2,2)=4,WEEKDAY('Daily Schedule'!$B$2,2)=5,WEEKDAY('Daily Schedule'!$B$2,2)=7),IFERROR(1*'Daily Workforce'!$K177&gt;=3,FALSE()),IFERROR(1*'Daily Workforce'!$K177&gt;=2,FALSE())),IF(AND('Daily Schedule'!$A16&gt;=46,'Daily Schedule'!$A16&lt;=52),'Daily Workforce'!$M177="Y",IFERROR(1*'Daily Workforce'!$P177&gt;=2,FALSE()))))),1,0)</f>
        <v>0</v>
      </c>
      <c r="GG12" s="1" t="n">
        <f aca="false">IF(AND('Daily Workforce'!$N178="Y",'Daily Workforce'!$B178&lt;&gt;"",COUNTIF('Daily Schedule'!$F$5:$F15,'Daily Workforce'!$B178)=0,IF('Daily Schedule'!$A16=45,'Daily Workforce'!$J178="Y",IF(OR('Daily Schedule'!$A16=4,'Daily Schedule'!$A16=8),IF(OR(WEEKDAY('Daily Schedule'!$B$2,2)=1,WEEKDAY('Daily Schedule'!$B$2,2)=4,WEEKDAY('Daily Schedule'!$B$2,2)=5,WEEKDAY('Daily Schedule'!$B$2,2)=7),IFERROR(1*'Daily Workforce'!$K178&gt;=3,FALSE()),IFERROR(1*'Daily Workforce'!$K178&gt;=2,FALSE())),IF(AND('Daily Schedule'!$A16&gt;=46,'Daily Schedule'!$A16&lt;=52),'Daily Workforce'!$M178="Y",IFERROR(1*'Daily Workforce'!$P178&gt;=2,FALSE()))))),1,0)</f>
        <v>0</v>
      </c>
      <c r="GH12" s="1" t="n">
        <f aca="false">IF(AND('Daily Workforce'!$N179="Y",'Daily Workforce'!$B179&lt;&gt;"",COUNTIF('Daily Schedule'!$F$5:$F15,'Daily Workforce'!$B179)=0,IF('Daily Schedule'!$A16=45,'Daily Workforce'!$J179="Y",IF(OR('Daily Schedule'!$A16=4,'Daily Schedule'!$A16=8),IF(OR(WEEKDAY('Daily Schedule'!$B$2,2)=1,WEEKDAY('Daily Schedule'!$B$2,2)=4,WEEKDAY('Daily Schedule'!$B$2,2)=5,WEEKDAY('Daily Schedule'!$B$2,2)=7),IFERROR(1*'Daily Workforce'!$K179&gt;=3,FALSE()),IFERROR(1*'Daily Workforce'!$K179&gt;=2,FALSE())),IF(AND('Daily Schedule'!$A16&gt;=46,'Daily Schedule'!$A16&lt;=52),'Daily Workforce'!$M179="Y",IFERROR(1*'Daily Workforce'!$P179&gt;=2,FALSE()))))),1,0)</f>
        <v>0</v>
      </c>
      <c r="GI12" s="1" t="n">
        <f aca="false">IF(AND('Daily Workforce'!$N180="Y",'Daily Workforce'!$B180&lt;&gt;"",COUNTIF('Daily Schedule'!$F$5:$F15,'Daily Workforce'!$B180)=0,IF('Daily Schedule'!$A16=45,'Daily Workforce'!$J180="Y",IF(OR('Daily Schedule'!$A16=4,'Daily Schedule'!$A16=8),IF(OR(WEEKDAY('Daily Schedule'!$B$2,2)=1,WEEKDAY('Daily Schedule'!$B$2,2)=4,WEEKDAY('Daily Schedule'!$B$2,2)=5,WEEKDAY('Daily Schedule'!$B$2,2)=7),IFERROR(1*'Daily Workforce'!$K180&gt;=3,FALSE()),IFERROR(1*'Daily Workforce'!$K180&gt;=2,FALSE())),IF(AND('Daily Schedule'!$A16&gt;=46,'Daily Schedule'!$A16&lt;=52),'Daily Workforce'!$M180="Y",IFERROR(1*'Daily Workforce'!$P180&gt;=2,FALSE()))))),1,0)</f>
        <v>0</v>
      </c>
      <c r="GJ12" s="1" t="n">
        <f aca="false">IF(AND('Daily Workforce'!$N181="Y",'Daily Workforce'!$B181&lt;&gt;"",COUNTIF('Daily Schedule'!$F$5:$F15,'Daily Workforce'!$B181)=0,IF('Daily Schedule'!$A16=45,'Daily Workforce'!$J181="Y",IF(OR('Daily Schedule'!$A16=4,'Daily Schedule'!$A16=8),IF(OR(WEEKDAY('Daily Schedule'!$B$2,2)=1,WEEKDAY('Daily Schedule'!$B$2,2)=4,WEEKDAY('Daily Schedule'!$B$2,2)=5,WEEKDAY('Daily Schedule'!$B$2,2)=7),IFERROR(1*'Daily Workforce'!$K181&gt;=3,FALSE()),IFERROR(1*'Daily Workforce'!$K181&gt;=2,FALSE())),IF(AND('Daily Schedule'!$A16&gt;=46,'Daily Schedule'!$A16&lt;=52),'Daily Workforce'!$M181="Y",IFERROR(1*'Daily Workforce'!$P181&gt;=2,FALSE()))))),1,0)</f>
        <v>0</v>
      </c>
      <c r="GK12" s="1" t="n">
        <f aca="false">IF(AND('Daily Workforce'!$N182="Y",'Daily Workforce'!$B182&lt;&gt;"",COUNTIF('Daily Schedule'!$F$5:$F15,'Daily Workforce'!$B182)=0,IF('Daily Schedule'!$A16=45,'Daily Workforce'!$J182="Y",IF(OR('Daily Schedule'!$A16=4,'Daily Schedule'!$A16=8),IF(OR(WEEKDAY('Daily Schedule'!$B$2,2)=1,WEEKDAY('Daily Schedule'!$B$2,2)=4,WEEKDAY('Daily Schedule'!$B$2,2)=5,WEEKDAY('Daily Schedule'!$B$2,2)=7),IFERROR(1*'Daily Workforce'!$K182&gt;=3,FALSE()),IFERROR(1*'Daily Workforce'!$K182&gt;=2,FALSE())),IF(AND('Daily Schedule'!$A16&gt;=46,'Daily Schedule'!$A16&lt;=52),'Daily Workforce'!$M182="Y",IFERROR(1*'Daily Workforce'!$P182&gt;=2,FALSE()))))),1,0)</f>
        <v>0</v>
      </c>
      <c r="GL12" s="1" t="n">
        <f aca="false">IF(AND('Daily Workforce'!$N183="Y",'Daily Workforce'!$B183&lt;&gt;"",COUNTIF('Daily Schedule'!$F$5:$F15,'Daily Workforce'!$B183)=0,IF('Daily Schedule'!$A16=45,'Daily Workforce'!$J183="Y",IF(OR('Daily Schedule'!$A16=4,'Daily Schedule'!$A16=8),IF(OR(WEEKDAY('Daily Schedule'!$B$2,2)=1,WEEKDAY('Daily Schedule'!$B$2,2)=4,WEEKDAY('Daily Schedule'!$B$2,2)=5,WEEKDAY('Daily Schedule'!$B$2,2)=7),IFERROR(1*'Daily Workforce'!$K183&gt;=3,FALSE()),IFERROR(1*'Daily Workforce'!$K183&gt;=2,FALSE())),IF(AND('Daily Schedule'!$A16&gt;=46,'Daily Schedule'!$A16&lt;=52),'Daily Workforce'!$M183="Y",IFERROR(1*'Daily Workforce'!$P183&gt;=2,FALSE()))))),1,0)</f>
        <v>0</v>
      </c>
      <c r="GM12" s="1" t="n">
        <f aca="false">IF(AND('Daily Workforce'!$N184="Y",'Daily Workforce'!$B184&lt;&gt;"",COUNTIF('Daily Schedule'!$F$5:$F15,'Daily Workforce'!$B184)=0,IF('Daily Schedule'!$A16=45,'Daily Workforce'!$J184="Y",IF(OR('Daily Schedule'!$A16=4,'Daily Schedule'!$A16=8),IF(OR(WEEKDAY('Daily Schedule'!$B$2,2)=1,WEEKDAY('Daily Schedule'!$B$2,2)=4,WEEKDAY('Daily Schedule'!$B$2,2)=5,WEEKDAY('Daily Schedule'!$B$2,2)=7),IFERROR(1*'Daily Workforce'!$K184&gt;=3,FALSE()),IFERROR(1*'Daily Workforce'!$K184&gt;=2,FALSE())),IF(AND('Daily Schedule'!$A16&gt;=46,'Daily Schedule'!$A16&lt;=52),'Daily Workforce'!$M184="Y",IFERROR(1*'Daily Workforce'!$P184&gt;=2,FALSE()))))),1,0)</f>
        <v>0</v>
      </c>
      <c r="GN12" s="1" t="n">
        <f aca="false">IF(AND('Daily Workforce'!$N185="Y",'Daily Workforce'!$B185&lt;&gt;"",COUNTIF('Daily Schedule'!$F$5:$F15,'Daily Workforce'!$B185)=0,IF('Daily Schedule'!$A16=45,'Daily Workforce'!$J185="Y",IF(OR('Daily Schedule'!$A16=4,'Daily Schedule'!$A16=8),IF(OR(WEEKDAY('Daily Schedule'!$B$2,2)=1,WEEKDAY('Daily Schedule'!$B$2,2)=4,WEEKDAY('Daily Schedule'!$B$2,2)=5,WEEKDAY('Daily Schedule'!$B$2,2)=7),IFERROR(1*'Daily Workforce'!$K185&gt;=3,FALSE()),IFERROR(1*'Daily Workforce'!$K185&gt;=2,FALSE())),IF(AND('Daily Schedule'!$A16&gt;=46,'Daily Schedule'!$A16&lt;=52),'Daily Workforce'!$M185="Y",IFERROR(1*'Daily Workforce'!$P185&gt;=2,FALSE()))))),1,0)</f>
        <v>0</v>
      </c>
      <c r="GO12" s="1" t="n">
        <f aca="false">IF(AND('Daily Workforce'!$N186="Y",'Daily Workforce'!$B186&lt;&gt;"",COUNTIF('Daily Schedule'!$F$5:$F15,'Daily Workforce'!$B186)=0,IF('Daily Schedule'!$A16=45,'Daily Workforce'!$J186="Y",IF(OR('Daily Schedule'!$A16=4,'Daily Schedule'!$A16=8),IF(OR(WEEKDAY('Daily Schedule'!$B$2,2)=1,WEEKDAY('Daily Schedule'!$B$2,2)=4,WEEKDAY('Daily Schedule'!$B$2,2)=5,WEEKDAY('Daily Schedule'!$B$2,2)=7),IFERROR(1*'Daily Workforce'!$K186&gt;=3,FALSE()),IFERROR(1*'Daily Workforce'!$K186&gt;=2,FALSE())),IF(AND('Daily Schedule'!$A16&gt;=46,'Daily Schedule'!$A16&lt;=52),'Daily Workforce'!$M186="Y",IFERROR(1*'Daily Workforce'!$P186&gt;=2,FALSE()))))),1,0)</f>
        <v>0</v>
      </c>
      <c r="GP12" s="1" t="n">
        <f aca="false">IF(AND('Daily Workforce'!$N187="Y",'Daily Workforce'!$B187&lt;&gt;"",COUNTIF('Daily Schedule'!$F$5:$F15,'Daily Workforce'!$B187)=0,IF('Daily Schedule'!$A16=45,'Daily Workforce'!$J187="Y",IF(OR('Daily Schedule'!$A16=4,'Daily Schedule'!$A16=8),IF(OR(WEEKDAY('Daily Schedule'!$B$2,2)=1,WEEKDAY('Daily Schedule'!$B$2,2)=4,WEEKDAY('Daily Schedule'!$B$2,2)=5,WEEKDAY('Daily Schedule'!$B$2,2)=7),IFERROR(1*'Daily Workforce'!$K187&gt;=3,FALSE()),IFERROR(1*'Daily Workforce'!$K187&gt;=2,FALSE())),IF(AND('Daily Schedule'!$A16&gt;=46,'Daily Schedule'!$A16&lt;=52),'Daily Workforce'!$M187="Y",IFERROR(1*'Daily Workforce'!$P187&gt;=2,FALSE()))))),1,0)</f>
        <v>0</v>
      </c>
      <c r="GQ12" s="1" t="n">
        <f aca="false">IF(AND('Daily Workforce'!$N188="Y",'Daily Workforce'!$B188&lt;&gt;"",COUNTIF('Daily Schedule'!$F$5:$F15,'Daily Workforce'!$B188)=0,IF('Daily Schedule'!$A16=45,'Daily Workforce'!$J188="Y",IF(OR('Daily Schedule'!$A16=4,'Daily Schedule'!$A16=8),IF(OR(WEEKDAY('Daily Schedule'!$B$2,2)=1,WEEKDAY('Daily Schedule'!$B$2,2)=4,WEEKDAY('Daily Schedule'!$B$2,2)=5,WEEKDAY('Daily Schedule'!$B$2,2)=7),IFERROR(1*'Daily Workforce'!$K188&gt;=3,FALSE()),IFERROR(1*'Daily Workforce'!$K188&gt;=2,FALSE())),IF(AND('Daily Schedule'!$A16&gt;=46,'Daily Schedule'!$A16&lt;=52),'Daily Workforce'!$M188="Y",IFERROR(1*'Daily Workforce'!$P188&gt;=2,FALSE()))))),1,0)</f>
        <v>0</v>
      </c>
      <c r="GR12" s="1" t="n">
        <f aca="false">IF(AND('Daily Workforce'!$N189="Y",'Daily Workforce'!$B189&lt;&gt;"",COUNTIF('Daily Schedule'!$F$5:$F15,'Daily Workforce'!$B189)=0,IF('Daily Schedule'!$A16=45,'Daily Workforce'!$J189="Y",IF(OR('Daily Schedule'!$A16=4,'Daily Schedule'!$A16=8),IF(OR(WEEKDAY('Daily Schedule'!$B$2,2)=1,WEEKDAY('Daily Schedule'!$B$2,2)=4,WEEKDAY('Daily Schedule'!$B$2,2)=5,WEEKDAY('Daily Schedule'!$B$2,2)=7),IFERROR(1*'Daily Workforce'!$K189&gt;=3,FALSE()),IFERROR(1*'Daily Workforce'!$K189&gt;=2,FALSE())),IF(AND('Daily Schedule'!$A16&gt;=46,'Daily Schedule'!$A16&lt;=52),'Daily Workforce'!$M189="Y",IFERROR(1*'Daily Workforce'!$P189&gt;=2,FALSE()))))),1,0)</f>
        <v>0</v>
      </c>
      <c r="GS12" s="1" t="n">
        <f aca="false">IF(AND('Daily Workforce'!$N190="Y",'Daily Workforce'!$B190&lt;&gt;"",COUNTIF('Daily Schedule'!$F$5:$F15,'Daily Workforce'!$B190)=0,IF('Daily Schedule'!$A16=45,'Daily Workforce'!$J190="Y",IF(OR('Daily Schedule'!$A16=4,'Daily Schedule'!$A16=8),IF(OR(WEEKDAY('Daily Schedule'!$B$2,2)=1,WEEKDAY('Daily Schedule'!$B$2,2)=4,WEEKDAY('Daily Schedule'!$B$2,2)=5,WEEKDAY('Daily Schedule'!$B$2,2)=7),IFERROR(1*'Daily Workforce'!$K190&gt;=3,FALSE()),IFERROR(1*'Daily Workforce'!$K190&gt;=2,FALSE())),IF(AND('Daily Schedule'!$A16&gt;=46,'Daily Schedule'!$A16&lt;=52),'Daily Workforce'!$M190="Y",IFERROR(1*'Daily Workforce'!$P190&gt;=2,FALSE()))))),1,0)</f>
        <v>0</v>
      </c>
      <c r="GT12" s="1" t="n">
        <f aca="false">IF(AND('Daily Workforce'!$N191="Y",'Daily Workforce'!$B191&lt;&gt;"",COUNTIF('Daily Schedule'!$F$5:$F15,'Daily Workforce'!$B191)=0,IF('Daily Schedule'!$A16=45,'Daily Workforce'!$J191="Y",IF(OR('Daily Schedule'!$A16=4,'Daily Schedule'!$A16=8),IF(OR(WEEKDAY('Daily Schedule'!$B$2,2)=1,WEEKDAY('Daily Schedule'!$B$2,2)=4,WEEKDAY('Daily Schedule'!$B$2,2)=5,WEEKDAY('Daily Schedule'!$B$2,2)=7),IFERROR(1*'Daily Workforce'!$K191&gt;=3,FALSE()),IFERROR(1*'Daily Workforce'!$K191&gt;=2,FALSE())),IF(AND('Daily Schedule'!$A16&gt;=46,'Daily Schedule'!$A16&lt;=52),'Daily Workforce'!$M191="Y",IFERROR(1*'Daily Workforce'!$P191&gt;=2,FALSE()))))),1,0)</f>
        <v>0</v>
      </c>
      <c r="GU12" s="1" t="n">
        <f aca="false">IF(AND('Daily Workforce'!$N192="Y",'Daily Workforce'!$B192&lt;&gt;"",COUNTIF('Daily Schedule'!$F$5:$F15,'Daily Workforce'!$B192)=0,IF('Daily Schedule'!$A16=45,'Daily Workforce'!$J192="Y",IF(OR('Daily Schedule'!$A16=4,'Daily Schedule'!$A16=8),IF(OR(WEEKDAY('Daily Schedule'!$B$2,2)=1,WEEKDAY('Daily Schedule'!$B$2,2)=4,WEEKDAY('Daily Schedule'!$B$2,2)=5,WEEKDAY('Daily Schedule'!$B$2,2)=7),IFERROR(1*'Daily Workforce'!$K192&gt;=3,FALSE()),IFERROR(1*'Daily Workforce'!$K192&gt;=2,FALSE())),IF(AND('Daily Schedule'!$A16&gt;=46,'Daily Schedule'!$A16&lt;=52),'Daily Workforce'!$M192="Y",IFERROR(1*'Daily Workforce'!$P192&gt;=2,FALSE()))))),1,0)</f>
        <v>0</v>
      </c>
      <c r="GV12" s="1" t="n">
        <f aca="false">IF(AND('Daily Workforce'!$N193="Y",'Daily Workforce'!$B193&lt;&gt;"",COUNTIF('Daily Schedule'!$F$5:$F15,'Daily Workforce'!$B193)=0,IF('Daily Schedule'!$A16=45,'Daily Workforce'!$J193="Y",IF(OR('Daily Schedule'!$A16=4,'Daily Schedule'!$A16=8),IF(OR(WEEKDAY('Daily Schedule'!$B$2,2)=1,WEEKDAY('Daily Schedule'!$B$2,2)=4,WEEKDAY('Daily Schedule'!$B$2,2)=5,WEEKDAY('Daily Schedule'!$B$2,2)=7),IFERROR(1*'Daily Workforce'!$K193&gt;=3,FALSE()),IFERROR(1*'Daily Workforce'!$K193&gt;=2,FALSE())),IF(AND('Daily Schedule'!$A16&gt;=46,'Daily Schedule'!$A16&lt;=52),'Daily Workforce'!$M193="Y",IFERROR(1*'Daily Workforce'!$P193&gt;=2,FALSE()))))),1,0)</f>
        <v>0</v>
      </c>
      <c r="GW12" s="1" t="n">
        <f aca="false">IF(AND('Daily Workforce'!$N194="Y",'Daily Workforce'!$B194&lt;&gt;"",COUNTIF('Daily Schedule'!$F$5:$F15,'Daily Workforce'!$B194)=0,IF('Daily Schedule'!$A16=45,'Daily Workforce'!$J194="Y",IF(OR('Daily Schedule'!$A16=4,'Daily Schedule'!$A16=8),IF(OR(WEEKDAY('Daily Schedule'!$B$2,2)=1,WEEKDAY('Daily Schedule'!$B$2,2)=4,WEEKDAY('Daily Schedule'!$B$2,2)=5,WEEKDAY('Daily Schedule'!$B$2,2)=7),IFERROR(1*'Daily Workforce'!$K194&gt;=3,FALSE()),IFERROR(1*'Daily Workforce'!$K194&gt;=2,FALSE())),IF(AND('Daily Schedule'!$A16&gt;=46,'Daily Schedule'!$A16&lt;=52),'Daily Workforce'!$M194="Y",IFERROR(1*'Daily Workforce'!$P194&gt;=2,FALSE()))))),1,0)</f>
        <v>0</v>
      </c>
      <c r="GX12" s="1" t="n">
        <f aca="false">IF(AND('Daily Workforce'!$N195="Y",'Daily Workforce'!$B195&lt;&gt;"",COUNTIF('Daily Schedule'!$F$5:$F15,'Daily Workforce'!$B195)=0,IF('Daily Schedule'!$A16=45,'Daily Workforce'!$J195="Y",IF(OR('Daily Schedule'!$A16=4,'Daily Schedule'!$A16=8),IF(OR(WEEKDAY('Daily Schedule'!$B$2,2)=1,WEEKDAY('Daily Schedule'!$B$2,2)=4,WEEKDAY('Daily Schedule'!$B$2,2)=5,WEEKDAY('Daily Schedule'!$B$2,2)=7),IFERROR(1*'Daily Workforce'!$K195&gt;=3,FALSE()),IFERROR(1*'Daily Workforce'!$K195&gt;=2,FALSE())),IF(AND('Daily Schedule'!$A16&gt;=46,'Daily Schedule'!$A16&lt;=52),'Daily Workforce'!$M195="Y",IFERROR(1*'Daily Workforce'!$P195&gt;=2,FALSE()))))),1,0)</f>
        <v>0</v>
      </c>
      <c r="GY12" s="1" t="n">
        <f aca="false">IF(AND('Daily Workforce'!$N196="Y",'Daily Workforce'!$B196&lt;&gt;"",COUNTIF('Daily Schedule'!$F$5:$F15,'Daily Workforce'!$B196)=0,IF('Daily Schedule'!$A16=45,'Daily Workforce'!$J196="Y",IF(OR('Daily Schedule'!$A16=4,'Daily Schedule'!$A16=8),IF(OR(WEEKDAY('Daily Schedule'!$B$2,2)=1,WEEKDAY('Daily Schedule'!$B$2,2)=4,WEEKDAY('Daily Schedule'!$B$2,2)=5,WEEKDAY('Daily Schedule'!$B$2,2)=7),IFERROR(1*'Daily Workforce'!$K196&gt;=3,FALSE()),IFERROR(1*'Daily Workforce'!$K196&gt;=2,FALSE())),IF(AND('Daily Schedule'!$A16&gt;=46,'Daily Schedule'!$A16&lt;=52),'Daily Workforce'!$M196="Y",IFERROR(1*'Daily Workforce'!$P196&gt;=2,FALSE()))))),1,0)</f>
        <v>0</v>
      </c>
      <c r="GZ12" s="1" t="n">
        <f aca="false">IF(AND('Daily Workforce'!$N197="Y",'Daily Workforce'!$B197&lt;&gt;"",COUNTIF('Daily Schedule'!$F$5:$F15,'Daily Workforce'!$B197)=0,IF('Daily Schedule'!$A16=45,'Daily Workforce'!$J197="Y",IF(OR('Daily Schedule'!$A16=4,'Daily Schedule'!$A16=8),IF(OR(WEEKDAY('Daily Schedule'!$B$2,2)=1,WEEKDAY('Daily Schedule'!$B$2,2)=4,WEEKDAY('Daily Schedule'!$B$2,2)=5,WEEKDAY('Daily Schedule'!$B$2,2)=7),IFERROR(1*'Daily Workforce'!$K197&gt;=3,FALSE()),IFERROR(1*'Daily Workforce'!$K197&gt;=2,FALSE())),IF(AND('Daily Schedule'!$A16&gt;=46,'Daily Schedule'!$A16&lt;=52),'Daily Workforce'!$M197="Y",IFERROR(1*'Daily Workforce'!$P197&gt;=2,FALSE()))))),1,0)</f>
        <v>0</v>
      </c>
      <c r="HA12" s="1" t="n">
        <f aca="false">IF(AND('Daily Workforce'!$N198="Y",'Daily Workforce'!$B198&lt;&gt;"",COUNTIF('Daily Schedule'!$F$5:$F15,'Daily Workforce'!$B198)=0,IF('Daily Schedule'!$A16=45,'Daily Workforce'!$J198="Y",IF(OR('Daily Schedule'!$A16=4,'Daily Schedule'!$A16=8),IF(OR(WEEKDAY('Daily Schedule'!$B$2,2)=1,WEEKDAY('Daily Schedule'!$B$2,2)=4,WEEKDAY('Daily Schedule'!$B$2,2)=5,WEEKDAY('Daily Schedule'!$B$2,2)=7),IFERROR(1*'Daily Workforce'!$K198&gt;=3,FALSE()),IFERROR(1*'Daily Workforce'!$K198&gt;=2,FALSE())),IF(AND('Daily Schedule'!$A16&gt;=46,'Daily Schedule'!$A16&lt;=52),'Daily Workforce'!$M198="Y",IFERROR(1*'Daily Workforce'!$P198&gt;=2,FALSE()))))),1,0)</f>
        <v>0</v>
      </c>
      <c r="HB12" s="1" t="n">
        <f aca="false">IF(AND('Daily Workforce'!$N199="Y",'Daily Workforce'!$B199&lt;&gt;"",COUNTIF('Daily Schedule'!$F$5:$F15,'Daily Workforce'!$B199)=0,IF('Daily Schedule'!$A16=45,'Daily Workforce'!$J199="Y",IF(OR('Daily Schedule'!$A16=4,'Daily Schedule'!$A16=8),IF(OR(WEEKDAY('Daily Schedule'!$B$2,2)=1,WEEKDAY('Daily Schedule'!$B$2,2)=4,WEEKDAY('Daily Schedule'!$B$2,2)=5,WEEKDAY('Daily Schedule'!$B$2,2)=7),IFERROR(1*'Daily Workforce'!$K199&gt;=3,FALSE()),IFERROR(1*'Daily Workforce'!$K199&gt;=2,FALSE())),IF(AND('Daily Schedule'!$A16&gt;=46,'Daily Schedule'!$A16&lt;=52),'Daily Workforce'!$M199="Y",IFERROR(1*'Daily Workforce'!$P199&gt;=2,FALSE()))))),1,0)</f>
        <v>0</v>
      </c>
      <c r="HC12" s="1" t="n">
        <f aca="false">IF(AND('Daily Workforce'!$N200="Y",'Daily Workforce'!$B200&lt;&gt;"",COUNTIF('Daily Schedule'!$F$5:$F15,'Daily Workforce'!$B200)=0,IF('Daily Schedule'!$A16=45,'Daily Workforce'!$J200="Y",IF(OR('Daily Schedule'!$A16=4,'Daily Schedule'!$A16=8),IF(OR(WEEKDAY('Daily Schedule'!$B$2,2)=1,WEEKDAY('Daily Schedule'!$B$2,2)=4,WEEKDAY('Daily Schedule'!$B$2,2)=5,WEEKDAY('Daily Schedule'!$B$2,2)=7),IFERROR(1*'Daily Workforce'!$K200&gt;=3,FALSE()),IFERROR(1*'Daily Workforce'!$K200&gt;=2,FALSE())),IF(AND('Daily Schedule'!$A16&gt;=46,'Daily Schedule'!$A16&lt;=52),'Daily Workforce'!$M200="Y",IFERROR(1*'Daily Workforce'!$P200&gt;=2,FALSE()))))),1,0)</f>
        <v>0</v>
      </c>
      <c r="HD12" s="1" t="n">
        <f aca="false">IF(AND('Daily Workforce'!$N201="Y",'Daily Workforce'!$B201&lt;&gt;"",COUNTIF('Daily Schedule'!$F$5:$F15,'Daily Workforce'!$B201)=0,IF('Daily Schedule'!$A16=45,'Daily Workforce'!$J201="Y",IF(OR('Daily Schedule'!$A16=4,'Daily Schedule'!$A16=8),IF(OR(WEEKDAY('Daily Schedule'!$B$2,2)=1,WEEKDAY('Daily Schedule'!$B$2,2)=4,WEEKDAY('Daily Schedule'!$B$2,2)=5,WEEKDAY('Daily Schedule'!$B$2,2)=7),IFERROR(1*'Daily Workforce'!$K201&gt;=3,FALSE()),IFERROR(1*'Daily Workforce'!$K201&gt;=2,FALSE())),IF(AND('Daily Schedule'!$A16&gt;=46,'Daily Schedule'!$A16&lt;=52),'Daily Workforce'!$M201="Y",IFERROR(1*'Daily Workforce'!$P201&gt;=2,FALSE()))))),1,0)</f>
        <v>0</v>
      </c>
      <c r="HE12" s="1" t="n">
        <f aca="false">IF(AND('Daily Workforce'!$N202="Y",'Daily Workforce'!$B202&lt;&gt;"",COUNTIF('Daily Schedule'!$F$5:$F15,'Daily Workforce'!$B202)=0,IF('Daily Schedule'!$A16=45,'Daily Workforce'!$J202="Y",IF(OR('Daily Schedule'!$A16=4,'Daily Schedule'!$A16=8),IF(OR(WEEKDAY('Daily Schedule'!$B$2,2)=1,WEEKDAY('Daily Schedule'!$B$2,2)=4,WEEKDAY('Daily Schedule'!$B$2,2)=5,WEEKDAY('Daily Schedule'!$B$2,2)=7),IFERROR(1*'Daily Workforce'!$K202&gt;=3,FALSE()),IFERROR(1*'Daily Workforce'!$K202&gt;=2,FALSE())),IF(AND('Daily Schedule'!$A16&gt;=46,'Daily Schedule'!$A16&lt;=52),'Daily Workforce'!$M202="Y",IFERROR(1*'Daily Workforce'!$P202&gt;=2,FALSE()))))),1,0)</f>
        <v>0</v>
      </c>
      <c r="HF12" s="1" t="n">
        <f aca="false">IF(AND('Daily Workforce'!$N203="Y",'Daily Workforce'!$B203&lt;&gt;"",COUNTIF('Daily Schedule'!$F$5:$F15,'Daily Workforce'!$B203)=0,IF('Daily Schedule'!$A16=45,'Daily Workforce'!$J203="Y",IF(OR('Daily Schedule'!$A16=4,'Daily Schedule'!$A16=8),IF(OR(WEEKDAY('Daily Schedule'!$B$2,2)=1,WEEKDAY('Daily Schedule'!$B$2,2)=4,WEEKDAY('Daily Schedule'!$B$2,2)=5,WEEKDAY('Daily Schedule'!$B$2,2)=7),IFERROR(1*'Daily Workforce'!$K203&gt;=3,FALSE()),IFERROR(1*'Daily Workforce'!$K203&gt;=2,FALSE())),IF(AND('Daily Schedule'!$A16&gt;=46,'Daily Schedule'!$A16&lt;=52),'Daily Workforce'!$M203="Y",IFERROR(1*'Daily Workforce'!$P203&gt;=2,FALSE()))))),1,0)</f>
        <v>0</v>
      </c>
      <c r="HG12" s="1" t="n">
        <f aca="false">IF(AND('Daily Workforce'!$N204="Y",'Daily Workforce'!$B204&lt;&gt;"",COUNTIF('Daily Schedule'!$F$5:$F15,'Daily Workforce'!$B204)=0,IF('Daily Schedule'!$A16=45,'Daily Workforce'!$J204="Y",IF(OR('Daily Schedule'!$A16=4,'Daily Schedule'!$A16=8),IF(OR(WEEKDAY('Daily Schedule'!$B$2,2)=1,WEEKDAY('Daily Schedule'!$B$2,2)=4,WEEKDAY('Daily Schedule'!$B$2,2)=5,WEEKDAY('Daily Schedule'!$B$2,2)=7),IFERROR(1*'Daily Workforce'!$K204&gt;=3,FALSE()),IFERROR(1*'Daily Workforce'!$K204&gt;=2,FALSE())),IF(AND('Daily Schedule'!$A16&gt;=46,'Daily Schedule'!$A16&lt;=52),'Daily Workforce'!$M204="Y",IFERROR(1*'Daily Workforce'!$P204&gt;=2,FALSE()))))),1,0)</f>
        <v>0</v>
      </c>
      <c r="HH12" s="1" t="n">
        <f aca="false">IF(AND('Daily Workforce'!$N205="Y",'Daily Workforce'!$B205&lt;&gt;"",COUNTIF('Daily Schedule'!$F$5:$F15,'Daily Workforce'!$B205)=0,IF('Daily Schedule'!$A16=45,'Daily Workforce'!$J205="Y",IF(OR('Daily Schedule'!$A16=4,'Daily Schedule'!$A16=8),IF(OR(WEEKDAY('Daily Schedule'!$B$2,2)=1,WEEKDAY('Daily Schedule'!$B$2,2)=4,WEEKDAY('Daily Schedule'!$B$2,2)=5,WEEKDAY('Daily Schedule'!$B$2,2)=7),IFERROR(1*'Daily Workforce'!$K205&gt;=3,FALSE()),IFERROR(1*'Daily Workforce'!$K205&gt;=2,FALSE())),IF(AND('Daily Schedule'!$A16&gt;=46,'Daily Schedule'!$A16&lt;=52),'Daily Workforce'!$M205="Y",IFERROR(1*'Daily Workforce'!$P205&gt;=2,FALSE()))))),1,0)</f>
        <v>0</v>
      </c>
    </row>
    <row r="13" customFormat="false" ht="15" hidden="false" customHeight="true" outlineLevel="0" collapsed="false">
      <c r="L13" s="1" t="s">
        <v>804</v>
      </c>
      <c r="O13" s="1" t="n">
        <f aca="false">IF(AND('Employee Master'!$G13="Y",ISERROR(SEARCH(TEXT('Daily Workforce'!$B$2,"ddd"),'Employee Master'!$D13)),IF('Daily Workforce'!$E$2="",TRUE(),'Employee Master'!$I13='Daily Workforce'!$E$2)),'Employee Master'!$K13*1000+ROW()-1,"")</f>
        <v>3012</v>
      </c>
      <c r="P13" s="1" t="n">
        <f aca="false">IF($O13="","",COUNTIF($O$2:$O$159,"&lt;="&amp;$O13))</f>
        <v>59</v>
      </c>
      <c r="Q13" s="1" t="n">
        <f aca="false">IF(AND('Daily Workforce'!$N6="Y",'Daily Workforce'!$B6&lt;&gt;"",COUNTIF('Daily Schedule'!$F$5:$F16,'Daily Workforce'!$B6)=0,IF('Daily Schedule'!$A17=45,'Daily Workforce'!$J6="Y",IF(OR('Daily Schedule'!$A17=4,'Daily Schedule'!$A17=8),IF(OR(WEEKDAY('Daily Schedule'!$B$2,2)=1,WEEKDAY('Daily Schedule'!$B$2,2)=4,WEEKDAY('Daily Schedule'!$B$2,2)=5,WEEKDAY('Daily Schedule'!$B$2,2)=7),IFERROR(1*'Daily Workforce'!$K6&gt;=3,FALSE()),IFERROR(1*'Daily Workforce'!$K6&gt;=2,FALSE())),IF(AND('Daily Schedule'!$A17&gt;=46,'Daily Schedule'!$A17&lt;=52),'Daily Workforce'!$M6="Y",IFERROR(1*'Daily Workforce'!$P6&gt;=2,FALSE()))))),1,0)</f>
        <v>0</v>
      </c>
      <c r="R13" s="1" t="n">
        <f aca="false">IF(AND('Daily Workforce'!$N7="Y",'Daily Workforce'!$B7&lt;&gt;"",COUNTIF('Daily Schedule'!$F$5:$F16,'Daily Workforce'!$B7)=0,IF('Daily Schedule'!$A17=45,'Daily Workforce'!$J7="Y",IF(OR('Daily Schedule'!$A17=4,'Daily Schedule'!$A17=8),IF(OR(WEEKDAY('Daily Schedule'!$B$2,2)=1,WEEKDAY('Daily Schedule'!$B$2,2)=4,WEEKDAY('Daily Schedule'!$B$2,2)=5,WEEKDAY('Daily Schedule'!$B$2,2)=7),IFERROR(1*'Daily Workforce'!$K7&gt;=3,FALSE()),IFERROR(1*'Daily Workforce'!$K7&gt;=2,FALSE())),IF(AND('Daily Schedule'!$A17&gt;=46,'Daily Schedule'!$A17&lt;=52),'Daily Workforce'!$M7="Y",IFERROR(1*'Daily Workforce'!$P7&gt;=2,FALSE()))))),1,0)</f>
        <v>0</v>
      </c>
      <c r="S13" s="1" t="n">
        <f aca="false">IF(AND('Daily Workforce'!$N8="Y",'Daily Workforce'!$B8&lt;&gt;"",COUNTIF('Daily Schedule'!$F$5:$F16,'Daily Workforce'!$B8)=0,IF('Daily Schedule'!$A17=45,'Daily Workforce'!$J8="Y",IF(OR('Daily Schedule'!$A17=4,'Daily Schedule'!$A17=8),IF(OR(WEEKDAY('Daily Schedule'!$B$2,2)=1,WEEKDAY('Daily Schedule'!$B$2,2)=4,WEEKDAY('Daily Schedule'!$B$2,2)=5,WEEKDAY('Daily Schedule'!$B$2,2)=7),IFERROR(1*'Daily Workforce'!$K8&gt;=3,FALSE()),IFERROR(1*'Daily Workforce'!$K8&gt;=2,FALSE())),IF(AND('Daily Schedule'!$A17&gt;=46,'Daily Schedule'!$A17&lt;=52),'Daily Workforce'!$M8="Y",IFERROR(1*'Daily Workforce'!$P8&gt;=2,FALSE()))))),1,0)</f>
        <v>0</v>
      </c>
      <c r="T13" s="1" t="n">
        <f aca="false">IF(AND('Daily Workforce'!$N9="Y",'Daily Workforce'!$B9&lt;&gt;"",COUNTIF('Daily Schedule'!$F$5:$F16,'Daily Workforce'!$B9)=0,IF('Daily Schedule'!$A17=45,'Daily Workforce'!$J9="Y",IF(OR('Daily Schedule'!$A17=4,'Daily Schedule'!$A17=8),IF(OR(WEEKDAY('Daily Schedule'!$B$2,2)=1,WEEKDAY('Daily Schedule'!$B$2,2)=4,WEEKDAY('Daily Schedule'!$B$2,2)=5,WEEKDAY('Daily Schedule'!$B$2,2)=7),IFERROR(1*'Daily Workforce'!$K9&gt;=3,FALSE()),IFERROR(1*'Daily Workforce'!$K9&gt;=2,FALSE())),IF(AND('Daily Schedule'!$A17&gt;=46,'Daily Schedule'!$A17&lt;=52),'Daily Workforce'!$M9="Y",IFERROR(1*'Daily Workforce'!$P9&gt;=2,FALSE()))))),1,0)</f>
        <v>0</v>
      </c>
      <c r="U13" s="1" t="n">
        <f aca="false">IF(AND('Daily Workforce'!$N10="Y",'Daily Workforce'!$B10&lt;&gt;"",COUNTIF('Daily Schedule'!$F$5:$F16,'Daily Workforce'!$B10)=0,IF('Daily Schedule'!$A17=45,'Daily Workforce'!$J10="Y",IF(OR('Daily Schedule'!$A17=4,'Daily Schedule'!$A17=8),IF(OR(WEEKDAY('Daily Schedule'!$B$2,2)=1,WEEKDAY('Daily Schedule'!$B$2,2)=4,WEEKDAY('Daily Schedule'!$B$2,2)=5,WEEKDAY('Daily Schedule'!$B$2,2)=7),IFERROR(1*'Daily Workforce'!$K10&gt;=3,FALSE()),IFERROR(1*'Daily Workforce'!$K10&gt;=2,FALSE())),IF(AND('Daily Schedule'!$A17&gt;=46,'Daily Schedule'!$A17&lt;=52),'Daily Workforce'!$M10="Y",IFERROR(1*'Daily Workforce'!$P10&gt;=2,FALSE()))))),1,0)</f>
        <v>0</v>
      </c>
      <c r="V13" s="1" t="n">
        <f aca="false">IF(AND('Daily Workforce'!$N11="Y",'Daily Workforce'!$B11&lt;&gt;"",COUNTIF('Daily Schedule'!$F$5:$F16,'Daily Workforce'!$B11)=0,IF('Daily Schedule'!$A17=45,'Daily Workforce'!$J11="Y",IF(OR('Daily Schedule'!$A17=4,'Daily Schedule'!$A17=8),IF(OR(WEEKDAY('Daily Schedule'!$B$2,2)=1,WEEKDAY('Daily Schedule'!$B$2,2)=4,WEEKDAY('Daily Schedule'!$B$2,2)=5,WEEKDAY('Daily Schedule'!$B$2,2)=7),IFERROR(1*'Daily Workforce'!$K11&gt;=3,FALSE()),IFERROR(1*'Daily Workforce'!$K11&gt;=2,FALSE())),IF(AND('Daily Schedule'!$A17&gt;=46,'Daily Schedule'!$A17&lt;=52),'Daily Workforce'!$M11="Y",IFERROR(1*'Daily Workforce'!$P11&gt;=2,FALSE()))))),1,0)</f>
        <v>0</v>
      </c>
      <c r="W13" s="1" t="n">
        <f aca="false">IF(AND('Daily Workforce'!$N12="Y",'Daily Workforce'!$B12&lt;&gt;"",COUNTIF('Daily Schedule'!$F$5:$F16,'Daily Workforce'!$B12)=0,IF('Daily Schedule'!$A17=45,'Daily Workforce'!$J12="Y",IF(OR('Daily Schedule'!$A17=4,'Daily Schedule'!$A17=8),IF(OR(WEEKDAY('Daily Schedule'!$B$2,2)=1,WEEKDAY('Daily Schedule'!$B$2,2)=4,WEEKDAY('Daily Schedule'!$B$2,2)=5,WEEKDAY('Daily Schedule'!$B$2,2)=7),IFERROR(1*'Daily Workforce'!$K12&gt;=3,FALSE()),IFERROR(1*'Daily Workforce'!$K12&gt;=2,FALSE())),IF(AND('Daily Schedule'!$A17&gt;=46,'Daily Schedule'!$A17&lt;=52),'Daily Workforce'!$M12="Y",IFERROR(1*'Daily Workforce'!$P12&gt;=2,FALSE()))))),1,0)</f>
        <v>0</v>
      </c>
      <c r="X13" s="1" t="n">
        <f aca="false">IF(AND('Daily Workforce'!$N13="Y",'Daily Workforce'!$B13&lt;&gt;"",COUNTIF('Daily Schedule'!$F$5:$F16,'Daily Workforce'!$B13)=0,IF('Daily Schedule'!$A17=45,'Daily Workforce'!$J13="Y",IF(OR('Daily Schedule'!$A17=4,'Daily Schedule'!$A17=8),IF(OR(WEEKDAY('Daily Schedule'!$B$2,2)=1,WEEKDAY('Daily Schedule'!$B$2,2)=4,WEEKDAY('Daily Schedule'!$B$2,2)=5,WEEKDAY('Daily Schedule'!$B$2,2)=7),IFERROR(1*'Daily Workforce'!$K13&gt;=3,FALSE()),IFERROR(1*'Daily Workforce'!$K13&gt;=2,FALSE())),IF(AND('Daily Schedule'!$A17&gt;=46,'Daily Schedule'!$A17&lt;=52),'Daily Workforce'!$M13="Y",IFERROR(1*'Daily Workforce'!$P13&gt;=2,FALSE()))))),1,0)</f>
        <v>0</v>
      </c>
      <c r="Y13" s="1" t="n">
        <f aca="false">IF(AND('Daily Workforce'!$N14="Y",'Daily Workforce'!$B14&lt;&gt;"",COUNTIF('Daily Schedule'!$F$5:$F16,'Daily Workforce'!$B14)=0,IF('Daily Schedule'!$A17=45,'Daily Workforce'!$J14="Y",IF(OR('Daily Schedule'!$A17=4,'Daily Schedule'!$A17=8),IF(OR(WEEKDAY('Daily Schedule'!$B$2,2)=1,WEEKDAY('Daily Schedule'!$B$2,2)=4,WEEKDAY('Daily Schedule'!$B$2,2)=5,WEEKDAY('Daily Schedule'!$B$2,2)=7),IFERROR(1*'Daily Workforce'!$K14&gt;=3,FALSE()),IFERROR(1*'Daily Workforce'!$K14&gt;=2,FALSE())),IF(AND('Daily Schedule'!$A17&gt;=46,'Daily Schedule'!$A17&lt;=52),'Daily Workforce'!$M14="Y",IFERROR(1*'Daily Workforce'!$P14&gt;=2,FALSE()))))),1,0)</f>
        <v>0</v>
      </c>
      <c r="Z13" s="1" t="n">
        <f aca="false">IF(AND('Daily Workforce'!$N15="Y",'Daily Workforce'!$B15&lt;&gt;"",COUNTIF('Daily Schedule'!$F$5:$F16,'Daily Workforce'!$B15)=0,IF('Daily Schedule'!$A17=45,'Daily Workforce'!$J15="Y",IF(OR('Daily Schedule'!$A17=4,'Daily Schedule'!$A17=8),IF(OR(WEEKDAY('Daily Schedule'!$B$2,2)=1,WEEKDAY('Daily Schedule'!$B$2,2)=4,WEEKDAY('Daily Schedule'!$B$2,2)=5,WEEKDAY('Daily Schedule'!$B$2,2)=7),IFERROR(1*'Daily Workforce'!$K15&gt;=3,FALSE()),IFERROR(1*'Daily Workforce'!$K15&gt;=2,FALSE())),IF(AND('Daily Schedule'!$A17&gt;=46,'Daily Schedule'!$A17&lt;=52),'Daily Workforce'!$M15="Y",IFERROR(1*'Daily Workforce'!$P15&gt;=2,FALSE()))))),1,0)</f>
        <v>0</v>
      </c>
      <c r="AA13" s="1" t="n">
        <f aca="false">IF(AND('Daily Workforce'!$N16="Y",'Daily Workforce'!$B16&lt;&gt;"",COUNTIF('Daily Schedule'!$F$5:$F16,'Daily Workforce'!$B16)=0,IF('Daily Schedule'!$A17=45,'Daily Workforce'!$J16="Y",IF(OR('Daily Schedule'!$A17=4,'Daily Schedule'!$A17=8),IF(OR(WEEKDAY('Daily Schedule'!$B$2,2)=1,WEEKDAY('Daily Schedule'!$B$2,2)=4,WEEKDAY('Daily Schedule'!$B$2,2)=5,WEEKDAY('Daily Schedule'!$B$2,2)=7),IFERROR(1*'Daily Workforce'!$K16&gt;=3,FALSE()),IFERROR(1*'Daily Workforce'!$K16&gt;=2,FALSE())),IF(AND('Daily Schedule'!$A17&gt;=46,'Daily Schedule'!$A17&lt;=52),'Daily Workforce'!$M16="Y",IFERROR(1*'Daily Workforce'!$P16&gt;=2,FALSE()))))),1,0)</f>
        <v>0</v>
      </c>
      <c r="AB13" s="1" t="n">
        <f aca="false">IF(AND('Daily Workforce'!$N17="Y",'Daily Workforce'!$B17&lt;&gt;"",COUNTIF('Daily Schedule'!$F$5:$F16,'Daily Workforce'!$B17)=0,IF('Daily Schedule'!$A17=45,'Daily Workforce'!$J17="Y",IF(OR('Daily Schedule'!$A17=4,'Daily Schedule'!$A17=8),IF(OR(WEEKDAY('Daily Schedule'!$B$2,2)=1,WEEKDAY('Daily Schedule'!$B$2,2)=4,WEEKDAY('Daily Schedule'!$B$2,2)=5,WEEKDAY('Daily Schedule'!$B$2,2)=7),IFERROR(1*'Daily Workforce'!$K17&gt;=3,FALSE()),IFERROR(1*'Daily Workforce'!$K17&gt;=2,FALSE())),IF(AND('Daily Schedule'!$A17&gt;=46,'Daily Schedule'!$A17&lt;=52),'Daily Workforce'!$M17="Y",IFERROR(1*'Daily Workforce'!$P17&gt;=2,FALSE()))))),1,0)</f>
        <v>0</v>
      </c>
      <c r="AC13" s="1" t="n">
        <f aca="false">IF(AND('Daily Workforce'!$N18="Y",'Daily Workforce'!$B18&lt;&gt;"",COUNTIF('Daily Schedule'!$F$5:$F16,'Daily Workforce'!$B18)=0,IF('Daily Schedule'!$A17=45,'Daily Workforce'!$J18="Y",IF(OR('Daily Schedule'!$A17=4,'Daily Schedule'!$A17=8),IF(OR(WEEKDAY('Daily Schedule'!$B$2,2)=1,WEEKDAY('Daily Schedule'!$B$2,2)=4,WEEKDAY('Daily Schedule'!$B$2,2)=5,WEEKDAY('Daily Schedule'!$B$2,2)=7),IFERROR(1*'Daily Workforce'!$K18&gt;=3,FALSE()),IFERROR(1*'Daily Workforce'!$K18&gt;=2,FALSE())),IF(AND('Daily Schedule'!$A17&gt;=46,'Daily Schedule'!$A17&lt;=52),'Daily Workforce'!$M18="Y",IFERROR(1*'Daily Workforce'!$P18&gt;=2,FALSE()))))),1,0)</f>
        <v>0</v>
      </c>
      <c r="AD13" s="1" t="n">
        <f aca="false">IF(AND('Daily Workforce'!$N19="Y",'Daily Workforce'!$B19&lt;&gt;"",COUNTIF('Daily Schedule'!$F$5:$F16,'Daily Workforce'!$B19)=0,IF('Daily Schedule'!$A17=45,'Daily Workforce'!$J19="Y",IF(OR('Daily Schedule'!$A17=4,'Daily Schedule'!$A17=8),IF(OR(WEEKDAY('Daily Schedule'!$B$2,2)=1,WEEKDAY('Daily Schedule'!$B$2,2)=4,WEEKDAY('Daily Schedule'!$B$2,2)=5,WEEKDAY('Daily Schedule'!$B$2,2)=7),IFERROR(1*'Daily Workforce'!$K19&gt;=3,FALSE()),IFERROR(1*'Daily Workforce'!$K19&gt;=2,FALSE())),IF(AND('Daily Schedule'!$A17&gt;=46,'Daily Schedule'!$A17&lt;=52),'Daily Workforce'!$M19="Y",IFERROR(1*'Daily Workforce'!$P19&gt;=2,FALSE()))))),1,0)</f>
        <v>0</v>
      </c>
      <c r="AE13" s="1" t="n">
        <f aca="false">IF(AND('Daily Workforce'!$N20="Y",'Daily Workforce'!$B20&lt;&gt;"",COUNTIF('Daily Schedule'!$F$5:$F16,'Daily Workforce'!$B20)=0,IF('Daily Schedule'!$A17=45,'Daily Workforce'!$J20="Y",IF(OR('Daily Schedule'!$A17=4,'Daily Schedule'!$A17=8),IF(OR(WEEKDAY('Daily Schedule'!$B$2,2)=1,WEEKDAY('Daily Schedule'!$B$2,2)=4,WEEKDAY('Daily Schedule'!$B$2,2)=5,WEEKDAY('Daily Schedule'!$B$2,2)=7),IFERROR(1*'Daily Workforce'!$K20&gt;=3,FALSE()),IFERROR(1*'Daily Workforce'!$K20&gt;=2,FALSE())),IF(AND('Daily Schedule'!$A17&gt;=46,'Daily Schedule'!$A17&lt;=52),'Daily Workforce'!$M20="Y",IFERROR(1*'Daily Workforce'!$P20&gt;=2,FALSE()))))),1,0)</f>
        <v>0</v>
      </c>
      <c r="AF13" s="1" t="n">
        <f aca="false">IF(AND('Daily Workforce'!$N21="Y",'Daily Workforce'!$B21&lt;&gt;"",COUNTIF('Daily Schedule'!$F$5:$F16,'Daily Workforce'!$B21)=0,IF('Daily Schedule'!$A17=45,'Daily Workforce'!$J21="Y",IF(OR('Daily Schedule'!$A17=4,'Daily Schedule'!$A17=8),IF(OR(WEEKDAY('Daily Schedule'!$B$2,2)=1,WEEKDAY('Daily Schedule'!$B$2,2)=4,WEEKDAY('Daily Schedule'!$B$2,2)=5,WEEKDAY('Daily Schedule'!$B$2,2)=7),IFERROR(1*'Daily Workforce'!$K21&gt;=3,FALSE()),IFERROR(1*'Daily Workforce'!$K21&gt;=2,FALSE())),IF(AND('Daily Schedule'!$A17&gt;=46,'Daily Schedule'!$A17&lt;=52),'Daily Workforce'!$M21="Y",IFERROR(1*'Daily Workforce'!$P21&gt;=2,FALSE()))))),1,0)</f>
        <v>0</v>
      </c>
      <c r="AG13" s="1" t="n">
        <f aca="false">IF(AND('Daily Workforce'!$N22="Y",'Daily Workforce'!$B22&lt;&gt;"",COUNTIF('Daily Schedule'!$F$5:$F16,'Daily Workforce'!$B22)=0,IF('Daily Schedule'!$A17=45,'Daily Workforce'!$J22="Y",IF(OR('Daily Schedule'!$A17=4,'Daily Schedule'!$A17=8),IF(OR(WEEKDAY('Daily Schedule'!$B$2,2)=1,WEEKDAY('Daily Schedule'!$B$2,2)=4,WEEKDAY('Daily Schedule'!$B$2,2)=5,WEEKDAY('Daily Schedule'!$B$2,2)=7),IFERROR(1*'Daily Workforce'!$K22&gt;=3,FALSE()),IFERROR(1*'Daily Workforce'!$K22&gt;=2,FALSE())),IF(AND('Daily Schedule'!$A17&gt;=46,'Daily Schedule'!$A17&lt;=52),'Daily Workforce'!$M22="Y",IFERROR(1*'Daily Workforce'!$P22&gt;=2,FALSE()))))),1,0)</f>
        <v>0</v>
      </c>
      <c r="AH13" s="1" t="n">
        <f aca="false">IF(AND('Daily Workforce'!$N23="Y",'Daily Workforce'!$B23&lt;&gt;"",COUNTIF('Daily Schedule'!$F$5:$F16,'Daily Workforce'!$B23)=0,IF('Daily Schedule'!$A17=45,'Daily Workforce'!$J23="Y",IF(OR('Daily Schedule'!$A17=4,'Daily Schedule'!$A17=8),IF(OR(WEEKDAY('Daily Schedule'!$B$2,2)=1,WEEKDAY('Daily Schedule'!$B$2,2)=4,WEEKDAY('Daily Schedule'!$B$2,2)=5,WEEKDAY('Daily Schedule'!$B$2,2)=7),IFERROR(1*'Daily Workforce'!$K23&gt;=3,FALSE()),IFERROR(1*'Daily Workforce'!$K23&gt;=2,FALSE())),IF(AND('Daily Schedule'!$A17&gt;=46,'Daily Schedule'!$A17&lt;=52),'Daily Workforce'!$M23="Y",IFERROR(1*'Daily Workforce'!$P23&gt;=2,FALSE()))))),1,0)</f>
        <v>0</v>
      </c>
      <c r="AI13" s="1" t="n">
        <f aca="false">IF(AND('Daily Workforce'!$N24="Y",'Daily Workforce'!$B24&lt;&gt;"",COUNTIF('Daily Schedule'!$F$5:$F16,'Daily Workforce'!$B24)=0,IF('Daily Schedule'!$A17=45,'Daily Workforce'!$J24="Y",IF(OR('Daily Schedule'!$A17=4,'Daily Schedule'!$A17=8),IF(OR(WEEKDAY('Daily Schedule'!$B$2,2)=1,WEEKDAY('Daily Schedule'!$B$2,2)=4,WEEKDAY('Daily Schedule'!$B$2,2)=5,WEEKDAY('Daily Schedule'!$B$2,2)=7),IFERROR(1*'Daily Workforce'!$K24&gt;=3,FALSE()),IFERROR(1*'Daily Workforce'!$K24&gt;=2,FALSE())),IF(AND('Daily Schedule'!$A17&gt;=46,'Daily Schedule'!$A17&lt;=52),'Daily Workforce'!$M24="Y",IFERROR(1*'Daily Workforce'!$P24&gt;=2,FALSE()))))),1,0)</f>
        <v>0</v>
      </c>
      <c r="AJ13" s="1" t="n">
        <f aca="false">IF(AND('Daily Workforce'!$N25="Y",'Daily Workforce'!$B25&lt;&gt;"",COUNTIF('Daily Schedule'!$F$5:$F16,'Daily Workforce'!$B25)=0,IF('Daily Schedule'!$A17=45,'Daily Workforce'!$J25="Y",IF(OR('Daily Schedule'!$A17=4,'Daily Schedule'!$A17=8),IF(OR(WEEKDAY('Daily Schedule'!$B$2,2)=1,WEEKDAY('Daily Schedule'!$B$2,2)=4,WEEKDAY('Daily Schedule'!$B$2,2)=5,WEEKDAY('Daily Schedule'!$B$2,2)=7),IFERROR(1*'Daily Workforce'!$K25&gt;=3,FALSE()),IFERROR(1*'Daily Workforce'!$K25&gt;=2,FALSE())),IF(AND('Daily Schedule'!$A17&gt;=46,'Daily Schedule'!$A17&lt;=52),'Daily Workforce'!$M25="Y",IFERROR(1*'Daily Workforce'!$P25&gt;=2,FALSE()))))),1,0)</f>
        <v>0</v>
      </c>
      <c r="AK13" s="1" t="n">
        <f aca="false">IF(AND('Daily Workforce'!$N26="Y",'Daily Workforce'!$B26&lt;&gt;"",COUNTIF('Daily Schedule'!$F$5:$F16,'Daily Workforce'!$B26)=0,IF('Daily Schedule'!$A17=45,'Daily Workforce'!$J26="Y",IF(OR('Daily Schedule'!$A17=4,'Daily Schedule'!$A17=8),IF(OR(WEEKDAY('Daily Schedule'!$B$2,2)=1,WEEKDAY('Daily Schedule'!$B$2,2)=4,WEEKDAY('Daily Schedule'!$B$2,2)=5,WEEKDAY('Daily Schedule'!$B$2,2)=7),IFERROR(1*'Daily Workforce'!$K26&gt;=3,FALSE()),IFERROR(1*'Daily Workforce'!$K26&gt;=2,FALSE())),IF(AND('Daily Schedule'!$A17&gt;=46,'Daily Schedule'!$A17&lt;=52),'Daily Workforce'!$M26="Y",IFERROR(1*'Daily Workforce'!$P26&gt;=2,FALSE()))))),1,0)</f>
        <v>0</v>
      </c>
      <c r="AL13" s="1" t="n">
        <f aca="false">IF(AND('Daily Workforce'!$N27="Y",'Daily Workforce'!$B27&lt;&gt;"",COUNTIF('Daily Schedule'!$F$5:$F16,'Daily Workforce'!$B27)=0,IF('Daily Schedule'!$A17=45,'Daily Workforce'!$J27="Y",IF(OR('Daily Schedule'!$A17=4,'Daily Schedule'!$A17=8),IF(OR(WEEKDAY('Daily Schedule'!$B$2,2)=1,WEEKDAY('Daily Schedule'!$B$2,2)=4,WEEKDAY('Daily Schedule'!$B$2,2)=5,WEEKDAY('Daily Schedule'!$B$2,2)=7),IFERROR(1*'Daily Workforce'!$K27&gt;=3,FALSE()),IFERROR(1*'Daily Workforce'!$K27&gt;=2,FALSE())),IF(AND('Daily Schedule'!$A17&gt;=46,'Daily Schedule'!$A17&lt;=52),'Daily Workforce'!$M27="Y",IFERROR(1*'Daily Workforce'!$P27&gt;=2,FALSE()))))),1,0)</f>
        <v>0</v>
      </c>
      <c r="AM13" s="1" t="n">
        <f aca="false">IF(AND('Daily Workforce'!$N28="Y",'Daily Workforce'!$B28&lt;&gt;"",COUNTIF('Daily Schedule'!$F$5:$F16,'Daily Workforce'!$B28)=0,IF('Daily Schedule'!$A17=45,'Daily Workforce'!$J28="Y",IF(OR('Daily Schedule'!$A17=4,'Daily Schedule'!$A17=8),IF(OR(WEEKDAY('Daily Schedule'!$B$2,2)=1,WEEKDAY('Daily Schedule'!$B$2,2)=4,WEEKDAY('Daily Schedule'!$B$2,2)=5,WEEKDAY('Daily Schedule'!$B$2,2)=7),IFERROR(1*'Daily Workforce'!$K28&gt;=3,FALSE()),IFERROR(1*'Daily Workforce'!$K28&gt;=2,FALSE())),IF(AND('Daily Schedule'!$A17&gt;=46,'Daily Schedule'!$A17&lt;=52),'Daily Workforce'!$M28="Y",IFERROR(1*'Daily Workforce'!$P28&gt;=2,FALSE()))))),1,0)</f>
        <v>0</v>
      </c>
      <c r="AN13" s="1" t="n">
        <f aca="false">IF(AND('Daily Workforce'!$N29="Y",'Daily Workforce'!$B29&lt;&gt;"",COUNTIF('Daily Schedule'!$F$5:$F16,'Daily Workforce'!$B29)=0,IF('Daily Schedule'!$A17=45,'Daily Workforce'!$J29="Y",IF(OR('Daily Schedule'!$A17=4,'Daily Schedule'!$A17=8),IF(OR(WEEKDAY('Daily Schedule'!$B$2,2)=1,WEEKDAY('Daily Schedule'!$B$2,2)=4,WEEKDAY('Daily Schedule'!$B$2,2)=5,WEEKDAY('Daily Schedule'!$B$2,2)=7),IFERROR(1*'Daily Workforce'!$K29&gt;=3,FALSE()),IFERROR(1*'Daily Workforce'!$K29&gt;=2,FALSE())),IF(AND('Daily Schedule'!$A17&gt;=46,'Daily Schedule'!$A17&lt;=52),'Daily Workforce'!$M29="Y",IFERROR(1*'Daily Workforce'!$P29&gt;=2,FALSE()))))),1,0)</f>
        <v>0</v>
      </c>
      <c r="AO13" s="1" t="n">
        <f aca="false">IF(AND('Daily Workforce'!$N30="Y",'Daily Workforce'!$B30&lt;&gt;"",COUNTIF('Daily Schedule'!$F$5:$F16,'Daily Workforce'!$B30)=0,IF('Daily Schedule'!$A17=45,'Daily Workforce'!$J30="Y",IF(OR('Daily Schedule'!$A17=4,'Daily Schedule'!$A17=8),IF(OR(WEEKDAY('Daily Schedule'!$B$2,2)=1,WEEKDAY('Daily Schedule'!$B$2,2)=4,WEEKDAY('Daily Schedule'!$B$2,2)=5,WEEKDAY('Daily Schedule'!$B$2,2)=7),IFERROR(1*'Daily Workforce'!$K30&gt;=3,FALSE()),IFERROR(1*'Daily Workforce'!$K30&gt;=2,FALSE())),IF(AND('Daily Schedule'!$A17&gt;=46,'Daily Schedule'!$A17&lt;=52),'Daily Workforce'!$M30="Y",IFERROR(1*'Daily Workforce'!$P30&gt;=2,FALSE()))))),1,0)</f>
        <v>0</v>
      </c>
      <c r="AP13" s="1" t="n">
        <f aca="false">IF(AND('Daily Workforce'!$N31="Y",'Daily Workforce'!$B31&lt;&gt;"",COUNTIF('Daily Schedule'!$F$5:$F16,'Daily Workforce'!$B31)=0,IF('Daily Schedule'!$A17=45,'Daily Workforce'!$J31="Y",IF(OR('Daily Schedule'!$A17=4,'Daily Schedule'!$A17=8),IF(OR(WEEKDAY('Daily Schedule'!$B$2,2)=1,WEEKDAY('Daily Schedule'!$B$2,2)=4,WEEKDAY('Daily Schedule'!$B$2,2)=5,WEEKDAY('Daily Schedule'!$B$2,2)=7),IFERROR(1*'Daily Workforce'!$K31&gt;=3,FALSE()),IFERROR(1*'Daily Workforce'!$K31&gt;=2,FALSE())),IF(AND('Daily Schedule'!$A17&gt;=46,'Daily Schedule'!$A17&lt;=52),'Daily Workforce'!$M31="Y",IFERROR(1*'Daily Workforce'!$P31&gt;=2,FALSE()))))),1,0)</f>
        <v>0</v>
      </c>
      <c r="AQ13" s="1" t="n">
        <f aca="false">IF(AND('Daily Workforce'!$N32="Y",'Daily Workforce'!$B32&lt;&gt;"",COUNTIF('Daily Schedule'!$F$5:$F16,'Daily Workforce'!$B32)=0,IF('Daily Schedule'!$A17=45,'Daily Workforce'!$J32="Y",IF(OR('Daily Schedule'!$A17=4,'Daily Schedule'!$A17=8),IF(OR(WEEKDAY('Daily Schedule'!$B$2,2)=1,WEEKDAY('Daily Schedule'!$B$2,2)=4,WEEKDAY('Daily Schedule'!$B$2,2)=5,WEEKDAY('Daily Schedule'!$B$2,2)=7),IFERROR(1*'Daily Workforce'!$K32&gt;=3,FALSE()),IFERROR(1*'Daily Workforce'!$K32&gt;=2,FALSE())),IF(AND('Daily Schedule'!$A17&gt;=46,'Daily Schedule'!$A17&lt;=52),'Daily Workforce'!$M32="Y",IFERROR(1*'Daily Workforce'!$P32&gt;=2,FALSE()))))),1,0)</f>
        <v>0</v>
      </c>
      <c r="AR13" s="1" t="n">
        <f aca="false">IF(AND('Daily Workforce'!$N33="Y",'Daily Workforce'!$B33&lt;&gt;"",COUNTIF('Daily Schedule'!$F$5:$F16,'Daily Workforce'!$B33)=0,IF('Daily Schedule'!$A17=45,'Daily Workforce'!$J33="Y",IF(OR('Daily Schedule'!$A17=4,'Daily Schedule'!$A17=8),IF(OR(WEEKDAY('Daily Schedule'!$B$2,2)=1,WEEKDAY('Daily Schedule'!$B$2,2)=4,WEEKDAY('Daily Schedule'!$B$2,2)=5,WEEKDAY('Daily Schedule'!$B$2,2)=7),IFERROR(1*'Daily Workforce'!$K33&gt;=3,FALSE()),IFERROR(1*'Daily Workforce'!$K33&gt;=2,FALSE())),IF(AND('Daily Schedule'!$A17&gt;=46,'Daily Schedule'!$A17&lt;=52),'Daily Workforce'!$M33="Y",IFERROR(1*'Daily Workforce'!$P33&gt;=2,FALSE()))))),1,0)</f>
        <v>0</v>
      </c>
      <c r="AS13" s="1" t="n">
        <f aca="false">IF(AND('Daily Workforce'!$N34="Y",'Daily Workforce'!$B34&lt;&gt;"",COUNTIF('Daily Schedule'!$F$5:$F16,'Daily Workforce'!$B34)=0,IF('Daily Schedule'!$A17=45,'Daily Workforce'!$J34="Y",IF(OR('Daily Schedule'!$A17=4,'Daily Schedule'!$A17=8),IF(OR(WEEKDAY('Daily Schedule'!$B$2,2)=1,WEEKDAY('Daily Schedule'!$B$2,2)=4,WEEKDAY('Daily Schedule'!$B$2,2)=5,WEEKDAY('Daily Schedule'!$B$2,2)=7),IFERROR(1*'Daily Workforce'!$K34&gt;=3,FALSE()),IFERROR(1*'Daily Workforce'!$K34&gt;=2,FALSE())),IF(AND('Daily Schedule'!$A17&gt;=46,'Daily Schedule'!$A17&lt;=52),'Daily Workforce'!$M34="Y",IFERROR(1*'Daily Workforce'!$P34&gt;=2,FALSE()))))),1,0)</f>
        <v>0</v>
      </c>
      <c r="AT13" s="1" t="n">
        <f aca="false">IF(AND('Daily Workforce'!$N35="Y",'Daily Workforce'!$B35&lt;&gt;"",COUNTIF('Daily Schedule'!$F$5:$F16,'Daily Workforce'!$B35)=0,IF('Daily Schedule'!$A17=45,'Daily Workforce'!$J35="Y",IF(OR('Daily Schedule'!$A17=4,'Daily Schedule'!$A17=8),IF(OR(WEEKDAY('Daily Schedule'!$B$2,2)=1,WEEKDAY('Daily Schedule'!$B$2,2)=4,WEEKDAY('Daily Schedule'!$B$2,2)=5,WEEKDAY('Daily Schedule'!$B$2,2)=7),IFERROR(1*'Daily Workforce'!$K35&gt;=3,FALSE()),IFERROR(1*'Daily Workforce'!$K35&gt;=2,FALSE())),IF(AND('Daily Schedule'!$A17&gt;=46,'Daily Schedule'!$A17&lt;=52),'Daily Workforce'!$M35="Y",IFERROR(1*'Daily Workforce'!$P35&gt;=2,FALSE()))))),1,0)</f>
        <v>0</v>
      </c>
      <c r="AU13" s="1" t="n">
        <f aca="false">IF(AND('Daily Workforce'!$N36="Y",'Daily Workforce'!$B36&lt;&gt;"",COUNTIF('Daily Schedule'!$F$5:$F16,'Daily Workforce'!$B36)=0,IF('Daily Schedule'!$A17=45,'Daily Workforce'!$J36="Y",IF(OR('Daily Schedule'!$A17=4,'Daily Schedule'!$A17=8),IF(OR(WEEKDAY('Daily Schedule'!$B$2,2)=1,WEEKDAY('Daily Schedule'!$B$2,2)=4,WEEKDAY('Daily Schedule'!$B$2,2)=5,WEEKDAY('Daily Schedule'!$B$2,2)=7),IFERROR(1*'Daily Workforce'!$K36&gt;=3,FALSE()),IFERROR(1*'Daily Workforce'!$K36&gt;=2,FALSE())),IF(AND('Daily Schedule'!$A17&gt;=46,'Daily Schedule'!$A17&lt;=52),'Daily Workforce'!$M36="Y",IFERROR(1*'Daily Workforce'!$P36&gt;=2,FALSE()))))),1,0)</f>
        <v>0</v>
      </c>
      <c r="AV13" s="1" t="n">
        <f aca="false">IF(AND('Daily Workforce'!$N37="Y",'Daily Workforce'!$B37&lt;&gt;"",COUNTIF('Daily Schedule'!$F$5:$F16,'Daily Workforce'!$B37)=0,IF('Daily Schedule'!$A17=45,'Daily Workforce'!$J37="Y",IF(OR('Daily Schedule'!$A17=4,'Daily Schedule'!$A17=8),IF(OR(WEEKDAY('Daily Schedule'!$B$2,2)=1,WEEKDAY('Daily Schedule'!$B$2,2)=4,WEEKDAY('Daily Schedule'!$B$2,2)=5,WEEKDAY('Daily Schedule'!$B$2,2)=7),IFERROR(1*'Daily Workforce'!$K37&gt;=3,FALSE()),IFERROR(1*'Daily Workforce'!$K37&gt;=2,FALSE())),IF(AND('Daily Schedule'!$A17&gt;=46,'Daily Schedule'!$A17&lt;=52),'Daily Workforce'!$M37="Y",IFERROR(1*'Daily Workforce'!$P37&gt;=2,FALSE()))))),1,0)</f>
        <v>0</v>
      </c>
      <c r="AW13" s="1" t="n">
        <f aca="false">IF(AND('Daily Workforce'!$N38="Y",'Daily Workforce'!$B38&lt;&gt;"",COUNTIF('Daily Schedule'!$F$5:$F16,'Daily Workforce'!$B38)=0,IF('Daily Schedule'!$A17=45,'Daily Workforce'!$J38="Y",IF(OR('Daily Schedule'!$A17=4,'Daily Schedule'!$A17=8),IF(OR(WEEKDAY('Daily Schedule'!$B$2,2)=1,WEEKDAY('Daily Schedule'!$B$2,2)=4,WEEKDAY('Daily Schedule'!$B$2,2)=5,WEEKDAY('Daily Schedule'!$B$2,2)=7),IFERROR(1*'Daily Workforce'!$K38&gt;=3,FALSE()),IFERROR(1*'Daily Workforce'!$K38&gt;=2,FALSE())),IF(AND('Daily Schedule'!$A17&gt;=46,'Daily Schedule'!$A17&lt;=52),'Daily Workforce'!$M38="Y",IFERROR(1*'Daily Workforce'!$P38&gt;=2,FALSE()))))),1,0)</f>
        <v>0</v>
      </c>
      <c r="AX13" s="1" t="n">
        <f aca="false">IF(AND('Daily Workforce'!$N39="Y",'Daily Workforce'!$B39&lt;&gt;"",COUNTIF('Daily Schedule'!$F$5:$F16,'Daily Workforce'!$B39)=0,IF('Daily Schedule'!$A17=45,'Daily Workforce'!$J39="Y",IF(OR('Daily Schedule'!$A17=4,'Daily Schedule'!$A17=8),IF(OR(WEEKDAY('Daily Schedule'!$B$2,2)=1,WEEKDAY('Daily Schedule'!$B$2,2)=4,WEEKDAY('Daily Schedule'!$B$2,2)=5,WEEKDAY('Daily Schedule'!$B$2,2)=7),IFERROR(1*'Daily Workforce'!$K39&gt;=3,FALSE()),IFERROR(1*'Daily Workforce'!$K39&gt;=2,FALSE())),IF(AND('Daily Schedule'!$A17&gt;=46,'Daily Schedule'!$A17&lt;=52),'Daily Workforce'!$M39="Y",IFERROR(1*'Daily Workforce'!$P39&gt;=2,FALSE()))))),1,0)</f>
        <v>0</v>
      </c>
      <c r="AY13" s="1" t="n">
        <f aca="false">IF(AND('Daily Workforce'!$N40="Y",'Daily Workforce'!$B40&lt;&gt;"",COUNTIF('Daily Schedule'!$F$5:$F16,'Daily Workforce'!$B40)=0,IF('Daily Schedule'!$A17=45,'Daily Workforce'!$J40="Y",IF(OR('Daily Schedule'!$A17=4,'Daily Schedule'!$A17=8),IF(OR(WEEKDAY('Daily Schedule'!$B$2,2)=1,WEEKDAY('Daily Schedule'!$B$2,2)=4,WEEKDAY('Daily Schedule'!$B$2,2)=5,WEEKDAY('Daily Schedule'!$B$2,2)=7),IFERROR(1*'Daily Workforce'!$K40&gt;=3,FALSE()),IFERROR(1*'Daily Workforce'!$K40&gt;=2,FALSE())),IF(AND('Daily Schedule'!$A17&gt;=46,'Daily Schedule'!$A17&lt;=52),'Daily Workforce'!$M40="Y",IFERROR(1*'Daily Workforce'!$P40&gt;=2,FALSE()))))),1,0)</f>
        <v>0</v>
      </c>
      <c r="AZ13" s="1" t="n">
        <f aca="false">IF(AND('Daily Workforce'!$N41="Y",'Daily Workforce'!$B41&lt;&gt;"",COUNTIF('Daily Schedule'!$F$5:$F16,'Daily Workforce'!$B41)=0,IF('Daily Schedule'!$A17=45,'Daily Workforce'!$J41="Y",IF(OR('Daily Schedule'!$A17=4,'Daily Schedule'!$A17=8),IF(OR(WEEKDAY('Daily Schedule'!$B$2,2)=1,WEEKDAY('Daily Schedule'!$B$2,2)=4,WEEKDAY('Daily Schedule'!$B$2,2)=5,WEEKDAY('Daily Schedule'!$B$2,2)=7),IFERROR(1*'Daily Workforce'!$K41&gt;=3,FALSE()),IFERROR(1*'Daily Workforce'!$K41&gt;=2,FALSE())),IF(AND('Daily Schedule'!$A17&gt;=46,'Daily Schedule'!$A17&lt;=52),'Daily Workforce'!$M41="Y",IFERROR(1*'Daily Workforce'!$P41&gt;=2,FALSE()))))),1,0)</f>
        <v>0</v>
      </c>
      <c r="BA13" s="1" t="n">
        <f aca="false">IF(AND('Daily Workforce'!$N42="Y",'Daily Workforce'!$B42&lt;&gt;"",COUNTIF('Daily Schedule'!$F$5:$F16,'Daily Workforce'!$B42)=0,IF('Daily Schedule'!$A17=45,'Daily Workforce'!$J42="Y",IF(OR('Daily Schedule'!$A17=4,'Daily Schedule'!$A17=8),IF(OR(WEEKDAY('Daily Schedule'!$B$2,2)=1,WEEKDAY('Daily Schedule'!$B$2,2)=4,WEEKDAY('Daily Schedule'!$B$2,2)=5,WEEKDAY('Daily Schedule'!$B$2,2)=7),IFERROR(1*'Daily Workforce'!$K42&gt;=3,FALSE()),IFERROR(1*'Daily Workforce'!$K42&gt;=2,FALSE())),IF(AND('Daily Schedule'!$A17&gt;=46,'Daily Schedule'!$A17&lt;=52),'Daily Workforce'!$M42="Y",IFERROR(1*'Daily Workforce'!$P42&gt;=2,FALSE()))))),1,0)</f>
        <v>0</v>
      </c>
      <c r="BB13" s="1" t="n">
        <f aca="false">IF(AND('Daily Workforce'!$N43="Y",'Daily Workforce'!$B43&lt;&gt;"",COUNTIF('Daily Schedule'!$F$5:$F16,'Daily Workforce'!$B43)=0,IF('Daily Schedule'!$A17=45,'Daily Workforce'!$J43="Y",IF(OR('Daily Schedule'!$A17=4,'Daily Schedule'!$A17=8),IF(OR(WEEKDAY('Daily Schedule'!$B$2,2)=1,WEEKDAY('Daily Schedule'!$B$2,2)=4,WEEKDAY('Daily Schedule'!$B$2,2)=5,WEEKDAY('Daily Schedule'!$B$2,2)=7),IFERROR(1*'Daily Workforce'!$K43&gt;=3,FALSE()),IFERROR(1*'Daily Workforce'!$K43&gt;=2,FALSE())),IF(AND('Daily Schedule'!$A17&gt;=46,'Daily Schedule'!$A17&lt;=52),'Daily Workforce'!$M43="Y",IFERROR(1*'Daily Workforce'!$P43&gt;=2,FALSE()))))),1,0)</f>
        <v>0</v>
      </c>
      <c r="BC13" s="1" t="n">
        <f aca="false">IF(AND('Daily Workforce'!$N44="Y",'Daily Workforce'!$B44&lt;&gt;"",COUNTIF('Daily Schedule'!$F$5:$F16,'Daily Workforce'!$B44)=0,IF('Daily Schedule'!$A17=45,'Daily Workforce'!$J44="Y",IF(OR('Daily Schedule'!$A17=4,'Daily Schedule'!$A17=8),IF(OR(WEEKDAY('Daily Schedule'!$B$2,2)=1,WEEKDAY('Daily Schedule'!$B$2,2)=4,WEEKDAY('Daily Schedule'!$B$2,2)=5,WEEKDAY('Daily Schedule'!$B$2,2)=7),IFERROR(1*'Daily Workforce'!$K44&gt;=3,FALSE()),IFERROR(1*'Daily Workforce'!$K44&gt;=2,FALSE())),IF(AND('Daily Schedule'!$A17&gt;=46,'Daily Schedule'!$A17&lt;=52),'Daily Workforce'!$M44="Y",IFERROR(1*'Daily Workforce'!$P44&gt;=2,FALSE()))))),1,0)</f>
        <v>0</v>
      </c>
      <c r="BD13" s="1" t="n">
        <f aca="false">IF(AND('Daily Workforce'!$N45="Y",'Daily Workforce'!$B45&lt;&gt;"",COUNTIF('Daily Schedule'!$F$5:$F16,'Daily Workforce'!$B45)=0,IF('Daily Schedule'!$A17=45,'Daily Workforce'!$J45="Y",IF(OR('Daily Schedule'!$A17=4,'Daily Schedule'!$A17=8),IF(OR(WEEKDAY('Daily Schedule'!$B$2,2)=1,WEEKDAY('Daily Schedule'!$B$2,2)=4,WEEKDAY('Daily Schedule'!$B$2,2)=5,WEEKDAY('Daily Schedule'!$B$2,2)=7),IFERROR(1*'Daily Workforce'!$K45&gt;=3,FALSE()),IFERROR(1*'Daily Workforce'!$K45&gt;=2,FALSE())),IF(AND('Daily Schedule'!$A17&gt;=46,'Daily Schedule'!$A17&lt;=52),'Daily Workforce'!$M45="Y",IFERROR(1*'Daily Workforce'!$P45&gt;=2,FALSE()))))),1,0)</f>
        <v>0</v>
      </c>
      <c r="BE13" s="1" t="n">
        <f aca="false">IF(AND('Daily Workforce'!$N46="Y",'Daily Workforce'!$B46&lt;&gt;"",COUNTIF('Daily Schedule'!$F$5:$F16,'Daily Workforce'!$B46)=0,IF('Daily Schedule'!$A17=45,'Daily Workforce'!$J46="Y",IF(OR('Daily Schedule'!$A17=4,'Daily Schedule'!$A17=8),IF(OR(WEEKDAY('Daily Schedule'!$B$2,2)=1,WEEKDAY('Daily Schedule'!$B$2,2)=4,WEEKDAY('Daily Schedule'!$B$2,2)=5,WEEKDAY('Daily Schedule'!$B$2,2)=7),IFERROR(1*'Daily Workforce'!$K46&gt;=3,FALSE()),IFERROR(1*'Daily Workforce'!$K46&gt;=2,FALSE())),IF(AND('Daily Schedule'!$A17&gt;=46,'Daily Schedule'!$A17&lt;=52),'Daily Workforce'!$M46="Y",IFERROR(1*'Daily Workforce'!$P46&gt;=2,FALSE()))))),1,0)</f>
        <v>0</v>
      </c>
      <c r="BF13" s="1" t="n">
        <f aca="false">IF(AND('Daily Workforce'!$N47="Y",'Daily Workforce'!$B47&lt;&gt;"",COUNTIF('Daily Schedule'!$F$5:$F16,'Daily Workforce'!$B47)=0,IF('Daily Schedule'!$A17=45,'Daily Workforce'!$J47="Y",IF(OR('Daily Schedule'!$A17=4,'Daily Schedule'!$A17=8),IF(OR(WEEKDAY('Daily Schedule'!$B$2,2)=1,WEEKDAY('Daily Schedule'!$B$2,2)=4,WEEKDAY('Daily Schedule'!$B$2,2)=5,WEEKDAY('Daily Schedule'!$B$2,2)=7),IFERROR(1*'Daily Workforce'!$K47&gt;=3,FALSE()),IFERROR(1*'Daily Workforce'!$K47&gt;=2,FALSE())),IF(AND('Daily Schedule'!$A17&gt;=46,'Daily Schedule'!$A17&lt;=52),'Daily Workforce'!$M47="Y",IFERROR(1*'Daily Workforce'!$P47&gt;=2,FALSE()))))),1,0)</f>
        <v>0</v>
      </c>
      <c r="BG13" s="1" t="n">
        <f aca="false">IF(AND('Daily Workforce'!$N48="Y",'Daily Workforce'!$B48&lt;&gt;"",COUNTIF('Daily Schedule'!$F$5:$F16,'Daily Workforce'!$B48)=0,IF('Daily Schedule'!$A17=45,'Daily Workforce'!$J48="Y",IF(OR('Daily Schedule'!$A17=4,'Daily Schedule'!$A17=8),IF(OR(WEEKDAY('Daily Schedule'!$B$2,2)=1,WEEKDAY('Daily Schedule'!$B$2,2)=4,WEEKDAY('Daily Schedule'!$B$2,2)=5,WEEKDAY('Daily Schedule'!$B$2,2)=7),IFERROR(1*'Daily Workforce'!$K48&gt;=3,FALSE()),IFERROR(1*'Daily Workforce'!$K48&gt;=2,FALSE())),IF(AND('Daily Schedule'!$A17&gt;=46,'Daily Schedule'!$A17&lt;=52),'Daily Workforce'!$M48="Y",IFERROR(1*'Daily Workforce'!$P48&gt;=2,FALSE()))))),1,0)</f>
        <v>0</v>
      </c>
      <c r="BH13" s="1" t="n">
        <f aca="false">IF(AND('Daily Workforce'!$N49="Y",'Daily Workforce'!$B49&lt;&gt;"",COUNTIF('Daily Schedule'!$F$5:$F16,'Daily Workforce'!$B49)=0,IF('Daily Schedule'!$A17=45,'Daily Workforce'!$J49="Y",IF(OR('Daily Schedule'!$A17=4,'Daily Schedule'!$A17=8),IF(OR(WEEKDAY('Daily Schedule'!$B$2,2)=1,WEEKDAY('Daily Schedule'!$B$2,2)=4,WEEKDAY('Daily Schedule'!$B$2,2)=5,WEEKDAY('Daily Schedule'!$B$2,2)=7),IFERROR(1*'Daily Workforce'!$K49&gt;=3,FALSE()),IFERROR(1*'Daily Workforce'!$K49&gt;=2,FALSE())),IF(AND('Daily Schedule'!$A17&gt;=46,'Daily Schedule'!$A17&lt;=52),'Daily Workforce'!$M49="Y",IFERROR(1*'Daily Workforce'!$P49&gt;=2,FALSE()))))),1,0)</f>
        <v>0</v>
      </c>
      <c r="BI13" s="1" t="n">
        <f aca="false">IF(AND('Daily Workforce'!$N50="Y",'Daily Workforce'!$B50&lt;&gt;"",COUNTIF('Daily Schedule'!$F$5:$F16,'Daily Workforce'!$B50)=0,IF('Daily Schedule'!$A17=45,'Daily Workforce'!$J50="Y",IF(OR('Daily Schedule'!$A17=4,'Daily Schedule'!$A17=8),IF(OR(WEEKDAY('Daily Schedule'!$B$2,2)=1,WEEKDAY('Daily Schedule'!$B$2,2)=4,WEEKDAY('Daily Schedule'!$B$2,2)=5,WEEKDAY('Daily Schedule'!$B$2,2)=7),IFERROR(1*'Daily Workforce'!$K50&gt;=3,FALSE()),IFERROR(1*'Daily Workforce'!$K50&gt;=2,FALSE())),IF(AND('Daily Schedule'!$A17&gt;=46,'Daily Schedule'!$A17&lt;=52),'Daily Workforce'!$M50="Y",IFERROR(1*'Daily Workforce'!$P50&gt;=2,FALSE()))))),1,0)</f>
        <v>0</v>
      </c>
      <c r="BJ13" s="1" t="n">
        <f aca="false">IF(AND('Daily Workforce'!$N51="Y",'Daily Workforce'!$B51&lt;&gt;"",COUNTIF('Daily Schedule'!$F$5:$F16,'Daily Workforce'!$B51)=0,IF('Daily Schedule'!$A17=45,'Daily Workforce'!$J51="Y",IF(OR('Daily Schedule'!$A17=4,'Daily Schedule'!$A17=8),IF(OR(WEEKDAY('Daily Schedule'!$B$2,2)=1,WEEKDAY('Daily Schedule'!$B$2,2)=4,WEEKDAY('Daily Schedule'!$B$2,2)=5,WEEKDAY('Daily Schedule'!$B$2,2)=7),IFERROR(1*'Daily Workforce'!$K51&gt;=3,FALSE()),IFERROR(1*'Daily Workforce'!$K51&gt;=2,FALSE())),IF(AND('Daily Schedule'!$A17&gt;=46,'Daily Schedule'!$A17&lt;=52),'Daily Workforce'!$M51="Y",IFERROR(1*'Daily Workforce'!$P51&gt;=2,FALSE()))))),1,0)</f>
        <v>0</v>
      </c>
      <c r="BK13" s="1" t="n">
        <f aca="false">IF(AND('Daily Workforce'!$N52="Y",'Daily Workforce'!$B52&lt;&gt;"",COUNTIF('Daily Schedule'!$F$5:$F16,'Daily Workforce'!$B52)=0,IF('Daily Schedule'!$A17=45,'Daily Workforce'!$J52="Y",IF(OR('Daily Schedule'!$A17=4,'Daily Schedule'!$A17=8),IF(OR(WEEKDAY('Daily Schedule'!$B$2,2)=1,WEEKDAY('Daily Schedule'!$B$2,2)=4,WEEKDAY('Daily Schedule'!$B$2,2)=5,WEEKDAY('Daily Schedule'!$B$2,2)=7),IFERROR(1*'Daily Workforce'!$K52&gt;=3,FALSE()),IFERROR(1*'Daily Workforce'!$K52&gt;=2,FALSE())),IF(AND('Daily Schedule'!$A17&gt;=46,'Daily Schedule'!$A17&lt;=52),'Daily Workforce'!$M52="Y",IFERROR(1*'Daily Workforce'!$P52&gt;=2,FALSE()))))),1,0)</f>
        <v>0</v>
      </c>
      <c r="BL13" s="1" t="n">
        <f aca="false">IF(AND('Daily Workforce'!$N53="Y",'Daily Workforce'!$B53&lt;&gt;"",COUNTIF('Daily Schedule'!$F$5:$F16,'Daily Workforce'!$B53)=0,IF('Daily Schedule'!$A17=45,'Daily Workforce'!$J53="Y",IF(OR('Daily Schedule'!$A17=4,'Daily Schedule'!$A17=8),IF(OR(WEEKDAY('Daily Schedule'!$B$2,2)=1,WEEKDAY('Daily Schedule'!$B$2,2)=4,WEEKDAY('Daily Schedule'!$B$2,2)=5,WEEKDAY('Daily Schedule'!$B$2,2)=7),IFERROR(1*'Daily Workforce'!$K53&gt;=3,FALSE()),IFERROR(1*'Daily Workforce'!$K53&gt;=2,FALSE())),IF(AND('Daily Schedule'!$A17&gt;=46,'Daily Schedule'!$A17&lt;=52),'Daily Workforce'!$M53="Y",IFERROR(1*'Daily Workforce'!$P53&gt;=2,FALSE()))))),1,0)</f>
        <v>0</v>
      </c>
      <c r="BM13" s="1" t="n">
        <f aca="false">IF(AND('Daily Workforce'!$N54="Y",'Daily Workforce'!$B54&lt;&gt;"",COUNTIF('Daily Schedule'!$F$5:$F16,'Daily Workforce'!$B54)=0,IF('Daily Schedule'!$A17=45,'Daily Workforce'!$J54="Y",IF(OR('Daily Schedule'!$A17=4,'Daily Schedule'!$A17=8),IF(OR(WEEKDAY('Daily Schedule'!$B$2,2)=1,WEEKDAY('Daily Schedule'!$B$2,2)=4,WEEKDAY('Daily Schedule'!$B$2,2)=5,WEEKDAY('Daily Schedule'!$B$2,2)=7),IFERROR(1*'Daily Workforce'!$K54&gt;=3,FALSE()),IFERROR(1*'Daily Workforce'!$K54&gt;=2,FALSE())),IF(AND('Daily Schedule'!$A17&gt;=46,'Daily Schedule'!$A17&lt;=52),'Daily Workforce'!$M54="Y",IFERROR(1*'Daily Workforce'!$P54&gt;=2,FALSE()))))),1,0)</f>
        <v>0</v>
      </c>
      <c r="BN13" s="1" t="n">
        <f aca="false">IF(AND('Daily Workforce'!$N55="Y",'Daily Workforce'!$B55&lt;&gt;"",COUNTIF('Daily Schedule'!$F$5:$F16,'Daily Workforce'!$B55)=0,IF('Daily Schedule'!$A17=45,'Daily Workforce'!$J55="Y",IF(OR('Daily Schedule'!$A17=4,'Daily Schedule'!$A17=8),IF(OR(WEEKDAY('Daily Schedule'!$B$2,2)=1,WEEKDAY('Daily Schedule'!$B$2,2)=4,WEEKDAY('Daily Schedule'!$B$2,2)=5,WEEKDAY('Daily Schedule'!$B$2,2)=7),IFERROR(1*'Daily Workforce'!$K55&gt;=3,FALSE()),IFERROR(1*'Daily Workforce'!$K55&gt;=2,FALSE())),IF(AND('Daily Schedule'!$A17&gt;=46,'Daily Schedule'!$A17&lt;=52),'Daily Workforce'!$M55="Y",IFERROR(1*'Daily Workforce'!$P55&gt;=2,FALSE()))))),1,0)</f>
        <v>0</v>
      </c>
      <c r="BO13" s="1" t="n">
        <f aca="false">IF(AND('Daily Workforce'!$N56="Y",'Daily Workforce'!$B56&lt;&gt;"",COUNTIF('Daily Schedule'!$F$5:$F16,'Daily Workforce'!$B56)=0,IF('Daily Schedule'!$A17=45,'Daily Workforce'!$J56="Y",IF(OR('Daily Schedule'!$A17=4,'Daily Schedule'!$A17=8),IF(OR(WEEKDAY('Daily Schedule'!$B$2,2)=1,WEEKDAY('Daily Schedule'!$B$2,2)=4,WEEKDAY('Daily Schedule'!$B$2,2)=5,WEEKDAY('Daily Schedule'!$B$2,2)=7),IFERROR(1*'Daily Workforce'!$K56&gt;=3,FALSE()),IFERROR(1*'Daily Workforce'!$K56&gt;=2,FALSE())),IF(AND('Daily Schedule'!$A17&gt;=46,'Daily Schedule'!$A17&lt;=52),'Daily Workforce'!$M56="Y",IFERROR(1*'Daily Workforce'!$P56&gt;=2,FALSE()))))),1,0)</f>
        <v>0</v>
      </c>
      <c r="BP13" s="1" t="n">
        <f aca="false">IF(AND('Daily Workforce'!$N57="Y",'Daily Workforce'!$B57&lt;&gt;"",COUNTIF('Daily Schedule'!$F$5:$F16,'Daily Workforce'!$B57)=0,IF('Daily Schedule'!$A17=45,'Daily Workforce'!$J57="Y",IF(OR('Daily Schedule'!$A17=4,'Daily Schedule'!$A17=8),IF(OR(WEEKDAY('Daily Schedule'!$B$2,2)=1,WEEKDAY('Daily Schedule'!$B$2,2)=4,WEEKDAY('Daily Schedule'!$B$2,2)=5,WEEKDAY('Daily Schedule'!$B$2,2)=7),IFERROR(1*'Daily Workforce'!$K57&gt;=3,FALSE()),IFERROR(1*'Daily Workforce'!$K57&gt;=2,FALSE())),IF(AND('Daily Schedule'!$A17&gt;=46,'Daily Schedule'!$A17&lt;=52),'Daily Workforce'!$M57="Y",IFERROR(1*'Daily Workforce'!$P57&gt;=2,FALSE()))))),1,0)</f>
        <v>0</v>
      </c>
      <c r="BQ13" s="1" t="n">
        <f aca="false">IF(AND('Daily Workforce'!$N58="Y",'Daily Workforce'!$B58&lt;&gt;"",COUNTIF('Daily Schedule'!$F$5:$F16,'Daily Workforce'!$B58)=0,IF('Daily Schedule'!$A17=45,'Daily Workforce'!$J58="Y",IF(OR('Daily Schedule'!$A17=4,'Daily Schedule'!$A17=8),IF(OR(WEEKDAY('Daily Schedule'!$B$2,2)=1,WEEKDAY('Daily Schedule'!$B$2,2)=4,WEEKDAY('Daily Schedule'!$B$2,2)=5,WEEKDAY('Daily Schedule'!$B$2,2)=7),IFERROR(1*'Daily Workforce'!$K58&gt;=3,FALSE()),IFERROR(1*'Daily Workforce'!$K58&gt;=2,FALSE())),IF(AND('Daily Schedule'!$A17&gt;=46,'Daily Schedule'!$A17&lt;=52),'Daily Workforce'!$M58="Y",IFERROR(1*'Daily Workforce'!$P58&gt;=2,FALSE()))))),1,0)</f>
        <v>0</v>
      </c>
      <c r="BR13" s="1" t="n">
        <f aca="false">IF(AND('Daily Workforce'!$N59="Y",'Daily Workforce'!$B59&lt;&gt;"",COUNTIF('Daily Schedule'!$F$5:$F16,'Daily Workforce'!$B59)=0,IF('Daily Schedule'!$A17=45,'Daily Workforce'!$J59="Y",IF(OR('Daily Schedule'!$A17=4,'Daily Schedule'!$A17=8),IF(OR(WEEKDAY('Daily Schedule'!$B$2,2)=1,WEEKDAY('Daily Schedule'!$B$2,2)=4,WEEKDAY('Daily Schedule'!$B$2,2)=5,WEEKDAY('Daily Schedule'!$B$2,2)=7),IFERROR(1*'Daily Workforce'!$K59&gt;=3,FALSE()),IFERROR(1*'Daily Workforce'!$K59&gt;=2,FALSE())),IF(AND('Daily Schedule'!$A17&gt;=46,'Daily Schedule'!$A17&lt;=52),'Daily Workforce'!$M59="Y",IFERROR(1*'Daily Workforce'!$P59&gt;=2,FALSE()))))),1,0)</f>
        <v>0</v>
      </c>
      <c r="BS13" s="1" t="n">
        <f aca="false">IF(AND('Daily Workforce'!$N60="Y",'Daily Workforce'!$B60&lt;&gt;"",COUNTIF('Daily Schedule'!$F$5:$F16,'Daily Workforce'!$B60)=0,IF('Daily Schedule'!$A17=45,'Daily Workforce'!$J60="Y",IF(OR('Daily Schedule'!$A17=4,'Daily Schedule'!$A17=8),IF(OR(WEEKDAY('Daily Schedule'!$B$2,2)=1,WEEKDAY('Daily Schedule'!$B$2,2)=4,WEEKDAY('Daily Schedule'!$B$2,2)=5,WEEKDAY('Daily Schedule'!$B$2,2)=7),IFERROR(1*'Daily Workforce'!$K60&gt;=3,FALSE()),IFERROR(1*'Daily Workforce'!$K60&gt;=2,FALSE())),IF(AND('Daily Schedule'!$A17&gt;=46,'Daily Schedule'!$A17&lt;=52),'Daily Workforce'!$M60="Y",IFERROR(1*'Daily Workforce'!$P60&gt;=2,FALSE()))))),1,0)</f>
        <v>0</v>
      </c>
      <c r="BT13" s="1" t="n">
        <f aca="false">IF(AND('Daily Workforce'!$N61="Y",'Daily Workforce'!$B61&lt;&gt;"",COUNTIF('Daily Schedule'!$F$5:$F16,'Daily Workforce'!$B61)=0,IF('Daily Schedule'!$A17=45,'Daily Workforce'!$J61="Y",IF(OR('Daily Schedule'!$A17=4,'Daily Schedule'!$A17=8),IF(OR(WEEKDAY('Daily Schedule'!$B$2,2)=1,WEEKDAY('Daily Schedule'!$B$2,2)=4,WEEKDAY('Daily Schedule'!$B$2,2)=5,WEEKDAY('Daily Schedule'!$B$2,2)=7),IFERROR(1*'Daily Workforce'!$K61&gt;=3,FALSE()),IFERROR(1*'Daily Workforce'!$K61&gt;=2,FALSE())),IF(AND('Daily Schedule'!$A17&gt;=46,'Daily Schedule'!$A17&lt;=52),'Daily Workforce'!$M61="Y",IFERROR(1*'Daily Workforce'!$P61&gt;=2,FALSE()))))),1,0)</f>
        <v>0</v>
      </c>
      <c r="BU13" s="1" t="n">
        <f aca="false">IF(AND('Daily Workforce'!$N62="Y",'Daily Workforce'!$B62&lt;&gt;"",COUNTIF('Daily Schedule'!$F$5:$F16,'Daily Workforce'!$B62)=0,IF('Daily Schedule'!$A17=45,'Daily Workforce'!$J62="Y",IF(OR('Daily Schedule'!$A17=4,'Daily Schedule'!$A17=8),IF(OR(WEEKDAY('Daily Schedule'!$B$2,2)=1,WEEKDAY('Daily Schedule'!$B$2,2)=4,WEEKDAY('Daily Schedule'!$B$2,2)=5,WEEKDAY('Daily Schedule'!$B$2,2)=7),IFERROR(1*'Daily Workforce'!$K62&gt;=3,FALSE()),IFERROR(1*'Daily Workforce'!$K62&gt;=2,FALSE())),IF(AND('Daily Schedule'!$A17&gt;=46,'Daily Schedule'!$A17&lt;=52),'Daily Workforce'!$M62="Y",IFERROR(1*'Daily Workforce'!$P62&gt;=2,FALSE()))))),1,0)</f>
        <v>0</v>
      </c>
      <c r="BV13" s="1" t="n">
        <f aca="false">IF(AND('Daily Workforce'!$N63="Y",'Daily Workforce'!$B63&lt;&gt;"",COUNTIF('Daily Schedule'!$F$5:$F16,'Daily Workforce'!$B63)=0,IF('Daily Schedule'!$A17=45,'Daily Workforce'!$J63="Y",IF(OR('Daily Schedule'!$A17=4,'Daily Schedule'!$A17=8),IF(OR(WEEKDAY('Daily Schedule'!$B$2,2)=1,WEEKDAY('Daily Schedule'!$B$2,2)=4,WEEKDAY('Daily Schedule'!$B$2,2)=5,WEEKDAY('Daily Schedule'!$B$2,2)=7),IFERROR(1*'Daily Workforce'!$K63&gt;=3,FALSE()),IFERROR(1*'Daily Workforce'!$K63&gt;=2,FALSE())),IF(AND('Daily Schedule'!$A17&gt;=46,'Daily Schedule'!$A17&lt;=52),'Daily Workforce'!$M63="Y",IFERROR(1*'Daily Workforce'!$P63&gt;=2,FALSE()))))),1,0)</f>
        <v>0</v>
      </c>
      <c r="BW13" s="1" t="n">
        <f aca="false">IF(AND('Daily Workforce'!$N64="Y",'Daily Workforce'!$B64&lt;&gt;"",COUNTIF('Daily Schedule'!$F$5:$F16,'Daily Workforce'!$B64)=0,IF('Daily Schedule'!$A17=45,'Daily Workforce'!$J64="Y",IF(OR('Daily Schedule'!$A17=4,'Daily Schedule'!$A17=8),IF(OR(WEEKDAY('Daily Schedule'!$B$2,2)=1,WEEKDAY('Daily Schedule'!$B$2,2)=4,WEEKDAY('Daily Schedule'!$B$2,2)=5,WEEKDAY('Daily Schedule'!$B$2,2)=7),IFERROR(1*'Daily Workforce'!$K64&gt;=3,FALSE()),IFERROR(1*'Daily Workforce'!$K64&gt;=2,FALSE())),IF(AND('Daily Schedule'!$A17&gt;=46,'Daily Schedule'!$A17&lt;=52),'Daily Workforce'!$M64="Y",IFERROR(1*'Daily Workforce'!$P64&gt;=2,FALSE()))))),1,0)</f>
        <v>0</v>
      </c>
      <c r="BX13" s="1" t="n">
        <f aca="false">IF(AND('Daily Workforce'!$N65="Y",'Daily Workforce'!$B65&lt;&gt;"",COUNTIF('Daily Schedule'!$F$5:$F16,'Daily Workforce'!$B65)=0,IF('Daily Schedule'!$A17=45,'Daily Workforce'!$J65="Y",IF(OR('Daily Schedule'!$A17=4,'Daily Schedule'!$A17=8),IF(OR(WEEKDAY('Daily Schedule'!$B$2,2)=1,WEEKDAY('Daily Schedule'!$B$2,2)=4,WEEKDAY('Daily Schedule'!$B$2,2)=5,WEEKDAY('Daily Schedule'!$B$2,2)=7),IFERROR(1*'Daily Workforce'!$K65&gt;=3,FALSE()),IFERROR(1*'Daily Workforce'!$K65&gt;=2,FALSE())),IF(AND('Daily Schedule'!$A17&gt;=46,'Daily Schedule'!$A17&lt;=52),'Daily Workforce'!$M65="Y",IFERROR(1*'Daily Workforce'!$P65&gt;=2,FALSE()))))),1,0)</f>
        <v>0</v>
      </c>
      <c r="BY13" s="1" t="n">
        <f aca="false">IF(AND('Daily Workforce'!$N66="Y",'Daily Workforce'!$B66&lt;&gt;"",COUNTIF('Daily Schedule'!$F$5:$F16,'Daily Workforce'!$B66)=0,IF('Daily Schedule'!$A17=45,'Daily Workforce'!$J66="Y",IF(OR('Daily Schedule'!$A17=4,'Daily Schedule'!$A17=8),IF(OR(WEEKDAY('Daily Schedule'!$B$2,2)=1,WEEKDAY('Daily Schedule'!$B$2,2)=4,WEEKDAY('Daily Schedule'!$B$2,2)=5,WEEKDAY('Daily Schedule'!$B$2,2)=7),IFERROR(1*'Daily Workforce'!$K66&gt;=3,FALSE()),IFERROR(1*'Daily Workforce'!$K66&gt;=2,FALSE())),IF(AND('Daily Schedule'!$A17&gt;=46,'Daily Schedule'!$A17&lt;=52),'Daily Workforce'!$M66="Y",IFERROR(1*'Daily Workforce'!$P66&gt;=2,FALSE()))))),1,0)</f>
        <v>0</v>
      </c>
      <c r="BZ13" s="1" t="n">
        <f aca="false">IF(AND('Daily Workforce'!$N67="Y",'Daily Workforce'!$B67&lt;&gt;"",COUNTIF('Daily Schedule'!$F$5:$F16,'Daily Workforce'!$B67)=0,IF('Daily Schedule'!$A17=45,'Daily Workforce'!$J67="Y",IF(OR('Daily Schedule'!$A17=4,'Daily Schedule'!$A17=8),IF(OR(WEEKDAY('Daily Schedule'!$B$2,2)=1,WEEKDAY('Daily Schedule'!$B$2,2)=4,WEEKDAY('Daily Schedule'!$B$2,2)=5,WEEKDAY('Daily Schedule'!$B$2,2)=7),IFERROR(1*'Daily Workforce'!$K67&gt;=3,FALSE()),IFERROR(1*'Daily Workforce'!$K67&gt;=2,FALSE())),IF(AND('Daily Schedule'!$A17&gt;=46,'Daily Schedule'!$A17&lt;=52),'Daily Workforce'!$M67="Y",IFERROR(1*'Daily Workforce'!$P67&gt;=2,FALSE()))))),1,0)</f>
        <v>0</v>
      </c>
      <c r="CA13" s="1" t="n">
        <f aca="false">IF(AND('Daily Workforce'!$N68="Y",'Daily Workforce'!$B68&lt;&gt;"",COUNTIF('Daily Schedule'!$F$5:$F16,'Daily Workforce'!$B68)=0,IF('Daily Schedule'!$A17=45,'Daily Workforce'!$J68="Y",IF(OR('Daily Schedule'!$A17=4,'Daily Schedule'!$A17=8),IF(OR(WEEKDAY('Daily Schedule'!$B$2,2)=1,WEEKDAY('Daily Schedule'!$B$2,2)=4,WEEKDAY('Daily Schedule'!$B$2,2)=5,WEEKDAY('Daily Schedule'!$B$2,2)=7),IFERROR(1*'Daily Workforce'!$K68&gt;=3,FALSE()),IFERROR(1*'Daily Workforce'!$K68&gt;=2,FALSE())),IF(AND('Daily Schedule'!$A17&gt;=46,'Daily Schedule'!$A17&lt;=52),'Daily Workforce'!$M68="Y",IFERROR(1*'Daily Workforce'!$P68&gt;=2,FALSE()))))),1,0)</f>
        <v>0</v>
      </c>
      <c r="CB13" s="1" t="n">
        <f aca="false">IF(AND('Daily Workforce'!$N69="Y",'Daily Workforce'!$B69&lt;&gt;"",COUNTIF('Daily Schedule'!$F$5:$F16,'Daily Workforce'!$B69)=0,IF('Daily Schedule'!$A17=45,'Daily Workforce'!$J69="Y",IF(OR('Daily Schedule'!$A17=4,'Daily Schedule'!$A17=8),IF(OR(WEEKDAY('Daily Schedule'!$B$2,2)=1,WEEKDAY('Daily Schedule'!$B$2,2)=4,WEEKDAY('Daily Schedule'!$B$2,2)=5,WEEKDAY('Daily Schedule'!$B$2,2)=7),IFERROR(1*'Daily Workforce'!$K69&gt;=3,FALSE()),IFERROR(1*'Daily Workforce'!$K69&gt;=2,FALSE())),IF(AND('Daily Schedule'!$A17&gt;=46,'Daily Schedule'!$A17&lt;=52),'Daily Workforce'!$M69="Y",IFERROR(1*'Daily Workforce'!$P69&gt;=2,FALSE()))))),1,0)</f>
        <v>0</v>
      </c>
      <c r="CC13" s="1" t="n">
        <f aca="false">IF(AND('Daily Workforce'!$N70="Y",'Daily Workforce'!$B70&lt;&gt;"",COUNTIF('Daily Schedule'!$F$5:$F16,'Daily Workforce'!$B70)=0,IF('Daily Schedule'!$A17=45,'Daily Workforce'!$J70="Y",IF(OR('Daily Schedule'!$A17=4,'Daily Schedule'!$A17=8),IF(OR(WEEKDAY('Daily Schedule'!$B$2,2)=1,WEEKDAY('Daily Schedule'!$B$2,2)=4,WEEKDAY('Daily Schedule'!$B$2,2)=5,WEEKDAY('Daily Schedule'!$B$2,2)=7),IFERROR(1*'Daily Workforce'!$K70&gt;=3,FALSE()),IFERROR(1*'Daily Workforce'!$K70&gt;=2,FALSE())),IF(AND('Daily Schedule'!$A17&gt;=46,'Daily Schedule'!$A17&lt;=52),'Daily Workforce'!$M70="Y",IFERROR(1*'Daily Workforce'!$P70&gt;=2,FALSE()))))),1,0)</f>
        <v>0</v>
      </c>
      <c r="CD13" s="1" t="n">
        <f aca="false">IF(AND('Daily Workforce'!$N71="Y",'Daily Workforce'!$B71&lt;&gt;"",COUNTIF('Daily Schedule'!$F$5:$F16,'Daily Workforce'!$B71)=0,IF('Daily Schedule'!$A17=45,'Daily Workforce'!$J71="Y",IF(OR('Daily Schedule'!$A17=4,'Daily Schedule'!$A17=8),IF(OR(WEEKDAY('Daily Schedule'!$B$2,2)=1,WEEKDAY('Daily Schedule'!$B$2,2)=4,WEEKDAY('Daily Schedule'!$B$2,2)=5,WEEKDAY('Daily Schedule'!$B$2,2)=7),IFERROR(1*'Daily Workforce'!$K71&gt;=3,FALSE()),IFERROR(1*'Daily Workforce'!$K71&gt;=2,FALSE())),IF(AND('Daily Schedule'!$A17&gt;=46,'Daily Schedule'!$A17&lt;=52),'Daily Workforce'!$M71="Y",IFERROR(1*'Daily Workforce'!$P71&gt;=2,FALSE()))))),1,0)</f>
        <v>0</v>
      </c>
      <c r="CE13" s="1" t="n">
        <f aca="false">IF(AND('Daily Workforce'!$N72="Y",'Daily Workforce'!$B72&lt;&gt;"",COUNTIF('Daily Schedule'!$F$5:$F16,'Daily Workforce'!$B72)=0,IF('Daily Schedule'!$A17=45,'Daily Workforce'!$J72="Y",IF(OR('Daily Schedule'!$A17=4,'Daily Schedule'!$A17=8),IF(OR(WEEKDAY('Daily Schedule'!$B$2,2)=1,WEEKDAY('Daily Schedule'!$B$2,2)=4,WEEKDAY('Daily Schedule'!$B$2,2)=5,WEEKDAY('Daily Schedule'!$B$2,2)=7),IFERROR(1*'Daily Workforce'!$K72&gt;=3,FALSE()),IFERROR(1*'Daily Workforce'!$K72&gt;=2,FALSE())),IF(AND('Daily Schedule'!$A17&gt;=46,'Daily Schedule'!$A17&lt;=52),'Daily Workforce'!$M72="Y",IFERROR(1*'Daily Workforce'!$P72&gt;=2,FALSE()))))),1,0)</f>
        <v>0</v>
      </c>
      <c r="CF13" s="1" t="n">
        <f aca="false">IF(AND('Daily Workforce'!$N73="Y",'Daily Workforce'!$B73&lt;&gt;"",COUNTIF('Daily Schedule'!$F$5:$F16,'Daily Workforce'!$B73)=0,IF('Daily Schedule'!$A17=45,'Daily Workforce'!$J73="Y",IF(OR('Daily Schedule'!$A17=4,'Daily Schedule'!$A17=8),IF(OR(WEEKDAY('Daily Schedule'!$B$2,2)=1,WEEKDAY('Daily Schedule'!$B$2,2)=4,WEEKDAY('Daily Schedule'!$B$2,2)=5,WEEKDAY('Daily Schedule'!$B$2,2)=7),IFERROR(1*'Daily Workforce'!$K73&gt;=3,FALSE()),IFERROR(1*'Daily Workforce'!$K73&gt;=2,FALSE())),IF(AND('Daily Schedule'!$A17&gt;=46,'Daily Schedule'!$A17&lt;=52),'Daily Workforce'!$M73="Y",IFERROR(1*'Daily Workforce'!$P73&gt;=2,FALSE()))))),1,0)</f>
        <v>0</v>
      </c>
      <c r="CG13" s="1" t="n">
        <f aca="false">IF(AND('Daily Workforce'!$N74="Y",'Daily Workforce'!$B74&lt;&gt;"",COUNTIF('Daily Schedule'!$F$5:$F16,'Daily Workforce'!$B74)=0,IF('Daily Schedule'!$A17=45,'Daily Workforce'!$J74="Y",IF(OR('Daily Schedule'!$A17=4,'Daily Schedule'!$A17=8),IF(OR(WEEKDAY('Daily Schedule'!$B$2,2)=1,WEEKDAY('Daily Schedule'!$B$2,2)=4,WEEKDAY('Daily Schedule'!$B$2,2)=5,WEEKDAY('Daily Schedule'!$B$2,2)=7),IFERROR(1*'Daily Workforce'!$K74&gt;=3,FALSE()),IFERROR(1*'Daily Workforce'!$K74&gt;=2,FALSE())),IF(AND('Daily Schedule'!$A17&gt;=46,'Daily Schedule'!$A17&lt;=52),'Daily Workforce'!$M74="Y",IFERROR(1*'Daily Workforce'!$P74&gt;=2,FALSE()))))),1,0)</f>
        <v>0</v>
      </c>
      <c r="CH13" s="1" t="n">
        <f aca="false">IF(AND('Daily Workforce'!$N75="Y",'Daily Workforce'!$B75&lt;&gt;"",COUNTIF('Daily Schedule'!$F$5:$F16,'Daily Workforce'!$B75)=0,IF('Daily Schedule'!$A17=45,'Daily Workforce'!$J75="Y",IF(OR('Daily Schedule'!$A17=4,'Daily Schedule'!$A17=8),IF(OR(WEEKDAY('Daily Schedule'!$B$2,2)=1,WEEKDAY('Daily Schedule'!$B$2,2)=4,WEEKDAY('Daily Schedule'!$B$2,2)=5,WEEKDAY('Daily Schedule'!$B$2,2)=7),IFERROR(1*'Daily Workforce'!$K75&gt;=3,FALSE()),IFERROR(1*'Daily Workforce'!$K75&gt;=2,FALSE())),IF(AND('Daily Schedule'!$A17&gt;=46,'Daily Schedule'!$A17&lt;=52),'Daily Workforce'!$M75="Y",IFERROR(1*'Daily Workforce'!$P75&gt;=2,FALSE()))))),1,0)</f>
        <v>0</v>
      </c>
      <c r="CI13" s="1" t="n">
        <f aca="false">IF(AND('Daily Workforce'!$N76="Y",'Daily Workforce'!$B76&lt;&gt;"",COUNTIF('Daily Schedule'!$F$5:$F16,'Daily Workforce'!$B76)=0,IF('Daily Schedule'!$A17=45,'Daily Workforce'!$J76="Y",IF(OR('Daily Schedule'!$A17=4,'Daily Schedule'!$A17=8),IF(OR(WEEKDAY('Daily Schedule'!$B$2,2)=1,WEEKDAY('Daily Schedule'!$B$2,2)=4,WEEKDAY('Daily Schedule'!$B$2,2)=5,WEEKDAY('Daily Schedule'!$B$2,2)=7),IFERROR(1*'Daily Workforce'!$K76&gt;=3,FALSE()),IFERROR(1*'Daily Workforce'!$K76&gt;=2,FALSE())),IF(AND('Daily Schedule'!$A17&gt;=46,'Daily Schedule'!$A17&lt;=52),'Daily Workforce'!$M76="Y",IFERROR(1*'Daily Workforce'!$P76&gt;=2,FALSE()))))),1,0)</f>
        <v>0</v>
      </c>
      <c r="CJ13" s="1" t="n">
        <f aca="false">IF(AND('Daily Workforce'!$N77="Y",'Daily Workforce'!$B77&lt;&gt;"",COUNTIF('Daily Schedule'!$F$5:$F16,'Daily Workforce'!$B77)=0,IF('Daily Schedule'!$A17=45,'Daily Workforce'!$J77="Y",IF(OR('Daily Schedule'!$A17=4,'Daily Schedule'!$A17=8),IF(OR(WEEKDAY('Daily Schedule'!$B$2,2)=1,WEEKDAY('Daily Schedule'!$B$2,2)=4,WEEKDAY('Daily Schedule'!$B$2,2)=5,WEEKDAY('Daily Schedule'!$B$2,2)=7),IFERROR(1*'Daily Workforce'!$K77&gt;=3,FALSE()),IFERROR(1*'Daily Workforce'!$K77&gt;=2,FALSE())),IF(AND('Daily Schedule'!$A17&gt;=46,'Daily Schedule'!$A17&lt;=52),'Daily Workforce'!$M77="Y",IFERROR(1*'Daily Workforce'!$P77&gt;=2,FALSE()))))),1,0)</f>
        <v>0</v>
      </c>
      <c r="CK13" s="1" t="n">
        <f aca="false">IF(AND('Daily Workforce'!$N78="Y",'Daily Workforce'!$B78&lt;&gt;"",COUNTIF('Daily Schedule'!$F$5:$F16,'Daily Workforce'!$B78)=0,IF('Daily Schedule'!$A17=45,'Daily Workforce'!$J78="Y",IF(OR('Daily Schedule'!$A17=4,'Daily Schedule'!$A17=8),IF(OR(WEEKDAY('Daily Schedule'!$B$2,2)=1,WEEKDAY('Daily Schedule'!$B$2,2)=4,WEEKDAY('Daily Schedule'!$B$2,2)=5,WEEKDAY('Daily Schedule'!$B$2,2)=7),IFERROR(1*'Daily Workforce'!$K78&gt;=3,FALSE()),IFERROR(1*'Daily Workforce'!$K78&gt;=2,FALSE())),IF(AND('Daily Schedule'!$A17&gt;=46,'Daily Schedule'!$A17&lt;=52),'Daily Workforce'!$M78="Y",IFERROR(1*'Daily Workforce'!$P78&gt;=2,FALSE()))))),1,0)</f>
        <v>0</v>
      </c>
      <c r="CL13" s="1" t="n">
        <f aca="false">IF(AND('Daily Workforce'!$N79="Y",'Daily Workforce'!$B79&lt;&gt;"",COUNTIF('Daily Schedule'!$F$5:$F16,'Daily Workforce'!$B79)=0,IF('Daily Schedule'!$A17=45,'Daily Workforce'!$J79="Y",IF(OR('Daily Schedule'!$A17=4,'Daily Schedule'!$A17=8),IF(OR(WEEKDAY('Daily Schedule'!$B$2,2)=1,WEEKDAY('Daily Schedule'!$B$2,2)=4,WEEKDAY('Daily Schedule'!$B$2,2)=5,WEEKDAY('Daily Schedule'!$B$2,2)=7),IFERROR(1*'Daily Workforce'!$K79&gt;=3,FALSE()),IFERROR(1*'Daily Workforce'!$K79&gt;=2,FALSE())),IF(AND('Daily Schedule'!$A17&gt;=46,'Daily Schedule'!$A17&lt;=52),'Daily Workforce'!$M79="Y",IFERROR(1*'Daily Workforce'!$P79&gt;=2,FALSE()))))),1,0)</f>
        <v>0</v>
      </c>
      <c r="CM13" s="1" t="n">
        <f aca="false">IF(AND('Daily Workforce'!$N80="Y",'Daily Workforce'!$B80&lt;&gt;"",COUNTIF('Daily Schedule'!$F$5:$F16,'Daily Workforce'!$B80)=0,IF('Daily Schedule'!$A17=45,'Daily Workforce'!$J80="Y",IF(OR('Daily Schedule'!$A17=4,'Daily Schedule'!$A17=8),IF(OR(WEEKDAY('Daily Schedule'!$B$2,2)=1,WEEKDAY('Daily Schedule'!$B$2,2)=4,WEEKDAY('Daily Schedule'!$B$2,2)=5,WEEKDAY('Daily Schedule'!$B$2,2)=7),IFERROR(1*'Daily Workforce'!$K80&gt;=3,FALSE()),IFERROR(1*'Daily Workforce'!$K80&gt;=2,FALSE())),IF(AND('Daily Schedule'!$A17&gt;=46,'Daily Schedule'!$A17&lt;=52),'Daily Workforce'!$M80="Y",IFERROR(1*'Daily Workforce'!$P80&gt;=2,FALSE()))))),1,0)</f>
        <v>0</v>
      </c>
      <c r="CN13" s="1" t="n">
        <f aca="false">IF(AND('Daily Workforce'!$N81="Y",'Daily Workforce'!$B81&lt;&gt;"",COUNTIF('Daily Schedule'!$F$5:$F16,'Daily Workforce'!$B81)=0,IF('Daily Schedule'!$A17=45,'Daily Workforce'!$J81="Y",IF(OR('Daily Schedule'!$A17=4,'Daily Schedule'!$A17=8),IF(OR(WEEKDAY('Daily Schedule'!$B$2,2)=1,WEEKDAY('Daily Schedule'!$B$2,2)=4,WEEKDAY('Daily Schedule'!$B$2,2)=5,WEEKDAY('Daily Schedule'!$B$2,2)=7),IFERROR(1*'Daily Workforce'!$K81&gt;=3,FALSE()),IFERROR(1*'Daily Workforce'!$K81&gt;=2,FALSE())),IF(AND('Daily Schedule'!$A17&gt;=46,'Daily Schedule'!$A17&lt;=52),'Daily Workforce'!$M81="Y",IFERROR(1*'Daily Workforce'!$P81&gt;=2,FALSE()))))),1,0)</f>
        <v>0</v>
      </c>
      <c r="CO13" s="1" t="n">
        <f aca="false">IF(AND('Daily Workforce'!$N82="Y",'Daily Workforce'!$B82&lt;&gt;"",COUNTIF('Daily Schedule'!$F$5:$F16,'Daily Workforce'!$B82)=0,IF('Daily Schedule'!$A17=45,'Daily Workforce'!$J82="Y",IF(OR('Daily Schedule'!$A17=4,'Daily Schedule'!$A17=8),IF(OR(WEEKDAY('Daily Schedule'!$B$2,2)=1,WEEKDAY('Daily Schedule'!$B$2,2)=4,WEEKDAY('Daily Schedule'!$B$2,2)=5,WEEKDAY('Daily Schedule'!$B$2,2)=7),IFERROR(1*'Daily Workforce'!$K82&gt;=3,FALSE()),IFERROR(1*'Daily Workforce'!$K82&gt;=2,FALSE())),IF(AND('Daily Schedule'!$A17&gt;=46,'Daily Schedule'!$A17&lt;=52),'Daily Workforce'!$M82="Y",IFERROR(1*'Daily Workforce'!$P82&gt;=2,FALSE()))))),1,0)</f>
        <v>0</v>
      </c>
      <c r="CP13" s="1" t="n">
        <f aca="false">IF(AND('Daily Workforce'!$N83="Y",'Daily Workforce'!$B83&lt;&gt;"",COUNTIF('Daily Schedule'!$F$5:$F16,'Daily Workforce'!$B83)=0,IF('Daily Schedule'!$A17=45,'Daily Workforce'!$J83="Y",IF(OR('Daily Schedule'!$A17=4,'Daily Schedule'!$A17=8),IF(OR(WEEKDAY('Daily Schedule'!$B$2,2)=1,WEEKDAY('Daily Schedule'!$B$2,2)=4,WEEKDAY('Daily Schedule'!$B$2,2)=5,WEEKDAY('Daily Schedule'!$B$2,2)=7),IFERROR(1*'Daily Workforce'!$K83&gt;=3,FALSE()),IFERROR(1*'Daily Workforce'!$K83&gt;=2,FALSE())),IF(AND('Daily Schedule'!$A17&gt;=46,'Daily Schedule'!$A17&lt;=52),'Daily Workforce'!$M83="Y",IFERROR(1*'Daily Workforce'!$P83&gt;=2,FALSE()))))),1,0)</f>
        <v>0</v>
      </c>
      <c r="CQ13" s="1" t="n">
        <f aca="false">IF(AND('Daily Workforce'!$N84="Y",'Daily Workforce'!$B84&lt;&gt;"",COUNTIF('Daily Schedule'!$F$5:$F16,'Daily Workforce'!$B84)=0,IF('Daily Schedule'!$A17=45,'Daily Workforce'!$J84="Y",IF(OR('Daily Schedule'!$A17=4,'Daily Schedule'!$A17=8),IF(OR(WEEKDAY('Daily Schedule'!$B$2,2)=1,WEEKDAY('Daily Schedule'!$B$2,2)=4,WEEKDAY('Daily Schedule'!$B$2,2)=5,WEEKDAY('Daily Schedule'!$B$2,2)=7),IFERROR(1*'Daily Workforce'!$K84&gt;=3,FALSE()),IFERROR(1*'Daily Workforce'!$K84&gt;=2,FALSE())),IF(AND('Daily Schedule'!$A17&gt;=46,'Daily Schedule'!$A17&lt;=52),'Daily Workforce'!$M84="Y",IFERROR(1*'Daily Workforce'!$P84&gt;=2,FALSE()))))),1,0)</f>
        <v>0</v>
      </c>
      <c r="CR13" s="1" t="n">
        <f aca="false">IF(AND('Daily Workforce'!$N85="Y",'Daily Workforce'!$B85&lt;&gt;"",COUNTIF('Daily Schedule'!$F$5:$F16,'Daily Workforce'!$B85)=0,IF('Daily Schedule'!$A17=45,'Daily Workforce'!$J85="Y",IF(OR('Daily Schedule'!$A17=4,'Daily Schedule'!$A17=8),IF(OR(WEEKDAY('Daily Schedule'!$B$2,2)=1,WEEKDAY('Daily Schedule'!$B$2,2)=4,WEEKDAY('Daily Schedule'!$B$2,2)=5,WEEKDAY('Daily Schedule'!$B$2,2)=7),IFERROR(1*'Daily Workforce'!$K85&gt;=3,FALSE()),IFERROR(1*'Daily Workforce'!$K85&gt;=2,FALSE())),IF(AND('Daily Schedule'!$A17&gt;=46,'Daily Schedule'!$A17&lt;=52),'Daily Workforce'!$M85="Y",IFERROR(1*'Daily Workforce'!$P85&gt;=2,FALSE()))))),1,0)</f>
        <v>0</v>
      </c>
      <c r="CS13" s="1" t="n">
        <f aca="false">IF(AND('Daily Workforce'!$N86="Y",'Daily Workforce'!$B86&lt;&gt;"",COUNTIF('Daily Schedule'!$F$5:$F16,'Daily Workforce'!$B86)=0,IF('Daily Schedule'!$A17=45,'Daily Workforce'!$J86="Y",IF(OR('Daily Schedule'!$A17=4,'Daily Schedule'!$A17=8),IF(OR(WEEKDAY('Daily Schedule'!$B$2,2)=1,WEEKDAY('Daily Schedule'!$B$2,2)=4,WEEKDAY('Daily Schedule'!$B$2,2)=5,WEEKDAY('Daily Schedule'!$B$2,2)=7),IFERROR(1*'Daily Workforce'!$K86&gt;=3,FALSE()),IFERROR(1*'Daily Workforce'!$K86&gt;=2,FALSE())),IF(AND('Daily Schedule'!$A17&gt;=46,'Daily Schedule'!$A17&lt;=52),'Daily Workforce'!$M86="Y",IFERROR(1*'Daily Workforce'!$P86&gt;=2,FALSE()))))),1,0)</f>
        <v>0</v>
      </c>
      <c r="CT13" s="1" t="n">
        <f aca="false">IF(AND('Daily Workforce'!$N87="Y",'Daily Workforce'!$B87&lt;&gt;"",COUNTIF('Daily Schedule'!$F$5:$F16,'Daily Workforce'!$B87)=0,IF('Daily Schedule'!$A17=45,'Daily Workforce'!$J87="Y",IF(OR('Daily Schedule'!$A17=4,'Daily Schedule'!$A17=8),IF(OR(WEEKDAY('Daily Schedule'!$B$2,2)=1,WEEKDAY('Daily Schedule'!$B$2,2)=4,WEEKDAY('Daily Schedule'!$B$2,2)=5,WEEKDAY('Daily Schedule'!$B$2,2)=7),IFERROR(1*'Daily Workforce'!$K87&gt;=3,FALSE()),IFERROR(1*'Daily Workforce'!$K87&gt;=2,FALSE())),IF(AND('Daily Schedule'!$A17&gt;=46,'Daily Schedule'!$A17&lt;=52),'Daily Workforce'!$M87="Y",IFERROR(1*'Daily Workforce'!$P87&gt;=2,FALSE()))))),1,0)</f>
        <v>0</v>
      </c>
      <c r="CU13" s="1" t="n">
        <f aca="false">IF(AND('Daily Workforce'!$N88="Y",'Daily Workforce'!$B88&lt;&gt;"",COUNTIF('Daily Schedule'!$F$5:$F16,'Daily Workforce'!$B88)=0,IF('Daily Schedule'!$A17=45,'Daily Workforce'!$J88="Y",IF(OR('Daily Schedule'!$A17=4,'Daily Schedule'!$A17=8),IF(OR(WEEKDAY('Daily Schedule'!$B$2,2)=1,WEEKDAY('Daily Schedule'!$B$2,2)=4,WEEKDAY('Daily Schedule'!$B$2,2)=5,WEEKDAY('Daily Schedule'!$B$2,2)=7),IFERROR(1*'Daily Workforce'!$K88&gt;=3,FALSE()),IFERROR(1*'Daily Workforce'!$K88&gt;=2,FALSE())),IF(AND('Daily Schedule'!$A17&gt;=46,'Daily Schedule'!$A17&lt;=52),'Daily Workforce'!$M88="Y",IFERROR(1*'Daily Workforce'!$P88&gt;=2,FALSE()))))),1,0)</f>
        <v>0</v>
      </c>
      <c r="CV13" s="1" t="n">
        <f aca="false">IF(AND('Daily Workforce'!$N89="Y",'Daily Workforce'!$B89&lt;&gt;"",COUNTIF('Daily Schedule'!$F$5:$F16,'Daily Workforce'!$B89)=0,IF('Daily Schedule'!$A17=45,'Daily Workforce'!$J89="Y",IF(OR('Daily Schedule'!$A17=4,'Daily Schedule'!$A17=8),IF(OR(WEEKDAY('Daily Schedule'!$B$2,2)=1,WEEKDAY('Daily Schedule'!$B$2,2)=4,WEEKDAY('Daily Schedule'!$B$2,2)=5,WEEKDAY('Daily Schedule'!$B$2,2)=7),IFERROR(1*'Daily Workforce'!$K89&gt;=3,FALSE()),IFERROR(1*'Daily Workforce'!$K89&gt;=2,FALSE())),IF(AND('Daily Schedule'!$A17&gt;=46,'Daily Schedule'!$A17&lt;=52),'Daily Workforce'!$M89="Y",IFERROR(1*'Daily Workforce'!$P89&gt;=2,FALSE()))))),1,0)</f>
        <v>0</v>
      </c>
      <c r="CW13" s="1" t="n">
        <f aca="false">IF(AND('Daily Workforce'!$N90="Y",'Daily Workforce'!$B90&lt;&gt;"",COUNTIF('Daily Schedule'!$F$5:$F16,'Daily Workforce'!$B90)=0,IF('Daily Schedule'!$A17=45,'Daily Workforce'!$J90="Y",IF(OR('Daily Schedule'!$A17=4,'Daily Schedule'!$A17=8),IF(OR(WEEKDAY('Daily Schedule'!$B$2,2)=1,WEEKDAY('Daily Schedule'!$B$2,2)=4,WEEKDAY('Daily Schedule'!$B$2,2)=5,WEEKDAY('Daily Schedule'!$B$2,2)=7),IFERROR(1*'Daily Workforce'!$K90&gt;=3,FALSE()),IFERROR(1*'Daily Workforce'!$K90&gt;=2,FALSE())),IF(AND('Daily Schedule'!$A17&gt;=46,'Daily Schedule'!$A17&lt;=52),'Daily Workforce'!$M90="Y",IFERROR(1*'Daily Workforce'!$P90&gt;=2,FALSE()))))),1,0)</f>
        <v>0</v>
      </c>
      <c r="CX13" s="1" t="n">
        <f aca="false">IF(AND('Daily Workforce'!$N91="Y",'Daily Workforce'!$B91&lt;&gt;"",COUNTIF('Daily Schedule'!$F$5:$F16,'Daily Workforce'!$B91)=0,IF('Daily Schedule'!$A17=45,'Daily Workforce'!$J91="Y",IF(OR('Daily Schedule'!$A17=4,'Daily Schedule'!$A17=8),IF(OR(WEEKDAY('Daily Schedule'!$B$2,2)=1,WEEKDAY('Daily Schedule'!$B$2,2)=4,WEEKDAY('Daily Schedule'!$B$2,2)=5,WEEKDAY('Daily Schedule'!$B$2,2)=7),IFERROR(1*'Daily Workforce'!$K91&gt;=3,FALSE()),IFERROR(1*'Daily Workforce'!$K91&gt;=2,FALSE())),IF(AND('Daily Schedule'!$A17&gt;=46,'Daily Schedule'!$A17&lt;=52),'Daily Workforce'!$M91="Y",IFERROR(1*'Daily Workforce'!$P91&gt;=2,FALSE()))))),1,0)</f>
        <v>0</v>
      </c>
      <c r="CY13" s="1" t="n">
        <f aca="false">IF(AND('Daily Workforce'!$N92="Y",'Daily Workforce'!$B92&lt;&gt;"",COUNTIF('Daily Schedule'!$F$5:$F16,'Daily Workforce'!$B92)=0,IF('Daily Schedule'!$A17=45,'Daily Workforce'!$J92="Y",IF(OR('Daily Schedule'!$A17=4,'Daily Schedule'!$A17=8),IF(OR(WEEKDAY('Daily Schedule'!$B$2,2)=1,WEEKDAY('Daily Schedule'!$B$2,2)=4,WEEKDAY('Daily Schedule'!$B$2,2)=5,WEEKDAY('Daily Schedule'!$B$2,2)=7),IFERROR(1*'Daily Workforce'!$K92&gt;=3,FALSE()),IFERROR(1*'Daily Workforce'!$K92&gt;=2,FALSE())),IF(AND('Daily Schedule'!$A17&gt;=46,'Daily Schedule'!$A17&lt;=52),'Daily Workforce'!$M92="Y",IFERROR(1*'Daily Workforce'!$P92&gt;=2,FALSE()))))),1,0)</f>
        <v>0</v>
      </c>
      <c r="CZ13" s="1" t="n">
        <f aca="false">IF(AND('Daily Workforce'!$N93="Y",'Daily Workforce'!$B93&lt;&gt;"",COUNTIF('Daily Schedule'!$F$5:$F16,'Daily Workforce'!$B93)=0,IF('Daily Schedule'!$A17=45,'Daily Workforce'!$J93="Y",IF(OR('Daily Schedule'!$A17=4,'Daily Schedule'!$A17=8),IF(OR(WEEKDAY('Daily Schedule'!$B$2,2)=1,WEEKDAY('Daily Schedule'!$B$2,2)=4,WEEKDAY('Daily Schedule'!$B$2,2)=5,WEEKDAY('Daily Schedule'!$B$2,2)=7),IFERROR(1*'Daily Workforce'!$K93&gt;=3,FALSE()),IFERROR(1*'Daily Workforce'!$K93&gt;=2,FALSE())),IF(AND('Daily Schedule'!$A17&gt;=46,'Daily Schedule'!$A17&lt;=52),'Daily Workforce'!$M93="Y",IFERROR(1*'Daily Workforce'!$P93&gt;=2,FALSE()))))),1,0)</f>
        <v>0</v>
      </c>
      <c r="DA13" s="1" t="n">
        <f aca="false">IF(AND('Daily Workforce'!$N94="Y",'Daily Workforce'!$B94&lt;&gt;"",COUNTIF('Daily Schedule'!$F$5:$F16,'Daily Workforce'!$B94)=0,IF('Daily Schedule'!$A17=45,'Daily Workforce'!$J94="Y",IF(OR('Daily Schedule'!$A17=4,'Daily Schedule'!$A17=8),IF(OR(WEEKDAY('Daily Schedule'!$B$2,2)=1,WEEKDAY('Daily Schedule'!$B$2,2)=4,WEEKDAY('Daily Schedule'!$B$2,2)=5,WEEKDAY('Daily Schedule'!$B$2,2)=7),IFERROR(1*'Daily Workforce'!$K94&gt;=3,FALSE()),IFERROR(1*'Daily Workforce'!$K94&gt;=2,FALSE())),IF(AND('Daily Schedule'!$A17&gt;=46,'Daily Schedule'!$A17&lt;=52),'Daily Workforce'!$M94="Y",IFERROR(1*'Daily Workforce'!$P94&gt;=2,FALSE()))))),1,0)</f>
        <v>0</v>
      </c>
      <c r="DB13" s="1" t="n">
        <f aca="false">IF(AND('Daily Workforce'!$N95="Y",'Daily Workforce'!$B95&lt;&gt;"",COUNTIF('Daily Schedule'!$F$5:$F16,'Daily Workforce'!$B95)=0,IF('Daily Schedule'!$A17=45,'Daily Workforce'!$J95="Y",IF(OR('Daily Schedule'!$A17=4,'Daily Schedule'!$A17=8),IF(OR(WEEKDAY('Daily Schedule'!$B$2,2)=1,WEEKDAY('Daily Schedule'!$B$2,2)=4,WEEKDAY('Daily Schedule'!$B$2,2)=5,WEEKDAY('Daily Schedule'!$B$2,2)=7),IFERROR(1*'Daily Workforce'!$K95&gt;=3,FALSE()),IFERROR(1*'Daily Workforce'!$K95&gt;=2,FALSE())),IF(AND('Daily Schedule'!$A17&gt;=46,'Daily Schedule'!$A17&lt;=52),'Daily Workforce'!$M95="Y",IFERROR(1*'Daily Workforce'!$P95&gt;=2,FALSE()))))),1,0)</f>
        <v>0</v>
      </c>
      <c r="DC13" s="1" t="n">
        <f aca="false">IF(AND('Daily Workforce'!$N96="Y",'Daily Workforce'!$B96&lt;&gt;"",COUNTIF('Daily Schedule'!$F$5:$F16,'Daily Workforce'!$B96)=0,IF('Daily Schedule'!$A17=45,'Daily Workforce'!$J96="Y",IF(OR('Daily Schedule'!$A17=4,'Daily Schedule'!$A17=8),IF(OR(WEEKDAY('Daily Schedule'!$B$2,2)=1,WEEKDAY('Daily Schedule'!$B$2,2)=4,WEEKDAY('Daily Schedule'!$B$2,2)=5,WEEKDAY('Daily Schedule'!$B$2,2)=7),IFERROR(1*'Daily Workforce'!$K96&gt;=3,FALSE()),IFERROR(1*'Daily Workforce'!$K96&gt;=2,FALSE())),IF(AND('Daily Schedule'!$A17&gt;=46,'Daily Schedule'!$A17&lt;=52),'Daily Workforce'!$M96="Y",IFERROR(1*'Daily Workforce'!$P96&gt;=2,FALSE()))))),1,0)</f>
        <v>0</v>
      </c>
      <c r="DD13" s="1" t="n">
        <f aca="false">IF(AND('Daily Workforce'!$N97="Y",'Daily Workforce'!$B97&lt;&gt;"",COUNTIF('Daily Schedule'!$F$5:$F16,'Daily Workforce'!$B97)=0,IF('Daily Schedule'!$A17=45,'Daily Workforce'!$J97="Y",IF(OR('Daily Schedule'!$A17=4,'Daily Schedule'!$A17=8),IF(OR(WEEKDAY('Daily Schedule'!$B$2,2)=1,WEEKDAY('Daily Schedule'!$B$2,2)=4,WEEKDAY('Daily Schedule'!$B$2,2)=5,WEEKDAY('Daily Schedule'!$B$2,2)=7),IFERROR(1*'Daily Workforce'!$K97&gt;=3,FALSE()),IFERROR(1*'Daily Workforce'!$K97&gt;=2,FALSE())),IF(AND('Daily Schedule'!$A17&gt;=46,'Daily Schedule'!$A17&lt;=52),'Daily Workforce'!$M97="Y",IFERROR(1*'Daily Workforce'!$P97&gt;=2,FALSE()))))),1,0)</f>
        <v>0</v>
      </c>
      <c r="DE13" s="1" t="n">
        <f aca="false">IF(AND('Daily Workforce'!$N98="Y",'Daily Workforce'!$B98&lt;&gt;"",COUNTIF('Daily Schedule'!$F$5:$F16,'Daily Workforce'!$B98)=0,IF('Daily Schedule'!$A17=45,'Daily Workforce'!$J98="Y",IF(OR('Daily Schedule'!$A17=4,'Daily Schedule'!$A17=8),IF(OR(WEEKDAY('Daily Schedule'!$B$2,2)=1,WEEKDAY('Daily Schedule'!$B$2,2)=4,WEEKDAY('Daily Schedule'!$B$2,2)=5,WEEKDAY('Daily Schedule'!$B$2,2)=7),IFERROR(1*'Daily Workforce'!$K98&gt;=3,FALSE()),IFERROR(1*'Daily Workforce'!$K98&gt;=2,FALSE())),IF(AND('Daily Schedule'!$A17&gt;=46,'Daily Schedule'!$A17&lt;=52),'Daily Workforce'!$M98="Y",IFERROR(1*'Daily Workforce'!$P98&gt;=2,FALSE()))))),1,0)</f>
        <v>0</v>
      </c>
      <c r="DF13" s="1" t="n">
        <f aca="false">IF(AND('Daily Workforce'!$N99="Y",'Daily Workforce'!$B99&lt;&gt;"",COUNTIF('Daily Schedule'!$F$5:$F16,'Daily Workforce'!$B99)=0,IF('Daily Schedule'!$A17=45,'Daily Workforce'!$J99="Y",IF(OR('Daily Schedule'!$A17=4,'Daily Schedule'!$A17=8),IF(OR(WEEKDAY('Daily Schedule'!$B$2,2)=1,WEEKDAY('Daily Schedule'!$B$2,2)=4,WEEKDAY('Daily Schedule'!$B$2,2)=5,WEEKDAY('Daily Schedule'!$B$2,2)=7),IFERROR(1*'Daily Workforce'!$K99&gt;=3,FALSE()),IFERROR(1*'Daily Workforce'!$K99&gt;=2,FALSE())),IF(AND('Daily Schedule'!$A17&gt;=46,'Daily Schedule'!$A17&lt;=52),'Daily Workforce'!$M99="Y",IFERROR(1*'Daily Workforce'!$P99&gt;=2,FALSE()))))),1,0)</f>
        <v>0</v>
      </c>
      <c r="DG13" s="1" t="n">
        <f aca="false">IF(AND('Daily Workforce'!$N100="Y",'Daily Workforce'!$B100&lt;&gt;"",COUNTIF('Daily Schedule'!$F$5:$F16,'Daily Workforce'!$B100)=0,IF('Daily Schedule'!$A17=45,'Daily Workforce'!$J100="Y",IF(OR('Daily Schedule'!$A17=4,'Daily Schedule'!$A17=8),IF(OR(WEEKDAY('Daily Schedule'!$B$2,2)=1,WEEKDAY('Daily Schedule'!$B$2,2)=4,WEEKDAY('Daily Schedule'!$B$2,2)=5,WEEKDAY('Daily Schedule'!$B$2,2)=7),IFERROR(1*'Daily Workforce'!$K100&gt;=3,FALSE()),IFERROR(1*'Daily Workforce'!$K100&gt;=2,FALSE())),IF(AND('Daily Schedule'!$A17&gt;=46,'Daily Schedule'!$A17&lt;=52),'Daily Workforce'!$M100="Y",IFERROR(1*'Daily Workforce'!$P100&gt;=2,FALSE()))))),1,0)</f>
        <v>0</v>
      </c>
      <c r="DH13" s="1" t="n">
        <f aca="false">IF(AND('Daily Workforce'!$N101="Y",'Daily Workforce'!$B101&lt;&gt;"",COUNTIF('Daily Schedule'!$F$5:$F16,'Daily Workforce'!$B101)=0,IF('Daily Schedule'!$A17=45,'Daily Workforce'!$J101="Y",IF(OR('Daily Schedule'!$A17=4,'Daily Schedule'!$A17=8),IF(OR(WEEKDAY('Daily Schedule'!$B$2,2)=1,WEEKDAY('Daily Schedule'!$B$2,2)=4,WEEKDAY('Daily Schedule'!$B$2,2)=5,WEEKDAY('Daily Schedule'!$B$2,2)=7),IFERROR(1*'Daily Workforce'!$K101&gt;=3,FALSE()),IFERROR(1*'Daily Workforce'!$K101&gt;=2,FALSE())),IF(AND('Daily Schedule'!$A17&gt;=46,'Daily Schedule'!$A17&lt;=52),'Daily Workforce'!$M101="Y",IFERROR(1*'Daily Workforce'!$P101&gt;=2,FALSE()))))),1,0)</f>
        <v>0</v>
      </c>
      <c r="DI13" s="1" t="n">
        <f aca="false">IF(AND('Daily Workforce'!$N102="Y",'Daily Workforce'!$B102&lt;&gt;"",COUNTIF('Daily Schedule'!$F$5:$F16,'Daily Workforce'!$B102)=0,IF('Daily Schedule'!$A17=45,'Daily Workforce'!$J102="Y",IF(OR('Daily Schedule'!$A17=4,'Daily Schedule'!$A17=8),IF(OR(WEEKDAY('Daily Schedule'!$B$2,2)=1,WEEKDAY('Daily Schedule'!$B$2,2)=4,WEEKDAY('Daily Schedule'!$B$2,2)=5,WEEKDAY('Daily Schedule'!$B$2,2)=7),IFERROR(1*'Daily Workforce'!$K102&gt;=3,FALSE()),IFERROR(1*'Daily Workforce'!$K102&gt;=2,FALSE())),IF(AND('Daily Schedule'!$A17&gt;=46,'Daily Schedule'!$A17&lt;=52),'Daily Workforce'!$M102="Y",IFERROR(1*'Daily Workforce'!$P102&gt;=2,FALSE()))))),1,0)</f>
        <v>0</v>
      </c>
      <c r="DJ13" s="1" t="n">
        <f aca="false">IF(AND('Daily Workforce'!$N103="Y",'Daily Workforce'!$B103&lt;&gt;"",COUNTIF('Daily Schedule'!$F$5:$F16,'Daily Workforce'!$B103)=0,IF('Daily Schedule'!$A17=45,'Daily Workforce'!$J103="Y",IF(OR('Daily Schedule'!$A17=4,'Daily Schedule'!$A17=8),IF(OR(WEEKDAY('Daily Schedule'!$B$2,2)=1,WEEKDAY('Daily Schedule'!$B$2,2)=4,WEEKDAY('Daily Schedule'!$B$2,2)=5,WEEKDAY('Daily Schedule'!$B$2,2)=7),IFERROR(1*'Daily Workforce'!$K103&gt;=3,FALSE()),IFERROR(1*'Daily Workforce'!$K103&gt;=2,FALSE())),IF(AND('Daily Schedule'!$A17&gt;=46,'Daily Schedule'!$A17&lt;=52),'Daily Workforce'!$M103="Y",IFERROR(1*'Daily Workforce'!$P103&gt;=2,FALSE()))))),1,0)</f>
        <v>0</v>
      </c>
      <c r="DK13" s="1" t="n">
        <f aca="false">IF(AND('Daily Workforce'!$N104="Y",'Daily Workforce'!$B104&lt;&gt;"",COUNTIF('Daily Schedule'!$F$5:$F16,'Daily Workforce'!$B104)=0,IF('Daily Schedule'!$A17=45,'Daily Workforce'!$J104="Y",IF(OR('Daily Schedule'!$A17=4,'Daily Schedule'!$A17=8),IF(OR(WEEKDAY('Daily Schedule'!$B$2,2)=1,WEEKDAY('Daily Schedule'!$B$2,2)=4,WEEKDAY('Daily Schedule'!$B$2,2)=5,WEEKDAY('Daily Schedule'!$B$2,2)=7),IFERROR(1*'Daily Workforce'!$K104&gt;=3,FALSE()),IFERROR(1*'Daily Workforce'!$K104&gt;=2,FALSE())),IF(AND('Daily Schedule'!$A17&gt;=46,'Daily Schedule'!$A17&lt;=52),'Daily Workforce'!$M104="Y",IFERROR(1*'Daily Workforce'!$P104&gt;=2,FALSE()))))),1,0)</f>
        <v>0</v>
      </c>
      <c r="DL13" s="1" t="n">
        <f aca="false">IF(AND('Daily Workforce'!$N105="Y",'Daily Workforce'!$B105&lt;&gt;"",COUNTIF('Daily Schedule'!$F$5:$F16,'Daily Workforce'!$B105)=0,IF('Daily Schedule'!$A17=45,'Daily Workforce'!$J105="Y",IF(OR('Daily Schedule'!$A17=4,'Daily Schedule'!$A17=8),IF(OR(WEEKDAY('Daily Schedule'!$B$2,2)=1,WEEKDAY('Daily Schedule'!$B$2,2)=4,WEEKDAY('Daily Schedule'!$B$2,2)=5,WEEKDAY('Daily Schedule'!$B$2,2)=7),IFERROR(1*'Daily Workforce'!$K105&gt;=3,FALSE()),IFERROR(1*'Daily Workforce'!$K105&gt;=2,FALSE())),IF(AND('Daily Schedule'!$A17&gt;=46,'Daily Schedule'!$A17&lt;=52),'Daily Workforce'!$M105="Y",IFERROR(1*'Daily Workforce'!$P105&gt;=2,FALSE()))))),1,0)</f>
        <v>0</v>
      </c>
      <c r="DM13" s="1" t="n">
        <f aca="false">IF(AND('Daily Workforce'!$N106="Y",'Daily Workforce'!$B106&lt;&gt;"",COUNTIF('Daily Schedule'!$F$5:$F16,'Daily Workforce'!$B106)=0,IF('Daily Schedule'!$A17=45,'Daily Workforce'!$J106="Y",IF(OR('Daily Schedule'!$A17=4,'Daily Schedule'!$A17=8),IF(OR(WEEKDAY('Daily Schedule'!$B$2,2)=1,WEEKDAY('Daily Schedule'!$B$2,2)=4,WEEKDAY('Daily Schedule'!$B$2,2)=5,WEEKDAY('Daily Schedule'!$B$2,2)=7),IFERROR(1*'Daily Workforce'!$K106&gt;=3,FALSE()),IFERROR(1*'Daily Workforce'!$K106&gt;=2,FALSE())),IF(AND('Daily Schedule'!$A17&gt;=46,'Daily Schedule'!$A17&lt;=52),'Daily Workforce'!$M106="Y",IFERROR(1*'Daily Workforce'!$P106&gt;=2,FALSE()))))),1,0)</f>
        <v>0</v>
      </c>
      <c r="DN13" s="1" t="n">
        <f aca="false">IF(AND('Daily Workforce'!$N107="Y",'Daily Workforce'!$B107&lt;&gt;"",COUNTIF('Daily Schedule'!$F$5:$F16,'Daily Workforce'!$B107)=0,IF('Daily Schedule'!$A17=45,'Daily Workforce'!$J107="Y",IF(OR('Daily Schedule'!$A17=4,'Daily Schedule'!$A17=8),IF(OR(WEEKDAY('Daily Schedule'!$B$2,2)=1,WEEKDAY('Daily Schedule'!$B$2,2)=4,WEEKDAY('Daily Schedule'!$B$2,2)=5,WEEKDAY('Daily Schedule'!$B$2,2)=7),IFERROR(1*'Daily Workforce'!$K107&gt;=3,FALSE()),IFERROR(1*'Daily Workforce'!$K107&gt;=2,FALSE())),IF(AND('Daily Schedule'!$A17&gt;=46,'Daily Schedule'!$A17&lt;=52),'Daily Workforce'!$M107="Y",IFERROR(1*'Daily Workforce'!$P107&gt;=2,FALSE()))))),1,0)</f>
        <v>0</v>
      </c>
      <c r="DO13" s="1" t="n">
        <f aca="false">IF(AND('Daily Workforce'!$N108="Y",'Daily Workforce'!$B108&lt;&gt;"",COUNTIF('Daily Schedule'!$F$5:$F16,'Daily Workforce'!$B108)=0,IF('Daily Schedule'!$A17=45,'Daily Workforce'!$J108="Y",IF(OR('Daily Schedule'!$A17=4,'Daily Schedule'!$A17=8),IF(OR(WEEKDAY('Daily Schedule'!$B$2,2)=1,WEEKDAY('Daily Schedule'!$B$2,2)=4,WEEKDAY('Daily Schedule'!$B$2,2)=5,WEEKDAY('Daily Schedule'!$B$2,2)=7),IFERROR(1*'Daily Workforce'!$K108&gt;=3,FALSE()),IFERROR(1*'Daily Workforce'!$K108&gt;=2,FALSE())),IF(AND('Daily Schedule'!$A17&gt;=46,'Daily Schedule'!$A17&lt;=52),'Daily Workforce'!$M108="Y",IFERROR(1*'Daily Workforce'!$P108&gt;=2,FALSE()))))),1,0)</f>
        <v>0</v>
      </c>
      <c r="DP13" s="1" t="n">
        <f aca="false">IF(AND('Daily Workforce'!$N109="Y",'Daily Workforce'!$B109&lt;&gt;"",COUNTIF('Daily Schedule'!$F$5:$F16,'Daily Workforce'!$B109)=0,IF('Daily Schedule'!$A17=45,'Daily Workforce'!$J109="Y",IF(OR('Daily Schedule'!$A17=4,'Daily Schedule'!$A17=8),IF(OR(WEEKDAY('Daily Schedule'!$B$2,2)=1,WEEKDAY('Daily Schedule'!$B$2,2)=4,WEEKDAY('Daily Schedule'!$B$2,2)=5,WEEKDAY('Daily Schedule'!$B$2,2)=7),IFERROR(1*'Daily Workforce'!$K109&gt;=3,FALSE()),IFERROR(1*'Daily Workforce'!$K109&gt;=2,FALSE())),IF(AND('Daily Schedule'!$A17&gt;=46,'Daily Schedule'!$A17&lt;=52),'Daily Workforce'!$M109="Y",IFERROR(1*'Daily Workforce'!$P109&gt;=2,FALSE()))))),1,0)</f>
        <v>0</v>
      </c>
      <c r="DQ13" s="1" t="n">
        <f aca="false">IF(AND('Daily Workforce'!$N110="Y",'Daily Workforce'!$B110&lt;&gt;"",COUNTIF('Daily Schedule'!$F$5:$F16,'Daily Workforce'!$B110)=0,IF('Daily Schedule'!$A17=45,'Daily Workforce'!$J110="Y",IF(OR('Daily Schedule'!$A17=4,'Daily Schedule'!$A17=8),IF(OR(WEEKDAY('Daily Schedule'!$B$2,2)=1,WEEKDAY('Daily Schedule'!$B$2,2)=4,WEEKDAY('Daily Schedule'!$B$2,2)=5,WEEKDAY('Daily Schedule'!$B$2,2)=7),IFERROR(1*'Daily Workforce'!$K110&gt;=3,FALSE()),IFERROR(1*'Daily Workforce'!$K110&gt;=2,FALSE())),IF(AND('Daily Schedule'!$A17&gt;=46,'Daily Schedule'!$A17&lt;=52),'Daily Workforce'!$M110="Y",IFERROR(1*'Daily Workforce'!$P110&gt;=2,FALSE()))))),1,0)</f>
        <v>0</v>
      </c>
      <c r="DR13" s="1" t="n">
        <f aca="false">IF(AND('Daily Workforce'!$N111="Y",'Daily Workforce'!$B111&lt;&gt;"",COUNTIF('Daily Schedule'!$F$5:$F16,'Daily Workforce'!$B111)=0,IF('Daily Schedule'!$A17=45,'Daily Workforce'!$J111="Y",IF(OR('Daily Schedule'!$A17=4,'Daily Schedule'!$A17=8),IF(OR(WEEKDAY('Daily Schedule'!$B$2,2)=1,WEEKDAY('Daily Schedule'!$B$2,2)=4,WEEKDAY('Daily Schedule'!$B$2,2)=5,WEEKDAY('Daily Schedule'!$B$2,2)=7),IFERROR(1*'Daily Workforce'!$K111&gt;=3,FALSE()),IFERROR(1*'Daily Workforce'!$K111&gt;=2,FALSE())),IF(AND('Daily Schedule'!$A17&gt;=46,'Daily Schedule'!$A17&lt;=52),'Daily Workforce'!$M111="Y",IFERROR(1*'Daily Workforce'!$P111&gt;=2,FALSE()))))),1,0)</f>
        <v>0</v>
      </c>
      <c r="DS13" s="1" t="n">
        <f aca="false">IF(AND('Daily Workforce'!$N112="Y",'Daily Workforce'!$B112&lt;&gt;"",COUNTIF('Daily Schedule'!$F$5:$F16,'Daily Workforce'!$B112)=0,IF('Daily Schedule'!$A17=45,'Daily Workforce'!$J112="Y",IF(OR('Daily Schedule'!$A17=4,'Daily Schedule'!$A17=8),IF(OR(WEEKDAY('Daily Schedule'!$B$2,2)=1,WEEKDAY('Daily Schedule'!$B$2,2)=4,WEEKDAY('Daily Schedule'!$B$2,2)=5,WEEKDAY('Daily Schedule'!$B$2,2)=7),IFERROR(1*'Daily Workforce'!$K112&gt;=3,FALSE()),IFERROR(1*'Daily Workforce'!$K112&gt;=2,FALSE())),IF(AND('Daily Schedule'!$A17&gt;=46,'Daily Schedule'!$A17&lt;=52),'Daily Workforce'!$M112="Y",IFERROR(1*'Daily Workforce'!$P112&gt;=2,FALSE()))))),1,0)</f>
        <v>0</v>
      </c>
      <c r="DT13" s="1" t="n">
        <f aca="false">IF(AND('Daily Workforce'!$N113="Y",'Daily Workforce'!$B113&lt;&gt;"",COUNTIF('Daily Schedule'!$F$5:$F16,'Daily Workforce'!$B113)=0,IF('Daily Schedule'!$A17=45,'Daily Workforce'!$J113="Y",IF(OR('Daily Schedule'!$A17=4,'Daily Schedule'!$A17=8),IF(OR(WEEKDAY('Daily Schedule'!$B$2,2)=1,WEEKDAY('Daily Schedule'!$B$2,2)=4,WEEKDAY('Daily Schedule'!$B$2,2)=5,WEEKDAY('Daily Schedule'!$B$2,2)=7),IFERROR(1*'Daily Workforce'!$K113&gt;=3,FALSE()),IFERROR(1*'Daily Workforce'!$K113&gt;=2,FALSE())),IF(AND('Daily Schedule'!$A17&gt;=46,'Daily Schedule'!$A17&lt;=52),'Daily Workforce'!$M113="Y",IFERROR(1*'Daily Workforce'!$P113&gt;=2,FALSE()))))),1,0)</f>
        <v>0</v>
      </c>
      <c r="DU13" s="1" t="n">
        <f aca="false">IF(AND('Daily Workforce'!$N114="Y",'Daily Workforce'!$B114&lt;&gt;"",COUNTIF('Daily Schedule'!$F$5:$F16,'Daily Workforce'!$B114)=0,IF('Daily Schedule'!$A17=45,'Daily Workforce'!$J114="Y",IF(OR('Daily Schedule'!$A17=4,'Daily Schedule'!$A17=8),IF(OR(WEEKDAY('Daily Schedule'!$B$2,2)=1,WEEKDAY('Daily Schedule'!$B$2,2)=4,WEEKDAY('Daily Schedule'!$B$2,2)=5,WEEKDAY('Daily Schedule'!$B$2,2)=7),IFERROR(1*'Daily Workforce'!$K114&gt;=3,FALSE()),IFERROR(1*'Daily Workforce'!$K114&gt;=2,FALSE())),IF(AND('Daily Schedule'!$A17&gt;=46,'Daily Schedule'!$A17&lt;=52),'Daily Workforce'!$M114="Y",IFERROR(1*'Daily Workforce'!$P114&gt;=2,FALSE()))))),1,0)</f>
        <v>0</v>
      </c>
      <c r="DV13" s="1" t="n">
        <f aca="false">IF(AND('Daily Workforce'!$N115="Y",'Daily Workforce'!$B115&lt;&gt;"",COUNTIF('Daily Schedule'!$F$5:$F16,'Daily Workforce'!$B115)=0,IF('Daily Schedule'!$A17=45,'Daily Workforce'!$J115="Y",IF(OR('Daily Schedule'!$A17=4,'Daily Schedule'!$A17=8),IF(OR(WEEKDAY('Daily Schedule'!$B$2,2)=1,WEEKDAY('Daily Schedule'!$B$2,2)=4,WEEKDAY('Daily Schedule'!$B$2,2)=5,WEEKDAY('Daily Schedule'!$B$2,2)=7),IFERROR(1*'Daily Workforce'!$K115&gt;=3,FALSE()),IFERROR(1*'Daily Workforce'!$K115&gt;=2,FALSE())),IF(AND('Daily Schedule'!$A17&gt;=46,'Daily Schedule'!$A17&lt;=52),'Daily Workforce'!$M115="Y",IFERROR(1*'Daily Workforce'!$P115&gt;=2,FALSE()))))),1,0)</f>
        <v>0</v>
      </c>
      <c r="DW13" s="1" t="n">
        <f aca="false">IF(AND('Daily Workforce'!$N116="Y",'Daily Workforce'!$B116&lt;&gt;"",COUNTIF('Daily Schedule'!$F$5:$F16,'Daily Workforce'!$B116)=0,IF('Daily Schedule'!$A17=45,'Daily Workforce'!$J116="Y",IF(OR('Daily Schedule'!$A17=4,'Daily Schedule'!$A17=8),IF(OR(WEEKDAY('Daily Schedule'!$B$2,2)=1,WEEKDAY('Daily Schedule'!$B$2,2)=4,WEEKDAY('Daily Schedule'!$B$2,2)=5,WEEKDAY('Daily Schedule'!$B$2,2)=7),IFERROR(1*'Daily Workforce'!$K116&gt;=3,FALSE()),IFERROR(1*'Daily Workforce'!$K116&gt;=2,FALSE())),IF(AND('Daily Schedule'!$A17&gt;=46,'Daily Schedule'!$A17&lt;=52),'Daily Workforce'!$M116="Y",IFERROR(1*'Daily Workforce'!$P116&gt;=2,FALSE()))))),1,0)</f>
        <v>0</v>
      </c>
      <c r="DX13" s="1" t="n">
        <f aca="false">IF(AND('Daily Workforce'!$N117="Y",'Daily Workforce'!$B117&lt;&gt;"",COUNTIF('Daily Schedule'!$F$5:$F16,'Daily Workforce'!$B117)=0,IF('Daily Schedule'!$A17=45,'Daily Workforce'!$J117="Y",IF(OR('Daily Schedule'!$A17=4,'Daily Schedule'!$A17=8),IF(OR(WEEKDAY('Daily Schedule'!$B$2,2)=1,WEEKDAY('Daily Schedule'!$B$2,2)=4,WEEKDAY('Daily Schedule'!$B$2,2)=5,WEEKDAY('Daily Schedule'!$B$2,2)=7),IFERROR(1*'Daily Workforce'!$K117&gt;=3,FALSE()),IFERROR(1*'Daily Workforce'!$K117&gt;=2,FALSE())),IF(AND('Daily Schedule'!$A17&gt;=46,'Daily Schedule'!$A17&lt;=52),'Daily Workforce'!$M117="Y",IFERROR(1*'Daily Workforce'!$P117&gt;=2,FALSE()))))),1,0)</f>
        <v>0</v>
      </c>
      <c r="DY13" s="1" t="n">
        <f aca="false">IF(AND('Daily Workforce'!$N118="Y",'Daily Workforce'!$B118&lt;&gt;"",COUNTIF('Daily Schedule'!$F$5:$F16,'Daily Workforce'!$B118)=0,IF('Daily Schedule'!$A17=45,'Daily Workforce'!$J118="Y",IF(OR('Daily Schedule'!$A17=4,'Daily Schedule'!$A17=8),IF(OR(WEEKDAY('Daily Schedule'!$B$2,2)=1,WEEKDAY('Daily Schedule'!$B$2,2)=4,WEEKDAY('Daily Schedule'!$B$2,2)=5,WEEKDAY('Daily Schedule'!$B$2,2)=7),IFERROR(1*'Daily Workforce'!$K118&gt;=3,FALSE()),IFERROR(1*'Daily Workforce'!$K118&gt;=2,FALSE())),IF(AND('Daily Schedule'!$A17&gt;=46,'Daily Schedule'!$A17&lt;=52),'Daily Workforce'!$M118="Y",IFERROR(1*'Daily Workforce'!$P118&gt;=2,FALSE()))))),1,0)</f>
        <v>0</v>
      </c>
      <c r="DZ13" s="1" t="n">
        <f aca="false">IF(AND('Daily Workforce'!$N119="Y",'Daily Workforce'!$B119&lt;&gt;"",COUNTIF('Daily Schedule'!$F$5:$F16,'Daily Workforce'!$B119)=0,IF('Daily Schedule'!$A17=45,'Daily Workforce'!$J119="Y",IF(OR('Daily Schedule'!$A17=4,'Daily Schedule'!$A17=8),IF(OR(WEEKDAY('Daily Schedule'!$B$2,2)=1,WEEKDAY('Daily Schedule'!$B$2,2)=4,WEEKDAY('Daily Schedule'!$B$2,2)=5,WEEKDAY('Daily Schedule'!$B$2,2)=7),IFERROR(1*'Daily Workforce'!$K119&gt;=3,FALSE()),IFERROR(1*'Daily Workforce'!$K119&gt;=2,FALSE())),IF(AND('Daily Schedule'!$A17&gt;=46,'Daily Schedule'!$A17&lt;=52),'Daily Workforce'!$M119="Y",IFERROR(1*'Daily Workforce'!$P119&gt;=2,FALSE()))))),1,0)</f>
        <v>0</v>
      </c>
      <c r="EA13" s="1" t="n">
        <f aca="false">IF(AND('Daily Workforce'!$N120="Y",'Daily Workforce'!$B120&lt;&gt;"",COUNTIF('Daily Schedule'!$F$5:$F16,'Daily Workforce'!$B120)=0,IF('Daily Schedule'!$A17=45,'Daily Workforce'!$J120="Y",IF(OR('Daily Schedule'!$A17=4,'Daily Schedule'!$A17=8),IF(OR(WEEKDAY('Daily Schedule'!$B$2,2)=1,WEEKDAY('Daily Schedule'!$B$2,2)=4,WEEKDAY('Daily Schedule'!$B$2,2)=5,WEEKDAY('Daily Schedule'!$B$2,2)=7),IFERROR(1*'Daily Workforce'!$K120&gt;=3,FALSE()),IFERROR(1*'Daily Workforce'!$K120&gt;=2,FALSE())),IF(AND('Daily Schedule'!$A17&gt;=46,'Daily Schedule'!$A17&lt;=52),'Daily Workforce'!$M120="Y",IFERROR(1*'Daily Workforce'!$P120&gt;=2,FALSE()))))),1,0)</f>
        <v>0</v>
      </c>
      <c r="EB13" s="1" t="n">
        <f aca="false">IF(AND('Daily Workforce'!$N121="Y",'Daily Workforce'!$B121&lt;&gt;"",COUNTIF('Daily Schedule'!$F$5:$F16,'Daily Workforce'!$B121)=0,IF('Daily Schedule'!$A17=45,'Daily Workforce'!$J121="Y",IF(OR('Daily Schedule'!$A17=4,'Daily Schedule'!$A17=8),IF(OR(WEEKDAY('Daily Schedule'!$B$2,2)=1,WEEKDAY('Daily Schedule'!$B$2,2)=4,WEEKDAY('Daily Schedule'!$B$2,2)=5,WEEKDAY('Daily Schedule'!$B$2,2)=7),IFERROR(1*'Daily Workforce'!$K121&gt;=3,FALSE()),IFERROR(1*'Daily Workforce'!$K121&gt;=2,FALSE())),IF(AND('Daily Schedule'!$A17&gt;=46,'Daily Schedule'!$A17&lt;=52),'Daily Workforce'!$M121="Y",IFERROR(1*'Daily Workforce'!$P121&gt;=2,FALSE()))))),1,0)</f>
        <v>0</v>
      </c>
      <c r="EC13" s="1" t="n">
        <f aca="false">IF(AND('Daily Workforce'!$N122="Y",'Daily Workforce'!$B122&lt;&gt;"",COUNTIF('Daily Schedule'!$F$5:$F16,'Daily Workforce'!$B122)=0,IF('Daily Schedule'!$A17=45,'Daily Workforce'!$J122="Y",IF(OR('Daily Schedule'!$A17=4,'Daily Schedule'!$A17=8),IF(OR(WEEKDAY('Daily Schedule'!$B$2,2)=1,WEEKDAY('Daily Schedule'!$B$2,2)=4,WEEKDAY('Daily Schedule'!$B$2,2)=5,WEEKDAY('Daily Schedule'!$B$2,2)=7),IFERROR(1*'Daily Workforce'!$K122&gt;=3,FALSE()),IFERROR(1*'Daily Workforce'!$K122&gt;=2,FALSE())),IF(AND('Daily Schedule'!$A17&gt;=46,'Daily Schedule'!$A17&lt;=52),'Daily Workforce'!$M122="Y",IFERROR(1*'Daily Workforce'!$P122&gt;=2,FALSE()))))),1,0)</f>
        <v>0</v>
      </c>
      <c r="ED13" s="1" t="n">
        <f aca="false">IF(AND('Daily Workforce'!$N123="Y",'Daily Workforce'!$B123&lt;&gt;"",COUNTIF('Daily Schedule'!$F$5:$F16,'Daily Workforce'!$B123)=0,IF('Daily Schedule'!$A17=45,'Daily Workforce'!$J123="Y",IF(OR('Daily Schedule'!$A17=4,'Daily Schedule'!$A17=8),IF(OR(WEEKDAY('Daily Schedule'!$B$2,2)=1,WEEKDAY('Daily Schedule'!$B$2,2)=4,WEEKDAY('Daily Schedule'!$B$2,2)=5,WEEKDAY('Daily Schedule'!$B$2,2)=7),IFERROR(1*'Daily Workforce'!$K123&gt;=3,FALSE()),IFERROR(1*'Daily Workforce'!$K123&gt;=2,FALSE())),IF(AND('Daily Schedule'!$A17&gt;=46,'Daily Schedule'!$A17&lt;=52),'Daily Workforce'!$M123="Y",IFERROR(1*'Daily Workforce'!$P123&gt;=2,FALSE()))))),1,0)</f>
        <v>0</v>
      </c>
      <c r="EE13" s="1" t="n">
        <f aca="false">IF(AND('Daily Workforce'!$N124="Y",'Daily Workforce'!$B124&lt;&gt;"",COUNTIF('Daily Schedule'!$F$5:$F16,'Daily Workforce'!$B124)=0,IF('Daily Schedule'!$A17=45,'Daily Workforce'!$J124="Y",IF(OR('Daily Schedule'!$A17=4,'Daily Schedule'!$A17=8),IF(OR(WEEKDAY('Daily Schedule'!$B$2,2)=1,WEEKDAY('Daily Schedule'!$B$2,2)=4,WEEKDAY('Daily Schedule'!$B$2,2)=5,WEEKDAY('Daily Schedule'!$B$2,2)=7),IFERROR(1*'Daily Workforce'!$K124&gt;=3,FALSE()),IFERROR(1*'Daily Workforce'!$K124&gt;=2,FALSE())),IF(AND('Daily Schedule'!$A17&gt;=46,'Daily Schedule'!$A17&lt;=52),'Daily Workforce'!$M124="Y",IFERROR(1*'Daily Workforce'!$P124&gt;=2,FALSE()))))),1,0)</f>
        <v>0</v>
      </c>
      <c r="EF13" s="1" t="n">
        <f aca="false">IF(AND('Daily Workforce'!$N125="Y",'Daily Workforce'!$B125&lt;&gt;"",COUNTIF('Daily Schedule'!$F$5:$F16,'Daily Workforce'!$B125)=0,IF('Daily Schedule'!$A17=45,'Daily Workforce'!$J125="Y",IF(OR('Daily Schedule'!$A17=4,'Daily Schedule'!$A17=8),IF(OR(WEEKDAY('Daily Schedule'!$B$2,2)=1,WEEKDAY('Daily Schedule'!$B$2,2)=4,WEEKDAY('Daily Schedule'!$B$2,2)=5,WEEKDAY('Daily Schedule'!$B$2,2)=7),IFERROR(1*'Daily Workforce'!$K125&gt;=3,FALSE()),IFERROR(1*'Daily Workforce'!$K125&gt;=2,FALSE())),IF(AND('Daily Schedule'!$A17&gt;=46,'Daily Schedule'!$A17&lt;=52),'Daily Workforce'!$M125="Y",IFERROR(1*'Daily Workforce'!$P125&gt;=2,FALSE()))))),1,0)</f>
        <v>0</v>
      </c>
      <c r="EG13" s="1" t="n">
        <f aca="false">IF(AND('Daily Workforce'!$N126="Y",'Daily Workforce'!$B126&lt;&gt;"",COUNTIF('Daily Schedule'!$F$5:$F16,'Daily Workforce'!$B126)=0,IF('Daily Schedule'!$A17=45,'Daily Workforce'!$J126="Y",IF(OR('Daily Schedule'!$A17=4,'Daily Schedule'!$A17=8),IF(OR(WEEKDAY('Daily Schedule'!$B$2,2)=1,WEEKDAY('Daily Schedule'!$B$2,2)=4,WEEKDAY('Daily Schedule'!$B$2,2)=5,WEEKDAY('Daily Schedule'!$B$2,2)=7),IFERROR(1*'Daily Workforce'!$K126&gt;=3,FALSE()),IFERROR(1*'Daily Workforce'!$K126&gt;=2,FALSE())),IF(AND('Daily Schedule'!$A17&gt;=46,'Daily Schedule'!$A17&lt;=52),'Daily Workforce'!$M126="Y",IFERROR(1*'Daily Workforce'!$P126&gt;=2,FALSE()))))),1,0)</f>
        <v>0</v>
      </c>
      <c r="EH13" s="1" t="n">
        <f aca="false">IF(AND('Daily Workforce'!$N127="Y",'Daily Workforce'!$B127&lt;&gt;"",COUNTIF('Daily Schedule'!$F$5:$F16,'Daily Workforce'!$B127)=0,IF('Daily Schedule'!$A17=45,'Daily Workforce'!$J127="Y",IF(OR('Daily Schedule'!$A17=4,'Daily Schedule'!$A17=8),IF(OR(WEEKDAY('Daily Schedule'!$B$2,2)=1,WEEKDAY('Daily Schedule'!$B$2,2)=4,WEEKDAY('Daily Schedule'!$B$2,2)=5,WEEKDAY('Daily Schedule'!$B$2,2)=7),IFERROR(1*'Daily Workforce'!$K127&gt;=3,FALSE()),IFERROR(1*'Daily Workforce'!$K127&gt;=2,FALSE())),IF(AND('Daily Schedule'!$A17&gt;=46,'Daily Schedule'!$A17&lt;=52),'Daily Workforce'!$M127="Y",IFERROR(1*'Daily Workforce'!$P127&gt;=2,FALSE()))))),1,0)</f>
        <v>0</v>
      </c>
      <c r="EI13" s="1" t="n">
        <f aca="false">IF(AND('Daily Workforce'!$N128="Y",'Daily Workforce'!$B128&lt;&gt;"",COUNTIF('Daily Schedule'!$F$5:$F16,'Daily Workforce'!$B128)=0,IF('Daily Schedule'!$A17=45,'Daily Workforce'!$J128="Y",IF(OR('Daily Schedule'!$A17=4,'Daily Schedule'!$A17=8),IF(OR(WEEKDAY('Daily Schedule'!$B$2,2)=1,WEEKDAY('Daily Schedule'!$B$2,2)=4,WEEKDAY('Daily Schedule'!$B$2,2)=5,WEEKDAY('Daily Schedule'!$B$2,2)=7),IFERROR(1*'Daily Workforce'!$K128&gt;=3,FALSE()),IFERROR(1*'Daily Workforce'!$K128&gt;=2,FALSE())),IF(AND('Daily Schedule'!$A17&gt;=46,'Daily Schedule'!$A17&lt;=52),'Daily Workforce'!$M128="Y",IFERROR(1*'Daily Workforce'!$P128&gt;=2,FALSE()))))),1,0)</f>
        <v>0</v>
      </c>
      <c r="EJ13" s="1" t="n">
        <f aca="false">IF(AND('Daily Workforce'!$N129="Y",'Daily Workforce'!$B129&lt;&gt;"",COUNTIF('Daily Schedule'!$F$5:$F16,'Daily Workforce'!$B129)=0,IF('Daily Schedule'!$A17=45,'Daily Workforce'!$J129="Y",IF(OR('Daily Schedule'!$A17=4,'Daily Schedule'!$A17=8),IF(OR(WEEKDAY('Daily Schedule'!$B$2,2)=1,WEEKDAY('Daily Schedule'!$B$2,2)=4,WEEKDAY('Daily Schedule'!$B$2,2)=5,WEEKDAY('Daily Schedule'!$B$2,2)=7),IFERROR(1*'Daily Workforce'!$K129&gt;=3,FALSE()),IFERROR(1*'Daily Workforce'!$K129&gt;=2,FALSE())),IF(AND('Daily Schedule'!$A17&gt;=46,'Daily Schedule'!$A17&lt;=52),'Daily Workforce'!$M129="Y",IFERROR(1*'Daily Workforce'!$P129&gt;=2,FALSE()))))),1,0)</f>
        <v>0</v>
      </c>
      <c r="EK13" s="1" t="n">
        <f aca="false">IF(AND('Daily Workforce'!$N130="Y",'Daily Workforce'!$B130&lt;&gt;"",COUNTIF('Daily Schedule'!$F$5:$F16,'Daily Workforce'!$B130)=0,IF('Daily Schedule'!$A17=45,'Daily Workforce'!$J130="Y",IF(OR('Daily Schedule'!$A17=4,'Daily Schedule'!$A17=8),IF(OR(WEEKDAY('Daily Schedule'!$B$2,2)=1,WEEKDAY('Daily Schedule'!$B$2,2)=4,WEEKDAY('Daily Schedule'!$B$2,2)=5,WEEKDAY('Daily Schedule'!$B$2,2)=7),IFERROR(1*'Daily Workforce'!$K130&gt;=3,FALSE()),IFERROR(1*'Daily Workforce'!$K130&gt;=2,FALSE())),IF(AND('Daily Schedule'!$A17&gt;=46,'Daily Schedule'!$A17&lt;=52),'Daily Workforce'!$M130="Y",IFERROR(1*'Daily Workforce'!$P130&gt;=2,FALSE()))))),1,0)</f>
        <v>0</v>
      </c>
      <c r="EL13" s="1" t="n">
        <f aca="false">IF(AND('Daily Workforce'!$N131="Y",'Daily Workforce'!$B131&lt;&gt;"",COUNTIF('Daily Schedule'!$F$5:$F16,'Daily Workforce'!$B131)=0,IF('Daily Schedule'!$A17=45,'Daily Workforce'!$J131="Y",IF(OR('Daily Schedule'!$A17=4,'Daily Schedule'!$A17=8),IF(OR(WEEKDAY('Daily Schedule'!$B$2,2)=1,WEEKDAY('Daily Schedule'!$B$2,2)=4,WEEKDAY('Daily Schedule'!$B$2,2)=5,WEEKDAY('Daily Schedule'!$B$2,2)=7),IFERROR(1*'Daily Workforce'!$K131&gt;=3,FALSE()),IFERROR(1*'Daily Workforce'!$K131&gt;=2,FALSE())),IF(AND('Daily Schedule'!$A17&gt;=46,'Daily Schedule'!$A17&lt;=52),'Daily Workforce'!$M131="Y",IFERROR(1*'Daily Workforce'!$P131&gt;=2,FALSE()))))),1,0)</f>
        <v>0</v>
      </c>
      <c r="EM13" s="1" t="n">
        <f aca="false">IF(AND('Daily Workforce'!$N132="Y",'Daily Workforce'!$B132&lt;&gt;"",COUNTIF('Daily Schedule'!$F$5:$F16,'Daily Workforce'!$B132)=0,IF('Daily Schedule'!$A17=45,'Daily Workforce'!$J132="Y",IF(OR('Daily Schedule'!$A17=4,'Daily Schedule'!$A17=8),IF(OR(WEEKDAY('Daily Schedule'!$B$2,2)=1,WEEKDAY('Daily Schedule'!$B$2,2)=4,WEEKDAY('Daily Schedule'!$B$2,2)=5,WEEKDAY('Daily Schedule'!$B$2,2)=7),IFERROR(1*'Daily Workforce'!$K132&gt;=3,FALSE()),IFERROR(1*'Daily Workforce'!$K132&gt;=2,FALSE())),IF(AND('Daily Schedule'!$A17&gt;=46,'Daily Schedule'!$A17&lt;=52),'Daily Workforce'!$M132="Y",IFERROR(1*'Daily Workforce'!$P132&gt;=2,FALSE()))))),1,0)</f>
        <v>0</v>
      </c>
      <c r="EN13" s="1" t="n">
        <f aca="false">IF(AND('Daily Workforce'!$N133="Y",'Daily Workforce'!$B133&lt;&gt;"",COUNTIF('Daily Schedule'!$F$5:$F16,'Daily Workforce'!$B133)=0,IF('Daily Schedule'!$A17=45,'Daily Workforce'!$J133="Y",IF(OR('Daily Schedule'!$A17=4,'Daily Schedule'!$A17=8),IF(OR(WEEKDAY('Daily Schedule'!$B$2,2)=1,WEEKDAY('Daily Schedule'!$B$2,2)=4,WEEKDAY('Daily Schedule'!$B$2,2)=5,WEEKDAY('Daily Schedule'!$B$2,2)=7),IFERROR(1*'Daily Workforce'!$K133&gt;=3,FALSE()),IFERROR(1*'Daily Workforce'!$K133&gt;=2,FALSE())),IF(AND('Daily Schedule'!$A17&gt;=46,'Daily Schedule'!$A17&lt;=52),'Daily Workforce'!$M133="Y",IFERROR(1*'Daily Workforce'!$P133&gt;=2,FALSE()))))),1,0)</f>
        <v>0</v>
      </c>
      <c r="EO13" s="1" t="n">
        <f aca="false">IF(AND('Daily Workforce'!$N134="Y",'Daily Workforce'!$B134&lt;&gt;"",COUNTIF('Daily Schedule'!$F$5:$F16,'Daily Workforce'!$B134)=0,IF('Daily Schedule'!$A17=45,'Daily Workforce'!$J134="Y",IF(OR('Daily Schedule'!$A17=4,'Daily Schedule'!$A17=8),IF(OR(WEEKDAY('Daily Schedule'!$B$2,2)=1,WEEKDAY('Daily Schedule'!$B$2,2)=4,WEEKDAY('Daily Schedule'!$B$2,2)=5,WEEKDAY('Daily Schedule'!$B$2,2)=7),IFERROR(1*'Daily Workforce'!$K134&gt;=3,FALSE()),IFERROR(1*'Daily Workforce'!$K134&gt;=2,FALSE())),IF(AND('Daily Schedule'!$A17&gt;=46,'Daily Schedule'!$A17&lt;=52),'Daily Workforce'!$M134="Y",IFERROR(1*'Daily Workforce'!$P134&gt;=2,FALSE()))))),1,0)</f>
        <v>0</v>
      </c>
      <c r="EP13" s="1" t="n">
        <f aca="false">IF(AND('Daily Workforce'!$N135="Y",'Daily Workforce'!$B135&lt;&gt;"",COUNTIF('Daily Schedule'!$F$5:$F16,'Daily Workforce'!$B135)=0,IF('Daily Schedule'!$A17=45,'Daily Workforce'!$J135="Y",IF(OR('Daily Schedule'!$A17=4,'Daily Schedule'!$A17=8),IF(OR(WEEKDAY('Daily Schedule'!$B$2,2)=1,WEEKDAY('Daily Schedule'!$B$2,2)=4,WEEKDAY('Daily Schedule'!$B$2,2)=5,WEEKDAY('Daily Schedule'!$B$2,2)=7),IFERROR(1*'Daily Workforce'!$K135&gt;=3,FALSE()),IFERROR(1*'Daily Workforce'!$K135&gt;=2,FALSE())),IF(AND('Daily Schedule'!$A17&gt;=46,'Daily Schedule'!$A17&lt;=52),'Daily Workforce'!$M135="Y",IFERROR(1*'Daily Workforce'!$P135&gt;=2,FALSE()))))),1,0)</f>
        <v>0</v>
      </c>
      <c r="EQ13" s="1" t="n">
        <f aca="false">IF(AND('Daily Workforce'!$N136="Y",'Daily Workforce'!$B136&lt;&gt;"",COUNTIF('Daily Schedule'!$F$5:$F16,'Daily Workforce'!$B136)=0,IF('Daily Schedule'!$A17=45,'Daily Workforce'!$J136="Y",IF(OR('Daily Schedule'!$A17=4,'Daily Schedule'!$A17=8),IF(OR(WEEKDAY('Daily Schedule'!$B$2,2)=1,WEEKDAY('Daily Schedule'!$B$2,2)=4,WEEKDAY('Daily Schedule'!$B$2,2)=5,WEEKDAY('Daily Schedule'!$B$2,2)=7),IFERROR(1*'Daily Workforce'!$K136&gt;=3,FALSE()),IFERROR(1*'Daily Workforce'!$K136&gt;=2,FALSE())),IF(AND('Daily Schedule'!$A17&gt;=46,'Daily Schedule'!$A17&lt;=52),'Daily Workforce'!$M136="Y",IFERROR(1*'Daily Workforce'!$P136&gt;=2,FALSE()))))),1,0)</f>
        <v>0</v>
      </c>
      <c r="ER13" s="1" t="n">
        <f aca="false">IF(AND('Daily Workforce'!$N137="Y",'Daily Workforce'!$B137&lt;&gt;"",COUNTIF('Daily Schedule'!$F$5:$F16,'Daily Workforce'!$B137)=0,IF('Daily Schedule'!$A17=45,'Daily Workforce'!$J137="Y",IF(OR('Daily Schedule'!$A17=4,'Daily Schedule'!$A17=8),IF(OR(WEEKDAY('Daily Schedule'!$B$2,2)=1,WEEKDAY('Daily Schedule'!$B$2,2)=4,WEEKDAY('Daily Schedule'!$B$2,2)=5,WEEKDAY('Daily Schedule'!$B$2,2)=7),IFERROR(1*'Daily Workforce'!$K137&gt;=3,FALSE()),IFERROR(1*'Daily Workforce'!$K137&gt;=2,FALSE())),IF(AND('Daily Schedule'!$A17&gt;=46,'Daily Schedule'!$A17&lt;=52),'Daily Workforce'!$M137="Y",IFERROR(1*'Daily Workforce'!$P137&gt;=2,FALSE()))))),1,0)</f>
        <v>0</v>
      </c>
      <c r="ES13" s="1" t="n">
        <f aca="false">IF(AND('Daily Workforce'!$N138="Y",'Daily Workforce'!$B138&lt;&gt;"",COUNTIF('Daily Schedule'!$F$5:$F16,'Daily Workforce'!$B138)=0,IF('Daily Schedule'!$A17=45,'Daily Workforce'!$J138="Y",IF(OR('Daily Schedule'!$A17=4,'Daily Schedule'!$A17=8),IF(OR(WEEKDAY('Daily Schedule'!$B$2,2)=1,WEEKDAY('Daily Schedule'!$B$2,2)=4,WEEKDAY('Daily Schedule'!$B$2,2)=5,WEEKDAY('Daily Schedule'!$B$2,2)=7),IFERROR(1*'Daily Workforce'!$K138&gt;=3,FALSE()),IFERROR(1*'Daily Workforce'!$K138&gt;=2,FALSE())),IF(AND('Daily Schedule'!$A17&gt;=46,'Daily Schedule'!$A17&lt;=52),'Daily Workforce'!$M138="Y",IFERROR(1*'Daily Workforce'!$P138&gt;=2,FALSE()))))),1,0)</f>
        <v>0</v>
      </c>
      <c r="ET13" s="1" t="n">
        <f aca="false">IF(AND('Daily Workforce'!$N139="Y",'Daily Workforce'!$B139&lt;&gt;"",COUNTIF('Daily Schedule'!$F$5:$F16,'Daily Workforce'!$B139)=0,IF('Daily Schedule'!$A17=45,'Daily Workforce'!$J139="Y",IF(OR('Daily Schedule'!$A17=4,'Daily Schedule'!$A17=8),IF(OR(WEEKDAY('Daily Schedule'!$B$2,2)=1,WEEKDAY('Daily Schedule'!$B$2,2)=4,WEEKDAY('Daily Schedule'!$B$2,2)=5,WEEKDAY('Daily Schedule'!$B$2,2)=7),IFERROR(1*'Daily Workforce'!$K139&gt;=3,FALSE()),IFERROR(1*'Daily Workforce'!$K139&gt;=2,FALSE())),IF(AND('Daily Schedule'!$A17&gt;=46,'Daily Schedule'!$A17&lt;=52),'Daily Workforce'!$M139="Y",IFERROR(1*'Daily Workforce'!$P139&gt;=2,FALSE()))))),1,0)</f>
        <v>0</v>
      </c>
      <c r="EU13" s="1" t="n">
        <f aca="false">IF(AND('Daily Workforce'!$N140="Y",'Daily Workforce'!$B140&lt;&gt;"",COUNTIF('Daily Schedule'!$F$5:$F16,'Daily Workforce'!$B140)=0,IF('Daily Schedule'!$A17=45,'Daily Workforce'!$J140="Y",IF(OR('Daily Schedule'!$A17=4,'Daily Schedule'!$A17=8),IF(OR(WEEKDAY('Daily Schedule'!$B$2,2)=1,WEEKDAY('Daily Schedule'!$B$2,2)=4,WEEKDAY('Daily Schedule'!$B$2,2)=5,WEEKDAY('Daily Schedule'!$B$2,2)=7),IFERROR(1*'Daily Workforce'!$K140&gt;=3,FALSE()),IFERROR(1*'Daily Workforce'!$K140&gt;=2,FALSE())),IF(AND('Daily Schedule'!$A17&gt;=46,'Daily Schedule'!$A17&lt;=52),'Daily Workforce'!$M140="Y",IFERROR(1*'Daily Workforce'!$P140&gt;=2,FALSE()))))),1,0)</f>
        <v>0</v>
      </c>
      <c r="EV13" s="1" t="n">
        <f aca="false">IF(AND('Daily Workforce'!$N141="Y",'Daily Workforce'!$B141&lt;&gt;"",COUNTIF('Daily Schedule'!$F$5:$F16,'Daily Workforce'!$B141)=0,IF('Daily Schedule'!$A17=45,'Daily Workforce'!$J141="Y",IF(OR('Daily Schedule'!$A17=4,'Daily Schedule'!$A17=8),IF(OR(WEEKDAY('Daily Schedule'!$B$2,2)=1,WEEKDAY('Daily Schedule'!$B$2,2)=4,WEEKDAY('Daily Schedule'!$B$2,2)=5,WEEKDAY('Daily Schedule'!$B$2,2)=7),IFERROR(1*'Daily Workforce'!$K141&gt;=3,FALSE()),IFERROR(1*'Daily Workforce'!$K141&gt;=2,FALSE())),IF(AND('Daily Schedule'!$A17&gt;=46,'Daily Schedule'!$A17&lt;=52),'Daily Workforce'!$M141="Y",IFERROR(1*'Daily Workforce'!$P141&gt;=2,FALSE()))))),1,0)</f>
        <v>0</v>
      </c>
      <c r="EW13" s="1" t="n">
        <f aca="false">IF(AND('Daily Workforce'!$N142="Y",'Daily Workforce'!$B142&lt;&gt;"",COUNTIF('Daily Schedule'!$F$5:$F16,'Daily Workforce'!$B142)=0,IF('Daily Schedule'!$A17=45,'Daily Workforce'!$J142="Y",IF(OR('Daily Schedule'!$A17=4,'Daily Schedule'!$A17=8),IF(OR(WEEKDAY('Daily Schedule'!$B$2,2)=1,WEEKDAY('Daily Schedule'!$B$2,2)=4,WEEKDAY('Daily Schedule'!$B$2,2)=5,WEEKDAY('Daily Schedule'!$B$2,2)=7),IFERROR(1*'Daily Workforce'!$K142&gt;=3,FALSE()),IFERROR(1*'Daily Workforce'!$K142&gt;=2,FALSE())),IF(AND('Daily Schedule'!$A17&gt;=46,'Daily Schedule'!$A17&lt;=52),'Daily Workforce'!$M142="Y",IFERROR(1*'Daily Workforce'!$P142&gt;=2,FALSE()))))),1,0)</f>
        <v>0</v>
      </c>
      <c r="EX13" s="1" t="n">
        <f aca="false">IF(AND('Daily Workforce'!$N143="Y",'Daily Workforce'!$B143&lt;&gt;"",COUNTIF('Daily Schedule'!$F$5:$F16,'Daily Workforce'!$B143)=0,IF('Daily Schedule'!$A17=45,'Daily Workforce'!$J143="Y",IF(OR('Daily Schedule'!$A17=4,'Daily Schedule'!$A17=8),IF(OR(WEEKDAY('Daily Schedule'!$B$2,2)=1,WEEKDAY('Daily Schedule'!$B$2,2)=4,WEEKDAY('Daily Schedule'!$B$2,2)=5,WEEKDAY('Daily Schedule'!$B$2,2)=7),IFERROR(1*'Daily Workforce'!$K143&gt;=3,FALSE()),IFERROR(1*'Daily Workforce'!$K143&gt;=2,FALSE())),IF(AND('Daily Schedule'!$A17&gt;=46,'Daily Schedule'!$A17&lt;=52),'Daily Workforce'!$M143="Y",IFERROR(1*'Daily Workforce'!$P143&gt;=2,FALSE()))))),1,0)</f>
        <v>0</v>
      </c>
      <c r="EY13" s="1" t="n">
        <f aca="false">IF(AND('Daily Workforce'!$N144="Y",'Daily Workforce'!$B144&lt;&gt;"",COUNTIF('Daily Schedule'!$F$5:$F16,'Daily Workforce'!$B144)=0,IF('Daily Schedule'!$A17=45,'Daily Workforce'!$J144="Y",IF(OR('Daily Schedule'!$A17=4,'Daily Schedule'!$A17=8),IF(OR(WEEKDAY('Daily Schedule'!$B$2,2)=1,WEEKDAY('Daily Schedule'!$B$2,2)=4,WEEKDAY('Daily Schedule'!$B$2,2)=5,WEEKDAY('Daily Schedule'!$B$2,2)=7),IFERROR(1*'Daily Workforce'!$K144&gt;=3,FALSE()),IFERROR(1*'Daily Workforce'!$K144&gt;=2,FALSE())),IF(AND('Daily Schedule'!$A17&gt;=46,'Daily Schedule'!$A17&lt;=52),'Daily Workforce'!$M144="Y",IFERROR(1*'Daily Workforce'!$P144&gt;=2,FALSE()))))),1,0)</f>
        <v>0</v>
      </c>
      <c r="EZ13" s="1" t="n">
        <f aca="false">IF(AND('Daily Workforce'!$N145="Y",'Daily Workforce'!$B145&lt;&gt;"",COUNTIF('Daily Schedule'!$F$5:$F16,'Daily Workforce'!$B145)=0,IF('Daily Schedule'!$A17=45,'Daily Workforce'!$J145="Y",IF(OR('Daily Schedule'!$A17=4,'Daily Schedule'!$A17=8),IF(OR(WEEKDAY('Daily Schedule'!$B$2,2)=1,WEEKDAY('Daily Schedule'!$B$2,2)=4,WEEKDAY('Daily Schedule'!$B$2,2)=5,WEEKDAY('Daily Schedule'!$B$2,2)=7),IFERROR(1*'Daily Workforce'!$K145&gt;=3,FALSE()),IFERROR(1*'Daily Workforce'!$K145&gt;=2,FALSE())),IF(AND('Daily Schedule'!$A17&gt;=46,'Daily Schedule'!$A17&lt;=52),'Daily Workforce'!$M145="Y",IFERROR(1*'Daily Workforce'!$P145&gt;=2,FALSE()))))),1,0)</f>
        <v>0</v>
      </c>
      <c r="FA13" s="1" t="n">
        <f aca="false">IF(AND('Daily Workforce'!$N146="Y",'Daily Workforce'!$B146&lt;&gt;"",COUNTIF('Daily Schedule'!$F$5:$F16,'Daily Workforce'!$B146)=0,IF('Daily Schedule'!$A17=45,'Daily Workforce'!$J146="Y",IF(OR('Daily Schedule'!$A17=4,'Daily Schedule'!$A17=8),IF(OR(WEEKDAY('Daily Schedule'!$B$2,2)=1,WEEKDAY('Daily Schedule'!$B$2,2)=4,WEEKDAY('Daily Schedule'!$B$2,2)=5,WEEKDAY('Daily Schedule'!$B$2,2)=7),IFERROR(1*'Daily Workforce'!$K146&gt;=3,FALSE()),IFERROR(1*'Daily Workforce'!$K146&gt;=2,FALSE())),IF(AND('Daily Schedule'!$A17&gt;=46,'Daily Schedule'!$A17&lt;=52),'Daily Workforce'!$M146="Y",IFERROR(1*'Daily Workforce'!$P146&gt;=2,FALSE()))))),1,0)</f>
        <v>0</v>
      </c>
      <c r="FB13" s="1" t="n">
        <f aca="false">IF(AND('Daily Workforce'!$N147="Y",'Daily Workforce'!$B147&lt;&gt;"",COUNTIF('Daily Schedule'!$F$5:$F16,'Daily Workforce'!$B147)=0,IF('Daily Schedule'!$A17=45,'Daily Workforce'!$J147="Y",IF(OR('Daily Schedule'!$A17=4,'Daily Schedule'!$A17=8),IF(OR(WEEKDAY('Daily Schedule'!$B$2,2)=1,WEEKDAY('Daily Schedule'!$B$2,2)=4,WEEKDAY('Daily Schedule'!$B$2,2)=5,WEEKDAY('Daily Schedule'!$B$2,2)=7),IFERROR(1*'Daily Workforce'!$K147&gt;=3,FALSE()),IFERROR(1*'Daily Workforce'!$K147&gt;=2,FALSE())),IF(AND('Daily Schedule'!$A17&gt;=46,'Daily Schedule'!$A17&lt;=52),'Daily Workforce'!$M147="Y",IFERROR(1*'Daily Workforce'!$P147&gt;=2,FALSE()))))),1,0)</f>
        <v>0</v>
      </c>
      <c r="FC13" s="1" t="n">
        <f aca="false">IF(AND('Daily Workforce'!$N148="Y",'Daily Workforce'!$B148&lt;&gt;"",COUNTIF('Daily Schedule'!$F$5:$F16,'Daily Workforce'!$B148)=0,IF('Daily Schedule'!$A17=45,'Daily Workforce'!$J148="Y",IF(OR('Daily Schedule'!$A17=4,'Daily Schedule'!$A17=8),IF(OR(WEEKDAY('Daily Schedule'!$B$2,2)=1,WEEKDAY('Daily Schedule'!$B$2,2)=4,WEEKDAY('Daily Schedule'!$B$2,2)=5,WEEKDAY('Daily Schedule'!$B$2,2)=7),IFERROR(1*'Daily Workforce'!$K148&gt;=3,FALSE()),IFERROR(1*'Daily Workforce'!$K148&gt;=2,FALSE())),IF(AND('Daily Schedule'!$A17&gt;=46,'Daily Schedule'!$A17&lt;=52),'Daily Workforce'!$M148="Y",IFERROR(1*'Daily Workforce'!$P148&gt;=2,FALSE()))))),1,0)</f>
        <v>0</v>
      </c>
      <c r="FD13" s="1" t="n">
        <f aca="false">IF(AND('Daily Workforce'!$N149="Y",'Daily Workforce'!$B149&lt;&gt;"",COUNTIF('Daily Schedule'!$F$5:$F16,'Daily Workforce'!$B149)=0,IF('Daily Schedule'!$A17=45,'Daily Workforce'!$J149="Y",IF(OR('Daily Schedule'!$A17=4,'Daily Schedule'!$A17=8),IF(OR(WEEKDAY('Daily Schedule'!$B$2,2)=1,WEEKDAY('Daily Schedule'!$B$2,2)=4,WEEKDAY('Daily Schedule'!$B$2,2)=5,WEEKDAY('Daily Schedule'!$B$2,2)=7),IFERROR(1*'Daily Workforce'!$K149&gt;=3,FALSE()),IFERROR(1*'Daily Workforce'!$K149&gt;=2,FALSE())),IF(AND('Daily Schedule'!$A17&gt;=46,'Daily Schedule'!$A17&lt;=52),'Daily Workforce'!$M149="Y",IFERROR(1*'Daily Workforce'!$P149&gt;=2,FALSE()))))),1,0)</f>
        <v>0</v>
      </c>
      <c r="FE13" s="1" t="n">
        <f aca="false">IF(AND('Daily Workforce'!$N150="Y",'Daily Workforce'!$B150&lt;&gt;"",COUNTIF('Daily Schedule'!$F$5:$F16,'Daily Workforce'!$B150)=0,IF('Daily Schedule'!$A17=45,'Daily Workforce'!$J150="Y",IF(OR('Daily Schedule'!$A17=4,'Daily Schedule'!$A17=8),IF(OR(WEEKDAY('Daily Schedule'!$B$2,2)=1,WEEKDAY('Daily Schedule'!$B$2,2)=4,WEEKDAY('Daily Schedule'!$B$2,2)=5,WEEKDAY('Daily Schedule'!$B$2,2)=7),IFERROR(1*'Daily Workforce'!$K150&gt;=3,FALSE()),IFERROR(1*'Daily Workforce'!$K150&gt;=2,FALSE())),IF(AND('Daily Schedule'!$A17&gt;=46,'Daily Schedule'!$A17&lt;=52),'Daily Workforce'!$M150="Y",IFERROR(1*'Daily Workforce'!$P150&gt;=2,FALSE()))))),1,0)</f>
        <v>0</v>
      </c>
      <c r="FF13" s="1" t="n">
        <f aca="false">IF(AND('Daily Workforce'!$N151="Y",'Daily Workforce'!$B151&lt;&gt;"",COUNTIF('Daily Schedule'!$F$5:$F16,'Daily Workforce'!$B151)=0,IF('Daily Schedule'!$A17=45,'Daily Workforce'!$J151="Y",IF(OR('Daily Schedule'!$A17=4,'Daily Schedule'!$A17=8),IF(OR(WEEKDAY('Daily Schedule'!$B$2,2)=1,WEEKDAY('Daily Schedule'!$B$2,2)=4,WEEKDAY('Daily Schedule'!$B$2,2)=5,WEEKDAY('Daily Schedule'!$B$2,2)=7),IFERROR(1*'Daily Workforce'!$K151&gt;=3,FALSE()),IFERROR(1*'Daily Workforce'!$K151&gt;=2,FALSE())),IF(AND('Daily Schedule'!$A17&gt;=46,'Daily Schedule'!$A17&lt;=52),'Daily Workforce'!$M151="Y",IFERROR(1*'Daily Workforce'!$P151&gt;=2,FALSE()))))),1,0)</f>
        <v>0</v>
      </c>
      <c r="FG13" s="1" t="n">
        <f aca="false">IF(AND('Daily Workforce'!$N152="Y",'Daily Workforce'!$B152&lt;&gt;"",COUNTIF('Daily Schedule'!$F$5:$F16,'Daily Workforce'!$B152)=0,IF('Daily Schedule'!$A17=45,'Daily Workforce'!$J152="Y",IF(OR('Daily Schedule'!$A17=4,'Daily Schedule'!$A17=8),IF(OR(WEEKDAY('Daily Schedule'!$B$2,2)=1,WEEKDAY('Daily Schedule'!$B$2,2)=4,WEEKDAY('Daily Schedule'!$B$2,2)=5,WEEKDAY('Daily Schedule'!$B$2,2)=7),IFERROR(1*'Daily Workforce'!$K152&gt;=3,FALSE()),IFERROR(1*'Daily Workforce'!$K152&gt;=2,FALSE())),IF(AND('Daily Schedule'!$A17&gt;=46,'Daily Schedule'!$A17&lt;=52),'Daily Workforce'!$M152="Y",IFERROR(1*'Daily Workforce'!$P152&gt;=2,FALSE()))))),1,0)</f>
        <v>0</v>
      </c>
      <c r="FH13" s="1" t="n">
        <f aca="false">IF(AND('Daily Workforce'!$N153="Y",'Daily Workforce'!$B153&lt;&gt;"",COUNTIF('Daily Schedule'!$F$5:$F16,'Daily Workforce'!$B153)=0,IF('Daily Schedule'!$A17=45,'Daily Workforce'!$J153="Y",IF(OR('Daily Schedule'!$A17=4,'Daily Schedule'!$A17=8),IF(OR(WEEKDAY('Daily Schedule'!$B$2,2)=1,WEEKDAY('Daily Schedule'!$B$2,2)=4,WEEKDAY('Daily Schedule'!$B$2,2)=5,WEEKDAY('Daily Schedule'!$B$2,2)=7),IFERROR(1*'Daily Workforce'!$K153&gt;=3,FALSE()),IFERROR(1*'Daily Workforce'!$K153&gt;=2,FALSE())),IF(AND('Daily Schedule'!$A17&gt;=46,'Daily Schedule'!$A17&lt;=52),'Daily Workforce'!$M153="Y",IFERROR(1*'Daily Workforce'!$P153&gt;=2,FALSE()))))),1,0)</f>
        <v>0</v>
      </c>
      <c r="FI13" s="1" t="n">
        <f aca="false">IF(AND('Daily Workforce'!$N154="Y",'Daily Workforce'!$B154&lt;&gt;"",COUNTIF('Daily Schedule'!$F$5:$F16,'Daily Workforce'!$B154)=0,IF('Daily Schedule'!$A17=45,'Daily Workforce'!$J154="Y",IF(OR('Daily Schedule'!$A17=4,'Daily Schedule'!$A17=8),IF(OR(WEEKDAY('Daily Schedule'!$B$2,2)=1,WEEKDAY('Daily Schedule'!$B$2,2)=4,WEEKDAY('Daily Schedule'!$B$2,2)=5,WEEKDAY('Daily Schedule'!$B$2,2)=7),IFERROR(1*'Daily Workforce'!$K154&gt;=3,FALSE()),IFERROR(1*'Daily Workforce'!$K154&gt;=2,FALSE())),IF(AND('Daily Schedule'!$A17&gt;=46,'Daily Schedule'!$A17&lt;=52),'Daily Workforce'!$M154="Y",IFERROR(1*'Daily Workforce'!$P154&gt;=2,FALSE()))))),1,0)</f>
        <v>0</v>
      </c>
      <c r="FJ13" s="1" t="n">
        <f aca="false">IF(AND('Daily Workforce'!$N155="Y",'Daily Workforce'!$B155&lt;&gt;"",COUNTIF('Daily Schedule'!$F$5:$F16,'Daily Workforce'!$B155)=0,IF('Daily Schedule'!$A17=45,'Daily Workforce'!$J155="Y",IF(OR('Daily Schedule'!$A17=4,'Daily Schedule'!$A17=8),IF(OR(WEEKDAY('Daily Schedule'!$B$2,2)=1,WEEKDAY('Daily Schedule'!$B$2,2)=4,WEEKDAY('Daily Schedule'!$B$2,2)=5,WEEKDAY('Daily Schedule'!$B$2,2)=7),IFERROR(1*'Daily Workforce'!$K155&gt;=3,FALSE()),IFERROR(1*'Daily Workforce'!$K155&gt;=2,FALSE())),IF(AND('Daily Schedule'!$A17&gt;=46,'Daily Schedule'!$A17&lt;=52),'Daily Workforce'!$M155="Y",IFERROR(1*'Daily Workforce'!$P155&gt;=2,FALSE()))))),1,0)</f>
        <v>0</v>
      </c>
      <c r="FK13" s="1" t="n">
        <f aca="false">IF(AND('Daily Workforce'!$N156="Y",'Daily Workforce'!$B156&lt;&gt;"",COUNTIF('Daily Schedule'!$F$5:$F16,'Daily Workforce'!$B156)=0,IF('Daily Schedule'!$A17=45,'Daily Workforce'!$J156="Y",IF(OR('Daily Schedule'!$A17=4,'Daily Schedule'!$A17=8),IF(OR(WEEKDAY('Daily Schedule'!$B$2,2)=1,WEEKDAY('Daily Schedule'!$B$2,2)=4,WEEKDAY('Daily Schedule'!$B$2,2)=5,WEEKDAY('Daily Schedule'!$B$2,2)=7),IFERROR(1*'Daily Workforce'!$K156&gt;=3,FALSE()),IFERROR(1*'Daily Workforce'!$K156&gt;=2,FALSE())),IF(AND('Daily Schedule'!$A17&gt;=46,'Daily Schedule'!$A17&lt;=52),'Daily Workforce'!$M156="Y",IFERROR(1*'Daily Workforce'!$P156&gt;=2,FALSE()))))),1,0)</f>
        <v>0</v>
      </c>
      <c r="FL13" s="1" t="n">
        <f aca="false">IF(AND('Daily Workforce'!$N157="Y",'Daily Workforce'!$B157&lt;&gt;"",COUNTIF('Daily Schedule'!$F$5:$F16,'Daily Workforce'!$B157)=0,IF('Daily Schedule'!$A17=45,'Daily Workforce'!$J157="Y",IF(OR('Daily Schedule'!$A17=4,'Daily Schedule'!$A17=8),IF(OR(WEEKDAY('Daily Schedule'!$B$2,2)=1,WEEKDAY('Daily Schedule'!$B$2,2)=4,WEEKDAY('Daily Schedule'!$B$2,2)=5,WEEKDAY('Daily Schedule'!$B$2,2)=7),IFERROR(1*'Daily Workforce'!$K157&gt;=3,FALSE()),IFERROR(1*'Daily Workforce'!$K157&gt;=2,FALSE())),IF(AND('Daily Schedule'!$A17&gt;=46,'Daily Schedule'!$A17&lt;=52),'Daily Workforce'!$M157="Y",IFERROR(1*'Daily Workforce'!$P157&gt;=2,FALSE()))))),1,0)</f>
        <v>0</v>
      </c>
      <c r="FM13" s="1" t="n">
        <f aca="false">IF(AND('Daily Workforce'!$N158="Y",'Daily Workforce'!$B158&lt;&gt;"",COUNTIF('Daily Schedule'!$F$5:$F16,'Daily Workforce'!$B158)=0,IF('Daily Schedule'!$A17=45,'Daily Workforce'!$J158="Y",IF(OR('Daily Schedule'!$A17=4,'Daily Schedule'!$A17=8),IF(OR(WEEKDAY('Daily Schedule'!$B$2,2)=1,WEEKDAY('Daily Schedule'!$B$2,2)=4,WEEKDAY('Daily Schedule'!$B$2,2)=5,WEEKDAY('Daily Schedule'!$B$2,2)=7),IFERROR(1*'Daily Workforce'!$K158&gt;=3,FALSE()),IFERROR(1*'Daily Workforce'!$K158&gt;=2,FALSE())),IF(AND('Daily Schedule'!$A17&gt;=46,'Daily Schedule'!$A17&lt;=52),'Daily Workforce'!$M158="Y",IFERROR(1*'Daily Workforce'!$P158&gt;=2,FALSE()))))),1,0)</f>
        <v>0</v>
      </c>
      <c r="FN13" s="1" t="n">
        <f aca="false">IF(AND('Daily Workforce'!$N159="Y",'Daily Workforce'!$B159&lt;&gt;"",COUNTIF('Daily Schedule'!$F$5:$F16,'Daily Workforce'!$B159)=0,IF('Daily Schedule'!$A17=45,'Daily Workforce'!$J159="Y",IF(OR('Daily Schedule'!$A17=4,'Daily Schedule'!$A17=8),IF(OR(WEEKDAY('Daily Schedule'!$B$2,2)=1,WEEKDAY('Daily Schedule'!$B$2,2)=4,WEEKDAY('Daily Schedule'!$B$2,2)=5,WEEKDAY('Daily Schedule'!$B$2,2)=7),IFERROR(1*'Daily Workforce'!$K159&gt;=3,FALSE()),IFERROR(1*'Daily Workforce'!$K159&gt;=2,FALSE())),IF(AND('Daily Schedule'!$A17&gt;=46,'Daily Schedule'!$A17&lt;=52),'Daily Workforce'!$M159="Y",IFERROR(1*'Daily Workforce'!$P159&gt;=2,FALSE()))))),1,0)</f>
        <v>0</v>
      </c>
      <c r="FO13" s="1" t="n">
        <f aca="false">IF(AND('Daily Workforce'!$N160="Y",'Daily Workforce'!$B160&lt;&gt;"",COUNTIF('Daily Schedule'!$F$5:$F16,'Daily Workforce'!$B160)=0,IF('Daily Schedule'!$A17=45,'Daily Workforce'!$J160="Y",IF(OR('Daily Schedule'!$A17=4,'Daily Schedule'!$A17=8),IF(OR(WEEKDAY('Daily Schedule'!$B$2,2)=1,WEEKDAY('Daily Schedule'!$B$2,2)=4,WEEKDAY('Daily Schedule'!$B$2,2)=5,WEEKDAY('Daily Schedule'!$B$2,2)=7),IFERROR(1*'Daily Workforce'!$K160&gt;=3,FALSE()),IFERROR(1*'Daily Workforce'!$K160&gt;=2,FALSE())),IF(AND('Daily Schedule'!$A17&gt;=46,'Daily Schedule'!$A17&lt;=52),'Daily Workforce'!$M160="Y",IFERROR(1*'Daily Workforce'!$P160&gt;=2,FALSE()))))),1,0)</f>
        <v>0</v>
      </c>
      <c r="FP13" s="1" t="n">
        <f aca="false">IF(AND('Daily Workforce'!$N161="Y",'Daily Workforce'!$B161&lt;&gt;"",COUNTIF('Daily Schedule'!$F$5:$F16,'Daily Workforce'!$B161)=0,IF('Daily Schedule'!$A17=45,'Daily Workforce'!$J161="Y",IF(OR('Daily Schedule'!$A17=4,'Daily Schedule'!$A17=8),IF(OR(WEEKDAY('Daily Schedule'!$B$2,2)=1,WEEKDAY('Daily Schedule'!$B$2,2)=4,WEEKDAY('Daily Schedule'!$B$2,2)=5,WEEKDAY('Daily Schedule'!$B$2,2)=7),IFERROR(1*'Daily Workforce'!$K161&gt;=3,FALSE()),IFERROR(1*'Daily Workforce'!$K161&gt;=2,FALSE())),IF(AND('Daily Schedule'!$A17&gt;=46,'Daily Schedule'!$A17&lt;=52),'Daily Workforce'!$M161="Y",IFERROR(1*'Daily Workforce'!$P161&gt;=2,FALSE()))))),1,0)</f>
        <v>0</v>
      </c>
      <c r="FQ13" s="1" t="n">
        <f aca="false">IF(AND('Daily Workforce'!$N162="Y",'Daily Workforce'!$B162&lt;&gt;"",COUNTIF('Daily Schedule'!$F$5:$F16,'Daily Workforce'!$B162)=0,IF('Daily Schedule'!$A17=45,'Daily Workforce'!$J162="Y",IF(OR('Daily Schedule'!$A17=4,'Daily Schedule'!$A17=8),IF(OR(WEEKDAY('Daily Schedule'!$B$2,2)=1,WEEKDAY('Daily Schedule'!$B$2,2)=4,WEEKDAY('Daily Schedule'!$B$2,2)=5,WEEKDAY('Daily Schedule'!$B$2,2)=7),IFERROR(1*'Daily Workforce'!$K162&gt;=3,FALSE()),IFERROR(1*'Daily Workforce'!$K162&gt;=2,FALSE())),IF(AND('Daily Schedule'!$A17&gt;=46,'Daily Schedule'!$A17&lt;=52),'Daily Workforce'!$M162="Y",IFERROR(1*'Daily Workforce'!$P162&gt;=2,FALSE()))))),1,0)</f>
        <v>0</v>
      </c>
      <c r="FR13" s="1" t="n">
        <f aca="false">IF(AND('Daily Workforce'!$N163="Y",'Daily Workforce'!$B163&lt;&gt;"",COUNTIF('Daily Schedule'!$F$5:$F16,'Daily Workforce'!$B163)=0,IF('Daily Schedule'!$A17=45,'Daily Workforce'!$J163="Y",IF(OR('Daily Schedule'!$A17=4,'Daily Schedule'!$A17=8),IF(OR(WEEKDAY('Daily Schedule'!$B$2,2)=1,WEEKDAY('Daily Schedule'!$B$2,2)=4,WEEKDAY('Daily Schedule'!$B$2,2)=5,WEEKDAY('Daily Schedule'!$B$2,2)=7),IFERROR(1*'Daily Workforce'!$K163&gt;=3,FALSE()),IFERROR(1*'Daily Workforce'!$K163&gt;=2,FALSE())),IF(AND('Daily Schedule'!$A17&gt;=46,'Daily Schedule'!$A17&lt;=52),'Daily Workforce'!$M163="Y",IFERROR(1*'Daily Workforce'!$P163&gt;=2,FALSE()))))),1,0)</f>
        <v>0</v>
      </c>
      <c r="FS13" s="1" t="n">
        <f aca="false">IF(AND('Daily Workforce'!$N164="Y",'Daily Workforce'!$B164&lt;&gt;"",COUNTIF('Daily Schedule'!$F$5:$F16,'Daily Workforce'!$B164)=0,IF('Daily Schedule'!$A17=45,'Daily Workforce'!$J164="Y",IF(OR('Daily Schedule'!$A17=4,'Daily Schedule'!$A17=8),IF(OR(WEEKDAY('Daily Schedule'!$B$2,2)=1,WEEKDAY('Daily Schedule'!$B$2,2)=4,WEEKDAY('Daily Schedule'!$B$2,2)=5,WEEKDAY('Daily Schedule'!$B$2,2)=7),IFERROR(1*'Daily Workforce'!$K164&gt;=3,FALSE()),IFERROR(1*'Daily Workforce'!$K164&gt;=2,FALSE())),IF(AND('Daily Schedule'!$A17&gt;=46,'Daily Schedule'!$A17&lt;=52),'Daily Workforce'!$M164="Y",IFERROR(1*'Daily Workforce'!$P164&gt;=2,FALSE()))))),1,0)</f>
        <v>0</v>
      </c>
      <c r="FT13" s="1" t="n">
        <f aca="false">IF(AND('Daily Workforce'!$N165="Y",'Daily Workforce'!$B165&lt;&gt;"",COUNTIF('Daily Schedule'!$F$5:$F16,'Daily Workforce'!$B165)=0,IF('Daily Schedule'!$A17=45,'Daily Workforce'!$J165="Y",IF(OR('Daily Schedule'!$A17=4,'Daily Schedule'!$A17=8),IF(OR(WEEKDAY('Daily Schedule'!$B$2,2)=1,WEEKDAY('Daily Schedule'!$B$2,2)=4,WEEKDAY('Daily Schedule'!$B$2,2)=5,WEEKDAY('Daily Schedule'!$B$2,2)=7),IFERROR(1*'Daily Workforce'!$K165&gt;=3,FALSE()),IFERROR(1*'Daily Workforce'!$K165&gt;=2,FALSE())),IF(AND('Daily Schedule'!$A17&gt;=46,'Daily Schedule'!$A17&lt;=52),'Daily Workforce'!$M165="Y",IFERROR(1*'Daily Workforce'!$P165&gt;=2,FALSE()))))),1,0)</f>
        <v>0</v>
      </c>
      <c r="FU13" s="1" t="n">
        <f aca="false">IF(AND('Daily Workforce'!$N166="Y",'Daily Workforce'!$B166&lt;&gt;"",COUNTIF('Daily Schedule'!$F$5:$F16,'Daily Workforce'!$B166)=0,IF('Daily Schedule'!$A17=45,'Daily Workforce'!$J166="Y",IF(OR('Daily Schedule'!$A17=4,'Daily Schedule'!$A17=8),IF(OR(WEEKDAY('Daily Schedule'!$B$2,2)=1,WEEKDAY('Daily Schedule'!$B$2,2)=4,WEEKDAY('Daily Schedule'!$B$2,2)=5,WEEKDAY('Daily Schedule'!$B$2,2)=7),IFERROR(1*'Daily Workforce'!$K166&gt;=3,FALSE()),IFERROR(1*'Daily Workforce'!$K166&gt;=2,FALSE())),IF(AND('Daily Schedule'!$A17&gt;=46,'Daily Schedule'!$A17&lt;=52),'Daily Workforce'!$M166="Y",IFERROR(1*'Daily Workforce'!$P166&gt;=2,FALSE()))))),1,0)</f>
        <v>0</v>
      </c>
      <c r="FV13" s="1" t="n">
        <f aca="false">IF(AND('Daily Workforce'!$N167="Y",'Daily Workforce'!$B167&lt;&gt;"",COUNTIF('Daily Schedule'!$F$5:$F16,'Daily Workforce'!$B167)=0,IF('Daily Schedule'!$A17=45,'Daily Workforce'!$J167="Y",IF(OR('Daily Schedule'!$A17=4,'Daily Schedule'!$A17=8),IF(OR(WEEKDAY('Daily Schedule'!$B$2,2)=1,WEEKDAY('Daily Schedule'!$B$2,2)=4,WEEKDAY('Daily Schedule'!$B$2,2)=5,WEEKDAY('Daily Schedule'!$B$2,2)=7),IFERROR(1*'Daily Workforce'!$K167&gt;=3,FALSE()),IFERROR(1*'Daily Workforce'!$K167&gt;=2,FALSE())),IF(AND('Daily Schedule'!$A17&gt;=46,'Daily Schedule'!$A17&lt;=52),'Daily Workforce'!$M167="Y",IFERROR(1*'Daily Workforce'!$P167&gt;=2,FALSE()))))),1,0)</f>
        <v>0</v>
      </c>
      <c r="FW13" s="1" t="n">
        <f aca="false">IF(AND('Daily Workforce'!$N168="Y",'Daily Workforce'!$B168&lt;&gt;"",COUNTIF('Daily Schedule'!$F$5:$F16,'Daily Workforce'!$B168)=0,IF('Daily Schedule'!$A17=45,'Daily Workforce'!$J168="Y",IF(OR('Daily Schedule'!$A17=4,'Daily Schedule'!$A17=8),IF(OR(WEEKDAY('Daily Schedule'!$B$2,2)=1,WEEKDAY('Daily Schedule'!$B$2,2)=4,WEEKDAY('Daily Schedule'!$B$2,2)=5,WEEKDAY('Daily Schedule'!$B$2,2)=7),IFERROR(1*'Daily Workforce'!$K168&gt;=3,FALSE()),IFERROR(1*'Daily Workforce'!$K168&gt;=2,FALSE())),IF(AND('Daily Schedule'!$A17&gt;=46,'Daily Schedule'!$A17&lt;=52),'Daily Workforce'!$M168="Y",IFERROR(1*'Daily Workforce'!$P168&gt;=2,FALSE()))))),1,0)</f>
        <v>0</v>
      </c>
      <c r="FX13" s="1" t="n">
        <f aca="false">IF(AND('Daily Workforce'!$N169="Y",'Daily Workforce'!$B169&lt;&gt;"",COUNTIF('Daily Schedule'!$F$5:$F16,'Daily Workforce'!$B169)=0,IF('Daily Schedule'!$A17=45,'Daily Workforce'!$J169="Y",IF(OR('Daily Schedule'!$A17=4,'Daily Schedule'!$A17=8),IF(OR(WEEKDAY('Daily Schedule'!$B$2,2)=1,WEEKDAY('Daily Schedule'!$B$2,2)=4,WEEKDAY('Daily Schedule'!$B$2,2)=5,WEEKDAY('Daily Schedule'!$B$2,2)=7),IFERROR(1*'Daily Workforce'!$K169&gt;=3,FALSE()),IFERROR(1*'Daily Workforce'!$K169&gt;=2,FALSE())),IF(AND('Daily Schedule'!$A17&gt;=46,'Daily Schedule'!$A17&lt;=52),'Daily Workforce'!$M169="Y",IFERROR(1*'Daily Workforce'!$P169&gt;=2,FALSE()))))),1,0)</f>
        <v>0</v>
      </c>
      <c r="FY13" s="1" t="n">
        <f aca="false">IF(AND('Daily Workforce'!$N170="Y",'Daily Workforce'!$B170&lt;&gt;"",COUNTIF('Daily Schedule'!$F$5:$F16,'Daily Workforce'!$B170)=0,IF('Daily Schedule'!$A17=45,'Daily Workforce'!$J170="Y",IF(OR('Daily Schedule'!$A17=4,'Daily Schedule'!$A17=8),IF(OR(WEEKDAY('Daily Schedule'!$B$2,2)=1,WEEKDAY('Daily Schedule'!$B$2,2)=4,WEEKDAY('Daily Schedule'!$B$2,2)=5,WEEKDAY('Daily Schedule'!$B$2,2)=7),IFERROR(1*'Daily Workforce'!$K170&gt;=3,FALSE()),IFERROR(1*'Daily Workforce'!$K170&gt;=2,FALSE())),IF(AND('Daily Schedule'!$A17&gt;=46,'Daily Schedule'!$A17&lt;=52),'Daily Workforce'!$M170="Y",IFERROR(1*'Daily Workforce'!$P170&gt;=2,FALSE()))))),1,0)</f>
        <v>0</v>
      </c>
      <c r="FZ13" s="1" t="n">
        <f aca="false">IF(AND('Daily Workforce'!$N171="Y",'Daily Workforce'!$B171&lt;&gt;"",COUNTIF('Daily Schedule'!$F$5:$F16,'Daily Workforce'!$B171)=0,IF('Daily Schedule'!$A17=45,'Daily Workforce'!$J171="Y",IF(OR('Daily Schedule'!$A17=4,'Daily Schedule'!$A17=8),IF(OR(WEEKDAY('Daily Schedule'!$B$2,2)=1,WEEKDAY('Daily Schedule'!$B$2,2)=4,WEEKDAY('Daily Schedule'!$B$2,2)=5,WEEKDAY('Daily Schedule'!$B$2,2)=7),IFERROR(1*'Daily Workforce'!$K171&gt;=3,FALSE()),IFERROR(1*'Daily Workforce'!$K171&gt;=2,FALSE())),IF(AND('Daily Schedule'!$A17&gt;=46,'Daily Schedule'!$A17&lt;=52),'Daily Workforce'!$M171="Y",IFERROR(1*'Daily Workforce'!$P171&gt;=2,FALSE()))))),1,0)</f>
        <v>0</v>
      </c>
      <c r="GA13" s="1" t="n">
        <f aca="false">IF(AND('Daily Workforce'!$N172="Y",'Daily Workforce'!$B172&lt;&gt;"",COUNTIF('Daily Schedule'!$F$5:$F16,'Daily Workforce'!$B172)=0,IF('Daily Schedule'!$A17=45,'Daily Workforce'!$J172="Y",IF(OR('Daily Schedule'!$A17=4,'Daily Schedule'!$A17=8),IF(OR(WEEKDAY('Daily Schedule'!$B$2,2)=1,WEEKDAY('Daily Schedule'!$B$2,2)=4,WEEKDAY('Daily Schedule'!$B$2,2)=5,WEEKDAY('Daily Schedule'!$B$2,2)=7),IFERROR(1*'Daily Workforce'!$K172&gt;=3,FALSE()),IFERROR(1*'Daily Workforce'!$K172&gt;=2,FALSE())),IF(AND('Daily Schedule'!$A17&gt;=46,'Daily Schedule'!$A17&lt;=52),'Daily Workforce'!$M172="Y",IFERROR(1*'Daily Workforce'!$P172&gt;=2,FALSE()))))),1,0)</f>
        <v>0</v>
      </c>
      <c r="GB13" s="1" t="n">
        <f aca="false">IF(AND('Daily Workforce'!$N173="Y",'Daily Workforce'!$B173&lt;&gt;"",COUNTIF('Daily Schedule'!$F$5:$F16,'Daily Workforce'!$B173)=0,IF('Daily Schedule'!$A17=45,'Daily Workforce'!$J173="Y",IF(OR('Daily Schedule'!$A17=4,'Daily Schedule'!$A17=8),IF(OR(WEEKDAY('Daily Schedule'!$B$2,2)=1,WEEKDAY('Daily Schedule'!$B$2,2)=4,WEEKDAY('Daily Schedule'!$B$2,2)=5,WEEKDAY('Daily Schedule'!$B$2,2)=7),IFERROR(1*'Daily Workforce'!$K173&gt;=3,FALSE()),IFERROR(1*'Daily Workforce'!$K173&gt;=2,FALSE())),IF(AND('Daily Schedule'!$A17&gt;=46,'Daily Schedule'!$A17&lt;=52),'Daily Workforce'!$M173="Y",IFERROR(1*'Daily Workforce'!$P173&gt;=2,FALSE()))))),1,0)</f>
        <v>0</v>
      </c>
      <c r="GC13" s="1" t="n">
        <f aca="false">IF(AND('Daily Workforce'!$N174="Y",'Daily Workforce'!$B174&lt;&gt;"",COUNTIF('Daily Schedule'!$F$5:$F16,'Daily Workforce'!$B174)=0,IF('Daily Schedule'!$A17=45,'Daily Workforce'!$J174="Y",IF(OR('Daily Schedule'!$A17=4,'Daily Schedule'!$A17=8),IF(OR(WEEKDAY('Daily Schedule'!$B$2,2)=1,WEEKDAY('Daily Schedule'!$B$2,2)=4,WEEKDAY('Daily Schedule'!$B$2,2)=5,WEEKDAY('Daily Schedule'!$B$2,2)=7),IFERROR(1*'Daily Workforce'!$K174&gt;=3,FALSE()),IFERROR(1*'Daily Workforce'!$K174&gt;=2,FALSE())),IF(AND('Daily Schedule'!$A17&gt;=46,'Daily Schedule'!$A17&lt;=52),'Daily Workforce'!$M174="Y",IFERROR(1*'Daily Workforce'!$P174&gt;=2,FALSE()))))),1,0)</f>
        <v>0</v>
      </c>
      <c r="GD13" s="1" t="n">
        <f aca="false">IF(AND('Daily Workforce'!$N175="Y",'Daily Workforce'!$B175&lt;&gt;"",COUNTIF('Daily Schedule'!$F$5:$F16,'Daily Workforce'!$B175)=0,IF('Daily Schedule'!$A17=45,'Daily Workforce'!$J175="Y",IF(OR('Daily Schedule'!$A17=4,'Daily Schedule'!$A17=8),IF(OR(WEEKDAY('Daily Schedule'!$B$2,2)=1,WEEKDAY('Daily Schedule'!$B$2,2)=4,WEEKDAY('Daily Schedule'!$B$2,2)=5,WEEKDAY('Daily Schedule'!$B$2,2)=7),IFERROR(1*'Daily Workforce'!$K175&gt;=3,FALSE()),IFERROR(1*'Daily Workforce'!$K175&gt;=2,FALSE())),IF(AND('Daily Schedule'!$A17&gt;=46,'Daily Schedule'!$A17&lt;=52),'Daily Workforce'!$M175="Y",IFERROR(1*'Daily Workforce'!$P175&gt;=2,FALSE()))))),1,0)</f>
        <v>0</v>
      </c>
      <c r="GE13" s="1" t="n">
        <f aca="false">IF(AND('Daily Workforce'!$N176="Y",'Daily Workforce'!$B176&lt;&gt;"",COUNTIF('Daily Schedule'!$F$5:$F16,'Daily Workforce'!$B176)=0,IF('Daily Schedule'!$A17=45,'Daily Workforce'!$J176="Y",IF(OR('Daily Schedule'!$A17=4,'Daily Schedule'!$A17=8),IF(OR(WEEKDAY('Daily Schedule'!$B$2,2)=1,WEEKDAY('Daily Schedule'!$B$2,2)=4,WEEKDAY('Daily Schedule'!$B$2,2)=5,WEEKDAY('Daily Schedule'!$B$2,2)=7),IFERROR(1*'Daily Workforce'!$K176&gt;=3,FALSE()),IFERROR(1*'Daily Workforce'!$K176&gt;=2,FALSE())),IF(AND('Daily Schedule'!$A17&gt;=46,'Daily Schedule'!$A17&lt;=52),'Daily Workforce'!$M176="Y",IFERROR(1*'Daily Workforce'!$P176&gt;=2,FALSE()))))),1,0)</f>
        <v>0</v>
      </c>
      <c r="GF13" s="1" t="n">
        <f aca="false">IF(AND('Daily Workforce'!$N177="Y",'Daily Workforce'!$B177&lt;&gt;"",COUNTIF('Daily Schedule'!$F$5:$F16,'Daily Workforce'!$B177)=0,IF('Daily Schedule'!$A17=45,'Daily Workforce'!$J177="Y",IF(OR('Daily Schedule'!$A17=4,'Daily Schedule'!$A17=8),IF(OR(WEEKDAY('Daily Schedule'!$B$2,2)=1,WEEKDAY('Daily Schedule'!$B$2,2)=4,WEEKDAY('Daily Schedule'!$B$2,2)=5,WEEKDAY('Daily Schedule'!$B$2,2)=7),IFERROR(1*'Daily Workforce'!$K177&gt;=3,FALSE()),IFERROR(1*'Daily Workforce'!$K177&gt;=2,FALSE())),IF(AND('Daily Schedule'!$A17&gt;=46,'Daily Schedule'!$A17&lt;=52),'Daily Workforce'!$M177="Y",IFERROR(1*'Daily Workforce'!$P177&gt;=2,FALSE()))))),1,0)</f>
        <v>0</v>
      </c>
      <c r="GG13" s="1" t="n">
        <f aca="false">IF(AND('Daily Workforce'!$N178="Y",'Daily Workforce'!$B178&lt;&gt;"",COUNTIF('Daily Schedule'!$F$5:$F16,'Daily Workforce'!$B178)=0,IF('Daily Schedule'!$A17=45,'Daily Workforce'!$J178="Y",IF(OR('Daily Schedule'!$A17=4,'Daily Schedule'!$A17=8),IF(OR(WEEKDAY('Daily Schedule'!$B$2,2)=1,WEEKDAY('Daily Schedule'!$B$2,2)=4,WEEKDAY('Daily Schedule'!$B$2,2)=5,WEEKDAY('Daily Schedule'!$B$2,2)=7),IFERROR(1*'Daily Workforce'!$K178&gt;=3,FALSE()),IFERROR(1*'Daily Workforce'!$K178&gt;=2,FALSE())),IF(AND('Daily Schedule'!$A17&gt;=46,'Daily Schedule'!$A17&lt;=52),'Daily Workforce'!$M178="Y",IFERROR(1*'Daily Workforce'!$P178&gt;=2,FALSE()))))),1,0)</f>
        <v>0</v>
      </c>
      <c r="GH13" s="1" t="n">
        <f aca="false">IF(AND('Daily Workforce'!$N179="Y",'Daily Workforce'!$B179&lt;&gt;"",COUNTIF('Daily Schedule'!$F$5:$F16,'Daily Workforce'!$B179)=0,IF('Daily Schedule'!$A17=45,'Daily Workforce'!$J179="Y",IF(OR('Daily Schedule'!$A17=4,'Daily Schedule'!$A17=8),IF(OR(WEEKDAY('Daily Schedule'!$B$2,2)=1,WEEKDAY('Daily Schedule'!$B$2,2)=4,WEEKDAY('Daily Schedule'!$B$2,2)=5,WEEKDAY('Daily Schedule'!$B$2,2)=7),IFERROR(1*'Daily Workforce'!$K179&gt;=3,FALSE()),IFERROR(1*'Daily Workforce'!$K179&gt;=2,FALSE())),IF(AND('Daily Schedule'!$A17&gt;=46,'Daily Schedule'!$A17&lt;=52),'Daily Workforce'!$M179="Y",IFERROR(1*'Daily Workforce'!$P179&gt;=2,FALSE()))))),1,0)</f>
        <v>0</v>
      </c>
      <c r="GI13" s="1" t="n">
        <f aca="false">IF(AND('Daily Workforce'!$N180="Y",'Daily Workforce'!$B180&lt;&gt;"",COUNTIF('Daily Schedule'!$F$5:$F16,'Daily Workforce'!$B180)=0,IF('Daily Schedule'!$A17=45,'Daily Workforce'!$J180="Y",IF(OR('Daily Schedule'!$A17=4,'Daily Schedule'!$A17=8),IF(OR(WEEKDAY('Daily Schedule'!$B$2,2)=1,WEEKDAY('Daily Schedule'!$B$2,2)=4,WEEKDAY('Daily Schedule'!$B$2,2)=5,WEEKDAY('Daily Schedule'!$B$2,2)=7),IFERROR(1*'Daily Workforce'!$K180&gt;=3,FALSE()),IFERROR(1*'Daily Workforce'!$K180&gt;=2,FALSE())),IF(AND('Daily Schedule'!$A17&gt;=46,'Daily Schedule'!$A17&lt;=52),'Daily Workforce'!$M180="Y",IFERROR(1*'Daily Workforce'!$P180&gt;=2,FALSE()))))),1,0)</f>
        <v>0</v>
      </c>
      <c r="GJ13" s="1" t="n">
        <f aca="false">IF(AND('Daily Workforce'!$N181="Y",'Daily Workforce'!$B181&lt;&gt;"",COUNTIF('Daily Schedule'!$F$5:$F16,'Daily Workforce'!$B181)=0,IF('Daily Schedule'!$A17=45,'Daily Workforce'!$J181="Y",IF(OR('Daily Schedule'!$A17=4,'Daily Schedule'!$A17=8),IF(OR(WEEKDAY('Daily Schedule'!$B$2,2)=1,WEEKDAY('Daily Schedule'!$B$2,2)=4,WEEKDAY('Daily Schedule'!$B$2,2)=5,WEEKDAY('Daily Schedule'!$B$2,2)=7),IFERROR(1*'Daily Workforce'!$K181&gt;=3,FALSE()),IFERROR(1*'Daily Workforce'!$K181&gt;=2,FALSE())),IF(AND('Daily Schedule'!$A17&gt;=46,'Daily Schedule'!$A17&lt;=52),'Daily Workforce'!$M181="Y",IFERROR(1*'Daily Workforce'!$P181&gt;=2,FALSE()))))),1,0)</f>
        <v>0</v>
      </c>
      <c r="GK13" s="1" t="n">
        <f aca="false">IF(AND('Daily Workforce'!$N182="Y",'Daily Workforce'!$B182&lt;&gt;"",COUNTIF('Daily Schedule'!$F$5:$F16,'Daily Workforce'!$B182)=0,IF('Daily Schedule'!$A17=45,'Daily Workforce'!$J182="Y",IF(OR('Daily Schedule'!$A17=4,'Daily Schedule'!$A17=8),IF(OR(WEEKDAY('Daily Schedule'!$B$2,2)=1,WEEKDAY('Daily Schedule'!$B$2,2)=4,WEEKDAY('Daily Schedule'!$B$2,2)=5,WEEKDAY('Daily Schedule'!$B$2,2)=7),IFERROR(1*'Daily Workforce'!$K182&gt;=3,FALSE()),IFERROR(1*'Daily Workforce'!$K182&gt;=2,FALSE())),IF(AND('Daily Schedule'!$A17&gt;=46,'Daily Schedule'!$A17&lt;=52),'Daily Workforce'!$M182="Y",IFERROR(1*'Daily Workforce'!$P182&gt;=2,FALSE()))))),1,0)</f>
        <v>0</v>
      </c>
      <c r="GL13" s="1" t="n">
        <f aca="false">IF(AND('Daily Workforce'!$N183="Y",'Daily Workforce'!$B183&lt;&gt;"",COUNTIF('Daily Schedule'!$F$5:$F16,'Daily Workforce'!$B183)=0,IF('Daily Schedule'!$A17=45,'Daily Workforce'!$J183="Y",IF(OR('Daily Schedule'!$A17=4,'Daily Schedule'!$A17=8),IF(OR(WEEKDAY('Daily Schedule'!$B$2,2)=1,WEEKDAY('Daily Schedule'!$B$2,2)=4,WEEKDAY('Daily Schedule'!$B$2,2)=5,WEEKDAY('Daily Schedule'!$B$2,2)=7),IFERROR(1*'Daily Workforce'!$K183&gt;=3,FALSE()),IFERROR(1*'Daily Workforce'!$K183&gt;=2,FALSE())),IF(AND('Daily Schedule'!$A17&gt;=46,'Daily Schedule'!$A17&lt;=52),'Daily Workforce'!$M183="Y",IFERROR(1*'Daily Workforce'!$P183&gt;=2,FALSE()))))),1,0)</f>
        <v>0</v>
      </c>
      <c r="GM13" s="1" t="n">
        <f aca="false">IF(AND('Daily Workforce'!$N184="Y",'Daily Workforce'!$B184&lt;&gt;"",COUNTIF('Daily Schedule'!$F$5:$F16,'Daily Workforce'!$B184)=0,IF('Daily Schedule'!$A17=45,'Daily Workforce'!$J184="Y",IF(OR('Daily Schedule'!$A17=4,'Daily Schedule'!$A17=8),IF(OR(WEEKDAY('Daily Schedule'!$B$2,2)=1,WEEKDAY('Daily Schedule'!$B$2,2)=4,WEEKDAY('Daily Schedule'!$B$2,2)=5,WEEKDAY('Daily Schedule'!$B$2,2)=7),IFERROR(1*'Daily Workforce'!$K184&gt;=3,FALSE()),IFERROR(1*'Daily Workforce'!$K184&gt;=2,FALSE())),IF(AND('Daily Schedule'!$A17&gt;=46,'Daily Schedule'!$A17&lt;=52),'Daily Workforce'!$M184="Y",IFERROR(1*'Daily Workforce'!$P184&gt;=2,FALSE()))))),1,0)</f>
        <v>0</v>
      </c>
      <c r="GN13" s="1" t="n">
        <f aca="false">IF(AND('Daily Workforce'!$N185="Y",'Daily Workforce'!$B185&lt;&gt;"",COUNTIF('Daily Schedule'!$F$5:$F16,'Daily Workforce'!$B185)=0,IF('Daily Schedule'!$A17=45,'Daily Workforce'!$J185="Y",IF(OR('Daily Schedule'!$A17=4,'Daily Schedule'!$A17=8),IF(OR(WEEKDAY('Daily Schedule'!$B$2,2)=1,WEEKDAY('Daily Schedule'!$B$2,2)=4,WEEKDAY('Daily Schedule'!$B$2,2)=5,WEEKDAY('Daily Schedule'!$B$2,2)=7),IFERROR(1*'Daily Workforce'!$K185&gt;=3,FALSE()),IFERROR(1*'Daily Workforce'!$K185&gt;=2,FALSE())),IF(AND('Daily Schedule'!$A17&gt;=46,'Daily Schedule'!$A17&lt;=52),'Daily Workforce'!$M185="Y",IFERROR(1*'Daily Workforce'!$P185&gt;=2,FALSE()))))),1,0)</f>
        <v>0</v>
      </c>
      <c r="GO13" s="1" t="n">
        <f aca="false">IF(AND('Daily Workforce'!$N186="Y",'Daily Workforce'!$B186&lt;&gt;"",COUNTIF('Daily Schedule'!$F$5:$F16,'Daily Workforce'!$B186)=0,IF('Daily Schedule'!$A17=45,'Daily Workforce'!$J186="Y",IF(OR('Daily Schedule'!$A17=4,'Daily Schedule'!$A17=8),IF(OR(WEEKDAY('Daily Schedule'!$B$2,2)=1,WEEKDAY('Daily Schedule'!$B$2,2)=4,WEEKDAY('Daily Schedule'!$B$2,2)=5,WEEKDAY('Daily Schedule'!$B$2,2)=7),IFERROR(1*'Daily Workforce'!$K186&gt;=3,FALSE()),IFERROR(1*'Daily Workforce'!$K186&gt;=2,FALSE())),IF(AND('Daily Schedule'!$A17&gt;=46,'Daily Schedule'!$A17&lt;=52),'Daily Workforce'!$M186="Y",IFERROR(1*'Daily Workforce'!$P186&gt;=2,FALSE()))))),1,0)</f>
        <v>0</v>
      </c>
      <c r="GP13" s="1" t="n">
        <f aca="false">IF(AND('Daily Workforce'!$N187="Y",'Daily Workforce'!$B187&lt;&gt;"",COUNTIF('Daily Schedule'!$F$5:$F16,'Daily Workforce'!$B187)=0,IF('Daily Schedule'!$A17=45,'Daily Workforce'!$J187="Y",IF(OR('Daily Schedule'!$A17=4,'Daily Schedule'!$A17=8),IF(OR(WEEKDAY('Daily Schedule'!$B$2,2)=1,WEEKDAY('Daily Schedule'!$B$2,2)=4,WEEKDAY('Daily Schedule'!$B$2,2)=5,WEEKDAY('Daily Schedule'!$B$2,2)=7),IFERROR(1*'Daily Workforce'!$K187&gt;=3,FALSE()),IFERROR(1*'Daily Workforce'!$K187&gt;=2,FALSE())),IF(AND('Daily Schedule'!$A17&gt;=46,'Daily Schedule'!$A17&lt;=52),'Daily Workforce'!$M187="Y",IFERROR(1*'Daily Workforce'!$P187&gt;=2,FALSE()))))),1,0)</f>
        <v>0</v>
      </c>
      <c r="GQ13" s="1" t="n">
        <f aca="false">IF(AND('Daily Workforce'!$N188="Y",'Daily Workforce'!$B188&lt;&gt;"",COUNTIF('Daily Schedule'!$F$5:$F16,'Daily Workforce'!$B188)=0,IF('Daily Schedule'!$A17=45,'Daily Workforce'!$J188="Y",IF(OR('Daily Schedule'!$A17=4,'Daily Schedule'!$A17=8),IF(OR(WEEKDAY('Daily Schedule'!$B$2,2)=1,WEEKDAY('Daily Schedule'!$B$2,2)=4,WEEKDAY('Daily Schedule'!$B$2,2)=5,WEEKDAY('Daily Schedule'!$B$2,2)=7),IFERROR(1*'Daily Workforce'!$K188&gt;=3,FALSE()),IFERROR(1*'Daily Workforce'!$K188&gt;=2,FALSE())),IF(AND('Daily Schedule'!$A17&gt;=46,'Daily Schedule'!$A17&lt;=52),'Daily Workforce'!$M188="Y",IFERROR(1*'Daily Workforce'!$P188&gt;=2,FALSE()))))),1,0)</f>
        <v>0</v>
      </c>
      <c r="GR13" s="1" t="n">
        <f aca="false">IF(AND('Daily Workforce'!$N189="Y",'Daily Workforce'!$B189&lt;&gt;"",COUNTIF('Daily Schedule'!$F$5:$F16,'Daily Workforce'!$B189)=0,IF('Daily Schedule'!$A17=45,'Daily Workforce'!$J189="Y",IF(OR('Daily Schedule'!$A17=4,'Daily Schedule'!$A17=8),IF(OR(WEEKDAY('Daily Schedule'!$B$2,2)=1,WEEKDAY('Daily Schedule'!$B$2,2)=4,WEEKDAY('Daily Schedule'!$B$2,2)=5,WEEKDAY('Daily Schedule'!$B$2,2)=7),IFERROR(1*'Daily Workforce'!$K189&gt;=3,FALSE()),IFERROR(1*'Daily Workforce'!$K189&gt;=2,FALSE())),IF(AND('Daily Schedule'!$A17&gt;=46,'Daily Schedule'!$A17&lt;=52),'Daily Workforce'!$M189="Y",IFERROR(1*'Daily Workforce'!$P189&gt;=2,FALSE()))))),1,0)</f>
        <v>0</v>
      </c>
      <c r="GS13" s="1" t="n">
        <f aca="false">IF(AND('Daily Workforce'!$N190="Y",'Daily Workforce'!$B190&lt;&gt;"",COUNTIF('Daily Schedule'!$F$5:$F16,'Daily Workforce'!$B190)=0,IF('Daily Schedule'!$A17=45,'Daily Workforce'!$J190="Y",IF(OR('Daily Schedule'!$A17=4,'Daily Schedule'!$A17=8),IF(OR(WEEKDAY('Daily Schedule'!$B$2,2)=1,WEEKDAY('Daily Schedule'!$B$2,2)=4,WEEKDAY('Daily Schedule'!$B$2,2)=5,WEEKDAY('Daily Schedule'!$B$2,2)=7),IFERROR(1*'Daily Workforce'!$K190&gt;=3,FALSE()),IFERROR(1*'Daily Workforce'!$K190&gt;=2,FALSE())),IF(AND('Daily Schedule'!$A17&gt;=46,'Daily Schedule'!$A17&lt;=52),'Daily Workforce'!$M190="Y",IFERROR(1*'Daily Workforce'!$P190&gt;=2,FALSE()))))),1,0)</f>
        <v>0</v>
      </c>
      <c r="GT13" s="1" t="n">
        <f aca="false">IF(AND('Daily Workforce'!$N191="Y",'Daily Workforce'!$B191&lt;&gt;"",COUNTIF('Daily Schedule'!$F$5:$F16,'Daily Workforce'!$B191)=0,IF('Daily Schedule'!$A17=45,'Daily Workforce'!$J191="Y",IF(OR('Daily Schedule'!$A17=4,'Daily Schedule'!$A17=8),IF(OR(WEEKDAY('Daily Schedule'!$B$2,2)=1,WEEKDAY('Daily Schedule'!$B$2,2)=4,WEEKDAY('Daily Schedule'!$B$2,2)=5,WEEKDAY('Daily Schedule'!$B$2,2)=7),IFERROR(1*'Daily Workforce'!$K191&gt;=3,FALSE()),IFERROR(1*'Daily Workforce'!$K191&gt;=2,FALSE())),IF(AND('Daily Schedule'!$A17&gt;=46,'Daily Schedule'!$A17&lt;=52),'Daily Workforce'!$M191="Y",IFERROR(1*'Daily Workforce'!$P191&gt;=2,FALSE()))))),1,0)</f>
        <v>0</v>
      </c>
      <c r="GU13" s="1" t="n">
        <f aca="false">IF(AND('Daily Workforce'!$N192="Y",'Daily Workforce'!$B192&lt;&gt;"",COUNTIF('Daily Schedule'!$F$5:$F16,'Daily Workforce'!$B192)=0,IF('Daily Schedule'!$A17=45,'Daily Workforce'!$J192="Y",IF(OR('Daily Schedule'!$A17=4,'Daily Schedule'!$A17=8),IF(OR(WEEKDAY('Daily Schedule'!$B$2,2)=1,WEEKDAY('Daily Schedule'!$B$2,2)=4,WEEKDAY('Daily Schedule'!$B$2,2)=5,WEEKDAY('Daily Schedule'!$B$2,2)=7),IFERROR(1*'Daily Workforce'!$K192&gt;=3,FALSE()),IFERROR(1*'Daily Workforce'!$K192&gt;=2,FALSE())),IF(AND('Daily Schedule'!$A17&gt;=46,'Daily Schedule'!$A17&lt;=52),'Daily Workforce'!$M192="Y",IFERROR(1*'Daily Workforce'!$P192&gt;=2,FALSE()))))),1,0)</f>
        <v>0</v>
      </c>
      <c r="GV13" s="1" t="n">
        <f aca="false">IF(AND('Daily Workforce'!$N193="Y",'Daily Workforce'!$B193&lt;&gt;"",COUNTIF('Daily Schedule'!$F$5:$F16,'Daily Workforce'!$B193)=0,IF('Daily Schedule'!$A17=45,'Daily Workforce'!$J193="Y",IF(OR('Daily Schedule'!$A17=4,'Daily Schedule'!$A17=8),IF(OR(WEEKDAY('Daily Schedule'!$B$2,2)=1,WEEKDAY('Daily Schedule'!$B$2,2)=4,WEEKDAY('Daily Schedule'!$B$2,2)=5,WEEKDAY('Daily Schedule'!$B$2,2)=7),IFERROR(1*'Daily Workforce'!$K193&gt;=3,FALSE()),IFERROR(1*'Daily Workforce'!$K193&gt;=2,FALSE())),IF(AND('Daily Schedule'!$A17&gt;=46,'Daily Schedule'!$A17&lt;=52),'Daily Workforce'!$M193="Y",IFERROR(1*'Daily Workforce'!$P193&gt;=2,FALSE()))))),1,0)</f>
        <v>0</v>
      </c>
      <c r="GW13" s="1" t="n">
        <f aca="false">IF(AND('Daily Workforce'!$N194="Y",'Daily Workforce'!$B194&lt;&gt;"",COUNTIF('Daily Schedule'!$F$5:$F16,'Daily Workforce'!$B194)=0,IF('Daily Schedule'!$A17=45,'Daily Workforce'!$J194="Y",IF(OR('Daily Schedule'!$A17=4,'Daily Schedule'!$A17=8),IF(OR(WEEKDAY('Daily Schedule'!$B$2,2)=1,WEEKDAY('Daily Schedule'!$B$2,2)=4,WEEKDAY('Daily Schedule'!$B$2,2)=5,WEEKDAY('Daily Schedule'!$B$2,2)=7),IFERROR(1*'Daily Workforce'!$K194&gt;=3,FALSE()),IFERROR(1*'Daily Workforce'!$K194&gt;=2,FALSE())),IF(AND('Daily Schedule'!$A17&gt;=46,'Daily Schedule'!$A17&lt;=52),'Daily Workforce'!$M194="Y",IFERROR(1*'Daily Workforce'!$P194&gt;=2,FALSE()))))),1,0)</f>
        <v>0</v>
      </c>
      <c r="GX13" s="1" t="n">
        <f aca="false">IF(AND('Daily Workforce'!$N195="Y",'Daily Workforce'!$B195&lt;&gt;"",COUNTIF('Daily Schedule'!$F$5:$F16,'Daily Workforce'!$B195)=0,IF('Daily Schedule'!$A17=45,'Daily Workforce'!$J195="Y",IF(OR('Daily Schedule'!$A17=4,'Daily Schedule'!$A17=8),IF(OR(WEEKDAY('Daily Schedule'!$B$2,2)=1,WEEKDAY('Daily Schedule'!$B$2,2)=4,WEEKDAY('Daily Schedule'!$B$2,2)=5,WEEKDAY('Daily Schedule'!$B$2,2)=7),IFERROR(1*'Daily Workforce'!$K195&gt;=3,FALSE()),IFERROR(1*'Daily Workforce'!$K195&gt;=2,FALSE())),IF(AND('Daily Schedule'!$A17&gt;=46,'Daily Schedule'!$A17&lt;=52),'Daily Workforce'!$M195="Y",IFERROR(1*'Daily Workforce'!$P195&gt;=2,FALSE()))))),1,0)</f>
        <v>0</v>
      </c>
      <c r="GY13" s="1" t="n">
        <f aca="false">IF(AND('Daily Workforce'!$N196="Y",'Daily Workforce'!$B196&lt;&gt;"",COUNTIF('Daily Schedule'!$F$5:$F16,'Daily Workforce'!$B196)=0,IF('Daily Schedule'!$A17=45,'Daily Workforce'!$J196="Y",IF(OR('Daily Schedule'!$A17=4,'Daily Schedule'!$A17=8),IF(OR(WEEKDAY('Daily Schedule'!$B$2,2)=1,WEEKDAY('Daily Schedule'!$B$2,2)=4,WEEKDAY('Daily Schedule'!$B$2,2)=5,WEEKDAY('Daily Schedule'!$B$2,2)=7),IFERROR(1*'Daily Workforce'!$K196&gt;=3,FALSE()),IFERROR(1*'Daily Workforce'!$K196&gt;=2,FALSE())),IF(AND('Daily Schedule'!$A17&gt;=46,'Daily Schedule'!$A17&lt;=52),'Daily Workforce'!$M196="Y",IFERROR(1*'Daily Workforce'!$P196&gt;=2,FALSE()))))),1,0)</f>
        <v>0</v>
      </c>
      <c r="GZ13" s="1" t="n">
        <f aca="false">IF(AND('Daily Workforce'!$N197="Y",'Daily Workforce'!$B197&lt;&gt;"",COUNTIF('Daily Schedule'!$F$5:$F16,'Daily Workforce'!$B197)=0,IF('Daily Schedule'!$A17=45,'Daily Workforce'!$J197="Y",IF(OR('Daily Schedule'!$A17=4,'Daily Schedule'!$A17=8),IF(OR(WEEKDAY('Daily Schedule'!$B$2,2)=1,WEEKDAY('Daily Schedule'!$B$2,2)=4,WEEKDAY('Daily Schedule'!$B$2,2)=5,WEEKDAY('Daily Schedule'!$B$2,2)=7),IFERROR(1*'Daily Workforce'!$K197&gt;=3,FALSE()),IFERROR(1*'Daily Workforce'!$K197&gt;=2,FALSE())),IF(AND('Daily Schedule'!$A17&gt;=46,'Daily Schedule'!$A17&lt;=52),'Daily Workforce'!$M197="Y",IFERROR(1*'Daily Workforce'!$P197&gt;=2,FALSE()))))),1,0)</f>
        <v>0</v>
      </c>
      <c r="HA13" s="1" t="n">
        <f aca="false">IF(AND('Daily Workforce'!$N198="Y",'Daily Workforce'!$B198&lt;&gt;"",COUNTIF('Daily Schedule'!$F$5:$F16,'Daily Workforce'!$B198)=0,IF('Daily Schedule'!$A17=45,'Daily Workforce'!$J198="Y",IF(OR('Daily Schedule'!$A17=4,'Daily Schedule'!$A17=8),IF(OR(WEEKDAY('Daily Schedule'!$B$2,2)=1,WEEKDAY('Daily Schedule'!$B$2,2)=4,WEEKDAY('Daily Schedule'!$B$2,2)=5,WEEKDAY('Daily Schedule'!$B$2,2)=7),IFERROR(1*'Daily Workforce'!$K198&gt;=3,FALSE()),IFERROR(1*'Daily Workforce'!$K198&gt;=2,FALSE())),IF(AND('Daily Schedule'!$A17&gt;=46,'Daily Schedule'!$A17&lt;=52),'Daily Workforce'!$M198="Y",IFERROR(1*'Daily Workforce'!$P198&gt;=2,FALSE()))))),1,0)</f>
        <v>0</v>
      </c>
      <c r="HB13" s="1" t="n">
        <f aca="false">IF(AND('Daily Workforce'!$N199="Y",'Daily Workforce'!$B199&lt;&gt;"",COUNTIF('Daily Schedule'!$F$5:$F16,'Daily Workforce'!$B199)=0,IF('Daily Schedule'!$A17=45,'Daily Workforce'!$J199="Y",IF(OR('Daily Schedule'!$A17=4,'Daily Schedule'!$A17=8),IF(OR(WEEKDAY('Daily Schedule'!$B$2,2)=1,WEEKDAY('Daily Schedule'!$B$2,2)=4,WEEKDAY('Daily Schedule'!$B$2,2)=5,WEEKDAY('Daily Schedule'!$B$2,2)=7),IFERROR(1*'Daily Workforce'!$K199&gt;=3,FALSE()),IFERROR(1*'Daily Workforce'!$K199&gt;=2,FALSE())),IF(AND('Daily Schedule'!$A17&gt;=46,'Daily Schedule'!$A17&lt;=52),'Daily Workforce'!$M199="Y",IFERROR(1*'Daily Workforce'!$P199&gt;=2,FALSE()))))),1,0)</f>
        <v>0</v>
      </c>
      <c r="HC13" s="1" t="n">
        <f aca="false">IF(AND('Daily Workforce'!$N200="Y",'Daily Workforce'!$B200&lt;&gt;"",COUNTIF('Daily Schedule'!$F$5:$F16,'Daily Workforce'!$B200)=0,IF('Daily Schedule'!$A17=45,'Daily Workforce'!$J200="Y",IF(OR('Daily Schedule'!$A17=4,'Daily Schedule'!$A17=8),IF(OR(WEEKDAY('Daily Schedule'!$B$2,2)=1,WEEKDAY('Daily Schedule'!$B$2,2)=4,WEEKDAY('Daily Schedule'!$B$2,2)=5,WEEKDAY('Daily Schedule'!$B$2,2)=7),IFERROR(1*'Daily Workforce'!$K200&gt;=3,FALSE()),IFERROR(1*'Daily Workforce'!$K200&gt;=2,FALSE())),IF(AND('Daily Schedule'!$A17&gt;=46,'Daily Schedule'!$A17&lt;=52),'Daily Workforce'!$M200="Y",IFERROR(1*'Daily Workforce'!$P200&gt;=2,FALSE()))))),1,0)</f>
        <v>0</v>
      </c>
      <c r="HD13" s="1" t="n">
        <f aca="false">IF(AND('Daily Workforce'!$N201="Y",'Daily Workforce'!$B201&lt;&gt;"",COUNTIF('Daily Schedule'!$F$5:$F16,'Daily Workforce'!$B201)=0,IF('Daily Schedule'!$A17=45,'Daily Workforce'!$J201="Y",IF(OR('Daily Schedule'!$A17=4,'Daily Schedule'!$A17=8),IF(OR(WEEKDAY('Daily Schedule'!$B$2,2)=1,WEEKDAY('Daily Schedule'!$B$2,2)=4,WEEKDAY('Daily Schedule'!$B$2,2)=5,WEEKDAY('Daily Schedule'!$B$2,2)=7),IFERROR(1*'Daily Workforce'!$K201&gt;=3,FALSE()),IFERROR(1*'Daily Workforce'!$K201&gt;=2,FALSE())),IF(AND('Daily Schedule'!$A17&gt;=46,'Daily Schedule'!$A17&lt;=52),'Daily Workforce'!$M201="Y",IFERROR(1*'Daily Workforce'!$P201&gt;=2,FALSE()))))),1,0)</f>
        <v>0</v>
      </c>
      <c r="HE13" s="1" t="n">
        <f aca="false">IF(AND('Daily Workforce'!$N202="Y",'Daily Workforce'!$B202&lt;&gt;"",COUNTIF('Daily Schedule'!$F$5:$F16,'Daily Workforce'!$B202)=0,IF('Daily Schedule'!$A17=45,'Daily Workforce'!$J202="Y",IF(OR('Daily Schedule'!$A17=4,'Daily Schedule'!$A17=8),IF(OR(WEEKDAY('Daily Schedule'!$B$2,2)=1,WEEKDAY('Daily Schedule'!$B$2,2)=4,WEEKDAY('Daily Schedule'!$B$2,2)=5,WEEKDAY('Daily Schedule'!$B$2,2)=7),IFERROR(1*'Daily Workforce'!$K202&gt;=3,FALSE()),IFERROR(1*'Daily Workforce'!$K202&gt;=2,FALSE())),IF(AND('Daily Schedule'!$A17&gt;=46,'Daily Schedule'!$A17&lt;=52),'Daily Workforce'!$M202="Y",IFERROR(1*'Daily Workforce'!$P202&gt;=2,FALSE()))))),1,0)</f>
        <v>0</v>
      </c>
      <c r="HF13" s="1" t="n">
        <f aca="false">IF(AND('Daily Workforce'!$N203="Y",'Daily Workforce'!$B203&lt;&gt;"",COUNTIF('Daily Schedule'!$F$5:$F16,'Daily Workforce'!$B203)=0,IF('Daily Schedule'!$A17=45,'Daily Workforce'!$J203="Y",IF(OR('Daily Schedule'!$A17=4,'Daily Schedule'!$A17=8),IF(OR(WEEKDAY('Daily Schedule'!$B$2,2)=1,WEEKDAY('Daily Schedule'!$B$2,2)=4,WEEKDAY('Daily Schedule'!$B$2,2)=5,WEEKDAY('Daily Schedule'!$B$2,2)=7),IFERROR(1*'Daily Workforce'!$K203&gt;=3,FALSE()),IFERROR(1*'Daily Workforce'!$K203&gt;=2,FALSE())),IF(AND('Daily Schedule'!$A17&gt;=46,'Daily Schedule'!$A17&lt;=52),'Daily Workforce'!$M203="Y",IFERROR(1*'Daily Workforce'!$P203&gt;=2,FALSE()))))),1,0)</f>
        <v>0</v>
      </c>
      <c r="HG13" s="1" t="n">
        <f aca="false">IF(AND('Daily Workforce'!$N204="Y",'Daily Workforce'!$B204&lt;&gt;"",COUNTIF('Daily Schedule'!$F$5:$F16,'Daily Workforce'!$B204)=0,IF('Daily Schedule'!$A17=45,'Daily Workforce'!$J204="Y",IF(OR('Daily Schedule'!$A17=4,'Daily Schedule'!$A17=8),IF(OR(WEEKDAY('Daily Schedule'!$B$2,2)=1,WEEKDAY('Daily Schedule'!$B$2,2)=4,WEEKDAY('Daily Schedule'!$B$2,2)=5,WEEKDAY('Daily Schedule'!$B$2,2)=7),IFERROR(1*'Daily Workforce'!$K204&gt;=3,FALSE()),IFERROR(1*'Daily Workforce'!$K204&gt;=2,FALSE())),IF(AND('Daily Schedule'!$A17&gt;=46,'Daily Schedule'!$A17&lt;=52),'Daily Workforce'!$M204="Y",IFERROR(1*'Daily Workforce'!$P204&gt;=2,FALSE()))))),1,0)</f>
        <v>0</v>
      </c>
      <c r="HH13" s="1" t="n">
        <f aca="false">IF(AND('Daily Workforce'!$N205="Y",'Daily Workforce'!$B205&lt;&gt;"",COUNTIF('Daily Schedule'!$F$5:$F16,'Daily Workforce'!$B205)=0,IF('Daily Schedule'!$A17=45,'Daily Workforce'!$J205="Y",IF(OR('Daily Schedule'!$A17=4,'Daily Schedule'!$A17=8),IF(OR(WEEKDAY('Daily Schedule'!$B$2,2)=1,WEEKDAY('Daily Schedule'!$B$2,2)=4,WEEKDAY('Daily Schedule'!$B$2,2)=5,WEEKDAY('Daily Schedule'!$B$2,2)=7),IFERROR(1*'Daily Workforce'!$K205&gt;=3,FALSE()),IFERROR(1*'Daily Workforce'!$K205&gt;=2,FALSE())),IF(AND('Daily Schedule'!$A17&gt;=46,'Daily Schedule'!$A17&lt;=52),'Daily Workforce'!$M205="Y",IFERROR(1*'Daily Workforce'!$P205&gt;=2,FALSE()))))),1,0)</f>
        <v>0</v>
      </c>
    </row>
    <row r="14" customFormat="false" ht="15" hidden="false" customHeight="true" outlineLevel="0" collapsed="false">
      <c r="L14" s="1" t="s">
        <v>805</v>
      </c>
      <c r="O14" s="1" t="str">
        <f aca="false">IF(AND('Employee Master'!$G14="Y",ISERROR(SEARCH(TEXT('Daily Workforce'!$B$2,"ddd"),'Employee Master'!$D14)),IF('Daily Workforce'!$E$2="",TRUE(),'Employee Master'!$I14='Daily Workforce'!$E$2)),'Employee Master'!$K14*1000+ROW()-1,"")</f>
        <v/>
      </c>
      <c r="P14" s="1" t="str">
        <f aca="false">IF($O14="","",COUNTIF($O$2:$O$159,"&lt;="&amp;$O14))</f>
        <v/>
      </c>
      <c r="Q14" s="1" t="n">
        <f aca="false">IF(AND('Daily Workforce'!$N6="Y",'Daily Workforce'!$B6&lt;&gt;"",COUNTIF('Daily Schedule'!$F$5:$F17,'Daily Workforce'!$B6)=0,IF('Daily Schedule'!$A18=45,'Daily Workforce'!$J6="Y",IF(OR('Daily Schedule'!$A18=4,'Daily Schedule'!$A18=8),IF(OR(WEEKDAY('Daily Schedule'!$B$2,2)=1,WEEKDAY('Daily Schedule'!$B$2,2)=4,WEEKDAY('Daily Schedule'!$B$2,2)=5,WEEKDAY('Daily Schedule'!$B$2,2)=7),IFERROR(1*'Daily Workforce'!$K6&gt;=3,FALSE()),IFERROR(1*'Daily Workforce'!$K6&gt;=2,FALSE())),IF(AND('Daily Schedule'!$A18&gt;=46,'Daily Schedule'!$A18&lt;=52),'Daily Workforce'!$M6="Y",IFERROR(1*'Daily Workforce'!$P6&gt;=2,FALSE()))))),1,0)</f>
        <v>0</v>
      </c>
      <c r="R14" s="1" t="n">
        <f aca="false">IF(AND('Daily Workforce'!$N7="Y",'Daily Workforce'!$B7&lt;&gt;"",COUNTIF('Daily Schedule'!$F$5:$F17,'Daily Workforce'!$B7)=0,IF('Daily Schedule'!$A18=45,'Daily Workforce'!$J7="Y",IF(OR('Daily Schedule'!$A18=4,'Daily Schedule'!$A18=8),IF(OR(WEEKDAY('Daily Schedule'!$B$2,2)=1,WEEKDAY('Daily Schedule'!$B$2,2)=4,WEEKDAY('Daily Schedule'!$B$2,2)=5,WEEKDAY('Daily Schedule'!$B$2,2)=7),IFERROR(1*'Daily Workforce'!$K7&gt;=3,FALSE()),IFERROR(1*'Daily Workforce'!$K7&gt;=2,FALSE())),IF(AND('Daily Schedule'!$A18&gt;=46,'Daily Schedule'!$A18&lt;=52),'Daily Workforce'!$M7="Y",IFERROR(1*'Daily Workforce'!$P7&gt;=2,FALSE()))))),1,0)</f>
        <v>0</v>
      </c>
      <c r="S14" s="1" t="n">
        <f aca="false">IF(AND('Daily Workforce'!$N8="Y",'Daily Workforce'!$B8&lt;&gt;"",COUNTIF('Daily Schedule'!$F$5:$F17,'Daily Workforce'!$B8)=0,IF('Daily Schedule'!$A18=45,'Daily Workforce'!$J8="Y",IF(OR('Daily Schedule'!$A18=4,'Daily Schedule'!$A18=8),IF(OR(WEEKDAY('Daily Schedule'!$B$2,2)=1,WEEKDAY('Daily Schedule'!$B$2,2)=4,WEEKDAY('Daily Schedule'!$B$2,2)=5,WEEKDAY('Daily Schedule'!$B$2,2)=7),IFERROR(1*'Daily Workforce'!$K8&gt;=3,FALSE()),IFERROR(1*'Daily Workforce'!$K8&gt;=2,FALSE())),IF(AND('Daily Schedule'!$A18&gt;=46,'Daily Schedule'!$A18&lt;=52),'Daily Workforce'!$M8="Y",IFERROR(1*'Daily Workforce'!$P8&gt;=2,FALSE()))))),1,0)</f>
        <v>0</v>
      </c>
      <c r="T14" s="1" t="n">
        <f aca="false">IF(AND('Daily Workforce'!$N9="Y",'Daily Workforce'!$B9&lt;&gt;"",COUNTIF('Daily Schedule'!$F$5:$F17,'Daily Workforce'!$B9)=0,IF('Daily Schedule'!$A18=45,'Daily Workforce'!$J9="Y",IF(OR('Daily Schedule'!$A18=4,'Daily Schedule'!$A18=8),IF(OR(WEEKDAY('Daily Schedule'!$B$2,2)=1,WEEKDAY('Daily Schedule'!$B$2,2)=4,WEEKDAY('Daily Schedule'!$B$2,2)=5,WEEKDAY('Daily Schedule'!$B$2,2)=7),IFERROR(1*'Daily Workforce'!$K9&gt;=3,FALSE()),IFERROR(1*'Daily Workforce'!$K9&gt;=2,FALSE())),IF(AND('Daily Schedule'!$A18&gt;=46,'Daily Schedule'!$A18&lt;=52),'Daily Workforce'!$M9="Y",IFERROR(1*'Daily Workforce'!$P9&gt;=2,FALSE()))))),1,0)</f>
        <v>0</v>
      </c>
      <c r="U14" s="1" t="n">
        <f aca="false">IF(AND('Daily Workforce'!$N10="Y",'Daily Workforce'!$B10&lt;&gt;"",COUNTIF('Daily Schedule'!$F$5:$F17,'Daily Workforce'!$B10)=0,IF('Daily Schedule'!$A18=45,'Daily Workforce'!$J10="Y",IF(OR('Daily Schedule'!$A18=4,'Daily Schedule'!$A18=8),IF(OR(WEEKDAY('Daily Schedule'!$B$2,2)=1,WEEKDAY('Daily Schedule'!$B$2,2)=4,WEEKDAY('Daily Schedule'!$B$2,2)=5,WEEKDAY('Daily Schedule'!$B$2,2)=7),IFERROR(1*'Daily Workforce'!$K10&gt;=3,FALSE()),IFERROR(1*'Daily Workforce'!$K10&gt;=2,FALSE())),IF(AND('Daily Schedule'!$A18&gt;=46,'Daily Schedule'!$A18&lt;=52),'Daily Workforce'!$M10="Y",IFERROR(1*'Daily Workforce'!$P10&gt;=2,FALSE()))))),1,0)</f>
        <v>0</v>
      </c>
      <c r="V14" s="1" t="n">
        <f aca="false">IF(AND('Daily Workforce'!$N11="Y",'Daily Workforce'!$B11&lt;&gt;"",COUNTIF('Daily Schedule'!$F$5:$F17,'Daily Workforce'!$B11)=0,IF('Daily Schedule'!$A18=45,'Daily Workforce'!$J11="Y",IF(OR('Daily Schedule'!$A18=4,'Daily Schedule'!$A18=8),IF(OR(WEEKDAY('Daily Schedule'!$B$2,2)=1,WEEKDAY('Daily Schedule'!$B$2,2)=4,WEEKDAY('Daily Schedule'!$B$2,2)=5,WEEKDAY('Daily Schedule'!$B$2,2)=7),IFERROR(1*'Daily Workforce'!$K11&gt;=3,FALSE()),IFERROR(1*'Daily Workforce'!$K11&gt;=2,FALSE())),IF(AND('Daily Schedule'!$A18&gt;=46,'Daily Schedule'!$A18&lt;=52),'Daily Workforce'!$M11="Y",IFERROR(1*'Daily Workforce'!$P11&gt;=2,FALSE()))))),1,0)</f>
        <v>0</v>
      </c>
      <c r="W14" s="1" t="n">
        <f aca="false">IF(AND('Daily Workforce'!$N12="Y",'Daily Workforce'!$B12&lt;&gt;"",COUNTIF('Daily Schedule'!$F$5:$F17,'Daily Workforce'!$B12)=0,IF('Daily Schedule'!$A18=45,'Daily Workforce'!$J12="Y",IF(OR('Daily Schedule'!$A18=4,'Daily Schedule'!$A18=8),IF(OR(WEEKDAY('Daily Schedule'!$B$2,2)=1,WEEKDAY('Daily Schedule'!$B$2,2)=4,WEEKDAY('Daily Schedule'!$B$2,2)=5,WEEKDAY('Daily Schedule'!$B$2,2)=7),IFERROR(1*'Daily Workforce'!$K12&gt;=3,FALSE()),IFERROR(1*'Daily Workforce'!$K12&gt;=2,FALSE())),IF(AND('Daily Schedule'!$A18&gt;=46,'Daily Schedule'!$A18&lt;=52),'Daily Workforce'!$M12="Y",IFERROR(1*'Daily Workforce'!$P12&gt;=2,FALSE()))))),1,0)</f>
        <v>0</v>
      </c>
      <c r="X14" s="1" t="n">
        <f aca="false">IF(AND('Daily Workforce'!$N13="Y",'Daily Workforce'!$B13&lt;&gt;"",COUNTIF('Daily Schedule'!$F$5:$F17,'Daily Workforce'!$B13)=0,IF('Daily Schedule'!$A18=45,'Daily Workforce'!$J13="Y",IF(OR('Daily Schedule'!$A18=4,'Daily Schedule'!$A18=8),IF(OR(WEEKDAY('Daily Schedule'!$B$2,2)=1,WEEKDAY('Daily Schedule'!$B$2,2)=4,WEEKDAY('Daily Schedule'!$B$2,2)=5,WEEKDAY('Daily Schedule'!$B$2,2)=7),IFERROR(1*'Daily Workforce'!$K13&gt;=3,FALSE()),IFERROR(1*'Daily Workforce'!$K13&gt;=2,FALSE())),IF(AND('Daily Schedule'!$A18&gt;=46,'Daily Schedule'!$A18&lt;=52),'Daily Workforce'!$M13="Y",IFERROR(1*'Daily Workforce'!$P13&gt;=2,FALSE()))))),1,0)</f>
        <v>0</v>
      </c>
      <c r="Y14" s="1" t="n">
        <f aca="false">IF(AND('Daily Workforce'!$N14="Y",'Daily Workforce'!$B14&lt;&gt;"",COUNTIF('Daily Schedule'!$F$5:$F17,'Daily Workforce'!$B14)=0,IF('Daily Schedule'!$A18=45,'Daily Workforce'!$J14="Y",IF(OR('Daily Schedule'!$A18=4,'Daily Schedule'!$A18=8),IF(OR(WEEKDAY('Daily Schedule'!$B$2,2)=1,WEEKDAY('Daily Schedule'!$B$2,2)=4,WEEKDAY('Daily Schedule'!$B$2,2)=5,WEEKDAY('Daily Schedule'!$B$2,2)=7),IFERROR(1*'Daily Workforce'!$K14&gt;=3,FALSE()),IFERROR(1*'Daily Workforce'!$K14&gt;=2,FALSE())),IF(AND('Daily Schedule'!$A18&gt;=46,'Daily Schedule'!$A18&lt;=52),'Daily Workforce'!$M14="Y",IFERROR(1*'Daily Workforce'!$P14&gt;=2,FALSE()))))),1,0)</f>
        <v>0</v>
      </c>
      <c r="Z14" s="1" t="n">
        <f aca="false">IF(AND('Daily Workforce'!$N15="Y",'Daily Workforce'!$B15&lt;&gt;"",COUNTIF('Daily Schedule'!$F$5:$F17,'Daily Workforce'!$B15)=0,IF('Daily Schedule'!$A18=45,'Daily Workforce'!$J15="Y",IF(OR('Daily Schedule'!$A18=4,'Daily Schedule'!$A18=8),IF(OR(WEEKDAY('Daily Schedule'!$B$2,2)=1,WEEKDAY('Daily Schedule'!$B$2,2)=4,WEEKDAY('Daily Schedule'!$B$2,2)=5,WEEKDAY('Daily Schedule'!$B$2,2)=7),IFERROR(1*'Daily Workforce'!$K15&gt;=3,FALSE()),IFERROR(1*'Daily Workforce'!$K15&gt;=2,FALSE())),IF(AND('Daily Schedule'!$A18&gt;=46,'Daily Schedule'!$A18&lt;=52),'Daily Workforce'!$M15="Y",IFERROR(1*'Daily Workforce'!$P15&gt;=2,FALSE()))))),1,0)</f>
        <v>0</v>
      </c>
      <c r="AA14" s="1" t="n">
        <f aca="false">IF(AND('Daily Workforce'!$N16="Y",'Daily Workforce'!$B16&lt;&gt;"",COUNTIF('Daily Schedule'!$F$5:$F17,'Daily Workforce'!$B16)=0,IF('Daily Schedule'!$A18=45,'Daily Workforce'!$J16="Y",IF(OR('Daily Schedule'!$A18=4,'Daily Schedule'!$A18=8),IF(OR(WEEKDAY('Daily Schedule'!$B$2,2)=1,WEEKDAY('Daily Schedule'!$B$2,2)=4,WEEKDAY('Daily Schedule'!$B$2,2)=5,WEEKDAY('Daily Schedule'!$B$2,2)=7),IFERROR(1*'Daily Workforce'!$K16&gt;=3,FALSE()),IFERROR(1*'Daily Workforce'!$K16&gt;=2,FALSE())),IF(AND('Daily Schedule'!$A18&gt;=46,'Daily Schedule'!$A18&lt;=52),'Daily Workforce'!$M16="Y",IFERROR(1*'Daily Workforce'!$P16&gt;=2,FALSE()))))),1,0)</f>
        <v>0</v>
      </c>
      <c r="AB14" s="1" t="n">
        <f aca="false">IF(AND('Daily Workforce'!$N17="Y",'Daily Workforce'!$B17&lt;&gt;"",COUNTIF('Daily Schedule'!$F$5:$F17,'Daily Workforce'!$B17)=0,IF('Daily Schedule'!$A18=45,'Daily Workforce'!$J17="Y",IF(OR('Daily Schedule'!$A18=4,'Daily Schedule'!$A18=8),IF(OR(WEEKDAY('Daily Schedule'!$B$2,2)=1,WEEKDAY('Daily Schedule'!$B$2,2)=4,WEEKDAY('Daily Schedule'!$B$2,2)=5,WEEKDAY('Daily Schedule'!$B$2,2)=7),IFERROR(1*'Daily Workforce'!$K17&gt;=3,FALSE()),IFERROR(1*'Daily Workforce'!$K17&gt;=2,FALSE())),IF(AND('Daily Schedule'!$A18&gt;=46,'Daily Schedule'!$A18&lt;=52),'Daily Workforce'!$M17="Y",IFERROR(1*'Daily Workforce'!$P17&gt;=2,FALSE()))))),1,0)</f>
        <v>1</v>
      </c>
      <c r="AC14" s="1" t="n">
        <f aca="false">IF(AND('Daily Workforce'!$N18="Y",'Daily Workforce'!$B18&lt;&gt;"",COUNTIF('Daily Schedule'!$F$5:$F17,'Daily Workforce'!$B18)=0,IF('Daily Schedule'!$A18=45,'Daily Workforce'!$J18="Y",IF(OR('Daily Schedule'!$A18=4,'Daily Schedule'!$A18=8),IF(OR(WEEKDAY('Daily Schedule'!$B$2,2)=1,WEEKDAY('Daily Schedule'!$B$2,2)=4,WEEKDAY('Daily Schedule'!$B$2,2)=5,WEEKDAY('Daily Schedule'!$B$2,2)=7),IFERROR(1*'Daily Workforce'!$K18&gt;=3,FALSE()),IFERROR(1*'Daily Workforce'!$K18&gt;=2,FALSE())),IF(AND('Daily Schedule'!$A18&gt;=46,'Daily Schedule'!$A18&lt;=52),'Daily Workforce'!$M18="Y",IFERROR(1*'Daily Workforce'!$P18&gt;=2,FALSE()))))),1,0)</f>
        <v>1</v>
      </c>
      <c r="AD14" s="1" t="n">
        <f aca="false">IF(AND('Daily Workforce'!$N19="Y",'Daily Workforce'!$B19&lt;&gt;"",COUNTIF('Daily Schedule'!$F$5:$F17,'Daily Workforce'!$B19)=0,IF('Daily Schedule'!$A18=45,'Daily Workforce'!$J19="Y",IF(OR('Daily Schedule'!$A18=4,'Daily Schedule'!$A18=8),IF(OR(WEEKDAY('Daily Schedule'!$B$2,2)=1,WEEKDAY('Daily Schedule'!$B$2,2)=4,WEEKDAY('Daily Schedule'!$B$2,2)=5,WEEKDAY('Daily Schedule'!$B$2,2)=7),IFERROR(1*'Daily Workforce'!$K19&gt;=3,FALSE()),IFERROR(1*'Daily Workforce'!$K19&gt;=2,FALSE())),IF(AND('Daily Schedule'!$A18&gt;=46,'Daily Schedule'!$A18&lt;=52),'Daily Workforce'!$M19="Y",IFERROR(1*'Daily Workforce'!$P19&gt;=2,FALSE()))))),1,0)</f>
        <v>1</v>
      </c>
      <c r="AE14" s="1" t="n">
        <f aca="false">IF(AND('Daily Workforce'!$N20="Y",'Daily Workforce'!$B20&lt;&gt;"",COUNTIF('Daily Schedule'!$F$5:$F17,'Daily Workforce'!$B20)=0,IF('Daily Schedule'!$A18=45,'Daily Workforce'!$J20="Y",IF(OR('Daily Schedule'!$A18=4,'Daily Schedule'!$A18=8),IF(OR(WEEKDAY('Daily Schedule'!$B$2,2)=1,WEEKDAY('Daily Schedule'!$B$2,2)=4,WEEKDAY('Daily Schedule'!$B$2,2)=5,WEEKDAY('Daily Schedule'!$B$2,2)=7),IFERROR(1*'Daily Workforce'!$K20&gt;=3,FALSE()),IFERROR(1*'Daily Workforce'!$K20&gt;=2,FALSE())),IF(AND('Daily Schedule'!$A18&gt;=46,'Daily Schedule'!$A18&lt;=52),'Daily Workforce'!$M20="Y",IFERROR(1*'Daily Workforce'!$P20&gt;=2,FALSE()))))),1,0)</f>
        <v>1</v>
      </c>
      <c r="AF14" s="1" t="n">
        <f aca="false">IF(AND('Daily Workforce'!$N21="Y",'Daily Workforce'!$B21&lt;&gt;"",COUNTIF('Daily Schedule'!$F$5:$F17,'Daily Workforce'!$B21)=0,IF('Daily Schedule'!$A18=45,'Daily Workforce'!$J21="Y",IF(OR('Daily Schedule'!$A18=4,'Daily Schedule'!$A18=8),IF(OR(WEEKDAY('Daily Schedule'!$B$2,2)=1,WEEKDAY('Daily Schedule'!$B$2,2)=4,WEEKDAY('Daily Schedule'!$B$2,2)=5,WEEKDAY('Daily Schedule'!$B$2,2)=7),IFERROR(1*'Daily Workforce'!$K21&gt;=3,FALSE()),IFERROR(1*'Daily Workforce'!$K21&gt;=2,FALSE())),IF(AND('Daily Schedule'!$A18&gt;=46,'Daily Schedule'!$A18&lt;=52),'Daily Workforce'!$M21="Y",IFERROR(1*'Daily Workforce'!$P21&gt;=2,FALSE()))))),1,0)</f>
        <v>1</v>
      </c>
      <c r="AG14" s="1" t="n">
        <f aca="false">IF(AND('Daily Workforce'!$N22="Y",'Daily Workforce'!$B22&lt;&gt;"",COUNTIF('Daily Schedule'!$F$5:$F17,'Daily Workforce'!$B22)=0,IF('Daily Schedule'!$A18=45,'Daily Workforce'!$J22="Y",IF(OR('Daily Schedule'!$A18=4,'Daily Schedule'!$A18=8),IF(OR(WEEKDAY('Daily Schedule'!$B$2,2)=1,WEEKDAY('Daily Schedule'!$B$2,2)=4,WEEKDAY('Daily Schedule'!$B$2,2)=5,WEEKDAY('Daily Schedule'!$B$2,2)=7),IFERROR(1*'Daily Workforce'!$K22&gt;=3,FALSE()),IFERROR(1*'Daily Workforce'!$K22&gt;=2,FALSE())),IF(AND('Daily Schedule'!$A18&gt;=46,'Daily Schedule'!$A18&lt;=52),'Daily Workforce'!$M22="Y",IFERROR(1*'Daily Workforce'!$P22&gt;=2,FALSE()))))),1,0)</f>
        <v>1</v>
      </c>
      <c r="AH14" s="1" t="n">
        <f aca="false">IF(AND('Daily Workforce'!$N23="Y",'Daily Workforce'!$B23&lt;&gt;"",COUNTIF('Daily Schedule'!$F$5:$F17,'Daily Workforce'!$B23)=0,IF('Daily Schedule'!$A18=45,'Daily Workforce'!$J23="Y",IF(OR('Daily Schedule'!$A18=4,'Daily Schedule'!$A18=8),IF(OR(WEEKDAY('Daily Schedule'!$B$2,2)=1,WEEKDAY('Daily Schedule'!$B$2,2)=4,WEEKDAY('Daily Schedule'!$B$2,2)=5,WEEKDAY('Daily Schedule'!$B$2,2)=7),IFERROR(1*'Daily Workforce'!$K23&gt;=3,FALSE()),IFERROR(1*'Daily Workforce'!$K23&gt;=2,FALSE())),IF(AND('Daily Schedule'!$A18&gt;=46,'Daily Schedule'!$A18&lt;=52),'Daily Workforce'!$M23="Y",IFERROR(1*'Daily Workforce'!$P23&gt;=2,FALSE()))))),1,0)</f>
        <v>1</v>
      </c>
      <c r="AI14" s="1" t="n">
        <f aca="false">IF(AND('Daily Workforce'!$N24="Y",'Daily Workforce'!$B24&lt;&gt;"",COUNTIF('Daily Schedule'!$F$5:$F17,'Daily Workforce'!$B24)=0,IF('Daily Schedule'!$A18=45,'Daily Workforce'!$J24="Y",IF(OR('Daily Schedule'!$A18=4,'Daily Schedule'!$A18=8),IF(OR(WEEKDAY('Daily Schedule'!$B$2,2)=1,WEEKDAY('Daily Schedule'!$B$2,2)=4,WEEKDAY('Daily Schedule'!$B$2,2)=5,WEEKDAY('Daily Schedule'!$B$2,2)=7),IFERROR(1*'Daily Workforce'!$K24&gt;=3,FALSE()),IFERROR(1*'Daily Workforce'!$K24&gt;=2,FALSE())),IF(AND('Daily Schedule'!$A18&gt;=46,'Daily Schedule'!$A18&lt;=52),'Daily Workforce'!$M24="Y",IFERROR(1*'Daily Workforce'!$P24&gt;=2,FALSE()))))),1,0)</f>
        <v>1</v>
      </c>
      <c r="AJ14" s="1" t="n">
        <f aca="false">IF(AND('Daily Workforce'!$N25="Y",'Daily Workforce'!$B25&lt;&gt;"",COUNTIF('Daily Schedule'!$F$5:$F17,'Daily Workforce'!$B25)=0,IF('Daily Schedule'!$A18=45,'Daily Workforce'!$J25="Y",IF(OR('Daily Schedule'!$A18=4,'Daily Schedule'!$A18=8),IF(OR(WEEKDAY('Daily Schedule'!$B$2,2)=1,WEEKDAY('Daily Schedule'!$B$2,2)=4,WEEKDAY('Daily Schedule'!$B$2,2)=5,WEEKDAY('Daily Schedule'!$B$2,2)=7),IFERROR(1*'Daily Workforce'!$K25&gt;=3,FALSE()),IFERROR(1*'Daily Workforce'!$K25&gt;=2,FALSE())),IF(AND('Daily Schedule'!$A18&gt;=46,'Daily Schedule'!$A18&lt;=52),'Daily Workforce'!$M25="Y",IFERROR(1*'Daily Workforce'!$P25&gt;=2,FALSE()))))),1,0)</f>
        <v>1</v>
      </c>
      <c r="AK14" s="1" t="n">
        <f aca="false">IF(AND('Daily Workforce'!$N26="Y",'Daily Workforce'!$B26&lt;&gt;"",COUNTIF('Daily Schedule'!$F$5:$F17,'Daily Workforce'!$B26)=0,IF('Daily Schedule'!$A18=45,'Daily Workforce'!$J26="Y",IF(OR('Daily Schedule'!$A18=4,'Daily Schedule'!$A18=8),IF(OR(WEEKDAY('Daily Schedule'!$B$2,2)=1,WEEKDAY('Daily Schedule'!$B$2,2)=4,WEEKDAY('Daily Schedule'!$B$2,2)=5,WEEKDAY('Daily Schedule'!$B$2,2)=7),IFERROR(1*'Daily Workforce'!$K26&gt;=3,FALSE()),IFERROR(1*'Daily Workforce'!$K26&gt;=2,FALSE())),IF(AND('Daily Schedule'!$A18&gt;=46,'Daily Schedule'!$A18&lt;=52),'Daily Workforce'!$M26="Y",IFERROR(1*'Daily Workforce'!$P26&gt;=2,FALSE()))))),1,0)</f>
        <v>1</v>
      </c>
      <c r="AL14" s="1" t="n">
        <f aca="false">IF(AND('Daily Workforce'!$N27="Y",'Daily Workforce'!$B27&lt;&gt;"",COUNTIF('Daily Schedule'!$F$5:$F17,'Daily Workforce'!$B27)=0,IF('Daily Schedule'!$A18=45,'Daily Workforce'!$J27="Y",IF(OR('Daily Schedule'!$A18=4,'Daily Schedule'!$A18=8),IF(OR(WEEKDAY('Daily Schedule'!$B$2,2)=1,WEEKDAY('Daily Schedule'!$B$2,2)=4,WEEKDAY('Daily Schedule'!$B$2,2)=5,WEEKDAY('Daily Schedule'!$B$2,2)=7),IFERROR(1*'Daily Workforce'!$K27&gt;=3,FALSE()),IFERROR(1*'Daily Workforce'!$K27&gt;=2,FALSE())),IF(AND('Daily Schedule'!$A18&gt;=46,'Daily Schedule'!$A18&lt;=52),'Daily Workforce'!$M27="Y",IFERROR(1*'Daily Workforce'!$P27&gt;=2,FALSE()))))),1,0)</f>
        <v>0</v>
      </c>
      <c r="AM14" s="1" t="n">
        <f aca="false">IF(AND('Daily Workforce'!$N28="Y",'Daily Workforce'!$B28&lt;&gt;"",COUNTIF('Daily Schedule'!$F$5:$F17,'Daily Workforce'!$B28)=0,IF('Daily Schedule'!$A18=45,'Daily Workforce'!$J28="Y",IF(OR('Daily Schedule'!$A18=4,'Daily Schedule'!$A18=8),IF(OR(WEEKDAY('Daily Schedule'!$B$2,2)=1,WEEKDAY('Daily Schedule'!$B$2,2)=4,WEEKDAY('Daily Schedule'!$B$2,2)=5,WEEKDAY('Daily Schedule'!$B$2,2)=7),IFERROR(1*'Daily Workforce'!$K28&gt;=3,FALSE()),IFERROR(1*'Daily Workforce'!$K28&gt;=2,FALSE())),IF(AND('Daily Schedule'!$A18&gt;=46,'Daily Schedule'!$A18&lt;=52),'Daily Workforce'!$M28="Y",IFERROR(1*'Daily Workforce'!$P28&gt;=2,FALSE()))))),1,0)</f>
        <v>1</v>
      </c>
      <c r="AN14" s="1" t="n">
        <f aca="false">IF(AND('Daily Workforce'!$N29="Y",'Daily Workforce'!$B29&lt;&gt;"",COUNTIF('Daily Schedule'!$F$5:$F17,'Daily Workforce'!$B29)=0,IF('Daily Schedule'!$A18=45,'Daily Workforce'!$J29="Y",IF(OR('Daily Schedule'!$A18=4,'Daily Schedule'!$A18=8),IF(OR(WEEKDAY('Daily Schedule'!$B$2,2)=1,WEEKDAY('Daily Schedule'!$B$2,2)=4,WEEKDAY('Daily Schedule'!$B$2,2)=5,WEEKDAY('Daily Schedule'!$B$2,2)=7),IFERROR(1*'Daily Workforce'!$K29&gt;=3,FALSE()),IFERROR(1*'Daily Workforce'!$K29&gt;=2,FALSE())),IF(AND('Daily Schedule'!$A18&gt;=46,'Daily Schedule'!$A18&lt;=52),'Daily Workforce'!$M29="Y",IFERROR(1*'Daily Workforce'!$P29&gt;=2,FALSE()))))),1,0)</f>
        <v>1</v>
      </c>
      <c r="AO14" s="1" t="n">
        <f aca="false">IF(AND('Daily Workforce'!$N30="Y",'Daily Workforce'!$B30&lt;&gt;"",COUNTIF('Daily Schedule'!$F$5:$F17,'Daily Workforce'!$B30)=0,IF('Daily Schedule'!$A18=45,'Daily Workforce'!$J30="Y",IF(OR('Daily Schedule'!$A18=4,'Daily Schedule'!$A18=8),IF(OR(WEEKDAY('Daily Schedule'!$B$2,2)=1,WEEKDAY('Daily Schedule'!$B$2,2)=4,WEEKDAY('Daily Schedule'!$B$2,2)=5,WEEKDAY('Daily Schedule'!$B$2,2)=7),IFERROR(1*'Daily Workforce'!$K30&gt;=3,FALSE()),IFERROR(1*'Daily Workforce'!$K30&gt;=2,FALSE())),IF(AND('Daily Schedule'!$A18&gt;=46,'Daily Schedule'!$A18&lt;=52),'Daily Workforce'!$M30="Y",IFERROR(1*'Daily Workforce'!$P30&gt;=2,FALSE()))))),1,0)</f>
        <v>1</v>
      </c>
      <c r="AP14" s="1" t="n">
        <f aca="false">IF(AND('Daily Workforce'!$N31="Y",'Daily Workforce'!$B31&lt;&gt;"",COUNTIF('Daily Schedule'!$F$5:$F17,'Daily Workforce'!$B31)=0,IF('Daily Schedule'!$A18=45,'Daily Workforce'!$J31="Y",IF(OR('Daily Schedule'!$A18=4,'Daily Schedule'!$A18=8),IF(OR(WEEKDAY('Daily Schedule'!$B$2,2)=1,WEEKDAY('Daily Schedule'!$B$2,2)=4,WEEKDAY('Daily Schedule'!$B$2,2)=5,WEEKDAY('Daily Schedule'!$B$2,2)=7),IFERROR(1*'Daily Workforce'!$K31&gt;=3,FALSE()),IFERROR(1*'Daily Workforce'!$K31&gt;=2,FALSE())),IF(AND('Daily Schedule'!$A18&gt;=46,'Daily Schedule'!$A18&lt;=52),'Daily Workforce'!$M31="Y",IFERROR(1*'Daily Workforce'!$P31&gt;=2,FALSE()))))),1,0)</f>
        <v>1</v>
      </c>
      <c r="AQ14" s="1" t="n">
        <f aca="false">IF(AND('Daily Workforce'!$N32="Y",'Daily Workforce'!$B32&lt;&gt;"",COUNTIF('Daily Schedule'!$F$5:$F17,'Daily Workforce'!$B32)=0,IF('Daily Schedule'!$A18=45,'Daily Workforce'!$J32="Y",IF(OR('Daily Schedule'!$A18=4,'Daily Schedule'!$A18=8),IF(OR(WEEKDAY('Daily Schedule'!$B$2,2)=1,WEEKDAY('Daily Schedule'!$B$2,2)=4,WEEKDAY('Daily Schedule'!$B$2,2)=5,WEEKDAY('Daily Schedule'!$B$2,2)=7),IFERROR(1*'Daily Workforce'!$K32&gt;=3,FALSE()),IFERROR(1*'Daily Workforce'!$K32&gt;=2,FALSE())),IF(AND('Daily Schedule'!$A18&gt;=46,'Daily Schedule'!$A18&lt;=52),'Daily Workforce'!$M32="Y",IFERROR(1*'Daily Workforce'!$P32&gt;=2,FALSE()))))),1,0)</f>
        <v>1</v>
      </c>
      <c r="AR14" s="1" t="n">
        <f aca="false">IF(AND('Daily Workforce'!$N33="Y",'Daily Workforce'!$B33&lt;&gt;"",COUNTIF('Daily Schedule'!$F$5:$F17,'Daily Workforce'!$B33)=0,IF('Daily Schedule'!$A18=45,'Daily Workforce'!$J33="Y",IF(OR('Daily Schedule'!$A18=4,'Daily Schedule'!$A18=8),IF(OR(WEEKDAY('Daily Schedule'!$B$2,2)=1,WEEKDAY('Daily Schedule'!$B$2,2)=4,WEEKDAY('Daily Schedule'!$B$2,2)=5,WEEKDAY('Daily Schedule'!$B$2,2)=7),IFERROR(1*'Daily Workforce'!$K33&gt;=3,FALSE()),IFERROR(1*'Daily Workforce'!$K33&gt;=2,FALSE())),IF(AND('Daily Schedule'!$A18&gt;=46,'Daily Schedule'!$A18&lt;=52),'Daily Workforce'!$M33="Y",IFERROR(1*'Daily Workforce'!$P33&gt;=2,FALSE()))))),1,0)</f>
        <v>1</v>
      </c>
      <c r="AS14" s="1" t="n">
        <f aca="false">IF(AND('Daily Workforce'!$N34="Y",'Daily Workforce'!$B34&lt;&gt;"",COUNTIF('Daily Schedule'!$F$5:$F17,'Daily Workforce'!$B34)=0,IF('Daily Schedule'!$A18=45,'Daily Workforce'!$J34="Y",IF(OR('Daily Schedule'!$A18=4,'Daily Schedule'!$A18=8),IF(OR(WEEKDAY('Daily Schedule'!$B$2,2)=1,WEEKDAY('Daily Schedule'!$B$2,2)=4,WEEKDAY('Daily Schedule'!$B$2,2)=5,WEEKDAY('Daily Schedule'!$B$2,2)=7),IFERROR(1*'Daily Workforce'!$K34&gt;=3,FALSE()),IFERROR(1*'Daily Workforce'!$K34&gt;=2,FALSE())),IF(AND('Daily Schedule'!$A18&gt;=46,'Daily Schedule'!$A18&lt;=52),'Daily Workforce'!$M34="Y",IFERROR(1*'Daily Workforce'!$P34&gt;=2,FALSE()))))),1,0)</f>
        <v>1</v>
      </c>
      <c r="AT14" s="1" t="n">
        <f aca="false">IF(AND('Daily Workforce'!$N35="Y",'Daily Workforce'!$B35&lt;&gt;"",COUNTIF('Daily Schedule'!$F$5:$F17,'Daily Workforce'!$B35)=0,IF('Daily Schedule'!$A18=45,'Daily Workforce'!$J35="Y",IF(OR('Daily Schedule'!$A18=4,'Daily Schedule'!$A18=8),IF(OR(WEEKDAY('Daily Schedule'!$B$2,2)=1,WEEKDAY('Daily Schedule'!$B$2,2)=4,WEEKDAY('Daily Schedule'!$B$2,2)=5,WEEKDAY('Daily Schedule'!$B$2,2)=7),IFERROR(1*'Daily Workforce'!$K35&gt;=3,FALSE()),IFERROR(1*'Daily Workforce'!$K35&gt;=2,FALSE())),IF(AND('Daily Schedule'!$A18&gt;=46,'Daily Schedule'!$A18&lt;=52),'Daily Workforce'!$M35="Y",IFERROR(1*'Daily Workforce'!$P35&gt;=2,FALSE()))))),1,0)</f>
        <v>1</v>
      </c>
      <c r="AU14" s="1" t="n">
        <f aca="false">IF(AND('Daily Workforce'!$N36="Y",'Daily Workforce'!$B36&lt;&gt;"",COUNTIF('Daily Schedule'!$F$5:$F17,'Daily Workforce'!$B36)=0,IF('Daily Schedule'!$A18=45,'Daily Workforce'!$J36="Y",IF(OR('Daily Schedule'!$A18=4,'Daily Schedule'!$A18=8),IF(OR(WEEKDAY('Daily Schedule'!$B$2,2)=1,WEEKDAY('Daily Schedule'!$B$2,2)=4,WEEKDAY('Daily Schedule'!$B$2,2)=5,WEEKDAY('Daily Schedule'!$B$2,2)=7),IFERROR(1*'Daily Workforce'!$K36&gt;=3,FALSE()),IFERROR(1*'Daily Workforce'!$K36&gt;=2,FALSE())),IF(AND('Daily Schedule'!$A18&gt;=46,'Daily Schedule'!$A18&lt;=52),'Daily Workforce'!$M36="Y",IFERROR(1*'Daily Workforce'!$P36&gt;=2,FALSE()))))),1,0)</f>
        <v>1</v>
      </c>
      <c r="AV14" s="1" t="n">
        <f aca="false">IF(AND('Daily Workforce'!$N37="Y",'Daily Workforce'!$B37&lt;&gt;"",COUNTIF('Daily Schedule'!$F$5:$F17,'Daily Workforce'!$B37)=0,IF('Daily Schedule'!$A18=45,'Daily Workforce'!$J37="Y",IF(OR('Daily Schedule'!$A18=4,'Daily Schedule'!$A18=8),IF(OR(WEEKDAY('Daily Schedule'!$B$2,2)=1,WEEKDAY('Daily Schedule'!$B$2,2)=4,WEEKDAY('Daily Schedule'!$B$2,2)=5,WEEKDAY('Daily Schedule'!$B$2,2)=7),IFERROR(1*'Daily Workforce'!$K37&gt;=3,FALSE()),IFERROR(1*'Daily Workforce'!$K37&gt;=2,FALSE())),IF(AND('Daily Schedule'!$A18&gt;=46,'Daily Schedule'!$A18&lt;=52),'Daily Workforce'!$M37="Y",IFERROR(1*'Daily Workforce'!$P37&gt;=2,FALSE()))))),1,0)</f>
        <v>1</v>
      </c>
      <c r="AW14" s="1" t="n">
        <f aca="false">IF(AND('Daily Workforce'!$N38="Y",'Daily Workforce'!$B38&lt;&gt;"",COUNTIF('Daily Schedule'!$F$5:$F17,'Daily Workforce'!$B38)=0,IF('Daily Schedule'!$A18=45,'Daily Workforce'!$J38="Y",IF(OR('Daily Schedule'!$A18=4,'Daily Schedule'!$A18=8),IF(OR(WEEKDAY('Daily Schedule'!$B$2,2)=1,WEEKDAY('Daily Schedule'!$B$2,2)=4,WEEKDAY('Daily Schedule'!$B$2,2)=5,WEEKDAY('Daily Schedule'!$B$2,2)=7),IFERROR(1*'Daily Workforce'!$K38&gt;=3,FALSE()),IFERROR(1*'Daily Workforce'!$K38&gt;=2,FALSE())),IF(AND('Daily Schedule'!$A18&gt;=46,'Daily Schedule'!$A18&lt;=52),'Daily Workforce'!$M38="Y",IFERROR(1*'Daily Workforce'!$P38&gt;=2,FALSE()))))),1,0)</f>
        <v>1</v>
      </c>
      <c r="AX14" s="1" t="n">
        <f aca="false">IF(AND('Daily Workforce'!$N39="Y",'Daily Workforce'!$B39&lt;&gt;"",COUNTIF('Daily Schedule'!$F$5:$F17,'Daily Workforce'!$B39)=0,IF('Daily Schedule'!$A18=45,'Daily Workforce'!$J39="Y",IF(OR('Daily Schedule'!$A18=4,'Daily Schedule'!$A18=8),IF(OR(WEEKDAY('Daily Schedule'!$B$2,2)=1,WEEKDAY('Daily Schedule'!$B$2,2)=4,WEEKDAY('Daily Schedule'!$B$2,2)=5,WEEKDAY('Daily Schedule'!$B$2,2)=7),IFERROR(1*'Daily Workforce'!$K39&gt;=3,FALSE()),IFERROR(1*'Daily Workforce'!$K39&gt;=2,FALSE())),IF(AND('Daily Schedule'!$A18&gt;=46,'Daily Schedule'!$A18&lt;=52),'Daily Workforce'!$M39="Y",IFERROR(1*'Daily Workforce'!$P39&gt;=2,FALSE()))))),1,0)</f>
        <v>1</v>
      </c>
      <c r="AY14" s="1" t="n">
        <f aca="false">IF(AND('Daily Workforce'!$N40="Y",'Daily Workforce'!$B40&lt;&gt;"",COUNTIF('Daily Schedule'!$F$5:$F17,'Daily Workforce'!$B40)=0,IF('Daily Schedule'!$A18=45,'Daily Workforce'!$J40="Y",IF(OR('Daily Schedule'!$A18=4,'Daily Schedule'!$A18=8),IF(OR(WEEKDAY('Daily Schedule'!$B$2,2)=1,WEEKDAY('Daily Schedule'!$B$2,2)=4,WEEKDAY('Daily Schedule'!$B$2,2)=5,WEEKDAY('Daily Schedule'!$B$2,2)=7),IFERROR(1*'Daily Workforce'!$K40&gt;=3,FALSE()),IFERROR(1*'Daily Workforce'!$K40&gt;=2,FALSE())),IF(AND('Daily Schedule'!$A18&gt;=46,'Daily Schedule'!$A18&lt;=52),'Daily Workforce'!$M40="Y",IFERROR(1*'Daily Workforce'!$P40&gt;=2,FALSE()))))),1,0)</f>
        <v>1</v>
      </c>
      <c r="AZ14" s="1" t="n">
        <f aca="false">IF(AND('Daily Workforce'!$N41="Y",'Daily Workforce'!$B41&lt;&gt;"",COUNTIF('Daily Schedule'!$F$5:$F17,'Daily Workforce'!$B41)=0,IF('Daily Schedule'!$A18=45,'Daily Workforce'!$J41="Y",IF(OR('Daily Schedule'!$A18=4,'Daily Schedule'!$A18=8),IF(OR(WEEKDAY('Daily Schedule'!$B$2,2)=1,WEEKDAY('Daily Schedule'!$B$2,2)=4,WEEKDAY('Daily Schedule'!$B$2,2)=5,WEEKDAY('Daily Schedule'!$B$2,2)=7),IFERROR(1*'Daily Workforce'!$K41&gt;=3,FALSE()),IFERROR(1*'Daily Workforce'!$K41&gt;=2,FALSE())),IF(AND('Daily Schedule'!$A18&gt;=46,'Daily Schedule'!$A18&lt;=52),'Daily Workforce'!$M41="Y",IFERROR(1*'Daily Workforce'!$P41&gt;=2,FALSE()))))),1,0)</f>
        <v>1</v>
      </c>
      <c r="BA14" s="1" t="n">
        <f aca="false">IF(AND('Daily Workforce'!$N42="Y",'Daily Workforce'!$B42&lt;&gt;"",COUNTIF('Daily Schedule'!$F$5:$F17,'Daily Workforce'!$B42)=0,IF('Daily Schedule'!$A18=45,'Daily Workforce'!$J42="Y",IF(OR('Daily Schedule'!$A18=4,'Daily Schedule'!$A18=8),IF(OR(WEEKDAY('Daily Schedule'!$B$2,2)=1,WEEKDAY('Daily Schedule'!$B$2,2)=4,WEEKDAY('Daily Schedule'!$B$2,2)=5,WEEKDAY('Daily Schedule'!$B$2,2)=7),IFERROR(1*'Daily Workforce'!$K42&gt;=3,FALSE()),IFERROR(1*'Daily Workforce'!$K42&gt;=2,FALSE())),IF(AND('Daily Schedule'!$A18&gt;=46,'Daily Schedule'!$A18&lt;=52),'Daily Workforce'!$M42="Y",IFERROR(1*'Daily Workforce'!$P42&gt;=2,FALSE()))))),1,0)</f>
        <v>1</v>
      </c>
      <c r="BB14" s="1" t="n">
        <f aca="false">IF(AND('Daily Workforce'!$N43="Y",'Daily Workforce'!$B43&lt;&gt;"",COUNTIF('Daily Schedule'!$F$5:$F17,'Daily Workforce'!$B43)=0,IF('Daily Schedule'!$A18=45,'Daily Workforce'!$J43="Y",IF(OR('Daily Schedule'!$A18=4,'Daily Schedule'!$A18=8),IF(OR(WEEKDAY('Daily Schedule'!$B$2,2)=1,WEEKDAY('Daily Schedule'!$B$2,2)=4,WEEKDAY('Daily Schedule'!$B$2,2)=5,WEEKDAY('Daily Schedule'!$B$2,2)=7),IFERROR(1*'Daily Workforce'!$K43&gt;=3,FALSE()),IFERROR(1*'Daily Workforce'!$K43&gt;=2,FALSE())),IF(AND('Daily Schedule'!$A18&gt;=46,'Daily Schedule'!$A18&lt;=52),'Daily Workforce'!$M43="Y",IFERROR(1*'Daily Workforce'!$P43&gt;=2,FALSE()))))),1,0)</f>
        <v>1</v>
      </c>
      <c r="BC14" s="1" t="n">
        <f aca="false">IF(AND('Daily Workforce'!$N44="Y",'Daily Workforce'!$B44&lt;&gt;"",COUNTIF('Daily Schedule'!$F$5:$F17,'Daily Workforce'!$B44)=0,IF('Daily Schedule'!$A18=45,'Daily Workforce'!$J44="Y",IF(OR('Daily Schedule'!$A18=4,'Daily Schedule'!$A18=8),IF(OR(WEEKDAY('Daily Schedule'!$B$2,2)=1,WEEKDAY('Daily Schedule'!$B$2,2)=4,WEEKDAY('Daily Schedule'!$B$2,2)=5,WEEKDAY('Daily Schedule'!$B$2,2)=7),IFERROR(1*'Daily Workforce'!$K44&gt;=3,FALSE()),IFERROR(1*'Daily Workforce'!$K44&gt;=2,FALSE())),IF(AND('Daily Schedule'!$A18&gt;=46,'Daily Schedule'!$A18&lt;=52),'Daily Workforce'!$M44="Y",IFERROR(1*'Daily Workforce'!$P44&gt;=2,FALSE()))))),1,0)</f>
        <v>1</v>
      </c>
      <c r="BD14" s="1" t="n">
        <f aca="false">IF(AND('Daily Workforce'!$N45="Y",'Daily Workforce'!$B45&lt;&gt;"",COUNTIF('Daily Schedule'!$F$5:$F17,'Daily Workforce'!$B45)=0,IF('Daily Schedule'!$A18=45,'Daily Workforce'!$J45="Y",IF(OR('Daily Schedule'!$A18=4,'Daily Schedule'!$A18=8),IF(OR(WEEKDAY('Daily Schedule'!$B$2,2)=1,WEEKDAY('Daily Schedule'!$B$2,2)=4,WEEKDAY('Daily Schedule'!$B$2,2)=5,WEEKDAY('Daily Schedule'!$B$2,2)=7),IFERROR(1*'Daily Workforce'!$K45&gt;=3,FALSE()),IFERROR(1*'Daily Workforce'!$K45&gt;=2,FALSE())),IF(AND('Daily Schedule'!$A18&gt;=46,'Daily Schedule'!$A18&lt;=52),'Daily Workforce'!$M45="Y",IFERROR(1*'Daily Workforce'!$P45&gt;=2,FALSE()))))),1,0)</f>
        <v>1</v>
      </c>
      <c r="BE14" s="1" t="n">
        <f aca="false">IF(AND('Daily Workforce'!$N46="Y",'Daily Workforce'!$B46&lt;&gt;"",COUNTIF('Daily Schedule'!$F$5:$F17,'Daily Workforce'!$B46)=0,IF('Daily Schedule'!$A18=45,'Daily Workforce'!$J46="Y",IF(OR('Daily Schedule'!$A18=4,'Daily Schedule'!$A18=8),IF(OR(WEEKDAY('Daily Schedule'!$B$2,2)=1,WEEKDAY('Daily Schedule'!$B$2,2)=4,WEEKDAY('Daily Schedule'!$B$2,2)=5,WEEKDAY('Daily Schedule'!$B$2,2)=7),IFERROR(1*'Daily Workforce'!$K46&gt;=3,FALSE()),IFERROR(1*'Daily Workforce'!$K46&gt;=2,FALSE())),IF(AND('Daily Schedule'!$A18&gt;=46,'Daily Schedule'!$A18&lt;=52),'Daily Workforce'!$M46="Y",IFERROR(1*'Daily Workforce'!$P46&gt;=2,FALSE()))))),1,0)</f>
        <v>1</v>
      </c>
      <c r="BF14" s="1" t="n">
        <f aca="false">IF(AND('Daily Workforce'!$N47="Y",'Daily Workforce'!$B47&lt;&gt;"",COUNTIF('Daily Schedule'!$F$5:$F17,'Daily Workforce'!$B47)=0,IF('Daily Schedule'!$A18=45,'Daily Workforce'!$J47="Y",IF(OR('Daily Schedule'!$A18=4,'Daily Schedule'!$A18=8),IF(OR(WEEKDAY('Daily Schedule'!$B$2,2)=1,WEEKDAY('Daily Schedule'!$B$2,2)=4,WEEKDAY('Daily Schedule'!$B$2,2)=5,WEEKDAY('Daily Schedule'!$B$2,2)=7),IFERROR(1*'Daily Workforce'!$K47&gt;=3,FALSE()),IFERROR(1*'Daily Workforce'!$K47&gt;=2,FALSE())),IF(AND('Daily Schedule'!$A18&gt;=46,'Daily Schedule'!$A18&lt;=52),'Daily Workforce'!$M47="Y",IFERROR(1*'Daily Workforce'!$P47&gt;=2,FALSE()))))),1,0)</f>
        <v>0</v>
      </c>
      <c r="BG14" s="1" t="n">
        <f aca="false">IF(AND('Daily Workforce'!$N48="Y",'Daily Workforce'!$B48&lt;&gt;"",COUNTIF('Daily Schedule'!$F$5:$F17,'Daily Workforce'!$B48)=0,IF('Daily Schedule'!$A18=45,'Daily Workforce'!$J48="Y",IF(OR('Daily Schedule'!$A18=4,'Daily Schedule'!$A18=8),IF(OR(WEEKDAY('Daily Schedule'!$B$2,2)=1,WEEKDAY('Daily Schedule'!$B$2,2)=4,WEEKDAY('Daily Schedule'!$B$2,2)=5,WEEKDAY('Daily Schedule'!$B$2,2)=7),IFERROR(1*'Daily Workforce'!$K48&gt;=3,FALSE()),IFERROR(1*'Daily Workforce'!$K48&gt;=2,FALSE())),IF(AND('Daily Schedule'!$A18&gt;=46,'Daily Schedule'!$A18&lt;=52),'Daily Workforce'!$M48="Y",IFERROR(1*'Daily Workforce'!$P48&gt;=2,FALSE()))))),1,0)</f>
        <v>1</v>
      </c>
      <c r="BH14" s="1" t="n">
        <f aca="false">IF(AND('Daily Workforce'!$N49="Y",'Daily Workforce'!$B49&lt;&gt;"",COUNTIF('Daily Schedule'!$F$5:$F17,'Daily Workforce'!$B49)=0,IF('Daily Schedule'!$A18=45,'Daily Workforce'!$J49="Y",IF(OR('Daily Schedule'!$A18=4,'Daily Schedule'!$A18=8),IF(OR(WEEKDAY('Daily Schedule'!$B$2,2)=1,WEEKDAY('Daily Schedule'!$B$2,2)=4,WEEKDAY('Daily Schedule'!$B$2,2)=5,WEEKDAY('Daily Schedule'!$B$2,2)=7),IFERROR(1*'Daily Workforce'!$K49&gt;=3,FALSE()),IFERROR(1*'Daily Workforce'!$K49&gt;=2,FALSE())),IF(AND('Daily Schedule'!$A18&gt;=46,'Daily Schedule'!$A18&lt;=52),'Daily Workforce'!$M49="Y",IFERROR(1*'Daily Workforce'!$P49&gt;=2,FALSE()))))),1,0)</f>
        <v>1</v>
      </c>
      <c r="BI14" s="1" t="n">
        <f aca="false">IF(AND('Daily Workforce'!$N50="Y",'Daily Workforce'!$B50&lt;&gt;"",COUNTIF('Daily Schedule'!$F$5:$F17,'Daily Workforce'!$B50)=0,IF('Daily Schedule'!$A18=45,'Daily Workforce'!$J50="Y",IF(OR('Daily Schedule'!$A18=4,'Daily Schedule'!$A18=8),IF(OR(WEEKDAY('Daily Schedule'!$B$2,2)=1,WEEKDAY('Daily Schedule'!$B$2,2)=4,WEEKDAY('Daily Schedule'!$B$2,2)=5,WEEKDAY('Daily Schedule'!$B$2,2)=7),IFERROR(1*'Daily Workforce'!$K50&gt;=3,FALSE()),IFERROR(1*'Daily Workforce'!$K50&gt;=2,FALSE())),IF(AND('Daily Schedule'!$A18&gt;=46,'Daily Schedule'!$A18&lt;=52),'Daily Workforce'!$M50="Y",IFERROR(1*'Daily Workforce'!$P50&gt;=2,FALSE()))))),1,0)</f>
        <v>0</v>
      </c>
      <c r="BJ14" s="1" t="n">
        <f aca="false">IF(AND('Daily Workforce'!$N51="Y",'Daily Workforce'!$B51&lt;&gt;"",COUNTIF('Daily Schedule'!$F$5:$F17,'Daily Workforce'!$B51)=0,IF('Daily Schedule'!$A18=45,'Daily Workforce'!$J51="Y",IF(OR('Daily Schedule'!$A18=4,'Daily Schedule'!$A18=8),IF(OR(WEEKDAY('Daily Schedule'!$B$2,2)=1,WEEKDAY('Daily Schedule'!$B$2,2)=4,WEEKDAY('Daily Schedule'!$B$2,2)=5,WEEKDAY('Daily Schedule'!$B$2,2)=7),IFERROR(1*'Daily Workforce'!$K51&gt;=3,FALSE()),IFERROR(1*'Daily Workforce'!$K51&gt;=2,FALSE())),IF(AND('Daily Schedule'!$A18&gt;=46,'Daily Schedule'!$A18&lt;=52),'Daily Workforce'!$M51="Y",IFERROR(1*'Daily Workforce'!$P51&gt;=2,FALSE()))))),1,0)</f>
        <v>1</v>
      </c>
      <c r="BK14" s="1" t="n">
        <f aca="false">IF(AND('Daily Workforce'!$N52="Y",'Daily Workforce'!$B52&lt;&gt;"",COUNTIF('Daily Schedule'!$F$5:$F17,'Daily Workforce'!$B52)=0,IF('Daily Schedule'!$A18=45,'Daily Workforce'!$J52="Y",IF(OR('Daily Schedule'!$A18=4,'Daily Schedule'!$A18=8),IF(OR(WEEKDAY('Daily Schedule'!$B$2,2)=1,WEEKDAY('Daily Schedule'!$B$2,2)=4,WEEKDAY('Daily Schedule'!$B$2,2)=5,WEEKDAY('Daily Schedule'!$B$2,2)=7),IFERROR(1*'Daily Workforce'!$K52&gt;=3,FALSE()),IFERROR(1*'Daily Workforce'!$K52&gt;=2,FALSE())),IF(AND('Daily Schedule'!$A18&gt;=46,'Daily Schedule'!$A18&lt;=52),'Daily Workforce'!$M52="Y",IFERROR(1*'Daily Workforce'!$P52&gt;=2,FALSE()))))),1,0)</f>
        <v>1</v>
      </c>
      <c r="BL14" s="1" t="n">
        <f aca="false">IF(AND('Daily Workforce'!$N53="Y",'Daily Workforce'!$B53&lt;&gt;"",COUNTIF('Daily Schedule'!$F$5:$F17,'Daily Workforce'!$B53)=0,IF('Daily Schedule'!$A18=45,'Daily Workforce'!$J53="Y",IF(OR('Daily Schedule'!$A18=4,'Daily Schedule'!$A18=8),IF(OR(WEEKDAY('Daily Schedule'!$B$2,2)=1,WEEKDAY('Daily Schedule'!$B$2,2)=4,WEEKDAY('Daily Schedule'!$B$2,2)=5,WEEKDAY('Daily Schedule'!$B$2,2)=7),IFERROR(1*'Daily Workforce'!$K53&gt;=3,FALSE()),IFERROR(1*'Daily Workforce'!$K53&gt;=2,FALSE())),IF(AND('Daily Schedule'!$A18&gt;=46,'Daily Schedule'!$A18&lt;=52),'Daily Workforce'!$M53="Y",IFERROR(1*'Daily Workforce'!$P53&gt;=2,FALSE()))))),1,0)</f>
        <v>1</v>
      </c>
      <c r="BM14" s="1" t="n">
        <f aca="false">IF(AND('Daily Workforce'!$N54="Y",'Daily Workforce'!$B54&lt;&gt;"",COUNTIF('Daily Schedule'!$F$5:$F17,'Daily Workforce'!$B54)=0,IF('Daily Schedule'!$A18=45,'Daily Workforce'!$J54="Y",IF(OR('Daily Schedule'!$A18=4,'Daily Schedule'!$A18=8),IF(OR(WEEKDAY('Daily Schedule'!$B$2,2)=1,WEEKDAY('Daily Schedule'!$B$2,2)=4,WEEKDAY('Daily Schedule'!$B$2,2)=5,WEEKDAY('Daily Schedule'!$B$2,2)=7),IFERROR(1*'Daily Workforce'!$K54&gt;=3,FALSE()),IFERROR(1*'Daily Workforce'!$K54&gt;=2,FALSE())),IF(AND('Daily Schedule'!$A18&gt;=46,'Daily Schedule'!$A18&lt;=52),'Daily Workforce'!$M54="Y",IFERROR(1*'Daily Workforce'!$P54&gt;=2,FALSE()))))),1,0)</f>
        <v>1</v>
      </c>
      <c r="BN14" s="1" t="n">
        <f aca="false">IF(AND('Daily Workforce'!$N55="Y",'Daily Workforce'!$B55&lt;&gt;"",COUNTIF('Daily Schedule'!$F$5:$F17,'Daily Workforce'!$B55)=0,IF('Daily Schedule'!$A18=45,'Daily Workforce'!$J55="Y",IF(OR('Daily Schedule'!$A18=4,'Daily Schedule'!$A18=8),IF(OR(WEEKDAY('Daily Schedule'!$B$2,2)=1,WEEKDAY('Daily Schedule'!$B$2,2)=4,WEEKDAY('Daily Schedule'!$B$2,2)=5,WEEKDAY('Daily Schedule'!$B$2,2)=7),IFERROR(1*'Daily Workforce'!$K55&gt;=3,FALSE()),IFERROR(1*'Daily Workforce'!$K55&gt;=2,FALSE())),IF(AND('Daily Schedule'!$A18&gt;=46,'Daily Schedule'!$A18&lt;=52),'Daily Workforce'!$M55="Y",IFERROR(1*'Daily Workforce'!$P55&gt;=2,FALSE()))))),1,0)</f>
        <v>1</v>
      </c>
      <c r="BO14" s="1" t="n">
        <f aca="false">IF(AND('Daily Workforce'!$N56="Y",'Daily Workforce'!$B56&lt;&gt;"",COUNTIF('Daily Schedule'!$F$5:$F17,'Daily Workforce'!$B56)=0,IF('Daily Schedule'!$A18=45,'Daily Workforce'!$J56="Y",IF(OR('Daily Schedule'!$A18=4,'Daily Schedule'!$A18=8),IF(OR(WEEKDAY('Daily Schedule'!$B$2,2)=1,WEEKDAY('Daily Schedule'!$B$2,2)=4,WEEKDAY('Daily Schedule'!$B$2,2)=5,WEEKDAY('Daily Schedule'!$B$2,2)=7),IFERROR(1*'Daily Workforce'!$K56&gt;=3,FALSE()),IFERROR(1*'Daily Workforce'!$K56&gt;=2,FALSE())),IF(AND('Daily Schedule'!$A18&gt;=46,'Daily Schedule'!$A18&lt;=52),'Daily Workforce'!$M56="Y",IFERROR(1*'Daily Workforce'!$P56&gt;=2,FALSE()))))),1,0)</f>
        <v>1</v>
      </c>
      <c r="BP14" s="1" t="n">
        <f aca="false">IF(AND('Daily Workforce'!$N57="Y",'Daily Workforce'!$B57&lt;&gt;"",COUNTIF('Daily Schedule'!$F$5:$F17,'Daily Workforce'!$B57)=0,IF('Daily Schedule'!$A18=45,'Daily Workforce'!$J57="Y",IF(OR('Daily Schedule'!$A18=4,'Daily Schedule'!$A18=8),IF(OR(WEEKDAY('Daily Schedule'!$B$2,2)=1,WEEKDAY('Daily Schedule'!$B$2,2)=4,WEEKDAY('Daily Schedule'!$B$2,2)=5,WEEKDAY('Daily Schedule'!$B$2,2)=7),IFERROR(1*'Daily Workforce'!$K57&gt;=3,FALSE()),IFERROR(1*'Daily Workforce'!$K57&gt;=2,FALSE())),IF(AND('Daily Schedule'!$A18&gt;=46,'Daily Schedule'!$A18&lt;=52),'Daily Workforce'!$M57="Y",IFERROR(1*'Daily Workforce'!$P57&gt;=2,FALSE()))))),1,0)</f>
        <v>0</v>
      </c>
      <c r="BQ14" s="1" t="n">
        <f aca="false">IF(AND('Daily Workforce'!$N58="Y",'Daily Workforce'!$B58&lt;&gt;"",COUNTIF('Daily Schedule'!$F$5:$F17,'Daily Workforce'!$B58)=0,IF('Daily Schedule'!$A18=45,'Daily Workforce'!$J58="Y",IF(OR('Daily Schedule'!$A18=4,'Daily Schedule'!$A18=8),IF(OR(WEEKDAY('Daily Schedule'!$B$2,2)=1,WEEKDAY('Daily Schedule'!$B$2,2)=4,WEEKDAY('Daily Schedule'!$B$2,2)=5,WEEKDAY('Daily Schedule'!$B$2,2)=7),IFERROR(1*'Daily Workforce'!$K58&gt;=3,FALSE()),IFERROR(1*'Daily Workforce'!$K58&gt;=2,FALSE())),IF(AND('Daily Schedule'!$A18&gt;=46,'Daily Schedule'!$A18&lt;=52),'Daily Workforce'!$M58="Y",IFERROR(1*'Daily Workforce'!$P58&gt;=2,FALSE()))))),1,0)</f>
        <v>1</v>
      </c>
      <c r="BR14" s="1" t="n">
        <f aca="false">IF(AND('Daily Workforce'!$N59="Y",'Daily Workforce'!$B59&lt;&gt;"",COUNTIF('Daily Schedule'!$F$5:$F17,'Daily Workforce'!$B59)=0,IF('Daily Schedule'!$A18=45,'Daily Workforce'!$J59="Y",IF(OR('Daily Schedule'!$A18=4,'Daily Schedule'!$A18=8),IF(OR(WEEKDAY('Daily Schedule'!$B$2,2)=1,WEEKDAY('Daily Schedule'!$B$2,2)=4,WEEKDAY('Daily Schedule'!$B$2,2)=5,WEEKDAY('Daily Schedule'!$B$2,2)=7),IFERROR(1*'Daily Workforce'!$K59&gt;=3,FALSE()),IFERROR(1*'Daily Workforce'!$K59&gt;=2,FALSE())),IF(AND('Daily Schedule'!$A18&gt;=46,'Daily Schedule'!$A18&lt;=52),'Daily Workforce'!$M59="Y",IFERROR(1*'Daily Workforce'!$P59&gt;=2,FALSE()))))),1,0)</f>
        <v>1</v>
      </c>
      <c r="BS14" s="1" t="n">
        <f aca="false">IF(AND('Daily Workforce'!$N60="Y",'Daily Workforce'!$B60&lt;&gt;"",COUNTIF('Daily Schedule'!$F$5:$F17,'Daily Workforce'!$B60)=0,IF('Daily Schedule'!$A18=45,'Daily Workforce'!$J60="Y",IF(OR('Daily Schedule'!$A18=4,'Daily Schedule'!$A18=8),IF(OR(WEEKDAY('Daily Schedule'!$B$2,2)=1,WEEKDAY('Daily Schedule'!$B$2,2)=4,WEEKDAY('Daily Schedule'!$B$2,2)=5,WEEKDAY('Daily Schedule'!$B$2,2)=7),IFERROR(1*'Daily Workforce'!$K60&gt;=3,FALSE()),IFERROR(1*'Daily Workforce'!$K60&gt;=2,FALSE())),IF(AND('Daily Schedule'!$A18&gt;=46,'Daily Schedule'!$A18&lt;=52),'Daily Workforce'!$M60="Y",IFERROR(1*'Daily Workforce'!$P60&gt;=2,FALSE()))))),1,0)</f>
        <v>1</v>
      </c>
      <c r="BT14" s="1" t="n">
        <f aca="false">IF(AND('Daily Workforce'!$N61="Y",'Daily Workforce'!$B61&lt;&gt;"",COUNTIF('Daily Schedule'!$F$5:$F17,'Daily Workforce'!$B61)=0,IF('Daily Schedule'!$A18=45,'Daily Workforce'!$J61="Y",IF(OR('Daily Schedule'!$A18=4,'Daily Schedule'!$A18=8),IF(OR(WEEKDAY('Daily Schedule'!$B$2,2)=1,WEEKDAY('Daily Schedule'!$B$2,2)=4,WEEKDAY('Daily Schedule'!$B$2,2)=5,WEEKDAY('Daily Schedule'!$B$2,2)=7),IFERROR(1*'Daily Workforce'!$K61&gt;=3,FALSE()),IFERROR(1*'Daily Workforce'!$K61&gt;=2,FALSE())),IF(AND('Daily Schedule'!$A18&gt;=46,'Daily Schedule'!$A18&lt;=52),'Daily Workforce'!$M61="Y",IFERROR(1*'Daily Workforce'!$P61&gt;=2,FALSE()))))),1,0)</f>
        <v>0</v>
      </c>
      <c r="BU14" s="1" t="n">
        <f aca="false">IF(AND('Daily Workforce'!$N62="Y",'Daily Workforce'!$B62&lt;&gt;"",COUNTIF('Daily Schedule'!$F$5:$F17,'Daily Workforce'!$B62)=0,IF('Daily Schedule'!$A18=45,'Daily Workforce'!$J62="Y",IF(OR('Daily Schedule'!$A18=4,'Daily Schedule'!$A18=8),IF(OR(WEEKDAY('Daily Schedule'!$B$2,2)=1,WEEKDAY('Daily Schedule'!$B$2,2)=4,WEEKDAY('Daily Schedule'!$B$2,2)=5,WEEKDAY('Daily Schedule'!$B$2,2)=7),IFERROR(1*'Daily Workforce'!$K62&gt;=3,FALSE()),IFERROR(1*'Daily Workforce'!$K62&gt;=2,FALSE())),IF(AND('Daily Schedule'!$A18&gt;=46,'Daily Schedule'!$A18&lt;=52),'Daily Workforce'!$M62="Y",IFERROR(1*'Daily Workforce'!$P62&gt;=2,FALSE()))))),1,0)</f>
        <v>1</v>
      </c>
      <c r="BV14" s="1" t="n">
        <f aca="false">IF(AND('Daily Workforce'!$N63="Y",'Daily Workforce'!$B63&lt;&gt;"",COUNTIF('Daily Schedule'!$F$5:$F17,'Daily Workforce'!$B63)=0,IF('Daily Schedule'!$A18=45,'Daily Workforce'!$J63="Y",IF(OR('Daily Schedule'!$A18=4,'Daily Schedule'!$A18=8),IF(OR(WEEKDAY('Daily Schedule'!$B$2,2)=1,WEEKDAY('Daily Schedule'!$B$2,2)=4,WEEKDAY('Daily Schedule'!$B$2,2)=5,WEEKDAY('Daily Schedule'!$B$2,2)=7),IFERROR(1*'Daily Workforce'!$K63&gt;=3,FALSE()),IFERROR(1*'Daily Workforce'!$K63&gt;=2,FALSE())),IF(AND('Daily Schedule'!$A18&gt;=46,'Daily Schedule'!$A18&lt;=52),'Daily Workforce'!$M63="Y",IFERROR(1*'Daily Workforce'!$P63&gt;=2,FALSE()))))),1,0)</f>
        <v>1</v>
      </c>
      <c r="BW14" s="1" t="n">
        <f aca="false">IF(AND('Daily Workforce'!$N64="Y",'Daily Workforce'!$B64&lt;&gt;"",COUNTIF('Daily Schedule'!$F$5:$F17,'Daily Workforce'!$B64)=0,IF('Daily Schedule'!$A18=45,'Daily Workforce'!$J64="Y",IF(OR('Daily Schedule'!$A18=4,'Daily Schedule'!$A18=8),IF(OR(WEEKDAY('Daily Schedule'!$B$2,2)=1,WEEKDAY('Daily Schedule'!$B$2,2)=4,WEEKDAY('Daily Schedule'!$B$2,2)=5,WEEKDAY('Daily Schedule'!$B$2,2)=7),IFERROR(1*'Daily Workforce'!$K64&gt;=3,FALSE()),IFERROR(1*'Daily Workforce'!$K64&gt;=2,FALSE())),IF(AND('Daily Schedule'!$A18&gt;=46,'Daily Schedule'!$A18&lt;=52),'Daily Workforce'!$M64="Y",IFERROR(1*'Daily Workforce'!$P64&gt;=2,FALSE()))))),1,0)</f>
        <v>1</v>
      </c>
      <c r="BX14" s="1" t="n">
        <f aca="false">IF(AND('Daily Workforce'!$N65="Y",'Daily Workforce'!$B65&lt;&gt;"",COUNTIF('Daily Schedule'!$F$5:$F17,'Daily Workforce'!$B65)=0,IF('Daily Schedule'!$A18=45,'Daily Workforce'!$J65="Y",IF(OR('Daily Schedule'!$A18=4,'Daily Schedule'!$A18=8),IF(OR(WEEKDAY('Daily Schedule'!$B$2,2)=1,WEEKDAY('Daily Schedule'!$B$2,2)=4,WEEKDAY('Daily Schedule'!$B$2,2)=5,WEEKDAY('Daily Schedule'!$B$2,2)=7),IFERROR(1*'Daily Workforce'!$K65&gt;=3,FALSE()),IFERROR(1*'Daily Workforce'!$K65&gt;=2,FALSE())),IF(AND('Daily Schedule'!$A18&gt;=46,'Daily Schedule'!$A18&lt;=52),'Daily Workforce'!$M65="Y",IFERROR(1*'Daily Workforce'!$P65&gt;=2,FALSE()))))),1,0)</f>
        <v>1</v>
      </c>
      <c r="BY14" s="1" t="n">
        <f aca="false">IF(AND('Daily Workforce'!$N66="Y",'Daily Workforce'!$B66&lt;&gt;"",COUNTIF('Daily Schedule'!$F$5:$F17,'Daily Workforce'!$B66)=0,IF('Daily Schedule'!$A18=45,'Daily Workforce'!$J66="Y",IF(OR('Daily Schedule'!$A18=4,'Daily Schedule'!$A18=8),IF(OR(WEEKDAY('Daily Schedule'!$B$2,2)=1,WEEKDAY('Daily Schedule'!$B$2,2)=4,WEEKDAY('Daily Schedule'!$B$2,2)=5,WEEKDAY('Daily Schedule'!$B$2,2)=7),IFERROR(1*'Daily Workforce'!$K66&gt;=3,FALSE()),IFERROR(1*'Daily Workforce'!$K66&gt;=2,FALSE())),IF(AND('Daily Schedule'!$A18&gt;=46,'Daily Schedule'!$A18&lt;=52),'Daily Workforce'!$M66="Y",IFERROR(1*'Daily Workforce'!$P66&gt;=2,FALSE()))))),1,0)</f>
        <v>1</v>
      </c>
      <c r="BZ14" s="1" t="n">
        <f aca="false">IF(AND('Daily Workforce'!$N67="Y",'Daily Workforce'!$B67&lt;&gt;"",COUNTIF('Daily Schedule'!$F$5:$F17,'Daily Workforce'!$B67)=0,IF('Daily Schedule'!$A18=45,'Daily Workforce'!$J67="Y",IF(OR('Daily Schedule'!$A18=4,'Daily Schedule'!$A18=8),IF(OR(WEEKDAY('Daily Schedule'!$B$2,2)=1,WEEKDAY('Daily Schedule'!$B$2,2)=4,WEEKDAY('Daily Schedule'!$B$2,2)=5,WEEKDAY('Daily Schedule'!$B$2,2)=7),IFERROR(1*'Daily Workforce'!$K67&gt;=3,FALSE()),IFERROR(1*'Daily Workforce'!$K67&gt;=2,FALSE())),IF(AND('Daily Schedule'!$A18&gt;=46,'Daily Schedule'!$A18&lt;=52),'Daily Workforce'!$M67="Y",IFERROR(1*'Daily Workforce'!$P67&gt;=2,FALSE()))))),1,0)</f>
        <v>1</v>
      </c>
      <c r="CA14" s="1" t="n">
        <f aca="false">IF(AND('Daily Workforce'!$N68="Y",'Daily Workforce'!$B68&lt;&gt;"",COUNTIF('Daily Schedule'!$F$5:$F17,'Daily Workforce'!$B68)=0,IF('Daily Schedule'!$A18=45,'Daily Workforce'!$J68="Y",IF(OR('Daily Schedule'!$A18=4,'Daily Schedule'!$A18=8),IF(OR(WEEKDAY('Daily Schedule'!$B$2,2)=1,WEEKDAY('Daily Schedule'!$B$2,2)=4,WEEKDAY('Daily Schedule'!$B$2,2)=5,WEEKDAY('Daily Schedule'!$B$2,2)=7),IFERROR(1*'Daily Workforce'!$K68&gt;=3,FALSE()),IFERROR(1*'Daily Workforce'!$K68&gt;=2,FALSE())),IF(AND('Daily Schedule'!$A18&gt;=46,'Daily Schedule'!$A18&lt;=52),'Daily Workforce'!$M68="Y",IFERROR(1*'Daily Workforce'!$P68&gt;=2,FALSE()))))),1,0)</f>
        <v>1</v>
      </c>
      <c r="CB14" s="1" t="n">
        <f aca="false">IF(AND('Daily Workforce'!$N69="Y",'Daily Workforce'!$B69&lt;&gt;"",COUNTIF('Daily Schedule'!$F$5:$F17,'Daily Workforce'!$B69)=0,IF('Daily Schedule'!$A18=45,'Daily Workforce'!$J69="Y",IF(OR('Daily Schedule'!$A18=4,'Daily Schedule'!$A18=8),IF(OR(WEEKDAY('Daily Schedule'!$B$2,2)=1,WEEKDAY('Daily Schedule'!$B$2,2)=4,WEEKDAY('Daily Schedule'!$B$2,2)=5,WEEKDAY('Daily Schedule'!$B$2,2)=7),IFERROR(1*'Daily Workforce'!$K69&gt;=3,FALSE()),IFERROR(1*'Daily Workforce'!$K69&gt;=2,FALSE())),IF(AND('Daily Schedule'!$A18&gt;=46,'Daily Schedule'!$A18&lt;=52),'Daily Workforce'!$M69="Y",IFERROR(1*'Daily Workforce'!$P69&gt;=2,FALSE()))))),1,0)</f>
        <v>1</v>
      </c>
      <c r="CC14" s="1" t="n">
        <f aca="false">IF(AND('Daily Workforce'!$N70="Y",'Daily Workforce'!$B70&lt;&gt;"",COUNTIF('Daily Schedule'!$F$5:$F17,'Daily Workforce'!$B70)=0,IF('Daily Schedule'!$A18=45,'Daily Workforce'!$J70="Y",IF(OR('Daily Schedule'!$A18=4,'Daily Schedule'!$A18=8),IF(OR(WEEKDAY('Daily Schedule'!$B$2,2)=1,WEEKDAY('Daily Schedule'!$B$2,2)=4,WEEKDAY('Daily Schedule'!$B$2,2)=5,WEEKDAY('Daily Schedule'!$B$2,2)=7),IFERROR(1*'Daily Workforce'!$K70&gt;=3,FALSE()),IFERROR(1*'Daily Workforce'!$K70&gt;=2,FALSE())),IF(AND('Daily Schedule'!$A18&gt;=46,'Daily Schedule'!$A18&lt;=52),'Daily Workforce'!$M70="Y",IFERROR(1*'Daily Workforce'!$P70&gt;=2,FALSE()))))),1,0)</f>
        <v>1</v>
      </c>
      <c r="CD14" s="1" t="n">
        <f aca="false">IF(AND('Daily Workforce'!$N71="Y",'Daily Workforce'!$B71&lt;&gt;"",COUNTIF('Daily Schedule'!$F$5:$F17,'Daily Workforce'!$B71)=0,IF('Daily Schedule'!$A18=45,'Daily Workforce'!$J71="Y",IF(OR('Daily Schedule'!$A18=4,'Daily Schedule'!$A18=8),IF(OR(WEEKDAY('Daily Schedule'!$B$2,2)=1,WEEKDAY('Daily Schedule'!$B$2,2)=4,WEEKDAY('Daily Schedule'!$B$2,2)=5,WEEKDAY('Daily Schedule'!$B$2,2)=7),IFERROR(1*'Daily Workforce'!$K71&gt;=3,FALSE()),IFERROR(1*'Daily Workforce'!$K71&gt;=2,FALSE())),IF(AND('Daily Schedule'!$A18&gt;=46,'Daily Schedule'!$A18&lt;=52),'Daily Workforce'!$M71="Y",IFERROR(1*'Daily Workforce'!$P71&gt;=2,FALSE()))))),1,0)</f>
        <v>1</v>
      </c>
      <c r="CE14" s="1" t="n">
        <f aca="false">IF(AND('Daily Workforce'!$N72="Y",'Daily Workforce'!$B72&lt;&gt;"",COUNTIF('Daily Schedule'!$F$5:$F17,'Daily Workforce'!$B72)=0,IF('Daily Schedule'!$A18=45,'Daily Workforce'!$J72="Y",IF(OR('Daily Schedule'!$A18=4,'Daily Schedule'!$A18=8),IF(OR(WEEKDAY('Daily Schedule'!$B$2,2)=1,WEEKDAY('Daily Schedule'!$B$2,2)=4,WEEKDAY('Daily Schedule'!$B$2,2)=5,WEEKDAY('Daily Schedule'!$B$2,2)=7),IFERROR(1*'Daily Workforce'!$K72&gt;=3,FALSE()),IFERROR(1*'Daily Workforce'!$K72&gt;=2,FALSE())),IF(AND('Daily Schedule'!$A18&gt;=46,'Daily Schedule'!$A18&lt;=52),'Daily Workforce'!$M72="Y",IFERROR(1*'Daily Workforce'!$P72&gt;=2,FALSE()))))),1,0)</f>
        <v>1</v>
      </c>
      <c r="CF14" s="1" t="n">
        <f aca="false">IF(AND('Daily Workforce'!$N73="Y",'Daily Workforce'!$B73&lt;&gt;"",COUNTIF('Daily Schedule'!$F$5:$F17,'Daily Workforce'!$B73)=0,IF('Daily Schedule'!$A18=45,'Daily Workforce'!$J73="Y",IF(OR('Daily Schedule'!$A18=4,'Daily Schedule'!$A18=8),IF(OR(WEEKDAY('Daily Schedule'!$B$2,2)=1,WEEKDAY('Daily Schedule'!$B$2,2)=4,WEEKDAY('Daily Schedule'!$B$2,2)=5,WEEKDAY('Daily Schedule'!$B$2,2)=7),IFERROR(1*'Daily Workforce'!$K73&gt;=3,FALSE()),IFERROR(1*'Daily Workforce'!$K73&gt;=2,FALSE())),IF(AND('Daily Schedule'!$A18&gt;=46,'Daily Schedule'!$A18&lt;=52),'Daily Workforce'!$M73="Y",IFERROR(1*'Daily Workforce'!$P73&gt;=2,FALSE()))))),1,0)</f>
        <v>1</v>
      </c>
      <c r="CG14" s="1" t="n">
        <f aca="false">IF(AND('Daily Workforce'!$N74="Y",'Daily Workforce'!$B74&lt;&gt;"",COUNTIF('Daily Schedule'!$F$5:$F17,'Daily Workforce'!$B74)=0,IF('Daily Schedule'!$A18=45,'Daily Workforce'!$J74="Y",IF(OR('Daily Schedule'!$A18=4,'Daily Schedule'!$A18=8),IF(OR(WEEKDAY('Daily Schedule'!$B$2,2)=1,WEEKDAY('Daily Schedule'!$B$2,2)=4,WEEKDAY('Daily Schedule'!$B$2,2)=5,WEEKDAY('Daily Schedule'!$B$2,2)=7),IFERROR(1*'Daily Workforce'!$K74&gt;=3,FALSE()),IFERROR(1*'Daily Workforce'!$K74&gt;=2,FALSE())),IF(AND('Daily Schedule'!$A18&gt;=46,'Daily Schedule'!$A18&lt;=52),'Daily Workforce'!$M74="Y",IFERROR(1*'Daily Workforce'!$P74&gt;=2,FALSE()))))),1,0)</f>
        <v>1</v>
      </c>
      <c r="CH14" s="1" t="n">
        <f aca="false">IF(AND('Daily Workforce'!$N75="Y",'Daily Workforce'!$B75&lt;&gt;"",COUNTIF('Daily Schedule'!$F$5:$F17,'Daily Workforce'!$B75)=0,IF('Daily Schedule'!$A18=45,'Daily Workforce'!$J75="Y",IF(OR('Daily Schedule'!$A18=4,'Daily Schedule'!$A18=8),IF(OR(WEEKDAY('Daily Schedule'!$B$2,2)=1,WEEKDAY('Daily Schedule'!$B$2,2)=4,WEEKDAY('Daily Schedule'!$B$2,2)=5,WEEKDAY('Daily Schedule'!$B$2,2)=7),IFERROR(1*'Daily Workforce'!$K75&gt;=3,FALSE()),IFERROR(1*'Daily Workforce'!$K75&gt;=2,FALSE())),IF(AND('Daily Schedule'!$A18&gt;=46,'Daily Schedule'!$A18&lt;=52),'Daily Workforce'!$M75="Y",IFERROR(1*'Daily Workforce'!$P75&gt;=2,FALSE()))))),1,0)</f>
        <v>1</v>
      </c>
      <c r="CI14" s="1" t="n">
        <f aca="false">IF(AND('Daily Workforce'!$N76="Y",'Daily Workforce'!$B76&lt;&gt;"",COUNTIF('Daily Schedule'!$F$5:$F17,'Daily Workforce'!$B76)=0,IF('Daily Schedule'!$A18=45,'Daily Workforce'!$J76="Y",IF(OR('Daily Schedule'!$A18=4,'Daily Schedule'!$A18=8),IF(OR(WEEKDAY('Daily Schedule'!$B$2,2)=1,WEEKDAY('Daily Schedule'!$B$2,2)=4,WEEKDAY('Daily Schedule'!$B$2,2)=5,WEEKDAY('Daily Schedule'!$B$2,2)=7),IFERROR(1*'Daily Workforce'!$K76&gt;=3,FALSE()),IFERROR(1*'Daily Workforce'!$K76&gt;=2,FALSE())),IF(AND('Daily Schedule'!$A18&gt;=46,'Daily Schedule'!$A18&lt;=52),'Daily Workforce'!$M76="Y",IFERROR(1*'Daily Workforce'!$P76&gt;=2,FALSE()))))),1,0)</f>
        <v>1</v>
      </c>
      <c r="CJ14" s="1" t="n">
        <f aca="false">IF(AND('Daily Workforce'!$N77="Y",'Daily Workforce'!$B77&lt;&gt;"",COUNTIF('Daily Schedule'!$F$5:$F17,'Daily Workforce'!$B77)=0,IF('Daily Schedule'!$A18=45,'Daily Workforce'!$J77="Y",IF(OR('Daily Schedule'!$A18=4,'Daily Schedule'!$A18=8),IF(OR(WEEKDAY('Daily Schedule'!$B$2,2)=1,WEEKDAY('Daily Schedule'!$B$2,2)=4,WEEKDAY('Daily Schedule'!$B$2,2)=5,WEEKDAY('Daily Schedule'!$B$2,2)=7),IFERROR(1*'Daily Workforce'!$K77&gt;=3,FALSE()),IFERROR(1*'Daily Workforce'!$K77&gt;=2,FALSE())),IF(AND('Daily Schedule'!$A18&gt;=46,'Daily Schedule'!$A18&lt;=52),'Daily Workforce'!$M77="Y",IFERROR(1*'Daily Workforce'!$P77&gt;=2,FALSE()))))),1,0)</f>
        <v>1</v>
      </c>
      <c r="CK14" s="1" t="n">
        <f aca="false">IF(AND('Daily Workforce'!$N78="Y",'Daily Workforce'!$B78&lt;&gt;"",COUNTIF('Daily Schedule'!$F$5:$F17,'Daily Workforce'!$B78)=0,IF('Daily Schedule'!$A18=45,'Daily Workforce'!$J78="Y",IF(OR('Daily Schedule'!$A18=4,'Daily Schedule'!$A18=8),IF(OR(WEEKDAY('Daily Schedule'!$B$2,2)=1,WEEKDAY('Daily Schedule'!$B$2,2)=4,WEEKDAY('Daily Schedule'!$B$2,2)=5,WEEKDAY('Daily Schedule'!$B$2,2)=7),IFERROR(1*'Daily Workforce'!$K78&gt;=3,FALSE()),IFERROR(1*'Daily Workforce'!$K78&gt;=2,FALSE())),IF(AND('Daily Schedule'!$A18&gt;=46,'Daily Schedule'!$A18&lt;=52),'Daily Workforce'!$M78="Y",IFERROR(1*'Daily Workforce'!$P78&gt;=2,FALSE()))))),1,0)</f>
        <v>1</v>
      </c>
      <c r="CL14" s="1" t="n">
        <f aca="false">IF(AND('Daily Workforce'!$N79="Y",'Daily Workforce'!$B79&lt;&gt;"",COUNTIF('Daily Schedule'!$F$5:$F17,'Daily Workforce'!$B79)=0,IF('Daily Schedule'!$A18=45,'Daily Workforce'!$J79="Y",IF(OR('Daily Schedule'!$A18=4,'Daily Schedule'!$A18=8),IF(OR(WEEKDAY('Daily Schedule'!$B$2,2)=1,WEEKDAY('Daily Schedule'!$B$2,2)=4,WEEKDAY('Daily Schedule'!$B$2,2)=5,WEEKDAY('Daily Schedule'!$B$2,2)=7),IFERROR(1*'Daily Workforce'!$K79&gt;=3,FALSE()),IFERROR(1*'Daily Workforce'!$K79&gt;=2,FALSE())),IF(AND('Daily Schedule'!$A18&gt;=46,'Daily Schedule'!$A18&lt;=52),'Daily Workforce'!$M79="Y",IFERROR(1*'Daily Workforce'!$P79&gt;=2,FALSE()))))),1,0)</f>
        <v>1</v>
      </c>
      <c r="CM14" s="1" t="n">
        <f aca="false">IF(AND('Daily Workforce'!$N80="Y",'Daily Workforce'!$B80&lt;&gt;"",COUNTIF('Daily Schedule'!$F$5:$F17,'Daily Workforce'!$B80)=0,IF('Daily Schedule'!$A18=45,'Daily Workforce'!$J80="Y",IF(OR('Daily Schedule'!$A18=4,'Daily Schedule'!$A18=8),IF(OR(WEEKDAY('Daily Schedule'!$B$2,2)=1,WEEKDAY('Daily Schedule'!$B$2,2)=4,WEEKDAY('Daily Schedule'!$B$2,2)=5,WEEKDAY('Daily Schedule'!$B$2,2)=7),IFERROR(1*'Daily Workforce'!$K80&gt;=3,FALSE()),IFERROR(1*'Daily Workforce'!$K80&gt;=2,FALSE())),IF(AND('Daily Schedule'!$A18&gt;=46,'Daily Schedule'!$A18&lt;=52),'Daily Workforce'!$M80="Y",IFERROR(1*'Daily Workforce'!$P80&gt;=2,FALSE()))))),1,0)</f>
        <v>1</v>
      </c>
      <c r="CN14" s="1" t="n">
        <f aca="false">IF(AND('Daily Workforce'!$N81="Y",'Daily Workforce'!$B81&lt;&gt;"",COUNTIF('Daily Schedule'!$F$5:$F17,'Daily Workforce'!$B81)=0,IF('Daily Schedule'!$A18=45,'Daily Workforce'!$J81="Y",IF(OR('Daily Schedule'!$A18=4,'Daily Schedule'!$A18=8),IF(OR(WEEKDAY('Daily Schedule'!$B$2,2)=1,WEEKDAY('Daily Schedule'!$B$2,2)=4,WEEKDAY('Daily Schedule'!$B$2,2)=5,WEEKDAY('Daily Schedule'!$B$2,2)=7),IFERROR(1*'Daily Workforce'!$K81&gt;=3,FALSE()),IFERROR(1*'Daily Workforce'!$K81&gt;=2,FALSE())),IF(AND('Daily Schedule'!$A18&gt;=46,'Daily Schedule'!$A18&lt;=52),'Daily Workforce'!$M81="Y",IFERROR(1*'Daily Workforce'!$P81&gt;=2,FALSE()))))),1,0)</f>
        <v>1</v>
      </c>
      <c r="CO14" s="1" t="n">
        <f aca="false">IF(AND('Daily Workforce'!$N82="Y",'Daily Workforce'!$B82&lt;&gt;"",COUNTIF('Daily Schedule'!$F$5:$F17,'Daily Workforce'!$B82)=0,IF('Daily Schedule'!$A18=45,'Daily Workforce'!$J82="Y",IF(OR('Daily Schedule'!$A18=4,'Daily Schedule'!$A18=8),IF(OR(WEEKDAY('Daily Schedule'!$B$2,2)=1,WEEKDAY('Daily Schedule'!$B$2,2)=4,WEEKDAY('Daily Schedule'!$B$2,2)=5,WEEKDAY('Daily Schedule'!$B$2,2)=7),IFERROR(1*'Daily Workforce'!$K82&gt;=3,FALSE()),IFERROR(1*'Daily Workforce'!$K82&gt;=2,FALSE())),IF(AND('Daily Schedule'!$A18&gt;=46,'Daily Schedule'!$A18&lt;=52),'Daily Workforce'!$M82="Y",IFERROR(1*'Daily Workforce'!$P82&gt;=2,FALSE()))))),1,0)</f>
        <v>1</v>
      </c>
      <c r="CP14" s="1" t="n">
        <f aca="false">IF(AND('Daily Workforce'!$N83="Y",'Daily Workforce'!$B83&lt;&gt;"",COUNTIF('Daily Schedule'!$F$5:$F17,'Daily Workforce'!$B83)=0,IF('Daily Schedule'!$A18=45,'Daily Workforce'!$J83="Y",IF(OR('Daily Schedule'!$A18=4,'Daily Schedule'!$A18=8),IF(OR(WEEKDAY('Daily Schedule'!$B$2,2)=1,WEEKDAY('Daily Schedule'!$B$2,2)=4,WEEKDAY('Daily Schedule'!$B$2,2)=5,WEEKDAY('Daily Schedule'!$B$2,2)=7),IFERROR(1*'Daily Workforce'!$K83&gt;=3,FALSE()),IFERROR(1*'Daily Workforce'!$K83&gt;=2,FALSE())),IF(AND('Daily Schedule'!$A18&gt;=46,'Daily Schedule'!$A18&lt;=52),'Daily Workforce'!$M83="Y",IFERROR(1*'Daily Workforce'!$P83&gt;=2,FALSE()))))),1,0)</f>
        <v>0</v>
      </c>
      <c r="CQ14" s="1" t="n">
        <f aca="false">IF(AND('Daily Workforce'!$N84="Y",'Daily Workforce'!$B84&lt;&gt;"",COUNTIF('Daily Schedule'!$F$5:$F17,'Daily Workforce'!$B84)=0,IF('Daily Schedule'!$A18=45,'Daily Workforce'!$J84="Y",IF(OR('Daily Schedule'!$A18=4,'Daily Schedule'!$A18=8),IF(OR(WEEKDAY('Daily Schedule'!$B$2,2)=1,WEEKDAY('Daily Schedule'!$B$2,2)=4,WEEKDAY('Daily Schedule'!$B$2,2)=5,WEEKDAY('Daily Schedule'!$B$2,2)=7),IFERROR(1*'Daily Workforce'!$K84&gt;=3,FALSE()),IFERROR(1*'Daily Workforce'!$K84&gt;=2,FALSE())),IF(AND('Daily Schedule'!$A18&gt;=46,'Daily Schedule'!$A18&lt;=52),'Daily Workforce'!$M84="Y",IFERROR(1*'Daily Workforce'!$P84&gt;=2,FALSE()))))),1,0)</f>
        <v>1</v>
      </c>
      <c r="CR14" s="1" t="n">
        <f aca="false">IF(AND('Daily Workforce'!$N85="Y",'Daily Workforce'!$B85&lt;&gt;"",COUNTIF('Daily Schedule'!$F$5:$F17,'Daily Workforce'!$B85)=0,IF('Daily Schedule'!$A18=45,'Daily Workforce'!$J85="Y",IF(OR('Daily Schedule'!$A18=4,'Daily Schedule'!$A18=8),IF(OR(WEEKDAY('Daily Schedule'!$B$2,2)=1,WEEKDAY('Daily Schedule'!$B$2,2)=4,WEEKDAY('Daily Schedule'!$B$2,2)=5,WEEKDAY('Daily Schedule'!$B$2,2)=7),IFERROR(1*'Daily Workforce'!$K85&gt;=3,FALSE()),IFERROR(1*'Daily Workforce'!$K85&gt;=2,FALSE())),IF(AND('Daily Schedule'!$A18&gt;=46,'Daily Schedule'!$A18&lt;=52),'Daily Workforce'!$M85="Y",IFERROR(1*'Daily Workforce'!$P85&gt;=2,FALSE()))))),1,0)</f>
        <v>0</v>
      </c>
      <c r="CS14" s="1" t="n">
        <f aca="false">IF(AND('Daily Workforce'!$N86="Y",'Daily Workforce'!$B86&lt;&gt;"",COUNTIF('Daily Schedule'!$F$5:$F17,'Daily Workforce'!$B86)=0,IF('Daily Schedule'!$A18=45,'Daily Workforce'!$J86="Y",IF(OR('Daily Schedule'!$A18=4,'Daily Schedule'!$A18=8),IF(OR(WEEKDAY('Daily Schedule'!$B$2,2)=1,WEEKDAY('Daily Schedule'!$B$2,2)=4,WEEKDAY('Daily Schedule'!$B$2,2)=5,WEEKDAY('Daily Schedule'!$B$2,2)=7),IFERROR(1*'Daily Workforce'!$K86&gt;=3,FALSE()),IFERROR(1*'Daily Workforce'!$K86&gt;=2,FALSE())),IF(AND('Daily Schedule'!$A18&gt;=46,'Daily Schedule'!$A18&lt;=52),'Daily Workforce'!$M86="Y",IFERROR(1*'Daily Workforce'!$P86&gt;=2,FALSE()))))),1,0)</f>
        <v>1</v>
      </c>
      <c r="CT14" s="1" t="n">
        <f aca="false">IF(AND('Daily Workforce'!$N87="Y",'Daily Workforce'!$B87&lt;&gt;"",COUNTIF('Daily Schedule'!$F$5:$F17,'Daily Workforce'!$B87)=0,IF('Daily Schedule'!$A18=45,'Daily Workforce'!$J87="Y",IF(OR('Daily Schedule'!$A18=4,'Daily Schedule'!$A18=8),IF(OR(WEEKDAY('Daily Schedule'!$B$2,2)=1,WEEKDAY('Daily Schedule'!$B$2,2)=4,WEEKDAY('Daily Schedule'!$B$2,2)=5,WEEKDAY('Daily Schedule'!$B$2,2)=7),IFERROR(1*'Daily Workforce'!$K87&gt;=3,FALSE()),IFERROR(1*'Daily Workforce'!$K87&gt;=2,FALSE())),IF(AND('Daily Schedule'!$A18&gt;=46,'Daily Schedule'!$A18&lt;=52),'Daily Workforce'!$M87="Y",IFERROR(1*'Daily Workforce'!$P87&gt;=2,FALSE()))))),1,0)</f>
        <v>1</v>
      </c>
      <c r="CU14" s="1" t="n">
        <f aca="false">IF(AND('Daily Workforce'!$N88="Y",'Daily Workforce'!$B88&lt;&gt;"",COUNTIF('Daily Schedule'!$F$5:$F17,'Daily Workforce'!$B88)=0,IF('Daily Schedule'!$A18=45,'Daily Workforce'!$J88="Y",IF(OR('Daily Schedule'!$A18=4,'Daily Schedule'!$A18=8),IF(OR(WEEKDAY('Daily Schedule'!$B$2,2)=1,WEEKDAY('Daily Schedule'!$B$2,2)=4,WEEKDAY('Daily Schedule'!$B$2,2)=5,WEEKDAY('Daily Schedule'!$B$2,2)=7),IFERROR(1*'Daily Workforce'!$K88&gt;=3,FALSE()),IFERROR(1*'Daily Workforce'!$K88&gt;=2,FALSE())),IF(AND('Daily Schedule'!$A18&gt;=46,'Daily Schedule'!$A18&lt;=52),'Daily Workforce'!$M88="Y",IFERROR(1*'Daily Workforce'!$P88&gt;=2,FALSE()))))),1,0)</f>
        <v>1</v>
      </c>
      <c r="CV14" s="1" t="n">
        <f aca="false">IF(AND('Daily Workforce'!$N89="Y",'Daily Workforce'!$B89&lt;&gt;"",COUNTIF('Daily Schedule'!$F$5:$F17,'Daily Workforce'!$B89)=0,IF('Daily Schedule'!$A18=45,'Daily Workforce'!$J89="Y",IF(OR('Daily Schedule'!$A18=4,'Daily Schedule'!$A18=8),IF(OR(WEEKDAY('Daily Schedule'!$B$2,2)=1,WEEKDAY('Daily Schedule'!$B$2,2)=4,WEEKDAY('Daily Schedule'!$B$2,2)=5,WEEKDAY('Daily Schedule'!$B$2,2)=7),IFERROR(1*'Daily Workforce'!$K89&gt;=3,FALSE()),IFERROR(1*'Daily Workforce'!$K89&gt;=2,FALSE())),IF(AND('Daily Schedule'!$A18&gt;=46,'Daily Schedule'!$A18&lt;=52),'Daily Workforce'!$M89="Y",IFERROR(1*'Daily Workforce'!$P89&gt;=2,FALSE()))))),1,0)</f>
        <v>1</v>
      </c>
      <c r="CW14" s="1" t="n">
        <f aca="false">IF(AND('Daily Workforce'!$N90="Y",'Daily Workforce'!$B90&lt;&gt;"",COUNTIF('Daily Schedule'!$F$5:$F17,'Daily Workforce'!$B90)=0,IF('Daily Schedule'!$A18=45,'Daily Workforce'!$J90="Y",IF(OR('Daily Schedule'!$A18=4,'Daily Schedule'!$A18=8),IF(OR(WEEKDAY('Daily Schedule'!$B$2,2)=1,WEEKDAY('Daily Schedule'!$B$2,2)=4,WEEKDAY('Daily Schedule'!$B$2,2)=5,WEEKDAY('Daily Schedule'!$B$2,2)=7),IFERROR(1*'Daily Workforce'!$K90&gt;=3,FALSE()),IFERROR(1*'Daily Workforce'!$K90&gt;=2,FALSE())),IF(AND('Daily Schedule'!$A18&gt;=46,'Daily Schedule'!$A18&lt;=52),'Daily Workforce'!$M90="Y",IFERROR(1*'Daily Workforce'!$P90&gt;=2,FALSE()))))),1,0)</f>
        <v>1</v>
      </c>
      <c r="CX14" s="1" t="n">
        <f aca="false">IF(AND('Daily Workforce'!$N91="Y",'Daily Workforce'!$B91&lt;&gt;"",COUNTIF('Daily Schedule'!$F$5:$F17,'Daily Workforce'!$B91)=0,IF('Daily Schedule'!$A18=45,'Daily Workforce'!$J91="Y",IF(OR('Daily Schedule'!$A18=4,'Daily Schedule'!$A18=8),IF(OR(WEEKDAY('Daily Schedule'!$B$2,2)=1,WEEKDAY('Daily Schedule'!$B$2,2)=4,WEEKDAY('Daily Schedule'!$B$2,2)=5,WEEKDAY('Daily Schedule'!$B$2,2)=7),IFERROR(1*'Daily Workforce'!$K91&gt;=3,FALSE()),IFERROR(1*'Daily Workforce'!$K91&gt;=2,FALSE())),IF(AND('Daily Schedule'!$A18&gt;=46,'Daily Schedule'!$A18&lt;=52),'Daily Workforce'!$M91="Y",IFERROR(1*'Daily Workforce'!$P91&gt;=2,FALSE()))))),1,0)</f>
        <v>1</v>
      </c>
      <c r="CY14" s="1" t="n">
        <f aca="false">IF(AND('Daily Workforce'!$N92="Y",'Daily Workforce'!$B92&lt;&gt;"",COUNTIF('Daily Schedule'!$F$5:$F17,'Daily Workforce'!$B92)=0,IF('Daily Schedule'!$A18=45,'Daily Workforce'!$J92="Y",IF(OR('Daily Schedule'!$A18=4,'Daily Schedule'!$A18=8),IF(OR(WEEKDAY('Daily Schedule'!$B$2,2)=1,WEEKDAY('Daily Schedule'!$B$2,2)=4,WEEKDAY('Daily Schedule'!$B$2,2)=5,WEEKDAY('Daily Schedule'!$B$2,2)=7),IFERROR(1*'Daily Workforce'!$K92&gt;=3,FALSE()),IFERROR(1*'Daily Workforce'!$K92&gt;=2,FALSE())),IF(AND('Daily Schedule'!$A18&gt;=46,'Daily Schedule'!$A18&lt;=52),'Daily Workforce'!$M92="Y",IFERROR(1*'Daily Workforce'!$P92&gt;=2,FALSE()))))),1,0)</f>
        <v>1</v>
      </c>
      <c r="CZ14" s="1" t="n">
        <f aca="false">IF(AND('Daily Workforce'!$N93="Y",'Daily Workforce'!$B93&lt;&gt;"",COUNTIF('Daily Schedule'!$F$5:$F17,'Daily Workforce'!$B93)=0,IF('Daily Schedule'!$A18=45,'Daily Workforce'!$J93="Y",IF(OR('Daily Schedule'!$A18=4,'Daily Schedule'!$A18=8),IF(OR(WEEKDAY('Daily Schedule'!$B$2,2)=1,WEEKDAY('Daily Schedule'!$B$2,2)=4,WEEKDAY('Daily Schedule'!$B$2,2)=5,WEEKDAY('Daily Schedule'!$B$2,2)=7),IFERROR(1*'Daily Workforce'!$K93&gt;=3,FALSE()),IFERROR(1*'Daily Workforce'!$K93&gt;=2,FALSE())),IF(AND('Daily Schedule'!$A18&gt;=46,'Daily Schedule'!$A18&lt;=52),'Daily Workforce'!$M93="Y",IFERROR(1*'Daily Workforce'!$P93&gt;=2,FALSE()))))),1,0)</f>
        <v>1</v>
      </c>
      <c r="DA14" s="1" t="n">
        <f aca="false">IF(AND('Daily Workforce'!$N94="Y",'Daily Workforce'!$B94&lt;&gt;"",COUNTIF('Daily Schedule'!$F$5:$F17,'Daily Workforce'!$B94)=0,IF('Daily Schedule'!$A18=45,'Daily Workforce'!$J94="Y",IF(OR('Daily Schedule'!$A18=4,'Daily Schedule'!$A18=8),IF(OR(WEEKDAY('Daily Schedule'!$B$2,2)=1,WEEKDAY('Daily Schedule'!$B$2,2)=4,WEEKDAY('Daily Schedule'!$B$2,2)=5,WEEKDAY('Daily Schedule'!$B$2,2)=7),IFERROR(1*'Daily Workforce'!$K94&gt;=3,FALSE()),IFERROR(1*'Daily Workforce'!$K94&gt;=2,FALSE())),IF(AND('Daily Schedule'!$A18&gt;=46,'Daily Schedule'!$A18&lt;=52),'Daily Workforce'!$M94="Y",IFERROR(1*'Daily Workforce'!$P94&gt;=2,FALSE()))))),1,0)</f>
        <v>1</v>
      </c>
      <c r="DB14" s="1" t="n">
        <f aca="false">IF(AND('Daily Workforce'!$N95="Y",'Daily Workforce'!$B95&lt;&gt;"",COUNTIF('Daily Schedule'!$F$5:$F17,'Daily Workforce'!$B95)=0,IF('Daily Schedule'!$A18=45,'Daily Workforce'!$J95="Y",IF(OR('Daily Schedule'!$A18=4,'Daily Schedule'!$A18=8),IF(OR(WEEKDAY('Daily Schedule'!$B$2,2)=1,WEEKDAY('Daily Schedule'!$B$2,2)=4,WEEKDAY('Daily Schedule'!$B$2,2)=5,WEEKDAY('Daily Schedule'!$B$2,2)=7),IFERROR(1*'Daily Workforce'!$K95&gt;=3,FALSE()),IFERROR(1*'Daily Workforce'!$K95&gt;=2,FALSE())),IF(AND('Daily Schedule'!$A18&gt;=46,'Daily Schedule'!$A18&lt;=52),'Daily Workforce'!$M95="Y",IFERROR(1*'Daily Workforce'!$P95&gt;=2,FALSE()))))),1,0)</f>
        <v>1</v>
      </c>
      <c r="DC14" s="1" t="n">
        <f aca="false">IF(AND('Daily Workforce'!$N96="Y",'Daily Workforce'!$B96&lt;&gt;"",COUNTIF('Daily Schedule'!$F$5:$F17,'Daily Workforce'!$B96)=0,IF('Daily Schedule'!$A18=45,'Daily Workforce'!$J96="Y",IF(OR('Daily Schedule'!$A18=4,'Daily Schedule'!$A18=8),IF(OR(WEEKDAY('Daily Schedule'!$B$2,2)=1,WEEKDAY('Daily Schedule'!$B$2,2)=4,WEEKDAY('Daily Schedule'!$B$2,2)=5,WEEKDAY('Daily Schedule'!$B$2,2)=7),IFERROR(1*'Daily Workforce'!$K96&gt;=3,FALSE()),IFERROR(1*'Daily Workforce'!$K96&gt;=2,FALSE())),IF(AND('Daily Schedule'!$A18&gt;=46,'Daily Schedule'!$A18&lt;=52),'Daily Workforce'!$M96="Y",IFERROR(1*'Daily Workforce'!$P96&gt;=2,FALSE()))))),1,0)</f>
        <v>1</v>
      </c>
      <c r="DD14" s="1" t="n">
        <f aca="false">IF(AND('Daily Workforce'!$N97="Y",'Daily Workforce'!$B97&lt;&gt;"",COUNTIF('Daily Schedule'!$F$5:$F17,'Daily Workforce'!$B97)=0,IF('Daily Schedule'!$A18=45,'Daily Workforce'!$J97="Y",IF(OR('Daily Schedule'!$A18=4,'Daily Schedule'!$A18=8),IF(OR(WEEKDAY('Daily Schedule'!$B$2,2)=1,WEEKDAY('Daily Schedule'!$B$2,2)=4,WEEKDAY('Daily Schedule'!$B$2,2)=5,WEEKDAY('Daily Schedule'!$B$2,2)=7),IFERROR(1*'Daily Workforce'!$K97&gt;=3,FALSE()),IFERROR(1*'Daily Workforce'!$K97&gt;=2,FALSE())),IF(AND('Daily Schedule'!$A18&gt;=46,'Daily Schedule'!$A18&lt;=52),'Daily Workforce'!$M97="Y",IFERROR(1*'Daily Workforce'!$P97&gt;=2,FALSE()))))),1,0)</f>
        <v>1</v>
      </c>
      <c r="DE14" s="1" t="n">
        <f aca="false">IF(AND('Daily Workforce'!$N98="Y",'Daily Workforce'!$B98&lt;&gt;"",COUNTIF('Daily Schedule'!$F$5:$F17,'Daily Workforce'!$B98)=0,IF('Daily Schedule'!$A18=45,'Daily Workforce'!$J98="Y",IF(OR('Daily Schedule'!$A18=4,'Daily Schedule'!$A18=8),IF(OR(WEEKDAY('Daily Schedule'!$B$2,2)=1,WEEKDAY('Daily Schedule'!$B$2,2)=4,WEEKDAY('Daily Schedule'!$B$2,2)=5,WEEKDAY('Daily Schedule'!$B$2,2)=7),IFERROR(1*'Daily Workforce'!$K98&gt;=3,FALSE()),IFERROR(1*'Daily Workforce'!$K98&gt;=2,FALSE())),IF(AND('Daily Schedule'!$A18&gt;=46,'Daily Schedule'!$A18&lt;=52),'Daily Workforce'!$M98="Y",IFERROR(1*'Daily Workforce'!$P98&gt;=2,FALSE()))))),1,0)</f>
        <v>1</v>
      </c>
      <c r="DF14" s="1" t="n">
        <f aca="false">IF(AND('Daily Workforce'!$N99="Y",'Daily Workforce'!$B99&lt;&gt;"",COUNTIF('Daily Schedule'!$F$5:$F17,'Daily Workforce'!$B99)=0,IF('Daily Schedule'!$A18=45,'Daily Workforce'!$J99="Y",IF(OR('Daily Schedule'!$A18=4,'Daily Schedule'!$A18=8),IF(OR(WEEKDAY('Daily Schedule'!$B$2,2)=1,WEEKDAY('Daily Schedule'!$B$2,2)=4,WEEKDAY('Daily Schedule'!$B$2,2)=5,WEEKDAY('Daily Schedule'!$B$2,2)=7),IFERROR(1*'Daily Workforce'!$K99&gt;=3,FALSE()),IFERROR(1*'Daily Workforce'!$K99&gt;=2,FALSE())),IF(AND('Daily Schedule'!$A18&gt;=46,'Daily Schedule'!$A18&lt;=52),'Daily Workforce'!$M99="Y",IFERROR(1*'Daily Workforce'!$P99&gt;=2,FALSE()))))),1,0)</f>
        <v>1</v>
      </c>
      <c r="DG14" s="1" t="n">
        <f aca="false">IF(AND('Daily Workforce'!$N100="Y",'Daily Workforce'!$B100&lt;&gt;"",COUNTIF('Daily Schedule'!$F$5:$F17,'Daily Workforce'!$B100)=0,IF('Daily Schedule'!$A18=45,'Daily Workforce'!$J100="Y",IF(OR('Daily Schedule'!$A18=4,'Daily Schedule'!$A18=8),IF(OR(WEEKDAY('Daily Schedule'!$B$2,2)=1,WEEKDAY('Daily Schedule'!$B$2,2)=4,WEEKDAY('Daily Schedule'!$B$2,2)=5,WEEKDAY('Daily Schedule'!$B$2,2)=7),IFERROR(1*'Daily Workforce'!$K100&gt;=3,FALSE()),IFERROR(1*'Daily Workforce'!$K100&gt;=2,FALSE())),IF(AND('Daily Schedule'!$A18&gt;=46,'Daily Schedule'!$A18&lt;=52),'Daily Workforce'!$M100="Y",IFERROR(1*'Daily Workforce'!$P100&gt;=2,FALSE()))))),1,0)</f>
        <v>1</v>
      </c>
      <c r="DH14" s="1" t="n">
        <f aca="false">IF(AND('Daily Workforce'!$N101="Y",'Daily Workforce'!$B101&lt;&gt;"",COUNTIF('Daily Schedule'!$F$5:$F17,'Daily Workforce'!$B101)=0,IF('Daily Schedule'!$A18=45,'Daily Workforce'!$J101="Y",IF(OR('Daily Schedule'!$A18=4,'Daily Schedule'!$A18=8),IF(OR(WEEKDAY('Daily Schedule'!$B$2,2)=1,WEEKDAY('Daily Schedule'!$B$2,2)=4,WEEKDAY('Daily Schedule'!$B$2,2)=5,WEEKDAY('Daily Schedule'!$B$2,2)=7),IFERROR(1*'Daily Workforce'!$K101&gt;=3,FALSE()),IFERROR(1*'Daily Workforce'!$K101&gt;=2,FALSE())),IF(AND('Daily Schedule'!$A18&gt;=46,'Daily Schedule'!$A18&lt;=52),'Daily Workforce'!$M101="Y",IFERROR(1*'Daily Workforce'!$P101&gt;=2,FALSE()))))),1,0)</f>
        <v>1</v>
      </c>
      <c r="DI14" s="1" t="n">
        <f aca="false">IF(AND('Daily Workforce'!$N102="Y",'Daily Workforce'!$B102&lt;&gt;"",COUNTIF('Daily Schedule'!$F$5:$F17,'Daily Workforce'!$B102)=0,IF('Daily Schedule'!$A18=45,'Daily Workforce'!$J102="Y",IF(OR('Daily Schedule'!$A18=4,'Daily Schedule'!$A18=8),IF(OR(WEEKDAY('Daily Schedule'!$B$2,2)=1,WEEKDAY('Daily Schedule'!$B$2,2)=4,WEEKDAY('Daily Schedule'!$B$2,2)=5,WEEKDAY('Daily Schedule'!$B$2,2)=7),IFERROR(1*'Daily Workforce'!$K102&gt;=3,FALSE()),IFERROR(1*'Daily Workforce'!$K102&gt;=2,FALSE())),IF(AND('Daily Schedule'!$A18&gt;=46,'Daily Schedule'!$A18&lt;=52),'Daily Workforce'!$M102="Y",IFERROR(1*'Daily Workforce'!$P102&gt;=2,FALSE()))))),1,0)</f>
        <v>1</v>
      </c>
      <c r="DJ14" s="1" t="n">
        <f aca="false">IF(AND('Daily Workforce'!$N103="Y",'Daily Workforce'!$B103&lt;&gt;"",COUNTIF('Daily Schedule'!$F$5:$F17,'Daily Workforce'!$B103)=0,IF('Daily Schedule'!$A18=45,'Daily Workforce'!$J103="Y",IF(OR('Daily Schedule'!$A18=4,'Daily Schedule'!$A18=8),IF(OR(WEEKDAY('Daily Schedule'!$B$2,2)=1,WEEKDAY('Daily Schedule'!$B$2,2)=4,WEEKDAY('Daily Schedule'!$B$2,2)=5,WEEKDAY('Daily Schedule'!$B$2,2)=7),IFERROR(1*'Daily Workforce'!$K103&gt;=3,FALSE()),IFERROR(1*'Daily Workforce'!$K103&gt;=2,FALSE())),IF(AND('Daily Schedule'!$A18&gt;=46,'Daily Schedule'!$A18&lt;=52),'Daily Workforce'!$M103="Y",IFERROR(1*'Daily Workforce'!$P103&gt;=2,FALSE()))))),1,0)</f>
        <v>1</v>
      </c>
      <c r="DK14" s="1" t="n">
        <f aca="false">IF(AND('Daily Workforce'!$N104="Y",'Daily Workforce'!$B104&lt;&gt;"",COUNTIF('Daily Schedule'!$F$5:$F17,'Daily Workforce'!$B104)=0,IF('Daily Schedule'!$A18=45,'Daily Workforce'!$J104="Y",IF(OR('Daily Schedule'!$A18=4,'Daily Schedule'!$A18=8),IF(OR(WEEKDAY('Daily Schedule'!$B$2,2)=1,WEEKDAY('Daily Schedule'!$B$2,2)=4,WEEKDAY('Daily Schedule'!$B$2,2)=5,WEEKDAY('Daily Schedule'!$B$2,2)=7),IFERROR(1*'Daily Workforce'!$K104&gt;=3,FALSE()),IFERROR(1*'Daily Workforce'!$K104&gt;=2,FALSE())),IF(AND('Daily Schedule'!$A18&gt;=46,'Daily Schedule'!$A18&lt;=52),'Daily Workforce'!$M104="Y",IFERROR(1*'Daily Workforce'!$P104&gt;=2,FALSE()))))),1,0)</f>
        <v>1</v>
      </c>
      <c r="DL14" s="1" t="n">
        <f aca="false">IF(AND('Daily Workforce'!$N105="Y",'Daily Workforce'!$B105&lt;&gt;"",COUNTIF('Daily Schedule'!$F$5:$F17,'Daily Workforce'!$B105)=0,IF('Daily Schedule'!$A18=45,'Daily Workforce'!$J105="Y",IF(OR('Daily Schedule'!$A18=4,'Daily Schedule'!$A18=8),IF(OR(WEEKDAY('Daily Schedule'!$B$2,2)=1,WEEKDAY('Daily Schedule'!$B$2,2)=4,WEEKDAY('Daily Schedule'!$B$2,2)=5,WEEKDAY('Daily Schedule'!$B$2,2)=7),IFERROR(1*'Daily Workforce'!$K105&gt;=3,FALSE()),IFERROR(1*'Daily Workforce'!$K105&gt;=2,FALSE())),IF(AND('Daily Schedule'!$A18&gt;=46,'Daily Schedule'!$A18&lt;=52),'Daily Workforce'!$M105="Y",IFERROR(1*'Daily Workforce'!$P105&gt;=2,FALSE()))))),1,0)</f>
        <v>0</v>
      </c>
      <c r="DM14" s="1" t="n">
        <f aca="false">IF(AND('Daily Workforce'!$N106="Y",'Daily Workforce'!$B106&lt;&gt;"",COUNTIF('Daily Schedule'!$F$5:$F17,'Daily Workforce'!$B106)=0,IF('Daily Schedule'!$A18=45,'Daily Workforce'!$J106="Y",IF(OR('Daily Schedule'!$A18=4,'Daily Schedule'!$A18=8),IF(OR(WEEKDAY('Daily Schedule'!$B$2,2)=1,WEEKDAY('Daily Schedule'!$B$2,2)=4,WEEKDAY('Daily Schedule'!$B$2,2)=5,WEEKDAY('Daily Schedule'!$B$2,2)=7),IFERROR(1*'Daily Workforce'!$K106&gt;=3,FALSE()),IFERROR(1*'Daily Workforce'!$K106&gt;=2,FALSE())),IF(AND('Daily Schedule'!$A18&gt;=46,'Daily Schedule'!$A18&lt;=52),'Daily Workforce'!$M106="Y",IFERROR(1*'Daily Workforce'!$P106&gt;=2,FALSE()))))),1,0)</f>
        <v>1</v>
      </c>
      <c r="DN14" s="1" t="n">
        <f aca="false">IF(AND('Daily Workforce'!$N107="Y",'Daily Workforce'!$B107&lt;&gt;"",COUNTIF('Daily Schedule'!$F$5:$F17,'Daily Workforce'!$B107)=0,IF('Daily Schedule'!$A18=45,'Daily Workforce'!$J107="Y",IF(OR('Daily Schedule'!$A18=4,'Daily Schedule'!$A18=8),IF(OR(WEEKDAY('Daily Schedule'!$B$2,2)=1,WEEKDAY('Daily Schedule'!$B$2,2)=4,WEEKDAY('Daily Schedule'!$B$2,2)=5,WEEKDAY('Daily Schedule'!$B$2,2)=7),IFERROR(1*'Daily Workforce'!$K107&gt;=3,FALSE()),IFERROR(1*'Daily Workforce'!$K107&gt;=2,FALSE())),IF(AND('Daily Schedule'!$A18&gt;=46,'Daily Schedule'!$A18&lt;=52),'Daily Workforce'!$M107="Y",IFERROR(1*'Daily Workforce'!$P107&gt;=2,FALSE()))))),1,0)</f>
        <v>1</v>
      </c>
      <c r="DO14" s="1" t="n">
        <f aca="false">IF(AND('Daily Workforce'!$N108="Y",'Daily Workforce'!$B108&lt;&gt;"",COUNTIF('Daily Schedule'!$F$5:$F17,'Daily Workforce'!$B108)=0,IF('Daily Schedule'!$A18=45,'Daily Workforce'!$J108="Y",IF(OR('Daily Schedule'!$A18=4,'Daily Schedule'!$A18=8),IF(OR(WEEKDAY('Daily Schedule'!$B$2,2)=1,WEEKDAY('Daily Schedule'!$B$2,2)=4,WEEKDAY('Daily Schedule'!$B$2,2)=5,WEEKDAY('Daily Schedule'!$B$2,2)=7),IFERROR(1*'Daily Workforce'!$K108&gt;=3,FALSE()),IFERROR(1*'Daily Workforce'!$K108&gt;=2,FALSE())),IF(AND('Daily Schedule'!$A18&gt;=46,'Daily Schedule'!$A18&lt;=52),'Daily Workforce'!$M108="Y",IFERROR(1*'Daily Workforce'!$P108&gt;=2,FALSE()))))),1,0)</f>
        <v>1</v>
      </c>
      <c r="DP14" s="1" t="n">
        <f aca="false">IF(AND('Daily Workforce'!$N109="Y",'Daily Workforce'!$B109&lt;&gt;"",COUNTIF('Daily Schedule'!$F$5:$F17,'Daily Workforce'!$B109)=0,IF('Daily Schedule'!$A18=45,'Daily Workforce'!$J109="Y",IF(OR('Daily Schedule'!$A18=4,'Daily Schedule'!$A18=8),IF(OR(WEEKDAY('Daily Schedule'!$B$2,2)=1,WEEKDAY('Daily Schedule'!$B$2,2)=4,WEEKDAY('Daily Schedule'!$B$2,2)=5,WEEKDAY('Daily Schedule'!$B$2,2)=7),IFERROR(1*'Daily Workforce'!$K109&gt;=3,FALSE()),IFERROR(1*'Daily Workforce'!$K109&gt;=2,FALSE())),IF(AND('Daily Schedule'!$A18&gt;=46,'Daily Schedule'!$A18&lt;=52),'Daily Workforce'!$M109="Y",IFERROR(1*'Daily Workforce'!$P109&gt;=2,FALSE()))))),1,0)</f>
        <v>1</v>
      </c>
      <c r="DQ14" s="1" t="n">
        <f aca="false">IF(AND('Daily Workforce'!$N110="Y",'Daily Workforce'!$B110&lt;&gt;"",COUNTIF('Daily Schedule'!$F$5:$F17,'Daily Workforce'!$B110)=0,IF('Daily Schedule'!$A18=45,'Daily Workforce'!$J110="Y",IF(OR('Daily Schedule'!$A18=4,'Daily Schedule'!$A18=8),IF(OR(WEEKDAY('Daily Schedule'!$B$2,2)=1,WEEKDAY('Daily Schedule'!$B$2,2)=4,WEEKDAY('Daily Schedule'!$B$2,2)=5,WEEKDAY('Daily Schedule'!$B$2,2)=7),IFERROR(1*'Daily Workforce'!$K110&gt;=3,FALSE()),IFERROR(1*'Daily Workforce'!$K110&gt;=2,FALSE())),IF(AND('Daily Schedule'!$A18&gt;=46,'Daily Schedule'!$A18&lt;=52),'Daily Workforce'!$M110="Y",IFERROR(1*'Daily Workforce'!$P110&gt;=2,FALSE()))))),1,0)</f>
        <v>1</v>
      </c>
      <c r="DR14" s="1" t="n">
        <f aca="false">IF(AND('Daily Workforce'!$N111="Y",'Daily Workforce'!$B111&lt;&gt;"",COUNTIF('Daily Schedule'!$F$5:$F17,'Daily Workforce'!$B111)=0,IF('Daily Schedule'!$A18=45,'Daily Workforce'!$J111="Y",IF(OR('Daily Schedule'!$A18=4,'Daily Schedule'!$A18=8),IF(OR(WEEKDAY('Daily Schedule'!$B$2,2)=1,WEEKDAY('Daily Schedule'!$B$2,2)=4,WEEKDAY('Daily Schedule'!$B$2,2)=5,WEEKDAY('Daily Schedule'!$B$2,2)=7),IFERROR(1*'Daily Workforce'!$K111&gt;=3,FALSE()),IFERROR(1*'Daily Workforce'!$K111&gt;=2,FALSE())),IF(AND('Daily Schedule'!$A18&gt;=46,'Daily Schedule'!$A18&lt;=52),'Daily Workforce'!$M111="Y",IFERROR(1*'Daily Workforce'!$P111&gt;=2,FALSE()))))),1,0)</f>
        <v>1</v>
      </c>
      <c r="DS14" s="1" t="n">
        <f aca="false">IF(AND('Daily Workforce'!$N112="Y",'Daily Workforce'!$B112&lt;&gt;"",COUNTIF('Daily Schedule'!$F$5:$F17,'Daily Workforce'!$B112)=0,IF('Daily Schedule'!$A18=45,'Daily Workforce'!$J112="Y",IF(OR('Daily Schedule'!$A18=4,'Daily Schedule'!$A18=8),IF(OR(WEEKDAY('Daily Schedule'!$B$2,2)=1,WEEKDAY('Daily Schedule'!$B$2,2)=4,WEEKDAY('Daily Schedule'!$B$2,2)=5,WEEKDAY('Daily Schedule'!$B$2,2)=7),IFERROR(1*'Daily Workforce'!$K112&gt;=3,FALSE()),IFERROR(1*'Daily Workforce'!$K112&gt;=2,FALSE())),IF(AND('Daily Schedule'!$A18&gt;=46,'Daily Schedule'!$A18&lt;=52),'Daily Workforce'!$M112="Y",IFERROR(1*'Daily Workforce'!$P112&gt;=2,FALSE()))))),1,0)</f>
        <v>1</v>
      </c>
      <c r="DT14" s="1" t="n">
        <f aca="false">IF(AND('Daily Workforce'!$N113="Y",'Daily Workforce'!$B113&lt;&gt;"",COUNTIF('Daily Schedule'!$F$5:$F17,'Daily Workforce'!$B113)=0,IF('Daily Schedule'!$A18=45,'Daily Workforce'!$J113="Y",IF(OR('Daily Schedule'!$A18=4,'Daily Schedule'!$A18=8),IF(OR(WEEKDAY('Daily Schedule'!$B$2,2)=1,WEEKDAY('Daily Schedule'!$B$2,2)=4,WEEKDAY('Daily Schedule'!$B$2,2)=5,WEEKDAY('Daily Schedule'!$B$2,2)=7),IFERROR(1*'Daily Workforce'!$K113&gt;=3,FALSE()),IFERROR(1*'Daily Workforce'!$K113&gt;=2,FALSE())),IF(AND('Daily Schedule'!$A18&gt;=46,'Daily Schedule'!$A18&lt;=52),'Daily Workforce'!$M113="Y",IFERROR(1*'Daily Workforce'!$P113&gt;=2,FALSE()))))),1,0)</f>
        <v>1</v>
      </c>
      <c r="DU14" s="1" t="n">
        <f aca="false">IF(AND('Daily Workforce'!$N114="Y",'Daily Workforce'!$B114&lt;&gt;"",COUNTIF('Daily Schedule'!$F$5:$F17,'Daily Workforce'!$B114)=0,IF('Daily Schedule'!$A18=45,'Daily Workforce'!$J114="Y",IF(OR('Daily Schedule'!$A18=4,'Daily Schedule'!$A18=8),IF(OR(WEEKDAY('Daily Schedule'!$B$2,2)=1,WEEKDAY('Daily Schedule'!$B$2,2)=4,WEEKDAY('Daily Schedule'!$B$2,2)=5,WEEKDAY('Daily Schedule'!$B$2,2)=7),IFERROR(1*'Daily Workforce'!$K114&gt;=3,FALSE()),IFERROR(1*'Daily Workforce'!$K114&gt;=2,FALSE())),IF(AND('Daily Schedule'!$A18&gt;=46,'Daily Schedule'!$A18&lt;=52),'Daily Workforce'!$M114="Y",IFERROR(1*'Daily Workforce'!$P114&gt;=2,FALSE()))))),1,0)</f>
        <v>1</v>
      </c>
      <c r="DV14" s="1" t="n">
        <f aca="false">IF(AND('Daily Workforce'!$N115="Y",'Daily Workforce'!$B115&lt;&gt;"",COUNTIF('Daily Schedule'!$F$5:$F17,'Daily Workforce'!$B115)=0,IF('Daily Schedule'!$A18=45,'Daily Workforce'!$J115="Y",IF(OR('Daily Schedule'!$A18=4,'Daily Schedule'!$A18=8),IF(OR(WEEKDAY('Daily Schedule'!$B$2,2)=1,WEEKDAY('Daily Schedule'!$B$2,2)=4,WEEKDAY('Daily Schedule'!$B$2,2)=5,WEEKDAY('Daily Schedule'!$B$2,2)=7),IFERROR(1*'Daily Workforce'!$K115&gt;=3,FALSE()),IFERROR(1*'Daily Workforce'!$K115&gt;=2,FALSE())),IF(AND('Daily Schedule'!$A18&gt;=46,'Daily Schedule'!$A18&lt;=52),'Daily Workforce'!$M115="Y",IFERROR(1*'Daily Workforce'!$P115&gt;=2,FALSE()))))),1,0)</f>
        <v>1</v>
      </c>
      <c r="DW14" s="1" t="n">
        <f aca="false">IF(AND('Daily Workforce'!$N116="Y",'Daily Workforce'!$B116&lt;&gt;"",COUNTIF('Daily Schedule'!$F$5:$F17,'Daily Workforce'!$B116)=0,IF('Daily Schedule'!$A18=45,'Daily Workforce'!$J116="Y",IF(OR('Daily Schedule'!$A18=4,'Daily Schedule'!$A18=8),IF(OR(WEEKDAY('Daily Schedule'!$B$2,2)=1,WEEKDAY('Daily Schedule'!$B$2,2)=4,WEEKDAY('Daily Schedule'!$B$2,2)=5,WEEKDAY('Daily Schedule'!$B$2,2)=7),IFERROR(1*'Daily Workforce'!$K116&gt;=3,FALSE()),IFERROR(1*'Daily Workforce'!$K116&gt;=2,FALSE())),IF(AND('Daily Schedule'!$A18&gt;=46,'Daily Schedule'!$A18&lt;=52),'Daily Workforce'!$M116="Y",IFERROR(1*'Daily Workforce'!$P116&gt;=2,FALSE()))))),1,0)</f>
        <v>1</v>
      </c>
      <c r="DX14" s="1" t="n">
        <f aca="false">IF(AND('Daily Workforce'!$N117="Y",'Daily Workforce'!$B117&lt;&gt;"",COUNTIF('Daily Schedule'!$F$5:$F17,'Daily Workforce'!$B117)=0,IF('Daily Schedule'!$A18=45,'Daily Workforce'!$J117="Y",IF(OR('Daily Schedule'!$A18=4,'Daily Schedule'!$A18=8),IF(OR(WEEKDAY('Daily Schedule'!$B$2,2)=1,WEEKDAY('Daily Schedule'!$B$2,2)=4,WEEKDAY('Daily Schedule'!$B$2,2)=5,WEEKDAY('Daily Schedule'!$B$2,2)=7),IFERROR(1*'Daily Workforce'!$K117&gt;=3,FALSE()),IFERROR(1*'Daily Workforce'!$K117&gt;=2,FALSE())),IF(AND('Daily Schedule'!$A18&gt;=46,'Daily Schedule'!$A18&lt;=52),'Daily Workforce'!$M117="Y",IFERROR(1*'Daily Workforce'!$P117&gt;=2,FALSE()))))),1,0)</f>
        <v>1</v>
      </c>
      <c r="DY14" s="1" t="n">
        <f aca="false">IF(AND('Daily Workforce'!$N118="Y",'Daily Workforce'!$B118&lt;&gt;"",COUNTIF('Daily Schedule'!$F$5:$F17,'Daily Workforce'!$B118)=0,IF('Daily Schedule'!$A18=45,'Daily Workforce'!$J118="Y",IF(OR('Daily Schedule'!$A18=4,'Daily Schedule'!$A18=8),IF(OR(WEEKDAY('Daily Schedule'!$B$2,2)=1,WEEKDAY('Daily Schedule'!$B$2,2)=4,WEEKDAY('Daily Schedule'!$B$2,2)=5,WEEKDAY('Daily Schedule'!$B$2,2)=7),IFERROR(1*'Daily Workforce'!$K118&gt;=3,FALSE()),IFERROR(1*'Daily Workforce'!$K118&gt;=2,FALSE())),IF(AND('Daily Schedule'!$A18&gt;=46,'Daily Schedule'!$A18&lt;=52),'Daily Workforce'!$M118="Y",IFERROR(1*'Daily Workforce'!$P118&gt;=2,FALSE()))))),1,0)</f>
        <v>0</v>
      </c>
      <c r="DZ14" s="1" t="n">
        <f aca="false">IF(AND('Daily Workforce'!$N119="Y",'Daily Workforce'!$B119&lt;&gt;"",COUNTIF('Daily Schedule'!$F$5:$F17,'Daily Workforce'!$B119)=0,IF('Daily Schedule'!$A18=45,'Daily Workforce'!$J119="Y",IF(OR('Daily Schedule'!$A18=4,'Daily Schedule'!$A18=8),IF(OR(WEEKDAY('Daily Schedule'!$B$2,2)=1,WEEKDAY('Daily Schedule'!$B$2,2)=4,WEEKDAY('Daily Schedule'!$B$2,2)=5,WEEKDAY('Daily Schedule'!$B$2,2)=7),IFERROR(1*'Daily Workforce'!$K119&gt;=3,FALSE()),IFERROR(1*'Daily Workforce'!$K119&gt;=2,FALSE())),IF(AND('Daily Schedule'!$A18&gt;=46,'Daily Schedule'!$A18&lt;=52),'Daily Workforce'!$M119="Y",IFERROR(1*'Daily Workforce'!$P119&gt;=2,FALSE()))))),1,0)</f>
        <v>0</v>
      </c>
      <c r="EA14" s="1" t="n">
        <f aca="false">IF(AND('Daily Workforce'!$N120="Y",'Daily Workforce'!$B120&lt;&gt;"",COUNTIF('Daily Schedule'!$F$5:$F17,'Daily Workforce'!$B120)=0,IF('Daily Schedule'!$A18=45,'Daily Workforce'!$J120="Y",IF(OR('Daily Schedule'!$A18=4,'Daily Schedule'!$A18=8),IF(OR(WEEKDAY('Daily Schedule'!$B$2,2)=1,WEEKDAY('Daily Schedule'!$B$2,2)=4,WEEKDAY('Daily Schedule'!$B$2,2)=5,WEEKDAY('Daily Schedule'!$B$2,2)=7),IFERROR(1*'Daily Workforce'!$K120&gt;=3,FALSE()),IFERROR(1*'Daily Workforce'!$K120&gt;=2,FALSE())),IF(AND('Daily Schedule'!$A18&gt;=46,'Daily Schedule'!$A18&lt;=52),'Daily Workforce'!$M120="Y",IFERROR(1*'Daily Workforce'!$P120&gt;=2,FALSE()))))),1,0)</f>
        <v>0</v>
      </c>
      <c r="EB14" s="1" t="n">
        <f aca="false">IF(AND('Daily Workforce'!$N121="Y",'Daily Workforce'!$B121&lt;&gt;"",COUNTIF('Daily Schedule'!$F$5:$F17,'Daily Workforce'!$B121)=0,IF('Daily Schedule'!$A18=45,'Daily Workforce'!$J121="Y",IF(OR('Daily Schedule'!$A18=4,'Daily Schedule'!$A18=8),IF(OR(WEEKDAY('Daily Schedule'!$B$2,2)=1,WEEKDAY('Daily Schedule'!$B$2,2)=4,WEEKDAY('Daily Schedule'!$B$2,2)=5,WEEKDAY('Daily Schedule'!$B$2,2)=7),IFERROR(1*'Daily Workforce'!$K121&gt;=3,FALSE()),IFERROR(1*'Daily Workforce'!$K121&gt;=2,FALSE())),IF(AND('Daily Schedule'!$A18&gt;=46,'Daily Schedule'!$A18&lt;=52),'Daily Workforce'!$M121="Y",IFERROR(1*'Daily Workforce'!$P121&gt;=2,FALSE()))))),1,0)</f>
        <v>0</v>
      </c>
      <c r="EC14" s="1" t="n">
        <f aca="false">IF(AND('Daily Workforce'!$N122="Y",'Daily Workforce'!$B122&lt;&gt;"",COUNTIF('Daily Schedule'!$F$5:$F17,'Daily Workforce'!$B122)=0,IF('Daily Schedule'!$A18=45,'Daily Workforce'!$J122="Y",IF(OR('Daily Schedule'!$A18=4,'Daily Schedule'!$A18=8),IF(OR(WEEKDAY('Daily Schedule'!$B$2,2)=1,WEEKDAY('Daily Schedule'!$B$2,2)=4,WEEKDAY('Daily Schedule'!$B$2,2)=5,WEEKDAY('Daily Schedule'!$B$2,2)=7),IFERROR(1*'Daily Workforce'!$K122&gt;=3,FALSE()),IFERROR(1*'Daily Workforce'!$K122&gt;=2,FALSE())),IF(AND('Daily Schedule'!$A18&gt;=46,'Daily Schedule'!$A18&lt;=52),'Daily Workforce'!$M122="Y",IFERROR(1*'Daily Workforce'!$P122&gt;=2,FALSE()))))),1,0)</f>
        <v>0</v>
      </c>
      <c r="ED14" s="1" t="n">
        <f aca="false">IF(AND('Daily Workforce'!$N123="Y",'Daily Workforce'!$B123&lt;&gt;"",COUNTIF('Daily Schedule'!$F$5:$F17,'Daily Workforce'!$B123)=0,IF('Daily Schedule'!$A18=45,'Daily Workforce'!$J123="Y",IF(OR('Daily Schedule'!$A18=4,'Daily Schedule'!$A18=8),IF(OR(WEEKDAY('Daily Schedule'!$B$2,2)=1,WEEKDAY('Daily Schedule'!$B$2,2)=4,WEEKDAY('Daily Schedule'!$B$2,2)=5,WEEKDAY('Daily Schedule'!$B$2,2)=7),IFERROR(1*'Daily Workforce'!$K123&gt;=3,FALSE()),IFERROR(1*'Daily Workforce'!$K123&gt;=2,FALSE())),IF(AND('Daily Schedule'!$A18&gt;=46,'Daily Schedule'!$A18&lt;=52),'Daily Workforce'!$M123="Y",IFERROR(1*'Daily Workforce'!$P123&gt;=2,FALSE()))))),1,0)</f>
        <v>0</v>
      </c>
      <c r="EE14" s="1" t="n">
        <f aca="false">IF(AND('Daily Workforce'!$N124="Y",'Daily Workforce'!$B124&lt;&gt;"",COUNTIF('Daily Schedule'!$F$5:$F17,'Daily Workforce'!$B124)=0,IF('Daily Schedule'!$A18=45,'Daily Workforce'!$J124="Y",IF(OR('Daily Schedule'!$A18=4,'Daily Schedule'!$A18=8),IF(OR(WEEKDAY('Daily Schedule'!$B$2,2)=1,WEEKDAY('Daily Schedule'!$B$2,2)=4,WEEKDAY('Daily Schedule'!$B$2,2)=5,WEEKDAY('Daily Schedule'!$B$2,2)=7),IFERROR(1*'Daily Workforce'!$K124&gt;=3,FALSE()),IFERROR(1*'Daily Workforce'!$K124&gt;=2,FALSE())),IF(AND('Daily Schedule'!$A18&gt;=46,'Daily Schedule'!$A18&lt;=52),'Daily Workforce'!$M124="Y",IFERROR(1*'Daily Workforce'!$P124&gt;=2,FALSE()))))),1,0)</f>
        <v>0</v>
      </c>
      <c r="EF14" s="1" t="n">
        <f aca="false">IF(AND('Daily Workforce'!$N125="Y",'Daily Workforce'!$B125&lt;&gt;"",COUNTIF('Daily Schedule'!$F$5:$F17,'Daily Workforce'!$B125)=0,IF('Daily Schedule'!$A18=45,'Daily Workforce'!$J125="Y",IF(OR('Daily Schedule'!$A18=4,'Daily Schedule'!$A18=8),IF(OR(WEEKDAY('Daily Schedule'!$B$2,2)=1,WEEKDAY('Daily Schedule'!$B$2,2)=4,WEEKDAY('Daily Schedule'!$B$2,2)=5,WEEKDAY('Daily Schedule'!$B$2,2)=7),IFERROR(1*'Daily Workforce'!$K125&gt;=3,FALSE()),IFERROR(1*'Daily Workforce'!$K125&gt;=2,FALSE())),IF(AND('Daily Schedule'!$A18&gt;=46,'Daily Schedule'!$A18&lt;=52),'Daily Workforce'!$M125="Y",IFERROR(1*'Daily Workforce'!$P125&gt;=2,FALSE()))))),1,0)</f>
        <v>0</v>
      </c>
      <c r="EG14" s="1" t="n">
        <f aca="false">IF(AND('Daily Workforce'!$N126="Y",'Daily Workforce'!$B126&lt;&gt;"",COUNTIF('Daily Schedule'!$F$5:$F17,'Daily Workforce'!$B126)=0,IF('Daily Schedule'!$A18=45,'Daily Workforce'!$J126="Y",IF(OR('Daily Schedule'!$A18=4,'Daily Schedule'!$A18=8),IF(OR(WEEKDAY('Daily Schedule'!$B$2,2)=1,WEEKDAY('Daily Schedule'!$B$2,2)=4,WEEKDAY('Daily Schedule'!$B$2,2)=5,WEEKDAY('Daily Schedule'!$B$2,2)=7),IFERROR(1*'Daily Workforce'!$K126&gt;=3,FALSE()),IFERROR(1*'Daily Workforce'!$K126&gt;=2,FALSE())),IF(AND('Daily Schedule'!$A18&gt;=46,'Daily Schedule'!$A18&lt;=52),'Daily Workforce'!$M126="Y",IFERROR(1*'Daily Workforce'!$P126&gt;=2,FALSE()))))),1,0)</f>
        <v>0</v>
      </c>
      <c r="EH14" s="1" t="n">
        <f aca="false">IF(AND('Daily Workforce'!$N127="Y",'Daily Workforce'!$B127&lt;&gt;"",COUNTIF('Daily Schedule'!$F$5:$F17,'Daily Workforce'!$B127)=0,IF('Daily Schedule'!$A18=45,'Daily Workforce'!$J127="Y",IF(OR('Daily Schedule'!$A18=4,'Daily Schedule'!$A18=8),IF(OR(WEEKDAY('Daily Schedule'!$B$2,2)=1,WEEKDAY('Daily Schedule'!$B$2,2)=4,WEEKDAY('Daily Schedule'!$B$2,2)=5,WEEKDAY('Daily Schedule'!$B$2,2)=7),IFERROR(1*'Daily Workforce'!$K127&gt;=3,FALSE()),IFERROR(1*'Daily Workforce'!$K127&gt;=2,FALSE())),IF(AND('Daily Schedule'!$A18&gt;=46,'Daily Schedule'!$A18&lt;=52),'Daily Workforce'!$M127="Y",IFERROR(1*'Daily Workforce'!$P127&gt;=2,FALSE()))))),1,0)</f>
        <v>0</v>
      </c>
      <c r="EI14" s="1" t="n">
        <f aca="false">IF(AND('Daily Workforce'!$N128="Y",'Daily Workforce'!$B128&lt;&gt;"",COUNTIF('Daily Schedule'!$F$5:$F17,'Daily Workforce'!$B128)=0,IF('Daily Schedule'!$A18=45,'Daily Workforce'!$J128="Y",IF(OR('Daily Schedule'!$A18=4,'Daily Schedule'!$A18=8),IF(OR(WEEKDAY('Daily Schedule'!$B$2,2)=1,WEEKDAY('Daily Schedule'!$B$2,2)=4,WEEKDAY('Daily Schedule'!$B$2,2)=5,WEEKDAY('Daily Schedule'!$B$2,2)=7),IFERROR(1*'Daily Workforce'!$K128&gt;=3,FALSE()),IFERROR(1*'Daily Workforce'!$K128&gt;=2,FALSE())),IF(AND('Daily Schedule'!$A18&gt;=46,'Daily Schedule'!$A18&lt;=52),'Daily Workforce'!$M128="Y",IFERROR(1*'Daily Workforce'!$P128&gt;=2,FALSE()))))),1,0)</f>
        <v>0</v>
      </c>
      <c r="EJ14" s="1" t="n">
        <f aca="false">IF(AND('Daily Workforce'!$N129="Y",'Daily Workforce'!$B129&lt;&gt;"",COUNTIF('Daily Schedule'!$F$5:$F17,'Daily Workforce'!$B129)=0,IF('Daily Schedule'!$A18=45,'Daily Workforce'!$J129="Y",IF(OR('Daily Schedule'!$A18=4,'Daily Schedule'!$A18=8),IF(OR(WEEKDAY('Daily Schedule'!$B$2,2)=1,WEEKDAY('Daily Schedule'!$B$2,2)=4,WEEKDAY('Daily Schedule'!$B$2,2)=5,WEEKDAY('Daily Schedule'!$B$2,2)=7),IFERROR(1*'Daily Workforce'!$K129&gt;=3,FALSE()),IFERROR(1*'Daily Workforce'!$K129&gt;=2,FALSE())),IF(AND('Daily Schedule'!$A18&gt;=46,'Daily Schedule'!$A18&lt;=52),'Daily Workforce'!$M129="Y",IFERROR(1*'Daily Workforce'!$P129&gt;=2,FALSE()))))),1,0)</f>
        <v>0</v>
      </c>
      <c r="EK14" s="1" t="n">
        <f aca="false">IF(AND('Daily Workforce'!$N130="Y",'Daily Workforce'!$B130&lt;&gt;"",COUNTIF('Daily Schedule'!$F$5:$F17,'Daily Workforce'!$B130)=0,IF('Daily Schedule'!$A18=45,'Daily Workforce'!$J130="Y",IF(OR('Daily Schedule'!$A18=4,'Daily Schedule'!$A18=8),IF(OR(WEEKDAY('Daily Schedule'!$B$2,2)=1,WEEKDAY('Daily Schedule'!$B$2,2)=4,WEEKDAY('Daily Schedule'!$B$2,2)=5,WEEKDAY('Daily Schedule'!$B$2,2)=7),IFERROR(1*'Daily Workforce'!$K130&gt;=3,FALSE()),IFERROR(1*'Daily Workforce'!$K130&gt;=2,FALSE())),IF(AND('Daily Schedule'!$A18&gt;=46,'Daily Schedule'!$A18&lt;=52),'Daily Workforce'!$M130="Y",IFERROR(1*'Daily Workforce'!$P130&gt;=2,FALSE()))))),1,0)</f>
        <v>0</v>
      </c>
      <c r="EL14" s="1" t="n">
        <f aca="false">IF(AND('Daily Workforce'!$N131="Y",'Daily Workforce'!$B131&lt;&gt;"",COUNTIF('Daily Schedule'!$F$5:$F17,'Daily Workforce'!$B131)=0,IF('Daily Schedule'!$A18=45,'Daily Workforce'!$J131="Y",IF(OR('Daily Schedule'!$A18=4,'Daily Schedule'!$A18=8),IF(OR(WEEKDAY('Daily Schedule'!$B$2,2)=1,WEEKDAY('Daily Schedule'!$B$2,2)=4,WEEKDAY('Daily Schedule'!$B$2,2)=5,WEEKDAY('Daily Schedule'!$B$2,2)=7),IFERROR(1*'Daily Workforce'!$K131&gt;=3,FALSE()),IFERROR(1*'Daily Workforce'!$K131&gt;=2,FALSE())),IF(AND('Daily Schedule'!$A18&gt;=46,'Daily Schedule'!$A18&lt;=52),'Daily Workforce'!$M131="Y",IFERROR(1*'Daily Workforce'!$P131&gt;=2,FALSE()))))),1,0)</f>
        <v>0</v>
      </c>
      <c r="EM14" s="1" t="n">
        <f aca="false">IF(AND('Daily Workforce'!$N132="Y",'Daily Workforce'!$B132&lt;&gt;"",COUNTIF('Daily Schedule'!$F$5:$F17,'Daily Workforce'!$B132)=0,IF('Daily Schedule'!$A18=45,'Daily Workforce'!$J132="Y",IF(OR('Daily Schedule'!$A18=4,'Daily Schedule'!$A18=8),IF(OR(WEEKDAY('Daily Schedule'!$B$2,2)=1,WEEKDAY('Daily Schedule'!$B$2,2)=4,WEEKDAY('Daily Schedule'!$B$2,2)=5,WEEKDAY('Daily Schedule'!$B$2,2)=7),IFERROR(1*'Daily Workforce'!$K132&gt;=3,FALSE()),IFERROR(1*'Daily Workforce'!$K132&gt;=2,FALSE())),IF(AND('Daily Schedule'!$A18&gt;=46,'Daily Schedule'!$A18&lt;=52),'Daily Workforce'!$M132="Y",IFERROR(1*'Daily Workforce'!$P132&gt;=2,FALSE()))))),1,0)</f>
        <v>0</v>
      </c>
      <c r="EN14" s="1" t="n">
        <f aca="false">IF(AND('Daily Workforce'!$N133="Y",'Daily Workforce'!$B133&lt;&gt;"",COUNTIF('Daily Schedule'!$F$5:$F17,'Daily Workforce'!$B133)=0,IF('Daily Schedule'!$A18=45,'Daily Workforce'!$J133="Y",IF(OR('Daily Schedule'!$A18=4,'Daily Schedule'!$A18=8),IF(OR(WEEKDAY('Daily Schedule'!$B$2,2)=1,WEEKDAY('Daily Schedule'!$B$2,2)=4,WEEKDAY('Daily Schedule'!$B$2,2)=5,WEEKDAY('Daily Schedule'!$B$2,2)=7),IFERROR(1*'Daily Workforce'!$K133&gt;=3,FALSE()),IFERROR(1*'Daily Workforce'!$K133&gt;=2,FALSE())),IF(AND('Daily Schedule'!$A18&gt;=46,'Daily Schedule'!$A18&lt;=52),'Daily Workforce'!$M133="Y",IFERROR(1*'Daily Workforce'!$P133&gt;=2,FALSE()))))),1,0)</f>
        <v>0</v>
      </c>
      <c r="EO14" s="1" t="n">
        <f aca="false">IF(AND('Daily Workforce'!$N134="Y",'Daily Workforce'!$B134&lt;&gt;"",COUNTIF('Daily Schedule'!$F$5:$F17,'Daily Workforce'!$B134)=0,IF('Daily Schedule'!$A18=45,'Daily Workforce'!$J134="Y",IF(OR('Daily Schedule'!$A18=4,'Daily Schedule'!$A18=8),IF(OR(WEEKDAY('Daily Schedule'!$B$2,2)=1,WEEKDAY('Daily Schedule'!$B$2,2)=4,WEEKDAY('Daily Schedule'!$B$2,2)=5,WEEKDAY('Daily Schedule'!$B$2,2)=7),IFERROR(1*'Daily Workforce'!$K134&gt;=3,FALSE()),IFERROR(1*'Daily Workforce'!$K134&gt;=2,FALSE())),IF(AND('Daily Schedule'!$A18&gt;=46,'Daily Schedule'!$A18&lt;=52),'Daily Workforce'!$M134="Y",IFERROR(1*'Daily Workforce'!$P134&gt;=2,FALSE()))))),1,0)</f>
        <v>0</v>
      </c>
      <c r="EP14" s="1" t="n">
        <f aca="false">IF(AND('Daily Workforce'!$N135="Y",'Daily Workforce'!$B135&lt;&gt;"",COUNTIF('Daily Schedule'!$F$5:$F17,'Daily Workforce'!$B135)=0,IF('Daily Schedule'!$A18=45,'Daily Workforce'!$J135="Y",IF(OR('Daily Schedule'!$A18=4,'Daily Schedule'!$A18=8),IF(OR(WEEKDAY('Daily Schedule'!$B$2,2)=1,WEEKDAY('Daily Schedule'!$B$2,2)=4,WEEKDAY('Daily Schedule'!$B$2,2)=5,WEEKDAY('Daily Schedule'!$B$2,2)=7),IFERROR(1*'Daily Workforce'!$K135&gt;=3,FALSE()),IFERROR(1*'Daily Workforce'!$K135&gt;=2,FALSE())),IF(AND('Daily Schedule'!$A18&gt;=46,'Daily Schedule'!$A18&lt;=52),'Daily Workforce'!$M135="Y",IFERROR(1*'Daily Workforce'!$P135&gt;=2,FALSE()))))),1,0)</f>
        <v>0</v>
      </c>
      <c r="EQ14" s="1" t="n">
        <f aca="false">IF(AND('Daily Workforce'!$N136="Y",'Daily Workforce'!$B136&lt;&gt;"",COUNTIF('Daily Schedule'!$F$5:$F17,'Daily Workforce'!$B136)=0,IF('Daily Schedule'!$A18=45,'Daily Workforce'!$J136="Y",IF(OR('Daily Schedule'!$A18=4,'Daily Schedule'!$A18=8),IF(OR(WEEKDAY('Daily Schedule'!$B$2,2)=1,WEEKDAY('Daily Schedule'!$B$2,2)=4,WEEKDAY('Daily Schedule'!$B$2,2)=5,WEEKDAY('Daily Schedule'!$B$2,2)=7),IFERROR(1*'Daily Workforce'!$K136&gt;=3,FALSE()),IFERROR(1*'Daily Workforce'!$K136&gt;=2,FALSE())),IF(AND('Daily Schedule'!$A18&gt;=46,'Daily Schedule'!$A18&lt;=52),'Daily Workforce'!$M136="Y",IFERROR(1*'Daily Workforce'!$P136&gt;=2,FALSE()))))),1,0)</f>
        <v>0</v>
      </c>
      <c r="ER14" s="1" t="n">
        <f aca="false">IF(AND('Daily Workforce'!$N137="Y",'Daily Workforce'!$B137&lt;&gt;"",COUNTIF('Daily Schedule'!$F$5:$F17,'Daily Workforce'!$B137)=0,IF('Daily Schedule'!$A18=45,'Daily Workforce'!$J137="Y",IF(OR('Daily Schedule'!$A18=4,'Daily Schedule'!$A18=8),IF(OR(WEEKDAY('Daily Schedule'!$B$2,2)=1,WEEKDAY('Daily Schedule'!$B$2,2)=4,WEEKDAY('Daily Schedule'!$B$2,2)=5,WEEKDAY('Daily Schedule'!$B$2,2)=7),IFERROR(1*'Daily Workforce'!$K137&gt;=3,FALSE()),IFERROR(1*'Daily Workforce'!$K137&gt;=2,FALSE())),IF(AND('Daily Schedule'!$A18&gt;=46,'Daily Schedule'!$A18&lt;=52),'Daily Workforce'!$M137="Y",IFERROR(1*'Daily Workforce'!$P137&gt;=2,FALSE()))))),1,0)</f>
        <v>0</v>
      </c>
      <c r="ES14" s="1" t="n">
        <f aca="false">IF(AND('Daily Workforce'!$N138="Y",'Daily Workforce'!$B138&lt;&gt;"",COUNTIF('Daily Schedule'!$F$5:$F17,'Daily Workforce'!$B138)=0,IF('Daily Schedule'!$A18=45,'Daily Workforce'!$J138="Y",IF(OR('Daily Schedule'!$A18=4,'Daily Schedule'!$A18=8),IF(OR(WEEKDAY('Daily Schedule'!$B$2,2)=1,WEEKDAY('Daily Schedule'!$B$2,2)=4,WEEKDAY('Daily Schedule'!$B$2,2)=5,WEEKDAY('Daily Schedule'!$B$2,2)=7),IFERROR(1*'Daily Workforce'!$K138&gt;=3,FALSE()),IFERROR(1*'Daily Workforce'!$K138&gt;=2,FALSE())),IF(AND('Daily Schedule'!$A18&gt;=46,'Daily Schedule'!$A18&lt;=52),'Daily Workforce'!$M138="Y",IFERROR(1*'Daily Workforce'!$P138&gt;=2,FALSE()))))),1,0)</f>
        <v>0</v>
      </c>
      <c r="ET14" s="1" t="n">
        <f aca="false">IF(AND('Daily Workforce'!$N139="Y",'Daily Workforce'!$B139&lt;&gt;"",COUNTIF('Daily Schedule'!$F$5:$F17,'Daily Workforce'!$B139)=0,IF('Daily Schedule'!$A18=45,'Daily Workforce'!$J139="Y",IF(OR('Daily Schedule'!$A18=4,'Daily Schedule'!$A18=8),IF(OR(WEEKDAY('Daily Schedule'!$B$2,2)=1,WEEKDAY('Daily Schedule'!$B$2,2)=4,WEEKDAY('Daily Schedule'!$B$2,2)=5,WEEKDAY('Daily Schedule'!$B$2,2)=7),IFERROR(1*'Daily Workforce'!$K139&gt;=3,FALSE()),IFERROR(1*'Daily Workforce'!$K139&gt;=2,FALSE())),IF(AND('Daily Schedule'!$A18&gt;=46,'Daily Schedule'!$A18&lt;=52),'Daily Workforce'!$M139="Y",IFERROR(1*'Daily Workforce'!$P139&gt;=2,FALSE()))))),1,0)</f>
        <v>0</v>
      </c>
      <c r="EU14" s="1" t="n">
        <f aca="false">IF(AND('Daily Workforce'!$N140="Y",'Daily Workforce'!$B140&lt;&gt;"",COUNTIF('Daily Schedule'!$F$5:$F17,'Daily Workforce'!$B140)=0,IF('Daily Schedule'!$A18=45,'Daily Workforce'!$J140="Y",IF(OR('Daily Schedule'!$A18=4,'Daily Schedule'!$A18=8),IF(OR(WEEKDAY('Daily Schedule'!$B$2,2)=1,WEEKDAY('Daily Schedule'!$B$2,2)=4,WEEKDAY('Daily Schedule'!$B$2,2)=5,WEEKDAY('Daily Schedule'!$B$2,2)=7),IFERROR(1*'Daily Workforce'!$K140&gt;=3,FALSE()),IFERROR(1*'Daily Workforce'!$K140&gt;=2,FALSE())),IF(AND('Daily Schedule'!$A18&gt;=46,'Daily Schedule'!$A18&lt;=52),'Daily Workforce'!$M140="Y",IFERROR(1*'Daily Workforce'!$P140&gt;=2,FALSE()))))),1,0)</f>
        <v>0</v>
      </c>
      <c r="EV14" s="1" t="n">
        <f aca="false">IF(AND('Daily Workforce'!$N141="Y",'Daily Workforce'!$B141&lt;&gt;"",COUNTIF('Daily Schedule'!$F$5:$F17,'Daily Workforce'!$B141)=0,IF('Daily Schedule'!$A18=45,'Daily Workforce'!$J141="Y",IF(OR('Daily Schedule'!$A18=4,'Daily Schedule'!$A18=8),IF(OR(WEEKDAY('Daily Schedule'!$B$2,2)=1,WEEKDAY('Daily Schedule'!$B$2,2)=4,WEEKDAY('Daily Schedule'!$B$2,2)=5,WEEKDAY('Daily Schedule'!$B$2,2)=7),IFERROR(1*'Daily Workforce'!$K141&gt;=3,FALSE()),IFERROR(1*'Daily Workforce'!$K141&gt;=2,FALSE())),IF(AND('Daily Schedule'!$A18&gt;=46,'Daily Schedule'!$A18&lt;=52),'Daily Workforce'!$M141="Y",IFERROR(1*'Daily Workforce'!$P141&gt;=2,FALSE()))))),1,0)</f>
        <v>0</v>
      </c>
      <c r="EW14" s="1" t="n">
        <f aca="false">IF(AND('Daily Workforce'!$N142="Y",'Daily Workforce'!$B142&lt;&gt;"",COUNTIF('Daily Schedule'!$F$5:$F17,'Daily Workforce'!$B142)=0,IF('Daily Schedule'!$A18=45,'Daily Workforce'!$J142="Y",IF(OR('Daily Schedule'!$A18=4,'Daily Schedule'!$A18=8),IF(OR(WEEKDAY('Daily Schedule'!$B$2,2)=1,WEEKDAY('Daily Schedule'!$B$2,2)=4,WEEKDAY('Daily Schedule'!$B$2,2)=5,WEEKDAY('Daily Schedule'!$B$2,2)=7),IFERROR(1*'Daily Workforce'!$K142&gt;=3,FALSE()),IFERROR(1*'Daily Workforce'!$K142&gt;=2,FALSE())),IF(AND('Daily Schedule'!$A18&gt;=46,'Daily Schedule'!$A18&lt;=52),'Daily Workforce'!$M142="Y",IFERROR(1*'Daily Workforce'!$P142&gt;=2,FALSE()))))),1,0)</f>
        <v>0</v>
      </c>
      <c r="EX14" s="1" t="n">
        <f aca="false">IF(AND('Daily Workforce'!$N143="Y",'Daily Workforce'!$B143&lt;&gt;"",COUNTIF('Daily Schedule'!$F$5:$F17,'Daily Workforce'!$B143)=0,IF('Daily Schedule'!$A18=45,'Daily Workforce'!$J143="Y",IF(OR('Daily Schedule'!$A18=4,'Daily Schedule'!$A18=8),IF(OR(WEEKDAY('Daily Schedule'!$B$2,2)=1,WEEKDAY('Daily Schedule'!$B$2,2)=4,WEEKDAY('Daily Schedule'!$B$2,2)=5,WEEKDAY('Daily Schedule'!$B$2,2)=7),IFERROR(1*'Daily Workforce'!$K143&gt;=3,FALSE()),IFERROR(1*'Daily Workforce'!$K143&gt;=2,FALSE())),IF(AND('Daily Schedule'!$A18&gt;=46,'Daily Schedule'!$A18&lt;=52),'Daily Workforce'!$M143="Y",IFERROR(1*'Daily Workforce'!$P143&gt;=2,FALSE()))))),1,0)</f>
        <v>0</v>
      </c>
      <c r="EY14" s="1" t="n">
        <f aca="false">IF(AND('Daily Workforce'!$N144="Y",'Daily Workforce'!$B144&lt;&gt;"",COUNTIF('Daily Schedule'!$F$5:$F17,'Daily Workforce'!$B144)=0,IF('Daily Schedule'!$A18=45,'Daily Workforce'!$J144="Y",IF(OR('Daily Schedule'!$A18=4,'Daily Schedule'!$A18=8),IF(OR(WEEKDAY('Daily Schedule'!$B$2,2)=1,WEEKDAY('Daily Schedule'!$B$2,2)=4,WEEKDAY('Daily Schedule'!$B$2,2)=5,WEEKDAY('Daily Schedule'!$B$2,2)=7),IFERROR(1*'Daily Workforce'!$K144&gt;=3,FALSE()),IFERROR(1*'Daily Workforce'!$K144&gt;=2,FALSE())),IF(AND('Daily Schedule'!$A18&gt;=46,'Daily Schedule'!$A18&lt;=52),'Daily Workforce'!$M144="Y",IFERROR(1*'Daily Workforce'!$P144&gt;=2,FALSE()))))),1,0)</f>
        <v>0</v>
      </c>
      <c r="EZ14" s="1" t="n">
        <f aca="false">IF(AND('Daily Workforce'!$N145="Y",'Daily Workforce'!$B145&lt;&gt;"",COUNTIF('Daily Schedule'!$F$5:$F17,'Daily Workforce'!$B145)=0,IF('Daily Schedule'!$A18=45,'Daily Workforce'!$J145="Y",IF(OR('Daily Schedule'!$A18=4,'Daily Schedule'!$A18=8),IF(OR(WEEKDAY('Daily Schedule'!$B$2,2)=1,WEEKDAY('Daily Schedule'!$B$2,2)=4,WEEKDAY('Daily Schedule'!$B$2,2)=5,WEEKDAY('Daily Schedule'!$B$2,2)=7),IFERROR(1*'Daily Workforce'!$K145&gt;=3,FALSE()),IFERROR(1*'Daily Workforce'!$K145&gt;=2,FALSE())),IF(AND('Daily Schedule'!$A18&gt;=46,'Daily Schedule'!$A18&lt;=52),'Daily Workforce'!$M145="Y",IFERROR(1*'Daily Workforce'!$P145&gt;=2,FALSE()))))),1,0)</f>
        <v>0</v>
      </c>
      <c r="FA14" s="1" t="n">
        <f aca="false">IF(AND('Daily Workforce'!$N146="Y",'Daily Workforce'!$B146&lt;&gt;"",COUNTIF('Daily Schedule'!$F$5:$F17,'Daily Workforce'!$B146)=0,IF('Daily Schedule'!$A18=45,'Daily Workforce'!$J146="Y",IF(OR('Daily Schedule'!$A18=4,'Daily Schedule'!$A18=8),IF(OR(WEEKDAY('Daily Schedule'!$B$2,2)=1,WEEKDAY('Daily Schedule'!$B$2,2)=4,WEEKDAY('Daily Schedule'!$B$2,2)=5,WEEKDAY('Daily Schedule'!$B$2,2)=7),IFERROR(1*'Daily Workforce'!$K146&gt;=3,FALSE()),IFERROR(1*'Daily Workforce'!$K146&gt;=2,FALSE())),IF(AND('Daily Schedule'!$A18&gt;=46,'Daily Schedule'!$A18&lt;=52),'Daily Workforce'!$M146="Y",IFERROR(1*'Daily Workforce'!$P146&gt;=2,FALSE()))))),1,0)</f>
        <v>0</v>
      </c>
      <c r="FB14" s="1" t="n">
        <f aca="false">IF(AND('Daily Workforce'!$N147="Y",'Daily Workforce'!$B147&lt;&gt;"",COUNTIF('Daily Schedule'!$F$5:$F17,'Daily Workforce'!$B147)=0,IF('Daily Schedule'!$A18=45,'Daily Workforce'!$J147="Y",IF(OR('Daily Schedule'!$A18=4,'Daily Schedule'!$A18=8),IF(OR(WEEKDAY('Daily Schedule'!$B$2,2)=1,WEEKDAY('Daily Schedule'!$B$2,2)=4,WEEKDAY('Daily Schedule'!$B$2,2)=5,WEEKDAY('Daily Schedule'!$B$2,2)=7),IFERROR(1*'Daily Workforce'!$K147&gt;=3,FALSE()),IFERROR(1*'Daily Workforce'!$K147&gt;=2,FALSE())),IF(AND('Daily Schedule'!$A18&gt;=46,'Daily Schedule'!$A18&lt;=52),'Daily Workforce'!$M147="Y",IFERROR(1*'Daily Workforce'!$P147&gt;=2,FALSE()))))),1,0)</f>
        <v>0</v>
      </c>
      <c r="FC14" s="1" t="n">
        <f aca="false">IF(AND('Daily Workforce'!$N148="Y",'Daily Workforce'!$B148&lt;&gt;"",COUNTIF('Daily Schedule'!$F$5:$F17,'Daily Workforce'!$B148)=0,IF('Daily Schedule'!$A18=45,'Daily Workforce'!$J148="Y",IF(OR('Daily Schedule'!$A18=4,'Daily Schedule'!$A18=8),IF(OR(WEEKDAY('Daily Schedule'!$B$2,2)=1,WEEKDAY('Daily Schedule'!$B$2,2)=4,WEEKDAY('Daily Schedule'!$B$2,2)=5,WEEKDAY('Daily Schedule'!$B$2,2)=7),IFERROR(1*'Daily Workforce'!$K148&gt;=3,FALSE()),IFERROR(1*'Daily Workforce'!$K148&gt;=2,FALSE())),IF(AND('Daily Schedule'!$A18&gt;=46,'Daily Schedule'!$A18&lt;=52),'Daily Workforce'!$M148="Y",IFERROR(1*'Daily Workforce'!$P148&gt;=2,FALSE()))))),1,0)</f>
        <v>0</v>
      </c>
      <c r="FD14" s="1" t="n">
        <f aca="false">IF(AND('Daily Workforce'!$N149="Y",'Daily Workforce'!$B149&lt;&gt;"",COUNTIF('Daily Schedule'!$F$5:$F17,'Daily Workforce'!$B149)=0,IF('Daily Schedule'!$A18=45,'Daily Workforce'!$J149="Y",IF(OR('Daily Schedule'!$A18=4,'Daily Schedule'!$A18=8),IF(OR(WEEKDAY('Daily Schedule'!$B$2,2)=1,WEEKDAY('Daily Schedule'!$B$2,2)=4,WEEKDAY('Daily Schedule'!$B$2,2)=5,WEEKDAY('Daily Schedule'!$B$2,2)=7),IFERROR(1*'Daily Workforce'!$K149&gt;=3,FALSE()),IFERROR(1*'Daily Workforce'!$K149&gt;=2,FALSE())),IF(AND('Daily Schedule'!$A18&gt;=46,'Daily Schedule'!$A18&lt;=52),'Daily Workforce'!$M149="Y",IFERROR(1*'Daily Workforce'!$P149&gt;=2,FALSE()))))),1,0)</f>
        <v>0</v>
      </c>
      <c r="FE14" s="1" t="n">
        <f aca="false">IF(AND('Daily Workforce'!$N150="Y",'Daily Workforce'!$B150&lt;&gt;"",COUNTIF('Daily Schedule'!$F$5:$F17,'Daily Workforce'!$B150)=0,IF('Daily Schedule'!$A18=45,'Daily Workforce'!$J150="Y",IF(OR('Daily Schedule'!$A18=4,'Daily Schedule'!$A18=8),IF(OR(WEEKDAY('Daily Schedule'!$B$2,2)=1,WEEKDAY('Daily Schedule'!$B$2,2)=4,WEEKDAY('Daily Schedule'!$B$2,2)=5,WEEKDAY('Daily Schedule'!$B$2,2)=7),IFERROR(1*'Daily Workforce'!$K150&gt;=3,FALSE()),IFERROR(1*'Daily Workforce'!$K150&gt;=2,FALSE())),IF(AND('Daily Schedule'!$A18&gt;=46,'Daily Schedule'!$A18&lt;=52),'Daily Workforce'!$M150="Y",IFERROR(1*'Daily Workforce'!$P150&gt;=2,FALSE()))))),1,0)</f>
        <v>0</v>
      </c>
      <c r="FF14" s="1" t="n">
        <f aca="false">IF(AND('Daily Workforce'!$N151="Y",'Daily Workforce'!$B151&lt;&gt;"",COUNTIF('Daily Schedule'!$F$5:$F17,'Daily Workforce'!$B151)=0,IF('Daily Schedule'!$A18=45,'Daily Workforce'!$J151="Y",IF(OR('Daily Schedule'!$A18=4,'Daily Schedule'!$A18=8),IF(OR(WEEKDAY('Daily Schedule'!$B$2,2)=1,WEEKDAY('Daily Schedule'!$B$2,2)=4,WEEKDAY('Daily Schedule'!$B$2,2)=5,WEEKDAY('Daily Schedule'!$B$2,2)=7),IFERROR(1*'Daily Workforce'!$K151&gt;=3,FALSE()),IFERROR(1*'Daily Workforce'!$K151&gt;=2,FALSE())),IF(AND('Daily Schedule'!$A18&gt;=46,'Daily Schedule'!$A18&lt;=52),'Daily Workforce'!$M151="Y",IFERROR(1*'Daily Workforce'!$P151&gt;=2,FALSE()))))),1,0)</f>
        <v>0</v>
      </c>
      <c r="FG14" s="1" t="n">
        <f aca="false">IF(AND('Daily Workforce'!$N152="Y",'Daily Workforce'!$B152&lt;&gt;"",COUNTIF('Daily Schedule'!$F$5:$F17,'Daily Workforce'!$B152)=0,IF('Daily Schedule'!$A18=45,'Daily Workforce'!$J152="Y",IF(OR('Daily Schedule'!$A18=4,'Daily Schedule'!$A18=8),IF(OR(WEEKDAY('Daily Schedule'!$B$2,2)=1,WEEKDAY('Daily Schedule'!$B$2,2)=4,WEEKDAY('Daily Schedule'!$B$2,2)=5,WEEKDAY('Daily Schedule'!$B$2,2)=7),IFERROR(1*'Daily Workforce'!$K152&gt;=3,FALSE()),IFERROR(1*'Daily Workforce'!$K152&gt;=2,FALSE())),IF(AND('Daily Schedule'!$A18&gt;=46,'Daily Schedule'!$A18&lt;=52),'Daily Workforce'!$M152="Y",IFERROR(1*'Daily Workforce'!$P152&gt;=2,FALSE()))))),1,0)</f>
        <v>0</v>
      </c>
      <c r="FH14" s="1" t="n">
        <f aca="false">IF(AND('Daily Workforce'!$N153="Y",'Daily Workforce'!$B153&lt;&gt;"",COUNTIF('Daily Schedule'!$F$5:$F17,'Daily Workforce'!$B153)=0,IF('Daily Schedule'!$A18=45,'Daily Workforce'!$J153="Y",IF(OR('Daily Schedule'!$A18=4,'Daily Schedule'!$A18=8),IF(OR(WEEKDAY('Daily Schedule'!$B$2,2)=1,WEEKDAY('Daily Schedule'!$B$2,2)=4,WEEKDAY('Daily Schedule'!$B$2,2)=5,WEEKDAY('Daily Schedule'!$B$2,2)=7),IFERROR(1*'Daily Workforce'!$K153&gt;=3,FALSE()),IFERROR(1*'Daily Workforce'!$K153&gt;=2,FALSE())),IF(AND('Daily Schedule'!$A18&gt;=46,'Daily Schedule'!$A18&lt;=52),'Daily Workforce'!$M153="Y",IFERROR(1*'Daily Workforce'!$P153&gt;=2,FALSE()))))),1,0)</f>
        <v>0</v>
      </c>
      <c r="FI14" s="1" t="n">
        <f aca="false">IF(AND('Daily Workforce'!$N154="Y",'Daily Workforce'!$B154&lt;&gt;"",COUNTIF('Daily Schedule'!$F$5:$F17,'Daily Workforce'!$B154)=0,IF('Daily Schedule'!$A18=45,'Daily Workforce'!$J154="Y",IF(OR('Daily Schedule'!$A18=4,'Daily Schedule'!$A18=8),IF(OR(WEEKDAY('Daily Schedule'!$B$2,2)=1,WEEKDAY('Daily Schedule'!$B$2,2)=4,WEEKDAY('Daily Schedule'!$B$2,2)=5,WEEKDAY('Daily Schedule'!$B$2,2)=7),IFERROR(1*'Daily Workforce'!$K154&gt;=3,FALSE()),IFERROR(1*'Daily Workforce'!$K154&gt;=2,FALSE())),IF(AND('Daily Schedule'!$A18&gt;=46,'Daily Schedule'!$A18&lt;=52),'Daily Workforce'!$M154="Y",IFERROR(1*'Daily Workforce'!$P154&gt;=2,FALSE()))))),1,0)</f>
        <v>0</v>
      </c>
      <c r="FJ14" s="1" t="n">
        <f aca="false">IF(AND('Daily Workforce'!$N155="Y",'Daily Workforce'!$B155&lt;&gt;"",COUNTIF('Daily Schedule'!$F$5:$F17,'Daily Workforce'!$B155)=0,IF('Daily Schedule'!$A18=45,'Daily Workforce'!$J155="Y",IF(OR('Daily Schedule'!$A18=4,'Daily Schedule'!$A18=8),IF(OR(WEEKDAY('Daily Schedule'!$B$2,2)=1,WEEKDAY('Daily Schedule'!$B$2,2)=4,WEEKDAY('Daily Schedule'!$B$2,2)=5,WEEKDAY('Daily Schedule'!$B$2,2)=7),IFERROR(1*'Daily Workforce'!$K155&gt;=3,FALSE()),IFERROR(1*'Daily Workforce'!$K155&gt;=2,FALSE())),IF(AND('Daily Schedule'!$A18&gt;=46,'Daily Schedule'!$A18&lt;=52),'Daily Workforce'!$M155="Y",IFERROR(1*'Daily Workforce'!$P155&gt;=2,FALSE()))))),1,0)</f>
        <v>0</v>
      </c>
      <c r="FK14" s="1" t="n">
        <f aca="false">IF(AND('Daily Workforce'!$N156="Y",'Daily Workforce'!$B156&lt;&gt;"",COUNTIF('Daily Schedule'!$F$5:$F17,'Daily Workforce'!$B156)=0,IF('Daily Schedule'!$A18=45,'Daily Workforce'!$J156="Y",IF(OR('Daily Schedule'!$A18=4,'Daily Schedule'!$A18=8),IF(OR(WEEKDAY('Daily Schedule'!$B$2,2)=1,WEEKDAY('Daily Schedule'!$B$2,2)=4,WEEKDAY('Daily Schedule'!$B$2,2)=5,WEEKDAY('Daily Schedule'!$B$2,2)=7),IFERROR(1*'Daily Workforce'!$K156&gt;=3,FALSE()),IFERROR(1*'Daily Workforce'!$K156&gt;=2,FALSE())),IF(AND('Daily Schedule'!$A18&gt;=46,'Daily Schedule'!$A18&lt;=52),'Daily Workforce'!$M156="Y",IFERROR(1*'Daily Workforce'!$P156&gt;=2,FALSE()))))),1,0)</f>
        <v>0</v>
      </c>
      <c r="FL14" s="1" t="n">
        <f aca="false">IF(AND('Daily Workforce'!$N157="Y",'Daily Workforce'!$B157&lt;&gt;"",COUNTIF('Daily Schedule'!$F$5:$F17,'Daily Workforce'!$B157)=0,IF('Daily Schedule'!$A18=45,'Daily Workforce'!$J157="Y",IF(OR('Daily Schedule'!$A18=4,'Daily Schedule'!$A18=8),IF(OR(WEEKDAY('Daily Schedule'!$B$2,2)=1,WEEKDAY('Daily Schedule'!$B$2,2)=4,WEEKDAY('Daily Schedule'!$B$2,2)=5,WEEKDAY('Daily Schedule'!$B$2,2)=7),IFERROR(1*'Daily Workforce'!$K157&gt;=3,FALSE()),IFERROR(1*'Daily Workforce'!$K157&gt;=2,FALSE())),IF(AND('Daily Schedule'!$A18&gt;=46,'Daily Schedule'!$A18&lt;=52),'Daily Workforce'!$M157="Y",IFERROR(1*'Daily Workforce'!$P157&gt;=2,FALSE()))))),1,0)</f>
        <v>0</v>
      </c>
      <c r="FM14" s="1" t="n">
        <f aca="false">IF(AND('Daily Workforce'!$N158="Y",'Daily Workforce'!$B158&lt;&gt;"",COUNTIF('Daily Schedule'!$F$5:$F17,'Daily Workforce'!$B158)=0,IF('Daily Schedule'!$A18=45,'Daily Workforce'!$J158="Y",IF(OR('Daily Schedule'!$A18=4,'Daily Schedule'!$A18=8),IF(OR(WEEKDAY('Daily Schedule'!$B$2,2)=1,WEEKDAY('Daily Schedule'!$B$2,2)=4,WEEKDAY('Daily Schedule'!$B$2,2)=5,WEEKDAY('Daily Schedule'!$B$2,2)=7),IFERROR(1*'Daily Workforce'!$K158&gt;=3,FALSE()),IFERROR(1*'Daily Workforce'!$K158&gt;=2,FALSE())),IF(AND('Daily Schedule'!$A18&gt;=46,'Daily Schedule'!$A18&lt;=52),'Daily Workforce'!$M158="Y",IFERROR(1*'Daily Workforce'!$P158&gt;=2,FALSE()))))),1,0)</f>
        <v>0</v>
      </c>
      <c r="FN14" s="1" t="n">
        <f aca="false">IF(AND('Daily Workforce'!$N159="Y",'Daily Workforce'!$B159&lt;&gt;"",COUNTIF('Daily Schedule'!$F$5:$F17,'Daily Workforce'!$B159)=0,IF('Daily Schedule'!$A18=45,'Daily Workforce'!$J159="Y",IF(OR('Daily Schedule'!$A18=4,'Daily Schedule'!$A18=8),IF(OR(WEEKDAY('Daily Schedule'!$B$2,2)=1,WEEKDAY('Daily Schedule'!$B$2,2)=4,WEEKDAY('Daily Schedule'!$B$2,2)=5,WEEKDAY('Daily Schedule'!$B$2,2)=7),IFERROR(1*'Daily Workforce'!$K159&gt;=3,FALSE()),IFERROR(1*'Daily Workforce'!$K159&gt;=2,FALSE())),IF(AND('Daily Schedule'!$A18&gt;=46,'Daily Schedule'!$A18&lt;=52),'Daily Workforce'!$M159="Y",IFERROR(1*'Daily Workforce'!$P159&gt;=2,FALSE()))))),1,0)</f>
        <v>0</v>
      </c>
      <c r="FO14" s="1" t="n">
        <f aca="false">IF(AND('Daily Workforce'!$N160="Y",'Daily Workforce'!$B160&lt;&gt;"",COUNTIF('Daily Schedule'!$F$5:$F17,'Daily Workforce'!$B160)=0,IF('Daily Schedule'!$A18=45,'Daily Workforce'!$J160="Y",IF(OR('Daily Schedule'!$A18=4,'Daily Schedule'!$A18=8),IF(OR(WEEKDAY('Daily Schedule'!$B$2,2)=1,WEEKDAY('Daily Schedule'!$B$2,2)=4,WEEKDAY('Daily Schedule'!$B$2,2)=5,WEEKDAY('Daily Schedule'!$B$2,2)=7),IFERROR(1*'Daily Workforce'!$K160&gt;=3,FALSE()),IFERROR(1*'Daily Workforce'!$K160&gt;=2,FALSE())),IF(AND('Daily Schedule'!$A18&gt;=46,'Daily Schedule'!$A18&lt;=52),'Daily Workforce'!$M160="Y",IFERROR(1*'Daily Workforce'!$P160&gt;=2,FALSE()))))),1,0)</f>
        <v>0</v>
      </c>
      <c r="FP14" s="1" t="n">
        <f aca="false">IF(AND('Daily Workforce'!$N161="Y",'Daily Workforce'!$B161&lt;&gt;"",COUNTIF('Daily Schedule'!$F$5:$F17,'Daily Workforce'!$B161)=0,IF('Daily Schedule'!$A18=45,'Daily Workforce'!$J161="Y",IF(OR('Daily Schedule'!$A18=4,'Daily Schedule'!$A18=8),IF(OR(WEEKDAY('Daily Schedule'!$B$2,2)=1,WEEKDAY('Daily Schedule'!$B$2,2)=4,WEEKDAY('Daily Schedule'!$B$2,2)=5,WEEKDAY('Daily Schedule'!$B$2,2)=7),IFERROR(1*'Daily Workforce'!$K161&gt;=3,FALSE()),IFERROR(1*'Daily Workforce'!$K161&gt;=2,FALSE())),IF(AND('Daily Schedule'!$A18&gt;=46,'Daily Schedule'!$A18&lt;=52),'Daily Workforce'!$M161="Y",IFERROR(1*'Daily Workforce'!$P161&gt;=2,FALSE()))))),1,0)</f>
        <v>0</v>
      </c>
      <c r="FQ14" s="1" t="n">
        <f aca="false">IF(AND('Daily Workforce'!$N162="Y",'Daily Workforce'!$B162&lt;&gt;"",COUNTIF('Daily Schedule'!$F$5:$F17,'Daily Workforce'!$B162)=0,IF('Daily Schedule'!$A18=45,'Daily Workforce'!$J162="Y",IF(OR('Daily Schedule'!$A18=4,'Daily Schedule'!$A18=8),IF(OR(WEEKDAY('Daily Schedule'!$B$2,2)=1,WEEKDAY('Daily Schedule'!$B$2,2)=4,WEEKDAY('Daily Schedule'!$B$2,2)=5,WEEKDAY('Daily Schedule'!$B$2,2)=7),IFERROR(1*'Daily Workforce'!$K162&gt;=3,FALSE()),IFERROR(1*'Daily Workforce'!$K162&gt;=2,FALSE())),IF(AND('Daily Schedule'!$A18&gt;=46,'Daily Schedule'!$A18&lt;=52),'Daily Workforce'!$M162="Y",IFERROR(1*'Daily Workforce'!$P162&gt;=2,FALSE()))))),1,0)</f>
        <v>0</v>
      </c>
      <c r="FR14" s="1" t="n">
        <f aca="false">IF(AND('Daily Workforce'!$N163="Y",'Daily Workforce'!$B163&lt;&gt;"",COUNTIF('Daily Schedule'!$F$5:$F17,'Daily Workforce'!$B163)=0,IF('Daily Schedule'!$A18=45,'Daily Workforce'!$J163="Y",IF(OR('Daily Schedule'!$A18=4,'Daily Schedule'!$A18=8),IF(OR(WEEKDAY('Daily Schedule'!$B$2,2)=1,WEEKDAY('Daily Schedule'!$B$2,2)=4,WEEKDAY('Daily Schedule'!$B$2,2)=5,WEEKDAY('Daily Schedule'!$B$2,2)=7),IFERROR(1*'Daily Workforce'!$K163&gt;=3,FALSE()),IFERROR(1*'Daily Workforce'!$K163&gt;=2,FALSE())),IF(AND('Daily Schedule'!$A18&gt;=46,'Daily Schedule'!$A18&lt;=52),'Daily Workforce'!$M163="Y",IFERROR(1*'Daily Workforce'!$P163&gt;=2,FALSE()))))),1,0)</f>
        <v>0</v>
      </c>
      <c r="FS14" s="1" t="n">
        <f aca="false">IF(AND('Daily Workforce'!$N164="Y",'Daily Workforce'!$B164&lt;&gt;"",COUNTIF('Daily Schedule'!$F$5:$F17,'Daily Workforce'!$B164)=0,IF('Daily Schedule'!$A18=45,'Daily Workforce'!$J164="Y",IF(OR('Daily Schedule'!$A18=4,'Daily Schedule'!$A18=8),IF(OR(WEEKDAY('Daily Schedule'!$B$2,2)=1,WEEKDAY('Daily Schedule'!$B$2,2)=4,WEEKDAY('Daily Schedule'!$B$2,2)=5,WEEKDAY('Daily Schedule'!$B$2,2)=7),IFERROR(1*'Daily Workforce'!$K164&gt;=3,FALSE()),IFERROR(1*'Daily Workforce'!$K164&gt;=2,FALSE())),IF(AND('Daily Schedule'!$A18&gt;=46,'Daily Schedule'!$A18&lt;=52),'Daily Workforce'!$M164="Y",IFERROR(1*'Daily Workforce'!$P164&gt;=2,FALSE()))))),1,0)</f>
        <v>0</v>
      </c>
      <c r="FT14" s="1" t="n">
        <f aca="false">IF(AND('Daily Workforce'!$N165="Y",'Daily Workforce'!$B165&lt;&gt;"",COUNTIF('Daily Schedule'!$F$5:$F17,'Daily Workforce'!$B165)=0,IF('Daily Schedule'!$A18=45,'Daily Workforce'!$J165="Y",IF(OR('Daily Schedule'!$A18=4,'Daily Schedule'!$A18=8),IF(OR(WEEKDAY('Daily Schedule'!$B$2,2)=1,WEEKDAY('Daily Schedule'!$B$2,2)=4,WEEKDAY('Daily Schedule'!$B$2,2)=5,WEEKDAY('Daily Schedule'!$B$2,2)=7),IFERROR(1*'Daily Workforce'!$K165&gt;=3,FALSE()),IFERROR(1*'Daily Workforce'!$K165&gt;=2,FALSE())),IF(AND('Daily Schedule'!$A18&gt;=46,'Daily Schedule'!$A18&lt;=52),'Daily Workforce'!$M165="Y",IFERROR(1*'Daily Workforce'!$P165&gt;=2,FALSE()))))),1,0)</f>
        <v>0</v>
      </c>
      <c r="FU14" s="1" t="n">
        <f aca="false">IF(AND('Daily Workforce'!$N166="Y",'Daily Workforce'!$B166&lt;&gt;"",COUNTIF('Daily Schedule'!$F$5:$F17,'Daily Workforce'!$B166)=0,IF('Daily Schedule'!$A18=45,'Daily Workforce'!$J166="Y",IF(OR('Daily Schedule'!$A18=4,'Daily Schedule'!$A18=8),IF(OR(WEEKDAY('Daily Schedule'!$B$2,2)=1,WEEKDAY('Daily Schedule'!$B$2,2)=4,WEEKDAY('Daily Schedule'!$B$2,2)=5,WEEKDAY('Daily Schedule'!$B$2,2)=7),IFERROR(1*'Daily Workforce'!$K166&gt;=3,FALSE()),IFERROR(1*'Daily Workforce'!$K166&gt;=2,FALSE())),IF(AND('Daily Schedule'!$A18&gt;=46,'Daily Schedule'!$A18&lt;=52),'Daily Workforce'!$M166="Y",IFERROR(1*'Daily Workforce'!$P166&gt;=2,FALSE()))))),1,0)</f>
        <v>0</v>
      </c>
      <c r="FV14" s="1" t="n">
        <f aca="false">IF(AND('Daily Workforce'!$N167="Y",'Daily Workforce'!$B167&lt;&gt;"",COUNTIF('Daily Schedule'!$F$5:$F17,'Daily Workforce'!$B167)=0,IF('Daily Schedule'!$A18=45,'Daily Workforce'!$J167="Y",IF(OR('Daily Schedule'!$A18=4,'Daily Schedule'!$A18=8),IF(OR(WEEKDAY('Daily Schedule'!$B$2,2)=1,WEEKDAY('Daily Schedule'!$B$2,2)=4,WEEKDAY('Daily Schedule'!$B$2,2)=5,WEEKDAY('Daily Schedule'!$B$2,2)=7),IFERROR(1*'Daily Workforce'!$K167&gt;=3,FALSE()),IFERROR(1*'Daily Workforce'!$K167&gt;=2,FALSE())),IF(AND('Daily Schedule'!$A18&gt;=46,'Daily Schedule'!$A18&lt;=52),'Daily Workforce'!$M167="Y",IFERROR(1*'Daily Workforce'!$P167&gt;=2,FALSE()))))),1,0)</f>
        <v>0</v>
      </c>
      <c r="FW14" s="1" t="n">
        <f aca="false">IF(AND('Daily Workforce'!$N168="Y",'Daily Workforce'!$B168&lt;&gt;"",COUNTIF('Daily Schedule'!$F$5:$F17,'Daily Workforce'!$B168)=0,IF('Daily Schedule'!$A18=45,'Daily Workforce'!$J168="Y",IF(OR('Daily Schedule'!$A18=4,'Daily Schedule'!$A18=8),IF(OR(WEEKDAY('Daily Schedule'!$B$2,2)=1,WEEKDAY('Daily Schedule'!$B$2,2)=4,WEEKDAY('Daily Schedule'!$B$2,2)=5,WEEKDAY('Daily Schedule'!$B$2,2)=7),IFERROR(1*'Daily Workforce'!$K168&gt;=3,FALSE()),IFERROR(1*'Daily Workforce'!$K168&gt;=2,FALSE())),IF(AND('Daily Schedule'!$A18&gt;=46,'Daily Schedule'!$A18&lt;=52),'Daily Workforce'!$M168="Y",IFERROR(1*'Daily Workforce'!$P168&gt;=2,FALSE()))))),1,0)</f>
        <v>0</v>
      </c>
      <c r="FX14" s="1" t="n">
        <f aca="false">IF(AND('Daily Workforce'!$N169="Y",'Daily Workforce'!$B169&lt;&gt;"",COUNTIF('Daily Schedule'!$F$5:$F17,'Daily Workforce'!$B169)=0,IF('Daily Schedule'!$A18=45,'Daily Workforce'!$J169="Y",IF(OR('Daily Schedule'!$A18=4,'Daily Schedule'!$A18=8),IF(OR(WEEKDAY('Daily Schedule'!$B$2,2)=1,WEEKDAY('Daily Schedule'!$B$2,2)=4,WEEKDAY('Daily Schedule'!$B$2,2)=5,WEEKDAY('Daily Schedule'!$B$2,2)=7),IFERROR(1*'Daily Workforce'!$K169&gt;=3,FALSE()),IFERROR(1*'Daily Workforce'!$K169&gt;=2,FALSE())),IF(AND('Daily Schedule'!$A18&gt;=46,'Daily Schedule'!$A18&lt;=52),'Daily Workforce'!$M169="Y",IFERROR(1*'Daily Workforce'!$P169&gt;=2,FALSE()))))),1,0)</f>
        <v>0</v>
      </c>
      <c r="FY14" s="1" t="n">
        <f aca="false">IF(AND('Daily Workforce'!$N170="Y",'Daily Workforce'!$B170&lt;&gt;"",COUNTIF('Daily Schedule'!$F$5:$F17,'Daily Workforce'!$B170)=0,IF('Daily Schedule'!$A18=45,'Daily Workforce'!$J170="Y",IF(OR('Daily Schedule'!$A18=4,'Daily Schedule'!$A18=8),IF(OR(WEEKDAY('Daily Schedule'!$B$2,2)=1,WEEKDAY('Daily Schedule'!$B$2,2)=4,WEEKDAY('Daily Schedule'!$B$2,2)=5,WEEKDAY('Daily Schedule'!$B$2,2)=7),IFERROR(1*'Daily Workforce'!$K170&gt;=3,FALSE()),IFERROR(1*'Daily Workforce'!$K170&gt;=2,FALSE())),IF(AND('Daily Schedule'!$A18&gt;=46,'Daily Schedule'!$A18&lt;=52),'Daily Workforce'!$M170="Y",IFERROR(1*'Daily Workforce'!$P170&gt;=2,FALSE()))))),1,0)</f>
        <v>0</v>
      </c>
      <c r="FZ14" s="1" t="n">
        <f aca="false">IF(AND('Daily Workforce'!$N171="Y",'Daily Workforce'!$B171&lt;&gt;"",COUNTIF('Daily Schedule'!$F$5:$F17,'Daily Workforce'!$B171)=0,IF('Daily Schedule'!$A18=45,'Daily Workforce'!$J171="Y",IF(OR('Daily Schedule'!$A18=4,'Daily Schedule'!$A18=8),IF(OR(WEEKDAY('Daily Schedule'!$B$2,2)=1,WEEKDAY('Daily Schedule'!$B$2,2)=4,WEEKDAY('Daily Schedule'!$B$2,2)=5,WEEKDAY('Daily Schedule'!$B$2,2)=7),IFERROR(1*'Daily Workforce'!$K171&gt;=3,FALSE()),IFERROR(1*'Daily Workforce'!$K171&gt;=2,FALSE())),IF(AND('Daily Schedule'!$A18&gt;=46,'Daily Schedule'!$A18&lt;=52),'Daily Workforce'!$M171="Y",IFERROR(1*'Daily Workforce'!$P171&gt;=2,FALSE()))))),1,0)</f>
        <v>0</v>
      </c>
      <c r="GA14" s="1" t="n">
        <f aca="false">IF(AND('Daily Workforce'!$N172="Y",'Daily Workforce'!$B172&lt;&gt;"",COUNTIF('Daily Schedule'!$F$5:$F17,'Daily Workforce'!$B172)=0,IF('Daily Schedule'!$A18=45,'Daily Workforce'!$J172="Y",IF(OR('Daily Schedule'!$A18=4,'Daily Schedule'!$A18=8),IF(OR(WEEKDAY('Daily Schedule'!$B$2,2)=1,WEEKDAY('Daily Schedule'!$B$2,2)=4,WEEKDAY('Daily Schedule'!$B$2,2)=5,WEEKDAY('Daily Schedule'!$B$2,2)=7),IFERROR(1*'Daily Workforce'!$K172&gt;=3,FALSE()),IFERROR(1*'Daily Workforce'!$K172&gt;=2,FALSE())),IF(AND('Daily Schedule'!$A18&gt;=46,'Daily Schedule'!$A18&lt;=52),'Daily Workforce'!$M172="Y",IFERROR(1*'Daily Workforce'!$P172&gt;=2,FALSE()))))),1,0)</f>
        <v>0</v>
      </c>
      <c r="GB14" s="1" t="n">
        <f aca="false">IF(AND('Daily Workforce'!$N173="Y",'Daily Workforce'!$B173&lt;&gt;"",COUNTIF('Daily Schedule'!$F$5:$F17,'Daily Workforce'!$B173)=0,IF('Daily Schedule'!$A18=45,'Daily Workforce'!$J173="Y",IF(OR('Daily Schedule'!$A18=4,'Daily Schedule'!$A18=8),IF(OR(WEEKDAY('Daily Schedule'!$B$2,2)=1,WEEKDAY('Daily Schedule'!$B$2,2)=4,WEEKDAY('Daily Schedule'!$B$2,2)=5,WEEKDAY('Daily Schedule'!$B$2,2)=7),IFERROR(1*'Daily Workforce'!$K173&gt;=3,FALSE()),IFERROR(1*'Daily Workforce'!$K173&gt;=2,FALSE())),IF(AND('Daily Schedule'!$A18&gt;=46,'Daily Schedule'!$A18&lt;=52),'Daily Workforce'!$M173="Y",IFERROR(1*'Daily Workforce'!$P173&gt;=2,FALSE()))))),1,0)</f>
        <v>0</v>
      </c>
      <c r="GC14" s="1" t="n">
        <f aca="false">IF(AND('Daily Workforce'!$N174="Y",'Daily Workforce'!$B174&lt;&gt;"",COUNTIF('Daily Schedule'!$F$5:$F17,'Daily Workforce'!$B174)=0,IF('Daily Schedule'!$A18=45,'Daily Workforce'!$J174="Y",IF(OR('Daily Schedule'!$A18=4,'Daily Schedule'!$A18=8),IF(OR(WEEKDAY('Daily Schedule'!$B$2,2)=1,WEEKDAY('Daily Schedule'!$B$2,2)=4,WEEKDAY('Daily Schedule'!$B$2,2)=5,WEEKDAY('Daily Schedule'!$B$2,2)=7),IFERROR(1*'Daily Workforce'!$K174&gt;=3,FALSE()),IFERROR(1*'Daily Workforce'!$K174&gt;=2,FALSE())),IF(AND('Daily Schedule'!$A18&gt;=46,'Daily Schedule'!$A18&lt;=52),'Daily Workforce'!$M174="Y",IFERROR(1*'Daily Workforce'!$P174&gt;=2,FALSE()))))),1,0)</f>
        <v>0</v>
      </c>
      <c r="GD14" s="1" t="n">
        <f aca="false">IF(AND('Daily Workforce'!$N175="Y",'Daily Workforce'!$B175&lt;&gt;"",COUNTIF('Daily Schedule'!$F$5:$F17,'Daily Workforce'!$B175)=0,IF('Daily Schedule'!$A18=45,'Daily Workforce'!$J175="Y",IF(OR('Daily Schedule'!$A18=4,'Daily Schedule'!$A18=8),IF(OR(WEEKDAY('Daily Schedule'!$B$2,2)=1,WEEKDAY('Daily Schedule'!$B$2,2)=4,WEEKDAY('Daily Schedule'!$B$2,2)=5,WEEKDAY('Daily Schedule'!$B$2,2)=7),IFERROR(1*'Daily Workforce'!$K175&gt;=3,FALSE()),IFERROR(1*'Daily Workforce'!$K175&gt;=2,FALSE())),IF(AND('Daily Schedule'!$A18&gt;=46,'Daily Schedule'!$A18&lt;=52),'Daily Workforce'!$M175="Y",IFERROR(1*'Daily Workforce'!$P175&gt;=2,FALSE()))))),1,0)</f>
        <v>0</v>
      </c>
      <c r="GE14" s="1" t="n">
        <f aca="false">IF(AND('Daily Workforce'!$N176="Y",'Daily Workforce'!$B176&lt;&gt;"",COUNTIF('Daily Schedule'!$F$5:$F17,'Daily Workforce'!$B176)=0,IF('Daily Schedule'!$A18=45,'Daily Workforce'!$J176="Y",IF(OR('Daily Schedule'!$A18=4,'Daily Schedule'!$A18=8),IF(OR(WEEKDAY('Daily Schedule'!$B$2,2)=1,WEEKDAY('Daily Schedule'!$B$2,2)=4,WEEKDAY('Daily Schedule'!$B$2,2)=5,WEEKDAY('Daily Schedule'!$B$2,2)=7),IFERROR(1*'Daily Workforce'!$K176&gt;=3,FALSE()),IFERROR(1*'Daily Workforce'!$K176&gt;=2,FALSE())),IF(AND('Daily Schedule'!$A18&gt;=46,'Daily Schedule'!$A18&lt;=52),'Daily Workforce'!$M176="Y",IFERROR(1*'Daily Workforce'!$P176&gt;=2,FALSE()))))),1,0)</f>
        <v>0</v>
      </c>
      <c r="GF14" s="1" t="n">
        <f aca="false">IF(AND('Daily Workforce'!$N177="Y",'Daily Workforce'!$B177&lt;&gt;"",COUNTIF('Daily Schedule'!$F$5:$F17,'Daily Workforce'!$B177)=0,IF('Daily Schedule'!$A18=45,'Daily Workforce'!$J177="Y",IF(OR('Daily Schedule'!$A18=4,'Daily Schedule'!$A18=8),IF(OR(WEEKDAY('Daily Schedule'!$B$2,2)=1,WEEKDAY('Daily Schedule'!$B$2,2)=4,WEEKDAY('Daily Schedule'!$B$2,2)=5,WEEKDAY('Daily Schedule'!$B$2,2)=7),IFERROR(1*'Daily Workforce'!$K177&gt;=3,FALSE()),IFERROR(1*'Daily Workforce'!$K177&gt;=2,FALSE())),IF(AND('Daily Schedule'!$A18&gt;=46,'Daily Schedule'!$A18&lt;=52),'Daily Workforce'!$M177="Y",IFERROR(1*'Daily Workforce'!$P177&gt;=2,FALSE()))))),1,0)</f>
        <v>0</v>
      </c>
      <c r="GG14" s="1" t="n">
        <f aca="false">IF(AND('Daily Workforce'!$N178="Y",'Daily Workforce'!$B178&lt;&gt;"",COUNTIF('Daily Schedule'!$F$5:$F17,'Daily Workforce'!$B178)=0,IF('Daily Schedule'!$A18=45,'Daily Workforce'!$J178="Y",IF(OR('Daily Schedule'!$A18=4,'Daily Schedule'!$A18=8),IF(OR(WEEKDAY('Daily Schedule'!$B$2,2)=1,WEEKDAY('Daily Schedule'!$B$2,2)=4,WEEKDAY('Daily Schedule'!$B$2,2)=5,WEEKDAY('Daily Schedule'!$B$2,2)=7),IFERROR(1*'Daily Workforce'!$K178&gt;=3,FALSE()),IFERROR(1*'Daily Workforce'!$K178&gt;=2,FALSE())),IF(AND('Daily Schedule'!$A18&gt;=46,'Daily Schedule'!$A18&lt;=52),'Daily Workforce'!$M178="Y",IFERROR(1*'Daily Workforce'!$P178&gt;=2,FALSE()))))),1,0)</f>
        <v>0</v>
      </c>
      <c r="GH14" s="1" t="n">
        <f aca="false">IF(AND('Daily Workforce'!$N179="Y",'Daily Workforce'!$B179&lt;&gt;"",COUNTIF('Daily Schedule'!$F$5:$F17,'Daily Workforce'!$B179)=0,IF('Daily Schedule'!$A18=45,'Daily Workforce'!$J179="Y",IF(OR('Daily Schedule'!$A18=4,'Daily Schedule'!$A18=8),IF(OR(WEEKDAY('Daily Schedule'!$B$2,2)=1,WEEKDAY('Daily Schedule'!$B$2,2)=4,WEEKDAY('Daily Schedule'!$B$2,2)=5,WEEKDAY('Daily Schedule'!$B$2,2)=7),IFERROR(1*'Daily Workforce'!$K179&gt;=3,FALSE()),IFERROR(1*'Daily Workforce'!$K179&gt;=2,FALSE())),IF(AND('Daily Schedule'!$A18&gt;=46,'Daily Schedule'!$A18&lt;=52),'Daily Workforce'!$M179="Y",IFERROR(1*'Daily Workforce'!$P179&gt;=2,FALSE()))))),1,0)</f>
        <v>0</v>
      </c>
      <c r="GI14" s="1" t="n">
        <f aca="false">IF(AND('Daily Workforce'!$N180="Y",'Daily Workforce'!$B180&lt;&gt;"",COUNTIF('Daily Schedule'!$F$5:$F17,'Daily Workforce'!$B180)=0,IF('Daily Schedule'!$A18=45,'Daily Workforce'!$J180="Y",IF(OR('Daily Schedule'!$A18=4,'Daily Schedule'!$A18=8),IF(OR(WEEKDAY('Daily Schedule'!$B$2,2)=1,WEEKDAY('Daily Schedule'!$B$2,2)=4,WEEKDAY('Daily Schedule'!$B$2,2)=5,WEEKDAY('Daily Schedule'!$B$2,2)=7),IFERROR(1*'Daily Workforce'!$K180&gt;=3,FALSE()),IFERROR(1*'Daily Workforce'!$K180&gt;=2,FALSE())),IF(AND('Daily Schedule'!$A18&gt;=46,'Daily Schedule'!$A18&lt;=52),'Daily Workforce'!$M180="Y",IFERROR(1*'Daily Workforce'!$P180&gt;=2,FALSE()))))),1,0)</f>
        <v>0</v>
      </c>
      <c r="GJ14" s="1" t="n">
        <f aca="false">IF(AND('Daily Workforce'!$N181="Y",'Daily Workforce'!$B181&lt;&gt;"",COUNTIF('Daily Schedule'!$F$5:$F17,'Daily Workforce'!$B181)=0,IF('Daily Schedule'!$A18=45,'Daily Workforce'!$J181="Y",IF(OR('Daily Schedule'!$A18=4,'Daily Schedule'!$A18=8),IF(OR(WEEKDAY('Daily Schedule'!$B$2,2)=1,WEEKDAY('Daily Schedule'!$B$2,2)=4,WEEKDAY('Daily Schedule'!$B$2,2)=5,WEEKDAY('Daily Schedule'!$B$2,2)=7),IFERROR(1*'Daily Workforce'!$K181&gt;=3,FALSE()),IFERROR(1*'Daily Workforce'!$K181&gt;=2,FALSE())),IF(AND('Daily Schedule'!$A18&gt;=46,'Daily Schedule'!$A18&lt;=52),'Daily Workforce'!$M181="Y",IFERROR(1*'Daily Workforce'!$P181&gt;=2,FALSE()))))),1,0)</f>
        <v>0</v>
      </c>
      <c r="GK14" s="1" t="n">
        <f aca="false">IF(AND('Daily Workforce'!$N182="Y",'Daily Workforce'!$B182&lt;&gt;"",COUNTIF('Daily Schedule'!$F$5:$F17,'Daily Workforce'!$B182)=0,IF('Daily Schedule'!$A18=45,'Daily Workforce'!$J182="Y",IF(OR('Daily Schedule'!$A18=4,'Daily Schedule'!$A18=8),IF(OR(WEEKDAY('Daily Schedule'!$B$2,2)=1,WEEKDAY('Daily Schedule'!$B$2,2)=4,WEEKDAY('Daily Schedule'!$B$2,2)=5,WEEKDAY('Daily Schedule'!$B$2,2)=7),IFERROR(1*'Daily Workforce'!$K182&gt;=3,FALSE()),IFERROR(1*'Daily Workforce'!$K182&gt;=2,FALSE())),IF(AND('Daily Schedule'!$A18&gt;=46,'Daily Schedule'!$A18&lt;=52),'Daily Workforce'!$M182="Y",IFERROR(1*'Daily Workforce'!$P182&gt;=2,FALSE()))))),1,0)</f>
        <v>0</v>
      </c>
      <c r="GL14" s="1" t="n">
        <f aca="false">IF(AND('Daily Workforce'!$N183="Y",'Daily Workforce'!$B183&lt;&gt;"",COUNTIF('Daily Schedule'!$F$5:$F17,'Daily Workforce'!$B183)=0,IF('Daily Schedule'!$A18=45,'Daily Workforce'!$J183="Y",IF(OR('Daily Schedule'!$A18=4,'Daily Schedule'!$A18=8),IF(OR(WEEKDAY('Daily Schedule'!$B$2,2)=1,WEEKDAY('Daily Schedule'!$B$2,2)=4,WEEKDAY('Daily Schedule'!$B$2,2)=5,WEEKDAY('Daily Schedule'!$B$2,2)=7),IFERROR(1*'Daily Workforce'!$K183&gt;=3,FALSE()),IFERROR(1*'Daily Workforce'!$K183&gt;=2,FALSE())),IF(AND('Daily Schedule'!$A18&gt;=46,'Daily Schedule'!$A18&lt;=52),'Daily Workforce'!$M183="Y",IFERROR(1*'Daily Workforce'!$P183&gt;=2,FALSE()))))),1,0)</f>
        <v>0</v>
      </c>
      <c r="GM14" s="1" t="n">
        <f aca="false">IF(AND('Daily Workforce'!$N184="Y",'Daily Workforce'!$B184&lt;&gt;"",COUNTIF('Daily Schedule'!$F$5:$F17,'Daily Workforce'!$B184)=0,IF('Daily Schedule'!$A18=45,'Daily Workforce'!$J184="Y",IF(OR('Daily Schedule'!$A18=4,'Daily Schedule'!$A18=8),IF(OR(WEEKDAY('Daily Schedule'!$B$2,2)=1,WEEKDAY('Daily Schedule'!$B$2,2)=4,WEEKDAY('Daily Schedule'!$B$2,2)=5,WEEKDAY('Daily Schedule'!$B$2,2)=7),IFERROR(1*'Daily Workforce'!$K184&gt;=3,FALSE()),IFERROR(1*'Daily Workforce'!$K184&gt;=2,FALSE())),IF(AND('Daily Schedule'!$A18&gt;=46,'Daily Schedule'!$A18&lt;=52),'Daily Workforce'!$M184="Y",IFERROR(1*'Daily Workforce'!$P184&gt;=2,FALSE()))))),1,0)</f>
        <v>0</v>
      </c>
      <c r="GN14" s="1" t="n">
        <f aca="false">IF(AND('Daily Workforce'!$N185="Y",'Daily Workforce'!$B185&lt;&gt;"",COUNTIF('Daily Schedule'!$F$5:$F17,'Daily Workforce'!$B185)=0,IF('Daily Schedule'!$A18=45,'Daily Workforce'!$J185="Y",IF(OR('Daily Schedule'!$A18=4,'Daily Schedule'!$A18=8),IF(OR(WEEKDAY('Daily Schedule'!$B$2,2)=1,WEEKDAY('Daily Schedule'!$B$2,2)=4,WEEKDAY('Daily Schedule'!$B$2,2)=5,WEEKDAY('Daily Schedule'!$B$2,2)=7),IFERROR(1*'Daily Workforce'!$K185&gt;=3,FALSE()),IFERROR(1*'Daily Workforce'!$K185&gt;=2,FALSE())),IF(AND('Daily Schedule'!$A18&gt;=46,'Daily Schedule'!$A18&lt;=52),'Daily Workforce'!$M185="Y",IFERROR(1*'Daily Workforce'!$P185&gt;=2,FALSE()))))),1,0)</f>
        <v>0</v>
      </c>
      <c r="GO14" s="1" t="n">
        <f aca="false">IF(AND('Daily Workforce'!$N186="Y",'Daily Workforce'!$B186&lt;&gt;"",COUNTIF('Daily Schedule'!$F$5:$F17,'Daily Workforce'!$B186)=0,IF('Daily Schedule'!$A18=45,'Daily Workforce'!$J186="Y",IF(OR('Daily Schedule'!$A18=4,'Daily Schedule'!$A18=8),IF(OR(WEEKDAY('Daily Schedule'!$B$2,2)=1,WEEKDAY('Daily Schedule'!$B$2,2)=4,WEEKDAY('Daily Schedule'!$B$2,2)=5,WEEKDAY('Daily Schedule'!$B$2,2)=7),IFERROR(1*'Daily Workforce'!$K186&gt;=3,FALSE()),IFERROR(1*'Daily Workforce'!$K186&gt;=2,FALSE())),IF(AND('Daily Schedule'!$A18&gt;=46,'Daily Schedule'!$A18&lt;=52),'Daily Workforce'!$M186="Y",IFERROR(1*'Daily Workforce'!$P186&gt;=2,FALSE()))))),1,0)</f>
        <v>0</v>
      </c>
      <c r="GP14" s="1" t="n">
        <f aca="false">IF(AND('Daily Workforce'!$N187="Y",'Daily Workforce'!$B187&lt;&gt;"",COUNTIF('Daily Schedule'!$F$5:$F17,'Daily Workforce'!$B187)=0,IF('Daily Schedule'!$A18=45,'Daily Workforce'!$J187="Y",IF(OR('Daily Schedule'!$A18=4,'Daily Schedule'!$A18=8),IF(OR(WEEKDAY('Daily Schedule'!$B$2,2)=1,WEEKDAY('Daily Schedule'!$B$2,2)=4,WEEKDAY('Daily Schedule'!$B$2,2)=5,WEEKDAY('Daily Schedule'!$B$2,2)=7),IFERROR(1*'Daily Workforce'!$K187&gt;=3,FALSE()),IFERROR(1*'Daily Workforce'!$K187&gt;=2,FALSE())),IF(AND('Daily Schedule'!$A18&gt;=46,'Daily Schedule'!$A18&lt;=52),'Daily Workforce'!$M187="Y",IFERROR(1*'Daily Workforce'!$P187&gt;=2,FALSE()))))),1,0)</f>
        <v>0</v>
      </c>
      <c r="GQ14" s="1" t="n">
        <f aca="false">IF(AND('Daily Workforce'!$N188="Y",'Daily Workforce'!$B188&lt;&gt;"",COUNTIF('Daily Schedule'!$F$5:$F17,'Daily Workforce'!$B188)=0,IF('Daily Schedule'!$A18=45,'Daily Workforce'!$J188="Y",IF(OR('Daily Schedule'!$A18=4,'Daily Schedule'!$A18=8),IF(OR(WEEKDAY('Daily Schedule'!$B$2,2)=1,WEEKDAY('Daily Schedule'!$B$2,2)=4,WEEKDAY('Daily Schedule'!$B$2,2)=5,WEEKDAY('Daily Schedule'!$B$2,2)=7),IFERROR(1*'Daily Workforce'!$K188&gt;=3,FALSE()),IFERROR(1*'Daily Workforce'!$K188&gt;=2,FALSE())),IF(AND('Daily Schedule'!$A18&gt;=46,'Daily Schedule'!$A18&lt;=52),'Daily Workforce'!$M188="Y",IFERROR(1*'Daily Workforce'!$P188&gt;=2,FALSE()))))),1,0)</f>
        <v>0</v>
      </c>
      <c r="GR14" s="1" t="n">
        <f aca="false">IF(AND('Daily Workforce'!$N189="Y",'Daily Workforce'!$B189&lt;&gt;"",COUNTIF('Daily Schedule'!$F$5:$F17,'Daily Workforce'!$B189)=0,IF('Daily Schedule'!$A18=45,'Daily Workforce'!$J189="Y",IF(OR('Daily Schedule'!$A18=4,'Daily Schedule'!$A18=8),IF(OR(WEEKDAY('Daily Schedule'!$B$2,2)=1,WEEKDAY('Daily Schedule'!$B$2,2)=4,WEEKDAY('Daily Schedule'!$B$2,2)=5,WEEKDAY('Daily Schedule'!$B$2,2)=7),IFERROR(1*'Daily Workforce'!$K189&gt;=3,FALSE()),IFERROR(1*'Daily Workforce'!$K189&gt;=2,FALSE())),IF(AND('Daily Schedule'!$A18&gt;=46,'Daily Schedule'!$A18&lt;=52),'Daily Workforce'!$M189="Y",IFERROR(1*'Daily Workforce'!$P189&gt;=2,FALSE()))))),1,0)</f>
        <v>0</v>
      </c>
      <c r="GS14" s="1" t="n">
        <f aca="false">IF(AND('Daily Workforce'!$N190="Y",'Daily Workforce'!$B190&lt;&gt;"",COUNTIF('Daily Schedule'!$F$5:$F17,'Daily Workforce'!$B190)=0,IF('Daily Schedule'!$A18=45,'Daily Workforce'!$J190="Y",IF(OR('Daily Schedule'!$A18=4,'Daily Schedule'!$A18=8),IF(OR(WEEKDAY('Daily Schedule'!$B$2,2)=1,WEEKDAY('Daily Schedule'!$B$2,2)=4,WEEKDAY('Daily Schedule'!$B$2,2)=5,WEEKDAY('Daily Schedule'!$B$2,2)=7),IFERROR(1*'Daily Workforce'!$K190&gt;=3,FALSE()),IFERROR(1*'Daily Workforce'!$K190&gt;=2,FALSE())),IF(AND('Daily Schedule'!$A18&gt;=46,'Daily Schedule'!$A18&lt;=52),'Daily Workforce'!$M190="Y",IFERROR(1*'Daily Workforce'!$P190&gt;=2,FALSE()))))),1,0)</f>
        <v>0</v>
      </c>
      <c r="GT14" s="1" t="n">
        <f aca="false">IF(AND('Daily Workforce'!$N191="Y",'Daily Workforce'!$B191&lt;&gt;"",COUNTIF('Daily Schedule'!$F$5:$F17,'Daily Workforce'!$B191)=0,IF('Daily Schedule'!$A18=45,'Daily Workforce'!$J191="Y",IF(OR('Daily Schedule'!$A18=4,'Daily Schedule'!$A18=8),IF(OR(WEEKDAY('Daily Schedule'!$B$2,2)=1,WEEKDAY('Daily Schedule'!$B$2,2)=4,WEEKDAY('Daily Schedule'!$B$2,2)=5,WEEKDAY('Daily Schedule'!$B$2,2)=7),IFERROR(1*'Daily Workforce'!$K191&gt;=3,FALSE()),IFERROR(1*'Daily Workforce'!$K191&gt;=2,FALSE())),IF(AND('Daily Schedule'!$A18&gt;=46,'Daily Schedule'!$A18&lt;=52),'Daily Workforce'!$M191="Y",IFERROR(1*'Daily Workforce'!$P191&gt;=2,FALSE()))))),1,0)</f>
        <v>0</v>
      </c>
      <c r="GU14" s="1" t="n">
        <f aca="false">IF(AND('Daily Workforce'!$N192="Y",'Daily Workforce'!$B192&lt;&gt;"",COUNTIF('Daily Schedule'!$F$5:$F17,'Daily Workforce'!$B192)=0,IF('Daily Schedule'!$A18=45,'Daily Workforce'!$J192="Y",IF(OR('Daily Schedule'!$A18=4,'Daily Schedule'!$A18=8),IF(OR(WEEKDAY('Daily Schedule'!$B$2,2)=1,WEEKDAY('Daily Schedule'!$B$2,2)=4,WEEKDAY('Daily Schedule'!$B$2,2)=5,WEEKDAY('Daily Schedule'!$B$2,2)=7),IFERROR(1*'Daily Workforce'!$K192&gt;=3,FALSE()),IFERROR(1*'Daily Workforce'!$K192&gt;=2,FALSE())),IF(AND('Daily Schedule'!$A18&gt;=46,'Daily Schedule'!$A18&lt;=52),'Daily Workforce'!$M192="Y",IFERROR(1*'Daily Workforce'!$P192&gt;=2,FALSE()))))),1,0)</f>
        <v>0</v>
      </c>
      <c r="GV14" s="1" t="n">
        <f aca="false">IF(AND('Daily Workforce'!$N193="Y",'Daily Workforce'!$B193&lt;&gt;"",COUNTIF('Daily Schedule'!$F$5:$F17,'Daily Workforce'!$B193)=0,IF('Daily Schedule'!$A18=45,'Daily Workforce'!$J193="Y",IF(OR('Daily Schedule'!$A18=4,'Daily Schedule'!$A18=8),IF(OR(WEEKDAY('Daily Schedule'!$B$2,2)=1,WEEKDAY('Daily Schedule'!$B$2,2)=4,WEEKDAY('Daily Schedule'!$B$2,2)=5,WEEKDAY('Daily Schedule'!$B$2,2)=7),IFERROR(1*'Daily Workforce'!$K193&gt;=3,FALSE()),IFERROR(1*'Daily Workforce'!$K193&gt;=2,FALSE())),IF(AND('Daily Schedule'!$A18&gt;=46,'Daily Schedule'!$A18&lt;=52),'Daily Workforce'!$M193="Y",IFERROR(1*'Daily Workforce'!$P193&gt;=2,FALSE()))))),1,0)</f>
        <v>0</v>
      </c>
      <c r="GW14" s="1" t="n">
        <f aca="false">IF(AND('Daily Workforce'!$N194="Y",'Daily Workforce'!$B194&lt;&gt;"",COUNTIF('Daily Schedule'!$F$5:$F17,'Daily Workforce'!$B194)=0,IF('Daily Schedule'!$A18=45,'Daily Workforce'!$J194="Y",IF(OR('Daily Schedule'!$A18=4,'Daily Schedule'!$A18=8),IF(OR(WEEKDAY('Daily Schedule'!$B$2,2)=1,WEEKDAY('Daily Schedule'!$B$2,2)=4,WEEKDAY('Daily Schedule'!$B$2,2)=5,WEEKDAY('Daily Schedule'!$B$2,2)=7),IFERROR(1*'Daily Workforce'!$K194&gt;=3,FALSE()),IFERROR(1*'Daily Workforce'!$K194&gt;=2,FALSE())),IF(AND('Daily Schedule'!$A18&gt;=46,'Daily Schedule'!$A18&lt;=52),'Daily Workforce'!$M194="Y",IFERROR(1*'Daily Workforce'!$P194&gt;=2,FALSE()))))),1,0)</f>
        <v>0</v>
      </c>
      <c r="GX14" s="1" t="n">
        <f aca="false">IF(AND('Daily Workforce'!$N195="Y",'Daily Workforce'!$B195&lt;&gt;"",COUNTIF('Daily Schedule'!$F$5:$F17,'Daily Workforce'!$B195)=0,IF('Daily Schedule'!$A18=45,'Daily Workforce'!$J195="Y",IF(OR('Daily Schedule'!$A18=4,'Daily Schedule'!$A18=8),IF(OR(WEEKDAY('Daily Schedule'!$B$2,2)=1,WEEKDAY('Daily Schedule'!$B$2,2)=4,WEEKDAY('Daily Schedule'!$B$2,2)=5,WEEKDAY('Daily Schedule'!$B$2,2)=7),IFERROR(1*'Daily Workforce'!$K195&gt;=3,FALSE()),IFERROR(1*'Daily Workforce'!$K195&gt;=2,FALSE())),IF(AND('Daily Schedule'!$A18&gt;=46,'Daily Schedule'!$A18&lt;=52),'Daily Workforce'!$M195="Y",IFERROR(1*'Daily Workforce'!$P195&gt;=2,FALSE()))))),1,0)</f>
        <v>0</v>
      </c>
      <c r="GY14" s="1" t="n">
        <f aca="false">IF(AND('Daily Workforce'!$N196="Y",'Daily Workforce'!$B196&lt;&gt;"",COUNTIF('Daily Schedule'!$F$5:$F17,'Daily Workforce'!$B196)=0,IF('Daily Schedule'!$A18=45,'Daily Workforce'!$J196="Y",IF(OR('Daily Schedule'!$A18=4,'Daily Schedule'!$A18=8),IF(OR(WEEKDAY('Daily Schedule'!$B$2,2)=1,WEEKDAY('Daily Schedule'!$B$2,2)=4,WEEKDAY('Daily Schedule'!$B$2,2)=5,WEEKDAY('Daily Schedule'!$B$2,2)=7),IFERROR(1*'Daily Workforce'!$K196&gt;=3,FALSE()),IFERROR(1*'Daily Workforce'!$K196&gt;=2,FALSE())),IF(AND('Daily Schedule'!$A18&gt;=46,'Daily Schedule'!$A18&lt;=52),'Daily Workforce'!$M196="Y",IFERROR(1*'Daily Workforce'!$P196&gt;=2,FALSE()))))),1,0)</f>
        <v>0</v>
      </c>
      <c r="GZ14" s="1" t="n">
        <f aca="false">IF(AND('Daily Workforce'!$N197="Y",'Daily Workforce'!$B197&lt;&gt;"",COUNTIF('Daily Schedule'!$F$5:$F17,'Daily Workforce'!$B197)=0,IF('Daily Schedule'!$A18=45,'Daily Workforce'!$J197="Y",IF(OR('Daily Schedule'!$A18=4,'Daily Schedule'!$A18=8),IF(OR(WEEKDAY('Daily Schedule'!$B$2,2)=1,WEEKDAY('Daily Schedule'!$B$2,2)=4,WEEKDAY('Daily Schedule'!$B$2,2)=5,WEEKDAY('Daily Schedule'!$B$2,2)=7),IFERROR(1*'Daily Workforce'!$K197&gt;=3,FALSE()),IFERROR(1*'Daily Workforce'!$K197&gt;=2,FALSE())),IF(AND('Daily Schedule'!$A18&gt;=46,'Daily Schedule'!$A18&lt;=52),'Daily Workforce'!$M197="Y",IFERROR(1*'Daily Workforce'!$P197&gt;=2,FALSE()))))),1,0)</f>
        <v>0</v>
      </c>
      <c r="HA14" s="1" t="n">
        <f aca="false">IF(AND('Daily Workforce'!$N198="Y",'Daily Workforce'!$B198&lt;&gt;"",COUNTIF('Daily Schedule'!$F$5:$F17,'Daily Workforce'!$B198)=0,IF('Daily Schedule'!$A18=45,'Daily Workforce'!$J198="Y",IF(OR('Daily Schedule'!$A18=4,'Daily Schedule'!$A18=8),IF(OR(WEEKDAY('Daily Schedule'!$B$2,2)=1,WEEKDAY('Daily Schedule'!$B$2,2)=4,WEEKDAY('Daily Schedule'!$B$2,2)=5,WEEKDAY('Daily Schedule'!$B$2,2)=7),IFERROR(1*'Daily Workforce'!$K198&gt;=3,FALSE()),IFERROR(1*'Daily Workforce'!$K198&gt;=2,FALSE())),IF(AND('Daily Schedule'!$A18&gt;=46,'Daily Schedule'!$A18&lt;=52),'Daily Workforce'!$M198="Y",IFERROR(1*'Daily Workforce'!$P198&gt;=2,FALSE()))))),1,0)</f>
        <v>0</v>
      </c>
      <c r="HB14" s="1" t="n">
        <f aca="false">IF(AND('Daily Workforce'!$N199="Y",'Daily Workforce'!$B199&lt;&gt;"",COUNTIF('Daily Schedule'!$F$5:$F17,'Daily Workforce'!$B199)=0,IF('Daily Schedule'!$A18=45,'Daily Workforce'!$J199="Y",IF(OR('Daily Schedule'!$A18=4,'Daily Schedule'!$A18=8),IF(OR(WEEKDAY('Daily Schedule'!$B$2,2)=1,WEEKDAY('Daily Schedule'!$B$2,2)=4,WEEKDAY('Daily Schedule'!$B$2,2)=5,WEEKDAY('Daily Schedule'!$B$2,2)=7),IFERROR(1*'Daily Workforce'!$K199&gt;=3,FALSE()),IFERROR(1*'Daily Workforce'!$K199&gt;=2,FALSE())),IF(AND('Daily Schedule'!$A18&gt;=46,'Daily Schedule'!$A18&lt;=52),'Daily Workforce'!$M199="Y",IFERROR(1*'Daily Workforce'!$P199&gt;=2,FALSE()))))),1,0)</f>
        <v>0</v>
      </c>
      <c r="HC14" s="1" t="n">
        <f aca="false">IF(AND('Daily Workforce'!$N200="Y",'Daily Workforce'!$B200&lt;&gt;"",COUNTIF('Daily Schedule'!$F$5:$F17,'Daily Workforce'!$B200)=0,IF('Daily Schedule'!$A18=45,'Daily Workforce'!$J200="Y",IF(OR('Daily Schedule'!$A18=4,'Daily Schedule'!$A18=8),IF(OR(WEEKDAY('Daily Schedule'!$B$2,2)=1,WEEKDAY('Daily Schedule'!$B$2,2)=4,WEEKDAY('Daily Schedule'!$B$2,2)=5,WEEKDAY('Daily Schedule'!$B$2,2)=7),IFERROR(1*'Daily Workforce'!$K200&gt;=3,FALSE()),IFERROR(1*'Daily Workforce'!$K200&gt;=2,FALSE())),IF(AND('Daily Schedule'!$A18&gt;=46,'Daily Schedule'!$A18&lt;=52),'Daily Workforce'!$M200="Y",IFERROR(1*'Daily Workforce'!$P200&gt;=2,FALSE()))))),1,0)</f>
        <v>0</v>
      </c>
      <c r="HD14" s="1" t="n">
        <f aca="false">IF(AND('Daily Workforce'!$N201="Y",'Daily Workforce'!$B201&lt;&gt;"",COUNTIF('Daily Schedule'!$F$5:$F17,'Daily Workforce'!$B201)=0,IF('Daily Schedule'!$A18=45,'Daily Workforce'!$J201="Y",IF(OR('Daily Schedule'!$A18=4,'Daily Schedule'!$A18=8),IF(OR(WEEKDAY('Daily Schedule'!$B$2,2)=1,WEEKDAY('Daily Schedule'!$B$2,2)=4,WEEKDAY('Daily Schedule'!$B$2,2)=5,WEEKDAY('Daily Schedule'!$B$2,2)=7),IFERROR(1*'Daily Workforce'!$K201&gt;=3,FALSE()),IFERROR(1*'Daily Workforce'!$K201&gt;=2,FALSE())),IF(AND('Daily Schedule'!$A18&gt;=46,'Daily Schedule'!$A18&lt;=52),'Daily Workforce'!$M201="Y",IFERROR(1*'Daily Workforce'!$P201&gt;=2,FALSE()))))),1,0)</f>
        <v>0</v>
      </c>
      <c r="HE14" s="1" t="n">
        <f aca="false">IF(AND('Daily Workforce'!$N202="Y",'Daily Workforce'!$B202&lt;&gt;"",COUNTIF('Daily Schedule'!$F$5:$F17,'Daily Workforce'!$B202)=0,IF('Daily Schedule'!$A18=45,'Daily Workforce'!$J202="Y",IF(OR('Daily Schedule'!$A18=4,'Daily Schedule'!$A18=8),IF(OR(WEEKDAY('Daily Schedule'!$B$2,2)=1,WEEKDAY('Daily Schedule'!$B$2,2)=4,WEEKDAY('Daily Schedule'!$B$2,2)=5,WEEKDAY('Daily Schedule'!$B$2,2)=7),IFERROR(1*'Daily Workforce'!$K202&gt;=3,FALSE()),IFERROR(1*'Daily Workforce'!$K202&gt;=2,FALSE())),IF(AND('Daily Schedule'!$A18&gt;=46,'Daily Schedule'!$A18&lt;=52),'Daily Workforce'!$M202="Y",IFERROR(1*'Daily Workforce'!$P202&gt;=2,FALSE()))))),1,0)</f>
        <v>0</v>
      </c>
      <c r="HF14" s="1" t="n">
        <f aca="false">IF(AND('Daily Workforce'!$N203="Y",'Daily Workforce'!$B203&lt;&gt;"",COUNTIF('Daily Schedule'!$F$5:$F17,'Daily Workforce'!$B203)=0,IF('Daily Schedule'!$A18=45,'Daily Workforce'!$J203="Y",IF(OR('Daily Schedule'!$A18=4,'Daily Schedule'!$A18=8),IF(OR(WEEKDAY('Daily Schedule'!$B$2,2)=1,WEEKDAY('Daily Schedule'!$B$2,2)=4,WEEKDAY('Daily Schedule'!$B$2,2)=5,WEEKDAY('Daily Schedule'!$B$2,2)=7),IFERROR(1*'Daily Workforce'!$K203&gt;=3,FALSE()),IFERROR(1*'Daily Workforce'!$K203&gt;=2,FALSE())),IF(AND('Daily Schedule'!$A18&gt;=46,'Daily Schedule'!$A18&lt;=52),'Daily Workforce'!$M203="Y",IFERROR(1*'Daily Workforce'!$P203&gt;=2,FALSE()))))),1,0)</f>
        <v>0</v>
      </c>
      <c r="HG14" s="1" t="n">
        <f aca="false">IF(AND('Daily Workforce'!$N204="Y",'Daily Workforce'!$B204&lt;&gt;"",COUNTIF('Daily Schedule'!$F$5:$F17,'Daily Workforce'!$B204)=0,IF('Daily Schedule'!$A18=45,'Daily Workforce'!$J204="Y",IF(OR('Daily Schedule'!$A18=4,'Daily Schedule'!$A18=8),IF(OR(WEEKDAY('Daily Schedule'!$B$2,2)=1,WEEKDAY('Daily Schedule'!$B$2,2)=4,WEEKDAY('Daily Schedule'!$B$2,2)=5,WEEKDAY('Daily Schedule'!$B$2,2)=7),IFERROR(1*'Daily Workforce'!$K204&gt;=3,FALSE()),IFERROR(1*'Daily Workforce'!$K204&gt;=2,FALSE())),IF(AND('Daily Schedule'!$A18&gt;=46,'Daily Schedule'!$A18&lt;=52),'Daily Workforce'!$M204="Y",IFERROR(1*'Daily Workforce'!$P204&gt;=2,FALSE()))))),1,0)</f>
        <v>0</v>
      </c>
      <c r="HH14" s="1" t="n">
        <f aca="false">IF(AND('Daily Workforce'!$N205="Y",'Daily Workforce'!$B205&lt;&gt;"",COUNTIF('Daily Schedule'!$F$5:$F17,'Daily Workforce'!$B205)=0,IF('Daily Schedule'!$A18=45,'Daily Workforce'!$J205="Y",IF(OR('Daily Schedule'!$A18=4,'Daily Schedule'!$A18=8),IF(OR(WEEKDAY('Daily Schedule'!$B$2,2)=1,WEEKDAY('Daily Schedule'!$B$2,2)=4,WEEKDAY('Daily Schedule'!$B$2,2)=5,WEEKDAY('Daily Schedule'!$B$2,2)=7),IFERROR(1*'Daily Workforce'!$K205&gt;=3,FALSE()),IFERROR(1*'Daily Workforce'!$K205&gt;=2,FALSE())),IF(AND('Daily Schedule'!$A18&gt;=46,'Daily Schedule'!$A18&lt;=52),'Daily Workforce'!$M205="Y",IFERROR(1*'Daily Workforce'!$P205&gt;=2,FALSE()))))),1,0)</f>
        <v>0</v>
      </c>
    </row>
    <row r="15" customFormat="false" ht="15" hidden="false" customHeight="true" outlineLevel="0" collapsed="false">
      <c r="L15" s="1" t="s">
        <v>471</v>
      </c>
      <c r="O15" s="1" t="n">
        <f aca="false">IF(AND('Employee Master'!$G15="Y",ISERROR(SEARCH(TEXT('Daily Workforce'!$B$2,"ddd"),'Employee Master'!$D15)),IF('Daily Workforce'!$E$2="",TRUE(),'Employee Master'!$I15='Daily Workforce'!$E$2)),'Employee Master'!$K15*1000+ROW()-1,"")</f>
        <v>3014</v>
      </c>
      <c r="P15" s="1" t="n">
        <f aca="false">IF($O15="","",COUNTIF($O$2:$O$159,"&lt;="&amp;$O15))</f>
        <v>60</v>
      </c>
      <c r="Q15" s="1" t="n">
        <f aca="false">IF(AND('Daily Workforce'!$N6="Y",'Daily Workforce'!$B6&lt;&gt;"",COUNTIF('Daily Schedule'!$F$5:$F18,'Daily Workforce'!$B6)=0,IF('Daily Schedule'!$A19=45,'Daily Workforce'!$J6="Y",IF(OR('Daily Schedule'!$A19=4,'Daily Schedule'!$A19=8),IF(OR(WEEKDAY('Daily Schedule'!$B$2,2)=1,WEEKDAY('Daily Schedule'!$B$2,2)=4,WEEKDAY('Daily Schedule'!$B$2,2)=5,WEEKDAY('Daily Schedule'!$B$2,2)=7),IFERROR(1*'Daily Workforce'!$K6&gt;=3,FALSE()),IFERROR(1*'Daily Workforce'!$K6&gt;=2,FALSE())),IF(AND('Daily Schedule'!$A19&gt;=46,'Daily Schedule'!$A19&lt;=52),'Daily Workforce'!$M6="Y",IFERROR(1*'Daily Workforce'!$P6&gt;=2,FALSE()))))),1,0)</f>
        <v>0</v>
      </c>
      <c r="R15" s="1" t="n">
        <f aca="false">IF(AND('Daily Workforce'!$N7="Y",'Daily Workforce'!$B7&lt;&gt;"",COUNTIF('Daily Schedule'!$F$5:$F18,'Daily Workforce'!$B7)=0,IF('Daily Schedule'!$A19=45,'Daily Workforce'!$J7="Y",IF(OR('Daily Schedule'!$A19=4,'Daily Schedule'!$A19=8),IF(OR(WEEKDAY('Daily Schedule'!$B$2,2)=1,WEEKDAY('Daily Schedule'!$B$2,2)=4,WEEKDAY('Daily Schedule'!$B$2,2)=5,WEEKDAY('Daily Schedule'!$B$2,2)=7),IFERROR(1*'Daily Workforce'!$K7&gt;=3,FALSE()),IFERROR(1*'Daily Workforce'!$K7&gt;=2,FALSE())),IF(AND('Daily Schedule'!$A19&gt;=46,'Daily Schedule'!$A19&lt;=52),'Daily Workforce'!$M7="Y",IFERROR(1*'Daily Workforce'!$P7&gt;=2,FALSE()))))),1,0)</f>
        <v>0</v>
      </c>
      <c r="S15" s="1" t="n">
        <f aca="false">IF(AND('Daily Workforce'!$N8="Y",'Daily Workforce'!$B8&lt;&gt;"",COUNTIF('Daily Schedule'!$F$5:$F18,'Daily Workforce'!$B8)=0,IF('Daily Schedule'!$A19=45,'Daily Workforce'!$J8="Y",IF(OR('Daily Schedule'!$A19=4,'Daily Schedule'!$A19=8),IF(OR(WEEKDAY('Daily Schedule'!$B$2,2)=1,WEEKDAY('Daily Schedule'!$B$2,2)=4,WEEKDAY('Daily Schedule'!$B$2,2)=5,WEEKDAY('Daily Schedule'!$B$2,2)=7),IFERROR(1*'Daily Workforce'!$K8&gt;=3,FALSE()),IFERROR(1*'Daily Workforce'!$K8&gt;=2,FALSE())),IF(AND('Daily Schedule'!$A19&gt;=46,'Daily Schedule'!$A19&lt;=52),'Daily Workforce'!$M8="Y",IFERROR(1*'Daily Workforce'!$P8&gt;=2,FALSE()))))),1,0)</f>
        <v>0</v>
      </c>
      <c r="T15" s="1" t="n">
        <f aca="false">IF(AND('Daily Workforce'!$N9="Y",'Daily Workforce'!$B9&lt;&gt;"",COUNTIF('Daily Schedule'!$F$5:$F18,'Daily Workforce'!$B9)=0,IF('Daily Schedule'!$A19=45,'Daily Workforce'!$J9="Y",IF(OR('Daily Schedule'!$A19=4,'Daily Schedule'!$A19=8),IF(OR(WEEKDAY('Daily Schedule'!$B$2,2)=1,WEEKDAY('Daily Schedule'!$B$2,2)=4,WEEKDAY('Daily Schedule'!$B$2,2)=5,WEEKDAY('Daily Schedule'!$B$2,2)=7),IFERROR(1*'Daily Workforce'!$K9&gt;=3,FALSE()),IFERROR(1*'Daily Workforce'!$K9&gt;=2,FALSE())),IF(AND('Daily Schedule'!$A19&gt;=46,'Daily Schedule'!$A19&lt;=52),'Daily Workforce'!$M9="Y",IFERROR(1*'Daily Workforce'!$P9&gt;=2,FALSE()))))),1,0)</f>
        <v>0</v>
      </c>
      <c r="U15" s="1" t="n">
        <f aca="false">IF(AND('Daily Workforce'!$N10="Y",'Daily Workforce'!$B10&lt;&gt;"",COUNTIF('Daily Schedule'!$F$5:$F18,'Daily Workforce'!$B10)=0,IF('Daily Schedule'!$A19=45,'Daily Workforce'!$J10="Y",IF(OR('Daily Schedule'!$A19=4,'Daily Schedule'!$A19=8),IF(OR(WEEKDAY('Daily Schedule'!$B$2,2)=1,WEEKDAY('Daily Schedule'!$B$2,2)=4,WEEKDAY('Daily Schedule'!$B$2,2)=5,WEEKDAY('Daily Schedule'!$B$2,2)=7),IFERROR(1*'Daily Workforce'!$K10&gt;=3,FALSE()),IFERROR(1*'Daily Workforce'!$K10&gt;=2,FALSE())),IF(AND('Daily Schedule'!$A19&gt;=46,'Daily Schedule'!$A19&lt;=52),'Daily Workforce'!$M10="Y",IFERROR(1*'Daily Workforce'!$P10&gt;=2,FALSE()))))),1,0)</f>
        <v>0</v>
      </c>
      <c r="V15" s="1" t="n">
        <f aca="false">IF(AND('Daily Workforce'!$N11="Y",'Daily Workforce'!$B11&lt;&gt;"",COUNTIF('Daily Schedule'!$F$5:$F18,'Daily Workforce'!$B11)=0,IF('Daily Schedule'!$A19=45,'Daily Workforce'!$J11="Y",IF(OR('Daily Schedule'!$A19=4,'Daily Schedule'!$A19=8),IF(OR(WEEKDAY('Daily Schedule'!$B$2,2)=1,WEEKDAY('Daily Schedule'!$B$2,2)=4,WEEKDAY('Daily Schedule'!$B$2,2)=5,WEEKDAY('Daily Schedule'!$B$2,2)=7),IFERROR(1*'Daily Workforce'!$K11&gt;=3,FALSE()),IFERROR(1*'Daily Workforce'!$K11&gt;=2,FALSE())),IF(AND('Daily Schedule'!$A19&gt;=46,'Daily Schedule'!$A19&lt;=52),'Daily Workforce'!$M11="Y",IFERROR(1*'Daily Workforce'!$P11&gt;=2,FALSE()))))),1,0)</f>
        <v>0</v>
      </c>
      <c r="W15" s="1" t="n">
        <f aca="false">IF(AND('Daily Workforce'!$N12="Y",'Daily Workforce'!$B12&lt;&gt;"",COUNTIF('Daily Schedule'!$F$5:$F18,'Daily Workforce'!$B12)=0,IF('Daily Schedule'!$A19=45,'Daily Workforce'!$J12="Y",IF(OR('Daily Schedule'!$A19=4,'Daily Schedule'!$A19=8),IF(OR(WEEKDAY('Daily Schedule'!$B$2,2)=1,WEEKDAY('Daily Schedule'!$B$2,2)=4,WEEKDAY('Daily Schedule'!$B$2,2)=5,WEEKDAY('Daily Schedule'!$B$2,2)=7),IFERROR(1*'Daily Workforce'!$K12&gt;=3,FALSE()),IFERROR(1*'Daily Workforce'!$K12&gt;=2,FALSE())),IF(AND('Daily Schedule'!$A19&gt;=46,'Daily Schedule'!$A19&lt;=52),'Daily Workforce'!$M12="Y",IFERROR(1*'Daily Workforce'!$P12&gt;=2,FALSE()))))),1,0)</f>
        <v>0</v>
      </c>
      <c r="X15" s="1" t="n">
        <f aca="false">IF(AND('Daily Workforce'!$N13="Y",'Daily Workforce'!$B13&lt;&gt;"",COUNTIF('Daily Schedule'!$F$5:$F18,'Daily Workforce'!$B13)=0,IF('Daily Schedule'!$A19=45,'Daily Workforce'!$J13="Y",IF(OR('Daily Schedule'!$A19=4,'Daily Schedule'!$A19=8),IF(OR(WEEKDAY('Daily Schedule'!$B$2,2)=1,WEEKDAY('Daily Schedule'!$B$2,2)=4,WEEKDAY('Daily Schedule'!$B$2,2)=5,WEEKDAY('Daily Schedule'!$B$2,2)=7),IFERROR(1*'Daily Workforce'!$K13&gt;=3,FALSE()),IFERROR(1*'Daily Workforce'!$K13&gt;=2,FALSE())),IF(AND('Daily Schedule'!$A19&gt;=46,'Daily Schedule'!$A19&lt;=52),'Daily Workforce'!$M13="Y",IFERROR(1*'Daily Workforce'!$P13&gt;=2,FALSE()))))),1,0)</f>
        <v>0</v>
      </c>
      <c r="Y15" s="1" t="n">
        <f aca="false">IF(AND('Daily Workforce'!$N14="Y",'Daily Workforce'!$B14&lt;&gt;"",COUNTIF('Daily Schedule'!$F$5:$F18,'Daily Workforce'!$B14)=0,IF('Daily Schedule'!$A19=45,'Daily Workforce'!$J14="Y",IF(OR('Daily Schedule'!$A19=4,'Daily Schedule'!$A19=8),IF(OR(WEEKDAY('Daily Schedule'!$B$2,2)=1,WEEKDAY('Daily Schedule'!$B$2,2)=4,WEEKDAY('Daily Schedule'!$B$2,2)=5,WEEKDAY('Daily Schedule'!$B$2,2)=7),IFERROR(1*'Daily Workforce'!$K14&gt;=3,FALSE()),IFERROR(1*'Daily Workforce'!$K14&gt;=2,FALSE())),IF(AND('Daily Schedule'!$A19&gt;=46,'Daily Schedule'!$A19&lt;=52),'Daily Workforce'!$M14="Y",IFERROR(1*'Daily Workforce'!$P14&gt;=2,FALSE()))))),1,0)</f>
        <v>0</v>
      </c>
      <c r="Z15" s="1" t="n">
        <f aca="false">IF(AND('Daily Workforce'!$N15="Y",'Daily Workforce'!$B15&lt;&gt;"",COUNTIF('Daily Schedule'!$F$5:$F18,'Daily Workforce'!$B15)=0,IF('Daily Schedule'!$A19=45,'Daily Workforce'!$J15="Y",IF(OR('Daily Schedule'!$A19=4,'Daily Schedule'!$A19=8),IF(OR(WEEKDAY('Daily Schedule'!$B$2,2)=1,WEEKDAY('Daily Schedule'!$B$2,2)=4,WEEKDAY('Daily Schedule'!$B$2,2)=5,WEEKDAY('Daily Schedule'!$B$2,2)=7),IFERROR(1*'Daily Workforce'!$K15&gt;=3,FALSE()),IFERROR(1*'Daily Workforce'!$K15&gt;=2,FALSE())),IF(AND('Daily Schedule'!$A19&gt;=46,'Daily Schedule'!$A19&lt;=52),'Daily Workforce'!$M15="Y",IFERROR(1*'Daily Workforce'!$P15&gt;=2,FALSE()))))),1,0)</f>
        <v>0</v>
      </c>
      <c r="AA15" s="1" t="n">
        <f aca="false">IF(AND('Daily Workforce'!$N16="Y",'Daily Workforce'!$B16&lt;&gt;"",COUNTIF('Daily Schedule'!$F$5:$F18,'Daily Workforce'!$B16)=0,IF('Daily Schedule'!$A19=45,'Daily Workforce'!$J16="Y",IF(OR('Daily Schedule'!$A19=4,'Daily Schedule'!$A19=8),IF(OR(WEEKDAY('Daily Schedule'!$B$2,2)=1,WEEKDAY('Daily Schedule'!$B$2,2)=4,WEEKDAY('Daily Schedule'!$B$2,2)=5,WEEKDAY('Daily Schedule'!$B$2,2)=7),IFERROR(1*'Daily Workforce'!$K16&gt;=3,FALSE()),IFERROR(1*'Daily Workforce'!$K16&gt;=2,FALSE())),IF(AND('Daily Schedule'!$A19&gt;=46,'Daily Schedule'!$A19&lt;=52),'Daily Workforce'!$M16="Y",IFERROR(1*'Daily Workforce'!$P16&gt;=2,FALSE()))))),1,0)</f>
        <v>0</v>
      </c>
      <c r="AB15" s="1" t="n">
        <f aca="false">IF(AND('Daily Workforce'!$N17="Y",'Daily Workforce'!$B17&lt;&gt;"",COUNTIF('Daily Schedule'!$F$5:$F18,'Daily Workforce'!$B17)=0,IF('Daily Schedule'!$A19=45,'Daily Workforce'!$J17="Y",IF(OR('Daily Schedule'!$A19=4,'Daily Schedule'!$A19=8),IF(OR(WEEKDAY('Daily Schedule'!$B$2,2)=1,WEEKDAY('Daily Schedule'!$B$2,2)=4,WEEKDAY('Daily Schedule'!$B$2,2)=5,WEEKDAY('Daily Schedule'!$B$2,2)=7),IFERROR(1*'Daily Workforce'!$K17&gt;=3,FALSE()),IFERROR(1*'Daily Workforce'!$K17&gt;=2,FALSE())),IF(AND('Daily Schedule'!$A19&gt;=46,'Daily Schedule'!$A19&lt;=52),'Daily Workforce'!$M17="Y",IFERROR(1*'Daily Workforce'!$P17&gt;=2,FALSE()))))),1,0)</f>
        <v>0</v>
      </c>
      <c r="AC15" s="1" t="n">
        <f aca="false">IF(AND('Daily Workforce'!$N18="Y",'Daily Workforce'!$B18&lt;&gt;"",COUNTIF('Daily Schedule'!$F$5:$F18,'Daily Workforce'!$B18)=0,IF('Daily Schedule'!$A19=45,'Daily Workforce'!$J18="Y",IF(OR('Daily Schedule'!$A19=4,'Daily Schedule'!$A19=8),IF(OR(WEEKDAY('Daily Schedule'!$B$2,2)=1,WEEKDAY('Daily Schedule'!$B$2,2)=4,WEEKDAY('Daily Schedule'!$B$2,2)=5,WEEKDAY('Daily Schedule'!$B$2,2)=7),IFERROR(1*'Daily Workforce'!$K18&gt;=3,FALSE()),IFERROR(1*'Daily Workforce'!$K18&gt;=2,FALSE())),IF(AND('Daily Schedule'!$A19&gt;=46,'Daily Schedule'!$A19&lt;=52),'Daily Workforce'!$M18="Y",IFERROR(1*'Daily Workforce'!$P18&gt;=2,FALSE()))))),1,0)</f>
        <v>1</v>
      </c>
      <c r="AD15" s="1" t="n">
        <f aca="false">IF(AND('Daily Workforce'!$N19="Y",'Daily Workforce'!$B19&lt;&gt;"",COUNTIF('Daily Schedule'!$F$5:$F18,'Daily Workforce'!$B19)=0,IF('Daily Schedule'!$A19=45,'Daily Workforce'!$J19="Y",IF(OR('Daily Schedule'!$A19=4,'Daily Schedule'!$A19=8),IF(OR(WEEKDAY('Daily Schedule'!$B$2,2)=1,WEEKDAY('Daily Schedule'!$B$2,2)=4,WEEKDAY('Daily Schedule'!$B$2,2)=5,WEEKDAY('Daily Schedule'!$B$2,2)=7),IFERROR(1*'Daily Workforce'!$K19&gt;=3,FALSE()),IFERROR(1*'Daily Workforce'!$K19&gt;=2,FALSE())),IF(AND('Daily Schedule'!$A19&gt;=46,'Daily Schedule'!$A19&lt;=52),'Daily Workforce'!$M19="Y",IFERROR(1*'Daily Workforce'!$P19&gt;=2,FALSE()))))),1,0)</f>
        <v>1</v>
      </c>
      <c r="AE15" s="1" t="n">
        <f aca="false">IF(AND('Daily Workforce'!$N20="Y",'Daily Workforce'!$B20&lt;&gt;"",COUNTIF('Daily Schedule'!$F$5:$F18,'Daily Workforce'!$B20)=0,IF('Daily Schedule'!$A19=45,'Daily Workforce'!$J20="Y",IF(OR('Daily Schedule'!$A19=4,'Daily Schedule'!$A19=8),IF(OR(WEEKDAY('Daily Schedule'!$B$2,2)=1,WEEKDAY('Daily Schedule'!$B$2,2)=4,WEEKDAY('Daily Schedule'!$B$2,2)=5,WEEKDAY('Daily Schedule'!$B$2,2)=7),IFERROR(1*'Daily Workforce'!$K20&gt;=3,FALSE()),IFERROR(1*'Daily Workforce'!$K20&gt;=2,FALSE())),IF(AND('Daily Schedule'!$A19&gt;=46,'Daily Schedule'!$A19&lt;=52),'Daily Workforce'!$M20="Y",IFERROR(1*'Daily Workforce'!$P20&gt;=2,FALSE()))))),1,0)</f>
        <v>1</v>
      </c>
      <c r="AF15" s="1" t="n">
        <f aca="false">IF(AND('Daily Workforce'!$N21="Y",'Daily Workforce'!$B21&lt;&gt;"",COUNTIF('Daily Schedule'!$F$5:$F18,'Daily Workforce'!$B21)=0,IF('Daily Schedule'!$A19=45,'Daily Workforce'!$J21="Y",IF(OR('Daily Schedule'!$A19=4,'Daily Schedule'!$A19=8),IF(OR(WEEKDAY('Daily Schedule'!$B$2,2)=1,WEEKDAY('Daily Schedule'!$B$2,2)=4,WEEKDAY('Daily Schedule'!$B$2,2)=5,WEEKDAY('Daily Schedule'!$B$2,2)=7),IFERROR(1*'Daily Workforce'!$K21&gt;=3,FALSE()),IFERROR(1*'Daily Workforce'!$K21&gt;=2,FALSE())),IF(AND('Daily Schedule'!$A19&gt;=46,'Daily Schedule'!$A19&lt;=52),'Daily Workforce'!$M21="Y",IFERROR(1*'Daily Workforce'!$P21&gt;=2,FALSE()))))),1,0)</f>
        <v>1</v>
      </c>
      <c r="AG15" s="1" t="n">
        <f aca="false">IF(AND('Daily Workforce'!$N22="Y",'Daily Workforce'!$B22&lt;&gt;"",COUNTIF('Daily Schedule'!$F$5:$F18,'Daily Workforce'!$B22)=0,IF('Daily Schedule'!$A19=45,'Daily Workforce'!$J22="Y",IF(OR('Daily Schedule'!$A19=4,'Daily Schedule'!$A19=8),IF(OR(WEEKDAY('Daily Schedule'!$B$2,2)=1,WEEKDAY('Daily Schedule'!$B$2,2)=4,WEEKDAY('Daily Schedule'!$B$2,2)=5,WEEKDAY('Daily Schedule'!$B$2,2)=7),IFERROR(1*'Daily Workforce'!$K22&gt;=3,FALSE()),IFERROR(1*'Daily Workforce'!$K22&gt;=2,FALSE())),IF(AND('Daily Schedule'!$A19&gt;=46,'Daily Schedule'!$A19&lt;=52),'Daily Workforce'!$M22="Y",IFERROR(1*'Daily Workforce'!$P22&gt;=2,FALSE()))))),1,0)</f>
        <v>1</v>
      </c>
      <c r="AH15" s="1" t="n">
        <f aca="false">IF(AND('Daily Workforce'!$N23="Y",'Daily Workforce'!$B23&lt;&gt;"",COUNTIF('Daily Schedule'!$F$5:$F18,'Daily Workforce'!$B23)=0,IF('Daily Schedule'!$A19=45,'Daily Workforce'!$J23="Y",IF(OR('Daily Schedule'!$A19=4,'Daily Schedule'!$A19=8),IF(OR(WEEKDAY('Daily Schedule'!$B$2,2)=1,WEEKDAY('Daily Schedule'!$B$2,2)=4,WEEKDAY('Daily Schedule'!$B$2,2)=5,WEEKDAY('Daily Schedule'!$B$2,2)=7),IFERROR(1*'Daily Workforce'!$K23&gt;=3,FALSE()),IFERROR(1*'Daily Workforce'!$K23&gt;=2,FALSE())),IF(AND('Daily Schedule'!$A19&gt;=46,'Daily Schedule'!$A19&lt;=52),'Daily Workforce'!$M23="Y",IFERROR(1*'Daily Workforce'!$P23&gt;=2,FALSE()))))),1,0)</f>
        <v>1</v>
      </c>
      <c r="AI15" s="1" t="n">
        <f aca="false">IF(AND('Daily Workforce'!$N24="Y",'Daily Workforce'!$B24&lt;&gt;"",COUNTIF('Daily Schedule'!$F$5:$F18,'Daily Workforce'!$B24)=0,IF('Daily Schedule'!$A19=45,'Daily Workforce'!$J24="Y",IF(OR('Daily Schedule'!$A19=4,'Daily Schedule'!$A19=8),IF(OR(WEEKDAY('Daily Schedule'!$B$2,2)=1,WEEKDAY('Daily Schedule'!$B$2,2)=4,WEEKDAY('Daily Schedule'!$B$2,2)=5,WEEKDAY('Daily Schedule'!$B$2,2)=7),IFERROR(1*'Daily Workforce'!$K24&gt;=3,FALSE()),IFERROR(1*'Daily Workforce'!$K24&gt;=2,FALSE())),IF(AND('Daily Schedule'!$A19&gt;=46,'Daily Schedule'!$A19&lt;=52),'Daily Workforce'!$M24="Y",IFERROR(1*'Daily Workforce'!$P24&gt;=2,FALSE()))))),1,0)</f>
        <v>1</v>
      </c>
      <c r="AJ15" s="1" t="n">
        <f aca="false">IF(AND('Daily Workforce'!$N25="Y",'Daily Workforce'!$B25&lt;&gt;"",COUNTIF('Daily Schedule'!$F$5:$F18,'Daily Workforce'!$B25)=0,IF('Daily Schedule'!$A19=45,'Daily Workforce'!$J25="Y",IF(OR('Daily Schedule'!$A19=4,'Daily Schedule'!$A19=8),IF(OR(WEEKDAY('Daily Schedule'!$B$2,2)=1,WEEKDAY('Daily Schedule'!$B$2,2)=4,WEEKDAY('Daily Schedule'!$B$2,2)=5,WEEKDAY('Daily Schedule'!$B$2,2)=7),IFERROR(1*'Daily Workforce'!$K25&gt;=3,FALSE()),IFERROR(1*'Daily Workforce'!$K25&gt;=2,FALSE())),IF(AND('Daily Schedule'!$A19&gt;=46,'Daily Schedule'!$A19&lt;=52),'Daily Workforce'!$M25="Y",IFERROR(1*'Daily Workforce'!$P25&gt;=2,FALSE()))))),1,0)</f>
        <v>1</v>
      </c>
      <c r="AK15" s="1" t="n">
        <f aca="false">IF(AND('Daily Workforce'!$N26="Y",'Daily Workforce'!$B26&lt;&gt;"",COUNTIF('Daily Schedule'!$F$5:$F18,'Daily Workforce'!$B26)=0,IF('Daily Schedule'!$A19=45,'Daily Workforce'!$J26="Y",IF(OR('Daily Schedule'!$A19=4,'Daily Schedule'!$A19=8),IF(OR(WEEKDAY('Daily Schedule'!$B$2,2)=1,WEEKDAY('Daily Schedule'!$B$2,2)=4,WEEKDAY('Daily Schedule'!$B$2,2)=5,WEEKDAY('Daily Schedule'!$B$2,2)=7),IFERROR(1*'Daily Workforce'!$K26&gt;=3,FALSE()),IFERROR(1*'Daily Workforce'!$K26&gt;=2,FALSE())),IF(AND('Daily Schedule'!$A19&gt;=46,'Daily Schedule'!$A19&lt;=52),'Daily Workforce'!$M26="Y",IFERROR(1*'Daily Workforce'!$P26&gt;=2,FALSE()))))),1,0)</f>
        <v>1</v>
      </c>
      <c r="AL15" s="1" t="n">
        <f aca="false">IF(AND('Daily Workforce'!$N27="Y",'Daily Workforce'!$B27&lt;&gt;"",COUNTIF('Daily Schedule'!$F$5:$F18,'Daily Workforce'!$B27)=0,IF('Daily Schedule'!$A19=45,'Daily Workforce'!$J27="Y",IF(OR('Daily Schedule'!$A19=4,'Daily Schedule'!$A19=8),IF(OR(WEEKDAY('Daily Schedule'!$B$2,2)=1,WEEKDAY('Daily Schedule'!$B$2,2)=4,WEEKDAY('Daily Schedule'!$B$2,2)=5,WEEKDAY('Daily Schedule'!$B$2,2)=7),IFERROR(1*'Daily Workforce'!$K27&gt;=3,FALSE()),IFERROR(1*'Daily Workforce'!$K27&gt;=2,FALSE())),IF(AND('Daily Schedule'!$A19&gt;=46,'Daily Schedule'!$A19&lt;=52),'Daily Workforce'!$M27="Y",IFERROR(1*'Daily Workforce'!$P27&gt;=2,FALSE()))))),1,0)</f>
        <v>0</v>
      </c>
      <c r="AM15" s="1" t="n">
        <f aca="false">IF(AND('Daily Workforce'!$N28="Y",'Daily Workforce'!$B28&lt;&gt;"",COUNTIF('Daily Schedule'!$F$5:$F18,'Daily Workforce'!$B28)=0,IF('Daily Schedule'!$A19=45,'Daily Workforce'!$J28="Y",IF(OR('Daily Schedule'!$A19=4,'Daily Schedule'!$A19=8),IF(OR(WEEKDAY('Daily Schedule'!$B$2,2)=1,WEEKDAY('Daily Schedule'!$B$2,2)=4,WEEKDAY('Daily Schedule'!$B$2,2)=5,WEEKDAY('Daily Schedule'!$B$2,2)=7),IFERROR(1*'Daily Workforce'!$K28&gt;=3,FALSE()),IFERROR(1*'Daily Workforce'!$K28&gt;=2,FALSE())),IF(AND('Daily Schedule'!$A19&gt;=46,'Daily Schedule'!$A19&lt;=52),'Daily Workforce'!$M28="Y",IFERROR(1*'Daily Workforce'!$P28&gt;=2,FALSE()))))),1,0)</f>
        <v>1</v>
      </c>
      <c r="AN15" s="1" t="n">
        <f aca="false">IF(AND('Daily Workforce'!$N29="Y",'Daily Workforce'!$B29&lt;&gt;"",COUNTIF('Daily Schedule'!$F$5:$F18,'Daily Workforce'!$B29)=0,IF('Daily Schedule'!$A19=45,'Daily Workforce'!$J29="Y",IF(OR('Daily Schedule'!$A19=4,'Daily Schedule'!$A19=8),IF(OR(WEEKDAY('Daily Schedule'!$B$2,2)=1,WEEKDAY('Daily Schedule'!$B$2,2)=4,WEEKDAY('Daily Schedule'!$B$2,2)=5,WEEKDAY('Daily Schedule'!$B$2,2)=7),IFERROR(1*'Daily Workforce'!$K29&gt;=3,FALSE()),IFERROR(1*'Daily Workforce'!$K29&gt;=2,FALSE())),IF(AND('Daily Schedule'!$A19&gt;=46,'Daily Schedule'!$A19&lt;=52),'Daily Workforce'!$M29="Y",IFERROR(1*'Daily Workforce'!$P29&gt;=2,FALSE()))))),1,0)</f>
        <v>1</v>
      </c>
      <c r="AO15" s="1" t="n">
        <f aca="false">IF(AND('Daily Workforce'!$N30="Y",'Daily Workforce'!$B30&lt;&gt;"",COUNTIF('Daily Schedule'!$F$5:$F18,'Daily Workforce'!$B30)=0,IF('Daily Schedule'!$A19=45,'Daily Workforce'!$J30="Y",IF(OR('Daily Schedule'!$A19=4,'Daily Schedule'!$A19=8),IF(OR(WEEKDAY('Daily Schedule'!$B$2,2)=1,WEEKDAY('Daily Schedule'!$B$2,2)=4,WEEKDAY('Daily Schedule'!$B$2,2)=5,WEEKDAY('Daily Schedule'!$B$2,2)=7),IFERROR(1*'Daily Workforce'!$K30&gt;=3,FALSE()),IFERROR(1*'Daily Workforce'!$K30&gt;=2,FALSE())),IF(AND('Daily Schedule'!$A19&gt;=46,'Daily Schedule'!$A19&lt;=52),'Daily Workforce'!$M30="Y",IFERROR(1*'Daily Workforce'!$P30&gt;=2,FALSE()))))),1,0)</f>
        <v>1</v>
      </c>
      <c r="AP15" s="1" t="n">
        <f aca="false">IF(AND('Daily Workforce'!$N31="Y",'Daily Workforce'!$B31&lt;&gt;"",COUNTIF('Daily Schedule'!$F$5:$F18,'Daily Workforce'!$B31)=0,IF('Daily Schedule'!$A19=45,'Daily Workforce'!$J31="Y",IF(OR('Daily Schedule'!$A19=4,'Daily Schedule'!$A19=8),IF(OR(WEEKDAY('Daily Schedule'!$B$2,2)=1,WEEKDAY('Daily Schedule'!$B$2,2)=4,WEEKDAY('Daily Schedule'!$B$2,2)=5,WEEKDAY('Daily Schedule'!$B$2,2)=7),IFERROR(1*'Daily Workforce'!$K31&gt;=3,FALSE()),IFERROR(1*'Daily Workforce'!$K31&gt;=2,FALSE())),IF(AND('Daily Schedule'!$A19&gt;=46,'Daily Schedule'!$A19&lt;=52),'Daily Workforce'!$M31="Y",IFERROR(1*'Daily Workforce'!$P31&gt;=2,FALSE()))))),1,0)</f>
        <v>1</v>
      </c>
      <c r="AQ15" s="1" t="n">
        <f aca="false">IF(AND('Daily Workforce'!$N32="Y",'Daily Workforce'!$B32&lt;&gt;"",COUNTIF('Daily Schedule'!$F$5:$F18,'Daily Workforce'!$B32)=0,IF('Daily Schedule'!$A19=45,'Daily Workforce'!$J32="Y",IF(OR('Daily Schedule'!$A19=4,'Daily Schedule'!$A19=8),IF(OR(WEEKDAY('Daily Schedule'!$B$2,2)=1,WEEKDAY('Daily Schedule'!$B$2,2)=4,WEEKDAY('Daily Schedule'!$B$2,2)=5,WEEKDAY('Daily Schedule'!$B$2,2)=7),IFERROR(1*'Daily Workforce'!$K32&gt;=3,FALSE()),IFERROR(1*'Daily Workforce'!$K32&gt;=2,FALSE())),IF(AND('Daily Schedule'!$A19&gt;=46,'Daily Schedule'!$A19&lt;=52),'Daily Workforce'!$M32="Y",IFERROR(1*'Daily Workforce'!$P32&gt;=2,FALSE()))))),1,0)</f>
        <v>1</v>
      </c>
      <c r="AR15" s="1" t="n">
        <f aca="false">IF(AND('Daily Workforce'!$N33="Y",'Daily Workforce'!$B33&lt;&gt;"",COUNTIF('Daily Schedule'!$F$5:$F18,'Daily Workforce'!$B33)=0,IF('Daily Schedule'!$A19=45,'Daily Workforce'!$J33="Y",IF(OR('Daily Schedule'!$A19=4,'Daily Schedule'!$A19=8),IF(OR(WEEKDAY('Daily Schedule'!$B$2,2)=1,WEEKDAY('Daily Schedule'!$B$2,2)=4,WEEKDAY('Daily Schedule'!$B$2,2)=5,WEEKDAY('Daily Schedule'!$B$2,2)=7),IFERROR(1*'Daily Workforce'!$K33&gt;=3,FALSE()),IFERROR(1*'Daily Workforce'!$K33&gt;=2,FALSE())),IF(AND('Daily Schedule'!$A19&gt;=46,'Daily Schedule'!$A19&lt;=52),'Daily Workforce'!$M33="Y",IFERROR(1*'Daily Workforce'!$P33&gt;=2,FALSE()))))),1,0)</f>
        <v>1</v>
      </c>
      <c r="AS15" s="1" t="n">
        <f aca="false">IF(AND('Daily Workforce'!$N34="Y",'Daily Workforce'!$B34&lt;&gt;"",COUNTIF('Daily Schedule'!$F$5:$F18,'Daily Workforce'!$B34)=0,IF('Daily Schedule'!$A19=45,'Daily Workforce'!$J34="Y",IF(OR('Daily Schedule'!$A19=4,'Daily Schedule'!$A19=8),IF(OR(WEEKDAY('Daily Schedule'!$B$2,2)=1,WEEKDAY('Daily Schedule'!$B$2,2)=4,WEEKDAY('Daily Schedule'!$B$2,2)=5,WEEKDAY('Daily Schedule'!$B$2,2)=7),IFERROR(1*'Daily Workforce'!$K34&gt;=3,FALSE()),IFERROR(1*'Daily Workforce'!$K34&gt;=2,FALSE())),IF(AND('Daily Schedule'!$A19&gt;=46,'Daily Schedule'!$A19&lt;=52),'Daily Workforce'!$M34="Y",IFERROR(1*'Daily Workforce'!$P34&gt;=2,FALSE()))))),1,0)</f>
        <v>1</v>
      </c>
      <c r="AT15" s="1" t="n">
        <f aca="false">IF(AND('Daily Workforce'!$N35="Y",'Daily Workforce'!$B35&lt;&gt;"",COUNTIF('Daily Schedule'!$F$5:$F18,'Daily Workforce'!$B35)=0,IF('Daily Schedule'!$A19=45,'Daily Workforce'!$J35="Y",IF(OR('Daily Schedule'!$A19=4,'Daily Schedule'!$A19=8),IF(OR(WEEKDAY('Daily Schedule'!$B$2,2)=1,WEEKDAY('Daily Schedule'!$B$2,2)=4,WEEKDAY('Daily Schedule'!$B$2,2)=5,WEEKDAY('Daily Schedule'!$B$2,2)=7),IFERROR(1*'Daily Workforce'!$K35&gt;=3,FALSE()),IFERROR(1*'Daily Workforce'!$K35&gt;=2,FALSE())),IF(AND('Daily Schedule'!$A19&gt;=46,'Daily Schedule'!$A19&lt;=52),'Daily Workforce'!$M35="Y",IFERROR(1*'Daily Workforce'!$P35&gt;=2,FALSE()))))),1,0)</f>
        <v>1</v>
      </c>
      <c r="AU15" s="1" t="n">
        <f aca="false">IF(AND('Daily Workforce'!$N36="Y",'Daily Workforce'!$B36&lt;&gt;"",COUNTIF('Daily Schedule'!$F$5:$F18,'Daily Workforce'!$B36)=0,IF('Daily Schedule'!$A19=45,'Daily Workforce'!$J36="Y",IF(OR('Daily Schedule'!$A19=4,'Daily Schedule'!$A19=8),IF(OR(WEEKDAY('Daily Schedule'!$B$2,2)=1,WEEKDAY('Daily Schedule'!$B$2,2)=4,WEEKDAY('Daily Schedule'!$B$2,2)=5,WEEKDAY('Daily Schedule'!$B$2,2)=7),IFERROR(1*'Daily Workforce'!$K36&gt;=3,FALSE()),IFERROR(1*'Daily Workforce'!$K36&gt;=2,FALSE())),IF(AND('Daily Schedule'!$A19&gt;=46,'Daily Schedule'!$A19&lt;=52),'Daily Workforce'!$M36="Y",IFERROR(1*'Daily Workforce'!$P36&gt;=2,FALSE()))))),1,0)</f>
        <v>1</v>
      </c>
      <c r="AV15" s="1" t="n">
        <f aca="false">IF(AND('Daily Workforce'!$N37="Y",'Daily Workforce'!$B37&lt;&gt;"",COUNTIF('Daily Schedule'!$F$5:$F18,'Daily Workforce'!$B37)=0,IF('Daily Schedule'!$A19=45,'Daily Workforce'!$J37="Y",IF(OR('Daily Schedule'!$A19=4,'Daily Schedule'!$A19=8),IF(OR(WEEKDAY('Daily Schedule'!$B$2,2)=1,WEEKDAY('Daily Schedule'!$B$2,2)=4,WEEKDAY('Daily Schedule'!$B$2,2)=5,WEEKDAY('Daily Schedule'!$B$2,2)=7),IFERROR(1*'Daily Workforce'!$K37&gt;=3,FALSE()),IFERROR(1*'Daily Workforce'!$K37&gt;=2,FALSE())),IF(AND('Daily Schedule'!$A19&gt;=46,'Daily Schedule'!$A19&lt;=52),'Daily Workforce'!$M37="Y",IFERROR(1*'Daily Workforce'!$P37&gt;=2,FALSE()))))),1,0)</f>
        <v>1</v>
      </c>
      <c r="AW15" s="1" t="n">
        <f aca="false">IF(AND('Daily Workforce'!$N38="Y",'Daily Workforce'!$B38&lt;&gt;"",COUNTIF('Daily Schedule'!$F$5:$F18,'Daily Workforce'!$B38)=0,IF('Daily Schedule'!$A19=45,'Daily Workforce'!$J38="Y",IF(OR('Daily Schedule'!$A19=4,'Daily Schedule'!$A19=8),IF(OR(WEEKDAY('Daily Schedule'!$B$2,2)=1,WEEKDAY('Daily Schedule'!$B$2,2)=4,WEEKDAY('Daily Schedule'!$B$2,2)=5,WEEKDAY('Daily Schedule'!$B$2,2)=7),IFERROR(1*'Daily Workforce'!$K38&gt;=3,FALSE()),IFERROR(1*'Daily Workforce'!$K38&gt;=2,FALSE())),IF(AND('Daily Schedule'!$A19&gt;=46,'Daily Schedule'!$A19&lt;=52),'Daily Workforce'!$M38="Y",IFERROR(1*'Daily Workforce'!$P38&gt;=2,FALSE()))))),1,0)</f>
        <v>1</v>
      </c>
      <c r="AX15" s="1" t="n">
        <f aca="false">IF(AND('Daily Workforce'!$N39="Y",'Daily Workforce'!$B39&lt;&gt;"",COUNTIF('Daily Schedule'!$F$5:$F18,'Daily Workforce'!$B39)=0,IF('Daily Schedule'!$A19=45,'Daily Workforce'!$J39="Y",IF(OR('Daily Schedule'!$A19=4,'Daily Schedule'!$A19=8),IF(OR(WEEKDAY('Daily Schedule'!$B$2,2)=1,WEEKDAY('Daily Schedule'!$B$2,2)=4,WEEKDAY('Daily Schedule'!$B$2,2)=5,WEEKDAY('Daily Schedule'!$B$2,2)=7),IFERROR(1*'Daily Workforce'!$K39&gt;=3,FALSE()),IFERROR(1*'Daily Workforce'!$K39&gt;=2,FALSE())),IF(AND('Daily Schedule'!$A19&gt;=46,'Daily Schedule'!$A19&lt;=52),'Daily Workforce'!$M39="Y",IFERROR(1*'Daily Workforce'!$P39&gt;=2,FALSE()))))),1,0)</f>
        <v>1</v>
      </c>
      <c r="AY15" s="1" t="n">
        <f aca="false">IF(AND('Daily Workforce'!$N40="Y",'Daily Workforce'!$B40&lt;&gt;"",COUNTIF('Daily Schedule'!$F$5:$F18,'Daily Workforce'!$B40)=0,IF('Daily Schedule'!$A19=45,'Daily Workforce'!$J40="Y",IF(OR('Daily Schedule'!$A19=4,'Daily Schedule'!$A19=8),IF(OR(WEEKDAY('Daily Schedule'!$B$2,2)=1,WEEKDAY('Daily Schedule'!$B$2,2)=4,WEEKDAY('Daily Schedule'!$B$2,2)=5,WEEKDAY('Daily Schedule'!$B$2,2)=7),IFERROR(1*'Daily Workforce'!$K40&gt;=3,FALSE()),IFERROR(1*'Daily Workforce'!$K40&gt;=2,FALSE())),IF(AND('Daily Schedule'!$A19&gt;=46,'Daily Schedule'!$A19&lt;=52),'Daily Workforce'!$M40="Y",IFERROR(1*'Daily Workforce'!$P40&gt;=2,FALSE()))))),1,0)</f>
        <v>1</v>
      </c>
      <c r="AZ15" s="1" t="n">
        <f aca="false">IF(AND('Daily Workforce'!$N41="Y",'Daily Workforce'!$B41&lt;&gt;"",COUNTIF('Daily Schedule'!$F$5:$F18,'Daily Workforce'!$B41)=0,IF('Daily Schedule'!$A19=45,'Daily Workforce'!$J41="Y",IF(OR('Daily Schedule'!$A19=4,'Daily Schedule'!$A19=8),IF(OR(WEEKDAY('Daily Schedule'!$B$2,2)=1,WEEKDAY('Daily Schedule'!$B$2,2)=4,WEEKDAY('Daily Schedule'!$B$2,2)=5,WEEKDAY('Daily Schedule'!$B$2,2)=7),IFERROR(1*'Daily Workforce'!$K41&gt;=3,FALSE()),IFERROR(1*'Daily Workforce'!$K41&gt;=2,FALSE())),IF(AND('Daily Schedule'!$A19&gt;=46,'Daily Schedule'!$A19&lt;=52),'Daily Workforce'!$M41="Y",IFERROR(1*'Daily Workforce'!$P41&gt;=2,FALSE()))))),1,0)</f>
        <v>1</v>
      </c>
      <c r="BA15" s="1" t="n">
        <f aca="false">IF(AND('Daily Workforce'!$N42="Y",'Daily Workforce'!$B42&lt;&gt;"",COUNTIF('Daily Schedule'!$F$5:$F18,'Daily Workforce'!$B42)=0,IF('Daily Schedule'!$A19=45,'Daily Workforce'!$J42="Y",IF(OR('Daily Schedule'!$A19=4,'Daily Schedule'!$A19=8),IF(OR(WEEKDAY('Daily Schedule'!$B$2,2)=1,WEEKDAY('Daily Schedule'!$B$2,2)=4,WEEKDAY('Daily Schedule'!$B$2,2)=5,WEEKDAY('Daily Schedule'!$B$2,2)=7),IFERROR(1*'Daily Workforce'!$K42&gt;=3,FALSE()),IFERROR(1*'Daily Workforce'!$K42&gt;=2,FALSE())),IF(AND('Daily Schedule'!$A19&gt;=46,'Daily Schedule'!$A19&lt;=52),'Daily Workforce'!$M42="Y",IFERROR(1*'Daily Workforce'!$P42&gt;=2,FALSE()))))),1,0)</f>
        <v>1</v>
      </c>
      <c r="BB15" s="1" t="n">
        <f aca="false">IF(AND('Daily Workforce'!$N43="Y",'Daily Workforce'!$B43&lt;&gt;"",COUNTIF('Daily Schedule'!$F$5:$F18,'Daily Workforce'!$B43)=0,IF('Daily Schedule'!$A19=45,'Daily Workforce'!$J43="Y",IF(OR('Daily Schedule'!$A19=4,'Daily Schedule'!$A19=8),IF(OR(WEEKDAY('Daily Schedule'!$B$2,2)=1,WEEKDAY('Daily Schedule'!$B$2,2)=4,WEEKDAY('Daily Schedule'!$B$2,2)=5,WEEKDAY('Daily Schedule'!$B$2,2)=7),IFERROR(1*'Daily Workforce'!$K43&gt;=3,FALSE()),IFERROR(1*'Daily Workforce'!$K43&gt;=2,FALSE())),IF(AND('Daily Schedule'!$A19&gt;=46,'Daily Schedule'!$A19&lt;=52),'Daily Workforce'!$M43="Y",IFERROR(1*'Daily Workforce'!$P43&gt;=2,FALSE()))))),1,0)</f>
        <v>1</v>
      </c>
      <c r="BC15" s="1" t="n">
        <f aca="false">IF(AND('Daily Workforce'!$N44="Y",'Daily Workforce'!$B44&lt;&gt;"",COUNTIF('Daily Schedule'!$F$5:$F18,'Daily Workforce'!$B44)=0,IF('Daily Schedule'!$A19=45,'Daily Workforce'!$J44="Y",IF(OR('Daily Schedule'!$A19=4,'Daily Schedule'!$A19=8),IF(OR(WEEKDAY('Daily Schedule'!$B$2,2)=1,WEEKDAY('Daily Schedule'!$B$2,2)=4,WEEKDAY('Daily Schedule'!$B$2,2)=5,WEEKDAY('Daily Schedule'!$B$2,2)=7),IFERROR(1*'Daily Workforce'!$K44&gt;=3,FALSE()),IFERROR(1*'Daily Workforce'!$K44&gt;=2,FALSE())),IF(AND('Daily Schedule'!$A19&gt;=46,'Daily Schedule'!$A19&lt;=52),'Daily Workforce'!$M44="Y",IFERROR(1*'Daily Workforce'!$P44&gt;=2,FALSE()))))),1,0)</f>
        <v>1</v>
      </c>
      <c r="BD15" s="1" t="n">
        <f aca="false">IF(AND('Daily Workforce'!$N45="Y",'Daily Workforce'!$B45&lt;&gt;"",COUNTIF('Daily Schedule'!$F$5:$F18,'Daily Workforce'!$B45)=0,IF('Daily Schedule'!$A19=45,'Daily Workforce'!$J45="Y",IF(OR('Daily Schedule'!$A19=4,'Daily Schedule'!$A19=8),IF(OR(WEEKDAY('Daily Schedule'!$B$2,2)=1,WEEKDAY('Daily Schedule'!$B$2,2)=4,WEEKDAY('Daily Schedule'!$B$2,2)=5,WEEKDAY('Daily Schedule'!$B$2,2)=7),IFERROR(1*'Daily Workforce'!$K45&gt;=3,FALSE()),IFERROR(1*'Daily Workforce'!$K45&gt;=2,FALSE())),IF(AND('Daily Schedule'!$A19&gt;=46,'Daily Schedule'!$A19&lt;=52),'Daily Workforce'!$M45="Y",IFERROR(1*'Daily Workforce'!$P45&gt;=2,FALSE()))))),1,0)</f>
        <v>1</v>
      </c>
      <c r="BE15" s="1" t="n">
        <f aca="false">IF(AND('Daily Workforce'!$N46="Y",'Daily Workforce'!$B46&lt;&gt;"",COUNTIF('Daily Schedule'!$F$5:$F18,'Daily Workforce'!$B46)=0,IF('Daily Schedule'!$A19=45,'Daily Workforce'!$J46="Y",IF(OR('Daily Schedule'!$A19=4,'Daily Schedule'!$A19=8),IF(OR(WEEKDAY('Daily Schedule'!$B$2,2)=1,WEEKDAY('Daily Schedule'!$B$2,2)=4,WEEKDAY('Daily Schedule'!$B$2,2)=5,WEEKDAY('Daily Schedule'!$B$2,2)=7),IFERROR(1*'Daily Workforce'!$K46&gt;=3,FALSE()),IFERROR(1*'Daily Workforce'!$K46&gt;=2,FALSE())),IF(AND('Daily Schedule'!$A19&gt;=46,'Daily Schedule'!$A19&lt;=52),'Daily Workforce'!$M46="Y",IFERROR(1*'Daily Workforce'!$P46&gt;=2,FALSE()))))),1,0)</f>
        <v>1</v>
      </c>
      <c r="BF15" s="1" t="n">
        <f aca="false">IF(AND('Daily Workforce'!$N47="Y",'Daily Workforce'!$B47&lt;&gt;"",COUNTIF('Daily Schedule'!$F$5:$F18,'Daily Workforce'!$B47)=0,IF('Daily Schedule'!$A19=45,'Daily Workforce'!$J47="Y",IF(OR('Daily Schedule'!$A19=4,'Daily Schedule'!$A19=8),IF(OR(WEEKDAY('Daily Schedule'!$B$2,2)=1,WEEKDAY('Daily Schedule'!$B$2,2)=4,WEEKDAY('Daily Schedule'!$B$2,2)=5,WEEKDAY('Daily Schedule'!$B$2,2)=7),IFERROR(1*'Daily Workforce'!$K47&gt;=3,FALSE()),IFERROR(1*'Daily Workforce'!$K47&gt;=2,FALSE())),IF(AND('Daily Schedule'!$A19&gt;=46,'Daily Schedule'!$A19&lt;=52),'Daily Workforce'!$M47="Y",IFERROR(1*'Daily Workforce'!$P47&gt;=2,FALSE()))))),1,0)</f>
        <v>0</v>
      </c>
      <c r="BG15" s="1" t="n">
        <f aca="false">IF(AND('Daily Workforce'!$N48="Y",'Daily Workforce'!$B48&lt;&gt;"",COUNTIF('Daily Schedule'!$F$5:$F18,'Daily Workforce'!$B48)=0,IF('Daily Schedule'!$A19=45,'Daily Workforce'!$J48="Y",IF(OR('Daily Schedule'!$A19=4,'Daily Schedule'!$A19=8),IF(OR(WEEKDAY('Daily Schedule'!$B$2,2)=1,WEEKDAY('Daily Schedule'!$B$2,2)=4,WEEKDAY('Daily Schedule'!$B$2,2)=5,WEEKDAY('Daily Schedule'!$B$2,2)=7),IFERROR(1*'Daily Workforce'!$K48&gt;=3,FALSE()),IFERROR(1*'Daily Workforce'!$K48&gt;=2,FALSE())),IF(AND('Daily Schedule'!$A19&gt;=46,'Daily Schedule'!$A19&lt;=52),'Daily Workforce'!$M48="Y",IFERROR(1*'Daily Workforce'!$P48&gt;=2,FALSE()))))),1,0)</f>
        <v>1</v>
      </c>
      <c r="BH15" s="1" t="n">
        <f aca="false">IF(AND('Daily Workforce'!$N49="Y",'Daily Workforce'!$B49&lt;&gt;"",COUNTIF('Daily Schedule'!$F$5:$F18,'Daily Workforce'!$B49)=0,IF('Daily Schedule'!$A19=45,'Daily Workforce'!$J49="Y",IF(OR('Daily Schedule'!$A19=4,'Daily Schedule'!$A19=8),IF(OR(WEEKDAY('Daily Schedule'!$B$2,2)=1,WEEKDAY('Daily Schedule'!$B$2,2)=4,WEEKDAY('Daily Schedule'!$B$2,2)=5,WEEKDAY('Daily Schedule'!$B$2,2)=7),IFERROR(1*'Daily Workforce'!$K49&gt;=3,FALSE()),IFERROR(1*'Daily Workforce'!$K49&gt;=2,FALSE())),IF(AND('Daily Schedule'!$A19&gt;=46,'Daily Schedule'!$A19&lt;=52),'Daily Workforce'!$M49="Y",IFERROR(1*'Daily Workforce'!$P49&gt;=2,FALSE()))))),1,0)</f>
        <v>1</v>
      </c>
      <c r="BI15" s="1" t="n">
        <f aca="false">IF(AND('Daily Workforce'!$N50="Y",'Daily Workforce'!$B50&lt;&gt;"",COUNTIF('Daily Schedule'!$F$5:$F18,'Daily Workforce'!$B50)=0,IF('Daily Schedule'!$A19=45,'Daily Workforce'!$J50="Y",IF(OR('Daily Schedule'!$A19=4,'Daily Schedule'!$A19=8),IF(OR(WEEKDAY('Daily Schedule'!$B$2,2)=1,WEEKDAY('Daily Schedule'!$B$2,2)=4,WEEKDAY('Daily Schedule'!$B$2,2)=5,WEEKDAY('Daily Schedule'!$B$2,2)=7),IFERROR(1*'Daily Workforce'!$K50&gt;=3,FALSE()),IFERROR(1*'Daily Workforce'!$K50&gt;=2,FALSE())),IF(AND('Daily Schedule'!$A19&gt;=46,'Daily Schedule'!$A19&lt;=52),'Daily Workforce'!$M50="Y",IFERROR(1*'Daily Workforce'!$P50&gt;=2,FALSE()))))),1,0)</f>
        <v>0</v>
      </c>
      <c r="BJ15" s="1" t="n">
        <f aca="false">IF(AND('Daily Workforce'!$N51="Y",'Daily Workforce'!$B51&lt;&gt;"",COUNTIF('Daily Schedule'!$F$5:$F18,'Daily Workforce'!$B51)=0,IF('Daily Schedule'!$A19=45,'Daily Workforce'!$J51="Y",IF(OR('Daily Schedule'!$A19=4,'Daily Schedule'!$A19=8),IF(OR(WEEKDAY('Daily Schedule'!$B$2,2)=1,WEEKDAY('Daily Schedule'!$B$2,2)=4,WEEKDAY('Daily Schedule'!$B$2,2)=5,WEEKDAY('Daily Schedule'!$B$2,2)=7),IFERROR(1*'Daily Workforce'!$K51&gt;=3,FALSE()),IFERROR(1*'Daily Workforce'!$K51&gt;=2,FALSE())),IF(AND('Daily Schedule'!$A19&gt;=46,'Daily Schedule'!$A19&lt;=52),'Daily Workforce'!$M51="Y",IFERROR(1*'Daily Workforce'!$P51&gt;=2,FALSE()))))),1,0)</f>
        <v>1</v>
      </c>
      <c r="BK15" s="1" t="n">
        <f aca="false">IF(AND('Daily Workforce'!$N52="Y",'Daily Workforce'!$B52&lt;&gt;"",COUNTIF('Daily Schedule'!$F$5:$F18,'Daily Workforce'!$B52)=0,IF('Daily Schedule'!$A19=45,'Daily Workforce'!$J52="Y",IF(OR('Daily Schedule'!$A19=4,'Daily Schedule'!$A19=8),IF(OR(WEEKDAY('Daily Schedule'!$B$2,2)=1,WEEKDAY('Daily Schedule'!$B$2,2)=4,WEEKDAY('Daily Schedule'!$B$2,2)=5,WEEKDAY('Daily Schedule'!$B$2,2)=7),IFERROR(1*'Daily Workforce'!$K52&gt;=3,FALSE()),IFERROR(1*'Daily Workforce'!$K52&gt;=2,FALSE())),IF(AND('Daily Schedule'!$A19&gt;=46,'Daily Schedule'!$A19&lt;=52),'Daily Workforce'!$M52="Y",IFERROR(1*'Daily Workforce'!$P52&gt;=2,FALSE()))))),1,0)</f>
        <v>1</v>
      </c>
      <c r="BL15" s="1" t="n">
        <f aca="false">IF(AND('Daily Workforce'!$N53="Y",'Daily Workforce'!$B53&lt;&gt;"",COUNTIF('Daily Schedule'!$F$5:$F18,'Daily Workforce'!$B53)=0,IF('Daily Schedule'!$A19=45,'Daily Workforce'!$J53="Y",IF(OR('Daily Schedule'!$A19=4,'Daily Schedule'!$A19=8),IF(OR(WEEKDAY('Daily Schedule'!$B$2,2)=1,WEEKDAY('Daily Schedule'!$B$2,2)=4,WEEKDAY('Daily Schedule'!$B$2,2)=5,WEEKDAY('Daily Schedule'!$B$2,2)=7),IFERROR(1*'Daily Workforce'!$K53&gt;=3,FALSE()),IFERROR(1*'Daily Workforce'!$K53&gt;=2,FALSE())),IF(AND('Daily Schedule'!$A19&gt;=46,'Daily Schedule'!$A19&lt;=52),'Daily Workforce'!$M53="Y",IFERROR(1*'Daily Workforce'!$P53&gt;=2,FALSE()))))),1,0)</f>
        <v>1</v>
      </c>
      <c r="BM15" s="1" t="n">
        <f aca="false">IF(AND('Daily Workforce'!$N54="Y",'Daily Workforce'!$B54&lt;&gt;"",COUNTIF('Daily Schedule'!$F$5:$F18,'Daily Workforce'!$B54)=0,IF('Daily Schedule'!$A19=45,'Daily Workforce'!$J54="Y",IF(OR('Daily Schedule'!$A19=4,'Daily Schedule'!$A19=8),IF(OR(WEEKDAY('Daily Schedule'!$B$2,2)=1,WEEKDAY('Daily Schedule'!$B$2,2)=4,WEEKDAY('Daily Schedule'!$B$2,2)=5,WEEKDAY('Daily Schedule'!$B$2,2)=7),IFERROR(1*'Daily Workforce'!$K54&gt;=3,FALSE()),IFERROR(1*'Daily Workforce'!$K54&gt;=2,FALSE())),IF(AND('Daily Schedule'!$A19&gt;=46,'Daily Schedule'!$A19&lt;=52),'Daily Workforce'!$M54="Y",IFERROR(1*'Daily Workforce'!$P54&gt;=2,FALSE()))))),1,0)</f>
        <v>1</v>
      </c>
      <c r="BN15" s="1" t="n">
        <f aca="false">IF(AND('Daily Workforce'!$N55="Y",'Daily Workforce'!$B55&lt;&gt;"",COUNTIF('Daily Schedule'!$F$5:$F18,'Daily Workforce'!$B55)=0,IF('Daily Schedule'!$A19=45,'Daily Workforce'!$J55="Y",IF(OR('Daily Schedule'!$A19=4,'Daily Schedule'!$A19=8),IF(OR(WEEKDAY('Daily Schedule'!$B$2,2)=1,WEEKDAY('Daily Schedule'!$B$2,2)=4,WEEKDAY('Daily Schedule'!$B$2,2)=5,WEEKDAY('Daily Schedule'!$B$2,2)=7),IFERROR(1*'Daily Workforce'!$K55&gt;=3,FALSE()),IFERROR(1*'Daily Workforce'!$K55&gt;=2,FALSE())),IF(AND('Daily Schedule'!$A19&gt;=46,'Daily Schedule'!$A19&lt;=52),'Daily Workforce'!$M55="Y",IFERROR(1*'Daily Workforce'!$P55&gt;=2,FALSE()))))),1,0)</f>
        <v>1</v>
      </c>
      <c r="BO15" s="1" t="n">
        <f aca="false">IF(AND('Daily Workforce'!$N56="Y",'Daily Workforce'!$B56&lt;&gt;"",COUNTIF('Daily Schedule'!$F$5:$F18,'Daily Workforce'!$B56)=0,IF('Daily Schedule'!$A19=45,'Daily Workforce'!$J56="Y",IF(OR('Daily Schedule'!$A19=4,'Daily Schedule'!$A19=8),IF(OR(WEEKDAY('Daily Schedule'!$B$2,2)=1,WEEKDAY('Daily Schedule'!$B$2,2)=4,WEEKDAY('Daily Schedule'!$B$2,2)=5,WEEKDAY('Daily Schedule'!$B$2,2)=7),IFERROR(1*'Daily Workforce'!$K56&gt;=3,FALSE()),IFERROR(1*'Daily Workforce'!$K56&gt;=2,FALSE())),IF(AND('Daily Schedule'!$A19&gt;=46,'Daily Schedule'!$A19&lt;=52),'Daily Workforce'!$M56="Y",IFERROR(1*'Daily Workforce'!$P56&gt;=2,FALSE()))))),1,0)</f>
        <v>1</v>
      </c>
      <c r="BP15" s="1" t="n">
        <f aca="false">IF(AND('Daily Workforce'!$N57="Y",'Daily Workforce'!$B57&lt;&gt;"",COUNTIF('Daily Schedule'!$F$5:$F18,'Daily Workforce'!$B57)=0,IF('Daily Schedule'!$A19=45,'Daily Workforce'!$J57="Y",IF(OR('Daily Schedule'!$A19=4,'Daily Schedule'!$A19=8),IF(OR(WEEKDAY('Daily Schedule'!$B$2,2)=1,WEEKDAY('Daily Schedule'!$B$2,2)=4,WEEKDAY('Daily Schedule'!$B$2,2)=5,WEEKDAY('Daily Schedule'!$B$2,2)=7),IFERROR(1*'Daily Workforce'!$K57&gt;=3,FALSE()),IFERROR(1*'Daily Workforce'!$K57&gt;=2,FALSE())),IF(AND('Daily Schedule'!$A19&gt;=46,'Daily Schedule'!$A19&lt;=52),'Daily Workforce'!$M57="Y",IFERROR(1*'Daily Workforce'!$P57&gt;=2,FALSE()))))),1,0)</f>
        <v>0</v>
      </c>
      <c r="BQ15" s="1" t="n">
        <f aca="false">IF(AND('Daily Workforce'!$N58="Y",'Daily Workforce'!$B58&lt;&gt;"",COUNTIF('Daily Schedule'!$F$5:$F18,'Daily Workforce'!$B58)=0,IF('Daily Schedule'!$A19=45,'Daily Workforce'!$J58="Y",IF(OR('Daily Schedule'!$A19=4,'Daily Schedule'!$A19=8),IF(OR(WEEKDAY('Daily Schedule'!$B$2,2)=1,WEEKDAY('Daily Schedule'!$B$2,2)=4,WEEKDAY('Daily Schedule'!$B$2,2)=5,WEEKDAY('Daily Schedule'!$B$2,2)=7),IFERROR(1*'Daily Workforce'!$K58&gt;=3,FALSE()),IFERROR(1*'Daily Workforce'!$K58&gt;=2,FALSE())),IF(AND('Daily Schedule'!$A19&gt;=46,'Daily Schedule'!$A19&lt;=52),'Daily Workforce'!$M58="Y",IFERROR(1*'Daily Workforce'!$P58&gt;=2,FALSE()))))),1,0)</f>
        <v>1</v>
      </c>
      <c r="BR15" s="1" t="n">
        <f aca="false">IF(AND('Daily Workforce'!$N59="Y",'Daily Workforce'!$B59&lt;&gt;"",COUNTIF('Daily Schedule'!$F$5:$F18,'Daily Workforce'!$B59)=0,IF('Daily Schedule'!$A19=45,'Daily Workforce'!$J59="Y",IF(OR('Daily Schedule'!$A19=4,'Daily Schedule'!$A19=8),IF(OR(WEEKDAY('Daily Schedule'!$B$2,2)=1,WEEKDAY('Daily Schedule'!$B$2,2)=4,WEEKDAY('Daily Schedule'!$B$2,2)=5,WEEKDAY('Daily Schedule'!$B$2,2)=7),IFERROR(1*'Daily Workforce'!$K59&gt;=3,FALSE()),IFERROR(1*'Daily Workforce'!$K59&gt;=2,FALSE())),IF(AND('Daily Schedule'!$A19&gt;=46,'Daily Schedule'!$A19&lt;=52),'Daily Workforce'!$M59="Y",IFERROR(1*'Daily Workforce'!$P59&gt;=2,FALSE()))))),1,0)</f>
        <v>1</v>
      </c>
      <c r="BS15" s="1" t="n">
        <f aca="false">IF(AND('Daily Workforce'!$N60="Y",'Daily Workforce'!$B60&lt;&gt;"",COUNTIF('Daily Schedule'!$F$5:$F18,'Daily Workforce'!$B60)=0,IF('Daily Schedule'!$A19=45,'Daily Workforce'!$J60="Y",IF(OR('Daily Schedule'!$A19=4,'Daily Schedule'!$A19=8),IF(OR(WEEKDAY('Daily Schedule'!$B$2,2)=1,WEEKDAY('Daily Schedule'!$B$2,2)=4,WEEKDAY('Daily Schedule'!$B$2,2)=5,WEEKDAY('Daily Schedule'!$B$2,2)=7),IFERROR(1*'Daily Workforce'!$K60&gt;=3,FALSE()),IFERROR(1*'Daily Workforce'!$K60&gt;=2,FALSE())),IF(AND('Daily Schedule'!$A19&gt;=46,'Daily Schedule'!$A19&lt;=52),'Daily Workforce'!$M60="Y",IFERROR(1*'Daily Workforce'!$P60&gt;=2,FALSE()))))),1,0)</f>
        <v>1</v>
      </c>
      <c r="BT15" s="1" t="n">
        <f aca="false">IF(AND('Daily Workforce'!$N61="Y",'Daily Workforce'!$B61&lt;&gt;"",COUNTIF('Daily Schedule'!$F$5:$F18,'Daily Workforce'!$B61)=0,IF('Daily Schedule'!$A19=45,'Daily Workforce'!$J61="Y",IF(OR('Daily Schedule'!$A19=4,'Daily Schedule'!$A19=8),IF(OR(WEEKDAY('Daily Schedule'!$B$2,2)=1,WEEKDAY('Daily Schedule'!$B$2,2)=4,WEEKDAY('Daily Schedule'!$B$2,2)=5,WEEKDAY('Daily Schedule'!$B$2,2)=7),IFERROR(1*'Daily Workforce'!$K61&gt;=3,FALSE()),IFERROR(1*'Daily Workforce'!$K61&gt;=2,FALSE())),IF(AND('Daily Schedule'!$A19&gt;=46,'Daily Schedule'!$A19&lt;=52),'Daily Workforce'!$M61="Y",IFERROR(1*'Daily Workforce'!$P61&gt;=2,FALSE()))))),1,0)</f>
        <v>0</v>
      </c>
      <c r="BU15" s="1" t="n">
        <f aca="false">IF(AND('Daily Workforce'!$N62="Y",'Daily Workforce'!$B62&lt;&gt;"",COUNTIF('Daily Schedule'!$F$5:$F18,'Daily Workforce'!$B62)=0,IF('Daily Schedule'!$A19=45,'Daily Workforce'!$J62="Y",IF(OR('Daily Schedule'!$A19=4,'Daily Schedule'!$A19=8),IF(OR(WEEKDAY('Daily Schedule'!$B$2,2)=1,WEEKDAY('Daily Schedule'!$B$2,2)=4,WEEKDAY('Daily Schedule'!$B$2,2)=5,WEEKDAY('Daily Schedule'!$B$2,2)=7),IFERROR(1*'Daily Workforce'!$K62&gt;=3,FALSE()),IFERROR(1*'Daily Workforce'!$K62&gt;=2,FALSE())),IF(AND('Daily Schedule'!$A19&gt;=46,'Daily Schedule'!$A19&lt;=52),'Daily Workforce'!$M62="Y",IFERROR(1*'Daily Workforce'!$P62&gt;=2,FALSE()))))),1,0)</f>
        <v>1</v>
      </c>
      <c r="BV15" s="1" t="n">
        <f aca="false">IF(AND('Daily Workforce'!$N63="Y",'Daily Workforce'!$B63&lt;&gt;"",COUNTIF('Daily Schedule'!$F$5:$F18,'Daily Workforce'!$B63)=0,IF('Daily Schedule'!$A19=45,'Daily Workforce'!$J63="Y",IF(OR('Daily Schedule'!$A19=4,'Daily Schedule'!$A19=8),IF(OR(WEEKDAY('Daily Schedule'!$B$2,2)=1,WEEKDAY('Daily Schedule'!$B$2,2)=4,WEEKDAY('Daily Schedule'!$B$2,2)=5,WEEKDAY('Daily Schedule'!$B$2,2)=7),IFERROR(1*'Daily Workforce'!$K63&gt;=3,FALSE()),IFERROR(1*'Daily Workforce'!$K63&gt;=2,FALSE())),IF(AND('Daily Schedule'!$A19&gt;=46,'Daily Schedule'!$A19&lt;=52),'Daily Workforce'!$M63="Y",IFERROR(1*'Daily Workforce'!$P63&gt;=2,FALSE()))))),1,0)</f>
        <v>1</v>
      </c>
      <c r="BW15" s="1" t="n">
        <f aca="false">IF(AND('Daily Workforce'!$N64="Y",'Daily Workforce'!$B64&lt;&gt;"",COUNTIF('Daily Schedule'!$F$5:$F18,'Daily Workforce'!$B64)=0,IF('Daily Schedule'!$A19=45,'Daily Workforce'!$J64="Y",IF(OR('Daily Schedule'!$A19=4,'Daily Schedule'!$A19=8),IF(OR(WEEKDAY('Daily Schedule'!$B$2,2)=1,WEEKDAY('Daily Schedule'!$B$2,2)=4,WEEKDAY('Daily Schedule'!$B$2,2)=5,WEEKDAY('Daily Schedule'!$B$2,2)=7),IFERROR(1*'Daily Workforce'!$K64&gt;=3,FALSE()),IFERROR(1*'Daily Workforce'!$K64&gt;=2,FALSE())),IF(AND('Daily Schedule'!$A19&gt;=46,'Daily Schedule'!$A19&lt;=52),'Daily Workforce'!$M64="Y",IFERROR(1*'Daily Workforce'!$P64&gt;=2,FALSE()))))),1,0)</f>
        <v>1</v>
      </c>
      <c r="BX15" s="1" t="n">
        <f aca="false">IF(AND('Daily Workforce'!$N65="Y",'Daily Workforce'!$B65&lt;&gt;"",COUNTIF('Daily Schedule'!$F$5:$F18,'Daily Workforce'!$B65)=0,IF('Daily Schedule'!$A19=45,'Daily Workforce'!$J65="Y",IF(OR('Daily Schedule'!$A19=4,'Daily Schedule'!$A19=8),IF(OR(WEEKDAY('Daily Schedule'!$B$2,2)=1,WEEKDAY('Daily Schedule'!$B$2,2)=4,WEEKDAY('Daily Schedule'!$B$2,2)=5,WEEKDAY('Daily Schedule'!$B$2,2)=7),IFERROR(1*'Daily Workforce'!$K65&gt;=3,FALSE()),IFERROR(1*'Daily Workforce'!$K65&gt;=2,FALSE())),IF(AND('Daily Schedule'!$A19&gt;=46,'Daily Schedule'!$A19&lt;=52),'Daily Workforce'!$M65="Y",IFERROR(1*'Daily Workforce'!$P65&gt;=2,FALSE()))))),1,0)</f>
        <v>1</v>
      </c>
      <c r="BY15" s="1" t="n">
        <f aca="false">IF(AND('Daily Workforce'!$N66="Y",'Daily Workforce'!$B66&lt;&gt;"",COUNTIF('Daily Schedule'!$F$5:$F18,'Daily Workforce'!$B66)=0,IF('Daily Schedule'!$A19=45,'Daily Workforce'!$J66="Y",IF(OR('Daily Schedule'!$A19=4,'Daily Schedule'!$A19=8),IF(OR(WEEKDAY('Daily Schedule'!$B$2,2)=1,WEEKDAY('Daily Schedule'!$B$2,2)=4,WEEKDAY('Daily Schedule'!$B$2,2)=5,WEEKDAY('Daily Schedule'!$B$2,2)=7),IFERROR(1*'Daily Workforce'!$K66&gt;=3,FALSE()),IFERROR(1*'Daily Workforce'!$K66&gt;=2,FALSE())),IF(AND('Daily Schedule'!$A19&gt;=46,'Daily Schedule'!$A19&lt;=52),'Daily Workforce'!$M66="Y",IFERROR(1*'Daily Workforce'!$P66&gt;=2,FALSE()))))),1,0)</f>
        <v>1</v>
      </c>
      <c r="BZ15" s="1" t="n">
        <f aca="false">IF(AND('Daily Workforce'!$N67="Y",'Daily Workforce'!$B67&lt;&gt;"",COUNTIF('Daily Schedule'!$F$5:$F18,'Daily Workforce'!$B67)=0,IF('Daily Schedule'!$A19=45,'Daily Workforce'!$J67="Y",IF(OR('Daily Schedule'!$A19=4,'Daily Schedule'!$A19=8),IF(OR(WEEKDAY('Daily Schedule'!$B$2,2)=1,WEEKDAY('Daily Schedule'!$B$2,2)=4,WEEKDAY('Daily Schedule'!$B$2,2)=5,WEEKDAY('Daily Schedule'!$B$2,2)=7),IFERROR(1*'Daily Workforce'!$K67&gt;=3,FALSE()),IFERROR(1*'Daily Workforce'!$K67&gt;=2,FALSE())),IF(AND('Daily Schedule'!$A19&gt;=46,'Daily Schedule'!$A19&lt;=52),'Daily Workforce'!$M67="Y",IFERROR(1*'Daily Workforce'!$P67&gt;=2,FALSE()))))),1,0)</f>
        <v>1</v>
      </c>
      <c r="CA15" s="1" t="n">
        <f aca="false">IF(AND('Daily Workforce'!$N68="Y",'Daily Workforce'!$B68&lt;&gt;"",COUNTIF('Daily Schedule'!$F$5:$F18,'Daily Workforce'!$B68)=0,IF('Daily Schedule'!$A19=45,'Daily Workforce'!$J68="Y",IF(OR('Daily Schedule'!$A19=4,'Daily Schedule'!$A19=8),IF(OR(WEEKDAY('Daily Schedule'!$B$2,2)=1,WEEKDAY('Daily Schedule'!$B$2,2)=4,WEEKDAY('Daily Schedule'!$B$2,2)=5,WEEKDAY('Daily Schedule'!$B$2,2)=7),IFERROR(1*'Daily Workforce'!$K68&gt;=3,FALSE()),IFERROR(1*'Daily Workforce'!$K68&gt;=2,FALSE())),IF(AND('Daily Schedule'!$A19&gt;=46,'Daily Schedule'!$A19&lt;=52),'Daily Workforce'!$M68="Y",IFERROR(1*'Daily Workforce'!$P68&gt;=2,FALSE()))))),1,0)</f>
        <v>1</v>
      </c>
      <c r="CB15" s="1" t="n">
        <f aca="false">IF(AND('Daily Workforce'!$N69="Y",'Daily Workforce'!$B69&lt;&gt;"",COUNTIF('Daily Schedule'!$F$5:$F18,'Daily Workforce'!$B69)=0,IF('Daily Schedule'!$A19=45,'Daily Workforce'!$J69="Y",IF(OR('Daily Schedule'!$A19=4,'Daily Schedule'!$A19=8),IF(OR(WEEKDAY('Daily Schedule'!$B$2,2)=1,WEEKDAY('Daily Schedule'!$B$2,2)=4,WEEKDAY('Daily Schedule'!$B$2,2)=5,WEEKDAY('Daily Schedule'!$B$2,2)=7),IFERROR(1*'Daily Workforce'!$K69&gt;=3,FALSE()),IFERROR(1*'Daily Workforce'!$K69&gt;=2,FALSE())),IF(AND('Daily Schedule'!$A19&gt;=46,'Daily Schedule'!$A19&lt;=52),'Daily Workforce'!$M69="Y",IFERROR(1*'Daily Workforce'!$P69&gt;=2,FALSE()))))),1,0)</f>
        <v>1</v>
      </c>
      <c r="CC15" s="1" t="n">
        <f aca="false">IF(AND('Daily Workforce'!$N70="Y",'Daily Workforce'!$B70&lt;&gt;"",COUNTIF('Daily Schedule'!$F$5:$F18,'Daily Workforce'!$B70)=0,IF('Daily Schedule'!$A19=45,'Daily Workforce'!$J70="Y",IF(OR('Daily Schedule'!$A19=4,'Daily Schedule'!$A19=8),IF(OR(WEEKDAY('Daily Schedule'!$B$2,2)=1,WEEKDAY('Daily Schedule'!$B$2,2)=4,WEEKDAY('Daily Schedule'!$B$2,2)=5,WEEKDAY('Daily Schedule'!$B$2,2)=7),IFERROR(1*'Daily Workforce'!$K70&gt;=3,FALSE()),IFERROR(1*'Daily Workforce'!$K70&gt;=2,FALSE())),IF(AND('Daily Schedule'!$A19&gt;=46,'Daily Schedule'!$A19&lt;=52),'Daily Workforce'!$M70="Y",IFERROR(1*'Daily Workforce'!$P70&gt;=2,FALSE()))))),1,0)</f>
        <v>1</v>
      </c>
      <c r="CD15" s="1" t="n">
        <f aca="false">IF(AND('Daily Workforce'!$N71="Y",'Daily Workforce'!$B71&lt;&gt;"",COUNTIF('Daily Schedule'!$F$5:$F18,'Daily Workforce'!$B71)=0,IF('Daily Schedule'!$A19=45,'Daily Workforce'!$J71="Y",IF(OR('Daily Schedule'!$A19=4,'Daily Schedule'!$A19=8),IF(OR(WEEKDAY('Daily Schedule'!$B$2,2)=1,WEEKDAY('Daily Schedule'!$B$2,2)=4,WEEKDAY('Daily Schedule'!$B$2,2)=5,WEEKDAY('Daily Schedule'!$B$2,2)=7),IFERROR(1*'Daily Workforce'!$K71&gt;=3,FALSE()),IFERROR(1*'Daily Workforce'!$K71&gt;=2,FALSE())),IF(AND('Daily Schedule'!$A19&gt;=46,'Daily Schedule'!$A19&lt;=52),'Daily Workforce'!$M71="Y",IFERROR(1*'Daily Workforce'!$P71&gt;=2,FALSE()))))),1,0)</f>
        <v>1</v>
      </c>
      <c r="CE15" s="1" t="n">
        <f aca="false">IF(AND('Daily Workforce'!$N72="Y",'Daily Workforce'!$B72&lt;&gt;"",COUNTIF('Daily Schedule'!$F$5:$F18,'Daily Workforce'!$B72)=0,IF('Daily Schedule'!$A19=45,'Daily Workforce'!$J72="Y",IF(OR('Daily Schedule'!$A19=4,'Daily Schedule'!$A19=8),IF(OR(WEEKDAY('Daily Schedule'!$B$2,2)=1,WEEKDAY('Daily Schedule'!$B$2,2)=4,WEEKDAY('Daily Schedule'!$B$2,2)=5,WEEKDAY('Daily Schedule'!$B$2,2)=7),IFERROR(1*'Daily Workforce'!$K72&gt;=3,FALSE()),IFERROR(1*'Daily Workforce'!$K72&gt;=2,FALSE())),IF(AND('Daily Schedule'!$A19&gt;=46,'Daily Schedule'!$A19&lt;=52),'Daily Workforce'!$M72="Y",IFERROR(1*'Daily Workforce'!$P72&gt;=2,FALSE()))))),1,0)</f>
        <v>1</v>
      </c>
      <c r="CF15" s="1" t="n">
        <f aca="false">IF(AND('Daily Workforce'!$N73="Y",'Daily Workforce'!$B73&lt;&gt;"",COUNTIF('Daily Schedule'!$F$5:$F18,'Daily Workforce'!$B73)=0,IF('Daily Schedule'!$A19=45,'Daily Workforce'!$J73="Y",IF(OR('Daily Schedule'!$A19=4,'Daily Schedule'!$A19=8),IF(OR(WEEKDAY('Daily Schedule'!$B$2,2)=1,WEEKDAY('Daily Schedule'!$B$2,2)=4,WEEKDAY('Daily Schedule'!$B$2,2)=5,WEEKDAY('Daily Schedule'!$B$2,2)=7),IFERROR(1*'Daily Workforce'!$K73&gt;=3,FALSE()),IFERROR(1*'Daily Workforce'!$K73&gt;=2,FALSE())),IF(AND('Daily Schedule'!$A19&gt;=46,'Daily Schedule'!$A19&lt;=52),'Daily Workforce'!$M73="Y",IFERROR(1*'Daily Workforce'!$P73&gt;=2,FALSE()))))),1,0)</f>
        <v>1</v>
      </c>
      <c r="CG15" s="1" t="n">
        <f aca="false">IF(AND('Daily Workforce'!$N74="Y",'Daily Workforce'!$B74&lt;&gt;"",COUNTIF('Daily Schedule'!$F$5:$F18,'Daily Workforce'!$B74)=0,IF('Daily Schedule'!$A19=45,'Daily Workforce'!$J74="Y",IF(OR('Daily Schedule'!$A19=4,'Daily Schedule'!$A19=8),IF(OR(WEEKDAY('Daily Schedule'!$B$2,2)=1,WEEKDAY('Daily Schedule'!$B$2,2)=4,WEEKDAY('Daily Schedule'!$B$2,2)=5,WEEKDAY('Daily Schedule'!$B$2,2)=7),IFERROR(1*'Daily Workforce'!$K74&gt;=3,FALSE()),IFERROR(1*'Daily Workforce'!$K74&gt;=2,FALSE())),IF(AND('Daily Schedule'!$A19&gt;=46,'Daily Schedule'!$A19&lt;=52),'Daily Workforce'!$M74="Y",IFERROR(1*'Daily Workforce'!$P74&gt;=2,FALSE()))))),1,0)</f>
        <v>1</v>
      </c>
      <c r="CH15" s="1" t="n">
        <f aca="false">IF(AND('Daily Workforce'!$N75="Y",'Daily Workforce'!$B75&lt;&gt;"",COUNTIF('Daily Schedule'!$F$5:$F18,'Daily Workforce'!$B75)=0,IF('Daily Schedule'!$A19=45,'Daily Workforce'!$J75="Y",IF(OR('Daily Schedule'!$A19=4,'Daily Schedule'!$A19=8),IF(OR(WEEKDAY('Daily Schedule'!$B$2,2)=1,WEEKDAY('Daily Schedule'!$B$2,2)=4,WEEKDAY('Daily Schedule'!$B$2,2)=5,WEEKDAY('Daily Schedule'!$B$2,2)=7),IFERROR(1*'Daily Workforce'!$K75&gt;=3,FALSE()),IFERROR(1*'Daily Workforce'!$K75&gt;=2,FALSE())),IF(AND('Daily Schedule'!$A19&gt;=46,'Daily Schedule'!$A19&lt;=52),'Daily Workforce'!$M75="Y",IFERROR(1*'Daily Workforce'!$P75&gt;=2,FALSE()))))),1,0)</f>
        <v>1</v>
      </c>
      <c r="CI15" s="1" t="n">
        <f aca="false">IF(AND('Daily Workforce'!$N76="Y",'Daily Workforce'!$B76&lt;&gt;"",COUNTIF('Daily Schedule'!$F$5:$F18,'Daily Workforce'!$B76)=0,IF('Daily Schedule'!$A19=45,'Daily Workforce'!$J76="Y",IF(OR('Daily Schedule'!$A19=4,'Daily Schedule'!$A19=8),IF(OR(WEEKDAY('Daily Schedule'!$B$2,2)=1,WEEKDAY('Daily Schedule'!$B$2,2)=4,WEEKDAY('Daily Schedule'!$B$2,2)=5,WEEKDAY('Daily Schedule'!$B$2,2)=7),IFERROR(1*'Daily Workforce'!$K76&gt;=3,FALSE()),IFERROR(1*'Daily Workforce'!$K76&gt;=2,FALSE())),IF(AND('Daily Schedule'!$A19&gt;=46,'Daily Schedule'!$A19&lt;=52),'Daily Workforce'!$M76="Y",IFERROR(1*'Daily Workforce'!$P76&gt;=2,FALSE()))))),1,0)</f>
        <v>1</v>
      </c>
      <c r="CJ15" s="1" t="n">
        <f aca="false">IF(AND('Daily Workforce'!$N77="Y",'Daily Workforce'!$B77&lt;&gt;"",COUNTIF('Daily Schedule'!$F$5:$F18,'Daily Workforce'!$B77)=0,IF('Daily Schedule'!$A19=45,'Daily Workforce'!$J77="Y",IF(OR('Daily Schedule'!$A19=4,'Daily Schedule'!$A19=8),IF(OR(WEEKDAY('Daily Schedule'!$B$2,2)=1,WEEKDAY('Daily Schedule'!$B$2,2)=4,WEEKDAY('Daily Schedule'!$B$2,2)=5,WEEKDAY('Daily Schedule'!$B$2,2)=7),IFERROR(1*'Daily Workforce'!$K77&gt;=3,FALSE()),IFERROR(1*'Daily Workforce'!$K77&gt;=2,FALSE())),IF(AND('Daily Schedule'!$A19&gt;=46,'Daily Schedule'!$A19&lt;=52),'Daily Workforce'!$M77="Y",IFERROR(1*'Daily Workforce'!$P77&gt;=2,FALSE()))))),1,0)</f>
        <v>1</v>
      </c>
      <c r="CK15" s="1" t="n">
        <f aca="false">IF(AND('Daily Workforce'!$N78="Y",'Daily Workforce'!$B78&lt;&gt;"",COUNTIF('Daily Schedule'!$F$5:$F18,'Daily Workforce'!$B78)=0,IF('Daily Schedule'!$A19=45,'Daily Workforce'!$J78="Y",IF(OR('Daily Schedule'!$A19=4,'Daily Schedule'!$A19=8),IF(OR(WEEKDAY('Daily Schedule'!$B$2,2)=1,WEEKDAY('Daily Schedule'!$B$2,2)=4,WEEKDAY('Daily Schedule'!$B$2,2)=5,WEEKDAY('Daily Schedule'!$B$2,2)=7),IFERROR(1*'Daily Workforce'!$K78&gt;=3,FALSE()),IFERROR(1*'Daily Workforce'!$K78&gt;=2,FALSE())),IF(AND('Daily Schedule'!$A19&gt;=46,'Daily Schedule'!$A19&lt;=52),'Daily Workforce'!$M78="Y",IFERROR(1*'Daily Workforce'!$P78&gt;=2,FALSE()))))),1,0)</f>
        <v>1</v>
      </c>
      <c r="CL15" s="1" t="n">
        <f aca="false">IF(AND('Daily Workforce'!$N79="Y",'Daily Workforce'!$B79&lt;&gt;"",COUNTIF('Daily Schedule'!$F$5:$F18,'Daily Workforce'!$B79)=0,IF('Daily Schedule'!$A19=45,'Daily Workforce'!$J79="Y",IF(OR('Daily Schedule'!$A19=4,'Daily Schedule'!$A19=8),IF(OR(WEEKDAY('Daily Schedule'!$B$2,2)=1,WEEKDAY('Daily Schedule'!$B$2,2)=4,WEEKDAY('Daily Schedule'!$B$2,2)=5,WEEKDAY('Daily Schedule'!$B$2,2)=7),IFERROR(1*'Daily Workforce'!$K79&gt;=3,FALSE()),IFERROR(1*'Daily Workforce'!$K79&gt;=2,FALSE())),IF(AND('Daily Schedule'!$A19&gt;=46,'Daily Schedule'!$A19&lt;=52),'Daily Workforce'!$M79="Y",IFERROR(1*'Daily Workforce'!$P79&gt;=2,FALSE()))))),1,0)</f>
        <v>1</v>
      </c>
      <c r="CM15" s="1" t="n">
        <f aca="false">IF(AND('Daily Workforce'!$N80="Y",'Daily Workforce'!$B80&lt;&gt;"",COUNTIF('Daily Schedule'!$F$5:$F18,'Daily Workforce'!$B80)=0,IF('Daily Schedule'!$A19=45,'Daily Workforce'!$J80="Y",IF(OR('Daily Schedule'!$A19=4,'Daily Schedule'!$A19=8),IF(OR(WEEKDAY('Daily Schedule'!$B$2,2)=1,WEEKDAY('Daily Schedule'!$B$2,2)=4,WEEKDAY('Daily Schedule'!$B$2,2)=5,WEEKDAY('Daily Schedule'!$B$2,2)=7),IFERROR(1*'Daily Workforce'!$K80&gt;=3,FALSE()),IFERROR(1*'Daily Workforce'!$K80&gt;=2,FALSE())),IF(AND('Daily Schedule'!$A19&gt;=46,'Daily Schedule'!$A19&lt;=52),'Daily Workforce'!$M80="Y",IFERROR(1*'Daily Workforce'!$P80&gt;=2,FALSE()))))),1,0)</f>
        <v>1</v>
      </c>
      <c r="CN15" s="1" t="n">
        <f aca="false">IF(AND('Daily Workforce'!$N81="Y",'Daily Workforce'!$B81&lt;&gt;"",COUNTIF('Daily Schedule'!$F$5:$F18,'Daily Workforce'!$B81)=0,IF('Daily Schedule'!$A19=45,'Daily Workforce'!$J81="Y",IF(OR('Daily Schedule'!$A19=4,'Daily Schedule'!$A19=8),IF(OR(WEEKDAY('Daily Schedule'!$B$2,2)=1,WEEKDAY('Daily Schedule'!$B$2,2)=4,WEEKDAY('Daily Schedule'!$B$2,2)=5,WEEKDAY('Daily Schedule'!$B$2,2)=7),IFERROR(1*'Daily Workforce'!$K81&gt;=3,FALSE()),IFERROR(1*'Daily Workforce'!$K81&gt;=2,FALSE())),IF(AND('Daily Schedule'!$A19&gt;=46,'Daily Schedule'!$A19&lt;=52),'Daily Workforce'!$M81="Y",IFERROR(1*'Daily Workforce'!$P81&gt;=2,FALSE()))))),1,0)</f>
        <v>1</v>
      </c>
      <c r="CO15" s="1" t="n">
        <f aca="false">IF(AND('Daily Workforce'!$N82="Y",'Daily Workforce'!$B82&lt;&gt;"",COUNTIF('Daily Schedule'!$F$5:$F18,'Daily Workforce'!$B82)=0,IF('Daily Schedule'!$A19=45,'Daily Workforce'!$J82="Y",IF(OR('Daily Schedule'!$A19=4,'Daily Schedule'!$A19=8),IF(OR(WEEKDAY('Daily Schedule'!$B$2,2)=1,WEEKDAY('Daily Schedule'!$B$2,2)=4,WEEKDAY('Daily Schedule'!$B$2,2)=5,WEEKDAY('Daily Schedule'!$B$2,2)=7),IFERROR(1*'Daily Workforce'!$K82&gt;=3,FALSE()),IFERROR(1*'Daily Workforce'!$K82&gt;=2,FALSE())),IF(AND('Daily Schedule'!$A19&gt;=46,'Daily Schedule'!$A19&lt;=52),'Daily Workforce'!$M82="Y",IFERROR(1*'Daily Workforce'!$P82&gt;=2,FALSE()))))),1,0)</f>
        <v>1</v>
      </c>
      <c r="CP15" s="1" t="n">
        <f aca="false">IF(AND('Daily Workforce'!$N83="Y",'Daily Workforce'!$B83&lt;&gt;"",COUNTIF('Daily Schedule'!$F$5:$F18,'Daily Workforce'!$B83)=0,IF('Daily Schedule'!$A19=45,'Daily Workforce'!$J83="Y",IF(OR('Daily Schedule'!$A19=4,'Daily Schedule'!$A19=8),IF(OR(WEEKDAY('Daily Schedule'!$B$2,2)=1,WEEKDAY('Daily Schedule'!$B$2,2)=4,WEEKDAY('Daily Schedule'!$B$2,2)=5,WEEKDAY('Daily Schedule'!$B$2,2)=7),IFERROR(1*'Daily Workforce'!$K83&gt;=3,FALSE()),IFERROR(1*'Daily Workforce'!$K83&gt;=2,FALSE())),IF(AND('Daily Schedule'!$A19&gt;=46,'Daily Schedule'!$A19&lt;=52),'Daily Workforce'!$M83="Y",IFERROR(1*'Daily Workforce'!$P83&gt;=2,FALSE()))))),1,0)</f>
        <v>0</v>
      </c>
      <c r="CQ15" s="1" t="n">
        <f aca="false">IF(AND('Daily Workforce'!$N84="Y",'Daily Workforce'!$B84&lt;&gt;"",COUNTIF('Daily Schedule'!$F$5:$F18,'Daily Workforce'!$B84)=0,IF('Daily Schedule'!$A19=45,'Daily Workforce'!$J84="Y",IF(OR('Daily Schedule'!$A19=4,'Daily Schedule'!$A19=8),IF(OR(WEEKDAY('Daily Schedule'!$B$2,2)=1,WEEKDAY('Daily Schedule'!$B$2,2)=4,WEEKDAY('Daily Schedule'!$B$2,2)=5,WEEKDAY('Daily Schedule'!$B$2,2)=7),IFERROR(1*'Daily Workforce'!$K84&gt;=3,FALSE()),IFERROR(1*'Daily Workforce'!$K84&gt;=2,FALSE())),IF(AND('Daily Schedule'!$A19&gt;=46,'Daily Schedule'!$A19&lt;=52),'Daily Workforce'!$M84="Y",IFERROR(1*'Daily Workforce'!$P84&gt;=2,FALSE()))))),1,0)</f>
        <v>1</v>
      </c>
      <c r="CR15" s="1" t="n">
        <f aca="false">IF(AND('Daily Workforce'!$N85="Y",'Daily Workforce'!$B85&lt;&gt;"",COUNTIF('Daily Schedule'!$F$5:$F18,'Daily Workforce'!$B85)=0,IF('Daily Schedule'!$A19=45,'Daily Workforce'!$J85="Y",IF(OR('Daily Schedule'!$A19=4,'Daily Schedule'!$A19=8),IF(OR(WEEKDAY('Daily Schedule'!$B$2,2)=1,WEEKDAY('Daily Schedule'!$B$2,2)=4,WEEKDAY('Daily Schedule'!$B$2,2)=5,WEEKDAY('Daily Schedule'!$B$2,2)=7),IFERROR(1*'Daily Workforce'!$K85&gt;=3,FALSE()),IFERROR(1*'Daily Workforce'!$K85&gt;=2,FALSE())),IF(AND('Daily Schedule'!$A19&gt;=46,'Daily Schedule'!$A19&lt;=52),'Daily Workforce'!$M85="Y",IFERROR(1*'Daily Workforce'!$P85&gt;=2,FALSE()))))),1,0)</f>
        <v>0</v>
      </c>
      <c r="CS15" s="1" t="n">
        <f aca="false">IF(AND('Daily Workforce'!$N86="Y",'Daily Workforce'!$B86&lt;&gt;"",COUNTIF('Daily Schedule'!$F$5:$F18,'Daily Workforce'!$B86)=0,IF('Daily Schedule'!$A19=45,'Daily Workforce'!$J86="Y",IF(OR('Daily Schedule'!$A19=4,'Daily Schedule'!$A19=8),IF(OR(WEEKDAY('Daily Schedule'!$B$2,2)=1,WEEKDAY('Daily Schedule'!$B$2,2)=4,WEEKDAY('Daily Schedule'!$B$2,2)=5,WEEKDAY('Daily Schedule'!$B$2,2)=7),IFERROR(1*'Daily Workforce'!$K86&gt;=3,FALSE()),IFERROR(1*'Daily Workforce'!$K86&gt;=2,FALSE())),IF(AND('Daily Schedule'!$A19&gt;=46,'Daily Schedule'!$A19&lt;=52),'Daily Workforce'!$M86="Y",IFERROR(1*'Daily Workforce'!$P86&gt;=2,FALSE()))))),1,0)</f>
        <v>1</v>
      </c>
      <c r="CT15" s="1" t="n">
        <f aca="false">IF(AND('Daily Workforce'!$N87="Y",'Daily Workforce'!$B87&lt;&gt;"",COUNTIF('Daily Schedule'!$F$5:$F18,'Daily Workforce'!$B87)=0,IF('Daily Schedule'!$A19=45,'Daily Workforce'!$J87="Y",IF(OR('Daily Schedule'!$A19=4,'Daily Schedule'!$A19=8),IF(OR(WEEKDAY('Daily Schedule'!$B$2,2)=1,WEEKDAY('Daily Schedule'!$B$2,2)=4,WEEKDAY('Daily Schedule'!$B$2,2)=5,WEEKDAY('Daily Schedule'!$B$2,2)=7),IFERROR(1*'Daily Workforce'!$K87&gt;=3,FALSE()),IFERROR(1*'Daily Workforce'!$K87&gt;=2,FALSE())),IF(AND('Daily Schedule'!$A19&gt;=46,'Daily Schedule'!$A19&lt;=52),'Daily Workforce'!$M87="Y",IFERROR(1*'Daily Workforce'!$P87&gt;=2,FALSE()))))),1,0)</f>
        <v>1</v>
      </c>
      <c r="CU15" s="1" t="n">
        <f aca="false">IF(AND('Daily Workforce'!$N88="Y",'Daily Workforce'!$B88&lt;&gt;"",COUNTIF('Daily Schedule'!$F$5:$F18,'Daily Workforce'!$B88)=0,IF('Daily Schedule'!$A19=45,'Daily Workforce'!$J88="Y",IF(OR('Daily Schedule'!$A19=4,'Daily Schedule'!$A19=8),IF(OR(WEEKDAY('Daily Schedule'!$B$2,2)=1,WEEKDAY('Daily Schedule'!$B$2,2)=4,WEEKDAY('Daily Schedule'!$B$2,2)=5,WEEKDAY('Daily Schedule'!$B$2,2)=7),IFERROR(1*'Daily Workforce'!$K88&gt;=3,FALSE()),IFERROR(1*'Daily Workforce'!$K88&gt;=2,FALSE())),IF(AND('Daily Schedule'!$A19&gt;=46,'Daily Schedule'!$A19&lt;=52),'Daily Workforce'!$M88="Y",IFERROR(1*'Daily Workforce'!$P88&gt;=2,FALSE()))))),1,0)</f>
        <v>1</v>
      </c>
      <c r="CV15" s="1" t="n">
        <f aca="false">IF(AND('Daily Workforce'!$N89="Y",'Daily Workforce'!$B89&lt;&gt;"",COUNTIF('Daily Schedule'!$F$5:$F18,'Daily Workforce'!$B89)=0,IF('Daily Schedule'!$A19=45,'Daily Workforce'!$J89="Y",IF(OR('Daily Schedule'!$A19=4,'Daily Schedule'!$A19=8),IF(OR(WEEKDAY('Daily Schedule'!$B$2,2)=1,WEEKDAY('Daily Schedule'!$B$2,2)=4,WEEKDAY('Daily Schedule'!$B$2,2)=5,WEEKDAY('Daily Schedule'!$B$2,2)=7),IFERROR(1*'Daily Workforce'!$K89&gt;=3,FALSE()),IFERROR(1*'Daily Workforce'!$K89&gt;=2,FALSE())),IF(AND('Daily Schedule'!$A19&gt;=46,'Daily Schedule'!$A19&lt;=52),'Daily Workforce'!$M89="Y",IFERROR(1*'Daily Workforce'!$P89&gt;=2,FALSE()))))),1,0)</f>
        <v>1</v>
      </c>
      <c r="CW15" s="1" t="n">
        <f aca="false">IF(AND('Daily Workforce'!$N90="Y",'Daily Workforce'!$B90&lt;&gt;"",COUNTIF('Daily Schedule'!$F$5:$F18,'Daily Workforce'!$B90)=0,IF('Daily Schedule'!$A19=45,'Daily Workforce'!$J90="Y",IF(OR('Daily Schedule'!$A19=4,'Daily Schedule'!$A19=8),IF(OR(WEEKDAY('Daily Schedule'!$B$2,2)=1,WEEKDAY('Daily Schedule'!$B$2,2)=4,WEEKDAY('Daily Schedule'!$B$2,2)=5,WEEKDAY('Daily Schedule'!$B$2,2)=7),IFERROR(1*'Daily Workforce'!$K90&gt;=3,FALSE()),IFERROR(1*'Daily Workforce'!$K90&gt;=2,FALSE())),IF(AND('Daily Schedule'!$A19&gt;=46,'Daily Schedule'!$A19&lt;=52),'Daily Workforce'!$M90="Y",IFERROR(1*'Daily Workforce'!$P90&gt;=2,FALSE()))))),1,0)</f>
        <v>1</v>
      </c>
      <c r="CX15" s="1" t="n">
        <f aca="false">IF(AND('Daily Workforce'!$N91="Y",'Daily Workforce'!$B91&lt;&gt;"",COUNTIF('Daily Schedule'!$F$5:$F18,'Daily Workforce'!$B91)=0,IF('Daily Schedule'!$A19=45,'Daily Workforce'!$J91="Y",IF(OR('Daily Schedule'!$A19=4,'Daily Schedule'!$A19=8),IF(OR(WEEKDAY('Daily Schedule'!$B$2,2)=1,WEEKDAY('Daily Schedule'!$B$2,2)=4,WEEKDAY('Daily Schedule'!$B$2,2)=5,WEEKDAY('Daily Schedule'!$B$2,2)=7),IFERROR(1*'Daily Workforce'!$K91&gt;=3,FALSE()),IFERROR(1*'Daily Workforce'!$K91&gt;=2,FALSE())),IF(AND('Daily Schedule'!$A19&gt;=46,'Daily Schedule'!$A19&lt;=52),'Daily Workforce'!$M91="Y",IFERROR(1*'Daily Workforce'!$P91&gt;=2,FALSE()))))),1,0)</f>
        <v>1</v>
      </c>
      <c r="CY15" s="1" t="n">
        <f aca="false">IF(AND('Daily Workforce'!$N92="Y",'Daily Workforce'!$B92&lt;&gt;"",COUNTIF('Daily Schedule'!$F$5:$F18,'Daily Workforce'!$B92)=0,IF('Daily Schedule'!$A19=45,'Daily Workforce'!$J92="Y",IF(OR('Daily Schedule'!$A19=4,'Daily Schedule'!$A19=8),IF(OR(WEEKDAY('Daily Schedule'!$B$2,2)=1,WEEKDAY('Daily Schedule'!$B$2,2)=4,WEEKDAY('Daily Schedule'!$B$2,2)=5,WEEKDAY('Daily Schedule'!$B$2,2)=7),IFERROR(1*'Daily Workforce'!$K92&gt;=3,FALSE()),IFERROR(1*'Daily Workforce'!$K92&gt;=2,FALSE())),IF(AND('Daily Schedule'!$A19&gt;=46,'Daily Schedule'!$A19&lt;=52),'Daily Workforce'!$M92="Y",IFERROR(1*'Daily Workforce'!$P92&gt;=2,FALSE()))))),1,0)</f>
        <v>1</v>
      </c>
      <c r="CZ15" s="1" t="n">
        <f aca="false">IF(AND('Daily Workforce'!$N93="Y",'Daily Workforce'!$B93&lt;&gt;"",COUNTIF('Daily Schedule'!$F$5:$F18,'Daily Workforce'!$B93)=0,IF('Daily Schedule'!$A19=45,'Daily Workforce'!$J93="Y",IF(OR('Daily Schedule'!$A19=4,'Daily Schedule'!$A19=8),IF(OR(WEEKDAY('Daily Schedule'!$B$2,2)=1,WEEKDAY('Daily Schedule'!$B$2,2)=4,WEEKDAY('Daily Schedule'!$B$2,2)=5,WEEKDAY('Daily Schedule'!$B$2,2)=7),IFERROR(1*'Daily Workforce'!$K93&gt;=3,FALSE()),IFERROR(1*'Daily Workforce'!$K93&gt;=2,FALSE())),IF(AND('Daily Schedule'!$A19&gt;=46,'Daily Schedule'!$A19&lt;=52),'Daily Workforce'!$M93="Y",IFERROR(1*'Daily Workforce'!$P93&gt;=2,FALSE()))))),1,0)</f>
        <v>1</v>
      </c>
      <c r="DA15" s="1" t="n">
        <f aca="false">IF(AND('Daily Workforce'!$N94="Y",'Daily Workforce'!$B94&lt;&gt;"",COUNTIF('Daily Schedule'!$F$5:$F18,'Daily Workforce'!$B94)=0,IF('Daily Schedule'!$A19=45,'Daily Workforce'!$J94="Y",IF(OR('Daily Schedule'!$A19=4,'Daily Schedule'!$A19=8),IF(OR(WEEKDAY('Daily Schedule'!$B$2,2)=1,WEEKDAY('Daily Schedule'!$B$2,2)=4,WEEKDAY('Daily Schedule'!$B$2,2)=5,WEEKDAY('Daily Schedule'!$B$2,2)=7),IFERROR(1*'Daily Workforce'!$K94&gt;=3,FALSE()),IFERROR(1*'Daily Workforce'!$K94&gt;=2,FALSE())),IF(AND('Daily Schedule'!$A19&gt;=46,'Daily Schedule'!$A19&lt;=52),'Daily Workforce'!$M94="Y",IFERROR(1*'Daily Workforce'!$P94&gt;=2,FALSE()))))),1,0)</f>
        <v>1</v>
      </c>
      <c r="DB15" s="1" t="n">
        <f aca="false">IF(AND('Daily Workforce'!$N95="Y",'Daily Workforce'!$B95&lt;&gt;"",COUNTIF('Daily Schedule'!$F$5:$F18,'Daily Workforce'!$B95)=0,IF('Daily Schedule'!$A19=45,'Daily Workforce'!$J95="Y",IF(OR('Daily Schedule'!$A19=4,'Daily Schedule'!$A19=8),IF(OR(WEEKDAY('Daily Schedule'!$B$2,2)=1,WEEKDAY('Daily Schedule'!$B$2,2)=4,WEEKDAY('Daily Schedule'!$B$2,2)=5,WEEKDAY('Daily Schedule'!$B$2,2)=7),IFERROR(1*'Daily Workforce'!$K95&gt;=3,FALSE()),IFERROR(1*'Daily Workforce'!$K95&gt;=2,FALSE())),IF(AND('Daily Schedule'!$A19&gt;=46,'Daily Schedule'!$A19&lt;=52),'Daily Workforce'!$M95="Y",IFERROR(1*'Daily Workforce'!$P95&gt;=2,FALSE()))))),1,0)</f>
        <v>1</v>
      </c>
      <c r="DC15" s="1" t="n">
        <f aca="false">IF(AND('Daily Workforce'!$N96="Y",'Daily Workforce'!$B96&lt;&gt;"",COUNTIF('Daily Schedule'!$F$5:$F18,'Daily Workforce'!$B96)=0,IF('Daily Schedule'!$A19=45,'Daily Workforce'!$J96="Y",IF(OR('Daily Schedule'!$A19=4,'Daily Schedule'!$A19=8),IF(OR(WEEKDAY('Daily Schedule'!$B$2,2)=1,WEEKDAY('Daily Schedule'!$B$2,2)=4,WEEKDAY('Daily Schedule'!$B$2,2)=5,WEEKDAY('Daily Schedule'!$B$2,2)=7),IFERROR(1*'Daily Workforce'!$K96&gt;=3,FALSE()),IFERROR(1*'Daily Workforce'!$K96&gt;=2,FALSE())),IF(AND('Daily Schedule'!$A19&gt;=46,'Daily Schedule'!$A19&lt;=52),'Daily Workforce'!$M96="Y",IFERROR(1*'Daily Workforce'!$P96&gt;=2,FALSE()))))),1,0)</f>
        <v>1</v>
      </c>
      <c r="DD15" s="1" t="n">
        <f aca="false">IF(AND('Daily Workforce'!$N97="Y",'Daily Workforce'!$B97&lt;&gt;"",COUNTIF('Daily Schedule'!$F$5:$F18,'Daily Workforce'!$B97)=0,IF('Daily Schedule'!$A19=45,'Daily Workforce'!$J97="Y",IF(OR('Daily Schedule'!$A19=4,'Daily Schedule'!$A19=8),IF(OR(WEEKDAY('Daily Schedule'!$B$2,2)=1,WEEKDAY('Daily Schedule'!$B$2,2)=4,WEEKDAY('Daily Schedule'!$B$2,2)=5,WEEKDAY('Daily Schedule'!$B$2,2)=7),IFERROR(1*'Daily Workforce'!$K97&gt;=3,FALSE()),IFERROR(1*'Daily Workforce'!$K97&gt;=2,FALSE())),IF(AND('Daily Schedule'!$A19&gt;=46,'Daily Schedule'!$A19&lt;=52),'Daily Workforce'!$M97="Y",IFERROR(1*'Daily Workforce'!$P97&gt;=2,FALSE()))))),1,0)</f>
        <v>1</v>
      </c>
      <c r="DE15" s="1" t="n">
        <f aca="false">IF(AND('Daily Workforce'!$N98="Y",'Daily Workforce'!$B98&lt;&gt;"",COUNTIF('Daily Schedule'!$F$5:$F18,'Daily Workforce'!$B98)=0,IF('Daily Schedule'!$A19=45,'Daily Workforce'!$J98="Y",IF(OR('Daily Schedule'!$A19=4,'Daily Schedule'!$A19=8),IF(OR(WEEKDAY('Daily Schedule'!$B$2,2)=1,WEEKDAY('Daily Schedule'!$B$2,2)=4,WEEKDAY('Daily Schedule'!$B$2,2)=5,WEEKDAY('Daily Schedule'!$B$2,2)=7),IFERROR(1*'Daily Workforce'!$K98&gt;=3,FALSE()),IFERROR(1*'Daily Workforce'!$K98&gt;=2,FALSE())),IF(AND('Daily Schedule'!$A19&gt;=46,'Daily Schedule'!$A19&lt;=52),'Daily Workforce'!$M98="Y",IFERROR(1*'Daily Workforce'!$P98&gt;=2,FALSE()))))),1,0)</f>
        <v>1</v>
      </c>
      <c r="DF15" s="1" t="n">
        <f aca="false">IF(AND('Daily Workforce'!$N99="Y",'Daily Workforce'!$B99&lt;&gt;"",COUNTIF('Daily Schedule'!$F$5:$F18,'Daily Workforce'!$B99)=0,IF('Daily Schedule'!$A19=45,'Daily Workforce'!$J99="Y",IF(OR('Daily Schedule'!$A19=4,'Daily Schedule'!$A19=8),IF(OR(WEEKDAY('Daily Schedule'!$B$2,2)=1,WEEKDAY('Daily Schedule'!$B$2,2)=4,WEEKDAY('Daily Schedule'!$B$2,2)=5,WEEKDAY('Daily Schedule'!$B$2,2)=7),IFERROR(1*'Daily Workforce'!$K99&gt;=3,FALSE()),IFERROR(1*'Daily Workforce'!$K99&gt;=2,FALSE())),IF(AND('Daily Schedule'!$A19&gt;=46,'Daily Schedule'!$A19&lt;=52),'Daily Workforce'!$M99="Y",IFERROR(1*'Daily Workforce'!$P99&gt;=2,FALSE()))))),1,0)</f>
        <v>1</v>
      </c>
      <c r="DG15" s="1" t="n">
        <f aca="false">IF(AND('Daily Workforce'!$N100="Y",'Daily Workforce'!$B100&lt;&gt;"",COUNTIF('Daily Schedule'!$F$5:$F18,'Daily Workforce'!$B100)=0,IF('Daily Schedule'!$A19=45,'Daily Workforce'!$J100="Y",IF(OR('Daily Schedule'!$A19=4,'Daily Schedule'!$A19=8),IF(OR(WEEKDAY('Daily Schedule'!$B$2,2)=1,WEEKDAY('Daily Schedule'!$B$2,2)=4,WEEKDAY('Daily Schedule'!$B$2,2)=5,WEEKDAY('Daily Schedule'!$B$2,2)=7),IFERROR(1*'Daily Workforce'!$K100&gt;=3,FALSE()),IFERROR(1*'Daily Workforce'!$K100&gt;=2,FALSE())),IF(AND('Daily Schedule'!$A19&gt;=46,'Daily Schedule'!$A19&lt;=52),'Daily Workforce'!$M100="Y",IFERROR(1*'Daily Workforce'!$P100&gt;=2,FALSE()))))),1,0)</f>
        <v>1</v>
      </c>
      <c r="DH15" s="1" t="n">
        <f aca="false">IF(AND('Daily Workforce'!$N101="Y",'Daily Workforce'!$B101&lt;&gt;"",COUNTIF('Daily Schedule'!$F$5:$F18,'Daily Workforce'!$B101)=0,IF('Daily Schedule'!$A19=45,'Daily Workforce'!$J101="Y",IF(OR('Daily Schedule'!$A19=4,'Daily Schedule'!$A19=8),IF(OR(WEEKDAY('Daily Schedule'!$B$2,2)=1,WEEKDAY('Daily Schedule'!$B$2,2)=4,WEEKDAY('Daily Schedule'!$B$2,2)=5,WEEKDAY('Daily Schedule'!$B$2,2)=7),IFERROR(1*'Daily Workforce'!$K101&gt;=3,FALSE()),IFERROR(1*'Daily Workforce'!$K101&gt;=2,FALSE())),IF(AND('Daily Schedule'!$A19&gt;=46,'Daily Schedule'!$A19&lt;=52),'Daily Workforce'!$M101="Y",IFERROR(1*'Daily Workforce'!$P101&gt;=2,FALSE()))))),1,0)</f>
        <v>1</v>
      </c>
      <c r="DI15" s="1" t="n">
        <f aca="false">IF(AND('Daily Workforce'!$N102="Y",'Daily Workforce'!$B102&lt;&gt;"",COUNTIF('Daily Schedule'!$F$5:$F18,'Daily Workforce'!$B102)=0,IF('Daily Schedule'!$A19=45,'Daily Workforce'!$J102="Y",IF(OR('Daily Schedule'!$A19=4,'Daily Schedule'!$A19=8),IF(OR(WEEKDAY('Daily Schedule'!$B$2,2)=1,WEEKDAY('Daily Schedule'!$B$2,2)=4,WEEKDAY('Daily Schedule'!$B$2,2)=5,WEEKDAY('Daily Schedule'!$B$2,2)=7),IFERROR(1*'Daily Workforce'!$K102&gt;=3,FALSE()),IFERROR(1*'Daily Workforce'!$K102&gt;=2,FALSE())),IF(AND('Daily Schedule'!$A19&gt;=46,'Daily Schedule'!$A19&lt;=52),'Daily Workforce'!$M102="Y",IFERROR(1*'Daily Workforce'!$P102&gt;=2,FALSE()))))),1,0)</f>
        <v>1</v>
      </c>
      <c r="DJ15" s="1" t="n">
        <f aca="false">IF(AND('Daily Workforce'!$N103="Y",'Daily Workforce'!$B103&lt;&gt;"",COUNTIF('Daily Schedule'!$F$5:$F18,'Daily Workforce'!$B103)=0,IF('Daily Schedule'!$A19=45,'Daily Workforce'!$J103="Y",IF(OR('Daily Schedule'!$A19=4,'Daily Schedule'!$A19=8),IF(OR(WEEKDAY('Daily Schedule'!$B$2,2)=1,WEEKDAY('Daily Schedule'!$B$2,2)=4,WEEKDAY('Daily Schedule'!$B$2,2)=5,WEEKDAY('Daily Schedule'!$B$2,2)=7),IFERROR(1*'Daily Workforce'!$K103&gt;=3,FALSE()),IFERROR(1*'Daily Workforce'!$K103&gt;=2,FALSE())),IF(AND('Daily Schedule'!$A19&gt;=46,'Daily Schedule'!$A19&lt;=52),'Daily Workforce'!$M103="Y",IFERROR(1*'Daily Workforce'!$P103&gt;=2,FALSE()))))),1,0)</f>
        <v>1</v>
      </c>
      <c r="DK15" s="1" t="n">
        <f aca="false">IF(AND('Daily Workforce'!$N104="Y",'Daily Workforce'!$B104&lt;&gt;"",COUNTIF('Daily Schedule'!$F$5:$F18,'Daily Workforce'!$B104)=0,IF('Daily Schedule'!$A19=45,'Daily Workforce'!$J104="Y",IF(OR('Daily Schedule'!$A19=4,'Daily Schedule'!$A19=8),IF(OR(WEEKDAY('Daily Schedule'!$B$2,2)=1,WEEKDAY('Daily Schedule'!$B$2,2)=4,WEEKDAY('Daily Schedule'!$B$2,2)=5,WEEKDAY('Daily Schedule'!$B$2,2)=7),IFERROR(1*'Daily Workforce'!$K104&gt;=3,FALSE()),IFERROR(1*'Daily Workforce'!$K104&gt;=2,FALSE())),IF(AND('Daily Schedule'!$A19&gt;=46,'Daily Schedule'!$A19&lt;=52),'Daily Workforce'!$M104="Y",IFERROR(1*'Daily Workforce'!$P104&gt;=2,FALSE()))))),1,0)</f>
        <v>1</v>
      </c>
      <c r="DL15" s="1" t="n">
        <f aca="false">IF(AND('Daily Workforce'!$N105="Y",'Daily Workforce'!$B105&lt;&gt;"",COUNTIF('Daily Schedule'!$F$5:$F18,'Daily Workforce'!$B105)=0,IF('Daily Schedule'!$A19=45,'Daily Workforce'!$J105="Y",IF(OR('Daily Schedule'!$A19=4,'Daily Schedule'!$A19=8),IF(OR(WEEKDAY('Daily Schedule'!$B$2,2)=1,WEEKDAY('Daily Schedule'!$B$2,2)=4,WEEKDAY('Daily Schedule'!$B$2,2)=5,WEEKDAY('Daily Schedule'!$B$2,2)=7),IFERROR(1*'Daily Workforce'!$K105&gt;=3,FALSE()),IFERROR(1*'Daily Workforce'!$K105&gt;=2,FALSE())),IF(AND('Daily Schedule'!$A19&gt;=46,'Daily Schedule'!$A19&lt;=52),'Daily Workforce'!$M105="Y",IFERROR(1*'Daily Workforce'!$P105&gt;=2,FALSE()))))),1,0)</f>
        <v>0</v>
      </c>
      <c r="DM15" s="1" t="n">
        <f aca="false">IF(AND('Daily Workforce'!$N106="Y",'Daily Workforce'!$B106&lt;&gt;"",COUNTIF('Daily Schedule'!$F$5:$F18,'Daily Workforce'!$B106)=0,IF('Daily Schedule'!$A19=45,'Daily Workforce'!$J106="Y",IF(OR('Daily Schedule'!$A19=4,'Daily Schedule'!$A19=8),IF(OR(WEEKDAY('Daily Schedule'!$B$2,2)=1,WEEKDAY('Daily Schedule'!$B$2,2)=4,WEEKDAY('Daily Schedule'!$B$2,2)=5,WEEKDAY('Daily Schedule'!$B$2,2)=7),IFERROR(1*'Daily Workforce'!$K106&gt;=3,FALSE()),IFERROR(1*'Daily Workforce'!$K106&gt;=2,FALSE())),IF(AND('Daily Schedule'!$A19&gt;=46,'Daily Schedule'!$A19&lt;=52),'Daily Workforce'!$M106="Y",IFERROR(1*'Daily Workforce'!$P106&gt;=2,FALSE()))))),1,0)</f>
        <v>1</v>
      </c>
      <c r="DN15" s="1" t="n">
        <f aca="false">IF(AND('Daily Workforce'!$N107="Y",'Daily Workforce'!$B107&lt;&gt;"",COUNTIF('Daily Schedule'!$F$5:$F18,'Daily Workforce'!$B107)=0,IF('Daily Schedule'!$A19=45,'Daily Workforce'!$J107="Y",IF(OR('Daily Schedule'!$A19=4,'Daily Schedule'!$A19=8),IF(OR(WEEKDAY('Daily Schedule'!$B$2,2)=1,WEEKDAY('Daily Schedule'!$B$2,2)=4,WEEKDAY('Daily Schedule'!$B$2,2)=5,WEEKDAY('Daily Schedule'!$B$2,2)=7),IFERROR(1*'Daily Workforce'!$K107&gt;=3,FALSE()),IFERROR(1*'Daily Workforce'!$K107&gt;=2,FALSE())),IF(AND('Daily Schedule'!$A19&gt;=46,'Daily Schedule'!$A19&lt;=52),'Daily Workforce'!$M107="Y",IFERROR(1*'Daily Workforce'!$P107&gt;=2,FALSE()))))),1,0)</f>
        <v>1</v>
      </c>
      <c r="DO15" s="1" t="n">
        <f aca="false">IF(AND('Daily Workforce'!$N108="Y",'Daily Workforce'!$B108&lt;&gt;"",COUNTIF('Daily Schedule'!$F$5:$F18,'Daily Workforce'!$B108)=0,IF('Daily Schedule'!$A19=45,'Daily Workforce'!$J108="Y",IF(OR('Daily Schedule'!$A19=4,'Daily Schedule'!$A19=8),IF(OR(WEEKDAY('Daily Schedule'!$B$2,2)=1,WEEKDAY('Daily Schedule'!$B$2,2)=4,WEEKDAY('Daily Schedule'!$B$2,2)=5,WEEKDAY('Daily Schedule'!$B$2,2)=7),IFERROR(1*'Daily Workforce'!$K108&gt;=3,FALSE()),IFERROR(1*'Daily Workforce'!$K108&gt;=2,FALSE())),IF(AND('Daily Schedule'!$A19&gt;=46,'Daily Schedule'!$A19&lt;=52),'Daily Workforce'!$M108="Y",IFERROR(1*'Daily Workforce'!$P108&gt;=2,FALSE()))))),1,0)</f>
        <v>1</v>
      </c>
      <c r="DP15" s="1" t="n">
        <f aca="false">IF(AND('Daily Workforce'!$N109="Y",'Daily Workforce'!$B109&lt;&gt;"",COUNTIF('Daily Schedule'!$F$5:$F18,'Daily Workforce'!$B109)=0,IF('Daily Schedule'!$A19=45,'Daily Workforce'!$J109="Y",IF(OR('Daily Schedule'!$A19=4,'Daily Schedule'!$A19=8),IF(OR(WEEKDAY('Daily Schedule'!$B$2,2)=1,WEEKDAY('Daily Schedule'!$B$2,2)=4,WEEKDAY('Daily Schedule'!$B$2,2)=5,WEEKDAY('Daily Schedule'!$B$2,2)=7),IFERROR(1*'Daily Workforce'!$K109&gt;=3,FALSE()),IFERROR(1*'Daily Workforce'!$K109&gt;=2,FALSE())),IF(AND('Daily Schedule'!$A19&gt;=46,'Daily Schedule'!$A19&lt;=52),'Daily Workforce'!$M109="Y",IFERROR(1*'Daily Workforce'!$P109&gt;=2,FALSE()))))),1,0)</f>
        <v>1</v>
      </c>
      <c r="DQ15" s="1" t="n">
        <f aca="false">IF(AND('Daily Workforce'!$N110="Y",'Daily Workforce'!$B110&lt;&gt;"",COUNTIF('Daily Schedule'!$F$5:$F18,'Daily Workforce'!$B110)=0,IF('Daily Schedule'!$A19=45,'Daily Workforce'!$J110="Y",IF(OR('Daily Schedule'!$A19=4,'Daily Schedule'!$A19=8),IF(OR(WEEKDAY('Daily Schedule'!$B$2,2)=1,WEEKDAY('Daily Schedule'!$B$2,2)=4,WEEKDAY('Daily Schedule'!$B$2,2)=5,WEEKDAY('Daily Schedule'!$B$2,2)=7),IFERROR(1*'Daily Workforce'!$K110&gt;=3,FALSE()),IFERROR(1*'Daily Workforce'!$K110&gt;=2,FALSE())),IF(AND('Daily Schedule'!$A19&gt;=46,'Daily Schedule'!$A19&lt;=52),'Daily Workforce'!$M110="Y",IFERROR(1*'Daily Workforce'!$P110&gt;=2,FALSE()))))),1,0)</f>
        <v>1</v>
      </c>
      <c r="DR15" s="1" t="n">
        <f aca="false">IF(AND('Daily Workforce'!$N111="Y",'Daily Workforce'!$B111&lt;&gt;"",COUNTIF('Daily Schedule'!$F$5:$F18,'Daily Workforce'!$B111)=0,IF('Daily Schedule'!$A19=45,'Daily Workforce'!$J111="Y",IF(OR('Daily Schedule'!$A19=4,'Daily Schedule'!$A19=8),IF(OR(WEEKDAY('Daily Schedule'!$B$2,2)=1,WEEKDAY('Daily Schedule'!$B$2,2)=4,WEEKDAY('Daily Schedule'!$B$2,2)=5,WEEKDAY('Daily Schedule'!$B$2,2)=7),IFERROR(1*'Daily Workforce'!$K111&gt;=3,FALSE()),IFERROR(1*'Daily Workforce'!$K111&gt;=2,FALSE())),IF(AND('Daily Schedule'!$A19&gt;=46,'Daily Schedule'!$A19&lt;=52),'Daily Workforce'!$M111="Y",IFERROR(1*'Daily Workforce'!$P111&gt;=2,FALSE()))))),1,0)</f>
        <v>1</v>
      </c>
      <c r="DS15" s="1" t="n">
        <f aca="false">IF(AND('Daily Workforce'!$N112="Y",'Daily Workforce'!$B112&lt;&gt;"",COUNTIF('Daily Schedule'!$F$5:$F18,'Daily Workforce'!$B112)=0,IF('Daily Schedule'!$A19=45,'Daily Workforce'!$J112="Y",IF(OR('Daily Schedule'!$A19=4,'Daily Schedule'!$A19=8),IF(OR(WEEKDAY('Daily Schedule'!$B$2,2)=1,WEEKDAY('Daily Schedule'!$B$2,2)=4,WEEKDAY('Daily Schedule'!$B$2,2)=5,WEEKDAY('Daily Schedule'!$B$2,2)=7),IFERROR(1*'Daily Workforce'!$K112&gt;=3,FALSE()),IFERROR(1*'Daily Workforce'!$K112&gt;=2,FALSE())),IF(AND('Daily Schedule'!$A19&gt;=46,'Daily Schedule'!$A19&lt;=52),'Daily Workforce'!$M112="Y",IFERROR(1*'Daily Workforce'!$P112&gt;=2,FALSE()))))),1,0)</f>
        <v>1</v>
      </c>
      <c r="DT15" s="1" t="n">
        <f aca="false">IF(AND('Daily Workforce'!$N113="Y",'Daily Workforce'!$B113&lt;&gt;"",COUNTIF('Daily Schedule'!$F$5:$F18,'Daily Workforce'!$B113)=0,IF('Daily Schedule'!$A19=45,'Daily Workforce'!$J113="Y",IF(OR('Daily Schedule'!$A19=4,'Daily Schedule'!$A19=8),IF(OR(WEEKDAY('Daily Schedule'!$B$2,2)=1,WEEKDAY('Daily Schedule'!$B$2,2)=4,WEEKDAY('Daily Schedule'!$B$2,2)=5,WEEKDAY('Daily Schedule'!$B$2,2)=7),IFERROR(1*'Daily Workforce'!$K113&gt;=3,FALSE()),IFERROR(1*'Daily Workforce'!$K113&gt;=2,FALSE())),IF(AND('Daily Schedule'!$A19&gt;=46,'Daily Schedule'!$A19&lt;=52),'Daily Workforce'!$M113="Y",IFERROR(1*'Daily Workforce'!$P113&gt;=2,FALSE()))))),1,0)</f>
        <v>1</v>
      </c>
      <c r="DU15" s="1" t="n">
        <f aca="false">IF(AND('Daily Workforce'!$N114="Y",'Daily Workforce'!$B114&lt;&gt;"",COUNTIF('Daily Schedule'!$F$5:$F18,'Daily Workforce'!$B114)=0,IF('Daily Schedule'!$A19=45,'Daily Workforce'!$J114="Y",IF(OR('Daily Schedule'!$A19=4,'Daily Schedule'!$A19=8),IF(OR(WEEKDAY('Daily Schedule'!$B$2,2)=1,WEEKDAY('Daily Schedule'!$B$2,2)=4,WEEKDAY('Daily Schedule'!$B$2,2)=5,WEEKDAY('Daily Schedule'!$B$2,2)=7),IFERROR(1*'Daily Workforce'!$K114&gt;=3,FALSE()),IFERROR(1*'Daily Workforce'!$K114&gt;=2,FALSE())),IF(AND('Daily Schedule'!$A19&gt;=46,'Daily Schedule'!$A19&lt;=52),'Daily Workforce'!$M114="Y",IFERROR(1*'Daily Workforce'!$P114&gt;=2,FALSE()))))),1,0)</f>
        <v>1</v>
      </c>
      <c r="DV15" s="1" t="n">
        <f aca="false">IF(AND('Daily Workforce'!$N115="Y",'Daily Workforce'!$B115&lt;&gt;"",COUNTIF('Daily Schedule'!$F$5:$F18,'Daily Workforce'!$B115)=0,IF('Daily Schedule'!$A19=45,'Daily Workforce'!$J115="Y",IF(OR('Daily Schedule'!$A19=4,'Daily Schedule'!$A19=8),IF(OR(WEEKDAY('Daily Schedule'!$B$2,2)=1,WEEKDAY('Daily Schedule'!$B$2,2)=4,WEEKDAY('Daily Schedule'!$B$2,2)=5,WEEKDAY('Daily Schedule'!$B$2,2)=7),IFERROR(1*'Daily Workforce'!$K115&gt;=3,FALSE()),IFERROR(1*'Daily Workforce'!$K115&gt;=2,FALSE())),IF(AND('Daily Schedule'!$A19&gt;=46,'Daily Schedule'!$A19&lt;=52),'Daily Workforce'!$M115="Y",IFERROR(1*'Daily Workforce'!$P115&gt;=2,FALSE()))))),1,0)</f>
        <v>1</v>
      </c>
      <c r="DW15" s="1" t="n">
        <f aca="false">IF(AND('Daily Workforce'!$N116="Y",'Daily Workforce'!$B116&lt;&gt;"",COUNTIF('Daily Schedule'!$F$5:$F18,'Daily Workforce'!$B116)=0,IF('Daily Schedule'!$A19=45,'Daily Workforce'!$J116="Y",IF(OR('Daily Schedule'!$A19=4,'Daily Schedule'!$A19=8),IF(OR(WEEKDAY('Daily Schedule'!$B$2,2)=1,WEEKDAY('Daily Schedule'!$B$2,2)=4,WEEKDAY('Daily Schedule'!$B$2,2)=5,WEEKDAY('Daily Schedule'!$B$2,2)=7),IFERROR(1*'Daily Workforce'!$K116&gt;=3,FALSE()),IFERROR(1*'Daily Workforce'!$K116&gt;=2,FALSE())),IF(AND('Daily Schedule'!$A19&gt;=46,'Daily Schedule'!$A19&lt;=52),'Daily Workforce'!$M116="Y",IFERROR(1*'Daily Workforce'!$P116&gt;=2,FALSE()))))),1,0)</f>
        <v>1</v>
      </c>
      <c r="DX15" s="1" t="n">
        <f aca="false">IF(AND('Daily Workforce'!$N117="Y",'Daily Workforce'!$B117&lt;&gt;"",COUNTIF('Daily Schedule'!$F$5:$F18,'Daily Workforce'!$B117)=0,IF('Daily Schedule'!$A19=45,'Daily Workforce'!$J117="Y",IF(OR('Daily Schedule'!$A19=4,'Daily Schedule'!$A19=8),IF(OR(WEEKDAY('Daily Schedule'!$B$2,2)=1,WEEKDAY('Daily Schedule'!$B$2,2)=4,WEEKDAY('Daily Schedule'!$B$2,2)=5,WEEKDAY('Daily Schedule'!$B$2,2)=7),IFERROR(1*'Daily Workforce'!$K117&gt;=3,FALSE()),IFERROR(1*'Daily Workforce'!$K117&gt;=2,FALSE())),IF(AND('Daily Schedule'!$A19&gt;=46,'Daily Schedule'!$A19&lt;=52),'Daily Workforce'!$M117="Y",IFERROR(1*'Daily Workforce'!$P117&gt;=2,FALSE()))))),1,0)</f>
        <v>1</v>
      </c>
      <c r="DY15" s="1" t="n">
        <f aca="false">IF(AND('Daily Workforce'!$N118="Y",'Daily Workforce'!$B118&lt;&gt;"",COUNTIF('Daily Schedule'!$F$5:$F18,'Daily Workforce'!$B118)=0,IF('Daily Schedule'!$A19=45,'Daily Workforce'!$J118="Y",IF(OR('Daily Schedule'!$A19=4,'Daily Schedule'!$A19=8),IF(OR(WEEKDAY('Daily Schedule'!$B$2,2)=1,WEEKDAY('Daily Schedule'!$B$2,2)=4,WEEKDAY('Daily Schedule'!$B$2,2)=5,WEEKDAY('Daily Schedule'!$B$2,2)=7),IFERROR(1*'Daily Workforce'!$K118&gt;=3,FALSE()),IFERROR(1*'Daily Workforce'!$K118&gt;=2,FALSE())),IF(AND('Daily Schedule'!$A19&gt;=46,'Daily Schedule'!$A19&lt;=52),'Daily Workforce'!$M118="Y",IFERROR(1*'Daily Workforce'!$P118&gt;=2,FALSE()))))),1,0)</f>
        <v>0</v>
      </c>
      <c r="DZ15" s="1" t="n">
        <f aca="false">IF(AND('Daily Workforce'!$N119="Y",'Daily Workforce'!$B119&lt;&gt;"",COUNTIF('Daily Schedule'!$F$5:$F18,'Daily Workforce'!$B119)=0,IF('Daily Schedule'!$A19=45,'Daily Workforce'!$J119="Y",IF(OR('Daily Schedule'!$A19=4,'Daily Schedule'!$A19=8),IF(OR(WEEKDAY('Daily Schedule'!$B$2,2)=1,WEEKDAY('Daily Schedule'!$B$2,2)=4,WEEKDAY('Daily Schedule'!$B$2,2)=5,WEEKDAY('Daily Schedule'!$B$2,2)=7),IFERROR(1*'Daily Workforce'!$K119&gt;=3,FALSE()),IFERROR(1*'Daily Workforce'!$K119&gt;=2,FALSE())),IF(AND('Daily Schedule'!$A19&gt;=46,'Daily Schedule'!$A19&lt;=52),'Daily Workforce'!$M119="Y",IFERROR(1*'Daily Workforce'!$P119&gt;=2,FALSE()))))),1,0)</f>
        <v>0</v>
      </c>
      <c r="EA15" s="1" t="n">
        <f aca="false">IF(AND('Daily Workforce'!$N120="Y",'Daily Workforce'!$B120&lt;&gt;"",COUNTIF('Daily Schedule'!$F$5:$F18,'Daily Workforce'!$B120)=0,IF('Daily Schedule'!$A19=45,'Daily Workforce'!$J120="Y",IF(OR('Daily Schedule'!$A19=4,'Daily Schedule'!$A19=8),IF(OR(WEEKDAY('Daily Schedule'!$B$2,2)=1,WEEKDAY('Daily Schedule'!$B$2,2)=4,WEEKDAY('Daily Schedule'!$B$2,2)=5,WEEKDAY('Daily Schedule'!$B$2,2)=7),IFERROR(1*'Daily Workforce'!$K120&gt;=3,FALSE()),IFERROR(1*'Daily Workforce'!$K120&gt;=2,FALSE())),IF(AND('Daily Schedule'!$A19&gt;=46,'Daily Schedule'!$A19&lt;=52),'Daily Workforce'!$M120="Y",IFERROR(1*'Daily Workforce'!$P120&gt;=2,FALSE()))))),1,0)</f>
        <v>0</v>
      </c>
      <c r="EB15" s="1" t="n">
        <f aca="false">IF(AND('Daily Workforce'!$N121="Y",'Daily Workforce'!$B121&lt;&gt;"",COUNTIF('Daily Schedule'!$F$5:$F18,'Daily Workforce'!$B121)=0,IF('Daily Schedule'!$A19=45,'Daily Workforce'!$J121="Y",IF(OR('Daily Schedule'!$A19=4,'Daily Schedule'!$A19=8),IF(OR(WEEKDAY('Daily Schedule'!$B$2,2)=1,WEEKDAY('Daily Schedule'!$B$2,2)=4,WEEKDAY('Daily Schedule'!$B$2,2)=5,WEEKDAY('Daily Schedule'!$B$2,2)=7),IFERROR(1*'Daily Workforce'!$K121&gt;=3,FALSE()),IFERROR(1*'Daily Workforce'!$K121&gt;=2,FALSE())),IF(AND('Daily Schedule'!$A19&gt;=46,'Daily Schedule'!$A19&lt;=52),'Daily Workforce'!$M121="Y",IFERROR(1*'Daily Workforce'!$P121&gt;=2,FALSE()))))),1,0)</f>
        <v>0</v>
      </c>
      <c r="EC15" s="1" t="n">
        <f aca="false">IF(AND('Daily Workforce'!$N122="Y",'Daily Workforce'!$B122&lt;&gt;"",COUNTIF('Daily Schedule'!$F$5:$F18,'Daily Workforce'!$B122)=0,IF('Daily Schedule'!$A19=45,'Daily Workforce'!$J122="Y",IF(OR('Daily Schedule'!$A19=4,'Daily Schedule'!$A19=8),IF(OR(WEEKDAY('Daily Schedule'!$B$2,2)=1,WEEKDAY('Daily Schedule'!$B$2,2)=4,WEEKDAY('Daily Schedule'!$B$2,2)=5,WEEKDAY('Daily Schedule'!$B$2,2)=7),IFERROR(1*'Daily Workforce'!$K122&gt;=3,FALSE()),IFERROR(1*'Daily Workforce'!$K122&gt;=2,FALSE())),IF(AND('Daily Schedule'!$A19&gt;=46,'Daily Schedule'!$A19&lt;=52),'Daily Workforce'!$M122="Y",IFERROR(1*'Daily Workforce'!$P122&gt;=2,FALSE()))))),1,0)</f>
        <v>0</v>
      </c>
      <c r="ED15" s="1" t="n">
        <f aca="false">IF(AND('Daily Workforce'!$N123="Y",'Daily Workforce'!$B123&lt;&gt;"",COUNTIF('Daily Schedule'!$F$5:$F18,'Daily Workforce'!$B123)=0,IF('Daily Schedule'!$A19=45,'Daily Workforce'!$J123="Y",IF(OR('Daily Schedule'!$A19=4,'Daily Schedule'!$A19=8),IF(OR(WEEKDAY('Daily Schedule'!$B$2,2)=1,WEEKDAY('Daily Schedule'!$B$2,2)=4,WEEKDAY('Daily Schedule'!$B$2,2)=5,WEEKDAY('Daily Schedule'!$B$2,2)=7),IFERROR(1*'Daily Workforce'!$K123&gt;=3,FALSE()),IFERROR(1*'Daily Workforce'!$K123&gt;=2,FALSE())),IF(AND('Daily Schedule'!$A19&gt;=46,'Daily Schedule'!$A19&lt;=52),'Daily Workforce'!$M123="Y",IFERROR(1*'Daily Workforce'!$P123&gt;=2,FALSE()))))),1,0)</f>
        <v>0</v>
      </c>
      <c r="EE15" s="1" t="n">
        <f aca="false">IF(AND('Daily Workforce'!$N124="Y",'Daily Workforce'!$B124&lt;&gt;"",COUNTIF('Daily Schedule'!$F$5:$F18,'Daily Workforce'!$B124)=0,IF('Daily Schedule'!$A19=45,'Daily Workforce'!$J124="Y",IF(OR('Daily Schedule'!$A19=4,'Daily Schedule'!$A19=8),IF(OR(WEEKDAY('Daily Schedule'!$B$2,2)=1,WEEKDAY('Daily Schedule'!$B$2,2)=4,WEEKDAY('Daily Schedule'!$B$2,2)=5,WEEKDAY('Daily Schedule'!$B$2,2)=7),IFERROR(1*'Daily Workforce'!$K124&gt;=3,FALSE()),IFERROR(1*'Daily Workforce'!$K124&gt;=2,FALSE())),IF(AND('Daily Schedule'!$A19&gt;=46,'Daily Schedule'!$A19&lt;=52),'Daily Workforce'!$M124="Y",IFERROR(1*'Daily Workforce'!$P124&gt;=2,FALSE()))))),1,0)</f>
        <v>0</v>
      </c>
      <c r="EF15" s="1" t="n">
        <f aca="false">IF(AND('Daily Workforce'!$N125="Y",'Daily Workforce'!$B125&lt;&gt;"",COUNTIF('Daily Schedule'!$F$5:$F18,'Daily Workforce'!$B125)=0,IF('Daily Schedule'!$A19=45,'Daily Workforce'!$J125="Y",IF(OR('Daily Schedule'!$A19=4,'Daily Schedule'!$A19=8),IF(OR(WEEKDAY('Daily Schedule'!$B$2,2)=1,WEEKDAY('Daily Schedule'!$B$2,2)=4,WEEKDAY('Daily Schedule'!$B$2,2)=5,WEEKDAY('Daily Schedule'!$B$2,2)=7),IFERROR(1*'Daily Workforce'!$K125&gt;=3,FALSE()),IFERROR(1*'Daily Workforce'!$K125&gt;=2,FALSE())),IF(AND('Daily Schedule'!$A19&gt;=46,'Daily Schedule'!$A19&lt;=52),'Daily Workforce'!$M125="Y",IFERROR(1*'Daily Workforce'!$P125&gt;=2,FALSE()))))),1,0)</f>
        <v>0</v>
      </c>
      <c r="EG15" s="1" t="n">
        <f aca="false">IF(AND('Daily Workforce'!$N126="Y",'Daily Workforce'!$B126&lt;&gt;"",COUNTIF('Daily Schedule'!$F$5:$F18,'Daily Workforce'!$B126)=0,IF('Daily Schedule'!$A19=45,'Daily Workforce'!$J126="Y",IF(OR('Daily Schedule'!$A19=4,'Daily Schedule'!$A19=8),IF(OR(WEEKDAY('Daily Schedule'!$B$2,2)=1,WEEKDAY('Daily Schedule'!$B$2,2)=4,WEEKDAY('Daily Schedule'!$B$2,2)=5,WEEKDAY('Daily Schedule'!$B$2,2)=7),IFERROR(1*'Daily Workforce'!$K126&gt;=3,FALSE()),IFERROR(1*'Daily Workforce'!$K126&gt;=2,FALSE())),IF(AND('Daily Schedule'!$A19&gt;=46,'Daily Schedule'!$A19&lt;=52),'Daily Workforce'!$M126="Y",IFERROR(1*'Daily Workforce'!$P126&gt;=2,FALSE()))))),1,0)</f>
        <v>0</v>
      </c>
      <c r="EH15" s="1" t="n">
        <f aca="false">IF(AND('Daily Workforce'!$N127="Y",'Daily Workforce'!$B127&lt;&gt;"",COUNTIF('Daily Schedule'!$F$5:$F18,'Daily Workforce'!$B127)=0,IF('Daily Schedule'!$A19=45,'Daily Workforce'!$J127="Y",IF(OR('Daily Schedule'!$A19=4,'Daily Schedule'!$A19=8),IF(OR(WEEKDAY('Daily Schedule'!$B$2,2)=1,WEEKDAY('Daily Schedule'!$B$2,2)=4,WEEKDAY('Daily Schedule'!$B$2,2)=5,WEEKDAY('Daily Schedule'!$B$2,2)=7),IFERROR(1*'Daily Workforce'!$K127&gt;=3,FALSE()),IFERROR(1*'Daily Workforce'!$K127&gt;=2,FALSE())),IF(AND('Daily Schedule'!$A19&gt;=46,'Daily Schedule'!$A19&lt;=52),'Daily Workforce'!$M127="Y",IFERROR(1*'Daily Workforce'!$P127&gt;=2,FALSE()))))),1,0)</f>
        <v>0</v>
      </c>
      <c r="EI15" s="1" t="n">
        <f aca="false">IF(AND('Daily Workforce'!$N128="Y",'Daily Workforce'!$B128&lt;&gt;"",COUNTIF('Daily Schedule'!$F$5:$F18,'Daily Workforce'!$B128)=0,IF('Daily Schedule'!$A19=45,'Daily Workforce'!$J128="Y",IF(OR('Daily Schedule'!$A19=4,'Daily Schedule'!$A19=8),IF(OR(WEEKDAY('Daily Schedule'!$B$2,2)=1,WEEKDAY('Daily Schedule'!$B$2,2)=4,WEEKDAY('Daily Schedule'!$B$2,2)=5,WEEKDAY('Daily Schedule'!$B$2,2)=7),IFERROR(1*'Daily Workforce'!$K128&gt;=3,FALSE()),IFERROR(1*'Daily Workforce'!$K128&gt;=2,FALSE())),IF(AND('Daily Schedule'!$A19&gt;=46,'Daily Schedule'!$A19&lt;=52),'Daily Workforce'!$M128="Y",IFERROR(1*'Daily Workforce'!$P128&gt;=2,FALSE()))))),1,0)</f>
        <v>0</v>
      </c>
      <c r="EJ15" s="1" t="n">
        <f aca="false">IF(AND('Daily Workforce'!$N129="Y",'Daily Workforce'!$B129&lt;&gt;"",COUNTIF('Daily Schedule'!$F$5:$F18,'Daily Workforce'!$B129)=0,IF('Daily Schedule'!$A19=45,'Daily Workforce'!$J129="Y",IF(OR('Daily Schedule'!$A19=4,'Daily Schedule'!$A19=8),IF(OR(WEEKDAY('Daily Schedule'!$B$2,2)=1,WEEKDAY('Daily Schedule'!$B$2,2)=4,WEEKDAY('Daily Schedule'!$B$2,2)=5,WEEKDAY('Daily Schedule'!$B$2,2)=7),IFERROR(1*'Daily Workforce'!$K129&gt;=3,FALSE()),IFERROR(1*'Daily Workforce'!$K129&gt;=2,FALSE())),IF(AND('Daily Schedule'!$A19&gt;=46,'Daily Schedule'!$A19&lt;=52),'Daily Workforce'!$M129="Y",IFERROR(1*'Daily Workforce'!$P129&gt;=2,FALSE()))))),1,0)</f>
        <v>0</v>
      </c>
      <c r="EK15" s="1" t="n">
        <f aca="false">IF(AND('Daily Workforce'!$N130="Y",'Daily Workforce'!$B130&lt;&gt;"",COUNTIF('Daily Schedule'!$F$5:$F18,'Daily Workforce'!$B130)=0,IF('Daily Schedule'!$A19=45,'Daily Workforce'!$J130="Y",IF(OR('Daily Schedule'!$A19=4,'Daily Schedule'!$A19=8),IF(OR(WEEKDAY('Daily Schedule'!$B$2,2)=1,WEEKDAY('Daily Schedule'!$B$2,2)=4,WEEKDAY('Daily Schedule'!$B$2,2)=5,WEEKDAY('Daily Schedule'!$B$2,2)=7),IFERROR(1*'Daily Workforce'!$K130&gt;=3,FALSE()),IFERROR(1*'Daily Workforce'!$K130&gt;=2,FALSE())),IF(AND('Daily Schedule'!$A19&gt;=46,'Daily Schedule'!$A19&lt;=52),'Daily Workforce'!$M130="Y",IFERROR(1*'Daily Workforce'!$P130&gt;=2,FALSE()))))),1,0)</f>
        <v>0</v>
      </c>
      <c r="EL15" s="1" t="n">
        <f aca="false">IF(AND('Daily Workforce'!$N131="Y",'Daily Workforce'!$B131&lt;&gt;"",COUNTIF('Daily Schedule'!$F$5:$F18,'Daily Workforce'!$B131)=0,IF('Daily Schedule'!$A19=45,'Daily Workforce'!$J131="Y",IF(OR('Daily Schedule'!$A19=4,'Daily Schedule'!$A19=8),IF(OR(WEEKDAY('Daily Schedule'!$B$2,2)=1,WEEKDAY('Daily Schedule'!$B$2,2)=4,WEEKDAY('Daily Schedule'!$B$2,2)=5,WEEKDAY('Daily Schedule'!$B$2,2)=7),IFERROR(1*'Daily Workforce'!$K131&gt;=3,FALSE()),IFERROR(1*'Daily Workforce'!$K131&gt;=2,FALSE())),IF(AND('Daily Schedule'!$A19&gt;=46,'Daily Schedule'!$A19&lt;=52),'Daily Workforce'!$M131="Y",IFERROR(1*'Daily Workforce'!$P131&gt;=2,FALSE()))))),1,0)</f>
        <v>0</v>
      </c>
      <c r="EM15" s="1" t="n">
        <f aca="false">IF(AND('Daily Workforce'!$N132="Y",'Daily Workforce'!$B132&lt;&gt;"",COUNTIF('Daily Schedule'!$F$5:$F18,'Daily Workforce'!$B132)=0,IF('Daily Schedule'!$A19=45,'Daily Workforce'!$J132="Y",IF(OR('Daily Schedule'!$A19=4,'Daily Schedule'!$A19=8),IF(OR(WEEKDAY('Daily Schedule'!$B$2,2)=1,WEEKDAY('Daily Schedule'!$B$2,2)=4,WEEKDAY('Daily Schedule'!$B$2,2)=5,WEEKDAY('Daily Schedule'!$B$2,2)=7),IFERROR(1*'Daily Workforce'!$K132&gt;=3,FALSE()),IFERROR(1*'Daily Workforce'!$K132&gt;=2,FALSE())),IF(AND('Daily Schedule'!$A19&gt;=46,'Daily Schedule'!$A19&lt;=52),'Daily Workforce'!$M132="Y",IFERROR(1*'Daily Workforce'!$P132&gt;=2,FALSE()))))),1,0)</f>
        <v>0</v>
      </c>
      <c r="EN15" s="1" t="n">
        <f aca="false">IF(AND('Daily Workforce'!$N133="Y",'Daily Workforce'!$B133&lt;&gt;"",COUNTIF('Daily Schedule'!$F$5:$F18,'Daily Workforce'!$B133)=0,IF('Daily Schedule'!$A19=45,'Daily Workforce'!$J133="Y",IF(OR('Daily Schedule'!$A19=4,'Daily Schedule'!$A19=8),IF(OR(WEEKDAY('Daily Schedule'!$B$2,2)=1,WEEKDAY('Daily Schedule'!$B$2,2)=4,WEEKDAY('Daily Schedule'!$B$2,2)=5,WEEKDAY('Daily Schedule'!$B$2,2)=7),IFERROR(1*'Daily Workforce'!$K133&gt;=3,FALSE()),IFERROR(1*'Daily Workforce'!$K133&gt;=2,FALSE())),IF(AND('Daily Schedule'!$A19&gt;=46,'Daily Schedule'!$A19&lt;=52),'Daily Workforce'!$M133="Y",IFERROR(1*'Daily Workforce'!$P133&gt;=2,FALSE()))))),1,0)</f>
        <v>0</v>
      </c>
      <c r="EO15" s="1" t="n">
        <f aca="false">IF(AND('Daily Workforce'!$N134="Y",'Daily Workforce'!$B134&lt;&gt;"",COUNTIF('Daily Schedule'!$F$5:$F18,'Daily Workforce'!$B134)=0,IF('Daily Schedule'!$A19=45,'Daily Workforce'!$J134="Y",IF(OR('Daily Schedule'!$A19=4,'Daily Schedule'!$A19=8),IF(OR(WEEKDAY('Daily Schedule'!$B$2,2)=1,WEEKDAY('Daily Schedule'!$B$2,2)=4,WEEKDAY('Daily Schedule'!$B$2,2)=5,WEEKDAY('Daily Schedule'!$B$2,2)=7),IFERROR(1*'Daily Workforce'!$K134&gt;=3,FALSE()),IFERROR(1*'Daily Workforce'!$K134&gt;=2,FALSE())),IF(AND('Daily Schedule'!$A19&gt;=46,'Daily Schedule'!$A19&lt;=52),'Daily Workforce'!$M134="Y",IFERROR(1*'Daily Workforce'!$P134&gt;=2,FALSE()))))),1,0)</f>
        <v>0</v>
      </c>
      <c r="EP15" s="1" t="n">
        <f aca="false">IF(AND('Daily Workforce'!$N135="Y",'Daily Workforce'!$B135&lt;&gt;"",COUNTIF('Daily Schedule'!$F$5:$F18,'Daily Workforce'!$B135)=0,IF('Daily Schedule'!$A19=45,'Daily Workforce'!$J135="Y",IF(OR('Daily Schedule'!$A19=4,'Daily Schedule'!$A19=8),IF(OR(WEEKDAY('Daily Schedule'!$B$2,2)=1,WEEKDAY('Daily Schedule'!$B$2,2)=4,WEEKDAY('Daily Schedule'!$B$2,2)=5,WEEKDAY('Daily Schedule'!$B$2,2)=7),IFERROR(1*'Daily Workforce'!$K135&gt;=3,FALSE()),IFERROR(1*'Daily Workforce'!$K135&gt;=2,FALSE())),IF(AND('Daily Schedule'!$A19&gt;=46,'Daily Schedule'!$A19&lt;=52),'Daily Workforce'!$M135="Y",IFERROR(1*'Daily Workforce'!$P135&gt;=2,FALSE()))))),1,0)</f>
        <v>0</v>
      </c>
      <c r="EQ15" s="1" t="n">
        <f aca="false">IF(AND('Daily Workforce'!$N136="Y",'Daily Workforce'!$B136&lt;&gt;"",COUNTIF('Daily Schedule'!$F$5:$F18,'Daily Workforce'!$B136)=0,IF('Daily Schedule'!$A19=45,'Daily Workforce'!$J136="Y",IF(OR('Daily Schedule'!$A19=4,'Daily Schedule'!$A19=8),IF(OR(WEEKDAY('Daily Schedule'!$B$2,2)=1,WEEKDAY('Daily Schedule'!$B$2,2)=4,WEEKDAY('Daily Schedule'!$B$2,2)=5,WEEKDAY('Daily Schedule'!$B$2,2)=7),IFERROR(1*'Daily Workforce'!$K136&gt;=3,FALSE()),IFERROR(1*'Daily Workforce'!$K136&gt;=2,FALSE())),IF(AND('Daily Schedule'!$A19&gt;=46,'Daily Schedule'!$A19&lt;=52),'Daily Workforce'!$M136="Y",IFERROR(1*'Daily Workforce'!$P136&gt;=2,FALSE()))))),1,0)</f>
        <v>0</v>
      </c>
      <c r="ER15" s="1" t="n">
        <f aca="false">IF(AND('Daily Workforce'!$N137="Y",'Daily Workforce'!$B137&lt;&gt;"",COUNTIF('Daily Schedule'!$F$5:$F18,'Daily Workforce'!$B137)=0,IF('Daily Schedule'!$A19=45,'Daily Workforce'!$J137="Y",IF(OR('Daily Schedule'!$A19=4,'Daily Schedule'!$A19=8),IF(OR(WEEKDAY('Daily Schedule'!$B$2,2)=1,WEEKDAY('Daily Schedule'!$B$2,2)=4,WEEKDAY('Daily Schedule'!$B$2,2)=5,WEEKDAY('Daily Schedule'!$B$2,2)=7),IFERROR(1*'Daily Workforce'!$K137&gt;=3,FALSE()),IFERROR(1*'Daily Workforce'!$K137&gt;=2,FALSE())),IF(AND('Daily Schedule'!$A19&gt;=46,'Daily Schedule'!$A19&lt;=52),'Daily Workforce'!$M137="Y",IFERROR(1*'Daily Workforce'!$P137&gt;=2,FALSE()))))),1,0)</f>
        <v>0</v>
      </c>
      <c r="ES15" s="1" t="n">
        <f aca="false">IF(AND('Daily Workforce'!$N138="Y",'Daily Workforce'!$B138&lt;&gt;"",COUNTIF('Daily Schedule'!$F$5:$F18,'Daily Workforce'!$B138)=0,IF('Daily Schedule'!$A19=45,'Daily Workforce'!$J138="Y",IF(OR('Daily Schedule'!$A19=4,'Daily Schedule'!$A19=8),IF(OR(WEEKDAY('Daily Schedule'!$B$2,2)=1,WEEKDAY('Daily Schedule'!$B$2,2)=4,WEEKDAY('Daily Schedule'!$B$2,2)=5,WEEKDAY('Daily Schedule'!$B$2,2)=7),IFERROR(1*'Daily Workforce'!$K138&gt;=3,FALSE()),IFERROR(1*'Daily Workforce'!$K138&gt;=2,FALSE())),IF(AND('Daily Schedule'!$A19&gt;=46,'Daily Schedule'!$A19&lt;=52),'Daily Workforce'!$M138="Y",IFERROR(1*'Daily Workforce'!$P138&gt;=2,FALSE()))))),1,0)</f>
        <v>0</v>
      </c>
      <c r="ET15" s="1" t="n">
        <f aca="false">IF(AND('Daily Workforce'!$N139="Y",'Daily Workforce'!$B139&lt;&gt;"",COUNTIF('Daily Schedule'!$F$5:$F18,'Daily Workforce'!$B139)=0,IF('Daily Schedule'!$A19=45,'Daily Workforce'!$J139="Y",IF(OR('Daily Schedule'!$A19=4,'Daily Schedule'!$A19=8),IF(OR(WEEKDAY('Daily Schedule'!$B$2,2)=1,WEEKDAY('Daily Schedule'!$B$2,2)=4,WEEKDAY('Daily Schedule'!$B$2,2)=5,WEEKDAY('Daily Schedule'!$B$2,2)=7),IFERROR(1*'Daily Workforce'!$K139&gt;=3,FALSE()),IFERROR(1*'Daily Workforce'!$K139&gt;=2,FALSE())),IF(AND('Daily Schedule'!$A19&gt;=46,'Daily Schedule'!$A19&lt;=52),'Daily Workforce'!$M139="Y",IFERROR(1*'Daily Workforce'!$P139&gt;=2,FALSE()))))),1,0)</f>
        <v>0</v>
      </c>
      <c r="EU15" s="1" t="n">
        <f aca="false">IF(AND('Daily Workforce'!$N140="Y",'Daily Workforce'!$B140&lt;&gt;"",COUNTIF('Daily Schedule'!$F$5:$F18,'Daily Workforce'!$B140)=0,IF('Daily Schedule'!$A19=45,'Daily Workforce'!$J140="Y",IF(OR('Daily Schedule'!$A19=4,'Daily Schedule'!$A19=8),IF(OR(WEEKDAY('Daily Schedule'!$B$2,2)=1,WEEKDAY('Daily Schedule'!$B$2,2)=4,WEEKDAY('Daily Schedule'!$B$2,2)=5,WEEKDAY('Daily Schedule'!$B$2,2)=7),IFERROR(1*'Daily Workforce'!$K140&gt;=3,FALSE()),IFERROR(1*'Daily Workforce'!$K140&gt;=2,FALSE())),IF(AND('Daily Schedule'!$A19&gt;=46,'Daily Schedule'!$A19&lt;=52),'Daily Workforce'!$M140="Y",IFERROR(1*'Daily Workforce'!$P140&gt;=2,FALSE()))))),1,0)</f>
        <v>0</v>
      </c>
      <c r="EV15" s="1" t="n">
        <f aca="false">IF(AND('Daily Workforce'!$N141="Y",'Daily Workforce'!$B141&lt;&gt;"",COUNTIF('Daily Schedule'!$F$5:$F18,'Daily Workforce'!$B141)=0,IF('Daily Schedule'!$A19=45,'Daily Workforce'!$J141="Y",IF(OR('Daily Schedule'!$A19=4,'Daily Schedule'!$A19=8),IF(OR(WEEKDAY('Daily Schedule'!$B$2,2)=1,WEEKDAY('Daily Schedule'!$B$2,2)=4,WEEKDAY('Daily Schedule'!$B$2,2)=5,WEEKDAY('Daily Schedule'!$B$2,2)=7),IFERROR(1*'Daily Workforce'!$K141&gt;=3,FALSE()),IFERROR(1*'Daily Workforce'!$K141&gt;=2,FALSE())),IF(AND('Daily Schedule'!$A19&gt;=46,'Daily Schedule'!$A19&lt;=52),'Daily Workforce'!$M141="Y",IFERROR(1*'Daily Workforce'!$P141&gt;=2,FALSE()))))),1,0)</f>
        <v>0</v>
      </c>
      <c r="EW15" s="1" t="n">
        <f aca="false">IF(AND('Daily Workforce'!$N142="Y",'Daily Workforce'!$B142&lt;&gt;"",COUNTIF('Daily Schedule'!$F$5:$F18,'Daily Workforce'!$B142)=0,IF('Daily Schedule'!$A19=45,'Daily Workforce'!$J142="Y",IF(OR('Daily Schedule'!$A19=4,'Daily Schedule'!$A19=8),IF(OR(WEEKDAY('Daily Schedule'!$B$2,2)=1,WEEKDAY('Daily Schedule'!$B$2,2)=4,WEEKDAY('Daily Schedule'!$B$2,2)=5,WEEKDAY('Daily Schedule'!$B$2,2)=7),IFERROR(1*'Daily Workforce'!$K142&gt;=3,FALSE()),IFERROR(1*'Daily Workforce'!$K142&gt;=2,FALSE())),IF(AND('Daily Schedule'!$A19&gt;=46,'Daily Schedule'!$A19&lt;=52),'Daily Workforce'!$M142="Y",IFERROR(1*'Daily Workforce'!$P142&gt;=2,FALSE()))))),1,0)</f>
        <v>0</v>
      </c>
      <c r="EX15" s="1" t="n">
        <f aca="false">IF(AND('Daily Workforce'!$N143="Y",'Daily Workforce'!$B143&lt;&gt;"",COUNTIF('Daily Schedule'!$F$5:$F18,'Daily Workforce'!$B143)=0,IF('Daily Schedule'!$A19=45,'Daily Workforce'!$J143="Y",IF(OR('Daily Schedule'!$A19=4,'Daily Schedule'!$A19=8),IF(OR(WEEKDAY('Daily Schedule'!$B$2,2)=1,WEEKDAY('Daily Schedule'!$B$2,2)=4,WEEKDAY('Daily Schedule'!$B$2,2)=5,WEEKDAY('Daily Schedule'!$B$2,2)=7),IFERROR(1*'Daily Workforce'!$K143&gt;=3,FALSE()),IFERROR(1*'Daily Workforce'!$K143&gt;=2,FALSE())),IF(AND('Daily Schedule'!$A19&gt;=46,'Daily Schedule'!$A19&lt;=52),'Daily Workforce'!$M143="Y",IFERROR(1*'Daily Workforce'!$P143&gt;=2,FALSE()))))),1,0)</f>
        <v>0</v>
      </c>
      <c r="EY15" s="1" t="n">
        <f aca="false">IF(AND('Daily Workforce'!$N144="Y",'Daily Workforce'!$B144&lt;&gt;"",COUNTIF('Daily Schedule'!$F$5:$F18,'Daily Workforce'!$B144)=0,IF('Daily Schedule'!$A19=45,'Daily Workforce'!$J144="Y",IF(OR('Daily Schedule'!$A19=4,'Daily Schedule'!$A19=8),IF(OR(WEEKDAY('Daily Schedule'!$B$2,2)=1,WEEKDAY('Daily Schedule'!$B$2,2)=4,WEEKDAY('Daily Schedule'!$B$2,2)=5,WEEKDAY('Daily Schedule'!$B$2,2)=7),IFERROR(1*'Daily Workforce'!$K144&gt;=3,FALSE()),IFERROR(1*'Daily Workforce'!$K144&gt;=2,FALSE())),IF(AND('Daily Schedule'!$A19&gt;=46,'Daily Schedule'!$A19&lt;=52),'Daily Workforce'!$M144="Y",IFERROR(1*'Daily Workforce'!$P144&gt;=2,FALSE()))))),1,0)</f>
        <v>0</v>
      </c>
      <c r="EZ15" s="1" t="n">
        <f aca="false">IF(AND('Daily Workforce'!$N145="Y",'Daily Workforce'!$B145&lt;&gt;"",COUNTIF('Daily Schedule'!$F$5:$F18,'Daily Workforce'!$B145)=0,IF('Daily Schedule'!$A19=45,'Daily Workforce'!$J145="Y",IF(OR('Daily Schedule'!$A19=4,'Daily Schedule'!$A19=8),IF(OR(WEEKDAY('Daily Schedule'!$B$2,2)=1,WEEKDAY('Daily Schedule'!$B$2,2)=4,WEEKDAY('Daily Schedule'!$B$2,2)=5,WEEKDAY('Daily Schedule'!$B$2,2)=7),IFERROR(1*'Daily Workforce'!$K145&gt;=3,FALSE()),IFERROR(1*'Daily Workforce'!$K145&gt;=2,FALSE())),IF(AND('Daily Schedule'!$A19&gt;=46,'Daily Schedule'!$A19&lt;=52),'Daily Workforce'!$M145="Y",IFERROR(1*'Daily Workforce'!$P145&gt;=2,FALSE()))))),1,0)</f>
        <v>0</v>
      </c>
      <c r="FA15" s="1" t="n">
        <f aca="false">IF(AND('Daily Workforce'!$N146="Y",'Daily Workforce'!$B146&lt;&gt;"",COUNTIF('Daily Schedule'!$F$5:$F18,'Daily Workforce'!$B146)=0,IF('Daily Schedule'!$A19=45,'Daily Workforce'!$J146="Y",IF(OR('Daily Schedule'!$A19=4,'Daily Schedule'!$A19=8),IF(OR(WEEKDAY('Daily Schedule'!$B$2,2)=1,WEEKDAY('Daily Schedule'!$B$2,2)=4,WEEKDAY('Daily Schedule'!$B$2,2)=5,WEEKDAY('Daily Schedule'!$B$2,2)=7),IFERROR(1*'Daily Workforce'!$K146&gt;=3,FALSE()),IFERROR(1*'Daily Workforce'!$K146&gt;=2,FALSE())),IF(AND('Daily Schedule'!$A19&gt;=46,'Daily Schedule'!$A19&lt;=52),'Daily Workforce'!$M146="Y",IFERROR(1*'Daily Workforce'!$P146&gt;=2,FALSE()))))),1,0)</f>
        <v>0</v>
      </c>
      <c r="FB15" s="1" t="n">
        <f aca="false">IF(AND('Daily Workforce'!$N147="Y",'Daily Workforce'!$B147&lt;&gt;"",COUNTIF('Daily Schedule'!$F$5:$F18,'Daily Workforce'!$B147)=0,IF('Daily Schedule'!$A19=45,'Daily Workforce'!$J147="Y",IF(OR('Daily Schedule'!$A19=4,'Daily Schedule'!$A19=8),IF(OR(WEEKDAY('Daily Schedule'!$B$2,2)=1,WEEKDAY('Daily Schedule'!$B$2,2)=4,WEEKDAY('Daily Schedule'!$B$2,2)=5,WEEKDAY('Daily Schedule'!$B$2,2)=7),IFERROR(1*'Daily Workforce'!$K147&gt;=3,FALSE()),IFERROR(1*'Daily Workforce'!$K147&gt;=2,FALSE())),IF(AND('Daily Schedule'!$A19&gt;=46,'Daily Schedule'!$A19&lt;=52),'Daily Workforce'!$M147="Y",IFERROR(1*'Daily Workforce'!$P147&gt;=2,FALSE()))))),1,0)</f>
        <v>0</v>
      </c>
      <c r="FC15" s="1" t="n">
        <f aca="false">IF(AND('Daily Workforce'!$N148="Y",'Daily Workforce'!$B148&lt;&gt;"",COUNTIF('Daily Schedule'!$F$5:$F18,'Daily Workforce'!$B148)=0,IF('Daily Schedule'!$A19=45,'Daily Workforce'!$J148="Y",IF(OR('Daily Schedule'!$A19=4,'Daily Schedule'!$A19=8),IF(OR(WEEKDAY('Daily Schedule'!$B$2,2)=1,WEEKDAY('Daily Schedule'!$B$2,2)=4,WEEKDAY('Daily Schedule'!$B$2,2)=5,WEEKDAY('Daily Schedule'!$B$2,2)=7),IFERROR(1*'Daily Workforce'!$K148&gt;=3,FALSE()),IFERROR(1*'Daily Workforce'!$K148&gt;=2,FALSE())),IF(AND('Daily Schedule'!$A19&gt;=46,'Daily Schedule'!$A19&lt;=52),'Daily Workforce'!$M148="Y",IFERROR(1*'Daily Workforce'!$P148&gt;=2,FALSE()))))),1,0)</f>
        <v>0</v>
      </c>
      <c r="FD15" s="1" t="n">
        <f aca="false">IF(AND('Daily Workforce'!$N149="Y",'Daily Workforce'!$B149&lt;&gt;"",COUNTIF('Daily Schedule'!$F$5:$F18,'Daily Workforce'!$B149)=0,IF('Daily Schedule'!$A19=45,'Daily Workforce'!$J149="Y",IF(OR('Daily Schedule'!$A19=4,'Daily Schedule'!$A19=8),IF(OR(WEEKDAY('Daily Schedule'!$B$2,2)=1,WEEKDAY('Daily Schedule'!$B$2,2)=4,WEEKDAY('Daily Schedule'!$B$2,2)=5,WEEKDAY('Daily Schedule'!$B$2,2)=7),IFERROR(1*'Daily Workforce'!$K149&gt;=3,FALSE()),IFERROR(1*'Daily Workforce'!$K149&gt;=2,FALSE())),IF(AND('Daily Schedule'!$A19&gt;=46,'Daily Schedule'!$A19&lt;=52),'Daily Workforce'!$M149="Y",IFERROR(1*'Daily Workforce'!$P149&gt;=2,FALSE()))))),1,0)</f>
        <v>0</v>
      </c>
      <c r="FE15" s="1" t="n">
        <f aca="false">IF(AND('Daily Workforce'!$N150="Y",'Daily Workforce'!$B150&lt;&gt;"",COUNTIF('Daily Schedule'!$F$5:$F18,'Daily Workforce'!$B150)=0,IF('Daily Schedule'!$A19=45,'Daily Workforce'!$J150="Y",IF(OR('Daily Schedule'!$A19=4,'Daily Schedule'!$A19=8),IF(OR(WEEKDAY('Daily Schedule'!$B$2,2)=1,WEEKDAY('Daily Schedule'!$B$2,2)=4,WEEKDAY('Daily Schedule'!$B$2,2)=5,WEEKDAY('Daily Schedule'!$B$2,2)=7),IFERROR(1*'Daily Workforce'!$K150&gt;=3,FALSE()),IFERROR(1*'Daily Workforce'!$K150&gt;=2,FALSE())),IF(AND('Daily Schedule'!$A19&gt;=46,'Daily Schedule'!$A19&lt;=52),'Daily Workforce'!$M150="Y",IFERROR(1*'Daily Workforce'!$P150&gt;=2,FALSE()))))),1,0)</f>
        <v>0</v>
      </c>
      <c r="FF15" s="1" t="n">
        <f aca="false">IF(AND('Daily Workforce'!$N151="Y",'Daily Workforce'!$B151&lt;&gt;"",COUNTIF('Daily Schedule'!$F$5:$F18,'Daily Workforce'!$B151)=0,IF('Daily Schedule'!$A19=45,'Daily Workforce'!$J151="Y",IF(OR('Daily Schedule'!$A19=4,'Daily Schedule'!$A19=8),IF(OR(WEEKDAY('Daily Schedule'!$B$2,2)=1,WEEKDAY('Daily Schedule'!$B$2,2)=4,WEEKDAY('Daily Schedule'!$B$2,2)=5,WEEKDAY('Daily Schedule'!$B$2,2)=7),IFERROR(1*'Daily Workforce'!$K151&gt;=3,FALSE()),IFERROR(1*'Daily Workforce'!$K151&gt;=2,FALSE())),IF(AND('Daily Schedule'!$A19&gt;=46,'Daily Schedule'!$A19&lt;=52),'Daily Workforce'!$M151="Y",IFERROR(1*'Daily Workforce'!$P151&gt;=2,FALSE()))))),1,0)</f>
        <v>0</v>
      </c>
      <c r="FG15" s="1" t="n">
        <f aca="false">IF(AND('Daily Workforce'!$N152="Y",'Daily Workforce'!$B152&lt;&gt;"",COUNTIF('Daily Schedule'!$F$5:$F18,'Daily Workforce'!$B152)=0,IF('Daily Schedule'!$A19=45,'Daily Workforce'!$J152="Y",IF(OR('Daily Schedule'!$A19=4,'Daily Schedule'!$A19=8),IF(OR(WEEKDAY('Daily Schedule'!$B$2,2)=1,WEEKDAY('Daily Schedule'!$B$2,2)=4,WEEKDAY('Daily Schedule'!$B$2,2)=5,WEEKDAY('Daily Schedule'!$B$2,2)=7),IFERROR(1*'Daily Workforce'!$K152&gt;=3,FALSE()),IFERROR(1*'Daily Workforce'!$K152&gt;=2,FALSE())),IF(AND('Daily Schedule'!$A19&gt;=46,'Daily Schedule'!$A19&lt;=52),'Daily Workforce'!$M152="Y",IFERROR(1*'Daily Workforce'!$P152&gt;=2,FALSE()))))),1,0)</f>
        <v>0</v>
      </c>
      <c r="FH15" s="1" t="n">
        <f aca="false">IF(AND('Daily Workforce'!$N153="Y",'Daily Workforce'!$B153&lt;&gt;"",COUNTIF('Daily Schedule'!$F$5:$F18,'Daily Workforce'!$B153)=0,IF('Daily Schedule'!$A19=45,'Daily Workforce'!$J153="Y",IF(OR('Daily Schedule'!$A19=4,'Daily Schedule'!$A19=8),IF(OR(WEEKDAY('Daily Schedule'!$B$2,2)=1,WEEKDAY('Daily Schedule'!$B$2,2)=4,WEEKDAY('Daily Schedule'!$B$2,2)=5,WEEKDAY('Daily Schedule'!$B$2,2)=7),IFERROR(1*'Daily Workforce'!$K153&gt;=3,FALSE()),IFERROR(1*'Daily Workforce'!$K153&gt;=2,FALSE())),IF(AND('Daily Schedule'!$A19&gt;=46,'Daily Schedule'!$A19&lt;=52),'Daily Workforce'!$M153="Y",IFERROR(1*'Daily Workforce'!$P153&gt;=2,FALSE()))))),1,0)</f>
        <v>0</v>
      </c>
      <c r="FI15" s="1" t="n">
        <f aca="false">IF(AND('Daily Workforce'!$N154="Y",'Daily Workforce'!$B154&lt;&gt;"",COUNTIF('Daily Schedule'!$F$5:$F18,'Daily Workforce'!$B154)=0,IF('Daily Schedule'!$A19=45,'Daily Workforce'!$J154="Y",IF(OR('Daily Schedule'!$A19=4,'Daily Schedule'!$A19=8),IF(OR(WEEKDAY('Daily Schedule'!$B$2,2)=1,WEEKDAY('Daily Schedule'!$B$2,2)=4,WEEKDAY('Daily Schedule'!$B$2,2)=5,WEEKDAY('Daily Schedule'!$B$2,2)=7),IFERROR(1*'Daily Workforce'!$K154&gt;=3,FALSE()),IFERROR(1*'Daily Workforce'!$K154&gt;=2,FALSE())),IF(AND('Daily Schedule'!$A19&gt;=46,'Daily Schedule'!$A19&lt;=52),'Daily Workforce'!$M154="Y",IFERROR(1*'Daily Workforce'!$P154&gt;=2,FALSE()))))),1,0)</f>
        <v>0</v>
      </c>
      <c r="FJ15" s="1" t="n">
        <f aca="false">IF(AND('Daily Workforce'!$N155="Y",'Daily Workforce'!$B155&lt;&gt;"",COUNTIF('Daily Schedule'!$F$5:$F18,'Daily Workforce'!$B155)=0,IF('Daily Schedule'!$A19=45,'Daily Workforce'!$J155="Y",IF(OR('Daily Schedule'!$A19=4,'Daily Schedule'!$A19=8),IF(OR(WEEKDAY('Daily Schedule'!$B$2,2)=1,WEEKDAY('Daily Schedule'!$B$2,2)=4,WEEKDAY('Daily Schedule'!$B$2,2)=5,WEEKDAY('Daily Schedule'!$B$2,2)=7),IFERROR(1*'Daily Workforce'!$K155&gt;=3,FALSE()),IFERROR(1*'Daily Workforce'!$K155&gt;=2,FALSE())),IF(AND('Daily Schedule'!$A19&gt;=46,'Daily Schedule'!$A19&lt;=52),'Daily Workforce'!$M155="Y",IFERROR(1*'Daily Workforce'!$P155&gt;=2,FALSE()))))),1,0)</f>
        <v>0</v>
      </c>
      <c r="FK15" s="1" t="n">
        <f aca="false">IF(AND('Daily Workforce'!$N156="Y",'Daily Workforce'!$B156&lt;&gt;"",COUNTIF('Daily Schedule'!$F$5:$F18,'Daily Workforce'!$B156)=0,IF('Daily Schedule'!$A19=45,'Daily Workforce'!$J156="Y",IF(OR('Daily Schedule'!$A19=4,'Daily Schedule'!$A19=8),IF(OR(WEEKDAY('Daily Schedule'!$B$2,2)=1,WEEKDAY('Daily Schedule'!$B$2,2)=4,WEEKDAY('Daily Schedule'!$B$2,2)=5,WEEKDAY('Daily Schedule'!$B$2,2)=7),IFERROR(1*'Daily Workforce'!$K156&gt;=3,FALSE()),IFERROR(1*'Daily Workforce'!$K156&gt;=2,FALSE())),IF(AND('Daily Schedule'!$A19&gt;=46,'Daily Schedule'!$A19&lt;=52),'Daily Workforce'!$M156="Y",IFERROR(1*'Daily Workforce'!$P156&gt;=2,FALSE()))))),1,0)</f>
        <v>0</v>
      </c>
      <c r="FL15" s="1" t="n">
        <f aca="false">IF(AND('Daily Workforce'!$N157="Y",'Daily Workforce'!$B157&lt;&gt;"",COUNTIF('Daily Schedule'!$F$5:$F18,'Daily Workforce'!$B157)=0,IF('Daily Schedule'!$A19=45,'Daily Workforce'!$J157="Y",IF(OR('Daily Schedule'!$A19=4,'Daily Schedule'!$A19=8),IF(OR(WEEKDAY('Daily Schedule'!$B$2,2)=1,WEEKDAY('Daily Schedule'!$B$2,2)=4,WEEKDAY('Daily Schedule'!$B$2,2)=5,WEEKDAY('Daily Schedule'!$B$2,2)=7),IFERROR(1*'Daily Workforce'!$K157&gt;=3,FALSE()),IFERROR(1*'Daily Workforce'!$K157&gt;=2,FALSE())),IF(AND('Daily Schedule'!$A19&gt;=46,'Daily Schedule'!$A19&lt;=52),'Daily Workforce'!$M157="Y",IFERROR(1*'Daily Workforce'!$P157&gt;=2,FALSE()))))),1,0)</f>
        <v>0</v>
      </c>
      <c r="FM15" s="1" t="n">
        <f aca="false">IF(AND('Daily Workforce'!$N158="Y",'Daily Workforce'!$B158&lt;&gt;"",COUNTIF('Daily Schedule'!$F$5:$F18,'Daily Workforce'!$B158)=0,IF('Daily Schedule'!$A19=45,'Daily Workforce'!$J158="Y",IF(OR('Daily Schedule'!$A19=4,'Daily Schedule'!$A19=8),IF(OR(WEEKDAY('Daily Schedule'!$B$2,2)=1,WEEKDAY('Daily Schedule'!$B$2,2)=4,WEEKDAY('Daily Schedule'!$B$2,2)=5,WEEKDAY('Daily Schedule'!$B$2,2)=7),IFERROR(1*'Daily Workforce'!$K158&gt;=3,FALSE()),IFERROR(1*'Daily Workforce'!$K158&gt;=2,FALSE())),IF(AND('Daily Schedule'!$A19&gt;=46,'Daily Schedule'!$A19&lt;=52),'Daily Workforce'!$M158="Y",IFERROR(1*'Daily Workforce'!$P158&gt;=2,FALSE()))))),1,0)</f>
        <v>0</v>
      </c>
      <c r="FN15" s="1" t="n">
        <f aca="false">IF(AND('Daily Workforce'!$N159="Y",'Daily Workforce'!$B159&lt;&gt;"",COUNTIF('Daily Schedule'!$F$5:$F18,'Daily Workforce'!$B159)=0,IF('Daily Schedule'!$A19=45,'Daily Workforce'!$J159="Y",IF(OR('Daily Schedule'!$A19=4,'Daily Schedule'!$A19=8),IF(OR(WEEKDAY('Daily Schedule'!$B$2,2)=1,WEEKDAY('Daily Schedule'!$B$2,2)=4,WEEKDAY('Daily Schedule'!$B$2,2)=5,WEEKDAY('Daily Schedule'!$B$2,2)=7),IFERROR(1*'Daily Workforce'!$K159&gt;=3,FALSE()),IFERROR(1*'Daily Workforce'!$K159&gt;=2,FALSE())),IF(AND('Daily Schedule'!$A19&gt;=46,'Daily Schedule'!$A19&lt;=52),'Daily Workforce'!$M159="Y",IFERROR(1*'Daily Workforce'!$P159&gt;=2,FALSE()))))),1,0)</f>
        <v>0</v>
      </c>
      <c r="FO15" s="1" t="n">
        <f aca="false">IF(AND('Daily Workforce'!$N160="Y",'Daily Workforce'!$B160&lt;&gt;"",COUNTIF('Daily Schedule'!$F$5:$F18,'Daily Workforce'!$B160)=0,IF('Daily Schedule'!$A19=45,'Daily Workforce'!$J160="Y",IF(OR('Daily Schedule'!$A19=4,'Daily Schedule'!$A19=8),IF(OR(WEEKDAY('Daily Schedule'!$B$2,2)=1,WEEKDAY('Daily Schedule'!$B$2,2)=4,WEEKDAY('Daily Schedule'!$B$2,2)=5,WEEKDAY('Daily Schedule'!$B$2,2)=7),IFERROR(1*'Daily Workforce'!$K160&gt;=3,FALSE()),IFERROR(1*'Daily Workforce'!$K160&gt;=2,FALSE())),IF(AND('Daily Schedule'!$A19&gt;=46,'Daily Schedule'!$A19&lt;=52),'Daily Workforce'!$M160="Y",IFERROR(1*'Daily Workforce'!$P160&gt;=2,FALSE()))))),1,0)</f>
        <v>0</v>
      </c>
      <c r="FP15" s="1" t="n">
        <f aca="false">IF(AND('Daily Workforce'!$N161="Y",'Daily Workforce'!$B161&lt;&gt;"",COUNTIF('Daily Schedule'!$F$5:$F18,'Daily Workforce'!$B161)=0,IF('Daily Schedule'!$A19=45,'Daily Workforce'!$J161="Y",IF(OR('Daily Schedule'!$A19=4,'Daily Schedule'!$A19=8),IF(OR(WEEKDAY('Daily Schedule'!$B$2,2)=1,WEEKDAY('Daily Schedule'!$B$2,2)=4,WEEKDAY('Daily Schedule'!$B$2,2)=5,WEEKDAY('Daily Schedule'!$B$2,2)=7),IFERROR(1*'Daily Workforce'!$K161&gt;=3,FALSE()),IFERROR(1*'Daily Workforce'!$K161&gt;=2,FALSE())),IF(AND('Daily Schedule'!$A19&gt;=46,'Daily Schedule'!$A19&lt;=52),'Daily Workforce'!$M161="Y",IFERROR(1*'Daily Workforce'!$P161&gt;=2,FALSE()))))),1,0)</f>
        <v>0</v>
      </c>
      <c r="FQ15" s="1" t="n">
        <f aca="false">IF(AND('Daily Workforce'!$N162="Y",'Daily Workforce'!$B162&lt;&gt;"",COUNTIF('Daily Schedule'!$F$5:$F18,'Daily Workforce'!$B162)=0,IF('Daily Schedule'!$A19=45,'Daily Workforce'!$J162="Y",IF(OR('Daily Schedule'!$A19=4,'Daily Schedule'!$A19=8),IF(OR(WEEKDAY('Daily Schedule'!$B$2,2)=1,WEEKDAY('Daily Schedule'!$B$2,2)=4,WEEKDAY('Daily Schedule'!$B$2,2)=5,WEEKDAY('Daily Schedule'!$B$2,2)=7),IFERROR(1*'Daily Workforce'!$K162&gt;=3,FALSE()),IFERROR(1*'Daily Workforce'!$K162&gt;=2,FALSE())),IF(AND('Daily Schedule'!$A19&gt;=46,'Daily Schedule'!$A19&lt;=52),'Daily Workforce'!$M162="Y",IFERROR(1*'Daily Workforce'!$P162&gt;=2,FALSE()))))),1,0)</f>
        <v>0</v>
      </c>
      <c r="FR15" s="1" t="n">
        <f aca="false">IF(AND('Daily Workforce'!$N163="Y",'Daily Workforce'!$B163&lt;&gt;"",COUNTIF('Daily Schedule'!$F$5:$F18,'Daily Workforce'!$B163)=0,IF('Daily Schedule'!$A19=45,'Daily Workforce'!$J163="Y",IF(OR('Daily Schedule'!$A19=4,'Daily Schedule'!$A19=8),IF(OR(WEEKDAY('Daily Schedule'!$B$2,2)=1,WEEKDAY('Daily Schedule'!$B$2,2)=4,WEEKDAY('Daily Schedule'!$B$2,2)=5,WEEKDAY('Daily Schedule'!$B$2,2)=7),IFERROR(1*'Daily Workforce'!$K163&gt;=3,FALSE()),IFERROR(1*'Daily Workforce'!$K163&gt;=2,FALSE())),IF(AND('Daily Schedule'!$A19&gt;=46,'Daily Schedule'!$A19&lt;=52),'Daily Workforce'!$M163="Y",IFERROR(1*'Daily Workforce'!$P163&gt;=2,FALSE()))))),1,0)</f>
        <v>0</v>
      </c>
      <c r="FS15" s="1" t="n">
        <f aca="false">IF(AND('Daily Workforce'!$N164="Y",'Daily Workforce'!$B164&lt;&gt;"",COUNTIF('Daily Schedule'!$F$5:$F18,'Daily Workforce'!$B164)=0,IF('Daily Schedule'!$A19=45,'Daily Workforce'!$J164="Y",IF(OR('Daily Schedule'!$A19=4,'Daily Schedule'!$A19=8),IF(OR(WEEKDAY('Daily Schedule'!$B$2,2)=1,WEEKDAY('Daily Schedule'!$B$2,2)=4,WEEKDAY('Daily Schedule'!$B$2,2)=5,WEEKDAY('Daily Schedule'!$B$2,2)=7),IFERROR(1*'Daily Workforce'!$K164&gt;=3,FALSE()),IFERROR(1*'Daily Workforce'!$K164&gt;=2,FALSE())),IF(AND('Daily Schedule'!$A19&gt;=46,'Daily Schedule'!$A19&lt;=52),'Daily Workforce'!$M164="Y",IFERROR(1*'Daily Workforce'!$P164&gt;=2,FALSE()))))),1,0)</f>
        <v>0</v>
      </c>
      <c r="FT15" s="1" t="n">
        <f aca="false">IF(AND('Daily Workforce'!$N165="Y",'Daily Workforce'!$B165&lt;&gt;"",COUNTIF('Daily Schedule'!$F$5:$F18,'Daily Workforce'!$B165)=0,IF('Daily Schedule'!$A19=45,'Daily Workforce'!$J165="Y",IF(OR('Daily Schedule'!$A19=4,'Daily Schedule'!$A19=8),IF(OR(WEEKDAY('Daily Schedule'!$B$2,2)=1,WEEKDAY('Daily Schedule'!$B$2,2)=4,WEEKDAY('Daily Schedule'!$B$2,2)=5,WEEKDAY('Daily Schedule'!$B$2,2)=7),IFERROR(1*'Daily Workforce'!$K165&gt;=3,FALSE()),IFERROR(1*'Daily Workforce'!$K165&gt;=2,FALSE())),IF(AND('Daily Schedule'!$A19&gt;=46,'Daily Schedule'!$A19&lt;=52),'Daily Workforce'!$M165="Y",IFERROR(1*'Daily Workforce'!$P165&gt;=2,FALSE()))))),1,0)</f>
        <v>0</v>
      </c>
      <c r="FU15" s="1" t="n">
        <f aca="false">IF(AND('Daily Workforce'!$N166="Y",'Daily Workforce'!$B166&lt;&gt;"",COUNTIF('Daily Schedule'!$F$5:$F18,'Daily Workforce'!$B166)=0,IF('Daily Schedule'!$A19=45,'Daily Workforce'!$J166="Y",IF(OR('Daily Schedule'!$A19=4,'Daily Schedule'!$A19=8),IF(OR(WEEKDAY('Daily Schedule'!$B$2,2)=1,WEEKDAY('Daily Schedule'!$B$2,2)=4,WEEKDAY('Daily Schedule'!$B$2,2)=5,WEEKDAY('Daily Schedule'!$B$2,2)=7),IFERROR(1*'Daily Workforce'!$K166&gt;=3,FALSE()),IFERROR(1*'Daily Workforce'!$K166&gt;=2,FALSE())),IF(AND('Daily Schedule'!$A19&gt;=46,'Daily Schedule'!$A19&lt;=52),'Daily Workforce'!$M166="Y",IFERROR(1*'Daily Workforce'!$P166&gt;=2,FALSE()))))),1,0)</f>
        <v>0</v>
      </c>
      <c r="FV15" s="1" t="n">
        <f aca="false">IF(AND('Daily Workforce'!$N167="Y",'Daily Workforce'!$B167&lt;&gt;"",COUNTIF('Daily Schedule'!$F$5:$F18,'Daily Workforce'!$B167)=0,IF('Daily Schedule'!$A19=45,'Daily Workforce'!$J167="Y",IF(OR('Daily Schedule'!$A19=4,'Daily Schedule'!$A19=8),IF(OR(WEEKDAY('Daily Schedule'!$B$2,2)=1,WEEKDAY('Daily Schedule'!$B$2,2)=4,WEEKDAY('Daily Schedule'!$B$2,2)=5,WEEKDAY('Daily Schedule'!$B$2,2)=7),IFERROR(1*'Daily Workforce'!$K167&gt;=3,FALSE()),IFERROR(1*'Daily Workforce'!$K167&gt;=2,FALSE())),IF(AND('Daily Schedule'!$A19&gt;=46,'Daily Schedule'!$A19&lt;=52),'Daily Workforce'!$M167="Y",IFERROR(1*'Daily Workforce'!$P167&gt;=2,FALSE()))))),1,0)</f>
        <v>0</v>
      </c>
      <c r="FW15" s="1" t="n">
        <f aca="false">IF(AND('Daily Workforce'!$N168="Y",'Daily Workforce'!$B168&lt;&gt;"",COUNTIF('Daily Schedule'!$F$5:$F18,'Daily Workforce'!$B168)=0,IF('Daily Schedule'!$A19=45,'Daily Workforce'!$J168="Y",IF(OR('Daily Schedule'!$A19=4,'Daily Schedule'!$A19=8),IF(OR(WEEKDAY('Daily Schedule'!$B$2,2)=1,WEEKDAY('Daily Schedule'!$B$2,2)=4,WEEKDAY('Daily Schedule'!$B$2,2)=5,WEEKDAY('Daily Schedule'!$B$2,2)=7),IFERROR(1*'Daily Workforce'!$K168&gt;=3,FALSE()),IFERROR(1*'Daily Workforce'!$K168&gt;=2,FALSE())),IF(AND('Daily Schedule'!$A19&gt;=46,'Daily Schedule'!$A19&lt;=52),'Daily Workforce'!$M168="Y",IFERROR(1*'Daily Workforce'!$P168&gt;=2,FALSE()))))),1,0)</f>
        <v>0</v>
      </c>
      <c r="FX15" s="1" t="n">
        <f aca="false">IF(AND('Daily Workforce'!$N169="Y",'Daily Workforce'!$B169&lt;&gt;"",COUNTIF('Daily Schedule'!$F$5:$F18,'Daily Workforce'!$B169)=0,IF('Daily Schedule'!$A19=45,'Daily Workforce'!$J169="Y",IF(OR('Daily Schedule'!$A19=4,'Daily Schedule'!$A19=8),IF(OR(WEEKDAY('Daily Schedule'!$B$2,2)=1,WEEKDAY('Daily Schedule'!$B$2,2)=4,WEEKDAY('Daily Schedule'!$B$2,2)=5,WEEKDAY('Daily Schedule'!$B$2,2)=7),IFERROR(1*'Daily Workforce'!$K169&gt;=3,FALSE()),IFERROR(1*'Daily Workforce'!$K169&gt;=2,FALSE())),IF(AND('Daily Schedule'!$A19&gt;=46,'Daily Schedule'!$A19&lt;=52),'Daily Workforce'!$M169="Y",IFERROR(1*'Daily Workforce'!$P169&gt;=2,FALSE()))))),1,0)</f>
        <v>0</v>
      </c>
      <c r="FY15" s="1" t="n">
        <f aca="false">IF(AND('Daily Workforce'!$N170="Y",'Daily Workforce'!$B170&lt;&gt;"",COUNTIF('Daily Schedule'!$F$5:$F18,'Daily Workforce'!$B170)=0,IF('Daily Schedule'!$A19=45,'Daily Workforce'!$J170="Y",IF(OR('Daily Schedule'!$A19=4,'Daily Schedule'!$A19=8),IF(OR(WEEKDAY('Daily Schedule'!$B$2,2)=1,WEEKDAY('Daily Schedule'!$B$2,2)=4,WEEKDAY('Daily Schedule'!$B$2,2)=5,WEEKDAY('Daily Schedule'!$B$2,2)=7),IFERROR(1*'Daily Workforce'!$K170&gt;=3,FALSE()),IFERROR(1*'Daily Workforce'!$K170&gt;=2,FALSE())),IF(AND('Daily Schedule'!$A19&gt;=46,'Daily Schedule'!$A19&lt;=52),'Daily Workforce'!$M170="Y",IFERROR(1*'Daily Workforce'!$P170&gt;=2,FALSE()))))),1,0)</f>
        <v>0</v>
      </c>
      <c r="FZ15" s="1" t="n">
        <f aca="false">IF(AND('Daily Workforce'!$N171="Y",'Daily Workforce'!$B171&lt;&gt;"",COUNTIF('Daily Schedule'!$F$5:$F18,'Daily Workforce'!$B171)=0,IF('Daily Schedule'!$A19=45,'Daily Workforce'!$J171="Y",IF(OR('Daily Schedule'!$A19=4,'Daily Schedule'!$A19=8),IF(OR(WEEKDAY('Daily Schedule'!$B$2,2)=1,WEEKDAY('Daily Schedule'!$B$2,2)=4,WEEKDAY('Daily Schedule'!$B$2,2)=5,WEEKDAY('Daily Schedule'!$B$2,2)=7),IFERROR(1*'Daily Workforce'!$K171&gt;=3,FALSE()),IFERROR(1*'Daily Workforce'!$K171&gt;=2,FALSE())),IF(AND('Daily Schedule'!$A19&gt;=46,'Daily Schedule'!$A19&lt;=52),'Daily Workforce'!$M171="Y",IFERROR(1*'Daily Workforce'!$P171&gt;=2,FALSE()))))),1,0)</f>
        <v>0</v>
      </c>
      <c r="GA15" s="1" t="n">
        <f aca="false">IF(AND('Daily Workforce'!$N172="Y",'Daily Workforce'!$B172&lt;&gt;"",COUNTIF('Daily Schedule'!$F$5:$F18,'Daily Workforce'!$B172)=0,IF('Daily Schedule'!$A19=45,'Daily Workforce'!$J172="Y",IF(OR('Daily Schedule'!$A19=4,'Daily Schedule'!$A19=8),IF(OR(WEEKDAY('Daily Schedule'!$B$2,2)=1,WEEKDAY('Daily Schedule'!$B$2,2)=4,WEEKDAY('Daily Schedule'!$B$2,2)=5,WEEKDAY('Daily Schedule'!$B$2,2)=7),IFERROR(1*'Daily Workforce'!$K172&gt;=3,FALSE()),IFERROR(1*'Daily Workforce'!$K172&gt;=2,FALSE())),IF(AND('Daily Schedule'!$A19&gt;=46,'Daily Schedule'!$A19&lt;=52),'Daily Workforce'!$M172="Y",IFERROR(1*'Daily Workforce'!$P172&gt;=2,FALSE()))))),1,0)</f>
        <v>0</v>
      </c>
      <c r="GB15" s="1" t="n">
        <f aca="false">IF(AND('Daily Workforce'!$N173="Y",'Daily Workforce'!$B173&lt;&gt;"",COUNTIF('Daily Schedule'!$F$5:$F18,'Daily Workforce'!$B173)=0,IF('Daily Schedule'!$A19=45,'Daily Workforce'!$J173="Y",IF(OR('Daily Schedule'!$A19=4,'Daily Schedule'!$A19=8),IF(OR(WEEKDAY('Daily Schedule'!$B$2,2)=1,WEEKDAY('Daily Schedule'!$B$2,2)=4,WEEKDAY('Daily Schedule'!$B$2,2)=5,WEEKDAY('Daily Schedule'!$B$2,2)=7),IFERROR(1*'Daily Workforce'!$K173&gt;=3,FALSE()),IFERROR(1*'Daily Workforce'!$K173&gt;=2,FALSE())),IF(AND('Daily Schedule'!$A19&gt;=46,'Daily Schedule'!$A19&lt;=52),'Daily Workforce'!$M173="Y",IFERROR(1*'Daily Workforce'!$P173&gt;=2,FALSE()))))),1,0)</f>
        <v>0</v>
      </c>
      <c r="GC15" s="1" t="n">
        <f aca="false">IF(AND('Daily Workforce'!$N174="Y",'Daily Workforce'!$B174&lt;&gt;"",COUNTIF('Daily Schedule'!$F$5:$F18,'Daily Workforce'!$B174)=0,IF('Daily Schedule'!$A19=45,'Daily Workforce'!$J174="Y",IF(OR('Daily Schedule'!$A19=4,'Daily Schedule'!$A19=8),IF(OR(WEEKDAY('Daily Schedule'!$B$2,2)=1,WEEKDAY('Daily Schedule'!$B$2,2)=4,WEEKDAY('Daily Schedule'!$B$2,2)=5,WEEKDAY('Daily Schedule'!$B$2,2)=7),IFERROR(1*'Daily Workforce'!$K174&gt;=3,FALSE()),IFERROR(1*'Daily Workforce'!$K174&gt;=2,FALSE())),IF(AND('Daily Schedule'!$A19&gt;=46,'Daily Schedule'!$A19&lt;=52),'Daily Workforce'!$M174="Y",IFERROR(1*'Daily Workforce'!$P174&gt;=2,FALSE()))))),1,0)</f>
        <v>0</v>
      </c>
      <c r="GD15" s="1" t="n">
        <f aca="false">IF(AND('Daily Workforce'!$N175="Y",'Daily Workforce'!$B175&lt;&gt;"",COUNTIF('Daily Schedule'!$F$5:$F18,'Daily Workforce'!$B175)=0,IF('Daily Schedule'!$A19=45,'Daily Workforce'!$J175="Y",IF(OR('Daily Schedule'!$A19=4,'Daily Schedule'!$A19=8),IF(OR(WEEKDAY('Daily Schedule'!$B$2,2)=1,WEEKDAY('Daily Schedule'!$B$2,2)=4,WEEKDAY('Daily Schedule'!$B$2,2)=5,WEEKDAY('Daily Schedule'!$B$2,2)=7),IFERROR(1*'Daily Workforce'!$K175&gt;=3,FALSE()),IFERROR(1*'Daily Workforce'!$K175&gt;=2,FALSE())),IF(AND('Daily Schedule'!$A19&gt;=46,'Daily Schedule'!$A19&lt;=52),'Daily Workforce'!$M175="Y",IFERROR(1*'Daily Workforce'!$P175&gt;=2,FALSE()))))),1,0)</f>
        <v>0</v>
      </c>
      <c r="GE15" s="1" t="n">
        <f aca="false">IF(AND('Daily Workforce'!$N176="Y",'Daily Workforce'!$B176&lt;&gt;"",COUNTIF('Daily Schedule'!$F$5:$F18,'Daily Workforce'!$B176)=0,IF('Daily Schedule'!$A19=45,'Daily Workforce'!$J176="Y",IF(OR('Daily Schedule'!$A19=4,'Daily Schedule'!$A19=8),IF(OR(WEEKDAY('Daily Schedule'!$B$2,2)=1,WEEKDAY('Daily Schedule'!$B$2,2)=4,WEEKDAY('Daily Schedule'!$B$2,2)=5,WEEKDAY('Daily Schedule'!$B$2,2)=7),IFERROR(1*'Daily Workforce'!$K176&gt;=3,FALSE()),IFERROR(1*'Daily Workforce'!$K176&gt;=2,FALSE())),IF(AND('Daily Schedule'!$A19&gt;=46,'Daily Schedule'!$A19&lt;=52),'Daily Workforce'!$M176="Y",IFERROR(1*'Daily Workforce'!$P176&gt;=2,FALSE()))))),1,0)</f>
        <v>0</v>
      </c>
      <c r="GF15" s="1" t="n">
        <f aca="false">IF(AND('Daily Workforce'!$N177="Y",'Daily Workforce'!$B177&lt;&gt;"",COUNTIF('Daily Schedule'!$F$5:$F18,'Daily Workforce'!$B177)=0,IF('Daily Schedule'!$A19=45,'Daily Workforce'!$J177="Y",IF(OR('Daily Schedule'!$A19=4,'Daily Schedule'!$A19=8),IF(OR(WEEKDAY('Daily Schedule'!$B$2,2)=1,WEEKDAY('Daily Schedule'!$B$2,2)=4,WEEKDAY('Daily Schedule'!$B$2,2)=5,WEEKDAY('Daily Schedule'!$B$2,2)=7),IFERROR(1*'Daily Workforce'!$K177&gt;=3,FALSE()),IFERROR(1*'Daily Workforce'!$K177&gt;=2,FALSE())),IF(AND('Daily Schedule'!$A19&gt;=46,'Daily Schedule'!$A19&lt;=52),'Daily Workforce'!$M177="Y",IFERROR(1*'Daily Workforce'!$P177&gt;=2,FALSE()))))),1,0)</f>
        <v>0</v>
      </c>
      <c r="GG15" s="1" t="n">
        <f aca="false">IF(AND('Daily Workforce'!$N178="Y",'Daily Workforce'!$B178&lt;&gt;"",COUNTIF('Daily Schedule'!$F$5:$F18,'Daily Workforce'!$B178)=0,IF('Daily Schedule'!$A19=45,'Daily Workforce'!$J178="Y",IF(OR('Daily Schedule'!$A19=4,'Daily Schedule'!$A19=8),IF(OR(WEEKDAY('Daily Schedule'!$B$2,2)=1,WEEKDAY('Daily Schedule'!$B$2,2)=4,WEEKDAY('Daily Schedule'!$B$2,2)=5,WEEKDAY('Daily Schedule'!$B$2,2)=7),IFERROR(1*'Daily Workforce'!$K178&gt;=3,FALSE()),IFERROR(1*'Daily Workforce'!$K178&gt;=2,FALSE())),IF(AND('Daily Schedule'!$A19&gt;=46,'Daily Schedule'!$A19&lt;=52),'Daily Workforce'!$M178="Y",IFERROR(1*'Daily Workforce'!$P178&gt;=2,FALSE()))))),1,0)</f>
        <v>0</v>
      </c>
      <c r="GH15" s="1" t="n">
        <f aca="false">IF(AND('Daily Workforce'!$N179="Y",'Daily Workforce'!$B179&lt;&gt;"",COUNTIF('Daily Schedule'!$F$5:$F18,'Daily Workforce'!$B179)=0,IF('Daily Schedule'!$A19=45,'Daily Workforce'!$J179="Y",IF(OR('Daily Schedule'!$A19=4,'Daily Schedule'!$A19=8),IF(OR(WEEKDAY('Daily Schedule'!$B$2,2)=1,WEEKDAY('Daily Schedule'!$B$2,2)=4,WEEKDAY('Daily Schedule'!$B$2,2)=5,WEEKDAY('Daily Schedule'!$B$2,2)=7),IFERROR(1*'Daily Workforce'!$K179&gt;=3,FALSE()),IFERROR(1*'Daily Workforce'!$K179&gt;=2,FALSE())),IF(AND('Daily Schedule'!$A19&gt;=46,'Daily Schedule'!$A19&lt;=52),'Daily Workforce'!$M179="Y",IFERROR(1*'Daily Workforce'!$P179&gt;=2,FALSE()))))),1,0)</f>
        <v>0</v>
      </c>
      <c r="GI15" s="1" t="n">
        <f aca="false">IF(AND('Daily Workforce'!$N180="Y",'Daily Workforce'!$B180&lt;&gt;"",COUNTIF('Daily Schedule'!$F$5:$F18,'Daily Workforce'!$B180)=0,IF('Daily Schedule'!$A19=45,'Daily Workforce'!$J180="Y",IF(OR('Daily Schedule'!$A19=4,'Daily Schedule'!$A19=8),IF(OR(WEEKDAY('Daily Schedule'!$B$2,2)=1,WEEKDAY('Daily Schedule'!$B$2,2)=4,WEEKDAY('Daily Schedule'!$B$2,2)=5,WEEKDAY('Daily Schedule'!$B$2,2)=7),IFERROR(1*'Daily Workforce'!$K180&gt;=3,FALSE()),IFERROR(1*'Daily Workforce'!$K180&gt;=2,FALSE())),IF(AND('Daily Schedule'!$A19&gt;=46,'Daily Schedule'!$A19&lt;=52),'Daily Workforce'!$M180="Y",IFERROR(1*'Daily Workforce'!$P180&gt;=2,FALSE()))))),1,0)</f>
        <v>0</v>
      </c>
      <c r="GJ15" s="1" t="n">
        <f aca="false">IF(AND('Daily Workforce'!$N181="Y",'Daily Workforce'!$B181&lt;&gt;"",COUNTIF('Daily Schedule'!$F$5:$F18,'Daily Workforce'!$B181)=0,IF('Daily Schedule'!$A19=45,'Daily Workforce'!$J181="Y",IF(OR('Daily Schedule'!$A19=4,'Daily Schedule'!$A19=8),IF(OR(WEEKDAY('Daily Schedule'!$B$2,2)=1,WEEKDAY('Daily Schedule'!$B$2,2)=4,WEEKDAY('Daily Schedule'!$B$2,2)=5,WEEKDAY('Daily Schedule'!$B$2,2)=7),IFERROR(1*'Daily Workforce'!$K181&gt;=3,FALSE()),IFERROR(1*'Daily Workforce'!$K181&gt;=2,FALSE())),IF(AND('Daily Schedule'!$A19&gt;=46,'Daily Schedule'!$A19&lt;=52),'Daily Workforce'!$M181="Y",IFERROR(1*'Daily Workforce'!$P181&gt;=2,FALSE()))))),1,0)</f>
        <v>0</v>
      </c>
      <c r="GK15" s="1" t="n">
        <f aca="false">IF(AND('Daily Workforce'!$N182="Y",'Daily Workforce'!$B182&lt;&gt;"",COUNTIF('Daily Schedule'!$F$5:$F18,'Daily Workforce'!$B182)=0,IF('Daily Schedule'!$A19=45,'Daily Workforce'!$J182="Y",IF(OR('Daily Schedule'!$A19=4,'Daily Schedule'!$A19=8),IF(OR(WEEKDAY('Daily Schedule'!$B$2,2)=1,WEEKDAY('Daily Schedule'!$B$2,2)=4,WEEKDAY('Daily Schedule'!$B$2,2)=5,WEEKDAY('Daily Schedule'!$B$2,2)=7),IFERROR(1*'Daily Workforce'!$K182&gt;=3,FALSE()),IFERROR(1*'Daily Workforce'!$K182&gt;=2,FALSE())),IF(AND('Daily Schedule'!$A19&gt;=46,'Daily Schedule'!$A19&lt;=52),'Daily Workforce'!$M182="Y",IFERROR(1*'Daily Workforce'!$P182&gt;=2,FALSE()))))),1,0)</f>
        <v>0</v>
      </c>
      <c r="GL15" s="1" t="n">
        <f aca="false">IF(AND('Daily Workforce'!$N183="Y",'Daily Workforce'!$B183&lt;&gt;"",COUNTIF('Daily Schedule'!$F$5:$F18,'Daily Workforce'!$B183)=0,IF('Daily Schedule'!$A19=45,'Daily Workforce'!$J183="Y",IF(OR('Daily Schedule'!$A19=4,'Daily Schedule'!$A19=8),IF(OR(WEEKDAY('Daily Schedule'!$B$2,2)=1,WEEKDAY('Daily Schedule'!$B$2,2)=4,WEEKDAY('Daily Schedule'!$B$2,2)=5,WEEKDAY('Daily Schedule'!$B$2,2)=7),IFERROR(1*'Daily Workforce'!$K183&gt;=3,FALSE()),IFERROR(1*'Daily Workforce'!$K183&gt;=2,FALSE())),IF(AND('Daily Schedule'!$A19&gt;=46,'Daily Schedule'!$A19&lt;=52),'Daily Workforce'!$M183="Y",IFERROR(1*'Daily Workforce'!$P183&gt;=2,FALSE()))))),1,0)</f>
        <v>0</v>
      </c>
      <c r="GM15" s="1" t="n">
        <f aca="false">IF(AND('Daily Workforce'!$N184="Y",'Daily Workforce'!$B184&lt;&gt;"",COUNTIF('Daily Schedule'!$F$5:$F18,'Daily Workforce'!$B184)=0,IF('Daily Schedule'!$A19=45,'Daily Workforce'!$J184="Y",IF(OR('Daily Schedule'!$A19=4,'Daily Schedule'!$A19=8),IF(OR(WEEKDAY('Daily Schedule'!$B$2,2)=1,WEEKDAY('Daily Schedule'!$B$2,2)=4,WEEKDAY('Daily Schedule'!$B$2,2)=5,WEEKDAY('Daily Schedule'!$B$2,2)=7),IFERROR(1*'Daily Workforce'!$K184&gt;=3,FALSE()),IFERROR(1*'Daily Workforce'!$K184&gt;=2,FALSE())),IF(AND('Daily Schedule'!$A19&gt;=46,'Daily Schedule'!$A19&lt;=52),'Daily Workforce'!$M184="Y",IFERROR(1*'Daily Workforce'!$P184&gt;=2,FALSE()))))),1,0)</f>
        <v>0</v>
      </c>
      <c r="GN15" s="1" t="n">
        <f aca="false">IF(AND('Daily Workforce'!$N185="Y",'Daily Workforce'!$B185&lt;&gt;"",COUNTIF('Daily Schedule'!$F$5:$F18,'Daily Workforce'!$B185)=0,IF('Daily Schedule'!$A19=45,'Daily Workforce'!$J185="Y",IF(OR('Daily Schedule'!$A19=4,'Daily Schedule'!$A19=8),IF(OR(WEEKDAY('Daily Schedule'!$B$2,2)=1,WEEKDAY('Daily Schedule'!$B$2,2)=4,WEEKDAY('Daily Schedule'!$B$2,2)=5,WEEKDAY('Daily Schedule'!$B$2,2)=7),IFERROR(1*'Daily Workforce'!$K185&gt;=3,FALSE()),IFERROR(1*'Daily Workforce'!$K185&gt;=2,FALSE())),IF(AND('Daily Schedule'!$A19&gt;=46,'Daily Schedule'!$A19&lt;=52),'Daily Workforce'!$M185="Y",IFERROR(1*'Daily Workforce'!$P185&gt;=2,FALSE()))))),1,0)</f>
        <v>0</v>
      </c>
      <c r="GO15" s="1" t="n">
        <f aca="false">IF(AND('Daily Workforce'!$N186="Y",'Daily Workforce'!$B186&lt;&gt;"",COUNTIF('Daily Schedule'!$F$5:$F18,'Daily Workforce'!$B186)=0,IF('Daily Schedule'!$A19=45,'Daily Workforce'!$J186="Y",IF(OR('Daily Schedule'!$A19=4,'Daily Schedule'!$A19=8),IF(OR(WEEKDAY('Daily Schedule'!$B$2,2)=1,WEEKDAY('Daily Schedule'!$B$2,2)=4,WEEKDAY('Daily Schedule'!$B$2,2)=5,WEEKDAY('Daily Schedule'!$B$2,2)=7),IFERROR(1*'Daily Workforce'!$K186&gt;=3,FALSE()),IFERROR(1*'Daily Workforce'!$K186&gt;=2,FALSE())),IF(AND('Daily Schedule'!$A19&gt;=46,'Daily Schedule'!$A19&lt;=52),'Daily Workforce'!$M186="Y",IFERROR(1*'Daily Workforce'!$P186&gt;=2,FALSE()))))),1,0)</f>
        <v>0</v>
      </c>
      <c r="GP15" s="1" t="n">
        <f aca="false">IF(AND('Daily Workforce'!$N187="Y",'Daily Workforce'!$B187&lt;&gt;"",COUNTIF('Daily Schedule'!$F$5:$F18,'Daily Workforce'!$B187)=0,IF('Daily Schedule'!$A19=45,'Daily Workforce'!$J187="Y",IF(OR('Daily Schedule'!$A19=4,'Daily Schedule'!$A19=8),IF(OR(WEEKDAY('Daily Schedule'!$B$2,2)=1,WEEKDAY('Daily Schedule'!$B$2,2)=4,WEEKDAY('Daily Schedule'!$B$2,2)=5,WEEKDAY('Daily Schedule'!$B$2,2)=7),IFERROR(1*'Daily Workforce'!$K187&gt;=3,FALSE()),IFERROR(1*'Daily Workforce'!$K187&gt;=2,FALSE())),IF(AND('Daily Schedule'!$A19&gt;=46,'Daily Schedule'!$A19&lt;=52),'Daily Workforce'!$M187="Y",IFERROR(1*'Daily Workforce'!$P187&gt;=2,FALSE()))))),1,0)</f>
        <v>0</v>
      </c>
      <c r="GQ15" s="1" t="n">
        <f aca="false">IF(AND('Daily Workforce'!$N188="Y",'Daily Workforce'!$B188&lt;&gt;"",COUNTIF('Daily Schedule'!$F$5:$F18,'Daily Workforce'!$B188)=0,IF('Daily Schedule'!$A19=45,'Daily Workforce'!$J188="Y",IF(OR('Daily Schedule'!$A19=4,'Daily Schedule'!$A19=8),IF(OR(WEEKDAY('Daily Schedule'!$B$2,2)=1,WEEKDAY('Daily Schedule'!$B$2,2)=4,WEEKDAY('Daily Schedule'!$B$2,2)=5,WEEKDAY('Daily Schedule'!$B$2,2)=7),IFERROR(1*'Daily Workforce'!$K188&gt;=3,FALSE()),IFERROR(1*'Daily Workforce'!$K188&gt;=2,FALSE())),IF(AND('Daily Schedule'!$A19&gt;=46,'Daily Schedule'!$A19&lt;=52),'Daily Workforce'!$M188="Y",IFERROR(1*'Daily Workforce'!$P188&gt;=2,FALSE()))))),1,0)</f>
        <v>0</v>
      </c>
      <c r="GR15" s="1" t="n">
        <f aca="false">IF(AND('Daily Workforce'!$N189="Y",'Daily Workforce'!$B189&lt;&gt;"",COUNTIF('Daily Schedule'!$F$5:$F18,'Daily Workforce'!$B189)=0,IF('Daily Schedule'!$A19=45,'Daily Workforce'!$J189="Y",IF(OR('Daily Schedule'!$A19=4,'Daily Schedule'!$A19=8),IF(OR(WEEKDAY('Daily Schedule'!$B$2,2)=1,WEEKDAY('Daily Schedule'!$B$2,2)=4,WEEKDAY('Daily Schedule'!$B$2,2)=5,WEEKDAY('Daily Schedule'!$B$2,2)=7),IFERROR(1*'Daily Workforce'!$K189&gt;=3,FALSE()),IFERROR(1*'Daily Workforce'!$K189&gt;=2,FALSE())),IF(AND('Daily Schedule'!$A19&gt;=46,'Daily Schedule'!$A19&lt;=52),'Daily Workforce'!$M189="Y",IFERROR(1*'Daily Workforce'!$P189&gt;=2,FALSE()))))),1,0)</f>
        <v>0</v>
      </c>
      <c r="GS15" s="1" t="n">
        <f aca="false">IF(AND('Daily Workforce'!$N190="Y",'Daily Workforce'!$B190&lt;&gt;"",COUNTIF('Daily Schedule'!$F$5:$F18,'Daily Workforce'!$B190)=0,IF('Daily Schedule'!$A19=45,'Daily Workforce'!$J190="Y",IF(OR('Daily Schedule'!$A19=4,'Daily Schedule'!$A19=8),IF(OR(WEEKDAY('Daily Schedule'!$B$2,2)=1,WEEKDAY('Daily Schedule'!$B$2,2)=4,WEEKDAY('Daily Schedule'!$B$2,2)=5,WEEKDAY('Daily Schedule'!$B$2,2)=7),IFERROR(1*'Daily Workforce'!$K190&gt;=3,FALSE()),IFERROR(1*'Daily Workforce'!$K190&gt;=2,FALSE())),IF(AND('Daily Schedule'!$A19&gt;=46,'Daily Schedule'!$A19&lt;=52),'Daily Workforce'!$M190="Y",IFERROR(1*'Daily Workforce'!$P190&gt;=2,FALSE()))))),1,0)</f>
        <v>0</v>
      </c>
      <c r="GT15" s="1" t="n">
        <f aca="false">IF(AND('Daily Workforce'!$N191="Y",'Daily Workforce'!$B191&lt;&gt;"",COUNTIF('Daily Schedule'!$F$5:$F18,'Daily Workforce'!$B191)=0,IF('Daily Schedule'!$A19=45,'Daily Workforce'!$J191="Y",IF(OR('Daily Schedule'!$A19=4,'Daily Schedule'!$A19=8),IF(OR(WEEKDAY('Daily Schedule'!$B$2,2)=1,WEEKDAY('Daily Schedule'!$B$2,2)=4,WEEKDAY('Daily Schedule'!$B$2,2)=5,WEEKDAY('Daily Schedule'!$B$2,2)=7),IFERROR(1*'Daily Workforce'!$K191&gt;=3,FALSE()),IFERROR(1*'Daily Workforce'!$K191&gt;=2,FALSE())),IF(AND('Daily Schedule'!$A19&gt;=46,'Daily Schedule'!$A19&lt;=52),'Daily Workforce'!$M191="Y",IFERROR(1*'Daily Workforce'!$P191&gt;=2,FALSE()))))),1,0)</f>
        <v>0</v>
      </c>
      <c r="GU15" s="1" t="n">
        <f aca="false">IF(AND('Daily Workforce'!$N192="Y",'Daily Workforce'!$B192&lt;&gt;"",COUNTIF('Daily Schedule'!$F$5:$F18,'Daily Workforce'!$B192)=0,IF('Daily Schedule'!$A19=45,'Daily Workforce'!$J192="Y",IF(OR('Daily Schedule'!$A19=4,'Daily Schedule'!$A19=8),IF(OR(WEEKDAY('Daily Schedule'!$B$2,2)=1,WEEKDAY('Daily Schedule'!$B$2,2)=4,WEEKDAY('Daily Schedule'!$B$2,2)=5,WEEKDAY('Daily Schedule'!$B$2,2)=7),IFERROR(1*'Daily Workforce'!$K192&gt;=3,FALSE()),IFERROR(1*'Daily Workforce'!$K192&gt;=2,FALSE())),IF(AND('Daily Schedule'!$A19&gt;=46,'Daily Schedule'!$A19&lt;=52),'Daily Workforce'!$M192="Y",IFERROR(1*'Daily Workforce'!$P192&gt;=2,FALSE()))))),1,0)</f>
        <v>0</v>
      </c>
      <c r="GV15" s="1" t="n">
        <f aca="false">IF(AND('Daily Workforce'!$N193="Y",'Daily Workforce'!$B193&lt;&gt;"",COUNTIF('Daily Schedule'!$F$5:$F18,'Daily Workforce'!$B193)=0,IF('Daily Schedule'!$A19=45,'Daily Workforce'!$J193="Y",IF(OR('Daily Schedule'!$A19=4,'Daily Schedule'!$A19=8),IF(OR(WEEKDAY('Daily Schedule'!$B$2,2)=1,WEEKDAY('Daily Schedule'!$B$2,2)=4,WEEKDAY('Daily Schedule'!$B$2,2)=5,WEEKDAY('Daily Schedule'!$B$2,2)=7),IFERROR(1*'Daily Workforce'!$K193&gt;=3,FALSE()),IFERROR(1*'Daily Workforce'!$K193&gt;=2,FALSE())),IF(AND('Daily Schedule'!$A19&gt;=46,'Daily Schedule'!$A19&lt;=52),'Daily Workforce'!$M193="Y",IFERROR(1*'Daily Workforce'!$P193&gt;=2,FALSE()))))),1,0)</f>
        <v>0</v>
      </c>
      <c r="GW15" s="1" t="n">
        <f aca="false">IF(AND('Daily Workforce'!$N194="Y",'Daily Workforce'!$B194&lt;&gt;"",COUNTIF('Daily Schedule'!$F$5:$F18,'Daily Workforce'!$B194)=0,IF('Daily Schedule'!$A19=45,'Daily Workforce'!$J194="Y",IF(OR('Daily Schedule'!$A19=4,'Daily Schedule'!$A19=8),IF(OR(WEEKDAY('Daily Schedule'!$B$2,2)=1,WEEKDAY('Daily Schedule'!$B$2,2)=4,WEEKDAY('Daily Schedule'!$B$2,2)=5,WEEKDAY('Daily Schedule'!$B$2,2)=7),IFERROR(1*'Daily Workforce'!$K194&gt;=3,FALSE()),IFERROR(1*'Daily Workforce'!$K194&gt;=2,FALSE())),IF(AND('Daily Schedule'!$A19&gt;=46,'Daily Schedule'!$A19&lt;=52),'Daily Workforce'!$M194="Y",IFERROR(1*'Daily Workforce'!$P194&gt;=2,FALSE()))))),1,0)</f>
        <v>0</v>
      </c>
      <c r="GX15" s="1" t="n">
        <f aca="false">IF(AND('Daily Workforce'!$N195="Y",'Daily Workforce'!$B195&lt;&gt;"",COUNTIF('Daily Schedule'!$F$5:$F18,'Daily Workforce'!$B195)=0,IF('Daily Schedule'!$A19=45,'Daily Workforce'!$J195="Y",IF(OR('Daily Schedule'!$A19=4,'Daily Schedule'!$A19=8),IF(OR(WEEKDAY('Daily Schedule'!$B$2,2)=1,WEEKDAY('Daily Schedule'!$B$2,2)=4,WEEKDAY('Daily Schedule'!$B$2,2)=5,WEEKDAY('Daily Schedule'!$B$2,2)=7),IFERROR(1*'Daily Workforce'!$K195&gt;=3,FALSE()),IFERROR(1*'Daily Workforce'!$K195&gt;=2,FALSE())),IF(AND('Daily Schedule'!$A19&gt;=46,'Daily Schedule'!$A19&lt;=52),'Daily Workforce'!$M195="Y",IFERROR(1*'Daily Workforce'!$P195&gt;=2,FALSE()))))),1,0)</f>
        <v>0</v>
      </c>
      <c r="GY15" s="1" t="n">
        <f aca="false">IF(AND('Daily Workforce'!$N196="Y",'Daily Workforce'!$B196&lt;&gt;"",COUNTIF('Daily Schedule'!$F$5:$F18,'Daily Workforce'!$B196)=0,IF('Daily Schedule'!$A19=45,'Daily Workforce'!$J196="Y",IF(OR('Daily Schedule'!$A19=4,'Daily Schedule'!$A19=8),IF(OR(WEEKDAY('Daily Schedule'!$B$2,2)=1,WEEKDAY('Daily Schedule'!$B$2,2)=4,WEEKDAY('Daily Schedule'!$B$2,2)=5,WEEKDAY('Daily Schedule'!$B$2,2)=7),IFERROR(1*'Daily Workforce'!$K196&gt;=3,FALSE()),IFERROR(1*'Daily Workforce'!$K196&gt;=2,FALSE())),IF(AND('Daily Schedule'!$A19&gt;=46,'Daily Schedule'!$A19&lt;=52),'Daily Workforce'!$M196="Y",IFERROR(1*'Daily Workforce'!$P196&gt;=2,FALSE()))))),1,0)</f>
        <v>0</v>
      </c>
      <c r="GZ15" s="1" t="n">
        <f aca="false">IF(AND('Daily Workforce'!$N197="Y",'Daily Workforce'!$B197&lt;&gt;"",COUNTIF('Daily Schedule'!$F$5:$F18,'Daily Workforce'!$B197)=0,IF('Daily Schedule'!$A19=45,'Daily Workforce'!$J197="Y",IF(OR('Daily Schedule'!$A19=4,'Daily Schedule'!$A19=8),IF(OR(WEEKDAY('Daily Schedule'!$B$2,2)=1,WEEKDAY('Daily Schedule'!$B$2,2)=4,WEEKDAY('Daily Schedule'!$B$2,2)=5,WEEKDAY('Daily Schedule'!$B$2,2)=7),IFERROR(1*'Daily Workforce'!$K197&gt;=3,FALSE()),IFERROR(1*'Daily Workforce'!$K197&gt;=2,FALSE())),IF(AND('Daily Schedule'!$A19&gt;=46,'Daily Schedule'!$A19&lt;=52),'Daily Workforce'!$M197="Y",IFERROR(1*'Daily Workforce'!$P197&gt;=2,FALSE()))))),1,0)</f>
        <v>0</v>
      </c>
      <c r="HA15" s="1" t="n">
        <f aca="false">IF(AND('Daily Workforce'!$N198="Y",'Daily Workforce'!$B198&lt;&gt;"",COUNTIF('Daily Schedule'!$F$5:$F18,'Daily Workforce'!$B198)=0,IF('Daily Schedule'!$A19=45,'Daily Workforce'!$J198="Y",IF(OR('Daily Schedule'!$A19=4,'Daily Schedule'!$A19=8),IF(OR(WEEKDAY('Daily Schedule'!$B$2,2)=1,WEEKDAY('Daily Schedule'!$B$2,2)=4,WEEKDAY('Daily Schedule'!$B$2,2)=5,WEEKDAY('Daily Schedule'!$B$2,2)=7),IFERROR(1*'Daily Workforce'!$K198&gt;=3,FALSE()),IFERROR(1*'Daily Workforce'!$K198&gt;=2,FALSE())),IF(AND('Daily Schedule'!$A19&gt;=46,'Daily Schedule'!$A19&lt;=52),'Daily Workforce'!$M198="Y",IFERROR(1*'Daily Workforce'!$P198&gt;=2,FALSE()))))),1,0)</f>
        <v>0</v>
      </c>
      <c r="HB15" s="1" t="n">
        <f aca="false">IF(AND('Daily Workforce'!$N199="Y",'Daily Workforce'!$B199&lt;&gt;"",COUNTIF('Daily Schedule'!$F$5:$F18,'Daily Workforce'!$B199)=0,IF('Daily Schedule'!$A19=45,'Daily Workforce'!$J199="Y",IF(OR('Daily Schedule'!$A19=4,'Daily Schedule'!$A19=8),IF(OR(WEEKDAY('Daily Schedule'!$B$2,2)=1,WEEKDAY('Daily Schedule'!$B$2,2)=4,WEEKDAY('Daily Schedule'!$B$2,2)=5,WEEKDAY('Daily Schedule'!$B$2,2)=7),IFERROR(1*'Daily Workforce'!$K199&gt;=3,FALSE()),IFERROR(1*'Daily Workforce'!$K199&gt;=2,FALSE())),IF(AND('Daily Schedule'!$A19&gt;=46,'Daily Schedule'!$A19&lt;=52),'Daily Workforce'!$M199="Y",IFERROR(1*'Daily Workforce'!$P199&gt;=2,FALSE()))))),1,0)</f>
        <v>0</v>
      </c>
      <c r="HC15" s="1" t="n">
        <f aca="false">IF(AND('Daily Workforce'!$N200="Y",'Daily Workforce'!$B200&lt;&gt;"",COUNTIF('Daily Schedule'!$F$5:$F18,'Daily Workforce'!$B200)=0,IF('Daily Schedule'!$A19=45,'Daily Workforce'!$J200="Y",IF(OR('Daily Schedule'!$A19=4,'Daily Schedule'!$A19=8),IF(OR(WEEKDAY('Daily Schedule'!$B$2,2)=1,WEEKDAY('Daily Schedule'!$B$2,2)=4,WEEKDAY('Daily Schedule'!$B$2,2)=5,WEEKDAY('Daily Schedule'!$B$2,2)=7),IFERROR(1*'Daily Workforce'!$K200&gt;=3,FALSE()),IFERROR(1*'Daily Workforce'!$K200&gt;=2,FALSE())),IF(AND('Daily Schedule'!$A19&gt;=46,'Daily Schedule'!$A19&lt;=52),'Daily Workforce'!$M200="Y",IFERROR(1*'Daily Workforce'!$P200&gt;=2,FALSE()))))),1,0)</f>
        <v>0</v>
      </c>
      <c r="HD15" s="1" t="n">
        <f aca="false">IF(AND('Daily Workforce'!$N201="Y",'Daily Workforce'!$B201&lt;&gt;"",COUNTIF('Daily Schedule'!$F$5:$F18,'Daily Workforce'!$B201)=0,IF('Daily Schedule'!$A19=45,'Daily Workforce'!$J201="Y",IF(OR('Daily Schedule'!$A19=4,'Daily Schedule'!$A19=8),IF(OR(WEEKDAY('Daily Schedule'!$B$2,2)=1,WEEKDAY('Daily Schedule'!$B$2,2)=4,WEEKDAY('Daily Schedule'!$B$2,2)=5,WEEKDAY('Daily Schedule'!$B$2,2)=7),IFERROR(1*'Daily Workforce'!$K201&gt;=3,FALSE()),IFERROR(1*'Daily Workforce'!$K201&gt;=2,FALSE())),IF(AND('Daily Schedule'!$A19&gt;=46,'Daily Schedule'!$A19&lt;=52),'Daily Workforce'!$M201="Y",IFERROR(1*'Daily Workforce'!$P201&gt;=2,FALSE()))))),1,0)</f>
        <v>0</v>
      </c>
      <c r="HE15" s="1" t="n">
        <f aca="false">IF(AND('Daily Workforce'!$N202="Y",'Daily Workforce'!$B202&lt;&gt;"",COUNTIF('Daily Schedule'!$F$5:$F18,'Daily Workforce'!$B202)=0,IF('Daily Schedule'!$A19=45,'Daily Workforce'!$J202="Y",IF(OR('Daily Schedule'!$A19=4,'Daily Schedule'!$A19=8),IF(OR(WEEKDAY('Daily Schedule'!$B$2,2)=1,WEEKDAY('Daily Schedule'!$B$2,2)=4,WEEKDAY('Daily Schedule'!$B$2,2)=5,WEEKDAY('Daily Schedule'!$B$2,2)=7),IFERROR(1*'Daily Workforce'!$K202&gt;=3,FALSE()),IFERROR(1*'Daily Workforce'!$K202&gt;=2,FALSE())),IF(AND('Daily Schedule'!$A19&gt;=46,'Daily Schedule'!$A19&lt;=52),'Daily Workforce'!$M202="Y",IFERROR(1*'Daily Workforce'!$P202&gt;=2,FALSE()))))),1,0)</f>
        <v>0</v>
      </c>
      <c r="HF15" s="1" t="n">
        <f aca="false">IF(AND('Daily Workforce'!$N203="Y",'Daily Workforce'!$B203&lt;&gt;"",COUNTIF('Daily Schedule'!$F$5:$F18,'Daily Workforce'!$B203)=0,IF('Daily Schedule'!$A19=45,'Daily Workforce'!$J203="Y",IF(OR('Daily Schedule'!$A19=4,'Daily Schedule'!$A19=8),IF(OR(WEEKDAY('Daily Schedule'!$B$2,2)=1,WEEKDAY('Daily Schedule'!$B$2,2)=4,WEEKDAY('Daily Schedule'!$B$2,2)=5,WEEKDAY('Daily Schedule'!$B$2,2)=7),IFERROR(1*'Daily Workforce'!$K203&gt;=3,FALSE()),IFERROR(1*'Daily Workforce'!$K203&gt;=2,FALSE())),IF(AND('Daily Schedule'!$A19&gt;=46,'Daily Schedule'!$A19&lt;=52),'Daily Workforce'!$M203="Y",IFERROR(1*'Daily Workforce'!$P203&gt;=2,FALSE()))))),1,0)</f>
        <v>0</v>
      </c>
      <c r="HG15" s="1" t="n">
        <f aca="false">IF(AND('Daily Workforce'!$N204="Y",'Daily Workforce'!$B204&lt;&gt;"",COUNTIF('Daily Schedule'!$F$5:$F18,'Daily Workforce'!$B204)=0,IF('Daily Schedule'!$A19=45,'Daily Workforce'!$J204="Y",IF(OR('Daily Schedule'!$A19=4,'Daily Schedule'!$A19=8),IF(OR(WEEKDAY('Daily Schedule'!$B$2,2)=1,WEEKDAY('Daily Schedule'!$B$2,2)=4,WEEKDAY('Daily Schedule'!$B$2,2)=5,WEEKDAY('Daily Schedule'!$B$2,2)=7),IFERROR(1*'Daily Workforce'!$K204&gt;=3,FALSE()),IFERROR(1*'Daily Workforce'!$K204&gt;=2,FALSE())),IF(AND('Daily Schedule'!$A19&gt;=46,'Daily Schedule'!$A19&lt;=52),'Daily Workforce'!$M204="Y",IFERROR(1*'Daily Workforce'!$P204&gt;=2,FALSE()))))),1,0)</f>
        <v>0</v>
      </c>
      <c r="HH15" s="1" t="n">
        <f aca="false">IF(AND('Daily Workforce'!$N205="Y",'Daily Workforce'!$B205&lt;&gt;"",COUNTIF('Daily Schedule'!$F$5:$F18,'Daily Workforce'!$B205)=0,IF('Daily Schedule'!$A19=45,'Daily Workforce'!$J205="Y",IF(OR('Daily Schedule'!$A19=4,'Daily Schedule'!$A19=8),IF(OR(WEEKDAY('Daily Schedule'!$B$2,2)=1,WEEKDAY('Daily Schedule'!$B$2,2)=4,WEEKDAY('Daily Schedule'!$B$2,2)=5,WEEKDAY('Daily Schedule'!$B$2,2)=7),IFERROR(1*'Daily Workforce'!$K205&gt;=3,FALSE()),IFERROR(1*'Daily Workforce'!$K205&gt;=2,FALSE())),IF(AND('Daily Schedule'!$A19&gt;=46,'Daily Schedule'!$A19&lt;=52),'Daily Workforce'!$M205="Y",IFERROR(1*'Daily Workforce'!$P205&gt;=2,FALSE()))))),1,0)</f>
        <v>0</v>
      </c>
    </row>
    <row r="16" customFormat="false" ht="15" hidden="false" customHeight="true" outlineLevel="0" collapsed="false">
      <c r="L16" s="1" t="s">
        <v>472</v>
      </c>
      <c r="O16" s="1" t="n">
        <f aca="false">IF(AND('Employee Master'!$G16="Y",ISERROR(SEARCH(TEXT('Daily Workforce'!$B$2,"ddd"),'Employee Master'!$D16)),IF('Daily Workforce'!$E$2="",TRUE(),'Employee Master'!$I16='Daily Workforce'!$E$2)),'Employee Master'!$K16*1000+ROW()-1,"")</f>
        <v>3015</v>
      </c>
      <c r="P16" s="1" t="n">
        <f aca="false">IF($O16="","",COUNTIF($O$2:$O$159,"&lt;="&amp;$O16))</f>
        <v>61</v>
      </c>
      <c r="Q16" s="1" t="n">
        <f aca="false">IF(AND('Daily Workforce'!$N6="Y",'Daily Workforce'!$B6&lt;&gt;"",COUNTIF('Daily Schedule'!$F$5:$F19,'Daily Workforce'!$B6)=0,IF('Daily Schedule'!$A20=45,'Daily Workforce'!$J6="Y",IF(OR('Daily Schedule'!$A20=4,'Daily Schedule'!$A20=8),IF(OR(WEEKDAY('Daily Schedule'!$B$2,2)=1,WEEKDAY('Daily Schedule'!$B$2,2)=4,WEEKDAY('Daily Schedule'!$B$2,2)=5,WEEKDAY('Daily Schedule'!$B$2,2)=7),IFERROR(1*'Daily Workforce'!$K6&gt;=3,FALSE()),IFERROR(1*'Daily Workforce'!$K6&gt;=2,FALSE())),IF(AND('Daily Schedule'!$A20&gt;=46,'Daily Schedule'!$A20&lt;=52),'Daily Workforce'!$M6="Y",IFERROR(1*'Daily Workforce'!$P6&gt;=2,FALSE()))))),1,0)</f>
        <v>0</v>
      </c>
      <c r="R16" s="1" t="n">
        <f aca="false">IF(AND('Daily Workforce'!$N7="Y",'Daily Workforce'!$B7&lt;&gt;"",COUNTIF('Daily Schedule'!$F$5:$F19,'Daily Workforce'!$B7)=0,IF('Daily Schedule'!$A20=45,'Daily Workforce'!$J7="Y",IF(OR('Daily Schedule'!$A20=4,'Daily Schedule'!$A20=8),IF(OR(WEEKDAY('Daily Schedule'!$B$2,2)=1,WEEKDAY('Daily Schedule'!$B$2,2)=4,WEEKDAY('Daily Schedule'!$B$2,2)=5,WEEKDAY('Daily Schedule'!$B$2,2)=7),IFERROR(1*'Daily Workforce'!$K7&gt;=3,FALSE()),IFERROR(1*'Daily Workforce'!$K7&gt;=2,FALSE())),IF(AND('Daily Schedule'!$A20&gt;=46,'Daily Schedule'!$A20&lt;=52),'Daily Workforce'!$M7="Y",IFERROR(1*'Daily Workforce'!$P7&gt;=2,FALSE()))))),1,0)</f>
        <v>0</v>
      </c>
      <c r="S16" s="1" t="n">
        <f aca="false">IF(AND('Daily Workforce'!$N8="Y",'Daily Workforce'!$B8&lt;&gt;"",COUNTIF('Daily Schedule'!$F$5:$F19,'Daily Workforce'!$B8)=0,IF('Daily Schedule'!$A20=45,'Daily Workforce'!$J8="Y",IF(OR('Daily Schedule'!$A20=4,'Daily Schedule'!$A20=8),IF(OR(WEEKDAY('Daily Schedule'!$B$2,2)=1,WEEKDAY('Daily Schedule'!$B$2,2)=4,WEEKDAY('Daily Schedule'!$B$2,2)=5,WEEKDAY('Daily Schedule'!$B$2,2)=7),IFERROR(1*'Daily Workforce'!$K8&gt;=3,FALSE()),IFERROR(1*'Daily Workforce'!$K8&gt;=2,FALSE())),IF(AND('Daily Schedule'!$A20&gt;=46,'Daily Schedule'!$A20&lt;=52),'Daily Workforce'!$M8="Y",IFERROR(1*'Daily Workforce'!$P8&gt;=2,FALSE()))))),1,0)</f>
        <v>0</v>
      </c>
      <c r="T16" s="1" t="n">
        <f aca="false">IF(AND('Daily Workforce'!$N9="Y",'Daily Workforce'!$B9&lt;&gt;"",COUNTIF('Daily Schedule'!$F$5:$F19,'Daily Workforce'!$B9)=0,IF('Daily Schedule'!$A20=45,'Daily Workforce'!$J9="Y",IF(OR('Daily Schedule'!$A20=4,'Daily Schedule'!$A20=8),IF(OR(WEEKDAY('Daily Schedule'!$B$2,2)=1,WEEKDAY('Daily Schedule'!$B$2,2)=4,WEEKDAY('Daily Schedule'!$B$2,2)=5,WEEKDAY('Daily Schedule'!$B$2,2)=7),IFERROR(1*'Daily Workforce'!$K9&gt;=3,FALSE()),IFERROR(1*'Daily Workforce'!$K9&gt;=2,FALSE())),IF(AND('Daily Schedule'!$A20&gt;=46,'Daily Schedule'!$A20&lt;=52),'Daily Workforce'!$M9="Y",IFERROR(1*'Daily Workforce'!$P9&gt;=2,FALSE()))))),1,0)</f>
        <v>0</v>
      </c>
      <c r="U16" s="1" t="n">
        <f aca="false">IF(AND('Daily Workforce'!$N10="Y",'Daily Workforce'!$B10&lt;&gt;"",COUNTIF('Daily Schedule'!$F$5:$F19,'Daily Workforce'!$B10)=0,IF('Daily Schedule'!$A20=45,'Daily Workforce'!$J10="Y",IF(OR('Daily Schedule'!$A20=4,'Daily Schedule'!$A20=8),IF(OR(WEEKDAY('Daily Schedule'!$B$2,2)=1,WEEKDAY('Daily Schedule'!$B$2,2)=4,WEEKDAY('Daily Schedule'!$B$2,2)=5,WEEKDAY('Daily Schedule'!$B$2,2)=7),IFERROR(1*'Daily Workforce'!$K10&gt;=3,FALSE()),IFERROR(1*'Daily Workforce'!$K10&gt;=2,FALSE())),IF(AND('Daily Schedule'!$A20&gt;=46,'Daily Schedule'!$A20&lt;=52),'Daily Workforce'!$M10="Y",IFERROR(1*'Daily Workforce'!$P10&gt;=2,FALSE()))))),1,0)</f>
        <v>0</v>
      </c>
      <c r="V16" s="1" t="n">
        <f aca="false">IF(AND('Daily Workforce'!$N11="Y",'Daily Workforce'!$B11&lt;&gt;"",COUNTIF('Daily Schedule'!$F$5:$F19,'Daily Workforce'!$B11)=0,IF('Daily Schedule'!$A20=45,'Daily Workforce'!$J11="Y",IF(OR('Daily Schedule'!$A20=4,'Daily Schedule'!$A20=8),IF(OR(WEEKDAY('Daily Schedule'!$B$2,2)=1,WEEKDAY('Daily Schedule'!$B$2,2)=4,WEEKDAY('Daily Schedule'!$B$2,2)=5,WEEKDAY('Daily Schedule'!$B$2,2)=7),IFERROR(1*'Daily Workforce'!$K11&gt;=3,FALSE()),IFERROR(1*'Daily Workforce'!$K11&gt;=2,FALSE())),IF(AND('Daily Schedule'!$A20&gt;=46,'Daily Schedule'!$A20&lt;=52),'Daily Workforce'!$M11="Y",IFERROR(1*'Daily Workforce'!$P11&gt;=2,FALSE()))))),1,0)</f>
        <v>0</v>
      </c>
      <c r="W16" s="1" t="n">
        <f aca="false">IF(AND('Daily Workforce'!$N12="Y",'Daily Workforce'!$B12&lt;&gt;"",COUNTIF('Daily Schedule'!$F$5:$F19,'Daily Workforce'!$B12)=0,IF('Daily Schedule'!$A20=45,'Daily Workforce'!$J12="Y",IF(OR('Daily Schedule'!$A20=4,'Daily Schedule'!$A20=8),IF(OR(WEEKDAY('Daily Schedule'!$B$2,2)=1,WEEKDAY('Daily Schedule'!$B$2,2)=4,WEEKDAY('Daily Schedule'!$B$2,2)=5,WEEKDAY('Daily Schedule'!$B$2,2)=7),IFERROR(1*'Daily Workforce'!$K12&gt;=3,FALSE()),IFERROR(1*'Daily Workforce'!$K12&gt;=2,FALSE())),IF(AND('Daily Schedule'!$A20&gt;=46,'Daily Schedule'!$A20&lt;=52),'Daily Workforce'!$M12="Y",IFERROR(1*'Daily Workforce'!$P12&gt;=2,FALSE()))))),1,0)</f>
        <v>0</v>
      </c>
      <c r="X16" s="1" t="n">
        <f aca="false">IF(AND('Daily Workforce'!$N13="Y",'Daily Workforce'!$B13&lt;&gt;"",COUNTIF('Daily Schedule'!$F$5:$F19,'Daily Workforce'!$B13)=0,IF('Daily Schedule'!$A20=45,'Daily Workforce'!$J13="Y",IF(OR('Daily Schedule'!$A20=4,'Daily Schedule'!$A20=8),IF(OR(WEEKDAY('Daily Schedule'!$B$2,2)=1,WEEKDAY('Daily Schedule'!$B$2,2)=4,WEEKDAY('Daily Schedule'!$B$2,2)=5,WEEKDAY('Daily Schedule'!$B$2,2)=7),IFERROR(1*'Daily Workforce'!$K13&gt;=3,FALSE()),IFERROR(1*'Daily Workforce'!$K13&gt;=2,FALSE())),IF(AND('Daily Schedule'!$A20&gt;=46,'Daily Schedule'!$A20&lt;=52),'Daily Workforce'!$M13="Y",IFERROR(1*'Daily Workforce'!$P13&gt;=2,FALSE()))))),1,0)</f>
        <v>0</v>
      </c>
      <c r="Y16" s="1" t="n">
        <f aca="false">IF(AND('Daily Workforce'!$N14="Y",'Daily Workforce'!$B14&lt;&gt;"",COUNTIF('Daily Schedule'!$F$5:$F19,'Daily Workforce'!$B14)=0,IF('Daily Schedule'!$A20=45,'Daily Workforce'!$J14="Y",IF(OR('Daily Schedule'!$A20=4,'Daily Schedule'!$A20=8),IF(OR(WEEKDAY('Daily Schedule'!$B$2,2)=1,WEEKDAY('Daily Schedule'!$B$2,2)=4,WEEKDAY('Daily Schedule'!$B$2,2)=5,WEEKDAY('Daily Schedule'!$B$2,2)=7),IFERROR(1*'Daily Workforce'!$K14&gt;=3,FALSE()),IFERROR(1*'Daily Workforce'!$K14&gt;=2,FALSE())),IF(AND('Daily Schedule'!$A20&gt;=46,'Daily Schedule'!$A20&lt;=52),'Daily Workforce'!$M14="Y",IFERROR(1*'Daily Workforce'!$P14&gt;=2,FALSE()))))),1,0)</f>
        <v>0</v>
      </c>
      <c r="Z16" s="1" t="n">
        <f aca="false">IF(AND('Daily Workforce'!$N15="Y",'Daily Workforce'!$B15&lt;&gt;"",COUNTIF('Daily Schedule'!$F$5:$F19,'Daily Workforce'!$B15)=0,IF('Daily Schedule'!$A20=45,'Daily Workforce'!$J15="Y",IF(OR('Daily Schedule'!$A20=4,'Daily Schedule'!$A20=8),IF(OR(WEEKDAY('Daily Schedule'!$B$2,2)=1,WEEKDAY('Daily Schedule'!$B$2,2)=4,WEEKDAY('Daily Schedule'!$B$2,2)=5,WEEKDAY('Daily Schedule'!$B$2,2)=7),IFERROR(1*'Daily Workforce'!$K15&gt;=3,FALSE()),IFERROR(1*'Daily Workforce'!$K15&gt;=2,FALSE())),IF(AND('Daily Schedule'!$A20&gt;=46,'Daily Schedule'!$A20&lt;=52),'Daily Workforce'!$M15="Y",IFERROR(1*'Daily Workforce'!$P15&gt;=2,FALSE()))))),1,0)</f>
        <v>0</v>
      </c>
      <c r="AA16" s="1" t="n">
        <f aca="false">IF(AND('Daily Workforce'!$N16="Y",'Daily Workforce'!$B16&lt;&gt;"",COUNTIF('Daily Schedule'!$F$5:$F19,'Daily Workforce'!$B16)=0,IF('Daily Schedule'!$A20=45,'Daily Workforce'!$J16="Y",IF(OR('Daily Schedule'!$A20=4,'Daily Schedule'!$A20=8),IF(OR(WEEKDAY('Daily Schedule'!$B$2,2)=1,WEEKDAY('Daily Schedule'!$B$2,2)=4,WEEKDAY('Daily Schedule'!$B$2,2)=5,WEEKDAY('Daily Schedule'!$B$2,2)=7),IFERROR(1*'Daily Workforce'!$K16&gt;=3,FALSE()),IFERROR(1*'Daily Workforce'!$K16&gt;=2,FALSE())),IF(AND('Daily Schedule'!$A20&gt;=46,'Daily Schedule'!$A20&lt;=52),'Daily Workforce'!$M16="Y",IFERROR(1*'Daily Workforce'!$P16&gt;=2,FALSE()))))),1,0)</f>
        <v>0</v>
      </c>
      <c r="AB16" s="1" t="n">
        <f aca="false">IF(AND('Daily Workforce'!$N17="Y",'Daily Workforce'!$B17&lt;&gt;"",COUNTIF('Daily Schedule'!$F$5:$F19,'Daily Workforce'!$B17)=0,IF('Daily Schedule'!$A20=45,'Daily Workforce'!$J17="Y",IF(OR('Daily Schedule'!$A20=4,'Daily Schedule'!$A20=8),IF(OR(WEEKDAY('Daily Schedule'!$B$2,2)=1,WEEKDAY('Daily Schedule'!$B$2,2)=4,WEEKDAY('Daily Schedule'!$B$2,2)=5,WEEKDAY('Daily Schedule'!$B$2,2)=7),IFERROR(1*'Daily Workforce'!$K17&gt;=3,FALSE()),IFERROR(1*'Daily Workforce'!$K17&gt;=2,FALSE())),IF(AND('Daily Schedule'!$A20&gt;=46,'Daily Schedule'!$A20&lt;=52),'Daily Workforce'!$M17="Y",IFERROR(1*'Daily Workforce'!$P17&gt;=2,FALSE()))))),1,0)</f>
        <v>0</v>
      </c>
      <c r="AC16" s="1" t="n">
        <f aca="false">IF(AND('Daily Workforce'!$N18="Y",'Daily Workforce'!$B18&lt;&gt;"",COUNTIF('Daily Schedule'!$F$5:$F19,'Daily Workforce'!$B18)=0,IF('Daily Schedule'!$A20=45,'Daily Workforce'!$J18="Y",IF(OR('Daily Schedule'!$A20=4,'Daily Schedule'!$A20=8),IF(OR(WEEKDAY('Daily Schedule'!$B$2,2)=1,WEEKDAY('Daily Schedule'!$B$2,2)=4,WEEKDAY('Daily Schedule'!$B$2,2)=5,WEEKDAY('Daily Schedule'!$B$2,2)=7),IFERROR(1*'Daily Workforce'!$K18&gt;=3,FALSE()),IFERROR(1*'Daily Workforce'!$K18&gt;=2,FALSE())),IF(AND('Daily Schedule'!$A20&gt;=46,'Daily Schedule'!$A20&lt;=52),'Daily Workforce'!$M18="Y",IFERROR(1*'Daily Workforce'!$P18&gt;=2,FALSE()))))),1,0)</f>
        <v>0</v>
      </c>
      <c r="AD16" s="1" t="n">
        <f aca="false">IF(AND('Daily Workforce'!$N19="Y",'Daily Workforce'!$B19&lt;&gt;"",COUNTIF('Daily Schedule'!$F$5:$F19,'Daily Workforce'!$B19)=0,IF('Daily Schedule'!$A20=45,'Daily Workforce'!$J19="Y",IF(OR('Daily Schedule'!$A20=4,'Daily Schedule'!$A20=8),IF(OR(WEEKDAY('Daily Schedule'!$B$2,2)=1,WEEKDAY('Daily Schedule'!$B$2,2)=4,WEEKDAY('Daily Schedule'!$B$2,2)=5,WEEKDAY('Daily Schedule'!$B$2,2)=7),IFERROR(1*'Daily Workforce'!$K19&gt;=3,FALSE()),IFERROR(1*'Daily Workforce'!$K19&gt;=2,FALSE())),IF(AND('Daily Schedule'!$A20&gt;=46,'Daily Schedule'!$A20&lt;=52),'Daily Workforce'!$M19="Y",IFERROR(1*'Daily Workforce'!$P19&gt;=2,FALSE()))))),1,0)</f>
        <v>1</v>
      </c>
      <c r="AE16" s="1" t="n">
        <f aca="false">IF(AND('Daily Workforce'!$N20="Y",'Daily Workforce'!$B20&lt;&gt;"",COUNTIF('Daily Schedule'!$F$5:$F19,'Daily Workforce'!$B20)=0,IF('Daily Schedule'!$A20=45,'Daily Workforce'!$J20="Y",IF(OR('Daily Schedule'!$A20=4,'Daily Schedule'!$A20=8),IF(OR(WEEKDAY('Daily Schedule'!$B$2,2)=1,WEEKDAY('Daily Schedule'!$B$2,2)=4,WEEKDAY('Daily Schedule'!$B$2,2)=5,WEEKDAY('Daily Schedule'!$B$2,2)=7),IFERROR(1*'Daily Workforce'!$K20&gt;=3,FALSE()),IFERROR(1*'Daily Workforce'!$K20&gt;=2,FALSE())),IF(AND('Daily Schedule'!$A20&gt;=46,'Daily Schedule'!$A20&lt;=52),'Daily Workforce'!$M20="Y",IFERROR(1*'Daily Workforce'!$P20&gt;=2,FALSE()))))),1,0)</f>
        <v>1</v>
      </c>
      <c r="AF16" s="1" t="n">
        <f aca="false">IF(AND('Daily Workforce'!$N21="Y",'Daily Workforce'!$B21&lt;&gt;"",COUNTIF('Daily Schedule'!$F$5:$F19,'Daily Workforce'!$B21)=0,IF('Daily Schedule'!$A20=45,'Daily Workforce'!$J21="Y",IF(OR('Daily Schedule'!$A20=4,'Daily Schedule'!$A20=8),IF(OR(WEEKDAY('Daily Schedule'!$B$2,2)=1,WEEKDAY('Daily Schedule'!$B$2,2)=4,WEEKDAY('Daily Schedule'!$B$2,2)=5,WEEKDAY('Daily Schedule'!$B$2,2)=7),IFERROR(1*'Daily Workforce'!$K21&gt;=3,FALSE()),IFERROR(1*'Daily Workforce'!$K21&gt;=2,FALSE())),IF(AND('Daily Schedule'!$A20&gt;=46,'Daily Schedule'!$A20&lt;=52),'Daily Workforce'!$M21="Y",IFERROR(1*'Daily Workforce'!$P21&gt;=2,FALSE()))))),1,0)</f>
        <v>1</v>
      </c>
      <c r="AG16" s="1" t="n">
        <f aca="false">IF(AND('Daily Workforce'!$N22="Y",'Daily Workforce'!$B22&lt;&gt;"",COUNTIF('Daily Schedule'!$F$5:$F19,'Daily Workforce'!$B22)=0,IF('Daily Schedule'!$A20=45,'Daily Workforce'!$J22="Y",IF(OR('Daily Schedule'!$A20=4,'Daily Schedule'!$A20=8),IF(OR(WEEKDAY('Daily Schedule'!$B$2,2)=1,WEEKDAY('Daily Schedule'!$B$2,2)=4,WEEKDAY('Daily Schedule'!$B$2,2)=5,WEEKDAY('Daily Schedule'!$B$2,2)=7),IFERROR(1*'Daily Workforce'!$K22&gt;=3,FALSE()),IFERROR(1*'Daily Workforce'!$K22&gt;=2,FALSE())),IF(AND('Daily Schedule'!$A20&gt;=46,'Daily Schedule'!$A20&lt;=52),'Daily Workforce'!$M22="Y",IFERROR(1*'Daily Workforce'!$P22&gt;=2,FALSE()))))),1,0)</f>
        <v>1</v>
      </c>
      <c r="AH16" s="1" t="n">
        <f aca="false">IF(AND('Daily Workforce'!$N23="Y",'Daily Workforce'!$B23&lt;&gt;"",COUNTIF('Daily Schedule'!$F$5:$F19,'Daily Workforce'!$B23)=0,IF('Daily Schedule'!$A20=45,'Daily Workforce'!$J23="Y",IF(OR('Daily Schedule'!$A20=4,'Daily Schedule'!$A20=8),IF(OR(WEEKDAY('Daily Schedule'!$B$2,2)=1,WEEKDAY('Daily Schedule'!$B$2,2)=4,WEEKDAY('Daily Schedule'!$B$2,2)=5,WEEKDAY('Daily Schedule'!$B$2,2)=7),IFERROR(1*'Daily Workforce'!$K23&gt;=3,FALSE()),IFERROR(1*'Daily Workforce'!$K23&gt;=2,FALSE())),IF(AND('Daily Schedule'!$A20&gt;=46,'Daily Schedule'!$A20&lt;=52),'Daily Workforce'!$M23="Y",IFERROR(1*'Daily Workforce'!$P23&gt;=2,FALSE()))))),1,0)</f>
        <v>1</v>
      </c>
      <c r="AI16" s="1" t="n">
        <f aca="false">IF(AND('Daily Workforce'!$N24="Y",'Daily Workforce'!$B24&lt;&gt;"",COUNTIF('Daily Schedule'!$F$5:$F19,'Daily Workforce'!$B24)=0,IF('Daily Schedule'!$A20=45,'Daily Workforce'!$J24="Y",IF(OR('Daily Schedule'!$A20=4,'Daily Schedule'!$A20=8),IF(OR(WEEKDAY('Daily Schedule'!$B$2,2)=1,WEEKDAY('Daily Schedule'!$B$2,2)=4,WEEKDAY('Daily Schedule'!$B$2,2)=5,WEEKDAY('Daily Schedule'!$B$2,2)=7),IFERROR(1*'Daily Workforce'!$K24&gt;=3,FALSE()),IFERROR(1*'Daily Workforce'!$K24&gt;=2,FALSE())),IF(AND('Daily Schedule'!$A20&gt;=46,'Daily Schedule'!$A20&lt;=52),'Daily Workforce'!$M24="Y",IFERROR(1*'Daily Workforce'!$P24&gt;=2,FALSE()))))),1,0)</f>
        <v>1</v>
      </c>
      <c r="AJ16" s="1" t="n">
        <f aca="false">IF(AND('Daily Workforce'!$N25="Y",'Daily Workforce'!$B25&lt;&gt;"",COUNTIF('Daily Schedule'!$F$5:$F19,'Daily Workforce'!$B25)=0,IF('Daily Schedule'!$A20=45,'Daily Workforce'!$J25="Y",IF(OR('Daily Schedule'!$A20=4,'Daily Schedule'!$A20=8),IF(OR(WEEKDAY('Daily Schedule'!$B$2,2)=1,WEEKDAY('Daily Schedule'!$B$2,2)=4,WEEKDAY('Daily Schedule'!$B$2,2)=5,WEEKDAY('Daily Schedule'!$B$2,2)=7),IFERROR(1*'Daily Workforce'!$K25&gt;=3,FALSE()),IFERROR(1*'Daily Workforce'!$K25&gt;=2,FALSE())),IF(AND('Daily Schedule'!$A20&gt;=46,'Daily Schedule'!$A20&lt;=52),'Daily Workforce'!$M25="Y",IFERROR(1*'Daily Workforce'!$P25&gt;=2,FALSE()))))),1,0)</f>
        <v>1</v>
      </c>
      <c r="AK16" s="1" t="n">
        <f aca="false">IF(AND('Daily Workforce'!$N26="Y",'Daily Workforce'!$B26&lt;&gt;"",COUNTIF('Daily Schedule'!$F$5:$F19,'Daily Workforce'!$B26)=0,IF('Daily Schedule'!$A20=45,'Daily Workforce'!$J26="Y",IF(OR('Daily Schedule'!$A20=4,'Daily Schedule'!$A20=8),IF(OR(WEEKDAY('Daily Schedule'!$B$2,2)=1,WEEKDAY('Daily Schedule'!$B$2,2)=4,WEEKDAY('Daily Schedule'!$B$2,2)=5,WEEKDAY('Daily Schedule'!$B$2,2)=7),IFERROR(1*'Daily Workforce'!$K26&gt;=3,FALSE()),IFERROR(1*'Daily Workforce'!$K26&gt;=2,FALSE())),IF(AND('Daily Schedule'!$A20&gt;=46,'Daily Schedule'!$A20&lt;=52),'Daily Workforce'!$M26="Y",IFERROR(1*'Daily Workforce'!$P26&gt;=2,FALSE()))))),1,0)</f>
        <v>1</v>
      </c>
      <c r="AL16" s="1" t="n">
        <f aca="false">IF(AND('Daily Workforce'!$N27="Y",'Daily Workforce'!$B27&lt;&gt;"",COUNTIF('Daily Schedule'!$F$5:$F19,'Daily Workforce'!$B27)=0,IF('Daily Schedule'!$A20=45,'Daily Workforce'!$J27="Y",IF(OR('Daily Schedule'!$A20=4,'Daily Schedule'!$A20=8),IF(OR(WEEKDAY('Daily Schedule'!$B$2,2)=1,WEEKDAY('Daily Schedule'!$B$2,2)=4,WEEKDAY('Daily Schedule'!$B$2,2)=5,WEEKDAY('Daily Schedule'!$B$2,2)=7),IFERROR(1*'Daily Workforce'!$K27&gt;=3,FALSE()),IFERROR(1*'Daily Workforce'!$K27&gt;=2,FALSE())),IF(AND('Daily Schedule'!$A20&gt;=46,'Daily Schedule'!$A20&lt;=52),'Daily Workforce'!$M27="Y",IFERROR(1*'Daily Workforce'!$P27&gt;=2,FALSE()))))),1,0)</f>
        <v>0</v>
      </c>
      <c r="AM16" s="1" t="n">
        <f aca="false">IF(AND('Daily Workforce'!$N28="Y",'Daily Workforce'!$B28&lt;&gt;"",COUNTIF('Daily Schedule'!$F$5:$F19,'Daily Workforce'!$B28)=0,IF('Daily Schedule'!$A20=45,'Daily Workforce'!$J28="Y",IF(OR('Daily Schedule'!$A20=4,'Daily Schedule'!$A20=8),IF(OR(WEEKDAY('Daily Schedule'!$B$2,2)=1,WEEKDAY('Daily Schedule'!$B$2,2)=4,WEEKDAY('Daily Schedule'!$B$2,2)=5,WEEKDAY('Daily Schedule'!$B$2,2)=7),IFERROR(1*'Daily Workforce'!$K28&gt;=3,FALSE()),IFERROR(1*'Daily Workforce'!$K28&gt;=2,FALSE())),IF(AND('Daily Schedule'!$A20&gt;=46,'Daily Schedule'!$A20&lt;=52),'Daily Workforce'!$M28="Y",IFERROR(1*'Daily Workforce'!$P28&gt;=2,FALSE()))))),1,0)</f>
        <v>1</v>
      </c>
      <c r="AN16" s="1" t="n">
        <f aca="false">IF(AND('Daily Workforce'!$N29="Y",'Daily Workforce'!$B29&lt;&gt;"",COUNTIF('Daily Schedule'!$F$5:$F19,'Daily Workforce'!$B29)=0,IF('Daily Schedule'!$A20=45,'Daily Workforce'!$J29="Y",IF(OR('Daily Schedule'!$A20=4,'Daily Schedule'!$A20=8),IF(OR(WEEKDAY('Daily Schedule'!$B$2,2)=1,WEEKDAY('Daily Schedule'!$B$2,2)=4,WEEKDAY('Daily Schedule'!$B$2,2)=5,WEEKDAY('Daily Schedule'!$B$2,2)=7),IFERROR(1*'Daily Workforce'!$K29&gt;=3,FALSE()),IFERROR(1*'Daily Workforce'!$K29&gt;=2,FALSE())),IF(AND('Daily Schedule'!$A20&gt;=46,'Daily Schedule'!$A20&lt;=52),'Daily Workforce'!$M29="Y",IFERROR(1*'Daily Workforce'!$P29&gt;=2,FALSE()))))),1,0)</f>
        <v>1</v>
      </c>
      <c r="AO16" s="1" t="n">
        <f aca="false">IF(AND('Daily Workforce'!$N30="Y",'Daily Workforce'!$B30&lt;&gt;"",COUNTIF('Daily Schedule'!$F$5:$F19,'Daily Workforce'!$B30)=0,IF('Daily Schedule'!$A20=45,'Daily Workforce'!$J30="Y",IF(OR('Daily Schedule'!$A20=4,'Daily Schedule'!$A20=8),IF(OR(WEEKDAY('Daily Schedule'!$B$2,2)=1,WEEKDAY('Daily Schedule'!$B$2,2)=4,WEEKDAY('Daily Schedule'!$B$2,2)=5,WEEKDAY('Daily Schedule'!$B$2,2)=7),IFERROR(1*'Daily Workforce'!$K30&gt;=3,FALSE()),IFERROR(1*'Daily Workforce'!$K30&gt;=2,FALSE())),IF(AND('Daily Schedule'!$A20&gt;=46,'Daily Schedule'!$A20&lt;=52),'Daily Workforce'!$M30="Y",IFERROR(1*'Daily Workforce'!$P30&gt;=2,FALSE()))))),1,0)</f>
        <v>1</v>
      </c>
      <c r="AP16" s="1" t="n">
        <f aca="false">IF(AND('Daily Workforce'!$N31="Y",'Daily Workforce'!$B31&lt;&gt;"",COUNTIF('Daily Schedule'!$F$5:$F19,'Daily Workforce'!$B31)=0,IF('Daily Schedule'!$A20=45,'Daily Workforce'!$J31="Y",IF(OR('Daily Schedule'!$A20=4,'Daily Schedule'!$A20=8),IF(OR(WEEKDAY('Daily Schedule'!$B$2,2)=1,WEEKDAY('Daily Schedule'!$B$2,2)=4,WEEKDAY('Daily Schedule'!$B$2,2)=5,WEEKDAY('Daily Schedule'!$B$2,2)=7),IFERROR(1*'Daily Workforce'!$K31&gt;=3,FALSE()),IFERROR(1*'Daily Workforce'!$K31&gt;=2,FALSE())),IF(AND('Daily Schedule'!$A20&gt;=46,'Daily Schedule'!$A20&lt;=52),'Daily Workforce'!$M31="Y",IFERROR(1*'Daily Workforce'!$P31&gt;=2,FALSE()))))),1,0)</f>
        <v>1</v>
      </c>
      <c r="AQ16" s="1" t="n">
        <f aca="false">IF(AND('Daily Workforce'!$N32="Y",'Daily Workforce'!$B32&lt;&gt;"",COUNTIF('Daily Schedule'!$F$5:$F19,'Daily Workforce'!$B32)=0,IF('Daily Schedule'!$A20=45,'Daily Workforce'!$J32="Y",IF(OR('Daily Schedule'!$A20=4,'Daily Schedule'!$A20=8),IF(OR(WEEKDAY('Daily Schedule'!$B$2,2)=1,WEEKDAY('Daily Schedule'!$B$2,2)=4,WEEKDAY('Daily Schedule'!$B$2,2)=5,WEEKDAY('Daily Schedule'!$B$2,2)=7),IFERROR(1*'Daily Workforce'!$K32&gt;=3,FALSE()),IFERROR(1*'Daily Workforce'!$K32&gt;=2,FALSE())),IF(AND('Daily Schedule'!$A20&gt;=46,'Daily Schedule'!$A20&lt;=52),'Daily Workforce'!$M32="Y",IFERROR(1*'Daily Workforce'!$P32&gt;=2,FALSE()))))),1,0)</f>
        <v>1</v>
      </c>
      <c r="AR16" s="1" t="n">
        <f aca="false">IF(AND('Daily Workforce'!$N33="Y",'Daily Workforce'!$B33&lt;&gt;"",COUNTIF('Daily Schedule'!$F$5:$F19,'Daily Workforce'!$B33)=0,IF('Daily Schedule'!$A20=45,'Daily Workforce'!$J33="Y",IF(OR('Daily Schedule'!$A20=4,'Daily Schedule'!$A20=8),IF(OR(WEEKDAY('Daily Schedule'!$B$2,2)=1,WEEKDAY('Daily Schedule'!$B$2,2)=4,WEEKDAY('Daily Schedule'!$B$2,2)=5,WEEKDAY('Daily Schedule'!$B$2,2)=7),IFERROR(1*'Daily Workforce'!$K33&gt;=3,FALSE()),IFERROR(1*'Daily Workforce'!$K33&gt;=2,FALSE())),IF(AND('Daily Schedule'!$A20&gt;=46,'Daily Schedule'!$A20&lt;=52),'Daily Workforce'!$M33="Y",IFERROR(1*'Daily Workforce'!$P33&gt;=2,FALSE()))))),1,0)</f>
        <v>1</v>
      </c>
      <c r="AS16" s="1" t="n">
        <f aca="false">IF(AND('Daily Workforce'!$N34="Y",'Daily Workforce'!$B34&lt;&gt;"",COUNTIF('Daily Schedule'!$F$5:$F19,'Daily Workforce'!$B34)=0,IF('Daily Schedule'!$A20=45,'Daily Workforce'!$J34="Y",IF(OR('Daily Schedule'!$A20=4,'Daily Schedule'!$A20=8),IF(OR(WEEKDAY('Daily Schedule'!$B$2,2)=1,WEEKDAY('Daily Schedule'!$B$2,2)=4,WEEKDAY('Daily Schedule'!$B$2,2)=5,WEEKDAY('Daily Schedule'!$B$2,2)=7),IFERROR(1*'Daily Workforce'!$K34&gt;=3,FALSE()),IFERROR(1*'Daily Workforce'!$K34&gt;=2,FALSE())),IF(AND('Daily Schedule'!$A20&gt;=46,'Daily Schedule'!$A20&lt;=52),'Daily Workforce'!$M34="Y",IFERROR(1*'Daily Workforce'!$P34&gt;=2,FALSE()))))),1,0)</f>
        <v>1</v>
      </c>
      <c r="AT16" s="1" t="n">
        <f aca="false">IF(AND('Daily Workforce'!$N35="Y",'Daily Workforce'!$B35&lt;&gt;"",COUNTIF('Daily Schedule'!$F$5:$F19,'Daily Workforce'!$B35)=0,IF('Daily Schedule'!$A20=45,'Daily Workforce'!$J35="Y",IF(OR('Daily Schedule'!$A20=4,'Daily Schedule'!$A20=8),IF(OR(WEEKDAY('Daily Schedule'!$B$2,2)=1,WEEKDAY('Daily Schedule'!$B$2,2)=4,WEEKDAY('Daily Schedule'!$B$2,2)=5,WEEKDAY('Daily Schedule'!$B$2,2)=7),IFERROR(1*'Daily Workforce'!$K35&gt;=3,FALSE()),IFERROR(1*'Daily Workforce'!$K35&gt;=2,FALSE())),IF(AND('Daily Schedule'!$A20&gt;=46,'Daily Schedule'!$A20&lt;=52),'Daily Workforce'!$M35="Y",IFERROR(1*'Daily Workforce'!$P35&gt;=2,FALSE()))))),1,0)</f>
        <v>1</v>
      </c>
      <c r="AU16" s="1" t="n">
        <f aca="false">IF(AND('Daily Workforce'!$N36="Y",'Daily Workforce'!$B36&lt;&gt;"",COUNTIF('Daily Schedule'!$F$5:$F19,'Daily Workforce'!$B36)=0,IF('Daily Schedule'!$A20=45,'Daily Workforce'!$J36="Y",IF(OR('Daily Schedule'!$A20=4,'Daily Schedule'!$A20=8),IF(OR(WEEKDAY('Daily Schedule'!$B$2,2)=1,WEEKDAY('Daily Schedule'!$B$2,2)=4,WEEKDAY('Daily Schedule'!$B$2,2)=5,WEEKDAY('Daily Schedule'!$B$2,2)=7),IFERROR(1*'Daily Workforce'!$K36&gt;=3,FALSE()),IFERROR(1*'Daily Workforce'!$K36&gt;=2,FALSE())),IF(AND('Daily Schedule'!$A20&gt;=46,'Daily Schedule'!$A20&lt;=52),'Daily Workforce'!$M36="Y",IFERROR(1*'Daily Workforce'!$P36&gt;=2,FALSE()))))),1,0)</f>
        <v>1</v>
      </c>
      <c r="AV16" s="1" t="n">
        <f aca="false">IF(AND('Daily Workforce'!$N37="Y",'Daily Workforce'!$B37&lt;&gt;"",COUNTIF('Daily Schedule'!$F$5:$F19,'Daily Workforce'!$B37)=0,IF('Daily Schedule'!$A20=45,'Daily Workforce'!$J37="Y",IF(OR('Daily Schedule'!$A20=4,'Daily Schedule'!$A20=8),IF(OR(WEEKDAY('Daily Schedule'!$B$2,2)=1,WEEKDAY('Daily Schedule'!$B$2,2)=4,WEEKDAY('Daily Schedule'!$B$2,2)=5,WEEKDAY('Daily Schedule'!$B$2,2)=7),IFERROR(1*'Daily Workforce'!$K37&gt;=3,FALSE()),IFERROR(1*'Daily Workforce'!$K37&gt;=2,FALSE())),IF(AND('Daily Schedule'!$A20&gt;=46,'Daily Schedule'!$A20&lt;=52),'Daily Workforce'!$M37="Y",IFERROR(1*'Daily Workforce'!$P37&gt;=2,FALSE()))))),1,0)</f>
        <v>1</v>
      </c>
      <c r="AW16" s="1" t="n">
        <f aca="false">IF(AND('Daily Workforce'!$N38="Y",'Daily Workforce'!$B38&lt;&gt;"",COUNTIF('Daily Schedule'!$F$5:$F19,'Daily Workforce'!$B38)=0,IF('Daily Schedule'!$A20=45,'Daily Workforce'!$J38="Y",IF(OR('Daily Schedule'!$A20=4,'Daily Schedule'!$A20=8),IF(OR(WEEKDAY('Daily Schedule'!$B$2,2)=1,WEEKDAY('Daily Schedule'!$B$2,2)=4,WEEKDAY('Daily Schedule'!$B$2,2)=5,WEEKDAY('Daily Schedule'!$B$2,2)=7),IFERROR(1*'Daily Workforce'!$K38&gt;=3,FALSE()),IFERROR(1*'Daily Workforce'!$K38&gt;=2,FALSE())),IF(AND('Daily Schedule'!$A20&gt;=46,'Daily Schedule'!$A20&lt;=52),'Daily Workforce'!$M38="Y",IFERROR(1*'Daily Workforce'!$P38&gt;=2,FALSE()))))),1,0)</f>
        <v>1</v>
      </c>
      <c r="AX16" s="1" t="n">
        <f aca="false">IF(AND('Daily Workforce'!$N39="Y",'Daily Workforce'!$B39&lt;&gt;"",COUNTIF('Daily Schedule'!$F$5:$F19,'Daily Workforce'!$B39)=0,IF('Daily Schedule'!$A20=45,'Daily Workforce'!$J39="Y",IF(OR('Daily Schedule'!$A20=4,'Daily Schedule'!$A20=8),IF(OR(WEEKDAY('Daily Schedule'!$B$2,2)=1,WEEKDAY('Daily Schedule'!$B$2,2)=4,WEEKDAY('Daily Schedule'!$B$2,2)=5,WEEKDAY('Daily Schedule'!$B$2,2)=7),IFERROR(1*'Daily Workforce'!$K39&gt;=3,FALSE()),IFERROR(1*'Daily Workforce'!$K39&gt;=2,FALSE())),IF(AND('Daily Schedule'!$A20&gt;=46,'Daily Schedule'!$A20&lt;=52),'Daily Workforce'!$M39="Y",IFERROR(1*'Daily Workforce'!$P39&gt;=2,FALSE()))))),1,0)</f>
        <v>1</v>
      </c>
      <c r="AY16" s="1" t="n">
        <f aca="false">IF(AND('Daily Workforce'!$N40="Y",'Daily Workforce'!$B40&lt;&gt;"",COUNTIF('Daily Schedule'!$F$5:$F19,'Daily Workforce'!$B40)=0,IF('Daily Schedule'!$A20=45,'Daily Workforce'!$J40="Y",IF(OR('Daily Schedule'!$A20=4,'Daily Schedule'!$A20=8),IF(OR(WEEKDAY('Daily Schedule'!$B$2,2)=1,WEEKDAY('Daily Schedule'!$B$2,2)=4,WEEKDAY('Daily Schedule'!$B$2,2)=5,WEEKDAY('Daily Schedule'!$B$2,2)=7),IFERROR(1*'Daily Workforce'!$K40&gt;=3,FALSE()),IFERROR(1*'Daily Workforce'!$K40&gt;=2,FALSE())),IF(AND('Daily Schedule'!$A20&gt;=46,'Daily Schedule'!$A20&lt;=52),'Daily Workforce'!$M40="Y",IFERROR(1*'Daily Workforce'!$P40&gt;=2,FALSE()))))),1,0)</f>
        <v>1</v>
      </c>
      <c r="AZ16" s="1" t="n">
        <f aca="false">IF(AND('Daily Workforce'!$N41="Y",'Daily Workforce'!$B41&lt;&gt;"",COUNTIF('Daily Schedule'!$F$5:$F19,'Daily Workforce'!$B41)=0,IF('Daily Schedule'!$A20=45,'Daily Workforce'!$J41="Y",IF(OR('Daily Schedule'!$A20=4,'Daily Schedule'!$A20=8),IF(OR(WEEKDAY('Daily Schedule'!$B$2,2)=1,WEEKDAY('Daily Schedule'!$B$2,2)=4,WEEKDAY('Daily Schedule'!$B$2,2)=5,WEEKDAY('Daily Schedule'!$B$2,2)=7),IFERROR(1*'Daily Workforce'!$K41&gt;=3,FALSE()),IFERROR(1*'Daily Workforce'!$K41&gt;=2,FALSE())),IF(AND('Daily Schedule'!$A20&gt;=46,'Daily Schedule'!$A20&lt;=52),'Daily Workforce'!$M41="Y",IFERROR(1*'Daily Workforce'!$P41&gt;=2,FALSE()))))),1,0)</f>
        <v>1</v>
      </c>
      <c r="BA16" s="1" t="n">
        <f aca="false">IF(AND('Daily Workforce'!$N42="Y",'Daily Workforce'!$B42&lt;&gt;"",COUNTIF('Daily Schedule'!$F$5:$F19,'Daily Workforce'!$B42)=0,IF('Daily Schedule'!$A20=45,'Daily Workforce'!$J42="Y",IF(OR('Daily Schedule'!$A20=4,'Daily Schedule'!$A20=8),IF(OR(WEEKDAY('Daily Schedule'!$B$2,2)=1,WEEKDAY('Daily Schedule'!$B$2,2)=4,WEEKDAY('Daily Schedule'!$B$2,2)=5,WEEKDAY('Daily Schedule'!$B$2,2)=7),IFERROR(1*'Daily Workforce'!$K42&gt;=3,FALSE()),IFERROR(1*'Daily Workforce'!$K42&gt;=2,FALSE())),IF(AND('Daily Schedule'!$A20&gt;=46,'Daily Schedule'!$A20&lt;=52),'Daily Workforce'!$M42="Y",IFERROR(1*'Daily Workforce'!$P42&gt;=2,FALSE()))))),1,0)</f>
        <v>1</v>
      </c>
      <c r="BB16" s="1" t="n">
        <f aca="false">IF(AND('Daily Workforce'!$N43="Y",'Daily Workforce'!$B43&lt;&gt;"",COUNTIF('Daily Schedule'!$F$5:$F19,'Daily Workforce'!$B43)=0,IF('Daily Schedule'!$A20=45,'Daily Workforce'!$J43="Y",IF(OR('Daily Schedule'!$A20=4,'Daily Schedule'!$A20=8),IF(OR(WEEKDAY('Daily Schedule'!$B$2,2)=1,WEEKDAY('Daily Schedule'!$B$2,2)=4,WEEKDAY('Daily Schedule'!$B$2,2)=5,WEEKDAY('Daily Schedule'!$B$2,2)=7),IFERROR(1*'Daily Workforce'!$K43&gt;=3,FALSE()),IFERROR(1*'Daily Workforce'!$K43&gt;=2,FALSE())),IF(AND('Daily Schedule'!$A20&gt;=46,'Daily Schedule'!$A20&lt;=52),'Daily Workforce'!$M43="Y",IFERROR(1*'Daily Workforce'!$P43&gt;=2,FALSE()))))),1,0)</f>
        <v>1</v>
      </c>
      <c r="BC16" s="1" t="n">
        <f aca="false">IF(AND('Daily Workforce'!$N44="Y",'Daily Workforce'!$B44&lt;&gt;"",COUNTIF('Daily Schedule'!$F$5:$F19,'Daily Workforce'!$B44)=0,IF('Daily Schedule'!$A20=45,'Daily Workforce'!$J44="Y",IF(OR('Daily Schedule'!$A20=4,'Daily Schedule'!$A20=8),IF(OR(WEEKDAY('Daily Schedule'!$B$2,2)=1,WEEKDAY('Daily Schedule'!$B$2,2)=4,WEEKDAY('Daily Schedule'!$B$2,2)=5,WEEKDAY('Daily Schedule'!$B$2,2)=7),IFERROR(1*'Daily Workforce'!$K44&gt;=3,FALSE()),IFERROR(1*'Daily Workforce'!$K44&gt;=2,FALSE())),IF(AND('Daily Schedule'!$A20&gt;=46,'Daily Schedule'!$A20&lt;=52),'Daily Workforce'!$M44="Y",IFERROR(1*'Daily Workforce'!$P44&gt;=2,FALSE()))))),1,0)</f>
        <v>1</v>
      </c>
      <c r="BD16" s="1" t="n">
        <f aca="false">IF(AND('Daily Workforce'!$N45="Y",'Daily Workforce'!$B45&lt;&gt;"",COUNTIF('Daily Schedule'!$F$5:$F19,'Daily Workforce'!$B45)=0,IF('Daily Schedule'!$A20=45,'Daily Workforce'!$J45="Y",IF(OR('Daily Schedule'!$A20=4,'Daily Schedule'!$A20=8),IF(OR(WEEKDAY('Daily Schedule'!$B$2,2)=1,WEEKDAY('Daily Schedule'!$B$2,2)=4,WEEKDAY('Daily Schedule'!$B$2,2)=5,WEEKDAY('Daily Schedule'!$B$2,2)=7),IFERROR(1*'Daily Workforce'!$K45&gt;=3,FALSE()),IFERROR(1*'Daily Workforce'!$K45&gt;=2,FALSE())),IF(AND('Daily Schedule'!$A20&gt;=46,'Daily Schedule'!$A20&lt;=52),'Daily Workforce'!$M45="Y",IFERROR(1*'Daily Workforce'!$P45&gt;=2,FALSE()))))),1,0)</f>
        <v>1</v>
      </c>
      <c r="BE16" s="1" t="n">
        <f aca="false">IF(AND('Daily Workforce'!$N46="Y",'Daily Workforce'!$B46&lt;&gt;"",COUNTIF('Daily Schedule'!$F$5:$F19,'Daily Workforce'!$B46)=0,IF('Daily Schedule'!$A20=45,'Daily Workforce'!$J46="Y",IF(OR('Daily Schedule'!$A20=4,'Daily Schedule'!$A20=8),IF(OR(WEEKDAY('Daily Schedule'!$B$2,2)=1,WEEKDAY('Daily Schedule'!$B$2,2)=4,WEEKDAY('Daily Schedule'!$B$2,2)=5,WEEKDAY('Daily Schedule'!$B$2,2)=7),IFERROR(1*'Daily Workforce'!$K46&gt;=3,FALSE()),IFERROR(1*'Daily Workforce'!$K46&gt;=2,FALSE())),IF(AND('Daily Schedule'!$A20&gt;=46,'Daily Schedule'!$A20&lt;=52),'Daily Workforce'!$M46="Y",IFERROR(1*'Daily Workforce'!$P46&gt;=2,FALSE()))))),1,0)</f>
        <v>1</v>
      </c>
      <c r="BF16" s="1" t="n">
        <f aca="false">IF(AND('Daily Workforce'!$N47="Y",'Daily Workforce'!$B47&lt;&gt;"",COUNTIF('Daily Schedule'!$F$5:$F19,'Daily Workforce'!$B47)=0,IF('Daily Schedule'!$A20=45,'Daily Workforce'!$J47="Y",IF(OR('Daily Schedule'!$A20=4,'Daily Schedule'!$A20=8),IF(OR(WEEKDAY('Daily Schedule'!$B$2,2)=1,WEEKDAY('Daily Schedule'!$B$2,2)=4,WEEKDAY('Daily Schedule'!$B$2,2)=5,WEEKDAY('Daily Schedule'!$B$2,2)=7),IFERROR(1*'Daily Workforce'!$K47&gt;=3,FALSE()),IFERROR(1*'Daily Workforce'!$K47&gt;=2,FALSE())),IF(AND('Daily Schedule'!$A20&gt;=46,'Daily Schedule'!$A20&lt;=52),'Daily Workforce'!$M47="Y",IFERROR(1*'Daily Workforce'!$P47&gt;=2,FALSE()))))),1,0)</f>
        <v>0</v>
      </c>
      <c r="BG16" s="1" t="n">
        <f aca="false">IF(AND('Daily Workforce'!$N48="Y",'Daily Workforce'!$B48&lt;&gt;"",COUNTIF('Daily Schedule'!$F$5:$F19,'Daily Workforce'!$B48)=0,IF('Daily Schedule'!$A20=45,'Daily Workforce'!$J48="Y",IF(OR('Daily Schedule'!$A20=4,'Daily Schedule'!$A20=8),IF(OR(WEEKDAY('Daily Schedule'!$B$2,2)=1,WEEKDAY('Daily Schedule'!$B$2,2)=4,WEEKDAY('Daily Schedule'!$B$2,2)=5,WEEKDAY('Daily Schedule'!$B$2,2)=7),IFERROR(1*'Daily Workforce'!$K48&gt;=3,FALSE()),IFERROR(1*'Daily Workforce'!$K48&gt;=2,FALSE())),IF(AND('Daily Schedule'!$A20&gt;=46,'Daily Schedule'!$A20&lt;=52),'Daily Workforce'!$M48="Y",IFERROR(1*'Daily Workforce'!$P48&gt;=2,FALSE()))))),1,0)</f>
        <v>1</v>
      </c>
      <c r="BH16" s="1" t="n">
        <f aca="false">IF(AND('Daily Workforce'!$N49="Y",'Daily Workforce'!$B49&lt;&gt;"",COUNTIF('Daily Schedule'!$F$5:$F19,'Daily Workforce'!$B49)=0,IF('Daily Schedule'!$A20=45,'Daily Workforce'!$J49="Y",IF(OR('Daily Schedule'!$A20=4,'Daily Schedule'!$A20=8),IF(OR(WEEKDAY('Daily Schedule'!$B$2,2)=1,WEEKDAY('Daily Schedule'!$B$2,2)=4,WEEKDAY('Daily Schedule'!$B$2,2)=5,WEEKDAY('Daily Schedule'!$B$2,2)=7),IFERROR(1*'Daily Workforce'!$K49&gt;=3,FALSE()),IFERROR(1*'Daily Workforce'!$K49&gt;=2,FALSE())),IF(AND('Daily Schedule'!$A20&gt;=46,'Daily Schedule'!$A20&lt;=52),'Daily Workforce'!$M49="Y",IFERROR(1*'Daily Workforce'!$P49&gt;=2,FALSE()))))),1,0)</f>
        <v>1</v>
      </c>
      <c r="BI16" s="1" t="n">
        <f aca="false">IF(AND('Daily Workforce'!$N50="Y",'Daily Workforce'!$B50&lt;&gt;"",COUNTIF('Daily Schedule'!$F$5:$F19,'Daily Workforce'!$B50)=0,IF('Daily Schedule'!$A20=45,'Daily Workforce'!$J50="Y",IF(OR('Daily Schedule'!$A20=4,'Daily Schedule'!$A20=8),IF(OR(WEEKDAY('Daily Schedule'!$B$2,2)=1,WEEKDAY('Daily Schedule'!$B$2,2)=4,WEEKDAY('Daily Schedule'!$B$2,2)=5,WEEKDAY('Daily Schedule'!$B$2,2)=7),IFERROR(1*'Daily Workforce'!$K50&gt;=3,FALSE()),IFERROR(1*'Daily Workforce'!$K50&gt;=2,FALSE())),IF(AND('Daily Schedule'!$A20&gt;=46,'Daily Schedule'!$A20&lt;=52),'Daily Workforce'!$M50="Y",IFERROR(1*'Daily Workforce'!$P50&gt;=2,FALSE()))))),1,0)</f>
        <v>0</v>
      </c>
      <c r="BJ16" s="1" t="n">
        <f aca="false">IF(AND('Daily Workforce'!$N51="Y",'Daily Workforce'!$B51&lt;&gt;"",COUNTIF('Daily Schedule'!$F$5:$F19,'Daily Workforce'!$B51)=0,IF('Daily Schedule'!$A20=45,'Daily Workforce'!$J51="Y",IF(OR('Daily Schedule'!$A20=4,'Daily Schedule'!$A20=8),IF(OR(WEEKDAY('Daily Schedule'!$B$2,2)=1,WEEKDAY('Daily Schedule'!$B$2,2)=4,WEEKDAY('Daily Schedule'!$B$2,2)=5,WEEKDAY('Daily Schedule'!$B$2,2)=7),IFERROR(1*'Daily Workforce'!$K51&gt;=3,FALSE()),IFERROR(1*'Daily Workforce'!$K51&gt;=2,FALSE())),IF(AND('Daily Schedule'!$A20&gt;=46,'Daily Schedule'!$A20&lt;=52),'Daily Workforce'!$M51="Y",IFERROR(1*'Daily Workforce'!$P51&gt;=2,FALSE()))))),1,0)</f>
        <v>1</v>
      </c>
      <c r="BK16" s="1" t="n">
        <f aca="false">IF(AND('Daily Workforce'!$N52="Y",'Daily Workforce'!$B52&lt;&gt;"",COUNTIF('Daily Schedule'!$F$5:$F19,'Daily Workforce'!$B52)=0,IF('Daily Schedule'!$A20=45,'Daily Workforce'!$J52="Y",IF(OR('Daily Schedule'!$A20=4,'Daily Schedule'!$A20=8),IF(OR(WEEKDAY('Daily Schedule'!$B$2,2)=1,WEEKDAY('Daily Schedule'!$B$2,2)=4,WEEKDAY('Daily Schedule'!$B$2,2)=5,WEEKDAY('Daily Schedule'!$B$2,2)=7),IFERROR(1*'Daily Workforce'!$K52&gt;=3,FALSE()),IFERROR(1*'Daily Workforce'!$K52&gt;=2,FALSE())),IF(AND('Daily Schedule'!$A20&gt;=46,'Daily Schedule'!$A20&lt;=52),'Daily Workforce'!$M52="Y",IFERROR(1*'Daily Workforce'!$P52&gt;=2,FALSE()))))),1,0)</f>
        <v>1</v>
      </c>
      <c r="BL16" s="1" t="n">
        <f aca="false">IF(AND('Daily Workforce'!$N53="Y",'Daily Workforce'!$B53&lt;&gt;"",COUNTIF('Daily Schedule'!$F$5:$F19,'Daily Workforce'!$B53)=0,IF('Daily Schedule'!$A20=45,'Daily Workforce'!$J53="Y",IF(OR('Daily Schedule'!$A20=4,'Daily Schedule'!$A20=8),IF(OR(WEEKDAY('Daily Schedule'!$B$2,2)=1,WEEKDAY('Daily Schedule'!$B$2,2)=4,WEEKDAY('Daily Schedule'!$B$2,2)=5,WEEKDAY('Daily Schedule'!$B$2,2)=7),IFERROR(1*'Daily Workforce'!$K53&gt;=3,FALSE()),IFERROR(1*'Daily Workforce'!$K53&gt;=2,FALSE())),IF(AND('Daily Schedule'!$A20&gt;=46,'Daily Schedule'!$A20&lt;=52),'Daily Workforce'!$M53="Y",IFERROR(1*'Daily Workforce'!$P53&gt;=2,FALSE()))))),1,0)</f>
        <v>1</v>
      </c>
      <c r="BM16" s="1" t="n">
        <f aca="false">IF(AND('Daily Workforce'!$N54="Y",'Daily Workforce'!$B54&lt;&gt;"",COUNTIF('Daily Schedule'!$F$5:$F19,'Daily Workforce'!$B54)=0,IF('Daily Schedule'!$A20=45,'Daily Workforce'!$J54="Y",IF(OR('Daily Schedule'!$A20=4,'Daily Schedule'!$A20=8),IF(OR(WEEKDAY('Daily Schedule'!$B$2,2)=1,WEEKDAY('Daily Schedule'!$B$2,2)=4,WEEKDAY('Daily Schedule'!$B$2,2)=5,WEEKDAY('Daily Schedule'!$B$2,2)=7),IFERROR(1*'Daily Workforce'!$K54&gt;=3,FALSE()),IFERROR(1*'Daily Workforce'!$K54&gt;=2,FALSE())),IF(AND('Daily Schedule'!$A20&gt;=46,'Daily Schedule'!$A20&lt;=52),'Daily Workforce'!$M54="Y",IFERROR(1*'Daily Workforce'!$P54&gt;=2,FALSE()))))),1,0)</f>
        <v>1</v>
      </c>
      <c r="BN16" s="1" t="n">
        <f aca="false">IF(AND('Daily Workforce'!$N55="Y",'Daily Workforce'!$B55&lt;&gt;"",COUNTIF('Daily Schedule'!$F$5:$F19,'Daily Workforce'!$B55)=0,IF('Daily Schedule'!$A20=45,'Daily Workforce'!$J55="Y",IF(OR('Daily Schedule'!$A20=4,'Daily Schedule'!$A20=8),IF(OR(WEEKDAY('Daily Schedule'!$B$2,2)=1,WEEKDAY('Daily Schedule'!$B$2,2)=4,WEEKDAY('Daily Schedule'!$B$2,2)=5,WEEKDAY('Daily Schedule'!$B$2,2)=7),IFERROR(1*'Daily Workforce'!$K55&gt;=3,FALSE()),IFERROR(1*'Daily Workforce'!$K55&gt;=2,FALSE())),IF(AND('Daily Schedule'!$A20&gt;=46,'Daily Schedule'!$A20&lt;=52),'Daily Workforce'!$M55="Y",IFERROR(1*'Daily Workforce'!$P55&gt;=2,FALSE()))))),1,0)</f>
        <v>1</v>
      </c>
      <c r="BO16" s="1" t="n">
        <f aca="false">IF(AND('Daily Workforce'!$N56="Y",'Daily Workforce'!$B56&lt;&gt;"",COUNTIF('Daily Schedule'!$F$5:$F19,'Daily Workforce'!$B56)=0,IF('Daily Schedule'!$A20=45,'Daily Workforce'!$J56="Y",IF(OR('Daily Schedule'!$A20=4,'Daily Schedule'!$A20=8),IF(OR(WEEKDAY('Daily Schedule'!$B$2,2)=1,WEEKDAY('Daily Schedule'!$B$2,2)=4,WEEKDAY('Daily Schedule'!$B$2,2)=5,WEEKDAY('Daily Schedule'!$B$2,2)=7),IFERROR(1*'Daily Workforce'!$K56&gt;=3,FALSE()),IFERROR(1*'Daily Workforce'!$K56&gt;=2,FALSE())),IF(AND('Daily Schedule'!$A20&gt;=46,'Daily Schedule'!$A20&lt;=52),'Daily Workforce'!$M56="Y",IFERROR(1*'Daily Workforce'!$P56&gt;=2,FALSE()))))),1,0)</f>
        <v>1</v>
      </c>
      <c r="BP16" s="1" t="n">
        <f aca="false">IF(AND('Daily Workforce'!$N57="Y",'Daily Workforce'!$B57&lt;&gt;"",COUNTIF('Daily Schedule'!$F$5:$F19,'Daily Workforce'!$B57)=0,IF('Daily Schedule'!$A20=45,'Daily Workforce'!$J57="Y",IF(OR('Daily Schedule'!$A20=4,'Daily Schedule'!$A20=8),IF(OR(WEEKDAY('Daily Schedule'!$B$2,2)=1,WEEKDAY('Daily Schedule'!$B$2,2)=4,WEEKDAY('Daily Schedule'!$B$2,2)=5,WEEKDAY('Daily Schedule'!$B$2,2)=7),IFERROR(1*'Daily Workforce'!$K57&gt;=3,FALSE()),IFERROR(1*'Daily Workforce'!$K57&gt;=2,FALSE())),IF(AND('Daily Schedule'!$A20&gt;=46,'Daily Schedule'!$A20&lt;=52),'Daily Workforce'!$M57="Y",IFERROR(1*'Daily Workforce'!$P57&gt;=2,FALSE()))))),1,0)</f>
        <v>0</v>
      </c>
      <c r="BQ16" s="1" t="n">
        <f aca="false">IF(AND('Daily Workforce'!$N58="Y",'Daily Workforce'!$B58&lt;&gt;"",COUNTIF('Daily Schedule'!$F$5:$F19,'Daily Workforce'!$B58)=0,IF('Daily Schedule'!$A20=45,'Daily Workforce'!$J58="Y",IF(OR('Daily Schedule'!$A20=4,'Daily Schedule'!$A20=8),IF(OR(WEEKDAY('Daily Schedule'!$B$2,2)=1,WEEKDAY('Daily Schedule'!$B$2,2)=4,WEEKDAY('Daily Schedule'!$B$2,2)=5,WEEKDAY('Daily Schedule'!$B$2,2)=7),IFERROR(1*'Daily Workforce'!$K58&gt;=3,FALSE()),IFERROR(1*'Daily Workforce'!$K58&gt;=2,FALSE())),IF(AND('Daily Schedule'!$A20&gt;=46,'Daily Schedule'!$A20&lt;=52),'Daily Workforce'!$M58="Y",IFERROR(1*'Daily Workforce'!$P58&gt;=2,FALSE()))))),1,0)</f>
        <v>1</v>
      </c>
      <c r="BR16" s="1" t="n">
        <f aca="false">IF(AND('Daily Workforce'!$N59="Y",'Daily Workforce'!$B59&lt;&gt;"",COUNTIF('Daily Schedule'!$F$5:$F19,'Daily Workforce'!$B59)=0,IF('Daily Schedule'!$A20=45,'Daily Workforce'!$J59="Y",IF(OR('Daily Schedule'!$A20=4,'Daily Schedule'!$A20=8),IF(OR(WEEKDAY('Daily Schedule'!$B$2,2)=1,WEEKDAY('Daily Schedule'!$B$2,2)=4,WEEKDAY('Daily Schedule'!$B$2,2)=5,WEEKDAY('Daily Schedule'!$B$2,2)=7),IFERROR(1*'Daily Workforce'!$K59&gt;=3,FALSE()),IFERROR(1*'Daily Workforce'!$K59&gt;=2,FALSE())),IF(AND('Daily Schedule'!$A20&gt;=46,'Daily Schedule'!$A20&lt;=52),'Daily Workforce'!$M59="Y",IFERROR(1*'Daily Workforce'!$P59&gt;=2,FALSE()))))),1,0)</f>
        <v>1</v>
      </c>
      <c r="BS16" s="1" t="n">
        <f aca="false">IF(AND('Daily Workforce'!$N60="Y",'Daily Workforce'!$B60&lt;&gt;"",COUNTIF('Daily Schedule'!$F$5:$F19,'Daily Workforce'!$B60)=0,IF('Daily Schedule'!$A20=45,'Daily Workforce'!$J60="Y",IF(OR('Daily Schedule'!$A20=4,'Daily Schedule'!$A20=8),IF(OR(WEEKDAY('Daily Schedule'!$B$2,2)=1,WEEKDAY('Daily Schedule'!$B$2,2)=4,WEEKDAY('Daily Schedule'!$B$2,2)=5,WEEKDAY('Daily Schedule'!$B$2,2)=7),IFERROR(1*'Daily Workforce'!$K60&gt;=3,FALSE()),IFERROR(1*'Daily Workforce'!$K60&gt;=2,FALSE())),IF(AND('Daily Schedule'!$A20&gt;=46,'Daily Schedule'!$A20&lt;=52),'Daily Workforce'!$M60="Y",IFERROR(1*'Daily Workforce'!$P60&gt;=2,FALSE()))))),1,0)</f>
        <v>1</v>
      </c>
      <c r="BT16" s="1" t="n">
        <f aca="false">IF(AND('Daily Workforce'!$N61="Y",'Daily Workforce'!$B61&lt;&gt;"",COUNTIF('Daily Schedule'!$F$5:$F19,'Daily Workforce'!$B61)=0,IF('Daily Schedule'!$A20=45,'Daily Workforce'!$J61="Y",IF(OR('Daily Schedule'!$A20=4,'Daily Schedule'!$A20=8),IF(OR(WEEKDAY('Daily Schedule'!$B$2,2)=1,WEEKDAY('Daily Schedule'!$B$2,2)=4,WEEKDAY('Daily Schedule'!$B$2,2)=5,WEEKDAY('Daily Schedule'!$B$2,2)=7),IFERROR(1*'Daily Workforce'!$K61&gt;=3,FALSE()),IFERROR(1*'Daily Workforce'!$K61&gt;=2,FALSE())),IF(AND('Daily Schedule'!$A20&gt;=46,'Daily Schedule'!$A20&lt;=52),'Daily Workforce'!$M61="Y",IFERROR(1*'Daily Workforce'!$P61&gt;=2,FALSE()))))),1,0)</f>
        <v>0</v>
      </c>
      <c r="BU16" s="1" t="n">
        <f aca="false">IF(AND('Daily Workforce'!$N62="Y",'Daily Workforce'!$B62&lt;&gt;"",COUNTIF('Daily Schedule'!$F$5:$F19,'Daily Workforce'!$B62)=0,IF('Daily Schedule'!$A20=45,'Daily Workforce'!$J62="Y",IF(OR('Daily Schedule'!$A20=4,'Daily Schedule'!$A20=8),IF(OR(WEEKDAY('Daily Schedule'!$B$2,2)=1,WEEKDAY('Daily Schedule'!$B$2,2)=4,WEEKDAY('Daily Schedule'!$B$2,2)=5,WEEKDAY('Daily Schedule'!$B$2,2)=7),IFERROR(1*'Daily Workforce'!$K62&gt;=3,FALSE()),IFERROR(1*'Daily Workforce'!$K62&gt;=2,FALSE())),IF(AND('Daily Schedule'!$A20&gt;=46,'Daily Schedule'!$A20&lt;=52),'Daily Workforce'!$M62="Y",IFERROR(1*'Daily Workforce'!$P62&gt;=2,FALSE()))))),1,0)</f>
        <v>1</v>
      </c>
      <c r="BV16" s="1" t="n">
        <f aca="false">IF(AND('Daily Workforce'!$N63="Y",'Daily Workforce'!$B63&lt;&gt;"",COUNTIF('Daily Schedule'!$F$5:$F19,'Daily Workforce'!$B63)=0,IF('Daily Schedule'!$A20=45,'Daily Workforce'!$J63="Y",IF(OR('Daily Schedule'!$A20=4,'Daily Schedule'!$A20=8),IF(OR(WEEKDAY('Daily Schedule'!$B$2,2)=1,WEEKDAY('Daily Schedule'!$B$2,2)=4,WEEKDAY('Daily Schedule'!$B$2,2)=5,WEEKDAY('Daily Schedule'!$B$2,2)=7),IFERROR(1*'Daily Workforce'!$K63&gt;=3,FALSE()),IFERROR(1*'Daily Workforce'!$K63&gt;=2,FALSE())),IF(AND('Daily Schedule'!$A20&gt;=46,'Daily Schedule'!$A20&lt;=52),'Daily Workforce'!$M63="Y",IFERROR(1*'Daily Workforce'!$P63&gt;=2,FALSE()))))),1,0)</f>
        <v>1</v>
      </c>
      <c r="BW16" s="1" t="n">
        <f aca="false">IF(AND('Daily Workforce'!$N64="Y",'Daily Workforce'!$B64&lt;&gt;"",COUNTIF('Daily Schedule'!$F$5:$F19,'Daily Workforce'!$B64)=0,IF('Daily Schedule'!$A20=45,'Daily Workforce'!$J64="Y",IF(OR('Daily Schedule'!$A20=4,'Daily Schedule'!$A20=8),IF(OR(WEEKDAY('Daily Schedule'!$B$2,2)=1,WEEKDAY('Daily Schedule'!$B$2,2)=4,WEEKDAY('Daily Schedule'!$B$2,2)=5,WEEKDAY('Daily Schedule'!$B$2,2)=7),IFERROR(1*'Daily Workforce'!$K64&gt;=3,FALSE()),IFERROR(1*'Daily Workforce'!$K64&gt;=2,FALSE())),IF(AND('Daily Schedule'!$A20&gt;=46,'Daily Schedule'!$A20&lt;=52),'Daily Workforce'!$M64="Y",IFERROR(1*'Daily Workforce'!$P64&gt;=2,FALSE()))))),1,0)</f>
        <v>1</v>
      </c>
      <c r="BX16" s="1" t="n">
        <f aca="false">IF(AND('Daily Workforce'!$N65="Y",'Daily Workforce'!$B65&lt;&gt;"",COUNTIF('Daily Schedule'!$F$5:$F19,'Daily Workforce'!$B65)=0,IF('Daily Schedule'!$A20=45,'Daily Workforce'!$J65="Y",IF(OR('Daily Schedule'!$A20=4,'Daily Schedule'!$A20=8),IF(OR(WEEKDAY('Daily Schedule'!$B$2,2)=1,WEEKDAY('Daily Schedule'!$B$2,2)=4,WEEKDAY('Daily Schedule'!$B$2,2)=5,WEEKDAY('Daily Schedule'!$B$2,2)=7),IFERROR(1*'Daily Workforce'!$K65&gt;=3,FALSE()),IFERROR(1*'Daily Workforce'!$K65&gt;=2,FALSE())),IF(AND('Daily Schedule'!$A20&gt;=46,'Daily Schedule'!$A20&lt;=52),'Daily Workforce'!$M65="Y",IFERROR(1*'Daily Workforce'!$P65&gt;=2,FALSE()))))),1,0)</f>
        <v>1</v>
      </c>
      <c r="BY16" s="1" t="n">
        <f aca="false">IF(AND('Daily Workforce'!$N66="Y",'Daily Workforce'!$B66&lt;&gt;"",COUNTIF('Daily Schedule'!$F$5:$F19,'Daily Workforce'!$B66)=0,IF('Daily Schedule'!$A20=45,'Daily Workforce'!$J66="Y",IF(OR('Daily Schedule'!$A20=4,'Daily Schedule'!$A20=8),IF(OR(WEEKDAY('Daily Schedule'!$B$2,2)=1,WEEKDAY('Daily Schedule'!$B$2,2)=4,WEEKDAY('Daily Schedule'!$B$2,2)=5,WEEKDAY('Daily Schedule'!$B$2,2)=7),IFERROR(1*'Daily Workforce'!$K66&gt;=3,FALSE()),IFERROR(1*'Daily Workforce'!$K66&gt;=2,FALSE())),IF(AND('Daily Schedule'!$A20&gt;=46,'Daily Schedule'!$A20&lt;=52),'Daily Workforce'!$M66="Y",IFERROR(1*'Daily Workforce'!$P66&gt;=2,FALSE()))))),1,0)</f>
        <v>1</v>
      </c>
      <c r="BZ16" s="1" t="n">
        <f aca="false">IF(AND('Daily Workforce'!$N67="Y",'Daily Workforce'!$B67&lt;&gt;"",COUNTIF('Daily Schedule'!$F$5:$F19,'Daily Workforce'!$B67)=0,IF('Daily Schedule'!$A20=45,'Daily Workforce'!$J67="Y",IF(OR('Daily Schedule'!$A20=4,'Daily Schedule'!$A20=8),IF(OR(WEEKDAY('Daily Schedule'!$B$2,2)=1,WEEKDAY('Daily Schedule'!$B$2,2)=4,WEEKDAY('Daily Schedule'!$B$2,2)=5,WEEKDAY('Daily Schedule'!$B$2,2)=7),IFERROR(1*'Daily Workforce'!$K67&gt;=3,FALSE()),IFERROR(1*'Daily Workforce'!$K67&gt;=2,FALSE())),IF(AND('Daily Schedule'!$A20&gt;=46,'Daily Schedule'!$A20&lt;=52),'Daily Workforce'!$M67="Y",IFERROR(1*'Daily Workforce'!$P67&gt;=2,FALSE()))))),1,0)</f>
        <v>1</v>
      </c>
      <c r="CA16" s="1" t="n">
        <f aca="false">IF(AND('Daily Workforce'!$N68="Y",'Daily Workforce'!$B68&lt;&gt;"",COUNTIF('Daily Schedule'!$F$5:$F19,'Daily Workforce'!$B68)=0,IF('Daily Schedule'!$A20=45,'Daily Workforce'!$J68="Y",IF(OR('Daily Schedule'!$A20=4,'Daily Schedule'!$A20=8),IF(OR(WEEKDAY('Daily Schedule'!$B$2,2)=1,WEEKDAY('Daily Schedule'!$B$2,2)=4,WEEKDAY('Daily Schedule'!$B$2,2)=5,WEEKDAY('Daily Schedule'!$B$2,2)=7),IFERROR(1*'Daily Workforce'!$K68&gt;=3,FALSE()),IFERROR(1*'Daily Workforce'!$K68&gt;=2,FALSE())),IF(AND('Daily Schedule'!$A20&gt;=46,'Daily Schedule'!$A20&lt;=52),'Daily Workforce'!$M68="Y",IFERROR(1*'Daily Workforce'!$P68&gt;=2,FALSE()))))),1,0)</f>
        <v>1</v>
      </c>
      <c r="CB16" s="1" t="n">
        <f aca="false">IF(AND('Daily Workforce'!$N69="Y",'Daily Workforce'!$B69&lt;&gt;"",COUNTIF('Daily Schedule'!$F$5:$F19,'Daily Workforce'!$B69)=0,IF('Daily Schedule'!$A20=45,'Daily Workforce'!$J69="Y",IF(OR('Daily Schedule'!$A20=4,'Daily Schedule'!$A20=8),IF(OR(WEEKDAY('Daily Schedule'!$B$2,2)=1,WEEKDAY('Daily Schedule'!$B$2,2)=4,WEEKDAY('Daily Schedule'!$B$2,2)=5,WEEKDAY('Daily Schedule'!$B$2,2)=7),IFERROR(1*'Daily Workforce'!$K69&gt;=3,FALSE()),IFERROR(1*'Daily Workforce'!$K69&gt;=2,FALSE())),IF(AND('Daily Schedule'!$A20&gt;=46,'Daily Schedule'!$A20&lt;=52),'Daily Workforce'!$M69="Y",IFERROR(1*'Daily Workforce'!$P69&gt;=2,FALSE()))))),1,0)</f>
        <v>1</v>
      </c>
      <c r="CC16" s="1" t="n">
        <f aca="false">IF(AND('Daily Workforce'!$N70="Y",'Daily Workforce'!$B70&lt;&gt;"",COUNTIF('Daily Schedule'!$F$5:$F19,'Daily Workforce'!$B70)=0,IF('Daily Schedule'!$A20=45,'Daily Workforce'!$J70="Y",IF(OR('Daily Schedule'!$A20=4,'Daily Schedule'!$A20=8),IF(OR(WEEKDAY('Daily Schedule'!$B$2,2)=1,WEEKDAY('Daily Schedule'!$B$2,2)=4,WEEKDAY('Daily Schedule'!$B$2,2)=5,WEEKDAY('Daily Schedule'!$B$2,2)=7),IFERROR(1*'Daily Workforce'!$K70&gt;=3,FALSE()),IFERROR(1*'Daily Workforce'!$K70&gt;=2,FALSE())),IF(AND('Daily Schedule'!$A20&gt;=46,'Daily Schedule'!$A20&lt;=52),'Daily Workforce'!$M70="Y",IFERROR(1*'Daily Workforce'!$P70&gt;=2,FALSE()))))),1,0)</f>
        <v>1</v>
      </c>
      <c r="CD16" s="1" t="n">
        <f aca="false">IF(AND('Daily Workforce'!$N71="Y",'Daily Workforce'!$B71&lt;&gt;"",COUNTIF('Daily Schedule'!$F$5:$F19,'Daily Workforce'!$B71)=0,IF('Daily Schedule'!$A20=45,'Daily Workforce'!$J71="Y",IF(OR('Daily Schedule'!$A20=4,'Daily Schedule'!$A20=8),IF(OR(WEEKDAY('Daily Schedule'!$B$2,2)=1,WEEKDAY('Daily Schedule'!$B$2,2)=4,WEEKDAY('Daily Schedule'!$B$2,2)=5,WEEKDAY('Daily Schedule'!$B$2,2)=7),IFERROR(1*'Daily Workforce'!$K71&gt;=3,FALSE()),IFERROR(1*'Daily Workforce'!$K71&gt;=2,FALSE())),IF(AND('Daily Schedule'!$A20&gt;=46,'Daily Schedule'!$A20&lt;=52),'Daily Workforce'!$M71="Y",IFERROR(1*'Daily Workforce'!$P71&gt;=2,FALSE()))))),1,0)</f>
        <v>1</v>
      </c>
      <c r="CE16" s="1" t="n">
        <f aca="false">IF(AND('Daily Workforce'!$N72="Y",'Daily Workforce'!$B72&lt;&gt;"",COUNTIF('Daily Schedule'!$F$5:$F19,'Daily Workforce'!$B72)=0,IF('Daily Schedule'!$A20=45,'Daily Workforce'!$J72="Y",IF(OR('Daily Schedule'!$A20=4,'Daily Schedule'!$A20=8),IF(OR(WEEKDAY('Daily Schedule'!$B$2,2)=1,WEEKDAY('Daily Schedule'!$B$2,2)=4,WEEKDAY('Daily Schedule'!$B$2,2)=5,WEEKDAY('Daily Schedule'!$B$2,2)=7),IFERROR(1*'Daily Workforce'!$K72&gt;=3,FALSE()),IFERROR(1*'Daily Workforce'!$K72&gt;=2,FALSE())),IF(AND('Daily Schedule'!$A20&gt;=46,'Daily Schedule'!$A20&lt;=52),'Daily Workforce'!$M72="Y",IFERROR(1*'Daily Workforce'!$P72&gt;=2,FALSE()))))),1,0)</f>
        <v>1</v>
      </c>
      <c r="CF16" s="1" t="n">
        <f aca="false">IF(AND('Daily Workforce'!$N73="Y",'Daily Workforce'!$B73&lt;&gt;"",COUNTIF('Daily Schedule'!$F$5:$F19,'Daily Workforce'!$B73)=0,IF('Daily Schedule'!$A20=45,'Daily Workforce'!$J73="Y",IF(OR('Daily Schedule'!$A20=4,'Daily Schedule'!$A20=8),IF(OR(WEEKDAY('Daily Schedule'!$B$2,2)=1,WEEKDAY('Daily Schedule'!$B$2,2)=4,WEEKDAY('Daily Schedule'!$B$2,2)=5,WEEKDAY('Daily Schedule'!$B$2,2)=7),IFERROR(1*'Daily Workforce'!$K73&gt;=3,FALSE()),IFERROR(1*'Daily Workforce'!$K73&gt;=2,FALSE())),IF(AND('Daily Schedule'!$A20&gt;=46,'Daily Schedule'!$A20&lt;=52),'Daily Workforce'!$M73="Y",IFERROR(1*'Daily Workforce'!$P73&gt;=2,FALSE()))))),1,0)</f>
        <v>1</v>
      </c>
      <c r="CG16" s="1" t="n">
        <f aca="false">IF(AND('Daily Workforce'!$N74="Y",'Daily Workforce'!$B74&lt;&gt;"",COUNTIF('Daily Schedule'!$F$5:$F19,'Daily Workforce'!$B74)=0,IF('Daily Schedule'!$A20=45,'Daily Workforce'!$J74="Y",IF(OR('Daily Schedule'!$A20=4,'Daily Schedule'!$A20=8),IF(OR(WEEKDAY('Daily Schedule'!$B$2,2)=1,WEEKDAY('Daily Schedule'!$B$2,2)=4,WEEKDAY('Daily Schedule'!$B$2,2)=5,WEEKDAY('Daily Schedule'!$B$2,2)=7),IFERROR(1*'Daily Workforce'!$K74&gt;=3,FALSE()),IFERROR(1*'Daily Workforce'!$K74&gt;=2,FALSE())),IF(AND('Daily Schedule'!$A20&gt;=46,'Daily Schedule'!$A20&lt;=52),'Daily Workforce'!$M74="Y",IFERROR(1*'Daily Workforce'!$P74&gt;=2,FALSE()))))),1,0)</f>
        <v>1</v>
      </c>
      <c r="CH16" s="1" t="n">
        <f aca="false">IF(AND('Daily Workforce'!$N75="Y",'Daily Workforce'!$B75&lt;&gt;"",COUNTIF('Daily Schedule'!$F$5:$F19,'Daily Workforce'!$B75)=0,IF('Daily Schedule'!$A20=45,'Daily Workforce'!$J75="Y",IF(OR('Daily Schedule'!$A20=4,'Daily Schedule'!$A20=8),IF(OR(WEEKDAY('Daily Schedule'!$B$2,2)=1,WEEKDAY('Daily Schedule'!$B$2,2)=4,WEEKDAY('Daily Schedule'!$B$2,2)=5,WEEKDAY('Daily Schedule'!$B$2,2)=7),IFERROR(1*'Daily Workforce'!$K75&gt;=3,FALSE()),IFERROR(1*'Daily Workforce'!$K75&gt;=2,FALSE())),IF(AND('Daily Schedule'!$A20&gt;=46,'Daily Schedule'!$A20&lt;=52),'Daily Workforce'!$M75="Y",IFERROR(1*'Daily Workforce'!$P75&gt;=2,FALSE()))))),1,0)</f>
        <v>1</v>
      </c>
      <c r="CI16" s="1" t="n">
        <f aca="false">IF(AND('Daily Workforce'!$N76="Y",'Daily Workforce'!$B76&lt;&gt;"",COUNTIF('Daily Schedule'!$F$5:$F19,'Daily Workforce'!$B76)=0,IF('Daily Schedule'!$A20=45,'Daily Workforce'!$J76="Y",IF(OR('Daily Schedule'!$A20=4,'Daily Schedule'!$A20=8),IF(OR(WEEKDAY('Daily Schedule'!$B$2,2)=1,WEEKDAY('Daily Schedule'!$B$2,2)=4,WEEKDAY('Daily Schedule'!$B$2,2)=5,WEEKDAY('Daily Schedule'!$B$2,2)=7),IFERROR(1*'Daily Workforce'!$K76&gt;=3,FALSE()),IFERROR(1*'Daily Workforce'!$K76&gt;=2,FALSE())),IF(AND('Daily Schedule'!$A20&gt;=46,'Daily Schedule'!$A20&lt;=52),'Daily Workforce'!$M76="Y",IFERROR(1*'Daily Workforce'!$P76&gt;=2,FALSE()))))),1,0)</f>
        <v>1</v>
      </c>
      <c r="CJ16" s="1" t="n">
        <f aca="false">IF(AND('Daily Workforce'!$N77="Y",'Daily Workforce'!$B77&lt;&gt;"",COUNTIF('Daily Schedule'!$F$5:$F19,'Daily Workforce'!$B77)=0,IF('Daily Schedule'!$A20=45,'Daily Workforce'!$J77="Y",IF(OR('Daily Schedule'!$A20=4,'Daily Schedule'!$A20=8),IF(OR(WEEKDAY('Daily Schedule'!$B$2,2)=1,WEEKDAY('Daily Schedule'!$B$2,2)=4,WEEKDAY('Daily Schedule'!$B$2,2)=5,WEEKDAY('Daily Schedule'!$B$2,2)=7),IFERROR(1*'Daily Workforce'!$K77&gt;=3,FALSE()),IFERROR(1*'Daily Workforce'!$K77&gt;=2,FALSE())),IF(AND('Daily Schedule'!$A20&gt;=46,'Daily Schedule'!$A20&lt;=52),'Daily Workforce'!$M77="Y",IFERROR(1*'Daily Workforce'!$P77&gt;=2,FALSE()))))),1,0)</f>
        <v>1</v>
      </c>
      <c r="CK16" s="1" t="n">
        <f aca="false">IF(AND('Daily Workforce'!$N78="Y",'Daily Workforce'!$B78&lt;&gt;"",COUNTIF('Daily Schedule'!$F$5:$F19,'Daily Workforce'!$B78)=0,IF('Daily Schedule'!$A20=45,'Daily Workforce'!$J78="Y",IF(OR('Daily Schedule'!$A20=4,'Daily Schedule'!$A20=8),IF(OR(WEEKDAY('Daily Schedule'!$B$2,2)=1,WEEKDAY('Daily Schedule'!$B$2,2)=4,WEEKDAY('Daily Schedule'!$B$2,2)=5,WEEKDAY('Daily Schedule'!$B$2,2)=7),IFERROR(1*'Daily Workforce'!$K78&gt;=3,FALSE()),IFERROR(1*'Daily Workforce'!$K78&gt;=2,FALSE())),IF(AND('Daily Schedule'!$A20&gt;=46,'Daily Schedule'!$A20&lt;=52),'Daily Workforce'!$M78="Y",IFERROR(1*'Daily Workforce'!$P78&gt;=2,FALSE()))))),1,0)</f>
        <v>1</v>
      </c>
      <c r="CL16" s="1" t="n">
        <f aca="false">IF(AND('Daily Workforce'!$N79="Y",'Daily Workforce'!$B79&lt;&gt;"",COUNTIF('Daily Schedule'!$F$5:$F19,'Daily Workforce'!$B79)=0,IF('Daily Schedule'!$A20=45,'Daily Workforce'!$J79="Y",IF(OR('Daily Schedule'!$A20=4,'Daily Schedule'!$A20=8),IF(OR(WEEKDAY('Daily Schedule'!$B$2,2)=1,WEEKDAY('Daily Schedule'!$B$2,2)=4,WEEKDAY('Daily Schedule'!$B$2,2)=5,WEEKDAY('Daily Schedule'!$B$2,2)=7),IFERROR(1*'Daily Workforce'!$K79&gt;=3,FALSE()),IFERROR(1*'Daily Workforce'!$K79&gt;=2,FALSE())),IF(AND('Daily Schedule'!$A20&gt;=46,'Daily Schedule'!$A20&lt;=52),'Daily Workforce'!$M79="Y",IFERROR(1*'Daily Workforce'!$P79&gt;=2,FALSE()))))),1,0)</f>
        <v>1</v>
      </c>
      <c r="CM16" s="1" t="n">
        <f aca="false">IF(AND('Daily Workforce'!$N80="Y",'Daily Workforce'!$B80&lt;&gt;"",COUNTIF('Daily Schedule'!$F$5:$F19,'Daily Workforce'!$B80)=0,IF('Daily Schedule'!$A20=45,'Daily Workforce'!$J80="Y",IF(OR('Daily Schedule'!$A20=4,'Daily Schedule'!$A20=8),IF(OR(WEEKDAY('Daily Schedule'!$B$2,2)=1,WEEKDAY('Daily Schedule'!$B$2,2)=4,WEEKDAY('Daily Schedule'!$B$2,2)=5,WEEKDAY('Daily Schedule'!$B$2,2)=7),IFERROR(1*'Daily Workforce'!$K80&gt;=3,FALSE()),IFERROR(1*'Daily Workforce'!$K80&gt;=2,FALSE())),IF(AND('Daily Schedule'!$A20&gt;=46,'Daily Schedule'!$A20&lt;=52),'Daily Workforce'!$M80="Y",IFERROR(1*'Daily Workforce'!$P80&gt;=2,FALSE()))))),1,0)</f>
        <v>1</v>
      </c>
      <c r="CN16" s="1" t="n">
        <f aca="false">IF(AND('Daily Workforce'!$N81="Y",'Daily Workforce'!$B81&lt;&gt;"",COUNTIF('Daily Schedule'!$F$5:$F19,'Daily Workforce'!$B81)=0,IF('Daily Schedule'!$A20=45,'Daily Workforce'!$J81="Y",IF(OR('Daily Schedule'!$A20=4,'Daily Schedule'!$A20=8),IF(OR(WEEKDAY('Daily Schedule'!$B$2,2)=1,WEEKDAY('Daily Schedule'!$B$2,2)=4,WEEKDAY('Daily Schedule'!$B$2,2)=5,WEEKDAY('Daily Schedule'!$B$2,2)=7),IFERROR(1*'Daily Workforce'!$K81&gt;=3,FALSE()),IFERROR(1*'Daily Workforce'!$K81&gt;=2,FALSE())),IF(AND('Daily Schedule'!$A20&gt;=46,'Daily Schedule'!$A20&lt;=52),'Daily Workforce'!$M81="Y",IFERROR(1*'Daily Workforce'!$P81&gt;=2,FALSE()))))),1,0)</f>
        <v>1</v>
      </c>
      <c r="CO16" s="1" t="n">
        <f aca="false">IF(AND('Daily Workforce'!$N82="Y",'Daily Workforce'!$B82&lt;&gt;"",COUNTIF('Daily Schedule'!$F$5:$F19,'Daily Workforce'!$B82)=0,IF('Daily Schedule'!$A20=45,'Daily Workforce'!$J82="Y",IF(OR('Daily Schedule'!$A20=4,'Daily Schedule'!$A20=8),IF(OR(WEEKDAY('Daily Schedule'!$B$2,2)=1,WEEKDAY('Daily Schedule'!$B$2,2)=4,WEEKDAY('Daily Schedule'!$B$2,2)=5,WEEKDAY('Daily Schedule'!$B$2,2)=7),IFERROR(1*'Daily Workforce'!$K82&gt;=3,FALSE()),IFERROR(1*'Daily Workforce'!$K82&gt;=2,FALSE())),IF(AND('Daily Schedule'!$A20&gt;=46,'Daily Schedule'!$A20&lt;=52),'Daily Workforce'!$M82="Y",IFERROR(1*'Daily Workforce'!$P82&gt;=2,FALSE()))))),1,0)</f>
        <v>1</v>
      </c>
      <c r="CP16" s="1" t="n">
        <f aca="false">IF(AND('Daily Workforce'!$N83="Y",'Daily Workforce'!$B83&lt;&gt;"",COUNTIF('Daily Schedule'!$F$5:$F19,'Daily Workforce'!$B83)=0,IF('Daily Schedule'!$A20=45,'Daily Workforce'!$J83="Y",IF(OR('Daily Schedule'!$A20=4,'Daily Schedule'!$A20=8),IF(OR(WEEKDAY('Daily Schedule'!$B$2,2)=1,WEEKDAY('Daily Schedule'!$B$2,2)=4,WEEKDAY('Daily Schedule'!$B$2,2)=5,WEEKDAY('Daily Schedule'!$B$2,2)=7),IFERROR(1*'Daily Workforce'!$K83&gt;=3,FALSE()),IFERROR(1*'Daily Workforce'!$K83&gt;=2,FALSE())),IF(AND('Daily Schedule'!$A20&gt;=46,'Daily Schedule'!$A20&lt;=52),'Daily Workforce'!$M83="Y",IFERROR(1*'Daily Workforce'!$P83&gt;=2,FALSE()))))),1,0)</f>
        <v>0</v>
      </c>
      <c r="CQ16" s="1" t="n">
        <f aca="false">IF(AND('Daily Workforce'!$N84="Y",'Daily Workforce'!$B84&lt;&gt;"",COUNTIF('Daily Schedule'!$F$5:$F19,'Daily Workforce'!$B84)=0,IF('Daily Schedule'!$A20=45,'Daily Workforce'!$J84="Y",IF(OR('Daily Schedule'!$A20=4,'Daily Schedule'!$A20=8),IF(OR(WEEKDAY('Daily Schedule'!$B$2,2)=1,WEEKDAY('Daily Schedule'!$B$2,2)=4,WEEKDAY('Daily Schedule'!$B$2,2)=5,WEEKDAY('Daily Schedule'!$B$2,2)=7),IFERROR(1*'Daily Workforce'!$K84&gt;=3,FALSE()),IFERROR(1*'Daily Workforce'!$K84&gt;=2,FALSE())),IF(AND('Daily Schedule'!$A20&gt;=46,'Daily Schedule'!$A20&lt;=52),'Daily Workforce'!$M84="Y",IFERROR(1*'Daily Workforce'!$P84&gt;=2,FALSE()))))),1,0)</f>
        <v>1</v>
      </c>
      <c r="CR16" s="1" t="n">
        <f aca="false">IF(AND('Daily Workforce'!$N85="Y",'Daily Workforce'!$B85&lt;&gt;"",COUNTIF('Daily Schedule'!$F$5:$F19,'Daily Workforce'!$B85)=0,IF('Daily Schedule'!$A20=45,'Daily Workforce'!$J85="Y",IF(OR('Daily Schedule'!$A20=4,'Daily Schedule'!$A20=8),IF(OR(WEEKDAY('Daily Schedule'!$B$2,2)=1,WEEKDAY('Daily Schedule'!$B$2,2)=4,WEEKDAY('Daily Schedule'!$B$2,2)=5,WEEKDAY('Daily Schedule'!$B$2,2)=7),IFERROR(1*'Daily Workforce'!$K85&gt;=3,FALSE()),IFERROR(1*'Daily Workforce'!$K85&gt;=2,FALSE())),IF(AND('Daily Schedule'!$A20&gt;=46,'Daily Schedule'!$A20&lt;=52),'Daily Workforce'!$M85="Y",IFERROR(1*'Daily Workforce'!$P85&gt;=2,FALSE()))))),1,0)</f>
        <v>0</v>
      </c>
      <c r="CS16" s="1" t="n">
        <f aca="false">IF(AND('Daily Workforce'!$N86="Y",'Daily Workforce'!$B86&lt;&gt;"",COUNTIF('Daily Schedule'!$F$5:$F19,'Daily Workforce'!$B86)=0,IF('Daily Schedule'!$A20=45,'Daily Workforce'!$J86="Y",IF(OR('Daily Schedule'!$A20=4,'Daily Schedule'!$A20=8),IF(OR(WEEKDAY('Daily Schedule'!$B$2,2)=1,WEEKDAY('Daily Schedule'!$B$2,2)=4,WEEKDAY('Daily Schedule'!$B$2,2)=5,WEEKDAY('Daily Schedule'!$B$2,2)=7),IFERROR(1*'Daily Workforce'!$K86&gt;=3,FALSE()),IFERROR(1*'Daily Workforce'!$K86&gt;=2,FALSE())),IF(AND('Daily Schedule'!$A20&gt;=46,'Daily Schedule'!$A20&lt;=52),'Daily Workforce'!$M86="Y",IFERROR(1*'Daily Workforce'!$P86&gt;=2,FALSE()))))),1,0)</f>
        <v>1</v>
      </c>
      <c r="CT16" s="1" t="n">
        <f aca="false">IF(AND('Daily Workforce'!$N87="Y",'Daily Workforce'!$B87&lt;&gt;"",COUNTIF('Daily Schedule'!$F$5:$F19,'Daily Workforce'!$B87)=0,IF('Daily Schedule'!$A20=45,'Daily Workforce'!$J87="Y",IF(OR('Daily Schedule'!$A20=4,'Daily Schedule'!$A20=8),IF(OR(WEEKDAY('Daily Schedule'!$B$2,2)=1,WEEKDAY('Daily Schedule'!$B$2,2)=4,WEEKDAY('Daily Schedule'!$B$2,2)=5,WEEKDAY('Daily Schedule'!$B$2,2)=7),IFERROR(1*'Daily Workforce'!$K87&gt;=3,FALSE()),IFERROR(1*'Daily Workforce'!$K87&gt;=2,FALSE())),IF(AND('Daily Schedule'!$A20&gt;=46,'Daily Schedule'!$A20&lt;=52),'Daily Workforce'!$M87="Y",IFERROR(1*'Daily Workforce'!$P87&gt;=2,FALSE()))))),1,0)</f>
        <v>1</v>
      </c>
      <c r="CU16" s="1" t="n">
        <f aca="false">IF(AND('Daily Workforce'!$N88="Y",'Daily Workforce'!$B88&lt;&gt;"",COUNTIF('Daily Schedule'!$F$5:$F19,'Daily Workforce'!$B88)=0,IF('Daily Schedule'!$A20=45,'Daily Workforce'!$J88="Y",IF(OR('Daily Schedule'!$A20=4,'Daily Schedule'!$A20=8),IF(OR(WEEKDAY('Daily Schedule'!$B$2,2)=1,WEEKDAY('Daily Schedule'!$B$2,2)=4,WEEKDAY('Daily Schedule'!$B$2,2)=5,WEEKDAY('Daily Schedule'!$B$2,2)=7),IFERROR(1*'Daily Workforce'!$K88&gt;=3,FALSE()),IFERROR(1*'Daily Workforce'!$K88&gt;=2,FALSE())),IF(AND('Daily Schedule'!$A20&gt;=46,'Daily Schedule'!$A20&lt;=52),'Daily Workforce'!$M88="Y",IFERROR(1*'Daily Workforce'!$P88&gt;=2,FALSE()))))),1,0)</f>
        <v>1</v>
      </c>
      <c r="CV16" s="1" t="n">
        <f aca="false">IF(AND('Daily Workforce'!$N89="Y",'Daily Workforce'!$B89&lt;&gt;"",COUNTIF('Daily Schedule'!$F$5:$F19,'Daily Workforce'!$B89)=0,IF('Daily Schedule'!$A20=45,'Daily Workforce'!$J89="Y",IF(OR('Daily Schedule'!$A20=4,'Daily Schedule'!$A20=8),IF(OR(WEEKDAY('Daily Schedule'!$B$2,2)=1,WEEKDAY('Daily Schedule'!$B$2,2)=4,WEEKDAY('Daily Schedule'!$B$2,2)=5,WEEKDAY('Daily Schedule'!$B$2,2)=7),IFERROR(1*'Daily Workforce'!$K89&gt;=3,FALSE()),IFERROR(1*'Daily Workforce'!$K89&gt;=2,FALSE())),IF(AND('Daily Schedule'!$A20&gt;=46,'Daily Schedule'!$A20&lt;=52),'Daily Workforce'!$M89="Y",IFERROR(1*'Daily Workforce'!$P89&gt;=2,FALSE()))))),1,0)</f>
        <v>1</v>
      </c>
      <c r="CW16" s="1" t="n">
        <f aca="false">IF(AND('Daily Workforce'!$N90="Y",'Daily Workforce'!$B90&lt;&gt;"",COUNTIF('Daily Schedule'!$F$5:$F19,'Daily Workforce'!$B90)=0,IF('Daily Schedule'!$A20=45,'Daily Workforce'!$J90="Y",IF(OR('Daily Schedule'!$A20=4,'Daily Schedule'!$A20=8),IF(OR(WEEKDAY('Daily Schedule'!$B$2,2)=1,WEEKDAY('Daily Schedule'!$B$2,2)=4,WEEKDAY('Daily Schedule'!$B$2,2)=5,WEEKDAY('Daily Schedule'!$B$2,2)=7),IFERROR(1*'Daily Workforce'!$K90&gt;=3,FALSE()),IFERROR(1*'Daily Workforce'!$K90&gt;=2,FALSE())),IF(AND('Daily Schedule'!$A20&gt;=46,'Daily Schedule'!$A20&lt;=52),'Daily Workforce'!$M90="Y",IFERROR(1*'Daily Workforce'!$P90&gt;=2,FALSE()))))),1,0)</f>
        <v>1</v>
      </c>
      <c r="CX16" s="1" t="n">
        <f aca="false">IF(AND('Daily Workforce'!$N91="Y",'Daily Workforce'!$B91&lt;&gt;"",COUNTIF('Daily Schedule'!$F$5:$F19,'Daily Workforce'!$B91)=0,IF('Daily Schedule'!$A20=45,'Daily Workforce'!$J91="Y",IF(OR('Daily Schedule'!$A20=4,'Daily Schedule'!$A20=8),IF(OR(WEEKDAY('Daily Schedule'!$B$2,2)=1,WEEKDAY('Daily Schedule'!$B$2,2)=4,WEEKDAY('Daily Schedule'!$B$2,2)=5,WEEKDAY('Daily Schedule'!$B$2,2)=7),IFERROR(1*'Daily Workforce'!$K91&gt;=3,FALSE()),IFERROR(1*'Daily Workforce'!$K91&gt;=2,FALSE())),IF(AND('Daily Schedule'!$A20&gt;=46,'Daily Schedule'!$A20&lt;=52),'Daily Workforce'!$M91="Y",IFERROR(1*'Daily Workforce'!$P91&gt;=2,FALSE()))))),1,0)</f>
        <v>1</v>
      </c>
      <c r="CY16" s="1" t="n">
        <f aca="false">IF(AND('Daily Workforce'!$N92="Y",'Daily Workforce'!$B92&lt;&gt;"",COUNTIF('Daily Schedule'!$F$5:$F19,'Daily Workforce'!$B92)=0,IF('Daily Schedule'!$A20=45,'Daily Workforce'!$J92="Y",IF(OR('Daily Schedule'!$A20=4,'Daily Schedule'!$A20=8),IF(OR(WEEKDAY('Daily Schedule'!$B$2,2)=1,WEEKDAY('Daily Schedule'!$B$2,2)=4,WEEKDAY('Daily Schedule'!$B$2,2)=5,WEEKDAY('Daily Schedule'!$B$2,2)=7),IFERROR(1*'Daily Workforce'!$K92&gt;=3,FALSE()),IFERROR(1*'Daily Workforce'!$K92&gt;=2,FALSE())),IF(AND('Daily Schedule'!$A20&gt;=46,'Daily Schedule'!$A20&lt;=52),'Daily Workforce'!$M92="Y",IFERROR(1*'Daily Workforce'!$P92&gt;=2,FALSE()))))),1,0)</f>
        <v>1</v>
      </c>
      <c r="CZ16" s="1" t="n">
        <f aca="false">IF(AND('Daily Workforce'!$N93="Y",'Daily Workforce'!$B93&lt;&gt;"",COUNTIF('Daily Schedule'!$F$5:$F19,'Daily Workforce'!$B93)=0,IF('Daily Schedule'!$A20=45,'Daily Workforce'!$J93="Y",IF(OR('Daily Schedule'!$A20=4,'Daily Schedule'!$A20=8),IF(OR(WEEKDAY('Daily Schedule'!$B$2,2)=1,WEEKDAY('Daily Schedule'!$B$2,2)=4,WEEKDAY('Daily Schedule'!$B$2,2)=5,WEEKDAY('Daily Schedule'!$B$2,2)=7),IFERROR(1*'Daily Workforce'!$K93&gt;=3,FALSE()),IFERROR(1*'Daily Workforce'!$K93&gt;=2,FALSE())),IF(AND('Daily Schedule'!$A20&gt;=46,'Daily Schedule'!$A20&lt;=52),'Daily Workforce'!$M93="Y",IFERROR(1*'Daily Workforce'!$P93&gt;=2,FALSE()))))),1,0)</f>
        <v>1</v>
      </c>
      <c r="DA16" s="1" t="n">
        <f aca="false">IF(AND('Daily Workforce'!$N94="Y",'Daily Workforce'!$B94&lt;&gt;"",COUNTIF('Daily Schedule'!$F$5:$F19,'Daily Workforce'!$B94)=0,IF('Daily Schedule'!$A20=45,'Daily Workforce'!$J94="Y",IF(OR('Daily Schedule'!$A20=4,'Daily Schedule'!$A20=8),IF(OR(WEEKDAY('Daily Schedule'!$B$2,2)=1,WEEKDAY('Daily Schedule'!$B$2,2)=4,WEEKDAY('Daily Schedule'!$B$2,2)=5,WEEKDAY('Daily Schedule'!$B$2,2)=7),IFERROR(1*'Daily Workforce'!$K94&gt;=3,FALSE()),IFERROR(1*'Daily Workforce'!$K94&gt;=2,FALSE())),IF(AND('Daily Schedule'!$A20&gt;=46,'Daily Schedule'!$A20&lt;=52),'Daily Workforce'!$M94="Y",IFERROR(1*'Daily Workforce'!$P94&gt;=2,FALSE()))))),1,0)</f>
        <v>1</v>
      </c>
      <c r="DB16" s="1" t="n">
        <f aca="false">IF(AND('Daily Workforce'!$N95="Y",'Daily Workforce'!$B95&lt;&gt;"",COUNTIF('Daily Schedule'!$F$5:$F19,'Daily Workforce'!$B95)=0,IF('Daily Schedule'!$A20=45,'Daily Workforce'!$J95="Y",IF(OR('Daily Schedule'!$A20=4,'Daily Schedule'!$A20=8),IF(OR(WEEKDAY('Daily Schedule'!$B$2,2)=1,WEEKDAY('Daily Schedule'!$B$2,2)=4,WEEKDAY('Daily Schedule'!$B$2,2)=5,WEEKDAY('Daily Schedule'!$B$2,2)=7),IFERROR(1*'Daily Workforce'!$K95&gt;=3,FALSE()),IFERROR(1*'Daily Workforce'!$K95&gt;=2,FALSE())),IF(AND('Daily Schedule'!$A20&gt;=46,'Daily Schedule'!$A20&lt;=52),'Daily Workforce'!$M95="Y",IFERROR(1*'Daily Workforce'!$P95&gt;=2,FALSE()))))),1,0)</f>
        <v>1</v>
      </c>
      <c r="DC16" s="1" t="n">
        <f aca="false">IF(AND('Daily Workforce'!$N96="Y",'Daily Workforce'!$B96&lt;&gt;"",COUNTIF('Daily Schedule'!$F$5:$F19,'Daily Workforce'!$B96)=0,IF('Daily Schedule'!$A20=45,'Daily Workforce'!$J96="Y",IF(OR('Daily Schedule'!$A20=4,'Daily Schedule'!$A20=8),IF(OR(WEEKDAY('Daily Schedule'!$B$2,2)=1,WEEKDAY('Daily Schedule'!$B$2,2)=4,WEEKDAY('Daily Schedule'!$B$2,2)=5,WEEKDAY('Daily Schedule'!$B$2,2)=7),IFERROR(1*'Daily Workforce'!$K96&gt;=3,FALSE()),IFERROR(1*'Daily Workforce'!$K96&gt;=2,FALSE())),IF(AND('Daily Schedule'!$A20&gt;=46,'Daily Schedule'!$A20&lt;=52),'Daily Workforce'!$M96="Y",IFERROR(1*'Daily Workforce'!$P96&gt;=2,FALSE()))))),1,0)</f>
        <v>1</v>
      </c>
      <c r="DD16" s="1" t="n">
        <f aca="false">IF(AND('Daily Workforce'!$N97="Y",'Daily Workforce'!$B97&lt;&gt;"",COUNTIF('Daily Schedule'!$F$5:$F19,'Daily Workforce'!$B97)=0,IF('Daily Schedule'!$A20=45,'Daily Workforce'!$J97="Y",IF(OR('Daily Schedule'!$A20=4,'Daily Schedule'!$A20=8),IF(OR(WEEKDAY('Daily Schedule'!$B$2,2)=1,WEEKDAY('Daily Schedule'!$B$2,2)=4,WEEKDAY('Daily Schedule'!$B$2,2)=5,WEEKDAY('Daily Schedule'!$B$2,2)=7),IFERROR(1*'Daily Workforce'!$K97&gt;=3,FALSE()),IFERROR(1*'Daily Workforce'!$K97&gt;=2,FALSE())),IF(AND('Daily Schedule'!$A20&gt;=46,'Daily Schedule'!$A20&lt;=52),'Daily Workforce'!$M97="Y",IFERROR(1*'Daily Workforce'!$P97&gt;=2,FALSE()))))),1,0)</f>
        <v>1</v>
      </c>
      <c r="DE16" s="1" t="n">
        <f aca="false">IF(AND('Daily Workforce'!$N98="Y",'Daily Workforce'!$B98&lt;&gt;"",COUNTIF('Daily Schedule'!$F$5:$F19,'Daily Workforce'!$B98)=0,IF('Daily Schedule'!$A20=45,'Daily Workforce'!$J98="Y",IF(OR('Daily Schedule'!$A20=4,'Daily Schedule'!$A20=8),IF(OR(WEEKDAY('Daily Schedule'!$B$2,2)=1,WEEKDAY('Daily Schedule'!$B$2,2)=4,WEEKDAY('Daily Schedule'!$B$2,2)=5,WEEKDAY('Daily Schedule'!$B$2,2)=7),IFERROR(1*'Daily Workforce'!$K98&gt;=3,FALSE()),IFERROR(1*'Daily Workforce'!$K98&gt;=2,FALSE())),IF(AND('Daily Schedule'!$A20&gt;=46,'Daily Schedule'!$A20&lt;=52),'Daily Workforce'!$M98="Y",IFERROR(1*'Daily Workforce'!$P98&gt;=2,FALSE()))))),1,0)</f>
        <v>1</v>
      </c>
      <c r="DF16" s="1" t="n">
        <f aca="false">IF(AND('Daily Workforce'!$N99="Y",'Daily Workforce'!$B99&lt;&gt;"",COUNTIF('Daily Schedule'!$F$5:$F19,'Daily Workforce'!$B99)=0,IF('Daily Schedule'!$A20=45,'Daily Workforce'!$J99="Y",IF(OR('Daily Schedule'!$A20=4,'Daily Schedule'!$A20=8),IF(OR(WEEKDAY('Daily Schedule'!$B$2,2)=1,WEEKDAY('Daily Schedule'!$B$2,2)=4,WEEKDAY('Daily Schedule'!$B$2,2)=5,WEEKDAY('Daily Schedule'!$B$2,2)=7),IFERROR(1*'Daily Workforce'!$K99&gt;=3,FALSE()),IFERROR(1*'Daily Workforce'!$K99&gt;=2,FALSE())),IF(AND('Daily Schedule'!$A20&gt;=46,'Daily Schedule'!$A20&lt;=52),'Daily Workforce'!$M99="Y",IFERROR(1*'Daily Workforce'!$P99&gt;=2,FALSE()))))),1,0)</f>
        <v>1</v>
      </c>
      <c r="DG16" s="1" t="n">
        <f aca="false">IF(AND('Daily Workforce'!$N100="Y",'Daily Workforce'!$B100&lt;&gt;"",COUNTIF('Daily Schedule'!$F$5:$F19,'Daily Workforce'!$B100)=0,IF('Daily Schedule'!$A20=45,'Daily Workforce'!$J100="Y",IF(OR('Daily Schedule'!$A20=4,'Daily Schedule'!$A20=8),IF(OR(WEEKDAY('Daily Schedule'!$B$2,2)=1,WEEKDAY('Daily Schedule'!$B$2,2)=4,WEEKDAY('Daily Schedule'!$B$2,2)=5,WEEKDAY('Daily Schedule'!$B$2,2)=7),IFERROR(1*'Daily Workforce'!$K100&gt;=3,FALSE()),IFERROR(1*'Daily Workforce'!$K100&gt;=2,FALSE())),IF(AND('Daily Schedule'!$A20&gt;=46,'Daily Schedule'!$A20&lt;=52),'Daily Workforce'!$M100="Y",IFERROR(1*'Daily Workforce'!$P100&gt;=2,FALSE()))))),1,0)</f>
        <v>1</v>
      </c>
      <c r="DH16" s="1" t="n">
        <f aca="false">IF(AND('Daily Workforce'!$N101="Y",'Daily Workforce'!$B101&lt;&gt;"",COUNTIF('Daily Schedule'!$F$5:$F19,'Daily Workforce'!$B101)=0,IF('Daily Schedule'!$A20=45,'Daily Workforce'!$J101="Y",IF(OR('Daily Schedule'!$A20=4,'Daily Schedule'!$A20=8),IF(OR(WEEKDAY('Daily Schedule'!$B$2,2)=1,WEEKDAY('Daily Schedule'!$B$2,2)=4,WEEKDAY('Daily Schedule'!$B$2,2)=5,WEEKDAY('Daily Schedule'!$B$2,2)=7),IFERROR(1*'Daily Workforce'!$K101&gt;=3,FALSE()),IFERROR(1*'Daily Workforce'!$K101&gt;=2,FALSE())),IF(AND('Daily Schedule'!$A20&gt;=46,'Daily Schedule'!$A20&lt;=52),'Daily Workforce'!$M101="Y",IFERROR(1*'Daily Workforce'!$P101&gt;=2,FALSE()))))),1,0)</f>
        <v>1</v>
      </c>
      <c r="DI16" s="1" t="n">
        <f aca="false">IF(AND('Daily Workforce'!$N102="Y",'Daily Workforce'!$B102&lt;&gt;"",COUNTIF('Daily Schedule'!$F$5:$F19,'Daily Workforce'!$B102)=0,IF('Daily Schedule'!$A20=45,'Daily Workforce'!$J102="Y",IF(OR('Daily Schedule'!$A20=4,'Daily Schedule'!$A20=8),IF(OR(WEEKDAY('Daily Schedule'!$B$2,2)=1,WEEKDAY('Daily Schedule'!$B$2,2)=4,WEEKDAY('Daily Schedule'!$B$2,2)=5,WEEKDAY('Daily Schedule'!$B$2,2)=7),IFERROR(1*'Daily Workforce'!$K102&gt;=3,FALSE()),IFERROR(1*'Daily Workforce'!$K102&gt;=2,FALSE())),IF(AND('Daily Schedule'!$A20&gt;=46,'Daily Schedule'!$A20&lt;=52),'Daily Workforce'!$M102="Y",IFERROR(1*'Daily Workforce'!$P102&gt;=2,FALSE()))))),1,0)</f>
        <v>1</v>
      </c>
      <c r="DJ16" s="1" t="n">
        <f aca="false">IF(AND('Daily Workforce'!$N103="Y",'Daily Workforce'!$B103&lt;&gt;"",COUNTIF('Daily Schedule'!$F$5:$F19,'Daily Workforce'!$B103)=0,IF('Daily Schedule'!$A20=45,'Daily Workforce'!$J103="Y",IF(OR('Daily Schedule'!$A20=4,'Daily Schedule'!$A20=8),IF(OR(WEEKDAY('Daily Schedule'!$B$2,2)=1,WEEKDAY('Daily Schedule'!$B$2,2)=4,WEEKDAY('Daily Schedule'!$B$2,2)=5,WEEKDAY('Daily Schedule'!$B$2,2)=7),IFERROR(1*'Daily Workforce'!$K103&gt;=3,FALSE()),IFERROR(1*'Daily Workforce'!$K103&gt;=2,FALSE())),IF(AND('Daily Schedule'!$A20&gt;=46,'Daily Schedule'!$A20&lt;=52),'Daily Workforce'!$M103="Y",IFERROR(1*'Daily Workforce'!$P103&gt;=2,FALSE()))))),1,0)</f>
        <v>1</v>
      </c>
      <c r="DK16" s="1" t="n">
        <f aca="false">IF(AND('Daily Workforce'!$N104="Y",'Daily Workforce'!$B104&lt;&gt;"",COUNTIF('Daily Schedule'!$F$5:$F19,'Daily Workforce'!$B104)=0,IF('Daily Schedule'!$A20=45,'Daily Workforce'!$J104="Y",IF(OR('Daily Schedule'!$A20=4,'Daily Schedule'!$A20=8),IF(OR(WEEKDAY('Daily Schedule'!$B$2,2)=1,WEEKDAY('Daily Schedule'!$B$2,2)=4,WEEKDAY('Daily Schedule'!$B$2,2)=5,WEEKDAY('Daily Schedule'!$B$2,2)=7),IFERROR(1*'Daily Workforce'!$K104&gt;=3,FALSE()),IFERROR(1*'Daily Workforce'!$K104&gt;=2,FALSE())),IF(AND('Daily Schedule'!$A20&gt;=46,'Daily Schedule'!$A20&lt;=52),'Daily Workforce'!$M104="Y",IFERROR(1*'Daily Workforce'!$P104&gt;=2,FALSE()))))),1,0)</f>
        <v>1</v>
      </c>
      <c r="DL16" s="1" t="n">
        <f aca="false">IF(AND('Daily Workforce'!$N105="Y",'Daily Workforce'!$B105&lt;&gt;"",COUNTIF('Daily Schedule'!$F$5:$F19,'Daily Workforce'!$B105)=0,IF('Daily Schedule'!$A20=45,'Daily Workforce'!$J105="Y",IF(OR('Daily Schedule'!$A20=4,'Daily Schedule'!$A20=8),IF(OR(WEEKDAY('Daily Schedule'!$B$2,2)=1,WEEKDAY('Daily Schedule'!$B$2,2)=4,WEEKDAY('Daily Schedule'!$B$2,2)=5,WEEKDAY('Daily Schedule'!$B$2,2)=7),IFERROR(1*'Daily Workforce'!$K105&gt;=3,FALSE()),IFERROR(1*'Daily Workforce'!$K105&gt;=2,FALSE())),IF(AND('Daily Schedule'!$A20&gt;=46,'Daily Schedule'!$A20&lt;=52),'Daily Workforce'!$M105="Y",IFERROR(1*'Daily Workforce'!$P105&gt;=2,FALSE()))))),1,0)</f>
        <v>0</v>
      </c>
      <c r="DM16" s="1" t="n">
        <f aca="false">IF(AND('Daily Workforce'!$N106="Y",'Daily Workforce'!$B106&lt;&gt;"",COUNTIF('Daily Schedule'!$F$5:$F19,'Daily Workforce'!$B106)=0,IF('Daily Schedule'!$A20=45,'Daily Workforce'!$J106="Y",IF(OR('Daily Schedule'!$A20=4,'Daily Schedule'!$A20=8),IF(OR(WEEKDAY('Daily Schedule'!$B$2,2)=1,WEEKDAY('Daily Schedule'!$B$2,2)=4,WEEKDAY('Daily Schedule'!$B$2,2)=5,WEEKDAY('Daily Schedule'!$B$2,2)=7),IFERROR(1*'Daily Workforce'!$K106&gt;=3,FALSE()),IFERROR(1*'Daily Workforce'!$K106&gt;=2,FALSE())),IF(AND('Daily Schedule'!$A20&gt;=46,'Daily Schedule'!$A20&lt;=52),'Daily Workforce'!$M106="Y",IFERROR(1*'Daily Workforce'!$P106&gt;=2,FALSE()))))),1,0)</f>
        <v>1</v>
      </c>
      <c r="DN16" s="1" t="n">
        <f aca="false">IF(AND('Daily Workforce'!$N107="Y",'Daily Workforce'!$B107&lt;&gt;"",COUNTIF('Daily Schedule'!$F$5:$F19,'Daily Workforce'!$B107)=0,IF('Daily Schedule'!$A20=45,'Daily Workforce'!$J107="Y",IF(OR('Daily Schedule'!$A20=4,'Daily Schedule'!$A20=8),IF(OR(WEEKDAY('Daily Schedule'!$B$2,2)=1,WEEKDAY('Daily Schedule'!$B$2,2)=4,WEEKDAY('Daily Schedule'!$B$2,2)=5,WEEKDAY('Daily Schedule'!$B$2,2)=7),IFERROR(1*'Daily Workforce'!$K107&gt;=3,FALSE()),IFERROR(1*'Daily Workforce'!$K107&gt;=2,FALSE())),IF(AND('Daily Schedule'!$A20&gt;=46,'Daily Schedule'!$A20&lt;=52),'Daily Workforce'!$M107="Y",IFERROR(1*'Daily Workforce'!$P107&gt;=2,FALSE()))))),1,0)</f>
        <v>1</v>
      </c>
      <c r="DO16" s="1" t="n">
        <f aca="false">IF(AND('Daily Workforce'!$N108="Y",'Daily Workforce'!$B108&lt;&gt;"",COUNTIF('Daily Schedule'!$F$5:$F19,'Daily Workforce'!$B108)=0,IF('Daily Schedule'!$A20=45,'Daily Workforce'!$J108="Y",IF(OR('Daily Schedule'!$A20=4,'Daily Schedule'!$A20=8),IF(OR(WEEKDAY('Daily Schedule'!$B$2,2)=1,WEEKDAY('Daily Schedule'!$B$2,2)=4,WEEKDAY('Daily Schedule'!$B$2,2)=5,WEEKDAY('Daily Schedule'!$B$2,2)=7),IFERROR(1*'Daily Workforce'!$K108&gt;=3,FALSE()),IFERROR(1*'Daily Workforce'!$K108&gt;=2,FALSE())),IF(AND('Daily Schedule'!$A20&gt;=46,'Daily Schedule'!$A20&lt;=52),'Daily Workforce'!$M108="Y",IFERROR(1*'Daily Workforce'!$P108&gt;=2,FALSE()))))),1,0)</f>
        <v>1</v>
      </c>
      <c r="DP16" s="1" t="n">
        <f aca="false">IF(AND('Daily Workforce'!$N109="Y",'Daily Workforce'!$B109&lt;&gt;"",COUNTIF('Daily Schedule'!$F$5:$F19,'Daily Workforce'!$B109)=0,IF('Daily Schedule'!$A20=45,'Daily Workforce'!$J109="Y",IF(OR('Daily Schedule'!$A20=4,'Daily Schedule'!$A20=8),IF(OR(WEEKDAY('Daily Schedule'!$B$2,2)=1,WEEKDAY('Daily Schedule'!$B$2,2)=4,WEEKDAY('Daily Schedule'!$B$2,2)=5,WEEKDAY('Daily Schedule'!$B$2,2)=7),IFERROR(1*'Daily Workforce'!$K109&gt;=3,FALSE()),IFERROR(1*'Daily Workforce'!$K109&gt;=2,FALSE())),IF(AND('Daily Schedule'!$A20&gt;=46,'Daily Schedule'!$A20&lt;=52),'Daily Workforce'!$M109="Y",IFERROR(1*'Daily Workforce'!$P109&gt;=2,FALSE()))))),1,0)</f>
        <v>1</v>
      </c>
      <c r="DQ16" s="1" t="n">
        <f aca="false">IF(AND('Daily Workforce'!$N110="Y",'Daily Workforce'!$B110&lt;&gt;"",COUNTIF('Daily Schedule'!$F$5:$F19,'Daily Workforce'!$B110)=0,IF('Daily Schedule'!$A20=45,'Daily Workforce'!$J110="Y",IF(OR('Daily Schedule'!$A20=4,'Daily Schedule'!$A20=8),IF(OR(WEEKDAY('Daily Schedule'!$B$2,2)=1,WEEKDAY('Daily Schedule'!$B$2,2)=4,WEEKDAY('Daily Schedule'!$B$2,2)=5,WEEKDAY('Daily Schedule'!$B$2,2)=7),IFERROR(1*'Daily Workforce'!$K110&gt;=3,FALSE()),IFERROR(1*'Daily Workforce'!$K110&gt;=2,FALSE())),IF(AND('Daily Schedule'!$A20&gt;=46,'Daily Schedule'!$A20&lt;=52),'Daily Workforce'!$M110="Y",IFERROR(1*'Daily Workforce'!$P110&gt;=2,FALSE()))))),1,0)</f>
        <v>1</v>
      </c>
      <c r="DR16" s="1" t="n">
        <f aca="false">IF(AND('Daily Workforce'!$N111="Y",'Daily Workforce'!$B111&lt;&gt;"",COUNTIF('Daily Schedule'!$F$5:$F19,'Daily Workforce'!$B111)=0,IF('Daily Schedule'!$A20=45,'Daily Workforce'!$J111="Y",IF(OR('Daily Schedule'!$A20=4,'Daily Schedule'!$A20=8),IF(OR(WEEKDAY('Daily Schedule'!$B$2,2)=1,WEEKDAY('Daily Schedule'!$B$2,2)=4,WEEKDAY('Daily Schedule'!$B$2,2)=5,WEEKDAY('Daily Schedule'!$B$2,2)=7),IFERROR(1*'Daily Workforce'!$K111&gt;=3,FALSE()),IFERROR(1*'Daily Workforce'!$K111&gt;=2,FALSE())),IF(AND('Daily Schedule'!$A20&gt;=46,'Daily Schedule'!$A20&lt;=52),'Daily Workforce'!$M111="Y",IFERROR(1*'Daily Workforce'!$P111&gt;=2,FALSE()))))),1,0)</f>
        <v>1</v>
      </c>
      <c r="DS16" s="1" t="n">
        <f aca="false">IF(AND('Daily Workforce'!$N112="Y",'Daily Workforce'!$B112&lt;&gt;"",COUNTIF('Daily Schedule'!$F$5:$F19,'Daily Workforce'!$B112)=0,IF('Daily Schedule'!$A20=45,'Daily Workforce'!$J112="Y",IF(OR('Daily Schedule'!$A20=4,'Daily Schedule'!$A20=8),IF(OR(WEEKDAY('Daily Schedule'!$B$2,2)=1,WEEKDAY('Daily Schedule'!$B$2,2)=4,WEEKDAY('Daily Schedule'!$B$2,2)=5,WEEKDAY('Daily Schedule'!$B$2,2)=7),IFERROR(1*'Daily Workforce'!$K112&gt;=3,FALSE()),IFERROR(1*'Daily Workforce'!$K112&gt;=2,FALSE())),IF(AND('Daily Schedule'!$A20&gt;=46,'Daily Schedule'!$A20&lt;=52),'Daily Workforce'!$M112="Y",IFERROR(1*'Daily Workforce'!$P112&gt;=2,FALSE()))))),1,0)</f>
        <v>1</v>
      </c>
      <c r="DT16" s="1" t="n">
        <f aca="false">IF(AND('Daily Workforce'!$N113="Y",'Daily Workforce'!$B113&lt;&gt;"",COUNTIF('Daily Schedule'!$F$5:$F19,'Daily Workforce'!$B113)=0,IF('Daily Schedule'!$A20=45,'Daily Workforce'!$J113="Y",IF(OR('Daily Schedule'!$A20=4,'Daily Schedule'!$A20=8),IF(OR(WEEKDAY('Daily Schedule'!$B$2,2)=1,WEEKDAY('Daily Schedule'!$B$2,2)=4,WEEKDAY('Daily Schedule'!$B$2,2)=5,WEEKDAY('Daily Schedule'!$B$2,2)=7),IFERROR(1*'Daily Workforce'!$K113&gt;=3,FALSE()),IFERROR(1*'Daily Workforce'!$K113&gt;=2,FALSE())),IF(AND('Daily Schedule'!$A20&gt;=46,'Daily Schedule'!$A20&lt;=52),'Daily Workforce'!$M113="Y",IFERROR(1*'Daily Workforce'!$P113&gt;=2,FALSE()))))),1,0)</f>
        <v>1</v>
      </c>
      <c r="DU16" s="1" t="n">
        <f aca="false">IF(AND('Daily Workforce'!$N114="Y",'Daily Workforce'!$B114&lt;&gt;"",COUNTIF('Daily Schedule'!$F$5:$F19,'Daily Workforce'!$B114)=0,IF('Daily Schedule'!$A20=45,'Daily Workforce'!$J114="Y",IF(OR('Daily Schedule'!$A20=4,'Daily Schedule'!$A20=8),IF(OR(WEEKDAY('Daily Schedule'!$B$2,2)=1,WEEKDAY('Daily Schedule'!$B$2,2)=4,WEEKDAY('Daily Schedule'!$B$2,2)=5,WEEKDAY('Daily Schedule'!$B$2,2)=7),IFERROR(1*'Daily Workforce'!$K114&gt;=3,FALSE()),IFERROR(1*'Daily Workforce'!$K114&gt;=2,FALSE())),IF(AND('Daily Schedule'!$A20&gt;=46,'Daily Schedule'!$A20&lt;=52),'Daily Workforce'!$M114="Y",IFERROR(1*'Daily Workforce'!$P114&gt;=2,FALSE()))))),1,0)</f>
        <v>1</v>
      </c>
      <c r="DV16" s="1" t="n">
        <f aca="false">IF(AND('Daily Workforce'!$N115="Y",'Daily Workforce'!$B115&lt;&gt;"",COUNTIF('Daily Schedule'!$F$5:$F19,'Daily Workforce'!$B115)=0,IF('Daily Schedule'!$A20=45,'Daily Workforce'!$J115="Y",IF(OR('Daily Schedule'!$A20=4,'Daily Schedule'!$A20=8),IF(OR(WEEKDAY('Daily Schedule'!$B$2,2)=1,WEEKDAY('Daily Schedule'!$B$2,2)=4,WEEKDAY('Daily Schedule'!$B$2,2)=5,WEEKDAY('Daily Schedule'!$B$2,2)=7),IFERROR(1*'Daily Workforce'!$K115&gt;=3,FALSE()),IFERROR(1*'Daily Workforce'!$K115&gt;=2,FALSE())),IF(AND('Daily Schedule'!$A20&gt;=46,'Daily Schedule'!$A20&lt;=52),'Daily Workforce'!$M115="Y",IFERROR(1*'Daily Workforce'!$P115&gt;=2,FALSE()))))),1,0)</f>
        <v>1</v>
      </c>
      <c r="DW16" s="1" t="n">
        <f aca="false">IF(AND('Daily Workforce'!$N116="Y",'Daily Workforce'!$B116&lt;&gt;"",COUNTIF('Daily Schedule'!$F$5:$F19,'Daily Workforce'!$B116)=0,IF('Daily Schedule'!$A20=45,'Daily Workforce'!$J116="Y",IF(OR('Daily Schedule'!$A20=4,'Daily Schedule'!$A20=8),IF(OR(WEEKDAY('Daily Schedule'!$B$2,2)=1,WEEKDAY('Daily Schedule'!$B$2,2)=4,WEEKDAY('Daily Schedule'!$B$2,2)=5,WEEKDAY('Daily Schedule'!$B$2,2)=7),IFERROR(1*'Daily Workforce'!$K116&gt;=3,FALSE()),IFERROR(1*'Daily Workforce'!$K116&gt;=2,FALSE())),IF(AND('Daily Schedule'!$A20&gt;=46,'Daily Schedule'!$A20&lt;=52),'Daily Workforce'!$M116="Y",IFERROR(1*'Daily Workforce'!$P116&gt;=2,FALSE()))))),1,0)</f>
        <v>1</v>
      </c>
      <c r="DX16" s="1" t="n">
        <f aca="false">IF(AND('Daily Workforce'!$N117="Y",'Daily Workforce'!$B117&lt;&gt;"",COUNTIF('Daily Schedule'!$F$5:$F19,'Daily Workforce'!$B117)=0,IF('Daily Schedule'!$A20=45,'Daily Workforce'!$J117="Y",IF(OR('Daily Schedule'!$A20=4,'Daily Schedule'!$A20=8),IF(OR(WEEKDAY('Daily Schedule'!$B$2,2)=1,WEEKDAY('Daily Schedule'!$B$2,2)=4,WEEKDAY('Daily Schedule'!$B$2,2)=5,WEEKDAY('Daily Schedule'!$B$2,2)=7),IFERROR(1*'Daily Workforce'!$K117&gt;=3,FALSE()),IFERROR(1*'Daily Workforce'!$K117&gt;=2,FALSE())),IF(AND('Daily Schedule'!$A20&gt;=46,'Daily Schedule'!$A20&lt;=52),'Daily Workforce'!$M117="Y",IFERROR(1*'Daily Workforce'!$P117&gt;=2,FALSE()))))),1,0)</f>
        <v>1</v>
      </c>
      <c r="DY16" s="1" t="n">
        <f aca="false">IF(AND('Daily Workforce'!$N118="Y",'Daily Workforce'!$B118&lt;&gt;"",COUNTIF('Daily Schedule'!$F$5:$F19,'Daily Workforce'!$B118)=0,IF('Daily Schedule'!$A20=45,'Daily Workforce'!$J118="Y",IF(OR('Daily Schedule'!$A20=4,'Daily Schedule'!$A20=8),IF(OR(WEEKDAY('Daily Schedule'!$B$2,2)=1,WEEKDAY('Daily Schedule'!$B$2,2)=4,WEEKDAY('Daily Schedule'!$B$2,2)=5,WEEKDAY('Daily Schedule'!$B$2,2)=7),IFERROR(1*'Daily Workforce'!$K118&gt;=3,FALSE()),IFERROR(1*'Daily Workforce'!$K118&gt;=2,FALSE())),IF(AND('Daily Schedule'!$A20&gt;=46,'Daily Schedule'!$A20&lt;=52),'Daily Workforce'!$M118="Y",IFERROR(1*'Daily Workforce'!$P118&gt;=2,FALSE()))))),1,0)</f>
        <v>0</v>
      </c>
      <c r="DZ16" s="1" t="n">
        <f aca="false">IF(AND('Daily Workforce'!$N119="Y",'Daily Workforce'!$B119&lt;&gt;"",COUNTIF('Daily Schedule'!$F$5:$F19,'Daily Workforce'!$B119)=0,IF('Daily Schedule'!$A20=45,'Daily Workforce'!$J119="Y",IF(OR('Daily Schedule'!$A20=4,'Daily Schedule'!$A20=8),IF(OR(WEEKDAY('Daily Schedule'!$B$2,2)=1,WEEKDAY('Daily Schedule'!$B$2,2)=4,WEEKDAY('Daily Schedule'!$B$2,2)=5,WEEKDAY('Daily Schedule'!$B$2,2)=7),IFERROR(1*'Daily Workforce'!$K119&gt;=3,FALSE()),IFERROR(1*'Daily Workforce'!$K119&gt;=2,FALSE())),IF(AND('Daily Schedule'!$A20&gt;=46,'Daily Schedule'!$A20&lt;=52),'Daily Workforce'!$M119="Y",IFERROR(1*'Daily Workforce'!$P119&gt;=2,FALSE()))))),1,0)</f>
        <v>0</v>
      </c>
      <c r="EA16" s="1" t="n">
        <f aca="false">IF(AND('Daily Workforce'!$N120="Y",'Daily Workforce'!$B120&lt;&gt;"",COUNTIF('Daily Schedule'!$F$5:$F19,'Daily Workforce'!$B120)=0,IF('Daily Schedule'!$A20=45,'Daily Workforce'!$J120="Y",IF(OR('Daily Schedule'!$A20=4,'Daily Schedule'!$A20=8),IF(OR(WEEKDAY('Daily Schedule'!$B$2,2)=1,WEEKDAY('Daily Schedule'!$B$2,2)=4,WEEKDAY('Daily Schedule'!$B$2,2)=5,WEEKDAY('Daily Schedule'!$B$2,2)=7),IFERROR(1*'Daily Workforce'!$K120&gt;=3,FALSE()),IFERROR(1*'Daily Workforce'!$K120&gt;=2,FALSE())),IF(AND('Daily Schedule'!$A20&gt;=46,'Daily Schedule'!$A20&lt;=52),'Daily Workforce'!$M120="Y",IFERROR(1*'Daily Workforce'!$P120&gt;=2,FALSE()))))),1,0)</f>
        <v>0</v>
      </c>
      <c r="EB16" s="1" t="n">
        <f aca="false">IF(AND('Daily Workforce'!$N121="Y",'Daily Workforce'!$B121&lt;&gt;"",COUNTIF('Daily Schedule'!$F$5:$F19,'Daily Workforce'!$B121)=0,IF('Daily Schedule'!$A20=45,'Daily Workforce'!$J121="Y",IF(OR('Daily Schedule'!$A20=4,'Daily Schedule'!$A20=8),IF(OR(WEEKDAY('Daily Schedule'!$B$2,2)=1,WEEKDAY('Daily Schedule'!$B$2,2)=4,WEEKDAY('Daily Schedule'!$B$2,2)=5,WEEKDAY('Daily Schedule'!$B$2,2)=7),IFERROR(1*'Daily Workforce'!$K121&gt;=3,FALSE()),IFERROR(1*'Daily Workforce'!$K121&gt;=2,FALSE())),IF(AND('Daily Schedule'!$A20&gt;=46,'Daily Schedule'!$A20&lt;=52),'Daily Workforce'!$M121="Y",IFERROR(1*'Daily Workforce'!$P121&gt;=2,FALSE()))))),1,0)</f>
        <v>0</v>
      </c>
      <c r="EC16" s="1" t="n">
        <f aca="false">IF(AND('Daily Workforce'!$N122="Y",'Daily Workforce'!$B122&lt;&gt;"",COUNTIF('Daily Schedule'!$F$5:$F19,'Daily Workforce'!$B122)=0,IF('Daily Schedule'!$A20=45,'Daily Workforce'!$J122="Y",IF(OR('Daily Schedule'!$A20=4,'Daily Schedule'!$A20=8),IF(OR(WEEKDAY('Daily Schedule'!$B$2,2)=1,WEEKDAY('Daily Schedule'!$B$2,2)=4,WEEKDAY('Daily Schedule'!$B$2,2)=5,WEEKDAY('Daily Schedule'!$B$2,2)=7),IFERROR(1*'Daily Workforce'!$K122&gt;=3,FALSE()),IFERROR(1*'Daily Workforce'!$K122&gt;=2,FALSE())),IF(AND('Daily Schedule'!$A20&gt;=46,'Daily Schedule'!$A20&lt;=52),'Daily Workforce'!$M122="Y",IFERROR(1*'Daily Workforce'!$P122&gt;=2,FALSE()))))),1,0)</f>
        <v>0</v>
      </c>
      <c r="ED16" s="1" t="n">
        <f aca="false">IF(AND('Daily Workforce'!$N123="Y",'Daily Workforce'!$B123&lt;&gt;"",COUNTIF('Daily Schedule'!$F$5:$F19,'Daily Workforce'!$B123)=0,IF('Daily Schedule'!$A20=45,'Daily Workforce'!$J123="Y",IF(OR('Daily Schedule'!$A20=4,'Daily Schedule'!$A20=8),IF(OR(WEEKDAY('Daily Schedule'!$B$2,2)=1,WEEKDAY('Daily Schedule'!$B$2,2)=4,WEEKDAY('Daily Schedule'!$B$2,2)=5,WEEKDAY('Daily Schedule'!$B$2,2)=7),IFERROR(1*'Daily Workforce'!$K123&gt;=3,FALSE()),IFERROR(1*'Daily Workforce'!$K123&gt;=2,FALSE())),IF(AND('Daily Schedule'!$A20&gt;=46,'Daily Schedule'!$A20&lt;=52),'Daily Workforce'!$M123="Y",IFERROR(1*'Daily Workforce'!$P123&gt;=2,FALSE()))))),1,0)</f>
        <v>0</v>
      </c>
      <c r="EE16" s="1" t="n">
        <f aca="false">IF(AND('Daily Workforce'!$N124="Y",'Daily Workforce'!$B124&lt;&gt;"",COUNTIF('Daily Schedule'!$F$5:$F19,'Daily Workforce'!$B124)=0,IF('Daily Schedule'!$A20=45,'Daily Workforce'!$J124="Y",IF(OR('Daily Schedule'!$A20=4,'Daily Schedule'!$A20=8),IF(OR(WEEKDAY('Daily Schedule'!$B$2,2)=1,WEEKDAY('Daily Schedule'!$B$2,2)=4,WEEKDAY('Daily Schedule'!$B$2,2)=5,WEEKDAY('Daily Schedule'!$B$2,2)=7),IFERROR(1*'Daily Workforce'!$K124&gt;=3,FALSE()),IFERROR(1*'Daily Workforce'!$K124&gt;=2,FALSE())),IF(AND('Daily Schedule'!$A20&gt;=46,'Daily Schedule'!$A20&lt;=52),'Daily Workforce'!$M124="Y",IFERROR(1*'Daily Workforce'!$P124&gt;=2,FALSE()))))),1,0)</f>
        <v>0</v>
      </c>
      <c r="EF16" s="1" t="n">
        <f aca="false">IF(AND('Daily Workforce'!$N125="Y",'Daily Workforce'!$B125&lt;&gt;"",COUNTIF('Daily Schedule'!$F$5:$F19,'Daily Workforce'!$B125)=0,IF('Daily Schedule'!$A20=45,'Daily Workforce'!$J125="Y",IF(OR('Daily Schedule'!$A20=4,'Daily Schedule'!$A20=8),IF(OR(WEEKDAY('Daily Schedule'!$B$2,2)=1,WEEKDAY('Daily Schedule'!$B$2,2)=4,WEEKDAY('Daily Schedule'!$B$2,2)=5,WEEKDAY('Daily Schedule'!$B$2,2)=7),IFERROR(1*'Daily Workforce'!$K125&gt;=3,FALSE()),IFERROR(1*'Daily Workforce'!$K125&gt;=2,FALSE())),IF(AND('Daily Schedule'!$A20&gt;=46,'Daily Schedule'!$A20&lt;=52),'Daily Workforce'!$M125="Y",IFERROR(1*'Daily Workforce'!$P125&gt;=2,FALSE()))))),1,0)</f>
        <v>0</v>
      </c>
      <c r="EG16" s="1" t="n">
        <f aca="false">IF(AND('Daily Workforce'!$N126="Y",'Daily Workforce'!$B126&lt;&gt;"",COUNTIF('Daily Schedule'!$F$5:$F19,'Daily Workforce'!$B126)=0,IF('Daily Schedule'!$A20=45,'Daily Workforce'!$J126="Y",IF(OR('Daily Schedule'!$A20=4,'Daily Schedule'!$A20=8),IF(OR(WEEKDAY('Daily Schedule'!$B$2,2)=1,WEEKDAY('Daily Schedule'!$B$2,2)=4,WEEKDAY('Daily Schedule'!$B$2,2)=5,WEEKDAY('Daily Schedule'!$B$2,2)=7),IFERROR(1*'Daily Workforce'!$K126&gt;=3,FALSE()),IFERROR(1*'Daily Workforce'!$K126&gt;=2,FALSE())),IF(AND('Daily Schedule'!$A20&gt;=46,'Daily Schedule'!$A20&lt;=52),'Daily Workforce'!$M126="Y",IFERROR(1*'Daily Workforce'!$P126&gt;=2,FALSE()))))),1,0)</f>
        <v>0</v>
      </c>
      <c r="EH16" s="1" t="n">
        <f aca="false">IF(AND('Daily Workforce'!$N127="Y",'Daily Workforce'!$B127&lt;&gt;"",COUNTIF('Daily Schedule'!$F$5:$F19,'Daily Workforce'!$B127)=0,IF('Daily Schedule'!$A20=45,'Daily Workforce'!$J127="Y",IF(OR('Daily Schedule'!$A20=4,'Daily Schedule'!$A20=8),IF(OR(WEEKDAY('Daily Schedule'!$B$2,2)=1,WEEKDAY('Daily Schedule'!$B$2,2)=4,WEEKDAY('Daily Schedule'!$B$2,2)=5,WEEKDAY('Daily Schedule'!$B$2,2)=7),IFERROR(1*'Daily Workforce'!$K127&gt;=3,FALSE()),IFERROR(1*'Daily Workforce'!$K127&gt;=2,FALSE())),IF(AND('Daily Schedule'!$A20&gt;=46,'Daily Schedule'!$A20&lt;=52),'Daily Workforce'!$M127="Y",IFERROR(1*'Daily Workforce'!$P127&gt;=2,FALSE()))))),1,0)</f>
        <v>0</v>
      </c>
      <c r="EI16" s="1" t="n">
        <f aca="false">IF(AND('Daily Workforce'!$N128="Y",'Daily Workforce'!$B128&lt;&gt;"",COUNTIF('Daily Schedule'!$F$5:$F19,'Daily Workforce'!$B128)=0,IF('Daily Schedule'!$A20=45,'Daily Workforce'!$J128="Y",IF(OR('Daily Schedule'!$A20=4,'Daily Schedule'!$A20=8),IF(OR(WEEKDAY('Daily Schedule'!$B$2,2)=1,WEEKDAY('Daily Schedule'!$B$2,2)=4,WEEKDAY('Daily Schedule'!$B$2,2)=5,WEEKDAY('Daily Schedule'!$B$2,2)=7),IFERROR(1*'Daily Workforce'!$K128&gt;=3,FALSE()),IFERROR(1*'Daily Workforce'!$K128&gt;=2,FALSE())),IF(AND('Daily Schedule'!$A20&gt;=46,'Daily Schedule'!$A20&lt;=52),'Daily Workforce'!$M128="Y",IFERROR(1*'Daily Workforce'!$P128&gt;=2,FALSE()))))),1,0)</f>
        <v>0</v>
      </c>
      <c r="EJ16" s="1" t="n">
        <f aca="false">IF(AND('Daily Workforce'!$N129="Y",'Daily Workforce'!$B129&lt;&gt;"",COUNTIF('Daily Schedule'!$F$5:$F19,'Daily Workforce'!$B129)=0,IF('Daily Schedule'!$A20=45,'Daily Workforce'!$J129="Y",IF(OR('Daily Schedule'!$A20=4,'Daily Schedule'!$A20=8),IF(OR(WEEKDAY('Daily Schedule'!$B$2,2)=1,WEEKDAY('Daily Schedule'!$B$2,2)=4,WEEKDAY('Daily Schedule'!$B$2,2)=5,WEEKDAY('Daily Schedule'!$B$2,2)=7),IFERROR(1*'Daily Workforce'!$K129&gt;=3,FALSE()),IFERROR(1*'Daily Workforce'!$K129&gt;=2,FALSE())),IF(AND('Daily Schedule'!$A20&gt;=46,'Daily Schedule'!$A20&lt;=52),'Daily Workforce'!$M129="Y",IFERROR(1*'Daily Workforce'!$P129&gt;=2,FALSE()))))),1,0)</f>
        <v>0</v>
      </c>
      <c r="EK16" s="1" t="n">
        <f aca="false">IF(AND('Daily Workforce'!$N130="Y",'Daily Workforce'!$B130&lt;&gt;"",COUNTIF('Daily Schedule'!$F$5:$F19,'Daily Workforce'!$B130)=0,IF('Daily Schedule'!$A20=45,'Daily Workforce'!$J130="Y",IF(OR('Daily Schedule'!$A20=4,'Daily Schedule'!$A20=8),IF(OR(WEEKDAY('Daily Schedule'!$B$2,2)=1,WEEKDAY('Daily Schedule'!$B$2,2)=4,WEEKDAY('Daily Schedule'!$B$2,2)=5,WEEKDAY('Daily Schedule'!$B$2,2)=7),IFERROR(1*'Daily Workforce'!$K130&gt;=3,FALSE()),IFERROR(1*'Daily Workforce'!$K130&gt;=2,FALSE())),IF(AND('Daily Schedule'!$A20&gt;=46,'Daily Schedule'!$A20&lt;=52),'Daily Workforce'!$M130="Y",IFERROR(1*'Daily Workforce'!$P130&gt;=2,FALSE()))))),1,0)</f>
        <v>0</v>
      </c>
      <c r="EL16" s="1" t="n">
        <f aca="false">IF(AND('Daily Workforce'!$N131="Y",'Daily Workforce'!$B131&lt;&gt;"",COUNTIF('Daily Schedule'!$F$5:$F19,'Daily Workforce'!$B131)=0,IF('Daily Schedule'!$A20=45,'Daily Workforce'!$J131="Y",IF(OR('Daily Schedule'!$A20=4,'Daily Schedule'!$A20=8),IF(OR(WEEKDAY('Daily Schedule'!$B$2,2)=1,WEEKDAY('Daily Schedule'!$B$2,2)=4,WEEKDAY('Daily Schedule'!$B$2,2)=5,WEEKDAY('Daily Schedule'!$B$2,2)=7),IFERROR(1*'Daily Workforce'!$K131&gt;=3,FALSE()),IFERROR(1*'Daily Workforce'!$K131&gt;=2,FALSE())),IF(AND('Daily Schedule'!$A20&gt;=46,'Daily Schedule'!$A20&lt;=52),'Daily Workforce'!$M131="Y",IFERROR(1*'Daily Workforce'!$P131&gt;=2,FALSE()))))),1,0)</f>
        <v>0</v>
      </c>
      <c r="EM16" s="1" t="n">
        <f aca="false">IF(AND('Daily Workforce'!$N132="Y",'Daily Workforce'!$B132&lt;&gt;"",COUNTIF('Daily Schedule'!$F$5:$F19,'Daily Workforce'!$B132)=0,IF('Daily Schedule'!$A20=45,'Daily Workforce'!$J132="Y",IF(OR('Daily Schedule'!$A20=4,'Daily Schedule'!$A20=8),IF(OR(WEEKDAY('Daily Schedule'!$B$2,2)=1,WEEKDAY('Daily Schedule'!$B$2,2)=4,WEEKDAY('Daily Schedule'!$B$2,2)=5,WEEKDAY('Daily Schedule'!$B$2,2)=7),IFERROR(1*'Daily Workforce'!$K132&gt;=3,FALSE()),IFERROR(1*'Daily Workforce'!$K132&gt;=2,FALSE())),IF(AND('Daily Schedule'!$A20&gt;=46,'Daily Schedule'!$A20&lt;=52),'Daily Workforce'!$M132="Y",IFERROR(1*'Daily Workforce'!$P132&gt;=2,FALSE()))))),1,0)</f>
        <v>0</v>
      </c>
      <c r="EN16" s="1" t="n">
        <f aca="false">IF(AND('Daily Workforce'!$N133="Y",'Daily Workforce'!$B133&lt;&gt;"",COUNTIF('Daily Schedule'!$F$5:$F19,'Daily Workforce'!$B133)=0,IF('Daily Schedule'!$A20=45,'Daily Workforce'!$J133="Y",IF(OR('Daily Schedule'!$A20=4,'Daily Schedule'!$A20=8),IF(OR(WEEKDAY('Daily Schedule'!$B$2,2)=1,WEEKDAY('Daily Schedule'!$B$2,2)=4,WEEKDAY('Daily Schedule'!$B$2,2)=5,WEEKDAY('Daily Schedule'!$B$2,2)=7),IFERROR(1*'Daily Workforce'!$K133&gt;=3,FALSE()),IFERROR(1*'Daily Workforce'!$K133&gt;=2,FALSE())),IF(AND('Daily Schedule'!$A20&gt;=46,'Daily Schedule'!$A20&lt;=52),'Daily Workforce'!$M133="Y",IFERROR(1*'Daily Workforce'!$P133&gt;=2,FALSE()))))),1,0)</f>
        <v>0</v>
      </c>
      <c r="EO16" s="1" t="n">
        <f aca="false">IF(AND('Daily Workforce'!$N134="Y",'Daily Workforce'!$B134&lt;&gt;"",COUNTIF('Daily Schedule'!$F$5:$F19,'Daily Workforce'!$B134)=0,IF('Daily Schedule'!$A20=45,'Daily Workforce'!$J134="Y",IF(OR('Daily Schedule'!$A20=4,'Daily Schedule'!$A20=8),IF(OR(WEEKDAY('Daily Schedule'!$B$2,2)=1,WEEKDAY('Daily Schedule'!$B$2,2)=4,WEEKDAY('Daily Schedule'!$B$2,2)=5,WEEKDAY('Daily Schedule'!$B$2,2)=7),IFERROR(1*'Daily Workforce'!$K134&gt;=3,FALSE()),IFERROR(1*'Daily Workforce'!$K134&gt;=2,FALSE())),IF(AND('Daily Schedule'!$A20&gt;=46,'Daily Schedule'!$A20&lt;=52),'Daily Workforce'!$M134="Y",IFERROR(1*'Daily Workforce'!$P134&gt;=2,FALSE()))))),1,0)</f>
        <v>0</v>
      </c>
      <c r="EP16" s="1" t="n">
        <f aca="false">IF(AND('Daily Workforce'!$N135="Y",'Daily Workforce'!$B135&lt;&gt;"",COUNTIF('Daily Schedule'!$F$5:$F19,'Daily Workforce'!$B135)=0,IF('Daily Schedule'!$A20=45,'Daily Workforce'!$J135="Y",IF(OR('Daily Schedule'!$A20=4,'Daily Schedule'!$A20=8),IF(OR(WEEKDAY('Daily Schedule'!$B$2,2)=1,WEEKDAY('Daily Schedule'!$B$2,2)=4,WEEKDAY('Daily Schedule'!$B$2,2)=5,WEEKDAY('Daily Schedule'!$B$2,2)=7),IFERROR(1*'Daily Workforce'!$K135&gt;=3,FALSE()),IFERROR(1*'Daily Workforce'!$K135&gt;=2,FALSE())),IF(AND('Daily Schedule'!$A20&gt;=46,'Daily Schedule'!$A20&lt;=52),'Daily Workforce'!$M135="Y",IFERROR(1*'Daily Workforce'!$P135&gt;=2,FALSE()))))),1,0)</f>
        <v>0</v>
      </c>
      <c r="EQ16" s="1" t="n">
        <f aca="false">IF(AND('Daily Workforce'!$N136="Y",'Daily Workforce'!$B136&lt;&gt;"",COUNTIF('Daily Schedule'!$F$5:$F19,'Daily Workforce'!$B136)=0,IF('Daily Schedule'!$A20=45,'Daily Workforce'!$J136="Y",IF(OR('Daily Schedule'!$A20=4,'Daily Schedule'!$A20=8),IF(OR(WEEKDAY('Daily Schedule'!$B$2,2)=1,WEEKDAY('Daily Schedule'!$B$2,2)=4,WEEKDAY('Daily Schedule'!$B$2,2)=5,WEEKDAY('Daily Schedule'!$B$2,2)=7),IFERROR(1*'Daily Workforce'!$K136&gt;=3,FALSE()),IFERROR(1*'Daily Workforce'!$K136&gt;=2,FALSE())),IF(AND('Daily Schedule'!$A20&gt;=46,'Daily Schedule'!$A20&lt;=52),'Daily Workforce'!$M136="Y",IFERROR(1*'Daily Workforce'!$P136&gt;=2,FALSE()))))),1,0)</f>
        <v>0</v>
      </c>
      <c r="ER16" s="1" t="n">
        <f aca="false">IF(AND('Daily Workforce'!$N137="Y",'Daily Workforce'!$B137&lt;&gt;"",COUNTIF('Daily Schedule'!$F$5:$F19,'Daily Workforce'!$B137)=0,IF('Daily Schedule'!$A20=45,'Daily Workforce'!$J137="Y",IF(OR('Daily Schedule'!$A20=4,'Daily Schedule'!$A20=8),IF(OR(WEEKDAY('Daily Schedule'!$B$2,2)=1,WEEKDAY('Daily Schedule'!$B$2,2)=4,WEEKDAY('Daily Schedule'!$B$2,2)=5,WEEKDAY('Daily Schedule'!$B$2,2)=7),IFERROR(1*'Daily Workforce'!$K137&gt;=3,FALSE()),IFERROR(1*'Daily Workforce'!$K137&gt;=2,FALSE())),IF(AND('Daily Schedule'!$A20&gt;=46,'Daily Schedule'!$A20&lt;=52),'Daily Workforce'!$M137="Y",IFERROR(1*'Daily Workforce'!$P137&gt;=2,FALSE()))))),1,0)</f>
        <v>0</v>
      </c>
      <c r="ES16" s="1" t="n">
        <f aca="false">IF(AND('Daily Workforce'!$N138="Y",'Daily Workforce'!$B138&lt;&gt;"",COUNTIF('Daily Schedule'!$F$5:$F19,'Daily Workforce'!$B138)=0,IF('Daily Schedule'!$A20=45,'Daily Workforce'!$J138="Y",IF(OR('Daily Schedule'!$A20=4,'Daily Schedule'!$A20=8),IF(OR(WEEKDAY('Daily Schedule'!$B$2,2)=1,WEEKDAY('Daily Schedule'!$B$2,2)=4,WEEKDAY('Daily Schedule'!$B$2,2)=5,WEEKDAY('Daily Schedule'!$B$2,2)=7),IFERROR(1*'Daily Workforce'!$K138&gt;=3,FALSE()),IFERROR(1*'Daily Workforce'!$K138&gt;=2,FALSE())),IF(AND('Daily Schedule'!$A20&gt;=46,'Daily Schedule'!$A20&lt;=52),'Daily Workforce'!$M138="Y",IFERROR(1*'Daily Workforce'!$P138&gt;=2,FALSE()))))),1,0)</f>
        <v>0</v>
      </c>
      <c r="ET16" s="1" t="n">
        <f aca="false">IF(AND('Daily Workforce'!$N139="Y",'Daily Workforce'!$B139&lt;&gt;"",COUNTIF('Daily Schedule'!$F$5:$F19,'Daily Workforce'!$B139)=0,IF('Daily Schedule'!$A20=45,'Daily Workforce'!$J139="Y",IF(OR('Daily Schedule'!$A20=4,'Daily Schedule'!$A20=8),IF(OR(WEEKDAY('Daily Schedule'!$B$2,2)=1,WEEKDAY('Daily Schedule'!$B$2,2)=4,WEEKDAY('Daily Schedule'!$B$2,2)=5,WEEKDAY('Daily Schedule'!$B$2,2)=7),IFERROR(1*'Daily Workforce'!$K139&gt;=3,FALSE()),IFERROR(1*'Daily Workforce'!$K139&gt;=2,FALSE())),IF(AND('Daily Schedule'!$A20&gt;=46,'Daily Schedule'!$A20&lt;=52),'Daily Workforce'!$M139="Y",IFERROR(1*'Daily Workforce'!$P139&gt;=2,FALSE()))))),1,0)</f>
        <v>0</v>
      </c>
      <c r="EU16" s="1" t="n">
        <f aca="false">IF(AND('Daily Workforce'!$N140="Y",'Daily Workforce'!$B140&lt;&gt;"",COUNTIF('Daily Schedule'!$F$5:$F19,'Daily Workforce'!$B140)=0,IF('Daily Schedule'!$A20=45,'Daily Workforce'!$J140="Y",IF(OR('Daily Schedule'!$A20=4,'Daily Schedule'!$A20=8),IF(OR(WEEKDAY('Daily Schedule'!$B$2,2)=1,WEEKDAY('Daily Schedule'!$B$2,2)=4,WEEKDAY('Daily Schedule'!$B$2,2)=5,WEEKDAY('Daily Schedule'!$B$2,2)=7),IFERROR(1*'Daily Workforce'!$K140&gt;=3,FALSE()),IFERROR(1*'Daily Workforce'!$K140&gt;=2,FALSE())),IF(AND('Daily Schedule'!$A20&gt;=46,'Daily Schedule'!$A20&lt;=52),'Daily Workforce'!$M140="Y",IFERROR(1*'Daily Workforce'!$P140&gt;=2,FALSE()))))),1,0)</f>
        <v>0</v>
      </c>
      <c r="EV16" s="1" t="n">
        <f aca="false">IF(AND('Daily Workforce'!$N141="Y",'Daily Workforce'!$B141&lt;&gt;"",COUNTIF('Daily Schedule'!$F$5:$F19,'Daily Workforce'!$B141)=0,IF('Daily Schedule'!$A20=45,'Daily Workforce'!$J141="Y",IF(OR('Daily Schedule'!$A20=4,'Daily Schedule'!$A20=8),IF(OR(WEEKDAY('Daily Schedule'!$B$2,2)=1,WEEKDAY('Daily Schedule'!$B$2,2)=4,WEEKDAY('Daily Schedule'!$B$2,2)=5,WEEKDAY('Daily Schedule'!$B$2,2)=7),IFERROR(1*'Daily Workforce'!$K141&gt;=3,FALSE()),IFERROR(1*'Daily Workforce'!$K141&gt;=2,FALSE())),IF(AND('Daily Schedule'!$A20&gt;=46,'Daily Schedule'!$A20&lt;=52),'Daily Workforce'!$M141="Y",IFERROR(1*'Daily Workforce'!$P141&gt;=2,FALSE()))))),1,0)</f>
        <v>0</v>
      </c>
      <c r="EW16" s="1" t="n">
        <f aca="false">IF(AND('Daily Workforce'!$N142="Y",'Daily Workforce'!$B142&lt;&gt;"",COUNTIF('Daily Schedule'!$F$5:$F19,'Daily Workforce'!$B142)=0,IF('Daily Schedule'!$A20=45,'Daily Workforce'!$J142="Y",IF(OR('Daily Schedule'!$A20=4,'Daily Schedule'!$A20=8),IF(OR(WEEKDAY('Daily Schedule'!$B$2,2)=1,WEEKDAY('Daily Schedule'!$B$2,2)=4,WEEKDAY('Daily Schedule'!$B$2,2)=5,WEEKDAY('Daily Schedule'!$B$2,2)=7),IFERROR(1*'Daily Workforce'!$K142&gt;=3,FALSE()),IFERROR(1*'Daily Workforce'!$K142&gt;=2,FALSE())),IF(AND('Daily Schedule'!$A20&gt;=46,'Daily Schedule'!$A20&lt;=52),'Daily Workforce'!$M142="Y",IFERROR(1*'Daily Workforce'!$P142&gt;=2,FALSE()))))),1,0)</f>
        <v>0</v>
      </c>
      <c r="EX16" s="1" t="n">
        <f aca="false">IF(AND('Daily Workforce'!$N143="Y",'Daily Workforce'!$B143&lt;&gt;"",COUNTIF('Daily Schedule'!$F$5:$F19,'Daily Workforce'!$B143)=0,IF('Daily Schedule'!$A20=45,'Daily Workforce'!$J143="Y",IF(OR('Daily Schedule'!$A20=4,'Daily Schedule'!$A20=8),IF(OR(WEEKDAY('Daily Schedule'!$B$2,2)=1,WEEKDAY('Daily Schedule'!$B$2,2)=4,WEEKDAY('Daily Schedule'!$B$2,2)=5,WEEKDAY('Daily Schedule'!$B$2,2)=7),IFERROR(1*'Daily Workforce'!$K143&gt;=3,FALSE()),IFERROR(1*'Daily Workforce'!$K143&gt;=2,FALSE())),IF(AND('Daily Schedule'!$A20&gt;=46,'Daily Schedule'!$A20&lt;=52),'Daily Workforce'!$M143="Y",IFERROR(1*'Daily Workforce'!$P143&gt;=2,FALSE()))))),1,0)</f>
        <v>0</v>
      </c>
      <c r="EY16" s="1" t="n">
        <f aca="false">IF(AND('Daily Workforce'!$N144="Y",'Daily Workforce'!$B144&lt;&gt;"",COUNTIF('Daily Schedule'!$F$5:$F19,'Daily Workforce'!$B144)=0,IF('Daily Schedule'!$A20=45,'Daily Workforce'!$J144="Y",IF(OR('Daily Schedule'!$A20=4,'Daily Schedule'!$A20=8),IF(OR(WEEKDAY('Daily Schedule'!$B$2,2)=1,WEEKDAY('Daily Schedule'!$B$2,2)=4,WEEKDAY('Daily Schedule'!$B$2,2)=5,WEEKDAY('Daily Schedule'!$B$2,2)=7),IFERROR(1*'Daily Workforce'!$K144&gt;=3,FALSE()),IFERROR(1*'Daily Workforce'!$K144&gt;=2,FALSE())),IF(AND('Daily Schedule'!$A20&gt;=46,'Daily Schedule'!$A20&lt;=52),'Daily Workforce'!$M144="Y",IFERROR(1*'Daily Workforce'!$P144&gt;=2,FALSE()))))),1,0)</f>
        <v>0</v>
      </c>
      <c r="EZ16" s="1" t="n">
        <f aca="false">IF(AND('Daily Workforce'!$N145="Y",'Daily Workforce'!$B145&lt;&gt;"",COUNTIF('Daily Schedule'!$F$5:$F19,'Daily Workforce'!$B145)=0,IF('Daily Schedule'!$A20=45,'Daily Workforce'!$J145="Y",IF(OR('Daily Schedule'!$A20=4,'Daily Schedule'!$A20=8),IF(OR(WEEKDAY('Daily Schedule'!$B$2,2)=1,WEEKDAY('Daily Schedule'!$B$2,2)=4,WEEKDAY('Daily Schedule'!$B$2,2)=5,WEEKDAY('Daily Schedule'!$B$2,2)=7),IFERROR(1*'Daily Workforce'!$K145&gt;=3,FALSE()),IFERROR(1*'Daily Workforce'!$K145&gt;=2,FALSE())),IF(AND('Daily Schedule'!$A20&gt;=46,'Daily Schedule'!$A20&lt;=52),'Daily Workforce'!$M145="Y",IFERROR(1*'Daily Workforce'!$P145&gt;=2,FALSE()))))),1,0)</f>
        <v>0</v>
      </c>
      <c r="FA16" s="1" t="n">
        <f aca="false">IF(AND('Daily Workforce'!$N146="Y",'Daily Workforce'!$B146&lt;&gt;"",COUNTIF('Daily Schedule'!$F$5:$F19,'Daily Workforce'!$B146)=0,IF('Daily Schedule'!$A20=45,'Daily Workforce'!$J146="Y",IF(OR('Daily Schedule'!$A20=4,'Daily Schedule'!$A20=8),IF(OR(WEEKDAY('Daily Schedule'!$B$2,2)=1,WEEKDAY('Daily Schedule'!$B$2,2)=4,WEEKDAY('Daily Schedule'!$B$2,2)=5,WEEKDAY('Daily Schedule'!$B$2,2)=7),IFERROR(1*'Daily Workforce'!$K146&gt;=3,FALSE()),IFERROR(1*'Daily Workforce'!$K146&gt;=2,FALSE())),IF(AND('Daily Schedule'!$A20&gt;=46,'Daily Schedule'!$A20&lt;=52),'Daily Workforce'!$M146="Y",IFERROR(1*'Daily Workforce'!$P146&gt;=2,FALSE()))))),1,0)</f>
        <v>0</v>
      </c>
      <c r="FB16" s="1" t="n">
        <f aca="false">IF(AND('Daily Workforce'!$N147="Y",'Daily Workforce'!$B147&lt;&gt;"",COUNTIF('Daily Schedule'!$F$5:$F19,'Daily Workforce'!$B147)=0,IF('Daily Schedule'!$A20=45,'Daily Workforce'!$J147="Y",IF(OR('Daily Schedule'!$A20=4,'Daily Schedule'!$A20=8),IF(OR(WEEKDAY('Daily Schedule'!$B$2,2)=1,WEEKDAY('Daily Schedule'!$B$2,2)=4,WEEKDAY('Daily Schedule'!$B$2,2)=5,WEEKDAY('Daily Schedule'!$B$2,2)=7),IFERROR(1*'Daily Workforce'!$K147&gt;=3,FALSE()),IFERROR(1*'Daily Workforce'!$K147&gt;=2,FALSE())),IF(AND('Daily Schedule'!$A20&gt;=46,'Daily Schedule'!$A20&lt;=52),'Daily Workforce'!$M147="Y",IFERROR(1*'Daily Workforce'!$P147&gt;=2,FALSE()))))),1,0)</f>
        <v>0</v>
      </c>
      <c r="FC16" s="1" t="n">
        <f aca="false">IF(AND('Daily Workforce'!$N148="Y",'Daily Workforce'!$B148&lt;&gt;"",COUNTIF('Daily Schedule'!$F$5:$F19,'Daily Workforce'!$B148)=0,IF('Daily Schedule'!$A20=45,'Daily Workforce'!$J148="Y",IF(OR('Daily Schedule'!$A20=4,'Daily Schedule'!$A20=8),IF(OR(WEEKDAY('Daily Schedule'!$B$2,2)=1,WEEKDAY('Daily Schedule'!$B$2,2)=4,WEEKDAY('Daily Schedule'!$B$2,2)=5,WEEKDAY('Daily Schedule'!$B$2,2)=7),IFERROR(1*'Daily Workforce'!$K148&gt;=3,FALSE()),IFERROR(1*'Daily Workforce'!$K148&gt;=2,FALSE())),IF(AND('Daily Schedule'!$A20&gt;=46,'Daily Schedule'!$A20&lt;=52),'Daily Workforce'!$M148="Y",IFERROR(1*'Daily Workforce'!$P148&gt;=2,FALSE()))))),1,0)</f>
        <v>0</v>
      </c>
      <c r="FD16" s="1" t="n">
        <f aca="false">IF(AND('Daily Workforce'!$N149="Y",'Daily Workforce'!$B149&lt;&gt;"",COUNTIF('Daily Schedule'!$F$5:$F19,'Daily Workforce'!$B149)=0,IF('Daily Schedule'!$A20=45,'Daily Workforce'!$J149="Y",IF(OR('Daily Schedule'!$A20=4,'Daily Schedule'!$A20=8),IF(OR(WEEKDAY('Daily Schedule'!$B$2,2)=1,WEEKDAY('Daily Schedule'!$B$2,2)=4,WEEKDAY('Daily Schedule'!$B$2,2)=5,WEEKDAY('Daily Schedule'!$B$2,2)=7),IFERROR(1*'Daily Workforce'!$K149&gt;=3,FALSE()),IFERROR(1*'Daily Workforce'!$K149&gt;=2,FALSE())),IF(AND('Daily Schedule'!$A20&gt;=46,'Daily Schedule'!$A20&lt;=52),'Daily Workforce'!$M149="Y",IFERROR(1*'Daily Workforce'!$P149&gt;=2,FALSE()))))),1,0)</f>
        <v>0</v>
      </c>
      <c r="FE16" s="1" t="n">
        <f aca="false">IF(AND('Daily Workforce'!$N150="Y",'Daily Workforce'!$B150&lt;&gt;"",COUNTIF('Daily Schedule'!$F$5:$F19,'Daily Workforce'!$B150)=0,IF('Daily Schedule'!$A20=45,'Daily Workforce'!$J150="Y",IF(OR('Daily Schedule'!$A20=4,'Daily Schedule'!$A20=8),IF(OR(WEEKDAY('Daily Schedule'!$B$2,2)=1,WEEKDAY('Daily Schedule'!$B$2,2)=4,WEEKDAY('Daily Schedule'!$B$2,2)=5,WEEKDAY('Daily Schedule'!$B$2,2)=7),IFERROR(1*'Daily Workforce'!$K150&gt;=3,FALSE()),IFERROR(1*'Daily Workforce'!$K150&gt;=2,FALSE())),IF(AND('Daily Schedule'!$A20&gt;=46,'Daily Schedule'!$A20&lt;=52),'Daily Workforce'!$M150="Y",IFERROR(1*'Daily Workforce'!$P150&gt;=2,FALSE()))))),1,0)</f>
        <v>0</v>
      </c>
      <c r="FF16" s="1" t="n">
        <f aca="false">IF(AND('Daily Workforce'!$N151="Y",'Daily Workforce'!$B151&lt;&gt;"",COUNTIF('Daily Schedule'!$F$5:$F19,'Daily Workforce'!$B151)=0,IF('Daily Schedule'!$A20=45,'Daily Workforce'!$J151="Y",IF(OR('Daily Schedule'!$A20=4,'Daily Schedule'!$A20=8),IF(OR(WEEKDAY('Daily Schedule'!$B$2,2)=1,WEEKDAY('Daily Schedule'!$B$2,2)=4,WEEKDAY('Daily Schedule'!$B$2,2)=5,WEEKDAY('Daily Schedule'!$B$2,2)=7),IFERROR(1*'Daily Workforce'!$K151&gt;=3,FALSE()),IFERROR(1*'Daily Workforce'!$K151&gt;=2,FALSE())),IF(AND('Daily Schedule'!$A20&gt;=46,'Daily Schedule'!$A20&lt;=52),'Daily Workforce'!$M151="Y",IFERROR(1*'Daily Workforce'!$P151&gt;=2,FALSE()))))),1,0)</f>
        <v>0</v>
      </c>
      <c r="FG16" s="1" t="n">
        <f aca="false">IF(AND('Daily Workforce'!$N152="Y",'Daily Workforce'!$B152&lt;&gt;"",COUNTIF('Daily Schedule'!$F$5:$F19,'Daily Workforce'!$B152)=0,IF('Daily Schedule'!$A20=45,'Daily Workforce'!$J152="Y",IF(OR('Daily Schedule'!$A20=4,'Daily Schedule'!$A20=8),IF(OR(WEEKDAY('Daily Schedule'!$B$2,2)=1,WEEKDAY('Daily Schedule'!$B$2,2)=4,WEEKDAY('Daily Schedule'!$B$2,2)=5,WEEKDAY('Daily Schedule'!$B$2,2)=7),IFERROR(1*'Daily Workforce'!$K152&gt;=3,FALSE()),IFERROR(1*'Daily Workforce'!$K152&gt;=2,FALSE())),IF(AND('Daily Schedule'!$A20&gt;=46,'Daily Schedule'!$A20&lt;=52),'Daily Workforce'!$M152="Y",IFERROR(1*'Daily Workforce'!$P152&gt;=2,FALSE()))))),1,0)</f>
        <v>0</v>
      </c>
      <c r="FH16" s="1" t="n">
        <f aca="false">IF(AND('Daily Workforce'!$N153="Y",'Daily Workforce'!$B153&lt;&gt;"",COUNTIF('Daily Schedule'!$F$5:$F19,'Daily Workforce'!$B153)=0,IF('Daily Schedule'!$A20=45,'Daily Workforce'!$J153="Y",IF(OR('Daily Schedule'!$A20=4,'Daily Schedule'!$A20=8),IF(OR(WEEKDAY('Daily Schedule'!$B$2,2)=1,WEEKDAY('Daily Schedule'!$B$2,2)=4,WEEKDAY('Daily Schedule'!$B$2,2)=5,WEEKDAY('Daily Schedule'!$B$2,2)=7),IFERROR(1*'Daily Workforce'!$K153&gt;=3,FALSE()),IFERROR(1*'Daily Workforce'!$K153&gt;=2,FALSE())),IF(AND('Daily Schedule'!$A20&gt;=46,'Daily Schedule'!$A20&lt;=52),'Daily Workforce'!$M153="Y",IFERROR(1*'Daily Workforce'!$P153&gt;=2,FALSE()))))),1,0)</f>
        <v>0</v>
      </c>
      <c r="FI16" s="1" t="n">
        <f aca="false">IF(AND('Daily Workforce'!$N154="Y",'Daily Workforce'!$B154&lt;&gt;"",COUNTIF('Daily Schedule'!$F$5:$F19,'Daily Workforce'!$B154)=0,IF('Daily Schedule'!$A20=45,'Daily Workforce'!$J154="Y",IF(OR('Daily Schedule'!$A20=4,'Daily Schedule'!$A20=8),IF(OR(WEEKDAY('Daily Schedule'!$B$2,2)=1,WEEKDAY('Daily Schedule'!$B$2,2)=4,WEEKDAY('Daily Schedule'!$B$2,2)=5,WEEKDAY('Daily Schedule'!$B$2,2)=7),IFERROR(1*'Daily Workforce'!$K154&gt;=3,FALSE()),IFERROR(1*'Daily Workforce'!$K154&gt;=2,FALSE())),IF(AND('Daily Schedule'!$A20&gt;=46,'Daily Schedule'!$A20&lt;=52),'Daily Workforce'!$M154="Y",IFERROR(1*'Daily Workforce'!$P154&gt;=2,FALSE()))))),1,0)</f>
        <v>0</v>
      </c>
      <c r="FJ16" s="1" t="n">
        <f aca="false">IF(AND('Daily Workforce'!$N155="Y",'Daily Workforce'!$B155&lt;&gt;"",COUNTIF('Daily Schedule'!$F$5:$F19,'Daily Workforce'!$B155)=0,IF('Daily Schedule'!$A20=45,'Daily Workforce'!$J155="Y",IF(OR('Daily Schedule'!$A20=4,'Daily Schedule'!$A20=8),IF(OR(WEEKDAY('Daily Schedule'!$B$2,2)=1,WEEKDAY('Daily Schedule'!$B$2,2)=4,WEEKDAY('Daily Schedule'!$B$2,2)=5,WEEKDAY('Daily Schedule'!$B$2,2)=7),IFERROR(1*'Daily Workforce'!$K155&gt;=3,FALSE()),IFERROR(1*'Daily Workforce'!$K155&gt;=2,FALSE())),IF(AND('Daily Schedule'!$A20&gt;=46,'Daily Schedule'!$A20&lt;=52),'Daily Workforce'!$M155="Y",IFERROR(1*'Daily Workforce'!$P155&gt;=2,FALSE()))))),1,0)</f>
        <v>0</v>
      </c>
      <c r="FK16" s="1" t="n">
        <f aca="false">IF(AND('Daily Workforce'!$N156="Y",'Daily Workforce'!$B156&lt;&gt;"",COUNTIF('Daily Schedule'!$F$5:$F19,'Daily Workforce'!$B156)=0,IF('Daily Schedule'!$A20=45,'Daily Workforce'!$J156="Y",IF(OR('Daily Schedule'!$A20=4,'Daily Schedule'!$A20=8),IF(OR(WEEKDAY('Daily Schedule'!$B$2,2)=1,WEEKDAY('Daily Schedule'!$B$2,2)=4,WEEKDAY('Daily Schedule'!$B$2,2)=5,WEEKDAY('Daily Schedule'!$B$2,2)=7),IFERROR(1*'Daily Workforce'!$K156&gt;=3,FALSE()),IFERROR(1*'Daily Workforce'!$K156&gt;=2,FALSE())),IF(AND('Daily Schedule'!$A20&gt;=46,'Daily Schedule'!$A20&lt;=52),'Daily Workforce'!$M156="Y",IFERROR(1*'Daily Workforce'!$P156&gt;=2,FALSE()))))),1,0)</f>
        <v>0</v>
      </c>
      <c r="FL16" s="1" t="n">
        <f aca="false">IF(AND('Daily Workforce'!$N157="Y",'Daily Workforce'!$B157&lt;&gt;"",COUNTIF('Daily Schedule'!$F$5:$F19,'Daily Workforce'!$B157)=0,IF('Daily Schedule'!$A20=45,'Daily Workforce'!$J157="Y",IF(OR('Daily Schedule'!$A20=4,'Daily Schedule'!$A20=8),IF(OR(WEEKDAY('Daily Schedule'!$B$2,2)=1,WEEKDAY('Daily Schedule'!$B$2,2)=4,WEEKDAY('Daily Schedule'!$B$2,2)=5,WEEKDAY('Daily Schedule'!$B$2,2)=7),IFERROR(1*'Daily Workforce'!$K157&gt;=3,FALSE()),IFERROR(1*'Daily Workforce'!$K157&gt;=2,FALSE())),IF(AND('Daily Schedule'!$A20&gt;=46,'Daily Schedule'!$A20&lt;=52),'Daily Workforce'!$M157="Y",IFERROR(1*'Daily Workforce'!$P157&gt;=2,FALSE()))))),1,0)</f>
        <v>0</v>
      </c>
      <c r="FM16" s="1" t="n">
        <f aca="false">IF(AND('Daily Workforce'!$N158="Y",'Daily Workforce'!$B158&lt;&gt;"",COUNTIF('Daily Schedule'!$F$5:$F19,'Daily Workforce'!$B158)=0,IF('Daily Schedule'!$A20=45,'Daily Workforce'!$J158="Y",IF(OR('Daily Schedule'!$A20=4,'Daily Schedule'!$A20=8),IF(OR(WEEKDAY('Daily Schedule'!$B$2,2)=1,WEEKDAY('Daily Schedule'!$B$2,2)=4,WEEKDAY('Daily Schedule'!$B$2,2)=5,WEEKDAY('Daily Schedule'!$B$2,2)=7),IFERROR(1*'Daily Workforce'!$K158&gt;=3,FALSE()),IFERROR(1*'Daily Workforce'!$K158&gt;=2,FALSE())),IF(AND('Daily Schedule'!$A20&gt;=46,'Daily Schedule'!$A20&lt;=52),'Daily Workforce'!$M158="Y",IFERROR(1*'Daily Workforce'!$P158&gt;=2,FALSE()))))),1,0)</f>
        <v>0</v>
      </c>
      <c r="FN16" s="1" t="n">
        <f aca="false">IF(AND('Daily Workforce'!$N159="Y",'Daily Workforce'!$B159&lt;&gt;"",COUNTIF('Daily Schedule'!$F$5:$F19,'Daily Workforce'!$B159)=0,IF('Daily Schedule'!$A20=45,'Daily Workforce'!$J159="Y",IF(OR('Daily Schedule'!$A20=4,'Daily Schedule'!$A20=8),IF(OR(WEEKDAY('Daily Schedule'!$B$2,2)=1,WEEKDAY('Daily Schedule'!$B$2,2)=4,WEEKDAY('Daily Schedule'!$B$2,2)=5,WEEKDAY('Daily Schedule'!$B$2,2)=7),IFERROR(1*'Daily Workforce'!$K159&gt;=3,FALSE()),IFERROR(1*'Daily Workforce'!$K159&gt;=2,FALSE())),IF(AND('Daily Schedule'!$A20&gt;=46,'Daily Schedule'!$A20&lt;=52),'Daily Workforce'!$M159="Y",IFERROR(1*'Daily Workforce'!$P159&gt;=2,FALSE()))))),1,0)</f>
        <v>0</v>
      </c>
      <c r="FO16" s="1" t="n">
        <f aca="false">IF(AND('Daily Workforce'!$N160="Y",'Daily Workforce'!$B160&lt;&gt;"",COUNTIF('Daily Schedule'!$F$5:$F19,'Daily Workforce'!$B160)=0,IF('Daily Schedule'!$A20=45,'Daily Workforce'!$J160="Y",IF(OR('Daily Schedule'!$A20=4,'Daily Schedule'!$A20=8),IF(OR(WEEKDAY('Daily Schedule'!$B$2,2)=1,WEEKDAY('Daily Schedule'!$B$2,2)=4,WEEKDAY('Daily Schedule'!$B$2,2)=5,WEEKDAY('Daily Schedule'!$B$2,2)=7),IFERROR(1*'Daily Workforce'!$K160&gt;=3,FALSE()),IFERROR(1*'Daily Workforce'!$K160&gt;=2,FALSE())),IF(AND('Daily Schedule'!$A20&gt;=46,'Daily Schedule'!$A20&lt;=52),'Daily Workforce'!$M160="Y",IFERROR(1*'Daily Workforce'!$P160&gt;=2,FALSE()))))),1,0)</f>
        <v>0</v>
      </c>
      <c r="FP16" s="1" t="n">
        <f aca="false">IF(AND('Daily Workforce'!$N161="Y",'Daily Workforce'!$B161&lt;&gt;"",COUNTIF('Daily Schedule'!$F$5:$F19,'Daily Workforce'!$B161)=0,IF('Daily Schedule'!$A20=45,'Daily Workforce'!$J161="Y",IF(OR('Daily Schedule'!$A20=4,'Daily Schedule'!$A20=8),IF(OR(WEEKDAY('Daily Schedule'!$B$2,2)=1,WEEKDAY('Daily Schedule'!$B$2,2)=4,WEEKDAY('Daily Schedule'!$B$2,2)=5,WEEKDAY('Daily Schedule'!$B$2,2)=7),IFERROR(1*'Daily Workforce'!$K161&gt;=3,FALSE()),IFERROR(1*'Daily Workforce'!$K161&gt;=2,FALSE())),IF(AND('Daily Schedule'!$A20&gt;=46,'Daily Schedule'!$A20&lt;=52),'Daily Workforce'!$M161="Y",IFERROR(1*'Daily Workforce'!$P161&gt;=2,FALSE()))))),1,0)</f>
        <v>0</v>
      </c>
      <c r="FQ16" s="1" t="n">
        <f aca="false">IF(AND('Daily Workforce'!$N162="Y",'Daily Workforce'!$B162&lt;&gt;"",COUNTIF('Daily Schedule'!$F$5:$F19,'Daily Workforce'!$B162)=0,IF('Daily Schedule'!$A20=45,'Daily Workforce'!$J162="Y",IF(OR('Daily Schedule'!$A20=4,'Daily Schedule'!$A20=8),IF(OR(WEEKDAY('Daily Schedule'!$B$2,2)=1,WEEKDAY('Daily Schedule'!$B$2,2)=4,WEEKDAY('Daily Schedule'!$B$2,2)=5,WEEKDAY('Daily Schedule'!$B$2,2)=7),IFERROR(1*'Daily Workforce'!$K162&gt;=3,FALSE()),IFERROR(1*'Daily Workforce'!$K162&gt;=2,FALSE())),IF(AND('Daily Schedule'!$A20&gt;=46,'Daily Schedule'!$A20&lt;=52),'Daily Workforce'!$M162="Y",IFERROR(1*'Daily Workforce'!$P162&gt;=2,FALSE()))))),1,0)</f>
        <v>0</v>
      </c>
      <c r="FR16" s="1" t="n">
        <f aca="false">IF(AND('Daily Workforce'!$N163="Y",'Daily Workforce'!$B163&lt;&gt;"",COUNTIF('Daily Schedule'!$F$5:$F19,'Daily Workforce'!$B163)=0,IF('Daily Schedule'!$A20=45,'Daily Workforce'!$J163="Y",IF(OR('Daily Schedule'!$A20=4,'Daily Schedule'!$A20=8),IF(OR(WEEKDAY('Daily Schedule'!$B$2,2)=1,WEEKDAY('Daily Schedule'!$B$2,2)=4,WEEKDAY('Daily Schedule'!$B$2,2)=5,WEEKDAY('Daily Schedule'!$B$2,2)=7),IFERROR(1*'Daily Workforce'!$K163&gt;=3,FALSE()),IFERROR(1*'Daily Workforce'!$K163&gt;=2,FALSE())),IF(AND('Daily Schedule'!$A20&gt;=46,'Daily Schedule'!$A20&lt;=52),'Daily Workforce'!$M163="Y",IFERROR(1*'Daily Workforce'!$P163&gt;=2,FALSE()))))),1,0)</f>
        <v>0</v>
      </c>
      <c r="FS16" s="1" t="n">
        <f aca="false">IF(AND('Daily Workforce'!$N164="Y",'Daily Workforce'!$B164&lt;&gt;"",COUNTIF('Daily Schedule'!$F$5:$F19,'Daily Workforce'!$B164)=0,IF('Daily Schedule'!$A20=45,'Daily Workforce'!$J164="Y",IF(OR('Daily Schedule'!$A20=4,'Daily Schedule'!$A20=8),IF(OR(WEEKDAY('Daily Schedule'!$B$2,2)=1,WEEKDAY('Daily Schedule'!$B$2,2)=4,WEEKDAY('Daily Schedule'!$B$2,2)=5,WEEKDAY('Daily Schedule'!$B$2,2)=7),IFERROR(1*'Daily Workforce'!$K164&gt;=3,FALSE()),IFERROR(1*'Daily Workforce'!$K164&gt;=2,FALSE())),IF(AND('Daily Schedule'!$A20&gt;=46,'Daily Schedule'!$A20&lt;=52),'Daily Workforce'!$M164="Y",IFERROR(1*'Daily Workforce'!$P164&gt;=2,FALSE()))))),1,0)</f>
        <v>0</v>
      </c>
      <c r="FT16" s="1" t="n">
        <f aca="false">IF(AND('Daily Workforce'!$N165="Y",'Daily Workforce'!$B165&lt;&gt;"",COUNTIF('Daily Schedule'!$F$5:$F19,'Daily Workforce'!$B165)=0,IF('Daily Schedule'!$A20=45,'Daily Workforce'!$J165="Y",IF(OR('Daily Schedule'!$A20=4,'Daily Schedule'!$A20=8),IF(OR(WEEKDAY('Daily Schedule'!$B$2,2)=1,WEEKDAY('Daily Schedule'!$B$2,2)=4,WEEKDAY('Daily Schedule'!$B$2,2)=5,WEEKDAY('Daily Schedule'!$B$2,2)=7),IFERROR(1*'Daily Workforce'!$K165&gt;=3,FALSE()),IFERROR(1*'Daily Workforce'!$K165&gt;=2,FALSE())),IF(AND('Daily Schedule'!$A20&gt;=46,'Daily Schedule'!$A20&lt;=52),'Daily Workforce'!$M165="Y",IFERROR(1*'Daily Workforce'!$P165&gt;=2,FALSE()))))),1,0)</f>
        <v>0</v>
      </c>
      <c r="FU16" s="1" t="n">
        <f aca="false">IF(AND('Daily Workforce'!$N166="Y",'Daily Workforce'!$B166&lt;&gt;"",COUNTIF('Daily Schedule'!$F$5:$F19,'Daily Workforce'!$B166)=0,IF('Daily Schedule'!$A20=45,'Daily Workforce'!$J166="Y",IF(OR('Daily Schedule'!$A20=4,'Daily Schedule'!$A20=8),IF(OR(WEEKDAY('Daily Schedule'!$B$2,2)=1,WEEKDAY('Daily Schedule'!$B$2,2)=4,WEEKDAY('Daily Schedule'!$B$2,2)=5,WEEKDAY('Daily Schedule'!$B$2,2)=7),IFERROR(1*'Daily Workforce'!$K166&gt;=3,FALSE()),IFERROR(1*'Daily Workforce'!$K166&gt;=2,FALSE())),IF(AND('Daily Schedule'!$A20&gt;=46,'Daily Schedule'!$A20&lt;=52),'Daily Workforce'!$M166="Y",IFERROR(1*'Daily Workforce'!$P166&gt;=2,FALSE()))))),1,0)</f>
        <v>0</v>
      </c>
      <c r="FV16" s="1" t="n">
        <f aca="false">IF(AND('Daily Workforce'!$N167="Y",'Daily Workforce'!$B167&lt;&gt;"",COUNTIF('Daily Schedule'!$F$5:$F19,'Daily Workforce'!$B167)=0,IF('Daily Schedule'!$A20=45,'Daily Workforce'!$J167="Y",IF(OR('Daily Schedule'!$A20=4,'Daily Schedule'!$A20=8),IF(OR(WEEKDAY('Daily Schedule'!$B$2,2)=1,WEEKDAY('Daily Schedule'!$B$2,2)=4,WEEKDAY('Daily Schedule'!$B$2,2)=5,WEEKDAY('Daily Schedule'!$B$2,2)=7),IFERROR(1*'Daily Workforce'!$K167&gt;=3,FALSE()),IFERROR(1*'Daily Workforce'!$K167&gt;=2,FALSE())),IF(AND('Daily Schedule'!$A20&gt;=46,'Daily Schedule'!$A20&lt;=52),'Daily Workforce'!$M167="Y",IFERROR(1*'Daily Workforce'!$P167&gt;=2,FALSE()))))),1,0)</f>
        <v>0</v>
      </c>
      <c r="FW16" s="1" t="n">
        <f aca="false">IF(AND('Daily Workforce'!$N168="Y",'Daily Workforce'!$B168&lt;&gt;"",COUNTIF('Daily Schedule'!$F$5:$F19,'Daily Workforce'!$B168)=0,IF('Daily Schedule'!$A20=45,'Daily Workforce'!$J168="Y",IF(OR('Daily Schedule'!$A20=4,'Daily Schedule'!$A20=8),IF(OR(WEEKDAY('Daily Schedule'!$B$2,2)=1,WEEKDAY('Daily Schedule'!$B$2,2)=4,WEEKDAY('Daily Schedule'!$B$2,2)=5,WEEKDAY('Daily Schedule'!$B$2,2)=7),IFERROR(1*'Daily Workforce'!$K168&gt;=3,FALSE()),IFERROR(1*'Daily Workforce'!$K168&gt;=2,FALSE())),IF(AND('Daily Schedule'!$A20&gt;=46,'Daily Schedule'!$A20&lt;=52),'Daily Workforce'!$M168="Y",IFERROR(1*'Daily Workforce'!$P168&gt;=2,FALSE()))))),1,0)</f>
        <v>0</v>
      </c>
      <c r="FX16" s="1" t="n">
        <f aca="false">IF(AND('Daily Workforce'!$N169="Y",'Daily Workforce'!$B169&lt;&gt;"",COUNTIF('Daily Schedule'!$F$5:$F19,'Daily Workforce'!$B169)=0,IF('Daily Schedule'!$A20=45,'Daily Workforce'!$J169="Y",IF(OR('Daily Schedule'!$A20=4,'Daily Schedule'!$A20=8),IF(OR(WEEKDAY('Daily Schedule'!$B$2,2)=1,WEEKDAY('Daily Schedule'!$B$2,2)=4,WEEKDAY('Daily Schedule'!$B$2,2)=5,WEEKDAY('Daily Schedule'!$B$2,2)=7),IFERROR(1*'Daily Workforce'!$K169&gt;=3,FALSE()),IFERROR(1*'Daily Workforce'!$K169&gt;=2,FALSE())),IF(AND('Daily Schedule'!$A20&gt;=46,'Daily Schedule'!$A20&lt;=52),'Daily Workforce'!$M169="Y",IFERROR(1*'Daily Workforce'!$P169&gt;=2,FALSE()))))),1,0)</f>
        <v>0</v>
      </c>
      <c r="FY16" s="1" t="n">
        <f aca="false">IF(AND('Daily Workforce'!$N170="Y",'Daily Workforce'!$B170&lt;&gt;"",COUNTIF('Daily Schedule'!$F$5:$F19,'Daily Workforce'!$B170)=0,IF('Daily Schedule'!$A20=45,'Daily Workforce'!$J170="Y",IF(OR('Daily Schedule'!$A20=4,'Daily Schedule'!$A20=8),IF(OR(WEEKDAY('Daily Schedule'!$B$2,2)=1,WEEKDAY('Daily Schedule'!$B$2,2)=4,WEEKDAY('Daily Schedule'!$B$2,2)=5,WEEKDAY('Daily Schedule'!$B$2,2)=7),IFERROR(1*'Daily Workforce'!$K170&gt;=3,FALSE()),IFERROR(1*'Daily Workforce'!$K170&gt;=2,FALSE())),IF(AND('Daily Schedule'!$A20&gt;=46,'Daily Schedule'!$A20&lt;=52),'Daily Workforce'!$M170="Y",IFERROR(1*'Daily Workforce'!$P170&gt;=2,FALSE()))))),1,0)</f>
        <v>0</v>
      </c>
      <c r="FZ16" s="1" t="n">
        <f aca="false">IF(AND('Daily Workforce'!$N171="Y",'Daily Workforce'!$B171&lt;&gt;"",COUNTIF('Daily Schedule'!$F$5:$F19,'Daily Workforce'!$B171)=0,IF('Daily Schedule'!$A20=45,'Daily Workforce'!$J171="Y",IF(OR('Daily Schedule'!$A20=4,'Daily Schedule'!$A20=8),IF(OR(WEEKDAY('Daily Schedule'!$B$2,2)=1,WEEKDAY('Daily Schedule'!$B$2,2)=4,WEEKDAY('Daily Schedule'!$B$2,2)=5,WEEKDAY('Daily Schedule'!$B$2,2)=7),IFERROR(1*'Daily Workforce'!$K171&gt;=3,FALSE()),IFERROR(1*'Daily Workforce'!$K171&gt;=2,FALSE())),IF(AND('Daily Schedule'!$A20&gt;=46,'Daily Schedule'!$A20&lt;=52),'Daily Workforce'!$M171="Y",IFERROR(1*'Daily Workforce'!$P171&gt;=2,FALSE()))))),1,0)</f>
        <v>0</v>
      </c>
      <c r="GA16" s="1" t="n">
        <f aca="false">IF(AND('Daily Workforce'!$N172="Y",'Daily Workforce'!$B172&lt;&gt;"",COUNTIF('Daily Schedule'!$F$5:$F19,'Daily Workforce'!$B172)=0,IF('Daily Schedule'!$A20=45,'Daily Workforce'!$J172="Y",IF(OR('Daily Schedule'!$A20=4,'Daily Schedule'!$A20=8),IF(OR(WEEKDAY('Daily Schedule'!$B$2,2)=1,WEEKDAY('Daily Schedule'!$B$2,2)=4,WEEKDAY('Daily Schedule'!$B$2,2)=5,WEEKDAY('Daily Schedule'!$B$2,2)=7),IFERROR(1*'Daily Workforce'!$K172&gt;=3,FALSE()),IFERROR(1*'Daily Workforce'!$K172&gt;=2,FALSE())),IF(AND('Daily Schedule'!$A20&gt;=46,'Daily Schedule'!$A20&lt;=52),'Daily Workforce'!$M172="Y",IFERROR(1*'Daily Workforce'!$P172&gt;=2,FALSE()))))),1,0)</f>
        <v>0</v>
      </c>
      <c r="GB16" s="1" t="n">
        <f aca="false">IF(AND('Daily Workforce'!$N173="Y",'Daily Workforce'!$B173&lt;&gt;"",COUNTIF('Daily Schedule'!$F$5:$F19,'Daily Workforce'!$B173)=0,IF('Daily Schedule'!$A20=45,'Daily Workforce'!$J173="Y",IF(OR('Daily Schedule'!$A20=4,'Daily Schedule'!$A20=8),IF(OR(WEEKDAY('Daily Schedule'!$B$2,2)=1,WEEKDAY('Daily Schedule'!$B$2,2)=4,WEEKDAY('Daily Schedule'!$B$2,2)=5,WEEKDAY('Daily Schedule'!$B$2,2)=7),IFERROR(1*'Daily Workforce'!$K173&gt;=3,FALSE()),IFERROR(1*'Daily Workforce'!$K173&gt;=2,FALSE())),IF(AND('Daily Schedule'!$A20&gt;=46,'Daily Schedule'!$A20&lt;=52),'Daily Workforce'!$M173="Y",IFERROR(1*'Daily Workforce'!$P173&gt;=2,FALSE()))))),1,0)</f>
        <v>0</v>
      </c>
      <c r="GC16" s="1" t="n">
        <f aca="false">IF(AND('Daily Workforce'!$N174="Y",'Daily Workforce'!$B174&lt;&gt;"",COUNTIF('Daily Schedule'!$F$5:$F19,'Daily Workforce'!$B174)=0,IF('Daily Schedule'!$A20=45,'Daily Workforce'!$J174="Y",IF(OR('Daily Schedule'!$A20=4,'Daily Schedule'!$A20=8),IF(OR(WEEKDAY('Daily Schedule'!$B$2,2)=1,WEEKDAY('Daily Schedule'!$B$2,2)=4,WEEKDAY('Daily Schedule'!$B$2,2)=5,WEEKDAY('Daily Schedule'!$B$2,2)=7),IFERROR(1*'Daily Workforce'!$K174&gt;=3,FALSE()),IFERROR(1*'Daily Workforce'!$K174&gt;=2,FALSE())),IF(AND('Daily Schedule'!$A20&gt;=46,'Daily Schedule'!$A20&lt;=52),'Daily Workforce'!$M174="Y",IFERROR(1*'Daily Workforce'!$P174&gt;=2,FALSE()))))),1,0)</f>
        <v>0</v>
      </c>
      <c r="GD16" s="1" t="n">
        <f aca="false">IF(AND('Daily Workforce'!$N175="Y",'Daily Workforce'!$B175&lt;&gt;"",COUNTIF('Daily Schedule'!$F$5:$F19,'Daily Workforce'!$B175)=0,IF('Daily Schedule'!$A20=45,'Daily Workforce'!$J175="Y",IF(OR('Daily Schedule'!$A20=4,'Daily Schedule'!$A20=8),IF(OR(WEEKDAY('Daily Schedule'!$B$2,2)=1,WEEKDAY('Daily Schedule'!$B$2,2)=4,WEEKDAY('Daily Schedule'!$B$2,2)=5,WEEKDAY('Daily Schedule'!$B$2,2)=7),IFERROR(1*'Daily Workforce'!$K175&gt;=3,FALSE()),IFERROR(1*'Daily Workforce'!$K175&gt;=2,FALSE())),IF(AND('Daily Schedule'!$A20&gt;=46,'Daily Schedule'!$A20&lt;=52),'Daily Workforce'!$M175="Y",IFERROR(1*'Daily Workforce'!$P175&gt;=2,FALSE()))))),1,0)</f>
        <v>0</v>
      </c>
      <c r="GE16" s="1" t="n">
        <f aca="false">IF(AND('Daily Workforce'!$N176="Y",'Daily Workforce'!$B176&lt;&gt;"",COUNTIF('Daily Schedule'!$F$5:$F19,'Daily Workforce'!$B176)=0,IF('Daily Schedule'!$A20=45,'Daily Workforce'!$J176="Y",IF(OR('Daily Schedule'!$A20=4,'Daily Schedule'!$A20=8),IF(OR(WEEKDAY('Daily Schedule'!$B$2,2)=1,WEEKDAY('Daily Schedule'!$B$2,2)=4,WEEKDAY('Daily Schedule'!$B$2,2)=5,WEEKDAY('Daily Schedule'!$B$2,2)=7),IFERROR(1*'Daily Workforce'!$K176&gt;=3,FALSE()),IFERROR(1*'Daily Workforce'!$K176&gt;=2,FALSE())),IF(AND('Daily Schedule'!$A20&gt;=46,'Daily Schedule'!$A20&lt;=52),'Daily Workforce'!$M176="Y",IFERROR(1*'Daily Workforce'!$P176&gt;=2,FALSE()))))),1,0)</f>
        <v>0</v>
      </c>
      <c r="GF16" s="1" t="n">
        <f aca="false">IF(AND('Daily Workforce'!$N177="Y",'Daily Workforce'!$B177&lt;&gt;"",COUNTIF('Daily Schedule'!$F$5:$F19,'Daily Workforce'!$B177)=0,IF('Daily Schedule'!$A20=45,'Daily Workforce'!$J177="Y",IF(OR('Daily Schedule'!$A20=4,'Daily Schedule'!$A20=8),IF(OR(WEEKDAY('Daily Schedule'!$B$2,2)=1,WEEKDAY('Daily Schedule'!$B$2,2)=4,WEEKDAY('Daily Schedule'!$B$2,2)=5,WEEKDAY('Daily Schedule'!$B$2,2)=7),IFERROR(1*'Daily Workforce'!$K177&gt;=3,FALSE()),IFERROR(1*'Daily Workforce'!$K177&gt;=2,FALSE())),IF(AND('Daily Schedule'!$A20&gt;=46,'Daily Schedule'!$A20&lt;=52),'Daily Workforce'!$M177="Y",IFERROR(1*'Daily Workforce'!$P177&gt;=2,FALSE()))))),1,0)</f>
        <v>0</v>
      </c>
      <c r="GG16" s="1" t="n">
        <f aca="false">IF(AND('Daily Workforce'!$N178="Y",'Daily Workforce'!$B178&lt;&gt;"",COUNTIF('Daily Schedule'!$F$5:$F19,'Daily Workforce'!$B178)=0,IF('Daily Schedule'!$A20=45,'Daily Workforce'!$J178="Y",IF(OR('Daily Schedule'!$A20=4,'Daily Schedule'!$A20=8),IF(OR(WEEKDAY('Daily Schedule'!$B$2,2)=1,WEEKDAY('Daily Schedule'!$B$2,2)=4,WEEKDAY('Daily Schedule'!$B$2,2)=5,WEEKDAY('Daily Schedule'!$B$2,2)=7),IFERROR(1*'Daily Workforce'!$K178&gt;=3,FALSE()),IFERROR(1*'Daily Workforce'!$K178&gt;=2,FALSE())),IF(AND('Daily Schedule'!$A20&gt;=46,'Daily Schedule'!$A20&lt;=52),'Daily Workforce'!$M178="Y",IFERROR(1*'Daily Workforce'!$P178&gt;=2,FALSE()))))),1,0)</f>
        <v>0</v>
      </c>
      <c r="GH16" s="1" t="n">
        <f aca="false">IF(AND('Daily Workforce'!$N179="Y",'Daily Workforce'!$B179&lt;&gt;"",COUNTIF('Daily Schedule'!$F$5:$F19,'Daily Workforce'!$B179)=0,IF('Daily Schedule'!$A20=45,'Daily Workforce'!$J179="Y",IF(OR('Daily Schedule'!$A20=4,'Daily Schedule'!$A20=8),IF(OR(WEEKDAY('Daily Schedule'!$B$2,2)=1,WEEKDAY('Daily Schedule'!$B$2,2)=4,WEEKDAY('Daily Schedule'!$B$2,2)=5,WEEKDAY('Daily Schedule'!$B$2,2)=7),IFERROR(1*'Daily Workforce'!$K179&gt;=3,FALSE()),IFERROR(1*'Daily Workforce'!$K179&gt;=2,FALSE())),IF(AND('Daily Schedule'!$A20&gt;=46,'Daily Schedule'!$A20&lt;=52),'Daily Workforce'!$M179="Y",IFERROR(1*'Daily Workforce'!$P179&gt;=2,FALSE()))))),1,0)</f>
        <v>0</v>
      </c>
      <c r="GI16" s="1" t="n">
        <f aca="false">IF(AND('Daily Workforce'!$N180="Y",'Daily Workforce'!$B180&lt;&gt;"",COUNTIF('Daily Schedule'!$F$5:$F19,'Daily Workforce'!$B180)=0,IF('Daily Schedule'!$A20=45,'Daily Workforce'!$J180="Y",IF(OR('Daily Schedule'!$A20=4,'Daily Schedule'!$A20=8),IF(OR(WEEKDAY('Daily Schedule'!$B$2,2)=1,WEEKDAY('Daily Schedule'!$B$2,2)=4,WEEKDAY('Daily Schedule'!$B$2,2)=5,WEEKDAY('Daily Schedule'!$B$2,2)=7),IFERROR(1*'Daily Workforce'!$K180&gt;=3,FALSE()),IFERROR(1*'Daily Workforce'!$K180&gt;=2,FALSE())),IF(AND('Daily Schedule'!$A20&gt;=46,'Daily Schedule'!$A20&lt;=52),'Daily Workforce'!$M180="Y",IFERROR(1*'Daily Workforce'!$P180&gt;=2,FALSE()))))),1,0)</f>
        <v>0</v>
      </c>
      <c r="GJ16" s="1" t="n">
        <f aca="false">IF(AND('Daily Workforce'!$N181="Y",'Daily Workforce'!$B181&lt;&gt;"",COUNTIF('Daily Schedule'!$F$5:$F19,'Daily Workforce'!$B181)=0,IF('Daily Schedule'!$A20=45,'Daily Workforce'!$J181="Y",IF(OR('Daily Schedule'!$A20=4,'Daily Schedule'!$A20=8),IF(OR(WEEKDAY('Daily Schedule'!$B$2,2)=1,WEEKDAY('Daily Schedule'!$B$2,2)=4,WEEKDAY('Daily Schedule'!$B$2,2)=5,WEEKDAY('Daily Schedule'!$B$2,2)=7),IFERROR(1*'Daily Workforce'!$K181&gt;=3,FALSE()),IFERROR(1*'Daily Workforce'!$K181&gt;=2,FALSE())),IF(AND('Daily Schedule'!$A20&gt;=46,'Daily Schedule'!$A20&lt;=52),'Daily Workforce'!$M181="Y",IFERROR(1*'Daily Workforce'!$P181&gt;=2,FALSE()))))),1,0)</f>
        <v>0</v>
      </c>
      <c r="GK16" s="1" t="n">
        <f aca="false">IF(AND('Daily Workforce'!$N182="Y",'Daily Workforce'!$B182&lt;&gt;"",COUNTIF('Daily Schedule'!$F$5:$F19,'Daily Workforce'!$B182)=0,IF('Daily Schedule'!$A20=45,'Daily Workforce'!$J182="Y",IF(OR('Daily Schedule'!$A20=4,'Daily Schedule'!$A20=8),IF(OR(WEEKDAY('Daily Schedule'!$B$2,2)=1,WEEKDAY('Daily Schedule'!$B$2,2)=4,WEEKDAY('Daily Schedule'!$B$2,2)=5,WEEKDAY('Daily Schedule'!$B$2,2)=7),IFERROR(1*'Daily Workforce'!$K182&gt;=3,FALSE()),IFERROR(1*'Daily Workforce'!$K182&gt;=2,FALSE())),IF(AND('Daily Schedule'!$A20&gt;=46,'Daily Schedule'!$A20&lt;=52),'Daily Workforce'!$M182="Y",IFERROR(1*'Daily Workforce'!$P182&gt;=2,FALSE()))))),1,0)</f>
        <v>0</v>
      </c>
      <c r="GL16" s="1" t="n">
        <f aca="false">IF(AND('Daily Workforce'!$N183="Y",'Daily Workforce'!$B183&lt;&gt;"",COUNTIF('Daily Schedule'!$F$5:$F19,'Daily Workforce'!$B183)=0,IF('Daily Schedule'!$A20=45,'Daily Workforce'!$J183="Y",IF(OR('Daily Schedule'!$A20=4,'Daily Schedule'!$A20=8),IF(OR(WEEKDAY('Daily Schedule'!$B$2,2)=1,WEEKDAY('Daily Schedule'!$B$2,2)=4,WEEKDAY('Daily Schedule'!$B$2,2)=5,WEEKDAY('Daily Schedule'!$B$2,2)=7),IFERROR(1*'Daily Workforce'!$K183&gt;=3,FALSE()),IFERROR(1*'Daily Workforce'!$K183&gt;=2,FALSE())),IF(AND('Daily Schedule'!$A20&gt;=46,'Daily Schedule'!$A20&lt;=52),'Daily Workforce'!$M183="Y",IFERROR(1*'Daily Workforce'!$P183&gt;=2,FALSE()))))),1,0)</f>
        <v>0</v>
      </c>
      <c r="GM16" s="1" t="n">
        <f aca="false">IF(AND('Daily Workforce'!$N184="Y",'Daily Workforce'!$B184&lt;&gt;"",COUNTIF('Daily Schedule'!$F$5:$F19,'Daily Workforce'!$B184)=0,IF('Daily Schedule'!$A20=45,'Daily Workforce'!$J184="Y",IF(OR('Daily Schedule'!$A20=4,'Daily Schedule'!$A20=8),IF(OR(WEEKDAY('Daily Schedule'!$B$2,2)=1,WEEKDAY('Daily Schedule'!$B$2,2)=4,WEEKDAY('Daily Schedule'!$B$2,2)=5,WEEKDAY('Daily Schedule'!$B$2,2)=7),IFERROR(1*'Daily Workforce'!$K184&gt;=3,FALSE()),IFERROR(1*'Daily Workforce'!$K184&gt;=2,FALSE())),IF(AND('Daily Schedule'!$A20&gt;=46,'Daily Schedule'!$A20&lt;=52),'Daily Workforce'!$M184="Y",IFERROR(1*'Daily Workforce'!$P184&gt;=2,FALSE()))))),1,0)</f>
        <v>0</v>
      </c>
      <c r="GN16" s="1" t="n">
        <f aca="false">IF(AND('Daily Workforce'!$N185="Y",'Daily Workforce'!$B185&lt;&gt;"",COUNTIF('Daily Schedule'!$F$5:$F19,'Daily Workforce'!$B185)=0,IF('Daily Schedule'!$A20=45,'Daily Workforce'!$J185="Y",IF(OR('Daily Schedule'!$A20=4,'Daily Schedule'!$A20=8),IF(OR(WEEKDAY('Daily Schedule'!$B$2,2)=1,WEEKDAY('Daily Schedule'!$B$2,2)=4,WEEKDAY('Daily Schedule'!$B$2,2)=5,WEEKDAY('Daily Schedule'!$B$2,2)=7),IFERROR(1*'Daily Workforce'!$K185&gt;=3,FALSE()),IFERROR(1*'Daily Workforce'!$K185&gt;=2,FALSE())),IF(AND('Daily Schedule'!$A20&gt;=46,'Daily Schedule'!$A20&lt;=52),'Daily Workforce'!$M185="Y",IFERROR(1*'Daily Workforce'!$P185&gt;=2,FALSE()))))),1,0)</f>
        <v>0</v>
      </c>
      <c r="GO16" s="1" t="n">
        <f aca="false">IF(AND('Daily Workforce'!$N186="Y",'Daily Workforce'!$B186&lt;&gt;"",COUNTIF('Daily Schedule'!$F$5:$F19,'Daily Workforce'!$B186)=0,IF('Daily Schedule'!$A20=45,'Daily Workforce'!$J186="Y",IF(OR('Daily Schedule'!$A20=4,'Daily Schedule'!$A20=8),IF(OR(WEEKDAY('Daily Schedule'!$B$2,2)=1,WEEKDAY('Daily Schedule'!$B$2,2)=4,WEEKDAY('Daily Schedule'!$B$2,2)=5,WEEKDAY('Daily Schedule'!$B$2,2)=7),IFERROR(1*'Daily Workforce'!$K186&gt;=3,FALSE()),IFERROR(1*'Daily Workforce'!$K186&gt;=2,FALSE())),IF(AND('Daily Schedule'!$A20&gt;=46,'Daily Schedule'!$A20&lt;=52),'Daily Workforce'!$M186="Y",IFERROR(1*'Daily Workforce'!$P186&gt;=2,FALSE()))))),1,0)</f>
        <v>0</v>
      </c>
      <c r="GP16" s="1" t="n">
        <f aca="false">IF(AND('Daily Workforce'!$N187="Y",'Daily Workforce'!$B187&lt;&gt;"",COUNTIF('Daily Schedule'!$F$5:$F19,'Daily Workforce'!$B187)=0,IF('Daily Schedule'!$A20=45,'Daily Workforce'!$J187="Y",IF(OR('Daily Schedule'!$A20=4,'Daily Schedule'!$A20=8),IF(OR(WEEKDAY('Daily Schedule'!$B$2,2)=1,WEEKDAY('Daily Schedule'!$B$2,2)=4,WEEKDAY('Daily Schedule'!$B$2,2)=5,WEEKDAY('Daily Schedule'!$B$2,2)=7),IFERROR(1*'Daily Workforce'!$K187&gt;=3,FALSE()),IFERROR(1*'Daily Workforce'!$K187&gt;=2,FALSE())),IF(AND('Daily Schedule'!$A20&gt;=46,'Daily Schedule'!$A20&lt;=52),'Daily Workforce'!$M187="Y",IFERROR(1*'Daily Workforce'!$P187&gt;=2,FALSE()))))),1,0)</f>
        <v>0</v>
      </c>
      <c r="GQ16" s="1" t="n">
        <f aca="false">IF(AND('Daily Workforce'!$N188="Y",'Daily Workforce'!$B188&lt;&gt;"",COUNTIF('Daily Schedule'!$F$5:$F19,'Daily Workforce'!$B188)=0,IF('Daily Schedule'!$A20=45,'Daily Workforce'!$J188="Y",IF(OR('Daily Schedule'!$A20=4,'Daily Schedule'!$A20=8),IF(OR(WEEKDAY('Daily Schedule'!$B$2,2)=1,WEEKDAY('Daily Schedule'!$B$2,2)=4,WEEKDAY('Daily Schedule'!$B$2,2)=5,WEEKDAY('Daily Schedule'!$B$2,2)=7),IFERROR(1*'Daily Workforce'!$K188&gt;=3,FALSE()),IFERROR(1*'Daily Workforce'!$K188&gt;=2,FALSE())),IF(AND('Daily Schedule'!$A20&gt;=46,'Daily Schedule'!$A20&lt;=52),'Daily Workforce'!$M188="Y",IFERROR(1*'Daily Workforce'!$P188&gt;=2,FALSE()))))),1,0)</f>
        <v>0</v>
      </c>
      <c r="GR16" s="1" t="n">
        <f aca="false">IF(AND('Daily Workforce'!$N189="Y",'Daily Workforce'!$B189&lt;&gt;"",COUNTIF('Daily Schedule'!$F$5:$F19,'Daily Workforce'!$B189)=0,IF('Daily Schedule'!$A20=45,'Daily Workforce'!$J189="Y",IF(OR('Daily Schedule'!$A20=4,'Daily Schedule'!$A20=8),IF(OR(WEEKDAY('Daily Schedule'!$B$2,2)=1,WEEKDAY('Daily Schedule'!$B$2,2)=4,WEEKDAY('Daily Schedule'!$B$2,2)=5,WEEKDAY('Daily Schedule'!$B$2,2)=7),IFERROR(1*'Daily Workforce'!$K189&gt;=3,FALSE()),IFERROR(1*'Daily Workforce'!$K189&gt;=2,FALSE())),IF(AND('Daily Schedule'!$A20&gt;=46,'Daily Schedule'!$A20&lt;=52),'Daily Workforce'!$M189="Y",IFERROR(1*'Daily Workforce'!$P189&gt;=2,FALSE()))))),1,0)</f>
        <v>0</v>
      </c>
      <c r="GS16" s="1" t="n">
        <f aca="false">IF(AND('Daily Workforce'!$N190="Y",'Daily Workforce'!$B190&lt;&gt;"",COUNTIF('Daily Schedule'!$F$5:$F19,'Daily Workforce'!$B190)=0,IF('Daily Schedule'!$A20=45,'Daily Workforce'!$J190="Y",IF(OR('Daily Schedule'!$A20=4,'Daily Schedule'!$A20=8),IF(OR(WEEKDAY('Daily Schedule'!$B$2,2)=1,WEEKDAY('Daily Schedule'!$B$2,2)=4,WEEKDAY('Daily Schedule'!$B$2,2)=5,WEEKDAY('Daily Schedule'!$B$2,2)=7),IFERROR(1*'Daily Workforce'!$K190&gt;=3,FALSE()),IFERROR(1*'Daily Workforce'!$K190&gt;=2,FALSE())),IF(AND('Daily Schedule'!$A20&gt;=46,'Daily Schedule'!$A20&lt;=52),'Daily Workforce'!$M190="Y",IFERROR(1*'Daily Workforce'!$P190&gt;=2,FALSE()))))),1,0)</f>
        <v>0</v>
      </c>
      <c r="GT16" s="1" t="n">
        <f aca="false">IF(AND('Daily Workforce'!$N191="Y",'Daily Workforce'!$B191&lt;&gt;"",COUNTIF('Daily Schedule'!$F$5:$F19,'Daily Workforce'!$B191)=0,IF('Daily Schedule'!$A20=45,'Daily Workforce'!$J191="Y",IF(OR('Daily Schedule'!$A20=4,'Daily Schedule'!$A20=8),IF(OR(WEEKDAY('Daily Schedule'!$B$2,2)=1,WEEKDAY('Daily Schedule'!$B$2,2)=4,WEEKDAY('Daily Schedule'!$B$2,2)=5,WEEKDAY('Daily Schedule'!$B$2,2)=7),IFERROR(1*'Daily Workforce'!$K191&gt;=3,FALSE()),IFERROR(1*'Daily Workforce'!$K191&gt;=2,FALSE())),IF(AND('Daily Schedule'!$A20&gt;=46,'Daily Schedule'!$A20&lt;=52),'Daily Workforce'!$M191="Y",IFERROR(1*'Daily Workforce'!$P191&gt;=2,FALSE()))))),1,0)</f>
        <v>0</v>
      </c>
      <c r="GU16" s="1" t="n">
        <f aca="false">IF(AND('Daily Workforce'!$N192="Y",'Daily Workforce'!$B192&lt;&gt;"",COUNTIF('Daily Schedule'!$F$5:$F19,'Daily Workforce'!$B192)=0,IF('Daily Schedule'!$A20=45,'Daily Workforce'!$J192="Y",IF(OR('Daily Schedule'!$A20=4,'Daily Schedule'!$A20=8),IF(OR(WEEKDAY('Daily Schedule'!$B$2,2)=1,WEEKDAY('Daily Schedule'!$B$2,2)=4,WEEKDAY('Daily Schedule'!$B$2,2)=5,WEEKDAY('Daily Schedule'!$B$2,2)=7),IFERROR(1*'Daily Workforce'!$K192&gt;=3,FALSE()),IFERROR(1*'Daily Workforce'!$K192&gt;=2,FALSE())),IF(AND('Daily Schedule'!$A20&gt;=46,'Daily Schedule'!$A20&lt;=52),'Daily Workforce'!$M192="Y",IFERROR(1*'Daily Workforce'!$P192&gt;=2,FALSE()))))),1,0)</f>
        <v>0</v>
      </c>
      <c r="GV16" s="1" t="n">
        <f aca="false">IF(AND('Daily Workforce'!$N193="Y",'Daily Workforce'!$B193&lt;&gt;"",COUNTIF('Daily Schedule'!$F$5:$F19,'Daily Workforce'!$B193)=0,IF('Daily Schedule'!$A20=45,'Daily Workforce'!$J193="Y",IF(OR('Daily Schedule'!$A20=4,'Daily Schedule'!$A20=8),IF(OR(WEEKDAY('Daily Schedule'!$B$2,2)=1,WEEKDAY('Daily Schedule'!$B$2,2)=4,WEEKDAY('Daily Schedule'!$B$2,2)=5,WEEKDAY('Daily Schedule'!$B$2,2)=7),IFERROR(1*'Daily Workforce'!$K193&gt;=3,FALSE()),IFERROR(1*'Daily Workforce'!$K193&gt;=2,FALSE())),IF(AND('Daily Schedule'!$A20&gt;=46,'Daily Schedule'!$A20&lt;=52),'Daily Workforce'!$M193="Y",IFERROR(1*'Daily Workforce'!$P193&gt;=2,FALSE()))))),1,0)</f>
        <v>0</v>
      </c>
      <c r="GW16" s="1" t="n">
        <f aca="false">IF(AND('Daily Workforce'!$N194="Y",'Daily Workforce'!$B194&lt;&gt;"",COUNTIF('Daily Schedule'!$F$5:$F19,'Daily Workforce'!$B194)=0,IF('Daily Schedule'!$A20=45,'Daily Workforce'!$J194="Y",IF(OR('Daily Schedule'!$A20=4,'Daily Schedule'!$A20=8),IF(OR(WEEKDAY('Daily Schedule'!$B$2,2)=1,WEEKDAY('Daily Schedule'!$B$2,2)=4,WEEKDAY('Daily Schedule'!$B$2,2)=5,WEEKDAY('Daily Schedule'!$B$2,2)=7),IFERROR(1*'Daily Workforce'!$K194&gt;=3,FALSE()),IFERROR(1*'Daily Workforce'!$K194&gt;=2,FALSE())),IF(AND('Daily Schedule'!$A20&gt;=46,'Daily Schedule'!$A20&lt;=52),'Daily Workforce'!$M194="Y",IFERROR(1*'Daily Workforce'!$P194&gt;=2,FALSE()))))),1,0)</f>
        <v>0</v>
      </c>
      <c r="GX16" s="1" t="n">
        <f aca="false">IF(AND('Daily Workforce'!$N195="Y",'Daily Workforce'!$B195&lt;&gt;"",COUNTIF('Daily Schedule'!$F$5:$F19,'Daily Workforce'!$B195)=0,IF('Daily Schedule'!$A20=45,'Daily Workforce'!$J195="Y",IF(OR('Daily Schedule'!$A20=4,'Daily Schedule'!$A20=8),IF(OR(WEEKDAY('Daily Schedule'!$B$2,2)=1,WEEKDAY('Daily Schedule'!$B$2,2)=4,WEEKDAY('Daily Schedule'!$B$2,2)=5,WEEKDAY('Daily Schedule'!$B$2,2)=7),IFERROR(1*'Daily Workforce'!$K195&gt;=3,FALSE()),IFERROR(1*'Daily Workforce'!$K195&gt;=2,FALSE())),IF(AND('Daily Schedule'!$A20&gt;=46,'Daily Schedule'!$A20&lt;=52),'Daily Workforce'!$M195="Y",IFERROR(1*'Daily Workforce'!$P195&gt;=2,FALSE()))))),1,0)</f>
        <v>0</v>
      </c>
      <c r="GY16" s="1" t="n">
        <f aca="false">IF(AND('Daily Workforce'!$N196="Y",'Daily Workforce'!$B196&lt;&gt;"",COUNTIF('Daily Schedule'!$F$5:$F19,'Daily Workforce'!$B196)=0,IF('Daily Schedule'!$A20=45,'Daily Workforce'!$J196="Y",IF(OR('Daily Schedule'!$A20=4,'Daily Schedule'!$A20=8),IF(OR(WEEKDAY('Daily Schedule'!$B$2,2)=1,WEEKDAY('Daily Schedule'!$B$2,2)=4,WEEKDAY('Daily Schedule'!$B$2,2)=5,WEEKDAY('Daily Schedule'!$B$2,2)=7),IFERROR(1*'Daily Workforce'!$K196&gt;=3,FALSE()),IFERROR(1*'Daily Workforce'!$K196&gt;=2,FALSE())),IF(AND('Daily Schedule'!$A20&gt;=46,'Daily Schedule'!$A20&lt;=52),'Daily Workforce'!$M196="Y",IFERROR(1*'Daily Workforce'!$P196&gt;=2,FALSE()))))),1,0)</f>
        <v>0</v>
      </c>
      <c r="GZ16" s="1" t="n">
        <f aca="false">IF(AND('Daily Workforce'!$N197="Y",'Daily Workforce'!$B197&lt;&gt;"",COUNTIF('Daily Schedule'!$F$5:$F19,'Daily Workforce'!$B197)=0,IF('Daily Schedule'!$A20=45,'Daily Workforce'!$J197="Y",IF(OR('Daily Schedule'!$A20=4,'Daily Schedule'!$A20=8),IF(OR(WEEKDAY('Daily Schedule'!$B$2,2)=1,WEEKDAY('Daily Schedule'!$B$2,2)=4,WEEKDAY('Daily Schedule'!$B$2,2)=5,WEEKDAY('Daily Schedule'!$B$2,2)=7),IFERROR(1*'Daily Workforce'!$K197&gt;=3,FALSE()),IFERROR(1*'Daily Workforce'!$K197&gt;=2,FALSE())),IF(AND('Daily Schedule'!$A20&gt;=46,'Daily Schedule'!$A20&lt;=52),'Daily Workforce'!$M197="Y",IFERROR(1*'Daily Workforce'!$P197&gt;=2,FALSE()))))),1,0)</f>
        <v>0</v>
      </c>
      <c r="HA16" s="1" t="n">
        <f aca="false">IF(AND('Daily Workforce'!$N198="Y",'Daily Workforce'!$B198&lt;&gt;"",COUNTIF('Daily Schedule'!$F$5:$F19,'Daily Workforce'!$B198)=0,IF('Daily Schedule'!$A20=45,'Daily Workforce'!$J198="Y",IF(OR('Daily Schedule'!$A20=4,'Daily Schedule'!$A20=8),IF(OR(WEEKDAY('Daily Schedule'!$B$2,2)=1,WEEKDAY('Daily Schedule'!$B$2,2)=4,WEEKDAY('Daily Schedule'!$B$2,2)=5,WEEKDAY('Daily Schedule'!$B$2,2)=7),IFERROR(1*'Daily Workforce'!$K198&gt;=3,FALSE()),IFERROR(1*'Daily Workforce'!$K198&gt;=2,FALSE())),IF(AND('Daily Schedule'!$A20&gt;=46,'Daily Schedule'!$A20&lt;=52),'Daily Workforce'!$M198="Y",IFERROR(1*'Daily Workforce'!$P198&gt;=2,FALSE()))))),1,0)</f>
        <v>0</v>
      </c>
      <c r="HB16" s="1" t="n">
        <f aca="false">IF(AND('Daily Workforce'!$N199="Y",'Daily Workforce'!$B199&lt;&gt;"",COUNTIF('Daily Schedule'!$F$5:$F19,'Daily Workforce'!$B199)=0,IF('Daily Schedule'!$A20=45,'Daily Workforce'!$J199="Y",IF(OR('Daily Schedule'!$A20=4,'Daily Schedule'!$A20=8),IF(OR(WEEKDAY('Daily Schedule'!$B$2,2)=1,WEEKDAY('Daily Schedule'!$B$2,2)=4,WEEKDAY('Daily Schedule'!$B$2,2)=5,WEEKDAY('Daily Schedule'!$B$2,2)=7),IFERROR(1*'Daily Workforce'!$K199&gt;=3,FALSE()),IFERROR(1*'Daily Workforce'!$K199&gt;=2,FALSE())),IF(AND('Daily Schedule'!$A20&gt;=46,'Daily Schedule'!$A20&lt;=52),'Daily Workforce'!$M199="Y",IFERROR(1*'Daily Workforce'!$P199&gt;=2,FALSE()))))),1,0)</f>
        <v>0</v>
      </c>
      <c r="HC16" s="1" t="n">
        <f aca="false">IF(AND('Daily Workforce'!$N200="Y",'Daily Workforce'!$B200&lt;&gt;"",COUNTIF('Daily Schedule'!$F$5:$F19,'Daily Workforce'!$B200)=0,IF('Daily Schedule'!$A20=45,'Daily Workforce'!$J200="Y",IF(OR('Daily Schedule'!$A20=4,'Daily Schedule'!$A20=8),IF(OR(WEEKDAY('Daily Schedule'!$B$2,2)=1,WEEKDAY('Daily Schedule'!$B$2,2)=4,WEEKDAY('Daily Schedule'!$B$2,2)=5,WEEKDAY('Daily Schedule'!$B$2,2)=7),IFERROR(1*'Daily Workforce'!$K200&gt;=3,FALSE()),IFERROR(1*'Daily Workforce'!$K200&gt;=2,FALSE())),IF(AND('Daily Schedule'!$A20&gt;=46,'Daily Schedule'!$A20&lt;=52),'Daily Workforce'!$M200="Y",IFERROR(1*'Daily Workforce'!$P200&gt;=2,FALSE()))))),1,0)</f>
        <v>0</v>
      </c>
      <c r="HD16" s="1" t="n">
        <f aca="false">IF(AND('Daily Workforce'!$N201="Y",'Daily Workforce'!$B201&lt;&gt;"",COUNTIF('Daily Schedule'!$F$5:$F19,'Daily Workforce'!$B201)=0,IF('Daily Schedule'!$A20=45,'Daily Workforce'!$J201="Y",IF(OR('Daily Schedule'!$A20=4,'Daily Schedule'!$A20=8),IF(OR(WEEKDAY('Daily Schedule'!$B$2,2)=1,WEEKDAY('Daily Schedule'!$B$2,2)=4,WEEKDAY('Daily Schedule'!$B$2,2)=5,WEEKDAY('Daily Schedule'!$B$2,2)=7),IFERROR(1*'Daily Workforce'!$K201&gt;=3,FALSE()),IFERROR(1*'Daily Workforce'!$K201&gt;=2,FALSE())),IF(AND('Daily Schedule'!$A20&gt;=46,'Daily Schedule'!$A20&lt;=52),'Daily Workforce'!$M201="Y",IFERROR(1*'Daily Workforce'!$P201&gt;=2,FALSE()))))),1,0)</f>
        <v>0</v>
      </c>
      <c r="HE16" s="1" t="n">
        <f aca="false">IF(AND('Daily Workforce'!$N202="Y",'Daily Workforce'!$B202&lt;&gt;"",COUNTIF('Daily Schedule'!$F$5:$F19,'Daily Workforce'!$B202)=0,IF('Daily Schedule'!$A20=45,'Daily Workforce'!$J202="Y",IF(OR('Daily Schedule'!$A20=4,'Daily Schedule'!$A20=8),IF(OR(WEEKDAY('Daily Schedule'!$B$2,2)=1,WEEKDAY('Daily Schedule'!$B$2,2)=4,WEEKDAY('Daily Schedule'!$B$2,2)=5,WEEKDAY('Daily Schedule'!$B$2,2)=7),IFERROR(1*'Daily Workforce'!$K202&gt;=3,FALSE()),IFERROR(1*'Daily Workforce'!$K202&gt;=2,FALSE())),IF(AND('Daily Schedule'!$A20&gt;=46,'Daily Schedule'!$A20&lt;=52),'Daily Workforce'!$M202="Y",IFERROR(1*'Daily Workforce'!$P202&gt;=2,FALSE()))))),1,0)</f>
        <v>0</v>
      </c>
      <c r="HF16" s="1" t="n">
        <f aca="false">IF(AND('Daily Workforce'!$N203="Y",'Daily Workforce'!$B203&lt;&gt;"",COUNTIF('Daily Schedule'!$F$5:$F19,'Daily Workforce'!$B203)=0,IF('Daily Schedule'!$A20=45,'Daily Workforce'!$J203="Y",IF(OR('Daily Schedule'!$A20=4,'Daily Schedule'!$A20=8),IF(OR(WEEKDAY('Daily Schedule'!$B$2,2)=1,WEEKDAY('Daily Schedule'!$B$2,2)=4,WEEKDAY('Daily Schedule'!$B$2,2)=5,WEEKDAY('Daily Schedule'!$B$2,2)=7),IFERROR(1*'Daily Workforce'!$K203&gt;=3,FALSE()),IFERROR(1*'Daily Workforce'!$K203&gt;=2,FALSE())),IF(AND('Daily Schedule'!$A20&gt;=46,'Daily Schedule'!$A20&lt;=52),'Daily Workforce'!$M203="Y",IFERROR(1*'Daily Workforce'!$P203&gt;=2,FALSE()))))),1,0)</f>
        <v>0</v>
      </c>
      <c r="HG16" s="1" t="n">
        <f aca="false">IF(AND('Daily Workforce'!$N204="Y",'Daily Workforce'!$B204&lt;&gt;"",COUNTIF('Daily Schedule'!$F$5:$F19,'Daily Workforce'!$B204)=0,IF('Daily Schedule'!$A20=45,'Daily Workforce'!$J204="Y",IF(OR('Daily Schedule'!$A20=4,'Daily Schedule'!$A20=8),IF(OR(WEEKDAY('Daily Schedule'!$B$2,2)=1,WEEKDAY('Daily Schedule'!$B$2,2)=4,WEEKDAY('Daily Schedule'!$B$2,2)=5,WEEKDAY('Daily Schedule'!$B$2,2)=7),IFERROR(1*'Daily Workforce'!$K204&gt;=3,FALSE()),IFERROR(1*'Daily Workforce'!$K204&gt;=2,FALSE())),IF(AND('Daily Schedule'!$A20&gt;=46,'Daily Schedule'!$A20&lt;=52),'Daily Workforce'!$M204="Y",IFERROR(1*'Daily Workforce'!$P204&gt;=2,FALSE()))))),1,0)</f>
        <v>0</v>
      </c>
      <c r="HH16" s="1" t="n">
        <f aca="false">IF(AND('Daily Workforce'!$N205="Y",'Daily Workforce'!$B205&lt;&gt;"",COUNTIF('Daily Schedule'!$F$5:$F19,'Daily Workforce'!$B205)=0,IF('Daily Schedule'!$A20=45,'Daily Workforce'!$J205="Y",IF(OR('Daily Schedule'!$A20=4,'Daily Schedule'!$A20=8),IF(OR(WEEKDAY('Daily Schedule'!$B$2,2)=1,WEEKDAY('Daily Schedule'!$B$2,2)=4,WEEKDAY('Daily Schedule'!$B$2,2)=5,WEEKDAY('Daily Schedule'!$B$2,2)=7),IFERROR(1*'Daily Workforce'!$K205&gt;=3,FALSE()),IFERROR(1*'Daily Workforce'!$K205&gt;=2,FALSE())),IF(AND('Daily Schedule'!$A20&gt;=46,'Daily Schedule'!$A20&lt;=52),'Daily Workforce'!$M205="Y",IFERROR(1*'Daily Workforce'!$P205&gt;=2,FALSE()))))),1,0)</f>
        <v>0</v>
      </c>
    </row>
    <row r="17" customFormat="false" ht="15" hidden="false" customHeight="true" outlineLevel="0" collapsed="false">
      <c r="L17" s="1" t="s">
        <v>469</v>
      </c>
      <c r="O17" s="1" t="n">
        <f aca="false">IF(AND('Employee Master'!$G17="Y",ISERROR(SEARCH(TEXT('Daily Workforce'!$B$2,"ddd"),'Employee Master'!$D17)),IF('Daily Workforce'!$E$2="",TRUE(),'Employee Master'!$I17='Daily Workforce'!$E$2)),'Employee Master'!$K17*1000+ROW()-1,"")</f>
        <v>4016</v>
      </c>
      <c r="P17" s="1" t="n">
        <f aca="false">IF($O17="","",COUNTIF($O$2:$O$159,"&lt;="&amp;$O17))</f>
        <v>84</v>
      </c>
      <c r="Q17" s="1" t="n">
        <f aca="false">IF(AND('Daily Workforce'!$N6="Y",'Daily Workforce'!$B6&lt;&gt;"",COUNTIF('Daily Schedule'!$F$5:$F20,'Daily Workforce'!$B6)=0,IF('Daily Schedule'!$A21=45,'Daily Workforce'!$J6="Y",IF(OR('Daily Schedule'!$A21=4,'Daily Schedule'!$A21=8),IF(OR(WEEKDAY('Daily Schedule'!$B$2,2)=1,WEEKDAY('Daily Schedule'!$B$2,2)=4,WEEKDAY('Daily Schedule'!$B$2,2)=5,WEEKDAY('Daily Schedule'!$B$2,2)=7),IFERROR(1*'Daily Workforce'!$K6&gt;=3,FALSE()),IFERROR(1*'Daily Workforce'!$K6&gt;=2,FALSE())),IF(AND('Daily Schedule'!$A21&gt;=46,'Daily Schedule'!$A21&lt;=52),'Daily Workforce'!$M6="Y",IFERROR(1*'Daily Workforce'!$P6&gt;=2,FALSE()))))),1,0)</f>
        <v>0</v>
      </c>
      <c r="R17" s="1" t="n">
        <f aca="false">IF(AND('Daily Workforce'!$N7="Y",'Daily Workforce'!$B7&lt;&gt;"",COUNTIF('Daily Schedule'!$F$5:$F20,'Daily Workforce'!$B7)=0,IF('Daily Schedule'!$A21=45,'Daily Workforce'!$J7="Y",IF(OR('Daily Schedule'!$A21=4,'Daily Schedule'!$A21=8),IF(OR(WEEKDAY('Daily Schedule'!$B$2,2)=1,WEEKDAY('Daily Schedule'!$B$2,2)=4,WEEKDAY('Daily Schedule'!$B$2,2)=5,WEEKDAY('Daily Schedule'!$B$2,2)=7),IFERROR(1*'Daily Workforce'!$K7&gt;=3,FALSE()),IFERROR(1*'Daily Workforce'!$K7&gt;=2,FALSE())),IF(AND('Daily Schedule'!$A21&gt;=46,'Daily Schedule'!$A21&lt;=52),'Daily Workforce'!$M7="Y",IFERROR(1*'Daily Workforce'!$P7&gt;=2,FALSE()))))),1,0)</f>
        <v>0</v>
      </c>
      <c r="S17" s="1" t="n">
        <f aca="false">IF(AND('Daily Workforce'!$N8="Y",'Daily Workforce'!$B8&lt;&gt;"",COUNTIF('Daily Schedule'!$F$5:$F20,'Daily Workforce'!$B8)=0,IF('Daily Schedule'!$A21=45,'Daily Workforce'!$J8="Y",IF(OR('Daily Schedule'!$A21=4,'Daily Schedule'!$A21=8),IF(OR(WEEKDAY('Daily Schedule'!$B$2,2)=1,WEEKDAY('Daily Schedule'!$B$2,2)=4,WEEKDAY('Daily Schedule'!$B$2,2)=5,WEEKDAY('Daily Schedule'!$B$2,2)=7),IFERROR(1*'Daily Workforce'!$K8&gt;=3,FALSE()),IFERROR(1*'Daily Workforce'!$K8&gt;=2,FALSE())),IF(AND('Daily Schedule'!$A21&gt;=46,'Daily Schedule'!$A21&lt;=52),'Daily Workforce'!$M8="Y",IFERROR(1*'Daily Workforce'!$P8&gt;=2,FALSE()))))),1,0)</f>
        <v>0</v>
      </c>
      <c r="T17" s="1" t="n">
        <f aca="false">IF(AND('Daily Workforce'!$N9="Y",'Daily Workforce'!$B9&lt;&gt;"",COUNTIF('Daily Schedule'!$F$5:$F20,'Daily Workforce'!$B9)=0,IF('Daily Schedule'!$A21=45,'Daily Workforce'!$J9="Y",IF(OR('Daily Schedule'!$A21=4,'Daily Schedule'!$A21=8),IF(OR(WEEKDAY('Daily Schedule'!$B$2,2)=1,WEEKDAY('Daily Schedule'!$B$2,2)=4,WEEKDAY('Daily Schedule'!$B$2,2)=5,WEEKDAY('Daily Schedule'!$B$2,2)=7),IFERROR(1*'Daily Workforce'!$K9&gt;=3,FALSE()),IFERROR(1*'Daily Workforce'!$K9&gt;=2,FALSE())),IF(AND('Daily Schedule'!$A21&gt;=46,'Daily Schedule'!$A21&lt;=52),'Daily Workforce'!$M9="Y",IFERROR(1*'Daily Workforce'!$P9&gt;=2,FALSE()))))),1,0)</f>
        <v>0</v>
      </c>
      <c r="U17" s="1" t="n">
        <f aca="false">IF(AND('Daily Workforce'!$N10="Y",'Daily Workforce'!$B10&lt;&gt;"",COUNTIF('Daily Schedule'!$F$5:$F20,'Daily Workforce'!$B10)=0,IF('Daily Schedule'!$A21=45,'Daily Workforce'!$J10="Y",IF(OR('Daily Schedule'!$A21=4,'Daily Schedule'!$A21=8),IF(OR(WEEKDAY('Daily Schedule'!$B$2,2)=1,WEEKDAY('Daily Schedule'!$B$2,2)=4,WEEKDAY('Daily Schedule'!$B$2,2)=5,WEEKDAY('Daily Schedule'!$B$2,2)=7),IFERROR(1*'Daily Workforce'!$K10&gt;=3,FALSE()),IFERROR(1*'Daily Workforce'!$K10&gt;=2,FALSE())),IF(AND('Daily Schedule'!$A21&gt;=46,'Daily Schedule'!$A21&lt;=52),'Daily Workforce'!$M10="Y",IFERROR(1*'Daily Workforce'!$P10&gt;=2,FALSE()))))),1,0)</f>
        <v>0</v>
      </c>
      <c r="V17" s="1" t="n">
        <f aca="false">IF(AND('Daily Workforce'!$N11="Y",'Daily Workforce'!$B11&lt;&gt;"",COUNTIF('Daily Schedule'!$F$5:$F20,'Daily Workforce'!$B11)=0,IF('Daily Schedule'!$A21=45,'Daily Workforce'!$J11="Y",IF(OR('Daily Schedule'!$A21=4,'Daily Schedule'!$A21=8),IF(OR(WEEKDAY('Daily Schedule'!$B$2,2)=1,WEEKDAY('Daily Schedule'!$B$2,2)=4,WEEKDAY('Daily Schedule'!$B$2,2)=5,WEEKDAY('Daily Schedule'!$B$2,2)=7),IFERROR(1*'Daily Workforce'!$K11&gt;=3,FALSE()),IFERROR(1*'Daily Workforce'!$K11&gt;=2,FALSE())),IF(AND('Daily Schedule'!$A21&gt;=46,'Daily Schedule'!$A21&lt;=52),'Daily Workforce'!$M11="Y",IFERROR(1*'Daily Workforce'!$P11&gt;=2,FALSE()))))),1,0)</f>
        <v>0</v>
      </c>
      <c r="W17" s="1" t="n">
        <f aca="false">IF(AND('Daily Workforce'!$N12="Y",'Daily Workforce'!$B12&lt;&gt;"",COUNTIF('Daily Schedule'!$F$5:$F20,'Daily Workforce'!$B12)=0,IF('Daily Schedule'!$A21=45,'Daily Workforce'!$J12="Y",IF(OR('Daily Schedule'!$A21=4,'Daily Schedule'!$A21=8),IF(OR(WEEKDAY('Daily Schedule'!$B$2,2)=1,WEEKDAY('Daily Schedule'!$B$2,2)=4,WEEKDAY('Daily Schedule'!$B$2,2)=5,WEEKDAY('Daily Schedule'!$B$2,2)=7),IFERROR(1*'Daily Workforce'!$K12&gt;=3,FALSE()),IFERROR(1*'Daily Workforce'!$K12&gt;=2,FALSE())),IF(AND('Daily Schedule'!$A21&gt;=46,'Daily Schedule'!$A21&lt;=52),'Daily Workforce'!$M12="Y",IFERROR(1*'Daily Workforce'!$P12&gt;=2,FALSE()))))),1,0)</f>
        <v>0</v>
      </c>
      <c r="X17" s="1" t="n">
        <f aca="false">IF(AND('Daily Workforce'!$N13="Y",'Daily Workforce'!$B13&lt;&gt;"",COUNTIF('Daily Schedule'!$F$5:$F20,'Daily Workforce'!$B13)=0,IF('Daily Schedule'!$A21=45,'Daily Workforce'!$J13="Y",IF(OR('Daily Schedule'!$A21=4,'Daily Schedule'!$A21=8),IF(OR(WEEKDAY('Daily Schedule'!$B$2,2)=1,WEEKDAY('Daily Schedule'!$B$2,2)=4,WEEKDAY('Daily Schedule'!$B$2,2)=5,WEEKDAY('Daily Schedule'!$B$2,2)=7),IFERROR(1*'Daily Workforce'!$K13&gt;=3,FALSE()),IFERROR(1*'Daily Workforce'!$K13&gt;=2,FALSE())),IF(AND('Daily Schedule'!$A21&gt;=46,'Daily Schedule'!$A21&lt;=52),'Daily Workforce'!$M13="Y",IFERROR(1*'Daily Workforce'!$P13&gt;=2,FALSE()))))),1,0)</f>
        <v>0</v>
      </c>
      <c r="Y17" s="1" t="n">
        <f aca="false">IF(AND('Daily Workforce'!$N14="Y",'Daily Workforce'!$B14&lt;&gt;"",COUNTIF('Daily Schedule'!$F$5:$F20,'Daily Workforce'!$B14)=0,IF('Daily Schedule'!$A21=45,'Daily Workforce'!$J14="Y",IF(OR('Daily Schedule'!$A21=4,'Daily Schedule'!$A21=8),IF(OR(WEEKDAY('Daily Schedule'!$B$2,2)=1,WEEKDAY('Daily Schedule'!$B$2,2)=4,WEEKDAY('Daily Schedule'!$B$2,2)=5,WEEKDAY('Daily Schedule'!$B$2,2)=7),IFERROR(1*'Daily Workforce'!$K14&gt;=3,FALSE()),IFERROR(1*'Daily Workforce'!$K14&gt;=2,FALSE())),IF(AND('Daily Schedule'!$A21&gt;=46,'Daily Schedule'!$A21&lt;=52),'Daily Workforce'!$M14="Y",IFERROR(1*'Daily Workforce'!$P14&gt;=2,FALSE()))))),1,0)</f>
        <v>0</v>
      </c>
      <c r="Z17" s="1" t="n">
        <f aca="false">IF(AND('Daily Workforce'!$N15="Y",'Daily Workforce'!$B15&lt;&gt;"",COUNTIF('Daily Schedule'!$F$5:$F20,'Daily Workforce'!$B15)=0,IF('Daily Schedule'!$A21=45,'Daily Workforce'!$J15="Y",IF(OR('Daily Schedule'!$A21=4,'Daily Schedule'!$A21=8),IF(OR(WEEKDAY('Daily Schedule'!$B$2,2)=1,WEEKDAY('Daily Schedule'!$B$2,2)=4,WEEKDAY('Daily Schedule'!$B$2,2)=5,WEEKDAY('Daily Schedule'!$B$2,2)=7),IFERROR(1*'Daily Workforce'!$K15&gt;=3,FALSE()),IFERROR(1*'Daily Workforce'!$K15&gt;=2,FALSE())),IF(AND('Daily Schedule'!$A21&gt;=46,'Daily Schedule'!$A21&lt;=52),'Daily Workforce'!$M15="Y",IFERROR(1*'Daily Workforce'!$P15&gt;=2,FALSE()))))),1,0)</f>
        <v>0</v>
      </c>
      <c r="AA17" s="1" t="n">
        <f aca="false">IF(AND('Daily Workforce'!$N16="Y",'Daily Workforce'!$B16&lt;&gt;"",COUNTIF('Daily Schedule'!$F$5:$F20,'Daily Workforce'!$B16)=0,IF('Daily Schedule'!$A21=45,'Daily Workforce'!$J16="Y",IF(OR('Daily Schedule'!$A21=4,'Daily Schedule'!$A21=8),IF(OR(WEEKDAY('Daily Schedule'!$B$2,2)=1,WEEKDAY('Daily Schedule'!$B$2,2)=4,WEEKDAY('Daily Schedule'!$B$2,2)=5,WEEKDAY('Daily Schedule'!$B$2,2)=7),IFERROR(1*'Daily Workforce'!$K16&gt;=3,FALSE()),IFERROR(1*'Daily Workforce'!$K16&gt;=2,FALSE())),IF(AND('Daily Schedule'!$A21&gt;=46,'Daily Schedule'!$A21&lt;=52),'Daily Workforce'!$M16="Y",IFERROR(1*'Daily Workforce'!$P16&gt;=2,FALSE()))))),1,0)</f>
        <v>0</v>
      </c>
      <c r="AB17" s="1" t="n">
        <f aca="false">IF(AND('Daily Workforce'!$N17="Y",'Daily Workforce'!$B17&lt;&gt;"",COUNTIF('Daily Schedule'!$F$5:$F20,'Daily Workforce'!$B17)=0,IF('Daily Schedule'!$A21=45,'Daily Workforce'!$J17="Y",IF(OR('Daily Schedule'!$A21=4,'Daily Schedule'!$A21=8),IF(OR(WEEKDAY('Daily Schedule'!$B$2,2)=1,WEEKDAY('Daily Schedule'!$B$2,2)=4,WEEKDAY('Daily Schedule'!$B$2,2)=5,WEEKDAY('Daily Schedule'!$B$2,2)=7),IFERROR(1*'Daily Workforce'!$K17&gt;=3,FALSE()),IFERROR(1*'Daily Workforce'!$K17&gt;=2,FALSE())),IF(AND('Daily Schedule'!$A21&gt;=46,'Daily Schedule'!$A21&lt;=52),'Daily Workforce'!$M17="Y",IFERROR(1*'Daily Workforce'!$P17&gt;=2,FALSE()))))),1,0)</f>
        <v>0</v>
      </c>
      <c r="AC17" s="1" t="n">
        <f aca="false">IF(AND('Daily Workforce'!$N18="Y",'Daily Workforce'!$B18&lt;&gt;"",COUNTIF('Daily Schedule'!$F$5:$F20,'Daily Workforce'!$B18)=0,IF('Daily Schedule'!$A21=45,'Daily Workforce'!$J18="Y",IF(OR('Daily Schedule'!$A21=4,'Daily Schedule'!$A21=8),IF(OR(WEEKDAY('Daily Schedule'!$B$2,2)=1,WEEKDAY('Daily Schedule'!$B$2,2)=4,WEEKDAY('Daily Schedule'!$B$2,2)=5,WEEKDAY('Daily Schedule'!$B$2,2)=7),IFERROR(1*'Daily Workforce'!$K18&gt;=3,FALSE()),IFERROR(1*'Daily Workforce'!$K18&gt;=2,FALSE())),IF(AND('Daily Schedule'!$A21&gt;=46,'Daily Schedule'!$A21&lt;=52),'Daily Workforce'!$M18="Y",IFERROR(1*'Daily Workforce'!$P18&gt;=2,FALSE()))))),1,0)</f>
        <v>0</v>
      </c>
      <c r="AD17" s="1" t="n">
        <f aca="false">IF(AND('Daily Workforce'!$N19="Y",'Daily Workforce'!$B19&lt;&gt;"",COUNTIF('Daily Schedule'!$F$5:$F20,'Daily Workforce'!$B19)=0,IF('Daily Schedule'!$A21=45,'Daily Workforce'!$J19="Y",IF(OR('Daily Schedule'!$A21=4,'Daily Schedule'!$A21=8),IF(OR(WEEKDAY('Daily Schedule'!$B$2,2)=1,WEEKDAY('Daily Schedule'!$B$2,2)=4,WEEKDAY('Daily Schedule'!$B$2,2)=5,WEEKDAY('Daily Schedule'!$B$2,2)=7),IFERROR(1*'Daily Workforce'!$K19&gt;=3,FALSE()),IFERROR(1*'Daily Workforce'!$K19&gt;=2,FALSE())),IF(AND('Daily Schedule'!$A21&gt;=46,'Daily Schedule'!$A21&lt;=52),'Daily Workforce'!$M19="Y",IFERROR(1*'Daily Workforce'!$P19&gt;=2,FALSE()))))),1,0)</f>
        <v>0</v>
      </c>
      <c r="AE17" s="1" t="n">
        <f aca="false">IF(AND('Daily Workforce'!$N20="Y",'Daily Workforce'!$B20&lt;&gt;"",COUNTIF('Daily Schedule'!$F$5:$F20,'Daily Workforce'!$B20)=0,IF('Daily Schedule'!$A21=45,'Daily Workforce'!$J20="Y",IF(OR('Daily Schedule'!$A21=4,'Daily Schedule'!$A21=8),IF(OR(WEEKDAY('Daily Schedule'!$B$2,2)=1,WEEKDAY('Daily Schedule'!$B$2,2)=4,WEEKDAY('Daily Schedule'!$B$2,2)=5,WEEKDAY('Daily Schedule'!$B$2,2)=7),IFERROR(1*'Daily Workforce'!$K20&gt;=3,FALSE()),IFERROR(1*'Daily Workforce'!$K20&gt;=2,FALSE())),IF(AND('Daily Schedule'!$A21&gt;=46,'Daily Schedule'!$A21&lt;=52),'Daily Workforce'!$M20="Y",IFERROR(1*'Daily Workforce'!$P20&gt;=2,FALSE()))))),1,0)</f>
        <v>1</v>
      </c>
      <c r="AF17" s="1" t="n">
        <f aca="false">IF(AND('Daily Workforce'!$N21="Y",'Daily Workforce'!$B21&lt;&gt;"",COUNTIF('Daily Schedule'!$F$5:$F20,'Daily Workforce'!$B21)=0,IF('Daily Schedule'!$A21=45,'Daily Workforce'!$J21="Y",IF(OR('Daily Schedule'!$A21=4,'Daily Schedule'!$A21=8),IF(OR(WEEKDAY('Daily Schedule'!$B$2,2)=1,WEEKDAY('Daily Schedule'!$B$2,2)=4,WEEKDAY('Daily Schedule'!$B$2,2)=5,WEEKDAY('Daily Schedule'!$B$2,2)=7),IFERROR(1*'Daily Workforce'!$K21&gt;=3,FALSE()),IFERROR(1*'Daily Workforce'!$K21&gt;=2,FALSE())),IF(AND('Daily Schedule'!$A21&gt;=46,'Daily Schedule'!$A21&lt;=52),'Daily Workforce'!$M21="Y",IFERROR(1*'Daily Workforce'!$P21&gt;=2,FALSE()))))),1,0)</f>
        <v>1</v>
      </c>
      <c r="AG17" s="1" t="n">
        <f aca="false">IF(AND('Daily Workforce'!$N22="Y",'Daily Workforce'!$B22&lt;&gt;"",COUNTIF('Daily Schedule'!$F$5:$F20,'Daily Workforce'!$B22)=0,IF('Daily Schedule'!$A21=45,'Daily Workforce'!$J22="Y",IF(OR('Daily Schedule'!$A21=4,'Daily Schedule'!$A21=8),IF(OR(WEEKDAY('Daily Schedule'!$B$2,2)=1,WEEKDAY('Daily Schedule'!$B$2,2)=4,WEEKDAY('Daily Schedule'!$B$2,2)=5,WEEKDAY('Daily Schedule'!$B$2,2)=7),IFERROR(1*'Daily Workforce'!$K22&gt;=3,FALSE()),IFERROR(1*'Daily Workforce'!$K22&gt;=2,FALSE())),IF(AND('Daily Schedule'!$A21&gt;=46,'Daily Schedule'!$A21&lt;=52),'Daily Workforce'!$M22="Y",IFERROR(1*'Daily Workforce'!$P22&gt;=2,FALSE()))))),1,0)</f>
        <v>1</v>
      </c>
      <c r="AH17" s="1" t="n">
        <f aca="false">IF(AND('Daily Workforce'!$N23="Y",'Daily Workforce'!$B23&lt;&gt;"",COUNTIF('Daily Schedule'!$F$5:$F20,'Daily Workforce'!$B23)=0,IF('Daily Schedule'!$A21=45,'Daily Workforce'!$J23="Y",IF(OR('Daily Schedule'!$A21=4,'Daily Schedule'!$A21=8),IF(OR(WEEKDAY('Daily Schedule'!$B$2,2)=1,WEEKDAY('Daily Schedule'!$B$2,2)=4,WEEKDAY('Daily Schedule'!$B$2,2)=5,WEEKDAY('Daily Schedule'!$B$2,2)=7),IFERROR(1*'Daily Workforce'!$K23&gt;=3,FALSE()),IFERROR(1*'Daily Workforce'!$K23&gt;=2,FALSE())),IF(AND('Daily Schedule'!$A21&gt;=46,'Daily Schedule'!$A21&lt;=52),'Daily Workforce'!$M23="Y",IFERROR(1*'Daily Workforce'!$P23&gt;=2,FALSE()))))),1,0)</f>
        <v>1</v>
      </c>
      <c r="AI17" s="1" t="n">
        <f aca="false">IF(AND('Daily Workforce'!$N24="Y",'Daily Workforce'!$B24&lt;&gt;"",COUNTIF('Daily Schedule'!$F$5:$F20,'Daily Workforce'!$B24)=0,IF('Daily Schedule'!$A21=45,'Daily Workforce'!$J24="Y",IF(OR('Daily Schedule'!$A21=4,'Daily Schedule'!$A21=8),IF(OR(WEEKDAY('Daily Schedule'!$B$2,2)=1,WEEKDAY('Daily Schedule'!$B$2,2)=4,WEEKDAY('Daily Schedule'!$B$2,2)=5,WEEKDAY('Daily Schedule'!$B$2,2)=7),IFERROR(1*'Daily Workforce'!$K24&gt;=3,FALSE()),IFERROR(1*'Daily Workforce'!$K24&gt;=2,FALSE())),IF(AND('Daily Schedule'!$A21&gt;=46,'Daily Schedule'!$A21&lt;=52),'Daily Workforce'!$M24="Y",IFERROR(1*'Daily Workforce'!$P24&gt;=2,FALSE()))))),1,0)</f>
        <v>1</v>
      </c>
      <c r="AJ17" s="1" t="n">
        <f aca="false">IF(AND('Daily Workforce'!$N25="Y",'Daily Workforce'!$B25&lt;&gt;"",COUNTIF('Daily Schedule'!$F$5:$F20,'Daily Workforce'!$B25)=0,IF('Daily Schedule'!$A21=45,'Daily Workforce'!$J25="Y",IF(OR('Daily Schedule'!$A21=4,'Daily Schedule'!$A21=8),IF(OR(WEEKDAY('Daily Schedule'!$B$2,2)=1,WEEKDAY('Daily Schedule'!$B$2,2)=4,WEEKDAY('Daily Schedule'!$B$2,2)=5,WEEKDAY('Daily Schedule'!$B$2,2)=7),IFERROR(1*'Daily Workforce'!$K25&gt;=3,FALSE()),IFERROR(1*'Daily Workforce'!$K25&gt;=2,FALSE())),IF(AND('Daily Schedule'!$A21&gt;=46,'Daily Schedule'!$A21&lt;=52),'Daily Workforce'!$M25="Y",IFERROR(1*'Daily Workforce'!$P25&gt;=2,FALSE()))))),1,0)</f>
        <v>1</v>
      </c>
      <c r="AK17" s="1" t="n">
        <f aca="false">IF(AND('Daily Workforce'!$N26="Y",'Daily Workforce'!$B26&lt;&gt;"",COUNTIF('Daily Schedule'!$F$5:$F20,'Daily Workforce'!$B26)=0,IF('Daily Schedule'!$A21=45,'Daily Workforce'!$J26="Y",IF(OR('Daily Schedule'!$A21=4,'Daily Schedule'!$A21=8),IF(OR(WEEKDAY('Daily Schedule'!$B$2,2)=1,WEEKDAY('Daily Schedule'!$B$2,2)=4,WEEKDAY('Daily Schedule'!$B$2,2)=5,WEEKDAY('Daily Schedule'!$B$2,2)=7),IFERROR(1*'Daily Workforce'!$K26&gt;=3,FALSE()),IFERROR(1*'Daily Workforce'!$K26&gt;=2,FALSE())),IF(AND('Daily Schedule'!$A21&gt;=46,'Daily Schedule'!$A21&lt;=52),'Daily Workforce'!$M26="Y",IFERROR(1*'Daily Workforce'!$P26&gt;=2,FALSE()))))),1,0)</f>
        <v>1</v>
      </c>
      <c r="AL17" s="1" t="n">
        <f aca="false">IF(AND('Daily Workforce'!$N27="Y",'Daily Workforce'!$B27&lt;&gt;"",COUNTIF('Daily Schedule'!$F$5:$F20,'Daily Workforce'!$B27)=0,IF('Daily Schedule'!$A21=45,'Daily Workforce'!$J27="Y",IF(OR('Daily Schedule'!$A21=4,'Daily Schedule'!$A21=8),IF(OR(WEEKDAY('Daily Schedule'!$B$2,2)=1,WEEKDAY('Daily Schedule'!$B$2,2)=4,WEEKDAY('Daily Schedule'!$B$2,2)=5,WEEKDAY('Daily Schedule'!$B$2,2)=7),IFERROR(1*'Daily Workforce'!$K27&gt;=3,FALSE()),IFERROR(1*'Daily Workforce'!$K27&gt;=2,FALSE())),IF(AND('Daily Schedule'!$A21&gt;=46,'Daily Schedule'!$A21&lt;=52),'Daily Workforce'!$M27="Y",IFERROR(1*'Daily Workforce'!$P27&gt;=2,FALSE()))))),1,0)</f>
        <v>0</v>
      </c>
      <c r="AM17" s="1" t="n">
        <f aca="false">IF(AND('Daily Workforce'!$N28="Y",'Daily Workforce'!$B28&lt;&gt;"",COUNTIF('Daily Schedule'!$F$5:$F20,'Daily Workforce'!$B28)=0,IF('Daily Schedule'!$A21=45,'Daily Workforce'!$J28="Y",IF(OR('Daily Schedule'!$A21=4,'Daily Schedule'!$A21=8),IF(OR(WEEKDAY('Daily Schedule'!$B$2,2)=1,WEEKDAY('Daily Schedule'!$B$2,2)=4,WEEKDAY('Daily Schedule'!$B$2,2)=5,WEEKDAY('Daily Schedule'!$B$2,2)=7),IFERROR(1*'Daily Workforce'!$K28&gt;=3,FALSE()),IFERROR(1*'Daily Workforce'!$K28&gt;=2,FALSE())),IF(AND('Daily Schedule'!$A21&gt;=46,'Daily Schedule'!$A21&lt;=52),'Daily Workforce'!$M28="Y",IFERROR(1*'Daily Workforce'!$P28&gt;=2,FALSE()))))),1,0)</f>
        <v>1</v>
      </c>
      <c r="AN17" s="1" t="n">
        <f aca="false">IF(AND('Daily Workforce'!$N29="Y",'Daily Workforce'!$B29&lt;&gt;"",COUNTIF('Daily Schedule'!$F$5:$F20,'Daily Workforce'!$B29)=0,IF('Daily Schedule'!$A21=45,'Daily Workforce'!$J29="Y",IF(OR('Daily Schedule'!$A21=4,'Daily Schedule'!$A21=8),IF(OR(WEEKDAY('Daily Schedule'!$B$2,2)=1,WEEKDAY('Daily Schedule'!$B$2,2)=4,WEEKDAY('Daily Schedule'!$B$2,2)=5,WEEKDAY('Daily Schedule'!$B$2,2)=7),IFERROR(1*'Daily Workforce'!$K29&gt;=3,FALSE()),IFERROR(1*'Daily Workforce'!$K29&gt;=2,FALSE())),IF(AND('Daily Schedule'!$A21&gt;=46,'Daily Schedule'!$A21&lt;=52),'Daily Workforce'!$M29="Y",IFERROR(1*'Daily Workforce'!$P29&gt;=2,FALSE()))))),1,0)</f>
        <v>1</v>
      </c>
      <c r="AO17" s="1" t="n">
        <f aca="false">IF(AND('Daily Workforce'!$N30="Y",'Daily Workforce'!$B30&lt;&gt;"",COUNTIF('Daily Schedule'!$F$5:$F20,'Daily Workforce'!$B30)=0,IF('Daily Schedule'!$A21=45,'Daily Workforce'!$J30="Y",IF(OR('Daily Schedule'!$A21=4,'Daily Schedule'!$A21=8),IF(OR(WEEKDAY('Daily Schedule'!$B$2,2)=1,WEEKDAY('Daily Schedule'!$B$2,2)=4,WEEKDAY('Daily Schedule'!$B$2,2)=5,WEEKDAY('Daily Schedule'!$B$2,2)=7),IFERROR(1*'Daily Workforce'!$K30&gt;=3,FALSE()),IFERROR(1*'Daily Workforce'!$K30&gt;=2,FALSE())),IF(AND('Daily Schedule'!$A21&gt;=46,'Daily Schedule'!$A21&lt;=52),'Daily Workforce'!$M30="Y",IFERROR(1*'Daily Workforce'!$P30&gt;=2,FALSE()))))),1,0)</f>
        <v>1</v>
      </c>
      <c r="AP17" s="1" t="n">
        <f aca="false">IF(AND('Daily Workforce'!$N31="Y",'Daily Workforce'!$B31&lt;&gt;"",COUNTIF('Daily Schedule'!$F$5:$F20,'Daily Workforce'!$B31)=0,IF('Daily Schedule'!$A21=45,'Daily Workforce'!$J31="Y",IF(OR('Daily Schedule'!$A21=4,'Daily Schedule'!$A21=8),IF(OR(WEEKDAY('Daily Schedule'!$B$2,2)=1,WEEKDAY('Daily Schedule'!$B$2,2)=4,WEEKDAY('Daily Schedule'!$B$2,2)=5,WEEKDAY('Daily Schedule'!$B$2,2)=7),IFERROR(1*'Daily Workforce'!$K31&gt;=3,FALSE()),IFERROR(1*'Daily Workforce'!$K31&gt;=2,FALSE())),IF(AND('Daily Schedule'!$A21&gt;=46,'Daily Schedule'!$A21&lt;=52),'Daily Workforce'!$M31="Y",IFERROR(1*'Daily Workforce'!$P31&gt;=2,FALSE()))))),1,0)</f>
        <v>1</v>
      </c>
      <c r="AQ17" s="1" t="n">
        <f aca="false">IF(AND('Daily Workforce'!$N32="Y",'Daily Workforce'!$B32&lt;&gt;"",COUNTIF('Daily Schedule'!$F$5:$F20,'Daily Workforce'!$B32)=0,IF('Daily Schedule'!$A21=45,'Daily Workforce'!$J32="Y",IF(OR('Daily Schedule'!$A21=4,'Daily Schedule'!$A21=8),IF(OR(WEEKDAY('Daily Schedule'!$B$2,2)=1,WEEKDAY('Daily Schedule'!$B$2,2)=4,WEEKDAY('Daily Schedule'!$B$2,2)=5,WEEKDAY('Daily Schedule'!$B$2,2)=7),IFERROR(1*'Daily Workforce'!$K32&gt;=3,FALSE()),IFERROR(1*'Daily Workforce'!$K32&gt;=2,FALSE())),IF(AND('Daily Schedule'!$A21&gt;=46,'Daily Schedule'!$A21&lt;=52),'Daily Workforce'!$M32="Y",IFERROR(1*'Daily Workforce'!$P32&gt;=2,FALSE()))))),1,0)</f>
        <v>1</v>
      </c>
      <c r="AR17" s="1" t="n">
        <f aca="false">IF(AND('Daily Workforce'!$N33="Y",'Daily Workforce'!$B33&lt;&gt;"",COUNTIF('Daily Schedule'!$F$5:$F20,'Daily Workforce'!$B33)=0,IF('Daily Schedule'!$A21=45,'Daily Workforce'!$J33="Y",IF(OR('Daily Schedule'!$A21=4,'Daily Schedule'!$A21=8),IF(OR(WEEKDAY('Daily Schedule'!$B$2,2)=1,WEEKDAY('Daily Schedule'!$B$2,2)=4,WEEKDAY('Daily Schedule'!$B$2,2)=5,WEEKDAY('Daily Schedule'!$B$2,2)=7),IFERROR(1*'Daily Workforce'!$K33&gt;=3,FALSE()),IFERROR(1*'Daily Workforce'!$K33&gt;=2,FALSE())),IF(AND('Daily Schedule'!$A21&gt;=46,'Daily Schedule'!$A21&lt;=52),'Daily Workforce'!$M33="Y",IFERROR(1*'Daily Workforce'!$P33&gt;=2,FALSE()))))),1,0)</f>
        <v>1</v>
      </c>
      <c r="AS17" s="1" t="n">
        <f aca="false">IF(AND('Daily Workforce'!$N34="Y",'Daily Workforce'!$B34&lt;&gt;"",COUNTIF('Daily Schedule'!$F$5:$F20,'Daily Workforce'!$B34)=0,IF('Daily Schedule'!$A21=45,'Daily Workforce'!$J34="Y",IF(OR('Daily Schedule'!$A21=4,'Daily Schedule'!$A21=8),IF(OR(WEEKDAY('Daily Schedule'!$B$2,2)=1,WEEKDAY('Daily Schedule'!$B$2,2)=4,WEEKDAY('Daily Schedule'!$B$2,2)=5,WEEKDAY('Daily Schedule'!$B$2,2)=7),IFERROR(1*'Daily Workforce'!$K34&gt;=3,FALSE()),IFERROR(1*'Daily Workforce'!$K34&gt;=2,FALSE())),IF(AND('Daily Schedule'!$A21&gt;=46,'Daily Schedule'!$A21&lt;=52),'Daily Workforce'!$M34="Y",IFERROR(1*'Daily Workforce'!$P34&gt;=2,FALSE()))))),1,0)</f>
        <v>1</v>
      </c>
      <c r="AT17" s="1" t="n">
        <f aca="false">IF(AND('Daily Workforce'!$N35="Y",'Daily Workforce'!$B35&lt;&gt;"",COUNTIF('Daily Schedule'!$F$5:$F20,'Daily Workforce'!$B35)=0,IF('Daily Schedule'!$A21=45,'Daily Workforce'!$J35="Y",IF(OR('Daily Schedule'!$A21=4,'Daily Schedule'!$A21=8),IF(OR(WEEKDAY('Daily Schedule'!$B$2,2)=1,WEEKDAY('Daily Schedule'!$B$2,2)=4,WEEKDAY('Daily Schedule'!$B$2,2)=5,WEEKDAY('Daily Schedule'!$B$2,2)=7),IFERROR(1*'Daily Workforce'!$K35&gt;=3,FALSE()),IFERROR(1*'Daily Workforce'!$K35&gt;=2,FALSE())),IF(AND('Daily Schedule'!$A21&gt;=46,'Daily Schedule'!$A21&lt;=52),'Daily Workforce'!$M35="Y",IFERROR(1*'Daily Workforce'!$P35&gt;=2,FALSE()))))),1,0)</f>
        <v>1</v>
      </c>
      <c r="AU17" s="1" t="n">
        <f aca="false">IF(AND('Daily Workforce'!$N36="Y",'Daily Workforce'!$B36&lt;&gt;"",COUNTIF('Daily Schedule'!$F$5:$F20,'Daily Workforce'!$B36)=0,IF('Daily Schedule'!$A21=45,'Daily Workforce'!$J36="Y",IF(OR('Daily Schedule'!$A21=4,'Daily Schedule'!$A21=8),IF(OR(WEEKDAY('Daily Schedule'!$B$2,2)=1,WEEKDAY('Daily Schedule'!$B$2,2)=4,WEEKDAY('Daily Schedule'!$B$2,2)=5,WEEKDAY('Daily Schedule'!$B$2,2)=7),IFERROR(1*'Daily Workforce'!$K36&gt;=3,FALSE()),IFERROR(1*'Daily Workforce'!$K36&gt;=2,FALSE())),IF(AND('Daily Schedule'!$A21&gt;=46,'Daily Schedule'!$A21&lt;=52),'Daily Workforce'!$M36="Y",IFERROR(1*'Daily Workforce'!$P36&gt;=2,FALSE()))))),1,0)</f>
        <v>1</v>
      </c>
      <c r="AV17" s="1" t="n">
        <f aca="false">IF(AND('Daily Workforce'!$N37="Y",'Daily Workforce'!$B37&lt;&gt;"",COUNTIF('Daily Schedule'!$F$5:$F20,'Daily Workforce'!$B37)=0,IF('Daily Schedule'!$A21=45,'Daily Workforce'!$J37="Y",IF(OR('Daily Schedule'!$A21=4,'Daily Schedule'!$A21=8),IF(OR(WEEKDAY('Daily Schedule'!$B$2,2)=1,WEEKDAY('Daily Schedule'!$B$2,2)=4,WEEKDAY('Daily Schedule'!$B$2,2)=5,WEEKDAY('Daily Schedule'!$B$2,2)=7),IFERROR(1*'Daily Workforce'!$K37&gt;=3,FALSE()),IFERROR(1*'Daily Workforce'!$K37&gt;=2,FALSE())),IF(AND('Daily Schedule'!$A21&gt;=46,'Daily Schedule'!$A21&lt;=52),'Daily Workforce'!$M37="Y",IFERROR(1*'Daily Workforce'!$P37&gt;=2,FALSE()))))),1,0)</f>
        <v>1</v>
      </c>
      <c r="AW17" s="1" t="n">
        <f aca="false">IF(AND('Daily Workforce'!$N38="Y",'Daily Workforce'!$B38&lt;&gt;"",COUNTIF('Daily Schedule'!$F$5:$F20,'Daily Workforce'!$B38)=0,IF('Daily Schedule'!$A21=45,'Daily Workforce'!$J38="Y",IF(OR('Daily Schedule'!$A21=4,'Daily Schedule'!$A21=8),IF(OR(WEEKDAY('Daily Schedule'!$B$2,2)=1,WEEKDAY('Daily Schedule'!$B$2,2)=4,WEEKDAY('Daily Schedule'!$B$2,2)=5,WEEKDAY('Daily Schedule'!$B$2,2)=7),IFERROR(1*'Daily Workforce'!$K38&gt;=3,FALSE()),IFERROR(1*'Daily Workforce'!$K38&gt;=2,FALSE())),IF(AND('Daily Schedule'!$A21&gt;=46,'Daily Schedule'!$A21&lt;=52),'Daily Workforce'!$M38="Y",IFERROR(1*'Daily Workforce'!$P38&gt;=2,FALSE()))))),1,0)</f>
        <v>1</v>
      </c>
      <c r="AX17" s="1" t="n">
        <f aca="false">IF(AND('Daily Workforce'!$N39="Y",'Daily Workforce'!$B39&lt;&gt;"",COUNTIF('Daily Schedule'!$F$5:$F20,'Daily Workforce'!$B39)=0,IF('Daily Schedule'!$A21=45,'Daily Workforce'!$J39="Y",IF(OR('Daily Schedule'!$A21=4,'Daily Schedule'!$A21=8),IF(OR(WEEKDAY('Daily Schedule'!$B$2,2)=1,WEEKDAY('Daily Schedule'!$B$2,2)=4,WEEKDAY('Daily Schedule'!$B$2,2)=5,WEEKDAY('Daily Schedule'!$B$2,2)=7),IFERROR(1*'Daily Workforce'!$K39&gt;=3,FALSE()),IFERROR(1*'Daily Workforce'!$K39&gt;=2,FALSE())),IF(AND('Daily Schedule'!$A21&gt;=46,'Daily Schedule'!$A21&lt;=52),'Daily Workforce'!$M39="Y",IFERROR(1*'Daily Workforce'!$P39&gt;=2,FALSE()))))),1,0)</f>
        <v>1</v>
      </c>
      <c r="AY17" s="1" t="n">
        <f aca="false">IF(AND('Daily Workforce'!$N40="Y",'Daily Workforce'!$B40&lt;&gt;"",COUNTIF('Daily Schedule'!$F$5:$F20,'Daily Workforce'!$B40)=0,IF('Daily Schedule'!$A21=45,'Daily Workforce'!$J40="Y",IF(OR('Daily Schedule'!$A21=4,'Daily Schedule'!$A21=8),IF(OR(WEEKDAY('Daily Schedule'!$B$2,2)=1,WEEKDAY('Daily Schedule'!$B$2,2)=4,WEEKDAY('Daily Schedule'!$B$2,2)=5,WEEKDAY('Daily Schedule'!$B$2,2)=7),IFERROR(1*'Daily Workforce'!$K40&gt;=3,FALSE()),IFERROR(1*'Daily Workforce'!$K40&gt;=2,FALSE())),IF(AND('Daily Schedule'!$A21&gt;=46,'Daily Schedule'!$A21&lt;=52),'Daily Workforce'!$M40="Y",IFERROR(1*'Daily Workforce'!$P40&gt;=2,FALSE()))))),1,0)</f>
        <v>1</v>
      </c>
      <c r="AZ17" s="1" t="n">
        <f aca="false">IF(AND('Daily Workforce'!$N41="Y",'Daily Workforce'!$B41&lt;&gt;"",COUNTIF('Daily Schedule'!$F$5:$F20,'Daily Workforce'!$B41)=0,IF('Daily Schedule'!$A21=45,'Daily Workforce'!$J41="Y",IF(OR('Daily Schedule'!$A21=4,'Daily Schedule'!$A21=8),IF(OR(WEEKDAY('Daily Schedule'!$B$2,2)=1,WEEKDAY('Daily Schedule'!$B$2,2)=4,WEEKDAY('Daily Schedule'!$B$2,2)=5,WEEKDAY('Daily Schedule'!$B$2,2)=7),IFERROR(1*'Daily Workforce'!$K41&gt;=3,FALSE()),IFERROR(1*'Daily Workforce'!$K41&gt;=2,FALSE())),IF(AND('Daily Schedule'!$A21&gt;=46,'Daily Schedule'!$A21&lt;=52),'Daily Workforce'!$M41="Y",IFERROR(1*'Daily Workforce'!$P41&gt;=2,FALSE()))))),1,0)</f>
        <v>1</v>
      </c>
      <c r="BA17" s="1" t="n">
        <f aca="false">IF(AND('Daily Workforce'!$N42="Y",'Daily Workforce'!$B42&lt;&gt;"",COUNTIF('Daily Schedule'!$F$5:$F20,'Daily Workforce'!$B42)=0,IF('Daily Schedule'!$A21=45,'Daily Workforce'!$J42="Y",IF(OR('Daily Schedule'!$A21=4,'Daily Schedule'!$A21=8),IF(OR(WEEKDAY('Daily Schedule'!$B$2,2)=1,WEEKDAY('Daily Schedule'!$B$2,2)=4,WEEKDAY('Daily Schedule'!$B$2,2)=5,WEEKDAY('Daily Schedule'!$B$2,2)=7),IFERROR(1*'Daily Workforce'!$K42&gt;=3,FALSE()),IFERROR(1*'Daily Workforce'!$K42&gt;=2,FALSE())),IF(AND('Daily Schedule'!$A21&gt;=46,'Daily Schedule'!$A21&lt;=52),'Daily Workforce'!$M42="Y",IFERROR(1*'Daily Workforce'!$P42&gt;=2,FALSE()))))),1,0)</f>
        <v>1</v>
      </c>
      <c r="BB17" s="1" t="n">
        <f aca="false">IF(AND('Daily Workforce'!$N43="Y",'Daily Workforce'!$B43&lt;&gt;"",COUNTIF('Daily Schedule'!$F$5:$F20,'Daily Workforce'!$B43)=0,IF('Daily Schedule'!$A21=45,'Daily Workforce'!$J43="Y",IF(OR('Daily Schedule'!$A21=4,'Daily Schedule'!$A21=8),IF(OR(WEEKDAY('Daily Schedule'!$B$2,2)=1,WEEKDAY('Daily Schedule'!$B$2,2)=4,WEEKDAY('Daily Schedule'!$B$2,2)=5,WEEKDAY('Daily Schedule'!$B$2,2)=7),IFERROR(1*'Daily Workforce'!$K43&gt;=3,FALSE()),IFERROR(1*'Daily Workforce'!$K43&gt;=2,FALSE())),IF(AND('Daily Schedule'!$A21&gt;=46,'Daily Schedule'!$A21&lt;=52),'Daily Workforce'!$M43="Y",IFERROR(1*'Daily Workforce'!$P43&gt;=2,FALSE()))))),1,0)</f>
        <v>1</v>
      </c>
      <c r="BC17" s="1" t="n">
        <f aca="false">IF(AND('Daily Workforce'!$N44="Y",'Daily Workforce'!$B44&lt;&gt;"",COUNTIF('Daily Schedule'!$F$5:$F20,'Daily Workforce'!$B44)=0,IF('Daily Schedule'!$A21=45,'Daily Workforce'!$J44="Y",IF(OR('Daily Schedule'!$A21=4,'Daily Schedule'!$A21=8),IF(OR(WEEKDAY('Daily Schedule'!$B$2,2)=1,WEEKDAY('Daily Schedule'!$B$2,2)=4,WEEKDAY('Daily Schedule'!$B$2,2)=5,WEEKDAY('Daily Schedule'!$B$2,2)=7),IFERROR(1*'Daily Workforce'!$K44&gt;=3,FALSE()),IFERROR(1*'Daily Workforce'!$K44&gt;=2,FALSE())),IF(AND('Daily Schedule'!$A21&gt;=46,'Daily Schedule'!$A21&lt;=52),'Daily Workforce'!$M44="Y",IFERROR(1*'Daily Workforce'!$P44&gt;=2,FALSE()))))),1,0)</f>
        <v>1</v>
      </c>
      <c r="BD17" s="1" t="n">
        <f aca="false">IF(AND('Daily Workforce'!$N45="Y",'Daily Workforce'!$B45&lt;&gt;"",COUNTIF('Daily Schedule'!$F$5:$F20,'Daily Workforce'!$B45)=0,IF('Daily Schedule'!$A21=45,'Daily Workforce'!$J45="Y",IF(OR('Daily Schedule'!$A21=4,'Daily Schedule'!$A21=8),IF(OR(WEEKDAY('Daily Schedule'!$B$2,2)=1,WEEKDAY('Daily Schedule'!$B$2,2)=4,WEEKDAY('Daily Schedule'!$B$2,2)=5,WEEKDAY('Daily Schedule'!$B$2,2)=7),IFERROR(1*'Daily Workforce'!$K45&gt;=3,FALSE()),IFERROR(1*'Daily Workforce'!$K45&gt;=2,FALSE())),IF(AND('Daily Schedule'!$A21&gt;=46,'Daily Schedule'!$A21&lt;=52),'Daily Workforce'!$M45="Y",IFERROR(1*'Daily Workforce'!$P45&gt;=2,FALSE()))))),1,0)</f>
        <v>1</v>
      </c>
      <c r="BE17" s="1" t="n">
        <f aca="false">IF(AND('Daily Workforce'!$N46="Y",'Daily Workforce'!$B46&lt;&gt;"",COUNTIF('Daily Schedule'!$F$5:$F20,'Daily Workforce'!$B46)=0,IF('Daily Schedule'!$A21=45,'Daily Workforce'!$J46="Y",IF(OR('Daily Schedule'!$A21=4,'Daily Schedule'!$A21=8),IF(OR(WEEKDAY('Daily Schedule'!$B$2,2)=1,WEEKDAY('Daily Schedule'!$B$2,2)=4,WEEKDAY('Daily Schedule'!$B$2,2)=5,WEEKDAY('Daily Schedule'!$B$2,2)=7),IFERROR(1*'Daily Workforce'!$K46&gt;=3,FALSE()),IFERROR(1*'Daily Workforce'!$K46&gt;=2,FALSE())),IF(AND('Daily Schedule'!$A21&gt;=46,'Daily Schedule'!$A21&lt;=52),'Daily Workforce'!$M46="Y",IFERROR(1*'Daily Workforce'!$P46&gt;=2,FALSE()))))),1,0)</f>
        <v>1</v>
      </c>
      <c r="BF17" s="1" t="n">
        <f aca="false">IF(AND('Daily Workforce'!$N47="Y",'Daily Workforce'!$B47&lt;&gt;"",COUNTIF('Daily Schedule'!$F$5:$F20,'Daily Workforce'!$B47)=0,IF('Daily Schedule'!$A21=45,'Daily Workforce'!$J47="Y",IF(OR('Daily Schedule'!$A21=4,'Daily Schedule'!$A21=8),IF(OR(WEEKDAY('Daily Schedule'!$B$2,2)=1,WEEKDAY('Daily Schedule'!$B$2,2)=4,WEEKDAY('Daily Schedule'!$B$2,2)=5,WEEKDAY('Daily Schedule'!$B$2,2)=7),IFERROR(1*'Daily Workforce'!$K47&gt;=3,FALSE()),IFERROR(1*'Daily Workforce'!$K47&gt;=2,FALSE())),IF(AND('Daily Schedule'!$A21&gt;=46,'Daily Schedule'!$A21&lt;=52),'Daily Workforce'!$M47="Y",IFERROR(1*'Daily Workforce'!$P47&gt;=2,FALSE()))))),1,0)</f>
        <v>0</v>
      </c>
      <c r="BG17" s="1" t="n">
        <f aca="false">IF(AND('Daily Workforce'!$N48="Y",'Daily Workforce'!$B48&lt;&gt;"",COUNTIF('Daily Schedule'!$F$5:$F20,'Daily Workforce'!$B48)=0,IF('Daily Schedule'!$A21=45,'Daily Workforce'!$J48="Y",IF(OR('Daily Schedule'!$A21=4,'Daily Schedule'!$A21=8),IF(OR(WEEKDAY('Daily Schedule'!$B$2,2)=1,WEEKDAY('Daily Schedule'!$B$2,2)=4,WEEKDAY('Daily Schedule'!$B$2,2)=5,WEEKDAY('Daily Schedule'!$B$2,2)=7),IFERROR(1*'Daily Workforce'!$K48&gt;=3,FALSE()),IFERROR(1*'Daily Workforce'!$K48&gt;=2,FALSE())),IF(AND('Daily Schedule'!$A21&gt;=46,'Daily Schedule'!$A21&lt;=52),'Daily Workforce'!$M48="Y",IFERROR(1*'Daily Workforce'!$P48&gt;=2,FALSE()))))),1,0)</f>
        <v>1</v>
      </c>
      <c r="BH17" s="1" t="n">
        <f aca="false">IF(AND('Daily Workforce'!$N49="Y",'Daily Workforce'!$B49&lt;&gt;"",COUNTIF('Daily Schedule'!$F$5:$F20,'Daily Workforce'!$B49)=0,IF('Daily Schedule'!$A21=45,'Daily Workforce'!$J49="Y",IF(OR('Daily Schedule'!$A21=4,'Daily Schedule'!$A21=8),IF(OR(WEEKDAY('Daily Schedule'!$B$2,2)=1,WEEKDAY('Daily Schedule'!$B$2,2)=4,WEEKDAY('Daily Schedule'!$B$2,2)=5,WEEKDAY('Daily Schedule'!$B$2,2)=7),IFERROR(1*'Daily Workforce'!$K49&gt;=3,FALSE()),IFERROR(1*'Daily Workforce'!$K49&gt;=2,FALSE())),IF(AND('Daily Schedule'!$A21&gt;=46,'Daily Schedule'!$A21&lt;=52),'Daily Workforce'!$M49="Y",IFERROR(1*'Daily Workforce'!$P49&gt;=2,FALSE()))))),1,0)</f>
        <v>1</v>
      </c>
      <c r="BI17" s="1" t="n">
        <f aca="false">IF(AND('Daily Workforce'!$N50="Y",'Daily Workforce'!$B50&lt;&gt;"",COUNTIF('Daily Schedule'!$F$5:$F20,'Daily Workforce'!$B50)=0,IF('Daily Schedule'!$A21=45,'Daily Workforce'!$J50="Y",IF(OR('Daily Schedule'!$A21=4,'Daily Schedule'!$A21=8),IF(OR(WEEKDAY('Daily Schedule'!$B$2,2)=1,WEEKDAY('Daily Schedule'!$B$2,2)=4,WEEKDAY('Daily Schedule'!$B$2,2)=5,WEEKDAY('Daily Schedule'!$B$2,2)=7),IFERROR(1*'Daily Workforce'!$K50&gt;=3,FALSE()),IFERROR(1*'Daily Workforce'!$K50&gt;=2,FALSE())),IF(AND('Daily Schedule'!$A21&gt;=46,'Daily Schedule'!$A21&lt;=52),'Daily Workforce'!$M50="Y",IFERROR(1*'Daily Workforce'!$P50&gt;=2,FALSE()))))),1,0)</f>
        <v>0</v>
      </c>
      <c r="BJ17" s="1" t="n">
        <f aca="false">IF(AND('Daily Workforce'!$N51="Y",'Daily Workforce'!$B51&lt;&gt;"",COUNTIF('Daily Schedule'!$F$5:$F20,'Daily Workforce'!$B51)=0,IF('Daily Schedule'!$A21=45,'Daily Workforce'!$J51="Y",IF(OR('Daily Schedule'!$A21=4,'Daily Schedule'!$A21=8),IF(OR(WEEKDAY('Daily Schedule'!$B$2,2)=1,WEEKDAY('Daily Schedule'!$B$2,2)=4,WEEKDAY('Daily Schedule'!$B$2,2)=5,WEEKDAY('Daily Schedule'!$B$2,2)=7),IFERROR(1*'Daily Workforce'!$K51&gt;=3,FALSE()),IFERROR(1*'Daily Workforce'!$K51&gt;=2,FALSE())),IF(AND('Daily Schedule'!$A21&gt;=46,'Daily Schedule'!$A21&lt;=52),'Daily Workforce'!$M51="Y",IFERROR(1*'Daily Workforce'!$P51&gt;=2,FALSE()))))),1,0)</f>
        <v>1</v>
      </c>
      <c r="BK17" s="1" t="n">
        <f aca="false">IF(AND('Daily Workforce'!$N52="Y",'Daily Workforce'!$B52&lt;&gt;"",COUNTIF('Daily Schedule'!$F$5:$F20,'Daily Workforce'!$B52)=0,IF('Daily Schedule'!$A21=45,'Daily Workforce'!$J52="Y",IF(OR('Daily Schedule'!$A21=4,'Daily Schedule'!$A21=8),IF(OR(WEEKDAY('Daily Schedule'!$B$2,2)=1,WEEKDAY('Daily Schedule'!$B$2,2)=4,WEEKDAY('Daily Schedule'!$B$2,2)=5,WEEKDAY('Daily Schedule'!$B$2,2)=7),IFERROR(1*'Daily Workforce'!$K52&gt;=3,FALSE()),IFERROR(1*'Daily Workforce'!$K52&gt;=2,FALSE())),IF(AND('Daily Schedule'!$A21&gt;=46,'Daily Schedule'!$A21&lt;=52),'Daily Workforce'!$M52="Y",IFERROR(1*'Daily Workforce'!$P52&gt;=2,FALSE()))))),1,0)</f>
        <v>1</v>
      </c>
      <c r="BL17" s="1" t="n">
        <f aca="false">IF(AND('Daily Workforce'!$N53="Y",'Daily Workforce'!$B53&lt;&gt;"",COUNTIF('Daily Schedule'!$F$5:$F20,'Daily Workforce'!$B53)=0,IF('Daily Schedule'!$A21=45,'Daily Workforce'!$J53="Y",IF(OR('Daily Schedule'!$A21=4,'Daily Schedule'!$A21=8),IF(OR(WEEKDAY('Daily Schedule'!$B$2,2)=1,WEEKDAY('Daily Schedule'!$B$2,2)=4,WEEKDAY('Daily Schedule'!$B$2,2)=5,WEEKDAY('Daily Schedule'!$B$2,2)=7),IFERROR(1*'Daily Workforce'!$K53&gt;=3,FALSE()),IFERROR(1*'Daily Workforce'!$K53&gt;=2,FALSE())),IF(AND('Daily Schedule'!$A21&gt;=46,'Daily Schedule'!$A21&lt;=52),'Daily Workforce'!$M53="Y",IFERROR(1*'Daily Workforce'!$P53&gt;=2,FALSE()))))),1,0)</f>
        <v>1</v>
      </c>
      <c r="BM17" s="1" t="n">
        <f aca="false">IF(AND('Daily Workforce'!$N54="Y",'Daily Workforce'!$B54&lt;&gt;"",COUNTIF('Daily Schedule'!$F$5:$F20,'Daily Workforce'!$B54)=0,IF('Daily Schedule'!$A21=45,'Daily Workforce'!$J54="Y",IF(OR('Daily Schedule'!$A21=4,'Daily Schedule'!$A21=8),IF(OR(WEEKDAY('Daily Schedule'!$B$2,2)=1,WEEKDAY('Daily Schedule'!$B$2,2)=4,WEEKDAY('Daily Schedule'!$B$2,2)=5,WEEKDAY('Daily Schedule'!$B$2,2)=7),IFERROR(1*'Daily Workforce'!$K54&gt;=3,FALSE()),IFERROR(1*'Daily Workforce'!$K54&gt;=2,FALSE())),IF(AND('Daily Schedule'!$A21&gt;=46,'Daily Schedule'!$A21&lt;=52),'Daily Workforce'!$M54="Y",IFERROR(1*'Daily Workforce'!$P54&gt;=2,FALSE()))))),1,0)</f>
        <v>1</v>
      </c>
      <c r="BN17" s="1" t="n">
        <f aca="false">IF(AND('Daily Workforce'!$N55="Y",'Daily Workforce'!$B55&lt;&gt;"",COUNTIF('Daily Schedule'!$F$5:$F20,'Daily Workforce'!$B55)=0,IF('Daily Schedule'!$A21=45,'Daily Workforce'!$J55="Y",IF(OR('Daily Schedule'!$A21=4,'Daily Schedule'!$A21=8),IF(OR(WEEKDAY('Daily Schedule'!$B$2,2)=1,WEEKDAY('Daily Schedule'!$B$2,2)=4,WEEKDAY('Daily Schedule'!$B$2,2)=5,WEEKDAY('Daily Schedule'!$B$2,2)=7),IFERROR(1*'Daily Workforce'!$K55&gt;=3,FALSE()),IFERROR(1*'Daily Workforce'!$K55&gt;=2,FALSE())),IF(AND('Daily Schedule'!$A21&gt;=46,'Daily Schedule'!$A21&lt;=52),'Daily Workforce'!$M55="Y",IFERROR(1*'Daily Workforce'!$P55&gt;=2,FALSE()))))),1,0)</f>
        <v>1</v>
      </c>
      <c r="BO17" s="1" t="n">
        <f aca="false">IF(AND('Daily Workforce'!$N56="Y",'Daily Workforce'!$B56&lt;&gt;"",COUNTIF('Daily Schedule'!$F$5:$F20,'Daily Workforce'!$B56)=0,IF('Daily Schedule'!$A21=45,'Daily Workforce'!$J56="Y",IF(OR('Daily Schedule'!$A21=4,'Daily Schedule'!$A21=8),IF(OR(WEEKDAY('Daily Schedule'!$B$2,2)=1,WEEKDAY('Daily Schedule'!$B$2,2)=4,WEEKDAY('Daily Schedule'!$B$2,2)=5,WEEKDAY('Daily Schedule'!$B$2,2)=7),IFERROR(1*'Daily Workforce'!$K56&gt;=3,FALSE()),IFERROR(1*'Daily Workforce'!$K56&gt;=2,FALSE())),IF(AND('Daily Schedule'!$A21&gt;=46,'Daily Schedule'!$A21&lt;=52),'Daily Workforce'!$M56="Y",IFERROR(1*'Daily Workforce'!$P56&gt;=2,FALSE()))))),1,0)</f>
        <v>1</v>
      </c>
      <c r="BP17" s="1" t="n">
        <f aca="false">IF(AND('Daily Workforce'!$N57="Y",'Daily Workforce'!$B57&lt;&gt;"",COUNTIF('Daily Schedule'!$F$5:$F20,'Daily Workforce'!$B57)=0,IF('Daily Schedule'!$A21=45,'Daily Workforce'!$J57="Y",IF(OR('Daily Schedule'!$A21=4,'Daily Schedule'!$A21=8),IF(OR(WEEKDAY('Daily Schedule'!$B$2,2)=1,WEEKDAY('Daily Schedule'!$B$2,2)=4,WEEKDAY('Daily Schedule'!$B$2,2)=5,WEEKDAY('Daily Schedule'!$B$2,2)=7),IFERROR(1*'Daily Workforce'!$K57&gt;=3,FALSE()),IFERROR(1*'Daily Workforce'!$K57&gt;=2,FALSE())),IF(AND('Daily Schedule'!$A21&gt;=46,'Daily Schedule'!$A21&lt;=52),'Daily Workforce'!$M57="Y",IFERROR(1*'Daily Workforce'!$P57&gt;=2,FALSE()))))),1,0)</f>
        <v>0</v>
      </c>
      <c r="BQ17" s="1" t="n">
        <f aca="false">IF(AND('Daily Workforce'!$N58="Y",'Daily Workforce'!$B58&lt;&gt;"",COUNTIF('Daily Schedule'!$F$5:$F20,'Daily Workforce'!$B58)=0,IF('Daily Schedule'!$A21=45,'Daily Workforce'!$J58="Y",IF(OR('Daily Schedule'!$A21=4,'Daily Schedule'!$A21=8),IF(OR(WEEKDAY('Daily Schedule'!$B$2,2)=1,WEEKDAY('Daily Schedule'!$B$2,2)=4,WEEKDAY('Daily Schedule'!$B$2,2)=5,WEEKDAY('Daily Schedule'!$B$2,2)=7),IFERROR(1*'Daily Workforce'!$K58&gt;=3,FALSE()),IFERROR(1*'Daily Workforce'!$K58&gt;=2,FALSE())),IF(AND('Daily Schedule'!$A21&gt;=46,'Daily Schedule'!$A21&lt;=52),'Daily Workforce'!$M58="Y",IFERROR(1*'Daily Workforce'!$P58&gt;=2,FALSE()))))),1,0)</f>
        <v>1</v>
      </c>
      <c r="BR17" s="1" t="n">
        <f aca="false">IF(AND('Daily Workforce'!$N59="Y",'Daily Workforce'!$B59&lt;&gt;"",COUNTIF('Daily Schedule'!$F$5:$F20,'Daily Workforce'!$B59)=0,IF('Daily Schedule'!$A21=45,'Daily Workforce'!$J59="Y",IF(OR('Daily Schedule'!$A21=4,'Daily Schedule'!$A21=8),IF(OR(WEEKDAY('Daily Schedule'!$B$2,2)=1,WEEKDAY('Daily Schedule'!$B$2,2)=4,WEEKDAY('Daily Schedule'!$B$2,2)=5,WEEKDAY('Daily Schedule'!$B$2,2)=7),IFERROR(1*'Daily Workforce'!$K59&gt;=3,FALSE()),IFERROR(1*'Daily Workforce'!$K59&gt;=2,FALSE())),IF(AND('Daily Schedule'!$A21&gt;=46,'Daily Schedule'!$A21&lt;=52),'Daily Workforce'!$M59="Y",IFERROR(1*'Daily Workforce'!$P59&gt;=2,FALSE()))))),1,0)</f>
        <v>1</v>
      </c>
      <c r="BS17" s="1" t="n">
        <f aca="false">IF(AND('Daily Workforce'!$N60="Y",'Daily Workforce'!$B60&lt;&gt;"",COUNTIF('Daily Schedule'!$F$5:$F20,'Daily Workforce'!$B60)=0,IF('Daily Schedule'!$A21=45,'Daily Workforce'!$J60="Y",IF(OR('Daily Schedule'!$A21=4,'Daily Schedule'!$A21=8),IF(OR(WEEKDAY('Daily Schedule'!$B$2,2)=1,WEEKDAY('Daily Schedule'!$B$2,2)=4,WEEKDAY('Daily Schedule'!$B$2,2)=5,WEEKDAY('Daily Schedule'!$B$2,2)=7),IFERROR(1*'Daily Workforce'!$K60&gt;=3,FALSE()),IFERROR(1*'Daily Workforce'!$K60&gt;=2,FALSE())),IF(AND('Daily Schedule'!$A21&gt;=46,'Daily Schedule'!$A21&lt;=52),'Daily Workforce'!$M60="Y",IFERROR(1*'Daily Workforce'!$P60&gt;=2,FALSE()))))),1,0)</f>
        <v>1</v>
      </c>
      <c r="BT17" s="1" t="n">
        <f aca="false">IF(AND('Daily Workforce'!$N61="Y",'Daily Workforce'!$B61&lt;&gt;"",COUNTIF('Daily Schedule'!$F$5:$F20,'Daily Workforce'!$B61)=0,IF('Daily Schedule'!$A21=45,'Daily Workforce'!$J61="Y",IF(OR('Daily Schedule'!$A21=4,'Daily Schedule'!$A21=8),IF(OR(WEEKDAY('Daily Schedule'!$B$2,2)=1,WEEKDAY('Daily Schedule'!$B$2,2)=4,WEEKDAY('Daily Schedule'!$B$2,2)=5,WEEKDAY('Daily Schedule'!$B$2,2)=7),IFERROR(1*'Daily Workforce'!$K61&gt;=3,FALSE()),IFERROR(1*'Daily Workforce'!$K61&gt;=2,FALSE())),IF(AND('Daily Schedule'!$A21&gt;=46,'Daily Schedule'!$A21&lt;=52),'Daily Workforce'!$M61="Y",IFERROR(1*'Daily Workforce'!$P61&gt;=2,FALSE()))))),1,0)</f>
        <v>0</v>
      </c>
      <c r="BU17" s="1" t="n">
        <f aca="false">IF(AND('Daily Workforce'!$N62="Y",'Daily Workforce'!$B62&lt;&gt;"",COUNTIF('Daily Schedule'!$F$5:$F20,'Daily Workforce'!$B62)=0,IF('Daily Schedule'!$A21=45,'Daily Workforce'!$J62="Y",IF(OR('Daily Schedule'!$A21=4,'Daily Schedule'!$A21=8),IF(OR(WEEKDAY('Daily Schedule'!$B$2,2)=1,WEEKDAY('Daily Schedule'!$B$2,2)=4,WEEKDAY('Daily Schedule'!$B$2,2)=5,WEEKDAY('Daily Schedule'!$B$2,2)=7),IFERROR(1*'Daily Workforce'!$K62&gt;=3,FALSE()),IFERROR(1*'Daily Workforce'!$K62&gt;=2,FALSE())),IF(AND('Daily Schedule'!$A21&gt;=46,'Daily Schedule'!$A21&lt;=52),'Daily Workforce'!$M62="Y",IFERROR(1*'Daily Workforce'!$P62&gt;=2,FALSE()))))),1,0)</f>
        <v>1</v>
      </c>
      <c r="BV17" s="1" t="n">
        <f aca="false">IF(AND('Daily Workforce'!$N63="Y",'Daily Workforce'!$B63&lt;&gt;"",COUNTIF('Daily Schedule'!$F$5:$F20,'Daily Workforce'!$B63)=0,IF('Daily Schedule'!$A21=45,'Daily Workforce'!$J63="Y",IF(OR('Daily Schedule'!$A21=4,'Daily Schedule'!$A21=8),IF(OR(WEEKDAY('Daily Schedule'!$B$2,2)=1,WEEKDAY('Daily Schedule'!$B$2,2)=4,WEEKDAY('Daily Schedule'!$B$2,2)=5,WEEKDAY('Daily Schedule'!$B$2,2)=7),IFERROR(1*'Daily Workforce'!$K63&gt;=3,FALSE()),IFERROR(1*'Daily Workforce'!$K63&gt;=2,FALSE())),IF(AND('Daily Schedule'!$A21&gt;=46,'Daily Schedule'!$A21&lt;=52),'Daily Workforce'!$M63="Y",IFERROR(1*'Daily Workforce'!$P63&gt;=2,FALSE()))))),1,0)</f>
        <v>1</v>
      </c>
      <c r="BW17" s="1" t="n">
        <f aca="false">IF(AND('Daily Workforce'!$N64="Y",'Daily Workforce'!$B64&lt;&gt;"",COUNTIF('Daily Schedule'!$F$5:$F20,'Daily Workforce'!$B64)=0,IF('Daily Schedule'!$A21=45,'Daily Workforce'!$J64="Y",IF(OR('Daily Schedule'!$A21=4,'Daily Schedule'!$A21=8),IF(OR(WEEKDAY('Daily Schedule'!$B$2,2)=1,WEEKDAY('Daily Schedule'!$B$2,2)=4,WEEKDAY('Daily Schedule'!$B$2,2)=5,WEEKDAY('Daily Schedule'!$B$2,2)=7),IFERROR(1*'Daily Workforce'!$K64&gt;=3,FALSE()),IFERROR(1*'Daily Workforce'!$K64&gt;=2,FALSE())),IF(AND('Daily Schedule'!$A21&gt;=46,'Daily Schedule'!$A21&lt;=52),'Daily Workforce'!$M64="Y",IFERROR(1*'Daily Workforce'!$P64&gt;=2,FALSE()))))),1,0)</f>
        <v>1</v>
      </c>
      <c r="BX17" s="1" t="n">
        <f aca="false">IF(AND('Daily Workforce'!$N65="Y",'Daily Workforce'!$B65&lt;&gt;"",COUNTIF('Daily Schedule'!$F$5:$F20,'Daily Workforce'!$B65)=0,IF('Daily Schedule'!$A21=45,'Daily Workforce'!$J65="Y",IF(OR('Daily Schedule'!$A21=4,'Daily Schedule'!$A21=8),IF(OR(WEEKDAY('Daily Schedule'!$B$2,2)=1,WEEKDAY('Daily Schedule'!$B$2,2)=4,WEEKDAY('Daily Schedule'!$B$2,2)=5,WEEKDAY('Daily Schedule'!$B$2,2)=7),IFERROR(1*'Daily Workforce'!$K65&gt;=3,FALSE()),IFERROR(1*'Daily Workforce'!$K65&gt;=2,FALSE())),IF(AND('Daily Schedule'!$A21&gt;=46,'Daily Schedule'!$A21&lt;=52),'Daily Workforce'!$M65="Y",IFERROR(1*'Daily Workforce'!$P65&gt;=2,FALSE()))))),1,0)</f>
        <v>1</v>
      </c>
      <c r="BY17" s="1" t="n">
        <f aca="false">IF(AND('Daily Workforce'!$N66="Y",'Daily Workforce'!$B66&lt;&gt;"",COUNTIF('Daily Schedule'!$F$5:$F20,'Daily Workforce'!$B66)=0,IF('Daily Schedule'!$A21=45,'Daily Workforce'!$J66="Y",IF(OR('Daily Schedule'!$A21=4,'Daily Schedule'!$A21=8),IF(OR(WEEKDAY('Daily Schedule'!$B$2,2)=1,WEEKDAY('Daily Schedule'!$B$2,2)=4,WEEKDAY('Daily Schedule'!$B$2,2)=5,WEEKDAY('Daily Schedule'!$B$2,2)=7),IFERROR(1*'Daily Workforce'!$K66&gt;=3,FALSE()),IFERROR(1*'Daily Workforce'!$K66&gt;=2,FALSE())),IF(AND('Daily Schedule'!$A21&gt;=46,'Daily Schedule'!$A21&lt;=52),'Daily Workforce'!$M66="Y",IFERROR(1*'Daily Workforce'!$P66&gt;=2,FALSE()))))),1,0)</f>
        <v>1</v>
      </c>
      <c r="BZ17" s="1" t="n">
        <f aca="false">IF(AND('Daily Workforce'!$N67="Y",'Daily Workforce'!$B67&lt;&gt;"",COUNTIF('Daily Schedule'!$F$5:$F20,'Daily Workforce'!$B67)=0,IF('Daily Schedule'!$A21=45,'Daily Workforce'!$J67="Y",IF(OR('Daily Schedule'!$A21=4,'Daily Schedule'!$A21=8),IF(OR(WEEKDAY('Daily Schedule'!$B$2,2)=1,WEEKDAY('Daily Schedule'!$B$2,2)=4,WEEKDAY('Daily Schedule'!$B$2,2)=5,WEEKDAY('Daily Schedule'!$B$2,2)=7),IFERROR(1*'Daily Workforce'!$K67&gt;=3,FALSE()),IFERROR(1*'Daily Workforce'!$K67&gt;=2,FALSE())),IF(AND('Daily Schedule'!$A21&gt;=46,'Daily Schedule'!$A21&lt;=52),'Daily Workforce'!$M67="Y",IFERROR(1*'Daily Workforce'!$P67&gt;=2,FALSE()))))),1,0)</f>
        <v>1</v>
      </c>
      <c r="CA17" s="1" t="n">
        <f aca="false">IF(AND('Daily Workforce'!$N68="Y",'Daily Workforce'!$B68&lt;&gt;"",COUNTIF('Daily Schedule'!$F$5:$F20,'Daily Workforce'!$B68)=0,IF('Daily Schedule'!$A21=45,'Daily Workforce'!$J68="Y",IF(OR('Daily Schedule'!$A21=4,'Daily Schedule'!$A21=8),IF(OR(WEEKDAY('Daily Schedule'!$B$2,2)=1,WEEKDAY('Daily Schedule'!$B$2,2)=4,WEEKDAY('Daily Schedule'!$B$2,2)=5,WEEKDAY('Daily Schedule'!$B$2,2)=7),IFERROR(1*'Daily Workforce'!$K68&gt;=3,FALSE()),IFERROR(1*'Daily Workforce'!$K68&gt;=2,FALSE())),IF(AND('Daily Schedule'!$A21&gt;=46,'Daily Schedule'!$A21&lt;=52),'Daily Workforce'!$M68="Y",IFERROR(1*'Daily Workforce'!$P68&gt;=2,FALSE()))))),1,0)</f>
        <v>1</v>
      </c>
      <c r="CB17" s="1" t="n">
        <f aca="false">IF(AND('Daily Workforce'!$N69="Y",'Daily Workforce'!$B69&lt;&gt;"",COUNTIF('Daily Schedule'!$F$5:$F20,'Daily Workforce'!$B69)=0,IF('Daily Schedule'!$A21=45,'Daily Workforce'!$J69="Y",IF(OR('Daily Schedule'!$A21=4,'Daily Schedule'!$A21=8),IF(OR(WEEKDAY('Daily Schedule'!$B$2,2)=1,WEEKDAY('Daily Schedule'!$B$2,2)=4,WEEKDAY('Daily Schedule'!$B$2,2)=5,WEEKDAY('Daily Schedule'!$B$2,2)=7),IFERROR(1*'Daily Workforce'!$K69&gt;=3,FALSE()),IFERROR(1*'Daily Workforce'!$K69&gt;=2,FALSE())),IF(AND('Daily Schedule'!$A21&gt;=46,'Daily Schedule'!$A21&lt;=52),'Daily Workforce'!$M69="Y",IFERROR(1*'Daily Workforce'!$P69&gt;=2,FALSE()))))),1,0)</f>
        <v>1</v>
      </c>
      <c r="CC17" s="1" t="n">
        <f aca="false">IF(AND('Daily Workforce'!$N70="Y",'Daily Workforce'!$B70&lt;&gt;"",COUNTIF('Daily Schedule'!$F$5:$F20,'Daily Workforce'!$B70)=0,IF('Daily Schedule'!$A21=45,'Daily Workforce'!$J70="Y",IF(OR('Daily Schedule'!$A21=4,'Daily Schedule'!$A21=8),IF(OR(WEEKDAY('Daily Schedule'!$B$2,2)=1,WEEKDAY('Daily Schedule'!$B$2,2)=4,WEEKDAY('Daily Schedule'!$B$2,2)=5,WEEKDAY('Daily Schedule'!$B$2,2)=7),IFERROR(1*'Daily Workforce'!$K70&gt;=3,FALSE()),IFERROR(1*'Daily Workforce'!$K70&gt;=2,FALSE())),IF(AND('Daily Schedule'!$A21&gt;=46,'Daily Schedule'!$A21&lt;=52),'Daily Workforce'!$M70="Y",IFERROR(1*'Daily Workforce'!$P70&gt;=2,FALSE()))))),1,0)</f>
        <v>1</v>
      </c>
      <c r="CD17" s="1" t="n">
        <f aca="false">IF(AND('Daily Workforce'!$N71="Y",'Daily Workforce'!$B71&lt;&gt;"",COUNTIF('Daily Schedule'!$F$5:$F20,'Daily Workforce'!$B71)=0,IF('Daily Schedule'!$A21=45,'Daily Workforce'!$J71="Y",IF(OR('Daily Schedule'!$A21=4,'Daily Schedule'!$A21=8),IF(OR(WEEKDAY('Daily Schedule'!$B$2,2)=1,WEEKDAY('Daily Schedule'!$B$2,2)=4,WEEKDAY('Daily Schedule'!$B$2,2)=5,WEEKDAY('Daily Schedule'!$B$2,2)=7),IFERROR(1*'Daily Workforce'!$K71&gt;=3,FALSE()),IFERROR(1*'Daily Workforce'!$K71&gt;=2,FALSE())),IF(AND('Daily Schedule'!$A21&gt;=46,'Daily Schedule'!$A21&lt;=52),'Daily Workforce'!$M71="Y",IFERROR(1*'Daily Workforce'!$P71&gt;=2,FALSE()))))),1,0)</f>
        <v>1</v>
      </c>
      <c r="CE17" s="1" t="n">
        <f aca="false">IF(AND('Daily Workforce'!$N72="Y",'Daily Workforce'!$B72&lt;&gt;"",COUNTIF('Daily Schedule'!$F$5:$F20,'Daily Workforce'!$B72)=0,IF('Daily Schedule'!$A21=45,'Daily Workforce'!$J72="Y",IF(OR('Daily Schedule'!$A21=4,'Daily Schedule'!$A21=8),IF(OR(WEEKDAY('Daily Schedule'!$B$2,2)=1,WEEKDAY('Daily Schedule'!$B$2,2)=4,WEEKDAY('Daily Schedule'!$B$2,2)=5,WEEKDAY('Daily Schedule'!$B$2,2)=7),IFERROR(1*'Daily Workforce'!$K72&gt;=3,FALSE()),IFERROR(1*'Daily Workforce'!$K72&gt;=2,FALSE())),IF(AND('Daily Schedule'!$A21&gt;=46,'Daily Schedule'!$A21&lt;=52),'Daily Workforce'!$M72="Y",IFERROR(1*'Daily Workforce'!$P72&gt;=2,FALSE()))))),1,0)</f>
        <v>1</v>
      </c>
      <c r="CF17" s="1" t="n">
        <f aca="false">IF(AND('Daily Workforce'!$N73="Y",'Daily Workforce'!$B73&lt;&gt;"",COUNTIF('Daily Schedule'!$F$5:$F20,'Daily Workforce'!$B73)=0,IF('Daily Schedule'!$A21=45,'Daily Workforce'!$J73="Y",IF(OR('Daily Schedule'!$A21=4,'Daily Schedule'!$A21=8),IF(OR(WEEKDAY('Daily Schedule'!$B$2,2)=1,WEEKDAY('Daily Schedule'!$B$2,2)=4,WEEKDAY('Daily Schedule'!$B$2,2)=5,WEEKDAY('Daily Schedule'!$B$2,2)=7),IFERROR(1*'Daily Workforce'!$K73&gt;=3,FALSE()),IFERROR(1*'Daily Workforce'!$K73&gt;=2,FALSE())),IF(AND('Daily Schedule'!$A21&gt;=46,'Daily Schedule'!$A21&lt;=52),'Daily Workforce'!$M73="Y",IFERROR(1*'Daily Workforce'!$P73&gt;=2,FALSE()))))),1,0)</f>
        <v>1</v>
      </c>
      <c r="CG17" s="1" t="n">
        <f aca="false">IF(AND('Daily Workforce'!$N74="Y",'Daily Workforce'!$B74&lt;&gt;"",COUNTIF('Daily Schedule'!$F$5:$F20,'Daily Workforce'!$B74)=0,IF('Daily Schedule'!$A21=45,'Daily Workforce'!$J74="Y",IF(OR('Daily Schedule'!$A21=4,'Daily Schedule'!$A21=8),IF(OR(WEEKDAY('Daily Schedule'!$B$2,2)=1,WEEKDAY('Daily Schedule'!$B$2,2)=4,WEEKDAY('Daily Schedule'!$B$2,2)=5,WEEKDAY('Daily Schedule'!$B$2,2)=7),IFERROR(1*'Daily Workforce'!$K74&gt;=3,FALSE()),IFERROR(1*'Daily Workforce'!$K74&gt;=2,FALSE())),IF(AND('Daily Schedule'!$A21&gt;=46,'Daily Schedule'!$A21&lt;=52),'Daily Workforce'!$M74="Y",IFERROR(1*'Daily Workforce'!$P74&gt;=2,FALSE()))))),1,0)</f>
        <v>1</v>
      </c>
      <c r="CH17" s="1" t="n">
        <f aca="false">IF(AND('Daily Workforce'!$N75="Y",'Daily Workforce'!$B75&lt;&gt;"",COUNTIF('Daily Schedule'!$F$5:$F20,'Daily Workforce'!$B75)=0,IF('Daily Schedule'!$A21=45,'Daily Workforce'!$J75="Y",IF(OR('Daily Schedule'!$A21=4,'Daily Schedule'!$A21=8),IF(OR(WEEKDAY('Daily Schedule'!$B$2,2)=1,WEEKDAY('Daily Schedule'!$B$2,2)=4,WEEKDAY('Daily Schedule'!$B$2,2)=5,WEEKDAY('Daily Schedule'!$B$2,2)=7),IFERROR(1*'Daily Workforce'!$K75&gt;=3,FALSE()),IFERROR(1*'Daily Workforce'!$K75&gt;=2,FALSE())),IF(AND('Daily Schedule'!$A21&gt;=46,'Daily Schedule'!$A21&lt;=52),'Daily Workforce'!$M75="Y",IFERROR(1*'Daily Workforce'!$P75&gt;=2,FALSE()))))),1,0)</f>
        <v>1</v>
      </c>
      <c r="CI17" s="1" t="n">
        <f aca="false">IF(AND('Daily Workforce'!$N76="Y",'Daily Workforce'!$B76&lt;&gt;"",COUNTIF('Daily Schedule'!$F$5:$F20,'Daily Workforce'!$B76)=0,IF('Daily Schedule'!$A21=45,'Daily Workforce'!$J76="Y",IF(OR('Daily Schedule'!$A21=4,'Daily Schedule'!$A21=8),IF(OR(WEEKDAY('Daily Schedule'!$B$2,2)=1,WEEKDAY('Daily Schedule'!$B$2,2)=4,WEEKDAY('Daily Schedule'!$B$2,2)=5,WEEKDAY('Daily Schedule'!$B$2,2)=7),IFERROR(1*'Daily Workforce'!$K76&gt;=3,FALSE()),IFERROR(1*'Daily Workforce'!$K76&gt;=2,FALSE())),IF(AND('Daily Schedule'!$A21&gt;=46,'Daily Schedule'!$A21&lt;=52),'Daily Workforce'!$M76="Y",IFERROR(1*'Daily Workforce'!$P76&gt;=2,FALSE()))))),1,0)</f>
        <v>1</v>
      </c>
      <c r="CJ17" s="1" t="n">
        <f aca="false">IF(AND('Daily Workforce'!$N77="Y",'Daily Workforce'!$B77&lt;&gt;"",COUNTIF('Daily Schedule'!$F$5:$F20,'Daily Workforce'!$B77)=0,IF('Daily Schedule'!$A21=45,'Daily Workforce'!$J77="Y",IF(OR('Daily Schedule'!$A21=4,'Daily Schedule'!$A21=8),IF(OR(WEEKDAY('Daily Schedule'!$B$2,2)=1,WEEKDAY('Daily Schedule'!$B$2,2)=4,WEEKDAY('Daily Schedule'!$B$2,2)=5,WEEKDAY('Daily Schedule'!$B$2,2)=7),IFERROR(1*'Daily Workforce'!$K77&gt;=3,FALSE()),IFERROR(1*'Daily Workforce'!$K77&gt;=2,FALSE())),IF(AND('Daily Schedule'!$A21&gt;=46,'Daily Schedule'!$A21&lt;=52),'Daily Workforce'!$M77="Y",IFERROR(1*'Daily Workforce'!$P77&gt;=2,FALSE()))))),1,0)</f>
        <v>1</v>
      </c>
      <c r="CK17" s="1" t="n">
        <f aca="false">IF(AND('Daily Workforce'!$N78="Y",'Daily Workforce'!$B78&lt;&gt;"",COUNTIF('Daily Schedule'!$F$5:$F20,'Daily Workforce'!$B78)=0,IF('Daily Schedule'!$A21=45,'Daily Workforce'!$J78="Y",IF(OR('Daily Schedule'!$A21=4,'Daily Schedule'!$A21=8),IF(OR(WEEKDAY('Daily Schedule'!$B$2,2)=1,WEEKDAY('Daily Schedule'!$B$2,2)=4,WEEKDAY('Daily Schedule'!$B$2,2)=5,WEEKDAY('Daily Schedule'!$B$2,2)=7),IFERROR(1*'Daily Workforce'!$K78&gt;=3,FALSE()),IFERROR(1*'Daily Workforce'!$K78&gt;=2,FALSE())),IF(AND('Daily Schedule'!$A21&gt;=46,'Daily Schedule'!$A21&lt;=52),'Daily Workforce'!$M78="Y",IFERROR(1*'Daily Workforce'!$P78&gt;=2,FALSE()))))),1,0)</f>
        <v>1</v>
      </c>
      <c r="CL17" s="1" t="n">
        <f aca="false">IF(AND('Daily Workforce'!$N79="Y",'Daily Workforce'!$B79&lt;&gt;"",COUNTIF('Daily Schedule'!$F$5:$F20,'Daily Workforce'!$B79)=0,IF('Daily Schedule'!$A21=45,'Daily Workforce'!$J79="Y",IF(OR('Daily Schedule'!$A21=4,'Daily Schedule'!$A21=8),IF(OR(WEEKDAY('Daily Schedule'!$B$2,2)=1,WEEKDAY('Daily Schedule'!$B$2,2)=4,WEEKDAY('Daily Schedule'!$B$2,2)=5,WEEKDAY('Daily Schedule'!$B$2,2)=7),IFERROR(1*'Daily Workforce'!$K79&gt;=3,FALSE()),IFERROR(1*'Daily Workforce'!$K79&gt;=2,FALSE())),IF(AND('Daily Schedule'!$A21&gt;=46,'Daily Schedule'!$A21&lt;=52),'Daily Workforce'!$M79="Y",IFERROR(1*'Daily Workforce'!$P79&gt;=2,FALSE()))))),1,0)</f>
        <v>1</v>
      </c>
      <c r="CM17" s="1" t="n">
        <f aca="false">IF(AND('Daily Workforce'!$N80="Y",'Daily Workforce'!$B80&lt;&gt;"",COUNTIF('Daily Schedule'!$F$5:$F20,'Daily Workforce'!$B80)=0,IF('Daily Schedule'!$A21=45,'Daily Workforce'!$J80="Y",IF(OR('Daily Schedule'!$A21=4,'Daily Schedule'!$A21=8),IF(OR(WEEKDAY('Daily Schedule'!$B$2,2)=1,WEEKDAY('Daily Schedule'!$B$2,2)=4,WEEKDAY('Daily Schedule'!$B$2,2)=5,WEEKDAY('Daily Schedule'!$B$2,2)=7),IFERROR(1*'Daily Workforce'!$K80&gt;=3,FALSE()),IFERROR(1*'Daily Workforce'!$K80&gt;=2,FALSE())),IF(AND('Daily Schedule'!$A21&gt;=46,'Daily Schedule'!$A21&lt;=52),'Daily Workforce'!$M80="Y",IFERROR(1*'Daily Workforce'!$P80&gt;=2,FALSE()))))),1,0)</f>
        <v>1</v>
      </c>
      <c r="CN17" s="1" t="n">
        <f aca="false">IF(AND('Daily Workforce'!$N81="Y",'Daily Workforce'!$B81&lt;&gt;"",COUNTIF('Daily Schedule'!$F$5:$F20,'Daily Workforce'!$B81)=0,IF('Daily Schedule'!$A21=45,'Daily Workforce'!$J81="Y",IF(OR('Daily Schedule'!$A21=4,'Daily Schedule'!$A21=8),IF(OR(WEEKDAY('Daily Schedule'!$B$2,2)=1,WEEKDAY('Daily Schedule'!$B$2,2)=4,WEEKDAY('Daily Schedule'!$B$2,2)=5,WEEKDAY('Daily Schedule'!$B$2,2)=7),IFERROR(1*'Daily Workforce'!$K81&gt;=3,FALSE()),IFERROR(1*'Daily Workforce'!$K81&gt;=2,FALSE())),IF(AND('Daily Schedule'!$A21&gt;=46,'Daily Schedule'!$A21&lt;=52),'Daily Workforce'!$M81="Y",IFERROR(1*'Daily Workforce'!$P81&gt;=2,FALSE()))))),1,0)</f>
        <v>1</v>
      </c>
      <c r="CO17" s="1" t="n">
        <f aca="false">IF(AND('Daily Workforce'!$N82="Y",'Daily Workforce'!$B82&lt;&gt;"",COUNTIF('Daily Schedule'!$F$5:$F20,'Daily Workforce'!$B82)=0,IF('Daily Schedule'!$A21=45,'Daily Workforce'!$J82="Y",IF(OR('Daily Schedule'!$A21=4,'Daily Schedule'!$A21=8),IF(OR(WEEKDAY('Daily Schedule'!$B$2,2)=1,WEEKDAY('Daily Schedule'!$B$2,2)=4,WEEKDAY('Daily Schedule'!$B$2,2)=5,WEEKDAY('Daily Schedule'!$B$2,2)=7),IFERROR(1*'Daily Workforce'!$K82&gt;=3,FALSE()),IFERROR(1*'Daily Workforce'!$K82&gt;=2,FALSE())),IF(AND('Daily Schedule'!$A21&gt;=46,'Daily Schedule'!$A21&lt;=52),'Daily Workforce'!$M82="Y",IFERROR(1*'Daily Workforce'!$P82&gt;=2,FALSE()))))),1,0)</f>
        <v>1</v>
      </c>
      <c r="CP17" s="1" t="n">
        <f aca="false">IF(AND('Daily Workforce'!$N83="Y",'Daily Workforce'!$B83&lt;&gt;"",COUNTIF('Daily Schedule'!$F$5:$F20,'Daily Workforce'!$B83)=0,IF('Daily Schedule'!$A21=45,'Daily Workforce'!$J83="Y",IF(OR('Daily Schedule'!$A21=4,'Daily Schedule'!$A21=8),IF(OR(WEEKDAY('Daily Schedule'!$B$2,2)=1,WEEKDAY('Daily Schedule'!$B$2,2)=4,WEEKDAY('Daily Schedule'!$B$2,2)=5,WEEKDAY('Daily Schedule'!$B$2,2)=7),IFERROR(1*'Daily Workforce'!$K83&gt;=3,FALSE()),IFERROR(1*'Daily Workforce'!$K83&gt;=2,FALSE())),IF(AND('Daily Schedule'!$A21&gt;=46,'Daily Schedule'!$A21&lt;=52),'Daily Workforce'!$M83="Y",IFERROR(1*'Daily Workforce'!$P83&gt;=2,FALSE()))))),1,0)</f>
        <v>0</v>
      </c>
      <c r="CQ17" s="1" t="n">
        <f aca="false">IF(AND('Daily Workforce'!$N84="Y",'Daily Workforce'!$B84&lt;&gt;"",COUNTIF('Daily Schedule'!$F$5:$F20,'Daily Workforce'!$B84)=0,IF('Daily Schedule'!$A21=45,'Daily Workforce'!$J84="Y",IF(OR('Daily Schedule'!$A21=4,'Daily Schedule'!$A21=8),IF(OR(WEEKDAY('Daily Schedule'!$B$2,2)=1,WEEKDAY('Daily Schedule'!$B$2,2)=4,WEEKDAY('Daily Schedule'!$B$2,2)=5,WEEKDAY('Daily Schedule'!$B$2,2)=7),IFERROR(1*'Daily Workforce'!$K84&gt;=3,FALSE()),IFERROR(1*'Daily Workforce'!$K84&gt;=2,FALSE())),IF(AND('Daily Schedule'!$A21&gt;=46,'Daily Schedule'!$A21&lt;=52),'Daily Workforce'!$M84="Y",IFERROR(1*'Daily Workforce'!$P84&gt;=2,FALSE()))))),1,0)</f>
        <v>1</v>
      </c>
      <c r="CR17" s="1" t="n">
        <f aca="false">IF(AND('Daily Workforce'!$N85="Y",'Daily Workforce'!$B85&lt;&gt;"",COUNTIF('Daily Schedule'!$F$5:$F20,'Daily Workforce'!$B85)=0,IF('Daily Schedule'!$A21=45,'Daily Workforce'!$J85="Y",IF(OR('Daily Schedule'!$A21=4,'Daily Schedule'!$A21=8),IF(OR(WEEKDAY('Daily Schedule'!$B$2,2)=1,WEEKDAY('Daily Schedule'!$B$2,2)=4,WEEKDAY('Daily Schedule'!$B$2,2)=5,WEEKDAY('Daily Schedule'!$B$2,2)=7),IFERROR(1*'Daily Workforce'!$K85&gt;=3,FALSE()),IFERROR(1*'Daily Workforce'!$K85&gt;=2,FALSE())),IF(AND('Daily Schedule'!$A21&gt;=46,'Daily Schedule'!$A21&lt;=52),'Daily Workforce'!$M85="Y",IFERROR(1*'Daily Workforce'!$P85&gt;=2,FALSE()))))),1,0)</f>
        <v>0</v>
      </c>
      <c r="CS17" s="1" t="n">
        <f aca="false">IF(AND('Daily Workforce'!$N86="Y",'Daily Workforce'!$B86&lt;&gt;"",COUNTIF('Daily Schedule'!$F$5:$F20,'Daily Workforce'!$B86)=0,IF('Daily Schedule'!$A21=45,'Daily Workforce'!$J86="Y",IF(OR('Daily Schedule'!$A21=4,'Daily Schedule'!$A21=8),IF(OR(WEEKDAY('Daily Schedule'!$B$2,2)=1,WEEKDAY('Daily Schedule'!$B$2,2)=4,WEEKDAY('Daily Schedule'!$B$2,2)=5,WEEKDAY('Daily Schedule'!$B$2,2)=7),IFERROR(1*'Daily Workforce'!$K86&gt;=3,FALSE()),IFERROR(1*'Daily Workforce'!$K86&gt;=2,FALSE())),IF(AND('Daily Schedule'!$A21&gt;=46,'Daily Schedule'!$A21&lt;=52),'Daily Workforce'!$M86="Y",IFERROR(1*'Daily Workforce'!$P86&gt;=2,FALSE()))))),1,0)</f>
        <v>1</v>
      </c>
      <c r="CT17" s="1" t="n">
        <f aca="false">IF(AND('Daily Workforce'!$N87="Y",'Daily Workforce'!$B87&lt;&gt;"",COUNTIF('Daily Schedule'!$F$5:$F20,'Daily Workforce'!$B87)=0,IF('Daily Schedule'!$A21=45,'Daily Workforce'!$J87="Y",IF(OR('Daily Schedule'!$A21=4,'Daily Schedule'!$A21=8),IF(OR(WEEKDAY('Daily Schedule'!$B$2,2)=1,WEEKDAY('Daily Schedule'!$B$2,2)=4,WEEKDAY('Daily Schedule'!$B$2,2)=5,WEEKDAY('Daily Schedule'!$B$2,2)=7),IFERROR(1*'Daily Workforce'!$K87&gt;=3,FALSE()),IFERROR(1*'Daily Workforce'!$K87&gt;=2,FALSE())),IF(AND('Daily Schedule'!$A21&gt;=46,'Daily Schedule'!$A21&lt;=52),'Daily Workforce'!$M87="Y",IFERROR(1*'Daily Workforce'!$P87&gt;=2,FALSE()))))),1,0)</f>
        <v>1</v>
      </c>
      <c r="CU17" s="1" t="n">
        <f aca="false">IF(AND('Daily Workforce'!$N88="Y",'Daily Workforce'!$B88&lt;&gt;"",COUNTIF('Daily Schedule'!$F$5:$F20,'Daily Workforce'!$B88)=0,IF('Daily Schedule'!$A21=45,'Daily Workforce'!$J88="Y",IF(OR('Daily Schedule'!$A21=4,'Daily Schedule'!$A21=8),IF(OR(WEEKDAY('Daily Schedule'!$B$2,2)=1,WEEKDAY('Daily Schedule'!$B$2,2)=4,WEEKDAY('Daily Schedule'!$B$2,2)=5,WEEKDAY('Daily Schedule'!$B$2,2)=7),IFERROR(1*'Daily Workforce'!$K88&gt;=3,FALSE()),IFERROR(1*'Daily Workforce'!$K88&gt;=2,FALSE())),IF(AND('Daily Schedule'!$A21&gt;=46,'Daily Schedule'!$A21&lt;=52),'Daily Workforce'!$M88="Y",IFERROR(1*'Daily Workforce'!$P88&gt;=2,FALSE()))))),1,0)</f>
        <v>1</v>
      </c>
      <c r="CV17" s="1" t="n">
        <f aca="false">IF(AND('Daily Workforce'!$N89="Y",'Daily Workforce'!$B89&lt;&gt;"",COUNTIF('Daily Schedule'!$F$5:$F20,'Daily Workforce'!$B89)=0,IF('Daily Schedule'!$A21=45,'Daily Workforce'!$J89="Y",IF(OR('Daily Schedule'!$A21=4,'Daily Schedule'!$A21=8),IF(OR(WEEKDAY('Daily Schedule'!$B$2,2)=1,WEEKDAY('Daily Schedule'!$B$2,2)=4,WEEKDAY('Daily Schedule'!$B$2,2)=5,WEEKDAY('Daily Schedule'!$B$2,2)=7),IFERROR(1*'Daily Workforce'!$K89&gt;=3,FALSE()),IFERROR(1*'Daily Workforce'!$K89&gt;=2,FALSE())),IF(AND('Daily Schedule'!$A21&gt;=46,'Daily Schedule'!$A21&lt;=52),'Daily Workforce'!$M89="Y",IFERROR(1*'Daily Workforce'!$P89&gt;=2,FALSE()))))),1,0)</f>
        <v>1</v>
      </c>
      <c r="CW17" s="1" t="n">
        <f aca="false">IF(AND('Daily Workforce'!$N90="Y",'Daily Workforce'!$B90&lt;&gt;"",COUNTIF('Daily Schedule'!$F$5:$F20,'Daily Workforce'!$B90)=0,IF('Daily Schedule'!$A21=45,'Daily Workforce'!$J90="Y",IF(OR('Daily Schedule'!$A21=4,'Daily Schedule'!$A21=8),IF(OR(WEEKDAY('Daily Schedule'!$B$2,2)=1,WEEKDAY('Daily Schedule'!$B$2,2)=4,WEEKDAY('Daily Schedule'!$B$2,2)=5,WEEKDAY('Daily Schedule'!$B$2,2)=7),IFERROR(1*'Daily Workforce'!$K90&gt;=3,FALSE()),IFERROR(1*'Daily Workforce'!$K90&gt;=2,FALSE())),IF(AND('Daily Schedule'!$A21&gt;=46,'Daily Schedule'!$A21&lt;=52),'Daily Workforce'!$M90="Y",IFERROR(1*'Daily Workforce'!$P90&gt;=2,FALSE()))))),1,0)</f>
        <v>1</v>
      </c>
      <c r="CX17" s="1" t="n">
        <f aca="false">IF(AND('Daily Workforce'!$N91="Y",'Daily Workforce'!$B91&lt;&gt;"",COUNTIF('Daily Schedule'!$F$5:$F20,'Daily Workforce'!$B91)=0,IF('Daily Schedule'!$A21=45,'Daily Workforce'!$J91="Y",IF(OR('Daily Schedule'!$A21=4,'Daily Schedule'!$A21=8),IF(OR(WEEKDAY('Daily Schedule'!$B$2,2)=1,WEEKDAY('Daily Schedule'!$B$2,2)=4,WEEKDAY('Daily Schedule'!$B$2,2)=5,WEEKDAY('Daily Schedule'!$B$2,2)=7),IFERROR(1*'Daily Workforce'!$K91&gt;=3,FALSE()),IFERROR(1*'Daily Workforce'!$K91&gt;=2,FALSE())),IF(AND('Daily Schedule'!$A21&gt;=46,'Daily Schedule'!$A21&lt;=52),'Daily Workforce'!$M91="Y",IFERROR(1*'Daily Workforce'!$P91&gt;=2,FALSE()))))),1,0)</f>
        <v>1</v>
      </c>
      <c r="CY17" s="1" t="n">
        <f aca="false">IF(AND('Daily Workforce'!$N92="Y",'Daily Workforce'!$B92&lt;&gt;"",COUNTIF('Daily Schedule'!$F$5:$F20,'Daily Workforce'!$B92)=0,IF('Daily Schedule'!$A21=45,'Daily Workforce'!$J92="Y",IF(OR('Daily Schedule'!$A21=4,'Daily Schedule'!$A21=8),IF(OR(WEEKDAY('Daily Schedule'!$B$2,2)=1,WEEKDAY('Daily Schedule'!$B$2,2)=4,WEEKDAY('Daily Schedule'!$B$2,2)=5,WEEKDAY('Daily Schedule'!$B$2,2)=7),IFERROR(1*'Daily Workforce'!$K92&gt;=3,FALSE()),IFERROR(1*'Daily Workforce'!$K92&gt;=2,FALSE())),IF(AND('Daily Schedule'!$A21&gt;=46,'Daily Schedule'!$A21&lt;=52),'Daily Workforce'!$M92="Y",IFERROR(1*'Daily Workforce'!$P92&gt;=2,FALSE()))))),1,0)</f>
        <v>1</v>
      </c>
      <c r="CZ17" s="1" t="n">
        <f aca="false">IF(AND('Daily Workforce'!$N93="Y",'Daily Workforce'!$B93&lt;&gt;"",COUNTIF('Daily Schedule'!$F$5:$F20,'Daily Workforce'!$B93)=0,IF('Daily Schedule'!$A21=45,'Daily Workforce'!$J93="Y",IF(OR('Daily Schedule'!$A21=4,'Daily Schedule'!$A21=8),IF(OR(WEEKDAY('Daily Schedule'!$B$2,2)=1,WEEKDAY('Daily Schedule'!$B$2,2)=4,WEEKDAY('Daily Schedule'!$B$2,2)=5,WEEKDAY('Daily Schedule'!$B$2,2)=7),IFERROR(1*'Daily Workforce'!$K93&gt;=3,FALSE()),IFERROR(1*'Daily Workforce'!$K93&gt;=2,FALSE())),IF(AND('Daily Schedule'!$A21&gt;=46,'Daily Schedule'!$A21&lt;=52),'Daily Workforce'!$M93="Y",IFERROR(1*'Daily Workforce'!$P93&gt;=2,FALSE()))))),1,0)</f>
        <v>1</v>
      </c>
      <c r="DA17" s="1" t="n">
        <f aca="false">IF(AND('Daily Workforce'!$N94="Y",'Daily Workforce'!$B94&lt;&gt;"",COUNTIF('Daily Schedule'!$F$5:$F20,'Daily Workforce'!$B94)=0,IF('Daily Schedule'!$A21=45,'Daily Workforce'!$J94="Y",IF(OR('Daily Schedule'!$A21=4,'Daily Schedule'!$A21=8),IF(OR(WEEKDAY('Daily Schedule'!$B$2,2)=1,WEEKDAY('Daily Schedule'!$B$2,2)=4,WEEKDAY('Daily Schedule'!$B$2,2)=5,WEEKDAY('Daily Schedule'!$B$2,2)=7),IFERROR(1*'Daily Workforce'!$K94&gt;=3,FALSE()),IFERROR(1*'Daily Workforce'!$K94&gt;=2,FALSE())),IF(AND('Daily Schedule'!$A21&gt;=46,'Daily Schedule'!$A21&lt;=52),'Daily Workforce'!$M94="Y",IFERROR(1*'Daily Workforce'!$P94&gt;=2,FALSE()))))),1,0)</f>
        <v>1</v>
      </c>
      <c r="DB17" s="1" t="n">
        <f aca="false">IF(AND('Daily Workforce'!$N95="Y",'Daily Workforce'!$B95&lt;&gt;"",COUNTIF('Daily Schedule'!$F$5:$F20,'Daily Workforce'!$B95)=0,IF('Daily Schedule'!$A21=45,'Daily Workforce'!$J95="Y",IF(OR('Daily Schedule'!$A21=4,'Daily Schedule'!$A21=8),IF(OR(WEEKDAY('Daily Schedule'!$B$2,2)=1,WEEKDAY('Daily Schedule'!$B$2,2)=4,WEEKDAY('Daily Schedule'!$B$2,2)=5,WEEKDAY('Daily Schedule'!$B$2,2)=7),IFERROR(1*'Daily Workforce'!$K95&gt;=3,FALSE()),IFERROR(1*'Daily Workforce'!$K95&gt;=2,FALSE())),IF(AND('Daily Schedule'!$A21&gt;=46,'Daily Schedule'!$A21&lt;=52),'Daily Workforce'!$M95="Y",IFERROR(1*'Daily Workforce'!$P95&gt;=2,FALSE()))))),1,0)</f>
        <v>1</v>
      </c>
      <c r="DC17" s="1" t="n">
        <f aca="false">IF(AND('Daily Workforce'!$N96="Y",'Daily Workforce'!$B96&lt;&gt;"",COUNTIF('Daily Schedule'!$F$5:$F20,'Daily Workforce'!$B96)=0,IF('Daily Schedule'!$A21=45,'Daily Workforce'!$J96="Y",IF(OR('Daily Schedule'!$A21=4,'Daily Schedule'!$A21=8),IF(OR(WEEKDAY('Daily Schedule'!$B$2,2)=1,WEEKDAY('Daily Schedule'!$B$2,2)=4,WEEKDAY('Daily Schedule'!$B$2,2)=5,WEEKDAY('Daily Schedule'!$B$2,2)=7),IFERROR(1*'Daily Workforce'!$K96&gt;=3,FALSE()),IFERROR(1*'Daily Workforce'!$K96&gt;=2,FALSE())),IF(AND('Daily Schedule'!$A21&gt;=46,'Daily Schedule'!$A21&lt;=52),'Daily Workforce'!$M96="Y",IFERROR(1*'Daily Workforce'!$P96&gt;=2,FALSE()))))),1,0)</f>
        <v>1</v>
      </c>
      <c r="DD17" s="1" t="n">
        <f aca="false">IF(AND('Daily Workforce'!$N97="Y",'Daily Workforce'!$B97&lt;&gt;"",COUNTIF('Daily Schedule'!$F$5:$F20,'Daily Workforce'!$B97)=0,IF('Daily Schedule'!$A21=45,'Daily Workforce'!$J97="Y",IF(OR('Daily Schedule'!$A21=4,'Daily Schedule'!$A21=8),IF(OR(WEEKDAY('Daily Schedule'!$B$2,2)=1,WEEKDAY('Daily Schedule'!$B$2,2)=4,WEEKDAY('Daily Schedule'!$B$2,2)=5,WEEKDAY('Daily Schedule'!$B$2,2)=7),IFERROR(1*'Daily Workforce'!$K97&gt;=3,FALSE()),IFERROR(1*'Daily Workforce'!$K97&gt;=2,FALSE())),IF(AND('Daily Schedule'!$A21&gt;=46,'Daily Schedule'!$A21&lt;=52),'Daily Workforce'!$M97="Y",IFERROR(1*'Daily Workforce'!$P97&gt;=2,FALSE()))))),1,0)</f>
        <v>1</v>
      </c>
      <c r="DE17" s="1" t="n">
        <f aca="false">IF(AND('Daily Workforce'!$N98="Y",'Daily Workforce'!$B98&lt;&gt;"",COUNTIF('Daily Schedule'!$F$5:$F20,'Daily Workforce'!$B98)=0,IF('Daily Schedule'!$A21=45,'Daily Workforce'!$J98="Y",IF(OR('Daily Schedule'!$A21=4,'Daily Schedule'!$A21=8),IF(OR(WEEKDAY('Daily Schedule'!$B$2,2)=1,WEEKDAY('Daily Schedule'!$B$2,2)=4,WEEKDAY('Daily Schedule'!$B$2,2)=5,WEEKDAY('Daily Schedule'!$B$2,2)=7),IFERROR(1*'Daily Workforce'!$K98&gt;=3,FALSE()),IFERROR(1*'Daily Workforce'!$K98&gt;=2,FALSE())),IF(AND('Daily Schedule'!$A21&gt;=46,'Daily Schedule'!$A21&lt;=52),'Daily Workforce'!$M98="Y",IFERROR(1*'Daily Workforce'!$P98&gt;=2,FALSE()))))),1,0)</f>
        <v>1</v>
      </c>
      <c r="DF17" s="1" t="n">
        <f aca="false">IF(AND('Daily Workforce'!$N99="Y",'Daily Workforce'!$B99&lt;&gt;"",COUNTIF('Daily Schedule'!$F$5:$F20,'Daily Workforce'!$B99)=0,IF('Daily Schedule'!$A21=45,'Daily Workforce'!$J99="Y",IF(OR('Daily Schedule'!$A21=4,'Daily Schedule'!$A21=8),IF(OR(WEEKDAY('Daily Schedule'!$B$2,2)=1,WEEKDAY('Daily Schedule'!$B$2,2)=4,WEEKDAY('Daily Schedule'!$B$2,2)=5,WEEKDAY('Daily Schedule'!$B$2,2)=7),IFERROR(1*'Daily Workforce'!$K99&gt;=3,FALSE()),IFERROR(1*'Daily Workforce'!$K99&gt;=2,FALSE())),IF(AND('Daily Schedule'!$A21&gt;=46,'Daily Schedule'!$A21&lt;=52),'Daily Workforce'!$M99="Y",IFERROR(1*'Daily Workforce'!$P99&gt;=2,FALSE()))))),1,0)</f>
        <v>1</v>
      </c>
      <c r="DG17" s="1" t="n">
        <f aca="false">IF(AND('Daily Workforce'!$N100="Y",'Daily Workforce'!$B100&lt;&gt;"",COUNTIF('Daily Schedule'!$F$5:$F20,'Daily Workforce'!$B100)=0,IF('Daily Schedule'!$A21=45,'Daily Workforce'!$J100="Y",IF(OR('Daily Schedule'!$A21=4,'Daily Schedule'!$A21=8),IF(OR(WEEKDAY('Daily Schedule'!$B$2,2)=1,WEEKDAY('Daily Schedule'!$B$2,2)=4,WEEKDAY('Daily Schedule'!$B$2,2)=5,WEEKDAY('Daily Schedule'!$B$2,2)=7),IFERROR(1*'Daily Workforce'!$K100&gt;=3,FALSE()),IFERROR(1*'Daily Workforce'!$K100&gt;=2,FALSE())),IF(AND('Daily Schedule'!$A21&gt;=46,'Daily Schedule'!$A21&lt;=52),'Daily Workforce'!$M100="Y",IFERROR(1*'Daily Workforce'!$P100&gt;=2,FALSE()))))),1,0)</f>
        <v>1</v>
      </c>
      <c r="DH17" s="1" t="n">
        <f aca="false">IF(AND('Daily Workforce'!$N101="Y",'Daily Workforce'!$B101&lt;&gt;"",COUNTIF('Daily Schedule'!$F$5:$F20,'Daily Workforce'!$B101)=0,IF('Daily Schedule'!$A21=45,'Daily Workforce'!$J101="Y",IF(OR('Daily Schedule'!$A21=4,'Daily Schedule'!$A21=8),IF(OR(WEEKDAY('Daily Schedule'!$B$2,2)=1,WEEKDAY('Daily Schedule'!$B$2,2)=4,WEEKDAY('Daily Schedule'!$B$2,2)=5,WEEKDAY('Daily Schedule'!$B$2,2)=7),IFERROR(1*'Daily Workforce'!$K101&gt;=3,FALSE()),IFERROR(1*'Daily Workforce'!$K101&gt;=2,FALSE())),IF(AND('Daily Schedule'!$A21&gt;=46,'Daily Schedule'!$A21&lt;=52),'Daily Workforce'!$M101="Y",IFERROR(1*'Daily Workforce'!$P101&gt;=2,FALSE()))))),1,0)</f>
        <v>1</v>
      </c>
      <c r="DI17" s="1" t="n">
        <f aca="false">IF(AND('Daily Workforce'!$N102="Y",'Daily Workforce'!$B102&lt;&gt;"",COUNTIF('Daily Schedule'!$F$5:$F20,'Daily Workforce'!$B102)=0,IF('Daily Schedule'!$A21=45,'Daily Workforce'!$J102="Y",IF(OR('Daily Schedule'!$A21=4,'Daily Schedule'!$A21=8),IF(OR(WEEKDAY('Daily Schedule'!$B$2,2)=1,WEEKDAY('Daily Schedule'!$B$2,2)=4,WEEKDAY('Daily Schedule'!$B$2,2)=5,WEEKDAY('Daily Schedule'!$B$2,2)=7),IFERROR(1*'Daily Workforce'!$K102&gt;=3,FALSE()),IFERROR(1*'Daily Workforce'!$K102&gt;=2,FALSE())),IF(AND('Daily Schedule'!$A21&gt;=46,'Daily Schedule'!$A21&lt;=52),'Daily Workforce'!$M102="Y",IFERROR(1*'Daily Workforce'!$P102&gt;=2,FALSE()))))),1,0)</f>
        <v>1</v>
      </c>
      <c r="DJ17" s="1" t="n">
        <f aca="false">IF(AND('Daily Workforce'!$N103="Y",'Daily Workforce'!$B103&lt;&gt;"",COUNTIF('Daily Schedule'!$F$5:$F20,'Daily Workforce'!$B103)=0,IF('Daily Schedule'!$A21=45,'Daily Workforce'!$J103="Y",IF(OR('Daily Schedule'!$A21=4,'Daily Schedule'!$A21=8),IF(OR(WEEKDAY('Daily Schedule'!$B$2,2)=1,WEEKDAY('Daily Schedule'!$B$2,2)=4,WEEKDAY('Daily Schedule'!$B$2,2)=5,WEEKDAY('Daily Schedule'!$B$2,2)=7),IFERROR(1*'Daily Workforce'!$K103&gt;=3,FALSE()),IFERROR(1*'Daily Workforce'!$K103&gt;=2,FALSE())),IF(AND('Daily Schedule'!$A21&gt;=46,'Daily Schedule'!$A21&lt;=52),'Daily Workforce'!$M103="Y",IFERROR(1*'Daily Workforce'!$P103&gt;=2,FALSE()))))),1,0)</f>
        <v>1</v>
      </c>
      <c r="DK17" s="1" t="n">
        <f aca="false">IF(AND('Daily Workforce'!$N104="Y",'Daily Workforce'!$B104&lt;&gt;"",COUNTIF('Daily Schedule'!$F$5:$F20,'Daily Workforce'!$B104)=0,IF('Daily Schedule'!$A21=45,'Daily Workforce'!$J104="Y",IF(OR('Daily Schedule'!$A21=4,'Daily Schedule'!$A21=8),IF(OR(WEEKDAY('Daily Schedule'!$B$2,2)=1,WEEKDAY('Daily Schedule'!$B$2,2)=4,WEEKDAY('Daily Schedule'!$B$2,2)=5,WEEKDAY('Daily Schedule'!$B$2,2)=7),IFERROR(1*'Daily Workforce'!$K104&gt;=3,FALSE()),IFERROR(1*'Daily Workforce'!$K104&gt;=2,FALSE())),IF(AND('Daily Schedule'!$A21&gt;=46,'Daily Schedule'!$A21&lt;=52),'Daily Workforce'!$M104="Y",IFERROR(1*'Daily Workforce'!$P104&gt;=2,FALSE()))))),1,0)</f>
        <v>1</v>
      </c>
      <c r="DL17" s="1" t="n">
        <f aca="false">IF(AND('Daily Workforce'!$N105="Y",'Daily Workforce'!$B105&lt;&gt;"",COUNTIF('Daily Schedule'!$F$5:$F20,'Daily Workforce'!$B105)=0,IF('Daily Schedule'!$A21=45,'Daily Workforce'!$J105="Y",IF(OR('Daily Schedule'!$A21=4,'Daily Schedule'!$A21=8),IF(OR(WEEKDAY('Daily Schedule'!$B$2,2)=1,WEEKDAY('Daily Schedule'!$B$2,2)=4,WEEKDAY('Daily Schedule'!$B$2,2)=5,WEEKDAY('Daily Schedule'!$B$2,2)=7),IFERROR(1*'Daily Workforce'!$K105&gt;=3,FALSE()),IFERROR(1*'Daily Workforce'!$K105&gt;=2,FALSE())),IF(AND('Daily Schedule'!$A21&gt;=46,'Daily Schedule'!$A21&lt;=52),'Daily Workforce'!$M105="Y",IFERROR(1*'Daily Workforce'!$P105&gt;=2,FALSE()))))),1,0)</f>
        <v>0</v>
      </c>
      <c r="DM17" s="1" t="n">
        <f aca="false">IF(AND('Daily Workforce'!$N106="Y",'Daily Workforce'!$B106&lt;&gt;"",COUNTIF('Daily Schedule'!$F$5:$F20,'Daily Workforce'!$B106)=0,IF('Daily Schedule'!$A21=45,'Daily Workforce'!$J106="Y",IF(OR('Daily Schedule'!$A21=4,'Daily Schedule'!$A21=8),IF(OR(WEEKDAY('Daily Schedule'!$B$2,2)=1,WEEKDAY('Daily Schedule'!$B$2,2)=4,WEEKDAY('Daily Schedule'!$B$2,2)=5,WEEKDAY('Daily Schedule'!$B$2,2)=7),IFERROR(1*'Daily Workforce'!$K106&gt;=3,FALSE()),IFERROR(1*'Daily Workforce'!$K106&gt;=2,FALSE())),IF(AND('Daily Schedule'!$A21&gt;=46,'Daily Schedule'!$A21&lt;=52),'Daily Workforce'!$M106="Y",IFERROR(1*'Daily Workforce'!$P106&gt;=2,FALSE()))))),1,0)</f>
        <v>1</v>
      </c>
      <c r="DN17" s="1" t="n">
        <f aca="false">IF(AND('Daily Workforce'!$N107="Y",'Daily Workforce'!$B107&lt;&gt;"",COUNTIF('Daily Schedule'!$F$5:$F20,'Daily Workforce'!$B107)=0,IF('Daily Schedule'!$A21=45,'Daily Workforce'!$J107="Y",IF(OR('Daily Schedule'!$A21=4,'Daily Schedule'!$A21=8),IF(OR(WEEKDAY('Daily Schedule'!$B$2,2)=1,WEEKDAY('Daily Schedule'!$B$2,2)=4,WEEKDAY('Daily Schedule'!$B$2,2)=5,WEEKDAY('Daily Schedule'!$B$2,2)=7),IFERROR(1*'Daily Workforce'!$K107&gt;=3,FALSE()),IFERROR(1*'Daily Workforce'!$K107&gt;=2,FALSE())),IF(AND('Daily Schedule'!$A21&gt;=46,'Daily Schedule'!$A21&lt;=52),'Daily Workforce'!$M107="Y",IFERROR(1*'Daily Workforce'!$P107&gt;=2,FALSE()))))),1,0)</f>
        <v>1</v>
      </c>
      <c r="DO17" s="1" t="n">
        <f aca="false">IF(AND('Daily Workforce'!$N108="Y",'Daily Workforce'!$B108&lt;&gt;"",COUNTIF('Daily Schedule'!$F$5:$F20,'Daily Workforce'!$B108)=0,IF('Daily Schedule'!$A21=45,'Daily Workforce'!$J108="Y",IF(OR('Daily Schedule'!$A21=4,'Daily Schedule'!$A21=8),IF(OR(WEEKDAY('Daily Schedule'!$B$2,2)=1,WEEKDAY('Daily Schedule'!$B$2,2)=4,WEEKDAY('Daily Schedule'!$B$2,2)=5,WEEKDAY('Daily Schedule'!$B$2,2)=7),IFERROR(1*'Daily Workforce'!$K108&gt;=3,FALSE()),IFERROR(1*'Daily Workforce'!$K108&gt;=2,FALSE())),IF(AND('Daily Schedule'!$A21&gt;=46,'Daily Schedule'!$A21&lt;=52),'Daily Workforce'!$M108="Y",IFERROR(1*'Daily Workforce'!$P108&gt;=2,FALSE()))))),1,0)</f>
        <v>1</v>
      </c>
      <c r="DP17" s="1" t="n">
        <f aca="false">IF(AND('Daily Workforce'!$N109="Y",'Daily Workforce'!$B109&lt;&gt;"",COUNTIF('Daily Schedule'!$F$5:$F20,'Daily Workforce'!$B109)=0,IF('Daily Schedule'!$A21=45,'Daily Workforce'!$J109="Y",IF(OR('Daily Schedule'!$A21=4,'Daily Schedule'!$A21=8),IF(OR(WEEKDAY('Daily Schedule'!$B$2,2)=1,WEEKDAY('Daily Schedule'!$B$2,2)=4,WEEKDAY('Daily Schedule'!$B$2,2)=5,WEEKDAY('Daily Schedule'!$B$2,2)=7),IFERROR(1*'Daily Workforce'!$K109&gt;=3,FALSE()),IFERROR(1*'Daily Workforce'!$K109&gt;=2,FALSE())),IF(AND('Daily Schedule'!$A21&gt;=46,'Daily Schedule'!$A21&lt;=52),'Daily Workforce'!$M109="Y",IFERROR(1*'Daily Workforce'!$P109&gt;=2,FALSE()))))),1,0)</f>
        <v>1</v>
      </c>
      <c r="DQ17" s="1" t="n">
        <f aca="false">IF(AND('Daily Workforce'!$N110="Y",'Daily Workforce'!$B110&lt;&gt;"",COUNTIF('Daily Schedule'!$F$5:$F20,'Daily Workforce'!$B110)=0,IF('Daily Schedule'!$A21=45,'Daily Workforce'!$J110="Y",IF(OR('Daily Schedule'!$A21=4,'Daily Schedule'!$A21=8),IF(OR(WEEKDAY('Daily Schedule'!$B$2,2)=1,WEEKDAY('Daily Schedule'!$B$2,2)=4,WEEKDAY('Daily Schedule'!$B$2,2)=5,WEEKDAY('Daily Schedule'!$B$2,2)=7),IFERROR(1*'Daily Workforce'!$K110&gt;=3,FALSE()),IFERROR(1*'Daily Workforce'!$K110&gt;=2,FALSE())),IF(AND('Daily Schedule'!$A21&gt;=46,'Daily Schedule'!$A21&lt;=52),'Daily Workforce'!$M110="Y",IFERROR(1*'Daily Workforce'!$P110&gt;=2,FALSE()))))),1,0)</f>
        <v>1</v>
      </c>
      <c r="DR17" s="1" t="n">
        <f aca="false">IF(AND('Daily Workforce'!$N111="Y",'Daily Workforce'!$B111&lt;&gt;"",COUNTIF('Daily Schedule'!$F$5:$F20,'Daily Workforce'!$B111)=0,IF('Daily Schedule'!$A21=45,'Daily Workforce'!$J111="Y",IF(OR('Daily Schedule'!$A21=4,'Daily Schedule'!$A21=8),IF(OR(WEEKDAY('Daily Schedule'!$B$2,2)=1,WEEKDAY('Daily Schedule'!$B$2,2)=4,WEEKDAY('Daily Schedule'!$B$2,2)=5,WEEKDAY('Daily Schedule'!$B$2,2)=7),IFERROR(1*'Daily Workforce'!$K111&gt;=3,FALSE()),IFERROR(1*'Daily Workforce'!$K111&gt;=2,FALSE())),IF(AND('Daily Schedule'!$A21&gt;=46,'Daily Schedule'!$A21&lt;=52),'Daily Workforce'!$M111="Y",IFERROR(1*'Daily Workforce'!$P111&gt;=2,FALSE()))))),1,0)</f>
        <v>1</v>
      </c>
      <c r="DS17" s="1" t="n">
        <f aca="false">IF(AND('Daily Workforce'!$N112="Y",'Daily Workforce'!$B112&lt;&gt;"",COUNTIF('Daily Schedule'!$F$5:$F20,'Daily Workforce'!$B112)=0,IF('Daily Schedule'!$A21=45,'Daily Workforce'!$J112="Y",IF(OR('Daily Schedule'!$A21=4,'Daily Schedule'!$A21=8),IF(OR(WEEKDAY('Daily Schedule'!$B$2,2)=1,WEEKDAY('Daily Schedule'!$B$2,2)=4,WEEKDAY('Daily Schedule'!$B$2,2)=5,WEEKDAY('Daily Schedule'!$B$2,2)=7),IFERROR(1*'Daily Workforce'!$K112&gt;=3,FALSE()),IFERROR(1*'Daily Workforce'!$K112&gt;=2,FALSE())),IF(AND('Daily Schedule'!$A21&gt;=46,'Daily Schedule'!$A21&lt;=52),'Daily Workforce'!$M112="Y",IFERROR(1*'Daily Workforce'!$P112&gt;=2,FALSE()))))),1,0)</f>
        <v>1</v>
      </c>
      <c r="DT17" s="1" t="n">
        <f aca="false">IF(AND('Daily Workforce'!$N113="Y",'Daily Workforce'!$B113&lt;&gt;"",COUNTIF('Daily Schedule'!$F$5:$F20,'Daily Workforce'!$B113)=0,IF('Daily Schedule'!$A21=45,'Daily Workforce'!$J113="Y",IF(OR('Daily Schedule'!$A21=4,'Daily Schedule'!$A21=8),IF(OR(WEEKDAY('Daily Schedule'!$B$2,2)=1,WEEKDAY('Daily Schedule'!$B$2,2)=4,WEEKDAY('Daily Schedule'!$B$2,2)=5,WEEKDAY('Daily Schedule'!$B$2,2)=7),IFERROR(1*'Daily Workforce'!$K113&gt;=3,FALSE()),IFERROR(1*'Daily Workforce'!$K113&gt;=2,FALSE())),IF(AND('Daily Schedule'!$A21&gt;=46,'Daily Schedule'!$A21&lt;=52),'Daily Workforce'!$M113="Y",IFERROR(1*'Daily Workforce'!$P113&gt;=2,FALSE()))))),1,0)</f>
        <v>1</v>
      </c>
      <c r="DU17" s="1" t="n">
        <f aca="false">IF(AND('Daily Workforce'!$N114="Y",'Daily Workforce'!$B114&lt;&gt;"",COUNTIF('Daily Schedule'!$F$5:$F20,'Daily Workforce'!$B114)=0,IF('Daily Schedule'!$A21=45,'Daily Workforce'!$J114="Y",IF(OR('Daily Schedule'!$A21=4,'Daily Schedule'!$A21=8),IF(OR(WEEKDAY('Daily Schedule'!$B$2,2)=1,WEEKDAY('Daily Schedule'!$B$2,2)=4,WEEKDAY('Daily Schedule'!$B$2,2)=5,WEEKDAY('Daily Schedule'!$B$2,2)=7),IFERROR(1*'Daily Workforce'!$K114&gt;=3,FALSE()),IFERROR(1*'Daily Workforce'!$K114&gt;=2,FALSE())),IF(AND('Daily Schedule'!$A21&gt;=46,'Daily Schedule'!$A21&lt;=52),'Daily Workforce'!$M114="Y",IFERROR(1*'Daily Workforce'!$P114&gt;=2,FALSE()))))),1,0)</f>
        <v>1</v>
      </c>
      <c r="DV17" s="1" t="n">
        <f aca="false">IF(AND('Daily Workforce'!$N115="Y",'Daily Workforce'!$B115&lt;&gt;"",COUNTIF('Daily Schedule'!$F$5:$F20,'Daily Workforce'!$B115)=0,IF('Daily Schedule'!$A21=45,'Daily Workforce'!$J115="Y",IF(OR('Daily Schedule'!$A21=4,'Daily Schedule'!$A21=8),IF(OR(WEEKDAY('Daily Schedule'!$B$2,2)=1,WEEKDAY('Daily Schedule'!$B$2,2)=4,WEEKDAY('Daily Schedule'!$B$2,2)=5,WEEKDAY('Daily Schedule'!$B$2,2)=7),IFERROR(1*'Daily Workforce'!$K115&gt;=3,FALSE()),IFERROR(1*'Daily Workforce'!$K115&gt;=2,FALSE())),IF(AND('Daily Schedule'!$A21&gt;=46,'Daily Schedule'!$A21&lt;=52),'Daily Workforce'!$M115="Y",IFERROR(1*'Daily Workforce'!$P115&gt;=2,FALSE()))))),1,0)</f>
        <v>1</v>
      </c>
      <c r="DW17" s="1" t="n">
        <f aca="false">IF(AND('Daily Workforce'!$N116="Y",'Daily Workforce'!$B116&lt;&gt;"",COUNTIF('Daily Schedule'!$F$5:$F20,'Daily Workforce'!$B116)=0,IF('Daily Schedule'!$A21=45,'Daily Workforce'!$J116="Y",IF(OR('Daily Schedule'!$A21=4,'Daily Schedule'!$A21=8),IF(OR(WEEKDAY('Daily Schedule'!$B$2,2)=1,WEEKDAY('Daily Schedule'!$B$2,2)=4,WEEKDAY('Daily Schedule'!$B$2,2)=5,WEEKDAY('Daily Schedule'!$B$2,2)=7),IFERROR(1*'Daily Workforce'!$K116&gt;=3,FALSE()),IFERROR(1*'Daily Workforce'!$K116&gt;=2,FALSE())),IF(AND('Daily Schedule'!$A21&gt;=46,'Daily Schedule'!$A21&lt;=52),'Daily Workforce'!$M116="Y",IFERROR(1*'Daily Workforce'!$P116&gt;=2,FALSE()))))),1,0)</f>
        <v>1</v>
      </c>
      <c r="DX17" s="1" t="n">
        <f aca="false">IF(AND('Daily Workforce'!$N117="Y",'Daily Workforce'!$B117&lt;&gt;"",COUNTIF('Daily Schedule'!$F$5:$F20,'Daily Workforce'!$B117)=0,IF('Daily Schedule'!$A21=45,'Daily Workforce'!$J117="Y",IF(OR('Daily Schedule'!$A21=4,'Daily Schedule'!$A21=8),IF(OR(WEEKDAY('Daily Schedule'!$B$2,2)=1,WEEKDAY('Daily Schedule'!$B$2,2)=4,WEEKDAY('Daily Schedule'!$B$2,2)=5,WEEKDAY('Daily Schedule'!$B$2,2)=7),IFERROR(1*'Daily Workforce'!$K117&gt;=3,FALSE()),IFERROR(1*'Daily Workforce'!$K117&gt;=2,FALSE())),IF(AND('Daily Schedule'!$A21&gt;=46,'Daily Schedule'!$A21&lt;=52),'Daily Workforce'!$M117="Y",IFERROR(1*'Daily Workforce'!$P117&gt;=2,FALSE()))))),1,0)</f>
        <v>1</v>
      </c>
      <c r="DY17" s="1" t="n">
        <f aca="false">IF(AND('Daily Workforce'!$N118="Y",'Daily Workforce'!$B118&lt;&gt;"",COUNTIF('Daily Schedule'!$F$5:$F20,'Daily Workforce'!$B118)=0,IF('Daily Schedule'!$A21=45,'Daily Workforce'!$J118="Y",IF(OR('Daily Schedule'!$A21=4,'Daily Schedule'!$A21=8),IF(OR(WEEKDAY('Daily Schedule'!$B$2,2)=1,WEEKDAY('Daily Schedule'!$B$2,2)=4,WEEKDAY('Daily Schedule'!$B$2,2)=5,WEEKDAY('Daily Schedule'!$B$2,2)=7),IFERROR(1*'Daily Workforce'!$K118&gt;=3,FALSE()),IFERROR(1*'Daily Workforce'!$K118&gt;=2,FALSE())),IF(AND('Daily Schedule'!$A21&gt;=46,'Daily Schedule'!$A21&lt;=52),'Daily Workforce'!$M118="Y",IFERROR(1*'Daily Workforce'!$P118&gt;=2,FALSE()))))),1,0)</f>
        <v>0</v>
      </c>
      <c r="DZ17" s="1" t="n">
        <f aca="false">IF(AND('Daily Workforce'!$N119="Y",'Daily Workforce'!$B119&lt;&gt;"",COUNTIF('Daily Schedule'!$F$5:$F20,'Daily Workforce'!$B119)=0,IF('Daily Schedule'!$A21=45,'Daily Workforce'!$J119="Y",IF(OR('Daily Schedule'!$A21=4,'Daily Schedule'!$A21=8),IF(OR(WEEKDAY('Daily Schedule'!$B$2,2)=1,WEEKDAY('Daily Schedule'!$B$2,2)=4,WEEKDAY('Daily Schedule'!$B$2,2)=5,WEEKDAY('Daily Schedule'!$B$2,2)=7),IFERROR(1*'Daily Workforce'!$K119&gt;=3,FALSE()),IFERROR(1*'Daily Workforce'!$K119&gt;=2,FALSE())),IF(AND('Daily Schedule'!$A21&gt;=46,'Daily Schedule'!$A21&lt;=52),'Daily Workforce'!$M119="Y",IFERROR(1*'Daily Workforce'!$P119&gt;=2,FALSE()))))),1,0)</f>
        <v>0</v>
      </c>
      <c r="EA17" s="1" t="n">
        <f aca="false">IF(AND('Daily Workforce'!$N120="Y",'Daily Workforce'!$B120&lt;&gt;"",COUNTIF('Daily Schedule'!$F$5:$F20,'Daily Workforce'!$B120)=0,IF('Daily Schedule'!$A21=45,'Daily Workforce'!$J120="Y",IF(OR('Daily Schedule'!$A21=4,'Daily Schedule'!$A21=8),IF(OR(WEEKDAY('Daily Schedule'!$B$2,2)=1,WEEKDAY('Daily Schedule'!$B$2,2)=4,WEEKDAY('Daily Schedule'!$B$2,2)=5,WEEKDAY('Daily Schedule'!$B$2,2)=7),IFERROR(1*'Daily Workforce'!$K120&gt;=3,FALSE()),IFERROR(1*'Daily Workforce'!$K120&gt;=2,FALSE())),IF(AND('Daily Schedule'!$A21&gt;=46,'Daily Schedule'!$A21&lt;=52),'Daily Workforce'!$M120="Y",IFERROR(1*'Daily Workforce'!$P120&gt;=2,FALSE()))))),1,0)</f>
        <v>0</v>
      </c>
      <c r="EB17" s="1" t="n">
        <f aca="false">IF(AND('Daily Workforce'!$N121="Y",'Daily Workforce'!$B121&lt;&gt;"",COUNTIF('Daily Schedule'!$F$5:$F20,'Daily Workforce'!$B121)=0,IF('Daily Schedule'!$A21=45,'Daily Workforce'!$J121="Y",IF(OR('Daily Schedule'!$A21=4,'Daily Schedule'!$A21=8),IF(OR(WEEKDAY('Daily Schedule'!$B$2,2)=1,WEEKDAY('Daily Schedule'!$B$2,2)=4,WEEKDAY('Daily Schedule'!$B$2,2)=5,WEEKDAY('Daily Schedule'!$B$2,2)=7),IFERROR(1*'Daily Workforce'!$K121&gt;=3,FALSE()),IFERROR(1*'Daily Workforce'!$K121&gt;=2,FALSE())),IF(AND('Daily Schedule'!$A21&gt;=46,'Daily Schedule'!$A21&lt;=52),'Daily Workforce'!$M121="Y",IFERROR(1*'Daily Workforce'!$P121&gt;=2,FALSE()))))),1,0)</f>
        <v>0</v>
      </c>
      <c r="EC17" s="1" t="n">
        <f aca="false">IF(AND('Daily Workforce'!$N122="Y",'Daily Workforce'!$B122&lt;&gt;"",COUNTIF('Daily Schedule'!$F$5:$F20,'Daily Workforce'!$B122)=0,IF('Daily Schedule'!$A21=45,'Daily Workforce'!$J122="Y",IF(OR('Daily Schedule'!$A21=4,'Daily Schedule'!$A21=8),IF(OR(WEEKDAY('Daily Schedule'!$B$2,2)=1,WEEKDAY('Daily Schedule'!$B$2,2)=4,WEEKDAY('Daily Schedule'!$B$2,2)=5,WEEKDAY('Daily Schedule'!$B$2,2)=7),IFERROR(1*'Daily Workforce'!$K122&gt;=3,FALSE()),IFERROR(1*'Daily Workforce'!$K122&gt;=2,FALSE())),IF(AND('Daily Schedule'!$A21&gt;=46,'Daily Schedule'!$A21&lt;=52),'Daily Workforce'!$M122="Y",IFERROR(1*'Daily Workforce'!$P122&gt;=2,FALSE()))))),1,0)</f>
        <v>0</v>
      </c>
      <c r="ED17" s="1" t="n">
        <f aca="false">IF(AND('Daily Workforce'!$N123="Y",'Daily Workforce'!$B123&lt;&gt;"",COUNTIF('Daily Schedule'!$F$5:$F20,'Daily Workforce'!$B123)=0,IF('Daily Schedule'!$A21=45,'Daily Workforce'!$J123="Y",IF(OR('Daily Schedule'!$A21=4,'Daily Schedule'!$A21=8),IF(OR(WEEKDAY('Daily Schedule'!$B$2,2)=1,WEEKDAY('Daily Schedule'!$B$2,2)=4,WEEKDAY('Daily Schedule'!$B$2,2)=5,WEEKDAY('Daily Schedule'!$B$2,2)=7),IFERROR(1*'Daily Workforce'!$K123&gt;=3,FALSE()),IFERROR(1*'Daily Workforce'!$K123&gt;=2,FALSE())),IF(AND('Daily Schedule'!$A21&gt;=46,'Daily Schedule'!$A21&lt;=52),'Daily Workforce'!$M123="Y",IFERROR(1*'Daily Workforce'!$P123&gt;=2,FALSE()))))),1,0)</f>
        <v>0</v>
      </c>
      <c r="EE17" s="1" t="n">
        <f aca="false">IF(AND('Daily Workforce'!$N124="Y",'Daily Workforce'!$B124&lt;&gt;"",COUNTIF('Daily Schedule'!$F$5:$F20,'Daily Workforce'!$B124)=0,IF('Daily Schedule'!$A21=45,'Daily Workforce'!$J124="Y",IF(OR('Daily Schedule'!$A21=4,'Daily Schedule'!$A21=8),IF(OR(WEEKDAY('Daily Schedule'!$B$2,2)=1,WEEKDAY('Daily Schedule'!$B$2,2)=4,WEEKDAY('Daily Schedule'!$B$2,2)=5,WEEKDAY('Daily Schedule'!$B$2,2)=7),IFERROR(1*'Daily Workforce'!$K124&gt;=3,FALSE()),IFERROR(1*'Daily Workforce'!$K124&gt;=2,FALSE())),IF(AND('Daily Schedule'!$A21&gt;=46,'Daily Schedule'!$A21&lt;=52),'Daily Workforce'!$M124="Y",IFERROR(1*'Daily Workforce'!$P124&gt;=2,FALSE()))))),1,0)</f>
        <v>0</v>
      </c>
      <c r="EF17" s="1" t="n">
        <f aca="false">IF(AND('Daily Workforce'!$N125="Y",'Daily Workforce'!$B125&lt;&gt;"",COUNTIF('Daily Schedule'!$F$5:$F20,'Daily Workforce'!$B125)=0,IF('Daily Schedule'!$A21=45,'Daily Workforce'!$J125="Y",IF(OR('Daily Schedule'!$A21=4,'Daily Schedule'!$A21=8),IF(OR(WEEKDAY('Daily Schedule'!$B$2,2)=1,WEEKDAY('Daily Schedule'!$B$2,2)=4,WEEKDAY('Daily Schedule'!$B$2,2)=5,WEEKDAY('Daily Schedule'!$B$2,2)=7),IFERROR(1*'Daily Workforce'!$K125&gt;=3,FALSE()),IFERROR(1*'Daily Workforce'!$K125&gt;=2,FALSE())),IF(AND('Daily Schedule'!$A21&gt;=46,'Daily Schedule'!$A21&lt;=52),'Daily Workforce'!$M125="Y",IFERROR(1*'Daily Workforce'!$P125&gt;=2,FALSE()))))),1,0)</f>
        <v>0</v>
      </c>
      <c r="EG17" s="1" t="n">
        <f aca="false">IF(AND('Daily Workforce'!$N126="Y",'Daily Workforce'!$B126&lt;&gt;"",COUNTIF('Daily Schedule'!$F$5:$F20,'Daily Workforce'!$B126)=0,IF('Daily Schedule'!$A21=45,'Daily Workforce'!$J126="Y",IF(OR('Daily Schedule'!$A21=4,'Daily Schedule'!$A21=8),IF(OR(WEEKDAY('Daily Schedule'!$B$2,2)=1,WEEKDAY('Daily Schedule'!$B$2,2)=4,WEEKDAY('Daily Schedule'!$B$2,2)=5,WEEKDAY('Daily Schedule'!$B$2,2)=7),IFERROR(1*'Daily Workforce'!$K126&gt;=3,FALSE()),IFERROR(1*'Daily Workforce'!$K126&gt;=2,FALSE())),IF(AND('Daily Schedule'!$A21&gt;=46,'Daily Schedule'!$A21&lt;=52),'Daily Workforce'!$M126="Y",IFERROR(1*'Daily Workforce'!$P126&gt;=2,FALSE()))))),1,0)</f>
        <v>0</v>
      </c>
      <c r="EH17" s="1" t="n">
        <f aca="false">IF(AND('Daily Workforce'!$N127="Y",'Daily Workforce'!$B127&lt;&gt;"",COUNTIF('Daily Schedule'!$F$5:$F20,'Daily Workforce'!$B127)=0,IF('Daily Schedule'!$A21=45,'Daily Workforce'!$J127="Y",IF(OR('Daily Schedule'!$A21=4,'Daily Schedule'!$A21=8),IF(OR(WEEKDAY('Daily Schedule'!$B$2,2)=1,WEEKDAY('Daily Schedule'!$B$2,2)=4,WEEKDAY('Daily Schedule'!$B$2,2)=5,WEEKDAY('Daily Schedule'!$B$2,2)=7),IFERROR(1*'Daily Workforce'!$K127&gt;=3,FALSE()),IFERROR(1*'Daily Workforce'!$K127&gt;=2,FALSE())),IF(AND('Daily Schedule'!$A21&gt;=46,'Daily Schedule'!$A21&lt;=52),'Daily Workforce'!$M127="Y",IFERROR(1*'Daily Workforce'!$P127&gt;=2,FALSE()))))),1,0)</f>
        <v>0</v>
      </c>
      <c r="EI17" s="1" t="n">
        <f aca="false">IF(AND('Daily Workforce'!$N128="Y",'Daily Workforce'!$B128&lt;&gt;"",COUNTIF('Daily Schedule'!$F$5:$F20,'Daily Workforce'!$B128)=0,IF('Daily Schedule'!$A21=45,'Daily Workforce'!$J128="Y",IF(OR('Daily Schedule'!$A21=4,'Daily Schedule'!$A21=8),IF(OR(WEEKDAY('Daily Schedule'!$B$2,2)=1,WEEKDAY('Daily Schedule'!$B$2,2)=4,WEEKDAY('Daily Schedule'!$B$2,2)=5,WEEKDAY('Daily Schedule'!$B$2,2)=7),IFERROR(1*'Daily Workforce'!$K128&gt;=3,FALSE()),IFERROR(1*'Daily Workforce'!$K128&gt;=2,FALSE())),IF(AND('Daily Schedule'!$A21&gt;=46,'Daily Schedule'!$A21&lt;=52),'Daily Workforce'!$M128="Y",IFERROR(1*'Daily Workforce'!$P128&gt;=2,FALSE()))))),1,0)</f>
        <v>0</v>
      </c>
      <c r="EJ17" s="1" t="n">
        <f aca="false">IF(AND('Daily Workforce'!$N129="Y",'Daily Workforce'!$B129&lt;&gt;"",COUNTIF('Daily Schedule'!$F$5:$F20,'Daily Workforce'!$B129)=0,IF('Daily Schedule'!$A21=45,'Daily Workforce'!$J129="Y",IF(OR('Daily Schedule'!$A21=4,'Daily Schedule'!$A21=8),IF(OR(WEEKDAY('Daily Schedule'!$B$2,2)=1,WEEKDAY('Daily Schedule'!$B$2,2)=4,WEEKDAY('Daily Schedule'!$B$2,2)=5,WEEKDAY('Daily Schedule'!$B$2,2)=7),IFERROR(1*'Daily Workforce'!$K129&gt;=3,FALSE()),IFERROR(1*'Daily Workforce'!$K129&gt;=2,FALSE())),IF(AND('Daily Schedule'!$A21&gt;=46,'Daily Schedule'!$A21&lt;=52),'Daily Workforce'!$M129="Y",IFERROR(1*'Daily Workforce'!$P129&gt;=2,FALSE()))))),1,0)</f>
        <v>0</v>
      </c>
      <c r="EK17" s="1" t="n">
        <f aca="false">IF(AND('Daily Workforce'!$N130="Y",'Daily Workforce'!$B130&lt;&gt;"",COUNTIF('Daily Schedule'!$F$5:$F20,'Daily Workforce'!$B130)=0,IF('Daily Schedule'!$A21=45,'Daily Workforce'!$J130="Y",IF(OR('Daily Schedule'!$A21=4,'Daily Schedule'!$A21=8),IF(OR(WEEKDAY('Daily Schedule'!$B$2,2)=1,WEEKDAY('Daily Schedule'!$B$2,2)=4,WEEKDAY('Daily Schedule'!$B$2,2)=5,WEEKDAY('Daily Schedule'!$B$2,2)=7),IFERROR(1*'Daily Workforce'!$K130&gt;=3,FALSE()),IFERROR(1*'Daily Workforce'!$K130&gt;=2,FALSE())),IF(AND('Daily Schedule'!$A21&gt;=46,'Daily Schedule'!$A21&lt;=52),'Daily Workforce'!$M130="Y",IFERROR(1*'Daily Workforce'!$P130&gt;=2,FALSE()))))),1,0)</f>
        <v>0</v>
      </c>
      <c r="EL17" s="1" t="n">
        <f aca="false">IF(AND('Daily Workforce'!$N131="Y",'Daily Workforce'!$B131&lt;&gt;"",COUNTIF('Daily Schedule'!$F$5:$F20,'Daily Workforce'!$B131)=0,IF('Daily Schedule'!$A21=45,'Daily Workforce'!$J131="Y",IF(OR('Daily Schedule'!$A21=4,'Daily Schedule'!$A21=8),IF(OR(WEEKDAY('Daily Schedule'!$B$2,2)=1,WEEKDAY('Daily Schedule'!$B$2,2)=4,WEEKDAY('Daily Schedule'!$B$2,2)=5,WEEKDAY('Daily Schedule'!$B$2,2)=7),IFERROR(1*'Daily Workforce'!$K131&gt;=3,FALSE()),IFERROR(1*'Daily Workforce'!$K131&gt;=2,FALSE())),IF(AND('Daily Schedule'!$A21&gt;=46,'Daily Schedule'!$A21&lt;=52),'Daily Workforce'!$M131="Y",IFERROR(1*'Daily Workforce'!$P131&gt;=2,FALSE()))))),1,0)</f>
        <v>0</v>
      </c>
      <c r="EM17" s="1" t="n">
        <f aca="false">IF(AND('Daily Workforce'!$N132="Y",'Daily Workforce'!$B132&lt;&gt;"",COUNTIF('Daily Schedule'!$F$5:$F20,'Daily Workforce'!$B132)=0,IF('Daily Schedule'!$A21=45,'Daily Workforce'!$J132="Y",IF(OR('Daily Schedule'!$A21=4,'Daily Schedule'!$A21=8),IF(OR(WEEKDAY('Daily Schedule'!$B$2,2)=1,WEEKDAY('Daily Schedule'!$B$2,2)=4,WEEKDAY('Daily Schedule'!$B$2,2)=5,WEEKDAY('Daily Schedule'!$B$2,2)=7),IFERROR(1*'Daily Workforce'!$K132&gt;=3,FALSE()),IFERROR(1*'Daily Workforce'!$K132&gt;=2,FALSE())),IF(AND('Daily Schedule'!$A21&gt;=46,'Daily Schedule'!$A21&lt;=52),'Daily Workforce'!$M132="Y",IFERROR(1*'Daily Workforce'!$P132&gt;=2,FALSE()))))),1,0)</f>
        <v>0</v>
      </c>
      <c r="EN17" s="1" t="n">
        <f aca="false">IF(AND('Daily Workforce'!$N133="Y",'Daily Workforce'!$B133&lt;&gt;"",COUNTIF('Daily Schedule'!$F$5:$F20,'Daily Workforce'!$B133)=0,IF('Daily Schedule'!$A21=45,'Daily Workforce'!$J133="Y",IF(OR('Daily Schedule'!$A21=4,'Daily Schedule'!$A21=8),IF(OR(WEEKDAY('Daily Schedule'!$B$2,2)=1,WEEKDAY('Daily Schedule'!$B$2,2)=4,WEEKDAY('Daily Schedule'!$B$2,2)=5,WEEKDAY('Daily Schedule'!$B$2,2)=7),IFERROR(1*'Daily Workforce'!$K133&gt;=3,FALSE()),IFERROR(1*'Daily Workforce'!$K133&gt;=2,FALSE())),IF(AND('Daily Schedule'!$A21&gt;=46,'Daily Schedule'!$A21&lt;=52),'Daily Workforce'!$M133="Y",IFERROR(1*'Daily Workforce'!$P133&gt;=2,FALSE()))))),1,0)</f>
        <v>0</v>
      </c>
      <c r="EO17" s="1" t="n">
        <f aca="false">IF(AND('Daily Workforce'!$N134="Y",'Daily Workforce'!$B134&lt;&gt;"",COUNTIF('Daily Schedule'!$F$5:$F20,'Daily Workforce'!$B134)=0,IF('Daily Schedule'!$A21=45,'Daily Workforce'!$J134="Y",IF(OR('Daily Schedule'!$A21=4,'Daily Schedule'!$A21=8),IF(OR(WEEKDAY('Daily Schedule'!$B$2,2)=1,WEEKDAY('Daily Schedule'!$B$2,2)=4,WEEKDAY('Daily Schedule'!$B$2,2)=5,WEEKDAY('Daily Schedule'!$B$2,2)=7),IFERROR(1*'Daily Workforce'!$K134&gt;=3,FALSE()),IFERROR(1*'Daily Workforce'!$K134&gt;=2,FALSE())),IF(AND('Daily Schedule'!$A21&gt;=46,'Daily Schedule'!$A21&lt;=52),'Daily Workforce'!$M134="Y",IFERROR(1*'Daily Workforce'!$P134&gt;=2,FALSE()))))),1,0)</f>
        <v>0</v>
      </c>
      <c r="EP17" s="1" t="n">
        <f aca="false">IF(AND('Daily Workforce'!$N135="Y",'Daily Workforce'!$B135&lt;&gt;"",COUNTIF('Daily Schedule'!$F$5:$F20,'Daily Workforce'!$B135)=0,IF('Daily Schedule'!$A21=45,'Daily Workforce'!$J135="Y",IF(OR('Daily Schedule'!$A21=4,'Daily Schedule'!$A21=8),IF(OR(WEEKDAY('Daily Schedule'!$B$2,2)=1,WEEKDAY('Daily Schedule'!$B$2,2)=4,WEEKDAY('Daily Schedule'!$B$2,2)=5,WEEKDAY('Daily Schedule'!$B$2,2)=7),IFERROR(1*'Daily Workforce'!$K135&gt;=3,FALSE()),IFERROR(1*'Daily Workforce'!$K135&gt;=2,FALSE())),IF(AND('Daily Schedule'!$A21&gt;=46,'Daily Schedule'!$A21&lt;=52),'Daily Workforce'!$M135="Y",IFERROR(1*'Daily Workforce'!$P135&gt;=2,FALSE()))))),1,0)</f>
        <v>0</v>
      </c>
      <c r="EQ17" s="1" t="n">
        <f aca="false">IF(AND('Daily Workforce'!$N136="Y",'Daily Workforce'!$B136&lt;&gt;"",COUNTIF('Daily Schedule'!$F$5:$F20,'Daily Workforce'!$B136)=0,IF('Daily Schedule'!$A21=45,'Daily Workforce'!$J136="Y",IF(OR('Daily Schedule'!$A21=4,'Daily Schedule'!$A21=8),IF(OR(WEEKDAY('Daily Schedule'!$B$2,2)=1,WEEKDAY('Daily Schedule'!$B$2,2)=4,WEEKDAY('Daily Schedule'!$B$2,2)=5,WEEKDAY('Daily Schedule'!$B$2,2)=7),IFERROR(1*'Daily Workforce'!$K136&gt;=3,FALSE()),IFERROR(1*'Daily Workforce'!$K136&gt;=2,FALSE())),IF(AND('Daily Schedule'!$A21&gt;=46,'Daily Schedule'!$A21&lt;=52),'Daily Workforce'!$M136="Y",IFERROR(1*'Daily Workforce'!$P136&gt;=2,FALSE()))))),1,0)</f>
        <v>0</v>
      </c>
      <c r="ER17" s="1" t="n">
        <f aca="false">IF(AND('Daily Workforce'!$N137="Y",'Daily Workforce'!$B137&lt;&gt;"",COUNTIF('Daily Schedule'!$F$5:$F20,'Daily Workforce'!$B137)=0,IF('Daily Schedule'!$A21=45,'Daily Workforce'!$J137="Y",IF(OR('Daily Schedule'!$A21=4,'Daily Schedule'!$A21=8),IF(OR(WEEKDAY('Daily Schedule'!$B$2,2)=1,WEEKDAY('Daily Schedule'!$B$2,2)=4,WEEKDAY('Daily Schedule'!$B$2,2)=5,WEEKDAY('Daily Schedule'!$B$2,2)=7),IFERROR(1*'Daily Workforce'!$K137&gt;=3,FALSE()),IFERROR(1*'Daily Workforce'!$K137&gt;=2,FALSE())),IF(AND('Daily Schedule'!$A21&gt;=46,'Daily Schedule'!$A21&lt;=52),'Daily Workforce'!$M137="Y",IFERROR(1*'Daily Workforce'!$P137&gt;=2,FALSE()))))),1,0)</f>
        <v>0</v>
      </c>
      <c r="ES17" s="1" t="n">
        <f aca="false">IF(AND('Daily Workforce'!$N138="Y",'Daily Workforce'!$B138&lt;&gt;"",COUNTIF('Daily Schedule'!$F$5:$F20,'Daily Workforce'!$B138)=0,IF('Daily Schedule'!$A21=45,'Daily Workforce'!$J138="Y",IF(OR('Daily Schedule'!$A21=4,'Daily Schedule'!$A21=8),IF(OR(WEEKDAY('Daily Schedule'!$B$2,2)=1,WEEKDAY('Daily Schedule'!$B$2,2)=4,WEEKDAY('Daily Schedule'!$B$2,2)=5,WEEKDAY('Daily Schedule'!$B$2,2)=7),IFERROR(1*'Daily Workforce'!$K138&gt;=3,FALSE()),IFERROR(1*'Daily Workforce'!$K138&gt;=2,FALSE())),IF(AND('Daily Schedule'!$A21&gt;=46,'Daily Schedule'!$A21&lt;=52),'Daily Workforce'!$M138="Y",IFERROR(1*'Daily Workforce'!$P138&gt;=2,FALSE()))))),1,0)</f>
        <v>0</v>
      </c>
      <c r="ET17" s="1" t="n">
        <f aca="false">IF(AND('Daily Workforce'!$N139="Y",'Daily Workforce'!$B139&lt;&gt;"",COUNTIF('Daily Schedule'!$F$5:$F20,'Daily Workforce'!$B139)=0,IF('Daily Schedule'!$A21=45,'Daily Workforce'!$J139="Y",IF(OR('Daily Schedule'!$A21=4,'Daily Schedule'!$A21=8),IF(OR(WEEKDAY('Daily Schedule'!$B$2,2)=1,WEEKDAY('Daily Schedule'!$B$2,2)=4,WEEKDAY('Daily Schedule'!$B$2,2)=5,WEEKDAY('Daily Schedule'!$B$2,2)=7),IFERROR(1*'Daily Workforce'!$K139&gt;=3,FALSE()),IFERROR(1*'Daily Workforce'!$K139&gt;=2,FALSE())),IF(AND('Daily Schedule'!$A21&gt;=46,'Daily Schedule'!$A21&lt;=52),'Daily Workforce'!$M139="Y",IFERROR(1*'Daily Workforce'!$P139&gt;=2,FALSE()))))),1,0)</f>
        <v>0</v>
      </c>
      <c r="EU17" s="1" t="n">
        <f aca="false">IF(AND('Daily Workforce'!$N140="Y",'Daily Workforce'!$B140&lt;&gt;"",COUNTIF('Daily Schedule'!$F$5:$F20,'Daily Workforce'!$B140)=0,IF('Daily Schedule'!$A21=45,'Daily Workforce'!$J140="Y",IF(OR('Daily Schedule'!$A21=4,'Daily Schedule'!$A21=8),IF(OR(WEEKDAY('Daily Schedule'!$B$2,2)=1,WEEKDAY('Daily Schedule'!$B$2,2)=4,WEEKDAY('Daily Schedule'!$B$2,2)=5,WEEKDAY('Daily Schedule'!$B$2,2)=7),IFERROR(1*'Daily Workforce'!$K140&gt;=3,FALSE()),IFERROR(1*'Daily Workforce'!$K140&gt;=2,FALSE())),IF(AND('Daily Schedule'!$A21&gt;=46,'Daily Schedule'!$A21&lt;=52),'Daily Workforce'!$M140="Y",IFERROR(1*'Daily Workforce'!$P140&gt;=2,FALSE()))))),1,0)</f>
        <v>0</v>
      </c>
      <c r="EV17" s="1" t="n">
        <f aca="false">IF(AND('Daily Workforce'!$N141="Y",'Daily Workforce'!$B141&lt;&gt;"",COUNTIF('Daily Schedule'!$F$5:$F20,'Daily Workforce'!$B141)=0,IF('Daily Schedule'!$A21=45,'Daily Workforce'!$J141="Y",IF(OR('Daily Schedule'!$A21=4,'Daily Schedule'!$A21=8),IF(OR(WEEKDAY('Daily Schedule'!$B$2,2)=1,WEEKDAY('Daily Schedule'!$B$2,2)=4,WEEKDAY('Daily Schedule'!$B$2,2)=5,WEEKDAY('Daily Schedule'!$B$2,2)=7),IFERROR(1*'Daily Workforce'!$K141&gt;=3,FALSE()),IFERROR(1*'Daily Workforce'!$K141&gt;=2,FALSE())),IF(AND('Daily Schedule'!$A21&gt;=46,'Daily Schedule'!$A21&lt;=52),'Daily Workforce'!$M141="Y",IFERROR(1*'Daily Workforce'!$P141&gt;=2,FALSE()))))),1,0)</f>
        <v>0</v>
      </c>
      <c r="EW17" s="1" t="n">
        <f aca="false">IF(AND('Daily Workforce'!$N142="Y",'Daily Workforce'!$B142&lt;&gt;"",COUNTIF('Daily Schedule'!$F$5:$F20,'Daily Workforce'!$B142)=0,IF('Daily Schedule'!$A21=45,'Daily Workforce'!$J142="Y",IF(OR('Daily Schedule'!$A21=4,'Daily Schedule'!$A21=8),IF(OR(WEEKDAY('Daily Schedule'!$B$2,2)=1,WEEKDAY('Daily Schedule'!$B$2,2)=4,WEEKDAY('Daily Schedule'!$B$2,2)=5,WEEKDAY('Daily Schedule'!$B$2,2)=7),IFERROR(1*'Daily Workforce'!$K142&gt;=3,FALSE()),IFERROR(1*'Daily Workforce'!$K142&gt;=2,FALSE())),IF(AND('Daily Schedule'!$A21&gt;=46,'Daily Schedule'!$A21&lt;=52),'Daily Workforce'!$M142="Y",IFERROR(1*'Daily Workforce'!$P142&gt;=2,FALSE()))))),1,0)</f>
        <v>0</v>
      </c>
      <c r="EX17" s="1" t="n">
        <f aca="false">IF(AND('Daily Workforce'!$N143="Y",'Daily Workforce'!$B143&lt;&gt;"",COUNTIF('Daily Schedule'!$F$5:$F20,'Daily Workforce'!$B143)=0,IF('Daily Schedule'!$A21=45,'Daily Workforce'!$J143="Y",IF(OR('Daily Schedule'!$A21=4,'Daily Schedule'!$A21=8),IF(OR(WEEKDAY('Daily Schedule'!$B$2,2)=1,WEEKDAY('Daily Schedule'!$B$2,2)=4,WEEKDAY('Daily Schedule'!$B$2,2)=5,WEEKDAY('Daily Schedule'!$B$2,2)=7),IFERROR(1*'Daily Workforce'!$K143&gt;=3,FALSE()),IFERROR(1*'Daily Workforce'!$K143&gt;=2,FALSE())),IF(AND('Daily Schedule'!$A21&gt;=46,'Daily Schedule'!$A21&lt;=52),'Daily Workforce'!$M143="Y",IFERROR(1*'Daily Workforce'!$P143&gt;=2,FALSE()))))),1,0)</f>
        <v>0</v>
      </c>
      <c r="EY17" s="1" t="n">
        <f aca="false">IF(AND('Daily Workforce'!$N144="Y",'Daily Workforce'!$B144&lt;&gt;"",COUNTIF('Daily Schedule'!$F$5:$F20,'Daily Workforce'!$B144)=0,IF('Daily Schedule'!$A21=45,'Daily Workforce'!$J144="Y",IF(OR('Daily Schedule'!$A21=4,'Daily Schedule'!$A21=8),IF(OR(WEEKDAY('Daily Schedule'!$B$2,2)=1,WEEKDAY('Daily Schedule'!$B$2,2)=4,WEEKDAY('Daily Schedule'!$B$2,2)=5,WEEKDAY('Daily Schedule'!$B$2,2)=7),IFERROR(1*'Daily Workforce'!$K144&gt;=3,FALSE()),IFERROR(1*'Daily Workforce'!$K144&gt;=2,FALSE())),IF(AND('Daily Schedule'!$A21&gt;=46,'Daily Schedule'!$A21&lt;=52),'Daily Workforce'!$M144="Y",IFERROR(1*'Daily Workforce'!$P144&gt;=2,FALSE()))))),1,0)</f>
        <v>0</v>
      </c>
      <c r="EZ17" s="1" t="n">
        <f aca="false">IF(AND('Daily Workforce'!$N145="Y",'Daily Workforce'!$B145&lt;&gt;"",COUNTIF('Daily Schedule'!$F$5:$F20,'Daily Workforce'!$B145)=0,IF('Daily Schedule'!$A21=45,'Daily Workforce'!$J145="Y",IF(OR('Daily Schedule'!$A21=4,'Daily Schedule'!$A21=8),IF(OR(WEEKDAY('Daily Schedule'!$B$2,2)=1,WEEKDAY('Daily Schedule'!$B$2,2)=4,WEEKDAY('Daily Schedule'!$B$2,2)=5,WEEKDAY('Daily Schedule'!$B$2,2)=7),IFERROR(1*'Daily Workforce'!$K145&gt;=3,FALSE()),IFERROR(1*'Daily Workforce'!$K145&gt;=2,FALSE())),IF(AND('Daily Schedule'!$A21&gt;=46,'Daily Schedule'!$A21&lt;=52),'Daily Workforce'!$M145="Y",IFERROR(1*'Daily Workforce'!$P145&gt;=2,FALSE()))))),1,0)</f>
        <v>0</v>
      </c>
      <c r="FA17" s="1" t="n">
        <f aca="false">IF(AND('Daily Workforce'!$N146="Y",'Daily Workforce'!$B146&lt;&gt;"",COUNTIF('Daily Schedule'!$F$5:$F20,'Daily Workforce'!$B146)=0,IF('Daily Schedule'!$A21=45,'Daily Workforce'!$J146="Y",IF(OR('Daily Schedule'!$A21=4,'Daily Schedule'!$A21=8),IF(OR(WEEKDAY('Daily Schedule'!$B$2,2)=1,WEEKDAY('Daily Schedule'!$B$2,2)=4,WEEKDAY('Daily Schedule'!$B$2,2)=5,WEEKDAY('Daily Schedule'!$B$2,2)=7),IFERROR(1*'Daily Workforce'!$K146&gt;=3,FALSE()),IFERROR(1*'Daily Workforce'!$K146&gt;=2,FALSE())),IF(AND('Daily Schedule'!$A21&gt;=46,'Daily Schedule'!$A21&lt;=52),'Daily Workforce'!$M146="Y",IFERROR(1*'Daily Workforce'!$P146&gt;=2,FALSE()))))),1,0)</f>
        <v>0</v>
      </c>
      <c r="FB17" s="1" t="n">
        <f aca="false">IF(AND('Daily Workforce'!$N147="Y",'Daily Workforce'!$B147&lt;&gt;"",COUNTIF('Daily Schedule'!$F$5:$F20,'Daily Workforce'!$B147)=0,IF('Daily Schedule'!$A21=45,'Daily Workforce'!$J147="Y",IF(OR('Daily Schedule'!$A21=4,'Daily Schedule'!$A21=8),IF(OR(WEEKDAY('Daily Schedule'!$B$2,2)=1,WEEKDAY('Daily Schedule'!$B$2,2)=4,WEEKDAY('Daily Schedule'!$B$2,2)=5,WEEKDAY('Daily Schedule'!$B$2,2)=7),IFERROR(1*'Daily Workforce'!$K147&gt;=3,FALSE()),IFERROR(1*'Daily Workforce'!$K147&gt;=2,FALSE())),IF(AND('Daily Schedule'!$A21&gt;=46,'Daily Schedule'!$A21&lt;=52),'Daily Workforce'!$M147="Y",IFERROR(1*'Daily Workforce'!$P147&gt;=2,FALSE()))))),1,0)</f>
        <v>0</v>
      </c>
      <c r="FC17" s="1" t="n">
        <f aca="false">IF(AND('Daily Workforce'!$N148="Y",'Daily Workforce'!$B148&lt;&gt;"",COUNTIF('Daily Schedule'!$F$5:$F20,'Daily Workforce'!$B148)=0,IF('Daily Schedule'!$A21=45,'Daily Workforce'!$J148="Y",IF(OR('Daily Schedule'!$A21=4,'Daily Schedule'!$A21=8),IF(OR(WEEKDAY('Daily Schedule'!$B$2,2)=1,WEEKDAY('Daily Schedule'!$B$2,2)=4,WEEKDAY('Daily Schedule'!$B$2,2)=5,WEEKDAY('Daily Schedule'!$B$2,2)=7),IFERROR(1*'Daily Workforce'!$K148&gt;=3,FALSE()),IFERROR(1*'Daily Workforce'!$K148&gt;=2,FALSE())),IF(AND('Daily Schedule'!$A21&gt;=46,'Daily Schedule'!$A21&lt;=52),'Daily Workforce'!$M148="Y",IFERROR(1*'Daily Workforce'!$P148&gt;=2,FALSE()))))),1,0)</f>
        <v>0</v>
      </c>
      <c r="FD17" s="1" t="n">
        <f aca="false">IF(AND('Daily Workforce'!$N149="Y",'Daily Workforce'!$B149&lt;&gt;"",COUNTIF('Daily Schedule'!$F$5:$F20,'Daily Workforce'!$B149)=0,IF('Daily Schedule'!$A21=45,'Daily Workforce'!$J149="Y",IF(OR('Daily Schedule'!$A21=4,'Daily Schedule'!$A21=8),IF(OR(WEEKDAY('Daily Schedule'!$B$2,2)=1,WEEKDAY('Daily Schedule'!$B$2,2)=4,WEEKDAY('Daily Schedule'!$B$2,2)=5,WEEKDAY('Daily Schedule'!$B$2,2)=7),IFERROR(1*'Daily Workforce'!$K149&gt;=3,FALSE()),IFERROR(1*'Daily Workforce'!$K149&gt;=2,FALSE())),IF(AND('Daily Schedule'!$A21&gt;=46,'Daily Schedule'!$A21&lt;=52),'Daily Workforce'!$M149="Y",IFERROR(1*'Daily Workforce'!$P149&gt;=2,FALSE()))))),1,0)</f>
        <v>0</v>
      </c>
      <c r="FE17" s="1" t="n">
        <f aca="false">IF(AND('Daily Workforce'!$N150="Y",'Daily Workforce'!$B150&lt;&gt;"",COUNTIF('Daily Schedule'!$F$5:$F20,'Daily Workforce'!$B150)=0,IF('Daily Schedule'!$A21=45,'Daily Workforce'!$J150="Y",IF(OR('Daily Schedule'!$A21=4,'Daily Schedule'!$A21=8),IF(OR(WEEKDAY('Daily Schedule'!$B$2,2)=1,WEEKDAY('Daily Schedule'!$B$2,2)=4,WEEKDAY('Daily Schedule'!$B$2,2)=5,WEEKDAY('Daily Schedule'!$B$2,2)=7),IFERROR(1*'Daily Workforce'!$K150&gt;=3,FALSE()),IFERROR(1*'Daily Workforce'!$K150&gt;=2,FALSE())),IF(AND('Daily Schedule'!$A21&gt;=46,'Daily Schedule'!$A21&lt;=52),'Daily Workforce'!$M150="Y",IFERROR(1*'Daily Workforce'!$P150&gt;=2,FALSE()))))),1,0)</f>
        <v>0</v>
      </c>
      <c r="FF17" s="1" t="n">
        <f aca="false">IF(AND('Daily Workforce'!$N151="Y",'Daily Workforce'!$B151&lt;&gt;"",COUNTIF('Daily Schedule'!$F$5:$F20,'Daily Workforce'!$B151)=0,IF('Daily Schedule'!$A21=45,'Daily Workforce'!$J151="Y",IF(OR('Daily Schedule'!$A21=4,'Daily Schedule'!$A21=8),IF(OR(WEEKDAY('Daily Schedule'!$B$2,2)=1,WEEKDAY('Daily Schedule'!$B$2,2)=4,WEEKDAY('Daily Schedule'!$B$2,2)=5,WEEKDAY('Daily Schedule'!$B$2,2)=7),IFERROR(1*'Daily Workforce'!$K151&gt;=3,FALSE()),IFERROR(1*'Daily Workforce'!$K151&gt;=2,FALSE())),IF(AND('Daily Schedule'!$A21&gt;=46,'Daily Schedule'!$A21&lt;=52),'Daily Workforce'!$M151="Y",IFERROR(1*'Daily Workforce'!$P151&gt;=2,FALSE()))))),1,0)</f>
        <v>0</v>
      </c>
      <c r="FG17" s="1" t="n">
        <f aca="false">IF(AND('Daily Workforce'!$N152="Y",'Daily Workforce'!$B152&lt;&gt;"",COUNTIF('Daily Schedule'!$F$5:$F20,'Daily Workforce'!$B152)=0,IF('Daily Schedule'!$A21=45,'Daily Workforce'!$J152="Y",IF(OR('Daily Schedule'!$A21=4,'Daily Schedule'!$A21=8),IF(OR(WEEKDAY('Daily Schedule'!$B$2,2)=1,WEEKDAY('Daily Schedule'!$B$2,2)=4,WEEKDAY('Daily Schedule'!$B$2,2)=5,WEEKDAY('Daily Schedule'!$B$2,2)=7),IFERROR(1*'Daily Workforce'!$K152&gt;=3,FALSE()),IFERROR(1*'Daily Workforce'!$K152&gt;=2,FALSE())),IF(AND('Daily Schedule'!$A21&gt;=46,'Daily Schedule'!$A21&lt;=52),'Daily Workforce'!$M152="Y",IFERROR(1*'Daily Workforce'!$P152&gt;=2,FALSE()))))),1,0)</f>
        <v>0</v>
      </c>
      <c r="FH17" s="1" t="n">
        <f aca="false">IF(AND('Daily Workforce'!$N153="Y",'Daily Workforce'!$B153&lt;&gt;"",COUNTIF('Daily Schedule'!$F$5:$F20,'Daily Workforce'!$B153)=0,IF('Daily Schedule'!$A21=45,'Daily Workforce'!$J153="Y",IF(OR('Daily Schedule'!$A21=4,'Daily Schedule'!$A21=8),IF(OR(WEEKDAY('Daily Schedule'!$B$2,2)=1,WEEKDAY('Daily Schedule'!$B$2,2)=4,WEEKDAY('Daily Schedule'!$B$2,2)=5,WEEKDAY('Daily Schedule'!$B$2,2)=7),IFERROR(1*'Daily Workforce'!$K153&gt;=3,FALSE()),IFERROR(1*'Daily Workforce'!$K153&gt;=2,FALSE())),IF(AND('Daily Schedule'!$A21&gt;=46,'Daily Schedule'!$A21&lt;=52),'Daily Workforce'!$M153="Y",IFERROR(1*'Daily Workforce'!$P153&gt;=2,FALSE()))))),1,0)</f>
        <v>0</v>
      </c>
      <c r="FI17" s="1" t="n">
        <f aca="false">IF(AND('Daily Workforce'!$N154="Y",'Daily Workforce'!$B154&lt;&gt;"",COUNTIF('Daily Schedule'!$F$5:$F20,'Daily Workforce'!$B154)=0,IF('Daily Schedule'!$A21=45,'Daily Workforce'!$J154="Y",IF(OR('Daily Schedule'!$A21=4,'Daily Schedule'!$A21=8),IF(OR(WEEKDAY('Daily Schedule'!$B$2,2)=1,WEEKDAY('Daily Schedule'!$B$2,2)=4,WEEKDAY('Daily Schedule'!$B$2,2)=5,WEEKDAY('Daily Schedule'!$B$2,2)=7),IFERROR(1*'Daily Workforce'!$K154&gt;=3,FALSE()),IFERROR(1*'Daily Workforce'!$K154&gt;=2,FALSE())),IF(AND('Daily Schedule'!$A21&gt;=46,'Daily Schedule'!$A21&lt;=52),'Daily Workforce'!$M154="Y",IFERROR(1*'Daily Workforce'!$P154&gt;=2,FALSE()))))),1,0)</f>
        <v>0</v>
      </c>
      <c r="FJ17" s="1" t="n">
        <f aca="false">IF(AND('Daily Workforce'!$N155="Y",'Daily Workforce'!$B155&lt;&gt;"",COUNTIF('Daily Schedule'!$F$5:$F20,'Daily Workforce'!$B155)=0,IF('Daily Schedule'!$A21=45,'Daily Workforce'!$J155="Y",IF(OR('Daily Schedule'!$A21=4,'Daily Schedule'!$A21=8),IF(OR(WEEKDAY('Daily Schedule'!$B$2,2)=1,WEEKDAY('Daily Schedule'!$B$2,2)=4,WEEKDAY('Daily Schedule'!$B$2,2)=5,WEEKDAY('Daily Schedule'!$B$2,2)=7),IFERROR(1*'Daily Workforce'!$K155&gt;=3,FALSE()),IFERROR(1*'Daily Workforce'!$K155&gt;=2,FALSE())),IF(AND('Daily Schedule'!$A21&gt;=46,'Daily Schedule'!$A21&lt;=52),'Daily Workforce'!$M155="Y",IFERROR(1*'Daily Workforce'!$P155&gt;=2,FALSE()))))),1,0)</f>
        <v>0</v>
      </c>
      <c r="FK17" s="1" t="n">
        <f aca="false">IF(AND('Daily Workforce'!$N156="Y",'Daily Workforce'!$B156&lt;&gt;"",COUNTIF('Daily Schedule'!$F$5:$F20,'Daily Workforce'!$B156)=0,IF('Daily Schedule'!$A21=45,'Daily Workforce'!$J156="Y",IF(OR('Daily Schedule'!$A21=4,'Daily Schedule'!$A21=8),IF(OR(WEEKDAY('Daily Schedule'!$B$2,2)=1,WEEKDAY('Daily Schedule'!$B$2,2)=4,WEEKDAY('Daily Schedule'!$B$2,2)=5,WEEKDAY('Daily Schedule'!$B$2,2)=7),IFERROR(1*'Daily Workforce'!$K156&gt;=3,FALSE()),IFERROR(1*'Daily Workforce'!$K156&gt;=2,FALSE())),IF(AND('Daily Schedule'!$A21&gt;=46,'Daily Schedule'!$A21&lt;=52),'Daily Workforce'!$M156="Y",IFERROR(1*'Daily Workforce'!$P156&gt;=2,FALSE()))))),1,0)</f>
        <v>0</v>
      </c>
      <c r="FL17" s="1" t="n">
        <f aca="false">IF(AND('Daily Workforce'!$N157="Y",'Daily Workforce'!$B157&lt;&gt;"",COUNTIF('Daily Schedule'!$F$5:$F20,'Daily Workforce'!$B157)=0,IF('Daily Schedule'!$A21=45,'Daily Workforce'!$J157="Y",IF(OR('Daily Schedule'!$A21=4,'Daily Schedule'!$A21=8),IF(OR(WEEKDAY('Daily Schedule'!$B$2,2)=1,WEEKDAY('Daily Schedule'!$B$2,2)=4,WEEKDAY('Daily Schedule'!$B$2,2)=5,WEEKDAY('Daily Schedule'!$B$2,2)=7),IFERROR(1*'Daily Workforce'!$K157&gt;=3,FALSE()),IFERROR(1*'Daily Workforce'!$K157&gt;=2,FALSE())),IF(AND('Daily Schedule'!$A21&gt;=46,'Daily Schedule'!$A21&lt;=52),'Daily Workforce'!$M157="Y",IFERROR(1*'Daily Workforce'!$P157&gt;=2,FALSE()))))),1,0)</f>
        <v>0</v>
      </c>
      <c r="FM17" s="1" t="n">
        <f aca="false">IF(AND('Daily Workforce'!$N158="Y",'Daily Workforce'!$B158&lt;&gt;"",COUNTIF('Daily Schedule'!$F$5:$F20,'Daily Workforce'!$B158)=0,IF('Daily Schedule'!$A21=45,'Daily Workforce'!$J158="Y",IF(OR('Daily Schedule'!$A21=4,'Daily Schedule'!$A21=8),IF(OR(WEEKDAY('Daily Schedule'!$B$2,2)=1,WEEKDAY('Daily Schedule'!$B$2,2)=4,WEEKDAY('Daily Schedule'!$B$2,2)=5,WEEKDAY('Daily Schedule'!$B$2,2)=7),IFERROR(1*'Daily Workforce'!$K158&gt;=3,FALSE()),IFERROR(1*'Daily Workforce'!$K158&gt;=2,FALSE())),IF(AND('Daily Schedule'!$A21&gt;=46,'Daily Schedule'!$A21&lt;=52),'Daily Workforce'!$M158="Y",IFERROR(1*'Daily Workforce'!$P158&gt;=2,FALSE()))))),1,0)</f>
        <v>0</v>
      </c>
      <c r="FN17" s="1" t="n">
        <f aca="false">IF(AND('Daily Workforce'!$N159="Y",'Daily Workforce'!$B159&lt;&gt;"",COUNTIF('Daily Schedule'!$F$5:$F20,'Daily Workforce'!$B159)=0,IF('Daily Schedule'!$A21=45,'Daily Workforce'!$J159="Y",IF(OR('Daily Schedule'!$A21=4,'Daily Schedule'!$A21=8),IF(OR(WEEKDAY('Daily Schedule'!$B$2,2)=1,WEEKDAY('Daily Schedule'!$B$2,2)=4,WEEKDAY('Daily Schedule'!$B$2,2)=5,WEEKDAY('Daily Schedule'!$B$2,2)=7),IFERROR(1*'Daily Workforce'!$K159&gt;=3,FALSE()),IFERROR(1*'Daily Workforce'!$K159&gt;=2,FALSE())),IF(AND('Daily Schedule'!$A21&gt;=46,'Daily Schedule'!$A21&lt;=52),'Daily Workforce'!$M159="Y",IFERROR(1*'Daily Workforce'!$P159&gt;=2,FALSE()))))),1,0)</f>
        <v>0</v>
      </c>
      <c r="FO17" s="1" t="n">
        <f aca="false">IF(AND('Daily Workforce'!$N160="Y",'Daily Workforce'!$B160&lt;&gt;"",COUNTIF('Daily Schedule'!$F$5:$F20,'Daily Workforce'!$B160)=0,IF('Daily Schedule'!$A21=45,'Daily Workforce'!$J160="Y",IF(OR('Daily Schedule'!$A21=4,'Daily Schedule'!$A21=8),IF(OR(WEEKDAY('Daily Schedule'!$B$2,2)=1,WEEKDAY('Daily Schedule'!$B$2,2)=4,WEEKDAY('Daily Schedule'!$B$2,2)=5,WEEKDAY('Daily Schedule'!$B$2,2)=7),IFERROR(1*'Daily Workforce'!$K160&gt;=3,FALSE()),IFERROR(1*'Daily Workforce'!$K160&gt;=2,FALSE())),IF(AND('Daily Schedule'!$A21&gt;=46,'Daily Schedule'!$A21&lt;=52),'Daily Workforce'!$M160="Y",IFERROR(1*'Daily Workforce'!$P160&gt;=2,FALSE()))))),1,0)</f>
        <v>0</v>
      </c>
      <c r="FP17" s="1" t="n">
        <f aca="false">IF(AND('Daily Workforce'!$N161="Y",'Daily Workforce'!$B161&lt;&gt;"",COUNTIF('Daily Schedule'!$F$5:$F20,'Daily Workforce'!$B161)=0,IF('Daily Schedule'!$A21=45,'Daily Workforce'!$J161="Y",IF(OR('Daily Schedule'!$A21=4,'Daily Schedule'!$A21=8),IF(OR(WEEKDAY('Daily Schedule'!$B$2,2)=1,WEEKDAY('Daily Schedule'!$B$2,2)=4,WEEKDAY('Daily Schedule'!$B$2,2)=5,WEEKDAY('Daily Schedule'!$B$2,2)=7),IFERROR(1*'Daily Workforce'!$K161&gt;=3,FALSE()),IFERROR(1*'Daily Workforce'!$K161&gt;=2,FALSE())),IF(AND('Daily Schedule'!$A21&gt;=46,'Daily Schedule'!$A21&lt;=52),'Daily Workforce'!$M161="Y",IFERROR(1*'Daily Workforce'!$P161&gt;=2,FALSE()))))),1,0)</f>
        <v>0</v>
      </c>
      <c r="FQ17" s="1" t="n">
        <f aca="false">IF(AND('Daily Workforce'!$N162="Y",'Daily Workforce'!$B162&lt;&gt;"",COUNTIF('Daily Schedule'!$F$5:$F20,'Daily Workforce'!$B162)=0,IF('Daily Schedule'!$A21=45,'Daily Workforce'!$J162="Y",IF(OR('Daily Schedule'!$A21=4,'Daily Schedule'!$A21=8),IF(OR(WEEKDAY('Daily Schedule'!$B$2,2)=1,WEEKDAY('Daily Schedule'!$B$2,2)=4,WEEKDAY('Daily Schedule'!$B$2,2)=5,WEEKDAY('Daily Schedule'!$B$2,2)=7),IFERROR(1*'Daily Workforce'!$K162&gt;=3,FALSE()),IFERROR(1*'Daily Workforce'!$K162&gt;=2,FALSE())),IF(AND('Daily Schedule'!$A21&gt;=46,'Daily Schedule'!$A21&lt;=52),'Daily Workforce'!$M162="Y",IFERROR(1*'Daily Workforce'!$P162&gt;=2,FALSE()))))),1,0)</f>
        <v>0</v>
      </c>
      <c r="FR17" s="1" t="n">
        <f aca="false">IF(AND('Daily Workforce'!$N163="Y",'Daily Workforce'!$B163&lt;&gt;"",COUNTIF('Daily Schedule'!$F$5:$F20,'Daily Workforce'!$B163)=0,IF('Daily Schedule'!$A21=45,'Daily Workforce'!$J163="Y",IF(OR('Daily Schedule'!$A21=4,'Daily Schedule'!$A21=8),IF(OR(WEEKDAY('Daily Schedule'!$B$2,2)=1,WEEKDAY('Daily Schedule'!$B$2,2)=4,WEEKDAY('Daily Schedule'!$B$2,2)=5,WEEKDAY('Daily Schedule'!$B$2,2)=7),IFERROR(1*'Daily Workforce'!$K163&gt;=3,FALSE()),IFERROR(1*'Daily Workforce'!$K163&gt;=2,FALSE())),IF(AND('Daily Schedule'!$A21&gt;=46,'Daily Schedule'!$A21&lt;=52),'Daily Workforce'!$M163="Y",IFERROR(1*'Daily Workforce'!$P163&gt;=2,FALSE()))))),1,0)</f>
        <v>0</v>
      </c>
      <c r="FS17" s="1" t="n">
        <f aca="false">IF(AND('Daily Workforce'!$N164="Y",'Daily Workforce'!$B164&lt;&gt;"",COUNTIF('Daily Schedule'!$F$5:$F20,'Daily Workforce'!$B164)=0,IF('Daily Schedule'!$A21=45,'Daily Workforce'!$J164="Y",IF(OR('Daily Schedule'!$A21=4,'Daily Schedule'!$A21=8),IF(OR(WEEKDAY('Daily Schedule'!$B$2,2)=1,WEEKDAY('Daily Schedule'!$B$2,2)=4,WEEKDAY('Daily Schedule'!$B$2,2)=5,WEEKDAY('Daily Schedule'!$B$2,2)=7),IFERROR(1*'Daily Workforce'!$K164&gt;=3,FALSE()),IFERROR(1*'Daily Workforce'!$K164&gt;=2,FALSE())),IF(AND('Daily Schedule'!$A21&gt;=46,'Daily Schedule'!$A21&lt;=52),'Daily Workforce'!$M164="Y",IFERROR(1*'Daily Workforce'!$P164&gt;=2,FALSE()))))),1,0)</f>
        <v>0</v>
      </c>
      <c r="FT17" s="1" t="n">
        <f aca="false">IF(AND('Daily Workforce'!$N165="Y",'Daily Workforce'!$B165&lt;&gt;"",COUNTIF('Daily Schedule'!$F$5:$F20,'Daily Workforce'!$B165)=0,IF('Daily Schedule'!$A21=45,'Daily Workforce'!$J165="Y",IF(OR('Daily Schedule'!$A21=4,'Daily Schedule'!$A21=8),IF(OR(WEEKDAY('Daily Schedule'!$B$2,2)=1,WEEKDAY('Daily Schedule'!$B$2,2)=4,WEEKDAY('Daily Schedule'!$B$2,2)=5,WEEKDAY('Daily Schedule'!$B$2,2)=7),IFERROR(1*'Daily Workforce'!$K165&gt;=3,FALSE()),IFERROR(1*'Daily Workforce'!$K165&gt;=2,FALSE())),IF(AND('Daily Schedule'!$A21&gt;=46,'Daily Schedule'!$A21&lt;=52),'Daily Workforce'!$M165="Y",IFERROR(1*'Daily Workforce'!$P165&gt;=2,FALSE()))))),1,0)</f>
        <v>0</v>
      </c>
      <c r="FU17" s="1" t="n">
        <f aca="false">IF(AND('Daily Workforce'!$N166="Y",'Daily Workforce'!$B166&lt;&gt;"",COUNTIF('Daily Schedule'!$F$5:$F20,'Daily Workforce'!$B166)=0,IF('Daily Schedule'!$A21=45,'Daily Workforce'!$J166="Y",IF(OR('Daily Schedule'!$A21=4,'Daily Schedule'!$A21=8),IF(OR(WEEKDAY('Daily Schedule'!$B$2,2)=1,WEEKDAY('Daily Schedule'!$B$2,2)=4,WEEKDAY('Daily Schedule'!$B$2,2)=5,WEEKDAY('Daily Schedule'!$B$2,2)=7),IFERROR(1*'Daily Workforce'!$K166&gt;=3,FALSE()),IFERROR(1*'Daily Workforce'!$K166&gt;=2,FALSE())),IF(AND('Daily Schedule'!$A21&gt;=46,'Daily Schedule'!$A21&lt;=52),'Daily Workforce'!$M166="Y",IFERROR(1*'Daily Workforce'!$P166&gt;=2,FALSE()))))),1,0)</f>
        <v>0</v>
      </c>
      <c r="FV17" s="1" t="n">
        <f aca="false">IF(AND('Daily Workforce'!$N167="Y",'Daily Workforce'!$B167&lt;&gt;"",COUNTIF('Daily Schedule'!$F$5:$F20,'Daily Workforce'!$B167)=0,IF('Daily Schedule'!$A21=45,'Daily Workforce'!$J167="Y",IF(OR('Daily Schedule'!$A21=4,'Daily Schedule'!$A21=8),IF(OR(WEEKDAY('Daily Schedule'!$B$2,2)=1,WEEKDAY('Daily Schedule'!$B$2,2)=4,WEEKDAY('Daily Schedule'!$B$2,2)=5,WEEKDAY('Daily Schedule'!$B$2,2)=7),IFERROR(1*'Daily Workforce'!$K167&gt;=3,FALSE()),IFERROR(1*'Daily Workforce'!$K167&gt;=2,FALSE())),IF(AND('Daily Schedule'!$A21&gt;=46,'Daily Schedule'!$A21&lt;=52),'Daily Workforce'!$M167="Y",IFERROR(1*'Daily Workforce'!$P167&gt;=2,FALSE()))))),1,0)</f>
        <v>0</v>
      </c>
      <c r="FW17" s="1" t="n">
        <f aca="false">IF(AND('Daily Workforce'!$N168="Y",'Daily Workforce'!$B168&lt;&gt;"",COUNTIF('Daily Schedule'!$F$5:$F20,'Daily Workforce'!$B168)=0,IF('Daily Schedule'!$A21=45,'Daily Workforce'!$J168="Y",IF(OR('Daily Schedule'!$A21=4,'Daily Schedule'!$A21=8),IF(OR(WEEKDAY('Daily Schedule'!$B$2,2)=1,WEEKDAY('Daily Schedule'!$B$2,2)=4,WEEKDAY('Daily Schedule'!$B$2,2)=5,WEEKDAY('Daily Schedule'!$B$2,2)=7),IFERROR(1*'Daily Workforce'!$K168&gt;=3,FALSE()),IFERROR(1*'Daily Workforce'!$K168&gt;=2,FALSE())),IF(AND('Daily Schedule'!$A21&gt;=46,'Daily Schedule'!$A21&lt;=52),'Daily Workforce'!$M168="Y",IFERROR(1*'Daily Workforce'!$P168&gt;=2,FALSE()))))),1,0)</f>
        <v>0</v>
      </c>
      <c r="FX17" s="1" t="n">
        <f aca="false">IF(AND('Daily Workforce'!$N169="Y",'Daily Workforce'!$B169&lt;&gt;"",COUNTIF('Daily Schedule'!$F$5:$F20,'Daily Workforce'!$B169)=0,IF('Daily Schedule'!$A21=45,'Daily Workforce'!$J169="Y",IF(OR('Daily Schedule'!$A21=4,'Daily Schedule'!$A21=8),IF(OR(WEEKDAY('Daily Schedule'!$B$2,2)=1,WEEKDAY('Daily Schedule'!$B$2,2)=4,WEEKDAY('Daily Schedule'!$B$2,2)=5,WEEKDAY('Daily Schedule'!$B$2,2)=7),IFERROR(1*'Daily Workforce'!$K169&gt;=3,FALSE()),IFERROR(1*'Daily Workforce'!$K169&gt;=2,FALSE())),IF(AND('Daily Schedule'!$A21&gt;=46,'Daily Schedule'!$A21&lt;=52),'Daily Workforce'!$M169="Y",IFERROR(1*'Daily Workforce'!$P169&gt;=2,FALSE()))))),1,0)</f>
        <v>0</v>
      </c>
      <c r="FY17" s="1" t="n">
        <f aca="false">IF(AND('Daily Workforce'!$N170="Y",'Daily Workforce'!$B170&lt;&gt;"",COUNTIF('Daily Schedule'!$F$5:$F20,'Daily Workforce'!$B170)=0,IF('Daily Schedule'!$A21=45,'Daily Workforce'!$J170="Y",IF(OR('Daily Schedule'!$A21=4,'Daily Schedule'!$A21=8),IF(OR(WEEKDAY('Daily Schedule'!$B$2,2)=1,WEEKDAY('Daily Schedule'!$B$2,2)=4,WEEKDAY('Daily Schedule'!$B$2,2)=5,WEEKDAY('Daily Schedule'!$B$2,2)=7),IFERROR(1*'Daily Workforce'!$K170&gt;=3,FALSE()),IFERROR(1*'Daily Workforce'!$K170&gt;=2,FALSE())),IF(AND('Daily Schedule'!$A21&gt;=46,'Daily Schedule'!$A21&lt;=52),'Daily Workforce'!$M170="Y",IFERROR(1*'Daily Workforce'!$P170&gt;=2,FALSE()))))),1,0)</f>
        <v>0</v>
      </c>
      <c r="FZ17" s="1" t="n">
        <f aca="false">IF(AND('Daily Workforce'!$N171="Y",'Daily Workforce'!$B171&lt;&gt;"",COUNTIF('Daily Schedule'!$F$5:$F20,'Daily Workforce'!$B171)=0,IF('Daily Schedule'!$A21=45,'Daily Workforce'!$J171="Y",IF(OR('Daily Schedule'!$A21=4,'Daily Schedule'!$A21=8),IF(OR(WEEKDAY('Daily Schedule'!$B$2,2)=1,WEEKDAY('Daily Schedule'!$B$2,2)=4,WEEKDAY('Daily Schedule'!$B$2,2)=5,WEEKDAY('Daily Schedule'!$B$2,2)=7),IFERROR(1*'Daily Workforce'!$K171&gt;=3,FALSE()),IFERROR(1*'Daily Workforce'!$K171&gt;=2,FALSE())),IF(AND('Daily Schedule'!$A21&gt;=46,'Daily Schedule'!$A21&lt;=52),'Daily Workforce'!$M171="Y",IFERROR(1*'Daily Workforce'!$P171&gt;=2,FALSE()))))),1,0)</f>
        <v>0</v>
      </c>
      <c r="GA17" s="1" t="n">
        <f aca="false">IF(AND('Daily Workforce'!$N172="Y",'Daily Workforce'!$B172&lt;&gt;"",COUNTIF('Daily Schedule'!$F$5:$F20,'Daily Workforce'!$B172)=0,IF('Daily Schedule'!$A21=45,'Daily Workforce'!$J172="Y",IF(OR('Daily Schedule'!$A21=4,'Daily Schedule'!$A21=8),IF(OR(WEEKDAY('Daily Schedule'!$B$2,2)=1,WEEKDAY('Daily Schedule'!$B$2,2)=4,WEEKDAY('Daily Schedule'!$B$2,2)=5,WEEKDAY('Daily Schedule'!$B$2,2)=7),IFERROR(1*'Daily Workforce'!$K172&gt;=3,FALSE()),IFERROR(1*'Daily Workforce'!$K172&gt;=2,FALSE())),IF(AND('Daily Schedule'!$A21&gt;=46,'Daily Schedule'!$A21&lt;=52),'Daily Workforce'!$M172="Y",IFERROR(1*'Daily Workforce'!$P172&gt;=2,FALSE()))))),1,0)</f>
        <v>0</v>
      </c>
      <c r="GB17" s="1" t="n">
        <f aca="false">IF(AND('Daily Workforce'!$N173="Y",'Daily Workforce'!$B173&lt;&gt;"",COUNTIF('Daily Schedule'!$F$5:$F20,'Daily Workforce'!$B173)=0,IF('Daily Schedule'!$A21=45,'Daily Workforce'!$J173="Y",IF(OR('Daily Schedule'!$A21=4,'Daily Schedule'!$A21=8),IF(OR(WEEKDAY('Daily Schedule'!$B$2,2)=1,WEEKDAY('Daily Schedule'!$B$2,2)=4,WEEKDAY('Daily Schedule'!$B$2,2)=5,WEEKDAY('Daily Schedule'!$B$2,2)=7),IFERROR(1*'Daily Workforce'!$K173&gt;=3,FALSE()),IFERROR(1*'Daily Workforce'!$K173&gt;=2,FALSE())),IF(AND('Daily Schedule'!$A21&gt;=46,'Daily Schedule'!$A21&lt;=52),'Daily Workforce'!$M173="Y",IFERROR(1*'Daily Workforce'!$P173&gt;=2,FALSE()))))),1,0)</f>
        <v>0</v>
      </c>
      <c r="GC17" s="1" t="n">
        <f aca="false">IF(AND('Daily Workforce'!$N174="Y",'Daily Workforce'!$B174&lt;&gt;"",COUNTIF('Daily Schedule'!$F$5:$F20,'Daily Workforce'!$B174)=0,IF('Daily Schedule'!$A21=45,'Daily Workforce'!$J174="Y",IF(OR('Daily Schedule'!$A21=4,'Daily Schedule'!$A21=8),IF(OR(WEEKDAY('Daily Schedule'!$B$2,2)=1,WEEKDAY('Daily Schedule'!$B$2,2)=4,WEEKDAY('Daily Schedule'!$B$2,2)=5,WEEKDAY('Daily Schedule'!$B$2,2)=7),IFERROR(1*'Daily Workforce'!$K174&gt;=3,FALSE()),IFERROR(1*'Daily Workforce'!$K174&gt;=2,FALSE())),IF(AND('Daily Schedule'!$A21&gt;=46,'Daily Schedule'!$A21&lt;=52),'Daily Workforce'!$M174="Y",IFERROR(1*'Daily Workforce'!$P174&gt;=2,FALSE()))))),1,0)</f>
        <v>0</v>
      </c>
      <c r="GD17" s="1" t="n">
        <f aca="false">IF(AND('Daily Workforce'!$N175="Y",'Daily Workforce'!$B175&lt;&gt;"",COUNTIF('Daily Schedule'!$F$5:$F20,'Daily Workforce'!$B175)=0,IF('Daily Schedule'!$A21=45,'Daily Workforce'!$J175="Y",IF(OR('Daily Schedule'!$A21=4,'Daily Schedule'!$A21=8),IF(OR(WEEKDAY('Daily Schedule'!$B$2,2)=1,WEEKDAY('Daily Schedule'!$B$2,2)=4,WEEKDAY('Daily Schedule'!$B$2,2)=5,WEEKDAY('Daily Schedule'!$B$2,2)=7),IFERROR(1*'Daily Workforce'!$K175&gt;=3,FALSE()),IFERROR(1*'Daily Workforce'!$K175&gt;=2,FALSE())),IF(AND('Daily Schedule'!$A21&gt;=46,'Daily Schedule'!$A21&lt;=52),'Daily Workforce'!$M175="Y",IFERROR(1*'Daily Workforce'!$P175&gt;=2,FALSE()))))),1,0)</f>
        <v>0</v>
      </c>
      <c r="GE17" s="1" t="n">
        <f aca="false">IF(AND('Daily Workforce'!$N176="Y",'Daily Workforce'!$B176&lt;&gt;"",COUNTIF('Daily Schedule'!$F$5:$F20,'Daily Workforce'!$B176)=0,IF('Daily Schedule'!$A21=45,'Daily Workforce'!$J176="Y",IF(OR('Daily Schedule'!$A21=4,'Daily Schedule'!$A21=8),IF(OR(WEEKDAY('Daily Schedule'!$B$2,2)=1,WEEKDAY('Daily Schedule'!$B$2,2)=4,WEEKDAY('Daily Schedule'!$B$2,2)=5,WEEKDAY('Daily Schedule'!$B$2,2)=7),IFERROR(1*'Daily Workforce'!$K176&gt;=3,FALSE()),IFERROR(1*'Daily Workforce'!$K176&gt;=2,FALSE())),IF(AND('Daily Schedule'!$A21&gt;=46,'Daily Schedule'!$A21&lt;=52),'Daily Workforce'!$M176="Y",IFERROR(1*'Daily Workforce'!$P176&gt;=2,FALSE()))))),1,0)</f>
        <v>0</v>
      </c>
      <c r="GF17" s="1" t="n">
        <f aca="false">IF(AND('Daily Workforce'!$N177="Y",'Daily Workforce'!$B177&lt;&gt;"",COUNTIF('Daily Schedule'!$F$5:$F20,'Daily Workforce'!$B177)=0,IF('Daily Schedule'!$A21=45,'Daily Workforce'!$J177="Y",IF(OR('Daily Schedule'!$A21=4,'Daily Schedule'!$A21=8),IF(OR(WEEKDAY('Daily Schedule'!$B$2,2)=1,WEEKDAY('Daily Schedule'!$B$2,2)=4,WEEKDAY('Daily Schedule'!$B$2,2)=5,WEEKDAY('Daily Schedule'!$B$2,2)=7),IFERROR(1*'Daily Workforce'!$K177&gt;=3,FALSE()),IFERROR(1*'Daily Workforce'!$K177&gt;=2,FALSE())),IF(AND('Daily Schedule'!$A21&gt;=46,'Daily Schedule'!$A21&lt;=52),'Daily Workforce'!$M177="Y",IFERROR(1*'Daily Workforce'!$P177&gt;=2,FALSE()))))),1,0)</f>
        <v>0</v>
      </c>
      <c r="GG17" s="1" t="n">
        <f aca="false">IF(AND('Daily Workforce'!$N178="Y",'Daily Workforce'!$B178&lt;&gt;"",COUNTIF('Daily Schedule'!$F$5:$F20,'Daily Workforce'!$B178)=0,IF('Daily Schedule'!$A21=45,'Daily Workforce'!$J178="Y",IF(OR('Daily Schedule'!$A21=4,'Daily Schedule'!$A21=8),IF(OR(WEEKDAY('Daily Schedule'!$B$2,2)=1,WEEKDAY('Daily Schedule'!$B$2,2)=4,WEEKDAY('Daily Schedule'!$B$2,2)=5,WEEKDAY('Daily Schedule'!$B$2,2)=7),IFERROR(1*'Daily Workforce'!$K178&gt;=3,FALSE()),IFERROR(1*'Daily Workforce'!$K178&gt;=2,FALSE())),IF(AND('Daily Schedule'!$A21&gt;=46,'Daily Schedule'!$A21&lt;=52),'Daily Workforce'!$M178="Y",IFERROR(1*'Daily Workforce'!$P178&gt;=2,FALSE()))))),1,0)</f>
        <v>0</v>
      </c>
      <c r="GH17" s="1" t="n">
        <f aca="false">IF(AND('Daily Workforce'!$N179="Y",'Daily Workforce'!$B179&lt;&gt;"",COUNTIF('Daily Schedule'!$F$5:$F20,'Daily Workforce'!$B179)=0,IF('Daily Schedule'!$A21=45,'Daily Workforce'!$J179="Y",IF(OR('Daily Schedule'!$A21=4,'Daily Schedule'!$A21=8),IF(OR(WEEKDAY('Daily Schedule'!$B$2,2)=1,WEEKDAY('Daily Schedule'!$B$2,2)=4,WEEKDAY('Daily Schedule'!$B$2,2)=5,WEEKDAY('Daily Schedule'!$B$2,2)=7),IFERROR(1*'Daily Workforce'!$K179&gt;=3,FALSE()),IFERROR(1*'Daily Workforce'!$K179&gt;=2,FALSE())),IF(AND('Daily Schedule'!$A21&gt;=46,'Daily Schedule'!$A21&lt;=52),'Daily Workforce'!$M179="Y",IFERROR(1*'Daily Workforce'!$P179&gt;=2,FALSE()))))),1,0)</f>
        <v>0</v>
      </c>
      <c r="GI17" s="1" t="n">
        <f aca="false">IF(AND('Daily Workforce'!$N180="Y",'Daily Workforce'!$B180&lt;&gt;"",COUNTIF('Daily Schedule'!$F$5:$F20,'Daily Workforce'!$B180)=0,IF('Daily Schedule'!$A21=45,'Daily Workforce'!$J180="Y",IF(OR('Daily Schedule'!$A21=4,'Daily Schedule'!$A21=8),IF(OR(WEEKDAY('Daily Schedule'!$B$2,2)=1,WEEKDAY('Daily Schedule'!$B$2,2)=4,WEEKDAY('Daily Schedule'!$B$2,2)=5,WEEKDAY('Daily Schedule'!$B$2,2)=7),IFERROR(1*'Daily Workforce'!$K180&gt;=3,FALSE()),IFERROR(1*'Daily Workforce'!$K180&gt;=2,FALSE())),IF(AND('Daily Schedule'!$A21&gt;=46,'Daily Schedule'!$A21&lt;=52),'Daily Workforce'!$M180="Y",IFERROR(1*'Daily Workforce'!$P180&gt;=2,FALSE()))))),1,0)</f>
        <v>0</v>
      </c>
      <c r="GJ17" s="1" t="n">
        <f aca="false">IF(AND('Daily Workforce'!$N181="Y",'Daily Workforce'!$B181&lt;&gt;"",COUNTIF('Daily Schedule'!$F$5:$F20,'Daily Workforce'!$B181)=0,IF('Daily Schedule'!$A21=45,'Daily Workforce'!$J181="Y",IF(OR('Daily Schedule'!$A21=4,'Daily Schedule'!$A21=8),IF(OR(WEEKDAY('Daily Schedule'!$B$2,2)=1,WEEKDAY('Daily Schedule'!$B$2,2)=4,WEEKDAY('Daily Schedule'!$B$2,2)=5,WEEKDAY('Daily Schedule'!$B$2,2)=7),IFERROR(1*'Daily Workforce'!$K181&gt;=3,FALSE()),IFERROR(1*'Daily Workforce'!$K181&gt;=2,FALSE())),IF(AND('Daily Schedule'!$A21&gt;=46,'Daily Schedule'!$A21&lt;=52),'Daily Workforce'!$M181="Y",IFERROR(1*'Daily Workforce'!$P181&gt;=2,FALSE()))))),1,0)</f>
        <v>0</v>
      </c>
      <c r="GK17" s="1" t="n">
        <f aca="false">IF(AND('Daily Workforce'!$N182="Y",'Daily Workforce'!$B182&lt;&gt;"",COUNTIF('Daily Schedule'!$F$5:$F20,'Daily Workforce'!$B182)=0,IF('Daily Schedule'!$A21=45,'Daily Workforce'!$J182="Y",IF(OR('Daily Schedule'!$A21=4,'Daily Schedule'!$A21=8),IF(OR(WEEKDAY('Daily Schedule'!$B$2,2)=1,WEEKDAY('Daily Schedule'!$B$2,2)=4,WEEKDAY('Daily Schedule'!$B$2,2)=5,WEEKDAY('Daily Schedule'!$B$2,2)=7),IFERROR(1*'Daily Workforce'!$K182&gt;=3,FALSE()),IFERROR(1*'Daily Workforce'!$K182&gt;=2,FALSE())),IF(AND('Daily Schedule'!$A21&gt;=46,'Daily Schedule'!$A21&lt;=52),'Daily Workforce'!$M182="Y",IFERROR(1*'Daily Workforce'!$P182&gt;=2,FALSE()))))),1,0)</f>
        <v>0</v>
      </c>
      <c r="GL17" s="1" t="n">
        <f aca="false">IF(AND('Daily Workforce'!$N183="Y",'Daily Workforce'!$B183&lt;&gt;"",COUNTIF('Daily Schedule'!$F$5:$F20,'Daily Workforce'!$B183)=0,IF('Daily Schedule'!$A21=45,'Daily Workforce'!$J183="Y",IF(OR('Daily Schedule'!$A21=4,'Daily Schedule'!$A21=8),IF(OR(WEEKDAY('Daily Schedule'!$B$2,2)=1,WEEKDAY('Daily Schedule'!$B$2,2)=4,WEEKDAY('Daily Schedule'!$B$2,2)=5,WEEKDAY('Daily Schedule'!$B$2,2)=7),IFERROR(1*'Daily Workforce'!$K183&gt;=3,FALSE()),IFERROR(1*'Daily Workforce'!$K183&gt;=2,FALSE())),IF(AND('Daily Schedule'!$A21&gt;=46,'Daily Schedule'!$A21&lt;=52),'Daily Workforce'!$M183="Y",IFERROR(1*'Daily Workforce'!$P183&gt;=2,FALSE()))))),1,0)</f>
        <v>0</v>
      </c>
      <c r="GM17" s="1" t="n">
        <f aca="false">IF(AND('Daily Workforce'!$N184="Y",'Daily Workforce'!$B184&lt;&gt;"",COUNTIF('Daily Schedule'!$F$5:$F20,'Daily Workforce'!$B184)=0,IF('Daily Schedule'!$A21=45,'Daily Workforce'!$J184="Y",IF(OR('Daily Schedule'!$A21=4,'Daily Schedule'!$A21=8),IF(OR(WEEKDAY('Daily Schedule'!$B$2,2)=1,WEEKDAY('Daily Schedule'!$B$2,2)=4,WEEKDAY('Daily Schedule'!$B$2,2)=5,WEEKDAY('Daily Schedule'!$B$2,2)=7),IFERROR(1*'Daily Workforce'!$K184&gt;=3,FALSE()),IFERROR(1*'Daily Workforce'!$K184&gt;=2,FALSE())),IF(AND('Daily Schedule'!$A21&gt;=46,'Daily Schedule'!$A21&lt;=52),'Daily Workforce'!$M184="Y",IFERROR(1*'Daily Workforce'!$P184&gt;=2,FALSE()))))),1,0)</f>
        <v>0</v>
      </c>
      <c r="GN17" s="1" t="n">
        <f aca="false">IF(AND('Daily Workforce'!$N185="Y",'Daily Workforce'!$B185&lt;&gt;"",COUNTIF('Daily Schedule'!$F$5:$F20,'Daily Workforce'!$B185)=0,IF('Daily Schedule'!$A21=45,'Daily Workforce'!$J185="Y",IF(OR('Daily Schedule'!$A21=4,'Daily Schedule'!$A21=8),IF(OR(WEEKDAY('Daily Schedule'!$B$2,2)=1,WEEKDAY('Daily Schedule'!$B$2,2)=4,WEEKDAY('Daily Schedule'!$B$2,2)=5,WEEKDAY('Daily Schedule'!$B$2,2)=7),IFERROR(1*'Daily Workforce'!$K185&gt;=3,FALSE()),IFERROR(1*'Daily Workforce'!$K185&gt;=2,FALSE())),IF(AND('Daily Schedule'!$A21&gt;=46,'Daily Schedule'!$A21&lt;=52),'Daily Workforce'!$M185="Y",IFERROR(1*'Daily Workforce'!$P185&gt;=2,FALSE()))))),1,0)</f>
        <v>0</v>
      </c>
      <c r="GO17" s="1" t="n">
        <f aca="false">IF(AND('Daily Workforce'!$N186="Y",'Daily Workforce'!$B186&lt;&gt;"",COUNTIF('Daily Schedule'!$F$5:$F20,'Daily Workforce'!$B186)=0,IF('Daily Schedule'!$A21=45,'Daily Workforce'!$J186="Y",IF(OR('Daily Schedule'!$A21=4,'Daily Schedule'!$A21=8),IF(OR(WEEKDAY('Daily Schedule'!$B$2,2)=1,WEEKDAY('Daily Schedule'!$B$2,2)=4,WEEKDAY('Daily Schedule'!$B$2,2)=5,WEEKDAY('Daily Schedule'!$B$2,2)=7),IFERROR(1*'Daily Workforce'!$K186&gt;=3,FALSE()),IFERROR(1*'Daily Workforce'!$K186&gt;=2,FALSE())),IF(AND('Daily Schedule'!$A21&gt;=46,'Daily Schedule'!$A21&lt;=52),'Daily Workforce'!$M186="Y",IFERROR(1*'Daily Workforce'!$P186&gt;=2,FALSE()))))),1,0)</f>
        <v>0</v>
      </c>
      <c r="GP17" s="1" t="n">
        <f aca="false">IF(AND('Daily Workforce'!$N187="Y",'Daily Workforce'!$B187&lt;&gt;"",COUNTIF('Daily Schedule'!$F$5:$F20,'Daily Workforce'!$B187)=0,IF('Daily Schedule'!$A21=45,'Daily Workforce'!$J187="Y",IF(OR('Daily Schedule'!$A21=4,'Daily Schedule'!$A21=8),IF(OR(WEEKDAY('Daily Schedule'!$B$2,2)=1,WEEKDAY('Daily Schedule'!$B$2,2)=4,WEEKDAY('Daily Schedule'!$B$2,2)=5,WEEKDAY('Daily Schedule'!$B$2,2)=7),IFERROR(1*'Daily Workforce'!$K187&gt;=3,FALSE()),IFERROR(1*'Daily Workforce'!$K187&gt;=2,FALSE())),IF(AND('Daily Schedule'!$A21&gt;=46,'Daily Schedule'!$A21&lt;=52),'Daily Workforce'!$M187="Y",IFERROR(1*'Daily Workforce'!$P187&gt;=2,FALSE()))))),1,0)</f>
        <v>0</v>
      </c>
      <c r="GQ17" s="1" t="n">
        <f aca="false">IF(AND('Daily Workforce'!$N188="Y",'Daily Workforce'!$B188&lt;&gt;"",COUNTIF('Daily Schedule'!$F$5:$F20,'Daily Workforce'!$B188)=0,IF('Daily Schedule'!$A21=45,'Daily Workforce'!$J188="Y",IF(OR('Daily Schedule'!$A21=4,'Daily Schedule'!$A21=8),IF(OR(WEEKDAY('Daily Schedule'!$B$2,2)=1,WEEKDAY('Daily Schedule'!$B$2,2)=4,WEEKDAY('Daily Schedule'!$B$2,2)=5,WEEKDAY('Daily Schedule'!$B$2,2)=7),IFERROR(1*'Daily Workforce'!$K188&gt;=3,FALSE()),IFERROR(1*'Daily Workforce'!$K188&gt;=2,FALSE())),IF(AND('Daily Schedule'!$A21&gt;=46,'Daily Schedule'!$A21&lt;=52),'Daily Workforce'!$M188="Y",IFERROR(1*'Daily Workforce'!$P188&gt;=2,FALSE()))))),1,0)</f>
        <v>0</v>
      </c>
      <c r="GR17" s="1" t="n">
        <f aca="false">IF(AND('Daily Workforce'!$N189="Y",'Daily Workforce'!$B189&lt;&gt;"",COUNTIF('Daily Schedule'!$F$5:$F20,'Daily Workforce'!$B189)=0,IF('Daily Schedule'!$A21=45,'Daily Workforce'!$J189="Y",IF(OR('Daily Schedule'!$A21=4,'Daily Schedule'!$A21=8),IF(OR(WEEKDAY('Daily Schedule'!$B$2,2)=1,WEEKDAY('Daily Schedule'!$B$2,2)=4,WEEKDAY('Daily Schedule'!$B$2,2)=5,WEEKDAY('Daily Schedule'!$B$2,2)=7),IFERROR(1*'Daily Workforce'!$K189&gt;=3,FALSE()),IFERROR(1*'Daily Workforce'!$K189&gt;=2,FALSE())),IF(AND('Daily Schedule'!$A21&gt;=46,'Daily Schedule'!$A21&lt;=52),'Daily Workforce'!$M189="Y",IFERROR(1*'Daily Workforce'!$P189&gt;=2,FALSE()))))),1,0)</f>
        <v>0</v>
      </c>
      <c r="GS17" s="1" t="n">
        <f aca="false">IF(AND('Daily Workforce'!$N190="Y",'Daily Workforce'!$B190&lt;&gt;"",COUNTIF('Daily Schedule'!$F$5:$F20,'Daily Workforce'!$B190)=0,IF('Daily Schedule'!$A21=45,'Daily Workforce'!$J190="Y",IF(OR('Daily Schedule'!$A21=4,'Daily Schedule'!$A21=8),IF(OR(WEEKDAY('Daily Schedule'!$B$2,2)=1,WEEKDAY('Daily Schedule'!$B$2,2)=4,WEEKDAY('Daily Schedule'!$B$2,2)=5,WEEKDAY('Daily Schedule'!$B$2,2)=7),IFERROR(1*'Daily Workforce'!$K190&gt;=3,FALSE()),IFERROR(1*'Daily Workforce'!$K190&gt;=2,FALSE())),IF(AND('Daily Schedule'!$A21&gt;=46,'Daily Schedule'!$A21&lt;=52),'Daily Workforce'!$M190="Y",IFERROR(1*'Daily Workforce'!$P190&gt;=2,FALSE()))))),1,0)</f>
        <v>0</v>
      </c>
      <c r="GT17" s="1" t="n">
        <f aca="false">IF(AND('Daily Workforce'!$N191="Y",'Daily Workforce'!$B191&lt;&gt;"",COUNTIF('Daily Schedule'!$F$5:$F20,'Daily Workforce'!$B191)=0,IF('Daily Schedule'!$A21=45,'Daily Workforce'!$J191="Y",IF(OR('Daily Schedule'!$A21=4,'Daily Schedule'!$A21=8),IF(OR(WEEKDAY('Daily Schedule'!$B$2,2)=1,WEEKDAY('Daily Schedule'!$B$2,2)=4,WEEKDAY('Daily Schedule'!$B$2,2)=5,WEEKDAY('Daily Schedule'!$B$2,2)=7),IFERROR(1*'Daily Workforce'!$K191&gt;=3,FALSE()),IFERROR(1*'Daily Workforce'!$K191&gt;=2,FALSE())),IF(AND('Daily Schedule'!$A21&gt;=46,'Daily Schedule'!$A21&lt;=52),'Daily Workforce'!$M191="Y",IFERROR(1*'Daily Workforce'!$P191&gt;=2,FALSE()))))),1,0)</f>
        <v>0</v>
      </c>
      <c r="GU17" s="1" t="n">
        <f aca="false">IF(AND('Daily Workforce'!$N192="Y",'Daily Workforce'!$B192&lt;&gt;"",COUNTIF('Daily Schedule'!$F$5:$F20,'Daily Workforce'!$B192)=0,IF('Daily Schedule'!$A21=45,'Daily Workforce'!$J192="Y",IF(OR('Daily Schedule'!$A21=4,'Daily Schedule'!$A21=8),IF(OR(WEEKDAY('Daily Schedule'!$B$2,2)=1,WEEKDAY('Daily Schedule'!$B$2,2)=4,WEEKDAY('Daily Schedule'!$B$2,2)=5,WEEKDAY('Daily Schedule'!$B$2,2)=7),IFERROR(1*'Daily Workforce'!$K192&gt;=3,FALSE()),IFERROR(1*'Daily Workforce'!$K192&gt;=2,FALSE())),IF(AND('Daily Schedule'!$A21&gt;=46,'Daily Schedule'!$A21&lt;=52),'Daily Workforce'!$M192="Y",IFERROR(1*'Daily Workforce'!$P192&gt;=2,FALSE()))))),1,0)</f>
        <v>0</v>
      </c>
      <c r="GV17" s="1" t="n">
        <f aca="false">IF(AND('Daily Workforce'!$N193="Y",'Daily Workforce'!$B193&lt;&gt;"",COUNTIF('Daily Schedule'!$F$5:$F20,'Daily Workforce'!$B193)=0,IF('Daily Schedule'!$A21=45,'Daily Workforce'!$J193="Y",IF(OR('Daily Schedule'!$A21=4,'Daily Schedule'!$A21=8),IF(OR(WEEKDAY('Daily Schedule'!$B$2,2)=1,WEEKDAY('Daily Schedule'!$B$2,2)=4,WEEKDAY('Daily Schedule'!$B$2,2)=5,WEEKDAY('Daily Schedule'!$B$2,2)=7),IFERROR(1*'Daily Workforce'!$K193&gt;=3,FALSE()),IFERROR(1*'Daily Workforce'!$K193&gt;=2,FALSE())),IF(AND('Daily Schedule'!$A21&gt;=46,'Daily Schedule'!$A21&lt;=52),'Daily Workforce'!$M193="Y",IFERROR(1*'Daily Workforce'!$P193&gt;=2,FALSE()))))),1,0)</f>
        <v>0</v>
      </c>
      <c r="GW17" s="1" t="n">
        <f aca="false">IF(AND('Daily Workforce'!$N194="Y",'Daily Workforce'!$B194&lt;&gt;"",COUNTIF('Daily Schedule'!$F$5:$F20,'Daily Workforce'!$B194)=0,IF('Daily Schedule'!$A21=45,'Daily Workforce'!$J194="Y",IF(OR('Daily Schedule'!$A21=4,'Daily Schedule'!$A21=8),IF(OR(WEEKDAY('Daily Schedule'!$B$2,2)=1,WEEKDAY('Daily Schedule'!$B$2,2)=4,WEEKDAY('Daily Schedule'!$B$2,2)=5,WEEKDAY('Daily Schedule'!$B$2,2)=7),IFERROR(1*'Daily Workforce'!$K194&gt;=3,FALSE()),IFERROR(1*'Daily Workforce'!$K194&gt;=2,FALSE())),IF(AND('Daily Schedule'!$A21&gt;=46,'Daily Schedule'!$A21&lt;=52),'Daily Workforce'!$M194="Y",IFERROR(1*'Daily Workforce'!$P194&gt;=2,FALSE()))))),1,0)</f>
        <v>0</v>
      </c>
      <c r="GX17" s="1" t="n">
        <f aca="false">IF(AND('Daily Workforce'!$N195="Y",'Daily Workforce'!$B195&lt;&gt;"",COUNTIF('Daily Schedule'!$F$5:$F20,'Daily Workforce'!$B195)=0,IF('Daily Schedule'!$A21=45,'Daily Workforce'!$J195="Y",IF(OR('Daily Schedule'!$A21=4,'Daily Schedule'!$A21=8),IF(OR(WEEKDAY('Daily Schedule'!$B$2,2)=1,WEEKDAY('Daily Schedule'!$B$2,2)=4,WEEKDAY('Daily Schedule'!$B$2,2)=5,WEEKDAY('Daily Schedule'!$B$2,2)=7),IFERROR(1*'Daily Workforce'!$K195&gt;=3,FALSE()),IFERROR(1*'Daily Workforce'!$K195&gt;=2,FALSE())),IF(AND('Daily Schedule'!$A21&gt;=46,'Daily Schedule'!$A21&lt;=52),'Daily Workforce'!$M195="Y",IFERROR(1*'Daily Workforce'!$P195&gt;=2,FALSE()))))),1,0)</f>
        <v>0</v>
      </c>
      <c r="GY17" s="1" t="n">
        <f aca="false">IF(AND('Daily Workforce'!$N196="Y",'Daily Workforce'!$B196&lt;&gt;"",COUNTIF('Daily Schedule'!$F$5:$F20,'Daily Workforce'!$B196)=0,IF('Daily Schedule'!$A21=45,'Daily Workforce'!$J196="Y",IF(OR('Daily Schedule'!$A21=4,'Daily Schedule'!$A21=8),IF(OR(WEEKDAY('Daily Schedule'!$B$2,2)=1,WEEKDAY('Daily Schedule'!$B$2,2)=4,WEEKDAY('Daily Schedule'!$B$2,2)=5,WEEKDAY('Daily Schedule'!$B$2,2)=7),IFERROR(1*'Daily Workforce'!$K196&gt;=3,FALSE()),IFERROR(1*'Daily Workforce'!$K196&gt;=2,FALSE())),IF(AND('Daily Schedule'!$A21&gt;=46,'Daily Schedule'!$A21&lt;=52),'Daily Workforce'!$M196="Y",IFERROR(1*'Daily Workforce'!$P196&gt;=2,FALSE()))))),1,0)</f>
        <v>0</v>
      </c>
      <c r="GZ17" s="1" t="n">
        <f aca="false">IF(AND('Daily Workforce'!$N197="Y",'Daily Workforce'!$B197&lt;&gt;"",COUNTIF('Daily Schedule'!$F$5:$F20,'Daily Workforce'!$B197)=0,IF('Daily Schedule'!$A21=45,'Daily Workforce'!$J197="Y",IF(OR('Daily Schedule'!$A21=4,'Daily Schedule'!$A21=8),IF(OR(WEEKDAY('Daily Schedule'!$B$2,2)=1,WEEKDAY('Daily Schedule'!$B$2,2)=4,WEEKDAY('Daily Schedule'!$B$2,2)=5,WEEKDAY('Daily Schedule'!$B$2,2)=7),IFERROR(1*'Daily Workforce'!$K197&gt;=3,FALSE()),IFERROR(1*'Daily Workforce'!$K197&gt;=2,FALSE())),IF(AND('Daily Schedule'!$A21&gt;=46,'Daily Schedule'!$A21&lt;=52),'Daily Workforce'!$M197="Y",IFERROR(1*'Daily Workforce'!$P197&gt;=2,FALSE()))))),1,0)</f>
        <v>0</v>
      </c>
      <c r="HA17" s="1" t="n">
        <f aca="false">IF(AND('Daily Workforce'!$N198="Y",'Daily Workforce'!$B198&lt;&gt;"",COUNTIF('Daily Schedule'!$F$5:$F20,'Daily Workforce'!$B198)=0,IF('Daily Schedule'!$A21=45,'Daily Workforce'!$J198="Y",IF(OR('Daily Schedule'!$A21=4,'Daily Schedule'!$A21=8),IF(OR(WEEKDAY('Daily Schedule'!$B$2,2)=1,WEEKDAY('Daily Schedule'!$B$2,2)=4,WEEKDAY('Daily Schedule'!$B$2,2)=5,WEEKDAY('Daily Schedule'!$B$2,2)=7),IFERROR(1*'Daily Workforce'!$K198&gt;=3,FALSE()),IFERROR(1*'Daily Workforce'!$K198&gt;=2,FALSE())),IF(AND('Daily Schedule'!$A21&gt;=46,'Daily Schedule'!$A21&lt;=52),'Daily Workforce'!$M198="Y",IFERROR(1*'Daily Workforce'!$P198&gt;=2,FALSE()))))),1,0)</f>
        <v>0</v>
      </c>
      <c r="HB17" s="1" t="n">
        <f aca="false">IF(AND('Daily Workforce'!$N199="Y",'Daily Workforce'!$B199&lt;&gt;"",COUNTIF('Daily Schedule'!$F$5:$F20,'Daily Workforce'!$B199)=0,IF('Daily Schedule'!$A21=45,'Daily Workforce'!$J199="Y",IF(OR('Daily Schedule'!$A21=4,'Daily Schedule'!$A21=8),IF(OR(WEEKDAY('Daily Schedule'!$B$2,2)=1,WEEKDAY('Daily Schedule'!$B$2,2)=4,WEEKDAY('Daily Schedule'!$B$2,2)=5,WEEKDAY('Daily Schedule'!$B$2,2)=7),IFERROR(1*'Daily Workforce'!$K199&gt;=3,FALSE()),IFERROR(1*'Daily Workforce'!$K199&gt;=2,FALSE())),IF(AND('Daily Schedule'!$A21&gt;=46,'Daily Schedule'!$A21&lt;=52),'Daily Workforce'!$M199="Y",IFERROR(1*'Daily Workforce'!$P199&gt;=2,FALSE()))))),1,0)</f>
        <v>0</v>
      </c>
      <c r="HC17" s="1" t="n">
        <f aca="false">IF(AND('Daily Workforce'!$N200="Y",'Daily Workforce'!$B200&lt;&gt;"",COUNTIF('Daily Schedule'!$F$5:$F20,'Daily Workforce'!$B200)=0,IF('Daily Schedule'!$A21=45,'Daily Workforce'!$J200="Y",IF(OR('Daily Schedule'!$A21=4,'Daily Schedule'!$A21=8),IF(OR(WEEKDAY('Daily Schedule'!$B$2,2)=1,WEEKDAY('Daily Schedule'!$B$2,2)=4,WEEKDAY('Daily Schedule'!$B$2,2)=5,WEEKDAY('Daily Schedule'!$B$2,2)=7),IFERROR(1*'Daily Workforce'!$K200&gt;=3,FALSE()),IFERROR(1*'Daily Workforce'!$K200&gt;=2,FALSE())),IF(AND('Daily Schedule'!$A21&gt;=46,'Daily Schedule'!$A21&lt;=52),'Daily Workforce'!$M200="Y",IFERROR(1*'Daily Workforce'!$P200&gt;=2,FALSE()))))),1,0)</f>
        <v>0</v>
      </c>
      <c r="HD17" s="1" t="n">
        <f aca="false">IF(AND('Daily Workforce'!$N201="Y",'Daily Workforce'!$B201&lt;&gt;"",COUNTIF('Daily Schedule'!$F$5:$F20,'Daily Workforce'!$B201)=0,IF('Daily Schedule'!$A21=45,'Daily Workforce'!$J201="Y",IF(OR('Daily Schedule'!$A21=4,'Daily Schedule'!$A21=8),IF(OR(WEEKDAY('Daily Schedule'!$B$2,2)=1,WEEKDAY('Daily Schedule'!$B$2,2)=4,WEEKDAY('Daily Schedule'!$B$2,2)=5,WEEKDAY('Daily Schedule'!$B$2,2)=7),IFERROR(1*'Daily Workforce'!$K201&gt;=3,FALSE()),IFERROR(1*'Daily Workforce'!$K201&gt;=2,FALSE())),IF(AND('Daily Schedule'!$A21&gt;=46,'Daily Schedule'!$A21&lt;=52),'Daily Workforce'!$M201="Y",IFERROR(1*'Daily Workforce'!$P201&gt;=2,FALSE()))))),1,0)</f>
        <v>0</v>
      </c>
      <c r="HE17" s="1" t="n">
        <f aca="false">IF(AND('Daily Workforce'!$N202="Y",'Daily Workforce'!$B202&lt;&gt;"",COUNTIF('Daily Schedule'!$F$5:$F20,'Daily Workforce'!$B202)=0,IF('Daily Schedule'!$A21=45,'Daily Workforce'!$J202="Y",IF(OR('Daily Schedule'!$A21=4,'Daily Schedule'!$A21=8),IF(OR(WEEKDAY('Daily Schedule'!$B$2,2)=1,WEEKDAY('Daily Schedule'!$B$2,2)=4,WEEKDAY('Daily Schedule'!$B$2,2)=5,WEEKDAY('Daily Schedule'!$B$2,2)=7),IFERROR(1*'Daily Workforce'!$K202&gt;=3,FALSE()),IFERROR(1*'Daily Workforce'!$K202&gt;=2,FALSE())),IF(AND('Daily Schedule'!$A21&gt;=46,'Daily Schedule'!$A21&lt;=52),'Daily Workforce'!$M202="Y",IFERROR(1*'Daily Workforce'!$P202&gt;=2,FALSE()))))),1,0)</f>
        <v>0</v>
      </c>
      <c r="HF17" s="1" t="n">
        <f aca="false">IF(AND('Daily Workforce'!$N203="Y",'Daily Workforce'!$B203&lt;&gt;"",COUNTIF('Daily Schedule'!$F$5:$F20,'Daily Workforce'!$B203)=0,IF('Daily Schedule'!$A21=45,'Daily Workforce'!$J203="Y",IF(OR('Daily Schedule'!$A21=4,'Daily Schedule'!$A21=8),IF(OR(WEEKDAY('Daily Schedule'!$B$2,2)=1,WEEKDAY('Daily Schedule'!$B$2,2)=4,WEEKDAY('Daily Schedule'!$B$2,2)=5,WEEKDAY('Daily Schedule'!$B$2,2)=7),IFERROR(1*'Daily Workforce'!$K203&gt;=3,FALSE()),IFERROR(1*'Daily Workforce'!$K203&gt;=2,FALSE())),IF(AND('Daily Schedule'!$A21&gt;=46,'Daily Schedule'!$A21&lt;=52),'Daily Workforce'!$M203="Y",IFERROR(1*'Daily Workforce'!$P203&gt;=2,FALSE()))))),1,0)</f>
        <v>0</v>
      </c>
      <c r="HG17" s="1" t="n">
        <f aca="false">IF(AND('Daily Workforce'!$N204="Y",'Daily Workforce'!$B204&lt;&gt;"",COUNTIF('Daily Schedule'!$F$5:$F20,'Daily Workforce'!$B204)=0,IF('Daily Schedule'!$A21=45,'Daily Workforce'!$J204="Y",IF(OR('Daily Schedule'!$A21=4,'Daily Schedule'!$A21=8),IF(OR(WEEKDAY('Daily Schedule'!$B$2,2)=1,WEEKDAY('Daily Schedule'!$B$2,2)=4,WEEKDAY('Daily Schedule'!$B$2,2)=5,WEEKDAY('Daily Schedule'!$B$2,2)=7),IFERROR(1*'Daily Workforce'!$K204&gt;=3,FALSE()),IFERROR(1*'Daily Workforce'!$K204&gt;=2,FALSE())),IF(AND('Daily Schedule'!$A21&gt;=46,'Daily Schedule'!$A21&lt;=52),'Daily Workforce'!$M204="Y",IFERROR(1*'Daily Workforce'!$P204&gt;=2,FALSE()))))),1,0)</f>
        <v>0</v>
      </c>
      <c r="HH17" s="1" t="n">
        <f aca="false">IF(AND('Daily Workforce'!$N205="Y",'Daily Workforce'!$B205&lt;&gt;"",COUNTIF('Daily Schedule'!$F$5:$F20,'Daily Workforce'!$B205)=0,IF('Daily Schedule'!$A21=45,'Daily Workforce'!$J205="Y",IF(OR('Daily Schedule'!$A21=4,'Daily Schedule'!$A21=8),IF(OR(WEEKDAY('Daily Schedule'!$B$2,2)=1,WEEKDAY('Daily Schedule'!$B$2,2)=4,WEEKDAY('Daily Schedule'!$B$2,2)=5,WEEKDAY('Daily Schedule'!$B$2,2)=7),IFERROR(1*'Daily Workforce'!$K205&gt;=3,FALSE()),IFERROR(1*'Daily Workforce'!$K205&gt;=2,FALSE())),IF(AND('Daily Schedule'!$A21&gt;=46,'Daily Schedule'!$A21&lt;=52),'Daily Workforce'!$M205="Y",IFERROR(1*'Daily Workforce'!$P205&gt;=2,FALSE()))))),1,0)</f>
        <v>0</v>
      </c>
    </row>
    <row r="18" customFormat="false" ht="15" hidden="false" customHeight="true" outlineLevel="0" collapsed="false">
      <c r="L18" s="1" t="s">
        <v>470</v>
      </c>
      <c r="O18" s="1" t="n">
        <f aca="false">IF(AND('Employee Master'!$G18="Y",ISERROR(SEARCH(TEXT('Daily Workforce'!$B$2,"ddd"),'Employee Master'!$D18)),IF('Daily Workforce'!$E$2="",TRUE(),'Employee Master'!$I18='Daily Workforce'!$E$2)),'Employee Master'!$K18*1000+ROW()-1,"")</f>
        <v>3017</v>
      </c>
      <c r="P18" s="1" t="n">
        <f aca="false">IF($O18="","",COUNTIF($O$2:$O$159,"&lt;="&amp;$O18))</f>
        <v>62</v>
      </c>
      <c r="Q18" s="1" t="n">
        <f aca="false">IF(AND('Daily Workforce'!$N6="Y",'Daily Workforce'!$B6&lt;&gt;"",COUNTIF('Daily Schedule'!$F$5:$F21,'Daily Workforce'!$B6)=0,IF('Daily Schedule'!$A22=45,'Daily Workforce'!$J6="Y",IF(OR('Daily Schedule'!$A22=4,'Daily Schedule'!$A22=8),IF(OR(WEEKDAY('Daily Schedule'!$B$2,2)=1,WEEKDAY('Daily Schedule'!$B$2,2)=4,WEEKDAY('Daily Schedule'!$B$2,2)=5,WEEKDAY('Daily Schedule'!$B$2,2)=7),IFERROR(1*'Daily Workforce'!$K6&gt;=3,FALSE()),IFERROR(1*'Daily Workforce'!$K6&gt;=2,FALSE())),IF(AND('Daily Schedule'!$A22&gt;=46,'Daily Schedule'!$A22&lt;=52),'Daily Workforce'!$M6="Y",IFERROR(1*'Daily Workforce'!$P6&gt;=2,FALSE()))))),1,0)</f>
        <v>0</v>
      </c>
      <c r="R18" s="1" t="n">
        <f aca="false">IF(AND('Daily Workforce'!$N7="Y",'Daily Workforce'!$B7&lt;&gt;"",COUNTIF('Daily Schedule'!$F$5:$F21,'Daily Workforce'!$B7)=0,IF('Daily Schedule'!$A22=45,'Daily Workforce'!$J7="Y",IF(OR('Daily Schedule'!$A22=4,'Daily Schedule'!$A22=8),IF(OR(WEEKDAY('Daily Schedule'!$B$2,2)=1,WEEKDAY('Daily Schedule'!$B$2,2)=4,WEEKDAY('Daily Schedule'!$B$2,2)=5,WEEKDAY('Daily Schedule'!$B$2,2)=7),IFERROR(1*'Daily Workforce'!$K7&gt;=3,FALSE()),IFERROR(1*'Daily Workforce'!$K7&gt;=2,FALSE())),IF(AND('Daily Schedule'!$A22&gt;=46,'Daily Schedule'!$A22&lt;=52),'Daily Workforce'!$M7="Y",IFERROR(1*'Daily Workforce'!$P7&gt;=2,FALSE()))))),1,0)</f>
        <v>0</v>
      </c>
      <c r="S18" s="1" t="n">
        <f aca="false">IF(AND('Daily Workforce'!$N8="Y",'Daily Workforce'!$B8&lt;&gt;"",COUNTIF('Daily Schedule'!$F$5:$F21,'Daily Workforce'!$B8)=0,IF('Daily Schedule'!$A22=45,'Daily Workforce'!$J8="Y",IF(OR('Daily Schedule'!$A22=4,'Daily Schedule'!$A22=8),IF(OR(WEEKDAY('Daily Schedule'!$B$2,2)=1,WEEKDAY('Daily Schedule'!$B$2,2)=4,WEEKDAY('Daily Schedule'!$B$2,2)=5,WEEKDAY('Daily Schedule'!$B$2,2)=7),IFERROR(1*'Daily Workforce'!$K8&gt;=3,FALSE()),IFERROR(1*'Daily Workforce'!$K8&gt;=2,FALSE())),IF(AND('Daily Schedule'!$A22&gt;=46,'Daily Schedule'!$A22&lt;=52),'Daily Workforce'!$M8="Y",IFERROR(1*'Daily Workforce'!$P8&gt;=2,FALSE()))))),1,0)</f>
        <v>0</v>
      </c>
      <c r="T18" s="1" t="n">
        <f aca="false">IF(AND('Daily Workforce'!$N9="Y",'Daily Workforce'!$B9&lt;&gt;"",COUNTIF('Daily Schedule'!$F$5:$F21,'Daily Workforce'!$B9)=0,IF('Daily Schedule'!$A22=45,'Daily Workforce'!$J9="Y",IF(OR('Daily Schedule'!$A22=4,'Daily Schedule'!$A22=8),IF(OR(WEEKDAY('Daily Schedule'!$B$2,2)=1,WEEKDAY('Daily Schedule'!$B$2,2)=4,WEEKDAY('Daily Schedule'!$B$2,2)=5,WEEKDAY('Daily Schedule'!$B$2,2)=7),IFERROR(1*'Daily Workforce'!$K9&gt;=3,FALSE()),IFERROR(1*'Daily Workforce'!$K9&gt;=2,FALSE())),IF(AND('Daily Schedule'!$A22&gt;=46,'Daily Schedule'!$A22&lt;=52),'Daily Workforce'!$M9="Y",IFERROR(1*'Daily Workforce'!$P9&gt;=2,FALSE()))))),1,0)</f>
        <v>0</v>
      </c>
      <c r="U18" s="1" t="n">
        <f aca="false">IF(AND('Daily Workforce'!$N10="Y",'Daily Workforce'!$B10&lt;&gt;"",COUNTIF('Daily Schedule'!$F$5:$F21,'Daily Workforce'!$B10)=0,IF('Daily Schedule'!$A22=45,'Daily Workforce'!$J10="Y",IF(OR('Daily Schedule'!$A22=4,'Daily Schedule'!$A22=8),IF(OR(WEEKDAY('Daily Schedule'!$B$2,2)=1,WEEKDAY('Daily Schedule'!$B$2,2)=4,WEEKDAY('Daily Schedule'!$B$2,2)=5,WEEKDAY('Daily Schedule'!$B$2,2)=7),IFERROR(1*'Daily Workforce'!$K10&gt;=3,FALSE()),IFERROR(1*'Daily Workforce'!$K10&gt;=2,FALSE())),IF(AND('Daily Schedule'!$A22&gt;=46,'Daily Schedule'!$A22&lt;=52),'Daily Workforce'!$M10="Y",IFERROR(1*'Daily Workforce'!$P10&gt;=2,FALSE()))))),1,0)</f>
        <v>0</v>
      </c>
      <c r="V18" s="1" t="n">
        <f aca="false">IF(AND('Daily Workforce'!$N11="Y",'Daily Workforce'!$B11&lt;&gt;"",COUNTIF('Daily Schedule'!$F$5:$F21,'Daily Workforce'!$B11)=0,IF('Daily Schedule'!$A22=45,'Daily Workforce'!$J11="Y",IF(OR('Daily Schedule'!$A22=4,'Daily Schedule'!$A22=8),IF(OR(WEEKDAY('Daily Schedule'!$B$2,2)=1,WEEKDAY('Daily Schedule'!$B$2,2)=4,WEEKDAY('Daily Schedule'!$B$2,2)=5,WEEKDAY('Daily Schedule'!$B$2,2)=7),IFERROR(1*'Daily Workforce'!$K11&gt;=3,FALSE()),IFERROR(1*'Daily Workforce'!$K11&gt;=2,FALSE())),IF(AND('Daily Schedule'!$A22&gt;=46,'Daily Schedule'!$A22&lt;=52),'Daily Workforce'!$M11="Y",IFERROR(1*'Daily Workforce'!$P11&gt;=2,FALSE()))))),1,0)</f>
        <v>0</v>
      </c>
      <c r="W18" s="1" t="n">
        <f aca="false">IF(AND('Daily Workforce'!$N12="Y",'Daily Workforce'!$B12&lt;&gt;"",COUNTIF('Daily Schedule'!$F$5:$F21,'Daily Workforce'!$B12)=0,IF('Daily Schedule'!$A22=45,'Daily Workforce'!$J12="Y",IF(OR('Daily Schedule'!$A22=4,'Daily Schedule'!$A22=8),IF(OR(WEEKDAY('Daily Schedule'!$B$2,2)=1,WEEKDAY('Daily Schedule'!$B$2,2)=4,WEEKDAY('Daily Schedule'!$B$2,2)=5,WEEKDAY('Daily Schedule'!$B$2,2)=7),IFERROR(1*'Daily Workforce'!$K12&gt;=3,FALSE()),IFERROR(1*'Daily Workforce'!$K12&gt;=2,FALSE())),IF(AND('Daily Schedule'!$A22&gt;=46,'Daily Schedule'!$A22&lt;=52),'Daily Workforce'!$M12="Y",IFERROR(1*'Daily Workforce'!$P12&gt;=2,FALSE()))))),1,0)</f>
        <v>0</v>
      </c>
      <c r="X18" s="1" t="n">
        <f aca="false">IF(AND('Daily Workforce'!$N13="Y",'Daily Workforce'!$B13&lt;&gt;"",COUNTIF('Daily Schedule'!$F$5:$F21,'Daily Workforce'!$B13)=0,IF('Daily Schedule'!$A22=45,'Daily Workforce'!$J13="Y",IF(OR('Daily Schedule'!$A22=4,'Daily Schedule'!$A22=8),IF(OR(WEEKDAY('Daily Schedule'!$B$2,2)=1,WEEKDAY('Daily Schedule'!$B$2,2)=4,WEEKDAY('Daily Schedule'!$B$2,2)=5,WEEKDAY('Daily Schedule'!$B$2,2)=7),IFERROR(1*'Daily Workforce'!$K13&gt;=3,FALSE()),IFERROR(1*'Daily Workforce'!$K13&gt;=2,FALSE())),IF(AND('Daily Schedule'!$A22&gt;=46,'Daily Schedule'!$A22&lt;=52),'Daily Workforce'!$M13="Y",IFERROR(1*'Daily Workforce'!$P13&gt;=2,FALSE()))))),1,0)</f>
        <v>0</v>
      </c>
      <c r="Y18" s="1" t="n">
        <f aca="false">IF(AND('Daily Workforce'!$N14="Y",'Daily Workforce'!$B14&lt;&gt;"",COUNTIF('Daily Schedule'!$F$5:$F21,'Daily Workforce'!$B14)=0,IF('Daily Schedule'!$A22=45,'Daily Workforce'!$J14="Y",IF(OR('Daily Schedule'!$A22=4,'Daily Schedule'!$A22=8),IF(OR(WEEKDAY('Daily Schedule'!$B$2,2)=1,WEEKDAY('Daily Schedule'!$B$2,2)=4,WEEKDAY('Daily Schedule'!$B$2,2)=5,WEEKDAY('Daily Schedule'!$B$2,2)=7),IFERROR(1*'Daily Workforce'!$K14&gt;=3,FALSE()),IFERROR(1*'Daily Workforce'!$K14&gt;=2,FALSE())),IF(AND('Daily Schedule'!$A22&gt;=46,'Daily Schedule'!$A22&lt;=52),'Daily Workforce'!$M14="Y",IFERROR(1*'Daily Workforce'!$P14&gt;=2,FALSE()))))),1,0)</f>
        <v>0</v>
      </c>
      <c r="Z18" s="1" t="n">
        <f aca="false">IF(AND('Daily Workforce'!$N15="Y",'Daily Workforce'!$B15&lt;&gt;"",COUNTIF('Daily Schedule'!$F$5:$F21,'Daily Workforce'!$B15)=0,IF('Daily Schedule'!$A22=45,'Daily Workforce'!$J15="Y",IF(OR('Daily Schedule'!$A22=4,'Daily Schedule'!$A22=8),IF(OR(WEEKDAY('Daily Schedule'!$B$2,2)=1,WEEKDAY('Daily Schedule'!$B$2,2)=4,WEEKDAY('Daily Schedule'!$B$2,2)=5,WEEKDAY('Daily Schedule'!$B$2,2)=7),IFERROR(1*'Daily Workforce'!$K15&gt;=3,FALSE()),IFERROR(1*'Daily Workforce'!$K15&gt;=2,FALSE())),IF(AND('Daily Schedule'!$A22&gt;=46,'Daily Schedule'!$A22&lt;=52),'Daily Workforce'!$M15="Y",IFERROR(1*'Daily Workforce'!$P15&gt;=2,FALSE()))))),1,0)</f>
        <v>0</v>
      </c>
      <c r="AA18" s="1" t="n">
        <f aca="false">IF(AND('Daily Workforce'!$N16="Y",'Daily Workforce'!$B16&lt;&gt;"",COUNTIF('Daily Schedule'!$F$5:$F21,'Daily Workforce'!$B16)=0,IF('Daily Schedule'!$A22=45,'Daily Workforce'!$J16="Y",IF(OR('Daily Schedule'!$A22=4,'Daily Schedule'!$A22=8),IF(OR(WEEKDAY('Daily Schedule'!$B$2,2)=1,WEEKDAY('Daily Schedule'!$B$2,2)=4,WEEKDAY('Daily Schedule'!$B$2,2)=5,WEEKDAY('Daily Schedule'!$B$2,2)=7),IFERROR(1*'Daily Workforce'!$K16&gt;=3,FALSE()),IFERROR(1*'Daily Workforce'!$K16&gt;=2,FALSE())),IF(AND('Daily Schedule'!$A22&gt;=46,'Daily Schedule'!$A22&lt;=52),'Daily Workforce'!$M16="Y",IFERROR(1*'Daily Workforce'!$P16&gt;=2,FALSE()))))),1,0)</f>
        <v>0</v>
      </c>
      <c r="AB18" s="1" t="n">
        <f aca="false">IF(AND('Daily Workforce'!$N17="Y",'Daily Workforce'!$B17&lt;&gt;"",COUNTIF('Daily Schedule'!$F$5:$F21,'Daily Workforce'!$B17)=0,IF('Daily Schedule'!$A22=45,'Daily Workforce'!$J17="Y",IF(OR('Daily Schedule'!$A22=4,'Daily Schedule'!$A22=8),IF(OR(WEEKDAY('Daily Schedule'!$B$2,2)=1,WEEKDAY('Daily Schedule'!$B$2,2)=4,WEEKDAY('Daily Schedule'!$B$2,2)=5,WEEKDAY('Daily Schedule'!$B$2,2)=7),IFERROR(1*'Daily Workforce'!$K17&gt;=3,FALSE()),IFERROR(1*'Daily Workforce'!$K17&gt;=2,FALSE())),IF(AND('Daily Schedule'!$A22&gt;=46,'Daily Schedule'!$A22&lt;=52),'Daily Workforce'!$M17="Y",IFERROR(1*'Daily Workforce'!$P17&gt;=2,FALSE()))))),1,0)</f>
        <v>0</v>
      </c>
      <c r="AC18" s="1" t="n">
        <f aca="false">IF(AND('Daily Workforce'!$N18="Y",'Daily Workforce'!$B18&lt;&gt;"",COUNTIF('Daily Schedule'!$F$5:$F21,'Daily Workforce'!$B18)=0,IF('Daily Schedule'!$A22=45,'Daily Workforce'!$J18="Y",IF(OR('Daily Schedule'!$A22=4,'Daily Schedule'!$A22=8),IF(OR(WEEKDAY('Daily Schedule'!$B$2,2)=1,WEEKDAY('Daily Schedule'!$B$2,2)=4,WEEKDAY('Daily Schedule'!$B$2,2)=5,WEEKDAY('Daily Schedule'!$B$2,2)=7),IFERROR(1*'Daily Workforce'!$K18&gt;=3,FALSE()),IFERROR(1*'Daily Workforce'!$K18&gt;=2,FALSE())),IF(AND('Daily Schedule'!$A22&gt;=46,'Daily Schedule'!$A22&lt;=52),'Daily Workforce'!$M18="Y",IFERROR(1*'Daily Workforce'!$P18&gt;=2,FALSE()))))),1,0)</f>
        <v>0</v>
      </c>
      <c r="AD18" s="1" t="n">
        <f aca="false">IF(AND('Daily Workforce'!$N19="Y",'Daily Workforce'!$B19&lt;&gt;"",COUNTIF('Daily Schedule'!$F$5:$F21,'Daily Workforce'!$B19)=0,IF('Daily Schedule'!$A22=45,'Daily Workforce'!$J19="Y",IF(OR('Daily Schedule'!$A22=4,'Daily Schedule'!$A22=8),IF(OR(WEEKDAY('Daily Schedule'!$B$2,2)=1,WEEKDAY('Daily Schedule'!$B$2,2)=4,WEEKDAY('Daily Schedule'!$B$2,2)=5,WEEKDAY('Daily Schedule'!$B$2,2)=7),IFERROR(1*'Daily Workforce'!$K19&gt;=3,FALSE()),IFERROR(1*'Daily Workforce'!$K19&gt;=2,FALSE())),IF(AND('Daily Schedule'!$A22&gt;=46,'Daily Schedule'!$A22&lt;=52),'Daily Workforce'!$M19="Y",IFERROR(1*'Daily Workforce'!$P19&gt;=2,FALSE()))))),1,0)</f>
        <v>0</v>
      </c>
      <c r="AE18" s="1" t="n">
        <f aca="false">IF(AND('Daily Workforce'!$N20="Y",'Daily Workforce'!$B20&lt;&gt;"",COUNTIF('Daily Schedule'!$F$5:$F21,'Daily Workforce'!$B20)=0,IF('Daily Schedule'!$A22=45,'Daily Workforce'!$J20="Y",IF(OR('Daily Schedule'!$A22=4,'Daily Schedule'!$A22=8),IF(OR(WEEKDAY('Daily Schedule'!$B$2,2)=1,WEEKDAY('Daily Schedule'!$B$2,2)=4,WEEKDAY('Daily Schedule'!$B$2,2)=5,WEEKDAY('Daily Schedule'!$B$2,2)=7),IFERROR(1*'Daily Workforce'!$K20&gt;=3,FALSE()),IFERROR(1*'Daily Workforce'!$K20&gt;=2,FALSE())),IF(AND('Daily Schedule'!$A22&gt;=46,'Daily Schedule'!$A22&lt;=52),'Daily Workforce'!$M20="Y",IFERROR(1*'Daily Workforce'!$P20&gt;=2,FALSE()))))),1,0)</f>
        <v>0</v>
      </c>
      <c r="AF18" s="1" t="n">
        <f aca="false">IF(AND('Daily Workforce'!$N21="Y",'Daily Workforce'!$B21&lt;&gt;"",COUNTIF('Daily Schedule'!$F$5:$F21,'Daily Workforce'!$B21)=0,IF('Daily Schedule'!$A22=45,'Daily Workforce'!$J21="Y",IF(OR('Daily Schedule'!$A22=4,'Daily Schedule'!$A22=8),IF(OR(WEEKDAY('Daily Schedule'!$B$2,2)=1,WEEKDAY('Daily Schedule'!$B$2,2)=4,WEEKDAY('Daily Schedule'!$B$2,2)=5,WEEKDAY('Daily Schedule'!$B$2,2)=7),IFERROR(1*'Daily Workforce'!$K21&gt;=3,FALSE()),IFERROR(1*'Daily Workforce'!$K21&gt;=2,FALSE())),IF(AND('Daily Schedule'!$A22&gt;=46,'Daily Schedule'!$A22&lt;=52),'Daily Workforce'!$M21="Y",IFERROR(1*'Daily Workforce'!$P21&gt;=2,FALSE()))))),1,0)</f>
        <v>1</v>
      </c>
      <c r="AG18" s="1" t="n">
        <f aca="false">IF(AND('Daily Workforce'!$N22="Y",'Daily Workforce'!$B22&lt;&gt;"",COUNTIF('Daily Schedule'!$F$5:$F21,'Daily Workforce'!$B22)=0,IF('Daily Schedule'!$A22=45,'Daily Workforce'!$J22="Y",IF(OR('Daily Schedule'!$A22=4,'Daily Schedule'!$A22=8),IF(OR(WEEKDAY('Daily Schedule'!$B$2,2)=1,WEEKDAY('Daily Schedule'!$B$2,2)=4,WEEKDAY('Daily Schedule'!$B$2,2)=5,WEEKDAY('Daily Schedule'!$B$2,2)=7),IFERROR(1*'Daily Workforce'!$K22&gt;=3,FALSE()),IFERROR(1*'Daily Workforce'!$K22&gt;=2,FALSE())),IF(AND('Daily Schedule'!$A22&gt;=46,'Daily Schedule'!$A22&lt;=52),'Daily Workforce'!$M22="Y",IFERROR(1*'Daily Workforce'!$P22&gt;=2,FALSE()))))),1,0)</f>
        <v>1</v>
      </c>
      <c r="AH18" s="1" t="n">
        <f aca="false">IF(AND('Daily Workforce'!$N23="Y",'Daily Workforce'!$B23&lt;&gt;"",COUNTIF('Daily Schedule'!$F$5:$F21,'Daily Workforce'!$B23)=0,IF('Daily Schedule'!$A22=45,'Daily Workforce'!$J23="Y",IF(OR('Daily Schedule'!$A22=4,'Daily Schedule'!$A22=8),IF(OR(WEEKDAY('Daily Schedule'!$B$2,2)=1,WEEKDAY('Daily Schedule'!$B$2,2)=4,WEEKDAY('Daily Schedule'!$B$2,2)=5,WEEKDAY('Daily Schedule'!$B$2,2)=7),IFERROR(1*'Daily Workforce'!$K23&gt;=3,FALSE()),IFERROR(1*'Daily Workforce'!$K23&gt;=2,FALSE())),IF(AND('Daily Schedule'!$A22&gt;=46,'Daily Schedule'!$A22&lt;=52),'Daily Workforce'!$M23="Y",IFERROR(1*'Daily Workforce'!$P23&gt;=2,FALSE()))))),1,0)</f>
        <v>1</v>
      </c>
      <c r="AI18" s="1" t="n">
        <f aca="false">IF(AND('Daily Workforce'!$N24="Y",'Daily Workforce'!$B24&lt;&gt;"",COUNTIF('Daily Schedule'!$F$5:$F21,'Daily Workforce'!$B24)=0,IF('Daily Schedule'!$A22=45,'Daily Workforce'!$J24="Y",IF(OR('Daily Schedule'!$A22=4,'Daily Schedule'!$A22=8),IF(OR(WEEKDAY('Daily Schedule'!$B$2,2)=1,WEEKDAY('Daily Schedule'!$B$2,2)=4,WEEKDAY('Daily Schedule'!$B$2,2)=5,WEEKDAY('Daily Schedule'!$B$2,2)=7),IFERROR(1*'Daily Workforce'!$K24&gt;=3,FALSE()),IFERROR(1*'Daily Workforce'!$K24&gt;=2,FALSE())),IF(AND('Daily Schedule'!$A22&gt;=46,'Daily Schedule'!$A22&lt;=52),'Daily Workforce'!$M24="Y",IFERROR(1*'Daily Workforce'!$P24&gt;=2,FALSE()))))),1,0)</f>
        <v>1</v>
      </c>
      <c r="AJ18" s="1" t="n">
        <f aca="false">IF(AND('Daily Workforce'!$N25="Y",'Daily Workforce'!$B25&lt;&gt;"",COUNTIF('Daily Schedule'!$F$5:$F21,'Daily Workforce'!$B25)=0,IF('Daily Schedule'!$A22=45,'Daily Workforce'!$J25="Y",IF(OR('Daily Schedule'!$A22=4,'Daily Schedule'!$A22=8),IF(OR(WEEKDAY('Daily Schedule'!$B$2,2)=1,WEEKDAY('Daily Schedule'!$B$2,2)=4,WEEKDAY('Daily Schedule'!$B$2,2)=5,WEEKDAY('Daily Schedule'!$B$2,2)=7),IFERROR(1*'Daily Workforce'!$K25&gt;=3,FALSE()),IFERROR(1*'Daily Workforce'!$K25&gt;=2,FALSE())),IF(AND('Daily Schedule'!$A22&gt;=46,'Daily Schedule'!$A22&lt;=52),'Daily Workforce'!$M25="Y",IFERROR(1*'Daily Workforce'!$P25&gt;=2,FALSE()))))),1,0)</f>
        <v>1</v>
      </c>
      <c r="AK18" s="1" t="n">
        <f aca="false">IF(AND('Daily Workforce'!$N26="Y",'Daily Workforce'!$B26&lt;&gt;"",COUNTIF('Daily Schedule'!$F$5:$F21,'Daily Workforce'!$B26)=0,IF('Daily Schedule'!$A22=45,'Daily Workforce'!$J26="Y",IF(OR('Daily Schedule'!$A22=4,'Daily Schedule'!$A22=8),IF(OR(WEEKDAY('Daily Schedule'!$B$2,2)=1,WEEKDAY('Daily Schedule'!$B$2,2)=4,WEEKDAY('Daily Schedule'!$B$2,2)=5,WEEKDAY('Daily Schedule'!$B$2,2)=7),IFERROR(1*'Daily Workforce'!$K26&gt;=3,FALSE()),IFERROR(1*'Daily Workforce'!$K26&gt;=2,FALSE())),IF(AND('Daily Schedule'!$A22&gt;=46,'Daily Schedule'!$A22&lt;=52),'Daily Workforce'!$M26="Y",IFERROR(1*'Daily Workforce'!$P26&gt;=2,FALSE()))))),1,0)</f>
        <v>1</v>
      </c>
      <c r="AL18" s="1" t="n">
        <f aca="false">IF(AND('Daily Workforce'!$N27="Y",'Daily Workforce'!$B27&lt;&gt;"",COUNTIF('Daily Schedule'!$F$5:$F21,'Daily Workforce'!$B27)=0,IF('Daily Schedule'!$A22=45,'Daily Workforce'!$J27="Y",IF(OR('Daily Schedule'!$A22=4,'Daily Schedule'!$A22=8),IF(OR(WEEKDAY('Daily Schedule'!$B$2,2)=1,WEEKDAY('Daily Schedule'!$B$2,2)=4,WEEKDAY('Daily Schedule'!$B$2,2)=5,WEEKDAY('Daily Schedule'!$B$2,2)=7),IFERROR(1*'Daily Workforce'!$K27&gt;=3,FALSE()),IFERROR(1*'Daily Workforce'!$K27&gt;=2,FALSE())),IF(AND('Daily Schedule'!$A22&gt;=46,'Daily Schedule'!$A22&lt;=52),'Daily Workforce'!$M27="Y",IFERROR(1*'Daily Workforce'!$P27&gt;=2,FALSE()))))),1,0)</f>
        <v>0</v>
      </c>
      <c r="AM18" s="1" t="n">
        <f aca="false">IF(AND('Daily Workforce'!$N28="Y",'Daily Workforce'!$B28&lt;&gt;"",COUNTIF('Daily Schedule'!$F$5:$F21,'Daily Workforce'!$B28)=0,IF('Daily Schedule'!$A22=45,'Daily Workforce'!$J28="Y",IF(OR('Daily Schedule'!$A22=4,'Daily Schedule'!$A22=8),IF(OR(WEEKDAY('Daily Schedule'!$B$2,2)=1,WEEKDAY('Daily Schedule'!$B$2,2)=4,WEEKDAY('Daily Schedule'!$B$2,2)=5,WEEKDAY('Daily Schedule'!$B$2,2)=7),IFERROR(1*'Daily Workforce'!$K28&gt;=3,FALSE()),IFERROR(1*'Daily Workforce'!$K28&gt;=2,FALSE())),IF(AND('Daily Schedule'!$A22&gt;=46,'Daily Schedule'!$A22&lt;=52),'Daily Workforce'!$M28="Y",IFERROR(1*'Daily Workforce'!$P28&gt;=2,FALSE()))))),1,0)</f>
        <v>1</v>
      </c>
      <c r="AN18" s="1" t="n">
        <f aca="false">IF(AND('Daily Workforce'!$N29="Y",'Daily Workforce'!$B29&lt;&gt;"",COUNTIF('Daily Schedule'!$F$5:$F21,'Daily Workforce'!$B29)=0,IF('Daily Schedule'!$A22=45,'Daily Workforce'!$J29="Y",IF(OR('Daily Schedule'!$A22=4,'Daily Schedule'!$A22=8),IF(OR(WEEKDAY('Daily Schedule'!$B$2,2)=1,WEEKDAY('Daily Schedule'!$B$2,2)=4,WEEKDAY('Daily Schedule'!$B$2,2)=5,WEEKDAY('Daily Schedule'!$B$2,2)=7),IFERROR(1*'Daily Workforce'!$K29&gt;=3,FALSE()),IFERROR(1*'Daily Workforce'!$K29&gt;=2,FALSE())),IF(AND('Daily Schedule'!$A22&gt;=46,'Daily Schedule'!$A22&lt;=52),'Daily Workforce'!$M29="Y",IFERROR(1*'Daily Workforce'!$P29&gt;=2,FALSE()))))),1,0)</f>
        <v>1</v>
      </c>
      <c r="AO18" s="1" t="n">
        <f aca="false">IF(AND('Daily Workforce'!$N30="Y",'Daily Workforce'!$B30&lt;&gt;"",COUNTIF('Daily Schedule'!$F$5:$F21,'Daily Workforce'!$B30)=0,IF('Daily Schedule'!$A22=45,'Daily Workforce'!$J30="Y",IF(OR('Daily Schedule'!$A22=4,'Daily Schedule'!$A22=8),IF(OR(WEEKDAY('Daily Schedule'!$B$2,2)=1,WEEKDAY('Daily Schedule'!$B$2,2)=4,WEEKDAY('Daily Schedule'!$B$2,2)=5,WEEKDAY('Daily Schedule'!$B$2,2)=7),IFERROR(1*'Daily Workforce'!$K30&gt;=3,FALSE()),IFERROR(1*'Daily Workforce'!$K30&gt;=2,FALSE())),IF(AND('Daily Schedule'!$A22&gt;=46,'Daily Schedule'!$A22&lt;=52),'Daily Workforce'!$M30="Y",IFERROR(1*'Daily Workforce'!$P30&gt;=2,FALSE()))))),1,0)</f>
        <v>1</v>
      </c>
      <c r="AP18" s="1" t="n">
        <f aca="false">IF(AND('Daily Workforce'!$N31="Y",'Daily Workforce'!$B31&lt;&gt;"",COUNTIF('Daily Schedule'!$F$5:$F21,'Daily Workforce'!$B31)=0,IF('Daily Schedule'!$A22=45,'Daily Workforce'!$J31="Y",IF(OR('Daily Schedule'!$A22=4,'Daily Schedule'!$A22=8),IF(OR(WEEKDAY('Daily Schedule'!$B$2,2)=1,WEEKDAY('Daily Schedule'!$B$2,2)=4,WEEKDAY('Daily Schedule'!$B$2,2)=5,WEEKDAY('Daily Schedule'!$B$2,2)=7),IFERROR(1*'Daily Workforce'!$K31&gt;=3,FALSE()),IFERROR(1*'Daily Workforce'!$K31&gt;=2,FALSE())),IF(AND('Daily Schedule'!$A22&gt;=46,'Daily Schedule'!$A22&lt;=52),'Daily Workforce'!$M31="Y",IFERROR(1*'Daily Workforce'!$P31&gt;=2,FALSE()))))),1,0)</f>
        <v>1</v>
      </c>
      <c r="AQ18" s="1" t="n">
        <f aca="false">IF(AND('Daily Workforce'!$N32="Y",'Daily Workforce'!$B32&lt;&gt;"",COUNTIF('Daily Schedule'!$F$5:$F21,'Daily Workforce'!$B32)=0,IF('Daily Schedule'!$A22=45,'Daily Workforce'!$J32="Y",IF(OR('Daily Schedule'!$A22=4,'Daily Schedule'!$A22=8),IF(OR(WEEKDAY('Daily Schedule'!$B$2,2)=1,WEEKDAY('Daily Schedule'!$B$2,2)=4,WEEKDAY('Daily Schedule'!$B$2,2)=5,WEEKDAY('Daily Schedule'!$B$2,2)=7),IFERROR(1*'Daily Workforce'!$K32&gt;=3,FALSE()),IFERROR(1*'Daily Workforce'!$K32&gt;=2,FALSE())),IF(AND('Daily Schedule'!$A22&gt;=46,'Daily Schedule'!$A22&lt;=52),'Daily Workforce'!$M32="Y",IFERROR(1*'Daily Workforce'!$P32&gt;=2,FALSE()))))),1,0)</f>
        <v>1</v>
      </c>
      <c r="AR18" s="1" t="n">
        <f aca="false">IF(AND('Daily Workforce'!$N33="Y",'Daily Workforce'!$B33&lt;&gt;"",COUNTIF('Daily Schedule'!$F$5:$F21,'Daily Workforce'!$B33)=0,IF('Daily Schedule'!$A22=45,'Daily Workforce'!$J33="Y",IF(OR('Daily Schedule'!$A22=4,'Daily Schedule'!$A22=8),IF(OR(WEEKDAY('Daily Schedule'!$B$2,2)=1,WEEKDAY('Daily Schedule'!$B$2,2)=4,WEEKDAY('Daily Schedule'!$B$2,2)=5,WEEKDAY('Daily Schedule'!$B$2,2)=7),IFERROR(1*'Daily Workforce'!$K33&gt;=3,FALSE()),IFERROR(1*'Daily Workforce'!$K33&gt;=2,FALSE())),IF(AND('Daily Schedule'!$A22&gt;=46,'Daily Schedule'!$A22&lt;=52),'Daily Workforce'!$M33="Y",IFERROR(1*'Daily Workforce'!$P33&gt;=2,FALSE()))))),1,0)</f>
        <v>1</v>
      </c>
      <c r="AS18" s="1" t="n">
        <f aca="false">IF(AND('Daily Workforce'!$N34="Y",'Daily Workforce'!$B34&lt;&gt;"",COUNTIF('Daily Schedule'!$F$5:$F21,'Daily Workforce'!$B34)=0,IF('Daily Schedule'!$A22=45,'Daily Workforce'!$J34="Y",IF(OR('Daily Schedule'!$A22=4,'Daily Schedule'!$A22=8),IF(OR(WEEKDAY('Daily Schedule'!$B$2,2)=1,WEEKDAY('Daily Schedule'!$B$2,2)=4,WEEKDAY('Daily Schedule'!$B$2,2)=5,WEEKDAY('Daily Schedule'!$B$2,2)=7),IFERROR(1*'Daily Workforce'!$K34&gt;=3,FALSE()),IFERROR(1*'Daily Workforce'!$K34&gt;=2,FALSE())),IF(AND('Daily Schedule'!$A22&gt;=46,'Daily Schedule'!$A22&lt;=52),'Daily Workforce'!$M34="Y",IFERROR(1*'Daily Workforce'!$P34&gt;=2,FALSE()))))),1,0)</f>
        <v>1</v>
      </c>
      <c r="AT18" s="1" t="n">
        <f aca="false">IF(AND('Daily Workforce'!$N35="Y",'Daily Workforce'!$B35&lt;&gt;"",COUNTIF('Daily Schedule'!$F$5:$F21,'Daily Workforce'!$B35)=0,IF('Daily Schedule'!$A22=45,'Daily Workforce'!$J35="Y",IF(OR('Daily Schedule'!$A22=4,'Daily Schedule'!$A22=8),IF(OR(WEEKDAY('Daily Schedule'!$B$2,2)=1,WEEKDAY('Daily Schedule'!$B$2,2)=4,WEEKDAY('Daily Schedule'!$B$2,2)=5,WEEKDAY('Daily Schedule'!$B$2,2)=7),IFERROR(1*'Daily Workforce'!$K35&gt;=3,FALSE()),IFERROR(1*'Daily Workforce'!$K35&gt;=2,FALSE())),IF(AND('Daily Schedule'!$A22&gt;=46,'Daily Schedule'!$A22&lt;=52),'Daily Workforce'!$M35="Y",IFERROR(1*'Daily Workforce'!$P35&gt;=2,FALSE()))))),1,0)</f>
        <v>1</v>
      </c>
      <c r="AU18" s="1" t="n">
        <f aca="false">IF(AND('Daily Workforce'!$N36="Y",'Daily Workforce'!$B36&lt;&gt;"",COUNTIF('Daily Schedule'!$F$5:$F21,'Daily Workforce'!$B36)=0,IF('Daily Schedule'!$A22=45,'Daily Workforce'!$J36="Y",IF(OR('Daily Schedule'!$A22=4,'Daily Schedule'!$A22=8),IF(OR(WEEKDAY('Daily Schedule'!$B$2,2)=1,WEEKDAY('Daily Schedule'!$B$2,2)=4,WEEKDAY('Daily Schedule'!$B$2,2)=5,WEEKDAY('Daily Schedule'!$B$2,2)=7),IFERROR(1*'Daily Workforce'!$K36&gt;=3,FALSE()),IFERROR(1*'Daily Workforce'!$K36&gt;=2,FALSE())),IF(AND('Daily Schedule'!$A22&gt;=46,'Daily Schedule'!$A22&lt;=52),'Daily Workforce'!$M36="Y",IFERROR(1*'Daily Workforce'!$P36&gt;=2,FALSE()))))),1,0)</f>
        <v>1</v>
      </c>
      <c r="AV18" s="1" t="n">
        <f aca="false">IF(AND('Daily Workforce'!$N37="Y",'Daily Workforce'!$B37&lt;&gt;"",COUNTIF('Daily Schedule'!$F$5:$F21,'Daily Workforce'!$B37)=0,IF('Daily Schedule'!$A22=45,'Daily Workforce'!$J37="Y",IF(OR('Daily Schedule'!$A22=4,'Daily Schedule'!$A22=8),IF(OR(WEEKDAY('Daily Schedule'!$B$2,2)=1,WEEKDAY('Daily Schedule'!$B$2,2)=4,WEEKDAY('Daily Schedule'!$B$2,2)=5,WEEKDAY('Daily Schedule'!$B$2,2)=7),IFERROR(1*'Daily Workforce'!$K37&gt;=3,FALSE()),IFERROR(1*'Daily Workforce'!$K37&gt;=2,FALSE())),IF(AND('Daily Schedule'!$A22&gt;=46,'Daily Schedule'!$A22&lt;=52),'Daily Workforce'!$M37="Y",IFERROR(1*'Daily Workforce'!$P37&gt;=2,FALSE()))))),1,0)</f>
        <v>1</v>
      </c>
      <c r="AW18" s="1" t="n">
        <f aca="false">IF(AND('Daily Workforce'!$N38="Y",'Daily Workforce'!$B38&lt;&gt;"",COUNTIF('Daily Schedule'!$F$5:$F21,'Daily Workforce'!$B38)=0,IF('Daily Schedule'!$A22=45,'Daily Workforce'!$J38="Y",IF(OR('Daily Schedule'!$A22=4,'Daily Schedule'!$A22=8),IF(OR(WEEKDAY('Daily Schedule'!$B$2,2)=1,WEEKDAY('Daily Schedule'!$B$2,2)=4,WEEKDAY('Daily Schedule'!$B$2,2)=5,WEEKDAY('Daily Schedule'!$B$2,2)=7),IFERROR(1*'Daily Workforce'!$K38&gt;=3,FALSE()),IFERROR(1*'Daily Workforce'!$K38&gt;=2,FALSE())),IF(AND('Daily Schedule'!$A22&gt;=46,'Daily Schedule'!$A22&lt;=52),'Daily Workforce'!$M38="Y",IFERROR(1*'Daily Workforce'!$P38&gt;=2,FALSE()))))),1,0)</f>
        <v>1</v>
      </c>
      <c r="AX18" s="1" t="n">
        <f aca="false">IF(AND('Daily Workforce'!$N39="Y",'Daily Workforce'!$B39&lt;&gt;"",COUNTIF('Daily Schedule'!$F$5:$F21,'Daily Workforce'!$B39)=0,IF('Daily Schedule'!$A22=45,'Daily Workforce'!$J39="Y",IF(OR('Daily Schedule'!$A22=4,'Daily Schedule'!$A22=8),IF(OR(WEEKDAY('Daily Schedule'!$B$2,2)=1,WEEKDAY('Daily Schedule'!$B$2,2)=4,WEEKDAY('Daily Schedule'!$B$2,2)=5,WEEKDAY('Daily Schedule'!$B$2,2)=7),IFERROR(1*'Daily Workforce'!$K39&gt;=3,FALSE()),IFERROR(1*'Daily Workforce'!$K39&gt;=2,FALSE())),IF(AND('Daily Schedule'!$A22&gt;=46,'Daily Schedule'!$A22&lt;=52),'Daily Workforce'!$M39="Y",IFERROR(1*'Daily Workforce'!$P39&gt;=2,FALSE()))))),1,0)</f>
        <v>1</v>
      </c>
      <c r="AY18" s="1" t="n">
        <f aca="false">IF(AND('Daily Workforce'!$N40="Y",'Daily Workforce'!$B40&lt;&gt;"",COUNTIF('Daily Schedule'!$F$5:$F21,'Daily Workforce'!$B40)=0,IF('Daily Schedule'!$A22=45,'Daily Workforce'!$J40="Y",IF(OR('Daily Schedule'!$A22=4,'Daily Schedule'!$A22=8),IF(OR(WEEKDAY('Daily Schedule'!$B$2,2)=1,WEEKDAY('Daily Schedule'!$B$2,2)=4,WEEKDAY('Daily Schedule'!$B$2,2)=5,WEEKDAY('Daily Schedule'!$B$2,2)=7),IFERROR(1*'Daily Workforce'!$K40&gt;=3,FALSE()),IFERROR(1*'Daily Workforce'!$K40&gt;=2,FALSE())),IF(AND('Daily Schedule'!$A22&gt;=46,'Daily Schedule'!$A22&lt;=52),'Daily Workforce'!$M40="Y",IFERROR(1*'Daily Workforce'!$P40&gt;=2,FALSE()))))),1,0)</f>
        <v>1</v>
      </c>
      <c r="AZ18" s="1" t="n">
        <f aca="false">IF(AND('Daily Workforce'!$N41="Y",'Daily Workforce'!$B41&lt;&gt;"",COUNTIF('Daily Schedule'!$F$5:$F21,'Daily Workforce'!$B41)=0,IF('Daily Schedule'!$A22=45,'Daily Workforce'!$J41="Y",IF(OR('Daily Schedule'!$A22=4,'Daily Schedule'!$A22=8),IF(OR(WEEKDAY('Daily Schedule'!$B$2,2)=1,WEEKDAY('Daily Schedule'!$B$2,2)=4,WEEKDAY('Daily Schedule'!$B$2,2)=5,WEEKDAY('Daily Schedule'!$B$2,2)=7),IFERROR(1*'Daily Workforce'!$K41&gt;=3,FALSE()),IFERROR(1*'Daily Workforce'!$K41&gt;=2,FALSE())),IF(AND('Daily Schedule'!$A22&gt;=46,'Daily Schedule'!$A22&lt;=52),'Daily Workforce'!$M41="Y",IFERROR(1*'Daily Workforce'!$P41&gt;=2,FALSE()))))),1,0)</f>
        <v>1</v>
      </c>
      <c r="BA18" s="1" t="n">
        <f aca="false">IF(AND('Daily Workforce'!$N42="Y",'Daily Workforce'!$B42&lt;&gt;"",COUNTIF('Daily Schedule'!$F$5:$F21,'Daily Workforce'!$B42)=0,IF('Daily Schedule'!$A22=45,'Daily Workforce'!$J42="Y",IF(OR('Daily Schedule'!$A22=4,'Daily Schedule'!$A22=8),IF(OR(WEEKDAY('Daily Schedule'!$B$2,2)=1,WEEKDAY('Daily Schedule'!$B$2,2)=4,WEEKDAY('Daily Schedule'!$B$2,2)=5,WEEKDAY('Daily Schedule'!$B$2,2)=7),IFERROR(1*'Daily Workforce'!$K42&gt;=3,FALSE()),IFERROR(1*'Daily Workforce'!$K42&gt;=2,FALSE())),IF(AND('Daily Schedule'!$A22&gt;=46,'Daily Schedule'!$A22&lt;=52),'Daily Workforce'!$M42="Y",IFERROR(1*'Daily Workforce'!$P42&gt;=2,FALSE()))))),1,0)</f>
        <v>1</v>
      </c>
      <c r="BB18" s="1" t="n">
        <f aca="false">IF(AND('Daily Workforce'!$N43="Y",'Daily Workforce'!$B43&lt;&gt;"",COUNTIF('Daily Schedule'!$F$5:$F21,'Daily Workforce'!$B43)=0,IF('Daily Schedule'!$A22=45,'Daily Workforce'!$J43="Y",IF(OR('Daily Schedule'!$A22=4,'Daily Schedule'!$A22=8),IF(OR(WEEKDAY('Daily Schedule'!$B$2,2)=1,WEEKDAY('Daily Schedule'!$B$2,2)=4,WEEKDAY('Daily Schedule'!$B$2,2)=5,WEEKDAY('Daily Schedule'!$B$2,2)=7),IFERROR(1*'Daily Workforce'!$K43&gt;=3,FALSE()),IFERROR(1*'Daily Workforce'!$K43&gt;=2,FALSE())),IF(AND('Daily Schedule'!$A22&gt;=46,'Daily Schedule'!$A22&lt;=52),'Daily Workforce'!$M43="Y",IFERROR(1*'Daily Workforce'!$P43&gt;=2,FALSE()))))),1,0)</f>
        <v>1</v>
      </c>
      <c r="BC18" s="1" t="n">
        <f aca="false">IF(AND('Daily Workforce'!$N44="Y",'Daily Workforce'!$B44&lt;&gt;"",COUNTIF('Daily Schedule'!$F$5:$F21,'Daily Workforce'!$B44)=0,IF('Daily Schedule'!$A22=45,'Daily Workforce'!$J44="Y",IF(OR('Daily Schedule'!$A22=4,'Daily Schedule'!$A22=8),IF(OR(WEEKDAY('Daily Schedule'!$B$2,2)=1,WEEKDAY('Daily Schedule'!$B$2,2)=4,WEEKDAY('Daily Schedule'!$B$2,2)=5,WEEKDAY('Daily Schedule'!$B$2,2)=7),IFERROR(1*'Daily Workforce'!$K44&gt;=3,FALSE()),IFERROR(1*'Daily Workforce'!$K44&gt;=2,FALSE())),IF(AND('Daily Schedule'!$A22&gt;=46,'Daily Schedule'!$A22&lt;=52),'Daily Workforce'!$M44="Y",IFERROR(1*'Daily Workforce'!$P44&gt;=2,FALSE()))))),1,0)</f>
        <v>1</v>
      </c>
      <c r="BD18" s="1" t="n">
        <f aca="false">IF(AND('Daily Workforce'!$N45="Y",'Daily Workforce'!$B45&lt;&gt;"",COUNTIF('Daily Schedule'!$F$5:$F21,'Daily Workforce'!$B45)=0,IF('Daily Schedule'!$A22=45,'Daily Workforce'!$J45="Y",IF(OR('Daily Schedule'!$A22=4,'Daily Schedule'!$A22=8),IF(OR(WEEKDAY('Daily Schedule'!$B$2,2)=1,WEEKDAY('Daily Schedule'!$B$2,2)=4,WEEKDAY('Daily Schedule'!$B$2,2)=5,WEEKDAY('Daily Schedule'!$B$2,2)=7),IFERROR(1*'Daily Workforce'!$K45&gt;=3,FALSE()),IFERROR(1*'Daily Workforce'!$K45&gt;=2,FALSE())),IF(AND('Daily Schedule'!$A22&gt;=46,'Daily Schedule'!$A22&lt;=52),'Daily Workforce'!$M45="Y",IFERROR(1*'Daily Workforce'!$P45&gt;=2,FALSE()))))),1,0)</f>
        <v>1</v>
      </c>
      <c r="BE18" s="1" t="n">
        <f aca="false">IF(AND('Daily Workforce'!$N46="Y",'Daily Workforce'!$B46&lt;&gt;"",COUNTIF('Daily Schedule'!$F$5:$F21,'Daily Workforce'!$B46)=0,IF('Daily Schedule'!$A22=45,'Daily Workforce'!$J46="Y",IF(OR('Daily Schedule'!$A22=4,'Daily Schedule'!$A22=8),IF(OR(WEEKDAY('Daily Schedule'!$B$2,2)=1,WEEKDAY('Daily Schedule'!$B$2,2)=4,WEEKDAY('Daily Schedule'!$B$2,2)=5,WEEKDAY('Daily Schedule'!$B$2,2)=7),IFERROR(1*'Daily Workforce'!$K46&gt;=3,FALSE()),IFERROR(1*'Daily Workforce'!$K46&gt;=2,FALSE())),IF(AND('Daily Schedule'!$A22&gt;=46,'Daily Schedule'!$A22&lt;=52),'Daily Workforce'!$M46="Y",IFERROR(1*'Daily Workforce'!$P46&gt;=2,FALSE()))))),1,0)</f>
        <v>1</v>
      </c>
      <c r="BF18" s="1" t="n">
        <f aca="false">IF(AND('Daily Workforce'!$N47="Y",'Daily Workforce'!$B47&lt;&gt;"",COUNTIF('Daily Schedule'!$F$5:$F21,'Daily Workforce'!$B47)=0,IF('Daily Schedule'!$A22=45,'Daily Workforce'!$J47="Y",IF(OR('Daily Schedule'!$A22=4,'Daily Schedule'!$A22=8),IF(OR(WEEKDAY('Daily Schedule'!$B$2,2)=1,WEEKDAY('Daily Schedule'!$B$2,2)=4,WEEKDAY('Daily Schedule'!$B$2,2)=5,WEEKDAY('Daily Schedule'!$B$2,2)=7),IFERROR(1*'Daily Workforce'!$K47&gt;=3,FALSE()),IFERROR(1*'Daily Workforce'!$K47&gt;=2,FALSE())),IF(AND('Daily Schedule'!$A22&gt;=46,'Daily Schedule'!$A22&lt;=52),'Daily Workforce'!$M47="Y",IFERROR(1*'Daily Workforce'!$P47&gt;=2,FALSE()))))),1,0)</f>
        <v>0</v>
      </c>
      <c r="BG18" s="1" t="n">
        <f aca="false">IF(AND('Daily Workforce'!$N48="Y",'Daily Workforce'!$B48&lt;&gt;"",COUNTIF('Daily Schedule'!$F$5:$F21,'Daily Workforce'!$B48)=0,IF('Daily Schedule'!$A22=45,'Daily Workforce'!$J48="Y",IF(OR('Daily Schedule'!$A22=4,'Daily Schedule'!$A22=8),IF(OR(WEEKDAY('Daily Schedule'!$B$2,2)=1,WEEKDAY('Daily Schedule'!$B$2,2)=4,WEEKDAY('Daily Schedule'!$B$2,2)=5,WEEKDAY('Daily Schedule'!$B$2,2)=7),IFERROR(1*'Daily Workforce'!$K48&gt;=3,FALSE()),IFERROR(1*'Daily Workforce'!$K48&gt;=2,FALSE())),IF(AND('Daily Schedule'!$A22&gt;=46,'Daily Schedule'!$A22&lt;=52),'Daily Workforce'!$M48="Y",IFERROR(1*'Daily Workforce'!$P48&gt;=2,FALSE()))))),1,0)</f>
        <v>1</v>
      </c>
      <c r="BH18" s="1" t="n">
        <f aca="false">IF(AND('Daily Workforce'!$N49="Y",'Daily Workforce'!$B49&lt;&gt;"",COUNTIF('Daily Schedule'!$F$5:$F21,'Daily Workforce'!$B49)=0,IF('Daily Schedule'!$A22=45,'Daily Workforce'!$J49="Y",IF(OR('Daily Schedule'!$A22=4,'Daily Schedule'!$A22=8),IF(OR(WEEKDAY('Daily Schedule'!$B$2,2)=1,WEEKDAY('Daily Schedule'!$B$2,2)=4,WEEKDAY('Daily Schedule'!$B$2,2)=5,WEEKDAY('Daily Schedule'!$B$2,2)=7),IFERROR(1*'Daily Workforce'!$K49&gt;=3,FALSE()),IFERROR(1*'Daily Workforce'!$K49&gt;=2,FALSE())),IF(AND('Daily Schedule'!$A22&gt;=46,'Daily Schedule'!$A22&lt;=52),'Daily Workforce'!$M49="Y",IFERROR(1*'Daily Workforce'!$P49&gt;=2,FALSE()))))),1,0)</f>
        <v>1</v>
      </c>
      <c r="BI18" s="1" t="n">
        <f aca="false">IF(AND('Daily Workforce'!$N50="Y",'Daily Workforce'!$B50&lt;&gt;"",COUNTIF('Daily Schedule'!$F$5:$F21,'Daily Workforce'!$B50)=0,IF('Daily Schedule'!$A22=45,'Daily Workforce'!$J50="Y",IF(OR('Daily Schedule'!$A22=4,'Daily Schedule'!$A22=8),IF(OR(WEEKDAY('Daily Schedule'!$B$2,2)=1,WEEKDAY('Daily Schedule'!$B$2,2)=4,WEEKDAY('Daily Schedule'!$B$2,2)=5,WEEKDAY('Daily Schedule'!$B$2,2)=7),IFERROR(1*'Daily Workforce'!$K50&gt;=3,FALSE()),IFERROR(1*'Daily Workforce'!$K50&gt;=2,FALSE())),IF(AND('Daily Schedule'!$A22&gt;=46,'Daily Schedule'!$A22&lt;=52),'Daily Workforce'!$M50="Y",IFERROR(1*'Daily Workforce'!$P50&gt;=2,FALSE()))))),1,0)</f>
        <v>0</v>
      </c>
      <c r="BJ18" s="1" t="n">
        <f aca="false">IF(AND('Daily Workforce'!$N51="Y",'Daily Workforce'!$B51&lt;&gt;"",COUNTIF('Daily Schedule'!$F$5:$F21,'Daily Workforce'!$B51)=0,IF('Daily Schedule'!$A22=45,'Daily Workforce'!$J51="Y",IF(OR('Daily Schedule'!$A22=4,'Daily Schedule'!$A22=8),IF(OR(WEEKDAY('Daily Schedule'!$B$2,2)=1,WEEKDAY('Daily Schedule'!$B$2,2)=4,WEEKDAY('Daily Schedule'!$B$2,2)=5,WEEKDAY('Daily Schedule'!$B$2,2)=7),IFERROR(1*'Daily Workforce'!$K51&gt;=3,FALSE()),IFERROR(1*'Daily Workforce'!$K51&gt;=2,FALSE())),IF(AND('Daily Schedule'!$A22&gt;=46,'Daily Schedule'!$A22&lt;=52),'Daily Workforce'!$M51="Y",IFERROR(1*'Daily Workforce'!$P51&gt;=2,FALSE()))))),1,0)</f>
        <v>1</v>
      </c>
      <c r="BK18" s="1" t="n">
        <f aca="false">IF(AND('Daily Workforce'!$N52="Y",'Daily Workforce'!$B52&lt;&gt;"",COUNTIF('Daily Schedule'!$F$5:$F21,'Daily Workforce'!$B52)=0,IF('Daily Schedule'!$A22=45,'Daily Workforce'!$J52="Y",IF(OR('Daily Schedule'!$A22=4,'Daily Schedule'!$A22=8),IF(OR(WEEKDAY('Daily Schedule'!$B$2,2)=1,WEEKDAY('Daily Schedule'!$B$2,2)=4,WEEKDAY('Daily Schedule'!$B$2,2)=5,WEEKDAY('Daily Schedule'!$B$2,2)=7),IFERROR(1*'Daily Workforce'!$K52&gt;=3,FALSE()),IFERROR(1*'Daily Workforce'!$K52&gt;=2,FALSE())),IF(AND('Daily Schedule'!$A22&gt;=46,'Daily Schedule'!$A22&lt;=52),'Daily Workforce'!$M52="Y",IFERROR(1*'Daily Workforce'!$P52&gt;=2,FALSE()))))),1,0)</f>
        <v>1</v>
      </c>
      <c r="BL18" s="1" t="n">
        <f aca="false">IF(AND('Daily Workforce'!$N53="Y",'Daily Workforce'!$B53&lt;&gt;"",COUNTIF('Daily Schedule'!$F$5:$F21,'Daily Workforce'!$B53)=0,IF('Daily Schedule'!$A22=45,'Daily Workforce'!$J53="Y",IF(OR('Daily Schedule'!$A22=4,'Daily Schedule'!$A22=8),IF(OR(WEEKDAY('Daily Schedule'!$B$2,2)=1,WEEKDAY('Daily Schedule'!$B$2,2)=4,WEEKDAY('Daily Schedule'!$B$2,2)=5,WEEKDAY('Daily Schedule'!$B$2,2)=7),IFERROR(1*'Daily Workforce'!$K53&gt;=3,FALSE()),IFERROR(1*'Daily Workforce'!$K53&gt;=2,FALSE())),IF(AND('Daily Schedule'!$A22&gt;=46,'Daily Schedule'!$A22&lt;=52),'Daily Workforce'!$M53="Y",IFERROR(1*'Daily Workforce'!$P53&gt;=2,FALSE()))))),1,0)</f>
        <v>1</v>
      </c>
      <c r="BM18" s="1" t="n">
        <f aca="false">IF(AND('Daily Workforce'!$N54="Y",'Daily Workforce'!$B54&lt;&gt;"",COUNTIF('Daily Schedule'!$F$5:$F21,'Daily Workforce'!$B54)=0,IF('Daily Schedule'!$A22=45,'Daily Workforce'!$J54="Y",IF(OR('Daily Schedule'!$A22=4,'Daily Schedule'!$A22=8),IF(OR(WEEKDAY('Daily Schedule'!$B$2,2)=1,WEEKDAY('Daily Schedule'!$B$2,2)=4,WEEKDAY('Daily Schedule'!$B$2,2)=5,WEEKDAY('Daily Schedule'!$B$2,2)=7),IFERROR(1*'Daily Workforce'!$K54&gt;=3,FALSE()),IFERROR(1*'Daily Workforce'!$K54&gt;=2,FALSE())),IF(AND('Daily Schedule'!$A22&gt;=46,'Daily Schedule'!$A22&lt;=52),'Daily Workforce'!$M54="Y",IFERROR(1*'Daily Workforce'!$P54&gt;=2,FALSE()))))),1,0)</f>
        <v>1</v>
      </c>
      <c r="BN18" s="1" t="n">
        <f aca="false">IF(AND('Daily Workforce'!$N55="Y",'Daily Workforce'!$B55&lt;&gt;"",COUNTIF('Daily Schedule'!$F$5:$F21,'Daily Workforce'!$B55)=0,IF('Daily Schedule'!$A22=45,'Daily Workforce'!$J55="Y",IF(OR('Daily Schedule'!$A22=4,'Daily Schedule'!$A22=8),IF(OR(WEEKDAY('Daily Schedule'!$B$2,2)=1,WEEKDAY('Daily Schedule'!$B$2,2)=4,WEEKDAY('Daily Schedule'!$B$2,2)=5,WEEKDAY('Daily Schedule'!$B$2,2)=7),IFERROR(1*'Daily Workforce'!$K55&gt;=3,FALSE()),IFERROR(1*'Daily Workforce'!$K55&gt;=2,FALSE())),IF(AND('Daily Schedule'!$A22&gt;=46,'Daily Schedule'!$A22&lt;=52),'Daily Workforce'!$M55="Y",IFERROR(1*'Daily Workforce'!$P55&gt;=2,FALSE()))))),1,0)</f>
        <v>1</v>
      </c>
      <c r="BO18" s="1" t="n">
        <f aca="false">IF(AND('Daily Workforce'!$N56="Y",'Daily Workforce'!$B56&lt;&gt;"",COUNTIF('Daily Schedule'!$F$5:$F21,'Daily Workforce'!$B56)=0,IF('Daily Schedule'!$A22=45,'Daily Workforce'!$J56="Y",IF(OR('Daily Schedule'!$A22=4,'Daily Schedule'!$A22=8),IF(OR(WEEKDAY('Daily Schedule'!$B$2,2)=1,WEEKDAY('Daily Schedule'!$B$2,2)=4,WEEKDAY('Daily Schedule'!$B$2,2)=5,WEEKDAY('Daily Schedule'!$B$2,2)=7),IFERROR(1*'Daily Workforce'!$K56&gt;=3,FALSE()),IFERROR(1*'Daily Workforce'!$K56&gt;=2,FALSE())),IF(AND('Daily Schedule'!$A22&gt;=46,'Daily Schedule'!$A22&lt;=52),'Daily Workforce'!$M56="Y",IFERROR(1*'Daily Workforce'!$P56&gt;=2,FALSE()))))),1,0)</f>
        <v>1</v>
      </c>
      <c r="BP18" s="1" t="n">
        <f aca="false">IF(AND('Daily Workforce'!$N57="Y",'Daily Workforce'!$B57&lt;&gt;"",COUNTIF('Daily Schedule'!$F$5:$F21,'Daily Workforce'!$B57)=0,IF('Daily Schedule'!$A22=45,'Daily Workforce'!$J57="Y",IF(OR('Daily Schedule'!$A22=4,'Daily Schedule'!$A22=8),IF(OR(WEEKDAY('Daily Schedule'!$B$2,2)=1,WEEKDAY('Daily Schedule'!$B$2,2)=4,WEEKDAY('Daily Schedule'!$B$2,2)=5,WEEKDAY('Daily Schedule'!$B$2,2)=7),IFERROR(1*'Daily Workforce'!$K57&gt;=3,FALSE()),IFERROR(1*'Daily Workforce'!$K57&gt;=2,FALSE())),IF(AND('Daily Schedule'!$A22&gt;=46,'Daily Schedule'!$A22&lt;=52),'Daily Workforce'!$M57="Y",IFERROR(1*'Daily Workforce'!$P57&gt;=2,FALSE()))))),1,0)</f>
        <v>0</v>
      </c>
      <c r="BQ18" s="1" t="n">
        <f aca="false">IF(AND('Daily Workforce'!$N58="Y",'Daily Workforce'!$B58&lt;&gt;"",COUNTIF('Daily Schedule'!$F$5:$F21,'Daily Workforce'!$B58)=0,IF('Daily Schedule'!$A22=45,'Daily Workforce'!$J58="Y",IF(OR('Daily Schedule'!$A22=4,'Daily Schedule'!$A22=8),IF(OR(WEEKDAY('Daily Schedule'!$B$2,2)=1,WEEKDAY('Daily Schedule'!$B$2,2)=4,WEEKDAY('Daily Schedule'!$B$2,2)=5,WEEKDAY('Daily Schedule'!$B$2,2)=7),IFERROR(1*'Daily Workforce'!$K58&gt;=3,FALSE()),IFERROR(1*'Daily Workforce'!$K58&gt;=2,FALSE())),IF(AND('Daily Schedule'!$A22&gt;=46,'Daily Schedule'!$A22&lt;=52),'Daily Workforce'!$M58="Y",IFERROR(1*'Daily Workforce'!$P58&gt;=2,FALSE()))))),1,0)</f>
        <v>1</v>
      </c>
      <c r="BR18" s="1" t="n">
        <f aca="false">IF(AND('Daily Workforce'!$N59="Y",'Daily Workforce'!$B59&lt;&gt;"",COUNTIF('Daily Schedule'!$F$5:$F21,'Daily Workforce'!$B59)=0,IF('Daily Schedule'!$A22=45,'Daily Workforce'!$J59="Y",IF(OR('Daily Schedule'!$A22=4,'Daily Schedule'!$A22=8),IF(OR(WEEKDAY('Daily Schedule'!$B$2,2)=1,WEEKDAY('Daily Schedule'!$B$2,2)=4,WEEKDAY('Daily Schedule'!$B$2,2)=5,WEEKDAY('Daily Schedule'!$B$2,2)=7),IFERROR(1*'Daily Workforce'!$K59&gt;=3,FALSE()),IFERROR(1*'Daily Workforce'!$K59&gt;=2,FALSE())),IF(AND('Daily Schedule'!$A22&gt;=46,'Daily Schedule'!$A22&lt;=52),'Daily Workforce'!$M59="Y",IFERROR(1*'Daily Workforce'!$P59&gt;=2,FALSE()))))),1,0)</f>
        <v>1</v>
      </c>
      <c r="BS18" s="1" t="n">
        <f aca="false">IF(AND('Daily Workforce'!$N60="Y",'Daily Workforce'!$B60&lt;&gt;"",COUNTIF('Daily Schedule'!$F$5:$F21,'Daily Workforce'!$B60)=0,IF('Daily Schedule'!$A22=45,'Daily Workforce'!$J60="Y",IF(OR('Daily Schedule'!$A22=4,'Daily Schedule'!$A22=8),IF(OR(WEEKDAY('Daily Schedule'!$B$2,2)=1,WEEKDAY('Daily Schedule'!$B$2,2)=4,WEEKDAY('Daily Schedule'!$B$2,2)=5,WEEKDAY('Daily Schedule'!$B$2,2)=7),IFERROR(1*'Daily Workforce'!$K60&gt;=3,FALSE()),IFERROR(1*'Daily Workforce'!$K60&gt;=2,FALSE())),IF(AND('Daily Schedule'!$A22&gt;=46,'Daily Schedule'!$A22&lt;=52),'Daily Workforce'!$M60="Y",IFERROR(1*'Daily Workforce'!$P60&gt;=2,FALSE()))))),1,0)</f>
        <v>1</v>
      </c>
      <c r="BT18" s="1" t="n">
        <f aca="false">IF(AND('Daily Workforce'!$N61="Y",'Daily Workforce'!$B61&lt;&gt;"",COUNTIF('Daily Schedule'!$F$5:$F21,'Daily Workforce'!$B61)=0,IF('Daily Schedule'!$A22=45,'Daily Workforce'!$J61="Y",IF(OR('Daily Schedule'!$A22=4,'Daily Schedule'!$A22=8),IF(OR(WEEKDAY('Daily Schedule'!$B$2,2)=1,WEEKDAY('Daily Schedule'!$B$2,2)=4,WEEKDAY('Daily Schedule'!$B$2,2)=5,WEEKDAY('Daily Schedule'!$B$2,2)=7),IFERROR(1*'Daily Workforce'!$K61&gt;=3,FALSE()),IFERROR(1*'Daily Workforce'!$K61&gt;=2,FALSE())),IF(AND('Daily Schedule'!$A22&gt;=46,'Daily Schedule'!$A22&lt;=52),'Daily Workforce'!$M61="Y",IFERROR(1*'Daily Workforce'!$P61&gt;=2,FALSE()))))),1,0)</f>
        <v>0</v>
      </c>
      <c r="BU18" s="1" t="n">
        <f aca="false">IF(AND('Daily Workforce'!$N62="Y",'Daily Workforce'!$B62&lt;&gt;"",COUNTIF('Daily Schedule'!$F$5:$F21,'Daily Workforce'!$B62)=0,IF('Daily Schedule'!$A22=45,'Daily Workforce'!$J62="Y",IF(OR('Daily Schedule'!$A22=4,'Daily Schedule'!$A22=8),IF(OR(WEEKDAY('Daily Schedule'!$B$2,2)=1,WEEKDAY('Daily Schedule'!$B$2,2)=4,WEEKDAY('Daily Schedule'!$B$2,2)=5,WEEKDAY('Daily Schedule'!$B$2,2)=7),IFERROR(1*'Daily Workforce'!$K62&gt;=3,FALSE()),IFERROR(1*'Daily Workforce'!$K62&gt;=2,FALSE())),IF(AND('Daily Schedule'!$A22&gt;=46,'Daily Schedule'!$A22&lt;=52),'Daily Workforce'!$M62="Y",IFERROR(1*'Daily Workforce'!$P62&gt;=2,FALSE()))))),1,0)</f>
        <v>1</v>
      </c>
      <c r="BV18" s="1" t="n">
        <f aca="false">IF(AND('Daily Workforce'!$N63="Y",'Daily Workforce'!$B63&lt;&gt;"",COUNTIF('Daily Schedule'!$F$5:$F21,'Daily Workforce'!$B63)=0,IF('Daily Schedule'!$A22=45,'Daily Workforce'!$J63="Y",IF(OR('Daily Schedule'!$A22=4,'Daily Schedule'!$A22=8),IF(OR(WEEKDAY('Daily Schedule'!$B$2,2)=1,WEEKDAY('Daily Schedule'!$B$2,2)=4,WEEKDAY('Daily Schedule'!$B$2,2)=5,WEEKDAY('Daily Schedule'!$B$2,2)=7),IFERROR(1*'Daily Workforce'!$K63&gt;=3,FALSE()),IFERROR(1*'Daily Workforce'!$K63&gt;=2,FALSE())),IF(AND('Daily Schedule'!$A22&gt;=46,'Daily Schedule'!$A22&lt;=52),'Daily Workforce'!$M63="Y",IFERROR(1*'Daily Workforce'!$P63&gt;=2,FALSE()))))),1,0)</f>
        <v>1</v>
      </c>
      <c r="BW18" s="1" t="n">
        <f aca="false">IF(AND('Daily Workforce'!$N64="Y",'Daily Workforce'!$B64&lt;&gt;"",COUNTIF('Daily Schedule'!$F$5:$F21,'Daily Workforce'!$B64)=0,IF('Daily Schedule'!$A22=45,'Daily Workforce'!$J64="Y",IF(OR('Daily Schedule'!$A22=4,'Daily Schedule'!$A22=8),IF(OR(WEEKDAY('Daily Schedule'!$B$2,2)=1,WEEKDAY('Daily Schedule'!$B$2,2)=4,WEEKDAY('Daily Schedule'!$B$2,2)=5,WEEKDAY('Daily Schedule'!$B$2,2)=7),IFERROR(1*'Daily Workforce'!$K64&gt;=3,FALSE()),IFERROR(1*'Daily Workforce'!$K64&gt;=2,FALSE())),IF(AND('Daily Schedule'!$A22&gt;=46,'Daily Schedule'!$A22&lt;=52),'Daily Workforce'!$M64="Y",IFERROR(1*'Daily Workforce'!$P64&gt;=2,FALSE()))))),1,0)</f>
        <v>1</v>
      </c>
      <c r="BX18" s="1" t="n">
        <f aca="false">IF(AND('Daily Workforce'!$N65="Y",'Daily Workforce'!$B65&lt;&gt;"",COUNTIF('Daily Schedule'!$F$5:$F21,'Daily Workforce'!$B65)=0,IF('Daily Schedule'!$A22=45,'Daily Workforce'!$J65="Y",IF(OR('Daily Schedule'!$A22=4,'Daily Schedule'!$A22=8),IF(OR(WEEKDAY('Daily Schedule'!$B$2,2)=1,WEEKDAY('Daily Schedule'!$B$2,2)=4,WEEKDAY('Daily Schedule'!$B$2,2)=5,WEEKDAY('Daily Schedule'!$B$2,2)=7),IFERROR(1*'Daily Workforce'!$K65&gt;=3,FALSE()),IFERROR(1*'Daily Workforce'!$K65&gt;=2,FALSE())),IF(AND('Daily Schedule'!$A22&gt;=46,'Daily Schedule'!$A22&lt;=52),'Daily Workforce'!$M65="Y",IFERROR(1*'Daily Workforce'!$P65&gt;=2,FALSE()))))),1,0)</f>
        <v>1</v>
      </c>
      <c r="BY18" s="1" t="n">
        <f aca="false">IF(AND('Daily Workforce'!$N66="Y",'Daily Workforce'!$B66&lt;&gt;"",COUNTIF('Daily Schedule'!$F$5:$F21,'Daily Workforce'!$B66)=0,IF('Daily Schedule'!$A22=45,'Daily Workforce'!$J66="Y",IF(OR('Daily Schedule'!$A22=4,'Daily Schedule'!$A22=8),IF(OR(WEEKDAY('Daily Schedule'!$B$2,2)=1,WEEKDAY('Daily Schedule'!$B$2,2)=4,WEEKDAY('Daily Schedule'!$B$2,2)=5,WEEKDAY('Daily Schedule'!$B$2,2)=7),IFERROR(1*'Daily Workforce'!$K66&gt;=3,FALSE()),IFERROR(1*'Daily Workforce'!$K66&gt;=2,FALSE())),IF(AND('Daily Schedule'!$A22&gt;=46,'Daily Schedule'!$A22&lt;=52),'Daily Workforce'!$M66="Y",IFERROR(1*'Daily Workforce'!$P66&gt;=2,FALSE()))))),1,0)</f>
        <v>1</v>
      </c>
      <c r="BZ18" s="1" t="n">
        <f aca="false">IF(AND('Daily Workforce'!$N67="Y",'Daily Workforce'!$B67&lt;&gt;"",COUNTIF('Daily Schedule'!$F$5:$F21,'Daily Workforce'!$B67)=0,IF('Daily Schedule'!$A22=45,'Daily Workforce'!$J67="Y",IF(OR('Daily Schedule'!$A22=4,'Daily Schedule'!$A22=8),IF(OR(WEEKDAY('Daily Schedule'!$B$2,2)=1,WEEKDAY('Daily Schedule'!$B$2,2)=4,WEEKDAY('Daily Schedule'!$B$2,2)=5,WEEKDAY('Daily Schedule'!$B$2,2)=7),IFERROR(1*'Daily Workforce'!$K67&gt;=3,FALSE()),IFERROR(1*'Daily Workforce'!$K67&gt;=2,FALSE())),IF(AND('Daily Schedule'!$A22&gt;=46,'Daily Schedule'!$A22&lt;=52),'Daily Workforce'!$M67="Y",IFERROR(1*'Daily Workforce'!$P67&gt;=2,FALSE()))))),1,0)</f>
        <v>1</v>
      </c>
      <c r="CA18" s="1" t="n">
        <f aca="false">IF(AND('Daily Workforce'!$N68="Y",'Daily Workforce'!$B68&lt;&gt;"",COUNTIF('Daily Schedule'!$F$5:$F21,'Daily Workforce'!$B68)=0,IF('Daily Schedule'!$A22=45,'Daily Workforce'!$J68="Y",IF(OR('Daily Schedule'!$A22=4,'Daily Schedule'!$A22=8),IF(OR(WEEKDAY('Daily Schedule'!$B$2,2)=1,WEEKDAY('Daily Schedule'!$B$2,2)=4,WEEKDAY('Daily Schedule'!$B$2,2)=5,WEEKDAY('Daily Schedule'!$B$2,2)=7),IFERROR(1*'Daily Workforce'!$K68&gt;=3,FALSE()),IFERROR(1*'Daily Workforce'!$K68&gt;=2,FALSE())),IF(AND('Daily Schedule'!$A22&gt;=46,'Daily Schedule'!$A22&lt;=52),'Daily Workforce'!$M68="Y",IFERROR(1*'Daily Workforce'!$P68&gt;=2,FALSE()))))),1,0)</f>
        <v>1</v>
      </c>
      <c r="CB18" s="1" t="n">
        <f aca="false">IF(AND('Daily Workforce'!$N69="Y",'Daily Workforce'!$B69&lt;&gt;"",COUNTIF('Daily Schedule'!$F$5:$F21,'Daily Workforce'!$B69)=0,IF('Daily Schedule'!$A22=45,'Daily Workforce'!$J69="Y",IF(OR('Daily Schedule'!$A22=4,'Daily Schedule'!$A22=8),IF(OR(WEEKDAY('Daily Schedule'!$B$2,2)=1,WEEKDAY('Daily Schedule'!$B$2,2)=4,WEEKDAY('Daily Schedule'!$B$2,2)=5,WEEKDAY('Daily Schedule'!$B$2,2)=7),IFERROR(1*'Daily Workforce'!$K69&gt;=3,FALSE()),IFERROR(1*'Daily Workforce'!$K69&gt;=2,FALSE())),IF(AND('Daily Schedule'!$A22&gt;=46,'Daily Schedule'!$A22&lt;=52),'Daily Workforce'!$M69="Y",IFERROR(1*'Daily Workforce'!$P69&gt;=2,FALSE()))))),1,0)</f>
        <v>1</v>
      </c>
      <c r="CC18" s="1" t="n">
        <f aca="false">IF(AND('Daily Workforce'!$N70="Y",'Daily Workforce'!$B70&lt;&gt;"",COUNTIF('Daily Schedule'!$F$5:$F21,'Daily Workforce'!$B70)=0,IF('Daily Schedule'!$A22=45,'Daily Workforce'!$J70="Y",IF(OR('Daily Schedule'!$A22=4,'Daily Schedule'!$A22=8),IF(OR(WEEKDAY('Daily Schedule'!$B$2,2)=1,WEEKDAY('Daily Schedule'!$B$2,2)=4,WEEKDAY('Daily Schedule'!$B$2,2)=5,WEEKDAY('Daily Schedule'!$B$2,2)=7),IFERROR(1*'Daily Workforce'!$K70&gt;=3,FALSE()),IFERROR(1*'Daily Workforce'!$K70&gt;=2,FALSE())),IF(AND('Daily Schedule'!$A22&gt;=46,'Daily Schedule'!$A22&lt;=52),'Daily Workforce'!$M70="Y",IFERROR(1*'Daily Workforce'!$P70&gt;=2,FALSE()))))),1,0)</f>
        <v>1</v>
      </c>
      <c r="CD18" s="1" t="n">
        <f aca="false">IF(AND('Daily Workforce'!$N71="Y",'Daily Workforce'!$B71&lt;&gt;"",COUNTIF('Daily Schedule'!$F$5:$F21,'Daily Workforce'!$B71)=0,IF('Daily Schedule'!$A22=45,'Daily Workforce'!$J71="Y",IF(OR('Daily Schedule'!$A22=4,'Daily Schedule'!$A22=8),IF(OR(WEEKDAY('Daily Schedule'!$B$2,2)=1,WEEKDAY('Daily Schedule'!$B$2,2)=4,WEEKDAY('Daily Schedule'!$B$2,2)=5,WEEKDAY('Daily Schedule'!$B$2,2)=7),IFERROR(1*'Daily Workforce'!$K71&gt;=3,FALSE()),IFERROR(1*'Daily Workforce'!$K71&gt;=2,FALSE())),IF(AND('Daily Schedule'!$A22&gt;=46,'Daily Schedule'!$A22&lt;=52),'Daily Workforce'!$M71="Y",IFERROR(1*'Daily Workforce'!$P71&gt;=2,FALSE()))))),1,0)</f>
        <v>1</v>
      </c>
      <c r="CE18" s="1" t="n">
        <f aca="false">IF(AND('Daily Workforce'!$N72="Y",'Daily Workforce'!$B72&lt;&gt;"",COUNTIF('Daily Schedule'!$F$5:$F21,'Daily Workforce'!$B72)=0,IF('Daily Schedule'!$A22=45,'Daily Workforce'!$J72="Y",IF(OR('Daily Schedule'!$A22=4,'Daily Schedule'!$A22=8),IF(OR(WEEKDAY('Daily Schedule'!$B$2,2)=1,WEEKDAY('Daily Schedule'!$B$2,2)=4,WEEKDAY('Daily Schedule'!$B$2,2)=5,WEEKDAY('Daily Schedule'!$B$2,2)=7),IFERROR(1*'Daily Workforce'!$K72&gt;=3,FALSE()),IFERROR(1*'Daily Workforce'!$K72&gt;=2,FALSE())),IF(AND('Daily Schedule'!$A22&gt;=46,'Daily Schedule'!$A22&lt;=52),'Daily Workforce'!$M72="Y",IFERROR(1*'Daily Workforce'!$P72&gt;=2,FALSE()))))),1,0)</f>
        <v>1</v>
      </c>
      <c r="CF18" s="1" t="n">
        <f aca="false">IF(AND('Daily Workforce'!$N73="Y",'Daily Workforce'!$B73&lt;&gt;"",COUNTIF('Daily Schedule'!$F$5:$F21,'Daily Workforce'!$B73)=0,IF('Daily Schedule'!$A22=45,'Daily Workforce'!$J73="Y",IF(OR('Daily Schedule'!$A22=4,'Daily Schedule'!$A22=8),IF(OR(WEEKDAY('Daily Schedule'!$B$2,2)=1,WEEKDAY('Daily Schedule'!$B$2,2)=4,WEEKDAY('Daily Schedule'!$B$2,2)=5,WEEKDAY('Daily Schedule'!$B$2,2)=7),IFERROR(1*'Daily Workforce'!$K73&gt;=3,FALSE()),IFERROR(1*'Daily Workforce'!$K73&gt;=2,FALSE())),IF(AND('Daily Schedule'!$A22&gt;=46,'Daily Schedule'!$A22&lt;=52),'Daily Workforce'!$M73="Y",IFERROR(1*'Daily Workforce'!$P73&gt;=2,FALSE()))))),1,0)</f>
        <v>1</v>
      </c>
      <c r="CG18" s="1" t="n">
        <f aca="false">IF(AND('Daily Workforce'!$N74="Y",'Daily Workforce'!$B74&lt;&gt;"",COUNTIF('Daily Schedule'!$F$5:$F21,'Daily Workforce'!$B74)=0,IF('Daily Schedule'!$A22=45,'Daily Workforce'!$J74="Y",IF(OR('Daily Schedule'!$A22=4,'Daily Schedule'!$A22=8),IF(OR(WEEKDAY('Daily Schedule'!$B$2,2)=1,WEEKDAY('Daily Schedule'!$B$2,2)=4,WEEKDAY('Daily Schedule'!$B$2,2)=5,WEEKDAY('Daily Schedule'!$B$2,2)=7),IFERROR(1*'Daily Workforce'!$K74&gt;=3,FALSE()),IFERROR(1*'Daily Workforce'!$K74&gt;=2,FALSE())),IF(AND('Daily Schedule'!$A22&gt;=46,'Daily Schedule'!$A22&lt;=52),'Daily Workforce'!$M74="Y",IFERROR(1*'Daily Workforce'!$P74&gt;=2,FALSE()))))),1,0)</f>
        <v>1</v>
      </c>
      <c r="CH18" s="1" t="n">
        <f aca="false">IF(AND('Daily Workforce'!$N75="Y",'Daily Workforce'!$B75&lt;&gt;"",COUNTIF('Daily Schedule'!$F$5:$F21,'Daily Workforce'!$B75)=0,IF('Daily Schedule'!$A22=45,'Daily Workforce'!$J75="Y",IF(OR('Daily Schedule'!$A22=4,'Daily Schedule'!$A22=8),IF(OR(WEEKDAY('Daily Schedule'!$B$2,2)=1,WEEKDAY('Daily Schedule'!$B$2,2)=4,WEEKDAY('Daily Schedule'!$B$2,2)=5,WEEKDAY('Daily Schedule'!$B$2,2)=7),IFERROR(1*'Daily Workforce'!$K75&gt;=3,FALSE()),IFERROR(1*'Daily Workforce'!$K75&gt;=2,FALSE())),IF(AND('Daily Schedule'!$A22&gt;=46,'Daily Schedule'!$A22&lt;=52),'Daily Workforce'!$M75="Y",IFERROR(1*'Daily Workforce'!$P75&gt;=2,FALSE()))))),1,0)</f>
        <v>1</v>
      </c>
      <c r="CI18" s="1" t="n">
        <f aca="false">IF(AND('Daily Workforce'!$N76="Y",'Daily Workforce'!$B76&lt;&gt;"",COUNTIF('Daily Schedule'!$F$5:$F21,'Daily Workforce'!$B76)=0,IF('Daily Schedule'!$A22=45,'Daily Workforce'!$J76="Y",IF(OR('Daily Schedule'!$A22=4,'Daily Schedule'!$A22=8),IF(OR(WEEKDAY('Daily Schedule'!$B$2,2)=1,WEEKDAY('Daily Schedule'!$B$2,2)=4,WEEKDAY('Daily Schedule'!$B$2,2)=5,WEEKDAY('Daily Schedule'!$B$2,2)=7),IFERROR(1*'Daily Workforce'!$K76&gt;=3,FALSE()),IFERROR(1*'Daily Workforce'!$K76&gt;=2,FALSE())),IF(AND('Daily Schedule'!$A22&gt;=46,'Daily Schedule'!$A22&lt;=52),'Daily Workforce'!$M76="Y",IFERROR(1*'Daily Workforce'!$P76&gt;=2,FALSE()))))),1,0)</f>
        <v>1</v>
      </c>
      <c r="CJ18" s="1" t="n">
        <f aca="false">IF(AND('Daily Workforce'!$N77="Y",'Daily Workforce'!$B77&lt;&gt;"",COUNTIF('Daily Schedule'!$F$5:$F21,'Daily Workforce'!$B77)=0,IF('Daily Schedule'!$A22=45,'Daily Workforce'!$J77="Y",IF(OR('Daily Schedule'!$A22=4,'Daily Schedule'!$A22=8),IF(OR(WEEKDAY('Daily Schedule'!$B$2,2)=1,WEEKDAY('Daily Schedule'!$B$2,2)=4,WEEKDAY('Daily Schedule'!$B$2,2)=5,WEEKDAY('Daily Schedule'!$B$2,2)=7),IFERROR(1*'Daily Workforce'!$K77&gt;=3,FALSE()),IFERROR(1*'Daily Workforce'!$K77&gt;=2,FALSE())),IF(AND('Daily Schedule'!$A22&gt;=46,'Daily Schedule'!$A22&lt;=52),'Daily Workforce'!$M77="Y",IFERROR(1*'Daily Workforce'!$P77&gt;=2,FALSE()))))),1,0)</f>
        <v>1</v>
      </c>
      <c r="CK18" s="1" t="n">
        <f aca="false">IF(AND('Daily Workforce'!$N78="Y",'Daily Workforce'!$B78&lt;&gt;"",COUNTIF('Daily Schedule'!$F$5:$F21,'Daily Workforce'!$B78)=0,IF('Daily Schedule'!$A22=45,'Daily Workforce'!$J78="Y",IF(OR('Daily Schedule'!$A22=4,'Daily Schedule'!$A22=8),IF(OR(WEEKDAY('Daily Schedule'!$B$2,2)=1,WEEKDAY('Daily Schedule'!$B$2,2)=4,WEEKDAY('Daily Schedule'!$B$2,2)=5,WEEKDAY('Daily Schedule'!$B$2,2)=7),IFERROR(1*'Daily Workforce'!$K78&gt;=3,FALSE()),IFERROR(1*'Daily Workforce'!$K78&gt;=2,FALSE())),IF(AND('Daily Schedule'!$A22&gt;=46,'Daily Schedule'!$A22&lt;=52),'Daily Workforce'!$M78="Y",IFERROR(1*'Daily Workforce'!$P78&gt;=2,FALSE()))))),1,0)</f>
        <v>1</v>
      </c>
      <c r="CL18" s="1" t="n">
        <f aca="false">IF(AND('Daily Workforce'!$N79="Y",'Daily Workforce'!$B79&lt;&gt;"",COUNTIF('Daily Schedule'!$F$5:$F21,'Daily Workforce'!$B79)=0,IF('Daily Schedule'!$A22=45,'Daily Workforce'!$J79="Y",IF(OR('Daily Schedule'!$A22=4,'Daily Schedule'!$A22=8),IF(OR(WEEKDAY('Daily Schedule'!$B$2,2)=1,WEEKDAY('Daily Schedule'!$B$2,2)=4,WEEKDAY('Daily Schedule'!$B$2,2)=5,WEEKDAY('Daily Schedule'!$B$2,2)=7),IFERROR(1*'Daily Workforce'!$K79&gt;=3,FALSE()),IFERROR(1*'Daily Workforce'!$K79&gt;=2,FALSE())),IF(AND('Daily Schedule'!$A22&gt;=46,'Daily Schedule'!$A22&lt;=52),'Daily Workforce'!$M79="Y",IFERROR(1*'Daily Workforce'!$P79&gt;=2,FALSE()))))),1,0)</f>
        <v>1</v>
      </c>
      <c r="CM18" s="1" t="n">
        <f aca="false">IF(AND('Daily Workforce'!$N80="Y",'Daily Workforce'!$B80&lt;&gt;"",COUNTIF('Daily Schedule'!$F$5:$F21,'Daily Workforce'!$B80)=0,IF('Daily Schedule'!$A22=45,'Daily Workforce'!$J80="Y",IF(OR('Daily Schedule'!$A22=4,'Daily Schedule'!$A22=8),IF(OR(WEEKDAY('Daily Schedule'!$B$2,2)=1,WEEKDAY('Daily Schedule'!$B$2,2)=4,WEEKDAY('Daily Schedule'!$B$2,2)=5,WEEKDAY('Daily Schedule'!$B$2,2)=7),IFERROR(1*'Daily Workforce'!$K80&gt;=3,FALSE()),IFERROR(1*'Daily Workforce'!$K80&gt;=2,FALSE())),IF(AND('Daily Schedule'!$A22&gt;=46,'Daily Schedule'!$A22&lt;=52),'Daily Workforce'!$M80="Y",IFERROR(1*'Daily Workforce'!$P80&gt;=2,FALSE()))))),1,0)</f>
        <v>1</v>
      </c>
      <c r="CN18" s="1" t="n">
        <f aca="false">IF(AND('Daily Workforce'!$N81="Y",'Daily Workforce'!$B81&lt;&gt;"",COUNTIF('Daily Schedule'!$F$5:$F21,'Daily Workforce'!$B81)=0,IF('Daily Schedule'!$A22=45,'Daily Workforce'!$J81="Y",IF(OR('Daily Schedule'!$A22=4,'Daily Schedule'!$A22=8),IF(OR(WEEKDAY('Daily Schedule'!$B$2,2)=1,WEEKDAY('Daily Schedule'!$B$2,2)=4,WEEKDAY('Daily Schedule'!$B$2,2)=5,WEEKDAY('Daily Schedule'!$B$2,2)=7),IFERROR(1*'Daily Workforce'!$K81&gt;=3,FALSE()),IFERROR(1*'Daily Workforce'!$K81&gt;=2,FALSE())),IF(AND('Daily Schedule'!$A22&gt;=46,'Daily Schedule'!$A22&lt;=52),'Daily Workforce'!$M81="Y",IFERROR(1*'Daily Workforce'!$P81&gt;=2,FALSE()))))),1,0)</f>
        <v>1</v>
      </c>
      <c r="CO18" s="1" t="n">
        <f aca="false">IF(AND('Daily Workforce'!$N82="Y",'Daily Workforce'!$B82&lt;&gt;"",COUNTIF('Daily Schedule'!$F$5:$F21,'Daily Workforce'!$B82)=0,IF('Daily Schedule'!$A22=45,'Daily Workforce'!$J82="Y",IF(OR('Daily Schedule'!$A22=4,'Daily Schedule'!$A22=8),IF(OR(WEEKDAY('Daily Schedule'!$B$2,2)=1,WEEKDAY('Daily Schedule'!$B$2,2)=4,WEEKDAY('Daily Schedule'!$B$2,2)=5,WEEKDAY('Daily Schedule'!$B$2,2)=7),IFERROR(1*'Daily Workforce'!$K82&gt;=3,FALSE()),IFERROR(1*'Daily Workforce'!$K82&gt;=2,FALSE())),IF(AND('Daily Schedule'!$A22&gt;=46,'Daily Schedule'!$A22&lt;=52),'Daily Workforce'!$M82="Y",IFERROR(1*'Daily Workforce'!$P82&gt;=2,FALSE()))))),1,0)</f>
        <v>1</v>
      </c>
      <c r="CP18" s="1" t="n">
        <f aca="false">IF(AND('Daily Workforce'!$N83="Y",'Daily Workforce'!$B83&lt;&gt;"",COUNTIF('Daily Schedule'!$F$5:$F21,'Daily Workforce'!$B83)=0,IF('Daily Schedule'!$A22=45,'Daily Workforce'!$J83="Y",IF(OR('Daily Schedule'!$A22=4,'Daily Schedule'!$A22=8),IF(OR(WEEKDAY('Daily Schedule'!$B$2,2)=1,WEEKDAY('Daily Schedule'!$B$2,2)=4,WEEKDAY('Daily Schedule'!$B$2,2)=5,WEEKDAY('Daily Schedule'!$B$2,2)=7),IFERROR(1*'Daily Workforce'!$K83&gt;=3,FALSE()),IFERROR(1*'Daily Workforce'!$K83&gt;=2,FALSE())),IF(AND('Daily Schedule'!$A22&gt;=46,'Daily Schedule'!$A22&lt;=52),'Daily Workforce'!$M83="Y",IFERROR(1*'Daily Workforce'!$P83&gt;=2,FALSE()))))),1,0)</f>
        <v>0</v>
      </c>
      <c r="CQ18" s="1" t="n">
        <f aca="false">IF(AND('Daily Workforce'!$N84="Y",'Daily Workforce'!$B84&lt;&gt;"",COUNTIF('Daily Schedule'!$F$5:$F21,'Daily Workforce'!$B84)=0,IF('Daily Schedule'!$A22=45,'Daily Workforce'!$J84="Y",IF(OR('Daily Schedule'!$A22=4,'Daily Schedule'!$A22=8),IF(OR(WEEKDAY('Daily Schedule'!$B$2,2)=1,WEEKDAY('Daily Schedule'!$B$2,2)=4,WEEKDAY('Daily Schedule'!$B$2,2)=5,WEEKDAY('Daily Schedule'!$B$2,2)=7),IFERROR(1*'Daily Workforce'!$K84&gt;=3,FALSE()),IFERROR(1*'Daily Workforce'!$K84&gt;=2,FALSE())),IF(AND('Daily Schedule'!$A22&gt;=46,'Daily Schedule'!$A22&lt;=52),'Daily Workforce'!$M84="Y",IFERROR(1*'Daily Workforce'!$P84&gt;=2,FALSE()))))),1,0)</f>
        <v>1</v>
      </c>
      <c r="CR18" s="1" t="n">
        <f aca="false">IF(AND('Daily Workforce'!$N85="Y",'Daily Workforce'!$B85&lt;&gt;"",COUNTIF('Daily Schedule'!$F$5:$F21,'Daily Workforce'!$B85)=0,IF('Daily Schedule'!$A22=45,'Daily Workforce'!$J85="Y",IF(OR('Daily Schedule'!$A22=4,'Daily Schedule'!$A22=8),IF(OR(WEEKDAY('Daily Schedule'!$B$2,2)=1,WEEKDAY('Daily Schedule'!$B$2,2)=4,WEEKDAY('Daily Schedule'!$B$2,2)=5,WEEKDAY('Daily Schedule'!$B$2,2)=7),IFERROR(1*'Daily Workforce'!$K85&gt;=3,FALSE()),IFERROR(1*'Daily Workforce'!$K85&gt;=2,FALSE())),IF(AND('Daily Schedule'!$A22&gt;=46,'Daily Schedule'!$A22&lt;=52),'Daily Workforce'!$M85="Y",IFERROR(1*'Daily Workforce'!$P85&gt;=2,FALSE()))))),1,0)</f>
        <v>0</v>
      </c>
      <c r="CS18" s="1" t="n">
        <f aca="false">IF(AND('Daily Workforce'!$N86="Y",'Daily Workforce'!$B86&lt;&gt;"",COUNTIF('Daily Schedule'!$F$5:$F21,'Daily Workforce'!$B86)=0,IF('Daily Schedule'!$A22=45,'Daily Workforce'!$J86="Y",IF(OR('Daily Schedule'!$A22=4,'Daily Schedule'!$A22=8),IF(OR(WEEKDAY('Daily Schedule'!$B$2,2)=1,WEEKDAY('Daily Schedule'!$B$2,2)=4,WEEKDAY('Daily Schedule'!$B$2,2)=5,WEEKDAY('Daily Schedule'!$B$2,2)=7),IFERROR(1*'Daily Workforce'!$K86&gt;=3,FALSE()),IFERROR(1*'Daily Workforce'!$K86&gt;=2,FALSE())),IF(AND('Daily Schedule'!$A22&gt;=46,'Daily Schedule'!$A22&lt;=52),'Daily Workforce'!$M86="Y",IFERROR(1*'Daily Workforce'!$P86&gt;=2,FALSE()))))),1,0)</f>
        <v>1</v>
      </c>
      <c r="CT18" s="1" t="n">
        <f aca="false">IF(AND('Daily Workforce'!$N87="Y",'Daily Workforce'!$B87&lt;&gt;"",COUNTIF('Daily Schedule'!$F$5:$F21,'Daily Workforce'!$B87)=0,IF('Daily Schedule'!$A22=45,'Daily Workforce'!$J87="Y",IF(OR('Daily Schedule'!$A22=4,'Daily Schedule'!$A22=8),IF(OR(WEEKDAY('Daily Schedule'!$B$2,2)=1,WEEKDAY('Daily Schedule'!$B$2,2)=4,WEEKDAY('Daily Schedule'!$B$2,2)=5,WEEKDAY('Daily Schedule'!$B$2,2)=7),IFERROR(1*'Daily Workforce'!$K87&gt;=3,FALSE()),IFERROR(1*'Daily Workforce'!$K87&gt;=2,FALSE())),IF(AND('Daily Schedule'!$A22&gt;=46,'Daily Schedule'!$A22&lt;=52),'Daily Workforce'!$M87="Y",IFERROR(1*'Daily Workforce'!$P87&gt;=2,FALSE()))))),1,0)</f>
        <v>1</v>
      </c>
      <c r="CU18" s="1" t="n">
        <f aca="false">IF(AND('Daily Workforce'!$N88="Y",'Daily Workforce'!$B88&lt;&gt;"",COUNTIF('Daily Schedule'!$F$5:$F21,'Daily Workforce'!$B88)=0,IF('Daily Schedule'!$A22=45,'Daily Workforce'!$J88="Y",IF(OR('Daily Schedule'!$A22=4,'Daily Schedule'!$A22=8),IF(OR(WEEKDAY('Daily Schedule'!$B$2,2)=1,WEEKDAY('Daily Schedule'!$B$2,2)=4,WEEKDAY('Daily Schedule'!$B$2,2)=5,WEEKDAY('Daily Schedule'!$B$2,2)=7),IFERROR(1*'Daily Workforce'!$K88&gt;=3,FALSE()),IFERROR(1*'Daily Workforce'!$K88&gt;=2,FALSE())),IF(AND('Daily Schedule'!$A22&gt;=46,'Daily Schedule'!$A22&lt;=52),'Daily Workforce'!$M88="Y",IFERROR(1*'Daily Workforce'!$P88&gt;=2,FALSE()))))),1,0)</f>
        <v>1</v>
      </c>
      <c r="CV18" s="1" t="n">
        <f aca="false">IF(AND('Daily Workforce'!$N89="Y",'Daily Workforce'!$B89&lt;&gt;"",COUNTIF('Daily Schedule'!$F$5:$F21,'Daily Workforce'!$B89)=0,IF('Daily Schedule'!$A22=45,'Daily Workforce'!$J89="Y",IF(OR('Daily Schedule'!$A22=4,'Daily Schedule'!$A22=8),IF(OR(WEEKDAY('Daily Schedule'!$B$2,2)=1,WEEKDAY('Daily Schedule'!$B$2,2)=4,WEEKDAY('Daily Schedule'!$B$2,2)=5,WEEKDAY('Daily Schedule'!$B$2,2)=7),IFERROR(1*'Daily Workforce'!$K89&gt;=3,FALSE()),IFERROR(1*'Daily Workforce'!$K89&gt;=2,FALSE())),IF(AND('Daily Schedule'!$A22&gt;=46,'Daily Schedule'!$A22&lt;=52),'Daily Workforce'!$M89="Y",IFERROR(1*'Daily Workforce'!$P89&gt;=2,FALSE()))))),1,0)</f>
        <v>1</v>
      </c>
      <c r="CW18" s="1" t="n">
        <f aca="false">IF(AND('Daily Workforce'!$N90="Y",'Daily Workforce'!$B90&lt;&gt;"",COUNTIF('Daily Schedule'!$F$5:$F21,'Daily Workforce'!$B90)=0,IF('Daily Schedule'!$A22=45,'Daily Workforce'!$J90="Y",IF(OR('Daily Schedule'!$A22=4,'Daily Schedule'!$A22=8),IF(OR(WEEKDAY('Daily Schedule'!$B$2,2)=1,WEEKDAY('Daily Schedule'!$B$2,2)=4,WEEKDAY('Daily Schedule'!$B$2,2)=5,WEEKDAY('Daily Schedule'!$B$2,2)=7),IFERROR(1*'Daily Workforce'!$K90&gt;=3,FALSE()),IFERROR(1*'Daily Workforce'!$K90&gt;=2,FALSE())),IF(AND('Daily Schedule'!$A22&gt;=46,'Daily Schedule'!$A22&lt;=52),'Daily Workforce'!$M90="Y",IFERROR(1*'Daily Workforce'!$P90&gt;=2,FALSE()))))),1,0)</f>
        <v>1</v>
      </c>
      <c r="CX18" s="1" t="n">
        <f aca="false">IF(AND('Daily Workforce'!$N91="Y",'Daily Workforce'!$B91&lt;&gt;"",COUNTIF('Daily Schedule'!$F$5:$F21,'Daily Workforce'!$B91)=0,IF('Daily Schedule'!$A22=45,'Daily Workforce'!$J91="Y",IF(OR('Daily Schedule'!$A22=4,'Daily Schedule'!$A22=8),IF(OR(WEEKDAY('Daily Schedule'!$B$2,2)=1,WEEKDAY('Daily Schedule'!$B$2,2)=4,WEEKDAY('Daily Schedule'!$B$2,2)=5,WEEKDAY('Daily Schedule'!$B$2,2)=7),IFERROR(1*'Daily Workforce'!$K91&gt;=3,FALSE()),IFERROR(1*'Daily Workforce'!$K91&gt;=2,FALSE())),IF(AND('Daily Schedule'!$A22&gt;=46,'Daily Schedule'!$A22&lt;=52),'Daily Workforce'!$M91="Y",IFERROR(1*'Daily Workforce'!$P91&gt;=2,FALSE()))))),1,0)</f>
        <v>1</v>
      </c>
      <c r="CY18" s="1" t="n">
        <f aca="false">IF(AND('Daily Workforce'!$N92="Y",'Daily Workforce'!$B92&lt;&gt;"",COUNTIF('Daily Schedule'!$F$5:$F21,'Daily Workforce'!$B92)=0,IF('Daily Schedule'!$A22=45,'Daily Workforce'!$J92="Y",IF(OR('Daily Schedule'!$A22=4,'Daily Schedule'!$A22=8),IF(OR(WEEKDAY('Daily Schedule'!$B$2,2)=1,WEEKDAY('Daily Schedule'!$B$2,2)=4,WEEKDAY('Daily Schedule'!$B$2,2)=5,WEEKDAY('Daily Schedule'!$B$2,2)=7),IFERROR(1*'Daily Workforce'!$K92&gt;=3,FALSE()),IFERROR(1*'Daily Workforce'!$K92&gt;=2,FALSE())),IF(AND('Daily Schedule'!$A22&gt;=46,'Daily Schedule'!$A22&lt;=52),'Daily Workforce'!$M92="Y",IFERROR(1*'Daily Workforce'!$P92&gt;=2,FALSE()))))),1,0)</f>
        <v>1</v>
      </c>
      <c r="CZ18" s="1" t="n">
        <f aca="false">IF(AND('Daily Workforce'!$N93="Y",'Daily Workforce'!$B93&lt;&gt;"",COUNTIF('Daily Schedule'!$F$5:$F21,'Daily Workforce'!$B93)=0,IF('Daily Schedule'!$A22=45,'Daily Workforce'!$J93="Y",IF(OR('Daily Schedule'!$A22=4,'Daily Schedule'!$A22=8),IF(OR(WEEKDAY('Daily Schedule'!$B$2,2)=1,WEEKDAY('Daily Schedule'!$B$2,2)=4,WEEKDAY('Daily Schedule'!$B$2,2)=5,WEEKDAY('Daily Schedule'!$B$2,2)=7),IFERROR(1*'Daily Workforce'!$K93&gt;=3,FALSE()),IFERROR(1*'Daily Workforce'!$K93&gt;=2,FALSE())),IF(AND('Daily Schedule'!$A22&gt;=46,'Daily Schedule'!$A22&lt;=52),'Daily Workforce'!$M93="Y",IFERROR(1*'Daily Workforce'!$P93&gt;=2,FALSE()))))),1,0)</f>
        <v>1</v>
      </c>
      <c r="DA18" s="1" t="n">
        <f aca="false">IF(AND('Daily Workforce'!$N94="Y",'Daily Workforce'!$B94&lt;&gt;"",COUNTIF('Daily Schedule'!$F$5:$F21,'Daily Workforce'!$B94)=0,IF('Daily Schedule'!$A22=45,'Daily Workforce'!$J94="Y",IF(OR('Daily Schedule'!$A22=4,'Daily Schedule'!$A22=8),IF(OR(WEEKDAY('Daily Schedule'!$B$2,2)=1,WEEKDAY('Daily Schedule'!$B$2,2)=4,WEEKDAY('Daily Schedule'!$B$2,2)=5,WEEKDAY('Daily Schedule'!$B$2,2)=7),IFERROR(1*'Daily Workforce'!$K94&gt;=3,FALSE()),IFERROR(1*'Daily Workforce'!$K94&gt;=2,FALSE())),IF(AND('Daily Schedule'!$A22&gt;=46,'Daily Schedule'!$A22&lt;=52),'Daily Workforce'!$M94="Y",IFERROR(1*'Daily Workforce'!$P94&gt;=2,FALSE()))))),1,0)</f>
        <v>1</v>
      </c>
      <c r="DB18" s="1" t="n">
        <f aca="false">IF(AND('Daily Workforce'!$N95="Y",'Daily Workforce'!$B95&lt;&gt;"",COUNTIF('Daily Schedule'!$F$5:$F21,'Daily Workforce'!$B95)=0,IF('Daily Schedule'!$A22=45,'Daily Workforce'!$J95="Y",IF(OR('Daily Schedule'!$A22=4,'Daily Schedule'!$A22=8),IF(OR(WEEKDAY('Daily Schedule'!$B$2,2)=1,WEEKDAY('Daily Schedule'!$B$2,2)=4,WEEKDAY('Daily Schedule'!$B$2,2)=5,WEEKDAY('Daily Schedule'!$B$2,2)=7),IFERROR(1*'Daily Workforce'!$K95&gt;=3,FALSE()),IFERROR(1*'Daily Workforce'!$K95&gt;=2,FALSE())),IF(AND('Daily Schedule'!$A22&gt;=46,'Daily Schedule'!$A22&lt;=52),'Daily Workforce'!$M95="Y",IFERROR(1*'Daily Workforce'!$P95&gt;=2,FALSE()))))),1,0)</f>
        <v>1</v>
      </c>
      <c r="DC18" s="1" t="n">
        <f aca="false">IF(AND('Daily Workforce'!$N96="Y",'Daily Workforce'!$B96&lt;&gt;"",COUNTIF('Daily Schedule'!$F$5:$F21,'Daily Workforce'!$B96)=0,IF('Daily Schedule'!$A22=45,'Daily Workforce'!$J96="Y",IF(OR('Daily Schedule'!$A22=4,'Daily Schedule'!$A22=8),IF(OR(WEEKDAY('Daily Schedule'!$B$2,2)=1,WEEKDAY('Daily Schedule'!$B$2,2)=4,WEEKDAY('Daily Schedule'!$B$2,2)=5,WEEKDAY('Daily Schedule'!$B$2,2)=7),IFERROR(1*'Daily Workforce'!$K96&gt;=3,FALSE()),IFERROR(1*'Daily Workforce'!$K96&gt;=2,FALSE())),IF(AND('Daily Schedule'!$A22&gt;=46,'Daily Schedule'!$A22&lt;=52),'Daily Workforce'!$M96="Y",IFERROR(1*'Daily Workforce'!$P96&gt;=2,FALSE()))))),1,0)</f>
        <v>1</v>
      </c>
      <c r="DD18" s="1" t="n">
        <f aca="false">IF(AND('Daily Workforce'!$N97="Y",'Daily Workforce'!$B97&lt;&gt;"",COUNTIF('Daily Schedule'!$F$5:$F21,'Daily Workforce'!$B97)=0,IF('Daily Schedule'!$A22=45,'Daily Workforce'!$J97="Y",IF(OR('Daily Schedule'!$A22=4,'Daily Schedule'!$A22=8),IF(OR(WEEKDAY('Daily Schedule'!$B$2,2)=1,WEEKDAY('Daily Schedule'!$B$2,2)=4,WEEKDAY('Daily Schedule'!$B$2,2)=5,WEEKDAY('Daily Schedule'!$B$2,2)=7),IFERROR(1*'Daily Workforce'!$K97&gt;=3,FALSE()),IFERROR(1*'Daily Workforce'!$K97&gt;=2,FALSE())),IF(AND('Daily Schedule'!$A22&gt;=46,'Daily Schedule'!$A22&lt;=52),'Daily Workforce'!$M97="Y",IFERROR(1*'Daily Workforce'!$P97&gt;=2,FALSE()))))),1,0)</f>
        <v>1</v>
      </c>
      <c r="DE18" s="1" t="n">
        <f aca="false">IF(AND('Daily Workforce'!$N98="Y",'Daily Workforce'!$B98&lt;&gt;"",COUNTIF('Daily Schedule'!$F$5:$F21,'Daily Workforce'!$B98)=0,IF('Daily Schedule'!$A22=45,'Daily Workforce'!$J98="Y",IF(OR('Daily Schedule'!$A22=4,'Daily Schedule'!$A22=8),IF(OR(WEEKDAY('Daily Schedule'!$B$2,2)=1,WEEKDAY('Daily Schedule'!$B$2,2)=4,WEEKDAY('Daily Schedule'!$B$2,2)=5,WEEKDAY('Daily Schedule'!$B$2,2)=7),IFERROR(1*'Daily Workforce'!$K98&gt;=3,FALSE()),IFERROR(1*'Daily Workforce'!$K98&gt;=2,FALSE())),IF(AND('Daily Schedule'!$A22&gt;=46,'Daily Schedule'!$A22&lt;=52),'Daily Workforce'!$M98="Y",IFERROR(1*'Daily Workforce'!$P98&gt;=2,FALSE()))))),1,0)</f>
        <v>1</v>
      </c>
      <c r="DF18" s="1" t="n">
        <f aca="false">IF(AND('Daily Workforce'!$N99="Y",'Daily Workforce'!$B99&lt;&gt;"",COUNTIF('Daily Schedule'!$F$5:$F21,'Daily Workforce'!$B99)=0,IF('Daily Schedule'!$A22=45,'Daily Workforce'!$J99="Y",IF(OR('Daily Schedule'!$A22=4,'Daily Schedule'!$A22=8),IF(OR(WEEKDAY('Daily Schedule'!$B$2,2)=1,WEEKDAY('Daily Schedule'!$B$2,2)=4,WEEKDAY('Daily Schedule'!$B$2,2)=5,WEEKDAY('Daily Schedule'!$B$2,2)=7),IFERROR(1*'Daily Workforce'!$K99&gt;=3,FALSE()),IFERROR(1*'Daily Workforce'!$K99&gt;=2,FALSE())),IF(AND('Daily Schedule'!$A22&gt;=46,'Daily Schedule'!$A22&lt;=52),'Daily Workforce'!$M99="Y",IFERROR(1*'Daily Workforce'!$P99&gt;=2,FALSE()))))),1,0)</f>
        <v>1</v>
      </c>
      <c r="DG18" s="1" t="n">
        <f aca="false">IF(AND('Daily Workforce'!$N100="Y",'Daily Workforce'!$B100&lt;&gt;"",COUNTIF('Daily Schedule'!$F$5:$F21,'Daily Workforce'!$B100)=0,IF('Daily Schedule'!$A22=45,'Daily Workforce'!$J100="Y",IF(OR('Daily Schedule'!$A22=4,'Daily Schedule'!$A22=8),IF(OR(WEEKDAY('Daily Schedule'!$B$2,2)=1,WEEKDAY('Daily Schedule'!$B$2,2)=4,WEEKDAY('Daily Schedule'!$B$2,2)=5,WEEKDAY('Daily Schedule'!$B$2,2)=7),IFERROR(1*'Daily Workforce'!$K100&gt;=3,FALSE()),IFERROR(1*'Daily Workforce'!$K100&gt;=2,FALSE())),IF(AND('Daily Schedule'!$A22&gt;=46,'Daily Schedule'!$A22&lt;=52),'Daily Workforce'!$M100="Y",IFERROR(1*'Daily Workforce'!$P100&gt;=2,FALSE()))))),1,0)</f>
        <v>1</v>
      </c>
      <c r="DH18" s="1" t="n">
        <f aca="false">IF(AND('Daily Workforce'!$N101="Y",'Daily Workforce'!$B101&lt;&gt;"",COUNTIF('Daily Schedule'!$F$5:$F21,'Daily Workforce'!$B101)=0,IF('Daily Schedule'!$A22=45,'Daily Workforce'!$J101="Y",IF(OR('Daily Schedule'!$A22=4,'Daily Schedule'!$A22=8),IF(OR(WEEKDAY('Daily Schedule'!$B$2,2)=1,WEEKDAY('Daily Schedule'!$B$2,2)=4,WEEKDAY('Daily Schedule'!$B$2,2)=5,WEEKDAY('Daily Schedule'!$B$2,2)=7),IFERROR(1*'Daily Workforce'!$K101&gt;=3,FALSE()),IFERROR(1*'Daily Workforce'!$K101&gt;=2,FALSE())),IF(AND('Daily Schedule'!$A22&gt;=46,'Daily Schedule'!$A22&lt;=52),'Daily Workforce'!$M101="Y",IFERROR(1*'Daily Workforce'!$P101&gt;=2,FALSE()))))),1,0)</f>
        <v>1</v>
      </c>
      <c r="DI18" s="1" t="n">
        <f aca="false">IF(AND('Daily Workforce'!$N102="Y",'Daily Workforce'!$B102&lt;&gt;"",COUNTIF('Daily Schedule'!$F$5:$F21,'Daily Workforce'!$B102)=0,IF('Daily Schedule'!$A22=45,'Daily Workforce'!$J102="Y",IF(OR('Daily Schedule'!$A22=4,'Daily Schedule'!$A22=8),IF(OR(WEEKDAY('Daily Schedule'!$B$2,2)=1,WEEKDAY('Daily Schedule'!$B$2,2)=4,WEEKDAY('Daily Schedule'!$B$2,2)=5,WEEKDAY('Daily Schedule'!$B$2,2)=7),IFERROR(1*'Daily Workforce'!$K102&gt;=3,FALSE()),IFERROR(1*'Daily Workforce'!$K102&gt;=2,FALSE())),IF(AND('Daily Schedule'!$A22&gt;=46,'Daily Schedule'!$A22&lt;=52),'Daily Workforce'!$M102="Y",IFERROR(1*'Daily Workforce'!$P102&gt;=2,FALSE()))))),1,0)</f>
        <v>1</v>
      </c>
      <c r="DJ18" s="1" t="n">
        <f aca="false">IF(AND('Daily Workforce'!$N103="Y",'Daily Workforce'!$B103&lt;&gt;"",COUNTIF('Daily Schedule'!$F$5:$F21,'Daily Workforce'!$B103)=0,IF('Daily Schedule'!$A22=45,'Daily Workforce'!$J103="Y",IF(OR('Daily Schedule'!$A22=4,'Daily Schedule'!$A22=8),IF(OR(WEEKDAY('Daily Schedule'!$B$2,2)=1,WEEKDAY('Daily Schedule'!$B$2,2)=4,WEEKDAY('Daily Schedule'!$B$2,2)=5,WEEKDAY('Daily Schedule'!$B$2,2)=7),IFERROR(1*'Daily Workforce'!$K103&gt;=3,FALSE()),IFERROR(1*'Daily Workforce'!$K103&gt;=2,FALSE())),IF(AND('Daily Schedule'!$A22&gt;=46,'Daily Schedule'!$A22&lt;=52),'Daily Workforce'!$M103="Y",IFERROR(1*'Daily Workforce'!$P103&gt;=2,FALSE()))))),1,0)</f>
        <v>1</v>
      </c>
      <c r="DK18" s="1" t="n">
        <f aca="false">IF(AND('Daily Workforce'!$N104="Y",'Daily Workforce'!$B104&lt;&gt;"",COUNTIF('Daily Schedule'!$F$5:$F21,'Daily Workforce'!$B104)=0,IF('Daily Schedule'!$A22=45,'Daily Workforce'!$J104="Y",IF(OR('Daily Schedule'!$A22=4,'Daily Schedule'!$A22=8),IF(OR(WEEKDAY('Daily Schedule'!$B$2,2)=1,WEEKDAY('Daily Schedule'!$B$2,2)=4,WEEKDAY('Daily Schedule'!$B$2,2)=5,WEEKDAY('Daily Schedule'!$B$2,2)=7),IFERROR(1*'Daily Workforce'!$K104&gt;=3,FALSE()),IFERROR(1*'Daily Workforce'!$K104&gt;=2,FALSE())),IF(AND('Daily Schedule'!$A22&gt;=46,'Daily Schedule'!$A22&lt;=52),'Daily Workforce'!$M104="Y",IFERROR(1*'Daily Workforce'!$P104&gt;=2,FALSE()))))),1,0)</f>
        <v>1</v>
      </c>
      <c r="DL18" s="1" t="n">
        <f aca="false">IF(AND('Daily Workforce'!$N105="Y",'Daily Workforce'!$B105&lt;&gt;"",COUNTIF('Daily Schedule'!$F$5:$F21,'Daily Workforce'!$B105)=0,IF('Daily Schedule'!$A22=45,'Daily Workforce'!$J105="Y",IF(OR('Daily Schedule'!$A22=4,'Daily Schedule'!$A22=8),IF(OR(WEEKDAY('Daily Schedule'!$B$2,2)=1,WEEKDAY('Daily Schedule'!$B$2,2)=4,WEEKDAY('Daily Schedule'!$B$2,2)=5,WEEKDAY('Daily Schedule'!$B$2,2)=7),IFERROR(1*'Daily Workforce'!$K105&gt;=3,FALSE()),IFERROR(1*'Daily Workforce'!$K105&gt;=2,FALSE())),IF(AND('Daily Schedule'!$A22&gt;=46,'Daily Schedule'!$A22&lt;=52),'Daily Workforce'!$M105="Y",IFERROR(1*'Daily Workforce'!$P105&gt;=2,FALSE()))))),1,0)</f>
        <v>0</v>
      </c>
      <c r="DM18" s="1" t="n">
        <f aca="false">IF(AND('Daily Workforce'!$N106="Y",'Daily Workforce'!$B106&lt;&gt;"",COUNTIF('Daily Schedule'!$F$5:$F21,'Daily Workforce'!$B106)=0,IF('Daily Schedule'!$A22=45,'Daily Workforce'!$J106="Y",IF(OR('Daily Schedule'!$A22=4,'Daily Schedule'!$A22=8),IF(OR(WEEKDAY('Daily Schedule'!$B$2,2)=1,WEEKDAY('Daily Schedule'!$B$2,2)=4,WEEKDAY('Daily Schedule'!$B$2,2)=5,WEEKDAY('Daily Schedule'!$B$2,2)=7),IFERROR(1*'Daily Workforce'!$K106&gt;=3,FALSE()),IFERROR(1*'Daily Workforce'!$K106&gt;=2,FALSE())),IF(AND('Daily Schedule'!$A22&gt;=46,'Daily Schedule'!$A22&lt;=52),'Daily Workforce'!$M106="Y",IFERROR(1*'Daily Workforce'!$P106&gt;=2,FALSE()))))),1,0)</f>
        <v>1</v>
      </c>
      <c r="DN18" s="1" t="n">
        <f aca="false">IF(AND('Daily Workforce'!$N107="Y",'Daily Workforce'!$B107&lt;&gt;"",COUNTIF('Daily Schedule'!$F$5:$F21,'Daily Workforce'!$B107)=0,IF('Daily Schedule'!$A22=45,'Daily Workforce'!$J107="Y",IF(OR('Daily Schedule'!$A22=4,'Daily Schedule'!$A22=8),IF(OR(WEEKDAY('Daily Schedule'!$B$2,2)=1,WEEKDAY('Daily Schedule'!$B$2,2)=4,WEEKDAY('Daily Schedule'!$B$2,2)=5,WEEKDAY('Daily Schedule'!$B$2,2)=7),IFERROR(1*'Daily Workforce'!$K107&gt;=3,FALSE()),IFERROR(1*'Daily Workforce'!$K107&gt;=2,FALSE())),IF(AND('Daily Schedule'!$A22&gt;=46,'Daily Schedule'!$A22&lt;=52),'Daily Workforce'!$M107="Y",IFERROR(1*'Daily Workforce'!$P107&gt;=2,FALSE()))))),1,0)</f>
        <v>1</v>
      </c>
      <c r="DO18" s="1" t="n">
        <f aca="false">IF(AND('Daily Workforce'!$N108="Y",'Daily Workforce'!$B108&lt;&gt;"",COUNTIF('Daily Schedule'!$F$5:$F21,'Daily Workforce'!$B108)=0,IF('Daily Schedule'!$A22=45,'Daily Workforce'!$J108="Y",IF(OR('Daily Schedule'!$A22=4,'Daily Schedule'!$A22=8),IF(OR(WEEKDAY('Daily Schedule'!$B$2,2)=1,WEEKDAY('Daily Schedule'!$B$2,2)=4,WEEKDAY('Daily Schedule'!$B$2,2)=5,WEEKDAY('Daily Schedule'!$B$2,2)=7),IFERROR(1*'Daily Workforce'!$K108&gt;=3,FALSE()),IFERROR(1*'Daily Workforce'!$K108&gt;=2,FALSE())),IF(AND('Daily Schedule'!$A22&gt;=46,'Daily Schedule'!$A22&lt;=52),'Daily Workforce'!$M108="Y",IFERROR(1*'Daily Workforce'!$P108&gt;=2,FALSE()))))),1,0)</f>
        <v>1</v>
      </c>
      <c r="DP18" s="1" t="n">
        <f aca="false">IF(AND('Daily Workforce'!$N109="Y",'Daily Workforce'!$B109&lt;&gt;"",COUNTIF('Daily Schedule'!$F$5:$F21,'Daily Workforce'!$B109)=0,IF('Daily Schedule'!$A22=45,'Daily Workforce'!$J109="Y",IF(OR('Daily Schedule'!$A22=4,'Daily Schedule'!$A22=8),IF(OR(WEEKDAY('Daily Schedule'!$B$2,2)=1,WEEKDAY('Daily Schedule'!$B$2,2)=4,WEEKDAY('Daily Schedule'!$B$2,2)=5,WEEKDAY('Daily Schedule'!$B$2,2)=7),IFERROR(1*'Daily Workforce'!$K109&gt;=3,FALSE()),IFERROR(1*'Daily Workforce'!$K109&gt;=2,FALSE())),IF(AND('Daily Schedule'!$A22&gt;=46,'Daily Schedule'!$A22&lt;=52),'Daily Workforce'!$M109="Y",IFERROR(1*'Daily Workforce'!$P109&gt;=2,FALSE()))))),1,0)</f>
        <v>1</v>
      </c>
      <c r="DQ18" s="1" t="n">
        <f aca="false">IF(AND('Daily Workforce'!$N110="Y",'Daily Workforce'!$B110&lt;&gt;"",COUNTIF('Daily Schedule'!$F$5:$F21,'Daily Workforce'!$B110)=0,IF('Daily Schedule'!$A22=45,'Daily Workforce'!$J110="Y",IF(OR('Daily Schedule'!$A22=4,'Daily Schedule'!$A22=8),IF(OR(WEEKDAY('Daily Schedule'!$B$2,2)=1,WEEKDAY('Daily Schedule'!$B$2,2)=4,WEEKDAY('Daily Schedule'!$B$2,2)=5,WEEKDAY('Daily Schedule'!$B$2,2)=7),IFERROR(1*'Daily Workforce'!$K110&gt;=3,FALSE()),IFERROR(1*'Daily Workforce'!$K110&gt;=2,FALSE())),IF(AND('Daily Schedule'!$A22&gt;=46,'Daily Schedule'!$A22&lt;=52),'Daily Workforce'!$M110="Y",IFERROR(1*'Daily Workforce'!$P110&gt;=2,FALSE()))))),1,0)</f>
        <v>1</v>
      </c>
      <c r="DR18" s="1" t="n">
        <f aca="false">IF(AND('Daily Workforce'!$N111="Y",'Daily Workforce'!$B111&lt;&gt;"",COUNTIF('Daily Schedule'!$F$5:$F21,'Daily Workforce'!$B111)=0,IF('Daily Schedule'!$A22=45,'Daily Workforce'!$J111="Y",IF(OR('Daily Schedule'!$A22=4,'Daily Schedule'!$A22=8),IF(OR(WEEKDAY('Daily Schedule'!$B$2,2)=1,WEEKDAY('Daily Schedule'!$B$2,2)=4,WEEKDAY('Daily Schedule'!$B$2,2)=5,WEEKDAY('Daily Schedule'!$B$2,2)=7),IFERROR(1*'Daily Workforce'!$K111&gt;=3,FALSE()),IFERROR(1*'Daily Workforce'!$K111&gt;=2,FALSE())),IF(AND('Daily Schedule'!$A22&gt;=46,'Daily Schedule'!$A22&lt;=52),'Daily Workforce'!$M111="Y",IFERROR(1*'Daily Workforce'!$P111&gt;=2,FALSE()))))),1,0)</f>
        <v>1</v>
      </c>
      <c r="DS18" s="1" t="n">
        <f aca="false">IF(AND('Daily Workforce'!$N112="Y",'Daily Workforce'!$B112&lt;&gt;"",COUNTIF('Daily Schedule'!$F$5:$F21,'Daily Workforce'!$B112)=0,IF('Daily Schedule'!$A22=45,'Daily Workforce'!$J112="Y",IF(OR('Daily Schedule'!$A22=4,'Daily Schedule'!$A22=8),IF(OR(WEEKDAY('Daily Schedule'!$B$2,2)=1,WEEKDAY('Daily Schedule'!$B$2,2)=4,WEEKDAY('Daily Schedule'!$B$2,2)=5,WEEKDAY('Daily Schedule'!$B$2,2)=7),IFERROR(1*'Daily Workforce'!$K112&gt;=3,FALSE()),IFERROR(1*'Daily Workforce'!$K112&gt;=2,FALSE())),IF(AND('Daily Schedule'!$A22&gt;=46,'Daily Schedule'!$A22&lt;=52),'Daily Workforce'!$M112="Y",IFERROR(1*'Daily Workforce'!$P112&gt;=2,FALSE()))))),1,0)</f>
        <v>1</v>
      </c>
      <c r="DT18" s="1" t="n">
        <f aca="false">IF(AND('Daily Workforce'!$N113="Y",'Daily Workforce'!$B113&lt;&gt;"",COUNTIF('Daily Schedule'!$F$5:$F21,'Daily Workforce'!$B113)=0,IF('Daily Schedule'!$A22=45,'Daily Workforce'!$J113="Y",IF(OR('Daily Schedule'!$A22=4,'Daily Schedule'!$A22=8),IF(OR(WEEKDAY('Daily Schedule'!$B$2,2)=1,WEEKDAY('Daily Schedule'!$B$2,2)=4,WEEKDAY('Daily Schedule'!$B$2,2)=5,WEEKDAY('Daily Schedule'!$B$2,2)=7),IFERROR(1*'Daily Workforce'!$K113&gt;=3,FALSE()),IFERROR(1*'Daily Workforce'!$K113&gt;=2,FALSE())),IF(AND('Daily Schedule'!$A22&gt;=46,'Daily Schedule'!$A22&lt;=52),'Daily Workforce'!$M113="Y",IFERROR(1*'Daily Workforce'!$P113&gt;=2,FALSE()))))),1,0)</f>
        <v>1</v>
      </c>
      <c r="DU18" s="1" t="n">
        <f aca="false">IF(AND('Daily Workforce'!$N114="Y",'Daily Workforce'!$B114&lt;&gt;"",COUNTIF('Daily Schedule'!$F$5:$F21,'Daily Workforce'!$B114)=0,IF('Daily Schedule'!$A22=45,'Daily Workforce'!$J114="Y",IF(OR('Daily Schedule'!$A22=4,'Daily Schedule'!$A22=8),IF(OR(WEEKDAY('Daily Schedule'!$B$2,2)=1,WEEKDAY('Daily Schedule'!$B$2,2)=4,WEEKDAY('Daily Schedule'!$B$2,2)=5,WEEKDAY('Daily Schedule'!$B$2,2)=7),IFERROR(1*'Daily Workforce'!$K114&gt;=3,FALSE()),IFERROR(1*'Daily Workforce'!$K114&gt;=2,FALSE())),IF(AND('Daily Schedule'!$A22&gt;=46,'Daily Schedule'!$A22&lt;=52),'Daily Workforce'!$M114="Y",IFERROR(1*'Daily Workforce'!$P114&gt;=2,FALSE()))))),1,0)</f>
        <v>1</v>
      </c>
      <c r="DV18" s="1" t="n">
        <f aca="false">IF(AND('Daily Workforce'!$N115="Y",'Daily Workforce'!$B115&lt;&gt;"",COUNTIF('Daily Schedule'!$F$5:$F21,'Daily Workforce'!$B115)=0,IF('Daily Schedule'!$A22=45,'Daily Workforce'!$J115="Y",IF(OR('Daily Schedule'!$A22=4,'Daily Schedule'!$A22=8),IF(OR(WEEKDAY('Daily Schedule'!$B$2,2)=1,WEEKDAY('Daily Schedule'!$B$2,2)=4,WEEKDAY('Daily Schedule'!$B$2,2)=5,WEEKDAY('Daily Schedule'!$B$2,2)=7),IFERROR(1*'Daily Workforce'!$K115&gt;=3,FALSE()),IFERROR(1*'Daily Workforce'!$K115&gt;=2,FALSE())),IF(AND('Daily Schedule'!$A22&gt;=46,'Daily Schedule'!$A22&lt;=52),'Daily Workforce'!$M115="Y",IFERROR(1*'Daily Workforce'!$P115&gt;=2,FALSE()))))),1,0)</f>
        <v>1</v>
      </c>
      <c r="DW18" s="1" t="n">
        <f aca="false">IF(AND('Daily Workforce'!$N116="Y",'Daily Workforce'!$B116&lt;&gt;"",COUNTIF('Daily Schedule'!$F$5:$F21,'Daily Workforce'!$B116)=0,IF('Daily Schedule'!$A22=45,'Daily Workforce'!$J116="Y",IF(OR('Daily Schedule'!$A22=4,'Daily Schedule'!$A22=8),IF(OR(WEEKDAY('Daily Schedule'!$B$2,2)=1,WEEKDAY('Daily Schedule'!$B$2,2)=4,WEEKDAY('Daily Schedule'!$B$2,2)=5,WEEKDAY('Daily Schedule'!$B$2,2)=7),IFERROR(1*'Daily Workforce'!$K116&gt;=3,FALSE()),IFERROR(1*'Daily Workforce'!$K116&gt;=2,FALSE())),IF(AND('Daily Schedule'!$A22&gt;=46,'Daily Schedule'!$A22&lt;=52),'Daily Workforce'!$M116="Y",IFERROR(1*'Daily Workforce'!$P116&gt;=2,FALSE()))))),1,0)</f>
        <v>1</v>
      </c>
      <c r="DX18" s="1" t="n">
        <f aca="false">IF(AND('Daily Workforce'!$N117="Y",'Daily Workforce'!$B117&lt;&gt;"",COUNTIF('Daily Schedule'!$F$5:$F21,'Daily Workforce'!$B117)=0,IF('Daily Schedule'!$A22=45,'Daily Workforce'!$J117="Y",IF(OR('Daily Schedule'!$A22=4,'Daily Schedule'!$A22=8),IF(OR(WEEKDAY('Daily Schedule'!$B$2,2)=1,WEEKDAY('Daily Schedule'!$B$2,2)=4,WEEKDAY('Daily Schedule'!$B$2,2)=5,WEEKDAY('Daily Schedule'!$B$2,2)=7),IFERROR(1*'Daily Workforce'!$K117&gt;=3,FALSE()),IFERROR(1*'Daily Workforce'!$K117&gt;=2,FALSE())),IF(AND('Daily Schedule'!$A22&gt;=46,'Daily Schedule'!$A22&lt;=52),'Daily Workforce'!$M117="Y",IFERROR(1*'Daily Workforce'!$P117&gt;=2,FALSE()))))),1,0)</f>
        <v>1</v>
      </c>
      <c r="DY18" s="1" t="n">
        <f aca="false">IF(AND('Daily Workforce'!$N118="Y",'Daily Workforce'!$B118&lt;&gt;"",COUNTIF('Daily Schedule'!$F$5:$F21,'Daily Workforce'!$B118)=0,IF('Daily Schedule'!$A22=45,'Daily Workforce'!$J118="Y",IF(OR('Daily Schedule'!$A22=4,'Daily Schedule'!$A22=8),IF(OR(WEEKDAY('Daily Schedule'!$B$2,2)=1,WEEKDAY('Daily Schedule'!$B$2,2)=4,WEEKDAY('Daily Schedule'!$B$2,2)=5,WEEKDAY('Daily Schedule'!$B$2,2)=7),IFERROR(1*'Daily Workforce'!$K118&gt;=3,FALSE()),IFERROR(1*'Daily Workforce'!$K118&gt;=2,FALSE())),IF(AND('Daily Schedule'!$A22&gt;=46,'Daily Schedule'!$A22&lt;=52),'Daily Workforce'!$M118="Y",IFERROR(1*'Daily Workforce'!$P118&gt;=2,FALSE()))))),1,0)</f>
        <v>0</v>
      </c>
      <c r="DZ18" s="1" t="n">
        <f aca="false">IF(AND('Daily Workforce'!$N119="Y",'Daily Workforce'!$B119&lt;&gt;"",COUNTIF('Daily Schedule'!$F$5:$F21,'Daily Workforce'!$B119)=0,IF('Daily Schedule'!$A22=45,'Daily Workforce'!$J119="Y",IF(OR('Daily Schedule'!$A22=4,'Daily Schedule'!$A22=8),IF(OR(WEEKDAY('Daily Schedule'!$B$2,2)=1,WEEKDAY('Daily Schedule'!$B$2,2)=4,WEEKDAY('Daily Schedule'!$B$2,2)=5,WEEKDAY('Daily Schedule'!$B$2,2)=7),IFERROR(1*'Daily Workforce'!$K119&gt;=3,FALSE()),IFERROR(1*'Daily Workforce'!$K119&gt;=2,FALSE())),IF(AND('Daily Schedule'!$A22&gt;=46,'Daily Schedule'!$A22&lt;=52),'Daily Workforce'!$M119="Y",IFERROR(1*'Daily Workforce'!$P119&gt;=2,FALSE()))))),1,0)</f>
        <v>0</v>
      </c>
      <c r="EA18" s="1" t="n">
        <f aca="false">IF(AND('Daily Workforce'!$N120="Y",'Daily Workforce'!$B120&lt;&gt;"",COUNTIF('Daily Schedule'!$F$5:$F21,'Daily Workforce'!$B120)=0,IF('Daily Schedule'!$A22=45,'Daily Workforce'!$J120="Y",IF(OR('Daily Schedule'!$A22=4,'Daily Schedule'!$A22=8),IF(OR(WEEKDAY('Daily Schedule'!$B$2,2)=1,WEEKDAY('Daily Schedule'!$B$2,2)=4,WEEKDAY('Daily Schedule'!$B$2,2)=5,WEEKDAY('Daily Schedule'!$B$2,2)=7),IFERROR(1*'Daily Workforce'!$K120&gt;=3,FALSE()),IFERROR(1*'Daily Workforce'!$K120&gt;=2,FALSE())),IF(AND('Daily Schedule'!$A22&gt;=46,'Daily Schedule'!$A22&lt;=52),'Daily Workforce'!$M120="Y",IFERROR(1*'Daily Workforce'!$P120&gt;=2,FALSE()))))),1,0)</f>
        <v>0</v>
      </c>
      <c r="EB18" s="1" t="n">
        <f aca="false">IF(AND('Daily Workforce'!$N121="Y",'Daily Workforce'!$B121&lt;&gt;"",COUNTIF('Daily Schedule'!$F$5:$F21,'Daily Workforce'!$B121)=0,IF('Daily Schedule'!$A22=45,'Daily Workforce'!$J121="Y",IF(OR('Daily Schedule'!$A22=4,'Daily Schedule'!$A22=8),IF(OR(WEEKDAY('Daily Schedule'!$B$2,2)=1,WEEKDAY('Daily Schedule'!$B$2,2)=4,WEEKDAY('Daily Schedule'!$B$2,2)=5,WEEKDAY('Daily Schedule'!$B$2,2)=7),IFERROR(1*'Daily Workforce'!$K121&gt;=3,FALSE()),IFERROR(1*'Daily Workforce'!$K121&gt;=2,FALSE())),IF(AND('Daily Schedule'!$A22&gt;=46,'Daily Schedule'!$A22&lt;=52),'Daily Workforce'!$M121="Y",IFERROR(1*'Daily Workforce'!$P121&gt;=2,FALSE()))))),1,0)</f>
        <v>0</v>
      </c>
      <c r="EC18" s="1" t="n">
        <f aca="false">IF(AND('Daily Workforce'!$N122="Y",'Daily Workforce'!$B122&lt;&gt;"",COUNTIF('Daily Schedule'!$F$5:$F21,'Daily Workforce'!$B122)=0,IF('Daily Schedule'!$A22=45,'Daily Workforce'!$J122="Y",IF(OR('Daily Schedule'!$A22=4,'Daily Schedule'!$A22=8),IF(OR(WEEKDAY('Daily Schedule'!$B$2,2)=1,WEEKDAY('Daily Schedule'!$B$2,2)=4,WEEKDAY('Daily Schedule'!$B$2,2)=5,WEEKDAY('Daily Schedule'!$B$2,2)=7),IFERROR(1*'Daily Workforce'!$K122&gt;=3,FALSE()),IFERROR(1*'Daily Workforce'!$K122&gt;=2,FALSE())),IF(AND('Daily Schedule'!$A22&gt;=46,'Daily Schedule'!$A22&lt;=52),'Daily Workforce'!$M122="Y",IFERROR(1*'Daily Workforce'!$P122&gt;=2,FALSE()))))),1,0)</f>
        <v>0</v>
      </c>
      <c r="ED18" s="1" t="n">
        <f aca="false">IF(AND('Daily Workforce'!$N123="Y",'Daily Workforce'!$B123&lt;&gt;"",COUNTIF('Daily Schedule'!$F$5:$F21,'Daily Workforce'!$B123)=0,IF('Daily Schedule'!$A22=45,'Daily Workforce'!$J123="Y",IF(OR('Daily Schedule'!$A22=4,'Daily Schedule'!$A22=8),IF(OR(WEEKDAY('Daily Schedule'!$B$2,2)=1,WEEKDAY('Daily Schedule'!$B$2,2)=4,WEEKDAY('Daily Schedule'!$B$2,2)=5,WEEKDAY('Daily Schedule'!$B$2,2)=7),IFERROR(1*'Daily Workforce'!$K123&gt;=3,FALSE()),IFERROR(1*'Daily Workforce'!$K123&gt;=2,FALSE())),IF(AND('Daily Schedule'!$A22&gt;=46,'Daily Schedule'!$A22&lt;=52),'Daily Workforce'!$M123="Y",IFERROR(1*'Daily Workforce'!$P123&gt;=2,FALSE()))))),1,0)</f>
        <v>0</v>
      </c>
      <c r="EE18" s="1" t="n">
        <f aca="false">IF(AND('Daily Workforce'!$N124="Y",'Daily Workforce'!$B124&lt;&gt;"",COUNTIF('Daily Schedule'!$F$5:$F21,'Daily Workforce'!$B124)=0,IF('Daily Schedule'!$A22=45,'Daily Workforce'!$J124="Y",IF(OR('Daily Schedule'!$A22=4,'Daily Schedule'!$A22=8),IF(OR(WEEKDAY('Daily Schedule'!$B$2,2)=1,WEEKDAY('Daily Schedule'!$B$2,2)=4,WEEKDAY('Daily Schedule'!$B$2,2)=5,WEEKDAY('Daily Schedule'!$B$2,2)=7),IFERROR(1*'Daily Workforce'!$K124&gt;=3,FALSE()),IFERROR(1*'Daily Workforce'!$K124&gt;=2,FALSE())),IF(AND('Daily Schedule'!$A22&gt;=46,'Daily Schedule'!$A22&lt;=52),'Daily Workforce'!$M124="Y",IFERROR(1*'Daily Workforce'!$P124&gt;=2,FALSE()))))),1,0)</f>
        <v>0</v>
      </c>
      <c r="EF18" s="1" t="n">
        <f aca="false">IF(AND('Daily Workforce'!$N125="Y",'Daily Workforce'!$B125&lt;&gt;"",COUNTIF('Daily Schedule'!$F$5:$F21,'Daily Workforce'!$B125)=0,IF('Daily Schedule'!$A22=45,'Daily Workforce'!$J125="Y",IF(OR('Daily Schedule'!$A22=4,'Daily Schedule'!$A22=8),IF(OR(WEEKDAY('Daily Schedule'!$B$2,2)=1,WEEKDAY('Daily Schedule'!$B$2,2)=4,WEEKDAY('Daily Schedule'!$B$2,2)=5,WEEKDAY('Daily Schedule'!$B$2,2)=7),IFERROR(1*'Daily Workforce'!$K125&gt;=3,FALSE()),IFERROR(1*'Daily Workforce'!$K125&gt;=2,FALSE())),IF(AND('Daily Schedule'!$A22&gt;=46,'Daily Schedule'!$A22&lt;=52),'Daily Workforce'!$M125="Y",IFERROR(1*'Daily Workforce'!$P125&gt;=2,FALSE()))))),1,0)</f>
        <v>0</v>
      </c>
      <c r="EG18" s="1" t="n">
        <f aca="false">IF(AND('Daily Workforce'!$N126="Y",'Daily Workforce'!$B126&lt;&gt;"",COUNTIF('Daily Schedule'!$F$5:$F21,'Daily Workforce'!$B126)=0,IF('Daily Schedule'!$A22=45,'Daily Workforce'!$J126="Y",IF(OR('Daily Schedule'!$A22=4,'Daily Schedule'!$A22=8),IF(OR(WEEKDAY('Daily Schedule'!$B$2,2)=1,WEEKDAY('Daily Schedule'!$B$2,2)=4,WEEKDAY('Daily Schedule'!$B$2,2)=5,WEEKDAY('Daily Schedule'!$B$2,2)=7),IFERROR(1*'Daily Workforce'!$K126&gt;=3,FALSE()),IFERROR(1*'Daily Workforce'!$K126&gt;=2,FALSE())),IF(AND('Daily Schedule'!$A22&gt;=46,'Daily Schedule'!$A22&lt;=52),'Daily Workforce'!$M126="Y",IFERROR(1*'Daily Workforce'!$P126&gt;=2,FALSE()))))),1,0)</f>
        <v>0</v>
      </c>
      <c r="EH18" s="1" t="n">
        <f aca="false">IF(AND('Daily Workforce'!$N127="Y",'Daily Workforce'!$B127&lt;&gt;"",COUNTIF('Daily Schedule'!$F$5:$F21,'Daily Workforce'!$B127)=0,IF('Daily Schedule'!$A22=45,'Daily Workforce'!$J127="Y",IF(OR('Daily Schedule'!$A22=4,'Daily Schedule'!$A22=8),IF(OR(WEEKDAY('Daily Schedule'!$B$2,2)=1,WEEKDAY('Daily Schedule'!$B$2,2)=4,WEEKDAY('Daily Schedule'!$B$2,2)=5,WEEKDAY('Daily Schedule'!$B$2,2)=7),IFERROR(1*'Daily Workforce'!$K127&gt;=3,FALSE()),IFERROR(1*'Daily Workforce'!$K127&gt;=2,FALSE())),IF(AND('Daily Schedule'!$A22&gt;=46,'Daily Schedule'!$A22&lt;=52),'Daily Workforce'!$M127="Y",IFERROR(1*'Daily Workforce'!$P127&gt;=2,FALSE()))))),1,0)</f>
        <v>0</v>
      </c>
      <c r="EI18" s="1" t="n">
        <f aca="false">IF(AND('Daily Workforce'!$N128="Y",'Daily Workforce'!$B128&lt;&gt;"",COUNTIF('Daily Schedule'!$F$5:$F21,'Daily Workforce'!$B128)=0,IF('Daily Schedule'!$A22=45,'Daily Workforce'!$J128="Y",IF(OR('Daily Schedule'!$A22=4,'Daily Schedule'!$A22=8),IF(OR(WEEKDAY('Daily Schedule'!$B$2,2)=1,WEEKDAY('Daily Schedule'!$B$2,2)=4,WEEKDAY('Daily Schedule'!$B$2,2)=5,WEEKDAY('Daily Schedule'!$B$2,2)=7),IFERROR(1*'Daily Workforce'!$K128&gt;=3,FALSE()),IFERROR(1*'Daily Workforce'!$K128&gt;=2,FALSE())),IF(AND('Daily Schedule'!$A22&gt;=46,'Daily Schedule'!$A22&lt;=52),'Daily Workforce'!$M128="Y",IFERROR(1*'Daily Workforce'!$P128&gt;=2,FALSE()))))),1,0)</f>
        <v>0</v>
      </c>
      <c r="EJ18" s="1" t="n">
        <f aca="false">IF(AND('Daily Workforce'!$N129="Y",'Daily Workforce'!$B129&lt;&gt;"",COUNTIF('Daily Schedule'!$F$5:$F21,'Daily Workforce'!$B129)=0,IF('Daily Schedule'!$A22=45,'Daily Workforce'!$J129="Y",IF(OR('Daily Schedule'!$A22=4,'Daily Schedule'!$A22=8),IF(OR(WEEKDAY('Daily Schedule'!$B$2,2)=1,WEEKDAY('Daily Schedule'!$B$2,2)=4,WEEKDAY('Daily Schedule'!$B$2,2)=5,WEEKDAY('Daily Schedule'!$B$2,2)=7),IFERROR(1*'Daily Workforce'!$K129&gt;=3,FALSE()),IFERROR(1*'Daily Workforce'!$K129&gt;=2,FALSE())),IF(AND('Daily Schedule'!$A22&gt;=46,'Daily Schedule'!$A22&lt;=52),'Daily Workforce'!$M129="Y",IFERROR(1*'Daily Workforce'!$P129&gt;=2,FALSE()))))),1,0)</f>
        <v>0</v>
      </c>
      <c r="EK18" s="1" t="n">
        <f aca="false">IF(AND('Daily Workforce'!$N130="Y",'Daily Workforce'!$B130&lt;&gt;"",COUNTIF('Daily Schedule'!$F$5:$F21,'Daily Workforce'!$B130)=0,IF('Daily Schedule'!$A22=45,'Daily Workforce'!$J130="Y",IF(OR('Daily Schedule'!$A22=4,'Daily Schedule'!$A22=8),IF(OR(WEEKDAY('Daily Schedule'!$B$2,2)=1,WEEKDAY('Daily Schedule'!$B$2,2)=4,WEEKDAY('Daily Schedule'!$B$2,2)=5,WEEKDAY('Daily Schedule'!$B$2,2)=7),IFERROR(1*'Daily Workforce'!$K130&gt;=3,FALSE()),IFERROR(1*'Daily Workforce'!$K130&gt;=2,FALSE())),IF(AND('Daily Schedule'!$A22&gt;=46,'Daily Schedule'!$A22&lt;=52),'Daily Workforce'!$M130="Y",IFERROR(1*'Daily Workforce'!$P130&gt;=2,FALSE()))))),1,0)</f>
        <v>0</v>
      </c>
      <c r="EL18" s="1" t="n">
        <f aca="false">IF(AND('Daily Workforce'!$N131="Y",'Daily Workforce'!$B131&lt;&gt;"",COUNTIF('Daily Schedule'!$F$5:$F21,'Daily Workforce'!$B131)=0,IF('Daily Schedule'!$A22=45,'Daily Workforce'!$J131="Y",IF(OR('Daily Schedule'!$A22=4,'Daily Schedule'!$A22=8),IF(OR(WEEKDAY('Daily Schedule'!$B$2,2)=1,WEEKDAY('Daily Schedule'!$B$2,2)=4,WEEKDAY('Daily Schedule'!$B$2,2)=5,WEEKDAY('Daily Schedule'!$B$2,2)=7),IFERROR(1*'Daily Workforce'!$K131&gt;=3,FALSE()),IFERROR(1*'Daily Workforce'!$K131&gt;=2,FALSE())),IF(AND('Daily Schedule'!$A22&gt;=46,'Daily Schedule'!$A22&lt;=52),'Daily Workforce'!$M131="Y",IFERROR(1*'Daily Workforce'!$P131&gt;=2,FALSE()))))),1,0)</f>
        <v>0</v>
      </c>
      <c r="EM18" s="1" t="n">
        <f aca="false">IF(AND('Daily Workforce'!$N132="Y",'Daily Workforce'!$B132&lt;&gt;"",COUNTIF('Daily Schedule'!$F$5:$F21,'Daily Workforce'!$B132)=0,IF('Daily Schedule'!$A22=45,'Daily Workforce'!$J132="Y",IF(OR('Daily Schedule'!$A22=4,'Daily Schedule'!$A22=8),IF(OR(WEEKDAY('Daily Schedule'!$B$2,2)=1,WEEKDAY('Daily Schedule'!$B$2,2)=4,WEEKDAY('Daily Schedule'!$B$2,2)=5,WEEKDAY('Daily Schedule'!$B$2,2)=7),IFERROR(1*'Daily Workforce'!$K132&gt;=3,FALSE()),IFERROR(1*'Daily Workforce'!$K132&gt;=2,FALSE())),IF(AND('Daily Schedule'!$A22&gt;=46,'Daily Schedule'!$A22&lt;=52),'Daily Workforce'!$M132="Y",IFERROR(1*'Daily Workforce'!$P132&gt;=2,FALSE()))))),1,0)</f>
        <v>0</v>
      </c>
      <c r="EN18" s="1" t="n">
        <f aca="false">IF(AND('Daily Workforce'!$N133="Y",'Daily Workforce'!$B133&lt;&gt;"",COUNTIF('Daily Schedule'!$F$5:$F21,'Daily Workforce'!$B133)=0,IF('Daily Schedule'!$A22=45,'Daily Workforce'!$J133="Y",IF(OR('Daily Schedule'!$A22=4,'Daily Schedule'!$A22=8),IF(OR(WEEKDAY('Daily Schedule'!$B$2,2)=1,WEEKDAY('Daily Schedule'!$B$2,2)=4,WEEKDAY('Daily Schedule'!$B$2,2)=5,WEEKDAY('Daily Schedule'!$B$2,2)=7),IFERROR(1*'Daily Workforce'!$K133&gt;=3,FALSE()),IFERROR(1*'Daily Workforce'!$K133&gt;=2,FALSE())),IF(AND('Daily Schedule'!$A22&gt;=46,'Daily Schedule'!$A22&lt;=52),'Daily Workforce'!$M133="Y",IFERROR(1*'Daily Workforce'!$P133&gt;=2,FALSE()))))),1,0)</f>
        <v>0</v>
      </c>
      <c r="EO18" s="1" t="n">
        <f aca="false">IF(AND('Daily Workforce'!$N134="Y",'Daily Workforce'!$B134&lt;&gt;"",COUNTIF('Daily Schedule'!$F$5:$F21,'Daily Workforce'!$B134)=0,IF('Daily Schedule'!$A22=45,'Daily Workforce'!$J134="Y",IF(OR('Daily Schedule'!$A22=4,'Daily Schedule'!$A22=8),IF(OR(WEEKDAY('Daily Schedule'!$B$2,2)=1,WEEKDAY('Daily Schedule'!$B$2,2)=4,WEEKDAY('Daily Schedule'!$B$2,2)=5,WEEKDAY('Daily Schedule'!$B$2,2)=7),IFERROR(1*'Daily Workforce'!$K134&gt;=3,FALSE()),IFERROR(1*'Daily Workforce'!$K134&gt;=2,FALSE())),IF(AND('Daily Schedule'!$A22&gt;=46,'Daily Schedule'!$A22&lt;=52),'Daily Workforce'!$M134="Y",IFERROR(1*'Daily Workforce'!$P134&gt;=2,FALSE()))))),1,0)</f>
        <v>0</v>
      </c>
      <c r="EP18" s="1" t="n">
        <f aca="false">IF(AND('Daily Workforce'!$N135="Y",'Daily Workforce'!$B135&lt;&gt;"",COUNTIF('Daily Schedule'!$F$5:$F21,'Daily Workforce'!$B135)=0,IF('Daily Schedule'!$A22=45,'Daily Workforce'!$J135="Y",IF(OR('Daily Schedule'!$A22=4,'Daily Schedule'!$A22=8),IF(OR(WEEKDAY('Daily Schedule'!$B$2,2)=1,WEEKDAY('Daily Schedule'!$B$2,2)=4,WEEKDAY('Daily Schedule'!$B$2,2)=5,WEEKDAY('Daily Schedule'!$B$2,2)=7),IFERROR(1*'Daily Workforce'!$K135&gt;=3,FALSE()),IFERROR(1*'Daily Workforce'!$K135&gt;=2,FALSE())),IF(AND('Daily Schedule'!$A22&gt;=46,'Daily Schedule'!$A22&lt;=52),'Daily Workforce'!$M135="Y",IFERROR(1*'Daily Workforce'!$P135&gt;=2,FALSE()))))),1,0)</f>
        <v>0</v>
      </c>
      <c r="EQ18" s="1" t="n">
        <f aca="false">IF(AND('Daily Workforce'!$N136="Y",'Daily Workforce'!$B136&lt;&gt;"",COUNTIF('Daily Schedule'!$F$5:$F21,'Daily Workforce'!$B136)=0,IF('Daily Schedule'!$A22=45,'Daily Workforce'!$J136="Y",IF(OR('Daily Schedule'!$A22=4,'Daily Schedule'!$A22=8),IF(OR(WEEKDAY('Daily Schedule'!$B$2,2)=1,WEEKDAY('Daily Schedule'!$B$2,2)=4,WEEKDAY('Daily Schedule'!$B$2,2)=5,WEEKDAY('Daily Schedule'!$B$2,2)=7),IFERROR(1*'Daily Workforce'!$K136&gt;=3,FALSE()),IFERROR(1*'Daily Workforce'!$K136&gt;=2,FALSE())),IF(AND('Daily Schedule'!$A22&gt;=46,'Daily Schedule'!$A22&lt;=52),'Daily Workforce'!$M136="Y",IFERROR(1*'Daily Workforce'!$P136&gt;=2,FALSE()))))),1,0)</f>
        <v>0</v>
      </c>
      <c r="ER18" s="1" t="n">
        <f aca="false">IF(AND('Daily Workforce'!$N137="Y",'Daily Workforce'!$B137&lt;&gt;"",COUNTIF('Daily Schedule'!$F$5:$F21,'Daily Workforce'!$B137)=0,IF('Daily Schedule'!$A22=45,'Daily Workforce'!$J137="Y",IF(OR('Daily Schedule'!$A22=4,'Daily Schedule'!$A22=8),IF(OR(WEEKDAY('Daily Schedule'!$B$2,2)=1,WEEKDAY('Daily Schedule'!$B$2,2)=4,WEEKDAY('Daily Schedule'!$B$2,2)=5,WEEKDAY('Daily Schedule'!$B$2,2)=7),IFERROR(1*'Daily Workforce'!$K137&gt;=3,FALSE()),IFERROR(1*'Daily Workforce'!$K137&gt;=2,FALSE())),IF(AND('Daily Schedule'!$A22&gt;=46,'Daily Schedule'!$A22&lt;=52),'Daily Workforce'!$M137="Y",IFERROR(1*'Daily Workforce'!$P137&gt;=2,FALSE()))))),1,0)</f>
        <v>0</v>
      </c>
      <c r="ES18" s="1" t="n">
        <f aca="false">IF(AND('Daily Workforce'!$N138="Y",'Daily Workforce'!$B138&lt;&gt;"",COUNTIF('Daily Schedule'!$F$5:$F21,'Daily Workforce'!$B138)=0,IF('Daily Schedule'!$A22=45,'Daily Workforce'!$J138="Y",IF(OR('Daily Schedule'!$A22=4,'Daily Schedule'!$A22=8),IF(OR(WEEKDAY('Daily Schedule'!$B$2,2)=1,WEEKDAY('Daily Schedule'!$B$2,2)=4,WEEKDAY('Daily Schedule'!$B$2,2)=5,WEEKDAY('Daily Schedule'!$B$2,2)=7),IFERROR(1*'Daily Workforce'!$K138&gt;=3,FALSE()),IFERROR(1*'Daily Workforce'!$K138&gt;=2,FALSE())),IF(AND('Daily Schedule'!$A22&gt;=46,'Daily Schedule'!$A22&lt;=52),'Daily Workforce'!$M138="Y",IFERROR(1*'Daily Workforce'!$P138&gt;=2,FALSE()))))),1,0)</f>
        <v>0</v>
      </c>
      <c r="ET18" s="1" t="n">
        <f aca="false">IF(AND('Daily Workforce'!$N139="Y",'Daily Workforce'!$B139&lt;&gt;"",COUNTIF('Daily Schedule'!$F$5:$F21,'Daily Workforce'!$B139)=0,IF('Daily Schedule'!$A22=45,'Daily Workforce'!$J139="Y",IF(OR('Daily Schedule'!$A22=4,'Daily Schedule'!$A22=8),IF(OR(WEEKDAY('Daily Schedule'!$B$2,2)=1,WEEKDAY('Daily Schedule'!$B$2,2)=4,WEEKDAY('Daily Schedule'!$B$2,2)=5,WEEKDAY('Daily Schedule'!$B$2,2)=7),IFERROR(1*'Daily Workforce'!$K139&gt;=3,FALSE()),IFERROR(1*'Daily Workforce'!$K139&gt;=2,FALSE())),IF(AND('Daily Schedule'!$A22&gt;=46,'Daily Schedule'!$A22&lt;=52),'Daily Workforce'!$M139="Y",IFERROR(1*'Daily Workforce'!$P139&gt;=2,FALSE()))))),1,0)</f>
        <v>0</v>
      </c>
      <c r="EU18" s="1" t="n">
        <f aca="false">IF(AND('Daily Workforce'!$N140="Y",'Daily Workforce'!$B140&lt;&gt;"",COUNTIF('Daily Schedule'!$F$5:$F21,'Daily Workforce'!$B140)=0,IF('Daily Schedule'!$A22=45,'Daily Workforce'!$J140="Y",IF(OR('Daily Schedule'!$A22=4,'Daily Schedule'!$A22=8),IF(OR(WEEKDAY('Daily Schedule'!$B$2,2)=1,WEEKDAY('Daily Schedule'!$B$2,2)=4,WEEKDAY('Daily Schedule'!$B$2,2)=5,WEEKDAY('Daily Schedule'!$B$2,2)=7),IFERROR(1*'Daily Workforce'!$K140&gt;=3,FALSE()),IFERROR(1*'Daily Workforce'!$K140&gt;=2,FALSE())),IF(AND('Daily Schedule'!$A22&gt;=46,'Daily Schedule'!$A22&lt;=52),'Daily Workforce'!$M140="Y",IFERROR(1*'Daily Workforce'!$P140&gt;=2,FALSE()))))),1,0)</f>
        <v>0</v>
      </c>
      <c r="EV18" s="1" t="n">
        <f aca="false">IF(AND('Daily Workforce'!$N141="Y",'Daily Workforce'!$B141&lt;&gt;"",COUNTIF('Daily Schedule'!$F$5:$F21,'Daily Workforce'!$B141)=0,IF('Daily Schedule'!$A22=45,'Daily Workforce'!$J141="Y",IF(OR('Daily Schedule'!$A22=4,'Daily Schedule'!$A22=8),IF(OR(WEEKDAY('Daily Schedule'!$B$2,2)=1,WEEKDAY('Daily Schedule'!$B$2,2)=4,WEEKDAY('Daily Schedule'!$B$2,2)=5,WEEKDAY('Daily Schedule'!$B$2,2)=7),IFERROR(1*'Daily Workforce'!$K141&gt;=3,FALSE()),IFERROR(1*'Daily Workforce'!$K141&gt;=2,FALSE())),IF(AND('Daily Schedule'!$A22&gt;=46,'Daily Schedule'!$A22&lt;=52),'Daily Workforce'!$M141="Y",IFERROR(1*'Daily Workforce'!$P141&gt;=2,FALSE()))))),1,0)</f>
        <v>0</v>
      </c>
      <c r="EW18" s="1" t="n">
        <f aca="false">IF(AND('Daily Workforce'!$N142="Y",'Daily Workforce'!$B142&lt;&gt;"",COUNTIF('Daily Schedule'!$F$5:$F21,'Daily Workforce'!$B142)=0,IF('Daily Schedule'!$A22=45,'Daily Workforce'!$J142="Y",IF(OR('Daily Schedule'!$A22=4,'Daily Schedule'!$A22=8),IF(OR(WEEKDAY('Daily Schedule'!$B$2,2)=1,WEEKDAY('Daily Schedule'!$B$2,2)=4,WEEKDAY('Daily Schedule'!$B$2,2)=5,WEEKDAY('Daily Schedule'!$B$2,2)=7),IFERROR(1*'Daily Workforce'!$K142&gt;=3,FALSE()),IFERROR(1*'Daily Workforce'!$K142&gt;=2,FALSE())),IF(AND('Daily Schedule'!$A22&gt;=46,'Daily Schedule'!$A22&lt;=52),'Daily Workforce'!$M142="Y",IFERROR(1*'Daily Workforce'!$P142&gt;=2,FALSE()))))),1,0)</f>
        <v>0</v>
      </c>
      <c r="EX18" s="1" t="n">
        <f aca="false">IF(AND('Daily Workforce'!$N143="Y",'Daily Workforce'!$B143&lt;&gt;"",COUNTIF('Daily Schedule'!$F$5:$F21,'Daily Workforce'!$B143)=0,IF('Daily Schedule'!$A22=45,'Daily Workforce'!$J143="Y",IF(OR('Daily Schedule'!$A22=4,'Daily Schedule'!$A22=8),IF(OR(WEEKDAY('Daily Schedule'!$B$2,2)=1,WEEKDAY('Daily Schedule'!$B$2,2)=4,WEEKDAY('Daily Schedule'!$B$2,2)=5,WEEKDAY('Daily Schedule'!$B$2,2)=7),IFERROR(1*'Daily Workforce'!$K143&gt;=3,FALSE()),IFERROR(1*'Daily Workforce'!$K143&gt;=2,FALSE())),IF(AND('Daily Schedule'!$A22&gt;=46,'Daily Schedule'!$A22&lt;=52),'Daily Workforce'!$M143="Y",IFERROR(1*'Daily Workforce'!$P143&gt;=2,FALSE()))))),1,0)</f>
        <v>0</v>
      </c>
      <c r="EY18" s="1" t="n">
        <f aca="false">IF(AND('Daily Workforce'!$N144="Y",'Daily Workforce'!$B144&lt;&gt;"",COUNTIF('Daily Schedule'!$F$5:$F21,'Daily Workforce'!$B144)=0,IF('Daily Schedule'!$A22=45,'Daily Workforce'!$J144="Y",IF(OR('Daily Schedule'!$A22=4,'Daily Schedule'!$A22=8),IF(OR(WEEKDAY('Daily Schedule'!$B$2,2)=1,WEEKDAY('Daily Schedule'!$B$2,2)=4,WEEKDAY('Daily Schedule'!$B$2,2)=5,WEEKDAY('Daily Schedule'!$B$2,2)=7),IFERROR(1*'Daily Workforce'!$K144&gt;=3,FALSE()),IFERROR(1*'Daily Workforce'!$K144&gt;=2,FALSE())),IF(AND('Daily Schedule'!$A22&gt;=46,'Daily Schedule'!$A22&lt;=52),'Daily Workforce'!$M144="Y",IFERROR(1*'Daily Workforce'!$P144&gt;=2,FALSE()))))),1,0)</f>
        <v>0</v>
      </c>
      <c r="EZ18" s="1" t="n">
        <f aca="false">IF(AND('Daily Workforce'!$N145="Y",'Daily Workforce'!$B145&lt;&gt;"",COUNTIF('Daily Schedule'!$F$5:$F21,'Daily Workforce'!$B145)=0,IF('Daily Schedule'!$A22=45,'Daily Workforce'!$J145="Y",IF(OR('Daily Schedule'!$A22=4,'Daily Schedule'!$A22=8),IF(OR(WEEKDAY('Daily Schedule'!$B$2,2)=1,WEEKDAY('Daily Schedule'!$B$2,2)=4,WEEKDAY('Daily Schedule'!$B$2,2)=5,WEEKDAY('Daily Schedule'!$B$2,2)=7),IFERROR(1*'Daily Workforce'!$K145&gt;=3,FALSE()),IFERROR(1*'Daily Workforce'!$K145&gt;=2,FALSE())),IF(AND('Daily Schedule'!$A22&gt;=46,'Daily Schedule'!$A22&lt;=52),'Daily Workforce'!$M145="Y",IFERROR(1*'Daily Workforce'!$P145&gt;=2,FALSE()))))),1,0)</f>
        <v>0</v>
      </c>
      <c r="FA18" s="1" t="n">
        <f aca="false">IF(AND('Daily Workforce'!$N146="Y",'Daily Workforce'!$B146&lt;&gt;"",COUNTIF('Daily Schedule'!$F$5:$F21,'Daily Workforce'!$B146)=0,IF('Daily Schedule'!$A22=45,'Daily Workforce'!$J146="Y",IF(OR('Daily Schedule'!$A22=4,'Daily Schedule'!$A22=8),IF(OR(WEEKDAY('Daily Schedule'!$B$2,2)=1,WEEKDAY('Daily Schedule'!$B$2,2)=4,WEEKDAY('Daily Schedule'!$B$2,2)=5,WEEKDAY('Daily Schedule'!$B$2,2)=7),IFERROR(1*'Daily Workforce'!$K146&gt;=3,FALSE()),IFERROR(1*'Daily Workforce'!$K146&gt;=2,FALSE())),IF(AND('Daily Schedule'!$A22&gt;=46,'Daily Schedule'!$A22&lt;=52),'Daily Workforce'!$M146="Y",IFERROR(1*'Daily Workforce'!$P146&gt;=2,FALSE()))))),1,0)</f>
        <v>0</v>
      </c>
      <c r="FB18" s="1" t="n">
        <f aca="false">IF(AND('Daily Workforce'!$N147="Y",'Daily Workforce'!$B147&lt;&gt;"",COUNTIF('Daily Schedule'!$F$5:$F21,'Daily Workforce'!$B147)=0,IF('Daily Schedule'!$A22=45,'Daily Workforce'!$J147="Y",IF(OR('Daily Schedule'!$A22=4,'Daily Schedule'!$A22=8),IF(OR(WEEKDAY('Daily Schedule'!$B$2,2)=1,WEEKDAY('Daily Schedule'!$B$2,2)=4,WEEKDAY('Daily Schedule'!$B$2,2)=5,WEEKDAY('Daily Schedule'!$B$2,2)=7),IFERROR(1*'Daily Workforce'!$K147&gt;=3,FALSE()),IFERROR(1*'Daily Workforce'!$K147&gt;=2,FALSE())),IF(AND('Daily Schedule'!$A22&gt;=46,'Daily Schedule'!$A22&lt;=52),'Daily Workforce'!$M147="Y",IFERROR(1*'Daily Workforce'!$P147&gt;=2,FALSE()))))),1,0)</f>
        <v>0</v>
      </c>
      <c r="FC18" s="1" t="n">
        <f aca="false">IF(AND('Daily Workforce'!$N148="Y",'Daily Workforce'!$B148&lt;&gt;"",COUNTIF('Daily Schedule'!$F$5:$F21,'Daily Workforce'!$B148)=0,IF('Daily Schedule'!$A22=45,'Daily Workforce'!$J148="Y",IF(OR('Daily Schedule'!$A22=4,'Daily Schedule'!$A22=8),IF(OR(WEEKDAY('Daily Schedule'!$B$2,2)=1,WEEKDAY('Daily Schedule'!$B$2,2)=4,WEEKDAY('Daily Schedule'!$B$2,2)=5,WEEKDAY('Daily Schedule'!$B$2,2)=7),IFERROR(1*'Daily Workforce'!$K148&gt;=3,FALSE()),IFERROR(1*'Daily Workforce'!$K148&gt;=2,FALSE())),IF(AND('Daily Schedule'!$A22&gt;=46,'Daily Schedule'!$A22&lt;=52),'Daily Workforce'!$M148="Y",IFERROR(1*'Daily Workforce'!$P148&gt;=2,FALSE()))))),1,0)</f>
        <v>0</v>
      </c>
      <c r="FD18" s="1" t="n">
        <f aca="false">IF(AND('Daily Workforce'!$N149="Y",'Daily Workforce'!$B149&lt;&gt;"",COUNTIF('Daily Schedule'!$F$5:$F21,'Daily Workforce'!$B149)=0,IF('Daily Schedule'!$A22=45,'Daily Workforce'!$J149="Y",IF(OR('Daily Schedule'!$A22=4,'Daily Schedule'!$A22=8),IF(OR(WEEKDAY('Daily Schedule'!$B$2,2)=1,WEEKDAY('Daily Schedule'!$B$2,2)=4,WEEKDAY('Daily Schedule'!$B$2,2)=5,WEEKDAY('Daily Schedule'!$B$2,2)=7),IFERROR(1*'Daily Workforce'!$K149&gt;=3,FALSE()),IFERROR(1*'Daily Workforce'!$K149&gt;=2,FALSE())),IF(AND('Daily Schedule'!$A22&gt;=46,'Daily Schedule'!$A22&lt;=52),'Daily Workforce'!$M149="Y",IFERROR(1*'Daily Workforce'!$P149&gt;=2,FALSE()))))),1,0)</f>
        <v>0</v>
      </c>
      <c r="FE18" s="1" t="n">
        <f aca="false">IF(AND('Daily Workforce'!$N150="Y",'Daily Workforce'!$B150&lt;&gt;"",COUNTIF('Daily Schedule'!$F$5:$F21,'Daily Workforce'!$B150)=0,IF('Daily Schedule'!$A22=45,'Daily Workforce'!$J150="Y",IF(OR('Daily Schedule'!$A22=4,'Daily Schedule'!$A22=8),IF(OR(WEEKDAY('Daily Schedule'!$B$2,2)=1,WEEKDAY('Daily Schedule'!$B$2,2)=4,WEEKDAY('Daily Schedule'!$B$2,2)=5,WEEKDAY('Daily Schedule'!$B$2,2)=7),IFERROR(1*'Daily Workforce'!$K150&gt;=3,FALSE()),IFERROR(1*'Daily Workforce'!$K150&gt;=2,FALSE())),IF(AND('Daily Schedule'!$A22&gt;=46,'Daily Schedule'!$A22&lt;=52),'Daily Workforce'!$M150="Y",IFERROR(1*'Daily Workforce'!$P150&gt;=2,FALSE()))))),1,0)</f>
        <v>0</v>
      </c>
      <c r="FF18" s="1" t="n">
        <f aca="false">IF(AND('Daily Workforce'!$N151="Y",'Daily Workforce'!$B151&lt;&gt;"",COUNTIF('Daily Schedule'!$F$5:$F21,'Daily Workforce'!$B151)=0,IF('Daily Schedule'!$A22=45,'Daily Workforce'!$J151="Y",IF(OR('Daily Schedule'!$A22=4,'Daily Schedule'!$A22=8),IF(OR(WEEKDAY('Daily Schedule'!$B$2,2)=1,WEEKDAY('Daily Schedule'!$B$2,2)=4,WEEKDAY('Daily Schedule'!$B$2,2)=5,WEEKDAY('Daily Schedule'!$B$2,2)=7),IFERROR(1*'Daily Workforce'!$K151&gt;=3,FALSE()),IFERROR(1*'Daily Workforce'!$K151&gt;=2,FALSE())),IF(AND('Daily Schedule'!$A22&gt;=46,'Daily Schedule'!$A22&lt;=52),'Daily Workforce'!$M151="Y",IFERROR(1*'Daily Workforce'!$P151&gt;=2,FALSE()))))),1,0)</f>
        <v>0</v>
      </c>
      <c r="FG18" s="1" t="n">
        <f aca="false">IF(AND('Daily Workforce'!$N152="Y",'Daily Workforce'!$B152&lt;&gt;"",COUNTIF('Daily Schedule'!$F$5:$F21,'Daily Workforce'!$B152)=0,IF('Daily Schedule'!$A22=45,'Daily Workforce'!$J152="Y",IF(OR('Daily Schedule'!$A22=4,'Daily Schedule'!$A22=8),IF(OR(WEEKDAY('Daily Schedule'!$B$2,2)=1,WEEKDAY('Daily Schedule'!$B$2,2)=4,WEEKDAY('Daily Schedule'!$B$2,2)=5,WEEKDAY('Daily Schedule'!$B$2,2)=7),IFERROR(1*'Daily Workforce'!$K152&gt;=3,FALSE()),IFERROR(1*'Daily Workforce'!$K152&gt;=2,FALSE())),IF(AND('Daily Schedule'!$A22&gt;=46,'Daily Schedule'!$A22&lt;=52),'Daily Workforce'!$M152="Y",IFERROR(1*'Daily Workforce'!$P152&gt;=2,FALSE()))))),1,0)</f>
        <v>0</v>
      </c>
      <c r="FH18" s="1" t="n">
        <f aca="false">IF(AND('Daily Workforce'!$N153="Y",'Daily Workforce'!$B153&lt;&gt;"",COUNTIF('Daily Schedule'!$F$5:$F21,'Daily Workforce'!$B153)=0,IF('Daily Schedule'!$A22=45,'Daily Workforce'!$J153="Y",IF(OR('Daily Schedule'!$A22=4,'Daily Schedule'!$A22=8),IF(OR(WEEKDAY('Daily Schedule'!$B$2,2)=1,WEEKDAY('Daily Schedule'!$B$2,2)=4,WEEKDAY('Daily Schedule'!$B$2,2)=5,WEEKDAY('Daily Schedule'!$B$2,2)=7),IFERROR(1*'Daily Workforce'!$K153&gt;=3,FALSE()),IFERROR(1*'Daily Workforce'!$K153&gt;=2,FALSE())),IF(AND('Daily Schedule'!$A22&gt;=46,'Daily Schedule'!$A22&lt;=52),'Daily Workforce'!$M153="Y",IFERROR(1*'Daily Workforce'!$P153&gt;=2,FALSE()))))),1,0)</f>
        <v>0</v>
      </c>
      <c r="FI18" s="1" t="n">
        <f aca="false">IF(AND('Daily Workforce'!$N154="Y",'Daily Workforce'!$B154&lt;&gt;"",COUNTIF('Daily Schedule'!$F$5:$F21,'Daily Workforce'!$B154)=0,IF('Daily Schedule'!$A22=45,'Daily Workforce'!$J154="Y",IF(OR('Daily Schedule'!$A22=4,'Daily Schedule'!$A22=8),IF(OR(WEEKDAY('Daily Schedule'!$B$2,2)=1,WEEKDAY('Daily Schedule'!$B$2,2)=4,WEEKDAY('Daily Schedule'!$B$2,2)=5,WEEKDAY('Daily Schedule'!$B$2,2)=7),IFERROR(1*'Daily Workforce'!$K154&gt;=3,FALSE()),IFERROR(1*'Daily Workforce'!$K154&gt;=2,FALSE())),IF(AND('Daily Schedule'!$A22&gt;=46,'Daily Schedule'!$A22&lt;=52),'Daily Workforce'!$M154="Y",IFERROR(1*'Daily Workforce'!$P154&gt;=2,FALSE()))))),1,0)</f>
        <v>0</v>
      </c>
      <c r="FJ18" s="1" t="n">
        <f aca="false">IF(AND('Daily Workforce'!$N155="Y",'Daily Workforce'!$B155&lt;&gt;"",COUNTIF('Daily Schedule'!$F$5:$F21,'Daily Workforce'!$B155)=0,IF('Daily Schedule'!$A22=45,'Daily Workforce'!$J155="Y",IF(OR('Daily Schedule'!$A22=4,'Daily Schedule'!$A22=8),IF(OR(WEEKDAY('Daily Schedule'!$B$2,2)=1,WEEKDAY('Daily Schedule'!$B$2,2)=4,WEEKDAY('Daily Schedule'!$B$2,2)=5,WEEKDAY('Daily Schedule'!$B$2,2)=7),IFERROR(1*'Daily Workforce'!$K155&gt;=3,FALSE()),IFERROR(1*'Daily Workforce'!$K155&gt;=2,FALSE())),IF(AND('Daily Schedule'!$A22&gt;=46,'Daily Schedule'!$A22&lt;=52),'Daily Workforce'!$M155="Y",IFERROR(1*'Daily Workforce'!$P155&gt;=2,FALSE()))))),1,0)</f>
        <v>0</v>
      </c>
      <c r="FK18" s="1" t="n">
        <f aca="false">IF(AND('Daily Workforce'!$N156="Y",'Daily Workforce'!$B156&lt;&gt;"",COUNTIF('Daily Schedule'!$F$5:$F21,'Daily Workforce'!$B156)=0,IF('Daily Schedule'!$A22=45,'Daily Workforce'!$J156="Y",IF(OR('Daily Schedule'!$A22=4,'Daily Schedule'!$A22=8),IF(OR(WEEKDAY('Daily Schedule'!$B$2,2)=1,WEEKDAY('Daily Schedule'!$B$2,2)=4,WEEKDAY('Daily Schedule'!$B$2,2)=5,WEEKDAY('Daily Schedule'!$B$2,2)=7),IFERROR(1*'Daily Workforce'!$K156&gt;=3,FALSE()),IFERROR(1*'Daily Workforce'!$K156&gt;=2,FALSE())),IF(AND('Daily Schedule'!$A22&gt;=46,'Daily Schedule'!$A22&lt;=52),'Daily Workforce'!$M156="Y",IFERROR(1*'Daily Workforce'!$P156&gt;=2,FALSE()))))),1,0)</f>
        <v>0</v>
      </c>
      <c r="FL18" s="1" t="n">
        <f aca="false">IF(AND('Daily Workforce'!$N157="Y",'Daily Workforce'!$B157&lt;&gt;"",COUNTIF('Daily Schedule'!$F$5:$F21,'Daily Workforce'!$B157)=0,IF('Daily Schedule'!$A22=45,'Daily Workforce'!$J157="Y",IF(OR('Daily Schedule'!$A22=4,'Daily Schedule'!$A22=8),IF(OR(WEEKDAY('Daily Schedule'!$B$2,2)=1,WEEKDAY('Daily Schedule'!$B$2,2)=4,WEEKDAY('Daily Schedule'!$B$2,2)=5,WEEKDAY('Daily Schedule'!$B$2,2)=7),IFERROR(1*'Daily Workforce'!$K157&gt;=3,FALSE()),IFERROR(1*'Daily Workforce'!$K157&gt;=2,FALSE())),IF(AND('Daily Schedule'!$A22&gt;=46,'Daily Schedule'!$A22&lt;=52),'Daily Workforce'!$M157="Y",IFERROR(1*'Daily Workforce'!$P157&gt;=2,FALSE()))))),1,0)</f>
        <v>0</v>
      </c>
      <c r="FM18" s="1" t="n">
        <f aca="false">IF(AND('Daily Workforce'!$N158="Y",'Daily Workforce'!$B158&lt;&gt;"",COUNTIF('Daily Schedule'!$F$5:$F21,'Daily Workforce'!$B158)=0,IF('Daily Schedule'!$A22=45,'Daily Workforce'!$J158="Y",IF(OR('Daily Schedule'!$A22=4,'Daily Schedule'!$A22=8),IF(OR(WEEKDAY('Daily Schedule'!$B$2,2)=1,WEEKDAY('Daily Schedule'!$B$2,2)=4,WEEKDAY('Daily Schedule'!$B$2,2)=5,WEEKDAY('Daily Schedule'!$B$2,2)=7),IFERROR(1*'Daily Workforce'!$K158&gt;=3,FALSE()),IFERROR(1*'Daily Workforce'!$K158&gt;=2,FALSE())),IF(AND('Daily Schedule'!$A22&gt;=46,'Daily Schedule'!$A22&lt;=52),'Daily Workforce'!$M158="Y",IFERROR(1*'Daily Workforce'!$P158&gt;=2,FALSE()))))),1,0)</f>
        <v>0</v>
      </c>
      <c r="FN18" s="1" t="n">
        <f aca="false">IF(AND('Daily Workforce'!$N159="Y",'Daily Workforce'!$B159&lt;&gt;"",COUNTIF('Daily Schedule'!$F$5:$F21,'Daily Workforce'!$B159)=0,IF('Daily Schedule'!$A22=45,'Daily Workforce'!$J159="Y",IF(OR('Daily Schedule'!$A22=4,'Daily Schedule'!$A22=8),IF(OR(WEEKDAY('Daily Schedule'!$B$2,2)=1,WEEKDAY('Daily Schedule'!$B$2,2)=4,WEEKDAY('Daily Schedule'!$B$2,2)=5,WEEKDAY('Daily Schedule'!$B$2,2)=7),IFERROR(1*'Daily Workforce'!$K159&gt;=3,FALSE()),IFERROR(1*'Daily Workforce'!$K159&gt;=2,FALSE())),IF(AND('Daily Schedule'!$A22&gt;=46,'Daily Schedule'!$A22&lt;=52),'Daily Workforce'!$M159="Y",IFERROR(1*'Daily Workforce'!$P159&gt;=2,FALSE()))))),1,0)</f>
        <v>0</v>
      </c>
      <c r="FO18" s="1" t="n">
        <f aca="false">IF(AND('Daily Workforce'!$N160="Y",'Daily Workforce'!$B160&lt;&gt;"",COUNTIF('Daily Schedule'!$F$5:$F21,'Daily Workforce'!$B160)=0,IF('Daily Schedule'!$A22=45,'Daily Workforce'!$J160="Y",IF(OR('Daily Schedule'!$A22=4,'Daily Schedule'!$A22=8),IF(OR(WEEKDAY('Daily Schedule'!$B$2,2)=1,WEEKDAY('Daily Schedule'!$B$2,2)=4,WEEKDAY('Daily Schedule'!$B$2,2)=5,WEEKDAY('Daily Schedule'!$B$2,2)=7),IFERROR(1*'Daily Workforce'!$K160&gt;=3,FALSE()),IFERROR(1*'Daily Workforce'!$K160&gt;=2,FALSE())),IF(AND('Daily Schedule'!$A22&gt;=46,'Daily Schedule'!$A22&lt;=52),'Daily Workforce'!$M160="Y",IFERROR(1*'Daily Workforce'!$P160&gt;=2,FALSE()))))),1,0)</f>
        <v>0</v>
      </c>
      <c r="FP18" s="1" t="n">
        <f aca="false">IF(AND('Daily Workforce'!$N161="Y",'Daily Workforce'!$B161&lt;&gt;"",COUNTIF('Daily Schedule'!$F$5:$F21,'Daily Workforce'!$B161)=0,IF('Daily Schedule'!$A22=45,'Daily Workforce'!$J161="Y",IF(OR('Daily Schedule'!$A22=4,'Daily Schedule'!$A22=8),IF(OR(WEEKDAY('Daily Schedule'!$B$2,2)=1,WEEKDAY('Daily Schedule'!$B$2,2)=4,WEEKDAY('Daily Schedule'!$B$2,2)=5,WEEKDAY('Daily Schedule'!$B$2,2)=7),IFERROR(1*'Daily Workforce'!$K161&gt;=3,FALSE()),IFERROR(1*'Daily Workforce'!$K161&gt;=2,FALSE())),IF(AND('Daily Schedule'!$A22&gt;=46,'Daily Schedule'!$A22&lt;=52),'Daily Workforce'!$M161="Y",IFERROR(1*'Daily Workforce'!$P161&gt;=2,FALSE()))))),1,0)</f>
        <v>0</v>
      </c>
      <c r="FQ18" s="1" t="n">
        <f aca="false">IF(AND('Daily Workforce'!$N162="Y",'Daily Workforce'!$B162&lt;&gt;"",COUNTIF('Daily Schedule'!$F$5:$F21,'Daily Workforce'!$B162)=0,IF('Daily Schedule'!$A22=45,'Daily Workforce'!$J162="Y",IF(OR('Daily Schedule'!$A22=4,'Daily Schedule'!$A22=8),IF(OR(WEEKDAY('Daily Schedule'!$B$2,2)=1,WEEKDAY('Daily Schedule'!$B$2,2)=4,WEEKDAY('Daily Schedule'!$B$2,2)=5,WEEKDAY('Daily Schedule'!$B$2,2)=7),IFERROR(1*'Daily Workforce'!$K162&gt;=3,FALSE()),IFERROR(1*'Daily Workforce'!$K162&gt;=2,FALSE())),IF(AND('Daily Schedule'!$A22&gt;=46,'Daily Schedule'!$A22&lt;=52),'Daily Workforce'!$M162="Y",IFERROR(1*'Daily Workforce'!$P162&gt;=2,FALSE()))))),1,0)</f>
        <v>0</v>
      </c>
      <c r="FR18" s="1" t="n">
        <f aca="false">IF(AND('Daily Workforce'!$N163="Y",'Daily Workforce'!$B163&lt;&gt;"",COUNTIF('Daily Schedule'!$F$5:$F21,'Daily Workforce'!$B163)=0,IF('Daily Schedule'!$A22=45,'Daily Workforce'!$J163="Y",IF(OR('Daily Schedule'!$A22=4,'Daily Schedule'!$A22=8),IF(OR(WEEKDAY('Daily Schedule'!$B$2,2)=1,WEEKDAY('Daily Schedule'!$B$2,2)=4,WEEKDAY('Daily Schedule'!$B$2,2)=5,WEEKDAY('Daily Schedule'!$B$2,2)=7),IFERROR(1*'Daily Workforce'!$K163&gt;=3,FALSE()),IFERROR(1*'Daily Workforce'!$K163&gt;=2,FALSE())),IF(AND('Daily Schedule'!$A22&gt;=46,'Daily Schedule'!$A22&lt;=52),'Daily Workforce'!$M163="Y",IFERROR(1*'Daily Workforce'!$P163&gt;=2,FALSE()))))),1,0)</f>
        <v>0</v>
      </c>
      <c r="FS18" s="1" t="n">
        <f aca="false">IF(AND('Daily Workforce'!$N164="Y",'Daily Workforce'!$B164&lt;&gt;"",COUNTIF('Daily Schedule'!$F$5:$F21,'Daily Workforce'!$B164)=0,IF('Daily Schedule'!$A22=45,'Daily Workforce'!$J164="Y",IF(OR('Daily Schedule'!$A22=4,'Daily Schedule'!$A22=8),IF(OR(WEEKDAY('Daily Schedule'!$B$2,2)=1,WEEKDAY('Daily Schedule'!$B$2,2)=4,WEEKDAY('Daily Schedule'!$B$2,2)=5,WEEKDAY('Daily Schedule'!$B$2,2)=7),IFERROR(1*'Daily Workforce'!$K164&gt;=3,FALSE()),IFERROR(1*'Daily Workforce'!$K164&gt;=2,FALSE())),IF(AND('Daily Schedule'!$A22&gt;=46,'Daily Schedule'!$A22&lt;=52),'Daily Workforce'!$M164="Y",IFERROR(1*'Daily Workforce'!$P164&gt;=2,FALSE()))))),1,0)</f>
        <v>0</v>
      </c>
      <c r="FT18" s="1" t="n">
        <f aca="false">IF(AND('Daily Workforce'!$N165="Y",'Daily Workforce'!$B165&lt;&gt;"",COUNTIF('Daily Schedule'!$F$5:$F21,'Daily Workforce'!$B165)=0,IF('Daily Schedule'!$A22=45,'Daily Workforce'!$J165="Y",IF(OR('Daily Schedule'!$A22=4,'Daily Schedule'!$A22=8),IF(OR(WEEKDAY('Daily Schedule'!$B$2,2)=1,WEEKDAY('Daily Schedule'!$B$2,2)=4,WEEKDAY('Daily Schedule'!$B$2,2)=5,WEEKDAY('Daily Schedule'!$B$2,2)=7),IFERROR(1*'Daily Workforce'!$K165&gt;=3,FALSE()),IFERROR(1*'Daily Workforce'!$K165&gt;=2,FALSE())),IF(AND('Daily Schedule'!$A22&gt;=46,'Daily Schedule'!$A22&lt;=52),'Daily Workforce'!$M165="Y",IFERROR(1*'Daily Workforce'!$P165&gt;=2,FALSE()))))),1,0)</f>
        <v>0</v>
      </c>
      <c r="FU18" s="1" t="n">
        <f aca="false">IF(AND('Daily Workforce'!$N166="Y",'Daily Workforce'!$B166&lt;&gt;"",COUNTIF('Daily Schedule'!$F$5:$F21,'Daily Workforce'!$B166)=0,IF('Daily Schedule'!$A22=45,'Daily Workforce'!$J166="Y",IF(OR('Daily Schedule'!$A22=4,'Daily Schedule'!$A22=8),IF(OR(WEEKDAY('Daily Schedule'!$B$2,2)=1,WEEKDAY('Daily Schedule'!$B$2,2)=4,WEEKDAY('Daily Schedule'!$B$2,2)=5,WEEKDAY('Daily Schedule'!$B$2,2)=7),IFERROR(1*'Daily Workforce'!$K166&gt;=3,FALSE()),IFERROR(1*'Daily Workforce'!$K166&gt;=2,FALSE())),IF(AND('Daily Schedule'!$A22&gt;=46,'Daily Schedule'!$A22&lt;=52),'Daily Workforce'!$M166="Y",IFERROR(1*'Daily Workforce'!$P166&gt;=2,FALSE()))))),1,0)</f>
        <v>0</v>
      </c>
      <c r="FV18" s="1" t="n">
        <f aca="false">IF(AND('Daily Workforce'!$N167="Y",'Daily Workforce'!$B167&lt;&gt;"",COUNTIF('Daily Schedule'!$F$5:$F21,'Daily Workforce'!$B167)=0,IF('Daily Schedule'!$A22=45,'Daily Workforce'!$J167="Y",IF(OR('Daily Schedule'!$A22=4,'Daily Schedule'!$A22=8),IF(OR(WEEKDAY('Daily Schedule'!$B$2,2)=1,WEEKDAY('Daily Schedule'!$B$2,2)=4,WEEKDAY('Daily Schedule'!$B$2,2)=5,WEEKDAY('Daily Schedule'!$B$2,2)=7),IFERROR(1*'Daily Workforce'!$K167&gt;=3,FALSE()),IFERROR(1*'Daily Workforce'!$K167&gt;=2,FALSE())),IF(AND('Daily Schedule'!$A22&gt;=46,'Daily Schedule'!$A22&lt;=52),'Daily Workforce'!$M167="Y",IFERROR(1*'Daily Workforce'!$P167&gt;=2,FALSE()))))),1,0)</f>
        <v>0</v>
      </c>
      <c r="FW18" s="1" t="n">
        <f aca="false">IF(AND('Daily Workforce'!$N168="Y",'Daily Workforce'!$B168&lt;&gt;"",COUNTIF('Daily Schedule'!$F$5:$F21,'Daily Workforce'!$B168)=0,IF('Daily Schedule'!$A22=45,'Daily Workforce'!$J168="Y",IF(OR('Daily Schedule'!$A22=4,'Daily Schedule'!$A22=8),IF(OR(WEEKDAY('Daily Schedule'!$B$2,2)=1,WEEKDAY('Daily Schedule'!$B$2,2)=4,WEEKDAY('Daily Schedule'!$B$2,2)=5,WEEKDAY('Daily Schedule'!$B$2,2)=7),IFERROR(1*'Daily Workforce'!$K168&gt;=3,FALSE()),IFERROR(1*'Daily Workforce'!$K168&gt;=2,FALSE())),IF(AND('Daily Schedule'!$A22&gt;=46,'Daily Schedule'!$A22&lt;=52),'Daily Workforce'!$M168="Y",IFERROR(1*'Daily Workforce'!$P168&gt;=2,FALSE()))))),1,0)</f>
        <v>0</v>
      </c>
      <c r="FX18" s="1" t="n">
        <f aca="false">IF(AND('Daily Workforce'!$N169="Y",'Daily Workforce'!$B169&lt;&gt;"",COUNTIF('Daily Schedule'!$F$5:$F21,'Daily Workforce'!$B169)=0,IF('Daily Schedule'!$A22=45,'Daily Workforce'!$J169="Y",IF(OR('Daily Schedule'!$A22=4,'Daily Schedule'!$A22=8),IF(OR(WEEKDAY('Daily Schedule'!$B$2,2)=1,WEEKDAY('Daily Schedule'!$B$2,2)=4,WEEKDAY('Daily Schedule'!$B$2,2)=5,WEEKDAY('Daily Schedule'!$B$2,2)=7),IFERROR(1*'Daily Workforce'!$K169&gt;=3,FALSE()),IFERROR(1*'Daily Workforce'!$K169&gt;=2,FALSE())),IF(AND('Daily Schedule'!$A22&gt;=46,'Daily Schedule'!$A22&lt;=52),'Daily Workforce'!$M169="Y",IFERROR(1*'Daily Workforce'!$P169&gt;=2,FALSE()))))),1,0)</f>
        <v>0</v>
      </c>
      <c r="FY18" s="1" t="n">
        <f aca="false">IF(AND('Daily Workforce'!$N170="Y",'Daily Workforce'!$B170&lt;&gt;"",COUNTIF('Daily Schedule'!$F$5:$F21,'Daily Workforce'!$B170)=0,IF('Daily Schedule'!$A22=45,'Daily Workforce'!$J170="Y",IF(OR('Daily Schedule'!$A22=4,'Daily Schedule'!$A22=8),IF(OR(WEEKDAY('Daily Schedule'!$B$2,2)=1,WEEKDAY('Daily Schedule'!$B$2,2)=4,WEEKDAY('Daily Schedule'!$B$2,2)=5,WEEKDAY('Daily Schedule'!$B$2,2)=7),IFERROR(1*'Daily Workforce'!$K170&gt;=3,FALSE()),IFERROR(1*'Daily Workforce'!$K170&gt;=2,FALSE())),IF(AND('Daily Schedule'!$A22&gt;=46,'Daily Schedule'!$A22&lt;=52),'Daily Workforce'!$M170="Y",IFERROR(1*'Daily Workforce'!$P170&gt;=2,FALSE()))))),1,0)</f>
        <v>0</v>
      </c>
      <c r="FZ18" s="1" t="n">
        <f aca="false">IF(AND('Daily Workforce'!$N171="Y",'Daily Workforce'!$B171&lt;&gt;"",COUNTIF('Daily Schedule'!$F$5:$F21,'Daily Workforce'!$B171)=0,IF('Daily Schedule'!$A22=45,'Daily Workforce'!$J171="Y",IF(OR('Daily Schedule'!$A22=4,'Daily Schedule'!$A22=8),IF(OR(WEEKDAY('Daily Schedule'!$B$2,2)=1,WEEKDAY('Daily Schedule'!$B$2,2)=4,WEEKDAY('Daily Schedule'!$B$2,2)=5,WEEKDAY('Daily Schedule'!$B$2,2)=7),IFERROR(1*'Daily Workforce'!$K171&gt;=3,FALSE()),IFERROR(1*'Daily Workforce'!$K171&gt;=2,FALSE())),IF(AND('Daily Schedule'!$A22&gt;=46,'Daily Schedule'!$A22&lt;=52),'Daily Workforce'!$M171="Y",IFERROR(1*'Daily Workforce'!$P171&gt;=2,FALSE()))))),1,0)</f>
        <v>0</v>
      </c>
      <c r="GA18" s="1" t="n">
        <f aca="false">IF(AND('Daily Workforce'!$N172="Y",'Daily Workforce'!$B172&lt;&gt;"",COUNTIF('Daily Schedule'!$F$5:$F21,'Daily Workforce'!$B172)=0,IF('Daily Schedule'!$A22=45,'Daily Workforce'!$J172="Y",IF(OR('Daily Schedule'!$A22=4,'Daily Schedule'!$A22=8),IF(OR(WEEKDAY('Daily Schedule'!$B$2,2)=1,WEEKDAY('Daily Schedule'!$B$2,2)=4,WEEKDAY('Daily Schedule'!$B$2,2)=5,WEEKDAY('Daily Schedule'!$B$2,2)=7),IFERROR(1*'Daily Workforce'!$K172&gt;=3,FALSE()),IFERROR(1*'Daily Workforce'!$K172&gt;=2,FALSE())),IF(AND('Daily Schedule'!$A22&gt;=46,'Daily Schedule'!$A22&lt;=52),'Daily Workforce'!$M172="Y",IFERROR(1*'Daily Workforce'!$P172&gt;=2,FALSE()))))),1,0)</f>
        <v>0</v>
      </c>
      <c r="GB18" s="1" t="n">
        <f aca="false">IF(AND('Daily Workforce'!$N173="Y",'Daily Workforce'!$B173&lt;&gt;"",COUNTIF('Daily Schedule'!$F$5:$F21,'Daily Workforce'!$B173)=0,IF('Daily Schedule'!$A22=45,'Daily Workforce'!$J173="Y",IF(OR('Daily Schedule'!$A22=4,'Daily Schedule'!$A22=8),IF(OR(WEEKDAY('Daily Schedule'!$B$2,2)=1,WEEKDAY('Daily Schedule'!$B$2,2)=4,WEEKDAY('Daily Schedule'!$B$2,2)=5,WEEKDAY('Daily Schedule'!$B$2,2)=7),IFERROR(1*'Daily Workforce'!$K173&gt;=3,FALSE()),IFERROR(1*'Daily Workforce'!$K173&gt;=2,FALSE())),IF(AND('Daily Schedule'!$A22&gt;=46,'Daily Schedule'!$A22&lt;=52),'Daily Workforce'!$M173="Y",IFERROR(1*'Daily Workforce'!$P173&gt;=2,FALSE()))))),1,0)</f>
        <v>0</v>
      </c>
      <c r="GC18" s="1" t="n">
        <f aca="false">IF(AND('Daily Workforce'!$N174="Y",'Daily Workforce'!$B174&lt;&gt;"",COUNTIF('Daily Schedule'!$F$5:$F21,'Daily Workforce'!$B174)=0,IF('Daily Schedule'!$A22=45,'Daily Workforce'!$J174="Y",IF(OR('Daily Schedule'!$A22=4,'Daily Schedule'!$A22=8),IF(OR(WEEKDAY('Daily Schedule'!$B$2,2)=1,WEEKDAY('Daily Schedule'!$B$2,2)=4,WEEKDAY('Daily Schedule'!$B$2,2)=5,WEEKDAY('Daily Schedule'!$B$2,2)=7),IFERROR(1*'Daily Workforce'!$K174&gt;=3,FALSE()),IFERROR(1*'Daily Workforce'!$K174&gt;=2,FALSE())),IF(AND('Daily Schedule'!$A22&gt;=46,'Daily Schedule'!$A22&lt;=52),'Daily Workforce'!$M174="Y",IFERROR(1*'Daily Workforce'!$P174&gt;=2,FALSE()))))),1,0)</f>
        <v>0</v>
      </c>
      <c r="GD18" s="1" t="n">
        <f aca="false">IF(AND('Daily Workforce'!$N175="Y",'Daily Workforce'!$B175&lt;&gt;"",COUNTIF('Daily Schedule'!$F$5:$F21,'Daily Workforce'!$B175)=0,IF('Daily Schedule'!$A22=45,'Daily Workforce'!$J175="Y",IF(OR('Daily Schedule'!$A22=4,'Daily Schedule'!$A22=8),IF(OR(WEEKDAY('Daily Schedule'!$B$2,2)=1,WEEKDAY('Daily Schedule'!$B$2,2)=4,WEEKDAY('Daily Schedule'!$B$2,2)=5,WEEKDAY('Daily Schedule'!$B$2,2)=7),IFERROR(1*'Daily Workforce'!$K175&gt;=3,FALSE()),IFERROR(1*'Daily Workforce'!$K175&gt;=2,FALSE())),IF(AND('Daily Schedule'!$A22&gt;=46,'Daily Schedule'!$A22&lt;=52),'Daily Workforce'!$M175="Y",IFERROR(1*'Daily Workforce'!$P175&gt;=2,FALSE()))))),1,0)</f>
        <v>0</v>
      </c>
      <c r="GE18" s="1" t="n">
        <f aca="false">IF(AND('Daily Workforce'!$N176="Y",'Daily Workforce'!$B176&lt;&gt;"",COUNTIF('Daily Schedule'!$F$5:$F21,'Daily Workforce'!$B176)=0,IF('Daily Schedule'!$A22=45,'Daily Workforce'!$J176="Y",IF(OR('Daily Schedule'!$A22=4,'Daily Schedule'!$A22=8),IF(OR(WEEKDAY('Daily Schedule'!$B$2,2)=1,WEEKDAY('Daily Schedule'!$B$2,2)=4,WEEKDAY('Daily Schedule'!$B$2,2)=5,WEEKDAY('Daily Schedule'!$B$2,2)=7),IFERROR(1*'Daily Workforce'!$K176&gt;=3,FALSE()),IFERROR(1*'Daily Workforce'!$K176&gt;=2,FALSE())),IF(AND('Daily Schedule'!$A22&gt;=46,'Daily Schedule'!$A22&lt;=52),'Daily Workforce'!$M176="Y",IFERROR(1*'Daily Workforce'!$P176&gt;=2,FALSE()))))),1,0)</f>
        <v>0</v>
      </c>
      <c r="GF18" s="1" t="n">
        <f aca="false">IF(AND('Daily Workforce'!$N177="Y",'Daily Workforce'!$B177&lt;&gt;"",COUNTIF('Daily Schedule'!$F$5:$F21,'Daily Workforce'!$B177)=0,IF('Daily Schedule'!$A22=45,'Daily Workforce'!$J177="Y",IF(OR('Daily Schedule'!$A22=4,'Daily Schedule'!$A22=8),IF(OR(WEEKDAY('Daily Schedule'!$B$2,2)=1,WEEKDAY('Daily Schedule'!$B$2,2)=4,WEEKDAY('Daily Schedule'!$B$2,2)=5,WEEKDAY('Daily Schedule'!$B$2,2)=7),IFERROR(1*'Daily Workforce'!$K177&gt;=3,FALSE()),IFERROR(1*'Daily Workforce'!$K177&gt;=2,FALSE())),IF(AND('Daily Schedule'!$A22&gt;=46,'Daily Schedule'!$A22&lt;=52),'Daily Workforce'!$M177="Y",IFERROR(1*'Daily Workforce'!$P177&gt;=2,FALSE()))))),1,0)</f>
        <v>0</v>
      </c>
      <c r="GG18" s="1" t="n">
        <f aca="false">IF(AND('Daily Workforce'!$N178="Y",'Daily Workforce'!$B178&lt;&gt;"",COUNTIF('Daily Schedule'!$F$5:$F21,'Daily Workforce'!$B178)=0,IF('Daily Schedule'!$A22=45,'Daily Workforce'!$J178="Y",IF(OR('Daily Schedule'!$A22=4,'Daily Schedule'!$A22=8),IF(OR(WEEKDAY('Daily Schedule'!$B$2,2)=1,WEEKDAY('Daily Schedule'!$B$2,2)=4,WEEKDAY('Daily Schedule'!$B$2,2)=5,WEEKDAY('Daily Schedule'!$B$2,2)=7),IFERROR(1*'Daily Workforce'!$K178&gt;=3,FALSE()),IFERROR(1*'Daily Workforce'!$K178&gt;=2,FALSE())),IF(AND('Daily Schedule'!$A22&gt;=46,'Daily Schedule'!$A22&lt;=52),'Daily Workforce'!$M178="Y",IFERROR(1*'Daily Workforce'!$P178&gt;=2,FALSE()))))),1,0)</f>
        <v>0</v>
      </c>
      <c r="GH18" s="1" t="n">
        <f aca="false">IF(AND('Daily Workforce'!$N179="Y",'Daily Workforce'!$B179&lt;&gt;"",COUNTIF('Daily Schedule'!$F$5:$F21,'Daily Workforce'!$B179)=0,IF('Daily Schedule'!$A22=45,'Daily Workforce'!$J179="Y",IF(OR('Daily Schedule'!$A22=4,'Daily Schedule'!$A22=8),IF(OR(WEEKDAY('Daily Schedule'!$B$2,2)=1,WEEKDAY('Daily Schedule'!$B$2,2)=4,WEEKDAY('Daily Schedule'!$B$2,2)=5,WEEKDAY('Daily Schedule'!$B$2,2)=7),IFERROR(1*'Daily Workforce'!$K179&gt;=3,FALSE()),IFERROR(1*'Daily Workforce'!$K179&gt;=2,FALSE())),IF(AND('Daily Schedule'!$A22&gt;=46,'Daily Schedule'!$A22&lt;=52),'Daily Workforce'!$M179="Y",IFERROR(1*'Daily Workforce'!$P179&gt;=2,FALSE()))))),1,0)</f>
        <v>0</v>
      </c>
      <c r="GI18" s="1" t="n">
        <f aca="false">IF(AND('Daily Workforce'!$N180="Y",'Daily Workforce'!$B180&lt;&gt;"",COUNTIF('Daily Schedule'!$F$5:$F21,'Daily Workforce'!$B180)=0,IF('Daily Schedule'!$A22=45,'Daily Workforce'!$J180="Y",IF(OR('Daily Schedule'!$A22=4,'Daily Schedule'!$A22=8),IF(OR(WEEKDAY('Daily Schedule'!$B$2,2)=1,WEEKDAY('Daily Schedule'!$B$2,2)=4,WEEKDAY('Daily Schedule'!$B$2,2)=5,WEEKDAY('Daily Schedule'!$B$2,2)=7),IFERROR(1*'Daily Workforce'!$K180&gt;=3,FALSE()),IFERROR(1*'Daily Workforce'!$K180&gt;=2,FALSE())),IF(AND('Daily Schedule'!$A22&gt;=46,'Daily Schedule'!$A22&lt;=52),'Daily Workforce'!$M180="Y",IFERROR(1*'Daily Workforce'!$P180&gt;=2,FALSE()))))),1,0)</f>
        <v>0</v>
      </c>
      <c r="GJ18" s="1" t="n">
        <f aca="false">IF(AND('Daily Workforce'!$N181="Y",'Daily Workforce'!$B181&lt;&gt;"",COUNTIF('Daily Schedule'!$F$5:$F21,'Daily Workforce'!$B181)=0,IF('Daily Schedule'!$A22=45,'Daily Workforce'!$J181="Y",IF(OR('Daily Schedule'!$A22=4,'Daily Schedule'!$A22=8),IF(OR(WEEKDAY('Daily Schedule'!$B$2,2)=1,WEEKDAY('Daily Schedule'!$B$2,2)=4,WEEKDAY('Daily Schedule'!$B$2,2)=5,WEEKDAY('Daily Schedule'!$B$2,2)=7),IFERROR(1*'Daily Workforce'!$K181&gt;=3,FALSE()),IFERROR(1*'Daily Workforce'!$K181&gt;=2,FALSE())),IF(AND('Daily Schedule'!$A22&gt;=46,'Daily Schedule'!$A22&lt;=52),'Daily Workforce'!$M181="Y",IFERROR(1*'Daily Workforce'!$P181&gt;=2,FALSE()))))),1,0)</f>
        <v>0</v>
      </c>
      <c r="GK18" s="1" t="n">
        <f aca="false">IF(AND('Daily Workforce'!$N182="Y",'Daily Workforce'!$B182&lt;&gt;"",COUNTIF('Daily Schedule'!$F$5:$F21,'Daily Workforce'!$B182)=0,IF('Daily Schedule'!$A22=45,'Daily Workforce'!$J182="Y",IF(OR('Daily Schedule'!$A22=4,'Daily Schedule'!$A22=8),IF(OR(WEEKDAY('Daily Schedule'!$B$2,2)=1,WEEKDAY('Daily Schedule'!$B$2,2)=4,WEEKDAY('Daily Schedule'!$B$2,2)=5,WEEKDAY('Daily Schedule'!$B$2,2)=7),IFERROR(1*'Daily Workforce'!$K182&gt;=3,FALSE()),IFERROR(1*'Daily Workforce'!$K182&gt;=2,FALSE())),IF(AND('Daily Schedule'!$A22&gt;=46,'Daily Schedule'!$A22&lt;=52),'Daily Workforce'!$M182="Y",IFERROR(1*'Daily Workforce'!$P182&gt;=2,FALSE()))))),1,0)</f>
        <v>0</v>
      </c>
      <c r="GL18" s="1" t="n">
        <f aca="false">IF(AND('Daily Workforce'!$N183="Y",'Daily Workforce'!$B183&lt;&gt;"",COUNTIF('Daily Schedule'!$F$5:$F21,'Daily Workforce'!$B183)=0,IF('Daily Schedule'!$A22=45,'Daily Workforce'!$J183="Y",IF(OR('Daily Schedule'!$A22=4,'Daily Schedule'!$A22=8),IF(OR(WEEKDAY('Daily Schedule'!$B$2,2)=1,WEEKDAY('Daily Schedule'!$B$2,2)=4,WEEKDAY('Daily Schedule'!$B$2,2)=5,WEEKDAY('Daily Schedule'!$B$2,2)=7),IFERROR(1*'Daily Workforce'!$K183&gt;=3,FALSE()),IFERROR(1*'Daily Workforce'!$K183&gt;=2,FALSE())),IF(AND('Daily Schedule'!$A22&gt;=46,'Daily Schedule'!$A22&lt;=52),'Daily Workforce'!$M183="Y",IFERROR(1*'Daily Workforce'!$P183&gt;=2,FALSE()))))),1,0)</f>
        <v>0</v>
      </c>
      <c r="GM18" s="1" t="n">
        <f aca="false">IF(AND('Daily Workforce'!$N184="Y",'Daily Workforce'!$B184&lt;&gt;"",COUNTIF('Daily Schedule'!$F$5:$F21,'Daily Workforce'!$B184)=0,IF('Daily Schedule'!$A22=45,'Daily Workforce'!$J184="Y",IF(OR('Daily Schedule'!$A22=4,'Daily Schedule'!$A22=8),IF(OR(WEEKDAY('Daily Schedule'!$B$2,2)=1,WEEKDAY('Daily Schedule'!$B$2,2)=4,WEEKDAY('Daily Schedule'!$B$2,2)=5,WEEKDAY('Daily Schedule'!$B$2,2)=7),IFERROR(1*'Daily Workforce'!$K184&gt;=3,FALSE()),IFERROR(1*'Daily Workforce'!$K184&gt;=2,FALSE())),IF(AND('Daily Schedule'!$A22&gt;=46,'Daily Schedule'!$A22&lt;=52),'Daily Workforce'!$M184="Y",IFERROR(1*'Daily Workforce'!$P184&gt;=2,FALSE()))))),1,0)</f>
        <v>0</v>
      </c>
      <c r="GN18" s="1" t="n">
        <f aca="false">IF(AND('Daily Workforce'!$N185="Y",'Daily Workforce'!$B185&lt;&gt;"",COUNTIF('Daily Schedule'!$F$5:$F21,'Daily Workforce'!$B185)=0,IF('Daily Schedule'!$A22=45,'Daily Workforce'!$J185="Y",IF(OR('Daily Schedule'!$A22=4,'Daily Schedule'!$A22=8),IF(OR(WEEKDAY('Daily Schedule'!$B$2,2)=1,WEEKDAY('Daily Schedule'!$B$2,2)=4,WEEKDAY('Daily Schedule'!$B$2,2)=5,WEEKDAY('Daily Schedule'!$B$2,2)=7),IFERROR(1*'Daily Workforce'!$K185&gt;=3,FALSE()),IFERROR(1*'Daily Workforce'!$K185&gt;=2,FALSE())),IF(AND('Daily Schedule'!$A22&gt;=46,'Daily Schedule'!$A22&lt;=52),'Daily Workforce'!$M185="Y",IFERROR(1*'Daily Workforce'!$P185&gt;=2,FALSE()))))),1,0)</f>
        <v>0</v>
      </c>
      <c r="GO18" s="1" t="n">
        <f aca="false">IF(AND('Daily Workforce'!$N186="Y",'Daily Workforce'!$B186&lt;&gt;"",COUNTIF('Daily Schedule'!$F$5:$F21,'Daily Workforce'!$B186)=0,IF('Daily Schedule'!$A22=45,'Daily Workforce'!$J186="Y",IF(OR('Daily Schedule'!$A22=4,'Daily Schedule'!$A22=8),IF(OR(WEEKDAY('Daily Schedule'!$B$2,2)=1,WEEKDAY('Daily Schedule'!$B$2,2)=4,WEEKDAY('Daily Schedule'!$B$2,2)=5,WEEKDAY('Daily Schedule'!$B$2,2)=7),IFERROR(1*'Daily Workforce'!$K186&gt;=3,FALSE()),IFERROR(1*'Daily Workforce'!$K186&gt;=2,FALSE())),IF(AND('Daily Schedule'!$A22&gt;=46,'Daily Schedule'!$A22&lt;=52),'Daily Workforce'!$M186="Y",IFERROR(1*'Daily Workforce'!$P186&gt;=2,FALSE()))))),1,0)</f>
        <v>0</v>
      </c>
      <c r="GP18" s="1" t="n">
        <f aca="false">IF(AND('Daily Workforce'!$N187="Y",'Daily Workforce'!$B187&lt;&gt;"",COUNTIF('Daily Schedule'!$F$5:$F21,'Daily Workforce'!$B187)=0,IF('Daily Schedule'!$A22=45,'Daily Workforce'!$J187="Y",IF(OR('Daily Schedule'!$A22=4,'Daily Schedule'!$A22=8),IF(OR(WEEKDAY('Daily Schedule'!$B$2,2)=1,WEEKDAY('Daily Schedule'!$B$2,2)=4,WEEKDAY('Daily Schedule'!$B$2,2)=5,WEEKDAY('Daily Schedule'!$B$2,2)=7),IFERROR(1*'Daily Workforce'!$K187&gt;=3,FALSE()),IFERROR(1*'Daily Workforce'!$K187&gt;=2,FALSE())),IF(AND('Daily Schedule'!$A22&gt;=46,'Daily Schedule'!$A22&lt;=52),'Daily Workforce'!$M187="Y",IFERROR(1*'Daily Workforce'!$P187&gt;=2,FALSE()))))),1,0)</f>
        <v>0</v>
      </c>
      <c r="GQ18" s="1" t="n">
        <f aca="false">IF(AND('Daily Workforce'!$N188="Y",'Daily Workforce'!$B188&lt;&gt;"",COUNTIF('Daily Schedule'!$F$5:$F21,'Daily Workforce'!$B188)=0,IF('Daily Schedule'!$A22=45,'Daily Workforce'!$J188="Y",IF(OR('Daily Schedule'!$A22=4,'Daily Schedule'!$A22=8),IF(OR(WEEKDAY('Daily Schedule'!$B$2,2)=1,WEEKDAY('Daily Schedule'!$B$2,2)=4,WEEKDAY('Daily Schedule'!$B$2,2)=5,WEEKDAY('Daily Schedule'!$B$2,2)=7),IFERROR(1*'Daily Workforce'!$K188&gt;=3,FALSE()),IFERROR(1*'Daily Workforce'!$K188&gt;=2,FALSE())),IF(AND('Daily Schedule'!$A22&gt;=46,'Daily Schedule'!$A22&lt;=52),'Daily Workforce'!$M188="Y",IFERROR(1*'Daily Workforce'!$P188&gt;=2,FALSE()))))),1,0)</f>
        <v>0</v>
      </c>
      <c r="GR18" s="1" t="n">
        <f aca="false">IF(AND('Daily Workforce'!$N189="Y",'Daily Workforce'!$B189&lt;&gt;"",COUNTIF('Daily Schedule'!$F$5:$F21,'Daily Workforce'!$B189)=0,IF('Daily Schedule'!$A22=45,'Daily Workforce'!$J189="Y",IF(OR('Daily Schedule'!$A22=4,'Daily Schedule'!$A22=8),IF(OR(WEEKDAY('Daily Schedule'!$B$2,2)=1,WEEKDAY('Daily Schedule'!$B$2,2)=4,WEEKDAY('Daily Schedule'!$B$2,2)=5,WEEKDAY('Daily Schedule'!$B$2,2)=7),IFERROR(1*'Daily Workforce'!$K189&gt;=3,FALSE()),IFERROR(1*'Daily Workforce'!$K189&gt;=2,FALSE())),IF(AND('Daily Schedule'!$A22&gt;=46,'Daily Schedule'!$A22&lt;=52),'Daily Workforce'!$M189="Y",IFERROR(1*'Daily Workforce'!$P189&gt;=2,FALSE()))))),1,0)</f>
        <v>0</v>
      </c>
      <c r="GS18" s="1" t="n">
        <f aca="false">IF(AND('Daily Workforce'!$N190="Y",'Daily Workforce'!$B190&lt;&gt;"",COUNTIF('Daily Schedule'!$F$5:$F21,'Daily Workforce'!$B190)=0,IF('Daily Schedule'!$A22=45,'Daily Workforce'!$J190="Y",IF(OR('Daily Schedule'!$A22=4,'Daily Schedule'!$A22=8),IF(OR(WEEKDAY('Daily Schedule'!$B$2,2)=1,WEEKDAY('Daily Schedule'!$B$2,2)=4,WEEKDAY('Daily Schedule'!$B$2,2)=5,WEEKDAY('Daily Schedule'!$B$2,2)=7),IFERROR(1*'Daily Workforce'!$K190&gt;=3,FALSE()),IFERROR(1*'Daily Workforce'!$K190&gt;=2,FALSE())),IF(AND('Daily Schedule'!$A22&gt;=46,'Daily Schedule'!$A22&lt;=52),'Daily Workforce'!$M190="Y",IFERROR(1*'Daily Workforce'!$P190&gt;=2,FALSE()))))),1,0)</f>
        <v>0</v>
      </c>
      <c r="GT18" s="1" t="n">
        <f aca="false">IF(AND('Daily Workforce'!$N191="Y",'Daily Workforce'!$B191&lt;&gt;"",COUNTIF('Daily Schedule'!$F$5:$F21,'Daily Workforce'!$B191)=0,IF('Daily Schedule'!$A22=45,'Daily Workforce'!$J191="Y",IF(OR('Daily Schedule'!$A22=4,'Daily Schedule'!$A22=8),IF(OR(WEEKDAY('Daily Schedule'!$B$2,2)=1,WEEKDAY('Daily Schedule'!$B$2,2)=4,WEEKDAY('Daily Schedule'!$B$2,2)=5,WEEKDAY('Daily Schedule'!$B$2,2)=7),IFERROR(1*'Daily Workforce'!$K191&gt;=3,FALSE()),IFERROR(1*'Daily Workforce'!$K191&gt;=2,FALSE())),IF(AND('Daily Schedule'!$A22&gt;=46,'Daily Schedule'!$A22&lt;=52),'Daily Workforce'!$M191="Y",IFERROR(1*'Daily Workforce'!$P191&gt;=2,FALSE()))))),1,0)</f>
        <v>0</v>
      </c>
      <c r="GU18" s="1" t="n">
        <f aca="false">IF(AND('Daily Workforce'!$N192="Y",'Daily Workforce'!$B192&lt;&gt;"",COUNTIF('Daily Schedule'!$F$5:$F21,'Daily Workforce'!$B192)=0,IF('Daily Schedule'!$A22=45,'Daily Workforce'!$J192="Y",IF(OR('Daily Schedule'!$A22=4,'Daily Schedule'!$A22=8),IF(OR(WEEKDAY('Daily Schedule'!$B$2,2)=1,WEEKDAY('Daily Schedule'!$B$2,2)=4,WEEKDAY('Daily Schedule'!$B$2,2)=5,WEEKDAY('Daily Schedule'!$B$2,2)=7),IFERROR(1*'Daily Workforce'!$K192&gt;=3,FALSE()),IFERROR(1*'Daily Workforce'!$K192&gt;=2,FALSE())),IF(AND('Daily Schedule'!$A22&gt;=46,'Daily Schedule'!$A22&lt;=52),'Daily Workforce'!$M192="Y",IFERROR(1*'Daily Workforce'!$P192&gt;=2,FALSE()))))),1,0)</f>
        <v>0</v>
      </c>
      <c r="GV18" s="1" t="n">
        <f aca="false">IF(AND('Daily Workforce'!$N193="Y",'Daily Workforce'!$B193&lt;&gt;"",COUNTIF('Daily Schedule'!$F$5:$F21,'Daily Workforce'!$B193)=0,IF('Daily Schedule'!$A22=45,'Daily Workforce'!$J193="Y",IF(OR('Daily Schedule'!$A22=4,'Daily Schedule'!$A22=8),IF(OR(WEEKDAY('Daily Schedule'!$B$2,2)=1,WEEKDAY('Daily Schedule'!$B$2,2)=4,WEEKDAY('Daily Schedule'!$B$2,2)=5,WEEKDAY('Daily Schedule'!$B$2,2)=7),IFERROR(1*'Daily Workforce'!$K193&gt;=3,FALSE()),IFERROR(1*'Daily Workforce'!$K193&gt;=2,FALSE())),IF(AND('Daily Schedule'!$A22&gt;=46,'Daily Schedule'!$A22&lt;=52),'Daily Workforce'!$M193="Y",IFERROR(1*'Daily Workforce'!$P193&gt;=2,FALSE()))))),1,0)</f>
        <v>0</v>
      </c>
      <c r="GW18" s="1" t="n">
        <f aca="false">IF(AND('Daily Workforce'!$N194="Y",'Daily Workforce'!$B194&lt;&gt;"",COUNTIF('Daily Schedule'!$F$5:$F21,'Daily Workforce'!$B194)=0,IF('Daily Schedule'!$A22=45,'Daily Workforce'!$J194="Y",IF(OR('Daily Schedule'!$A22=4,'Daily Schedule'!$A22=8),IF(OR(WEEKDAY('Daily Schedule'!$B$2,2)=1,WEEKDAY('Daily Schedule'!$B$2,2)=4,WEEKDAY('Daily Schedule'!$B$2,2)=5,WEEKDAY('Daily Schedule'!$B$2,2)=7),IFERROR(1*'Daily Workforce'!$K194&gt;=3,FALSE()),IFERROR(1*'Daily Workforce'!$K194&gt;=2,FALSE())),IF(AND('Daily Schedule'!$A22&gt;=46,'Daily Schedule'!$A22&lt;=52),'Daily Workforce'!$M194="Y",IFERROR(1*'Daily Workforce'!$P194&gt;=2,FALSE()))))),1,0)</f>
        <v>0</v>
      </c>
      <c r="GX18" s="1" t="n">
        <f aca="false">IF(AND('Daily Workforce'!$N195="Y",'Daily Workforce'!$B195&lt;&gt;"",COUNTIF('Daily Schedule'!$F$5:$F21,'Daily Workforce'!$B195)=0,IF('Daily Schedule'!$A22=45,'Daily Workforce'!$J195="Y",IF(OR('Daily Schedule'!$A22=4,'Daily Schedule'!$A22=8),IF(OR(WEEKDAY('Daily Schedule'!$B$2,2)=1,WEEKDAY('Daily Schedule'!$B$2,2)=4,WEEKDAY('Daily Schedule'!$B$2,2)=5,WEEKDAY('Daily Schedule'!$B$2,2)=7),IFERROR(1*'Daily Workforce'!$K195&gt;=3,FALSE()),IFERROR(1*'Daily Workforce'!$K195&gt;=2,FALSE())),IF(AND('Daily Schedule'!$A22&gt;=46,'Daily Schedule'!$A22&lt;=52),'Daily Workforce'!$M195="Y",IFERROR(1*'Daily Workforce'!$P195&gt;=2,FALSE()))))),1,0)</f>
        <v>0</v>
      </c>
      <c r="GY18" s="1" t="n">
        <f aca="false">IF(AND('Daily Workforce'!$N196="Y",'Daily Workforce'!$B196&lt;&gt;"",COUNTIF('Daily Schedule'!$F$5:$F21,'Daily Workforce'!$B196)=0,IF('Daily Schedule'!$A22=45,'Daily Workforce'!$J196="Y",IF(OR('Daily Schedule'!$A22=4,'Daily Schedule'!$A22=8),IF(OR(WEEKDAY('Daily Schedule'!$B$2,2)=1,WEEKDAY('Daily Schedule'!$B$2,2)=4,WEEKDAY('Daily Schedule'!$B$2,2)=5,WEEKDAY('Daily Schedule'!$B$2,2)=7),IFERROR(1*'Daily Workforce'!$K196&gt;=3,FALSE()),IFERROR(1*'Daily Workforce'!$K196&gt;=2,FALSE())),IF(AND('Daily Schedule'!$A22&gt;=46,'Daily Schedule'!$A22&lt;=52),'Daily Workforce'!$M196="Y",IFERROR(1*'Daily Workforce'!$P196&gt;=2,FALSE()))))),1,0)</f>
        <v>0</v>
      </c>
      <c r="GZ18" s="1" t="n">
        <f aca="false">IF(AND('Daily Workforce'!$N197="Y",'Daily Workforce'!$B197&lt;&gt;"",COUNTIF('Daily Schedule'!$F$5:$F21,'Daily Workforce'!$B197)=0,IF('Daily Schedule'!$A22=45,'Daily Workforce'!$J197="Y",IF(OR('Daily Schedule'!$A22=4,'Daily Schedule'!$A22=8),IF(OR(WEEKDAY('Daily Schedule'!$B$2,2)=1,WEEKDAY('Daily Schedule'!$B$2,2)=4,WEEKDAY('Daily Schedule'!$B$2,2)=5,WEEKDAY('Daily Schedule'!$B$2,2)=7),IFERROR(1*'Daily Workforce'!$K197&gt;=3,FALSE()),IFERROR(1*'Daily Workforce'!$K197&gt;=2,FALSE())),IF(AND('Daily Schedule'!$A22&gt;=46,'Daily Schedule'!$A22&lt;=52),'Daily Workforce'!$M197="Y",IFERROR(1*'Daily Workforce'!$P197&gt;=2,FALSE()))))),1,0)</f>
        <v>0</v>
      </c>
      <c r="HA18" s="1" t="n">
        <f aca="false">IF(AND('Daily Workforce'!$N198="Y",'Daily Workforce'!$B198&lt;&gt;"",COUNTIF('Daily Schedule'!$F$5:$F21,'Daily Workforce'!$B198)=0,IF('Daily Schedule'!$A22=45,'Daily Workforce'!$J198="Y",IF(OR('Daily Schedule'!$A22=4,'Daily Schedule'!$A22=8),IF(OR(WEEKDAY('Daily Schedule'!$B$2,2)=1,WEEKDAY('Daily Schedule'!$B$2,2)=4,WEEKDAY('Daily Schedule'!$B$2,2)=5,WEEKDAY('Daily Schedule'!$B$2,2)=7),IFERROR(1*'Daily Workforce'!$K198&gt;=3,FALSE()),IFERROR(1*'Daily Workforce'!$K198&gt;=2,FALSE())),IF(AND('Daily Schedule'!$A22&gt;=46,'Daily Schedule'!$A22&lt;=52),'Daily Workforce'!$M198="Y",IFERROR(1*'Daily Workforce'!$P198&gt;=2,FALSE()))))),1,0)</f>
        <v>0</v>
      </c>
      <c r="HB18" s="1" t="n">
        <f aca="false">IF(AND('Daily Workforce'!$N199="Y",'Daily Workforce'!$B199&lt;&gt;"",COUNTIF('Daily Schedule'!$F$5:$F21,'Daily Workforce'!$B199)=0,IF('Daily Schedule'!$A22=45,'Daily Workforce'!$J199="Y",IF(OR('Daily Schedule'!$A22=4,'Daily Schedule'!$A22=8),IF(OR(WEEKDAY('Daily Schedule'!$B$2,2)=1,WEEKDAY('Daily Schedule'!$B$2,2)=4,WEEKDAY('Daily Schedule'!$B$2,2)=5,WEEKDAY('Daily Schedule'!$B$2,2)=7),IFERROR(1*'Daily Workforce'!$K199&gt;=3,FALSE()),IFERROR(1*'Daily Workforce'!$K199&gt;=2,FALSE())),IF(AND('Daily Schedule'!$A22&gt;=46,'Daily Schedule'!$A22&lt;=52),'Daily Workforce'!$M199="Y",IFERROR(1*'Daily Workforce'!$P199&gt;=2,FALSE()))))),1,0)</f>
        <v>0</v>
      </c>
      <c r="HC18" s="1" t="n">
        <f aca="false">IF(AND('Daily Workforce'!$N200="Y",'Daily Workforce'!$B200&lt;&gt;"",COUNTIF('Daily Schedule'!$F$5:$F21,'Daily Workforce'!$B200)=0,IF('Daily Schedule'!$A22=45,'Daily Workforce'!$J200="Y",IF(OR('Daily Schedule'!$A22=4,'Daily Schedule'!$A22=8),IF(OR(WEEKDAY('Daily Schedule'!$B$2,2)=1,WEEKDAY('Daily Schedule'!$B$2,2)=4,WEEKDAY('Daily Schedule'!$B$2,2)=5,WEEKDAY('Daily Schedule'!$B$2,2)=7),IFERROR(1*'Daily Workforce'!$K200&gt;=3,FALSE()),IFERROR(1*'Daily Workforce'!$K200&gt;=2,FALSE())),IF(AND('Daily Schedule'!$A22&gt;=46,'Daily Schedule'!$A22&lt;=52),'Daily Workforce'!$M200="Y",IFERROR(1*'Daily Workforce'!$P200&gt;=2,FALSE()))))),1,0)</f>
        <v>0</v>
      </c>
      <c r="HD18" s="1" t="n">
        <f aca="false">IF(AND('Daily Workforce'!$N201="Y",'Daily Workforce'!$B201&lt;&gt;"",COUNTIF('Daily Schedule'!$F$5:$F21,'Daily Workforce'!$B201)=0,IF('Daily Schedule'!$A22=45,'Daily Workforce'!$J201="Y",IF(OR('Daily Schedule'!$A22=4,'Daily Schedule'!$A22=8),IF(OR(WEEKDAY('Daily Schedule'!$B$2,2)=1,WEEKDAY('Daily Schedule'!$B$2,2)=4,WEEKDAY('Daily Schedule'!$B$2,2)=5,WEEKDAY('Daily Schedule'!$B$2,2)=7),IFERROR(1*'Daily Workforce'!$K201&gt;=3,FALSE()),IFERROR(1*'Daily Workforce'!$K201&gt;=2,FALSE())),IF(AND('Daily Schedule'!$A22&gt;=46,'Daily Schedule'!$A22&lt;=52),'Daily Workforce'!$M201="Y",IFERROR(1*'Daily Workforce'!$P201&gt;=2,FALSE()))))),1,0)</f>
        <v>0</v>
      </c>
      <c r="HE18" s="1" t="n">
        <f aca="false">IF(AND('Daily Workforce'!$N202="Y",'Daily Workforce'!$B202&lt;&gt;"",COUNTIF('Daily Schedule'!$F$5:$F21,'Daily Workforce'!$B202)=0,IF('Daily Schedule'!$A22=45,'Daily Workforce'!$J202="Y",IF(OR('Daily Schedule'!$A22=4,'Daily Schedule'!$A22=8),IF(OR(WEEKDAY('Daily Schedule'!$B$2,2)=1,WEEKDAY('Daily Schedule'!$B$2,2)=4,WEEKDAY('Daily Schedule'!$B$2,2)=5,WEEKDAY('Daily Schedule'!$B$2,2)=7),IFERROR(1*'Daily Workforce'!$K202&gt;=3,FALSE()),IFERROR(1*'Daily Workforce'!$K202&gt;=2,FALSE())),IF(AND('Daily Schedule'!$A22&gt;=46,'Daily Schedule'!$A22&lt;=52),'Daily Workforce'!$M202="Y",IFERROR(1*'Daily Workforce'!$P202&gt;=2,FALSE()))))),1,0)</f>
        <v>0</v>
      </c>
      <c r="HF18" s="1" t="n">
        <f aca="false">IF(AND('Daily Workforce'!$N203="Y",'Daily Workforce'!$B203&lt;&gt;"",COUNTIF('Daily Schedule'!$F$5:$F21,'Daily Workforce'!$B203)=0,IF('Daily Schedule'!$A22=45,'Daily Workforce'!$J203="Y",IF(OR('Daily Schedule'!$A22=4,'Daily Schedule'!$A22=8),IF(OR(WEEKDAY('Daily Schedule'!$B$2,2)=1,WEEKDAY('Daily Schedule'!$B$2,2)=4,WEEKDAY('Daily Schedule'!$B$2,2)=5,WEEKDAY('Daily Schedule'!$B$2,2)=7),IFERROR(1*'Daily Workforce'!$K203&gt;=3,FALSE()),IFERROR(1*'Daily Workforce'!$K203&gt;=2,FALSE())),IF(AND('Daily Schedule'!$A22&gt;=46,'Daily Schedule'!$A22&lt;=52),'Daily Workforce'!$M203="Y",IFERROR(1*'Daily Workforce'!$P203&gt;=2,FALSE()))))),1,0)</f>
        <v>0</v>
      </c>
      <c r="HG18" s="1" t="n">
        <f aca="false">IF(AND('Daily Workforce'!$N204="Y",'Daily Workforce'!$B204&lt;&gt;"",COUNTIF('Daily Schedule'!$F$5:$F21,'Daily Workforce'!$B204)=0,IF('Daily Schedule'!$A22=45,'Daily Workforce'!$J204="Y",IF(OR('Daily Schedule'!$A22=4,'Daily Schedule'!$A22=8),IF(OR(WEEKDAY('Daily Schedule'!$B$2,2)=1,WEEKDAY('Daily Schedule'!$B$2,2)=4,WEEKDAY('Daily Schedule'!$B$2,2)=5,WEEKDAY('Daily Schedule'!$B$2,2)=7),IFERROR(1*'Daily Workforce'!$K204&gt;=3,FALSE()),IFERROR(1*'Daily Workforce'!$K204&gt;=2,FALSE())),IF(AND('Daily Schedule'!$A22&gt;=46,'Daily Schedule'!$A22&lt;=52),'Daily Workforce'!$M204="Y",IFERROR(1*'Daily Workforce'!$P204&gt;=2,FALSE()))))),1,0)</f>
        <v>0</v>
      </c>
      <c r="HH18" s="1" t="n">
        <f aca="false">IF(AND('Daily Workforce'!$N205="Y",'Daily Workforce'!$B205&lt;&gt;"",COUNTIF('Daily Schedule'!$F$5:$F21,'Daily Workforce'!$B205)=0,IF('Daily Schedule'!$A22=45,'Daily Workforce'!$J205="Y",IF(OR('Daily Schedule'!$A22=4,'Daily Schedule'!$A22=8),IF(OR(WEEKDAY('Daily Schedule'!$B$2,2)=1,WEEKDAY('Daily Schedule'!$B$2,2)=4,WEEKDAY('Daily Schedule'!$B$2,2)=5,WEEKDAY('Daily Schedule'!$B$2,2)=7),IFERROR(1*'Daily Workforce'!$K205&gt;=3,FALSE()),IFERROR(1*'Daily Workforce'!$K205&gt;=2,FALSE())),IF(AND('Daily Schedule'!$A22&gt;=46,'Daily Schedule'!$A22&lt;=52),'Daily Workforce'!$M205="Y",IFERROR(1*'Daily Workforce'!$P205&gt;=2,FALSE()))))),1,0)</f>
        <v>0</v>
      </c>
    </row>
    <row r="19" customFormat="false" ht="15" hidden="false" customHeight="true" outlineLevel="0" collapsed="false">
      <c r="L19" s="1" t="s">
        <v>806</v>
      </c>
      <c r="O19" s="1" t="n">
        <f aca="false">IF(AND('Employee Master'!$G19="Y",ISERROR(SEARCH(TEXT('Daily Workforce'!$B$2,"ddd"),'Employee Master'!$D19)),IF('Daily Workforce'!$E$2="",TRUE(),'Employee Master'!$I19='Daily Workforce'!$E$2)),'Employee Master'!$K19*1000+ROW()-1,"")</f>
        <v>2018</v>
      </c>
      <c r="P19" s="1" t="n">
        <f aca="false">IF($O19="","",COUNTIF($O$2:$O$159,"&lt;="&amp;$O19))</f>
        <v>25</v>
      </c>
      <c r="Q19" s="1" t="n">
        <f aca="false">IF(AND('Daily Workforce'!$N6="Y",'Daily Workforce'!$B6&lt;&gt;"",COUNTIF('Daily Schedule'!$F$5:$F22,'Daily Workforce'!$B6)=0,IF('Daily Schedule'!$A23=45,'Daily Workforce'!$J6="Y",IF(OR('Daily Schedule'!$A23=4,'Daily Schedule'!$A23=8),IF(OR(WEEKDAY('Daily Schedule'!$B$2,2)=1,WEEKDAY('Daily Schedule'!$B$2,2)=4,WEEKDAY('Daily Schedule'!$B$2,2)=5,WEEKDAY('Daily Schedule'!$B$2,2)=7),IFERROR(1*'Daily Workforce'!$K6&gt;=3,FALSE()),IFERROR(1*'Daily Workforce'!$K6&gt;=2,FALSE())),IF(AND('Daily Schedule'!$A23&gt;=46,'Daily Schedule'!$A23&lt;=52),'Daily Workforce'!$M6="Y",IFERROR(1*'Daily Workforce'!$P6&gt;=2,FALSE()))))),1,0)</f>
        <v>0</v>
      </c>
      <c r="R19" s="1" t="n">
        <f aca="false">IF(AND('Daily Workforce'!$N7="Y",'Daily Workforce'!$B7&lt;&gt;"",COUNTIF('Daily Schedule'!$F$5:$F22,'Daily Workforce'!$B7)=0,IF('Daily Schedule'!$A23=45,'Daily Workforce'!$J7="Y",IF(OR('Daily Schedule'!$A23=4,'Daily Schedule'!$A23=8),IF(OR(WEEKDAY('Daily Schedule'!$B$2,2)=1,WEEKDAY('Daily Schedule'!$B$2,2)=4,WEEKDAY('Daily Schedule'!$B$2,2)=5,WEEKDAY('Daily Schedule'!$B$2,2)=7),IFERROR(1*'Daily Workforce'!$K7&gt;=3,FALSE()),IFERROR(1*'Daily Workforce'!$K7&gt;=2,FALSE())),IF(AND('Daily Schedule'!$A23&gt;=46,'Daily Schedule'!$A23&lt;=52),'Daily Workforce'!$M7="Y",IFERROR(1*'Daily Workforce'!$P7&gt;=2,FALSE()))))),1,0)</f>
        <v>0</v>
      </c>
      <c r="S19" s="1" t="n">
        <f aca="false">IF(AND('Daily Workforce'!$N8="Y",'Daily Workforce'!$B8&lt;&gt;"",COUNTIF('Daily Schedule'!$F$5:$F22,'Daily Workforce'!$B8)=0,IF('Daily Schedule'!$A23=45,'Daily Workforce'!$J8="Y",IF(OR('Daily Schedule'!$A23=4,'Daily Schedule'!$A23=8),IF(OR(WEEKDAY('Daily Schedule'!$B$2,2)=1,WEEKDAY('Daily Schedule'!$B$2,2)=4,WEEKDAY('Daily Schedule'!$B$2,2)=5,WEEKDAY('Daily Schedule'!$B$2,2)=7),IFERROR(1*'Daily Workforce'!$K8&gt;=3,FALSE()),IFERROR(1*'Daily Workforce'!$K8&gt;=2,FALSE())),IF(AND('Daily Schedule'!$A23&gt;=46,'Daily Schedule'!$A23&lt;=52),'Daily Workforce'!$M8="Y",IFERROR(1*'Daily Workforce'!$P8&gt;=2,FALSE()))))),1,0)</f>
        <v>0</v>
      </c>
      <c r="T19" s="1" t="n">
        <f aca="false">IF(AND('Daily Workforce'!$N9="Y",'Daily Workforce'!$B9&lt;&gt;"",COUNTIF('Daily Schedule'!$F$5:$F22,'Daily Workforce'!$B9)=0,IF('Daily Schedule'!$A23=45,'Daily Workforce'!$J9="Y",IF(OR('Daily Schedule'!$A23=4,'Daily Schedule'!$A23=8),IF(OR(WEEKDAY('Daily Schedule'!$B$2,2)=1,WEEKDAY('Daily Schedule'!$B$2,2)=4,WEEKDAY('Daily Schedule'!$B$2,2)=5,WEEKDAY('Daily Schedule'!$B$2,2)=7),IFERROR(1*'Daily Workforce'!$K9&gt;=3,FALSE()),IFERROR(1*'Daily Workforce'!$K9&gt;=2,FALSE())),IF(AND('Daily Schedule'!$A23&gt;=46,'Daily Schedule'!$A23&lt;=52),'Daily Workforce'!$M9="Y",IFERROR(1*'Daily Workforce'!$P9&gt;=2,FALSE()))))),1,0)</f>
        <v>0</v>
      </c>
      <c r="U19" s="1" t="n">
        <f aca="false">IF(AND('Daily Workforce'!$N10="Y",'Daily Workforce'!$B10&lt;&gt;"",COUNTIF('Daily Schedule'!$F$5:$F22,'Daily Workforce'!$B10)=0,IF('Daily Schedule'!$A23=45,'Daily Workforce'!$J10="Y",IF(OR('Daily Schedule'!$A23=4,'Daily Schedule'!$A23=8),IF(OR(WEEKDAY('Daily Schedule'!$B$2,2)=1,WEEKDAY('Daily Schedule'!$B$2,2)=4,WEEKDAY('Daily Schedule'!$B$2,2)=5,WEEKDAY('Daily Schedule'!$B$2,2)=7),IFERROR(1*'Daily Workforce'!$K10&gt;=3,FALSE()),IFERROR(1*'Daily Workforce'!$K10&gt;=2,FALSE())),IF(AND('Daily Schedule'!$A23&gt;=46,'Daily Schedule'!$A23&lt;=52),'Daily Workforce'!$M10="Y",IFERROR(1*'Daily Workforce'!$P10&gt;=2,FALSE()))))),1,0)</f>
        <v>0</v>
      </c>
      <c r="V19" s="1" t="n">
        <f aca="false">IF(AND('Daily Workforce'!$N11="Y",'Daily Workforce'!$B11&lt;&gt;"",COUNTIF('Daily Schedule'!$F$5:$F22,'Daily Workforce'!$B11)=0,IF('Daily Schedule'!$A23=45,'Daily Workforce'!$J11="Y",IF(OR('Daily Schedule'!$A23=4,'Daily Schedule'!$A23=8),IF(OR(WEEKDAY('Daily Schedule'!$B$2,2)=1,WEEKDAY('Daily Schedule'!$B$2,2)=4,WEEKDAY('Daily Schedule'!$B$2,2)=5,WEEKDAY('Daily Schedule'!$B$2,2)=7),IFERROR(1*'Daily Workforce'!$K11&gt;=3,FALSE()),IFERROR(1*'Daily Workforce'!$K11&gt;=2,FALSE())),IF(AND('Daily Schedule'!$A23&gt;=46,'Daily Schedule'!$A23&lt;=52),'Daily Workforce'!$M11="Y",IFERROR(1*'Daily Workforce'!$P11&gt;=2,FALSE()))))),1,0)</f>
        <v>0</v>
      </c>
      <c r="W19" s="1" t="n">
        <f aca="false">IF(AND('Daily Workforce'!$N12="Y",'Daily Workforce'!$B12&lt;&gt;"",COUNTIF('Daily Schedule'!$F$5:$F22,'Daily Workforce'!$B12)=0,IF('Daily Schedule'!$A23=45,'Daily Workforce'!$J12="Y",IF(OR('Daily Schedule'!$A23=4,'Daily Schedule'!$A23=8),IF(OR(WEEKDAY('Daily Schedule'!$B$2,2)=1,WEEKDAY('Daily Schedule'!$B$2,2)=4,WEEKDAY('Daily Schedule'!$B$2,2)=5,WEEKDAY('Daily Schedule'!$B$2,2)=7),IFERROR(1*'Daily Workforce'!$K12&gt;=3,FALSE()),IFERROR(1*'Daily Workforce'!$K12&gt;=2,FALSE())),IF(AND('Daily Schedule'!$A23&gt;=46,'Daily Schedule'!$A23&lt;=52),'Daily Workforce'!$M12="Y",IFERROR(1*'Daily Workforce'!$P12&gt;=2,FALSE()))))),1,0)</f>
        <v>0</v>
      </c>
      <c r="X19" s="1" t="n">
        <f aca="false">IF(AND('Daily Workforce'!$N13="Y",'Daily Workforce'!$B13&lt;&gt;"",COUNTIF('Daily Schedule'!$F$5:$F22,'Daily Workforce'!$B13)=0,IF('Daily Schedule'!$A23=45,'Daily Workforce'!$J13="Y",IF(OR('Daily Schedule'!$A23=4,'Daily Schedule'!$A23=8),IF(OR(WEEKDAY('Daily Schedule'!$B$2,2)=1,WEEKDAY('Daily Schedule'!$B$2,2)=4,WEEKDAY('Daily Schedule'!$B$2,2)=5,WEEKDAY('Daily Schedule'!$B$2,2)=7),IFERROR(1*'Daily Workforce'!$K13&gt;=3,FALSE()),IFERROR(1*'Daily Workforce'!$K13&gt;=2,FALSE())),IF(AND('Daily Schedule'!$A23&gt;=46,'Daily Schedule'!$A23&lt;=52),'Daily Workforce'!$M13="Y",IFERROR(1*'Daily Workforce'!$P13&gt;=2,FALSE()))))),1,0)</f>
        <v>0</v>
      </c>
      <c r="Y19" s="1" t="n">
        <f aca="false">IF(AND('Daily Workforce'!$N14="Y",'Daily Workforce'!$B14&lt;&gt;"",COUNTIF('Daily Schedule'!$F$5:$F22,'Daily Workforce'!$B14)=0,IF('Daily Schedule'!$A23=45,'Daily Workforce'!$J14="Y",IF(OR('Daily Schedule'!$A23=4,'Daily Schedule'!$A23=8),IF(OR(WEEKDAY('Daily Schedule'!$B$2,2)=1,WEEKDAY('Daily Schedule'!$B$2,2)=4,WEEKDAY('Daily Schedule'!$B$2,2)=5,WEEKDAY('Daily Schedule'!$B$2,2)=7),IFERROR(1*'Daily Workforce'!$K14&gt;=3,FALSE()),IFERROR(1*'Daily Workforce'!$K14&gt;=2,FALSE())),IF(AND('Daily Schedule'!$A23&gt;=46,'Daily Schedule'!$A23&lt;=52),'Daily Workforce'!$M14="Y",IFERROR(1*'Daily Workforce'!$P14&gt;=2,FALSE()))))),1,0)</f>
        <v>0</v>
      </c>
      <c r="Z19" s="1" t="n">
        <f aca="false">IF(AND('Daily Workforce'!$N15="Y",'Daily Workforce'!$B15&lt;&gt;"",COUNTIF('Daily Schedule'!$F$5:$F22,'Daily Workforce'!$B15)=0,IF('Daily Schedule'!$A23=45,'Daily Workforce'!$J15="Y",IF(OR('Daily Schedule'!$A23=4,'Daily Schedule'!$A23=8),IF(OR(WEEKDAY('Daily Schedule'!$B$2,2)=1,WEEKDAY('Daily Schedule'!$B$2,2)=4,WEEKDAY('Daily Schedule'!$B$2,2)=5,WEEKDAY('Daily Schedule'!$B$2,2)=7),IFERROR(1*'Daily Workforce'!$K15&gt;=3,FALSE()),IFERROR(1*'Daily Workforce'!$K15&gt;=2,FALSE())),IF(AND('Daily Schedule'!$A23&gt;=46,'Daily Schedule'!$A23&lt;=52),'Daily Workforce'!$M15="Y",IFERROR(1*'Daily Workforce'!$P15&gt;=2,FALSE()))))),1,0)</f>
        <v>0</v>
      </c>
      <c r="AA19" s="1" t="n">
        <f aca="false">IF(AND('Daily Workforce'!$N16="Y",'Daily Workforce'!$B16&lt;&gt;"",COUNTIF('Daily Schedule'!$F$5:$F22,'Daily Workforce'!$B16)=0,IF('Daily Schedule'!$A23=45,'Daily Workforce'!$J16="Y",IF(OR('Daily Schedule'!$A23=4,'Daily Schedule'!$A23=8),IF(OR(WEEKDAY('Daily Schedule'!$B$2,2)=1,WEEKDAY('Daily Schedule'!$B$2,2)=4,WEEKDAY('Daily Schedule'!$B$2,2)=5,WEEKDAY('Daily Schedule'!$B$2,2)=7),IFERROR(1*'Daily Workforce'!$K16&gt;=3,FALSE()),IFERROR(1*'Daily Workforce'!$K16&gt;=2,FALSE())),IF(AND('Daily Schedule'!$A23&gt;=46,'Daily Schedule'!$A23&lt;=52),'Daily Workforce'!$M16="Y",IFERROR(1*'Daily Workforce'!$P16&gt;=2,FALSE()))))),1,0)</f>
        <v>0</v>
      </c>
      <c r="AB19" s="1" t="n">
        <f aca="false">IF(AND('Daily Workforce'!$N17="Y",'Daily Workforce'!$B17&lt;&gt;"",COUNTIF('Daily Schedule'!$F$5:$F22,'Daily Workforce'!$B17)=0,IF('Daily Schedule'!$A23=45,'Daily Workforce'!$J17="Y",IF(OR('Daily Schedule'!$A23=4,'Daily Schedule'!$A23=8),IF(OR(WEEKDAY('Daily Schedule'!$B$2,2)=1,WEEKDAY('Daily Schedule'!$B$2,2)=4,WEEKDAY('Daily Schedule'!$B$2,2)=5,WEEKDAY('Daily Schedule'!$B$2,2)=7),IFERROR(1*'Daily Workforce'!$K17&gt;=3,FALSE()),IFERROR(1*'Daily Workforce'!$K17&gt;=2,FALSE())),IF(AND('Daily Schedule'!$A23&gt;=46,'Daily Schedule'!$A23&lt;=52),'Daily Workforce'!$M17="Y",IFERROR(1*'Daily Workforce'!$P17&gt;=2,FALSE()))))),1,0)</f>
        <v>0</v>
      </c>
      <c r="AC19" s="1" t="n">
        <f aca="false">IF(AND('Daily Workforce'!$N18="Y",'Daily Workforce'!$B18&lt;&gt;"",COUNTIF('Daily Schedule'!$F$5:$F22,'Daily Workforce'!$B18)=0,IF('Daily Schedule'!$A23=45,'Daily Workforce'!$J18="Y",IF(OR('Daily Schedule'!$A23=4,'Daily Schedule'!$A23=8),IF(OR(WEEKDAY('Daily Schedule'!$B$2,2)=1,WEEKDAY('Daily Schedule'!$B$2,2)=4,WEEKDAY('Daily Schedule'!$B$2,2)=5,WEEKDAY('Daily Schedule'!$B$2,2)=7),IFERROR(1*'Daily Workforce'!$K18&gt;=3,FALSE()),IFERROR(1*'Daily Workforce'!$K18&gt;=2,FALSE())),IF(AND('Daily Schedule'!$A23&gt;=46,'Daily Schedule'!$A23&lt;=52),'Daily Workforce'!$M18="Y",IFERROR(1*'Daily Workforce'!$P18&gt;=2,FALSE()))))),1,0)</f>
        <v>0</v>
      </c>
      <c r="AD19" s="1" t="n">
        <f aca="false">IF(AND('Daily Workforce'!$N19="Y",'Daily Workforce'!$B19&lt;&gt;"",COUNTIF('Daily Schedule'!$F$5:$F22,'Daily Workforce'!$B19)=0,IF('Daily Schedule'!$A23=45,'Daily Workforce'!$J19="Y",IF(OR('Daily Schedule'!$A23=4,'Daily Schedule'!$A23=8),IF(OR(WEEKDAY('Daily Schedule'!$B$2,2)=1,WEEKDAY('Daily Schedule'!$B$2,2)=4,WEEKDAY('Daily Schedule'!$B$2,2)=5,WEEKDAY('Daily Schedule'!$B$2,2)=7),IFERROR(1*'Daily Workforce'!$K19&gt;=3,FALSE()),IFERROR(1*'Daily Workforce'!$K19&gt;=2,FALSE())),IF(AND('Daily Schedule'!$A23&gt;=46,'Daily Schedule'!$A23&lt;=52),'Daily Workforce'!$M19="Y",IFERROR(1*'Daily Workforce'!$P19&gt;=2,FALSE()))))),1,0)</f>
        <v>0</v>
      </c>
      <c r="AE19" s="1" t="n">
        <f aca="false">IF(AND('Daily Workforce'!$N20="Y",'Daily Workforce'!$B20&lt;&gt;"",COUNTIF('Daily Schedule'!$F$5:$F22,'Daily Workforce'!$B20)=0,IF('Daily Schedule'!$A23=45,'Daily Workforce'!$J20="Y",IF(OR('Daily Schedule'!$A23=4,'Daily Schedule'!$A23=8),IF(OR(WEEKDAY('Daily Schedule'!$B$2,2)=1,WEEKDAY('Daily Schedule'!$B$2,2)=4,WEEKDAY('Daily Schedule'!$B$2,2)=5,WEEKDAY('Daily Schedule'!$B$2,2)=7),IFERROR(1*'Daily Workforce'!$K20&gt;=3,FALSE()),IFERROR(1*'Daily Workforce'!$K20&gt;=2,FALSE())),IF(AND('Daily Schedule'!$A23&gt;=46,'Daily Schedule'!$A23&lt;=52),'Daily Workforce'!$M20="Y",IFERROR(1*'Daily Workforce'!$P20&gt;=2,FALSE()))))),1,0)</f>
        <v>0</v>
      </c>
      <c r="AF19" s="1" t="n">
        <f aca="false">IF(AND('Daily Workforce'!$N21="Y",'Daily Workforce'!$B21&lt;&gt;"",COUNTIF('Daily Schedule'!$F$5:$F22,'Daily Workforce'!$B21)=0,IF('Daily Schedule'!$A23=45,'Daily Workforce'!$J21="Y",IF(OR('Daily Schedule'!$A23=4,'Daily Schedule'!$A23=8),IF(OR(WEEKDAY('Daily Schedule'!$B$2,2)=1,WEEKDAY('Daily Schedule'!$B$2,2)=4,WEEKDAY('Daily Schedule'!$B$2,2)=5,WEEKDAY('Daily Schedule'!$B$2,2)=7),IFERROR(1*'Daily Workforce'!$K21&gt;=3,FALSE()),IFERROR(1*'Daily Workforce'!$K21&gt;=2,FALSE())),IF(AND('Daily Schedule'!$A23&gt;=46,'Daily Schedule'!$A23&lt;=52),'Daily Workforce'!$M21="Y",IFERROR(1*'Daily Workforce'!$P21&gt;=2,FALSE()))))),1,0)</f>
        <v>0</v>
      </c>
      <c r="AG19" s="1" t="n">
        <f aca="false">IF(AND('Daily Workforce'!$N22="Y",'Daily Workforce'!$B22&lt;&gt;"",COUNTIF('Daily Schedule'!$F$5:$F22,'Daily Workforce'!$B22)=0,IF('Daily Schedule'!$A23=45,'Daily Workforce'!$J22="Y",IF(OR('Daily Schedule'!$A23=4,'Daily Schedule'!$A23=8),IF(OR(WEEKDAY('Daily Schedule'!$B$2,2)=1,WEEKDAY('Daily Schedule'!$B$2,2)=4,WEEKDAY('Daily Schedule'!$B$2,2)=5,WEEKDAY('Daily Schedule'!$B$2,2)=7),IFERROR(1*'Daily Workforce'!$K22&gt;=3,FALSE()),IFERROR(1*'Daily Workforce'!$K22&gt;=2,FALSE())),IF(AND('Daily Schedule'!$A23&gt;=46,'Daily Schedule'!$A23&lt;=52),'Daily Workforce'!$M22="Y",IFERROR(1*'Daily Workforce'!$P22&gt;=2,FALSE()))))),1,0)</f>
        <v>1</v>
      </c>
      <c r="AH19" s="1" t="n">
        <f aca="false">IF(AND('Daily Workforce'!$N23="Y",'Daily Workforce'!$B23&lt;&gt;"",COUNTIF('Daily Schedule'!$F$5:$F22,'Daily Workforce'!$B23)=0,IF('Daily Schedule'!$A23=45,'Daily Workforce'!$J23="Y",IF(OR('Daily Schedule'!$A23=4,'Daily Schedule'!$A23=8),IF(OR(WEEKDAY('Daily Schedule'!$B$2,2)=1,WEEKDAY('Daily Schedule'!$B$2,2)=4,WEEKDAY('Daily Schedule'!$B$2,2)=5,WEEKDAY('Daily Schedule'!$B$2,2)=7),IFERROR(1*'Daily Workforce'!$K23&gt;=3,FALSE()),IFERROR(1*'Daily Workforce'!$K23&gt;=2,FALSE())),IF(AND('Daily Schedule'!$A23&gt;=46,'Daily Schedule'!$A23&lt;=52),'Daily Workforce'!$M23="Y",IFERROR(1*'Daily Workforce'!$P23&gt;=2,FALSE()))))),1,0)</f>
        <v>1</v>
      </c>
      <c r="AI19" s="1" t="n">
        <f aca="false">IF(AND('Daily Workforce'!$N24="Y",'Daily Workforce'!$B24&lt;&gt;"",COUNTIF('Daily Schedule'!$F$5:$F22,'Daily Workforce'!$B24)=0,IF('Daily Schedule'!$A23=45,'Daily Workforce'!$J24="Y",IF(OR('Daily Schedule'!$A23=4,'Daily Schedule'!$A23=8),IF(OR(WEEKDAY('Daily Schedule'!$B$2,2)=1,WEEKDAY('Daily Schedule'!$B$2,2)=4,WEEKDAY('Daily Schedule'!$B$2,2)=5,WEEKDAY('Daily Schedule'!$B$2,2)=7),IFERROR(1*'Daily Workforce'!$K24&gt;=3,FALSE()),IFERROR(1*'Daily Workforce'!$K24&gt;=2,FALSE())),IF(AND('Daily Schedule'!$A23&gt;=46,'Daily Schedule'!$A23&lt;=52),'Daily Workforce'!$M24="Y",IFERROR(1*'Daily Workforce'!$P24&gt;=2,FALSE()))))),1,0)</f>
        <v>1</v>
      </c>
      <c r="AJ19" s="1" t="n">
        <f aca="false">IF(AND('Daily Workforce'!$N25="Y",'Daily Workforce'!$B25&lt;&gt;"",COUNTIF('Daily Schedule'!$F$5:$F22,'Daily Workforce'!$B25)=0,IF('Daily Schedule'!$A23=45,'Daily Workforce'!$J25="Y",IF(OR('Daily Schedule'!$A23=4,'Daily Schedule'!$A23=8),IF(OR(WEEKDAY('Daily Schedule'!$B$2,2)=1,WEEKDAY('Daily Schedule'!$B$2,2)=4,WEEKDAY('Daily Schedule'!$B$2,2)=5,WEEKDAY('Daily Schedule'!$B$2,2)=7),IFERROR(1*'Daily Workforce'!$K25&gt;=3,FALSE()),IFERROR(1*'Daily Workforce'!$K25&gt;=2,FALSE())),IF(AND('Daily Schedule'!$A23&gt;=46,'Daily Schedule'!$A23&lt;=52),'Daily Workforce'!$M25="Y",IFERROR(1*'Daily Workforce'!$P25&gt;=2,FALSE()))))),1,0)</f>
        <v>1</v>
      </c>
      <c r="AK19" s="1" t="n">
        <f aca="false">IF(AND('Daily Workforce'!$N26="Y",'Daily Workforce'!$B26&lt;&gt;"",COUNTIF('Daily Schedule'!$F$5:$F22,'Daily Workforce'!$B26)=0,IF('Daily Schedule'!$A23=45,'Daily Workforce'!$J26="Y",IF(OR('Daily Schedule'!$A23=4,'Daily Schedule'!$A23=8),IF(OR(WEEKDAY('Daily Schedule'!$B$2,2)=1,WEEKDAY('Daily Schedule'!$B$2,2)=4,WEEKDAY('Daily Schedule'!$B$2,2)=5,WEEKDAY('Daily Schedule'!$B$2,2)=7),IFERROR(1*'Daily Workforce'!$K26&gt;=3,FALSE()),IFERROR(1*'Daily Workforce'!$K26&gt;=2,FALSE())),IF(AND('Daily Schedule'!$A23&gt;=46,'Daily Schedule'!$A23&lt;=52),'Daily Workforce'!$M26="Y",IFERROR(1*'Daily Workforce'!$P26&gt;=2,FALSE()))))),1,0)</f>
        <v>1</v>
      </c>
      <c r="AL19" s="1" t="n">
        <f aca="false">IF(AND('Daily Workforce'!$N27="Y",'Daily Workforce'!$B27&lt;&gt;"",COUNTIF('Daily Schedule'!$F$5:$F22,'Daily Workforce'!$B27)=0,IF('Daily Schedule'!$A23=45,'Daily Workforce'!$J27="Y",IF(OR('Daily Schedule'!$A23=4,'Daily Schedule'!$A23=8),IF(OR(WEEKDAY('Daily Schedule'!$B$2,2)=1,WEEKDAY('Daily Schedule'!$B$2,2)=4,WEEKDAY('Daily Schedule'!$B$2,2)=5,WEEKDAY('Daily Schedule'!$B$2,2)=7),IFERROR(1*'Daily Workforce'!$K27&gt;=3,FALSE()),IFERROR(1*'Daily Workforce'!$K27&gt;=2,FALSE())),IF(AND('Daily Schedule'!$A23&gt;=46,'Daily Schedule'!$A23&lt;=52),'Daily Workforce'!$M27="Y",IFERROR(1*'Daily Workforce'!$P27&gt;=2,FALSE()))))),1,0)</f>
        <v>0</v>
      </c>
      <c r="AM19" s="1" t="n">
        <f aca="false">IF(AND('Daily Workforce'!$N28="Y",'Daily Workforce'!$B28&lt;&gt;"",COUNTIF('Daily Schedule'!$F$5:$F22,'Daily Workforce'!$B28)=0,IF('Daily Schedule'!$A23=45,'Daily Workforce'!$J28="Y",IF(OR('Daily Schedule'!$A23=4,'Daily Schedule'!$A23=8),IF(OR(WEEKDAY('Daily Schedule'!$B$2,2)=1,WEEKDAY('Daily Schedule'!$B$2,2)=4,WEEKDAY('Daily Schedule'!$B$2,2)=5,WEEKDAY('Daily Schedule'!$B$2,2)=7),IFERROR(1*'Daily Workforce'!$K28&gt;=3,FALSE()),IFERROR(1*'Daily Workforce'!$K28&gt;=2,FALSE())),IF(AND('Daily Schedule'!$A23&gt;=46,'Daily Schedule'!$A23&lt;=52),'Daily Workforce'!$M28="Y",IFERROR(1*'Daily Workforce'!$P28&gt;=2,FALSE()))))),1,0)</f>
        <v>1</v>
      </c>
      <c r="AN19" s="1" t="n">
        <f aca="false">IF(AND('Daily Workforce'!$N29="Y",'Daily Workforce'!$B29&lt;&gt;"",COUNTIF('Daily Schedule'!$F$5:$F22,'Daily Workforce'!$B29)=0,IF('Daily Schedule'!$A23=45,'Daily Workforce'!$J29="Y",IF(OR('Daily Schedule'!$A23=4,'Daily Schedule'!$A23=8),IF(OR(WEEKDAY('Daily Schedule'!$B$2,2)=1,WEEKDAY('Daily Schedule'!$B$2,2)=4,WEEKDAY('Daily Schedule'!$B$2,2)=5,WEEKDAY('Daily Schedule'!$B$2,2)=7),IFERROR(1*'Daily Workforce'!$K29&gt;=3,FALSE()),IFERROR(1*'Daily Workforce'!$K29&gt;=2,FALSE())),IF(AND('Daily Schedule'!$A23&gt;=46,'Daily Schedule'!$A23&lt;=52),'Daily Workforce'!$M29="Y",IFERROR(1*'Daily Workforce'!$P29&gt;=2,FALSE()))))),1,0)</f>
        <v>1</v>
      </c>
      <c r="AO19" s="1" t="n">
        <f aca="false">IF(AND('Daily Workforce'!$N30="Y",'Daily Workforce'!$B30&lt;&gt;"",COUNTIF('Daily Schedule'!$F$5:$F22,'Daily Workforce'!$B30)=0,IF('Daily Schedule'!$A23=45,'Daily Workforce'!$J30="Y",IF(OR('Daily Schedule'!$A23=4,'Daily Schedule'!$A23=8),IF(OR(WEEKDAY('Daily Schedule'!$B$2,2)=1,WEEKDAY('Daily Schedule'!$B$2,2)=4,WEEKDAY('Daily Schedule'!$B$2,2)=5,WEEKDAY('Daily Schedule'!$B$2,2)=7),IFERROR(1*'Daily Workforce'!$K30&gt;=3,FALSE()),IFERROR(1*'Daily Workforce'!$K30&gt;=2,FALSE())),IF(AND('Daily Schedule'!$A23&gt;=46,'Daily Schedule'!$A23&lt;=52),'Daily Workforce'!$M30="Y",IFERROR(1*'Daily Workforce'!$P30&gt;=2,FALSE()))))),1,0)</f>
        <v>1</v>
      </c>
      <c r="AP19" s="1" t="n">
        <f aca="false">IF(AND('Daily Workforce'!$N31="Y",'Daily Workforce'!$B31&lt;&gt;"",COUNTIF('Daily Schedule'!$F$5:$F22,'Daily Workforce'!$B31)=0,IF('Daily Schedule'!$A23=45,'Daily Workforce'!$J31="Y",IF(OR('Daily Schedule'!$A23=4,'Daily Schedule'!$A23=8),IF(OR(WEEKDAY('Daily Schedule'!$B$2,2)=1,WEEKDAY('Daily Schedule'!$B$2,2)=4,WEEKDAY('Daily Schedule'!$B$2,2)=5,WEEKDAY('Daily Schedule'!$B$2,2)=7),IFERROR(1*'Daily Workforce'!$K31&gt;=3,FALSE()),IFERROR(1*'Daily Workforce'!$K31&gt;=2,FALSE())),IF(AND('Daily Schedule'!$A23&gt;=46,'Daily Schedule'!$A23&lt;=52),'Daily Workforce'!$M31="Y",IFERROR(1*'Daily Workforce'!$P31&gt;=2,FALSE()))))),1,0)</f>
        <v>1</v>
      </c>
      <c r="AQ19" s="1" t="n">
        <f aca="false">IF(AND('Daily Workforce'!$N32="Y",'Daily Workforce'!$B32&lt;&gt;"",COUNTIF('Daily Schedule'!$F$5:$F22,'Daily Workforce'!$B32)=0,IF('Daily Schedule'!$A23=45,'Daily Workforce'!$J32="Y",IF(OR('Daily Schedule'!$A23=4,'Daily Schedule'!$A23=8),IF(OR(WEEKDAY('Daily Schedule'!$B$2,2)=1,WEEKDAY('Daily Schedule'!$B$2,2)=4,WEEKDAY('Daily Schedule'!$B$2,2)=5,WEEKDAY('Daily Schedule'!$B$2,2)=7),IFERROR(1*'Daily Workforce'!$K32&gt;=3,FALSE()),IFERROR(1*'Daily Workforce'!$K32&gt;=2,FALSE())),IF(AND('Daily Schedule'!$A23&gt;=46,'Daily Schedule'!$A23&lt;=52),'Daily Workforce'!$M32="Y",IFERROR(1*'Daily Workforce'!$P32&gt;=2,FALSE()))))),1,0)</f>
        <v>1</v>
      </c>
      <c r="AR19" s="1" t="n">
        <f aca="false">IF(AND('Daily Workforce'!$N33="Y",'Daily Workforce'!$B33&lt;&gt;"",COUNTIF('Daily Schedule'!$F$5:$F22,'Daily Workforce'!$B33)=0,IF('Daily Schedule'!$A23=45,'Daily Workforce'!$J33="Y",IF(OR('Daily Schedule'!$A23=4,'Daily Schedule'!$A23=8),IF(OR(WEEKDAY('Daily Schedule'!$B$2,2)=1,WEEKDAY('Daily Schedule'!$B$2,2)=4,WEEKDAY('Daily Schedule'!$B$2,2)=5,WEEKDAY('Daily Schedule'!$B$2,2)=7),IFERROR(1*'Daily Workforce'!$K33&gt;=3,FALSE()),IFERROR(1*'Daily Workforce'!$K33&gt;=2,FALSE())),IF(AND('Daily Schedule'!$A23&gt;=46,'Daily Schedule'!$A23&lt;=52),'Daily Workforce'!$M33="Y",IFERROR(1*'Daily Workforce'!$P33&gt;=2,FALSE()))))),1,0)</f>
        <v>1</v>
      </c>
      <c r="AS19" s="1" t="n">
        <f aca="false">IF(AND('Daily Workforce'!$N34="Y",'Daily Workforce'!$B34&lt;&gt;"",COUNTIF('Daily Schedule'!$F$5:$F22,'Daily Workforce'!$B34)=0,IF('Daily Schedule'!$A23=45,'Daily Workforce'!$J34="Y",IF(OR('Daily Schedule'!$A23=4,'Daily Schedule'!$A23=8),IF(OR(WEEKDAY('Daily Schedule'!$B$2,2)=1,WEEKDAY('Daily Schedule'!$B$2,2)=4,WEEKDAY('Daily Schedule'!$B$2,2)=5,WEEKDAY('Daily Schedule'!$B$2,2)=7),IFERROR(1*'Daily Workforce'!$K34&gt;=3,FALSE()),IFERROR(1*'Daily Workforce'!$K34&gt;=2,FALSE())),IF(AND('Daily Schedule'!$A23&gt;=46,'Daily Schedule'!$A23&lt;=52),'Daily Workforce'!$M34="Y",IFERROR(1*'Daily Workforce'!$P34&gt;=2,FALSE()))))),1,0)</f>
        <v>1</v>
      </c>
      <c r="AT19" s="1" t="n">
        <f aca="false">IF(AND('Daily Workforce'!$N35="Y",'Daily Workforce'!$B35&lt;&gt;"",COUNTIF('Daily Schedule'!$F$5:$F22,'Daily Workforce'!$B35)=0,IF('Daily Schedule'!$A23=45,'Daily Workforce'!$J35="Y",IF(OR('Daily Schedule'!$A23=4,'Daily Schedule'!$A23=8),IF(OR(WEEKDAY('Daily Schedule'!$B$2,2)=1,WEEKDAY('Daily Schedule'!$B$2,2)=4,WEEKDAY('Daily Schedule'!$B$2,2)=5,WEEKDAY('Daily Schedule'!$B$2,2)=7),IFERROR(1*'Daily Workforce'!$K35&gt;=3,FALSE()),IFERROR(1*'Daily Workforce'!$K35&gt;=2,FALSE())),IF(AND('Daily Schedule'!$A23&gt;=46,'Daily Schedule'!$A23&lt;=52),'Daily Workforce'!$M35="Y",IFERROR(1*'Daily Workforce'!$P35&gt;=2,FALSE()))))),1,0)</f>
        <v>1</v>
      </c>
      <c r="AU19" s="1" t="n">
        <f aca="false">IF(AND('Daily Workforce'!$N36="Y",'Daily Workforce'!$B36&lt;&gt;"",COUNTIF('Daily Schedule'!$F$5:$F22,'Daily Workforce'!$B36)=0,IF('Daily Schedule'!$A23=45,'Daily Workforce'!$J36="Y",IF(OR('Daily Schedule'!$A23=4,'Daily Schedule'!$A23=8),IF(OR(WEEKDAY('Daily Schedule'!$B$2,2)=1,WEEKDAY('Daily Schedule'!$B$2,2)=4,WEEKDAY('Daily Schedule'!$B$2,2)=5,WEEKDAY('Daily Schedule'!$B$2,2)=7),IFERROR(1*'Daily Workforce'!$K36&gt;=3,FALSE()),IFERROR(1*'Daily Workforce'!$K36&gt;=2,FALSE())),IF(AND('Daily Schedule'!$A23&gt;=46,'Daily Schedule'!$A23&lt;=52),'Daily Workforce'!$M36="Y",IFERROR(1*'Daily Workforce'!$P36&gt;=2,FALSE()))))),1,0)</f>
        <v>1</v>
      </c>
      <c r="AV19" s="1" t="n">
        <f aca="false">IF(AND('Daily Workforce'!$N37="Y",'Daily Workforce'!$B37&lt;&gt;"",COUNTIF('Daily Schedule'!$F$5:$F22,'Daily Workforce'!$B37)=0,IF('Daily Schedule'!$A23=45,'Daily Workforce'!$J37="Y",IF(OR('Daily Schedule'!$A23=4,'Daily Schedule'!$A23=8),IF(OR(WEEKDAY('Daily Schedule'!$B$2,2)=1,WEEKDAY('Daily Schedule'!$B$2,2)=4,WEEKDAY('Daily Schedule'!$B$2,2)=5,WEEKDAY('Daily Schedule'!$B$2,2)=7),IFERROR(1*'Daily Workforce'!$K37&gt;=3,FALSE()),IFERROR(1*'Daily Workforce'!$K37&gt;=2,FALSE())),IF(AND('Daily Schedule'!$A23&gt;=46,'Daily Schedule'!$A23&lt;=52),'Daily Workforce'!$M37="Y",IFERROR(1*'Daily Workforce'!$P37&gt;=2,FALSE()))))),1,0)</f>
        <v>1</v>
      </c>
      <c r="AW19" s="1" t="n">
        <f aca="false">IF(AND('Daily Workforce'!$N38="Y",'Daily Workforce'!$B38&lt;&gt;"",COUNTIF('Daily Schedule'!$F$5:$F22,'Daily Workforce'!$B38)=0,IF('Daily Schedule'!$A23=45,'Daily Workforce'!$J38="Y",IF(OR('Daily Schedule'!$A23=4,'Daily Schedule'!$A23=8),IF(OR(WEEKDAY('Daily Schedule'!$B$2,2)=1,WEEKDAY('Daily Schedule'!$B$2,2)=4,WEEKDAY('Daily Schedule'!$B$2,2)=5,WEEKDAY('Daily Schedule'!$B$2,2)=7),IFERROR(1*'Daily Workforce'!$K38&gt;=3,FALSE()),IFERROR(1*'Daily Workforce'!$K38&gt;=2,FALSE())),IF(AND('Daily Schedule'!$A23&gt;=46,'Daily Schedule'!$A23&lt;=52),'Daily Workforce'!$M38="Y",IFERROR(1*'Daily Workforce'!$P38&gt;=2,FALSE()))))),1,0)</f>
        <v>1</v>
      </c>
      <c r="AX19" s="1" t="n">
        <f aca="false">IF(AND('Daily Workforce'!$N39="Y",'Daily Workforce'!$B39&lt;&gt;"",COUNTIF('Daily Schedule'!$F$5:$F22,'Daily Workforce'!$B39)=0,IF('Daily Schedule'!$A23=45,'Daily Workforce'!$J39="Y",IF(OR('Daily Schedule'!$A23=4,'Daily Schedule'!$A23=8),IF(OR(WEEKDAY('Daily Schedule'!$B$2,2)=1,WEEKDAY('Daily Schedule'!$B$2,2)=4,WEEKDAY('Daily Schedule'!$B$2,2)=5,WEEKDAY('Daily Schedule'!$B$2,2)=7),IFERROR(1*'Daily Workforce'!$K39&gt;=3,FALSE()),IFERROR(1*'Daily Workforce'!$K39&gt;=2,FALSE())),IF(AND('Daily Schedule'!$A23&gt;=46,'Daily Schedule'!$A23&lt;=52),'Daily Workforce'!$M39="Y",IFERROR(1*'Daily Workforce'!$P39&gt;=2,FALSE()))))),1,0)</f>
        <v>1</v>
      </c>
      <c r="AY19" s="1" t="n">
        <f aca="false">IF(AND('Daily Workforce'!$N40="Y",'Daily Workforce'!$B40&lt;&gt;"",COUNTIF('Daily Schedule'!$F$5:$F22,'Daily Workforce'!$B40)=0,IF('Daily Schedule'!$A23=45,'Daily Workforce'!$J40="Y",IF(OR('Daily Schedule'!$A23=4,'Daily Schedule'!$A23=8),IF(OR(WEEKDAY('Daily Schedule'!$B$2,2)=1,WEEKDAY('Daily Schedule'!$B$2,2)=4,WEEKDAY('Daily Schedule'!$B$2,2)=5,WEEKDAY('Daily Schedule'!$B$2,2)=7),IFERROR(1*'Daily Workforce'!$K40&gt;=3,FALSE()),IFERROR(1*'Daily Workforce'!$K40&gt;=2,FALSE())),IF(AND('Daily Schedule'!$A23&gt;=46,'Daily Schedule'!$A23&lt;=52),'Daily Workforce'!$M40="Y",IFERROR(1*'Daily Workforce'!$P40&gt;=2,FALSE()))))),1,0)</f>
        <v>1</v>
      </c>
      <c r="AZ19" s="1" t="n">
        <f aca="false">IF(AND('Daily Workforce'!$N41="Y",'Daily Workforce'!$B41&lt;&gt;"",COUNTIF('Daily Schedule'!$F$5:$F22,'Daily Workforce'!$B41)=0,IF('Daily Schedule'!$A23=45,'Daily Workforce'!$J41="Y",IF(OR('Daily Schedule'!$A23=4,'Daily Schedule'!$A23=8),IF(OR(WEEKDAY('Daily Schedule'!$B$2,2)=1,WEEKDAY('Daily Schedule'!$B$2,2)=4,WEEKDAY('Daily Schedule'!$B$2,2)=5,WEEKDAY('Daily Schedule'!$B$2,2)=7),IFERROR(1*'Daily Workforce'!$K41&gt;=3,FALSE()),IFERROR(1*'Daily Workforce'!$K41&gt;=2,FALSE())),IF(AND('Daily Schedule'!$A23&gt;=46,'Daily Schedule'!$A23&lt;=52),'Daily Workforce'!$M41="Y",IFERROR(1*'Daily Workforce'!$P41&gt;=2,FALSE()))))),1,0)</f>
        <v>1</v>
      </c>
      <c r="BA19" s="1" t="n">
        <f aca="false">IF(AND('Daily Workforce'!$N42="Y",'Daily Workforce'!$B42&lt;&gt;"",COUNTIF('Daily Schedule'!$F$5:$F22,'Daily Workforce'!$B42)=0,IF('Daily Schedule'!$A23=45,'Daily Workforce'!$J42="Y",IF(OR('Daily Schedule'!$A23=4,'Daily Schedule'!$A23=8),IF(OR(WEEKDAY('Daily Schedule'!$B$2,2)=1,WEEKDAY('Daily Schedule'!$B$2,2)=4,WEEKDAY('Daily Schedule'!$B$2,2)=5,WEEKDAY('Daily Schedule'!$B$2,2)=7),IFERROR(1*'Daily Workforce'!$K42&gt;=3,FALSE()),IFERROR(1*'Daily Workforce'!$K42&gt;=2,FALSE())),IF(AND('Daily Schedule'!$A23&gt;=46,'Daily Schedule'!$A23&lt;=52),'Daily Workforce'!$M42="Y",IFERROR(1*'Daily Workforce'!$P42&gt;=2,FALSE()))))),1,0)</f>
        <v>1</v>
      </c>
      <c r="BB19" s="1" t="n">
        <f aca="false">IF(AND('Daily Workforce'!$N43="Y",'Daily Workforce'!$B43&lt;&gt;"",COUNTIF('Daily Schedule'!$F$5:$F22,'Daily Workforce'!$B43)=0,IF('Daily Schedule'!$A23=45,'Daily Workforce'!$J43="Y",IF(OR('Daily Schedule'!$A23=4,'Daily Schedule'!$A23=8),IF(OR(WEEKDAY('Daily Schedule'!$B$2,2)=1,WEEKDAY('Daily Schedule'!$B$2,2)=4,WEEKDAY('Daily Schedule'!$B$2,2)=5,WEEKDAY('Daily Schedule'!$B$2,2)=7),IFERROR(1*'Daily Workforce'!$K43&gt;=3,FALSE()),IFERROR(1*'Daily Workforce'!$K43&gt;=2,FALSE())),IF(AND('Daily Schedule'!$A23&gt;=46,'Daily Schedule'!$A23&lt;=52),'Daily Workforce'!$M43="Y",IFERROR(1*'Daily Workforce'!$P43&gt;=2,FALSE()))))),1,0)</f>
        <v>1</v>
      </c>
      <c r="BC19" s="1" t="n">
        <f aca="false">IF(AND('Daily Workforce'!$N44="Y",'Daily Workforce'!$B44&lt;&gt;"",COUNTIF('Daily Schedule'!$F$5:$F22,'Daily Workforce'!$B44)=0,IF('Daily Schedule'!$A23=45,'Daily Workforce'!$J44="Y",IF(OR('Daily Schedule'!$A23=4,'Daily Schedule'!$A23=8),IF(OR(WEEKDAY('Daily Schedule'!$B$2,2)=1,WEEKDAY('Daily Schedule'!$B$2,2)=4,WEEKDAY('Daily Schedule'!$B$2,2)=5,WEEKDAY('Daily Schedule'!$B$2,2)=7),IFERROR(1*'Daily Workforce'!$K44&gt;=3,FALSE()),IFERROR(1*'Daily Workforce'!$K44&gt;=2,FALSE())),IF(AND('Daily Schedule'!$A23&gt;=46,'Daily Schedule'!$A23&lt;=52),'Daily Workforce'!$M44="Y",IFERROR(1*'Daily Workforce'!$P44&gt;=2,FALSE()))))),1,0)</f>
        <v>1</v>
      </c>
      <c r="BD19" s="1" t="n">
        <f aca="false">IF(AND('Daily Workforce'!$N45="Y",'Daily Workforce'!$B45&lt;&gt;"",COUNTIF('Daily Schedule'!$F$5:$F22,'Daily Workforce'!$B45)=0,IF('Daily Schedule'!$A23=45,'Daily Workforce'!$J45="Y",IF(OR('Daily Schedule'!$A23=4,'Daily Schedule'!$A23=8),IF(OR(WEEKDAY('Daily Schedule'!$B$2,2)=1,WEEKDAY('Daily Schedule'!$B$2,2)=4,WEEKDAY('Daily Schedule'!$B$2,2)=5,WEEKDAY('Daily Schedule'!$B$2,2)=7),IFERROR(1*'Daily Workforce'!$K45&gt;=3,FALSE()),IFERROR(1*'Daily Workforce'!$K45&gt;=2,FALSE())),IF(AND('Daily Schedule'!$A23&gt;=46,'Daily Schedule'!$A23&lt;=52),'Daily Workforce'!$M45="Y",IFERROR(1*'Daily Workforce'!$P45&gt;=2,FALSE()))))),1,0)</f>
        <v>1</v>
      </c>
      <c r="BE19" s="1" t="n">
        <f aca="false">IF(AND('Daily Workforce'!$N46="Y",'Daily Workforce'!$B46&lt;&gt;"",COUNTIF('Daily Schedule'!$F$5:$F22,'Daily Workforce'!$B46)=0,IF('Daily Schedule'!$A23=45,'Daily Workforce'!$J46="Y",IF(OR('Daily Schedule'!$A23=4,'Daily Schedule'!$A23=8),IF(OR(WEEKDAY('Daily Schedule'!$B$2,2)=1,WEEKDAY('Daily Schedule'!$B$2,2)=4,WEEKDAY('Daily Schedule'!$B$2,2)=5,WEEKDAY('Daily Schedule'!$B$2,2)=7),IFERROR(1*'Daily Workforce'!$K46&gt;=3,FALSE()),IFERROR(1*'Daily Workforce'!$K46&gt;=2,FALSE())),IF(AND('Daily Schedule'!$A23&gt;=46,'Daily Schedule'!$A23&lt;=52),'Daily Workforce'!$M46="Y",IFERROR(1*'Daily Workforce'!$P46&gt;=2,FALSE()))))),1,0)</f>
        <v>1</v>
      </c>
      <c r="BF19" s="1" t="n">
        <f aca="false">IF(AND('Daily Workforce'!$N47="Y",'Daily Workforce'!$B47&lt;&gt;"",COUNTIF('Daily Schedule'!$F$5:$F22,'Daily Workforce'!$B47)=0,IF('Daily Schedule'!$A23=45,'Daily Workforce'!$J47="Y",IF(OR('Daily Schedule'!$A23=4,'Daily Schedule'!$A23=8),IF(OR(WEEKDAY('Daily Schedule'!$B$2,2)=1,WEEKDAY('Daily Schedule'!$B$2,2)=4,WEEKDAY('Daily Schedule'!$B$2,2)=5,WEEKDAY('Daily Schedule'!$B$2,2)=7),IFERROR(1*'Daily Workforce'!$K47&gt;=3,FALSE()),IFERROR(1*'Daily Workforce'!$K47&gt;=2,FALSE())),IF(AND('Daily Schedule'!$A23&gt;=46,'Daily Schedule'!$A23&lt;=52),'Daily Workforce'!$M47="Y",IFERROR(1*'Daily Workforce'!$P47&gt;=2,FALSE()))))),1,0)</f>
        <v>0</v>
      </c>
      <c r="BG19" s="1" t="n">
        <f aca="false">IF(AND('Daily Workforce'!$N48="Y",'Daily Workforce'!$B48&lt;&gt;"",COUNTIF('Daily Schedule'!$F$5:$F22,'Daily Workforce'!$B48)=0,IF('Daily Schedule'!$A23=45,'Daily Workforce'!$J48="Y",IF(OR('Daily Schedule'!$A23=4,'Daily Schedule'!$A23=8),IF(OR(WEEKDAY('Daily Schedule'!$B$2,2)=1,WEEKDAY('Daily Schedule'!$B$2,2)=4,WEEKDAY('Daily Schedule'!$B$2,2)=5,WEEKDAY('Daily Schedule'!$B$2,2)=7),IFERROR(1*'Daily Workforce'!$K48&gt;=3,FALSE()),IFERROR(1*'Daily Workforce'!$K48&gt;=2,FALSE())),IF(AND('Daily Schedule'!$A23&gt;=46,'Daily Schedule'!$A23&lt;=52),'Daily Workforce'!$M48="Y",IFERROR(1*'Daily Workforce'!$P48&gt;=2,FALSE()))))),1,0)</f>
        <v>1</v>
      </c>
      <c r="BH19" s="1" t="n">
        <f aca="false">IF(AND('Daily Workforce'!$N49="Y",'Daily Workforce'!$B49&lt;&gt;"",COUNTIF('Daily Schedule'!$F$5:$F22,'Daily Workforce'!$B49)=0,IF('Daily Schedule'!$A23=45,'Daily Workforce'!$J49="Y",IF(OR('Daily Schedule'!$A23=4,'Daily Schedule'!$A23=8),IF(OR(WEEKDAY('Daily Schedule'!$B$2,2)=1,WEEKDAY('Daily Schedule'!$B$2,2)=4,WEEKDAY('Daily Schedule'!$B$2,2)=5,WEEKDAY('Daily Schedule'!$B$2,2)=7),IFERROR(1*'Daily Workforce'!$K49&gt;=3,FALSE()),IFERROR(1*'Daily Workforce'!$K49&gt;=2,FALSE())),IF(AND('Daily Schedule'!$A23&gt;=46,'Daily Schedule'!$A23&lt;=52),'Daily Workforce'!$M49="Y",IFERROR(1*'Daily Workforce'!$P49&gt;=2,FALSE()))))),1,0)</f>
        <v>1</v>
      </c>
      <c r="BI19" s="1" t="n">
        <f aca="false">IF(AND('Daily Workforce'!$N50="Y",'Daily Workforce'!$B50&lt;&gt;"",COUNTIF('Daily Schedule'!$F$5:$F22,'Daily Workforce'!$B50)=0,IF('Daily Schedule'!$A23=45,'Daily Workforce'!$J50="Y",IF(OR('Daily Schedule'!$A23=4,'Daily Schedule'!$A23=8),IF(OR(WEEKDAY('Daily Schedule'!$B$2,2)=1,WEEKDAY('Daily Schedule'!$B$2,2)=4,WEEKDAY('Daily Schedule'!$B$2,2)=5,WEEKDAY('Daily Schedule'!$B$2,2)=7),IFERROR(1*'Daily Workforce'!$K50&gt;=3,FALSE()),IFERROR(1*'Daily Workforce'!$K50&gt;=2,FALSE())),IF(AND('Daily Schedule'!$A23&gt;=46,'Daily Schedule'!$A23&lt;=52),'Daily Workforce'!$M50="Y",IFERROR(1*'Daily Workforce'!$P50&gt;=2,FALSE()))))),1,0)</f>
        <v>0</v>
      </c>
      <c r="BJ19" s="1" t="n">
        <f aca="false">IF(AND('Daily Workforce'!$N51="Y",'Daily Workforce'!$B51&lt;&gt;"",COUNTIF('Daily Schedule'!$F$5:$F22,'Daily Workforce'!$B51)=0,IF('Daily Schedule'!$A23=45,'Daily Workforce'!$J51="Y",IF(OR('Daily Schedule'!$A23=4,'Daily Schedule'!$A23=8),IF(OR(WEEKDAY('Daily Schedule'!$B$2,2)=1,WEEKDAY('Daily Schedule'!$B$2,2)=4,WEEKDAY('Daily Schedule'!$B$2,2)=5,WEEKDAY('Daily Schedule'!$B$2,2)=7),IFERROR(1*'Daily Workforce'!$K51&gt;=3,FALSE()),IFERROR(1*'Daily Workforce'!$K51&gt;=2,FALSE())),IF(AND('Daily Schedule'!$A23&gt;=46,'Daily Schedule'!$A23&lt;=52),'Daily Workforce'!$M51="Y",IFERROR(1*'Daily Workforce'!$P51&gt;=2,FALSE()))))),1,0)</f>
        <v>1</v>
      </c>
      <c r="BK19" s="1" t="n">
        <f aca="false">IF(AND('Daily Workforce'!$N52="Y",'Daily Workforce'!$B52&lt;&gt;"",COUNTIF('Daily Schedule'!$F$5:$F22,'Daily Workforce'!$B52)=0,IF('Daily Schedule'!$A23=45,'Daily Workforce'!$J52="Y",IF(OR('Daily Schedule'!$A23=4,'Daily Schedule'!$A23=8),IF(OR(WEEKDAY('Daily Schedule'!$B$2,2)=1,WEEKDAY('Daily Schedule'!$B$2,2)=4,WEEKDAY('Daily Schedule'!$B$2,2)=5,WEEKDAY('Daily Schedule'!$B$2,2)=7),IFERROR(1*'Daily Workforce'!$K52&gt;=3,FALSE()),IFERROR(1*'Daily Workforce'!$K52&gt;=2,FALSE())),IF(AND('Daily Schedule'!$A23&gt;=46,'Daily Schedule'!$A23&lt;=52),'Daily Workforce'!$M52="Y",IFERROR(1*'Daily Workforce'!$P52&gt;=2,FALSE()))))),1,0)</f>
        <v>1</v>
      </c>
      <c r="BL19" s="1" t="n">
        <f aca="false">IF(AND('Daily Workforce'!$N53="Y",'Daily Workforce'!$B53&lt;&gt;"",COUNTIF('Daily Schedule'!$F$5:$F22,'Daily Workforce'!$B53)=0,IF('Daily Schedule'!$A23=45,'Daily Workforce'!$J53="Y",IF(OR('Daily Schedule'!$A23=4,'Daily Schedule'!$A23=8),IF(OR(WEEKDAY('Daily Schedule'!$B$2,2)=1,WEEKDAY('Daily Schedule'!$B$2,2)=4,WEEKDAY('Daily Schedule'!$B$2,2)=5,WEEKDAY('Daily Schedule'!$B$2,2)=7),IFERROR(1*'Daily Workforce'!$K53&gt;=3,FALSE()),IFERROR(1*'Daily Workforce'!$K53&gt;=2,FALSE())),IF(AND('Daily Schedule'!$A23&gt;=46,'Daily Schedule'!$A23&lt;=52),'Daily Workforce'!$M53="Y",IFERROR(1*'Daily Workforce'!$P53&gt;=2,FALSE()))))),1,0)</f>
        <v>1</v>
      </c>
      <c r="BM19" s="1" t="n">
        <f aca="false">IF(AND('Daily Workforce'!$N54="Y",'Daily Workforce'!$B54&lt;&gt;"",COUNTIF('Daily Schedule'!$F$5:$F22,'Daily Workforce'!$B54)=0,IF('Daily Schedule'!$A23=45,'Daily Workforce'!$J54="Y",IF(OR('Daily Schedule'!$A23=4,'Daily Schedule'!$A23=8),IF(OR(WEEKDAY('Daily Schedule'!$B$2,2)=1,WEEKDAY('Daily Schedule'!$B$2,2)=4,WEEKDAY('Daily Schedule'!$B$2,2)=5,WEEKDAY('Daily Schedule'!$B$2,2)=7),IFERROR(1*'Daily Workforce'!$K54&gt;=3,FALSE()),IFERROR(1*'Daily Workforce'!$K54&gt;=2,FALSE())),IF(AND('Daily Schedule'!$A23&gt;=46,'Daily Schedule'!$A23&lt;=52),'Daily Workforce'!$M54="Y",IFERROR(1*'Daily Workforce'!$P54&gt;=2,FALSE()))))),1,0)</f>
        <v>1</v>
      </c>
      <c r="BN19" s="1" t="n">
        <f aca="false">IF(AND('Daily Workforce'!$N55="Y",'Daily Workforce'!$B55&lt;&gt;"",COUNTIF('Daily Schedule'!$F$5:$F22,'Daily Workforce'!$B55)=0,IF('Daily Schedule'!$A23=45,'Daily Workforce'!$J55="Y",IF(OR('Daily Schedule'!$A23=4,'Daily Schedule'!$A23=8),IF(OR(WEEKDAY('Daily Schedule'!$B$2,2)=1,WEEKDAY('Daily Schedule'!$B$2,2)=4,WEEKDAY('Daily Schedule'!$B$2,2)=5,WEEKDAY('Daily Schedule'!$B$2,2)=7),IFERROR(1*'Daily Workforce'!$K55&gt;=3,FALSE()),IFERROR(1*'Daily Workforce'!$K55&gt;=2,FALSE())),IF(AND('Daily Schedule'!$A23&gt;=46,'Daily Schedule'!$A23&lt;=52),'Daily Workforce'!$M55="Y",IFERROR(1*'Daily Workforce'!$P55&gt;=2,FALSE()))))),1,0)</f>
        <v>1</v>
      </c>
      <c r="BO19" s="1" t="n">
        <f aca="false">IF(AND('Daily Workforce'!$N56="Y",'Daily Workforce'!$B56&lt;&gt;"",COUNTIF('Daily Schedule'!$F$5:$F22,'Daily Workforce'!$B56)=0,IF('Daily Schedule'!$A23=45,'Daily Workforce'!$J56="Y",IF(OR('Daily Schedule'!$A23=4,'Daily Schedule'!$A23=8),IF(OR(WEEKDAY('Daily Schedule'!$B$2,2)=1,WEEKDAY('Daily Schedule'!$B$2,2)=4,WEEKDAY('Daily Schedule'!$B$2,2)=5,WEEKDAY('Daily Schedule'!$B$2,2)=7),IFERROR(1*'Daily Workforce'!$K56&gt;=3,FALSE()),IFERROR(1*'Daily Workforce'!$K56&gt;=2,FALSE())),IF(AND('Daily Schedule'!$A23&gt;=46,'Daily Schedule'!$A23&lt;=52),'Daily Workforce'!$M56="Y",IFERROR(1*'Daily Workforce'!$P56&gt;=2,FALSE()))))),1,0)</f>
        <v>1</v>
      </c>
      <c r="BP19" s="1" t="n">
        <f aca="false">IF(AND('Daily Workforce'!$N57="Y",'Daily Workforce'!$B57&lt;&gt;"",COUNTIF('Daily Schedule'!$F$5:$F22,'Daily Workforce'!$B57)=0,IF('Daily Schedule'!$A23=45,'Daily Workforce'!$J57="Y",IF(OR('Daily Schedule'!$A23=4,'Daily Schedule'!$A23=8),IF(OR(WEEKDAY('Daily Schedule'!$B$2,2)=1,WEEKDAY('Daily Schedule'!$B$2,2)=4,WEEKDAY('Daily Schedule'!$B$2,2)=5,WEEKDAY('Daily Schedule'!$B$2,2)=7),IFERROR(1*'Daily Workforce'!$K57&gt;=3,FALSE()),IFERROR(1*'Daily Workforce'!$K57&gt;=2,FALSE())),IF(AND('Daily Schedule'!$A23&gt;=46,'Daily Schedule'!$A23&lt;=52),'Daily Workforce'!$M57="Y",IFERROR(1*'Daily Workforce'!$P57&gt;=2,FALSE()))))),1,0)</f>
        <v>0</v>
      </c>
      <c r="BQ19" s="1" t="n">
        <f aca="false">IF(AND('Daily Workforce'!$N58="Y",'Daily Workforce'!$B58&lt;&gt;"",COUNTIF('Daily Schedule'!$F$5:$F22,'Daily Workforce'!$B58)=0,IF('Daily Schedule'!$A23=45,'Daily Workforce'!$J58="Y",IF(OR('Daily Schedule'!$A23=4,'Daily Schedule'!$A23=8),IF(OR(WEEKDAY('Daily Schedule'!$B$2,2)=1,WEEKDAY('Daily Schedule'!$B$2,2)=4,WEEKDAY('Daily Schedule'!$B$2,2)=5,WEEKDAY('Daily Schedule'!$B$2,2)=7),IFERROR(1*'Daily Workforce'!$K58&gt;=3,FALSE()),IFERROR(1*'Daily Workforce'!$K58&gt;=2,FALSE())),IF(AND('Daily Schedule'!$A23&gt;=46,'Daily Schedule'!$A23&lt;=52),'Daily Workforce'!$M58="Y",IFERROR(1*'Daily Workforce'!$P58&gt;=2,FALSE()))))),1,0)</f>
        <v>1</v>
      </c>
      <c r="BR19" s="1" t="n">
        <f aca="false">IF(AND('Daily Workforce'!$N59="Y",'Daily Workforce'!$B59&lt;&gt;"",COUNTIF('Daily Schedule'!$F$5:$F22,'Daily Workforce'!$B59)=0,IF('Daily Schedule'!$A23=45,'Daily Workforce'!$J59="Y",IF(OR('Daily Schedule'!$A23=4,'Daily Schedule'!$A23=8),IF(OR(WEEKDAY('Daily Schedule'!$B$2,2)=1,WEEKDAY('Daily Schedule'!$B$2,2)=4,WEEKDAY('Daily Schedule'!$B$2,2)=5,WEEKDAY('Daily Schedule'!$B$2,2)=7),IFERROR(1*'Daily Workforce'!$K59&gt;=3,FALSE()),IFERROR(1*'Daily Workforce'!$K59&gt;=2,FALSE())),IF(AND('Daily Schedule'!$A23&gt;=46,'Daily Schedule'!$A23&lt;=52),'Daily Workforce'!$M59="Y",IFERROR(1*'Daily Workforce'!$P59&gt;=2,FALSE()))))),1,0)</f>
        <v>1</v>
      </c>
      <c r="BS19" s="1" t="n">
        <f aca="false">IF(AND('Daily Workforce'!$N60="Y",'Daily Workforce'!$B60&lt;&gt;"",COUNTIF('Daily Schedule'!$F$5:$F22,'Daily Workforce'!$B60)=0,IF('Daily Schedule'!$A23=45,'Daily Workforce'!$J60="Y",IF(OR('Daily Schedule'!$A23=4,'Daily Schedule'!$A23=8),IF(OR(WEEKDAY('Daily Schedule'!$B$2,2)=1,WEEKDAY('Daily Schedule'!$B$2,2)=4,WEEKDAY('Daily Schedule'!$B$2,2)=5,WEEKDAY('Daily Schedule'!$B$2,2)=7),IFERROR(1*'Daily Workforce'!$K60&gt;=3,FALSE()),IFERROR(1*'Daily Workforce'!$K60&gt;=2,FALSE())),IF(AND('Daily Schedule'!$A23&gt;=46,'Daily Schedule'!$A23&lt;=52),'Daily Workforce'!$M60="Y",IFERROR(1*'Daily Workforce'!$P60&gt;=2,FALSE()))))),1,0)</f>
        <v>1</v>
      </c>
      <c r="BT19" s="1" t="n">
        <f aca="false">IF(AND('Daily Workforce'!$N61="Y",'Daily Workforce'!$B61&lt;&gt;"",COUNTIF('Daily Schedule'!$F$5:$F22,'Daily Workforce'!$B61)=0,IF('Daily Schedule'!$A23=45,'Daily Workforce'!$J61="Y",IF(OR('Daily Schedule'!$A23=4,'Daily Schedule'!$A23=8),IF(OR(WEEKDAY('Daily Schedule'!$B$2,2)=1,WEEKDAY('Daily Schedule'!$B$2,2)=4,WEEKDAY('Daily Schedule'!$B$2,2)=5,WEEKDAY('Daily Schedule'!$B$2,2)=7),IFERROR(1*'Daily Workforce'!$K61&gt;=3,FALSE()),IFERROR(1*'Daily Workforce'!$K61&gt;=2,FALSE())),IF(AND('Daily Schedule'!$A23&gt;=46,'Daily Schedule'!$A23&lt;=52),'Daily Workforce'!$M61="Y",IFERROR(1*'Daily Workforce'!$P61&gt;=2,FALSE()))))),1,0)</f>
        <v>0</v>
      </c>
      <c r="BU19" s="1" t="n">
        <f aca="false">IF(AND('Daily Workforce'!$N62="Y",'Daily Workforce'!$B62&lt;&gt;"",COUNTIF('Daily Schedule'!$F$5:$F22,'Daily Workforce'!$B62)=0,IF('Daily Schedule'!$A23=45,'Daily Workforce'!$J62="Y",IF(OR('Daily Schedule'!$A23=4,'Daily Schedule'!$A23=8),IF(OR(WEEKDAY('Daily Schedule'!$B$2,2)=1,WEEKDAY('Daily Schedule'!$B$2,2)=4,WEEKDAY('Daily Schedule'!$B$2,2)=5,WEEKDAY('Daily Schedule'!$B$2,2)=7),IFERROR(1*'Daily Workforce'!$K62&gt;=3,FALSE()),IFERROR(1*'Daily Workforce'!$K62&gt;=2,FALSE())),IF(AND('Daily Schedule'!$A23&gt;=46,'Daily Schedule'!$A23&lt;=52),'Daily Workforce'!$M62="Y",IFERROR(1*'Daily Workforce'!$P62&gt;=2,FALSE()))))),1,0)</f>
        <v>1</v>
      </c>
      <c r="BV19" s="1" t="n">
        <f aca="false">IF(AND('Daily Workforce'!$N63="Y",'Daily Workforce'!$B63&lt;&gt;"",COUNTIF('Daily Schedule'!$F$5:$F22,'Daily Workforce'!$B63)=0,IF('Daily Schedule'!$A23=45,'Daily Workforce'!$J63="Y",IF(OR('Daily Schedule'!$A23=4,'Daily Schedule'!$A23=8),IF(OR(WEEKDAY('Daily Schedule'!$B$2,2)=1,WEEKDAY('Daily Schedule'!$B$2,2)=4,WEEKDAY('Daily Schedule'!$B$2,2)=5,WEEKDAY('Daily Schedule'!$B$2,2)=7),IFERROR(1*'Daily Workforce'!$K63&gt;=3,FALSE()),IFERROR(1*'Daily Workforce'!$K63&gt;=2,FALSE())),IF(AND('Daily Schedule'!$A23&gt;=46,'Daily Schedule'!$A23&lt;=52),'Daily Workforce'!$M63="Y",IFERROR(1*'Daily Workforce'!$P63&gt;=2,FALSE()))))),1,0)</f>
        <v>1</v>
      </c>
      <c r="BW19" s="1" t="n">
        <f aca="false">IF(AND('Daily Workforce'!$N64="Y",'Daily Workforce'!$B64&lt;&gt;"",COUNTIF('Daily Schedule'!$F$5:$F22,'Daily Workforce'!$B64)=0,IF('Daily Schedule'!$A23=45,'Daily Workforce'!$J64="Y",IF(OR('Daily Schedule'!$A23=4,'Daily Schedule'!$A23=8),IF(OR(WEEKDAY('Daily Schedule'!$B$2,2)=1,WEEKDAY('Daily Schedule'!$B$2,2)=4,WEEKDAY('Daily Schedule'!$B$2,2)=5,WEEKDAY('Daily Schedule'!$B$2,2)=7),IFERROR(1*'Daily Workforce'!$K64&gt;=3,FALSE()),IFERROR(1*'Daily Workforce'!$K64&gt;=2,FALSE())),IF(AND('Daily Schedule'!$A23&gt;=46,'Daily Schedule'!$A23&lt;=52),'Daily Workforce'!$M64="Y",IFERROR(1*'Daily Workforce'!$P64&gt;=2,FALSE()))))),1,0)</f>
        <v>1</v>
      </c>
      <c r="BX19" s="1" t="n">
        <f aca="false">IF(AND('Daily Workforce'!$N65="Y",'Daily Workforce'!$B65&lt;&gt;"",COUNTIF('Daily Schedule'!$F$5:$F22,'Daily Workforce'!$B65)=0,IF('Daily Schedule'!$A23=45,'Daily Workforce'!$J65="Y",IF(OR('Daily Schedule'!$A23=4,'Daily Schedule'!$A23=8),IF(OR(WEEKDAY('Daily Schedule'!$B$2,2)=1,WEEKDAY('Daily Schedule'!$B$2,2)=4,WEEKDAY('Daily Schedule'!$B$2,2)=5,WEEKDAY('Daily Schedule'!$B$2,2)=7),IFERROR(1*'Daily Workforce'!$K65&gt;=3,FALSE()),IFERROR(1*'Daily Workforce'!$K65&gt;=2,FALSE())),IF(AND('Daily Schedule'!$A23&gt;=46,'Daily Schedule'!$A23&lt;=52),'Daily Workforce'!$M65="Y",IFERROR(1*'Daily Workforce'!$P65&gt;=2,FALSE()))))),1,0)</f>
        <v>1</v>
      </c>
      <c r="BY19" s="1" t="n">
        <f aca="false">IF(AND('Daily Workforce'!$N66="Y",'Daily Workforce'!$B66&lt;&gt;"",COUNTIF('Daily Schedule'!$F$5:$F22,'Daily Workforce'!$B66)=0,IF('Daily Schedule'!$A23=45,'Daily Workforce'!$J66="Y",IF(OR('Daily Schedule'!$A23=4,'Daily Schedule'!$A23=8),IF(OR(WEEKDAY('Daily Schedule'!$B$2,2)=1,WEEKDAY('Daily Schedule'!$B$2,2)=4,WEEKDAY('Daily Schedule'!$B$2,2)=5,WEEKDAY('Daily Schedule'!$B$2,2)=7),IFERROR(1*'Daily Workforce'!$K66&gt;=3,FALSE()),IFERROR(1*'Daily Workforce'!$K66&gt;=2,FALSE())),IF(AND('Daily Schedule'!$A23&gt;=46,'Daily Schedule'!$A23&lt;=52),'Daily Workforce'!$M66="Y",IFERROR(1*'Daily Workforce'!$P66&gt;=2,FALSE()))))),1,0)</f>
        <v>1</v>
      </c>
      <c r="BZ19" s="1" t="n">
        <f aca="false">IF(AND('Daily Workforce'!$N67="Y",'Daily Workforce'!$B67&lt;&gt;"",COUNTIF('Daily Schedule'!$F$5:$F22,'Daily Workforce'!$B67)=0,IF('Daily Schedule'!$A23=45,'Daily Workforce'!$J67="Y",IF(OR('Daily Schedule'!$A23=4,'Daily Schedule'!$A23=8),IF(OR(WEEKDAY('Daily Schedule'!$B$2,2)=1,WEEKDAY('Daily Schedule'!$B$2,2)=4,WEEKDAY('Daily Schedule'!$B$2,2)=5,WEEKDAY('Daily Schedule'!$B$2,2)=7),IFERROR(1*'Daily Workforce'!$K67&gt;=3,FALSE()),IFERROR(1*'Daily Workforce'!$K67&gt;=2,FALSE())),IF(AND('Daily Schedule'!$A23&gt;=46,'Daily Schedule'!$A23&lt;=52),'Daily Workforce'!$M67="Y",IFERROR(1*'Daily Workforce'!$P67&gt;=2,FALSE()))))),1,0)</f>
        <v>1</v>
      </c>
      <c r="CA19" s="1" t="n">
        <f aca="false">IF(AND('Daily Workforce'!$N68="Y",'Daily Workforce'!$B68&lt;&gt;"",COUNTIF('Daily Schedule'!$F$5:$F22,'Daily Workforce'!$B68)=0,IF('Daily Schedule'!$A23=45,'Daily Workforce'!$J68="Y",IF(OR('Daily Schedule'!$A23=4,'Daily Schedule'!$A23=8),IF(OR(WEEKDAY('Daily Schedule'!$B$2,2)=1,WEEKDAY('Daily Schedule'!$B$2,2)=4,WEEKDAY('Daily Schedule'!$B$2,2)=5,WEEKDAY('Daily Schedule'!$B$2,2)=7),IFERROR(1*'Daily Workforce'!$K68&gt;=3,FALSE()),IFERROR(1*'Daily Workforce'!$K68&gt;=2,FALSE())),IF(AND('Daily Schedule'!$A23&gt;=46,'Daily Schedule'!$A23&lt;=52),'Daily Workforce'!$M68="Y",IFERROR(1*'Daily Workforce'!$P68&gt;=2,FALSE()))))),1,0)</f>
        <v>1</v>
      </c>
      <c r="CB19" s="1" t="n">
        <f aca="false">IF(AND('Daily Workforce'!$N69="Y",'Daily Workforce'!$B69&lt;&gt;"",COUNTIF('Daily Schedule'!$F$5:$F22,'Daily Workforce'!$B69)=0,IF('Daily Schedule'!$A23=45,'Daily Workforce'!$J69="Y",IF(OR('Daily Schedule'!$A23=4,'Daily Schedule'!$A23=8),IF(OR(WEEKDAY('Daily Schedule'!$B$2,2)=1,WEEKDAY('Daily Schedule'!$B$2,2)=4,WEEKDAY('Daily Schedule'!$B$2,2)=5,WEEKDAY('Daily Schedule'!$B$2,2)=7),IFERROR(1*'Daily Workforce'!$K69&gt;=3,FALSE()),IFERROR(1*'Daily Workforce'!$K69&gt;=2,FALSE())),IF(AND('Daily Schedule'!$A23&gt;=46,'Daily Schedule'!$A23&lt;=52),'Daily Workforce'!$M69="Y",IFERROR(1*'Daily Workforce'!$P69&gt;=2,FALSE()))))),1,0)</f>
        <v>1</v>
      </c>
      <c r="CC19" s="1" t="n">
        <f aca="false">IF(AND('Daily Workforce'!$N70="Y",'Daily Workforce'!$B70&lt;&gt;"",COUNTIF('Daily Schedule'!$F$5:$F22,'Daily Workforce'!$B70)=0,IF('Daily Schedule'!$A23=45,'Daily Workforce'!$J70="Y",IF(OR('Daily Schedule'!$A23=4,'Daily Schedule'!$A23=8),IF(OR(WEEKDAY('Daily Schedule'!$B$2,2)=1,WEEKDAY('Daily Schedule'!$B$2,2)=4,WEEKDAY('Daily Schedule'!$B$2,2)=5,WEEKDAY('Daily Schedule'!$B$2,2)=7),IFERROR(1*'Daily Workforce'!$K70&gt;=3,FALSE()),IFERROR(1*'Daily Workforce'!$K70&gt;=2,FALSE())),IF(AND('Daily Schedule'!$A23&gt;=46,'Daily Schedule'!$A23&lt;=52),'Daily Workforce'!$M70="Y",IFERROR(1*'Daily Workforce'!$P70&gt;=2,FALSE()))))),1,0)</f>
        <v>1</v>
      </c>
      <c r="CD19" s="1" t="n">
        <f aca="false">IF(AND('Daily Workforce'!$N71="Y",'Daily Workforce'!$B71&lt;&gt;"",COUNTIF('Daily Schedule'!$F$5:$F22,'Daily Workforce'!$B71)=0,IF('Daily Schedule'!$A23=45,'Daily Workforce'!$J71="Y",IF(OR('Daily Schedule'!$A23=4,'Daily Schedule'!$A23=8),IF(OR(WEEKDAY('Daily Schedule'!$B$2,2)=1,WEEKDAY('Daily Schedule'!$B$2,2)=4,WEEKDAY('Daily Schedule'!$B$2,2)=5,WEEKDAY('Daily Schedule'!$B$2,2)=7),IFERROR(1*'Daily Workforce'!$K71&gt;=3,FALSE()),IFERROR(1*'Daily Workforce'!$K71&gt;=2,FALSE())),IF(AND('Daily Schedule'!$A23&gt;=46,'Daily Schedule'!$A23&lt;=52),'Daily Workforce'!$M71="Y",IFERROR(1*'Daily Workforce'!$P71&gt;=2,FALSE()))))),1,0)</f>
        <v>1</v>
      </c>
      <c r="CE19" s="1" t="n">
        <f aca="false">IF(AND('Daily Workforce'!$N72="Y",'Daily Workforce'!$B72&lt;&gt;"",COUNTIF('Daily Schedule'!$F$5:$F22,'Daily Workforce'!$B72)=0,IF('Daily Schedule'!$A23=45,'Daily Workforce'!$J72="Y",IF(OR('Daily Schedule'!$A23=4,'Daily Schedule'!$A23=8),IF(OR(WEEKDAY('Daily Schedule'!$B$2,2)=1,WEEKDAY('Daily Schedule'!$B$2,2)=4,WEEKDAY('Daily Schedule'!$B$2,2)=5,WEEKDAY('Daily Schedule'!$B$2,2)=7),IFERROR(1*'Daily Workforce'!$K72&gt;=3,FALSE()),IFERROR(1*'Daily Workforce'!$K72&gt;=2,FALSE())),IF(AND('Daily Schedule'!$A23&gt;=46,'Daily Schedule'!$A23&lt;=52),'Daily Workforce'!$M72="Y",IFERROR(1*'Daily Workforce'!$P72&gt;=2,FALSE()))))),1,0)</f>
        <v>1</v>
      </c>
      <c r="CF19" s="1" t="n">
        <f aca="false">IF(AND('Daily Workforce'!$N73="Y",'Daily Workforce'!$B73&lt;&gt;"",COUNTIF('Daily Schedule'!$F$5:$F22,'Daily Workforce'!$B73)=0,IF('Daily Schedule'!$A23=45,'Daily Workforce'!$J73="Y",IF(OR('Daily Schedule'!$A23=4,'Daily Schedule'!$A23=8),IF(OR(WEEKDAY('Daily Schedule'!$B$2,2)=1,WEEKDAY('Daily Schedule'!$B$2,2)=4,WEEKDAY('Daily Schedule'!$B$2,2)=5,WEEKDAY('Daily Schedule'!$B$2,2)=7),IFERROR(1*'Daily Workforce'!$K73&gt;=3,FALSE()),IFERROR(1*'Daily Workforce'!$K73&gt;=2,FALSE())),IF(AND('Daily Schedule'!$A23&gt;=46,'Daily Schedule'!$A23&lt;=52),'Daily Workforce'!$M73="Y",IFERROR(1*'Daily Workforce'!$P73&gt;=2,FALSE()))))),1,0)</f>
        <v>1</v>
      </c>
      <c r="CG19" s="1" t="n">
        <f aca="false">IF(AND('Daily Workforce'!$N74="Y",'Daily Workforce'!$B74&lt;&gt;"",COUNTIF('Daily Schedule'!$F$5:$F22,'Daily Workforce'!$B74)=0,IF('Daily Schedule'!$A23=45,'Daily Workforce'!$J74="Y",IF(OR('Daily Schedule'!$A23=4,'Daily Schedule'!$A23=8),IF(OR(WEEKDAY('Daily Schedule'!$B$2,2)=1,WEEKDAY('Daily Schedule'!$B$2,2)=4,WEEKDAY('Daily Schedule'!$B$2,2)=5,WEEKDAY('Daily Schedule'!$B$2,2)=7),IFERROR(1*'Daily Workforce'!$K74&gt;=3,FALSE()),IFERROR(1*'Daily Workforce'!$K74&gt;=2,FALSE())),IF(AND('Daily Schedule'!$A23&gt;=46,'Daily Schedule'!$A23&lt;=52),'Daily Workforce'!$M74="Y",IFERROR(1*'Daily Workforce'!$P74&gt;=2,FALSE()))))),1,0)</f>
        <v>1</v>
      </c>
      <c r="CH19" s="1" t="n">
        <f aca="false">IF(AND('Daily Workforce'!$N75="Y",'Daily Workforce'!$B75&lt;&gt;"",COUNTIF('Daily Schedule'!$F$5:$F22,'Daily Workforce'!$B75)=0,IF('Daily Schedule'!$A23=45,'Daily Workforce'!$J75="Y",IF(OR('Daily Schedule'!$A23=4,'Daily Schedule'!$A23=8),IF(OR(WEEKDAY('Daily Schedule'!$B$2,2)=1,WEEKDAY('Daily Schedule'!$B$2,2)=4,WEEKDAY('Daily Schedule'!$B$2,2)=5,WEEKDAY('Daily Schedule'!$B$2,2)=7),IFERROR(1*'Daily Workforce'!$K75&gt;=3,FALSE()),IFERROR(1*'Daily Workforce'!$K75&gt;=2,FALSE())),IF(AND('Daily Schedule'!$A23&gt;=46,'Daily Schedule'!$A23&lt;=52),'Daily Workforce'!$M75="Y",IFERROR(1*'Daily Workforce'!$P75&gt;=2,FALSE()))))),1,0)</f>
        <v>1</v>
      </c>
      <c r="CI19" s="1" t="n">
        <f aca="false">IF(AND('Daily Workforce'!$N76="Y",'Daily Workforce'!$B76&lt;&gt;"",COUNTIF('Daily Schedule'!$F$5:$F22,'Daily Workforce'!$B76)=0,IF('Daily Schedule'!$A23=45,'Daily Workforce'!$J76="Y",IF(OR('Daily Schedule'!$A23=4,'Daily Schedule'!$A23=8),IF(OR(WEEKDAY('Daily Schedule'!$B$2,2)=1,WEEKDAY('Daily Schedule'!$B$2,2)=4,WEEKDAY('Daily Schedule'!$B$2,2)=5,WEEKDAY('Daily Schedule'!$B$2,2)=7),IFERROR(1*'Daily Workforce'!$K76&gt;=3,FALSE()),IFERROR(1*'Daily Workforce'!$K76&gt;=2,FALSE())),IF(AND('Daily Schedule'!$A23&gt;=46,'Daily Schedule'!$A23&lt;=52),'Daily Workforce'!$M76="Y",IFERROR(1*'Daily Workforce'!$P76&gt;=2,FALSE()))))),1,0)</f>
        <v>1</v>
      </c>
      <c r="CJ19" s="1" t="n">
        <f aca="false">IF(AND('Daily Workforce'!$N77="Y",'Daily Workforce'!$B77&lt;&gt;"",COUNTIF('Daily Schedule'!$F$5:$F22,'Daily Workforce'!$B77)=0,IF('Daily Schedule'!$A23=45,'Daily Workforce'!$J77="Y",IF(OR('Daily Schedule'!$A23=4,'Daily Schedule'!$A23=8),IF(OR(WEEKDAY('Daily Schedule'!$B$2,2)=1,WEEKDAY('Daily Schedule'!$B$2,2)=4,WEEKDAY('Daily Schedule'!$B$2,2)=5,WEEKDAY('Daily Schedule'!$B$2,2)=7),IFERROR(1*'Daily Workforce'!$K77&gt;=3,FALSE()),IFERROR(1*'Daily Workforce'!$K77&gt;=2,FALSE())),IF(AND('Daily Schedule'!$A23&gt;=46,'Daily Schedule'!$A23&lt;=52),'Daily Workforce'!$M77="Y",IFERROR(1*'Daily Workforce'!$P77&gt;=2,FALSE()))))),1,0)</f>
        <v>1</v>
      </c>
      <c r="CK19" s="1" t="n">
        <f aca="false">IF(AND('Daily Workforce'!$N78="Y",'Daily Workforce'!$B78&lt;&gt;"",COUNTIF('Daily Schedule'!$F$5:$F22,'Daily Workforce'!$B78)=0,IF('Daily Schedule'!$A23=45,'Daily Workforce'!$J78="Y",IF(OR('Daily Schedule'!$A23=4,'Daily Schedule'!$A23=8),IF(OR(WEEKDAY('Daily Schedule'!$B$2,2)=1,WEEKDAY('Daily Schedule'!$B$2,2)=4,WEEKDAY('Daily Schedule'!$B$2,2)=5,WEEKDAY('Daily Schedule'!$B$2,2)=7),IFERROR(1*'Daily Workforce'!$K78&gt;=3,FALSE()),IFERROR(1*'Daily Workforce'!$K78&gt;=2,FALSE())),IF(AND('Daily Schedule'!$A23&gt;=46,'Daily Schedule'!$A23&lt;=52),'Daily Workforce'!$M78="Y",IFERROR(1*'Daily Workforce'!$P78&gt;=2,FALSE()))))),1,0)</f>
        <v>1</v>
      </c>
      <c r="CL19" s="1" t="n">
        <f aca="false">IF(AND('Daily Workforce'!$N79="Y",'Daily Workforce'!$B79&lt;&gt;"",COUNTIF('Daily Schedule'!$F$5:$F22,'Daily Workforce'!$B79)=0,IF('Daily Schedule'!$A23=45,'Daily Workforce'!$J79="Y",IF(OR('Daily Schedule'!$A23=4,'Daily Schedule'!$A23=8),IF(OR(WEEKDAY('Daily Schedule'!$B$2,2)=1,WEEKDAY('Daily Schedule'!$B$2,2)=4,WEEKDAY('Daily Schedule'!$B$2,2)=5,WEEKDAY('Daily Schedule'!$B$2,2)=7),IFERROR(1*'Daily Workforce'!$K79&gt;=3,FALSE()),IFERROR(1*'Daily Workforce'!$K79&gt;=2,FALSE())),IF(AND('Daily Schedule'!$A23&gt;=46,'Daily Schedule'!$A23&lt;=52),'Daily Workforce'!$M79="Y",IFERROR(1*'Daily Workforce'!$P79&gt;=2,FALSE()))))),1,0)</f>
        <v>1</v>
      </c>
      <c r="CM19" s="1" t="n">
        <f aca="false">IF(AND('Daily Workforce'!$N80="Y",'Daily Workforce'!$B80&lt;&gt;"",COUNTIF('Daily Schedule'!$F$5:$F22,'Daily Workforce'!$B80)=0,IF('Daily Schedule'!$A23=45,'Daily Workforce'!$J80="Y",IF(OR('Daily Schedule'!$A23=4,'Daily Schedule'!$A23=8),IF(OR(WEEKDAY('Daily Schedule'!$B$2,2)=1,WEEKDAY('Daily Schedule'!$B$2,2)=4,WEEKDAY('Daily Schedule'!$B$2,2)=5,WEEKDAY('Daily Schedule'!$B$2,2)=7),IFERROR(1*'Daily Workforce'!$K80&gt;=3,FALSE()),IFERROR(1*'Daily Workforce'!$K80&gt;=2,FALSE())),IF(AND('Daily Schedule'!$A23&gt;=46,'Daily Schedule'!$A23&lt;=52),'Daily Workforce'!$M80="Y",IFERROR(1*'Daily Workforce'!$P80&gt;=2,FALSE()))))),1,0)</f>
        <v>1</v>
      </c>
      <c r="CN19" s="1" t="n">
        <f aca="false">IF(AND('Daily Workforce'!$N81="Y",'Daily Workforce'!$B81&lt;&gt;"",COUNTIF('Daily Schedule'!$F$5:$F22,'Daily Workforce'!$B81)=0,IF('Daily Schedule'!$A23=45,'Daily Workforce'!$J81="Y",IF(OR('Daily Schedule'!$A23=4,'Daily Schedule'!$A23=8),IF(OR(WEEKDAY('Daily Schedule'!$B$2,2)=1,WEEKDAY('Daily Schedule'!$B$2,2)=4,WEEKDAY('Daily Schedule'!$B$2,2)=5,WEEKDAY('Daily Schedule'!$B$2,2)=7),IFERROR(1*'Daily Workforce'!$K81&gt;=3,FALSE()),IFERROR(1*'Daily Workforce'!$K81&gt;=2,FALSE())),IF(AND('Daily Schedule'!$A23&gt;=46,'Daily Schedule'!$A23&lt;=52),'Daily Workforce'!$M81="Y",IFERROR(1*'Daily Workforce'!$P81&gt;=2,FALSE()))))),1,0)</f>
        <v>1</v>
      </c>
      <c r="CO19" s="1" t="n">
        <f aca="false">IF(AND('Daily Workforce'!$N82="Y",'Daily Workforce'!$B82&lt;&gt;"",COUNTIF('Daily Schedule'!$F$5:$F22,'Daily Workforce'!$B82)=0,IF('Daily Schedule'!$A23=45,'Daily Workforce'!$J82="Y",IF(OR('Daily Schedule'!$A23=4,'Daily Schedule'!$A23=8),IF(OR(WEEKDAY('Daily Schedule'!$B$2,2)=1,WEEKDAY('Daily Schedule'!$B$2,2)=4,WEEKDAY('Daily Schedule'!$B$2,2)=5,WEEKDAY('Daily Schedule'!$B$2,2)=7),IFERROR(1*'Daily Workforce'!$K82&gt;=3,FALSE()),IFERROR(1*'Daily Workforce'!$K82&gt;=2,FALSE())),IF(AND('Daily Schedule'!$A23&gt;=46,'Daily Schedule'!$A23&lt;=52),'Daily Workforce'!$M82="Y",IFERROR(1*'Daily Workforce'!$P82&gt;=2,FALSE()))))),1,0)</f>
        <v>1</v>
      </c>
      <c r="CP19" s="1" t="n">
        <f aca="false">IF(AND('Daily Workforce'!$N83="Y",'Daily Workforce'!$B83&lt;&gt;"",COUNTIF('Daily Schedule'!$F$5:$F22,'Daily Workforce'!$B83)=0,IF('Daily Schedule'!$A23=45,'Daily Workforce'!$J83="Y",IF(OR('Daily Schedule'!$A23=4,'Daily Schedule'!$A23=8),IF(OR(WEEKDAY('Daily Schedule'!$B$2,2)=1,WEEKDAY('Daily Schedule'!$B$2,2)=4,WEEKDAY('Daily Schedule'!$B$2,2)=5,WEEKDAY('Daily Schedule'!$B$2,2)=7),IFERROR(1*'Daily Workforce'!$K83&gt;=3,FALSE()),IFERROR(1*'Daily Workforce'!$K83&gt;=2,FALSE())),IF(AND('Daily Schedule'!$A23&gt;=46,'Daily Schedule'!$A23&lt;=52),'Daily Workforce'!$M83="Y",IFERROR(1*'Daily Workforce'!$P83&gt;=2,FALSE()))))),1,0)</f>
        <v>0</v>
      </c>
      <c r="CQ19" s="1" t="n">
        <f aca="false">IF(AND('Daily Workforce'!$N84="Y",'Daily Workforce'!$B84&lt;&gt;"",COUNTIF('Daily Schedule'!$F$5:$F22,'Daily Workforce'!$B84)=0,IF('Daily Schedule'!$A23=45,'Daily Workforce'!$J84="Y",IF(OR('Daily Schedule'!$A23=4,'Daily Schedule'!$A23=8),IF(OR(WEEKDAY('Daily Schedule'!$B$2,2)=1,WEEKDAY('Daily Schedule'!$B$2,2)=4,WEEKDAY('Daily Schedule'!$B$2,2)=5,WEEKDAY('Daily Schedule'!$B$2,2)=7),IFERROR(1*'Daily Workforce'!$K84&gt;=3,FALSE()),IFERROR(1*'Daily Workforce'!$K84&gt;=2,FALSE())),IF(AND('Daily Schedule'!$A23&gt;=46,'Daily Schedule'!$A23&lt;=52),'Daily Workforce'!$M84="Y",IFERROR(1*'Daily Workforce'!$P84&gt;=2,FALSE()))))),1,0)</f>
        <v>1</v>
      </c>
      <c r="CR19" s="1" t="n">
        <f aca="false">IF(AND('Daily Workforce'!$N85="Y",'Daily Workforce'!$B85&lt;&gt;"",COUNTIF('Daily Schedule'!$F$5:$F22,'Daily Workforce'!$B85)=0,IF('Daily Schedule'!$A23=45,'Daily Workforce'!$J85="Y",IF(OR('Daily Schedule'!$A23=4,'Daily Schedule'!$A23=8),IF(OR(WEEKDAY('Daily Schedule'!$B$2,2)=1,WEEKDAY('Daily Schedule'!$B$2,2)=4,WEEKDAY('Daily Schedule'!$B$2,2)=5,WEEKDAY('Daily Schedule'!$B$2,2)=7),IFERROR(1*'Daily Workforce'!$K85&gt;=3,FALSE()),IFERROR(1*'Daily Workforce'!$K85&gt;=2,FALSE())),IF(AND('Daily Schedule'!$A23&gt;=46,'Daily Schedule'!$A23&lt;=52),'Daily Workforce'!$M85="Y",IFERROR(1*'Daily Workforce'!$P85&gt;=2,FALSE()))))),1,0)</f>
        <v>0</v>
      </c>
      <c r="CS19" s="1" t="n">
        <f aca="false">IF(AND('Daily Workforce'!$N86="Y",'Daily Workforce'!$B86&lt;&gt;"",COUNTIF('Daily Schedule'!$F$5:$F22,'Daily Workforce'!$B86)=0,IF('Daily Schedule'!$A23=45,'Daily Workforce'!$J86="Y",IF(OR('Daily Schedule'!$A23=4,'Daily Schedule'!$A23=8),IF(OR(WEEKDAY('Daily Schedule'!$B$2,2)=1,WEEKDAY('Daily Schedule'!$B$2,2)=4,WEEKDAY('Daily Schedule'!$B$2,2)=5,WEEKDAY('Daily Schedule'!$B$2,2)=7),IFERROR(1*'Daily Workforce'!$K86&gt;=3,FALSE()),IFERROR(1*'Daily Workforce'!$K86&gt;=2,FALSE())),IF(AND('Daily Schedule'!$A23&gt;=46,'Daily Schedule'!$A23&lt;=52),'Daily Workforce'!$M86="Y",IFERROR(1*'Daily Workforce'!$P86&gt;=2,FALSE()))))),1,0)</f>
        <v>1</v>
      </c>
      <c r="CT19" s="1" t="n">
        <f aca="false">IF(AND('Daily Workforce'!$N87="Y",'Daily Workforce'!$B87&lt;&gt;"",COUNTIF('Daily Schedule'!$F$5:$F22,'Daily Workforce'!$B87)=0,IF('Daily Schedule'!$A23=45,'Daily Workforce'!$J87="Y",IF(OR('Daily Schedule'!$A23=4,'Daily Schedule'!$A23=8),IF(OR(WEEKDAY('Daily Schedule'!$B$2,2)=1,WEEKDAY('Daily Schedule'!$B$2,2)=4,WEEKDAY('Daily Schedule'!$B$2,2)=5,WEEKDAY('Daily Schedule'!$B$2,2)=7),IFERROR(1*'Daily Workforce'!$K87&gt;=3,FALSE()),IFERROR(1*'Daily Workforce'!$K87&gt;=2,FALSE())),IF(AND('Daily Schedule'!$A23&gt;=46,'Daily Schedule'!$A23&lt;=52),'Daily Workforce'!$M87="Y",IFERROR(1*'Daily Workforce'!$P87&gt;=2,FALSE()))))),1,0)</f>
        <v>1</v>
      </c>
      <c r="CU19" s="1" t="n">
        <f aca="false">IF(AND('Daily Workforce'!$N88="Y",'Daily Workforce'!$B88&lt;&gt;"",COUNTIF('Daily Schedule'!$F$5:$F22,'Daily Workforce'!$B88)=0,IF('Daily Schedule'!$A23=45,'Daily Workforce'!$J88="Y",IF(OR('Daily Schedule'!$A23=4,'Daily Schedule'!$A23=8),IF(OR(WEEKDAY('Daily Schedule'!$B$2,2)=1,WEEKDAY('Daily Schedule'!$B$2,2)=4,WEEKDAY('Daily Schedule'!$B$2,2)=5,WEEKDAY('Daily Schedule'!$B$2,2)=7),IFERROR(1*'Daily Workforce'!$K88&gt;=3,FALSE()),IFERROR(1*'Daily Workforce'!$K88&gt;=2,FALSE())),IF(AND('Daily Schedule'!$A23&gt;=46,'Daily Schedule'!$A23&lt;=52),'Daily Workforce'!$M88="Y",IFERROR(1*'Daily Workforce'!$P88&gt;=2,FALSE()))))),1,0)</f>
        <v>1</v>
      </c>
      <c r="CV19" s="1" t="n">
        <f aca="false">IF(AND('Daily Workforce'!$N89="Y",'Daily Workforce'!$B89&lt;&gt;"",COUNTIF('Daily Schedule'!$F$5:$F22,'Daily Workforce'!$B89)=0,IF('Daily Schedule'!$A23=45,'Daily Workforce'!$J89="Y",IF(OR('Daily Schedule'!$A23=4,'Daily Schedule'!$A23=8),IF(OR(WEEKDAY('Daily Schedule'!$B$2,2)=1,WEEKDAY('Daily Schedule'!$B$2,2)=4,WEEKDAY('Daily Schedule'!$B$2,2)=5,WEEKDAY('Daily Schedule'!$B$2,2)=7),IFERROR(1*'Daily Workforce'!$K89&gt;=3,FALSE()),IFERROR(1*'Daily Workforce'!$K89&gt;=2,FALSE())),IF(AND('Daily Schedule'!$A23&gt;=46,'Daily Schedule'!$A23&lt;=52),'Daily Workforce'!$M89="Y",IFERROR(1*'Daily Workforce'!$P89&gt;=2,FALSE()))))),1,0)</f>
        <v>1</v>
      </c>
      <c r="CW19" s="1" t="n">
        <f aca="false">IF(AND('Daily Workforce'!$N90="Y",'Daily Workforce'!$B90&lt;&gt;"",COUNTIF('Daily Schedule'!$F$5:$F22,'Daily Workforce'!$B90)=0,IF('Daily Schedule'!$A23=45,'Daily Workforce'!$J90="Y",IF(OR('Daily Schedule'!$A23=4,'Daily Schedule'!$A23=8),IF(OR(WEEKDAY('Daily Schedule'!$B$2,2)=1,WEEKDAY('Daily Schedule'!$B$2,2)=4,WEEKDAY('Daily Schedule'!$B$2,2)=5,WEEKDAY('Daily Schedule'!$B$2,2)=7),IFERROR(1*'Daily Workforce'!$K90&gt;=3,FALSE()),IFERROR(1*'Daily Workforce'!$K90&gt;=2,FALSE())),IF(AND('Daily Schedule'!$A23&gt;=46,'Daily Schedule'!$A23&lt;=52),'Daily Workforce'!$M90="Y",IFERROR(1*'Daily Workforce'!$P90&gt;=2,FALSE()))))),1,0)</f>
        <v>1</v>
      </c>
      <c r="CX19" s="1" t="n">
        <f aca="false">IF(AND('Daily Workforce'!$N91="Y",'Daily Workforce'!$B91&lt;&gt;"",COUNTIF('Daily Schedule'!$F$5:$F22,'Daily Workforce'!$B91)=0,IF('Daily Schedule'!$A23=45,'Daily Workforce'!$J91="Y",IF(OR('Daily Schedule'!$A23=4,'Daily Schedule'!$A23=8),IF(OR(WEEKDAY('Daily Schedule'!$B$2,2)=1,WEEKDAY('Daily Schedule'!$B$2,2)=4,WEEKDAY('Daily Schedule'!$B$2,2)=5,WEEKDAY('Daily Schedule'!$B$2,2)=7),IFERROR(1*'Daily Workforce'!$K91&gt;=3,FALSE()),IFERROR(1*'Daily Workforce'!$K91&gt;=2,FALSE())),IF(AND('Daily Schedule'!$A23&gt;=46,'Daily Schedule'!$A23&lt;=52),'Daily Workforce'!$M91="Y",IFERROR(1*'Daily Workforce'!$P91&gt;=2,FALSE()))))),1,0)</f>
        <v>1</v>
      </c>
      <c r="CY19" s="1" t="n">
        <f aca="false">IF(AND('Daily Workforce'!$N92="Y",'Daily Workforce'!$B92&lt;&gt;"",COUNTIF('Daily Schedule'!$F$5:$F22,'Daily Workforce'!$B92)=0,IF('Daily Schedule'!$A23=45,'Daily Workforce'!$J92="Y",IF(OR('Daily Schedule'!$A23=4,'Daily Schedule'!$A23=8),IF(OR(WEEKDAY('Daily Schedule'!$B$2,2)=1,WEEKDAY('Daily Schedule'!$B$2,2)=4,WEEKDAY('Daily Schedule'!$B$2,2)=5,WEEKDAY('Daily Schedule'!$B$2,2)=7),IFERROR(1*'Daily Workforce'!$K92&gt;=3,FALSE()),IFERROR(1*'Daily Workforce'!$K92&gt;=2,FALSE())),IF(AND('Daily Schedule'!$A23&gt;=46,'Daily Schedule'!$A23&lt;=52),'Daily Workforce'!$M92="Y",IFERROR(1*'Daily Workforce'!$P92&gt;=2,FALSE()))))),1,0)</f>
        <v>1</v>
      </c>
      <c r="CZ19" s="1" t="n">
        <f aca="false">IF(AND('Daily Workforce'!$N93="Y",'Daily Workforce'!$B93&lt;&gt;"",COUNTIF('Daily Schedule'!$F$5:$F22,'Daily Workforce'!$B93)=0,IF('Daily Schedule'!$A23=45,'Daily Workforce'!$J93="Y",IF(OR('Daily Schedule'!$A23=4,'Daily Schedule'!$A23=8),IF(OR(WEEKDAY('Daily Schedule'!$B$2,2)=1,WEEKDAY('Daily Schedule'!$B$2,2)=4,WEEKDAY('Daily Schedule'!$B$2,2)=5,WEEKDAY('Daily Schedule'!$B$2,2)=7),IFERROR(1*'Daily Workforce'!$K93&gt;=3,FALSE()),IFERROR(1*'Daily Workforce'!$K93&gt;=2,FALSE())),IF(AND('Daily Schedule'!$A23&gt;=46,'Daily Schedule'!$A23&lt;=52),'Daily Workforce'!$M93="Y",IFERROR(1*'Daily Workforce'!$P93&gt;=2,FALSE()))))),1,0)</f>
        <v>1</v>
      </c>
      <c r="DA19" s="1" t="n">
        <f aca="false">IF(AND('Daily Workforce'!$N94="Y",'Daily Workforce'!$B94&lt;&gt;"",COUNTIF('Daily Schedule'!$F$5:$F22,'Daily Workforce'!$B94)=0,IF('Daily Schedule'!$A23=45,'Daily Workforce'!$J94="Y",IF(OR('Daily Schedule'!$A23=4,'Daily Schedule'!$A23=8),IF(OR(WEEKDAY('Daily Schedule'!$B$2,2)=1,WEEKDAY('Daily Schedule'!$B$2,2)=4,WEEKDAY('Daily Schedule'!$B$2,2)=5,WEEKDAY('Daily Schedule'!$B$2,2)=7),IFERROR(1*'Daily Workforce'!$K94&gt;=3,FALSE()),IFERROR(1*'Daily Workforce'!$K94&gt;=2,FALSE())),IF(AND('Daily Schedule'!$A23&gt;=46,'Daily Schedule'!$A23&lt;=52),'Daily Workforce'!$M94="Y",IFERROR(1*'Daily Workforce'!$P94&gt;=2,FALSE()))))),1,0)</f>
        <v>1</v>
      </c>
      <c r="DB19" s="1" t="n">
        <f aca="false">IF(AND('Daily Workforce'!$N95="Y",'Daily Workforce'!$B95&lt;&gt;"",COUNTIF('Daily Schedule'!$F$5:$F22,'Daily Workforce'!$B95)=0,IF('Daily Schedule'!$A23=45,'Daily Workforce'!$J95="Y",IF(OR('Daily Schedule'!$A23=4,'Daily Schedule'!$A23=8),IF(OR(WEEKDAY('Daily Schedule'!$B$2,2)=1,WEEKDAY('Daily Schedule'!$B$2,2)=4,WEEKDAY('Daily Schedule'!$B$2,2)=5,WEEKDAY('Daily Schedule'!$B$2,2)=7),IFERROR(1*'Daily Workforce'!$K95&gt;=3,FALSE()),IFERROR(1*'Daily Workforce'!$K95&gt;=2,FALSE())),IF(AND('Daily Schedule'!$A23&gt;=46,'Daily Schedule'!$A23&lt;=52),'Daily Workforce'!$M95="Y",IFERROR(1*'Daily Workforce'!$P95&gt;=2,FALSE()))))),1,0)</f>
        <v>1</v>
      </c>
      <c r="DC19" s="1" t="n">
        <f aca="false">IF(AND('Daily Workforce'!$N96="Y",'Daily Workforce'!$B96&lt;&gt;"",COUNTIF('Daily Schedule'!$F$5:$F22,'Daily Workforce'!$B96)=0,IF('Daily Schedule'!$A23=45,'Daily Workforce'!$J96="Y",IF(OR('Daily Schedule'!$A23=4,'Daily Schedule'!$A23=8),IF(OR(WEEKDAY('Daily Schedule'!$B$2,2)=1,WEEKDAY('Daily Schedule'!$B$2,2)=4,WEEKDAY('Daily Schedule'!$B$2,2)=5,WEEKDAY('Daily Schedule'!$B$2,2)=7),IFERROR(1*'Daily Workforce'!$K96&gt;=3,FALSE()),IFERROR(1*'Daily Workforce'!$K96&gt;=2,FALSE())),IF(AND('Daily Schedule'!$A23&gt;=46,'Daily Schedule'!$A23&lt;=52),'Daily Workforce'!$M96="Y",IFERROR(1*'Daily Workforce'!$P96&gt;=2,FALSE()))))),1,0)</f>
        <v>1</v>
      </c>
      <c r="DD19" s="1" t="n">
        <f aca="false">IF(AND('Daily Workforce'!$N97="Y",'Daily Workforce'!$B97&lt;&gt;"",COUNTIF('Daily Schedule'!$F$5:$F22,'Daily Workforce'!$B97)=0,IF('Daily Schedule'!$A23=45,'Daily Workforce'!$J97="Y",IF(OR('Daily Schedule'!$A23=4,'Daily Schedule'!$A23=8),IF(OR(WEEKDAY('Daily Schedule'!$B$2,2)=1,WEEKDAY('Daily Schedule'!$B$2,2)=4,WEEKDAY('Daily Schedule'!$B$2,2)=5,WEEKDAY('Daily Schedule'!$B$2,2)=7),IFERROR(1*'Daily Workforce'!$K97&gt;=3,FALSE()),IFERROR(1*'Daily Workforce'!$K97&gt;=2,FALSE())),IF(AND('Daily Schedule'!$A23&gt;=46,'Daily Schedule'!$A23&lt;=52),'Daily Workforce'!$M97="Y",IFERROR(1*'Daily Workforce'!$P97&gt;=2,FALSE()))))),1,0)</f>
        <v>1</v>
      </c>
      <c r="DE19" s="1" t="n">
        <f aca="false">IF(AND('Daily Workforce'!$N98="Y",'Daily Workforce'!$B98&lt;&gt;"",COUNTIF('Daily Schedule'!$F$5:$F22,'Daily Workforce'!$B98)=0,IF('Daily Schedule'!$A23=45,'Daily Workforce'!$J98="Y",IF(OR('Daily Schedule'!$A23=4,'Daily Schedule'!$A23=8),IF(OR(WEEKDAY('Daily Schedule'!$B$2,2)=1,WEEKDAY('Daily Schedule'!$B$2,2)=4,WEEKDAY('Daily Schedule'!$B$2,2)=5,WEEKDAY('Daily Schedule'!$B$2,2)=7),IFERROR(1*'Daily Workforce'!$K98&gt;=3,FALSE()),IFERROR(1*'Daily Workforce'!$K98&gt;=2,FALSE())),IF(AND('Daily Schedule'!$A23&gt;=46,'Daily Schedule'!$A23&lt;=52),'Daily Workforce'!$M98="Y",IFERROR(1*'Daily Workforce'!$P98&gt;=2,FALSE()))))),1,0)</f>
        <v>1</v>
      </c>
      <c r="DF19" s="1" t="n">
        <f aca="false">IF(AND('Daily Workforce'!$N99="Y",'Daily Workforce'!$B99&lt;&gt;"",COUNTIF('Daily Schedule'!$F$5:$F22,'Daily Workforce'!$B99)=0,IF('Daily Schedule'!$A23=45,'Daily Workforce'!$J99="Y",IF(OR('Daily Schedule'!$A23=4,'Daily Schedule'!$A23=8),IF(OR(WEEKDAY('Daily Schedule'!$B$2,2)=1,WEEKDAY('Daily Schedule'!$B$2,2)=4,WEEKDAY('Daily Schedule'!$B$2,2)=5,WEEKDAY('Daily Schedule'!$B$2,2)=7),IFERROR(1*'Daily Workforce'!$K99&gt;=3,FALSE()),IFERROR(1*'Daily Workforce'!$K99&gt;=2,FALSE())),IF(AND('Daily Schedule'!$A23&gt;=46,'Daily Schedule'!$A23&lt;=52),'Daily Workforce'!$M99="Y",IFERROR(1*'Daily Workforce'!$P99&gt;=2,FALSE()))))),1,0)</f>
        <v>1</v>
      </c>
      <c r="DG19" s="1" t="n">
        <f aca="false">IF(AND('Daily Workforce'!$N100="Y",'Daily Workforce'!$B100&lt;&gt;"",COUNTIF('Daily Schedule'!$F$5:$F22,'Daily Workforce'!$B100)=0,IF('Daily Schedule'!$A23=45,'Daily Workforce'!$J100="Y",IF(OR('Daily Schedule'!$A23=4,'Daily Schedule'!$A23=8),IF(OR(WEEKDAY('Daily Schedule'!$B$2,2)=1,WEEKDAY('Daily Schedule'!$B$2,2)=4,WEEKDAY('Daily Schedule'!$B$2,2)=5,WEEKDAY('Daily Schedule'!$B$2,2)=7),IFERROR(1*'Daily Workforce'!$K100&gt;=3,FALSE()),IFERROR(1*'Daily Workforce'!$K100&gt;=2,FALSE())),IF(AND('Daily Schedule'!$A23&gt;=46,'Daily Schedule'!$A23&lt;=52),'Daily Workforce'!$M100="Y",IFERROR(1*'Daily Workforce'!$P100&gt;=2,FALSE()))))),1,0)</f>
        <v>1</v>
      </c>
      <c r="DH19" s="1" t="n">
        <f aca="false">IF(AND('Daily Workforce'!$N101="Y",'Daily Workforce'!$B101&lt;&gt;"",COUNTIF('Daily Schedule'!$F$5:$F22,'Daily Workforce'!$B101)=0,IF('Daily Schedule'!$A23=45,'Daily Workforce'!$J101="Y",IF(OR('Daily Schedule'!$A23=4,'Daily Schedule'!$A23=8),IF(OR(WEEKDAY('Daily Schedule'!$B$2,2)=1,WEEKDAY('Daily Schedule'!$B$2,2)=4,WEEKDAY('Daily Schedule'!$B$2,2)=5,WEEKDAY('Daily Schedule'!$B$2,2)=7),IFERROR(1*'Daily Workforce'!$K101&gt;=3,FALSE()),IFERROR(1*'Daily Workforce'!$K101&gt;=2,FALSE())),IF(AND('Daily Schedule'!$A23&gt;=46,'Daily Schedule'!$A23&lt;=52),'Daily Workforce'!$M101="Y",IFERROR(1*'Daily Workforce'!$P101&gt;=2,FALSE()))))),1,0)</f>
        <v>1</v>
      </c>
      <c r="DI19" s="1" t="n">
        <f aca="false">IF(AND('Daily Workforce'!$N102="Y",'Daily Workforce'!$B102&lt;&gt;"",COUNTIF('Daily Schedule'!$F$5:$F22,'Daily Workforce'!$B102)=0,IF('Daily Schedule'!$A23=45,'Daily Workforce'!$J102="Y",IF(OR('Daily Schedule'!$A23=4,'Daily Schedule'!$A23=8),IF(OR(WEEKDAY('Daily Schedule'!$B$2,2)=1,WEEKDAY('Daily Schedule'!$B$2,2)=4,WEEKDAY('Daily Schedule'!$B$2,2)=5,WEEKDAY('Daily Schedule'!$B$2,2)=7),IFERROR(1*'Daily Workforce'!$K102&gt;=3,FALSE()),IFERROR(1*'Daily Workforce'!$K102&gt;=2,FALSE())),IF(AND('Daily Schedule'!$A23&gt;=46,'Daily Schedule'!$A23&lt;=52),'Daily Workforce'!$M102="Y",IFERROR(1*'Daily Workforce'!$P102&gt;=2,FALSE()))))),1,0)</f>
        <v>1</v>
      </c>
      <c r="DJ19" s="1" t="n">
        <f aca="false">IF(AND('Daily Workforce'!$N103="Y",'Daily Workforce'!$B103&lt;&gt;"",COUNTIF('Daily Schedule'!$F$5:$F22,'Daily Workforce'!$B103)=0,IF('Daily Schedule'!$A23=45,'Daily Workforce'!$J103="Y",IF(OR('Daily Schedule'!$A23=4,'Daily Schedule'!$A23=8),IF(OR(WEEKDAY('Daily Schedule'!$B$2,2)=1,WEEKDAY('Daily Schedule'!$B$2,2)=4,WEEKDAY('Daily Schedule'!$B$2,2)=5,WEEKDAY('Daily Schedule'!$B$2,2)=7),IFERROR(1*'Daily Workforce'!$K103&gt;=3,FALSE()),IFERROR(1*'Daily Workforce'!$K103&gt;=2,FALSE())),IF(AND('Daily Schedule'!$A23&gt;=46,'Daily Schedule'!$A23&lt;=52),'Daily Workforce'!$M103="Y",IFERROR(1*'Daily Workforce'!$P103&gt;=2,FALSE()))))),1,0)</f>
        <v>1</v>
      </c>
      <c r="DK19" s="1" t="n">
        <f aca="false">IF(AND('Daily Workforce'!$N104="Y",'Daily Workforce'!$B104&lt;&gt;"",COUNTIF('Daily Schedule'!$F$5:$F22,'Daily Workforce'!$B104)=0,IF('Daily Schedule'!$A23=45,'Daily Workforce'!$J104="Y",IF(OR('Daily Schedule'!$A23=4,'Daily Schedule'!$A23=8),IF(OR(WEEKDAY('Daily Schedule'!$B$2,2)=1,WEEKDAY('Daily Schedule'!$B$2,2)=4,WEEKDAY('Daily Schedule'!$B$2,2)=5,WEEKDAY('Daily Schedule'!$B$2,2)=7),IFERROR(1*'Daily Workforce'!$K104&gt;=3,FALSE()),IFERROR(1*'Daily Workforce'!$K104&gt;=2,FALSE())),IF(AND('Daily Schedule'!$A23&gt;=46,'Daily Schedule'!$A23&lt;=52),'Daily Workforce'!$M104="Y",IFERROR(1*'Daily Workforce'!$P104&gt;=2,FALSE()))))),1,0)</f>
        <v>1</v>
      </c>
      <c r="DL19" s="1" t="n">
        <f aca="false">IF(AND('Daily Workforce'!$N105="Y",'Daily Workforce'!$B105&lt;&gt;"",COUNTIF('Daily Schedule'!$F$5:$F22,'Daily Workforce'!$B105)=0,IF('Daily Schedule'!$A23=45,'Daily Workforce'!$J105="Y",IF(OR('Daily Schedule'!$A23=4,'Daily Schedule'!$A23=8),IF(OR(WEEKDAY('Daily Schedule'!$B$2,2)=1,WEEKDAY('Daily Schedule'!$B$2,2)=4,WEEKDAY('Daily Schedule'!$B$2,2)=5,WEEKDAY('Daily Schedule'!$B$2,2)=7),IFERROR(1*'Daily Workforce'!$K105&gt;=3,FALSE()),IFERROR(1*'Daily Workforce'!$K105&gt;=2,FALSE())),IF(AND('Daily Schedule'!$A23&gt;=46,'Daily Schedule'!$A23&lt;=52),'Daily Workforce'!$M105="Y",IFERROR(1*'Daily Workforce'!$P105&gt;=2,FALSE()))))),1,0)</f>
        <v>0</v>
      </c>
      <c r="DM19" s="1" t="n">
        <f aca="false">IF(AND('Daily Workforce'!$N106="Y",'Daily Workforce'!$B106&lt;&gt;"",COUNTIF('Daily Schedule'!$F$5:$F22,'Daily Workforce'!$B106)=0,IF('Daily Schedule'!$A23=45,'Daily Workforce'!$J106="Y",IF(OR('Daily Schedule'!$A23=4,'Daily Schedule'!$A23=8),IF(OR(WEEKDAY('Daily Schedule'!$B$2,2)=1,WEEKDAY('Daily Schedule'!$B$2,2)=4,WEEKDAY('Daily Schedule'!$B$2,2)=5,WEEKDAY('Daily Schedule'!$B$2,2)=7),IFERROR(1*'Daily Workforce'!$K106&gt;=3,FALSE()),IFERROR(1*'Daily Workforce'!$K106&gt;=2,FALSE())),IF(AND('Daily Schedule'!$A23&gt;=46,'Daily Schedule'!$A23&lt;=52),'Daily Workforce'!$M106="Y",IFERROR(1*'Daily Workforce'!$P106&gt;=2,FALSE()))))),1,0)</f>
        <v>1</v>
      </c>
      <c r="DN19" s="1" t="n">
        <f aca="false">IF(AND('Daily Workforce'!$N107="Y",'Daily Workforce'!$B107&lt;&gt;"",COUNTIF('Daily Schedule'!$F$5:$F22,'Daily Workforce'!$B107)=0,IF('Daily Schedule'!$A23=45,'Daily Workforce'!$J107="Y",IF(OR('Daily Schedule'!$A23=4,'Daily Schedule'!$A23=8),IF(OR(WEEKDAY('Daily Schedule'!$B$2,2)=1,WEEKDAY('Daily Schedule'!$B$2,2)=4,WEEKDAY('Daily Schedule'!$B$2,2)=5,WEEKDAY('Daily Schedule'!$B$2,2)=7),IFERROR(1*'Daily Workforce'!$K107&gt;=3,FALSE()),IFERROR(1*'Daily Workforce'!$K107&gt;=2,FALSE())),IF(AND('Daily Schedule'!$A23&gt;=46,'Daily Schedule'!$A23&lt;=52),'Daily Workforce'!$M107="Y",IFERROR(1*'Daily Workforce'!$P107&gt;=2,FALSE()))))),1,0)</f>
        <v>1</v>
      </c>
      <c r="DO19" s="1" t="n">
        <f aca="false">IF(AND('Daily Workforce'!$N108="Y",'Daily Workforce'!$B108&lt;&gt;"",COUNTIF('Daily Schedule'!$F$5:$F22,'Daily Workforce'!$B108)=0,IF('Daily Schedule'!$A23=45,'Daily Workforce'!$J108="Y",IF(OR('Daily Schedule'!$A23=4,'Daily Schedule'!$A23=8),IF(OR(WEEKDAY('Daily Schedule'!$B$2,2)=1,WEEKDAY('Daily Schedule'!$B$2,2)=4,WEEKDAY('Daily Schedule'!$B$2,2)=5,WEEKDAY('Daily Schedule'!$B$2,2)=7),IFERROR(1*'Daily Workforce'!$K108&gt;=3,FALSE()),IFERROR(1*'Daily Workforce'!$K108&gt;=2,FALSE())),IF(AND('Daily Schedule'!$A23&gt;=46,'Daily Schedule'!$A23&lt;=52),'Daily Workforce'!$M108="Y",IFERROR(1*'Daily Workforce'!$P108&gt;=2,FALSE()))))),1,0)</f>
        <v>1</v>
      </c>
      <c r="DP19" s="1" t="n">
        <f aca="false">IF(AND('Daily Workforce'!$N109="Y",'Daily Workforce'!$B109&lt;&gt;"",COUNTIF('Daily Schedule'!$F$5:$F22,'Daily Workforce'!$B109)=0,IF('Daily Schedule'!$A23=45,'Daily Workforce'!$J109="Y",IF(OR('Daily Schedule'!$A23=4,'Daily Schedule'!$A23=8),IF(OR(WEEKDAY('Daily Schedule'!$B$2,2)=1,WEEKDAY('Daily Schedule'!$B$2,2)=4,WEEKDAY('Daily Schedule'!$B$2,2)=5,WEEKDAY('Daily Schedule'!$B$2,2)=7),IFERROR(1*'Daily Workforce'!$K109&gt;=3,FALSE()),IFERROR(1*'Daily Workforce'!$K109&gt;=2,FALSE())),IF(AND('Daily Schedule'!$A23&gt;=46,'Daily Schedule'!$A23&lt;=52),'Daily Workforce'!$M109="Y",IFERROR(1*'Daily Workforce'!$P109&gt;=2,FALSE()))))),1,0)</f>
        <v>1</v>
      </c>
      <c r="DQ19" s="1" t="n">
        <f aca="false">IF(AND('Daily Workforce'!$N110="Y",'Daily Workforce'!$B110&lt;&gt;"",COUNTIF('Daily Schedule'!$F$5:$F22,'Daily Workforce'!$B110)=0,IF('Daily Schedule'!$A23=45,'Daily Workforce'!$J110="Y",IF(OR('Daily Schedule'!$A23=4,'Daily Schedule'!$A23=8),IF(OR(WEEKDAY('Daily Schedule'!$B$2,2)=1,WEEKDAY('Daily Schedule'!$B$2,2)=4,WEEKDAY('Daily Schedule'!$B$2,2)=5,WEEKDAY('Daily Schedule'!$B$2,2)=7),IFERROR(1*'Daily Workforce'!$K110&gt;=3,FALSE()),IFERROR(1*'Daily Workforce'!$K110&gt;=2,FALSE())),IF(AND('Daily Schedule'!$A23&gt;=46,'Daily Schedule'!$A23&lt;=52),'Daily Workforce'!$M110="Y",IFERROR(1*'Daily Workforce'!$P110&gt;=2,FALSE()))))),1,0)</f>
        <v>1</v>
      </c>
      <c r="DR19" s="1" t="n">
        <f aca="false">IF(AND('Daily Workforce'!$N111="Y",'Daily Workforce'!$B111&lt;&gt;"",COUNTIF('Daily Schedule'!$F$5:$F22,'Daily Workforce'!$B111)=0,IF('Daily Schedule'!$A23=45,'Daily Workforce'!$J111="Y",IF(OR('Daily Schedule'!$A23=4,'Daily Schedule'!$A23=8),IF(OR(WEEKDAY('Daily Schedule'!$B$2,2)=1,WEEKDAY('Daily Schedule'!$B$2,2)=4,WEEKDAY('Daily Schedule'!$B$2,2)=5,WEEKDAY('Daily Schedule'!$B$2,2)=7),IFERROR(1*'Daily Workforce'!$K111&gt;=3,FALSE()),IFERROR(1*'Daily Workforce'!$K111&gt;=2,FALSE())),IF(AND('Daily Schedule'!$A23&gt;=46,'Daily Schedule'!$A23&lt;=52),'Daily Workforce'!$M111="Y",IFERROR(1*'Daily Workforce'!$P111&gt;=2,FALSE()))))),1,0)</f>
        <v>1</v>
      </c>
      <c r="DS19" s="1" t="n">
        <f aca="false">IF(AND('Daily Workforce'!$N112="Y",'Daily Workforce'!$B112&lt;&gt;"",COUNTIF('Daily Schedule'!$F$5:$F22,'Daily Workforce'!$B112)=0,IF('Daily Schedule'!$A23=45,'Daily Workforce'!$J112="Y",IF(OR('Daily Schedule'!$A23=4,'Daily Schedule'!$A23=8),IF(OR(WEEKDAY('Daily Schedule'!$B$2,2)=1,WEEKDAY('Daily Schedule'!$B$2,2)=4,WEEKDAY('Daily Schedule'!$B$2,2)=5,WEEKDAY('Daily Schedule'!$B$2,2)=7),IFERROR(1*'Daily Workforce'!$K112&gt;=3,FALSE()),IFERROR(1*'Daily Workforce'!$K112&gt;=2,FALSE())),IF(AND('Daily Schedule'!$A23&gt;=46,'Daily Schedule'!$A23&lt;=52),'Daily Workforce'!$M112="Y",IFERROR(1*'Daily Workforce'!$P112&gt;=2,FALSE()))))),1,0)</f>
        <v>1</v>
      </c>
      <c r="DT19" s="1" t="n">
        <f aca="false">IF(AND('Daily Workforce'!$N113="Y",'Daily Workforce'!$B113&lt;&gt;"",COUNTIF('Daily Schedule'!$F$5:$F22,'Daily Workforce'!$B113)=0,IF('Daily Schedule'!$A23=45,'Daily Workforce'!$J113="Y",IF(OR('Daily Schedule'!$A23=4,'Daily Schedule'!$A23=8),IF(OR(WEEKDAY('Daily Schedule'!$B$2,2)=1,WEEKDAY('Daily Schedule'!$B$2,2)=4,WEEKDAY('Daily Schedule'!$B$2,2)=5,WEEKDAY('Daily Schedule'!$B$2,2)=7),IFERROR(1*'Daily Workforce'!$K113&gt;=3,FALSE()),IFERROR(1*'Daily Workforce'!$K113&gt;=2,FALSE())),IF(AND('Daily Schedule'!$A23&gt;=46,'Daily Schedule'!$A23&lt;=52),'Daily Workforce'!$M113="Y",IFERROR(1*'Daily Workforce'!$P113&gt;=2,FALSE()))))),1,0)</f>
        <v>1</v>
      </c>
      <c r="DU19" s="1" t="n">
        <f aca="false">IF(AND('Daily Workforce'!$N114="Y",'Daily Workforce'!$B114&lt;&gt;"",COUNTIF('Daily Schedule'!$F$5:$F22,'Daily Workforce'!$B114)=0,IF('Daily Schedule'!$A23=45,'Daily Workforce'!$J114="Y",IF(OR('Daily Schedule'!$A23=4,'Daily Schedule'!$A23=8),IF(OR(WEEKDAY('Daily Schedule'!$B$2,2)=1,WEEKDAY('Daily Schedule'!$B$2,2)=4,WEEKDAY('Daily Schedule'!$B$2,2)=5,WEEKDAY('Daily Schedule'!$B$2,2)=7),IFERROR(1*'Daily Workforce'!$K114&gt;=3,FALSE()),IFERROR(1*'Daily Workforce'!$K114&gt;=2,FALSE())),IF(AND('Daily Schedule'!$A23&gt;=46,'Daily Schedule'!$A23&lt;=52),'Daily Workforce'!$M114="Y",IFERROR(1*'Daily Workforce'!$P114&gt;=2,FALSE()))))),1,0)</f>
        <v>1</v>
      </c>
      <c r="DV19" s="1" t="n">
        <f aca="false">IF(AND('Daily Workforce'!$N115="Y",'Daily Workforce'!$B115&lt;&gt;"",COUNTIF('Daily Schedule'!$F$5:$F22,'Daily Workforce'!$B115)=0,IF('Daily Schedule'!$A23=45,'Daily Workforce'!$J115="Y",IF(OR('Daily Schedule'!$A23=4,'Daily Schedule'!$A23=8),IF(OR(WEEKDAY('Daily Schedule'!$B$2,2)=1,WEEKDAY('Daily Schedule'!$B$2,2)=4,WEEKDAY('Daily Schedule'!$B$2,2)=5,WEEKDAY('Daily Schedule'!$B$2,2)=7),IFERROR(1*'Daily Workforce'!$K115&gt;=3,FALSE()),IFERROR(1*'Daily Workforce'!$K115&gt;=2,FALSE())),IF(AND('Daily Schedule'!$A23&gt;=46,'Daily Schedule'!$A23&lt;=52),'Daily Workforce'!$M115="Y",IFERROR(1*'Daily Workforce'!$P115&gt;=2,FALSE()))))),1,0)</f>
        <v>1</v>
      </c>
      <c r="DW19" s="1" t="n">
        <f aca="false">IF(AND('Daily Workforce'!$N116="Y",'Daily Workforce'!$B116&lt;&gt;"",COUNTIF('Daily Schedule'!$F$5:$F22,'Daily Workforce'!$B116)=0,IF('Daily Schedule'!$A23=45,'Daily Workforce'!$J116="Y",IF(OR('Daily Schedule'!$A23=4,'Daily Schedule'!$A23=8),IF(OR(WEEKDAY('Daily Schedule'!$B$2,2)=1,WEEKDAY('Daily Schedule'!$B$2,2)=4,WEEKDAY('Daily Schedule'!$B$2,2)=5,WEEKDAY('Daily Schedule'!$B$2,2)=7),IFERROR(1*'Daily Workforce'!$K116&gt;=3,FALSE()),IFERROR(1*'Daily Workforce'!$K116&gt;=2,FALSE())),IF(AND('Daily Schedule'!$A23&gt;=46,'Daily Schedule'!$A23&lt;=52),'Daily Workforce'!$M116="Y",IFERROR(1*'Daily Workforce'!$P116&gt;=2,FALSE()))))),1,0)</f>
        <v>1</v>
      </c>
      <c r="DX19" s="1" t="n">
        <f aca="false">IF(AND('Daily Workforce'!$N117="Y",'Daily Workforce'!$B117&lt;&gt;"",COUNTIF('Daily Schedule'!$F$5:$F22,'Daily Workforce'!$B117)=0,IF('Daily Schedule'!$A23=45,'Daily Workforce'!$J117="Y",IF(OR('Daily Schedule'!$A23=4,'Daily Schedule'!$A23=8),IF(OR(WEEKDAY('Daily Schedule'!$B$2,2)=1,WEEKDAY('Daily Schedule'!$B$2,2)=4,WEEKDAY('Daily Schedule'!$B$2,2)=5,WEEKDAY('Daily Schedule'!$B$2,2)=7),IFERROR(1*'Daily Workforce'!$K117&gt;=3,FALSE()),IFERROR(1*'Daily Workforce'!$K117&gt;=2,FALSE())),IF(AND('Daily Schedule'!$A23&gt;=46,'Daily Schedule'!$A23&lt;=52),'Daily Workforce'!$M117="Y",IFERROR(1*'Daily Workforce'!$P117&gt;=2,FALSE()))))),1,0)</f>
        <v>1</v>
      </c>
      <c r="DY19" s="1" t="n">
        <f aca="false">IF(AND('Daily Workforce'!$N118="Y",'Daily Workforce'!$B118&lt;&gt;"",COUNTIF('Daily Schedule'!$F$5:$F22,'Daily Workforce'!$B118)=0,IF('Daily Schedule'!$A23=45,'Daily Workforce'!$J118="Y",IF(OR('Daily Schedule'!$A23=4,'Daily Schedule'!$A23=8),IF(OR(WEEKDAY('Daily Schedule'!$B$2,2)=1,WEEKDAY('Daily Schedule'!$B$2,2)=4,WEEKDAY('Daily Schedule'!$B$2,2)=5,WEEKDAY('Daily Schedule'!$B$2,2)=7),IFERROR(1*'Daily Workforce'!$K118&gt;=3,FALSE()),IFERROR(1*'Daily Workforce'!$K118&gt;=2,FALSE())),IF(AND('Daily Schedule'!$A23&gt;=46,'Daily Schedule'!$A23&lt;=52),'Daily Workforce'!$M118="Y",IFERROR(1*'Daily Workforce'!$P118&gt;=2,FALSE()))))),1,0)</f>
        <v>0</v>
      </c>
      <c r="DZ19" s="1" t="n">
        <f aca="false">IF(AND('Daily Workforce'!$N119="Y",'Daily Workforce'!$B119&lt;&gt;"",COUNTIF('Daily Schedule'!$F$5:$F22,'Daily Workforce'!$B119)=0,IF('Daily Schedule'!$A23=45,'Daily Workforce'!$J119="Y",IF(OR('Daily Schedule'!$A23=4,'Daily Schedule'!$A23=8),IF(OR(WEEKDAY('Daily Schedule'!$B$2,2)=1,WEEKDAY('Daily Schedule'!$B$2,2)=4,WEEKDAY('Daily Schedule'!$B$2,2)=5,WEEKDAY('Daily Schedule'!$B$2,2)=7),IFERROR(1*'Daily Workforce'!$K119&gt;=3,FALSE()),IFERROR(1*'Daily Workforce'!$K119&gt;=2,FALSE())),IF(AND('Daily Schedule'!$A23&gt;=46,'Daily Schedule'!$A23&lt;=52),'Daily Workforce'!$M119="Y",IFERROR(1*'Daily Workforce'!$P119&gt;=2,FALSE()))))),1,0)</f>
        <v>0</v>
      </c>
      <c r="EA19" s="1" t="n">
        <f aca="false">IF(AND('Daily Workforce'!$N120="Y",'Daily Workforce'!$B120&lt;&gt;"",COUNTIF('Daily Schedule'!$F$5:$F22,'Daily Workforce'!$B120)=0,IF('Daily Schedule'!$A23=45,'Daily Workforce'!$J120="Y",IF(OR('Daily Schedule'!$A23=4,'Daily Schedule'!$A23=8),IF(OR(WEEKDAY('Daily Schedule'!$B$2,2)=1,WEEKDAY('Daily Schedule'!$B$2,2)=4,WEEKDAY('Daily Schedule'!$B$2,2)=5,WEEKDAY('Daily Schedule'!$B$2,2)=7),IFERROR(1*'Daily Workforce'!$K120&gt;=3,FALSE()),IFERROR(1*'Daily Workforce'!$K120&gt;=2,FALSE())),IF(AND('Daily Schedule'!$A23&gt;=46,'Daily Schedule'!$A23&lt;=52),'Daily Workforce'!$M120="Y",IFERROR(1*'Daily Workforce'!$P120&gt;=2,FALSE()))))),1,0)</f>
        <v>0</v>
      </c>
      <c r="EB19" s="1" t="n">
        <f aca="false">IF(AND('Daily Workforce'!$N121="Y",'Daily Workforce'!$B121&lt;&gt;"",COUNTIF('Daily Schedule'!$F$5:$F22,'Daily Workforce'!$B121)=0,IF('Daily Schedule'!$A23=45,'Daily Workforce'!$J121="Y",IF(OR('Daily Schedule'!$A23=4,'Daily Schedule'!$A23=8),IF(OR(WEEKDAY('Daily Schedule'!$B$2,2)=1,WEEKDAY('Daily Schedule'!$B$2,2)=4,WEEKDAY('Daily Schedule'!$B$2,2)=5,WEEKDAY('Daily Schedule'!$B$2,2)=7),IFERROR(1*'Daily Workforce'!$K121&gt;=3,FALSE()),IFERROR(1*'Daily Workforce'!$K121&gt;=2,FALSE())),IF(AND('Daily Schedule'!$A23&gt;=46,'Daily Schedule'!$A23&lt;=52),'Daily Workforce'!$M121="Y",IFERROR(1*'Daily Workforce'!$P121&gt;=2,FALSE()))))),1,0)</f>
        <v>0</v>
      </c>
      <c r="EC19" s="1" t="n">
        <f aca="false">IF(AND('Daily Workforce'!$N122="Y",'Daily Workforce'!$B122&lt;&gt;"",COUNTIF('Daily Schedule'!$F$5:$F22,'Daily Workforce'!$B122)=0,IF('Daily Schedule'!$A23=45,'Daily Workforce'!$J122="Y",IF(OR('Daily Schedule'!$A23=4,'Daily Schedule'!$A23=8),IF(OR(WEEKDAY('Daily Schedule'!$B$2,2)=1,WEEKDAY('Daily Schedule'!$B$2,2)=4,WEEKDAY('Daily Schedule'!$B$2,2)=5,WEEKDAY('Daily Schedule'!$B$2,2)=7),IFERROR(1*'Daily Workforce'!$K122&gt;=3,FALSE()),IFERROR(1*'Daily Workforce'!$K122&gt;=2,FALSE())),IF(AND('Daily Schedule'!$A23&gt;=46,'Daily Schedule'!$A23&lt;=52),'Daily Workforce'!$M122="Y",IFERROR(1*'Daily Workforce'!$P122&gt;=2,FALSE()))))),1,0)</f>
        <v>0</v>
      </c>
      <c r="ED19" s="1" t="n">
        <f aca="false">IF(AND('Daily Workforce'!$N123="Y",'Daily Workforce'!$B123&lt;&gt;"",COUNTIF('Daily Schedule'!$F$5:$F22,'Daily Workforce'!$B123)=0,IF('Daily Schedule'!$A23=45,'Daily Workforce'!$J123="Y",IF(OR('Daily Schedule'!$A23=4,'Daily Schedule'!$A23=8),IF(OR(WEEKDAY('Daily Schedule'!$B$2,2)=1,WEEKDAY('Daily Schedule'!$B$2,2)=4,WEEKDAY('Daily Schedule'!$B$2,2)=5,WEEKDAY('Daily Schedule'!$B$2,2)=7),IFERROR(1*'Daily Workforce'!$K123&gt;=3,FALSE()),IFERROR(1*'Daily Workforce'!$K123&gt;=2,FALSE())),IF(AND('Daily Schedule'!$A23&gt;=46,'Daily Schedule'!$A23&lt;=52),'Daily Workforce'!$M123="Y",IFERROR(1*'Daily Workforce'!$P123&gt;=2,FALSE()))))),1,0)</f>
        <v>0</v>
      </c>
      <c r="EE19" s="1" t="n">
        <f aca="false">IF(AND('Daily Workforce'!$N124="Y",'Daily Workforce'!$B124&lt;&gt;"",COUNTIF('Daily Schedule'!$F$5:$F22,'Daily Workforce'!$B124)=0,IF('Daily Schedule'!$A23=45,'Daily Workforce'!$J124="Y",IF(OR('Daily Schedule'!$A23=4,'Daily Schedule'!$A23=8),IF(OR(WEEKDAY('Daily Schedule'!$B$2,2)=1,WEEKDAY('Daily Schedule'!$B$2,2)=4,WEEKDAY('Daily Schedule'!$B$2,2)=5,WEEKDAY('Daily Schedule'!$B$2,2)=7),IFERROR(1*'Daily Workforce'!$K124&gt;=3,FALSE()),IFERROR(1*'Daily Workforce'!$K124&gt;=2,FALSE())),IF(AND('Daily Schedule'!$A23&gt;=46,'Daily Schedule'!$A23&lt;=52),'Daily Workforce'!$M124="Y",IFERROR(1*'Daily Workforce'!$P124&gt;=2,FALSE()))))),1,0)</f>
        <v>0</v>
      </c>
      <c r="EF19" s="1" t="n">
        <f aca="false">IF(AND('Daily Workforce'!$N125="Y",'Daily Workforce'!$B125&lt;&gt;"",COUNTIF('Daily Schedule'!$F$5:$F22,'Daily Workforce'!$B125)=0,IF('Daily Schedule'!$A23=45,'Daily Workforce'!$J125="Y",IF(OR('Daily Schedule'!$A23=4,'Daily Schedule'!$A23=8),IF(OR(WEEKDAY('Daily Schedule'!$B$2,2)=1,WEEKDAY('Daily Schedule'!$B$2,2)=4,WEEKDAY('Daily Schedule'!$B$2,2)=5,WEEKDAY('Daily Schedule'!$B$2,2)=7),IFERROR(1*'Daily Workforce'!$K125&gt;=3,FALSE()),IFERROR(1*'Daily Workforce'!$K125&gt;=2,FALSE())),IF(AND('Daily Schedule'!$A23&gt;=46,'Daily Schedule'!$A23&lt;=52),'Daily Workforce'!$M125="Y",IFERROR(1*'Daily Workforce'!$P125&gt;=2,FALSE()))))),1,0)</f>
        <v>0</v>
      </c>
      <c r="EG19" s="1" t="n">
        <f aca="false">IF(AND('Daily Workforce'!$N126="Y",'Daily Workforce'!$B126&lt;&gt;"",COUNTIF('Daily Schedule'!$F$5:$F22,'Daily Workforce'!$B126)=0,IF('Daily Schedule'!$A23=45,'Daily Workforce'!$J126="Y",IF(OR('Daily Schedule'!$A23=4,'Daily Schedule'!$A23=8),IF(OR(WEEKDAY('Daily Schedule'!$B$2,2)=1,WEEKDAY('Daily Schedule'!$B$2,2)=4,WEEKDAY('Daily Schedule'!$B$2,2)=5,WEEKDAY('Daily Schedule'!$B$2,2)=7),IFERROR(1*'Daily Workforce'!$K126&gt;=3,FALSE()),IFERROR(1*'Daily Workforce'!$K126&gt;=2,FALSE())),IF(AND('Daily Schedule'!$A23&gt;=46,'Daily Schedule'!$A23&lt;=52),'Daily Workforce'!$M126="Y",IFERROR(1*'Daily Workforce'!$P126&gt;=2,FALSE()))))),1,0)</f>
        <v>0</v>
      </c>
      <c r="EH19" s="1" t="n">
        <f aca="false">IF(AND('Daily Workforce'!$N127="Y",'Daily Workforce'!$B127&lt;&gt;"",COUNTIF('Daily Schedule'!$F$5:$F22,'Daily Workforce'!$B127)=0,IF('Daily Schedule'!$A23=45,'Daily Workforce'!$J127="Y",IF(OR('Daily Schedule'!$A23=4,'Daily Schedule'!$A23=8),IF(OR(WEEKDAY('Daily Schedule'!$B$2,2)=1,WEEKDAY('Daily Schedule'!$B$2,2)=4,WEEKDAY('Daily Schedule'!$B$2,2)=5,WEEKDAY('Daily Schedule'!$B$2,2)=7),IFERROR(1*'Daily Workforce'!$K127&gt;=3,FALSE()),IFERROR(1*'Daily Workforce'!$K127&gt;=2,FALSE())),IF(AND('Daily Schedule'!$A23&gt;=46,'Daily Schedule'!$A23&lt;=52),'Daily Workforce'!$M127="Y",IFERROR(1*'Daily Workforce'!$P127&gt;=2,FALSE()))))),1,0)</f>
        <v>0</v>
      </c>
      <c r="EI19" s="1" t="n">
        <f aca="false">IF(AND('Daily Workforce'!$N128="Y",'Daily Workforce'!$B128&lt;&gt;"",COUNTIF('Daily Schedule'!$F$5:$F22,'Daily Workforce'!$B128)=0,IF('Daily Schedule'!$A23=45,'Daily Workforce'!$J128="Y",IF(OR('Daily Schedule'!$A23=4,'Daily Schedule'!$A23=8),IF(OR(WEEKDAY('Daily Schedule'!$B$2,2)=1,WEEKDAY('Daily Schedule'!$B$2,2)=4,WEEKDAY('Daily Schedule'!$B$2,2)=5,WEEKDAY('Daily Schedule'!$B$2,2)=7),IFERROR(1*'Daily Workforce'!$K128&gt;=3,FALSE()),IFERROR(1*'Daily Workforce'!$K128&gt;=2,FALSE())),IF(AND('Daily Schedule'!$A23&gt;=46,'Daily Schedule'!$A23&lt;=52),'Daily Workforce'!$M128="Y",IFERROR(1*'Daily Workforce'!$P128&gt;=2,FALSE()))))),1,0)</f>
        <v>0</v>
      </c>
      <c r="EJ19" s="1" t="n">
        <f aca="false">IF(AND('Daily Workforce'!$N129="Y",'Daily Workforce'!$B129&lt;&gt;"",COUNTIF('Daily Schedule'!$F$5:$F22,'Daily Workforce'!$B129)=0,IF('Daily Schedule'!$A23=45,'Daily Workforce'!$J129="Y",IF(OR('Daily Schedule'!$A23=4,'Daily Schedule'!$A23=8),IF(OR(WEEKDAY('Daily Schedule'!$B$2,2)=1,WEEKDAY('Daily Schedule'!$B$2,2)=4,WEEKDAY('Daily Schedule'!$B$2,2)=5,WEEKDAY('Daily Schedule'!$B$2,2)=7),IFERROR(1*'Daily Workforce'!$K129&gt;=3,FALSE()),IFERROR(1*'Daily Workforce'!$K129&gt;=2,FALSE())),IF(AND('Daily Schedule'!$A23&gt;=46,'Daily Schedule'!$A23&lt;=52),'Daily Workforce'!$M129="Y",IFERROR(1*'Daily Workforce'!$P129&gt;=2,FALSE()))))),1,0)</f>
        <v>0</v>
      </c>
      <c r="EK19" s="1" t="n">
        <f aca="false">IF(AND('Daily Workforce'!$N130="Y",'Daily Workforce'!$B130&lt;&gt;"",COUNTIF('Daily Schedule'!$F$5:$F22,'Daily Workforce'!$B130)=0,IF('Daily Schedule'!$A23=45,'Daily Workforce'!$J130="Y",IF(OR('Daily Schedule'!$A23=4,'Daily Schedule'!$A23=8),IF(OR(WEEKDAY('Daily Schedule'!$B$2,2)=1,WEEKDAY('Daily Schedule'!$B$2,2)=4,WEEKDAY('Daily Schedule'!$B$2,2)=5,WEEKDAY('Daily Schedule'!$B$2,2)=7),IFERROR(1*'Daily Workforce'!$K130&gt;=3,FALSE()),IFERROR(1*'Daily Workforce'!$K130&gt;=2,FALSE())),IF(AND('Daily Schedule'!$A23&gt;=46,'Daily Schedule'!$A23&lt;=52),'Daily Workforce'!$M130="Y",IFERROR(1*'Daily Workforce'!$P130&gt;=2,FALSE()))))),1,0)</f>
        <v>0</v>
      </c>
      <c r="EL19" s="1" t="n">
        <f aca="false">IF(AND('Daily Workforce'!$N131="Y",'Daily Workforce'!$B131&lt;&gt;"",COUNTIF('Daily Schedule'!$F$5:$F22,'Daily Workforce'!$B131)=0,IF('Daily Schedule'!$A23=45,'Daily Workforce'!$J131="Y",IF(OR('Daily Schedule'!$A23=4,'Daily Schedule'!$A23=8),IF(OR(WEEKDAY('Daily Schedule'!$B$2,2)=1,WEEKDAY('Daily Schedule'!$B$2,2)=4,WEEKDAY('Daily Schedule'!$B$2,2)=5,WEEKDAY('Daily Schedule'!$B$2,2)=7),IFERROR(1*'Daily Workforce'!$K131&gt;=3,FALSE()),IFERROR(1*'Daily Workforce'!$K131&gt;=2,FALSE())),IF(AND('Daily Schedule'!$A23&gt;=46,'Daily Schedule'!$A23&lt;=52),'Daily Workforce'!$M131="Y",IFERROR(1*'Daily Workforce'!$P131&gt;=2,FALSE()))))),1,0)</f>
        <v>0</v>
      </c>
      <c r="EM19" s="1" t="n">
        <f aca="false">IF(AND('Daily Workforce'!$N132="Y",'Daily Workforce'!$B132&lt;&gt;"",COUNTIF('Daily Schedule'!$F$5:$F22,'Daily Workforce'!$B132)=0,IF('Daily Schedule'!$A23=45,'Daily Workforce'!$J132="Y",IF(OR('Daily Schedule'!$A23=4,'Daily Schedule'!$A23=8),IF(OR(WEEKDAY('Daily Schedule'!$B$2,2)=1,WEEKDAY('Daily Schedule'!$B$2,2)=4,WEEKDAY('Daily Schedule'!$B$2,2)=5,WEEKDAY('Daily Schedule'!$B$2,2)=7),IFERROR(1*'Daily Workforce'!$K132&gt;=3,FALSE()),IFERROR(1*'Daily Workforce'!$K132&gt;=2,FALSE())),IF(AND('Daily Schedule'!$A23&gt;=46,'Daily Schedule'!$A23&lt;=52),'Daily Workforce'!$M132="Y",IFERROR(1*'Daily Workforce'!$P132&gt;=2,FALSE()))))),1,0)</f>
        <v>0</v>
      </c>
      <c r="EN19" s="1" t="n">
        <f aca="false">IF(AND('Daily Workforce'!$N133="Y",'Daily Workforce'!$B133&lt;&gt;"",COUNTIF('Daily Schedule'!$F$5:$F22,'Daily Workforce'!$B133)=0,IF('Daily Schedule'!$A23=45,'Daily Workforce'!$J133="Y",IF(OR('Daily Schedule'!$A23=4,'Daily Schedule'!$A23=8),IF(OR(WEEKDAY('Daily Schedule'!$B$2,2)=1,WEEKDAY('Daily Schedule'!$B$2,2)=4,WEEKDAY('Daily Schedule'!$B$2,2)=5,WEEKDAY('Daily Schedule'!$B$2,2)=7),IFERROR(1*'Daily Workforce'!$K133&gt;=3,FALSE()),IFERROR(1*'Daily Workforce'!$K133&gt;=2,FALSE())),IF(AND('Daily Schedule'!$A23&gt;=46,'Daily Schedule'!$A23&lt;=52),'Daily Workforce'!$M133="Y",IFERROR(1*'Daily Workforce'!$P133&gt;=2,FALSE()))))),1,0)</f>
        <v>0</v>
      </c>
      <c r="EO19" s="1" t="n">
        <f aca="false">IF(AND('Daily Workforce'!$N134="Y",'Daily Workforce'!$B134&lt;&gt;"",COUNTIF('Daily Schedule'!$F$5:$F22,'Daily Workforce'!$B134)=0,IF('Daily Schedule'!$A23=45,'Daily Workforce'!$J134="Y",IF(OR('Daily Schedule'!$A23=4,'Daily Schedule'!$A23=8),IF(OR(WEEKDAY('Daily Schedule'!$B$2,2)=1,WEEKDAY('Daily Schedule'!$B$2,2)=4,WEEKDAY('Daily Schedule'!$B$2,2)=5,WEEKDAY('Daily Schedule'!$B$2,2)=7),IFERROR(1*'Daily Workforce'!$K134&gt;=3,FALSE()),IFERROR(1*'Daily Workforce'!$K134&gt;=2,FALSE())),IF(AND('Daily Schedule'!$A23&gt;=46,'Daily Schedule'!$A23&lt;=52),'Daily Workforce'!$M134="Y",IFERROR(1*'Daily Workforce'!$P134&gt;=2,FALSE()))))),1,0)</f>
        <v>0</v>
      </c>
      <c r="EP19" s="1" t="n">
        <f aca="false">IF(AND('Daily Workforce'!$N135="Y",'Daily Workforce'!$B135&lt;&gt;"",COUNTIF('Daily Schedule'!$F$5:$F22,'Daily Workforce'!$B135)=0,IF('Daily Schedule'!$A23=45,'Daily Workforce'!$J135="Y",IF(OR('Daily Schedule'!$A23=4,'Daily Schedule'!$A23=8),IF(OR(WEEKDAY('Daily Schedule'!$B$2,2)=1,WEEKDAY('Daily Schedule'!$B$2,2)=4,WEEKDAY('Daily Schedule'!$B$2,2)=5,WEEKDAY('Daily Schedule'!$B$2,2)=7),IFERROR(1*'Daily Workforce'!$K135&gt;=3,FALSE()),IFERROR(1*'Daily Workforce'!$K135&gt;=2,FALSE())),IF(AND('Daily Schedule'!$A23&gt;=46,'Daily Schedule'!$A23&lt;=52),'Daily Workforce'!$M135="Y",IFERROR(1*'Daily Workforce'!$P135&gt;=2,FALSE()))))),1,0)</f>
        <v>0</v>
      </c>
      <c r="EQ19" s="1" t="n">
        <f aca="false">IF(AND('Daily Workforce'!$N136="Y",'Daily Workforce'!$B136&lt;&gt;"",COUNTIF('Daily Schedule'!$F$5:$F22,'Daily Workforce'!$B136)=0,IF('Daily Schedule'!$A23=45,'Daily Workforce'!$J136="Y",IF(OR('Daily Schedule'!$A23=4,'Daily Schedule'!$A23=8),IF(OR(WEEKDAY('Daily Schedule'!$B$2,2)=1,WEEKDAY('Daily Schedule'!$B$2,2)=4,WEEKDAY('Daily Schedule'!$B$2,2)=5,WEEKDAY('Daily Schedule'!$B$2,2)=7),IFERROR(1*'Daily Workforce'!$K136&gt;=3,FALSE()),IFERROR(1*'Daily Workforce'!$K136&gt;=2,FALSE())),IF(AND('Daily Schedule'!$A23&gt;=46,'Daily Schedule'!$A23&lt;=52),'Daily Workforce'!$M136="Y",IFERROR(1*'Daily Workforce'!$P136&gt;=2,FALSE()))))),1,0)</f>
        <v>0</v>
      </c>
      <c r="ER19" s="1" t="n">
        <f aca="false">IF(AND('Daily Workforce'!$N137="Y",'Daily Workforce'!$B137&lt;&gt;"",COUNTIF('Daily Schedule'!$F$5:$F22,'Daily Workforce'!$B137)=0,IF('Daily Schedule'!$A23=45,'Daily Workforce'!$J137="Y",IF(OR('Daily Schedule'!$A23=4,'Daily Schedule'!$A23=8),IF(OR(WEEKDAY('Daily Schedule'!$B$2,2)=1,WEEKDAY('Daily Schedule'!$B$2,2)=4,WEEKDAY('Daily Schedule'!$B$2,2)=5,WEEKDAY('Daily Schedule'!$B$2,2)=7),IFERROR(1*'Daily Workforce'!$K137&gt;=3,FALSE()),IFERROR(1*'Daily Workforce'!$K137&gt;=2,FALSE())),IF(AND('Daily Schedule'!$A23&gt;=46,'Daily Schedule'!$A23&lt;=52),'Daily Workforce'!$M137="Y",IFERROR(1*'Daily Workforce'!$P137&gt;=2,FALSE()))))),1,0)</f>
        <v>0</v>
      </c>
      <c r="ES19" s="1" t="n">
        <f aca="false">IF(AND('Daily Workforce'!$N138="Y",'Daily Workforce'!$B138&lt;&gt;"",COUNTIF('Daily Schedule'!$F$5:$F22,'Daily Workforce'!$B138)=0,IF('Daily Schedule'!$A23=45,'Daily Workforce'!$J138="Y",IF(OR('Daily Schedule'!$A23=4,'Daily Schedule'!$A23=8),IF(OR(WEEKDAY('Daily Schedule'!$B$2,2)=1,WEEKDAY('Daily Schedule'!$B$2,2)=4,WEEKDAY('Daily Schedule'!$B$2,2)=5,WEEKDAY('Daily Schedule'!$B$2,2)=7),IFERROR(1*'Daily Workforce'!$K138&gt;=3,FALSE()),IFERROR(1*'Daily Workforce'!$K138&gt;=2,FALSE())),IF(AND('Daily Schedule'!$A23&gt;=46,'Daily Schedule'!$A23&lt;=52),'Daily Workforce'!$M138="Y",IFERROR(1*'Daily Workforce'!$P138&gt;=2,FALSE()))))),1,0)</f>
        <v>0</v>
      </c>
      <c r="ET19" s="1" t="n">
        <f aca="false">IF(AND('Daily Workforce'!$N139="Y",'Daily Workforce'!$B139&lt;&gt;"",COUNTIF('Daily Schedule'!$F$5:$F22,'Daily Workforce'!$B139)=0,IF('Daily Schedule'!$A23=45,'Daily Workforce'!$J139="Y",IF(OR('Daily Schedule'!$A23=4,'Daily Schedule'!$A23=8),IF(OR(WEEKDAY('Daily Schedule'!$B$2,2)=1,WEEKDAY('Daily Schedule'!$B$2,2)=4,WEEKDAY('Daily Schedule'!$B$2,2)=5,WEEKDAY('Daily Schedule'!$B$2,2)=7),IFERROR(1*'Daily Workforce'!$K139&gt;=3,FALSE()),IFERROR(1*'Daily Workforce'!$K139&gt;=2,FALSE())),IF(AND('Daily Schedule'!$A23&gt;=46,'Daily Schedule'!$A23&lt;=52),'Daily Workforce'!$M139="Y",IFERROR(1*'Daily Workforce'!$P139&gt;=2,FALSE()))))),1,0)</f>
        <v>0</v>
      </c>
      <c r="EU19" s="1" t="n">
        <f aca="false">IF(AND('Daily Workforce'!$N140="Y",'Daily Workforce'!$B140&lt;&gt;"",COUNTIF('Daily Schedule'!$F$5:$F22,'Daily Workforce'!$B140)=0,IF('Daily Schedule'!$A23=45,'Daily Workforce'!$J140="Y",IF(OR('Daily Schedule'!$A23=4,'Daily Schedule'!$A23=8),IF(OR(WEEKDAY('Daily Schedule'!$B$2,2)=1,WEEKDAY('Daily Schedule'!$B$2,2)=4,WEEKDAY('Daily Schedule'!$B$2,2)=5,WEEKDAY('Daily Schedule'!$B$2,2)=7),IFERROR(1*'Daily Workforce'!$K140&gt;=3,FALSE()),IFERROR(1*'Daily Workforce'!$K140&gt;=2,FALSE())),IF(AND('Daily Schedule'!$A23&gt;=46,'Daily Schedule'!$A23&lt;=52),'Daily Workforce'!$M140="Y",IFERROR(1*'Daily Workforce'!$P140&gt;=2,FALSE()))))),1,0)</f>
        <v>0</v>
      </c>
      <c r="EV19" s="1" t="n">
        <f aca="false">IF(AND('Daily Workforce'!$N141="Y",'Daily Workforce'!$B141&lt;&gt;"",COUNTIF('Daily Schedule'!$F$5:$F22,'Daily Workforce'!$B141)=0,IF('Daily Schedule'!$A23=45,'Daily Workforce'!$J141="Y",IF(OR('Daily Schedule'!$A23=4,'Daily Schedule'!$A23=8),IF(OR(WEEKDAY('Daily Schedule'!$B$2,2)=1,WEEKDAY('Daily Schedule'!$B$2,2)=4,WEEKDAY('Daily Schedule'!$B$2,2)=5,WEEKDAY('Daily Schedule'!$B$2,2)=7),IFERROR(1*'Daily Workforce'!$K141&gt;=3,FALSE()),IFERROR(1*'Daily Workforce'!$K141&gt;=2,FALSE())),IF(AND('Daily Schedule'!$A23&gt;=46,'Daily Schedule'!$A23&lt;=52),'Daily Workforce'!$M141="Y",IFERROR(1*'Daily Workforce'!$P141&gt;=2,FALSE()))))),1,0)</f>
        <v>0</v>
      </c>
      <c r="EW19" s="1" t="n">
        <f aca="false">IF(AND('Daily Workforce'!$N142="Y",'Daily Workforce'!$B142&lt;&gt;"",COUNTIF('Daily Schedule'!$F$5:$F22,'Daily Workforce'!$B142)=0,IF('Daily Schedule'!$A23=45,'Daily Workforce'!$J142="Y",IF(OR('Daily Schedule'!$A23=4,'Daily Schedule'!$A23=8),IF(OR(WEEKDAY('Daily Schedule'!$B$2,2)=1,WEEKDAY('Daily Schedule'!$B$2,2)=4,WEEKDAY('Daily Schedule'!$B$2,2)=5,WEEKDAY('Daily Schedule'!$B$2,2)=7),IFERROR(1*'Daily Workforce'!$K142&gt;=3,FALSE()),IFERROR(1*'Daily Workforce'!$K142&gt;=2,FALSE())),IF(AND('Daily Schedule'!$A23&gt;=46,'Daily Schedule'!$A23&lt;=52),'Daily Workforce'!$M142="Y",IFERROR(1*'Daily Workforce'!$P142&gt;=2,FALSE()))))),1,0)</f>
        <v>0</v>
      </c>
      <c r="EX19" s="1" t="n">
        <f aca="false">IF(AND('Daily Workforce'!$N143="Y",'Daily Workforce'!$B143&lt;&gt;"",COUNTIF('Daily Schedule'!$F$5:$F22,'Daily Workforce'!$B143)=0,IF('Daily Schedule'!$A23=45,'Daily Workforce'!$J143="Y",IF(OR('Daily Schedule'!$A23=4,'Daily Schedule'!$A23=8),IF(OR(WEEKDAY('Daily Schedule'!$B$2,2)=1,WEEKDAY('Daily Schedule'!$B$2,2)=4,WEEKDAY('Daily Schedule'!$B$2,2)=5,WEEKDAY('Daily Schedule'!$B$2,2)=7),IFERROR(1*'Daily Workforce'!$K143&gt;=3,FALSE()),IFERROR(1*'Daily Workforce'!$K143&gt;=2,FALSE())),IF(AND('Daily Schedule'!$A23&gt;=46,'Daily Schedule'!$A23&lt;=52),'Daily Workforce'!$M143="Y",IFERROR(1*'Daily Workforce'!$P143&gt;=2,FALSE()))))),1,0)</f>
        <v>0</v>
      </c>
      <c r="EY19" s="1" t="n">
        <f aca="false">IF(AND('Daily Workforce'!$N144="Y",'Daily Workforce'!$B144&lt;&gt;"",COUNTIF('Daily Schedule'!$F$5:$F22,'Daily Workforce'!$B144)=0,IF('Daily Schedule'!$A23=45,'Daily Workforce'!$J144="Y",IF(OR('Daily Schedule'!$A23=4,'Daily Schedule'!$A23=8),IF(OR(WEEKDAY('Daily Schedule'!$B$2,2)=1,WEEKDAY('Daily Schedule'!$B$2,2)=4,WEEKDAY('Daily Schedule'!$B$2,2)=5,WEEKDAY('Daily Schedule'!$B$2,2)=7),IFERROR(1*'Daily Workforce'!$K144&gt;=3,FALSE()),IFERROR(1*'Daily Workforce'!$K144&gt;=2,FALSE())),IF(AND('Daily Schedule'!$A23&gt;=46,'Daily Schedule'!$A23&lt;=52),'Daily Workforce'!$M144="Y",IFERROR(1*'Daily Workforce'!$P144&gt;=2,FALSE()))))),1,0)</f>
        <v>0</v>
      </c>
      <c r="EZ19" s="1" t="n">
        <f aca="false">IF(AND('Daily Workforce'!$N145="Y",'Daily Workforce'!$B145&lt;&gt;"",COUNTIF('Daily Schedule'!$F$5:$F22,'Daily Workforce'!$B145)=0,IF('Daily Schedule'!$A23=45,'Daily Workforce'!$J145="Y",IF(OR('Daily Schedule'!$A23=4,'Daily Schedule'!$A23=8),IF(OR(WEEKDAY('Daily Schedule'!$B$2,2)=1,WEEKDAY('Daily Schedule'!$B$2,2)=4,WEEKDAY('Daily Schedule'!$B$2,2)=5,WEEKDAY('Daily Schedule'!$B$2,2)=7),IFERROR(1*'Daily Workforce'!$K145&gt;=3,FALSE()),IFERROR(1*'Daily Workforce'!$K145&gt;=2,FALSE())),IF(AND('Daily Schedule'!$A23&gt;=46,'Daily Schedule'!$A23&lt;=52),'Daily Workforce'!$M145="Y",IFERROR(1*'Daily Workforce'!$P145&gt;=2,FALSE()))))),1,0)</f>
        <v>0</v>
      </c>
      <c r="FA19" s="1" t="n">
        <f aca="false">IF(AND('Daily Workforce'!$N146="Y",'Daily Workforce'!$B146&lt;&gt;"",COUNTIF('Daily Schedule'!$F$5:$F22,'Daily Workforce'!$B146)=0,IF('Daily Schedule'!$A23=45,'Daily Workforce'!$J146="Y",IF(OR('Daily Schedule'!$A23=4,'Daily Schedule'!$A23=8),IF(OR(WEEKDAY('Daily Schedule'!$B$2,2)=1,WEEKDAY('Daily Schedule'!$B$2,2)=4,WEEKDAY('Daily Schedule'!$B$2,2)=5,WEEKDAY('Daily Schedule'!$B$2,2)=7),IFERROR(1*'Daily Workforce'!$K146&gt;=3,FALSE()),IFERROR(1*'Daily Workforce'!$K146&gt;=2,FALSE())),IF(AND('Daily Schedule'!$A23&gt;=46,'Daily Schedule'!$A23&lt;=52),'Daily Workforce'!$M146="Y",IFERROR(1*'Daily Workforce'!$P146&gt;=2,FALSE()))))),1,0)</f>
        <v>0</v>
      </c>
      <c r="FB19" s="1" t="n">
        <f aca="false">IF(AND('Daily Workforce'!$N147="Y",'Daily Workforce'!$B147&lt;&gt;"",COUNTIF('Daily Schedule'!$F$5:$F22,'Daily Workforce'!$B147)=0,IF('Daily Schedule'!$A23=45,'Daily Workforce'!$J147="Y",IF(OR('Daily Schedule'!$A23=4,'Daily Schedule'!$A23=8),IF(OR(WEEKDAY('Daily Schedule'!$B$2,2)=1,WEEKDAY('Daily Schedule'!$B$2,2)=4,WEEKDAY('Daily Schedule'!$B$2,2)=5,WEEKDAY('Daily Schedule'!$B$2,2)=7),IFERROR(1*'Daily Workforce'!$K147&gt;=3,FALSE()),IFERROR(1*'Daily Workforce'!$K147&gt;=2,FALSE())),IF(AND('Daily Schedule'!$A23&gt;=46,'Daily Schedule'!$A23&lt;=52),'Daily Workforce'!$M147="Y",IFERROR(1*'Daily Workforce'!$P147&gt;=2,FALSE()))))),1,0)</f>
        <v>0</v>
      </c>
      <c r="FC19" s="1" t="n">
        <f aca="false">IF(AND('Daily Workforce'!$N148="Y",'Daily Workforce'!$B148&lt;&gt;"",COUNTIF('Daily Schedule'!$F$5:$F22,'Daily Workforce'!$B148)=0,IF('Daily Schedule'!$A23=45,'Daily Workforce'!$J148="Y",IF(OR('Daily Schedule'!$A23=4,'Daily Schedule'!$A23=8),IF(OR(WEEKDAY('Daily Schedule'!$B$2,2)=1,WEEKDAY('Daily Schedule'!$B$2,2)=4,WEEKDAY('Daily Schedule'!$B$2,2)=5,WEEKDAY('Daily Schedule'!$B$2,2)=7),IFERROR(1*'Daily Workforce'!$K148&gt;=3,FALSE()),IFERROR(1*'Daily Workforce'!$K148&gt;=2,FALSE())),IF(AND('Daily Schedule'!$A23&gt;=46,'Daily Schedule'!$A23&lt;=52),'Daily Workforce'!$M148="Y",IFERROR(1*'Daily Workforce'!$P148&gt;=2,FALSE()))))),1,0)</f>
        <v>0</v>
      </c>
      <c r="FD19" s="1" t="n">
        <f aca="false">IF(AND('Daily Workforce'!$N149="Y",'Daily Workforce'!$B149&lt;&gt;"",COUNTIF('Daily Schedule'!$F$5:$F22,'Daily Workforce'!$B149)=0,IF('Daily Schedule'!$A23=45,'Daily Workforce'!$J149="Y",IF(OR('Daily Schedule'!$A23=4,'Daily Schedule'!$A23=8),IF(OR(WEEKDAY('Daily Schedule'!$B$2,2)=1,WEEKDAY('Daily Schedule'!$B$2,2)=4,WEEKDAY('Daily Schedule'!$B$2,2)=5,WEEKDAY('Daily Schedule'!$B$2,2)=7),IFERROR(1*'Daily Workforce'!$K149&gt;=3,FALSE()),IFERROR(1*'Daily Workforce'!$K149&gt;=2,FALSE())),IF(AND('Daily Schedule'!$A23&gt;=46,'Daily Schedule'!$A23&lt;=52),'Daily Workforce'!$M149="Y",IFERROR(1*'Daily Workforce'!$P149&gt;=2,FALSE()))))),1,0)</f>
        <v>0</v>
      </c>
      <c r="FE19" s="1" t="n">
        <f aca="false">IF(AND('Daily Workforce'!$N150="Y",'Daily Workforce'!$B150&lt;&gt;"",COUNTIF('Daily Schedule'!$F$5:$F22,'Daily Workforce'!$B150)=0,IF('Daily Schedule'!$A23=45,'Daily Workforce'!$J150="Y",IF(OR('Daily Schedule'!$A23=4,'Daily Schedule'!$A23=8),IF(OR(WEEKDAY('Daily Schedule'!$B$2,2)=1,WEEKDAY('Daily Schedule'!$B$2,2)=4,WEEKDAY('Daily Schedule'!$B$2,2)=5,WEEKDAY('Daily Schedule'!$B$2,2)=7),IFERROR(1*'Daily Workforce'!$K150&gt;=3,FALSE()),IFERROR(1*'Daily Workforce'!$K150&gt;=2,FALSE())),IF(AND('Daily Schedule'!$A23&gt;=46,'Daily Schedule'!$A23&lt;=52),'Daily Workforce'!$M150="Y",IFERROR(1*'Daily Workforce'!$P150&gt;=2,FALSE()))))),1,0)</f>
        <v>0</v>
      </c>
      <c r="FF19" s="1" t="n">
        <f aca="false">IF(AND('Daily Workforce'!$N151="Y",'Daily Workforce'!$B151&lt;&gt;"",COUNTIF('Daily Schedule'!$F$5:$F22,'Daily Workforce'!$B151)=0,IF('Daily Schedule'!$A23=45,'Daily Workforce'!$J151="Y",IF(OR('Daily Schedule'!$A23=4,'Daily Schedule'!$A23=8),IF(OR(WEEKDAY('Daily Schedule'!$B$2,2)=1,WEEKDAY('Daily Schedule'!$B$2,2)=4,WEEKDAY('Daily Schedule'!$B$2,2)=5,WEEKDAY('Daily Schedule'!$B$2,2)=7),IFERROR(1*'Daily Workforce'!$K151&gt;=3,FALSE()),IFERROR(1*'Daily Workforce'!$K151&gt;=2,FALSE())),IF(AND('Daily Schedule'!$A23&gt;=46,'Daily Schedule'!$A23&lt;=52),'Daily Workforce'!$M151="Y",IFERROR(1*'Daily Workforce'!$P151&gt;=2,FALSE()))))),1,0)</f>
        <v>0</v>
      </c>
      <c r="FG19" s="1" t="n">
        <f aca="false">IF(AND('Daily Workforce'!$N152="Y",'Daily Workforce'!$B152&lt;&gt;"",COUNTIF('Daily Schedule'!$F$5:$F22,'Daily Workforce'!$B152)=0,IF('Daily Schedule'!$A23=45,'Daily Workforce'!$J152="Y",IF(OR('Daily Schedule'!$A23=4,'Daily Schedule'!$A23=8),IF(OR(WEEKDAY('Daily Schedule'!$B$2,2)=1,WEEKDAY('Daily Schedule'!$B$2,2)=4,WEEKDAY('Daily Schedule'!$B$2,2)=5,WEEKDAY('Daily Schedule'!$B$2,2)=7),IFERROR(1*'Daily Workforce'!$K152&gt;=3,FALSE()),IFERROR(1*'Daily Workforce'!$K152&gt;=2,FALSE())),IF(AND('Daily Schedule'!$A23&gt;=46,'Daily Schedule'!$A23&lt;=52),'Daily Workforce'!$M152="Y",IFERROR(1*'Daily Workforce'!$P152&gt;=2,FALSE()))))),1,0)</f>
        <v>0</v>
      </c>
      <c r="FH19" s="1" t="n">
        <f aca="false">IF(AND('Daily Workforce'!$N153="Y",'Daily Workforce'!$B153&lt;&gt;"",COUNTIF('Daily Schedule'!$F$5:$F22,'Daily Workforce'!$B153)=0,IF('Daily Schedule'!$A23=45,'Daily Workforce'!$J153="Y",IF(OR('Daily Schedule'!$A23=4,'Daily Schedule'!$A23=8),IF(OR(WEEKDAY('Daily Schedule'!$B$2,2)=1,WEEKDAY('Daily Schedule'!$B$2,2)=4,WEEKDAY('Daily Schedule'!$B$2,2)=5,WEEKDAY('Daily Schedule'!$B$2,2)=7),IFERROR(1*'Daily Workforce'!$K153&gt;=3,FALSE()),IFERROR(1*'Daily Workforce'!$K153&gt;=2,FALSE())),IF(AND('Daily Schedule'!$A23&gt;=46,'Daily Schedule'!$A23&lt;=52),'Daily Workforce'!$M153="Y",IFERROR(1*'Daily Workforce'!$P153&gt;=2,FALSE()))))),1,0)</f>
        <v>0</v>
      </c>
      <c r="FI19" s="1" t="n">
        <f aca="false">IF(AND('Daily Workforce'!$N154="Y",'Daily Workforce'!$B154&lt;&gt;"",COUNTIF('Daily Schedule'!$F$5:$F22,'Daily Workforce'!$B154)=0,IF('Daily Schedule'!$A23=45,'Daily Workforce'!$J154="Y",IF(OR('Daily Schedule'!$A23=4,'Daily Schedule'!$A23=8),IF(OR(WEEKDAY('Daily Schedule'!$B$2,2)=1,WEEKDAY('Daily Schedule'!$B$2,2)=4,WEEKDAY('Daily Schedule'!$B$2,2)=5,WEEKDAY('Daily Schedule'!$B$2,2)=7),IFERROR(1*'Daily Workforce'!$K154&gt;=3,FALSE()),IFERROR(1*'Daily Workforce'!$K154&gt;=2,FALSE())),IF(AND('Daily Schedule'!$A23&gt;=46,'Daily Schedule'!$A23&lt;=52),'Daily Workforce'!$M154="Y",IFERROR(1*'Daily Workforce'!$P154&gt;=2,FALSE()))))),1,0)</f>
        <v>0</v>
      </c>
      <c r="FJ19" s="1" t="n">
        <f aca="false">IF(AND('Daily Workforce'!$N155="Y",'Daily Workforce'!$B155&lt;&gt;"",COUNTIF('Daily Schedule'!$F$5:$F22,'Daily Workforce'!$B155)=0,IF('Daily Schedule'!$A23=45,'Daily Workforce'!$J155="Y",IF(OR('Daily Schedule'!$A23=4,'Daily Schedule'!$A23=8),IF(OR(WEEKDAY('Daily Schedule'!$B$2,2)=1,WEEKDAY('Daily Schedule'!$B$2,2)=4,WEEKDAY('Daily Schedule'!$B$2,2)=5,WEEKDAY('Daily Schedule'!$B$2,2)=7),IFERROR(1*'Daily Workforce'!$K155&gt;=3,FALSE()),IFERROR(1*'Daily Workforce'!$K155&gt;=2,FALSE())),IF(AND('Daily Schedule'!$A23&gt;=46,'Daily Schedule'!$A23&lt;=52),'Daily Workforce'!$M155="Y",IFERROR(1*'Daily Workforce'!$P155&gt;=2,FALSE()))))),1,0)</f>
        <v>0</v>
      </c>
      <c r="FK19" s="1" t="n">
        <f aca="false">IF(AND('Daily Workforce'!$N156="Y",'Daily Workforce'!$B156&lt;&gt;"",COUNTIF('Daily Schedule'!$F$5:$F22,'Daily Workforce'!$B156)=0,IF('Daily Schedule'!$A23=45,'Daily Workforce'!$J156="Y",IF(OR('Daily Schedule'!$A23=4,'Daily Schedule'!$A23=8),IF(OR(WEEKDAY('Daily Schedule'!$B$2,2)=1,WEEKDAY('Daily Schedule'!$B$2,2)=4,WEEKDAY('Daily Schedule'!$B$2,2)=5,WEEKDAY('Daily Schedule'!$B$2,2)=7),IFERROR(1*'Daily Workforce'!$K156&gt;=3,FALSE()),IFERROR(1*'Daily Workforce'!$K156&gt;=2,FALSE())),IF(AND('Daily Schedule'!$A23&gt;=46,'Daily Schedule'!$A23&lt;=52),'Daily Workforce'!$M156="Y",IFERROR(1*'Daily Workforce'!$P156&gt;=2,FALSE()))))),1,0)</f>
        <v>0</v>
      </c>
      <c r="FL19" s="1" t="n">
        <f aca="false">IF(AND('Daily Workforce'!$N157="Y",'Daily Workforce'!$B157&lt;&gt;"",COUNTIF('Daily Schedule'!$F$5:$F22,'Daily Workforce'!$B157)=0,IF('Daily Schedule'!$A23=45,'Daily Workforce'!$J157="Y",IF(OR('Daily Schedule'!$A23=4,'Daily Schedule'!$A23=8),IF(OR(WEEKDAY('Daily Schedule'!$B$2,2)=1,WEEKDAY('Daily Schedule'!$B$2,2)=4,WEEKDAY('Daily Schedule'!$B$2,2)=5,WEEKDAY('Daily Schedule'!$B$2,2)=7),IFERROR(1*'Daily Workforce'!$K157&gt;=3,FALSE()),IFERROR(1*'Daily Workforce'!$K157&gt;=2,FALSE())),IF(AND('Daily Schedule'!$A23&gt;=46,'Daily Schedule'!$A23&lt;=52),'Daily Workforce'!$M157="Y",IFERROR(1*'Daily Workforce'!$P157&gt;=2,FALSE()))))),1,0)</f>
        <v>0</v>
      </c>
      <c r="FM19" s="1" t="n">
        <f aca="false">IF(AND('Daily Workforce'!$N158="Y",'Daily Workforce'!$B158&lt;&gt;"",COUNTIF('Daily Schedule'!$F$5:$F22,'Daily Workforce'!$B158)=0,IF('Daily Schedule'!$A23=45,'Daily Workforce'!$J158="Y",IF(OR('Daily Schedule'!$A23=4,'Daily Schedule'!$A23=8),IF(OR(WEEKDAY('Daily Schedule'!$B$2,2)=1,WEEKDAY('Daily Schedule'!$B$2,2)=4,WEEKDAY('Daily Schedule'!$B$2,2)=5,WEEKDAY('Daily Schedule'!$B$2,2)=7),IFERROR(1*'Daily Workforce'!$K158&gt;=3,FALSE()),IFERROR(1*'Daily Workforce'!$K158&gt;=2,FALSE())),IF(AND('Daily Schedule'!$A23&gt;=46,'Daily Schedule'!$A23&lt;=52),'Daily Workforce'!$M158="Y",IFERROR(1*'Daily Workforce'!$P158&gt;=2,FALSE()))))),1,0)</f>
        <v>0</v>
      </c>
      <c r="FN19" s="1" t="n">
        <f aca="false">IF(AND('Daily Workforce'!$N159="Y",'Daily Workforce'!$B159&lt;&gt;"",COUNTIF('Daily Schedule'!$F$5:$F22,'Daily Workforce'!$B159)=0,IF('Daily Schedule'!$A23=45,'Daily Workforce'!$J159="Y",IF(OR('Daily Schedule'!$A23=4,'Daily Schedule'!$A23=8),IF(OR(WEEKDAY('Daily Schedule'!$B$2,2)=1,WEEKDAY('Daily Schedule'!$B$2,2)=4,WEEKDAY('Daily Schedule'!$B$2,2)=5,WEEKDAY('Daily Schedule'!$B$2,2)=7),IFERROR(1*'Daily Workforce'!$K159&gt;=3,FALSE()),IFERROR(1*'Daily Workforce'!$K159&gt;=2,FALSE())),IF(AND('Daily Schedule'!$A23&gt;=46,'Daily Schedule'!$A23&lt;=52),'Daily Workforce'!$M159="Y",IFERROR(1*'Daily Workforce'!$P159&gt;=2,FALSE()))))),1,0)</f>
        <v>0</v>
      </c>
      <c r="FO19" s="1" t="n">
        <f aca="false">IF(AND('Daily Workforce'!$N160="Y",'Daily Workforce'!$B160&lt;&gt;"",COUNTIF('Daily Schedule'!$F$5:$F22,'Daily Workforce'!$B160)=0,IF('Daily Schedule'!$A23=45,'Daily Workforce'!$J160="Y",IF(OR('Daily Schedule'!$A23=4,'Daily Schedule'!$A23=8),IF(OR(WEEKDAY('Daily Schedule'!$B$2,2)=1,WEEKDAY('Daily Schedule'!$B$2,2)=4,WEEKDAY('Daily Schedule'!$B$2,2)=5,WEEKDAY('Daily Schedule'!$B$2,2)=7),IFERROR(1*'Daily Workforce'!$K160&gt;=3,FALSE()),IFERROR(1*'Daily Workforce'!$K160&gt;=2,FALSE())),IF(AND('Daily Schedule'!$A23&gt;=46,'Daily Schedule'!$A23&lt;=52),'Daily Workforce'!$M160="Y",IFERROR(1*'Daily Workforce'!$P160&gt;=2,FALSE()))))),1,0)</f>
        <v>0</v>
      </c>
      <c r="FP19" s="1" t="n">
        <f aca="false">IF(AND('Daily Workforce'!$N161="Y",'Daily Workforce'!$B161&lt;&gt;"",COUNTIF('Daily Schedule'!$F$5:$F22,'Daily Workforce'!$B161)=0,IF('Daily Schedule'!$A23=45,'Daily Workforce'!$J161="Y",IF(OR('Daily Schedule'!$A23=4,'Daily Schedule'!$A23=8),IF(OR(WEEKDAY('Daily Schedule'!$B$2,2)=1,WEEKDAY('Daily Schedule'!$B$2,2)=4,WEEKDAY('Daily Schedule'!$B$2,2)=5,WEEKDAY('Daily Schedule'!$B$2,2)=7),IFERROR(1*'Daily Workforce'!$K161&gt;=3,FALSE()),IFERROR(1*'Daily Workforce'!$K161&gt;=2,FALSE())),IF(AND('Daily Schedule'!$A23&gt;=46,'Daily Schedule'!$A23&lt;=52),'Daily Workforce'!$M161="Y",IFERROR(1*'Daily Workforce'!$P161&gt;=2,FALSE()))))),1,0)</f>
        <v>0</v>
      </c>
      <c r="FQ19" s="1" t="n">
        <f aca="false">IF(AND('Daily Workforce'!$N162="Y",'Daily Workforce'!$B162&lt;&gt;"",COUNTIF('Daily Schedule'!$F$5:$F22,'Daily Workforce'!$B162)=0,IF('Daily Schedule'!$A23=45,'Daily Workforce'!$J162="Y",IF(OR('Daily Schedule'!$A23=4,'Daily Schedule'!$A23=8),IF(OR(WEEKDAY('Daily Schedule'!$B$2,2)=1,WEEKDAY('Daily Schedule'!$B$2,2)=4,WEEKDAY('Daily Schedule'!$B$2,2)=5,WEEKDAY('Daily Schedule'!$B$2,2)=7),IFERROR(1*'Daily Workforce'!$K162&gt;=3,FALSE()),IFERROR(1*'Daily Workforce'!$K162&gt;=2,FALSE())),IF(AND('Daily Schedule'!$A23&gt;=46,'Daily Schedule'!$A23&lt;=52),'Daily Workforce'!$M162="Y",IFERROR(1*'Daily Workforce'!$P162&gt;=2,FALSE()))))),1,0)</f>
        <v>0</v>
      </c>
      <c r="FR19" s="1" t="n">
        <f aca="false">IF(AND('Daily Workforce'!$N163="Y",'Daily Workforce'!$B163&lt;&gt;"",COUNTIF('Daily Schedule'!$F$5:$F22,'Daily Workforce'!$B163)=0,IF('Daily Schedule'!$A23=45,'Daily Workforce'!$J163="Y",IF(OR('Daily Schedule'!$A23=4,'Daily Schedule'!$A23=8),IF(OR(WEEKDAY('Daily Schedule'!$B$2,2)=1,WEEKDAY('Daily Schedule'!$B$2,2)=4,WEEKDAY('Daily Schedule'!$B$2,2)=5,WEEKDAY('Daily Schedule'!$B$2,2)=7),IFERROR(1*'Daily Workforce'!$K163&gt;=3,FALSE()),IFERROR(1*'Daily Workforce'!$K163&gt;=2,FALSE())),IF(AND('Daily Schedule'!$A23&gt;=46,'Daily Schedule'!$A23&lt;=52),'Daily Workforce'!$M163="Y",IFERROR(1*'Daily Workforce'!$P163&gt;=2,FALSE()))))),1,0)</f>
        <v>0</v>
      </c>
      <c r="FS19" s="1" t="n">
        <f aca="false">IF(AND('Daily Workforce'!$N164="Y",'Daily Workforce'!$B164&lt;&gt;"",COUNTIF('Daily Schedule'!$F$5:$F22,'Daily Workforce'!$B164)=0,IF('Daily Schedule'!$A23=45,'Daily Workforce'!$J164="Y",IF(OR('Daily Schedule'!$A23=4,'Daily Schedule'!$A23=8),IF(OR(WEEKDAY('Daily Schedule'!$B$2,2)=1,WEEKDAY('Daily Schedule'!$B$2,2)=4,WEEKDAY('Daily Schedule'!$B$2,2)=5,WEEKDAY('Daily Schedule'!$B$2,2)=7),IFERROR(1*'Daily Workforce'!$K164&gt;=3,FALSE()),IFERROR(1*'Daily Workforce'!$K164&gt;=2,FALSE())),IF(AND('Daily Schedule'!$A23&gt;=46,'Daily Schedule'!$A23&lt;=52),'Daily Workforce'!$M164="Y",IFERROR(1*'Daily Workforce'!$P164&gt;=2,FALSE()))))),1,0)</f>
        <v>0</v>
      </c>
      <c r="FT19" s="1" t="n">
        <f aca="false">IF(AND('Daily Workforce'!$N165="Y",'Daily Workforce'!$B165&lt;&gt;"",COUNTIF('Daily Schedule'!$F$5:$F22,'Daily Workforce'!$B165)=0,IF('Daily Schedule'!$A23=45,'Daily Workforce'!$J165="Y",IF(OR('Daily Schedule'!$A23=4,'Daily Schedule'!$A23=8),IF(OR(WEEKDAY('Daily Schedule'!$B$2,2)=1,WEEKDAY('Daily Schedule'!$B$2,2)=4,WEEKDAY('Daily Schedule'!$B$2,2)=5,WEEKDAY('Daily Schedule'!$B$2,2)=7),IFERROR(1*'Daily Workforce'!$K165&gt;=3,FALSE()),IFERROR(1*'Daily Workforce'!$K165&gt;=2,FALSE())),IF(AND('Daily Schedule'!$A23&gt;=46,'Daily Schedule'!$A23&lt;=52),'Daily Workforce'!$M165="Y",IFERROR(1*'Daily Workforce'!$P165&gt;=2,FALSE()))))),1,0)</f>
        <v>0</v>
      </c>
      <c r="FU19" s="1" t="n">
        <f aca="false">IF(AND('Daily Workforce'!$N166="Y",'Daily Workforce'!$B166&lt;&gt;"",COUNTIF('Daily Schedule'!$F$5:$F22,'Daily Workforce'!$B166)=0,IF('Daily Schedule'!$A23=45,'Daily Workforce'!$J166="Y",IF(OR('Daily Schedule'!$A23=4,'Daily Schedule'!$A23=8),IF(OR(WEEKDAY('Daily Schedule'!$B$2,2)=1,WEEKDAY('Daily Schedule'!$B$2,2)=4,WEEKDAY('Daily Schedule'!$B$2,2)=5,WEEKDAY('Daily Schedule'!$B$2,2)=7),IFERROR(1*'Daily Workforce'!$K166&gt;=3,FALSE()),IFERROR(1*'Daily Workforce'!$K166&gt;=2,FALSE())),IF(AND('Daily Schedule'!$A23&gt;=46,'Daily Schedule'!$A23&lt;=52),'Daily Workforce'!$M166="Y",IFERROR(1*'Daily Workforce'!$P166&gt;=2,FALSE()))))),1,0)</f>
        <v>0</v>
      </c>
      <c r="FV19" s="1" t="n">
        <f aca="false">IF(AND('Daily Workforce'!$N167="Y",'Daily Workforce'!$B167&lt;&gt;"",COUNTIF('Daily Schedule'!$F$5:$F22,'Daily Workforce'!$B167)=0,IF('Daily Schedule'!$A23=45,'Daily Workforce'!$J167="Y",IF(OR('Daily Schedule'!$A23=4,'Daily Schedule'!$A23=8),IF(OR(WEEKDAY('Daily Schedule'!$B$2,2)=1,WEEKDAY('Daily Schedule'!$B$2,2)=4,WEEKDAY('Daily Schedule'!$B$2,2)=5,WEEKDAY('Daily Schedule'!$B$2,2)=7),IFERROR(1*'Daily Workforce'!$K167&gt;=3,FALSE()),IFERROR(1*'Daily Workforce'!$K167&gt;=2,FALSE())),IF(AND('Daily Schedule'!$A23&gt;=46,'Daily Schedule'!$A23&lt;=52),'Daily Workforce'!$M167="Y",IFERROR(1*'Daily Workforce'!$P167&gt;=2,FALSE()))))),1,0)</f>
        <v>0</v>
      </c>
      <c r="FW19" s="1" t="n">
        <f aca="false">IF(AND('Daily Workforce'!$N168="Y",'Daily Workforce'!$B168&lt;&gt;"",COUNTIF('Daily Schedule'!$F$5:$F22,'Daily Workforce'!$B168)=0,IF('Daily Schedule'!$A23=45,'Daily Workforce'!$J168="Y",IF(OR('Daily Schedule'!$A23=4,'Daily Schedule'!$A23=8),IF(OR(WEEKDAY('Daily Schedule'!$B$2,2)=1,WEEKDAY('Daily Schedule'!$B$2,2)=4,WEEKDAY('Daily Schedule'!$B$2,2)=5,WEEKDAY('Daily Schedule'!$B$2,2)=7),IFERROR(1*'Daily Workforce'!$K168&gt;=3,FALSE()),IFERROR(1*'Daily Workforce'!$K168&gt;=2,FALSE())),IF(AND('Daily Schedule'!$A23&gt;=46,'Daily Schedule'!$A23&lt;=52),'Daily Workforce'!$M168="Y",IFERROR(1*'Daily Workforce'!$P168&gt;=2,FALSE()))))),1,0)</f>
        <v>0</v>
      </c>
      <c r="FX19" s="1" t="n">
        <f aca="false">IF(AND('Daily Workforce'!$N169="Y",'Daily Workforce'!$B169&lt;&gt;"",COUNTIF('Daily Schedule'!$F$5:$F22,'Daily Workforce'!$B169)=0,IF('Daily Schedule'!$A23=45,'Daily Workforce'!$J169="Y",IF(OR('Daily Schedule'!$A23=4,'Daily Schedule'!$A23=8),IF(OR(WEEKDAY('Daily Schedule'!$B$2,2)=1,WEEKDAY('Daily Schedule'!$B$2,2)=4,WEEKDAY('Daily Schedule'!$B$2,2)=5,WEEKDAY('Daily Schedule'!$B$2,2)=7),IFERROR(1*'Daily Workforce'!$K169&gt;=3,FALSE()),IFERROR(1*'Daily Workforce'!$K169&gt;=2,FALSE())),IF(AND('Daily Schedule'!$A23&gt;=46,'Daily Schedule'!$A23&lt;=52),'Daily Workforce'!$M169="Y",IFERROR(1*'Daily Workforce'!$P169&gt;=2,FALSE()))))),1,0)</f>
        <v>0</v>
      </c>
      <c r="FY19" s="1" t="n">
        <f aca="false">IF(AND('Daily Workforce'!$N170="Y",'Daily Workforce'!$B170&lt;&gt;"",COUNTIF('Daily Schedule'!$F$5:$F22,'Daily Workforce'!$B170)=0,IF('Daily Schedule'!$A23=45,'Daily Workforce'!$J170="Y",IF(OR('Daily Schedule'!$A23=4,'Daily Schedule'!$A23=8),IF(OR(WEEKDAY('Daily Schedule'!$B$2,2)=1,WEEKDAY('Daily Schedule'!$B$2,2)=4,WEEKDAY('Daily Schedule'!$B$2,2)=5,WEEKDAY('Daily Schedule'!$B$2,2)=7),IFERROR(1*'Daily Workforce'!$K170&gt;=3,FALSE()),IFERROR(1*'Daily Workforce'!$K170&gt;=2,FALSE())),IF(AND('Daily Schedule'!$A23&gt;=46,'Daily Schedule'!$A23&lt;=52),'Daily Workforce'!$M170="Y",IFERROR(1*'Daily Workforce'!$P170&gt;=2,FALSE()))))),1,0)</f>
        <v>0</v>
      </c>
      <c r="FZ19" s="1" t="n">
        <f aca="false">IF(AND('Daily Workforce'!$N171="Y",'Daily Workforce'!$B171&lt;&gt;"",COUNTIF('Daily Schedule'!$F$5:$F22,'Daily Workforce'!$B171)=0,IF('Daily Schedule'!$A23=45,'Daily Workforce'!$J171="Y",IF(OR('Daily Schedule'!$A23=4,'Daily Schedule'!$A23=8),IF(OR(WEEKDAY('Daily Schedule'!$B$2,2)=1,WEEKDAY('Daily Schedule'!$B$2,2)=4,WEEKDAY('Daily Schedule'!$B$2,2)=5,WEEKDAY('Daily Schedule'!$B$2,2)=7),IFERROR(1*'Daily Workforce'!$K171&gt;=3,FALSE()),IFERROR(1*'Daily Workforce'!$K171&gt;=2,FALSE())),IF(AND('Daily Schedule'!$A23&gt;=46,'Daily Schedule'!$A23&lt;=52),'Daily Workforce'!$M171="Y",IFERROR(1*'Daily Workforce'!$P171&gt;=2,FALSE()))))),1,0)</f>
        <v>0</v>
      </c>
      <c r="GA19" s="1" t="n">
        <f aca="false">IF(AND('Daily Workforce'!$N172="Y",'Daily Workforce'!$B172&lt;&gt;"",COUNTIF('Daily Schedule'!$F$5:$F22,'Daily Workforce'!$B172)=0,IF('Daily Schedule'!$A23=45,'Daily Workforce'!$J172="Y",IF(OR('Daily Schedule'!$A23=4,'Daily Schedule'!$A23=8),IF(OR(WEEKDAY('Daily Schedule'!$B$2,2)=1,WEEKDAY('Daily Schedule'!$B$2,2)=4,WEEKDAY('Daily Schedule'!$B$2,2)=5,WEEKDAY('Daily Schedule'!$B$2,2)=7),IFERROR(1*'Daily Workforce'!$K172&gt;=3,FALSE()),IFERROR(1*'Daily Workforce'!$K172&gt;=2,FALSE())),IF(AND('Daily Schedule'!$A23&gt;=46,'Daily Schedule'!$A23&lt;=52),'Daily Workforce'!$M172="Y",IFERROR(1*'Daily Workforce'!$P172&gt;=2,FALSE()))))),1,0)</f>
        <v>0</v>
      </c>
      <c r="GB19" s="1" t="n">
        <f aca="false">IF(AND('Daily Workforce'!$N173="Y",'Daily Workforce'!$B173&lt;&gt;"",COUNTIF('Daily Schedule'!$F$5:$F22,'Daily Workforce'!$B173)=0,IF('Daily Schedule'!$A23=45,'Daily Workforce'!$J173="Y",IF(OR('Daily Schedule'!$A23=4,'Daily Schedule'!$A23=8),IF(OR(WEEKDAY('Daily Schedule'!$B$2,2)=1,WEEKDAY('Daily Schedule'!$B$2,2)=4,WEEKDAY('Daily Schedule'!$B$2,2)=5,WEEKDAY('Daily Schedule'!$B$2,2)=7),IFERROR(1*'Daily Workforce'!$K173&gt;=3,FALSE()),IFERROR(1*'Daily Workforce'!$K173&gt;=2,FALSE())),IF(AND('Daily Schedule'!$A23&gt;=46,'Daily Schedule'!$A23&lt;=52),'Daily Workforce'!$M173="Y",IFERROR(1*'Daily Workforce'!$P173&gt;=2,FALSE()))))),1,0)</f>
        <v>0</v>
      </c>
      <c r="GC19" s="1" t="n">
        <f aca="false">IF(AND('Daily Workforce'!$N174="Y",'Daily Workforce'!$B174&lt;&gt;"",COUNTIF('Daily Schedule'!$F$5:$F22,'Daily Workforce'!$B174)=0,IF('Daily Schedule'!$A23=45,'Daily Workforce'!$J174="Y",IF(OR('Daily Schedule'!$A23=4,'Daily Schedule'!$A23=8),IF(OR(WEEKDAY('Daily Schedule'!$B$2,2)=1,WEEKDAY('Daily Schedule'!$B$2,2)=4,WEEKDAY('Daily Schedule'!$B$2,2)=5,WEEKDAY('Daily Schedule'!$B$2,2)=7),IFERROR(1*'Daily Workforce'!$K174&gt;=3,FALSE()),IFERROR(1*'Daily Workforce'!$K174&gt;=2,FALSE())),IF(AND('Daily Schedule'!$A23&gt;=46,'Daily Schedule'!$A23&lt;=52),'Daily Workforce'!$M174="Y",IFERROR(1*'Daily Workforce'!$P174&gt;=2,FALSE()))))),1,0)</f>
        <v>0</v>
      </c>
      <c r="GD19" s="1" t="n">
        <f aca="false">IF(AND('Daily Workforce'!$N175="Y",'Daily Workforce'!$B175&lt;&gt;"",COUNTIF('Daily Schedule'!$F$5:$F22,'Daily Workforce'!$B175)=0,IF('Daily Schedule'!$A23=45,'Daily Workforce'!$J175="Y",IF(OR('Daily Schedule'!$A23=4,'Daily Schedule'!$A23=8),IF(OR(WEEKDAY('Daily Schedule'!$B$2,2)=1,WEEKDAY('Daily Schedule'!$B$2,2)=4,WEEKDAY('Daily Schedule'!$B$2,2)=5,WEEKDAY('Daily Schedule'!$B$2,2)=7),IFERROR(1*'Daily Workforce'!$K175&gt;=3,FALSE()),IFERROR(1*'Daily Workforce'!$K175&gt;=2,FALSE())),IF(AND('Daily Schedule'!$A23&gt;=46,'Daily Schedule'!$A23&lt;=52),'Daily Workforce'!$M175="Y",IFERROR(1*'Daily Workforce'!$P175&gt;=2,FALSE()))))),1,0)</f>
        <v>0</v>
      </c>
      <c r="GE19" s="1" t="n">
        <f aca="false">IF(AND('Daily Workforce'!$N176="Y",'Daily Workforce'!$B176&lt;&gt;"",COUNTIF('Daily Schedule'!$F$5:$F22,'Daily Workforce'!$B176)=0,IF('Daily Schedule'!$A23=45,'Daily Workforce'!$J176="Y",IF(OR('Daily Schedule'!$A23=4,'Daily Schedule'!$A23=8),IF(OR(WEEKDAY('Daily Schedule'!$B$2,2)=1,WEEKDAY('Daily Schedule'!$B$2,2)=4,WEEKDAY('Daily Schedule'!$B$2,2)=5,WEEKDAY('Daily Schedule'!$B$2,2)=7),IFERROR(1*'Daily Workforce'!$K176&gt;=3,FALSE()),IFERROR(1*'Daily Workforce'!$K176&gt;=2,FALSE())),IF(AND('Daily Schedule'!$A23&gt;=46,'Daily Schedule'!$A23&lt;=52),'Daily Workforce'!$M176="Y",IFERROR(1*'Daily Workforce'!$P176&gt;=2,FALSE()))))),1,0)</f>
        <v>0</v>
      </c>
      <c r="GF19" s="1" t="n">
        <f aca="false">IF(AND('Daily Workforce'!$N177="Y",'Daily Workforce'!$B177&lt;&gt;"",COUNTIF('Daily Schedule'!$F$5:$F22,'Daily Workforce'!$B177)=0,IF('Daily Schedule'!$A23=45,'Daily Workforce'!$J177="Y",IF(OR('Daily Schedule'!$A23=4,'Daily Schedule'!$A23=8),IF(OR(WEEKDAY('Daily Schedule'!$B$2,2)=1,WEEKDAY('Daily Schedule'!$B$2,2)=4,WEEKDAY('Daily Schedule'!$B$2,2)=5,WEEKDAY('Daily Schedule'!$B$2,2)=7),IFERROR(1*'Daily Workforce'!$K177&gt;=3,FALSE()),IFERROR(1*'Daily Workforce'!$K177&gt;=2,FALSE())),IF(AND('Daily Schedule'!$A23&gt;=46,'Daily Schedule'!$A23&lt;=52),'Daily Workforce'!$M177="Y",IFERROR(1*'Daily Workforce'!$P177&gt;=2,FALSE()))))),1,0)</f>
        <v>0</v>
      </c>
      <c r="GG19" s="1" t="n">
        <f aca="false">IF(AND('Daily Workforce'!$N178="Y",'Daily Workforce'!$B178&lt;&gt;"",COUNTIF('Daily Schedule'!$F$5:$F22,'Daily Workforce'!$B178)=0,IF('Daily Schedule'!$A23=45,'Daily Workforce'!$J178="Y",IF(OR('Daily Schedule'!$A23=4,'Daily Schedule'!$A23=8),IF(OR(WEEKDAY('Daily Schedule'!$B$2,2)=1,WEEKDAY('Daily Schedule'!$B$2,2)=4,WEEKDAY('Daily Schedule'!$B$2,2)=5,WEEKDAY('Daily Schedule'!$B$2,2)=7),IFERROR(1*'Daily Workforce'!$K178&gt;=3,FALSE()),IFERROR(1*'Daily Workforce'!$K178&gt;=2,FALSE())),IF(AND('Daily Schedule'!$A23&gt;=46,'Daily Schedule'!$A23&lt;=52),'Daily Workforce'!$M178="Y",IFERROR(1*'Daily Workforce'!$P178&gt;=2,FALSE()))))),1,0)</f>
        <v>0</v>
      </c>
      <c r="GH19" s="1" t="n">
        <f aca="false">IF(AND('Daily Workforce'!$N179="Y",'Daily Workforce'!$B179&lt;&gt;"",COUNTIF('Daily Schedule'!$F$5:$F22,'Daily Workforce'!$B179)=0,IF('Daily Schedule'!$A23=45,'Daily Workforce'!$J179="Y",IF(OR('Daily Schedule'!$A23=4,'Daily Schedule'!$A23=8),IF(OR(WEEKDAY('Daily Schedule'!$B$2,2)=1,WEEKDAY('Daily Schedule'!$B$2,2)=4,WEEKDAY('Daily Schedule'!$B$2,2)=5,WEEKDAY('Daily Schedule'!$B$2,2)=7),IFERROR(1*'Daily Workforce'!$K179&gt;=3,FALSE()),IFERROR(1*'Daily Workforce'!$K179&gt;=2,FALSE())),IF(AND('Daily Schedule'!$A23&gt;=46,'Daily Schedule'!$A23&lt;=52),'Daily Workforce'!$M179="Y",IFERROR(1*'Daily Workforce'!$P179&gt;=2,FALSE()))))),1,0)</f>
        <v>0</v>
      </c>
      <c r="GI19" s="1" t="n">
        <f aca="false">IF(AND('Daily Workforce'!$N180="Y",'Daily Workforce'!$B180&lt;&gt;"",COUNTIF('Daily Schedule'!$F$5:$F22,'Daily Workforce'!$B180)=0,IF('Daily Schedule'!$A23=45,'Daily Workforce'!$J180="Y",IF(OR('Daily Schedule'!$A23=4,'Daily Schedule'!$A23=8),IF(OR(WEEKDAY('Daily Schedule'!$B$2,2)=1,WEEKDAY('Daily Schedule'!$B$2,2)=4,WEEKDAY('Daily Schedule'!$B$2,2)=5,WEEKDAY('Daily Schedule'!$B$2,2)=7),IFERROR(1*'Daily Workforce'!$K180&gt;=3,FALSE()),IFERROR(1*'Daily Workforce'!$K180&gt;=2,FALSE())),IF(AND('Daily Schedule'!$A23&gt;=46,'Daily Schedule'!$A23&lt;=52),'Daily Workforce'!$M180="Y",IFERROR(1*'Daily Workforce'!$P180&gt;=2,FALSE()))))),1,0)</f>
        <v>0</v>
      </c>
      <c r="GJ19" s="1" t="n">
        <f aca="false">IF(AND('Daily Workforce'!$N181="Y",'Daily Workforce'!$B181&lt;&gt;"",COUNTIF('Daily Schedule'!$F$5:$F22,'Daily Workforce'!$B181)=0,IF('Daily Schedule'!$A23=45,'Daily Workforce'!$J181="Y",IF(OR('Daily Schedule'!$A23=4,'Daily Schedule'!$A23=8),IF(OR(WEEKDAY('Daily Schedule'!$B$2,2)=1,WEEKDAY('Daily Schedule'!$B$2,2)=4,WEEKDAY('Daily Schedule'!$B$2,2)=5,WEEKDAY('Daily Schedule'!$B$2,2)=7),IFERROR(1*'Daily Workforce'!$K181&gt;=3,FALSE()),IFERROR(1*'Daily Workforce'!$K181&gt;=2,FALSE())),IF(AND('Daily Schedule'!$A23&gt;=46,'Daily Schedule'!$A23&lt;=52),'Daily Workforce'!$M181="Y",IFERROR(1*'Daily Workforce'!$P181&gt;=2,FALSE()))))),1,0)</f>
        <v>0</v>
      </c>
      <c r="GK19" s="1" t="n">
        <f aca="false">IF(AND('Daily Workforce'!$N182="Y",'Daily Workforce'!$B182&lt;&gt;"",COUNTIF('Daily Schedule'!$F$5:$F22,'Daily Workforce'!$B182)=0,IF('Daily Schedule'!$A23=45,'Daily Workforce'!$J182="Y",IF(OR('Daily Schedule'!$A23=4,'Daily Schedule'!$A23=8),IF(OR(WEEKDAY('Daily Schedule'!$B$2,2)=1,WEEKDAY('Daily Schedule'!$B$2,2)=4,WEEKDAY('Daily Schedule'!$B$2,2)=5,WEEKDAY('Daily Schedule'!$B$2,2)=7),IFERROR(1*'Daily Workforce'!$K182&gt;=3,FALSE()),IFERROR(1*'Daily Workforce'!$K182&gt;=2,FALSE())),IF(AND('Daily Schedule'!$A23&gt;=46,'Daily Schedule'!$A23&lt;=52),'Daily Workforce'!$M182="Y",IFERROR(1*'Daily Workforce'!$P182&gt;=2,FALSE()))))),1,0)</f>
        <v>0</v>
      </c>
      <c r="GL19" s="1" t="n">
        <f aca="false">IF(AND('Daily Workforce'!$N183="Y",'Daily Workforce'!$B183&lt;&gt;"",COUNTIF('Daily Schedule'!$F$5:$F22,'Daily Workforce'!$B183)=0,IF('Daily Schedule'!$A23=45,'Daily Workforce'!$J183="Y",IF(OR('Daily Schedule'!$A23=4,'Daily Schedule'!$A23=8),IF(OR(WEEKDAY('Daily Schedule'!$B$2,2)=1,WEEKDAY('Daily Schedule'!$B$2,2)=4,WEEKDAY('Daily Schedule'!$B$2,2)=5,WEEKDAY('Daily Schedule'!$B$2,2)=7),IFERROR(1*'Daily Workforce'!$K183&gt;=3,FALSE()),IFERROR(1*'Daily Workforce'!$K183&gt;=2,FALSE())),IF(AND('Daily Schedule'!$A23&gt;=46,'Daily Schedule'!$A23&lt;=52),'Daily Workforce'!$M183="Y",IFERROR(1*'Daily Workforce'!$P183&gt;=2,FALSE()))))),1,0)</f>
        <v>0</v>
      </c>
      <c r="GM19" s="1" t="n">
        <f aca="false">IF(AND('Daily Workforce'!$N184="Y",'Daily Workforce'!$B184&lt;&gt;"",COUNTIF('Daily Schedule'!$F$5:$F22,'Daily Workforce'!$B184)=0,IF('Daily Schedule'!$A23=45,'Daily Workforce'!$J184="Y",IF(OR('Daily Schedule'!$A23=4,'Daily Schedule'!$A23=8),IF(OR(WEEKDAY('Daily Schedule'!$B$2,2)=1,WEEKDAY('Daily Schedule'!$B$2,2)=4,WEEKDAY('Daily Schedule'!$B$2,2)=5,WEEKDAY('Daily Schedule'!$B$2,2)=7),IFERROR(1*'Daily Workforce'!$K184&gt;=3,FALSE()),IFERROR(1*'Daily Workforce'!$K184&gt;=2,FALSE())),IF(AND('Daily Schedule'!$A23&gt;=46,'Daily Schedule'!$A23&lt;=52),'Daily Workforce'!$M184="Y",IFERROR(1*'Daily Workforce'!$P184&gt;=2,FALSE()))))),1,0)</f>
        <v>0</v>
      </c>
      <c r="GN19" s="1" t="n">
        <f aca="false">IF(AND('Daily Workforce'!$N185="Y",'Daily Workforce'!$B185&lt;&gt;"",COUNTIF('Daily Schedule'!$F$5:$F22,'Daily Workforce'!$B185)=0,IF('Daily Schedule'!$A23=45,'Daily Workforce'!$J185="Y",IF(OR('Daily Schedule'!$A23=4,'Daily Schedule'!$A23=8),IF(OR(WEEKDAY('Daily Schedule'!$B$2,2)=1,WEEKDAY('Daily Schedule'!$B$2,2)=4,WEEKDAY('Daily Schedule'!$B$2,2)=5,WEEKDAY('Daily Schedule'!$B$2,2)=7),IFERROR(1*'Daily Workforce'!$K185&gt;=3,FALSE()),IFERROR(1*'Daily Workforce'!$K185&gt;=2,FALSE())),IF(AND('Daily Schedule'!$A23&gt;=46,'Daily Schedule'!$A23&lt;=52),'Daily Workforce'!$M185="Y",IFERROR(1*'Daily Workforce'!$P185&gt;=2,FALSE()))))),1,0)</f>
        <v>0</v>
      </c>
      <c r="GO19" s="1" t="n">
        <f aca="false">IF(AND('Daily Workforce'!$N186="Y",'Daily Workforce'!$B186&lt;&gt;"",COUNTIF('Daily Schedule'!$F$5:$F22,'Daily Workforce'!$B186)=0,IF('Daily Schedule'!$A23=45,'Daily Workforce'!$J186="Y",IF(OR('Daily Schedule'!$A23=4,'Daily Schedule'!$A23=8),IF(OR(WEEKDAY('Daily Schedule'!$B$2,2)=1,WEEKDAY('Daily Schedule'!$B$2,2)=4,WEEKDAY('Daily Schedule'!$B$2,2)=5,WEEKDAY('Daily Schedule'!$B$2,2)=7),IFERROR(1*'Daily Workforce'!$K186&gt;=3,FALSE()),IFERROR(1*'Daily Workforce'!$K186&gt;=2,FALSE())),IF(AND('Daily Schedule'!$A23&gt;=46,'Daily Schedule'!$A23&lt;=52),'Daily Workforce'!$M186="Y",IFERROR(1*'Daily Workforce'!$P186&gt;=2,FALSE()))))),1,0)</f>
        <v>0</v>
      </c>
      <c r="GP19" s="1" t="n">
        <f aca="false">IF(AND('Daily Workforce'!$N187="Y",'Daily Workforce'!$B187&lt;&gt;"",COUNTIF('Daily Schedule'!$F$5:$F22,'Daily Workforce'!$B187)=0,IF('Daily Schedule'!$A23=45,'Daily Workforce'!$J187="Y",IF(OR('Daily Schedule'!$A23=4,'Daily Schedule'!$A23=8),IF(OR(WEEKDAY('Daily Schedule'!$B$2,2)=1,WEEKDAY('Daily Schedule'!$B$2,2)=4,WEEKDAY('Daily Schedule'!$B$2,2)=5,WEEKDAY('Daily Schedule'!$B$2,2)=7),IFERROR(1*'Daily Workforce'!$K187&gt;=3,FALSE()),IFERROR(1*'Daily Workforce'!$K187&gt;=2,FALSE())),IF(AND('Daily Schedule'!$A23&gt;=46,'Daily Schedule'!$A23&lt;=52),'Daily Workforce'!$M187="Y",IFERROR(1*'Daily Workforce'!$P187&gt;=2,FALSE()))))),1,0)</f>
        <v>0</v>
      </c>
      <c r="GQ19" s="1" t="n">
        <f aca="false">IF(AND('Daily Workforce'!$N188="Y",'Daily Workforce'!$B188&lt;&gt;"",COUNTIF('Daily Schedule'!$F$5:$F22,'Daily Workforce'!$B188)=0,IF('Daily Schedule'!$A23=45,'Daily Workforce'!$J188="Y",IF(OR('Daily Schedule'!$A23=4,'Daily Schedule'!$A23=8),IF(OR(WEEKDAY('Daily Schedule'!$B$2,2)=1,WEEKDAY('Daily Schedule'!$B$2,2)=4,WEEKDAY('Daily Schedule'!$B$2,2)=5,WEEKDAY('Daily Schedule'!$B$2,2)=7),IFERROR(1*'Daily Workforce'!$K188&gt;=3,FALSE()),IFERROR(1*'Daily Workforce'!$K188&gt;=2,FALSE())),IF(AND('Daily Schedule'!$A23&gt;=46,'Daily Schedule'!$A23&lt;=52),'Daily Workforce'!$M188="Y",IFERROR(1*'Daily Workforce'!$P188&gt;=2,FALSE()))))),1,0)</f>
        <v>0</v>
      </c>
      <c r="GR19" s="1" t="n">
        <f aca="false">IF(AND('Daily Workforce'!$N189="Y",'Daily Workforce'!$B189&lt;&gt;"",COUNTIF('Daily Schedule'!$F$5:$F22,'Daily Workforce'!$B189)=0,IF('Daily Schedule'!$A23=45,'Daily Workforce'!$J189="Y",IF(OR('Daily Schedule'!$A23=4,'Daily Schedule'!$A23=8),IF(OR(WEEKDAY('Daily Schedule'!$B$2,2)=1,WEEKDAY('Daily Schedule'!$B$2,2)=4,WEEKDAY('Daily Schedule'!$B$2,2)=5,WEEKDAY('Daily Schedule'!$B$2,2)=7),IFERROR(1*'Daily Workforce'!$K189&gt;=3,FALSE()),IFERROR(1*'Daily Workforce'!$K189&gt;=2,FALSE())),IF(AND('Daily Schedule'!$A23&gt;=46,'Daily Schedule'!$A23&lt;=52),'Daily Workforce'!$M189="Y",IFERROR(1*'Daily Workforce'!$P189&gt;=2,FALSE()))))),1,0)</f>
        <v>0</v>
      </c>
      <c r="GS19" s="1" t="n">
        <f aca="false">IF(AND('Daily Workforce'!$N190="Y",'Daily Workforce'!$B190&lt;&gt;"",COUNTIF('Daily Schedule'!$F$5:$F22,'Daily Workforce'!$B190)=0,IF('Daily Schedule'!$A23=45,'Daily Workforce'!$J190="Y",IF(OR('Daily Schedule'!$A23=4,'Daily Schedule'!$A23=8),IF(OR(WEEKDAY('Daily Schedule'!$B$2,2)=1,WEEKDAY('Daily Schedule'!$B$2,2)=4,WEEKDAY('Daily Schedule'!$B$2,2)=5,WEEKDAY('Daily Schedule'!$B$2,2)=7),IFERROR(1*'Daily Workforce'!$K190&gt;=3,FALSE()),IFERROR(1*'Daily Workforce'!$K190&gt;=2,FALSE())),IF(AND('Daily Schedule'!$A23&gt;=46,'Daily Schedule'!$A23&lt;=52),'Daily Workforce'!$M190="Y",IFERROR(1*'Daily Workforce'!$P190&gt;=2,FALSE()))))),1,0)</f>
        <v>0</v>
      </c>
      <c r="GT19" s="1" t="n">
        <f aca="false">IF(AND('Daily Workforce'!$N191="Y",'Daily Workforce'!$B191&lt;&gt;"",COUNTIF('Daily Schedule'!$F$5:$F22,'Daily Workforce'!$B191)=0,IF('Daily Schedule'!$A23=45,'Daily Workforce'!$J191="Y",IF(OR('Daily Schedule'!$A23=4,'Daily Schedule'!$A23=8),IF(OR(WEEKDAY('Daily Schedule'!$B$2,2)=1,WEEKDAY('Daily Schedule'!$B$2,2)=4,WEEKDAY('Daily Schedule'!$B$2,2)=5,WEEKDAY('Daily Schedule'!$B$2,2)=7),IFERROR(1*'Daily Workforce'!$K191&gt;=3,FALSE()),IFERROR(1*'Daily Workforce'!$K191&gt;=2,FALSE())),IF(AND('Daily Schedule'!$A23&gt;=46,'Daily Schedule'!$A23&lt;=52),'Daily Workforce'!$M191="Y",IFERROR(1*'Daily Workforce'!$P191&gt;=2,FALSE()))))),1,0)</f>
        <v>0</v>
      </c>
      <c r="GU19" s="1" t="n">
        <f aca="false">IF(AND('Daily Workforce'!$N192="Y",'Daily Workforce'!$B192&lt;&gt;"",COUNTIF('Daily Schedule'!$F$5:$F22,'Daily Workforce'!$B192)=0,IF('Daily Schedule'!$A23=45,'Daily Workforce'!$J192="Y",IF(OR('Daily Schedule'!$A23=4,'Daily Schedule'!$A23=8),IF(OR(WEEKDAY('Daily Schedule'!$B$2,2)=1,WEEKDAY('Daily Schedule'!$B$2,2)=4,WEEKDAY('Daily Schedule'!$B$2,2)=5,WEEKDAY('Daily Schedule'!$B$2,2)=7),IFERROR(1*'Daily Workforce'!$K192&gt;=3,FALSE()),IFERROR(1*'Daily Workforce'!$K192&gt;=2,FALSE())),IF(AND('Daily Schedule'!$A23&gt;=46,'Daily Schedule'!$A23&lt;=52),'Daily Workforce'!$M192="Y",IFERROR(1*'Daily Workforce'!$P192&gt;=2,FALSE()))))),1,0)</f>
        <v>0</v>
      </c>
      <c r="GV19" s="1" t="n">
        <f aca="false">IF(AND('Daily Workforce'!$N193="Y",'Daily Workforce'!$B193&lt;&gt;"",COUNTIF('Daily Schedule'!$F$5:$F22,'Daily Workforce'!$B193)=0,IF('Daily Schedule'!$A23=45,'Daily Workforce'!$J193="Y",IF(OR('Daily Schedule'!$A23=4,'Daily Schedule'!$A23=8),IF(OR(WEEKDAY('Daily Schedule'!$B$2,2)=1,WEEKDAY('Daily Schedule'!$B$2,2)=4,WEEKDAY('Daily Schedule'!$B$2,2)=5,WEEKDAY('Daily Schedule'!$B$2,2)=7),IFERROR(1*'Daily Workforce'!$K193&gt;=3,FALSE()),IFERROR(1*'Daily Workforce'!$K193&gt;=2,FALSE())),IF(AND('Daily Schedule'!$A23&gt;=46,'Daily Schedule'!$A23&lt;=52),'Daily Workforce'!$M193="Y",IFERROR(1*'Daily Workforce'!$P193&gt;=2,FALSE()))))),1,0)</f>
        <v>0</v>
      </c>
      <c r="GW19" s="1" t="n">
        <f aca="false">IF(AND('Daily Workforce'!$N194="Y",'Daily Workforce'!$B194&lt;&gt;"",COUNTIF('Daily Schedule'!$F$5:$F22,'Daily Workforce'!$B194)=0,IF('Daily Schedule'!$A23=45,'Daily Workforce'!$J194="Y",IF(OR('Daily Schedule'!$A23=4,'Daily Schedule'!$A23=8),IF(OR(WEEKDAY('Daily Schedule'!$B$2,2)=1,WEEKDAY('Daily Schedule'!$B$2,2)=4,WEEKDAY('Daily Schedule'!$B$2,2)=5,WEEKDAY('Daily Schedule'!$B$2,2)=7),IFERROR(1*'Daily Workforce'!$K194&gt;=3,FALSE()),IFERROR(1*'Daily Workforce'!$K194&gt;=2,FALSE())),IF(AND('Daily Schedule'!$A23&gt;=46,'Daily Schedule'!$A23&lt;=52),'Daily Workforce'!$M194="Y",IFERROR(1*'Daily Workforce'!$P194&gt;=2,FALSE()))))),1,0)</f>
        <v>0</v>
      </c>
      <c r="GX19" s="1" t="n">
        <f aca="false">IF(AND('Daily Workforce'!$N195="Y",'Daily Workforce'!$B195&lt;&gt;"",COUNTIF('Daily Schedule'!$F$5:$F22,'Daily Workforce'!$B195)=0,IF('Daily Schedule'!$A23=45,'Daily Workforce'!$J195="Y",IF(OR('Daily Schedule'!$A23=4,'Daily Schedule'!$A23=8),IF(OR(WEEKDAY('Daily Schedule'!$B$2,2)=1,WEEKDAY('Daily Schedule'!$B$2,2)=4,WEEKDAY('Daily Schedule'!$B$2,2)=5,WEEKDAY('Daily Schedule'!$B$2,2)=7),IFERROR(1*'Daily Workforce'!$K195&gt;=3,FALSE()),IFERROR(1*'Daily Workforce'!$K195&gt;=2,FALSE())),IF(AND('Daily Schedule'!$A23&gt;=46,'Daily Schedule'!$A23&lt;=52),'Daily Workforce'!$M195="Y",IFERROR(1*'Daily Workforce'!$P195&gt;=2,FALSE()))))),1,0)</f>
        <v>0</v>
      </c>
      <c r="GY19" s="1" t="n">
        <f aca="false">IF(AND('Daily Workforce'!$N196="Y",'Daily Workforce'!$B196&lt;&gt;"",COUNTIF('Daily Schedule'!$F$5:$F22,'Daily Workforce'!$B196)=0,IF('Daily Schedule'!$A23=45,'Daily Workforce'!$J196="Y",IF(OR('Daily Schedule'!$A23=4,'Daily Schedule'!$A23=8),IF(OR(WEEKDAY('Daily Schedule'!$B$2,2)=1,WEEKDAY('Daily Schedule'!$B$2,2)=4,WEEKDAY('Daily Schedule'!$B$2,2)=5,WEEKDAY('Daily Schedule'!$B$2,2)=7),IFERROR(1*'Daily Workforce'!$K196&gt;=3,FALSE()),IFERROR(1*'Daily Workforce'!$K196&gt;=2,FALSE())),IF(AND('Daily Schedule'!$A23&gt;=46,'Daily Schedule'!$A23&lt;=52),'Daily Workforce'!$M196="Y",IFERROR(1*'Daily Workforce'!$P196&gt;=2,FALSE()))))),1,0)</f>
        <v>0</v>
      </c>
      <c r="GZ19" s="1" t="n">
        <f aca="false">IF(AND('Daily Workforce'!$N197="Y",'Daily Workforce'!$B197&lt;&gt;"",COUNTIF('Daily Schedule'!$F$5:$F22,'Daily Workforce'!$B197)=0,IF('Daily Schedule'!$A23=45,'Daily Workforce'!$J197="Y",IF(OR('Daily Schedule'!$A23=4,'Daily Schedule'!$A23=8),IF(OR(WEEKDAY('Daily Schedule'!$B$2,2)=1,WEEKDAY('Daily Schedule'!$B$2,2)=4,WEEKDAY('Daily Schedule'!$B$2,2)=5,WEEKDAY('Daily Schedule'!$B$2,2)=7),IFERROR(1*'Daily Workforce'!$K197&gt;=3,FALSE()),IFERROR(1*'Daily Workforce'!$K197&gt;=2,FALSE())),IF(AND('Daily Schedule'!$A23&gt;=46,'Daily Schedule'!$A23&lt;=52),'Daily Workforce'!$M197="Y",IFERROR(1*'Daily Workforce'!$P197&gt;=2,FALSE()))))),1,0)</f>
        <v>0</v>
      </c>
      <c r="HA19" s="1" t="n">
        <f aca="false">IF(AND('Daily Workforce'!$N198="Y",'Daily Workforce'!$B198&lt;&gt;"",COUNTIF('Daily Schedule'!$F$5:$F22,'Daily Workforce'!$B198)=0,IF('Daily Schedule'!$A23=45,'Daily Workforce'!$J198="Y",IF(OR('Daily Schedule'!$A23=4,'Daily Schedule'!$A23=8),IF(OR(WEEKDAY('Daily Schedule'!$B$2,2)=1,WEEKDAY('Daily Schedule'!$B$2,2)=4,WEEKDAY('Daily Schedule'!$B$2,2)=5,WEEKDAY('Daily Schedule'!$B$2,2)=7),IFERROR(1*'Daily Workforce'!$K198&gt;=3,FALSE()),IFERROR(1*'Daily Workforce'!$K198&gt;=2,FALSE())),IF(AND('Daily Schedule'!$A23&gt;=46,'Daily Schedule'!$A23&lt;=52),'Daily Workforce'!$M198="Y",IFERROR(1*'Daily Workforce'!$P198&gt;=2,FALSE()))))),1,0)</f>
        <v>0</v>
      </c>
      <c r="HB19" s="1" t="n">
        <f aca="false">IF(AND('Daily Workforce'!$N199="Y",'Daily Workforce'!$B199&lt;&gt;"",COUNTIF('Daily Schedule'!$F$5:$F22,'Daily Workforce'!$B199)=0,IF('Daily Schedule'!$A23=45,'Daily Workforce'!$J199="Y",IF(OR('Daily Schedule'!$A23=4,'Daily Schedule'!$A23=8),IF(OR(WEEKDAY('Daily Schedule'!$B$2,2)=1,WEEKDAY('Daily Schedule'!$B$2,2)=4,WEEKDAY('Daily Schedule'!$B$2,2)=5,WEEKDAY('Daily Schedule'!$B$2,2)=7),IFERROR(1*'Daily Workforce'!$K199&gt;=3,FALSE()),IFERROR(1*'Daily Workforce'!$K199&gt;=2,FALSE())),IF(AND('Daily Schedule'!$A23&gt;=46,'Daily Schedule'!$A23&lt;=52),'Daily Workforce'!$M199="Y",IFERROR(1*'Daily Workforce'!$P199&gt;=2,FALSE()))))),1,0)</f>
        <v>0</v>
      </c>
      <c r="HC19" s="1" t="n">
        <f aca="false">IF(AND('Daily Workforce'!$N200="Y",'Daily Workforce'!$B200&lt;&gt;"",COUNTIF('Daily Schedule'!$F$5:$F22,'Daily Workforce'!$B200)=0,IF('Daily Schedule'!$A23=45,'Daily Workforce'!$J200="Y",IF(OR('Daily Schedule'!$A23=4,'Daily Schedule'!$A23=8),IF(OR(WEEKDAY('Daily Schedule'!$B$2,2)=1,WEEKDAY('Daily Schedule'!$B$2,2)=4,WEEKDAY('Daily Schedule'!$B$2,2)=5,WEEKDAY('Daily Schedule'!$B$2,2)=7),IFERROR(1*'Daily Workforce'!$K200&gt;=3,FALSE()),IFERROR(1*'Daily Workforce'!$K200&gt;=2,FALSE())),IF(AND('Daily Schedule'!$A23&gt;=46,'Daily Schedule'!$A23&lt;=52),'Daily Workforce'!$M200="Y",IFERROR(1*'Daily Workforce'!$P200&gt;=2,FALSE()))))),1,0)</f>
        <v>0</v>
      </c>
      <c r="HD19" s="1" t="n">
        <f aca="false">IF(AND('Daily Workforce'!$N201="Y",'Daily Workforce'!$B201&lt;&gt;"",COUNTIF('Daily Schedule'!$F$5:$F22,'Daily Workforce'!$B201)=0,IF('Daily Schedule'!$A23=45,'Daily Workforce'!$J201="Y",IF(OR('Daily Schedule'!$A23=4,'Daily Schedule'!$A23=8),IF(OR(WEEKDAY('Daily Schedule'!$B$2,2)=1,WEEKDAY('Daily Schedule'!$B$2,2)=4,WEEKDAY('Daily Schedule'!$B$2,2)=5,WEEKDAY('Daily Schedule'!$B$2,2)=7),IFERROR(1*'Daily Workforce'!$K201&gt;=3,FALSE()),IFERROR(1*'Daily Workforce'!$K201&gt;=2,FALSE())),IF(AND('Daily Schedule'!$A23&gt;=46,'Daily Schedule'!$A23&lt;=52),'Daily Workforce'!$M201="Y",IFERROR(1*'Daily Workforce'!$P201&gt;=2,FALSE()))))),1,0)</f>
        <v>0</v>
      </c>
      <c r="HE19" s="1" t="n">
        <f aca="false">IF(AND('Daily Workforce'!$N202="Y",'Daily Workforce'!$B202&lt;&gt;"",COUNTIF('Daily Schedule'!$F$5:$F22,'Daily Workforce'!$B202)=0,IF('Daily Schedule'!$A23=45,'Daily Workforce'!$J202="Y",IF(OR('Daily Schedule'!$A23=4,'Daily Schedule'!$A23=8),IF(OR(WEEKDAY('Daily Schedule'!$B$2,2)=1,WEEKDAY('Daily Schedule'!$B$2,2)=4,WEEKDAY('Daily Schedule'!$B$2,2)=5,WEEKDAY('Daily Schedule'!$B$2,2)=7),IFERROR(1*'Daily Workforce'!$K202&gt;=3,FALSE()),IFERROR(1*'Daily Workforce'!$K202&gt;=2,FALSE())),IF(AND('Daily Schedule'!$A23&gt;=46,'Daily Schedule'!$A23&lt;=52),'Daily Workforce'!$M202="Y",IFERROR(1*'Daily Workforce'!$P202&gt;=2,FALSE()))))),1,0)</f>
        <v>0</v>
      </c>
      <c r="HF19" s="1" t="n">
        <f aca="false">IF(AND('Daily Workforce'!$N203="Y",'Daily Workforce'!$B203&lt;&gt;"",COUNTIF('Daily Schedule'!$F$5:$F22,'Daily Workforce'!$B203)=0,IF('Daily Schedule'!$A23=45,'Daily Workforce'!$J203="Y",IF(OR('Daily Schedule'!$A23=4,'Daily Schedule'!$A23=8),IF(OR(WEEKDAY('Daily Schedule'!$B$2,2)=1,WEEKDAY('Daily Schedule'!$B$2,2)=4,WEEKDAY('Daily Schedule'!$B$2,2)=5,WEEKDAY('Daily Schedule'!$B$2,2)=7),IFERROR(1*'Daily Workforce'!$K203&gt;=3,FALSE()),IFERROR(1*'Daily Workforce'!$K203&gt;=2,FALSE())),IF(AND('Daily Schedule'!$A23&gt;=46,'Daily Schedule'!$A23&lt;=52),'Daily Workforce'!$M203="Y",IFERROR(1*'Daily Workforce'!$P203&gt;=2,FALSE()))))),1,0)</f>
        <v>0</v>
      </c>
      <c r="HG19" s="1" t="n">
        <f aca="false">IF(AND('Daily Workforce'!$N204="Y",'Daily Workforce'!$B204&lt;&gt;"",COUNTIF('Daily Schedule'!$F$5:$F22,'Daily Workforce'!$B204)=0,IF('Daily Schedule'!$A23=45,'Daily Workforce'!$J204="Y",IF(OR('Daily Schedule'!$A23=4,'Daily Schedule'!$A23=8),IF(OR(WEEKDAY('Daily Schedule'!$B$2,2)=1,WEEKDAY('Daily Schedule'!$B$2,2)=4,WEEKDAY('Daily Schedule'!$B$2,2)=5,WEEKDAY('Daily Schedule'!$B$2,2)=7),IFERROR(1*'Daily Workforce'!$K204&gt;=3,FALSE()),IFERROR(1*'Daily Workforce'!$K204&gt;=2,FALSE())),IF(AND('Daily Schedule'!$A23&gt;=46,'Daily Schedule'!$A23&lt;=52),'Daily Workforce'!$M204="Y",IFERROR(1*'Daily Workforce'!$P204&gt;=2,FALSE()))))),1,0)</f>
        <v>0</v>
      </c>
      <c r="HH19" s="1" t="n">
        <f aca="false">IF(AND('Daily Workforce'!$N205="Y",'Daily Workforce'!$B205&lt;&gt;"",COUNTIF('Daily Schedule'!$F$5:$F22,'Daily Workforce'!$B205)=0,IF('Daily Schedule'!$A23=45,'Daily Workforce'!$J205="Y",IF(OR('Daily Schedule'!$A23=4,'Daily Schedule'!$A23=8),IF(OR(WEEKDAY('Daily Schedule'!$B$2,2)=1,WEEKDAY('Daily Schedule'!$B$2,2)=4,WEEKDAY('Daily Schedule'!$B$2,2)=5,WEEKDAY('Daily Schedule'!$B$2,2)=7),IFERROR(1*'Daily Workforce'!$K205&gt;=3,FALSE()),IFERROR(1*'Daily Workforce'!$K205&gt;=2,FALSE())),IF(AND('Daily Schedule'!$A23&gt;=46,'Daily Schedule'!$A23&lt;=52),'Daily Workforce'!$M205="Y",IFERROR(1*'Daily Workforce'!$P205&gt;=2,FALSE()))))),1,0)</f>
        <v>0</v>
      </c>
    </row>
    <row r="20" customFormat="false" ht="15" hidden="false" customHeight="true" outlineLevel="0" collapsed="false">
      <c r="L20" s="1" t="s">
        <v>473</v>
      </c>
      <c r="O20" s="1" t="n">
        <f aca="false">IF(AND('Employee Master'!$G20="Y",ISERROR(SEARCH(TEXT('Daily Workforce'!$B$2,"ddd"),'Employee Master'!$D20)),IF('Daily Workforce'!$E$2="",TRUE(),'Employee Master'!$I20='Daily Workforce'!$E$2)),'Employee Master'!$K20*1000+ROW()-1,"")</f>
        <v>4019</v>
      </c>
      <c r="P20" s="1" t="n">
        <f aca="false">IF($O20="","",COUNTIF($O$2:$O$159,"&lt;="&amp;$O20))</f>
        <v>85</v>
      </c>
      <c r="Q20" s="1" t="n">
        <f aca="false">IF(AND('Daily Workforce'!$N6="Y",'Daily Workforce'!$B6&lt;&gt;"",COUNTIF('Daily Schedule'!$F$5:$F23,'Daily Workforce'!$B6)=0,IF('Daily Schedule'!$A24=45,'Daily Workforce'!$J6="Y",IF(OR('Daily Schedule'!$A24=4,'Daily Schedule'!$A24=8),IF(OR(WEEKDAY('Daily Schedule'!$B$2,2)=1,WEEKDAY('Daily Schedule'!$B$2,2)=4,WEEKDAY('Daily Schedule'!$B$2,2)=5,WEEKDAY('Daily Schedule'!$B$2,2)=7),IFERROR(1*'Daily Workforce'!$K6&gt;=3,FALSE()),IFERROR(1*'Daily Workforce'!$K6&gt;=2,FALSE())),IF(AND('Daily Schedule'!$A24&gt;=46,'Daily Schedule'!$A24&lt;=52),'Daily Workforce'!$M6="Y",IFERROR(1*'Daily Workforce'!$P6&gt;=2,FALSE()))))),1,0)</f>
        <v>0</v>
      </c>
      <c r="R20" s="1" t="n">
        <f aca="false">IF(AND('Daily Workforce'!$N7="Y",'Daily Workforce'!$B7&lt;&gt;"",COUNTIF('Daily Schedule'!$F$5:$F23,'Daily Workforce'!$B7)=0,IF('Daily Schedule'!$A24=45,'Daily Workforce'!$J7="Y",IF(OR('Daily Schedule'!$A24=4,'Daily Schedule'!$A24=8),IF(OR(WEEKDAY('Daily Schedule'!$B$2,2)=1,WEEKDAY('Daily Schedule'!$B$2,2)=4,WEEKDAY('Daily Schedule'!$B$2,2)=5,WEEKDAY('Daily Schedule'!$B$2,2)=7),IFERROR(1*'Daily Workforce'!$K7&gt;=3,FALSE()),IFERROR(1*'Daily Workforce'!$K7&gt;=2,FALSE())),IF(AND('Daily Schedule'!$A24&gt;=46,'Daily Schedule'!$A24&lt;=52),'Daily Workforce'!$M7="Y",IFERROR(1*'Daily Workforce'!$P7&gt;=2,FALSE()))))),1,0)</f>
        <v>0</v>
      </c>
      <c r="S20" s="1" t="n">
        <f aca="false">IF(AND('Daily Workforce'!$N8="Y",'Daily Workforce'!$B8&lt;&gt;"",COUNTIF('Daily Schedule'!$F$5:$F23,'Daily Workforce'!$B8)=0,IF('Daily Schedule'!$A24=45,'Daily Workforce'!$J8="Y",IF(OR('Daily Schedule'!$A24=4,'Daily Schedule'!$A24=8),IF(OR(WEEKDAY('Daily Schedule'!$B$2,2)=1,WEEKDAY('Daily Schedule'!$B$2,2)=4,WEEKDAY('Daily Schedule'!$B$2,2)=5,WEEKDAY('Daily Schedule'!$B$2,2)=7),IFERROR(1*'Daily Workforce'!$K8&gt;=3,FALSE()),IFERROR(1*'Daily Workforce'!$K8&gt;=2,FALSE())),IF(AND('Daily Schedule'!$A24&gt;=46,'Daily Schedule'!$A24&lt;=52),'Daily Workforce'!$M8="Y",IFERROR(1*'Daily Workforce'!$P8&gt;=2,FALSE()))))),1,0)</f>
        <v>0</v>
      </c>
      <c r="T20" s="1" t="n">
        <f aca="false">IF(AND('Daily Workforce'!$N9="Y",'Daily Workforce'!$B9&lt;&gt;"",COUNTIF('Daily Schedule'!$F$5:$F23,'Daily Workforce'!$B9)=0,IF('Daily Schedule'!$A24=45,'Daily Workforce'!$J9="Y",IF(OR('Daily Schedule'!$A24=4,'Daily Schedule'!$A24=8),IF(OR(WEEKDAY('Daily Schedule'!$B$2,2)=1,WEEKDAY('Daily Schedule'!$B$2,2)=4,WEEKDAY('Daily Schedule'!$B$2,2)=5,WEEKDAY('Daily Schedule'!$B$2,2)=7),IFERROR(1*'Daily Workforce'!$K9&gt;=3,FALSE()),IFERROR(1*'Daily Workforce'!$K9&gt;=2,FALSE())),IF(AND('Daily Schedule'!$A24&gt;=46,'Daily Schedule'!$A24&lt;=52),'Daily Workforce'!$M9="Y",IFERROR(1*'Daily Workforce'!$P9&gt;=2,FALSE()))))),1,0)</f>
        <v>0</v>
      </c>
      <c r="U20" s="1" t="n">
        <f aca="false">IF(AND('Daily Workforce'!$N10="Y",'Daily Workforce'!$B10&lt;&gt;"",COUNTIF('Daily Schedule'!$F$5:$F23,'Daily Workforce'!$B10)=0,IF('Daily Schedule'!$A24=45,'Daily Workforce'!$J10="Y",IF(OR('Daily Schedule'!$A24=4,'Daily Schedule'!$A24=8),IF(OR(WEEKDAY('Daily Schedule'!$B$2,2)=1,WEEKDAY('Daily Schedule'!$B$2,2)=4,WEEKDAY('Daily Schedule'!$B$2,2)=5,WEEKDAY('Daily Schedule'!$B$2,2)=7),IFERROR(1*'Daily Workforce'!$K10&gt;=3,FALSE()),IFERROR(1*'Daily Workforce'!$K10&gt;=2,FALSE())),IF(AND('Daily Schedule'!$A24&gt;=46,'Daily Schedule'!$A24&lt;=52),'Daily Workforce'!$M10="Y",IFERROR(1*'Daily Workforce'!$P10&gt;=2,FALSE()))))),1,0)</f>
        <v>0</v>
      </c>
      <c r="V20" s="1" t="n">
        <f aca="false">IF(AND('Daily Workforce'!$N11="Y",'Daily Workforce'!$B11&lt;&gt;"",COUNTIF('Daily Schedule'!$F$5:$F23,'Daily Workforce'!$B11)=0,IF('Daily Schedule'!$A24=45,'Daily Workforce'!$J11="Y",IF(OR('Daily Schedule'!$A24=4,'Daily Schedule'!$A24=8),IF(OR(WEEKDAY('Daily Schedule'!$B$2,2)=1,WEEKDAY('Daily Schedule'!$B$2,2)=4,WEEKDAY('Daily Schedule'!$B$2,2)=5,WEEKDAY('Daily Schedule'!$B$2,2)=7),IFERROR(1*'Daily Workforce'!$K11&gt;=3,FALSE()),IFERROR(1*'Daily Workforce'!$K11&gt;=2,FALSE())),IF(AND('Daily Schedule'!$A24&gt;=46,'Daily Schedule'!$A24&lt;=52),'Daily Workforce'!$M11="Y",IFERROR(1*'Daily Workforce'!$P11&gt;=2,FALSE()))))),1,0)</f>
        <v>0</v>
      </c>
      <c r="W20" s="1" t="n">
        <f aca="false">IF(AND('Daily Workforce'!$N12="Y",'Daily Workforce'!$B12&lt;&gt;"",COUNTIF('Daily Schedule'!$F$5:$F23,'Daily Workforce'!$B12)=0,IF('Daily Schedule'!$A24=45,'Daily Workforce'!$J12="Y",IF(OR('Daily Schedule'!$A24=4,'Daily Schedule'!$A24=8),IF(OR(WEEKDAY('Daily Schedule'!$B$2,2)=1,WEEKDAY('Daily Schedule'!$B$2,2)=4,WEEKDAY('Daily Schedule'!$B$2,2)=5,WEEKDAY('Daily Schedule'!$B$2,2)=7),IFERROR(1*'Daily Workforce'!$K12&gt;=3,FALSE()),IFERROR(1*'Daily Workforce'!$K12&gt;=2,FALSE())),IF(AND('Daily Schedule'!$A24&gt;=46,'Daily Schedule'!$A24&lt;=52),'Daily Workforce'!$M12="Y",IFERROR(1*'Daily Workforce'!$P12&gt;=2,FALSE()))))),1,0)</f>
        <v>0</v>
      </c>
      <c r="X20" s="1" t="n">
        <f aca="false">IF(AND('Daily Workforce'!$N13="Y",'Daily Workforce'!$B13&lt;&gt;"",COUNTIF('Daily Schedule'!$F$5:$F23,'Daily Workforce'!$B13)=0,IF('Daily Schedule'!$A24=45,'Daily Workforce'!$J13="Y",IF(OR('Daily Schedule'!$A24=4,'Daily Schedule'!$A24=8),IF(OR(WEEKDAY('Daily Schedule'!$B$2,2)=1,WEEKDAY('Daily Schedule'!$B$2,2)=4,WEEKDAY('Daily Schedule'!$B$2,2)=5,WEEKDAY('Daily Schedule'!$B$2,2)=7),IFERROR(1*'Daily Workforce'!$K13&gt;=3,FALSE()),IFERROR(1*'Daily Workforce'!$K13&gt;=2,FALSE())),IF(AND('Daily Schedule'!$A24&gt;=46,'Daily Schedule'!$A24&lt;=52),'Daily Workforce'!$M13="Y",IFERROR(1*'Daily Workforce'!$P13&gt;=2,FALSE()))))),1,0)</f>
        <v>0</v>
      </c>
      <c r="Y20" s="1" t="n">
        <f aca="false">IF(AND('Daily Workforce'!$N14="Y",'Daily Workforce'!$B14&lt;&gt;"",COUNTIF('Daily Schedule'!$F$5:$F23,'Daily Workforce'!$B14)=0,IF('Daily Schedule'!$A24=45,'Daily Workforce'!$J14="Y",IF(OR('Daily Schedule'!$A24=4,'Daily Schedule'!$A24=8),IF(OR(WEEKDAY('Daily Schedule'!$B$2,2)=1,WEEKDAY('Daily Schedule'!$B$2,2)=4,WEEKDAY('Daily Schedule'!$B$2,2)=5,WEEKDAY('Daily Schedule'!$B$2,2)=7),IFERROR(1*'Daily Workforce'!$K14&gt;=3,FALSE()),IFERROR(1*'Daily Workforce'!$K14&gt;=2,FALSE())),IF(AND('Daily Schedule'!$A24&gt;=46,'Daily Schedule'!$A24&lt;=52),'Daily Workforce'!$M14="Y",IFERROR(1*'Daily Workforce'!$P14&gt;=2,FALSE()))))),1,0)</f>
        <v>0</v>
      </c>
      <c r="Z20" s="1" t="n">
        <f aca="false">IF(AND('Daily Workforce'!$N15="Y",'Daily Workforce'!$B15&lt;&gt;"",COUNTIF('Daily Schedule'!$F$5:$F23,'Daily Workforce'!$B15)=0,IF('Daily Schedule'!$A24=45,'Daily Workforce'!$J15="Y",IF(OR('Daily Schedule'!$A24=4,'Daily Schedule'!$A24=8),IF(OR(WEEKDAY('Daily Schedule'!$B$2,2)=1,WEEKDAY('Daily Schedule'!$B$2,2)=4,WEEKDAY('Daily Schedule'!$B$2,2)=5,WEEKDAY('Daily Schedule'!$B$2,2)=7),IFERROR(1*'Daily Workforce'!$K15&gt;=3,FALSE()),IFERROR(1*'Daily Workforce'!$K15&gt;=2,FALSE())),IF(AND('Daily Schedule'!$A24&gt;=46,'Daily Schedule'!$A24&lt;=52),'Daily Workforce'!$M15="Y",IFERROR(1*'Daily Workforce'!$P15&gt;=2,FALSE()))))),1,0)</f>
        <v>0</v>
      </c>
      <c r="AA20" s="1" t="n">
        <f aca="false">IF(AND('Daily Workforce'!$N16="Y",'Daily Workforce'!$B16&lt;&gt;"",COUNTIF('Daily Schedule'!$F$5:$F23,'Daily Workforce'!$B16)=0,IF('Daily Schedule'!$A24=45,'Daily Workforce'!$J16="Y",IF(OR('Daily Schedule'!$A24=4,'Daily Schedule'!$A24=8),IF(OR(WEEKDAY('Daily Schedule'!$B$2,2)=1,WEEKDAY('Daily Schedule'!$B$2,2)=4,WEEKDAY('Daily Schedule'!$B$2,2)=5,WEEKDAY('Daily Schedule'!$B$2,2)=7),IFERROR(1*'Daily Workforce'!$K16&gt;=3,FALSE()),IFERROR(1*'Daily Workforce'!$K16&gt;=2,FALSE())),IF(AND('Daily Schedule'!$A24&gt;=46,'Daily Schedule'!$A24&lt;=52),'Daily Workforce'!$M16="Y",IFERROR(1*'Daily Workforce'!$P16&gt;=2,FALSE()))))),1,0)</f>
        <v>0</v>
      </c>
      <c r="AB20" s="1" t="n">
        <f aca="false">IF(AND('Daily Workforce'!$N17="Y",'Daily Workforce'!$B17&lt;&gt;"",COUNTIF('Daily Schedule'!$F$5:$F23,'Daily Workforce'!$B17)=0,IF('Daily Schedule'!$A24=45,'Daily Workforce'!$J17="Y",IF(OR('Daily Schedule'!$A24=4,'Daily Schedule'!$A24=8),IF(OR(WEEKDAY('Daily Schedule'!$B$2,2)=1,WEEKDAY('Daily Schedule'!$B$2,2)=4,WEEKDAY('Daily Schedule'!$B$2,2)=5,WEEKDAY('Daily Schedule'!$B$2,2)=7),IFERROR(1*'Daily Workforce'!$K17&gt;=3,FALSE()),IFERROR(1*'Daily Workforce'!$K17&gt;=2,FALSE())),IF(AND('Daily Schedule'!$A24&gt;=46,'Daily Schedule'!$A24&lt;=52),'Daily Workforce'!$M17="Y",IFERROR(1*'Daily Workforce'!$P17&gt;=2,FALSE()))))),1,0)</f>
        <v>0</v>
      </c>
      <c r="AC20" s="1" t="n">
        <f aca="false">IF(AND('Daily Workforce'!$N18="Y",'Daily Workforce'!$B18&lt;&gt;"",COUNTIF('Daily Schedule'!$F$5:$F23,'Daily Workforce'!$B18)=0,IF('Daily Schedule'!$A24=45,'Daily Workforce'!$J18="Y",IF(OR('Daily Schedule'!$A24=4,'Daily Schedule'!$A24=8),IF(OR(WEEKDAY('Daily Schedule'!$B$2,2)=1,WEEKDAY('Daily Schedule'!$B$2,2)=4,WEEKDAY('Daily Schedule'!$B$2,2)=5,WEEKDAY('Daily Schedule'!$B$2,2)=7),IFERROR(1*'Daily Workforce'!$K18&gt;=3,FALSE()),IFERROR(1*'Daily Workforce'!$K18&gt;=2,FALSE())),IF(AND('Daily Schedule'!$A24&gt;=46,'Daily Schedule'!$A24&lt;=52),'Daily Workforce'!$M18="Y",IFERROR(1*'Daily Workforce'!$P18&gt;=2,FALSE()))))),1,0)</f>
        <v>0</v>
      </c>
      <c r="AD20" s="1" t="n">
        <f aca="false">IF(AND('Daily Workforce'!$N19="Y",'Daily Workforce'!$B19&lt;&gt;"",COUNTIF('Daily Schedule'!$F$5:$F23,'Daily Workforce'!$B19)=0,IF('Daily Schedule'!$A24=45,'Daily Workforce'!$J19="Y",IF(OR('Daily Schedule'!$A24=4,'Daily Schedule'!$A24=8),IF(OR(WEEKDAY('Daily Schedule'!$B$2,2)=1,WEEKDAY('Daily Schedule'!$B$2,2)=4,WEEKDAY('Daily Schedule'!$B$2,2)=5,WEEKDAY('Daily Schedule'!$B$2,2)=7),IFERROR(1*'Daily Workforce'!$K19&gt;=3,FALSE()),IFERROR(1*'Daily Workforce'!$K19&gt;=2,FALSE())),IF(AND('Daily Schedule'!$A24&gt;=46,'Daily Schedule'!$A24&lt;=52),'Daily Workforce'!$M19="Y",IFERROR(1*'Daily Workforce'!$P19&gt;=2,FALSE()))))),1,0)</f>
        <v>0</v>
      </c>
      <c r="AE20" s="1" t="n">
        <f aca="false">IF(AND('Daily Workforce'!$N20="Y",'Daily Workforce'!$B20&lt;&gt;"",COUNTIF('Daily Schedule'!$F$5:$F23,'Daily Workforce'!$B20)=0,IF('Daily Schedule'!$A24=45,'Daily Workforce'!$J20="Y",IF(OR('Daily Schedule'!$A24=4,'Daily Schedule'!$A24=8),IF(OR(WEEKDAY('Daily Schedule'!$B$2,2)=1,WEEKDAY('Daily Schedule'!$B$2,2)=4,WEEKDAY('Daily Schedule'!$B$2,2)=5,WEEKDAY('Daily Schedule'!$B$2,2)=7),IFERROR(1*'Daily Workforce'!$K20&gt;=3,FALSE()),IFERROR(1*'Daily Workforce'!$K20&gt;=2,FALSE())),IF(AND('Daily Schedule'!$A24&gt;=46,'Daily Schedule'!$A24&lt;=52),'Daily Workforce'!$M20="Y",IFERROR(1*'Daily Workforce'!$P20&gt;=2,FALSE()))))),1,0)</f>
        <v>0</v>
      </c>
      <c r="AF20" s="1" t="n">
        <f aca="false">IF(AND('Daily Workforce'!$N21="Y",'Daily Workforce'!$B21&lt;&gt;"",COUNTIF('Daily Schedule'!$F$5:$F23,'Daily Workforce'!$B21)=0,IF('Daily Schedule'!$A24=45,'Daily Workforce'!$J21="Y",IF(OR('Daily Schedule'!$A24=4,'Daily Schedule'!$A24=8),IF(OR(WEEKDAY('Daily Schedule'!$B$2,2)=1,WEEKDAY('Daily Schedule'!$B$2,2)=4,WEEKDAY('Daily Schedule'!$B$2,2)=5,WEEKDAY('Daily Schedule'!$B$2,2)=7),IFERROR(1*'Daily Workforce'!$K21&gt;=3,FALSE()),IFERROR(1*'Daily Workforce'!$K21&gt;=2,FALSE())),IF(AND('Daily Schedule'!$A24&gt;=46,'Daily Schedule'!$A24&lt;=52),'Daily Workforce'!$M21="Y",IFERROR(1*'Daily Workforce'!$P21&gt;=2,FALSE()))))),1,0)</f>
        <v>0</v>
      </c>
      <c r="AG20" s="1" t="n">
        <f aca="false">IF(AND('Daily Workforce'!$N22="Y",'Daily Workforce'!$B22&lt;&gt;"",COUNTIF('Daily Schedule'!$F$5:$F23,'Daily Workforce'!$B22)=0,IF('Daily Schedule'!$A24=45,'Daily Workforce'!$J22="Y",IF(OR('Daily Schedule'!$A24=4,'Daily Schedule'!$A24=8),IF(OR(WEEKDAY('Daily Schedule'!$B$2,2)=1,WEEKDAY('Daily Schedule'!$B$2,2)=4,WEEKDAY('Daily Schedule'!$B$2,2)=5,WEEKDAY('Daily Schedule'!$B$2,2)=7),IFERROR(1*'Daily Workforce'!$K22&gt;=3,FALSE()),IFERROR(1*'Daily Workforce'!$K22&gt;=2,FALSE())),IF(AND('Daily Schedule'!$A24&gt;=46,'Daily Schedule'!$A24&lt;=52),'Daily Workforce'!$M22="Y",IFERROR(1*'Daily Workforce'!$P22&gt;=2,FALSE()))))),1,0)</f>
        <v>0</v>
      </c>
      <c r="AH20" s="1" t="n">
        <f aca="false">IF(AND('Daily Workforce'!$N23="Y",'Daily Workforce'!$B23&lt;&gt;"",COUNTIF('Daily Schedule'!$F$5:$F23,'Daily Workforce'!$B23)=0,IF('Daily Schedule'!$A24=45,'Daily Workforce'!$J23="Y",IF(OR('Daily Schedule'!$A24=4,'Daily Schedule'!$A24=8),IF(OR(WEEKDAY('Daily Schedule'!$B$2,2)=1,WEEKDAY('Daily Schedule'!$B$2,2)=4,WEEKDAY('Daily Schedule'!$B$2,2)=5,WEEKDAY('Daily Schedule'!$B$2,2)=7),IFERROR(1*'Daily Workforce'!$K23&gt;=3,FALSE()),IFERROR(1*'Daily Workforce'!$K23&gt;=2,FALSE())),IF(AND('Daily Schedule'!$A24&gt;=46,'Daily Schedule'!$A24&lt;=52),'Daily Workforce'!$M23="Y",IFERROR(1*'Daily Workforce'!$P23&gt;=2,FALSE()))))),1,0)</f>
        <v>1</v>
      </c>
      <c r="AI20" s="1" t="n">
        <f aca="false">IF(AND('Daily Workforce'!$N24="Y",'Daily Workforce'!$B24&lt;&gt;"",COUNTIF('Daily Schedule'!$F$5:$F23,'Daily Workforce'!$B24)=0,IF('Daily Schedule'!$A24=45,'Daily Workforce'!$J24="Y",IF(OR('Daily Schedule'!$A24=4,'Daily Schedule'!$A24=8),IF(OR(WEEKDAY('Daily Schedule'!$B$2,2)=1,WEEKDAY('Daily Schedule'!$B$2,2)=4,WEEKDAY('Daily Schedule'!$B$2,2)=5,WEEKDAY('Daily Schedule'!$B$2,2)=7),IFERROR(1*'Daily Workforce'!$K24&gt;=3,FALSE()),IFERROR(1*'Daily Workforce'!$K24&gt;=2,FALSE())),IF(AND('Daily Schedule'!$A24&gt;=46,'Daily Schedule'!$A24&lt;=52),'Daily Workforce'!$M24="Y",IFERROR(1*'Daily Workforce'!$P24&gt;=2,FALSE()))))),1,0)</f>
        <v>1</v>
      </c>
      <c r="AJ20" s="1" t="n">
        <f aca="false">IF(AND('Daily Workforce'!$N25="Y",'Daily Workforce'!$B25&lt;&gt;"",COUNTIF('Daily Schedule'!$F$5:$F23,'Daily Workforce'!$B25)=0,IF('Daily Schedule'!$A24=45,'Daily Workforce'!$J25="Y",IF(OR('Daily Schedule'!$A24=4,'Daily Schedule'!$A24=8),IF(OR(WEEKDAY('Daily Schedule'!$B$2,2)=1,WEEKDAY('Daily Schedule'!$B$2,2)=4,WEEKDAY('Daily Schedule'!$B$2,2)=5,WEEKDAY('Daily Schedule'!$B$2,2)=7),IFERROR(1*'Daily Workforce'!$K25&gt;=3,FALSE()),IFERROR(1*'Daily Workforce'!$K25&gt;=2,FALSE())),IF(AND('Daily Schedule'!$A24&gt;=46,'Daily Schedule'!$A24&lt;=52),'Daily Workforce'!$M25="Y",IFERROR(1*'Daily Workforce'!$P25&gt;=2,FALSE()))))),1,0)</f>
        <v>1</v>
      </c>
      <c r="AK20" s="1" t="n">
        <f aca="false">IF(AND('Daily Workforce'!$N26="Y",'Daily Workforce'!$B26&lt;&gt;"",COUNTIF('Daily Schedule'!$F$5:$F23,'Daily Workforce'!$B26)=0,IF('Daily Schedule'!$A24=45,'Daily Workforce'!$J26="Y",IF(OR('Daily Schedule'!$A24=4,'Daily Schedule'!$A24=8),IF(OR(WEEKDAY('Daily Schedule'!$B$2,2)=1,WEEKDAY('Daily Schedule'!$B$2,2)=4,WEEKDAY('Daily Schedule'!$B$2,2)=5,WEEKDAY('Daily Schedule'!$B$2,2)=7),IFERROR(1*'Daily Workforce'!$K26&gt;=3,FALSE()),IFERROR(1*'Daily Workforce'!$K26&gt;=2,FALSE())),IF(AND('Daily Schedule'!$A24&gt;=46,'Daily Schedule'!$A24&lt;=52),'Daily Workforce'!$M26="Y",IFERROR(1*'Daily Workforce'!$P26&gt;=2,FALSE()))))),1,0)</f>
        <v>1</v>
      </c>
      <c r="AL20" s="1" t="n">
        <f aca="false">IF(AND('Daily Workforce'!$N27="Y",'Daily Workforce'!$B27&lt;&gt;"",COUNTIF('Daily Schedule'!$F$5:$F23,'Daily Workforce'!$B27)=0,IF('Daily Schedule'!$A24=45,'Daily Workforce'!$J27="Y",IF(OR('Daily Schedule'!$A24=4,'Daily Schedule'!$A24=8),IF(OR(WEEKDAY('Daily Schedule'!$B$2,2)=1,WEEKDAY('Daily Schedule'!$B$2,2)=4,WEEKDAY('Daily Schedule'!$B$2,2)=5,WEEKDAY('Daily Schedule'!$B$2,2)=7),IFERROR(1*'Daily Workforce'!$K27&gt;=3,FALSE()),IFERROR(1*'Daily Workforce'!$K27&gt;=2,FALSE())),IF(AND('Daily Schedule'!$A24&gt;=46,'Daily Schedule'!$A24&lt;=52),'Daily Workforce'!$M27="Y",IFERROR(1*'Daily Workforce'!$P27&gt;=2,FALSE()))))),1,0)</f>
        <v>0</v>
      </c>
      <c r="AM20" s="1" t="n">
        <f aca="false">IF(AND('Daily Workforce'!$N28="Y",'Daily Workforce'!$B28&lt;&gt;"",COUNTIF('Daily Schedule'!$F$5:$F23,'Daily Workforce'!$B28)=0,IF('Daily Schedule'!$A24=45,'Daily Workforce'!$J28="Y",IF(OR('Daily Schedule'!$A24=4,'Daily Schedule'!$A24=8),IF(OR(WEEKDAY('Daily Schedule'!$B$2,2)=1,WEEKDAY('Daily Schedule'!$B$2,2)=4,WEEKDAY('Daily Schedule'!$B$2,2)=5,WEEKDAY('Daily Schedule'!$B$2,2)=7),IFERROR(1*'Daily Workforce'!$K28&gt;=3,FALSE()),IFERROR(1*'Daily Workforce'!$K28&gt;=2,FALSE())),IF(AND('Daily Schedule'!$A24&gt;=46,'Daily Schedule'!$A24&lt;=52),'Daily Workforce'!$M28="Y",IFERROR(1*'Daily Workforce'!$P28&gt;=2,FALSE()))))),1,0)</f>
        <v>1</v>
      </c>
      <c r="AN20" s="1" t="n">
        <f aca="false">IF(AND('Daily Workforce'!$N29="Y",'Daily Workforce'!$B29&lt;&gt;"",COUNTIF('Daily Schedule'!$F$5:$F23,'Daily Workforce'!$B29)=0,IF('Daily Schedule'!$A24=45,'Daily Workforce'!$J29="Y",IF(OR('Daily Schedule'!$A24=4,'Daily Schedule'!$A24=8),IF(OR(WEEKDAY('Daily Schedule'!$B$2,2)=1,WEEKDAY('Daily Schedule'!$B$2,2)=4,WEEKDAY('Daily Schedule'!$B$2,2)=5,WEEKDAY('Daily Schedule'!$B$2,2)=7),IFERROR(1*'Daily Workforce'!$K29&gt;=3,FALSE()),IFERROR(1*'Daily Workforce'!$K29&gt;=2,FALSE())),IF(AND('Daily Schedule'!$A24&gt;=46,'Daily Schedule'!$A24&lt;=52),'Daily Workforce'!$M29="Y",IFERROR(1*'Daily Workforce'!$P29&gt;=2,FALSE()))))),1,0)</f>
        <v>1</v>
      </c>
      <c r="AO20" s="1" t="n">
        <f aca="false">IF(AND('Daily Workforce'!$N30="Y",'Daily Workforce'!$B30&lt;&gt;"",COUNTIF('Daily Schedule'!$F$5:$F23,'Daily Workforce'!$B30)=0,IF('Daily Schedule'!$A24=45,'Daily Workforce'!$J30="Y",IF(OR('Daily Schedule'!$A24=4,'Daily Schedule'!$A24=8),IF(OR(WEEKDAY('Daily Schedule'!$B$2,2)=1,WEEKDAY('Daily Schedule'!$B$2,2)=4,WEEKDAY('Daily Schedule'!$B$2,2)=5,WEEKDAY('Daily Schedule'!$B$2,2)=7),IFERROR(1*'Daily Workforce'!$K30&gt;=3,FALSE()),IFERROR(1*'Daily Workforce'!$K30&gt;=2,FALSE())),IF(AND('Daily Schedule'!$A24&gt;=46,'Daily Schedule'!$A24&lt;=52),'Daily Workforce'!$M30="Y",IFERROR(1*'Daily Workforce'!$P30&gt;=2,FALSE()))))),1,0)</f>
        <v>1</v>
      </c>
      <c r="AP20" s="1" t="n">
        <f aca="false">IF(AND('Daily Workforce'!$N31="Y",'Daily Workforce'!$B31&lt;&gt;"",COUNTIF('Daily Schedule'!$F$5:$F23,'Daily Workforce'!$B31)=0,IF('Daily Schedule'!$A24=45,'Daily Workforce'!$J31="Y",IF(OR('Daily Schedule'!$A24=4,'Daily Schedule'!$A24=8),IF(OR(WEEKDAY('Daily Schedule'!$B$2,2)=1,WEEKDAY('Daily Schedule'!$B$2,2)=4,WEEKDAY('Daily Schedule'!$B$2,2)=5,WEEKDAY('Daily Schedule'!$B$2,2)=7),IFERROR(1*'Daily Workforce'!$K31&gt;=3,FALSE()),IFERROR(1*'Daily Workforce'!$K31&gt;=2,FALSE())),IF(AND('Daily Schedule'!$A24&gt;=46,'Daily Schedule'!$A24&lt;=52),'Daily Workforce'!$M31="Y",IFERROR(1*'Daily Workforce'!$P31&gt;=2,FALSE()))))),1,0)</f>
        <v>1</v>
      </c>
      <c r="AQ20" s="1" t="n">
        <f aca="false">IF(AND('Daily Workforce'!$N32="Y",'Daily Workforce'!$B32&lt;&gt;"",COUNTIF('Daily Schedule'!$F$5:$F23,'Daily Workforce'!$B32)=0,IF('Daily Schedule'!$A24=45,'Daily Workforce'!$J32="Y",IF(OR('Daily Schedule'!$A24=4,'Daily Schedule'!$A24=8),IF(OR(WEEKDAY('Daily Schedule'!$B$2,2)=1,WEEKDAY('Daily Schedule'!$B$2,2)=4,WEEKDAY('Daily Schedule'!$B$2,2)=5,WEEKDAY('Daily Schedule'!$B$2,2)=7),IFERROR(1*'Daily Workforce'!$K32&gt;=3,FALSE()),IFERROR(1*'Daily Workforce'!$K32&gt;=2,FALSE())),IF(AND('Daily Schedule'!$A24&gt;=46,'Daily Schedule'!$A24&lt;=52),'Daily Workforce'!$M32="Y",IFERROR(1*'Daily Workforce'!$P32&gt;=2,FALSE()))))),1,0)</f>
        <v>1</v>
      </c>
      <c r="AR20" s="1" t="n">
        <f aca="false">IF(AND('Daily Workforce'!$N33="Y",'Daily Workforce'!$B33&lt;&gt;"",COUNTIF('Daily Schedule'!$F$5:$F23,'Daily Workforce'!$B33)=0,IF('Daily Schedule'!$A24=45,'Daily Workforce'!$J33="Y",IF(OR('Daily Schedule'!$A24=4,'Daily Schedule'!$A24=8),IF(OR(WEEKDAY('Daily Schedule'!$B$2,2)=1,WEEKDAY('Daily Schedule'!$B$2,2)=4,WEEKDAY('Daily Schedule'!$B$2,2)=5,WEEKDAY('Daily Schedule'!$B$2,2)=7),IFERROR(1*'Daily Workforce'!$K33&gt;=3,FALSE()),IFERROR(1*'Daily Workforce'!$K33&gt;=2,FALSE())),IF(AND('Daily Schedule'!$A24&gt;=46,'Daily Schedule'!$A24&lt;=52),'Daily Workforce'!$M33="Y",IFERROR(1*'Daily Workforce'!$P33&gt;=2,FALSE()))))),1,0)</f>
        <v>1</v>
      </c>
      <c r="AS20" s="1" t="n">
        <f aca="false">IF(AND('Daily Workforce'!$N34="Y",'Daily Workforce'!$B34&lt;&gt;"",COUNTIF('Daily Schedule'!$F$5:$F23,'Daily Workforce'!$B34)=0,IF('Daily Schedule'!$A24=45,'Daily Workforce'!$J34="Y",IF(OR('Daily Schedule'!$A24=4,'Daily Schedule'!$A24=8),IF(OR(WEEKDAY('Daily Schedule'!$B$2,2)=1,WEEKDAY('Daily Schedule'!$B$2,2)=4,WEEKDAY('Daily Schedule'!$B$2,2)=5,WEEKDAY('Daily Schedule'!$B$2,2)=7),IFERROR(1*'Daily Workforce'!$K34&gt;=3,FALSE()),IFERROR(1*'Daily Workforce'!$K34&gt;=2,FALSE())),IF(AND('Daily Schedule'!$A24&gt;=46,'Daily Schedule'!$A24&lt;=52),'Daily Workforce'!$M34="Y",IFERROR(1*'Daily Workforce'!$P34&gt;=2,FALSE()))))),1,0)</f>
        <v>1</v>
      </c>
      <c r="AT20" s="1" t="n">
        <f aca="false">IF(AND('Daily Workforce'!$N35="Y",'Daily Workforce'!$B35&lt;&gt;"",COUNTIF('Daily Schedule'!$F$5:$F23,'Daily Workforce'!$B35)=0,IF('Daily Schedule'!$A24=45,'Daily Workforce'!$J35="Y",IF(OR('Daily Schedule'!$A24=4,'Daily Schedule'!$A24=8),IF(OR(WEEKDAY('Daily Schedule'!$B$2,2)=1,WEEKDAY('Daily Schedule'!$B$2,2)=4,WEEKDAY('Daily Schedule'!$B$2,2)=5,WEEKDAY('Daily Schedule'!$B$2,2)=7),IFERROR(1*'Daily Workforce'!$K35&gt;=3,FALSE()),IFERROR(1*'Daily Workforce'!$K35&gt;=2,FALSE())),IF(AND('Daily Schedule'!$A24&gt;=46,'Daily Schedule'!$A24&lt;=52),'Daily Workforce'!$M35="Y",IFERROR(1*'Daily Workforce'!$P35&gt;=2,FALSE()))))),1,0)</f>
        <v>1</v>
      </c>
      <c r="AU20" s="1" t="n">
        <f aca="false">IF(AND('Daily Workforce'!$N36="Y",'Daily Workforce'!$B36&lt;&gt;"",COUNTIF('Daily Schedule'!$F$5:$F23,'Daily Workforce'!$B36)=0,IF('Daily Schedule'!$A24=45,'Daily Workforce'!$J36="Y",IF(OR('Daily Schedule'!$A24=4,'Daily Schedule'!$A24=8),IF(OR(WEEKDAY('Daily Schedule'!$B$2,2)=1,WEEKDAY('Daily Schedule'!$B$2,2)=4,WEEKDAY('Daily Schedule'!$B$2,2)=5,WEEKDAY('Daily Schedule'!$B$2,2)=7),IFERROR(1*'Daily Workforce'!$K36&gt;=3,FALSE()),IFERROR(1*'Daily Workforce'!$K36&gt;=2,FALSE())),IF(AND('Daily Schedule'!$A24&gt;=46,'Daily Schedule'!$A24&lt;=52),'Daily Workforce'!$M36="Y",IFERROR(1*'Daily Workforce'!$P36&gt;=2,FALSE()))))),1,0)</f>
        <v>1</v>
      </c>
      <c r="AV20" s="1" t="n">
        <f aca="false">IF(AND('Daily Workforce'!$N37="Y",'Daily Workforce'!$B37&lt;&gt;"",COUNTIF('Daily Schedule'!$F$5:$F23,'Daily Workforce'!$B37)=0,IF('Daily Schedule'!$A24=45,'Daily Workforce'!$J37="Y",IF(OR('Daily Schedule'!$A24=4,'Daily Schedule'!$A24=8),IF(OR(WEEKDAY('Daily Schedule'!$B$2,2)=1,WEEKDAY('Daily Schedule'!$B$2,2)=4,WEEKDAY('Daily Schedule'!$B$2,2)=5,WEEKDAY('Daily Schedule'!$B$2,2)=7),IFERROR(1*'Daily Workforce'!$K37&gt;=3,FALSE()),IFERROR(1*'Daily Workforce'!$K37&gt;=2,FALSE())),IF(AND('Daily Schedule'!$A24&gt;=46,'Daily Schedule'!$A24&lt;=52),'Daily Workforce'!$M37="Y",IFERROR(1*'Daily Workforce'!$P37&gt;=2,FALSE()))))),1,0)</f>
        <v>1</v>
      </c>
      <c r="AW20" s="1" t="n">
        <f aca="false">IF(AND('Daily Workforce'!$N38="Y",'Daily Workforce'!$B38&lt;&gt;"",COUNTIF('Daily Schedule'!$F$5:$F23,'Daily Workforce'!$B38)=0,IF('Daily Schedule'!$A24=45,'Daily Workforce'!$J38="Y",IF(OR('Daily Schedule'!$A24=4,'Daily Schedule'!$A24=8),IF(OR(WEEKDAY('Daily Schedule'!$B$2,2)=1,WEEKDAY('Daily Schedule'!$B$2,2)=4,WEEKDAY('Daily Schedule'!$B$2,2)=5,WEEKDAY('Daily Schedule'!$B$2,2)=7),IFERROR(1*'Daily Workforce'!$K38&gt;=3,FALSE()),IFERROR(1*'Daily Workforce'!$K38&gt;=2,FALSE())),IF(AND('Daily Schedule'!$A24&gt;=46,'Daily Schedule'!$A24&lt;=52),'Daily Workforce'!$M38="Y",IFERROR(1*'Daily Workforce'!$P38&gt;=2,FALSE()))))),1,0)</f>
        <v>1</v>
      </c>
      <c r="AX20" s="1" t="n">
        <f aca="false">IF(AND('Daily Workforce'!$N39="Y",'Daily Workforce'!$B39&lt;&gt;"",COUNTIF('Daily Schedule'!$F$5:$F23,'Daily Workforce'!$B39)=0,IF('Daily Schedule'!$A24=45,'Daily Workforce'!$J39="Y",IF(OR('Daily Schedule'!$A24=4,'Daily Schedule'!$A24=8),IF(OR(WEEKDAY('Daily Schedule'!$B$2,2)=1,WEEKDAY('Daily Schedule'!$B$2,2)=4,WEEKDAY('Daily Schedule'!$B$2,2)=5,WEEKDAY('Daily Schedule'!$B$2,2)=7),IFERROR(1*'Daily Workforce'!$K39&gt;=3,FALSE()),IFERROR(1*'Daily Workforce'!$K39&gt;=2,FALSE())),IF(AND('Daily Schedule'!$A24&gt;=46,'Daily Schedule'!$A24&lt;=52),'Daily Workforce'!$M39="Y",IFERROR(1*'Daily Workforce'!$P39&gt;=2,FALSE()))))),1,0)</f>
        <v>1</v>
      </c>
      <c r="AY20" s="1" t="n">
        <f aca="false">IF(AND('Daily Workforce'!$N40="Y",'Daily Workforce'!$B40&lt;&gt;"",COUNTIF('Daily Schedule'!$F$5:$F23,'Daily Workforce'!$B40)=0,IF('Daily Schedule'!$A24=45,'Daily Workforce'!$J40="Y",IF(OR('Daily Schedule'!$A24=4,'Daily Schedule'!$A24=8),IF(OR(WEEKDAY('Daily Schedule'!$B$2,2)=1,WEEKDAY('Daily Schedule'!$B$2,2)=4,WEEKDAY('Daily Schedule'!$B$2,2)=5,WEEKDAY('Daily Schedule'!$B$2,2)=7),IFERROR(1*'Daily Workforce'!$K40&gt;=3,FALSE()),IFERROR(1*'Daily Workforce'!$K40&gt;=2,FALSE())),IF(AND('Daily Schedule'!$A24&gt;=46,'Daily Schedule'!$A24&lt;=52),'Daily Workforce'!$M40="Y",IFERROR(1*'Daily Workforce'!$P40&gt;=2,FALSE()))))),1,0)</f>
        <v>1</v>
      </c>
      <c r="AZ20" s="1" t="n">
        <f aca="false">IF(AND('Daily Workforce'!$N41="Y",'Daily Workforce'!$B41&lt;&gt;"",COUNTIF('Daily Schedule'!$F$5:$F23,'Daily Workforce'!$B41)=0,IF('Daily Schedule'!$A24=45,'Daily Workforce'!$J41="Y",IF(OR('Daily Schedule'!$A24=4,'Daily Schedule'!$A24=8),IF(OR(WEEKDAY('Daily Schedule'!$B$2,2)=1,WEEKDAY('Daily Schedule'!$B$2,2)=4,WEEKDAY('Daily Schedule'!$B$2,2)=5,WEEKDAY('Daily Schedule'!$B$2,2)=7),IFERROR(1*'Daily Workforce'!$K41&gt;=3,FALSE()),IFERROR(1*'Daily Workforce'!$K41&gt;=2,FALSE())),IF(AND('Daily Schedule'!$A24&gt;=46,'Daily Schedule'!$A24&lt;=52),'Daily Workforce'!$M41="Y",IFERROR(1*'Daily Workforce'!$P41&gt;=2,FALSE()))))),1,0)</f>
        <v>1</v>
      </c>
      <c r="BA20" s="1" t="n">
        <f aca="false">IF(AND('Daily Workforce'!$N42="Y",'Daily Workforce'!$B42&lt;&gt;"",COUNTIF('Daily Schedule'!$F$5:$F23,'Daily Workforce'!$B42)=0,IF('Daily Schedule'!$A24=45,'Daily Workforce'!$J42="Y",IF(OR('Daily Schedule'!$A24=4,'Daily Schedule'!$A24=8),IF(OR(WEEKDAY('Daily Schedule'!$B$2,2)=1,WEEKDAY('Daily Schedule'!$B$2,2)=4,WEEKDAY('Daily Schedule'!$B$2,2)=5,WEEKDAY('Daily Schedule'!$B$2,2)=7),IFERROR(1*'Daily Workforce'!$K42&gt;=3,FALSE()),IFERROR(1*'Daily Workforce'!$K42&gt;=2,FALSE())),IF(AND('Daily Schedule'!$A24&gt;=46,'Daily Schedule'!$A24&lt;=52),'Daily Workforce'!$M42="Y",IFERROR(1*'Daily Workforce'!$P42&gt;=2,FALSE()))))),1,0)</f>
        <v>1</v>
      </c>
      <c r="BB20" s="1" t="n">
        <f aca="false">IF(AND('Daily Workforce'!$N43="Y",'Daily Workforce'!$B43&lt;&gt;"",COUNTIF('Daily Schedule'!$F$5:$F23,'Daily Workforce'!$B43)=0,IF('Daily Schedule'!$A24=45,'Daily Workforce'!$J43="Y",IF(OR('Daily Schedule'!$A24=4,'Daily Schedule'!$A24=8),IF(OR(WEEKDAY('Daily Schedule'!$B$2,2)=1,WEEKDAY('Daily Schedule'!$B$2,2)=4,WEEKDAY('Daily Schedule'!$B$2,2)=5,WEEKDAY('Daily Schedule'!$B$2,2)=7),IFERROR(1*'Daily Workforce'!$K43&gt;=3,FALSE()),IFERROR(1*'Daily Workforce'!$K43&gt;=2,FALSE())),IF(AND('Daily Schedule'!$A24&gt;=46,'Daily Schedule'!$A24&lt;=52),'Daily Workforce'!$M43="Y",IFERROR(1*'Daily Workforce'!$P43&gt;=2,FALSE()))))),1,0)</f>
        <v>1</v>
      </c>
      <c r="BC20" s="1" t="n">
        <f aca="false">IF(AND('Daily Workforce'!$N44="Y",'Daily Workforce'!$B44&lt;&gt;"",COUNTIF('Daily Schedule'!$F$5:$F23,'Daily Workforce'!$B44)=0,IF('Daily Schedule'!$A24=45,'Daily Workforce'!$J44="Y",IF(OR('Daily Schedule'!$A24=4,'Daily Schedule'!$A24=8),IF(OR(WEEKDAY('Daily Schedule'!$B$2,2)=1,WEEKDAY('Daily Schedule'!$B$2,2)=4,WEEKDAY('Daily Schedule'!$B$2,2)=5,WEEKDAY('Daily Schedule'!$B$2,2)=7),IFERROR(1*'Daily Workforce'!$K44&gt;=3,FALSE()),IFERROR(1*'Daily Workforce'!$K44&gt;=2,FALSE())),IF(AND('Daily Schedule'!$A24&gt;=46,'Daily Schedule'!$A24&lt;=52),'Daily Workforce'!$M44="Y",IFERROR(1*'Daily Workforce'!$P44&gt;=2,FALSE()))))),1,0)</f>
        <v>1</v>
      </c>
      <c r="BD20" s="1" t="n">
        <f aca="false">IF(AND('Daily Workforce'!$N45="Y",'Daily Workforce'!$B45&lt;&gt;"",COUNTIF('Daily Schedule'!$F$5:$F23,'Daily Workforce'!$B45)=0,IF('Daily Schedule'!$A24=45,'Daily Workforce'!$J45="Y",IF(OR('Daily Schedule'!$A24=4,'Daily Schedule'!$A24=8),IF(OR(WEEKDAY('Daily Schedule'!$B$2,2)=1,WEEKDAY('Daily Schedule'!$B$2,2)=4,WEEKDAY('Daily Schedule'!$B$2,2)=5,WEEKDAY('Daily Schedule'!$B$2,2)=7),IFERROR(1*'Daily Workforce'!$K45&gt;=3,FALSE()),IFERROR(1*'Daily Workforce'!$K45&gt;=2,FALSE())),IF(AND('Daily Schedule'!$A24&gt;=46,'Daily Schedule'!$A24&lt;=52),'Daily Workforce'!$M45="Y",IFERROR(1*'Daily Workforce'!$P45&gt;=2,FALSE()))))),1,0)</f>
        <v>1</v>
      </c>
      <c r="BE20" s="1" t="n">
        <f aca="false">IF(AND('Daily Workforce'!$N46="Y",'Daily Workforce'!$B46&lt;&gt;"",COUNTIF('Daily Schedule'!$F$5:$F23,'Daily Workforce'!$B46)=0,IF('Daily Schedule'!$A24=45,'Daily Workforce'!$J46="Y",IF(OR('Daily Schedule'!$A24=4,'Daily Schedule'!$A24=8),IF(OR(WEEKDAY('Daily Schedule'!$B$2,2)=1,WEEKDAY('Daily Schedule'!$B$2,2)=4,WEEKDAY('Daily Schedule'!$B$2,2)=5,WEEKDAY('Daily Schedule'!$B$2,2)=7),IFERROR(1*'Daily Workforce'!$K46&gt;=3,FALSE()),IFERROR(1*'Daily Workforce'!$K46&gt;=2,FALSE())),IF(AND('Daily Schedule'!$A24&gt;=46,'Daily Schedule'!$A24&lt;=52),'Daily Workforce'!$M46="Y",IFERROR(1*'Daily Workforce'!$P46&gt;=2,FALSE()))))),1,0)</f>
        <v>1</v>
      </c>
      <c r="BF20" s="1" t="n">
        <f aca="false">IF(AND('Daily Workforce'!$N47="Y",'Daily Workforce'!$B47&lt;&gt;"",COUNTIF('Daily Schedule'!$F$5:$F23,'Daily Workforce'!$B47)=0,IF('Daily Schedule'!$A24=45,'Daily Workforce'!$J47="Y",IF(OR('Daily Schedule'!$A24=4,'Daily Schedule'!$A24=8),IF(OR(WEEKDAY('Daily Schedule'!$B$2,2)=1,WEEKDAY('Daily Schedule'!$B$2,2)=4,WEEKDAY('Daily Schedule'!$B$2,2)=5,WEEKDAY('Daily Schedule'!$B$2,2)=7),IFERROR(1*'Daily Workforce'!$K47&gt;=3,FALSE()),IFERROR(1*'Daily Workforce'!$K47&gt;=2,FALSE())),IF(AND('Daily Schedule'!$A24&gt;=46,'Daily Schedule'!$A24&lt;=52),'Daily Workforce'!$M47="Y",IFERROR(1*'Daily Workforce'!$P47&gt;=2,FALSE()))))),1,0)</f>
        <v>0</v>
      </c>
      <c r="BG20" s="1" t="n">
        <f aca="false">IF(AND('Daily Workforce'!$N48="Y",'Daily Workforce'!$B48&lt;&gt;"",COUNTIF('Daily Schedule'!$F$5:$F23,'Daily Workforce'!$B48)=0,IF('Daily Schedule'!$A24=45,'Daily Workforce'!$J48="Y",IF(OR('Daily Schedule'!$A24=4,'Daily Schedule'!$A24=8),IF(OR(WEEKDAY('Daily Schedule'!$B$2,2)=1,WEEKDAY('Daily Schedule'!$B$2,2)=4,WEEKDAY('Daily Schedule'!$B$2,2)=5,WEEKDAY('Daily Schedule'!$B$2,2)=7),IFERROR(1*'Daily Workforce'!$K48&gt;=3,FALSE()),IFERROR(1*'Daily Workforce'!$K48&gt;=2,FALSE())),IF(AND('Daily Schedule'!$A24&gt;=46,'Daily Schedule'!$A24&lt;=52),'Daily Workforce'!$M48="Y",IFERROR(1*'Daily Workforce'!$P48&gt;=2,FALSE()))))),1,0)</f>
        <v>1</v>
      </c>
      <c r="BH20" s="1" t="n">
        <f aca="false">IF(AND('Daily Workforce'!$N49="Y",'Daily Workforce'!$B49&lt;&gt;"",COUNTIF('Daily Schedule'!$F$5:$F23,'Daily Workforce'!$B49)=0,IF('Daily Schedule'!$A24=45,'Daily Workforce'!$J49="Y",IF(OR('Daily Schedule'!$A24=4,'Daily Schedule'!$A24=8),IF(OR(WEEKDAY('Daily Schedule'!$B$2,2)=1,WEEKDAY('Daily Schedule'!$B$2,2)=4,WEEKDAY('Daily Schedule'!$B$2,2)=5,WEEKDAY('Daily Schedule'!$B$2,2)=7),IFERROR(1*'Daily Workforce'!$K49&gt;=3,FALSE()),IFERROR(1*'Daily Workforce'!$K49&gt;=2,FALSE())),IF(AND('Daily Schedule'!$A24&gt;=46,'Daily Schedule'!$A24&lt;=52),'Daily Workforce'!$M49="Y",IFERROR(1*'Daily Workforce'!$P49&gt;=2,FALSE()))))),1,0)</f>
        <v>1</v>
      </c>
      <c r="BI20" s="1" t="n">
        <f aca="false">IF(AND('Daily Workforce'!$N50="Y",'Daily Workforce'!$B50&lt;&gt;"",COUNTIF('Daily Schedule'!$F$5:$F23,'Daily Workforce'!$B50)=0,IF('Daily Schedule'!$A24=45,'Daily Workforce'!$J50="Y",IF(OR('Daily Schedule'!$A24=4,'Daily Schedule'!$A24=8),IF(OR(WEEKDAY('Daily Schedule'!$B$2,2)=1,WEEKDAY('Daily Schedule'!$B$2,2)=4,WEEKDAY('Daily Schedule'!$B$2,2)=5,WEEKDAY('Daily Schedule'!$B$2,2)=7),IFERROR(1*'Daily Workforce'!$K50&gt;=3,FALSE()),IFERROR(1*'Daily Workforce'!$K50&gt;=2,FALSE())),IF(AND('Daily Schedule'!$A24&gt;=46,'Daily Schedule'!$A24&lt;=52),'Daily Workforce'!$M50="Y",IFERROR(1*'Daily Workforce'!$P50&gt;=2,FALSE()))))),1,0)</f>
        <v>0</v>
      </c>
      <c r="BJ20" s="1" t="n">
        <f aca="false">IF(AND('Daily Workforce'!$N51="Y",'Daily Workforce'!$B51&lt;&gt;"",COUNTIF('Daily Schedule'!$F$5:$F23,'Daily Workforce'!$B51)=0,IF('Daily Schedule'!$A24=45,'Daily Workforce'!$J51="Y",IF(OR('Daily Schedule'!$A24=4,'Daily Schedule'!$A24=8),IF(OR(WEEKDAY('Daily Schedule'!$B$2,2)=1,WEEKDAY('Daily Schedule'!$B$2,2)=4,WEEKDAY('Daily Schedule'!$B$2,2)=5,WEEKDAY('Daily Schedule'!$B$2,2)=7),IFERROR(1*'Daily Workforce'!$K51&gt;=3,FALSE()),IFERROR(1*'Daily Workforce'!$K51&gt;=2,FALSE())),IF(AND('Daily Schedule'!$A24&gt;=46,'Daily Schedule'!$A24&lt;=52),'Daily Workforce'!$M51="Y",IFERROR(1*'Daily Workforce'!$P51&gt;=2,FALSE()))))),1,0)</f>
        <v>1</v>
      </c>
      <c r="BK20" s="1" t="n">
        <f aca="false">IF(AND('Daily Workforce'!$N52="Y",'Daily Workforce'!$B52&lt;&gt;"",COUNTIF('Daily Schedule'!$F$5:$F23,'Daily Workforce'!$B52)=0,IF('Daily Schedule'!$A24=45,'Daily Workforce'!$J52="Y",IF(OR('Daily Schedule'!$A24=4,'Daily Schedule'!$A24=8),IF(OR(WEEKDAY('Daily Schedule'!$B$2,2)=1,WEEKDAY('Daily Schedule'!$B$2,2)=4,WEEKDAY('Daily Schedule'!$B$2,2)=5,WEEKDAY('Daily Schedule'!$B$2,2)=7),IFERROR(1*'Daily Workforce'!$K52&gt;=3,FALSE()),IFERROR(1*'Daily Workforce'!$K52&gt;=2,FALSE())),IF(AND('Daily Schedule'!$A24&gt;=46,'Daily Schedule'!$A24&lt;=52),'Daily Workforce'!$M52="Y",IFERROR(1*'Daily Workforce'!$P52&gt;=2,FALSE()))))),1,0)</f>
        <v>1</v>
      </c>
      <c r="BL20" s="1" t="n">
        <f aca="false">IF(AND('Daily Workforce'!$N53="Y",'Daily Workforce'!$B53&lt;&gt;"",COUNTIF('Daily Schedule'!$F$5:$F23,'Daily Workforce'!$B53)=0,IF('Daily Schedule'!$A24=45,'Daily Workforce'!$J53="Y",IF(OR('Daily Schedule'!$A24=4,'Daily Schedule'!$A24=8),IF(OR(WEEKDAY('Daily Schedule'!$B$2,2)=1,WEEKDAY('Daily Schedule'!$B$2,2)=4,WEEKDAY('Daily Schedule'!$B$2,2)=5,WEEKDAY('Daily Schedule'!$B$2,2)=7),IFERROR(1*'Daily Workforce'!$K53&gt;=3,FALSE()),IFERROR(1*'Daily Workforce'!$K53&gt;=2,FALSE())),IF(AND('Daily Schedule'!$A24&gt;=46,'Daily Schedule'!$A24&lt;=52),'Daily Workforce'!$M53="Y",IFERROR(1*'Daily Workforce'!$P53&gt;=2,FALSE()))))),1,0)</f>
        <v>1</v>
      </c>
      <c r="BM20" s="1" t="n">
        <f aca="false">IF(AND('Daily Workforce'!$N54="Y",'Daily Workforce'!$B54&lt;&gt;"",COUNTIF('Daily Schedule'!$F$5:$F23,'Daily Workforce'!$B54)=0,IF('Daily Schedule'!$A24=45,'Daily Workforce'!$J54="Y",IF(OR('Daily Schedule'!$A24=4,'Daily Schedule'!$A24=8),IF(OR(WEEKDAY('Daily Schedule'!$B$2,2)=1,WEEKDAY('Daily Schedule'!$B$2,2)=4,WEEKDAY('Daily Schedule'!$B$2,2)=5,WEEKDAY('Daily Schedule'!$B$2,2)=7),IFERROR(1*'Daily Workforce'!$K54&gt;=3,FALSE()),IFERROR(1*'Daily Workforce'!$K54&gt;=2,FALSE())),IF(AND('Daily Schedule'!$A24&gt;=46,'Daily Schedule'!$A24&lt;=52),'Daily Workforce'!$M54="Y",IFERROR(1*'Daily Workforce'!$P54&gt;=2,FALSE()))))),1,0)</f>
        <v>1</v>
      </c>
      <c r="BN20" s="1" t="n">
        <f aca="false">IF(AND('Daily Workforce'!$N55="Y",'Daily Workforce'!$B55&lt;&gt;"",COUNTIF('Daily Schedule'!$F$5:$F23,'Daily Workforce'!$B55)=0,IF('Daily Schedule'!$A24=45,'Daily Workforce'!$J55="Y",IF(OR('Daily Schedule'!$A24=4,'Daily Schedule'!$A24=8),IF(OR(WEEKDAY('Daily Schedule'!$B$2,2)=1,WEEKDAY('Daily Schedule'!$B$2,2)=4,WEEKDAY('Daily Schedule'!$B$2,2)=5,WEEKDAY('Daily Schedule'!$B$2,2)=7),IFERROR(1*'Daily Workforce'!$K55&gt;=3,FALSE()),IFERROR(1*'Daily Workforce'!$K55&gt;=2,FALSE())),IF(AND('Daily Schedule'!$A24&gt;=46,'Daily Schedule'!$A24&lt;=52),'Daily Workforce'!$M55="Y",IFERROR(1*'Daily Workforce'!$P55&gt;=2,FALSE()))))),1,0)</f>
        <v>1</v>
      </c>
      <c r="BO20" s="1" t="n">
        <f aca="false">IF(AND('Daily Workforce'!$N56="Y",'Daily Workforce'!$B56&lt;&gt;"",COUNTIF('Daily Schedule'!$F$5:$F23,'Daily Workforce'!$B56)=0,IF('Daily Schedule'!$A24=45,'Daily Workforce'!$J56="Y",IF(OR('Daily Schedule'!$A24=4,'Daily Schedule'!$A24=8),IF(OR(WEEKDAY('Daily Schedule'!$B$2,2)=1,WEEKDAY('Daily Schedule'!$B$2,2)=4,WEEKDAY('Daily Schedule'!$B$2,2)=5,WEEKDAY('Daily Schedule'!$B$2,2)=7),IFERROR(1*'Daily Workforce'!$K56&gt;=3,FALSE()),IFERROR(1*'Daily Workforce'!$K56&gt;=2,FALSE())),IF(AND('Daily Schedule'!$A24&gt;=46,'Daily Schedule'!$A24&lt;=52),'Daily Workforce'!$M56="Y",IFERROR(1*'Daily Workforce'!$P56&gt;=2,FALSE()))))),1,0)</f>
        <v>1</v>
      </c>
      <c r="BP20" s="1" t="n">
        <f aca="false">IF(AND('Daily Workforce'!$N57="Y",'Daily Workforce'!$B57&lt;&gt;"",COUNTIF('Daily Schedule'!$F$5:$F23,'Daily Workforce'!$B57)=0,IF('Daily Schedule'!$A24=45,'Daily Workforce'!$J57="Y",IF(OR('Daily Schedule'!$A24=4,'Daily Schedule'!$A24=8),IF(OR(WEEKDAY('Daily Schedule'!$B$2,2)=1,WEEKDAY('Daily Schedule'!$B$2,2)=4,WEEKDAY('Daily Schedule'!$B$2,2)=5,WEEKDAY('Daily Schedule'!$B$2,2)=7),IFERROR(1*'Daily Workforce'!$K57&gt;=3,FALSE()),IFERROR(1*'Daily Workforce'!$K57&gt;=2,FALSE())),IF(AND('Daily Schedule'!$A24&gt;=46,'Daily Schedule'!$A24&lt;=52),'Daily Workforce'!$M57="Y",IFERROR(1*'Daily Workforce'!$P57&gt;=2,FALSE()))))),1,0)</f>
        <v>0</v>
      </c>
      <c r="BQ20" s="1" t="n">
        <f aca="false">IF(AND('Daily Workforce'!$N58="Y",'Daily Workforce'!$B58&lt;&gt;"",COUNTIF('Daily Schedule'!$F$5:$F23,'Daily Workforce'!$B58)=0,IF('Daily Schedule'!$A24=45,'Daily Workforce'!$J58="Y",IF(OR('Daily Schedule'!$A24=4,'Daily Schedule'!$A24=8),IF(OR(WEEKDAY('Daily Schedule'!$B$2,2)=1,WEEKDAY('Daily Schedule'!$B$2,2)=4,WEEKDAY('Daily Schedule'!$B$2,2)=5,WEEKDAY('Daily Schedule'!$B$2,2)=7),IFERROR(1*'Daily Workforce'!$K58&gt;=3,FALSE()),IFERROR(1*'Daily Workforce'!$K58&gt;=2,FALSE())),IF(AND('Daily Schedule'!$A24&gt;=46,'Daily Schedule'!$A24&lt;=52),'Daily Workforce'!$M58="Y",IFERROR(1*'Daily Workforce'!$P58&gt;=2,FALSE()))))),1,0)</f>
        <v>1</v>
      </c>
      <c r="BR20" s="1" t="n">
        <f aca="false">IF(AND('Daily Workforce'!$N59="Y",'Daily Workforce'!$B59&lt;&gt;"",COUNTIF('Daily Schedule'!$F$5:$F23,'Daily Workforce'!$B59)=0,IF('Daily Schedule'!$A24=45,'Daily Workforce'!$J59="Y",IF(OR('Daily Schedule'!$A24=4,'Daily Schedule'!$A24=8),IF(OR(WEEKDAY('Daily Schedule'!$B$2,2)=1,WEEKDAY('Daily Schedule'!$B$2,2)=4,WEEKDAY('Daily Schedule'!$B$2,2)=5,WEEKDAY('Daily Schedule'!$B$2,2)=7),IFERROR(1*'Daily Workforce'!$K59&gt;=3,FALSE()),IFERROR(1*'Daily Workforce'!$K59&gt;=2,FALSE())),IF(AND('Daily Schedule'!$A24&gt;=46,'Daily Schedule'!$A24&lt;=52),'Daily Workforce'!$M59="Y",IFERROR(1*'Daily Workforce'!$P59&gt;=2,FALSE()))))),1,0)</f>
        <v>1</v>
      </c>
      <c r="BS20" s="1" t="n">
        <f aca="false">IF(AND('Daily Workforce'!$N60="Y",'Daily Workforce'!$B60&lt;&gt;"",COUNTIF('Daily Schedule'!$F$5:$F23,'Daily Workforce'!$B60)=0,IF('Daily Schedule'!$A24=45,'Daily Workforce'!$J60="Y",IF(OR('Daily Schedule'!$A24=4,'Daily Schedule'!$A24=8),IF(OR(WEEKDAY('Daily Schedule'!$B$2,2)=1,WEEKDAY('Daily Schedule'!$B$2,2)=4,WEEKDAY('Daily Schedule'!$B$2,2)=5,WEEKDAY('Daily Schedule'!$B$2,2)=7),IFERROR(1*'Daily Workforce'!$K60&gt;=3,FALSE()),IFERROR(1*'Daily Workforce'!$K60&gt;=2,FALSE())),IF(AND('Daily Schedule'!$A24&gt;=46,'Daily Schedule'!$A24&lt;=52),'Daily Workforce'!$M60="Y",IFERROR(1*'Daily Workforce'!$P60&gt;=2,FALSE()))))),1,0)</f>
        <v>1</v>
      </c>
      <c r="BT20" s="1" t="n">
        <f aca="false">IF(AND('Daily Workforce'!$N61="Y",'Daily Workforce'!$B61&lt;&gt;"",COUNTIF('Daily Schedule'!$F$5:$F23,'Daily Workforce'!$B61)=0,IF('Daily Schedule'!$A24=45,'Daily Workforce'!$J61="Y",IF(OR('Daily Schedule'!$A24=4,'Daily Schedule'!$A24=8),IF(OR(WEEKDAY('Daily Schedule'!$B$2,2)=1,WEEKDAY('Daily Schedule'!$B$2,2)=4,WEEKDAY('Daily Schedule'!$B$2,2)=5,WEEKDAY('Daily Schedule'!$B$2,2)=7),IFERROR(1*'Daily Workforce'!$K61&gt;=3,FALSE()),IFERROR(1*'Daily Workforce'!$K61&gt;=2,FALSE())),IF(AND('Daily Schedule'!$A24&gt;=46,'Daily Schedule'!$A24&lt;=52),'Daily Workforce'!$M61="Y",IFERROR(1*'Daily Workforce'!$P61&gt;=2,FALSE()))))),1,0)</f>
        <v>0</v>
      </c>
      <c r="BU20" s="1" t="n">
        <f aca="false">IF(AND('Daily Workforce'!$N62="Y",'Daily Workforce'!$B62&lt;&gt;"",COUNTIF('Daily Schedule'!$F$5:$F23,'Daily Workforce'!$B62)=0,IF('Daily Schedule'!$A24=45,'Daily Workforce'!$J62="Y",IF(OR('Daily Schedule'!$A24=4,'Daily Schedule'!$A24=8),IF(OR(WEEKDAY('Daily Schedule'!$B$2,2)=1,WEEKDAY('Daily Schedule'!$B$2,2)=4,WEEKDAY('Daily Schedule'!$B$2,2)=5,WEEKDAY('Daily Schedule'!$B$2,2)=7),IFERROR(1*'Daily Workforce'!$K62&gt;=3,FALSE()),IFERROR(1*'Daily Workforce'!$K62&gt;=2,FALSE())),IF(AND('Daily Schedule'!$A24&gt;=46,'Daily Schedule'!$A24&lt;=52),'Daily Workforce'!$M62="Y",IFERROR(1*'Daily Workforce'!$P62&gt;=2,FALSE()))))),1,0)</f>
        <v>1</v>
      </c>
      <c r="BV20" s="1" t="n">
        <f aca="false">IF(AND('Daily Workforce'!$N63="Y",'Daily Workforce'!$B63&lt;&gt;"",COUNTIF('Daily Schedule'!$F$5:$F23,'Daily Workforce'!$B63)=0,IF('Daily Schedule'!$A24=45,'Daily Workforce'!$J63="Y",IF(OR('Daily Schedule'!$A24=4,'Daily Schedule'!$A24=8),IF(OR(WEEKDAY('Daily Schedule'!$B$2,2)=1,WEEKDAY('Daily Schedule'!$B$2,2)=4,WEEKDAY('Daily Schedule'!$B$2,2)=5,WEEKDAY('Daily Schedule'!$B$2,2)=7),IFERROR(1*'Daily Workforce'!$K63&gt;=3,FALSE()),IFERROR(1*'Daily Workforce'!$K63&gt;=2,FALSE())),IF(AND('Daily Schedule'!$A24&gt;=46,'Daily Schedule'!$A24&lt;=52),'Daily Workforce'!$M63="Y",IFERROR(1*'Daily Workforce'!$P63&gt;=2,FALSE()))))),1,0)</f>
        <v>1</v>
      </c>
      <c r="BW20" s="1" t="n">
        <f aca="false">IF(AND('Daily Workforce'!$N64="Y",'Daily Workforce'!$B64&lt;&gt;"",COUNTIF('Daily Schedule'!$F$5:$F23,'Daily Workforce'!$B64)=0,IF('Daily Schedule'!$A24=45,'Daily Workforce'!$J64="Y",IF(OR('Daily Schedule'!$A24=4,'Daily Schedule'!$A24=8),IF(OR(WEEKDAY('Daily Schedule'!$B$2,2)=1,WEEKDAY('Daily Schedule'!$B$2,2)=4,WEEKDAY('Daily Schedule'!$B$2,2)=5,WEEKDAY('Daily Schedule'!$B$2,2)=7),IFERROR(1*'Daily Workforce'!$K64&gt;=3,FALSE()),IFERROR(1*'Daily Workforce'!$K64&gt;=2,FALSE())),IF(AND('Daily Schedule'!$A24&gt;=46,'Daily Schedule'!$A24&lt;=52),'Daily Workforce'!$M64="Y",IFERROR(1*'Daily Workforce'!$P64&gt;=2,FALSE()))))),1,0)</f>
        <v>1</v>
      </c>
      <c r="BX20" s="1" t="n">
        <f aca="false">IF(AND('Daily Workforce'!$N65="Y",'Daily Workforce'!$B65&lt;&gt;"",COUNTIF('Daily Schedule'!$F$5:$F23,'Daily Workforce'!$B65)=0,IF('Daily Schedule'!$A24=45,'Daily Workforce'!$J65="Y",IF(OR('Daily Schedule'!$A24=4,'Daily Schedule'!$A24=8),IF(OR(WEEKDAY('Daily Schedule'!$B$2,2)=1,WEEKDAY('Daily Schedule'!$B$2,2)=4,WEEKDAY('Daily Schedule'!$B$2,2)=5,WEEKDAY('Daily Schedule'!$B$2,2)=7),IFERROR(1*'Daily Workforce'!$K65&gt;=3,FALSE()),IFERROR(1*'Daily Workforce'!$K65&gt;=2,FALSE())),IF(AND('Daily Schedule'!$A24&gt;=46,'Daily Schedule'!$A24&lt;=52),'Daily Workforce'!$M65="Y",IFERROR(1*'Daily Workforce'!$P65&gt;=2,FALSE()))))),1,0)</f>
        <v>1</v>
      </c>
      <c r="BY20" s="1" t="n">
        <f aca="false">IF(AND('Daily Workforce'!$N66="Y",'Daily Workforce'!$B66&lt;&gt;"",COUNTIF('Daily Schedule'!$F$5:$F23,'Daily Workforce'!$B66)=0,IF('Daily Schedule'!$A24=45,'Daily Workforce'!$J66="Y",IF(OR('Daily Schedule'!$A24=4,'Daily Schedule'!$A24=8),IF(OR(WEEKDAY('Daily Schedule'!$B$2,2)=1,WEEKDAY('Daily Schedule'!$B$2,2)=4,WEEKDAY('Daily Schedule'!$B$2,2)=5,WEEKDAY('Daily Schedule'!$B$2,2)=7),IFERROR(1*'Daily Workforce'!$K66&gt;=3,FALSE()),IFERROR(1*'Daily Workforce'!$K66&gt;=2,FALSE())),IF(AND('Daily Schedule'!$A24&gt;=46,'Daily Schedule'!$A24&lt;=52),'Daily Workforce'!$M66="Y",IFERROR(1*'Daily Workforce'!$P66&gt;=2,FALSE()))))),1,0)</f>
        <v>1</v>
      </c>
      <c r="BZ20" s="1" t="n">
        <f aca="false">IF(AND('Daily Workforce'!$N67="Y",'Daily Workforce'!$B67&lt;&gt;"",COUNTIF('Daily Schedule'!$F$5:$F23,'Daily Workforce'!$B67)=0,IF('Daily Schedule'!$A24=45,'Daily Workforce'!$J67="Y",IF(OR('Daily Schedule'!$A24=4,'Daily Schedule'!$A24=8),IF(OR(WEEKDAY('Daily Schedule'!$B$2,2)=1,WEEKDAY('Daily Schedule'!$B$2,2)=4,WEEKDAY('Daily Schedule'!$B$2,2)=5,WEEKDAY('Daily Schedule'!$B$2,2)=7),IFERROR(1*'Daily Workforce'!$K67&gt;=3,FALSE()),IFERROR(1*'Daily Workforce'!$K67&gt;=2,FALSE())),IF(AND('Daily Schedule'!$A24&gt;=46,'Daily Schedule'!$A24&lt;=52),'Daily Workforce'!$M67="Y",IFERROR(1*'Daily Workforce'!$P67&gt;=2,FALSE()))))),1,0)</f>
        <v>1</v>
      </c>
      <c r="CA20" s="1" t="n">
        <f aca="false">IF(AND('Daily Workforce'!$N68="Y",'Daily Workforce'!$B68&lt;&gt;"",COUNTIF('Daily Schedule'!$F$5:$F23,'Daily Workforce'!$B68)=0,IF('Daily Schedule'!$A24=45,'Daily Workforce'!$J68="Y",IF(OR('Daily Schedule'!$A24=4,'Daily Schedule'!$A24=8),IF(OR(WEEKDAY('Daily Schedule'!$B$2,2)=1,WEEKDAY('Daily Schedule'!$B$2,2)=4,WEEKDAY('Daily Schedule'!$B$2,2)=5,WEEKDAY('Daily Schedule'!$B$2,2)=7),IFERROR(1*'Daily Workforce'!$K68&gt;=3,FALSE()),IFERROR(1*'Daily Workforce'!$K68&gt;=2,FALSE())),IF(AND('Daily Schedule'!$A24&gt;=46,'Daily Schedule'!$A24&lt;=52),'Daily Workforce'!$M68="Y",IFERROR(1*'Daily Workforce'!$P68&gt;=2,FALSE()))))),1,0)</f>
        <v>1</v>
      </c>
      <c r="CB20" s="1" t="n">
        <f aca="false">IF(AND('Daily Workforce'!$N69="Y",'Daily Workforce'!$B69&lt;&gt;"",COUNTIF('Daily Schedule'!$F$5:$F23,'Daily Workforce'!$B69)=0,IF('Daily Schedule'!$A24=45,'Daily Workforce'!$J69="Y",IF(OR('Daily Schedule'!$A24=4,'Daily Schedule'!$A24=8),IF(OR(WEEKDAY('Daily Schedule'!$B$2,2)=1,WEEKDAY('Daily Schedule'!$B$2,2)=4,WEEKDAY('Daily Schedule'!$B$2,2)=5,WEEKDAY('Daily Schedule'!$B$2,2)=7),IFERROR(1*'Daily Workforce'!$K69&gt;=3,FALSE()),IFERROR(1*'Daily Workforce'!$K69&gt;=2,FALSE())),IF(AND('Daily Schedule'!$A24&gt;=46,'Daily Schedule'!$A24&lt;=52),'Daily Workforce'!$M69="Y",IFERROR(1*'Daily Workforce'!$P69&gt;=2,FALSE()))))),1,0)</f>
        <v>1</v>
      </c>
      <c r="CC20" s="1" t="n">
        <f aca="false">IF(AND('Daily Workforce'!$N70="Y",'Daily Workforce'!$B70&lt;&gt;"",COUNTIF('Daily Schedule'!$F$5:$F23,'Daily Workforce'!$B70)=0,IF('Daily Schedule'!$A24=45,'Daily Workforce'!$J70="Y",IF(OR('Daily Schedule'!$A24=4,'Daily Schedule'!$A24=8),IF(OR(WEEKDAY('Daily Schedule'!$B$2,2)=1,WEEKDAY('Daily Schedule'!$B$2,2)=4,WEEKDAY('Daily Schedule'!$B$2,2)=5,WEEKDAY('Daily Schedule'!$B$2,2)=7),IFERROR(1*'Daily Workforce'!$K70&gt;=3,FALSE()),IFERROR(1*'Daily Workforce'!$K70&gt;=2,FALSE())),IF(AND('Daily Schedule'!$A24&gt;=46,'Daily Schedule'!$A24&lt;=52),'Daily Workforce'!$M70="Y",IFERROR(1*'Daily Workforce'!$P70&gt;=2,FALSE()))))),1,0)</f>
        <v>1</v>
      </c>
      <c r="CD20" s="1" t="n">
        <f aca="false">IF(AND('Daily Workforce'!$N71="Y",'Daily Workforce'!$B71&lt;&gt;"",COUNTIF('Daily Schedule'!$F$5:$F23,'Daily Workforce'!$B71)=0,IF('Daily Schedule'!$A24=45,'Daily Workforce'!$J71="Y",IF(OR('Daily Schedule'!$A24=4,'Daily Schedule'!$A24=8),IF(OR(WEEKDAY('Daily Schedule'!$B$2,2)=1,WEEKDAY('Daily Schedule'!$B$2,2)=4,WEEKDAY('Daily Schedule'!$B$2,2)=5,WEEKDAY('Daily Schedule'!$B$2,2)=7),IFERROR(1*'Daily Workforce'!$K71&gt;=3,FALSE()),IFERROR(1*'Daily Workforce'!$K71&gt;=2,FALSE())),IF(AND('Daily Schedule'!$A24&gt;=46,'Daily Schedule'!$A24&lt;=52),'Daily Workforce'!$M71="Y",IFERROR(1*'Daily Workforce'!$P71&gt;=2,FALSE()))))),1,0)</f>
        <v>1</v>
      </c>
      <c r="CE20" s="1" t="n">
        <f aca="false">IF(AND('Daily Workforce'!$N72="Y",'Daily Workforce'!$B72&lt;&gt;"",COUNTIF('Daily Schedule'!$F$5:$F23,'Daily Workforce'!$B72)=0,IF('Daily Schedule'!$A24=45,'Daily Workforce'!$J72="Y",IF(OR('Daily Schedule'!$A24=4,'Daily Schedule'!$A24=8),IF(OR(WEEKDAY('Daily Schedule'!$B$2,2)=1,WEEKDAY('Daily Schedule'!$B$2,2)=4,WEEKDAY('Daily Schedule'!$B$2,2)=5,WEEKDAY('Daily Schedule'!$B$2,2)=7),IFERROR(1*'Daily Workforce'!$K72&gt;=3,FALSE()),IFERROR(1*'Daily Workforce'!$K72&gt;=2,FALSE())),IF(AND('Daily Schedule'!$A24&gt;=46,'Daily Schedule'!$A24&lt;=52),'Daily Workforce'!$M72="Y",IFERROR(1*'Daily Workforce'!$P72&gt;=2,FALSE()))))),1,0)</f>
        <v>1</v>
      </c>
      <c r="CF20" s="1" t="n">
        <f aca="false">IF(AND('Daily Workforce'!$N73="Y",'Daily Workforce'!$B73&lt;&gt;"",COUNTIF('Daily Schedule'!$F$5:$F23,'Daily Workforce'!$B73)=0,IF('Daily Schedule'!$A24=45,'Daily Workforce'!$J73="Y",IF(OR('Daily Schedule'!$A24=4,'Daily Schedule'!$A24=8),IF(OR(WEEKDAY('Daily Schedule'!$B$2,2)=1,WEEKDAY('Daily Schedule'!$B$2,2)=4,WEEKDAY('Daily Schedule'!$B$2,2)=5,WEEKDAY('Daily Schedule'!$B$2,2)=7),IFERROR(1*'Daily Workforce'!$K73&gt;=3,FALSE()),IFERROR(1*'Daily Workforce'!$K73&gt;=2,FALSE())),IF(AND('Daily Schedule'!$A24&gt;=46,'Daily Schedule'!$A24&lt;=52),'Daily Workforce'!$M73="Y",IFERROR(1*'Daily Workforce'!$P73&gt;=2,FALSE()))))),1,0)</f>
        <v>1</v>
      </c>
      <c r="CG20" s="1" t="n">
        <f aca="false">IF(AND('Daily Workforce'!$N74="Y",'Daily Workforce'!$B74&lt;&gt;"",COUNTIF('Daily Schedule'!$F$5:$F23,'Daily Workforce'!$B74)=0,IF('Daily Schedule'!$A24=45,'Daily Workforce'!$J74="Y",IF(OR('Daily Schedule'!$A24=4,'Daily Schedule'!$A24=8),IF(OR(WEEKDAY('Daily Schedule'!$B$2,2)=1,WEEKDAY('Daily Schedule'!$B$2,2)=4,WEEKDAY('Daily Schedule'!$B$2,2)=5,WEEKDAY('Daily Schedule'!$B$2,2)=7),IFERROR(1*'Daily Workforce'!$K74&gt;=3,FALSE()),IFERROR(1*'Daily Workforce'!$K74&gt;=2,FALSE())),IF(AND('Daily Schedule'!$A24&gt;=46,'Daily Schedule'!$A24&lt;=52),'Daily Workforce'!$M74="Y",IFERROR(1*'Daily Workforce'!$P74&gt;=2,FALSE()))))),1,0)</f>
        <v>1</v>
      </c>
      <c r="CH20" s="1" t="n">
        <f aca="false">IF(AND('Daily Workforce'!$N75="Y",'Daily Workforce'!$B75&lt;&gt;"",COUNTIF('Daily Schedule'!$F$5:$F23,'Daily Workforce'!$B75)=0,IF('Daily Schedule'!$A24=45,'Daily Workforce'!$J75="Y",IF(OR('Daily Schedule'!$A24=4,'Daily Schedule'!$A24=8),IF(OR(WEEKDAY('Daily Schedule'!$B$2,2)=1,WEEKDAY('Daily Schedule'!$B$2,2)=4,WEEKDAY('Daily Schedule'!$B$2,2)=5,WEEKDAY('Daily Schedule'!$B$2,2)=7),IFERROR(1*'Daily Workforce'!$K75&gt;=3,FALSE()),IFERROR(1*'Daily Workforce'!$K75&gt;=2,FALSE())),IF(AND('Daily Schedule'!$A24&gt;=46,'Daily Schedule'!$A24&lt;=52),'Daily Workforce'!$M75="Y",IFERROR(1*'Daily Workforce'!$P75&gt;=2,FALSE()))))),1,0)</f>
        <v>1</v>
      </c>
      <c r="CI20" s="1" t="n">
        <f aca="false">IF(AND('Daily Workforce'!$N76="Y",'Daily Workforce'!$B76&lt;&gt;"",COUNTIF('Daily Schedule'!$F$5:$F23,'Daily Workforce'!$B76)=0,IF('Daily Schedule'!$A24=45,'Daily Workforce'!$J76="Y",IF(OR('Daily Schedule'!$A24=4,'Daily Schedule'!$A24=8),IF(OR(WEEKDAY('Daily Schedule'!$B$2,2)=1,WEEKDAY('Daily Schedule'!$B$2,2)=4,WEEKDAY('Daily Schedule'!$B$2,2)=5,WEEKDAY('Daily Schedule'!$B$2,2)=7),IFERROR(1*'Daily Workforce'!$K76&gt;=3,FALSE()),IFERROR(1*'Daily Workforce'!$K76&gt;=2,FALSE())),IF(AND('Daily Schedule'!$A24&gt;=46,'Daily Schedule'!$A24&lt;=52),'Daily Workforce'!$M76="Y",IFERROR(1*'Daily Workforce'!$P76&gt;=2,FALSE()))))),1,0)</f>
        <v>1</v>
      </c>
      <c r="CJ20" s="1" t="n">
        <f aca="false">IF(AND('Daily Workforce'!$N77="Y",'Daily Workforce'!$B77&lt;&gt;"",COUNTIF('Daily Schedule'!$F$5:$F23,'Daily Workforce'!$B77)=0,IF('Daily Schedule'!$A24=45,'Daily Workforce'!$J77="Y",IF(OR('Daily Schedule'!$A24=4,'Daily Schedule'!$A24=8),IF(OR(WEEKDAY('Daily Schedule'!$B$2,2)=1,WEEKDAY('Daily Schedule'!$B$2,2)=4,WEEKDAY('Daily Schedule'!$B$2,2)=5,WEEKDAY('Daily Schedule'!$B$2,2)=7),IFERROR(1*'Daily Workforce'!$K77&gt;=3,FALSE()),IFERROR(1*'Daily Workforce'!$K77&gt;=2,FALSE())),IF(AND('Daily Schedule'!$A24&gt;=46,'Daily Schedule'!$A24&lt;=52),'Daily Workforce'!$M77="Y",IFERROR(1*'Daily Workforce'!$P77&gt;=2,FALSE()))))),1,0)</f>
        <v>1</v>
      </c>
      <c r="CK20" s="1" t="n">
        <f aca="false">IF(AND('Daily Workforce'!$N78="Y",'Daily Workforce'!$B78&lt;&gt;"",COUNTIF('Daily Schedule'!$F$5:$F23,'Daily Workforce'!$B78)=0,IF('Daily Schedule'!$A24=45,'Daily Workforce'!$J78="Y",IF(OR('Daily Schedule'!$A24=4,'Daily Schedule'!$A24=8),IF(OR(WEEKDAY('Daily Schedule'!$B$2,2)=1,WEEKDAY('Daily Schedule'!$B$2,2)=4,WEEKDAY('Daily Schedule'!$B$2,2)=5,WEEKDAY('Daily Schedule'!$B$2,2)=7),IFERROR(1*'Daily Workforce'!$K78&gt;=3,FALSE()),IFERROR(1*'Daily Workforce'!$K78&gt;=2,FALSE())),IF(AND('Daily Schedule'!$A24&gt;=46,'Daily Schedule'!$A24&lt;=52),'Daily Workforce'!$M78="Y",IFERROR(1*'Daily Workforce'!$P78&gt;=2,FALSE()))))),1,0)</f>
        <v>1</v>
      </c>
      <c r="CL20" s="1" t="n">
        <f aca="false">IF(AND('Daily Workforce'!$N79="Y",'Daily Workforce'!$B79&lt;&gt;"",COUNTIF('Daily Schedule'!$F$5:$F23,'Daily Workforce'!$B79)=0,IF('Daily Schedule'!$A24=45,'Daily Workforce'!$J79="Y",IF(OR('Daily Schedule'!$A24=4,'Daily Schedule'!$A24=8),IF(OR(WEEKDAY('Daily Schedule'!$B$2,2)=1,WEEKDAY('Daily Schedule'!$B$2,2)=4,WEEKDAY('Daily Schedule'!$B$2,2)=5,WEEKDAY('Daily Schedule'!$B$2,2)=7),IFERROR(1*'Daily Workforce'!$K79&gt;=3,FALSE()),IFERROR(1*'Daily Workforce'!$K79&gt;=2,FALSE())),IF(AND('Daily Schedule'!$A24&gt;=46,'Daily Schedule'!$A24&lt;=52),'Daily Workforce'!$M79="Y",IFERROR(1*'Daily Workforce'!$P79&gt;=2,FALSE()))))),1,0)</f>
        <v>1</v>
      </c>
      <c r="CM20" s="1" t="n">
        <f aca="false">IF(AND('Daily Workforce'!$N80="Y",'Daily Workforce'!$B80&lt;&gt;"",COUNTIF('Daily Schedule'!$F$5:$F23,'Daily Workforce'!$B80)=0,IF('Daily Schedule'!$A24=45,'Daily Workforce'!$J80="Y",IF(OR('Daily Schedule'!$A24=4,'Daily Schedule'!$A24=8),IF(OR(WEEKDAY('Daily Schedule'!$B$2,2)=1,WEEKDAY('Daily Schedule'!$B$2,2)=4,WEEKDAY('Daily Schedule'!$B$2,2)=5,WEEKDAY('Daily Schedule'!$B$2,2)=7),IFERROR(1*'Daily Workforce'!$K80&gt;=3,FALSE()),IFERROR(1*'Daily Workforce'!$K80&gt;=2,FALSE())),IF(AND('Daily Schedule'!$A24&gt;=46,'Daily Schedule'!$A24&lt;=52),'Daily Workforce'!$M80="Y",IFERROR(1*'Daily Workforce'!$P80&gt;=2,FALSE()))))),1,0)</f>
        <v>1</v>
      </c>
      <c r="CN20" s="1" t="n">
        <f aca="false">IF(AND('Daily Workforce'!$N81="Y",'Daily Workforce'!$B81&lt;&gt;"",COUNTIF('Daily Schedule'!$F$5:$F23,'Daily Workforce'!$B81)=0,IF('Daily Schedule'!$A24=45,'Daily Workforce'!$J81="Y",IF(OR('Daily Schedule'!$A24=4,'Daily Schedule'!$A24=8),IF(OR(WEEKDAY('Daily Schedule'!$B$2,2)=1,WEEKDAY('Daily Schedule'!$B$2,2)=4,WEEKDAY('Daily Schedule'!$B$2,2)=5,WEEKDAY('Daily Schedule'!$B$2,2)=7),IFERROR(1*'Daily Workforce'!$K81&gt;=3,FALSE()),IFERROR(1*'Daily Workforce'!$K81&gt;=2,FALSE())),IF(AND('Daily Schedule'!$A24&gt;=46,'Daily Schedule'!$A24&lt;=52),'Daily Workforce'!$M81="Y",IFERROR(1*'Daily Workforce'!$P81&gt;=2,FALSE()))))),1,0)</f>
        <v>1</v>
      </c>
      <c r="CO20" s="1" t="n">
        <f aca="false">IF(AND('Daily Workforce'!$N82="Y",'Daily Workforce'!$B82&lt;&gt;"",COUNTIF('Daily Schedule'!$F$5:$F23,'Daily Workforce'!$B82)=0,IF('Daily Schedule'!$A24=45,'Daily Workforce'!$J82="Y",IF(OR('Daily Schedule'!$A24=4,'Daily Schedule'!$A24=8),IF(OR(WEEKDAY('Daily Schedule'!$B$2,2)=1,WEEKDAY('Daily Schedule'!$B$2,2)=4,WEEKDAY('Daily Schedule'!$B$2,2)=5,WEEKDAY('Daily Schedule'!$B$2,2)=7),IFERROR(1*'Daily Workforce'!$K82&gt;=3,FALSE()),IFERROR(1*'Daily Workforce'!$K82&gt;=2,FALSE())),IF(AND('Daily Schedule'!$A24&gt;=46,'Daily Schedule'!$A24&lt;=52),'Daily Workforce'!$M82="Y",IFERROR(1*'Daily Workforce'!$P82&gt;=2,FALSE()))))),1,0)</f>
        <v>1</v>
      </c>
      <c r="CP20" s="1" t="n">
        <f aca="false">IF(AND('Daily Workforce'!$N83="Y",'Daily Workforce'!$B83&lt;&gt;"",COUNTIF('Daily Schedule'!$F$5:$F23,'Daily Workforce'!$B83)=0,IF('Daily Schedule'!$A24=45,'Daily Workforce'!$J83="Y",IF(OR('Daily Schedule'!$A24=4,'Daily Schedule'!$A24=8),IF(OR(WEEKDAY('Daily Schedule'!$B$2,2)=1,WEEKDAY('Daily Schedule'!$B$2,2)=4,WEEKDAY('Daily Schedule'!$B$2,2)=5,WEEKDAY('Daily Schedule'!$B$2,2)=7),IFERROR(1*'Daily Workforce'!$K83&gt;=3,FALSE()),IFERROR(1*'Daily Workforce'!$K83&gt;=2,FALSE())),IF(AND('Daily Schedule'!$A24&gt;=46,'Daily Schedule'!$A24&lt;=52),'Daily Workforce'!$M83="Y",IFERROR(1*'Daily Workforce'!$P83&gt;=2,FALSE()))))),1,0)</f>
        <v>0</v>
      </c>
      <c r="CQ20" s="1" t="n">
        <f aca="false">IF(AND('Daily Workforce'!$N84="Y",'Daily Workforce'!$B84&lt;&gt;"",COUNTIF('Daily Schedule'!$F$5:$F23,'Daily Workforce'!$B84)=0,IF('Daily Schedule'!$A24=45,'Daily Workforce'!$J84="Y",IF(OR('Daily Schedule'!$A24=4,'Daily Schedule'!$A24=8),IF(OR(WEEKDAY('Daily Schedule'!$B$2,2)=1,WEEKDAY('Daily Schedule'!$B$2,2)=4,WEEKDAY('Daily Schedule'!$B$2,2)=5,WEEKDAY('Daily Schedule'!$B$2,2)=7),IFERROR(1*'Daily Workforce'!$K84&gt;=3,FALSE()),IFERROR(1*'Daily Workforce'!$K84&gt;=2,FALSE())),IF(AND('Daily Schedule'!$A24&gt;=46,'Daily Schedule'!$A24&lt;=52),'Daily Workforce'!$M84="Y",IFERROR(1*'Daily Workforce'!$P84&gt;=2,FALSE()))))),1,0)</f>
        <v>1</v>
      </c>
      <c r="CR20" s="1" t="n">
        <f aca="false">IF(AND('Daily Workforce'!$N85="Y",'Daily Workforce'!$B85&lt;&gt;"",COUNTIF('Daily Schedule'!$F$5:$F23,'Daily Workforce'!$B85)=0,IF('Daily Schedule'!$A24=45,'Daily Workforce'!$J85="Y",IF(OR('Daily Schedule'!$A24=4,'Daily Schedule'!$A24=8),IF(OR(WEEKDAY('Daily Schedule'!$B$2,2)=1,WEEKDAY('Daily Schedule'!$B$2,2)=4,WEEKDAY('Daily Schedule'!$B$2,2)=5,WEEKDAY('Daily Schedule'!$B$2,2)=7),IFERROR(1*'Daily Workforce'!$K85&gt;=3,FALSE()),IFERROR(1*'Daily Workforce'!$K85&gt;=2,FALSE())),IF(AND('Daily Schedule'!$A24&gt;=46,'Daily Schedule'!$A24&lt;=52),'Daily Workforce'!$M85="Y",IFERROR(1*'Daily Workforce'!$P85&gt;=2,FALSE()))))),1,0)</f>
        <v>0</v>
      </c>
      <c r="CS20" s="1" t="n">
        <f aca="false">IF(AND('Daily Workforce'!$N86="Y",'Daily Workforce'!$B86&lt;&gt;"",COUNTIF('Daily Schedule'!$F$5:$F23,'Daily Workforce'!$B86)=0,IF('Daily Schedule'!$A24=45,'Daily Workforce'!$J86="Y",IF(OR('Daily Schedule'!$A24=4,'Daily Schedule'!$A24=8),IF(OR(WEEKDAY('Daily Schedule'!$B$2,2)=1,WEEKDAY('Daily Schedule'!$B$2,2)=4,WEEKDAY('Daily Schedule'!$B$2,2)=5,WEEKDAY('Daily Schedule'!$B$2,2)=7),IFERROR(1*'Daily Workforce'!$K86&gt;=3,FALSE()),IFERROR(1*'Daily Workforce'!$K86&gt;=2,FALSE())),IF(AND('Daily Schedule'!$A24&gt;=46,'Daily Schedule'!$A24&lt;=52),'Daily Workforce'!$M86="Y",IFERROR(1*'Daily Workforce'!$P86&gt;=2,FALSE()))))),1,0)</f>
        <v>1</v>
      </c>
      <c r="CT20" s="1" t="n">
        <f aca="false">IF(AND('Daily Workforce'!$N87="Y",'Daily Workforce'!$B87&lt;&gt;"",COUNTIF('Daily Schedule'!$F$5:$F23,'Daily Workforce'!$B87)=0,IF('Daily Schedule'!$A24=45,'Daily Workforce'!$J87="Y",IF(OR('Daily Schedule'!$A24=4,'Daily Schedule'!$A24=8),IF(OR(WEEKDAY('Daily Schedule'!$B$2,2)=1,WEEKDAY('Daily Schedule'!$B$2,2)=4,WEEKDAY('Daily Schedule'!$B$2,2)=5,WEEKDAY('Daily Schedule'!$B$2,2)=7),IFERROR(1*'Daily Workforce'!$K87&gt;=3,FALSE()),IFERROR(1*'Daily Workforce'!$K87&gt;=2,FALSE())),IF(AND('Daily Schedule'!$A24&gt;=46,'Daily Schedule'!$A24&lt;=52),'Daily Workforce'!$M87="Y",IFERROR(1*'Daily Workforce'!$P87&gt;=2,FALSE()))))),1,0)</f>
        <v>1</v>
      </c>
      <c r="CU20" s="1" t="n">
        <f aca="false">IF(AND('Daily Workforce'!$N88="Y",'Daily Workforce'!$B88&lt;&gt;"",COUNTIF('Daily Schedule'!$F$5:$F23,'Daily Workforce'!$B88)=0,IF('Daily Schedule'!$A24=45,'Daily Workforce'!$J88="Y",IF(OR('Daily Schedule'!$A24=4,'Daily Schedule'!$A24=8),IF(OR(WEEKDAY('Daily Schedule'!$B$2,2)=1,WEEKDAY('Daily Schedule'!$B$2,2)=4,WEEKDAY('Daily Schedule'!$B$2,2)=5,WEEKDAY('Daily Schedule'!$B$2,2)=7),IFERROR(1*'Daily Workforce'!$K88&gt;=3,FALSE()),IFERROR(1*'Daily Workforce'!$K88&gt;=2,FALSE())),IF(AND('Daily Schedule'!$A24&gt;=46,'Daily Schedule'!$A24&lt;=52),'Daily Workforce'!$M88="Y",IFERROR(1*'Daily Workforce'!$P88&gt;=2,FALSE()))))),1,0)</f>
        <v>1</v>
      </c>
      <c r="CV20" s="1" t="n">
        <f aca="false">IF(AND('Daily Workforce'!$N89="Y",'Daily Workforce'!$B89&lt;&gt;"",COUNTIF('Daily Schedule'!$F$5:$F23,'Daily Workforce'!$B89)=0,IF('Daily Schedule'!$A24=45,'Daily Workforce'!$J89="Y",IF(OR('Daily Schedule'!$A24=4,'Daily Schedule'!$A24=8),IF(OR(WEEKDAY('Daily Schedule'!$B$2,2)=1,WEEKDAY('Daily Schedule'!$B$2,2)=4,WEEKDAY('Daily Schedule'!$B$2,2)=5,WEEKDAY('Daily Schedule'!$B$2,2)=7),IFERROR(1*'Daily Workforce'!$K89&gt;=3,FALSE()),IFERROR(1*'Daily Workforce'!$K89&gt;=2,FALSE())),IF(AND('Daily Schedule'!$A24&gt;=46,'Daily Schedule'!$A24&lt;=52),'Daily Workforce'!$M89="Y",IFERROR(1*'Daily Workforce'!$P89&gt;=2,FALSE()))))),1,0)</f>
        <v>1</v>
      </c>
      <c r="CW20" s="1" t="n">
        <f aca="false">IF(AND('Daily Workforce'!$N90="Y",'Daily Workforce'!$B90&lt;&gt;"",COUNTIF('Daily Schedule'!$F$5:$F23,'Daily Workforce'!$B90)=0,IF('Daily Schedule'!$A24=45,'Daily Workforce'!$J90="Y",IF(OR('Daily Schedule'!$A24=4,'Daily Schedule'!$A24=8),IF(OR(WEEKDAY('Daily Schedule'!$B$2,2)=1,WEEKDAY('Daily Schedule'!$B$2,2)=4,WEEKDAY('Daily Schedule'!$B$2,2)=5,WEEKDAY('Daily Schedule'!$B$2,2)=7),IFERROR(1*'Daily Workforce'!$K90&gt;=3,FALSE()),IFERROR(1*'Daily Workforce'!$K90&gt;=2,FALSE())),IF(AND('Daily Schedule'!$A24&gt;=46,'Daily Schedule'!$A24&lt;=52),'Daily Workforce'!$M90="Y",IFERROR(1*'Daily Workforce'!$P90&gt;=2,FALSE()))))),1,0)</f>
        <v>1</v>
      </c>
      <c r="CX20" s="1" t="n">
        <f aca="false">IF(AND('Daily Workforce'!$N91="Y",'Daily Workforce'!$B91&lt;&gt;"",COUNTIF('Daily Schedule'!$F$5:$F23,'Daily Workforce'!$B91)=0,IF('Daily Schedule'!$A24=45,'Daily Workforce'!$J91="Y",IF(OR('Daily Schedule'!$A24=4,'Daily Schedule'!$A24=8),IF(OR(WEEKDAY('Daily Schedule'!$B$2,2)=1,WEEKDAY('Daily Schedule'!$B$2,2)=4,WEEKDAY('Daily Schedule'!$B$2,2)=5,WEEKDAY('Daily Schedule'!$B$2,2)=7),IFERROR(1*'Daily Workforce'!$K91&gt;=3,FALSE()),IFERROR(1*'Daily Workforce'!$K91&gt;=2,FALSE())),IF(AND('Daily Schedule'!$A24&gt;=46,'Daily Schedule'!$A24&lt;=52),'Daily Workforce'!$M91="Y",IFERROR(1*'Daily Workforce'!$P91&gt;=2,FALSE()))))),1,0)</f>
        <v>1</v>
      </c>
      <c r="CY20" s="1" t="n">
        <f aca="false">IF(AND('Daily Workforce'!$N92="Y",'Daily Workforce'!$B92&lt;&gt;"",COUNTIF('Daily Schedule'!$F$5:$F23,'Daily Workforce'!$B92)=0,IF('Daily Schedule'!$A24=45,'Daily Workforce'!$J92="Y",IF(OR('Daily Schedule'!$A24=4,'Daily Schedule'!$A24=8),IF(OR(WEEKDAY('Daily Schedule'!$B$2,2)=1,WEEKDAY('Daily Schedule'!$B$2,2)=4,WEEKDAY('Daily Schedule'!$B$2,2)=5,WEEKDAY('Daily Schedule'!$B$2,2)=7),IFERROR(1*'Daily Workforce'!$K92&gt;=3,FALSE()),IFERROR(1*'Daily Workforce'!$K92&gt;=2,FALSE())),IF(AND('Daily Schedule'!$A24&gt;=46,'Daily Schedule'!$A24&lt;=52),'Daily Workforce'!$M92="Y",IFERROR(1*'Daily Workforce'!$P92&gt;=2,FALSE()))))),1,0)</f>
        <v>1</v>
      </c>
      <c r="CZ20" s="1" t="n">
        <f aca="false">IF(AND('Daily Workforce'!$N93="Y",'Daily Workforce'!$B93&lt;&gt;"",COUNTIF('Daily Schedule'!$F$5:$F23,'Daily Workforce'!$B93)=0,IF('Daily Schedule'!$A24=45,'Daily Workforce'!$J93="Y",IF(OR('Daily Schedule'!$A24=4,'Daily Schedule'!$A24=8),IF(OR(WEEKDAY('Daily Schedule'!$B$2,2)=1,WEEKDAY('Daily Schedule'!$B$2,2)=4,WEEKDAY('Daily Schedule'!$B$2,2)=5,WEEKDAY('Daily Schedule'!$B$2,2)=7),IFERROR(1*'Daily Workforce'!$K93&gt;=3,FALSE()),IFERROR(1*'Daily Workforce'!$K93&gt;=2,FALSE())),IF(AND('Daily Schedule'!$A24&gt;=46,'Daily Schedule'!$A24&lt;=52),'Daily Workforce'!$M93="Y",IFERROR(1*'Daily Workforce'!$P93&gt;=2,FALSE()))))),1,0)</f>
        <v>1</v>
      </c>
      <c r="DA20" s="1" t="n">
        <f aca="false">IF(AND('Daily Workforce'!$N94="Y",'Daily Workforce'!$B94&lt;&gt;"",COUNTIF('Daily Schedule'!$F$5:$F23,'Daily Workforce'!$B94)=0,IF('Daily Schedule'!$A24=45,'Daily Workforce'!$J94="Y",IF(OR('Daily Schedule'!$A24=4,'Daily Schedule'!$A24=8),IF(OR(WEEKDAY('Daily Schedule'!$B$2,2)=1,WEEKDAY('Daily Schedule'!$B$2,2)=4,WEEKDAY('Daily Schedule'!$B$2,2)=5,WEEKDAY('Daily Schedule'!$B$2,2)=7),IFERROR(1*'Daily Workforce'!$K94&gt;=3,FALSE()),IFERROR(1*'Daily Workforce'!$K94&gt;=2,FALSE())),IF(AND('Daily Schedule'!$A24&gt;=46,'Daily Schedule'!$A24&lt;=52),'Daily Workforce'!$M94="Y",IFERROR(1*'Daily Workforce'!$P94&gt;=2,FALSE()))))),1,0)</f>
        <v>1</v>
      </c>
      <c r="DB20" s="1" t="n">
        <f aca="false">IF(AND('Daily Workforce'!$N95="Y",'Daily Workforce'!$B95&lt;&gt;"",COUNTIF('Daily Schedule'!$F$5:$F23,'Daily Workforce'!$B95)=0,IF('Daily Schedule'!$A24=45,'Daily Workforce'!$J95="Y",IF(OR('Daily Schedule'!$A24=4,'Daily Schedule'!$A24=8),IF(OR(WEEKDAY('Daily Schedule'!$B$2,2)=1,WEEKDAY('Daily Schedule'!$B$2,2)=4,WEEKDAY('Daily Schedule'!$B$2,2)=5,WEEKDAY('Daily Schedule'!$B$2,2)=7),IFERROR(1*'Daily Workforce'!$K95&gt;=3,FALSE()),IFERROR(1*'Daily Workforce'!$K95&gt;=2,FALSE())),IF(AND('Daily Schedule'!$A24&gt;=46,'Daily Schedule'!$A24&lt;=52),'Daily Workforce'!$M95="Y",IFERROR(1*'Daily Workforce'!$P95&gt;=2,FALSE()))))),1,0)</f>
        <v>1</v>
      </c>
      <c r="DC20" s="1" t="n">
        <f aca="false">IF(AND('Daily Workforce'!$N96="Y",'Daily Workforce'!$B96&lt;&gt;"",COUNTIF('Daily Schedule'!$F$5:$F23,'Daily Workforce'!$B96)=0,IF('Daily Schedule'!$A24=45,'Daily Workforce'!$J96="Y",IF(OR('Daily Schedule'!$A24=4,'Daily Schedule'!$A24=8),IF(OR(WEEKDAY('Daily Schedule'!$B$2,2)=1,WEEKDAY('Daily Schedule'!$B$2,2)=4,WEEKDAY('Daily Schedule'!$B$2,2)=5,WEEKDAY('Daily Schedule'!$B$2,2)=7),IFERROR(1*'Daily Workforce'!$K96&gt;=3,FALSE()),IFERROR(1*'Daily Workforce'!$K96&gt;=2,FALSE())),IF(AND('Daily Schedule'!$A24&gt;=46,'Daily Schedule'!$A24&lt;=52),'Daily Workforce'!$M96="Y",IFERROR(1*'Daily Workforce'!$P96&gt;=2,FALSE()))))),1,0)</f>
        <v>1</v>
      </c>
      <c r="DD20" s="1" t="n">
        <f aca="false">IF(AND('Daily Workforce'!$N97="Y",'Daily Workforce'!$B97&lt;&gt;"",COUNTIF('Daily Schedule'!$F$5:$F23,'Daily Workforce'!$B97)=0,IF('Daily Schedule'!$A24=45,'Daily Workforce'!$J97="Y",IF(OR('Daily Schedule'!$A24=4,'Daily Schedule'!$A24=8),IF(OR(WEEKDAY('Daily Schedule'!$B$2,2)=1,WEEKDAY('Daily Schedule'!$B$2,2)=4,WEEKDAY('Daily Schedule'!$B$2,2)=5,WEEKDAY('Daily Schedule'!$B$2,2)=7),IFERROR(1*'Daily Workforce'!$K97&gt;=3,FALSE()),IFERROR(1*'Daily Workforce'!$K97&gt;=2,FALSE())),IF(AND('Daily Schedule'!$A24&gt;=46,'Daily Schedule'!$A24&lt;=52),'Daily Workforce'!$M97="Y",IFERROR(1*'Daily Workforce'!$P97&gt;=2,FALSE()))))),1,0)</f>
        <v>1</v>
      </c>
      <c r="DE20" s="1" t="n">
        <f aca="false">IF(AND('Daily Workforce'!$N98="Y",'Daily Workforce'!$B98&lt;&gt;"",COUNTIF('Daily Schedule'!$F$5:$F23,'Daily Workforce'!$B98)=0,IF('Daily Schedule'!$A24=45,'Daily Workforce'!$J98="Y",IF(OR('Daily Schedule'!$A24=4,'Daily Schedule'!$A24=8),IF(OR(WEEKDAY('Daily Schedule'!$B$2,2)=1,WEEKDAY('Daily Schedule'!$B$2,2)=4,WEEKDAY('Daily Schedule'!$B$2,2)=5,WEEKDAY('Daily Schedule'!$B$2,2)=7),IFERROR(1*'Daily Workforce'!$K98&gt;=3,FALSE()),IFERROR(1*'Daily Workforce'!$K98&gt;=2,FALSE())),IF(AND('Daily Schedule'!$A24&gt;=46,'Daily Schedule'!$A24&lt;=52),'Daily Workforce'!$M98="Y",IFERROR(1*'Daily Workforce'!$P98&gt;=2,FALSE()))))),1,0)</f>
        <v>1</v>
      </c>
      <c r="DF20" s="1" t="n">
        <f aca="false">IF(AND('Daily Workforce'!$N99="Y",'Daily Workforce'!$B99&lt;&gt;"",COUNTIF('Daily Schedule'!$F$5:$F23,'Daily Workforce'!$B99)=0,IF('Daily Schedule'!$A24=45,'Daily Workforce'!$J99="Y",IF(OR('Daily Schedule'!$A24=4,'Daily Schedule'!$A24=8),IF(OR(WEEKDAY('Daily Schedule'!$B$2,2)=1,WEEKDAY('Daily Schedule'!$B$2,2)=4,WEEKDAY('Daily Schedule'!$B$2,2)=5,WEEKDAY('Daily Schedule'!$B$2,2)=7),IFERROR(1*'Daily Workforce'!$K99&gt;=3,FALSE()),IFERROR(1*'Daily Workforce'!$K99&gt;=2,FALSE())),IF(AND('Daily Schedule'!$A24&gt;=46,'Daily Schedule'!$A24&lt;=52),'Daily Workforce'!$M99="Y",IFERROR(1*'Daily Workforce'!$P99&gt;=2,FALSE()))))),1,0)</f>
        <v>1</v>
      </c>
      <c r="DG20" s="1" t="n">
        <f aca="false">IF(AND('Daily Workforce'!$N100="Y",'Daily Workforce'!$B100&lt;&gt;"",COUNTIF('Daily Schedule'!$F$5:$F23,'Daily Workforce'!$B100)=0,IF('Daily Schedule'!$A24=45,'Daily Workforce'!$J100="Y",IF(OR('Daily Schedule'!$A24=4,'Daily Schedule'!$A24=8),IF(OR(WEEKDAY('Daily Schedule'!$B$2,2)=1,WEEKDAY('Daily Schedule'!$B$2,2)=4,WEEKDAY('Daily Schedule'!$B$2,2)=5,WEEKDAY('Daily Schedule'!$B$2,2)=7),IFERROR(1*'Daily Workforce'!$K100&gt;=3,FALSE()),IFERROR(1*'Daily Workforce'!$K100&gt;=2,FALSE())),IF(AND('Daily Schedule'!$A24&gt;=46,'Daily Schedule'!$A24&lt;=52),'Daily Workforce'!$M100="Y",IFERROR(1*'Daily Workforce'!$P100&gt;=2,FALSE()))))),1,0)</f>
        <v>1</v>
      </c>
      <c r="DH20" s="1" t="n">
        <f aca="false">IF(AND('Daily Workforce'!$N101="Y",'Daily Workforce'!$B101&lt;&gt;"",COUNTIF('Daily Schedule'!$F$5:$F23,'Daily Workforce'!$B101)=0,IF('Daily Schedule'!$A24=45,'Daily Workforce'!$J101="Y",IF(OR('Daily Schedule'!$A24=4,'Daily Schedule'!$A24=8),IF(OR(WEEKDAY('Daily Schedule'!$B$2,2)=1,WEEKDAY('Daily Schedule'!$B$2,2)=4,WEEKDAY('Daily Schedule'!$B$2,2)=5,WEEKDAY('Daily Schedule'!$B$2,2)=7),IFERROR(1*'Daily Workforce'!$K101&gt;=3,FALSE()),IFERROR(1*'Daily Workforce'!$K101&gt;=2,FALSE())),IF(AND('Daily Schedule'!$A24&gt;=46,'Daily Schedule'!$A24&lt;=52),'Daily Workforce'!$M101="Y",IFERROR(1*'Daily Workforce'!$P101&gt;=2,FALSE()))))),1,0)</f>
        <v>1</v>
      </c>
      <c r="DI20" s="1" t="n">
        <f aca="false">IF(AND('Daily Workforce'!$N102="Y",'Daily Workforce'!$B102&lt;&gt;"",COUNTIF('Daily Schedule'!$F$5:$F23,'Daily Workforce'!$B102)=0,IF('Daily Schedule'!$A24=45,'Daily Workforce'!$J102="Y",IF(OR('Daily Schedule'!$A24=4,'Daily Schedule'!$A24=8),IF(OR(WEEKDAY('Daily Schedule'!$B$2,2)=1,WEEKDAY('Daily Schedule'!$B$2,2)=4,WEEKDAY('Daily Schedule'!$B$2,2)=5,WEEKDAY('Daily Schedule'!$B$2,2)=7),IFERROR(1*'Daily Workforce'!$K102&gt;=3,FALSE()),IFERROR(1*'Daily Workforce'!$K102&gt;=2,FALSE())),IF(AND('Daily Schedule'!$A24&gt;=46,'Daily Schedule'!$A24&lt;=52),'Daily Workforce'!$M102="Y",IFERROR(1*'Daily Workforce'!$P102&gt;=2,FALSE()))))),1,0)</f>
        <v>1</v>
      </c>
      <c r="DJ20" s="1" t="n">
        <f aca="false">IF(AND('Daily Workforce'!$N103="Y",'Daily Workforce'!$B103&lt;&gt;"",COUNTIF('Daily Schedule'!$F$5:$F23,'Daily Workforce'!$B103)=0,IF('Daily Schedule'!$A24=45,'Daily Workforce'!$J103="Y",IF(OR('Daily Schedule'!$A24=4,'Daily Schedule'!$A24=8),IF(OR(WEEKDAY('Daily Schedule'!$B$2,2)=1,WEEKDAY('Daily Schedule'!$B$2,2)=4,WEEKDAY('Daily Schedule'!$B$2,2)=5,WEEKDAY('Daily Schedule'!$B$2,2)=7),IFERROR(1*'Daily Workforce'!$K103&gt;=3,FALSE()),IFERROR(1*'Daily Workforce'!$K103&gt;=2,FALSE())),IF(AND('Daily Schedule'!$A24&gt;=46,'Daily Schedule'!$A24&lt;=52),'Daily Workforce'!$M103="Y",IFERROR(1*'Daily Workforce'!$P103&gt;=2,FALSE()))))),1,0)</f>
        <v>1</v>
      </c>
      <c r="DK20" s="1" t="n">
        <f aca="false">IF(AND('Daily Workforce'!$N104="Y",'Daily Workforce'!$B104&lt;&gt;"",COUNTIF('Daily Schedule'!$F$5:$F23,'Daily Workforce'!$B104)=0,IF('Daily Schedule'!$A24=45,'Daily Workforce'!$J104="Y",IF(OR('Daily Schedule'!$A24=4,'Daily Schedule'!$A24=8),IF(OR(WEEKDAY('Daily Schedule'!$B$2,2)=1,WEEKDAY('Daily Schedule'!$B$2,2)=4,WEEKDAY('Daily Schedule'!$B$2,2)=5,WEEKDAY('Daily Schedule'!$B$2,2)=7),IFERROR(1*'Daily Workforce'!$K104&gt;=3,FALSE()),IFERROR(1*'Daily Workforce'!$K104&gt;=2,FALSE())),IF(AND('Daily Schedule'!$A24&gt;=46,'Daily Schedule'!$A24&lt;=52),'Daily Workforce'!$M104="Y",IFERROR(1*'Daily Workforce'!$P104&gt;=2,FALSE()))))),1,0)</f>
        <v>1</v>
      </c>
      <c r="DL20" s="1" t="n">
        <f aca="false">IF(AND('Daily Workforce'!$N105="Y",'Daily Workforce'!$B105&lt;&gt;"",COUNTIF('Daily Schedule'!$F$5:$F23,'Daily Workforce'!$B105)=0,IF('Daily Schedule'!$A24=45,'Daily Workforce'!$J105="Y",IF(OR('Daily Schedule'!$A24=4,'Daily Schedule'!$A24=8),IF(OR(WEEKDAY('Daily Schedule'!$B$2,2)=1,WEEKDAY('Daily Schedule'!$B$2,2)=4,WEEKDAY('Daily Schedule'!$B$2,2)=5,WEEKDAY('Daily Schedule'!$B$2,2)=7),IFERROR(1*'Daily Workforce'!$K105&gt;=3,FALSE()),IFERROR(1*'Daily Workforce'!$K105&gt;=2,FALSE())),IF(AND('Daily Schedule'!$A24&gt;=46,'Daily Schedule'!$A24&lt;=52),'Daily Workforce'!$M105="Y",IFERROR(1*'Daily Workforce'!$P105&gt;=2,FALSE()))))),1,0)</f>
        <v>0</v>
      </c>
      <c r="DM20" s="1" t="n">
        <f aca="false">IF(AND('Daily Workforce'!$N106="Y",'Daily Workforce'!$B106&lt;&gt;"",COUNTIF('Daily Schedule'!$F$5:$F23,'Daily Workforce'!$B106)=0,IF('Daily Schedule'!$A24=45,'Daily Workforce'!$J106="Y",IF(OR('Daily Schedule'!$A24=4,'Daily Schedule'!$A24=8),IF(OR(WEEKDAY('Daily Schedule'!$B$2,2)=1,WEEKDAY('Daily Schedule'!$B$2,2)=4,WEEKDAY('Daily Schedule'!$B$2,2)=5,WEEKDAY('Daily Schedule'!$B$2,2)=7),IFERROR(1*'Daily Workforce'!$K106&gt;=3,FALSE()),IFERROR(1*'Daily Workforce'!$K106&gt;=2,FALSE())),IF(AND('Daily Schedule'!$A24&gt;=46,'Daily Schedule'!$A24&lt;=52),'Daily Workforce'!$M106="Y",IFERROR(1*'Daily Workforce'!$P106&gt;=2,FALSE()))))),1,0)</f>
        <v>1</v>
      </c>
      <c r="DN20" s="1" t="n">
        <f aca="false">IF(AND('Daily Workforce'!$N107="Y",'Daily Workforce'!$B107&lt;&gt;"",COUNTIF('Daily Schedule'!$F$5:$F23,'Daily Workforce'!$B107)=0,IF('Daily Schedule'!$A24=45,'Daily Workforce'!$J107="Y",IF(OR('Daily Schedule'!$A24=4,'Daily Schedule'!$A24=8),IF(OR(WEEKDAY('Daily Schedule'!$B$2,2)=1,WEEKDAY('Daily Schedule'!$B$2,2)=4,WEEKDAY('Daily Schedule'!$B$2,2)=5,WEEKDAY('Daily Schedule'!$B$2,2)=7),IFERROR(1*'Daily Workforce'!$K107&gt;=3,FALSE()),IFERROR(1*'Daily Workforce'!$K107&gt;=2,FALSE())),IF(AND('Daily Schedule'!$A24&gt;=46,'Daily Schedule'!$A24&lt;=52),'Daily Workforce'!$M107="Y",IFERROR(1*'Daily Workforce'!$P107&gt;=2,FALSE()))))),1,0)</f>
        <v>1</v>
      </c>
      <c r="DO20" s="1" t="n">
        <f aca="false">IF(AND('Daily Workforce'!$N108="Y",'Daily Workforce'!$B108&lt;&gt;"",COUNTIF('Daily Schedule'!$F$5:$F23,'Daily Workforce'!$B108)=0,IF('Daily Schedule'!$A24=45,'Daily Workforce'!$J108="Y",IF(OR('Daily Schedule'!$A24=4,'Daily Schedule'!$A24=8),IF(OR(WEEKDAY('Daily Schedule'!$B$2,2)=1,WEEKDAY('Daily Schedule'!$B$2,2)=4,WEEKDAY('Daily Schedule'!$B$2,2)=5,WEEKDAY('Daily Schedule'!$B$2,2)=7),IFERROR(1*'Daily Workforce'!$K108&gt;=3,FALSE()),IFERROR(1*'Daily Workforce'!$K108&gt;=2,FALSE())),IF(AND('Daily Schedule'!$A24&gt;=46,'Daily Schedule'!$A24&lt;=52),'Daily Workforce'!$M108="Y",IFERROR(1*'Daily Workforce'!$P108&gt;=2,FALSE()))))),1,0)</f>
        <v>1</v>
      </c>
      <c r="DP20" s="1" t="n">
        <f aca="false">IF(AND('Daily Workforce'!$N109="Y",'Daily Workforce'!$B109&lt;&gt;"",COUNTIF('Daily Schedule'!$F$5:$F23,'Daily Workforce'!$B109)=0,IF('Daily Schedule'!$A24=45,'Daily Workforce'!$J109="Y",IF(OR('Daily Schedule'!$A24=4,'Daily Schedule'!$A24=8),IF(OR(WEEKDAY('Daily Schedule'!$B$2,2)=1,WEEKDAY('Daily Schedule'!$B$2,2)=4,WEEKDAY('Daily Schedule'!$B$2,2)=5,WEEKDAY('Daily Schedule'!$B$2,2)=7),IFERROR(1*'Daily Workforce'!$K109&gt;=3,FALSE()),IFERROR(1*'Daily Workforce'!$K109&gt;=2,FALSE())),IF(AND('Daily Schedule'!$A24&gt;=46,'Daily Schedule'!$A24&lt;=52),'Daily Workforce'!$M109="Y",IFERROR(1*'Daily Workforce'!$P109&gt;=2,FALSE()))))),1,0)</f>
        <v>1</v>
      </c>
      <c r="DQ20" s="1" t="n">
        <f aca="false">IF(AND('Daily Workforce'!$N110="Y",'Daily Workforce'!$B110&lt;&gt;"",COUNTIF('Daily Schedule'!$F$5:$F23,'Daily Workforce'!$B110)=0,IF('Daily Schedule'!$A24=45,'Daily Workforce'!$J110="Y",IF(OR('Daily Schedule'!$A24=4,'Daily Schedule'!$A24=8),IF(OR(WEEKDAY('Daily Schedule'!$B$2,2)=1,WEEKDAY('Daily Schedule'!$B$2,2)=4,WEEKDAY('Daily Schedule'!$B$2,2)=5,WEEKDAY('Daily Schedule'!$B$2,2)=7),IFERROR(1*'Daily Workforce'!$K110&gt;=3,FALSE()),IFERROR(1*'Daily Workforce'!$K110&gt;=2,FALSE())),IF(AND('Daily Schedule'!$A24&gt;=46,'Daily Schedule'!$A24&lt;=52),'Daily Workforce'!$M110="Y",IFERROR(1*'Daily Workforce'!$P110&gt;=2,FALSE()))))),1,0)</f>
        <v>1</v>
      </c>
      <c r="DR20" s="1" t="n">
        <f aca="false">IF(AND('Daily Workforce'!$N111="Y",'Daily Workforce'!$B111&lt;&gt;"",COUNTIF('Daily Schedule'!$F$5:$F23,'Daily Workforce'!$B111)=0,IF('Daily Schedule'!$A24=45,'Daily Workforce'!$J111="Y",IF(OR('Daily Schedule'!$A24=4,'Daily Schedule'!$A24=8),IF(OR(WEEKDAY('Daily Schedule'!$B$2,2)=1,WEEKDAY('Daily Schedule'!$B$2,2)=4,WEEKDAY('Daily Schedule'!$B$2,2)=5,WEEKDAY('Daily Schedule'!$B$2,2)=7),IFERROR(1*'Daily Workforce'!$K111&gt;=3,FALSE()),IFERROR(1*'Daily Workforce'!$K111&gt;=2,FALSE())),IF(AND('Daily Schedule'!$A24&gt;=46,'Daily Schedule'!$A24&lt;=52),'Daily Workforce'!$M111="Y",IFERROR(1*'Daily Workforce'!$P111&gt;=2,FALSE()))))),1,0)</f>
        <v>1</v>
      </c>
      <c r="DS20" s="1" t="n">
        <f aca="false">IF(AND('Daily Workforce'!$N112="Y",'Daily Workforce'!$B112&lt;&gt;"",COUNTIF('Daily Schedule'!$F$5:$F23,'Daily Workforce'!$B112)=0,IF('Daily Schedule'!$A24=45,'Daily Workforce'!$J112="Y",IF(OR('Daily Schedule'!$A24=4,'Daily Schedule'!$A24=8),IF(OR(WEEKDAY('Daily Schedule'!$B$2,2)=1,WEEKDAY('Daily Schedule'!$B$2,2)=4,WEEKDAY('Daily Schedule'!$B$2,2)=5,WEEKDAY('Daily Schedule'!$B$2,2)=7),IFERROR(1*'Daily Workforce'!$K112&gt;=3,FALSE()),IFERROR(1*'Daily Workforce'!$K112&gt;=2,FALSE())),IF(AND('Daily Schedule'!$A24&gt;=46,'Daily Schedule'!$A24&lt;=52),'Daily Workforce'!$M112="Y",IFERROR(1*'Daily Workforce'!$P112&gt;=2,FALSE()))))),1,0)</f>
        <v>1</v>
      </c>
      <c r="DT20" s="1" t="n">
        <f aca="false">IF(AND('Daily Workforce'!$N113="Y",'Daily Workforce'!$B113&lt;&gt;"",COUNTIF('Daily Schedule'!$F$5:$F23,'Daily Workforce'!$B113)=0,IF('Daily Schedule'!$A24=45,'Daily Workforce'!$J113="Y",IF(OR('Daily Schedule'!$A24=4,'Daily Schedule'!$A24=8),IF(OR(WEEKDAY('Daily Schedule'!$B$2,2)=1,WEEKDAY('Daily Schedule'!$B$2,2)=4,WEEKDAY('Daily Schedule'!$B$2,2)=5,WEEKDAY('Daily Schedule'!$B$2,2)=7),IFERROR(1*'Daily Workforce'!$K113&gt;=3,FALSE()),IFERROR(1*'Daily Workforce'!$K113&gt;=2,FALSE())),IF(AND('Daily Schedule'!$A24&gt;=46,'Daily Schedule'!$A24&lt;=52),'Daily Workforce'!$M113="Y",IFERROR(1*'Daily Workforce'!$P113&gt;=2,FALSE()))))),1,0)</f>
        <v>1</v>
      </c>
      <c r="DU20" s="1" t="n">
        <f aca="false">IF(AND('Daily Workforce'!$N114="Y",'Daily Workforce'!$B114&lt;&gt;"",COUNTIF('Daily Schedule'!$F$5:$F23,'Daily Workforce'!$B114)=0,IF('Daily Schedule'!$A24=45,'Daily Workforce'!$J114="Y",IF(OR('Daily Schedule'!$A24=4,'Daily Schedule'!$A24=8),IF(OR(WEEKDAY('Daily Schedule'!$B$2,2)=1,WEEKDAY('Daily Schedule'!$B$2,2)=4,WEEKDAY('Daily Schedule'!$B$2,2)=5,WEEKDAY('Daily Schedule'!$B$2,2)=7),IFERROR(1*'Daily Workforce'!$K114&gt;=3,FALSE()),IFERROR(1*'Daily Workforce'!$K114&gt;=2,FALSE())),IF(AND('Daily Schedule'!$A24&gt;=46,'Daily Schedule'!$A24&lt;=52),'Daily Workforce'!$M114="Y",IFERROR(1*'Daily Workforce'!$P114&gt;=2,FALSE()))))),1,0)</f>
        <v>1</v>
      </c>
      <c r="DV20" s="1" t="n">
        <f aca="false">IF(AND('Daily Workforce'!$N115="Y",'Daily Workforce'!$B115&lt;&gt;"",COUNTIF('Daily Schedule'!$F$5:$F23,'Daily Workforce'!$B115)=0,IF('Daily Schedule'!$A24=45,'Daily Workforce'!$J115="Y",IF(OR('Daily Schedule'!$A24=4,'Daily Schedule'!$A24=8),IF(OR(WEEKDAY('Daily Schedule'!$B$2,2)=1,WEEKDAY('Daily Schedule'!$B$2,2)=4,WEEKDAY('Daily Schedule'!$B$2,2)=5,WEEKDAY('Daily Schedule'!$B$2,2)=7),IFERROR(1*'Daily Workforce'!$K115&gt;=3,FALSE()),IFERROR(1*'Daily Workforce'!$K115&gt;=2,FALSE())),IF(AND('Daily Schedule'!$A24&gt;=46,'Daily Schedule'!$A24&lt;=52),'Daily Workforce'!$M115="Y",IFERROR(1*'Daily Workforce'!$P115&gt;=2,FALSE()))))),1,0)</f>
        <v>1</v>
      </c>
      <c r="DW20" s="1" t="n">
        <f aca="false">IF(AND('Daily Workforce'!$N116="Y",'Daily Workforce'!$B116&lt;&gt;"",COUNTIF('Daily Schedule'!$F$5:$F23,'Daily Workforce'!$B116)=0,IF('Daily Schedule'!$A24=45,'Daily Workforce'!$J116="Y",IF(OR('Daily Schedule'!$A24=4,'Daily Schedule'!$A24=8),IF(OR(WEEKDAY('Daily Schedule'!$B$2,2)=1,WEEKDAY('Daily Schedule'!$B$2,2)=4,WEEKDAY('Daily Schedule'!$B$2,2)=5,WEEKDAY('Daily Schedule'!$B$2,2)=7),IFERROR(1*'Daily Workforce'!$K116&gt;=3,FALSE()),IFERROR(1*'Daily Workforce'!$K116&gt;=2,FALSE())),IF(AND('Daily Schedule'!$A24&gt;=46,'Daily Schedule'!$A24&lt;=52),'Daily Workforce'!$M116="Y",IFERROR(1*'Daily Workforce'!$P116&gt;=2,FALSE()))))),1,0)</f>
        <v>1</v>
      </c>
      <c r="DX20" s="1" t="n">
        <f aca="false">IF(AND('Daily Workforce'!$N117="Y",'Daily Workforce'!$B117&lt;&gt;"",COUNTIF('Daily Schedule'!$F$5:$F23,'Daily Workforce'!$B117)=0,IF('Daily Schedule'!$A24=45,'Daily Workforce'!$J117="Y",IF(OR('Daily Schedule'!$A24=4,'Daily Schedule'!$A24=8),IF(OR(WEEKDAY('Daily Schedule'!$B$2,2)=1,WEEKDAY('Daily Schedule'!$B$2,2)=4,WEEKDAY('Daily Schedule'!$B$2,2)=5,WEEKDAY('Daily Schedule'!$B$2,2)=7),IFERROR(1*'Daily Workforce'!$K117&gt;=3,FALSE()),IFERROR(1*'Daily Workforce'!$K117&gt;=2,FALSE())),IF(AND('Daily Schedule'!$A24&gt;=46,'Daily Schedule'!$A24&lt;=52),'Daily Workforce'!$M117="Y",IFERROR(1*'Daily Workforce'!$P117&gt;=2,FALSE()))))),1,0)</f>
        <v>1</v>
      </c>
      <c r="DY20" s="1" t="n">
        <f aca="false">IF(AND('Daily Workforce'!$N118="Y",'Daily Workforce'!$B118&lt;&gt;"",COUNTIF('Daily Schedule'!$F$5:$F23,'Daily Workforce'!$B118)=0,IF('Daily Schedule'!$A24=45,'Daily Workforce'!$J118="Y",IF(OR('Daily Schedule'!$A24=4,'Daily Schedule'!$A24=8),IF(OR(WEEKDAY('Daily Schedule'!$B$2,2)=1,WEEKDAY('Daily Schedule'!$B$2,2)=4,WEEKDAY('Daily Schedule'!$B$2,2)=5,WEEKDAY('Daily Schedule'!$B$2,2)=7),IFERROR(1*'Daily Workforce'!$K118&gt;=3,FALSE()),IFERROR(1*'Daily Workforce'!$K118&gt;=2,FALSE())),IF(AND('Daily Schedule'!$A24&gt;=46,'Daily Schedule'!$A24&lt;=52),'Daily Workforce'!$M118="Y",IFERROR(1*'Daily Workforce'!$P118&gt;=2,FALSE()))))),1,0)</f>
        <v>0</v>
      </c>
      <c r="DZ20" s="1" t="n">
        <f aca="false">IF(AND('Daily Workforce'!$N119="Y",'Daily Workforce'!$B119&lt;&gt;"",COUNTIF('Daily Schedule'!$F$5:$F23,'Daily Workforce'!$B119)=0,IF('Daily Schedule'!$A24=45,'Daily Workforce'!$J119="Y",IF(OR('Daily Schedule'!$A24=4,'Daily Schedule'!$A24=8),IF(OR(WEEKDAY('Daily Schedule'!$B$2,2)=1,WEEKDAY('Daily Schedule'!$B$2,2)=4,WEEKDAY('Daily Schedule'!$B$2,2)=5,WEEKDAY('Daily Schedule'!$B$2,2)=7),IFERROR(1*'Daily Workforce'!$K119&gt;=3,FALSE()),IFERROR(1*'Daily Workforce'!$K119&gt;=2,FALSE())),IF(AND('Daily Schedule'!$A24&gt;=46,'Daily Schedule'!$A24&lt;=52),'Daily Workforce'!$M119="Y",IFERROR(1*'Daily Workforce'!$P119&gt;=2,FALSE()))))),1,0)</f>
        <v>0</v>
      </c>
      <c r="EA20" s="1" t="n">
        <f aca="false">IF(AND('Daily Workforce'!$N120="Y",'Daily Workforce'!$B120&lt;&gt;"",COUNTIF('Daily Schedule'!$F$5:$F23,'Daily Workforce'!$B120)=0,IF('Daily Schedule'!$A24=45,'Daily Workforce'!$J120="Y",IF(OR('Daily Schedule'!$A24=4,'Daily Schedule'!$A24=8),IF(OR(WEEKDAY('Daily Schedule'!$B$2,2)=1,WEEKDAY('Daily Schedule'!$B$2,2)=4,WEEKDAY('Daily Schedule'!$B$2,2)=5,WEEKDAY('Daily Schedule'!$B$2,2)=7),IFERROR(1*'Daily Workforce'!$K120&gt;=3,FALSE()),IFERROR(1*'Daily Workforce'!$K120&gt;=2,FALSE())),IF(AND('Daily Schedule'!$A24&gt;=46,'Daily Schedule'!$A24&lt;=52),'Daily Workforce'!$M120="Y",IFERROR(1*'Daily Workforce'!$P120&gt;=2,FALSE()))))),1,0)</f>
        <v>0</v>
      </c>
      <c r="EB20" s="1" t="n">
        <f aca="false">IF(AND('Daily Workforce'!$N121="Y",'Daily Workforce'!$B121&lt;&gt;"",COUNTIF('Daily Schedule'!$F$5:$F23,'Daily Workforce'!$B121)=0,IF('Daily Schedule'!$A24=45,'Daily Workforce'!$J121="Y",IF(OR('Daily Schedule'!$A24=4,'Daily Schedule'!$A24=8),IF(OR(WEEKDAY('Daily Schedule'!$B$2,2)=1,WEEKDAY('Daily Schedule'!$B$2,2)=4,WEEKDAY('Daily Schedule'!$B$2,2)=5,WEEKDAY('Daily Schedule'!$B$2,2)=7),IFERROR(1*'Daily Workforce'!$K121&gt;=3,FALSE()),IFERROR(1*'Daily Workforce'!$K121&gt;=2,FALSE())),IF(AND('Daily Schedule'!$A24&gt;=46,'Daily Schedule'!$A24&lt;=52),'Daily Workforce'!$M121="Y",IFERROR(1*'Daily Workforce'!$P121&gt;=2,FALSE()))))),1,0)</f>
        <v>0</v>
      </c>
      <c r="EC20" s="1" t="n">
        <f aca="false">IF(AND('Daily Workforce'!$N122="Y",'Daily Workforce'!$B122&lt;&gt;"",COUNTIF('Daily Schedule'!$F$5:$F23,'Daily Workforce'!$B122)=0,IF('Daily Schedule'!$A24=45,'Daily Workforce'!$J122="Y",IF(OR('Daily Schedule'!$A24=4,'Daily Schedule'!$A24=8),IF(OR(WEEKDAY('Daily Schedule'!$B$2,2)=1,WEEKDAY('Daily Schedule'!$B$2,2)=4,WEEKDAY('Daily Schedule'!$B$2,2)=5,WEEKDAY('Daily Schedule'!$B$2,2)=7),IFERROR(1*'Daily Workforce'!$K122&gt;=3,FALSE()),IFERROR(1*'Daily Workforce'!$K122&gt;=2,FALSE())),IF(AND('Daily Schedule'!$A24&gt;=46,'Daily Schedule'!$A24&lt;=52),'Daily Workforce'!$M122="Y",IFERROR(1*'Daily Workforce'!$P122&gt;=2,FALSE()))))),1,0)</f>
        <v>0</v>
      </c>
      <c r="ED20" s="1" t="n">
        <f aca="false">IF(AND('Daily Workforce'!$N123="Y",'Daily Workforce'!$B123&lt;&gt;"",COUNTIF('Daily Schedule'!$F$5:$F23,'Daily Workforce'!$B123)=0,IF('Daily Schedule'!$A24=45,'Daily Workforce'!$J123="Y",IF(OR('Daily Schedule'!$A24=4,'Daily Schedule'!$A24=8),IF(OR(WEEKDAY('Daily Schedule'!$B$2,2)=1,WEEKDAY('Daily Schedule'!$B$2,2)=4,WEEKDAY('Daily Schedule'!$B$2,2)=5,WEEKDAY('Daily Schedule'!$B$2,2)=7),IFERROR(1*'Daily Workforce'!$K123&gt;=3,FALSE()),IFERROR(1*'Daily Workforce'!$K123&gt;=2,FALSE())),IF(AND('Daily Schedule'!$A24&gt;=46,'Daily Schedule'!$A24&lt;=52),'Daily Workforce'!$M123="Y",IFERROR(1*'Daily Workforce'!$P123&gt;=2,FALSE()))))),1,0)</f>
        <v>0</v>
      </c>
      <c r="EE20" s="1" t="n">
        <f aca="false">IF(AND('Daily Workforce'!$N124="Y",'Daily Workforce'!$B124&lt;&gt;"",COUNTIF('Daily Schedule'!$F$5:$F23,'Daily Workforce'!$B124)=0,IF('Daily Schedule'!$A24=45,'Daily Workforce'!$J124="Y",IF(OR('Daily Schedule'!$A24=4,'Daily Schedule'!$A24=8),IF(OR(WEEKDAY('Daily Schedule'!$B$2,2)=1,WEEKDAY('Daily Schedule'!$B$2,2)=4,WEEKDAY('Daily Schedule'!$B$2,2)=5,WEEKDAY('Daily Schedule'!$B$2,2)=7),IFERROR(1*'Daily Workforce'!$K124&gt;=3,FALSE()),IFERROR(1*'Daily Workforce'!$K124&gt;=2,FALSE())),IF(AND('Daily Schedule'!$A24&gt;=46,'Daily Schedule'!$A24&lt;=52),'Daily Workforce'!$M124="Y",IFERROR(1*'Daily Workforce'!$P124&gt;=2,FALSE()))))),1,0)</f>
        <v>0</v>
      </c>
      <c r="EF20" s="1" t="n">
        <f aca="false">IF(AND('Daily Workforce'!$N125="Y",'Daily Workforce'!$B125&lt;&gt;"",COUNTIF('Daily Schedule'!$F$5:$F23,'Daily Workforce'!$B125)=0,IF('Daily Schedule'!$A24=45,'Daily Workforce'!$J125="Y",IF(OR('Daily Schedule'!$A24=4,'Daily Schedule'!$A24=8),IF(OR(WEEKDAY('Daily Schedule'!$B$2,2)=1,WEEKDAY('Daily Schedule'!$B$2,2)=4,WEEKDAY('Daily Schedule'!$B$2,2)=5,WEEKDAY('Daily Schedule'!$B$2,2)=7),IFERROR(1*'Daily Workforce'!$K125&gt;=3,FALSE()),IFERROR(1*'Daily Workforce'!$K125&gt;=2,FALSE())),IF(AND('Daily Schedule'!$A24&gt;=46,'Daily Schedule'!$A24&lt;=52),'Daily Workforce'!$M125="Y",IFERROR(1*'Daily Workforce'!$P125&gt;=2,FALSE()))))),1,0)</f>
        <v>0</v>
      </c>
      <c r="EG20" s="1" t="n">
        <f aca="false">IF(AND('Daily Workforce'!$N126="Y",'Daily Workforce'!$B126&lt;&gt;"",COUNTIF('Daily Schedule'!$F$5:$F23,'Daily Workforce'!$B126)=0,IF('Daily Schedule'!$A24=45,'Daily Workforce'!$J126="Y",IF(OR('Daily Schedule'!$A24=4,'Daily Schedule'!$A24=8),IF(OR(WEEKDAY('Daily Schedule'!$B$2,2)=1,WEEKDAY('Daily Schedule'!$B$2,2)=4,WEEKDAY('Daily Schedule'!$B$2,2)=5,WEEKDAY('Daily Schedule'!$B$2,2)=7),IFERROR(1*'Daily Workforce'!$K126&gt;=3,FALSE()),IFERROR(1*'Daily Workforce'!$K126&gt;=2,FALSE())),IF(AND('Daily Schedule'!$A24&gt;=46,'Daily Schedule'!$A24&lt;=52),'Daily Workforce'!$M126="Y",IFERROR(1*'Daily Workforce'!$P126&gt;=2,FALSE()))))),1,0)</f>
        <v>0</v>
      </c>
      <c r="EH20" s="1" t="n">
        <f aca="false">IF(AND('Daily Workforce'!$N127="Y",'Daily Workforce'!$B127&lt;&gt;"",COUNTIF('Daily Schedule'!$F$5:$F23,'Daily Workforce'!$B127)=0,IF('Daily Schedule'!$A24=45,'Daily Workforce'!$J127="Y",IF(OR('Daily Schedule'!$A24=4,'Daily Schedule'!$A24=8),IF(OR(WEEKDAY('Daily Schedule'!$B$2,2)=1,WEEKDAY('Daily Schedule'!$B$2,2)=4,WEEKDAY('Daily Schedule'!$B$2,2)=5,WEEKDAY('Daily Schedule'!$B$2,2)=7),IFERROR(1*'Daily Workforce'!$K127&gt;=3,FALSE()),IFERROR(1*'Daily Workforce'!$K127&gt;=2,FALSE())),IF(AND('Daily Schedule'!$A24&gt;=46,'Daily Schedule'!$A24&lt;=52),'Daily Workforce'!$M127="Y",IFERROR(1*'Daily Workforce'!$P127&gt;=2,FALSE()))))),1,0)</f>
        <v>0</v>
      </c>
      <c r="EI20" s="1" t="n">
        <f aca="false">IF(AND('Daily Workforce'!$N128="Y",'Daily Workforce'!$B128&lt;&gt;"",COUNTIF('Daily Schedule'!$F$5:$F23,'Daily Workforce'!$B128)=0,IF('Daily Schedule'!$A24=45,'Daily Workforce'!$J128="Y",IF(OR('Daily Schedule'!$A24=4,'Daily Schedule'!$A24=8),IF(OR(WEEKDAY('Daily Schedule'!$B$2,2)=1,WEEKDAY('Daily Schedule'!$B$2,2)=4,WEEKDAY('Daily Schedule'!$B$2,2)=5,WEEKDAY('Daily Schedule'!$B$2,2)=7),IFERROR(1*'Daily Workforce'!$K128&gt;=3,FALSE()),IFERROR(1*'Daily Workforce'!$K128&gt;=2,FALSE())),IF(AND('Daily Schedule'!$A24&gt;=46,'Daily Schedule'!$A24&lt;=52),'Daily Workforce'!$M128="Y",IFERROR(1*'Daily Workforce'!$P128&gt;=2,FALSE()))))),1,0)</f>
        <v>0</v>
      </c>
      <c r="EJ20" s="1" t="n">
        <f aca="false">IF(AND('Daily Workforce'!$N129="Y",'Daily Workforce'!$B129&lt;&gt;"",COUNTIF('Daily Schedule'!$F$5:$F23,'Daily Workforce'!$B129)=0,IF('Daily Schedule'!$A24=45,'Daily Workforce'!$J129="Y",IF(OR('Daily Schedule'!$A24=4,'Daily Schedule'!$A24=8),IF(OR(WEEKDAY('Daily Schedule'!$B$2,2)=1,WEEKDAY('Daily Schedule'!$B$2,2)=4,WEEKDAY('Daily Schedule'!$B$2,2)=5,WEEKDAY('Daily Schedule'!$B$2,2)=7),IFERROR(1*'Daily Workforce'!$K129&gt;=3,FALSE()),IFERROR(1*'Daily Workforce'!$K129&gt;=2,FALSE())),IF(AND('Daily Schedule'!$A24&gt;=46,'Daily Schedule'!$A24&lt;=52),'Daily Workforce'!$M129="Y",IFERROR(1*'Daily Workforce'!$P129&gt;=2,FALSE()))))),1,0)</f>
        <v>0</v>
      </c>
      <c r="EK20" s="1" t="n">
        <f aca="false">IF(AND('Daily Workforce'!$N130="Y",'Daily Workforce'!$B130&lt;&gt;"",COUNTIF('Daily Schedule'!$F$5:$F23,'Daily Workforce'!$B130)=0,IF('Daily Schedule'!$A24=45,'Daily Workforce'!$J130="Y",IF(OR('Daily Schedule'!$A24=4,'Daily Schedule'!$A24=8),IF(OR(WEEKDAY('Daily Schedule'!$B$2,2)=1,WEEKDAY('Daily Schedule'!$B$2,2)=4,WEEKDAY('Daily Schedule'!$B$2,2)=5,WEEKDAY('Daily Schedule'!$B$2,2)=7),IFERROR(1*'Daily Workforce'!$K130&gt;=3,FALSE()),IFERROR(1*'Daily Workforce'!$K130&gt;=2,FALSE())),IF(AND('Daily Schedule'!$A24&gt;=46,'Daily Schedule'!$A24&lt;=52),'Daily Workforce'!$M130="Y",IFERROR(1*'Daily Workforce'!$P130&gt;=2,FALSE()))))),1,0)</f>
        <v>0</v>
      </c>
      <c r="EL20" s="1" t="n">
        <f aca="false">IF(AND('Daily Workforce'!$N131="Y",'Daily Workforce'!$B131&lt;&gt;"",COUNTIF('Daily Schedule'!$F$5:$F23,'Daily Workforce'!$B131)=0,IF('Daily Schedule'!$A24=45,'Daily Workforce'!$J131="Y",IF(OR('Daily Schedule'!$A24=4,'Daily Schedule'!$A24=8),IF(OR(WEEKDAY('Daily Schedule'!$B$2,2)=1,WEEKDAY('Daily Schedule'!$B$2,2)=4,WEEKDAY('Daily Schedule'!$B$2,2)=5,WEEKDAY('Daily Schedule'!$B$2,2)=7),IFERROR(1*'Daily Workforce'!$K131&gt;=3,FALSE()),IFERROR(1*'Daily Workforce'!$K131&gt;=2,FALSE())),IF(AND('Daily Schedule'!$A24&gt;=46,'Daily Schedule'!$A24&lt;=52),'Daily Workforce'!$M131="Y",IFERROR(1*'Daily Workforce'!$P131&gt;=2,FALSE()))))),1,0)</f>
        <v>0</v>
      </c>
      <c r="EM20" s="1" t="n">
        <f aca="false">IF(AND('Daily Workforce'!$N132="Y",'Daily Workforce'!$B132&lt;&gt;"",COUNTIF('Daily Schedule'!$F$5:$F23,'Daily Workforce'!$B132)=0,IF('Daily Schedule'!$A24=45,'Daily Workforce'!$J132="Y",IF(OR('Daily Schedule'!$A24=4,'Daily Schedule'!$A24=8),IF(OR(WEEKDAY('Daily Schedule'!$B$2,2)=1,WEEKDAY('Daily Schedule'!$B$2,2)=4,WEEKDAY('Daily Schedule'!$B$2,2)=5,WEEKDAY('Daily Schedule'!$B$2,2)=7),IFERROR(1*'Daily Workforce'!$K132&gt;=3,FALSE()),IFERROR(1*'Daily Workforce'!$K132&gt;=2,FALSE())),IF(AND('Daily Schedule'!$A24&gt;=46,'Daily Schedule'!$A24&lt;=52),'Daily Workforce'!$M132="Y",IFERROR(1*'Daily Workforce'!$P132&gt;=2,FALSE()))))),1,0)</f>
        <v>0</v>
      </c>
      <c r="EN20" s="1" t="n">
        <f aca="false">IF(AND('Daily Workforce'!$N133="Y",'Daily Workforce'!$B133&lt;&gt;"",COUNTIF('Daily Schedule'!$F$5:$F23,'Daily Workforce'!$B133)=0,IF('Daily Schedule'!$A24=45,'Daily Workforce'!$J133="Y",IF(OR('Daily Schedule'!$A24=4,'Daily Schedule'!$A24=8),IF(OR(WEEKDAY('Daily Schedule'!$B$2,2)=1,WEEKDAY('Daily Schedule'!$B$2,2)=4,WEEKDAY('Daily Schedule'!$B$2,2)=5,WEEKDAY('Daily Schedule'!$B$2,2)=7),IFERROR(1*'Daily Workforce'!$K133&gt;=3,FALSE()),IFERROR(1*'Daily Workforce'!$K133&gt;=2,FALSE())),IF(AND('Daily Schedule'!$A24&gt;=46,'Daily Schedule'!$A24&lt;=52),'Daily Workforce'!$M133="Y",IFERROR(1*'Daily Workforce'!$P133&gt;=2,FALSE()))))),1,0)</f>
        <v>0</v>
      </c>
      <c r="EO20" s="1" t="n">
        <f aca="false">IF(AND('Daily Workforce'!$N134="Y",'Daily Workforce'!$B134&lt;&gt;"",COUNTIF('Daily Schedule'!$F$5:$F23,'Daily Workforce'!$B134)=0,IF('Daily Schedule'!$A24=45,'Daily Workforce'!$J134="Y",IF(OR('Daily Schedule'!$A24=4,'Daily Schedule'!$A24=8),IF(OR(WEEKDAY('Daily Schedule'!$B$2,2)=1,WEEKDAY('Daily Schedule'!$B$2,2)=4,WEEKDAY('Daily Schedule'!$B$2,2)=5,WEEKDAY('Daily Schedule'!$B$2,2)=7),IFERROR(1*'Daily Workforce'!$K134&gt;=3,FALSE()),IFERROR(1*'Daily Workforce'!$K134&gt;=2,FALSE())),IF(AND('Daily Schedule'!$A24&gt;=46,'Daily Schedule'!$A24&lt;=52),'Daily Workforce'!$M134="Y",IFERROR(1*'Daily Workforce'!$P134&gt;=2,FALSE()))))),1,0)</f>
        <v>0</v>
      </c>
      <c r="EP20" s="1" t="n">
        <f aca="false">IF(AND('Daily Workforce'!$N135="Y",'Daily Workforce'!$B135&lt;&gt;"",COUNTIF('Daily Schedule'!$F$5:$F23,'Daily Workforce'!$B135)=0,IF('Daily Schedule'!$A24=45,'Daily Workforce'!$J135="Y",IF(OR('Daily Schedule'!$A24=4,'Daily Schedule'!$A24=8),IF(OR(WEEKDAY('Daily Schedule'!$B$2,2)=1,WEEKDAY('Daily Schedule'!$B$2,2)=4,WEEKDAY('Daily Schedule'!$B$2,2)=5,WEEKDAY('Daily Schedule'!$B$2,2)=7),IFERROR(1*'Daily Workforce'!$K135&gt;=3,FALSE()),IFERROR(1*'Daily Workforce'!$K135&gt;=2,FALSE())),IF(AND('Daily Schedule'!$A24&gt;=46,'Daily Schedule'!$A24&lt;=52),'Daily Workforce'!$M135="Y",IFERROR(1*'Daily Workforce'!$P135&gt;=2,FALSE()))))),1,0)</f>
        <v>0</v>
      </c>
      <c r="EQ20" s="1" t="n">
        <f aca="false">IF(AND('Daily Workforce'!$N136="Y",'Daily Workforce'!$B136&lt;&gt;"",COUNTIF('Daily Schedule'!$F$5:$F23,'Daily Workforce'!$B136)=0,IF('Daily Schedule'!$A24=45,'Daily Workforce'!$J136="Y",IF(OR('Daily Schedule'!$A24=4,'Daily Schedule'!$A24=8),IF(OR(WEEKDAY('Daily Schedule'!$B$2,2)=1,WEEKDAY('Daily Schedule'!$B$2,2)=4,WEEKDAY('Daily Schedule'!$B$2,2)=5,WEEKDAY('Daily Schedule'!$B$2,2)=7),IFERROR(1*'Daily Workforce'!$K136&gt;=3,FALSE()),IFERROR(1*'Daily Workforce'!$K136&gt;=2,FALSE())),IF(AND('Daily Schedule'!$A24&gt;=46,'Daily Schedule'!$A24&lt;=52),'Daily Workforce'!$M136="Y",IFERROR(1*'Daily Workforce'!$P136&gt;=2,FALSE()))))),1,0)</f>
        <v>0</v>
      </c>
      <c r="ER20" s="1" t="n">
        <f aca="false">IF(AND('Daily Workforce'!$N137="Y",'Daily Workforce'!$B137&lt;&gt;"",COUNTIF('Daily Schedule'!$F$5:$F23,'Daily Workforce'!$B137)=0,IF('Daily Schedule'!$A24=45,'Daily Workforce'!$J137="Y",IF(OR('Daily Schedule'!$A24=4,'Daily Schedule'!$A24=8),IF(OR(WEEKDAY('Daily Schedule'!$B$2,2)=1,WEEKDAY('Daily Schedule'!$B$2,2)=4,WEEKDAY('Daily Schedule'!$B$2,2)=5,WEEKDAY('Daily Schedule'!$B$2,2)=7),IFERROR(1*'Daily Workforce'!$K137&gt;=3,FALSE()),IFERROR(1*'Daily Workforce'!$K137&gt;=2,FALSE())),IF(AND('Daily Schedule'!$A24&gt;=46,'Daily Schedule'!$A24&lt;=52),'Daily Workforce'!$M137="Y",IFERROR(1*'Daily Workforce'!$P137&gt;=2,FALSE()))))),1,0)</f>
        <v>0</v>
      </c>
      <c r="ES20" s="1" t="n">
        <f aca="false">IF(AND('Daily Workforce'!$N138="Y",'Daily Workforce'!$B138&lt;&gt;"",COUNTIF('Daily Schedule'!$F$5:$F23,'Daily Workforce'!$B138)=0,IF('Daily Schedule'!$A24=45,'Daily Workforce'!$J138="Y",IF(OR('Daily Schedule'!$A24=4,'Daily Schedule'!$A24=8),IF(OR(WEEKDAY('Daily Schedule'!$B$2,2)=1,WEEKDAY('Daily Schedule'!$B$2,2)=4,WEEKDAY('Daily Schedule'!$B$2,2)=5,WEEKDAY('Daily Schedule'!$B$2,2)=7),IFERROR(1*'Daily Workforce'!$K138&gt;=3,FALSE()),IFERROR(1*'Daily Workforce'!$K138&gt;=2,FALSE())),IF(AND('Daily Schedule'!$A24&gt;=46,'Daily Schedule'!$A24&lt;=52),'Daily Workforce'!$M138="Y",IFERROR(1*'Daily Workforce'!$P138&gt;=2,FALSE()))))),1,0)</f>
        <v>0</v>
      </c>
      <c r="ET20" s="1" t="n">
        <f aca="false">IF(AND('Daily Workforce'!$N139="Y",'Daily Workforce'!$B139&lt;&gt;"",COUNTIF('Daily Schedule'!$F$5:$F23,'Daily Workforce'!$B139)=0,IF('Daily Schedule'!$A24=45,'Daily Workforce'!$J139="Y",IF(OR('Daily Schedule'!$A24=4,'Daily Schedule'!$A24=8),IF(OR(WEEKDAY('Daily Schedule'!$B$2,2)=1,WEEKDAY('Daily Schedule'!$B$2,2)=4,WEEKDAY('Daily Schedule'!$B$2,2)=5,WEEKDAY('Daily Schedule'!$B$2,2)=7),IFERROR(1*'Daily Workforce'!$K139&gt;=3,FALSE()),IFERROR(1*'Daily Workforce'!$K139&gt;=2,FALSE())),IF(AND('Daily Schedule'!$A24&gt;=46,'Daily Schedule'!$A24&lt;=52),'Daily Workforce'!$M139="Y",IFERROR(1*'Daily Workforce'!$P139&gt;=2,FALSE()))))),1,0)</f>
        <v>0</v>
      </c>
      <c r="EU20" s="1" t="n">
        <f aca="false">IF(AND('Daily Workforce'!$N140="Y",'Daily Workforce'!$B140&lt;&gt;"",COUNTIF('Daily Schedule'!$F$5:$F23,'Daily Workforce'!$B140)=0,IF('Daily Schedule'!$A24=45,'Daily Workforce'!$J140="Y",IF(OR('Daily Schedule'!$A24=4,'Daily Schedule'!$A24=8),IF(OR(WEEKDAY('Daily Schedule'!$B$2,2)=1,WEEKDAY('Daily Schedule'!$B$2,2)=4,WEEKDAY('Daily Schedule'!$B$2,2)=5,WEEKDAY('Daily Schedule'!$B$2,2)=7),IFERROR(1*'Daily Workforce'!$K140&gt;=3,FALSE()),IFERROR(1*'Daily Workforce'!$K140&gt;=2,FALSE())),IF(AND('Daily Schedule'!$A24&gt;=46,'Daily Schedule'!$A24&lt;=52),'Daily Workforce'!$M140="Y",IFERROR(1*'Daily Workforce'!$P140&gt;=2,FALSE()))))),1,0)</f>
        <v>0</v>
      </c>
      <c r="EV20" s="1" t="n">
        <f aca="false">IF(AND('Daily Workforce'!$N141="Y",'Daily Workforce'!$B141&lt;&gt;"",COUNTIF('Daily Schedule'!$F$5:$F23,'Daily Workforce'!$B141)=0,IF('Daily Schedule'!$A24=45,'Daily Workforce'!$J141="Y",IF(OR('Daily Schedule'!$A24=4,'Daily Schedule'!$A24=8),IF(OR(WEEKDAY('Daily Schedule'!$B$2,2)=1,WEEKDAY('Daily Schedule'!$B$2,2)=4,WEEKDAY('Daily Schedule'!$B$2,2)=5,WEEKDAY('Daily Schedule'!$B$2,2)=7),IFERROR(1*'Daily Workforce'!$K141&gt;=3,FALSE()),IFERROR(1*'Daily Workforce'!$K141&gt;=2,FALSE())),IF(AND('Daily Schedule'!$A24&gt;=46,'Daily Schedule'!$A24&lt;=52),'Daily Workforce'!$M141="Y",IFERROR(1*'Daily Workforce'!$P141&gt;=2,FALSE()))))),1,0)</f>
        <v>0</v>
      </c>
      <c r="EW20" s="1" t="n">
        <f aca="false">IF(AND('Daily Workforce'!$N142="Y",'Daily Workforce'!$B142&lt;&gt;"",COUNTIF('Daily Schedule'!$F$5:$F23,'Daily Workforce'!$B142)=0,IF('Daily Schedule'!$A24=45,'Daily Workforce'!$J142="Y",IF(OR('Daily Schedule'!$A24=4,'Daily Schedule'!$A24=8),IF(OR(WEEKDAY('Daily Schedule'!$B$2,2)=1,WEEKDAY('Daily Schedule'!$B$2,2)=4,WEEKDAY('Daily Schedule'!$B$2,2)=5,WEEKDAY('Daily Schedule'!$B$2,2)=7),IFERROR(1*'Daily Workforce'!$K142&gt;=3,FALSE()),IFERROR(1*'Daily Workforce'!$K142&gt;=2,FALSE())),IF(AND('Daily Schedule'!$A24&gt;=46,'Daily Schedule'!$A24&lt;=52),'Daily Workforce'!$M142="Y",IFERROR(1*'Daily Workforce'!$P142&gt;=2,FALSE()))))),1,0)</f>
        <v>0</v>
      </c>
      <c r="EX20" s="1" t="n">
        <f aca="false">IF(AND('Daily Workforce'!$N143="Y",'Daily Workforce'!$B143&lt;&gt;"",COUNTIF('Daily Schedule'!$F$5:$F23,'Daily Workforce'!$B143)=0,IF('Daily Schedule'!$A24=45,'Daily Workforce'!$J143="Y",IF(OR('Daily Schedule'!$A24=4,'Daily Schedule'!$A24=8),IF(OR(WEEKDAY('Daily Schedule'!$B$2,2)=1,WEEKDAY('Daily Schedule'!$B$2,2)=4,WEEKDAY('Daily Schedule'!$B$2,2)=5,WEEKDAY('Daily Schedule'!$B$2,2)=7),IFERROR(1*'Daily Workforce'!$K143&gt;=3,FALSE()),IFERROR(1*'Daily Workforce'!$K143&gt;=2,FALSE())),IF(AND('Daily Schedule'!$A24&gt;=46,'Daily Schedule'!$A24&lt;=52),'Daily Workforce'!$M143="Y",IFERROR(1*'Daily Workforce'!$P143&gt;=2,FALSE()))))),1,0)</f>
        <v>0</v>
      </c>
      <c r="EY20" s="1" t="n">
        <f aca="false">IF(AND('Daily Workforce'!$N144="Y",'Daily Workforce'!$B144&lt;&gt;"",COUNTIF('Daily Schedule'!$F$5:$F23,'Daily Workforce'!$B144)=0,IF('Daily Schedule'!$A24=45,'Daily Workforce'!$J144="Y",IF(OR('Daily Schedule'!$A24=4,'Daily Schedule'!$A24=8),IF(OR(WEEKDAY('Daily Schedule'!$B$2,2)=1,WEEKDAY('Daily Schedule'!$B$2,2)=4,WEEKDAY('Daily Schedule'!$B$2,2)=5,WEEKDAY('Daily Schedule'!$B$2,2)=7),IFERROR(1*'Daily Workforce'!$K144&gt;=3,FALSE()),IFERROR(1*'Daily Workforce'!$K144&gt;=2,FALSE())),IF(AND('Daily Schedule'!$A24&gt;=46,'Daily Schedule'!$A24&lt;=52),'Daily Workforce'!$M144="Y",IFERROR(1*'Daily Workforce'!$P144&gt;=2,FALSE()))))),1,0)</f>
        <v>0</v>
      </c>
      <c r="EZ20" s="1" t="n">
        <f aca="false">IF(AND('Daily Workforce'!$N145="Y",'Daily Workforce'!$B145&lt;&gt;"",COUNTIF('Daily Schedule'!$F$5:$F23,'Daily Workforce'!$B145)=0,IF('Daily Schedule'!$A24=45,'Daily Workforce'!$J145="Y",IF(OR('Daily Schedule'!$A24=4,'Daily Schedule'!$A24=8),IF(OR(WEEKDAY('Daily Schedule'!$B$2,2)=1,WEEKDAY('Daily Schedule'!$B$2,2)=4,WEEKDAY('Daily Schedule'!$B$2,2)=5,WEEKDAY('Daily Schedule'!$B$2,2)=7),IFERROR(1*'Daily Workforce'!$K145&gt;=3,FALSE()),IFERROR(1*'Daily Workforce'!$K145&gt;=2,FALSE())),IF(AND('Daily Schedule'!$A24&gt;=46,'Daily Schedule'!$A24&lt;=52),'Daily Workforce'!$M145="Y",IFERROR(1*'Daily Workforce'!$P145&gt;=2,FALSE()))))),1,0)</f>
        <v>0</v>
      </c>
      <c r="FA20" s="1" t="n">
        <f aca="false">IF(AND('Daily Workforce'!$N146="Y",'Daily Workforce'!$B146&lt;&gt;"",COUNTIF('Daily Schedule'!$F$5:$F23,'Daily Workforce'!$B146)=0,IF('Daily Schedule'!$A24=45,'Daily Workforce'!$J146="Y",IF(OR('Daily Schedule'!$A24=4,'Daily Schedule'!$A24=8),IF(OR(WEEKDAY('Daily Schedule'!$B$2,2)=1,WEEKDAY('Daily Schedule'!$B$2,2)=4,WEEKDAY('Daily Schedule'!$B$2,2)=5,WEEKDAY('Daily Schedule'!$B$2,2)=7),IFERROR(1*'Daily Workforce'!$K146&gt;=3,FALSE()),IFERROR(1*'Daily Workforce'!$K146&gt;=2,FALSE())),IF(AND('Daily Schedule'!$A24&gt;=46,'Daily Schedule'!$A24&lt;=52),'Daily Workforce'!$M146="Y",IFERROR(1*'Daily Workforce'!$P146&gt;=2,FALSE()))))),1,0)</f>
        <v>0</v>
      </c>
      <c r="FB20" s="1" t="n">
        <f aca="false">IF(AND('Daily Workforce'!$N147="Y",'Daily Workforce'!$B147&lt;&gt;"",COUNTIF('Daily Schedule'!$F$5:$F23,'Daily Workforce'!$B147)=0,IF('Daily Schedule'!$A24=45,'Daily Workforce'!$J147="Y",IF(OR('Daily Schedule'!$A24=4,'Daily Schedule'!$A24=8),IF(OR(WEEKDAY('Daily Schedule'!$B$2,2)=1,WEEKDAY('Daily Schedule'!$B$2,2)=4,WEEKDAY('Daily Schedule'!$B$2,2)=5,WEEKDAY('Daily Schedule'!$B$2,2)=7),IFERROR(1*'Daily Workforce'!$K147&gt;=3,FALSE()),IFERROR(1*'Daily Workforce'!$K147&gt;=2,FALSE())),IF(AND('Daily Schedule'!$A24&gt;=46,'Daily Schedule'!$A24&lt;=52),'Daily Workforce'!$M147="Y",IFERROR(1*'Daily Workforce'!$P147&gt;=2,FALSE()))))),1,0)</f>
        <v>0</v>
      </c>
      <c r="FC20" s="1" t="n">
        <f aca="false">IF(AND('Daily Workforce'!$N148="Y",'Daily Workforce'!$B148&lt;&gt;"",COUNTIF('Daily Schedule'!$F$5:$F23,'Daily Workforce'!$B148)=0,IF('Daily Schedule'!$A24=45,'Daily Workforce'!$J148="Y",IF(OR('Daily Schedule'!$A24=4,'Daily Schedule'!$A24=8),IF(OR(WEEKDAY('Daily Schedule'!$B$2,2)=1,WEEKDAY('Daily Schedule'!$B$2,2)=4,WEEKDAY('Daily Schedule'!$B$2,2)=5,WEEKDAY('Daily Schedule'!$B$2,2)=7),IFERROR(1*'Daily Workforce'!$K148&gt;=3,FALSE()),IFERROR(1*'Daily Workforce'!$K148&gt;=2,FALSE())),IF(AND('Daily Schedule'!$A24&gt;=46,'Daily Schedule'!$A24&lt;=52),'Daily Workforce'!$M148="Y",IFERROR(1*'Daily Workforce'!$P148&gt;=2,FALSE()))))),1,0)</f>
        <v>0</v>
      </c>
      <c r="FD20" s="1" t="n">
        <f aca="false">IF(AND('Daily Workforce'!$N149="Y",'Daily Workforce'!$B149&lt;&gt;"",COUNTIF('Daily Schedule'!$F$5:$F23,'Daily Workforce'!$B149)=0,IF('Daily Schedule'!$A24=45,'Daily Workforce'!$J149="Y",IF(OR('Daily Schedule'!$A24=4,'Daily Schedule'!$A24=8),IF(OR(WEEKDAY('Daily Schedule'!$B$2,2)=1,WEEKDAY('Daily Schedule'!$B$2,2)=4,WEEKDAY('Daily Schedule'!$B$2,2)=5,WEEKDAY('Daily Schedule'!$B$2,2)=7),IFERROR(1*'Daily Workforce'!$K149&gt;=3,FALSE()),IFERROR(1*'Daily Workforce'!$K149&gt;=2,FALSE())),IF(AND('Daily Schedule'!$A24&gt;=46,'Daily Schedule'!$A24&lt;=52),'Daily Workforce'!$M149="Y",IFERROR(1*'Daily Workforce'!$P149&gt;=2,FALSE()))))),1,0)</f>
        <v>0</v>
      </c>
      <c r="FE20" s="1" t="n">
        <f aca="false">IF(AND('Daily Workforce'!$N150="Y",'Daily Workforce'!$B150&lt;&gt;"",COUNTIF('Daily Schedule'!$F$5:$F23,'Daily Workforce'!$B150)=0,IF('Daily Schedule'!$A24=45,'Daily Workforce'!$J150="Y",IF(OR('Daily Schedule'!$A24=4,'Daily Schedule'!$A24=8),IF(OR(WEEKDAY('Daily Schedule'!$B$2,2)=1,WEEKDAY('Daily Schedule'!$B$2,2)=4,WEEKDAY('Daily Schedule'!$B$2,2)=5,WEEKDAY('Daily Schedule'!$B$2,2)=7),IFERROR(1*'Daily Workforce'!$K150&gt;=3,FALSE()),IFERROR(1*'Daily Workforce'!$K150&gt;=2,FALSE())),IF(AND('Daily Schedule'!$A24&gt;=46,'Daily Schedule'!$A24&lt;=52),'Daily Workforce'!$M150="Y",IFERROR(1*'Daily Workforce'!$P150&gt;=2,FALSE()))))),1,0)</f>
        <v>0</v>
      </c>
      <c r="FF20" s="1" t="n">
        <f aca="false">IF(AND('Daily Workforce'!$N151="Y",'Daily Workforce'!$B151&lt;&gt;"",COUNTIF('Daily Schedule'!$F$5:$F23,'Daily Workforce'!$B151)=0,IF('Daily Schedule'!$A24=45,'Daily Workforce'!$J151="Y",IF(OR('Daily Schedule'!$A24=4,'Daily Schedule'!$A24=8),IF(OR(WEEKDAY('Daily Schedule'!$B$2,2)=1,WEEKDAY('Daily Schedule'!$B$2,2)=4,WEEKDAY('Daily Schedule'!$B$2,2)=5,WEEKDAY('Daily Schedule'!$B$2,2)=7),IFERROR(1*'Daily Workforce'!$K151&gt;=3,FALSE()),IFERROR(1*'Daily Workforce'!$K151&gt;=2,FALSE())),IF(AND('Daily Schedule'!$A24&gt;=46,'Daily Schedule'!$A24&lt;=52),'Daily Workforce'!$M151="Y",IFERROR(1*'Daily Workforce'!$P151&gt;=2,FALSE()))))),1,0)</f>
        <v>0</v>
      </c>
      <c r="FG20" s="1" t="n">
        <f aca="false">IF(AND('Daily Workforce'!$N152="Y",'Daily Workforce'!$B152&lt;&gt;"",COUNTIF('Daily Schedule'!$F$5:$F23,'Daily Workforce'!$B152)=0,IF('Daily Schedule'!$A24=45,'Daily Workforce'!$J152="Y",IF(OR('Daily Schedule'!$A24=4,'Daily Schedule'!$A24=8),IF(OR(WEEKDAY('Daily Schedule'!$B$2,2)=1,WEEKDAY('Daily Schedule'!$B$2,2)=4,WEEKDAY('Daily Schedule'!$B$2,2)=5,WEEKDAY('Daily Schedule'!$B$2,2)=7),IFERROR(1*'Daily Workforce'!$K152&gt;=3,FALSE()),IFERROR(1*'Daily Workforce'!$K152&gt;=2,FALSE())),IF(AND('Daily Schedule'!$A24&gt;=46,'Daily Schedule'!$A24&lt;=52),'Daily Workforce'!$M152="Y",IFERROR(1*'Daily Workforce'!$P152&gt;=2,FALSE()))))),1,0)</f>
        <v>0</v>
      </c>
      <c r="FH20" s="1" t="n">
        <f aca="false">IF(AND('Daily Workforce'!$N153="Y",'Daily Workforce'!$B153&lt;&gt;"",COUNTIF('Daily Schedule'!$F$5:$F23,'Daily Workforce'!$B153)=0,IF('Daily Schedule'!$A24=45,'Daily Workforce'!$J153="Y",IF(OR('Daily Schedule'!$A24=4,'Daily Schedule'!$A24=8),IF(OR(WEEKDAY('Daily Schedule'!$B$2,2)=1,WEEKDAY('Daily Schedule'!$B$2,2)=4,WEEKDAY('Daily Schedule'!$B$2,2)=5,WEEKDAY('Daily Schedule'!$B$2,2)=7),IFERROR(1*'Daily Workforce'!$K153&gt;=3,FALSE()),IFERROR(1*'Daily Workforce'!$K153&gt;=2,FALSE())),IF(AND('Daily Schedule'!$A24&gt;=46,'Daily Schedule'!$A24&lt;=52),'Daily Workforce'!$M153="Y",IFERROR(1*'Daily Workforce'!$P153&gt;=2,FALSE()))))),1,0)</f>
        <v>0</v>
      </c>
      <c r="FI20" s="1" t="n">
        <f aca="false">IF(AND('Daily Workforce'!$N154="Y",'Daily Workforce'!$B154&lt;&gt;"",COUNTIF('Daily Schedule'!$F$5:$F23,'Daily Workforce'!$B154)=0,IF('Daily Schedule'!$A24=45,'Daily Workforce'!$J154="Y",IF(OR('Daily Schedule'!$A24=4,'Daily Schedule'!$A24=8),IF(OR(WEEKDAY('Daily Schedule'!$B$2,2)=1,WEEKDAY('Daily Schedule'!$B$2,2)=4,WEEKDAY('Daily Schedule'!$B$2,2)=5,WEEKDAY('Daily Schedule'!$B$2,2)=7),IFERROR(1*'Daily Workforce'!$K154&gt;=3,FALSE()),IFERROR(1*'Daily Workforce'!$K154&gt;=2,FALSE())),IF(AND('Daily Schedule'!$A24&gt;=46,'Daily Schedule'!$A24&lt;=52),'Daily Workforce'!$M154="Y",IFERROR(1*'Daily Workforce'!$P154&gt;=2,FALSE()))))),1,0)</f>
        <v>0</v>
      </c>
      <c r="FJ20" s="1" t="n">
        <f aca="false">IF(AND('Daily Workforce'!$N155="Y",'Daily Workforce'!$B155&lt;&gt;"",COUNTIF('Daily Schedule'!$F$5:$F23,'Daily Workforce'!$B155)=0,IF('Daily Schedule'!$A24=45,'Daily Workforce'!$J155="Y",IF(OR('Daily Schedule'!$A24=4,'Daily Schedule'!$A24=8),IF(OR(WEEKDAY('Daily Schedule'!$B$2,2)=1,WEEKDAY('Daily Schedule'!$B$2,2)=4,WEEKDAY('Daily Schedule'!$B$2,2)=5,WEEKDAY('Daily Schedule'!$B$2,2)=7),IFERROR(1*'Daily Workforce'!$K155&gt;=3,FALSE()),IFERROR(1*'Daily Workforce'!$K155&gt;=2,FALSE())),IF(AND('Daily Schedule'!$A24&gt;=46,'Daily Schedule'!$A24&lt;=52),'Daily Workforce'!$M155="Y",IFERROR(1*'Daily Workforce'!$P155&gt;=2,FALSE()))))),1,0)</f>
        <v>0</v>
      </c>
      <c r="FK20" s="1" t="n">
        <f aca="false">IF(AND('Daily Workforce'!$N156="Y",'Daily Workforce'!$B156&lt;&gt;"",COUNTIF('Daily Schedule'!$F$5:$F23,'Daily Workforce'!$B156)=0,IF('Daily Schedule'!$A24=45,'Daily Workforce'!$J156="Y",IF(OR('Daily Schedule'!$A24=4,'Daily Schedule'!$A24=8),IF(OR(WEEKDAY('Daily Schedule'!$B$2,2)=1,WEEKDAY('Daily Schedule'!$B$2,2)=4,WEEKDAY('Daily Schedule'!$B$2,2)=5,WEEKDAY('Daily Schedule'!$B$2,2)=7),IFERROR(1*'Daily Workforce'!$K156&gt;=3,FALSE()),IFERROR(1*'Daily Workforce'!$K156&gt;=2,FALSE())),IF(AND('Daily Schedule'!$A24&gt;=46,'Daily Schedule'!$A24&lt;=52),'Daily Workforce'!$M156="Y",IFERROR(1*'Daily Workforce'!$P156&gt;=2,FALSE()))))),1,0)</f>
        <v>0</v>
      </c>
      <c r="FL20" s="1" t="n">
        <f aca="false">IF(AND('Daily Workforce'!$N157="Y",'Daily Workforce'!$B157&lt;&gt;"",COUNTIF('Daily Schedule'!$F$5:$F23,'Daily Workforce'!$B157)=0,IF('Daily Schedule'!$A24=45,'Daily Workforce'!$J157="Y",IF(OR('Daily Schedule'!$A24=4,'Daily Schedule'!$A24=8),IF(OR(WEEKDAY('Daily Schedule'!$B$2,2)=1,WEEKDAY('Daily Schedule'!$B$2,2)=4,WEEKDAY('Daily Schedule'!$B$2,2)=5,WEEKDAY('Daily Schedule'!$B$2,2)=7),IFERROR(1*'Daily Workforce'!$K157&gt;=3,FALSE()),IFERROR(1*'Daily Workforce'!$K157&gt;=2,FALSE())),IF(AND('Daily Schedule'!$A24&gt;=46,'Daily Schedule'!$A24&lt;=52),'Daily Workforce'!$M157="Y",IFERROR(1*'Daily Workforce'!$P157&gt;=2,FALSE()))))),1,0)</f>
        <v>0</v>
      </c>
      <c r="FM20" s="1" t="n">
        <f aca="false">IF(AND('Daily Workforce'!$N158="Y",'Daily Workforce'!$B158&lt;&gt;"",COUNTIF('Daily Schedule'!$F$5:$F23,'Daily Workforce'!$B158)=0,IF('Daily Schedule'!$A24=45,'Daily Workforce'!$J158="Y",IF(OR('Daily Schedule'!$A24=4,'Daily Schedule'!$A24=8),IF(OR(WEEKDAY('Daily Schedule'!$B$2,2)=1,WEEKDAY('Daily Schedule'!$B$2,2)=4,WEEKDAY('Daily Schedule'!$B$2,2)=5,WEEKDAY('Daily Schedule'!$B$2,2)=7),IFERROR(1*'Daily Workforce'!$K158&gt;=3,FALSE()),IFERROR(1*'Daily Workforce'!$K158&gt;=2,FALSE())),IF(AND('Daily Schedule'!$A24&gt;=46,'Daily Schedule'!$A24&lt;=52),'Daily Workforce'!$M158="Y",IFERROR(1*'Daily Workforce'!$P158&gt;=2,FALSE()))))),1,0)</f>
        <v>0</v>
      </c>
      <c r="FN20" s="1" t="n">
        <f aca="false">IF(AND('Daily Workforce'!$N159="Y",'Daily Workforce'!$B159&lt;&gt;"",COUNTIF('Daily Schedule'!$F$5:$F23,'Daily Workforce'!$B159)=0,IF('Daily Schedule'!$A24=45,'Daily Workforce'!$J159="Y",IF(OR('Daily Schedule'!$A24=4,'Daily Schedule'!$A24=8),IF(OR(WEEKDAY('Daily Schedule'!$B$2,2)=1,WEEKDAY('Daily Schedule'!$B$2,2)=4,WEEKDAY('Daily Schedule'!$B$2,2)=5,WEEKDAY('Daily Schedule'!$B$2,2)=7),IFERROR(1*'Daily Workforce'!$K159&gt;=3,FALSE()),IFERROR(1*'Daily Workforce'!$K159&gt;=2,FALSE())),IF(AND('Daily Schedule'!$A24&gt;=46,'Daily Schedule'!$A24&lt;=52),'Daily Workforce'!$M159="Y",IFERROR(1*'Daily Workforce'!$P159&gt;=2,FALSE()))))),1,0)</f>
        <v>0</v>
      </c>
      <c r="FO20" s="1" t="n">
        <f aca="false">IF(AND('Daily Workforce'!$N160="Y",'Daily Workforce'!$B160&lt;&gt;"",COUNTIF('Daily Schedule'!$F$5:$F23,'Daily Workforce'!$B160)=0,IF('Daily Schedule'!$A24=45,'Daily Workforce'!$J160="Y",IF(OR('Daily Schedule'!$A24=4,'Daily Schedule'!$A24=8),IF(OR(WEEKDAY('Daily Schedule'!$B$2,2)=1,WEEKDAY('Daily Schedule'!$B$2,2)=4,WEEKDAY('Daily Schedule'!$B$2,2)=5,WEEKDAY('Daily Schedule'!$B$2,2)=7),IFERROR(1*'Daily Workforce'!$K160&gt;=3,FALSE()),IFERROR(1*'Daily Workforce'!$K160&gt;=2,FALSE())),IF(AND('Daily Schedule'!$A24&gt;=46,'Daily Schedule'!$A24&lt;=52),'Daily Workforce'!$M160="Y",IFERROR(1*'Daily Workforce'!$P160&gt;=2,FALSE()))))),1,0)</f>
        <v>0</v>
      </c>
      <c r="FP20" s="1" t="n">
        <f aca="false">IF(AND('Daily Workforce'!$N161="Y",'Daily Workforce'!$B161&lt;&gt;"",COUNTIF('Daily Schedule'!$F$5:$F23,'Daily Workforce'!$B161)=0,IF('Daily Schedule'!$A24=45,'Daily Workforce'!$J161="Y",IF(OR('Daily Schedule'!$A24=4,'Daily Schedule'!$A24=8),IF(OR(WEEKDAY('Daily Schedule'!$B$2,2)=1,WEEKDAY('Daily Schedule'!$B$2,2)=4,WEEKDAY('Daily Schedule'!$B$2,2)=5,WEEKDAY('Daily Schedule'!$B$2,2)=7),IFERROR(1*'Daily Workforce'!$K161&gt;=3,FALSE()),IFERROR(1*'Daily Workforce'!$K161&gt;=2,FALSE())),IF(AND('Daily Schedule'!$A24&gt;=46,'Daily Schedule'!$A24&lt;=52),'Daily Workforce'!$M161="Y",IFERROR(1*'Daily Workforce'!$P161&gt;=2,FALSE()))))),1,0)</f>
        <v>0</v>
      </c>
      <c r="FQ20" s="1" t="n">
        <f aca="false">IF(AND('Daily Workforce'!$N162="Y",'Daily Workforce'!$B162&lt;&gt;"",COUNTIF('Daily Schedule'!$F$5:$F23,'Daily Workforce'!$B162)=0,IF('Daily Schedule'!$A24=45,'Daily Workforce'!$J162="Y",IF(OR('Daily Schedule'!$A24=4,'Daily Schedule'!$A24=8),IF(OR(WEEKDAY('Daily Schedule'!$B$2,2)=1,WEEKDAY('Daily Schedule'!$B$2,2)=4,WEEKDAY('Daily Schedule'!$B$2,2)=5,WEEKDAY('Daily Schedule'!$B$2,2)=7),IFERROR(1*'Daily Workforce'!$K162&gt;=3,FALSE()),IFERROR(1*'Daily Workforce'!$K162&gt;=2,FALSE())),IF(AND('Daily Schedule'!$A24&gt;=46,'Daily Schedule'!$A24&lt;=52),'Daily Workforce'!$M162="Y",IFERROR(1*'Daily Workforce'!$P162&gt;=2,FALSE()))))),1,0)</f>
        <v>0</v>
      </c>
      <c r="FR20" s="1" t="n">
        <f aca="false">IF(AND('Daily Workforce'!$N163="Y",'Daily Workforce'!$B163&lt;&gt;"",COUNTIF('Daily Schedule'!$F$5:$F23,'Daily Workforce'!$B163)=0,IF('Daily Schedule'!$A24=45,'Daily Workforce'!$J163="Y",IF(OR('Daily Schedule'!$A24=4,'Daily Schedule'!$A24=8),IF(OR(WEEKDAY('Daily Schedule'!$B$2,2)=1,WEEKDAY('Daily Schedule'!$B$2,2)=4,WEEKDAY('Daily Schedule'!$B$2,2)=5,WEEKDAY('Daily Schedule'!$B$2,2)=7),IFERROR(1*'Daily Workforce'!$K163&gt;=3,FALSE()),IFERROR(1*'Daily Workforce'!$K163&gt;=2,FALSE())),IF(AND('Daily Schedule'!$A24&gt;=46,'Daily Schedule'!$A24&lt;=52),'Daily Workforce'!$M163="Y",IFERROR(1*'Daily Workforce'!$P163&gt;=2,FALSE()))))),1,0)</f>
        <v>0</v>
      </c>
      <c r="FS20" s="1" t="n">
        <f aca="false">IF(AND('Daily Workforce'!$N164="Y",'Daily Workforce'!$B164&lt;&gt;"",COUNTIF('Daily Schedule'!$F$5:$F23,'Daily Workforce'!$B164)=0,IF('Daily Schedule'!$A24=45,'Daily Workforce'!$J164="Y",IF(OR('Daily Schedule'!$A24=4,'Daily Schedule'!$A24=8),IF(OR(WEEKDAY('Daily Schedule'!$B$2,2)=1,WEEKDAY('Daily Schedule'!$B$2,2)=4,WEEKDAY('Daily Schedule'!$B$2,2)=5,WEEKDAY('Daily Schedule'!$B$2,2)=7),IFERROR(1*'Daily Workforce'!$K164&gt;=3,FALSE()),IFERROR(1*'Daily Workforce'!$K164&gt;=2,FALSE())),IF(AND('Daily Schedule'!$A24&gt;=46,'Daily Schedule'!$A24&lt;=52),'Daily Workforce'!$M164="Y",IFERROR(1*'Daily Workforce'!$P164&gt;=2,FALSE()))))),1,0)</f>
        <v>0</v>
      </c>
      <c r="FT20" s="1" t="n">
        <f aca="false">IF(AND('Daily Workforce'!$N165="Y",'Daily Workforce'!$B165&lt;&gt;"",COUNTIF('Daily Schedule'!$F$5:$F23,'Daily Workforce'!$B165)=0,IF('Daily Schedule'!$A24=45,'Daily Workforce'!$J165="Y",IF(OR('Daily Schedule'!$A24=4,'Daily Schedule'!$A24=8),IF(OR(WEEKDAY('Daily Schedule'!$B$2,2)=1,WEEKDAY('Daily Schedule'!$B$2,2)=4,WEEKDAY('Daily Schedule'!$B$2,2)=5,WEEKDAY('Daily Schedule'!$B$2,2)=7),IFERROR(1*'Daily Workforce'!$K165&gt;=3,FALSE()),IFERROR(1*'Daily Workforce'!$K165&gt;=2,FALSE())),IF(AND('Daily Schedule'!$A24&gt;=46,'Daily Schedule'!$A24&lt;=52),'Daily Workforce'!$M165="Y",IFERROR(1*'Daily Workforce'!$P165&gt;=2,FALSE()))))),1,0)</f>
        <v>0</v>
      </c>
      <c r="FU20" s="1" t="n">
        <f aca="false">IF(AND('Daily Workforce'!$N166="Y",'Daily Workforce'!$B166&lt;&gt;"",COUNTIF('Daily Schedule'!$F$5:$F23,'Daily Workforce'!$B166)=0,IF('Daily Schedule'!$A24=45,'Daily Workforce'!$J166="Y",IF(OR('Daily Schedule'!$A24=4,'Daily Schedule'!$A24=8),IF(OR(WEEKDAY('Daily Schedule'!$B$2,2)=1,WEEKDAY('Daily Schedule'!$B$2,2)=4,WEEKDAY('Daily Schedule'!$B$2,2)=5,WEEKDAY('Daily Schedule'!$B$2,2)=7),IFERROR(1*'Daily Workforce'!$K166&gt;=3,FALSE()),IFERROR(1*'Daily Workforce'!$K166&gt;=2,FALSE())),IF(AND('Daily Schedule'!$A24&gt;=46,'Daily Schedule'!$A24&lt;=52),'Daily Workforce'!$M166="Y",IFERROR(1*'Daily Workforce'!$P166&gt;=2,FALSE()))))),1,0)</f>
        <v>0</v>
      </c>
      <c r="FV20" s="1" t="n">
        <f aca="false">IF(AND('Daily Workforce'!$N167="Y",'Daily Workforce'!$B167&lt;&gt;"",COUNTIF('Daily Schedule'!$F$5:$F23,'Daily Workforce'!$B167)=0,IF('Daily Schedule'!$A24=45,'Daily Workforce'!$J167="Y",IF(OR('Daily Schedule'!$A24=4,'Daily Schedule'!$A24=8),IF(OR(WEEKDAY('Daily Schedule'!$B$2,2)=1,WEEKDAY('Daily Schedule'!$B$2,2)=4,WEEKDAY('Daily Schedule'!$B$2,2)=5,WEEKDAY('Daily Schedule'!$B$2,2)=7),IFERROR(1*'Daily Workforce'!$K167&gt;=3,FALSE()),IFERROR(1*'Daily Workforce'!$K167&gt;=2,FALSE())),IF(AND('Daily Schedule'!$A24&gt;=46,'Daily Schedule'!$A24&lt;=52),'Daily Workforce'!$M167="Y",IFERROR(1*'Daily Workforce'!$P167&gt;=2,FALSE()))))),1,0)</f>
        <v>0</v>
      </c>
      <c r="FW20" s="1" t="n">
        <f aca="false">IF(AND('Daily Workforce'!$N168="Y",'Daily Workforce'!$B168&lt;&gt;"",COUNTIF('Daily Schedule'!$F$5:$F23,'Daily Workforce'!$B168)=0,IF('Daily Schedule'!$A24=45,'Daily Workforce'!$J168="Y",IF(OR('Daily Schedule'!$A24=4,'Daily Schedule'!$A24=8),IF(OR(WEEKDAY('Daily Schedule'!$B$2,2)=1,WEEKDAY('Daily Schedule'!$B$2,2)=4,WEEKDAY('Daily Schedule'!$B$2,2)=5,WEEKDAY('Daily Schedule'!$B$2,2)=7),IFERROR(1*'Daily Workforce'!$K168&gt;=3,FALSE()),IFERROR(1*'Daily Workforce'!$K168&gt;=2,FALSE())),IF(AND('Daily Schedule'!$A24&gt;=46,'Daily Schedule'!$A24&lt;=52),'Daily Workforce'!$M168="Y",IFERROR(1*'Daily Workforce'!$P168&gt;=2,FALSE()))))),1,0)</f>
        <v>0</v>
      </c>
      <c r="FX20" s="1" t="n">
        <f aca="false">IF(AND('Daily Workforce'!$N169="Y",'Daily Workforce'!$B169&lt;&gt;"",COUNTIF('Daily Schedule'!$F$5:$F23,'Daily Workforce'!$B169)=0,IF('Daily Schedule'!$A24=45,'Daily Workforce'!$J169="Y",IF(OR('Daily Schedule'!$A24=4,'Daily Schedule'!$A24=8),IF(OR(WEEKDAY('Daily Schedule'!$B$2,2)=1,WEEKDAY('Daily Schedule'!$B$2,2)=4,WEEKDAY('Daily Schedule'!$B$2,2)=5,WEEKDAY('Daily Schedule'!$B$2,2)=7),IFERROR(1*'Daily Workforce'!$K169&gt;=3,FALSE()),IFERROR(1*'Daily Workforce'!$K169&gt;=2,FALSE())),IF(AND('Daily Schedule'!$A24&gt;=46,'Daily Schedule'!$A24&lt;=52),'Daily Workforce'!$M169="Y",IFERROR(1*'Daily Workforce'!$P169&gt;=2,FALSE()))))),1,0)</f>
        <v>0</v>
      </c>
      <c r="FY20" s="1" t="n">
        <f aca="false">IF(AND('Daily Workforce'!$N170="Y",'Daily Workforce'!$B170&lt;&gt;"",COUNTIF('Daily Schedule'!$F$5:$F23,'Daily Workforce'!$B170)=0,IF('Daily Schedule'!$A24=45,'Daily Workforce'!$J170="Y",IF(OR('Daily Schedule'!$A24=4,'Daily Schedule'!$A24=8),IF(OR(WEEKDAY('Daily Schedule'!$B$2,2)=1,WEEKDAY('Daily Schedule'!$B$2,2)=4,WEEKDAY('Daily Schedule'!$B$2,2)=5,WEEKDAY('Daily Schedule'!$B$2,2)=7),IFERROR(1*'Daily Workforce'!$K170&gt;=3,FALSE()),IFERROR(1*'Daily Workforce'!$K170&gt;=2,FALSE())),IF(AND('Daily Schedule'!$A24&gt;=46,'Daily Schedule'!$A24&lt;=52),'Daily Workforce'!$M170="Y",IFERROR(1*'Daily Workforce'!$P170&gt;=2,FALSE()))))),1,0)</f>
        <v>0</v>
      </c>
      <c r="FZ20" s="1" t="n">
        <f aca="false">IF(AND('Daily Workforce'!$N171="Y",'Daily Workforce'!$B171&lt;&gt;"",COUNTIF('Daily Schedule'!$F$5:$F23,'Daily Workforce'!$B171)=0,IF('Daily Schedule'!$A24=45,'Daily Workforce'!$J171="Y",IF(OR('Daily Schedule'!$A24=4,'Daily Schedule'!$A24=8),IF(OR(WEEKDAY('Daily Schedule'!$B$2,2)=1,WEEKDAY('Daily Schedule'!$B$2,2)=4,WEEKDAY('Daily Schedule'!$B$2,2)=5,WEEKDAY('Daily Schedule'!$B$2,2)=7),IFERROR(1*'Daily Workforce'!$K171&gt;=3,FALSE()),IFERROR(1*'Daily Workforce'!$K171&gt;=2,FALSE())),IF(AND('Daily Schedule'!$A24&gt;=46,'Daily Schedule'!$A24&lt;=52),'Daily Workforce'!$M171="Y",IFERROR(1*'Daily Workforce'!$P171&gt;=2,FALSE()))))),1,0)</f>
        <v>0</v>
      </c>
      <c r="GA20" s="1" t="n">
        <f aca="false">IF(AND('Daily Workforce'!$N172="Y",'Daily Workforce'!$B172&lt;&gt;"",COUNTIF('Daily Schedule'!$F$5:$F23,'Daily Workforce'!$B172)=0,IF('Daily Schedule'!$A24=45,'Daily Workforce'!$J172="Y",IF(OR('Daily Schedule'!$A24=4,'Daily Schedule'!$A24=8),IF(OR(WEEKDAY('Daily Schedule'!$B$2,2)=1,WEEKDAY('Daily Schedule'!$B$2,2)=4,WEEKDAY('Daily Schedule'!$B$2,2)=5,WEEKDAY('Daily Schedule'!$B$2,2)=7),IFERROR(1*'Daily Workforce'!$K172&gt;=3,FALSE()),IFERROR(1*'Daily Workforce'!$K172&gt;=2,FALSE())),IF(AND('Daily Schedule'!$A24&gt;=46,'Daily Schedule'!$A24&lt;=52),'Daily Workforce'!$M172="Y",IFERROR(1*'Daily Workforce'!$P172&gt;=2,FALSE()))))),1,0)</f>
        <v>0</v>
      </c>
      <c r="GB20" s="1" t="n">
        <f aca="false">IF(AND('Daily Workforce'!$N173="Y",'Daily Workforce'!$B173&lt;&gt;"",COUNTIF('Daily Schedule'!$F$5:$F23,'Daily Workforce'!$B173)=0,IF('Daily Schedule'!$A24=45,'Daily Workforce'!$J173="Y",IF(OR('Daily Schedule'!$A24=4,'Daily Schedule'!$A24=8),IF(OR(WEEKDAY('Daily Schedule'!$B$2,2)=1,WEEKDAY('Daily Schedule'!$B$2,2)=4,WEEKDAY('Daily Schedule'!$B$2,2)=5,WEEKDAY('Daily Schedule'!$B$2,2)=7),IFERROR(1*'Daily Workforce'!$K173&gt;=3,FALSE()),IFERROR(1*'Daily Workforce'!$K173&gt;=2,FALSE())),IF(AND('Daily Schedule'!$A24&gt;=46,'Daily Schedule'!$A24&lt;=52),'Daily Workforce'!$M173="Y",IFERROR(1*'Daily Workforce'!$P173&gt;=2,FALSE()))))),1,0)</f>
        <v>0</v>
      </c>
      <c r="GC20" s="1" t="n">
        <f aca="false">IF(AND('Daily Workforce'!$N174="Y",'Daily Workforce'!$B174&lt;&gt;"",COUNTIF('Daily Schedule'!$F$5:$F23,'Daily Workforce'!$B174)=0,IF('Daily Schedule'!$A24=45,'Daily Workforce'!$J174="Y",IF(OR('Daily Schedule'!$A24=4,'Daily Schedule'!$A24=8),IF(OR(WEEKDAY('Daily Schedule'!$B$2,2)=1,WEEKDAY('Daily Schedule'!$B$2,2)=4,WEEKDAY('Daily Schedule'!$B$2,2)=5,WEEKDAY('Daily Schedule'!$B$2,2)=7),IFERROR(1*'Daily Workforce'!$K174&gt;=3,FALSE()),IFERROR(1*'Daily Workforce'!$K174&gt;=2,FALSE())),IF(AND('Daily Schedule'!$A24&gt;=46,'Daily Schedule'!$A24&lt;=52),'Daily Workforce'!$M174="Y",IFERROR(1*'Daily Workforce'!$P174&gt;=2,FALSE()))))),1,0)</f>
        <v>0</v>
      </c>
      <c r="GD20" s="1" t="n">
        <f aca="false">IF(AND('Daily Workforce'!$N175="Y",'Daily Workforce'!$B175&lt;&gt;"",COUNTIF('Daily Schedule'!$F$5:$F23,'Daily Workforce'!$B175)=0,IF('Daily Schedule'!$A24=45,'Daily Workforce'!$J175="Y",IF(OR('Daily Schedule'!$A24=4,'Daily Schedule'!$A24=8),IF(OR(WEEKDAY('Daily Schedule'!$B$2,2)=1,WEEKDAY('Daily Schedule'!$B$2,2)=4,WEEKDAY('Daily Schedule'!$B$2,2)=5,WEEKDAY('Daily Schedule'!$B$2,2)=7),IFERROR(1*'Daily Workforce'!$K175&gt;=3,FALSE()),IFERROR(1*'Daily Workforce'!$K175&gt;=2,FALSE())),IF(AND('Daily Schedule'!$A24&gt;=46,'Daily Schedule'!$A24&lt;=52),'Daily Workforce'!$M175="Y",IFERROR(1*'Daily Workforce'!$P175&gt;=2,FALSE()))))),1,0)</f>
        <v>0</v>
      </c>
      <c r="GE20" s="1" t="n">
        <f aca="false">IF(AND('Daily Workforce'!$N176="Y",'Daily Workforce'!$B176&lt;&gt;"",COUNTIF('Daily Schedule'!$F$5:$F23,'Daily Workforce'!$B176)=0,IF('Daily Schedule'!$A24=45,'Daily Workforce'!$J176="Y",IF(OR('Daily Schedule'!$A24=4,'Daily Schedule'!$A24=8),IF(OR(WEEKDAY('Daily Schedule'!$B$2,2)=1,WEEKDAY('Daily Schedule'!$B$2,2)=4,WEEKDAY('Daily Schedule'!$B$2,2)=5,WEEKDAY('Daily Schedule'!$B$2,2)=7),IFERROR(1*'Daily Workforce'!$K176&gt;=3,FALSE()),IFERROR(1*'Daily Workforce'!$K176&gt;=2,FALSE())),IF(AND('Daily Schedule'!$A24&gt;=46,'Daily Schedule'!$A24&lt;=52),'Daily Workforce'!$M176="Y",IFERROR(1*'Daily Workforce'!$P176&gt;=2,FALSE()))))),1,0)</f>
        <v>0</v>
      </c>
      <c r="GF20" s="1" t="n">
        <f aca="false">IF(AND('Daily Workforce'!$N177="Y",'Daily Workforce'!$B177&lt;&gt;"",COUNTIF('Daily Schedule'!$F$5:$F23,'Daily Workforce'!$B177)=0,IF('Daily Schedule'!$A24=45,'Daily Workforce'!$J177="Y",IF(OR('Daily Schedule'!$A24=4,'Daily Schedule'!$A24=8),IF(OR(WEEKDAY('Daily Schedule'!$B$2,2)=1,WEEKDAY('Daily Schedule'!$B$2,2)=4,WEEKDAY('Daily Schedule'!$B$2,2)=5,WEEKDAY('Daily Schedule'!$B$2,2)=7),IFERROR(1*'Daily Workforce'!$K177&gt;=3,FALSE()),IFERROR(1*'Daily Workforce'!$K177&gt;=2,FALSE())),IF(AND('Daily Schedule'!$A24&gt;=46,'Daily Schedule'!$A24&lt;=52),'Daily Workforce'!$M177="Y",IFERROR(1*'Daily Workforce'!$P177&gt;=2,FALSE()))))),1,0)</f>
        <v>0</v>
      </c>
      <c r="GG20" s="1" t="n">
        <f aca="false">IF(AND('Daily Workforce'!$N178="Y",'Daily Workforce'!$B178&lt;&gt;"",COUNTIF('Daily Schedule'!$F$5:$F23,'Daily Workforce'!$B178)=0,IF('Daily Schedule'!$A24=45,'Daily Workforce'!$J178="Y",IF(OR('Daily Schedule'!$A24=4,'Daily Schedule'!$A24=8),IF(OR(WEEKDAY('Daily Schedule'!$B$2,2)=1,WEEKDAY('Daily Schedule'!$B$2,2)=4,WEEKDAY('Daily Schedule'!$B$2,2)=5,WEEKDAY('Daily Schedule'!$B$2,2)=7),IFERROR(1*'Daily Workforce'!$K178&gt;=3,FALSE()),IFERROR(1*'Daily Workforce'!$K178&gt;=2,FALSE())),IF(AND('Daily Schedule'!$A24&gt;=46,'Daily Schedule'!$A24&lt;=52),'Daily Workforce'!$M178="Y",IFERROR(1*'Daily Workforce'!$P178&gt;=2,FALSE()))))),1,0)</f>
        <v>0</v>
      </c>
      <c r="GH20" s="1" t="n">
        <f aca="false">IF(AND('Daily Workforce'!$N179="Y",'Daily Workforce'!$B179&lt;&gt;"",COUNTIF('Daily Schedule'!$F$5:$F23,'Daily Workforce'!$B179)=0,IF('Daily Schedule'!$A24=45,'Daily Workforce'!$J179="Y",IF(OR('Daily Schedule'!$A24=4,'Daily Schedule'!$A24=8),IF(OR(WEEKDAY('Daily Schedule'!$B$2,2)=1,WEEKDAY('Daily Schedule'!$B$2,2)=4,WEEKDAY('Daily Schedule'!$B$2,2)=5,WEEKDAY('Daily Schedule'!$B$2,2)=7),IFERROR(1*'Daily Workforce'!$K179&gt;=3,FALSE()),IFERROR(1*'Daily Workforce'!$K179&gt;=2,FALSE())),IF(AND('Daily Schedule'!$A24&gt;=46,'Daily Schedule'!$A24&lt;=52),'Daily Workforce'!$M179="Y",IFERROR(1*'Daily Workforce'!$P179&gt;=2,FALSE()))))),1,0)</f>
        <v>0</v>
      </c>
      <c r="GI20" s="1" t="n">
        <f aca="false">IF(AND('Daily Workforce'!$N180="Y",'Daily Workforce'!$B180&lt;&gt;"",COUNTIF('Daily Schedule'!$F$5:$F23,'Daily Workforce'!$B180)=0,IF('Daily Schedule'!$A24=45,'Daily Workforce'!$J180="Y",IF(OR('Daily Schedule'!$A24=4,'Daily Schedule'!$A24=8),IF(OR(WEEKDAY('Daily Schedule'!$B$2,2)=1,WEEKDAY('Daily Schedule'!$B$2,2)=4,WEEKDAY('Daily Schedule'!$B$2,2)=5,WEEKDAY('Daily Schedule'!$B$2,2)=7),IFERROR(1*'Daily Workforce'!$K180&gt;=3,FALSE()),IFERROR(1*'Daily Workforce'!$K180&gt;=2,FALSE())),IF(AND('Daily Schedule'!$A24&gt;=46,'Daily Schedule'!$A24&lt;=52),'Daily Workforce'!$M180="Y",IFERROR(1*'Daily Workforce'!$P180&gt;=2,FALSE()))))),1,0)</f>
        <v>0</v>
      </c>
      <c r="GJ20" s="1" t="n">
        <f aca="false">IF(AND('Daily Workforce'!$N181="Y",'Daily Workforce'!$B181&lt;&gt;"",COUNTIF('Daily Schedule'!$F$5:$F23,'Daily Workforce'!$B181)=0,IF('Daily Schedule'!$A24=45,'Daily Workforce'!$J181="Y",IF(OR('Daily Schedule'!$A24=4,'Daily Schedule'!$A24=8),IF(OR(WEEKDAY('Daily Schedule'!$B$2,2)=1,WEEKDAY('Daily Schedule'!$B$2,2)=4,WEEKDAY('Daily Schedule'!$B$2,2)=5,WEEKDAY('Daily Schedule'!$B$2,2)=7),IFERROR(1*'Daily Workforce'!$K181&gt;=3,FALSE()),IFERROR(1*'Daily Workforce'!$K181&gt;=2,FALSE())),IF(AND('Daily Schedule'!$A24&gt;=46,'Daily Schedule'!$A24&lt;=52),'Daily Workforce'!$M181="Y",IFERROR(1*'Daily Workforce'!$P181&gt;=2,FALSE()))))),1,0)</f>
        <v>0</v>
      </c>
      <c r="GK20" s="1" t="n">
        <f aca="false">IF(AND('Daily Workforce'!$N182="Y",'Daily Workforce'!$B182&lt;&gt;"",COUNTIF('Daily Schedule'!$F$5:$F23,'Daily Workforce'!$B182)=0,IF('Daily Schedule'!$A24=45,'Daily Workforce'!$J182="Y",IF(OR('Daily Schedule'!$A24=4,'Daily Schedule'!$A24=8),IF(OR(WEEKDAY('Daily Schedule'!$B$2,2)=1,WEEKDAY('Daily Schedule'!$B$2,2)=4,WEEKDAY('Daily Schedule'!$B$2,2)=5,WEEKDAY('Daily Schedule'!$B$2,2)=7),IFERROR(1*'Daily Workforce'!$K182&gt;=3,FALSE()),IFERROR(1*'Daily Workforce'!$K182&gt;=2,FALSE())),IF(AND('Daily Schedule'!$A24&gt;=46,'Daily Schedule'!$A24&lt;=52),'Daily Workforce'!$M182="Y",IFERROR(1*'Daily Workforce'!$P182&gt;=2,FALSE()))))),1,0)</f>
        <v>0</v>
      </c>
      <c r="GL20" s="1" t="n">
        <f aca="false">IF(AND('Daily Workforce'!$N183="Y",'Daily Workforce'!$B183&lt;&gt;"",COUNTIF('Daily Schedule'!$F$5:$F23,'Daily Workforce'!$B183)=0,IF('Daily Schedule'!$A24=45,'Daily Workforce'!$J183="Y",IF(OR('Daily Schedule'!$A24=4,'Daily Schedule'!$A24=8),IF(OR(WEEKDAY('Daily Schedule'!$B$2,2)=1,WEEKDAY('Daily Schedule'!$B$2,2)=4,WEEKDAY('Daily Schedule'!$B$2,2)=5,WEEKDAY('Daily Schedule'!$B$2,2)=7),IFERROR(1*'Daily Workforce'!$K183&gt;=3,FALSE()),IFERROR(1*'Daily Workforce'!$K183&gt;=2,FALSE())),IF(AND('Daily Schedule'!$A24&gt;=46,'Daily Schedule'!$A24&lt;=52),'Daily Workforce'!$M183="Y",IFERROR(1*'Daily Workforce'!$P183&gt;=2,FALSE()))))),1,0)</f>
        <v>0</v>
      </c>
      <c r="GM20" s="1" t="n">
        <f aca="false">IF(AND('Daily Workforce'!$N184="Y",'Daily Workforce'!$B184&lt;&gt;"",COUNTIF('Daily Schedule'!$F$5:$F23,'Daily Workforce'!$B184)=0,IF('Daily Schedule'!$A24=45,'Daily Workforce'!$J184="Y",IF(OR('Daily Schedule'!$A24=4,'Daily Schedule'!$A24=8),IF(OR(WEEKDAY('Daily Schedule'!$B$2,2)=1,WEEKDAY('Daily Schedule'!$B$2,2)=4,WEEKDAY('Daily Schedule'!$B$2,2)=5,WEEKDAY('Daily Schedule'!$B$2,2)=7),IFERROR(1*'Daily Workforce'!$K184&gt;=3,FALSE()),IFERROR(1*'Daily Workforce'!$K184&gt;=2,FALSE())),IF(AND('Daily Schedule'!$A24&gt;=46,'Daily Schedule'!$A24&lt;=52),'Daily Workforce'!$M184="Y",IFERROR(1*'Daily Workforce'!$P184&gt;=2,FALSE()))))),1,0)</f>
        <v>0</v>
      </c>
      <c r="GN20" s="1" t="n">
        <f aca="false">IF(AND('Daily Workforce'!$N185="Y",'Daily Workforce'!$B185&lt;&gt;"",COUNTIF('Daily Schedule'!$F$5:$F23,'Daily Workforce'!$B185)=0,IF('Daily Schedule'!$A24=45,'Daily Workforce'!$J185="Y",IF(OR('Daily Schedule'!$A24=4,'Daily Schedule'!$A24=8),IF(OR(WEEKDAY('Daily Schedule'!$B$2,2)=1,WEEKDAY('Daily Schedule'!$B$2,2)=4,WEEKDAY('Daily Schedule'!$B$2,2)=5,WEEKDAY('Daily Schedule'!$B$2,2)=7),IFERROR(1*'Daily Workforce'!$K185&gt;=3,FALSE()),IFERROR(1*'Daily Workforce'!$K185&gt;=2,FALSE())),IF(AND('Daily Schedule'!$A24&gt;=46,'Daily Schedule'!$A24&lt;=52),'Daily Workforce'!$M185="Y",IFERROR(1*'Daily Workforce'!$P185&gt;=2,FALSE()))))),1,0)</f>
        <v>0</v>
      </c>
      <c r="GO20" s="1" t="n">
        <f aca="false">IF(AND('Daily Workforce'!$N186="Y",'Daily Workforce'!$B186&lt;&gt;"",COUNTIF('Daily Schedule'!$F$5:$F23,'Daily Workforce'!$B186)=0,IF('Daily Schedule'!$A24=45,'Daily Workforce'!$J186="Y",IF(OR('Daily Schedule'!$A24=4,'Daily Schedule'!$A24=8),IF(OR(WEEKDAY('Daily Schedule'!$B$2,2)=1,WEEKDAY('Daily Schedule'!$B$2,2)=4,WEEKDAY('Daily Schedule'!$B$2,2)=5,WEEKDAY('Daily Schedule'!$B$2,2)=7),IFERROR(1*'Daily Workforce'!$K186&gt;=3,FALSE()),IFERROR(1*'Daily Workforce'!$K186&gt;=2,FALSE())),IF(AND('Daily Schedule'!$A24&gt;=46,'Daily Schedule'!$A24&lt;=52),'Daily Workforce'!$M186="Y",IFERROR(1*'Daily Workforce'!$P186&gt;=2,FALSE()))))),1,0)</f>
        <v>0</v>
      </c>
      <c r="GP20" s="1" t="n">
        <f aca="false">IF(AND('Daily Workforce'!$N187="Y",'Daily Workforce'!$B187&lt;&gt;"",COUNTIF('Daily Schedule'!$F$5:$F23,'Daily Workforce'!$B187)=0,IF('Daily Schedule'!$A24=45,'Daily Workforce'!$J187="Y",IF(OR('Daily Schedule'!$A24=4,'Daily Schedule'!$A24=8),IF(OR(WEEKDAY('Daily Schedule'!$B$2,2)=1,WEEKDAY('Daily Schedule'!$B$2,2)=4,WEEKDAY('Daily Schedule'!$B$2,2)=5,WEEKDAY('Daily Schedule'!$B$2,2)=7),IFERROR(1*'Daily Workforce'!$K187&gt;=3,FALSE()),IFERROR(1*'Daily Workforce'!$K187&gt;=2,FALSE())),IF(AND('Daily Schedule'!$A24&gt;=46,'Daily Schedule'!$A24&lt;=52),'Daily Workforce'!$M187="Y",IFERROR(1*'Daily Workforce'!$P187&gt;=2,FALSE()))))),1,0)</f>
        <v>0</v>
      </c>
      <c r="GQ20" s="1" t="n">
        <f aca="false">IF(AND('Daily Workforce'!$N188="Y",'Daily Workforce'!$B188&lt;&gt;"",COUNTIF('Daily Schedule'!$F$5:$F23,'Daily Workforce'!$B188)=0,IF('Daily Schedule'!$A24=45,'Daily Workforce'!$J188="Y",IF(OR('Daily Schedule'!$A24=4,'Daily Schedule'!$A24=8),IF(OR(WEEKDAY('Daily Schedule'!$B$2,2)=1,WEEKDAY('Daily Schedule'!$B$2,2)=4,WEEKDAY('Daily Schedule'!$B$2,2)=5,WEEKDAY('Daily Schedule'!$B$2,2)=7),IFERROR(1*'Daily Workforce'!$K188&gt;=3,FALSE()),IFERROR(1*'Daily Workforce'!$K188&gt;=2,FALSE())),IF(AND('Daily Schedule'!$A24&gt;=46,'Daily Schedule'!$A24&lt;=52),'Daily Workforce'!$M188="Y",IFERROR(1*'Daily Workforce'!$P188&gt;=2,FALSE()))))),1,0)</f>
        <v>0</v>
      </c>
      <c r="GR20" s="1" t="n">
        <f aca="false">IF(AND('Daily Workforce'!$N189="Y",'Daily Workforce'!$B189&lt;&gt;"",COUNTIF('Daily Schedule'!$F$5:$F23,'Daily Workforce'!$B189)=0,IF('Daily Schedule'!$A24=45,'Daily Workforce'!$J189="Y",IF(OR('Daily Schedule'!$A24=4,'Daily Schedule'!$A24=8),IF(OR(WEEKDAY('Daily Schedule'!$B$2,2)=1,WEEKDAY('Daily Schedule'!$B$2,2)=4,WEEKDAY('Daily Schedule'!$B$2,2)=5,WEEKDAY('Daily Schedule'!$B$2,2)=7),IFERROR(1*'Daily Workforce'!$K189&gt;=3,FALSE()),IFERROR(1*'Daily Workforce'!$K189&gt;=2,FALSE())),IF(AND('Daily Schedule'!$A24&gt;=46,'Daily Schedule'!$A24&lt;=52),'Daily Workforce'!$M189="Y",IFERROR(1*'Daily Workforce'!$P189&gt;=2,FALSE()))))),1,0)</f>
        <v>0</v>
      </c>
      <c r="GS20" s="1" t="n">
        <f aca="false">IF(AND('Daily Workforce'!$N190="Y",'Daily Workforce'!$B190&lt;&gt;"",COUNTIF('Daily Schedule'!$F$5:$F23,'Daily Workforce'!$B190)=0,IF('Daily Schedule'!$A24=45,'Daily Workforce'!$J190="Y",IF(OR('Daily Schedule'!$A24=4,'Daily Schedule'!$A24=8),IF(OR(WEEKDAY('Daily Schedule'!$B$2,2)=1,WEEKDAY('Daily Schedule'!$B$2,2)=4,WEEKDAY('Daily Schedule'!$B$2,2)=5,WEEKDAY('Daily Schedule'!$B$2,2)=7),IFERROR(1*'Daily Workforce'!$K190&gt;=3,FALSE()),IFERROR(1*'Daily Workforce'!$K190&gt;=2,FALSE())),IF(AND('Daily Schedule'!$A24&gt;=46,'Daily Schedule'!$A24&lt;=52),'Daily Workforce'!$M190="Y",IFERROR(1*'Daily Workforce'!$P190&gt;=2,FALSE()))))),1,0)</f>
        <v>0</v>
      </c>
      <c r="GT20" s="1" t="n">
        <f aca="false">IF(AND('Daily Workforce'!$N191="Y",'Daily Workforce'!$B191&lt;&gt;"",COUNTIF('Daily Schedule'!$F$5:$F23,'Daily Workforce'!$B191)=0,IF('Daily Schedule'!$A24=45,'Daily Workforce'!$J191="Y",IF(OR('Daily Schedule'!$A24=4,'Daily Schedule'!$A24=8),IF(OR(WEEKDAY('Daily Schedule'!$B$2,2)=1,WEEKDAY('Daily Schedule'!$B$2,2)=4,WEEKDAY('Daily Schedule'!$B$2,2)=5,WEEKDAY('Daily Schedule'!$B$2,2)=7),IFERROR(1*'Daily Workforce'!$K191&gt;=3,FALSE()),IFERROR(1*'Daily Workforce'!$K191&gt;=2,FALSE())),IF(AND('Daily Schedule'!$A24&gt;=46,'Daily Schedule'!$A24&lt;=52),'Daily Workforce'!$M191="Y",IFERROR(1*'Daily Workforce'!$P191&gt;=2,FALSE()))))),1,0)</f>
        <v>0</v>
      </c>
      <c r="GU20" s="1" t="n">
        <f aca="false">IF(AND('Daily Workforce'!$N192="Y",'Daily Workforce'!$B192&lt;&gt;"",COUNTIF('Daily Schedule'!$F$5:$F23,'Daily Workforce'!$B192)=0,IF('Daily Schedule'!$A24=45,'Daily Workforce'!$J192="Y",IF(OR('Daily Schedule'!$A24=4,'Daily Schedule'!$A24=8),IF(OR(WEEKDAY('Daily Schedule'!$B$2,2)=1,WEEKDAY('Daily Schedule'!$B$2,2)=4,WEEKDAY('Daily Schedule'!$B$2,2)=5,WEEKDAY('Daily Schedule'!$B$2,2)=7),IFERROR(1*'Daily Workforce'!$K192&gt;=3,FALSE()),IFERROR(1*'Daily Workforce'!$K192&gt;=2,FALSE())),IF(AND('Daily Schedule'!$A24&gt;=46,'Daily Schedule'!$A24&lt;=52),'Daily Workforce'!$M192="Y",IFERROR(1*'Daily Workforce'!$P192&gt;=2,FALSE()))))),1,0)</f>
        <v>0</v>
      </c>
      <c r="GV20" s="1" t="n">
        <f aca="false">IF(AND('Daily Workforce'!$N193="Y",'Daily Workforce'!$B193&lt;&gt;"",COUNTIF('Daily Schedule'!$F$5:$F23,'Daily Workforce'!$B193)=0,IF('Daily Schedule'!$A24=45,'Daily Workforce'!$J193="Y",IF(OR('Daily Schedule'!$A24=4,'Daily Schedule'!$A24=8),IF(OR(WEEKDAY('Daily Schedule'!$B$2,2)=1,WEEKDAY('Daily Schedule'!$B$2,2)=4,WEEKDAY('Daily Schedule'!$B$2,2)=5,WEEKDAY('Daily Schedule'!$B$2,2)=7),IFERROR(1*'Daily Workforce'!$K193&gt;=3,FALSE()),IFERROR(1*'Daily Workforce'!$K193&gt;=2,FALSE())),IF(AND('Daily Schedule'!$A24&gt;=46,'Daily Schedule'!$A24&lt;=52),'Daily Workforce'!$M193="Y",IFERROR(1*'Daily Workforce'!$P193&gt;=2,FALSE()))))),1,0)</f>
        <v>0</v>
      </c>
      <c r="GW20" s="1" t="n">
        <f aca="false">IF(AND('Daily Workforce'!$N194="Y",'Daily Workforce'!$B194&lt;&gt;"",COUNTIF('Daily Schedule'!$F$5:$F23,'Daily Workforce'!$B194)=0,IF('Daily Schedule'!$A24=45,'Daily Workforce'!$J194="Y",IF(OR('Daily Schedule'!$A24=4,'Daily Schedule'!$A24=8),IF(OR(WEEKDAY('Daily Schedule'!$B$2,2)=1,WEEKDAY('Daily Schedule'!$B$2,2)=4,WEEKDAY('Daily Schedule'!$B$2,2)=5,WEEKDAY('Daily Schedule'!$B$2,2)=7),IFERROR(1*'Daily Workforce'!$K194&gt;=3,FALSE()),IFERROR(1*'Daily Workforce'!$K194&gt;=2,FALSE())),IF(AND('Daily Schedule'!$A24&gt;=46,'Daily Schedule'!$A24&lt;=52),'Daily Workforce'!$M194="Y",IFERROR(1*'Daily Workforce'!$P194&gt;=2,FALSE()))))),1,0)</f>
        <v>0</v>
      </c>
      <c r="GX20" s="1" t="n">
        <f aca="false">IF(AND('Daily Workforce'!$N195="Y",'Daily Workforce'!$B195&lt;&gt;"",COUNTIF('Daily Schedule'!$F$5:$F23,'Daily Workforce'!$B195)=0,IF('Daily Schedule'!$A24=45,'Daily Workforce'!$J195="Y",IF(OR('Daily Schedule'!$A24=4,'Daily Schedule'!$A24=8),IF(OR(WEEKDAY('Daily Schedule'!$B$2,2)=1,WEEKDAY('Daily Schedule'!$B$2,2)=4,WEEKDAY('Daily Schedule'!$B$2,2)=5,WEEKDAY('Daily Schedule'!$B$2,2)=7),IFERROR(1*'Daily Workforce'!$K195&gt;=3,FALSE()),IFERROR(1*'Daily Workforce'!$K195&gt;=2,FALSE())),IF(AND('Daily Schedule'!$A24&gt;=46,'Daily Schedule'!$A24&lt;=52),'Daily Workforce'!$M195="Y",IFERROR(1*'Daily Workforce'!$P195&gt;=2,FALSE()))))),1,0)</f>
        <v>0</v>
      </c>
      <c r="GY20" s="1" t="n">
        <f aca="false">IF(AND('Daily Workforce'!$N196="Y",'Daily Workforce'!$B196&lt;&gt;"",COUNTIF('Daily Schedule'!$F$5:$F23,'Daily Workforce'!$B196)=0,IF('Daily Schedule'!$A24=45,'Daily Workforce'!$J196="Y",IF(OR('Daily Schedule'!$A24=4,'Daily Schedule'!$A24=8),IF(OR(WEEKDAY('Daily Schedule'!$B$2,2)=1,WEEKDAY('Daily Schedule'!$B$2,2)=4,WEEKDAY('Daily Schedule'!$B$2,2)=5,WEEKDAY('Daily Schedule'!$B$2,2)=7),IFERROR(1*'Daily Workforce'!$K196&gt;=3,FALSE()),IFERROR(1*'Daily Workforce'!$K196&gt;=2,FALSE())),IF(AND('Daily Schedule'!$A24&gt;=46,'Daily Schedule'!$A24&lt;=52),'Daily Workforce'!$M196="Y",IFERROR(1*'Daily Workforce'!$P196&gt;=2,FALSE()))))),1,0)</f>
        <v>0</v>
      </c>
      <c r="GZ20" s="1" t="n">
        <f aca="false">IF(AND('Daily Workforce'!$N197="Y",'Daily Workforce'!$B197&lt;&gt;"",COUNTIF('Daily Schedule'!$F$5:$F23,'Daily Workforce'!$B197)=0,IF('Daily Schedule'!$A24=45,'Daily Workforce'!$J197="Y",IF(OR('Daily Schedule'!$A24=4,'Daily Schedule'!$A24=8),IF(OR(WEEKDAY('Daily Schedule'!$B$2,2)=1,WEEKDAY('Daily Schedule'!$B$2,2)=4,WEEKDAY('Daily Schedule'!$B$2,2)=5,WEEKDAY('Daily Schedule'!$B$2,2)=7),IFERROR(1*'Daily Workforce'!$K197&gt;=3,FALSE()),IFERROR(1*'Daily Workforce'!$K197&gt;=2,FALSE())),IF(AND('Daily Schedule'!$A24&gt;=46,'Daily Schedule'!$A24&lt;=52),'Daily Workforce'!$M197="Y",IFERROR(1*'Daily Workforce'!$P197&gt;=2,FALSE()))))),1,0)</f>
        <v>0</v>
      </c>
      <c r="HA20" s="1" t="n">
        <f aca="false">IF(AND('Daily Workforce'!$N198="Y",'Daily Workforce'!$B198&lt;&gt;"",COUNTIF('Daily Schedule'!$F$5:$F23,'Daily Workforce'!$B198)=0,IF('Daily Schedule'!$A24=45,'Daily Workforce'!$J198="Y",IF(OR('Daily Schedule'!$A24=4,'Daily Schedule'!$A24=8),IF(OR(WEEKDAY('Daily Schedule'!$B$2,2)=1,WEEKDAY('Daily Schedule'!$B$2,2)=4,WEEKDAY('Daily Schedule'!$B$2,2)=5,WEEKDAY('Daily Schedule'!$B$2,2)=7),IFERROR(1*'Daily Workforce'!$K198&gt;=3,FALSE()),IFERROR(1*'Daily Workforce'!$K198&gt;=2,FALSE())),IF(AND('Daily Schedule'!$A24&gt;=46,'Daily Schedule'!$A24&lt;=52),'Daily Workforce'!$M198="Y",IFERROR(1*'Daily Workforce'!$P198&gt;=2,FALSE()))))),1,0)</f>
        <v>0</v>
      </c>
      <c r="HB20" s="1" t="n">
        <f aca="false">IF(AND('Daily Workforce'!$N199="Y",'Daily Workforce'!$B199&lt;&gt;"",COUNTIF('Daily Schedule'!$F$5:$F23,'Daily Workforce'!$B199)=0,IF('Daily Schedule'!$A24=45,'Daily Workforce'!$J199="Y",IF(OR('Daily Schedule'!$A24=4,'Daily Schedule'!$A24=8),IF(OR(WEEKDAY('Daily Schedule'!$B$2,2)=1,WEEKDAY('Daily Schedule'!$B$2,2)=4,WEEKDAY('Daily Schedule'!$B$2,2)=5,WEEKDAY('Daily Schedule'!$B$2,2)=7),IFERROR(1*'Daily Workforce'!$K199&gt;=3,FALSE()),IFERROR(1*'Daily Workforce'!$K199&gt;=2,FALSE())),IF(AND('Daily Schedule'!$A24&gt;=46,'Daily Schedule'!$A24&lt;=52),'Daily Workforce'!$M199="Y",IFERROR(1*'Daily Workforce'!$P199&gt;=2,FALSE()))))),1,0)</f>
        <v>0</v>
      </c>
      <c r="HC20" s="1" t="n">
        <f aca="false">IF(AND('Daily Workforce'!$N200="Y",'Daily Workforce'!$B200&lt;&gt;"",COUNTIF('Daily Schedule'!$F$5:$F23,'Daily Workforce'!$B200)=0,IF('Daily Schedule'!$A24=45,'Daily Workforce'!$J200="Y",IF(OR('Daily Schedule'!$A24=4,'Daily Schedule'!$A24=8),IF(OR(WEEKDAY('Daily Schedule'!$B$2,2)=1,WEEKDAY('Daily Schedule'!$B$2,2)=4,WEEKDAY('Daily Schedule'!$B$2,2)=5,WEEKDAY('Daily Schedule'!$B$2,2)=7),IFERROR(1*'Daily Workforce'!$K200&gt;=3,FALSE()),IFERROR(1*'Daily Workforce'!$K200&gt;=2,FALSE())),IF(AND('Daily Schedule'!$A24&gt;=46,'Daily Schedule'!$A24&lt;=52),'Daily Workforce'!$M200="Y",IFERROR(1*'Daily Workforce'!$P200&gt;=2,FALSE()))))),1,0)</f>
        <v>0</v>
      </c>
      <c r="HD20" s="1" t="n">
        <f aca="false">IF(AND('Daily Workforce'!$N201="Y",'Daily Workforce'!$B201&lt;&gt;"",COUNTIF('Daily Schedule'!$F$5:$F23,'Daily Workforce'!$B201)=0,IF('Daily Schedule'!$A24=45,'Daily Workforce'!$J201="Y",IF(OR('Daily Schedule'!$A24=4,'Daily Schedule'!$A24=8),IF(OR(WEEKDAY('Daily Schedule'!$B$2,2)=1,WEEKDAY('Daily Schedule'!$B$2,2)=4,WEEKDAY('Daily Schedule'!$B$2,2)=5,WEEKDAY('Daily Schedule'!$B$2,2)=7),IFERROR(1*'Daily Workforce'!$K201&gt;=3,FALSE()),IFERROR(1*'Daily Workforce'!$K201&gt;=2,FALSE())),IF(AND('Daily Schedule'!$A24&gt;=46,'Daily Schedule'!$A24&lt;=52),'Daily Workforce'!$M201="Y",IFERROR(1*'Daily Workforce'!$P201&gt;=2,FALSE()))))),1,0)</f>
        <v>0</v>
      </c>
      <c r="HE20" s="1" t="n">
        <f aca="false">IF(AND('Daily Workforce'!$N202="Y",'Daily Workforce'!$B202&lt;&gt;"",COUNTIF('Daily Schedule'!$F$5:$F23,'Daily Workforce'!$B202)=0,IF('Daily Schedule'!$A24=45,'Daily Workforce'!$J202="Y",IF(OR('Daily Schedule'!$A24=4,'Daily Schedule'!$A24=8),IF(OR(WEEKDAY('Daily Schedule'!$B$2,2)=1,WEEKDAY('Daily Schedule'!$B$2,2)=4,WEEKDAY('Daily Schedule'!$B$2,2)=5,WEEKDAY('Daily Schedule'!$B$2,2)=7),IFERROR(1*'Daily Workforce'!$K202&gt;=3,FALSE()),IFERROR(1*'Daily Workforce'!$K202&gt;=2,FALSE())),IF(AND('Daily Schedule'!$A24&gt;=46,'Daily Schedule'!$A24&lt;=52),'Daily Workforce'!$M202="Y",IFERROR(1*'Daily Workforce'!$P202&gt;=2,FALSE()))))),1,0)</f>
        <v>0</v>
      </c>
      <c r="HF20" s="1" t="n">
        <f aca="false">IF(AND('Daily Workforce'!$N203="Y",'Daily Workforce'!$B203&lt;&gt;"",COUNTIF('Daily Schedule'!$F$5:$F23,'Daily Workforce'!$B203)=0,IF('Daily Schedule'!$A24=45,'Daily Workforce'!$J203="Y",IF(OR('Daily Schedule'!$A24=4,'Daily Schedule'!$A24=8),IF(OR(WEEKDAY('Daily Schedule'!$B$2,2)=1,WEEKDAY('Daily Schedule'!$B$2,2)=4,WEEKDAY('Daily Schedule'!$B$2,2)=5,WEEKDAY('Daily Schedule'!$B$2,2)=7),IFERROR(1*'Daily Workforce'!$K203&gt;=3,FALSE()),IFERROR(1*'Daily Workforce'!$K203&gt;=2,FALSE())),IF(AND('Daily Schedule'!$A24&gt;=46,'Daily Schedule'!$A24&lt;=52),'Daily Workforce'!$M203="Y",IFERROR(1*'Daily Workforce'!$P203&gt;=2,FALSE()))))),1,0)</f>
        <v>0</v>
      </c>
      <c r="HG20" s="1" t="n">
        <f aca="false">IF(AND('Daily Workforce'!$N204="Y",'Daily Workforce'!$B204&lt;&gt;"",COUNTIF('Daily Schedule'!$F$5:$F23,'Daily Workforce'!$B204)=0,IF('Daily Schedule'!$A24=45,'Daily Workforce'!$J204="Y",IF(OR('Daily Schedule'!$A24=4,'Daily Schedule'!$A24=8),IF(OR(WEEKDAY('Daily Schedule'!$B$2,2)=1,WEEKDAY('Daily Schedule'!$B$2,2)=4,WEEKDAY('Daily Schedule'!$B$2,2)=5,WEEKDAY('Daily Schedule'!$B$2,2)=7),IFERROR(1*'Daily Workforce'!$K204&gt;=3,FALSE()),IFERROR(1*'Daily Workforce'!$K204&gt;=2,FALSE())),IF(AND('Daily Schedule'!$A24&gt;=46,'Daily Schedule'!$A24&lt;=52),'Daily Workforce'!$M204="Y",IFERROR(1*'Daily Workforce'!$P204&gt;=2,FALSE()))))),1,0)</f>
        <v>0</v>
      </c>
      <c r="HH20" s="1" t="n">
        <f aca="false">IF(AND('Daily Workforce'!$N205="Y",'Daily Workforce'!$B205&lt;&gt;"",COUNTIF('Daily Schedule'!$F$5:$F23,'Daily Workforce'!$B205)=0,IF('Daily Schedule'!$A24=45,'Daily Workforce'!$J205="Y",IF(OR('Daily Schedule'!$A24=4,'Daily Schedule'!$A24=8),IF(OR(WEEKDAY('Daily Schedule'!$B$2,2)=1,WEEKDAY('Daily Schedule'!$B$2,2)=4,WEEKDAY('Daily Schedule'!$B$2,2)=5,WEEKDAY('Daily Schedule'!$B$2,2)=7),IFERROR(1*'Daily Workforce'!$K205&gt;=3,FALSE()),IFERROR(1*'Daily Workforce'!$K205&gt;=2,FALSE())),IF(AND('Daily Schedule'!$A24&gt;=46,'Daily Schedule'!$A24&lt;=52),'Daily Workforce'!$M205="Y",IFERROR(1*'Daily Workforce'!$P205&gt;=2,FALSE()))))),1,0)</f>
        <v>0</v>
      </c>
    </row>
    <row r="21" customFormat="false" ht="15" hidden="false" customHeight="true" outlineLevel="0" collapsed="false">
      <c r="L21" s="1" t="s">
        <v>474</v>
      </c>
      <c r="O21" s="1" t="n">
        <f aca="false">IF(AND('Employee Master'!$G21="Y",ISERROR(SEARCH(TEXT('Daily Workforce'!$B$2,"ddd"),'Employee Master'!$D21)),IF('Daily Workforce'!$E$2="",TRUE(),'Employee Master'!$I21='Daily Workforce'!$E$2)),'Employee Master'!$K21*1000+ROW()-1,"")</f>
        <v>5020</v>
      </c>
      <c r="P21" s="1" t="n">
        <f aca="false">IF($O21="","",COUNTIF($O$2:$O$159,"&lt;="&amp;$O21))</f>
        <v>105</v>
      </c>
      <c r="Q21" s="1" t="n">
        <f aca="false">IF(AND('Daily Workforce'!$N6="Y",'Daily Workforce'!$B6&lt;&gt;"",COUNTIF('Daily Schedule'!$F$5:$F24,'Daily Workforce'!$B6)=0,IF('Daily Schedule'!$A25=45,'Daily Workforce'!$J6="Y",IF(OR('Daily Schedule'!$A25=4,'Daily Schedule'!$A25=8),IF(OR(WEEKDAY('Daily Schedule'!$B$2,2)=1,WEEKDAY('Daily Schedule'!$B$2,2)=4,WEEKDAY('Daily Schedule'!$B$2,2)=5,WEEKDAY('Daily Schedule'!$B$2,2)=7),IFERROR(1*'Daily Workforce'!$K6&gt;=3,FALSE()),IFERROR(1*'Daily Workforce'!$K6&gt;=2,FALSE())),IF(AND('Daily Schedule'!$A25&gt;=46,'Daily Schedule'!$A25&lt;=52),'Daily Workforce'!$M6="Y",IFERROR(1*'Daily Workforce'!$P6&gt;=2,FALSE()))))),1,0)</f>
        <v>0</v>
      </c>
      <c r="R21" s="1" t="n">
        <f aca="false">IF(AND('Daily Workforce'!$N7="Y",'Daily Workforce'!$B7&lt;&gt;"",COUNTIF('Daily Schedule'!$F$5:$F24,'Daily Workforce'!$B7)=0,IF('Daily Schedule'!$A25=45,'Daily Workforce'!$J7="Y",IF(OR('Daily Schedule'!$A25=4,'Daily Schedule'!$A25=8),IF(OR(WEEKDAY('Daily Schedule'!$B$2,2)=1,WEEKDAY('Daily Schedule'!$B$2,2)=4,WEEKDAY('Daily Schedule'!$B$2,2)=5,WEEKDAY('Daily Schedule'!$B$2,2)=7),IFERROR(1*'Daily Workforce'!$K7&gt;=3,FALSE()),IFERROR(1*'Daily Workforce'!$K7&gt;=2,FALSE())),IF(AND('Daily Schedule'!$A25&gt;=46,'Daily Schedule'!$A25&lt;=52),'Daily Workforce'!$M7="Y",IFERROR(1*'Daily Workforce'!$P7&gt;=2,FALSE()))))),1,0)</f>
        <v>0</v>
      </c>
      <c r="S21" s="1" t="n">
        <f aca="false">IF(AND('Daily Workforce'!$N8="Y",'Daily Workforce'!$B8&lt;&gt;"",COUNTIF('Daily Schedule'!$F$5:$F24,'Daily Workforce'!$B8)=0,IF('Daily Schedule'!$A25=45,'Daily Workforce'!$J8="Y",IF(OR('Daily Schedule'!$A25=4,'Daily Schedule'!$A25=8),IF(OR(WEEKDAY('Daily Schedule'!$B$2,2)=1,WEEKDAY('Daily Schedule'!$B$2,2)=4,WEEKDAY('Daily Schedule'!$B$2,2)=5,WEEKDAY('Daily Schedule'!$B$2,2)=7),IFERROR(1*'Daily Workforce'!$K8&gt;=3,FALSE()),IFERROR(1*'Daily Workforce'!$K8&gt;=2,FALSE())),IF(AND('Daily Schedule'!$A25&gt;=46,'Daily Schedule'!$A25&lt;=52),'Daily Workforce'!$M8="Y",IFERROR(1*'Daily Workforce'!$P8&gt;=2,FALSE()))))),1,0)</f>
        <v>0</v>
      </c>
      <c r="T21" s="1" t="n">
        <f aca="false">IF(AND('Daily Workforce'!$N9="Y",'Daily Workforce'!$B9&lt;&gt;"",COUNTIF('Daily Schedule'!$F$5:$F24,'Daily Workforce'!$B9)=0,IF('Daily Schedule'!$A25=45,'Daily Workforce'!$J9="Y",IF(OR('Daily Schedule'!$A25=4,'Daily Schedule'!$A25=8),IF(OR(WEEKDAY('Daily Schedule'!$B$2,2)=1,WEEKDAY('Daily Schedule'!$B$2,2)=4,WEEKDAY('Daily Schedule'!$B$2,2)=5,WEEKDAY('Daily Schedule'!$B$2,2)=7),IFERROR(1*'Daily Workforce'!$K9&gt;=3,FALSE()),IFERROR(1*'Daily Workforce'!$K9&gt;=2,FALSE())),IF(AND('Daily Schedule'!$A25&gt;=46,'Daily Schedule'!$A25&lt;=52),'Daily Workforce'!$M9="Y",IFERROR(1*'Daily Workforce'!$P9&gt;=2,FALSE()))))),1,0)</f>
        <v>0</v>
      </c>
      <c r="U21" s="1" t="n">
        <f aca="false">IF(AND('Daily Workforce'!$N10="Y",'Daily Workforce'!$B10&lt;&gt;"",COUNTIF('Daily Schedule'!$F$5:$F24,'Daily Workforce'!$B10)=0,IF('Daily Schedule'!$A25=45,'Daily Workforce'!$J10="Y",IF(OR('Daily Schedule'!$A25=4,'Daily Schedule'!$A25=8),IF(OR(WEEKDAY('Daily Schedule'!$B$2,2)=1,WEEKDAY('Daily Schedule'!$B$2,2)=4,WEEKDAY('Daily Schedule'!$B$2,2)=5,WEEKDAY('Daily Schedule'!$B$2,2)=7),IFERROR(1*'Daily Workforce'!$K10&gt;=3,FALSE()),IFERROR(1*'Daily Workforce'!$K10&gt;=2,FALSE())),IF(AND('Daily Schedule'!$A25&gt;=46,'Daily Schedule'!$A25&lt;=52),'Daily Workforce'!$M10="Y",IFERROR(1*'Daily Workforce'!$P10&gt;=2,FALSE()))))),1,0)</f>
        <v>0</v>
      </c>
      <c r="V21" s="1" t="n">
        <f aca="false">IF(AND('Daily Workforce'!$N11="Y",'Daily Workforce'!$B11&lt;&gt;"",COUNTIF('Daily Schedule'!$F$5:$F24,'Daily Workforce'!$B11)=0,IF('Daily Schedule'!$A25=45,'Daily Workforce'!$J11="Y",IF(OR('Daily Schedule'!$A25=4,'Daily Schedule'!$A25=8),IF(OR(WEEKDAY('Daily Schedule'!$B$2,2)=1,WEEKDAY('Daily Schedule'!$B$2,2)=4,WEEKDAY('Daily Schedule'!$B$2,2)=5,WEEKDAY('Daily Schedule'!$B$2,2)=7),IFERROR(1*'Daily Workforce'!$K11&gt;=3,FALSE()),IFERROR(1*'Daily Workforce'!$K11&gt;=2,FALSE())),IF(AND('Daily Schedule'!$A25&gt;=46,'Daily Schedule'!$A25&lt;=52),'Daily Workforce'!$M11="Y",IFERROR(1*'Daily Workforce'!$P11&gt;=2,FALSE()))))),1,0)</f>
        <v>0</v>
      </c>
      <c r="W21" s="1" t="n">
        <f aca="false">IF(AND('Daily Workforce'!$N12="Y",'Daily Workforce'!$B12&lt;&gt;"",COUNTIF('Daily Schedule'!$F$5:$F24,'Daily Workforce'!$B12)=0,IF('Daily Schedule'!$A25=45,'Daily Workforce'!$J12="Y",IF(OR('Daily Schedule'!$A25=4,'Daily Schedule'!$A25=8),IF(OR(WEEKDAY('Daily Schedule'!$B$2,2)=1,WEEKDAY('Daily Schedule'!$B$2,2)=4,WEEKDAY('Daily Schedule'!$B$2,2)=5,WEEKDAY('Daily Schedule'!$B$2,2)=7),IFERROR(1*'Daily Workforce'!$K12&gt;=3,FALSE()),IFERROR(1*'Daily Workforce'!$K12&gt;=2,FALSE())),IF(AND('Daily Schedule'!$A25&gt;=46,'Daily Schedule'!$A25&lt;=52),'Daily Workforce'!$M12="Y",IFERROR(1*'Daily Workforce'!$P12&gt;=2,FALSE()))))),1,0)</f>
        <v>0</v>
      </c>
      <c r="X21" s="1" t="n">
        <f aca="false">IF(AND('Daily Workforce'!$N13="Y",'Daily Workforce'!$B13&lt;&gt;"",COUNTIF('Daily Schedule'!$F$5:$F24,'Daily Workforce'!$B13)=0,IF('Daily Schedule'!$A25=45,'Daily Workforce'!$J13="Y",IF(OR('Daily Schedule'!$A25=4,'Daily Schedule'!$A25=8),IF(OR(WEEKDAY('Daily Schedule'!$B$2,2)=1,WEEKDAY('Daily Schedule'!$B$2,2)=4,WEEKDAY('Daily Schedule'!$B$2,2)=5,WEEKDAY('Daily Schedule'!$B$2,2)=7),IFERROR(1*'Daily Workforce'!$K13&gt;=3,FALSE()),IFERROR(1*'Daily Workforce'!$K13&gt;=2,FALSE())),IF(AND('Daily Schedule'!$A25&gt;=46,'Daily Schedule'!$A25&lt;=52),'Daily Workforce'!$M13="Y",IFERROR(1*'Daily Workforce'!$P13&gt;=2,FALSE()))))),1,0)</f>
        <v>0</v>
      </c>
      <c r="Y21" s="1" t="n">
        <f aca="false">IF(AND('Daily Workforce'!$N14="Y",'Daily Workforce'!$B14&lt;&gt;"",COUNTIF('Daily Schedule'!$F$5:$F24,'Daily Workforce'!$B14)=0,IF('Daily Schedule'!$A25=45,'Daily Workforce'!$J14="Y",IF(OR('Daily Schedule'!$A25=4,'Daily Schedule'!$A25=8),IF(OR(WEEKDAY('Daily Schedule'!$B$2,2)=1,WEEKDAY('Daily Schedule'!$B$2,2)=4,WEEKDAY('Daily Schedule'!$B$2,2)=5,WEEKDAY('Daily Schedule'!$B$2,2)=7),IFERROR(1*'Daily Workforce'!$K14&gt;=3,FALSE()),IFERROR(1*'Daily Workforce'!$K14&gt;=2,FALSE())),IF(AND('Daily Schedule'!$A25&gt;=46,'Daily Schedule'!$A25&lt;=52),'Daily Workforce'!$M14="Y",IFERROR(1*'Daily Workforce'!$P14&gt;=2,FALSE()))))),1,0)</f>
        <v>0</v>
      </c>
      <c r="Z21" s="1" t="n">
        <f aca="false">IF(AND('Daily Workforce'!$N15="Y",'Daily Workforce'!$B15&lt;&gt;"",COUNTIF('Daily Schedule'!$F$5:$F24,'Daily Workforce'!$B15)=0,IF('Daily Schedule'!$A25=45,'Daily Workforce'!$J15="Y",IF(OR('Daily Schedule'!$A25=4,'Daily Schedule'!$A25=8),IF(OR(WEEKDAY('Daily Schedule'!$B$2,2)=1,WEEKDAY('Daily Schedule'!$B$2,2)=4,WEEKDAY('Daily Schedule'!$B$2,2)=5,WEEKDAY('Daily Schedule'!$B$2,2)=7),IFERROR(1*'Daily Workforce'!$K15&gt;=3,FALSE()),IFERROR(1*'Daily Workforce'!$K15&gt;=2,FALSE())),IF(AND('Daily Schedule'!$A25&gt;=46,'Daily Schedule'!$A25&lt;=52),'Daily Workforce'!$M15="Y",IFERROR(1*'Daily Workforce'!$P15&gt;=2,FALSE()))))),1,0)</f>
        <v>0</v>
      </c>
      <c r="AA21" s="1" t="n">
        <f aca="false">IF(AND('Daily Workforce'!$N16="Y",'Daily Workforce'!$B16&lt;&gt;"",COUNTIF('Daily Schedule'!$F$5:$F24,'Daily Workforce'!$B16)=0,IF('Daily Schedule'!$A25=45,'Daily Workforce'!$J16="Y",IF(OR('Daily Schedule'!$A25=4,'Daily Schedule'!$A25=8),IF(OR(WEEKDAY('Daily Schedule'!$B$2,2)=1,WEEKDAY('Daily Schedule'!$B$2,2)=4,WEEKDAY('Daily Schedule'!$B$2,2)=5,WEEKDAY('Daily Schedule'!$B$2,2)=7),IFERROR(1*'Daily Workforce'!$K16&gt;=3,FALSE()),IFERROR(1*'Daily Workforce'!$K16&gt;=2,FALSE())),IF(AND('Daily Schedule'!$A25&gt;=46,'Daily Schedule'!$A25&lt;=52),'Daily Workforce'!$M16="Y",IFERROR(1*'Daily Workforce'!$P16&gt;=2,FALSE()))))),1,0)</f>
        <v>0</v>
      </c>
      <c r="AB21" s="1" t="n">
        <f aca="false">IF(AND('Daily Workforce'!$N17="Y",'Daily Workforce'!$B17&lt;&gt;"",COUNTIF('Daily Schedule'!$F$5:$F24,'Daily Workforce'!$B17)=0,IF('Daily Schedule'!$A25=45,'Daily Workforce'!$J17="Y",IF(OR('Daily Schedule'!$A25=4,'Daily Schedule'!$A25=8),IF(OR(WEEKDAY('Daily Schedule'!$B$2,2)=1,WEEKDAY('Daily Schedule'!$B$2,2)=4,WEEKDAY('Daily Schedule'!$B$2,2)=5,WEEKDAY('Daily Schedule'!$B$2,2)=7),IFERROR(1*'Daily Workforce'!$K17&gt;=3,FALSE()),IFERROR(1*'Daily Workforce'!$K17&gt;=2,FALSE())),IF(AND('Daily Schedule'!$A25&gt;=46,'Daily Schedule'!$A25&lt;=52),'Daily Workforce'!$M17="Y",IFERROR(1*'Daily Workforce'!$P17&gt;=2,FALSE()))))),1,0)</f>
        <v>0</v>
      </c>
      <c r="AC21" s="1" t="n">
        <f aca="false">IF(AND('Daily Workforce'!$N18="Y",'Daily Workforce'!$B18&lt;&gt;"",COUNTIF('Daily Schedule'!$F$5:$F24,'Daily Workforce'!$B18)=0,IF('Daily Schedule'!$A25=45,'Daily Workforce'!$J18="Y",IF(OR('Daily Schedule'!$A25=4,'Daily Schedule'!$A25=8),IF(OR(WEEKDAY('Daily Schedule'!$B$2,2)=1,WEEKDAY('Daily Schedule'!$B$2,2)=4,WEEKDAY('Daily Schedule'!$B$2,2)=5,WEEKDAY('Daily Schedule'!$B$2,2)=7),IFERROR(1*'Daily Workforce'!$K18&gt;=3,FALSE()),IFERROR(1*'Daily Workforce'!$K18&gt;=2,FALSE())),IF(AND('Daily Schedule'!$A25&gt;=46,'Daily Schedule'!$A25&lt;=52),'Daily Workforce'!$M18="Y",IFERROR(1*'Daily Workforce'!$P18&gt;=2,FALSE()))))),1,0)</f>
        <v>0</v>
      </c>
      <c r="AD21" s="1" t="n">
        <f aca="false">IF(AND('Daily Workforce'!$N19="Y",'Daily Workforce'!$B19&lt;&gt;"",COUNTIF('Daily Schedule'!$F$5:$F24,'Daily Workforce'!$B19)=0,IF('Daily Schedule'!$A25=45,'Daily Workforce'!$J19="Y",IF(OR('Daily Schedule'!$A25=4,'Daily Schedule'!$A25=8),IF(OR(WEEKDAY('Daily Schedule'!$B$2,2)=1,WEEKDAY('Daily Schedule'!$B$2,2)=4,WEEKDAY('Daily Schedule'!$B$2,2)=5,WEEKDAY('Daily Schedule'!$B$2,2)=7),IFERROR(1*'Daily Workforce'!$K19&gt;=3,FALSE()),IFERROR(1*'Daily Workforce'!$K19&gt;=2,FALSE())),IF(AND('Daily Schedule'!$A25&gt;=46,'Daily Schedule'!$A25&lt;=52),'Daily Workforce'!$M19="Y",IFERROR(1*'Daily Workforce'!$P19&gt;=2,FALSE()))))),1,0)</f>
        <v>0</v>
      </c>
      <c r="AE21" s="1" t="n">
        <f aca="false">IF(AND('Daily Workforce'!$N20="Y",'Daily Workforce'!$B20&lt;&gt;"",COUNTIF('Daily Schedule'!$F$5:$F24,'Daily Workforce'!$B20)=0,IF('Daily Schedule'!$A25=45,'Daily Workforce'!$J20="Y",IF(OR('Daily Schedule'!$A25=4,'Daily Schedule'!$A25=8),IF(OR(WEEKDAY('Daily Schedule'!$B$2,2)=1,WEEKDAY('Daily Schedule'!$B$2,2)=4,WEEKDAY('Daily Schedule'!$B$2,2)=5,WEEKDAY('Daily Schedule'!$B$2,2)=7),IFERROR(1*'Daily Workforce'!$K20&gt;=3,FALSE()),IFERROR(1*'Daily Workforce'!$K20&gt;=2,FALSE())),IF(AND('Daily Schedule'!$A25&gt;=46,'Daily Schedule'!$A25&lt;=52),'Daily Workforce'!$M20="Y",IFERROR(1*'Daily Workforce'!$P20&gt;=2,FALSE()))))),1,0)</f>
        <v>0</v>
      </c>
      <c r="AF21" s="1" t="n">
        <f aca="false">IF(AND('Daily Workforce'!$N21="Y",'Daily Workforce'!$B21&lt;&gt;"",COUNTIF('Daily Schedule'!$F$5:$F24,'Daily Workforce'!$B21)=0,IF('Daily Schedule'!$A25=45,'Daily Workforce'!$J21="Y",IF(OR('Daily Schedule'!$A25=4,'Daily Schedule'!$A25=8),IF(OR(WEEKDAY('Daily Schedule'!$B$2,2)=1,WEEKDAY('Daily Schedule'!$B$2,2)=4,WEEKDAY('Daily Schedule'!$B$2,2)=5,WEEKDAY('Daily Schedule'!$B$2,2)=7),IFERROR(1*'Daily Workforce'!$K21&gt;=3,FALSE()),IFERROR(1*'Daily Workforce'!$K21&gt;=2,FALSE())),IF(AND('Daily Schedule'!$A25&gt;=46,'Daily Schedule'!$A25&lt;=52),'Daily Workforce'!$M21="Y",IFERROR(1*'Daily Workforce'!$P21&gt;=2,FALSE()))))),1,0)</f>
        <v>0</v>
      </c>
      <c r="AG21" s="1" t="n">
        <f aca="false">IF(AND('Daily Workforce'!$N22="Y",'Daily Workforce'!$B22&lt;&gt;"",COUNTIF('Daily Schedule'!$F$5:$F24,'Daily Workforce'!$B22)=0,IF('Daily Schedule'!$A25=45,'Daily Workforce'!$J22="Y",IF(OR('Daily Schedule'!$A25=4,'Daily Schedule'!$A25=8),IF(OR(WEEKDAY('Daily Schedule'!$B$2,2)=1,WEEKDAY('Daily Schedule'!$B$2,2)=4,WEEKDAY('Daily Schedule'!$B$2,2)=5,WEEKDAY('Daily Schedule'!$B$2,2)=7),IFERROR(1*'Daily Workforce'!$K22&gt;=3,FALSE()),IFERROR(1*'Daily Workforce'!$K22&gt;=2,FALSE())),IF(AND('Daily Schedule'!$A25&gt;=46,'Daily Schedule'!$A25&lt;=52),'Daily Workforce'!$M22="Y",IFERROR(1*'Daily Workforce'!$P22&gt;=2,FALSE()))))),1,0)</f>
        <v>0</v>
      </c>
      <c r="AH21" s="1" t="n">
        <f aca="false">IF(AND('Daily Workforce'!$N23="Y",'Daily Workforce'!$B23&lt;&gt;"",COUNTIF('Daily Schedule'!$F$5:$F24,'Daily Workforce'!$B23)=0,IF('Daily Schedule'!$A25=45,'Daily Workforce'!$J23="Y",IF(OR('Daily Schedule'!$A25=4,'Daily Schedule'!$A25=8),IF(OR(WEEKDAY('Daily Schedule'!$B$2,2)=1,WEEKDAY('Daily Schedule'!$B$2,2)=4,WEEKDAY('Daily Schedule'!$B$2,2)=5,WEEKDAY('Daily Schedule'!$B$2,2)=7),IFERROR(1*'Daily Workforce'!$K23&gt;=3,FALSE()),IFERROR(1*'Daily Workforce'!$K23&gt;=2,FALSE())),IF(AND('Daily Schedule'!$A25&gt;=46,'Daily Schedule'!$A25&lt;=52),'Daily Workforce'!$M23="Y",IFERROR(1*'Daily Workforce'!$P23&gt;=2,FALSE()))))),1,0)</f>
        <v>0</v>
      </c>
      <c r="AI21" s="1" t="n">
        <f aca="false">IF(AND('Daily Workforce'!$N24="Y",'Daily Workforce'!$B24&lt;&gt;"",COUNTIF('Daily Schedule'!$F$5:$F24,'Daily Workforce'!$B24)=0,IF('Daily Schedule'!$A25=45,'Daily Workforce'!$J24="Y",IF(OR('Daily Schedule'!$A25=4,'Daily Schedule'!$A25=8),IF(OR(WEEKDAY('Daily Schedule'!$B$2,2)=1,WEEKDAY('Daily Schedule'!$B$2,2)=4,WEEKDAY('Daily Schedule'!$B$2,2)=5,WEEKDAY('Daily Schedule'!$B$2,2)=7),IFERROR(1*'Daily Workforce'!$K24&gt;=3,FALSE()),IFERROR(1*'Daily Workforce'!$K24&gt;=2,FALSE())),IF(AND('Daily Schedule'!$A25&gt;=46,'Daily Schedule'!$A25&lt;=52),'Daily Workforce'!$M24="Y",IFERROR(1*'Daily Workforce'!$P24&gt;=2,FALSE()))))),1,0)</f>
        <v>1</v>
      </c>
      <c r="AJ21" s="1" t="n">
        <f aca="false">IF(AND('Daily Workforce'!$N25="Y",'Daily Workforce'!$B25&lt;&gt;"",COUNTIF('Daily Schedule'!$F$5:$F24,'Daily Workforce'!$B25)=0,IF('Daily Schedule'!$A25=45,'Daily Workforce'!$J25="Y",IF(OR('Daily Schedule'!$A25=4,'Daily Schedule'!$A25=8),IF(OR(WEEKDAY('Daily Schedule'!$B$2,2)=1,WEEKDAY('Daily Schedule'!$B$2,2)=4,WEEKDAY('Daily Schedule'!$B$2,2)=5,WEEKDAY('Daily Schedule'!$B$2,2)=7),IFERROR(1*'Daily Workforce'!$K25&gt;=3,FALSE()),IFERROR(1*'Daily Workforce'!$K25&gt;=2,FALSE())),IF(AND('Daily Schedule'!$A25&gt;=46,'Daily Schedule'!$A25&lt;=52),'Daily Workforce'!$M25="Y",IFERROR(1*'Daily Workforce'!$P25&gt;=2,FALSE()))))),1,0)</f>
        <v>1</v>
      </c>
      <c r="AK21" s="1" t="n">
        <f aca="false">IF(AND('Daily Workforce'!$N26="Y",'Daily Workforce'!$B26&lt;&gt;"",COUNTIF('Daily Schedule'!$F$5:$F24,'Daily Workforce'!$B26)=0,IF('Daily Schedule'!$A25=45,'Daily Workforce'!$J26="Y",IF(OR('Daily Schedule'!$A25=4,'Daily Schedule'!$A25=8),IF(OR(WEEKDAY('Daily Schedule'!$B$2,2)=1,WEEKDAY('Daily Schedule'!$B$2,2)=4,WEEKDAY('Daily Schedule'!$B$2,2)=5,WEEKDAY('Daily Schedule'!$B$2,2)=7),IFERROR(1*'Daily Workforce'!$K26&gt;=3,FALSE()),IFERROR(1*'Daily Workforce'!$K26&gt;=2,FALSE())),IF(AND('Daily Schedule'!$A25&gt;=46,'Daily Schedule'!$A25&lt;=52),'Daily Workforce'!$M26="Y",IFERROR(1*'Daily Workforce'!$P26&gt;=2,FALSE()))))),1,0)</f>
        <v>1</v>
      </c>
      <c r="AL21" s="1" t="n">
        <f aca="false">IF(AND('Daily Workforce'!$N27="Y",'Daily Workforce'!$B27&lt;&gt;"",COUNTIF('Daily Schedule'!$F$5:$F24,'Daily Workforce'!$B27)=0,IF('Daily Schedule'!$A25=45,'Daily Workforce'!$J27="Y",IF(OR('Daily Schedule'!$A25=4,'Daily Schedule'!$A25=8),IF(OR(WEEKDAY('Daily Schedule'!$B$2,2)=1,WEEKDAY('Daily Schedule'!$B$2,2)=4,WEEKDAY('Daily Schedule'!$B$2,2)=5,WEEKDAY('Daily Schedule'!$B$2,2)=7),IFERROR(1*'Daily Workforce'!$K27&gt;=3,FALSE()),IFERROR(1*'Daily Workforce'!$K27&gt;=2,FALSE())),IF(AND('Daily Schedule'!$A25&gt;=46,'Daily Schedule'!$A25&lt;=52),'Daily Workforce'!$M27="Y",IFERROR(1*'Daily Workforce'!$P27&gt;=2,FALSE()))))),1,0)</f>
        <v>0</v>
      </c>
      <c r="AM21" s="1" t="n">
        <f aca="false">IF(AND('Daily Workforce'!$N28="Y",'Daily Workforce'!$B28&lt;&gt;"",COUNTIF('Daily Schedule'!$F$5:$F24,'Daily Workforce'!$B28)=0,IF('Daily Schedule'!$A25=45,'Daily Workforce'!$J28="Y",IF(OR('Daily Schedule'!$A25=4,'Daily Schedule'!$A25=8),IF(OR(WEEKDAY('Daily Schedule'!$B$2,2)=1,WEEKDAY('Daily Schedule'!$B$2,2)=4,WEEKDAY('Daily Schedule'!$B$2,2)=5,WEEKDAY('Daily Schedule'!$B$2,2)=7),IFERROR(1*'Daily Workforce'!$K28&gt;=3,FALSE()),IFERROR(1*'Daily Workforce'!$K28&gt;=2,FALSE())),IF(AND('Daily Schedule'!$A25&gt;=46,'Daily Schedule'!$A25&lt;=52),'Daily Workforce'!$M28="Y",IFERROR(1*'Daily Workforce'!$P28&gt;=2,FALSE()))))),1,0)</f>
        <v>1</v>
      </c>
      <c r="AN21" s="1" t="n">
        <f aca="false">IF(AND('Daily Workforce'!$N29="Y",'Daily Workforce'!$B29&lt;&gt;"",COUNTIF('Daily Schedule'!$F$5:$F24,'Daily Workforce'!$B29)=0,IF('Daily Schedule'!$A25=45,'Daily Workforce'!$J29="Y",IF(OR('Daily Schedule'!$A25=4,'Daily Schedule'!$A25=8),IF(OR(WEEKDAY('Daily Schedule'!$B$2,2)=1,WEEKDAY('Daily Schedule'!$B$2,2)=4,WEEKDAY('Daily Schedule'!$B$2,2)=5,WEEKDAY('Daily Schedule'!$B$2,2)=7),IFERROR(1*'Daily Workforce'!$K29&gt;=3,FALSE()),IFERROR(1*'Daily Workforce'!$K29&gt;=2,FALSE())),IF(AND('Daily Schedule'!$A25&gt;=46,'Daily Schedule'!$A25&lt;=52),'Daily Workforce'!$M29="Y",IFERROR(1*'Daily Workforce'!$P29&gt;=2,FALSE()))))),1,0)</f>
        <v>1</v>
      </c>
      <c r="AO21" s="1" t="n">
        <f aca="false">IF(AND('Daily Workforce'!$N30="Y",'Daily Workforce'!$B30&lt;&gt;"",COUNTIF('Daily Schedule'!$F$5:$F24,'Daily Workforce'!$B30)=0,IF('Daily Schedule'!$A25=45,'Daily Workforce'!$J30="Y",IF(OR('Daily Schedule'!$A25=4,'Daily Schedule'!$A25=8),IF(OR(WEEKDAY('Daily Schedule'!$B$2,2)=1,WEEKDAY('Daily Schedule'!$B$2,2)=4,WEEKDAY('Daily Schedule'!$B$2,2)=5,WEEKDAY('Daily Schedule'!$B$2,2)=7),IFERROR(1*'Daily Workforce'!$K30&gt;=3,FALSE()),IFERROR(1*'Daily Workforce'!$K30&gt;=2,FALSE())),IF(AND('Daily Schedule'!$A25&gt;=46,'Daily Schedule'!$A25&lt;=52),'Daily Workforce'!$M30="Y",IFERROR(1*'Daily Workforce'!$P30&gt;=2,FALSE()))))),1,0)</f>
        <v>1</v>
      </c>
      <c r="AP21" s="1" t="n">
        <f aca="false">IF(AND('Daily Workforce'!$N31="Y",'Daily Workforce'!$B31&lt;&gt;"",COUNTIF('Daily Schedule'!$F$5:$F24,'Daily Workforce'!$B31)=0,IF('Daily Schedule'!$A25=45,'Daily Workforce'!$J31="Y",IF(OR('Daily Schedule'!$A25=4,'Daily Schedule'!$A25=8),IF(OR(WEEKDAY('Daily Schedule'!$B$2,2)=1,WEEKDAY('Daily Schedule'!$B$2,2)=4,WEEKDAY('Daily Schedule'!$B$2,2)=5,WEEKDAY('Daily Schedule'!$B$2,2)=7),IFERROR(1*'Daily Workforce'!$K31&gt;=3,FALSE()),IFERROR(1*'Daily Workforce'!$K31&gt;=2,FALSE())),IF(AND('Daily Schedule'!$A25&gt;=46,'Daily Schedule'!$A25&lt;=52),'Daily Workforce'!$M31="Y",IFERROR(1*'Daily Workforce'!$P31&gt;=2,FALSE()))))),1,0)</f>
        <v>1</v>
      </c>
      <c r="AQ21" s="1" t="n">
        <f aca="false">IF(AND('Daily Workforce'!$N32="Y",'Daily Workforce'!$B32&lt;&gt;"",COUNTIF('Daily Schedule'!$F$5:$F24,'Daily Workforce'!$B32)=0,IF('Daily Schedule'!$A25=45,'Daily Workforce'!$J32="Y",IF(OR('Daily Schedule'!$A25=4,'Daily Schedule'!$A25=8),IF(OR(WEEKDAY('Daily Schedule'!$B$2,2)=1,WEEKDAY('Daily Schedule'!$B$2,2)=4,WEEKDAY('Daily Schedule'!$B$2,2)=5,WEEKDAY('Daily Schedule'!$B$2,2)=7),IFERROR(1*'Daily Workforce'!$K32&gt;=3,FALSE()),IFERROR(1*'Daily Workforce'!$K32&gt;=2,FALSE())),IF(AND('Daily Schedule'!$A25&gt;=46,'Daily Schedule'!$A25&lt;=52),'Daily Workforce'!$M32="Y",IFERROR(1*'Daily Workforce'!$P32&gt;=2,FALSE()))))),1,0)</f>
        <v>1</v>
      </c>
      <c r="AR21" s="1" t="n">
        <f aca="false">IF(AND('Daily Workforce'!$N33="Y",'Daily Workforce'!$B33&lt;&gt;"",COUNTIF('Daily Schedule'!$F$5:$F24,'Daily Workforce'!$B33)=0,IF('Daily Schedule'!$A25=45,'Daily Workforce'!$J33="Y",IF(OR('Daily Schedule'!$A25=4,'Daily Schedule'!$A25=8),IF(OR(WEEKDAY('Daily Schedule'!$B$2,2)=1,WEEKDAY('Daily Schedule'!$B$2,2)=4,WEEKDAY('Daily Schedule'!$B$2,2)=5,WEEKDAY('Daily Schedule'!$B$2,2)=7),IFERROR(1*'Daily Workforce'!$K33&gt;=3,FALSE()),IFERROR(1*'Daily Workforce'!$K33&gt;=2,FALSE())),IF(AND('Daily Schedule'!$A25&gt;=46,'Daily Schedule'!$A25&lt;=52),'Daily Workforce'!$M33="Y",IFERROR(1*'Daily Workforce'!$P33&gt;=2,FALSE()))))),1,0)</f>
        <v>1</v>
      </c>
      <c r="AS21" s="1" t="n">
        <f aca="false">IF(AND('Daily Workforce'!$N34="Y",'Daily Workforce'!$B34&lt;&gt;"",COUNTIF('Daily Schedule'!$F$5:$F24,'Daily Workforce'!$B34)=0,IF('Daily Schedule'!$A25=45,'Daily Workforce'!$J34="Y",IF(OR('Daily Schedule'!$A25=4,'Daily Schedule'!$A25=8),IF(OR(WEEKDAY('Daily Schedule'!$B$2,2)=1,WEEKDAY('Daily Schedule'!$B$2,2)=4,WEEKDAY('Daily Schedule'!$B$2,2)=5,WEEKDAY('Daily Schedule'!$B$2,2)=7),IFERROR(1*'Daily Workforce'!$K34&gt;=3,FALSE()),IFERROR(1*'Daily Workforce'!$K34&gt;=2,FALSE())),IF(AND('Daily Schedule'!$A25&gt;=46,'Daily Schedule'!$A25&lt;=52),'Daily Workforce'!$M34="Y",IFERROR(1*'Daily Workforce'!$P34&gt;=2,FALSE()))))),1,0)</f>
        <v>1</v>
      </c>
      <c r="AT21" s="1" t="n">
        <f aca="false">IF(AND('Daily Workforce'!$N35="Y",'Daily Workforce'!$B35&lt;&gt;"",COUNTIF('Daily Schedule'!$F$5:$F24,'Daily Workforce'!$B35)=0,IF('Daily Schedule'!$A25=45,'Daily Workforce'!$J35="Y",IF(OR('Daily Schedule'!$A25=4,'Daily Schedule'!$A25=8),IF(OR(WEEKDAY('Daily Schedule'!$B$2,2)=1,WEEKDAY('Daily Schedule'!$B$2,2)=4,WEEKDAY('Daily Schedule'!$B$2,2)=5,WEEKDAY('Daily Schedule'!$B$2,2)=7),IFERROR(1*'Daily Workforce'!$K35&gt;=3,FALSE()),IFERROR(1*'Daily Workforce'!$K35&gt;=2,FALSE())),IF(AND('Daily Schedule'!$A25&gt;=46,'Daily Schedule'!$A25&lt;=52),'Daily Workforce'!$M35="Y",IFERROR(1*'Daily Workforce'!$P35&gt;=2,FALSE()))))),1,0)</f>
        <v>1</v>
      </c>
      <c r="AU21" s="1" t="n">
        <f aca="false">IF(AND('Daily Workforce'!$N36="Y",'Daily Workforce'!$B36&lt;&gt;"",COUNTIF('Daily Schedule'!$F$5:$F24,'Daily Workforce'!$B36)=0,IF('Daily Schedule'!$A25=45,'Daily Workforce'!$J36="Y",IF(OR('Daily Schedule'!$A25=4,'Daily Schedule'!$A25=8),IF(OR(WEEKDAY('Daily Schedule'!$B$2,2)=1,WEEKDAY('Daily Schedule'!$B$2,2)=4,WEEKDAY('Daily Schedule'!$B$2,2)=5,WEEKDAY('Daily Schedule'!$B$2,2)=7),IFERROR(1*'Daily Workforce'!$K36&gt;=3,FALSE()),IFERROR(1*'Daily Workforce'!$K36&gt;=2,FALSE())),IF(AND('Daily Schedule'!$A25&gt;=46,'Daily Schedule'!$A25&lt;=52),'Daily Workforce'!$M36="Y",IFERROR(1*'Daily Workforce'!$P36&gt;=2,FALSE()))))),1,0)</f>
        <v>1</v>
      </c>
      <c r="AV21" s="1" t="n">
        <f aca="false">IF(AND('Daily Workforce'!$N37="Y",'Daily Workforce'!$B37&lt;&gt;"",COUNTIF('Daily Schedule'!$F$5:$F24,'Daily Workforce'!$B37)=0,IF('Daily Schedule'!$A25=45,'Daily Workforce'!$J37="Y",IF(OR('Daily Schedule'!$A25=4,'Daily Schedule'!$A25=8),IF(OR(WEEKDAY('Daily Schedule'!$B$2,2)=1,WEEKDAY('Daily Schedule'!$B$2,2)=4,WEEKDAY('Daily Schedule'!$B$2,2)=5,WEEKDAY('Daily Schedule'!$B$2,2)=7),IFERROR(1*'Daily Workforce'!$K37&gt;=3,FALSE()),IFERROR(1*'Daily Workforce'!$K37&gt;=2,FALSE())),IF(AND('Daily Schedule'!$A25&gt;=46,'Daily Schedule'!$A25&lt;=52),'Daily Workforce'!$M37="Y",IFERROR(1*'Daily Workforce'!$P37&gt;=2,FALSE()))))),1,0)</f>
        <v>1</v>
      </c>
      <c r="AW21" s="1" t="n">
        <f aca="false">IF(AND('Daily Workforce'!$N38="Y",'Daily Workforce'!$B38&lt;&gt;"",COUNTIF('Daily Schedule'!$F$5:$F24,'Daily Workforce'!$B38)=0,IF('Daily Schedule'!$A25=45,'Daily Workforce'!$J38="Y",IF(OR('Daily Schedule'!$A25=4,'Daily Schedule'!$A25=8),IF(OR(WEEKDAY('Daily Schedule'!$B$2,2)=1,WEEKDAY('Daily Schedule'!$B$2,2)=4,WEEKDAY('Daily Schedule'!$B$2,2)=5,WEEKDAY('Daily Schedule'!$B$2,2)=7),IFERROR(1*'Daily Workforce'!$K38&gt;=3,FALSE()),IFERROR(1*'Daily Workforce'!$K38&gt;=2,FALSE())),IF(AND('Daily Schedule'!$A25&gt;=46,'Daily Schedule'!$A25&lt;=52),'Daily Workforce'!$M38="Y",IFERROR(1*'Daily Workforce'!$P38&gt;=2,FALSE()))))),1,0)</f>
        <v>1</v>
      </c>
      <c r="AX21" s="1" t="n">
        <f aca="false">IF(AND('Daily Workforce'!$N39="Y",'Daily Workforce'!$B39&lt;&gt;"",COUNTIF('Daily Schedule'!$F$5:$F24,'Daily Workforce'!$B39)=0,IF('Daily Schedule'!$A25=45,'Daily Workforce'!$J39="Y",IF(OR('Daily Schedule'!$A25=4,'Daily Schedule'!$A25=8),IF(OR(WEEKDAY('Daily Schedule'!$B$2,2)=1,WEEKDAY('Daily Schedule'!$B$2,2)=4,WEEKDAY('Daily Schedule'!$B$2,2)=5,WEEKDAY('Daily Schedule'!$B$2,2)=7),IFERROR(1*'Daily Workforce'!$K39&gt;=3,FALSE()),IFERROR(1*'Daily Workforce'!$K39&gt;=2,FALSE())),IF(AND('Daily Schedule'!$A25&gt;=46,'Daily Schedule'!$A25&lt;=52),'Daily Workforce'!$M39="Y",IFERROR(1*'Daily Workforce'!$P39&gt;=2,FALSE()))))),1,0)</f>
        <v>1</v>
      </c>
      <c r="AY21" s="1" t="n">
        <f aca="false">IF(AND('Daily Workforce'!$N40="Y",'Daily Workforce'!$B40&lt;&gt;"",COUNTIF('Daily Schedule'!$F$5:$F24,'Daily Workforce'!$B40)=0,IF('Daily Schedule'!$A25=45,'Daily Workforce'!$J40="Y",IF(OR('Daily Schedule'!$A25=4,'Daily Schedule'!$A25=8),IF(OR(WEEKDAY('Daily Schedule'!$B$2,2)=1,WEEKDAY('Daily Schedule'!$B$2,2)=4,WEEKDAY('Daily Schedule'!$B$2,2)=5,WEEKDAY('Daily Schedule'!$B$2,2)=7),IFERROR(1*'Daily Workforce'!$K40&gt;=3,FALSE()),IFERROR(1*'Daily Workforce'!$K40&gt;=2,FALSE())),IF(AND('Daily Schedule'!$A25&gt;=46,'Daily Schedule'!$A25&lt;=52),'Daily Workforce'!$M40="Y",IFERROR(1*'Daily Workforce'!$P40&gt;=2,FALSE()))))),1,0)</f>
        <v>1</v>
      </c>
      <c r="AZ21" s="1" t="n">
        <f aca="false">IF(AND('Daily Workforce'!$N41="Y",'Daily Workforce'!$B41&lt;&gt;"",COUNTIF('Daily Schedule'!$F$5:$F24,'Daily Workforce'!$B41)=0,IF('Daily Schedule'!$A25=45,'Daily Workforce'!$J41="Y",IF(OR('Daily Schedule'!$A25=4,'Daily Schedule'!$A25=8),IF(OR(WEEKDAY('Daily Schedule'!$B$2,2)=1,WEEKDAY('Daily Schedule'!$B$2,2)=4,WEEKDAY('Daily Schedule'!$B$2,2)=5,WEEKDAY('Daily Schedule'!$B$2,2)=7),IFERROR(1*'Daily Workforce'!$K41&gt;=3,FALSE()),IFERROR(1*'Daily Workforce'!$K41&gt;=2,FALSE())),IF(AND('Daily Schedule'!$A25&gt;=46,'Daily Schedule'!$A25&lt;=52),'Daily Workforce'!$M41="Y",IFERROR(1*'Daily Workforce'!$P41&gt;=2,FALSE()))))),1,0)</f>
        <v>1</v>
      </c>
      <c r="BA21" s="1" t="n">
        <f aca="false">IF(AND('Daily Workforce'!$N42="Y",'Daily Workforce'!$B42&lt;&gt;"",COUNTIF('Daily Schedule'!$F$5:$F24,'Daily Workforce'!$B42)=0,IF('Daily Schedule'!$A25=45,'Daily Workforce'!$J42="Y",IF(OR('Daily Schedule'!$A25=4,'Daily Schedule'!$A25=8),IF(OR(WEEKDAY('Daily Schedule'!$B$2,2)=1,WEEKDAY('Daily Schedule'!$B$2,2)=4,WEEKDAY('Daily Schedule'!$B$2,2)=5,WEEKDAY('Daily Schedule'!$B$2,2)=7),IFERROR(1*'Daily Workforce'!$K42&gt;=3,FALSE()),IFERROR(1*'Daily Workforce'!$K42&gt;=2,FALSE())),IF(AND('Daily Schedule'!$A25&gt;=46,'Daily Schedule'!$A25&lt;=52),'Daily Workforce'!$M42="Y",IFERROR(1*'Daily Workforce'!$P42&gt;=2,FALSE()))))),1,0)</f>
        <v>1</v>
      </c>
      <c r="BB21" s="1" t="n">
        <f aca="false">IF(AND('Daily Workforce'!$N43="Y",'Daily Workforce'!$B43&lt;&gt;"",COUNTIF('Daily Schedule'!$F$5:$F24,'Daily Workforce'!$B43)=0,IF('Daily Schedule'!$A25=45,'Daily Workforce'!$J43="Y",IF(OR('Daily Schedule'!$A25=4,'Daily Schedule'!$A25=8),IF(OR(WEEKDAY('Daily Schedule'!$B$2,2)=1,WEEKDAY('Daily Schedule'!$B$2,2)=4,WEEKDAY('Daily Schedule'!$B$2,2)=5,WEEKDAY('Daily Schedule'!$B$2,2)=7),IFERROR(1*'Daily Workforce'!$K43&gt;=3,FALSE()),IFERROR(1*'Daily Workforce'!$K43&gt;=2,FALSE())),IF(AND('Daily Schedule'!$A25&gt;=46,'Daily Schedule'!$A25&lt;=52),'Daily Workforce'!$M43="Y",IFERROR(1*'Daily Workforce'!$P43&gt;=2,FALSE()))))),1,0)</f>
        <v>1</v>
      </c>
      <c r="BC21" s="1" t="n">
        <f aca="false">IF(AND('Daily Workforce'!$N44="Y",'Daily Workforce'!$B44&lt;&gt;"",COUNTIF('Daily Schedule'!$F$5:$F24,'Daily Workforce'!$B44)=0,IF('Daily Schedule'!$A25=45,'Daily Workforce'!$J44="Y",IF(OR('Daily Schedule'!$A25=4,'Daily Schedule'!$A25=8),IF(OR(WEEKDAY('Daily Schedule'!$B$2,2)=1,WEEKDAY('Daily Schedule'!$B$2,2)=4,WEEKDAY('Daily Schedule'!$B$2,2)=5,WEEKDAY('Daily Schedule'!$B$2,2)=7),IFERROR(1*'Daily Workforce'!$K44&gt;=3,FALSE()),IFERROR(1*'Daily Workforce'!$K44&gt;=2,FALSE())),IF(AND('Daily Schedule'!$A25&gt;=46,'Daily Schedule'!$A25&lt;=52),'Daily Workforce'!$M44="Y",IFERROR(1*'Daily Workforce'!$P44&gt;=2,FALSE()))))),1,0)</f>
        <v>1</v>
      </c>
      <c r="BD21" s="1" t="n">
        <f aca="false">IF(AND('Daily Workforce'!$N45="Y",'Daily Workforce'!$B45&lt;&gt;"",COUNTIF('Daily Schedule'!$F$5:$F24,'Daily Workforce'!$B45)=0,IF('Daily Schedule'!$A25=45,'Daily Workforce'!$J45="Y",IF(OR('Daily Schedule'!$A25=4,'Daily Schedule'!$A25=8),IF(OR(WEEKDAY('Daily Schedule'!$B$2,2)=1,WEEKDAY('Daily Schedule'!$B$2,2)=4,WEEKDAY('Daily Schedule'!$B$2,2)=5,WEEKDAY('Daily Schedule'!$B$2,2)=7),IFERROR(1*'Daily Workforce'!$K45&gt;=3,FALSE()),IFERROR(1*'Daily Workforce'!$K45&gt;=2,FALSE())),IF(AND('Daily Schedule'!$A25&gt;=46,'Daily Schedule'!$A25&lt;=52),'Daily Workforce'!$M45="Y",IFERROR(1*'Daily Workforce'!$P45&gt;=2,FALSE()))))),1,0)</f>
        <v>1</v>
      </c>
      <c r="BE21" s="1" t="n">
        <f aca="false">IF(AND('Daily Workforce'!$N46="Y",'Daily Workforce'!$B46&lt;&gt;"",COUNTIF('Daily Schedule'!$F$5:$F24,'Daily Workforce'!$B46)=0,IF('Daily Schedule'!$A25=45,'Daily Workforce'!$J46="Y",IF(OR('Daily Schedule'!$A25=4,'Daily Schedule'!$A25=8),IF(OR(WEEKDAY('Daily Schedule'!$B$2,2)=1,WEEKDAY('Daily Schedule'!$B$2,2)=4,WEEKDAY('Daily Schedule'!$B$2,2)=5,WEEKDAY('Daily Schedule'!$B$2,2)=7),IFERROR(1*'Daily Workforce'!$K46&gt;=3,FALSE()),IFERROR(1*'Daily Workforce'!$K46&gt;=2,FALSE())),IF(AND('Daily Schedule'!$A25&gt;=46,'Daily Schedule'!$A25&lt;=52),'Daily Workforce'!$M46="Y",IFERROR(1*'Daily Workforce'!$P46&gt;=2,FALSE()))))),1,0)</f>
        <v>1</v>
      </c>
      <c r="BF21" s="1" t="n">
        <f aca="false">IF(AND('Daily Workforce'!$N47="Y",'Daily Workforce'!$B47&lt;&gt;"",COUNTIF('Daily Schedule'!$F$5:$F24,'Daily Workforce'!$B47)=0,IF('Daily Schedule'!$A25=45,'Daily Workforce'!$J47="Y",IF(OR('Daily Schedule'!$A25=4,'Daily Schedule'!$A25=8),IF(OR(WEEKDAY('Daily Schedule'!$B$2,2)=1,WEEKDAY('Daily Schedule'!$B$2,2)=4,WEEKDAY('Daily Schedule'!$B$2,2)=5,WEEKDAY('Daily Schedule'!$B$2,2)=7),IFERROR(1*'Daily Workforce'!$K47&gt;=3,FALSE()),IFERROR(1*'Daily Workforce'!$K47&gt;=2,FALSE())),IF(AND('Daily Schedule'!$A25&gt;=46,'Daily Schedule'!$A25&lt;=52),'Daily Workforce'!$M47="Y",IFERROR(1*'Daily Workforce'!$P47&gt;=2,FALSE()))))),1,0)</f>
        <v>0</v>
      </c>
      <c r="BG21" s="1" t="n">
        <f aca="false">IF(AND('Daily Workforce'!$N48="Y",'Daily Workforce'!$B48&lt;&gt;"",COUNTIF('Daily Schedule'!$F$5:$F24,'Daily Workforce'!$B48)=0,IF('Daily Schedule'!$A25=45,'Daily Workforce'!$J48="Y",IF(OR('Daily Schedule'!$A25=4,'Daily Schedule'!$A25=8),IF(OR(WEEKDAY('Daily Schedule'!$B$2,2)=1,WEEKDAY('Daily Schedule'!$B$2,2)=4,WEEKDAY('Daily Schedule'!$B$2,2)=5,WEEKDAY('Daily Schedule'!$B$2,2)=7),IFERROR(1*'Daily Workforce'!$K48&gt;=3,FALSE()),IFERROR(1*'Daily Workforce'!$K48&gt;=2,FALSE())),IF(AND('Daily Schedule'!$A25&gt;=46,'Daily Schedule'!$A25&lt;=52),'Daily Workforce'!$M48="Y",IFERROR(1*'Daily Workforce'!$P48&gt;=2,FALSE()))))),1,0)</f>
        <v>1</v>
      </c>
      <c r="BH21" s="1" t="n">
        <f aca="false">IF(AND('Daily Workforce'!$N49="Y",'Daily Workforce'!$B49&lt;&gt;"",COUNTIF('Daily Schedule'!$F$5:$F24,'Daily Workforce'!$B49)=0,IF('Daily Schedule'!$A25=45,'Daily Workforce'!$J49="Y",IF(OR('Daily Schedule'!$A25=4,'Daily Schedule'!$A25=8),IF(OR(WEEKDAY('Daily Schedule'!$B$2,2)=1,WEEKDAY('Daily Schedule'!$B$2,2)=4,WEEKDAY('Daily Schedule'!$B$2,2)=5,WEEKDAY('Daily Schedule'!$B$2,2)=7),IFERROR(1*'Daily Workforce'!$K49&gt;=3,FALSE()),IFERROR(1*'Daily Workforce'!$K49&gt;=2,FALSE())),IF(AND('Daily Schedule'!$A25&gt;=46,'Daily Schedule'!$A25&lt;=52),'Daily Workforce'!$M49="Y",IFERROR(1*'Daily Workforce'!$P49&gt;=2,FALSE()))))),1,0)</f>
        <v>1</v>
      </c>
      <c r="BI21" s="1" t="n">
        <f aca="false">IF(AND('Daily Workforce'!$N50="Y",'Daily Workforce'!$B50&lt;&gt;"",COUNTIF('Daily Schedule'!$F$5:$F24,'Daily Workforce'!$B50)=0,IF('Daily Schedule'!$A25=45,'Daily Workforce'!$J50="Y",IF(OR('Daily Schedule'!$A25=4,'Daily Schedule'!$A25=8),IF(OR(WEEKDAY('Daily Schedule'!$B$2,2)=1,WEEKDAY('Daily Schedule'!$B$2,2)=4,WEEKDAY('Daily Schedule'!$B$2,2)=5,WEEKDAY('Daily Schedule'!$B$2,2)=7),IFERROR(1*'Daily Workforce'!$K50&gt;=3,FALSE()),IFERROR(1*'Daily Workforce'!$K50&gt;=2,FALSE())),IF(AND('Daily Schedule'!$A25&gt;=46,'Daily Schedule'!$A25&lt;=52),'Daily Workforce'!$M50="Y",IFERROR(1*'Daily Workforce'!$P50&gt;=2,FALSE()))))),1,0)</f>
        <v>0</v>
      </c>
      <c r="BJ21" s="1" t="n">
        <f aca="false">IF(AND('Daily Workforce'!$N51="Y",'Daily Workforce'!$B51&lt;&gt;"",COUNTIF('Daily Schedule'!$F$5:$F24,'Daily Workforce'!$B51)=0,IF('Daily Schedule'!$A25=45,'Daily Workforce'!$J51="Y",IF(OR('Daily Schedule'!$A25=4,'Daily Schedule'!$A25=8),IF(OR(WEEKDAY('Daily Schedule'!$B$2,2)=1,WEEKDAY('Daily Schedule'!$B$2,2)=4,WEEKDAY('Daily Schedule'!$B$2,2)=5,WEEKDAY('Daily Schedule'!$B$2,2)=7),IFERROR(1*'Daily Workforce'!$K51&gt;=3,FALSE()),IFERROR(1*'Daily Workforce'!$K51&gt;=2,FALSE())),IF(AND('Daily Schedule'!$A25&gt;=46,'Daily Schedule'!$A25&lt;=52),'Daily Workforce'!$M51="Y",IFERROR(1*'Daily Workforce'!$P51&gt;=2,FALSE()))))),1,0)</f>
        <v>1</v>
      </c>
      <c r="BK21" s="1" t="n">
        <f aca="false">IF(AND('Daily Workforce'!$N52="Y",'Daily Workforce'!$B52&lt;&gt;"",COUNTIF('Daily Schedule'!$F$5:$F24,'Daily Workforce'!$B52)=0,IF('Daily Schedule'!$A25=45,'Daily Workforce'!$J52="Y",IF(OR('Daily Schedule'!$A25=4,'Daily Schedule'!$A25=8),IF(OR(WEEKDAY('Daily Schedule'!$B$2,2)=1,WEEKDAY('Daily Schedule'!$B$2,2)=4,WEEKDAY('Daily Schedule'!$B$2,2)=5,WEEKDAY('Daily Schedule'!$B$2,2)=7),IFERROR(1*'Daily Workforce'!$K52&gt;=3,FALSE()),IFERROR(1*'Daily Workforce'!$K52&gt;=2,FALSE())),IF(AND('Daily Schedule'!$A25&gt;=46,'Daily Schedule'!$A25&lt;=52),'Daily Workforce'!$M52="Y",IFERROR(1*'Daily Workforce'!$P52&gt;=2,FALSE()))))),1,0)</f>
        <v>1</v>
      </c>
      <c r="BL21" s="1" t="n">
        <f aca="false">IF(AND('Daily Workforce'!$N53="Y",'Daily Workforce'!$B53&lt;&gt;"",COUNTIF('Daily Schedule'!$F$5:$F24,'Daily Workforce'!$B53)=0,IF('Daily Schedule'!$A25=45,'Daily Workforce'!$J53="Y",IF(OR('Daily Schedule'!$A25=4,'Daily Schedule'!$A25=8),IF(OR(WEEKDAY('Daily Schedule'!$B$2,2)=1,WEEKDAY('Daily Schedule'!$B$2,2)=4,WEEKDAY('Daily Schedule'!$B$2,2)=5,WEEKDAY('Daily Schedule'!$B$2,2)=7),IFERROR(1*'Daily Workforce'!$K53&gt;=3,FALSE()),IFERROR(1*'Daily Workforce'!$K53&gt;=2,FALSE())),IF(AND('Daily Schedule'!$A25&gt;=46,'Daily Schedule'!$A25&lt;=52),'Daily Workforce'!$M53="Y",IFERROR(1*'Daily Workforce'!$P53&gt;=2,FALSE()))))),1,0)</f>
        <v>1</v>
      </c>
      <c r="BM21" s="1" t="n">
        <f aca="false">IF(AND('Daily Workforce'!$N54="Y",'Daily Workforce'!$B54&lt;&gt;"",COUNTIF('Daily Schedule'!$F$5:$F24,'Daily Workforce'!$B54)=0,IF('Daily Schedule'!$A25=45,'Daily Workforce'!$J54="Y",IF(OR('Daily Schedule'!$A25=4,'Daily Schedule'!$A25=8),IF(OR(WEEKDAY('Daily Schedule'!$B$2,2)=1,WEEKDAY('Daily Schedule'!$B$2,2)=4,WEEKDAY('Daily Schedule'!$B$2,2)=5,WEEKDAY('Daily Schedule'!$B$2,2)=7),IFERROR(1*'Daily Workforce'!$K54&gt;=3,FALSE()),IFERROR(1*'Daily Workforce'!$K54&gt;=2,FALSE())),IF(AND('Daily Schedule'!$A25&gt;=46,'Daily Schedule'!$A25&lt;=52),'Daily Workforce'!$M54="Y",IFERROR(1*'Daily Workforce'!$P54&gt;=2,FALSE()))))),1,0)</f>
        <v>1</v>
      </c>
      <c r="BN21" s="1" t="n">
        <f aca="false">IF(AND('Daily Workforce'!$N55="Y",'Daily Workforce'!$B55&lt;&gt;"",COUNTIF('Daily Schedule'!$F$5:$F24,'Daily Workforce'!$B55)=0,IF('Daily Schedule'!$A25=45,'Daily Workforce'!$J55="Y",IF(OR('Daily Schedule'!$A25=4,'Daily Schedule'!$A25=8),IF(OR(WEEKDAY('Daily Schedule'!$B$2,2)=1,WEEKDAY('Daily Schedule'!$B$2,2)=4,WEEKDAY('Daily Schedule'!$B$2,2)=5,WEEKDAY('Daily Schedule'!$B$2,2)=7),IFERROR(1*'Daily Workforce'!$K55&gt;=3,FALSE()),IFERROR(1*'Daily Workforce'!$K55&gt;=2,FALSE())),IF(AND('Daily Schedule'!$A25&gt;=46,'Daily Schedule'!$A25&lt;=52),'Daily Workforce'!$M55="Y",IFERROR(1*'Daily Workforce'!$P55&gt;=2,FALSE()))))),1,0)</f>
        <v>1</v>
      </c>
      <c r="BO21" s="1" t="n">
        <f aca="false">IF(AND('Daily Workforce'!$N56="Y",'Daily Workforce'!$B56&lt;&gt;"",COUNTIF('Daily Schedule'!$F$5:$F24,'Daily Workforce'!$B56)=0,IF('Daily Schedule'!$A25=45,'Daily Workforce'!$J56="Y",IF(OR('Daily Schedule'!$A25=4,'Daily Schedule'!$A25=8),IF(OR(WEEKDAY('Daily Schedule'!$B$2,2)=1,WEEKDAY('Daily Schedule'!$B$2,2)=4,WEEKDAY('Daily Schedule'!$B$2,2)=5,WEEKDAY('Daily Schedule'!$B$2,2)=7),IFERROR(1*'Daily Workforce'!$K56&gt;=3,FALSE()),IFERROR(1*'Daily Workforce'!$K56&gt;=2,FALSE())),IF(AND('Daily Schedule'!$A25&gt;=46,'Daily Schedule'!$A25&lt;=52),'Daily Workforce'!$M56="Y",IFERROR(1*'Daily Workforce'!$P56&gt;=2,FALSE()))))),1,0)</f>
        <v>1</v>
      </c>
      <c r="BP21" s="1" t="n">
        <f aca="false">IF(AND('Daily Workforce'!$N57="Y",'Daily Workforce'!$B57&lt;&gt;"",COUNTIF('Daily Schedule'!$F$5:$F24,'Daily Workforce'!$B57)=0,IF('Daily Schedule'!$A25=45,'Daily Workforce'!$J57="Y",IF(OR('Daily Schedule'!$A25=4,'Daily Schedule'!$A25=8),IF(OR(WEEKDAY('Daily Schedule'!$B$2,2)=1,WEEKDAY('Daily Schedule'!$B$2,2)=4,WEEKDAY('Daily Schedule'!$B$2,2)=5,WEEKDAY('Daily Schedule'!$B$2,2)=7),IFERROR(1*'Daily Workforce'!$K57&gt;=3,FALSE()),IFERROR(1*'Daily Workforce'!$K57&gt;=2,FALSE())),IF(AND('Daily Schedule'!$A25&gt;=46,'Daily Schedule'!$A25&lt;=52),'Daily Workforce'!$M57="Y",IFERROR(1*'Daily Workforce'!$P57&gt;=2,FALSE()))))),1,0)</f>
        <v>0</v>
      </c>
      <c r="BQ21" s="1" t="n">
        <f aca="false">IF(AND('Daily Workforce'!$N58="Y",'Daily Workforce'!$B58&lt;&gt;"",COUNTIF('Daily Schedule'!$F$5:$F24,'Daily Workforce'!$B58)=0,IF('Daily Schedule'!$A25=45,'Daily Workforce'!$J58="Y",IF(OR('Daily Schedule'!$A25=4,'Daily Schedule'!$A25=8),IF(OR(WEEKDAY('Daily Schedule'!$B$2,2)=1,WEEKDAY('Daily Schedule'!$B$2,2)=4,WEEKDAY('Daily Schedule'!$B$2,2)=5,WEEKDAY('Daily Schedule'!$B$2,2)=7),IFERROR(1*'Daily Workforce'!$K58&gt;=3,FALSE()),IFERROR(1*'Daily Workforce'!$K58&gt;=2,FALSE())),IF(AND('Daily Schedule'!$A25&gt;=46,'Daily Schedule'!$A25&lt;=52),'Daily Workforce'!$M58="Y",IFERROR(1*'Daily Workforce'!$P58&gt;=2,FALSE()))))),1,0)</f>
        <v>1</v>
      </c>
      <c r="BR21" s="1" t="n">
        <f aca="false">IF(AND('Daily Workforce'!$N59="Y",'Daily Workforce'!$B59&lt;&gt;"",COUNTIF('Daily Schedule'!$F$5:$F24,'Daily Workforce'!$B59)=0,IF('Daily Schedule'!$A25=45,'Daily Workforce'!$J59="Y",IF(OR('Daily Schedule'!$A25=4,'Daily Schedule'!$A25=8),IF(OR(WEEKDAY('Daily Schedule'!$B$2,2)=1,WEEKDAY('Daily Schedule'!$B$2,2)=4,WEEKDAY('Daily Schedule'!$B$2,2)=5,WEEKDAY('Daily Schedule'!$B$2,2)=7),IFERROR(1*'Daily Workforce'!$K59&gt;=3,FALSE()),IFERROR(1*'Daily Workforce'!$K59&gt;=2,FALSE())),IF(AND('Daily Schedule'!$A25&gt;=46,'Daily Schedule'!$A25&lt;=52),'Daily Workforce'!$M59="Y",IFERROR(1*'Daily Workforce'!$P59&gt;=2,FALSE()))))),1,0)</f>
        <v>1</v>
      </c>
      <c r="BS21" s="1" t="n">
        <f aca="false">IF(AND('Daily Workforce'!$N60="Y",'Daily Workforce'!$B60&lt;&gt;"",COUNTIF('Daily Schedule'!$F$5:$F24,'Daily Workforce'!$B60)=0,IF('Daily Schedule'!$A25=45,'Daily Workforce'!$J60="Y",IF(OR('Daily Schedule'!$A25=4,'Daily Schedule'!$A25=8),IF(OR(WEEKDAY('Daily Schedule'!$B$2,2)=1,WEEKDAY('Daily Schedule'!$B$2,2)=4,WEEKDAY('Daily Schedule'!$B$2,2)=5,WEEKDAY('Daily Schedule'!$B$2,2)=7),IFERROR(1*'Daily Workforce'!$K60&gt;=3,FALSE()),IFERROR(1*'Daily Workforce'!$K60&gt;=2,FALSE())),IF(AND('Daily Schedule'!$A25&gt;=46,'Daily Schedule'!$A25&lt;=52),'Daily Workforce'!$M60="Y",IFERROR(1*'Daily Workforce'!$P60&gt;=2,FALSE()))))),1,0)</f>
        <v>1</v>
      </c>
      <c r="BT21" s="1" t="n">
        <f aca="false">IF(AND('Daily Workforce'!$N61="Y",'Daily Workforce'!$B61&lt;&gt;"",COUNTIF('Daily Schedule'!$F$5:$F24,'Daily Workforce'!$B61)=0,IF('Daily Schedule'!$A25=45,'Daily Workforce'!$J61="Y",IF(OR('Daily Schedule'!$A25=4,'Daily Schedule'!$A25=8),IF(OR(WEEKDAY('Daily Schedule'!$B$2,2)=1,WEEKDAY('Daily Schedule'!$B$2,2)=4,WEEKDAY('Daily Schedule'!$B$2,2)=5,WEEKDAY('Daily Schedule'!$B$2,2)=7),IFERROR(1*'Daily Workforce'!$K61&gt;=3,FALSE()),IFERROR(1*'Daily Workforce'!$K61&gt;=2,FALSE())),IF(AND('Daily Schedule'!$A25&gt;=46,'Daily Schedule'!$A25&lt;=52),'Daily Workforce'!$M61="Y",IFERROR(1*'Daily Workforce'!$P61&gt;=2,FALSE()))))),1,0)</f>
        <v>0</v>
      </c>
      <c r="BU21" s="1" t="n">
        <f aca="false">IF(AND('Daily Workforce'!$N62="Y",'Daily Workforce'!$B62&lt;&gt;"",COUNTIF('Daily Schedule'!$F$5:$F24,'Daily Workforce'!$B62)=0,IF('Daily Schedule'!$A25=45,'Daily Workforce'!$J62="Y",IF(OR('Daily Schedule'!$A25=4,'Daily Schedule'!$A25=8),IF(OR(WEEKDAY('Daily Schedule'!$B$2,2)=1,WEEKDAY('Daily Schedule'!$B$2,2)=4,WEEKDAY('Daily Schedule'!$B$2,2)=5,WEEKDAY('Daily Schedule'!$B$2,2)=7),IFERROR(1*'Daily Workforce'!$K62&gt;=3,FALSE()),IFERROR(1*'Daily Workforce'!$K62&gt;=2,FALSE())),IF(AND('Daily Schedule'!$A25&gt;=46,'Daily Schedule'!$A25&lt;=52),'Daily Workforce'!$M62="Y",IFERROR(1*'Daily Workforce'!$P62&gt;=2,FALSE()))))),1,0)</f>
        <v>1</v>
      </c>
      <c r="BV21" s="1" t="n">
        <f aca="false">IF(AND('Daily Workforce'!$N63="Y",'Daily Workforce'!$B63&lt;&gt;"",COUNTIF('Daily Schedule'!$F$5:$F24,'Daily Workforce'!$B63)=0,IF('Daily Schedule'!$A25=45,'Daily Workforce'!$J63="Y",IF(OR('Daily Schedule'!$A25=4,'Daily Schedule'!$A25=8),IF(OR(WEEKDAY('Daily Schedule'!$B$2,2)=1,WEEKDAY('Daily Schedule'!$B$2,2)=4,WEEKDAY('Daily Schedule'!$B$2,2)=5,WEEKDAY('Daily Schedule'!$B$2,2)=7),IFERROR(1*'Daily Workforce'!$K63&gt;=3,FALSE()),IFERROR(1*'Daily Workforce'!$K63&gt;=2,FALSE())),IF(AND('Daily Schedule'!$A25&gt;=46,'Daily Schedule'!$A25&lt;=52),'Daily Workforce'!$M63="Y",IFERROR(1*'Daily Workforce'!$P63&gt;=2,FALSE()))))),1,0)</f>
        <v>1</v>
      </c>
      <c r="BW21" s="1" t="n">
        <f aca="false">IF(AND('Daily Workforce'!$N64="Y",'Daily Workforce'!$B64&lt;&gt;"",COUNTIF('Daily Schedule'!$F$5:$F24,'Daily Workforce'!$B64)=0,IF('Daily Schedule'!$A25=45,'Daily Workforce'!$J64="Y",IF(OR('Daily Schedule'!$A25=4,'Daily Schedule'!$A25=8),IF(OR(WEEKDAY('Daily Schedule'!$B$2,2)=1,WEEKDAY('Daily Schedule'!$B$2,2)=4,WEEKDAY('Daily Schedule'!$B$2,2)=5,WEEKDAY('Daily Schedule'!$B$2,2)=7),IFERROR(1*'Daily Workforce'!$K64&gt;=3,FALSE()),IFERROR(1*'Daily Workforce'!$K64&gt;=2,FALSE())),IF(AND('Daily Schedule'!$A25&gt;=46,'Daily Schedule'!$A25&lt;=52),'Daily Workforce'!$M64="Y",IFERROR(1*'Daily Workforce'!$P64&gt;=2,FALSE()))))),1,0)</f>
        <v>1</v>
      </c>
      <c r="BX21" s="1" t="n">
        <f aca="false">IF(AND('Daily Workforce'!$N65="Y",'Daily Workforce'!$B65&lt;&gt;"",COUNTIF('Daily Schedule'!$F$5:$F24,'Daily Workforce'!$B65)=0,IF('Daily Schedule'!$A25=45,'Daily Workforce'!$J65="Y",IF(OR('Daily Schedule'!$A25=4,'Daily Schedule'!$A25=8),IF(OR(WEEKDAY('Daily Schedule'!$B$2,2)=1,WEEKDAY('Daily Schedule'!$B$2,2)=4,WEEKDAY('Daily Schedule'!$B$2,2)=5,WEEKDAY('Daily Schedule'!$B$2,2)=7),IFERROR(1*'Daily Workforce'!$K65&gt;=3,FALSE()),IFERROR(1*'Daily Workforce'!$K65&gt;=2,FALSE())),IF(AND('Daily Schedule'!$A25&gt;=46,'Daily Schedule'!$A25&lt;=52),'Daily Workforce'!$M65="Y",IFERROR(1*'Daily Workforce'!$P65&gt;=2,FALSE()))))),1,0)</f>
        <v>1</v>
      </c>
      <c r="BY21" s="1" t="n">
        <f aca="false">IF(AND('Daily Workforce'!$N66="Y",'Daily Workforce'!$B66&lt;&gt;"",COUNTIF('Daily Schedule'!$F$5:$F24,'Daily Workforce'!$B66)=0,IF('Daily Schedule'!$A25=45,'Daily Workforce'!$J66="Y",IF(OR('Daily Schedule'!$A25=4,'Daily Schedule'!$A25=8),IF(OR(WEEKDAY('Daily Schedule'!$B$2,2)=1,WEEKDAY('Daily Schedule'!$B$2,2)=4,WEEKDAY('Daily Schedule'!$B$2,2)=5,WEEKDAY('Daily Schedule'!$B$2,2)=7),IFERROR(1*'Daily Workforce'!$K66&gt;=3,FALSE()),IFERROR(1*'Daily Workforce'!$K66&gt;=2,FALSE())),IF(AND('Daily Schedule'!$A25&gt;=46,'Daily Schedule'!$A25&lt;=52),'Daily Workforce'!$M66="Y",IFERROR(1*'Daily Workforce'!$P66&gt;=2,FALSE()))))),1,0)</f>
        <v>1</v>
      </c>
      <c r="BZ21" s="1" t="n">
        <f aca="false">IF(AND('Daily Workforce'!$N67="Y",'Daily Workforce'!$B67&lt;&gt;"",COUNTIF('Daily Schedule'!$F$5:$F24,'Daily Workforce'!$B67)=0,IF('Daily Schedule'!$A25=45,'Daily Workforce'!$J67="Y",IF(OR('Daily Schedule'!$A25=4,'Daily Schedule'!$A25=8),IF(OR(WEEKDAY('Daily Schedule'!$B$2,2)=1,WEEKDAY('Daily Schedule'!$B$2,2)=4,WEEKDAY('Daily Schedule'!$B$2,2)=5,WEEKDAY('Daily Schedule'!$B$2,2)=7),IFERROR(1*'Daily Workforce'!$K67&gt;=3,FALSE()),IFERROR(1*'Daily Workforce'!$K67&gt;=2,FALSE())),IF(AND('Daily Schedule'!$A25&gt;=46,'Daily Schedule'!$A25&lt;=52),'Daily Workforce'!$M67="Y",IFERROR(1*'Daily Workforce'!$P67&gt;=2,FALSE()))))),1,0)</f>
        <v>1</v>
      </c>
      <c r="CA21" s="1" t="n">
        <f aca="false">IF(AND('Daily Workforce'!$N68="Y",'Daily Workforce'!$B68&lt;&gt;"",COUNTIF('Daily Schedule'!$F$5:$F24,'Daily Workforce'!$B68)=0,IF('Daily Schedule'!$A25=45,'Daily Workforce'!$J68="Y",IF(OR('Daily Schedule'!$A25=4,'Daily Schedule'!$A25=8),IF(OR(WEEKDAY('Daily Schedule'!$B$2,2)=1,WEEKDAY('Daily Schedule'!$B$2,2)=4,WEEKDAY('Daily Schedule'!$B$2,2)=5,WEEKDAY('Daily Schedule'!$B$2,2)=7),IFERROR(1*'Daily Workforce'!$K68&gt;=3,FALSE()),IFERROR(1*'Daily Workforce'!$K68&gt;=2,FALSE())),IF(AND('Daily Schedule'!$A25&gt;=46,'Daily Schedule'!$A25&lt;=52),'Daily Workforce'!$M68="Y",IFERROR(1*'Daily Workforce'!$P68&gt;=2,FALSE()))))),1,0)</f>
        <v>1</v>
      </c>
      <c r="CB21" s="1" t="n">
        <f aca="false">IF(AND('Daily Workforce'!$N69="Y",'Daily Workforce'!$B69&lt;&gt;"",COUNTIF('Daily Schedule'!$F$5:$F24,'Daily Workforce'!$B69)=0,IF('Daily Schedule'!$A25=45,'Daily Workforce'!$J69="Y",IF(OR('Daily Schedule'!$A25=4,'Daily Schedule'!$A25=8),IF(OR(WEEKDAY('Daily Schedule'!$B$2,2)=1,WEEKDAY('Daily Schedule'!$B$2,2)=4,WEEKDAY('Daily Schedule'!$B$2,2)=5,WEEKDAY('Daily Schedule'!$B$2,2)=7),IFERROR(1*'Daily Workforce'!$K69&gt;=3,FALSE()),IFERROR(1*'Daily Workforce'!$K69&gt;=2,FALSE())),IF(AND('Daily Schedule'!$A25&gt;=46,'Daily Schedule'!$A25&lt;=52),'Daily Workforce'!$M69="Y",IFERROR(1*'Daily Workforce'!$P69&gt;=2,FALSE()))))),1,0)</f>
        <v>1</v>
      </c>
      <c r="CC21" s="1" t="n">
        <f aca="false">IF(AND('Daily Workforce'!$N70="Y",'Daily Workforce'!$B70&lt;&gt;"",COUNTIF('Daily Schedule'!$F$5:$F24,'Daily Workforce'!$B70)=0,IF('Daily Schedule'!$A25=45,'Daily Workforce'!$J70="Y",IF(OR('Daily Schedule'!$A25=4,'Daily Schedule'!$A25=8),IF(OR(WEEKDAY('Daily Schedule'!$B$2,2)=1,WEEKDAY('Daily Schedule'!$B$2,2)=4,WEEKDAY('Daily Schedule'!$B$2,2)=5,WEEKDAY('Daily Schedule'!$B$2,2)=7),IFERROR(1*'Daily Workforce'!$K70&gt;=3,FALSE()),IFERROR(1*'Daily Workforce'!$K70&gt;=2,FALSE())),IF(AND('Daily Schedule'!$A25&gt;=46,'Daily Schedule'!$A25&lt;=52),'Daily Workforce'!$M70="Y",IFERROR(1*'Daily Workforce'!$P70&gt;=2,FALSE()))))),1,0)</f>
        <v>1</v>
      </c>
      <c r="CD21" s="1" t="n">
        <f aca="false">IF(AND('Daily Workforce'!$N71="Y",'Daily Workforce'!$B71&lt;&gt;"",COUNTIF('Daily Schedule'!$F$5:$F24,'Daily Workforce'!$B71)=0,IF('Daily Schedule'!$A25=45,'Daily Workforce'!$J71="Y",IF(OR('Daily Schedule'!$A25=4,'Daily Schedule'!$A25=8),IF(OR(WEEKDAY('Daily Schedule'!$B$2,2)=1,WEEKDAY('Daily Schedule'!$B$2,2)=4,WEEKDAY('Daily Schedule'!$B$2,2)=5,WEEKDAY('Daily Schedule'!$B$2,2)=7),IFERROR(1*'Daily Workforce'!$K71&gt;=3,FALSE()),IFERROR(1*'Daily Workforce'!$K71&gt;=2,FALSE())),IF(AND('Daily Schedule'!$A25&gt;=46,'Daily Schedule'!$A25&lt;=52),'Daily Workforce'!$M71="Y",IFERROR(1*'Daily Workforce'!$P71&gt;=2,FALSE()))))),1,0)</f>
        <v>1</v>
      </c>
      <c r="CE21" s="1" t="n">
        <f aca="false">IF(AND('Daily Workforce'!$N72="Y",'Daily Workforce'!$B72&lt;&gt;"",COUNTIF('Daily Schedule'!$F$5:$F24,'Daily Workforce'!$B72)=0,IF('Daily Schedule'!$A25=45,'Daily Workforce'!$J72="Y",IF(OR('Daily Schedule'!$A25=4,'Daily Schedule'!$A25=8),IF(OR(WEEKDAY('Daily Schedule'!$B$2,2)=1,WEEKDAY('Daily Schedule'!$B$2,2)=4,WEEKDAY('Daily Schedule'!$B$2,2)=5,WEEKDAY('Daily Schedule'!$B$2,2)=7),IFERROR(1*'Daily Workforce'!$K72&gt;=3,FALSE()),IFERROR(1*'Daily Workforce'!$K72&gt;=2,FALSE())),IF(AND('Daily Schedule'!$A25&gt;=46,'Daily Schedule'!$A25&lt;=52),'Daily Workforce'!$M72="Y",IFERROR(1*'Daily Workforce'!$P72&gt;=2,FALSE()))))),1,0)</f>
        <v>1</v>
      </c>
      <c r="CF21" s="1" t="n">
        <f aca="false">IF(AND('Daily Workforce'!$N73="Y",'Daily Workforce'!$B73&lt;&gt;"",COUNTIF('Daily Schedule'!$F$5:$F24,'Daily Workforce'!$B73)=0,IF('Daily Schedule'!$A25=45,'Daily Workforce'!$J73="Y",IF(OR('Daily Schedule'!$A25=4,'Daily Schedule'!$A25=8),IF(OR(WEEKDAY('Daily Schedule'!$B$2,2)=1,WEEKDAY('Daily Schedule'!$B$2,2)=4,WEEKDAY('Daily Schedule'!$B$2,2)=5,WEEKDAY('Daily Schedule'!$B$2,2)=7),IFERROR(1*'Daily Workforce'!$K73&gt;=3,FALSE()),IFERROR(1*'Daily Workforce'!$K73&gt;=2,FALSE())),IF(AND('Daily Schedule'!$A25&gt;=46,'Daily Schedule'!$A25&lt;=52),'Daily Workforce'!$M73="Y",IFERROR(1*'Daily Workforce'!$P73&gt;=2,FALSE()))))),1,0)</f>
        <v>1</v>
      </c>
      <c r="CG21" s="1" t="n">
        <f aca="false">IF(AND('Daily Workforce'!$N74="Y",'Daily Workforce'!$B74&lt;&gt;"",COUNTIF('Daily Schedule'!$F$5:$F24,'Daily Workforce'!$B74)=0,IF('Daily Schedule'!$A25=45,'Daily Workforce'!$J74="Y",IF(OR('Daily Schedule'!$A25=4,'Daily Schedule'!$A25=8),IF(OR(WEEKDAY('Daily Schedule'!$B$2,2)=1,WEEKDAY('Daily Schedule'!$B$2,2)=4,WEEKDAY('Daily Schedule'!$B$2,2)=5,WEEKDAY('Daily Schedule'!$B$2,2)=7),IFERROR(1*'Daily Workforce'!$K74&gt;=3,FALSE()),IFERROR(1*'Daily Workforce'!$K74&gt;=2,FALSE())),IF(AND('Daily Schedule'!$A25&gt;=46,'Daily Schedule'!$A25&lt;=52),'Daily Workforce'!$M74="Y",IFERROR(1*'Daily Workforce'!$P74&gt;=2,FALSE()))))),1,0)</f>
        <v>1</v>
      </c>
      <c r="CH21" s="1" t="n">
        <f aca="false">IF(AND('Daily Workforce'!$N75="Y",'Daily Workforce'!$B75&lt;&gt;"",COUNTIF('Daily Schedule'!$F$5:$F24,'Daily Workforce'!$B75)=0,IF('Daily Schedule'!$A25=45,'Daily Workforce'!$J75="Y",IF(OR('Daily Schedule'!$A25=4,'Daily Schedule'!$A25=8),IF(OR(WEEKDAY('Daily Schedule'!$B$2,2)=1,WEEKDAY('Daily Schedule'!$B$2,2)=4,WEEKDAY('Daily Schedule'!$B$2,2)=5,WEEKDAY('Daily Schedule'!$B$2,2)=7),IFERROR(1*'Daily Workforce'!$K75&gt;=3,FALSE()),IFERROR(1*'Daily Workforce'!$K75&gt;=2,FALSE())),IF(AND('Daily Schedule'!$A25&gt;=46,'Daily Schedule'!$A25&lt;=52),'Daily Workforce'!$M75="Y",IFERROR(1*'Daily Workforce'!$P75&gt;=2,FALSE()))))),1,0)</f>
        <v>1</v>
      </c>
      <c r="CI21" s="1" t="n">
        <f aca="false">IF(AND('Daily Workforce'!$N76="Y",'Daily Workforce'!$B76&lt;&gt;"",COUNTIF('Daily Schedule'!$F$5:$F24,'Daily Workforce'!$B76)=0,IF('Daily Schedule'!$A25=45,'Daily Workforce'!$J76="Y",IF(OR('Daily Schedule'!$A25=4,'Daily Schedule'!$A25=8),IF(OR(WEEKDAY('Daily Schedule'!$B$2,2)=1,WEEKDAY('Daily Schedule'!$B$2,2)=4,WEEKDAY('Daily Schedule'!$B$2,2)=5,WEEKDAY('Daily Schedule'!$B$2,2)=7),IFERROR(1*'Daily Workforce'!$K76&gt;=3,FALSE()),IFERROR(1*'Daily Workforce'!$K76&gt;=2,FALSE())),IF(AND('Daily Schedule'!$A25&gt;=46,'Daily Schedule'!$A25&lt;=52),'Daily Workforce'!$M76="Y",IFERROR(1*'Daily Workforce'!$P76&gt;=2,FALSE()))))),1,0)</f>
        <v>1</v>
      </c>
      <c r="CJ21" s="1" t="n">
        <f aca="false">IF(AND('Daily Workforce'!$N77="Y",'Daily Workforce'!$B77&lt;&gt;"",COUNTIF('Daily Schedule'!$F$5:$F24,'Daily Workforce'!$B77)=0,IF('Daily Schedule'!$A25=45,'Daily Workforce'!$J77="Y",IF(OR('Daily Schedule'!$A25=4,'Daily Schedule'!$A25=8),IF(OR(WEEKDAY('Daily Schedule'!$B$2,2)=1,WEEKDAY('Daily Schedule'!$B$2,2)=4,WEEKDAY('Daily Schedule'!$B$2,2)=5,WEEKDAY('Daily Schedule'!$B$2,2)=7),IFERROR(1*'Daily Workforce'!$K77&gt;=3,FALSE()),IFERROR(1*'Daily Workforce'!$K77&gt;=2,FALSE())),IF(AND('Daily Schedule'!$A25&gt;=46,'Daily Schedule'!$A25&lt;=52),'Daily Workforce'!$M77="Y",IFERROR(1*'Daily Workforce'!$P77&gt;=2,FALSE()))))),1,0)</f>
        <v>1</v>
      </c>
      <c r="CK21" s="1" t="n">
        <f aca="false">IF(AND('Daily Workforce'!$N78="Y",'Daily Workforce'!$B78&lt;&gt;"",COUNTIF('Daily Schedule'!$F$5:$F24,'Daily Workforce'!$B78)=0,IF('Daily Schedule'!$A25=45,'Daily Workforce'!$J78="Y",IF(OR('Daily Schedule'!$A25=4,'Daily Schedule'!$A25=8),IF(OR(WEEKDAY('Daily Schedule'!$B$2,2)=1,WEEKDAY('Daily Schedule'!$B$2,2)=4,WEEKDAY('Daily Schedule'!$B$2,2)=5,WEEKDAY('Daily Schedule'!$B$2,2)=7),IFERROR(1*'Daily Workforce'!$K78&gt;=3,FALSE()),IFERROR(1*'Daily Workforce'!$K78&gt;=2,FALSE())),IF(AND('Daily Schedule'!$A25&gt;=46,'Daily Schedule'!$A25&lt;=52),'Daily Workforce'!$M78="Y",IFERROR(1*'Daily Workforce'!$P78&gt;=2,FALSE()))))),1,0)</f>
        <v>1</v>
      </c>
      <c r="CL21" s="1" t="n">
        <f aca="false">IF(AND('Daily Workforce'!$N79="Y",'Daily Workforce'!$B79&lt;&gt;"",COUNTIF('Daily Schedule'!$F$5:$F24,'Daily Workforce'!$B79)=0,IF('Daily Schedule'!$A25=45,'Daily Workforce'!$J79="Y",IF(OR('Daily Schedule'!$A25=4,'Daily Schedule'!$A25=8),IF(OR(WEEKDAY('Daily Schedule'!$B$2,2)=1,WEEKDAY('Daily Schedule'!$B$2,2)=4,WEEKDAY('Daily Schedule'!$B$2,2)=5,WEEKDAY('Daily Schedule'!$B$2,2)=7),IFERROR(1*'Daily Workforce'!$K79&gt;=3,FALSE()),IFERROR(1*'Daily Workforce'!$K79&gt;=2,FALSE())),IF(AND('Daily Schedule'!$A25&gt;=46,'Daily Schedule'!$A25&lt;=52),'Daily Workforce'!$M79="Y",IFERROR(1*'Daily Workforce'!$P79&gt;=2,FALSE()))))),1,0)</f>
        <v>1</v>
      </c>
      <c r="CM21" s="1" t="n">
        <f aca="false">IF(AND('Daily Workforce'!$N80="Y",'Daily Workforce'!$B80&lt;&gt;"",COUNTIF('Daily Schedule'!$F$5:$F24,'Daily Workforce'!$B80)=0,IF('Daily Schedule'!$A25=45,'Daily Workforce'!$J80="Y",IF(OR('Daily Schedule'!$A25=4,'Daily Schedule'!$A25=8),IF(OR(WEEKDAY('Daily Schedule'!$B$2,2)=1,WEEKDAY('Daily Schedule'!$B$2,2)=4,WEEKDAY('Daily Schedule'!$B$2,2)=5,WEEKDAY('Daily Schedule'!$B$2,2)=7),IFERROR(1*'Daily Workforce'!$K80&gt;=3,FALSE()),IFERROR(1*'Daily Workforce'!$K80&gt;=2,FALSE())),IF(AND('Daily Schedule'!$A25&gt;=46,'Daily Schedule'!$A25&lt;=52),'Daily Workforce'!$M80="Y",IFERROR(1*'Daily Workforce'!$P80&gt;=2,FALSE()))))),1,0)</f>
        <v>1</v>
      </c>
      <c r="CN21" s="1" t="n">
        <f aca="false">IF(AND('Daily Workforce'!$N81="Y",'Daily Workforce'!$B81&lt;&gt;"",COUNTIF('Daily Schedule'!$F$5:$F24,'Daily Workforce'!$B81)=0,IF('Daily Schedule'!$A25=45,'Daily Workforce'!$J81="Y",IF(OR('Daily Schedule'!$A25=4,'Daily Schedule'!$A25=8),IF(OR(WEEKDAY('Daily Schedule'!$B$2,2)=1,WEEKDAY('Daily Schedule'!$B$2,2)=4,WEEKDAY('Daily Schedule'!$B$2,2)=5,WEEKDAY('Daily Schedule'!$B$2,2)=7),IFERROR(1*'Daily Workforce'!$K81&gt;=3,FALSE()),IFERROR(1*'Daily Workforce'!$K81&gt;=2,FALSE())),IF(AND('Daily Schedule'!$A25&gt;=46,'Daily Schedule'!$A25&lt;=52),'Daily Workforce'!$M81="Y",IFERROR(1*'Daily Workforce'!$P81&gt;=2,FALSE()))))),1,0)</f>
        <v>1</v>
      </c>
      <c r="CO21" s="1" t="n">
        <f aca="false">IF(AND('Daily Workforce'!$N82="Y",'Daily Workforce'!$B82&lt;&gt;"",COUNTIF('Daily Schedule'!$F$5:$F24,'Daily Workforce'!$B82)=0,IF('Daily Schedule'!$A25=45,'Daily Workforce'!$J82="Y",IF(OR('Daily Schedule'!$A25=4,'Daily Schedule'!$A25=8),IF(OR(WEEKDAY('Daily Schedule'!$B$2,2)=1,WEEKDAY('Daily Schedule'!$B$2,2)=4,WEEKDAY('Daily Schedule'!$B$2,2)=5,WEEKDAY('Daily Schedule'!$B$2,2)=7),IFERROR(1*'Daily Workforce'!$K82&gt;=3,FALSE()),IFERROR(1*'Daily Workforce'!$K82&gt;=2,FALSE())),IF(AND('Daily Schedule'!$A25&gt;=46,'Daily Schedule'!$A25&lt;=52),'Daily Workforce'!$M82="Y",IFERROR(1*'Daily Workforce'!$P82&gt;=2,FALSE()))))),1,0)</f>
        <v>1</v>
      </c>
      <c r="CP21" s="1" t="n">
        <f aca="false">IF(AND('Daily Workforce'!$N83="Y",'Daily Workforce'!$B83&lt;&gt;"",COUNTIF('Daily Schedule'!$F$5:$F24,'Daily Workforce'!$B83)=0,IF('Daily Schedule'!$A25=45,'Daily Workforce'!$J83="Y",IF(OR('Daily Schedule'!$A25=4,'Daily Schedule'!$A25=8),IF(OR(WEEKDAY('Daily Schedule'!$B$2,2)=1,WEEKDAY('Daily Schedule'!$B$2,2)=4,WEEKDAY('Daily Schedule'!$B$2,2)=5,WEEKDAY('Daily Schedule'!$B$2,2)=7),IFERROR(1*'Daily Workforce'!$K83&gt;=3,FALSE()),IFERROR(1*'Daily Workforce'!$K83&gt;=2,FALSE())),IF(AND('Daily Schedule'!$A25&gt;=46,'Daily Schedule'!$A25&lt;=52),'Daily Workforce'!$M83="Y",IFERROR(1*'Daily Workforce'!$P83&gt;=2,FALSE()))))),1,0)</f>
        <v>0</v>
      </c>
      <c r="CQ21" s="1" t="n">
        <f aca="false">IF(AND('Daily Workforce'!$N84="Y",'Daily Workforce'!$B84&lt;&gt;"",COUNTIF('Daily Schedule'!$F$5:$F24,'Daily Workforce'!$B84)=0,IF('Daily Schedule'!$A25=45,'Daily Workforce'!$J84="Y",IF(OR('Daily Schedule'!$A25=4,'Daily Schedule'!$A25=8),IF(OR(WEEKDAY('Daily Schedule'!$B$2,2)=1,WEEKDAY('Daily Schedule'!$B$2,2)=4,WEEKDAY('Daily Schedule'!$B$2,2)=5,WEEKDAY('Daily Schedule'!$B$2,2)=7),IFERROR(1*'Daily Workforce'!$K84&gt;=3,FALSE()),IFERROR(1*'Daily Workforce'!$K84&gt;=2,FALSE())),IF(AND('Daily Schedule'!$A25&gt;=46,'Daily Schedule'!$A25&lt;=52),'Daily Workforce'!$M84="Y",IFERROR(1*'Daily Workforce'!$P84&gt;=2,FALSE()))))),1,0)</f>
        <v>1</v>
      </c>
      <c r="CR21" s="1" t="n">
        <f aca="false">IF(AND('Daily Workforce'!$N85="Y",'Daily Workforce'!$B85&lt;&gt;"",COUNTIF('Daily Schedule'!$F$5:$F24,'Daily Workforce'!$B85)=0,IF('Daily Schedule'!$A25=45,'Daily Workforce'!$J85="Y",IF(OR('Daily Schedule'!$A25=4,'Daily Schedule'!$A25=8),IF(OR(WEEKDAY('Daily Schedule'!$B$2,2)=1,WEEKDAY('Daily Schedule'!$B$2,2)=4,WEEKDAY('Daily Schedule'!$B$2,2)=5,WEEKDAY('Daily Schedule'!$B$2,2)=7),IFERROR(1*'Daily Workforce'!$K85&gt;=3,FALSE()),IFERROR(1*'Daily Workforce'!$K85&gt;=2,FALSE())),IF(AND('Daily Schedule'!$A25&gt;=46,'Daily Schedule'!$A25&lt;=52),'Daily Workforce'!$M85="Y",IFERROR(1*'Daily Workforce'!$P85&gt;=2,FALSE()))))),1,0)</f>
        <v>0</v>
      </c>
      <c r="CS21" s="1" t="n">
        <f aca="false">IF(AND('Daily Workforce'!$N86="Y",'Daily Workforce'!$B86&lt;&gt;"",COUNTIF('Daily Schedule'!$F$5:$F24,'Daily Workforce'!$B86)=0,IF('Daily Schedule'!$A25=45,'Daily Workforce'!$J86="Y",IF(OR('Daily Schedule'!$A25=4,'Daily Schedule'!$A25=8),IF(OR(WEEKDAY('Daily Schedule'!$B$2,2)=1,WEEKDAY('Daily Schedule'!$B$2,2)=4,WEEKDAY('Daily Schedule'!$B$2,2)=5,WEEKDAY('Daily Schedule'!$B$2,2)=7),IFERROR(1*'Daily Workforce'!$K86&gt;=3,FALSE()),IFERROR(1*'Daily Workforce'!$K86&gt;=2,FALSE())),IF(AND('Daily Schedule'!$A25&gt;=46,'Daily Schedule'!$A25&lt;=52),'Daily Workforce'!$M86="Y",IFERROR(1*'Daily Workforce'!$P86&gt;=2,FALSE()))))),1,0)</f>
        <v>1</v>
      </c>
      <c r="CT21" s="1" t="n">
        <f aca="false">IF(AND('Daily Workforce'!$N87="Y",'Daily Workforce'!$B87&lt;&gt;"",COUNTIF('Daily Schedule'!$F$5:$F24,'Daily Workforce'!$B87)=0,IF('Daily Schedule'!$A25=45,'Daily Workforce'!$J87="Y",IF(OR('Daily Schedule'!$A25=4,'Daily Schedule'!$A25=8),IF(OR(WEEKDAY('Daily Schedule'!$B$2,2)=1,WEEKDAY('Daily Schedule'!$B$2,2)=4,WEEKDAY('Daily Schedule'!$B$2,2)=5,WEEKDAY('Daily Schedule'!$B$2,2)=7),IFERROR(1*'Daily Workforce'!$K87&gt;=3,FALSE()),IFERROR(1*'Daily Workforce'!$K87&gt;=2,FALSE())),IF(AND('Daily Schedule'!$A25&gt;=46,'Daily Schedule'!$A25&lt;=52),'Daily Workforce'!$M87="Y",IFERROR(1*'Daily Workforce'!$P87&gt;=2,FALSE()))))),1,0)</f>
        <v>1</v>
      </c>
      <c r="CU21" s="1" t="n">
        <f aca="false">IF(AND('Daily Workforce'!$N88="Y",'Daily Workforce'!$B88&lt;&gt;"",COUNTIF('Daily Schedule'!$F$5:$F24,'Daily Workforce'!$B88)=0,IF('Daily Schedule'!$A25=45,'Daily Workforce'!$J88="Y",IF(OR('Daily Schedule'!$A25=4,'Daily Schedule'!$A25=8),IF(OR(WEEKDAY('Daily Schedule'!$B$2,2)=1,WEEKDAY('Daily Schedule'!$B$2,2)=4,WEEKDAY('Daily Schedule'!$B$2,2)=5,WEEKDAY('Daily Schedule'!$B$2,2)=7),IFERROR(1*'Daily Workforce'!$K88&gt;=3,FALSE()),IFERROR(1*'Daily Workforce'!$K88&gt;=2,FALSE())),IF(AND('Daily Schedule'!$A25&gt;=46,'Daily Schedule'!$A25&lt;=52),'Daily Workforce'!$M88="Y",IFERROR(1*'Daily Workforce'!$P88&gt;=2,FALSE()))))),1,0)</f>
        <v>1</v>
      </c>
      <c r="CV21" s="1" t="n">
        <f aca="false">IF(AND('Daily Workforce'!$N89="Y",'Daily Workforce'!$B89&lt;&gt;"",COUNTIF('Daily Schedule'!$F$5:$F24,'Daily Workforce'!$B89)=0,IF('Daily Schedule'!$A25=45,'Daily Workforce'!$J89="Y",IF(OR('Daily Schedule'!$A25=4,'Daily Schedule'!$A25=8),IF(OR(WEEKDAY('Daily Schedule'!$B$2,2)=1,WEEKDAY('Daily Schedule'!$B$2,2)=4,WEEKDAY('Daily Schedule'!$B$2,2)=5,WEEKDAY('Daily Schedule'!$B$2,2)=7),IFERROR(1*'Daily Workforce'!$K89&gt;=3,FALSE()),IFERROR(1*'Daily Workforce'!$K89&gt;=2,FALSE())),IF(AND('Daily Schedule'!$A25&gt;=46,'Daily Schedule'!$A25&lt;=52),'Daily Workforce'!$M89="Y",IFERROR(1*'Daily Workforce'!$P89&gt;=2,FALSE()))))),1,0)</f>
        <v>1</v>
      </c>
      <c r="CW21" s="1" t="n">
        <f aca="false">IF(AND('Daily Workforce'!$N90="Y",'Daily Workforce'!$B90&lt;&gt;"",COUNTIF('Daily Schedule'!$F$5:$F24,'Daily Workforce'!$B90)=0,IF('Daily Schedule'!$A25=45,'Daily Workforce'!$J90="Y",IF(OR('Daily Schedule'!$A25=4,'Daily Schedule'!$A25=8),IF(OR(WEEKDAY('Daily Schedule'!$B$2,2)=1,WEEKDAY('Daily Schedule'!$B$2,2)=4,WEEKDAY('Daily Schedule'!$B$2,2)=5,WEEKDAY('Daily Schedule'!$B$2,2)=7),IFERROR(1*'Daily Workforce'!$K90&gt;=3,FALSE()),IFERROR(1*'Daily Workforce'!$K90&gt;=2,FALSE())),IF(AND('Daily Schedule'!$A25&gt;=46,'Daily Schedule'!$A25&lt;=52),'Daily Workforce'!$M90="Y",IFERROR(1*'Daily Workforce'!$P90&gt;=2,FALSE()))))),1,0)</f>
        <v>1</v>
      </c>
      <c r="CX21" s="1" t="n">
        <f aca="false">IF(AND('Daily Workforce'!$N91="Y",'Daily Workforce'!$B91&lt;&gt;"",COUNTIF('Daily Schedule'!$F$5:$F24,'Daily Workforce'!$B91)=0,IF('Daily Schedule'!$A25=45,'Daily Workforce'!$J91="Y",IF(OR('Daily Schedule'!$A25=4,'Daily Schedule'!$A25=8),IF(OR(WEEKDAY('Daily Schedule'!$B$2,2)=1,WEEKDAY('Daily Schedule'!$B$2,2)=4,WEEKDAY('Daily Schedule'!$B$2,2)=5,WEEKDAY('Daily Schedule'!$B$2,2)=7),IFERROR(1*'Daily Workforce'!$K91&gt;=3,FALSE()),IFERROR(1*'Daily Workforce'!$K91&gt;=2,FALSE())),IF(AND('Daily Schedule'!$A25&gt;=46,'Daily Schedule'!$A25&lt;=52),'Daily Workforce'!$M91="Y",IFERROR(1*'Daily Workforce'!$P91&gt;=2,FALSE()))))),1,0)</f>
        <v>1</v>
      </c>
      <c r="CY21" s="1" t="n">
        <f aca="false">IF(AND('Daily Workforce'!$N92="Y",'Daily Workforce'!$B92&lt;&gt;"",COUNTIF('Daily Schedule'!$F$5:$F24,'Daily Workforce'!$B92)=0,IF('Daily Schedule'!$A25=45,'Daily Workforce'!$J92="Y",IF(OR('Daily Schedule'!$A25=4,'Daily Schedule'!$A25=8),IF(OR(WEEKDAY('Daily Schedule'!$B$2,2)=1,WEEKDAY('Daily Schedule'!$B$2,2)=4,WEEKDAY('Daily Schedule'!$B$2,2)=5,WEEKDAY('Daily Schedule'!$B$2,2)=7),IFERROR(1*'Daily Workforce'!$K92&gt;=3,FALSE()),IFERROR(1*'Daily Workforce'!$K92&gt;=2,FALSE())),IF(AND('Daily Schedule'!$A25&gt;=46,'Daily Schedule'!$A25&lt;=52),'Daily Workforce'!$M92="Y",IFERROR(1*'Daily Workforce'!$P92&gt;=2,FALSE()))))),1,0)</f>
        <v>1</v>
      </c>
      <c r="CZ21" s="1" t="n">
        <f aca="false">IF(AND('Daily Workforce'!$N93="Y",'Daily Workforce'!$B93&lt;&gt;"",COUNTIF('Daily Schedule'!$F$5:$F24,'Daily Workforce'!$B93)=0,IF('Daily Schedule'!$A25=45,'Daily Workforce'!$J93="Y",IF(OR('Daily Schedule'!$A25=4,'Daily Schedule'!$A25=8),IF(OR(WEEKDAY('Daily Schedule'!$B$2,2)=1,WEEKDAY('Daily Schedule'!$B$2,2)=4,WEEKDAY('Daily Schedule'!$B$2,2)=5,WEEKDAY('Daily Schedule'!$B$2,2)=7),IFERROR(1*'Daily Workforce'!$K93&gt;=3,FALSE()),IFERROR(1*'Daily Workforce'!$K93&gt;=2,FALSE())),IF(AND('Daily Schedule'!$A25&gt;=46,'Daily Schedule'!$A25&lt;=52),'Daily Workforce'!$M93="Y",IFERROR(1*'Daily Workforce'!$P93&gt;=2,FALSE()))))),1,0)</f>
        <v>1</v>
      </c>
      <c r="DA21" s="1" t="n">
        <f aca="false">IF(AND('Daily Workforce'!$N94="Y",'Daily Workforce'!$B94&lt;&gt;"",COUNTIF('Daily Schedule'!$F$5:$F24,'Daily Workforce'!$B94)=0,IF('Daily Schedule'!$A25=45,'Daily Workforce'!$J94="Y",IF(OR('Daily Schedule'!$A25=4,'Daily Schedule'!$A25=8),IF(OR(WEEKDAY('Daily Schedule'!$B$2,2)=1,WEEKDAY('Daily Schedule'!$B$2,2)=4,WEEKDAY('Daily Schedule'!$B$2,2)=5,WEEKDAY('Daily Schedule'!$B$2,2)=7),IFERROR(1*'Daily Workforce'!$K94&gt;=3,FALSE()),IFERROR(1*'Daily Workforce'!$K94&gt;=2,FALSE())),IF(AND('Daily Schedule'!$A25&gt;=46,'Daily Schedule'!$A25&lt;=52),'Daily Workforce'!$M94="Y",IFERROR(1*'Daily Workforce'!$P94&gt;=2,FALSE()))))),1,0)</f>
        <v>1</v>
      </c>
      <c r="DB21" s="1" t="n">
        <f aca="false">IF(AND('Daily Workforce'!$N95="Y",'Daily Workforce'!$B95&lt;&gt;"",COUNTIF('Daily Schedule'!$F$5:$F24,'Daily Workforce'!$B95)=0,IF('Daily Schedule'!$A25=45,'Daily Workforce'!$J95="Y",IF(OR('Daily Schedule'!$A25=4,'Daily Schedule'!$A25=8),IF(OR(WEEKDAY('Daily Schedule'!$B$2,2)=1,WEEKDAY('Daily Schedule'!$B$2,2)=4,WEEKDAY('Daily Schedule'!$B$2,2)=5,WEEKDAY('Daily Schedule'!$B$2,2)=7),IFERROR(1*'Daily Workforce'!$K95&gt;=3,FALSE()),IFERROR(1*'Daily Workforce'!$K95&gt;=2,FALSE())),IF(AND('Daily Schedule'!$A25&gt;=46,'Daily Schedule'!$A25&lt;=52),'Daily Workforce'!$M95="Y",IFERROR(1*'Daily Workforce'!$P95&gt;=2,FALSE()))))),1,0)</f>
        <v>1</v>
      </c>
      <c r="DC21" s="1" t="n">
        <f aca="false">IF(AND('Daily Workforce'!$N96="Y",'Daily Workforce'!$B96&lt;&gt;"",COUNTIF('Daily Schedule'!$F$5:$F24,'Daily Workforce'!$B96)=0,IF('Daily Schedule'!$A25=45,'Daily Workforce'!$J96="Y",IF(OR('Daily Schedule'!$A25=4,'Daily Schedule'!$A25=8),IF(OR(WEEKDAY('Daily Schedule'!$B$2,2)=1,WEEKDAY('Daily Schedule'!$B$2,2)=4,WEEKDAY('Daily Schedule'!$B$2,2)=5,WEEKDAY('Daily Schedule'!$B$2,2)=7),IFERROR(1*'Daily Workforce'!$K96&gt;=3,FALSE()),IFERROR(1*'Daily Workforce'!$K96&gt;=2,FALSE())),IF(AND('Daily Schedule'!$A25&gt;=46,'Daily Schedule'!$A25&lt;=52),'Daily Workforce'!$M96="Y",IFERROR(1*'Daily Workforce'!$P96&gt;=2,FALSE()))))),1,0)</f>
        <v>1</v>
      </c>
      <c r="DD21" s="1" t="n">
        <f aca="false">IF(AND('Daily Workforce'!$N97="Y",'Daily Workforce'!$B97&lt;&gt;"",COUNTIF('Daily Schedule'!$F$5:$F24,'Daily Workforce'!$B97)=0,IF('Daily Schedule'!$A25=45,'Daily Workforce'!$J97="Y",IF(OR('Daily Schedule'!$A25=4,'Daily Schedule'!$A25=8),IF(OR(WEEKDAY('Daily Schedule'!$B$2,2)=1,WEEKDAY('Daily Schedule'!$B$2,2)=4,WEEKDAY('Daily Schedule'!$B$2,2)=5,WEEKDAY('Daily Schedule'!$B$2,2)=7),IFERROR(1*'Daily Workforce'!$K97&gt;=3,FALSE()),IFERROR(1*'Daily Workforce'!$K97&gt;=2,FALSE())),IF(AND('Daily Schedule'!$A25&gt;=46,'Daily Schedule'!$A25&lt;=52),'Daily Workforce'!$M97="Y",IFERROR(1*'Daily Workforce'!$P97&gt;=2,FALSE()))))),1,0)</f>
        <v>1</v>
      </c>
      <c r="DE21" s="1" t="n">
        <f aca="false">IF(AND('Daily Workforce'!$N98="Y",'Daily Workforce'!$B98&lt;&gt;"",COUNTIF('Daily Schedule'!$F$5:$F24,'Daily Workforce'!$B98)=0,IF('Daily Schedule'!$A25=45,'Daily Workforce'!$J98="Y",IF(OR('Daily Schedule'!$A25=4,'Daily Schedule'!$A25=8),IF(OR(WEEKDAY('Daily Schedule'!$B$2,2)=1,WEEKDAY('Daily Schedule'!$B$2,2)=4,WEEKDAY('Daily Schedule'!$B$2,2)=5,WEEKDAY('Daily Schedule'!$B$2,2)=7),IFERROR(1*'Daily Workforce'!$K98&gt;=3,FALSE()),IFERROR(1*'Daily Workforce'!$K98&gt;=2,FALSE())),IF(AND('Daily Schedule'!$A25&gt;=46,'Daily Schedule'!$A25&lt;=52),'Daily Workforce'!$M98="Y",IFERROR(1*'Daily Workforce'!$P98&gt;=2,FALSE()))))),1,0)</f>
        <v>1</v>
      </c>
      <c r="DF21" s="1" t="n">
        <f aca="false">IF(AND('Daily Workforce'!$N99="Y",'Daily Workforce'!$B99&lt;&gt;"",COUNTIF('Daily Schedule'!$F$5:$F24,'Daily Workforce'!$B99)=0,IF('Daily Schedule'!$A25=45,'Daily Workforce'!$J99="Y",IF(OR('Daily Schedule'!$A25=4,'Daily Schedule'!$A25=8),IF(OR(WEEKDAY('Daily Schedule'!$B$2,2)=1,WEEKDAY('Daily Schedule'!$B$2,2)=4,WEEKDAY('Daily Schedule'!$B$2,2)=5,WEEKDAY('Daily Schedule'!$B$2,2)=7),IFERROR(1*'Daily Workforce'!$K99&gt;=3,FALSE()),IFERROR(1*'Daily Workforce'!$K99&gt;=2,FALSE())),IF(AND('Daily Schedule'!$A25&gt;=46,'Daily Schedule'!$A25&lt;=52),'Daily Workforce'!$M99="Y",IFERROR(1*'Daily Workforce'!$P99&gt;=2,FALSE()))))),1,0)</f>
        <v>1</v>
      </c>
      <c r="DG21" s="1" t="n">
        <f aca="false">IF(AND('Daily Workforce'!$N100="Y",'Daily Workforce'!$B100&lt;&gt;"",COUNTIF('Daily Schedule'!$F$5:$F24,'Daily Workforce'!$B100)=0,IF('Daily Schedule'!$A25=45,'Daily Workforce'!$J100="Y",IF(OR('Daily Schedule'!$A25=4,'Daily Schedule'!$A25=8),IF(OR(WEEKDAY('Daily Schedule'!$B$2,2)=1,WEEKDAY('Daily Schedule'!$B$2,2)=4,WEEKDAY('Daily Schedule'!$B$2,2)=5,WEEKDAY('Daily Schedule'!$B$2,2)=7),IFERROR(1*'Daily Workforce'!$K100&gt;=3,FALSE()),IFERROR(1*'Daily Workforce'!$K100&gt;=2,FALSE())),IF(AND('Daily Schedule'!$A25&gt;=46,'Daily Schedule'!$A25&lt;=52),'Daily Workforce'!$M100="Y",IFERROR(1*'Daily Workforce'!$P100&gt;=2,FALSE()))))),1,0)</f>
        <v>1</v>
      </c>
      <c r="DH21" s="1" t="n">
        <f aca="false">IF(AND('Daily Workforce'!$N101="Y",'Daily Workforce'!$B101&lt;&gt;"",COUNTIF('Daily Schedule'!$F$5:$F24,'Daily Workforce'!$B101)=0,IF('Daily Schedule'!$A25=45,'Daily Workforce'!$J101="Y",IF(OR('Daily Schedule'!$A25=4,'Daily Schedule'!$A25=8),IF(OR(WEEKDAY('Daily Schedule'!$B$2,2)=1,WEEKDAY('Daily Schedule'!$B$2,2)=4,WEEKDAY('Daily Schedule'!$B$2,2)=5,WEEKDAY('Daily Schedule'!$B$2,2)=7),IFERROR(1*'Daily Workforce'!$K101&gt;=3,FALSE()),IFERROR(1*'Daily Workforce'!$K101&gt;=2,FALSE())),IF(AND('Daily Schedule'!$A25&gt;=46,'Daily Schedule'!$A25&lt;=52),'Daily Workforce'!$M101="Y",IFERROR(1*'Daily Workforce'!$P101&gt;=2,FALSE()))))),1,0)</f>
        <v>1</v>
      </c>
      <c r="DI21" s="1" t="n">
        <f aca="false">IF(AND('Daily Workforce'!$N102="Y",'Daily Workforce'!$B102&lt;&gt;"",COUNTIF('Daily Schedule'!$F$5:$F24,'Daily Workforce'!$B102)=0,IF('Daily Schedule'!$A25=45,'Daily Workforce'!$J102="Y",IF(OR('Daily Schedule'!$A25=4,'Daily Schedule'!$A25=8),IF(OR(WEEKDAY('Daily Schedule'!$B$2,2)=1,WEEKDAY('Daily Schedule'!$B$2,2)=4,WEEKDAY('Daily Schedule'!$B$2,2)=5,WEEKDAY('Daily Schedule'!$B$2,2)=7),IFERROR(1*'Daily Workforce'!$K102&gt;=3,FALSE()),IFERROR(1*'Daily Workforce'!$K102&gt;=2,FALSE())),IF(AND('Daily Schedule'!$A25&gt;=46,'Daily Schedule'!$A25&lt;=52),'Daily Workforce'!$M102="Y",IFERROR(1*'Daily Workforce'!$P102&gt;=2,FALSE()))))),1,0)</f>
        <v>1</v>
      </c>
      <c r="DJ21" s="1" t="n">
        <f aca="false">IF(AND('Daily Workforce'!$N103="Y",'Daily Workforce'!$B103&lt;&gt;"",COUNTIF('Daily Schedule'!$F$5:$F24,'Daily Workforce'!$B103)=0,IF('Daily Schedule'!$A25=45,'Daily Workforce'!$J103="Y",IF(OR('Daily Schedule'!$A25=4,'Daily Schedule'!$A25=8),IF(OR(WEEKDAY('Daily Schedule'!$B$2,2)=1,WEEKDAY('Daily Schedule'!$B$2,2)=4,WEEKDAY('Daily Schedule'!$B$2,2)=5,WEEKDAY('Daily Schedule'!$B$2,2)=7),IFERROR(1*'Daily Workforce'!$K103&gt;=3,FALSE()),IFERROR(1*'Daily Workforce'!$K103&gt;=2,FALSE())),IF(AND('Daily Schedule'!$A25&gt;=46,'Daily Schedule'!$A25&lt;=52),'Daily Workforce'!$M103="Y",IFERROR(1*'Daily Workforce'!$P103&gt;=2,FALSE()))))),1,0)</f>
        <v>1</v>
      </c>
      <c r="DK21" s="1" t="n">
        <f aca="false">IF(AND('Daily Workforce'!$N104="Y",'Daily Workforce'!$B104&lt;&gt;"",COUNTIF('Daily Schedule'!$F$5:$F24,'Daily Workforce'!$B104)=0,IF('Daily Schedule'!$A25=45,'Daily Workforce'!$J104="Y",IF(OR('Daily Schedule'!$A25=4,'Daily Schedule'!$A25=8),IF(OR(WEEKDAY('Daily Schedule'!$B$2,2)=1,WEEKDAY('Daily Schedule'!$B$2,2)=4,WEEKDAY('Daily Schedule'!$B$2,2)=5,WEEKDAY('Daily Schedule'!$B$2,2)=7),IFERROR(1*'Daily Workforce'!$K104&gt;=3,FALSE()),IFERROR(1*'Daily Workforce'!$K104&gt;=2,FALSE())),IF(AND('Daily Schedule'!$A25&gt;=46,'Daily Schedule'!$A25&lt;=52),'Daily Workforce'!$M104="Y",IFERROR(1*'Daily Workforce'!$P104&gt;=2,FALSE()))))),1,0)</f>
        <v>1</v>
      </c>
      <c r="DL21" s="1" t="n">
        <f aca="false">IF(AND('Daily Workforce'!$N105="Y",'Daily Workforce'!$B105&lt;&gt;"",COUNTIF('Daily Schedule'!$F$5:$F24,'Daily Workforce'!$B105)=0,IF('Daily Schedule'!$A25=45,'Daily Workforce'!$J105="Y",IF(OR('Daily Schedule'!$A25=4,'Daily Schedule'!$A25=8),IF(OR(WEEKDAY('Daily Schedule'!$B$2,2)=1,WEEKDAY('Daily Schedule'!$B$2,2)=4,WEEKDAY('Daily Schedule'!$B$2,2)=5,WEEKDAY('Daily Schedule'!$B$2,2)=7),IFERROR(1*'Daily Workforce'!$K105&gt;=3,FALSE()),IFERROR(1*'Daily Workforce'!$K105&gt;=2,FALSE())),IF(AND('Daily Schedule'!$A25&gt;=46,'Daily Schedule'!$A25&lt;=52),'Daily Workforce'!$M105="Y",IFERROR(1*'Daily Workforce'!$P105&gt;=2,FALSE()))))),1,0)</f>
        <v>0</v>
      </c>
      <c r="DM21" s="1" t="n">
        <f aca="false">IF(AND('Daily Workforce'!$N106="Y",'Daily Workforce'!$B106&lt;&gt;"",COUNTIF('Daily Schedule'!$F$5:$F24,'Daily Workforce'!$B106)=0,IF('Daily Schedule'!$A25=45,'Daily Workforce'!$J106="Y",IF(OR('Daily Schedule'!$A25=4,'Daily Schedule'!$A25=8),IF(OR(WEEKDAY('Daily Schedule'!$B$2,2)=1,WEEKDAY('Daily Schedule'!$B$2,2)=4,WEEKDAY('Daily Schedule'!$B$2,2)=5,WEEKDAY('Daily Schedule'!$B$2,2)=7),IFERROR(1*'Daily Workforce'!$K106&gt;=3,FALSE()),IFERROR(1*'Daily Workforce'!$K106&gt;=2,FALSE())),IF(AND('Daily Schedule'!$A25&gt;=46,'Daily Schedule'!$A25&lt;=52),'Daily Workforce'!$M106="Y",IFERROR(1*'Daily Workforce'!$P106&gt;=2,FALSE()))))),1,0)</f>
        <v>1</v>
      </c>
      <c r="DN21" s="1" t="n">
        <f aca="false">IF(AND('Daily Workforce'!$N107="Y",'Daily Workforce'!$B107&lt;&gt;"",COUNTIF('Daily Schedule'!$F$5:$F24,'Daily Workforce'!$B107)=0,IF('Daily Schedule'!$A25=45,'Daily Workforce'!$J107="Y",IF(OR('Daily Schedule'!$A25=4,'Daily Schedule'!$A25=8),IF(OR(WEEKDAY('Daily Schedule'!$B$2,2)=1,WEEKDAY('Daily Schedule'!$B$2,2)=4,WEEKDAY('Daily Schedule'!$B$2,2)=5,WEEKDAY('Daily Schedule'!$B$2,2)=7),IFERROR(1*'Daily Workforce'!$K107&gt;=3,FALSE()),IFERROR(1*'Daily Workforce'!$K107&gt;=2,FALSE())),IF(AND('Daily Schedule'!$A25&gt;=46,'Daily Schedule'!$A25&lt;=52),'Daily Workforce'!$M107="Y",IFERROR(1*'Daily Workforce'!$P107&gt;=2,FALSE()))))),1,0)</f>
        <v>1</v>
      </c>
      <c r="DO21" s="1" t="n">
        <f aca="false">IF(AND('Daily Workforce'!$N108="Y",'Daily Workforce'!$B108&lt;&gt;"",COUNTIF('Daily Schedule'!$F$5:$F24,'Daily Workforce'!$B108)=0,IF('Daily Schedule'!$A25=45,'Daily Workforce'!$J108="Y",IF(OR('Daily Schedule'!$A25=4,'Daily Schedule'!$A25=8),IF(OR(WEEKDAY('Daily Schedule'!$B$2,2)=1,WEEKDAY('Daily Schedule'!$B$2,2)=4,WEEKDAY('Daily Schedule'!$B$2,2)=5,WEEKDAY('Daily Schedule'!$B$2,2)=7),IFERROR(1*'Daily Workforce'!$K108&gt;=3,FALSE()),IFERROR(1*'Daily Workforce'!$K108&gt;=2,FALSE())),IF(AND('Daily Schedule'!$A25&gt;=46,'Daily Schedule'!$A25&lt;=52),'Daily Workforce'!$M108="Y",IFERROR(1*'Daily Workforce'!$P108&gt;=2,FALSE()))))),1,0)</f>
        <v>1</v>
      </c>
      <c r="DP21" s="1" t="n">
        <f aca="false">IF(AND('Daily Workforce'!$N109="Y",'Daily Workforce'!$B109&lt;&gt;"",COUNTIF('Daily Schedule'!$F$5:$F24,'Daily Workforce'!$B109)=0,IF('Daily Schedule'!$A25=45,'Daily Workforce'!$J109="Y",IF(OR('Daily Schedule'!$A25=4,'Daily Schedule'!$A25=8),IF(OR(WEEKDAY('Daily Schedule'!$B$2,2)=1,WEEKDAY('Daily Schedule'!$B$2,2)=4,WEEKDAY('Daily Schedule'!$B$2,2)=5,WEEKDAY('Daily Schedule'!$B$2,2)=7),IFERROR(1*'Daily Workforce'!$K109&gt;=3,FALSE()),IFERROR(1*'Daily Workforce'!$K109&gt;=2,FALSE())),IF(AND('Daily Schedule'!$A25&gt;=46,'Daily Schedule'!$A25&lt;=52),'Daily Workforce'!$M109="Y",IFERROR(1*'Daily Workforce'!$P109&gt;=2,FALSE()))))),1,0)</f>
        <v>1</v>
      </c>
      <c r="DQ21" s="1" t="n">
        <f aca="false">IF(AND('Daily Workforce'!$N110="Y",'Daily Workforce'!$B110&lt;&gt;"",COUNTIF('Daily Schedule'!$F$5:$F24,'Daily Workforce'!$B110)=0,IF('Daily Schedule'!$A25=45,'Daily Workforce'!$J110="Y",IF(OR('Daily Schedule'!$A25=4,'Daily Schedule'!$A25=8),IF(OR(WEEKDAY('Daily Schedule'!$B$2,2)=1,WEEKDAY('Daily Schedule'!$B$2,2)=4,WEEKDAY('Daily Schedule'!$B$2,2)=5,WEEKDAY('Daily Schedule'!$B$2,2)=7),IFERROR(1*'Daily Workforce'!$K110&gt;=3,FALSE()),IFERROR(1*'Daily Workforce'!$K110&gt;=2,FALSE())),IF(AND('Daily Schedule'!$A25&gt;=46,'Daily Schedule'!$A25&lt;=52),'Daily Workforce'!$M110="Y",IFERROR(1*'Daily Workforce'!$P110&gt;=2,FALSE()))))),1,0)</f>
        <v>1</v>
      </c>
      <c r="DR21" s="1" t="n">
        <f aca="false">IF(AND('Daily Workforce'!$N111="Y",'Daily Workforce'!$B111&lt;&gt;"",COUNTIF('Daily Schedule'!$F$5:$F24,'Daily Workforce'!$B111)=0,IF('Daily Schedule'!$A25=45,'Daily Workforce'!$J111="Y",IF(OR('Daily Schedule'!$A25=4,'Daily Schedule'!$A25=8),IF(OR(WEEKDAY('Daily Schedule'!$B$2,2)=1,WEEKDAY('Daily Schedule'!$B$2,2)=4,WEEKDAY('Daily Schedule'!$B$2,2)=5,WEEKDAY('Daily Schedule'!$B$2,2)=7),IFERROR(1*'Daily Workforce'!$K111&gt;=3,FALSE()),IFERROR(1*'Daily Workforce'!$K111&gt;=2,FALSE())),IF(AND('Daily Schedule'!$A25&gt;=46,'Daily Schedule'!$A25&lt;=52),'Daily Workforce'!$M111="Y",IFERROR(1*'Daily Workforce'!$P111&gt;=2,FALSE()))))),1,0)</f>
        <v>1</v>
      </c>
      <c r="DS21" s="1" t="n">
        <f aca="false">IF(AND('Daily Workforce'!$N112="Y",'Daily Workforce'!$B112&lt;&gt;"",COUNTIF('Daily Schedule'!$F$5:$F24,'Daily Workforce'!$B112)=0,IF('Daily Schedule'!$A25=45,'Daily Workforce'!$J112="Y",IF(OR('Daily Schedule'!$A25=4,'Daily Schedule'!$A25=8),IF(OR(WEEKDAY('Daily Schedule'!$B$2,2)=1,WEEKDAY('Daily Schedule'!$B$2,2)=4,WEEKDAY('Daily Schedule'!$B$2,2)=5,WEEKDAY('Daily Schedule'!$B$2,2)=7),IFERROR(1*'Daily Workforce'!$K112&gt;=3,FALSE()),IFERROR(1*'Daily Workforce'!$K112&gt;=2,FALSE())),IF(AND('Daily Schedule'!$A25&gt;=46,'Daily Schedule'!$A25&lt;=52),'Daily Workforce'!$M112="Y",IFERROR(1*'Daily Workforce'!$P112&gt;=2,FALSE()))))),1,0)</f>
        <v>1</v>
      </c>
      <c r="DT21" s="1" t="n">
        <f aca="false">IF(AND('Daily Workforce'!$N113="Y",'Daily Workforce'!$B113&lt;&gt;"",COUNTIF('Daily Schedule'!$F$5:$F24,'Daily Workforce'!$B113)=0,IF('Daily Schedule'!$A25=45,'Daily Workforce'!$J113="Y",IF(OR('Daily Schedule'!$A25=4,'Daily Schedule'!$A25=8),IF(OR(WEEKDAY('Daily Schedule'!$B$2,2)=1,WEEKDAY('Daily Schedule'!$B$2,2)=4,WEEKDAY('Daily Schedule'!$B$2,2)=5,WEEKDAY('Daily Schedule'!$B$2,2)=7),IFERROR(1*'Daily Workforce'!$K113&gt;=3,FALSE()),IFERROR(1*'Daily Workforce'!$K113&gt;=2,FALSE())),IF(AND('Daily Schedule'!$A25&gt;=46,'Daily Schedule'!$A25&lt;=52),'Daily Workforce'!$M113="Y",IFERROR(1*'Daily Workforce'!$P113&gt;=2,FALSE()))))),1,0)</f>
        <v>1</v>
      </c>
      <c r="DU21" s="1" t="n">
        <f aca="false">IF(AND('Daily Workforce'!$N114="Y",'Daily Workforce'!$B114&lt;&gt;"",COUNTIF('Daily Schedule'!$F$5:$F24,'Daily Workforce'!$B114)=0,IF('Daily Schedule'!$A25=45,'Daily Workforce'!$J114="Y",IF(OR('Daily Schedule'!$A25=4,'Daily Schedule'!$A25=8),IF(OR(WEEKDAY('Daily Schedule'!$B$2,2)=1,WEEKDAY('Daily Schedule'!$B$2,2)=4,WEEKDAY('Daily Schedule'!$B$2,2)=5,WEEKDAY('Daily Schedule'!$B$2,2)=7),IFERROR(1*'Daily Workforce'!$K114&gt;=3,FALSE()),IFERROR(1*'Daily Workforce'!$K114&gt;=2,FALSE())),IF(AND('Daily Schedule'!$A25&gt;=46,'Daily Schedule'!$A25&lt;=52),'Daily Workforce'!$M114="Y",IFERROR(1*'Daily Workforce'!$P114&gt;=2,FALSE()))))),1,0)</f>
        <v>1</v>
      </c>
      <c r="DV21" s="1" t="n">
        <f aca="false">IF(AND('Daily Workforce'!$N115="Y",'Daily Workforce'!$B115&lt;&gt;"",COUNTIF('Daily Schedule'!$F$5:$F24,'Daily Workforce'!$B115)=0,IF('Daily Schedule'!$A25=45,'Daily Workforce'!$J115="Y",IF(OR('Daily Schedule'!$A25=4,'Daily Schedule'!$A25=8),IF(OR(WEEKDAY('Daily Schedule'!$B$2,2)=1,WEEKDAY('Daily Schedule'!$B$2,2)=4,WEEKDAY('Daily Schedule'!$B$2,2)=5,WEEKDAY('Daily Schedule'!$B$2,2)=7),IFERROR(1*'Daily Workforce'!$K115&gt;=3,FALSE()),IFERROR(1*'Daily Workforce'!$K115&gt;=2,FALSE())),IF(AND('Daily Schedule'!$A25&gt;=46,'Daily Schedule'!$A25&lt;=52),'Daily Workforce'!$M115="Y",IFERROR(1*'Daily Workforce'!$P115&gt;=2,FALSE()))))),1,0)</f>
        <v>1</v>
      </c>
      <c r="DW21" s="1" t="n">
        <f aca="false">IF(AND('Daily Workforce'!$N116="Y",'Daily Workforce'!$B116&lt;&gt;"",COUNTIF('Daily Schedule'!$F$5:$F24,'Daily Workforce'!$B116)=0,IF('Daily Schedule'!$A25=45,'Daily Workforce'!$J116="Y",IF(OR('Daily Schedule'!$A25=4,'Daily Schedule'!$A25=8),IF(OR(WEEKDAY('Daily Schedule'!$B$2,2)=1,WEEKDAY('Daily Schedule'!$B$2,2)=4,WEEKDAY('Daily Schedule'!$B$2,2)=5,WEEKDAY('Daily Schedule'!$B$2,2)=7),IFERROR(1*'Daily Workforce'!$K116&gt;=3,FALSE()),IFERROR(1*'Daily Workforce'!$K116&gt;=2,FALSE())),IF(AND('Daily Schedule'!$A25&gt;=46,'Daily Schedule'!$A25&lt;=52),'Daily Workforce'!$M116="Y",IFERROR(1*'Daily Workforce'!$P116&gt;=2,FALSE()))))),1,0)</f>
        <v>1</v>
      </c>
      <c r="DX21" s="1" t="n">
        <f aca="false">IF(AND('Daily Workforce'!$N117="Y",'Daily Workforce'!$B117&lt;&gt;"",COUNTIF('Daily Schedule'!$F$5:$F24,'Daily Workforce'!$B117)=0,IF('Daily Schedule'!$A25=45,'Daily Workforce'!$J117="Y",IF(OR('Daily Schedule'!$A25=4,'Daily Schedule'!$A25=8),IF(OR(WEEKDAY('Daily Schedule'!$B$2,2)=1,WEEKDAY('Daily Schedule'!$B$2,2)=4,WEEKDAY('Daily Schedule'!$B$2,2)=5,WEEKDAY('Daily Schedule'!$B$2,2)=7),IFERROR(1*'Daily Workforce'!$K117&gt;=3,FALSE()),IFERROR(1*'Daily Workforce'!$K117&gt;=2,FALSE())),IF(AND('Daily Schedule'!$A25&gt;=46,'Daily Schedule'!$A25&lt;=52),'Daily Workforce'!$M117="Y",IFERROR(1*'Daily Workforce'!$P117&gt;=2,FALSE()))))),1,0)</f>
        <v>1</v>
      </c>
      <c r="DY21" s="1" t="n">
        <f aca="false">IF(AND('Daily Workforce'!$N118="Y",'Daily Workforce'!$B118&lt;&gt;"",COUNTIF('Daily Schedule'!$F$5:$F24,'Daily Workforce'!$B118)=0,IF('Daily Schedule'!$A25=45,'Daily Workforce'!$J118="Y",IF(OR('Daily Schedule'!$A25=4,'Daily Schedule'!$A25=8),IF(OR(WEEKDAY('Daily Schedule'!$B$2,2)=1,WEEKDAY('Daily Schedule'!$B$2,2)=4,WEEKDAY('Daily Schedule'!$B$2,2)=5,WEEKDAY('Daily Schedule'!$B$2,2)=7),IFERROR(1*'Daily Workforce'!$K118&gt;=3,FALSE()),IFERROR(1*'Daily Workforce'!$K118&gt;=2,FALSE())),IF(AND('Daily Schedule'!$A25&gt;=46,'Daily Schedule'!$A25&lt;=52),'Daily Workforce'!$M118="Y",IFERROR(1*'Daily Workforce'!$P118&gt;=2,FALSE()))))),1,0)</f>
        <v>0</v>
      </c>
      <c r="DZ21" s="1" t="n">
        <f aca="false">IF(AND('Daily Workforce'!$N119="Y",'Daily Workforce'!$B119&lt;&gt;"",COUNTIF('Daily Schedule'!$F$5:$F24,'Daily Workforce'!$B119)=0,IF('Daily Schedule'!$A25=45,'Daily Workforce'!$J119="Y",IF(OR('Daily Schedule'!$A25=4,'Daily Schedule'!$A25=8),IF(OR(WEEKDAY('Daily Schedule'!$B$2,2)=1,WEEKDAY('Daily Schedule'!$B$2,2)=4,WEEKDAY('Daily Schedule'!$B$2,2)=5,WEEKDAY('Daily Schedule'!$B$2,2)=7),IFERROR(1*'Daily Workforce'!$K119&gt;=3,FALSE()),IFERROR(1*'Daily Workforce'!$K119&gt;=2,FALSE())),IF(AND('Daily Schedule'!$A25&gt;=46,'Daily Schedule'!$A25&lt;=52),'Daily Workforce'!$M119="Y",IFERROR(1*'Daily Workforce'!$P119&gt;=2,FALSE()))))),1,0)</f>
        <v>0</v>
      </c>
      <c r="EA21" s="1" t="n">
        <f aca="false">IF(AND('Daily Workforce'!$N120="Y",'Daily Workforce'!$B120&lt;&gt;"",COUNTIF('Daily Schedule'!$F$5:$F24,'Daily Workforce'!$B120)=0,IF('Daily Schedule'!$A25=45,'Daily Workforce'!$J120="Y",IF(OR('Daily Schedule'!$A25=4,'Daily Schedule'!$A25=8),IF(OR(WEEKDAY('Daily Schedule'!$B$2,2)=1,WEEKDAY('Daily Schedule'!$B$2,2)=4,WEEKDAY('Daily Schedule'!$B$2,2)=5,WEEKDAY('Daily Schedule'!$B$2,2)=7),IFERROR(1*'Daily Workforce'!$K120&gt;=3,FALSE()),IFERROR(1*'Daily Workforce'!$K120&gt;=2,FALSE())),IF(AND('Daily Schedule'!$A25&gt;=46,'Daily Schedule'!$A25&lt;=52),'Daily Workforce'!$M120="Y",IFERROR(1*'Daily Workforce'!$P120&gt;=2,FALSE()))))),1,0)</f>
        <v>0</v>
      </c>
      <c r="EB21" s="1" t="n">
        <f aca="false">IF(AND('Daily Workforce'!$N121="Y",'Daily Workforce'!$B121&lt;&gt;"",COUNTIF('Daily Schedule'!$F$5:$F24,'Daily Workforce'!$B121)=0,IF('Daily Schedule'!$A25=45,'Daily Workforce'!$J121="Y",IF(OR('Daily Schedule'!$A25=4,'Daily Schedule'!$A25=8),IF(OR(WEEKDAY('Daily Schedule'!$B$2,2)=1,WEEKDAY('Daily Schedule'!$B$2,2)=4,WEEKDAY('Daily Schedule'!$B$2,2)=5,WEEKDAY('Daily Schedule'!$B$2,2)=7),IFERROR(1*'Daily Workforce'!$K121&gt;=3,FALSE()),IFERROR(1*'Daily Workforce'!$K121&gt;=2,FALSE())),IF(AND('Daily Schedule'!$A25&gt;=46,'Daily Schedule'!$A25&lt;=52),'Daily Workforce'!$M121="Y",IFERROR(1*'Daily Workforce'!$P121&gt;=2,FALSE()))))),1,0)</f>
        <v>0</v>
      </c>
      <c r="EC21" s="1" t="n">
        <f aca="false">IF(AND('Daily Workforce'!$N122="Y",'Daily Workforce'!$B122&lt;&gt;"",COUNTIF('Daily Schedule'!$F$5:$F24,'Daily Workforce'!$B122)=0,IF('Daily Schedule'!$A25=45,'Daily Workforce'!$J122="Y",IF(OR('Daily Schedule'!$A25=4,'Daily Schedule'!$A25=8),IF(OR(WEEKDAY('Daily Schedule'!$B$2,2)=1,WEEKDAY('Daily Schedule'!$B$2,2)=4,WEEKDAY('Daily Schedule'!$B$2,2)=5,WEEKDAY('Daily Schedule'!$B$2,2)=7),IFERROR(1*'Daily Workforce'!$K122&gt;=3,FALSE()),IFERROR(1*'Daily Workforce'!$K122&gt;=2,FALSE())),IF(AND('Daily Schedule'!$A25&gt;=46,'Daily Schedule'!$A25&lt;=52),'Daily Workforce'!$M122="Y",IFERROR(1*'Daily Workforce'!$P122&gt;=2,FALSE()))))),1,0)</f>
        <v>0</v>
      </c>
      <c r="ED21" s="1" t="n">
        <f aca="false">IF(AND('Daily Workforce'!$N123="Y",'Daily Workforce'!$B123&lt;&gt;"",COUNTIF('Daily Schedule'!$F$5:$F24,'Daily Workforce'!$B123)=0,IF('Daily Schedule'!$A25=45,'Daily Workforce'!$J123="Y",IF(OR('Daily Schedule'!$A25=4,'Daily Schedule'!$A25=8),IF(OR(WEEKDAY('Daily Schedule'!$B$2,2)=1,WEEKDAY('Daily Schedule'!$B$2,2)=4,WEEKDAY('Daily Schedule'!$B$2,2)=5,WEEKDAY('Daily Schedule'!$B$2,2)=7),IFERROR(1*'Daily Workforce'!$K123&gt;=3,FALSE()),IFERROR(1*'Daily Workforce'!$K123&gt;=2,FALSE())),IF(AND('Daily Schedule'!$A25&gt;=46,'Daily Schedule'!$A25&lt;=52),'Daily Workforce'!$M123="Y",IFERROR(1*'Daily Workforce'!$P123&gt;=2,FALSE()))))),1,0)</f>
        <v>0</v>
      </c>
      <c r="EE21" s="1" t="n">
        <f aca="false">IF(AND('Daily Workforce'!$N124="Y",'Daily Workforce'!$B124&lt;&gt;"",COUNTIF('Daily Schedule'!$F$5:$F24,'Daily Workforce'!$B124)=0,IF('Daily Schedule'!$A25=45,'Daily Workforce'!$J124="Y",IF(OR('Daily Schedule'!$A25=4,'Daily Schedule'!$A25=8),IF(OR(WEEKDAY('Daily Schedule'!$B$2,2)=1,WEEKDAY('Daily Schedule'!$B$2,2)=4,WEEKDAY('Daily Schedule'!$B$2,2)=5,WEEKDAY('Daily Schedule'!$B$2,2)=7),IFERROR(1*'Daily Workforce'!$K124&gt;=3,FALSE()),IFERROR(1*'Daily Workforce'!$K124&gt;=2,FALSE())),IF(AND('Daily Schedule'!$A25&gt;=46,'Daily Schedule'!$A25&lt;=52),'Daily Workforce'!$M124="Y",IFERROR(1*'Daily Workforce'!$P124&gt;=2,FALSE()))))),1,0)</f>
        <v>0</v>
      </c>
      <c r="EF21" s="1" t="n">
        <f aca="false">IF(AND('Daily Workforce'!$N125="Y",'Daily Workforce'!$B125&lt;&gt;"",COUNTIF('Daily Schedule'!$F$5:$F24,'Daily Workforce'!$B125)=0,IF('Daily Schedule'!$A25=45,'Daily Workforce'!$J125="Y",IF(OR('Daily Schedule'!$A25=4,'Daily Schedule'!$A25=8),IF(OR(WEEKDAY('Daily Schedule'!$B$2,2)=1,WEEKDAY('Daily Schedule'!$B$2,2)=4,WEEKDAY('Daily Schedule'!$B$2,2)=5,WEEKDAY('Daily Schedule'!$B$2,2)=7),IFERROR(1*'Daily Workforce'!$K125&gt;=3,FALSE()),IFERROR(1*'Daily Workforce'!$K125&gt;=2,FALSE())),IF(AND('Daily Schedule'!$A25&gt;=46,'Daily Schedule'!$A25&lt;=52),'Daily Workforce'!$M125="Y",IFERROR(1*'Daily Workforce'!$P125&gt;=2,FALSE()))))),1,0)</f>
        <v>0</v>
      </c>
      <c r="EG21" s="1" t="n">
        <f aca="false">IF(AND('Daily Workforce'!$N126="Y",'Daily Workforce'!$B126&lt;&gt;"",COUNTIF('Daily Schedule'!$F$5:$F24,'Daily Workforce'!$B126)=0,IF('Daily Schedule'!$A25=45,'Daily Workforce'!$J126="Y",IF(OR('Daily Schedule'!$A25=4,'Daily Schedule'!$A25=8),IF(OR(WEEKDAY('Daily Schedule'!$B$2,2)=1,WEEKDAY('Daily Schedule'!$B$2,2)=4,WEEKDAY('Daily Schedule'!$B$2,2)=5,WEEKDAY('Daily Schedule'!$B$2,2)=7),IFERROR(1*'Daily Workforce'!$K126&gt;=3,FALSE()),IFERROR(1*'Daily Workforce'!$K126&gt;=2,FALSE())),IF(AND('Daily Schedule'!$A25&gt;=46,'Daily Schedule'!$A25&lt;=52),'Daily Workforce'!$M126="Y",IFERROR(1*'Daily Workforce'!$P126&gt;=2,FALSE()))))),1,0)</f>
        <v>0</v>
      </c>
      <c r="EH21" s="1" t="n">
        <f aca="false">IF(AND('Daily Workforce'!$N127="Y",'Daily Workforce'!$B127&lt;&gt;"",COUNTIF('Daily Schedule'!$F$5:$F24,'Daily Workforce'!$B127)=0,IF('Daily Schedule'!$A25=45,'Daily Workforce'!$J127="Y",IF(OR('Daily Schedule'!$A25=4,'Daily Schedule'!$A25=8),IF(OR(WEEKDAY('Daily Schedule'!$B$2,2)=1,WEEKDAY('Daily Schedule'!$B$2,2)=4,WEEKDAY('Daily Schedule'!$B$2,2)=5,WEEKDAY('Daily Schedule'!$B$2,2)=7),IFERROR(1*'Daily Workforce'!$K127&gt;=3,FALSE()),IFERROR(1*'Daily Workforce'!$K127&gt;=2,FALSE())),IF(AND('Daily Schedule'!$A25&gt;=46,'Daily Schedule'!$A25&lt;=52),'Daily Workforce'!$M127="Y",IFERROR(1*'Daily Workforce'!$P127&gt;=2,FALSE()))))),1,0)</f>
        <v>0</v>
      </c>
      <c r="EI21" s="1" t="n">
        <f aca="false">IF(AND('Daily Workforce'!$N128="Y",'Daily Workforce'!$B128&lt;&gt;"",COUNTIF('Daily Schedule'!$F$5:$F24,'Daily Workforce'!$B128)=0,IF('Daily Schedule'!$A25=45,'Daily Workforce'!$J128="Y",IF(OR('Daily Schedule'!$A25=4,'Daily Schedule'!$A25=8),IF(OR(WEEKDAY('Daily Schedule'!$B$2,2)=1,WEEKDAY('Daily Schedule'!$B$2,2)=4,WEEKDAY('Daily Schedule'!$B$2,2)=5,WEEKDAY('Daily Schedule'!$B$2,2)=7),IFERROR(1*'Daily Workforce'!$K128&gt;=3,FALSE()),IFERROR(1*'Daily Workforce'!$K128&gt;=2,FALSE())),IF(AND('Daily Schedule'!$A25&gt;=46,'Daily Schedule'!$A25&lt;=52),'Daily Workforce'!$M128="Y",IFERROR(1*'Daily Workforce'!$P128&gt;=2,FALSE()))))),1,0)</f>
        <v>0</v>
      </c>
      <c r="EJ21" s="1" t="n">
        <f aca="false">IF(AND('Daily Workforce'!$N129="Y",'Daily Workforce'!$B129&lt;&gt;"",COUNTIF('Daily Schedule'!$F$5:$F24,'Daily Workforce'!$B129)=0,IF('Daily Schedule'!$A25=45,'Daily Workforce'!$J129="Y",IF(OR('Daily Schedule'!$A25=4,'Daily Schedule'!$A25=8),IF(OR(WEEKDAY('Daily Schedule'!$B$2,2)=1,WEEKDAY('Daily Schedule'!$B$2,2)=4,WEEKDAY('Daily Schedule'!$B$2,2)=5,WEEKDAY('Daily Schedule'!$B$2,2)=7),IFERROR(1*'Daily Workforce'!$K129&gt;=3,FALSE()),IFERROR(1*'Daily Workforce'!$K129&gt;=2,FALSE())),IF(AND('Daily Schedule'!$A25&gt;=46,'Daily Schedule'!$A25&lt;=52),'Daily Workforce'!$M129="Y",IFERROR(1*'Daily Workforce'!$P129&gt;=2,FALSE()))))),1,0)</f>
        <v>0</v>
      </c>
      <c r="EK21" s="1" t="n">
        <f aca="false">IF(AND('Daily Workforce'!$N130="Y",'Daily Workforce'!$B130&lt;&gt;"",COUNTIF('Daily Schedule'!$F$5:$F24,'Daily Workforce'!$B130)=0,IF('Daily Schedule'!$A25=45,'Daily Workforce'!$J130="Y",IF(OR('Daily Schedule'!$A25=4,'Daily Schedule'!$A25=8),IF(OR(WEEKDAY('Daily Schedule'!$B$2,2)=1,WEEKDAY('Daily Schedule'!$B$2,2)=4,WEEKDAY('Daily Schedule'!$B$2,2)=5,WEEKDAY('Daily Schedule'!$B$2,2)=7),IFERROR(1*'Daily Workforce'!$K130&gt;=3,FALSE()),IFERROR(1*'Daily Workforce'!$K130&gt;=2,FALSE())),IF(AND('Daily Schedule'!$A25&gt;=46,'Daily Schedule'!$A25&lt;=52),'Daily Workforce'!$M130="Y",IFERROR(1*'Daily Workforce'!$P130&gt;=2,FALSE()))))),1,0)</f>
        <v>0</v>
      </c>
      <c r="EL21" s="1" t="n">
        <f aca="false">IF(AND('Daily Workforce'!$N131="Y",'Daily Workforce'!$B131&lt;&gt;"",COUNTIF('Daily Schedule'!$F$5:$F24,'Daily Workforce'!$B131)=0,IF('Daily Schedule'!$A25=45,'Daily Workforce'!$J131="Y",IF(OR('Daily Schedule'!$A25=4,'Daily Schedule'!$A25=8),IF(OR(WEEKDAY('Daily Schedule'!$B$2,2)=1,WEEKDAY('Daily Schedule'!$B$2,2)=4,WEEKDAY('Daily Schedule'!$B$2,2)=5,WEEKDAY('Daily Schedule'!$B$2,2)=7),IFERROR(1*'Daily Workforce'!$K131&gt;=3,FALSE()),IFERROR(1*'Daily Workforce'!$K131&gt;=2,FALSE())),IF(AND('Daily Schedule'!$A25&gt;=46,'Daily Schedule'!$A25&lt;=52),'Daily Workforce'!$M131="Y",IFERROR(1*'Daily Workforce'!$P131&gt;=2,FALSE()))))),1,0)</f>
        <v>0</v>
      </c>
      <c r="EM21" s="1" t="n">
        <f aca="false">IF(AND('Daily Workforce'!$N132="Y",'Daily Workforce'!$B132&lt;&gt;"",COUNTIF('Daily Schedule'!$F$5:$F24,'Daily Workforce'!$B132)=0,IF('Daily Schedule'!$A25=45,'Daily Workforce'!$J132="Y",IF(OR('Daily Schedule'!$A25=4,'Daily Schedule'!$A25=8),IF(OR(WEEKDAY('Daily Schedule'!$B$2,2)=1,WEEKDAY('Daily Schedule'!$B$2,2)=4,WEEKDAY('Daily Schedule'!$B$2,2)=5,WEEKDAY('Daily Schedule'!$B$2,2)=7),IFERROR(1*'Daily Workforce'!$K132&gt;=3,FALSE()),IFERROR(1*'Daily Workforce'!$K132&gt;=2,FALSE())),IF(AND('Daily Schedule'!$A25&gt;=46,'Daily Schedule'!$A25&lt;=52),'Daily Workforce'!$M132="Y",IFERROR(1*'Daily Workforce'!$P132&gt;=2,FALSE()))))),1,0)</f>
        <v>0</v>
      </c>
      <c r="EN21" s="1" t="n">
        <f aca="false">IF(AND('Daily Workforce'!$N133="Y",'Daily Workforce'!$B133&lt;&gt;"",COUNTIF('Daily Schedule'!$F$5:$F24,'Daily Workforce'!$B133)=0,IF('Daily Schedule'!$A25=45,'Daily Workforce'!$J133="Y",IF(OR('Daily Schedule'!$A25=4,'Daily Schedule'!$A25=8),IF(OR(WEEKDAY('Daily Schedule'!$B$2,2)=1,WEEKDAY('Daily Schedule'!$B$2,2)=4,WEEKDAY('Daily Schedule'!$B$2,2)=5,WEEKDAY('Daily Schedule'!$B$2,2)=7),IFERROR(1*'Daily Workforce'!$K133&gt;=3,FALSE()),IFERROR(1*'Daily Workforce'!$K133&gt;=2,FALSE())),IF(AND('Daily Schedule'!$A25&gt;=46,'Daily Schedule'!$A25&lt;=52),'Daily Workforce'!$M133="Y",IFERROR(1*'Daily Workforce'!$P133&gt;=2,FALSE()))))),1,0)</f>
        <v>0</v>
      </c>
      <c r="EO21" s="1" t="n">
        <f aca="false">IF(AND('Daily Workforce'!$N134="Y",'Daily Workforce'!$B134&lt;&gt;"",COUNTIF('Daily Schedule'!$F$5:$F24,'Daily Workforce'!$B134)=0,IF('Daily Schedule'!$A25=45,'Daily Workforce'!$J134="Y",IF(OR('Daily Schedule'!$A25=4,'Daily Schedule'!$A25=8),IF(OR(WEEKDAY('Daily Schedule'!$B$2,2)=1,WEEKDAY('Daily Schedule'!$B$2,2)=4,WEEKDAY('Daily Schedule'!$B$2,2)=5,WEEKDAY('Daily Schedule'!$B$2,2)=7),IFERROR(1*'Daily Workforce'!$K134&gt;=3,FALSE()),IFERROR(1*'Daily Workforce'!$K134&gt;=2,FALSE())),IF(AND('Daily Schedule'!$A25&gt;=46,'Daily Schedule'!$A25&lt;=52),'Daily Workforce'!$M134="Y",IFERROR(1*'Daily Workforce'!$P134&gt;=2,FALSE()))))),1,0)</f>
        <v>0</v>
      </c>
      <c r="EP21" s="1" t="n">
        <f aca="false">IF(AND('Daily Workforce'!$N135="Y",'Daily Workforce'!$B135&lt;&gt;"",COUNTIF('Daily Schedule'!$F$5:$F24,'Daily Workforce'!$B135)=0,IF('Daily Schedule'!$A25=45,'Daily Workforce'!$J135="Y",IF(OR('Daily Schedule'!$A25=4,'Daily Schedule'!$A25=8),IF(OR(WEEKDAY('Daily Schedule'!$B$2,2)=1,WEEKDAY('Daily Schedule'!$B$2,2)=4,WEEKDAY('Daily Schedule'!$B$2,2)=5,WEEKDAY('Daily Schedule'!$B$2,2)=7),IFERROR(1*'Daily Workforce'!$K135&gt;=3,FALSE()),IFERROR(1*'Daily Workforce'!$K135&gt;=2,FALSE())),IF(AND('Daily Schedule'!$A25&gt;=46,'Daily Schedule'!$A25&lt;=52),'Daily Workforce'!$M135="Y",IFERROR(1*'Daily Workforce'!$P135&gt;=2,FALSE()))))),1,0)</f>
        <v>0</v>
      </c>
      <c r="EQ21" s="1" t="n">
        <f aca="false">IF(AND('Daily Workforce'!$N136="Y",'Daily Workforce'!$B136&lt;&gt;"",COUNTIF('Daily Schedule'!$F$5:$F24,'Daily Workforce'!$B136)=0,IF('Daily Schedule'!$A25=45,'Daily Workforce'!$J136="Y",IF(OR('Daily Schedule'!$A25=4,'Daily Schedule'!$A25=8),IF(OR(WEEKDAY('Daily Schedule'!$B$2,2)=1,WEEKDAY('Daily Schedule'!$B$2,2)=4,WEEKDAY('Daily Schedule'!$B$2,2)=5,WEEKDAY('Daily Schedule'!$B$2,2)=7),IFERROR(1*'Daily Workforce'!$K136&gt;=3,FALSE()),IFERROR(1*'Daily Workforce'!$K136&gt;=2,FALSE())),IF(AND('Daily Schedule'!$A25&gt;=46,'Daily Schedule'!$A25&lt;=52),'Daily Workforce'!$M136="Y",IFERROR(1*'Daily Workforce'!$P136&gt;=2,FALSE()))))),1,0)</f>
        <v>0</v>
      </c>
      <c r="ER21" s="1" t="n">
        <f aca="false">IF(AND('Daily Workforce'!$N137="Y",'Daily Workforce'!$B137&lt;&gt;"",COUNTIF('Daily Schedule'!$F$5:$F24,'Daily Workforce'!$B137)=0,IF('Daily Schedule'!$A25=45,'Daily Workforce'!$J137="Y",IF(OR('Daily Schedule'!$A25=4,'Daily Schedule'!$A25=8),IF(OR(WEEKDAY('Daily Schedule'!$B$2,2)=1,WEEKDAY('Daily Schedule'!$B$2,2)=4,WEEKDAY('Daily Schedule'!$B$2,2)=5,WEEKDAY('Daily Schedule'!$B$2,2)=7),IFERROR(1*'Daily Workforce'!$K137&gt;=3,FALSE()),IFERROR(1*'Daily Workforce'!$K137&gt;=2,FALSE())),IF(AND('Daily Schedule'!$A25&gt;=46,'Daily Schedule'!$A25&lt;=52),'Daily Workforce'!$M137="Y",IFERROR(1*'Daily Workforce'!$P137&gt;=2,FALSE()))))),1,0)</f>
        <v>0</v>
      </c>
      <c r="ES21" s="1" t="n">
        <f aca="false">IF(AND('Daily Workforce'!$N138="Y",'Daily Workforce'!$B138&lt;&gt;"",COUNTIF('Daily Schedule'!$F$5:$F24,'Daily Workforce'!$B138)=0,IF('Daily Schedule'!$A25=45,'Daily Workforce'!$J138="Y",IF(OR('Daily Schedule'!$A25=4,'Daily Schedule'!$A25=8),IF(OR(WEEKDAY('Daily Schedule'!$B$2,2)=1,WEEKDAY('Daily Schedule'!$B$2,2)=4,WEEKDAY('Daily Schedule'!$B$2,2)=5,WEEKDAY('Daily Schedule'!$B$2,2)=7),IFERROR(1*'Daily Workforce'!$K138&gt;=3,FALSE()),IFERROR(1*'Daily Workforce'!$K138&gt;=2,FALSE())),IF(AND('Daily Schedule'!$A25&gt;=46,'Daily Schedule'!$A25&lt;=52),'Daily Workforce'!$M138="Y",IFERROR(1*'Daily Workforce'!$P138&gt;=2,FALSE()))))),1,0)</f>
        <v>0</v>
      </c>
      <c r="ET21" s="1" t="n">
        <f aca="false">IF(AND('Daily Workforce'!$N139="Y",'Daily Workforce'!$B139&lt;&gt;"",COUNTIF('Daily Schedule'!$F$5:$F24,'Daily Workforce'!$B139)=0,IF('Daily Schedule'!$A25=45,'Daily Workforce'!$J139="Y",IF(OR('Daily Schedule'!$A25=4,'Daily Schedule'!$A25=8),IF(OR(WEEKDAY('Daily Schedule'!$B$2,2)=1,WEEKDAY('Daily Schedule'!$B$2,2)=4,WEEKDAY('Daily Schedule'!$B$2,2)=5,WEEKDAY('Daily Schedule'!$B$2,2)=7),IFERROR(1*'Daily Workforce'!$K139&gt;=3,FALSE()),IFERROR(1*'Daily Workforce'!$K139&gt;=2,FALSE())),IF(AND('Daily Schedule'!$A25&gt;=46,'Daily Schedule'!$A25&lt;=52),'Daily Workforce'!$M139="Y",IFERROR(1*'Daily Workforce'!$P139&gt;=2,FALSE()))))),1,0)</f>
        <v>0</v>
      </c>
      <c r="EU21" s="1" t="n">
        <f aca="false">IF(AND('Daily Workforce'!$N140="Y",'Daily Workforce'!$B140&lt;&gt;"",COUNTIF('Daily Schedule'!$F$5:$F24,'Daily Workforce'!$B140)=0,IF('Daily Schedule'!$A25=45,'Daily Workforce'!$J140="Y",IF(OR('Daily Schedule'!$A25=4,'Daily Schedule'!$A25=8),IF(OR(WEEKDAY('Daily Schedule'!$B$2,2)=1,WEEKDAY('Daily Schedule'!$B$2,2)=4,WEEKDAY('Daily Schedule'!$B$2,2)=5,WEEKDAY('Daily Schedule'!$B$2,2)=7),IFERROR(1*'Daily Workforce'!$K140&gt;=3,FALSE()),IFERROR(1*'Daily Workforce'!$K140&gt;=2,FALSE())),IF(AND('Daily Schedule'!$A25&gt;=46,'Daily Schedule'!$A25&lt;=52),'Daily Workforce'!$M140="Y",IFERROR(1*'Daily Workforce'!$P140&gt;=2,FALSE()))))),1,0)</f>
        <v>0</v>
      </c>
      <c r="EV21" s="1" t="n">
        <f aca="false">IF(AND('Daily Workforce'!$N141="Y",'Daily Workforce'!$B141&lt;&gt;"",COUNTIF('Daily Schedule'!$F$5:$F24,'Daily Workforce'!$B141)=0,IF('Daily Schedule'!$A25=45,'Daily Workforce'!$J141="Y",IF(OR('Daily Schedule'!$A25=4,'Daily Schedule'!$A25=8),IF(OR(WEEKDAY('Daily Schedule'!$B$2,2)=1,WEEKDAY('Daily Schedule'!$B$2,2)=4,WEEKDAY('Daily Schedule'!$B$2,2)=5,WEEKDAY('Daily Schedule'!$B$2,2)=7),IFERROR(1*'Daily Workforce'!$K141&gt;=3,FALSE()),IFERROR(1*'Daily Workforce'!$K141&gt;=2,FALSE())),IF(AND('Daily Schedule'!$A25&gt;=46,'Daily Schedule'!$A25&lt;=52),'Daily Workforce'!$M141="Y",IFERROR(1*'Daily Workforce'!$P141&gt;=2,FALSE()))))),1,0)</f>
        <v>0</v>
      </c>
      <c r="EW21" s="1" t="n">
        <f aca="false">IF(AND('Daily Workforce'!$N142="Y",'Daily Workforce'!$B142&lt;&gt;"",COUNTIF('Daily Schedule'!$F$5:$F24,'Daily Workforce'!$B142)=0,IF('Daily Schedule'!$A25=45,'Daily Workforce'!$J142="Y",IF(OR('Daily Schedule'!$A25=4,'Daily Schedule'!$A25=8),IF(OR(WEEKDAY('Daily Schedule'!$B$2,2)=1,WEEKDAY('Daily Schedule'!$B$2,2)=4,WEEKDAY('Daily Schedule'!$B$2,2)=5,WEEKDAY('Daily Schedule'!$B$2,2)=7),IFERROR(1*'Daily Workforce'!$K142&gt;=3,FALSE()),IFERROR(1*'Daily Workforce'!$K142&gt;=2,FALSE())),IF(AND('Daily Schedule'!$A25&gt;=46,'Daily Schedule'!$A25&lt;=52),'Daily Workforce'!$M142="Y",IFERROR(1*'Daily Workforce'!$P142&gt;=2,FALSE()))))),1,0)</f>
        <v>0</v>
      </c>
      <c r="EX21" s="1" t="n">
        <f aca="false">IF(AND('Daily Workforce'!$N143="Y",'Daily Workforce'!$B143&lt;&gt;"",COUNTIF('Daily Schedule'!$F$5:$F24,'Daily Workforce'!$B143)=0,IF('Daily Schedule'!$A25=45,'Daily Workforce'!$J143="Y",IF(OR('Daily Schedule'!$A25=4,'Daily Schedule'!$A25=8),IF(OR(WEEKDAY('Daily Schedule'!$B$2,2)=1,WEEKDAY('Daily Schedule'!$B$2,2)=4,WEEKDAY('Daily Schedule'!$B$2,2)=5,WEEKDAY('Daily Schedule'!$B$2,2)=7),IFERROR(1*'Daily Workforce'!$K143&gt;=3,FALSE()),IFERROR(1*'Daily Workforce'!$K143&gt;=2,FALSE())),IF(AND('Daily Schedule'!$A25&gt;=46,'Daily Schedule'!$A25&lt;=52),'Daily Workforce'!$M143="Y",IFERROR(1*'Daily Workforce'!$P143&gt;=2,FALSE()))))),1,0)</f>
        <v>0</v>
      </c>
      <c r="EY21" s="1" t="n">
        <f aca="false">IF(AND('Daily Workforce'!$N144="Y",'Daily Workforce'!$B144&lt;&gt;"",COUNTIF('Daily Schedule'!$F$5:$F24,'Daily Workforce'!$B144)=0,IF('Daily Schedule'!$A25=45,'Daily Workforce'!$J144="Y",IF(OR('Daily Schedule'!$A25=4,'Daily Schedule'!$A25=8),IF(OR(WEEKDAY('Daily Schedule'!$B$2,2)=1,WEEKDAY('Daily Schedule'!$B$2,2)=4,WEEKDAY('Daily Schedule'!$B$2,2)=5,WEEKDAY('Daily Schedule'!$B$2,2)=7),IFERROR(1*'Daily Workforce'!$K144&gt;=3,FALSE()),IFERROR(1*'Daily Workforce'!$K144&gt;=2,FALSE())),IF(AND('Daily Schedule'!$A25&gt;=46,'Daily Schedule'!$A25&lt;=52),'Daily Workforce'!$M144="Y",IFERROR(1*'Daily Workforce'!$P144&gt;=2,FALSE()))))),1,0)</f>
        <v>0</v>
      </c>
      <c r="EZ21" s="1" t="n">
        <f aca="false">IF(AND('Daily Workforce'!$N145="Y",'Daily Workforce'!$B145&lt;&gt;"",COUNTIF('Daily Schedule'!$F$5:$F24,'Daily Workforce'!$B145)=0,IF('Daily Schedule'!$A25=45,'Daily Workforce'!$J145="Y",IF(OR('Daily Schedule'!$A25=4,'Daily Schedule'!$A25=8),IF(OR(WEEKDAY('Daily Schedule'!$B$2,2)=1,WEEKDAY('Daily Schedule'!$B$2,2)=4,WEEKDAY('Daily Schedule'!$B$2,2)=5,WEEKDAY('Daily Schedule'!$B$2,2)=7),IFERROR(1*'Daily Workforce'!$K145&gt;=3,FALSE()),IFERROR(1*'Daily Workforce'!$K145&gt;=2,FALSE())),IF(AND('Daily Schedule'!$A25&gt;=46,'Daily Schedule'!$A25&lt;=52),'Daily Workforce'!$M145="Y",IFERROR(1*'Daily Workforce'!$P145&gt;=2,FALSE()))))),1,0)</f>
        <v>0</v>
      </c>
      <c r="FA21" s="1" t="n">
        <f aca="false">IF(AND('Daily Workforce'!$N146="Y",'Daily Workforce'!$B146&lt;&gt;"",COUNTIF('Daily Schedule'!$F$5:$F24,'Daily Workforce'!$B146)=0,IF('Daily Schedule'!$A25=45,'Daily Workforce'!$J146="Y",IF(OR('Daily Schedule'!$A25=4,'Daily Schedule'!$A25=8),IF(OR(WEEKDAY('Daily Schedule'!$B$2,2)=1,WEEKDAY('Daily Schedule'!$B$2,2)=4,WEEKDAY('Daily Schedule'!$B$2,2)=5,WEEKDAY('Daily Schedule'!$B$2,2)=7),IFERROR(1*'Daily Workforce'!$K146&gt;=3,FALSE()),IFERROR(1*'Daily Workforce'!$K146&gt;=2,FALSE())),IF(AND('Daily Schedule'!$A25&gt;=46,'Daily Schedule'!$A25&lt;=52),'Daily Workforce'!$M146="Y",IFERROR(1*'Daily Workforce'!$P146&gt;=2,FALSE()))))),1,0)</f>
        <v>0</v>
      </c>
      <c r="FB21" s="1" t="n">
        <f aca="false">IF(AND('Daily Workforce'!$N147="Y",'Daily Workforce'!$B147&lt;&gt;"",COUNTIF('Daily Schedule'!$F$5:$F24,'Daily Workforce'!$B147)=0,IF('Daily Schedule'!$A25=45,'Daily Workforce'!$J147="Y",IF(OR('Daily Schedule'!$A25=4,'Daily Schedule'!$A25=8),IF(OR(WEEKDAY('Daily Schedule'!$B$2,2)=1,WEEKDAY('Daily Schedule'!$B$2,2)=4,WEEKDAY('Daily Schedule'!$B$2,2)=5,WEEKDAY('Daily Schedule'!$B$2,2)=7),IFERROR(1*'Daily Workforce'!$K147&gt;=3,FALSE()),IFERROR(1*'Daily Workforce'!$K147&gt;=2,FALSE())),IF(AND('Daily Schedule'!$A25&gt;=46,'Daily Schedule'!$A25&lt;=52),'Daily Workforce'!$M147="Y",IFERROR(1*'Daily Workforce'!$P147&gt;=2,FALSE()))))),1,0)</f>
        <v>0</v>
      </c>
      <c r="FC21" s="1" t="n">
        <f aca="false">IF(AND('Daily Workforce'!$N148="Y",'Daily Workforce'!$B148&lt;&gt;"",COUNTIF('Daily Schedule'!$F$5:$F24,'Daily Workforce'!$B148)=0,IF('Daily Schedule'!$A25=45,'Daily Workforce'!$J148="Y",IF(OR('Daily Schedule'!$A25=4,'Daily Schedule'!$A25=8),IF(OR(WEEKDAY('Daily Schedule'!$B$2,2)=1,WEEKDAY('Daily Schedule'!$B$2,2)=4,WEEKDAY('Daily Schedule'!$B$2,2)=5,WEEKDAY('Daily Schedule'!$B$2,2)=7),IFERROR(1*'Daily Workforce'!$K148&gt;=3,FALSE()),IFERROR(1*'Daily Workforce'!$K148&gt;=2,FALSE())),IF(AND('Daily Schedule'!$A25&gt;=46,'Daily Schedule'!$A25&lt;=52),'Daily Workforce'!$M148="Y",IFERROR(1*'Daily Workforce'!$P148&gt;=2,FALSE()))))),1,0)</f>
        <v>0</v>
      </c>
      <c r="FD21" s="1" t="n">
        <f aca="false">IF(AND('Daily Workforce'!$N149="Y",'Daily Workforce'!$B149&lt;&gt;"",COUNTIF('Daily Schedule'!$F$5:$F24,'Daily Workforce'!$B149)=0,IF('Daily Schedule'!$A25=45,'Daily Workforce'!$J149="Y",IF(OR('Daily Schedule'!$A25=4,'Daily Schedule'!$A25=8),IF(OR(WEEKDAY('Daily Schedule'!$B$2,2)=1,WEEKDAY('Daily Schedule'!$B$2,2)=4,WEEKDAY('Daily Schedule'!$B$2,2)=5,WEEKDAY('Daily Schedule'!$B$2,2)=7),IFERROR(1*'Daily Workforce'!$K149&gt;=3,FALSE()),IFERROR(1*'Daily Workforce'!$K149&gt;=2,FALSE())),IF(AND('Daily Schedule'!$A25&gt;=46,'Daily Schedule'!$A25&lt;=52),'Daily Workforce'!$M149="Y",IFERROR(1*'Daily Workforce'!$P149&gt;=2,FALSE()))))),1,0)</f>
        <v>0</v>
      </c>
      <c r="FE21" s="1" t="n">
        <f aca="false">IF(AND('Daily Workforce'!$N150="Y",'Daily Workforce'!$B150&lt;&gt;"",COUNTIF('Daily Schedule'!$F$5:$F24,'Daily Workforce'!$B150)=0,IF('Daily Schedule'!$A25=45,'Daily Workforce'!$J150="Y",IF(OR('Daily Schedule'!$A25=4,'Daily Schedule'!$A25=8),IF(OR(WEEKDAY('Daily Schedule'!$B$2,2)=1,WEEKDAY('Daily Schedule'!$B$2,2)=4,WEEKDAY('Daily Schedule'!$B$2,2)=5,WEEKDAY('Daily Schedule'!$B$2,2)=7),IFERROR(1*'Daily Workforce'!$K150&gt;=3,FALSE()),IFERROR(1*'Daily Workforce'!$K150&gt;=2,FALSE())),IF(AND('Daily Schedule'!$A25&gt;=46,'Daily Schedule'!$A25&lt;=52),'Daily Workforce'!$M150="Y",IFERROR(1*'Daily Workforce'!$P150&gt;=2,FALSE()))))),1,0)</f>
        <v>0</v>
      </c>
      <c r="FF21" s="1" t="n">
        <f aca="false">IF(AND('Daily Workforce'!$N151="Y",'Daily Workforce'!$B151&lt;&gt;"",COUNTIF('Daily Schedule'!$F$5:$F24,'Daily Workforce'!$B151)=0,IF('Daily Schedule'!$A25=45,'Daily Workforce'!$J151="Y",IF(OR('Daily Schedule'!$A25=4,'Daily Schedule'!$A25=8),IF(OR(WEEKDAY('Daily Schedule'!$B$2,2)=1,WEEKDAY('Daily Schedule'!$B$2,2)=4,WEEKDAY('Daily Schedule'!$B$2,2)=5,WEEKDAY('Daily Schedule'!$B$2,2)=7),IFERROR(1*'Daily Workforce'!$K151&gt;=3,FALSE()),IFERROR(1*'Daily Workforce'!$K151&gt;=2,FALSE())),IF(AND('Daily Schedule'!$A25&gt;=46,'Daily Schedule'!$A25&lt;=52),'Daily Workforce'!$M151="Y",IFERROR(1*'Daily Workforce'!$P151&gt;=2,FALSE()))))),1,0)</f>
        <v>0</v>
      </c>
      <c r="FG21" s="1" t="n">
        <f aca="false">IF(AND('Daily Workforce'!$N152="Y",'Daily Workforce'!$B152&lt;&gt;"",COUNTIF('Daily Schedule'!$F$5:$F24,'Daily Workforce'!$B152)=0,IF('Daily Schedule'!$A25=45,'Daily Workforce'!$J152="Y",IF(OR('Daily Schedule'!$A25=4,'Daily Schedule'!$A25=8),IF(OR(WEEKDAY('Daily Schedule'!$B$2,2)=1,WEEKDAY('Daily Schedule'!$B$2,2)=4,WEEKDAY('Daily Schedule'!$B$2,2)=5,WEEKDAY('Daily Schedule'!$B$2,2)=7),IFERROR(1*'Daily Workforce'!$K152&gt;=3,FALSE()),IFERROR(1*'Daily Workforce'!$K152&gt;=2,FALSE())),IF(AND('Daily Schedule'!$A25&gt;=46,'Daily Schedule'!$A25&lt;=52),'Daily Workforce'!$M152="Y",IFERROR(1*'Daily Workforce'!$P152&gt;=2,FALSE()))))),1,0)</f>
        <v>0</v>
      </c>
      <c r="FH21" s="1" t="n">
        <f aca="false">IF(AND('Daily Workforce'!$N153="Y",'Daily Workforce'!$B153&lt;&gt;"",COUNTIF('Daily Schedule'!$F$5:$F24,'Daily Workforce'!$B153)=0,IF('Daily Schedule'!$A25=45,'Daily Workforce'!$J153="Y",IF(OR('Daily Schedule'!$A25=4,'Daily Schedule'!$A25=8),IF(OR(WEEKDAY('Daily Schedule'!$B$2,2)=1,WEEKDAY('Daily Schedule'!$B$2,2)=4,WEEKDAY('Daily Schedule'!$B$2,2)=5,WEEKDAY('Daily Schedule'!$B$2,2)=7),IFERROR(1*'Daily Workforce'!$K153&gt;=3,FALSE()),IFERROR(1*'Daily Workforce'!$K153&gt;=2,FALSE())),IF(AND('Daily Schedule'!$A25&gt;=46,'Daily Schedule'!$A25&lt;=52),'Daily Workforce'!$M153="Y",IFERROR(1*'Daily Workforce'!$P153&gt;=2,FALSE()))))),1,0)</f>
        <v>0</v>
      </c>
      <c r="FI21" s="1" t="n">
        <f aca="false">IF(AND('Daily Workforce'!$N154="Y",'Daily Workforce'!$B154&lt;&gt;"",COUNTIF('Daily Schedule'!$F$5:$F24,'Daily Workforce'!$B154)=0,IF('Daily Schedule'!$A25=45,'Daily Workforce'!$J154="Y",IF(OR('Daily Schedule'!$A25=4,'Daily Schedule'!$A25=8),IF(OR(WEEKDAY('Daily Schedule'!$B$2,2)=1,WEEKDAY('Daily Schedule'!$B$2,2)=4,WEEKDAY('Daily Schedule'!$B$2,2)=5,WEEKDAY('Daily Schedule'!$B$2,2)=7),IFERROR(1*'Daily Workforce'!$K154&gt;=3,FALSE()),IFERROR(1*'Daily Workforce'!$K154&gt;=2,FALSE())),IF(AND('Daily Schedule'!$A25&gt;=46,'Daily Schedule'!$A25&lt;=52),'Daily Workforce'!$M154="Y",IFERROR(1*'Daily Workforce'!$P154&gt;=2,FALSE()))))),1,0)</f>
        <v>0</v>
      </c>
      <c r="FJ21" s="1" t="n">
        <f aca="false">IF(AND('Daily Workforce'!$N155="Y",'Daily Workforce'!$B155&lt;&gt;"",COUNTIF('Daily Schedule'!$F$5:$F24,'Daily Workforce'!$B155)=0,IF('Daily Schedule'!$A25=45,'Daily Workforce'!$J155="Y",IF(OR('Daily Schedule'!$A25=4,'Daily Schedule'!$A25=8),IF(OR(WEEKDAY('Daily Schedule'!$B$2,2)=1,WEEKDAY('Daily Schedule'!$B$2,2)=4,WEEKDAY('Daily Schedule'!$B$2,2)=5,WEEKDAY('Daily Schedule'!$B$2,2)=7),IFERROR(1*'Daily Workforce'!$K155&gt;=3,FALSE()),IFERROR(1*'Daily Workforce'!$K155&gt;=2,FALSE())),IF(AND('Daily Schedule'!$A25&gt;=46,'Daily Schedule'!$A25&lt;=52),'Daily Workforce'!$M155="Y",IFERROR(1*'Daily Workforce'!$P155&gt;=2,FALSE()))))),1,0)</f>
        <v>0</v>
      </c>
      <c r="FK21" s="1" t="n">
        <f aca="false">IF(AND('Daily Workforce'!$N156="Y",'Daily Workforce'!$B156&lt;&gt;"",COUNTIF('Daily Schedule'!$F$5:$F24,'Daily Workforce'!$B156)=0,IF('Daily Schedule'!$A25=45,'Daily Workforce'!$J156="Y",IF(OR('Daily Schedule'!$A25=4,'Daily Schedule'!$A25=8),IF(OR(WEEKDAY('Daily Schedule'!$B$2,2)=1,WEEKDAY('Daily Schedule'!$B$2,2)=4,WEEKDAY('Daily Schedule'!$B$2,2)=5,WEEKDAY('Daily Schedule'!$B$2,2)=7),IFERROR(1*'Daily Workforce'!$K156&gt;=3,FALSE()),IFERROR(1*'Daily Workforce'!$K156&gt;=2,FALSE())),IF(AND('Daily Schedule'!$A25&gt;=46,'Daily Schedule'!$A25&lt;=52),'Daily Workforce'!$M156="Y",IFERROR(1*'Daily Workforce'!$P156&gt;=2,FALSE()))))),1,0)</f>
        <v>0</v>
      </c>
      <c r="FL21" s="1" t="n">
        <f aca="false">IF(AND('Daily Workforce'!$N157="Y",'Daily Workforce'!$B157&lt;&gt;"",COUNTIF('Daily Schedule'!$F$5:$F24,'Daily Workforce'!$B157)=0,IF('Daily Schedule'!$A25=45,'Daily Workforce'!$J157="Y",IF(OR('Daily Schedule'!$A25=4,'Daily Schedule'!$A25=8),IF(OR(WEEKDAY('Daily Schedule'!$B$2,2)=1,WEEKDAY('Daily Schedule'!$B$2,2)=4,WEEKDAY('Daily Schedule'!$B$2,2)=5,WEEKDAY('Daily Schedule'!$B$2,2)=7),IFERROR(1*'Daily Workforce'!$K157&gt;=3,FALSE()),IFERROR(1*'Daily Workforce'!$K157&gt;=2,FALSE())),IF(AND('Daily Schedule'!$A25&gt;=46,'Daily Schedule'!$A25&lt;=52),'Daily Workforce'!$M157="Y",IFERROR(1*'Daily Workforce'!$P157&gt;=2,FALSE()))))),1,0)</f>
        <v>0</v>
      </c>
      <c r="FM21" s="1" t="n">
        <f aca="false">IF(AND('Daily Workforce'!$N158="Y",'Daily Workforce'!$B158&lt;&gt;"",COUNTIF('Daily Schedule'!$F$5:$F24,'Daily Workforce'!$B158)=0,IF('Daily Schedule'!$A25=45,'Daily Workforce'!$J158="Y",IF(OR('Daily Schedule'!$A25=4,'Daily Schedule'!$A25=8),IF(OR(WEEKDAY('Daily Schedule'!$B$2,2)=1,WEEKDAY('Daily Schedule'!$B$2,2)=4,WEEKDAY('Daily Schedule'!$B$2,2)=5,WEEKDAY('Daily Schedule'!$B$2,2)=7),IFERROR(1*'Daily Workforce'!$K158&gt;=3,FALSE()),IFERROR(1*'Daily Workforce'!$K158&gt;=2,FALSE())),IF(AND('Daily Schedule'!$A25&gt;=46,'Daily Schedule'!$A25&lt;=52),'Daily Workforce'!$M158="Y",IFERROR(1*'Daily Workforce'!$P158&gt;=2,FALSE()))))),1,0)</f>
        <v>0</v>
      </c>
      <c r="FN21" s="1" t="n">
        <f aca="false">IF(AND('Daily Workforce'!$N159="Y",'Daily Workforce'!$B159&lt;&gt;"",COUNTIF('Daily Schedule'!$F$5:$F24,'Daily Workforce'!$B159)=0,IF('Daily Schedule'!$A25=45,'Daily Workforce'!$J159="Y",IF(OR('Daily Schedule'!$A25=4,'Daily Schedule'!$A25=8),IF(OR(WEEKDAY('Daily Schedule'!$B$2,2)=1,WEEKDAY('Daily Schedule'!$B$2,2)=4,WEEKDAY('Daily Schedule'!$B$2,2)=5,WEEKDAY('Daily Schedule'!$B$2,2)=7),IFERROR(1*'Daily Workforce'!$K159&gt;=3,FALSE()),IFERROR(1*'Daily Workforce'!$K159&gt;=2,FALSE())),IF(AND('Daily Schedule'!$A25&gt;=46,'Daily Schedule'!$A25&lt;=52),'Daily Workforce'!$M159="Y",IFERROR(1*'Daily Workforce'!$P159&gt;=2,FALSE()))))),1,0)</f>
        <v>0</v>
      </c>
      <c r="FO21" s="1" t="n">
        <f aca="false">IF(AND('Daily Workforce'!$N160="Y",'Daily Workforce'!$B160&lt;&gt;"",COUNTIF('Daily Schedule'!$F$5:$F24,'Daily Workforce'!$B160)=0,IF('Daily Schedule'!$A25=45,'Daily Workforce'!$J160="Y",IF(OR('Daily Schedule'!$A25=4,'Daily Schedule'!$A25=8),IF(OR(WEEKDAY('Daily Schedule'!$B$2,2)=1,WEEKDAY('Daily Schedule'!$B$2,2)=4,WEEKDAY('Daily Schedule'!$B$2,2)=5,WEEKDAY('Daily Schedule'!$B$2,2)=7),IFERROR(1*'Daily Workforce'!$K160&gt;=3,FALSE()),IFERROR(1*'Daily Workforce'!$K160&gt;=2,FALSE())),IF(AND('Daily Schedule'!$A25&gt;=46,'Daily Schedule'!$A25&lt;=52),'Daily Workforce'!$M160="Y",IFERROR(1*'Daily Workforce'!$P160&gt;=2,FALSE()))))),1,0)</f>
        <v>0</v>
      </c>
      <c r="FP21" s="1" t="n">
        <f aca="false">IF(AND('Daily Workforce'!$N161="Y",'Daily Workforce'!$B161&lt;&gt;"",COUNTIF('Daily Schedule'!$F$5:$F24,'Daily Workforce'!$B161)=0,IF('Daily Schedule'!$A25=45,'Daily Workforce'!$J161="Y",IF(OR('Daily Schedule'!$A25=4,'Daily Schedule'!$A25=8),IF(OR(WEEKDAY('Daily Schedule'!$B$2,2)=1,WEEKDAY('Daily Schedule'!$B$2,2)=4,WEEKDAY('Daily Schedule'!$B$2,2)=5,WEEKDAY('Daily Schedule'!$B$2,2)=7),IFERROR(1*'Daily Workforce'!$K161&gt;=3,FALSE()),IFERROR(1*'Daily Workforce'!$K161&gt;=2,FALSE())),IF(AND('Daily Schedule'!$A25&gt;=46,'Daily Schedule'!$A25&lt;=52),'Daily Workforce'!$M161="Y",IFERROR(1*'Daily Workforce'!$P161&gt;=2,FALSE()))))),1,0)</f>
        <v>0</v>
      </c>
      <c r="FQ21" s="1" t="n">
        <f aca="false">IF(AND('Daily Workforce'!$N162="Y",'Daily Workforce'!$B162&lt;&gt;"",COUNTIF('Daily Schedule'!$F$5:$F24,'Daily Workforce'!$B162)=0,IF('Daily Schedule'!$A25=45,'Daily Workforce'!$J162="Y",IF(OR('Daily Schedule'!$A25=4,'Daily Schedule'!$A25=8),IF(OR(WEEKDAY('Daily Schedule'!$B$2,2)=1,WEEKDAY('Daily Schedule'!$B$2,2)=4,WEEKDAY('Daily Schedule'!$B$2,2)=5,WEEKDAY('Daily Schedule'!$B$2,2)=7),IFERROR(1*'Daily Workforce'!$K162&gt;=3,FALSE()),IFERROR(1*'Daily Workforce'!$K162&gt;=2,FALSE())),IF(AND('Daily Schedule'!$A25&gt;=46,'Daily Schedule'!$A25&lt;=52),'Daily Workforce'!$M162="Y",IFERROR(1*'Daily Workforce'!$P162&gt;=2,FALSE()))))),1,0)</f>
        <v>0</v>
      </c>
      <c r="FR21" s="1" t="n">
        <f aca="false">IF(AND('Daily Workforce'!$N163="Y",'Daily Workforce'!$B163&lt;&gt;"",COUNTIF('Daily Schedule'!$F$5:$F24,'Daily Workforce'!$B163)=0,IF('Daily Schedule'!$A25=45,'Daily Workforce'!$J163="Y",IF(OR('Daily Schedule'!$A25=4,'Daily Schedule'!$A25=8),IF(OR(WEEKDAY('Daily Schedule'!$B$2,2)=1,WEEKDAY('Daily Schedule'!$B$2,2)=4,WEEKDAY('Daily Schedule'!$B$2,2)=5,WEEKDAY('Daily Schedule'!$B$2,2)=7),IFERROR(1*'Daily Workforce'!$K163&gt;=3,FALSE()),IFERROR(1*'Daily Workforce'!$K163&gt;=2,FALSE())),IF(AND('Daily Schedule'!$A25&gt;=46,'Daily Schedule'!$A25&lt;=52),'Daily Workforce'!$M163="Y",IFERROR(1*'Daily Workforce'!$P163&gt;=2,FALSE()))))),1,0)</f>
        <v>0</v>
      </c>
      <c r="FS21" s="1" t="n">
        <f aca="false">IF(AND('Daily Workforce'!$N164="Y",'Daily Workforce'!$B164&lt;&gt;"",COUNTIF('Daily Schedule'!$F$5:$F24,'Daily Workforce'!$B164)=0,IF('Daily Schedule'!$A25=45,'Daily Workforce'!$J164="Y",IF(OR('Daily Schedule'!$A25=4,'Daily Schedule'!$A25=8),IF(OR(WEEKDAY('Daily Schedule'!$B$2,2)=1,WEEKDAY('Daily Schedule'!$B$2,2)=4,WEEKDAY('Daily Schedule'!$B$2,2)=5,WEEKDAY('Daily Schedule'!$B$2,2)=7),IFERROR(1*'Daily Workforce'!$K164&gt;=3,FALSE()),IFERROR(1*'Daily Workforce'!$K164&gt;=2,FALSE())),IF(AND('Daily Schedule'!$A25&gt;=46,'Daily Schedule'!$A25&lt;=52),'Daily Workforce'!$M164="Y",IFERROR(1*'Daily Workforce'!$P164&gt;=2,FALSE()))))),1,0)</f>
        <v>0</v>
      </c>
      <c r="FT21" s="1" t="n">
        <f aca="false">IF(AND('Daily Workforce'!$N165="Y",'Daily Workforce'!$B165&lt;&gt;"",COUNTIF('Daily Schedule'!$F$5:$F24,'Daily Workforce'!$B165)=0,IF('Daily Schedule'!$A25=45,'Daily Workforce'!$J165="Y",IF(OR('Daily Schedule'!$A25=4,'Daily Schedule'!$A25=8),IF(OR(WEEKDAY('Daily Schedule'!$B$2,2)=1,WEEKDAY('Daily Schedule'!$B$2,2)=4,WEEKDAY('Daily Schedule'!$B$2,2)=5,WEEKDAY('Daily Schedule'!$B$2,2)=7),IFERROR(1*'Daily Workforce'!$K165&gt;=3,FALSE()),IFERROR(1*'Daily Workforce'!$K165&gt;=2,FALSE())),IF(AND('Daily Schedule'!$A25&gt;=46,'Daily Schedule'!$A25&lt;=52),'Daily Workforce'!$M165="Y",IFERROR(1*'Daily Workforce'!$P165&gt;=2,FALSE()))))),1,0)</f>
        <v>0</v>
      </c>
      <c r="FU21" s="1" t="n">
        <f aca="false">IF(AND('Daily Workforce'!$N166="Y",'Daily Workforce'!$B166&lt;&gt;"",COUNTIF('Daily Schedule'!$F$5:$F24,'Daily Workforce'!$B166)=0,IF('Daily Schedule'!$A25=45,'Daily Workforce'!$J166="Y",IF(OR('Daily Schedule'!$A25=4,'Daily Schedule'!$A25=8),IF(OR(WEEKDAY('Daily Schedule'!$B$2,2)=1,WEEKDAY('Daily Schedule'!$B$2,2)=4,WEEKDAY('Daily Schedule'!$B$2,2)=5,WEEKDAY('Daily Schedule'!$B$2,2)=7),IFERROR(1*'Daily Workforce'!$K166&gt;=3,FALSE()),IFERROR(1*'Daily Workforce'!$K166&gt;=2,FALSE())),IF(AND('Daily Schedule'!$A25&gt;=46,'Daily Schedule'!$A25&lt;=52),'Daily Workforce'!$M166="Y",IFERROR(1*'Daily Workforce'!$P166&gt;=2,FALSE()))))),1,0)</f>
        <v>0</v>
      </c>
      <c r="FV21" s="1" t="n">
        <f aca="false">IF(AND('Daily Workforce'!$N167="Y",'Daily Workforce'!$B167&lt;&gt;"",COUNTIF('Daily Schedule'!$F$5:$F24,'Daily Workforce'!$B167)=0,IF('Daily Schedule'!$A25=45,'Daily Workforce'!$J167="Y",IF(OR('Daily Schedule'!$A25=4,'Daily Schedule'!$A25=8),IF(OR(WEEKDAY('Daily Schedule'!$B$2,2)=1,WEEKDAY('Daily Schedule'!$B$2,2)=4,WEEKDAY('Daily Schedule'!$B$2,2)=5,WEEKDAY('Daily Schedule'!$B$2,2)=7),IFERROR(1*'Daily Workforce'!$K167&gt;=3,FALSE()),IFERROR(1*'Daily Workforce'!$K167&gt;=2,FALSE())),IF(AND('Daily Schedule'!$A25&gt;=46,'Daily Schedule'!$A25&lt;=52),'Daily Workforce'!$M167="Y",IFERROR(1*'Daily Workforce'!$P167&gt;=2,FALSE()))))),1,0)</f>
        <v>0</v>
      </c>
      <c r="FW21" s="1" t="n">
        <f aca="false">IF(AND('Daily Workforce'!$N168="Y",'Daily Workforce'!$B168&lt;&gt;"",COUNTIF('Daily Schedule'!$F$5:$F24,'Daily Workforce'!$B168)=0,IF('Daily Schedule'!$A25=45,'Daily Workforce'!$J168="Y",IF(OR('Daily Schedule'!$A25=4,'Daily Schedule'!$A25=8),IF(OR(WEEKDAY('Daily Schedule'!$B$2,2)=1,WEEKDAY('Daily Schedule'!$B$2,2)=4,WEEKDAY('Daily Schedule'!$B$2,2)=5,WEEKDAY('Daily Schedule'!$B$2,2)=7),IFERROR(1*'Daily Workforce'!$K168&gt;=3,FALSE()),IFERROR(1*'Daily Workforce'!$K168&gt;=2,FALSE())),IF(AND('Daily Schedule'!$A25&gt;=46,'Daily Schedule'!$A25&lt;=52),'Daily Workforce'!$M168="Y",IFERROR(1*'Daily Workforce'!$P168&gt;=2,FALSE()))))),1,0)</f>
        <v>0</v>
      </c>
      <c r="FX21" s="1" t="n">
        <f aca="false">IF(AND('Daily Workforce'!$N169="Y",'Daily Workforce'!$B169&lt;&gt;"",COUNTIF('Daily Schedule'!$F$5:$F24,'Daily Workforce'!$B169)=0,IF('Daily Schedule'!$A25=45,'Daily Workforce'!$J169="Y",IF(OR('Daily Schedule'!$A25=4,'Daily Schedule'!$A25=8),IF(OR(WEEKDAY('Daily Schedule'!$B$2,2)=1,WEEKDAY('Daily Schedule'!$B$2,2)=4,WEEKDAY('Daily Schedule'!$B$2,2)=5,WEEKDAY('Daily Schedule'!$B$2,2)=7),IFERROR(1*'Daily Workforce'!$K169&gt;=3,FALSE()),IFERROR(1*'Daily Workforce'!$K169&gt;=2,FALSE())),IF(AND('Daily Schedule'!$A25&gt;=46,'Daily Schedule'!$A25&lt;=52),'Daily Workforce'!$M169="Y",IFERROR(1*'Daily Workforce'!$P169&gt;=2,FALSE()))))),1,0)</f>
        <v>0</v>
      </c>
      <c r="FY21" s="1" t="n">
        <f aca="false">IF(AND('Daily Workforce'!$N170="Y",'Daily Workforce'!$B170&lt;&gt;"",COUNTIF('Daily Schedule'!$F$5:$F24,'Daily Workforce'!$B170)=0,IF('Daily Schedule'!$A25=45,'Daily Workforce'!$J170="Y",IF(OR('Daily Schedule'!$A25=4,'Daily Schedule'!$A25=8),IF(OR(WEEKDAY('Daily Schedule'!$B$2,2)=1,WEEKDAY('Daily Schedule'!$B$2,2)=4,WEEKDAY('Daily Schedule'!$B$2,2)=5,WEEKDAY('Daily Schedule'!$B$2,2)=7),IFERROR(1*'Daily Workforce'!$K170&gt;=3,FALSE()),IFERROR(1*'Daily Workforce'!$K170&gt;=2,FALSE())),IF(AND('Daily Schedule'!$A25&gt;=46,'Daily Schedule'!$A25&lt;=52),'Daily Workforce'!$M170="Y",IFERROR(1*'Daily Workforce'!$P170&gt;=2,FALSE()))))),1,0)</f>
        <v>0</v>
      </c>
      <c r="FZ21" s="1" t="n">
        <f aca="false">IF(AND('Daily Workforce'!$N171="Y",'Daily Workforce'!$B171&lt;&gt;"",COUNTIF('Daily Schedule'!$F$5:$F24,'Daily Workforce'!$B171)=0,IF('Daily Schedule'!$A25=45,'Daily Workforce'!$J171="Y",IF(OR('Daily Schedule'!$A25=4,'Daily Schedule'!$A25=8),IF(OR(WEEKDAY('Daily Schedule'!$B$2,2)=1,WEEKDAY('Daily Schedule'!$B$2,2)=4,WEEKDAY('Daily Schedule'!$B$2,2)=5,WEEKDAY('Daily Schedule'!$B$2,2)=7),IFERROR(1*'Daily Workforce'!$K171&gt;=3,FALSE()),IFERROR(1*'Daily Workforce'!$K171&gt;=2,FALSE())),IF(AND('Daily Schedule'!$A25&gt;=46,'Daily Schedule'!$A25&lt;=52),'Daily Workforce'!$M171="Y",IFERROR(1*'Daily Workforce'!$P171&gt;=2,FALSE()))))),1,0)</f>
        <v>0</v>
      </c>
      <c r="GA21" s="1" t="n">
        <f aca="false">IF(AND('Daily Workforce'!$N172="Y",'Daily Workforce'!$B172&lt;&gt;"",COUNTIF('Daily Schedule'!$F$5:$F24,'Daily Workforce'!$B172)=0,IF('Daily Schedule'!$A25=45,'Daily Workforce'!$J172="Y",IF(OR('Daily Schedule'!$A25=4,'Daily Schedule'!$A25=8),IF(OR(WEEKDAY('Daily Schedule'!$B$2,2)=1,WEEKDAY('Daily Schedule'!$B$2,2)=4,WEEKDAY('Daily Schedule'!$B$2,2)=5,WEEKDAY('Daily Schedule'!$B$2,2)=7),IFERROR(1*'Daily Workforce'!$K172&gt;=3,FALSE()),IFERROR(1*'Daily Workforce'!$K172&gt;=2,FALSE())),IF(AND('Daily Schedule'!$A25&gt;=46,'Daily Schedule'!$A25&lt;=52),'Daily Workforce'!$M172="Y",IFERROR(1*'Daily Workforce'!$P172&gt;=2,FALSE()))))),1,0)</f>
        <v>0</v>
      </c>
      <c r="GB21" s="1" t="n">
        <f aca="false">IF(AND('Daily Workforce'!$N173="Y",'Daily Workforce'!$B173&lt;&gt;"",COUNTIF('Daily Schedule'!$F$5:$F24,'Daily Workforce'!$B173)=0,IF('Daily Schedule'!$A25=45,'Daily Workforce'!$J173="Y",IF(OR('Daily Schedule'!$A25=4,'Daily Schedule'!$A25=8),IF(OR(WEEKDAY('Daily Schedule'!$B$2,2)=1,WEEKDAY('Daily Schedule'!$B$2,2)=4,WEEKDAY('Daily Schedule'!$B$2,2)=5,WEEKDAY('Daily Schedule'!$B$2,2)=7),IFERROR(1*'Daily Workforce'!$K173&gt;=3,FALSE()),IFERROR(1*'Daily Workforce'!$K173&gt;=2,FALSE())),IF(AND('Daily Schedule'!$A25&gt;=46,'Daily Schedule'!$A25&lt;=52),'Daily Workforce'!$M173="Y",IFERROR(1*'Daily Workforce'!$P173&gt;=2,FALSE()))))),1,0)</f>
        <v>0</v>
      </c>
      <c r="GC21" s="1" t="n">
        <f aca="false">IF(AND('Daily Workforce'!$N174="Y",'Daily Workforce'!$B174&lt;&gt;"",COUNTIF('Daily Schedule'!$F$5:$F24,'Daily Workforce'!$B174)=0,IF('Daily Schedule'!$A25=45,'Daily Workforce'!$J174="Y",IF(OR('Daily Schedule'!$A25=4,'Daily Schedule'!$A25=8),IF(OR(WEEKDAY('Daily Schedule'!$B$2,2)=1,WEEKDAY('Daily Schedule'!$B$2,2)=4,WEEKDAY('Daily Schedule'!$B$2,2)=5,WEEKDAY('Daily Schedule'!$B$2,2)=7),IFERROR(1*'Daily Workforce'!$K174&gt;=3,FALSE()),IFERROR(1*'Daily Workforce'!$K174&gt;=2,FALSE())),IF(AND('Daily Schedule'!$A25&gt;=46,'Daily Schedule'!$A25&lt;=52),'Daily Workforce'!$M174="Y",IFERROR(1*'Daily Workforce'!$P174&gt;=2,FALSE()))))),1,0)</f>
        <v>0</v>
      </c>
      <c r="GD21" s="1" t="n">
        <f aca="false">IF(AND('Daily Workforce'!$N175="Y",'Daily Workforce'!$B175&lt;&gt;"",COUNTIF('Daily Schedule'!$F$5:$F24,'Daily Workforce'!$B175)=0,IF('Daily Schedule'!$A25=45,'Daily Workforce'!$J175="Y",IF(OR('Daily Schedule'!$A25=4,'Daily Schedule'!$A25=8),IF(OR(WEEKDAY('Daily Schedule'!$B$2,2)=1,WEEKDAY('Daily Schedule'!$B$2,2)=4,WEEKDAY('Daily Schedule'!$B$2,2)=5,WEEKDAY('Daily Schedule'!$B$2,2)=7),IFERROR(1*'Daily Workforce'!$K175&gt;=3,FALSE()),IFERROR(1*'Daily Workforce'!$K175&gt;=2,FALSE())),IF(AND('Daily Schedule'!$A25&gt;=46,'Daily Schedule'!$A25&lt;=52),'Daily Workforce'!$M175="Y",IFERROR(1*'Daily Workforce'!$P175&gt;=2,FALSE()))))),1,0)</f>
        <v>0</v>
      </c>
      <c r="GE21" s="1" t="n">
        <f aca="false">IF(AND('Daily Workforce'!$N176="Y",'Daily Workforce'!$B176&lt;&gt;"",COUNTIF('Daily Schedule'!$F$5:$F24,'Daily Workforce'!$B176)=0,IF('Daily Schedule'!$A25=45,'Daily Workforce'!$J176="Y",IF(OR('Daily Schedule'!$A25=4,'Daily Schedule'!$A25=8),IF(OR(WEEKDAY('Daily Schedule'!$B$2,2)=1,WEEKDAY('Daily Schedule'!$B$2,2)=4,WEEKDAY('Daily Schedule'!$B$2,2)=5,WEEKDAY('Daily Schedule'!$B$2,2)=7),IFERROR(1*'Daily Workforce'!$K176&gt;=3,FALSE()),IFERROR(1*'Daily Workforce'!$K176&gt;=2,FALSE())),IF(AND('Daily Schedule'!$A25&gt;=46,'Daily Schedule'!$A25&lt;=52),'Daily Workforce'!$M176="Y",IFERROR(1*'Daily Workforce'!$P176&gt;=2,FALSE()))))),1,0)</f>
        <v>0</v>
      </c>
      <c r="GF21" s="1" t="n">
        <f aca="false">IF(AND('Daily Workforce'!$N177="Y",'Daily Workforce'!$B177&lt;&gt;"",COUNTIF('Daily Schedule'!$F$5:$F24,'Daily Workforce'!$B177)=0,IF('Daily Schedule'!$A25=45,'Daily Workforce'!$J177="Y",IF(OR('Daily Schedule'!$A25=4,'Daily Schedule'!$A25=8),IF(OR(WEEKDAY('Daily Schedule'!$B$2,2)=1,WEEKDAY('Daily Schedule'!$B$2,2)=4,WEEKDAY('Daily Schedule'!$B$2,2)=5,WEEKDAY('Daily Schedule'!$B$2,2)=7),IFERROR(1*'Daily Workforce'!$K177&gt;=3,FALSE()),IFERROR(1*'Daily Workforce'!$K177&gt;=2,FALSE())),IF(AND('Daily Schedule'!$A25&gt;=46,'Daily Schedule'!$A25&lt;=52),'Daily Workforce'!$M177="Y",IFERROR(1*'Daily Workforce'!$P177&gt;=2,FALSE()))))),1,0)</f>
        <v>0</v>
      </c>
      <c r="GG21" s="1" t="n">
        <f aca="false">IF(AND('Daily Workforce'!$N178="Y",'Daily Workforce'!$B178&lt;&gt;"",COUNTIF('Daily Schedule'!$F$5:$F24,'Daily Workforce'!$B178)=0,IF('Daily Schedule'!$A25=45,'Daily Workforce'!$J178="Y",IF(OR('Daily Schedule'!$A25=4,'Daily Schedule'!$A25=8),IF(OR(WEEKDAY('Daily Schedule'!$B$2,2)=1,WEEKDAY('Daily Schedule'!$B$2,2)=4,WEEKDAY('Daily Schedule'!$B$2,2)=5,WEEKDAY('Daily Schedule'!$B$2,2)=7),IFERROR(1*'Daily Workforce'!$K178&gt;=3,FALSE()),IFERROR(1*'Daily Workforce'!$K178&gt;=2,FALSE())),IF(AND('Daily Schedule'!$A25&gt;=46,'Daily Schedule'!$A25&lt;=52),'Daily Workforce'!$M178="Y",IFERROR(1*'Daily Workforce'!$P178&gt;=2,FALSE()))))),1,0)</f>
        <v>0</v>
      </c>
      <c r="GH21" s="1" t="n">
        <f aca="false">IF(AND('Daily Workforce'!$N179="Y",'Daily Workforce'!$B179&lt;&gt;"",COUNTIF('Daily Schedule'!$F$5:$F24,'Daily Workforce'!$B179)=0,IF('Daily Schedule'!$A25=45,'Daily Workforce'!$J179="Y",IF(OR('Daily Schedule'!$A25=4,'Daily Schedule'!$A25=8),IF(OR(WEEKDAY('Daily Schedule'!$B$2,2)=1,WEEKDAY('Daily Schedule'!$B$2,2)=4,WEEKDAY('Daily Schedule'!$B$2,2)=5,WEEKDAY('Daily Schedule'!$B$2,2)=7),IFERROR(1*'Daily Workforce'!$K179&gt;=3,FALSE()),IFERROR(1*'Daily Workforce'!$K179&gt;=2,FALSE())),IF(AND('Daily Schedule'!$A25&gt;=46,'Daily Schedule'!$A25&lt;=52),'Daily Workforce'!$M179="Y",IFERROR(1*'Daily Workforce'!$P179&gt;=2,FALSE()))))),1,0)</f>
        <v>0</v>
      </c>
      <c r="GI21" s="1" t="n">
        <f aca="false">IF(AND('Daily Workforce'!$N180="Y",'Daily Workforce'!$B180&lt;&gt;"",COUNTIF('Daily Schedule'!$F$5:$F24,'Daily Workforce'!$B180)=0,IF('Daily Schedule'!$A25=45,'Daily Workforce'!$J180="Y",IF(OR('Daily Schedule'!$A25=4,'Daily Schedule'!$A25=8),IF(OR(WEEKDAY('Daily Schedule'!$B$2,2)=1,WEEKDAY('Daily Schedule'!$B$2,2)=4,WEEKDAY('Daily Schedule'!$B$2,2)=5,WEEKDAY('Daily Schedule'!$B$2,2)=7),IFERROR(1*'Daily Workforce'!$K180&gt;=3,FALSE()),IFERROR(1*'Daily Workforce'!$K180&gt;=2,FALSE())),IF(AND('Daily Schedule'!$A25&gt;=46,'Daily Schedule'!$A25&lt;=52),'Daily Workforce'!$M180="Y",IFERROR(1*'Daily Workforce'!$P180&gt;=2,FALSE()))))),1,0)</f>
        <v>0</v>
      </c>
      <c r="GJ21" s="1" t="n">
        <f aca="false">IF(AND('Daily Workforce'!$N181="Y",'Daily Workforce'!$B181&lt;&gt;"",COUNTIF('Daily Schedule'!$F$5:$F24,'Daily Workforce'!$B181)=0,IF('Daily Schedule'!$A25=45,'Daily Workforce'!$J181="Y",IF(OR('Daily Schedule'!$A25=4,'Daily Schedule'!$A25=8),IF(OR(WEEKDAY('Daily Schedule'!$B$2,2)=1,WEEKDAY('Daily Schedule'!$B$2,2)=4,WEEKDAY('Daily Schedule'!$B$2,2)=5,WEEKDAY('Daily Schedule'!$B$2,2)=7),IFERROR(1*'Daily Workforce'!$K181&gt;=3,FALSE()),IFERROR(1*'Daily Workforce'!$K181&gt;=2,FALSE())),IF(AND('Daily Schedule'!$A25&gt;=46,'Daily Schedule'!$A25&lt;=52),'Daily Workforce'!$M181="Y",IFERROR(1*'Daily Workforce'!$P181&gt;=2,FALSE()))))),1,0)</f>
        <v>0</v>
      </c>
      <c r="GK21" s="1" t="n">
        <f aca="false">IF(AND('Daily Workforce'!$N182="Y",'Daily Workforce'!$B182&lt;&gt;"",COUNTIF('Daily Schedule'!$F$5:$F24,'Daily Workforce'!$B182)=0,IF('Daily Schedule'!$A25=45,'Daily Workforce'!$J182="Y",IF(OR('Daily Schedule'!$A25=4,'Daily Schedule'!$A25=8),IF(OR(WEEKDAY('Daily Schedule'!$B$2,2)=1,WEEKDAY('Daily Schedule'!$B$2,2)=4,WEEKDAY('Daily Schedule'!$B$2,2)=5,WEEKDAY('Daily Schedule'!$B$2,2)=7),IFERROR(1*'Daily Workforce'!$K182&gt;=3,FALSE()),IFERROR(1*'Daily Workforce'!$K182&gt;=2,FALSE())),IF(AND('Daily Schedule'!$A25&gt;=46,'Daily Schedule'!$A25&lt;=52),'Daily Workforce'!$M182="Y",IFERROR(1*'Daily Workforce'!$P182&gt;=2,FALSE()))))),1,0)</f>
        <v>0</v>
      </c>
      <c r="GL21" s="1" t="n">
        <f aca="false">IF(AND('Daily Workforce'!$N183="Y",'Daily Workforce'!$B183&lt;&gt;"",COUNTIF('Daily Schedule'!$F$5:$F24,'Daily Workforce'!$B183)=0,IF('Daily Schedule'!$A25=45,'Daily Workforce'!$J183="Y",IF(OR('Daily Schedule'!$A25=4,'Daily Schedule'!$A25=8),IF(OR(WEEKDAY('Daily Schedule'!$B$2,2)=1,WEEKDAY('Daily Schedule'!$B$2,2)=4,WEEKDAY('Daily Schedule'!$B$2,2)=5,WEEKDAY('Daily Schedule'!$B$2,2)=7),IFERROR(1*'Daily Workforce'!$K183&gt;=3,FALSE()),IFERROR(1*'Daily Workforce'!$K183&gt;=2,FALSE())),IF(AND('Daily Schedule'!$A25&gt;=46,'Daily Schedule'!$A25&lt;=52),'Daily Workforce'!$M183="Y",IFERROR(1*'Daily Workforce'!$P183&gt;=2,FALSE()))))),1,0)</f>
        <v>0</v>
      </c>
      <c r="GM21" s="1" t="n">
        <f aca="false">IF(AND('Daily Workforce'!$N184="Y",'Daily Workforce'!$B184&lt;&gt;"",COUNTIF('Daily Schedule'!$F$5:$F24,'Daily Workforce'!$B184)=0,IF('Daily Schedule'!$A25=45,'Daily Workforce'!$J184="Y",IF(OR('Daily Schedule'!$A25=4,'Daily Schedule'!$A25=8),IF(OR(WEEKDAY('Daily Schedule'!$B$2,2)=1,WEEKDAY('Daily Schedule'!$B$2,2)=4,WEEKDAY('Daily Schedule'!$B$2,2)=5,WEEKDAY('Daily Schedule'!$B$2,2)=7),IFERROR(1*'Daily Workforce'!$K184&gt;=3,FALSE()),IFERROR(1*'Daily Workforce'!$K184&gt;=2,FALSE())),IF(AND('Daily Schedule'!$A25&gt;=46,'Daily Schedule'!$A25&lt;=52),'Daily Workforce'!$M184="Y",IFERROR(1*'Daily Workforce'!$P184&gt;=2,FALSE()))))),1,0)</f>
        <v>0</v>
      </c>
      <c r="GN21" s="1" t="n">
        <f aca="false">IF(AND('Daily Workforce'!$N185="Y",'Daily Workforce'!$B185&lt;&gt;"",COUNTIF('Daily Schedule'!$F$5:$F24,'Daily Workforce'!$B185)=0,IF('Daily Schedule'!$A25=45,'Daily Workforce'!$J185="Y",IF(OR('Daily Schedule'!$A25=4,'Daily Schedule'!$A25=8),IF(OR(WEEKDAY('Daily Schedule'!$B$2,2)=1,WEEKDAY('Daily Schedule'!$B$2,2)=4,WEEKDAY('Daily Schedule'!$B$2,2)=5,WEEKDAY('Daily Schedule'!$B$2,2)=7),IFERROR(1*'Daily Workforce'!$K185&gt;=3,FALSE()),IFERROR(1*'Daily Workforce'!$K185&gt;=2,FALSE())),IF(AND('Daily Schedule'!$A25&gt;=46,'Daily Schedule'!$A25&lt;=52),'Daily Workforce'!$M185="Y",IFERROR(1*'Daily Workforce'!$P185&gt;=2,FALSE()))))),1,0)</f>
        <v>0</v>
      </c>
      <c r="GO21" s="1" t="n">
        <f aca="false">IF(AND('Daily Workforce'!$N186="Y",'Daily Workforce'!$B186&lt;&gt;"",COUNTIF('Daily Schedule'!$F$5:$F24,'Daily Workforce'!$B186)=0,IF('Daily Schedule'!$A25=45,'Daily Workforce'!$J186="Y",IF(OR('Daily Schedule'!$A25=4,'Daily Schedule'!$A25=8),IF(OR(WEEKDAY('Daily Schedule'!$B$2,2)=1,WEEKDAY('Daily Schedule'!$B$2,2)=4,WEEKDAY('Daily Schedule'!$B$2,2)=5,WEEKDAY('Daily Schedule'!$B$2,2)=7),IFERROR(1*'Daily Workforce'!$K186&gt;=3,FALSE()),IFERROR(1*'Daily Workforce'!$K186&gt;=2,FALSE())),IF(AND('Daily Schedule'!$A25&gt;=46,'Daily Schedule'!$A25&lt;=52),'Daily Workforce'!$M186="Y",IFERROR(1*'Daily Workforce'!$P186&gt;=2,FALSE()))))),1,0)</f>
        <v>0</v>
      </c>
      <c r="GP21" s="1" t="n">
        <f aca="false">IF(AND('Daily Workforce'!$N187="Y",'Daily Workforce'!$B187&lt;&gt;"",COUNTIF('Daily Schedule'!$F$5:$F24,'Daily Workforce'!$B187)=0,IF('Daily Schedule'!$A25=45,'Daily Workforce'!$J187="Y",IF(OR('Daily Schedule'!$A25=4,'Daily Schedule'!$A25=8),IF(OR(WEEKDAY('Daily Schedule'!$B$2,2)=1,WEEKDAY('Daily Schedule'!$B$2,2)=4,WEEKDAY('Daily Schedule'!$B$2,2)=5,WEEKDAY('Daily Schedule'!$B$2,2)=7),IFERROR(1*'Daily Workforce'!$K187&gt;=3,FALSE()),IFERROR(1*'Daily Workforce'!$K187&gt;=2,FALSE())),IF(AND('Daily Schedule'!$A25&gt;=46,'Daily Schedule'!$A25&lt;=52),'Daily Workforce'!$M187="Y",IFERROR(1*'Daily Workforce'!$P187&gt;=2,FALSE()))))),1,0)</f>
        <v>0</v>
      </c>
      <c r="GQ21" s="1" t="n">
        <f aca="false">IF(AND('Daily Workforce'!$N188="Y",'Daily Workforce'!$B188&lt;&gt;"",COUNTIF('Daily Schedule'!$F$5:$F24,'Daily Workforce'!$B188)=0,IF('Daily Schedule'!$A25=45,'Daily Workforce'!$J188="Y",IF(OR('Daily Schedule'!$A25=4,'Daily Schedule'!$A25=8),IF(OR(WEEKDAY('Daily Schedule'!$B$2,2)=1,WEEKDAY('Daily Schedule'!$B$2,2)=4,WEEKDAY('Daily Schedule'!$B$2,2)=5,WEEKDAY('Daily Schedule'!$B$2,2)=7),IFERROR(1*'Daily Workforce'!$K188&gt;=3,FALSE()),IFERROR(1*'Daily Workforce'!$K188&gt;=2,FALSE())),IF(AND('Daily Schedule'!$A25&gt;=46,'Daily Schedule'!$A25&lt;=52),'Daily Workforce'!$M188="Y",IFERROR(1*'Daily Workforce'!$P188&gt;=2,FALSE()))))),1,0)</f>
        <v>0</v>
      </c>
      <c r="GR21" s="1" t="n">
        <f aca="false">IF(AND('Daily Workforce'!$N189="Y",'Daily Workforce'!$B189&lt;&gt;"",COUNTIF('Daily Schedule'!$F$5:$F24,'Daily Workforce'!$B189)=0,IF('Daily Schedule'!$A25=45,'Daily Workforce'!$J189="Y",IF(OR('Daily Schedule'!$A25=4,'Daily Schedule'!$A25=8),IF(OR(WEEKDAY('Daily Schedule'!$B$2,2)=1,WEEKDAY('Daily Schedule'!$B$2,2)=4,WEEKDAY('Daily Schedule'!$B$2,2)=5,WEEKDAY('Daily Schedule'!$B$2,2)=7),IFERROR(1*'Daily Workforce'!$K189&gt;=3,FALSE()),IFERROR(1*'Daily Workforce'!$K189&gt;=2,FALSE())),IF(AND('Daily Schedule'!$A25&gt;=46,'Daily Schedule'!$A25&lt;=52),'Daily Workforce'!$M189="Y",IFERROR(1*'Daily Workforce'!$P189&gt;=2,FALSE()))))),1,0)</f>
        <v>0</v>
      </c>
      <c r="GS21" s="1" t="n">
        <f aca="false">IF(AND('Daily Workforce'!$N190="Y",'Daily Workforce'!$B190&lt;&gt;"",COUNTIF('Daily Schedule'!$F$5:$F24,'Daily Workforce'!$B190)=0,IF('Daily Schedule'!$A25=45,'Daily Workforce'!$J190="Y",IF(OR('Daily Schedule'!$A25=4,'Daily Schedule'!$A25=8),IF(OR(WEEKDAY('Daily Schedule'!$B$2,2)=1,WEEKDAY('Daily Schedule'!$B$2,2)=4,WEEKDAY('Daily Schedule'!$B$2,2)=5,WEEKDAY('Daily Schedule'!$B$2,2)=7),IFERROR(1*'Daily Workforce'!$K190&gt;=3,FALSE()),IFERROR(1*'Daily Workforce'!$K190&gt;=2,FALSE())),IF(AND('Daily Schedule'!$A25&gt;=46,'Daily Schedule'!$A25&lt;=52),'Daily Workforce'!$M190="Y",IFERROR(1*'Daily Workforce'!$P190&gt;=2,FALSE()))))),1,0)</f>
        <v>0</v>
      </c>
      <c r="GT21" s="1" t="n">
        <f aca="false">IF(AND('Daily Workforce'!$N191="Y",'Daily Workforce'!$B191&lt;&gt;"",COUNTIF('Daily Schedule'!$F$5:$F24,'Daily Workforce'!$B191)=0,IF('Daily Schedule'!$A25=45,'Daily Workforce'!$J191="Y",IF(OR('Daily Schedule'!$A25=4,'Daily Schedule'!$A25=8),IF(OR(WEEKDAY('Daily Schedule'!$B$2,2)=1,WEEKDAY('Daily Schedule'!$B$2,2)=4,WEEKDAY('Daily Schedule'!$B$2,2)=5,WEEKDAY('Daily Schedule'!$B$2,2)=7),IFERROR(1*'Daily Workforce'!$K191&gt;=3,FALSE()),IFERROR(1*'Daily Workforce'!$K191&gt;=2,FALSE())),IF(AND('Daily Schedule'!$A25&gt;=46,'Daily Schedule'!$A25&lt;=52),'Daily Workforce'!$M191="Y",IFERROR(1*'Daily Workforce'!$P191&gt;=2,FALSE()))))),1,0)</f>
        <v>0</v>
      </c>
      <c r="GU21" s="1" t="n">
        <f aca="false">IF(AND('Daily Workforce'!$N192="Y",'Daily Workforce'!$B192&lt;&gt;"",COUNTIF('Daily Schedule'!$F$5:$F24,'Daily Workforce'!$B192)=0,IF('Daily Schedule'!$A25=45,'Daily Workforce'!$J192="Y",IF(OR('Daily Schedule'!$A25=4,'Daily Schedule'!$A25=8),IF(OR(WEEKDAY('Daily Schedule'!$B$2,2)=1,WEEKDAY('Daily Schedule'!$B$2,2)=4,WEEKDAY('Daily Schedule'!$B$2,2)=5,WEEKDAY('Daily Schedule'!$B$2,2)=7),IFERROR(1*'Daily Workforce'!$K192&gt;=3,FALSE()),IFERROR(1*'Daily Workforce'!$K192&gt;=2,FALSE())),IF(AND('Daily Schedule'!$A25&gt;=46,'Daily Schedule'!$A25&lt;=52),'Daily Workforce'!$M192="Y",IFERROR(1*'Daily Workforce'!$P192&gt;=2,FALSE()))))),1,0)</f>
        <v>0</v>
      </c>
      <c r="GV21" s="1" t="n">
        <f aca="false">IF(AND('Daily Workforce'!$N193="Y",'Daily Workforce'!$B193&lt;&gt;"",COUNTIF('Daily Schedule'!$F$5:$F24,'Daily Workforce'!$B193)=0,IF('Daily Schedule'!$A25=45,'Daily Workforce'!$J193="Y",IF(OR('Daily Schedule'!$A25=4,'Daily Schedule'!$A25=8),IF(OR(WEEKDAY('Daily Schedule'!$B$2,2)=1,WEEKDAY('Daily Schedule'!$B$2,2)=4,WEEKDAY('Daily Schedule'!$B$2,2)=5,WEEKDAY('Daily Schedule'!$B$2,2)=7),IFERROR(1*'Daily Workforce'!$K193&gt;=3,FALSE()),IFERROR(1*'Daily Workforce'!$K193&gt;=2,FALSE())),IF(AND('Daily Schedule'!$A25&gt;=46,'Daily Schedule'!$A25&lt;=52),'Daily Workforce'!$M193="Y",IFERROR(1*'Daily Workforce'!$P193&gt;=2,FALSE()))))),1,0)</f>
        <v>0</v>
      </c>
      <c r="GW21" s="1" t="n">
        <f aca="false">IF(AND('Daily Workforce'!$N194="Y",'Daily Workforce'!$B194&lt;&gt;"",COUNTIF('Daily Schedule'!$F$5:$F24,'Daily Workforce'!$B194)=0,IF('Daily Schedule'!$A25=45,'Daily Workforce'!$J194="Y",IF(OR('Daily Schedule'!$A25=4,'Daily Schedule'!$A25=8),IF(OR(WEEKDAY('Daily Schedule'!$B$2,2)=1,WEEKDAY('Daily Schedule'!$B$2,2)=4,WEEKDAY('Daily Schedule'!$B$2,2)=5,WEEKDAY('Daily Schedule'!$B$2,2)=7),IFERROR(1*'Daily Workforce'!$K194&gt;=3,FALSE()),IFERROR(1*'Daily Workforce'!$K194&gt;=2,FALSE())),IF(AND('Daily Schedule'!$A25&gt;=46,'Daily Schedule'!$A25&lt;=52),'Daily Workforce'!$M194="Y",IFERROR(1*'Daily Workforce'!$P194&gt;=2,FALSE()))))),1,0)</f>
        <v>0</v>
      </c>
      <c r="GX21" s="1" t="n">
        <f aca="false">IF(AND('Daily Workforce'!$N195="Y",'Daily Workforce'!$B195&lt;&gt;"",COUNTIF('Daily Schedule'!$F$5:$F24,'Daily Workforce'!$B195)=0,IF('Daily Schedule'!$A25=45,'Daily Workforce'!$J195="Y",IF(OR('Daily Schedule'!$A25=4,'Daily Schedule'!$A25=8),IF(OR(WEEKDAY('Daily Schedule'!$B$2,2)=1,WEEKDAY('Daily Schedule'!$B$2,2)=4,WEEKDAY('Daily Schedule'!$B$2,2)=5,WEEKDAY('Daily Schedule'!$B$2,2)=7),IFERROR(1*'Daily Workforce'!$K195&gt;=3,FALSE()),IFERROR(1*'Daily Workforce'!$K195&gt;=2,FALSE())),IF(AND('Daily Schedule'!$A25&gt;=46,'Daily Schedule'!$A25&lt;=52),'Daily Workforce'!$M195="Y",IFERROR(1*'Daily Workforce'!$P195&gt;=2,FALSE()))))),1,0)</f>
        <v>0</v>
      </c>
      <c r="GY21" s="1" t="n">
        <f aca="false">IF(AND('Daily Workforce'!$N196="Y",'Daily Workforce'!$B196&lt;&gt;"",COUNTIF('Daily Schedule'!$F$5:$F24,'Daily Workforce'!$B196)=0,IF('Daily Schedule'!$A25=45,'Daily Workforce'!$J196="Y",IF(OR('Daily Schedule'!$A25=4,'Daily Schedule'!$A25=8),IF(OR(WEEKDAY('Daily Schedule'!$B$2,2)=1,WEEKDAY('Daily Schedule'!$B$2,2)=4,WEEKDAY('Daily Schedule'!$B$2,2)=5,WEEKDAY('Daily Schedule'!$B$2,2)=7),IFERROR(1*'Daily Workforce'!$K196&gt;=3,FALSE()),IFERROR(1*'Daily Workforce'!$K196&gt;=2,FALSE())),IF(AND('Daily Schedule'!$A25&gt;=46,'Daily Schedule'!$A25&lt;=52),'Daily Workforce'!$M196="Y",IFERROR(1*'Daily Workforce'!$P196&gt;=2,FALSE()))))),1,0)</f>
        <v>0</v>
      </c>
      <c r="GZ21" s="1" t="n">
        <f aca="false">IF(AND('Daily Workforce'!$N197="Y",'Daily Workforce'!$B197&lt;&gt;"",COUNTIF('Daily Schedule'!$F$5:$F24,'Daily Workforce'!$B197)=0,IF('Daily Schedule'!$A25=45,'Daily Workforce'!$J197="Y",IF(OR('Daily Schedule'!$A25=4,'Daily Schedule'!$A25=8),IF(OR(WEEKDAY('Daily Schedule'!$B$2,2)=1,WEEKDAY('Daily Schedule'!$B$2,2)=4,WEEKDAY('Daily Schedule'!$B$2,2)=5,WEEKDAY('Daily Schedule'!$B$2,2)=7),IFERROR(1*'Daily Workforce'!$K197&gt;=3,FALSE()),IFERROR(1*'Daily Workforce'!$K197&gt;=2,FALSE())),IF(AND('Daily Schedule'!$A25&gt;=46,'Daily Schedule'!$A25&lt;=52),'Daily Workforce'!$M197="Y",IFERROR(1*'Daily Workforce'!$P197&gt;=2,FALSE()))))),1,0)</f>
        <v>0</v>
      </c>
      <c r="HA21" s="1" t="n">
        <f aca="false">IF(AND('Daily Workforce'!$N198="Y",'Daily Workforce'!$B198&lt;&gt;"",COUNTIF('Daily Schedule'!$F$5:$F24,'Daily Workforce'!$B198)=0,IF('Daily Schedule'!$A25=45,'Daily Workforce'!$J198="Y",IF(OR('Daily Schedule'!$A25=4,'Daily Schedule'!$A25=8),IF(OR(WEEKDAY('Daily Schedule'!$B$2,2)=1,WEEKDAY('Daily Schedule'!$B$2,2)=4,WEEKDAY('Daily Schedule'!$B$2,2)=5,WEEKDAY('Daily Schedule'!$B$2,2)=7),IFERROR(1*'Daily Workforce'!$K198&gt;=3,FALSE()),IFERROR(1*'Daily Workforce'!$K198&gt;=2,FALSE())),IF(AND('Daily Schedule'!$A25&gt;=46,'Daily Schedule'!$A25&lt;=52),'Daily Workforce'!$M198="Y",IFERROR(1*'Daily Workforce'!$P198&gt;=2,FALSE()))))),1,0)</f>
        <v>0</v>
      </c>
      <c r="HB21" s="1" t="n">
        <f aca="false">IF(AND('Daily Workforce'!$N199="Y",'Daily Workforce'!$B199&lt;&gt;"",COUNTIF('Daily Schedule'!$F$5:$F24,'Daily Workforce'!$B199)=0,IF('Daily Schedule'!$A25=45,'Daily Workforce'!$J199="Y",IF(OR('Daily Schedule'!$A25=4,'Daily Schedule'!$A25=8),IF(OR(WEEKDAY('Daily Schedule'!$B$2,2)=1,WEEKDAY('Daily Schedule'!$B$2,2)=4,WEEKDAY('Daily Schedule'!$B$2,2)=5,WEEKDAY('Daily Schedule'!$B$2,2)=7),IFERROR(1*'Daily Workforce'!$K199&gt;=3,FALSE()),IFERROR(1*'Daily Workforce'!$K199&gt;=2,FALSE())),IF(AND('Daily Schedule'!$A25&gt;=46,'Daily Schedule'!$A25&lt;=52),'Daily Workforce'!$M199="Y",IFERROR(1*'Daily Workforce'!$P199&gt;=2,FALSE()))))),1,0)</f>
        <v>0</v>
      </c>
      <c r="HC21" s="1" t="n">
        <f aca="false">IF(AND('Daily Workforce'!$N200="Y",'Daily Workforce'!$B200&lt;&gt;"",COUNTIF('Daily Schedule'!$F$5:$F24,'Daily Workforce'!$B200)=0,IF('Daily Schedule'!$A25=45,'Daily Workforce'!$J200="Y",IF(OR('Daily Schedule'!$A25=4,'Daily Schedule'!$A25=8),IF(OR(WEEKDAY('Daily Schedule'!$B$2,2)=1,WEEKDAY('Daily Schedule'!$B$2,2)=4,WEEKDAY('Daily Schedule'!$B$2,2)=5,WEEKDAY('Daily Schedule'!$B$2,2)=7),IFERROR(1*'Daily Workforce'!$K200&gt;=3,FALSE()),IFERROR(1*'Daily Workforce'!$K200&gt;=2,FALSE())),IF(AND('Daily Schedule'!$A25&gt;=46,'Daily Schedule'!$A25&lt;=52),'Daily Workforce'!$M200="Y",IFERROR(1*'Daily Workforce'!$P200&gt;=2,FALSE()))))),1,0)</f>
        <v>0</v>
      </c>
      <c r="HD21" s="1" t="n">
        <f aca="false">IF(AND('Daily Workforce'!$N201="Y",'Daily Workforce'!$B201&lt;&gt;"",COUNTIF('Daily Schedule'!$F$5:$F24,'Daily Workforce'!$B201)=0,IF('Daily Schedule'!$A25=45,'Daily Workforce'!$J201="Y",IF(OR('Daily Schedule'!$A25=4,'Daily Schedule'!$A25=8),IF(OR(WEEKDAY('Daily Schedule'!$B$2,2)=1,WEEKDAY('Daily Schedule'!$B$2,2)=4,WEEKDAY('Daily Schedule'!$B$2,2)=5,WEEKDAY('Daily Schedule'!$B$2,2)=7),IFERROR(1*'Daily Workforce'!$K201&gt;=3,FALSE()),IFERROR(1*'Daily Workforce'!$K201&gt;=2,FALSE())),IF(AND('Daily Schedule'!$A25&gt;=46,'Daily Schedule'!$A25&lt;=52),'Daily Workforce'!$M201="Y",IFERROR(1*'Daily Workforce'!$P201&gt;=2,FALSE()))))),1,0)</f>
        <v>0</v>
      </c>
      <c r="HE21" s="1" t="n">
        <f aca="false">IF(AND('Daily Workforce'!$N202="Y",'Daily Workforce'!$B202&lt;&gt;"",COUNTIF('Daily Schedule'!$F$5:$F24,'Daily Workforce'!$B202)=0,IF('Daily Schedule'!$A25=45,'Daily Workforce'!$J202="Y",IF(OR('Daily Schedule'!$A25=4,'Daily Schedule'!$A25=8),IF(OR(WEEKDAY('Daily Schedule'!$B$2,2)=1,WEEKDAY('Daily Schedule'!$B$2,2)=4,WEEKDAY('Daily Schedule'!$B$2,2)=5,WEEKDAY('Daily Schedule'!$B$2,2)=7),IFERROR(1*'Daily Workforce'!$K202&gt;=3,FALSE()),IFERROR(1*'Daily Workforce'!$K202&gt;=2,FALSE())),IF(AND('Daily Schedule'!$A25&gt;=46,'Daily Schedule'!$A25&lt;=52),'Daily Workforce'!$M202="Y",IFERROR(1*'Daily Workforce'!$P202&gt;=2,FALSE()))))),1,0)</f>
        <v>0</v>
      </c>
      <c r="HF21" s="1" t="n">
        <f aca="false">IF(AND('Daily Workforce'!$N203="Y",'Daily Workforce'!$B203&lt;&gt;"",COUNTIF('Daily Schedule'!$F$5:$F24,'Daily Workforce'!$B203)=0,IF('Daily Schedule'!$A25=45,'Daily Workforce'!$J203="Y",IF(OR('Daily Schedule'!$A25=4,'Daily Schedule'!$A25=8),IF(OR(WEEKDAY('Daily Schedule'!$B$2,2)=1,WEEKDAY('Daily Schedule'!$B$2,2)=4,WEEKDAY('Daily Schedule'!$B$2,2)=5,WEEKDAY('Daily Schedule'!$B$2,2)=7),IFERROR(1*'Daily Workforce'!$K203&gt;=3,FALSE()),IFERROR(1*'Daily Workforce'!$K203&gt;=2,FALSE())),IF(AND('Daily Schedule'!$A25&gt;=46,'Daily Schedule'!$A25&lt;=52),'Daily Workforce'!$M203="Y",IFERROR(1*'Daily Workforce'!$P203&gt;=2,FALSE()))))),1,0)</f>
        <v>0</v>
      </c>
      <c r="HG21" s="1" t="n">
        <f aca="false">IF(AND('Daily Workforce'!$N204="Y",'Daily Workforce'!$B204&lt;&gt;"",COUNTIF('Daily Schedule'!$F$5:$F24,'Daily Workforce'!$B204)=0,IF('Daily Schedule'!$A25=45,'Daily Workforce'!$J204="Y",IF(OR('Daily Schedule'!$A25=4,'Daily Schedule'!$A25=8),IF(OR(WEEKDAY('Daily Schedule'!$B$2,2)=1,WEEKDAY('Daily Schedule'!$B$2,2)=4,WEEKDAY('Daily Schedule'!$B$2,2)=5,WEEKDAY('Daily Schedule'!$B$2,2)=7),IFERROR(1*'Daily Workforce'!$K204&gt;=3,FALSE()),IFERROR(1*'Daily Workforce'!$K204&gt;=2,FALSE())),IF(AND('Daily Schedule'!$A25&gt;=46,'Daily Schedule'!$A25&lt;=52),'Daily Workforce'!$M204="Y",IFERROR(1*'Daily Workforce'!$P204&gt;=2,FALSE()))))),1,0)</f>
        <v>0</v>
      </c>
      <c r="HH21" s="1" t="n">
        <f aca="false">IF(AND('Daily Workforce'!$N205="Y",'Daily Workforce'!$B205&lt;&gt;"",COUNTIF('Daily Schedule'!$F$5:$F24,'Daily Workforce'!$B205)=0,IF('Daily Schedule'!$A25=45,'Daily Workforce'!$J205="Y",IF(OR('Daily Schedule'!$A25=4,'Daily Schedule'!$A25=8),IF(OR(WEEKDAY('Daily Schedule'!$B$2,2)=1,WEEKDAY('Daily Schedule'!$B$2,2)=4,WEEKDAY('Daily Schedule'!$B$2,2)=5,WEEKDAY('Daily Schedule'!$B$2,2)=7),IFERROR(1*'Daily Workforce'!$K205&gt;=3,FALSE()),IFERROR(1*'Daily Workforce'!$K205&gt;=2,FALSE())),IF(AND('Daily Schedule'!$A25&gt;=46,'Daily Schedule'!$A25&lt;=52),'Daily Workforce'!$M205="Y",IFERROR(1*'Daily Workforce'!$P205&gt;=2,FALSE()))))),1,0)</f>
        <v>0</v>
      </c>
    </row>
    <row r="22" customFormat="false" ht="15" hidden="false" customHeight="true" outlineLevel="0" collapsed="false">
      <c r="L22" s="1" t="s">
        <v>475</v>
      </c>
      <c r="O22" s="1" t="str">
        <f aca="false">IF(AND('Employee Master'!$G22="Y",ISERROR(SEARCH(TEXT('Daily Workforce'!$B$2,"ddd"),'Employee Master'!$D22)),IF('Daily Workforce'!$E$2="",TRUE(),'Employee Master'!$I22='Daily Workforce'!$E$2)),'Employee Master'!$K22*1000+ROW()-1,"")</f>
        <v/>
      </c>
      <c r="P22" s="1" t="str">
        <f aca="false">IF($O22="","",COUNTIF($O$2:$O$159,"&lt;="&amp;$O22))</f>
        <v/>
      </c>
      <c r="Q22" s="1" t="n">
        <f aca="false">IF(AND('Daily Workforce'!$N6="Y",'Daily Workforce'!$B6&lt;&gt;"",COUNTIF('Daily Schedule'!$F$5:$F25,'Daily Workforce'!$B6)=0,IF('Daily Schedule'!$A26=45,'Daily Workforce'!$J6="Y",IF(OR('Daily Schedule'!$A26=4,'Daily Schedule'!$A26=8),IF(OR(WEEKDAY('Daily Schedule'!$B$2,2)=1,WEEKDAY('Daily Schedule'!$B$2,2)=4,WEEKDAY('Daily Schedule'!$B$2,2)=5,WEEKDAY('Daily Schedule'!$B$2,2)=7),IFERROR(1*'Daily Workforce'!$K6&gt;=3,FALSE()),IFERROR(1*'Daily Workforce'!$K6&gt;=2,FALSE())),IF(AND('Daily Schedule'!$A26&gt;=46,'Daily Schedule'!$A26&lt;=52),'Daily Workforce'!$M6="Y",IFERROR(1*'Daily Workforce'!$P6&gt;=2,FALSE()))))),1,0)</f>
        <v>0</v>
      </c>
      <c r="R22" s="1" t="n">
        <f aca="false">IF(AND('Daily Workforce'!$N7="Y",'Daily Workforce'!$B7&lt;&gt;"",COUNTIF('Daily Schedule'!$F$5:$F25,'Daily Workforce'!$B7)=0,IF('Daily Schedule'!$A26=45,'Daily Workforce'!$J7="Y",IF(OR('Daily Schedule'!$A26=4,'Daily Schedule'!$A26=8),IF(OR(WEEKDAY('Daily Schedule'!$B$2,2)=1,WEEKDAY('Daily Schedule'!$B$2,2)=4,WEEKDAY('Daily Schedule'!$B$2,2)=5,WEEKDAY('Daily Schedule'!$B$2,2)=7),IFERROR(1*'Daily Workforce'!$K7&gt;=3,FALSE()),IFERROR(1*'Daily Workforce'!$K7&gt;=2,FALSE())),IF(AND('Daily Schedule'!$A26&gt;=46,'Daily Schedule'!$A26&lt;=52),'Daily Workforce'!$M7="Y",IFERROR(1*'Daily Workforce'!$P7&gt;=2,FALSE()))))),1,0)</f>
        <v>0</v>
      </c>
      <c r="S22" s="1" t="n">
        <f aca="false">IF(AND('Daily Workforce'!$N8="Y",'Daily Workforce'!$B8&lt;&gt;"",COUNTIF('Daily Schedule'!$F$5:$F25,'Daily Workforce'!$B8)=0,IF('Daily Schedule'!$A26=45,'Daily Workforce'!$J8="Y",IF(OR('Daily Schedule'!$A26=4,'Daily Schedule'!$A26=8),IF(OR(WEEKDAY('Daily Schedule'!$B$2,2)=1,WEEKDAY('Daily Schedule'!$B$2,2)=4,WEEKDAY('Daily Schedule'!$B$2,2)=5,WEEKDAY('Daily Schedule'!$B$2,2)=7),IFERROR(1*'Daily Workforce'!$K8&gt;=3,FALSE()),IFERROR(1*'Daily Workforce'!$K8&gt;=2,FALSE())),IF(AND('Daily Schedule'!$A26&gt;=46,'Daily Schedule'!$A26&lt;=52),'Daily Workforce'!$M8="Y",IFERROR(1*'Daily Workforce'!$P8&gt;=2,FALSE()))))),1,0)</f>
        <v>0</v>
      </c>
      <c r="T22" s="1" t="n">
        <f aca="false">IF(AND('Daily Workforce'!$N9="Y",'Daily Workforce'!$B9&lt;&gt;"",COUNTIF('Daily Schedule'!$F$5:$F25,'Daily Workforce'!$B9)=0,IF('Daily Schedule'!$A26=45,'Daily Workforce'!$J9="Y",IF(OR('Daily Schedule'!$A26=4,'Daily Schedule'!$A26=8),IF(OR(WEEKDAY('Daily Schedule'!$B$2,2)=1,WEEKDAY('Daily Schedule'!$B$2,2)=4,WEEKDAY('Daily Schedule'!$B$2,2)=5,WEEKDAY('Daily Schedule'!$B$2,2)=7),IFERROR(1*'Daily Workforce'!$K9&gt;=3,FALSE()),IFERROR(1*'Daily Workforce'!$K9&gt;=2,FALSE())),IF(AND('Daily Schedule'!$A26&gt;=46,'Daily Schedule'!$A26&lt;=52),'Daily Workforce'!$M9="Y",IFERROR(1*'Daily Workforce'!$P9&gt;=2,FALSE()))))),1,0)</f>
        <v>0</v>
      </c>
      <c r="U22" s="1" t="n">
        <f aca="false">IF(AND('Daily Workforce'!$N10="Y",'Daily Workforce'!$B10&lt;&gt;"",COUNTIF('Daily Schedule'!$F$5:$F25,'Daily Workforce'!$B10)=0,IF('Daily Schedule'!$A26=45,'Daily Workforce'!$J10="Y",IF(OR('Daily Schedule'!$A26=4,'Daily Schedule'!$A26=8),IF(OR(WEEKDAY('Daily Schedule'!$B$2,2)=1,WEEKDAY('Daily Schedule'!$B$2,2)=4,WEEKDAY('Daily Schedule'!$B$2,2)=5,WEEKDAY('Daily Schedule'!$B$2,2)=7),IFERROR(1*'Daily Workforce'!$K10&gt;=3,FALSE()),IFERROR(1*'Daily Workforce'!$K10&gt;=2,FALSE())),IF(AND('Daily Schedule'!$A26&gt;=46,'Daily Schedule'!$A26&lt;=52),'Daily Workforce'!$M10="Y",IFERROR(1*'Daily Workforce'!$P10&gt;=2,FALSE()))))),1,0)</f>
        <v>0</v>
      </c>
      <c r="V22" s="1" t="n">
        <f aca="false">IF(AND('Daily Workforce'!$N11="Y",'Daily Workforce'!$B11&lt;&gt;"",COUNTIF('Daily Schedule'!$F$5:$F25,'Daily Workforce'!$B11)=0,IF('Daily Schedule'!$A26=45,'Daily Workforce'!$J11="Y",IF(OR('Daily Schedule'!$A26=4,'Daily Schedule'!$A26=8),IF(OR(WEEKDAY('Daily Schedule'!$B$2,2)=1,WEEKDAY('Daily Schedule'!$B$2,2)=4,WEEKDAY('Daily Schedule'!$B$2,2)=5,WEEKDAY('Daily Schedule'!$B$2,2)=7),IFERROR(1*'Daily Workforce'!$K11&gt;=3,FALSE()),IFERROR(1*'Daily Workforce'!$K11&gt;=2,FALSE())),IF(AND('Daily Schedule'!$A26&gt;=46,'Daily Schedule'!$A26&lt;=52),'Daily Workforce'!$M11="Y",IFERROR(1*'Daily Workforce'!$P11&gt;=2,FALSE()))))),1,0)</f>
        <v>0</v>
      </c>
      <c r="W22" s="1" t="n">
        <f aca="false">IF(AND('Daily Workforce'!$N12="Y",'Daily Workforce'!$B12&lt;&gt;"",COUNTIF('Daily Schedule'!$F$5:$F25,'Daily Workforce'!$B12)=0,IF('Daily Schedule'!$A26=45,'Daily Workforce'!$J12="Y",IF(OR('Daily Schedule'!$A26=4,'Daily Schedule'!$A26=8),IF(OR(WEEKDAY('Daily Schedule'!$B$2,2)=1,WEEKDAY('Daily Schedule'!$B$2,2)=4,WEEKDAY('Daily Schedule'!$B$2,2)=5,WEEKDAY('Daily Schedule'!$B$2,2)=7),IFERROR(1*'Daily Workforce'!$K12&gt;=3,FALSE()),IFERROR(1*'Daily Workforce'!$K12&gt;=2,FALSE())),IF(AND('Daily Schedule'!$A26&gt;=46,'Daily Schedule'!$A26&lt;=52),'Daily Workforce'!$M12="Y",IFERROR(1*'Daily Workforce'!$P12&gt;=2,FALSE()))))),1,0)</f>
        <v>0</v>
      </c>
      <c r="X22" s="1" t="n">
        <f aca="false">IF(AND('Daily Workforce'!$N13="Y",'Daily Workforce'!$B13&lt;&gt;"",COUNTIF('Daily Schedule'!$F$5:$F25,'Daily Workforce'!$B13)=0,IF('Daily Schedule'!$A26=45,'Daily Workforce'!$J13="Y",IF(OR('Daily Schedule'!$A26=4,'Daily Schedule'!$A26=8),IF(OR(WEEKDAY('Daily Schedule'!$B$2,2)=1,WEEKDAY('Daily Schedule'!$B$2,2)=4,WEEKDAY('Daily Schedule'!$B$2,2)=5,WEEKDAY('Daily Schedule'!$B$2,2)=7),IFERROR(1*'Daily Workforce'!$K13&gt;=3,FALSE()),IFERROR(1*'Daily Workforce'!$K13&gt;=2,FALSE())),IF(AND('Daily Schedule'!$A26&gt;=46,'Daily Schedule'!$A26&lt;=52),'Daily Workforce'!$M13="Y",IFERROR(1*'Daily Workforce'!$P13&gt;=2,FALSE()))))),1,0)</f>
        <v>0</v>
      </c>
      <c r="Y22" s="1" t="n">
        <f aca="false">IF(AND('Daily Workforce'!$N14="Y",'Daily Workforce'!$B14&lt;&gt;"",COUNTIF('Daily Schedule'!$F$5:$F25,'Daily Workforce'!$B14)=0,IF('Daily Schedule'!$A26=45,'Daily Workforce'!$J14="Y",IF(OR('Daily Schedule'!$A26=4,'Daily Schedule'!$A26=8),IF(OR(WEEKDAY('Daily Schedule'!$B$2,2)=1,WEEKDAY('Daily Schedule'!$B$2,2)=4,WEEKDAY('Daily Schedule'!$B$2,2)=5,WEEKDAY('Daily Schedule'!$B$2,2)=7),IFERROR(1*'Daily Workforce'!$K14&gt;=3,FALSE()),IFERROR(1*'Daily Workforce'!$K14&gt;=2,FALSE())),IF(AND('Daily Schedule'!$A26&gt;=46,'Daily Schedule'!$A26&lt;=52),'Daily Workforce'!$M14="Y",IFERROR(1*'Daily Workforce'!$P14&gt;=2,FALSE()))))),1,0)</f>
        <v>0</v>
      </c>
      <c r="Z22" s="1" t="n">
        <f aca="false">IF(AND('Daily Workforce'!$N15="Y",'Daily Workforce'!$B15&lt;&gt;"",COUNTIF('Daily Schedule'!$F$5:$F25,'Daily Workforce'!$B15)=0,IF('Daily Schedule'!$A26=45,'Daily Workforce'!$J15="Y",IF(OR('Daily Schedule'!$A26=4,'Daily Schedule'!$A26=8),IF(OR(WEEKDAY('Daily Schedule'!$B$2,2)=1,WEEKDAY('Daily Schedule'!$B$2,2)=4,WEEKDAY('Daily Schedule'!$B$2,2)=5,WEEKDAY('Daily Schedule'!$B$2,2)=7),IFERROR(1*'Daily Workforce'!$K15&gt;=3,FALSE()),IFERROR(1*'Daily Workforce'!$K15&gt;=2,FALSE())),IF(AND('Daily Schedule'!$A26&gt;=46,'Daily Schedule'!$A26&lt;=52),'Daily Workforce'!$M15="Y",IFERROR(1*'Daily Workforce'!$P15&gt;=2,FALSE()))))),1,0)</f>
        <v>0</v>
      </c>
      <c r="AA22" s="1" t="n">
        <f aca="false">IF(AND('Daily Workforce'!$N16="Y",'Daily Workforce'!$B16&lt;&gt;"",COUNTIF('Daily Schedule'!$F$5:$F25,'Daily Workforce'!$B16)=0,IF('Daily Schedule'!$A26=45,'Daily Workforce'!$J16="Y",IF(OR('Daily Schedule'!$A26=4,'Daily Schedule'!$A26=8),IF(OR(WEEKDAY('Daily Schedule'!$B$2,2)=1,WEEKDAY('Daily Schedule'!$B$2,2)=4,WEEKDAY('Daily Schedule'!$B$2,2)=5,WEEKDAY('Daily Schedule'!$B$2,2)=7),IFERROR(1*'Daily Workforce'!$K16&gt;=3,FALSE()),IFERROR(1*'Daily Workforce'!$K16&gt;=2,FALSE())),IF(AND('Daily Schedule'!$A26&gt;=46,'Daily Schedule'!$A26&lt;=52),'Daily Workforce'!$M16="Y",IFERROR(1*'Daily Workforce'!$P16&gt;=2,FALSE()))))),1,0)</f>
        <v>0</v>
      </c>
      <c r="AB22" s="1" t="n">
        <f aca="false">IF(AND('Daily Workforce'!$N17="Y",'Daily Workforce'!$B17&lt;&gt;"",COUNTIF('Daily Schedule'!$F$5:$F25,'Daily Workforce'!$B17)=0,IF('Daily Schedule'!$A26=45,'Daily Workforce'!$J17="Y",IF(OR('Daily Schedule'!$A26=4,'Daily Schedule'!$A26=8),IF(OR(WEEKDAY('Daily Schedule'!$B$2,2)=1,WEEKDAY('Daily Schedule'!$B$2,2)=4,WEEKDAY('Daily Schedule'!$B$2,2)=5,WEEKDAY('Daily Schedule'!$B$2,2)=7),IFERROR(1*'Daily Workforce'!$K17&gt;=3,FALSE()),IFERROR(1*'Daily Workforce'!$K17&gt;=2,FALSE())),IF(AND('Daily Schedule'!$A26&gt;=46,'Daily Schedule'!$A26&lt;=52),'Daily Workforce'!$M17="Y",IFERROR(1*'Daily Workforce'!$P17&gt;=2,FALSE()))))),1,0)</f>
        <v>0</v>
      </c>
      <c r="AC22" s="1" t="n">
        <f aca="false">IF(AND('Daily Workforce'!$N18="Y",'Daily Workforce'!$B18&lt;&gt;"",COUNTIF('Daily Schedule'!$F$5:$F25,'Daily Workforce'!$B18)=0,IF('Daily Schedule'!$A26=45,'Daily Workforce'!$J18="Y",IF(OR('Daily Schedule'!$A26=4,'Daily Schedule'!$A26=8),IF(OR(WEEKDAY('Daily Schedule'!$B$2,2)=1,WEEKDAY('Daily Schedule'!$B$2,2)=4,WEEKDAY('Daily Schedule'!$B$2,2)=5,WEEKDAY('Daily Schedule'!$B$2,2)=7),IFERROR(1*'Daily Workforce'!$K18&gt;=3,FALSE()),IFERROR(1*'Daily Workforce'!$K18&gt;=2,FALSE())),IF(AND('Daily Schedule'!$A26&gt;=46,'Daily Schedule'!$A26&lt;=52),'Daily Workforce'!$M18="Y",IFERROR(1*'Daily Workforce'!$P18&gt;=2,FALSE()))))),1,0)</f>
        <v>0</v>
      </c>
      <c r="AD22" s="1" t="n">
        <f aca="false">IF(AND('Daily Workforce'!$N19="Y",'Daily Workforce'!$B19&lt;&gt;"",COUNTIF('Daily Schedule'!$F$5:$F25,'Daily Workforce'!$B19)=0,IF('Daily Schedule'!$A26=45,'Daily Workforce'!$J19="Y",IF(OR('Daily Schedule'!$A26=4,'Daily Schedule'!$A26=8),IF(OR(WEEKDAY('Daily Schedule'!$B$2,2)=1,WEEKDAY('Daily Schedule'!$B$2,2)=4,WEEKDAY('Daily Schedule'!$B$2,2)=5,WEEKDAY('Daily Schedule'!$B$2,2)=7),IFERROR(1*'Daily Workforce'!$K19&gt;=3,FALSE()),IFERROR(1*'Daily Workforce'!$K19&gt;=2,FALSE())),IF(AND('Daily Schedule'!$A26&gt;=46,'Daily Schedule'!$A26&lt;=52),'Daily Workforce'!$M19="Y",IFERROR(1*'Daily Workforce'!$P19&gt;=2,FALSE()))))),1,0)</f>
        <v>0</v>
      </c>
      <c r="AE22" s="1" t="n">
        <f aca="false">IF(AND('Daily Workforce'!$N20="Y",'Daily Workforce'!$B20&lt;&gt;"",COUNTIF('Daily Schedule'!$F$5:$F25,'Daily Workforce'!$B20)=0,IF('Daily Schedule'!$A26=45,'Daily Workforce'!$J20="Y",IF(OR('Daily Schedule'!$A26=4,'Daily Schedule'!$A26=8),IF(OR(WEEKDAY('Daily Schedule'!$B$2,2)=1,WEEKDAY('Daily Schedule'!$B$2,2)=4,WEEKDAY('Daily Schedule'!$B$2,2)=5,WEEKDAY('Daily Schedule'!$B$2,2)=7),IFERROR(1*'Daily Workforce'!$K20&gt;=3,FALSE()),IFERROR(1*'Daily Workforce'!$K20&gt;=2,FALSE())),IF(AND('Daily Schedule'!$A26&gt;=46,'Daily Schedule'!$A26&lt;=52),'Daily Workforce'!$M20="Y",IFERROR(1*'Daily Workforce'!$P20&gt;=2,FALSE()))))),1,0)</f>
        <v>0</v>
      </c>
      <c r="AF22" s="1" t="n">
        <f aca="false">IF(AND('Daily Workforce'!$N21="Y",'Daily Workforce'!$B21&lt;&gt;"",COUNTIF('Daily Schedule'!$F$5:$F25,'Daily Workforce'!$B21)=0,IF('Daily Schedule'!$A26=45,'Daily Workforce'!$J21="Y",IF(OR('Daily Schedule'!$A26=4,'Daily Schedule'!$A26=8),IF(OR(WEEKDAY('Daily Schedule'!$B$2,2)=1,WEEKDAY('Daily Schedule'!$B$2,2)=4,WEEKDAY('Daily Schedule'!$B$2,2)=5,WEEKDAY('Daily Schedule'!$B$2,2)=7),IFERROR(1*'Daily Workforce'!$K21&gt;=3,FALSE()),IFERROR(1*'Daily Workforce'!$K21&gt;=2,FALSE())),IF(AND('Daily Schedule'!$A26&gt;=46,'Daily Schedule'!$A26&lt;=52),'Daily Workforce'!$M21="Y",IFERROR(1*'Daily Workforce'!$P21&gt;=2,FALSE()))))),1,0)</f>
        <v>0</v>
      </c>
      <c r="AG22" s="1" t="n">
        <f aca="false">IF(AND('Daily Workforce'!$N22="Y",'Daily Workforce'!$B22&lt;&gt;"",COUNTIF('Daily Schedule'!$F$5:$F25,'Daily Workforce'!$B22)=0,IF('Daily Schedule'!$A26=45,'Daily Workforce'!$J22="Y",IF(OR('Daily Schedule'!$A26=4,'Daily Schedule'!$A26=8),IF(OR(WEEKDAY('Daily Schedule'!$B$2,2)=1,WEEKDAY('Daily Schedule'!$B$2,2)=4,WEEKDAY('Daily Schedule'!$B$2,2)=5,WEEKDAY('Daily Schedule'!$B$2,2)=7),IFERROR(1*'Daily Workforce'!$K22&gt;=3,FALSE()),IFERROR(1*'Daily Workforce'!$K22&gt;=2,FALSE())),IF(AND('Daily Schedule'!$A26&gt;=46,'Daily Schedule'!$A26&lt;=52),'Daily Workforce'!$M22="Y",IFERROR(1*'Daily Workforce'!$P22&gt;=2,FALSE()))))),1,0)</f>
        <v>0</v>
      </c>
      <c r="AH22" s="1" t="n">
        <f aca="false">IF(AND('Daily Workforce'!$N23="Y",'Daily Workforce'!$B23&lt;&gt;"",COUNTIF('Daily Schedule'!$F$5:$F25,'Daily Workforce'!$B23)=0,IF('Daily Schedule'!$A26=45,'Daily Workforce'!$J23="Y",IF(OR('Daily Schedule'!$A26=4,'Daily Schedule'!$A26=8),IF(OR(WEEKDAY('Daily Schedule'!$B$2,2)=1,WEEKDAY('Daily Schedule'!$B$2,2)=4,WEEKDAY('Daily Schedule'!$B$2,2)=5,WEEKDAY('Daily Schedule'!$B$2,2)=7),IFERROR(1*'Daily Workforce'!$K23&gt;=3,FALSE()),IFERROR(1*'Daily Workforce'!$K23&gt;=2,FALSE())),IF(AND('Daily Schedule'!$A26&gt;=46,'Daily Schedule'!$A26&lt;=52),'Daily Workforce'!$M23="Y",IFERROR(1*'Daily Workforce'!$P23&gt;=2,FALSE()))))),1,0)</f>
        <v>0</v>
      </c>
      <c r="AI22" s="1" t="n">
        <f aca="false">IF(AND('Daily Workforce'!$N24="Y",'Daily Workforce'!$B24&lt;&gt;"",COUNTIF('Daily Schedule'!$F$5:$F25,'Daily Workforce'!$B24)=0,IF('Daily Schedule'!$A26=45,'Daily Workforce'!$J24="Y",IF(OR('Daily Schedule'!$A26=4,'Daily Schedule'!$A26=8),IF(OR(WEEKDAY('Daily Schedule'!$B$2,2)=1,WEEKDAY('Daily Schedule'!$B$2,2)=4,WEEKDAY('Daily Schedule'!$B$2,2)=5,WEEKDAY('Daily Schedule'!$B$2,2)=7),IFERROR(1*'Daily Workforce'!$K24&gt;=3,FALSE()),IFERROR(1*'Daily Workforce'!$K24&gt;=2,FALSE())),IF(AND('Daily Schedule'!$A26&gt;=46,'Daily Schedule'!$A26&lt;=52),'Daily Workforce'!$M24="Y",IFERROR(1*'Daily Workforce'!$P24&gt;=2,FALSE()))))),1,0)</f>
        <v>0</v>
      </c>
      <c r="AJ22" s="1" t="n">
        <f aca="false">IF(AND('Daily Workforce'!$N25="Y",'Daily Workforce'!$B25&lt;&gt;"",COUNTIF('Daily Schedule'!$F$5:$F25,'Daily Workforce'!$B25)=0,IF('Daily Schedule'!$A26=45,'Daily Workforce'!$J25="Y",IF(OR('Daily Schedule'!$A26=4,'Daily Schedule'!$A26=8),IF(OR(WEEKDAY('Daily Schedule'!$B$2,2)=1,WEEKDAY('Daily Schedule'!$B$2,2)=4,WEEKDAY('Daily Schedule'!$B$2,2)=5,WEEKDAY('Daily Schedule'!$B$2,2)=7),IFERROR(1*'Daily Workforce'!$K25&gt;=3,FALSE()),IFERROR(1*'Daily Workforce'!$K25&gt;=2,FALSE())),IF(AND('Daily Schedule'!$A26&gt;=46,'Daily Schedule'!$A26&lt;=52),'Daily Workforce'!$M25="Y",IFERROR(1*'Daily Workforce'!$P25&gt;=2,FALSE()))))),1,0)</f>
        <v>1</v>
      </c>
      <c r="AK22" s="1" t="n">
        <f aca="false">IF(AND('Daily Workforce'!$N26="Y",'Daily Workforce'!$B26&lt;&gt;"",COUNTIF('Daily Schedule'!$F$5:$F25,'Daily Workforce'!$B26)=0,IF('Daily Schedule'!$A26=45,'Daily Workforce'!$J26="Y",IF(OR('Daily Schedule'!$A26=4,'Daily Schedule'!$A26=8),IF(OR(WEEKDAY('Daily Schedule'!$B$2,2)=1,WEEKDAY('Daily Schedule'!$B$2,2)=4,WEEKDAY('Daily Schedule'!$B$2,2)=5,WEEKDAY('Daily Schedule'!$B$2,2)=7),IFERROR(1*'Daily Workforce'!$K26&gt;=3,FALSE()),IFERROR(1*'Daily Workforce'!$K26&gt;=2,FALSE())),IF(AND('Daily Schedule'!$A26&gt;=46,'Daily Schedule'!$A26&lt;=52),'Daily Workforce'!$M26="Y",IFERROR(1*'Daily Workforce'!$P26&gt;=2,FALSE()))))),1,0)</f>
        <v>1</v>
      </c>
      <c r="AL22" s="1" t="n">
        <f aca="false">IF(AND('Daily Workforce'!$N27="Y",'Daily Workforce'!$B27&lt;&gt;"",COUNTIF('Daily Schedule'!$F$5:$F25,'Daily Workforce'!$B27)=0,IF('Daily Schedule'!$A26=45,'Daily Workforce'!$J27="Y",IF(OR('Daily Schedule'!$A26=4,'Daily Schedule'!$A26=8),IF(OR(WEEKDAY('Daily Schedule'!$B$2,2)=1,WEEKDAY('Daily Schedule'!$B$2,2)=4,WEEKDAY('Daily Schedule'!$B$2,2)=5,WEEKDAY('Daily Schedule'!$B$2,2)=7),IFERROR(1*'Daily Workforce'!$K27&gt;=3,FALSE()),IFERROR(1*'Daily Workforce'!$K27&gt;=2,FALSE())),IF(AND('Daily Schedule'!$A26&gt;=46,'Daily Schedule'!$A26&lt;=52),'Daily Workforce'!$M27="Y",IFERROR(1*'Daily Workforce'!$P27&gt;=2,FALSE()))))),1,0)</f>
        <v>0</v>
      </c>
      <c r="AM22" s="1" t="n">
        <f aca="false">IF(AND('Daily Workforce'!$N28="Y",'Daily Workforce'!$B28&lt;&gt;"",COUNTIF('Daily Schedule'!$F$5:$F25,'Daily Workforce'!$B28)=0,IF('Daily Schedule'!$A26=45,'Daily Workforce'!$J28="Y",IF(OR('Daily Schedule'!$A26=4,'Daily Schedule'!$A26=8),IF(OR(WEEKDAY('Daily Schedule'!$B$2,2)=1,WEEKDAY('Daily Schedule'!$B$2,2)=4,WEEKDAY('Daily Schedule'!$B$2,2)=5,WEEKDAY('Daily Schedule'!$B$2,2)=7),IFERROR(1*'Daily Workforce'!$K28&gt;=3,FALSE()),IFERROR(1*'Daily Workforce'!$K28&gt;=2,FALSE())),IF(AND('Daily Schedule'!$A26&gt;=46,'Daily Schedule'!$A26&lt;=52),'Daily Workforce'!$M28="Y",IFERROR(1*'Daily Workforce'!$P28&gt;=2,FALSE()))))),1,0)</f>
        <v>1</v>
      </c>
      <c r="AN22" s="1" t="n">
        <f aca="false">IF(AND('Daily Workforce'!$N29="Y",'Daily Workforce'!$B29&lt;&gt;"",COUNTIF('Daily Schedule'!$F$5:$F25,'Daily Workforce'!$B29)=0,IF('Daily Schedule'!$A26=45,'Daily Workforce'!$J29="Y",IF(OR('Daily Schedule'!$A26=4,'Daily Schedule'!$A26=8),IF(OR(WEEKDAY('Daily Schedule'!$B$2,2)=1,WEEKDAY('Daily Schedule'!$B$2,2)=4,WEEKDAY('Daily Schedule'!$B$2,2)=5,WEEKDAY('Daily Schedule'!$B$2,2)=7),IFERROR(1*'Daily Workforce'!$K29&gt;=3,FALSE()),IFERROR(1*'Daily Workforce'!$K29&gt;=2,FALSE())),IF(AND('Daily Schedule'!$A26&gt;=46,'Daily Schedule'!$A26&lt;=52),'Daily Workforce'!$M29="Y",IFERROR(1*'Daily Workforce'!$P29&gt;=2,FALSE()))))),1,0)</f>
        <v>1</v>
      </c>
      <c r="AO22" s="1" t="n">
        <f aca="false">IF(AND('Daily Workforce'!$N30="Y",'Daily Workforce'!$B30&lt;&gt;"",COUNTIF('Daily Schedule'!$F$5:$F25,'Daily Workforce'!$B30)=0,IF('Daily Schedule'!$A26=45,'Daily Workforce'!$J30="Y",IF(OR('Daily Schedule'!$A26=4,'Daily Schedule'!$A26=8),IF(OR(WEEKDAY('Daily Schedule'!$B$2,2)=1,WEEKDAY('Daily Schedule'!$B$2,2)=4,WEEKDAY('Daily Schedule'!$B$2,2)=5,WEEKDAY('Daily Schedule'!$B$2,2)=7),IFERROR(1*'Daily Workforce'!$K30&gt;=3,FALSE()),IFERROR(1*'Daily Workforce'!$K30&gt;=2,FALSE())),IF(AND('Daily Schedule'!$A26&gt;=46,'Daily Schedule'!$A26&lt;=52),'Daily Workforce'!$M30="Y",IFERROR(1*'Daily Workforce'!$P30&gt;=2,FALSE()))))),1,0)</f>
        <v>1</v>
      </c>
      <c r="AP22" s="1" t="n">
        <f aca="false">IF(AND('Daily Workforce'!$N31="Y",'Daily Workforce'!$B31&lt;&gt;"",COUNTIF('Daily Schedule'!$F$5:$F25,'Daily Workforce'!$B31)=0,IF('Daily Schedule'!$A26=45,'Daily Workforce'!$J31="Y",IF(OR('Daily Schedule'!$A26=4,'Daily Schedule'!$A26=8),IF(OR(WEEKDAY('Daily Schedule'!$B$2,2)=1,WEEKDAY('Daily Schedule'!$B$2,2)=4,WEEKDAY('Daily Schedule'!$B$2,2)=5,WEEKDAY('Daily Schedule'!$B$2,2)=7),IFERROR(1*'Daily Workforce'!$K31&gt;=3,FALSE()),IFERROR(1*'Daily Workforce'!$K31&gt;=2,FALSE())),IF(AND('Daily Schedule'!$A26&gt;=46,'Daily Schedule'!$A26&lt;=52),'Daily Workforce'!$M31="Y",IFERROR(1*'Daily Workforce'!$P31&gt;=2,FALSE()))))),1,0)</f>
        <v>1</v>
      </c>
      <c r="AQ22" s="1" t="n">
        <f aca="false">IF(AND('Daily Workforce'!$N32="Y",'Daily Workforce'!$B32&lt;&gt;"",COUNTIF('Daily Schedule'!$F$5:$F25,'Daily Workforce'!$B32)=0,IF('Daily Schedule'!$A26=45,'Daily Workforce'!$J32="Y",IF(OR('Daily Schedule'!$A26=4,'Daily Schedule'!$A26=8),IF(OR(WEEKDAY('Daily Schedule'!$B$2,2)=1,WEEKDAY('Daily Schedule'!$B$2,2)=4,WEEKDAY('Daily Schedule'!$B$2,2)=5,WEEKDAY('Daily Schedule'!$B$2,2)=7),IFERROR(1*'Daily Workforce'!$K32&gt;=3,FALSE()),IFERROR(1*'Daily Workforce'!$K32&gt;=2,FALSE())),IF(AND('Daily Schedule'!$A26&gt;=46,'Daily Schedule'!$A26&lt;=52),'Daily Workforce'!$M32="Y",IFERROR(1*'Daily Workforce'!$P32&gt;=2,FALSE()))))),1,0)</f>
        <v>1</v>
      </c>
      <c r="AR22" s="1" t="n">
        <f aca="false">IF(AND('Daily Workforce'!$N33="Y",'Daily Workforce'!$B33&lt;&gt;"",COUNTIF('Daily Schedule'!$F$5:$F25,'Daily Workforce'!$B33)=0,IF('Daily Schedule'!$A26=45,'Daily Workforce'!$J33="Y",IF(OR('Daily Schedule'!$A26=4,'Daily Schedule'!$A26=8),IF(OR(WEEKDAY('Daily Schedule'!$B$2,2)=1,WEEKDAY('Daily Schedule'!$B$2,2)=4,WEEKDAY('Daily Schedule'!$B$2,2)=5,WEEKDAY('Daily Schedule'!$B$2,2)=7),IFERROR(1*'Daily Workforce'!$K33&gt;=3,FALSE()),IFERROR(1*'Daily Workforce'!$K33&gt;=2,FALSE())),IF(AND('Daily Schedule'!$A26&gt;=46,'Daily Schedule'!$A26&lt;=52),'Daily Workforce'!$M33="Y",IFERROR(1*'Daily Workforce'!$P33&gt;=2,FALSE()))))),1,0)</f>
        <v>1</v>
      </c>
      <c r="AS22" s="1" t="n">
        <f aca="false">IF(AND('Daily Workforce'!$N34="Y",'Daily Workforce'!$B34&lt;&gt;"",COUNTIF('Daily Schedule'!$F$5:$F25,'Daily Workforce'!$B34)=0,IF('Daily Schedule'!$A26=45,'Daily Workforce'!$J34="Y",IF(OR('Daily Schedule'!$A26=4,'Daily Schedule'!$A26=8),IF(OR(WEEKDAY('Daily Schedule'!$B$2,2)=1,WEEKDAY('Daily Schedule'!$B$2,2)=4,WEEKDAY('Daily Schedule'!$B$2,2)=5,WEEKDAY('Daily Schedule'!$B$2,2)=7),IFERROR(1*'Daily Workforce'!$K34&gt;=3,FALSE()),IFERROR(1*'Daily Workforce'!$K34&gt;=2,FALSE())),IF(AND('Daily Schedule'!$A26&gt;=46,'Daily Schedule'!$A26&lt;=52),'Daily Workforce'!$M34="Y",IFERROR(1*'Daily Workforce'!$P34&gt;=2,FALSE()))))),1,0)</f>
        <v>1</v>
      </c>
      <c r="AT22" s="1" t="n">
        <f aca="false">IF(AND('Daily Workforce'!$N35="Y",'Daily Workforce'!$B35&lt;&gt;"",COUNTIF('Daily Schedule'!$F$5:$F25,'Daily Workforce'!$B35)=0,IF('Daily Schedule'!$A26=45,'Daily Workforce'!$J35="Y",IF(OR('Daily Schedule'!$A26=4,'Daily Schedule'!$A26=8),IF(OR(WEEKDAY('Daily Schedule'!$B$2,2)=1,WEEKDAY('Daily Schedule'!$B$2,2)=4,WEEKDAY('Daily Schedule'!$B$2,2)=5,WEEKDAY('Daily Schedule'!$B$2,2)=7),IFERROR(1*'Daily Workforce'!$K35&gt;=3,FALSE()),IFERROR(1*'Daily Workforce'!$K35&gt;=2,FALSE())),IF(AND('Daily Schedule'!$A26&gt;=46,'Daily Schedule'!$A26&lt;=52),'Daily Workforce'!$M35="Y",IFERROR(1*'Daily Workforce'!$P35&gt;=2,FALSE()))))),1,0)</f>
        <v>1</v>
      </c>
      <c r="AU22" s="1" t="n">
        <f aca="false">IF(AND('Daily Workforce'!$N36="Y",'Daily Workforce'!$B36&lt;&gt;"",COUNTIF('Daily Schedule'!$F$5:$F25,'Daily Workforce'!$B36)=0,IF('Daily Schedule'!$A26=45,'Daily Workforce'!$J36="Y",IF(OR('Daily Schedule'!$A26=4,'Daily Schedule'!$A26=8),IF(OR(WEEKDAY('Daily Schedule'!$B$2,2)=1,WEEKDAY('Daily Schedule'!$B$2,2)=4,WEEKDAY('Daily Schedule'!$B$2,2)=5,WEEKDAY('Daily Schedule'!$B$2,2)=7),IFERROR(1*'Daily Workforce'!$K36&gt;=3,FALSE()),IFERROR(1*'Daily Workforce'!$K36&gt;=2,FALSE())),IF(AND('Daily Schedule'!$A26&gt;=46,'Daily Schedule'!$A26&lt;=52),'Daily Workforce'!$M36="Y",IFERROR(1*'Daily Workforce'!$P36&gt;=2,FALSE()))))),1,0)</f>
        <v>1</v>
      </c>
      <c r="AV22" s="1" t="n">
        <f aca="false">IF(AND('Daily Workforce'!$N37="Y",'Daily Workforce'!$B37&lt;&gt;"",COUNTIF('Daily Schedule'!$F$5:$F25,'Daily Workforce'!$B37)=0,IF('Daily Schedule'!$A26=45,'Daily Workforce'!$J37="Y",IF(OR('Daily Schedule'!$A26=4,'Daily Schedule'!$A26=8),IF(OR(WEEKDAY('Daily Schedule'!$B$2,2)=1,WEEKDAY('Daily Schedule'!$B$2,2)=4,WEEKDAY('Daily Schedule'!$B$2,2)=5,WEEKDAY('Daily Schedule'!$B$2,2)=7),IFERROR(1*'Daily Workforce'!$K37&gt;=3,FALSE()),IFERROR(1*'Daily Workforce'!$K37&gt;=2,FALSE())),IF(AND('Daily Schedule'!$A26&gt;=46,'Daily Schedule'!$A26&lt;=52),'Daily Workforce'!$M37="Y",IFERROR(1*'Daily Workforce'!$P37&gt;=2,FALSE()))))),1,0)</f>
        <v>1</v>
      </c>
      <c r="AW22" s="1" t="n">
        <f aca="false">IF(AND('Daily Workforce'!$N38="Y",'Daily Workforce'!$B38&lt;&gt;"",COUNTIF('Daily Schedule'!$F$5:$F25,'Daily Workforce'!$B38)=0,IF('Daily Schedule'!$A26=45,'Daily Workforce'!$J38="Y",IF(OR('Daily Schedule'!$A26=4,'Daily Schedule'!$A26=8),IF(OR(WEEKDAY('Daily Schedule'!$B$2,2)=1,WEEKDAY('Daily Schedule'!$B$2,2)=4,WEEKDAY('Daily Schedule'!$B$2,2)=5,WEEKDAY('Daily Schedule'!$B$2,2)=7),IFERROR(1*'Daily Workforce'!$K38&gt;=3,FALSE()),IFERROR(1*'Daily Workforce'!$K38&gt;=2,FALSE())),IF(AND('Daily Schedule'!$A26&gt;=46,'Daily Schedule'!$A26&lt;=52),'Daily Workforce'!$M38="Y",IFERROR(1*'Daily Workforce'!$P38&gt;=2,FALSE()))))),1,0)</f>
        <v>1</v>
      </c>
      <c r="AX22" s="1" t="n">
        <f aca="false">IF(AND('Daily Workforce'!$N39="Y",'Daily Workforce'!$B39&lt;&gt;"",COUNTIF('Daily Schedule'!$F$5:$F25,'Daily Workforce'!$B39)=0,IF('Daily Schedule'!$A26=45,'Daily Workforce'!$J39="Y",IF(OR('Daily Schedule'!$A26=4,'Daily Schedule'!$A26=8),IF(OR(WEEKDAY('Daily Schedule'!$B$2,2)=1,WEEKDAY('Daily Schedule'!$B$2,2)=4,WEEKDAY('Daily Schedule'!$B$2,2)=5,WEEKDAY('Daily Schedule'!$B$2,2)=7),IFERROR(1*'Daily Workforce'!$K39&gt;=3,FALSE()),IFERROR(1*'Daily Workforce'!$K39&gt;=2,FALSE())),IF(AND('Daily Schedule'!$A26&gt;=46,'Daily Schedule'!$A26&lt;=52),'Daily Workforce'!$M39="Y",IFERROR(1*'Daily Workforce'!$P39&gt;=2,FALSE()))))),1,0)</f>
        <v>1</v>
      </c>
      <c r="AY22" s="1" t="n">
        <f aca="false">IF(AND('Daily Workforce'!$N40="Y",'Daily Workforce'!$B40&lt;&gt;"",COUNTIF('Daily Schedule'!$F$5:$F25,'Daily Workforce'!$B40)=0,IF('Daily Schedule'!$A26=45,'Daily Workforce'!$J40="Y",IF(OR('Daily Schedule'!$A26=4,'Daily Schedule'!$A26=8),IF(OR(WEEKDAY('Daily Schedule'!$B$2,2)=1,WEEKDAY('Daily Schedule'!$B$2,2)=4,WEEKDAY('Daily Schedule'!$B$2,2)=5,WEEKDAY('Daily Schedule'!$B$2,2)=7),IFERROR(1*'Daily Workforce'!$K40&gt;=3,FALSE()),IFERROR(1*'Daily Workforce'!$K40&gt;=2,FALSE())),IF(AND('Daily Schedule'!$A26&gt;=46,'Daily Schedule'!$A26&lt;=52),'Daily Workforce'!$M40="Y",IFERROR(1*'Daily Workforce'!$P40&gt;=2,FALSE()))))),1,0)</f>
        <v>1</v>
      </c>
      <c r="AZ22" s="1" t="n">
        <f aca="false">IF(AND('Daily Workforce'!$N41="Y",'Daily Workforce'!$B41&lt;&gt;"",COUNTIF('Daily Schedule'!$F$5:$F25,'Daily Workforce'!$B41)=0,IF('Daily Schedule'!$A26=45,'Daily Workforce'!$J41="Y",IF(OR('Daily Schedule'!$A26=4,'Daily Schedule'!$A26=8),IF(OR(WEEKDAY('Daily Schedule'!$B$2,2)=1,WEEKDAY('Daily Schedule'!$B$2,2)=4,WEEKDAY('Daily Schedule'!$B$2,2)=5,WEEKDAY('Daily Schedule'!$B$2,2)=7),IFERROR(1*'Daily Workforce'!$K41&gt;=3,FALSE()),IFERROR(1*'Daily Workforce'!$K41&gt;=2,FALSE())),IF(AND('Daily Schedule'!$A26&gt;=46,'Daily Schedule'!$A26&lt;=52),'Daily Workforce'!$M41="Y",IFERROR(1*'Daily Workforce'!$P41&gt;=2,FALSE()))))),1,0)</f>
        <v>1</v>
      </c>
      <c r="BA22" s="1" t="n">
        <f aca="false">IF(AND('Daily Workforce'!$N42="Y",'Daily Workforce'!$B42&lt;&gt;"",COUNTIF('Daily Schedule'!$F$5:$F25,'Daily Workforce'!$B42)=0,IF('Daily Schedule'!$A26=45,'Daily Workforce'!$J42="Y",IF(OR('Daily Schedule'!$A26=4,'Daily Schedule'!$A26=8),IF(OR(WEEKDAY('Daily Schedule'!$B$2,2)=1,WEEKDAY('Daily Schedule'!$B$2,2)=4,WEEKDAY('Daily Schedule'!$B$2,2)=5,WEEKDAY('Daily Schedule'!$B$2,2)=7),IFERROR(1*'Daily Workforce'!$K42&gt;=3,FALSE()),IFERROR(1*'Daily Workforce'!$K42&gt;=2,FALSE())),IF(AND('Daily Schedule'!$A26&gt;=46,'Daily Schedule'!$A26&lt;=52),'Daily Workforce'!$M42="Y",IFERROR(1*'Daily Workforce'!$P42&gt;=2,FALSE()))))),1,0)</f>
        <v>1</v>
      </c>
      <c r="BB22" s="1" t="n">
        <f aca="false">IF(AND('Daily Workforce'!$N43="Y",'Daily Workforce'!$B43&lt;&gt;"",COUNTIF('Daily Schedule'!$F$5:$F25,'Daily Workforce'!$B43)=0,IF('Daily Schedule'!$A26=45,'Daily Workforce'!$J43="Y",IF(OR('Daily Schedule'!$A26=4,'Daily Schedule'!$A26=8),IF(OR(WEEKDAY('Daily Schedule'!$B$2,2)=1,WEEKDAY('Daily Schedule'!$B$2,2)=4,WEEKDAY('Daily Schedule'!$B$2,2)=5,WEEKDAY('Daily Schedule'!$B$2,2)=7),IFERROR(1*'Daily Workforce'!$K43&gt;=3,FALSE()),IFERROR(1*'Daily Workforce'!$K43&gt;=2,FALSE())),IF(AND('Daily Schedule'!$A26&gt;=46,'Daily Schedule'!$A26&lt;=52),'Daily Workforce'!$M43="Y",IFERROR(1*'Daily Workforce'!$P43&gt;=2,FALSE()))))),1,0)</f>
        <v>1</v>
      </c>
      <c r="BC22" s="1" t="n">
        <f aca="false">IF(AND('Daily Workforce'!$N44="Y",'Daily Workforce'!$B44&lt;&gt;"",COUNTIF('Daily Schedule'!$F$5:$F25,'Daily Workforce'!$B44)=0,IF('Daily Schedule'!$A26=45,'Daily Workforce'!$J44="Y",IF(OR('Daily Schedule'!$A26=4,'Daily Schedule'!$A26=8),IF(OR(WEEKDAY('Daily Schedule'!$B$2,2)=1,WEEKDAY('Daily Schedule'!$B$2,2)=4,WEEKDAY('Daily Schedule'!$B$2,2)=5,WEEKDAY('Daily Schedule'!$B$2,2)=7),IFERROR(1*'Daily Workforce'!$K44&gt;=3,FALSE()),IFERROR(1*'Daily Workforce'!$K44&gt;=2,FALSE())),IF(AND('Daily Schedule'!$A26&gt;=46,'Daily Schedule'!$A26&lt;=52),'Daily Workforce'!$M44="Y",IFERROR(1*'Daily Workforce'!$P44&gt;=2,FALSE()))))),1,0)</f>
        <v>1</v>
      </c>
      <c r="BD22" s="1" t="n">
        <f aca="false">IF(AND('Daily Workforce'!$N45="Y",'Daily Workforce'!$B45&lt;&gt;"",COUNTIF('Daily Schedule'!$F$5:$F25,'Daily Workforce'!$B45)=0,IF('Daily Schedule'!$A26=45,'Daily Workforce'!$J45="Y",IF(OR('Daily Schedule'!$A26=4,'Daily Schedule'!$A26=8),IF(OR(WEEKDAY('Daily Schedule'!$B$2,2)=1,WEEKDAY('Daily Schedule'!$B$2,2)=4,WEEKDAY('Daily Schedule'!$B$2,2)=5,WEEKDAY('Daily Schedule'!$B$2,2)=7),IFERROR(1*'Daily Workforce'!$K45&gt;=3,FALSE()),IFERROR(1*'Daily Workforce'!$K45&gt;=2,FALSE())),IF(AND('Daily Schedule'!$A26&gt;=46,'Daily Schedule'!$A26&lt;=52),'Daily Workforce'!$M45="Y",IFERROR(1*'Daily Workforce'!$P45&gt;=2,FALSE()))))),1,0)</f>
        <v>1</v>
      </c>
      <c r="BE22" s="1" t="n">
        <f aca="false">IF(AND('Daily Workforce'!$N46="Y",'Daily Workforce'!$B46&lt;&gt;"",COUNTIF('Daily Schedule'!$F$5:$F25,'Daily Workforce'!$B46)=0,IF('Daily Schedule'!$A26=45,'Daily Workforce'!$J46="Y",IF(OR('Daily Schedule'!$A26=4,'Daily Schedule'!$A26=8),IF(OR(WEEKDAY('Daily Schedule'!$B$2,2)=1,WEEKDAY('Daily Schedule'!$B$2,2)=4,WEEKDAY('Daily Schedule'!$B$2,2)=5,WEEKDAY('Daily Schedule'!$B$2,2)=7),IFERROR(1*'Daily Workforce'!$K46&gt;=3,FALSE()),IFERROR(1*'Daily Workforce'!$K46&gt;=2,FALSE())),IF(AND('Daily Schedule'!$A26&gt;=46,'Daily Schedule'!$A26&lt;=52),'Daily Workforce'!$M46="Y",IFERROR(1*'Daily Workforce'!$P46&gt;=2,FALSE()))))),1,0)</f>
        <v>1</v>
      </c>
      <c r="BF22" s="1" t="n">
        <f aca="false">IF(AND('Daily Workforce'!$N47="Y",'Daily Workforce'!$B47&lt;&gt;"",COUNTIF('Daily Schedule'!$F$5:$F25,'Daily Workforce'!$B47)=0,IF('Daily Schedule'!$A26=45,'Daily Workforce'!$J47="Y",IF(OR('Daily Schedule'!$A26=4,'Daily Schedule'!$A26=8),IF(OR(WEEKDAY('Daily Schedule'!$B$2,2)=1,WEEKDAY('Daily Schedule'!$B$2,2)=4,WEEKDAY('Daily Schedule'!$B$2,2)=5,WEEKDAY('Daily Schedule'!$B$2,2)=7),IFERROR(1*'Daily Workforce'!$K47&gt;=3,FALSE()),IFERROR(1*'Daily Workforce'!$K47&gt;=2,FALSE())),IF(AND('Daily Schedule'!$A26&gt;=46,'Daily Schedule'!$A26&lt;=52),'Daily Workforce'!$M47="Y",IFERROR(1*'Daily Workforce'!$P47&gt;=2,FALSE()))))),1,0)</f>
        <v>0</v>
      </c>
      <c r="BG22" s="1" t="n">
        <f aca="false">IF(AND('Daily Workforce'!$N48="Y",'Daily Workforce'!$B48&lt;&gt;"",COUNTIF('Daily Schedule'!$F$5:$F25,'Daily Workforce'!$B48)=0,IF('Daily Schedule'!$A26=45,'Daily Workforce'!$J48="Y",IF(OR('Daily Schedule'!$A26=4,'Daily Schedule'!$A26=8),IF(OR(WEEKDAY('Daily Schedule'!$B$2,2)=1,WEEKDAY('Daily Schedule'!$B$2,2)=4,WEEKDAY('Daily Schedule'!$B$2,2)=5,WEEKDAY('Daily Schedule'!$B$2,2)=7),IFERROR(1*'Daily Workforce'!$K48&gt;=3,FALSE()),IFERROR(1*'Daily Workforce'!$K48&gt;=2,FALSE())),IF(AND('Daily Schedule'!$A26&gt;=46,'Daily Schedule'!$A26&lt;=52),'Daily Workforce'!$M48="Y",IFERROR(1*'Daily Workforce'!$P48&gt;=2,FALSE()))))),1,0)</f>
        <v>1</v>
      </c>
      <c r="BH22" s="1" t="n">
        <f aca="false">IF(AND('Daily Workforce'!$N49="Y",'Daily Workforce'!$B49&lt;&gt;"",COUNTIF('Daily Schedule'!$F$5:$F25,'Daily Workforce'!$B49)=0,IF('Daily Schedule'!$A26=45,'Daily Workforce'!$J49="Y",IF(OR('Daily Schedule'!$A26=4,'Daily Schedule'!$A26=8),IF(OR(WEEKDAY('Daily Schedule'!$B$2,2)=1,WEEKDAY('Daily Schedule'!$B$2,2)=4,WEEKDAY('Daily Schedule'!$B$2,2)=5,WEEKDAY('Daily Schedule'!$B$2,2)=7),IFERROR(1*'Daily Workforce'!$K49&gt;=3,FALSE()),IFERROR(1*'Daily Workforce'!$K49&gt;=2,FALSE())),IF(AND('Daily Schedule'!$A26&gt;=46,'Daily Schedule'!$A26&lt;=52),'Daily Workforce'!$M49="Y",IFERROR(1*'Daily Workforce'!$P49&gt;=2,FALSE()))))),1,0)</f>
        <v>1</v>
      </c>
      <c r="BI22" s="1" t="n">
        <f aca="false">IF(AND('Daily Workforce'!$N50="Y",'Daily Workforce'!$B50&lt;&gt;"",COUNTIF('Daily Schedule'!$F$5:$F25,'Daily Workforce'!$B50)=0,IF('Daily Schedule'!$A26=45,'Daily Workforce'!$J50="Y",IF(OR('Daily Schedule'!$A26=4,'Daily Schedule'!$A26=8),IF(OR(WEEKDAY('Daily Schedule'!$B$2,2)=1,WEEKDAY('Daily Schedule'!$B$2,2)=4,WEEKDAY('Daily Schedule'!$B$2,2)=5,WEEKDAY('Daily Schedule'!$B$2,2)=7),IFERROR(1*'Daily Workforce'!$K50&gt;=3,FALSE()),IFERROR(1*'Daily Workforce'!$K50&gt;=2,FALSE())),IF(AND('Daily Schedule'!$A26&gt;=46,'Daily Schedule'!$A26&lt;=52),'Daily Workforce'!$M50="Y",IFERROR(1*'Daily Workforce'!$P50&gt;=2,FALSE()))))),1,0)</f>
        <v>0</v>
      </c>
      <c r="BJ22" s="1" t="n">
        <f aca="false">IF(AND('Daily Workforce'!$N51="Y",'Daily Workforce'!$B51&lt;&gt;"",COUNTIF('Daily Schedule'!$F$5:$F25,'Daily Workforce'!$B51)=0,IF('Daily Schedule'!$A26=45,'Daily Workforce'!$J51="Y",IF(OR('Daily Schedule'!$A26=4,'Daily Schedule'!$A26=8),IF(OR(WEEKDAY('Daily Schedule'!$B$2,2)=1,WEEKDAY('Daily Schedule'!$B$2,2)=4,WEEKDAY('Daily Schedule'!$B$2,2)=5,WEEKDAY('Daily Schedule'!$B$2,2)=7),IFERROR(1*'Daily Workforce'!$K51&gt;=3,FALSE()),IFERROR(1*'Daily Workforce'!$K51&gt;=2,FALSE())),IF(AND('Daily Schedule'!$A26&gt;=46,'Daily Schedule'!$A26&lt;=52),'Daily Workforce'!$M51="Y",IFERROR(1*'Daily Workforce'!$P51&gt;=2,FALSE()))))),1,0)</f>
        <v>1</v>
      </c>
      <c r="BK22" s="1" t="n">
        <f aca="false">IF(AND('Daily Workforce'!$N52="Y",'Daily Workforce'!$B52&lt;&gt;"",COUNTIF('Daily Schedule'!$F$5:$F25,'Daily Workforce'!$B52)=0,IF('Daily Schedule'!$A26=45,'Daily Workforce'!$J52="Y",IF(OR('Daily Schedule'!$A26=4,'Daily Schedule'!$A26=8),IF(OR(WEEKDAY('Daily Schedule'!$B$2,2)=1,WEEKDAY('Daily Schedule'!$B$2,2)=4,WEEKDAY('Daily Schedule'!$B$2,2)=5,WEEKDAY('Daily Schedule'!$B$2,2)=7),IFERROR(1*'Daily Workforce'!$K52&gt;=3,FALSE()),IFERROR(1*'Daily Workforce'!$K52&gt;=2,FALSE())),IF(AND('Daily Schedule'!$A26&gt;=46,'Daily Schedule'!$A26&lt;=52),'Daily Workforce'!$M52="Y",IFERROR(1*'Daily Workforce'!$P52&gt;=2,FALSE()))))),1,0)</f>
        <v>1</v>
      </c>
      <c r="BL22" s="1" t="n">
        <f aca="false">IF(AND('Daily Workforce'!$N53="Y",'Daily Workforce'!$B53&lt;&gt;"",COUNTIF('Daily Schedule'!$F$5:$F25,'Daily Workforce'!$B53)=0,IF('Daily Schedule'!$A26=45,'Daily Workforce'!$J53="Y",IF(OR('Daily Schedule'!$A26=4,'Daily Schedule'!$A26=8),IF(OR(WEEKDAY('Daily Schedule'!$B$2,2)=1,WEEKDAY('Daily Schedule'!$B$2,2)=4,WEEKDAY('Daily Schedule'!$B$2,2)=5,WEEKDAY('Daily Schedule'!$B$2,2)=7),IFERROR(1*'Daily Workforce'!$K53&gt;=3,FALSE()),IFERROR(1*'Daily Workforce'!$K53&gt;=2,FALSE())),IF(AND('Daily Schedule'!$A26&gt;=46,'Daily Schedule'!$A26&lt;=52),'Daily Workforce'!$M53="Y",IFERROR(1*'Daily Workforce'!$P53&gt;=2,FALSE()))))),1,0)</f>
        <v>1</v>
      </c>
      <c r="BM22" s="1" t="n">
        <f aca="false">IF(AND('Daily Workforce'!$N54="Y",'Daily Workforce'!$B54&lt;&gt;"",COUNTIF('Daily Schedule'!$F$5:$F25,'Daily Workforce'!$B54)=0,IF('Daily Schedule'!$A26=45,'Daily Workforce'!$J54="Y",IF(OR('Daily Schedule'!$A26=4,'Daily Schedule'!$A26=8),IF(OR(WEEKDAY('Daily Schedule'!$B$2,2)=1,WEEKDAY('Daily Schedule'!$B$2,2)=4,WEEKDAY('Daily Schedule'!$B$2,2)=5,WEEKDAY('Daily Schedule'!$B$2,2)=7),IFERROR(1*'Daily Workforce'!$K54&gt;=3,FALSE()),IFERROR(1*'Daily Workforce'!$K54&gt;=2,FALSE())),IF(AND('Daily Schedule'!$A26&gt;=46,'Daily Schedule'!$A26&lt;=52),'Daily Workforce'!$M54="Y",IFERROR(1*'Daily Workforce'!$P54&gt;=2,FALSE()))))),1,0)</f>
        <v>1</v>
      </c>
      <c r="BN22" s="1" t="n">
        <f aca="false">IF(AND('Daily Workforce'!$N55="Y",'Daily Workforce'!$B55&lt;&gt;"",COUNTIF('Daily Schedule'!$F$5:$F25,'Daily Workforce'!$B55)=0,IF('Daily Schedule'!$A26=45,'Daily Workforce'!$J55="Y",IF(OR('Daily Schedule'!$A26=4,'Daily Schedule'!$A26=8),IF(OR(WEEKDAY('Daily Schedule'!$B$2,2)=1,WEEKDAY('Daily Schedule'!$B$2,2)=4,WEEKDAY('Daily Schedule'!$B$2,2)=5,WEEKDAY('Daily Schedule'!$B$2,2)=7),IFERROR(1*'Daily Workforce'!$K55&gt;=3,FALSE()),IFERROR(1*'Daily Workforce'!$K55&gt;=2,FALSE())),IF(AND('Daily Schedule'!$A26&gt;=46,'Daily Schedule'!$A26&lt;=52),'Daily Workforce'!$M55="Y",IFERROR(1*'Daily Workforce'!$P55&gt;=2,FALSE()))))),1,0)</f>
        <v>1</v>
      </c>
      <c r="BO22" s="1" t="n">
        <f aca="false">IF(AND('Daily Workforce'!$N56="Y",'Daily Workforce'!$B56&lt;&gt;"",COUNTIF('Daily Schedule'!$F$5:$F25,'Daily Workforce'!$B56)=0,IF('Daily Schedule'!$A26=45,'Daily Workforce'!$J56="Y",IF(OR('Daily Schedule'!$A26=4,'Daily Schedule'!$A26=8),IF(OR(WEEKDAY('Daily Schedule'!$B$2,2)=1,WEEKDAY('Daily Schedule'!$B$2,2)=4,WEEKDAY('Daily Schedule'!$B$2,2)=5,WEEKDAY('Daily Schedule'!$B$2,2)=7),IFERROR(1*'Daily Workforce'!$K56&gt;=3,FALSE()),IFERROR(1*'Daily Workforce'!$K56&gt;=2,FALSE())),IF(AND('Daily Schedule'!$A26&gt;=46,'Daily Schedule'!$A26&lt;=52),'Daily Workforce'!$M56="Y",IFERROR(1*'Daily Workforce'!$P56&gt;=2,FALSE()))))),1,0)</f>
        <v>1</v>
      </c>
      <c r="BP22" s="1" t="n">
        <f aca="false">IF(AND('Daily Workforce'!$N57="Y",'Daily Workforce'!$B57&lt;&gt;"",COUNTIF('Daily Schedule'!$F$5:$F25,'Daily Workforce'!$B57)=0,IF('Daily Schedule'!$A26=45,'Daily Workforce'!$J57="Y",IF(OR('Daily Schedule'!$A26=4,'Daily Schedule'!$A26=8),IF(OR(WEEKDAY('Daily Schedule'!$B$2,2)=1,WEEKDAY('Daily Schedule'!$B$2,2)=4,WEEKDAY('Daily Schedule'!$B$2,2)=5,WEEKDAY('Daily Schedule'!$B$2,2)=7),IFERROR(1*'Daily Workforce'!$K57&gt;=3,FALSE()),IFERROR(1*'Daily Workforce'!$K57&gt;=2,FALSE())),IF(AND('Daily Schedule'!$A26&gt;=46,'Daily Schedule'!$A26&lt;=52),'Daily Workforce'!$M57="Y",IFERROR(1*'Daily Workforce'!$P57&gt;=2,FALSE()))))),1,0)</f>
        <v>0</v>
      </c>
      <c r="BQ22" s="1" t="n">
        <f aca="false">IF(AND('Daily Workforce'!$N58="Y",'Daily Workforce'!$B58&lt;&gt;"",COUNTIF('Daily Schedule'!$F$5:$F25,'Daily Workforce'!$B58)=0,IF('Daily Schedule'!$A26=45,'Daily Workforce'!$J58="Y",IF(OR('Daily Schedule'!$A26=4,'Daily Schedule'!$A26=8),IF(OR(WEEKDAY('Daily Schedule'!$B$2,2)=1,WEEKDAY('Daily Schedule'!$B$2,2)=4,WEEKDAY('Daily Schedule'!$B$2,2)=5,WEEKDAY('Daily Schedule'!$B$2,2)=7),IFERROR(1*'Daily Workforce'!$K58&gt;=3,FALSE()),IFERROR(1*'Daily Workforce'!$K58&gt;=2,FALSE())),IF(AND('Daily Schedule'!$A26&gt;=46,'Daily Schedule'!$A26&lt;=52),'Daily Workforce'!$M58="Y",IFERROR(1*'Daily Workforce'!$P58&gt;=2,FALSE()))))),1,0)</f>
        <v>1</v>
      </c>
      <c r="BR22" s="1" t="n">
        <f aca="false">IF(AND('Daily Workforce'!$N59="Y",'Daily Workforce'!$B59&lt;&gt;"",COUNTIF('Daily Schedule'!$F$5:$F25,'Daily Workforce'!$B59)=0,IF('Daily Schedule'!$A26=45,'Daily Workforce'!$J59="Y",IF(OR('Daily Schedule'!$A26=4,'Daily Schedule'!$A26=8),IF(OR(WEEKDAY('Daily Schedule'!$B$2,2)=1,WEEKDAY('Daily Schedule'!$B$2,2)=4,WEEKDAY('Daily Schedule'!$B$2,2)=5,WEEKDAY('Daily Schedule'!$B$2,2)=7),IFERROR(1*'Daily Workforce'!$K59&gt;=3,FALSE()),IFERROR(1*'Daily Workforce'!$K59&gt;=2,FALSE())),IF(AND('Daily Schedule'!$A26&gt;=46,'Daily Schedule'!$A26&lt;=52),'Daily Workforce'!$M59="Y",IFERROR(1*'Daily Workforce'!$P59&gt;=2,FALSE()))))),1,0)</f>
        <v>1</v>
      </c>
      <c r="BS22" s="1" t="n">
        <f aca="false">IF(AND('Daily Workforce'!$N60="Y",'Daily Workforce'!$B60&lt;&gt;"",COUNTIF('Daily Schedule'!$F$5:$F25,'Daily Workforce'!$B60)=0,IF('Daily Schedule'!$A26=45,'Daily Workforce'!$J60="Y",IF(OR('Daily Schedule'!$A26=4,'Daily Schedule'!$A26=8),IF(OR(WEEKDAY('Daily Schedule'!$B$2,2)=1,WEEKDAY('Daily Schedule'!$B$2,2)=4,WEEKDAY('Daily Schedule'!$B$2,2)=5,WEEKDAY('Daily Schedule'!$B$2,2)=7),IFERROR(1*'Daily Workforce'!$K60&gt;=3,FALSE()),IFERROR(1*'Daily Workforce'!$K60&gt;=2,FALSE())),IF(AND('Daily Schedule'!$A26&gt;=46,'Daily Schedule'!$A26&lt;=52),'Daily Workforce'!$M60="Y",IFERROR(1*'Daily Workforce'!$P60&gt;=2,FALSE()))))),1,0)</f>
        <v>1</v>
      </c>
      <c r="BT22" s="1" t="n">
        <f aca="false">IF(AND('Daily Workforce'!$N61="Y",'Daily Workforce'!$B61&lt;&gt;"",COUNTIF('Daily Schedule'!$F$5:$F25,'Daily Workforce'!$B61)=0,IF('Daily Schedule'!$A26=45,'Daily Workforce'!$J61="Y",IF(OR('Daily Schedule'!$A26=4,'Daily Schedule'!$A26=8),IF(OR(WEEKDAY('Daily Schedule'!$B$2,2)=1,WEEKDAY('Daily Schedule'!$B$2,2)=4,WEEKDAY('Daily Schedule'!$B$2,2)=5,WEEKDAY('Daily Schedule'!$B$2,2)=7),IFERROR(1*'Daily Workforce'!$K61&gt;=3,FALSE()),IFERROR(1*'Daily Workforce'!$K61&gt;=2,FALSE())),IF(AND('Daily Schedule'!$A26&gt;=46,'Daily Schedule'!$A26&lt;=52),'Daily Workforce'!$M61="Y",IFERROR(1*'Daily Workforce'!$P61&gt;=2,FALSE()))))),1,0)</f>
        <v>0</v>
      </c>
      <c r="BU22" s="1" t="n">
        <f aca="false">IF(AND('Daily Workforce'!$N62="Y",'Daily Workforce'!$B62&lt;&gt;"",COUNTIF('Daily Schedule'!$F$5:$F25,'Daily Workforce'!$B62)=0,IF('Daily Schedule'!$A26=45,'Daily Workforce'!$J62="Y",IF(OR('Daily Schedule'!$A26=4,'Daily Schedule'!$A26=8),IF(OR(WEEKDAY('Daily Schedule'!$B$2,2)=1,WEEKDAY('Daily Schedule'!$B$2,2)=4,WEEKDAY('Daily Schedule'!$B$2,2)=5,WEEKDAY('Daily Schedule'!$B$2,2)=7),IFERROR(1*'Daily Workforce'!$K62&gt;=3,FALSE()),IFERROR(1*'Daily Workforce'!$K62&gt;=2,FALSE())),IF(AND('Daily Schedule'!$A26&gt;=46,'Daily Schedule'!$A26&lt;=52),'Daily Workforce'!$M62="Y",IFERROR(1*'Daily Workforce'!$P62&gt;=2,FALSE()))))),1,0)</f>
        <v>1</v>
      </c>
      <c r="BV22" s="1" t="n">
        <f aca="false">IF(AND('Daily Workforce'!$N63="Y",'Daily Workforce'!$B63&lt;&gt;"",COUNTIF('Daily Schedule'!$F$5:$F25,'Daily Workforce'!$B63)=0,IF('Daily Schedule'!$A26=45,'Daily Workforce'!$J63="Y",IF(OR('Daily Schedule'!$A26=4,'Daily Schedule'!$A26=8),IF(OR(WEEKDAY('Daily Schedule'!$B$2,2)=1,WEEKDAY('Daily Schedule'!$B$2,2)=4,WEEKDAY('Daily Schedule'!$B$2,2)=5,WEEKDAY('Daily Schedule'!$B$2,2)=7),IFERROR(1*'Daily Workforce'!$K63&gt;=3,FALSE()),IFERROR(1*'Daily Workforce'!$K63&gt;=2,FALSE())),IF(AND('Daily Schedule'!$A26&gt;=46,'Daily Schedule'!$A26&lt;=52),'Daily Workforce'!$M63="Y",IFERROR(1*'Daily Workforce'!$P63&gt;=2,FALSE()))))),1,0)</f>
        <v>1</v>
      </c>
      <c r="BW22" s="1" t="n">
        <f aca="false">IF(AND('Daily Workforce'!$N64="Y",'Daily Workforce'!$B64&lt;&gt;"",COUNTIF('Daily Schedule'!$F$5:$F25,'Daily Workforce'!$B64)=0,IF('Daily Schedule'!$A26=45,'Daily Workforce'!$J64="Y",IF(OR('Daily Schedule'!$A26=4,'Daily Schedule'!$A26=8),IF(OR(WEEKDAY('Daily Schedule'!$B$2,2)=1,WEEKDAY('Daily Schedule'!$B$2,2)=4,WEEKDAY('Daily Schedule'!$B$2,2)=5,WEEKDAY('Daily Schedule'!$B$2,2)=7),IFERROR(1*'Daily Workforce'!$K64&gt;=3,FALSE()),IFERROR(1*'Daily Workforce'!$K64&gt;=2,FALSE())),IF(AND('Daily Schedule'!$A26&gt;=46,'Daily Schedule'!$A26&lt;=52),'Daily Workforce'!$M64="Y",IFERROR(1*'Daily Workforce'!$P64&gt;=2,FALSE()))))),1,0)</f>
        <v>1</v>
      </c>
      <c r="BX22" s="1" t="n">
        <f aca="false">IF(AND('Daily Workforce'!$N65="Y",'Daily Workforce'!$B65&lt;&gt;"",COUNTIF('Daily Schedule'!$F$5:$F25,'Daily Workforce'!$B65)=0,IF('Daily Schedule'!$A26=45,'Daily Workforce'!$J65="Y",IF(OR('Daily Schedule'!$A26=4,'Daily Schedule'!$A26=8),IF(OR(WEEKDAY('Daily Schedule'!$B$2,2)=1,WEEKDAY('Daily Schedule'!$B$2,2)=4,WEEKDAY('Daily Schedule'!$B$2,2)=5,WEEKDAY('Daily Schedule'!$B$2,2)=7),IFERROR(1*'Daily Workforce'!$K65&gt;=3,FALSE()),IFERROR(1*'Daily Workforce'!$K65&gt;=2,FALSE())),IF(AND('Daily Schedule'!$A26&gt;=46,'Daily Schedule'!$A26&lt;=52),'Daily Workforce'!$M65="Y",IFERROR(1*'Daily Workforce'!$P65&gt;=2,FALSE()))))),1,0)</f>
        <v>1</v>
      </c>
      <c r="BY22" s="1" t="n">
        <f aca="false">IF(AND('Daily Workforce'!$N66="Y",'Daily Workforce'!$B66&lt;&gt;"",COUNTIF('Daily Schedule'!$F$5:$F25,'Daily Workforce'!$B66)=0,IF('Daily Schedule'!$A26=45,'Daily Workforce'!$J66="Y",IF(OR('Daily Schedule'!$A26=4,'Daily Schedule'!$A26=8),IF(OR(WEEKDAY('Daily Schedule'!$B$2,2)=1,WEEKDAY('Daily Schedule'!$B$2,2)=4,WEEKDAY('Daily Schedule'!$B$2,2)=5,WEEKDAY('Daily Schedule'!$B$2,2)=7),IFERROR(1*'Daily Workforce'!$K66&gt;=3,FALSE()),IFERROR(1*'Daily Workforce'!$K66&gt;=2,FALSE())),IF(AND('Daily Schedule'!$A26&gt;=46,'Daily Schedule'!$A26&lt;=52),'Daily Workforce'!$M66="Y",IFERROR(1*'Daily Workforce'!$P66&gt;=2,FALSE()))))),1,0)</f>
        <v>1</v>
      </c>
      <c r="BZ22" s="1" t="n">
        <f aca="false">IF(AND('Daily Workforce'!$N67="Y",'Daily Workforce'!$B67&lt;&gt;"",COUNTIF('Daily Schedule'!$F$5:$F25,'Daily Workforce'!$B67)=0,IF('Daily Schedule'!$A26=45,'Daily Workforce'!$J67="Y",IF(OR('Daily Schedule'!$A26=4,'Daily Schedule'!$A26=8),IF(OR(WEEKDAY('Daily Schedule'!$B$2,2)=1,WEEKDAY('Daily Schedule'!$B$2,2)=4,WEEKDAY('Daily Schedule'!$B$2,2)=5,WEEKDAY('Daily Schedule'!$B$2,2)=7),IFERROR(1*'Daily Workforce'!$K67&gt;=3,FALSE()),IFERROR(1*'Daily Workforce'!$K67&gt;=2,FALSE())),IF(AND('Daily Schedule'!$A26&gt;=46,'Daily Schedule'!$A26&lt;=52),'Daily Workforce'!$M67="Y",IFERROR(1*'Daily Workforce'!$P67&gt;=2,FALSE()))))),1,0)</f>
        <v>1</v>
      </c>
      <c r="CA22" s="1" t="n">
        <f aca="false">IF(AND('Daily Workforce'!$N68="Y",'Daily Workforce'!$B68&lt;&gt;"",COUNTIF('Daily Schedule'!$F$5:$F25,'Daily Workforce'!$B68)=0,IF('Daily Schedule'!$A26=45,'Daily Workforce'!$J68="Y",IF(OR('Daily Schedule'!$A26=4,'Daily Schedule'!$A26=8),IF(OR(WEEKDAY('Daily Schedule'!$B$2,2)=1,WEEKDAY('Daily Schedule'!$B$2,2)=4,WEEKDAY('Daily Schedule'!$B$2,2)=5,WEEKDAY('Daily Schedule'!$B$2,2)=7),IFERROR(1*'Daily Workforce'!$K68&gt;=3,FALSE()),IFERROR(1*'Daily Workforce'!$K68&gt;=2,FALSE())),IF(AND('Daily Schedule'!$A26&gt;=46,'Daily Schedule'!$A26&lt;=52),'Daily Workforce'!$M68="Y",IFERROR(1*'Daily Workforce'!$P68&gt;=2,FALSE()))))),1,0)</f>
        <v>1</v>
      </c>
      <c r="CB22" s="1" t="n">
        <f aca="false">IF(AND('Daily Workforce'!$N69="Y",'Daily Workforce'!$B69&lt;&gt;"",COUNTIF('Daily Schedule'!$F$5:$F25,'Daily Workforce'!$B69)=0,IF('Daily Schedule'!$A26=45,'Daily Workforce'!$J69="Y",IF(OR('Daily Schedule'!$A26=4,'Daily Schedule'!$A26=8),IF(OR(WEEKDAY('Daily Schedule'!$B$2,2)=1,WEEKDAY('Daily Schedule'!$B$2,2)=4,WEEKDAY('Daily Schedule'!$B$2,2)=5,WEEKDAY('Daily Schedule'!$B$2,2)=7),IFERROR(1*'Daily Workforce'!$K69&gt;=3,FALSE()),IFERROR(1*'Daily Workforce'!$K69&gt;=2,FALSE())),IF(AND('Daily Schedule'!$A26&gt;=46,'Daily Schedule'!$A26&lt;=52),'Daily Workforce'!$M69="Y",IFERROR(1*'Daily Workforce'!$P69&gt;=2,FALSE()))))),1,0)</f>
        <v>1</v>
      </c>
      <c r="CC22" s="1" t="n">
        <f aca="false">IF(AND('Daily Workforce'!$N70="Y",'Daily Workforce'!$B70&lt;&gt;"",COUNTIF('Daily Schedule'!$F$5:$F25,'Daily Workforce'!$B70)=0,IF('Daily Schedule'!$A26=45,'Daily Workforce'!$J70="Y",IF(OR('Daily Schedule'!$A26=4,'Daily Schedule'!$A26=8),IF(OR(WEEKDAY('Daily Schedule'!$B$2,2)=1,WEEKDAY('Daily Schedule'!$B$2,2)=4,WEEKDAY('Daily Schedule'!$B$2,2)=5,WEEKDAY('Daily Schedule'!$B$2,2)=7),IFERROR(1*'Daily Workforce'!$K70&gt;=3,FALSE()),IFERROR(1*'Daily Workforce'!$K70&gt;=2,FALSE())),IF(AND('Daily Schedule'!$A26&gt;=46,'Daily Schedule'!$A26&lt;=52),'Daily Workforce'!$M70="Y",IFERROR(1*'Daily Workforce'!$P70&gt;=2,FALSE()))))),1,0)</f>
        <v>1</v>
      </c>
      <c r="CD22" s="1" t="n">
        <f aca="false">IF(AND('Daily Workforce'!$N71="Y",'Daily Workforce'!$B71&lt;&gt;"",COUNTIF('Daily Schedule'!$F$5:$F25,'Daily Workforce'!$B71)=0,IF('Daily Schedule'!$A26=45,'Daily Workforce'!$J71="Y",IF(OR('Daily Schedule'!$A26=4,'Daily Schedule'!$A26=8),IF(OR(WEEKDAY('Daily Schedule'!$B$2,2)=1,WEEKDAY('Daily Schedule'!$B$2,2)=4,WEEKDAY('Daily Schedule'!$B$2,2)=5,WEEKDAY('Daily Schedule'!$B$2,2)=7),IFERROR(1*'Daily Workforce'!$K71&gt;=3,FALSE()),IFERROR(1*'Daily Workforce'!$K71&gt;=2,FALSE())),IF(AND('Daily Schedule'!$A26&gt;=46,'Daily Schedule'!$A26&lt;=52),'Daily Workforce'!$M71="Y",IFERROR(1*'Daily Workforce'!$P71&gt;=2,FALSE()))))),1,0)</f>
        <v>1</v>
      </c>
      <c r="CE22" s="1" t="n">
        <f aca="false">IF(AND('Daily Workforce'!$N72="Y",'Daily Workforce'!$B72&lt;&gt;"",COUNTIF('Daily Schedule'!$F$5:$F25,'Daily Workforce'!$B72)=0,IF('Daily Schedule'!$A26=45,'Daily Workforce'!$J72="Y",IF(OR('Daily Schedule'!$A26=4,'Daily Schedule'!$A26=8),IF(OR(WEEKDAY('Daily Schedule'!$B$2,2)=1,WEEKDAY('Daily Schedule'!$B$2,2)=4,WEEKDAY('Daily Schedule'!$B$2,2)=5,WEEKDAY('Daily Schedule'!$B$2,2)=7),IFERROR(1*'Daily Workforce'!$K72&gt;=3,FALSE()),IFERROR(1*'Daily Workforce'!$K72&gt;=2,FALSE())),IF(AND('Daily Schedule'!$A26&gt;=46,'Daily Schedule'!$A26&lt;=52),'Daily Workforce'!$M72="Y",IFERROR(1*'Daily Workforce'!$P72&gt;=2,FALSE()))))),1,0)</f>
        <v>1</v>
      </c>
      <c r="CF22" s="1" t="n">
        <f aca="false">IF(AND('Daily Workforce'!$N73="Y",'Daily Workforce'!$B73&lt;&gt;"",COUNTIF('Daily Schedule'!$F$5:$F25,'Daily Workforce'!$B73)=0,IF('Daily Schedule'!$A26=45,'Daily Workforce'!$J73="Y",IF(OR('Daily Schedule'!$A26=4,'Daily Schedule'!$A26=8),IF(OR(WEEKDAY('Daily Schedule'!$B$2,2)=1,WEEKDAY('Daily Schedule'!$B$2,2)=4,WEEKDAY('Daily Schedule'!$B$2,2)=5,WEEKDAY('Daily Schedule'!$B$2,2)=7),IFERROR(1*'Daily Workforce'!$K73&gt;=3,FALSE()),IFERROR(1*'Daily Workforce'!$K73&gt;=2,FALSE())),IF(AND('Daily Schedule'!$A26&gt;=46,'Daily Schedule'!$A26&lt;=52),'Daily Workforce'!$M73="Y",IFERROR(1*'Daily Workforce'!$P73&gt;=2,FALSE()))))),1,0)</f>
        <v>1</v>
      </c>
      <c r="CG22" s="1" t="n">
        <f aca="false">IF(AND('Daily Workforce'!$N74="Y",'Daily Workforce'!$B74&lt;&gt;"",COUNTIF('Daily Schedule'!$F$5:$F25,'Daily Workforce'!$B74)=0,IF('Daily Schedule'!$A26=45,'Daily Workforce'!$J74="Y",IF(OR('Daily Schedule'!$A26=4,'Daily Schedule'!$A26=8),IF(OR(WEEKDAY('Daily Schedule'!$B$2,2)=1,WEEKDAY('Daily Schedule'!$B$2,2)=4,WEEKDAY('Daily Schedule'!$B$2,2)=5,WEEKDAY('Daily Schedule'!$B$2,2)=7),IFERROR(1*'Daily Workforce'!$K74&gt;=3,FALSE()),IFERROR(1*'Daily Workforce'!$K74&gt;=2,FALSE())),IF(AND('Daily Schedule'!$A26&gt;=46,'Daily Schedule'!$A26&lt;=52),'Daily Workforce'!$M74="Y",IFERROR(1*'Daily Workforce'!$P74&gt;=2,FALSE()))))),1,0)</f>
        <v>1</v>
      </c>
      <c r="CH22" s="1" t="n">
        <f aca="false">IF(AND('Daily Workforce'!$N75="Y",'Daily Workforce'!$B75&lt;&gt;"",COUNTIF('Daily Schedule'!$F$5:$F25,'Daily Workforce'!$B75)=0,IF('Daily Schedule'!$A26=45,'Daily Workforce'!$J75="Y",IF(OR('Daily Schedule'!$A26=4,'Daily Schedule'!$A26=8),IF(OR(WEEKDAY('Daily Schedule'!$B$2,2)=1,WEEKDAY('Daily Schedule'!$B$2,2)=4,WEEKDAY('Daily Schedule'!$B$2,2)=5,WEEKDAY('Daily Schedule'!$B$2,2)=7),IFERROR(1*'Daily Workforce'!$K75&gt;=3,FALSE()),IFERROR(1*'Daily Workforce'!$K75&gt;=2,FALSE())),IF(AND('Daily Schedule'!$A26&gt;=46,'Daily Schedule'!$A26&lt;=52),'Daily Workforce'!$M75="Y",IFERROR(1*'Daily Workforce'!$P75&gt;=2,FALSE()))))),1,0)</f>
        <v>1</v>
      </c>
      <c r="CI22" s="1" t="n">
        <f aca="false">IF(AND('Daily Workforce'!$N76="Y",'Daily Workforce'!$B76&lt;&gt;"",COUNTIF('Daily Schedule'!$F$5:$F25,'Daily Workforce'!$B76)=0,IF('Daily Schedule'!$A26=45,'Daily Workforce'!$J76="Y",IF(OR('Daily Schedule'!$A26=4,'Daily Schedule'!$A26=8),IF(OR(WEEKDAY('Daily Schedule'!$B$2,2)=1,WEEKDAY('Daily Schedule'!$B$2,2)=4,WEEKDAY('Daily Schedule'!$B$2,2)=5,WEEKDAY('Daily Schedule'!$B$2,2)=7),IFERROR(1*'Daily Workforce'!$K76&gt;=3,FALSE()),IFERROR(1*'Daily Workforce'!$K76&gt;=2,FALSE())),IF(AND('Daily Schedule'!$A26&gt;=46,'Daily Schedule'!$A26&lt;=52),'Daily Workforce'!$M76="Y",IFERROR(1*'Daily Workforce'!$P76&gt;=2,FALSE()))))),1,0)</f>
        <v>1</v>
      </c>
      <c r="CJ22" s="1" t="n">
        <f aca="false">IF(AND('Daily Workforce'!$N77="Y",'Daily Workforce'!$B77&lt;&gt;"",COUNTIF('Daily Schedule'!$F$5:$F25,'Daily Workforce'!$B77)=0,IF('Daily Schedule'!$A26=45,'Daily Workforce'!$J77="Y",IF(OR('Daily Schedule'!$A26=4,'Daily Schedule'!$A26=8),IF(OR(WEEKDAY('Daily Schedule'!$B$2,2)=1,WEEKDAY('Daily Schedule'!$B$2,2)=4,WEEKDAY('Daily Schedule'!$B$2,2)=5,WEEKDAY('Daily Schedule'!$B$2,2)=7),IFERROR(1*'Daily Workforce'!$K77&gt;=3,FALSE()),IFERROR(1*'Daily Workforce'!$K77&gt;=2,FALSE())),IF(AND('Daily Schedule'!$A26&gt;=46,'Daily Schedule'!$A26&lt;=52),'Daily Workforce'!$M77="Y",IFERROR(1*'Daily Workforce'!$P77&gt;=2,FALSE()))))),1,0)</f>
        <v>1</v>
      </c>
      <c r="CK22" s="1" t="n">
        <f aca="false">IF(AND('Daily Workforce'!$N78="Y",'Daily Workforce'!$B78&lt;&gt;"",COUNTIF('Daily Schedule'!$F$5:$F25,'Daily Workforce'!$B78)=0,IF('Daily Schedule'!$A26=45,'Daily Workforce'!$J78="Y",IF(OR('Daily Schedule'!$A26=4,'Daily Schedule'!$A26=8),IF(OR(WEEKDAY('Daily Schedule'!$B$2,2)=1,WEEKDAY('Daily Schedule'!$B$2,2)=4,WEEKDAY('Daily Schedule'!$B$2,2)=5,WEEKDAY('Daily Schedule'!$B$2,2)=7),IFERROR(1*'Daily Workforce'!$K78&gt;=3,FALSE()),IFERROR(1*'Daily Workforce'!$K78&gt;=2,FALSE())),IF(AND('Daily Schedule'!$A26&gt;=46,'Daily Schedule'!$A26&lt;=52),'Daily Workforce'!$M78="Y",IFERROR(1*'Daily Workforce'!$P78&gt;=2,FALSE()))))),1,0)</f>
        <v>1</v>
      </c>
      <c r="CL22" s="1" t="n">
        <f aca="false">IF(AND('Daily Workforce'!$N79="Y",'Daily Workforce'!$B79&lt;&gt;"",COUNTIF('Daily Schedule'!$F$5:$F25,'Daily Workforce'!$B79)=0,IF('Daily Schedule'!$A26=45,'Daily Workforce'!$J79="Y",IF(OR('Daily Schedule'!$A26=4,'Daily Schedule'!$A26=8),IF(OR(WEEKDAY('Daily Schedule'!$B$2,2)=1,WEEKDAY('Daily Schedule'!$B$2,2)=4,WEEKDAY('Daily Schedule'!$B$2,2)=5,WEEKDAY('Daily Schedule'!$B$2,2)=7),IFERROR(1*'Daily Workforce'!$K79&gt;=3,FALSE()),IFERROR(1*'Daily Workforce'!$K79&gt;=2,FALSE())),IF(AND('Daily Schedule'!$A26&gt;=46,'Daily Schedule'!$A26&lt;=52),'Daily Workforce'!$M79="Y",IFERROR(1*'Daily Workforce'!$P79&gt;=2,FALSE()))))),1,0)</f>
        <v>1</v>
      </c>
      <c r="CM22" s="1" t="n">
        <f aca="false">IF(AND('Daily Workforce'!$N80="Y",'Daily Workforce'!$B80&lt;&gt;"",COUNTIF('Daily Schedule'!$F$5:$F25,'Daily Workforce'!$B80)=0,IF('Daily Schedule'!$A26=45,'Daily Workforce'!$J80="Y",IF(OR('Daily Schedule'!$A26=4,'Daily Schedule'!$A26=8),IF(OR(WEEKDAY('Daily Schedule'!$B$2,2)=1,WEEKDAY('Daily Schedule'!$B$2,2)=4,WEEKDAY('Daily Schedule'!$B$2,2)=5,WEEKDAY('Daily Schedule'!$B$2,2)=7),IFERROR(1*'Daily Workforce'!$K80&gt;=3,FALSE()),IFERROR(1*'Daily Workforce'!$K80&gt;=2,FALSE())),IF(AND('Daily Schedule'!$A26&gt;=46,'Daily Schedule'!$A26&lt;=52),'Daily Workforce'!$M80="Y",IFERROR(1*'Daily Workforce'!$P80&gt;=2,FALSE()))))),1,0)</f>
        <v>1</v>
      </c>
      <c r="CN22" s="1" t="n">
        <f aca="false">IF(AND('Daily Workforce'!$N81="Y",'Daily Workforce'!$B81&lt;&gt;"",COUNTIF('Daily Schedule'!$F$5:$F25,'Daily Workforce'!$B81)=0,IF('Daily Schedule'!$A26=45,'Daily Workforce'!$J81="Y",IF(OR('Daily Schedule'!$A26=4,'Daily Schedule'!$A26=8),IF(OR(WEEKDAY('Daily Schedule'!$B$2,2)=1,WEEKDAY('Daily Schedule'!$B$2,2)=4,WEEKDAY('Daily Schedule'!$B$2,2)=5,WEEKDAY('Daily Schedule'!$B$2,2)=7),IFERROR(1*'Daily Workforce'!$K81&gt;=3,FALSE()),IFERROR(1*'Daily Workforce'!$K81&gt;=2,FALSE())),IF(AND('Daily Schedule'!$A26&gt;=46,'Daily Schedule'!$A26&lt;=52),'Daily Workforce'!$M81="Y",IFERROR(1*'Daily Workforce'!$P81&gt;=2,FALSE()))))),1,0)</f>
        <v>1</v>
      </c>
      <c r="CO22" s="1" t="n">
        <f aca="false">IF(AND('Daily Workforce'!$N82="Y",'Daily Workforce'!$B82&lt;&gt;"",COUNTIF('Daily Schedule'!$F$5:$F25,'Daily Workforce'!$B82)=0,IF('Daily Schedule'!$A26=45,'Daily Workforce'!$J82="Y",IF(OR('Daily Schedule'!$A26=4,'Daily Schedule'!$A26=8),IF(OR(WEEKDAY('Daily Schedule'!$B$2,2)=1,WEEKDAY('Daily Schedule'!$B$2,2)=4,WEEKDAY('Daily Schedule'!$B$2,2)=5,WEEKDAY('Daily Schedule'!$B$2,2)=7),IFERROR(1*'Daily Workforce'!$K82&gt;=3,FALSE()),IFERROR(1*'Daily Workforce'!$K82&gt;=2,FALSE())),IF(AND('Daily Schedule'!$A26&gt;=46,'Daily Schedule'!$A26&lt;=52),'Daily Workforce'!$M82="Y",IFERROR(1*'Daily Workforce'!$P82&gt;=2,FALSE()))))),1,0)</f>
        <v>1</v>
      </c>
      <c r="CP22" s="1" t="n">
        <f aca="false">IF(AND('Daily Workforce'!$N83="Y",'Daily Workforce'!$B83&lt;&gt;"",COUNTIF('Daily Schedule'!$F$5:$F25,'Daily Workforce'!$B83)=0,IF('Daily Schedule'!$A26=45,'Daily Workforce'!$J83="Y",IF(OR('Daily Schedule'!$A26=4,'Daily Schedule'!$A26=8),IF(OR(WEEKDAY('Daily Schedule'!$B$2,2)=1,WEEKDAY('Daily Schedule'!$B$2,2)=4,WEEKDAY('Daily Schedule'!$B$2,2)=5,WEEKDAY('Daily Schedule'!$B$2,2)=7),IFERROR(1*'Daily Workforce'!$K83&gt;=3,FALSE()),IFERROR(1*'Daily Workforce'!$K83&gt;=2,FALSE())),IF(AND('Daily Schedule'!$A26&gt;=46,'Daily Schedule'!$A26&lt;=52),'Daily Workforce'!$M83="Y",IFERROR(1*'Daily Workforce'!$P83&gt;=2,FALSE()))))),1,0)</f>
        <v>0</v>
      </c>
      <c r="CQ22" s="1" t="n">
        <f aca="false">IF(AND('Daily Workforce'!$N84="Y",'Daily Workforce'!$B84&lt;&gt;"",COUNTIF('Daily Schedule'!$F$5:$F25,'Daily Workforce'!$B84)=0,IF('Daily Schedule'!$A26=45,'Daily Workforce'!$J84="Y",IF(OR('Daily Schedule'!$A26=4,'Daily Schedule'!$A26=8),IF(OR(WEEKDAY('Daily Schedule'!$B$2,2)=1,WEEKDAY('Daily Schedule'!$B$2,2)=4,WEEKDAY('Daily Schedule'!$B$2,2)=5,WEEKDAY('Daily Schedule'!$B$2,2)=7),IFERROR(1*'Daily Workforce'!$K84&gt;=3,FALSE()),IFERROR(1*'Daily Workforce'!$K84&gt;=2,FALSE())),IF(AND('Daily Schedule'!$A26&gt;=46,'Daily Schedule'!$A26&lt;=52),'Daily Workforce'!$M84="Y",IFERROR(1*'Daily Workforce'!$P84&gt;=2,FALSE()))))),1,0)</f>
        <v>1</v>
      </c>
      <c r="CR22" s="1" t="n">
        <f aca="false">IF(AND('Daily Workforce'!$N85="Y",'Daily Workforce'!$B85&lt;&gt;"",COUNTIF('Daily Schedule'!$F$5:$F25,'Daily Workforce'!$B85)=0,IF('Daily Schedule'!$A26=45,'Daily Workforce'!$J85="Y",IF(OR('Daily Schedule'!$A26=4,'Daily Schedule'!$A26=8),IF(OR(WEEKDAY('Daily Schedule'!$B$2,2)=1,WEEKDAY('Daily Schedule'!$B$2,2)=4,WEEKDAY('Daily Schedule'!$B$2,2)=5,WEEKDAY('Daily Schedule'!$B$2,2)=7),IFERROR(1*'Daily Workforce'!$K85&gt;=3,FALSE()),IFERROR(1*'Daily Workforce'!$K85&gt;=2,FALSE())),IF(AND('Daily Schedule'!$A26&gt;=46,'Daily Schedule'!$A26&lt;=52),'Daily Workforce'!$M85="Y",IFERROR(1*'Daily Workforce'!$P85&gt;=2,FALSE()))))),1,0)</f>
        <v>0</v>
      </c>
      <c r="CS22" s="1" t="n">
        <f aca="false">IF(AND('Daily Workforce'!$N86="Y",'Daily Workforce'!$B86&lt;&gt;"",COUNTIF('Daily Schedule'!$F$5:$F25,'Daily Workforce'!$B86)=0,IF('Daily Schedule'!$A26=45,'Daily Workforce'!$J86="Y",IF(OR('Daily Schedule'!$A26=4,'Daily Schedule'!$A26=8),IF(OR(WEEKDAY('Daily Schedule'!$B$2,2)=1,WEEKDAY('Daily Schedule'!$B$2,2)=4,WEEKDAY('Daily Schedule'!$B$2,2)=5,WEEKDAY('Daily Schedule'!$B$2,2)=7),IFERROR(1*'Daily Workforce'!$K86&gt;=3,FALSE()),IFERROR(1*'Daily Workforce'!$K86&gt;=2,FALSE())),IF(AND('Daily Schedule'!$A26&gt;=46,'Daily Schedule'!$A26&lt;=52),'Daily Workforce'!$M86="Y",IFERROR(1*'Daily Workforce'!$P86&gt;=2,FALSE()))))),1,0)</f>
        <v>1</v>
      </c>
      <c r="CT22" s="1" t="n">
        <f aca="false">IF(AND('Daily Workforce'!$N87="Y",'Daily Workforce'!$B87&lt;&gt;"",COUNTIF('Daily Schedule'!$F$5:$F25,'Daily Workforce'!$B87)=0,IF('Daily Schedule'!$A26=45,'Daily Workforce'!$J87="Y",IF(OR('Daily Schedule'!$A26=4,'Daily Schedule'!$A26=8),IF(OR(WEEKDAY('Daily Schedule'!$B$2,2)=1,WEEKDAY('Daily Schedule'!$B$2,2)=4,WEEKDAY('Daily Schedule'!$B$2,2)=5,WEEKDAY('Daily Schedule'!$B$2,2)=7),IFERROR(1*'Daily Workforce'!$K87&gt;=3,FALSE()),IFERROR(1*'Daily Workforce'!$K87&gt;=2,FALSE())),IF(AND('Daily Schedule'!$A26&gt;=46,'Daily Schedule'!$A26&lt;=52),'Daily Workforce'!$M87="Y",IFERROR(1*'Daily Workforce'!$P87&gt;=2,FALSE()))))),1,0)</f>
        <v>1</v>
      </c>
      <c r="CU22" s="1" t="n">
        <f aca="false">IF(AND('Daily Workforce'!$N88="Y",'Daily Workforce'!$B88&lt;&gt;"",COUNTIF('Daily Schedule'!$F$5:$F25,'Daily Workforce'!$B88)=0,IF('Daily Schedule'!$A26=45,'Daily Workforce'!$J88="Y",IF(OR('Daily Schedule'!$A26=4,'Daily Schedule'!$A26=8),IF(OR(WEEKDAY('Daily Schedule'!$B$2,2)=1,WEEKDAY('Daily Schedule'!$B$2,2)=4,WEEKDAY('Daily Schedule'!$B$2,2)=5,WEEKDAY('Daily Schedule'!$B$2,2)=7),IFERROR(1*'Daily Workforce'!$K88&gt;=3,FALSE()),IFERROR(1*'Daily Workforce'!$K88&gt;=2,FALSE())),IF(AND('Daily Schedule'!$A26&gt;=46,'Daily Schedule'!$A26&lt;=52),'Daily Workforce'!$M88="Y",IFERROR(1*'Daily Workforce'!$P88&gt;=2,FALSE()))))),1,0)</f>
        <v>1</v>
      </c>
      <c r="CV22" s="1" t="n">
        <f aca="false">IF(AND('Daily Workforce'!$N89="Y",'Daily Workforce'!$B89&lt;&gt;"",COUNTIF('Daily Schedule'!$F$5:$F25,'Daily Workforce'!$B89)=0,IF('Daily Schedule'!$A26=45,'Daily Workforce'!$J89="Y",IF(OR('Daily Schedule'!$A26=4,'Daily Schedule'!$A26=8),IF(OR(WEEKDAY('Daily Schedule'!$B$2,2)=1,WEEKDAY('Daily Schedule'!$B$2,2)=4,WEEKDAY('Daily Schedule'!$B$2,2)=5,WEEKDAY('Daily Schedule'!$B$2,2)=7),IFERROR(1*'Daily Workforce'!$K89&gt;=3,FALSE()),IFERROR(1*'Daily Workforce'!$K89&gt;=2,FALSE())),IF(AND('Daily Schedule'!$A26&gt;=46,'Daily Schedule'!$A26&lt;=52),'Daily Workforce'!$M89="Y",IFERROR(1*'Daily Workforce'!$P89&gt;=2,FALSE()))))),1,0)</f>
        <v>1</v>
      </c>
      <c r="CW22" s="1" t="n">
        <f aca="false">IF(AND('Daily Workforce'!$N90="Y",'Daily Workforce'!$B90&lt;&gt;"",COUNTIF('Daily Schedule'!$F$5:$F25,'Daily Workforce'!$B90)=0,IF('Daily Schedule'!$A26=45,'Daily Workforce'!$J90="Y",IF(OR('Daily Schedule'!$A26=4,'Daily Schedule'!$A26=8),IF(OR(WEEKDAY('Daily Schedule'!$B$2,2)=1,WEEKDAY('Daily Schedule'!$B$2,2)=4,WEEKDAY('Daily Schedule'!$B$2,2)=5,WEEKDAY('Daily Schedule'!$B$2,2)=7),IFERROR(1*'Daily Workforce'!$K90&gt;=3,FALSE()),IFERROR(1*'Daily Workforce'!$K90&gt;=2,FALSE())),IF(AND('Daily Schedule'!$A26&gt;=46,'Daily Schedule'!$A26&lt;=52),'Daily Workforce'!$M90="Y",IFERROR(1*'Daily Workforce'!$P90&gt;=2,FALSE()))))),1,0)</f>
        <v>1</v>
      </c>
      <c r="CX22" s="1" t="n">
        <f aca="false">IF(AND('Daily Workforce'!$N91="Y",'Daily Workforce'!$B91&lt;&gt;"",COUNTIF('Daily Schedule'!$F$5:$F25,'Daily Workforce'!$B91)=0,IF('Daily Schedule'!$A26=45,'Daily Workforce'!$J91="Y",IF(OR('Daily Schedule'!$A26=4,'Daily Schedule'!$A26=8),IF(OR(WEEKDAY('Daily Schedule'!$B$2,2)=1,WEEKDAY('Daily Schedule'!$B$2,2)=4,WEEKDAY('Daily Schedule'!$B$2,2)=5,WEEKDAY('Daily Schedule'!$B$2,2)=7),IFERROR(1*'Daily Workforce'!$K91&gt;=3,FALSE()),IFERROR(1*'Daily Workforce'!$K91&gt;=2,FALSE())),IF(AND('Daily Schedule'!$A26&gt;=46,'Daily Schedule'!$A26&lt;=52),'Daily Workforce'!$M91="Y",IFERROR(1*'Daily Workforce'!$P91&gt;=2,FALSE()))))),1,0)</f>
        <v>1</v>
      </c>
      <c r="CY22" s="1" t="n">
        <f aca="false">IF(AND('Daily Workforce'!$N92="Y",'Daily Workforce'!$B92&lt;&gt;"",COUNTIF('Daily Schedule'!$F$5:$F25,'Daily Workforce'!$B92)=0,IF('Daily Schedule'!$A26=45,'Daily Workforce'!$J92="Y",IF(OR('Daily Schedule'!$A26=4,'Daily Schedule'!$A26=8),IF(OR(WEEKDAY('Daily Schedule'!$B$2,2)=1,WEEKDAY('Daily Schedule'!$B$2,2)=4,WEEKDAY('Daily Schedule'!$B$2,2)=5,WEEKDAY('Daily Schedule'!$B$2,2)=7),IFERROR(1*'Daily Workforce'!$K92&gt;=3,FALSE()),IFERROR(1*'Daily Workforce'!$K92&gt;=2,FALSE())),IF(AND('Daily Schedule'!$A26&gt;=46,'Daily Schedule'!$A26&lt;=52),'Daily Workforce'!$M92="Y",IFERROR(1*'Daily Workforce'!$P92&gt;=2,FALSE()))))),1,0)</f>
        <v>1</v>
      </c>
      <c r="CZ22" s="1" t="n">
        <f aca="false">IF(AND('Daily Workforce'!$N93="Y",'Daily Workforce'!$B93&lt;&gt;"",COUNTIF('Daily Schedule'!$F$5:$F25,'Daily Workforce'!$B93)=0,IF('Daily Schedule'!$A26=45,'Daily Workforce'!$J93="Y",IF(OR('Daily Schedule'!$A26=4,'Daily Schedule'!$A26=8),IF(OR(WEEKDAY('Daily Schedule'!$B$2,2)=1,WEEKDAY('Daily Schedule'!$B$2,2)=4,WEEKDAY('Daily Schedule'!$B$2,2)=5,WEEKDAY('Daily Schedule'!$B$2,2)=7),IFERROR(1*'Daily Workforce'!$K93&gt;=3,FALSE()),IFERROR(1*'Daily Workforce'!$K93&gt;=2,FALSE())),IF(AND('Daily Schedule'!$A26&gt;=46,'Daily Schedule'!$A26&lt;=52),'Daily Workforce'!$M93="Y",IFERROR(1*'Daily Workforce'!$P93&gt;=2,FALSE()))))),1,0)</f>
        <v>1</v>
      </c>
      <c r="DA22" s="1" t="n">
        <f aca="false">IF(AND('Daily Workforce'!$N94="Y",'Daily Workforce'!$B94&lt;&gt;"",COUNTIF('Daily Schedule'!$F$5:$F25,'Daily Workforce'!$B94)=0,IF('Daily Schedule'!$A26=45,'Daily Workforce'!$J94="Y",IF(OR('Daily Schedule'!$A26=4,'Daily Schedule'!$A26=8),IF(OR(WEEKDAY('Daily Schedule'!$B$2,2)=1,WEEKDAY('Daily Schedule'!$B$2,2)=4,WEEKDAY('Daily Schedule'!$B$2,2)=5,WEEKDAY('Daily Schedule'!$B$2,2)=7),IFERROR(1*'Daily Workforce'!$K94&gt;=3,FALSE()),IFERROR(1*'Daily Workforce'!$K94&gt;=2,FALSE())),IF(AND('Daily Schedule'!$A26&gt;=46,'Daily Schedule'!$A26&lt;=52),'Daily Workforce'!$M94="Y",IFERROR(1*'Daily Workforce'!$P94&gt;=2,FALSE()))))),1,0)</f>
        <v>1</v>
      </c>
      <c r="DB22" s="1" t="n">
        <f aca="false">IF(AND('Daily Workforce'!$N95="Y",'Daily Workforce'!$B95&lt;&gt;"",COUNTIF('Daily Schedule'!$F$5:$F25,'Daily Workforce'!$B95)=0,IF('Daily Schedule'!$A26=45,'Daily Workforce'!$J95="Y",IF(OR('Daily Schedule'!$A26=4,'Daily Schedule'!$A26=8),IF(OR(WEEKDAY('Daily Schedule'!$B$2,2)=1,WEEKDAY('Daily Schedule'!$B$2,2)=4,WEEKDAY('Daily Schedule'!$B$2,2)=5,WEEKDAY('Daily Schedule'!$B$2,2)=7),IFERROR(1*'Daily Workforce'!$K95&gt;=3,FALSE()),IFERROR(1*'Daily Workforce'!$K95&gt;=2,FALSE())),IF(AND('Daily Schedule'!$A26&gt;=46,'Daily Schedule'!$A26&lt;=52),'Daily Workforce'!$M95="Y",IFERROR(1*'Daily Workforce'!$P95&gt;=2,FALSE()))))),1,0)</f>
        <v>1</v>
      </c>
      <c r="DC22" s="1" t="n">
        <f aca="false">IF(AND('Daily Workforce'!$N96="Y",'Daily Workforce'!$B96&lt;&gt;"",COUNTIF('Daily Schedule'!$F$5:$F25,'Daily Workforce'!$B96)=0,IF('Daily Schedule'!$A26=45,'Daily Workforce'!$J96="Y",IF(OR('Daily Schedule'!$A26=4,'Daily Schedule'!$A26=8),IF(OR(WEEKDAY('Daily Schedule'!$B$2,2)=1,WEEKDAY('Daily Schedule'!$B$2,2)=4,WEEKDAY('Daily Schedule'!$B$2,2)=5,WEEKDAY('Daily Schedule'!$B$2,2)=7),IFERROR(1*'Daily Workforce'!$K96&gt;=3,FALSE()),IFERROR(1*'Daily Workforce'!$K96&gt;=2,FALSE())),IF(AND('Daily Schedule'!$A26&gt;=46,'Daily Schedule'!$A26&lt;=52),'Daily Workforce'!$M96="Y",IFERROR(1*'Daily Workforce'!$P96&gt;=2,FALSE()))))),1,0)</f>
        <v>1</v>
      </c>
      <c r="DD22" s="1" t="n">
        <f aca="false">IF(AND('Daily Workforce'!$N97="Y",'Daily Workforce'!$B97&lt;&gt;"",COUNTIF('Daily Schedule'!$F$5:$F25,'Daily Workforce'!$B97)=0,IF('Daily Schedule'!$A26=45,'Daily Workforce'!$J97="Y",IF(OR('Daily Schedule'!$A26=4,'Daily Schedule'!$A26=8),IF(OR(WEEKDAY('Daily Schedule'!$B$2,2)=1,WEEKDAY('Daily Schedule'!$B$2,2)=4,WEEKDAY('Daily Schedule'!$B$2,2)=5,WEEKDAY('Daily Schedule'!$B$2,2)=7),IFERROR(1*'Daily Workforce'!$K97&gt;=3,FALSE()),IFERROR(1*'Daily Workforce'!$K97&gt;=2,FALSE())),IF(AND('Daily Schedule'!$A26&gt;=46,'Daily Schedule'!$A26&lt;=52),'Daily Workforce'!$M97="Y",IFERROR(1*'Daily Workforce'!$P97&gt;=2,FALSE()))))),1,0)</f>
        <v>1</v>
      </c>
      <c r="DE22" s="1" t="n">
        <f aca="false">IF(AND('Daily Workforce'!$N98="Y",'Daily Workforce'!$B98&lt;&gt;"",COUNTIF('Daily Schedule'!$F$5:$F25,'Daily Workforce'!$B98)=0,IF('Daily Schedule'!$A26=45,'Daily Workforce'!$J98="Y",IF(OR('Daily Schedule'!$A26=4,'Daily Schedule'!$A26=8),IF(OR(WEEKDAY('Daily Schedule'!$B$2,2)=1,WEEKDAY('Daily Schedule'!$B$2,2)=4,WEEKDAY('Daily Schedule'!$B$2,2)=5,WEEKDAY('Daily Schedule'!$B$2,2)=7),IFERROR(1*'Daily Workforce'!$K98&gt;=3,FALSE()),IFERROR(1*'Daily Workforce'!$K98&gt;=2,FALSE())),IF(AND('Daily Schedule'!$A26&gt;=46,'Daily Schedule'!$A26&lt;=52),'Daily Workforce'!$M98="Y",IFERROR(1*'Daily Workforce'!$P98&gt;=2,FALSE()))))),1,0)</f>
        <v>1</v>
      </c>
      <c r="DF22" s="1" t="n">
        <f aca="false">IF(AND('Daily Workforce'!$N99="Y",'Daily Workforce'!$B99&lt;&gt;"",COUNTIF('Daily Schedule'!$F$5:$F25,'Daily Workforce'!$B99)=0,IF('Daily Schedule'!$A26=45,'Daily Workforce'!$J99="Y",IF(OR('Daily Schedule'!$A26=4,'Daily Schedule'!$A26=8),IF(OR(WEEKDAY('Daily Schedule'!$B$2,2)=1,WEEKDAY('Daily Schedule'!$B$2,2)=4,WEEKDAY('Daily Schedule'!$B$2,2)=5,WEEKDAY('Daily Schedule'!$B$2,2)=7),IFERROR(1*'Daily Workforce'!$K99&gt;=3,FALSE()),IFERROR(1*'Daily Workforce'!$K99&gt;=2,FALSE())),IF(AND('Daily Schedule'!$A26&gt;=46,'Daily Schedule'!$A26&lt;=52),'Daily Workforce'!$M99="Y",IFERROR(1*'Daily Workforce'!$P99&gt;=2,FALSE()))))),1,0)</f>
        <v>1</v>
      </c>
      <c r="DG22" s="1" t="n">
        <f aca="false">IF(AND('Daily Workforce'!$N100="Y",'Daily Workforce'!$B100&lt;&gt;"",COUNTIF('Daily Schedule'!$F$5:$F25,'Daily Workforce'!$B100)=0,IF('Daily Schedule'!$A26=45,'Daily Workforce'!$J100="Y",IF(OR('Daily Schedule'!$A26=4,'Daily Schedule'!$A26=8),IF(OR(WEEKDAY('Daily Schedule'!$B$2,2)=1,WEEKDAY('Daily Schedule'!$B$2,2)=4,WEEKDAY('Daily Schedule'!$B$2,2)=5,WEEKDAY('Daily Schedule'!$B$2,2)=7),IFERROR(1*'Daily Workforce'!$K100&gt;=3,FALSE()),IFERROR(1*'Daily Workforce'!$K100&gt;=2,FALSE())),IF(AND('Daily Schedule'!$A26&gt;=46,'Daily Schedule'!$A26&lt;=52),'Daily Workforce'!$M100="Y",IFERROR(1*'Daily Workforce'!$P100&gt;=2,FALSE()))))),1,0)</f>
        <v>1</v>
      </c>
      <c r="DH22" s="1" t="n">
        <f aca="false">IF(AND('Daily Workforce'!$N101="Y",'Daily Workforce'!$B101&lt;&gt;"",COUNTIF('Daily Schedule'!$F$5:$F25,'Daily Workforce'!$B101)=0,IF('Daily Schedule'!$A26=45,'Daily Workforce'!$J101="Y",IF(OR('Daily Schedule'!$A26=4,'Daily Schedule'!$A26=8),IF(OR(WEEKDAY('Daily Schedule'!$B$2,2)=1,WEEKDAY('Daily Schedule'!$B$2,2)=4,WEEKDAY('Daily Schedule'!$B$2,2)=5,WEEKDAY('Daily Schedule'!$B$2,2)=7),IFERROR(1*'Daily Workforce'!$K101&gt;=3,FALSE()),IFERROR(1*'Daily Workforce'!$K101&gt;=2,FALSE())),IF(AND('Daily Schedule'!$A26&gt;=46,'Daily Schedule'!$A26&lt;=52),'Daily Workforce'!$M101="Y",IFERROR(1*'Daily Workforce'!$P101&gt;=2,FALSE()))))),1,0)</f>
        <v>1</v>
      </c>
      <c r="DI22" s="1" t="n">
        <f aca="false">IF(AND('Daily Workforce'!$N102="Y",'Daily Workforce'!$B102&lt;&gt;"",COUNTIF('Daily Schedule'!$F$5:$F25,'Daily Workforce'!$B102)=0,IF('Daily Schedule'!$A26=45,'Daily Workforce'!$J102="Y",IF(OR('Daily Schedule'!$A26=4,'Daily Schedule'!$A26=8),IF(OR(WEEKDAY('Daily Schedule'!$B$2,2)=1,WEEKDAY('Daily Schedule'!$B$2,2)=4,WEEKDAY('Daily Schedule'!$B$2,2)=5,WEEKDAY('Daily Schedule'!$B$2,2)=7),IFERROR(1*'Daily Workforce'!$K102&gt;=3,FALSE()),IFERROR(1*'Daily Workforce'!$K102&gt;=2,FALSE())),IF(AND('Daily Schedule'!$A26&gt;=46,'Daily Schedule'!$A26&lt;=52),'Daily Workforce'!$M102="Y",IFERROR(1*'Daily Workforce'!$P102&gt;=2,FALSE()))))),1,0)</f>
        <v>1</v>
      </c>
      <c r="DJ22" s="1" t="n">
        <f aca="false">IF(AND('Daily Workforce'!$N103="Y",'Daily Workforce'!$B103&lt;&gt;"",COUNTIF('Daily Schedule'!$F$5:$F25,'Daily Workforce'!$B103)=0,IF('Daily Schedule'!$A26=45,'Daily Workforce'!$J103="Y",IF(OR('Daily Schedule'!$A26=4,'Daily Schedule'!$A26=8),IF(OR(WEEKDAY('Daily Schedule'!$B$2,2)=1,WEEKDAY('Daily Schedule'!$B$2,2)=4,WEEKDAY('Daily Schedule'!$B$2,2)=5,WEEKDAY('Daily Schedule'!$B$2,2)=7),IFERROR(1*'Daily Workforce'!$K103&gt;=3,FALSE()),IFERROR(1*'Daily Workforce'!$K103&gt;=2,FALSE())),IF(AND('Daily Schedule'!$A26&gt;=46,'Daily Schedule'!$A26&lt;=52),'Daily Workforce'!$M103="Y",IFERROR(1*'Daily Workforce'!$P103&gt;=2,FALSE()))))),1,0)</f>
        <v>1</v>
      </c>
      <c r="DK22" s="1" t="n">
        <f aca="false">IF(AND('Daily Workforce'!$N104="Y",'Daily Workforce'!$B104&lt;&gt;"",COUNTIF('Daily Schedule'!$F$5:$F25,'Daily Workforce'!$B104)=0,IF('Daily Schedule'!$A26=45,'Daily Workforce'!$J104="Y",IF(OR('Daily Schedule'!$A26=4,'Daily Schedule'!$A26=8),IF(OR(WEEKDAY('Daily Schedule'!$B$2,2)=1,WEEKDAY('Daily Schedule'!$B$2,2)=4,WEEKDAY('Daily Schedule'!$B$2,2)=5,WEEKDAY('Daily Schedule'!$B$2,2)=7),IFERROR(1*'Daily Workforce'!$K104&gt;=3,FALSE()),IFERROR(1*'Daily Workforce'!$K104&gt;=2,FALSE())),IF(AND('Daily Schedule'!$A26&gt;=46,'Daily Schedule'!$A26&lt;=52),'Daily Workforce'!$M104="Y",IFERROR(1*'Daily Workforce'!$P104&gt;=2,FALSE()))))),1,0)</f>
        <v>1</v>
      </c>
      <c r="DL22" s="1" t="n">
        <f aca="false">IF(AND('Daily Workforce'!$N105="Y",'Daily Workforce'!$B105&lt;&gt;"",COUNTIF('Daily Schedule'!$F$5:$F25,'Daily Workforce'!$B105)=0,IF('Daily Schedule'!$A26=45,'Daily Workforce'!$J105="Y",IF(OR('Daily Schedule'!$A26=4,'Daily Schedule'!$A26=8),IF(OR(WEEKDAY('Daily Schedule'!$B$2,2)=1,WEEKDAY('Daily Schedule'!$B$2,2)=4,WEEKDAY('Daily Schedule'!$B$2,2)=5,WEEKDAY('Daily Schedule'!$B$2,2)=7),IFERROR(1*'Daily Workforce'!$K105&gt;=3,FALSE()),IFERROR(1*'Daily Workforce'!$K105&gt;=2,FALSE())),IF(AND('Daily Schedule'!$A26&gt;=46,'Daily Schedule'!$A26&lt;=52),'Daily Workforce'!$M105="Y",IFERROR(1*'Daily Workforce'!$P105&gt;=2,FALSE()))))),1,0)</f>
        <v>0</v>
      </c>
      <c r="DM22" s="1" t="n">
        <f aca="false">IF(AND('Daily Workforce'!$N106="Y",'Daily Workforce'!$B106&lt;&gt;"",COUNTIF('Daily Schedule'!$F$5:$F25,'Daily Workforce'!$B106)=0,IF('Daily Schedule'!$A26=45,'Daily Workforce'!$J106="Y",IF(OR('Daily Schedule'!$A26=4,'Daily Schedule'!$A26=8),IF(OR(WEEKDAY('Daily Schedule'!$B$2,2)=1,WEEKDAY('Daily Schedule'!$B$2,2)=4,WEEKDAY('Daily Schedule'!$B$2,2)=5,WEEKDAY('Daily Schedule'!$B$2,2)=7),IFERROR(1*'Daily Workforce'!$K106&gt;=3,FALSE()),IFERROR(1*'Daily Workforce'!$K106&gt;=2,FALSE())),IF(AND('Daily Schedule'!$A26&gt;=46,'Daily Schedule'!$A26&lt;=52),'Daily Workforce'!$M106="Y",IFERROR(1*'Daily Workforce'!$P106&gt;=2,FALSE()))))),1,0)</f>
        <v>1</v>
      </c>
      <c r="DN22" s="1" t="n">
        <f aca="false">IF(AND('Daily Workforce'!$N107="Y",'Daily Workforce'!$B107&lt;&gt;"",COUNTIF('Daily Schedule'!$F$5:$F25,'Daily Workforce'!$B107)=0,IF('Daily Schedule'!$A26=45,'Daily Workforce'!$J107="Y",IF(OR('Daily Schedule'!$A26=4,'Daily Schedule'!$A26=8),IF(OR(WEEKDAY('Daily Schedule'!$B$2,2)=1,WEEKDAY('Daily Schedule'!$B$2,2)=4,WEEKDAY('Daily Schedule'!$B$2,2)=5,WEEKDAY('Daily Schedule'!$B$2,2)=7),IFERROR(1*'Daily Workforce'!$K107&gt;=3,FALSE()),IFERROR(1*'Daily Workforce'!$K107&gt;=2,FALSE())),IF(AND('Daily Schedule'!$A26&gt;=46,'Daily Schedule'!$A26&lt;=52),'Daily Workforce'!$M107="Y",IFERROR(1*'Daily Workforce'!$P107&gt;=2,FALSE()))))),1,0)</f>
        <v>1</v>
      </c>
      <c r="DO22" s="1" t="n">
        <f aca="false">IF(AND('Daily Workforce'!$N108="Y",'Daily Workforce'!$B108&lt;&gt;"",COUNTIF('Daily Schedule'!$F$5:$F25,'Daily Workforce'!$B108)=0,IF('Daily Schedule'!$A26=45,'Daily Workforce'!$J108="Y",IF(OR('Daily Schedule'!$A26=4,'Daily Schedule'!$A26=8),IF(OR(WEEKDAY('Daily Schedule'!$B$2,2)=1,WEEKDAY('Daily Schedule'!$B$2,2)=4,WEEKDAY('Daily Schedule'!$B$2,2)=5,WEEKDAY('Daily Schedule'!$B$2,2)=7),IFERROR(1*'Daily Workforce'!$K108&gt;=3,FALSE()),IFERROR(1*'Daily Workforce'!$K108&gt;=2,FALSE())),IF(AND('Daily Schedule'!$A26&gt;=46,'Daily Schedule'!$A26&lt;=52),'Daily Workforce'!$M108="Y",IFERROR(1*'Daily Workforce'!$P108&gt;=2,FALSE()))))),1,0)</f>
        <v>1</v>
      </c>
      <c r="DP22" s="1" t="n">
        <f aca="false">IF(AND('Daily Workforce'!$N109="Y",'Daily Workforce'!$B109&lt;&gt;"",COUNTIF('Daily Schedule'!$F$5:$F25,'Daily Workforce'!$B109)=0,IF('Daily Schedule'!$A26=45,'Daily Workforce'!$J109="Y",IF(OR('Daily Schedule'!$A26=4,'Daily Schedule'!$A26=8),IF(OR(WEEKDAY('Daily Schedule'!$B$2,2)=1,WEEKDAY('Daily Schedule'!$B$2,2)=4,WEEKDAY('Daily Schedule'!$B$2,2)=5,WEEKDAY('Daily Schedule'!$B$2,2)=7),IFERROR(1*'Daily Workforce'!$K109&gt;=3,FALSE()),IFERROR(1*'Daily Workforce'!$K109&gt;=2,FALSE())),IF(AND('Daily Schedule'!$A26&gt;=46,'Daily Schedule'!$A26&lt;=52),'Daily Workforce'!$M109="Y",IFERROR(1*'Daily Workforce'!$P109&gt;=2,FALSE()))))),1,0)</f>
        <v>1</v>
      </c>
      <c r="DQ22" s="1" t="n">
        <f aca="false">IF(AND('Daily Workforce'!$N110="Y",'Daily Workforce'!$B110&lt;&gt;"",COUNTIF('Daily Schedule'!$F$5:$F25,'Daily Workforce'!$B110)=0,IF('Daily Schedule'!$A26=45,'Daily Workforce'!$J110="Y",IF(OR('Daily Schedule'!$A26=4,'Daily Schedule'!$A26=8),IF(OR(WEEKDAY('Daily Schedule'!$B$2,2)=1,WEEKDAY('Daily Schedule'!$B$2,2)=4,WEEKDAY('Daily Schedule'!$B$2,2)=5,WEEKDAY('Daily Schedule'!$B$2,2)=7),IFERROR(1*'Daily Workforce'!$K110&gt;=3,FALSE()),IFERROR(1*'Daily Workforce'!$K110&gt;=2,FALSE())),IF(AND('Daily Schedule'!$A26&gt;=46,'Daily Schedule'!$A26&lt;=52),'Daily Workforce'!$M110="Y",IFERROR(1*'Daily Workforce'!$P110&gt;=2,FALSE()))))),1,0)</f>
        <v>1</v>
      </c>
      <c r="DR22" s="1" t="n">
        <f aca="false">IF(AND('Daily Workforce'!$N111="Y",'Daily Workforce'!$B111&lt;&gt;"",COUNTIF('Daily Schedule'!$F$5:$F25,'Daily Workforce'!$B111)=0,IF('Daily Schedule'!$A26=45,'Daily Workforce'!$J111="Y",IF(OR('Daily Schedule'!$A26=4,'Daily Schedule'!$A26=8),IF(OR(WEEKDAY('Daily Schedule'!$B$2,2)=1,WEEKDAY('Daily Schedule'!$B$2,2)=4,WEEKDAY('Daily Schedule'!$B$2,2)=5,WEEKDAY('Daily Schedule'!$B$2,2)=7),IFERROR(1*'Daily Workforce'!$K111&gt;=3,FALSE()),IFERROR(1*'Daily Workforce'!$K111&gt;=2,FALSE())),IF(AND('Daily Schedule'!$A26&gt;=46,'Daily Schedule'!$A26&lt;=52),'Daily Workforce'!$M111="Y",IFERROR(1*'Daily Workforce'!$P111&gt;=2,FALSE()))))),1,0)</f>
        <v>1</v>
      </c>
      <c r="DS22" s="1" t="n">
        <f aca="false">IF(AND('Daily Workforce'!$N112="Y",'Daily Workforce'!$B112&lt;&gt;"",COUNTIF('Daily Schedule'!$F$5:$F25,'Daily Workforce'!$B112)=0,IF('Daily Schedule'!$A26=45,'Daily Workforce'!$J112="Y",IF(OR('Daily Schedule'!$A26=4,'Daily Schedule'!$A26=8),IF(OR(WEEKDAY('Daily Schedule'!$B$2,2)=1,WEEKDAY('Daily Schedule'!$B$2,2)=4,WEEKDAY('Daily Schedule'!$B$2,2)=5,WEEKDAY('Daily Schedule'!$B$2,2)=7),IFERROR(1*'Daily Workforce'!$K112&gt;=3,FALSE()),IFERROR(1*'Daily Workforce'!$K112&gt;=2,FALSE())),IF(AND('Daily Schedule'!$A26&gt;=46,'Daily Schedule'!$A26&lt;=52),'Daily Workforce'!$M112="Y",IFERROR(1*'Daily Workforce'!$P112&gt;=2,FALSE()))))),1,0)</f>
        <v>1</v>
      </c>
      <c r="DT22" s="1" t="n">
        <f aca="false">IF(AND('Daily Workforce'!$N113="Y",'Daily Workforce'!$B113&lt;&gt;"",COUNTIF('Daily Schedule'!$F$5:$F25,'Daily Workforce'!$B113)=0,IF('Daily Schedule'!$A26=45,'Daily Workforce'!$J113="Y",IF(OR('Daily Schedule'!$A26=4,'Daily Schedule'!$A26=8),IF(OR(WEEKDAY('Daily Schedule'!$B$2,2)=1,WEEKDAY('Daily Schedule'!$B$2,2)=4,WEEKDAY('Daily Schedule'!$B$2,2)=5,WEEKDAY('Daily Schedule'!$B$2,2)=7),IFERROR(1*'Daily Workforce'!$K113&gt;=3,FALSE()),IFERROR(1*'Daily Workforce'!$K113&gt;=2,FALSE())),IF(AND('Daily Schedule'!$A26&gt;=46,'Daily Schedule'!$A26&lt;=52),'Daily Workforce'!$M113="Y",IFERROR(1*'Daily Workforce'!$P113&gt;=2,FALSE()))))),1,0)</f>
        <v>1</v>
      </c>
      <c r="DU22" s="1" t="n">
        <f aca="false">IF(AND('Daily Workforce'!$N114="Y",'Daily Workforce'!$B114&lt;&gt;"",COUNTIF('Daily Schedule'!$F$5:$F25,'Daily Workforce'!$B114)=0,IF('Daily Schedule'!$A26=45,'Daily Workforce'!$J114="Y",IF(OR('Daily Schedule'!$A26=4,'Daily Schedule'!$A26=8),IF(OR(WEEKDAY('Daily Schedule'!$B$2,2)=1,WEEKDAY('Daily Schedule'!$B$2,2)=4,WEEKDAY('Daily Schedule'!$B$2,2)=5,WEEKDAY('Daily Schedule'!$B$2,2)=7),IFERROR(1*'Daily Workforce'!$K114&gt;=3,FALSE()),IFERROR(1*'Daily Workforce'!$K114&gt;=2,FALSE())),IF(AND('Daily Schedule'!$A26&gt;=46,'Daily Schedule'!$A26&lt;=52),'Daily Workforce'!$M114="Y",IFERROR(1*'Daily Workforce'!$P114&gt;=2,FALSE()))))),1,0)</f>
        <v>1</v>
      </c>
      <c r="DV22" s="1" t="n">
        <f aca="false">IF(AND('Daily Workforce'!$N115="Y",'Daily Workforce'!$B115&lt;&gt;"",COUNTIF('Daily Schedule'!$F$5:$F25,'Daily Workforce'!$B115)=0,IF('Daily Schedule'!$A26=45,'Daily Workforce'!$J115="Y",IF(OR('Daily Schedule'!$A26=4,'Daily Schedule'!$A26=8),IF(OR(WEEKDAY('Daily Schedule'!$B$2,2)=1,WEEKDAY('Daily Schedule'!$B$2,2)=4,WEEKDAY('Daily Schedule'!$B$2,2)=5,WEEKDAY('Daily Schedule'!$B$2,2)=7),IFERROR(1*'Daily Workforce'!$K115&gt;=3,FALSE()),IFERROR(1*'Daily Workforce'!$K115&gt;=2,FALSE())),IF(AND('Daily Schedule'!$A26&gt;=46,'Daily Schedule'!$A26&lt;=52),'Daily Workforce'!$M115="Y",IFERROR(1*'Daily Workforce'!$P115&gt;=2,FALSE()))))),1,0)</f>
        <v>1</v>
      </c>
      <c r="DW22" s="1" t="n">
        <f aca="false">IF(AND('Daily Workforce'!$N116="Y",'Daily Workforce'!$B116&lt;&gt;"",COUNTIF('Daily Schedule'!$F$5:$F25,'Daily Workforce'!$B116)=0,IF('Daily Schedule'!$A26=45,'Daily Workforce'!$J116="Y",IF(OR('Daily Schedule'!$A26=4,'Daily Schedule'!$A26=8),IF(OR(WEEKDAY('Daily Schedule'!$B$2,2)=1,WEEKDAY('Daily Schedule'!$B$2,2)=4,WEEKDAY('Daily Schedule'!$B$2,2)=5,WEEKDAY('Daily Schedule'!$B$2,2)=7),IFERROR(1*'Daily Workforce'!$K116&gt;=3,FALSE()),IFERROR(1*'Daily Workforce'!$K116&gt;=2,FALSE())),IF(AND('Daily Schedule'!$A26&gt;=46,'Daily Schedule'!$A26&lt;=52),'Daily Workforce'!$M116="Y",IFERROR(1*'Daily Workforce'!$P116&gt;=2,FALSE()))))),1,0)</f>
        <v>1</v>
      </c>
      <c r="DX22" s="1" t="n">
        <f aca="false">IF(AND('Daily Workforce'!$N117="Y",'Daily Workforce'!$B117&lt;&gt;"",COUNTIF('Daily Schedule'!$F$5:$F25,'Daily Workforce'!$B117)=0,IF('Daily Schedule'!$A26=45,'Daily Workforce'!$J117="Y",IF(OR('Daily Schedule'!$A26=4,'Daily Schedule'!$A26=8),IF(OR(WEEKDAY('Daily Schedule'!$B$2,2)=1,WEEKDAY('Daily Schedule'!$B$2,2)=4,WEEKDAY('Daily Schedule'!$B$2,2)=5,WEEKDAY('Daily Schedule'!$B$2,2)=7),IFERROR(1*'Daily Workforce'!$K117&gt;=3,FALSE()),IFERROR(1*'Daily Workforce'!$K117&gt;=2,FALSE())),IF(AND('Daily Schedule'!$A26&gt;=46,'Daily Schedule'!$A26&lt;=52),'Daily Workforce'!$M117="Y",IFERROR(1*'Daily Workforce'!$P117&gt;=2,FALSE()))))),1,0)</f>
        <v>1</v>
      </c>
      <c r="DY22" s="1" t="n">
        <f aca="false">IF(AND('Daily Workforce'!$N118="Y",'Daily Workforce'!$B118&lt;&gt;"",COUNTIF('Daily Schedule'!$F$5:$F25,'Daily Workforce'!$B118)=0,IF('Daily Schedule'!$A26=45,'Daily Workforce'!$J118="Y",IF(OR('Daily Schedule'!$A26=4,'Daily Schedule'!$A26=8),IF(OR(WEEKDAY('Daily Schedule'!$B$2,2)=1,WEEKDAY('Daily Schedule'!$B$2,2)=4,WEEKDAY('Daily Schedule'!$B$2,2)=5,WEEKDAY('Daily Schedule'!$B$2,2)=7),IFERROR(1*'Daily Workforce'!$K118&gt;=3,FALSE()),IFERROR(1*'Daily Workforce'!$K118&gt;=2,FALSE())),IF(AND('Daily Schedule'!$A26&gt;=46,'Daily Schedule'!$A26&lt;=52),'Daily Workforce'!$M118="Y",IFERROR(1*'Daily Workforce'!$P118&gt;=2,FALSE()))))),1,0)</f>
        <v>0</v>
      </c>
      <c r="DZ22" s="1" t="n">
        <f aca="false">IF(AND('Daily Workforce'!$N119="Y",'Daily Workforce'!$B119&lt;&gt;"",COUNTIF('Daily Schedule'!$F$5:$F25,'Daily Workforce'!$B119)=0,IF('Daily Schedule'!$A26=45,'Daily Workforce'!$J119="Y",IF(OR('Daily Schedule'!$A26=4,'Daily Schedule'!$A26=8),IF(OR(WEEKDAY('Daily Schedule'!$B$2,2)=1,WEEKDAY('Daily Schedule'!$B$2,2)=4,WEEKDAY('Daily Schedule'!$B$2,2)=5,WEEKDAY('Daily Schedule'!$B$2,2)=7),IFERROR(1*'Daily Workforce'!$K119&gt;=3,FALSE()),IFERROR(1*'Daily Workforce'!$K119&gt;=2,FALSE())),IF(AND('Daily Schedule'!$A26&gt;=46,'Daily Schedule'!$A26&lt;=52),'Daily Workforce'!$M119="Y",IFERROR(1*'Daily Workforce'!$P119&gt;=2,FALSE()))))),1,0)</f>
        <v>0</v>
      </c>
      <c r="EA22" s="1" t="n">
        <f aca="false">IF(AND('Daily Workforce'!$N120="Y",'Daily Workforce'!$B120&lt;&gt;"",COUNTIF('Daily Schedule'!$F$5:$F25,'Daily Workforce'!$B120)=0,IF('Daily Schedule'!$A26=45,'Daily Workforce'!$J120="Y",IF(OR('Daily Schedule'!$A26=4,'Daily Schedule'!$A26=8),IF(OR(WEEKDAY('Daily Schedule'!$B$2,2)=1,WEEKDAY('Daily Schedule'!$B$2,2)=4,WEEKDAY('Daily Schedule'!$B$2,2)=5,WEEKDAY('Daily Schedule'!$B$2,2)=7),IFERROR(1*'Daily Workforce'!$K120&gt;=3,FALSE()),IFERROR(1*'Daily Workforce'!$K120&gt;=2,FALSE())),IF(AND('Daily Schedule'!$A26&gt;=46,'Daily Schedule'!$A26&lt;=52),'Daily Workforce'!$M120="Y",IFERROR(1*'Daily Workforce'!$P120&gt;=2,FALSE()))))),1,0)</f>
        <v>0</v>
      </c>
      <c r="EB22" s="1" t="n">
        <f aca="false">IF(AND('Daily Workforce'!$N121="Y",'Daily Workforce'!$B121&lt;&gt;"",COUNTIF('Daily Schedule'!$F$5:$F25,'Daily Workforce'!$B121)=0,IF('Daily Schedule'!$A26=45,'Daily Workforce'!$J121="Y",IF(OR('Daily Schedule'!$A26=4,'Daily Schedule'!$A26=8),IF(OR(WEEKDAY('Daily Schedule'!$B$2,2)=1,WEEKDAY('Daily Schedule'!$B$2,2)=4,WEEKDAY('Daily Schedule'!$B$2,2)=5,WEEKDAY('Daily Schedule'!$B$2,2)=7),IFERROR(1*'Daily Workforce'!$K121&gt;=3,FALSE()),IFERROR(1*'Daily Workforce'!$K121&gt;=2,FALSE())),IF(AND('Daily Schedule'!$A26&gt;=46,'Daily Schedule'!$A26&lt;=52),'Daily Workforce'!$M121="Y",IFERROR(1*'Daily Workforce'!$P121&gt;=2,FALSE()))))),1,0)</f>
        <v>0</v>
      </c>
      <c r="EC22" s="1" t="n">
        <f aca="false">IF(AND('Daily Workforce'!$N122="Y",'Daily Workforce'!$B122&lt;&gt;"",COUNTIF('Daily Schedule'!$F$5:$F25,'Daily Workforce'!$B122)=0,IF('Daily Schedule'!$A26=45,'Daily Workforce'!$J122="Y",IF(OR('Daily Schedule'!$A26=4,'Daily Schedule'!$A26=8),IF(OR(WEEKDAY('Daily Schedule'!$B$2,2)=1,WEEKDAY('Daily Schedule'!$B$2,2)=4,WEEKDAY('Daily Schedule'!$B$2,2)=5,WEEKDAY('Daily Schedule'!$B$2,2)=7),IFERROR(1*'Daily Workforce'!$K122&gt;=3,FALSE()),IFERROR(1*'Daily Workforce'!$K122&gt;=2,FALSE())),IF(AND('Daily Schedule'!$A26&gt;=46,'Daily Schedule'!$A26&lt;=52),'Daily Workforce'!$M122="Y",IFERROR(1*'Daily Workforce'!$P122&gt;=2,FALSE()))))),1,0)</f>
        <v>0</v>
      </c>
      <c r="ED22" s="1" t="n">
        <f aca="false">IF(AND('Daily Workforce'!$N123="Y",'Daily Workforce'!$B123&lt;&gt;"",COUNTIF('Daily Schedule'!$F$5:$F25,'Daily Workforce'!$B123)=0,IF('Daily Schedule'!$A26=45,'Daily Workforce'!$J123="Y",IF(OR('Daily Schedule'!$A26=4,'Daily Schedule'!$A26=8),IF(OR(WEEKDAY('Daily Schedule'!$B$2,2)=1,WEEKDAY('Daily Schedule'!$B$2,2)=4,WEEKDAY('Daily Schedule'!$B$2,2)=5,WEEKDAY('Daily Schedule'!$B$2,2)=7),IFERROR(1*'Daily Workforce'!$K123&gt;=3,FALSE()),IFERROR(1*'Daily Workforce'!$K123&gt;=2,FALSE())),IF(AND('Daily Schedule'!$A26&gt;=46,'Daily Schedule'!$A26&lt;=52),'Daily Workforce'!$M123="Y",IFERROR(1*'Daily Workforce'!$P123&gt;=2,FALSE()))))),1,0)</f>
        <v>0</v>
      </c>
      <c r="EE22" s="1" t="n">
        <f aca="false">IF(AND('Daily Workforce'!$N124="Y",'Daily Workforce'!$B124&lt;&gt;"",COUNTIF('Daily Schedule'!$F$5:$F25,'Daily Workforce'!$B124)=0,IF('Daily Schedule'!$A26=45,'Daily Workforce'!$J124="Y",IF(OR('Daily Schedule'!$A26=4,'Daily Schedule'!$A26=8),IF(OR(WEEKDAY('Daily Schedule'!$B$2,2)=1,WEEKDAY('Daily Schedule'!$B$2,2)=4,WEEKDAY('Daily Schedule'!$B$2,2)=5,WEEKDAY('Daily Schedule'!$B$2,2)=7),IFERROR(1*'Daily Workforce'!$K124&gt;=3,FALSE()),IFERROR(1*'Daily Workforce'!$K124&gt;=2,FALSE())),IF(AND('Daily Schedule'!$A26&gt;=46,'Daily Schedule'!$A26&lt;=52),'Daily Workforce'!$M124="Y",IFERROR(1*'Daily Workforce'!$P124&gt;=2,FALSE()))))),1,0)</f>
        <v>0</v>
      </c>
      <c r="EF22" s="1" t="n">
        <f aca="false">IF(AND('Daily Workforce'!$N125="Y",'Daily Workforce'!$B125&lt;&gt;"",COUNTIF('Daily Schedule'!$F$5:$F25,'Daily Workforce'!$B125)=0,IF('Daily Schedule'!$A26=45,'Daily Workforce'!$J125="Y",IF(OR('Daily Schedule'!$A26=4,'Daily Schedule'!$A26=8),IF(OR(WEEKDAY('Daily Schedule'!$B$2,2)=1,WEEKDAY('Daily Schedule'!$B$2,2)=4,WEEKDAY('Daily Schedule'!$B$2,2)=5,WEEKDAY('Daily Schedule'!$B$2,2)=7),IFERROR(1*'Daily Workforce'!$K125&gt;=3,FALSE()),IFERROR(1*'Daily Workforce'!$K125&gt;=2,FALSE())),IF(AND('Daily Schedule'!$A26&gt;=46,'Daily Schedule'!$A26&lt;=52),'Daily Workforce'!$M125="Y",IFERROR(1*'Daily Workforce'!$P125&gt;=2,FALSE()))))),1,0)</f>
        <v>0</v>
      </c>
      <c r="EG22" s="1" t="n">
        <f aca="false">IF(AND('Daily Workforce'!$N126="Y",'Daily Workforce'!$B126&lt;&gt;"",COUNTIF('Daily Schedule'!$F$5:$F25,'Daily Workforce'!$B126)=0,IF('Daily Schedule'!$A26=45,'Daily Workforce'!$J126="Y",IF(OR('Daily Schedule'!$A26=4,'Daily Schedule'!$A26=8),IF(OR(WEEKDAY('Daily Schedule'!$B$2,2)=1,WEEKDAY('Daily Schedule'!$B$2,2)=4,WEEKDAY('Daily Schedule'!$B$2,2)=5,WEEKDAY('Daily Schedule'!$B$2,2)=7),IFERROR(1*'Daily Workforce'!$K126&gt;=3,FALSE()),IFERROR(1*'Daily Workforce'!$K126&gt;=2,FALSE())),IF(AND('Daily Schedule'!$A26&gt;=46,'Daily Schedule'!$A26&lt;=52),'Daily Workforce'!$M126="Y",IFERROR(1*'Daily Workforce'!$P126&gt;=2,FALSE()))))),1,0)</f>
        <v>0</v>
      </c>
      <c r="EH22" s="1" t="n">
        <f aca="false">IF(AND('Daily Workforce'!$N127="Y",'Daily Workforce'!$B127&lt;&gt;"",COUNTIF('Daily Schedule'!$F$5:$F25,'Daily Workforce'!$B127)=0,IF('Daily Schedule'!$A26=45,'Daily Workforce'!$J127="Y",IF(OR('Daily Schedule'!$A26=4,'Daily Schedule'!$A26=8),IF(OR(WEEKDAY('Daily Schedule'!$B$2,2)=1,WEEKDAY('Daily Schedule'!$B$2,2)=4,WEEKDAY('Daily Schedule'!$B$2,2)=5,WEEKDAY('Daily Schedule'!$B$2,2)=7),IFERROR(1*'Daily Workforce'!$K127&gt;=3,FALSE()),IFERROR(1*'Daily Workforce'!$K127&gt;=2,FALSE())),IF(AND('Daily Schedule'!$A26&gt;=46,'Daily Schedule'!$A26&lt;=52),'Daily Workforce'!$M127="Y",IFERROR(1*'Daily Workforce'!$P127&gt;=2,FALSE()))))),1,0)</f>
        <v>0</v>
      </c>
      <c r="EI22" s="1" t="n">
        <f aca="false">IF(AND('Daily Workforce'!$N128="Y",'Daily Workforce'!$B128&lt;&gt;"",COUNTIF('Daily Schedule'!$F$5:$F25,'Daily Workforce'!$B128)=0,IF('Daily Schedule'!$A26=45,'Daily Workforce'!$J128="Y",IF(OR('Daily Schedule'!$A26=4,'Daily Schedule'!$A26=8),IF(OR(WEEKDAY('Daily Schedule'!$B$2,2)=1,WEEKDAY('Daily Schedule'!$B$2,2)=4,WEEKDAY('Daily Schedule'!$B$2,2)=5,WEEKDAY('Daily Schedule'!$B$2,2)=7),IFERROR(1*'Daily Workforce'!$K128&gt;=3,FALSE()),IFERROR(1*'Daily Workforce'!$K128&gt;=2,FALSE())),IF(AND('Daily Schedule'!$A26&gt;=46,'Daily Schedule'!$A26&lt;=52),'Daily Workforce'!$M128="Y",IFERROR(1*'Daily Workforce'!$P128&gt;=2,FALSE()))))),1,0)</f>
        <v>0</v>
      </c>
      <c r="EJ22" s="1" t="n">
        <f aca="false">IF(AND('Daily Workforce'!$N129="Y",'Daily Workforce'!$B129&lt;&gt;"",COUNTIF('Daily Schedule'!$F$5:$F25,'Daily Workforce'!$B129)=0,IF('Daily Schedule'!$A26=45,'Daily Workforce'!$J129="Y",IF(OR('Daily Schedule'!$A26=4,'Daily Schedule'!$A26=8),IF(OR(WEEKDAY('Daily Schedule'!$B$2,2)=1,WEEKDAY('Daily Schedule'!$B$2,2)=4,WEEKDAY('Daily Schedule'!$B$2,2)=5,WEEKDAY('Daily Schedule'!$B$2,2)=7),IFERROR(1*'Daily Workforce'!$K129&gt;=3,FALSE()),IFERROR(1*'Daily Workforce'!$K129&gt;=2,FALSE())),IF(AND('Daily Schedule'!$A26&gt;=46,'Daily Schedule'!$A26&lt;=52),'Daily Workforce'!$M129="Y",IFERROR(1*'Daily Workforce'!$P129&gt;=2,FALSE()))))),1,0)</f>
        <v>0</v>
      </c>
      <c r="EK22" s="1" t="n">
        <f aca="false">IF(AND('Daily Workforce'!$N130="Y",'Daily Workforce'!$B130&lt;&gt;"",COUNTIF('Daily Schedule'!$F$5:$F25,'Daily Workforce'!$B130)=0,IF('Daily Schedule'!$A26=45,'Daily Workforce'!$J130="Y",IF(OR('Daily Schedule'!$A26=4,'Daily Schedule'!$A26=8),IF(OR(WEEKDAY('Daily Schedule'!$B$2,2)=1,WEEKDAY('Daily Schedule'!$B$2,2)=4,WEEKDAY('Daily Schedule'!$B$2,2)=5,WEEKDAY('Daily Schedule'!$B$2,2)=7),IFERROR(1*'Daily Workforce'!$K130&gt;=3,FALSE()),IFERROR(1*'Daily Workforce'!$K130&gt;=2,FALSE())),IF(AND('Daily Schedule'!$A26&gt;=46,'Daily Schedule'!$A26&lt;=52),'Daily Workforce'!$M130="Y",IFERROR(1*'Daily Workforce'!$P130&gt;=2,FALSE()))))),1,0)</f>
        <v>0</v>
      </c>
      <c r="EL22" s="1" t="n">
        <f aca="false">IF(AND('Daily Workforce'!$N131="Y",'Daily Workforce'!$B131&lt;&gt;"",COUNTIF('Daily Schedule'!$F$5:$F25,'Daily Workforce'!$B131)=0,IF('Daily Schedule'!$A26=45,'Daily Workforce'!$J131="Y",IF(OR('Daily Schedule'!$A26=4,'Daily Schedule'!$A26=8),IF(OR(WEEKDAY('Daily Schedule'!$B$2,2)=1,WEEKDAY('Daily Schedule'!$B$2,2)=4,WEEKDAY('Daily Schedule'!$B$2,2)=5,WEEKDAY('Daily Schedule'!$B$2,2)=7),IFERROR(1*'Daily Workforce'!$K131&gt;=3,FALSE()),IFERROR(1*'Daily Workforce'!$K131&gt;=2,FALSE())),IF(AND('Daily Schedule'!$A26&gt;=46,'Daily Schedule'!$A26&lt;=52),'Daily Workforce'!$M131="Y",IFERROR(1*'Daily Workforce'!$P131&gt;=2,FALSE()))))),1,0)</f>
        <v>0</v>
      </c>
      <c r="EM22" s="1" t="n">
        <f aca="false">IF(AND('Daily Workforce'!$N132="Y",'Daily Workforce'!$B132&lt;&gt;"",COUNTIF('Daily Schedule'!$F$5:$F25,'Daily Workforce'!$B132)=0,IF('Daily Schedule'!$A26=45,'Daily Workforce'!$J132="Y",IF(OR('Daily Schedule'!$A26=4,'Daily Schedule'!$A26=8),IF(OR(WEEKDAY('Daily Schedule'!$B$2,2)=1,WEEKDAY('Daily Schedule'!$B$2,2)=4,WEEKDAY('Daily Schedule'!$B$2,2)=5,WEEKDAY('Daily Schedule'!$B$2,2)=7),IFERROR(1*'Daily Workforce'!$K132&gt;=3,FALSE()),IFERROR(1*'Daily Workforce'!$K132&gt;=2,FALSE())),IF(AND('Daily Schedule'!$A26&gt;=46,'Daily Schedule'!$A26&lt;=52),'Daily Workforce'!$M132="Y",IFERROR(1*'Daily Workforce'!$P132&gt;=2,FALSE()))))),1,0)</f>
        <v>0</v>
      </c>
      <c r="EN22" s="1" t="n">
        <f aca="false">IF(AND('Daily Workforce'!$N133="Y",'Daily Workforce'!$B133&lt;&gt;"",COUNTIF('Daily Schedule'!$F$5:$F25,'Daily Workforce'!$B133)=0,IF('Daily Schedule'!$A26=45,'Daily Workforce'!$J133="Y",IF(OR('Daily Schedule'!$A26=4,'Daily Schedule'!$A26=8),IF(OR(WEEKDAY('Daily Schedule'!$B$2,2)=1,WEEKDAY('Daily Schedule'!$B$2,2)=4,WEEKDAY('Daily Schedule'!$B$2,2)=5,WEEKDAY('Daily Schedule'!$B$2,2)=7),IFERROR(1*'Daily Workforce'!$K133&gt;=3,FALSE()),IFERROR(1*'Daily Workforce'!$K133&gt;=2,FALSE())),IF(AND('Daily Schedule'!$A26&gt;=46,'Daily Schedule'!$A26&lt;=52),'Daily Workforce'!$M133="Y",IFERROR(1*'Daily Workforce'!$P133&gt;=2,FALSE()))))),1,0)</f>
        <v>0</v>
      </c>
      <c r="EO22" s="1" t="n">
        <f aca="false">IF(AND('Daily Workforce'!$N134="Y",'Daily Workforce'!$B134&lt;&gt;"",COUNTIF('Daily Schedule'!$F$5:$F25,'Daily Workforce'!$B134)=0,IF('Daily Schedule'!$A26=45,'Daily Workforce'!$J134="Y",IF(OR('Daily Schedule'!$A26=4,'Daily Schedule'!$A26=8),IF(OR(WEEKDAY('Daily Schedule'!$B$2,2)=1,WEEKDAY('Daily Schedule'!$B$2,2)=4,WEEKDAY('Daily Schedule'!$B$2,2)=5,WEEKDAY('Daily Schedule'!$B$2,2)=7),IFERROR(1*'Daily Workforce'!$K134&gt;=3,FALSE()),IFERROR(1*'Daily Workforce'!$K134&gt;=2,FALSE())),IF(AND('Daily Schedule'!$A26&gt;=46,'Daily Schedule'!$A26&lt;=52),'Daily Workforce'!$M134="Y",IFERROR(1*'Daily Workforce'!$P134&gt;=2,FALSE()))))),1,0)</f>
        <v>0</v>
      </c>
      <c r="EP22" s="1" t="n">
        <f aca="false">IF(AND('Daily Workforce'!$N135="Y",'Daily Workforce'!$B135&lt;&gt;"",COUNTIF('Daily Schedule'!$F$5:$F25,'Daily Workforce'!$B135)=0,IF('Daily Schedule'!$A26=45,'Daily Workforce'!$J135="Y",IF(OR('Daily Schedule'!$A26=4,'Daily Schedule'!$A26=8),IF(OR(WEEKDAY('Daily Schedule'!$B$2,2)=1,WEEKDAY('Daily Schedule'!$B$2,2)=4,WEEKDAY('Daily Schedule'!$B$2,2)=5,WEEKDAY('Daily Schedule'!$B$2,2)=7),IFERROR(1*'Daily Workforce'!$K135&gt;=3,FALSE()),IFERROR(1*'Daily Workforce'!$K135&gt;=2,FALSE())),IF(AND('Daily Schedule'!$A26&gt;=46,'Daily Schedule'!$A26&lt;=52),'Daily Workforce'!$M135="Y",IFERROR(1*'Daily Workforce'!$P135&gt;=2,FALSE()))))),1,0)</f>
        <v>0</v>
      </c>
      <c r="EQ22" s="1" t="n">
        <f aca="false">IF(AND('Daily Workforce'!$N136="Y",'Daily Workforce'!$B136&lt;&gt;"",COUNTIF('Daily Schedule'!$F$5:$F25,'Daily Workforce'!$B136)=0,IF('Daily Schedule'!$A26=45,'Daily Workforce'!$J136="Y",IF(OR('Daily Schedule'!$A26=4,'Daily Schedule'!$A26=8),IF(OR(WEEKDAY('Daily Schedule'!$B$2,2)=1,WEEKDAY('Daily Schedule'!$B$2,2)=4,WEEKDAY('Daily Schedule'!$B$2,2)=5,WEEKDAY('Daily Schedule'!$B$2,2)=7),IFERROR(1*'Daily Workforce'!$K136&gt;=3,FALSE()),IFERROR(1*'Daily Workforce'!$K136&gt;=2,FALSE())),IF(AND('Daily Schedule'!$A26&gt;=46,'Daily Schedule'!$A26&lt;=52),'Daily Workforce'!$M136="Y",IFERROR(1*'Daily Workforce'!$P136&gt;=2,FALSE()))))),1,0)</f>
        <v>0</v>
      </c>
      <c r="ER22" s="1" t="n">
        <f aca="false">IF(AND('Daily Workforce'!$N137="Y",'Daily Workforce'!$B137&lt;&gt;"",COUNTIF('Daily Schedule'!$F$5:$F25,'Daily Workforce'!$B137)=0,IF('Daily Schedule'!$A26=45,'Daily Workforce'!$J137="Y",IF(OR('Daily Schedule'!$A26=4,'Daily Schedule'!$A26=8),IF(OR(WEEKDAY('Daily Schedule'!$B$2,2)=1,WEEKDAY('Daily Schedule'!$B$2,2)=4,WEEKDAY('Daily Schedule'!$B$2,2)=5,WEEKDAY('Daily Schedule'!$B$2,2)=7),IFERROR(1*'Daily Workforce'!$K137&gt;=3,FALSE()),IFERROR(1*'Daily Workforce'!$K137&gt;=2,FALSE())),IF(AND('Daily Schedule'!$A26&gt;=46,'Daily Schedule'!$A26&lt;=52),'Daily Workforce'!$M137="Y",IFERROR(1*'Daily Workforce'!$P137&gt;=2,FALSE()))))),1,0)</f>
        <v>0</v>
      </c>
      <c r="ES22" s="1" t="n">
        <f aca="false">IF(AND('Daily Workforce'!$N138="Y",'Daily Workforce'!$B138&lt;&gt;"",COUNTIF('Daily Schedule'!$F$5:$F25,'Daily Workforce'!$B138)=0,IF('Daily Schedule'!$A26=45,'Daily Workforce'!$J138="Y",IF(OR('Daily Schedule'!$A26=4,'Daily Schedule'!$A26=8),IF(OR(WEEKDAY('Daily Schedule'!$B$2,2)=1,WEEKDAY('Daily Schedule'!$B$2,2)=4,WEEKDAY('Daily Schedule'!$B$2,2)=5,WEEKDAY('Daily Schedule'!$B$2,2)=7),IFERROR(1*'Daily Workforce'!$K138&gt;=3,FALSE()),IFERROR(1*'Daily Workforce'!$K138&gt;=2,FALSE())),IF(AND('Daily Schedule'!$A26&gt;=46,'Daily Schedule'!$A26&lt;=52),'Daily Workforce'!$M138="Y",IFERROR(1*'Daily Workforce'!$P138&gt;=2,FALSE()))))),1,0)</f>
        <v>0</v>
      </c>
      <c r="ET22" s="1" t="n">
        <f aca="false">IF(AND('Daily Workforce'!$N139="Y",'Daily Workforce'!$B139&lt;&gt;"",COUNTIF('Daily Schedule'!$F$5:$F25,'Daily Workforce'!$B139)=0,IF('Daily Schedule'!$A26=45,'Daily Workforce'!$J139="Y",IF(OR('Daily Schedule'!$A26=4,'Daily Schedule'!$A26=8),IF(OR(WEEKDAY('Daily Schedule'!$B$2,2)=1,WEEKDAY('Daily Schedule'!$B$2,2)=4,WEEKDAY('Daily Schedule'!$B$2,2)=5,WEEKDAY('Daily Schedule'!$B$2,2)=7),IFERROR(1*'Daily Workforce'!$K139&gt;=3,FALSE()),IFERROR(1*'Daily Workforce'!$K139&gt;=2,FALSE())),IF(AND('Daily Schedule'!$A26&gt;=46,'Daily Schedule'!$A26&lt;=52),'Daily Workforce'!$M139="Y",IFERROR(1*'Daily Workforce'!$P139&gt;=2,FALSE()))))),1,0)</f>
        <v>0</v>
      </c>
      <c r="EU22" s="1" t="n">
        <f aca="false">IF(AND('Daily Workforce'!$N140="Y",'Daily Workforce'!$B140&lt;&gt;"",COUNTIF('Daily Schedule'!$F$5:$F25,'Daily Workforce'!$B140)=0,IF('Daily Schedule'!$A26=45,'Daily Workforce'!$J140="Y",IF(OR('Daily Schedule'!$A26=4,'Daily Schedule'!$A26=8),IF(OR(WEEKDAY('Daily Schedule'!$B$2,2)=1,WEEKDAY('Daily Schedule'!$B$2,2)=4,WEEKDAY('Daily Schedule'!$B$2,2)=5,WEEKDAY('Daily Schedule'!$B$2,2)=7),IFERROR(1*'Daily Workforce'!$K140&gt;=3,FALSE()),IFERROR(1*'Daily Workforce'!$K140&gt;=2,FALSE())),IF(AND('Daily Schedule'!$A26&gt;=46,'Daily Schedule'!$A26&lt;=52),'Daily Workforce'!$M140="Y",IFERROR(1*'Daily Workforce'!$P140&gt;=2,FALSE()))))),1,0)</f>
        <v>0</v>
      </c>
      <c r="EV22" s="1" t="n">
        <f aca="false">IF(AND('Daily Workforce'!$N141="Y",'Daily Workforce'!$B141&lt;&gt;"",COUNTIF('Daily Schedule'!$F$5:$F25,'Daily Workforce'!$B141)=0,IF('Daily Schedule'!$A26=45,'Daily Workforce'!$J141="Y",IF(OR('Daily Schedule'!$A26=4,'Daily Schedule'!$A26=8),IF(OR(WEEKDAY('Daily Schedule'!$B$2,2)=1,WEEKDAY('Daily Schedule'!$B$2,2)=4,WEEKDAY('Daily Schedule'!$B$2,2)=5,WEEKDAY('Daily Schedule'!$B$2,2)=7),IFERROR(1*'Daily Workforce'!$K141&gt;=3,FALSE()),IFERROR(1*'Daily Workforce'!$K141&gt;=2,FALSE())),IF(AND('Daily Schedule'!$A26&gt;=46,'Daily Schedule'!$A26&lt;=52),'Daily Workforce'!$M141="Y",IFERROR(1*'Daily Workforce'!$P141&gt;=2,FALSE()))))),1,0)</f>
        <v>0</v>
      </c>
      <c r="EW22" s="1" t="n">
        <f aca="false">IF(AND('Daily Workforce'!$N142="Y",'Daily Workforce'!$B142&lt;&gt;"",COUNTIF('Daily Schedule'!$F$5:$F25,'Daily Workforce'!$B142)=0,IF('Daily Schedule'!$A26=45,'Daily Workforce'!$J142="Y",IF(OR('Daily Schedule'!$A26=4,'Daily Schedule'!$A26=8),IF(OR(WEEKDAY('Daily Schedule'!$B$2,2)=1,WEEKDAY('Daily Schedule'!$B$2,2)=4,WEEKDAY('Daily Schedule'!$B$2,2)=5,WEEKDAY('Daily Schedule'!$B$2,2)=7),IFERROR(1*'Daily Workforce'!$K142&gt;=3,FALSE()),IFERROR(1*'Daily Workforce'!$K142&gt;=2,FALSE())),IF(AND('Daily Schedule'!$A26&gt;=46,'Daily Schedule'!$A26&lt;=52),'Daily Workforce'!$M142="Y",IFERROR(1*'Daily Workforce'!$P142&gt;=2,FALSE()))))),1,0)</f>
        <v>0</v>
      </c>
      <c r="EX22" s="1" t="n">
        <f aca="false">IF(AND('Daily Workforce'!$N143="Y",'Daily Workforce'!$B143&lt;&gt;"",COUNTIF('Daily Schedule'!$F$5:$F25,'Daily Workforce'!$B143)=0,IF('Daily Schedule'!$A26=45,'Daily Workforce'!$J143="Y",IF(OR('Daily Schedule'!$A26=4,'Daily Schedule'!$A26=8),IF(OR(WEEKDAY('Daily Schedule'!$B$2,2)=1,WEEKDAY('Daily Schedule'!$B$2,2)=4,WEEKDAY('Daily Schedule'!$B$2,2)=5,WEEKDAY('Daily Schedule'!$B$2,2)=7),IFERROR(1*'Daily Workforce'!$K143&gt;=3,FALSE()),IFERROR(1*'Daily Workforce'!$K143&gt;=2,FALSE())),IF(AND('Daily Schedule'!$A26&gt;=46,'Daily Schedule'!$A26&lt;=52),'Daily Workforce'!$M143="Y",IFERROR(1*'Daily Workforce'!$P143&gt;=2,FALSE()))))),1,0)</f>
        <v>0</v>
      </c>
      <c r="EY22" s="1" t="n">
        <f aca="false">IF(AND('Daily Workforce'!$N144="Y",'Daily Workforce'!$B144&lt;&gt;"",COUNTIF('Daily Schedule'!$F$5:$F25,'Daily Workforce'!$B144)=0,IF('Daily Schedule'!$A26=45,'Daily Workforce'!$J144="Y",IF(OR('Daily Schedule'!$A26=4,'Daily Schedule'!$A26=8),IF(OR(WEEKDAY('Daily Schedule'!$B$2,2)=1,WEEKDAY('Daily Schedule'!$B$2,2)=4,WEEKDAY('Daily Schedule'!$B$2,2)=5,WEEKDAY('Daily Schedule'!$B$2,2)=7),IFERROR(1*'Daily Workforce'!$K144&gt;=3,FALSE()),IFERROR(1*'Daily Workforce'!$K144&gt;=2,FALSE())),IF(AND('Daily Schedule'!$A26&gt;=46,'Daily Schedule'!$A26&lt;=52),'Daily Workforce'!$M144="Y",IFERROR(1*'Daily Workforce'!$P144&gt;=2,FALSE()))))),1,0)</f>
        <v>0</v>
      </c>
      <c r="EZ22" s="1" t="n">
        <f aca="false">IF(AND('Daily Workforce'!$N145="Y",'Daily Workforce'!$B145&lt;&gt;"",COUNTIF('Daily Schedule'!$F$5:$F25,'Daily Workforce'!$B145)=0,IF('Daily Schedule'!$A26=45,'Daily Workforce'!$J145="Y",IF(OR('Daily Schedule'!$A26=4,'Daily Schedule'!$A26=8),IF(OR(WEEKDAY('Daily Schedule'!$B$2,2)=1,WEEKDAY('Daily Schedule'!$B$2,2)=4,WEEKDAY('Daily Schedule'!$B$2,2)=5,WEEKDAY('Daily Schedule'!$B$2,2)=7),IFERROR(1*'Daily Workforce'!$K145&gt;=3,FALSE()),IFERROR(1*'Daily Workforce'!$K145&gt;=2,FALSE())),IF(AND('Daily Schedule'!$A26&gt;=46,'Daily Schedule'!$A26&lt;=52),'Daily Workforce'!$M145="Y",IFERROR(1*'Daily Workforce'!$P145&gt;=2,FALSE()))))),1,0)</f>
        <v>0</v>
      </c>
      <c r="FA22" s="1" t="n">
        <f aca="false">IF(AND('Daily Workforce'!$N146="Y",'Daily Workforce'!$B146&lt;&gt;"",COUNTIF('Daily Schedule'!$F$5:$F25,'Daily Workforce'!$B146)=0,IF('Daily Schedule'!$A26=45,'Daily Workforce'!$J146="Y",IF(OR('Daily Schedule'!$A26=4,'Daily Schedule'!$A26=8),IF(OR(WEEKDAY('Daily Schedule'!$B$2,2)=1,WEEKDAY('Daily Schedule'!$B$2,2)=4,WEEKDAY('Daily Schedule'!$B$2,2)=5,WEEKDAY('Daily Schedule'!$B$2,2)=7),IFERROR(1*'Daily Workforce'!$K146&gt;=3,FALSE()),IFERROR(1*'Daily Workforce'!$K146&gt;=2,FALSE())),IF(AND('Daily Schedule'!$A26&gt;=46,'Daily Schedule'!$A26&lt;=52),'Daily Workforce'!$M146="Y",IFERROR(1*'Daily Workforce'!$P146&gt;=2,FALSE()))))),1,0)</f>
        <v>0</v>
      </c>
      <c r="FB22" s="1" t="n">
        <f aca="false">IF(AND('Daily Workforce'!$N147="Y",'Daily Workforce'!$B147&lt;&gt;"",COUNTIF('Daily Schedule'!$F$5:$F25,'Daily Workforce'!$B147)=0,IF('Daily Schedule'!$A26=45,'Daily Workforce'!$J147="Y",IF(OR('Daily Schedule'!$A26=4,'Daily Schedule'!$A26=8),IF(OR(WEEKDAY('Daily Schedule'!$B$2,2)=1,WEEKDAY('Daily Schedule'!$B$2,2)=4,WEEKDAY('Daily Schedule'!$B$2,2)=5,WEEKDAY('Daily Schedule'!$B$2,2)=7),IFERROR(1*'Daily Workforce'!$K147&gt;=3,FALSE()),IFERROR(1*'Daily Workforce'!$K147&gt;=2,FALSE())),IF(AND('Daily Schedule'!$A26&gt;=46,'Daily Schedule'!$A26&lt;=52),'Daily Workforce'!$M147="Y",IFERROR(1*'Daily Workforce'!$P147&gt;=2,FALSE()))))),1,0)</f>
        <v>0</v>
      </c>
      <c r="FC22" s="1" t="n">
        <f aca="false">IF(AND('Daily Workforce'!$N148="Y",'Daily Workforce'!$B148&lt;&gt;"",COUNTIF('Daily Schedule'!$F$5:$F25,'Daily Workforce'!$B148)=0,IF('Daily Schedule'!$A26=45,'Daily Workforce'!$J148="Y",IF(OR('Daily Schedule'!$A26=4,'Daily Schedule'!$A26=8),IF(OR(WEEKDAY('Daily Schedule'!$B$2,2)=1,WEEKDAY('Daily Schedule'!$B$2,2)=4,WEEKDAY('Daily Schedule'!$B$2,2)=5,WEEKDAY('Daily Schedule'!$B$2,2)=7),IFERROR(1*'Daily Workforce'!$K148&gt;=3,FALSE()),IFERROR(1*'Daily Workforce'!$K148&gt;=2,FALSE())),IF(AND('Daily Schedule'!$A26&gt;=46,'Daily Schedule'!$A26&lt;=52),'Daily Workforce'!$M148="Y",IFERROR(1*'Daily Workforce'!$P148&gt;=2,FALSE()))))),1,0)</f>
        <v>0</v>
      </c>
      <c r="FD22" s="1" t="n">
        <f aca="false">IF(AND('Daily Workforce'!$N149="Y",'Daily Workforce'!$B149&lt;&gt;"",COUNTIF('Daily Schedule'!$F$5:$F25,'Daily Workforce'!$B149)=0,IF('Daily Schedule'!$A26=45,'Daily Workforce'!$J149="Y",IF(OR('Daily Schedule'!$A26=4,'Daily Schedule'!$A26=8),IF(OR(WEEKDAY('Daily Schedule'!$B$2,2)=1,WEEKDAY('Daily Schedule'!$B$2,2)=4,WEEKDAY('Daily Schedule'!$B$2,2)=5,WEEKDAY('Daily Schedule'!$B$2,2)=7),IFERROR(1*'Daily Workforce'!$K149&gt;=3,FALSE()),IFERROR(1*'Daily Workforce'!$K149&gt;=2,FALSE())),IF(AND('Daily Schedule'!$A26&gt;=46,'Daily Schedule'!$A26&lt;=52),'Daily Workforce'!$M149="Y",IFERROR(1*'Daily Workforce'!$P149&gt;=2,FALSE()))))),1,0)</f>
        <v>0</v>
      </c>
      <c r="FE22" s="1" t="n">
        <f aca="false">IF(AND('Daily Workforce'!$N150="Y",'Daily Workforce'!$B150&lt;&gt;"",COUNTIF('Daily Schedule'!$F$5:$F25,'Daily Workforce'!$B150)=0,IF('Daily Schedule'!$A26=45,'Daily Workforce'!$J150="Y",IF(OR('Daily Schedule'!$A26=4,'Daily Schedule'!$A26=8),IF(OR(WEEKDAY('Daily Schedule'!$B$2,2)=1,WEEKDAY('Daily Schedule'!$B$2,2)=4,WEEKDAY('Daily Schedule'!$B$2,2)=5,WEEKDAY('Daily Schedule'!$B$2,2)=7),IFERROR(1*'Daily Workforce'!$K150&gt;=3,FALSE()),IFERROR(1*'Daily Workforce'!$K150&gt;=2,FALSE())),IF(AND('Daily Schedule'!$A26&gt;=46,'Daily Schedule'!$A26&lt;=52),'Daily Workforce'!$M150="Y",IFERROR(1*'Daily Workforce'!$P150&gt;=2,FALSE()))))),1,0)</f>
        <v>0</v>
      </c>
      <c r="FF22" s="1" t="n">
        <f aca="false">IF(AND('Daily Workforce'!$N151="Y",'Daily Workforce'!$B151&lt;&gt;"",COUNTIF('Daily Schedule'!$F$5:$F25,'Daily Workforce'!$B151)=0,IF('Daily Schedule'!$A26=45,'Daily Workforce'!$J151="Y",IF(OR('Daily Schedule'!$A26=4,'Daily Schedule'!$A26=8),IF(OR(WEEKDAY('Daily Schedule'!$B$2,2)=1,WEEKDAY('Daily Schedule'!$B$2,2)=4,WEEKDAY('Daily Schedule'!$B$2,2)=5,WEEKDAY('Daily Schedule'!$B$2,2)=7),IFERROR(1*'Daily Workforce'!$K151&gt;=3,FALSE()),IFERROR(1*'Daily Workforce'!$K151&gt;=2,FALSE())),IF(AND('Daily Schedule'!$A26&gt;=46,'Daily Schedule'!$A26&lt;=52),'Daily Workforce'!$M151="Y",IFERROR(1*'Daily Workforce'!$P151&gt;=2,FALSE()))))),1,0)</f>
        <v>0</v>
      </c>
      <c r="FG22" s="1" t="n">
        <f aca="false">IF(AND('Daily Workforce'!$N152="Y",'Daily Workforce'!$B152&lt;&gt;"",COUNTIF('Daily Schedule'!$F$5:$F25,'Daily Workforce'!$B152)=0,IF('Daily Schedule'!$A26=45,'Daily Workforce'!$J152="Y",IF(OR('Daily Schedule'!$A26=4,'Daily Schedule'!$A26=8),IF(OR(WEEKDAY('Daily Schedule'!$B$2,2)=1,WEEKDAY('Daily Schedule'!$B$2,2)=4,WEEKDAY('Daily Schedule'!$B$2,2)=5,WEEKDAY('Daily Schedule'!$B$2,2)=7),IFERROR(1*'Daily Workforce'!$K152&gt;=3,FALSE()),IFERROR(1*'Daily Workforce'!$K152&gt;=2,FALSE())),IF(AND('Daily Schedule'!$A26&gt;=46,'Daily Schedule'!$A26&lt;=52),'Daily Workforce'!$M152="Y",IFERROR(1*'Daily Workforce'!$P152&gt;=2,FALSE()))))),1,0)</f>
        <v>0</v>
      </c>
      <c r="FH22" s="1" t="n">
        <f aca="false">IF(AND('Daily Workforce'!$N153="Y",'Daily Workforce'!$B153&lt;&gt;"",COUNTIF('Daily Schedule'!$F$5:$F25,'Daily Workforce'!$B153)=0,IF('Daily Schedule'!$A26=45,'Daily Workforce'!$J153="Y",IF(OR('Daily Schedule'!$A26=4,'Daily Schedule'!$A26=8),IF(OR(WEEKDAY('Daily Schedule'!$B$2,2)=1,WEEKDAY('Daily Schedule'!$B$2,2)=4,WEEKDAY('Daily Schedule'!$B$2,2)=5,WEEKDAY('Daily Schedule'!$B$2,2)=7),IFERROR(1*'Daily Workforce'!$K153&gt;=3,FALSE()),IFERROR(1*'Daily Workforce'!$K153&gt;=2,FALSE())),IF(AND('Daily Schedule'!$A26&gt;=46,'Daily Schedule'!$A26&lt;=52),'Daily Workforce'!$M153="Y",IFERROR(1*'Daily Workforce'!$P153&gt;=2,FALSE()))))),1,0)</f>
        <v>0</v>
      </c>
      <c r="FI22" s="1" t="n">
        <f aca="false">IF(AND('Daily Workforce'!$N154="Y",'Daily Workforce'!$B154&lt;&gt;"",COUNTIF('Daily Schedule'!$F$5:$F25,'Daily Workforce'!$B154)=0,IF('Daily Schedule'!$A26=45,'Daily Workforce'!$J154="Y",IF(OR('Daily Schedule'!$A26=4,'Daily Schedule'!$A26=8),IF(OR(WEEKDAY('Daily Schedule'!$B$2,2)=1,WEEKDAY('Daily Schedule'!$B$2,2)=4,WEEKDAY('Daily Schedule'!$B$2,2)=5,WEEKDAY('Daily Schedule'!$B$2,2)=7),IFERROR(1*'Daily Workforce'!$K154&gt;=3,FALSE()),IFERROR(1*'Daily Workforce'!$K154&gt;=2,FALSE())),IF(AND('Daily Schedule'!$A26&gt;=46,'Daily Schedule'!$A26&lt;=52),'Daily Workforce'!$M154="Y",IFERROR(1*'Daily Workforce'!$P154&gt;=2,FALSE()))))),1,0)</f>
        <v>0</v>
      </c>
      <c r="FJ22" s="1" t="n">
        <f aca="false">IF(AND('Daily Workforce'!$N155="Y",'Daily Workforce'!$B155&lt;&gt;"",COUNTIF('Daily Schedule'!$F$5:$F25,'Daily Workforce'!$B155)=0,IF('Daily Schedule'!$A26=45,'Daily Workforce'!$J155="Y",IF(OR('Daily Schedule'!$A26=4,'Daily Schedule'!$A26=8),IF(OR(WEEKDAY('Daily Schedule'!$B$2,2)=1,WEEKDAY('Daily Schedule'!$B$2,2)=4,WEEKDAY('Daily Schedule'!$B$2,2)=5,WEEKDAY('Daily Schedule'!$B$2,2)=7),IFERROR(1*'Daily Workforce'!$K155&gt;=3,FALSE()),IFERROR(1*'Daily Workforce'!$K155&gt;=2,FALSE())),IF(AND('Daily Schedule'!$A26&gt;=46,'Daily Schedule'!$A26&lt;=52),'Daily Workforce'!$M155="Y",IFERROR(1*'Daily Workforce'!$P155&gt;=2,FALSE()))))),1,0)</f>
        <v>0</v>
      </c>
      <c r="FK22" s="1" t="n">
        <f aca="false">IF(AND('Daily Workforce'!$N156="Y",'Daily Workforce'!$B156&lt;&gt;"",COUNTIF('Daily Schedule'!$F$5:$F25,'Daily Workforce'!$B156)=0,IF('Daily Schedule'!$A26=45,'Daily Workforce'!$J156="Y",IF(OR('Daily Schedule'!$A26=4,'Daily Schedule'!$A26=8),IF(OR(WEEKDAY('Daily Schedule'!$B$2,2)=1,WEEKDAY('Daily Schedule'!$B$2,2)=4,WEEKDAY('Daily Schedule'!$B$2,2)=5,WEEKDAY('Daily Schedule'!$B$2,2)=7),IFERROR(1*'Daily Workforce'!$K156&gt;=3,FALSE()),IFERROR(1*'Daily Workforce'!$K156&gt;=2,FALSE())),IF(AND('Daily Schedule'!$A26&gt;=46,'Daily Schedule'!$A26&lt;=52),'Daily Workforce'!$M156="Y",IFERROR(1*'Daily Workforce'!$P156&gt;=2,FALSE()))))),1,0)</f>
        <v>0</v>
      </c>
      <c r="FL22" s="1" t="n">
        <f aca="false">IF(AND('Daily Workforce'!$N157="Y",'Daily Workforce'!$B157&lt;&gt;"",COUNTIF('Daily Schedule'!$F$5:$F25,'Daily Workforce'!$B157)=0,IF('Daily Schedule'!$A26=45,'Daily Workforce'!$J157="Y",IF(OR('Daily Schedule'!$A26=4,'Daily Schedule'!$A26=8),IF(OR(WEEKDAY('Daily Schedule'!$B$2,2)=1,WEEKDAY('Daily Schedule'!$B$2,2)=4,WEEKDAY('Daily Schedule'!$B$2,2)=5,WEEKDAY('Daily Schedule'!$B$2,2)=7),IFERROR(1*'Daily Workforce'!$K157&gt;=3,FALSE()),IFERROR(1*'Daily Workforce'!$K157&gt;=2,FALSE())),IF(AND('Daily Schedule'!$A26&gt;=46,'Daily Schedule'!$A26&lt;=52),'Daily Workforce'!$M157="Y",IFERROR(1*'Daily Workforce'!$P157&gt;=2,FALSE()))))),1,0)</f>
        <v>0</v>
      </c>
      <c r="FM22" s="1" t="n">
        <f aca="false">IF(AND('Daily Workforce'!$N158="Y",'Daily Workforce'!$B158&lt;&gt;"",COUNTIF('Daily Schedule'!$F$5:$F25,'Daily Workforce'!$B158)=0,IF('Daily Schedule'!$A26=45,'Daily Workforce'!$J158="Y",IF(OR('Daily Schedule'!$A26=4,'Daily Schedule'!$A26=8),IF(OR(WEEKDAY('Daily Schedule'!$B$2,2)=1,WEEKDAY('Daily Schedule'!$B$2,2)=4,WEEKDAY('Daily Schedule'!$B$2,2)=5,WEEKDAY('Daily Schedule'!$B$2,2)=7),IFERROR(1*'Daily Workforce'!$K158&gt;=3,FALSE()),IFERROR(1*'Daily Workforce'!$K158&gt;=2,FALSE())),IF(AND('Daily Schedule'!$A26&gt;=46,'Daily Schedule'!$A26&lt;=52),'Daily Workforce'!$M158="Y",IFERROR(1*'Daily Workforce'!$P158&gt;=2,FALSE()))))),1,0)</f>
        <v>0</v>
      </c>
      <c r="FN22" s="1" t="n">
        <f aca="false">IF(AND('Daily Workforce'!$N159="Y",'Daily Workforce'!$B159&lt;&gt;"",COUNTIF('Daily Schedule'!$F$5:$F25,'Daily Workforce'!$B159)=0,IF('Daily Schedule'!$A26=45,'Daily Workforce'!$J159="Y",IF(OR('Daily Schedule'!$A26=4,'Daily Schedule'!$A26=8),IF(OR(WEEKDAY('Daily Schedule'!$B$2,2)=1,WEEKDAY('Daily Schedule'!$B$2,2)=4,WEEKDAY('Daily Schedule'!$B$2,2)=5,WEEKDAY('Daily Schedule'!$B$2,2)=7),IFERROR(1*'Daily Workforce'!$K159&gt;=3,FALSE()),IFERROR(1*'Daily Workforce'!$K159&gt;=2,FALSE())),IF(AND('Daily Schedule'!$A26&gt;=46,'Daily Schedule'!$A26&lt;=52),'Daily Workforce'!$M159="Y",IFERROR(1*'Daily Workforce'!$P159&gt;=2,FALSE()))))),1,0)</f>
        <v>0</v>
      </c>
      <c r="FO22" s="1" t="n">
        <f aca="false">IF(AND('Daily Workforce'!$N160="Y",'Daily Workforce'!$B160&lt;&gt;"",COUNTIF('Daily Schedule'!$F$5:$F25,'Daily Workforce'!$B160)=0,IF('Daily Schedule'!$A26=45,'Daily Workforce'!$J160="Y",IF(OR('Daily Schedule'!$A26=4,'Daily Schedule'!$A26=8),IF(OR(WEEKDAY('Daily Schedule'!$B$2,2)=1,WEEKDAY('Daily Schedule'!$B$2,2)=4,WEEKDAY('Daily Schedule'!$B$2,2)=5,WEEKDAY('Daily Schedule'!$B$2,2)=7),IFERROR(1*'Daily Workforce'!$K160&gt;=3,FALSE()),IFERROR(1*'Daily Workforce'!$K160&gt;=2,FALSE())),IF(AND('Daily Schedule'!$A26&gt;=46,'Daily Schedule'!$A26&lt;=52),'Daily Workforce'!$M160="Y",IFERROR(1*'Daily Workforce'!$P160&gt;=2,FALSE()))))),1,0)</f>
        <v>0</v>
      </c>
      <c r="FP22" s="1" t="n">
        <f aca="false">IF(AND('Daily Workforce'!$N161="Y",'Daily Workforce'!$B161&lt;&gt;"",COUNTIF('Daily Schedule'!$F$5:$F25,'Daily Workforce'!$B161)=0,IF('Daily Schedule'!$A26=45,'Daily Workforce'!$J161="Y",IF(OR('Daily Schedule'!$A26=4,'Daily Schedule'!$A26=8),IF(OR(WEEKDAY('Daily Schedule'!$B$2,2)=1,WEEKDAY('Daily Schedule'!$B$2,2)=4,WEEKDAY('Daily Schedule'!$B$2,2)=5,WEEKDAY('Daily Schedule'!$B$2,2)=7),IFERROR(1*'Daily Workforce'!$K161&gt;=3,FALSE()),IFERROR(1*'Daily Workforce'!$K161&gt;=2,FALSE())),IF(AND('Daily Schedule'!$A26&gt;=46,'Daily Schedule'!$A26&lt;=52),'Daily Workforce'!$M161="Y",IFERROR(1*'Daily Workforce'!$P161&gt;=2,FALSE()))))),1,0)</f>
        <v>0</v>
      </c>
      <c r="FQ22" s="1" t="n">
        <f aca="false">IF(AND('Daily Workforce'!$N162="Y",'Daily Workforce'!$B162&lt;&gt;"",COUNTIF('Daily Schedule'!$F$5:$F25,'Daily Workforce'!$B162)=0,IF('Daily Schedule'!$A26=45,'Daily Workforce'!$J162="Y",IF(OR('Daily Schedule'!$A26=4,'Daily Schedule'!$A26=8),IF(OR(WEEKDAY('Daily Schedule'!$B$2,2)=1,WEEKDAY('Daily Schedule'!$B$2,2)=4,WEEKDAY('Daily Schedule'!$B$2,2)=5,WEEKDAY('Daily Schedule'!$B$2,2)=7),IFERROR(1*'Daily Workforce'!$K162&gt;=3,FALSE()),IFERROR(1*'Daily Workforce'!$K162&gt;=2,FALSE())),IF(AND('Daily Schedule'!$A26&gt;=46,'Daily Schedule'!$A26&lt;=52),'Daily Workforce'!$M162="Y",IFERROR(1*'Daily Workforce'!$P162&gt;=2,FALSE()))))),1,0)</f>
        <v>0</v>
      </c>
      <c r="FR22" s="1" t="n">
        <f aca="false">IF(AND('Daily Workforce'!$N163="Y",'Daily Workforce'!$B163&lt;&gt;"",COUNTIF('Daily Schedule'!$F$5:$F25,'Daily Workforce'!$B163)=0,IF('Daily Schedule'!$A26=45,'Daily Workforce'!$J163="Y",IF(OR('Daily Schedule'!$A26=4,'Daily Schedule'!$A26=8),IF(OR(WEEKDAY('Daily Schedule'!$B$2,2)=1,WEEKDAY('Daily Schedule'!$B$2,2)=4,WEEKDAY('Daily Schedule'!$B$2,2)=5,WEEKDAY('Daily Schedule'!$B$2,2)=7),IFERROR(1*'Daily Workforce'!$K163&gt;=3,FALSE()),IFERROR(1*'Daily Workforce'!$K163&gt;=2,FALSE())),IF(AND('Daily Schedule'!$A26&gt;=46,'Daily Schedule'!$A26&lt;=52),'Daily Workforce'!$M163="Y",IFERROR(1*'Daily Workforce'!$P163&gt;=2,FALSE()))))),1,0)</f>
        <v>0</v>
      </c>
      <c r="FS22" s="1" t="n">
        <f aca="false">IF(AND('Daily Workforce'!$N164="Y",'Daily Workforce'!$B164&lt;&gt;"",COUNTIF('Daily Schedule'!$F$5:$F25,'Daily Workforce'!$B164)=0,IF('Daily Schedule'!$A26=45,'Daily Workforce'!$J164="Y",IF(OR('Daily Schedule'!$A26=4,'Daily Schedule'!$A26=8),IF(OR(WEEKDAY('Daily Schedule'!$B$2,2)=1,WEEKDAY('Daily Schedule'!$B$2,2)=4,WEEKDAY('Daily Schedule'!$B$2,2)=5,WEEKDAY('Daily Schedule'!$B$2,2)=7),IFERROR(1*'Daily Workforce'!$K164&gt;=3,FALSE()),IFERROR(1*'Daily Workforce'!$K164&gt;=2,FALSE())),IF(AND('Daily Schedule'!$A26&gt;=46,'Daily Schedule'!$A26&lt;=52),'Daily Workforce'!$M164="Y",IFERROR(1*'Daily Workforce'!$P164&gt;=2,FALSE()))))),1,0)</f>
        <v>0</v>
      </c>
      <c r="FT22" s="1" t="n">
        <f aca="false">IF(AND('Daily Workforce'!$N165="Y",'Daily Workforce'!$B165&lt;&gt;"",COUNTIF('Daily Schedule'!$F$5:$F25,'Daily Workforce'!$B165)=0,IF('Daily Schedule'!$A26=45,'Daily Workforce'!$J165="Y",IF(OR('Daily Schedule'!$A26=4,'Daily Schedule'!$A26=8),IF(OR(WEEKDAY('Daily Schedule'!$B$2,2)=1,WEEKDAY('Daily Schedule'!$B$2,2)=4,WEEKDAY('Daily Schedule'!$B$2,2)=5,WEEKDAY('Daily Schedule'!$B$2,2)=7),IFERROR(1*'Daily Workforce'!$K165&gt;=3,FALSE()),IFERROR(1*'Daily Workforce'!$K165&gt;=2,FALSE())),IF(AND('Daily Schedule'!$A26&gt;=46,'Daily Schedule'!$A26&lt;=52),'Daily Workforce'!$M165="Y",IFERROR(1*'Daily Workforce'!$P165&gt;=2,FALSE()))))),1,0)</f>
        <v>0</v>
      </c>
      <c r="FU22" s="1" t="n">
        <f aca="false">IF(AND('Daily Workforce'!$N166="Y",'Daily Workforce'!$B166&lt;&gt;"",COUNTIF('Daily Schedule'!$F$5:$F25,'Daily Workforce'!$B166)=0,IF('Daily Schedule'!$A26=45,'Daily Workforce'!$J166="Y",IF(OR('Daily Schedule'!$A26=4,'Daily Schedule'!$A26=8),IF(OR(WEEKDAY('Daily Schedule'!$B$2,2)=1,WEEKDAY('Daily Schedule'!$B$2,2)=4,WEEKDAY('Daily Schedule'!$B$2,2)=5,WEEKDAY('Daily Schedule'!$B$2,2)=7),IFERROR(1*'Daily Workforce'!$K166&gt;=3,FALSE()),IFERROR(1*'Daily Workforce'!$K166&gt;=2,FALSE())),IF(AND('Daily Schedule'!$A26&gt;=46,'Daily Schedule'!$A26&lt;=52),'Daily Workforce'!$M166="Y",IFERROR(1*'Daily Workforce'!$P166&gt;=2,FALSE()))))),1,0)</f>
        <v>0</v>
      </c>
      <c r="FV22" s="1" t="n">
        <f aca="false">IF(AND('Daily Workforce'!$N167="Y",'Daily Workforce'!$B167&lt;&gt;"",COUNTIF('Daily Schedule'!$F$5:$F25,'Daily Workforce'!$B167)=0,IF('Daily Schedule'!$A26=45,'Daily Workforce'!$J167="Y",IF(OR('Daily Schedule'!$A26=4,'Daily Schedule'!$A26=8),IF(OR(WEEKDAY('Daily Schedule'!$B$2,2)=1,WEEKDAY('Daily Schedule'!$B$2,2)=4,WEEKDAY('Daily Schedule'!$B$2,2)=5,WEEKDAY('Daily Schedule'!$B$2,2)=7),IFERROR(1*'Daily Workforce'!$K167&gt;=3,FALSE()),IFERROR(1*'Daily Workforce'!$K167&gt;=2,FALSE())),IF(AND('Daily Schedule'!$A26&gt;=46,'Daily Schedule'!$A26&lt;=52),'Daily Workforce'!$M167="Y",IFERROR(1*'Daily Workforce'!$P167&gt;=2,FALSE()))))),1,0)</f>
        <v>0</v>
      </c>
      <c r="FW22" s="1" t="n">
        <f aca="false">IF(AND('Daily Workforce'!$N168="Y",'Daily Workforce'!$B168&lt;&gt;"",COUNTIF('Daily Schedule'!$F$5:$F25,'Daily Workforce'!$B168)=0,IF('Daily Schedule'!$A26=45,'Daily Workforce'!$J168="Y",IF(OR('Daily Schedule'!$A26=4,'Daily Schedule'!$A26=8),IF(OR(WEEKDAY('Daily Schedule'!$B$2,2)=1,WEEKDAY('Daily Schedule'!$B$2,2)=4,WEEKDAY('Daily Schedule'!$B$2,2)=5,WEEKDAY('Daily Schedule'!$B$2,2)=7),IFERROR(1*'Daily Workforce'!$K168&gt;=3,FALSE()),IFERROR(1*'Daily Workforce'!$K168&gt;=2,FALSE())),IF(AND('Daily Schedule'!$A26&gt;=46,'Daily Schedule'!$A26&lt;=52),'Daily Workforce'!$M168="Y",IFERROR(1*'Daily Workforce'!$P168&gt;=2,FALSE()))))),1,0)</f>
        <v>0</v>
      </c>
      <c r="FX22" s="1" t="n">
        <f aca="false">IF(AND('Daily Workforce'!$N169="Y",'Daily Workforce'!$B169&lt;&gt;"",COUNTIF('Daily Schedule'!$F$5:$F25,'Daily Workforce'!$B169)=0,IF('Daily Schedule'!$A26=45,'Daily Workforce'!$J169="Y",IF(OR('Daily Schedule'!$A26=4,'Daily Schedule'!$A26=8),IF(OR(WEEKDAY('Daily Schedule'!$B$2,2)=1,WEEKDAY('Daily Schedule'!$B$2,2)=4,WEEKDAY('Daily Schedule'!$B$2,2)=5,WEEKDAY('Daily Schedule'!$B$2,2)=7),IFERROR(1*'Daily Workforce'!$K169&gt;=3,FALSE()),IFERROR(1*'Daily Workforce'!$K169&gt;=2,FALSE())),IF(AND('Daily Schedule'!$A26&gt;=46,'Daily Schedule'!$A26&lt;=52),'Daily Workforce'!$M169="Y",IFERROR(1*'Daily Workforce'!$P169&gt;=2,FALSE()))))),1,0)</f>
        <v>0</v>
      </c>
      <c r="FY22" s="1" t="n">
        <f aca="false">IF(AND('Daily Workforce'!$N170="Y",'Daily Workforce'!$B170&lt;&gt;"",COUNTIF('Daily Schedule'!$F$5:$F25,'Daily Workforce'!$B170)=0,IF('Daily Schedule'!$A26=45,'Daily Workforce'!$J170="Y",IF(OR('Daily Schedule'!$A26=4,'Daily Schedule'!$A26=8),IF(OR(WEEKDAY('Daily Schedule'!$B$2,2)=1,WEEKDAY('Daily Schedule'!$B$2,2)=4,WEEKDAY('Daily Schedule'!$B$2,2)=5,WEEKDAY('Daily Schedule'!$B$2,2)=7),IFERROR(1*'Daily Workforce'!$K170&gt;=3,FALSE()),IFERROR(1*'Daily Workforce'!$K170&gt;=2,FALSE())),IF(AND('Daily Schedule'!$A26&gt;=46,'Daily Schedule'!$A26&lt;=52),'Daily Workforce'!$M170="Y",IFERROR(1*'Daily Workforce'!$P170&gt;=2,FALSE()))))),1,0)</f>
        <v>0</v>
      </c>
      <c r="FZ22" s="1" t="n">
        <f aca="false">IF(AND('Daily Workforce'!$N171="Y",'Daily Workforce'!$B171&lt;&gt;"",COUNTIF('Daily Schedule'!$F$5:$F25,'Daily Workforce'!$B171)=0,IF('Daily Schedule'!$A26=45,'Daily Workforce'!$J171="Y",IF(OR('Daily Schedule'!$A26=4,'Daily Schedule'!$A26=8),IF(OR(WEEKDAY('Daily Schedule'!$B$2,2)=1,WEEKDAY('Daily Schedule'!$B$2,2)=4,WEEKDAY('Daily Schedule'!$B$2,2)=5,WEEKDAY('Daily Schedule'!$B$2,2)=7),IFERROR(1*'Daily Workforce'!$K171&gt;=3,FALSE()),IFERROR(1*'Daily Workforce'!$K171&gt;=2,FALSE())),IF(AND('Daily Schedule'!$A26&gt;=46,'Daily Schedule'!$A26&lt;=52),'Daily Workforce'!$M171="Y",IFERROR(1*'Daily Workforce'!$P171&gt;=2,FALSE()))))),1,0)</f>
        <v>0</v>
      </c>
      <c r="GA22" s="1" t="n">
        <f aca="false">IF(AND('Daily Workforce'!$N172="Y",'Daily Workforce'!$B172&lt;&gt;"",COUNTIF('Daily Schedule'!$F$5:$F25,'Daily Workforce'!$B172)=0,IF('Daily Schedule'!$A26=45,'Daily Workforce'!$J172="Y",IF(OR('Daily Schedule'!$A26=4,'Daily Schedule'!$A26=8),IF(OR(WEEKDAY('Daily Schedule'!$B$2,2)=1,WEEKDAY('Daily Schedule'!$B$2,2)=4,WEEKDAY('Daily Schedule'!$B$2,2)=5,WEEKDAY('Daily Schedule'!$B$2,2)=7),IFERROR(1*'Daily Workforce'!$K172&gt;=3,FALSE()),IFERROR(1*'Daily Workforce'!$K172&gt;=2,FALSE())),IF(AND('Daily Schedule'!$A26&gt;=46,'Daily Schedule'!$A26&lt;=52),'Daily Workforce'!$M172="Y",IFERROR(1*'Daily Workforce'!$P172&gt;=2,FALSE()))))),1,0)</f>
        <v>0</v>
      </c>
      <c r="GB22" s="1" t="n">
        <f aca="false">IF(AND('Daily Workforce'!$N173="Y",'Daily Workforce'!$B173&lt;&gt;"",COUNTIF('Daily Schedule'!$F$5:$F25,'Daily Workforce'!$B173)=0,IF('Daily Schedule'!$A26=45,'Daily Workforce'!$J173="Y",IF(OR('Daily Schedule'!$A26=4,'Daily Schedule'!$A26=8),IF(OR(WEEKDAY('Daily Schedule'!$B$2,2)=1,WEEKDAY('Daily Schedule'!$B$2,2)=4,WEEKDAY('Daily Schedule'!$B$2,2)=5,WEEKDAY('Daily Schedule'!$B$2,2)=7),IFERROR(1*'Daily Workforce'!$K173&gt;=3,FALSE()),IFERROR(1*'Daily Workforce'!$K173&gt;=2,FALSE())),IF(AND('Daily Schedule'!$A26&gt;=46,'Daily Schedule'!$A26&lt;=52),'Daily Workforce'!$M173="Y",IFERROR(1*'Daily Workforce'!$P173&gt;=2,FALSE()))))),1,0)</f>
        <v>0</v>
      </c>
      <c r="GC22" s="1" t="n">
        <f aca="false">IF(AND('Daily Workforce'!$N174="Y",'Daily Workforce'!$B174&lt;&gt;"",COUNTIF('Daily Schedule'!$F$5:$F25,'Daily Workforce'!$B174)=0,IF('Daily Schedule'!$A26=45,'Daily Workforce'!$J174="Y",IF(OR('Daily Schedule'!$A26=4,'Daily Schedule'!$A26=8),IF(OR(WEEKDAY('Daily Schedule'!$B$2,2)=1,WEEKDAY('Daily Schedule'!$B$2,2)=4,WEEKDAY('Daily Schedule'!$B$2,2)=5,WEEKDAY('Daily Schedule'!$B$2,2)=7),IFERROR(1*'Daily Workforce'!$K174&gt;=3,FALSE()),IFERROR(1*'Daily Workforce'!$K174&gt;=2,FALSE())),IF(AND('Daily Schedule'!$A26&gt;=46,'Daily Schedule'!$A26&lt;=52),'Daily Workforce'!$M174="Y",IFERROR(1*'Daily Workforce'!$P174&gt;=2,FALSE()))))),1,0)</f>
        <v>0</v>
      </c>
      <c r="GD22" s="1" t="n">
        <f aca="false">IF(AND('Daily Workforce'!$N175="Y",'Daily Workforce'!$B175&lt;&gt;"",COUNTIF('Daily Schedule'!$F$5:$F25,'Daily Workforce'!$B175)=0,IF('Daily Schedule'!$A26=45,'Daily Workforce'!$J175="Y",IF(OR('Daily Schedule'!$A26=4,'Daily Schedule'!$A26=8),IF(OR(WEEKDAY('Daily Schedule'!$B$2,2)=1,WEEKDAY('Daily Schedule'!$B$2,2)=4,WEEKDAY('Daily Schedule'!$B$2,2)=5,WEEKDAY('Daily Schedule'!$B$2,2)=7),IFERROR(1*'Daily Workforce'!$K175&gt;=3,FALSE()),IFERROR(1*'Daily Workforce'!$K175&gt;=2,FALSE())),IF(AND('Daily Schedule'!$A26&gt;=46,'Daily Schedule'!$A26&lt;=52),'Daily Workforce'!$M175="Y",IFERROR(1*'Daily Workforce'!$P175&gt;=2,FALSE()))))),1,0)</f>
        <v>0</v>
      </c>
      <c r="GE22" s="1" t="n">
        <f aca="false">IF(AND('Daily Workforce'!$N176="Y",'Daily Workforce'!$B176&lt;&gt;"",COUNTIF('Daily Schedule'!$F$5:$F25,'Daily Workforce'!$B176)=0,IF('Daily Schedule'!$A26=45,'Daily Workforce'!$J176="Y",IF(OR('Daily Schedule'!$A26=4,'Daily Schedule'!$A26=8),IF(OR(WEEKDAY('Daily Schedule'!$B$2,2)=1,WEEKDAY('Daily Schedule'!$B$2,2)=4,WEEKDAY('Daily Schedule'!$B$2,2)=5,WEEKDAY('Daily Schedule'!$B$2,2)=7),IFERROR(1*'Daily Workforce'!$K176&gt;=3,FALSE()),IFERROR(1*'Daily Workforce'!$K176&gt;=2,FALSE())),IF(AND('Daily Schedule'!$A26&gt;=46,'Daily Schedule'!$A26&lt;=52),'Daily Workforce'!$M176="Y",IFERROR(1*'Daily Workforce'!$P176&gt;=2,FALSE()))))),1,0)</f>
        <v>0</v>
      </c>
      <c r="GF22" s="1" t="n">
        <f aca="false">IF(AND('Daily Workforce'!$N177="Y",'Daily Workforce'!$B177&lt;&gt;"",COUNTIF('Daily Schedule'!$F$5:$F25,'Daily Workforce'!$B177)=0,IF('Daily Schedule'!$A26=45,'Daily Workforce'!$J177="Y",IF(OR('Daily Schedule'!$A26=4,'Daily Schedule'!$A26=8),IF(OR(WEEKDAY('Daily Schedule'!$B$2,2)=1,WEEKDAY('Daily Schedule'!$B$2,2)=4,WEEKDAY('Daily Schedule'!$B$2,2)=5,WEEKDAY('Daily Schedule'!$B$2,2)=7),IFERROR(1*'Daily Workforce'!$K177&gt;=3,FALSE()),IFERROR(1*'Daily Workforce'!$K177&gt;=2,FALSE())),IF(AND('Daily Schedule'!$A26&gt;=46,'Daily Schedule'!$A26&lt;=52),'Daily Workforce'!$M177="Y",IFERROR(1*'Daily Workforce'!$P177&gt;=2,FALSE()))))),1,0)</f>
        <v>0</v>
      </c>
      <c r="GG22" s="1" t="n">
        <f aca="false">IF(AND('Daily Workforce'!$N178="Y",'Daily Workforce'!$B178&lt;&gt;"",COUNTIF('Daily Schedule'!$F$5:$F25,'Daily Workforce'!$B178)=0,IF('Daily Schedule'!$A26=45,'Daily Workforce'!$J178="Y",IF(OR('Daily Schedule'!$A26=4,'Daily Schedule'!$A26=8),IF(OR(WEEKDAY('Daily Schedule'!$B$2,2)=1,WEEKDAY('Daily Schedule'!$B$2,2)=4,WEEKDAY('Daily Schedule'!$B$2,2)=5,WEEKDAY('Daily Schedule'!$B$2,2)=7),IFERROR(1*'Daily Workforce'!$K178&gt;=3,FALSE()),IFERROR(1*'Daily Workforce'!$K178&gt;=2,FALSE())),IF(AND('Daily Schedule'!$A26&gt;=46,'Daily Schedule'!$A26&lt;=52),'Daily Workforce'!$M178="Y",IFERROR(1*'Daily Workforce'!$P178&gt;=2,FALSE()))))),1,0)</f>
        <v>0</v>
      </c>
      <c r="GH22" s="1" t="n">
        <f aca="false">IF(AND('Daily Workforce'!$N179="Y",'Daily Workforce'!$B179&lt;&gt;"",COUNTIF('Daily Schedule'!$F$5:$F25,'Daily Workforce'!$B179)=0,IF('Daily Schedule'!$A26=45,'Daily Workforce'!$J179="Y",IF(OR('Daily Schedule'!$A26=4,'Daily Schedule'!$A26=8),IF(OR(WEEKDAY('Daily Schedule'!$B$2,2)=1,WEEKDAY('Daily Schedule'!$B$2,2)=4,WEEKDAY('Daily Schedule'!$B$2,2)=5,WEEKDAY('Daily Schedule'!$B$2,2)=7),IFERROR(1*'Daily Workforce'!$K179&gt;=3,FALSE()),IFERROR(1*'Daily Workforce'!$K179&gt;=2,FALSE())),IF(AND('Daily Schedule'!$A26&gt;=46,'Daily Schedule'!$A26&lt;=52),'Daily Workforce'!$M179="Y",IFERROR(1*'Daily Workforce'!$P179&gt;=2,FALSE()))))),1,0)</f>
        <v>0</v>
      </c>
      <c r="GI22" s="1" t="n">
        <f aca="false">IF(AND('Daily Workforce'!$N180="Y",'Daily Workforce'!$B180&lt;&gt;"",COUNTIF('Daily Schedule'!$F$5:$F25,'Daily Workforce'!$B180)=0,IF('Daily Schedule'!$A26=45,'Daily Workforce'!$J180="Y",IF(OR('Daily Schedule'!$A26=4,'Daily Schedule'!$A26=8),IF(OR(WEEKDAY('Daily Schedule'!$B$2,2)=1,WEEKDAY('Daily Schedule'!$B$2,2)=4,WEEKDAY('Daily Schedule'!$B$2,2)=5,WEEKDAY('Daily Schedule'!$B$2,2)=7),IFERROR(1*'Daily Workforce'!$K180&gt;=3,FALSE()),IFERROR(1*'Daily Workforce'!$K180&gt;=2,FALSE())),IF(AND('Daily Schedule'!$A26&gt;=46,'Daily Schedule'!$A26&lt;=52),'Daily Workforce'!$M180="Y",IFERROR(1*'Daily Workforce'!$P180&gt;=2,FALSE()))))),1,0)</f>
        <v>0</v>
      </c>
      <c r="GJ22" s="1" t="n">
        <f aca="false">IF(AND('Daily Workforce'!$N181="Y",'Daily Workforce'!$B181&lt;&gt;"",COUNTIF('Daily Schedule'!$F$5:$F25,'Daily Workforce'!$B181)=0,IF('Daily Schedule'!$A26=45,'Daily Workforce'!$J181="Y",IF(OR('Daily Schedule'!$A26=4,'Daily Schedule'!$A26=8),IF(OR(WEEKDAY('Daily Schedule'!$B$2,2)=1,WEEKDAY('Daily Schedule'!$B$2,2)=4,WEEKDAY('Daily Schedule'!$B$2,2)=5,WEEKDAY('Daily Schedule'!$B$2,2)=7),IFERROR(1*'Daily Workforce'!$K181&gt;=3,FALSE()),IFERROR(1*'Daily Workforce'!$K181&gt;=2,FALSE())),IF(AND('Daily Schedule'!$A26&gt;=46,'Daily Schedule'!$A26&lt;=52),'Daily Workforce'!$M181="Y",IFERROR(1*'Daily Workforce'!$P181&gt;=2,FALSE()))))),1,0)</f>
        <v>0</v>
      </c>
      <c r="GK22" s="1" t="n">
        <f aca="false">IF(AND('Daily Workforce'!$N182="Y",'Daily Workforce'!$B182&lt;&gt;"",COUNTIF('Daily Schedule'!$F$5:$F25,'Daily Workforce'!$B182)=0,IF('Daily Schedule'!$A26=45,'Daily Workforce'!$J182="Y",IF(OR('Daily Schedule'!$A26=4,'Daily Schedule'!$A26=8),IF(OR(WEEKDAY('Daily Schedule'!$B$2,2)=1,WEEKDAY('Daily Schedule'!$B$2,2)=4,WEEKDAY('Daily Schedule'!$B$2,2)=5,WEEKDAY('Daily Schedule'!$B$2,2)=7),IFERROR(1*'Daily Workforce'!$K182&gt;=3,FALSE()),IFERROR(1*'Daily Workforce'!$K182&gt;=2,FALSE())),IF(AND('Daily Schedule'!$A26&gt;=46,'Daily Schedule'!$A26&lt;=52),'Daily Workforce'!$M182="Y",IFERROR(1*'Daily Workforce'!$P182&gt;=2,FALSE()))))),1,0)</f>
        <v>0</v>
      </c>
      <c r="GL22" s="1" t="n">
        <f aca="false">IF(AND('Daily Workforce'!$N183="Y",'Daily Workforce'!$B183&lt;&gt;"",COUNTIF('Daily Schedule'!$F$5:$F25,'Daily Workforce'!$B183)=0,IF('Daily Schedule'!$A26=45,'Daily Workforce'!$J183="Y",IF(OR('Daily Schedule'!$A26=4,'Daily Schedule'!$A26=8),IF(OR(WEEKDAY('Daily Schedule'!$B$2,2)=1,WEEKDAY('Daily Schedule'!$B$2,2)=4,WEEKDAY('Daily Schedule'!$B$2,2)=5,WEEKDAY('Daily Schedule'!$B$2,2)=7),IFERROR(1*'Daily Workforce'!$K183&gt;=3,FALSE()),IFERROR(1*'Daily Workforce'!$K183&gt;=2,FALSE())),IF(AND('Daily Schedule'!$A26&gt;=46,'Daily Schedule'!$A26&lt;=52),'Daily Workforce'!$M183="Y",IFERROR(1*'Daily Workforce'!$P183&gt;=2,FALSE()))))),1,0)</f>
        <v>0</v>
      </c>
      <c r="GM22" s="1" t="n">
        <f aca="false">IF(AND('Daily Workforce'!$N184="Y",'Daily Workforce'!$B184&lt;&gt;"",COUNTIF('Daily Schedule'!$F$5:$F25,'Daily Workforce'!$B184)=0,IF('Daily Schedule'!$A26=45,'Daily Workforce'!$J184="Y",IF(OR('Daily Schedule'!$A26=4,'Daily Schedule'!$A26=8),IF(OR(WEEKDAY('Daily Schedule'!$B$2,2)=1,WEEKDAY('Daily Schedule'!$B$2,2)=4,WEEKDAY('Daily Schedule'!$B$2,2)=5,WEEKDAY('Daily Schedule'!$B$2,2)=7),IFERROR(1*'Daily Workforce'!$K184&gt;=3,FALSE()),IFERROR(1*'Daily Workforce'!$K184&gt;=2,FALSE())),IF(AND('Daily Schedule'!$A26&gt;=46,'Daily Schedule'!$A26&lt;=52),'Daily Workforce'!$M184="Y",IFERROR(1*'Daily Workforce'!$P184&gt;=2,FALSE()))))),1,0)</f>
        <v>0</v>
      </c>
      <c r="GN22" s="1" t="n">
        <f aca="false">IF(AND('Daily Workforce'!$N185="Y",'Daily Workforce'!$B185&lt;&gt;"",COUNTIF('Daily Schedule'!$F$5:$F25,'Daily Workforce'!$B185)=0,IF('Daily Schedule'!$A26=45,'Daily Workforce'!$J185="Y",IF(OR('Daily Schedule'!$A26=4,'Daily Schedule'!$A26=8),IF(OR(WEEKDAY('Daily Schedule'!$B$2,2)=1,WEEKDAY('Daily Schedule'!$B$2,2)=4,WEEKDAY('Daily Schedule'!$B$2,2)=5,WEEKDAY('Daily Schedule'!$B$2,2)=7),IFERROR(1*'Daily Workforce'!$K185&gt;=3,FALSE()),IFERROR(1*'Daily Workforce'!$K185&gt;=2,FALSE())),IF(AND('Daily Schedule'!$A26&gt;=46,'Daily Schedule'!$A26&lt;=52),'Daily Workforce'!$M185="Y",IFERROR(1*'Daily Workforce'!$P185&gt;=2,FALSE()))))),1,0)</f>
        <v>0</v>
      </c>
      <c r="GO22" s="1" t="n">
        <f aca="false">IF(AND('Daily Workforce'!$N186="Y",'Daily Workforce'!$B186&lt;&gt;"",COUNTIF('Daily Schedule'!$F$5:$F25,'Daily Workforce'!$B186)=0,IF('Daily Schedule'!$A26=45,'Daily Workforce'!$J186="Y",IF(OR('Daily Schedule'!$A26=4,'Daily Schedule'!$A26=8),IF(OR(WEEKDAY('Daily Schedule'!$B$2,2)=1,WEEKDAY('Daily Schedule'!$B$2,2)=4,WEEKDAY('Daily Schedule'!$B$2,2)=5,WEEKDAY('Daily Schedule'!$B$2,2)=7),IFERROR(1*'Daily Workforce'!$K186&gt;=3,FALSE()),IFERROR(1*'Daily Workforce'!$K186&gt;=2,FALSE())),IF(AND('Daily Schedule'!$A26&gt;=46,'Daily Schedule'!$A26&lt;=52),'Daily Workforce'!$M186="Y",IFERROR(1*'Daily Workforce'!$P186&gt;=2,FALSE()))))),1,0)</f>
        <v>0</v>
      </c>
      <c r="GP22" s="1" t="n">
        <f aca="false">IF(AND('Daily Workforce'!$N187="Y",'Daily Workforce'!$B187&lt;&gt;"",COUNTIF('Daily Schedule'!$F$5:$F25,'Daily Workforce'!$B187)=0,IF('Daily Schedule'!$A26=45,'Daily Workforce'!$J187="Y",IF(OR('Daily Schedule'!$A26=4,'Daily Schedule'!$A26=8),IF(OR(WEEKDAY('Daily Schedule'!$B$2,2)=1,WEEKDAY('Daily Schedule'!$B$2,2)=4,WEEKDAY('Daily Schedule'!$B$2,2)=5,WEEKDAY('Daily Schedule'!$B$2,2)=7),IFERROR(1*'Daily Workforce'!$K187&gt;=3,FALSE()),IFERROR(1*'Daily Workforce'!$K187&gt;=2,FALSE())),IF(AND('Daily Schedule'!$A26&gt;=46,'Daily Schedule'!$A26&lt;=52),'Daily Workforce'!$M187="Y",IFERROR(1*'Daily Workforce'!$P187&gt;=2,FALSE()))))),1,0)</f>
        <v>0</v>
      </c>
      <c r="GQ22" s="1" t="n">
        <f aca="false">IF(AND('Daily Workforce'!$N188="Y",'Daily Workforce'!$B188&lt;&gt;"",COUNTIF('Daily Schedule'!$F$5:$F25,'Daily Workforce'!$B188)=0,IF('Daily Schedule'!$A26=45,'Daily Workforce'!$J188="Y",IF(OR('Daily Schedule'!$A26=4,'Daily Schedule'!$A26=8),IF(OR(WEEKDAY('Daily Schedule'!$B$2,2)=1,WEEKDAY('Daily Schedule'!$B$2,2)=4,WEEKDAY('Daily Schedule'!$B$2,2)=5,WEEKDAY('Daily Schedule'!$B$2,2)=7),IFERROR(1*'Daily Workforce'!$K188&gt;=3,FALSE()),IFERROR(1*'Daily Workforce'!$K188&gt;=2,FALSE())),IF(AND('Daily Schedule'!$A26&gt;=46,'Daily Schedule'!$A26&lt;=52),'Daily Workforce'!$M188="Y",IFERROR(1*'Daily Workforce'!$P188&gt;=2,FALSE()))))),1,0)</f>
        <v>0</v>
      </c>
      <c r="GR22" s="1" t="n">
        <f aca="false">IF(AND('Daily Workforce'!$N189="Y",'Daily Workforce'!$B189&lt;&gt;"",COUNTIF('Daily Schedule'!$F$5:$F25,'Daily Workforce'!$B189)=0,IF('Daily Schedule'!$A26=45,'Daily Workforce'!$J189="Y",IF(OR('Daily Schedule'!$A26=4,'Daily Schedule'!$A26=8),IF(OR(WEEKDAY('Daily Schedule'!$B$2,2)=1,WEEKDAY('Daily Schedule'!$B$2,2)=4,WEEKDAY('Daily Schedule'!$B$2,2)=5,WEEKDAY('Daily Schedule'!$B$2,2)=7),IFERROR(1*'Daily Workforce'!$K189&gt;=3,FALSE()),IFERROR(1*'Daily Workforce'!$K189&gt;=2,FALSE())),IF(AND('Daily Schedule'!$A26&gt;=46,'Daily Schedule'!$A26&lt;=52),'Daily Workforce'!$M189="Y",IFERROR(1*'Daily Workforce'!$P189&gt;=2,FALSE()))))),1,0)</f>
        <v>0</v>
      </c>
      <c r="GS22" s="1" t="n">
        <f aca="false">IF(AND('Daily Workforce'!$N190="Y",'Daily Workforce'!$B190&lt;&gt;"",COUNTIF('Daily Schedule'!$F$5:$F25,'Daily Workforce'!$B190)=0,IF('Daily Schedule'!$A26=45,'Daily Workforce'!$J190="Y",IF(OR('Daily Schedule'!$A26=4,'Daily Schedule'!$A26=8),IF(OR(WEEKDAY('Daily Schedule'!$B$2,2)=1,WEEKDAY('Daily Schedule'!$B$2,2)=4,WEEKDAY('Daily Schedule'!$B$2,2)=5,WEEKDAY('Daily Schedule'!$B$2,2)=7),IFERROR(1*'Daily Workforce'!$K190&gt;=3,FALSE()),IFERROR(1*'Daily Workforce'!$K190&gt;=2,FALSE())),IF(AND('Daily Schedule'!$A26&gt;=46,'Daily Schedule'!$A26&lt;=52),'Daily Workforce'!$M190="Y",IFERROR(1*'Daily Workforce'!$P190&gt;=2,FALSE()))))),1,0)</f>
        <v>0</v>
      </c>
      <c r="GT22" s="1" t="n">
        <f aca="false">IF(AND('Daily Workforce'!$N191="Y",'Daily Workforce'!$B191&lt;&gt;"",COUNTIF('Daily Schedule'!$F$5:$F25,'Daily Workforce'!$B191)=0,IF('Daily Schedule'!$A26=45,'Daily Workforce'!$J191="Y",IF(OR('Daily Schedule'!$A26=4,'Daily Schedule'!$A26=8),IF(OR(WEEKDAY('Daily Schedule'!$B$2,2)=1,WEEKDAY('Daily Schedule'!$B$2,2)=4,WEEKDAY('Daily Schedule'!$B$2,2)=5,WEEKDAY('Daily Schedule'!$B$2,2)=7),IFERROR(1*'Daily Workforce'!$K191&gt;=3,FALSE()),IFERROR(1*'Daily Workforce'!$K191&gt;=2,FALSE())),IF(AND('Daily Schedule'!$A26&gt;=46,'Daily Schedule'!$A26&lt;=52),'Daily Workforce'!$M191="Y",IFERROR(1*'Daily Workforce'!$P191&gt;=2,FALSE()))))),1,0)</f>
        <v>0</v>
      </c>
      <c r="GU22" s="1" t="n">
        <f aca="false">IF(AND('Daily Workforce'!$N192="Y",'Daily Workforce'!$B192&lt;&gt;"",COUNTIF('Daily Schedule'!$F$5:$F25,'Daily Workforce'!$B192)=0,IF('Daily Schedule'!$A26=45,'Daily Workforce'!$J192="Y",IF(OR('Daily Schedule'!$A26=4,'Daily Schedule'!$A26=8),IF(OR(WEEKDAY('Daily Schedule'!$B$2,2)=1,WEEKDAY('Daily Schedule'!$B$2,2)=4,WEEKDAY('Daily Schedule'!$B$2,2)=5,WEEKDAY('Daily Schedule'!$B$2,2)=7),IFERROR(1*'Daily Workforce'!$K192&gt;=3,FALSE()),IFERROR(1*'Daily Workforce'!$K192&gt;=2,FALSE())),IF(AND('Daily Schedule'!$A26&gt;=46,'Daily Schedule'!$A26&lt;=52),'Daily Workforce'!$M192="Y",IFERROR(1*'Daily Workforce'!$P192&gt;=2,FALSE()))))),1,0)</f>
        <v>0</v>
      </c>
      <c r="GV22" s="1" t="n">
        <f aca="false">IF(AND('Daily Workforce'!$N193="Y",'Daily Workforce'!$B193&lt;&gt;"",COUNTIF('Daily Schedule'!$F$5:$F25,'Daily Workforce'!$B193)=0,IF('Daily Schedule'!$A26=45,'Daily Workforce'!$J193="Y",IF(OR('Daily Schedule'!$A26=4,'Daily Schedule'!$A26=8),IF(OR(WEEKDAY('Daily Schedule'!$B$2,2)=1,WEEKDAY('Daily Schedule'!$B$2,2)=4,WEEKDAY('Daily Schedule'!$B$2,2)=5,WEEKDAY('Daily Schedule'!$B$2,2)=7),IFERROR(1*'Daily Workforce'!$K193&gt;=3,FALSE()),IFERROR(1*'Daily Workforce'!$K193&gt;=2,FALSE())),IF(AND('Daily Schedule'!$A26&gt;=46,'Daily Schedule'!$A26&lt;=52),'Daily Workforce'!$M193="Y",IFERROR(1*'Daily Workforce'!$P193&gt;=2,FALSE()))))),1,0)</f>
        <v>0</v>
      </c>
      <c r="GW22" s="1" t="n">
        <f aca="false">IF(AND('Daily Workforce'!$N194="Y",'Daily Workforce'!$B194&lt;&gt;"",COUNTIF('Daily Schedule'!$F$5:$F25,'Daily Workforce'!$B194)=0,IF('Daily Schedule'!$A26=45,'Daily Workforce'!$J194="Y",IF(OR('Daily Schedule'!$A26=4,'Daily Schedule'!$A26=8),IF(OR(WEEKDAY('Daily Schedule'!$B$2,2)=1,WEEKDAY('Daily Schedule'!$B$2,2)=4,WEEKDAY('Daily Schedule'!$B$2,2)=5,WEEKDAY('Daily Schedule'!$B$2,2)=7),IFERROR(1*'Daily Workforce'!$K194&gt;=3,FALSE()),IFERROR(1*'Daily Workforce'!$K194&gt;=2,FALSE())),IF(AND('Daily Schedule'!$A26&gt;=46,'Daily Schedule'!$A26&lt;=52),'Daily Workforce'!$M194="Y",IFERROR(1*'Daily Workforce'!$P194&gt;=2,FALSE()))))),1,0)</f>
        <v>0</v>
      </c>
      <c r="GX22" s="1" t="n">
        <f aca="false">IF(AND('Daily Workforce'!$N195="Y",'Daily Workforce'!$B195&lt;&gt;"",COUNTIF('Daily Schedule'!$F$5:$F25,'Daily Workforce'!$B195)=0,IF('Daily Schedule'!$A26=45,'Daily Workforce'!$J195="Y",IF(OR('Daily Schedule'!$A26=4,'Daily Schedule'!$A26=8),IF(OR(WEEKDAY('Daily Schedule'!$B$2,2)=1,WEEKDAY('Daily Schedule'!$B$2,2)=4,WEEKDAY('Daily Schedule'!$B$2,2)=5,WEEKDAY('Daily Schedule'!$B$2,2)=7),IFERROR(1*'Daily Workforce'!$K195&gt;=3,FALSE()),IFERROR(1*'Daily Workforce'!$K195&gt;=2,FALSE())),IF(AND('Daily Schedule'!$A26&gt;=46,'Daily Schedule'!$A26&lt;=52),'Daily Workforce'!$M195="Y",IFERROR(1*'Daily Workforce'!$P195&gt;=2,FALSE()))))),1,0)</f>
        <v>0</v>
      </c>
      <c r="GY22" s="1" t="n">
        <f aca="false">IF(AND('Daily Workforce'!$N196="Y",'Daily Workforce'!$B196&lt;&gt;"",COUNTIF('Daily Schedule'!$F$5:$F25,'Daily Workforce'!$B196)=0,IF('Daily Schedule'!$A26=45,'Daily Workforce'!$J196="Y",IF(OR('Daily Schedule'!$A26=4,'Daily Schedule'!$A26=8),IF(OR(WEEKDAY('Daily Schedule'!$B$2,2)=1,WEEKDAY('Daily Schedule'!$B$2,2)=4,WEEKDAY('Daily Schedule'!$B$2,2)=5,WEEKDAY('Daily Schedule'!$B$2,2)=7),IFERROR(1*'Daily Workforce'!$K196&gt;=3,FALSE()),IFERROR(1*'Daily Workforce'!$K196&gt;=2,FALSE())),IF(AND('Daily Schedule'!$A26&gt;=46,'Daily Schedule'!$A26&lt;=52),'Daily Workforce'!$M196="Y",IFERROR(1*'Daily Workforce'!$P196&gt;=2,FALSE()))))),1,0)</f>
        <v>0</v>
      </c>
      <c r="GZ22" s="1" t="n">
        <f aca="false">IF(AND('Daily Workforce'!$N197="Y",'Daily Workforce'!$B197&lt;&gt;"",COUNTIF('Daily Schedule'!$F$5:$F25,'Daily Workforce'!$B197)=0,IF('Daily Schedule'!$A26=45,'Daily Workforce'!$J197="Y",IF(OR('Daily Schedule'!$A26=4,'Daily Schedule'!$A26=8),IF(OR(WEEKDAY('Daily Schedule'!$B$2,2)=1,WEEKDAY('Daily Schedule'!$B$2,2)=4,WEEKDAY('Daily Schedule'!$B$2,2)=5,WEEKDAY('Daily Schedule'!$B$2,2)=7),IFERROR(1*'Daily Workforce'!$K197&gt;=3,FALSE()),IFERROR(1*'Daily Workforce'!$K197&gt;=2,FALSE())),IF(AND('Daily Schedule'!$A26&gt;=46,'Daily Schedule'!$A26&lt;=52),'Daily Workforce'!$M197="Y",IFERROR(1*'Daily Workforce'!$P197&gt;=2,FALSE()))))),1,0)</f>
        <v>0</v>
      </c>
      <c r="HA22" s="1" t="n">
        <f aca="false">IF(AND('Daily Workforce'!$N198="Y",'Daily Workforce'!$B198&lt;&gt;"",COUNTIF('Daily Schedule'!$F$5:$F25,'Daily Workforce'!$B198)=0,IF('Daily Schedule'!$A26=45,'Daily Workforce'!$J198="Y",IF(OR('Daily Schedule'!$A26=4,'Daily Schedule'!$A26=8),IF(OR(WEEKDAY('Daily Schedule'!$B$2,2)=1,WEEKDAY('Daily Schedule'!$B$2,2)=4,WEEKDAY('Daily Schedule'!$B$2,2)=5,WEEKDAY('Daily Schedule'!$B$2,2)=7),IFERROR(1*'Daily Workforce'!$K198&gt;=3,FALSE()),IFERROR(1*'Daily Workforce'!$K198&gt;=2,FALSE())),IF(AND('Daily Schedule'!$A26&gt;=46,'Daily Schedule'!$A26&lt;=52),'Daily Workforce'!$M198="Y",IFERROR(1*'Daily Workforce'!$P198&gt;=2,FALSE()))))),1,0)</f>
        <v>0</v>
      </c>
      <c r="HB22" s="1" t="n">
        <f aca="false">IF(AND('Daily Workforce'!$N199="Y",'Daily Workforce'!$B199&lt;&gt;"",COUNTIF('Daily Schedule'!$F$5:$F25,'Daily Workforce'!$B199)=0,IF('Daily Schedule'!$A26=45,'Daily Workforce'!$J199="Y",IF(OR('Daily Schedule'!$A26=4,'Daily Schedule'!$A26=8),IF(OR(WEEKDAY('Daily Schedule'!$B$2,2)=1,WEEKDAY('Daily Schedule'!$B$2,2)=4,WEEKDAY('Daily Schedule'!$B$2,2)=5,WEEKDAY('Daily Schedule'!$B$2,2)=7),IFERROR(1*'Daily Workforce'!$K199&gt;=3,FALSE()),IFERROR(1*'Daily Workforce'!$K199&gt;=2,FALSE())),IF(AND('Daily Schedule'!$A26&gt;=46,'Daily Schedule'!$A26&lt;=52),'Daily Workforce'!$M199="Y",IFERROR(1*'Daily Workforce'!$P199&gt;=2,FALSE()))))),1,0)</f>
        <v>0</v>
      </c>
      <c r="HC22" s="1" t="n">
        <f aca="false">IF(AND('Daily Workforce'!$N200="Y",'Daily Workforce'!$B200&lt;&gt;"",COUNTIF('Daily Schedule'!$F$5:$F25,'Daily Workforce'!$B200)=0,IF('Daily Schedule'!$A26=45,'Daily Workforce'!$J200="Y",IF(OR('Daily Schedule'!$A26=4,'Daily Schedule'!$A26=8),IF(OR(WEEKDAY('Daily Schedule'!$B$2,2)=1,WEEKDAY('Daily Schedule'!$B$2,2)=4,WEEKDAY('Daily Schedule'!$B$2,2)=5,WEEKDAY('Daily Schedule'!$B$2,2)=7),IFERROR(1*'Daily Workforce'!$K200&gt;=3,FALSE()),IFERROR(1*'Daily Workforce'!$K200&gt;=2,FALSE())),IF(AND('Daily Schedule'!$A26&gt;=46,'Daily Schedule'!$A26&lt;=52),'Daily Workforce'!$M200="Y",IFERROR(1*'Daily Workforce'!$P200&gt;=2,FALSE()))))),1,0)</f>
        <v>0</v>
      </c>
      <c r="HD22" s="1" t="n">
        <f aca="false">IF(AND('Daily Workforce'!$N201="Y",'Daily Workforce'!$B201&lt;&gt;"",COUNTIF('Daily Schedule'!$F$5:$F25,'Daily Workforce'!$B201)=0,IF('Daily Schedule'!$A26=45,'Daily Workforce'!$J201="Y",IF(OR('Daily Schedule'!$A26=4,'Daily Schedule'!$A26=8),IF(OR(WEEKDAY('Daily Schedule'!$B$2,2)=1,WEEKDAY('Daily Schedule'!$B$2,2)=4,WEEKDAY('Daily Schedule'!$B$2,2)=5,WEEKDAY('Daily Schedule'!$B$2,2)=7),IFERROR(1*'Daily Workforce'!$K201&gt;=3,FALSE()),IFERROR(1*'Daily Workforce'!$K201&gt;=2,FALSE())),IF(AND('Daily Schedule'!$A26&gt;=46,'Daily Schedule'!$A26&lt;=52),'Daily Workforce'!$M201="Y",IFERROR(1*'Daily Workforce'!$P201&gt;=2,FALSE()))))),1,0)</f>
        <v>0</v>
      </c>
      <c r="HE22" s="1" t="n">
        <f aca="false">IF(AND('Daily Workforce'!$N202="Y",'Daily Workforce'!$B202&lt;&gt;"",COUNTIF('Daily Schedule'!$F$5:$F25,'Daily Workforce'!$B202)=0,IF('Daily Schedule'!$A26=45,'Daily Workforce'!$J202="Y",IF(OR('Daily Schedule'!$A26=4,'Daily Schedule'!$A26=8),IF(OR(WEEKDAY('Daily Schedule'!$B$2,2)=1,WEEKDAY('Daily Schedule'!$B$2,2)=4,WEEKDAY('Daily Schedule'!$B$2,2)=5,WEEKDAY('Daily Schedule'!$B$2,2)=7),IFERROR(1*'Daily Workforce'!$K202&gt;=3,FALSE()),IFERROR(1*'Daily Workforce'!$K202&gt;=2,FALSE())),IF(AND('Daily Schedule'!$A26&gt;=46,'Daily Schedule'!$A26&lt;=52),'Daily Workforce'!$M202="Y",IFERROR(1*'Daily Workforce'!$P202&gt;=2,FALSE()))))),1,0)</f>
        <v>0</v>
      </c>
      <c r="HF22" s="1" t="n">
        <f aca="false">IF(AND('Daily Workforce'!$N203="Y",'Daily Workforce'!$B203&lt;&gt;"",COUNTIF('Daily Schedule'!$F$5:$F25,'Daily Workforce'!$B203)=0,IF('Daily Schedule'!$A26=45,'Daily Workforce'!$J203="Y",IF(OR('Daily Schedule'!$A26=4,'Daily Schedule'!$A26=8),IF(OR(WEEKDAY('Daily Schedule'!$B$2,2)=1,WEEKDAY('Daily Schedule'!$B$2,2)=4,WEEKDAY('Daily Schedule'!$B$2,2)=5,WEEKDAY('Daily Schedule'!$B$2,2)=7),IFERROR(1*'Daily Workforce'!$K203&gt;=3,FALSE()),IFERROR(1*'Daily Workforce'!$K203&gt;=2,FALSE())),IF(AND('Daily Schedule'!$A26&gt;=46,'Daily Schedule'!$A26&lt;=52),'Daily Workforce'!$M203="Y",IFERROR(1*'Daily Workforce'!$P203&gt;=2,FALSE()))))),1,0)</f>
        <v>0</v>
      </c>
      <c r="HG22" s="1" t="n">
        <f aca="false">IF(AND('Daily Workforce'!$N204="Y",'Daily Workforce'!$B204&lt;&gt;"",COUNTIF('Daily Schedule'!$F$5:$F25,'Daily Workforce'!$B204)=0,IF('Daily Schedule'!$A26=45,'Daily Workforce'!$J204="Y",IF(OR('Daily Schedule'!$A26=4,'Daily Schedule'!$A26=8),IF(OR(WEEKDAY('Daily Schedule'!$B$2,2)=1,WEEKDAY('Daily Schedule'!$B$2,2)=4,WEEKDAY('Daily Schedule'!$B$2,2)=5,WEEKDAY('Daily Schedule'!$B$2,2)=7),IFERROR(1*'Daily Workforce'!$K204&gt;=3,FALSE()),IFERROR(1*'Daily Workforce'!$K204&gt;=2,FALSE())),IF(AND('Daily Schedule'!$A26&gt;=46,'Daily Schedule'!$A26&lt;=52),'Daily Workforce'!$M204="Y",IFERROR(1*'Daily Workforce'!$P204&gt;=2,FALSE()))))),1,0)</f>
        <v>0</v>
      </c>
      <c r="HH22" s="1" t="n">
        <f aca="false">IF(AND('Daily Workforce'!$N205="Y",'Daily Workforce'!$B205&lt;&gt;"",COUNTIF('Daily Schedule'!$F$5:$F25,'Daily Workforce'!$B205)=0,IF('Daily Schedule'!$A26=45,'Daily Workforce'!$J205="Y",IF(OR('Daily Schedule'!$A26=4,'Daily Schedule'!$A26=8),IF(OR(WEEKDAY('Daily Schedule'!$B$2,2)=1,WEEKDAY('Daily Schedule'!$B$2,2)=4,WEEKDAY('Daily Schedule'!$B$2,2)=5,WEEKDAY('Daily Schedule'!$B$2,2)=7),IFERROR(1*'Daily Workforce'!$K205&gt;=3,FALSE()),IFERROR(1*'Daily Workforce'!$K205&gt;=2,FALSE())),IF(AND('Daily Schedule'!$A26&gt;=46,'Daily Schedule'!$A26&lt;=52),'Daily Workforce'!$M205="Y",IFERROR(1*'Daily Workforce'!$P205&gt;=2,FALSE()))))),1,0)</f>
        <v>0</v>
      </c>
    </row>
    <row r="23" customFormat="false" ht="15" hidden="false" customHeight="true" outlineLevel="0" collapsed="false">
      <c r="L23" s="1" t="s">
        <v>807</v>
      </c>
      <c r="O23" s="1" t="n">
        <f aca="false">IF(AND('Employee Master'!$G23="Y",ISERROR(SEARCH(TEXT('Daily Workforce'!$B$2,"ddd"),'Employee Master'!$D23)),IF('Daily Workforce'!$E$2="",TRUE(),'Employee Master'!$I23='Daily Workforce'!$E$2)),'Employee Master'!$K23*1000+ROW()-1,"")</f>
        <v>1022</v>
      </c>
      <c r="P23" s="1" t="n">
        <f aca="false">IF($O23="","",COUNTIF($O$2:$O$159,"&lt;="&amp;$O23))</f>
        <v>3</v>
      </c>
      <c r="Q23" s="1" t="n">
        <f aca="false">IF(AND('Daily Workforce'!$N6="Y",'Daily Workforce'!$B6&lt;&gt;"",COUNTIF('Daily Schedule'!$F$5:$F26,'Daily Workforce'!$B6)=0,IF('Daily Schedule'!$A27=45,'Daily Workforce'!$J6="Y",IF(OR('Daily Schedule'!$A27=4,'Daily Schedule'!$A27=8),IF(OR(WEEKDAY('Daily Schedule'!$B$2,2)=1,WEEKDAY('Daily Schedule'!$B$2,2)=4,WEEKDAY('Daily Schedule'!$B$2,2)=5,WEEKDAY('Daily Schedule'!$B$2,2)=7),IFERROR(1*'Daily Workforce'!$K6&gt;=3,FALSE()),IFERROR(1*'Daily Workforce'!$K6&gt;=2,FALSE())),IF(AND('Daily Schedule'!$A27&gt;=46,'Daily Schedule'!$A27&lt;=52),'Daily Workforce'!$M6="Y",IFERROR(1*'Daily Workforce'!$P6&gt;=2,FALSE()))))),1,0)</f>
        <v>0</v>
      </c>
      <c r="R23" s="1" t="n">
        <f aca="false">IF(AND('Daily Workforce'!$N7="Y",'Daily Workforce'!$B7&lt;&gt;"",COUNTIF('Daily Schedule'!$F$5:$F26,'Daily Workforce'!$B7)=0,IF('Daily Schedule'!$A27=45,'Daily Workforce'!$J7="Y",IF(OR('Daily Schedule'!$A27=4,'Daily Schedule'!$A27=8),IF(OR(WEEKDAY('Daily Schedule'!$B$2,2)=1,WEEKDAY('Daily Schedule'!$B$2,2)=4,WEEKDAY('Daily Schedule'!$B$2,2)=5,WEEKDAY('Daily Schedule'!$B$2,2)=7),IFERROR(1*'Daily Workforce'!$K7&gt;=3,FALSE()),IFERROR(1*'Daily Workforce'!$K7&gt;=2,FALSE())),IF(AND('Daily Schedule'!$A27&gt;=46,'Daily Schedule'!$A27&lt;=52),'Daily Workforce'!$M7="Y",IFERROR(1*'Daily Workforce'!$P7&gt;=2,FALSE()))))),1,0)</f>
        <v>0</v>
      </c>
      <c r="S23" s="1" t="n">
        <f aca="false">IF(AND('Daily Workforce'!$N8="Y",'Daily Workforce'!$B8&lt;&gt;"",COUNTIF('Daily Schedule'!$F$5:$F26,'Daily Workforce'!$B8)=0,IF('Daily Schedule'!$A27=45,'Daily Workforce'!$J8="Y",IF(OR('Daily Schedule'!$A27=4,'Daily Schedule'!$A27=8),IF(OR(WEEKDAY('Daily Schedule'!$B$2,2)=1,WEEKDAY('Daily Schedule'!$B$2,2)=4,WEEKDAY('Daily Schedule'!$B$2,2)=5,WEEKDAY('Daily Schedule'!$B$2,2)=7),IFERROR(1*'Daily Workforce'!$K8&gt;=3,FALSE()),IFERROR(1*'Daily Workforce'!$K8&gt;=2,FALSE())),IF(AND('Daily Schedule'!$A27&gt;=46,'Daily Schedule'!$A27&lt;=52),'Daily Workforce'!$M8="Y",IFERROR(1*'Daily Workforce'!$P8&gt;=2,FALSE()))))),1,0)</f>
        <v>0</v>
      </c>
      <c r="T23" s="1" t="n">
        <f aca="false">IF(AND('Daily Workforce'!$N9="Y",'Daily Workforce'!$B9&lt;&gt;"",COUNTIF('Daily Schedule'!$F$5:$F26,'Daily Workforce'!$B9)=0,IF('Daily Schedule'!$A27=45,'Daily Workforce'!$J9="Y",IF(OR('Daily Schedule'!$A27=4,'Daily Schedule'!$A27=8),IF(OR(WEEKDAY('Daily Schedule'!$B$2,2)=1,WEEKDAY('Daily Schedule'!$B$2,2)=4,WEEKDAY('Daily Schedule'!$B$2,2)=5,WEEKDAY('Daily Schedule'!$B$2,2)=7),IFERROR(1*'Daily Workforce'!$K9&gt;=3,FALSE()),IFERROR(1*'Daily Workforce'!$K9&gt;=2,FALSE())),IF(AND('Daily Schedule'!$A27&gt;=46,'Daily Schedule'!$A27&lt;=52),'Daily Workforce'!$M9="Y",IFERROR(1*'Daily Workforce'!$P9&gt;=2,FALSE()))))),1,0)</f>
        <v>0</v>
      </c>
      <c r="U23" s="1" t="n">
        <f aca="false">IF(AND('Daily Workforce'!$N10="Y",'Daily Workforce'!$B10&lt;&gt;"",COUNTIF('Daily Schedule'!$F$5:$F26,'Daily Workforce'!$B10)=0,IF('Daily Schedule'!$A27=45,'Daily Workforce'!$J10="Y",IF(OR('Daily Schedule'!$A27=4,'Daily Schedule'!$A27=8),IF(OR(WEEKDAY('Daily Schedule'!$B$2,2)=1,WEEKDAY('Daily Schedule'!$B$2,2)=4,WEEKDAY('Daily Schedule'!$B$2,2)=5,WEEKDAY('Daily Schedule'!$B$2,2)=7),IFERROR(1*'Daily Workforce'!$K10&gt;=3,FALSE()),IFERROR(1*'Daily Workforce'!$K10&gt;=2,FALSE())),IF(AND('Daily Schedule'!$A27&gt;=46,'Daily Schedule'!$A27&lt;=52),'Daily Workforce'!$M10="Y",IFERROR(1*'Daily Workforce'!$P10&gt;=2,FALSE()))))),1,0)</f>
        <v>0</v>
      </c>
      <c r="V23" s="1" t="n">
        <f aca="false">IF(AND('Daily Workforce'!$N11="Y",'Daily Workforce'!$B11&lt;&gt;"",COUNTIF('Daily Schedule'!$F$5:$F26,'Daily Workforce'!$B11)=0,IF('Daily Schedule'!$A27=45,'Daily Workforce'!$J11="Y",IF(OR('Daily Schedule'!$A27=4,'Daily Schedule'!$A27=8),IF(OR(WEEKDAY('Daily Schedule'!$B$2,2)=1,WEEKDAY('Daily Schedule'!$B$2,2)=4,WEEKDAY('Daily Schedule'!$B$2,2)=5,WEEKDAY('Daily Schedule'!$B$2,2)=7),IFERROR(1*'Daily Workforce'!$K11&gt;=3,FALSE()),IFERROR(1*'Daily Workforce'!$K11&gt;=2,FALSE())),IF(AND('Daily Schedule'!$A27&gt;=46,'Daily Schedule'!$A27&lt;=52),'Daily Workforce'!$M11="Y",IFERROR(1*'Daily Workforce'!$P11&gt;=2,FALSE()))))),1,0)</f>
        <v>0</v>
      </c>
      <c r="W23" s="1" t="n">
        <f aca="false">IF(AND('Daily Workforce'!$N12="Y",'Daily Workforce'!$B12&lt;&gt;"",COUNTIF('Daily Schedule'!$F$5:$F26,'Daily Workforce'!$B12)=0,IF('Daily Schedule'!$A27=45,'Daily Workforce'!$J12="Y",IF(OR('Daily Schedule'!$A27=4,'Daily Schedule'!$A27=8),IF(OR(WEEKDAY('Daily Schedule'!$B$2,2)=1,WEEKDAY('Daily Schedule'!$B$2,2)=4,WEEKDAY('Daily Schedule'!$B$2,2)=5,WEEKDAY('Daily Schedule'!$B$2,2)=7),IFERROR(1*'Daily Workforce'!$K12&gt;=3,FALSE()),IFERROR(1*'Daily Workforce'!$K12&gt;=2,FALSE())),IF(AND('Daily Schedule'!$A27&gt;=46,'Daily Schedule'!$A27&lt;=52),'Daily Workforce'!$M12="Y",IFERROR(1*'Daily Workforce'!$P12&gt;=2,FALSE()))))),1,0)</f>
        <v>0</v>
      </c>
      <c r="X23" s="1" t="n">
        <f aca="false">IF(AND('Daily Workforce'!$N13="Y",'Daily Workforce'!$B13&lt;&gt;"",COUNTIF('Daily Schedule'!$F$5:$F26,'Daily Workforce'!$B13)=0,IF('Daily Schedule'!$A27=45,'Daily Workforce'!$J13="Y",IF(OR('Daily Schedule'!$A27=4,'Daily Schedule'!$A27=8),IF(OR(WEEKDAY('Daily Schedule'!$B$2,2)=1,WEEKDAY('Daily Schedule'!$B$2,2)=4,WEEKDAY('Daily Schedule'!$B$2,2)=5,WEEKDAY('Daily Schedule'!$B$2,2)=7),IFERROR(1*'Daily Workforce'!$K13&gt;=3,FALSE()),IFERROR(1*'Daily Workforce'!$K13&gt;=2,FALSE())),IF(AND('Daily Schedule'!$A27&gt;=46,'Daily Schedule'!$A27&lt;=52),'Daily Workforce'!$M13="Y",IFERROR(1*'Daily Workforce'!$P13&gt;=2,FALSE()))))),1,0)</f>
        <v>0</v>
      </c>
      <c r="Y23" s="1" t="n">
        <f aca="false">IF(AND('Daily Workforce'!$N14="Y",'Daily Workforce'!$B14&lt;&gt;"",COUNTIF('Daily Schedule'!$F$5:$F26,'Daily Workforce'!$B14)=0,IF('Daily Schedule'!$A27=45,'Daily Workforce'!$J14="Y",IF(OR('Daily Schedule'!$A27=4,'Daily Schedule'!$A27=8),IF(OR(WEEKDAY('Daily Schedule'!$B$2,2)=1,WEEKDAY('Daily Schedule'!$B$2,2)=4,WEEKDAY('Daily Schedule'!$B$2,2)=5,WEEKDAY('Daily Schedule'!$B$2,2)=7),IFERROR(1*'Daily Workforce'!$K14&gt;=3,FALSE()),IFERROR(1*'Daily Workforce'!$K14&gt;=2,FALSE())),IF(AND('Daily Schedule'!$A27&gt;=46,'Daily Schedule'!$A27&lt;=52),'Daily Workforce'!$M14="Y",IFERROR(1*'Daily Workforce'!$P14&gt;=2,FALSE()))))),1,0)</f>
        <v>0</v>
      </c>
      <c r="Z23" s="1" t="n">
        <f aca="false">IF(AND('Daily Workforce'!$N15="Y",'Daily Workforce'!$B15&lt;&gt;"",COUNTIF('Daily Schedule'!$F$5:$F26,'Daily Workforce'!$B15)=0,IF('Daily Schedule'!$A27=45,'Daily Workforce'!$J15="Y",IF(OR('Daily Schedule'!$A27=4,'Daily Schedule'!$A27=8),IF(OR(WEEKDAY('Daily Schedule'!$B$2,2)=1,WEEKDAY('Daily Schedule'!$B$2,2)=4,WEEKDAY('Daily Schedule'!$B$2,2)=5,WEEKDAY('Daily Schedule'!$B$2,2)=7),IFERROR(1*'Daily Workforce'!$K15&gt;=3,FALSE()),IFERROR(1*'Daily Workforce'!$K15&gt;=2,FALSE())),IF(AND('Daily Schedule'!$A27&gt;=46,'Daily Schedule'!$A27&lt;=52),'Daily Workforce'!$M15="Y",IFERROR(1*'Daily Workforce'!$P15&gt;=2,FALSE()))))),1,0)</f>
        <v>0</v>
      </c>
      <c r="AA23" s="1" t="n">
        <f aca="false">IF(AND('Daily Workforce'!$N16="Y",'Daily Workforce'!$B16&lt;&gt;"",COUNTIF('Daily Schedule'!$F$5:$F26,'Daily Workforce'!$B16)=0,IF('Daily Schedule'!$A27=45,'Daily Workforce'!$J16="Y",IF(OR('Daily Schedule'!$A27=4,'Daily Schedule'!$A27=8),IF(OR(WEEKDAY('Daily Schedule'!$B$2,2)=1,WEEKDAY('Daily Schedule'!$B$2,2)=4,WEEKDAY('Daily Schedule'!$B$2,2)=5,WEEKDAY('Daily Schedule'!$B$2,2)=7),IFERROR(1*'Daily Workforce'!$K16&gt;=3,FALSE()),IFERROR(1*'Daily Workforce'!$K16&gt;=2,FALSE())),IF(AND('Daily Schedule'!$A27&gt;=46,'Daily Schedule'!$A27&lt;=52),'Daily Workforce'!$M16="Y",IFERROR(1*'Daily Workforce'!$P16&gt;=2,FALSE()))))),1,0)</f>
        <v>0</v>
      </c>
      <c r="AB23" s="1" t="n">
        <f aca="false">IF(AND('Daily Workforce'!$N17="Y",'Daily Workforce'!$B17&lt;&gt;"",COUNTIF('Daily Schedule'!$F$5:$F26,'Daily Workforce'!$B17)=0,IF('Daily Schedule'!$A27=45,'Daily Workforce'!$J17="Y",IF(OR('Daily Schedule'!$A27=4,'Daily Schedule'!$A27=8),IF(OR(WEEKDAY('Daily Schedule'!$B$2,2)=1,WEEKDAY('Daily Schedule'!$B$2,2)=4,WEEKDAY('Daily Schedule'!$B$2,2)=5,WEEKDAY('Daily Schedule'!$B$2,2)=7),IFERROR(1*'Daily Workforce'!$K17&gt;=3,FALSE()),IFERROR(1*'Daily Workforce'!$K17&gt;=2,FALSE())),IF(AND('Daily Schedule'!$A27&gt;=46,'Daily Schedule'!$A27&lt;=52),'Daily Workforce'!$M17="Y",IFERROR(1*'Daily Workforce'!$P17&gt;=2,FALSE()))))),1,0)</f>
        <v>0</v>
      </c>
      <c r="AC23" s="1" t="n">
        <f aca="false">IF(AND('Daily Workforce'!$N18="Y",'Daily Workforce'!$B18&lt;&gt;"",COUNTIF('Daily Schedule'!$F$5:$F26,'Daily Workforce'!$B18)=0,IF('Daily Schedule'!$A27=45,'Daily Workforce'!$J18="Y",IF(OR('Daily Schedule'!$A27=4,'Daily Schedule'!$A27=8),IF(OR(WEEKDAY('Daily Schedule'!$B$2,2)=1,WEEKDAY('Daily Schedule'!$B$2,2)=4,WEEKDAY('Daily Schedule'!$B$2,2)=5,WEEKDAY('Daily Schedule'!$B$2,2)=7),IFERROR(1*'Daily Workforce'!$K18&gt;=3,FALSE()),IFERROR(1*'Daily Workforce'!$K18&gt;=2,FALSE())),IF(AND('Daily Schedule'!$A27&gt;=46,'Daily Schedule'!$A27&lt;=52),'Daily Workforce'!$M18="Y",IFERROR(1*'Daily Workforce'!$P18&gt;=2,FALSE()))))),1,0)</f>
        <v>0</v>
      </c>
      <c r="AD23" s="1" t="n">
        <f aca="false">IF(AND('Daily Workforce'!$N19="Y",'Daily Workforce'!$B19&lt;&gt;"",COUNTIF('Daily Schedule'!$F$5:$F26,'Daily Workforce'!$B19)=0,IF('Daily Schedule'!$A27=45,'Daily Workforce'!$J19="Y",IF(OR('Daily Schedule'!$A27=4,'Daily Schedule'!$A27=8),IF(OR(WEEKDAY('Daily Schedule'!$B$2,2)=1,WEEKDAY('Daily Schedule'!$B$2,2)=4,WEEKDAY('Daily Schedule'!$B$2,2)=5,WEEKDAY('Daily Schedule'!$B$2,2)=7),IFERROR(1*'Daily Workforce'!$K19&gt;=3,FALSE()),IFERROR(1*'Daily Workforce'!$K19&gt;=2,FALSE())),IF(AND('Daily Schedule'!$A27&gt;=46,'Daily Schedule'!$A27&lt;=52),'Daily Workforce'!$M19="Y",IFERROR(1*'Daily Workforce'!$P19&gt;=2,FALSE()))))),1,0)</f>
        <v>0</v>
      </c>
      <c r="AE23" s="1" t="n">
        <f aca="false">IF(AND('Daily Workforce'!$N20="Y",'Daily Workforce'!$B20&lt;&gt;"",COUNTIF('Daily Schedule'!$F$5:$F26,'Daily Workforce'!$B20)=0,IF('Daily Schedule'!$A27=45,'Daily Workforce'!$J20="Y",IF(OR('Daily Schedule'!$A27=4,'Daily Schedule'!$A27=8),IF(OR(WEEKDAY('Daily Schedule'!$B$2,2)=1,WEEKDAY('Daily Schedule'!$B$2,2)=4,WEEKDAY('Daily Schedule'!$B$2,2)=5,WEEKDAY('Daily Schedule'!$B$2,2)=7),IFERROR(1*'Daily Workforce'!$K20&gt;=3,FALSE()),IFERROR(1*'Daily Workforce'!$K20&gt;=2,FALSE())),IF(AND('Daily Schedule'!$A27&gt;=46,'Daily Schedule'!$A27&lt;=52),'Daily Workforce'!$M20="Y",IFERROR(1*'Daily Workforce'!$P20&gt;=2,FALSE()))))),1,0)</f>
        <v>0</v>
      </c>
      <c r="AF23" s="1" t="n">
        <f aca="false">IF(AND('Daily Workforce'!$N21="Y",'Daily Workforce'!$B21&lt;&gt;"",COUNTIF('Daily Schedule'!$F$5:$F26,'Daily Workforce'!$B21)=0,IF('Daily Schedule'!$A27=45,'Daily Workforce'!$J21="Y",IF(OR('Daily Schedule'!$A27=4,'Daily Schedule'!$A27=8),IF(OR(WEEKDAY('Daily Schedule'!$B$2,2)=1,WEEKDAY('Daily Schedule'!$B$2,2)=4,WEEKDAY('Daily Schedule'!$B$2,2)=5,WEEKDAY('Daily Schedule'!$B$2,2)=7),IFERROR(1*'Daily Workforce'!$K21&gt;=3,FALSE()),IFERROR(1*'Daily Workforce'!$K21&gt;=2,FALSE())),IF(AND('Daily Schedule'!$A27&gt;=46,'Daily Schedule'!$A27&lt;=52),'Daily Workforce'!$M21="Y",IFERROR(1*'Daily Workforce'!$P21&gt;=2,FALSE()))))),1,0)</f>
        <v>0</v>
      </c>
      <c r="AG23" s="1" t="n">
        <f aca="false">IF(AND('Daily Workforce'!$N22="Y",'Daily Workforce'!$B22&lt;&gt;"",COUNTIF('Daily Schedule'!$F$5:$F26,'Daily Workforce'!$B22)=0,IF('Daily Schedule'!$A27=45,'Daily Workforce'!$J22="Y",IF(OR('Daily Schedule'!$A27=4,'Daily Schedule'!$A27=8),IF(OR(WEEKDAY('Daily Schedule'!$B$2,2)=1,WEEKDAY('Daily Schedule'!$B$2,2)=4,WEEKDAY('Daily Schedule'!$B$2,2)=5,WEEKDAY('Daily Schedule'!$B$2,2)=7),IFERROR(1*'Daily Workforce'!$K22&gt;=3,FALSE()),IFERROR(1*'Daily Workforce'!$K22&gt;=2,FALSE())),IF(AND('Daily Schedule'!$A27&gt;=46,'Daily Schedule'!$A27&lt;=52),'Daily Workforce'!$M22="Y",IFERROR(1*'Daily Workforce'!$P22&gt;=2,FALSE()))))),1,0)</f>
        <v>0</v>
      </c>
      <c r="AH23" s="1" t="n">
        <f aca="false">IF(AND('Daily Workforce'!$N23="Y",'Daily Workforce'!$B23&lt;&gt;"",COUNTIF('Daily Schedule'!$F$5:$F26,'Daily Workforce'!$B23)=0,IF('Daily Schedule'!$A27=45,'Daily Workforce'!$J23="Y",IF(OR('Daily Schedule'!$A27=4,'Daily Schedule'!$A27=8),IF(OR(WEEKDAY('Daily Schedule'!$B$2,2)=1,WEEKDAY('Daily Schedule'!$B$2,2)=4,WEEKDAY('Daily Schedule'!$B$2,2)=5,WEEKDAY('Daily Schedule'!$B$2,2)=7),IFERROR(1*'Daily Workforce'!$K23&gt;=3,FALSE()),IFERROR(1*'Daily Workforce'!$K23&gt;=2,FALSE())),IF(AND('Daily Schedule'!$A27&gt;=46,'Daily Schedule'!$A27&lt;=52),'Daily Workforce'!$M23="Y",IFERROR(1*'Daily Workforce'!$P23&gt;=2,FALSE()))))),1,0)</f>
        <v>0</v>
      </c>
      <c r="AI23" s="1" t="n">
        <f aca="false">IF(AND('Daily Workforce'!$N24="Y",'Daily Workforce'!$B24&lt;&gt;"",COUNTIF('Daily Schedule'!$F$5:$F26,'Daily Workforce'!$B24)=0,IF('Daily Schedule'!$A27=45,'Daily Workforce'!$J24="Y",IF(OR('Daily Schedule'!$A27=4,'Daily Schedule'!$A27=8),IF(OR(WEEKDAY('Daily Schedule'!$B$2,2)=1,WEEKDAY('Daily Schedule'!$B$2,2)=4,WEEKDAY('Daily Schedule'!$B$2,2)=5,WEEKDAY('Daily Schedule'!$B$2,2)=7),IFERROR(1*'Daily Workforce'!$K24&gt;=3,FALSE()),IFERROR(1*'Daily Workforce'!$K24&gt;=2,FALSE())),IF(AND('Daily Schedule'!$A27&gt;=46,'Daily Schedule'!$A27&lt;=52),'Daily Workforce'!$M24="Y",IFERROR(1*'Daily Workforce'!$P24&gt;=2,FALSE()))))),1,0)</f>
        <v>0</v>
      </c>
      <c r="AJ23" s="1" t="n">
        <f aca="false">IF(AND('Daily Workforce'!$N25="Y",'Daily Workforce'!$B25&lt;&gt;"",COUNTIF('Daily Schedule'!$F$5:$F26,'Daily Workforce'!$B25)=0,IF('Daily Schedule'!$A27=45,'Daily Workforce'!$J25="Y",IF(OR('Daily Schedule'!$A27=4,'Daily Schedule'!$A27=8),IF(OR(WEEKDAY('Daily Schedule'!$B$2,2)=1,WEEKDAY('Daily Schedule'!$B$2,2)=4,WEEKDAY('Daily Schedule'!$B$2,2)=5,WEEKDAY('Daily Schedule'!$B$2,2)=7),IFERROR(1*'Daily Workforce'!$K25&gt;=3,FALSE()),IFERROR(1*'Daily Workforce'!$K25&gt;=2,FALSE())),IF(AND('Daily Schedule'!$A27&gt;=46,'Daily Schedule'!$A27&lt;=52),'Daily Workforce'!$M25="Y",IFERROR(1*'Daily Workforce'!$P25&gt;=2,FALSE()))))),1,0)</f>
        <v>0</v>
      </c>
      <c r="AK23" s="1" t="n">
        <f aca="false">IF(AND('Daily Workforce'!$N26="Y",'Daily Workforce'!$B26&lt;&gt;"",COUNTIF('Daily Schedule'!$F$5:$F26,'Daily Workforce'!$B26)=0,IF('Daily Schedule'!$A27=45,'Daily Workforce'!$J26="Y",IF(OR('Daily Schedule'!$A27=4,'Daily Schedule'!$A27=8),IF(OR(WEEKDAY('Daily Schedule'!$B$2,2)=1,WEEKDAY('Daily Schedule'!$B$2,2)=4,WEEKDAY('Daily Schedule'!$B$2,2)=5,WEEKDAY('Daily Schedule'!$B$2,2)=7),IFERROR(1*'Daily Workforce'!$K26&gt;=3,FALSE()),IFERROR(1*'Daily Workforce'!$K26&gt;=2,FALSE())),IF(AND('Daily Schedule'!$A27&gt;=46,'Daily Schedule'!$A27&lt;=52),'Daily Workforce'!$M26="Y",IFERROR(1*'Daily Workforce'!$P26&gt;=2,FALSE()))))),1,0)</f>
        <v>1</v>
      </c>
      <c r="AL23" s="1" t="n">
        <f aca="false">IF(AND('Daily Workforce'!$N27="Y",'Daily Workforce'!$B27&lt;&gt;"",COUNTIF('Daily Schedule'!$F$5:$F26,'Daily Workforce'!$B27)=0,IF('Daily Schedule'!$A27=45,'Daily Workforce'!$J27="Y",IF(OR('Daily Schedule'!$A27=4,'Daily Schedule'!$A27=8),IF(OR(WEEKDAY('Daily Schedule'!$B$2,2)=1,WEEKDAY('Daily Schedule'!$B$2,2)=4,WEEKDAY('Daily Schedule'!$B$2,2)=5,WEEKDAY('Daily Schedule'!$B$2,2)=7),IFERROR(1*'Daily Workforce'!$K27&gt;=3,FALSE()),IFERROR(1*'Daily Workforce'!$K27&gt;=2,FALSE())),IF(AND('Daily Schedule'!$A27&gt;=46,'Daily Schedule'!$A27&lt;=52),'Daily Workforce'!$M27="Y",IFERROR(1*'Daily Workforce'!$P27&gt;=2,FALSE()))))),1,0)</f>
        <v>0</v>
      </c>
      <c r="AM23" s="1" t="n">
        <f aca="false">IF(AND('Daily Workforce'!$N28="Y",'Daily Workforce'!$B28&lt;&gt;"",COUNTIF('Daily Schedule'!$F$5:$F26,'Daily Workforce'!$B28)=0,IF('Daily Schedule'!$A27=45,'Daily Workforce'!$J28="Y",IF(OR('Daily Schedule'!$A27=4,'Daily Schedule'!$A27=8),IF(OR(WEEKDAY('Daily Schedule'!$B$2,2)=1,WEEKDAY('Daily Schedule'!$B$2,2)=4,WEEKDAY('Daily Schedule'!$B$2,2)=5,WEEKDAY('Daily Schedule'!$B$2,2)=7),IFERROR(1*'Daily Workforce'!$K28&gt;=3,FALSE()),IFERROR(1*'Daily Workforce'!$K28&gt;=2,FALSE())),IF(AND('Daily Schedule'!$A27&gt;=46,'Daily Schedule'!$A27&lt;=52),'Daily Workforce'!$M28="Y",IFERROR(1*'Daily Workforce'!$P28&gt;=2,FALSE()))))),1,0)</f>
        <v>1</v>
      </c>
      <c r="AN23" s="1" t="n">
        <f aca="false">IF(AND('Daily Workforce'!$N29="Y",'Daily Workforce'!$B29&lt;&gt;"",COUNTIF('Daily Schedule'!$F$5:$F26,'Daily Workforce'!$B29)=0,IF('Daily Schedule'!$A27=45,'Daily Workforce'!$J29="Y",IF(OR('Daily Schedule'!$A27=4,'Daily Schedule'!$A27=8),IF(OR(WEEKDAY('Daily Schedule'!$B$2,2)=1,WEEKDAY('Daily Schedule'!$B$2,2)=4,WEEKDAY('Daily Schedule'!$B$2,2)=5,WEEKDAY('Daily Schedule'!$B$2,2)=7),IFERROR(1*'Daily Workforce'!$K29&gt;=3,FALSE()),IFERROR(1*'Daily Workforce'!$K29&gt;=2,FALSE())),IF(AND('Daily Schedule'!$A27&gt;=46,'Daily Schedule'!$A27&lt;=52),'Daily Workforce'!$M29="Y",IFERROR(1*'Daily Workforce'!$P29&gt;=2,FALSE()))))),1,0)</f>
        <v>1</v>
      </c>
      <c r="AO23" s="1" t="n">
        <f aca="false">IF(AND('Daily Workforce'!$N30="Y",'Daily Workforce'!$B30&lt;&gt;"",COUNTIF('Daily Schedule'!$F$5:$F26,'Daily Workforce'!$B30)=0,IF('Daily Schedule'!$A27=45,'Daily Workforce'!$J30="Y",IF(OR('Daily Schedule'!$A27=4,'Daily Schedule'!$A27=8),IF(OR(WEEKDAY('Daily Schedule'!$B$2,2)=1,WEEKDAY('Daily Schedule'!$B$2,2)=4,WEEKDAY('Daily Schedule'!$B$2,2)=5,WEEKDAY('Daily Schedule'!$B$2,2)=7),IFERROR(1*'Daily Workforce'!$K30&gt;=3,FALSE()),IFERROR(1*'Daily Workforce'!$K30&gt;=2,FALSE())),IF(AND('Daily Schedule'!$A27&gt;=46,'Daily Schedule'!$A27&lt;=52),'Daily Workforce'!$M30="Y",IFERROR(1*'Daily Workforce'!$P30&gt;=2,FALSE()))))),1,0)</f>
        <v>1</v>
      </c>
      <c r="AP23" s="1" t="n">
        <f aca="false">IF(AND('Daily Workforce'!$N31="Y",'Daily Workforce'!$B31&lt;&gt;"",COUNTIF('Daily Schedule'!$F$5:$F26,'Daily Workforce'!$B31)=0,IF('Daily Schedule'!$A27=45,'Daily Workforce'!$J31="Y",IF(OR('Daily Schedule'!$A27=4,'Daily Schedule'!$A27=8),IF(OR(WEEKDAY('Daily Schedule'!$B$2,2)=1,WEEKDAY('Daily Schedule'!$B$2,2)=4,WEEKDAY('Daily Schedule'!$B$2,2)=5,WEEKDAY('Daily Schedule'!$B$2,2)=7),IFERROR(1*'Daily Workforce'!$K31&gt;=3,FALSE()),IFERROR(1*'Daily Workforce'!$K31&gt;=2,FALSE())),IF(AND('Daily Schedule'!$A27&gt;=46,'Daily Schedule'!$A27&lt;=52),'Daily Workforce'!$M31="Y",IFERROR(1*'Daily Workforce'!$P31&gt;=2,FALSE()))))),1,0)</f>
        <v>1</v>
      </c>
      <c r="AQ23" s="1" t="n">
        <f aca="false">IF(AND('Daily Workforce'!$N32="Y",'Daily Workforce'!$B32&lt;&gt;"",COUNTIF('Daily Schedule'!$F$5:$F26,'Daily Workforce'!$B32)=0,IF('Daily Schedule'!$A27=45,'Daily Workforce'!$J32="Y",IF(OR('Daily Schedule'!$A27=4,'Daily Schedule'!$A27=8),IF(OR(WEEKDAY('Daily Schedule'!$B$2,2)=1,WEEKDAY('Daily Schedule'!$B$2,2)=4,WEEKDAY('Daily Schedule'!$B$2,2)=5,WEEKDAY('Daily Schedule'!$B$2,2)=7),IFERROR(1*'Daily Workforce'!$K32&gt;=3,FALSE()),IFERROR(1*'Daily Workforce'!$K32&gt;=2,FALSE())),IF(AND('Daily Schedule'!$A27&gt;=46,'Daily Schedule'!$A27&lt;=52),'Daily Workforce'!$M32="Y",IFERROR(1*'Daily Workforce'!$P32&gt;=2,FALSE()))))),1,0)</f>
        <v>1</v>
      </c>
      <c r="AR23" s="1" t="n">
        <f aca="false">IF(AND('Daily Workforce'!$N33="Y",'Daily Workforce'!$B33&lt;&gt;"",COUNTIF('Daily Schedule'!$F$5:$F26,'Daily Workforce'!$B33)=0,IF('Daily Schedule'!$A27=45,'Daily Workforce'!$J33="Y",IF(OR('Daily Schedule'!$A27=4,'Daily Schedule'!$A27=8),IF(OR(WEEKDAY('Daily Schedule'!$B$2,2)=1,WEEKDAY('Daily Schedule'!$B$2,2)=4,WEEKDAY('Daily Schedule'!$B$2,2)=5,WEEKDAY('Daily Schedule'!$B$2,2)=7),IFERROR(1*'Daily Workforce'!$K33&gt;=3,FALSE()),IFERROR(1*'Daily Workforce'!$K33&gt;=2,FALSE())),IF(AND('Daily Schedule'!$A27&gt;=46,'Daily Schedule'!$A27&lt;=52),'Daily Workforce'!$M33="Y",IFERROR(1*'Daily Workforce'!$P33&gt;=2,FALSE()))))),1,0)</f>
        <v>1</v>
      </c>
      <c r="AS23" s="1" t="n">
        <f aca="false">IF(AND('Daily Workforce'!$N34="Y",'Daily Workforce'!$B34&lt;&gt;"",COUNTIF('Daily Schedule'!$F$5:$F26,'Daily Workforce'!$B34)=0,IF('Daily Schedule'!$A27=45,'Daily Workforce'!$J34="Y",IF(OR('Daily Schedule'!$A27=4,'Daily Schedule'!$A27=8),IF(OR(WEEKDAY('Daily Schedule'!$B$2,2)=1,WEEKDAY('Daily Schedule'!$B$2,2)=4,WEEKDAY('Daily Schedule'!$B$2,2)=5,WEEKDAY('Daily Schedule'!$B$2,2)=7),IFERROR(1*'Daily Workforce'!$K34&gt;=3,FALSE()),IFERROR(1*'Daily Workforce'!$K34&gt;=2,FALSE())),IF(AND('Daily Schedule'!$A27&gt;=46,'Daily Schedule'!$A27&lt;=52),'Daily Workforce'!$M34="Y",IFERROR(1*'Daily Workforce'!$P34&gt;=2,FALSE()))))),1,0)</f>
        <v>1</v>
      </c>
      <c r="AT23" s="1" t="n">
        <f aca="false">IF(AND('Daily Workforce'!$N35="Y",'Daily Workforce'!$B35&lt;&gt;"",COUNTIF('Daily Schedule'!$F$5:$F26,'Daily Workforce'!$B35)=0,IF('Daily Schedule'!$A27=45,'Daily Workforce'!$J35="Y",IF(OR('Daily Schedule'!$A27=4,'Daily Schedule'!$A27=8),IF(OR(WEEKDAY('Daily Schedule'!$B$2,2)=1,WEEKDAY('Daily Schedule'!$B$2,2)=4,WEEKDAY('Daily Schedule'!$B$2,2)=5,WEEKDAY('Daily Schedule'!$B$2,2)=7),IFERROR(1*'Daily Workforce'!$K35&gt;=3,FALSE()),IFERROR(1*'Daily Workforce'!$K35&gt;=2,FALSE())),IF(AND('Daily Schedule'!$A27&gt;=46,'Daily Schedule'!$A27&lt;=52),'Daily Workforce'!$M35="Y",IFERROR(1*'Daily Workforce'!$P35&gt;=2,FALSE()))))),1,0)</f>
        <v>1</v>
      </c>
      <c r="AU23" s="1" t="n">
        <f aca="false">IF(AND('Daily Workforce'!$N36="Y",'Daily Workforce'!$B36&lt;&gt;"",COUNTIF('Daily Schedule'!$F$5:$F26,'Daily Workforce'!$B36)=0,IF('Daily Schedule'!$A27=45,'Daily Workforce'!$J36="Y",IF(OR('Daily Schedule'!$A27=4,'Daily Schedule'!$A27=8),IF(OR(WEEKDAY('Daily Schedule'!$B$2,2)=1,WEEKDAY('Daily Schedule'!$B$2,2)=4,WEEKDAY('Daily Schedule'!$B$2,2)=5,WEEKDAY('Daily Schedule'!$B$2,2)=7),IFERROR(1*'Daily Workforce'!$K36&gt;=3,FALSE()),IFERROR(1*'Daily Workforce'!$K36&gt;=2,FALSE())),IF(AND('Daily Schedule'!$A27&gt;=46,'Daily Schedule'!$A27&lt;=52),'Daily Workforce'!$M36="Y",IFERROR(1*'Daily Workforce'!$P36&gt;=2,FALSE()))))),1,0)</f>
        <v>1</v>
      </c>
      <c r="AV23" s="1" t="n">
        <f aca="false">IF(AND('Daily Workforce'!$N37="Y",'Daily Workforce'!$B37&lt;&gt;"",COUNTIF('Daily Schedule'!$F$5:$F26,'Daily Workforce'!$B37)=0,IF('Daily Schedule'!$A27=45,'Daily Workforce'!$J37="Y",IF(OR('Daily Schedule'!$A27=4,'Daily Schedule'!$A27=8),IF(OR(WEEKDAY('Daily Schedule'!$B$2,2)=1,WEEKDAY('Daily Schedule'!$B$2,2)=4,WEEKDAY('Daily Schedule'!$B$2,2)=5,WEEKDAY('Daily Schedule'!$B$2,2)=7),IFERROR(1*'Daily Workforce'!$K37&gt;=3,FALSE()),IFERROR(1*'Daily Workforce'!$K37&gt;=2,FALSE())),IF(AND('Daily Schedule'!$A27&gt;=46,'Daily Schedule'!$A27&lt;=52),'Daily Workforce'!$M37="Y",IFERROR(1*'Daily Workforce'!$P37&gt;=2,FALSE()))))),1,0)</f>
        <v>1</v>
      </c>
      <c r="AW23" s="1" t="n">
        <f aca="false">IF(AND('Daily Workforce'!$N38="Y",'Daily Workforce'!$B38&lt;&gt;"",COUNTIF('Daily Schedule'!$F$5:$F26,'Daily Workforce'!$B38)=0,IF('Daily Schedule'!$A27=45,'Daily Workforce'!$J38="Y",IF(OR('Daily Schedule'!$A27=4,'Daily Schedule'!$A27=8),IF(OR(WEEKDAY('Daily Schedule'!$B$2,2)=1,WEEKDAY('Daily Schedule'!$B$2,2)=4,WEEKDAY('Daily Schedule'!$B$2,2)=5,WEEKDAY('Daily Schedule'!$B$2,2)=7),IFERROR(1*'Daily Workforce'!$K38&gt;=3,FALSE()),IFERROR(1*'Daily Workforce'!$K38&gt;=2,FALSE())),IF(AND('Daily Schedule'!$A27&gt;=46,'Daily Schedule'!$A27&lt;=52),'Daily Workforce'!$M38="Y",IFERROR(1*'Daily Workforce'!$P38&gt;=2,FALSE()))))),1,0)</f>
        <v>1</v>
      </c>
      <c r="AX23" s="1" t="n">
        <f aca="false">IF(AND('Daily Workforce'!$N39="Y",'Daily Workforce'!$B39&lt;&gt;"",COUNTIF('Daily Schedule'!$F$5:$F26,'Daily Workforce'!$B39)=0,IF('Daily Schedule'!$A27=45,'Daily Workforce'!$J39="Y",IF(OR('Daily Schedule'!$A27=4,'Daily Schedule'!$A27=8),IF(OR(WEEKDAY('Daily Schedule'!$B$2,2)=1,WEEKDAY('Daily Schedule'!$B$2,2)=4,WEEKDAY('Daily Schedule'!$B$2,2)=5,WEEKDAY('Daily Schedule'!$B$2,2)=7),IFERROR(1*'Daily Workforce'!$K39&gt;=3,FALSE()),IFERROR(1*'Daily Workforce'!$K39&gt;=2,FALSE())),IF(AND('Daily Schedule'!$A27&gt;=46,'Daily Schedule'!$A27&lt;=52),'Daily Workforce'!$M39="Y",IFERROR(1*'Daily Workforce'!$P39&gt;=2,FALSE()))))),1,0)</f>
        <v>1</v>
      </c>
      <c r="AY23" s="1" t="n">
        <f aca="false">IF(AND('Daily Workforce'!$N40="Y",'Daily Workforce'!$B40&lt;&gt;"",COUNTIF('Daily Schedule'!$F$5:$F26,'Daily Workforce'!$B40)=0,IF('Daily Schedule'!$A27=45,'Daily Workforce'!$J40="Y",IF(OR('Daily Schedule'!$A27=4,'Daily Schedule'!$A27=8),IF(OR(WEEKDAY('Daily Schedule'!$B$2,2)=1,WEEKDAY('Daily Schedule'!$B$2,2)=4,WEEKDAY('Daily Schedule'!$B$2,2)=5,WEEKDAY('Daily Schedule'!$B$2,2)=7),IFERROR(1*'Daily Workforce'!$K40&gt;=3,FALSE()),IFERROR(1*'Daily Workforce'!$K40&gt;=2,FALSE())),IF(AND('Daily Schedule'!$A27&gt;=46,'Daily Schedule'!$A27&lt;=52),'Daily Workforce'!$M40="Y",IFERROR(1*'Daily Workforce'!$P40&gt;=2,FALSE()))))),1,0)</f>
        <v>1</v>
      </c>
      <c r="AZ23" s="1" t="n">
        <f aca="false">IF(AND('Daily Workforce'!$N41="Y",'Daily Workforce'!$B41&lt;&gt;"",COUNTIF('Daily Schedule'!$F$5:$F26,'Daily Workforce'!$B41)=0,IF('Daily Schedule'!$A27=45,'Daily Workforce'!$J41="Y",IF(OR('Daily Schedule'!$A27=4,'Daily Schedule'!$A27=8),IF(OR(WEEKDAY('Daily Schedule'!$B$2,2)=1,WEEKDAY('Daily Schedule'!$B$2,2)=4,WEEKDAY('Daily Schedule'!$B$2,2)=5,WEEKDAY('Daily Schedule'!$B$2,2)=7),IFERROR(1*'Daily Workforce'!$K41&gt;=3,FALSE()),IFERROR(1*'Daily Workforce'!$K41&gt;=2,FALSE())),IF(AND('Daily Schedule'!$A27&gt;=46,'Daily Schedule'!$A27&lt;=52),'Daily Workforce'!$M41="Y",IFERROR(1*'Daily Workforce'!$P41&gt;=2,FALSE()))))),1,0)</f>
        <v>1</v>
      </c>
      <c r="BA23" s="1" t="n">
        <f aca="false">IF(AND('Daily Workforce'!$N42="Y",'Daily Workforce'!$B42&lt;&gt;"",COUNTIF('Daily Schedule'!$F$5:$F26,'Daily Workforce'!$B42)=0,IF('Daily Schedule'!$A27=45,'Daily Workforce'!$J42="Y",IF(OR('Daily Schedule'!$A27=4,'Daily Schedule'!$A27=8),IF(OR(WEEKDAY('Daily Schedule'!$B$2,2)=1,WEEKDAY('Daily Schedule'!$B$2,2)=4,WEEKDAY('Daily Schedule'!$B$2,2)=5,WEEKDAY('Daily Schedule'!$B$2,2)=7),IFERROR(1*'Daily Workforce'!$K42&gt;=3,FALSE()),IFERROR(1*'Daily Workforce'!$K42&gt;=2,FALSE())),IF(AND('Daily Schedule'!$A27&gt;=46,'Daily Schedule'!$A27&lt;=52),'Daily Workforce'!$M42="Y",IFERROR(1*'Daily Workforce'!$P42&gt;=2,FALSE()))))),1,0)</f>
        <v>1</v>
      </c>
      <c r="BB23" s="1" t="n">
        <f aca="false">IF(AND('Daily Workforce'!$N43="Y",'Daily Workforce'!$B43&lt;&gt;"",COUNTIF('Daily Schedule'!$F$5:$F26,'Daily Workforce'!$B43)=0,IF('Daily Schedule'!$A27=45,'Daily Workforce'!$J43="Y",IF(OR('Daily Schedule'!$A27=4,'Daily Schedule'!$A27=8),IF(OR(WEEKDAY('Daily Schedule'!$B$2,2)=1,WEEKDAY('Daily Schedule'!$B$2,2)=4,WEEKDAY('Daily Schedule'!$B$2,2)=5,WEEKDAY('Daily Schedule'!$B$2,2)=7),IFERROR(1*'Daily Workforce'!$K43&gt;=3,FALSE()),IFERROR(1*'Daily Workforce'!$K43&gt;=2,FALSE())),IF(AND('Daily Schedule'!$A27&gt;=46,'Daily Schedule'!$A27&lt;=52),'Daily Workforce'!$M43="Y",IFERROR(1*'Daily Workforce'!$P43&gt;=2,FALSE()))))),1,0)</f>
        <v>1</v>
      </c>
      <c r="BC23" s="1" t="n">
        <f aca="false">IF(AND('Daily Workforce'!$N44="Y",'Daily Workforce'!$B44&lt;&gt;"",COUNTIF('Daily Schedule'!$F$5:$F26,'Daily Workforce'!$B44)=0,IF('Daily Schedule'!$A27=45,'Daily Workforce'!$J44="Y",IF(OR('Daily Schedule'!$A27=4,'Daily Schedule'!$A27=8),IF(OR(WEEKDAY('Daily Schedule'!$B$2,2)=1,WEEKDAY('Daily Schedule'!$B$2,2)=4,WEEKDAY('Daily Schedule'!$B$2,2)=5,WEEKDAY('Daily Schedule'!$B$2,2)=7),IFERROR(1*'Daily Workforce'!$K44&gt;=3,FALSE()),IFERROR(1*'Daily Workforce'!$K44&gt;=2,FALSE())),IF(AND('Daily Schedule'!$A27&gt;=46,'Daily Schedule'!$A27&lt;=52),'Daily Workforce'!$M44="Y",IFERROR(1*'Daily Workforce'!$P44&gt;=2,FALSE()))))),1,0)</f>
        <v>1</v>
      </c>
      <c r="BD23" s="1" t="n">
        <f aca="false">IF(AND('Daily Workforce'!$N45="Y",'Daily Workforce'!$B45&lt;&gt;"",COUNTIF('Daily Schedule'!$F$5:$F26,'Daily Workforce'!$B45)=0,IF('Daily Schedule'!$A27=45,'Daily Workforce'!$J45="Y",IF(OR('Daily Schedule'!$A27=4,'Daily Schedule'!$A27=8),IF(OR(WEEKDAY('Daily Schedule'!$B$2,2)=1,WEEKDAY('Daily Schedule'!$B$2,2)=4,WEEKDAY('Daily Schedule'!$B$2,2)=5,WEEKDAY('Daily Schedule'!$B$2,2)=7),IFERROR(1*'Daily Workforce'!$K45&gt;=3,FALSE()),IFERROR(1*'Daily Workforce'!$K45&gt;=2,FALSE())),IF(AND('Daily Schedule'!$A27&gt;=46,'Daily Schedule'!$A27&lt;=52),'Daily Workforce'!$M45="Y",IFERROR(1*'Daily Workforce'!$P45&gt;=2,FALSE()))))),1,0)</f>
        <v>1</v>
      </c>
      <c r="BE23" s="1" t="n">
        <f aca="false">IF(AND('Daily Workforce'!$N46="Y",'Daily Workforce'!$B46&lt;&gt;"",COUNTIF('Daily Schedule'!$F$5:$F26,'Daily Workforce'!$B46)=0,IF('Daily Schedule'!$A27=45,'Daily Workforce'!$J46="Y",IF(OR('Daily Schedule'!$A27=4,'Daily Schedule'!$A27=8),IF(OR(WEEKDAY('Daily Schedule'!$B$2,2)=1,WEEKDAY('Daily Schedule'!$B$2,2)=4,WEEKDAY('Daily Schedule'!$B$2,2)=5,WEEKDAY('Daily Schedule'!$B$2,2)=7),IFERROR(1*'Daily Workforce'!$K46&gt;=3,FALSE()),IFERROR(1*'Daily Workforce'!$K46&gt;=2,FALSE())),IF(AND('Daily Schedule'!$A27&gt;=46,'Daily Schedule'!$A27&lt;=52),'Daily Workforce'!$M46="Y",IFERROR(1*'Daily Workforce'!$P46&gt;=2,FALSE()))))),1,0)</f>
        <v>1</v>
      </c>
      <c r="BF23" s="1" t="n">
        <f aca="false">IF(AND('Daily Workforce'!$N47="Y",'Daily Workforce'!$B47&lt;&gt;"",COUNTIF('Daily Schedule'!$F$5:$F26,'Daily Workforce'!$B47)=0,IF('Daily Schedule'!$A27=45,'Daily Workforce'!$J47="Y",IF(OR('Daily Schedule'!$A27=4,'Daily Schedule'!$A27=8),IF(OR(WEEKDAY('Daily Schedule'!$B$2,2)=1,WEEKDAY('Daily Schedule'!$B$2,2)=4,WEEKDAY('Daily Schedule'!$B$2,2)=5,WEEKDAY('Daily Schedule'!$B$2,2)=7),IFERROR(1*'Daily Workforce'!$K47&gt;=3,FALSE()),IFERROR(1*'Daily Workforce'!$K47&gt;=2,FALSE())),IF(AND('Daily Schedule'!$A27&gt;=46,'Daily Schedule'!$A27&lt;=52),'Daily Workforce'!$M47="Y",IFERROR(1*'Daily Workforce'!$P47&gt;=2,FALSE()))))),1,0)</f>
        <v>0</v>
      </c>
      <c r="BG23" s="1" t="n">
        <f aca="false">IF(AND('Daily Workforce'!$N48="Y",'Daily Workforce'!$B48&lt;&gt;"",COUNTIF('Daily Schedule'!$F$5:$F26,'Daily Workforce'!$B48)=0,IF('Daily Schedule'!$A27=45,'Daily Workforce'!$J48="Y",IF(OR('Daily Schedule'!$A27=4,'Daily Schedule'!$A27=8),IF(OR(WEEKDAY('Daily Schedule'!$B$2,2)=1,WEEKDAY('Daily Schedule'!$B$2,2)=4,WEEKDAY('Daily Schedule'!$B$2,2)=5,WEEKDAY('Daily Schedule'!$B$2,2)=7),IFERROR(1*'Daily Workforce'!$K48&gt;=3,FALSE()),IFERROR(1*'Daily Workforce'!$K48&gt;=2,FALSE())),IF(AND('Daily Schedule'!$A27&gt;=46,'Daily Schedule'!$A27&lt;=52),'Daily Workforce'!$M48="Y",IFERROR(1*'Daily Workforce'!$P48&gt;=2,FALSE()))))),1,0)</f>
        <v>1</v>
      </c>
      <c r="BH23" s="1" t="n">
        <f aca="false">IF(AND('Daily Workforce'!$N49="Y",'Daily Workforce'!$B49&lt;&gt;"",COUNTIF('Daily Schedule'!$F$5:$F26,'Daily Workforce'!$B49)=0,IF('Daily Schedule'!$A27=45,'Daily Workforce'!$J49="Y",IF(OR('Daily Schedule'!$A27=4,'Daily Schedule'!$A27=8),IF(OR(WEEKDAY('Daily Schedule'!$B$2,2)=1,WEEKDAY('Daily Schedule'!$B$2,2)=4,WEEKDAY('Daily Schedule'!$B$2,2)=5,WEEKDAY('Daily Schedule'!$B$2,2)=7),IFERROR(1*'Daily Workforce'!$K49&gt;=3,FALSE()),IFERROR(1*'Daily Workforce'!$K49&gt;=2,FALSE())),IF(AND('Daily Schedule'!$A27&gt;=46,'Daily Schedule'!$A27&lt;=52),'Daily Workforce'!$M49="Y",IFERROR(1*'Daily Workforce'!$P49&gt;=2,FALSE()))))),1,0)</f>
        <v>1</v>
      </c>
      <c r="BI23" s="1" t="n">
        <f aca="false">IF(AND('Daily Workforce'!$N50="Y",'Daily Workforce'!$B50&lt;&gt;"",COUNTIF('Daily Schedule'!$F$5:$F26,'Daily Workforce'!$B50)=0,IF('Daily Schedule'!$A27=45,'Daily Workforce'!$J50="Y",IF(OR('Daily Schedule'!$A27=4,'Daily Schedule'!$A27=8),IF(OR(WEEKDAY('Daily Schedule'!$B$2,2)=1,WEEKDAY('Daily Schedule'!$B$2,2)=4,WEEKDAY('Daily Schedule'!$B$2,2)=5,WEEKDAY('Daily Schedule'!$B$2,2)=7),IFERROR(1*'Daily Workforce'!$K50&gt;=3,FALSE()),IFERROR(1*'Daily Workforce'!$K50&gt;=2,FALSE())),IF(AND('Daily Schedule'!$A27&gt;=46,'Daily Schedule'!$A27&lt;=52),'Daily Workforce'!$M50="Y",IFERROR(1*'Daily Workforce'!$P50&gt;=2,FALSE()))))),1,0)</f>
        <v>0</v>
      </c>
      <c r="BJ23" s="1" t="n">
        <f aca="false">IF(AND('Daily Workforce'!$N51="Y",'Daily Workforce'!$B51&lt;&gt;"",COUNTIF('Daily Schedule'!$F$5:$F26,'Daily Workforce'!$B51)=0,IF('Daily Schedule'!$A27=45,'Daily Workforce'!$J51="Y",IF(OR('Daily Schedule'!$A27=4,'Daily Schedule'!$A27=8),IF(OR(WEEKDAY('Daily Schedule'!$B$2,2)=1,WEEKDAY('Daily Schedule'!$B$2,2)=4,WEEKDAY('Daily Schedule'!$B$2,2)=5,WEEKDAY('Daily Schedule'!$B$2,2)=7),IFERROR(1*'Daily Workforce'!$K51&gt;=3,FALSE()),IFERROR(1*'Daily Workforce'!$K51&gt;=2,FALSE())),IF(AND('Daily Schedule'!$A27&gt;=46,'Daily Schedule'!$A27&lt;=52),'Daily Workforce'!$M51="Y",IFERROR(1*'Daily Workforce'!$P51&gt;=2,FALSE()))))),1,0)</f>
        <v>1</v>
      </c>
      <c r="BK23" s="1" t="n">
        <f aca="false">IF(AND('Daily Workforce'!$N52="Y",'Daily Workforce'!$B52&lt;&gt;"",COUNTIF('Daily Schedule'!$F$5:$F26,'Daily Workforce'!$B52)=0,IF('Daily Schedule'!$A27=45,'Daily Workforce'!$J52="Y",IF(OR('Daily Schedule'!$A27=4,'Daily Schedule'!$A27=8),IF(OR(WEEKDAY('Daily Schedule'!$B$2,2)=1,WEEKDAY('Daily Schedule'!$B$2,2)=4,WEEKDAY('Daily Schedule'!$B$2,2)=5,WEEKDAY('Daily Schedule'!$B$2,2)=7),IFERROR(1*'Daily Workforce'!$K52&gt;=3,FALSE()),IFERROR(1*'Daily Workforce'!$K52&gt;=2,FALSE())),IF(AND('Daily Schedule'!$A27&gt;=46,'Daily Schedule'!$A27&lt;=52),'Daily Workforce'!$M52="Y",IFERROR(1*'Daily Workforce'!$P52&gt;=2,FALSE()))))),1,0)</f>
        <v>1</v>
      </c>
      <c r="BL23" s="1" t="n">
        <f aca="false">IF(AND('Daily Workforce'!$N53="Y",'Daily Workforce'!$B53&lt;&gt;"",COUNTIF('Daily Schedule'!$F$5:$F26,'Daily Workforce'!$B53)=0,IF('Daily Schedule'!$A27=45,'Daily Workforce'!$J53="Y",IF(OR('Daily Schedule'!$A27=4,'Daily Schedule'!$A27=8),IF(OR(WEEKDAY('Daily Schedule'!$B$2,2)=1,WEEKDAY('Daily Schedule'!$B$2,2)=4,WEEKDAY('Daily Schedule'!$B$2,2)=5,WEEKDAY('Daily Schedule'!$B$2,2)=7),IFERROR(1*'Daily Workforce'!$K53&gt;=3,FALSE()),IFERROR(1*'Daily Workforce'!$K53&gt;=2,FALSE())),IF(AND('Daily Schedule'!$A27&gt;=46,'Daily Schedule'!$A27&lt;=52),'Daily Workforce'!$M53="Y",IFERROR(1*'Daily Workforce'!$P53&gt;=2,FALSE()))))),1,0)</f>
        <v>1</v>
      </c>
      <c r="BM23" s="1" t="n">
        <f aca="false">IF(AND('Daily Workforce'!$N54="Y",'Daily Workforce'!$B54&lt;&gt;"",COUNTIF('Daily Schedule'!$F$5:$F26,'Daily Workforce'!$B54)=0,IF('Daily Schedule'!$A27=45,'Daily Workforce'!$J54="Y",IF(OR('Daily Schedule'!$A27=4,'Daily Schedule'!$A27=8),IF(OR(WEEKDAY('Daily Schedule'!$B$2,2)=1,WEEKDAY('Daily Schedule'!$B$2,2)=4,WEEKDAY('Daily Schedule'!$B$2,2)=5,WEEKDAY('Daily Schedule'!$B$2,2)=7),IFERROR(1*'Daily Workforce'!$K54&gt;=3,FALSE()),IFERROR(1*'Daily Workforce'!$K54&gt;=2,FALSE())),IF(AND('Daily Schedule'!$A27&gt;=46,'Daily Schedule'!$A27&lt;=52),'Daily Workforce'!$M54="Y",IFERROR(1*'Daily Workforce'!$P54&gt;=2,FALSE()))))),1,0)</f>
        <v>1</v>
      </c>
      <c r="BN23" s="1" t="n">
        <f aca="false">IF(AND('Daily Workforce'!$N55="Y",'Daily Workforce'!$B55&lt;&gt;"",COUNTIF('Daily Schedule'!$F$5:$F26,'Daily Workforce'!$B55)=0,IF('Daily Schedule'!$A27=45,'Daily Workforce'!$J55="Y",IF(OR('Daily Schedule'!$A27=4,'Daily Schedule'!$A27=8),IF(OR(WEEKDAY('Daily Schedule'!$B$2,2)=1,WEEKDAY('Daily Schedule'!$B$2,2)=4,WEEKDAY('Daily Schedule'!$B$2,2)=5,WEEKDAY('Daily Schedule'!$B$2,2)=7),IFERROR(1*'Daily Workforce'!$K55&gt;=3,FALSE()),IFERROR(1*'Daily Workforce'!$K55&gt;=2,FALSE())),IF(AND('Daily Schedule'!$A27&gt;=46,'Daily Schedule'!$A27&lt;=52),'Daily Workforce'!$M55="Y",IFERROR(1*'Daily Workforce'!$P55&gt;=2,FALSE()))))),1,0)</f>
        <v>1</v>
      </c>
      <c r="BO23" s="1" t="n">
        <f aca="false">IF(AND('Daily Workforce'!$N56="Y",'Daily Workforce'!$B56&lt;&gt;"",COUNTIF('Daily Schedule'!$F$5:$F26,'Daily Workforce'!$B56)=0,IF('Daily Schedule'!$A27=45,'Daily Workforce'!$J56="Y",IF(OR('Daily Schedule'!$A27=4,'Daily Schedule'!$A27=8),IF(OR(WEEKDAY('Daily Schedule'!$B$2,2)=1,WEEKDAY('Daily Schedule'!$B$2,2)=4,WEEKDAY('Daily Schedule'!$B$2,2)=5,WEEKDAY('Daily Schedule'!$B$2,2)=7),IFERROR(1*'Daily Workforce'!$K56&gt;=3,FALSE()),IFERROR(1*'Daily Workforce'!$K56&gt;=2,FALSE())),IF(AND('Daily Schedule'!$A27&gt;=46,'Daily Schedule'!$A27&lt;=52),'Daily Workforce'!$M56="Y",IFERROR(1*'Daily Workforce'!$P56&gt;=2,FALSE()))))),1,0)</f>
        <v>1</v>
      </c>
      <c r="BP23" s="1" t="n">
        <f aca="false">IF(AND('Daily Workforce'!$N57="Y",'Daily Workforce'!$B57&lt;&gt;"",COUNTIF('Daily Schedule'!$F$5:$F26,'Daily Workforce'!$B57)=0,IF('Daily Schedule'!$A27=45,'Daily Workforce'!$J57="Y",IF(OR('Daily Schedule'!$A27=4,'Daily Schedule'!$A27=8),IF(OR(WEEKDAY('Daily Schedule'!$B$2,2)=1,WEEKDAY('Daily Schedule'!$B$2,2)=4,WEEKDAY('Daily Schedule'!$B$2,2)=5,WEEKDAY('Daily Schedule'!$B$2,2)=7),IFERROR(1*'Daily Workforce'!$K57&gt;=3,FALSE()),IFERROR(1*'Daily Workforce'!$K57&gt;=2,FALSE())),IF(AND('Daily Schedule'!$A27&gt;=46,'Daily Schedule'!$A27&lt;=52),'Daily Workforce'!$M57="Y",IFERROR(1*'Daily Workforce'!$P57&gt;=2,FALSE()))))),1,0)</f>
        <v>0</v>
      </c>
      <c r="BQ23" s="1" t="n">
        <f aca="false">IF(AND('Daily Workforce'!$N58="Y",'Daily Workforce'!$B58&lt;&gt;"",COUNTIF('Daily Schedule'!$F$5:$F26,'Daily Workforce'!$B58)=0,IF('Daily Schedule'!$A27=45,'Daily Workforce'!$J58="Y",IF(OR('Daily Schedule'!$A27=4,'Daily Schedule'!$A27=8),IF(OR(WEEKDAY('Daily Schedule'!$B$2,2)=1,WEEKDAY('Daily Schedule'!$B$2,2)=4,WEEKDAY('Daily Schedule'!$B$2,2)=5,WEEKDAY('Daily Schedule'!$B$2,2)=7),IFERROR(1*'Daily Workforce'!$K58&gt;=3,FALSE()),IFERROR(1*'Daily Workforce'!$K58&gt;=2,FALSE())),IF(AND('Daily Schedule'!$A27&gt;=46,'Daily Schedule'!$A27&lt;=52),'Daily Workforce'!$M58="Y",IFERROR(1*'Daily Workforce'!$P58&gt;=2,FALSE()))))),1,0)</f>
        <v>1</v>
      </c>
      <c r="BR23" s="1" t="n">
        <f aca="false">IF(AND('Daily Workforce'!$N59="Y",'Daily Workforce'!$B59&lt;&gt;"",COUNTIF('Daily Schedule'!$F$5:$F26,'Daily Workforce'!$B59)=0,IF('Daily Schedule'!$A27=45,'Daily Workforce'!$J59="Y",IF(OR('Daily Schedule'!$A27=4,'Daily Schedule'!$A27=8),IF(OR(WEEKDAY('Daily Schedule'!$B$2,2)=1,WEEKDAY('Daily Schedule'!$B$2,2)=4,WEEKDAY('Daily Schedule'!$B$2,2)=5,WEEKDAY('Daily Schedule'!$B$2,2)=7),IFERROR(1*'Daily Workforce'!$K59&gt;=3,FALSE()),IFERROR(1*'Daily Workforce'!$K59&gt;=2,FALSE())),IF(AND('Daily Schedule'!$A27&gt;=46,'Daily Schedule'!$A27&lt;=52),'Daily Workforce'!$M59="Y",IFERROR(1*'Daily Workforce'!$P59&gt;=2,FALSE()))))),1,0)</f>
        <v>1</v>
      </c>
      <c r="BS23" s="1" t="n">
        <f aca="false">IF(AND('Daily Workforce'!$N60="Y",'Daily Workforce'!$B60&lt;&gt;"",COUNTIF('Daily Schedule'!$F$5:$F26,'Daily Workforce'!$B60)=0,IF('Daily Schedule'!$A27=45,'Daily Workforce'!$J60="Y",IF(OR('Daily Schedule'!$A27=4,'Daily Schedule'!$A27=8),IF(OR(WEEKDAY('Daily Schedule'!$B$2,2)=1,WEEKDAY('Daily Schedule'!$B$2,2)=4,WEEKDAY('Daily Schedule'!$B$2,2)=5,WEEKDAY('Daily Schedule'!$B$2,2)=7),IFERROR(1*'Daily Workforce'!$K60&gt;=3,FALSE()),IFERROR(1*'Daily Workforce'!$K60&gt;=2,FALSE())),IF(AND('Daily Schedule'!$A27&gt;=46,'Daily Schedule'!$A27&lt;=52),'Daily Workforce'!$M60="Y",IFERROR(1*'Daily Workforce'!$P60&gt;=2,FALSE()))))),1,0)</f>
        <v>1</v>
      </c>
      <c r="BT23" s="1" t="n">
        <f aca="false">IF(AND('Daily Workforce'!$N61="Y",'Daily Workforce'!$B61&lt;&gt;"",COUNTIF('Daily Schedule'!$F$5:$F26,'Daily Workforce'!$B61)=0,IF('Daily Schedule'!$A27=45,'Daily Workforce'!$J61="Y",IF(OR('Daily Schedule'!$A27=4,'Daily Schedule'!$A27=8),IF(OR(WEEKDAY('Daily Schedule'!$B$2,2)=1,WEEKDAY('Daily Schedule'!$B$2,2)=4,WEEKDAY('Daily Schedule'!$B$2,2)=5,WEEKDAY('Daily Schedule'!$B$2,2)=7),IFERROR(1*'Daily Workforce'!$K61&gt;=3,FALSE()),IFERROR(1*'Daily Workforce'!$K61&gt;=2,FALSE())),IF(AND('Daily Schedule'!$A27&gt;=46,'Daily Schedule'!$A27&lt;=52),'Daily Workforce'!$M61="Y",IFERROR(1*'Daily Workforce'!$P61&gt;=2,FALSE()))))),1,0)</f>
        <v>0</v>
      </c>
      <c r="BU23" s="1" t="n">
        <f aca="false">IF(AND('Daily Workforce'!$N62="Y",'Daily Workforce'!$B62&lt;&gt;"",COUNTIF('Daily Schedule'!$F$5:$F26,'Daily Workforce'!$B62)=0,IF('Daily Schedule'!$A27=45,'Daily Workforce'!$J62="Y",IF(OR('Daily Schedule'!$A27=4,'Daily Schedule'!$A27=8),IF(OR(WEEKDAY('Daily Schedule'!$B$2,2)=1,WEEKDAY('Daily Schedule'!$B$2,2)=4,WEEKDAY('Daily Schedule'!$B$2,2)=5,WEEKDAY('Daily Schedule'!$B$2,2)=7),IFERROR(1*'Daily Workforce'!$K62&gt;=3,FALSE()),IFERROR(1*'Daily Workforce'!$K62&gt;=2,FALSE())),IF(AND('Daily Schedule'!$A27&gt;=46,'Daily Schedule'!$A27&lt;=52),'Daily Workforce'!$M62="Y",IFERROR(1*'Daily Workforce'!$P62&gt;=2,FALSE()))))),1,0)</f>
        <v>1</v>
      </c>
      <c r="BV23" s="1" t="n">
        <f aca="false">IF(AND('Daily Workforce'!$N63="Y",'Daily Workforce'!$B63&lt;&gt;"",COUNTIF('Daily Schedule'!$F$5:$F26,'Daily Workforce'!$B63)=0,IF('Daily Schedule'!$A27=45,'Daily Workforce'!$J63="Y",IF(OR('Daily Schedule'!$A27=4,'Daily Schedule'!$A27=8),IF(OR(WEEKDAY('Daily Schedule'!$B$2,2)=1,WEEKDAY('Daily Schedule'!$B$2,2)=4,WEEKDAY('Daily Schedule'!$B$2,2)=5,WEEKDAY('Daily Schedule'!$B$2,2)=7),IFERROR(1*'Daily Workforce'!$K63&gt;=3,FALSE()),IFERROR(1*'Daily Workforce'!$K63&gt;=2,FALSE())),IF(AND('Daily Schedule'!$A27&gt;=46,'Daily Schedule'!$A27&lt;=52),'Daily Workforce'!$M63="Y",IFERROR(1*'Daily Workforce'!$P63&gt;=2,FALSE()))))),1,0)</f>
        <v>1</v>
      </c>
      <c r="BW23" s="1" t="n">
        <f aca="false">IF(AND('Daily Workforce'!$N64="Y",'Daily Workforce'!$B64&lt;&gt;"",COUNTIF('Daily Schedule'!$F$5:$F26,'Daily Workforce'!$B64)=0,IF('Daily Schedule'!$A27=45,'Daily Workforce'!$J64="Y",IF(OR('Daily Schedule'!$A27=4,'Daily Schedule'!$A27=8),IF(OR(WEEKDAY('Daily Schedule'!$B$2,2)=1,WEEKDAY('Daily Schedule'!$B$2,2)=4,WEEKDAY('Daily Schedule'!$B$2,2)=5,WEEKDAY('Daily Schedule'!$B$2,2)=7),IFERROR(1*'Daily Workforce'!$K64&gt;=3,FALSE()),IFERROR(1*'Daily Workforce'!$K64&gt;=2,FALSE())),IF(AND('Daily Schedule'!$A27&gt;=46,'Daily Schedule'!$A27&lt;=52),'Daily Workforce'!$M64="Y",IFERROR(1*'Daily Workforce'!$P64&gt;=2,FALSE()))))),1,0)</f>
        <v>1</v>
      </c>
      <c r="BX23" s="1" t="n">
        <f aca="false">IF(AND('Daily Workforce'!$N65="Y",'Daily Workforce'!$B65&lt;&gt;"",COUNTIF('Daily Schedule'!$F$5:$F26,'Daily Workforce'!$B65)=0,IF('Daily Schedule'!$A27=45,'Daily Workforce'!$J65="Y",IF(OR('Daily Schedule'!$A27=4,'Daily Schedule'!$A27=8),IF(OR(WEEKDAY('Daily Schedule'!$B$2,2)=1,WEEKDAY('Daily Schedule'!$B$2,2)=4,WEEKDAY('Daily Schedule'!$B$2,2)=5,WEEKDAY('Daily Schedule'!$B$2,2)=7),IFERROR(1*'Daily Workforce'!$K65&gt;=3,FALSE()),IFERROR(1*'Daily Workforce'!$K65&gt;=2,FALSE())),IF(AND('Daily Schedule'!$A27&gt;=46,'Daily Schedule'!$A27&lt;=52),'Daily Workforce'!$M65="Y",IFERROR(1*'Daily Workforce'!$P65&gt;=2,FALSE()))))),1,0)</f>
        <v>1</v>
      </c>
      <c r="BY23" s="1" t="n">
        <f aca="false">IF(AND('Daily Workforce'!$N66="Y",'Daily Workforce'!$B66&lt;&gt;"",COUNTIF('Daily Schedule'!$F$5:$F26,'Daily Workforce'!$B66)=0,IF('Daily Schedule'!$A27=45,'Daily Workforce'!$J66="Y",IF(OR('Daily Schedule'!$A27=4,'Daily Schedule'!$A27=8),IF(OR(WEEKDAY('Daily Schedule'!$B$2,2)=1,WEEKDAY('Daily Schedule'!$B$2,2)=4,WEEKDAY('Daily Schedule'!$B$2,2)=5,WEEKDAY('Daily Schedule'!$B$2,2)=7),IFERROR(1*'Daily Workforce'!$K66&gt;=3,FALSE()),IFERROR(1*'Daily Workforce'!$K66&gt;=2,FALSE())),IF(AND('Daily Schedule'!$A27&gt;=46,'Daily Schedule'!$A27&lt;=52),'Daily Workforce'!$M66="Y",IFERROR(1*'Daily Workforce'!$P66&gt;=2,FALSE()))))),1,0)</f>
        <v>1</v>
      </c>
      <c r="BZ23" s="1" t="n">
        <f aca="false">IF(AND('Daily Workforce'!$N67="Y",'Daily Workforce'!$B67&lt;&gt;"",COUNTIF('Daily Schedule'!$F$5:$F26,'Daily Workforce'!$B67)=0,IF('Daily Schedule'!$A27=45,'Daily Workforce'!$J67="Y",IF(OR('Daily Schedule'!$A27=4,'Daily Schedule'!$A27=8),IF(OR(WEEKDAY('Daily Schedule'!$B$2,2)=1,WEEKDAY('Daily Schedule'!$B$2,2)=4,WEEKDAY('Daily Schedule'!$B$2,2)=5,WEEKDAY('Daily Schedule'!$B$2,2)=7),IFERROR(1*'Daily Workforce'!$K67&gt;=3,FALSE()),IFERROR(1*'Daily Workforce'!$K67&gt;=2,FALSE())),IF(AND('Daily Schedule'!$A27&gt;=46,'Daily Schedule'!$A27&lt;=52),'Daily Workforce'!$M67="Y",IFERROR(1*'Daily Workforce'!$P67&gt;=2,FALSE()))))),1,0)</f>
        <v>1</v>
      </c>
      <c r="CA23" s="1" t="n">
        <f aca="false">IF(AND('Daily Workforce'!$N68="Y",'Daily Workforce'!$B68&lt;&gt;"",COUNTIF('Daily Schedule'!$F$5:$F26,'Daily Workforce'!$B68)=0,IF('Daily Schedule'!$A27=45,'Daily Workforce'!$J68="Y",IF(OR('Daily Schedule'!$A27=4,'Daily Schedule'!$A27=8),IF(OR(WEEKDAY('Daily Schedule'!$B$2,2)=1,WEEKDAY('Daily Schedule'!$B$2,2)=4,WEEKDAY('Daily Schedule'!$B$2,2)=5,WEEKDAY('Daily Schedule'!$B$2,2)=7),IFERROR(1*'Daily Workforce'!$K68&gt;=3,FALSE()),IFERROR(1*'Daily Workforce'!$K68&gt;=2,FALSE())),IF(AND('Daily Schedule'!$A27&gt;=46,'Daily Schedule'!$A27&lt;=52),'Daily Workforce'!$M68="Y",IFERROR(1*'Daily Workforce'!$P68&gt;=2,FALSE()))))),1,0)</f>
        <v>1</v>
      </c>
      <c r="CB23" s="1" t="n">
        <f aca="false">IF(AND('Daily Workforce'!$N69="Y",'Daily Workforce'!$B69&lt;&gt;"",COUNTIF('Daily Schedule'!$F$5:$F26,'Daily Workforce'!$B69)=0,IF('Daily Schedule'!$A27=45,'Daily Workforce'!$J69="Y",IF(OR('Daily Schedule'!$A27=4,'Daily Schedule'!$A27=8),IF(OR(WEEKDAY('Daily Schedule'!$B$2,2)=1,WEEKDAY('Daily Schedule'!$B$2,2)=4,WEEKDAY('Daily Schedule'!$B$2,2)=5,WEEKDAY('Daily Schedule'!$B$2,2)=7),IFERROR(1*'Daily Workforce'!$K69&gt;=3,FALSE()),IFERROR(1*'Daily Workforce'!$K69&gt;=2,FALSE())),IF(AND('Daily Schedule'!$A27&gt;=46,'Daily Schedule'!$A27&lt;=52),'Daily Workforce'!$M69="Y",IFERROR(1*'Daily Workforce'!$P69&gt;=2,FALSE()))))),1,0)</f>
        <v>1</v>
      </c>
      <c r="CC23" s="1" t="n">
        <f aca="false">IF(AND('Daily Workforce'!$N70="Y",'Daily Workforce'!$B70&lt;&gt;"",COUNTIF('Daily Schedule'!$F$5:$F26,'Daily Workforce'!$B70)=0,IF('Daily Schedule'!$A27=45,'Daily Workforce'!$J70="Y",IF(OR('Daily Schedule'!$A27=4,'Daily Schedule'!$A27=8),IF(OR(WEEKDAY('Daily Schedule'!$B$2,2)=1,WEEKDAY('Daily Schedule'!$B$2,2)=4,WEEKDAY('Daily Schedule'!$B$2,2)=5,WEEKDAY('Daily Schedule'!$B$2,2)=7),IFERROR(1*'Daily Workforce'!$K70&gt;=3,FALSE()),IFERROR(1*'Daily Workforce'!$K70&gt;=2,FALSE())),IF(AND('Daily Schedule'!$A27&gt;=46,'Daily Schedule'!$A27&lt;=52),'Daily Workforce'!$M70="Y",IFERROR(1*'Daily Workforce'!$P70&gt;=2,FALSE()))))),1,0)</f>
        <v>1</v>
      </c>
      <c r="CD23" s="1" t="n">
        <f aca="false">IF(AND('Daily Workforce'!$N71="Y",'Daily Workforce'!$B71&lt;&gt;"",COUNTIF('Daily Schedule'!$F$5:$F26,'Daily Workforce'!$B71)=0,IF('Daily Schedule'!$A27=45,'Daily Workforce'!$J71="Y",IF(OR('Daily Schedule'!$A27=4,'Daily Schedule'!$A27=8),IF(OR(WEEKDAY('Daily Schedule'!$B$2,2)=1,WEEKDAY('Daily Schedule'!$B$2,2)=4,WEEKDAY('Daily Schedule'!$B$2,2)=5,WEEKDAY('Daily Schedule'!$B$2,2)=7),IFERROR(1*'Daily Workforce'!$K71&gt;=3,FALSE()),IFERROR(1*'Daily Workforce'!$K71&gt;=2,FALSE())),IF(AND('Daily Schedule'!$A27&gt;=46,'Daily Schedule'!$A27&lt;=52),'Daily Workforce'!$M71="Y",IFERROR(1*'Daily Workforce'!$P71&gt;=2,FALSE()))))),1,0)</f>
        <v>1</v>
      </c>
      <c r="CE23" s="1" t="n">
        <f aca="false">IF(AND('Daily Workforce'!$N72="Y",'Daily Workforce'!$B72&lt;&gt;"",COUNTIF('Daily Schedule'!$F$5:$F26,'Daily Workforce'!$B72)=0,IF('Daily Schedule'!$A27=45,'Daily Workforce'!$J72="Y",IF(OR('Daily Schedule'!$A27=4,'Daily Schedule'!$A27=8),IF(OR(WEEKDAY('Daily Schedule'!$B$2,2)=1,WEEKDAY('Daily Schedule'!$B$2,2)=4,WEEKDAY('Daily Schedule'!$B$2,2)=5,WEEKDAY('Daily Schedule'!$B$2,2)=7),IFERROR(1*'Daily Workforce'!$K72&gt;=3,FALSE()),IFERROR(1*'Daily Workforce'!$K72&gt;=2,FALSE())),IF(AND('Daily Schedule'!$A27&gt;=46,'Daily Schedule'!$A27&lt;=52),'Daily Workforce'!$M72="Y",IFERROR(1*'Daily Workforce'!$P72&gt;=2,FALSE()))))),1,0)</f>
        <v>1</v>
      </c>
      <c r="CF23" s="1" t="n">
        <f aca="false">IF(AND('Daily Workforce'!$N73="Y",'Daily Workforce'!$B73&lt;&gt;"",COUNTIF('Daily Schedule'!$F$5:$F26,'Daily Workforce'!$B73)=0,IF('Daily Schedule'!$A27=45,'Daily Workforce'!$J73="Y",IF(OR('Daily Schedule'!$A27=4,'Daily Schedule'!$A27=8),IF(OR(WEEKDAY('Daily Schedule'!$B$2,2)=1,WEEKDAY('Daily Schedule'!$B$2,2)=4,WEEKDAY('Daily Schedule'!$B$2,2)=5,WEEKDAY('Daily Schedule'!$B$2,2)=7),IFERROR(1*'Daily Workforce'!$K73&gt;=3,FALSE()),IFERROR(1*'Daily Workforce'!$K73&gt;=2,FALSE())),IF(AND('Daily Schedule'!$A27&gt;=46,'Daily Schedule'!$A27&lt;=52),'Daily Workforce'!$M73="Y",IFERROR(1*'Daily Workforce'!$P73&gt;=2,FALSE()))))),1,0)</f>
        <v>1</v>
      </c>
      <c r="CG23" s="1" t="n">
        <f aca="false">IF(AND('Daily Workforce'!$N74="Y",'Daily Workforce'!$B74&lt;&gt;"",COUNTIF('Daily Schedule'!$F$5:$F26,'Daily Workforce'!$B74)=0,IF('Daily Schedule'!$A27=45,'Daily Workforce'!$J74="Y",IF(OR('Daily Schedule'!$A27=4,'Daily Schedule'!$A27=8),IF(OR(WEEKDAY('Daily Schedule'!$B$2,2)=1,WEEKDAY('Daily Schedule'!$B$2,2)=4,WEEKDAY('Daily Schedule'!$B$2,2)=5,WEEKDAY('Daily Schedule'!$B$2,2)=7),IFERROR(1*'Daily Workforce'!$K74&gt;=3,FALSE()),IFERROR(1*'Daily Workforce'!$K74&gt;=2,FALSE())),IF(AND('Daily Schedule'!$A27&gt;=46,'Daily Schedule'!$A27&lt;=52),'Daily Workforce'!$M74="Y",IFERROR(1*'Daily Workforce'!$P74&gt;=2,FALSE()))))),1,0)</f>
        <v>1</v>
      </c>
      <c r="CH23" s="1" t="n">
        <f aca="false">IF(AND('Daily Workforce'!$N75="Y",'Daily Workforce'!$B75&lt;&gt;"",COUNTIF('Daily Schedule'!$F$5:$F26,'Daily Workforce'!$B75)=0,IF('Daily Schedule'!$A27=45,'Daily Workforce'!$J75="Y",IF(OR('Daily Schedule'!$A27=4,'Daily Schedule'!$A27=8),IF(OR(WEEKDAY('Daily Schedule'!$B$2,2)=1,WEEKDAY('Daily Schedule'!$B$2,2)=4,WEEKDAY('Daily Schedule'!$B$2,2)=5,WEEKDAY('Daily Schedule'!$B$2,2)=7),IFERROR(1*'Daily Workforce'!$K75&gt;=3,FALSE()),IFERROR(1*'Daily Workforce'!$K75&gt;=2,FALSE())),IF(AND('Daily Schedule'!$A27&gt;=46,'Daily Schedule'!$A27&lt;=52),'Daily Workforce'!$M75="Y",IFERROR(1*'Daily Workforce'!$P75&gt;=2,FALSE()))))),1,0)</f>
        <v>1</v>
      </c>
      <c r="CI23" s="1" t="n">
        <f aca="false">IF(AND('Daily Workforce'!$N76="Y",'Daily Workforce'!$B76&lt;&gt;"",COUNTIF('Daily Schedule'!$F$5:$F26,'Daily Workforce'!$B76)=0,IF('Daily Schedule'!$A27=45,'Daily Workforce'!$J76="Y",IF(OR('Daily Schedule'!$A27=4,'Daily Schedule'!$A27=8),IF(OR(WEEKDAY('Daily Schedule'!$B$2,2)=1,WEEKDAY('Daily Schedule'!$B$2,2)=4,WEEKDAY('Daily Schedule'!$B$2,2)=5,WEEKDAY('Daily Schedule'!$B$2,2)=7),IFERROR(1*'Daily Workforce'!$K76&gt;=3,FALSE()),IFERROR(1*'Daily Workforce'!$K76&gt;=2,FALSE())),IF(AND('Daily Schedule'!$A27&gt;=46,'Daily Schedule'!$A27&lt;=52),'Daily Workforce'!$M76="Y",IFERROR(1*'Daily Workforce'!$P76&gt;=2,FALSE()))))),1,0)</f>
        <v>1</v>
      </c>
      <c r="CJ23" s="1" t="n">
        <f aca="false">IF(AND('Daily Workforce'!$N77="Y",'Daily Workforce'!$B77&lt;&gt;"",COUNTIF('Daily Schedule'!$F$5:$F26,'Daily Workforce'!$B77)=0,IF('Daily Schedule'!$A27=45,'Daily Workforce'!$J77="Y",IF(OR('Daily Schedule'!$A27=4,'Daily Schedule'!$A27=8),IF(OR(WEEKDAY('Daily Schedule'!$B$2,2)=1,WEEKDAY('Daily Schedule'!$B$2,2)=4,WEEKDAY('Daily Schedule'!$B$2,2)=5,WEEKDAY('Daily Schedule'!$B$2,2)=7),IFERROR(1*'Daily Workforce'!$K77&gt;=3,FALSE()),IFERROR(1*'Daily Workforce'!$K77&gt;=2,FALSE())),IF(AND('Daily Schedule'!$A27&gt;=46,'Daily Schedule'!$A27&lt;=52),'Daily Workforce'!$M77="Y",IFERROR(1*'Daily Workforce'!$P77&gt;=2,FALSE()))))),1,0)</f>
        <v>1</v>
      </c>
      <c r="CK23" s="1" t="n">
        <f aca="false">IF(AND('Daily Workforce'!$N78="Y",'Daily Workforce'!$B78&lt;&gt;"",COUNTIF('Daily Schedule'!$F$5:$F26,'Daily Workforce'!$B78)=0,IF('Daily Schedule'!$A27=45,'Daily Workforce'!$J78="Y",IF(OR('Daily Schedule'!$A27=4,'Daily Schedule'!$A27=8),IF(OR(WEEKDAY('Daily Schedule'!$B$2,2)=1,WEEKDAY('Daily Schedule'!$B$2,2)=4,WEEKDAY('Daily Schedule'!$B$2,2)=5,WEEKDAY('Daily Schedule'!$B$2,2)=7),IFERROR(1*'Daily Workforce'!$K78&gt;=3,FALSE()),IFERROR(1*'Daily Workforce'!$K78&gt;=2,FALSE())),IF(AND('Daily Schedule'!$A27&gt;=46,'Daily Schedule'!$A27&lt;=52),'Daily Workforce'!$M78="Y",IFERROR(1*'Daily Workforce'!$P78&gt;=2,FALSE()))))),1,0)</f>
        <v>1</v>
      </c>
      <c r="CL23" s="1" t="n">
        <f aca="false">IF(AND('Daily Workforce'!$N79="Y",'Daily Workforce'!$B79&lt;&gt;"",COUNTIF('Daily Schedule'!$F$5:$F26,'Daily Workforce'!$B79)=0,IF('Daily Schedule'!$A27=45,'Daily Workforce'!$J79="Y",IF(OR('Daily Schedule'!$A27=4,'Daily Schedule'!$A27=8),IF(OR(WEEKDAY('Daily Schedule'!$B$2,2)=1,WEEKDAY('Daily Schedule'!$B$2,2)=4,WEEKDAY('Daily Schedule'!$B$2,2)=5,WEEKDAY('Daily Schedule'!$B$2,2)=7),IFERROR(1*'Daily Workforce'!$K79&gt;=3,FALSE()),IFERROR(1*'Daily Workforce'!$K79&gt;=2,FALSE())),IF(AND('Daily Schedule'!$A27&gt;=46,'Daily Schedule'!$A27&lt;=52),'Daily Workforce'!$M79="Y",IFERROR(1*'Daily Workforce'!$P79&gt;=2,FALSE()))))),1,0)</f>
        <v>1</v>
      </c>
      <c r="CM23" s="1" t="n">
        <f aca="false">IF(AND('Daily Workforce'!$N80="Y",'Daily Workforce'!$B80&lt;&gt;"",COUNTIF('Daily Schedule'!$F$5:$F26,'Daily Workforce'!$B80)=0,IF('Daily Schedule'!$A27=45,'Daily Workforce'!$J80="Y",IF(OR('Daily Schedule'!$A27=4,'Daily Schedule'!$A27=8),IF(OR(WEEKDAY('Daily Schedule'!$B$2,2)=1,WEEKDAY('Daily Schedule'!$B$2,2)=4,WEEKDAY('Daily Schedule'!$B$2,2)=5,WEEKDAY('Daily Schedule'!$B$2,2)=7),IFERROR(1*'Daily Workforce'!$K80&gt;=3,FALSE()),IFERROR(1*'Daily Workforce'!$K80&gt;=2,FALSE())),IF(AND('Daily Schedule'!$A27&gt;=46,'Daily Schedule'!$A27&lt;=52),'Daily Workforce'!$M80="Y",IFERROR(1*'Daily Workforce'!$P80&gt;=2,FALSE()))))),1,0)</f>
        <v>1</v>
      </c>
      <c r="CN23" s="1" t="n">
        <f aca="false">IF(AND('Daily Workforce'!$N81="Y",'Daily Workforce'!$B81&lt;&gt;"",COUNTIF('Daily Schedule'!$F$5:$F26,'Daily Workforce'!$B81)=0,IF('Daily Schedule'!$A27=45,'Daily Workforce'!$J81="Y",IF(OR('Daily Schedule'!$A27=4,'Daily Schedule'!$A27=8),IF(OR(WEEKDAY('Daily Schedule'!$B$2,2)=1,WEEKDAY('Daily Schedule'!$B$2,2)=4,WEEKDAY('Daily Schedule'!$B$2,2)=5,WEEKDAY('Daily Schedule'!$B$2,2)=7),IFERROR(1*'Daily Workforce'!$K81&gt;=3,FALSE()),IFERROR(1*'Daily Workforce'!$K81&gt;=2,FALSE())),IF(AND('Daily Schedule'!$A27&gt;=46,'Daily Schedule'!$A27&lt;=52),'Daily Workforce'!$M81="Y",IFERROR(1*'Daily Workforce'!$P81&gt;=2,FALSE()))))),1,0)</f>
        <v>1</v>
      </c>
      <c r="CO23" s="1" t="n">
        <f aca="false">IF(AND('Daily Workforce'!$N82="Y",'Daily Workforce'!$B82&lt;&gt;"",COUNTIF('Daily Schedule'!$F$5:$F26,'Daily Workforce'!$B82)=0,IF('Daily Schedule'!$A27=45,'Daily Workforce'!$J82="Y",IF(OR('Daily Schedule'!$A27=4,'Daily Schedule'!$A27=8),IF(OR(WEEKDAY('Daily Schedule'!$B$2,2)=1,WEEKDAY('Daily Schedule'!$B$2,2)=4,WEEKDAY('Daily Schedule'!$B$2,2)=5,WEEKDAY('Daily Schedule'!$B$2,2)=7),IFERROR(1*'Daily Workforce'!$K82&gt;=3,FALSE()),IFERROR(1*'Daily Workforce'!$K82&gt;=2,FALSE())),IF(AND('Daily Schedule'!$A27&gt;=46,'Daily Schedule'!$A27&lt;=52),'Daily Workforce'!$M82="Y",IFERROR(1*'Daily Workforce'!$P82&gt;=2,FALSE()))))),1,0)</f>
        <v>1</v>
      </c>
      <c r="CP23" s="1" t="n">
        <f aca="false">IF(AND('Daily Workforce'!$N83="Y",'Daily Workforce'!$B83&lt;&gt;"",COUNTIF('Daily Schedule'!$F$5:$F26,'Daily Workforce'!$B83)=0,IF('Daily Schedule'!$A27=45,'Daily Workforce'!$J83="Y",IF(OR('Daily Schedule'!$A27=4,'Daily Schedule'!$A27=8),IF(OR(WEEKDAY('Daily Schedule'!$B$2,2)=1,WEEKDAY('Daily Schedule'!$B$2,2)=4,WEEKDAY('Daily Schedule'!$B$2,2)=5,WEEKDAY('Daily Schedule'!$B$2,2)=7),IFERROR(1*'Daily Workforce'!$K83&gt;=3,FALSE()),IFERROR(1*'Daily Workforce'!$K83&gt;=2,FALSE())),IF(AND('Daily Schedule'!$A27&gt;=46,'Daily Schedule'!$A27&lt;=52),'Daily Workforce'!$M83="Y",IFERROR(1*'Daily Workforce'!$P83&gt;=2,FALSE()))))),1,0)</f>
        <v>0</v>
      </c>
      <c r="CQ23" s="1" t="n">
        <f aca="false">IF(AND('Daily Workforce'!$N84="Y",'Daily Workforce'!$B84&lt;&gt;"",COUNTIF('Daily Schedule'!$F$5:$F26,'Daily Workforce'!$B84)=0,IF('Daily Schedule'!$A27=45,'Daily Workforce'!$J84="Y",IF(OR('Daily Schedule'!$A27=4,'Daily Schedule'!$A27=8),IF(OR(WEEKDAY('Daily Schedule'!$B$2,2)=1,WEEKDAY('Daily Schedule'!$B$2,2)=4,WEEKDAY('Daily Schedule'!$B$2,2)=5,WEEKDAY('Daily Schedule'!$B$2,2)=7),IFERROR(1*'Daily Workforce'!$K84&gt;=3,FALSE()),IFERROR(1*'Daily Workforce'!$K84&gt;=2,FALSE())),IF(AND('Daily Schedule'!$A27&gt;=46,'Daily Schedule'!$A27&lt;=52),'Daily Workforce'!$M84="Y",IFERROR(1*'Daily Workforce'!$P84&gt;=2,FALSE()))))),1,0)</f>
        <v>1</v>
      </c>
      <c r="CR23" s="1" t="n">
        <f aca="false">IF(AND('Daily Workforce'!$N85="Y",'Daily Workforce'!$B85&lt;&gt;"",COUNTIF('Daily Schedule'!$F$5:$F26,'Daily Workforce'!$B85)=0,IF('Daily Schedule'!$A27=45,'Daily Workforce'!$J85="Y",IF(OR('Daily Schedule'!$A27=4,'Daily Schedule'!$A27=8),IF(OR(WEEKDAY('Daily Schedule'!$B$2,2)=1,WEEKDAY('Daily Schedule'!$B$2,2)=4,WEEKDAY('Daily Schedule'!$B$2,2)=5,WEEKDAY('Daily Schedule'!$B$2,2)=7),IFERROR(1*'Daily Workforce'!$K85&gt;=3,FALSE()),IFERROR(1*'Daily Workforce'!$K85&gt;=2,FALSE())),IF(AND('Daily Schedule'!$A27&gt;=46,'Daily Schedule'!$A27&lt;=52),'Daily Workforce'!$M85="Y",IFERROR(1*'Daily Workforce'!$P85&gt;=2,FALSE()))))),1,0)</f>
        <v>0</v>
      </c>
      <c r="CS23" s="1" t="n">
        <f aca="false">IF(AND('Daily Workforce'!$N86="Y",'Daily Workforce'!$B86&lt;&gt;"",COUNTIF('Daily Schedule'!$F$5:$F26,'Daily Workforce'!$B86)=0,IF('Daily Schedule'!$A27=45,'Daily Workforce'!$J86="Y",IF(OR('Daily Schedule'!$A27=4,'Daily Schedule'!$A27=8),IF(OR(WEEKDAY('Daily Schedule'!$B$2,2)=1,WEEKDAY('Daily Schedule'!$B$2,2)=4,WEEKDAY('Daily Schedule'!$B$2,2)=5,WEEKDAY('Daily Schedule'!$B$2,2)=7),IFERROR(1*'Daily Workforce'!$K86&gt;=3,FALSE()),IFERROR(1*'Daily Workforce'!$K86&gt;=2,FALSE())),IF(AND('Daily Schedule'!$A27&gt;=46,'Daily Schedule'!$A27&lt;=52),'Daily Workforce'!$M86="Y",IFERROR(1*'Daily Workforce'!$P86&gt;=2,FALSE()))))),1,0)</f>
        <v>1</v>
      </c>
      <c r="CT23" s="1" t="n">
        <f aca="false">IF(AND('Daily Workforce'!$N87="Y",'Daily Workforce'!$B87&lt;&gt;"",COUNTIF('Daily Schedule'!$F$5:$F26,'Daily Workforce'!$B87)=0,IF('Daily Schedule'!$A27=45,'Daily Workforce'!$J87="Y",IF(OR('Daily Schedule'!$A27=4,'Daily Schedule'!$A27=8),IF(OR(WEEKDAY('Daily Schedule'!$B$2,2)=1,WEEKDAY('Daily Schedule'!$B$2,2)=4,WEEKDAY('Daily Schedule'!$B$2,2)=5,WEEKDAY('Daily Schedule'!$B$2,2)=7),IFERROR(1*'Daily Workforce'!$K87&gt;=3,FALSE()),IFERROR(1*'Daily Workforce'!$K87&gt;=2,FALSE())),IF(AND('Daily Schedule'!$A27&gt;=46,'Daily Schedule'!$A27&lt;=52),'Daily Workforce'!$M87="Y",IFERROR(1*'Daily Workforce'!$P87&gt;=2,FALSE()))))),1,0)</f>
        <v>1</v>
      </c>
      <c r="CU23" s="1" t="n">
        <f aca="false">IF(AND('Daily Workforce'!$N88="Y",'Daily Workforce'!$B88&lt;&gt;"",COUNTIF('Daily Schedule'!$F$5:$F26,'Daily Workforce'!$B88)=0,IF('Daily Schedule'!$A27=45,'Daily Workforce'!$J88="Y",IF(OR('Daily Schedule'!$A27=4,'Daily Schedule'!$A27=8),IF(OR(WEEKDAY('Daily Schedule'!$B$2,2)=1,WEEKDAY('Daily Schedule'!$B$2,2)=4,WEEKDAY('Daily Schedule'!$B$2,2)=5,WEEKDAY('Daily Schedule'!$B$2,2)=7),IFERROR(1*'Daily Workforce'!$K88&gt;=3,FALSE()),IFERROR(1*'Daily Workforce'!$K88&gt;=2,FALSE())),IF(AND('Daily Schedule'!$A27&gt;=46,'Daily Schedule'!$A27&lt;=52),'Daily Workforce'!$M88="Y",IFERROR(1*'Daily Workforce'!$P88&gt;=2,FALSE()))))),1,0)</f>
        <v>1</v>
      </c>
      <c r="CV23" s="1" t="n">
        <f aca="false">IF(AND('Daily Workforce'!$N89="Y",'Daily Workforce'!$B89&lt;&gt;"",COUNTIF('Daily Schedule'!$F$5:$F26,'Daily Workforce'!$B89)=0,IF('Daily Schedule'!$A27=45,'Daily Workforce'!$J89="Y",IF(OR('Daily Schedule'!$A27=4,'Daily Schedule'!$A27=8),IF(OR(WEEKDAY('Daily Schedule'!$B$2,2)=1,WEEKDAY('Daily Schedule'!$B$2,2)=4,WEEKDAY('Daily Schedule'!$B$2,2)=5,WEEKDAY('Daily Schedule'!$B$2,2)=7),IFERROR(1*'Daily Workforce'!$K89&gt;=3,FALSE()),IFERROR(1*'Daily Workforce'!$K89&gt;=2,FALSE())),IF(AND('Daily Schedule'!$A27&gt;=46,'Daily Schedule'!$A27&lt;=52),'Daily Workforce'!$M89="Y",IFERROR(1*'Daily Workforce'!$P89&gt;=2,FALSE()))))),1,0)</f>
        <v>1</v>
      </c>
      <c r="CW23" s="1" t="n">
        <f aca="false">IF(AND('Daily Workforce'!$N90="Y",'Daily Workforce'!$B90&lt;&gt;"",COUNTIF('Daily Schedule'!$F$5:$F26,'Daily Workforce'!$B90)=0,IF('Daily Schedule'!$A27=45,'Daily Workforce'!$J90="Y",IF(OR('Daily Schedule'!$A27=4,'Daily Schedule'!$A27=8),IF(OR(WEEKDAY('Daily Schedule'!$B$2,2)=1,WEEKDAY('Daily Schedule'!$B$2,2)=4,WEEKDAY('Daily Schedule'!$B$2,2)=5,WEEKDAY('Daily Schedule'!$B$2,2)=7),IFERROR(1*'Daily Workforce'!$K90&gt;=3,FALSE()),IFERROR(1*'Daily Workforce'!$K90&gt;=2,FALSE())),IF(AND('Daily Schedule'!$A27&gt;=46,'Daily Schedule'!$A27&lt;=52),'Daily Workforce'!$M90="Y",IFERROR(1*'Daily Workforce'!$P90&gt;=2,FALSE()))))),1,0)</f>
        <v>1</v>
      </c>
      <c r="CX23" s="1" t="n">
        <f aca="false">IF(AND('Daily Workforce'!$N91="Y",'Daily Workforce'!$B91&lt;&gt;"",COUNTIF('Daily Schedule'!$F$5:$F26,'Daily Workforce'!$B91)=0,IF('Daily Schedule'!$A27=45,'Daily Workforce'!$J91="Y",IF(OR('Daily Schedule'!$A27=4,'Daily Schedule'!$A27=8),IF(OR(WEEKDAY('Daily Schedule'!$B$2,2)=1,WEEKDAY('Daily Schedule'!$B$2,2)=4,WEEKDAY('Daily Schedule'!$B$2,2)=5,WEEKDAY('Daily Schedule'!$B$2,2)=7),IFERROR(1*'Daily Workforce'!$K91&gt;=3,FALSE()),IFERROR(1*'Daily Workforce'!$K91&gt;=2,FALSE())),IF(AND('Daily Schedule'!$A27&gt;=46,'Daily Schedule'!$A27&lt;=52),'Daily Workforce'!$M91="Y",IFERROR(1*'Daily Workforce'!$P91&gt;=2,FALSE()))))),1,0)</f>
        <v>1</v>
      </c>
      <c r="CY23" s="1" t="n">
        <f aca="false">IF(AND('Daily Workforce'!$N92="Y",'Daily Workforce'!$B92&lt;&gt;"",COUNTIF('Daily Schedule'!$F$5:$F26,'Daily Workforce'!$B92)=0,IF('Daily Schedule'!$A27=45,'Daily Workforce'!$J92="Y",IF(OR('Daily Schedule'!$A27=4,'Daily Schedule'!$A27=8),IF(OR(WEEKDAY('Daily Schedule'!$B$2,2)=1,WEEKDAY('Daily Schedule'!$B$2,2)=4,WEEKDAY('Daily Schedule'!$B$2,2)=5,WEEKDAY('Daily Schedule'!$B$2,2)=7),IFERROR(1*'Daily Workforce'!$K92&gt;=3,FALSE()),IFERROR(1*'Daily Workforce'!$K92&gt;=2,FALSE())),IF(AND('Daily Schedule'!$A27&gt;=46,'Daily Schedule'!$A27&lt;=52),'Daily Workforce'!$M92="Y",IFERROR(1*'Daily Workforce'!$P92&gt;=2,FALSE()))))),1,0)</f>
        <v>1</v>
      </c>
      <c r="CZ23" s="1" t="n">
        <f aca="false">IF(AND('Daily Workforce'!$N93="Y",'Daily Workforce'!$B93&lt;&gt;"",COUNTIF('Daily Schedule'!$F$5:$F26,'Daily Workforce'!$B93)=0,IF('Daily Schedule'!$A27=45,'Daily Workforce'!$J93="Y",IF(OR('Daily Schedule'!$A27=4,'Daily Schedule'!$A27=8),IF(OR(WEEKDAY('Daily Schedule'!$B$2,2)=1,WEEKDAY('Daily Schedule'!$B$2,2)=4,WEEKDAY('Daily Schedule'!$B$2,2)=5,WEEKDAY('Daily Schedule'!$B$2,2)=7),IFERROR(1*'Daily Workforce'!$K93&gt;=3,FALSE()),IFERROR(1*'Daily Workforce'!$K93&gt;=2,FALSE())),IF(AND('Daily Schedule'!$A27&gt;=46,'Daily Schedule'!$A27&lt;=52),'Daily Workforce'!$M93="Y",IFERROR(1*'Daily Workforce'!$P93&gt;=2,FALSE()))))),1,0)</f>
        <v>1</v>
      </c>
      <c r="DA23" s="1" t="n">
        <f aca="false">IF(AND('Daily Workforce'!$N94="Y",'Daily Workforce'!$B94&lt;&gt;"",COUNTIF('Daily Schedule'!$F$5:$F26,'Daily Workforce'!$B94)=0,IF('Daily Schedule'!$A27=45,'Daily Workforce'!$J94="Y",IF(OR('Daily Schedule'!$A27=4,'Daily Schedule'!$A27=8),IF(OR(WEEKDAY('Daily Schedule'!$B$2,2)=1,WEEKDAY('Daily Schedule'!$B$2,2)=4,WEEKDAY('Daily Schedule'!$B$2,2)=5,WEEKDAY('Daily Schedule'!$B$2,2)=7),IFERROR(1*'Daily Workforce'!$K94&gt;=3,FALSE()),IFERROR(1*'Daily Workforce'!$K94&gt;=2,FALSE())),IF(AND('Daily Schedule'!$A27&gt;=46,'Daily Schedule'!$A27&lt;=52),'Daily Workforce'!$M94="Y",IFERROR(1*'Daily Workforce'!$P94&gt;=2,FALSE()))))),1,0)</f>
        <v>1</v>
      </c>
      <c r="DB23" s="1" t="n">
        <f aca="false">IF(AND('Daily Workforce'!$N95="Y",'Daily Workforce'!$B95&lt;&gt;"",COUNTIF('Daily Schedule'!$F$5:$F26,'Daily Workforce'!$B95)=0,IF('Daily Schedule'!$A27=45,'Daily Workforce'!$J95="Y",IF(OR('Daily Schedule'!$A27=4,'Daily Schedule'!$A27=8),IF(OR(WEEKDAY('Daily Schedule'!$B$2,2)=1,WEEKDAY('Daily Schedule'!$B$2,2)=4,WEEKDAY('Daily Schedule'!$B$2,2)=5,WEEKDAY('Daily Schedule'!$B$2,2)=7),IFERROR(1*'Daily Workforce'!$K95&gt;=3,FALSE()),IFERROR(1*'Daily Workforce'!$K95&gt;=2,FALSE())),IF(AND('Daily Schedule'!$A27&gt;=46,'Daily Schedule'!$A27&lt;=52),'Daily Workforce'!$M95="Y",IFERROR(1*'Daily Workforce'!$P95&gt;=2,FALSE()))))),1,0)</f>
        <v>1</v>
      </c>
      <c r="DC23" s="1" t="n">
        <f aca="false">IF(AND('Daily Workforce'!$N96="Y",'Daily Workforce'!$B96&lt;&gt;"",COUNTIF('Daily Schedule'!$F$5:$F26,'Daily Workforce'!$B96)=0,IF('Daily Schedule'!$A27=45,'Daily Workforce'!$J96="Y",IF(OR('Daily Schedule'!$A27=4,'Daily Schedule'!$A27=8),IF(OR(WEEKDAY('Daily Schedule'!$B$2,2)=1,WEEKDAY('Daily Schedule'!$B$2,2)=4,WEEKDAY('Daily Schedule'!$B$2,2)=5,WEEKDAY('Daily Schedule'!$B$2,2)=7),IFERROR(1*'Daily Workforce'!$K96&gt;=3,FALSE()),IFERROR(1*'Daily Workforce'!$K96&gt;=2,FALSE())),IF(AND('Daily Schedule'!$A27&gt;=46,'Daily Schedule'!$A27&lt;=52),'Daily Workforce'!$M96="Y",IFERROR(1*'Daily Workforce'!$P96&gt;=2,FALSE()))))),1,0)</f>
        <v>1</v>
      </c>
      <c r="DD23" s="1" t="n">
        <f aca="false">IF(AND('Daily Workforce'!$N97="Y",'Daily Workforce'!$B97&lt;&gt;"",COUNTIF('Daily Schedule'!$F$5:$F26,'Daily Workforce'!$B97)=0,IF('Daily Schedule'!$A27=45,'Daily Workforce'!$J97="Y",IF(OR('Daily Schedule'!$A27=4,'Daily Schedule'!$A27=8),IF(OR(WEEKDAY('Daily Schedule'!$B$2,2)=1,WEEKDAY('Daily Schedule'!$B$2,2)=4,WEEKDAY('Daily Schedule'!$B$2,2)=5,WEEKDAY('Daily Schedule'!$B$2,2)=7),IFERROR(1*'Daily Workforce'!$K97&gt;=3,FALSE()),IFERROR(1*'Daily Workforce'!$K97&gt;=2,FALSE())),IF(AND('Daily Schedule'!$A27&gt;=46,'Daily Schedule'!$A27&lt;=52),'Daily Workforce'!$M97="Y",IFERROR(1*'Daily Workforce'!$P97&gt;=2,FALSE()))))),1,0)</f>
        <v>1</v>
      </c>
      <c r="DE23" s="1" t="n">
        <f aca="false">IF(AND('Daily Workforce'!$N98="Y",'Daily Workforce'!$B98&lt;&gt;"",COUNTIF('Daily Schedule'!$F$5:$F26,'Daily Workforce'!$B98)=0,IF('Daily Schedule'!$A27=45,'Daily Workforce'!$J98="Y",IF(OR('Daily Schedule'!$A27=4,'Daily Schedule'!$A27=8),IF(OR(WEEKDAY('Daily Schedule'!$B$2,2)=1,WEEKDAY('Daily Schedule'!$B$2,2)=4,WEEKDAY('Daily Schedule'!$B$2,2)=5,WEEKDAY('Daily Schedule'!$B$2,2)=7),IFERROR(1*'Daily Workforce'!$K98&gt;=3,FALSE()),IFERROR(1*'Daily Workforce'!$K98&gt;=2,FALSE())),IF(AND('Daily Schedule'!$A27&gt;=46,'Daily Schedule'!$A27&lt;=52),'Daily Workforce'!$M98="Y",IFERROR(1*'Daily Workforce'!$P98&gt;=2,FALSE()))))),1,0)</f>
        <v>1</v>
      </c>
      <c r="DF23" s="1" t="n">
        <f aca="false">IF(AND('Daily Workforce'!$N99="Y",'Daily Workforce'!$B99&lt;&gt;"",COUNTIF('Daily Schedule'!$F$5:$F26,'Daily Workforce'!$B99)=0,IF('Daily Schedule'!$A27=45,'Daily Workforce'!$J99="Y",IF(OR('Daily Schedule'!$A27=4,'Daily Schedule'!$A27=8),IF(OR(WEEKDAY('Daily Schedule'!$B$2,2)=1,WEEKDAY('Daily Schedule'!$B$2,2)=4,WEEKDAY('Daily Schedule'!$B$2,2)=5,WEEKDAY('Daily Schedule'!$B$2,2)=7),IFERROR(1*'Daily Workforce'!$K99&gt;=3,FALSE()),IFERROR(1*'Daily Workforce'!$K99&gt;=2,FALSE())),IF(AND('Daily Schedule'!$A27&gt;=46,'Daily Schedule'!$A27&lt;=52),'Daily Workforce'!$M99="Y",IFERROR(1*'Daily Workforce'!$P99&gt;=2,FALSE()))))),1,0)</f>
        <v>1</v>
      </c>
      <c r="DG23" s="1" t="n">
        <f aca="false">IF(AND('Daily Workforce'!$N100="Y",'Daily Workforce'!$B100&lt;&gt;"",COUNTIF('Daily Schedule'!$F$5:$F26,'Daily Workforce'!$B100)=0,IF('Daily Schedule'!$A27=45,'Daily Workforce'!$J100="Y",IF(OR('Daily Schedule'!$A27=4,'Daily Schedule'!$A27=8),IF(OR(WEEKDAY('Daily Schedule'!$B$2,2)=1,WEEKDAY('Daily Schedule'!$B$2,2)=4,WEEKDAY('Daily Schedule'!$B$2,2)=5,WEEKDAY('Daily Schedule'!$B$2,2)=7),IFERROR(1*'Daily Workforce'!$K100&gt;=3,FALSE()),IFERROR(1*'Daily Workforce'!$K100&gt;=2,FALSE())),IF(AND('Daily Schedule'!$A27&gt;=46,'Daily Schedule'!$A27&lt;=52),'Daily Workforce'!$M100="Y",IFERROR(1*'Daily Workforce'!$P100&gt;=2,FALSE()))))),1,0)</f>
        <v>1</v>
      </c>
      <c r="DH23" s="1" t="n">
        <f aca="false">IF(AND('Daily Workforce'!$N101="Y",'Daily Workforce'!$B101&lt;&gt;"",COUNTIF('Daily Schedule'!$F$5:$F26,'Daily Workforce'!$B101)=0,IF('Daily Schedule'!$A27=45,'Daily Workforce'!$J101="Y",IF(OR('Daily Schedule'!$A27=4,'Daily Schedule'!$A27=8),IF(OR(WEEKDAY('Daily Schedule'!$B$2,2)=1,WEEKDAY('Daily Schedule'!$B$2,2)=4,WEEKDAY('Daily Schedule'!$B$2,2)=5,WEEKDAY('Daily Schedule'!$B$2,2)=7),IFERROR(1*'Daily Workforce'!$K101&gt;=3,FALSE()),IFERROR(1*'Daily Workforce'!$K101&gt;=2,FALSE())),IF(AND('Daily Schedule'!$A27&gt;=46,'Daily Schedule'!$A27&lt;=52),'Daily Workforce'!$M101="Y",IFERROR(1*'Daily Workforce'!$P101&gt;=2,FALSE()))))),1,0)</f>
        <v>1</v>
      </c>
      <c r="DI23" s="1" t="n">
        <f aca="false">IF(AND('Daily Workforce'!$N102="Y",'Daily Workforce'!$B102&lt;&gt;"",COUNTIF('Daily Schedule'!$F$5:$F26,'Daily Workforce'!$B102)=0,IF('Daily Schedule'!$A27=45,'Daily Workforce'!$J102="Y",IF(OR('Daily Schedule'!$A27=4,'Daily Schedule'!$A27=8),IF(OR(WEEKDAY('Daily Schedule'!$B$2,2)=1,WEEKDAY('Daily Schedule'!$B$2,2)=4,WEEKDAY('Daily Schedule'!$B$2,2)=5,WEEKDAY('Daily Schedule'!$B$2,2)=7),IFERROR(1*'Daily Workforce'!$K102&gt;=3,FALSE()),IFERROR(1*'Daily Workforce'!$K102&gt;=2,FALSE())),IF(AND('Daily Schedule'!$A27&gt;=46,'Daily Schedule'!$A27&lt;=52),'Daily Workforce'!$M102="Y",IFERROR(1*'Daily Workforce'!$P102&gt;=2,FALSE()))))),1,0)</f>
        <v>1</v>
      </c>
      <c r="DJ23" s="1" t="n">
        <f aca="false">IF(AND('Daily Workforce'!$N103="Y",'Daily Workforce'!$B103&lt;&gt;"",COUNTIF('Daily Schedule'!$F$5:$F26,'Daily Workforce'!$B103)=0,IF('Daily Schedule'!$A27=45,'Daily Workforce'!$J103="Y",IF(OR('Daily Schedule'!$A27=4,'Daily Schedule'!$A27=8),IF(OR(WEEKDAY('Daily Schedule'!$B$2,2)=1,WEEKDAY('Daily Schedule'!$B$2,2)=4,WEEKDAY('Daily Schedule'!$B$2,2)=5,WEEKDAY('Daily Schedule'!$B$2,2)=7),IFERROR(1*'Daily Workforce'!$K103&gt;=3,FALSE()),IFERROR(1*'Daily Workforce'!$K103&gt;=2,FALSE())),IF(AND('Daily Schedule'!$A27&gt;=46,'Daily Schedule'!$A27&lt;=52),'Daily Workforce'!$M103="Y",IFERROR(1*'Daily Workforce'!$P103&gt;=2,FALSE()))))),1,0)</f>
        <v>1</v>
      </c>
      <c r="DK23" s="1" t="n">
        <f aca="false">IF(AND('Daily Workforce'!$N104="Y",'Daily Workforce'!$B104&lt;&gt;"",COUNTIF('Daily Schedule'!$F$5:$F26,'Daily Workforce'!$B104)=0,IF('Daily Schedule'!$A27=45,'Daily Workforce'!$J104="Y",IF(OR('Daily Schedule'!$A27=4,'Daily Schedule'!$A27=8),IF(OR(WEEKDAY('Daily Schedule'!$B$2,2)=1,WEEKDAY('Daily Schedule'!$B$2,2)=4,WEEKDAY('Daily Schedule'!$B$2,2)=5,WEEKDAY('Daily Schedule'!$B$2,2)=7),IFERROR(1*'Daily Workforce'!$K104&gt;=3,FALSE()),IFERROR(1*'Daily Workforce'!$K104&gt;=2,FALSE())),IF(AND('Daily Schedule'!$A27&gt;=46,'Daily Schedule'!$A27&lt;=52),'Daily Workforce'!$M104="Y",IFERROR(1*'Daily Workforce'!$P104&gt;=2,FALSE()))))),1,0)</f>
        <v>1</v>
      </c>
      <c r="DL23" s="1" t="n">
        <f aca="false">IF(AND('Daily Workforce'!$N105="Y",'Daily Workforce'!$B105&lt;&gt;"",COUNTIF('Daily Schedule'!$F$5:$F26,'Daily Workforce'!$B105)=0,IF('Daily Schedule'!$A27=45,'Daily Workforce'!$J105="Y",IF(OR('Daily Schedule'!$A27=4,'Daily Schedule'!$A27=8),IF(OR(WEEKDAY('Daily Schedule'!$B$2,2)=1,WEEKDAY('Daily Schedule'!$B$2,2)=4,WEEKDAY('Daily Schedule'!$B$2,2)=5,WEEKDAY('Daily Schedule'!$B$2,2)=7),IFERROR(1*'Daily Workforce'!$K105&gt;=3,FALSE()),IFERROR(1*'Daily Workforce'!$K105&gt;=2,FALSE())),IF(AND('Daily Schedule'!$A27&gt;=46,'Daily Schedule'!$A27&lt;=52),'Daily Workforce'!$M105="Y",IFERROR(1*'Daily Workforce'!$P105&gt;=2,FALSE()))))),1,0)</f>
        <v>0</v>
      </c>
      <c r="DM23" s="1" t="n">
        <f aca="false">IF(AND('Daily Workforce'!$N106="Y",'Daily Workforce'!$B106&lt;&gt;"",COUNTIF('Daily Schedule'!$F$5:$F26,'Daily Workforce'!$B106)=0,IF('Daily Schedule'!$A27=45,'Daily Workforce'!$J106="Y",IF(OR('Daily Schedule'!$A27=4,'Daily Schedule'!$A27=8),IF(OR(WEEKDAY('Daily Schedule'!$B$2,2)=1,WEEKDAY('Daily Schedule'!$B$2,2)=4,WEEKDAY('Daily Schedule'!$B$2,2)=5,WEEKDAY('Daily Schedule'!$B$2,2)=7),IFERROR(1*'Daily Workforce'!$K106&gt;=3,FALSE()),IFERROR(1*'Daily Workforce'!$K106&gt;=2,FALSE())),IF(AND('Daily Schedule'!$A27&gt;=46,'Daily Schedule'!$A27&lt;=52),'Daily Workforce'!$M106="Y",IFERROR(1*'Daily Workforce'!$P106&gt;=2,FALSE()))))),1,0)</f>
        <v>1</v>
      </c>
      <c r="DN23" s="1" t="n">
        <f aca="false">IF(AND('Daily Workforce'!$N107="Y",'Daily Workforce'!$B107&lt;&gt;"",COUNTIF('Daily Schedule'!$F$5:$F26,'Daily Workforce'!$B107)=0,IF('Daily Schedule'!$A27=45,'Daily Workforce'!$J107="Y",IF(OR('Daily Schedule'!$A27=4,'Daily Schedule'!$A27=8),IF(OR(WEEKDAY('Daily Schedule'!$B$2,2)=1,WEEKDAY('Daily Schedule'!$B$2,2)=4,WEEKDAY('Daily Schedule'!$B$2,2)=5,WEEKDAY('Daily Schedule'!$B$2,2)=7),IFERROR(1*'Daily Workforce'!$K107&gt;=3,FALSE()),IFERROR(1*'Daily Workforce'!$K107&gt;=2,FALSE())),IF(AND('Daily Schedule'!$A27&gt;=46,'Daily Schedule'!$A27&lt;=52),'Daily Workforce'!$M107="Y",IFERROR(1*'Daily Workforce'!$P107&gt;=2,FALSE()))))),1,0)</f>
        <v>1</v>
      </c>
      <c r="DO23" s="1" t="n">
        <f aca="false">IF(AND('Daily Workforce'!$N108="Y",'Daily Workforce'!$B108&lt;&gt;"",COUNTIF('Daily Schedule'!$F$5:$F26,'Daily Workforce'!$B108)=0,IF('Daily Schedule'!$A27=45,'Daily Workforce'!$J108="Y",IF(OR('Daily Schedule'!$A27=4,'Daily Schedule'!$A27=8),IF(OR(WEEKDAY('Daily Schedule'!$B$2,2)=1,WEEKDAY('Daily Schedule'!$B$2,2)=4,WEEKDAY('Daily Schedule'!$B$2,2)=5,WEEKDAY('Daily Schedule'!$B$2,2)=7),IFERROR(1*'Daily Workforce'!$K108&gt;=3,FALSE()),IFERROR(1*'Daily Workforce'!$K108&gt;=2,FALSE())),IF(AND('Daily Schedule'!$A27&gt;=46,'Daily Schedule'!$A27&lt;=52),'Daily Workforce'!$M108="Y",IFERROR(1*'Daily Workforce'!$P108&gt;=2,FALSE()))))),1,0)</f>
        <v>1</v>
      </c>
      <c r="DP23" s="1" t="n">
        <f aca="false">IF(AND('Daily Workforce'!$N109="Y",'Daily Workforce'!$B109&lt;&gt;"",COUNTIF('Daily Schedule'!$F$5:$F26,'Daily Workforce'!$B109)=0,IF('Daily Schedule'!$A27=45,'Daily Workforce'!$J109="Y",IF(OR('Daily Schedule'!$A27=4,'Daily Schedule'!$A27=8),IF(OR(WEEKDAY('Daily Schedule'!$B$2,2)=1,WEEKDAY('Daily Schedule'!$B$2,2)=4,WEEKDAY('Daily Schedule'!$B$2,2)=5,WEEKDAY('Daily Schedule'!$B$2,2)=7),IFERROR(1*'Daily Workforce'!$K109&gt;=3,FALSE()),IFERROR(1*'Daily Workforce'!$K109&gt;=2,FALSE())),IF(AND('Daily Schedule'!$A27&gt;=46,'Daily Schedule'!$A27&lt;=52),'Daily Workforce'!$M109="Y",IFERROR(1*'Daily Workforce'!$P109&gt;=2,FALSE()))))),1,0)</f>
        <v>1</v>
      </c>
      <c r="DQ23" s="1" t="n">
        <f aca="false">IF(AND('Daily Workforce'!$N110="Y",'Daily Workforce'!$B110&lt;&gt;"",COUNTIF('Daily Schedule'!$F$5:$F26,'Daily Workforce'!$B110)=0,IF('Daily Schedule'!$A27=45,'Daily Workforce'!$J110="Y",IF(OR('Daily Schedule'!$A27=4,'Daily Schedule'!$A27=8),IF(OR(WEEKDAY('Daily Schedule'!$B$2,2)=1,WEEKDAY('Daily Schedule'!$B$2,2)=4,WEEKDAY('Daily Schedule'!$B$2,2)=5,WEEKDAY('Daily Schedule'!$B$2,2)=7),IFERROR(1*'Daily Workforce'!$K110&gt;=3,FALSE()),IFERROR(1*'Daily Workforce'!$K110&gt;=2,FALSE())),IF(AND('Daily Schedule'!$A27&gt;=46,'Daily Schedule'!$A27&lt;=52),'Daily Workforce'!$M110="Y",IFERROR(1*'Daily Workforce'!$P110&gt;=2,FALSE()))))),1,0)</f>
        <v>1</v>
      </c>
      <c r="DR23" s="1" t="n">
        <f aca="false">IF(AND('Daily Workforce'!$N111="Y",'Daily Workforce'!$B111&lt;&gt;"",COUNTIF('Daily Schedule'!$F$5:$F26,'Daily Workforce'!$B111)=0,IF('Daily Schedule'!$A27=45,'Daily Workforce'!$J111="Y",IF(OR('Daily Schedule'!$A27=4,'Daily Schedule'!$A27=8),IF(OR(WEEKDAY('Daily Schedule'!$B$2,2)=1,WEEKDAY('Daily Schedule'!$B$2,2)=4,WEEKDAY('Daily Schedule'!$B$2,2)=5,WEEKDAY('Daily Schedule'!$B$2,2)=7),IFERROR(1*'Daily Workforce'!$K111&gt;=3,FALSE()),IFERROR(1*'Daily Workforce'!$K111&gt;=2,FALSE())),IF(AND('Daily Schedule'!$A27&gt;=46,'Daily Schedule'!$A27&lt;=52),'Daily Workforce'!$M111="Y",IFERROR(1*'Daily Workforce'!$P111&gt;=2,FALSE()))))),1,0)</f>
        <v>1</v>
      </c>
      <c r="DS23" s="1" t="n">
        <f aca="false">IF(AND('Daily Workforce'!$N112="Y",'Daily Workforce'!$B112&lt;&gt;"",COUNTIF('Daily Schedule'!$F$5:$F26,'Daily Workforce'!$B112)=0,IF('Daily Schedule'!$A27=45,'Daily Workforce'!$J112="Y",IF(OR('Daily Schedule'!$A27=4,'Daily Schedule'!$A27=8),IF(OR(WEEKDAY('Daily Schedule'!$B$2,2)=1,WEEKDAY('Daily Schedule'!$B$2,2)=4,WEEKDAY('Daily Schedule'!$B$2,2)=5,WEEKDAY('Daily Schedule'!$B$2,2)=7),IFERROR(1*'Daily Workforce'!$K112&gt;=3,FALSE()),IFERROR(1*'Daily Workforce'!$K112&gt;=2,FALSE())),IF(AND('Daily Schedule'!$A27&gt;=46,'Daily Schedule'!$A27&lt;=52),'Daily Workforce'!$M112="Y",IFERROR(1*'Daily Workforce'!$P112&gt;=2,FALSE()))))),1,0)</f>
        <v>1</v>
      </c>
      <c r="DT23" s="1" t="n">
        <f aca="false">IF(AND('Daily Workforce'!$N113="Y",'Daily Workforce'!$B113&lt;&gt;"",COUNTIF('Daily Schedule'!$F$5:$F26,'Daily Workforce'!$B113)=0,IF('Daily Schedule'!$A27=45,'Daily Workforce'!$J113="Y",IF(OR('Daily Schedule'!$A27=4,'Daily Schedule'!$A27=8),IF(OR(WEEKDAY('Daily Schedule'!$B$2,2)=1,WEEKDAY('Daily Schedule'!$B$2,2)=4,WEEKDAY('Daily Schedule'!$B$2,2)=5,WEEKDAY('Daily Schedule'!$B$2,2)=7),IFERROR(1*'Daily Workforce'!$K113&gt;=3,FALSE()),IFERROR(1*'Daily Workforce'!$K113&gt;=2,FALSE())),IF(AND('Daily Schedule'!$A27&gt;=46,'Daily Schedule'!$A27&lt;=52),'Daily Workforce'!$M113="Y",IFERROR(1*'Daily Workforce'!$P113&gt;=2,FALSE()))))),1,0)</f>
        <v>1</v>
      </c>
      <c r="DU23" s="1" t="n">
        <f aca="false">IF(AND('Daily Workforce'!$N114="Y",'Daily Workforce'!$B114&lt;&gt;"",COUNTIF('Daily Schedule'!$F$5:$F26,'Daily Workforce'!$B114)=0,IF('Daily Schedule'!$A27=45,'Daily Workforce'!$J114="Y",IF(OR('Daily Schedule'!$A27=4,'Daily Schedule'!$A27=8),IF(OR(WEEKDAY('Daily Schedule'!$B$2,2)=1,WEEKDAY('Daily Schedule'!$B$2,2)=4,WEEKDAY('Daily Schedule'!$B$2,2)=5,WEEKDAY('Daily Schedule'!$B$2,2)=7),IFERROR(1*'Daily Workforce'!$K114&gt;=3,FALSE()),IFERROR(1*'Daily Workforce'!$K114&gt;=2,FALSE())),IF(AND('Daily Schedule'!$A27&gt;=46,'Daily Schedule'!$A27&lt;=52),'Daily Workforce'!$M114="Y",IFERROR(1*'Daily Workforce'!$P114&gt;=2,FALSE()))))),1,0)</f>
        <v>1</v>
      </c>
      <c r="DV23" s="1" t="n">
        <f aca="false">IF(AND('Daily Workforce'!$N115="Y",'Daily Workforce'!$B115&lt;&gt;"",COUNTIF('Daily Schedule'!$F$5:$F26,'Daily Workforce'!$B115)=0,IF('Daily Schedule'!$A27=45,'Daily Workforce'!$J115="Y",IF(OR('Daily Schedule'!$A27=4,'Daily Schedule'!$A27=8),IF(OR(WEEKDAY('Daily Schedule'!$B$2,2)=1,WEEKDAY('Daily Schedule'!$B$2,2)=4,WEEKDAY('Daily Schedule'!$B$2,2)=5,WEEKDAY('Daily Schedule'!$B$2,2)=7),IFERROR(1*'Daily Workforce'!$K115&gt;=3,FALSE()),IFERROR(1*'Daily Workforce'!$K115&gt;=2,FALSE())),IF(AND('Daily Schedule'!$A27&gt;=46,'Daily Schedule'!$A27&lt;=52),'Daily Workforce'!$M115="Y",IFERROR(1*'Daily Workforce'!$P115&gt;=2,FALSE()))))),1,0)</f>
        <v>1</v>
      </c>
      <c r="DW23" s="1" t="n">
        <f aca="false">IF(AND('Daily Workforce'!$N116="Y",'Daily Workforce'!$B116&lt;&gt;"",COUNTIF('Daily Schedule'!$F$5:$F26,'Daily Workforce'!$B116)=0,IF('Daily Schedule'!$A27=45,'Daily Workforce'!$J116="Y",IF(OR('Daily Schedule'!$A27=4,'Daily Schedule'!$A27=8),IF(OR(WEEKDAY('Daily Schedule'!$B$2,2)=1,WEEKDAY('Daily Schedule'!$B$2,2)=4,WEEKDAY('Daily Schedule'!$B$2,2)=5,WEEKDAY('Daily Schedule'!$B$2,2)=7),IFERROR(1*'Daily Workforce'!$K116&gt;=3,FALSE()),IFERROR(1*'Daily Workforce'!$K116&gt;=2,FALSE())),IF(AND('Daily Schedule'!$A27&gt;=46,'Daily Schedule'!$A27&lt;=52),'Daily Workforce'!$M116="Y",IFERROR(1*'Daily Workforce'!$P116&gt;=2,FALSE()))))),1,0)</f>
        <v>1</v>
      </c>
      <c r="DX23" s="1" t="n">
        <f aca="false">IF(AND('Daily Workforce'!$N117="Y",'Daily Workforce'!$B117&lt;&gt;"",COUNTIF('Daily Schedule'!$F$5:$F26,'Daily Workforce'!$B117)=0,IF('Daily Schedule'!$A27=45,'Daily Workforce'!$J117="Y",IF(OR('Daily Schedule'!$A27=4,'Daily Schedule'!$A27=8),IF(OR(WEEKDAY('Daily Schedule'!$B$2,2)=1,WEEKDAY('Daily Schedule'!$B$2,2)=4,WEEKDAY('Daily Schedule'!$B$2,2)=5,WEEKDAY('Daily Schedule'!$B$2,2)=7),IFERROR(1*'Daily Workforce'!$K117&gt;=3,FALSE()),IFERROR(1*'Daily Workforce'!$K117&gt;=2,FALSE())),IF(AND('Daily Schedule'!$A27&gt;=46,'Daily Schedule'!$A27&lt;=52),'Daily Workforce'!$M117="Y",IFERROR(1*'Daily Workforce'!$P117&gt;=2,FALSE()))))),1,0)</f>
        <v>1</v>
      </c>
      <c r="DY23" s="1" t="n">
        <f aca="false">IF(AND('Daily Workforce'!$N118="Y",'Daily Workforce'!$B118&lt;&gt;"",COUNTIF('Daily Schedule'!$F$5:$F26,'Daily Workforce'!$B118)=0,IF('Daily Schedule'!$A27=45,'Daily Workforce'!$J118="Y",IF(OR('Daily Schedule'!$A27=4,'Daily Schedule'!$A27=8),IF(OR(WEEKDAY('Daily Schedule'!$B$2,2)=1,WEEKDAY('Daily Schedule'!$B$2,2)=4,WEEKDAY('Daily Schedule'!$B$2,2)=5,WEEKDAY('Daily Schedule'!$B$2,2)=7),IFERROR(1*'Daily Workforce'!$K118&gt;=3,FALSE()),IFERROR(1*'Daily Workforce'!$K118&gt;=2,FALSE())),IF(AND('Daily Schedule'!$A27&gt;=46,'Daily Schedule'!$A27&lt;=52),'Daily Workforce'!$M118="Y",IFERROR(1*'Daily Workforce'!$P118&gt;=2,FALSE()))))),1,0)</f>
        <v>0</v>
      </c>
      <c r="DZ23" s="1" t="n">
        <f aca="false">IF(AND('Daily Workforce'!$N119="Y",'Daily Workforce'!$B119&lt;&gt;"",COUNTIF('Daily Schedule'!$F$5:$F26,'Daily Workforce'!$B119)=0,IF('Daily Schedule'!$A27=45,'Daily Workforce'!$J119="Y",IF(OR('Daily Schedule'!$A27=4,'Daily Schedule'!$A27=8),IF(OR(WEEKDAY('Daily Schedule'!$B$2,2)=1,WEEKDAY('Daily Schedule'!$B$2,2)=4,WEEKDAY('Daily Schedule'!$B$2,2)=5,WEEKDAY('Daily Schedule'!$B$2,2)=7),IFERROR(1*'Daily Workforce'!$K119&gt;=3,FALSE()),IFERROR(1*'Daily Workforce'!$K119&gt;=2,FALSE())),IF(AND('Daily Schedule'!$A27&gt;=46,'Daily Schedule'!$A27&lt;=52),'Daily Workforce'!$M119="Y",IFERROR(1*'Daily Workforce'!$P119&gt;=2,FALSE()))))),1,0)</f>
        <v>0</v>
      </c>
      <c r="EA23" s="1" t="n">
        <f aca="false">IF(AND('Daily Workforce'!$N120="Y",'Daily Workforce'!$B120&lt;&gt;"",COUNTIF('Daily Schedule'!$F$5:$F26,'Daily Workforce'!$B120)=0,IF('Daily Schedule'!$A27=45,'Daily Workforce'!$J120="Y",IF(OR('Daily Schedule'!$A27=4,'Daily Schedule'!$A27=8),IF(OR(WEEKDAY('Daily Schedule'!$B$2,2)=1,WEEKDAY('Daily Schedule'!$B$2,2)=4,WEEKDAY('Daily Schedule'!$B$2,2)=5,WEEKDAY('Daily Schedule'!$B$2,2)=7),IFERROR(1*'Daily Workforce'!$K120&gt;=3,FALSE()),IFERROR(1*'Daily Workforce'!$K120&gt;=2,FALSE())),IF(AND('Daily Schedule'!$A27&gt;=46,'Daily Schedule'!$A27&lt;=52),'Daily Workforce'!$M120="Y",IFERROR(1*'Daily Workforce'!$P120&gt;=2,FALSE()))))),1,0)</f>
        <v>0</v>
      </c>
      <c r="EB23" s="1" t="n">
        <f aca="false">IF(AND('Daily Workforce'!$N121="Y",'Daily Workforce'!$B121&lt;&gt;"",COUNTIF('Daily Schedule'!$F$5:$F26,'Daily Workforce'!$B121)=0,IF('Daily Schedule'!$A27=45,'Daily Workforce'!$J121="Y",IF(OR('Daily Schedule'!$A27=4,'Daily Schedule'!$A27=8),IF(OR(WEEKDAY('Daily Schedule'!$B$2,2)=1,WEEKDAY('Daily Schedule'!$B$2,2)=4,WEEKDAY('Daily Schedule'!$B$2,2)=5,WEEKDAY('Daily Schedule'!$B$2,2)=7),IFERROR(1*'Daily Workforce'!$K121&gt;=3,FALSE()),IFERROR(1*'Daily Workforce'!$K121&gt;=2,FALSE())),IF(AND('Daily Schedule'!$A27&gt;=46,'Daily Schedule'!$A27&lt;=52),'Daily Workforce'!$M121="Y",IFERROR(1*'Daily Workforce'!$P121&gt;=2,FALSE()))))),1,0)</f>
        <v>0</v>
      </c>
      <c r="EC23" s="1" t="n">
        <f aca="false">IF(AND('Daily Workforce'!$N122="Y",'Daily Workforce'!$B122&lt;&gt;"",COUNTIF('Daily Schedule'!$F$5:$F26,'Daily Workforce'!$B122)=0,IF('Daily Schedule'!$A27=45,'Daily Workforce'!$J122="Y",IF(OR('Daily Schedule'!$A27=4,'Daily Schedule'!$A27=8),IF(OR(WEEKDAY('Daily Schedule'!$B$2,2)=1,WEEKDAY('Daily Schedule'!$B$2,2)=4,WEEKDAY('Daily Schedule'!$B$2,2)=5,WEEKDAY('Daily Schedule'!$B$2,2)=7),IFERROR(1*'Daily Workforce'!$K122&gt;=3,FALSE()),IFERROR(1*'Daily Workforce'!$K122&gt;=2,FALSE())),IF(AND('Daily Schedule'!$A27&gt;=46,'Daily Schedule'!$A27&lt;=52),'Daily Workforce'!$M122="Y",IFERROR(1*'Daily Workforce'!$P122&gt;=2,FALSE()))))),1,0)</f>
        <v>0</v>
      </c>
      <c r="ED23" s="1" t="n">
        <f aca="false">IF(AND('Daily Workforce'!$N123="Y",'Daily Workforce'!$B123&lt;&gt;"",COUNTIF('Daily Schedule'!$F$5:$F26,'Daily Workforce'!$B123)=0,IF('Daily Schedule'!$A27=45,'Daily Workforce'!$J123="Y",IF(OR('Daily Schedule'!$A27=4,'Daily Schedule'!$A27=8),IF(OR(WEEKDAY('Daily Schedule'!$B$2,2)=1,WEEKDAY('Daily Schedule'!$B$2,2)=4,WEEKDAY('Daily Schedule'!$B$2,2)=5,WEEKDAY('Daily Schedule'!$B$2,2)=7),IFERROR(1*'Daily Workforce'!$K123&gt;=3,FALSE()),IFERROR(1*'Daily Workforce'!$K123&gt;=2,FALSE())),IF(AND('Daily Schedule'!$A27&gt;=46,'Daily Schedule'!$A27&lt;=52),'Daily Workforce'!$M123="Y",IFERROR(1*'Daily Workforce'!$P123&gt;=2,FALSE()))))),1,0)</f>
        <v>0</v>
      </c>
      <c r="EE23" s="1" t="n">
        <f aca="false">IF(AND('Daily Workforce'!$N124="Y",'Daily Workforce'!$B124&lt;&gt;"",COUNTIF('Daily Schedule'!$F$5:$F26,'Daily Workforce'!$B124)=0,IF('Daily Schedule'!$A27=45,'Daily Workforce'!$J124="Y",IF(OR('Daily Schedule'!$A27=4,'Daily Schedule'!$A27=8),IF(OR(WEEKDAY('Daily Schedule'!$B$2,2)=1,WEEKDAY('Daily Schedule'!$B$2,2)=4,WEEKDAY('Daily Schedule'!$B$2,2)=5,WEEKDAY('Daily Schedule'!$B$2,2)=7),IFERROR(1*'Daily Workforce'!$K124&gt;=3,FALSE()),IFERROR(1*'Daily Workforce'!$K124&gt;=2,FALSE())),IF(AND('Daily Schedule'!$A27&gt;=46,'Daily Schedule'!$A27&lt;=52),'Daily Workforce'!$M124="Y",IFERROR(1*'Daily Workforce'!$P124&gt;=2,FALSE()))))),1,0)</f>
        <v>0</v>
      </c>
      <c r="EF23" s="1" t="n">
        <f aca="false">IF(AND('Daily Workforce'!$N125="Y",'Daily Workforce'!$B125&lt;&gt;"",COUNTIF('Daily Schedule'!$F$5:$F26,'Daily Workforce'!$B125)=0,IF('Daily Schedule'!$A27=45,'Daily Workforce'!$J125="Y",IF(OR('Daily Schedule'!$A27=4,'Daily Schedule'!$A27=8),IF(OR(WEEKDAY('Daily Schedule'!$B$2,2)=1,WEEKDAY('Daily Schedule'!$B$2,2)=4,WEEKDAY('Daily Schedule'!$B$2,2)=5,WEEKDAY('Daily Schedule'!$B$2,2)=7),IFERROR(1*'Daily Workforce'!$K125&gt;=3,FALSE()),IFERROR(1*'Daily Workforce'!$K125&gt;=2,FALSE())),IF(AND('Daily Schedule'!$A27&gt;=46,'Daily Schedule'!$A27&lt;=52),'Daily Workforce'!$M125="Y",IFERROR(1*'Daily Workforce'!$P125&gt;=2,FALSE()))))),1,0)</f>
        <v>0</v>
      </c>
      <c r="EG23" s="1" t="n">
        <f aca="false">IF(AND('Daily Workforce'!$N126="Y",'Daily Workforce'!$B126&lt;&gt;"",COUNTIF('Daily Schedule'!$F$5:$F26,'Daily Workforce'!$B126)=0,IF('Daily Schedule'!$A27=45,'Daily Workforce'!$J126="Y",IF(OR('Daily Schedule'!$A27=4,'Daily Schedule'!$A27=8),IF(OR(WEEKDAY('Daily Schedule'!$B$2,2)=1,WEEKDAY('Daily Schedule'!$B$2,2)=4,WEEKDAY('Daily Schedule'!$B$2,2)=5,WEEKDAY('Daily Schedule'!$B$2,2)=7),IFERROR(1*'Daily Workforce'!$K126&gt;=3,FALSE()),IFERROR(1*'Daily Workforce'!$K126&gt;=2,FALSE())),IF(AND('Daily Schedule'!$A27&gt;=46,'Daily Schedule'!$A27&lt;=52),'Daily Workforce'!$M126="Y",IFERROR(1*'Daily Workforce'!$P126&gt;=2,FALSE()))))),1,0)</f>
        <v>0</v>
      </c>
      <c r="EH23" s="1" t="n">
        <f aca="false">IF(AND('Daily Workforce'!$N127="Y",'Daily Workforce'!$B127&lt;&gt;"",COUNTIF('Daily Schedule'!$F$5:$F26,'Daily Workforce'!$B127)=0,IF('Daily Schedule'!$A27=45,'Daily Workforce'!$J127="Y",IF(OR('Daily Schedule'!$A27=4,'Daily Schedule'!$A27=8),IF(OR(WEEKDAY('Daily Schedule'!$B$2,2)=1,WEEKDAY('Daily Schedule'!$B$2,2)=4,WEEKDAY('Daily Schedule'!$B$2,2)=5,WEEKDAY('Daily Schedule'!$B$2,2)=7),IFERROR(1*'Daily Workforce'!$K127&gt;=3,FALSE()),IFERROR(1*'Daily Workforce'!$K127&gt;=2,FALSE())),IF(AND('Daily Schedule'!$A27&gt;=46,'Daily Schedule'!$A27&lt;=52),'Daily Workforce'!$M127="Y",IFERROR(1*'Daily Workforce'!$P127&gt;=2,FALSE()))))),1,0)</f>
        <v>0</v>
      </c>
      <c r="EI23" s="1" t="n">
        <f aca="false">IF(AND('Daily Workforce'!$N128="Y",'Daily Workforce'!$B128&lt;&gt;"",COUNTIF('Daily Schedule'!$F$5:$F26,'Daily Workforce'!$B128)=0,IF('Daily Schedule'!$A27=45,'Daily Workforce'!$J128="Y",IF(OR('Daily Schedule'!$A27=4,'Daily Schedule'!$A27=8),IF(OR(WEEKDAY('Daily Schedule'!$B$2,2)=1,WEEKDAY('Daily Schedule'!$B$2,2)=4,WEEKDAY('Daily Schedule'!$B$2,2)=5,WEEKDAY('Daily Schedule'!$B$2,2)=7),IFERROR(1*'Daily Workforce'!$K128&gt;=3,FALSE()),IFERROR(1*'Daily Workforce'!$K128&gt;=2,FALSE())),IF(AND('Daily Schedule'!$A27&gt;=46,'Daily Schedule'!$A27&lt;=52),'Daily Workforce'!$M128="Y",IFERROR(1*'Daily Workforce'!$P128&gt;=2,FALSE()))))),1,0)</f>
        <v>0</v>
      </c>
      <c r="EJ23" s="1" t="n">
        <f aca="false">IF(AND('Daily Workforce'!$N129="Y",'Daily Workforce'!$B129&lt;&gt;"",COUNTIF('Daily Schedule'!$F$5:$F26,'Daily Workforce'!$B129)=0,IF('Daily Schedule'!$A27=45,'Daily Workforce'!$J129="Y",IF(OR('Daily Schedule'!$A27=4,'Daily Schedule'!$A27=8),IF(OR(WEEKDAY('Daily Schedule'!$B$2,2)=1,WEEKDAY('Daily Schedule'!$B$2,2)=4,WEEKDAY('Daily Schedule'!$B$2,2)=5,WEEKDAY('Daily Schedule'!$B$2,2)=7),IFERROR(1*'Daily Workforce'!$K129&gt;=3,FALSE()),IFERROR(1*'Daily Workforce'!$K129&gt;=2,FALSE())),IF(AND('Daily Schedule'!$A27&gt;=46,'Daily Schedule'!$A27&lt;=52),'Daily Workforce'!$M129="Y",IFERROR(1*'Daily Workforce'!$P129&gt;=2,FALSE()))))),1,0)</f>
        <v>0</v>
      </c>
      <c r="EK23" s="1" t="n">
        <f aca="false">IF(AND('Daily Workforce'!$N130="Y",'Daily Workforce'!$B130&lt;&gt;"",COUNTIF('Daily Schedule'!$F$5:$F26,'Daily Workforce'!$B130)=0,IF('Daily Schedule'!$A27=45,'Daily Workforce'!$J130="Y",IF(OR('Daily Schedule'!$A27=4,'Daily Schedule'!$A27=8),IF(OR(WEEKDAY('Daily Schedule'!$B$2,2)=1,WEEKDAY('Daily Schedule'!$B$2,2)=4,WEEKDAY('Daily Schedule'!$B$2,2)=5,WEEKDAY('Daily Schedule'!$B$2,2)=7),IFERROR(1*'Daily Workforce'!$K130&gt;=3,FALSE()),IFERROR(1*'Daily Workforce'!$K130&gt;=2,FALSE())),IF(AND('Daily Schedule'!$A27&gt;=46,'Daily Schedule'!$A27&lt;=52),'Daily Workforce'!$M130="Y",IFERROR(1*'Daily Workforce'!$P130&gt;=2,FALSE()))))),1,0)</f>
        <v>0</v>
      </c>
      <c r="EL23" s="1" t="n">
        <f aca="false">IF(AND('Daily Workforce'!$N131="Y",'Daily Workforce'!$B131&lt;&gt;"",COUNTIF('Daily Schedule'!$F$5:$F26,'Daily Workforce'!$B131)=0,IF('Daily Schedule'!$A27=45,'Daily Workforce'!$J131="Y",IF(OR('Daily Schedule'!$A27=4,'Daily Schedule'!$A27=8),IF(OR(WEEKDAY('Daily Schedule'!$B$2,2)=1,WEEKDAY('Daily Schedule'!$B$2,2)=4,WEEKDAY('Daily Schedule'!$B$2,2)=5,WEEKDAY('Daily Schedule'!$B$2,2)=7),IFERROR(1*'Daily Workforce'!$K131&gt;=3,FALSE()),IFERROR(1*'Daily Workforce'!$K131&gt;=2,FALSE())),IF(AND('Daily Schedule'!$A27&gt;=46,'Daily Schedule'!$A27&lt;=52),'Daily Workforce'!$M131="Y",IFERROR(1*'Daily Workforce'!$P131&gt;=2,FALSE()))))),1,0)</f>
        <v>0</v>
      </c>
      <c r="EM23" s="1" t="n">
        <f aca="false">IF(AND('Daily Workforce'!$N132="Y",'Daily Workforce'!$B132&lt;&gt;"",COUNTIF('Daily Schedule'!$F$5:$F26,'Daily Workforce'!$B132)=0,IF('Daily Schedule'!$A27=45,'Daily Workforce'!$J132="Y",IF(OR('Daily Schedule'!$A27=4,'Daily Schedule'!$A27=8),IF(OR(WEEKDAY('Daily Schedule'!$B$2,2)=1,WEEKDAY('Daily Schedule'!$B$2,2)=4,WEEKDAY('Daily Schedule'!$B$2,2)=5,WEEKDAY('Daily Schedule'!$B$2,2)=7),IFERROR(1*'Daily Workforce'!$K132&gt;=3,FALSE()),IFERROR(1*'Daily Workforce'!$K132&gt;=2,FALSE())),IF(AND('Daily Schedule'!$A27&gt;=46,'Daily Schedule'!$A27&lt;=52),'Daily Workforce'!$M132="Y",IFERROR(1*'Daily Workforce'!$P132&gt;=2,FALSE()))))),1,0)</f>
        <v>0</v>
      </c>
      <c r="EN23" s="1" t="n">
        <f aca="false">IF(AND('Daily Workforce'!$N133="Y",'Daily Workforce'!$B133&lt;&gt;"",COUNTIF('Daily Schedule'!$F$5:$F26,'Daily Workforce'!$B133)=0,IF('Daily Schedule'!$A27=45,'Daily Workforce'!$J133="Y",IF(OR('Daily Schedule'!$A27=4,'Daily Schedule'!$A27=8),IF(OR(WEEKDAY('Daily Schedule'!$B$2,2)=1,WEEKDAY('Daily Schedule'!$B$2,2)=4,WEEKDAY('Daily Schedule'!$B$2,2)=5,WEEKDAY('Daily Schedule'!$B$2,2)=7),IFERROR(1*'Daily Workforce'!$K133&gt;=3,FALSE()),IFERROR(1*'Daily Workforce'!$K133&gt;=2,FALSE())),IF(AND('Daily Schedule'!$A27&gt;=46,'Daily Schedule'!$A27&lt;=52),'Daily Workforce'!$M133="Y",IFERROR(1*'Daily Workforce'!$P133&gt;=2,FALSE()))))),1,0)</f>
        <v>0</v>
      </c>
      <c r="EO23" s="1" t="n">
        <f aca="false">IF(AND('Daily Workforce'!$N134="Y",'Daily Workforce'!$B134&lt;&gt;"",COUNTIF('Daily Schedule'!$F$5:$F26,'Daily Workforce'!$B134)=0,IF('Daily Schedule'!$A27=45,'Daily Workforce'!$J134="Y",IF(OR('Daily Schedule'!$A27=4,'Daily Schedule'!$A27=8),IF(OR(WEEKDAY('Daily Schedule'!$B$2,2)=1,WEEKDAY('Daily Schedule'!$B$2,2)=4,WEEKDAY('Daily Schedule'!$B$2,2)=5,WEEKDAY('Daily Schedule'!$B$2,2)=7),IFERROR(1*'Daily Workforce'!$K134&gt;=3,FALSE()),IFERROR(1*'Daily Workforce'!$K134&gt;=2,FALSE())),IF(AND('Daily Schedule'!$A27&gt;=46,'Daily Schedule'!$A27&lt;=52),'Daily Workforce'!$M134="Y",IFERROR(1*'Daily Workforce'!$P134&gt;=2,FALSE()))))),1,0)</f>
        <v>0</v>
      </c>
      <c r="EP23" s="1" t="n">
        <f aca="false">IF(AND('Daily Workforce'!$N135="Y",'Daily Workforce'!$B135&lt;&gt;"",COUNTIF('Daily Schedule'!$F$5:$F26,'Daily Workforce'!$B135)=0,IF('Daily Schedule'!$A27=45,'Daily Workforce'!$J135="Y",IF(OR('Daily Schedule'!$A27=4,'Daily Schedule'!$A27=8),IF(OR(WEEKDAY('Daily Schedule'!$B$2,2)=1,WEEKDAY('Daily Schedule'!$B$2,2)=4,WEEKDAY('Daily Schedule'!$B$2,2)=5,WEEKDAY('Daily Schedule'!$B$2,2)=7),IFERROR(1*'Daily Workforce'!$K135&gt;=3,FALSE()),IFERROR(1*'Daily Workforce'!$K135&gt;=2,FALSE())),IF(AND('Daily Schedule'!$A27&gt;=46,'Daily Schedule'!$A27&lt;=52),'Daily Workforce'!$M135="Y",IFERROR(1*'Daily Workforce'!$P135&gt;=2,FALSE()))))),1,0)</f>
        <v>0</v>
      </c>
      <c r="EQ23" s="1" t="n">
        <f aca="false">IF(AND('Daily Workforce'!$N136="Y",'Daily Workforce'!$B136&lt;&gt;"",COUNTIF('Daily Schedule'!$F$5:$F26,'Daily Workforce'!$B136)=0,IF('Daily Schedule'!$A27=45,'Daily Workforce'!$J136="Y",IF(OR('Daily Schedule'!$A27=4,'Daily Schedule'!$A27=8),IF(OR(WEEKDAY('Daily Schedule'!$B$2,2)=1,WEEKDAY('Daily Schedule'!$B$2,2)=4,WEEKDAY('Daily Schedule'!$B$2,2)=5,WEEKDAY('Daily Schedule'!$B$2,2)=7),IFERROR(1*'Daily Workforce'!$K136&gt;=3,FALSE()),IFERROR(1*'Daily Workforce'!$K136&gt;=2,FALSE())),IF(AND('Daily Schedule'!$A27&gt;=46,'Daily Schedule'!$A27&lt;=52),'Daily Workforce'!$M136="Y",IFERROR(1*'Daily Workforce'!$P136&gt;=2,FALSE()))))),1,0)</f>
        <v>0</v>
      </c>
      <c r="ER23" s="1" t="n">
        <f aca="false">IF(AND('Daily Workforce'!$N137="Y",'Daily Workforce'!$B137&lt;&gt;"",COUNTIF('Daily Schedule'!$F$5:$F26,'Daily Workforce'!$B137)=0,IF('Daily Schedule'!$A27=45,'Daily Workforce'!$J137="Y",IF(OR('Daily Schedule'!$A27=4,'Daily Schedule'!$A27=8),IF(OR(WEEKDAY('Daily Schedule'!$B$2,2)=1,WEEKDAY('Daily Schedule'!$B$2,2)=4,WEEKDAY('Daily Schedule'!$B$2,2)=5,WEEKDAY('Daily Schedule'!$B$2,2)=7),IFERROR(1*'Daily Workforce'!$K137&gt;=3,FALSE()),IFERROR(1*'Daily Workforce'!$K137&gt;=2,FALSE())),IF(AND('Daily Schedule'!$A27&gt;=46,'Daily Schedule'!$A27&lt;=52),'Daily Workforce'!$M137="Y",IFERROR(1*'Daily Workforce'!$P137&gt;=2,FALSE()))))),1,0)</f>
        <v>0</v>
      </c>
      <c r="ES23" s="1" t="n">
        <f aca="false">IF(AND('Daily Workforce'!$N138="Y",'Daily Workforce'!$B138&lt;&gt;"",COUNTIF('Daily Schedule'!$F$5:$F26,'Daily Workforce'!$B138)=0,IF('Daily Schedule'!$A27=45,'Daily Workforce'!$J138="Y",IF(OR('Daily Schedule'!$A27=4,'Daily Schedule'!$A27=8),IF(OR(WEEKDAY('Daily Schedule'!$B$2,2)=1,WEEKDAY('Daily Schedule'!$B$2,2)=4,WEEKDAY('Daily Schedule'!$B$2,2)=5,WEEKDAY('Daily Schedule'!$B$2,2)=7),IFERROR(1*'Daily Workforce'!$K138&gt;=3,FALSE()),IFERROR(1*'Daily Workforce'!$K138&gt;=2,FALSE())),IF(AND('Daily Schedule'!$A27&gt;=46,'Daily Schedule'!$A27&lt;=52),'Daily Workforce'!$M138="Y",IFERROR(1*'Daily Workforce'!$P138&gt;=2,FALSE()))))),1,0)</f>
        <v>0</v>
      </c>
      <c r="ET23" s="1" t="n">
        <f aca="false">IF(AND('Daily Workforce'!$N139="Y",'Daily Workforce'!$B139&lt;&gt;"",COUNTIF('Daily Schedule'!$F$5:$F26,'Daily Workforce'!$B139)=0,IF('Daily Schedule'!$A27=45,'Daily Workforce'!$J139="Y",IF(OR('Daily Schedule'!$A27=4,'Daily Schedule'!$A27=8),IF(OR(WEEKDAY('Daily Schedule'!$B$2,2)=1,WEEKDAY('Daily Schedule'!$B$2,2)=4,WEEKDAY('Daily Schedule'!$B$2,2)=5,WEEKDAY('Daily Schedule'!$B$2,2)=7),IFERROR(1*'Daily Workforce'!$K139&gt;=3,FALSE()),IFERROR(1*'Daily Workforce'!$K139&gt;=2,FALSE())),IF(AND('Daily Schedule'!$A27&gt;=46,'Daily Schedule'!$A27&lt;=52),'Daily Workforce'!$M139="Y",IFERROR(1*'Daily Workforce'!$P139&gt;=2,FALSE()))))),1,0)</f>
        <v>0</v>
      </c>
      <c r="EU23" s="1" t="n">
        <f aca="false">IF(AND('Daily Workforce'!$N140="Y",'Daily Workforce'!$B140&lt;&gt;"",COUNTIF('Daily Schedule'!$F$5:$F26,'Daily Workforce'!$B140)=0,IF('Daily Schedule'!$A27=45,'Daily Workforce'!$J140="Y",IF(OR('Daily Schedule'!$A27=4,'Daily Schedule'!$A27=8),IF(OR(WEEKDAY('Daily Schedule'!$B$2,2)=1,WEEKDAY('Daily Schedule'!$B$2,2)=4,WEEKDAY('Daily Schedule'!$B$2,2)=5,WEEKDAY('Daily Schedule'!$B$2,2)=7),IFERROR(1*'Daily Workforce'!$K140&gt;=3,FALSE()),IFERROR(1*'Daily Workforce'!$K140&gt;=2,FALSE())),IF(AND('Daily Schedule'!$A27&gt;=46,'Daily Schedule'!$A27&lt;=52),'Daily Workforce'!$M140="Y",IFERROR(1*'Daily Workforce'!$P140&gt;=2,FALSE()))))),1,0)</f>
        <v>0</v>
      </c>
      <c r="EV23" s="1" t="n">
        <f aca="false">IF(AND('Daily Workforce'!$N141="Y",'Daily Workforce'!$B141&lt;&gt;"",COUNTIF('Daily Schedule'!$F$5:$F26,'Daily Workforce'!$B141)=0,IF('Daily Schedule'!$A27=45,'Daily Workforce'!$J141="Y",IF(OR('Daily Schedule'!$A27=4,'Daily Schedule'!$A27=8),IF(OR(WEEKDAY('Daily Schedule'!$B$2,2)=1,WEEKDAY('Daily Schedule'!$B$2,2)=4,WEEKDAY('Daily Schedule'!$B$2,2)=5,WEEKDAY('Daily Schedule'!$B$2,2)=7),IFERROR(1*'Daily Workforce'!$K141&gt;=3,FALSE()),IFERROR(1*'Daily Workforce'!$K141&gt;=2,FALSE())),IF(AND('Daily Schedule'!$A27&gt;=46,'Daily Schedule'!$A27&lt;=52),'Daily Workforce'!$M141="Y",IFERROR(1*'Daily Workforce'!$P141&gt;=2,FALSE()))))),1,0)</f>
        <v>0</v>
      </c>
      <c r="EW23" s="1" t="n">
        <f aca="false">IF(AND('Daily Workforce'!$N142="Y",'Daily Workforce'!$B142&lt;&gt;"",COUNTIF('Daily Schedule'!$F$5:$F26,'Daily Workforce'!$B142)=0,IF('Daily Schedule'!$A27=45,'Daily Workforce'!$J142="Y",IF(OR('Daily Schedule'!$A27=4,'Daily Schedule'!$A27=8),IF(OR(WEEKDAY('Daily Schedule'!$B$2,2)=1,WEEKDAY('Daily Schedule'!$B$2,2)=4,WEEKDAY('Daily Schedule'!$B$2,2)=5,WEEKDAY('Daily Schedule'!$B$2,2)=7),IFERROR(1*'Daily Workforce'!$K142&gt;=3,FALSE()),IFERROR(1*'Daily Workforce'!$K142&gt;=2,FALSE())),IF(AND('Daily Schedule'!$A27&gt;=46,'Daily Schedule'!$A27&lt;=52),'Daily Workforce'!$M142="Y",IFERROR(1*'Daily Workforce'!$P142&gt;=2,FALSE()))))),1,0)</f>
        <v>0</v>
      </c>
      <c r="EX23" s="1" t="n">
        <f aca="false">IF(AND('Daily Workforce'!$N143="Y",'Daily Workforce'!$B143&lt;&gt;"",COUNTIF('Daily Schedule'!$F$5:$F26,'Daily Workforce'!$B143)=0,IF('Daily Schedule'!$A27=45,'Daily Workforce'!$J143="Y",IF(OR('Daily Schedule'!$A27=4,'Daily Schedule'!$A27=8),IF(OR(WEEKDAY('Daily Schedule'!$B$2,2)=1,WEEKDAY('Daily Schedule'!$B$2,2)=4,WEEKDAY('Daily Schedule'!$B$2,2)=5,WEEKDAY('Daily Schedule'!$B$2,2)=7),IFERROR(1*'Daily Workforce'!$K143&gt;=3,FALSE()),IFERROR(1*'Daily Workforce'!$K143&gt;=2,FALSE())),IF(AND('Daily Schedule'!$A27&gt;=46,'Daily Schedule'!$A27&lt;=52),'Daily Workforce'!$M143="Y",IFERROR(1*'Daily Workforce'!$P143&gt;=2,FALSE()))))),1,0)</f>
        <v>0</v>
      </c>
      <c r="EY23" s="1" t="n">
        <f aca="false">IF(AND('Daily Workforce'!$N144="Y",'Daily Workforce'!$B144&lt;&gt;"",COUNTIF('Daily Schedule'!$F$5:$F26,'Daily Workforce'!$B144)=0,IF('Daily Schedule'!$A27=45,'Daily Workforce'!$J144="Y",IF(OR('Daily Schedule'!$A27=4,'Daily Schedule'!$A27=8),IF(OR(WEEKDAY('Daily Schedule'!$B$2,2)=1,WEEKDAY('Daily Schedule'!$B$2,2)=4,WEEKDAY('Daily Schedule'!$B$2,2)=5,WEEKDAY('Daily Schedule'!$B$2,2)=7),IFERROR(1*'Daily Workforce'!$K144&gt;=3,FALSE()),IFERROR(1*'Daily Workforce'!$K144&gt;=2,FALSE())),IF(AND('Daily Schedule'!$A27&gt;=46,'Daily Schedule'!$A27&lt;=52),'Daily Workforce'!$M144="Y",IFERROR(1*'Daily Workforce'!$P144&gt;=2,FALSE()))))),1,0)</f>
        <v>0</v>
      </c>
      <c r="EZ23" s="1" t="n">
        <f aca="false">IF(AND('Daily Workforce'!$N145="Y",'Daily Workforce'!$B145&lt;&gt;"",COUNTIF('Daily Schedule'!$F$5:$F26,'Daily Workforce'!$B145)=0,IF('Daily Schedule'!$A27=45,'Daily Workforce'!$J145="Y",IF(OR('Daily Schedule'!$A27=4,'Daily Schedule'!$A27=8),IF(OR(WEEKDAY('Daily Schedule'!$B$2,2)=1,WEEKDAY('Daily Schedule'!$B$2,2)=4,WEEKDAY('Daily Schedule'!$B$2,2)=5,WEEKDAY('Daily Schedule'!$B$2,2)=7),IFERROR(1*'Daily Workforce'!$K145&gt;=3,FALSE()),IFERROR(1*'Daily Workforce'!$K145&gt;=2,FALSE())),IF(AND('Daily Schedule'!$A27&gt;=46,'Daily Schedule'!$A27&lt;=52),'Daily Workforce'!$M145="Y",IFERROR(1*'Daily Workforce'!$P145&gt;=2,FALSE()))))),1,0)</f>
        <v>0</v>
      </c>
      <c r="FA23" s="1" t="n">
        <f aca="false">IF(AND('Daily Workforce'!$N146="Y",'Daily Workforce'!$B146&lt;&gt;"",COUNTIF('Daily Schedule'!$F$5:$F26,'Daily Workforce'!$B146)=0,IF('Daily Schedule'!$A27=45,'Daily Workforce'!$J146="Y",IF(OR('Daily Schedule'!$A27=4,'Daily Schedule'!$A27=8),IF(OR(WEEKDAY('Daily Schedule'!$B$2,2)=1,WEEKDAY('Daily Schedule'!$B$2,2)=4,WEEKDAY('Daily Schedule'!$B$2,2)=5,WEEKDAY('Daily Schedule'!$B$2,2)=7),IFERROR(1*'Daily Workforce'!$K146&gt;=3,FALSE()),IFERROR(1*'Daily Workforce'!$K146&gt;=2,FALSE())),IF(AND('Daily Schedule'!$A27&gt;=46,'Daily Schedule'!$A27&lt;=52),'Daily Workforce'!$M146="Y",IFERROR(1*'Daily Workforce'!$P146&gt;=2,FALSE()))))),1,0)</f>
        <v>0</v>
      </c>
      <c r="FB23" s="1" t="n">
        <f aca="false">IF(AND('Daily Workforce'!$N147="Y",'Daily Workforce'!$B147&lt;&gt;"",COUNTIF('Daily Schedule'!$F$5:$F26,'Daily Workforce'!$B147)=0,IF('Daily Schedule'!$A27=45,'Daily Workforce'!$J147="Y",IF(OR('Daily Schedule'!$A27=4,'Daily Schedule'!$A27=8),IF(OR(WEEKDAY('Daily Schedule'!$B$2,2)=1,WEEKDAY('Daily Schedule'!$B$2,2)=4,WEEKDAY('Daily Schedule'!$B$2,2)=5,WEEKDAY('Daily Schedule'!$B$2,2)=7),IFERROR(1*'Daily Workforce'!$K147&gt;=3,FALSE()),IFERROR(1*'Daily Workforce'!$K147&gt;=2,FALSE())),IF(AND('Daily Schedule'!$A27&gt;=46,'Daily Schedule'!$A27&lt;=52),'Daily Workforce'!$M147="Y",IFERROR(1*'Daily Workforce'!$P147&gt;=2,FALSE()))))),1,0)</f>
        <v>0</v>
      </c>
      <c r="FC23" s="1" t="n">
        <f aca="false">IF(AND('Daily Workforce'!$N148="Y",'Daily Workforce'!$B148&lt;&gt;"",COUNTIF('Daily Schedule'!$F$5:$F26,'Daily Workforce'!$B148)=0,IF('Daily Schedule'!$A27=45,'Daily Workforce'!$J148="Y",IF(OR('Daily Schedule'!$A27=4,'Daily Schedule'!$A27=8),IF(OR(WEEKDAY('Daily Schedule'!$B$2,2)=1,WEEKDAY('Daily Schedule'!$B$2,2)=4,WEEKDAY('Daily Schedule'!$B$2,2)=5,WEEKDAY('Daily Schedule'!$B$2,2)=7),IFERROR(1*'Daily Workforce'!$K148&gt;=3,FALSE()),IFERROR(1*'Daily Workforce'!$K148&gt;=2,FALSE())),IF(AND('Daily Schedule'!$A27&gt;=46,'Daily Schedule'!$A27&lt;=52),'Daily Workforce'!$M148="Y",IFERROR(1*'Daily Workforce'!$P148&gt;=2,FALSE()))))),1,0)</f>
        <v>0</v>
      </c>
      <c r="FD23" s="1" t="n">
        <f aca="false">IF(AND('Daily Workforce'!$N149="Y",'Daily Workforce'!$B149&lt;&gt;"",COUNTIF('Daily Schedule'!$F$5:$F26,'Daily Workforce'!$B149)=0,IF('Daily Schedule'!$A27=45,'Daily Workforce'!$J149="Y",IF(OR('Daily Schedule'!$A27=4,'Daily Schedule'!$A27=8),IF(OR(WEEKDAY('Daily Schedule'!$B$2,2)=1,WEEKDAY('Daily Schedule'!$B$2,2)=4,WEEKDAY('Daily Schedule'!$B$2,2)=5,WEEKDAY('Daily Schedule'!$B$2,2)=7),IFERROR(1*'Daily Workforce'!$K149&gt;=3,FALSE()),IFERROR(1*'Daily Workforce'!$K149&gt;=2,FALSE())),IF(AND('Daily Schedule'!$A27&gt;=46,'Daily Schedule'!$A27&lt;=52),'Daily Workforce'!$M149="Y",IFERROR(1*'Daily Workforce'!$P149&gt;=2,FALSE()))))),1,0)</f>
        <v>0</v>
      </c>
      <c r="FE23" s="1" t="n">
        <f aca="false">IF(AND('Daily Workforce'!$N150="Y",'Daily Workforce'!$B150&lt;&gt;"",COUNTIF('Daily Schedule'!$F$5:$F26,'Daily Workforce'!$B150)=0,IF('Daily Schedule'!$A27=45,'Daily Workforce'!$J150="Y",IF(OR('Daily Schedule'!$A27=4,'Daily Schedule'!$A27=8),IF(OR(WEEKDAY('Daily Schedule'!$B$2,2)=1,WEEKDAY('Daily Schedule'!$B$2,2)=4,WEEKDAY('Daily Schedule'!$B$2,2)=5,WEEKDAY('Daily Schedule'!$B$2,2)=7),IFERROR(1*'Daily Workforce'!$K150&gt;=3,FALSE()),IFERROR(1*'Daily Workforce'!$K150&gt;=2,FALSE())),IF(AND('Daily Schedule'!$A27&gt;=46,'Daily Schedule'!$A27&lt;=52),'Daily Workforce'!$M150="Y",IFERROR(1*'Daily Workforce'!$P150&gt;=2,FALSE()))))),1,0)</f>
        <v>0</v>
      </c>
      <c r="FF23" s="1" t="n">
        <f aca="false">IF(AND('Daily Workforce'!$N151="Y",'Daily Workforce'!$B151&lt;&gt;"",COUNTIF('Daily Schedule'!$F$5:$F26,'Daily Workforce'!$B151)=0,IF('Daily Schedule'!$A27=45,'Daily Workforce'!$J151="Y",IF(OR('Daily Schedule'!$A27=4,'Daily Schedule'!$A27=8),IF(OR(WEEKDAY('Daily Schedule'!$B$2,2)=1,WEEKDAY('Daily Schedule'!$B$2,2)=4,WEEKDAY('Daily Schedule'!$B$2,2)=5,WEEKDAY('Daily Schedule'!$B$2,2)=7),IFERROR(1*'Daily Workforce'!$K151&gt;=3,FALSE()),IFERROR(1*'Daily Workforce'!$K151&gt;=2,FALSE())),IF(AND('Daily Schedule'!$A27&gt;=46,'Daily Schedule'!$A27&lt;=52),'Daily Workforce'!$M151="Y",IFERROR(1*'Daily Workforce'!$P151&gt;=2,FALSE()))))),1,0)</f>
        <v>0</v>
      </c>
      <c r="FG23" s="1" t="n">
        <f aca="false">IF(AND('Daily Workforce'!$N152="Y",'Daily Workforce'!$B152&lt;&gt;"",COUNTIF('Daily Schedule'!$F$5:$F26,'Daily Workforce'!$B152)=0,IF('Daily Schedule'!$A27=45,'Daily Workforce'!$J152="Y",IF(OR('Daily Schedule'!$A27=4,'Daily Schedule'!$A27=8),IF(OR(WEEKDAY('Daily Schedule'!$B$2,2)=1,WEEKDAY('Daily Schedule'!$B$2,2)=4,WEEKDAY('Daily Schedule'!$B$2,2)=5,WEEKDAY('Daily Schedule'!$B$2,2)=7),IFERROR(1*'Daily Workforce'!$K152&gt;=3,FALSE()),IFERROR(1*'Daily Workforce'!$K152&gt;=2,FALSE())),IF(AND('Daily Schedule'!$A27&gt;=46,'Daily Schedule'!$A27&lt;=52),'Daily Workforce'!$M152="Y",IFERROR(1*'Daily Workforce'!$P152&gt;=2,FALSE()))))),1,0)</f>
        <v>0</v>
      </c>
      <c r="FH23" s="1" t="n">
        <f aca="false">IF(AND('Daily Workforce'!$N153="Y",'Daily Workforce'!$B153&lt;&gt;"",COUNTIF('Daily Schedule'!$F$5:$F26,'Daily Workforce'!$B153)=0,IF('Daily Schedule'!$A27=45,'Daily Workforce'!$J153="Y",IF(OR('Daily Schedule'!$A27=4,'Daily Schedule'!$A27=8),IF(OR(WEEKDAY('Daily Schedule'!$B$2,2)=1,WEEKDAY('Daily Schedule'!$B$2,2)=4,WEEKDAY('Daily Schedule'!$B$2,2)=5,WEEKDAY('Daily Schedule'!$B$2,2)=7),IFERROR(1*'Daily Workforce'!$K153&gt;=3,FALSE()),IFERROR(1*'Daily Workforce'!$K153&gt;=2,FALSE())),IF(AND('Daily Schedule'!$A27&gt;=46,'Daily Schedule'!$A27&lt;=52),'Daily Workforce'!$M153="Y",IFERROR(1*'Daily Workforce'!$P153&gt;=2,FALSE()))))),1,0)</f>
        <v>0</v>
      </c>
      <c r="FI23" s="1" t="n">
        <f aca="false">IF(AND('Daily Workforce'!$N154="Y",'Daily Workforce'!$B154&lt;&gt;"",COUNTIF('Daily Schedule'!$F$5:$F26,'Daily Workforce'!$B154)=0,IF('Daily Schedule'!$A27=45,'Daily Workforce'!$J154="Y",IF(OR('Daily Schedule'!$A27=4,'Daily Schedule'!$A27=8),IF(OR(WEEKDAY('Daily Schedule'!$B$2,2)=1,WEEKDAY('Daily Schedule'!$B$2,2)=4,WEEKDAY('Daily Schedule'!$B$2,2)=5,WEEKDAY('Daily Schedule'!$B$2,2)=7),IFERROR(1*'Daily Workforce'!$K154&gt;=3,FALSE()),IFERROR(1*'Daily Workforce'!$K154&gt;=2,FALSE())),IF(AND('Daily Schedule'!$A27&gt;=46,'Daily Schedule'!$A27&lt;=52),'Daily Workforce'!$M154="Y",IFERROR(1*'Daily Workforce'!$P154&gt;=2,FALSE()))))),1,0)</f>
        <v>0</v>
      </c>
      <c r="FJ23" s="1" t="n">
        <f aca="false">IF(AND('Daily Workforce'!$N155="Y",'Daily Workforce'!$B155&lt;&gt;"",COUNTIF('Daily Schedule'!$F$5:$F26,'Daily Workforce'!$B155)=0,IF('Daily Schedule'!$A27=45,'Daily Workforce'!$J155="Y",IF(OR('Daily Schedule'!$A27=4,'Daily Schedule'!$A27=8),IF(OR(WEEKDAY('Daily Schedule'!$B$2,2)=1,WEEKDAY('Daily Schedule'!$B$2,2)=4,WEEKDAY('Daily Schedule'!$B$2,2)=5,WEEKDAY('Daily Schedule'!$B$2,2)=7),IFERROR(1*'Daily Workforce'!$K155&gt;=3,FALSE()),IFERROR(1*'Daily Workforce'!$K155&gt;=2,FALSE())),IF(AND('Daily Schedule'!$A27&gt;=46,'Daily Schedule'!$A27&lt;=52),'Daily Workforce'!$M155="Y",IFERROR(1*'Daily Workforce'!$P155&gt;=2,FALSE()))))),1,0)</f>
        <v>0</v>
      </c>
      <c r="FK23" s="1" t="n">
        <f aca="false">IF(AND('Daily Workforce'!$N156="Y",'Daily Workforce'!$B156&lt;&gt;"",COUNTIF('Daily Schedule'!$F$5:$F26,'Daily Workforce'!$B156)=0,IF('Daily Schedule'!$A27=45,'Daily Workforce'!$J156="Y",IF(OR('Daily Schedule'!$A27=4,'Daily Schedule'!$A27=8),IF(OR(WEEKDAY('Daily Schedule'!$B$2,2)=1,WEEKDAY('Daily Schedule'!$B$2,2)=4,WEEKDAY('Daily Schedule'!$B$2,2)=5,WEEKDAY('Daily Schedule'!$B$2,2)=7),IFERROR(1*'Daily Workforce'!$K156&gt;=3,FALSE()),IFERROR(1*'Daily Workforce'!$K156&gt;=2,FALSE())),IF(AND('Daily Schedule'!$A27&gt;=46,'Daily Schedule'!$A27&lt;=52),'Daily Workforce'!$M156="Y",IFERROR(1*'Daily Workforce'!$P156&gt;=2,FALSE()))))),1,0)</f>
        <v>0</v>
      </c>
      <c r="FL23" s="1" t="n">
        <f aca="false">IF(AND('Daily Workforce'!$N157="Y",'Daily Workforce'!$B157&lt;&gt;"",COUNTIF('Daily Schedule'!$F$5:$F26,'Daily Workforce'!$B157)=0,IF('Daily Schedule'!$A27=45,'Daily Workforce'!$J157="Y",IF(OR('Daily Schedule'!$A27=4,'Daily Schedule'!$A27=8),IF(OR(WEEKDAY('Daily Schedule'!$B$2,2)=1,WEEKDAY('Daily Schedule'!$B$2,2)=4,WEEKDAY('Daily Schedule'!$B$2,2)=5,WEEKDAY('Daily Schedule'!$B$2,2)=7),IFERROR(1*'Daily Workforce'!$K157&gt;=3,FALSE()),IFERROR(1*'Daily Workforce'!$K157&gt;=2,FALSE())),IF(AND('Daily Schedule'!$A27&gt;=46,'Daily Schedule'!$A27&lt;=52),'Daily Workforce'!$M157="Y",IFERROR(1*'Daily Workforce'!$P157&gt;=2,FALSE()))))),1,0)</f>
        <v>0</v>
      </c>
      <c r="FM23" s="1" t="n">
        <f aca="false">IF(AND('Daily Workforce'!$N158="Y",'Daily Workforce'!$B158&lt;&gt;"",COUNTIF('Daily Schedule'!$F$5:$F26,'Daily Workforce'!$B158)=0,IF('Daily Schedule'!$A27=45,'Daily Workforce'!$J158="Y",IF(OR('Daily Schedule'!$A27=4,'Daily Schedule'!$A27=8),IF(OR(WEEKDAY('Daily Schedule'!$B$2,2)=1,WEEKDAY('Daily Schedule'!$B$2,2)=4,WEEKDAY('Daily Schedule'!$B$2,2)=5,WEEKDAY('Daily Schedule'!$B$2,2)=7),IFERROR(1*'Daily Workforce'!$K158&gt;=3,FALSE()),IFERROR(1*'Daily Workforce'!$K158&gt;=2,FALSE())),IF(AND('Daily Schedule'!$A27&gt;=46,'Daily Schedule'!$A27&lt;=52),'Daily Workforce'!$M158="Y",IFERROR(1*'Daily Workforce'!$P158&gt;=2,FALSE()))))),1,0)</f>
        <v>0</v>
      </c>
      <c r="FN23" s="1" t="n">
        <f aca="false">IF(AND('Daily Workforce'!$N159="Y",'Daily Workforce'!$B159&lt;&gt;"",COUNTIF('Daily Schedule'!$F$5:$F26,'Daily Workforce'!$B159)=0,IF('Daily Schedule'!$A27=45,'Daily Workforce'!$J159="Y",IF(OR('Daily Schedule'!$A27=4,'Daily Schedule'!$A27=8),IF(OR(WEEKDAY('Daily Schedule'!$B$2,2)=1,WEEKDAY('Daily Schedule'!$B$2,2)=4,WEEKDAY('Daily Schedule'!$B$2,2)=5,WEEKDAY('Daily Schedule'!$B$2,2)=7),IFERROR(1*'Daily Workforce'!$K159&gt;=3,FALSE()),IFERROR(1*'Daily Workforce'!$K159&gt;=2,FALSE())),IF(AND('Daily Schedule'!$A27&gt;=46,'Daily Schedule'!$A27&lt;=52),'Daily Workforce'!$M159="Y",IFERROR(1*'Daily Workforce'!$P159&gt;=2,FALSE()))))),1,0)</f>
        <v>0</v>
      </c>
      <c r="FO23" s="1" t="n">
        <f aca="false">IF(AND('Daily Workforce'!$N160="Y",'Daily Workforce'!$B160&lt;&gt;"",COUNTIF('Daily Schedule'!$F$5:$F26,'Daily Workforce'!$B160)=0,IF('Daily Schedule'!$A27=45,'Daily Workforce'!$J160="Y",IF(OR('Daily Schedule'!$A27=4,'Daily Schedule'!$A27=8),IF(OR(WEEKDAY('Daily Schedule'!$B$2,2)=1,WEEKDAY('Daily Schedule'!$B$2,2)=4,WEEKDAY('Daily Schedule'!$B$2,2)=5,WEEKDAY('Daily Schedule'!$B$2,2)=7),IFERROR(1*'Daily Workforce'!$K160&gt;=3,FALSE()),IFERROR(1*'Daily Workforce'!$K160&gt;=2,FALSE())),IF(AND('Daily Schedule'!$A27&gt;=46,'Daily Schedule'!$A27&lt;=52),'Daily Workforce'!$M160="Y",IFERROR(1*'Daily Workforce'!$P160&gt;=2,FALSE()))))),1,0)</f>
        <v>0</v>
      </c>
      <c r="FP23" s="1" t="n">
        <f aca="false">IF(AND('Daily Workforce'!$N161="Y",'Daily Workforce'!$B161&lt;&gt;"",COUNTIF('Daily Schedule'!$F$5:$F26,'Daily Workforce'!$B161)=0,IF('Daily Schedule'!$A27=45,'Daily Workforce'!$J161="Y",IF(OR('Daily Schedule'!$A27=4,'Daily Schedule'!$A27=8),IF(OR(WEEKDAY('Daily Schedule'!$B$2,2)=1,WEEKDAY('Daily Schedule'!$B$2,2)=4,WEEKDAY('Daily Schedule'!$B$2,2)=5,WEEKDAY('Daily Schedule'!$B$2,2)=7),IFERROR(1*'Daily Workforce'!$K161&gt;=3,FALSE()),IFERROR(1*'Daily Workforce'!$K161&gt;=2,FALSE())),IF(AND('Daily Schedule'!$A27&gt;=46,'Daily Schedule'!$A27&lt;=52),'Daily Workforce'!$M161="Y",IFERROR(1*'Daily Workforce'!$P161&gt;=2,FALSE()))))),1,0)</f>
        <v>0</v>
      </c>
      <c r="FQ23" s="1" t="n">
        <f aca="false">IF(AND('Daily Workforce'!$N162="Y",'Daily Workforce'!$B162&lt;&gt;"",COUNTIF('Daily Schedule'!$F$5:$F26,'Daily Workforce'!$B162)=0,IF('Daily Schedule'!$A27=45,'Daily Workforce'!$J162="Y",IF(OR('Daily Schedule'!$A27=4,'Daily Schedule'!$A27=8),IF(OR(WEEKDAY('Daily Schedule'!$B$2,2)=1,WEEKDAY('Daily Schedule'!$B$2,2)=4,WEEKDAY('Daily Schedule'!$B$2,2)=5,WEEKDAY('Daily Schedule'!$B$2,2)=7),IFERROR(1*'Daily Workforce'!$K162&gt;=3,FALSE()),IFERROR(1*'Daily Workforce'!$K162&gt;=2,FALSE())),IF(AND('Daily Schedule'!$A27&gt;=46,'Daily Schedule'!$A27&lt;=52),'Daily Workforce'!$M162="Y",IFERROR(1*'Daily Workforce'!$P162&gt;=2,FALSE()))))),1,0)</f>
        <v>0</v>
      </c>
      <c r="FR23" s="1" t="n">
        <f aca="false">IF(AND('Daily Workforce'!$N163="Y",'Daily Workforce'!$B163&lt;&gt;"",COUNTIF('Daily Schedule'!$F$5:$F26,'Daily Workforce'!$B163)=0,IF('Daily Schedule'!$A27=45,'Daily Workforce'!$J163="Y",IF(OR('Daily Schedule'!$A27=4,'Daily Schedule'!$A27=8),IF(OR(WEEKDAY('Daily Schedule'!$B$2,2)=1,WEEKDAY('Daily Schedule'!$B$2,2)=4,WEEKDAY('Daily Schedule'!$B$2,2)=5,WEEKDAY('Daily Schedule'!$B$2,2)=7),IFERROR(1*'Daily Workforce'!$K163&gt;=3,FALSE()),IFERROR(1*'Daily Workforce'!$K163&gt;=2,FALSE())),IF(AND('Daily Schedule'!$A27&gt;=46,'Daily Schedule'!$A27&lt;=52),'Daily Workforce'!$M163="Y",IFERROR(1*'Daily Workforce'!$P163&gt;=2,FALSE()))))),1,0)</f>
        <v>0</v>
      </c>
      <c r="FS23" s="1" t="n">
        <f aca="false">IF(AND('Daily Workforce'!$N164="Y",'Daily Workforce'!$B164&lt;&gt;"",COUNTIF('Daily Schedule'!$F$5:$F26,'Daily Workforce'!$B164)=0,IF('Daily Schedule'!$A27=45,'Daily Workforce'!$J164="Y",IF(OR('Daily Schedule'!$A27=4,'Daily Schedule'!$A27=8),IF(OR(WEEKDAY('Daily Schedule'!$B$2,2)=1,WEEKDAY('Daily Schedule'!$B$2,2)=4,WEEKDAY('Daily Schedule'!$B$2,2)=5,WEEKDAY('Daily Schedule'!$B$2,2)=7),IFERROR(1*'Daily Workforce'!$K164&gt;=3,FALSE()),IFERROR(1*'Daily Workforce'!$K164&gt;=2,FALSE())),IF(AND('Daily Schedule'!$A27&gt;=46,'Daily Schedule'!$A27&lt;=52),'Daily Workforce'!$M164="Y",IFERROR(1*'Daily Workforce'!$P164&gt;=2,FALSE()))))),1,0)</f>
        <v>0</v>
      </c>
      <c r="FT23" s="1" t="n">
        <f aca="false">IF(AND('Daily Workforce'!$N165="Y",'Daily Workforce'!$B165&lt;&gt;"",COUNTIF('Daily Schedule'!$F$5:$F26,'Daily Workforce'!$B165)=0,IF('Daily Schedule'!$A27=45,'Daily Workforce'!$J165="Y",IF(OR('Daily Schedule'!$A27=4,'Daily Schedule'!$A27=8),IF(OR(WEEKDAY('Daily Schedule'!$B$2,2)=1,WEEKDAY('Daily Schedule'!$B$2,2)=4,WEEKDAY('Daily Schedule'!$B$2,2)=5,WEEKDAY('Daily Schedule'!$B$2,2)=7),IFERROR(1*'Daily Workforce'!$K165&gt;=3,FALSE()),IFERROR(1*'Daily Workforce'!$K165&gt;=2,FALSE())),IF(AND('Daily Schedule'!$A27&gt;=46,'Daily Schedule'!$A27&lt;=52),'Daily Workforce'!$M165="Y",IFERROR(1*'Daily Workforce'!$P165&gt;=2,FALSE()))))),1,0)</f>
        <v>0</v>
      </c>
      <c r="FU23" s="1" t="n">
        <f aca="false">IF(AND('Daily Workforce'!$N166="Y",'Daily Workforce'!$B166&lt;&gt;"",COUNTIF('Daily Schedule'!$F$5:$F26,'Daily Workforce'!$B166)=0,IF('Daily Schedule'!$A27=45,'Daily Workforce'!$J166="Y",IF(OR('Daily Schedule'!$A27=4,'Daily Schedule'!$A27=8),IF(OR(WEEKDAY('Daily Schedule'!$B$2,2)=1,WEEKDAY('Daily Schedule'!$B$2,2)=4,WEEKDAY('Daily Schedule'!$B$2,2)=5,WEEKDAY('Daily Schedule'!$B$2,2)=7),IFERROR(1*'Daily Workforce'!$K166&gt;=3,FALSE()),IFERROR(1*'Daily Workforce'!$K166&gt;=2,FALSE())),IF(AND('Daily Schedule'!$A27&gt;=46,'Daily Schedule'!$A27&lt;=52),'Daily Workforce'!$M166="Y",IFERROR(1*'Daily Workforce'!$P166&gt;=2,FALSE()))))),1,0)</f>
        <v>0</v>
      </c>
      <c r="FV23" s="1" t="n">
        <f aca="false">IF(AND('Daily Workforce'!$N167="Y",'Daily Workforce'!$B167&lt;&gt;"",COUNTIF('Daily Schedule'!$F$5:$F26,'Daily Workforce'!$B167)=0,IF('Daily Schedule'!$A27=45,'Daily Workforce'!$J167="Y",IF(OR('Daily Schedule'!$A27=4,'Daily Schedule'!$A27=8),IF(OR(WEEKDAY('Daily Schedule'!$B$2,2)=1,WEEKDAY('Daily Schedule'!$B$2,2)=4,WEEKDAY('Daily Schedule'!$B$2,2)=5,WEEKDAY('Daily Schedule'!$B$2,2)=7),IFERROR(1*'Daily Workforce'!$K167&gt;=3,FALSE()),IFERROR(1*'Daily Workforce'!$K167&gt;=2,FALSE())),IF(AND('Daily Schedule'!$A27&gt;=46,'Daily Schedule'!$A27&lt;=52),'Daily Workforce'!$M167="Y",IFERROR(1*'Daily Workforce'!$P167&gt;=2,FALSE()))))),1,0)</f>
        <v>0</v>
      </c>
      <c r="FW23" s="1" t="n">
        <f aca="false">IF(AND('Daily Workforce'!$N168="Y",'Daily Workforce'!$B168&lt;&gt;"",COUNTIF('Daily Schedule'!$F$5:$F26,'Daily Workforce'!$B168)=0,IF('Daily Schedule'!$A27=45,'Daily Workforce'!$J168="Y",IF(OR('Daily Schedule'!$A27=4,'Daily Schedule'!$A27=8),IF(OR(WEEKDAY('Daily Schedule'!$B$2,2)=1,WEEKDAY('Daily Schedule'!$B$2,2)=4,WEEKDAY('Daily Schedule'!$B$2,2)=5,WEEKDAY('Daily Schedule'!$B$2,2)=7),IFERROR(1*'Daily Workforce'!$K168&gt;=3,FALSE()),IFERROR(1*'Daily Workforce'!$K168&gt;=2,FALSE())),IF(AND('Daily Schedule'!$A27&gt;=46,'Daily Schedule'!$A27&lt;=52),'Daily Workforce'!$M168="Y",IFERROR(1*'Daily Workforce'!$P168&gt;=2,FALSE()))))),1,0)</f>
        <v>0</v>
      </c>
      <c r="FX23" s="1" t="n">
        <f aca="false">IF(AND('Daily Workforce'!$N169="Y",'Daily Workforce'!$B169&lt;&gt;"",COUNTIF('Daily Schedule'!$F$5:$F26,'Daily Workforce'!$B169)=0,IF('Daily Schedule'!$A27=45,'Daily Workforce'!$J169="Y",IF(OR('Daily Schedule'!$A27=4,'Daily Schedule'!$A27=8),IF(OR(WEEKDAY('Daily Schedule'!$B$2,2)=1,WEEKDAY('Daily Schedule'!$B$2,2)=4,WEEKDAY('Daily Schedule'!$B$2,2)=5,WEEKDAY('Daily Schedule'!$B$2,2)=7),IFERROR(1*'Daily Workforce'!$K169&gt;=3,FALSE()),IFERROR(1*'Daily Workforce'!$K169&gt;=2,FALSE())),IF(AND('Daily Schedule'!$A27&gt;=46,'Daily Schedule'!$A27&lt;=52),'Daily Workforce'!$M169="Y",IFERROR(1*'Daily Workforce'!$P169&gt;=2,FALSE()))))),1,0)</f>
        <v>0</v>
      </c>
      <c r="FY23" s="1" t="n">
        <f aca="false">IF(AND('Daily Workforce'!$N170="Y",'Daily Workforce'!$B170&lt;&gt;"",COUNTIF('Daily Schedule'!$F$5:$F26,'Daily Workforce'!$B170)=0,IF('Daily Schedule'!$A27=45,'Daily Workforce'!$J170="Y",IF(OR('Daily Schedule'!$A27=4,'Daily Schedule'!$A27=8),IF(OR(WEEKDAY('Daily Schedule'!$B$2,2)=1,WEEKDAY('Daily Schedule'!$B$2,2)=4,WEEKDAY('Daily Schedule'!$B$2,2)=5,WEEKDAY('Daily Schedule'!$B$2,2)=7),IFERROR(1*'Daily Workforce'!$K170&gt;=3,FALSE()),IFERROR(1*'Daily Workforce'!$K170&gt;=2,FALSE())),IF(AND('Daily Schedule'!$A27&gt;=46,'Daily Schedule'!$A27&lt;=52),'Daily Workforce'!$M170="Y",IFERROR(1*'Daily Workforce'!$P170&gt;=2,FALSE()))))),1,0)</f>
        <v>0</v>
      </c>
      <c r="FZ23" s="1" t="n">
        <f aca="false">IF(AND('Daily Workforce'!$N171="Y",'Daily Workforce'!$B171&lt;&gt;"",COUNTIF('Daily Schedule'!$F$5:$F26,'Daily Workforce'!$B171)=0,IF('Daily Schedule'!$A27=45,'Daily Workforce'!$J171="Y",IF(OR('Daily Schedule'!$A27=4,'Daily Schedule'!$A27=8),IF(OR(WEEKDAY('Daily Schedule'!$B$2,2)=1,WEEKDAY('Daily Schedule'!$B$2,2)=4,WEEKDAY('Daily Schedule'!$B$2,2)=5,WEEKDAY('Daily Schedule'!$B$2,2)=7),IFERROR(1*'Daily Workforce'!$K171&gt;=3,FALSE()),IFERROR(1*'Daily Workforce'!$K171&gt;=2,FALSE())),IF(AND('Daily Schedule'!$A27&gt;=46,'Daily Schedule'!$A27&lt;=52),'Daily Workforce'!$M171="Y",IFERROR(1*'Daily Workforce'!$P171&gt;=2,FALSE()))))),1,0)</f>
        <v>0</v>
      </c>
      <c r="GA23" s="1" t="n">
        <f aca="false">IF(AND('Daily Workforce'!$N172="Y",'Daily Workforce'!$B172&lt;&gt;"",COUNTIF('Daily Schedule'!$F$5:$F26,'Daily Workforce'!$B172)=0,IF('Daily Schedule'!$A27=45,'Daily Workforce'!$J172="Y",IF(OR('Daily Schedule'!$A27=4,'Daily Schedule'!$A27=8),IF(OR(WEEKDAY('Daily Schedule'!$B$2,2)=1,WEEKDAY('Daily Schedule'!$B$2,2)=4,WEEKDAY('Daily Schedule'!$B$2,2)=5,WEEKDAY('Daily Schedule'!$B$2,2)=7),IFERROR(1*'Daily Workforce'!$K172&gt;=3,FALSE()),IFERROR(1*'Daily Workforce'!$K172&gt;=2,FALSE())),IF(AND('Daily Schedule'!$A27&gt;=46,'Daily Schedule'!$A27&lt;=52),'Daily Workforce'!$M172="Y",IFERROR(1*'Daily Workforce'!$P172&gt;=2,FALSE()))))),1,0)</f>
        <v>0</v>
      </c>
      <c r="GB23" s="1" t="n">
        <f aca="false">IF(AND('Daily Workforce'!$N173="Y",'Daily Workforce'!$B173&lt;&gt;"",COUNTIF('Daily Schedule'!$F$5:$F26,'Daily Workforce'!$B173)=0,IF('Daily Schedule'!$A27=45,'Daily Workforce'!$J173="Y",IF(OR('Daily Schedule'!$A27=4,'Daily Schedule'!$A27=8),IF(OR(WEEKDAY('Daily Schedule'!$B$2,2)=1,WEEKDAY('Daily Schedule'!$B$2,2)=4,WEEKDAY('Daily Schedule'!$B$2,2)=5,WEEKDAY('Daily Schedule'!$B$2,2)=7),IFERROR(1*'Daily Workforce'!$K173&gt;=3,FALSE()),IFERROR(1*'Daily Workforce'!$K173&gt;=2,FALSE())),IF(AND('Daily Schedule'!$A27&gt;=46,'Daily Schedule'!$A27&lt;=52),'Daily Workforce'!$M173="Y",IFERROR(1*'Daily Workforce'!$P173&gt;=2,FALSE()))))),1,0)</f>
        <v>0</v>
      </c>
      <c r="GC23" s="1" t="n">
        <f aca="false">IF(AND('Daily Workforce'!$N174="Y",'Daily Workforce'!$B174&lt;&gt;"",COUNTIF('Daily Schedule'!$F$5:$F26,'Daily Workforce'!$B174)=0,IF('Daily Schedule'!$A27=45,'Daily Workforce'!$J174="Y",IF(OR('Daily Schedule'!$A27=4,'Daily Schedule'!$A27=8),IF(OR(WEEKDAY('Daily Schedule'!$B$2,2)=1,WEEKDAY('Daily Schedule'!$B$2,2)=4,WEEKDAY('Daily Schedule'!$B$2,2)=5,WEEKDAY('Daily Schedule'!$B$2,2)=7),IFERROR(1*'Daily Workforce'!$K174&gt;=3,FALSE()),IFERROR(1*'Daily Workforce'!$K174&gt;=2,FALSE())),IF(AND('Daily Schedule'!$A27&gt;=46,'Daily Schedule'!$A27&lt;=52),'Daily Workforce'!$M174="Y",IFERROR(1*'Daily Workforce'!$P174&gt;=2,FALSE()))))),1,0)</f>
        <v>0</v>
      </c>
      <c r="GD23" s="1" t="n">
        <f aca="false">IF(AND('Daily Workforce'!$N175="Y",'Daily Workforce'!$B175&lt;&gt;"",COUNTIF('Daily Schedule'!$F$5:$F26,'Daily Workforce'!$B175)=0,IF('Daily Schedule'!$A27=45,'Daily Workforce'!$J175="Y",IF(OR('Daily Schedule'!$A27=4,'Daily Schedule'!$A27=8),IF(OR(WEEKDAY('Daily Schedule'!$B$2,2)=1,WEEKDAY('Daily Schedule'!$B$2,2)=4,WEEKDAY('Daily Schedule'!$B$2,2)=5,WEEKDAY('Daily Schedule'!$B$2,2)=7),IFERROR(1*'Daily Workforce'!$K175&gt;=3,FALSE()),IFERROR(1*'Daily Workforce'!$K175&gt;=2,FALSE())),IF(AND('Daily Schedule'!$A27&gt;=46,'Daily Schedule'!$A27&lt;=52),'Daily Workforce'!$M175="Y",IFERROR(1*'Daily Workforce'!$P175&gt;=2,FALSE()))))),1,0)</f>
        <v>0</v>
      </c>
      <c r="GE23" s="1" t="n">
        <f aca="false">IF(AND('Daily Workforce'!$N176="Y",'Daily Workforce'!$B176&lt;&gt;"",COUNTIF('Daily Schedule'!$F$5:$F26,'Daily Workforce'!$B176)=0,IF('Daily Schedule'!$A27=45,'Daily Workforce'!$J176="Y",IF(OR('Daily Schedule'!$A27=4,'Daily Schedule'!$A27=8),IF(OR(WEEKDAY('Daily Schedule'!$B$2,2)=1,WEEKDAY('Daily Schedule'!$B$2,2)=4,WEEKDAY('Daily Schedule'!$B$2,2)=5,WEEKDAY('Daily Schedule'!$B$2,2)=7),IFERROR(1*'Daily Workforce'!$K176&gt;=3,FALSE()),IFERROR(1*'Daily Workforce'!$K176&gt;=2,FALSE())),IF(AND('Daily Schedule'!$A27&gt;=46,'Daily Schedule'!$A27&lt;=52),'Daily Workforce'!$M176="Y",IFERROR(1*'Daily Workforce'!$P176&gt;=2,FALSE()))))),1,0)</f>
        <v>0</v>
      </c>
      <c r="GF23" s="1" t="n">
        <f aca="false">IF(AND('Daily Workforce'!$N177="Y",'Daily Workforce'!$B177&lt;&gt;"",COUNTIF('Daily Schedule'!$F$5:$F26,'Daily Workforce'!$B177)=0,IF('Daily Schedule'!$A27=45,'Daily Workforce'!$J177="Y",IF(OR('Daily Schedule'!$A27=4,'Daily Schedule'!$A27=8),IF(OR(WEEKDAY('Daily Schedule'!$B$2,2)=1,WEEKDAY('Daily Schedule'!$B$2,2)=4,WEEKDAY('Daily Schedule'!$B$2,2)=5,WEEKDAY('Daily Schedule'!$B$2,2)=7),IFERROR(1*'Daily Workforce'!$K177&gt;=3,FALSE()),IFERROR(1*'Daily Workforce'!$K177&gt;=2,FALSE())),IF(AND('Daily Schedule'!$A27&gt;=46,'Daily Schedule'!$A27&lt;=52),'Daily Workforce'!$M177="Y",IFERROR(1*'Daily Workforce'!$P177&gt;=2,FALSE()))))),1,0)</f>
        <v>0</v>
      </c>
      <c r="GG23" s="1" t="n">
        <f aca="false">IF(AND('Daily Workforce'!$N178="Y",'Daily Workforce'!$B178&lt;&gt;"",COUNTIF('Daily Schedule'!$F$5:$F26,'Daily Workforce'!$B178)=0,IF('Daily Schedule'!$A27=45,'Daily Workforce'!$J178="Y",IF(OR('Daily Schedule'!$A27=4,'Daily Schedule'!$A27=8),IF(OR(WEEKDAY('Daily Schedule'!$B$2,2)=1,WEEKDAY('Daily Schedule'!$B$2,2)=4,WEEKDAY('Daily Schedule'!$B$2,2)=5,WEEKDAY('Daily Schedule'!$B$2,2)=7),IFERROR(1*'Daily Workforce'!$K178&gt;=3,FALSE()),IFERROR(1*'Daily Workforce'!$K178&gt;=2,FALSE())),IF(AND('Daily Schedule'!$A27&gt;=46,'Daily Schedule'!$A27&lt;=52),'Daily Workforce'!$M178="Y",IFERROR(1*'Daily Workforce'!$P178&gt;=2,FALSE()))))),1,0)</f>
        <v>0</v>
      </c>
      <c r="GH23" s="1" t="n">
        <f aca="false">IF(AND('Daily Workforce'!$N179="Y",'Daily Workforce'!$B179&lt;&gt;"",COUNTIF('Daily Schedule'!$F$5:$F26,'Daily Workforce'!$B179)=0,IF('Daily Schedule'!$A27=45,'Daily Workforce'!$J179="Y",IF(OR('Daily Schedule'!$A27=4,'Daily Schedule'!$A27=8),IF(OR(WEEKDAY('Daily Schedule'!$B$2,2)=1,WEEKDAY('Daily Schedule'!$B$2,2)=4,WEEKDAY('Daily Schedule'!$B$2,2)=5,WEEKDAY('Daily Schedule'!$B$2,2)=7),IFERROR(1*'Daily Workforce'!$K179&gt;=3,FALSE()),IFERROR(1*'Daily Workforce'!$K179&gt;=2,FALSE())),IF(AND('Daily Schedule'!$A27&gt;=46,'Daily Schedule'!$A27&lt;=52),'Daily Workforce'!$M179="Y",IFERROR(1*'Daily Workforce'!$P179&gt;=2,FALSE()))))),1,0)</f>
        <v>0</v>
      </c>
      <c r="GI23" s="1" t="n">
        <f aca="false">IF(AND('Daily Workforce'!$N180="Y",'Daily Workforce'!$B180&lt;&gt;"",COUNTIF('Daily Schedule'!$F$5:$F26,'Daily Workforce'!$B180)=0,IF('Daily Schedule'!$A27=45,'Daily Workforce'!$J180="Y",IF(OR('Daily Schedule'!$A27=4,'Daily Schedule'!$A27=8),IF(OR(WEEKDAY('Daily Schedule'!$B$2,2)=1,WEEKDAY('Daily Schedule'!$B$2,2)=4,WEEKDAY('Daily Schedule'!$B$2,2)=5,WEEKDAY('Daily Schedule'!$B$2,2)=7),IFERROR(1*'Daily Workforce'!$K180&gt;=3,FALSE()),IFERROR(1*'Daily Workforce'!$K180&gt;=2,FALSE())),IF(AND('Daily Schedule'!$A27&gt;=46,'Daily Schedule'!$A27&lt;=52),'Daily Workforce'!$M180="Y",IFERROR(1*'Daily Workforce'!$P180&gt;=2,FALSE()))))),1,0)</f>
        <v>0</v>
      </c>
      <c r="GJ23" s="1" t="n">
        <f aca="false">IF(AND('Daily Workforce'!$N181="Y",'Daily Workforce'!$B181&lt;&gt;"",COUNTIF('Daily Schedule'!$F$5:$F26,'Daily Workforce'!$B181)=0,IF('Daily Schedule'!$A27=45,'Daily Workforce'!$J181="Y",IF(OR('Daily Schedule'!$A27=4,'Daily Schedule'!$A27=8),IF(OR(WEEKDAY('Daily Schedule'!$B$2,2)=1,WEEKDAY('Daily Schedule'!$B$2,2)=4,WEEKDAY('Daily Schedule'!$B$2,2)=5,WEEKDAY('Daily Schedule'!$B$2,2)=7),IFERROR(1*'Daily Workforce'!$K181&gt;=3,FALSE()),IFERROR(1*'Daily Workforce'!$K181&gt;=2,FALSE())),IF(AND('Daily Schedule'!$A27&gt;=46,'Daily Schedule'!$A27&lt;=52),'Daily Workforce'!$M181="Y",IFERROR(1*'Daily Workforce'!$P181&gt;=2,FALSE()))))),1,0)</f>
        <v>0</v>
      </c>
      <c r="GK23" s="1" t="n">
        <f aca="false">IF(AND('Daily Workforce'!$N182="Y",'Daily Workforce'!$B182&lt;&gt;"",COUNTIF('Daily Schedule'!$F$5:$F26,'Daily Workforce'!$B182)=0,IF('Daily Schedule'!$A27=45,'Daily Workforce'!$J182="Y",IF(OR('Daily Schedule'!$A27=4,'Daily Schedule'!$A27=8),IF(OR(WEEKDAY('Daily Schedule'!$B$2,2)=1,WEEKDAY('Daily Schedule'!$B$2,2)=4,WEEKDAY('Daily Schedule'!$B$2,2)=5,WEEKDAY('Daily Schedule'!$B$2,2)=7),IFERROR(1*'Daily Workforce'!$K182&gt;=3,FALSE()),IFERROR(1*'Daily Workforce'!$K182&gt;=2,FALSE())),IF(AND('Daily Schedule'!$A27&gt;=46,'Daily Schedule'!$A27&lt;=52),'Daily Workforce'!$M182="Y",IFERROR(1*'Daily Workforce'!$P182&gt;=2,FALSE()))))),1,0)</f>
        <v>0</v>
      </c>
      <c r="GL23" s="1" t="n">
        <f aca="false">IF(AND('Daily Workforce'!$N183="Y",'Daily Workforce'!$B183&lt;&gt;"",COUNTIF('Daily Schedule'!$F$5:$F26,'Daily Workforce'!$B183)=0,IF('Daily Schedule'!$A27=45,'Daily Workforce'!$J183="Y",IF(OR('Daily Schedule'!$A27=4,'Daily Schedule'!$A27=8),IF(OR(WEEKDAY('Daily Schedule'!$B$2,2)=1,WEEKDAY('Daily Schedule'!$B$2,2)=4,WEEKDAY('Daily Schedule'!$B$2,2)=5,WEEKDAY('Daily Schedule'!$B$2,2)=7),IFERROR(1*'Daily Workforce'!$K183&gt;=3,FALSE()),IFERROR(1*'Daily Workforce'!$K183&gt;=2,FALSE())),IF(AND('Daily Schedule'!$A27&gt;=46,'Daily Schedule'!$A27&lt;=52),'Daily Workforce'!$M183="Y",IFERROR(1*'Daily Workforce'!$P183&gt;=2,FALSE()))))),1,0)</f>
        <v>0</v>
      </c>
      <c r="GM23" s="1" t="n">
        <f aca="false">IF(AND('Daily Workforce'!$N184="Y",'Daily Workforce'!$B184&lt;&gt;"",COUNTIF('Daily Schedule'!$F$5:$F26,'Daily Workforce'!$B184)=0,IF('Daily Schedule'!$A27=45,'Daily Workforce'!$J184="Y",IF(OR('Daily Schedule'!$A27=4,'Daily Schedule'!$A27=8),IF(OR(WEEKDAY('Daily Schedule'!$B$2,2)=1,WEEKDAY('Daily Schedule'!$B$2,2)=4,WEEKDAY('Daily Schedule'!$B$2,2)=5,WEEKDAY('Daily Schedule'!$B$2,2)=7),IFERROR(1*'Daily Workforce'!$K184&gt;=3,FALSE()),IFERROR(1*'Daily Workforce'!$K184&gt;=2,FALSE())),IF(AND('Daily Schedule'!$A27&gt;=46,'Daily Schedule'!$A27&lt;=52),'Daily Workforce'!$M184="Y",IFERROR(1*'Daily Workforce'!$P184&gt;=2,FALSE()))))),1,0)</f>
        <v>0</v>
      </c>
      <c r="GN23" s="1" t="n">
        <f aca="false">IF(AND('Daily Workforce'!$N185="Y",'Daily Workforce'!$B185&lt;&gt;"",COUNTIF('Daily Schedule'!$F$5:$F26,'Daily Workforce'!$B185)=0,IF('Daily Schedule'!$A27=45,'Daily Workforce'!$J185="Y",IF(OR('Daily Schedule'!$A27=4,'Daily Schedule'!$A27=8),IF(OR(WEEKDAY('Daily Schedule'!$B$2,2)=1,WEEKDAY('Daily Schedule'!$B$2,2)=4,WEEKDAY('Daily Schedule'!$B$2,2)=5,WEEKDAY('Daily Schedule'!$B$2,2)=7),IFERROR(1*'Daily Workforce'!$K185&gt;=3,FALSE()),IFERROR(1*'Daily Workforce'!$K185&gt;=2,FALSE())),IF(AND('Daily Schedule'!$A27&gt;=46,'Daily Schedule'!$A27&lt;=52),'Daily Workforce'!$M185="Y",IFERROR(1*'Daily Workforce'!$P185&gt;=2,FALSE()))))),1,0)</f>
        <v>0</v>
      </c>
      <c r="GO23" s="1" t="n">
        <f aca="false">IF(AND('Daily Workforce'!$N186="Y",'Daily Workforce'!$B186&lt;&gt;"",COUNTIF('Daily Schedule'!$F$5:$F26,'Daily Workforce'!$B186)=0,IF('Daily Schedule'!$A27=45,'Daily Workforce'!$J186="Y",IF(OR('Daily Schedule'!$A27=4,'Daily Schedule'!$A27=8),IF(OR(WEEKDAY('Daily Schedule'!$B$2,2)=1,WEEKDAY('Daily Schedule'!$B$2,2)=4,WEEKDAY('Daily Schedule'!$B$2,2)=5,WEEKDAY('Daily Schedule'!$B$2,2)=7),IFERROR(1*'Daily Workforce'!$K186&gt;=3,FALSE()),IFERROR(1*'Daily Workforce'!$K186&gt;=2,FALSE())),IF(AND('Daily Schedule'!$A27&gt;=46,'Daily Schedule'!$A27&lt;=52),'Daily Workforce'!$M186="Y",IFERROR(1*'Daily Workforce'!$P186&gt;=2,FALSE()))))),1,0)</f>
        <v>0</v>
      </c>
      <c r="GP23" s="1" t="n">
        <f aca="false">IF(AND('Daily Workforce'!$N187="Y",'Daily Workforce'!$B187&lt;&gt;"",COUNTIF('Daily Schedule'!$F$5:$F26,'Daily Workforce'!$B187)=0,IF('Daily Schedule'!$A27=45,'Daily Workforce'!$J187="Y",IF(OR('Daily Schedule'!$A27=4,'Daily Schedule'!$A27=8),IF(OR(WEEKDAY('Daily Schedule'!$B$2,2)=1,WEEKDAY('Daily Schedule'!$B$2,2)=4,WEEKDAY('Daily Schedule'!$B$2,2)=5,WEEKDAY('Daily Schedule'!$B$2,2)=7),IFERROR(1*'Daily Workforce'!$K187&gt;=3,FALSE()),IFERROR(1*'Daily Workforce'!$K187&gt;=2,FALSE())),IF(AND('Daily Schedule'!$A27&gt;=46,'Daily Schedule'!$A27&lt;=52),'Daily Workforce'!$M187="Y",IFERROR(1*'Daily Workforce'!$P187&gt;=2,FALSE()))))),1,0)</f>
        <v>0</v>
      </c>
      <c r="GQ23" s="1" t="n">
        <f aca="false">IF(AND('Daily Workforce'!$N188="Y",'Daily Workforce'!$B188&lt;&gt;"",COUNTIF('Daily Schedule'!$F$5:$F26,'Daily Workforce'!$B188)=0,IF('Daily Schedule'!$A27=45,'Daily Workforce'!$J188="Y",IF(OR('Daily Schedule'!$A27=4,'Daily Schedule'!$A27=8),IF(OR(WEEKDAY('Daily Schedule'!$B$2,2)=1,WEEKDAY('Daily Schedule'!$B$2,2)=4,WEEKDAY('Daily Schedule'!$B$2,2)=5,WEEKDAY('Daily Schedule'!$B$2,2)=7),IFERROR(1*'Daily Workforce'!$K188&gt;=3,FALSE()),IFERROR(1*'Daily Workforce'!$K188&gt;=2,FALSE())),IF(AND('Daily Schedule'!$A27&gt;=46,'Daily Schedule'!$A27&lt;=52),'Daily Workforce'!$M188="Y",IFERROR(1*'Daily Workforce'!$P188&gt;=2,FALSE()))))),1,0)</f>
        <v>0</v>
      </c>
      <c r="GR23" s="1" t="n">
        <f aca="false">IF(AND('Daily Workforce'!$N189="Y",'Daily Workforce'!$B189&lt;&gt;"",COUNTIF('Daily Schedule'!$F$5:$F26,'Daily Workforce'!$B189)=0,IF('Daily Schedule'!$A27=45,'Daily Workforce'!$J189="Y",IF(OR('Daily Schedule'!$A27=4,'Daily Schedule'!$A27=8),IF(OR(WEEKDAY('Daily Schedule'!$B$2,2)=1,WEEKDAY('Daily Schedule'!$B$2,2)=4,WEEKDAY('Daily Schedule'!$B$2,2)=5,WEEKDAY('Daily Schedule'!$B$2,2)=7),IFERROR(1*'Daily Workforce'!$K189&gt;=3,FALSE()),IFERROR(1*'Daily Workforce'!$K189&gt;=2,FALSE())),IF(AND('Daily Schedule'!$A27&gt;=46,'Daily Schedule'!$A27&lt;=52),'Daily Workforce'!$M189="Y",IFERROR(1*'Daily Workforce'!$P189&gt;=2,FALSE()))))),1,0)</f>
        <v>0</v>
      </c>
      <c r="GS23" s="1" t="n">
        <f aca="false">IF(AND('Daily Workforce'!$N190="Y",'Daily Workforce'!$B190&lt;&gt;"",COUNTIF('Daily Schedule'!$F$5:$F26,'Daily Workforce'!$B190)=0,IF('Daily Schedule'!$A27=45,'Daily Workforce'!$J190="Y",IF(OR('Daily Schedule'!$A27=4,'Daily Schedule'!$A27=8),IF(OR(WEEKDAY('Daily Schedule'!$B$2,2)=1,WEEKDAY('Daily Schedule'!$B$2,2)=4,WEEKDAY('Daily Schedule'!$B$2,2)=5,WEEKDAY('Daily Schedule'!$B$2,2)=7),IFERROR(1*'Daily Workforce'!$K190&gt;=3,FALSE()),IFERROR(1*'Daily Workforce'!$K190&gt;=2,FALSE())),IF(AND('Daily Schedule'!$A27&gt;=46,'Daily Schedule'!$A27&lt;=52),'Daily Workforce'!$M190="Y",IFERROR(1*'Daily Workforce'!$P190&gt;=2,FALSE()))))),1,0)</f>
        <v>0</v>
      </c>
      <c r="GT23" s="1" t="n">
        <f aca="false">IF(AND('Daily Workforce'!$N191="Y",'Daily Workforce'!$B191&lt;&gt;"",COUNTIF('Daily Schedule'!$F$5:$F26,'Daily Workforce'!$B191)=0,IF('Daily Schedule'!$A27=45,'Daily Workforce'!$J191="Y",IF(OR('Daily Schedule'!$A27=4,'Daily Schedule'!$A27=8),IF(OR(WEEKDAY('Daily Schedule'!$B$2,2)=1,WEEKDAY('Daily Schedule'!$B$2,2)=4,WEEKDAY('Daily Schedule'!$B$2,2)=5,WEEKDAY('Daily Schedule'!$B$2,2)=7),IFERROR(1*'Daily Workforce'!$K191&gt;=3,FALSE()),IFERROR(1*'Daily Workforce'!$K191&gt;=2,FALSE())),IF(AND('Daily Schedule'!$A27&gt;=46,'Daily Schedule'!$A27&lt;=52),'Daily Workforce'!$M191="Y",IFERROR(1*'Daily Workforce'!$P191&gt;=2,FALSE()))))),1,0)</f>
        <v>0</v>
      </c>
      <c r="GU23" s="1" t="n">
        <f aca="false">IF(AND('Daily Workforce'!$N192="Y",'Daily Workforce'!$B192&lt;&gt;"",COUNTIF('Daily Schedule'!$F$5:$F26,'Daily Workforce'!$B192)=0,IF('Daily Schedule'!$A27=45,'Daily Workforce'!$J192="Y",IF(OR('Daily Schedule'!$A27=4,'Daily Schedule'!$A27=8),IF(OR(WEEKDAY('Daily Schedule'!$B$2,2)=1,WEEKDAY('Daily Schedule'!$B$2,2)=4,WEEKDAY('Daily Schedule'!$B$2,2)=5,WEEKDAY('Daily Schedule'!$B$2,2)=7),IFERROR(1*'Daily Workforce'!$K192&gt;=3,FALSE()),IFERROR(1*'Daily Workforce'!$K192&gt;=2,FALSE())),IF(AND('Daily Schedule'!$A27&gt;=46,'Daily Schedule'!$A27&lt;=52),'Daily Workforce'!$M192="Y",IFERROR(1*'Daily Workforce'!$P192&gt;=2,FALSE()))))),1,0)</f>
        <v>0</v>
      </c>
      <c r="GV23" s="1" t="n">
        <f aca="false">IF(AND('Daily Workforce'!$N193="Y",'Daily Workforce'!$B193&lt;&gt;"",COUNTIF('Daily Schedule'!$F$5:$F26,'Daily Workforce'!$B193)=0,IF('Daily Schedule'!$A27=45,'Daily Workforce'!$J193="Y",IF(OR('Daily Schedule'!$A27=4,'Daily Schedule'!$A27=8),IF(OR(WEEKDAY('Daily Schedule'!$B$2,2)=1,WEEKDAY('Daily Schedule'!$B$2,2)=4,WEEKDAY('Daily Schedule'!$B$2,2)=5,WEEKDAY('Daily Schedule'!$B$2,2)=7),IFERROR(1*'Daily Workforce'!$K193&gt;=3,FALSE()),IFERROR(1*'Daily Workforce'!$K193&gt;=2,FALSE())),IF(AND('Daily Schedule'!$A27&gt;=46,'Daily Schedule'!$A27&lt;=52),'Daily Workforce'!$M193="Y",IFERROR(1*'Daily Workforce'!$P193&gt;=2,FALSE()))))),1,0)</f>
        <v>0</v>
      </c>
      <c r="GW23" s="1" t="n">
        <f aca="false">IF(AND('Daily Workforce'!$N194="Y",'Daily Workforce'!$B194&lt;&gt;"",COUNTIF('Daily Schedule'!$F$5:$F26,'Daily Workforce'!$B194)=0,IF('Daily Schedule'!$A27=45,'Daily Workforce'!$J194="Y",IF(OR('Daily Schedule'!$A27=4,'Daily Schedule'!$A27=8),IF(OR(WEEKDAY('Daily Schedule'!$B$2,2)=1,WEEKDAY('Daily Schedule'!$B$2,2)=4,WEEKDAY('Daily Schedule'!$B$2,2)=5,WEEKDAY('Daily Schedule'!$B$2,2)=7),IFERROR(1*'Daily Workforce'!$K194&gt;=3,FALSE()),IFERROR(1*'Daily Workforce'!$K194&gt;=2,FALSE())),IF(AND('Daily Schedule'!$A27&gt;=46,'Daily Schedule'!$A27&lt;=52),'Daily Workforce'!$M194="Y",IFERROR(1*'Daily Workforce'!$P194&gt;=2,FALSE()))))),1,0)</f>
        <v>0</v>
      </c>
      <c r="GX23" s="1" t="n">
        <f aca="false">IF(AND('Daily Workforce'!$N195="Y",'Daily Workforce'!$B195&lt;&gt;"",COUNTIF('Daily Schedule'!$F$5:$F26,'Daily Workforce'!$B195)=0,IF('Daily Schedule'!$A27=45,'Daily Workforce'!$J195="Y",IF(OR('Daily Schedule'!$A27=4,'Daily Schedule'!$A27=8),IF(OR(WEEKDAY('Daily Schedule'!$B$2,2)=1,WEEKDAY('Daily Schedule'!$B$2,2)=4,WEEKDAY('Daily Schedule'!$B$2,2)=5,WEEKDAY('Daily Schedule'!$B$2,2)=7),IFERROR(1*'Daily Workforce'!$K195&gt;=3,FALSE()),IFERROR(1*'Daily Workforce'!$K195&gt;=2,FALSE())),IF(AND('Daily Schedule'!$A27&gt;=46,'Daily Schedule'!$A27&lt;=52),'Daily Workforce'!$M195="Y",IFERROR(1*'Daily Workforce'!$P195&gt;=2,FALSE()))))),1,0)</f>
        <v>0</v>
      </c>
      <c r="GY23" s="1" t="n">
        <f aca="false">IF(AND('Daily Workforce'!$N196="Y",'Daily Workforce'!$B196&lt;&gt;"",COUNTIF('Daily Schedule'!$F$5:$F26,'Daily Workforce'!$B196)=0,IF('Daily Schedule'!$A27=45,'Daily Workforce'!$J196="Y",IF(OR('Daily Schedule'!$A27=4,'Daily Schedule'!$A27=8),IF(OR(WEEKDAY('Daily Schedule'!$B$2,2)=1,WEEKDAY('Daily Schedule'!$B$2,2)=4,WEEKDAY('Daily Schedule'!$B$2,2)=5,WEEKDAY('Daily Schedule'!$B$2,2)=7),IFERROR(1*'Daily Workforce'!$K196&gt;=3,FALSE()),IFERROR(1*'Daily Workforce'!$K196&gt;=2,FALSE())),IF(AND('Daily Schedule'!$A27&gt;=46,'Daily Schedule'!$A27&lt;=52),'Daily Workforce'!$M196="Y",IFERROR(1*'Daily Workforce'!$P196&gt;=2,FALSE()))))),1,0)</f>
        <v>0</v>
      </c>
      <c r="GZ23" s="1" t="n">
        <f aca="false">IF(AND('Daily Workforce'!$N197="Y",'Daily Workforce'!$B197&lt;&gt;"",COUNTIF('Daily Schedule'!$F$5:$F26,'Daily Workforce'!$B197)=0,IF('Daily Schedule'!$A27=45,'Daily Workforce'!$J197="Y",IF(OR('Daily Schedule'!$A27=4,'Daily Schedule'!$A27=8),IF(OR(WEEKDAY('Daily Schedule'!$B$2,2)=1,WEEKDAY('Daily Schedule'!$B$2,2)=4,WEEKDAY('Daily Schedule'!$B$2,2)=5,WEEKDAY('Daily Schedule'!$B$2,2)=7),IFERROR(1*'Daily Workforce'!$K197&gt;=3,FALSE()),IFERROR(1*'Daily Workforce'!$K197&gt;=2,FALSE())),IF(AND('Daily Schedule'!$A27&gt;=46,'Daily Schedule'!$A27&lt;=52),'Daily Workforce'!$M197="Y",IFERROR(1*'Daily Workforce'!$P197&gt;=2,FALSE()))))),1,0)</f>
        <v>0</v>
      </c>
      <c r="HA23" s="1" t="n">
        <f aca="false">IF(AND('Daily Workforce'!$N198="Y",'Daily Workforce'!$B198&lt;&gt;"",COUNTIF('Daily Schedule'!$F$5:$F26,'Daily Workforce'!$B198)=0,IF('Daily Schedule'!$A27=45,'Daily Workforce'!$J198="Y",IF(OR('Daily Schedule'!$A27=4,'Daily Schedule'!$A27=8),IF(OR(WEEKDAY('Daily Schedule'!$B$2,2)=1,WEEKDAY('Daily Schedule'!$B$2,2)=4,WEEKDAY('Daily Schedule'!$B$2,2)=5,WEEKDAY('Daily Schedule'!$B$2,2)=7),IFERROR(1*'Daily Workforce'!$K198&gt;=3,FALSE()),IFERROR(1*'Daily Workforce'!$K198&gt;=2,FALSE())),IF(AND('Daily Schedule'!$A27&gt;=46,'Daily Schedule'!$A27&lt;=52),'Daily Workforce'!$M198="Y",IFERROR(1*'Daily Workforce'!$P198&gt;=2,FALSE()))))),1,0)</f>
        <v>0</v>
      </c>
      <c r="HB23" s="1" t="n">
        <f aca="false">IF(AND('Daily Workforce'!$N199="Y",'Daily Workforce'!$B199&lt;&gt;"",COUNTIF('Daily Schedule'!$F$5:$F26,'Daily Workforce'!$B199)=0,IF('Daily Schedule'!$A27=45,'Daily Workforce'!$J199="Y",IF(OR('Daily Schedule'!$A27=4,'Daily Schedule'!$A27=8),IF(OR(WEEKDAY('Daily Schedule'!$B$2,2)=1,WEEKDAY('Daily Schedule'!$B$2,2)=4,WEEKDAY('Daily Schedule'!$B$2,2)=5,WEEKDAY('Daily Schedule'!$B$2,2)=7),IFERROR(1*'Daily Workforce'!$K199&gt;=3,FALSE()),IFERROR(1*'Daily Workforce'!$K199&gt;=2,FALSE())),IF(AND('Daily Schedule'!$A27&gt;=46,'Daily Schedule'!$A27&lt;=52),'Daily Workforce'!$M199="Y",IFERROR(1*'Daily Workforce'!$P199&gt;=2,FALSE()))))),1,0)</f>
        <v>0</v>
      </c>
      <c r="HC23" s="1" t="n">
        <f aca="false">IF(AND('Daily Workforce'!$N200="Y",'Daily Workforce'!$B200&lt;&gt;"",COUNTIF('Daily Schedule'!$F$5:$F26,'Daily Workforce'!$B200)=0,IF('Daily Schedule'!$A27=45,'Daily Workforce'!$J200="Y",IF(OR('Daily Schedule'!$A27=4,'Daily Schedule'!$A27=8),IF(OR(WEEKDAY('Daily Schedule'!$B$2,2)=1,WEEKDAY('Daily Schedule'!$B$2,2)=4,WEEKDAY('Daily Schedule'!$B$2,2)=5,WEEKDAY('Daily Schedule'!$B$2,2)=7),IFERROR(1*'Daily Workforce'!$K200&gt;=3,FALSE()),IFERROR(1*'Daily Workforce'!$K200&gt;=2,FALSE())),IF(AND('Daily Schedule'!$A27&gt;=46,'Daily Schedule'!$A27&lt;=52),'Daily Workforce'!$M200="Y",IFERROR(1*'Daily Workforce'!$P200&gt;=2,FALSE()))))),1,0)</f>
        <v>0</v>
      </c>
      <c r="HD23" s="1" t="n">
        <f aca="false">IF(AND('Daily Workforce'!$N201="Y",'Daily Workforce'!$B201&lt;&gt;"",COUNTIF('Daily Schedule'!$F$5:$F26,'Daily Workforce'!$B201)=0,IF('Daily Schedule'!$A27=45,'Daily Workforce'!$J201="Y",IF(OR('Daily Schedule'!$A27=4,'Daily Schedule'!$A27=8),IF(OR(WEEKDAY('Daily Schedule'!$B$2,2)=1,WEEKDAY('Daily Schedule'!$B$2,2)=4,WEEKDAY('Daily Schedule'!$B$2,2)=5,WEEKDAY('Daily Schedule'!$B$2,2)=7),IFERROR(1*'Daily Workforce'!$K201&gt;=3,FALSE()),IFERROR(1*'Daily Workforce'!$K201&gt;=2,FALSE())),IF(AND('Daily Schedule'!$A27&gt;=46,'Daily Schedule'!$A27&lt;=52),'Daily Workforce'!$M201="Y",IFERROR(1*'Daily Workforce'!$P201&gt;=2,FALSE()))))),1,0)</f>
        <v>0</v>
      </c>
      <c r="HE23" s="1" t="n">
        <f aca="false">IF(AND('Daily Workforce'!$N202="Y",'Daily Workforce'!$B202&lt;&gt;"",COUNTIF('Daily Schedule'!$F$5:$F26,'Daily Workforce'!$B202)=0,IF('Daily Schedule'!$A27=45,'Daily Workforce'!$J202="Y",IF(OR('Daily Schedule'!$A27=4,'Daily Schedule'!$A27=8),IF(OR(WEEKDAY('Daily Schedule'!$B$2,2)=1,WEEKDAY('Daily Schedule'!$B$2,2)=4,WEEKDAY('Daily Schedule'!$B$2,2)=5,WEEKDAY('Daily Schedule'!$B$2,2)=7),IFERROR(1*'Daily Workforce'!$K202&gt;=3,FALSE()),IFERROR(1*'Daily Workforce'!$K202&gt;=2,FALSE())),IF(AND('Daily Schedule'!$A27&gt;=46,'Daily Schedule'!$A27&lt;=52),'Daily Workforce'!$M202="Y",IFERROR(1*'Daily Workforce'!$P202&gt;=2,FALSE()))))),1,0)</f>
        <v>0</v>
      </c>
      <c r="HF23" s="1" t="n">
        <f aca="false">IF(AND('Daily Workforce'!$N203="Y",'Daily Workforce'!$B203&lt;&gt;"",COUNTIF('Daily Schedule'!$F$5:$F26,'Daily Workforce'!$B203)=0,IF('Daily Schedule'!$A27=45,'Daily Workforce'!$J203="Y",IF(OR('Daily Schedule'!$A27=4,'Daily Schedule'!$A27=8),IF(OR(WEEKDAY('Daily Schedule'!$B$2,2)=1,WEEKDAY('Daily Schedule'!$B$2,2)=4,WEEKDAY('Daily Schedule'!$B$2,2)=5,WEEKDAY('Daily Schedule'!$B$2,2)=7),IFERROR(1*'Daily Workforce'!$K203&gt;=3,FALSE()),IFERROR(1*'Daily Workforce'!$K203&gt;=2,FALSE())),IF(AND('Daily Schedule'!$A27&gt;=46,'Daily Schedule'!$A27&lt;=52),'Daily Workforce'!$M203="Y",IFERROR(1*'Daily Workforce'!$P203&gt;=2,FALSE()))))),1,0)</f>
        <v>0</v>
      </c>
      <c r="HG23" s="1" t="n">
        <f aca="false">IF(AND('Daily Workforce'!$N204="Y",'Daily Workforce'!$B204&lt;&gt;"",COUNTIF('Daily Schedule'!$F$5:$F26,'Daily Workforce'!$B204)=0,IF('Daily Schedule'!$A27=45,'Daily Workforce'!$J204="Y",IF(OR('Daily Schedule'!$A27=4,'Daily Schedule'!$A27=8),IF(OR(WEEKDAY('Daily Schedule'!$B$2,2)=1,WEEKDAY('Daily Schedule'!$B$2,2)=4,WEEKDAY('Daily Schedule'!$B$2,2)=5,WEEKDAY('Daily Schedule'!$B$2,2)=7),IFERROR(1*'Daily Workforce'!$K204&gt;=3,FALSE()),IFERROR(1*'Daily Workforce'!$K204&gt;=2,FALSE())),IF(AND('Daily Schedule'!$A27&gt;=46,'Daily Schedule'!$A27&lt;=52),'Daily Workforce'!$M204="Y",IFERROR(1*'Daily Workforce'!$P204&gt;=2,FALSE()))))),1,0)</f>
        <v>0</v>
      </c>
      <c r="HH23" s="1" t="n">
        <f aca="false">IF(AND('Daily Workforce'!$N205="Y",'Daily Workforce'!$B205&lt;&gt;"",COUNTIF('Daily Schedule'!$F$5:$F26,'Daily Workforce'!$B205)=0,IF('Daily Schedule'!$A27=45,'Daily Workforce'!$J205="Y",IF(OR('Daily Schedule'!$A27=4,'Daily Schedule'!$A27=8),IF(OR(WEEKDAY('Daily Schedule'!$B$2,2)=1,WEEKDAY('Daily Schedule'!$B$2,2)=4,WEEKDAY('Daily Schedule'!$B$2,2)=5,WEEKDAY('Daily Schedule'!$B$2,2)=7),IFERROR(1*'Daily Workforce'!$K205&gt;=3,FALSE()),IFERROR(1*'Daily Workforce'!$K205&gt;=2,FALSE())),IF(AND('Daily Schedule'!$A27&gt;=46,'Daily Schedule'!$A27&lt;=52),'Daily Workforce'!$M205="Y",IFERROR(1*'Daily Workforce'!$P205&gt;=2,FALSE()))))),1,0)</f>
        <v>0</v>
      </c>
    </row>
    <row r="24" customFormat="false" ht="15" hidden="false" customHeight="true" outlineLevel="0" collapsed="false">
      <c r="L24" s="1" t="s">
        <v>808</v>
      </c>
      <c r="O24" s="1" t="str">
        <f aca="false">IF(AND('Employee Master'!$G24="Y",ISERROR(SEARCH(TEXT('Daily Workforce'!$B$2,"ddd"),'Employee Master'!$D24)),IF('Daily Workforce'!$E$2="",TRUE(),'Employee Master'!$I24='Daily Workforce'!$E$2)),'Employee Master'!$K24*1000+ROW()-1,"")</f>
        <v/>
      </c>
      <c r="P24" s="1" t="str">
        <f aca="false">IF($O24="","",COUNTIF($O$2:$O$159,"&lt;="&amp;$O24))</f>
        <v/>
      </c>
      <c r="Q24" s="1" t="n">
        <f aca="false">IF(AND('Daily Workforce'!$N6="Y",'Daily Workforce'!$B6&lt;&gt;"",COUNTIF('Daily Schedule'!$F$5:$F27,'Daily Workforce'!$B6)=0,IF('Daily Schedule'!$A28=45,'Daily Workforce'!$J6="Y",IF(OR('Daily Schedule'!$A28=4,'Daily Schedule'!$A28=8),IF(OR(WEEKDAY('Daily Schedule'!$B$2,2)=1,WEEKDAY('Daily Schedule'!$B$2,2)=4,WEEKDAY('Daily Schedule'!$B$2,2)=5,WEEKDAY('Daily Schedule'!$B$2,2)=7),IFERROR(1*'Daily Workforce'!$K6&gt;=3,FALSE()),IFERROR(1*'Daily Workforce'!$K6&gt;=2,FALSE())),IF(AND('Daily Schedule'!$A28&gt;=46,'Daily Schedule'!$A28&lt;=52),'Daily Workforce'!$M6="Y",IFERROR(1*'Daily Workforce'!$P6&gt;=2,FALSE()))))),1,0)</f>
        <v>0</v>
      </c>
      <c r="R24" s="1" t="n">
        <f aca="false">IF(AND('Daily Workforce'!$N7="Y",'Daily Workforce'!$B7&lt;&gt;"",COUNTIF('Daily Schedule'!$F$5:$F27,'Daily Workforce'!$B7)=0,IF('Daily Schedule'!$A28=45,'Daily Workforce'!$J7="Y",IF(OR('Daily Schedule'!$A28=4,'Daily Schedule'!$A28=8),IF(OR(WEEKDAY('Daily Schedule'!$B$2,2)=1,WEEKDAY('Daily Schedule'!$B$2,2)=4,WEEKDAY('Daily Schedule'!$B$2,2)=5,WEEKDAY('Daily Schedule'!$B$2,2)=7),IFERROR(1*'Daily Workforce'!$K7&gt;=3,FALSE()),IFERROR(1*'Daily Workforce'!$K7&gt;=2,FALSE())),IF(AND('Daily Schedule'!$A28&gt;=46,'Daily Schedule'!$A28&lt;=52),'Daily Workforce'!$M7="Y",IFERROR(1*'Daily Workforce'!$P7&gt;=2,FALSE()))))),1,0)</f>
        <v>0</v>
      </c>
      <c r="S24" s="1" t="n">
        <f aca="false">IF(AND('Daily Workforce'!$N8="Y",'Daily Workforce'!$B8&lt;&gt;"",COUNTIF('Daily Schedule'!$F$5:$F27,'Daily Workforce'!$B8)=0,IF('Daily Schedule'!$A28=45,'Daily Workforce'!$J8="Y",IF(OR('Daily Schedule'!$A28=4,'Daily Schedule'!$A28=8),IF(OR(WEEKDAY('Daily Schedule'!$B$2,2)=1,WEEKDAY('Daily Schedule'!$B$2,2)=4,WEEKDAY('Daily Schedule'!$B$2,2)=5,WEEKDAY('Daily Schedule'!$B$2,2)=7),IFERROR(1*'Daily Workforce'!$K8&gt;=3,FALSE()),IFERROR(1*'Daily Workforce'!$K8&gt;=2,FALSE())),IF(AND('Daily Schedule'!$A28&gt;=46,'Daily Schedule'!$A28&lt;=52),'Daily Workforce'!$M8="Y",IFERROR(1*'Daily Workforce'!$P8&gt;=2,FALSE()))))),1,0)</f>
        <v>0</v>
      </c>
      <c r="T24" s="1" t="n">
        <f aca="false">IF(AND('Daily Workforce'!$N9="Y",'Daily Workforce'!$B9&lt;&gt;"",COUNTIF('Daily Schedule'!$F$5:$F27,'Daily Workforce'!$B9)=0,IF('Daily Schedule'!$A28=45,'Daily Workforce'!$J9="Y",IF(OR('Daily Schedule'!$A28=4,'Daily Schedule'!$A28=8),IF(OR(WEEKDAY('Daily Schedule'!$B$2,2)=1,WEEKDAY('Daily Schedule'!$B$2,2)=4,WEEKDAY('Daily Schedule'!$B$2,2)=5,WEEKDAY('Daily Schedule'!$B$2,2)=7),IFERROR(1*'Daily Workforce'!$K9&gt;=3,FALSE()),IFERROR(1*'Daily Workforce'!$K9&gt;=2,FALSE())),IF(AND('Daily Schedule'!$A28&gt;=46,'Daily Schedule'!$A28&lt;=52),'Daily Workforce'!$M9="Y",IFERROR(1*'Daily Workforce'!$P9&gt;=2,FALSE()))))),1,0)</f>
        <v>0</v>
      </c>
      <c r="U24" s="1" t="n">
        <f aca="false">IF(AND('Daily Workforce'!$N10="Y",'Daily Workforce'!$B10&lt;&gt;"",COUNTIF('Daily Schedule'!$F$5:$F27,'Daily Workforce'!$B10)=0,IF('Daily Schedule'!$A28=45,'Daily Workforce'!$J10="Y",IF(OR('Daily Schedule'!$A28=4,'Daily Schedule'!$A28=8),IF(OR(WEEKDAY('Daily Schedule'!$B$2,2)=1,WEEKDAY('Daily Schedule'!$B$2,2)=4,WEEKDAY('Daily Schedule'!$B$2,2)=5,WEEKDAY('Daily Schedule'!$B$2,2)=7),IFERROR(1*'Daily Workforce'!$K10&gt;=3,FALSE()),IFERROR(1*'Daily Workforce'!$K10&gt;=2,FALSE())),IF(AND('Daily Schedule'!$A28&gt;=46,'Daily Schedule'!$A28&lt;=52),'Daily Workforce'!$M10="Y",IFERROR(1*'Daily Workforce'!$P10&gt;=2,FALSE()))))),1,0)</f>
        <v>0</v>
      </c>
      <c r="V24" s="1" t="n">
        <f aca="false">IF(AND('Daily Workforce'!$N11="Y",'Daily Workforce'!$B11&lt;&gt;"",COUNTIF('Daily Schedule'!$F$5:$F27,'Daily Workforce'!$B11)=0,IF('Daily Schedule'!$A28=45,'Daily Workforce'!$J11="Y",IF(OR('Daily Schedule'!$A28=4,'Daily Schedule'!$A28=8),IF(OR(WEEKDAY('Daily Schedule'!$B$2,2)=1,WEEKDAY('Daily Schedule'!$B$2,2)=4,WEEKDAY('Daily Schedule'!$B$2,2)=5,WEEKDAY('Daily Schedule'!$B$2,2)=7),IFERROR(1*'Daily Workforce'!$K11&gt;=3,FALSE()),IFERROR(1*'Daily Workforce'!$K11&gt;=2,FALSE())),IF(AND('Daily Schedule'!$A28&gt;=46,'Daily Schedule'!$A28&lt;=52),'Daily Workforce'!$M11="Y",IFERROR(1*'Daily Workforce'!$P11&gt;=2,FALSE()))))),1,0)</f>
        <v>0</v>
      </c>
      <c r="W24" s="1" t="n">
        <f aca="false">IF(AND('Daily Workforce'!$N12="Y",'Daily Workforce'!$B12&lt;&gt;"",COUNTIF('Daily Schedule'!$F$5:$F27,'Daily Workforce'!$B12)=0,IF('Daily Schedule'!$A28=45,'Daily Workforce'!$J12="Y",IF(OR('Daily Schedule'!$A28=4,'Daily Schedule'!$A28=8),IF(OR(WEEKDAY('Daily Schedule'!$B$2,2)=1,WEEKDAY('Daily Schedule'!$B$2,2)=4,WEEKDAY('Daily Schedule'!$B$2,2)=5,WEEKDAY('Daily Schedule'!$B$2,2)=7),IFERROR(1*'Daily Workforce'!$K12&gt;=3,FALSE()),IFERROR(1*'Daily Workforce'!$K12&gt;=2,FALSE())),IF(AND('Daily Schedule'!$A28&gt;=46,'Daily Schedule'!$A28&lt;=52),'Daily Workforce'!$M12="Y",IFERROR(1*'Daily Workforce'!$P12&gt;=2,FALSE()))))),1,0)</f>
        <v>0</v>
      </c>
      <c r="X24" s="1" t="n">
        <f aca="false">IF(AND('Daily Workforce'!$N13="Y",'Daily Workforce'!$B13&lt;&gt;"",COUNTIF('Daily Schedule'!$F$5:$F27,'Daily Workforce'!$B13)=0,IF('Daily Schedule'!$A28=45,'Daily Workforce'!$J13="Y",IF(OR('Daily Schedule'!$A28=4,'Daily Schedule'!$A28=8),IF(OR(WEEKDAY('Daily Schedule'!$B$2,2)=1,WEEKDAY('Daily Schedule'!$B$2,2)=4,WEEKDAY('Daily Schedule'!$B$2,2)=5,WEEKDAY('Daily Schedule'!$B$2,2)=7),IFERROR(1*'Daily Workforce'!$K13&gt;=3,FALSE()),IFERROR(1*'Daily Workforce'!$K13&gt;=2,FALSE())),IF(AND('Daily Schedule'!$A28&gt;=46,'Daily Schedule'!$A28&lt;=52),'Daily Workforce'!$M13="Y",IFERROR(1*'Daily Workforce'!$P13&gt;=2,FALSE()))))),1,0)</f>
        <v>0</v>
      </c>
      <c r="Y24" s="1" t="n">
        <f aca="false">IF(AND('Daily Workforce'!$N14="Y",'Daily Workforce'!$B14&lt;&gt;"",COUNTIF('Daily Schedule'!$F$5:$F27,'Daily Workforce'!$B14)=0,IF('Daily Schedule'!$A28=45,'Daily Workforce'!$J14="Y",IF(OR('Daily Schedule'!$A28=4,'Daily Schedule'!$A28=8),IF(OR(WEEKDAY('Daily Schedule'!$B$2,2)=1,WEEKDAY('Daily Schedule'!$B$2,2)=4,WEEKDAY('Daily Schedule'!$B$2,2)=5,WEEKDAY('Daily Schedule'!$B$2,2)=7),IFERROR(1*'Daily Workforce'!$K14&gt;=3,FALSE()),IFERROR(1*'Daily Workforce'!$K14&gt;=2,FALSE())),IF(AND('Daily Schedule'!$A28&gt;=46,'Daily Schedule'!$A28&lt;=52),'Daily Workforce'!$M14="Y",IFERROR(1*'Daily Workforce'!$P14&gt;=2,FALSE()))))),1,0)</f>
        <v>0</v>
      </c>
      <c r="Z24" s="1" t="n">
        <f aca="false">IF(AND('Daily Workforce'!$N15="Y",'Daily Workforce'!$B15&lt;&gt;"",COUNTIF('Daily Schedule'!$F$5:$F27,'Daily Workforce'!$B15)=0,IF('Daily Schedule'!$A28=45,'Daily Workforce'!$J15="Y",IF(OR('Daily Schedule'!$A28=4,'Daily Schedule'!$A28=8),IF(OR(WEEKDAY('Daily Schedule'!$B$2,2)=1,WEEKDAY('Daily Schedule'!$B$2,2)=4,WEEKDAY('Daily Schedule'!$B$2,2)=5,WEEKDAY('Daily Schedule'!$B$2,2)=7),IFERROR(1*'Daily Workforce'!$K15&gt;=3,FALSE()),IFERROR(1*'Daily Workforce'!$K15&gt;=2,FALSE())),IF(AND('Daily Schedule'!$A28&gt;=46,'Daily Schedule'!$A28&lt;=52),'Daily Workforce'!$M15="Y",IFERROR(1*'Daily Workforce'!$P15&gt;=2,FALSE()))))),1,0)</f>
        <v>0</v>
      </c>
      <c r="AA24" s="1" t="n">
        <f aca="false">IF(AND('Daily Workforce'!$N16="Y",'Daily Workforce'!$B16&lt;&gt;"",COUNTIF('Daily Schedule'!$F$5:$F27,'Daily Workforce'!$B16)=0,IF('Daily Schedule'!$A28=45,'Daily Workforce'!$J16="Y",IF(OR('Daily Schedule'!$A28=4,'Daily Schedule'!$A28=8),IF(OR(WEEKDAY('Daily Schedule'!$B$2,2)=1,WEEKDAY('Daily Schedule'!$B$2,2)=4,WEEKDAY('Daily Schedule'!$B$2,2)=5,WEEKDAY('Daily Schedule'!$B$2,2)=7),IFERROR(1*'Daily Workforce'!$K16&gt;=3,FALSE()),IFERROR(1*'Daily Workforce'!$K16&gt;=2,FALSE())),IF(AND('Daily Schedule'!$A28&gt;=46,'Daily Schedule'!$A28&lt;=52),'Daily Workforce'!$M16="Y",IFERROR(1*'Daily Workforce'!$P16&gt;=2,FALSE()))))),1,0)</f>
        <v>0</v>
      </c>
      <c r="AB24" s="1" t="n">
        <f aca="false">IF(AND('Daily Workforce'!$N17="Y",'Daily Workforce'!$B17&lt;&gt;"",COUNTIF('Daily Schedule'!$F$5:$F27,'Daily Workforce'!$B17)=0,IF('Daily Schedule'!$A28=45,'Daily Workforce'!$J17="Y",IF(OR('Daily Schedule'!$A28=4,'Daily Schedule'!$A28=8),IF(OR(WEEKDAY('Daily Schedule'!$B$2,2)=1,WEEKDAY('Daily Schedule'!$B$2,2)=4,WEEKDAY('Daily Schedule'!$B$2,2)=5,WEEKDAY('Daily Schedule'!$B$2,2)=7),IFERROR(1*'Daily Workforce'!$K17&gt;=3,FALSE()),IFERROR(1*'Daily Workforce'!$K17&gt;=2,FALSE())),IF(AND('Daily Schedule'!$A28&gt;=46,'Daily Schedule'!$A28&lt;=52),'Daily Workforce'!$M17="Y",IFERROR(1*'Daily Workforce'!$P17&gt;=2,FALSE()))))),1,0)</f>
        <v>0</v>
      </c>
      <c r="AC24" s="1" t="n">
        <f aca="false">IF(AND('Daily Workforce'!$N18="Y",'Daily Workforce'!$B18&lt;&gt;"",COUNTIF('Daily Schedule'!$F$5:$F27,'Daily Workforce'!$B18)=0,IF('Daily Schedule'!$A28=45,'Daily Workforce'!$J18="Y",IF(OR('Daily Schedule'!$A28=4,'Daily Schedule'!$A28=8),IF(OR(WEEKDAY('Daily Schedule'!$B$2,2)=1,WEEKDAY('Daily Schedule'!$B$2,2)=4,WEEKDAY('Daily Schedule'!$B$2,2)=5,WEEKDAY('Daily Schedule'!$B$2,2)=7),IFERROR(1*'Daily Workforce'!$K18&gt;=3,FALSE()),IFERROR(1*'Daily Workforce'!$K18&gt;=2,FALSE())),IF(AND('Daily Schedule'!$A28&gt;=46,'Daily Schedule'!$A28&lt;=52),'Daily Workforce'!$M18="Y",IFERROR(1*'Daily Workforce'!$P18&gt;=2,FALSE()))))),1,0)</f>
        <v>0</v>
      </c>
      <c r="AD24" s="1" t="n">
        <f aca="false">IF(AND('Daily Workforce'!$N19="Y",'Daily Workforce'!$B19&lt;&gt;"",COUNTIF('Daily Schedule'!$F$5:$F27,'Daily Workforce'!$B19)=0,IF('Daily Schedule'!$A28=45,'Daily Workforce'!$J19="Y",IF(OR('Daily Schedule'!$A28=4,'Daily Schedule'!$A28=8),IF(OR(WEEKDAY('Daily Schedule'!$B$2,2)=1,WEEKDAY('Daily Schedule'!$B$2,2)=4,WEEKDAY('Daily Schedule'!$B$2,2)=5,WEEKDAY('Daily Schedule'!$B$2,2)=7),IFERROR(1*'Daily Workforce'!$K19&gt;=3,FALSE()),IFERROR(1*'Daily Workforce'!$K19&gt;=2,FALSE())),IF(AND('Daily Schedule'!$A28&gt;=46,'Daily Schedule'!$A28&lt;=52),'Daily Workforce'!$M19="Y",IFERROR(1*'Daily Workforce'!$P19&gt;=2,FALSE()))))),1,0)</f>
        <v>0</v>
      </c>
      <c r="AE24" s="1" t="n">
        <f aca="false">IF(AND('Daily Workforce'!$N20="Y",'Daily Workforce'!$B20&lt;&gt;"",COUNTIF('Daily Schedule'!$F$5:$F27,'Daily Workforce'!$B20)=0,IF('Daily Schedule'!$A28=45,'Daily Workforce'!$J20="Y",IF(OR('Daily Schedule'!$A28=4,'Daily Schedule'!$A28=8),IF(OR(WEEKDAY('Daily Schedule'!$B$2,2)=1,WEEKDAY('Daily Schedule'!$B$2,2)=4,WEEKDAY('Daily Schedule'!$B$2,2)=5,WEEKDAY('Daily Schedule'!$B$2,2)=7),IFERROR(1*'Daily Workforce'!$K20&gt;=3,FALSE()),IFERROR(1*'Daily Workforce'!$K20&gt;=2,FALSE())),IF(AND('Daily Schedule'!$A28&gt;=46,'Daily Schedule'!$A28&lt;=52),'Daily Workforce'!$M20="Y",IFERROR(1*'Daily Workforce'!$P20&gt;=2,FALSE()))))),1,0)</f>
        <v>0</v>
      </c>
      <c r="AF24" s="1" t="n">
        <f aca="false">IF(AND('Daily Workforce'!$N21="Y",'Daily Workforce'!$B21&lt;&gt;"",COUNTIF('Daily Schedule'!$F$5:$F27,'Daily Workforce'!$B21)=0,IF('Daily Schedule'!$A28=45,'Daily Workforce'!$J21="Y",IF(OR('Daily Schedule'!$A28=4,'Daily Schedule'!$A28=8),IF(OR(WEEKDAY('Daily Schedule'!$B$2,2)=1,WEEKDAY('Daily Schedule'!$B$2,2)=4,WEEKDAY('Daily Schedule'!$B$2,2)=5,WEEKDAY('Daily Schedule'!$B$2,2)=7),IFERROR(1*'Daily Workforce'!$K21&gt;=3,FALSE()),IFERROR(1*'Daily Workforce'!$K21&gt;=2,FALSE())),IF(AND('Daily Schedule'!$A28&gt;=46,'Daily Schedule'!$A28&lt;=52),'Daily Workforce'!$M21="Y",IFERROR(1*'Daily Workforce'!$P21&gt;=2,FALSE()))))),1,0)</f>
        <v>0</v>
      </c>
      <c r="AG24" s="1" t="n">
        <f aca="false">IF(AND('Daily Workforce'!$N22="Y",'Daily Workforce'!$B22&lt;&gt;"",COUNTIF('Daily Schedule'!$F$5:$F27,'Daily Workforce'!$B22)=0,IF('Daily Schedule'!$A28=45,'Daily Workforce'!$J22="Y",IF(OR('Daily Schedule'!$A28=4,'Daily Schedule'!$A28=8),IF(OR(WEEKDAY('Daily Schedule'!$B$2,2)=1,WEEKDAY('Daily Schedule'!$B$2,2)=4,WEEKDAY('Daily Schedule'!$B$2,2)=5,WEEKDAY('Daily Schedule'!$B$2,2)=7),IFERROR(1*'Daily Workforce'!$K22&gt;=3,FALSE()),IFERROR(1*'Daily Workforce'!$K22&gt;=2,FALSE())),IF(AND('Daily Schedule'!$A28&gt;=46,'Daily Schedule'!$A28&lt;=52),'Daily Workforce'!$M22="Y",IFERROR(1*'Daily Workforce'!$P22&gt;=2,FALSE()))))),1,0)</f>
        <v>0</v>
      </c>
      <c r="AH24" s="1" t="n">
        <f aca="false">IF(AND('Daily Workforce'!$N23="Y",'Daily Workforce'!$B23&lt;&gt;"",COUNTIF('Daily Schedule'!$F$5:$F27,'Daily Workforce'!$B23)=0,IF('Daily Schedule'!$A28=45,'Daily Workforce'!$J23="Y",IF(OR('Daily Schedule'!$A28=4,'Daily Schedule'!$A28=8),IF(OR(WEEKDAY('Daily Schedule'!$B$2,2)=1,WEEKDAY('Daily Schedule'!$B$2,2)=4,WEEKDAY('Daily Schedule'!$B$2,2)=5,WEEKDAY('Daily Schedule'!$B$2,2)=7),IFERROR(1*'Daily Workforce'!$K23&gt;=3,FALSE()),IFERROR(1*'Daily Workforce'!$K23&gt;=2,FALSE())),IF(AND('Daily Schedule'!$A28&gt;=46,'Daily Schedule'!$A28&lt;=52),'Daily Workforce'!$M23="Y",IFERROR(1*'Daily Workforce'!$P23&gt;=2,FALSE()))))),1,0)</f>
        <v>0</v>
      </c>
      <c r="AI24" s="1" t="n">
        <f aca="false">IF(AND('Daily Workforce'!$N24="Y",'Daily Workforce'!$B24&lt;&gt;"",COUNTIF('Daily Schedule'!$F$5:$F27,'Daily Workforce'!$B24)=0,IF('Daily Schedule'!$A28=45,'Daily Workforce'!$J24="Y",IF(OR('Daily Schedule'!$A28=4,'Daily Schedule'!$A28=8),IF(OR(WEEKDAY('Daily Schedule'!$B$2,2)=1,WEEKDAY('Daily Schedule'!$B$2,2)=4,WEEKDAY('Daily Schedule'!$B$2,2)=5,WEEKDAY('Daily Schedule'!$B$2,2)=7),IFERROR(1*'Daily Workforce'!$K24&gt;=3,FALSE()),IFERROR(1*'Daily Workforce'!$K24&gt;=2,FALSE())),IF(AND('Daily Schedule'!$A28&gt;=46,'Daily Schedule'!$A28&lt;=52),'Daily Workforce'!$M24="Y",IFERROR(1*'Daily Workforce'!$P24&gt;=2,FALSE()))))),1,0)</f>
        <v>0</v>
      </c>
      <c r="AJ24" s="1" t="n">
        <f aca="false">IF(AND('Daily Workforce'!$N25="Y",'Daily Workforce'!$B25&lt;&gt;"",COUNTIF('Daily Schedule'!$F$5:$F27,'Daily Workforce'!$B25)=0,IF('Daily Schedule'!$A28=45,'Daily Workforce'!$J25="Y",IF(OR('Daily Schedule'!$A28=4,'Daily Schedule'!$A28=8),IF(OR(WEEKDAY('Daily Schedule'!$B$2,2)=1,WEEKDAY('Daily Schedule'!$B$2,2)=4,WEEKDAY('Daily Schedule'!$B$2,2)=5,WEEKDAY('Daily Schedule'!$B$2,2)=7),IFERROR(1*'Daily Workforce'!$K25&gt;=3,FALSE()),IFERROR(1*'Daily Workforce'!$K25&gt;=2,FALSE())),IF(AND('Daily Schedule'!$A28&gt;=46,'Daily Schedule'!$A28&lt;=52),'Daily Workforce'!$M25="Y",IFERROR(1*'Daily Workforce'!$P25&gt;=2,FALSE()))))),1,0)</f>
        <v>0</v>
      </c>
      <c r="AK24" s="1" t="n">
        <f aca="false">IF(AND('Daily Workforce'!$N26="Y",'Daily Workforce'!$B26&lt;&gt;"",COUNTIF('Daily Schedule'!$F$5:$F27,'Daily Workforce'!$B26)=0,IF('Daily Schedule'!$A28=45,'Daily Workforce'!$J26="Y",IF(OR('Daily Schedule'!$A28=4,'Daily Schedule'!$A28=8),IF(OR(WEEKDAY('Daily Schedule'!$B$2,2)=1,WEEKDAY('Daily Schedule'!$B$2,2)=4,WEEKDAY('Daily Schedule'!$B$2,2)=5,WEEKDAY('Daily Schedule'!$B$2,2)=7),IFERROR(1*'Daily Workforce'!$K26&gt;=3,FALSE()),IFERROR(1*'Daily Workforce'!$K26&gt;=2,FALSE())),IF(AND('Daily Schedule'!$A28&gt;=46,'Daily Schedule'!$A28&lt;=52),'Daily Workforce'!$M26="Y",IFERROR(1*'Daily Workforce'!$P26&gt;=2,FALSE()))))),1,0)</f>
        <v>0</v>
      </c>
      <c r="AL24" s="1" t="n">
        <f aca="false">IF(AND('Daily Workforce'!$N27="Y",'Daily Workforce'!$B27&lt;&gt;"",COUNTIF('Daily Schedule'!$F$5:$F27,'Daily Workforce'!$B27)=0,IF('Daily Schedule'!$A28=45,'Daily Workforce'!$J27="Y",IF(OR('Daily Schedule'!$A28=4,'Daily Schedule'!$A28=8),IF(OR(WEEKDAY('Daily Schedule'!$B$2,2)=1,WEEKDAY('Daily Schedule'!$B$2,2)=4,WEEKDAY('Daily Schedule'!$B$2,2)=5,WEEKDAY('Daily Schedule'!$B$2,2)=7),IFERROR(1*'Daily Workforce'!$K27&gt;=3,FALSE()),IFERROR(1*'Daily Workforce'!$K27&gt;=2,FALSE())),IF(AND('Daily Schedule'!$A28&gt;=46,'Daily Schedule'!$A28&lt;=52),'Daily Workforce'!$M27="Y",IFERROR(1*'Daily Workforce'!$P27&gt;=2,FALSE()))))),1,0)</f>
        <v>0</v>
      </c>
      <c r="AM24" s="1" t="n">
        <f aca="false">IF(AND('Daily Workforce'!$N28="Y",'Daily Workforce'!$B28&lt;&gt;"",COUNTIF('Daily Schedule'!$F$5:$F27,'Daily Workforce'!$B28)=0,IF('Daily Schedule'!$A28=45,'Daily Workforce'!$J28="Y",IF(OR('Daily Schedule'!$A28=4,'Daily Schedule'!$A28=8),IF(OR(WEEKDAY('Daily Schedule'!$B$2,2)=1,WEEKDAY('Daily Schedule'!$B$2,2)=4,WEEKDAY('Daily Schedule'!$B$2,2)=5,WEEKDAY('Daily Schedule'!$B$2,2)=7),IFERROR(1*'Daily Workforce'!$K28&gt;=3,FALSE()),IFERROR(1*'Daily Workforce'!$K28&gt;=2,FALSE())),IF(AND('Daily Schedule'!$A28&gt;=46,'Daily Schedule'!$A28&lt;=52),'Daily Workforce'!$M28="Y",IFERROR(1*'Daily Workforce'!$P28&gt;=2,FALSE()))))),1,0)</f>
        <v>1</v>
      </c>
      <c r="AN24" s="1" t="n">
        <f aca="false">IF(AND('Daily Workforce'!$N29="Y",'Daily Workforce'!$B29&lt;&gt;"",COUNTIF('Daily Schedule'!$F$5:$F27,'Daily Workforce'!$B29)=0,IF('Daily Schedule'!$A28=45,'Daily Workforce'!$J29="Y",IF(OR('Daily Schedule'!$A28=4,'Daily Schedule'!$A28=8),IF(OR(WEEKDAY('Daily Schedule'!$B$2,2)=1,WEEKDAY('Daily Schedule'!$B$2,2)=4,WEEKDAY('Daily Schedule'!$B$2,2)=5,WEEKDAY('Daily Schedule'!$B$2,2)=7),IFERROR(1*'Daily Workforce'!$K29&gt;=3,FALSE()),IFERROR(1*'Daily Workforce'!$K29&gt;=2,FALSE())),IF(AND('Daily Schedule'!$A28&gt;=46,'Daily Schedule'!$A28&lt;=52),'Daily Workforce'!$M29="Y",IFERROR(1*'Daily Workforce'!$P29&gt;=2,FALSE()))))),1,0)</f>
        <v>1</v>
      </c>
      <c r="AO24" s="1" t="n">
        <f aca="false">IF(AND('Daily Workforce'!$N30="Y",'Daily Workforce'!$B30&lt;&gt;"",COUNTIF('Daily Schedule'!$F$5:$F27,'Daily Workforce'!$B30)=0,IF('Daily Schedule'!$A28=45,'Daily Workforce'!$J30="Y",IF(OR('Daily Schedule'!$A28=4,'Daily Schedule'!$A28=8),IF(OR(WEEKDAY('Daily Schedule'!$B$2,2)=1,WEEKDAY('Daily Schedule'!$B$2,2)=4,WEEKDAY('Daily Schedule'!$B$2,2)=5,WEEKDAY('Daily Schedule'!$B$2,2)=7),IFERROR(1*'Daily Workforce'!$K30&gt;=3,FALSE()),IFERROR(1*'Daily Workforce'!$K30&gt;=2,FALSE())),IF(AND('Daily Schedule'!$A28&gt;=46,'Daily Schedule'!$A28&lt;=52),'Daily Workforce'!$M30="Y",IFERROR(1*'Daily Workforce'!$P30&gt;=2,FALSE()))))),1,0)</f>
        <v>1</v>
      </c>
      <c r="AP24" s="1" t="n">
        <f aca="false">IF(AND('Daily Workforce'!$N31="Y",'Daily Workforce'!$B31&lt;&gt;"",COUNTIF('Daily Schedule'!$F$5:$F27,'Daily Workforce'!$B31)=0,IF('Daily Schedule'!$A28=45,'Daily Workforce'!$J31="Y",IF(OR('Daily Schedule'!$A28=4,'Daily Schedule'!$A28=8),IF(OR(WEEKDAY('Daily Schedule'!$B$2,2)=1,WEEKDAY('Daily Schedule'!$B$2,2)=4,WEEKDAY('Daily Schedule'!$B$2,2)=5,WEEKDAY('Daily Schedule'!$B$2,2)=7),IFERROR(1*'Daily Workforce'!$K31&gt;=3,FALSE()),IFERROR(1*'Daily Workforce'!$K31&gt;=2,FALSE())),IF(AND('Daily Schedule'!$A28&gt;=46,'Daily Schedule'!$A28&lt;=52),'Daily Workforce'!$M31="Y",IFERROR(1*'Daily Workforce'!$P31&gt;=2,FALSE()))))),1,0)</f>
        <v>1</v>
      </c>
      <c r="AQ24" s="1" t="n">
        <f aca="false">IF(AND('Daily Workforce'!$N32="Y",'Daily Workforce'!$B32&lt;&gt;"",COUNTIF('Daily Schedule'!$F$5:$F27,'Daily Workforce'!$B32)=0,IF('Daily Schedule'!$A28=45,'Daily Workforce'!$J32="Y",IF(OR('Daily Schedule'!$A28=4,'Daily Schedule'!$A28=8),IF(OR(WEEKDAY('Daily Schedule'!$B$2,2)=1,WEEKDAY('Daily Schedule'!$B$2,2)=4,WEEKDAY('Daily Schedule'!$B$2,2)=5,WEEKDAY('Daily Schedule'!$B$2,2)=7),IFERROR(1*'Daily Workforce'!$K32&gt;=3,FALSE()),IFERROR(1*'Daily Workforce'!$K32&gt;=2,FALSE())),IF(AND('Daily Schedule'!$A28&gt;=46,'Daily Schedule'!$A28&lt;=52),'Daily Workforce'!$M32="Y",IFERROR(1*'Daily Workforce'!$P32&gt;=2,FALSE()))))),1,0)</f>
        <v>1</v>
      </c>
      <c r="AR24" s="1" t="n">
        <f aca="false">IF(AND('Daily Workforce'!$N33="Y",'Daily Workforce'!$B33&lt;&gt;"",COUNTIF('Daily Schedule'!$F$5:$F27,'Daily Workforce'!$B33)=0,IF('Daily Schedule'!$A28=45,'Daily Workforce'!$J33="Y",IF(OR('Daily Schedule'!$A28=4,'Daily Schedule'!$A28=8),IF(OR(WEEKDAY('Daily Schedule'!$B$2,2)=1,WEEKDAY('Daily Schedule'!$B$2,2)=4,WEEKDAY('Daily Schedule'!$B$2,2)=5,WEEKDAY('Daily Schedule'!$B$2,2)=7),IFERROR(1*'Daily Workforce'!$K33&gt;=3,FALSE()),IFERROR(1*'Daily Workforce'!$K33&gt;=2,FALSE())),IF(AND('Daily Schedule'!$A28&gt;=46,'Daily Schedule'!$A28&lt;=52),'Daily Workforce'!$M33="Y",IFERROR(1*'Daily Workforce'!$P33&gt;=2,FALSE()))))),1,0)</f>
        <v>1</v>
      </c>
      <c r="AS24" s="1" t="n">
        <f aca="false">IF(AND('Daily Workforce'!$N34="Y",'Daily Workforce'!$B34&lt;&gt;"",COUNTIF('Daily Schedule'!$F$5:$F27,'Daily Workforce'!$B34)=0,IF('Daily Schedule'!$A28=45,'Daily Workforce'!$J34="Y",IF(OR('Daily Schedule'!$A28=4,'Daily Schedule'!$A28=8),IF(OR(WEEKDAY('Daily Schedule'!$B$2,2)=1,WEEKDAY('Daily Schedule'!$B$2,2)=4,WEEKDAY('Daily Schedule'!$B$2,2)=5,WEEKDAY('Daily Schedule'!$B$2,2)=7),IFERROR(1*'Daily Workforce'!$K34&gt;=3,FALSE()),IFERROR(1*'Daily Workforce'!$K34&gt;=2,FALSE())),IF(AND('Daily Schedule'!$A28&gt;=46,'Daily Schedule'!$A28&lt;=52),'Daily Workforce'!$M34="Y",IFERROR(1*'Daily Workforce'!$P34&gt;=2,FALSE()))))),1,0)</f>
        <v>1</v>
      </c>
      <c r="AT24" s="1" t="n">
        <f aca="false">IF(AND('Daily Workforce'!$N35="Y",'Daily Workforce'!$B35&lt;&gt;"",COUNTIF('Daily Schedule'!$F$5:$F27,'Daily Workforce'!$B35)=0,IF('Daily Schedule'!$A28=45,'Daily Workforce'!$J35="Y",IF(OR('Daily Schedule'!$A28=4,'Daily Schedule'!$A28=8),IF(OR(WEEKDAY('Daily Schedule'!$B$2,2)=1,WEEKDAY('Daily Schedule'!$B$2,2)=4,WEEKDAY('Daily Schedule'!$B$2,2)=5,WEEKDAY('Daily Schedule'!$B$2,2)=7),IFERROR(1*'Daily Workforce'!$K35&gt;=3,FALSE()),IFERROR(1*'Daily Workforce'!$K35&gt;=2,FALSE())),IF(AND('Daily Schedule'!$A28&gt;=46,'Daily Schedule'!$A28&lt;=52),'Daily Workforce'!$M35="Y",IFERROR(1*'Daily Workforce'!$P35&gt;=2,FALSE()))))),1,0)</f>
        <v>1</v>
      </c>
      <c r="AU24" s="1" t="n">
        <f aca="false">IF(AND('Daily Workforce'!$N36="Y",'Daily Workforce'!$B36&lt;&gt;"",COUNTIF('Daily Schedule'!$F$5:$F27,'Daily Workforce'!$B36)=0,IF('Daily Schedule'!$A28=45,'Daily Workforce'!$J36="Y",IF(OR('Daily Schedule'!$A28=4,'Daily Schedule'!$A28=8),IF(OR(WEEKDAY('Daily Schedule'!$B$2,2)=1,WEEKDAY('Daily Schedule'!$B$2,2)=4,WEEKDAY('Daily Schedule'!$B$2,2)=5,WEEKDAY('Daily Schedule'!$B$2,2)=7),IFERROR(1*'Daily Workforce'!$K36&gt;=3,FALSE()),IFERROR(1*'Daily Workforce'!$K36&gt;=2,FALSE())),IF(AND('Daily Schedule'!$A28&gt;=46,'Daily Schedule'!$A28&lt;=52),'Daily Workforce'!$M36="Y",IFERROR(1*'Daily Workforce'!$P36&gt;=2,FALSE()))))),1,0)</f>
        <v>1</v>
      </c>
      <c r="AV24" s="1" t="n">
        <f aca="false">IF(AND('Daily Workforce'!$N37="Y",'Daily Workforce'!$B37&lt;&gt;"",COUNTIF('Daily Schedule'!$F$5:$F27,'Daily Workforce'!$B37)=0,IF('Daily Schedule'!$A28=45,'Daily Workforce'!$J37="Y",IF(OR('Daily Schedule'!$A28=4,'Daily Schedule'!$A28=8),IF(OR(WEEKDAY('Daily Schedule'!$B$2,2)=1,WEEKDAY('Daily Schedule'!$B$2,2)=4,WEEKDAY('Daily Schedule'!$B$2,2)=5,WEEKDAY('Daily Schedule'!$B$2,2)=7),IFERROR(1*'Daily Workforce'!$K37&gt;=3,FALSE()),IFERROR(1*'Daily Workforce'!$K37&gt;=2,FALSE())),IF(AND('Daily Schedule'!$A28&gt;=46,'Daily Schedule'!$A28&lt;=52),'Daily Workforce'!$M37="Y",IFERROR(1*'Daily Workforce'!$P37&gt;=2,FALSE()))))),1,0)</f>
        <v>1</v>
      </c>
      <c r="AW24" s="1" t="n">
        <f aca="false">IF(AND('Daily Workforce'!$N38="Y",'Daily Workforce'!$B38&lt;&gt;"",COUNTIF('Daily Schedule'!$F$5:$F27,'Daily Workforce'!$B38)=0,IF('Daily Schedule'!$A28=45,'Daily Workforce'!$J38="Y",IF(OR('Daily Schedule'!$A28=4,'Daily Schedule'!$A28=8),IF(OR(WEEKDAY('Daily Schedule'!$B$2,2)=1,WEEKDAY('Daily Schedule'!$B$2,2)=4,WEEKDAY('Daily Schedule'!$B$2,2)=5,WEEKDAY('Daily Schedule'!$B$2,2)=7),IFERROR(1*'Daily Workforce'!$K38&gt;=3,FALSE()),IFERROR(1*'Daily Workforce'!$K38&gt;=2,FALSE())),IF(AND('Daily Schedule'!$A28&gt;=46,'Daily Schedule'!$A28&lt;=52),'Daily Workforce'!$M38="Y",IFERROR(1*'Daily Workforce'!$P38&gt;=2,FALSE()))))),1,0)</f>
        <v>1</v>
      </c>
      <c r="AX24" s="1" t="n">
        <f aca="false">IF(AND('Daily Workforce'!$N39="Y",'Daily Workforce'!$B39&lt;&gt;"",COUNTIF('Daily Schedule'!$F$5:$F27,'Daily Workforce'!$B39)=0,IF('Daily Schedule'!$A28=45,'Daily Workforce'!$J39="Y",IF(OR('Daily Schedule'!$A28=4,'Daily Schedule'!$A28=8),IF(OR(WEEKDAY('Daily Schedule'!$B$2,2)=1,WEEKDAY('Daily Schedule'!$B$2,2)=4,WEEKDAY('Daily Schedule'!$B$2,2)=5,WEEKDAY('Daily Schedule'!$B$2,2)=7),IFERROR(1*'Daily Workforce'!$K39&gt;=3,FALSE()),IFERROR(1*'Daily Workforce'!$K39&gt;=2,FALSE())),IF(AND('Daily Schedule'!$A28&gt;=46,'Daily Schedule'!$A28&lt;=52),'Daily Workforce'!$M39="Y",IFERROR(1*'Daily Workforce'!$P39&gt;=2,FALSE()))))),1,0)</f>
        <v>1</v>
      </c>
      <c r="AY24" s="1" t="n">
        <f aca="false">IF(AND('Daily Workforce'!$N40="Y",'Daily Workforce'!$B40&lt;&gt;"",COUNTIF('Daily Schedule'!$F$5:$F27,'Daily Workforce'!$B40)=0,IF('Daily Schedule'!$A28=45,'Daily Workforce'!$J40="Y",IF(OR('Daily Schedule'!$A28=4,'Daily Schedule'!$A28=8),IF(OR(WEEKDAY('Daily Schedule'!$B$2,2)=1,WEEKDAY('Daily Schedule'!$B$2,2)=4,WEEKDAY('Daily Schedule'!$B$2,2)=5,WEEKDAY('Daily Schedule'!$B$2,2)=7),IFERROR(1*'Daily Workforce'!$K40&gt;=3,FALSE()),IFERROR(1*'Daily Workforce'!$K40&gt;=2,FALSE())),IF(AND('Daily Schedule'!$A28&gt;=46,'Daily Schedule'!$A28&lt;=52),'Daily Workforce'!$M40="Y",IFERROR(1*'Daily Workforce'!$P40&gt;=2,FALSE()))))),1,0)</f>
        <v>1</v>
      </c>
      <c r="AZ24" s="1" t="n">
        <f aca="false">IF(AND('Daily Workforce'!$N41="Y",'Daily Workforce'!$B41&lt;&gt;"",COUNTIF('Daily Schedule'!$F$5:$F27,'Daily Workforce'!$B41)=0,IF('Daily Schedule'!$A28=45,'Daily Workforce'!$J41="Y",IF(OR('Daily Schedule'!$A28=4,'Daily Schedule'!$A28=8),IF(OR(WEEKDAY('Daily Schedule'!$B$2,2)=1,WEEKDAY('Daily Schedule'!$B$2,2)=4,WEEKDAY('Daily Schedule'!$B$2,2)=5,WEEKDAY('Daily Schedule'!$B$2,2)=7),IFERROR(1*'Daily Workforce'!$K41&gt;=3,FALSE()),IFERROR(1*'Daily Workforce'!$K41&gt;=2,FALSE())),IF(AND('Daily Schedule'!$A28&gt;=46,'Daily Schedule'!$A28&lt;=52),'Daily Workforce'!$M41="Y",IFERROR(1*'Daily Workforce'!$P41&gt;=2,FALSE()))))),1,0)</f>
        <v>1</v>
      </c>
      <c r="BA24" s="1" t="n">
        <f aca="false">IF(AND('Daily Workforce'!$N42="Y",'Daily Workforce'!$B42&lt;&gt;"",COUNTIF('Daily Schedule'!$F$5:$F27,'Daily Workforce'!$B42)=0,IF('Daily Schedule'!$A28=45,'Daily Workforce'!$J42="Y",IF(OR('Daily Schedule'!$A28=4,'Daily Schedule'!$A28=8),IF(OR(WEEKDAY('Daily Schedule'!$B$2,2)=1,WEEKDAY('Daily Schedule'!$B$2,2)=4,WEEKDAY('Daily Schedule'!$B$2,2)=5,WEEKDAY('Daily Schedule'!$B$2,2)=7),IFERROR(1*'Daily Workforce'!$K42&gt;=3,FALSE()),IFERROR(1*'Daily Workforce'!$K42&gt;=2,FALSE())),IF(AND('Daily Schedule'!$A28&gt;=46,'Daily Schedule'!$A28&lt;=52),'Daily Workforce'!$M42="Y",IFERROR(1*'Daily Workforce'!$P42&gt;=2,FALSE()))))),1,0)</f>
        <v>1</v>
      </c>
      <c r="BB24" s="1" t="n">
        <f aca="false">IF(AND('Daily Workforce'!$N43="Y",'Daily Workforce'!$B43&lt;&gt;"",COUNTIF('Daily Schedule'!$F$5:$F27,'Daily Workforce'!$B43)=0,IF('Daily Schedule'!$A28=45,'Daily Workforce'!$J43="Y",IF(OR('Daily Schedule'!$A28=4,'Daily Schedule'!$A28=8),IF(OR(WEEKDAY('Daily Schedule'!$B$2,2)=1,WEEKDAY('Daily Schedule'!$B$2,2)=4,WEEKDAY('Daily Schedule'!$B$2,2)=5,WEEKDAY('Daily Schedule'!$B$2,2)=7),IFERROR(1*'Daily Workforce'!$K43&gt;=3,FALSE()),IFERROR(1*'Daily Workforce'!$K43&gt;=2,FALSE())),IF(AND('Daily Schedule'!$A28&gt;=46,'Daily Schedule'!$A28&lt;=52),'Daily Workforce'!$M43="Y",IFERROR(1*'Daily Workforce'!$P43&gt;=2,FALSE()))))),1,0)</f>
        <v>1</v>
      </c>
      <c r="BC24" s="1" t="n">
        <f aca="false">IF(AND('Daily Workforce'!$N44="Y",'Daily Workforce'!$B44&lt;&gt;"",COUNTIF('Daily Schedule'!$F$5:$F27,'Daily Workforce'!$B44)=0,IF('Daily Schedule'!$A28=45,'Daily Workforce'!$J44="Y",IF(OR('Daily Schedule'!$A28=4,'Daily Schedule'!$A28=8),IF(OR(WEEKDAY('Daily Schedule'!$B$2,2)=1,WEEKDAY('Daily Schedule'!$B$2,2)=4,WEEKDAY('Daily Schedule'!$B$2,2)=5,WEEKDAY('Daily Schedule'!$B$2,2)=7),IFERROR(1*'Daily Workforce'!$K44&gt;=3,FALSE()),IFERROR(1*'Daily Workforce'!$K44&gt;=2,FALSE())),IF(AND('Daily Schedule'!$A28&gt;=46,'Daily Schedule'!$A28&lt;=52),'Daily Workforce'!$M44="Y",IFERROR(1*'Daily Workforce'!$P44&gt;=2,FALSE()))))),1,0)</f>
        <v>1</v>
      </c>
      <c r="BD24" s="1" t="n">
        <f aca="false">IF(AND('Daily Workforce'!$N45="Y",'Daily Workforce'!$B45&lt;&gt;"",COUNTIF('Daily Schedule'!$F$5:$F27,'Daily Workforce'!$B45)=0,IF('Daily Schedule'!$A28=45,'Daily Workforce'!$J45="Y",IF(OR('Daily Schedule'!$A28=4,'Daily Schedule'!$A28=8),IF(OR(WEEKDAY('Daily Schedule'!$B$2,2)=1,WEEKDAY('Daily Schedule'!$B$2,2)=4,WEEKDAY('Daily Schedule'!$B$2,2)=5,WEEKDAY('Daily Schedule'!$B$2,2)=7),IFERROR(1*'Daily Workforce'!$K45&gt;=3,FALSE()),IFERROR(1*'Daily Workforce'!$K45&gt;=2,FALSE())),IF(AND('Daily Schedule'!$A28&gt;=46,'Daily Schedule'!$A28&lt;=52),'Daily Workforce'!$M45="Y",IFERROR(1*'Daily Workforce'!$P45&gt;=2,FALSE()))))),1,0)</f>
        <v>1</v>
      </c>
      <c r="BE24" s="1" t="n">
        <f aca="false">IF(AND('Daily Workforce'!$N46="Y",'Daily Workforce'!$B46&lt;&gt;"",COUNTIF('Daily Schedule'!$F$5:$F27,'Daily Workforce'!$B46)=0,IF('Daily Schedule'!$A28=45,'Daily Workforce'!$J46="Y",IF(OR('Daily Schedule'!$A28=4,'Daily Schedule'!$A28=8),IF(OR(WEEKDAY('Daily Schedule'!$B$2,2)=1,WEEKDAY('Daily Schedule'!$B$2,2)=4,WEEKDAY('Daily Schedule'!$B$2,2)=5,WEEKDAY('Daily Schedule'!$B$2,2)=7),IFERROR(1*'Daily Workforce'!$K46&gt;=3,FALSE()),IFERROR(1*'Daily Workforce'!$K46&gt;=2,FALSE())),IF(AND('Daily Schedule'!$A28&gt;=46,'Daily Schedule'!$A28&lt;=52),'Daily Workforce'!$M46="Y",IFERROR(1*'Daily Workforce'!$P46&gt;=2,FALSE()))))),1,0)</f>
        <v>1</v>
      </c>
      <c r="BF24" s="1" t="n">
        <f aca="false">IF(AND('Daily Workforce'!$N47="Y",'Daily Workforce'!$B47&lt;&gt;"",COUNTIF('Daily Schedule'!$F$5:$F27,'Daily Workforce'!$B47)=0,IF('Daily Schedule'!$A28=45,'Daily Workforce'!$J47="Y",IF(OR('Daily Schedule'!$A28=4,'Daily Schedule'!$A28=8),IF(OR(WEEKDAY('Daily Schedule'!$B$2,2)=1,WEEKDAY('Daily Schedule'!$B$2,2)=4,WEEKDAY('Daily Schedule'!$B$2,2)=5,WEEKDAY('Daily Schedule'!$B$2,2)=7),IFERROR(1*'Daily Workforce'!$K47&gt;=3,FALSE()),IFERROR(1*'Daily Workforce'!$K47&gt;=2,FALSE())),IF(AND('Daily Schedule'!$A28&gt;=46,'Daily Schedule'!$A28&lt;=52),'Daily Workforce'!$M47="Y",IFERROR(1*'Daily Workforce'!$P47&gt;=2,FALSE()))))),1,0)</f>
        <v>0</v>
      </c>
      <c r="BG24" s="1" t="n">
        <f aca="false">IF(AND('Daily Workforce'!$N48="Y",'Daily Workforce'!$B48&lt;&gt;"",COUNTIF('Daily Schedule'!$F$5:$F27,'Daily Workforce'!$B48)=0,IF('Daily Schedule'!$A28=45,'Daily Workforce'!$J48="Y",IF(OR('Daily Schedule'!$A28=4,'Daily Schedule'!$A28=8),IF(OR(WEEKDAY('Daily Schedule'!$B$2,2)=1,WEEKDAY('Daily Schedule'!$B$2,2)=4,WEEKDAY('Daily Schedule'!$B$2,2)=5,WEEKDAY('Daily Schedule'!$B$2,2)=7),IFERROR(1*'Daily Workforce'!$K48&gt;=3,FALSE()),IFERROR(1*'Daily Workforce'!$K48&gt;=2,FALSE())),IF(AND('Daily Schedule'!$A28&gt;=46,'Daily Schedule'!$A28&lt;=52),'Daily Workforce'!$M48="Y",IFERROR(1*'Daily Workforce'!$P48&gt;=2,FALSE()))))),1,0)</f>
        <v>1</v>
      </c>
      <c r="BH24" s="1" t="n">
        <f aca="false">IF(AND('Daily Workforce'!$N49="Y",'Daily Workforce'!$B49&lt;&gt;"",COUNTIF('Daily Schedule'!$F$5:$F27,'Daily Workforce'!$B49)=0,IF('Daily Schedule'!$A28=45,'Daily Workforce'!$J49="Y",IF(OR('Daily Schedule'!$A28=4,'Daily Schedule'!$A28=8),IF(OR(WEEKDAY('Daily Schedule'!$B$2,2)=1,WEEKDAY('Daily Schedule'!$B$2,2)=4,WEEKDAY('Daily Schedule'!$B$2,2)=5,WEEKDAY('Daily Schedule'!$B$2,2)=7),IFERROR(1*'Daily Workforce'!$K49&gt;=3,FALSE()),IFERROR(1*'Daily Workforce'!$K49&gt;=2,FALSE())),IF(AND('Daily Schedule'!$A28&gt;=46,'Daily Schedule'!$A28&lt;=52),'Daily Workforce'!$M49="Y",IFERROR(1*'Daily Workforce'!$P49&gt;=2,FALSE()))))),1,0)</f>
        <v>1</v>
      </c>
      <c r="BI24" s="1" t="n">
        <f aca="false">IF(AND('Daily Workforce'!$N50="Y",'Daily Workforce'!$B50&lt;&gt;"",COUNTIF('Daily Schedule'!$F$5:$F27,'Daily Workforce'!$B50)=0,IF('Daily Schedule'!$A28=45,'Daily Workforce'!$J50="Y",IF(OR('Daily Schedule'!$A28=4,'Daily Schedule'!$A28=8),IF(OR(WEEKDAY('Daily Schedule'!$B$2,2)=1,WEEKDAY('Daily Schedule'!$B$2,2)=4,WEEKDAY('Daily Schedule'!$B$2,2)=5,WEEKDAY('Daily Schedule'!$B$2,2)=7),IFERROR(1*'Daily Workforce'!$K50&gt;=3,FALSE()),IFERROR(1*'Daily Workforce'!$K50&gt;=2,FALSE())),IF(AND('Daily Schedule'!$A28&gt;=46,'Daily Schedule'!$A28&lt;=52),'Daily Workforce'!$M50="Y",IFERROR(1*'Daily Workforce'!$P50&gt;=2,FALSE()))))),1,0)</f>
        <v>0</v>
      </c>
      <c r="BJ24" s="1" t="n">
        <f aca="false">IF(AND('Daily Workforce'!$N51="Y",'Daily Workforce'!$B51&lt;&gt;"",COUNTIF('Daily Schedule'!$F$5:$F27,'Daily Workforce'!$B51)=0,IF('Daily Schedule'!$A28=45,'Daily Workforce'!$J51="Y",IF(OR('Daily Schedule'!$A28=4,'Daily Schedule'!$A28=8),IF(OR(WEEKDAY('Daily Schedule'!$B$2,2)=1,WEEKDAY('Daily Schedule'!$B$2,2)=4,WEEKDAY('Daily Schedule'!$B$2,2)=5,WEEKDAY('Daily Schedule'!$B$2,2)=7),IFERROR(1*'Daily Workforce'!$K51&gt;=3,FALSE()),IFERROR(1*'Daily Workforce'!$K51&gt;=2,FALSE())),IF(AND('Daily Schedule'!$A28&gt;=46,'Daily Schedule'!$A28&lt;=52),'Daily Workforce'!$M51="Y",IFERROR(1*'Daily Workforce'!$P51&gt;=2,FALSE()))))),1,0)</f>
        <v>1</v>
      </c>
      <c r="BK24" s="1" t="n">
        <f aca="false">IF(AND('Daily Workforce'!$N52="Y",'Daily Workforce'!$B52&lt;&gt;"",COUNTIF('Daily Schedule'!$F$5:$F27,'Daily Workforce'!$B52)=0,IF('Daily Schedule'!$A28=45,'Daily Workforce'!$J52="Y",IF(OR('Daily Schedule'!$A28=4,'Daily Schedule'!$A28=8),IF(OR(WEEKDAY('Daily Schedule'!$B$2,2)=1,WEEKDAY('Daily Schedule'!$B$2,2)=4,WEEKDAY('Daily Schedule'!$B$2,2)=5,WEEKDAY('Daily Schedule'!$B$2,2)=7),IFERROR(1*'Daily Workforce'!$K52&gt;=3,FALSE()),IFERROR(1*'Daily Workforce'!$K52&gt;=2,FALSE())),IF(AND('Daily Schedule'!$A28&gt;=46,'Daily Schedule'!$A28&lt;=52),'Daily Workforce'!$M52="Y",IFERROR(1*'Daily Workforce'!$P52&gt;=2,FALSE()))))),1,0)</f>
        <v>1</v>
      </c>
      <c r="BL24" s="1" t="n">
        <f aca="false">IF(AND('Daily Workforce'!$N53="Y",'Daily Workforce'!$B53&lt;&gt;"",COUNTIF('Daily Schedule'!$F$5:$F27,'Daily Workforce'!$B53)=0,IF('Daily Schedule'!$A28=45,'Daily Workforce'!$J53="Y",IF(OR('Daily Schedule'!$A28=4,'Daily Schedule'!$A28=8),IF(OR(WEEKDAY('Daily Schedule'!$B$2,2)=1,WEEKDAY('Daily Schedule'!$B$2,2)=4,WEEKDAY('Daily Schedule'!$B$2,2)=5,WEEKDAY('Daily Schedule'!$B$2,2)=7),IFERROR(1*'Daily Workforce'!$K53&gt;=3,FALSE()),IFERROR(1*'Daily Workforce'!$K53&gt;=2,FALSE())),IF(AND('Daily Schedule'!$A28&gt;=46,'Daily Schedule'!$A28&lt;=52),'Daily Workforce'!$M53="Y",IFERROR(1*'Daily Workforce'!$P53&gt;=2,FALSE()))))),1,0)</f>
        <v>1</v>
      </c>
      <c r="BM24" s="1" t="n">
        <f aca="false">IF(AND('Daily Workforce'!$N54="Y",'Daily Workforce'!$B54&lt;&gt;"",COUNTIF('Daily Schedule'!$F$5:$F27,'Daily Workforce'!$B54)=0,IF('Daily Schedule'!$A28=45,'Daily Workforce'!$J54="Y",IF(OR('Daily Schedule'!$A28=4,'Daily Schedule'!$A28=8),IF(OR(WEEKDAY('Daily Schedule'!$B$2,2)=1,WEEKDAY('Daily Schedule'!$B$2,2)=4,WEEKDAY('Daily Schedule'!$B$2,2)=5,WEEKDAY('Daily Schedule'!$B$2,2)=7),IFERROR(1*'Daily Workforce'!$K54&gt;=3,FALSE()),IFERROR(1*'Daily Workforce'!$K54&gt;=2,FALSE())),IF(AND('Daily Schedule'!$A28&gt;=46,'Daily Schedule'!$A28&lt;=52),'Daily Workforce'!$M54="Y",IFERROR(1*'Daily Workforce'!$P54&gt;=2,FALSE()))))),1,0)</f>
        <v>1</v>
      </c>
      <c r="BN24" s="1" t="n">
        <f aca="false">IF(AND('Daily Workforce'!$N55="Y",'Daily Workforce'!$B55&lt;&gt;"",COUNTIF('Daily Schedule'!$F$5:$F27,'Daily Workforce'!$B55)=0,IF('Daily Schedule'!$A28=45,'Daily Workforce'!$J55="Y",IF(OR('Daily Schedule'!$A28=4,'Daily Schedule'!$A28=8),IF(OR(WEEKDAY('Daily Schedule'!$B$2,2)=1,WEEKDAY('Daily Schedule'!$B$2,2)=4,WEEKDAY('Daily Schedule'!$B$2,2)=5,WEEKDAY('Daily Schedule'!$B$2,2)=7),IFERROR(1*'Daily Workforce'!$K55&gt;=3,FALSE()),IFERROR(1*'Daily Workforce'!$K55&gt;=2,FALSE())),IF(AND('Daily Schedule'!$A28&gt;=46,'Daily Schedule'!$A28&lt;=52),'Daily Workforce'!$M55="Y",IFERROR(1*'Daily Workforce'!$P55&gt;=2,FALSE()))))),1,0)</f>
        <v>1</v>
      </c>
      <c r="BO24" s="1" t="n">
        <f aca="false">IF(AND('Daily Workforce'!$N56="Y",'Daily Workforce'!$B56&lt;&gt;"",COUNTIF('Daily Schedule'!$F$5:$F27,'Daily Workforce'!$B56)=0,IF('Daily Schedule'!$A28=45,'Daily Workforce'!$J56="Y",IF(OR('Daily Schedule'!$A28=4,'Daily Schedule'!$A28=8),IF(OR(WEEKDAY('Daily Schedule'!$B$2,2)=1,WEEKDAY('Daily Schedule'!$B$2,2)=4,WEEKDAY('Daily Schedule'!$B$2,2)=5,WEEKDAY('Daily Schedule'!$B$2,2)=7),IFERROR(1*'Daily Workforce'!$K56&gt;=3,FALSE()),IFERROR(1*'Daily Workforce'!$K56&gt;=2,FALSE())),IF(AND('Daily Schedule'!$A28&gt;=46,'Daily Schedule'!$A28&lt;=52),'Daily Workforce'!$M56="Y",IFERROR(1*'Daily Workforce'!$P56&gt;=2,FALSE()))))),1,0)</f>
        <v>1</v>
      </c>
      <c r="BP24" s="1" t="n">
        <f aca="false">IF(AND('Daily Workforce'!$N57="Y",'Daily Workforce'!$B57&lt;&gt;"",COUNTIF('Daily Schedule'!$F$5:$F27,'Daily Workforce'!$B57)=0,IF('Daily Schedule'!$A28=45,'Daily Workforce'!$J57="Y",IF(OR('Daily Schedule'!$A28=4,'Daily Schedule'!$A28=8),IF(OR(WEEKDAY('Daily Schedule'!$B$2,2)=1,WEEKDAY('Daily Schedule'!$B$2,2)=4,WEEKDAY('Daily Schedule'!$B$2,2)=5,WEEKDAY('Daily Schedule'!$B$2,2)=7),IFERROR(1*'Daily Workforce'!$K57&gt;=3,FALSE()),IFERROR(1*'Daily Workforce'!$K57&gt;=2,FALSE())),IF(AND('Daily Schedule'!$A28&gt;=46,'Daily Schedule'!$A28&lt;=52),'Daily Workforce'!$M57="Y",IFERROR(1*'Daily Workforce'!$P57&gt;=2,FALSE()))))),1,0)</f>
        <v>0</v>
      </c>
      <c r="BQ24" s="1" t="n">
        <f aca="false">IF(AND('Daily Workforce'!$N58="Y",'Daily Workforce'!$B58&lt;&gt;"",COUNTIF('Daily Schedule'!$F$5:$F27,'Daily Workforce'!$B58)=0,IF('Daily Schedule'!$A28=45,'Daily Workforce'!$J58="Y",IF(OR('Daily Schedule'!$A28=4,'Daily Schedule'!$A28=8),IF(OR(WEEKDAY('Daily Schedule'!$B$2,2)=1,WEEKDAY('Daily Schedule'!$B$2,2)=4,WEEKDAY('Daily Schedule'!$B$2,2)=5,WEEKDAY('Daily Schedule'!$B$2,2)=7),IFERROR(1*'Daily Workforce'!$K58&gt;=3,FALSE()),IFERROR(1*'Daily Workforce'!$K58&gt;=2,FALSE())),IF(AND('Daily Schedule'!$A28&gt;=46,'Daily Schedule'!$A28&lt;=52),'Daily Workforce'!$M58="Y",IFERROR(1*'Daily Workforce'!$P58&gt;=2,FALSE()))))),1,0)</f>
        <v>1</v>
      </c>
      <c r="BR24" s="1" t="n">
        <f aca="false">IF(AND('Daily Workforce'!$N59="Y",'Daily Workforce'!$B59&lt;&gt;"",COUNTIF('Daily Schedule'!$F$5:$F27,'Daily Workforce'!$B59)=0,IF('Daily Schedule'!$A28=45,'Daily Workforce'!$J59="Y",IF(OR('Daily Schedule'!$A28=4,'Daily Schedule'!$A28=8),IF(OR(WEEKDAY('Daily Schedule'!$B$2,2)=1,WEEKDAY('Daily Schedule'!$B$2,2)=4,WEEKDAY('Daily Schedule'!$B$2,2)=5,WEEKDAY('Daily Schedule'!$B$2,2)=7),IFERROR(1*'Daily Workforce'!$K59&gt;=3,FALSE()),IFERROR(1*'Daily Workforce'!$K59&gt;=2,FALSE())),IF(AND('Daily Schedule'!$A28&gt;=46,'Daily Schedule'!$A28&lt;=52),'Daily Workforce'!$M59="Y",IFERROR(1*'Daily Workforce'!$P59&gt;=2,FALSE()))))),1,0)</f>
        <v>1</v>
      </c>
      <c r="BS24" s="1" t="n">
        <f aca="false">IF(AND('Daily Workforce'!$N60="Y",'Daily Workforce'!$B60&lt;&gt;"",COUNTIF('Daily Schedule'!$F$5:$F27,'Daily Workforce'!$B60)=0,IF('Daily Schedule'!$A28=45,'Daily Workforce'!$J60="Y",IF(OR('Daily Schedule'!$A28=4,'Daily Schedule'!$A28=8),IF(OR(WEEKDAY('Daily Schedule'!$B$2,2)=1,WEEKDAY('Daily Schedule'!$B$2,2)=4,WEEKDAY('Daily Schedule'!$B$2,2)=5,WEEKDAY('Daily Schedule'!$B$2,2)=7),IFERROR(1*'Daily Workforce'!$K60&gt;=3,FALSE()),IFERROR(1*'Daily Workforce'!$K60&gt;=2,FALSE())),IF(AND('Daily Schedule'!$A28&gt;=46,'Daily Schedule'!$A28&lt;=52),'Daily Workforce'!$M60="Y",IFERROR(1*'Daily Workforce'!$P60&gt;=2,FALSE()))))),1,0)</f>
        <v>1</v>
      </c>
      <c r="BT24" s="1" t="n">
        <f aca="false">IF(AND('Daily Workforce'!$N61="Y",'Daily Workforce'!$B61&lt;&gt;"",COUNTIF('Daily Schedule'!$F$5:$F27,'Daily Workforce'!$B61)=0,IF('Daily Schedule'!$A28=45,'Daily Workforce'!$J61="Y",IF(OR('Daily Schedule'!$A28=4,'Daily Schedule'!$A28=8),IF(OR(WEEKDAY('Daily Schedule'!$B$2,2)=1,WEEKDAY('Daily Schedule'!$B$2,2)=4,WEEKDAY('Daily Schedule'!$B$2,2)=5,WEEKDAY('Daily Schedule'!$B$2,2)=7),IFERROR(1*'Daily Workforce'!$K61&gt;=3,FALSE()),IFERROR(1*'Daily Workforce'!$K61&gt;=2,FALSE())),IF(AND('Daily Schedule'!$A28&gt;=46,'Daily Schedule'!$A28&lt;=52),'Daily Workforce'!$M61="Y",IFERROR(1*'Daily Workforce'!$P61&gt;=2,FALSE()))))),1,0)</f>
        <v>0</v>
      </c>
      <c r="BU24" s="1" t="n">
        <f aca="false">IF(AND('Daily Workforce'!$N62="Y",'Daily Workforce'!$B62&lt;&gt;"",COUNTIF('Daily Schedule'!$F$5:$F27,'Daily Workforce'!$B62)=0,IF('Daily Schedule'!$A28=45,'Daily Workforce'!$J62="Y",IF(OR('Daily Schedule'!$A28=4,'Daily Schedule'!$A28=8),IF(OR(WEEKDAY('Daily Schedule'!$B$2,2)=1,WEEKDAY('Daily Schedule'!$B$2,2)=4,WEEKDAY('Daily Schedule'!$B$2,2)=5,WEEKDAY('Daily Schedule'!$B$2,2)=7),IFERROR(1*'Daily Workforce'!$K62&gt;=3,FALSE()),IFERROR(1*'Daily Workforce'!$K62&gt;=2,FALSE())),IF(AND('Daily Schedule'!$A28&gt;=46,'Daily Schedule'!$A28&lt;=52),'Daily Workforce'!$M62="Y",IFERROR(1*'Daily Workforce'!$P62&gt;=2,FALSE()))))),1,0)</f>
        <v>1</v>
      </c>
      <c r="BV24" s="1" t="n">
        <f aca="false">IF(AND('Daily Workforce'!$N63="Y",'Daily Workforce'!$B63&lt;&gt;"",COUNTIF('Daily Schedule'!$F$5:$F27,'Daily Workforce'!$B63)=0,IF('Daily Schedule'!$A28=45,'Daily Workforce'!$J63="Y",IF(OR('Daily Schedule'!$A28=4,'Daily Schedule'!$A28=8),IF(OR(WEEKDAY('Daily Schedule'!$B$2,2)=1,WEEKDAY('Daily Schedule'!$B$2,2)=4,WEEKDAY('Daily Schedule'!$B$2,2)=5,WEEKDAY('Daily Schedule'!$B$2,2)=7),IFERROR(1*'Daily Workforce'!$K63&gt;=3,FALSE()),IFERROR(1*'Daily Workforce'!$K63&gt;=2,FALSE())),IF(AND('Daily Schedule'!$A28&gt;=46,'Daily Schedule'!$A28&lt;=52),'Daily Workforce'!$M63="Y",IFERROR(1*'Daily Workforce'!$P63&gt;=2,FALSE()))))),1,0)</f>
        <v>1</v>
      </c>
      <c r="BW24" s="1" t="n">
        <f aca="false">IF(AND('Daily Workforce'!$N64="Y",'Daily Workforce'!$B64&lt;&gt;"",COUNTIF('Daily Schedule'!$F$5:$F27,'Daily Workforce'!$B64)=0,IF('Daily Schedule'!$A28=45,'Daily Workforce'!$J64="Y",IF(OR('Daily Schedule'!$A28=4,'Daily Schedule'!$A28=8),IF(OR(WEEKDAY('Daily Schedule'!$B$2,2)=1,WEEKDAY('Daily Schedule'!$B$2,2)=4,WEEKDAY('Daily Schedule'!$B$2,2)=5,WEEKDAY('Daily Schedule'!$B$2,2)=7),IFERROR(1*'Daily Workforce'!$K64&gt;=3,FALSE()),IFERROR(1*'Daily Workforce'!$K64&gt;=2,FALSE())),IF(AND('Daily Schedule'!$A28&gt;=46,'Daily Schedule'!$A28&lt;=52),'Daily Workforce'!$M64="Y",IFERROR(1*'Daily Workforce'!$P64&gt;=2,FALSE()))))),1,0)</f>
        <v>1</v>
      </c>
      <c r="BX24" s="1" t="n">
        <f aca="false">IF(AND('Daily Workforce'!$N65="Y",'Daily Workforce'!$B65&lt;&gt;"",COUNTIF('Daily Schedule'!$F$5:$F27,'Daily Workforce'!$B65)=0,IF('Daily Schedule'!$A28=45,'Daily Workforce'!$J65="Y",IF(OR('Daily Schedule'!$A28=4,'Daily Schedule'!$A28=8),IF(OR(WEEKDAY('Daily Schedule'!$B$2,2)=1,WEEKDAY('Daily Schedule'!$B$2,2)=4,WEEKDAY('Daily Schedule'!$B$2,2)=5,WEEKDAY('Daily Schedule'!$B$2,2)=7),IFERROR(1*'Daily Workforce'!$K65&gt;=3,FALSE()),IFERROR(1*'Daily Workforce'!$K65&gt;=2,FALSE())),IF(AND('Daily Schedule'!$A28&gt;=46,'Daily Schedule'!$A28&lt;=52),'Daily Workforce'!$M65="Y",IFERROR(1*'Daily Workforce'!$P65&gt;=2,FALSE()))))),1,0)</f>
        <v>1</v>
      </c>
      <c r="BY24" s="1" t="n">
        <f aca="false">IF(AND('Daily Workforce'!$N66="Y",'Daily Workforce'!$B66&lt;&gt;"",COUNTIF('Daily Schedule'!$F$5:$F27,'Daily Workforce'!$B66)=0,IF('Daily Schedule'!$A28=45,'Daily Workforce'!$J66="Y",IF(OR('Daily Schedule'!$A28=4,'Daily Schedule'!$A28=8),IF(OR(WEEKDAY('Daily Schedule'!$B$2,2)=1,WEEKDAY('Daily Schedule'!$B$2,2)=4,WEEKDAY('Daily Schedule'!$B$2,2)=5,WEEKDAY('Daily Schedule'!$B$2,2)=7),IFERROR(1*'Daily Workforce'!$K66&gt;=3,FALSE()),IFERROR(1*'Daily Workforce'!$K66&gt;=2,FALSE())),IF(AND('Daily Schedule'!$A28&gt;=46,'Daily Schedule'!$A28&lt;=52),'Daily Workforce'!$M66="Y",IFERROR(1*'Daily Workforce'!$P66&gt;=2,FALSE()))))),1,0)</f>
        <v>1</v>
      </c>
      <c r="BZ24" s="1" t="n">
        <f aca="false">IF(AND('Daily Workforce'!$N67="Y",'Daily Workforce'!$B67&lt;&gt;"",COUNTIF('Daily Schedule'!$F$5:$F27,'Daily Workforce'!$B67)=0,IF('Daily Schedule'!$A28=45,'Daily Workforce'!$J67="Y",IF(OR('Daily Schedule'!$A28=4,'Daily Schedule'!$A28=8),IF(OR(WEEKDAY('Daily Schedule'!$B$2,2)=1,WEEKDAY('Daily Schedule'!$B$2,2)=4,WEEKDAY('Daily Schedule'!$B$2,2)=5,WEEKDAY('Daily Schedule'!$B$2,2)=7),IFERROR(1*'Daily Workforce'!$K67&gt;=3,FALSE()),IFERROR(1*'Daily Workforce'!$K67&gt;=2,FALSE())),IF(AND('Daily Schedule'!$A28&gt;=46,'Daily Schedule'!$A28&lt;=52),'Daily Workforce'!$M67="Y",IFERROR(1*'Daily Workforce'!$P67&gt;=2,FALSE()))))),1,0)</f>
        <v>1</v>
      </c>
      <c r="CA24" s="1" t="n">
        <f aca="false">IF(AND('Daily Workforce'!$N68="Y",'Daily Workforce'!$B68&lt;&gt;"",COUNTIF('Daily Schedule'!$F$5:$F27,'Daily Workforce'!$B68)=0,IF('Daily Schedule'!$A28=45,'Daily Workforce'!$J68="Y",IF(OR('Daily Schedule'!$A28=4,'Daily Schedule'!$A28=8),IF(OR(WEEKDAY('Daily Schedule'!$B$2,2)=1,WEEKDAY('Daily Schedule'!$B$2,2)=4,WEEKDAY('Daily Schedule'!$B$2,2)=5,WEEKDAY('Daily Schedule'!$B$2,2)=7),IFERROR(1*'Daily Workforce'!$K68&gt;=3,FALSE()),IFERROR(1*'Daily Workforce'!$K68&gt;=2,FALSE())),IF(AND('Daily Schedule'!$A28&gt;=46,'Daily Schedule'!$A28&lt;=52),'Daily Workforce'!$M68="Y",IFERROR(1*'Daily Workforce'!$P68&gt;=2,FALSE()))))),1,0)</f>
        <v>1</v>
      </c>
      <c r="CB24" s="1" t="n">
        <f aca="false">IF(AND('Daily Workforce'!$N69="Y",'Daily Workforce'!$B69&lt;&gt;"",COUNTIF('Daily Schedule'!$F$5:$F27,'Daily Workforce'!$B69)=0,IF('Daily Schedule'!$A28=45,'Daily Workforce'!$J69="Y",IF(OR('Daily Schedule'!$A28=4,'Daily Schedule'!$A28=8),IF(OR(WEEKDAY('Daily Schedule'!$B$2,2)=1,WEEKDAY('Daily Schedule'!$B$2,2)=4,WEEKDAY('Daily Schedule'!$B$2,2)=5,WEEKDAY('Daily Schedule'!$B$2,2)=7),IFERROR(1*'Daily Workforce'!$K69&gt;=3,FALSE()),IFERROR(1*'Daily Workforce'!$K69&gt;=2,FALSE())),IF(AND('Daily Schedule'!$A28&gt;=46,'Daily Schedule'!$A28&lt;=52),'Daily Workforce'!$M69="Y",IFERROR(1*'Daily Workforce'!$P69&gt;=2,FALSE()))))),1,0)</f>
        <v>1</v>
      </c>
      <c r="CC24" s="1" t="n">
        <f aca="false">IF(AND('Daily Workforce'!$N70="Y",'Daily Workforce'!$B70&lt;&gt;"",COUNTIF('Daily Schedule'!$F$5:$F27,'Daily Workforce'!$B70)=0,IF('Daily Schedule'!$A28=45,'Daily Workforce'!$J70="Y",IF(OR('Daily Schedule'!$A28=4,'Daily Schedule'!$A28=8),IF(OR(WEEKDAY('Daily Schedule'!$B$2,2)=1,WEEKDAY('Daily Schedule'!$B$2,2)=4,WEEKDAY('Daily Schedule'!$B$2,2)=5,WEEKDAY('Daily Schedule'!$B$2,2)=7),IFERROR(1*'Daily Workforce'!$K70&gt;=3,FALSE()),IFERROR(1*'Daily Workforce'!$K70&gt;=2,FALSE())),IF(AND('Daily Schedule'!$A28&gt;=46,'Daily Schedule'!$A28&lt;=52),'Daily Workforce'!$M70="Y",IFERROR(1*'Daily Workforce'!$P70&gt;=2,FALSE()))))),1,0)</f>
        <v>1</v>
      </c>
      <c r="CD24" s="1" t="n">
        <f aca="false">IF(AND('Daily Workforce'!$N71="Y",'Daily Workforce'!$B71&lt;&gt;"",COUNTIF('Daily Schedule'!$F$5:$F27,'Daily Workforce'!$B71)=0,IF('Daily Schedule'!$A28=45,'Daily Workforce'!$J71="Y",IF(OR('Daily Schedule'!$A28=4,'Daily Schedule'!$A28=8),IF(OR(WEEKDAY('Daily Schedule'!$B$2,2)=1,WEEKDAY('Daily Schedule'!$B$2,2)=4,WEEKDAY('Daily Schedule'!$B$2,2)=5,WEEKDAY('Daily Schedule'!$B$2,2)=7),IFERROR(1*'Daily Workforce'!$K71&gt;=3,FALSE()),IFERROR(1*'Daily Workforce'!$K71&gt;=2,FALSE())),IF(AND('Daily Schedule'!$A28&gt;=46,'Daily Schedule'!$A28&lt;=52),'Daily Workforce'!$M71="Y",IFERROR(1*'Daily Workforce'!$P71&gt;=2,FALSE()))))),1,0)</f>
        <v>1</v>
      </c>
      <c r="CE24" s="1" t="n">
        <f aca="false">IF(AND('Daily Workforce'!$N72="Y",'Daily Workforce'!$B72&lt;&gt;"",COUNTIF('Daily Schedule'!$F$5:$F27,'Daily Workforce'!$B72)=0,IF('Daily Schedule'!$A28=45,'Daily Workforce'!$J72="Y",IF(OR('Daily Schedule'!$A28=4,'Daily Schedule'!$A28=8),IF(OR(WEEKDAY('Daily Schedule'!$B$2,2)=1,WEEKDAY('Daily Schedule'!$B$2,2)=4,WEEKDAY('Daily Schedule'!$B$2,2)=5,WEEKDAY('Daily Schedule'!$B$2,2)=7),IFERROR(1*'Daily Workforce'!$K72&gt;=3,FALSE()),IFERROR(1*'Daily Workforce'!$K72&gt;=2,FALSE())),IF(AND('Daily Schedule'!$A28&gt;=46,'Daily Schedule'!$A28&lt;=52),'Daily Workforce'!$M72="Y",IFERROR(1*'Daily Workforce'!$P72&gt;=2,FALSE()))))),1,0)</f>
        <v>1</v>
      </c>
      <c r="CF24" s="1" t="n">
        <f aca="false">IF(AND('Daily Workforce'!$N73="Y",'Daily Workforce'!$B73&lt;&gt;"",COUNTIF('Daily Schedule'!$F$5:$F27,'Daily Workforce'!$B73)=0,IF('Daily Schedule'!$A28=45,'Daily Workforce'!$J73="Y",IF(OR('Daily Schedule'!$A28=4,'Daily Schedule'!$A28=8),IF(OR(WEEKDAY('Daily Schedule'!$B$2,2)=1,WEEKDAY('Daily Schedule'!$B$2,2)=4,WEEKDAY('Daily Schedule'!$B$2,2)=5,WEEKDAY('Daily Schedule'!$B$2,2)=7),IFERROR(1*'Daily Workforce'!$K73&gt;=3,FALSE()),IFERROR(1*'Daily Workforce'!$K73&gt;=2,FALSE())),IF(AND('Daily Schedule'!$A28&gt;=46,'Daily Schedule'!$A28&lt;=52),'Daily Workforce'!$M73="Y",IFERROR(1*'Daily Workforce'!$P73&gt;=2,FALSE()))))),1,0)</f>
        <v>1</v>
      </c>
      <c r="CG24" s="1" t="n">
        <f aca="false">IF(AND('Daily Workforce'!$N74="Y",'Daily Workforce'!$B74&lt;&gt;"",COUNTIF('Daily Schedule'!$F$5:$F27,'Daily Workforce'!$B74)=0,IF('Daily Schedule'!$A28=45,'Daily Workforce'!$J74="Y",IF(OR('Daily Schedule'!$A28=4,'Daily Schedule'!$A28=8),IF(OR(WEEKDAY('Daily Schedule'!$B$2,2)=1,WEEKDAY('Daily Schedule'!$B$2,2)=4,WEEKDAY('Daily Schedule'!$B$2,2)=5,WEEKDAY('Daily Schedule'!$B$2,2)=7),IFERROR(1*'Daily Workforce'!$K74&gt;=3,FALSE()),IFERROR(1*'Daily Workforce'!$K74&gt;=2,FALSE())),IF(AND('Daily Schedule'!$A28&gt;=46,'Daily Schedule'!$A28&lt;=52),'Daily Workforce'!$M74="Y",IFERROR(1*'Daily Workforce'!$P74&gt;=2,FALSE()))))),1,0)</f>
        <v>1</v>
      </c>
      <c r="CH24" s="1" t="n">
        <f aca="false">IF(AND('Daily Workforce'!$N75="Y",'Daily Workforce'!$B75&lt;&gt;"",COUNTIF('Daily Schedule'!$F$5:$F27,'Daily Workforce'!$B75)=0,IF('Daily Schedule'!$A28=45,'Daily Workforce'!$J75="Y",IF(OR('Daily Schedule'!$A28=4,'Daily Schedule'!$A28=8),IF(OR(WEEKDAY('Daily Schedule'!$B$2,2)=1,WEEKDAY('Daily Schedule'!$B$2,2)=4,WEEKDAY('Daily Schedule'!$B$2,2)=5,WEEKDAY('Daily Schedule'!$B$2,2)=7),IFERROR(1*'Daily Workforce'!$K75&gt;=3,FALSE()),IFERROR(1*'Daily Workforce'!$K75&gt;=2,FALSE())),IF(AND('Daily Schedule'!$A28&gt;=46,'Daily Schedule'!$A28&lt;=52),'Daily Workforce'!$M75="Y",IFERROR(1*'Daily Workforce'!$P75&gt;=2,FALSE()))))),1,0)</f>
        <v>1</v>
      </c>
      <c r="CI24" s="1" t="n">
        <f aca="false">IF(AND('Daily Workforce'!$N76="Y",'Daily Workforce'!$B76&lt;&gt;"",COUNTIF('Daily Schedule'!$F$5:$F27,'Daily Workforce'!$B76)=0,IF('Daily Schedule'!$A28=45,'Daily Workforce'!$J76="Y",IF(OR('Daily Schedule'!$A28=4,'Daily Schedule'!$A28=8),IF(OR(WEEKDAY('Daily Schedule'!$B$2,2)=1,WEEKDAY('Daily Schedule'!$B$2,2)=4,WEEKDAY('Daily Schedule'!$B$2,2)=5,WEEKDAY('Daily Schedule'!$B$2,2)=7),IFERROR(1*'Daily Workforce'!$K76&gt;=3,FALSE()),IFERROR(1*'Daily Workforce'!$K76&gt;=2,FALSE())),IF(AND('Daily Schedule'!$A28&gt;=46,'Daily Schedule'!$A28&lt;=52),'Daily Workforce'!$M76="Y",IFERROR(1*'Daily Workforce'!$P76&gt;=2,FALSE()))))),1,0)</f>
        <v>1</v>
      </c>
      <c r="CJ24" s="1" t="n">
        <f aca="false">IF(AND('Daily Workforce'!$N77="Y",'Daily Workforce'!$B77&lt;&gt;"",COUNTIF('Daily Schedule'!$F$5:$F27,'Daily Workforce'!$B77)=0,IF('Daily Schedule'!$A28=45,'Daily Workforce'!$J77="Y",IF(OR('Daily Schedule'!$A28=4,'Daily Schedule'!$A28=8),IF(OR(WEEKDAY('Daily Schedule'!$B$2,2)=1,WEEKDAY('Daily Schedule'!$B$2,2)=4,WEEKDAY('Daily Schedule'!$B$2,2)=5,WEEKDAY('Daily Schedule'!$B$2,2)=7),IFERROR(1*'Daily Workforce'!$K77&gt;=3,FALSE()),IFERROR(1*'Daily Workforce'!$K77&gt;=2,FALSE())),IF(AND('Daily Schedule'!$A28&gt;=46,'Daily Schedule'!$A28&lt;=52),'Daily Workforce'!$M77="Y",IFERROR(1*'Daily Workforce'!$P77&gt;=2,FALSE()))))),1,0)</f>
        <v>1</v>
      </c>
      <c r="CK24" s="1" t="n">
        <f aca="false">IF(AND('Daily Workforce'!$N78="Y",'Daily Workforce'!$B78&lt;&gt;"",COUNTIF('Daily Schedule'!$F$5:$F27,'Daily Workforce'!$B78)=0,IF('Daily Schedule'!$A28=45,'Daily Workforce'!$J78="Y",IF(OR('Daily Schedule'!$A28=4,'Daily Schedule'!$A28=8),IF(OR(WEEKDAY('Daily Schedule'!$B$2,2)=1,WEEKDAY('Daily Schedule'!$B$2,2)=4,WEEKDAY('Daily Schedule'!$B$2,2)=5,WEEKDAY('Daily Schedule'!$B$2,2)=7),IFERROR(1*'Daily Workforce'!$K78&gt;=3,FALSE()),IFERROR(1*'Daily Workforce'!$K78&gt;=2,FALSE())),IF(AND('Daily Schedule'!$A28&gt;=46,'Daily Schedule'!$A28&lt;=52),'Daily Workforce'!$M78="Y",IFERROR(1*'Daily Workforce'!$P78&gt;=2,FALSE()))))),1,0)</f>
        <v>1</v>
      </c>
      <c r="CL24" s="1" t="n">
        <f aca="false">IF(AND('Daily Workforce'!$N79="Y",'Daily Workforce'!$B79&lt;&gt;"",COUNTIF('Daily Schedule'!$F$5:$F27,'Daily Workforce'!$B79)=0,IF('Daily Schedule'!$A28=45,'Daily Workforce'!$J79="Y",IF(OR('Daily Schedule'!$A28=4,'Daily Schedule'!$A28=8),IF(OR(WEEKDAY('Daily Schedule'!$B$2,2)=1,WEEKDAY('Daily Schedule'!$B$2,2)=4,WEEKDAY('Daily Schedule'!$B$2,2)=5,WEEKDAY('Daily Schedule'!$B$2,2)=7),IFERROR(1*'Daily Workforce'!$K79&gt;=3,FALSE()),IFERROR(1*'Daily Workforce'!$K79&gt;=2,FALSE())),IF(AND('Daily Schedule'!$A28&gt;=46,'Daily Schedule'!$A28&lt;=52),'Daily Workforce'!$M79="Y",IFERROR(1*'Daily Workforce'!$P79&gt;=2,FALSE()))))),1,0)</f>
        <v>1</v>
      </c>
      <c r="CM24" s="1" t="n">
        <f aca="false">IF(AND('Daily Workforce'!$N80="Y",'Daily Workforce'!$B80&lt;&gt;"",COUNTIF('Daily Schedule'!$F$5:$F27,'Daily Workforce'!$B80)=0,IF('Daily Schedule'!$A28=45,'Daily Workforce'!$J80="Y",IF(OR('Daily Schedule'!$A28=4,'Daily Schedule'!$A28=8),IF(OR(WEEKDAY('Daily Schedule'!$B$2,2)=1,WEEKDAY('Daily Schedule'!$B$2,2)=4,WEEKDAY('Daily Schedule'!$B$2,2)=5,WEEKDAY('Daily Schedule'!$B$2,2)=7),IFERROR(1*'Daily Workforce'!$K80&gt;=3,FALSE()),IFERROR(1*'Daily Workforce'!$K80&gt;=2,FALSE())),IF(AND('Daily Schedule'!$A28&gt;=46,'Daily Schedule'!$A28&lt;=52),'Daily Workforce'!$M80="Y",IFERROR(1*'Daily Workforce'!$P80&gt;=2,FALSE()))))),1,0)</f>
        <v>1</v>
      </c>
      <c r="CN24" s="1" t="n">
        <f aca="false">IF(AND('Daily Workforce'!$N81="Y",'Daily Workforce'!$B81&lt;&gt;"",COUNTIF('Daily Schedule'!$F$5:$F27,'Daily Workforce'!$B81)=0,IF('Daily Schedule'!$A28=45,'Daily Workforce'!$J81="Y",IF(OR('Daily Schedule'!$A28=4,'Daily Schedule'!$A28=8),IF(OR(WEEKDAY('Daily Schedule'!$B$2,2)=1,WEEKDAY('Daily Schedule'!$B$2,2)=4,WEEKDAY('Daily Schedule'!$B$2,2)=5,WEEKDAY('Daily Schedule'!$B$2,2)=7),IFERROR(1*'Daily Workforce'!$K81&gt;=3,FALSE()),IFERROR(1*'Daily Workforce'!$K81&gt;=2,FALSE())),IF(AND('Daily Schedule'!$A28&gt;=46,'Daily Schedule'!$A28&lt;=52),'Daily Workforce'!$M81="Y",IFERROR(1*'Daily Workforce'!$P81&gt;=2,FALSE()))))),1,0)</f>
        <v>1</v>
      </c>
      <c r="CO24" s="1" t="n">
        <f aca="false">IF(AND('Daily Workforce'!$N82="Y",'Daily Workforce'!$B82&lt;&gt;"",COUNTIF('Daily Schedule'!$F$5:$F27,'Daily Workforce'!$B82)=0,IF('Daily Schedule'!$A28=45,'Daily Workforce'!$J82="Y",IF(OR('Daily Schedule'!$A28=4,'Daily Schedule'!$A28=8),IF(OR(WEEKDAY('Daily Schedule'!$B$2,2)=1,WEEKDAY('Daily Schedule'!$B$2,2)=4,WEEKDAY('Daily Schedule'!$B$2,2)=5,WEEKDAY('Daily Schedule'!$B$2,2)=7),IFERROR(1*'Daily Workforce'!$K82&gt;=3,FALSE()),IFERROR(1*'Daily Workforce'!$K82&gt;=2,FALSE())),IF(AND('Daily Schedule'!$A28&gt;=46,'Daily Schedule'!$A28&lt;=52),'Daily Workforce'!$M82="Y",IFERROR(1*'Daily Workforce'!$P82&gt;=2,FALSE()))))),1,0)</f>
        <v>1</v>
      </c>
      <c r="CP24" s="1" t="n">
        <f aca="false">IF(AND('Daily Workforce'!$N83="Y",'Daily Workforce'!$B83&lt;&gt;"",COUNTIF('Daily Schedule'!$F$5:$F27,'Daily Workforce'!$B83)=0,IF('Daily Schedule'!$A28=45,'Daily Workforce'!$J83="Y",IF(OR('Daily Schedule'!$A28=4,'Daily Schedule'!$A28=8),IF(OR(WEEKDAY('Daily Schedule'!$B$2,2)=1,WEEKDAY('Daily Schedule'!$B$2,2)=4,WEEKDAY('Daily Schedule'!$B$2,2)=5,WEEKDAY('Daily Schedule'!$B$2,2)=7),IFERROR(1*'Daily Workforce'!$K83&gt;=3,FALSE()),IFERROR(1*'Daily Workforce'!$K83&gt;=2,FALSE())),IF(AND('Daily Schedule'!$A28&gt;=46,'Daily Schedule'!$A28&lt;=52),'Daily Workforce'!$M83="Y",IFERROR(1*'Daily Workforce'!$P83&gt;=2,FALSE()))))),1,0)</f>
        <v>0</v>
      </c>
      <c r="CQ24" s="1" t="n">
        <f aca="false">IF(AND('Daily Workforce'!$N84="Y",'Daily Workforce'!$B84&lt;&gt;"",COUNTIF('Daily Schedule'!$F$5:$F27,'Daily Workforce'!$B84)=0,IF('Daily Schedule'!$A28=45,'Daily Workforce'!$J84="Y",IF(OR('Daily Schedule'!$A28=4,'Daily Schedule'!$A28=8),IF(OR(WEEKDAY('Daily Schedule'!$B$2,2)=1,WEEKDAY('Daily Schedule'!$B$2,2)=4,WEEKDAY('Daily Schedule'!$B$2,2)=5,WEEKDAY('Daily Schedule'!$B$2,2)=7),IFERROR(1*'Daily Workforce'!$K84&gt;=3,FALSE()),IFERROR(1*'Daily Workforce'!$K84&gt;=2,FALSE())),IF(AND('Daily Schedule'!$A28&gt;=46,'Daily Schedule'!$A28&lt;=52),'Daily Workforce'!$M84="Y",IFERROR(1*'Daily Workforce'!$P84&gt;=2,FALSE()))))),1,0)</f>
        <v>1</v>
      </c>
      <c r="CR24" s="1" t="n">
        <f aca="false">IF(AND('Daily Workforce'!$N85="Y",'Daily Workforce'!$B85&lt;&gt;"",COUNTIF('Daily Schedule'!$F$5:$F27,'Daily Workforce'!$B85)=0,IF('Daily Schedule'!$A28=45,'Daily Workforce'!$J85="Y",IF(OR('Daily Schedule'!$A28=4,'Daily Schedule'!$A28=8),IF(OR(WEEKDAY('Daily Schedule'!$B$2,2)=1,WEEKDAY('Daily Schedule'!$B$2,2)=4,WEEKDAY('Daily Schedule'!$B$2,2)=5,WEEKDAY('Daily Schedule'!$B$2,2)=7),IFERROR(1*'Daily Workforce'!$K85&gt;=3,FALSE()),IFERROR(1*'Daily Workforce'!$K85&gt;=2,FALSE())),IF(AND('Daily Schedule'!$A28&gt;=46,'Daily Schedule'!$A28&lt;=52),'Daily Workforce'!$M85="Y",IFERROR(1*'Daily Workforce'!$P85&gt;=2,FALSE()))))),1,0)</f>
        <v>0</v>
      </c>
      <c r="CS24" s="1" t="n">
        <f aca="false">IF(AND('Daily Workforce'!$N86="Y",'Daily Workforce'!$B86&lt;&gt;"",COUNTIF('Daily Schedule'!$F$5:$F27,'Daily Workforce'!$B86)=0,IF('Daily Schedule'!$A28=45,'Daily Workforce'!$J86="Y",IF(OR('Daily Schedule'!$A28=4,'Daily Schedule'!$A28=8),IF(OR(WEEKDAY('Daily Schedule'!$B$2,2)=1,WEEKDAY('Daily Schedule'!$B$2,2)=4,WEEKDAY('Daily Schedule'!$B$2,2)=5,WEEKDAY('Daily Schedule'!$B$2,2)=7),IFERROR(1*'Daily Workforce'!$K86&gt;=3,FALSE()),IFERROR(1*'Daily Workforce'!$K86&gt;=2,FALSE())),IF(AND('Daily Schedule'!$A28&gt;=46,'Daily Schedule'!$A28&lt;=52),'Daily Workforce'!$M86="Y",IFERROR(1*'Daily Workforce'!$P86&gt;=2,FALSE()))))),1,0)</f>
        <v>1</v>
      </c>
      <c r="CT24" s="1" t="n">
        <f aca="false">IF(AND('Daily Workforce'!$N87="Y",'Daily Workforce'!$B87&lt;&gt;"",COUNTIF('Daily Schedule'!$F$5:$F27,'Daily Workforce'!$B87)=0,IF('Daily Schedule'!$A28=45,'Daily Workforce'!$J87="Y",IF(OR('Daily Schedule'!$A28=4,'Daily Schedule'!$A28=8),IF(OR(WEEKDAY('Daily Schedule'!$B$2,2)=1,WEEKDAY('Daily Schedule'!$B$2,2)=4,WEEKDAY('Daily Schedule'!$B$2,2)=5,WEEKDAY('Daily Schedule'!$B$2,2)=7),IFERROR(1*'Daily Workforce'!$K87&gt;=3,FALSE()),IFERROR(1*'Daily Workforce'!$K87&gt;=2,FALSE())),IF(AND('Daily Schedule'!$A28&gt;=46,'Daily Schedule'!$A28&lt;=52),'Daily Workforce'!$M87="Y",IFERROR(1*'Daily Workforce'!$P87&gt;=2,FALSE()))))),1,0)</f>
        <v>1</v>
      </c>
      <c r="CU24" s="1" t="n">
        <f aca="false">IF(AND('Daily Workforce'!$N88="Y",'Daily Workforce'!$B88&lt;&gt;"",COUNTIF('Daily Schedule'!$F$5:$F27,'Daily Workforce'!$B88)=0,IF('Daily Schedule'!$A28=45,'Daily Workforce'!$J88="Y",IF(OR('Daily Schedule'!$A28=4,'Daily Schedule'!$A28=8),IF(OR(WEEKDAY('Daily Schedule'!$B$2,2)=1,WEEKDAY('Daily Schedule'!$B$2,2)=4,WEEKDAY('Daily Schedule'!$B$2,2)=5,WEEKDAY('Daily Schedule'!$B$2,2)=7),IFERROR(1*'Daily Workforce'!$K88&gt;=3,FALSE()),IFERROR(1*'Daily Workforce'!$K88&gt;=2,FALSE())),IF(AND('Daily Schedule'!$A28&gt;=46,'Daily Schedule'!$A28&lt;=52),'Daily Workforce'!$M88="Y",IFERROR(1*'Daily Workforce'!$P88&gt;=2,FALSE()))))),1,0)</f>
        <v>1</v>
      </c>
      <c r="CV24" s="1" t="n">
        <f aca="false">IF(AND('Daily Workforce'!$N89="Y",'Daily Workforce'!$B89&lt;&gt;"",COUNTIF('Daily Schedule'!$F$5:$F27,'Daily Workforce'!$B89)=0,IF('Daily Schedule'!$A28=45,'Daily Workforce'!$J89="Y",IF(OR('Daily Schedule'!$A28=4,'Daily Schedule'!$A28=8),IF(OR(WEEKDAY('Daily Schedule'!$B$2,2)=1,WEEKDAY('Daily Schedule'!$B$2,2)=4,WEEKDAY('Daily Schedule'!$B$2,2)=5,WEEKDAY('Daily Schedule'!$B$2,2)=7),IFERROR(1*'Daily Workforce'!$K89&gt;=3,FALSE()),IFERROR(1*'Daily Workforce'!$K89&gt;=2,FALSE())),IF(AND('Daily Schedule'!$A28&gt;=46,'Daily Schedule'!$A28&lt;=52),'Daily Workforce'!$M89="Y",IFERROR(1*'Daily Workforce'!$P89&gt;=2,FALSE()))))),1,0)</f>
        <v>1</v>
      </c>
      <c r="CW24" s="1" t="n">
        <f aca="false">IF(AND('Daily Workforce'!$N90="Y",'Daily Workforce'!$B90&lt;&gt;"",COUNTIF('Daily Schedule'!$F$5:$F27,'Daily Workforce'!$B90)=0,IF('Daily Schedule'!$A28=45,'Daily Workforce'!$J90="Y",IF(OR('Daily Schedule'!$A28=4,'Daily Schedule'!$A28=8),IF(OR(WEEKDAY('Daily Schedule'!$B$2,2)=1,WEEKDAY('Daily Schedule'!$B$2,2)=4,WEEKDAY('Daily Schedule'!$B$2,2)=5,WEEKDAY('Daily Schedule'!$B$2,2)=7),IFERROR(1*'Daily Workforce'!$K90&gt;=3,FALSE()),IFERROR(1*'Daily Workforce'!$K90&gt;=2,FALSE())),IF(AND('Daily Schedule'!$A28&gt;=46,'Daily Schedule'!$A28&lt;=52),'Daily Workforce'!$M90="Y",IFERROR(1*'Daily Workforce'!$P90&gt;=2,FALSE()))))),1,0)</f>
        <v>1</v>
      </c>
      <c r="CX24" s="1" t="n">
        <f aca="false">IF(AND('Daily Workforce'!$N91="Y",'Daily Workforce'!$B91&lt;&gt;"",COUNTIF('Daily Schedule'!$F$5:$F27,'Daily Workforce'!$B91)=0,IF('Daily Schedule'!$A28=45,'Daily Workforce'!$J91="Y",IF(OR('Daily Schedule'!$A28=4,'Daily Schedule'!$A28=8),IF(OR(WEEKDAY('Daily Schedule'!$B$2,2)=1,WEEKDAY('Daily Schedule'!$B$2,2)=4,WEEKDAY('Daily Schedule'!$B$2,2)=5,WEEKDAY('Daily Schedule'!$B$2,2)=7),IFERROR(1*'Daily Workforce'!$K91&gt;=3,FALSE()),IFERROR(1*'Daily Workforce'!$K91&gt;=2,FALSE())),IF(AND('Daily Schedule'!$A28&gt;=46,'Daily Schedule'!$A28&lt;=52),'Daily Workforce'!$M91="Y",IFERROR(1*'Daily Workforce'!$P91&gt;=2,FALSE()))))),1,0)</f>
        <v>1</v>
      </c>
      <c r="CY24" s="1" t="n">
        <f aca="false">IF(AND('Daily Workforce'!$N92="Y",'Daily Workforce'!$B92&lt;&gt;"",COUNTIF('Daily Schedule'!$F$5:$F27,'Daily Workforce'!$B92)=0,IF('Daily Schedule'!$A28=45,'Daily Workforce'!$J92="Y",IF(OR('Daily Schedule'!$A28=4,'Daily Schedule'!$A28=8),IF(OR(WEEKDAY('Daily Schedule'!$B$2,2)=1,WEEKDAY('Daily Schedule'!$B$2,2)=4,WEEKDAY('Daily Schedule'!$B$2,2)=5,WEEKDAY('Daily Schedule'!$B$2,2)=7),IFERROR(1*'Daily Workforce'!$K92&gt;=3,FALSE()),IFERROR(1*'Daily Workforce'!$K92&gt;=2,FALSE())),IF(AND('Daily Schedule'!$A28&gt;=46,'Daily Schedule'!$A28&lt;=52),'Daily Workforce'!$M92="Y",IFERROR(1*'Daily Workforce'!$P92&gt;=2,FALSE()))))),1,0)</f>
        <v>1</v>
      </c>
      <c r="CZ24" s="1" t="n">
        <f aca="false">IF(AND('Daily Workforce'!$N93="Y",'Daily Workforce'!$B93&lt;&gt;"",COUNTIF('Daily Schedule'!$F$5:$F27,'Daily Workforce'!$B93)=0,IF('Daily Schedule'!$A28=45,'Daily Workforce'!$J93="Y",IF(OR('Daily Schedule'!$A28=4,'Daily Schedule'!$A28=8),IF(OR(WEEKDAY('Daily Schedule'!$B$2,2)=1,WEEKDAY('Daily Schedule'!$B$2,2)=4,WEEKDAY('Daily Schedule'!$B$2,2)=5,WEEKDAY('Daily Schedule'!$B$2,2)=7),IFERROR(1*'Daily Workforce'!$K93&gt;=3,FALSE()),IFERROR(1*'Daily Workforce'!$K93&gt;=2,FALSE())),IF(AND('Daily Schedule'!$A28&gt;=46,'Daily Schedule'!$A28&lt;=52),'Daily Workforce'!$M93="Y",IFERROR(1*'Daily Workforce'!$P93&gt;=2,FALSE()))))),1,0)</f>
        <v>1</v>
      </c>
      <c r="DA24" s="1" t="n">
        <f aca="false">IF(AND('Daily Workforce'!$N94="Y",'Daily Workforce'!$B94&lt;&gt;"",COUNTIF('Daily Schedule'!$F$5:$F27,'Daily Workforce'!$B94)=0,IF('Daily Schedule'!$A28=45,'Daily Workforce'!$J94="Y",IF(OR('Daily Schedule'!$A28=4,'Daily Schedule'!$A28=8),IF(OR(WEEKDAY('Daily Schedule'!$B$2,2)=1,WEEKDAY('Daily Schedule'!$B$2,2)=4,WEEKDAY('Daily Schedule'!$B$2,2)=5,WEEKDAY('Daily Schedule'!$B$2,2)=7),IFERROR(1*'Daily Workforce'!$K94&gt;=3,FALSE()),IFERROR(1*'Daily Workforce'!$K94&gt;=2,FALSE())),IF(AND('Daily Schedule'!$A28&gt;=46,'Daily Schedule'!$A28&lt;=52),'Daily Workforce'!$M94="Y",IFERROR(1*'Daily Workforce'!$P94&gt;=2,FALSE()))))),1,0)</f>
        <v>1</v>
      </c>
      <c r="DB24" s="1" t="n">
        <f aca="false">IF(AND('Daily Workforce'!$N95="Y",'Daily Workforce'!$B95&lt;&gt;"",COUNTIF('Daily Schedule'!$F$5:$F27,'Daily Workforce'!$B95)=0,IF('Daily Schedule'!$A28=45,'Daily Workforce'!$J95="Y",IF(OR('Daily Schedule'!$A28=4,'Daily Schedule'!$A28=8),IF(OR(WEEKDAY('Daily Schedule'!$B$2,2)=1,WEEKDAY('Daily Schedule'!$B$2,2)=4,WEEKDAY('Daily Schedule'!$B$2,2)=5,WEEKDAY('Daily Schedule'!$B$2,2)=7),IFERROR(1*'Daily Workforce'!$K95&gt;=3,FALSE()),IFERROR(1*'Daily Workforce'!$K95&gt;=2,FALSE())),IF(AND('Daily Schedule'!$A28&gt;=46,'Daily Schedule'!$A28&lt;=52),'Daily Workforce'!$M95="Y",IFERROR(1*'Daily Workforce'!$P95&gt;=2,FALSE()))))),1,0)</f>
        <v>1</v>
      </c>
      <c r="DC24" s="1" t="n">
        <f aca="false">IF(AND('Daily Workforce'!$N96="Y",'Daily Workforce'!$B96&lt;&gt;"",COUNTIF('Daily Schedule'!$F$5:$F27,'Daily Workforce'!$B96)=0,IF('Daily Schedule'!$A28=45,'Daily Workforce'!$J96="Y",IF(OR('Daily Schedule'!$A28=4,'Daily Schedule'!$A28=8),IF(OR(WEEKDAY('Daily Schedule'!$B$2,2)=1,WEEKDAY('Daily Schedule'!$B$2,2)=4,WEEKDAY('Daily Schedule'!$B$2,2)=5,WEEKDAY('Daily Schedule'!$B$2,2)=7),IFERROR(1*'Daily Workforce'!$K96&gt;=3,FALSE()),IFERROR(1*'Daily Workforce'!$K96&gt;=2,FALSE())),IF(AND('Daily Schedule'!$A28&gt;=46,'Daily Schedule'!$A28&lt;=52),'Daily Workforce'!$M96="Y",IFERROR(1*'Daily Workforce'!$P96&gt;=2,FALSE()))))),1,0)</f>
        <v>1</v>
      </c>
      <c r="DD24" s="1" t="n">
        <f aca="false">IF(AND('Daily Workforce'!$N97="Y",'Daily Workforce'!$B97&lt;&gt;"",COUNTIF('Daily Schedule'!$F$5:$F27,'Daily Workforce'!$B97)=0,IF('Daily Schedule'!$A28=45,'Daily Workforce'!$J97="Y",IF(OR('Daily Schedule'!$A28=4,'Daily Schedule'!$A28=8),IF(OR(WEEKDAY('Daily Schedule'!$B$2,2)=1,WEEKDAY('Daily Schedule'!$B$2,2)=4,WEEKDAY('Daily Schedule'!$B$2,2)=5,WEEKDAY('Daily Schedule'!$B$2,2)=7),IFERROR(1*'Daily Workforce'!$K97&gt;=3,FALSE()),IFERROR(1*'Daily Workforce'!$K97&gt;=2,FALSE())),IF(AND('Daily Schedule'!$A28&gt;=46,'Daily Schedule'!$A28&lt;=52),'Daily Workforce'!$M97="Y",IFERROR(1*'Daily Workforce'!$P97&gt;=2,FALSE()))))),1,0)</f>
        <v>1</v>
      </c>
      <c r="DE24" s="1" t="n">
        <f aca="false">IF(AND('Daily Workforce'!$N98="Y",'Daily Workforce'!$B98&lt;&gt;"",COUNTIF('Daily Schedule'!$F$5:$F27,'Daily Workforce'!$B98)=0,IF('Daily Schedule'!$A28=45,'Daily Workforce'!$J98="Y",IF(OR('Daily Schedule'!$A28=4,'Daily Schedule'!$A28=8),IF(OR(WEEKDAY('Daily Schedule'!$B$2,2)=1,WEEKDAY('Daily Schedule'!$B$2,2)=4,WEEKDAY('Daily Schedule'!$B$2,2)=5,WEEKDAY('Daily Schedule'!$B$2,2)=7),IFERROR(1*'Daily Workforce'!$K98&gt;=3,FALSE()),IFERROR(1*'Daily Workforce'!$K98&gt;=2,FALSE())),IF(AND('Daily Schedule'!$A28&gt;=46,'Daily Schedule'!$A28&lt;=52),'Daily Workforce'!$M98="Y",IFERROR(1*'Daily Workforce'!$P98&gt;=2,FALSE()))))),1,0)</f>
        <v>1</v>
      </c>
      <c r="DF24" s="1" t="n">
        <f aca="false">IF(AND('Daily Workforce'!$N99="Y",'Daily Workforce'!$B99&lt;&gt;"",COUNTIF('Daily Schedule'!$F$5:$F27,'Daily Workforce'!$B99)=0,IF('Daily Schedule'!$A28=45,'Daily Workforce'!$J99="Y",IF(OR('Daily Schedule'!$A28=4,'Daily Schedule'!$A28=8),IF(OR(WEEKDAY('Daily Schedule'!$B$2,2)=1,WEEKDAY('Daily Schedule'!$B$2,2)=4,WEEKDAY('Daily Schedule'!$B$2,2)=5,WEEKDAY('Daily Schedule'!$B$2,2)=7),IFERROR(1*'Daily Workforce'!$K99&gt;=3,FALSE()),IFERROR(1*'Daily Workforce'!$K99&gt;=2,FALSE())),IF(AND('Daily Schedule'!$A28&gt;=46,'Daily Schedule'!$A28&lt;=52),'Daily Workforce'!$M99="Y",IFERROR(1*'Daily Workforce'!$P99&gt;=2,FALSE()))))),1,0)</f>
        <v>1</v>
      </c>
      <c r="DG24" s="1" t="n">
        <f aca="false">IF(AND('Daily Workforce'!$N100="Y",'Daily Workforce'!$B100&lt;&gt;"",COUNTIF('Daily Schedule'!$F$5:$F27,'Daily Workforce'!$B100)=0,IF('Daily Schedule'!$A28=45,'Daily Workforce'!$J100="Y",IF(OR('Daily Schedule'!$A28=4,'Daily Schedule'!$A28=8),IF(OR(WEEKDAY('Daily Schedule'!$B$2,2)=1,WEEKDAY('Daily Schedule'!$B$2,2)=4,WEEKDAY('Daily Schedule'!$B$2,2)=5,WEEKDAY('Daily Schedule'!$B$2,2)=7),IFERROR(1*'Daily Workforce'!$K100&gt;=3,FALSE()),IFERROR(1*'Daily Workforce'!$K100&gt;=2,FALSE())),IF(AND('Daily Schedule'!$A28&gt;=46,'Daily Schedule'!$A28&lt;=52),'Daily Workforce'!$M100="Y",IFERROR(1*'Daily Workforce'!$P100&gt;=2,FALSE()))))),1,0)</f>
        <v>1</v>
      </c>
      <c r="DH24" s="1" t="n">
        <f aca="false">IF(AND('Daily Workforce'!$N101="Y",'Daily Workforce'!$B101&lt;&gt;"",COUNTIF('Daily Schedule'!$F$5:$F27,'Daily Workforce'!$B101)=0,IF('Daily Schedule'!$A28=45,'Daily Workforce'!$J101="Y",IF(OR('Daily Schedule'!$A28=4,'Daily Schedule'!$A28=8),IF(OR(WEEKDAY('Daily Schedule'!$B$2,2)=1,WEEKDAY('Daily Schedule'!$B$2,2)=4,WEEKDAY('Daily Schedule'!$B$2,2)=5,WEEKDAY('Daily Schedule'!$B$2,2)=7),IFERROR(1*'Daily Workforce'!$K101&gt;=3,FALSE()),IFERROR(1*'Daily Workforce'!$K101&gt;=2,FALSE())),IF(AND('Daily Schedule'!$A28&gt;=46,'Daily Schedule'!$A28&lt;=52),'Daily Workforce'!$M101="Y",IFERROR(1*'Daily Workforce'!$P101&gt;=2,FALSE()))))),1,0)</f>
        <v>1</v>
      </c>
      <c r="DI24" s="1" t="n">
        <f aca="false">IF(AND('Daily Workforce'!$N102="Y",'Daily Workforce'!$B102&lt;&gt;"",COUNTIF('Daily Schedule'!$F$5:$F27,'Daily Workforce'!$B102)=0,IF('Daily Schedule'!$A28=45,'Daily Workforce'!$J102="Y",IF(OR('Daily Schedule'!$A28=4,'Daily Schedule'!$A28=8),IF(OR(WEEKDAY('Daily Schedule'!$B$2,2)=1,WEEKDAY('Daily Schedule'!$B$2,2)=4,WEEKDAY('Daily Schedule'!$B$2,2)=5,WEEKDAY('Daily Schedule'!$B$2,2)=7),IFERROR(1*'Daily Workforce'!$K102&gt;=3,FALSE()),IFERROR(1*'Daily Workforce'!$K102&gt;=2,FALSE())),IF(AND('Daily Schedule'!$A28&gt;=46,'Daily Schedule'!$A28&lt;=52),'Daily Workforce'!$M102="Y",IFERROR(1*'Daily Workforce'!$P102&gt;=2,FALSE()))))),1,0)</f>
        <v>1</v>
      </c>
      <c r="DJ24" s="1" t="n">
        <f aca="false">IF(AND('Daily Workforce'!$N103="Y",'Daily Workforce'!$B103&lt;&gt;"",COUNTIF('Daily Schedule'!$F$5:$F27,'Daily Workforce'!$B103)=0,IF('Daily Schedule'!$A28=45,'Daily Workforce'!$J103="Y",IF(OR('Daily Schedule'!$A28=4,'Daily Schedule'!$A28=8),IF(OR(WEEKDAY('Daily Schedule'!$B$2,2)=1,WEEKDAY('Daily Schedule'!$B$2,2)=4,WEEKDAY('Daily Schedule'!$B$2,2)=5,WEEKDAY('Daily Schedule'!$B$2,2)=7),IFERROR(1*'Daily Workforce'!$K103&gt;=3,FALSE()),IFERROR(1*'Daily Workforce'!$K103&gt;=2,FALSE())),IF(AND('Daily Schedule'!$A28&gt;=46,'Daily Schedule'!$A28&lt;=52),'Daily Workforce'!$M103="Y",IFERROR(1*'Daily Workforce'!$P103&gt;=2,FALSE()))))),1,0)</f>
        <v>1</v>
      </c>
      <c r="DK24" s="1" t="n">
        <f aca="false">IF(AND('Daily Workforce'!$N104="Y",'Daily Workforce'!$B104&lt;&gt;"",COUNTIF('Daily Schedule'!$F$5:$F27,'Daily Workforce'!$B104)=0,IF('Daily Schedule'!$A28=45,'Daily Workforce'!$J104="Y",IF(OR('Daily Schedule'!$A28=4,'Daily Schedule'!$A28=8),IF(OR(WEEKDAY('Daily Schedule'!$B$2,2)=1,WEEKDAY('Daily Schedule'!$B$2,2)=4,WEEKDAY('Daily Schedule'!$B$2,2)=5,WEEKDAY('Daily Schedule'!$B$2,2)=7),IFERROR(1*'Daily Workforce'!$K104&gt;=3,FALSE()),IFERROR(1*'Daily Workforce'!$K104&gt;=2,FALSE())),IF(AND('Daily Schedule'!$A28&gt;=46,'Daily Schedule'!$A28&lt;=52),'Daily Workforce'!$M104="Y",IFERROR(1*'Daily Workforce'!$P104&gt;=2,FALSE()))))),1,0)</f>
        <v>1</v>
      </c>
      <c r="DL24" s="1" t="n">
        <f aca="false">IF(AND('Daily Workforce'!$N105="Y",'Daily Workforce'!$B105&lt;&gt;"",COUNTIF('Daily Schedule'!$F$5:$F27,'Daily Workforce'!$B105)=0,IF('Daily Schedule'!$A28=45,'Daily Workforce'!$J105="Y",IF(OR('Daily Schedule'!$A28=4,'Daily Schedule'!$A28=8),IF(OR(WEEKDAY('Daily Schedule'!$B$2,2)=1,WEEKDAY('Daily Schedule'!$B$2,2)=4,WEEKDAY('Daily Schedule'!$B$2,2)=5,WEEKDAY('Daily Schedule'!$B$2,2)=7),IFERROR(1*'Daily Workforce'!$K105&gt;=3,FALSE()),IFERROR(1*'Daily Workforce'!$K105&gt;=2,FALSE())),IF(AND('Daily Schedule'!$A28&gt;=46,'Daily Schedule'!$A28&lt;=52),'Daily Workforce'!$M105="Y",IFERROR(1*'Daily Workforce'!$P105&gt;=2,FALSE()))))),1,0)</f>
        <v>0</v>
      </c>
      <c r="DM24" s="1" t="n">
        <f aca="false">IF(AND('Daily Workforce'!$N106="Y",'Daily Workforce'!$B106&lt;&gt;"",COUNTIF('Daily Schedule'!$F$5:$F27,'Daily Workforce'!$B106)=0,IF('Daily Schedule'!$A28=45,'Daily Workforce'!$J106="Y",IF(OR('Daily Schedule'!$A28=4,'Daily Schedule'!$A28=8),IF(OR(WEEKDAY('Daily Schedule'!$B$2,2)=1,WEEKDAY('Daily Schedule'!$B$2,2)=4,WEEKDAY('Daily Schedule'!$B$2,2)=5,WEEKDAY('Daily Schedule'!$B$2,2)=7),IFERROR(1*'Daily Workforce'!$K106&gt;=3,FALSE()),IFERROR(1*'Daily Workforce'!$K106&gt;=2,FALSE())),IF(AND('Daily Schedule'!$A28&gt;=46,'Daily Schedule'!$A28&lt;=52),'Daily Workforce'!$M106="Y",IFERROR(1*'Daily Workforce'!$P106&gt;=2,FALSE()))))),1,0)</f>
        <v>1</v>
      </c>
      <c r="DN24" s="1" t="n">
        <f aca="false">IF(AND('Daily Workforce'!$N107="Y",'Daily Workforce'!$B107&lt;&gt;"",COUNTIF('Daily Schedule'!$F$5:$F27,'Daily Workforce'!$B107)=0,IF('Daily Schedule'!$A28=45,'Daily Workforce'!$J107="Y",IF(OR('Daily Schedule'!$A28=4,'Daily Schedule'!$A28=8),IF(OR(WEEKDAY('Daily Schedule'!$B$2,2)=1,WEEKDAY('Daily Schedule'!$B$2,2)=4,WEEKDAY('Daily Schedule'!$B$2,2)=5,WEEKDAY('Daily Schedule'!$B$2,2)=7),IFERROR(1*'Daily Workforce'!$K107&gt;=3,FALSE()),IFERROR(1*'Daily Workforce'!$K107&gt;=2,FALSE())),IF(AND('Daily Schedule'!$A28&gt;=46,'Daily Schedule'!$A28&lt;=52),'Daily Workforce'!$M107="Y",IFERROR(1*'Daily Workforce'!$P107&gt;=2,FALSE()))))),1,0)</f>
        <v>1</v>
      </c>
      <c r="DO24" s="1" t="n">
        <f aca="false">IF(AND('Daily Workforce'!$N108="Y",'Daily Workforce'!$B108&lt;&gt;"",COUNTIF('Daily Schedule'!$F$5:$F27,'Daily Workforce'!$B108)=0,IF('Daily Schedule'!$A28=45,'Daily Workforce'!$J108="Y",IF(OR('Daily Schedule'!$A28=4,'Daily Schedule'!$A28=8),IF(OR(WEEKDAY('Daily Schedule'!$B$2,2)=1,WEEKDAY('Daily Schedule'!$B$2,2)=4,WEEKDAY('Daily Schedule'!$B$2,2)=5,WEEKDAY('Daily Schedule'!$B$2,2)=7),IFERROR(1*'Daily Workforce'!$K108&gt;=3,FALSE()),IFERROR(1*'Daily Workforce'!$K108&gt;=2,FALSE())),IF(AND('Daily Schedule'!$A28&gt;=46,'Daily Schedule'!$A28&lt;=52),'Daily Workforce'!$M108="Y",IFERROR(1*'Daily Workforce'!$P108&gt;=2,FALSE()))))),1,0)</f>
        <v>1</v>
      </c>
      <c r="DP24" s="1" t="n">
        <f aca="false">IF(AND('Daily Workforce'!$N109="Y",'Daily Workforce'!$B109&lt;&gt;"",COUNTIF('Daily Schedule'!$F$5:$F27,'Daily Workforce'!$B109)=0,IF('Daily Schedule'!$A28=45,'Daily Workforce'!$J109="Y",IF(OR('Daily Schedule'!$A28=4,'Daily Schedule'!$A28=8),IF(OR(WEEKDAY('Daily Schedule'!$B$2,2)=1,WEEKDAY('Daily Schedule'!$B$2,2)=4,WEEKDAY('Daily Schedule'!$B$2,2)=5,WEEKDAY('Daily Schedule'!$B$2,2)=7),IFERROR(1*'Daily Workforce'!$K109&gt;=3,FALSE()),IFERROR(1*'Daily Workforce'!$K109&gt;=2,FALSE())),IF(AND('Daily Schedule'!$A28&gt;=46,'Daily Schedule'!$A28&lt;=52),'Daily Workforce'!$M109="Y",IFERROR(1*'Daily Workforce'!$P109&gt;=2,FALSE()))))),1,0)</f>
        <v>1</v>
      </c>
      <c r="DQ24" s="1" t="n">
        <f aca="false">IF(AND('Daily Workforce'!$N110="Y",'Daily Workforce'!$B110&lt;&gt;"",COUNTIF('Daily Schedule'!$F$5:$F27,'Daily Workforce'!$B110)=0,IF('Daily Schedule'!$A28=45,'Daily Workforce'!$J110="Y",IF(OR('Daily Schedule'!$A28=4,'Daily Schedule'!$A28=8),IF(OR(WEEKDAY('Daily Schedule'!$B$2,2)=1,WEEKDAY('Daily Schedule'!$B$2,2)=4,WEEKDAY('Daily Schedule'!$B$2,2)=5,WEEKDAY('Daily Schedule'!$B$2,2)=7),IFERROR(1*'Daily Workforce'!$K110&gt;=3,FALSE()),IFERROR(1*'Daily Workforce'!$K110&gt;=2,FALSE())),IF(AND('Daily Schedule'!$A28&gt;=46,'Daily Schedule'!$A28&lt;=52),'Daily Workforce'!$M110="Y",IFERROR(1*'Daily Workforce'!$P110&gt;=2,FALSE()))))),1,0)</f>
        <v>1</v>
      </c>
      <c r="DR24" s="1" t="n">
        <f aca="false">IF(AND('Daily Workforce'!$N111="Y",'Daily Workforce'!$B111&lt;&gt;"",COUNTIF('Daily Schedule'!$F$5:$F27,'Daily Workforce'!$B111)=0,IF('Daily Schedule'!$A28=45,'Daily Workforce'!$J111="Y",IF(OR('Daily Schedule'!$A28=4,'Daily Schedule'!$A28=8),IF(OR(WEEKDAY('Daily Schedule'!$B$2,2)=1,WEEKDAY('Daily Schedule'!$B$2,2)=4,WEEKDAY('Daily Schedule'!$B$2,2)=5,WEEKDAY('Daily Schedule'!$B$2,2)=7),IFERROR(1*'Daily Workforce'!$K111&gt;=3,FALSE()),IFERROR(1*'Daily Workforce'!$K111&gt;=2,FALSE())),IF(AND('Daily Schedule'!$A28&gt;=46,'Daily Schedule'!$A28&lt;=52),'Daily Workforce'!$M111="Y",IFERROR(1*'Daily Workforce'!$P111&gt;=2,FALSE()))))),1,0)</f>
        <v>1</v>
      </c>
      <c r="DS24" s="1" t="n">
        <f aca="false">IF(AND('Daily Workforce'!$N112="Y",'Daily Workforce'!$B112&lt;&gt;"",COUNTIF('Daily Schedule'!$F$5:$F27,'Daily Workforce'!$B112)=0,IF('Daily Schedule'!$A28=45,'Daily Workforce'!$J112="Y",IF(OR('Daily Schedule'!$A28=4,'Daily Schedule'!$A28=8),IF(OR(WEEKDAY('Daily Schedule'!$B$2,2)=1,WEEKDAY('Daily Schedule'!$B$2,2)=4,WEEKDAY('Daily Schedule'!$B$2,2)=5,WEEKDAY('Daily Schedule'!$B$2,2)=7),IFERROR(1*'Daily Workforce'!$K112&gt;=3,FALSE()),IFERROR(1*'Daily Workforce'!$K112&gt;=2,FALSE())),IF(AND('Daily Schedule'!$A28&gt;=46,'Daily Schedule'!$A28&lt;=52),'Daily Workforce'!$M112="Y",IFERROR(1*'Daily Workforce'!$P112&gt;=2,FALSE()))))),1,0)</f>
        <v>1</v>
      </c>
      <c r="DT24" s="1" t="n">
        <f aca="false">IF(AND('Daily Workforce'!$N113="Y",'Daily Workforce'!$B113&lt;&gt;"",COUNTIF('Daily Schedule'!$F$5:$F27,'Daily Workforce'!$B113)=0,IF('Daily Schedule'!$A28=45,'Daily Workforce'!$J113="Y",IF(OR('Daily Schedule'!$A28=4,'Daily Schedule'!$A28=8),IF(OR(WEEKDAY('Daily Schedule'!$B$2,2)=1,WEEKDAY('Daily Schedule'!$B$2,2)=4,WEEKDAY('Daily Schedule'!$B$2,2)=5,WEEKDAY('Daily Schedule'!$B$2,2)=7),IFERROR(1*'Daily Workforce'!$K113&gt;=3,FALSE()),IFERROR(1*'Daily Workforce'!$K113&gt;=2,FALSE())),IF(AND('Daily Schedule'!$A28&gt;=46,'Daily Schedule'!$A28&lt;=52),'Daily Workforce'!$M113="Y",IFERROR(1*'Daily Workforce'!$P113&gt;=2,FALSE()))))),1,0)</f>
        <v>1</v>
      </c>
      <c r="DU24" s="1" t="n">
        <f aca="false">IF(AND('Daily Workforce'!$N114="Y",'Daily Workforce'!$B114&lt;&gt;"",COUNTIF('Daily Schedule'!$F$5:$F27,'Daily Workforce'!$B114)=0,IF('Daily Schedule'!$A28=45,'Daily Workforce'!$J114="Y",IF(OR('Daily Schedule'!$A28=4,'Daily Schedule'!$A28=8),IF(OR(WEEKDAY('Daily Schedule'!$B$2,2)=1,WEEKDAY('Daily Schedule'!$B$2,2)=4,WEEKDAY('Daily Schedule'!$B$2,2)=5,WEEKDAY('Daily Schedule'!$B$2,2)=7),IFERROR(1*'Daily Workforce'!$K114&gt;=3,FALSE()),IFERROR(1*'Daily Workforce'!$K114&gt;=2,FALSE())),IF(AND('Daily Schedule'!$A28&gt;=46,'Daily Schedule'!$A28&lt;=52),'Daily Workforce'!$M114="Y",IFERROR(1*'Daily Workforce'!$P114&gt;=2,FALSE()))))),1,0)</f>
        <v>1</v>
      </c>
      <c r="DV24" s="1" t="n">
        <f aca="false">IF(AND('Daily Workforce'!$N115="Y",'Daily Workforce'!$B115&lt;&gt;"",COUNTIF('Daily Schedule'!$F$5:$F27,'Daily Workforce'!$B115)=0,IF('Daily Schedule'!$A28=45,'Daily Workforce'!$J115="Y",IF(OR('Daily Schedule'!$A28=4,'Daily Schedule'!$A28=8),IF(OR(WEEKDAY('Daily Schedule'!$B$2,2)=1,WEEKDAY('Daily Schedule'!$B$2,2)=4,WEEKDAY('Daily Schedule'!$B$2,2)=5,WEEKDAY('Daily Schedule'!$B$2,2)=7),IFERROR(1*'Daily Workforce'!$K115&gt;=3,FALSE()),IFERROR(1*'Daily Workforce'!$K115&gt;=2,FALSE())),IF(AND('Daily Schedule'!$A28&gt;=46,'Daily Schedule'!$A28&lt;=52),'Daily Workforce'!$M115="Y",IFERROR(1*'Daily Workforce'!$P115&gt;=2,FALSE()))))),1,0)</f>
        <v>1</v>
      </c>
      <c r="DW24" s="1" t="n">
        <f aca="false">IF(AND('Daily Workforce'!$N116="Y",'Daily Workforce'!$B116&lt;&gt;"",COUNTIF('Daily Schedule'!$F$5:$F27,'Daily Workforce'!$B116)=0,IF('Daily Schedule'!$A28=45,'Daily Workforce'!$J116="Y",IF(OR('Daily Schedule'!$A28=4,'Daily Schedule'!$A28=8),IF(OR(WEEKDAY('Daily Schedule'!$B$2,2)=1,WEEKDAY('Daily Schedule'!$B$2,2)=4,WEEKDAY('Daily Schedule'!$B$2,2)=5,WEEKDAY('Daily Schedule'!$B$2,2)=7),IFERROR(1*'Daily Workforce'!$K116&gt;=3,FALSE()),IFERROR(1*'Daily Workforce'!$K116&gt;=2,FALSE())),IF(AND('Daily Schedule'!$A28&gt;=46,'Daily Schedule'!$A28&lt;=52),'Daily Workforce'!$M116="Y",IFERROR(1*'Daily Workforce'!$P116&gt;=2,FALSE()))))),1,0)</f>
        <v>1</v>
      </c>
      <c r="DX24" s="1" t="n">
        <f aca="false">IF(AND('Daily Workforce'!$N117="Y",'Daily Workforce'!$B117&lt;&gt;"",COUNTIF('Daily Schedule'!$F$5:$F27,'Daily Workforce'!$B117)=0,IF('Daily Schedule'!$A28=45,'Daily Workforce'!$J117="Y",IF(OR('Daily Schedule'!$A28=4,'Daily Schedule'!$A28=8),IF(OR(WEEKDAY('Daily Schedule'!$B$2,2)=1,WEEKDAY('Daily Schedule'!$B$2,2)=4,WEEKDAY('Daily Schedule'!$B$2,2)=5,WEEKDAY('Daily Schedule'!$B$2,2)=7),IFERROR(1*'Daily Workforce'!$K117&gt;=3,FALSE()),IFERROR(1*'Daily Workforce'!$K117&gt;=2,FALSE())),IF(AND('Daily Schedule'!$A28&gt;=46,'Daily Schedule'!$A28&lt;=52),'Daily Workforce'!$M117="Y",IFERROR(1*'Daily Workforce'!$P117&gt;=2,FALSE()))))),1,0)</f>
        <v>1</v>
      </c>
      <c r="DY24" s="1" t="n">
        <f aca="false">IF(AND('Daily Workforce'!$N118="Y",'Daily Workforce'!$B118&lt;&gt;"",COUNTIF('Daily Schedule'!$F$5:$F27,'Daily Workforce'!$B118)=0,IF('Daily Schedule'!$A28=45,'Daily Workforce'!$J118="Y",IF(OR('Daily Schedule'!$A28=4,'Daily Schedule'!$A28=8),IF(OR(WEEKDAY('Daily Schedule'!$B$2,2)=1,WEEKDAY('Daily Schedule'!$B$2,2)=4,WEEKDAY('Daily Schedule'!$B$2,2)=5,WEEKDAY('Daily Schedule'!$B$2,2)=7),IFERROR(1*'Daily Workforce'!$K118&gt;=3,FALSE()),IFERROR(1*'Daily Workforce'!$K118&gt;=2,FALSE())),IF(AND('Daily Schedule'!$A28&gt;=46,'Daily Schedule'!$A28&lt;=52),'Daily Workforce'!$M118="Y",IFERROR(1*'Daily Workforce'!$P118&gt;=2,FALSE()))))),1,0)</f>
        <v>0</v>
      </c>
      <c r="DZ24" s="1" t="n">
        <f aca="false">IF(AND('Daily Workforce'!$N119="Y",'Daily Workforce'!$B119&lt;&gt;"",COUNTIF('Daily Schedule'!$F$5:$F27,'Daily Workforce'!$B119)=0,IF('Daily Schedule'!$A28=45,'Daily Workforce'!$J119="Y",IF(OR('Daily Schedule'!$A28=4,'Daily Schedule'!$A28=8),IF(OR(WEEKDAY('Daily Schedule'!$B$2,2)=1,WEEKDAY('Daily Schedule'!$B$2,2)=4,WEEKDAY('Daily Schedule'!$B$2,2)=5,WEEKDAY('Daily Schedule'!$B$2,2)=7),IFERROR(1*'Daily Workforce'!$K119&gt;=3,FALSE()),IFERROR(1*'Daily Workforce'!$K119&gt;=2,FALSE())),IF(AND('Daily Schedule'!$A28&gt;=46,'Daily Schedule'!$A28&lt;=52),'Daily Workforce'!$M119="Y",IFERROR(1*'Daily Workforce'!$P119&gt;=2,FALSE()))))),1,0)</f>
        <v>0</v>
      </c>
      <c r="EA24" s="1" t="n">
        <f aca="false">IF(AND('Daily Workforce'!$N120="Y",'Daily Workforce'!$B120&lt;&gt;"",COUNTIF('Daily Schedule'!$F$5:$F27,'Daily Workforce'!$B120)=0,IF('Daily Schedule'!$A28=45,'Daily Workforce'!$J120="Y",IF(OR('Daily Schedule'!$A28=4,'Daily Schedule'!$A28=8),IF(OR(WEEKDAY('Daily Schedule'!$B$2,2)=1,WEEKDAY('Daily Schedule'!$B$2,2)=4,WEEKDAY('Daily Schedule'!$B$2,2)=5,WEEKDAY('Daily Schedule'!$B$2,2)=7),IFERROR(1*'Daily Workforce'!$K120&gt;=3,FALSE()),IFERROR(1*'Daily Workforce'!$K120&gt;=2,FALSE())),IF(AND('Daily Schedule'!$A28&gt;=46,'Daily Schedule'!$A28&lt;=52),'Daily Workforce'!$M120="Y",IFERROR(1*'Daily Workforce'!$P120&gt;=2,FALSE()))))),1,0)</f>
        <v>0</v>
      </c>
      <c r="EB24" s="1" t="n">
        <f aca="false">IF(AND('Daily Workforce'!$N121="Y",'Daily Workforce'!$B121&lt;&gt;"",COUNTIF('Daily Schedule'!$F$5:$F27,'Daily Workforce'!$B121)=0,IF('Daily Schedule'!$A28=45,'Daily Workforce'!$J121="Y",IF(OR('Daily Schedule'!$A28=4,'Daily Schedule'!$A28=8),IF(OR(WEEKDAY('Daily Schedule'!$B$2,2)=1,WEEKDAY('Daily Schedule'!$B$2,2)=4,WEEKDAY('Daily Schedule'!$B$2,2)=5,WEEKDAY('Daily Schedule'!$B$2,2)=7),IFERROR(1*'Daily Workforce'!$K121&gt;=3,FALSE()),IFERROR(1*'Daily Workforce'!$K121&gt;=2,FALSE())),IF(AND('Daily Schedule'!$A28&gt;=46,'Daily Schedule'!$A28&lt;=52),'Daily Workforce'!$M121="Y",IFERROR(1*'Daily Workforce'!$P121&gt;=2,FALSE()))))),1,0)</f>
        <v>0</v>
      </c>
      <c r="EC24" s="1" t="n">
        <f aca="false">IF(AND('Daily Workforce'!$N122="Y",'Daily Workforce'!$B122&lt;&gt;"",COUNTIF('Daily Schedule'!$F$5:$F27,'Daily Workforce'!$B122)=0,IF('Daily Schedule'!$A28=45,'Daily Workforce'!$J122="Y",IF(OR('Daily Schedule'!$A28=4,'Daily Schedule'!$A28=8),IF(OR(WEEKDAY('Daily Schedule'!$B$2,2)=1,WEEKDAY('Daily Schedule'!$B$2,2)=4,WEEKDAY('Daily Schedule'!$B$2,2)=5,WEEKDAY('Daily Schedule'!$B$2,2)=7),IFERROR(1*'Daily Workforce'!$K122&gt;=3,FALSE()),IFERROR(1*'Daily Workforce'!$K122&gt;=2,FALSE())),IF(AND('Daily Schedule'!$A28&gt;=46,'Daily Schedule'!$A28&lt;=52),'Daily Workforce'!$M122="Y",IFERROR(1*'Daily Workforce'!$P122&gt;=2,FALSE()))))),1,0)</f>
        <v>0</v>
      </c>
      <c r="ED24" s="1" t="n">
        <f aca="false">IF(AND('Daily Workforce'!$N123="Y",'Daily Workforce'!$B123&lt;&gt;"",COUNTIF('Daily Schedule'!$F$5:$F27,'Daily Workforce'!$B123)=0,IF('Daily Schedule'!$A28=45,'Daily Workforce'!$J123="Y",IF(OR('Daily Schedule'!$A28=4,'Daily Schedule'!$A28=8),IF(OR(WEEKDAY('Daily Schedule'!$B$2,2)=1,WEEKDAY('Daily Schedule'!$B$2,2)=4,WEEKDAY('Daily Schedule'!$B$2,2)=5,WEEKDAY('Daily Schedule'!$B$2,2)=7),IFERROR(1*'Daily Workforce'!$K123&gt;=3,FALSE()),IFERROR(1*'Daily Workforce'!$K123&gt;=2,FALSE())),IF(AND('Daily Schedule'!$A28&gt;=46,'Daily Schedule'!$A28&lt;=52),'Daily Workforce'!$M123="Y",IFERROR(1*'Daily Workforce'!$P123&gt;=2,FALSE()))))),1,0)</f>
        <v>0</v>
      </c>
      <c r="EE24" s="1" t="n">
        <f aca="false">IF(AND('Daily Workforce'!$N124="Y",'Daily Workforce'!$B124&lt;&gt;"",COUNTIF('Daily Schedule'!$F$5:$F27,'Daily Workforce'!$B124)=0,IF('Daily Schedule'!$A28=45,'Daily Workforce'!$J124="Y",IF(OR('Daily Schedule'!$A28=4,'Daily Schedule'!$A28=8),IF(OR(WEEKDAY('Daily Schedule'!$B$2,2)=1,WEEKDAY('Daily Schedule'!$B$2,2)=4,WEEKDAY('Daily Schedule'!$B$2,2)=5,WEEKDAY('Daily Schedule'!$B$2,2)=7),IFERROR(1*'Daily Workforce'!$K124&gt;=3,FALSE()),IFERROR(1*'Daily Workforce'!$K124&gt;=2,FALSE())),IF(AND('Daily Schedule'!$A28&gt;=46,'Daily Schedule'!$A28&lt;=52),'Daily Workforce'!$M124="Y",IFERROR(1*'Daily Workforce'!$P124&gt;=2,FALSE()))))),1,0)</f>
        <v>0</v>
      </c>
      <c r="EF24" s="1" t="n">
        <f aca="false">IF(AND('Daily Workforce'!$N125="Y",'Daily Workforce'!$B125&lt;&gt;"",COUNTIF('Daily Schedule'!$F$5:$F27,'Daily Workforce'!$B125)=0,IF('Daily Schedule'!$A28=45,'Daily Workforce'!$J125="Y",IF(OR('Daily Schedule'!$A28=4,'Daily Schedule'!$A28=8),IF(OR(WEEKDAY('Daily Schedule'!$B$2,2)=1,WEEKDAY('Daily Schedule'!$B$2,2)=4,WEEKDAY('Daily Schedule'!$B$2,2)=5,WEEKDAY('Daily Schedule'!$B$2,2)=7),IFERROR(1*'Daily Workforce'!$K125&gt;=3,FALSE()),IFERROR(1*'Daily Workforce'!$K125&gt;=2,FALSE())),IF(AND('Daily Schedule'!$A28&gt;=46,'Daily Schedule'!$A28&lt;=52),'Daily Workforce'!$M125="Y",IFERROR(1*'Daily Workforce'!$P125&gt;=2,FALSE()))))),1,0)</f>
        <v>0</v>
      </c>
      <c r="EG24" s="1" t="n">
        <f aca="false">IF(AND('Daily Workforce'!$N126="Y",'Daily Workforce'!$B126&lt;&gt;"",COUNTIF('Daily Schedule'!$F$5:$F27,'Daily Workforce'!$B126)=0,IF('Daily Schedule'!$A28=45,'Daily Workforce'!$J126="Y",IF(OR('Daily Schedule'!$A28=4,'Daily Schedule'!$A28=8),IF(OR(WEEKDAY('Daily Schedule'!$B$2,2)=1,WEEKDAY('Daily Schedule'!$B$2,2)=4,WEEKDAY('Daily Schedule'!$B$2,2)=5,WEEKDAY('Daily Schedule'!$B$2,2)=7),IFERROR(1*'Daily Workforce'!$K126&gt;=3,FALSE()),IFERROR(1*'Daily Workforce'!$K126&gt;=2,FALSE())),IF(AND('Daily Schedule'!$A28&gt;=46,'Daily Schedule'!$A28&lt;=52),'Daily Workforce'!$M126="Y",IFERROR(1*'Daily Workforce'!$P126&gt;=2,FALSE()))))),1,0)</f>
        <v>0</v>
      </c>
      <c r="EH24" s="1" t="n">
        <f aca="false">IF(AND('Daily Workforce'!$N127="Y",'Daily Workforce'!$B127&lt;&gt;"",COUNTIF('Daily Schedule'!$F$5:$F27,'Daily Workforce'!$B127)=0,IF('Daily Schedule'!$A28=45,'Daily Workforce'!$J127="Y",IF(OR('Daily Schedule'!$A28=4,'Daily Schedule'!$A28=8),IF(OR(WEEKDAY('Daily Schedule'!$B$2,2)=1,WEEKDAY('Daily Schedule'!$B$2,2)=4,WEEKDAY('Daily Schedule'!$B$2,2)=5,WEEKDAY('Daily Schedule'!$B$2,2)=7),IFERROR(1*'Daily Workforce'!$K127&gt;=3,FALSE()),IFERROR(1*'Daily Workforce'!$K127&gt;=2,FALSE())),IF(AND('Daily Schedule'!$A28&gt;=46,'Daily Schedule'!$A28&lt;=52),'Daily Workforce'!$M127="Y",IFERROR(1*'Daily Workforce'!$P127&gt;=2,FALSE()))))),1,0)</f>
        <v>0</v>
      </c>
      <c r="EI24" s="1" t="n">
        <f aca="false">IF(AND('Daily Workforce'!$N128="Y",'Daily Workforce'!$B128&lt;&gt;"",COUNTIF('Daily Schedule'!$F$5:$F27,'Daily Workforce'!$B128)=0,IF('Daily Schedule'!$A28=45,'Daily Workforce'!$J128="Y",IF(OR('Daily Schedule'!$A28=4,'Daily Schedule'!$A28=8),IF(OR(WEEKDAY('Daily Schedule'!$B$2,2)=1,WEEKDAY('Daily Schedule'!$B$2,2)=4,WEEKDAY('Daily Schedule'!$B$2,2)=5,WEEKDAY('Daily Schedule'!$B$2,2)=7),IFERROR(1*'Daily Workforce'!$K128&gt;=3,FALSE()),IFERROR(1*'Daily Workforce'!$K128&gt;=2,FALSE())),IF(AND('Daily Schedule'!$A28&gt;=46,'Daily Schedule'!$A28&lt;=52),'Daily Workforce'!$M128="Y",IFERROR(1*'Daily Workforce'!$P128&gt;=2,FALSE()))))),1,0)</f>
        <v>0</v>
      </c>
      <c r="EJ24" s="1" t="n">
        <f aca="false">IF(AND('Daily Workforce'!$N129="Y",'Daily Workforce'!$B129&lt;&gt;"",COUNTIF('Daily Schedule'!$F$5:$F27,'Daily Workforce'!$B129)=0,IF('Daily Schedule'!$A28=45,'Daily Workforce'!$J129="Y",IF(OR('Daily Schedule'!$A28=4,'Daily Schedule'!$A28=8),IF(OR(WEEKDAY('Daily Schedule'!$B$2,2)=1,WEEKDAY('Daily Schedule'!$B$2,2)=4,WEEKDAY('Daily Schedule'!$B$2,2)=5,WEEKDAY('Daily Schedule'!$B$2,2)=7),IFERROR(1*'Daily Workforce'!$K129&gt;=3,FALSE()),IFERROR(1*'Daily Workforce'!$K129&gt;=2,FALSE())),IF(AND('Daily Schedule'!$A28&gt;=46,'Daily Schedule'!$A28&lt;=52),'Daily Workforce'!$M129="Y",IFERROR(1*'Daily Workforce'!$P129&gt;=2,FALSE()))))),1,0)</f>
        <v>0</v>
      </c>
      <c r="EK24" s="1" t="n">
        <f aca="false">IF(AND('Daily Workforce'!$N130="Y",'Daily Workforce'!$B130&lt;&gt;"",COUNTIF('Daily Schedule'!$F$5:$F27,'Daily Workforce'!$B130)=0,IF('Daily Schedule'!$A28=45,'Daily Workforce'!$J130="Y",IF(OR('Daily Schedule'!$A28=4,'Daily Schedule'!$A28=8),IF(OR(WEEKDAY('Daily Schedule'!$B$2,2)=1,WEEKDAY('Daily Schedule'!$B$2,2)=4,WEEKDAY('Daily Schedule'!$B$2,2)=5,WEEKDAY('Daily Schedule'!$B$2,2)=7),IFERROR(1*'Daily Workforce'!$K130&gt;=3,FALSE()),IFERROR(1*'Daily Workforce'!$K130&gt;=2,FALSE())),IF(AND('Daily Schedule'!$A28&gt;=46,'Daily Schedule'!$A28&lt;=52),'Daily Workforce'!$M130="Y",IFERROR(1*'Daily Workforce'!$P130&gt;=2,FALSE()))))),1,0)</f>
        <v>0</v>
      </c>
      <c r="EL24" s="1" t="n">
        <f aca="false">IF(AND('Daily Workforce'!$N131="Y",'Daily Workforce'!$B131&lt;&gt;"",COUNTIF('Daily Schedule'!$F$5:$F27,'Daily Workforce'!$B131)=0,IF('Daily Schedule'!$A28=45,'Daily Workforce'!$J131="Y",IF(OR('Daily Schedule'!$A28=4,'Daily Schedule'!$A28=8),IF(OR(WEEKDAY('Daily Schedule'!$B$2,2)=1,WEEKDAY('Daily Schedule'!$B$2,2)=4,WEEKDAY('Daily Schedule'!$B$2,2)=5,WEEKDAY('Daily Schedule'!$B$2,2)=7),IFERROR(1*'Daily Workforce'!$K131&gt;=3,FALSE()),IFERROR(1*'Daily Workforce'!$K131&gt;=2,FALSE())),IF(AND('Daily Schedule'!$A28&gt;=46,'Daily Schedule'!$A28&lt;=52),'Daily Workforce'!$M131="Y",IFERROR(1*'Daily Workforce'!$P131&gt;=2,FALSE()))))),1,0)</f>
        <v>0</v>
      </c>
      <c r="EM24" s="1" t="n">
        <f aca="false">IF(AND('Daily Workforce'!$N132="Y",'Daily Workforce'!$B132&lt;&gt;"",COUNTIF('Daily Schedule'!$F$5:$F27,'Daily Workforce'!$B132)=0,IF('Daily Schedule'!$A28=45,'Daily Workforce'!$J132="Y",IF(OR('Daily Schedule'!$A28=4,'Daily Schedule'!$A28=8),IF(OR(WEEKDAY('Daily Schedule'!$B$2,2)=1,WEEKDAY('Daily Schedule'!$B$2,2)=4,WEEKDAY('Daily Schedule'!$B$2,2)=5,WEEKDAY('Daily Schedule'!$B$2,2)=7),IFERROR(1*'Daily Workforce'!$K132&gt;=3,FALSE()),IFERROR(1*'Daily Workforce'!$K132&gt;=2,FALSE())),IF(AND('Daily Schedule'!$A28&gt;=46,'Daily Schedule'!$A28&lt;=52),'Daily Workforce'!$M132="Y",IFERROR(1*'Daily Workforce'!$P132&gt;=2,FALSE()))))),1,0)</f>
        <v>0</v>
      </c>
      <c r="EN24" s="1" t="n">
        <f aca="false">IF(AND('Daily Workforce'!$N133="Y",'Daily Workforce'!$B133&lt;&gt;"",COUNTIF('Daily Schedule'!$F$5:$F27,'Daily Workforce'!$B133)=0,IF('Daily Schedule'!$A28=45,'Daily Workforce'!$J133="Y",IF(OR('Daily Schedule'!$A28=4,'Daily Schedule'!$A28=8),IF(OR(WEEKDAY('Daily Schedule'!$B$2,2)=1,WEEKDAY('Daily Schedule'!$B$2,2)=4,WEEKDAY('Daily Schedule'!$B$2,2)=5,WEEKDAY('Daily Schedule'!$B$2,2)=7),IFERROR(1*'Daily Workforce'!$K133&gt;=3,FALSE()),IFERROR(1*'Daily Workforce'!$K133&gt;=2,FALSE())),IF(AND('Daily Schedule'!$A28&gt;=46,'Daily Schedule'!$A28&lt;=52),'Daily Workforce'!$M133="Y",IFERROR(1*'Daily Workforce'!$P133&gt;=2,FALSE()))))),1,0)</f>
        <v>0</v>
      </c>
      <c r="EO24" s="1" t="n">
        <f aca="false">IF(AND('Daily Workforce'!$N134="Y",'Daily Workforce'!$B134&lt;&gt;"",COUNTIF('Daily Schedule'!$F$5:$F27,'Daily Workforce'!$B134)=0,IF('Daily Schedule'!$A28=45,'Daily Workforce'!$J134="Y",IF(OR('Daily Schedule'!$A28=4,'Daily Schedule'!$A28=8),IF(OR(WEEKDAY('Daily Schedule'!$B$2,2)=1,WEEKDAY('Daily Schedule'!$B$2,2)=4,WEEKDAY('Daily Schedule'!$B$2,2)=5,WEEKDAY('Daily Schedule'!$B$2,2)=7),IFERROR(1*'Daily Workforce'!$K134&gt;=3,FALSE()),IFERROR(1*'Daily Workforce'!$K134&gt;=2,FALSE())),IF(AND('Daily Schedule'!$A28&gt;=46,'Daily Schedule'!$A28&lt;=52),'Daily Workforce'!$M134="Y",IFERROR(1*'Daily Workforce'!$P134&gt;=2,FALSE()))))),1,0)</f>
        <v>0</v>
      </c>
      <c r="EP24" s="1" t="n">
        <f aca="false">IF(AND('Daily Workforce'!$N135="Y",'Daily Workforce'!$B135&lt;&gt;"",COUNTIF('Daily Schedule'!$F$5:$F27,'Daily Workforce'!$B135)=0,IF('Daily Schedule'!$A28=45,'Daily Workforce'!$J135="Y",IF(OR('Daily Schedule'!$A28=4,'Daily Schedule'!$A28=8),IF(OR(WEEKDAY('Daily Schedule'!$B$2,2)=1,WEEKDAY('Daily Schedule'!$B$2,2)=4,WEEKDAY('Daily Schedule'!$B$2,2)=5,WEEKDAY('Daily Schedule'!$B$2,2)=7),IFERROR(1*'Daily Workforce'!$K135&gt;=3,FALSE()),IFERROR(1*'Daily Workforce'!$K135&gt;=2,FALSE())),IF(AND('Daily Schedule'!$A28&gt;=46,'Daily Schedule'!$A28&lt;=52),'Daily Workforce'!$M135="Y",IFERROR(1*'Daily Workforce'!$P135&gt;=2,FALSE()))))),1,0)</f>
        <v>0</v>
      </c>
      <c r="EQ24" s="1" t="n">
        <f aca="false">IF(AND('Daily Workforce'!$N136="Y",'Daily Workforce'!$B136&lt;&gt;"",COUNTIF('Daily Schedule'!$F$5:$F27,'Daily Workforce'!$B136)=0,IF('Daily Schedule'!$A28=45,'Daily Workforce'!$J136="Y",IF(OR('Daily Schedule'!$A28=4,'Daily Schedule'!$A28=8),IF(OR(WEEKDAY('Daily Schedule'!$B$2,2)=1,WEEKDAY('Daily Schedule'!$B$2,2)=4,WEEKDAY('Daily Schedule'!$B$2,2)=5,WEEKDAY('Daily Schedule'!$B$2,2)=7),IFERROR(1*'Daily Workforce'!$K136&gt;=3,FALSE()),IFERROR(1*'Daily Workforce'!$K136&gt;=2,FALSE())),IF(AND('Daily Schedule'!$A28&gt;=46,'Daily Schedule'!$A28&lt;=52),'Daily Workforce'!$M136="Y",IFERROR(1*'Daily Workforce'!$P136&gt;=2,FALSE()))))),1,0)</f>
        <v>0</v>
      </c>
      <c r="ER24" s="1" t="n">
        <f aca="false">IF(AND('Daily Workforce'!$N137="Y",'Daily Workforce'!$B137&lt;&gt;"",COUNTIF('Daily Schedule'!$F$5:$F27,'Daily Workforce'!$B137)=0,IF('Daily Schedule'!$A28=45,'Daily Workforce'!$J137="Y",IF(OR('Daily Schedule'!$A28=4,'Daily Schedule'!$A28=8),IF(OR(WEEKDAY('Daily Schedule'!$B$2,2)=1,WEEKDAY('Daily Schedule'!$B$2,2)=4,WEEKDAY('Daily Schedule'!$B$2,2)=5,WEEKDAY('Daily Schedule'!$B$2,2)=7),IFERROR(1*'Daily Workforce'!$K137&gt;=3,FALSE()),IFERROR(1*'Daily Workforce'!$K137&gt;=2,FALSE())),IF(AND('Daily Schedule'!$A28&gt;=46,'Daily Schedule'!$A28&lt;=52),'Daily Workforce'!$M137="Y",IFERROR(1*'Daily Workforce'!$P137&gt;=2,FALSE()))))),1,0)</f>
        <v>0</v>
      </c>
      <c r="ES24" s="1" t="n">
        <f aca="false">IF(AND('Daily Workforce'!$N138="Y",'Daily Workforce'!$B138&lt;&gt;"",COUNTIF('Daily Schedule'!$F$5:$F27,'Daily Workforce'!$B138)=0,IF('Daily Schedule'!$A28=45,'Daily Workforce'!$J138="Y",IF(OR('Daily Schedule'!$A28=4,'Daily Schedule'!$A28=8),IF(OR(WEEKDAY('Daily Schedule'!$B$2,2)=1,WEEKDAY('Daily Schedule'!$B$2,2)=4,WEEKDAY('Daily Schedule'!$B$2,2)=5,WEEKDAY('Daily Schedule'!$B$2,2)=7),IFERROR(1*'Daily Workforce'!$K138&gt;=3,FALSE()),IFERROR(1*'Daily Workforce'!$K138&gt;=2,FALSE())),IF(AND('Daily Schedule'!$A28&gt;=46,'Daily Schedule'!$A28&lt;=52),'Daily Workforce'!$M138="Y",IFERROR(1*'Daily Workforce'!$P138&gt;=2,FALSE()))))),1,0)</f>
        <v>0</v>
      </c>
      <c r="ET24" s="1" t="n">
        <f aca="false">IF(AND('Daily Workforce'!$N139="Y",'Daily Workforce'!$B139&lt;&gt;"",COUNTIF('Daily Schedule'!$F$5:$F27,'Daily Workforce'!$B139)=0,IF('Daily Schedule'!$A28=45,'Daily Workforce'!$J139="Y",IF(OR('Daily Schedule'!$A28=4,'Daily Schedule'!$A28=8),IF(OR(WEEKDAY('Daily Schedule'!$B$2,2)=1,WEEKDAY('Daily Schedule'!$B$2,2)=4,WEEKDAY('Daily Schedule'!$B$2,2)=5,WEEKDAY('Daily Schedule'!$B$2,2)=7),IFERROR(1*'Daily Workforce'!$K139&gt;=3,FALSE()),IFERROR(1*'Daily Workforce'!$K139&gt;=2,FALSE())),IF(AND('Daily Schedule'!$A28&gt;=46,'Daily Schedule'!$A28&lt;=52),'Daily Workforce'!$M139="Y",IFERROR(1*'Daily Workforce'!$P139&gt;=2,FALSE()))))),1,0)</f>
        <v>0</v>
      </c>
      <c r="EU24" s="1" t="n">
        <f aca="false">IF(AND('Daily Workforce'!$N140="Y",'Daily Workforce'!$B140&lt;&gt;"",COUNTIF('Daily Schedule'!$F$5:$F27,'Daily Workforce'!$B140)=0,IF('Daily Schedule'!$A28=45,'Daily Workforce'!$J140="Y",IF(OR('Daily Schedule'!$A28=4,'Daily Schedule'!$A28=8),IF(OR(WEEKDAY('Daily Schedule'!$B$2,2)=1,WEEKDAY('Daily Schedule'!$B$2,2)=4,WEEKDAY('Daily Schedule'!$B$2,2)=5,WEEKDAY('Daily Schedule'!$B$2,2)=7),IFERROR(1*'Daily Workforce'!$K140&gt;=3,FALSE()),IFERROR(1*'Daily Workforce'!$K140&gt;=2,FALSE())),IF(AND('Daily Schedule'!$A28&gt;=46,'Daily Schedule'!$A28&lt;=52),'Daily Workforce'!$M140="Y",IFERROR(1*'Daily Workforce'!$P140&gt;=2,FALSE()))))),1,0)</f>
        <v>0</v>
      </c>
      <c r="EV24" s="1" t="n">
        <f aca="false">IF(AND('Daily Workforce'!$N141="Y",'Daily Workforce'!$B141&lt;&gt;"",COUNTIF('Daily Schedule'!$F$5:$F27,'Daily Workforce'!$B141)=0,IF('Daily Schedule'!$A28=45,'Daily Workforce'!$J141="Y",IF(OR('Daily Schedule'!$A28=4,'Daily Schedule'!$A28=8),IF(OR(WEEKDAY('Daily Schedule'!$B$2,2)=1,WEEKDAY('Daily Schedule'!$B$2,2)=4,WEEKDAY('Daily Schedule'!$B$2,2)=5,WEEKDAY('Daily Schedule'!$B$2,2)=7),IFERROR(1*'Daily Workforce'!$K141&gt;=3,FALSE()),IFERROR(1*'Daily Workforce'!$K141&gt;=2,FALSE())),IF(AND('Daily Schedule'!$A28&gt;=46,'Daily Schedule'!$A28&lt;=52),'Daily Workforce'!$M141="Y",IFERROR(1*'Daily Workforce'!$P141&gt;=2,FALSE()))))),1,0)</f>
        <v>0</v>
      </c>
      <c r="EW24" s="1" t="n">
        <f aca="false">IF(AND('Daily Workforce'!$N142="Y",'Daily Workforce'!$B142&lt;&gt;"",COUNTIF('Daily Schedule'!$F$5:$F27,'Daily Workforce'!$B142)=0,IF('Daily Schedule'!$A28=45,'Daily Workforce'!$J142="Y",IF(OR('Daily Schedule'!$A28=4,'Daily Schedule'!$A28=8),IF(OR(WEEKDAY('Daily Schedule'!$B$2,2)=1,WEEKDAY('Daily Schedule'!$B$2,2)=4,WEEKDAY('Daily Schedule'!$B$2,2)=5,WEEKDAY('Daily Schedule'!$B$2,2)=7),IFERROR(1*'Daily Workforce'!$K142&gt;=3,FALSE()),IFERROR(1*'Daily Workforce'!$K142&gt;=2,FALSE())),IF(AND('Daily Schedule'!$A28&gt;=46,'Daily Schedule'!$A28&lt;=52),'Daily Workforce'!$M142="Y",IFERROR(1*'Daily Workforce'!$P142&gt;=2,FALSE()))))),1,0)</f>
        <v>0</v>
      </c>
      <c r="EX24" s="1" t="n">
        <f aca="false">IF(AND('Daily Workforce'!$N143="Y",'Daily Workforce'!$B143&lt;&gt;"",COUNTIF('Daily Schedule'!$F$5:$F27,'Daily Workforce'!$B143)=0,IF('Daily Schedule'!$A28=45,'Daily Workforce'!$J143="Y",IF(OR('Daily Schedule'!$A28=4,'Daily Schedule'!$A28=8),IF(OR(WEEKDAY('Daily Schedule'!$B$2,2)=1,WEEKDAY('Daily Schedule'!$B$2,2)=4,WEEKDAY('Daily Schedule'!$B$2,2)=5,WEEKDAY('Daily Schedule'!$B$2,2)=7),IFERROR(1*'Daily Workforce'!$K143&gt;=3,FALSE()),IFERROR(1*'Daily Workforce'!$K143&gt;=2,FALSE())),IF(AND('Daily Schedule'!$A28&gt;=46,'Daily Schedule'!$A28&lt;=52),'Daily Workforce'!$M143="Y",IFERROR(1*'Daily Workforce'!$P143&gt;=2,FALSE()))))),1,0)</f>
        <v>0</v>
      </c>
      <c r="EY24" s="1" t="n">
        <f aca="false">IF(AND('Daily Workforce'!$N144="Y",'Daily Workforce'!$B144&lt;&gt;"",COUNTIF('Daily Schedule'!$F$5:$F27,'Daily Workforce'!$B144)=0,IF('Daily Schedule'!$A28=45,'Daily Workforce'!$J144="Y",IF(OR('Daily Schedule'!$A28=4,'Daily Schedule'!$A28=8),IF(OR(WEEKDAY('Daily Schedule'!$B$2,2)=1,WEEKDAY('Daily Schedule'!$B$2,2)=4,WEEKDAY('Daily Schedule'!$B$2,2)=5,WEEKDAY('Daily Schedule'!$B$2,2)=7),IFERROR(1*'Daily Workforce'!$K144&gt;=3,FALSE()),IFERROR(1*'Daily Workforce'!$K144&gt;=2,FALSE())),IF(AND('Daily Schedule'!$A28&gt;=46,'Daily Schedule'!$A28&lt;=52),'Daily Workforce'!$M144="Y",IFERROR(1*'Daily Workforce'!$P144&gt;=2,FALSE()))))),1,0)</f>
        <v>0</v>
      </c>
      <c r="EZ24" s="1" t="n">
        <f aca="false">IF(AND('Daily Workforce'!$N145="Y",'Daily Workforce'!$B145&lt;&gt;"",COUNTIF('Daily Schedule'!$F$5:$F27,'Daily Workforce'!$B145)=0,IF('Daily Schedule'!$A28=45,'Daily Workforce'!$J145="Y",IF(OR('Daily Schedule'!$A28=4,'Daily Schedule'!$A28=8),IF(OR(WEEKDAY('Daily Schedule'!$B$2,2)=1,WEEKDAY('Daily Schedule'!$B$2,2)=4,WEEKDAY('Daily Schedule'!$B$2,2)=5,WEEKDAY('Daily Schedule'!$B$2,2)=7),IFERROR(1*'Daily Workforce'!$K145&gt;=3,FALSE()),IFERROR(1*'Daily Workforce'!$K145&gt;=2,FALSE())),IF(AND('Daily Schedule'!$A28&gt;=46,'Daily Schedule'!$A28&lt;=52),'Daily Workforce'!$M145="Y",IFERROR(1*'Daily Workforce'!$P145&gt;=2,FALSE()))))),1,0)</f>
        <v>0</v>
      </c>
      <c r="FA24" s="1" t="n">
        <f aca="false">IF(AND('Daily Workforce'!$N146="Y",'Daily Workforce'!$B146&lt;&gt;"",COUNTIF('Daily Schedule'!$F$5:$F27,'Daily Workforce'!$B146)=0,IF('Daily Schedule'!$A28=45,'Daily Workforce'!$J146="Y",IF(OR('Daily Schedule'!$A28=4,'Daily Schedule'!$A28=8),IF(OR(WEEKDAY('Daily Schedule'!$B$2,2)=1,WEEKDAY('Daily Schedule'!$B$2,2)=4,WEEKDAY('Daily Schedule'!$B$2,2)=5,WEEKDAY('Daily Schedule'!$B$2,2)=7),IFERROR(1*'Daily Workforce'!$K146&gt;=3,FALSE()),IFERROR(1*'Daily Workforce'!$K146&gt;=2,FALSE())),IF(AND('Daily Schedule'!$A28&gt;=46,'Daily Schedule'!$A28&lt;=52),'Daily Workforce'!$M146="Y",IFERROR(1*'Daily Workforce'!$P146&gt;=2,FALSE()))))),1,0)</f>
        <v>0</v>
      </c>
      <c r="FB24" s="1" t="n">
        <f aca="false">IF(AND('Daily Workforce'!$N147="Y",'Daily Workforce'!$B147&lt;&gt;"",COUNTIF('Daily Schedule'!$F$5:$F27,'Daily Workforce'!$B147)=0,IF('Daily Schedule'!$A28=45,'Daily Workforce'!$J147="Y",IF(OR('Daily Schedule'!$A28=4,'Daily Schedule'!$A28=8),IF(OR(WEEKDAY('Daily Schedule'!$B$2,2)=1,WEEKDAY('Daily Schedule'!$B$2,2)=4,WEEKDAY('Daily Schedule'!$B$2,2)=5,WEEKDAY('Daily Schedule'!$B$2,2)=7),IFERROR(1*'Daily Workforce'!$K147&gt;=3,FALSE()),IFERROR(1*'Daily Workforce'!$K147&gt;=2,FALSE())),IF(AND('Daily Schedule'!$A28&gt;=46,'Daily Schedule'!$A28&lt;=52),'Daily Workforce'!$M147="Y",IFERROR(1*'Daily Workforce'!$P147&gt;=2,FALSE()))))),1,0)</f>
        <v>0</v>
      </c>
      <c r="FC24" s="1" t="n">
        <f aca="false">IF(AND('Daily Workforce'!$N148="Y",'Daily Workforce'!$B148&lt;&gt;"",COUNTIF('Daily Schedule'!$F$5:$F27,'Daily Workforce'!$B148)=0,IF('Daily Schedule'!$A28=45,'Daily Workforce'!$J148="Y",IF(OR('Daily Schedule'!$A28=4,'Daily Schedule'!$A28=8),IF(OR(WEEKDAY('Daily Schedule'!$B$2,2)=1,WEEKDAY('Daily Schedule'!$B$2,2)=4,WEEKDAY('Daily Schedule'!$B$2,2)=5,WEEKDAY('Daily Schedule'!$B$2,2)=7),IFERROR(1*'Daily Workforce'!$K148&gt;=3,FALSE()),IFERROR(1*'Daily Workforce'!$K148&gt;=2,FALSE())),IF(AND('Daily Schedule'!$A28&gt;=46,'Daily Schedule'!$A28&lt;=52),'Daily Workforce'!$M148="Y",IFERROR(1*'Daily Workforce'!$P148&gt;=2,FALSE()))))),1,0)</f>
        <v>0</v>
      </c>
      <c r="FD24" s="1" t="n">
        <f aca="false">IF(AND('Daily Workforce'!$N149="Y",'Daily Workforce'!$B149&lt;&gt;"",COUNTIF('Daily Schedule'!$F$5:$F27,'Daily Workforce'!$B149)=0,IF('Daily Schedule'!$A28=45,'Daily Workforce'!$J149="Y",IF(OR('Daily Schedule'!$A28=4,'Daily Schedule'!$A28=8),IF(OR(WEEKDAY('Daily Schedule'!$B$2,2)=1,WEEKDAY('Daily Schedule'!$B$2,2)=4,WEEKDAY('Daily Schedule'!$B$2,2)=5,WEEKDAY('Daily Schedule'!$B$2,2)=7),IFERROR(1*'Daily Workforce'!$K149&gt;=3,FALSE()),IFERROR(1*'Daily Workforce'!$K149&gt;=2,FALSE())),IF(AND('Daily Schedule'!$A28&gt;=46,'Daily Schedule'!$A28&lt;=52),'Daily Workforce'!$M149="Y",IFERROR(1*'Daily Workforce'!$P149&gt;=2,FALSE()))))),1,0)</f>
        <v>0</v>
      </c>
      <c r="FE24" s="1" t="n">
        <f aca="false">IF(AND('Daily Workforce'!$N150="Y",'Daily Workforce'!$B150&lt;&gt;"",COUNTIF('Daily Schedule'!$F$5:$F27,'Daily Workforce'!$B150)=0,IF('Daily Schedule'!$A28=45,'Daily Workforce'!$J150="Y",IF(OR('Daily Schedule'!$A28=4,'Daily Schedule'!$A28=8),IF(OR(WEEKDAY('Daily Schedule'!$B$2,2)=1,WEEKDAY('Daily Schedule'!$B$2,2)=4,WEEKDAY('Daily Schedule'!$B$2,2)=5,WEEKDAY('Daily Schedule'!$B$2,2)=7),IFERROR(1*'Daily Workforce'!$K150&gt;=3,FALSE()),IFERROR(1*'Daily Workforce'!$K150&gt;=2,FALSE())),IF(AND('Daily Schedule'!$A28&gt;=46,'Daily Schedule'!$A28&lt;=52),'Daily Workforce'!$M150="Y",IFERROR(1*'Daily Workforce'!$P150&gt;=2,FALSE()))))),1,0)</f>
        <v>0</v>
      </c>
      <c r="FF24" s="1" t="n">
        <f aca="false">IF(AND('Daily Workforce'!$N151="Y",'Daily Workforce'!$B151&lt;&gt;"",COUNTIF('Daily Schedule'!$F$5:$F27,'Daily Workforce'!$B151)=0,IF('Daily Schedule'!$A28=45,'Daily Workforce'!$J151="Y",IF(OR('Daily Schedule'!$A28=4,'Daily Schedule'!$A28=8),IF(OR(WEEKDAY('Daily Schedule'!$B$2,2)=1,WEEKDAY('Daily Schedule'!$B$2,2)=4,WEEKDAY('Daily Schedule'!$B$2,2)=5,WEEKDAY('Daily Schedule'!$B$2,2)=7),IFERROR(1*'Daily Workforce'!$K151&gt;=3,FALSE()),IFERROR(1*'Daily Workforce'!$K151&gt;=2,FALSE())),IF(AND('Daily Schedule'!$A28&gt;=46,'Daily Schedule'!$A28&lt;=52),'Daily Workforce'!$M151="Y",IFERROR(1*'Daily Workforce'!$P151&gt;=2,FALSE()))))),1,0)</f>
        <v>0</v>
      </c>
      <c r="FG24" s="1" t="n">
        <f aca="false">IF(AND('Daily Workforce'!$N152="Y",'Daily Workforce'!$B152&lt;&gt;"",COUNTIF('Daily Schedule'!$F$5:$F27,'Daily Workforce'!$B152)=0,IF('Daily Schedule'!$A28=45,'Daily Workforce'!$J152="Y",IF(OR('Daily Schedule'!$A28=4,'Daily Schedule'!$A28=8),IF(OR(WEEKDAY('Daily Schedule'!$B$2,2)=1,WEEKDAY('Daily Schedule'!$B$2,2)=4,WEEKDAY('Daily Schedule'!$B$2,2)=5,WEEKDAY('Daily Schedule'!$B$2,2)=7),IFERROR(1*'Daily Workforce'!$K152&gt;=3,FALSE()),IFERROR(1*'Daily Workforce'!$K152&gt;=2,FALSE())),IF(AND('Daily Schedule'!$A28&gt;=46,'Daily Schedule'!$A28&lt;=52),'Daily Workforce'!$M152="Y",IFERROR(1*'Daily Workforce'!$P152&gt;=2,FALSE()))))),1,0)</f>
        <v>0</v>
      </c>
      <c r="FH24" s="1" t="n">
        <f aca="false">IF(AND('Daily Workforce'!$N153="Y",'Daily Workforce'!$B153&lt;&gt;"",COUNTIF('Daily Schedule'!$F$5:$F27,'Daily Workforce'!$B153)=0,IF('Daily Schedule'!$A28=45,'Daily Workforce'!$J153="Y",IF(OR('Daily Schedule'!$A28=4,'Daily Schedule'!$A28=8),IF(OR(WEEKDAY('Daily Schedule'!$B$2,2)=1,WEEKDAY('Daily Schedule'!$B$2,2)=4,WEEKDAY('Daily Schedule'!$B$2,2)=5,WEEKDAY('Daily Schedule'!$B$2,2)=7),IFERROR(1*'Daily Workforce'!$K153&gt;=3,FALSE()),IFERROR(1*'Daily Workforce'!$K153&gt;=2,FALSE())),IF(AND('Daily Schedule'!$A28&gt;=46,'Daily Schedule'!$A28&lt;=52),'Daily Workforce'!$M153="Y",IFERROR(1*'Daily Workforce'!$P153&gt;=2,FALSE()))))),1,0)</f>
        <v>0</v>
      </c>
      <c r="FI24" s="1" t="n">
        <f aca="false">IF(AND('Daily Workforce'!$N154="Y",'Daily Workforce'!$B154&lt;&gt;"",COUNTIF('Daily Schedule'!$F$5:$F27,'Daily Workforce'!$B154)=0,IF('Daily Schedule'!$A28=45,'Daily Workforce'!$J154="Y",IF(OR('Daily Schedule'!$A28=4,'Daily Schedule'!$A28=8),IF(OR(WEEKDAY('Daily Schedule'!$B$2,2)=1,WEEKDAY('Daily Schedule'!$B$2,2)=4,WEEKDAY('Daily Schedule'!$B$2,2)=5,WEEKDAY('Daily Schedule'!$B$2,2)=7),IFERROR(1*'Daily Workforce'!$K154&gt;=3,FALSE()),IFERROR(1*'Daily Workforce'!$K154&gt;=2,FALSE())),IF(AND('Daily Schedule'!$A28&gt;=46,'Daily Schedule'!$A28&lt;=52),'Daily Workforce'!$M154="Y",IFERROR(1*'Daily Workforce'!$P154&gt;=2,FALSE()))))),1,0)</f>
        <v>0</v>
      </c>
      <c r="FJ24" s="1" t="n">
        <f aca="false">IF(AND('Daily Workforce'!$N155="Y",'Daily Workforce'!$B155&lt;&gt;"",COUNTIF('Daily Schedule'!$F$5:$F27,'Daily Workforce'!$B155)=0,IF('Daily Schedule'!$A28=45,'Daily Workforce'!$J155="Y",IF(OR('Daily Schedule'!$A28=4,'Daily Schedule'!$A28=8),IF(OR(WEEKDAY('Daily Schedule'!$B$2,2)=1,WEEKDAY('Daily Schedule'!$B$2,2)=4,WEEKDAY('Daily Schedule'!$B$2,2)=5,WEEKDAY('Daily Schedule'!$B$2,2)=7),IFERROR(1*'Daily Workforce'!$K155&gt;=3,FALSE()),IFERROR(1*'Daily Workforce'!$K155&gt;=2,FALSE())),IF(AND('Daily Schedule'!$A28&gt;=46,'Daily Schedule'!$A28&lt;=52),'Daily Workforce'!$M155="Y",IFERROR(1*'Daily Workforce'!$P155&gt;=2,FALSE()))))),1,0)</f>
        <v>0</v>
      </c>
      <c r="FK24" s="1" t="n">
        <f aca="false">IF(AND('Daily Workforce'!$N156="Y",'Daily Workforce'!$B156&lt;&gt;"",COUNTIF('Daily Schedule'!$F$5:$F27,'Daily Workforce'!$B156)=0,IF('Daily Schedule'!$A28=45,'Daily Workforce'!$J156="Y",IF(OR('Daily Schedule'!$A28=4,'Daily Schedule'!$A28=8),IF(OR(WEEKDAY('Daily Schedule'!$B$2,2)=1,WEEKDAY('Daily Schedule'!$B$2,2)=4,WEEKDAY('Daily Schedule'!$B$2,2)=5,WEEKDAY('Daily Schedule'!$B$2,2)=7),IFERROR(1*'Daily Workforce'!$K156&gt;=3,FALSE()),IFERROR(1*'Daily Workforce'!$K156&gt;=2,FALSE())),IF(AND('Daily Schedule'!$A28&gt;=46,'Daily Schedule'!$A28&lt;=52),'Daily Workforce'!$M156="Y",IFERROR(1*'Daily Workforce'!$P156&gt;=2,FALSE()))))),1,0)</f>
        <v>0</v>
      </c>
      <c r="FL24" s="1" t="n">
        <f aca="false">IF(AND('Daily Workforce'!$N157="Y",'Daily Workforce'!$B157&lt;&gt;"",COUNTIF('Daily Schedule'!$F$5:$F27,'Daily Workforce'!$B157)=0,IF('Daily Schedule'!$A28=45,'Daily Workforce'!$J157="Y",IF(OR('Daily Schedule'!$A28=4,'Daily Schedule'!$A28=8),IF(OR(WEEKDAY('Daily Schedule'!$B$2,2)=1,WEEKDAY('Daily Schedule'!$B$2,2)=4,WEEKDAY('Daily Schedule'!$B$2,2)=5,WEEKDAY('Daily Schedule'!$B$2,2)=7),IFERROR(1*'Daily Workforce'!$K157&gt;=3,FALSE()),IFERROR(1*'Daily Workforce'!$K157&gt;=2,FALSE())),IF(AND('Daily Schedule'!$A28&gt;=46,'Daily Schedule'!$A28&lt;=52),'Daily Workforce'!$M157="Y",IFERROR(1*'Daily Workforce'!$P157&gt;=2,FALSE()))))),1,0)</f>
        <v>0</v>
      </c>
      <c r="FM24" s="1" t="n">
        <f aca="false">IF(AND('Daily Workforce'!$N158="Y",'Daily Workforce'!$B158&lt;&gt;"",COUNTIF('Daily Schedule'!$F$5:$F27,'Daily Workforce'!$B158)=0,IF('Daily Schedule'!$A28=45,'Daily Workforce'!$J158="Y",IF(OR('Daily Schedule'!$A28=4,'Daily Schedule'!$A28=8),IF(OR(WEEKDAY('Daily Schedule'!$B$2,2)=1,WEEKDAY('Daily Schedule'!$B$2,2)=4,WEEKDAY('Daily Schedule'!$B$2,2)=5,WEEKDAY('Daily Schedule'!$B$2,2)=7),IFERROR(1*'Daily Workforce'!$K158&gt;=3,FALSE()),IFERROR(1*'Daily Workforce'!$K158&gt;=2,FALSE())),IF(AND('Daily Schedule'!$A28&gt;=46,'Daily Schedule'!$A28&lt;=52),'Daily Workforce'!$M158="Y",IFERROR(1*'Daily Workforce'!$P158&gt;=2,FALSE()))))),1,0)</f>
        <v>0</v>
      </c>
      <c r="FN24" s="1" t="n">
        <f aca="false">IF(AND('Daily Workforce'!$N159="Y",'Daily Workforce'!$B159&lt;&gt;"",COUNTIF('Daily Schedule'!$F$5:$F27,'Daily Workforce'!$B159)=0,IF('Daily Schedule'!$A28=45,'Daily Workforce'!$J159="Y",IF(OR('Daily Schedule'!$A28=4,'Daily Schedule'!$A28=8),IF(OR(WEEKDAY('Daily Schedule'!$B$2,2)=1,WEEKDAY('Daily Schedule'!$B$2,2)=4,WEEKDAY('Daily Schedule'!$B$2,2)=5,WEEKDAY('Daily Schedule'!$B$2,2)=7),IFERROR(1*'Daily Workforce'!$K159&gt;=3,FALSE()),IFERROR(1*'Daily Workforce'!$K159&gt;=2,FALSE())),IF(AND('Daily Schedule'!$A28&gt;=46,'Daily Schedule'!$A28&lt;=52),'Daily Workforce'!$M159="Y",IFERROR(1*'Daily Workforce'!$P159&gt;=2,FALSE()))))),1,0)</f>
        <v>0</v>
      </c>
      <c r="FO24" s="1" t="n">
        <f aca="false">IF(AND('Daily Workforce'!$N160="Y",'Daily Workforce'!$B160&lt;&gt;"",COUNTIF('Daily Schedule'!$F$5:$F27,'Daily Workforce'!$B160)=0,IF('Daily Schedule'!$A28=45,'Daily Workforce'!$J160="Y",IF(OR('Daily Schedule'!$A28=4,'Daily Schedule'!$A28=8),IF(OR(WEEKDAY('Daily Schedule'!$B$2,2)=1,WEEKDAY('Daily Schedule'!$B$2,2)=4,WEEKDAY('Daily Schedule'!$B$2,2)=5,WEEKDAY('Daily Schedule'!$B$2,2)=7),IFERROR(1*'Daily Workforce'!$K160&gt;=3,FALSE()),IFERROR(1*'Daily Workforce'!$K160&gt;=2,FALSE())),IF(AND('Daily Schedule'!$A28&gt;=46,'Daily Schedule'!$A28&lt;=52),'Daily Workforce'!$M160="Y",IFERROR(1*'Daily Workforce'!$P160&gt;=2,FALSE()))))),1,0)</f>
        <v>0</v>
      </c>
      <c r="FP24" s="1" t="n">
        <f aca="false">IF(AND('Daily Workforce'!$N161="Y",'Daily Workforce'!$B161&lt;&gt;"",COUNTIF('Daily Schedule'!$F$5:$F27,'Daily Workforce'!$B161)=0,IF('Daily Schedule'!$A28=45,'Daily Workforce'!$J161="Y",IF(OR('Daily Schedule'!$A28=4,'Daily Schedule'!$A28=8),IF(OR(WEEKDAY('Daily Schedule'!$B$2,2)=1,WEEKDAY('Daily Schedule'!$B$2,2)=4,WEEKDAY('Daily Schedule'!$B$2,2)=5,WEEKDAY('Daily Schedule'!$B$2,2)=7),IFERROR(1*'Daily Workforce'!$K161&gt;=3,FALSE()),IFERROR(1*'Daily Workforce'!$K161&gt;=2,FALSE())),IF(AND('Daily Schedule'!$A28&gt;=46,'Daily Schedule'!$A28&lt;=52),'Daily Workforce'!$M161="Y",IFERROR(1*'Daily Workforce'!$P161&gt;=2,FALSE()))))),1,0)</f>
        <v>0</v>
      </c>
      <c r="FQ24" s="1" t="n">
        <f aca="false">IF(AND('Daily Workforce'!$N162="Y",'Daily Workforce'!$B162&lt;&gt;"",COUNTIF('Daily Schedule'!$F$5:$F27,'Daily Workforce'!$B162)=0,IF('Daily Schedule'!$A28=45,'Daily Workforce'!$J162="Y",IF(OR('Daily Schedule'!$A28=4,'Daily Schedule'!$A28=8),IF(OR(WEEKDAY('Daily Schedule'!$B$2,2)=1,WEEKDAY('Daily Schedule'!$B$2,2)=4,WEEKDAY('Daily Schedule'!$B$2,2)=5,WEEKDAY('Daily Schedule'!$B$2,2)=7),IFERROR(1*'Daily Workforce'!$K162&gt;=3,FALSE()),IFERROR(1*'Daily Workforce'!$K162&gt;=2,FALSE())),IF(AND('Daily Schedule'!$A28&gt;=46,'Daily Schedule'!$A28&lt;=52),'Daily Workforce'!$M162="Y",IFERROR(1*'Daily Workforce'!$P162&gt;=2,FALSE()))))),1,0)</f>
        <v>0</v>
      </c>
      <c r="FR24" s="1" t="n">
        <f aca="false">IF(AND('Daily Workforce'!$N163="Y",'Daily Workforce'!$B163&lt;&gt;"",COUNTIF('Daily Schedule'!$F$5:$F27,'Daily Workforce'!$B163)=0,IF('Daily Schedule'!$A28=45,'Daily Workforce'!$J163="Y",IF(OR('Daily Schedule'!$A28=4,'Daily Schedule'!$A28=8),IF(OR(WEEKDAY('Daily Schedule'!$B$2,2)=1,WEEKDAY('Daily Schedule'!$B$2,2)=4,WEEKDAY('Daily Schedule'!$B$2,2)=5,WEEKDAY('Daily Schedule'!$B$2,2)=7),IFERROR(1*'Daily Workforce'!$K163&gt;=3,FALSE()),IFERROR(1*'Daily Workforce'!$K163&gt;=2,FALSE())),IF(AND('Daily Schedule'!$A28&gt;=46,'Daily Schedule'!$A28&lt;=52),'Daily Workforce'!$M163="Y",IFERROR(1*'Daily Workforce'!$P163&gt;=2,FALSE()))))),1,0)</f>
        <v>0</v>
      </c>
      <c r="FS24" s="1" t="n">
        <f aca="false">IF(AND('Daily Workforce'!$N164="Y",'Daily Workforce'!$B164&lt;&gt;"",COUNTIF('Daily Schedule'!$F$5:$F27,'Daily Workforce'!$B164)=0,IF('Daily Schedule'!$A28=45,'Daily Workforce'!$J164="Y",IF(OR('Daily Schedule'!$A28=4,'Daily Schedule'!$A28=8),IF(OR(WEEKDAY('Daily Schedule'!$B$2,2)=1,WEEKDAY('Daily Schedule'!$B$2,2)=4,WEEKDAY('Daily Schedule'!$B$2,2)=5,WEEKDAY('Daily Schedule'!$B$2,2)=7),IFERROR(1*'Daily Workforce'!$K164&gt;=3,FALSE()),IFERROR(1*'Daily Workforce'!$K164&gt;=2,FALSE())),IF(AND('Daily Schedule'!$A28&gt;=46,'Daily Schedule'!$A28&lt;=52),'Daily Workforce'!$M164="Y",IFERROR(1*'Daily Workforce'!$P164&gt;=2,FALSE()))))),1,0)</f>
        <v>0</v>
      </c>
      <c r="FT24" s="1" t="n">
        <f aca="false">IF(AND('Daily Workforce'!$N165="Y",'Daily Workforce'!$B165&lt;&gt;"",COUNTIF('Daily Schedule'!$F$5:$F27,'Daily Workforce'!$B165)=0,IF('Daily Schedule'!$A28=45,'Daily Workforce'!$J165="Y",IF(OR('Daily Schedule'!$A28=4,'Daily Schedule'!$A28=8),IF(OR(WEEKDAY('Daily Schedule'!$B$2,2)=1,WEEKDAY('Daily Schedule'!$B$2,2)=4,WEEKDAY('Daily Schedule'!$B$2,2)=5,WEEKDAY('Daily Schedule'!$B$2,2)=7),IFERROR(1*'Daily Workforce'!$K165&gt;=3,FALSE()),IFERROR(1*'Daily Workforce'!$K165&gt;=2,FALSE())),IF(AND('Daily Schedule'!$A28&gt;=46,'Daily Schedule'!$A28&lt;=52),'Daily Workforce'!$M165="Y",IFERROR(1*'Daily Workforce'!$P165&gt;=2,FALSE()))))),1,0)</f>
        <v>0</v>
      </c>
      <c r="FU24" s="1" t="n">
        <f aca="false">IF(AND('Daily Workforce'!$N166="Y",'Daily Workforce'!$B166&lt;&gt;"",COUNTIF('Daily Schedule'!$F$5:$F27,'Daily Workforce'!$B166)=0,IF('Daily Schedule'!$A28=45,'Daily Workforce'!$J166="Y",IF(OR('Daily Schedule'!$A28=4,'Daily Schedule'!$A28=8),IF(OR(WEEKDAY('Daily Schedule'!$B$2,2)=1,WEEKDAY('Daily Schedule'!$B$2,2)=4,WEEKDAY('Daily Schedule'!$B$2,2)=5,WEEKDAY('Daily Schedule'!$B$2,2)=7),IFERROR(1*'Daily Workforce'!$K166&gt;=3,FALSE()),IFERROR(1*'Daily Workforce'!$K166&gt;=2,FALSE())),IF(AND('Daily Schedule'!$A28&gt;=46,'Daily Schedule'!$A28&lt;=52),'Daily Workforce'!$M166="Y",IFERROR(1*'Daily Workforce'!$P166&gt;=2,FALSE()))))),1,0)</f>
        <v>0</v>
      </c>
      <c r="FV24" s="1" t="n">
        <f aca="false">IF(AND('Daily Workforce'!$N167="Y",'Daily Workforce'!$B167&lt;&gt;"",COUNTIF('Daily Schedule'!$F$5:$F27,'Daily Workforce'!$B167)=0,IF('Daily Schedule'!$A28=45,'Daily Workforce'!$J167="Y",IF(OR('Daily Schedule'!$A28=4,'Daily Schedule'!$A28=8),IF(OR(WEEKDAY('Daily Schedule'!$B$2,2)=1,WEEKDAY('Daily Schedule'!$B$2,2)=4,WEEKDAY('Daily Schedule'!$B$2,2)=5,WEEKDAY('Daily Schedule'!$B$2,2)=7),IFERROR(1*'Daily Workforce'!$K167&gt;=3,FALSE()),IFERROR(1*'Daily Workforce'!$K167&gt;=2,FALSE())),IF(AND('Daily Schedule'!$A28&gt;=46,'Daily Schedule'!$A28&lt;=52),'Daily Workforce'!$M167="Y",IFERROR(1*'Daily Workforce'!$P167&gt;=2,FALSE()))))),1,0)</f>
        <v>0</v>
      </c>
      <c r="FW24" s="1" t="n">
        <f aca="false">IF(AND('Daily Workforce'!$N168="Y",'Daily Workforce'!$B168&lt;&gt;"",COUNTIF('Daily Schedule'!$F$5:$F27,'Daily Workforce'!$B168)=0,IF('Daily Schedule'!$A28=45,'Daily Workforce'!$J168="Y",IF(OR('Daily Schedule'!$A28=4,'Daily Schedule'!$A28=8),IF(OR(WEEKDAY('Daily Schedule'!$B$2,2)=1,WEEKDAY('Daily Schedule'!$B$2,2)=4,WEEKDAY('Daily Schedule'!$B$2,2)=5,WEEKDAY('Daily Schedule'!$B$2,2)=7),IFERROR(1*'Daily Workforce'!$K168&gt;=3,FALSE()),IFERROR(1*'Daily Workforce'!$K168&gt;=2,FALSE())),IF(AND('Daily Schedule'!$A28&gt;=46,'Daily Schedule'!$A28&lt;=52),'Daily Workforce'!$M168="Y",IFERROR(1*'Daily Workforce'!$P168&gt;=2,FALSE()))))),1,0)</f>
        <v>0</v>
      </c>
      <c r="FX24" s="1" t="n">
        <f aca="false">IF(AND('Daily Workforce'!$N169="Y",'Daily Workforce'!$B169&lt;&gt;"",COUNTIF('Daily Schedule'!$F$5:$F27,'Daily Workforce'!$B169)=0,IF('Daily Schedule'!$A28=45,'Daily Workforce'!$J169="Y",IF(OR('Daily Schedule'!$A28=4,'Daily Schedule'!$A28=8),IF(OR(WEEKDAY('Daily Schedule'!$B$2,2)=1,WEEKDAY('Daily Schedule'!$B$2,2)=4,WEEKDAY('Daily Schedule'!$B$2,2)=5,WEEKDAY('Daily Schedule'!$B$2,2)=7),IFERROR(1*'Daily Workforce'!$K169&gt;=3,FALSE()),IFERROR(1*'Daily Workforce'!$K169&gt;=2,FALSE())),IF(AND('Daily Schedule'!$A28&gt;=46,'Daily Schedule'!$A28&lt;=52),'Daily Workforce'!$M169="Y",IFERROR(1*'Daily Workforce'!$P169&gt;=2,FALSE()))))),1,0)</f>
        <v>0</v>
      </c>
      <c r="FY24" s="1" t="n">
        <f aca="false">IF(AND('Daily Workforce'!$N170="Y",'Daily Workforce'!$B170&lt;&gt;"",COUNTIF('Daily Schedule'!$F$5:$F27,'Daily Workforce'!$B170)=0,IF('Daily Schedule'!$A28=45,'Daily Workforce'!$J170="Y",IF(OR('Daily Schedule'!$A28=4,'Daily Schedule'!$A28=8),IF(OR(WEEKDAY('Daily Schedule'!$B$2,2)=1,WEEKDAY('Daily Schedule'!$B$2,2)=4,WEEKDAY('Daily Schedule'!$B$2,2)=5,WEEKDAY('Daily Schedule'!$B$2,2)=7),IFERROR(1*'Daily Workforce'!$K170&gt;=3,FALSE()),IFERROR(1*'Daily Workforce'!$K170&gt;=2,FALSE())),IF(AND('Daily Schedule'!$A28&gt;=46,'Daily Schedule'!$A28&lt;=52),'Daily Workforce'!$M170="Y",IFERROR(1*'Daily Workforce'!$P170&gt;=2,FALSE()))))),1,0)</f>
        <v>0</v>
      </c>
      <c r="FZ24" s="1" t="n">
        <f aca="false">IF(AND('Daily Workforce'!$N171="Y",'Daily Workforce'!$B171&lt;&gt;"",COUNTIF('Daily Schedule'!$F$5:$F27,'Daily Workforce'!$B171)=0,IF('Daily Schedule'!$A28=45,'Daily Workforce'!$J171="Y",IF(OR('Daily Schedule'!$A28=4,'Daily Schedule'!$A28=8),IF(OR(WEEKDAY('Daily Schedule'!$B$2,2)=1,WEEKDAY('Daily Schedule'!$B$2,2)=4,WEEKDAY('Daily Schedule'!$B$2,2)=5,WEEKDAY('Daily Schedule'!$B$2,2)=7),IFERROR(1*'Daily Workforce'!$K171&gt;=3,FALSE()),IFERROR(1*'Daily Workforce'!$K171&gt;=2,FALSE())),IF(AND('Daily Schedule'!$A28&gt;=46,'Daily Schedule'!$A28&lt;=52),'Daily Workforce'!$M171="Y",IFERROR(1*'Daily Workforce'!$P171&gt;=2,FALSE()))))),1,0)</f>
        <v>0</v>
      </c>
      <c r="GA24" s="1" t="n">
        <f aca="false">IF(AND('Daily Workforce'!$N172="Y",'Daily Workforce'!$B172&lt;&gt;"",COUNTIF('Daily Schedule'!$F$5:$F27,'Daily Workforce'!$B172)=0,IF('Daily Schedule'!$A28=45,'Daily Workforce'!$J172="Y",IF(OR('Daily Schedule'!$A28=4,'Daily Schedule'!$A28=8),IF(OR(WEEKDAY('Daily Schedule'!$B$2,2)=1,WEEKDAY('Daily Schedule'!$B$2,2)=4,WEEKDAY('Daily Schedule'!$B$2,2)=5,WEEKDAY('Daily Schedule'!$B$2,2)=7),IFERROR(1*'Daily Workforce'!$K172&gt;=3,FALSE()),IFERROR(1*'Daily Workforce'!$K172&gt;=2,FALSE())),IF(AND('Daily Schedule'!$A28&gt;=46,'Daily Schedule'!$A28&lt;=52),'Daily Workforce'!$M172="Y",IFERROR(1*'Daily Workforce'!$P172&gt;=2,FALSE()))))),1,0)</f>
        <v>0</v>
      </c>
      <c r="GB24" s="1" t="n">
        <f aca="false">IF(AND('Daily Workforce'!$N173="Y",'Daily Workforce'!$B173&lt;&gt;"",COUNTIF('Daily Schedule'!$F$5:$F27,'Daily Workforce'!$B173)=0,IF('Daily Schedule'!$A28=45,'Daily Workforce'!$J173="Y",IF(OR('Daily Schedule'!$A28=4,'Daily Schedule'!$A28=8),IF(OR(WEEKDAY('Daily Schedule'!$B$2,2)=1,WEEKDAY('Daily Schedule'!$B$2,2)=4,WEEKDAY('Daily Schedule'!$B$2,2)=5,WEEKDAY('Daily Schedule'!$B$2,2)=7),IFERROR(1*'Daily Workforce'!$K173&gt;=3,FALSE()),IFERROR(1*'Daily Workforce'!$K173&gt;=2,FALSE())),IF(AND('Daily Schedule'!$A28&gt;=46,'Daily Schedule'!$A28&lt;=52),'Daily Workforce'!$M173="Y",IFERROR(1*'Daily Workforce'!$P173&gt;=2,FALSE()))))),1,0)</f>
        <v>0</v>
      </c>
      <c r="GC24" s="1" t="n">
        <f aca="false">IF(AND('Daily Workforce'!$N174="Y",'Daily Workforce'!$B174&lt;&gt;"",COUNTIF('Daily Schedule'!$F$5:$F27,'Daily Workforce'!$B174)=0,IF('Daily Schedule'!$A28=45,'Daily Workforce'!$J174="Y",IF(OR('Daily Schedule'!$A28=4,'Daily Schedule'!$A28=8),IF(OR(WEEKDAY('Daily Schedule'!$B$2,2)=1,WEEKDAY('Daily Schedule'!$B$2,2)=4,WEEKDAY('Daily Schedule'!$B$2,2)=5,WEEKDAY('Daily Schedule'!$B$2,2)=7),IFERROR(1*'Daily Workforce'!$K174&gt;=3,FALSE()),IFERROR(1*'Daily Workforce'!$K174&gt;=2,FALSE())),IF(AND('Daily Schedule'!$A28&gt;=46,'Daily Schedule'!$A28&lt;=52),'Daily Workforce'!$M174="Y",IFERROR(1*'Daily Workforce'!$P174&gt;=2,FALSE()))))),1,0)</f>
        <v>0</v>
      </c>
      <c r="GD24" s="1" t="n">
        <f aca="false">IF(AND('Daily Workforce'!$N175="Y",'Daily Workforce'!$B175&lt;&gt;"",COUNTIF('Daily Schedule'!$F$5:$F27,'Daily Workforce'!$B175)=0,IF('Daily Schedule'!$A28=45,'Daily Workforce'!$J175="Y",IF(OR('Daily Schedule'!$A28=4,'Daily Schedule'!$A28=8),IF(OR(WEEKDAY('Daily Schedule'!$B$2,2)=1,WEEKDAY('Daily Schedule'!$B$2,2)=4,WEEKDAY('Daily Schedule'!$B$2,2)=5,WEEKDAY('Daily Schedule'!$B$2,2)=7),IFERROR(1*'Daily Workforce'!$K175&gt;=3,FALSE()),IFERROR(1*'Daily Workforce'!$K175&gt;=2,FALSE())),IF(AND('Daily Schedule'!$A28&gt;=46,'Daily Schedule'!$A28&lt;=52),'Daily Workforce'!$M175="Y",IFERROR(1*'Daily Workforce'!$P175&gt;=2,FALSE()))))),1,0)</f>
        <v>0</v>
      </c>
      <c r="GE24" s="1" t="n">
        <f aca="false">IF(AND('Daily Workforce'!$N176="Y",'Daily Workforce'!$B176&lt;&gt;"",COUNTIF('Daily Schedule'!$F$5:$F27,'Daily Workforce'!$B176)=0,IF('Daily Schedule'!$A28=45,'Daily Workforce'!$J176="Y",IF(OR('Daily Schedule'!$A28=4,'Daily Schedule'!$A28=8),IF(OR(WEEKDAY('Daily Schedule'!$B$2,2)=1,WEEKDAY('Daily Schedule'!$B$2,2)=4,WEEKDAY('Daily Schedule'!$B$2,2)=5,WEEKDAY('Daily Schedule'!$B$2,2)=7),IFERROR(1*'Daily Workforce'!$K176&gt;=3,FALSE()),IFERROR(1*'Daily Workforce'!$K176&gt;=2,FALSE())),IF(AND('Daily Schedule'!$A28&gt;=46,'Daily Schedule'!$A28&lt;=52),'Daily Workforce'!$M176="Y",IFERROR(1*'Daily Workforce'!$P176&gt;=2,FALSE()))))),1,0)</f>
        <v>0</v>
      </c>
      <c r="GF24" s="1" t="n">
        <f aca="false">IF(AND('Daily Workforce'!$N177="Y",'Daily Workforce'!$B177&lt;&gt;"",COUNTIF('Daily Schedule'!$F$5:$F27,'Daily Workforce'!$B177)=0,IF('Daily Schedule'!$A28=45,'Daily Workforce'!$J177="Y",IF(OR('Daily Schedule'!$A28=4,'Daily Schedule'!$A28=8),IF(OR(WEEKDAY('Daily Schedule'!$B$2,2)=1,WEEKDAY('Daily Schedule'!$B$2,2)=4,WEEKDAY('Daily Schedule'!$B$2,2)=5,WEEKDAY('Daily Schedule'!$B$2,2)=7),IFERROR(1*'Daily Workforce'!$K177&gt;=3,FALSE()),IFERROR(1*'Daily Workforce'!$K177&gt;=2,FALSE())),IF(AND('Daily Schedule'!$A28&gt;=46,'Daily Schedule'!$A28&lt;=52),'Daily Workforce'!$M177="Y",IFERROR(1*'Daily Workforce'!$P177&gt;=2,FALSE()))))),1,0)</f>
        <v>0</v>
      </c>
      <c r="GG24" s="1" t="n">
        <f aca="false">IF(AND('Daily Workforce'!$N178="Y",'Daily Workforce'!$B178&lt;&gt;"",COUNTIF('Daily Schedule'!$F$5:$F27,'Daily Workforce'!$B178)=0,IF('Daily Schedule'!$A28=45,'Daily Workforce'!$J178="Y",IF(OR('Daily Schedule'!$A28=4,'Daily Schedule'!$A28=8),IF(OR(WEEKDAY('Daily Schedule'!$B$2,2)=1,WEEKDAY('Daily Schedule'!$B$2,2)=4,WEEKDAY('Daily Schedule'!$B$2,2)=5,WEEKDAY('Daily Schedule'!$B$2,2)=7),IFERROR(1*'Daily Workforce'!$K178&gt;=3,FALSE()),IFERROR(1*'Daily Workforce'!$K178&gt;=2,FALSE())),IF(AND('Daily Schedule'!$A28&gt;=46,'Daily Schedule'!$A28&lt;=52),'Daily Workforce'!$M178="Y",IFERROR(1*'Daily Workforce'!$P178&gt;=2,FALSE()))))),1,0)</f>
        <v>0</v>
      </c>
      <c r="GH24" s="1" t="n">
        <f aca="false">IF(AND('Daily Workforce'!$N179="Y",'Daily Workforce'!$B179&lt;&gt;"",COUNTIF('Daily Schedule'!$F$5:$F27,'Daily Workforce'!$B179)=0,IF('Daily Schedule'!$A28=45,'Daily Workforce'!$J179="Y",IF(OR('Daily Schedule'!$A28=4,'Daily Schedule'!$A28=8),IF(OR(WEEKDAY('Daily Schedule'!$B$2,2)=1,WEEKDAY('Daily Schedule'!$B$2,2)=4,WEEKDAY('Daily Schedule'!$B$2,2)=5,WEEKDAY('Daily Schedule'!$B$2,2)=7),IFERROR(1*'Daily Workforce'!$K179&gt;=3,FALSE()),IFERROR(1*'Daily Workforce'!$K179&gt;=2,FALSE())),IF(AND('Daily Schedule'!$A28&gt;=46,'Daily Schedule'!$A28&lt;=52),'Daily Workforce'!$M179="Y",IFERROR(1*'Daily Workforce'!$P179&gt;=2,FALSE()))))),1,0)</f>
        <v>0</v>
      </c>
      <c r="GI24" s="1" t="n">
        <f aca="false">IF(AND('Daily Workforce'!$N180="Y",'Daily Workforce'!$B180&lt;&gt;"",COUNTIF('Daily Schedule'!$F$5:$F27,'Daily Workforce'!$B180)=0,IF('Daily Schedule'!$A28=45,'Daily Workforce'!$J180="Y",IF(OR('Daily Schedule'!$A28=4,'Daily Schedule'!$A28=8),IF(OR(WEEKDAY('Daily Schedule'!$B$2,2)=1,WEEKDAY('Daily Schedule'!$B$2,2)=4,WEEKDAY('Daily Schedule'!$B$2,2)=5,WEEKDAY('Daily Schedule'!$B$2,2)=7),IFERROR(1*'Daily Workforce'!$K180&gt;=3,FALSE()),IFERROR(1*'Daily Workforce'!$K180&gt;=2,FALSE())),IF(AND('Daily Schedule'!$A28&gt;=46,'Daily Schedule'!$A28&lt;=52),'Daily Workforce'!$M180="Y",IFERROR(1*'Daily Workforce'!$P180&gt;=2,FALSE()))))),1,0)</f>
        <v>0</v>
      </c>
      <c r="GJ24" s="1" t="n">
        <f aca="false">IF(AND('Daily Workforce'!$N181="Y",'Daily Workforce'!$B181&lt;&gt;"",COUNTIF('Daily Schedule'!$F$5:$F27,'Daily Workforce'!$B181)=0,IF('Daily Schedule'!$A28=45,'Daily Workforce'!$J181="Y",IF(OR('Daily Schedule'!$A28=4,'Daily Schedule'!$A28=8),IF(OR(WEEKDAY('Daily Schedule'!$B$2,2)=1,WEEKDAY('Daily Schedule'!$B$2,2)=4,WEEKDAY('Daily Schedule'!$B$2,2)=5,WEEKDAY('Daily Schedule'!$B$2,2)=7),IFERROR(1*'Daily Workforce'!$K181&gt;=3,FALSE()),IFERROR(1*'Daily Workforce'!$K181&gt;=2,FALSE())),IF(AND('Daily Schedule'!$A28&gt;=46,'Daily Schedule'!$A28&lt;=52),'Daily Workforce'!$M181="Y",IFERROR(1*'Daily Workforce'!$P181&gt;=2,FALSE()))))),1,0)</f>
        <v>0</v>
      </c>
      <c r="GK24" s="1" t="n">
        <f aca="false">IF(AND('Daily Workforce'!$N182="Y",'Daily Workforce'!$B182&lt;&gt;"",COUNTIF('Daily Schedule'!$F$5:$F27,'Daily Workforce'!$B182)=0,IF('Daily Schedule'!$A28=45,'Daily Workforce'!$J182="Y",IF(OR('Daily Schedule'!$A28=4,'Daily Schedule'!$A28=8),IF(OR(WEEKDAY('Daily Schedule'!$B$2,2)=1,WEEKDAY('Daily Schedule'!$B$2,2)=4,WEEKDAY('Daily Schedule'!$B$2,2)=5,WEEKDAY('Daily Schedule'!$B$2,2)=7),IFERROR(1*'Daily Workforce'!$K182&gt;=3,FALSE()),IFERROR(1*'Daily Workforce'!$K182&gt;=2,FALSE())),IF(AND('Daily Schedule'!$A28&gt;=46,'Daily Schedule'!$A28&lt;=52),'Daily Workforce'!$M182="Y",IFERROR(1*'Daily Workforce'!$P182&gt;=2,FALSE()))))),1,0)</f>
        <v>0</v>
      </c>
      <c r="GL24" s="1" t="n">
        <f aca="false">IF(AND('Daily Workforce'!$N183="Y",'Daily Workforce'!$B183&lt;&gt;"",COUNTIF('Daily Schedule'!$F$5:$F27,'Daily Workforce'!$B183)=0,IF('Daily Schedule'!$A28=45,'Daily Workforce'!$J183="Y",IF(OR('Daily Schedule'!$A28=4,'Daily Schedule'!$A28=8),IF(OR(WEEKDAY('Daily Schedule'!$B$2,2)=1,WEEKDAY('Daily Schedule'!$B$2,2)=4,WEEKDAY('Daily Schedule'!$B$2,2)=5,WEEKDAY('Daily Schedule'!$B$2,2)=7),IFERROR(1*'Daily Workforce'!$K183&gt;=3,FALSE()),IFERROR(1*'Daily Workforce'!$K183&gt;=2,FALSE())),IF(AND('Daily Schedule'!$A28&gt;=46,'Daily Schedule'!$A28&lt;=52),'Daily Workforce'!$M183="Y",IFERROR(1*'Daily Workforce'!$P183&gt;=2,FALSE()))))),1,0)</f>
        <v>0</v>
      </c>
      <c r="GM24" s="1" t="n">
        <f aca="false">IF(AND('Daily Workforce'!$N184="Y",'Daily Workforce'!$B184&lt;&gt;"",COUNTIF('Daily Schedule'!$F$5:$F27,'Daily Workforce'!$B184)=0,IF('Daily Schedule'!$A28=45,'Daily Workforce'!$J184="Y",IF(OR('Daily Schedule'!$A28=4,'Daily Schedule'!$A28=8),IF(OR(WEEKDAY('Daily Schedule'!$B$2,2)=1,WEEKDAY('Daily Schedule'!$B$2,2)=4,WEEKDAY('Daily Schedule'!$B$2,2)=5,WEEKDAY('Daily Schedule'!$B$2,2)=7),IFERROR(1*'Daily Workforce'!$K184&gt;=3,FALSE()),IFERROR(1*'Daily Workforce'!$K184&gt;=2,FALSE())),IF(AND('Daily Schedule'!$A28&gt;=46,'Daily Schedule'!$A28&lt;=52),'Daily Workforce'!$M184="Y",IFERROR(1*'Daily Workforce'!$P184&gt;=2,FALSE()))))),1,0)</f>
        <v>0</v>
      </c>
      <c r="GN24" s="1" t="n">
        <f aca="false">IF(AND('Daily Workforce'!$N185="Y",'Daily Workforce'!$B185&lt;&gt;"",COUNTIF('Daily Schedule'!$F$5:$F27,'Daily Workforce'!$B185)=0,IF('Daily Schedule'!$A28=45,'Daily Workforce'!$J185="Y",IF(OR('Daily Schedule'!$A28=4,'Daily Schedule'!$A28=8),IF(OR(WEEKDAY('Daily Schedule'!$B$2,2)=1,WEEKDAY('Daily Schedule'!$B$2,2)=4,WEEKDAY('Daily Schedule'!$B$2,2)=5,WEEKDAY('Daily Schedule'!$B$2,2)=7),IFERROR(1*'Daily Workforce'!$K185&gt;=3,FALSE()),IFERROR(1*'Daily Workforce'!$K185&gt;=2,FALSE())),IF(AND('Daily Schedule'!$A28&gt;=46,'Daily Schedule'!$A28&lt;=52),'Daily Workforce'!$M185="Y",IFERROR(1*'Daily Workforce'!$P185&gt;=2,FALSE()))))),1,0)</f>
        <v>0</v>
      </c>
      <c r="GO24" s="1" t="n">
        <f aca="false">IF(AND('Daily Workforce'!$N186="Y",'Daily Workforce'!$B186&lt;&gt;"",COUNTIF('Daily Schedule'!$F$5:$F27,'Daily Workforce'!$B186)=0,IF('Daily Schedule'!$A28=45,'Daily Workforce'!$J186="Y",IF(OR('Daily Schedule'!$A28=4,'Daily Schedule'!$A28=8),IF(OR(WEEKDAY('Daily Schedule'!$B$2,2)=1,WEEKDAY('Daily Schedule'!$B$2,2)=4,WEEKDAY('Daily Schedule'!$B$2,2)=5,WEEKDAY('Daily Schedule'!$B$2,2)=7),IFERROR(1*'Daily Workforce'!$K186&gt;=3,FALSE()),IFERROR(1*'Daily Workforce'!$K186&gt;=2,FALSE())),IF(AND('Daily Schedule'!$A28&gt;=46,'Daily Schedule'!$A28&lt;=52),'Daily Workforce'!$M186="Y",IFERROR(1*'Daily Workforce'!$P186&gt;=2,FALSE()))))),1,0)</f>
        <v>0</v>
      </c>
      <c r="GP24" s="1" t="n">
        <f aca="false">IF(AND('Daily Workforce'!$N187="Y",'Daily Workforce'!$B187&lt;&gt;"",COUNTIF('Daily Schedule'!$F$5:$F27,'Daily Workforce'!$B187)=0,IF('Daily Schedule'!$A28=45,'Daily Workforce'!$J187="Y",IF(OR('Daily Schedule'!$A28=4,'Daily Schedule'!$A28=8),IF(OR(WEEKDAY('Daily Schedule'!$B$2,2)=1,WEEKDAY('Daily Schedule'!$B$2,2)=4,WEEKDAY('Daily Schedule'!$B$2,2)=5,WEEKDAY('Daily Schedule'!$B$2,2)=7),IFERROR(1*'Daily Workforce'!$K187&gt;=3,FALSE()),IFERROR(1*'Daily Workforce'!$K187&gt;=2,FALSE())),IF(AND('Daily Schedule'!$A28&gt;=46,'Daily Schedule'!$A28&lt;=52),'Daily Workforce'!$M187="Y",IFERROR(1*'Daily Workforce'!$P187&gt;=2,FALSE()))))),1,0)</f>
        <v>0</v>
      </c>
      <c r="GQ24" s="1" t="n">
        <f aca="false">IF(AND('Daily Workforce'!$N188="Y",'Daily Workforce'!$B188&lt;&gt;"",COUNTIF('Daily Schedule'!$F$5:$F27,'Daily Workforce'!$B188)=0,IF('Daily Schedule'!$A28=45,'Daily Workforce'!$J188="Y",IF(OR('Daily Schedule'!$A28=4,'Daily Schedule'!$A28=8),IF(OR(WEEKDAY('Daily Schedule'!$B$2,2)=1,WEEKDAY('Daily Schedule'!$B$2,2)=4,WEEKDAY('Daily Schedule'!$B$2,2)=5,WEEKDAY('Daily Schedule'!$B$2,2)=7),IFERROR(1*'Daily Workforce'!$K188&gt;=3,FALSE()),IFERROR(1*'Daily Workforce'!$K188&gt;=2,FALSE())),IF(AND('Daily Schedule'!$A28&gt;=46,'Daily Schedule'!$A28&lt;=52),'Daily Workforce'!$M188="Y",IFERROR(1*'Daily Workforce'!$P188&gt;=2,FALSE()))))),1,0)</f>
        <v>0</v>
      </c>
      <c r="GR24" s="1" t="n">
        <f aca="false">IF(AND('Daily Workforce'!$N189="Y",'Daily Workforce'!$B189&lt;&gt;"",COUNTIF('Daily Schedule'!$F$5:$F27,'Daily Workforce'!$B189)=0,IF('Daily Schedule'!$A28=45,'Daily Workforce'!$J189="Y",IF(OR('Daily Schedule'!$A28=4,'Daily Schedule'!$A28=8),IF(OR(WEEKDAY('Daily Schedule'!$B$2,2)=1,WEEKDAY('Daily Schedule'!$B$2,2)=4,WEEKDAY('Daily Schedule'!$B$2,2)=5,WEEKDAY('Daily Schedule'!$B$2,2)=7),IFERROR(1*'Daily Workforce'!$K189&gt;=3,FALSE()),IFERROR(1*'Daily Workforce'!$K189&gt;=2,FALSE())),IF(AND('Daily Schedule'!$A28&gt;=46,'Daily Schedule'!$A28&lt;=52),'Daily Workforce'!$M189="Y",IFERROR(1*'Daily Workforce'!$P189&gt;=2,FALSE()))))),1,0)</f>
        <v>0</v>
      </c>
      <c r="GS24" s="1" t="n">
        <f aca="false">IF(AND('Daily Workforce'!$N190="Y",'Daily Workforce'!$B190&lt;&gt;"",COUNTIF('Daily Schedule'!$F$5:$F27,'Daily Workforce'!$B190)=0,IF('Daily Schedule'!$A28=45,'Daily Workforce'!$J190="Y",IF(OR('Daily Schedule'!$A28=4,'Daily Schedule'!$A28=8),IF(OR(WEEKDAY('Daily Schedule'!$B$2,2)=1,WEEKDAY('Daily Schedule'!$B$2,2)=4,WEEKDAY('Daily Schedule'!$B$2,2)=5,WEEKDAY('Daily Schedule'!$B$2,2)=7),IFERROR(1*'Daily Workforce'!$K190&gt;=3,FALSE()),IFERROR(1*'Daily Workforce'!$K190&gt;=2,FALSE())),IF(AND('Daily Schedule'!$A28&gt;=46,'Daily Schedule'!$A28&lt;=52),'Daily Workforce'!$M190="Y",IFERROR(1*'Daily Workforce'!$P190&gt;=2,FALSE()))))),1,0)</f>
        <v>0</v>
      </c>
      <c r="GT24" s="1" t="n">
        <f aca="false">IF(AND('Daily Workforce'!$N191="Y",'Daily Workforce'!$B191&lt;&gt;"",COUNTIF('Daily Schedule'!$F$5:$F27,'Daily Workforce'!$B191)=0,IF('Daily Schedule'!$A28=45,'Daily Workforce'!$J191="Y",IF(OR('Daily Schedule'!$A28=4,'Daily Schedule'!$A28=8),IF(OR(WEEKDAY('Daily Schedule'!$B$2,2)=1,WEEKDAY('Daily Schedule'!$B$2,2)=4,WEEKDAY('Daily Schedule'!$B$2,2)=5,WEEKDAY('Daily Schedule'!$B$2,2)=7),IFERROR(1*'Daily Workforce'!$K191&gt;=3,FALSE()),IFERROR(1*'Daily Workforce'!$K191&gt;=2,FALSE())),IF(AND('Daily Schedule'!$A28&gt;=46,'Daily Schedule'!$A28&lt;=52),'Daily Workforce'!$M191="Y",IFERROR(1*'Daily Workforce'!$P191&gt;=2,FALSE()))))),1,0)</f>
        <v>0</v>
      </c>
      <c r="GU24" s="1" t="n">
        <f aca="false">IF(AND('Daily Workforce'!$N192="Y",'Daily Workforce'!$B192&lt;&gt;"",COUNTIF('Daily Schedule'!$F$5:$F27,'Daily Workforce'!$B192)=0,IF('Daily Schedule'!$A28=45,'Daily Workforce'!$J192="Y",IF(OR('Daily Schedule'!$A28=4,'Daily Schedule'!$A28=8),IF(OR(WEEKDAY('Daily Schedule'!$B$2,2)=1,WEEKDAY('Daily Schedule'!$B$2,2)=4,WEEKDAY('Daily Schedule'!$B$2,2)=5,WEEKDAY('Daily Schedule'!$B$2,2)=7),IFERROR(1*'Daily Workforce'!$K192&gt;=3,FALSE()),IFERROR(1*'Daily Workforce'!$K192&gt;=2,FALSE())),IF(AND('Daily Schedule'!$A28&gt;=46,'Daily Schedule'!$A28&lt;=52),'Daily Workforce'!$M192="Y",IFERROR(1*'Daily Workforce'!$P192&gt;=2,FALSE()))))),1,0)</f>
        <v>0</v>
      </c>
      <c r="GV24" s="1" t="n">
        <f aca="false">IF(AND('Daily Workforce'!$N193="Y",'Daily Workforce'!$B193&lt;&gt;"",COUNTIF('Daily Schedule'!$F$5:$F27,'Daily Workforce'!$B193)=0,IF('Daily Schedule'!$A28=45,'Daily Workforce'!$J193="Y",IF(OR('Daily Schedule'!$A28=4,'Daily Schedule'!$A28=8),IF(OR(WEEKDAY('Daily Schedule'!$B$2,2)=1,WEEKDAY('Daily Schedule'!$B$2,2)=4,WEEKDAY('Daily Schedule'!$B$2,2)=5,WEEKDAY('Daily Schedule'!$B$2,2)=7),IFERROR(1*'Daily Workforce'!$K193&gt;=3,FALSE()),IFERROR(1*'Daily Workforce'!$K193&gt;=2,FALSE())),IF(AND('Daily Schedule'!$A28&gt;=46,'Daily Schedule'!$A28&lt;=52),'Daily Workforce'!$M193="Y",IFERROR(1*'Daily Workforce'!$P193&gt;=2,FALSE()))))),1,0)</f>
        <v>0</v>
      </c>
      <c r="GW24" s="1" t="n">
        <f aca="false">IF(AND('Daily Workforce'!$N194="Y",'Daily Workforce'!$B194&lt;&gt;"",COUNTIF('Daily Schedule'!$F$5:$F27,'Daily Workforce'!$B194)=0,IF('Daily Schedule'!$A28=45,'Daily Workforce'!$J194="Y",IF(OR('Daily Schedule'!$A28=4,'Daily Schedule'!$A28=8),IF(OR(WEEKDAY('Daily Schedule'!$B$2,2)=1,WEEKDAY('Daily Schedule'!$B$2,2)=4,WEEKDAY('Daily Schedule'!$B$2,2)=5,WEEKDAY('Daily Schedule'!$B$2,2)=7),IFERROR(1*'Daily Workforce'!$K194&gt;=3,FALSE()),IFERROR(1*'Daily Workforce'!$K194&gt;=2,FALSE())),IF(AND('Daily Schedule'!$A28&gt;=46,'Daily Schedule'!$A28&lt;=52),'Daily Workforce'!$M194="Y",IFERROR(1*'Daily Workforce'!$P194&gt;=2,FALSE()))))),1,0)</f>
        <v>0</v>
      </c>
      <c r="GX24" s="1" t="n">
        <f aca="false">IF(AND('Daily Workforce'!$N195="Y",'Daily Workforce'!$B195&lt;&gt;"",COUNTIF('Daily Schedule'!$F$5:$F27,'Daily Workforce'!$B195)=0,IF('Daily Schedule'!$A28=45,'Daily Workforce'!$J195="Y",IF(OR('Daily Schedule'!$A28=4,'Daily Schedule'!$A28=8),IF(OR(WEEKDAY('Daily Schedule'!$B$2,2)=1,WEEKDAY('Daily Schedule'!$B$2,2)=4,WEEKDAY('Daily Schedule'!$B$2,2)=5,WEEKDAY('Daily Schedule'!$B$2,2)=7),IFERROR(1*'Daily Workforce'!$K195&gt;=3,FALSE()),IFERROR(1*'Daily Workforce'!$K195&gt;=2,FALSE())),IF(AND('Daily Schedule'!$A28&gt;=46,'Daily Schedule'!$A28&lt;=52),'Daily Workforce'!$M195="Y",IFERROR(1*'Daily Workforce'!$P195&gt;=2,FALSE()))))),1,0)</f>
        <v>0</v>
      </c>
      <c r="GY24" s="1" t="n">
        <f aca="false">IF(AND('Daily Workforce'!$N196="Y",'Daily Workforce'!$B196&lt;&gt;"",COUNTIF('Daily Schedule'!$F$5:$F27,'Daily Workforce'!$B196)=0,IF('Daily Schedule'!$A28=45,'Daily Workforce'!$J196="Y",IF(OR('Daily Schedule'!$A28=4,'Daily Schedule'!$A28=8),IF(OR(WEEKDAY('Daily Schedule'!$B$2,2)=1,WEEKDAY('Daily Schedule'!$B$2,2)=4,WEEKDAY('Daily Schedule'!$B$2,2)=5,WEEKDAY('Daily Schedule'!$B$2,2)=7),IFERROR(1*'Daily Workforce'!$K196&gt;=3,FALSE()),IFERROR(1*'Daily Workforce'!$K196&gt;=2,FALSE())),IF(AND('Daily Schedule'!$A28&gt;=46,'Daily Schedule'!$A28&lt;=52),'Daily Workforce'!$M196="Y",IFERROR(1*'Daily Workforce'!$P196&gt;=2,FALSE()))))),1,0)</f>
        <v>0</v>
      </c>
      <c r="GZ24" s="1" t="n">
        <f aca="false">IF(AND('Daily Workforce'!$N197="Y",'Daily Workforce'!$B197&lt;&gt;"",COUNTIF('Daily Schedule'!$F$5:$F27,'Daily Workforce'!$B197)=0,IF('Daily Schedule'!$A28=45,'Daily Workforce'!$J197="Y",IF(OR('Daily Schedule'!$A28=4,'Daily Schedule'!$A28=8),IF(OR(WEEKDAY('Daily Schedule'!$B$2,2)=1,WEEKDAY('Daily Schedule'!$B$2,2)=4,WEEKDAY('Daily Schedule'!$B$2,2)=5,WEEKDAY('Daily Schedule'!$B$2,2)=7),IFERROR(1*'Daily Workforce'!$K197&gt;=3,FALSE()),IFERROR(1*'Daily Workforce'!$K197&gt;=2,FALSE())),IF(AND('Daily Schedule'!$A28&gt;=46,'Daily Schedule'!$A28&lt;=52),'Daily Workforce'!$M197="Y",IFERROR(1*'Daily Workforce'!$P197&gt;=2,FALSE()))))),1,0)</f>
        <v>0</v>
      </c>
      <c r="HA24" s="1" t="n">
        <f aca="false">IF(AND('Daily Workforce'!$N198="Y",'Daily Workforce'!$B198&lt;&gt;"",COUNTIF('Daily Schedule'!$F$5:$F27,'Daily Workforce'!$B198)=0,IF('Daily Schedule'!$A28=45,'Daily Workforce'!$J198="Y",IF(OR('Daily Schedule'!$A28=4,'Daily Schedule'!$A28=8),IF(OR(WEEKDAY('Daily Schedule'!$B$2,2)=1,WEEKDAY('Daily Schedule'!$B$2,2)=4,WEEKDAY('Daily Schedule'!$B$2,2)=5,WEEKDAY('Daily Schedule'!$B$2,2)=7),IFERROR(1*'Daily Workforce'!$K198&gt;=3,FALSE()),IFERROR(1*'Daily Workforce'!$K198&gt;=2,FALSE())),IF(AND('Daily Schedule'!$A28&gt;=46,'Daily Schedule'!$A28&lt;=52),'Daily Workforce'!$M198="Y",IFERROR(1*'Daily Workforce'!$P198&gt;=2,FALSE()))))),1,0)</f>
        <v>0</v>
      </c>
      <c r="HB24" s="1" t="n">
        <f aca="false">IF(AND('Daily Workforce'!$N199="Y",'Daily Workforce'!$B199&lt;&gt;"",COUNTIF('Daily Schedule'!$F$5:$F27,'Daily Workforce'!$B199)=0,IF('Daily Schedule'!$A28=45,'Daily Workforce'!$J199="Y",IF(OR('Daily Schedule'!$A28=4,'Daily Schedule'!$A28=8),IF(OR(WEEKDAY('Daily Schedule'!$B$2,2)=1,WEEKDAY('Daily Schedule'!$B$2,2)=4,WEEKDAY('Daily Schedule'!$B$2,2)=5,WEEKDAY('Daily Schedule'!$B$2,2)=7),IFERROR(1*'Daily Workforce'!$K199&gt;=3,FALSE()),IFERROR(1*'Daily Workforce'!$K199&gt;=2,FALSE())),IF(AND('Daily Schedule'!$A28&gt;=46,'Daily Schedule'!$A28&lt;=52),'Daily Workforce'!$M199="Y",IFERROR(1*'Daily Workforce'!$P199&gt;=2,FALSE()))))),1,0)</f>
        <v>0</v>
      </c>
      <c r="HC24" s="1" t="n">
        <f aca="false">IF(AND('Daily Workforce'!$N200="Y",'Daily Workforce'!$B200&lt;&gt;"",COUNTIF('Daily Schedule'!$F$5:$F27,'Daily Workforce'!$B200)=0,IF('Daily Schedule'!$A28=45,'Daily Workforce'!$J200="Y",IF(OR('Daily Schedule'!$A28=4,'Daily Schedule'!$A28=8),IF(OR(WEEKDAY('Daily Schedule'!$B$2,2)=1,WEEKDAY('Daily Schedule'!$B$2,2)=4,WEEKDAY('Daily Schedule'!$B$2,2)=5,WEEKDAY('Daily Schedule'!$B$2,2)=7),IFERROR(1*'Daily Workforce'!$K200&gt;=3,FALSE()),IFERROR(1*'Daily Workforce'!$K200&gt;=2,FALSE())),IF(AND('Daily Schedule'!$A28&gt;=46,'Daily Schedule'!$A28&lt;=52),'Daily Workforce'!$M200="Y",IFERROR(1*'Daily Workforce'!$P200&gt;=2,FALSE()))))),1,0)</f>
        <v>0</v>
      </c>
      <c r="HD24" s="1" t="n">
        <f aca="false">IF(AND('Daily Workforce'!$N201="Y",'Daily Workforce'!$B201&lt;&gt;"",COUNTIF('Daily Schedule'!$F$5:$F27,'Daily Workforce'!$B201)=0,IF('Daily Schedule'!$A28=45,'Daily Workforce'!$J201="Y",IF(OR('Daily Schedule'!$A28=4,'Daily Schedule'!$A28=8),IF(OR(WEEKDAY('Daily Schedule'!$B$2,2)=1,WEEKDAY('Daily Schedule'!$B$2,2)=4,WEEKDAY('Daily Schedule'!$B$2,2)=5,WEEKDAY('Daily Schedule'!$B$2,2)=7),IFERROR(1*'Daily Workforce'!$K201&gt;=3,FALSE()),IFERROR(1*'Daily Workforce'!$K201&gt;=2,FALSE())),IF(AND('Daily Schedule'!$A28&gt;=46,'Daily Schedule'!$A28&lt;=52),'Daily Workforce'!$M201="Y",IFERROR(1*'Daily Workforce'!$P201&gt;=2,FALSE()))))),1,0)</f>
        <v>0</v>
      </c>
      <c r="HE24" s="1" t="n">
        <f aca="false">IF(AND('Daily Workforce'!$N202="Y",'Daily Workforce'!$B202&lt;&gt;"",COUNTIF('Daily Schedule'!$F$5:$F27,'Daily Workforce'!$B202)=0,IF('Daily Schedule'!$A28=45,'Daily Workforce'!$J202="Y",IF(OR('Daily Schedule'!$A28=4,'Daily Schedule'!$A28=8),IF(OR(WEEKDAY('Daily Schedule'!$B$2,2)=1,WEEKDAY('Daily Schedule'!$B$2,2)=4,WEEKDAY('Daily Schedule'!$B$2,2)=5,WEEKDAY('Daily Schedule'!$B$2,2)=7),IFERROR(1*'Daily Workforce'!$K202&gt;=3,FALSE()),IFERROR(1*'Daily Workforce'!$K202&gt;=2,FALSE())),IF(AND('Daily Schedule'!$A28&gt;=46,'Daily Schedule'!$A28&lt;=52),'Daily Workforce'!$M202="Y",IFERROR(1*'Daily Workforce'!$P202&gt;=2,FALSE()))))),1,0)</f>
        <v>0</v>
      </c>
      <c r="HF24" s="1" t="n">
        <f aca="false">IF(AND('Daily Workforce'!$N203="Y",'Daily Workforce'!$B203&lt;&gt;"",COUNTIF('Daily Schedule'!$F$5:$F27,'Daily Workforce'!$B203)=0,IF('Daily Schedule'!$A28=45,'Daily Workforce'!$J203="Y",IF(OR('Daily Schedule'!$A28=4,'Daily Schedule'!$A28=8),IF(OR(WEEKDAY('Daily Schedule'!$B$2,2)=1,WEEKDAY('Daily Schedule'!$B$2,2)=4,WEEKDAY('Daily Schedule'!$B$2,2)=5,WEEKDAY('Daily Schedule'!$B$2,2)=7),IFERROR(1*'Daily Workforce'!$K203&gt;=3,FALSE()),IFERROR(1*'Daily Workforce'!$K203&gt;=2,FALSE())),IF(AND('Daily Schedule'!$A28&gt;=46,'Daily Schedule'!$A28&lt;=52),'Daily Workforce'!$M203="Y",IFERROR(1*'Daily Workforce'!$P203&gt;=2,FALSE()))))),1,0)</f>
        <v>0</v>
      </c>
      <c r="HG24" s="1" t="n">
        <f aca="false">IF(AND('Daily Workforce'!$N204="Y",'Daily Workforce'!$B204&lt;&gt;"",COUNTIF('Daily Schedule'!$F$5:$F27,'Daily Workforce'!$B204)=0,IF('Daily Schedule'!$A28=45,'Daily Workforce'!$J204="Y",IF(OR('Daily Schedule'!$A28=4,'Daily Schedule'!$A28=8),IF(OR(WEEKDAY('Daily Schedule'!$B$2,2)=1,WEEKDAY('Daily Schedule'!$B$2,2)=4,WEEKDAY('Daily Schedule'!$B$2,2)=5,WEEKDAY('Daily Schedule'!$B$2,2)=7),IFERROR(1*'Daily Workforce'!$K204&gt;=3,FALSE()),IFERROR(1*'Daily Workforce'!$K204&gt;=2,FALSE())),IF(AND('Daily Schedule'!$A28&gt;=46,'Daily Schedule'!$A28&lt;=52),'Daily Workforce'!$M204="Y",IFERROR(1*'Daily Workforce'!$P204&gt;=2,FALSE()))))),1,0)</f>
        <v>0</v>
      </c>
      <c r="HH24" s="1" t="n">
        <f aca="false">IF(AND('Daily Workforce'!$N205="Y",'Daily Workforce'!$B205&lt;&gt;"",COUNTIF('Daily Schedule'!$F$5:$F27,'Daily Workforce'!$B205)=0,IF('Daily Schedule'!$A28=45,'Daily Workforce'!$J205="Y",IF(OR('Daily Schedule'!$A28=4,'Daily Schedule'!$A28=8),IF(OR(WEEKDAY('Daily Schedule'!$B$2,2)=1,WEEKDAY('Daily Schedule'!$B$2,2)=4,WEEKDAY('Daily Schedule'!$B$2,2)=5,WEEKDAY('Daily Schedule'!$B$2,2)=7),IFERROR(1*'Daily Workforce'!$K205&gt;=3,FALSE()),IFERROR(1*'Daily Workforce'!$K205&gt;=2,FALSE())),IF(AND('Daily Schedule'!$A28&gt;=46,'Daily Schedule'!$A28&lt;=52),'Daily Workforce'!$M205="Y",IFERROR(1*'Daily Workforce'!$P205&gt;=2,FALSE()))))),1,0)</f>
        <v>0</v>
      </c>
    </row>
    <row r="25" customFormat="false" ht="15" hidden="false" customHeight="true" outlineLevel="0" collapsed="false">
      <c r="L25" s="1" t="s">
        <v>809</v>
      </c>
      <c r="O25" s="1" t="str">
        <f aca="false">IF(AND('Employee Master'!$G25="Y",ISERROR(SEARCH(TEXT('Daily Workforce'!$B$2,"ddd"),'Employee Master'!$D25)),IF('Daily Workforce'!$E$2="",TRUE(),'Employee Master'!$I25='Daily Workforce'!$E$2)),'Employee Master'!$K25*1000+ROW()-1,"")</f>
        <v/>
      </c>
      <c r="P25" s="1" t="str">
        <f aca="false">IF($O25="","",COUNTIF($O$2:$O$159,"&lt;="&amp;$O25))</f>
        <v/>
      </c>
      <c r="Q25" s="1" t="n">
        <f aca="false">IF(AND('Daily Workforce'!$N6="Y",'Daily Workforce'!$B6&lt;&gt;"",COUNTIF('Daily Schedule'!$F$5:$F28,'Daily Workforce'!$B6)=0,IF('Daily Schedule'!$A29=45,'Daily Workforce'!$J6="Y",IF(OR('Daily Schedule'!$A29=4,'Daily Schedule'!$A29=8),IF(OR(WEEKDAY('Daily Schedule'!$B$2,2)=1,WEEKDAY('Daily Schedule'!$B$2,2)=4,WEEKDAY('Daily Schedule'!$B$2,2)=5,WEEKDAY('Daily Schedule'!$B$2,2)=7),IFERROR(1*'Daily Workforce'!$K6&gt;=3,FALSE()),IFERROR(1*'Daily Workforce'!$K6&gt;=2,FALSE())),IF(AND('Daily Schedule'!$A29&gt;=46,'Daily Schedule'!$A29&lt;=52),'Daily Workforce'!$M6="Y",IFERROR(1*'Daily Workforce'!$P6&gt;=2,FALSE()))))),1,0)</f>
        <v>0</v>
      </c>
      <c r="R25" s="1" t="n">
        <f aca="false">IF(AND('Daily Workforce'!$N7="Y",'Daily Workforce'!$B7&lt;&gt;"",COUNTIF('Daily Schedule'!$F$5:$F28,'Daily Workforce'!$B7)=0,IF('Daily Schedule'!$A29=45,'Daily Workforce'!$J7="Y",IF(OR('Daily Schedule'!$A29=4,'Daily Schedule'!$A29=8),IF(OR(WEEKDAY('Daily Schedule'!$B$2,2)=1,WEEKDAY('Daily Schedule'!$B$2,2)=4,WEEKDAY('Daily Schedule'!$B$2,2)=5,WEEKDAY('Daily Schedule'!$B$2,2)=7),IFERROR(1*'Daily Workforce'!$K7&gt;=3,FALSE()),IFERROR(1*'Daily Workforce'!$K7&gt;=2,FALSE())),IF(AND('Daily Schedule'!$A29&gt;=46,'Daily Schedule'!$A29&lt;=52),'Daily Workforce'!$M7="Y",IFERROR(1*'Daily Workforce'!$P7&gt;=2,FALSE()))))),1,0)</f>
        <v>0</v>
      </c>
      <c r="S25" s="1" t="n">
        <f aca="false">IF(AND('Daily Workforce'!$N8="Y",'Daily Workforce'!$B8&lt;&gt;"",COUNTIF('Daily Schedule'!$F$5:$F28,'Daily Workforce'!$B8)=0,IF('Daily Schedule'!$A29=45,'Daily Workforce'!$J8="Y",IF(OR('Daily Schedule'!$A29=4,'Daily Schedule'!$A29=8),IF(OR(WEEKDAY('Daily Schedule'!$B$2,2)=1,WEEKDAY('Daily Schedule'!$B$2,2)=4,WEEKDAY('Daily Schedule'!$B$2,2)=5,WEEKDAY('Daily Schedule'!$B$2,2)=7),IFERROR(1*'Daily Workforce'!$K8&gt;=3,FALSE()),IFERROR(1*'Daily Workforce'!$K8&gt;=2,FALSE())),IF(AND('Daily Schedule'!$A29&gt;=46,'Daily Schedule'!$A29&lt;=52),'Daily Workforce'!$M8="Y",IFERROR(1*'Daily Workforce'!$P8&gt;=2,FALSE()))))),1,0)</f>
        <v>0</v>
      </c>
      <c r="T25" s="1" t="n">
        <f aca="false">IF(AND('Daily Workforce'!$N9="Y",'Daily Workforce'!$B9&lt;&gt;"",COUNTIF('Daily Schedule'!$F$5:$F28,'Daily Workforce'!$B9)=0,IF('Daily Schedule'!$A29=45,'Daily Workforce'!$J9="Y",IF(OR('Daily Schedule'!$A29=4,'Daily Schedule'!$A29=8),IF(OR(WEEKDAY('Daily Schedule'!$B$2,2)=1,WEEKDAY('Daily Schedule'!$B$2,2)=4,WEEKDAY('Daily Schedule'!$B$2,2)=5,WEEKDAY('Daily Schedule'!$B$2,2)=7),IFERROR(1*'Daily Workforce'!$K9&gt;=3,FALSE()),IFERROR(1*'Daily Workforce'!$K9&gt;=2,FALSE())),IF(AND('Daily Schedule'!$A29&gt;=46,'Daily Schedule'!$A29&lt;=52),'Daily Workforce'!$M9="Y",IFERROR(1*'Daily Workforce'!$P9&gt;=2,FALSE()))))),1,0)</f>
        <v>0</v>
      </c>
      <c r="U25" s="1" t="n">
        <f aca="false">IF(AND('Daily Workforce'!$N10="Y",'Daily Workforce'!$B10&lt;&gt;"",COUNTIF('Daily Schedule'!$F$5:$F28,'Daily Workforce'!$B10)=0,IF('Daily Schedule'!$A29=45,'Daily Workforce'!$J10="Y",IF(OR('Daily Schedule'!$A29=4,'Daily Schedule'!$A29=8),IF(OR(WEEKDAY('Daily Schedule'!$B$2,2)=1,WEEKDAY('Daily Schedule'!$B$2,2)=4,WEEKDAY('Daily Schedule'!$B$2,2)=5,WEEKDAY('Daily Schedule'!$B$2,2)=7),IFERROR(1*'Daily Workforce'!$K10&gt;=3,FALSE()),IFERROR(1*'Daily Workforce'!$K10&gt;=2,FALSE())),IF(AND('Daily Schedule'!$A29&gt;=46,'Daily Schedule'!$A29&lt;=52),'Daily Workforce'!$M10="Y",IFERROR(1*'Daily Workforce'!$P10&gt;=2,FALSE()))))),1,0)</f>
        <v>0</v>
      </c>
      <c r="V25" s="1" t="n">
        <f aca="false">IF(AND('Daily Workforce'!$N11="Y",'Daily Workforce'!$B11&lt;&gt;"",COUNTIF('Daily Schedule'!$F$5:$F28,'Daily Workforce'!$B11)=0,IF('Daily Schedule'!$A29=45,'Daily Workforce'!$J11="Y",IF(OR('Daily Schedule'!$A29=4,'Daily Schedule'!$A29=8),IF(OR(WEEKDAY('Daily Schedule'!$B$2,2)=1,WEEKDAY('Daily Schedule'!$B$2,2)=4,WEEKDAY('Daily Schedule'!$B$2,2)=5,WEEKDAY('Daily Schedule'!$B$2,2)=7),IFERROR(1*'Daily Workforce'!$K11&gt;=3,FALSE()),IFERROR(1*'Daily Workforce'!$K11&gt;=2,FALSE())),IF(AND('Daily Schedule'!$A29&gt;=46,'Daily Schedule'!$A29&lt;=52),'Daily Workforce'!$M11="Y",IFERROR(1*'Daily Workforce'!$P11&gt;=2,FALSE()))))),1,0)</f>
        <v>0</v>
      </c>
      <c r="W25" s="1" t="n">
        <f aca="false">IF(AND('Daily Workforce'!$N12="Y",'Daily Workforce'!$B12&lt;&gt;"",COUNTIF('Daily Schedule'!$F$5:$F28,'Daily Workforce'!$B12)=0,IF('Daily Schedule'!$A29=45,'Daily Workforce'!$J12="Y",IF(OR('Daily Schedule'!$A29=4,'Daily Schedule'!$A29=8),IF(OR(WEEKDAY('Daily Schedule'!$B$2,2)=1,WEEKDAY('Daily Schedule'!$B$2,2)=4,WEEKDAY('Daily Schedule'!$B$2,2)=5,WEEKDAY('Daily Schedule'!$B$2,2)=7),IFERROR(1*'Daily Workforce'!$K12&gt;=3,FALSE()),IFERROR(1*'Daily Workforce'!$K12&gt;=2,FALSE())),IF(AND('Daily Schedule'!$A29&gt;=46,'Daily Schedule'!$A29&lt;=52),'Daily Workforce'!$M12="Y",IFERROR(1*'Daily Workforce'!$P12&gt;=2,FALSE()))))),1,0)</f>
        <v>0</v>
      </c>
      <c r="X25" s="1" t="n">
        <f aca="false">IF(AND('Daily Workforce'!$N13="Y",'Daily Workforce'!$B13&lt;&gt;"",COUNTIF('Daily Schedule'!$F$5:$F28,'Daily Workforce'!$B13)=0,IF('Daily Schedule'!$A29=45,'Daily Workforce'!$J13="Y",IF(OR('Daily Schedule'!$A29=4,'Daily Schedule'!$A29=8),IF(OR(WEEKDAY('Daily Schedule'!$B$2,2)=1,WEEKDAY('Daily Schedule'!$B$2,2)=4,WEEKDAY('Daily Schedule'!$B$2,2)=5,WEEKDAY('Daily Schedule'!$B$2,2)=7),IFERROR(1*'Daily Workforce'!$K13&gt;=3,FALSE()),IFERROR(1*'Daily Workforce'!$K13&gt;=2,FALSE())),IF(AND('Daily Schedule'!$A29&gt;=46,'Daily Schedule'!$A29&lt;=52),'Daily Workforce'!$M13="Y",IFERROR(1*'Daily Workforce'!$P13&gt;=2,FALSE()))))),1,0)</f>
        <v>0</v>
      </c>
      <c r="Y25" s="1" t="n">
        <f aca="false">IF(AND('Daily Workforce'!$N14="Y",'Daily Workforce'!$B14&lt;&gt;"",COUNTIF('Daily Schedule'!$F$5:$F28,'Daily Workforce'!$B14)=0,IF('Daily Schedule'!$A29=45,'Daily Workforce'!$J14="Y",IF(OR('Daily Schedule'!$A29=4,'Daily Schedule'!$A29=8),IF(OR(WEEKDAY('Daily Schedule'!$B$2,2)=1,WEEKDAY('Daily Schedule'!$B$2,2)=4,WEEKDAY('Daily Schedule'!$B$2,2)=5,WEEKDAY('Daily Schedule'!$B$2,2)=7),IFERROR(1*'Daily Workforce'!$K14&gt;=3,FALSE()),IFERROR(1*'Daily Workforce'!$K14&gt;=2,FALSE())),IF(AND('Daily Schedule'!$A29&gt;=46,'Daily Schedule'!$A29&lt;=52),'Daily Workforce'!$M14="Y",IFERROR(1*'Daily Workforce'!$P14&gt;=2,FALSE()))))),1,0)</f>
        <v>0</v>
      </c>
      <c r="Z25" s="1" t="n">
        <f aca="false">IF(AND('Daily Workforce'!$N15="Y",'Daily Workforce'!$B15&lt;&gt;"",COUNTIF('Daily Schedule'!$F$5:$F28,'Daily Workforce'!$B15)=0,IF('Daily Schedule'!$A29=45,'Daily Workforce'!$J15="Y",IF(OR('Daily Schedule'!$A29=4,'Daily Schedule'!$A29=8),IF(OR(WEEKDAY('Daily Schedule'!$B$2,2)=1,WEEKDAY('Daily Schedule'!$B$2,2)=4,WEEKDAY('Daily Schedule'!$B$2,2)=5,WEEKDAY('Daily Schedule'!$B$2,2)=7),IFERROR(1*'Daily Workforce'!$K15&gt;=3,FALSE()),IFERROR(1*'Daily Workforce'!$K15&gt;=2,FALSE())),IF(AND('Daily Schedule'!$A29&gt;=46,'Daily Schedule'!$A29&lt;=52),'Daily Workforce'!$M15="Y",IFERROR(1*'Daily Workforce'!$P15&gt;=2,FALSE()))))),1,0)</f>
        <v>0</v>
      </c>
      <c r="AA25" s="1" t="n">
        <f aca="false">IF(AND('Daily Workforce'!$N16="Y",'Daily Workforce'!$B16&lt;&gt;"",COUNTIF('Daily Schedule'!$F$5:$F28,'Daily Workforce'!$B16)=0,IF('Daily Schedule'!$A29=45,'Daily Workforce'!$J16="Y",IF(OR('Daily Schedule'!$A29=4,'Daily Schedule'!$A29=8),IF(OR(WEEKDAY('Daily Schedule'!$B$2,2)=1,WEEKDAY('Daily Schedule'!$B$2,2)=4,WEEKDAY('Daily Schedule'!$B$2,2)=5,WEEKDAY('Daily Schedule'!$B$2,2)=7),IFERROR(1*'Daily Workforce'!$K16&gt;=3,FALSE()),IFERROR(1*'Daily Workforce'!$K16&gt;=2,FALSE())),IF(AND('Daily Schedule'!$A29&gt;=46,'Daily Schedule'!$A29&lt;=52),'Daily Workforce'!$M16="Y",IFERROR(1*'Daily Workforce'!$P16&gt;=2,FALSE()))))),1,0)</f>
        <v>0</v>
      </c>
      <c r="AB25" s="1" t="n">
        <f aca="false">IF(AND('Daily Workforce'!$N17="Y",'Daily Workforce'!$B17&lt;&gt;"",COUNTIF('Daily Schedule'!$F$5:$F28,'Daily Workforce'!$B17)=0,IF('Daily Schedule'!$A29=45,'Daily Workforce'!$J17="Y",IF(OR('Daily Schedule'!$A29=4,'Daily Schedule'!$A29=8),IF(OR(WEEKDAY('Daily Schedule'!$B$2,2)=1,WEEKDAY('Daily Schedule'!$B$2,2)=4,WEEKDAY('Daily Schedule'!$B$2,2)=5,WEEKDAY('Daily Schedule'!$B$2,2)=7),IFERROR(1*'Daily Workforce'!$K17&gt;=3,FALSE()),IFERROR(1*'Daily Workforce'!$K17&gt;=2,FALSE())),IF(AND('Daily Schedule'!$A29&gt;=46,'Daily Schedule'!$A29&lt;=52),'Daily Workforce'!$M17="Y",IFERROR(1*'Daily Workforce'!$P17&gt;=2,FALSE()))))),1,0)</f>
        <v>0</v>
      </c>
      <c r="AC25" s="1" t="n">
        <f aca="false">IF(AND('Daily Workforce'!$N18="Y",'Daily Workforce'!$B18&lt;&gt;"",COUNTIF('Daily Schedule'!$F$5:$F28,'Daily Workforce'!$B18)=0,IF('Daily Schedule'!$A29=45,'Daily Workforce'!$J18="Y",IF(OR('Daily Schedule'!$A29=4,'Daily Schedule'!$A29=8),IF(OR(WEEKDAY('Daily Schedule'!$B$2,2)=1,WEEKDAY('Daily Schedule'!$B$2,2)=4,WEEKDAY('Daily Schedule'!$B$2,2)=5,WEEKDAY('Daily Schedule'!$B$2,2)=7),IFERROR(1*'Daily Workforce'!$K18&gt;=3,FALSE()),IFERROR(1*'Daily Workforce'!$K18&gt;=2,FALSE())),IF(AND('Daily Schedule'!$A29&gt;=46,'Daily Schedule'!$A29&lt;=52),'Daily Workforce'!$M18="Y",IFERROR(1*'Daily Workforce'!$P18&gt;=2,FALSE()))))),1,0)</f>
        <v>0</v>
      </c>
      <c r="AD25" s="1" t="n">
        <f aca="false">IF(AND('Daily Workforce'!$N19="Y",'Daily Workforce'!$B19&lt;&gt;"",COUNTIF('Daily Schedule'!$F$5:$F28,'Daily Workforce'!$B19)=0,IF('Daily Schedule'!$A29=45,'Daily Workforce'!$J19="Y",IF(OR('Daily Schedule'!$A29=4,'Daily Schedule'!$A29=8),IF(OR(WEEKDAY('Daily Schedule'!$B$2,2)=1,WEEKDAY('Daily Schedule'!$B$2,2)=4,WEEKDAY('Daily Schedule'!$B$2,2)=5,WEEKDAY('Daily Schedule'!$B$2,2)=7),IFERROR(1*'Daily Workforce'!$K19&gt;=3,FALSE()),IFERROR(1*'Daily Workforce'!$K19&gt;=2,FALSE())),IF(AND('Daily Schedule'!$A29&gt;=46,'Daily Schedule'!$A29&lt;=52),'Daily Workforce'!$M19="Y",IFERROR(1*'Daily Workforce'!$P19&gt;=2,FALSE()))))),1,0)</f>
        <v>0</v>
      </c>
      <c r="AE25" s="1" t="n">
        <f aca="false">IF(AND('Daily Workforce'!$N20="Y",'Daily Workforce'!$B20&lt;&gt;"",COUNTIF('Daily Schedule'!$F$5:$F28,'Daily Workforce'!$B20)=0,IF('Daily Schedule'!$A29=45,'Daily Workforce'!$J20="Y",IF(OR('Daily Schedule'!$A29=4,'Daily Schedule'!$A29=8),IF(OR(WEEKDAY('Daily Schedule'!$B$2,2)=1,WEEKDAY('Daily Schedule'!$B$2,2)=4,WEEKDAY('Daily Schedule'!$B$2,2)=5,WEEKDAY('Daily Schedule'!$B$2,2)=7),IFERROR(1*'Daily Workforce'!$K20&gt;=3,FALSE()),IFERROR(1*'Daily Workforce'!$K20&gt;=2,FALSE())),IF(AND('Daily Schedule'!$A29&gt;=46,'Daily Schedule'!$A29&lt;=52),'Daily Workforce'!$M20="Y",IFERROR(1*'Daily Workforce'!$P20&gt;=2,FALSE()))))),1,0)</f>
        <v>0</v>
      </c>
      <c r="AF25" s="1" t="n">
        <f aca="false">IF(AND('Daily Workforce'!$N21="Y",'Daily Workforce'!$B21&lt;&gt;"",COUNTIF('Daily Schedule'!$F$5:$F28,'Daily Workforce'!$B21)=0,IF('Daily Schedule'!$A29=45,'Daily Workforce'!$J21="Y",IF(OR('Daily Schedule'!$A29=4,'Daily Schedule'!$A29=8),IF(OR(WEEKDAY('Daily Schedule'!$B$2,2)=1,WEEKDAY('Daily Schedule'!$B$2,2)=4,WEEKDAY('Daily Schedule'!$B$2,2)=5,WEEKDAY('Daily Schedule'!$B$2,2)=7),IFERROR(1*'Daily Workforce'!$K21&gt;=3,FALSE()),IFERROR(1*'Daily Workforce'!$K21&gt;=2,FALSE())),IF(AND('Daily Schedule'!$A29&gt;=46,'Daily Schedule'!$A29&lt;=52),'Daily Workforce'!$M21="Y",IFERROR(1*'Daily Workforce'!$P21&gt;=2,FALSE()))))),1,0)</f>
        <v>0</v>
      </c>
      <c r="AG25" s="1" t="n">
        <f aca="false">IF(AND('Daily Workforce'!$N22="Y",'Daily Workforce'!$B22&lt;&gt;"",COUNTIF('Daily Schedule'!$F$5:$F28,'Daily Workforce'!$B22)=0,IF('Daily Schedule'!$A29=45,'Daily Workforce'!$J22="Y",IF(OR('Daily Schedule'!$A29=4,'Daily Schedule'!$A29=8),IF(OR(WEEKDAY('Daily Schedule'!$B$2,2)=1,WEEKDAY('Daily Schedule'!$B$2,2)=4,WEEKDAY('Daily Schedule'!$B$2,2)=5,WEEKDAY('Daily Schedule'!$B$2,2)=7),IFERROR(1*'Daily Workforce'!$K22&gt;=3,FALSE()),IFERROR(1*'Daily Workforce'!$K22&gt;=2,FALSE())),IF(AND('Daily Schedule'!$A29&gt;=46,'Daily Schedule'!$A29&lt;=52),'Daily Workforce'!$M22="Y",IFERROR(1*'Daily Workforce'!$P22&gt;=2,FALSE()))))),1,0)</f>
        <v>0</v>
      </c>
      <c r="AH25" s="1" t="n">
        <f aca="false">IF(AND('Daily Workforce'!$N23="Y",'Daily Workforce'!$B23&lt;&gt;"",COUNTIF('Daily Schedule'!$F$5:$F28,'Daily Workforce'!$B23)=0,IF('Daily Schedule'!$A29=45,'Daily Workforce'!$J23="Y",IF(OR('Daily Schedule'!$A29=4,'Daily Schedule'!$A29=8),IF(OR(WEEKDAY('Daily Schedule'!$B$2,2)=1,WEEKDAY('Daily Schedule'!$B$2,2)=4,WEEKDAY('Daily Schedule'!$B$2,2)=5,WEEKDAY('Daily Schedule'!$B$2,2)=7),IFERROR(1*'Daily Workforce'!$K23&gt;=3,FALSE()),IFERROR(1*'Daily Workforce'!$K23&gt;=2,FALSE())),IF(AND('Daily Schedule'!$A29&gt;=46,'Daily Schedule'!$A29&lt;=52),'Daily Workforce'!$M23="Y",IFERROR(1*'Daily Workforce'!$P23&gt;=2,FALSE()))))),1,0)</f>
        <v>0</v>
      </c>
      <c r="AI25" s="1" t="n">
        <f aca="false">IF(AND('Daily Workforce'!$N24="Y",'Daily Workforce'!$B24&lt;&gt;"",COUNTIF('Daily Schedule'!$F$5:$F28,'Daily Workforce'!$B24)=0,IF('Daily Schedule'!$A29=45,'Daily Workforce'!$J24="Y",IF(OR('Daily Schedule'!$A29=4,'Daily Schedule'!$A29=8),IF(OR(WEEKDAY('Daily Schedule'!$B$2,2)=1,WEEKDAY('Daily Schedule'!$B$2,2)=4,WEEKDAY('Daily Schedule'!$B$2,2)=5,WEEKDAY('Daily Schedule'!$B$2,2)=7),IFERROR(1*'Daily Workforce'!$K24&gt;=3,FALSE()),IFERROR(1*'Daily Workforce'!$K24&gt;=2,FALSE())),IF(AND('Daily Schedule'!$A29&gt;=46,'Daily Schedule'!$A29&lt;=52),'Daily Workforce'!$M24="Y",IFERROR(1*'Daily Workforce'!$P24&gt;=2,FALSE()))))),1,0)</f>
        <v>0</v>
      </c>
      <c r="AJ25" s="1" t="n">
        <f aca="false">IF(AND('Daily Workforce'!$N25="Y",'Daily Workforce'!$B25&lt;&gt;"",COUNTIF('Daily Schedule'!$F$5:$F28,'Daily Workforce'!$B25)=0,IF('Daily Schedule'!$A29=45,'Daily Workforce'!$J25="Y",IF(OR('Daily Schedule'!$A29=4,'Daily Schedule'!$A29=8),IF(OR(WEEKDAY('Daily Schedule'!$B$2,2)=1,WEEKDAY('Daily Schedule'!$B$2,2)=4,WEEKDAY('Daily Schedule'!$B$2,2)=5,WEEKDAY('Daily Schedule'!$B$2,2)=7),IFERROR(1*'Daily Workforce'!$K25&gt;=3,FALSE()),IFERROR(1*'Daily Workforce'!$K25&gt;=2,FALSE())),IF(AND('Daily Schedule'!$A29&gt;=46,'Daily Schedule'!$A29&lt;=52),'Daily Workforce'!$M25="Y",IFERROR(1*'Daily Workforce'!$P25&gt;=2,FALSE()))))),1,0)</f>
        <v>0</v>
      </c>
      <c r="AK25" s="1" t="n">
        <f aca="false">IF(AND('Daily Workforce'!$N26="Y",'Daily Workforce'!$B26&lt;&gt;"",COUNTIF('Daily Schedule'!$F$5:$F28,'Daily Workforce'!$B26)=0,IF('Daily Schedule'!$A29=45,'Daily Workforce'!$J26="Y",IF(OR('Daily Schedule'!$A29=4,'Daily Schedule'!$A29=8),IF(OR(WEEKDAY('Daily Schedule'!$B$2,2)=1,WEEKDAY('Daily Schedule'!$B$2,2)=4,WEEKDAY('Daily Schedule'!$B$2,2)=5,WEEKDAY('Daily Schedule'!$B$2,2)=7),IFERROR(1*'Daily Workforce'!$K26&gt;=3,FALSE()),IFERROR(1*'Daily Workforce'!$K26&gt;=2,FALSE())),IF(AND('Daily Schedule'!$A29&gt;=46,'Daily Schedule'!$A29&lt;=52),'Daily Workforce'!$M26="Y",IFERROR(1*'Daily Workforce'!$P26&gt;=2,FALSE()))))),1,0)</f>
        <v>0</v>
      </c>
      <c r="AL25" s="1" t="n">
        <f aca="false">IF(AND('Daily Workforce'!$N27="Y",'Daily Workforce'!$B27&lt;&gt;"",COUNTIF('Daily Schedule'!$F$5:$F28,'Daily Workforce'!$B27)=0,IF('Daily Schedule'!$A29=45,'Daily Workforce'!$J27="Y",IF(OR('Daily Schedule'!$A29=4,'Daily Schedule'!$A29=8),IF(OR(WEEKDAY('Daily Schedule'!$B$2,2)=1,WEEKDAY('Daily Schedule'!$B$2,2)=4,WEEKDAY('Daily Schedule'!$B$2,2)=5,WEEKDAY('Daily Schedule'!$B$2,2)=7),IFERROR(1*'Daily Workforce'!$K27&gt;=3,FALSE()),IFERROR(1*'Daily Workforce'!$K27&gt;=2,FALSE())),IF(AND('Daily Schedule'!$A29&gt;=46,'Daily Schedule'!$A29&lt;=52),'Daily Workforce'!$M27="Y",IFERROR(1*'Daily Workforce'!$P27&gt;=2,FALSE()))))),1,0)</f>
        <v>0</v>
      </c>
      <c r="AM25" s="1" t="n">
        <f aca="false">IF(AND('Daily Workforce'!$N28="Y",'Daily Workforce'!$B28&lt;&gt;"",COUNTIF('Daily Schedule'!$F$5:$F28,'Daily Workforce'!$B28)=0,IF('Daily Schedule'!$A29=45,'Daily Workforce'!$J28="Y",IF(OR('Daily Schedule'!$A29=4,'Daily Schedule'!$A29=8),IF(OR(WEEKDAY('Daily Schedule'!$B$2,2)=1,WEEKDAY('Daily Schedule'!$B$2,2)=4,WEEKDAY('Daily Schedule'!$B$2,2)=5,WEEKDAY('Daily Schedule'!$B$2,2)=7),IFERROR(1*'Daily Workforce'!$K28&gt;=3,FALSE()),IFERROR(1*'Daily Workforce'!$K28&gt;=2,FALSE())),IF(AND('Daily Schedule'!$A29&gt;=46,'Daily Schedule'!$A29&lt;=52),'Daily Workforce'!$M28="Y",IFERROR(1*'Daily Workforce'!$P28&gt;=2,FALSE()))))),1,0)</f>
        <v>0</v>
      </c>
      <c r="AN25" s="1" t="n">
        <f aca="false">IF(AND('Daily Workforce'!$N29="Y",'Daily Workforce'!$B29&lt;&gt;"",COUNTIF('Daily Schedule'!$F$5:$F28,'Daily Workforce'!$B29)=0,IF('Daily Schedule'!$A29=45,'Daily Workforce'!$J29="Y",IF(OR('Daily Schedule'!$A29=4,'Daily Schedule'!$A29=8),IF(OR(WEEKDAY('Daily Schedule'!$B$2,2)=1,WEEKDAY('Daily Schedule'!$B$2,2)=4,WEEKDAY('Daily Schedule'!$B$2,2)=5,WEEKDAY('Daily Schedule'!$B$2,2)=7),IFERROR(1*'Daily Workforce'!$K29&gt;=3,FALSE()),IFERROR(1*'Daily Workforce'!$K29&gt;=2,FALSE())),IF(AND('Daily Schedule'!$A29&gt;=46,'Daily Schedule'!$A29&lt;=52),'Daily Workforce'!$M29="Y",IFERROR(1*'Daily Workforce'!$P29&gt;=2,FALSE()))))),1,0)</f>
        <v>0</v>
      </c>
      <c r="AO25" s="1" t="n">
        <f aca="false">IF(AND('Daily Workforce'!$N30="Y",'Daily Workforce'!$B30&lt;&gt;"",COUNTIF('Daily Schedule'!$F$5:$F28,'Daily Workforce'!$B30)=0,IF('Daily Schedule'!$A29=45,'Daily Workforce'!$J30="Y",IF(OR('Daily Schedule'!$A29=4,'Daily Schedule'!$A29=8),IF(OR(WEEKDAY('Daily Schedule'!$B$2,2)=1,WEEKDAY('Daily Schedule'!$B$2,2)=4,WEEKDAY('Daily Schedule'!$B$2,2)=5,WEEKDAY('Daily Schedule'!$B$2,2)=7),IFERROR(1*'Daily Workforce'!$K30&gt;=3,FALSE()),IFERROR(1*'Daily Workforce'!$K30&gt;=2,FALSE())),IF(AND('Daily Schedule'!$A29&gt;=46,'Daily Schedule'!$A29&lt;=52),'Daily Workforce'!$M30="Y",IFERROR(1*'Daily Workforce'!$P30&gt;=2,FALSE()))))),1,0)</f>
        <v>0</v>
      </c>
      <c r="AP25" s="1" t="n">
        <f aca="false">IF(AND('Daily Workforce'!$N31="Y",'Daily Workforce'!$B31&lt;&gt;"",COUNTIF('Daily Schedule'!$F$5:$F28,'Daily Workforce'!$B31)=0,IF('Daily Schedule'!$A29=45,'Daily Workforce'!$J31="Y",IF(OR('Daily Schedule'!$A29=4,'Daily Schedule'!$A29=8),IF(OR(WEEKDAY('Daily Schedule'!$B$2,2)=1,WEEKDAY('Daily Schedule'!$B$2,2)=4,WEEKDAY('Daily Schedule'!$B$2,2)=5,WEEKDAY('Daily Schedule'!$B$2,2)=7),IFERROR(1*'Daily Workforce'!$K31&gt;=3,FALSE()),IFERROR(1*'Daily Workforce'!$K31&gt;=2,FALSE())),IF(AND('Daily Schedule'!$A29&gt;=46,'Daily Schedule'!$A29&lt;=52),'Daily Workforce'!$M31="Y",IFERROR(1*'Daily Workforce'!$P31&gt;=2,FALSE()))))),1,0)</f>
        <v>0</v>
      </c>
      <c r="AQ25" s="1" t="n">
        <f aca="false">IF(AND('Daily Workforce'!$N32="Y",'Daily Workforce'!$B32&lt;&gt;"",COUNTIF('Daily Schedule'!$F$5:$F28,'Daily Workforce'!$B32)=0,IF('Daily Schedule'!$A29=45,'Daily Workforce'!$J32="Y",IF(OR('Daily Schedule'!$A29=4,'Daily Schedule'!$A29=8),IF(OR(WEEKDAY('Daily Schedule'!$B$2,2)=1,WEEKDAY('Daily Schedule'!$B$2,2)=4,WEEKDAY('Daily Schedule'!$B$2,2)=5,WEEKDAY('Daily Schedule'!$B$2,2)=7),IFERROR(1*'Daily Workforce'!$K32&gt;=3,FALSE()),IFERROR(1*'Daily Workforce'!$K32&gt;=2,FALSE())),IF(AND('Daily Schedule'!$A29&gt;=46,'Daily Schedule'!$A29&lt;=52),'Daily Workforce'!$M32="Y",IFERROR(1*'Daily Workforce'!$P32&gt;=2,FALSE()))))),1,0)</f>
        <v>0</v>
      </c>
      <c r="AR25" s="1" t="n">
        <f aca="false">IF(AND('Daily Workforce'!$N33="Y",'Daily Workforce'!$B33&lt;&gt;"",COUNTIF('Daily Schedule'!$F$5:$F28,'Daily Workforce'!$B33)=0,IF('Daily Schedule'!$A29=45,'Daily Workforce'!$J33="Y",IF(OR('Daily Schedule'!$A29=4,'Daily Schedule'!$A29=8),IF(OR(WEEKDAY('Daily Schedule'!$B$2,2)=1,WEEKDAY('Daily Schedule'!$B$2,2)=4,WEEKDAY('Daily Schedule'!$B$2,2)=5,WEEKDAY('Daily Schedule'!$B$2,2)=7),IFERROR(1*'Daily Workforce'!$K33&gt;=3,FALSE()),IFERROR(1*'Daily Workforce'!$K33&gt;=2,FALSE())),IF(AND('Daily Schedule'!$A29&gt;=46,'Daily Schedule'!$A29&lt;=52),'Daily Workforce'!$M33="Y",IFERROR(1*'Daily Workforce'!$P33&gt;=2,FALSE()))))),1,0)</f>
        <v>0</v>
      </c>
      <c r="AS25" s="1" t="n">
        <f aca="false">IF(AND('Daily Workforce'!$N34="Y",'Daily Workforce'!$B34&lt;&gt;"",COUNTIF('Daily Schedule'!$F$5:$F28,'Daily Workforce'!$B34)=0,IF('Daily Schedule'!$A29=45,'Daily Workforce'!$J34="Y",IF(OR('Daily Schedule'!$A29=4,'Daily Schedule'!$A29=8),IF(OR(WEEKDAY('Daily Schedule'!$B$2,2)=1,WEEKDAY('Daily Schedule'!$B$2,2)=4,WEEKDAY('Daily Schedule'!$B$2,2)=5,WEEKDAY('Daily Schedule'!$B$2,2)=7),IFERROR(1*'Daily Workforce'!$K34&gt;=3,FALSE()),IFERROR(1*'Daily Workforce'!$K34&gt;=2,FALSE())),IF(AND('Daily Schedule'!$A29&gt;=46,'Daily Schedule'!$A29&lt;=52),'Daily Workforce'!$M34="Y",IFERROR(1*'Daily Workforce'!$P34&gt;=2,FALSE()))))),1,0)</f>
        <v>0</v>
      </c>
      <c r="AT25" s="1" t="n">
        <f aca="false">IF(AND('Daily Workforce'!$N35="Y",'Daily Workforce'!$B35&lt;&gt;"",COUNTIF('Daily Schedule'!$F$5:$F28,'Daily Workforce'!$B35)=0,IF('Daily Schedule'!$A29=45,'Daily Workforce'!$J35="Y",IF(OR('Daily Schedule'!$A29=4,'Daily Schedule'!$A29=8),IF(OR(WEEKDAY('Daily Schedule'!$B$2,2)=1,WEEKDAY('Daily Schedule'!$B$2,2)=4,WEEKDAY('Daily Schedule'!$B$2,2)=5,WEEKDAY('Daily Schedule'!$B$2,2)=7),IFERROR(1*'Daily Workforce'!$K35&gt;=3,FALSE()),IFERROR(1*'Daily Workforce'!$K35&gt;=2,FALSE())),IF(AND('Daily Schedule'!$A29&gt;=46,'Daily Schedule'!$A29&lt;=52),'Daily Workforce'!$M35="Y",IFERROR(1*'Daily Workforce'!$P35&gt;=2,FALSE()))))),1,0)</f>
        <v>0</v>
      </c>
      <c r="AU25" s="1" t="n">
        <f aca="false">IF(AND('Daily Workforce'!$N36="Y",'Daily Workforce'!$B36&lt;&gt;"",COUNTIF('Daily Schedule'!$F$5:$F28,'Daily Workforce'!$B36)=0,IF('Daily Schedule'!$A29=45,'Daily Workforce'!$J36="Y",IF(OR('Daily Schedule'!$A29=4,'Daily Schedule'!$A29=8),IF(OR(WEEKDAY('Daily Schedule'!$B$2,2)=1,WEEKDAY('Daily Schedule'!$B$2,2)=4,WEEKDAY('Daily Schedule'!$B$2,2)=5,WEEKDAY('Daily Schedule'!$B$2,2)=7),IFERROR(1*'Daily Workforce'!$K36&gt;=3,FALSE()),IFERROR(1*'Daily Workforce'!$K36&gt;=2,FALSE())),IF(AND('Daily Schedule'!$A29&gt;=46,'Daily Schedule'!$A29&lt;=52),'Daily Workforce'!$M36="Y",IFERROR(1*'Daily Workforce'!$P36&gt;=2,FALSE()))))),1,0)</f>
        <v>0</v>
      </c>
      <c r="AV25" s="1" t="n">
        <f aca="false">IF(AND('Daily Workforce'!$N37="Y",'Daily Workforce'!$B37&lt;&gt;"",COUNTIF('Daily Schedule'!$F$5:$F28,'Daily Workforce'!$B37)=0,IF('Daily Schedule'!$A29=45,'Daily Workforce'!$J37="Y",IF(OR('Daily Schedule'!$A29=4,'Daily Schedule'!$A29=8),IF(OR(WEEKDAY('Daily Schedule'!$B$2,2)=1,WEEKDAY('Daily Schedule'!$B$2,2)=4,WEEKDAY('Daily Schedule'!$B$2,2)=5,WEEKDAY('Daily Schedule'!$B$2,2)=7),IFERROR(1*'Daily Workforce'!$K37&gt;=3,FALSE()),IFERROR(1*'Daily Workforce'!$K37&gt;=2,FALSE())),IF(AND('Daily Schedule'!$A29&gt;=46,'Daily Schedule'!$A29&lt;=52),'Daily Workforce'!$M37="Y",IFERROR(1*'Daily Workforce'!$P37&gt;=2,FALSE()))))),1,0)</f>
        <v>0</v>
      </c>
      <c r="AW25" s="1" t="n">
        <f aca="false">IF(AND('Daily Workforce'!$N38="Y",'Daily Workforce'!$B38&lt;&gt;"",COUNTIF('Daily Schedule'!$F$5:$F28,'Daily Workforce'!$B38)=0,IF('Daily Schedule'!$A29=45,'Daily Workforce'!$J38="Y",IF(OR('Daily Schedule'!$A29=4,'Daily Schedule'!$A29=8),IF(OR(WEEKDAY('Daily Schedule'!$B$2,2)=1,WEEKDAY('Daily Schedule'!$B$2,2)=4,WEEKDAY('Daily Schedule'!$B$2,2)=5,WEEKDAY('Daily Schedule'!$B$2,2)=7),IFERROR(1*'Daily Workforce'!$K38&gt;=3,FALSE()),IFERROR(1*'Daily Workforce'!$K38&gt;=2,FALSE())),IF(AND('Daily Schedule'!$A29&gt;=46,'Daily Schedule'!$A29&lt;=52),'Daily Workforce'!$M38="Y",IFERROR(1*'Daily Workforce'!$P38&gt;=2,FALSE()))))),1,0)</f>
        <v>0</v>
      </c>
      <c r="AX25" s="1" t="n">
        <f aca="false">IF(AND('Daily Workforce'!$N39="Y",'Daily Workforce'!$B39&lt;&gt;"",COUNTIF('Daily Schedule'!$F$5:$F28,'Daily Workforce'!$B39)=0,IF('Daily Schedule'!$A29=45,'Daily Workforce'!$J39="Y",IF(OR('Daily Schedule'!$A29=4,'Daily Schedule'!$A29=8),IF(OR(WEEKDAY('Daily Schedule'!$B$2,2)=1,WEEKDAY('Daily Schedule'!$B$2,2)=4,WEEKDAY('Daily Schedule'!$B$2,2)=5,WEEKDAY('Daily Schedule'!$B$2,2)=7),IFERROR(1*'Daily Workforce'!$K39&gt;=3,FALSE()),IFERROR(1*'Daily Workforce'!$K39&gt;=2,FALSE())),IF(AND('Daily Schedule'!$A29&gt;=46,'Daily Schedule'!$A29&lt;=52),'Daily Workforce'!$M39="Y",IFERROR(1*'Daily Workforce'!$P39&gt;=2,FALSE()))))),1,0)</f>
        <v>0</v>
      </c>
      <c r="AY25" s="1" t="n">
        <f aca="false">IF(AND('Daily Workforce'!$N40="Y",'Daily Workforce'!$B40&lt;&gt;"",COUNTIF('Daily Schedule'!$F$5:$F28,'Daily Workforce'!$B40)=0,IF('Daily Schedule'!$A29=45,'Daily Workforce'!$J40="Y",IF(OR('Daily Schedule'!$A29=4,'Daily Schedule'!$A29=8),IF(OR(WEEKDAY('Daily Schedule'!$B$2,2)=1,WEEKDAY('Daily Schedule'!$B$2,2)=4,WEEKDAY('Daily Schedule'!$B$2,2)=5,WEEKDAY('Daily Schedule'!$B$2,2)=7),IFERROR(1*'Daily Workforce'!$K40&gt;=3,FALSE()),IFERROR(1*'Daily Workforce'!$K40&gt;=2,FALSE())),IF(AND('Daily Schedule'!$A29&gt;=46,'Daily Schedule'!$A29&lt;=52),'Daily Workforce'!$M40="Y",IFERROR(1*'Daily Workforce'!$P40&gt;=2,FALSE()))))),1,0)</f>
        <v>0</v>
      </c>
      <c r="AZ25" s="1" t="n">
        <f aca="false">IF(AND('Daily Workforce'!$N41="Y",'Daily Workforce'!$B41&lt;&gt;"",COUNTIF('Daily Schedule'!$F$5:$F28,'Daily Workforce'!$B41)=0,IF('Daily Schedule'!$A29=45,'Daily Workforce'!$J41="Y",IF(OR('Daily Schedule'!$A29=4,'Daily Schedule'!$A29=8),IF(OR(WEEKDAY('Daily Schedule'!$B$2,2)=1,WEEKDAY('Daily Schedule'!$B$2,2)=4,WEEKDAY('Daily Schedule'!$B$2,2)=5,WEEKDAY('Daily Schedule'!$B$2,2)=7),IFERROR(1*'Daily Workforce'!$K41&gt;=3,FALSE()),IFERROR(1*'Daily Workforce'!$K41&gt;=2,FALSE())),IF(AND('Daily Schedule'!$A29&gt;=46,'Daily Schedule'!$A29&lt;=52),'Daily Workforce'!$M41="Y",IFERROR(1*'Daily Workforce'!$P41&gt;=2,FALSE()))))),1,0)</f>
        <v>0</v>
      </c>
      <c r="BA25" s="1" t="n">
        <f aca="false">IF(AND('Daily Workforce'!$N42="Y",'Daily Workforce'!$B42&lt;&gt;"",COUNTIF('Daily Schedule'!$F$5:$F28,'Daily Workforce'!$B42)=0,IF('Daily Schedule'!$A29=45,'Daily Workforce'!$J42="Y",IF(OR('Daily Schedule'!$A29=4,'Daily Schedule'!$A29=8),IF(OR(WEEKDAY('Daily Schedule'!$B$2,2)=1,WEEKDAY('Daily Schedule'!$B$2,2)=4,WEEKDAY('Daily Schedule'!$B$2,2)=5,WEEKDAY('Daily Schedule'!$B$2,2)=7),IFERROR(1*'Daily Workforce'!$K42&gt;=3,FALSE()),IFERROR(1*'Daily Workforce'!$K42&gt;=2,FALSE())),IF(AND('Daily Schedule'!$A29&gt;=46,'Daily Schedule'!$A29&lt;=52),'Daily Workforce'!$M42="Y",IFERROR(1*'Daily Workforce'!$P42&gt;=2,FALSE()))))),1,0)</f>
        <v>0</v>
      </c>
      <c r="BB25" s="1" t="n">
        <f aca="false">IF(AND('Daily Workforce'!$N43="Y",'Daily Workforce'!$B43&lt;&gt;"",COUNTIF('Daily Schedule'!$F$5:$F28,'Daily Workforce'!$B43)=0,IF('Daily Schedule'!$A29=45,'Daily Workforce'!$J43="Y",IF(OR('Daily Schedule'!$A29=4,'Daily Schedule'!$A29=8),IF(OR(WEEKDAY('Daily Schedule'!$B$2,2)=1,WEEKDAY('Daily Schedule'!$B$2,2)=4,WEEKDAY('Daily Schedule'!$B$2,2)=5,WEEKDAY('Daily Schedule'!$B$2,2)=7),IFERROR(1*'Daily Workforce'!$K43&gt;=3,FALSE()),IFERROR(1*'Daily Workforce'!$K43&gt;=2,FALSE())),IF(AND('Daily Schedule'!$A29&gt;=46,'Daily Schedule'!$A29&lt;=52),'Daily Workforce'!$M43="Y",IFERROR(1*'Daily Workforce'!$P43&gt;=2,FALSE()))))),1,0)</f>
        <v>0</v>
      </c>
      <c r="BC25" s="1" t="n">
        <f aca="false">IF(AND('Daily Workforce'!$N44="Y",'Daily Workforce'!$B44&lt;&gt;"",COUNTIF('Daily Schedule'!$F$5:$F28,'Daily Workforce'!$B44)=0,IF('Daily Schedule'!$A29=45,'Daily Workforce'!$J44="Y",IF(OR('Daily Schedule'!$A29=4,'Daily Schedule'!$A29=8),IF(OR(WEEKDAY('Daily Schedule'!$B$2,2)=1,WEEKDAY('Daily Schedule'!$B$2,2)=4,WEEKDAY('Daily Schedule'!$B$2,2)=5,WEEKDAY('Daily Schedule'!$B$2,2)=7),IFERROR(1*'Daily Workforce'!$K44&gt;=3,FALSE()),IFERROR(1*'Daily Workforce'!$K44&gt;=2,FALSE())),IF(AND('Daily Schedule'!$A29&gt;=46,'Daily Schedule'!$A29&lt;=52),'Daily Workforce'!$M44="Y",IFERROR(1*'Daily Workforce'!$P44&gt;=2,FALSE()))))),1,0)</f>
        <v>0</v>
      </c>
      <c r="BD25" s="1" t="n">
        <f aca="false">IF(AND('Daily Workforce'!$N45="Y",'Daily Workforce'!$B45&lt;&gt;"",COUNTIF('Daily Schedule'!$F$5:$F28,'Daily Workforce'!$B45)=0,IF('Daily Schedule'!$A29=45,'Daily Workforce'!$J45="Y",IF(OR('Daily Schedule'!$A29=4,'Daily Schedule'!$A29=8),IF(OR(WEEKDAY('Daily Schedule'!$B$2,2)=1,WEEKDAY('Daily Schedule'!$B$2,2)=4,WEEKDAY('Daily Schedule'!$B$2,2)=5,WEEKDAY('Daily Schedule'!$B$2,2)=7),IFERROR(1*'Daily Workforce'!$K45&gt;=3,FALSE()),IFERROR(1*'Daily Workforce'!$K45&gt;=2,FALSE())),IF(AND('Daily Schedule'!$A29&gt;=46,'Daily Schedule'!$A29&lt;=52),'Daily Workforce'!$M45="Y",IFERROR(1*'Daily Workforce'!$P45&gt;=2,FALSE()))))),1,0)</f>
        <v>0</v>
      </c>
      <c r="BE25" s="1" t="n">
        <f aca="false">IF(AND('Daily Workforce'!$N46="Y",'Daily Workforce'!$B46&lt;&gt;"",COUNTIF('Daily Schedule'!$F$5:$F28,'Daily Workforce'!$B46)=0,IF('Daily Schedule'!$A29=45,'Daily Workforce'!$J46="Y",IF(OR('Daily Schedule'!$A29=4,'Daily Schedule'!$A29=8),IF(OR(WEEKDAY('Daily Schedule'!$B$2,2)=1,WEEKDAY('Daily Schedule'!$B$2,2)=4,WEEKDAY('Daily Schedule'!$B$2,2)=5,WEEKDAY('Daily Schedule'!$B$2,2)=7),IFERROR(1*'Daily Workforce'!$K46&gt;=3,FALSE()),IFERROR(1*'Daily Workforce'!$K46&gt;=2,FALSE())),IF(AND('Daily Schedule'!$A29&gt;=46,'Daily Schedule'!$A29&lt;=52),'Daily Workforce'!$M46="Y",IFERROR(1*'Daily Workforce'!$P46&gt;=2,FALSE()))))),1,0)</f>
        <v>0</v>
      </c>
      <c r="BF25" s="1" t="n">
        <f aca="false">IF(AND('Daily Workforce'!$N47="Y",'Daily Workforce'!$B47&lt;&gt;"",COUNTIF('Daily Schedule'!$F$5:$F28,'Daily Workforce'!$B47)=0,IF('Daily Schedule'!$A29=45,'Daily Workforce'!$J47="Y",IF(OR('Daily Schedule'!$A29=4,'Daily Schedule'!$A29=8),IF(OR(WEEKDAY('Daily Schedule'!$B$2,2)=1,WEEKDAY('Daily Schedule'!$B$2,2)=4,WEEKDAY('Daily Schedule'!$B$2,2)=5,WEEKDAY('Daily Schedule'!$B$2,2)=7),IFERROR(1*'Daily Workforce'!$K47&gt;=3,FALSE()),IFERROR(1*'Daily Workforce'!$K47&gt;=2,FALSE())),IF(AND('Daily Schedule'!$A29&gt;=46,'Daily Schedule'!$A29&lt;=52),'Daily Workforce'!$M47="Y",IFERROR(1*'Daily Workforce'!$P47&gt;=2,FALSE()))))),1,0)</f>
        <v>0</v>
      </c>
      <c r="BG25" s="1" t="n">
        <f aca="false">IF(AND('Daily Workforce'!$N48="Y",'Daily Workforce'!$B48&lt;&gt;"",COUNTIF('Daily Schedule'!$F$5:$F28,'Daily Workforce'!$B48)=0,IF('Daily Schedule'!$A29=45,'Daily Workforce'!$J48="Y",IF(OR('Daily Schedule'!$A29=4,'Daily Schedule'!$A29=8),IF(OR(WEEKDAY('Daily Schedule'!$B$2,2)=1,WEEKDAY('Daily Schedule'!$B$2,2)=4,WEEKDAY('Daily Schedule'!$B$2,2)=5,WEEKDAY('Daily Schedule'!$B$2,2)=7),IFERROR(1*'Daily Workforce'!$K48&gt;=3,FALSE()),IFERROR(1*'Daily Workforce'!$K48&gt;=2,FALSE())),IF(AND('Daily Schedule'!$A29&gt;=46,'Daily Schedule'!$A29&lt;=52),'Daily Workforce'!$M48="Y",IFERROR(1*'Daily Workforce'!$P48&gt;=2,FALSE()))))),1,0)</f>
        <v>0</v>
      </c>
      <c r="BH25" s="1" t="n">
        <f aca="false">IF(AND('Daily Workforce'!$N49="Y",'Daily Workforce'!$B49&lt;&gt;"",COUNTIF('Daily Schedule'!$F$5:$F28,'Daily Workforce'!$B49)=0,IF('Daily Schedule'!$A29=45,'Daily Workforce'!$J49="Y",IF(OR('Daily Schedule'!$A29=4,'Daily Schedule'!$A29=8),IF(OR(WEEKDAY('Daily Schedule'!$B$2,2)=1,WEEKDAY('Daily Schedule'!$B$2,2)=4,WEEKDAY('Daily Schedule'!$B$2,2)=5,WEEKDAY('Daily Schedule'!$B$2,2)=7),IFERROR(1*'Daily Workforce'!$K49&gt;=3,FALSE()),IFERROR(1*'Daily Workforce'!$K49&gt;=2,FALSE())),IF(AND('Daily Schedule'!$A29&gt;=46,'Daily Schedule'!$A29&lt;=52),'Daily Workforce'!$M49="Y",IFERROR(1*'Daily Workforce'!$P49&gt;=2,FALSE()))))),1,0)</f>
        <v>0</v>
      </c>
      <c r="BI25" s="1" t="n">
        <f aca="false">IF(AND('Daily Workforce'!$N50="Y",'Daily Workforce'!$B50&lt;&gt;"",COUNTIF('Daily Schedule'!$F$5:$F28,'Daily Workforce'!$B50)=0,IF('Daily Schedule'!$A29=45,'Daily Workforce'!$J50="Y",IF(OR('Daily Schedule'!$A29=4,'Daily Schedule'!$A29=8),IF(OR(WEEKDAY('Daily Schedule'!$B$2,2)=1,WEEKDAY('Daily Schedule'!$B$2,2)=4,WEEKDAY('Daily Schedule'!$B$2,2)=5,WEEKDAY('Daily Schedule'!$B$2,2)=7),IFERROR(1*'Daily Workforce'!$K50&gt;=3,FALSE()),IFERROR(1*'Daily Workforce'!$K50&gt;=2,FALSE())),IF(AND('Daily Schedule'!$A29&gt;=46,'Daily Schedule'!$A29&lt;=52),'Daily Workforce'!$M50="Y",IFERROR(1*'Daily Workforce'!$P50&gt;=2,FALSE()))))),1,0)</f>
        <v>0</v>
      </c>
      <c r="BJ25" s="1" t="n">
        <f aca="false">IF(AND('Daily Workforce'!$N51="Y",'Daily Workforce'!$B51&lt;&gt;"",COUNTIF('Daily Schedule'!$F$5:$F28,'Daily Workforce'!$B51)=0,IF('Daily Schedule'!$A29=45,'Daily Workforce'!$J51="Y",IF(OR('Daily Schedule'!$A29=4,'Daily Schedule'!$A29=8),IF(OR(WEEKDAY('Daily Schedule'!$B$2,2)=1,WEEKDAY('Daily Schedule'!$B$2,2)=4,WEEKDAY('Daily Schedule'!$B$2,2)=5,WEEKDAY('Daily Schedule'!$B$2,2)=7),IFERROR(1*'Daily Workforce'!$K51&gt;=3,FALSE()),IFERROR(1*'Daily Workforce'!$K51&gt;=2,FALSE())),IF(AND('Daily Schedule'!$A29&gt;=46,'Daily Schedule'!$A29&lt;=52),'Daily Workforce'!$M51="Y",IFERROR(1*'Daily Workforce'!$P51&gt;=2,FALSE()))))),1,0)</f>
        <v>0</v>
      </c>
      <c r="BK25" s="1" t="n">
        <f aca="false">IF(AND('Daily Workforce'!$N52="Y",'Daily Workforce'!$B52&lt;&gt;"",COUNTIF('Daily Schedule'!$F$5:$F28,'Daily Workforce'!$B52)=0,IF('Daily Schedule'!$A29=45,'Daily Workforce'!$J52="Y",IF(OR('Daily Schedule'!$A29=4,'Daily Schedule'!$A29=8),IF(OR(WEEKDAY('Daily Schedule'!$B$2,2)=1,WEEKDAY('Daily Schedule'!$B$2,2)=4,WEEKDAY('Daily Schedule'!$B$2,2)=5,WEEKDAY('Daily Schedule'!$B$2,2)=7),IFERROR(1*'Daily Workforce'!$K52&gt;=3,FALSE()),IFERROR(1*'Daily Workforce'!$K52&gt;=2,FALSE())),IF(AND('Daily Schedule'!$A29&gt;=46,'Daily Schedule'!$A29&lt;=52),'Daily Workforce'!$M52="Y",IFERROR(1*'Daily Workforce'!$P52&gt;=2,FALSE()))))),1,0)</f>
        <v>0</v>
      </c>
      <c r="BL25" s="1" t="n">
        <f aca="false">IF(AND('Daily Workforce'!$N53="Y",'Daily Workforce'!$B53&lt;&gt;"",COUNTIF('Daily Schedule'!$F$5:$F28,'Daily Workforce'!$B53)=0,IF('Daily Schedule'!$A29=45,'Daily Workforce'!$J53="Y",IF(OR('Daily Schedule'!$A29=4,'Daily Schedule'!$A29=8),IF(OR(WEEKDAY('Daily Schedule'!$B$2,2)=1,WEEKDAY('Daily Schedule'!$B$2,2)=4,WEEKDAY('Daily Schedule'!$B$2,2)=5,WEEKDAY('Daily Schedule'!$B$2,2)=7),IFERROR(1*'Daily Workforce'!$K53&gt;=3,FALSE()),IFERROR(1*'Daily Workforce'!$K53&gt;=2,FALSE())),IF(AND('Daily Schedule'!$A29&gt;=46,'Daily Schedule'!$A29&lt;=52),'Daily Workforce'!$M53="Y",IFERROR(1*'Daily Workforce'!$P53&gt;=2,FALSE()))))),1,0)</f>
        <v>0</v>
      </c>
      <c r="BM25" s="1" t="n">
        <f aca="false">IF(AND('Daily Workforce'!$N54="Y",'Daily Workforce'!$B54&lt;&gt;"",COUNTIF('Daily Schedule'!$F$5:$F28,'Daily Workforce'!$B54)=0,IF('Daily Schedule'!$A29=45,'Daily Workforce'!$J54="Y",IF(OR('Daily Schedule'!$A29=4,'Daily Schedule'!$A29=8),IF(OR(WEEKDAY('Daily Schedule'!$B$2,2)=1,WEEKDAY('Daily Schedule'!$B$2,2)=4,WEEKDAY('Daily Schedule'!$B$2,2)=5,WEEKDAY('Daily Schedule'!$B$2,2)=7),IFERROR(1*'Daily Workforce'!$K54&gt;=3,FALSE()),IFERROR(1*'Daily Workforce'!$K54&gt;=2,FALSE())),IF(AND('Daily Schedule'!$A29&gt;=46,'Daily Schedule'!$A29&lt;=52),'Daily Workforce'!$M54="Y",IFERROR(1*'Daily Workforce'!$P54&gt;=2,FALSE()))))),1,0)</f>
        <v>0</v>
      </c>
      <c r="BN25" s="1" t="n">
        <f aca="false">IF(AND('Daily Workforce'!$N55="Y",'Daily Workforce'!$B55&lt;&gt;"",COUNTIF('Daily Schedule'!$F$5:$F28,'Daily Workforce'!$B55)=0,IF('Daily Schedule'!$A29=45,'Daily Workforce'!$J55="Y",IF(OR('Daily Schedule'!$A29=4,'Daily Schedule'!$A29=8),IF(OR(WEEKDAY('Daily Schedule'!$B$2,2)=1,WEEKDAY('Daily Schedule'!$B$2,2)=4,WEEKDAY('Daily Schedule'!$B$2,2)=5,WEEKDAY('Daily Schedule'!$B$2,2)=7),IFERROR(1*'Daily Workforce'!$K55&gt;=3,FALSE()),IFERROR(1*'Daily Workforce'!$K55&gt;=2,FALSE())),IF(AND('Daily Schedule'!$A29&gt;=46,'Daily Schedule'!$A29&lt;=52),'Daily Workforce'!$M55="Y",IFERROR(1*'Daily Workforce'!$P55&gt;=2,FALSE()))))),1,0)</f>
        <v>0</v>
      </c>
      <c r="BO25" s="1" t="n">
        <f aca="false">IF(AND('Daily Workforce'!$N56="Y",'Daily Workforce'!$B56&lt;&gt;"",COUNTIF('Daily Schedule'!$F$5:$F28,'Daily Workforce'!$B56)=0,IF('Daily Schedule'!$A29=45,'Daily Workforce'!$J56="Y",IF(OR('Daily Schedule'!$A29=4,'Daily Schedule'!$A29=8),IF(OR(WEEKDAY('Daily Schedule'!$B$2,2)=1,WEEKDAY('Daily Schedule'!$B$2,2)=4,WEEKDAY('Daily Schedule'!$B$2,2)=5,WEEKDAY('Daily Schedule'!$B$2,2)=7),IFERROR(1*'Daily Workforce'!$K56&gt;=3,FALSE()),IFERROR(1*'Daily Workforce'!$K56&gt;=2,FALSE())),IF(AND('Daily Schedule'!$A29&gt;=46,'Daily Schedule'!$A29&lt;=52),'Daily Workforce'!$M56="Y",IFERROR(1*'Daily Workforce'!$P56&gt;=2,FALSE()))))),1,0)</f>
        <v>0</v>
      </c>
      <c r="BP25" s="1" t="n">
        <f aca="false">IF(AND('Daily Workforce'!$N57="Y",'Daily Workforce'!$B57&lt;&gt;"",COUNTIF('Daily Schedule'!$F$5:$F28,'Daily Workforce'!$B57)=0,IF('Daily Schedule'!$A29=45,'Daily Workforce'!$J57="Y",IF(OR('Daily Schedule'!$A29=4,'Daily Schedule'!$A29=8),IF(OR(WEEKDAY('Daily Schedule'!$B$2,2)=1,WEEKDAY('Daily Schedule'!$B$2,2)=4,WEEKDAY('Daily Schedule'!$B$2,2)=5,WEEKDAY('Daily Schedule'!$B$2,2)=7),IFERROR(1*'Daily Workforce'!$K57&gt;=3,FALSE()),IFERROR(1*'Daily Workforce'!$K57&gt;=2,FALSE())),IF(AND('Daily Schedule'!$A29&gt;=46,'Daily Schedule'!$A29&lt;=52),'Daily Workforce'!$M57="Y",IFERROR(1*'Daily Workforce'!$P57&gt;=2,FALSE()))))),1,0)</f>
        <v>0</v>
      </c>
      <c r="BQ25" s="1" t="n">
        <f aca="false">IF(AND('Daily Workforce'!$N58="Y",'Daily Workforce'!$B58&lt;&gt;"",COUNTIF('Daily Schedule'!$F$5:$F28,'Daily Workforce'!$B58)=0,IF('Daily Schedule'!$A29=45,'Daily Workforce'!$J58="Y",IF(OR('Daily Schedule'!$A29=4,'Daily Schedule'!$A29=8),IF(OR(WEEKDAY('Daily Schedule'!$B$2,2)=1,WEEKDAY('Daily Schedule'!$B$2,2)=4,WEEKDAY('Daily Schedule'!$B$2,2)=5,WEEKDAY('Daily Schedule'!$B$2,2)=7),IFERROR(1*'Daily Workforce'!$K58&gt;=3,FALSE()),IFERROR(1*'Daily Workforce'!$K58&gt;=2,FALSE())),IF(AND('Daily Schedule'!$A29&gt;=46,'Daily Schedule'!$A29&lt;=52),'Daily Workforce'!$M58="Y",IFERROR(1*'Daily Workforce'!$P58&gt;=2,FALSE()))))),1,0)</f>
        <v>0</v>
      </c>
      <c r="BR25" s="1" t="n">
        <f aca="false">IF(AND('Daily Workforce'!$N59="Y",'Daily Workforce'!$B59&lt;&gt;"",COUNTIF('Daily Schedule'!$F$5:$F28,'Daily Workforce'!$B59)=0,IF('Daily Schedule'!$A29=45,'Daily Workforce'!$J59="Y",IF(OR('Daily Schedule'!$A29=4,'Daily Schedule'!$A29=8),IF(OR(WEEKDAY('Daily Schedule'!$B$2,2)=1,WEEKDAY('Daily Schedule'!$B$2,2)=4,WEEKDAY('Daily Schedule'!$B$2,2)=5,WEEKDAY('Daily Schedule'!$B$2,2)=7),IFERROR(1*'Daily Workforce'!$K59&gt;=3,FALSE()),IFERROR(1*'Daily Workforce'!$K59&gt;=2,FALSE())),IF(AND('Daily Schedule'!$A29&gt;=46,'Daily Schedule'!$A29&lt;=52),'Daily Workforce'!$M59="Y",IFERROR(1*'Daily Workforce'!$P59&gt;=2,FALSE()))))),1,0)</f>
        <v>0</v>
      </c>
      <c r="BS25" s="1" t="n">
        <f aca="false">IF(AND('Daily Workforce'!$N60="Y",'Daily Workforce'!$B60&lt;&gt;"",COUNTIF('Daily Schedule'!$F$5:$F28,'Daily Workforce'!$B60)=0,IF('Daily Schedule'!$A29=45,'Daily Workforce'!$J60="Y",IF(OR('Daily Schedule'!$A29=4,'Daily Schedule'!$A29=8),IF(OR(WEEKDAY('Daily Schedule'!$B$2,2)=1,WEEKDAY('Daily Schedule'!$B$2,2)=4,WEEKDAY('Daily Schedule'!$B$2,2)=5,WEEKDAY('Daily Schedule'!$B$2,2)=7),IFERROR(1*'Daily Workforce'!$K60&gt;=3,FALSE()),IFERROR(1*'Daily Workforce'!$K60&gt;=2,FALSE())),IF(AND('Daily Schedule'!$A29&gt;=46,'Daily Schedule'!$A29&lt;=52),'Daily Workforce'!$M60="Y",IFERROR(1*'Daily Workforce'!$P60&gt;=2,FALSE()))))),1,0)</f>
        <v>0</v>
      </c>
      <c r="BT25" s="1" t="n">
        <f aca="false">IF(AND('Daily Workforce'!$N61="Y",'Daily Workforce'!$B61&lt;&gt;"",COUNTIF('Daily Schedule'!$F$5:$F28,'Daily Workforce'!$B61)=0,IF('Daily Schedule'!$A29=45,'Daily Workforce'!$J61="Y",IF(OR('Daily Schedule'!$A29=4,'Daily Schedule'!$A29=8),IF(OR(WEEKDAY('Daily Schedule'!$B$2,2)=1,WEEKDAY('Daily Schedule'!$B$2,2)=4,WEEKDAY('Daily Schedule'!$B$2,2)=5,WEEKDAY('Daily Schedule'!$B$2,2)=7),IFERROR(1*'Daily Workforce'!$K61&gt;=3,FALSE()),IFERROR(1*'Daily Workforce'!$K61&gt;=2,FALSE())),IF(AND('Daily Schedule'!$A29&gt;=46,'Daily Schedule'!$A29&lt;=52),'Daily Workforce'!$M61="Y",IFERROR(1*'Daily Workforce'!$P61&gt;=2,FALSE()))))),1,0)</f>
        <v>0</v>
      </c>
      <c r="BU25" s="1" t="n">
        <f aca="false">IF(AND('Daily Workforce'!$N62="Y",'Daily Workforce'!$B62&lt;&gt;"",COUNTIF('Daily Schedule'!$F$5:$F28,'Daily Workforce'!$B62)=0,IF('Daily Schedule'!$A29=45,'Daily Workforce'!$J62="Y",IF(OR('Daily Schedule'!$A29=4,'Daily Schedule'!$A29=8),IF(OR(WEEKDAY('Daily Schedule'!$B$2,2)=1,WEEKDAY('Daily Schedule'!$B$2,2)=4,WEEKDAY('Daily Schedule'!$B$2,2)=5,WEEKDAY('Daily Schedule'!$B$2,2)=7),IFERROR(1*'Daily Workforce'!$K62&gt;=3,FALSE()),IFERROR(1*'Daily Workforce'!$K62&gt;=2,FALSE())),IF(AND('Daily Schedule'!$A29&gt;=46,'Daily Schedule'!$A29&lt;=52),'Daily Workforce'!$M62="Y",IFERROR(1*'Daily Workforce'!$P62&gt;=2,FALSE()))))),1,0)</f>
        <v>0</v>
      </c>
      <c r="BV25" s="1" t="n">
        <f aca="false">IF(AND('Daily Workforce'!$N63="Y",'Daily Workforce'!$B63&lt;&gt;"",COUNTIF('Daily Schedule'!$F$5:$F28,'Daily Workforce'!$B63)=0,IF('Daily Schedule'!$A29=45,'Daily Workforce'!$J63="Y",IF(OR('Daily Schedule'!$A29=4,'Daily Schedule'!$A29=8),IF(OR(WEEKDAY('Daily Schedule'!$B$2,2)=1,WEEKDAY('Daily Schedule'!$B$2,2)=4,WEEKDAY('Daily Schedule'!$B$2,2)=5,WEEKDAY('Daily Schedule'!$B$2,2)=7),IFERROR(1*'Daily Workforce'!$K63&gt;=3,FALSE()),IFERROR(1*'Daily Workforce'!$K63&gt;=2,FALSE())),IF(AND('Daily Schedule'!$A29&gt;=46,'Daily Schedule'!$A29&lt;=52),'Daily Workforce'!$M63="Y",IFERROR(1*'Daily Workforce'!$P63&gt;=2,FALSE()))))),1,0)</f>
        <v>0</v>
      </c>
      <c r="BW25" s="1" t="n">
        <f aca="false">IF(AND('Daily Workforce'!$N64="Y",'Daily Workforce'!$B64&lt;&gt;"",COUNTIF('Daily Schedule'!$F$5:$F28,'Daily Workforce'!$B64)=0,IF('Daily Schedule'!$A29=45,'Daily Workforce'!$J64="Y",IF(OR('Daily Schedule'!$A29=4,'Daily Schedule'!$A29=8),IF(OR(WEEKDAY('Daily Schedule'!$B$2,2)=1,WEEKDAY('Daily Schedule'!$B$2,2)=4,WEEKDAY('Daily Schedule'!$B$2,2)=5,WEEKDAY('Daily Schedule'!$B$2,2)=7),IFERROR(1*'Daily Workforce'!$K64&gt;=3,FALSE()),IFERROR(1*'Daily Workforce'!$K64&gt;=2,FALSE())),IF(AND('Daily Schedule'!$A29&gt;=46,'Daily Schedule'!$A29&lt;=52),'Daily Workforce'!$M64="Y",IFERROR(1*'Daily Workforce'!$P64&gt;=2,FALSE()))))),1,0)</f>
        <v>0</v>
      </c>
      <c r="BX25" s="1" t="n">
        <f aca="false">IF(AND('Daily Workforce'!$N65="Y",'Daily Workforce'!$B65&lt;&gt;"",COUNTIF('Daily Schedule'!$F$5:$F28,'Daily Workforce'!$B65)=0,IF('Daily Schedule'!$A29=45,'Daily Workforce'!$J65="Y",IF(OR('Daily Schedule'!$A29=4,'Daily Schedule'!$A29=8),IF(OR(WEEKDAY('Daily Schedule'!$B$2,2)=1,WEEKDAY('Daily Schedule'!$B$2,2)=4,WEEKDAY('Daily Schedule'!$B$2,2)=5,WEEKDAY('Daily Schedule'!$B$2,2)=7),IFERROR(1*'Daily Workforce'!$K65&gt;=3,FALSE()),IFERROR(1*'Daily Workforce'!$K65&gt;=2,FALSE())),IF(AND('Daily Schedule'!$A29&gt;=46,'Daily Schedule'!$A29&lt;=52),'Daily Workforce'!$M65="Y",IFERROR(1*'Daily Workforce'!$P65&gt;=2,FALSE()))))),1,0)</f>
        <v>0</v>
      </c>
      <c r="BY25" s="1" t="n">
        <f aca="false">IF(AND('Daily Workforce'!$N66="Y",'Daily Workforce'!$B66&lt;&gt;"",COUNTIF('Daily Schedule'!$F$5:$F28,'Daily Workforce'!$B66)=0,IF('Daily Schedule'!$A29=45,'Daily Workforce'!$J66="Y",IF(OR('Daily Schedule'!$A29=4,'Daily Schedule'!$A29=8),IF(OR(WEEKDAY('Daily Schedule'!$B$2,2)=1,WEEKDAY('Daily Schedule'!$B$2,2)=4,WEEKDAY('Daily Schedule'!$B$2,2)=5,WEEKDAY('Daily Schedule'!$B$2,2)=7),IFERROR(1*'Daily Workforce'!$K66&gt;=3,FALSE()),IFERROR(1*'Daily Workforce'!$K66&gt;=2,FALSE())),IF(AND('Daily Schedule'!$A29&gt;=46,'Daily Schedule'!$A29&lt;=52),'Daily Workforce'!$M66="Y",IFERROR(1*'Daily Workforce'!$P66&gt;=2,FALSE()))))),1,0)</f>
        <v>0</v>
      </c>
      <c r="BZ25" s="1" t="n">
        <f aca="false">IF(AND('Daily Workforce'!$N67="Y",'Daily Workforce'!$B67&lt;&gt;"",COUNTIF('Daily Schedule'!$F$5:$F28,'Daily Workforce'!$B67)=0,IF('Daily Schedule'!$A29=45,'Daily Workforce'!$J67="Y",IF(OR('Daily Schedule'!$A29=4,'Daily Schedule'!$A29=8),IF(OR(WEEKDAY('Daily Schedule'!$B$2,2)=1,WEEKDAY('Daily Schedule'!$B$2,2)=4,WEEKDAY('Daily Schedule'!$B$2,2)=5,WEEKDAY('Daily Schedule'!$B$2,2)=7),IFERROR(1*'Daily Workforce'!$K67&gt;=3,FALSE()),IFERROR(1*'Daily Workforce'!$K67&gt;=2,FALSE())),IF(AND('Daily Schedule'!$A29&gt;=46,'Daily Schedule'!$A29&lt;=52),'Daily Workforce'!$M67="Y",IFERROR(1*'Daily Workforce'!$P67&gt;=2,FALSE()))))),1,0)</f>
        <v>0</v>
      </c>
      <c r="CA25" s="1" t="n">
        <f aca="false">IF(AND('Daily Workforce'!$N68="Y",'Daily Workforce'!$B68&lt;&gt;"",COUNTIF('Daily Schedule'!$F$5:$F28,'Daily Workforce'!$B68)=0,IF('Daily Schedule'!$A29=45,'Daily Workforce'!$J68="Y",IF(OR('Daily Schedule'!$A29=4,'Daily Schedule'!$A29=8),IF(OR(WEEKDAY('Daily Schedule'!$B$2,2)=1,WEEKDAY('Daily Schedule'!$B$2,2)=4,WEEKDAY('Daily Schedule'!$B$2,2)=5,WEEKDAY('Daily Schedule'!$B$2,2)=7),IFERROR(1*'Daily Workforce'!$K68&gt;=3,FALSE()),IFERROR(1*'Daily Workforce'!$K68&gt;=2,FALSE())),IF(AND('Daily Schedule'!$A29&gt;=46,'Daily Schedule'!$A29&lt;=52),'Daily Workforce'!$M68="Y",IFERROR(1*'Daily Workforce'!$P68&gt;=2,FALSE()))))),1,0)</f>
        <v>0</v>
      </c>
      <c r="CB25" s="1" t="n">
        <f aca="false">IF(AND('Daily Workforce'!$N69="Y",'Daily Workforce'!$B69&lt;&gt;"",COUNTIF('Daily Schedule'!$F$5:$F28,'Daily Workforce'!$B69)=0,IF('Daily Schedule'!$A29=45,'Daily Workforce'!$J69="Y",IF(OR('Daily Schedule'!$A29=4,'Daily Schedule'!$A29=8),IF(OR(WEEKDAY('Daily Schedule'!$B$2,2)=1,WEEKDAY('Daily Schedule'!$B$2,2)=4,WEEKDAY('Daily Schedule'!$B$2,2)=5,WEEKDAY('Daily Schedule'!$B$2,2)=7),IFERROR(1*'Daily Workforce'!$K69&gt;=3,FALSE()),IFERROR(1*'Daily Workforce'!$K69&gt;=2,FALSE())),IF(AND('Daily Schedule'!$A29&gt;=46,'Daily Schedule'!$A29&lt;=52),'Daily Workforce'!$M69="Y",IFERROR(1*'Daily Workforce'!$P69&gt;=2,FALSE()))))),1,0)</f>
        <v>0</v>
      </c>
      <c r="CC25" s="1" t="n">
        <f aca="false">IF(AND('Daily Workforce'!$N70="Y",'Daily Workforce'!$B70&lt;&gt;"",COUNTIF('Daily Schedule'!$F$5:$F28,'Daily Workforce'!$B70)=0,IF('Daily Schedule'!$A29=45,'Daily Workforce'!$J70="Y",IF(OR('Daily Schedule'!$A29=4,'Daily Schedule'!$A29=8),IF(OR(WEEKDAY('Daily Schedule'!$B$2,2)=1,WEEKDAY('Daily Schedule'!$B$2,2)=4,WEEKDAY('Daily Schedule'!$B$2,2)=5,WEEKDAY('Daily Schedule'!$B$2,2)=7),IFERROR(1*'Daily Workforce'!$K70&gt;=3,FALSE()),IFERROR(1*'Daily Workforce'!$K70&gt;=2,FALSE())),IF(AND('Daily Schedule'!$A29&gt;=46,'Daily Schedule'!$A29&lt;=52),'Daily Workforce'!$M70="Y",IFERROR(1*'Daily Workforce'!$P70&gt;=2,FALSE()))))),1,0)</f>
        <v>0</v>
      </c>
      <c r="CD25" s="1" t="n">
        <f aca="false">IF(AND('Daily Workforce'!$N71="Y",'Daily Workforce'!$B71&lt;&gt;"",COUNTIF('Daily Schedule'!$F$5:$F28,'Daily Workforce'!$B71)=0,IF('Daily Schedule'!$A29=45,'Daily Workforce'!$J71="Y",IF(OR('Daily Schedule'!$A29=4,'Daily Schedule'!$A29=8),IF(OR(WEEKDAY('Daily Schedule'!$B$2,2)=1,WEEKDAY('Daily Schedule'!$B$2,2)=4,WEEKDAY('Daily Schedule'!$B$2,2)=5,WEEKDAY('Daily Schedule'!$B$2,2)=7),IFERROR(1*'Daily Workforce'!$K71&gt;=3,FALSE()),IFERROR(1*'Daily Workforce'!$K71&gt;=2,FALSE())),IF(AND('Daily Schedule'!$A29&gt;=46,'Daily Schedule'!$A29&lt;=52),'Daily Workforce'!$M71="Y",IFERROR(1*'Daily Workforce'!$P71&gt;=2,FALSE()))))),1,0)</f>
        <v>0</v>
      </c>
      <c r="CE25" s="1" t="n">
        <f aca="false">IF(AND('Daily Workforce'!$N72="Y",'Daily Workforce'!$B72&lt;&gt;"",COUNTIF('Daily Schedule'!$F$5:$F28,'Daily Workforce'!$B72)=0,IF('Daily Schedule'!$A29=45,'Daily Workforce'!$J72="Y",IF(OR('Daily Schedule'!$A29=4,'Daily Schedule'!$A29=8),IF(OR(WEEKDAY('Daily Schedule'!$B$2,2)=1,WEEKDAY('Daily Schedule'!$B$2,2)=4,WEEKDAY('Daily Schedule'!$B$2,2)=5,WEEKDAY('Daily Schedule'!$B$2,2)=7),IFERROR(1*'Daily Workforce'!$K72&gt;=3,FALSE()),IFERROR(1*'Daily Workforce'!$K72&gt;=2,FALSE())),IF(AND('Daily Schedule'!$A29&gt;=46,'Daily Schedule'!$A29&lt;=52),'Daily Workforce'!$M72="Y",IFERROR(1*'Daily Workforce'!$P72&gt;=2,FALSE()))))),1,0)</f>
        <v>0</v>
      </c>
      <c r="CF25" s="1" t="n">
        <f aca="false">IF(AND('Daily Workforce'!$N73="Y",'Daily Workforce'!$B73&lt;&gt;"",COUNTIF('Daily Schedule'!$F$5:$F28,'Daily Workforce'!$B73)=0,IF('Daily Schedule'!$A29=45,'Daily Workforce'!$J73="Y",IF(OR('Daily Schedule'!$A29=4,'Daily Schedule'!$A29=8),IF(OR(WEEKDAY('Daily Schedule'!$B$2,2)=1,WEEKDAY('Daily Schedule'!$B$2,2)=4,WEEKDAY('Daily Schedule'!$B$2,2)=5,WEEKDAY('Daily Schedule'!$B$2,2)=7),IFERROR(1*'Daily Workforce'!$K73&gt;=3,FALSE()),IFERROR(1*'Daily Workforce'!$K73&gt;=2,FALSE())),IF(AND('Daily Schedule'!$A29&gt;=46,'Daily Schedule'!$A29&lt;=52),'Daily Workforce'!$M73="Y",IFERROR(1*'Daily Workforce'!$P73&gt;=2,FALSE()))))),1,0)</f>
        <v>0</v>
      </c>
      <c r="CG25" s="1" t="n">
        <f aca="false">IF(AND('Daily Workforce'!$N74="Y",'Daily Workforce'!$B74&lt;&gt;"",COUNTIF('Daily Schedule'!$F$5:$F28,'Daily Workforce'!$B74)=0,IF('Daily Schedule'!$A29=45,'Daily Workforce'!$J74="Y",IF(OR('Daily Schedule'!$A29=4,'Daily Schedule'!$A29=8),IF(OR(WEEKDAY('Daily Schedule'!$B$2,2)=1,WEEKDAY('Daily Schedule'!$B$2,2)=4,WEEKDAY('Daily Schedule'!$B$2,2)=5,WEEKDAY('Daily Schedule'!$B$2,2)=7),IFERROR(1*'Daily Workforce'!$K74&gt;=3,FALSE()),IFERROR(1*'Daily Workforce'!$K74&gt;=2,FALSE())),IF(AND('Daily Schedule'!$A29&gt;=46,'Daily Schedule'!$A29&lt;=52),'Daily Workforce'!$M74="Y",IFERROR(1*'Daily Workforce'!$P74&gt;=2,FALSE()))))),1,0)</f>
        <v>0</v>
      </c>
      <c r="CH25" s="1" t="n">
        <f aca="false">IF(AND('Daily Workforce'!$N75="Y",'Daily Workforce'!$B75&lt;&gt;"",COUNTIF('Daily Schedule'!$F$5:$F28,'Daily Workforce'!$B75)=0,IF('Daily Schedule'!$A29=45,'Daily Workforce'!$J75="Y",IF(OR('Daily Schedule'!$A29=4,'Daily Schedule'!$A29=8),IF(OR(WEEKDAY('Daily Schedule'!$B$2,2)=1,WEEKDAY('Daily Schedule'!$B$2,2)=4,WEEKDAY('Daily Schedule'!$B$2,2)=5,WEEKDAY('Daily Schedule'!$B$2,2)=7),IFERROR(1*'Daily Workforce'!$K75&gt;=3,FALSE()),IFERROR(1*'Daily Workforce'!$K75&gt;=2,FALSE())),IF(AND('Daily Schedule'!$A29&gt;=46,'Daily Schedule'!$A29&lt;=52),'Daily Workforce'!$M75="Y",IFERROR(1*'Daily Workforce'!$P75&gt;=2,FALSE()))))),1,0)</f>
        <v>0</v>
      </c>
      <c r="CI25" s="1" t="n">
        <f aca="false">IF(AND('Daily Workforce'!$N76="Y",'Daily Workforce'!$B76&lt;&gt;"",COUNTIF('Daily Schedule'!$F$5:$F28,'Daily Workforce'!$B76)=0,IF('Daily Schedule'!$A29=45,'Daily Workforce'!$J76="Y",IF(OR('Daily Schedule'!$A29=4,'Daily Schedule'!$A29=8),IF(OR(WEEKDAY('Daily Schedule'!$B$2,2)=1,WEEKDAY('Daily Schedule'!$B$2,2)=4,WEEKDAY('Daily Schedule'!$B$2,2)=5,WEEKDAY('Daily Schedule'!$B$2,2)=7),IFERROR(1*'Daily Workforce'!$K76&gt;=3,FALSE()),IFERROR(1*'Daily Workforce'!$K76&gt;=2,FALSE())),IF(AND('Daily Schedule'!$A29&gt;=46,'Daily Schedule'!$A29&lt;=52),'Daily Workforce'!$M76="Y",IFERROR(1*'Daily Workforce'!$P76&gt;=2,FALSE()))))),1,0)</f>
        <v>0</v>
      </c>
      <c r="CJ25" s="1" t="n">
        <f aca="false">IF(AND('Daily Workforce'!$N77="Y",'Daily Workforce'!$B77&lt;&gt;"",COUNTIF('Daily Schedule'!$F$5:$F28,'Daily Workforce'!$B77)=0,IF('Daily Schedule'!$A29=45,'Daily Workforce'!$J77="Y",IF(OR('Daily Schedule'!$A29=4,'Daily Schedule'!$A29=8),IF(OR(WEEKDAY('Daily Schedule'!$B$2,2)=1,WEEKDAY('Daily Schedule'!$B$2,2)=4,WEEKDAY('Daily Schedule'!$B$2,2)=5,WEEKDAY('Daily Schedule'!$B$2,2)=7),IFERROR(1*'Daily Workforce'!$K77&gt;=3,FALSE()),IFERROR(1*'Daily Workforce'!$K77&gt;=2,FALSE())),IF(AND('Daily Schedule'!$A29&gt;=46,'Daily Schedule'!$A29&lt;=52),'Daily Workforce'!$M77="Y",IFERROR(1*'Daily Workforce'!$P77&gt;=2,FALSE()))))),1,0)</f>
        <v>0</v>
      </c>
      <c r="CK25" s="1" t="n">
        <f aca="false">IF(AND('Daily Workforce'!$N78="Y",'Daily Workforce'!$B78&lt;&gt;"",COUNTIF('Daily Schedule'!$F$5:$F28,'Daily Workforce'!$B78)=0,IF('Daily Schedule'!$A29=45,'Daily Workforce'!$J78="Y",IF(OR('Daily Schedule'!$A29=4,'Daily Schedule'!$A29=8),IF(OR(WEEKDAY('Daily Schedule'!$B$2,2)=1,WEEKDAY('Daily Schedule'!$B$2,2)=4,WEEKDAY('Daily Schedule'!$B$2,2)=5,WEEKDAY('Daily Schedule'!$B$2,2)=7),IFERROR(1*'Daily Workforce'!$K78&gt;=3,FALSE()),IFERROR(1*'Daily Workforce'!$K78&gt;=2,FALSE())),IF(AND('Daily Schedule'!$A29&gt;=46,'Daily Schedule'!$A29&lt;=52),'Daily Workforce'!$M78="Y",IFERROR(1*'Daily Workforce'!$P78&gt;=2,FALSE()))))),1,0)</f>
        <v>0</v>
      </c>
      <c r="CL25" s="1" t="n">
        <f aca="false">IF(AND('Daily Workforce'!$N79="Y",'Daily Workforce'!$B79&lt;&gt;"",COUNTIF('Daily Schedule'!$F$5:$F28,'Daily Workforce'!$B79)=0,IF('Daily Schedule'!$A29=45,'Daily Workforce'!$J79="Y",IF(OR('Daily Schedule'!$A29=4,'Daily Schedule'!$A29=8),IF(OR(WEEKDAY('Daily Schedule'!$B$2,2)=1,WEEKDAY('Daily Schedule'!$B$2,2)=4,WEEKDAY('Daily Schedule'!$B$2,2)=5,WEEKDAY('Daily Schedule'!$B$2,2)=7),IFERROR(1*'Daily Workforce'!$K79&gt;=3,FALSE()),IFERROR(1*'Daily Workforce'!$K79&gt;=2,FALSE())),IF(AND('Daily Schedule'!$A29&gt;=46,'Daily Schedule'!$A29&lt;=52),'Daily Workforce'!$M79="Y",IFERROR(1*'Daily Workforce'!$P79&gt;=2,FALSE()))))),1,0)</f>
        <v>0</v>
      </c>
      <c r="CM25" s="1" t="n">
        <f aca="false">IF(AND('Daily Workforce'!$N80="Y",'Daily Workforce'!$B80&lt;&gt;"",COUNTIF('Daily Schedule'!$F$5:$F28,'Daily Workforce'!$B80)=0,IF('Daily Schedule'!$A29=45,'Daily Workforce'!$J80="Y",IF(OR('Daily Schedule'!$A29=4,'Daily Schedule'!$A29=8),IF(OR(WEEKDAY('Daily Schedule'!$B$2,2)=1,WEEKDAY('Daily Schedule'!$B$2,2)=4,WEEKDAY('Daily Schedule'!$B$2,2)=5,WEEKDAY('Daily Schedule'!$B$2,2)=7),IFERROR(1*'Daily Workforce'!$K80&gt;=3,FALSE()),IFERROR(1*'Daily Workforce'!$K80&gt;=2,FALSE())),IF(AND('Daily Schedule'!$A29&gt;=46,'Daily Schedule'!$A29&lt;=52),'Daily Workforce'!$M80="Y",IFERROR(1*'Daily Workforce'!$P80&gt;=2,FALSE()))))),1,0)</f>
        <v>0</v>
      </c>
      <c r="CN25" s="1" t="n">
        <f aca="false">IF(AND('Daily Workforce'!$N81="Y",'Daily Workforce'!$B81&lt;&gt;"",COUNTIF('Daily Schedule'!$F$5:$F28,'Daily Workforce'!$B81)=0,IF('Daily Schedule'!$A29=45,'Daily Workforce'!$J81="Y",IF(OR('Daily Schedule'!$A29=4,'Daily Schedule'!$A29=8),IF(OR(WEEKDAY('Daily Schedule'!$B$2,2)=1,WEEKDAY('Daily Schedule'!$B$2,2)=4,WEEKDAY('Daily Schedule'!$B$2,2)=5,WEEKDAY('Daily Schedule'!$B$2,2)=7),IFERROR(1*'Daily Workforce'!$K81&gt;=3,FALSE()),IFERROR(1*'Daily Workforce'!$K81&gt;=2,FALSE())),IF(AND('Daily Schedule'!$A29&gt;=46,'Daily Schedule'!$A29&lt;=52),'Daily Workforce'!$M81="Y",IFERROR(1*'Daily Workforce'!$P81&gt;=2,FALSE()))))),1,0)</f>
        <v>0</v>
      </c>
      <c r="CO25" s="1" t="n">
        <f aca="false">IF(AND('Daily Workforce'!$N82="Y",'Daily Workforce'!$B82&lt;&gt;"",COUNTIF('Daily Schedule'!$F$5:$F28,'Daily Workforce'!$B82)=0,IF('Daily Schedule'!$A29=45,'Daily Workforce'!$J82="Y",IF(OR('Daily Schedule'!$A29=4,'Daily Schedule'!$A29=8),IF(OR(WEEKDAY('Daily Schedule'!$B$2,2)=1,WEEKDAY('Daily Schedule'!$B$2,2)=4,WEEKDAY('Daily Schedule'!$B$2,2)=5,WEEKDAY('Daily Schedule'!$B$2,2)=7),IFERROR(1*'Daily Workforce'!$K82&gt;=3,FALSE()),IFERROR(1*'Daily Workforce'!$K82&gt;=2,FALSE())),IF(AND('Daily Schedule'!$A29&gt;=46,'Daily Schedule'!$A29&lt;=52),'Daily Workforce'!$M82="Y",IFERROR(1*'Daily Workforce'!$P82&gt;=2,FALSE()))))),1,0)</f>
        <v>0</v>
      </c>
      <c r="CP25" s="1" t="n">
        <f aca="false">IF(AND('Daily Workforce'!$N83="Y",'Daily Workforce'!$B83&lt;&gt;"",COUNTIF('Daily Schedule'!$F$5:$F28,'Daily Workforce'!$B83)=0,IF('Daily Schedule'!$A29=45,'Daily Workforce'!$J83="Y",IF(OR('Daily Schedule'!$A29=4,'Daily Schedule'!$A29=8),IF(OR(WEEKDAY('Daily Schedule'!$B$2,2)=1,WEEKDAY('Daily Schedule'!$B$2,2)=4,WEEKDAY('Daily Schedule'!$B$2,2)=5,WEEKDAY('Daily Schedule'!$B$2,2)=7),IFERROR(1*'Daily Workforce'!$K83&gt;=3,FALSE()),IFERROR(1*'Daily Workforce'!$K83&gt;=2,FALSE())),IF(AND('Daily Schedule'!$A29&gt;=46,'Daily Schedule'!$A29&lt;=52),'Daily Workforce'!$M83="Y",IFERROR(1*'Daily Workforce'!$P83&gt;=2,FALSE()))))),1,0)</f>
        <v>0</v>
      </c>
      <c r="CQ25" s="1" t="n">
        <f aca="false">IF(AND('Daily Workforce'!$N84="Y",'Daily Workforce'!$B84&lt;&gt;"",COUNTIF('Daily Schedule'!$F$5:$F28,'Daily Workforce'!$B84)=0,IF('Daily Schedule'!$A29=45,'Daily Workforce'!$J84="Y",IF(OR('Daily Schedule'!$A29=4,'Daily Schedule'!$A29=8),IF(OR(WEEKDAY('Daily Schedule'!$B$2,2)=1,WEEKDAY('Daily Schedule'!$B$2,2)=4,WEEKDAY('Daily Schedule'!$B$2,2)=5,WEEKDAY('Daily Schedule'!$B$2,2)=7),IFERROR(1*'Daily Workforce'!$K84&gt;=3,FALSE()),IFERROR(1*'Daily Workforce'!$K84&gt;=2,FALSE())),IF(AND('Daily Schedule'!$A29&gt;=46,'Daily Schedule'!$A29&lt;=52),'Daily Workforce'!$M84="Y",IFERROR(1*'Daily Workforce'!$P84&gt;=2,FALSE()))))),1,0)</f>
        <v>0</v>
      </c>
      <c r="CR25" s="1" t="n">
        <f aca="false">IF(AND('Daily Workforce'!$N85="Y",'Daily Workforce'!$B85&lt;&gt;"",COUNTIF('Daily Schedule'!$F$5:$F28,'Daily Workforce'!$B85)=0,IF('Daily Schedule'!$A29=45,'Daily Workforce'!$J85="Y",IF(OR('Daily Schedule'!$A29=4,'Daily Schedule'!$A29=8),IF(OR(WEEKDAY('Daily Schedule'!$B$2,2)=1,WEEKDAY('Daily Schedule'!$B$2,2)=4,WEEKDAY('Daily Schedule'!$B$2,2)=5,WEEKDAY('Daily Schedule'!$B$2,2)=7),IFERROR(1*'Daily Workforce'!$K85&gt;=3,FALSE()),IFERROR(1*'Daily Workforce'!$K85&gt;=2,FALSE())),IF(AND('Daily Schedule'!$A29&gt;=46,'Daily Schedule'!$A29&lt;=52),'Daily Workforce'!$M85="Y",IFERROR(1*'Daily Workforce'!$P85&gt;=2,FALSE()))))),1,0)</f>
        <v>0</v>
      </c>
      <c r="CS25" s="1" t="n">
        <f aca="false">IF(AND('Daily Workforce'!$N86="Y",'Daily Workforce'!$B86&lt;&gt;"",COUNTIF('Daily Schedule'!$F$5:$F28,'Daily Workforce'!$B86)=0,IF('Daily Schedule'!$A29=45,'Daily Workforce'!$J86="Y",IF(OR('Daily Schedule'!$A29=4,'Daily Schedule'!$A29=8),IF(OR(WEEKDAY('Daily Schedule'!$B$2,2)=1,WEEKDAY('Daily Schedule'!$B$2,2)=4,WEEKDAY('Daily Schedule'!$B$2,2)=5,WEEKDAY('Daily Schedule'!$B$2,2)=7),IFERROR(1*'Daily Workforce'!$K86&gt;=3,FALSE()),IFERROR(1*'Daily Workforce'!$K86&gt;=2,FALSE())),IF(AND('Daily Schedule'!$A29&gt;=46,'Daily Schedule'!$A29&lt;=52),'Daily Workforce'!$M86="Y",IFERROR(1*'Daily Workforce'!$P86&gt;=2,FALSE()))))),1,0)</f>
        <v>0</v>
      </c>
      <c r="CT25" s="1" t="n">
        <f aca="false">IF(AND('Daily Workforce'!$N87="Y",'Daily Workforce'!$B87&lt;&gt;"",COUNTIF('Daily Schedule'!$F$5:$F28,'Daily Workforce'!$B87)=0,IF('Daily Schedule'!$A29=45,'Daily Workforce'!$J87="Y",IF(OR('Daily Schedule'!$A29=4,'Daily Schedule'!$A29=8),IF(OR(WEEKDAY('Daily Schedule'!$B$2,2)=1,WEEKDAY('Daily Schedule'!$B$2,2)=4,WEEKDAY('Daily Schedule'!$B$2,2)=5,WEEKDAY('Daily Schedule'!$B$2,2)=7),IFERROR(1*'Daily Workforce'!$K87&gt;=3,FALSE()),IFERROR(1*'Daily Workforce'!$K87&gt;=2,FALSE())),IF(AND('Daily Schedule'!$A29&gt;=46,'Daily Schedule'!$A29&lt;=52),'Daily Workforce'!$M87="Y",IFERROR(1*'Daily Workforce'!$P87&gt;=2,FALSE()))))),1,0)</f>
        <v>0</v>
      </c>
      <c r="CU25" s="1" t="n">
        <f aca="false">IF(AND('Daily Workforce'!$N88="Y",'Daily Workforce'!$B88&lt;&gt;"",COUNTIF('Daily Schedule'!$F$5:$F28,'Daily Workforce'!$B88)=0,IF('Daily Schedule'!$A29=45,'Daily Workforce'!$J88="Y",IF(OR('Daily Schedule'!$A29=4,'Daily Schedule'!$A29=8),IF(OR(WEEKDAY('Daily Schedule'!$B$2,2)=1,WEEKDAY('Daily Schedule'!$B$2,2)=4,WEEKDAY('Daily Schedule'!$B$2,2)=5,WEEKDAY('Daily Schedule'!$B$2,2)=7),IFERROR(1*'Daily Workforce'!$K88&gt;=3,FALSE()),IFERROR(1*'Daily Workforce'!$K88&gt;=2,FALSE())),IF(AND('Daily Schedule'!$A29&gt;=46,'Daily Schedule'!$A29&lt;=52),'Daily Workforce'!$M88="Y",IFERROR(1*'Daily Workforce'!$P88&gt;=2,FALSE()))))),1,0)</f>
        <v>0</v>
      </c>
      <c r="CV25" s="1" t="n">
        <f aca="false">IF(AND('Daily Workforce'!$N89="Y",'Daily Workforce'!$B89&lt;&gt;"",COUNTIF('Daily Schedule'!$F$5:$F28,'Daily Workforce'!$B89)=0,IF('Daily Schedule'!$A29=45,'Daily Workforce'!$J89="Y",IF(OR('Daily Schedule'!$A29=4,'Daily Schedule'!$A29=8),IF(OR(WEEKDAY('Daily Schedule'!$B$2,2)=1,WEEKDAY('Daily Schedule'!$B$2,2)=4,WEEKDAY('Daily Schedule'!$B$2,2)=5,WEEKDAY('Daily Schedule'!$B$2,2)=7),IFERROR(1*'Daily Workforce'!$K89&gt;=3,FALSE()),IFERROR(1*'Daily Workforce'!$K89&gt;=2,FALSE())),IF(AND('Daily Schedule'!$A29&gt;=46,'Daily Schedule'!$A29&lt;=52),'Daily Workforce'!$M89="Y",IFERROR(1*'Daily Workforce'!$P89&gt;=2,FALSE()))))),1,0)</f>
        <v>0</v>
      </c>
      <c r="CW25" s="1" t="n">
        <f aca="false">IF(AND('Daily Workforce'!$N90="Y",'Daily Workforce'!$B90&lt;&gt;"",COUNTIF('Daily Schedule'!$F$5:$F28,'Daily Workforce'!$B90)=0,IF('Daily Schedule'!$A29=45,'Daily Workforce'!$J90="Y",IF(OR('Daily Schedule'!$A29=4,'Daily Schedule'!$A29=8),IF(OR(WEEKDAY('Daily Schedule'!$B$2,2)=1,WEEKDAY('Daily Schedule'!$B$2,2)=4,WEEKDAY('Daily Schedule'!$B$2,2)=5,WEEKDAY('Daily Schedule'!$B$2,2)=7),IFERROR(1*'Daily Workforce'!$K90&gt;=3,FALSE()),IFERROR(1*'Daily Workforce'!$K90&gt;=2,FALSE())),IF(AND('Daily Schedule'!$A29&gt;=46,'Daily Schedule'!$A29&lt;=52),'Daily Workforce'!$M90="Y",IFERROR(1*'Daily Workforce'!$P90&gt;=2,FALSE()))))),1,0)</f>
        <v>0</v>
      </c>
      <c r="CX25" s="1" t="n">
        <f aca="false">IF(AND('Daily Workforce'!$N91="Y",'Daily Workforce'!$B91&lt;&gt;"",COUNTIF('Daily Schedule'!$F$5:$F28,'Daily Workforce'!$B91)=0,IF('Daily Schedule'!$A29=45,'Daily Workforce'!$J91="Y",IF(OR('Daily Schedule'!$A29=4,'Daily Schedule'!$A29=8),IF(OR(WEEKDAY('Daily Schedule'!$B$2,2)=1,WEEKDAY('Daily Schedule'!$B$2,2)=4,WEEKDAY('Daily Schedule'!$B$2,2)=5,WEEKDAY('Daily Schedule'!$B$2,2)=7),IFERROR(1*'Daily Workforce'!$K91&gt;=3,FALSE()),IFERROR(1*'Daily Workforce'!$K91&gt;=2,FALSE())),IF(AND('Daily Schedule'!$A29&gt;=46,'Daily Schedule'!$A29&lt;=52),'Daily Workforce'!$M91="Y",IFERROR(1*'Daily Workforce'!$P91&gt;=2,FALSE()))))),1,0)</f>
        <v>0</v>
      </c>
      <c r="CY25" s="1" t="n">
        <f aca="false">IF(AND('Daily Workforce'!$N92="Y",'Daily Workforce'!$B92&lt;&gt;"",COUNTIF('Daily Schedule'!$F$5:$F28,'Daily Workforce'!$B92)=0,IF('Daily Schedule'!$A29=45,'Daily Workforce'!$J92="Y",IF(OR('Daily Schedule'!$A29=4,'Daily Schedule'!$A29=8),IF(OR(WEEKDAY('Daily Schedule'!$B$2,2)=1,WEEKDAY('Daily Schedule'!$B$2,2)=4,WEEKDAY('Daily Schedule'!$B$2,2)=5,WEEKDAY('Daily Schedule'!$B$2,2)=7),IFERROR(1*'Daily Workforce'!$K92&gt;=3,FALSE()),IFERROR(1*'Daily Workforce'!$K92&gt;=2,FALSE())),IF(AND('Daily Schedule'!$A29&gt;=46,'Daily Schedule'!$A29&lt;=52),'Daily Workforce'!$M92="Y",IFERROR(1*'Daily Workforce'!$P92&gt;=2,FALSE()))))),1,0)</f>
        <v>0</v>
      </c>
      <c r="CZ25" s="1" t="n">
        <f aca="false">IF(AND('Daily Workforce'!$N93="Y",'Daily Workforce'!$B93&lt;&gt;"",COUNTIF('Daily Schedule'!$F$5:$F28,'Daily Workforce'!$B93)=0,IF('Daily Schedule'!$A29=45,'Daily Workforce'!$J93="Y",IF(OR('Daily Schedule'!$A29=4,'Daily Schedule'!$A29=8),IF(OR(WEEKDAY('Daily Schedule'!$B$2,2)=1,WEEKDAY('Daily Schedule'!$B$2,2)=4,WEEKDAY('Daily Schedule'!$B$2,2)=5,WEEKDAY('Daily Schedule'!$B$2,2)=7),IFERROR(1*'Daily Workforce'!$K93&gt;=3,FALSE()),IFERROR(1*'Daily Workforce'!$K93&gt;=2,FALSE())),IF(AND('Daily Schedule'!$A29&gt;=46,'Daily Schedule'!$A29&lt;=52),'Daily Workforce'!$M93="Y",IFERROR(1*'Daily Workforce'!$P93&gt;=2,FALSE()))))),1,0)</f>
        <v>0</v>
      </c>
      <c r="DA25" s="1" t="n">
        <f aca="false">IF(AND('Daily Workforce'!$N94="Y",'Daily Workforce'!$B94&lt;&gt;"",COUNTIF('Daily Schedule'!$F$5:$F28,'Daily Workforce'!$B94)=0,IF('Daily Schedule'!$A29=45,'Daily Workforce'!$J94="Y",IF(OR('Daily Schedule'!$A29=4,'Daily Schedule'!$A29=8),IF(OR(WEEKDAY('Daily Schedule'!$B$2,2)=1,WEEKDAY('Daily Schedule'!$B$2,2)=4,WEEKDAY('Daily Schedule'!$B$2,2)=5,WEEKDAY('Daily Schedule'!$B$2,2)=7),IFERROR(1*'Daily Workforce'!$K94&gt;=3,FALSE()),IFERROR(1*'Daily Workforce'!$K94&gt;=2,FALSE())),IF(AND('Daily Schedule'!$A29&gt;=46,'Daily Schedule'!$A29&lt;=52),'Daily Workforce'!$M94="Y",IFERROR(1*'Daily Workforce'!$P94&gt;=2,FALSE()))))),1,0)</f>
        <v>0</v>
      </c>
      <c r="DB25" s="1" t="n">
        <f aca="false">IF(AND('Daily Workforce'!$N95="Y",'Daily Workforce'!$B95&lt;&gt;"",COUNTIF('Daily Schedule'!$F$5:$F28,'Daily Workforce'!$B95)=0,IF('Daily Schedule'!$A29=45,'Daily Workforce'!$J95="Y",IF(OR('Daily Schedule'!$A29=4,'Daily Schedule'!$A29=8),IF(OR(WEEKDAY('Daily Schedule'!$B$2,2)=1,WEEKDAY('Daily Schedule'!$B$2,2)=4,WEEKDAY('Daily Schedule'!$B$2,2)=5,WEEKDAY('Daily Schedule'!$B$2,2)=7),IFERROR(1*'Daily Workforce'!$K95&gt;=3,FALSE()),IFERROR(1*'Daily Workforce'!$K95&gt;=2,FALSE())),IF(AND('Daily Schedule'!$A29&gt;=46,'Daily Schedule'!$A29&lt;=52),'Daily Workforce'!$M95="Y",IFERROR(1*'Daily Workforce'!$P95&gt;=2,FALSE()))))),1,0)</f>
        <v>0</v>
      </c>
      <c r="DC25" s="1" t="n">
        <f aca="false">IF(AND('Daily Workforce'!$N96="Y",'Daily Workforce'!$B96&lt;&gt;"",COUNTIF('Daily Schedule'!$F$5:$F28,'Daily Workforce'!$B96)=0,IF('Daily Schedule'!$A29=45,'Daily Workforce'!$J96="Y",IF(OR('Daily Schedule'!$A29=4,'Daily Schedule'!$A29=8),IF(OR(WEEKDAY('Daily Schedule'!$B$2,2)=1,WEEKDAY('Daily Schedule'!$B$2,2)=4,WEEKDAY('Daily Schedule'!$B$2,2)=5,WEEKDAY('Daily Schedule'!$B$2,2)=7),IFERROR(1*'Daily Workforce'!$K96&gt;=3,FALSE()),IFERROR(1*'Daily Workforce'!$K96&gt;=2,FALSE())),IF(AND('Daily Schedule'!$A29&gt;=46,'Daily Schedule'!$A29&lt;=52),'Daily Workforce'!$M96="Y",IFERROR(1*'Daily Workforce'!$P96&gt;=2,FALSE()))))),1,0)</f>
        <v>0</v>
      </c>
      <c r="DD25" s="1" t="n">
        <f aca="false">IF(AND('Daily Workforce'!$N97="Y",'Daily Workforce'!$B97&lt;&gt;"",COUNTIF('Daily Schedule'!$F$5:$F28,'Daily Workforce'!$B97)=0,IF('Daily Schedule'!$A29=45,'Daily Workforce'!$J97="Y",IF(OR('Daily Schedule'!$A29=4,'Daily Schedule'!$A29=8),IF(OR(WEEKDAY('Daily Schedule'!$B$2,2)=1,WEEKDAY('Daily Schedule'!$B$2,2)=4,WEEKDAY('Daily Schedule'!$B$2,2)=5,WEEKDAY('Daily Schedule'!$B$2,2)=7),IFERROR(1*'Daily Workforce'!$K97&gt;=3,FALSE()),IFERROR(1*'Daily Workforce'!$K97&gt;=2,FALSE())),IF(AND('Daily Schedule'!$A29&gt;=46,'Daily Schedule'!$A29&lt;=52),'Daily Workforce'!$M97="Y",IFERROR(1*'Daily Workforce'!$P97&gt;=2,FALSE()))))),1,0)</f>
        <v>0</v>
      </c>
      <c r="DE25" s="1" t="n">
        <f aca="false">IF(AND('Daily Workforce'!$N98="Y",'Daily Workforce'!$B98&lt;&gt;"",COUNTIF('Daily Schedule'!$F$5:$F28,'Daily Workforce'!$B98)=0,IF('Daily Schedule'!$A29=45,'Daily Workforce'!$J98="Y",IF(OR('Daily Schedule'!$A29=4,'Daily Schedule'!$A29=8),IF(OR(WEEKDAY('Daily Schedule'!$B$2,2)=1,WEEKDAY('Daily Schedule'!$B$2,2)=4,WEEKDAY('Daily Schedule'!$B$2,2)=5,WEEKDAY('Daily Schedule'!$B$2,2)=7),IFERROR(1*'Daily Workforce'!$K98&gt;=3,FALSE()),IFERROR(1*'Daily Workforce'!$K98&gt;=2,FALSE())),IF(AND('Daily Schedule'!$A29&gt;=46,'Daily Schedule'!$A29&lt;=52),'Daily Workforce'!$M98="Y",IFERROR(1*'Daily Workforce'!$P98&gt;=2,FALSE()))))),1,0)</f>
        <v>0</v>
      </c>
      <c r="DF25" s="1" t="n">
        <f aca="false">IF(AND('Daily Workforce'!$N99="Y",'Daily Workforce'!$B99&lt;&gt;"",COUNTIF('Daily Schedule'!$F$5:$F28,'Daily Workforce'!$B99)=0,IF('Daily Schedule'!$A29=45,'Daily Workforce'!$J99="Y",IF(OR('Daily Schedule'!$A29=4,'Daily Schedule'!$A29=8),IF(OR(WEEKDAY('Daily Schedule'!$B$2,2)=1,WEEKDAY('Daily Schedule'!$B$2,2)=4,WEEKDAY('Daily Schedule'!$B$2,2)=5,WEEKDAY('Daily Schedule'!$B$2,2)=7),IFERROR(1*'Daily Workforce'!$K99&gt;=3,FALSE()),IFERROR(1*'Daily Workforce'!$K99&gt;=2,FALSE())),IF(AND('Daily Schedule'!$A29&gt;=46,'Daily Schedule'!$A29&lt;=52),'Daily Workforce'!$M99="Y",IFERROR(1*'Daily Workforce'!$P99&gt;=2,FALSE()))))),1,0)</f>
        <v>0</v>
      </c>
      <c r="DG25" s="1" t="n">
        <f aca="false">IF(AND('Daily Workforce'!$N100="Y",'Daily Workforce'!$B100&lt;&gt;"",COUNTIF('Daily Schedule'!$F$5:$F28,'Daily Workforce'!$B100)=0,IF('Daily Schedule'!$A29=45,'Daily Workforce'!$J100="Y",IF(OR('Daily Schedule'!$A29=4,'Daily Schedule'!$A29=8),IF(OR(WEEKDAY('Daily Schedule'!$B$2,2)=1,WEEKDAY('Daily Schedule'!$B$2,2)=4,WEEKDAY('Daily Schedule'!$B$2,2)=5,WEEKDAY('Daily Schedule'!$B$2,2)=7),IFERROR(1*'Daily Workforce'!$K100&gt;=3,FALSE()),IFERROR(1*'Daily Workforce'!$K100&gt;=2,FALSE())),IF(AND('Daily Schedule'!$A29&gt;=46,'Daily Schedule'!$A29&lt;=52),'Daily Workforce'!$M100="Y",IFERROR(1*'Daily Workforce'!$P100&gt;=2,FALSE()))))),1,0)</f>
        <v>0</v>
      </c>
      <c r="DH25" s="1" t="n">
        <f aca="false">IF(AND('Daily Workforce'!$N101="Y",'Daily Workforce'!$B101&lt;&gt;"",COUNTIF('Daily Schedule'!$F$5:$F28,'Daily Workforce'!$B101)=0,IF('Daily Schedule'!$A29=45,'Daily Workforce'!$J101="Y",IF(OR('Daily Schedule'!$A29=4,'Daily Schedule'!$A29=8),IF(OR(WEEKDAY('Daily Schedule'!$B$2,2)=1,WEEKDAY('Daily Schedule'!$B$2,2)=4,WEEKDAY('Daily Schedule'!$B$2,2)=5,WEEKDAY('Daily Schedule'!$B$2,2)=7),IFERROR(1*'Daily Workforce'!$K101&gt;=3,FALSE()),IFERROR(1*'Daily Workforce'!$K101&gt;=2,FALSE())),IF(AND('Daily Schedule'!$A29&gt;=46,'Daily Schedule'!$A29&lt;=52),'Daily Workforce'!$M101="Y",IFERROR(1*'Daily Workforce'!$P101&gt;=2,FALSE()))))),1,0)</f>
        <v>0</v>
      </c>
      <c r="DI25" s="1" t="n">
        <f aca="false">IF(AND('Daily Workforce'!$N102="Y",'Daily Workforce'!$B102&lt;&gt;"",COUNTIF('Daily Schedule'!$F$5:$F28,'Daily Workforce'!$B102)=0,IF('Daily Schedule'!$A29=45,'Daily Workforce'!$J102="Y",IF(OR('Daily Schedule'!$A29=4,'Daily Schedule'!$A29=8),IF(OR(WEEKDAY('Daily Schedule'!$B$2,2)=1,WEEKDAY('Daily Schedule'!$B$2,2)=4,WEEKDAY('Daily Schedule'!$B$2,2)=5,WEEKDAY('Daily Schedule'!$B$2,2)=7),IFERROR(1*'Daily Workforce'!$K102&gt;=3,FALSE()),IFERROR(1*'Daily Workforce'!$K102&gt;=2,FALSE())),IF(AND('Daily Schedule'!$A29&gt;=46,'Daily Schedule'!$A29&lt;=52),'Daily Workforce'!$M102="Y",IFERROR(1*'Daily Workforce'!$P102&gt;=2,FALSE()))))),1,0)</f>
        <v>0</v>
      </c>
      <c r="DJ25" s="1" t="n">
        <f aca="false">IF(AND('Daily Workforce'!$N103="Y",'Daily Workforce'!$B103&lt;&gt;"",COUNTIF('Daily Schedule'!$F$5:$F28,'Daily Workforce'!$B103)=0,IF('Daily Schedule'!$A29=45,'Daily Workforce'!$J103="Y",IF(OR('Daily Schedule'!$A29=4,'Daily Schedule'!$A29=8),IF(OR(WEEKDAY('Daily Schedule'!$B$2,2)=1,WEEKDAY('Daily Schedule'!$B$2,2)=4,WEEKDAY('Daily Schedule'!$B$2,2)=5,WEEKDAY('Daily Schedule'!$B$2,2)=7),IFERROR(1*'Daily Workforce'!$K103&gt;=3,FALSE()),IFERROR(1*'Daily Workforce'!$K103&gt;=2,FALSE())),IF(AND('Daily Schedule'!$A29&gt;=46,'Daily Schedule'!$A29&lt;=52),'Daily Workforce'!$M103="Y",IFERROR(1*'Daily Workforce'!$P103&gt;=2,FALSE()))))),1,0)</f>
        <v>0</v>
      </c>
      <c r="DK25" s="1" t="n">
        <f aca="false">IF(AND('Daily Workforce'!$N104="Y",'Daily Workforce'!$B104&lt;&gt;"",COUNTIF('Daily Schedule'!$F$5:$F28,'Daily Workforce'!$B104)=0,IF('Daily Schedule'!$A29=45,'Daily Workforce'!$J104="Y",IF(OR('Daily Schedule'!$A29=4,'Daily Schedule'!$A29=8),IF(OR(WEEKDAY('Daily Schedule'!$B$2,2)=1,WEEKDAY('Daily Schedule'!$B$2,2)=4,WEEKDAY('Daily Schedule'!$B$2,2)=5,WEEKDAY('Daily Schedule'!$B$2,2)=7),IFERROR(1*'Daily Workforce'!$K104&gt;=3,FALSE()),IFERROR(1*'Daily Workforce'!$K104&gt;=2,FALSE())),IF(AND('Daily Schedule'!$A29&gt;=46,'Daily Schedule'!$A29&lt;=52),'Daily Workforce'!$M104="Y",IFERROR(1*'Daily Workforce'!$P104&gt;=2,FALSE()))))),1,0)</f>
        <v>0</v>
      </c>
      <c r="DL25" s="1" t="n">
        <f aca="false">IF(AND('Daily Workforce'!$N105="Y",'Daily Workforce'!$B105&lt;&gt;"",COUNTIF('Daily Schedule'!$F$5:$F28,'Daily Workforce'!$B105)=0,IF('Daily Schedule'!$A29=45,'Daily Workforce'!$J105="Y",IF(OR('Daily Schedule'!$A29=4,'Daily Schedule'!$A29=8),IF(OR(WEEKDAY('Daily Schedule'!$B$2,2)=1,WEEKDAY('Daily Schedule'!$B$2,2)=4,WEEKDAY('Daily Schedule'!$B$2,2)=5,WEEKDAY('Daily Schedule'!$B$2,2)=7),IFERROR(1*'Daily Workforce'!$K105&gt;=3,FALSE()),IFERROR(1*'Daily Workforce'!$K105&gt;=2,FALSE())),IF(AND('Daily Schedule'!$A29&gt;=46,'Daily Schedule'!$A29&lt;=52),'Daily Workforce'!$M105="Y",IFERROR(1*'Daily Workforce'!$P105&gt;=2,FALSE()))))),1,0)</f>
        <v>0</v>
      </c>
      <c r="DM25" s="1" t="n">
        <f aca="false">IF(AND('Daily Workforce'!$N106="Y",'Daily Workforce'!$B106&lt;&gt;"",COUNTIF('Daily Schedule'!$F$5:$F28,'Daily Workforce'!$B106)=0,IF('Daily Schedule'!$A29=45,'Daily Workforce'!$J106="Y",IF(OR('Daily Schedule'!$A29=4,'Daily Schedule'!$A29=8),IF(OR(WEEKDAY('Daily Schedule'!$B$2,2)=1,WEEKDAY('Daily Schedule'!$B$2,2)=4,WEEKDAY('Daily Schedule'!$B$2,2)=5,WEEKDAY('Daily Schedule'!$B$2,2)=7),IFERROR(1*'Daily Workforce'!$K106&gt;=3,FALSE()),IFERROR(1*'Daily Workforce'!$K106&gt;=2,FALSE())),IF(AND('Daily Schedule'!$A29&gt;=46,'Daily Schedule'!$A29&lt;=52),'Daily Workforce'!$M106="Y",IFERROR(1*'Daily Workforce'!$P106&gt;=2,FALSE()))))),1,0)</f>
        <v>0</v>
      </c>
      <c r="DN25" s="1" t="n">
        <f aca="false">IF(AND('Daily Workforce'!$N107="Y",'Daily Workforce'!$B107&lt;&gt;"",COUNTIF('Daily Schedule'!$F$5:$F28,'Daily Workforce'!$B107)=0,IF('Daily Schedule'!$A29=45,'Daily Workforce'!$J107="Y",IF(OR('Daily Schedule'!$A29=4,'Daily Schedule'!$A29=8),IF(OR(WEEKDAY('Daily Schedule'!$B$2,2)=1,WEEKDAY('Daily Schedule'!$B$2,2)=4,WEEKDAY('Daily Schedule'!$B$2,2)=5,WEEKDAY('Daily Schedule'!$B$2,2)=7),IFERROR(1*'Daily Workforce'!$K107&gt;=3,FALSE()),IFERROR(1*'Daily Workforce'!$K107&gt;=2,FALSE())),IF(AND('Daily Schedule'!$A29&gt;=46,'Daily Schedule'!$A29&lt;=52),'Daily Workforce'!$M107="Y",IFERROR(1*'Daily Workforce'!$P107&gt;=2,FALSE()))))),1,0)</f>
        <v>0</v>
      </c>
      <c r="DO25" s="1" t="n">
        <f aca="false">IF(AND('Daily Workforce'!$N108="Y",'Daily Workforce'!$B108&lt;&gt;"",COUNTIF('Daily Schedule'!$F$5:$F28,'Daily Workforce'!$B108)=0,IF('Daily Schedule'!$A29=45,'Daily Workforce'!$J108="Y",IF(OR('Daily Schedule'!$A29=4,'Daily Schedule'!$A29=8),IF(OR(WEEKDAY('Daily Schedule'!$B$2,2)=1,WEEKDAY('Daily Schedule'!$B$2,2)=4,WEEKDAY('Daily Schedule'!$B$2,2)=5,WEEKDAY('Daily Schedule'!$B$2,2)=7),IFERROR(1*'Daily Workforce'!$K108&gt;=3,FALSE()),IFERROR(1*'Daily Workforce'!$K108&gt;=2,FALSE())),IF(AND('Daily Schedule'!$A29&gt;=46,'Daily Schedule'!$A29&lt;=52),'Daily Workforce'!$M108="Y",IFERROR(1*'Daily Workforce'!$P108&gt;=2,FALSE()))))),1,0)</f>
        <v>0</v>
      </c>
      <c r="DP25" s="1" t="n">
        <f aca="false">IF(AND('Daily Workforce'!$N109="Y",'Daily Workforce'!$B109&lt;&gt;"",COUNTIF('Daily Schedule'!$F$5:$F28,'Daily Workforce'!$B109)=0,IF('Daily Schedule'!$A29=45,'Daily Workforce'!$J109="Y",IF(OR('Daily Schedule'!$A29=4,'Daily Schedule'!$A29=8),IF(OR(WEEKDAY('Daily Schedule'!$B$2,2)=1,WEEKDAY('Daily Schedule'!$B$2,2)=4,WEEKDAY('Daily Schedule'!$B$2,2)=5,WEEKDAY('Daily Schedule'!$B$2,2)=7),IFERROR(1*'Daily Workforce'!$K109&gt;=3,FALSE()),IFERROR(1*'Daily Workforce'!$K109&gt;=2,FALSE())),IF(AND('Daily Schedule'!$A29&gt;=46,'Daily Schedule'!$A29&lt;=52),'Daily Workforce'!$M109="Y",IFERROR(1*'Daily Workforce'!$P109&gt;=2,FALSE()))))),1,0)</f>
        <v>0</v>
      </c>
      <c r="DQ25" s="1" t="n">
        <f aca="false">IF(AND('Daily Workforce'!$N110="Y",'Daily Workforce'!$B110&lt;&gt;"",COUNTIF('Daily Schedule'!$F$5:$F28,'Daily Workforce'!$B110)=0,IF('Daily Schedule'!$A29=45,'Daily Workforce'!$J110="Y",IF(OR('Daily Schedule'!$A29=4,'Daily Schedule'!$A29=8),IF(OR(WEEKDAY('Daily Schedule'!$B$2,2)=1,WEEKDAY('Daily Schedule'!$B$2,2)=4,WEEKDAY('Daily Schedule'!$B$2,2)=5,WEEKDAY('Daily Schedule'!$B$2,2)=7),IFERROR(1*'Daily Workforce'!$K110&gt;=3,FALSE()),IFERROR(1*'Daily Workforce'!$K110&gt;=2,FALSE())),IF(AND('Daily Schedule'!$A29&gt;=46,'Daily Schedule'!$A29&lt;=52),'Daily Workforce'!$M110="Y",IFERROR(1*'Daily Workforce'!$P110&gt;=2,FALSE()))))),1,0)</f>
        <v>0</v>
      </c>
      <c r="DR25" s="1" t="n">
        <f aca="false">IF(AND('Daily Workforce'!$N111="Y",'Daily Workforce'!$B111&lt;&gt;"",COUNTIF('Daily Schedule'!$F$5:$F28,'Daily Workforce'!$B111)=0,IF('Daily Schedule'!$A29=45,'Daily Workforce'!$J111="Y",IF(OR('Daily Schedule'!$A29=4,'Daily Schedule'!$A29=8),IF(OR(WEEKDAY('Daily Schedule'!$B$2,2)=1,WEEKDAY('Daily Schedule'!$B$2,2)=4,WEEKDAY('Daily Schedule'!$B$2,2)=5,WEEKDAY('Daily Schedule'!$B$2,2)=7),IFERROR(1*'Daily Workforce'!$K111&gt;=3,FALSE()),IFERROR(1*'Daily Workforce'!$K111&gt;=2,FALSE())),IF(AND('Daily Schedule'!$A29&gt;=46,'Daily Schedule'!$A29&lt;=52),'Daily Workforce'!$M111="Y",IFERROR(1*'Daily Workforce'!$P111&gt;=2,FALSE()))))),1,0)</f>
        <v>0</v>
      </c>
      <c r="DS25" s="1" t="n">
        <f aca="false">IF(AND('Daily Workforce'!$N112="Y",'Daily Workforce'!$B112&lt;&gt;"",COUNTIF('Daily Schedule'!$F$5:$F28,'Daily Workforce'!$B112)=0,IF('Daily Schedule'!$A29=45,'Daily Workforce'!$J112="Y",IF(OR('Daily Schedule'!$A29=4,'Daily Schedule'!$A29=8),IF(OR(WEEKDAY('Daily Schedule'!$B$2,2)=1,WEEKDAY('Daily Schedule'!$B$2,2)=4,WEEKDAY('Daily Schedule'!$B$2,2)=5,WEEKDAY('Daily Schedule'!$B$2,2)=7),IFERROR(1*'Daily Workforce'!$K112&gt;=3,FALSE()),IFERROR(1*'Daily Workforce'!$K112&gt;=2,FALSE())),IF(AND('Daily Schedule'!$A29&gt;=46,'Daily Schedule'!$A29&lt;=52),'Daily Workforce'!$M112="Y",IFERROR(1*'Daily Workforce'!$P112&gt;=2,FALSE()))))),1,0)</f>
        <v>0</v>
      </c>
      <c r="DT25" s="1" t="n">
        <f aca="false">IF(AND('Daily Workforce'!$N113="Y",'Daily Workforce'!$B113&lt;&gt;"",COUNTIF('Daily Schedule'!$F$5:$F28,'Daily Workforce'!$B113)=0,IF('Daily Schedule'!$A29=45,'Daily Workforce'!$J113="Y",IF(OR('Daily Schedule'!$A29=4,'Daily Schedule'!$A29=8),IF(OR(WEEKDAY('Daily Schedule'!$B$2,2)=1,WEEKDAY('Daily Schedule'!$B$2,2)=4,WEEKDAY('Daily Schedule'!$B$2,2)=5,WEEKDAY('Daily Schedule'!$B$2,2)=7),IFERROR(1*'Daily Workforce'!$K113&gt;=3,FALSE()),IFERROR(1*'Daily Workforce'!$K113&gt;=2,FALSE())),IF(AND('Daily Schedule'!$A29&gt;=46,'Daily Schedule'!$A29&lt;=52),'Daily Workforce'!$M113="Y",IFERROR(1*'Daily Workforce'!$P113&gt;=2,FALSE()))))),1,0)</f>
        <v>0</v>
      </c>
      <c r="DU25" s="1" t="n">
        <f aca="false">IF(AND('Daily Workforce'!$N114="Y",'Daily Workforce'!$B114&lt;&gt;"",COUNTIF('Daily Schedule'!$F$5:$F28,'Daily Workforce'!$B114)=0,IF('Daily Schedule'!$A29=45,'Daily Workforce'!$J114="Y",IF(OR('Daily Schedule'!$A29=4,'Daily Schedule'!$A29=8),IF(OR(WEEKDAY('Daily Schedule'!$B$2,2)=1,WEEKDAY('Daily Schedule'!$B$2,2)=4,WEEKDAY('Daily Schedule'!$B$2,2)=5,WEEKDAY('Daily Schedule'!$B$2,2)=7),IFERROR(1*'Daily Workforce'!$K114&gt;=3,FALSE()),IFERROR(1*'Daily Workforce'!$K114&gt;=2,FALSE())),IF(AND('Daily Schedule'!$A29&gt;=46,'Daily Schedule'!$A29&lt;=52),'Daily Workforce'!$M114="Y",IFERROR(1*'Daily Workforce'!$P114&gt;=2,FALSE()))))),1,0)</f>
        <v>0</v>
      </c>
      <c r="DV25" s="1" t="n">
        <f aca="false">IF(AND('Daily Workforce'!$N115="Y",'Daily Workforce'!$B115&lt;&gt;"",COUNTIF('Daily Schedule'!$F$5:$F28,'Daily Workforce'!$B115)=0,IF('Daily Schedule'!$A29=45,'Daily Workforce'!$J115="Y",IF(OR('Daily Schedule'!$A29=4,'Daily Schedule'!$A29=8),IF(OR(WEEKDAY('Daily Schedule'!$B$2,2)=1,WEEKDAY('Daily Schedule'!$B$2,2)=4,WEEKDAY('Daily Schedule'!$B$2,2)=5,WEEKDAY('Daily Schedule'!$B$2,2)=7),IFERROR(1*'Daily Workforce'!$K115&gt;=3,FALSE()),IFERROR(1*'Daily Workforce'!$K115&gt;=2,FALSE())),IF(AND('Daily Schedule'!$A29&gt;=46,'Daily Schedule'!$A29&lt;=52),'Daily Workforce'!$M115="Y",IFERROR(1*'Daily Workforce'!$P115&gt;=2,FALSE()))))),1,0)</f>
        <v>0</v>
      </c>
      <c r="DW25" s="1" t="n">
        <f aca="false">IF(AND('Daily Workforce'!$N116="Y",'Daily Workforce'!$B116&lt;&gt;"",COUNTIF('Daily Schedule'!$F$5:$F28,'Daily Workforce'!$B116)=0,IF('Daily Schedule'!$A29=45,'Daily Workforce'!$J116="Y",IF(OR('Daily Schedule'!$A29=4,'Daily Schedule'!$A29=8),IF(OR(WEEKDAY('Daily Schedule'!$B$2,2)=1,WEEKDAY('Daily Schedule'!$B$2,2)=4,WEEKDAY('Daily Schedule'!$B$2,2)=5,WEEKDAY('Daily Schedule'!$B$2,2)=7),IFERROR(1*'Daily Workforce'!$K116&gt;=3,FALSE()),IFERROR(1*'Daily Workforce'!$K116&gt;=2,FALSE())),IF(AND('Daily Schedule'!$A29&gt;=46,'Daily Schedule'!$A29&lt;=52),'Daily Workforce'!$M116="Y",IFERROR(1*'Daily Workforce'!$P116&gt;=2,FALSE()))))),1,0)</f>
        <v>0</v>
      </c>
      <c r="DX25" s="1" t="n">
        <f aca="false">IF(AND('Daily Workforce'!$N117="Y",'Daily Workforce'!$B117&lt;&gt;"",COUNTIF('Daily Schedule'!$F$5:$F28,'Daily Workforce'!$B117)=0,IF('Daily Schedule'!$A29=45,'Daily Workforce'!$J117="Y",IF(OR('Daily Schedule'!$A29=4,'Daily Schedule'!$A29=8),IF(OR(WEEKDAY('Daily Schedule'!$B$2,2)=1,WEEKDAY('Daily Schedule'!$B$2,2)=4,WEEKDAY('Daily Schedule'!$B$2,2)=5,WEEKDAY('Daily Schedule'!$B$2,2)=7),IFERROR(1*'Daily Workforce'!$K117&gt;=3,FALSE()),IFERROR(1*'Daily Workforce'!$K117&gt;=2,FALSE())),IF(AND('Daily Schedule'!$A29&gt;=46,'Daily Schedule'!$A29&lt;=52),'Daily Workforce'!$M117="Y",IFERROR(1*'Daily Workforce'!$P117&gt;=2,FALSE()))))),1,0)</f>
        <v>0</v>
      </c>
      <c r="DY25" s="1" t="n">
        <f aca="false">IF(AND('Daily Workforce'!$N118="Y",'Daily Workforce'!$B118&lt;&gt;"",COUNTIF('Daily Schedule'!$F$5:$F28,'Daily Workforce'!$B118)=0,IF('Daily Schedule'!$A29=45,'Daily Workforce'!$J118="Y",IF(OR('Daily Schedule'!$A29=4,'Daily Schedule'!$A29=8),IF(OR(WEEKDAY('Daily Schedule'!$B$2,2)=1,WEEKDAY('Daily Schedule'!$B$2,2)=4,WEEKDAY('Daily Schedule'!$B$2,2)=5,WEEKDAY('Daily Schedule'!$B$2,2)=7),IFERROR(1*'Daily Workforce'!$K118&gt;=3,FALSE()),IFERROR(1*'Daily Workforce'!$K118&gt;=2,FALSE())),IF(AND('Daily Schedule'!$A29&gt;=46,'Daily Schedule'!$A29&lt;=52),'Daily Workforce'!$M118="Y",IFERROR(1*'Daily Workforce'!$P118&gt;=2,FALSE()))))),1,0)</f>
        <v>0</v>
      </c>
      <c r="DZ25" s="1" t="n">
        <f aca="false">IF(AND('Daily Workforce'!$N119="Y",'Daily Workforce'!$B119&lt;&gt;"",COUNTIF('Daily Schedule'!$F$5:$F28,'Daily Workforce'!$B119)=0,IF('Daily Schedule'!$A29=45,'Daily Workforce'!$J119="Y",IF(OR('Daily Schedule'!$A29=4,'Daily Schedule'!$A29=8),IF(OR(WEEKDAY('Daily Schedule'!$B$2,2)=1,WEEKDAY('Daily Schedule'!$B$2,2)=4,WEEKDAY('Daily Schedule'!$B$2,2)=5,WEEKDAY('Daily Schedule'!$B$2,2)=7),IFERROR(1*'Daily Workforce'!$K119&gt;=3,FALSE()),IFERROR(1*'Daily Workforce'!$K119&gt;=2,FALSE())),IF(AND('Daily Schedule'!$A29&gt;=46,'Daily Schedule'!$A29&lt;=52),'Daily Workforce'!$M119="Y",IFERROR(1*'Daily Workforce'!$P119&gt;=2,FALSE()))))),1,0)</f>
        <v>0</v>
      </c>
      <c r="EA25" s="1" t="n">
        <f aca="false">IF(AND('Daily Workforce'!$N120="Y",'Daily Workforce'!$B120&lt;&gt;"",COUNTIF('Daily Schedule'!$F$5:$F28,'Daily Workforce'!$B120)=0,IF('Daily Schedule'!$A29=45,'Daily Workforce'!$J120="Y",IF(OR('Daily Schedule'!$A29=4,'Daily Schedule'!$A29=8),IF(OR(WEEKDAY('Daily Schedule'!$B$2,2)=1,WEEKDAY('Daily Schedule'!$B$2,2)=4,WEEKDAY('Daily Schedule'!$B$2,2)=5,WEEKDAY('Daily Schedule'!$B$2,2)=7),IFERROR(1*'Daily Workforce'!$K120&gt;=3,FALSE()),IFERROR(1*'Daily Workforce'!$K120&gt;=2,FALSE())),IF(AND('Daily Schedule'!$A29&gt;=46,'Daily Schedule'!$A29&lt;=52),'Daily Workforce'!$M120="Y",IFERROR(1*'Daily Workforce'!$P120&gt;=2,FALSE()))))),1,0)</f>
        <v>0</v>
      </c>
      <c r="EB25" s="1" t="n">
        <f aca="false">IF(AND('Daily Workforce'!$N121="Y",'Daily Workforce'!$B121&lt;&gt;"",COUNTIF('Daily Schedule'!$F$5:$F28,'Daily Workforce'!$B121)=0,IF('Daily Schedule'!$A29=45,'Daily Workforce'!$J121="Y",IF(OR('Daily Schedule'!$A29=4,'Daily Schedule'!$A29=8),IF(OR(WEEKDAY('Daily Schedule'!$B$2,2)=1,WEEKDAY('Daily Schedule'!$B$2,2)=4,WEEKDAY('Daily Schedule'!$B$2,2)=5,WEEKDAY('Daily Schedule'!$B$2,2)=7),IFERROR(1*'Daily Workforce'!$K121&gt;=3,FALSE()),IFERROR(1*'Daily Workforce'!$K121&gt;=2,FALSE())),IF(AND('Daily Schedule'!$A29&gt;=46,'Daily Schedule'!$A29&lt;=52),'Daily Workforce'!$M121="Y",IFERROR(1*'Daily Workforce'!$P121&gt;=2,FALSE()))))),1,0)</f>
        <v>0</v>
      </c>
      <c r="EC25" s="1" t="n">
        <f aca="false">IF(AND('Daily Workforce'!$N122="Y",'Daily Workforce'!$B122&lt;&gt;"",COUNTIF('Daily Schedule'!$F$5:$F28,'Daily Workforce'!$B122)=0,IF('Daily Schedule'!$A29=45,'Daily Workforce'!$J122="Y",IF(OR('Daily Schedule'!$A29=4,'Daily Schedule'!$A29=8),IF(OR(WEEKDAY('Daily Schedule'!$B$2,2)=1,WEEKDAY('Daily Schedule'!$B$2,2)=4,WEEKDAY('Daily Schedule'!$B$2,2)=5,WEEKDAY('Daily Schedule'!$B$2,2)=7),IFERROR(1*'Daily Workforce'!$K122&gt;=3,FALSE()),IFERROR(1*'Daily Workforce'!$K122&gt;=2,FALSE())),IF(AND('Daily Schedule'!$A29&gt;=46,'Daily Schedule'!$A29&lt;=52),'Daily Workforce'!$M122="Y",IFERROR(1*'Daily Workforce'!$P122&gt;=2,FALSE()))))),1,0)</f>
        <v>0</v>
      </c>
      <c r="ED25" s="1" t="n">
        <f aca="false">IF(AND('Daily Workforce'!$N123="Y",'Daily Workforce'!$B123&lt;&gt;"",COUNTIF('Daily Schedule'!$F$5:$F28,'Daily Workforce'!$B123)=0,IF('Daily Schedule'!$A29=45,'Daily Workforce'!$J123="Y",IF(OR('Daily Schedule'!$A29=4,'Daily Schedule'!$A29=8),IF(OR(WEEKDAY('Daily Schedule'!$B$2,2)=1,WEEKDAY('Daily Schedule'!$B$2,2)=4,WEEKDAY('Daily Schedule'!$B$2,2)=5,WEEKDAY('Daily Schedule'!$B$2,2)=7),IFERROR(1*'Daily Workforce'!$K123&gt;=3,FALSE()),IFERROR(1*'Daily Workforce'!$K123&gt;=2,FALSE())),IF(AND('Daily Schedule'!$A29&gt;=46,'Daily Schedule'!$A29&lt;=52),'Daily Workforce'!$M123="Y",IFERROR(1*'Daily Workforce'!$P123&gt;=2,FALSE()))))),1,0)</f>
        <v>0</v>
      </c>
      <c r="EE25" s="1" t="n">
        <f aca="false">IF(AND('Daily Workforce'!$N124="Y",'Daily Workforce'!$B124&lt;&gt;"",COUNTIF('Daily Schedule'!$F$5:$F28,'Daily Workforce'!$B124)=0,IF('Daily Schedule'!$A29=45,'Daily Workforce'!$J124="Y",IF(OR('Daily Schedule'!$A29=4,'Daily Schedule'!$A29=8),IF(OR(WEEKDAY('Daily Schedule'!$B$2,2)=1,WEEKDAY('Daily Schedule'!$B$2,2)=4,WEEKDAY('Daily Schedule'!$B$2,2)=5,WEEKDAY('Daily Schedule'!$B$2,2)=7),IFERROR(1*'Daily Workforce'!$K124&gt;=3,FALSE()),IFERROR(1*'Daily Workforce'!$K124&gt;=2,FALSE())),IF(AND('Daily Schedule'!$A29&gt;=46,'Daily Schedule'!$A29&lt;=52),'Daily Workforce'!$M124="Y",IFERROR(1*'Daily Workforce'!$P124&gt;=2,FALSE()))))),1,0)</f>
        <v>0</v>
      </c>
      <c r="EF25" s="1" t="n">
        <f aca="false">IF(AND('Daily Workforce'!$N125="Y",'Daily Workforce'!$B125&lt;&gt;"",COUNTIF('Daily Schedule'!$F$5:$F28,'Daily Workforce'!$B125)=0,IF('Daily Schedule'!$A29=45,'Daily Workforce'!$J125="Y",IF(OR('Daily Schedule'!$A29=4,'Daily Schedule'!$A29=8),IF(OR(WEEKDAY('Daily Schedule'!$B$2,2)=1,WEEKDAY('Daily Schedule'!$B$2,2)=4,WEEKDAY('Daily Schedule'!$B$2,2)=5,WEEKDAY('Daily Schedule'!$B$2,2)=7),IFERROR(1*'Daily Workforce'!$K125&gt;=3,FALSE()),IFERROR(1*'Daily Workforce'!$K125&gt;=2,FALSE())),IF(AND('Daily Schedule'!$A29&gt;=46,'Daily Schedule'!$A29&lt;=52),'Daily Workforce'!$M125="Y",IFERROR(1*'Daily Workforce'!$P125&gt;=2,FALSE()))))),1,0)</f>
        <v>0</v>
      </c>
      <c r="EG25" s="1" t="n">
        <f aca="false">IF(AND('Daily Workforce'!$N126="Y",'Daily Workforce'!$B126&lt;&gt;"",COUNTIF('Daily Schedule'!$F$5:$F28,'Daily Workforce'!$B126)=0,IF('Daily Schedule'!$A29=45,'Daily Workforce'!$J126="Y",IF(OR('Daily Schedule'!$A29=4,'Daily Schedule'!$A29=8),IF(OR(WEEKDAY('Daily Schedule'!$B$2,2)=1,WEEKDAY('Daily Schedule'!$B$2,2)=4,WEEKDAY('Daily Schedule'!$B$2,2)=5,WEEKDAY('Daily Schedule'!$B$2,2)=7),IFERROR(1*'Daily Workforce'!$K126&gt;=3,FALSE()),IFERROR(1*'Daily Workforce'!$K126&gt;=2,FALSE())),IF(AND('Daily Schedule'!$A29&gt;=46,'Daily Schedule'!$A29&lt;=52),'Daily Workforce'!$M126="Y",IFERROR(1*'Daily Workforce'!$P126&gt;=2,FALSE()))))),1,0)</f>
        <v>0</v>
      </c>
      <c r="EH25" s="1" t="n">
        <f aca="false">IF(AND('Daily Workforce'!$N127="Y",'Daily Workforce'!$B127&lt;&gt;"",COUNTIF('Daily Schedule'!$F$5:$F28,'Daily Workforce'!$B127)=0,IF('Daily Schedule'!$A29=45,'Daily Workforce'!$J127="Y",IF(OR('Daily Schedule'!$A29=4,'Daily Schedule'!$A29=8),IF(OR(WEEKDAY('Daily Schedule'!$B$2,2)=1,WEEKDAY('Daily Schedule'!$B$2,2)=4,WEEKDAY('Daily Schedule'!$B$2,2)=5,WEEKDAY('Daily Schedule'!$B$2,2)=7),IFERROR(1*'Daily Workforce'!$K127&gt;=3,FALSE()),IFERROR(1*'Daily Workforce'!$K127&gt;=2,FALSE())),IF(AND('Daily Schedule'!$A29&gt;=46,'Daily Schedule'!$A29&lt;=52),'Daily Workforce'!$M127="Y",IFERROR(1*'Daily Workforce'!$P127&gt;=2,FALSE()))))),1,0)</f>
        <v>0</v>
      </c>
      <c r="EI25" s="1" t="n">
        <f aca="false">IF(AND('Daily Workforce'!$N128="Y",'Daily Workforce'!$B128&lt;&gt;"",COUNTIF('Daily Schedule'!$F$5:$F28,'Daily Workforce'!$B128)=0,IF('Daily Schedule'!$A29=45,'Daily Workforce'!$J128="Y",IF(OR('Daily Schedule'!$A29=4,'Daily Schedule'!$A29=8),IF(OR(WEEKDAY('Daily Schedule'!$B$2,2)=1,WEEKDAY('Daily Schedule'!$B$2,2)=4,WEEKDAY('Daily Schedule'!$B$2,2)=5,WEEKDAY('Daily Schedule'!$B$2,2)=7),IFERROR(1*'Daily Workforce'!$K128&gt;=3,FALSE()),IFERROR(1*'Daily Workforce'!$K128&gt;=2,FALSE())),IF(AND('Daily Schedule'!$A29&gt;=46,'Daily Schedule'!$A29&lt;=52),'Daily Workforce'!$M128="Y",IFERROR(1*'Daily Workforce'!$P128&gt;=2,FALSE()))))),1,0)</f>
        <v>0</v>
      </c>
      <c r="EJ25" s="1" t="n">
        <f aca="false">IF(AND('Daily Workforce'!$N129="Y",'Daily Workforce'!$B129&lt;&gt;"",COUNTIF('Daily Schedule'!$F$5:$F28,'Daily Workforce'!$B129)=0,IF('Daily Schedule'!$A29=45,'Daily Workforce'!$J129="Y",IF(OR('Daily Schedule'!$A29=4,'Daily Schedule'!$A29=8),IF(OR(WEEKDAY('Daily Schedule'!$B$2,2)=1,WEEKDAY('Daily Schedule'!$B$2,2)=4,WEEKDAY('Daily Schedule'!$B$2,2)=5,WEEKDAY('Daily Schedule'!$B$2,2)=7),IFERROR(1*'Daily Workforce'!$K129&gt;=3,FALSE()),IFERROR(1*'Daily Workforce'!$K129&gt;=2,FALSE())),IF(AND('Daily Schedule'!$A29&gt;=46,'Daily Schedule'!$A29&lt;=52),'Daily Workforce'!$M129="Y",IFERROR(1*'Daily Workforce'!$P129&gt;=2,FALSE()))))),1,0)</f>
        <v>0</v>
      </c>
      <c r="EK25" s="1" t="n">
        <f aca="false">IF(AND('Daily Workforce'!$N130="Y",'Daily Workforce'!$B130&lt;&gt;"",COUNTIF('Daily Schedule'!$F$5:$F28,'Daily Workforce'!$B130)=0,IF('Daily Schedule'!$A29=45,'Daily Workforce'!$J130="Y",IF(OR('Daily Schedule'!$A29=4,'Daily Schedule'!$A29=8),IF(OR(WEEKDAY('Daily Schedule'!$B$2,2)=1,WEEKDAY('Daily Schedule'!$B$2,2)=4,WEEKDAY('Daily Schedule'!$B$2,2)=5,WEEKDAY('Daily Schedule'!$B$2,2)=7),IFERROR(1*'Daily Workforce'!$K130&gt;=3,FALSE()),IFERROR(1*'Daily Workforce'!$K130&gt;=2,FALSE())),IF(AND('Daily Schedule'!$A29&gt;=46,'Daily Schedule'!$A29&lt;=52),'Daily Workforce'!$M130="Y",IFERROR(1*'Daily Workforce'!$P130&gt;=2,FALSE()))))),1,0)</f>
        <v>0</v>
      </c>
      <c r="EL25" s="1" t="n">
        <f aca="false">IF(AND('Daily Workforce'!$N131="Y",'Daily Workforce'!$B131&lt;&gt;"",COUNTIF('Daily Schedule'!$F$5:$F28,'Daily Workforce'!$B131)=0,IF('Daily Schedule'!$A29=45,'Daily Workforce'!$J131="Y",IF(OR('Daily Schedule'!$A29=4,'Daily Schedule'!$A29=8),IF(OR(WEEKDAY('Daily Schedule'!$B$2,2)=1,WEEKDAY('Daily Schedule'!$B$2,2)=4,WEEKDAY('Daily Schedule'!$B$2,2)=5,WEEKDAY('Daily Schedule'!$B$2,2)=7),IFERROR(1*'Daily Workforce'!$K131&gt;=3,FALSE()),IFERROR(1*'Daily Workforce'!$K131&gt;=2,FALSE())),IF(AND('Daily Schedule'!$A29&gt;=46,'Daily Schedule'!$A29&lt;=52),'Daily Workforce'!$M131="Y",IFERROR(1*'Daily Workforce'!$P131&gt;=2,FALSE()))))),1,0)</f>
        <v>0</v>
      </c>
      <c r="EM25" s="1" t="n">
        <f aca="false">IF(AND('Daily Workforce'!$N132="Y",'Daily Workforce'!$B132&lt;&gt;"",COUNTIF('Daily Schedule'!$F$5:$F28,'Daily Workforce'!$B132)=0,IF('Daily Schedule'!$A29=45,'Daily Workforce'!$J132="Y",IF(OR('Daily Schedule'!$A29=4,'Daily Schedule'!$A29=8),IF(OR(WEEKDAY('Daily Schedule'!$B$2,2)=1,WEEKDAY('Daily Schedule'!$B$2,2)=4,WEEKDAY('Daily Schedule'!$B$2,2)=5,WEEKDAY('Daily Schedule'!$B$2,2)=7),IFERROR(1*'Daily Workforce'!$K132&gt;=3,FALSE()),IFERROR(1*'Daily Workforce'!$K132&gt;=2,FALSE())),IF(AND('Daily Schedule'!$A29&gt;=46,'Daily Schedule'!$A29&lt;=52),'Daily Workforce'!$M132="Y",IFERROR(1*'Daily Workforce'!$P132&gt;=2,FALSE()))))),1,0)</f>
        <v>0</v>
      </c>
      <c r="EN25" s="1" t="n">
        <f aca="false">IF(AND('Daily Workforce'!$N133="Y",'Daily Workforce'!$B133&lt;&gt;"",COUNTIF('Daily Schedule'!$F$5:$F28,'Daily Workforce'!$B133)=0,IF('Daily Schedule'!$A29=45,'Daily Workforce'!$J133="Y",IF(OR('Daily Schedule'!$A29=4,'Daily Schedule'!$A29=8),IF(OR(WEEKDAY('Daily Schedule'!$B$2,2)=1,WEEKDAY('Daily Schedule'!$B$2,2)=4,WEEKDAY('Daily Schedule'!$B$2,2)=5,WEEKDAY('Daily Schedule'!$B$2,2)=7),IFERROR(1*'Daily Workforce'!$K133&gt;=3,FALSE()),IFERROR(1*'Daily Workforce'!$K133&gt;=2,FALSE())),IF(AND('Daily Schedule'!$A29&gt;=46,'Daily Schedule'!$A29&lt;=52),'Daily Workforce'!$M133="Y",IFERROR(1*'Daily Workforce'!$P133&gt;=2,FALSE()))))),1,0)</f>
        <v>0</v>
      </c>
      <c r="EO25" s="1" t="n">
        <f aca="false">IF(AND('Daily Workforce'!$N134="Y",'Daily Workforce'!$B134&lt;&gt;"",COUNTIF('Daily Schedule'!$F$5:$F28,'Daily Workforce'!$B134)=0,IF('Daily Schedule'!$A29=45,'Daily Workforce'!$J134="Y",IF(OR('Daily Schedule'!$A29=4,'Daily Schedule'!$A29=8),IF(OR(WEEKDAY('Daily Schedule'!$B$2,2)=1,WEEKDAY('Daily Schedule'!$B$2,2)=4,WEEKDAY('Daily Schedule'!$B$2,2)=5,WEEKDAY('Daily Schedule'!$B$2,2)=7),IFERROR(1*'Daily Workforce'!$K134&gt;=3,FALSE()),IFERROR(1*'Daily Workforce'!$K134&gt;=2,FALSE())),IF(AND('Daily Schedule'!$A29&gt;=46,'Daily Schedule'!$A29&lt;=52),'Daily Workforce'!$M134="Y",IFERROR(1*'Daily Workforce'!$P134&gt;=2,FALSE()))))),1,0)</f>
        <v>0</v>
      </c>
      <c r="EP25" s="1" t="n">
        <f aca="false">IF(AND('Daily Workforce'!$N135="Y",'Daily Workforce'!$B135&lt;&gt;"",COUNTIF('Daily Schedule'!$F$5:$F28,'Daily Workforce'!$B135)=0,IF('Daily Schedule'!$A29=45,'Daily Workforce'!$J135="Y",IF(OR('Daily Schedule'!$A29=4,'Daily Schedule'!$A29=8),IF(OR(WEEKDAY('Daily Schedule'!$B$2,2)=1,WEEKDAY('Daily Schedule'!$B$2,2)=4,WEEKDAY('Daily Schedule'!$B$2,2)=5,WEEKDAY('Daily Schedule'!$B$2,2)=7),IFERROR(1*'Daily Workforce'!$K135&gt;=3,FALSE()),IFERROR(1*'Daily Workforce'!$K135&gt;=2,FALSE())),IF(AND('Daily Schedule'!$A29&gt;=46,'Daily Schedule'!$A29&lt;=52),'Daily Workforce'!$M135="Y",IFERROR(1*'Daily Workforce'!$P135&gt;=2,FALSE()))))),1,0)</f>
        <v>0</v>
      </c>
      <c r="EQ25" s="1" t="n">
        <f aca="false">IF(AND('Daily Workforce'!$N136="Y",'Daily Workforce'!$B136&lt;&gt;"",COUNTIF('Daily Schedule'!$F$5:$F28,'Daily Workforce'!$B136)=0,IF('Daily Schedule'!$A29=45,'Daily Workforce'!$J136="Y",IF(OR('Daily Schedule'!$A29=4,'Daily Schedule'!$A29=8),IF(OR(WEEKDAY('Daily Schedule'!$B$2,2)=1,WEEKDAY('Daily Schedule'!$B$2,2)=4,WEEKDAY('Daily Schedule'!$B$2,2)=5,WEEKDAY('Daily Schedule'!$B$2,2)=7),IFERROR(1*'Daily Workforce'!$K136&gt;=3,FALSE()),IFERROR(1*'Daily Workforce'!$K136&gt;=2,FALSE())),IF(AND('Daily Schedule'!$A29&gt;=46,'Daily Schedule'!$A29&lt;=52),'Daily Workforce'!$M136="Y",IFERROR(1*'Daily Workforce'!$P136&gt;=2,FALSE()))))),1,0)</f>
        <v>0</v>
      </c>
      <c r="ER25" s="1" t="n">
        <f aca="false">IF(AND('Daily Workforce'!$N137="Y",'Daily Workforce'!$B137&lt;&gt;"",COUNTIF('Daily Schedule'!$F$5:$F28,'Daily Workforce'!$B137)=0,IF('Daily Schedule'!$A29=45,'Daily Workforce'!$J137="Y",IF(OR('Daily Schedule'!$A29=4,'Daily Schedule'!$A29=8),IF(OR(WEEKDAY('Daily Schedule'!$B$2,2)=1,WEEKDAY('Daily Schedule'!$B$2,2)=4,WEEKDAY('Daily Schedule'!$B$2,2)=5,WEEKDAY('Daily Schedule'!$B$2,2)=7),IFERROR(1*'Daily Workforce'!$K137&gt;=3,FALSE()),IFERROR(1*'Daily Workforce'!$K137&gt;=2,FALSE())),IF(AND('Daily Schedule'!$A29&gt;=46,'Daily Schedule'!$A29&lt;=52),'Daily Workforce'!$M137="Y",IFERROR(1*'Daily Workforce'!$P137&gt;=2,FALSE()))))),1,0)</f>
        <v>0</v>
      </c>
      <c r="ES25" s="1" t="n">
        <f aca="false">IF(AND('Daily Workforce'!$N138="Y",'Daily Workforce'!$B138&lt;&gt;"",COUNTIF('Daily Schedule'!$F$5:$F28,'Daily Workforce'!$B138)=0,IF('Daily Schedule'!$A29=45,'Daily Workforce'!$J138="Y",IF(OR('Daily Schedule'!$A29=4,'Daily Schedule'!$A29=8),IF(OR(WEEKDAY('Daily Schedule'!$B$2,2)=1,WEEKDAY('Daily Schedule'!$B$2,2)=4,WEEKDAY('Daily Schedule'!$B$2,2)=5,WEEKDAY('Daily Schedule'!$B$2,2)=7),IFERROR(1*'Daily Workforce'!$K138&gt;=3,FALSE()),IFERROR(1*'Daily Workforce'!$K138&gt;=2,FALSE())),IF(AND('Daily Schedule'!$A29&gt;=46,'Daily Schedule'!$A29&lt;=52),'Daily Workforce'!$M138="Y",IFERROR(1*'Daily Workforce'!$P138&gt;=2,FALSE()))))),1,0)</f>
        <v>0</v>
      </c>
      <c r="ET25" s="1" t="n">
        <f aca="false">IF(AND('Daily Workforce'!$N139="Y",'Daily Workforce'!$B139&lt;&gt;"",COUNTIF('Daily Schedule'!$F$5:$F28,'Daily Workforce'!$B139)=0,IF('Daily Schedule'!$A29=45,'Daily Workforce'!$J139="Y",IF(OR('Daily Schedule'!$A29=4,'Daily Schedule'!$A29=8),IF(OR(WEEKDAY('Daily Schedule'!$B$2,2)=1,WEEKDAY('Daily Schedule'!$B$2,2)=4,WEEKDAY('Daily Schedule'!$B$2,2)=5,WEEKDAY('Daily Schedule'!$B$2,2)=7),IFERROR(1*'Daily Workforce'!$K139&gt;=3,FALSE()),IFERROR(1*'Daily Workforce'!$K139&gt;=2,FALSE())),IF(AND('Daily Schedule'!$A29&gt;=46,'Daily Schedule'!$A29&lt;=52),'Daily Workforce'!$M139="Y",IFERROR(1*'Daily Workforce'!$P139&gt;=2,FALSE()))))),1,0)</f>
        <v>0</v>
      </c>
      <c r="EU25" s="1" t="n">
        <f aca="false">IF(AND('Daily Workforce'!$N140="Y",'Daily Workforce'!$B140&lt;&gt;"",COUNTIF('Daily Schedule'!$F$5:$F28,'Daily Workforce'!$B140)=0,IF('Daily Schedule'!$A29=45,'Daily Workforce'!$J140="Y",IF(OR('Daily Schedule'!$A29=4,'Daily Schedule'!$A29=8),IF(OR(WEEKDAY('Daily Schedule'!$B$2,2)=1,WEEKDAY('Daily Schedule'!$B$2,2)=4,WEEKDAY('Daily Schedule'!$B$2,2)=5,WEEKDAY('Daily Schedule'!$B$2,2)=7),IFERROR(1*'Daily Workforce'!$K140&gt;=3,FALSE()),IFERROR(1*'Daily Workforce'!$K140&gt;=2,FALSE())),IF(AND('Daily Schedule'!$A29&gt;=46,'Daily Schedule'!$A29&lt;=52),'Daily Workforce'!$M140="Y",IFERROR(1*'Daily Workforce'!$P140&gt;=2,FALSE()))))),1,0)</f>
        <v>0</v>
      </c>
      <c r="EV25" s="1" t="n">
        <f aca="false">IF(AND('Daily Workforce'!$N141="Y",'Daily Workforce'!$B141&lt;&gt;"",COUNTIF('Daily Schedule'!$F$5:$F28,'Daily Workforce'!$B141)=0,IF('Daily Schedule'!$A29=45,'Daily Workforce'!$J141="Y",IF(OR('Daily Schedule'!$A29=4,'Daily Schedule'!$A29=8),IF(OR(WEEKDAY('Daily Schedule'!$B$2,2)=1,WEEKDAY('Daily Schedule'!$B$2,2)=4,WEEKDAY('Daily Schedule'!$B$2,2)=5,WEEKDAY('Daily Schedule'!$B$2,2)=7),IFERROR(1*'Daily Workforce'!$K141&gt;=3,FALSE()),IFERROR(1*'Daily Workforce'!$K141&gt;=2,FALSE())),IF(AND('Daily Schedule'!$A29&gt;=46,'Daily Schedule'!$A29&lt;=52),'Daily Workforce'!$M141="Y",IFERROR(1*'Daily Workforce'!$P141&gt;=2,FALSE()))))),1,0)</f>
        <v>0</v>
      </c>
      <c r="EW25" s="1" t="n">
        <f aca="false">IF(AND('Daily Workforce'!$N142="Y",'Daily Workforce'!$B142&lt;&gt;"",COUNTIF('Daily Schedule'!$F$5:$F28,'Daily Workforce'!$B142)=0,IF('Daily Schedule'!$A29=45,'Daily Workforce'!$J142="Y",IF(OR('Daily Schedule'!$A29=4,'Daily Schedule'!$A29=8),IF(OR(WEEKDAY('Daily Schedule'!$B$2,2)=1,WEEKDAY('Daily Schedule'!$B$2,2)=4,WEEKDAY('Daily Schedule'!$B$2,2)=5,WEEKDAY('Daily Schedule'!$B$2,2)=7),IFERROR(1*'Daily Workforce'!$K142&gt;=3,FALSE()),IFERROR(1*'Daily Workforce'!$K142&gt;=2,FALSE())),IF(AND('Daily Schedule'!$A29&gt;=46,'Daily Schedule'!$A29&lt;=52),'Daily Workforce'!$M142="Y",IFERROR(1*'Daily Workforce'!$P142&gt;=2,FALSE()))))),1,0)</f>
        <v>0</v>
      </c>
      <c r="EX25" s="1" t="n">
        <f aca="false">IF(AND('Daily Workforce'!$N143="Y",'Daily Workforce'!$B143&lt;&gt;"",COUNTIF('Daily Schedule'!$F$5:$F28,'Daily Workforce'!$B143)=0,IF('Daily Schedule'!$A29=45,'Daily Workforce'!$J143="Y",IF(OR('Daily Schedule'!$A29=4,'Daily Schedule'!$A29=8),IF(OR(WEEKDAY('Daily Schedule'!$B$2,2)=1,WEEKDAY('Daily Schedule'!$B$2,2)=4,WEEKDAY('Daily Schedule'!$B$2,2)=5,WEEKDAY('Daily Schedule'!$B$2,2)=7),IFERROR(1*'Daily Workforce'!$K143&gt;=3,FALSE()),IFERROR(1*'Daily Workforce'!$K143&gt;=2,FALSE())),IF(AND('Daily Schedule'!$A29&gt;=46,'Daily Schedule'!$A29&lt;=52),'Daily Workforce'!$M143="Y",IFERROR(1*'Daily Workforce'!$P143&gt;=2,FALSE()))))),1,0)</f>
        <v>0</v>
      </c>
      <c r="EY25" s="1" t="n">
        <f aca="false">IF(AND('Daily Workforce'!$N144="Y",'Daily Workforce'!$B144&lt;&gt;"",COUNTIF('Daily Schedule'!$F$5:$F28,'Daily Workforce'!$B144)=0,IF('Daily Schedule'!$A29=45,'Daily Workforce'!$J144="Y",IF(OR('Daily Schedule'!$A29=4,'Daily Schedule'!$A29=8),IF(OR(WEEKDAY('Daily Schedule'!$B$2,2)=1,WEEKDAY('Daily Schedule'!$B$2,2)=4,WEEKDAY('Daily Schedule'!$B$2,2)=5,WEEKDAY('Daily Schedule'!$B$2,2)=7),IFERROR(1*'Daily Workforce'!$K144&gt;=3,FALSE()),IFERROR(1*'Daily Workforce'!$K144&gt;=2,FALSE())),IF(AND('Daily Schedule'!$A29&gt;=46,'Daily Schedule'!$A29&lt;=52),'Daily Workforce'!$M144="Y",IFERROR(1*'Daily Workforce'!$P144&gt;=2,FALSE()))))),1,0)</f>
        <v>0</v>
      </c>
      <c r="EZ25" s="1" t="n">
        <f aca="false">IF(AND('Daily Workforce'!$N145="Y",'Daily Workforce'!$B145&lt;&gt;"",COUNTIF('Daily Schedule'!$F$5:$F28,'Daily Workforce'!$B145)=0,IF('Daily Schedule'!$A29=45,'Daily Workforce'!$J145="Y",IF(OR('Daily Schedule'!$A29=4,'Daily Schedule'!$A29=8),IF(OR(WEEKDAY('Daily Schedule'!$B$2,2)=1,WEEKDAY('Daily Schedule'!$B$2,2)=4,WEEKDAY('Daily Schedule'!$B$2,2)=5,WEEKDAY('Daily Schedule'!$B$2,2)=7),IFERROR(1*'Daily Workforce'!$K145&gt;=3,FALSE()),IFERROR(1*'Daily Workforce'!$K145&gt;=2,FALSE())),IF(AND('Daily Schedule'!$A29&gt;=46,'Daily Schedule'!$A29&lt;=52),'Daily Workforce'!$M145="Y",IFERROR(1*'Daily Workforce'!$P145&gt;=2,FALSE()))))),1,0)</f>
        <v>0</v>
      </c>
      <c r="FA25" s="1" t="n">
        <f aca="false">IF(AND('Daily Workforce'!$N146="Y",'Daily Workforce'!$B146&lt;&gt;"",COUNTIF('Daily Schedule'!$F$5:$F28,'Daily Workforce'!$B146)=0,IF('Daily Schedule'!$A29=45,'Daily Workforce'!$J146="Y",IF(OR('Daily Schedule'!$A29=4,'Daily Schedule'!$A29=8),IF(OR(WEEKDAY('Daily Schedule'!$B$2,2)=1,WEEKDAY('Daily Schedule'!$B$2,2)=4,WEEKDAY('Daily Schedule'!$B$2,2)=5,WEEKDAY('Daily Schedule'!$B$2,2)=7),IFERROR(1*'Daily Workforce'!$K146&gt;=3,FALSE()),IFERROR(1*'Daily Workforce'!$K146&gt;=2,FALSE())),IF(AND('Daily Schedule'!$A29&gt;=46,'Daily Schedule'!$A29&lt;=52),'Daily Workforce'!$M146="Y",IFERROR(1*'Daily Workforce'!$P146&gt;=2,FALSE()))))),1,0)</f>
        <v>0</v>
      </c>
      <c r="FB25" s="1" t="n">
        <f aca="false">IF(AND('Daily Workforce'!$N147="Y",'Daily Workforce'!$B147&lt;&gt;"",COUNTIF('Daily Schedule'!$F$5:$F28,'Daily Workforce'!$B147)=0,IF('Daily Schedule'!$A29=45,'Daily Workforce'!$J147="Y",IF(OR('Daily Schedule'!$A29=4,'Daily Schedule'!$A29=8),IF(OR(WEEKDAY('Daily Schedule'!$B$2,2)=1,WEEKDAY('Daily Schedule'!$B$2,2)=4,WEEKDAY('Daily Schedule'!$B$2,2)=5,WEEKDAY('Daily Schedule'!$B$2,2)=7),IFERROR(1*'Daily Workforce'!$K147&gt;=3,FALSE()),IFERROR(1*'Daily Workforce'!$K147&gt;=2,FALSE())),IF(AND('Daily Schedule'!$A29&gt;=46,'Daily Schedule'!$A29&lt;=52),'Daily Workforce'!$M147="Y",IFERROR(1*'Daily Workforce'!$P147&gt;=2,FALSE()))))),1,0)</f>
        <v>0</v>
      </c>
      <c r="FC25" s="1" t="n">
        <f aca="false">IF(AND('Daily Workforce'!$N148="Y",'Daily Workforce'!$B148&lt;&gt;"",COUNTIF('Daily Schedule'!$F$5:$F28,'Daily Workforce'!$B148)=0,IF('Daily Schedule'!$A29=45,'Daily Workforce'!$J148="Y",IF(OR('Daily Schedule'!$A29=4,'Daily Schedule'!$A29=8),IF(OR(WEEKDAY('Daily Schedule'!$B$2,2)=1,WEEKDAY('Daily Schedule'!$B$2,2)=4,WEEKDAY('Daily Schedule'!$B$2,2)=5,WEEKDAY('Daily Schedule'!$B$2,2)=7),IFERROR(1*'Daily Workforce'!$K148&gt;=3,FALSE()),IFERROR(1*'Daily Workforce'!$K148&gt;=2,FALSE())),IF(AND('Daily Schedule'!$A29&gt;=46,'Daily Schedule'!$A29&lt;=52),'Daily Workforce'!$M148="Y",IFERROR(1*'Daily Workforce'!$P148&gt;=2,FALSE()))))),1,0)</f>
        <v>0</v>
      </c>
      <c r="FD25" s="1" t="n">
        <f aca="false">IF(AND('Daily Workforce'!$N149="Y",'Daily Workforce'!$B149&lt;&gt;"",COUNTIF('Daily Schedule'!$F$5:$F28,'Daily Workforce'!$B149)=0,IF('Daily Schedule'!$A29=45,'Daily Workforce'!$J149="Y",IF(OR('Daily Schedule'!$A29=4,'Daily Schedule'!$A29=8),IF(OR(WEEKDAY('Daily Schedule'!$B$2,2)=1,WEEKDAY('Daily Schedule'!$B$2,2)=4,WEEKDAY('Daily Schedule'!$B$2,2)=5,WEEKDAY('Daily Schedule'!$B$2,2)=7),IFERROR(1*'Daily Workforce'!$K149&gt;=3,FALSE()),IFERROR(1*'Daily Workforce'!$K149&gt;=2,FALSE())),IF(AND('Daily Schedule'!$A29&gt;=46,'Daily Schedule'!$A29&lt;=52),'Daily Workforce'!$M149="Y",IFERROR(1*'Daily Workforce'!$P149&gt;=2,FALSE()))))),1,0)</f>
        <v>0</v>
      </c>
      <c r="FE25" s="1" t="n">
        <f aca="false">IF(AND('Daily Workforce'!$N150="Y",'Daily Workforce'!$B150&lt;&gt;"",COUNTIF('Daily Schedule'!$F$5:$F28,'Daily Workforce'!$B150)=0,IF('Daily Schedule'!$A29=45,'Daily Workforce'!$J150="Y",IF(OR('Daily Schedule'!$A29=4,'Daily Schedule'!$A29=8),IF(OR(WEEKDAY('Daily Schedule'!$B$2,2)=1,WEEKDAY('Daily Schedule'!$B$2,2)=4,WEEKDAY('Daily Schedule'!$B$2,2)=5,WEEKDAY('Daily Schedule'!$B$2,2)=7),IFERROR(1*'Daily Workforce'!$K150&gt;=3,FALSE()),IFERROR(1*'Daily Workforce'!$K150&gt;=2,FALSE())),IF(AND('Daily Schedule'!$A29&gt;=46,'Daily Schedule'!$A29&lt;=52),'Daily Workforce'!$M150="Y",IFERROR(1*'Daily Workforce'!$P150&gt;=2,FALSE()))))),1,0)</f>
        <v>0</v>
      </c>
      <c r="FF25" s="1" t="n">
        <f aca="false">IF(AND('Daily Workforce'!$N151="Y",'Daily Workforce'!$B151&lt;&gt;"",COUNTIF('Daily Schedule'!$F$5:$F28,'Daily Workforce'!$B151)=0,IF('Daily Schedule'!$A29=45,'Daily Workforce'!$J151="Y",IF(OR('Daily Schedule'!$A29=4,'Daily Schedule'!$A29=8),IF(OR(WEEKDAY('Daily Schedule'!$B$2,2)=1,WEEKDAY('Daily Schedule'!$B$2,2)=4,WEEKDAY('Daily Schedule'!$B$2,2)=5,WEEKDAY('Daily Schedule'!$B$2,2)=7),IFERROR(1*'Daily Workforce'!$K151&gt;=3,FALSE()),IFERROR(1*'Daily Workforce'!$K151&gt;=2,FALSE())),IF(AND('Daily Schedule'!$A29&gt;=46,'Daily Schedule'!$A29&lt;=52),'Daily Workforce'!$M151="Y",IFERROR(1*'Daily Workforce'!$P151&gt;=2,FALSE()))))),1,0)</f>
        <v>0</v>
      </c>
      <c r="FG25" s="1" t="n">
        <f aca="false">IF(AND('Daily Workforce'!$N152="Y",'Daily Workforce'!$B152&lt;&gt;"",COUNTIF('Daily Schedule'!$F$5:$F28,'Daily Workforce'!$B152)=0,IF('Daily Schedule'!$A29=45,'Daily Workforce'!$J152="Y",IF(OR('Daily Schedule'!$A29=4,'Daily Schedule'!$A29=8),IF(OR(WEEKDAY('Daily Schedule'!$B$2,2)=1,WEEKDAY('Daily Schedule'!$B$2,2)=4,WEEKDAY('Daily Schedule'!$B$2,2)=5,WEEKDAY('Daily Schedule'!$B$2,2)=7),IFERROR(1*'Daily Workforce'!$K152&gt;=3,FALSE()),IFERROR(1*'Daily Workforce'!$K152&gt;=2,FALSE())),IF(AND('Daily Schedule'!$A29&gt;=46,'Daily Schedule'!$A29&lt;=52),'Daily Workforce'!$M152="Y",IFERROR(1*'Daily Workforce'!$P152&gt;=2,FALSE()))))),1,0)</f>
        <v>0</v>
      </c>
      <c r="FH25" s="1" t="n">
        <f aca="false">IF(AND('Daily Workforce'!$N153="Y",'Daily Workforce'!$B153&lt;&gt;"",COUNTIF('Daily Schedule'!$F$5:$F28,'Daily Workforce'!$B153)=0,IF('Daily Schedule'!$A29=45,'Daily Workforce'!$J153="Y",IF(OR('Daily Schedule'!$A29=4,'Daily Schedule'!$A29=8),IF(OR(WEEKDAY('Daily Schedule'!$B$2,2)=1,WEEKDAY('Daily Schedule'!$B$2,2)=4,WEEKDAY('Daily Schedule'!$B$2,2)=5,WEEKDAY('Daily Schedule'!$B$2,2)=7),IFERROR(1*'Daily Workforce'!$K153&gt;=3,FALSE()),IFERROR(1*'Daily Workforce'!$K153&gt;=2,FALSE())),IF(AND('Daily Schedule'!$A29&gt;=46,'Daily Schedule'!$A29&lt;=52),'Daily Workforce'!$M153="Y",IFERROR(1*'Daily Workforce'!$P153&gt;=2,FALSE()))))),1,0)</f>
        <v>0</v>
      </c>
      <c r="FI25" s="1" t="n">
        <f aca="false">IF(AND('Daily Workforce'!$N154="Y",'Daily Workforce'!$B154&lt;&gt;"",COUNTIF('Daily Schedule'!$F$5:$F28,'Daily Workforce'!$B154)=0,IF('Daily Schedule'!$A29=45,'Daily Workforce'!$J154="Y",IF(OR('Daily Schedule'!$A29=4,'Daily Schedule'!$A29=8),IF(OR(WEEKDAY('Daily Schedule'!$B$2,2)=1,WEEKDAY('Daily Schedule'!$B$2,2)=4,WEEKDAY('Daily Schedule'!$B$2,2)=5,WEEKDAY('Daily Schedule'!$B$2,2)=7),IFERROR(1*'Daily Workforce'!$K154&gt;=3,FALSE()),IFERROR(1*'Daily Workforce'!$K154&gt;=2,FALSE())),IF(AND('Daily Schedule'!$A29&gt;=46,'Daily Schedule'!$A29&lt;=52),'Daily Workforce'!$M154="Y",IFERROR(1*'Daily Workforce'!$P154&gt;=2,FALSE()))))),1,0)</f>
        <v>0</v>
      </c>
      <c r="FJ25" s="1" t="n">
        <f aca="false">IF(AND('Daily Workforce'!$N155="Y",'Daily Workforce'!$B155&lt;&gt;"",COUNTIF('Daily Schedule'!$F$5:$F28,'Daily Workforce'!$B155)=0,IF('Daily Schedule'!$A29=45,'Daily Workforce'!$J155="Y",IF(OR('Daily Schedule'!$A29=4,'Daily Schedule'!$A29=8),IF(OR(WEEKDAY('Daily Schedule'!$B$2,2)=1,WEEKDAY('Daily Schedule'!$B$2,2)=4,WEEKDAY('Daily Schedule'!$B$2,2)=5,WEEKDAY('Daily Schedule'!$B$2,2)=7),IFERROR(1*'Daily Workforce'!$K155&gt;=3,FALSE()),IFERROR(1*'Daily Workforce'!$K155&gt;=2,FALSE())),IF(AND('Daily Schedule'!$A29&gt;=46,'Daily Schedule'!$A29&lt;=52),'Daily Workforce'!$M155="Y",IFERROR(1*'Daily Workforce'!$P155&gt;=2,FALSE()))))),1,0)</f>
        <v>0</v>
      </c>
      <c r="FK25" s="1" t="n">
        <f aca="false">IF(AND('Daily Workforce'!$N156="Y",'Daily Workforce'!$B156&lt;&gt;"",COUNTIF('Daily Schedule'!$F$5:$F28,'Daily Workforce'!$B156)=0,IF('Daily Schedule'!$A29=45,'Daily Workforce'!$J156="Y",IF(OR('Daily Schedule'!$A29=4,'Daily Schedule'!$A29=8),IF(OR(WEEKDAY('Daily Schedule'!$B$2,2)=1,WEEKDAY('Daily Schedule'!$B$2,2)=4,WEEKDAY('Daily Schedule'!$B$2,2)=5,WEEKDAY('Daily Schedule'!$B$2,2)=7),IFERROR(1*'Daily Workforce'!$K156&gt;=3,FALSE()),IFERROR(1*'Daily Workforce'!$K156&gt;=2,FALSE())),IF(AND('Daily Schedule'!$A29&gt;=46,'Daily Schedule'!$A29&lt;=52),'Daily Workforce'!$M156="Y",IFERROR(1*'Daily Workforce'!$P156&gt;=2,FALSE()))))),1,0)</f>
        <v>0</v>
      </c>
      <c r="FL25" s="1" t="n">
        <f aca="false">IF(AND('Daily Workforce'!$N157="Y",'Daily Workforce'!$B157&lt;&gt;"",COUNTIF('Daily Schedule'!$F$5:$F28,'Daily Workforce'!$B157)=0,IF('Daily Schedule'!$A29=45,'Daily Workforce'!$J157="Y",IF(OR('Daily Schedule'!$A29=4,'Daily Schedule'!$A29=8),IF(OR(WEEKDAY('Daily Schedule'!$B$2,2)=1,WEEKDAY('Daily Schedule'!$B$2,2)=4,WEEKDAY('Daily Schedule'!$B$2,2)=5,WEEKDAY('Daily Schedule'!$B$2,2)=7),IFERROR(1*'Daily Workforce'!$K157&gt;=3,FALSE()),IFERROR(1*'Daily Workforce'!$K157&gt;=2,FALSE())),IF(AND('Daily Schedule'!$A29&gt;=46,'Daily Schedule'!$A29&lt;=52),'Daily Workforce'!$M157="Y",IFERROR(1*'Daily Workforce'!$P157&gt;=2,FALSE()))))),1,0)</f>
        <v>0</v>
      </c>
      <c r="FM25" s="1" t="n">
        <f aca="false">IF(AND('Daily Workforce'!$N158="Y",'Daily Workforce'!$B158&lt;&gt;"",COUNTIF('Daily Schedule'!$F$5:$F28,'Daily Workforce'!$B158)=0,IF('Daily Schedule'!$A29=45,'Daily Workforce'!$J158="Y",IF(OR('Daily Schedule'!$A29=4,'Daily Schedule'!$A29=8),IF(OR(WEEKDAY('Daily Schedule'!$B$2,2)=1,WEEKDAY('Daily Schedule'!$B$2,2)=4,WEEKDAY('Daily Schedule'!$B$2,2)=5,WEEKDAY('Daily Schedule'!$B$2,2)=7),IFERROR(1*'Daily Workforce'!$K158&gt;=3,FALSE()),IFERROR(1*'Daily Workforce'!$K158&gt;=2,FALSE())),IF(AND('Daily Schedule'!$A29&gt;=46,'Daily Schedule'!$A29&lt;=52),'Daily Workforce'!$M158="Y",IFERROR(1*'Daily Workforce'!$P158&gt;=2,FALSE()))))),1,0)</f>
        <v>0</v>
      </c>
      <c r="FN25" s="1" t="n">
        <f aca="false">IF(AND('Daily Workforce'!$N159="Y",'Daily Workforce'!$B159&lt;&gt;"",COUNTIF('Daily Schedule'!$F$5:$F28,'Daily Workforce'!$B159)=0,IF('Daily Schedule'!$A29=45,'Daily Workforce'!$J159="Y",IF(OR('Daily Schedule'!$A29=4,'Daily Schedule'!$A29=8),IF(OR(WEEKDAY('Daily Schedule'!$B$2,2)=1,WEEKDAY('Daily Schedule'!$B$2,2)=4,WEEKDAY('Daily Schedule'!$B$2,2)=5,WEEKDAY('Daily Schedule'!$B$2,2)=7),IFERROR(1*'Daily Workforce'!$K159&gt;=3,FALSE()),IFERROR(1*'Daily Workforce'!$K159&gt;=2,FALSE())),IF(AND('Daily Schedule'!$A29&gt;=46,'Daily Schedule'!$A29&lt;=52),'Daily Workforce'!$M159="Y",IFERROR(1*'Daily Workforce'!$P159&gt;=2,FALSE()))))),1,0)</f>
        <v>0</v>
      </c>
      <c r="FO25" s="1" t="n">
        <f aca="false">IF(AND('Daily Workforce'!$N160="Y",'Daily Workforce'!$B160&lt;&gt;"",COUNTIF('Daily Schedule'!$F$5:$F28,'Daily Workforce'!$B160)=0,IF('Daily Schedule'!$A29=45,'Daily Workforce'!$J160="Y",IF(OR('Daily Schedule'!$A29=4,'Daily Schedule'!$A29=8),IF(OR(WEEKDAY('Daily Schedule'!$B$2,2)=1,WEEKDAY('Daily Schedule'!$B$2,2)=4,WEEKDAY('Daily Schedule'!$B$2,2)=5,WEEKDAY('Daily Schedule'!$B$2,2)=7),IFERROR(1*'Daily Workforce'!$K160&gt;=3,FALSE()),IFERROR(1*'Daily Workforce'!$K160&gt;=2,FALSE())),IF(AND('Daily Schedule'!$A29&gt;=46,'Daily Schedule'!$A29&lt;=52),'Daily Workforce'!$M160="Y",IFERROR(1*'Daily Workforce'!$P160&gt;=2,FALSE()))))),1,0)</f>
        <v>0</v>
      </c>
      <c r="FP25" s="1" t="n">
        <f aca="false">IF(AND('Daily Workforce'!$N161="Y",'Daily Workforce'!$B161&lt;&gt;"",COUNTIF('Daily Schedule'!$F$5:$F28,'Daily Workforce'!$B161)=0,IF('Daily Schedule'!$A29=45,'Daily Workforce'!$J161="Y",IF(OR('Daily Schedule'!$A29=4,'Daily Schedule'!$A29=8),IF(OR(WEEKDAY('Daily Schedule'!$B$2,2)=1,WEEKDAY('Daily Schedule'!$B$2,2)=4,WEEKDAY('Daily Schedule'!$B$2,2)=5,WEEKDAY('Daily Schedule'!$B$2,2)=7),IFERROR(1*'Daily Workforce'!$K161&gt;=3,FALSE()),IFERROR(1*'Daily Workforce'!$K161&gt;=2,FALSE())),IF(AND('Daily Schedule'!$A29&gt;=46,'Daily Schedule'!$A29&lt;=52),'Daily Workforce'!$M161="Y",IFERROR(1*'Daily Workforce'!$P161&gt;=2,FALSE()))))),1,0)</f>
        <v>0</v>
      </c>
      <c r="FQ25" s="1" t="n">
        <f aca="false">IF(AND('Daily Workforce'!$N162="Y",'Daily Workforce'!$B162&lt;&gt;"",COUNTIF('Daily Schedule'!$F$5:$F28,'Daily Workforce'!$B162)=0,IF('Daily Schedule'!$A29=45,'Daily Workforce'!$J162="Y",IF(OR('Daily Schedule'!$A29=4,'Daily Schedule'!$A29=8),IF(OR(WEEKDAY('Daily Schedule'!$B$2,2)=1,WEEKDAY('Daily Schedule'!$B$2,2)=4,WEEKDAY('Daily Schedule'!$B$2,2)=5,WEEKDAY('Daily Schedule'!$B$2,2)=7),IFERROR(1*'Daily Workforce'!$K162&gt;=3,FALSE()),IFERROR(1*'Daily Workforce'!$K162&gt;=2,FALSE())),IF(AND('Daily Schedule'!$A29&gt;=46,'Daily Schedule'!$A29&lt;=52),'Daily Workforce'!$M162="Y",IFERROR(1*'Daily Workforce'!$P162&gt;=2,FALSE()))))),1,0)</f>
        <v>0</v>
      </c>
      <c r="FR25" s="1" t="n">
        <f aca="false">IF(AND('Daily Workforce'!$N163="Y",'Daily Workforce'!$B163&lt;&gt;"",COUNTIF('Daily Schedule'!$F$5:$F28,'Daily Workforce'!$B163)=0,IF('Daily Schedule'!$A29=45,'Daily Workforce'!$J163="Y",IF(OR('Daily Schedule'!$A29=4,'Daily Schedule'!$A29=8),IF(OR(WEEKDAY('Daily Schedule'!$B$2,2)=1,WEEKDAY('Daily Schedule'!$B$2,2)=4,WEEKDAY('Daily Schedule'!$B$2,2)=5,WEEKDAY('Daily Schedule'!$B$2,2)=7),IFERROR(1*'Daily Workforce'!$K163&gt;=3,FALSE()),IFERROR(1*'Daily Workforce'!$K163&gt;=2,FALSE())),IF(AND('Daily Schedule'!$A29&gt;=46,'Daily Schedule'!$A29&lt;=52),'Daily Workforce'!$M163="Y",IFERROR(1*'Daily Workforce'!$P163&gt;=2,FALSE()))))),1,0)</f>
        <v>0</v>
      </c>
      <c r="FS25" s="1" t="n">
        <f aca="false">IF(AND('Daily Workforce'!$N164="Y",'Daily Workforce'!$B164&lt;&gt;"",COUNTIF('Daily Schedule'!$F$5:$F28,'Daily Workforce'!$B164)=0,IF('Daily Schedule'!$A29=45,'Daily Workforce'!$J164="Y",IF(OR('Daily Schedule'!$A29=4,'Daily Schedule'!$A29=8),IF(OR(WEEKDAY('Daily Schedule'!$B$2,2)=1,WEEKDAY('Daily Schedule'!$B$2,2)=4,WEEKDAY('Daily Schedule'!$B$2,2)=5,WEEKDAY('Daily Schedule'!$B$2,2)=7),IFERROR(1*'Daily Workforce'!$K164&gt;=3,FALSE()),IFERROR(1*'Daily Workforce'!$K164&gt;=2,FALSE())),IF(AND('Daily Schedule'!$A29&gt;=46,'Daily Schedule'!$A29&lt;=52),'Daily Workforce'!$M164="Y",IFERROR(1*'Daily Workforce'!$P164&gt;=2,FALSE()))))),1,0)</f>
        <v>0</v>
      </c>
      <c r="FT25" s="1" t="n">
        <f aca="false">IF(AND('Daily Workforce'!$N165="Y",'Daily Workforce'!$B165&lt;&gt;"",COUNTIF('Daily Schedule'!$F$5:$F28,'Daily Workforce'!$B165)=0,IF('Daily Schedule'!$A29=45,'Daily Workforce'!$J165="Y",IF(OR('Daily Schedule'!$A29=4,'Daily Schedule'!$A29=8),IF(OR(WEEKDAY('Daily Schedule'!$B$2,2)=1,WEEKDAY('Daily Schedule'!$B$2,2)=4,WEEKDAY('Daily Schedule'!$B$2,2)=5,WEEKDAY('Daily Schedule'!$B$2,2)=7),IFERROR(1*'Daily Workforce'!$K165&gt;=3,FALSE()),IFERROR(1*'Daily Workforce'!$K165&gt;=2,FALSE())),IF(AND('Daily Schedule'!$A29&gt;=46,'Daily Schedule'!$A29&lt;=52),'Daily Workforce'!$M165="Y",IFERROR(1*'Daily Workforce'!$P165&gt;=2,FALSE()))))),1,0)</f>
        <v>0</v>
      </c>
      <c r="FU25" s="1" t="n">
        <f aca="false">IF(AND('Daily Workforce'!$N166="Y",'Daily Workforce'!$B166&lt;&gt;"",COUNTIF('Daily Schedule'!$F$5:$F28,'Daily Workforce'!$B166)=0,IF('Daily Schedule'!$A29=45,'Daily Workforce'!$J166="Y",IF(OR('Daily Schedule'!$A29=4,'Daily Schedule'!$A29=8),IF(OR(WEEKDAY('Daily Schedule'!$B$2,2)=1,WEEKDAY('Daily Schedule'!$B$2,2)=4,WEEKDAY('Daily Schedule'!$B$2,2)=5,WEEKDAY('Daily Schedule'!$B$2,2)=7),IFERROR(1*'Daily Workforce'!$K166&gt;=3,FALSE()),IFERROR(1*'Daily Workforce'!$K166&gt;=2,FALSE())),IF(AND('Daily Schedule'!$A29&gt;=46,'Daily Schedule'!$A29&lt;=52),'Daily Workforce'!$M166="Y",IFERROR(1*'Daily Workforce'!$P166&gt;=2,FALSE()))))),1,0)</f>
        <v>0</v>
      </c>
      <c r="FV25" s="1" t="n">
        <f aca="false">IF(AND('Daily Workforce'!$N167="Y",'Daily Workforce'!$B167&lt;&gt;"",COUNTIF('Daily Schedule'!$F$5:$F28,'Daily Workforce'!$B167)=0,IF('Daily Schedule'!$A29=45,'Daily Workforce'!$J167="Y",IF(OR('Daily Schedule'!$A29=4,'Daily Schedule'!$A29=8),IF(OR(WEEKDAY('Daily Schedule'!$B$2,2)=1,WEEKDAY('Daily Schedule'!$B$2,2)=4,WEEKDAY('Daily Schedule'!$B$2,2)=5,WEEKDAY('Daily Schedule'!$B$2,2)=7),IFERROR(1*'Daily Workforce'!$K167&gt;=3,FALSE()),IFERROR(1*'Daily Workforce'!$K167&gt;=2,FALSE())),IF(AND('Daily Schedule'!$A29&gt;=46,'Daily Schedule'!$A29&lt;=52),'Daily Workforce'!$M167="Y",IFERROR(1*'Daily Workforce'!$P167&gt;=2,FALSE()))))),1,0)</f>
        <v>0</v>
      </c>
      <c r="FW25" s="1" t="n">
        <f aca="false">IF(AND('Daily Workforce'!$N168="Y",'Daily Workforce'!$B168&lt;&gt;"",COUNTIF('Daily Schedule'!$F$5:$F28,'Daily Workforce'!$B168)=0,IF('Daily Schedule'!$A29=45,'Daily Workforce'!$J168="Y",IF(OR('Daily Schedule'!$A29=4,'Daily Schedule'!$A29=8),IF(OR(WEEKDAY('Daily Schedule'!$B$2,2)=1,WEEKDAY('Daily Schedule'!$B$2,2)=4,WEEKDAY('Daily Schedule'!$B$2,2)=5,WEEKDAY('Daily Schedule'!$B$2,2)=7),IFERROR(1*'Daily Workforce'!$K168&gt;=3,FALSE()),IFERROR(1*'Daily Workforce'!$K168&gt;=2,FALSE())),IF(AND('Daily Schedule'!$A29&gt;=46,'Daily Schedule'!$A29&lt;=52),'Daily Workforce'!$M168="Y",IFERROR(1*'Daily Workforce'!$P168&gt;=2,FALSE()))))),1,0)</f>
        <v>0</v>
      </c>
      <c r="FX25" s="1" t="n">
        <f aca="false">IF(AND('Daily Workforce'!$N169="Y",'Daily Workforce'!$B169&lt;&gt;"",COUNTIF('Daily Schedule'!$F$5:$F28,'Daily Workforce'!$B169)=0,IF('Daily Schedule'!$A29=45,'Daily Workforce'!$J169="Y",IF(OR('Daily Schedule'!$A29=4,'Daily Schedule'!$A29=8),IF(OR(WEEKDAY('Daily Schedule'!$B$2,2)=1,WEEKDAY('Daily Schedule'!$B$2,2)=4,WEEKDAY('Daily Schedule'!$B$2,2)=5,WEEKDAY('Daily Schedule'!$B$2,2)=7),IFERROR(1*'Daily Workforce'!$K169&gt;=3,FALSE()),IFERROR(1*'Daily Workforce'!$K169&gt;=2,FALSE())),IF(AND('Daily Schedule'!$A29&gt;=46,'Daily Schedule'!$A29&lt;=52),'Daily Workforce'!$M169="Y",IFERROR(1*'Daily Workforce'!$P169&gt;=2,FALSE()))))),1,0)</f>
        <v>0</v>
      </c>
      <c r="FY25" s="1" t="n">
        <f aca="false">IF(AND('Daily Workforce'!$N170="Y",'Daily Workforce'!$B170&lt;&gt;"",COUNTIF('Daily Schedule'!$F$5:$F28,'Daily Workforce'!$B170)=0,IF('Daily Schedule'!$A29=45,'Daily Workforce'!$J170="Y",IF(OR('Daily Schedule'!$A29=4,'Daily Schedule'!$A29=8),IF(OR(WEEKDAY('Daily Schedule'!$B$2,2)=1,WEEKDAY('Daily Schedule'!$B$2,2)=4,WEEKDAY('Daily Schedule'!$B$2,2)=5,WEEKDAY('Daily Schedule'!$B$2,2)=7),IFERROR(1*'Daily Workforce'!$K170&gt;=3,FALSE()),IFERROR(1*'Daily Workforce'!$K170&gt;=2,FALSE())),IF(AND('Daily Schedule'!$A29&gt;=46,'Daily Schedule'!$A29&lt;=52),'Daily Workforce'!$M170="Y",IFERROR(1*'Daily Workforce'!$P170&gt;=2,FALSE()))))),1,0)</f>
        <v>0</v>
      </c>
      <c r="FZ25" s="1" t="n">
        <f aca="false">IF(AND('Daily Workforce'!$N171="Y",'Daily Workforce'!$B171&lt;&gt;"",COUNTIF('Daily Schedule'!$F$5:$F28,'Daily Workforce'!$B171)=0,IF('Daily Schedule'!$A29=45,'Daily Workforce'!$J171="Y",IF(OR('Daily Schedule'!$A29=4,'Daily Schedule'!$A29=8),IF(OR(WEEKDAY('Daily Schedule'!$B$2,2)=1,WEEKDAY('Daily Schedule'!$B$2,2)=4,WEEKDAY('Daily Schedule'!$B$2,2)=5,WEEKDAY('Daily Schedule'!$B$2,2)=7),IFERROR(1*'Daily Workforce'!$K171&gt;=3,FALSE()),IFERROR(1*'Daily Workforce'!$K171&gt;=2,FALSE())),IF(AND('Daily Schedule'!$A29&gt;=46,'Daily Schedule'!$A29&lt;=52),'Daily Workforce'!$M171="Y",IFERROR(1*'Daily Workforce'!$P171&gt;=2,FALSE()))))),1,0)</f>
        <v>0</v>
      </c>
      <c r="GA25" s="1" t="n">
        <f aca="false">IF(AND('Daily Workforce'!$N172="Y",'Daily Workforce'!$B172&lt;&gt;"",COUNTIF('Daily Schedule'!$F$5:$F28,'Daily Workforce'!$B172)=0,IF('Daily Schedule'!$A29=45,'Daily Workforce'!$J172="Y",IF(OR('Daily Schedule'!$A29=4,'Daily Schedule'!$A29=8),IF(OR(WEEKDAY('Daily Schedule'!$B$2,2)=1,WEEKDAY('Daily Schedule'!$B$2,2)=4,WEEKDAY('Daily Schedule'!$B$2,2)=5,WEEKDAY('Daily Schedule'!$B$2,2)=7),IFERROR(1*'Daily Workforce'!$K172&gt;=3,FALSE()),IFERROR(1*'Daily Workforce'!$K172&gt;=2,FALSE())),IF(AND('Daily Schedule'!$A29&gt;=46,'Daily Schedule'!$A29&lt;=52),'Daily Workforce'!$M172="Y",IFERROR(1*'Daily Workforce'!$P172&gt;=2,FALSE()))))),1,0)</f>
        <v>0</v>
      </c>
      <c r="GB25" s="1" t="n">
        <f aca="false">IF(AND('Daily Workforce'!$N173="Y",'Daily Workforce'!$B173&lt;&gt;"",COUNTIF('Daily Schedule'!$F$5:$F28,'Daily Workforce'!$B173)=0,IF('Daily Schedule'!$A29=45,'Daily Workforce'!$J173="Y",IF(OR('Daily Schedule'!$A29=4,'Daily Schedule'!$A29=8),IF(OR(WEEKDAY('Daily Schedule'!$B$2,2)=1,WEEKDAY('Daily Schedule'!$B$2,2)=4,WEEKDAY('Daily Schedule'!$B$2,2)=5,WEEKDAY('Daily Schedule'!$B$2,2)=7),IFERROR(1*'Daily Workforce'!$K173&gt;=3,FALSE()),IFERROR(1*'Daily Workforce'!$K173&gt;=2,FALSE())),IF(AND('Daily Schedule'!$A29&gt;=46,'Daily Schedule'!$A29&lt;=52),'Daily Workforce'!$M173="Y",IFERROR(1*'Daily Workforce'!$P173&gt;=2,FALSE()))))),1,0)</f>
        <v>0</v>
      </c>
      <c r="GC25" s="1" t="n">
        <f aca="false">IF(AND('Daily Workforce'!$N174="Y",'Daily Workforce'!$B174&lt;&gt;"",COUNTIF('Daily Schedule'!$F$5:$F28,'Daily Workforce'!$B174)=0,IF('Daily Schedule'!$A29=45,'Daily Workforce'!$J174="Y",IF(OR('Daily Schedule'!$A29=4,'Daily Schedule'!$A29=8),IF(OR(WEEKDAY('Daily Schedule'!$B$2,2)=1,WEEKDAY('Daily Schedule'!$B$2,2)=4,WEEKDAY('Daily Schedule'!$B$2,2)=5,WEEKDAY('Daily Schedule'!$B$2,2)=7),IFERROR(1*'Daily Workforce'!$K174&gt;=3,FALSE()),IFERROR(1*'Daily Workforce'!$K174&gt;=2,FALSE())),IF(AND('Daily Schedule'!$A29&gt;=46,'Daily Schedule'!$A29&lt;=52),'Daily Workforce'!$M174="Y",IFERROR(1*'Daily Workforce'!$P174&gt;=2,FALSE()))))),1,0)</f>
        <v>0</v>
      </c>
      <c r="GD25" s="1" t="n">
        <f aca="false">IF(AND('Daily Workforce'!$N175="Y",'Daily Workforce'!$B175&lt;&gt;"",COUNTIF('Daily Schedule'!$F$5:$F28,'Daily Workforce'!$B175)=0,IF('Daily Schedule'!$A29=45,'Daily Workforce'!$J175="Y",IF(OR('Daily Schedule'!$A29=4,'Daily Schedule'!$A29=8),IF(OR(WEEKDAY('Daily Schedule'!$B$2,2)=1,WEEKDAY('Daily Schedule'!$B$2,2)=4,WEEKDAY('Daily Schedule'!$B$2,2)=5,WEEKDAY('Daily Schedule'!$B$2,2)=7),IFERROR(1*'Daily Workforce'!$K175&gt;=3,FALSE()),IFERROR(1*'Daily Workforce'!$K175&gt;=2,FALSE())),IF(AND('Daily Schedule'!$A29&gt;=46,'Daily Schedule'!$A29&lt;=52),'Daily Workforce'!$M175="Y",IFERROR(1*'Daily Workforce'!$P175&gt;=2,FALSE()))))),1,0)</f>
        <v>0</v>
      </c>
      <c r="GE25" s="1" t="n">
        <f aca="false">IF(AND('Daily Workforce'!$N176="Y",'Daily Workforce'!$B176&lt;&gt;"",COUNTIF('Daily Schedule'!$F$5:$F28,'Daily Workforce'!$B176)=0,IF('Daily Schedule'!$A29=45,'Daily Workforce'!$J176="Y",IF(OR('Daily Schedule'!$A29=4,'Daily Schedule'!$A29=8),IF(OR(WEEKDAY('Daily Schedule'!$B$2,2)=1,WEEKDAY('Daily Schedule'!$B$2,2)=4,WEEKDAY('Daily Schedule'!$B$2,2)=5,WEEKDAY('Daily Schedule'!$B$2,2)=7),IFERROR(1*'Daily Workforce'!$K176&gt;=3,FALSE()),IFERROR(1*'Daily Workforce'!$K176&gt;=2,FALSE())),IF(AND('Daily Schedule'!$A29&gt;=46,'Daily Schedule'!$A29&lt;=52),'Daily Workforce'!$M176="Y",IFERROR(1*'Daily Workforce'!$P176&gt;=2,FALSE()))))),1,0)</f>
        <v>0</v>
      </c>
      <c r="GF25" s="1" t="n">
        <f aca="false">IF(AND('Daily Workforce'!$N177="Y",'Daily Workforce'!$B177&lt;&gt;"",COUNTIF('Daily Schedule'!$F$5:$F28,'Daily Workforce'!$B177)=0,IF('Daily Schedule'!$A29=45,'Daily Workforce'!$J177="Y",IF(OR('Daily Schedule'!$A29=4,'Daily Schedule'!$A29=8),IF(OR(WEEKDAY('Daily Schedule'!$B$2,2)=1,WEEKDAY('Daily Schedule'!$B$2,2)=4,WEEKDAY('Daily Schedule'!$B$2,2)=5,WEEKDAY('Daily Schedule'!$B$2,2)=7),IFERROR(1*'Daily Workforce'!$K177&gt;=3,FALSE()),IFERROR(1*'Daily Workforce'!$K177&gt;=2,FALSE())),IF(AND('Daily Schedule'!$A29&gt;=46,'Daily Schedule'!$A29&lt;=52),'Daily Workforce'!$M177="Y",IFERROR(1*'Daily Workforce'!$P177&gt;=2,FALSE()))))),1,0)</f>
        <v>0</v>
      </c>
      <c r="GG25" s="1" t="n">
        <f aca="false">IF(AND('Daily Workforce'!$N178="Y",'Daily Workforce'!$B178&lt;&gt;"",COUNTIF('Daily Schedule'!$F$5:$F28,'Daily Workforce'!$B178)=0,IF('Daily Schedule'!$A29=45,'Daily Workforce'!$J178="Y",IF(OR('Daily Schedule'!$A29=4,'Daily Schedule'!$A29=8),IF(OR(WEEKDAY('Daily Schedule'!$B$2,2)=1,WEEKDAY('Daily Schedule'!$B$2,2)=4,WEEKDAY('Daily Schedule'!$B$2,2)=5,WEEKDAY('Daily Schedule'!$B$2,2)=7),IFERROR(1*'Daily Workforce'!$K178&gt;=3,FALSE()),IFERROR(1*'Daily Workforce'!$K178&gt;=2,FALSE())),IF(AND('Daily Schedule'!$A29&gt;=46,'Daily Schedule'!$A29&lt;=52),'Daily Workforce'!$M178="Y",IFERROR(1*'Daily Workforce'!$P178&gt;=2,FALSE()))))),1,0)</f>
        <v>0</v>
      </c>
      <c r="GH25" s="1" t="n">
        <f aca="false">IF(AND('Daily Workforce'!$N179="Y",'Daily Workforce'!$B179&lt;&gt;"",COUNTIF('Daily Schedule'!$F$5:$F28,'Daily Workforce'!$B179)=0,IF('Daily Schedule'!$A29=45,'Daily Workforce'!$J179="Y",IF(OR('Daily Schedule'!$A29=4,'Daily Schedule'!$A29=8),IF(OR(WEEKDAY('Daily Schedule'!$B$2,2)=1,WEEKDAY('Daily Schedule'!$B$2,2)=4,WEEKDAY('Daily Schedule'!$B$2,2)=5,WEEKDAY('Daily Schedule'!$B$2,2)=7),IFERROR(1*'Daily Workforce'!$K179&gt;=3,FALSE()),IFERROR(1*'Daily Workforce'!$K179&gt;=2,FALSE())),IF(AND('Daily Schedule'!$A29&gt;=46,'Daily Schedule'!$A29&lt;=52),'Daily Workforce'!$M179="Y",IFERROR(1*'Daily Workforce'!$P179&gt;=2,FALSE()))))),1,0)</f>
        <v>0</v>
      </c>
      <c r="GI25" s="1" t="n">
        <f aca="false">IF(AND('Daily Workforce'!$N180="Y",'Daily Workforce'!$B180&lt;&gt;"",COUNTIF('Daily Schedule'!$F$5:$F28,'Daily Workforce'!$B180)=0,IF('Daily Schedule'!$A29=45,'Daily Workforce'!$J180="Y",IF(OR('Daily Schedule'!$A29=4,'Daily Schedule'!$A29=8),IF(OR(WEEKDAY('Daily Schedule'!$B$2,2)=1,WEEKDAY('Daily Schedule'!$B$2,2)=4,WEEKDAY('Daily Schedule'!$B$2,2)=5,WEEKDAY('Daily Schedule'!$B$2,2)=7),IFERROR(1*'Daily Workforce'!$K180&gt;=3,FALSE()),IFERROR(1*'Daily Workforce'!$K180&gt;=2,FALSE())),IF(AND('Daily Schedule'!$A29&gt;=46,'Daily Schedule'!$A29&lt;=52),'Daily Workforce'!$M180="Y",IFERROR(1*'Daily Workforce'!$P180&gt;=2,FALSE()))))),1,0)</f>
        <v>0</v>
      </c>
      <c r="GJ25" s="1" t="n">
        <f aca="false">IF(AND('Daily Workforce'!$N181="Y",'Daily Workforce'!$B181&lt;&gt;"",COUNTIF('Daily Schedule'!$F$5:$F28,'Daily Workforce'!$B181)=0,IF('Daily Schedule'!$A29=45,'Daily Workforce'!$J181="Y",IF(OR('Daily Schedule'!$A29=4,'Daily Schedule'!$A29=8),IF(OR(WEEKDAY('Daily Schedule'!$B$2,2)=1,WEEKDAY('Daily Schedule'!$B$2,2)=4,WEEKDAY('Daily Schedule'!$B$2,2)=5,WEEKDAY('Daily Schedule'!$B$2,2)=7),IFERROR(1*'Daily Workforce'!$K181&gt;=3,FALSE()),IFERROR(1*'Daily Workforce'!$K181&gt;=2,FALSE())),IF(AND('Daily Schedule'!$A29&gt;=46,'Daily Schedule'!$A29&lt;=52),'Daily Workforce'!$M181="Y",IFERROR(1*'Daily Workforce'!$P181&gt;=2,FALSE()))))),1,0)</f>
        <v>0</v>
      </c>
      <c r="GK25" s="1" t="n">
        <f aca="false">IF(AND('Daily Workforce'!$N182="Y",'Daily Workforce'!$B182&lt;&gt;"",COUNTIF('Daily Schedule'!$F$5:$F28,'Daily Workforce'!$B182)=0,IF('Daily Schedule'!$A29=45,'Daily Workforce'!$J182="Y",IF(OR('Daily Schedule'!$A29=4,'Daily Schedule'!$A29=8),IF(OR(WEEKDAY('Daily Schedule'!$B$2,2)=1,WEEKDAY('Daily Schedule'!$B$2,2)=4,WEEKDAY('Daily Schedule'!$B$2,2)=5,WEEKDAY('Daily Schedule'!$B$2,2)=7),IFERROR(1*'Daily Workforce'!$K182&gt;=3,FALSE()),IFERROR(1*'Daily Workforce'!$K182&gt;=2,FALSE())),IF(AND('Daily Schedule'!$A29&gt;=46,'Daily Schedule'!$A29&lt;=52),'Daily Workforce'!$M182="Y",IFERROR(1*'Daily Workforce'!$P182&gt;=2,FALSE()))))),1,0)</f>
        <v>0</v>
      </c>
      <c r="GL25" s="1" t="n">
        <f aca="false">IF(AND('Daily Workforce'!$N183="Y",'Daily Workforce'!$B183&lt;&gt;"",COUNTIF('Daily Schedule'!$F$5:$F28,'Daily Workforce'!$B183)=0,IF('Daily Schedule'!$A29=45,'Daily Workforce'!$J183="Y",IF(OR('Daily Schedule'!$A29=4,'Daily Schedule'!$A29=8),IF(OR(WEEKDAY('Daily Schedule'!$B$2,2)=1,WEEKDAY('Daily Schedule'!$B$2,2)=4,WEEKDAY('Daily Schedule'!$B$2,2)=5,WEEKDAY('Daily Schedule'!$B$2,2)=7),IFERROR(1*'Daily Workforce'!$K183&gt;=3,FALSE()),IFERROR(1*'Daily Workforce'!$K183&gt;=2,FALSE())),IF(AND('Daily Schedule'!$A29&gt;=46,'Daily Schedule'!$A29&lt;=52),'Daily Workforce'!$M183="Y",IFERROR(1*'Daily Workforce'!$P183&gt;=2,FALSE()))))),1,0)</f>
        <v>0</v>
      </c>
      <c r="GM25" s="1" t="n">
        <f aca="false">IF(AND('Daily Workforce'!$N184="Y",'Daily Workforce'!$B184&lt;&gt;"",COUNTIF('Daily Schedule'!$F$5:$F28,'Daily Workforce'!$B184)=0,IF('Daily Schedule'!$A29=45,'Daily Workforce'!$J184="Y",IF(OR('Daily Schedule'!$A29=4,'Daily Schedule'!$A29=8),IF(OR(WEEKDAY('Daily Schedule'!$B$2,2)=1,WEEKDAY('Daily Schedule'!$B$2,2)=4,WEEKDAY('Daily Schedule'!$B$2,2)=5,WEEKDAY('Daily Schedule'!$B$2,2)=7),IFERROR(1*'Daily Workforce'!$K184&gt;=3,FALSE()),IFERROR(1*'Daily Workforce'!$K184&gt;=2,FALSE())),IF(AND('Daily Schedule'!$A29&gt;=46,'Daily Schedule'!$A29&lt;=52),'Daily Workforce'!$M184="Y",IFERROR(1*'Daily Workforce'!$P184&gt;=2,FALSE()))))),1,0)</f>
        <v>0</v>
      </c>
      <c r="GN25" s="1" t="n">
        <f aca="false">IF(AND('Daily Workforce'!$N185="Y",'Daily Workforce'!$B185&lt;&gt;"",COUNTIF('Daily Schedule'!$F$5:$F28,'Daily Workforce'!$B185)=0,IF('Daily Schedule'!$A29=45,'Daily Workforce'!$J185="Y",IF(OR('Daily Schedule'!$A29=4,'Daily Schedule'!$A29=8),IF(OR(WEEKDAY('Daily Schedule'!$B$2,2)=1,WEEKDAY('Daily Schedule'!$B$2,2)=4,WEEKDAY('Daily Schedule'!$B$2,2)=5,WEEKDAY('Daily Schedule'!$B$2,2)=7),IFERROR(1*'Daily Workforce'!$K185&gt;=3,FALSE()),IFERROR(1*'Daily Workforce'!$K185&gt;=2,FALSE())),IF(AND('Daily Schedule'!$A29&gt;=46,'Daily Schedule'!$A29&lt;=52),'Daily Workforce'!$M185="Y",IFERROR(1*'Daily Workforce'!$P185&gt;=2,FALSE()))))),1,0)</f>
        <v>0</v>
      </c>
      <c r="GO25" s="1" t="n">
        <f aca="false">IF(AND('Daily Workforce'!$N186="Y",'Daily Workforce'!$B186&lt;&gt;"",COUNTIF('Daily Schedule'!$F$5:$F28,'Daily Workforce'!$B186)=0,IF('Daily Schedule'!$A29=45,'Daily Workforce'!$J186="Y",IF(OR('Daily Schedule'!$A29=4,'Daily Schedule'!$A29=8),IF(OR(WEEKDAY('Daily Schedule'!$B$2,2)=1,WEEKDAY('Daily Schedule'!$B$2,2)=4,WEEKDAY('Daily Schedule'!$B$2,2)=5,WEEKDAY('Daily Schedule'!$B$2,2)=7),IFERROR(1*'Daily Workforce'!$K186&gt;=3,FALSE()),IFERROR(1*'Daily Workforce'!$K186&gt;=2,FALSE())),IF(AND('Daily Schedule'!$A29&gt;=46,'Daily Schedule'!$A29&lt;=52),'Daily Workforce'!$M186="Y",IFERROR(1*'Daily Workforce'!$P186&gt;=2,FALSE()))))),1,0)</f>
        <v>0</v>
      </c>
      <c r="GP25" s="1" t="n">
        <f aca="false">IF(AND('Daily Workforce'!$N187="Y",'Daily Workforce'!$B187&lt;&gt;"",COUNTIF('Daily Schedule'!$F$5:$F28,'Daily Workforce'!$B187)=0,IF('Daily Schedule'!$A29=45,'Daily Workforce'!$J187="Y",IF(OR('Daily Schedule'!$A29=4,'Daily Schedule'!$A29=8),IF(OR(WEEKDAY('Daily Schedule'!$B$2,2)=1,WEEKDAY('Daily Schedule'!$B$2,2)=4,WEEKDAY('Daily Schedule'!$B$2,2)=5,WEEKDAY('Daily Schedule'!$B$2,2)=7),IFERROR(1*'Daily Workforce'!$K187&gt;=3,FALSE()),IFERROR(1*'Daily Workforce'!$K187&gt;=2,FALSE())),IF(AND('Daily Schedule'!$A29&gt;=46,'Daily Schedule'!$A29&lt;=52),'Daily Workforce'!$M187="Y",IFERROR(1*'Daily Workforce'!$P187&gt;=2,FALSE()))))),1,0)</f>
        <v>0</v>
      </c>
      <c r="GQ25" s="1" t="n">
        <f aca="false">IF(AND('Daily Workforce'!$N188="Y",'Daily Workforce'!$B188&lt;&gt;"",COUNTIF('Daily Schedule'!$F$5:$F28,'Daily Workforce'!$B188)=0,IF('Daily Schedule'!$A29=45,'Daily Workforce'!$J188="Y",IF(OR('Daily Schedule'!$A29=4,'Daily Schedule'!$A29=8),IF(OR(WEEKDAY('Daily Schedule'!$B$2,2)=1,WEEKDAY('Daily Schedule'!$B$2,2)=4,WEEKDAY('Daily Schedule'!$B$2,2)=5,WEEKDAY('Daily Schedule'!$B$2,2)=7),IFERROR(1*'Daily Workforce'!$K188&gt;=3,FALSE()),IFERROR(1*'Daily Workforce'!$K188&gt;=2,FALSE())),IF(AND('Daily Schedule'!$A29&gt;=46,'Daily Schedule'!$A29&lt;=52),'Daily Workforce'!$M188="Y",IFERROR(1*'Daily Workforce'!$P188&gt;=2,FALSE()))))),1,0)</f>
        <v>0</v>
      </c>
      <c r="GR25" s="1" t="n">
        <f aca="false">IF(AND('Daily Workforce'!$N189="Y",'Daily Workforce'!$B189&lt;&gt;"",COUNTIF('Daily Schedule'!$F$5:$F28,'Daily Workforce'!$B189)=0,IF('Daily Schedule'!$A29=45,'Daily Workforce'!$J189="Y",IF(OR('Daily Schedule'!$A29=4,'Daily Schedule'!$A29=8),IF(OR(WEEKDAY('Daily Schedule'!$B$2,2)=1,WEEKDAY('Daily Schedule'!$B$2,2)=4,WEEKDAY('Daily Schedule'!$B$2,2)=5,WEEKDAY('Daily Schedule'!$B$2,2)=7),IFERROR(1*'Daily Workforce'!$K189&gt;=3,FALSE()),IFERROR(1*'Daily Workforce'!$K189&gt;=2,FALSE())),IF(AND('Daily Schedule'!$A29&gt;=46,'Daily Schedule'!$A29&lt;=52),'Daily Workforce'!$M189="Y",IFERROR(1*'Daily Workforce'!$P189&gt;=2,FALSE()))))),1,0)</f>
        <v>0</v>
      </c>
      <c r="GS25" s="1" t="n">
        <f aca="false">IF(AND('Daily Workforce'!$N190="Y",'Daily Workforce'!$B190&lt;&gt;"",COUNTIF('Daily Schedule'!$F$5:$F28,'Daily Workforce'!$B190)=0,IF('Daily Schedule'!$A29=45,'Daily Workforce'!$J190="Y",IF(OR('Daily Schedule'!$A29=4,'Daily Schedule'!$A29=8),IF(OR(WEEKDAY('Daily Schedule'!$B$2,2)=1,WEEKDAY('Daily Schedule'!$B$2,2)=4,WEEKDAY('Daily Schedule'!$B$2,2)=5,WEEKDAY('Daily Schedule'!$B$2,2)=7),IFERROR(1*'Daily Workforce'!$K190&gt;=3,FALSE()),IFERROR(1*'Daily Workforce'!$K190&gt;=2,FALSE())),IF(AND('Daily Schedule'!$A29&gt;=46,'Daily Schedule'!$A29&lt;=52),'Daily Workforce'!$M190="Y",IFERROR(1*'Daily Workforce'!$P190&gt;=2,FALSE()))))),1,0)</f>
        <v>0</v>
      </c>
      <c r="GT25" s="1" t="n">
        <f aca="false">IF(AND('Daily Workforce'!$N191="Y",'Daily Workforce'!$B191&lt;&gt;"",COUNTIF('Daily Schedule'!$F$5:$F28,'Daily Workforce'!$B191)=0,IF('Daily Schedule'!$A29=45,'Daily Workforce'!$J191="Y",IF(OR('Daily Schedule'!$A29=4,'Daily Schedule'!$A29=8),IF(OR(WEEKDAY('Daily Schedule'!$B$2,2)=1,WEEKDAY('Daily Schedule'!$B$2,2)=4,WEEKDAY('Daily Schedule'!$B$2,2)=5,WEEKDAY('Daily Schedule'!$B$2,2)=7),IFERROR(1*'Daily Workforce'!$K191&gt;=3,FALSE()),IFERROR(1*'Daily Workforce'!$K191&gt;=2,FALSE())),IF(AND('Daily Schedule'!$A29&gt;=46,'Daily Schedule'!$A29&lt;=52),'Daily Workforce'!$M191="Y",IFERROR(1*'Daily Workforce'!$P191&gt;=2,FALSE()))))),1,0)</f>
        <v>0</v>
      </c>
      <c r="GU25" s="1" t="n">
        <f aca="false">IF(AND('Daily Workforce'!$N192="Y",'Daily Workforce'!$B192&lt;&gt;"",COUNTIF('Daily Schedule'!$F$5:$F28,'Daily Workforce'!$B192)=0,IF('Daily Schedule'!$A29=45,'Daily Workforce'!$J192="Y",IF(OR('Daily Schedule'!$A29=4,'Daily Schedule'!$A29=8),IF(OR(WEEKDAY('Daily Schedule'!$B$2,2)=1,WEEKDAY('Daily Schedule'!$B$2,2)=4,WEEKDAY('Daily Schedule'!$B$2,2)=5,WEEKDAY('Daily Schedule'!$B$2,2)=7),IFERROR(1*'Daily Workforce'!$K192&gt;=3,FALSE()),IFERROR(1*'Daily Workforce'!$K192&gt;=2,FALSE())),IF(AND('Daily Schedule'!$A29&gt;=46,'Daily Schedule'!$A29&lt;=52),'Daily Workforce'!$M192="Y",IFERROR(1*'Daily Workforce'!$P192&gt;=2,FALSE()))))),1,0)</f>
        <v>0</v>
      </c>
      <c r="GV25" s="1" t="n">
        <f aca="false">IF(AND('Daily Workforce'!$N193="Y",'Daily Workforce'!$B193&lt;&gt;"",COUNTIF('Daily Schedule'!$F$5:$F28,'Daily Workforce'!$B193)=0,IF('Daily Schedule'!$A29=45,'Daily Workforce'!$J193="Y",IF(OR('Daily Schedule'!$A29=4,'Daily Schedule'!$A29=8),IF(OR(WEEKDAY('Daily Schedule'!$B$2,2)=1,WEEKDAY('Daily Schedule'!$B$2,2)=4,WEEKDAY('Daily Schedule'!$B$2,2)=5,WEEKDAY('Daily Schedule'!$B$2,2)=7),IFERROR(1*'Daily Workforce'!$K193&gt;=3,FALSE()),IFERROR(1*'Daily Workforce'!$K193&gt;=2,FALSE())),IF(AND('Daily Schedule'!$A29&gt;=46,'Daily Schedule'!$A29&lt;=52),'Daily Workforce'!$M193="Y",IFERROR(1*'Daily Workforce'!$P193&gt;=2,FALSE()))))),1,0)</f>
        <v>0</v>
      </c>
      <c r="GW25" s="1" t="n">
        <f aca="false">IF(AND('Daily Workforce'!$N194="Y",'Daily Workforce'!$B194&lt;&gt;"",COUNTIF('Daily Schedule'!$F$5:$F28,'Daily Workforce'!$B194)=0,IF('Daily Schedule'!$A29=45,'Daily Workforce'!$J194="Y",IF(OR('Daily Schedule'!$A29=4,'Daily Schedule'!$A29=8),IF(OR(WEEKDAY('Daily Schedule'!$B$2,2)=1,WEEKDAY('Daily Schedule'!$B$2,2)=4,WEEKDAY('Daily Schedule'!$B$2,2)=5,WEEKDAY('Daily Schedule'!$B$2,2)=7),IFERROR(1*'Daily Workforce'!$K194&gt;=3,FALSE()),IFERROR(1*'Daily Workforce'!$K194&gt;=2,FALSE())),IF(AND('Daily Schedule'!$A29&gt;=46,'Daily Schedule'!$A29&lt;=52),'Daily Workforce'!$M194="Y",IFERROR(1*'Daily Workforce'!$P194&gt;=2,FALSE()))))),1,0)</f>
        <v>0</v>
      </c>
      <c r="GX25" s="1" t="n">
        <f aca="false">IF(AND('Daily Workforce'!$N195="Y",'Daily Workforce'!$B195&lt;&gt;"",COUNTIF('Daily Schedule'!$F$5:$F28,'Daily Workforce'!$B195)=0,IF('Daily Schedule'!$A29=45,'Daily Workforce'!$J195="Y",IF(OR('Daily Schedule'!$A29=4,'Daily Schedule'!$A29=8),IF(OR(WEEKDAY('Daily Schedule'!$B$2,2)=1,WEEKDAY('Daily Schedule'!$B$2,2)=4,WEEKDAY('Daily Schedule'!$B$2,2)=5,WEEKDAY('Daily Schedule'!$B$2,2)=7),IFERROR(1*'Daily Workforce'!$K195&gt;=3,FALSE()),IFERROR(1*'Daily Workforce'!$K195&gt;=2,FALSE())),IF(AND('Daily Schedule'!$A29&gt;=46,'Daily Schedule'!$A29&lt;=52),'Daily Workforce'!$M195="Y",IFERROR(1*'Daily Workforce'!$P195&gt;=2,FALSE()))))),1,0)</f>
        <v>0</v>
      </c>
      <c r="GY25" s="1" t="n">
        <f aca="false">IF(AND('Daily Workforce'!$N196="Y",'Daily Workforce'!$B196&lt;&gt;"",COUNTIF('Daily Schedule'!$F$5:$F28,'Daily Workforce'!$B196)=0,IF('Daily Schedule'!$A29=45,'Daily Workforce'!$J196="Y",IF(OR('Daily Schedule'!$A29=4,'Daily Schedule'!$A29=8),IF(OR(WEEKDAY('Daily Schedule'!$B$2,2)=1,WEEKDAY('Daily Schedule'!$B$2,2)=4,WEEKDAY('Daily Schedule'!$B$2,2)=5,WEEKDAY('Daily Schedule'!$B$2,2)=7),IFERROR(1*'Daily Workforce'!$K196&gt;=3,FALSE()),IFERROR(1*'Daily Workforce'!$K196&gt;=2,FALSE())),IF(AND('Daily Schedule'!$A29&gt;=46,'Daily Schedule'!$A29&lt;=52),'Daily Workforce'!$M196="Y",IFERROR(1*'Daily Workforce'!$P196&gt;=2,FALSE()))))),1,0)</f>
        <v>0</v>
      </c>
      <c r="GZ25" s="1" t="n">
        <f aca="false">IF(AND('Daily Workforce'!$N197="Y",'Daily Workforce'!$B197&lt;&gt;"",COUNTIF('Daily Schedule'!$F$5:$F28,'Daily Workforce'!$B197)=0,IF('Daily Schedule'!$A29=45,'Daily Workforce'!$J197="Y",IF(OR('Daily Schedule'!$A29=4,'Daily Schedule'!$A29=8),IF(OR(WEEKDAY('Daily Schedule'!$B$2,2)=1,WEEKDAY('Daily Schedule'!$B$2,2)=4,WEEKDAY('Daily Schedule'!$B$2,2)=5,WEEKDAY('Daily Schedule'!$B$2,2)=7),IFERROR(1*'Daily Workforce'!$K197&gt;=3,FALSE()),IFERROR(1*'Daily Workforce'!$K197&gt;=2,FALSE())),IF(AND('Daily Schedule'!$A29&gt;=46,'Daily Schedule'!$A29&lt;=52),'Daily Workforce'!$M197="Y",IFERROR(1*'Daily Workforce'!$P197&gt;=2,FALSE()))))),1,0)</f>
        <v>0</v>
      </c>
      <c r="HA25" s="1" t="n">
        <f aca="false">IF(AND('Daily Workforce'!$N198="Y",'Daily Workforce'!$B198&lt;&gt;"",COUNTIF('Daily Schedule'!$F$5:$F28,'Daily Workforce'!$B198)=0,IF('Daily Schedule'!$A29=45,'Daily Workforce'!$J198="Y",IF(OR('Daily Schedule'!$A29=4,'Daily Schedule'!$A29=8),IF(OR(WEEKDAY('Daily Schedule'!$B$2,2)=1,WEEKDAY('Daily Schedule'!$B$2,2)=4,WEEKDAY('Daily Schedule'!$B$2,2)=5,WEEKDAY('Daily Schedule'!$B$2,2)=7),IFERROR(1*'Daily Workforce'!$K198&gt;=3,FALSE()),IFERROR(1*'Daily Workforce'!$K198&gt;=2,FALSE())),IF(AND('Daily Schedule'!$A29&gt;=46,'Daily Schedule'!$A29&lt;=52),'Daily Workforce'!$M198="Y",IFERROR(1*'Daily Workforce'!$P198&gt;=2,FALSE()))))),1,0)</f>
        <v>0</v>
      </c>
      <c r="HB25" s="1" t="n">
        <f aca="false">IF(AND('Daily Workforce'!$N199="Y",'Daily Workforce'!$B199&lt;&gt;"",COUNTIF('Daily Schedule'!$F$5:$F28,'Daily Workforce'!$B199)=0,IF('Daily Schedule'!$A29=45,'Daily Workforce'!$J199="Y",IF(OR('Daily Schedule'!$A29=4,'Daily Schedule'!$A29=8),IF(OR(WEEKDAY('Daily Schedule'!$B$2,2)=1,WEEKDAY('Daily Schedule'!$B$2,2)=4,WEEKDAY('Daily Schedule'!$B$2,2)=5,WEEKDAY('Daily Schedule'!$B$2,2)=7),IFERROR(1*'Daily Workforce'!$K199&gt;=3,FALSE()),IFERROR(1*'Daily Workforce'!$K199&gt;=2,FALSE())),IF(AND('Daily Schedule'!$A29&gt;=46,'Daily Schedule'!$A29&lt;=52),'Daily Workforce'!$M199="Y",IFERROR(1*'Daily Workforce'!$P199&gt;=2,FALSE()))))),1,0)</f>
        <v>0</v>
      </c>
      <c r="HC25" s="1" t="n">
        <f aca="false">IF(AND('Daily Workforce'!$N200="Y",'Daily Workforce'!$B200&lt;&gt;"",COUNTIF('Daily Schedule'!$F$5:$F28,'Daily Workforce'!$B200)=0,IF('Daily Schedule'!$A29=45,'Daily Workforce'!$J200="Y",IF(OR('Daily Schedule'!$A29=4,'Daily Schedule'!$A29=8),IF(OR(WEEKDAY('Daily Schedule'!$B$2,2)=1,WEEKDAY('Daily Schedule'!$B$2,2)=4,WEEKDAY('Daily Schedule'!$B$2,2)=5,WEEKDAY('Daily Schedule'!$B$2,2)=7),IFERROR(1*'Daily Workforce'!$K200&gt;=3,FALSE()),IFERROR(1*'Daily Workforce'!$K200&gt;=2,FALSE())),IF(AND('Daily Schedule'!$A29&gt;=46,'Daily Schedule'!$A29&lt;=52),'Daily Workforce'!$M200="Y",IFERROR(1*'Daily Workforce'!$P200&gt;=2,FALSE()))))),1,0)</f>
        <v>0</v>
      </c>
      <c r="HD25" s="1" t="n">
        <f aca="false">IF(AND('Daily Workforce'!$N201="Y",'Daily Workforce'!$B201&lt;&gt;"",COUNTIF('Daily Schedule'!$F$5:$F28,'Daily Workforce'!$B201)=0,IF('Daily Schedule'!$A29=45,'Daily Workforce'!$J201="Y",IF(OR('Daily Schedule'!$A29=4,'Daily Schedule'!$A29=8),IF(OR(WEEKDAY('Daily Schedule'!$B$2,2)=1,WEEKDAY('Daily Schedule'!$B$2,2)=4,WEEKDAY('Daily Schedule'!$B$2,2)=5,WEEKDAY('Daily Schedule'!$B$2,2)=7),IFERROR(1*'Daily Workforce'!$K201&gt;=3,FALSE()),IFERROR(1*'Daily Workforce'!$K201&gt;=2,FALSE())),IF(AND('Daily Schedule'!$A29&gt;=46,'Daily Schedule'!$A29&lt;=52),'Daily Workforce'!$M201="Y",IFERROR(1*'Daily Workforce'!$P201&gt;=2,FALSE()))))),1,0)</f>
        <v>0</v>
      </c>
      <c r="HE25" s="1" t="n">
        <f aca="false">IF(AND('Daily Workforce'!$N202="Y",'Daily Workforce'!$B202&lt;&gt;"",COUNTIF('Daily Schedule'!$F$5:$F28,'Daily Workforce'!$B202)=0,IF('Daily Schedule'!$A29=45,'Daily Workforce'!$J202="Y",IF(OR('Daily Schedule'!$A29=4,'Daily Schedule'!$A29=8),IF(OR(WEEKDAY('Daily Schedule'!$B$2,2)=1,WEEKDAY('Daily Schedule'!$B$2,2)=4,WEEKDAY('Daily Schedule'!$B$2,2)=5,WEEKDAY('Daily Schedule'!$B$2,2)=7),IFERROR(1*'Daily Workforce'!$K202&gt;=3,FALSE()),IFERROR(1*'Daily Workforce'!$K202&gt;=2,FALSE())),IF(AND('Daily Schedule'!$A29&gt;=46,'Daily Schedule'!$A29&lt;=52),'Daily Workforce'!$M202="Y",IFERROR(1*'Daily Workforce'!$P202&gt;=2,FALSE()))))),1,0)</f>
        <v>0</v>
      </c>
      <c r="HF25" s="1" t="n">
        <f aca="false">IF(AND('Daily Workforce'!$N203="Y",'Daily Workforce'!$B203&lt;&gt;"",COUNTIF('Daily Schedule'!$F$5:$F28,'Daily Workforce'!$B203)=0,IF('Daily Schedule'!$A29=45,'Daily Workforce'!$J203="Y",IF(OR('Daily Schedule'!$A29=4,'Daily Schedule'!$A29=8),IF(OR(WEEKDAY('Daily Schedule'!$B$2,2)=1,WEEKDAY('Daily Schedule'!$B$2,2)=4,WEEKDAY('Daily Schedule'!$B$2,2)=5,WEEKDAY('Daily Schedule'!$B$2,2)=7),IFERROR(1*'Daily Workforce'!$K203&gt;=3,FALSE()),IFERROR(1*'Daily Workforce'!$K203&gt;=2,FALSE())),IF(AND('Daily Schedule'!$A29&gt;=46,'Daily Schedule'!$A29&lt;=52),'Daily Workforce'!$M203="Y",IFERROR(1*'Daily Workforce'!$P203&gt;=2,FALSE()))))),1,0)</f>
        <v>0</v>
      </c>
      <c r="HG25" s="1" t="n">
        <f aca="false">IF(AND('Daily Workforce'!$N204="Y",'Daily Workforce'!$B204&lt;&gt;"",COUNTIF('Daily Schedule'!$F$5:$F28,'Daily Workforce'!$B204)=0,IF('Daily Schedule'!$A29=45,'Daily Workforce'!$J204="Y",IF(OR('Daily Schedule'!$A29=4,'Daily Schedule'!$A29=8),IF(OR(WEEKDAY('Daily Schedule'!$B$2,2)=1,WEEKDAY('Daily Schedule'!$B$2,2)=4,WEEKDAY('Daily Schedule'!$B$2,2)=5,WEEKDAY('Daily Schedule'!$B$2,2)=7),IFERROR(1*'Daily Workforce'!$K204&gt;=3,FALSE()),IFERROR(1*'Daily Workforce'!$K204&gt;=2,FALSE())),IF(AND('Daily Schedule'!$A29&gt;=46,'Daily Schedule'!$A29&lt;=52),'Daily Workforce'!$M204="Y",IFERROR(1*'Daily Workforce'!$P204&gt;=2,FALSE()))))),1,0)</f>
        <v>0</v>
      </c>
      <c r="HH25" s="1" t="n">
        <f aca="false">IF(AND('Daily Workforce'!$N205="Y",'Daily Workforce'!$B205&lt;&gt;"",COUNTIF('Daily Schedule'!$F$5:$F28,'Daily Workforce'!$B205)=0,IF('Daily Schedule'!$A29=45,'Daily Workforce'!$J205="Y",IF(OR('Daily Schedule'!$A29=4,'Daily Schedule'!$A29=8),IF(OR(WEEKDAY('Daily Schedule'!$B$2,2)=1,WEEKDAY('Daily Schedule'!$B$2,2)=4,WEEKDAY('Daily Schedule'!$B$2,2)=5,WEEKDAY('Daily Schedule'!$B$2,2)=7),IFERROR(1*'Daily Workforce'!$K205&gt;=3,FALSE()),IFERROR(1*'Daily Workforce'!$K205&gt;=2,FALSE())),IF(AND('Daily Schedule'!$A29&gt;=46,'Daily Schedule'!$A29&lt;=52),'Daily Workforce'!$M205="Y",IFERROR(1*'Daily Workforce'!$P205&gt;=2,FALSE()))))),1,0)</f>
        <v>0</v>
      </c>
    </row>
    <row r="26" customFormat="false" ht="15" hidden="false" customHeight="true" outlineLevel="0" collapsed="false">
      <c r="L26" s="1" t="s">
        <v>484</v>
      </c>
      <c r="O26" s="1" t="str">
        <f aca="false">IF(AND('Employee Master'!$G26="Y",ISERROR(SEARCH(TEXT('Daily Workforce'!$B$2,"ddd"),'Employee Master'!$D26)),IF('Daily Workforce'!$E$2="",TRUE(),'Employee Master'!$I26='Daily Workforce'!$E$2)),'Employee Master'!$K26*1000+ROW()-1,"")</f>
        <v/>
      </c>
      <c r="P26" s="1" t="str">
        <f aca="false">IF($O26="","",COUNTIF($O$2:$O$159,"&lt;="&amp;$O26))</f>
        <v/>
      </c>
      <c r="Q26" s="1" t="n">
        <f aca="false">IF(AND('Daily Workforce'!$N6="Y",'Daily Workforce'!$B6&lt;&gt;"",COUNTIF('Daily Schedule'!$F$5:$F29,'Daily Workforce'!$B6)=0,IF('Daily Schedule'!$A30=45,'Daily Workforce'!$J6="Y",IF(OR('Daily Schedule'!$A30=4,'Daily Schedule'!$A30=8),IF(OR(WEEKDAY('Daily Schedule'!$B$2,2)=1,WEEKDAY('Daily Schedule'!$B$2,2)=4,WEEKDAY('Daily Schedule'!$B$2,2)=5,WEEKDAY('Daily Schedule'!$B$2,2)=7),IFERROR(1*'Daily Workforce'!$K6&gt;=3,FALSE()),IFERROR(1*'Daily Workforce'!$K6&gt;=2,FALSE())),IF(AND('Daily Schedule'!$A30&gt;=46,'Daily Schedule'!$A30&lt;=52),'Daily Workforce'!$M6="Y",IFERROR(1*'Daily Workforce'!$P6&gt;=2,FALSE()))))),1,0)</f>
        <v>0</v>
      </c>
      <c r="R26" s="1" t="n">
        <f aca="false">IF(AND('Daily Workforce'!$N7="Y",'Daily Workforce'!$B7&lt;&gt;"",COUNTIF('Daily Schedule'!$F$5:$F29,'Daily Workforce'!$B7)=0,IF('Daily Schedule'!$A30=45,'Daily Workforce'!$J7="Y",IF(OR('Daily Schedule'!$A30=4,'Daily Schedule'!$A30=8),IF(OR(WEEKDAY('Daily Schedule'!$B$2,2)=1,WEEKDAY('Daily Schedule'!$B$2,2)=4,WEEKDAY('Daily Schedule'!$B$2,2)=5,WEEKDAY('Daily Schedule'!$B$2,2)=7),IFERROR(1*'Daily Workforce'!$K7&gt;=3,FALSE()),IFERROR(1*'Daily Workforce'!$K7&gt;=2,FALSE())),IF(AND('Daily Schedule'!$A30&gt;=46,'Daily Schedule'!$A30&lt;=52),'Daily Workforce'!$M7="Y",IFERROR(1*'Daily Workforce'!$P7&gt;=2,FALSE()))))),1,0)</f>
        <v>0</v>
      </c>
      <c r="S26" s="1" t="n">
        <f aca="false">IF(AND('Daily Workforce'!$N8="Y",'Daily Workforce'!$B8&lt;&gt;"",COUNTIF('Daily Schedule'!$F$5:$F29,'Daily Workforce'!$B8)=0,IF('Daily Schedule'!$A30=45,'Daily Workforce'!$J8="Y",IF(OR('Daily Schedule'!$A30=4,'Daily Schedule'!$A30=8),IF(OR(WEEKDAY('Daily Schedule'!$B$2,2)=1,WEEKDAY('Daily Schedule'!$B$2,2)=4,WEEKDAY('Daily Schedule'!$B$2,2)=5,WEEKDAY('Daily Schedule'!$B$2,2)=7),IFERROR(1*'Daily Workforce'!$K8&gt;=3,FALSE()),IFERROR(1*'Daily Workforce'!$K8&gt;=2,FALSE())),IF(AND('Daily Schedule'!$A30&gt;=46,'Daily Schedule'!$A30&lt;=52),'Daily Workforce'!$M8="Y",IFERROR(1*'Daily Workforce'!$P8&gt;=2,FALSE()))))),1,0)</f>
        <v>0</v>
      </c>
      <c r="T26" s="1" t="n">
        <f aca="false">IF(AND('Daily Workforce'!$N9="Y",'Daily Workforce'!$B9&lt;&gt;"",COUNTIF('Daily Schedule'!$F$5:$F29,'Daily Workforce'!$B9)=0,IF('Daily Schedule'!$A30=45,'Daily Workforce'!$J9="Y",IF(OR('Daily Schedule'!$A30=4,'Daily Schedule'!$A30=8),IF(OR(WEEKDAY('Daily Schedule'!$B$2,2)=1,WEEKDAY('Daily Schedule'!$B$2,2)=4,WEEKDAY('Daily Schedule'!$B$2,2)=5,WEEKDAY('Daily Schedule'!$B$2,2)=7),IFERROR(1*'Daily Workforce'!$K9&gt;=3,FALSE()),IFERROR(1*'Daily Workforce'!$K9&gt;=2,FALSE())),IF(AND('Daily Schedule'!$A30&gt;=46,'Daily Schedule'!$A30&lt;=52),'Daily Workforce'!$M9="Y",IFERROR(1*'Daily Workforce'!$P9&gt;=2,FALSE()))))),1,0)</f>
        <v>0</v>
      </c>
      <c r="U26" s="1" t="n">
        <f aca="false">IF(AND('Daily Workforce'!$N10="Y",'Daily Workforce'!$B10&lt;&gt;"",COUNTIF('Daily Schedule'!$F$5:$F29,'Daily Workforce'!$B10)=0,IF('Daily Schedule'!$A30=45,'Daily Workforce'!$J10="Y",IF(OR('Daily Schedule'!$A30=4,'Daily Schedule'!$A30=8),IF(OR(WEEKDAY('Daily Schedule'!$B$2,2)=1,WEEKDAY('Daily Schedule'!$B$2,2)=4,WEEKDAY('Daily Schedule'!$B$2,2)=5,WEEKDAY('Daily Schedule'!$B$2,2)=7),IFERROR(1*'Daily Workforce'!$K10&gt;=3,FALSE()),IFERROR(1*'Daily Workforce'!$K10&gt;=2,FALSE())),IF(AND('Daily Schedule'!$A30&gt;=46,'Daily Schedule'!$A30&lt;=52),'Daily Workforce'!$M10="Y",IFERROR(1*'Daily Workforce'!$P10&gt;=2,FALSE()))))),1,0)</f>
        <v>0</v>
      </c>
      <c r="V26" s="1" t="n">
        <f aca="false">IF(AND('Daily Workforce'!$N11="Y",'Daily Workforce'!$B11&lt;&gt;"",COUNTIF('Daily Schedule'!$F$5:$F29,'Daily Workforce'!$B11)=0,IF('Daily Schedule'!$A30=45,'Daily Workforce'!$J11="Y",IF(OR('Daily Schedule'!$A30=4,'Daily Schedule'!$A30=8),IF(OR(WEEKDAY('Daily Schedule'!$B$2,2)=1,WEEKDAY('Daily Schedule'!$B$2,2)=4,WEEKDAY('Daily Schedule'!$B$2,2)=5,WEEKDAY('Daily Schedule'!$B$2,2)=7),IFERROR(1*'Daily Workforce'!$K11&gt;=3,FALSE()),IFERROR(1*'Daily Workforce'!$K11&gt;=2,FALSE())),IF(AND('Daily Schedule'!$A30&gt;=46,'Daily Schedule'!$A30&lt;=52),'Daily Workforce'!$M11="Y",IFERROR(1*'Daily Workforce'!$P11&gt;=2,FALSE()))))),1,0)</f>
        <v>0</v>
      </c>
      <c r="W26" s="1" t="n">
        <f aca="false">IF(AND('Daily Workforce'!$N12="Y",'Daily Workforce'!$B12&lt;&gt;"",COUNTIF('Daily Schedule'!$F$5:$F29,'Daily Workforce'!$B12)=0,IF('Daily Schedule'!$A30=45,'Daily Workforce'!$J12="Y",IF(OR('Daily Schedule'!$A30=4,'Daily Schedule'!$A30=8),IF(OR(WEEKDAY('Daily Schedule'!$B$2,2)=1,WEEKDAY('Daily Schedule'!$B$2,2)=4,WEEKDAY('Daily Schedule'!$B$2,2)=5,WEEKDAY('Daily Schedule'!$B$2,2)=7),IFERROR(1*'Daily Workforce'!$K12&gt;=3,FALSE()),IFERROR(1*'Daily Workforce'!$K12&gt;=2,FALSE())),IF(AND('Daily Schedule'!$A30&gt;=46,'Daily Schedule'!$A30&lt;=52),'Daily Workforce'!$M12="Y",IFERROR(1*'Daily Workforce'!$P12&gt;=2,FALSE()))))),1,0)</f>
        <v>0</v>
      </c>
      <c r="X26" s="1" t="n">
        <f aca="false">IF(AND('Daily Workforce'!$N13="Y",'Daily Workforce'!$B13&lt;&gt;"",COUNTIF('Daily Schedule'!$F$5:$F29,'Daily Workforce'!$B13)=0,IF('Daily Schedule'!$A30=45,'Daily Workforce'!$J13="Y",IF(OR('Daily Schedule'!$A30=4,'Daily Schedule'!$A30=8),IF(OR(WEEKDAY('Daily Schedule'!$B$2,2)=1,WEEKDAY('Daily Schedule'!$B$2,2)=4,WEEKDAY('Daily Schedule'!$B$2,2)=5,WEEKDAY('Daily Schedule'!$B$2,2)=7),IFERROR(1*'Daily Workforce'!$K13&gt;=3,FALSE()),IFERROR(1*'Daily Workforce'!$K13&gt;=2,FALSE())),IF(AND('Daily Schedule'!$A30&gt;=46,'Daily Schedule'!$A30&lt;=52),'Daily Workforce'!$M13="Y",IFERROR(1*'Daily Workforce'!$P13&gt;=2,FALSE()))))),1,0)</f>
        <v>0</v>
      </c>
      <c r="Y26" s="1" t="n">
        <f aca="false">IF(AND('Daily Workforce'!$N14="Y",'Daily Workforce'!$B14&lt;&gt;"",COUNTIF('Daily Schedule'!$F$5:$F29,'Daily Workforce'!$B14)=0,IF('Daily Schedule'!$A30=45,'Daily Workforce'!$J14="Y",IF(OR('Daily Schedule'!$A30=4,'Daily Schedule'!$A30=8),IF(OR(WEEKDAY('Daily Schedule'!$B$2,2)=1,WEEKDAY('Daily Schedule'!$B$2,2)=4,WEEKDAY('Daily Schedule'!$B$2,2)=5,WEEKDAY('Daily Schedule'!$B$2,2)=7),IFERROR(1*'Daily Workforce'!$K14&gt;=3,FALSE()),IFERROR(1*'Daily Workforce'!$K14&gt;=2,FALSE())),IF(AND('Daily Schedule'!$A30&gt;=46,'Daily Schedule'!$A30&lt;=52),'Daily Workforce'!$M14="Y",IFERROR(1*'Daily Workforce'!$P14&gt;=2,FALSE()))))),1,0)</f>
        <v>0</v>
      </c>
      <c r="Z26" s="1" t="n">
        <f aca="false">IF(AND('Daily Workforce'!$N15="Y",'Daily Workforce'!$B15&lt;&gt;"",COUNTIF('Daily Schedule'!$F$5:$F29,'Daily Workforce'!$B15)=0,IF('Daily Schedule'!$A30=45,'Daily Workforce'!$J15="Y",IF(OR('Daily Schedule'!$A30=4,'Daily Schedule'!$A30=8),IF(OR(WEEKDAY('Daily Schedule'!$B$2,2)=1,WEEKDAY('Daily Schedule'!$B$2,2)=4,WEEKDAY('Daily Schedule'!$B$2,2)=5,WEEKDAY('Daily Schedule'!$B$2,2)=7),IFERROR(1*'Daily Workforce'!$K15&gt;=3,FALSE()),IFERROR(1*'Daily Workforce'!$K15&gt;=2,FALSE())),IF(AND('Daily Schedule'!$A30&gt;=46,'Daily Schedule'!$A30&lt;=52),'Daily Workforce'!$M15="Y",IFERROR(1*'Daily Workforce'!$P15&gt;=2,FALSE()))))),1,0)</f>
        <v>0</v>
      </c>
      <c r="AA26" s="1" t="n">
        <f aca="false">IF(AND('Daily Workforce'!$N16="Y",'Daily Workforce'!$B16&lt;&gt;"",COUNTIF('Daily Schedule'!$F$5:$F29,'Daily Workforce'!$B16)=0,IF('Daily Schedule'!$A30=45,'Daily Workforce'!$J16="Y",IF(OR('Daily Schedule'!$A30=4,'Daily Schedule'!$A30=8),IF(OR(WEEKDAY('Daily Schedule'!$B$2,2)=1,WEEKDAY('Daily Schedule'!$B$2,2)=4,WEEKDAY('Daily Schedule'!$B$2,2)=5,WEEKDAY('Daily Schedule'!$B$2,2)=7),IFERROR(1*'Daily Workforce'!$K16&gt;=3,FALSE()),IFERROR(1*'Daily Workforce'!$K16&gt;=2,FALSE())),IF(AND('Daily Schedule'!$A30&gt;=46,'Daily Schedule'!$A30&lt;=52),'Daily Workforce'!$M16="Y",IFERROR(1*'Daily Workforce'!$P16&gt;=2,FALSE()))))),1,0)</f>
        <v>0</v>
      </c>
      <c r="AB26" s="1" t="n">
        <f aca="false">IF(AND('Daily Workforce'!$N17="Y",'Daily Workforce'!$B17&lt;&gt;"",COUNTIF('Daily Schedule'!$F$5:$F29,'Daily Workforce'!$B17)=0,IF('Daily Schedule'!$A30=45,'Daily Workforce'!$J17="Y",IF(OR('Daily Schedule'!$A30=4,'Daily Schedule'!$A30=8),IF(OR(WEEKDAY('Daily Schedule'!$B$2,2)=1,WEEKDAY('Daily Schedule'!$B$2,2)=4,WEEKDAY('Daily Schedule'!$B$2,2)=5,WEEKDAY('Daily Schedule'!$B$2,2)=7),IFERROR(1*'Daily Workforce'!$K17&gt;=3,FALSE()),IFERROR(1*'Daily Workforce'!$K17&gt;=2,FALSE())),IF(AND('Daily Schedule'!$A30&gt;=46,'Daily Schedule'!$A30&lt;=52),'Daily Workforce'!$M17="Y",IFERROR(1*'Daily Workforce'!$P17&gt;=2,FALSE()))))),1,0)</f>
        <v>0</v>
      </c>
      <c r="AC26" s="1" t="n">
        <f aca="false">IF(AND('Daily Workforce'!$N18="Y",'Daily Workforce'!$B18&lt;&gt;"",COUNTIF('Daily Schedule'!$F$5:$F29,'Daily Workforce'!$B18)=0,IF('Daily Schedule'!$A30=45,'Daily Workforce'!$J18="Y",IF(OR('Daily Schedule'!$A30=4,'Daily Schedule'!$A30=8),IF(OR(WEEKDAY('Daily Schedule'!$B$2,2)=1,WEEKDAY('Daily Schedule'!$B$2,2)=4,WEEKDAY('Daily Schedule'!$B$2,2)=5,WEEKDAY('Daily Schedule'!$B$2,2)=7),IFERROR(1*'Daily Workforce'!$K18&gt;=3,FALSE()),IFERROR(1*'Daily Workforce'!$K18&gt;=2,FALSE())),IF(AND('Daily Schedule'!$A30&gt;=46,'Daily Schedule'!$A30&lt;=52),'Daily Workforce'!$M18="Y",IFERROR(1*'Daily Workforce'!$P18&gt;=2,FALSE()))))),1,0)</f>
        <v>0</v>
      </c>
      <c r="AD26" s="1" t="n">
        <f aca="false">IF(AND('Daily Workforce'!$N19="Y",'Daily Workforce'!$B19&lt;&gt;"",COUNTIF('Daily Schedule'!$F$5:$F29,'Daily Workforce'!$B19)=0,IF('Daily Schedule'!$A30=45,'Daily Workforce'!$J19="Y",IF(OR('Daily Schedule'!$A30=4,'Daily Schedule'!$A30=8),IF(OR(WEEKDAY('Daily Schedule'!$B$2,2)=1,WEEKDAY('Daily Schedule'!$B$2,2)=4,WEEKDAY('Daily Schedule'!$B$2,2)=5,WEEKDAY('Daily Schedule'!$B$2,2)=7),IFERROR(1*'Daily Workforce'!$K19&gt;=3,FALSE()),IFERROR(1*'Daily Workforce'!$K19&gt;=2,FALSE())),IF(AND('Daily Schedule'!$A30&gt;=46,'Daily Schedule'!$A30&lt;=52),'Daily Workforce'!$M19="Y",IFERROR(1*'Daily Workforce'!$P19&gt;=2,FALSE()))))),1,0)</f>
        <v>0</v>
      </c>
      <c r="AE26" s="1" t="n">
        <f aca="false">IF(AND('Daily Workforce'!$N20="Y",'Daily Workforce'!$B20&lt;&gt;"",COUNTIF('Daily Schedule'!$F$5:$F29,'Daily Workforce'!$B20)=0,IF('Daily Schedule'!$A30=45,'Daily Workforce'!$J20="Y",IF(OR('Daily Schedule'!$A30=4,'Daily Schedule'!$A30=8),IF(OR(WEEKDAY('Daily Schedule'!$B$2,2)=1,WEEKDAY('Daily Schedule'!$B$2,2)=4,WEEKDAY('Daily Schedule'!$B$2,2)=5,WEEKDAY('Daily Schedule'!$B$2,2)=7),IFERROR(1*'Daily Workforce'!$K20&gt;=3,FALSE()),IFERROR(1*'Daily Workforce'!$K20&gt;=2,FALSE())),IF(AND('Daily Schedule'!$A30&gt;=46,'Daily Schedule'!$A30&lt;=52),'Daily Workforce'!$M20="Y",IFERROR(1*'Daily Workforce'!$P20&gt;=2,FALSE()))))),1,0)</f>
        <v>0</v>
      </c>
      <c r="AF26" s="1" t="n">
        <f aca="false">IF(AND('Daily Workforce'!$N21="Y",'Daily Workforce'!$B21&lt;&gt;"",COUNTIF('Daily Schedule'!$F$5:$F29,'Daily Workforce'!$B21)=0,IF('Daily Schedule'!$A30=45,'Daily Workforce'!$J21="Y",IF(OR('Daily Schedule'!$A30=4,'Daily Schedule'!$A30=8),IF(OR(WEEKDAY('Daily Schedule'!$B$2,2)=1,WEEKDAY('Daily Schedule'!$B$2,2)=4,WEEKDAY('Daily Schedule'!$B$2,2)=5,WEEKDAY('Daily Schedule'!$B$2,2)=7),IFERROR(1*'Daily Workforce'!$K21&gt;=3,FALSE()),IFERROR(1*'Daily Workforce'!$K21&gt;=2,FALSE())),IF(AND('Daily Schedule'!$A30&gt;=46,'Daily Schedule'!$A30&lt;=52),'Daily Workforce'!$M21="Y",IFERROR(1*'Daily Workforce'!$P21&gt;=2,FALSE()))))),1,0)</f>
        <v>0</v>
      </c>
      <c r="AG26" s="1" t="n">
        <f aca="false">IF(AND('Daily Workforce'!$N22="Y",'Daily Workforce'!$B22&lt;&gt;"",COUNTIF('Daily Schedule'!$F$5:$F29,'Daily Workforce'!$B22)=0,IF('Daily Schedule'!$A30=45,'Daily Workforce'!$J22="Y",IF(OR('Daily Schedule'!$A30=4,'Daily Schedule'!$A30=8),IF(OR(WEEKDAY('Daily Schedule'!$B$2,2)=1,WEEKDAY('Daily Schedule'!$B$2,2)=4,WEEKDAY('Daily Schedule'!$B$2,2)=5,WEEKDAY('Daily Schedule'!$B$2,2)=7),IFERROR(1*'Daily Workforce'!$K22&gt;=3,FALSE()),IFERROR(1*'Daily Workforce'!$K22&gt;=2,FALSE())),IF(AND('Daily Schedule'!$A30&gt;=46,'Daily Schedule'!$A30&lt;=52),'Daily Workforce'!$M22="Y",IFERROR(1*'Daily Workforce'!$P22&gt;=2,FALSE()))))),1,0)</f>
        <v>0</v>
      </c>
      <c r="AH26" s="1" t="n">
        <f aca="false">IF(AND('Daily Workforce'!$N23="Y",'Daily Workforce'!$B23&lt;&gt;"",COUNTIF('Daily Schedule'!$F$5:$F29,'Daily Workforce'!$B23)=0,IF('Daily Schedule'!$A30=45,'Daily Workforce'!$J23="Y",IF(OR('Daily Schedule'!$A30=4,'Daily Schedule'!$A30=8),IF(OR(WEEKDAY('Daily Schedule'!$B$2,2)=1,WEEKDAY('Daily Schedule'!$B$2,2)=4,WEEKDAY('Daily Schedule'!$B$2,2)=5,WEEKDAY('Daily Schedule'!$B$2,2)=7),IFERROR(1*'Daily Workforce'!$K23&gt;=3,FALSE()),IFERROR(1*'Daily Workforce'!$K23&gt;=2,FALSE())),IF(AND('Daily Schedule'!$A30&gt;=46,'Daily Schedule'!$A30&lt;=52),'Daily Workforce'!$M23="Y",IFERROR(1*'Daily Workforce'!$P23&gt;=2,FALSE()))))),1,0)</f>
        <v>0</v>
      </c>
      <c r="AI26" s="1" t="n">
        <f aca="false">IF(AND('Daily Workforce'!$N24="Y",'Daily Workforce'!$B24&lt;&gt;"",COUNTIF('Daily Schedule'!$F$5:$F29,'Daily Workforce'!$B24)=0,IF('Daily Schedule'!$A30=45,'Daily Workforce'!$J24="Y",IF(OR('Daily Schedule'!$A30=4,'Daily Schedule'!$A30=8),IF(OR(WEEKDAY('Daily Schedule'!$B$2,2)=1,WEEKDAY('Daily Schedule'!$B$2,2)=4,WEEKDAY('Daily Schedule'!$B$2,2)=5,WEEKDAY('Daily Schedule'!$B$2,2)=7),IFERROR(1*'Daily Workforce'!$K24&gt;=3,FALSE()),IFERROR(1*'Daily Workforce'!$K24&gt;=2,FALSE())),IF(AND('Daily Schedule'!$A30&gt;=46,'Daily Schedule'!$A30&lt;=52),'Daily Workforce'!$M24="Y",IFERROR(1*'Daily Workforce'!$P24&gt;=2,FALSE()))))),1,0)</f>
        <v>0</v>
      </c>
      <c r="AJ26" s="1" t="n">
        <f aca="false">IF(AND('Daily Workforce'!$N25="Y",'Daily Workforce'!$B25&lt;&gt;"",COUNTIF('Daily Schedule'!$F$5:$F29,'Daily Workforce'!$B25)=0,IF('Daily Schedule'!$A30=45,'Daily Workforce'!$J25="Y",IF(OR('Daily Schedule'!$A30=4,'Daily Schedule'!$A30=8),IF(OR(WEEKDAY('Daily Schedule'!$B$2,2)=1,WEEKDAY('Daily Schedule'!$B$2,2)=4,WEEKDAY('Daily Schedule'!$B$2,2)=5,WEEKDAY('Daily Schedule'!$B$2,2)=7),IFERROR(1*'Daily Workforce'!$K25&gt;=3,FALSE()),IFERROR(1*'Daily Workforce'!$K25&gt;=2,FALSE())),IF(AND('Daily Schedule'!$A30&gt;=46,'Daily Schedule'!$A30&lt;=52),'Daily Workforce'!$M25="Y",IFERROR(1*'Daily Workforce'!$P25&gt;=2,FALSE()))))),1,0)</f>
        <v>0</v>
      </c>
      <c r="AK26" s="1" t="n">
        <f aca="false">IF(AND('Daily Workforce'!$N26="Y",'Daily Workforce'!$B26&lt;&gt;"",COUNTIF('Daily Schedule'!$F$5:$F29,'Daily Workforce'!$B26)=0,IF('Daily Schedule'!$A30=45,'Daily Workforce'!$J26="Y",IF(OR('Daily Schedule'!$A30=4,'Daily Schedule'!$A30=8),IF(OR(WEEKDAY('Daily Schedule'!$B$2,2)=1,WEEKDAY('Daily Schedule'!$B$2,2)=4,WEEKDAY('Daily Schedule'!$B$2,2)=5,WEEKDAY('Daily Schedule'!$B$2,2)=7),IFERROR(1*'Daily Workforce'!$K26&gt;=3,FALSE()),IFERROR(1*'Daily Workforce'!$K26&gt;=2,FALSE())),IF(AND('Daily Schedule'!$A30&gt;=46,'Daily Schedule'!$A30&lt;=52),'Daily Workforce'!$M26="Y",IFERROR(1*'Daily Workforce'!$P26&gt;=2,FALSE()))))),1,0)</f>
        <v>0</v>
      </c>
      <c r="AL26" s="1" t="n">
        <f aca="false">IF(AND('Daily Workforce'!$N27="Y",'Daily Workforce'!$B27&lt;&gt;"",COUNTIF('Daily Schedule'!$F$5:$F29,'Daily Workforce'!$B27)=0,IF('Daily Schedule'!$A30=45,'Daily Workforce'!$J27="Y",IF(OR('Daily Schedule'!$A30=4,'Daily Schedule'!$A30=8),IF(OR(WEEKDAY('Daily Schedule'!$B$2,2)=1,WEEKDAY('Daily Schedule'!$B$2,2)=4,WEEKDAY('Daily Schedule'!$B$2,2)=5,WEEKDAY('Daily Schedule'!$B$2,2)=7),IFERROR(1*'Daily Workforce'!$K27&gt;=3,FALSE()),IFERROR(1*'Daily Workforce'!$K27&gt;=2,FALSE())),IF(AND('Daily Schedule'!$A30&gt;=46,'Daily Schedule'!$A30&lt;=52),'Daily Workforce'!$M27="Y",IFERROR(1*'Daily Workforce'!$P27&gt;=2,FALSE()))))),1,0)</f>
        <v>0</v>
      </c>
      <c r="AM26" s="1" t="n">
        <f aca="false">IF(AND('Daily Workforce'!$N28="Y",'Daily Workforce'!$B28&lt;&gt;"",COUNTIF('Daily Schedule'!$F$5:$F29,'Daily Workforce'!$B28)=0,IF('Daily Schedule'!$A30=45,'Daily Workforce'!$J28="Y",IF(OR('Daily Schedule'!$A30=4,'Daily Schedule'!$A30=8),IF(OR(WEEKDAY('Daily Schedule'!$B$2,2)=1,WEEKDAY('Daily Schedule'!$B$2,2)=4,WEEKDAY('Daily Schedule'!$B$2,2)=5,WEEKDAY('Daily Schedule'!$B$2,2)=7),IFERROR(1*'Daily Workforce'!$K28&gt;=3,FALSE()),IFERROR(1*'Daily Workforce'!$K28&gt;=2,FALSE())),IF(AND('Daily Schedule'!$A30&gt;=46,'Daily Schedule'!$A30&lt;=52),'Daily Workforce'!$M28="Y",IFERROR(1*'Daily Workforce'!$P28&gt;=2,FALSE()))))),1,0)</f>
        <v>0</v>
      </c>
      <c r="AN26" s="1" t="n">
        <f aca="false">IF(AND('Daily Workforce'!$N29="Y",'Daily Workforce'!$B29&lt;&gt;"",COUNTIF('Daily Schedule'!$F$5:$F29,'Daily Workforce'!$B29)=0,IF('Daily Schedule'!$A30=45,'Daily Workforce'!$J29="Y",IF(OR('Daily Schedule'!$A30=4,'Daily Schedule'!$A30=8),IF(OR(WEEKDAY('Daily Schedule'!$B$2,2)=1,WEEKDAY('Daily Schedule'!$B$2,2)=4,WEEKDAY('Daily Schedule'!$B$2,2)=5,WEEKDAY('Daily Schedule'!$B$2,2)=7),IFERROR(1*'Daily Workforce'!$K29&gt;=3,FALSE()),IFERROR(1*'Daily Workforce'!$K29&gt;=2,FALSE())),IF(AND('Daily Schedule'!$A30&gt;=46,'Daily Schedule'!$A30&lt;=52),'Daily Workforce'!$M29="Y",IFERROR(1*'Daily Workforce'!$P29&gt;=2,FALSE()))))),1,0)</f>
        <v>1</v>
      </c>
      <c r="AO26" s="1" t="n">
        <f aca="false">IF(AND('Daily Workforce'!$N30="Y",'Daily Workforce'!$B30&lt;&gt;"",COUNTIF('Daily Schedule'!$F$5:$F29,'Daily Workforce'!$B30)=0,IF('Daily Schedule'!$A30=45,'Daily Workforce'!$J30="Y",IF(OR('Daily Schedule'!$A30=4,'Daily Schedule'!$A30=8),IF(OR(WEEKDAY('Daily Schedule'!$B$2,2)=1,WEEKDAY('Daily Schedule'!$B$2,2)=4,WEEKDAY('Daily Schedule'!$B$2,2)=5,WEEKDAY('Daily Schedule'!$B$2,2)=7),IFERROR(1*'Daily Workforce'!$K30&gt;=3,FALSE()),IFERROR(1*'Daily Workforce'!$K30&gt;=2,FALSE())),IF(AND('Daily Schedule'!$A30&gt;=46,'Daily Schedule'!$A30&lt;=52),'Daily Workforce'!$M30="Y",IFERROR(1*'Daily Workforce'!$P30&gt;=2,FALSE()))))),1,0)</f>
        <v>1</v>
      </c>
      <c r="AP26" s="1" t="n">
        <f aca="false">IF(AND('Daily Workforce'!$N31="Y",'Daily Workforce'!$B31&lt;&gt;"",COUNTIF('Daily Schedule'!$F$5:$F29,'Daily Workforce'!$B31)=0,IF('Daily Schedule'!$A30=45,'Daily Workforce'!$J31="Y",IF(OR('Daily Schedule'!$A30=4,'Daily Schedule'!$A30=8),IF(OR(WEEKDAY('Daily Schedule'!$B$2,2)=1,WEEKDAY('Daily Schedule'!$B$2,2)=4,WEEKDAY('Daily Schedule'!$B$2,2)=5,WEEKDAY('Daily Schedule'!$B$2,2)=7),IFERROR(1*'Daily Workforce'!$K31&gt;=3,FALSE()),IFERROR(1*'Daily Workforce'!$K31&gt;=2,FALSE())),IF(AND('Daily Schedule'!$A30&gt;=46,'Daily Schedule'!$A30&lt;=52),'Daily Workforce'!$M31="Y",IFERROR(1*'Daily Workforce'!$P31&gt;=2,FALSE()))))),1,0)</f>
        <v>1</v>
      </c>
      <c r="AQ26" s="1" t="n">
        <f aca="false">IF(AND('Daily Workforce'!$N32="Y",'Daily Workforce'!$B32&lt;&gt;"",COUNTIF('Daily Schedule'!$F$5:$F29,'Daily Workforce'!$B32)=0,IF('Daily Schedule'!$A30=45,'Daily Workforce'!$J32="Y",IF(OR('Daily Schedule'!$A30=4,'Daily Schedule'!$A30=8),IF(OR(WEEKDAY('Daily Schedule'!$B$2,2)=1,WEEKDAY('Daily Schedule'!$B$2,2)=4,WEEKDAY('Daily Schedule'!$B$2,2)=5,WEEKDAY('Daily Schedule'!$B$2,2)=7),IFERROR(1*'Daily Workforce'!$K32&gt;=3,FALSE()),IFERROR(1*'Daily Workforce'!$K32&gt;=2,FALSE())),IF(AND('Daily Schedule'!$A30&gt;=46,'Daily Schedule'!$A30&lt;=52),'Daily Workforce'!$M32="Y",IFERROR(1*'Daily Workforce'!$P32&gt;=2,FALSE()))))),1,0)</f>
        <v>1</v>
      </c>
      <c r="AR26" s="1" t="n">
        <f aca="false">IF(AND('Daily Workforce'!$N33="Y",'Daily Workforce'!$B33&lt;&gt;"",COUNTIF('Daily Schedule'!$F$5:$F29,'Daily Workforce'!$B33)=0,IF('Daily Schedule'!$A30=45,'Daily Workforce'!$J33="Y",IF(OR('Daily Schedule'!$A30=4,'Daily Schedule'!$A30=8),IF(OR(WEEKDAY('Daily Schedule'!$B$2,2)=1,WEEKDAY('Daily Schedule'!$B$2,2)=4,WEEKDAY('Daily Schedule'!$B$2,2)=5,WEEKDAY('Daily Schedule'!$B$2,2)=7),IFERROR(1*'Daily Workforce'!$K33&gt;=3,FALSE()),IFERROR(1*'Daily Workforce'!$K33&gt;=2,FALSE())),IF(AND('Daily Schedule'!$A30&gt;=46,'Daily Schedule'!$A30&lt;=52),'Daily Workforce'!$M33="Y",IFERROR(1*'Daily Workforce'!$P33&gt;=2,FALSE()))))),1,0)</f>
        <v>1</v>
      </c>
      <c r="AS26" s="1" t="n">
        <f aca="false">IF(AND('Daily Workforce'!$N34="Y",'Daily Workforce'!$B34&lt;&gt;"",COUNTIF('Daily Schedule'!$F$5:$F29,'Daily Workforce'!$B34)=0,IF('Daily Schedule'!$A30=45,'Daily Workforce'!$J34="Y",IF(OR('Daily Schedule'!$A30=4,'Daily Schedule'!$A30=8),IF(OR(WEEKDAY('Daily Schedule'!$B$2,2)=1,WEEKDAY('Daily Schedule'!$B$2,2)=4,WEEKDAY('Daily Schedule'!$B$2,2)=5,WEEKDAY('Daily Schedule'!$B$2,2)=7),IFERROR(1*'Daily Workforce'!$K34&gt;=3,FALSE()),IFERROR(1*'Daily Workforce'!$K34&gt;=2,FALSE())),IF(AND('Daily Schedule'!$A30&gt;=46,'Daily Schedule'!$A30&lt;=52),'Daily Workforce'!$M34="Y",IFERROR(1*'Daily Workforce'!$P34&gt;=2,FALSE()))))),1,0)</f>
        <v>1</v>
      </c>
      <c r="AT26" s="1" t="n">
        <f aca="false">IF(AND('Daily Workforce'!$N35="Y",'Daily Workforce'!$B35&lt;&gt;"",COUNTIF('Daily Schedule'!$F$5:$F29,'Daily Workforce'!$B35)=0,IF('Daily Schedule'!$A30=45,'Daily Workforce'!$J35="Y",IF(OR('Daily Schedule'!$A30=4,'Daily Schedule'!$A30=8),IF(OR(WEEKDAY('Daily Schedule'!$B$2,2)=1,WEEKDAY('Daily Schedule'!$B$2,2)=4,WEEKDAY('Daily Schedule'!$B$2,2)=5,WEEKDAY('Daily Schedule'!$B$2,2)=7),IFERROR(1*'Daily Workforce'!$K35&gt;=3,FALSE()),IFERROR(1*'Daily Workforce'!$K35&gt;=2,FALSE())),IF(AND('Daily Schedule'!$A30&gt;=46,'Daily Schedule'!$A30&lt;=52),'Daily Workforce'!$M35="Y",IFERROR(1*'Daily Workforce'!$P35&gt;=2,FALSE()))))),1,0)</f>
        <v>1</v>
      </c>
      <c r="AU26" s="1" t="n">
        <f aca="false">IF(AND('Daily Workforce'!$N36="Y",'Daily Workforce'!$B36&lt;&gt;"",COUNTIF('Daily Schedule'!$F$5:$F29,'Daily Workforce'!$B36)=0,IF('Daily Schedule'!$A30=45,'Daily Workforce'!$J36="Y",IF(OR('Daily Schedule'!$A30=4,'Daily Schedule'!$A30=8),IF(OR(WEEKDAY('Daily Schedule'!$B$2,2)=1,WEEKDAY('Daily Schedule'!$B$2,2)=4,WEEKDAY('Daily Schedule'!$B$2,2)=5,WEEKDAY('Daily Schedule'!$B$2,2)=7),IFERROR(1*'Daily Workforce'!$K36&gt;=3,FALSE()),IFERROR(1*'Daily Workforce'!$K36&gt;=2,FALSE())),IF(AND('Daily Schedule'!$A30&gt;=46,'Daily Schedule'!$A30&lt;=52),'Daily Workforce'!$M36="Y",IFERROR(1*'Daily Workforce'!$P36&gt;=2,FALSE()))))),1,0)</f>
        <v>1</v>
      </c>
      <c r="AV26" s="1" t="n">
        <f aca="false">IF(AND('Daily Workforce'!$N37="Y",'Daily Workforce'!$B37&lt;&gt;"",COUNTIF('Daily Schedule'!$F$5:$F29,'Daily Workforce'!$B37)=0,IF('Daily Schedule'!$A30=45,'Daily Workforce'!$J37="Y",IF(OR('Daily Schedule'!$A30=4,'Daily Schedule'!$A30=8),IF(OR(WEEKDAY('Daily Schedule'!$B$2,2)=1,WEEKDAY('Daily Schedule'!$B$2,2)=4,WEEKDAY('Daily Schedule'!$B$2,2)=5,WEEKDAY('Daily Schedule'!$B$2,2)=7),IFERROR(1*'Daily Workforce'!$K37&gt;=3,FALSE()),IFERROR(1*'Daily Workforce'!$K37&gt;=2,FALSE())),IF(AND('Daily Schedule'!$A30&gt;=46,'Daily Schedule'!$A30&lt;=52),'Daily Workforce'!$M37="Y",IFERROR(1*'Daily Workforce'!$P37&gt;=2,FALSE()))))),1,0)</f>
        <v>1</v>
      </c>
      <c r="AW26" s="1" t="n">
        <f aca="false">IF(AND('Daily Workforce'!$N38="Y",'Daily Workforce'!$B38&lt;&gt;"",COUNTIF('Daily Schedule'!$F$5:$F29,'Daily Workforce'!$B38)=0,IF('Daily Schedule'!$A30=45,'Daily Workforce'!$J38="Y",IF(OR('Daily Schedule'!$A30=4,'Daily Schedule'!$A30=8),IF(OR(WEEKDAY('Daily Schedule'!$B$2,2)=1,WEEKDAY('Daily Schedule'!$B$2,2)=4,WEEKDAY('Daily Schedule'!$B$2,2)=5,WEEKDAY('Daily Schedule'!$B$2,2)=7),IFERROR(1*'Daily Workforce'!$K38&gt;=3,FALSE()),IFERROR(1*'Daily Workforce'!$K38&gt;=2,FALSE())),IF(AND('Daily Schedule'!$A30&gt;=46,'Daily Schedule'!$A30&lt;=52),'Daily Workforce'!$M38="Y",IFERROR(1*'Daily Workforce'!$P38&gt;=2,FALSE()))))),1,0)</f>
        <v>1</v>
      </c>
      <c r="AX26" s="1" t="n">
        <f aca="false">IF(AND('Daily Workforce'!$N39="Y",'Daily Workforce'!$B39&lt;&gt;"",COUNTIF('Daily Schedule'!$F$5:$F29,'Daily Workforce'!$B39)=0,IF('Daily Schedule'!$A30=45,'Daily Workforce'!$J39="Y",IF(OR('Daily Schedule'!$A30=4,'Daily Schedule'!$A30=8),IF(OR(WEEKDAY('Daily Schedule'!$B$2,2)=1,WEEKDAY('Daily Schedule'!$B$2,2)=4,WEEKDAY('Daily Schedule'!$B$2,2)=5,WEEKDAY('Daily Schedule'!$B$2,2)=7),IFERROR(1*'Daily Workforce'!$K39&gt;=3,FALSE()),IFERROR(1*'Daily Workforce'!$K39&gt;=2,FALSE())),IF(AND('Daily Schedule'!$A30&gt;=46,'Daily Schedule'!$A30&lt;=52),'Daily Workforce'!$M39="Y",IFERROR(1*'Daily Workforce'!$P39&gt;=2,FALSE()))))),1,0)</f>
        <v>1</v>
      </c>
      <c r="AY26" s="1" t="n">
        <f aca="false">IF(AND('Daily Workforce'!$N40="Y",'Daily Workforce'!$B40&lt;&gt;"",COUNTIF('Daily Schedule'!$F$5:$F29,'Daily Workforce'!$B40)=0,IF('Daily Schedule'!$A30=45,'Daily Workforce'!$J40="Y",IF(OR('Daily Schedule'!$A30=4,'Daily Schedule'!$A30=8),IF(OR(WEEKDAY('Daily Schedule'!$B$2,2)=1,WEEKDAY('Daily Schedule'!$B$2,2)=4,WEEKDAY('Daily Schedule'!$B$2,2)=5,WEEKDAY('Daily Schedule'!$B$2,2)=7),IFERROR(1*'Daily Workforce'!$K40&gt;=3,FALSE()),IFERROR(1*'Daily Workforce'!$K40&gt;=2,FALSE())),IF(AND('Daily Schedule'!$A30&gt;=46,'Daily Schedule'!$A30&lt;=52),'Daily Workforce'!$M40="Y",IFERROR(1*'Daily Workforce'!$P40&gt;=2,FALSE()))))),1,0)</f>
        <v>1</v>
      </c>
      <c r="AZ26" s="1" t="n">
        <f aca="false">IF(AND('Daily Workforce'!$N41="Y",'Daily Workforce'!$B41&lt;&gt;"",COUNTIF('Daily Schedule'!$F$5:$F29,'Daily Workforce'!$B41)=0,IF('Daily Schedule'!$A30=45,'Daily Workforce'!$J41="Y",IF(OR('Daily Schedule'!$A30=4,'Daily Schedule'!$A30=8),IF(OR(WEEKDAY('Daily Schedule'!$B$2,2)=1,WEEKDAY('Daily Schedule'!$B$2,2)=4,WEEKDAY('Daily Schedule'!$B$2,2)=5,WEEKDAY('Daily Schedule'!$B$2,2)=7),IFERROR(1*'Daily Workforce'!$K41&gt;=3,FALSE()),IFERROR(1*'Daily Workforce'!$K41&gt;=2,FALSE())),IF(AND('Daily Schedule'!$A30&gt;=46,'Daily Schedule'!$A30&lt;=52),'Daily Workforce'!$M41="Y",IFERROR(1*'Daily Workforce'!$P41&gt;=2,FALSE()))))),1,0)</f>
        <v>1</v>
      </c>
      <c r="BA26" s="1" t="n">
        <f aca="false">IF(AND('Daily Workforce'!$N42="Y",'Daily Workforce'!$B42&lt;&gt;"",COUNTIF('Daily Schedule'!$F$5:$F29,'Daily Workforce'!$B42)=0,IF('Daily Schedule'!$A30=45,'Daily Workforce'!$J42="Y",IF(OR('Daily Schedule'!$A30=4,'Daily Schedule'!$A30=8),IF(OR(WEEKDAY('Daily Schedule'!$B$2,2)=1,WEEKDAY('Daily Schedule'!$B$2,2)=4,WEEKDAY('Daily Schedule'!$B$2,2)=5,WEEKDAY('Daily Schedule'!$B$2,2)=7),IFERROR(1*'Daily Workforce'!$K42&gt;=3,FALSE()),IFERROR(1*'Daily Workforce'!$K42&gt;=2,FALSE())),IF(AND('Daily Schedule'!$A30&gt;=46,'Daily Schedule'!$A30&lt;=52),'Daily Workforce'!$M42="Y",IFERROR(1*'Daily Workforce'!$P42&gt;=2,FALSE()))))),1,0)</f>
        <v>1</v>
      </c>
      <c r="BB26" s="1" t="n">
        <f aca="false">IF(AND('Daily Workforce'!$N43="Y",'Daily Workforce'!$B43&lt;&gt;"",COUNTIF('Daily Schedule'!$F$5:$F29,'Daily Workforce'!$B43)=0,IF('Daily Schedule'!$A30=45,'Daily Workforce'!$J43="Y",IF(OR('Daily Schedule'!$A30=4,'Daily Schedule'!$A30=8),IF(OR(WEEKDAY('Daily Schedule'!$B$2,2)=1,WEEKDAY('Daily Schedule'!$B$2,2)=4,WEEKDAY('Daily Schedule'!$B$2,2)=5,WEEKDAY('Daily Schedule'!$B$2,2)=7),IFERROR(1*'Daily Workforce'!$K43&gt;=3,FALSE()),IFERROR(1*'Daily Workforce'!$K43&gt;=2,FALSE())),IF(AND('Daily Schedule'!$A30&gt;=46,'Daily Schedule'!$A30&lt;=52),'Daily Workforce'!$M43="Y",IFERROR(1*'Daily Workforce'!$P43&gt;=2,FALSE()))))),1,0)</f>
        <v>1</v>
      </c>
      <c r="BC26" s="1" t="n">
        <f aca="false">IF(AND('Daily Workforce'!$N44="Y",'Daily Workforce'!$B44&lt;&gt;"",COUNTIF('Daily Schedule'!$F$5:$F29,'Daily Workforce'!$B44)=0,IF('Daily Schedule'!$A30=45,'Daily Workforce'!$J44="Y",IF(OR('Daily Schedule'!$A30=4,'Daily Schedule'!$A30=8),IF(OR(WEEKDAY('Daily Schedule'!$B$2,2)=1,WEEKDAY('Daily Schedule'!$B$2,2)=4,WEEKDAY('Daily Schedule'!$B$2,2)=5,WEEKDAY('Daily Schedule'!$B$2,2)=7),IFERROR(1*'Daily Workforce'!$K44&gt;=3,FALSE()),IFERROR(1*'Daily Workforce'!$K44&gt;=2,FALSE())),IF(AND('Daily Schedule'!$A30&gt;=46,'Daily Schedule'!$A30&lt;=52),'Daily Workforce'!$M44="Y",IFERROR(1*'Daily Workforce'!$P44&gt;=2,FALSE()))))),1,0)</f>
        <v>1</v>
      </c>
      <c r="BD26" s="1" t="n">
        <f aca="false">IF(AND('Daily Workforce'!$N45="Y",'Daily Workforce'!$B45&lt;&gt;"",COUNTIF('Daily Schedule'!$F$5:$F29,'Daily Workforce'!$B45)=0,IF('Daily Schedule'!$A30=45,'Daily Workforce'!$J45="Y",IF(OR('Daily Schedule'!$A30=4,'Daily Schedule'!$A30=8),IF(OR(WEEKDAY('Daily Schedule'!$B$2,2)=1,WEEKDAY('Daily Schedule'!$B$2,2)=4,WEEKDAY('Daily Schedule'!$B$2,2)=5,WEEKDAY('Daily Schedule'!$B$2,2)=7),IFERROR(1*'Daily Workforce'!$K45&gt;=3,FALSE()),IFERROR(1*'Daily Workforce'!$K45&gt;=2,FALSE())),IF(AND('Daily Schedule'!$A30&gt;=46,'Daily Schedule'!$A30&lt;=52),'Daily Workforce'!$M45="Y",IFERROR(1*'Daily Workforce'!$P45&gt;=2,FALSE()))))),1,0)</f>
        <v>1</v>
      </c>
      <c r="BE26" s="1" t="n">
        <f aca="false">IF(AND('Daily Workforce'!$N46="Y",'Daily Workforce'!$B46&lt;&gt;"",COUNTIF('Daily Schedule'!$F$5:$F29,'Daily Workforce'!$B46)=0,IF('Daily Schedule'!$A30=45,'Daily Workforce'!$J46="Y",IF(OR('Daily Schedule'!$A30=4,'Daily Schedule'!$A30=8),IF(OR(WEEKDAY('Daily Schedule'!$B$2,2)=1,WEEKDAY('Daily Schedule'!$B$2,2)=4,WEEKDAY('Daily Schedule'!$B$2,2)=5,WEEKDAY('Daily Schedule'!$B$2,2)=7),IFERROR(1*'Daily Workforce'!$K46&gt;=3,FALSE()),IFERROR(1*'Daily Workforce'!$K46&gt;=2,FALSE())),IF(AND('Daily Schedule'!$A30&gt;=46,'Daily Schedule'!$A30&lt;=52),'Daily Workforce'!$M46="Y",IFERROR(1*'Daily Workforce'!$P46&gt;=2,FALSE()))))),1,0)</f>
        <v>1</v>
      </c>
      <c r="BF26" s="1" t="n">
        <f aca="false">IF(AND('Daily Workforce'!$N47="Y",'Daily Workforce'!$B47&lt;&gt;"",COUNTIF('Daily Schedule'!$F$5:$F29,'Daily Workforce'!$B47)=0,IF('Daily Schedule'!$A30=45,'Daily Workforce'!$J47="Y",IF(OR('Daily Schedule'!$A30=4,'Daily Schedule'!$A30=8),IF(OR(WEEKDAY('Daily Schedule'!$B$2,2)=1,WEEKDAY('Daily Schedule'!$B$2,2)=4,WEEKDAY('Daily Schedule'!$B$2,2)=5,WEEKDAY('Daily Schedule'!$B$2,2)=7),IFERROR(1*'Daily Workforce'!$K47&gt;=3,FALSE()),IFERROR(1*'Daily Workforce'!$K47&gt;=2,FALSE())),IF(AND('Daily Schedule'!$A30&gt;=46,'Daily Schedule'!$A30&lt;=52),'Daily Workforce'!$M47="Y",IFERROR(1*'Daily Workforce'!$P47&gt;=2,FALSE()))))),1,0)</f>
        <v>0</v>
      </c>
      <c r="BG26" s="1" t="n">
        <f aca="false">IF(AND('Daily Workforce'!$N48="Y",'Daily Workforce'!$B48&lt;&gt;"",COUNTIF('Daily Schedule'!$F$5:$F29,'Daily Workforce'!$B48)=0,IF('Daily Schedule'!$A30=45,'Daily Workforce'!$J48="Y",IF(OR('Daily Schedule'!$A30=4,'Daily Schedule'!$A30=8),IF(OR(WEEKDAY('Daily Schedule'!$B$2,2)=1,WEEKDAY('Daily Schedule'!$B$2,2)=4,WEEKDAY('Daily Schedule'!$B$2,2)=5,WEEKDAY('Daily Schedule'!$B$2,2)=7),IFERROR(1*'Daily Workforce'!$K48&gt;=3,FALSE()),IFERROR(1*'Daily Workforce'!$K48&gt;=2,FALSE())),IF(AND('Daily Schedule'!$A30&gt;=46,'Daily Schedule'!$A30&lt;=52),'Daily Workforce'!$M48="Y",IFERROR(1*'Daily Workforce'!$P48&gt;=2,FALSE()))))),1,0)</f>
        <v>1</v>
      </c>
      <c r="BH26" s="1" t="n">
        <f aca="false">IF(AND('Daily Workforce'!$N49="Y",'Daily Workforce'!$B49&lt;&gt;"",COUNTIF('Daily Schedule'!$F$5:$F29,'Daily Workforce'!$B49)=0,IF('Daily Schedule'!$A30=45,'Daily Workforce'!$J49="Y",IF(OR('Daily Schedule'!$A30=4,'Daily Schedule'!$A30=8),IF(OR(WEEKDAY('Daily Schedule'!$B$2,2)=1,WEEKDAY('Daily Schedule'!$B$2,2)=4,WEEKDAY('Daily Schedule'!$B$2,2)=5,WEEKDAY('Daily Schedule'!$B$2,2)=7),IFERROR(1*'Daily Workforce'!$K49&gt;=3,FALSE()),IFERROR(1*'Daily Workforce'!$K49&gt;=2,FALSE())),IF(AND('Daily Schedule'!$A30&gt;=46,'Daily Schedule'!$A30&lt;=52),'Daily Workforce'!$M49="Y",IFERROR(1*'Daily Workforce'!$P49&gt;=2,FALSE()))))),1,0)</f>
        <v>1</v>
      </c>
      <c r="BI26" s="1" t="n">
        <f aca="false">IF(AND('Daily Workforce'!$N50="Y",'Daily Workforce'!$B50&lt;&gt;"",COUNTIF('Daily Schedule'!$F$5:$F29,'Daily Workforce'!$B50)=0,IF('Daily Schedule'!$A30=45,'Daily Workforce'!$J50="Y",IF(OR('Daily Schedule'!$A30=4,'Daily Schedule'!$A30=8),IF(OR(WEEKDAY('Daily Schedule'!$B$2,2)=1,WEEKDAY('Daily Schedule'!$B$2,2)=4,WEEKDAY('Daily Schedule'!$B$2,2)=5,WEEKDAY('Daily Schedule'!$B$2,2)=7),IFERROR(1*'Daily Workforce'!$K50&gt;=3,FALSE()),IFERROR(1*'Daily Workforce'!$K50&gt;=2,FALSE())),IF(AND('Daily Schedule'!$A30&gt;=46,'Daily Schedule'!$A30&lt;=52),'Daily Workforce'!$M50="Y",IFERROR(1*'Daily Workforce'!$P50&gt;=2,FALSE()))))),1,0)</f>
        <v>0</v>
      </c>
      <c r="BJ26" s="1" t="n">
        <f aca="false">IF(AND('Daily Workforce'!$N51="Y",'Daily Workforce'!$B51&lt;&gt;"",COUNTIF('Daily Schedule'!$F$5:$F29,'Daily Workforce'!$B51)=0,IF('Daily Schedule'!$A30=45,'Daily Workforce'!$J51="Y",IF(OR('Daily Schedule'!$A30=4,'Daily Schedule'!$A30=8),IF(OR(WEEKDAY('Daily Schedule'!$B$2,2)=1,WEEKDAY('Daily Schedule'!$B$2,2)=4,WEEKDAY('Daily Schedule'!$B$2,2)=5,WEEKDAY('Daily Schedule'!$B$2,2)=7),IFERROR(1*'Daily Workforce'!$K51&gt;=3,FALSE()),IFERROR(1*'Daily Workforce'!$K51&gt;=2,FALSE())),IF(AND('Daily Schedule'!$A30&gt;=46,'Daily Schedule'!$A30&lt;=52),'Daily Workforce'!$M51="Y",IFERROR(1*'Daily Workforce'!$P51&gt;=2,FALSE()))))),1,0)</f>
        <v>1</v>
      </c>
      <c r="BK26" s="1" t="n">
        <f aca="false">IF(AND('Daily Workforce'!$N52="Y",'Daily Workforce'!$B52&lt;&gt;"",COUNTIF('Daily Schedule'!$F$5:$F29,'Daily Workforce'!$B52)=0,IF('Daily Schedule'!$A30=45,'Daily Workforce'!$J52="Y",IF(OR('Daily Schedule'!$A30=4,'Daily Schedule'!$A30=8),IF(OR(WEEKDAY('Daily Schedule'!$B$2,2)=1,WEEKDAY('Daily Schedule'!$B$2,2)=4,WEEKDAY('Daily Schedule'!$B$2,2)=5,WEEKDAY('Daily Schedule'!$B$2,2)=7),IFERROR(1*'Daily Workforce'!$K52&gt;=3,FALSE()),IFERROR(1*'Daily Workforce'!$K52&gt;=2,FALSE())),IF(AND('Daily Schedule'!$A30&gt;=46,'Daily Schedule'!$A30&lt;=52),'Daily Workforce'!$M52="Y",IFERROR(1*'Daily Workforce'!$P52&gt;=2,FALSE()))))),1,0)</f>
        <v>1</v>
      </c>
      <c r="BL26" s="1" t="n">
        <f aca="false">IF(AND('Daily Workforce'!$N53="Y",'Daily Workforce'!$B53&lt;&gt;"",COUNTIF('Daily Schedule'!$F$5:$F29,'Daily Workforce'!$B53)=0,IF('Daily Schedule'!$A30=45,'Daily Workforce'!$J53="Y",IF(OR('Daily Schedule'!$A30=4,'Daily Schedule'!$A30=8),IF(OR(WEEKDAY('Daily Schedule'!$B$2,2)=1,WEEKDAY('Daily Schedule'!$B$2,2)=4,WEEKDAY('Daily Schedule'!$B$2,2)=5,WEEKDAY('Daily Schedule'!$B$2,2)=7),IFERROR(1*'Daily Workforce'!$K53&gt;=3,FALSE()),IFERROR(1*'Daily Workforce'!$K53&gt;=2,FALSE())),IF(AND('Daily Schedule'!$A30&gt;=46,'Daily Schedule'!$A30&lt;=52),'Daily Workforce'!$M53="Y",IFERROR(1*'Daily Workforce'!$P53&gt;=2,FALSE()))))),1,0)</f>
        <v>1</v>
      </c>
      <c r="BM26" s="1" t="n">
        <f aca="false">IF(AND('Daily Workforce'!$N54="Y",'Daily Workforce'!$B54&lt;&gt;"",COUNTIF('Daily Schedule'!$F$5:$F29,'Daily Workforce'!$B54)=0,IF('Daily Schedule'!$A30=45,'Daily Workforce'!$J54="Y",IF(OR('Daily Schedule'!$A30=4,'Daily Schedule'!$A30=8),IF(OR(WEEKDAY('Daily Schedule'!$B$2,2)=1,WEEKDAY('Daily Schedule'!$B$2,2)=4,WEEKDAY('Daily Schedule'!$B$2,2)=5,WEEKDAY('Daily Schedule'!$B$2,2)=7),IFERROR(1*'Daily Workforce'!$K54&gt;=3,FALSE()),IFERROR(1*'Daily Workforce'!$K54&gt;=2,FALSE())),IF(AND('Daily Schedule'!$A30&gt;=46,'Daily Schedule'!$A30&lt;=52),'Daily Workforce'!$M54="Y",IFERROR(1*'Daily Workforce'!$P54&gt;=2,FALSE()))))),1,0)</f>
        <v>1</v>
      </c>
      <c r="BN26" s="1" t="n">
        <f aca="false">IF(AND('Daily Workforce'!$N55="Y",'Daily Workforce'!$B55&lt;&gt;"",COUNTIF('Daily Schedule'!$F$5:$F29,'Daily Workforce'!$B55)=0,IF('Daily Schedule'!$A30=45,'Daily Workforce'!$J55="Y",IF(OR('Daily Schedule'!$A30=4,'Daily Schedule'!$A30=8),IF(OR(WEEKDAY('Daily Schedule'!$B$2,2)=1,WEEKDAY('Daily Schedule'!$B$2,2)=4,WEEKDAY('Daily Schedule'!$B$2,2)=5,WEEKDAY('Daily Schedule'!$B$2,2)=7),IFERROR(1*'Daily Workforce'!$K55&gt;=3,FALSE()),IFERROR(1*'Daily Workforce'!$K55&gt;=2,FALSE())),IF(AND('Daily Schedule'!$A30&gt;=46,'Daily Schedule'!$A30&lt;=52),'Daily Workforce'!$M55="Y",IFERROR(1*'Daily Workforce'!$P55&gt;=2,FALSE()))))),1,0)</f>
        <v>1</v>
      </c>
      <c r="BO26" s="1" t="n">
        <f aca="false">IF(AND('Daily Workforce'!$N56="Y",'Daily Workforce'!$B56&lt;&gt;"",COUNTIF('Daily Schedule'!$F$5:$F29,'Daily Workforce'!$B56)=0,IF('Daily Schedule'!$A30=45,'Daily Workforce'!$J56="Y",IF(OR('Daily Schedule'!$A30=4,'Daily Schedule'!$A30=8),IF(OR(WEEKDAY('Daily Schedule'!$B$2,2)=1,WEEKDAY('Daily Schedule'!$B$2,2)=4,WEEKDAY('Daily Schedule'!$B$2,2)=5,WEEKDAY('Daily Schedule'!$B$2,2)=7),IFERROR(1*'Daily Workforce'!$K56&gt;=3,FALSE()),IFERROR(1*'Daily Workforce'!$K56&gt;=2,FALSE())),IF(AND('Daily Schedule'!$A30&gt;=46,'Daily Schedule'!$A30&lt;=52),'Daily Workforce'!$M56="Y",IFERROR(1*'Daily Workforce'!$P56&gt;=2,FALSE()))))),1,0)</f>
        <v>1</v>
      </c>
      <c r="BP26" s="1" t="n">
        <f aca="false">IF(AND('Daily Workforce'!$N57="Y",'Daily Workforce'!$B57&lt;&gt;"",COUNTIF('Daily Schedule'!$F$5:$F29,'Daily Workforce'!$B57)=0,IF('Daily Schedule'!$A30=45,'Daily Workforce'!$J57="Y",IF(OR('Daily Schedule'!$A30=4,'Daily Schedule'!$A30=8),IF(OR(WEEKDAY('Daily Schedule'!$B$2,2)=1,WEEKDAY('Daily Schedule'!$B$2,2)=4,WEEKDAY('Daily Schedule'!$B$2,2)=5,WEEKDAY('Daily Schedule'!$B$2,2)=7),IFERROR(1*'Daily Workforce'!$K57&gt;=3,FALSE()),IFERROR(1*'Daily Workforce'!$K57&gt;=2,FALSE())),IF(AND('Daily Schedule'!$A30&gt;=46,'Daily Schedule'!$A30&lt;=52),'Daily Workforce'!$M57="Y",IFERROR(1*'Daily Workforce'!$P57&gt;=2,FALSE()))))),1,0)</f>
        <v>0</v>
      </c>
      <c r="BQ26" s="1" t="n">
        <f aca="false">IF(AND('Daily Workforce'!$N58="Y",'Daily Workforce'!$B58&lt;&gt;"",COUNTIF('Daily Schedule'!$F$5:$F29,'Daily Workforce'!$B58)=0,IF('Daily Schedule'!$A30=45,'Daily Workforce'!$J58="Y",IF(OR('Daily Schedule'!$A30=4,'Daily Schedule'!$A30=8),IF(OR(WEEKDAY('Daily Schedule'!$B$2,2)=1,WEEKDAY('Daily Schedule'!$B$2,2)=4,WEEKDAY('Daily Schedule'!$B$2,2)=5,WEEKDAY('Daily Schedule'!$B$2,2)=7),IFERROR(1*'Daily Workforce'!$K58&gt;=3,FALSE()),IFERROR(1*'Daily Workforce'!$K58&gt;=2,FALSE())),IF(AND('Daily Schedule'!$A30&gt;=46,'Daily Schedule'!$A30&lt;=52),'Daily Workforce'!$M58="Y",IFERROR(1*'Daily Workforce'!$P58&gt;=2,FALSE()))))),1,0)</f>
        <v>1</v>
      </c>
      <c r="BR26" s="1" t="n">
        <f aca="false">IF(AND('Daily Workforce'!$N59="Y",'Daily Workforce'!$B59&lt;&gt;"",COUNTIF('Daily Schedule'!$F$5:$F29,'Daily Workforce'!$B59)=0,IF('Daily Schedule'!$A30=45,'Daily Workforce'!$J59="Y",IF(OR('Daily Schedule'!$A30=4,'Daily Schedule'!$A30=8),IF(OR(WEEKDAY('Daily Schedule'!$B$2,2)=1,WEEKDAY('Daily Schedule'!$B$2,2)=4,WEEKDAY('Daily Schedule'!$B$2,2)=5,WEEKDAY('Daily Schedule'!$B$2,2)=7),IFERROR(1*'Daily Workforce'!$K59&gt;=3,FALSE()),IFERROR(1*'Daily Workforce'!$K59&gt;=2,FALSE())),IF(AND('Daily Schedule'!$A30&gt;=46,'Daily Schedule'!$A30&lt;=52),'Daily Workforce'!$M59="Y",IFERROR(1*'Daily Workforce'!$P59&gt;=2,FALSE()))))),1,0)</f>
        <v>1</v>
      </c>
      <c r="BS26" s="1" t="n">
        <f aca="false">IF(AND('Daily Workforce'!$N60="Y",'Daily Workforce'!$B60&lt;&gt;"",COUNTIF('Daily Schedule'!$F$5:$F29,'Daily Workforce'!$B60)=0,IF('Daily Schedule'!$A30=45,'Daily Workforce'!$J60="Y",IF(OR('Daily Schedule'!$A30=4,'Daily Schedule'!$A30=8),IF(OR(WEEKDAY('Daily Schedule'!$B$2,2)=1,WEEKDAY('Daily Schedule'!$B$2,2)=4,WEEKDAY('Daily Schedule'!$B$2,2)=5,WEEKDAY('Daily Schedule'!$B$2,2)=7),IFERROR(1*'Daily Workforce'!$K60&gt;=3,FALSE()),IFERROR(1*'Daily Workforce'!$K60&gt;=2,FALSE())),IF(AND('Daily Schedule'!$A30&gt;=46,'Daily Schedule'!$A30&lt;=52),'Daily Workforce'!$M60="Y",IFERROR(1*'Daily Workforce'!$P60&gt;=2,FALSE()))))),1,0)</f>
        <v>1</v>
      </c>
      <c r="BT26" s="1" t="n">
        <f aca="false">IF(AND('Daily Workforce'!$N61="Y",'Daily Workforce'!$B61&lt;&gt;"",COUNTIF('Daily Schedule'!$F$5:$F29,'Daily Workforce'!$B61)=0,IF('Daily Schedule'!$A30=45,'Daily Workforce'!$J61="Y",IF(OR('Daily Schedule'!$A30=4,'Daily Schedule'!$A30=8),IF(OR(WEEKDAY('Daily Schedule'!$B$2,2)=1,WEEKDAY('Daily Schedule'!$B$2,2)=4,WEEKDAY('Daily Schedule'!$B$2,2)=5,WEEKDAY('Daily Schedule'!$B$2,2)=7),IFERROR(1*'Daily Workforce'!$K61&gt;=3,FALSE()),IFERROR(1*'Daily Workforce'!$K61&gt;=2,FALSE())),IF(AND('Daily Schedule'!$A30&gt;=46,'Daily Schedule'!$A30&lt;=52),'Daily Workforce'!$M61="Y",IFERROR(1*'Daily Workforce'!$P61&gt;=2,FALSE()))))),1,0)</f>
        <v>0</v>
      </c>
      <c r="BU26" s="1" t="n">
        <f aca="false">IF(AND('Daily Workforce'!$N62="Y",'Daily Workforce'!$B62&lt;&gt;"",COUNTIF('Daily Schedule'!$F$5:$F29,'Daily Workforce'!$B62)=0,IF('Daily Schedule'!$A30=45,'Daily Workforce'!$J62="Y",IF(OR('Daily Schedule'!$A30=4,'Daily Schedule'!$A30=8),IF(OR(WEEKDAY('Daily Schedule'!$B$2,2)=1,WEEKDAY('Daily Schedule'!$B$2,2)=4,WEEKDAY('Daily Schedule'!$B$2,2)=5,WEEKDAY('Daily Schedule'!$B$2,2)=7),IFERROR(1*'Daily Workforce'!$K62&gt;=3,FALSE()),IFERROR(1*'Daily Workforce'!$K62&gt;=2,FALSE())),IF(AND('Daily Schedule'!$A30&gt;=46,'Daily Schedule'!$A30&lt;=52),'Daily Workforce'!$M62="Y",IFERROR(1*'Daily Workforce'!$P62&gt;=2,FALSE()))))),1,0)</f>
        <v>1</v>
      </c>
      <c r="BV26" s="1" t="n">
        <f aca="false">IF(AND('Daily Workforce'!$N63="Y",'Daily Workforce'!$B63&lt;&gt;"",COUNTIF('Daily Schedule'!$F$5:$F29,'Daily Workforce'!$B63)=0,IF('Daily Schedule'!$A30=45,'Daily Workforce'!$J63="Y",IF(OR('Daily Schedule'!$A30=4,'Daily Schedule'!$A30=8),IF(OR(WEEKDAY('Daily Schedule'!$B$2,2)=1,WEEKDAY('Daily Schedule'!$B$2,2)=4,WEEKDAY('Daily Schedule'!$B$2,2)=5,WEEKDAY('Daily Schedule'!$B$2,2)=7),IFERROR(1*'Daily Workforce'!$K63&gt;=3,FALSE()),IFERROR(1*'Daily Workforce'!$K63&gt;=2,FALSE())),IF(AND('Daily Schedule'!$A30&gt;=46,'Daily Schedule'!$A30&lt;=52),'Daily Workforce'!$M63="Y",IFERROR(1*'Daily Workforce'!$P63&gt;=2,FALSE()))))),1,0)</f>
        <v>1</v>
      </c>
      <c r="BW26" s="1" t="n">
        <f aca="false">IF(AND('Daily Workforce'!$N64="Y",'Daily Workforce'!$B64&lt;&gt;"",COUNTIF('Daily Schedule'!$F$5:$F29,'Daily Workforce'!$B64)=0,IF('Daily Schedule'!$A30=45,'Daily Workforce'!$J64="Y",IF(OR('Daily Schedule'!$A30=4,'Daily Schedule'!$A30=8),IF(OR(WEEKDAY('Daily Schedule'!$B$2,2)=1,WEEKDAY('Daily Schedule'!$B$2,2)=4,WEEKDAY('Daily Schedule'!$B$2,2)=5,WEEKDAY('Daily Schedule'!$B$2,2)=7),IFERROR(1*'Daily Workforce'!$K64&gt;=3,FALSE()),IFERROR(1*'Daily Workforce'!$K64&gt;=2,FALSE())),IF(AND('Daily Schedule'!$A30&gt;=46,'Daily Schedule'!$A30&lt;=52),'Daily Workforce'!$M64="Y",IFERROR(1*'Daily Workforce'!$P64&gt;=2,FALSE()))))),1,0)</f>
        <v>1</v>
      </c>
      <c r="BX26" s="1" t="n">
        <f aca="false">IF(AND('Daily Workforce'!$N65="Y",'Daily Workforce'!$B65&lt;&gt;"",COUNTIF('Daily Schedule'!$F$5:$F29,'Daily Workforce'!$B65)=0,IF('Daily Schedule'!$A30=45,'Daily Workforce'!$J65="Y",IF(OR('Daily Schedule'!$A30=4,'Daily Schedule'!$A30=8),IF(OR(WEEKDAY('Daily Schedule'!$B$2,2)=1,WEEKDAY('Daily Schedule'!$B$2,2)=4,WEEKDAY('Daily Schedule'!$B$2,2)=5,WEEKDAY('Daily Schedule'!$B$2,2)=7),IFERROR(1*'Daily Workforce'!$K65&gt;=3,FALSE()),IFERROR(1*'Daily Workforce'!$K65&gt;=2,FALSE())),IF(AND('Daily Schedule'!$A30&gt;=46,'Daily Schedule'!$A30&lt;=52),'Daily Workforce'!$M65="Y",IFERROR(1*'Daily Workforce'!$P65&gt;=2,FALSE()))))),1,0)</f>
        <v>1</v>
      </c>
      <c r="BY26" s="1" t="n">
        <f aca="false">IF(AND('Daily Workforce'!$N66="Y",'Daily Workforce'!$B66&lt;&gt;"",COUNTIF('Daily Schedule'!$F$5:$F29,'Daily Workforce'!$B66)=0,IF('Daily Schedule'!$A30=45,'Daily Workforce'!$J66="Y",IF(OR('Daily Schedule'!$A30=4,'Daily Schedule'!$A30=8),IF(OR(WEEKDAY('Daily Schedule'!$B$2,2)=1,WEEKDAY('Daily Schedule'!$B$2,2)=4,WEEKDAY('Daily Schedule'!$B$2,2)=5,WEEKDAY('Daily Schedule'!$B$2,2)=7),IFERROR(1*'Daily Workforce'!$K66&gt;=3,FALSE()),IFERROR(1*'Daily Workforce'!$K66&gt;=2,FALSE())),IF(AND('Daily Schedule'!$A30&gt;=46,'Daily Schedule'!$A30&lt;=52),'Daily Workforce'!$M66="Y",IFERROR(1*'Daily Workforce'!$P66&gt;=2,FALSE()))))),1,0)</f>
        <v>1</v>
      </c>
      <c r="BZ26" s="1" t="n">
        <f aca="false">IF(AND('Daily Workforce'!$N67="Y",'Daily Workforce'!$B67&lt;&gt;"",COUNTIF('Daily Schedule'!$F$5:$F29,'Daily Workforce'!$B67)=0,IF('Daily Schedule'!$A30=45,'Daily Workforce'!$J67="Y",IF(OR('Daily Schedule'!$A30=4,'Daily Schedule'!$A30=8),IF(OR(WEEKDAY('Daily Schedule'!$B$2,2)=1,WEEKDAY('Daily Schedule'!$B$2,2)=4,WEEKDAY('Daily Schedule'!$B$2,2)=5,WEEKDAY('Daily Schedule'!$B$2,2)=7),IFERROR(1*'Daily Workforce'!$K67&gt;=3,FALSE()),IFERROR(1*'Daily Workforce'!$K67&gt;=2,FALSE())),IF(AND('Daily Schedule'!$A30&gt;=46,'Daily Schedule'!$A30&lt;=52),'Daily Workforce'!$M67="Y",IFERROR(1*'Daily Workforce'!$P67&gt;=2,FALSE()))))),1,0)</f>
        <v>1</v>
      </c>
      <c r="CA26" s="1" t="n">
        <f aca="false">IF(AND('Daily Workforce'!$N68="Y",'Daily Workforce'!$B68&lt;&gt;"",COUNTIF('Daily Schedule'!$F$5:$F29,'Daily Workforce'!$B68)=0,IF('Daily Schedule'!$A30=45,'Daily Workforce'!$J68="Y",IF(OR('Daily Schedule'!$A30=4,'Daily Schedule'!$A30=8),IF(OR(WEEKDAY('Daily Schedule'!$B$2,2)=1,WEEKDAY('Daily Schedule'!$B$2,2)=4,WEEKDAY('Daily Schedule'!$B$2,2)=5,WEEKDAY('Daily Schedule'!$B$2,2)=7),IFERROR(1*'Daily Workforce'!$K68&gt;=3,FALSE()),IFERROR(1*'Daily Workforce'!$K68&gt;=2,FALSE())),IF(AND('Daily Schedule'!$A30&gt;=46,'Daily Schedule'!$A30&lt;=52),'Daily Workforce'!$M68="Y",IFERROR(1*'Daily Workforce'!$P68&gt;=2,FALSE()))))),1,0)</f>
        <v>1</v>
      </c>
      <c r="CB26" s="1" t="n">
        <f aca="false">IF(AND('Daily Workforce'!$N69="Y",'Daily Workforce'!$B69&lt;&gt;"",COUNTIF('Daily Schedule'!$F$5:$F29,'Daily Workforce'!$B69)=0,IF('Daily Schedule'!$A30=45,'Daily Workforce'!$J69="Y",IF(OR('Daily Schedule'!$A30=4,'Daily Schedule'!$A30=8),IF(OR(WEEKDAY('Daily Schedule'!$B$2,2)=1,WEEKDAY('Daily Schedule'!$B$2,2)=4,WEEKDAY('Daily Schedule'!$B$2,2)=5,WEEKDAY('Daily Schedule'!$B$2,2)=7),IFERROR(1*'Daily Workforce'!$K69&gt;=3,FALSE()),IFERROR(1*'Daily Workforce'!$K69&gt;=2,FALSE())),IF(AND('Daily Schedule'!$A30&gt;=46,'Daily Schedule'!$A30&lt;=52),'Daily Workforce'!$M69="Y",IFERROR(1*'Daily Workforce'!$P69&gt;=2,FALSE()))))),1,0)</f>
        <v>1</v>
      </c>
      <c r="CC26" s="1" t="n">
        <f aca="false">IF(AND('Daily Workforce'!$N70="Y",'Daily Workforce'!$B70&lt;&gt;"",COUNTIF('Daily Schedule'!$F$5:$F29,'Daily Workforce'!$B70)=0,IF('Daily Schedule'!$A30=45,'Daily Workforce'!$J70="Y",IF(OR('Daily Schedule'!$A30=4,'Daily Schedule'!$A30=8),IF(OR(WEEKDAY('Daily Schedule'!$B$2,2)=1,WEEKDAY('Daily Schedule'!$B$2,2)=4,WEEKDAY('Daily Schedule'!$B$2,2)=5,WEEKDAY('Daily Schedule'!$B$2,2)=7),IFERROR(1*'Daily Workforce'!$K70&gt;=3,FALSE()),IFERROR(1*'Daily Workforce'!$K70&gt;=2,FALSE())),IF(AND('Daily Schedule'!$A30&gt;=46,'Daily Schedule'!$A30&lt;=52),'Daily Workforce'!$M70="Y",IFERROR(1*'Daily Workforce'!$P70&gt;=2,FALSE()))))),1,0)</f>
        <v>1</v>
      </c>
      <c r="CD26" s="1" t="n">
        <f aca="false">IF(AND('Daily Workforce'!$N71="Y",'Daily Workforce'!$B71&lt;&gt;"",COUNTIF('Daily Schedule'!$F$5:$F29,'Daily Workforce'!$B71)=0,IF('Daily Schedule'!$A30=45,'Daily Workforce'!$J71="Y",IF(OR('Daily Schedule'!$A30=4,'Daily Schedule'!$A30=8),IF(OR(WEEKDAY('Daily Schedule'!$B$2,2)=1,WEEKDAY('Daily Schedule'!$B$2,2)=4,WEEKDAY('Daily Schedule'!$B$2,2)=5,WEEKDAY('Daily Schedule'!$B$2,2)=7),IFERROR(1*'Daily Workforce'!$K71&gt;=3,FALSE()),IFERROR(1*'Daily Workforce'!$K71&gt;=2,FALSE())),IF(AND('Daily Schedule'!$A30&gt;=46,'Daily Schedule'!$A30&lt;=52),'Daily Workforce'!$M71="Y",IFERROR(1*'Daily Workforce'!$P71&gt;=2,FALSE()))))),1,0)</f>
        <v>1</v>
      </c>
      <c r="CE26" s="1" t="n">
        <f aca="false">IF(AND('Daily Workforce'!$N72="Y",'Daily Workforce'!$B72&lt;&gt;"",COUNTIF('Daily Schedule'!$F$5:$F29,'Daily Workforce'!$B72)=0,IF('Daily Schedule'!$A30=45,'Daily Workforce'!$J72="Y",IF(OR('Daily Schedule'!$A30=4,'Daily Schedule'!$A30=8),IF(OR(WEEKDAY('Daily Schedule'!$B$2,2)=1,WEEKDAY('Daily Schedule'!$B$2,2)=4,WEEKDAY('Daily Schedule'!$B$2,2)=5,WEEKDAY('Daily Schedule'!$B$2,2)=7),IFERROR(1*'Daily Workforce'!$K72&gt;=3,FALSE()),IFERROR(1*'Daily Workforce'!$K72&gt;=2,FALSE())),IF(AND('Daily Schedule'!$A30&gt;=46,'Daily Schedule'!$A30&lt;=52),'Daily Workforce'!$M72="Y",IFERROR(1*'Daily Workforce'!$P72&gt;=2,FALSE()))))),1,0)</f>
        <v>1</v>
      </c>
      <c r="CF26" s="1" t="n">
        <f aca="false">IF(AND('Daily Workforce'!$N73="Y",'Daily Workforce'!$B73&lt;&gt;"",COUNTIF('Daily Schedule'!$F$5:$F29,'Daily Workforce'!$B73)=0,IF('Daily Schedule'!$A30=45,'Daily Workforce'!$J73="Y",IF(OR('Daily Schedule'!$A30=4,'Daily Schedule'!$A30=8),IF(OR(WEEKDAY('Daily Schedule'!$B$2,2)=1,WEEKDAY('Daily Schedule'!$B$2,2)=4,WEEKDAY('Daily Schedule'!$B$2,2)=5,WEEKDAY('Daily Schedule'!$B$2,2)=7),IFERROR(1*'Daily Workforce'!$K73&gt;=3,FALSE()),IFERROR(1*'Daily Workforce'!$K73&gt;=2,FALSE())),IF(AND('Daily Schedule'!$A30&gt;=46,'Daily Schedule'!$A30&lt;=52),'Daily Workforce'!$M73="Y",IFERROR(1*'Daily Workforce'!$P73&gt;=2,FALSE()))))),1,0)</f>
        <v>1</v>
      </c>
      <c r="CG26" s="1" t="n">
        <f aca="false">IF(AND('Daily Workforce'!$N74="Y",'Daily Workforce'!$B74&lt;&gt;"",COUNTIF('Daily Schedule'!$F$5:$F29,'Daily Workforce'!$B74)=0,IF('Daily Schedule'!$A30=45,'Daily Workforce'!$J74="Y",IF(OR('Daily Schedule'!$A30=4,'Daily Schedule'!$A30=8),IF(OR(WEEKDAY('Daily Schedule'!$B$2,2)=1,WEEKDAY('Daily Schedule'!$B$2,2)=4,WEEKDAY('Daily Schedule'!$B$2,2)=5,WEEKDAY('Daily Schedule'!$B$2,2)=7),IFERROR(1*'Daily Workforce'!$K74&gt;=3,FALSE()),IFERROR(1*'Daily Workforce'!$K74&gt;=2,FALSE())),IF(AND('Daily Schedule'!$A30&gt;=46,'Daily Schedule'!$A30&lt;=52),'Daily Workforce'!$M74="Y",IFERROR(1*'Daily Workforce'!$P74&gt;=2,FALSE()))))),1,0)</f>
        <v>1</v>
      </c>
      <c r="CH26" s="1" t="n">
        <f aca="false">IF(AND('Daily Workforce'!$N75="Y",'Daily Workforce'!$B75&lt;&gt;"",COUNTIF('Daily Schedule'!$F$5:$F29,'Daily Workforce'!$B75)=0,IF('Daily Schedule'!$A30=45,'Daily Workforce'!$J75="Y",IF(OR('Daily Schedule'!$A30=4,'Daily Schedule'!$A30=8),IF(OR(WEEKDAY('Daily Schedule'!$B$2,2)=1,WEEKDAY('Daily Schedule'!$B$2,2)=4,WEEKDAY('Daily Schedule'!$B$2,2)=5,WEEKDAY('Daily Schedule'!$B$2,2)=7),IFERROR(1*'Daily Workforce'!$K75&gt;=3,FALSE()),IFERROR(1*'Daily Workforce'!$K75&gt;=2,FALSE())),IF(AND('Daily Schedule'!$A30&gt;=46,'Daily Schedule'!$A30&lt;=52),'Daily Workforce'!$M75="Y",IFERROR(1*'Daily Workforce'!$P75&gt;=2,FALSE()))))),1,0)</f>
        <v>1</v>
      </c>
      <c r="CI26" s="1" t="n">
        <f aca="false">IF(AND('Daily Workforce'!$N76="Y",'Daily Workforce'!$B76&lt;&gt;"",COUNTIF('Daily Schedule'!$F$5:$F29,'Daily Workforce'!$B76)=0,IF('Daily Schedule'!$A30=45,'Daily Workforce'!$J76="Y",IF(OR('Daily Schedule'!$A30=4,'Daily Schedule'!$A30=8),IF(OR(WEEKDAY('Daily Schedule'!$B$2,2)=1,WEEKDAY('Daily Schedule'!$B$2,2)=4,WEEKDAY('Daily Schedule'!$B$2,2)=5,WEEKDAY('Daily Schedule'!$B$2,2)=7),IFERROR(1*'Daily Workforce'!$K76&gt;=3,FALSE()),IFERROR(1*'Daily Workforce'!$K76&gt;=2,FALSE())),IF(AND('Daily Schedule'!$A30&gt;=46,'Daily Schedule'!$A30&lt;=52),'Daily Workforce'!$M76="Y",IFERROR(1*'Daily Workforce'!$P76&gt;=2,FALSE()))))),1,0)</f>
        <v>1</v>
      </c>
      <c r="CJ26" s="1" t="n">
        <f aca="false">IF(AND('Daily Workforce'!$N77="Y",'Daily Workforce'!$B77&lt;&gt;"",COUNTIF('Daily Schedule'!$F$5:$F29,'Daily Workforce'!$B77)=0,IF('Daily Schedule'!$A30=45,'Daily Workforce'!$J77="Y",IF(OR('Daily Schedule'!$A30=4,'Daily Schedule'!$A30=8),IF(OR(WEEKDAY('Daily Schedule'!$B$2,2)=1,WEEKDAY('Daily Schedule'!$B$2,2)=4,WEEKDAY('Daily Schedule'!$B$2,2)=5,WEEKDAY('Daily Schedule'!$B$2,2)=7),IFERROR(1*'Daily Workforce'!$K77&gt;=3,FALSE()),IFERROR(1*'Daily Workforce'!$K77&gt;=2,FALSE())),IF(AND('Daily Schedule'!$A30&gt;=46,'Daily Schedule'!$A30&lt;=52),'Daily Workforce'!$M77="Y",IFERROR(1*'Daily Workforce'!$P77&gt;=2,FALSE()))))),1,0)</f>
        <v>1</v>
      </c>
      <c r="CK26" s="1" t="n">
        <f aca="false">IF(AND('Daily Workforce'!$N78="Y",'Daily Workforce'!$B78&lt;&gt;"",COUNTIF('Daily Schedule'!$F$5:$F29,'Daily Workforce'!$B78)=0,IF('Daily Schedule'!$A30=45,'Daily Workforce'!$J78="Y",IF(OR('Daily Schedule'!$A30=4,'Daily Schedule'!$A30=8),IF(OR(WEEKDAY('Daily Schedule'!$B$2,2)=1,WEEKDAY('Daily Schedule'!$B$2,2)=4,WEEKDAY('Daily Schedule'!$B$2,2)=5,WEEKDAY('Daily Schedule'!$B$2,2)=7),IFERROR(1*'Daily Workforce'!$K78&gt;=3,FALSE()),IFERROR(1*'Daily Workforce'!$K78&gt;=2,FALSE())),IF(AND('Daily Schedule'!$A30&gt;=46,'Daily Schedule'!$A30&lt;=52),'Daily Workforce'!$M78="Y",IFERROR(1*'Daily Workforce'!$P78&gt;=2,FALSE()))))),1,0)</f>
        <v>1</v>
      </c>
      <c r="CL26" s="1" t="n">
        <f aca="false">IF(AND('Daily Workforce'!$N79="Y",'Daily Workforce'!$B79&lt;&gt;"",COUNTIF('Daily Schedule'!$F$5:$F29,'Daily Workforce'!$B79)=0,IF('Daily Schedule'!$A30=45,'Daily Workforce'!$J79="Y",IF(OR('Daily Schedule'!$A30=4,'Daily Schedule'!$A30=8),IF(OR(WEEKDAY('Daily Schedule'!$B$2,2)=1,WEEKDAY('Daily Schedule'!$B$2,2)=4,WEEKDAY('Daily Schedule'!$B$2,2)=5,WEEKDAY('Daily Schedule'!$B$2,2)=7),IFERROR(1*'Daily Workforce'!$K79&gt;=3,FALSE()),IFERROR(1*'Daily Workforce'!$K79&gt;=2,FALSE())),IF(AND('Daily Schedule'!$A30&gt;=46,'Daily Schedule'!$A30&lt;=52),'Daily Workforce'!$M79="Y",IFERROR(1*'Daily Workforce'!$P79&gt;=2,FALSE()))))),1,0)</f>
        <v>1</v>
      </c>
      <c r="CM26" s="1" t="n">
        <f aca="false">IF(AND('Daily Workforce'!$N80="Y",'Daily Workforce'!$B80&lt;&gt;"",COUNTIF('Daily Schedule'!$F$5:$F29,'Daily Workforce'!$B80)=0,IF('Daily Schedule'!$A30=45,'Daily Workforce'!$J80="Y",IF(OR('Daily Schedule'!$A30=4,'Daily Schedule'!$A30=8),IF(OR(WEEKDAY('Daily Schedule'!$B$2,2)=1,WEEKDAY('Daily Schedule'!$B$2,2)=4,WEEKDAY('Daily Schedule'!$B$2,2)=5,WEEKDAY('Daily Schedule'!$B$2,2)=7),IFERROR(1*'Daily Workforce'!$K80&gt;=3,FALSE()),IFERROR(1*'Daily Workforce'!$K80&gt;=2,FALSE())),IF(AND('Daily Schedule'!$A30&gt;=46,'Daily Schedule'!$A30&lt;=52),'Daily Workforce'!$M80="Y",IFERROR(1*'Daily Workforce'!$P80&gt;=2,FALSE()))))),1,0)</f>
        <v>1</v>
      </c>
      <c r="CN26" s="1" t="n">
        <f aca="false">IF(AND('Daily Workforce'!$N81="Y",'Daily Workforce'!$B81&lt;&gt;"",COUNTIF('Daily Schedule'!$F$5:$F29,'Daily Workforce'!$B81)=0,IF('Daily Schedule'!$A30=45,'Daily Workforce'!$J81="Y",IF(OR('Daily Schedule'!$A30=4,'Daily Schedule'!$A30=8),IF(OR(WEEKDAY('Daily Schedule'!$B$2,2)=1,WEEKDAY('Daily Schedule'!$B$2,2)=4,WEEKDAY('Daily Schedule'!$B$2,2)=5,WEEKDAY('Daily Schedule'!$B$2,2)=7),IFERROR(1*'Daily Workforce'!$K81&gt;=3,FALSE()),IFERROR(1*'Daily Workforce'!$K81&gt;=2,FALSE())),IF(AND('Daily Schedule'!$A30&gt;=46,'Daily Schedule'!$A30&lt;=52),'Daily Workforce'!$M81="Y",IFERROR(1*'Daily Workforce'!$P81&gt;=2,FALSE()))))),1,0)</f>
        <v>1</v>
      </c>
      <c r="CO26" s="1" t="n">
        <f aca="false">IF(AND('Daily Workforce'!$N82="Y",'Daily Workforce'!$B82&lt;&gt;"",COUNTIF('Daily Schedule'!$F$5:$F29,'Daily Workforce'!$B82)=0,IF('Daily Schedule'!$A30=45,'Daily Workforce'!$J82="Y",IF(OR('Daily Schedule'!$A30=4,'Daily Schedule'!$A30=8),IF(OR(WEEKDAY('Daily Schedule'!$B$2,2)=1,WEEKDAY('Daily Schedule'!$B$2,2)=4,WEEKDAY('Daily Schedule'!$B$2,2)=5,WEEKDAY('Daily Schedule'!$B$2,2)=7),IFERROR(1*'Daily Workforce'!$K82&gt;=3,FALSE()),IFERROR(1*'Daily Workforce'!$K82&gt;=2,FALSE())),IF(AND('Daily Schedule'!$A30&gt;=46,'Daily Schedule'!$A30&lt;=52),'Daily Workforce'!$M82="Y",IFERROR(1*'Daily Workforce'!$P82&gt;=2,FALSE()))))),1,0)</f>
        <v>1</v>
      </c>
      <c r="CP26" s="1" t="n">
        <f aca="false">IF(AND('Daily Workforce'!$N83="Y",'Daily Workforce'!$B83&lt;&gt;"",COUNTIF('Daily Schedule'!$F$5:$F29,'Daily Workforce'!$B83)=0,IF('Daily Schedule'!$A30=45,'Daily Workforce'!$J83="Y",IF(OR('Daily Schedule'!$A30=4,'Daily Schedule'!$A30=8),IF(OR(WEEKDAY('Daily Schedule'!$B$2,2)=1,WEEKDAY('Daily Schedule'!$B$2,2)=4,WEEKDAY('Daily Schedule'!$B$2,2)=5,WEEKDAY('Daily Schedule'!$B$2,2)=7),IFERROR(1*'Daily Workforce'!$K83&gt;=3,FALSE()),IFERROR(1*'Daily Workforce'!$K83&gt;=2,FALSE())),IF(AND('Daily Schedule'!$A30&gt;=46,'Daily Schedule'!$A30&lt;=52),'Daily Workforce'!$M83="Y",IFERROR(1*'Daily Workforce'!$P83&gt;=2,FALSE()))))),1,0)</f>
        <v>0</v>
      </c>
      <c r="CQ26" s="1" t="n">
        <f aca="false">IF(AND('Daily Workforce'!$N84="Y",'Daily Workforce'!$B84&lt;&gt;"",COUNTIF('Daily Schedule'!$F$5:$F29,'Daily Workforce'!$B84)=0,IF('Daily Schedule'!$A30=45,'Daily Workforce'!$J84="Y",IF(OR('Daily Schedule'!$A30=4,'Daily Schedule'!$A30=8),IF(OR(WEEKDAY('Daily Schedule'!$B$2,2)=1,WEEKDAY('Daily Schedule'!$B$2,2)=4,WEEKDAY('Daily Schedule'!$B$2,2)=5,WEEKDAY('Daily Schedule'!$B$2,2)=7),IFERROR(1*'Daily Workforce'!$K84&gt;=3,FALSE()),IFERROR(1*'Daily Workforce'!$K84&gt;=2,FALSE())),IF(AND('Daily Schedule'!$A30&gt;=46,'Daily Schedule'!$A30&lt;=52),'Daily Workforce'!$M84="Y",IFERROR(1*'Daily Workforce'!$P84&gt;=2,FALSE()))))),1,0)</f>
        <v>1</v>
      </c>
      <c r="CR26" s="1" t="n">
        <f aca="false">IF(AND('Daily Workforce'!$N85="Y",'Daily Workforce'!$B85&lt;&gt;"",COUNTIF('Daily Schedule'!$F$5:$F29,'Daily Workforce'!$B85)=0,IF('Daily Schedule'!$A30=45,'Daily Workforce'!$J85="Y",IF(OR('Daily Schedule'!$A30=4,'Daily Schedule'!$A30=8),IF(OR(WEEKDAY('Daily Schedule'!$B$2,2)=1,WEEKDAY('Daily Schedule'!$B$2,2)=4,WEEKDAY('Daily Schedule'!$B$2,2)=5,WEEKDAY('Daily Schedule'!$B$2,2)=7),IFERROR(1*'Daily Workforce'!$K85&gt;=3,FALSE()),IFERROR(1*'Daily Workforce'!$K85&gt;=2,FALSE())),IF(AND('Daily Schedule'!$A30&gt;=46,'Daily Schedule'!$A30&lt;=52),'Daily Workforce'!$M85="Y",IFERROR(1*'Daily Workforce'!$P85&gt;=2,FALSE()))))),1,0)</f>
        <v>0</v>
      </c>
      <c r="CS26" s="1" t="n">
        <f aca="false">IF(AND('Daily Workforce'!$N86="Y",'Daily Workforce'!$B86&lt;&gt;"",COUNTIF('Daily Schedule'!$F$5:$F29,'Daily Workforce'!$B86)=0,IF('Daily Schedule'!$A30=45,'Daily Workforce'!$J86="Y",IF(OR('Daily Schedule'!$A30=4,'Daily Schedule'!$A30=8),IF(OR(WEEKDAY('Daily Schedule'!$B$2,2)=1,WEEKDAY('Daily Schedule'!$B$2,2)=4,WEEKDAY('Daily Schedule'!$B$2,2)=5,WEEKDAY('Daily Schedule'!$B$2,2)=7),IFERROR(1*'Daily Workforce'!$K86&gt;=3,FALSE()),IFERROR(1*'Daily Workforce'!$K86&gt;=2,FALSE())),IF(AND('Daily Schedule'!$A30&gt;=46,'Daily Schedule'!$A30&lt;=52),'Daily Workforce'!$M86="Y",IFERROR(1*'Daily Workforce'!$P86&gt;=2,FALSE()))))),1,0)</f>
        <v>1</v>
      </c>
      <c r="CT26" s="1" t="n">
        <f aca="false">IF(AND('Daily Workforce'!$N87="Y",'Daily Workforce'!$B87&lt;&gt;"",COUNTIF('Daily Schedule'!$F$5:$F29,'Daily Workforce'!$B87)=0,IF('Daily Schedule'!$A30=45,'Daily Workforce'!$J87="Y",IF(OR('Daily Schedule'!$A30=4,'Daily Schedule'!$A30=8),IF(OR(WEEKDAY('Daily Schedule'!$B$2,2)=1,WEEKDAY('Daily Schedule'!$B$2,2)=4,WEEKDAY('Daily Schedule'!$B$2,2)=5,WEEKDAY('Daily Schedule'!$B$2,2)=7),IFERROR(1*'Daily Workforce'!$K87&gt;=3,FALSE()),IFERROR(1*'Daily Workforce'!$K87&gt;=2,FALSE())),IF(AND('Daily Schedule'!$A30&gt;=46,'Daily Schedule'!$A30&lt;=52),'Daily Workforce'!$M87="Y",IFERROR(1*'Daily Workforce'!$P87&gt;=2,FALSE()))))),1,0)</f>
        <v>1</v>
      </c>
      <c r="CU26" s="1" t="n">
        <f aca="false">IF(AND('Daily Workforce'!$N88="Y",'Daily Workforce'!$B88&lt;&gt;"",COUNTIF('Daily Schedule'!$F$5:$F29,'Daily Workforce'!$B88)=0,IF('Daily Schedule'!$A30=45,'Daily Workforce'!$J88="Y",IF(OR('Daily Schedule'!$A30=4,'Daily Schedule'!$A30=8),IF(OR(WEEKDAY('Daily Schedule'!$B$2,2)=1,WEEKDAY('Daily Schedule'!$B$2,2)=4,WEEKDAY('Daily Schedule'!$B$2,2)=5,WEEKDAY('Daily Schedule'!$B$2,2)=7),IFERROR(1*'Daily Workforce'!$K88&gt;=3,FALSE()),IFERROR(1*'Daily Workforce'!$K88&gt;=2,FALSE())),IF(AND('Daily Schedule'!$A30&gt;=46,'Daily Schedule'!$A30&lt;=52),'Daily Workforce'!$M88="Y",IFERROR(1*'Daily Workforce'!$P88&gt;=2,FALSE()))))),1,0)</f>
        <v>1</v>
      </c>
      <c r="CV26" s="1" t="n">
        <f aca="false">IF(AND('Daily Workforce'!$N89="Y",'Daily Workforce'!$B89&lt;&gt;"",COUNTIF('Daily Schedule'!$F$5:$F29,'Daily Workforce'!$B89)=0,IF('Daily Schedule'!$A30=45,'Daily Workforce'!$J89="Y",IF(OR('Daily Schedule'!$A30=4,'Daily Schedule'!$A30=8),IF(OR(WEEKDAY('Daily Schedule'!$B$2,2)=1,WEEKDAY('Daily Schedule'!$B$2,2)=4,WEEKDAY('Daily Schedule'!$B$2,2)=5,WEEKDAY('Daily Schedule'!$B$2,2)=7),IFERROR(1*'Daily Workforce'!$K89&gt;=3,FALSE()),IFERROR(1*'Daily Workforce'!$K89&gt;=2,FALSE())),IF(AND('Daily Schedule'!$A30&gt;=46,'Daily Schedule'!$A30&lt;=52),'Daily Workforce'!$M89="Y",IFERROR(1*'Daily Workforce'!$P89&gt;=2,FALSE()))))),1,0)</f>
        <v>1</v>
      </c>
      <c r="CW26" s="1" t="n">
        <f aca="false">IF(AND('Daily Workforce'!$N90="Y",'Daily Workforce'!$B90&lt;&gt;"",COUNTIF('Daily Schedule'!$F$5:$F29,'Daily Workforce'!$B90)=0,IF('Daily Schedule'!$A30=45,'Daily Workforce'!$J90="Y",IF(OR('Daily Schedule'!$A30=4,'Daily Schedule'!$A30=8),IF(OR(WEEKDAY('Daily Schedule'!$B$2,2)=1,WEEKDAY('Daily Schedule'!$B$2,2)=4,WEEKDAY('Daily Schedule'!$B$2,2)=5,WEEKDAY('Daily Schedule'!$B$2,2)=7),IFERROR(1*'Daily Workforce'!$K90&gt;=3,FALSE()),IFERROR(1*'Daily Workforce'!$K90&gt;=2,FALSE())),IF(AND('Daily Schedule'!$A30&gt;=46,'Daily Schedule'!$A30&lt;=52),'Daily Workforce'!$M90="Y",IFERROR(1*'Daily Workforce'!$P90&gt;=2,FALSE()))))),1,0)</f>
        <v>1</v>
      </c>
      <c r="CX26" s="1" t="n">
        <f aca="false">IF(AND('Daily Workforce'!$N91="Y",'Daily Workforce'!$B91&lt;&gt;"",COUNTIF('Daily Schedule'!$F$5:$F29,'Daily Workforce'!$B91)=0,IF('Daily Schedule'!$A30=45,'Daily Workforce'!$J91="Y",IF(OR('Daily Schedule'!$A30=4,'Daily Schedule'!$A30=8),IF(OR(WEEKDAY('Daily Schedule'!$B$2,2)=1,WEEKDAY('Daily Schedule'!$B$2,2)=4,WEEKDAY('Daily Schedule'!$B$2,2)=5,WEEKDAY('Daily Schedule'!$B$2,2)=7),IFERROR(1*'Daily Workforce'!$K91&gt;=3,FALSE()),IFERROR(1*'Daily Workforce'!$K91&gt;=2,FALSE())),IF(AND('Daily Schedule'!$A30&gt;=46,'Daily Schedule'!$A30&lt;=52),'Daily Workforce'!$M91="Y",IFERROR(1*'Daily Workforce'!$P91&gt;=2,FALSE()))))),1,0)</f>
        <v>1</v>
      </c>
      <c r="CY26" s="1" t="n">
        <f aca="false">IF(AND('Daily Workforce'!$N92="Y",'Daily Workforce'!$B92&lt;&gt;"",COUNTIF('Daily Schedule'!$F$5:$F29,'Daily Workforce'!$B92)=0,IF('Daily Schedule'!$A30=45,'Daily Workforce'!$J92="Y",IF(OR('Daily Schedule'!$A30=4,'Daily Schedule'!$A30=8),IF(OR(WEEKDAY('Daily Schedule'!$B$2,2)=1,WEEKDAY('Daily Schedule'!$B$2,2)=4,WEEKDAY('Daily Schedule'!$B$2,2)=5,WEEKDAY('Daily Schedule'!$B$2,2)=7),IFERROR(1*'Daily Workforce'!$K92&gt;=3,FALSE()),IFERROR(1*'Daily Workforce'!$K92&gt;=2,FALSE())),IF(AND('Daily Schedule'!$A30&gt;=46,'Daily Schedule'!$A30&lt;=52),'Daily Workforce'!$M92="Y",IFERROR(1*'Daily Workforce'!$P92&gt;=2,FALSE()))))),1,0)</f>
        <v>1</v>
      </c>
      <c r="CZ26" s="1" t="n">
        <f aca="false">IF(AND('Daily Workforce'!$N93="Y",'Daily Workforce'!$B93&lt;&gt;"",COUNTIF('Daily Schedule'!$F$5:$F29,'Daily Workforce'!$B93)=0,IF('Daily Schedule'!$A30=45,'Daily Workforce'!$J93="Y",IF(OR('Daily Schedule'!$A30=4,'Daily Schedule'!$A30=8),IF(OR(WEEKDAY('Daily Schedule'!$B$2,2)=1,WEEKDAY('Daily Schedule'!$B$2,2)=4,WEEKDAY('Daily Schedule'!$B$2,2)=5,WEEKDAY('Daily Schedule'!$B$2,2)=7),IFERROR(1*'Daily Workforce'!$K93&gt;=3,FALSE()),IFERROR(1*'Daily Workforce'!$K93&gt;=2,FALSE())),IF(AND('Daily Schedule'!$A30&gt;=46,'Daily Schedule'!$A30&lt;=52),'Daily Workforce'!$M93="Y",IFERROR(1*'Daily Workforce'!$P93&gt;=2,FALSE()))))),1,0)</f>
        <v>1</v>
      </c>
      <c r="DA26" s="1" t="n">
        <f aca="false">IF(AND('Daily Workforce'!$N94="Y",'Daily Workforce'!$B94&lt;&gt;"",COUNTIF('Daily Schedule'!$F$5:$F29,'Daily Workforce'!$B94)=0,IF('Daily Schedule'!$A30=45,'Daily Workforce'!$J94="Y",IF(OR('Daily Schedule'!$A30=4,'Daily Schedule'!$A30=8),IF(OR(WEEKDAY('Daily Schedule'!$B$2,2)=1,WEEKDAY('Daily Schedule'!$B$2,2)=4,WEEKDAY('Daily Schedule'!$B$2,2)=5,WEEKDAY('Daily Schedule'!$B$2,2)=7),IFERROR(1*'Daily Workforce'!$K94&gt;=3,FALSE()),IFERROR(1*'Daily Workforce'!$K94&gt;=2,FALSE())),IF(AND('Daily Schedule'!$A30&gt;=46,'Daily Schedule'!$A30&lt;=52),'Daily Workforce'!$M94="Y",IFERROR(1*'Daily Workforce'!$P94&gt;=2,FALSE()))))),1,0)</f>
        <v>1</v>
      </c>
      <c r="DB26" s="1" t="n">
        <f aca="false">IF(AND('Daily Workforce'!$N95="Y",'Daily Workforce'!$B95&lt;&gt;"",COUNTIF('Daily Schedule'!$F$5:$F29,'Daily Workforce'!$B95)=0,IF('Daily Schedule'!$A30=45,'Daily Workforce'!$J95="Y",IF(OR('Daily Schedule'!$A30=4,'Daily Schedule'!$A30=8),IF(OR(WEEKDAY('Daily Schedule'!$B$2,2)=1,WEEKDAY('Daily Schedule'!$B$2,2)=4,WEEKDAY('Daily Schedule'!$B$2,2)=5,WEEKDAY('Daily Schedule'!$B$2,2)=7),IFERROR(1*'Daily Workforce'!$K95&gt;=3,FALSE()),IFERROR(1*'Daily Workforce'!$K95&gt;=2,FALSE())),IF(AND('Daily Schedule'!$A30&gt;=46,'Daily Schedule'!$A30&lt;=52),'Daily Workforce'!$M95="Y",IFERROR(1*'Daily Workforce'!$P95&gt;=2,FALSE()))))),1,0)</f>
        <v>1</v>
      </c>
      <c r="DC26" s="1" t="n">
        <f aca="false">IF(AND('Daily Workforce'!$N96="Y",'Daily Workforce'!$B96&lt;&gt;"",COUNTIF('Daily Schedule'!$F$5:$F29,'Daily Workforce'!$B96)=0,IF('Daily Schedule'!$A30=45,'Daily Workforce'!$J96="Y",IF(OR('Daily Schedule'!$A30=4,'Daily Schedule'!$A30=8),IF(OR(WEEKDAY('Daily Schedule'!$B$2,2)=1,WEEKDAY('Daily Schedule'!$B$2,2)=4,WEEKDAY('Daily Schedule'!$B$2,2)=5,WEEKDAY('Daily Schedule'!$B$2,2)=7),IFERROR(1*'Daily Workforce'!$K96&gt;=3,FALSE()),IFERROR(1*'Daily Workforce'!$K96&gt;=2,FALSE())),IF(AND('Daily Schedule'!$A30&gt;=46,'Daily Schedule'!$A30&lt;=52),'Daily Workforce'!$M96="Y",IFERROR(1*'Daily Workforce'!$P96&gt;=2,FALSE()))))),1,0)</f>
        <v>1</v>
      </c>
      <c r="DD26" s="1" t="n">
        <f aca="false">IF(AND('Daily Workforce'!$N97="Y",'Daily Workforce'!$B97&lt;&gt;"",COUNTIF('Daily Schedule'!$F$5:$F29,'Daily Workforce'!$B97)=0,IF('Daily Schedule'!$A30=45,'Daily Workforce'!$J97="Y",IF(OR('Daily Schedule'!$A30=4,'Daily Schedule'!$A30=8),IF(OR(WEEKDAY('Daily Schedule'!$B$2,2)=1,WEEKDAY('Daily Schedule'!$B$2,2)=4,WEEKDAY('Daily Schedule'!$B$2,2)=5,WEEKDAY('Daily Schedule'!$B$2,2)=7),IFERROR(1*'Daily Workforce'!$K97&gt;=3,FALSE()),IFERROR(1*'Daily Workforce'!$K97&gt;=2,FALSE())),IF(AND('Daily Schedule'!$A30&gt;=46,'Daily Schedule'!$A30&lt;=52),'Daily Workforce'!$M97="Y",IFERROR(1*'Daily Workforce'!$P97&gt;=2,FALSE()))))),1,0)</f>
        <v>1</v>
      </c>
      <c r="DE26" s="1" t="n">
        <f aca="false">IF(AND('Daily Workforce'!$N98="Y",'Daily Workforce'!$B98&lt;&gt;"",COUNTIF('Daily Schedule'!$F$5:$F29,'Daily Workforce'!$B98)=0,IF('Daily Schedule'!$A30=45,'Daily Workforce'!$J98="Y",IF(OR('Daily Schedule'!$A30=4,'Daily Schedule'!$A30=8),IF(OR(WEEKDAY('Daily Schedule'!$B$2,2)=1,WEEKDAY('Daily Schedule'!$B$2,2)=4,WEEKDAY('Daily Schedule'!$B$2,2)=5,WEEKDAY('Daily Schedule'!$B$2,2)=7),IFERROR(1*'Daily Workforce'!$K98&gt;=3,FALSE()),IFERROR(1*'Daily Workforce'!$K98&gt;=2,FALSE())),IF(AND('Daily Schedule'!$A30&gt;=46,'Daily Schedule'!$A30&lt;=52),'Daily Workforce'!$M98="Y",IFERROR(1*'Daily Workforce'!$P98&gt;=2,FALSE()))))),1,0)</f>
        <v>1</v>
      </c>
      <c r="DF26" s="1" t="n">
        <f aca="false">IF(AND('Daily Workforce'!$N99="Y",'Daily Workforce'!$B99&lt;&gt;"",COUNTIF('Daily Schedule'!$F$5:$F29,'Daily Workforce'!$B99)=0,IF('Daily Schedule'!$A30=45,'Daily Workforce'!$J99="Y",IF(OR('Daily Schedule'!$A30=4,'Daily Schedule'!$A30=8),IF(OR(WEEKDAY('Daily Schedule'!$B$2,2)=1,WEEKDAY('Daily Schedule'!$B$2,2)=4,WEEKDAY('Daily Schedule'!$B$2,2)=5,WEEKDAY('Daily Schedule'!$B$2,2)=7),IFERROR(1*'Daily Workforce'!$K99&gt;=3,FALSE()),IFERROR(1*'Daily Workforce'!$K99&gt;=2,FALSE())),IF(AND('Daily Schedule'!$A30&gt;=46,'Daily Schedule'!$A30&lt;=52),'Daily Workforce'!$M99="Y",IFERROR(1*'Daily Workforce'!$P99&gt;=2,FALSE()))))),1,0)</f>
        <v>1</v>
      </c>
      <c r="DG26" s="1" t="n">
        <f aca="false">IF(AND('Daily Workforce'!$N100="Y",'Daily Workforce'!$B100&lt;&gt;"",COUNTIF('Daily Schedule'!$F$5:$F29,'Daily Workforce'!$B100)=0,IF('Daily Schedule'!$A30=45,'Daily Workforce'!$J100="Y",IF(OR('Daily Schedule'!$A30=4,'Daily Schedule'!$A30=8),IF(OR(WEEKDAY('Daily Schedule'!$B$2,2)=1,WEEKDAY('Daily Schedule'!$B$2,2)=4,WEEKDAY('Daily Schedule'!$B$2,2)=5,WEEKDAY('Daily Schedule'!$B$2,2)=7),IFERROR(1*'Daily Workforce'!$K100&gt;=3,FALSE()),IFERROR(1*'Daily Workforce'!$K100&gt;=2,FALSE())),IF(AND('Daily Schedule'!$A30&gt;=46,'Daily Schedule'!$A30&lt;=52),'Daily Workforce'!$M100="Y",IFERROR(1*'Daily Workforce'!$P100&gt;=2,FALSE()))))),1,0)</f>
        <v>1</v>
      </c>
      <c r="DH26" s="1" t="n">
        <f aca="false">IF(AND('Daily Workforce'!$N101="Y",'Daily Workforce'!$B101&lt;&gt;"",COUNTIF('Daily Schedule'!$F$5:$F29,'Daily Workforce'!$B101)=0,IF('Daily Schedule'!$A30=45,'Daily Workforce'!$J101="Y",IF(OR('Daily Schedule'!$A30=4,'Daily Schedule'!$A30=8),IF(OR(WEEKDAY('Daily Schedule'!$B$2,2)=1,WEEKDAY('Daily Schedule'!$B$2,2)=4,WEEKDAY('Daily Schedule'!$B$2,2)=5,WEEKDAY('Daily Schedule'!$B$2,2)=7),IFERROR(1*'Daily Workforce'!$K101&gt;=3,FALSE()),IFERROR(1*'Daily Workforce'!$K101&gt;=2,FALSE())),IF(AND('Daily Schedule'!$A30&gt;=46,'Daily Schedule'!$A30&lt;=52),'Daily Workforce'!$M101="Y",IFERROR(1*'Daily Workforce'!$P101&gt;=2,FALSE()))))),1,0)</f>
        <v>1</v>
      </c>
      <c r="DI26" s="1" t="n">
        <f aca="false">IF(AND('Daily Workforce'!$N102="Y",'Daily Workforce'!$B102&lt;&gt;"",COUNTIF('Daily Schedule'!$F$5:$F29,'Daily Workforce'!$B102)=0,IF('Daily Schedule'!$A30=45,'Daily Workforce'!$J102="Y",IF(OR('Daily Schedule'!$A30=4,'Daily Schedule'!$A30=8),IF(OR(WEEKDAY('Daily Schedule'!$B$2,2)=1,WEEKDAY('Daily Schedule'!$B$2,2)=4,WEEKDAY('Daily Schedule'!$B$2,2)=5,WEEKDAY('Daily Schedule'!$B$2,2)=7),IFERROR(1*'Daily Workforce'!$K102&gt;=3,FALSE()),IFERROR(1*'Daily Workforce'!$K102&gt;=2,FALSE())),IF(AND('Daily Schedule'!$A30&gt;=46,'Daily Schedule'!$A30&lt;=52),'Daily Workforce'!$M102="Y",IFERROR(1*'Daily Workforce'!$P102&gt;=2,FALSE()))))),1,0)</f>
        <v>1</v>
      </c>
      <c r="DJ26" s="1" t="n">
        <f aca="false">IF(AND('Daily Workforce'!$N103="Y",'Daily Workforce'!$B103&lt;&gt;"",COUNTIF('Daily Schedule'!$F$5:$F29,'Daily Workforce'!$B103)=0,IF('Daily Schedule'!$A30=45,'Daily Workforce'!$J103="Y",IF(OR('Daily Schedule'!$A30=4,'Daily Schedule'!$A30=8),IF(OR(WEEKDAY('Daily Schedule'!$B$2,2)=1,WEEKDAY('Daily Schedule'!$B$2,2)=4,WEEKDAY('Daily Schedule'!$B$2,2)=5,WEEKDAY('Daily Schedule'!$B$2,2)=7),IFERROR(1*'Daily Workforce'!$K103&gt;=3,FALSE()),IFERROR(1*'Daily Workforce'!$K103&gt;=2,FALSE())),IF(AND('Daily Schedule'!$A30&gt;=46,'Daily Schedule'!$A30&lt;=52),'Daily Workforce'!$M103="Y",IFERROR(1*'Daily Workforce'!$P103&gt;=2,FALSE()))))),1,0)</f>
        <v>1</v>
      </c>
      <c r="DK26" s="1" t="n">
        <f aca="false">IF(AND('Daily Workforce'!$N104="Y",'Daily Workforce'!$B104&lt;&gt;"",COUNTIF('Daily Schedule'!$F$5:$F29,'Daily Workforce'!$B104)=0,IF('Daily Schedule'!$A30=45,'Daily Workforce'!$J104="Y",IF(OR('Daily Schedule'!$A30=4,'Daily Schedule'!$A30=8),IF(OR(WEEKDAY('Daily Schedule'!$B$2,2)=1,WEEKDAY('Daily Schedule'!$B$2,2)=4,WEEKDAY('Daily Schedule'!$B$2,2)=5,WEEKDAY('Daily Schedule'!$B$2,2)=7),IFERROR(1*'Daily Workforce'!$K104&gt;=3,FALSE()),IFERROR(1*'Daily Workforce'!$K104&gt;=2,FALSE())),IF(AND('Daily Schedule'!$A30&gt;=46,'Daily Schedule'!$A30&lt;=52),'Daily Workforce'!$M104="Y",IFERROR(1*'Daily Workforce'!$P104&gt;=2,FALSE()))))),1,0)</f>
        <v>1</v>
      </c>
      <c r="DL26" s="1" t="n">
        <f aca="false">IF(AND('Daily Workforce'!$N105="Y",'Daily Workforce'!$B105&lt;&gt;"",COUNTIF('Daily Schedule'!$F$5:$F29,'Daily Workforce'!$B105)=0,IF('Daily Schedule'!$A30=45,'Daily Workforce'!$J105="Y",IF(OR('Daily Schedule'!$A30=4,'Daily Schedule'!$A30=8),IF(OR(WEEKDAY('Daily Schedule'!$B$2,2)=1,WEEKDAY('Daily Schedule'!$B$2,2)=4,WEEKDAY('Daily Schedule'!$B$2,2)=5,WEEKDAY('Daily Schedule'!$B$2,2)=7),IFERROR(1*'Daily Workforce'!$K105&gt;=3,FALSE()),IFERROR(1*'Daily Workforce'!$K105&gt;=2,FALSE())),IF(AND('Daily Schedule'!$A30&gt;=46,'Daily Schedule'!$A30&lt;=52),'Daily Workforce'!$M105="Y",IFERROR(1*'Daily Workforce'!$P105&gt;=2,FALSE()))))),1,0)</f>
        <v>0</v>
      </c>
      <c r="DM26" s="1" t="n">
        <f aca="false">IF(AND('Daily Workforce'!$N106="Y",'Daily Workforce'!$B106&lt;&gt;"",COUNTIF('Daily Schedule'!$F$5:$F29,'Daily Workforce'!$B106)=0,IF('Daily Schedule'!$A30=45,'Daily Workforce'!$J106="Y",IF(OR('Daily Schedule'!$A30=4,'Daily Schedule'!$A30=8),IF(OR(WEEKDAY('Daily Schedule'!$B$2,2)=1,WEEKDAY('Daily Schedule'!$B$2,2)=4,WEEKDAY('Daily Schedule'!$B$2,2)=5,WEEKDAY('Daily Schedule'!$B$2,2)=7),IFERROR(1*'Daily Workforce'!$K106&gt;=3,FALSE()),IFERROR(1*'Daily Workforce'!$K106&gt;=2,FALSE())),IF(AND('Daily Schedule'!$A30&gt;=46,'Daily Schedule'!$A30&lt;=52),'Daily Workforce'!$M106="Y",IFERROR(1*'Daily Workforce'!$P106&gt;=2,FALSE()))))),1,0)</f>
        <v>1</v>
      </c>
      <c r="DN26" s="1" t="n">
        <f aca="false">IF(AND('Daily Workforce'!$N107="Y",'Daily Workforce'!$B107&lt;&gt;"",COUNTIF('Daily Schedule'!$F$5:$F29,'Daily Workforce'!$B107)=0,IF('Daily Schedule'!$A30=45,'Daily Workforce'!$J107="Y",IF(OR('Daily Schedule'!$A30=4,'Daily Schedule'!$A30=8),IF(OR(WEEKDAY('Daily Schedule'!$B$2,2)=1,WEEKDAY('Daily Schedule'!$B$2,2)=4,WEEKDAY('Daily Schedule'!$B$2,2)=5,WEEKDAY('Daily Schedule'!$B$2,2)=7),IFERROR(1*'Daily Workforce'!$K107&gt;=3,FALSE()),IFERROR(1*'Daily Workforce'!$K107&gt;=2,FALSE())),IF(AND('Daily Schedule'!$A30&gt;=46,'Daily Schedule'!$A30&lt;=52),'Daily Workforce'!$M107="Y",IFERROR(1*'Daily Workforce'!$P107&gt;=2,FALSE()))))),1,0)</f>
        <v>1</v>
      </c>
      <c r="DO26" s="1" t="n">
        <f aca="false">IF(AND('Daily Workforce'!$N108="Y",'Daily Workforce'!$B108&lt;&gt;"",COUNTIF('Daily Schedule'!$F$5:$F29,'Daily Workforce'!$B108)=0,IF('Daily Schedule'!$A30=45,'Daily Workforce'!$J108="Y",IF(OR('Daily Schedule'!$A30=4,'Daily Schedule'!$A30=8),IF(OR(WEEKDAY('Daily Schedule'!$B$2,2)=1,WEEKDAY('Daily Schedule'!$B$2,2)=4,WEEKDAY('Daily Schedule'!$B$2,2)=5,WEEKDAY('Daily Schedule'!$B$2,2)=7),IFERROR(1*'Daily Workforce'!$K108&gt;=3,FALSE()),IFERROR(1*'Daily Workforce'!$K108&gt;=2,FALSE())),IF(AND('Daily Schedule'!$A30&gt;=46,'Daily Schedule'!$A30&lt;=52),'Daily Workforce'!$M108="Y",IFERROR(1*'Daily Workforce'!$P108&gt;=2,FALSE()))))),1,0)</f>
        <v>1</v>
      </c>
      <c r="DP26" s="1" t="n">
        <f aca="false">IF(AND('Daily Workforce'!$N109="Y",'Daily Workforce'!$B109&lt;&gt;"",COUNTIF('Daily Schedule'!$F$5:$F29,'Daily Workforce'!$B109)=0,IF('Daily Schedule'!$A30=45,'Daily Workforce'!$J109="Y",IF(OR('Daily Schedule'!$A30=4,'Daily Schedule'!$A30=8),IF(OR(WEEKDAY('Daily Schedule'!$B$2,2)=1,WEEKDAY('Daily Schedule'!$B$2,2)=4,WEEKDAY('Daily Schedule'!$B$2,2)=5,WEEKDAY('Daily Schedule'!$B$2,2)=7),IFERROR(1*'Daily Workforce'!$K109&gt;=3,FALSE()),IFERROR(1*'Daily Workforce'!$K109&gt;=2,FALSE())),IF(AND('Daily Schedule'!$A30&gt;=46,'Daily Schedule'!$A30&lt;=52),'Daily Workforce'!$M109="Y",IFERROR(1*'Daily Workforce'!$P109&gt;=2,FALSE()))))),1,0)</f>
        <v>1</v>
      </c>
      <c r="DQ26" s="1" t="n">
        <f aca="false">IF(AND('Daily Workforce'!$N110="Y",'Daily Workforce'!$B110&lt;&gt;"",COUNTIF('Daily Schedule'!$F$5:$F29,'Daily Workforce'!$B110)=0,IF('Daily Schedule'!$A30=45,'Daily Workforce'!$J110="Y",IF(OR('Daily Schedule'!$A30=4,'Daily Schedule'!$A30=8),IF(OR(WEEKDAY('Daily Schedule'!$B$2,2)=1,WEEKDAY('Daily Schedule'!$B$2,2)=4,WEEKDAY('Daily Schedule'!$B$2,2)=5,WEEKDAY('Daily Schedule'!$B$2,2)=7),IFERROR(1*'Daily Workforce'!$K110&gt;=3,FALSE()),IFERROR(1*'Daily Workforce'!$K110&gt;=2,FALSE())),IF(AND('Daily Schedule'!$A30&gt;=46,'Daily Schedule'!$A30&lt;=52),'Daily Workforce'!$M110="Y",IFERROR(1*'Daily Workforce'!$P110&gt;=2,FALSE()))))),1,0)</f>
        <v>1</v>
      </c>
      <c r="DR26" s="1" t="n">
        <f aca="false">IF(AND('Daily Workforce'!$N111="Y",'Daily Workforce'!$B111&lt;&gt;"",COUNTIF('Daily Schedule'!$F$5:$F29,'Daily Workforce'!$B111)=0,IF('Daily Schedule'!$A30=45,'Daily Workforce'!$J111="Y",IF(OR('Daily Schedule'!$A30=4,'Daily Schedule'!$A30=8),IF(OR(WEEKDAY('Daily Schedule'!$B$2,2)=1,WEEKDAY('Daily Schedule'!$B$2,2)=4,WEEKDAY('Daily Schedule'!$B$2,2)=5,WEEKDAY('Daily Schedule'!$B$2,2)=7),IFERROR(1*'Daily Workforce'!$K111&gt;=3,FALSE()),IFERROR(1*'Daily Workforce'!$K111&gt;=2,FALSE())),IF(AND('Daily Schedule'!$A30&gt;=46,'Daily Schedule'!$A30&lt;=52),'Daily Workforce'!$M111="Y",IFERROR(1*'Daily Workforce'!$P111&gt;=2,FALSE()))))),1,0)</f>
        <v>1</v>
      </c>
      <c r="DS26" s="1" t="n">
        <f aca="false">IF(AND('Daily Workforce'!$N112="Y",'Daily Workforce'!$B112&lt;&gt;"",COUNTIF('Daily Schedule'!$F$5:$F29,'Daily Workforce'!$B112)=0,IF('Daily Schedule'!$A30=45,'Daily Workforce'!$J112="Y",IF(OR('Daily Schedule'!$A30=4,'Daily Schedule'!$A30=8),IF(OR(WEEKDAY('Daily Schedule'!$B$2,2)=1,WEEKDAY('Daily Schedule'!$B$2,2)=4,WEEKDAY('Daily Schedule'!$B$2,2)=5,WEEKDAY('Daily Schedule'!$B$2,2)=7),IFERROR(1*'Daily Workforce'!$K112&gt;=3,FALSE()),IFERROR(1*'Daily Workforce'!$K112&gt;=2,FALSE())),IF(AND('Daily Schedule'!$A30&gt;=46,'Daily Schedule'!$A30&lt;=52),'Daily Workforce'!$M112="Y",IFERROR(1*'Daily Workforce'!$P112&gt;=2,FALSE()))))),1,0)</f>
        <v>1</v>
      </c>
      <c r="DT26" s="1" t="n">
        <f aca="false">IF(AND('Daily Workforce'!$N113="Y",'Daily Workforce'!$B113&lt;&gt;"",COUNTIF('Daily Schedule'!$F$5:$F29,'Daily Workforce'!$B113)=0,IF('Daily Schedule'!$A30=45,'Daily Workforce'!$J113="Y",IF(OR('Daily Schedule'!$A30=4,'Daily Schedule'!$A30=8),IF(OR(WEEKDAY('Daily Schedule'!$B$2,2)=1,WEEKDAY('Daily Schedule'!$B$2,2)=4,WEEKDAY('Daily Schedule'!$B$2,2)=5,WEEKDAY('Daily Schedule'!$B$2,2)=7),IFERROR(1*'Daily Workforce'!$K113&gt;=3,FALSE()),IFERROR(1*'Daily Workforce'!$K113&gt;=2,FALSE())),IF(AND('Daily Schedule'!$A30&gt;=46,'Daily Schedule'!$A30&lt;=52),'Daily Workforce'!$M113="Y",IFERROR(1*'Daily Workforce'!$P113&gt;=2,FALSE()))))),1,0)</f>
        <v>1</v>
      </c>
      <c r="DU26" s="1" t="n">
        <f aca="false">IF(AND('Daily Workforce'!$N114="Y",'Daily Workforce'!$B114&lt;&gt;"",COUNTIF('Daily Schedule'!$F$5:$F29,'Daily Workforce'!$B114)=0,IF('Daily Schedule'!$A30=45,'Daily Workforce'!$J114="Y",IF(OR('Daily Schedule'!$A30=4,'Daily Schedule'!$A30=8),IF(OR(WEEKDAY('Daily Schedule'!$B$2,2)=1,WEEKDAY('Daily Schedule'!$B$2,2)=4,WEEKDAY('Daily Schedule'!$B$2,2)=5,WEEKDAY('Daily Schedule'!$B$2,2)=7),IFERROR(1*'Daily Workforce'!$K114&gt;=3,FALSE()),IFERROR(1*'Daily Workforce'!$K114&gt;=2,FALSE())),IF(AND('Daily Schedule'!$A30&gt;=46,'Daily Schedule'!$A30&lt;=52),'Daily Workforce'!$M114="Y",IFERROR(1*'Daily Workforce'!$P114&gt;=2,FALSE()))))),1,0)</f>
        <v>1</v>
      </c>
      <c r="DV26" s="1" t="n">
        <f aca="false">IF(AND('Daily Workforce'!$N115="Y",'Daily Workforce'!$B115&lt;&gt;"",COUNTIF('Daily Schedule'!$F$5:$F29,'Daily Workforce'!$B115)=0,IF('Daily Schedule'!$A30=45,'Daily Workforce'!$J115="Y",IF(OR('Daily Schedule'!$A30=4,'Daily Schedule'!$A30=8),IF(OR(WEEKDAY('Daily Schedule'!$B$2,2)=1,WEEKDAY('Daily Schedule'!$B$2,2)=4,WEEKDAY('Daily Schedule'!$B$2,2)=5,WEEKDAY('Daily Schedule'!$B$2,2)=7),IFERROR(1*'Daily Workforce'!$K115&gt;=3,FALSE()),IFERROR(1*'Daily Workforce'!$K115&gt;=2,FALSE())),IF(AND('Daily Schedule'!$A30&gt;=46,'Daily Schedule'!$A30&lt;=52),'Daily Workforce'!$M115="Y",IFERROR(1*'Daily Workforce'!$P115&gt;=2,FALSE()))))),1,0)</f>
        <v>1</v>
      </c>
      <c r="DW26" s="1" t="n">
        <f aca="false">IF(AND('Daily Workforce'!$N116="Y",'Daily Workforce'!$B116&lt;&gt;"",COUNTIF('Daily Schedule'!$F$5:$F29,'Daily Workforce'!$B116)=0,IF('Daily Schedule'!$A30=45,'Daily Workforce'!$J116="Y",IF(OR('Daily Schedule'!$A30=4,'Daily Schedule'!$A30=8),IF(OR(WEEKDAY('Daily Schedule'!$B$2,2)=1,WEEKDAY('Daily Schedule'!$B$2,2)=4,WEEKDAY('Daily Schedule'!$B$2,2)=5,WEEKDAY('Daily Schedule'!$B$2,2)=7),IFERROR(1*'Daily Workforce'!$K116&gt;=3,FALSE()),IFERROR(1*'Daily Workforce'!$K116&gt;=2,FALSE())),IF(AND('Daily Schedule'!$A30&gt;=46,'Daily Schedule'!$A30&lt;=52),'Daily Workforce'!$M116="Y",IFERROR(1*'Daily Workforce'!$P116&gt;=2,FALSE()))))),1,0)</f>
        <v>1</v>
      </c>
      <c r="DX26" s="1" t="n">
        <f aca="false">IF(AND('Daily Workforce'!$N117="Y",'Daily Workforce'!$B117&lt;&gt;"",COUNTIF('Daily Schedule'!$F$5:$F29,'Daily Workforce'!$B117)=0,IF('Daily Schedule'!$A30=45,'Daily Workforce'!$J117="Y",IF(OR('Daily Schedule'!$A30=4,'Daily Schedule'!$A30=8),IF(OR(WEEKDAY('Daily Schedule'!$B$2,2)=1,WEEKDAY('Daily Schedule'!$B$2,2)=4,WEEKDAY('Daily Schedule'!$B$2,2)=5,WEEKDAY('Daily Schedule'!$B$2,2)=7),IFERROR(1*'Daily Workforce'!$K117&gt;=3,FALSE()),IFERROR(1*'Daily Workforce'!$K117&gt;=2,FALSE())),IF(AND('Daily Schedule'!$A30&gt;=46,'Daily Schedule'!$A30&lt;=52),'Daily Workforce'!$M117="Y",IFERROR(1*'Daily Workforce'!$P117&gt;=2,FALSE()))))),1,0)</f>
        <v>1</v>
      </c>
      <c r="DY26" s="1" t="n">
        <f aca="false">IF(AND('Daily Workforce'!$N118="Y",'Daily Workforce'!$B118&lt;&gt;"",COUNTIF('Daily Schedule'!$F$5:$F29,'Daily Workforce'!$B118)=0,IF('Daily Schedule'!$A30=45,'Daily Workforce'!$J118="Y",IF(OR('Daily Schedule'!$A30=4,'Daily Schedule'!$A30=8),IF(OR(WEEKDAY('Daily Schedule'!$B$2,2)=1,WEEKDAY('Daily Schedule'!$B$2,2)=4,WEEKDAY('Daily Schedule'!$B$2,2)=5,WEEKDAY('Daily Schedule'!$B$2,2)=7),IFERROR(1*'Daily Workforce'!$K118&gt;=3,FALSE()),IFERROR(1*'Daily Workforce'!$K118&gt;=2,FALSE())),IF(AND('Daily Schedule'!$A30&gt;=46,'Daily Schedule'!$A30&lt;=52),'Daily Workforce'!$M118="Y",IFERROR(1*'Daily Workforce'!$P118&gt;=2,FALSE()))))),1,0)</f>
        <v>0</v>
      </c>
      <c r="DZ26" s="1" t="n">
        <f aca="false">IF(AND('Daily Workforce'!$N119="Y",'Daily Workforce'!$B119&lt;&gt;"",COUNTIF('Daily Schedule'!$F$5:$F29,'Daily Workforce'!$B119)=0,IF('Daily Schedule'!$A30=45,'Daily Workforce'!$J119="Y",IF(OR('Daily Schedule'!$A30=4,'Daily Schedule'!$A30=8),IF(OR(WEEKDAY('Daily Schedule'!$B$2,2)=1,WEEKDAY('Daily Schedule'!$B$2,2)=4,WEEKDAY('Daily Schedule'!$B$2,2)=5,WEEKDAY('Daily Schedule'!$B$2,2)=7),IFERROR(1*'Daily Workforce'!$K119&gt;=3,FALSE()),IFERROR(1*'Daily Workforce'!$K119&gt;=2,FALSE())),IF(AND('Daily Schedule'!$A30&gt;=46,'Daily Schedule'!$A30&lt;=52),'Daily Workforce'!$M119="Y",IFERROR(1*'Daily Workforce'!$P119&gt;=2,FALSE()))))),1,0)</f>
        <v>0</v>
      </c>
      <c r="EA26" s="1" t="n">
        <f aca="false">IF(AND('Daily Workforce'!$N120="Y",'Daily Workforce'!$B120&lt;&gt;"",COUNTIF('Daily Schedule'!$F$5:$F29,'Daily Workforce'!$B120)=0,IF('Daily Schedule'!$A30=45,'Daily Workforce'!$J120="Y",IF(OR('Daily Schedule'!$A30=4,'Daily Schedule'!$A30=8),IF(OR(WEEKDAY('Daily Schedule'!$B$2,2)=1,WEEKDAY('Daily Schedule'!$B$2,2)=4,WEEKDAY('Daily Schedule'!$B$2,2)=5,WEEKDAY('Daily Schedule'!$B$2,2)=7),IFERROR(1*'Daily Workforce'!$K120&gt;=3,FALSE()),IFERROR(1*'Daily Workforce'!$K120&gt;=2,FALSE())),IF(AND('Daily Schedule'!$A30&gt;=46,'Daily Schedule'!$A30&lt;=52),'Daily Workforce'!$M120="Y",IFERROR(1*'Daily Workforce'!$P120&gt;=2,FALSE()))))),1,0)</f>
        <v>0</v>
      </c>
      <c r="EB26" s="1" t="n">
        <f aca="false">IF(AND('Daily Workforce'!$N121="Y",'Daily Workforce'!$B121&lt;&gt;"",COUNTIF('Daily Schedule'!$F$5:$F29,'Daily Workforce'!$B121)=0,IF('Daily Schedule'!$A30=45,'Daily Workforce'!$J121="Y",IF(OR('Daily Schedule'!$A30=4,'Daily Schedule'!$A30=8),IF(OR(WEEKDAY('Daily Schedule'!$B$2,2)=1,WEEKDAY('Daily Schedule'!$B$2,2)=4,WEEKDAY('Daily Schedule'!$B$2,2)=5,WEEKDAY('Daily Schedule'!$B$2,2)=7),IFERROR(1*'Daily Workforce'!$K121&gt;=3,FALSE()),IFERROR(1*'Daily Workforce'!$K121&gt;=2,FALSE())),IF(AND('Daily Schedule'!$A30&gt;=46,'Daily Schedule'!$A30&lt;=52),'Daily Workforce'!$M121="Y",IFERROR(1*'Daily Workforce'!$P121&gt;=2,FALSE()))))),1,0)</f>
        <v>0</v>
      </c>
      <c r="EC26" s="1" t="n">
        <f aca="false">IF(AND('Daily Workforce'!$N122="Y",'Daily Workforce'!$B122&lt;&gt;"",COUNTIF('Daily Schedule'!$F$5:$F29,'Daily Workforce'!$B122)=0,IF('Daily Schedule'!$A30=45,'Daily Workforce'!$J122="Y",IF(OR('Daily Schedule'!$A30=4,'Daily Schedule'!$A30=8),IF(OR(WEEKDAY('Daily Schedule'!$B$2,2)=1,WEEKDAY('Daily Schedule'!$B$2,2)=4,WEEKDAY('Daily Schedule'!$B$2,2)=5,WEEKDAY('Daily Schedule'!$B$2,2)=7),IFERROR(1*'Daily Workforce'!$K122&gt;=3,FALSE()),IFERROR(1*'Daily Workforce'!$K122&gt;=2,FALSE())),IF(AND('Daily Schedule'!$A30&gt;=46,'Daily Schedule'!$A30&lt;=52),'Daily Workforce'!$M122="Y",IFERROR(1*'Daily Workforce'!$P122&gt;=2,FALSE()))))),1,0)</f>
        <v>0</v>
      </c>
      <c r="ED26" s="1" t="n">
        <f aca="false">IF(AND('Daily Workforce'!$N123="Y",'Daily Workforce'!$B123&lt;&gt;"",COUNTIF('Daily Schedule'!$F$5:$F29,'Daily Workforce'!$B123)=0,IF('Daily Schedule'!$A30=45,'Daily Workforce'!$J123="Y",IF(OR('Daily Schedule'!$A30=4,'Daily Schedule'!$A30=8),IF(OR(WEEKDAY('Daily Schedule'!$B$2,2)=1,WEEKDAY('Daily Schedule'!$B$2,2)=4,WEEKDAY('Daily Schedule'!$B$2,2)=5,WEEKDAY('Daily Schedule'!$B$2,2)=7),IFERROR(1*'Daily Workforce'!$K123&gt;=3,FALSE()),IFERROR(1*'Daily Workforce'!$K123&gt;=2,FALSE())),IF(AND('Daily Schedule'!$A30&gt;=46,'Daily Schedule'!$A30&lt;=52),'Daily Workforce'!$M123="Y",IFERROR(1*'Daily Workforce'!$P123&gt;=2,FALSE()))))),1,0)</f>
        <v>0</v>
      </c>
      <c r="EE26" s="1" t="n">
        <f aca="false">IF(AND('Daily Workforce'!$N124="Y",'Daily Workforce'!$B124&lt;&gt;"",COUNTIF('Daily Schedule'!$F$5:$F29,'Daily Workforce'!$B124)=0,IF('Daily Schedule'!$A30=45,'Daily Workforce'!$J124="Y",IF(OR('Daily Schedule'!$A30=4,'Daily Schedule'!$A30=8),IF(OR(WEEKDAY('Daily Schedule'!$B$2,2)=1,WEEKDAY('Daily Schedule'!$B$2,2)=4,WEEKDAY('Daily Schedule'!$B$2,2)=5,WEEKDAY('Daily Schedule'!$B$2,2)=7),IFERROR(1*'Daily Workforce'!$K124&gt;=3,FALSE()),IFERROR(1*'Daily Workforce'!$K124&gt;=2,FALSE())),IF(AND('Daily Schedule'!$A30&gt;=46,'Daily Schedule'!$A30&lt;=52),'Daily Workforce'!$M124="Y",IFERROR(1*'Daily Workforce'!$P124&gt;=2,FALSE()))))),1,0)</f>
        <v>0</v>
      </c>
      <c r="EF26" s="1" t="n">
        <f aca="false">IF(AND('Daily Workforce'!$N125="Y",'Daily Workforce'!$B125&lt;&gt;"",COUNTIF('Daily Schedule'!$F$5:$F29,'Daily Workforce'!$B125)=0,IF('Daily Schedule'!$A30=45,'Daily Workforce'!$J125="Y",IF(OR('Daily Schedule'!$A30=4,'Daily Schedule'!$A30=8),IF(OR(WEEKDAY('Daily Schedule'!$B$2,2)=1,WEEKDAY('Daily Schedule'!$B$2,2)=4,WEEKDAY('Daily Schedule'!$B$2,2)=5,WEEKDAY('Daily Schedule'!$B$2,2)=7),IFERROR(1*'Daily Workforce'!$K125&gt;=3,FALSE()),IFERROR(1*'Daily Workforce'!$K125&gt;=2,FALSE())),IF(AND('Daily Schedule'!$A30&gt;=46,'Daily Schedule'!$A30&lt;=52),'Daily Workforce'!$M125="Y",IFERROR(1*'Daily Workforce'!$P125&gt;=2,FALSE()))))),1,0)</f>
        <v>0</v>
      </c>
      <c r="EG26" s="1" t="n">
        <f aca="false">IF(AND('Daily Workforce'!$N126="Y",'Daily Workforce'!$B126&lt;&gt;"",COUNTIF('Daily Schedule'!$F$5:$F29,'Daily Workforce'!$B126)=0,IF('Daily Schedule'!$A30=45,'Daily Workforce'!$J126="Y",IF(OR('Daily Schedule'!$A30=4,'Daily Schedule'!$A30=8),IF(OR(WEEKDAY('Daily Schedule'!$B$2,2)=1,WEEKDAY('Daily Schedule'!$B$2,2)=4,WEEKDAY('Daily Schedule'!$B$2,2)=5,WEEKDAY('Daily Schedule'!$B$2,2)=7),IFERROR(1*'Daily Workforce'!$K126&gt;=3,FALSE()),IFERROR(1*'Daily Workforce'!$K126&gt;=2,FALSE())),IF(AND('Daily Schedule'!$A30&gt;=46,'Daily Schedule'!$A30&lt;=52),'Daily Workforce'!$M126="Y",IFERROR(1*'Daily Workforce'!$P126&gt;=2,FALSE()))))),1,0)</f>
        <v>0</v>
      </c>
      <c r="EH26" s="1" t="n">
        <f aca="false">IF(AND('Daily Workforce'!$N127="Y",'Daily Workforce'!$B127&lt;&gt;"",COUNTIF('Daily Schedule'!$F$5:$F29,'Daily Workforce'!$B127)=0,IF('Daily Schedule'!$A30=45,'Daily Workforce'!$J127="Y",IF(OR('Daily Schedule'!$A30=4,'Daily Schedule'!$A30=8),IF(OR(WEEKDAY('Daily Schedule'!$B$2,2)=1,WEEKDAY('Daily Schedule'!$B$2,2)=4,WEEKDAY('Daily Schedule'!$B$2,2)=5,WEEKDAY('Daily Schedule'!$B$2,2)=7),IFERROR(1*'Daily Workforce'!$K127&gt;=3,FALSE()),IFERROR(1*'Daily Workforce'!$K127&gt;=2,FALSE())),IF(AND('Daily Schedule'!$A30&gt;=46,'Daily Schedule'!$A30&lt;=52),'Daily Workforce'!$M127="Y",IFERROR(1*'Daily Workforce'!$P127&gt;=2,FALSE()))))),1,0)</f>
        <v>0</v>
      </c>
      <c r="EI26" s="1" t="n">
        <f aca="false">IF(AND('Daily Workforce'!$N128="Y",'Daily Workforce'!$B128&lt;&gt;"",COUNTIF('Daily Schedule'!$F$5:$F29,'Daily Workforce'!$B128)=0,IF('Daily Schedule'!$A30=45,'Daily Workforce'!$J128="Y",IF(OR('Daily Schedule'!$A30=4,'Daily Schedule'!$A30=8),IF(OR(WEEKDAY('Daily Schedule'!$B$2,2)=1,WEEKDAY('Daily Schedule'!$B$2,2)=4,WEEKDAY('Daily Schedule'!$B$2,2)=5,WEEKDAY('Daily Schedule'!$B$2,2)=7),IFERROR(1*'Daily Workforce'!$K128&gt;=3,FALSE()),IFERROR(1*'Daily Workforce'!$K128&gt;=2,FALSE())),IF(AND('Daily Schedule'!$A30&gt;=46,'Daily Schedule'!$A30&lt;=52),'Daily Workforce'!$M128="Y",IFERROR(1*'Daily Workforce'!$P128&gt;=2,FALSE()))))),1,0)</f>
        <v>0</v>
      </c>
      <c r="EJ26" s="1" t="n">
        <f aca="false">IF(AND('Daily Workforce'!$N129="Y",'Daily Workforce'!$B129&lt;&gt;"",COUNTIF('Daily Schedule'!$F$5:$F29,'Daily Workforce'!$B129)=0,IF('Daily Schedule'!$A30=45,'Daily Workforce'!$J129="Y",IF(OR('Daily Schedule'!$A30=4,'Daily Schedule'!$A30=8),IF(OR(WEEKDAY('Daily Schedule'!$B$2,2)=1,WEEKDAY('Daily Schedule'!$B$2,2)=4,WEEKDAY('Daily Schedule'!$B$2,2)=5,WEEKDAY('Daily Schedule'!$B$2,2)=7),IFERROR(1*'Daily Workforce'!$K129&gt;=3,FALSE()),IFERROR(1*'Daily Workforce'!$K129&gt;=2,FALSE())),IF(AND('Daily Schedule'!$A30&gt;=46,'Daily Schedule'!$A30&lt;=52),'Daily Workforce'!$M129="Y",IFERROR(1*'Daily Workforce'!$P129&gt;=2,FALSE()))))),1,0)</f>
        <v>0</v>
      </c>
      <c r="EK26" s="1" t="n">
        <f aca="false">IF(AND('Daily Workforce'!$N130="Y",'Daily Workforce'!$B130&lt;&gt;"",COUNTIF('Daily Schedule'!$F$5:$F29,'Daily Workforce'!$B130)=0,IF('Daily Schedule'!$A30=45,'Daily Workforce'!$J130="Y",IF(OR('Daily Schedule'!$A30=4,'Daily Schedule'!$A30=8),IF(OR(WEEKDAY('Daily Schedule'!$B$2,2)=1,WEEKDAY('Daily Schedule'!$B$2,2)=4,WEEKDAY('Daily Schedule'!$B$2,2)=5,WEEKDAY('Daily Schedule'!$B$2,2)=7),IFERROR(1*'Daily Workforce'!$K130&gt;=3,FALSE()),IFERROR(1*'Daily Workforce'!$K130&gt;=2,FALSE())),IF(AND('Daily Schedule'!$A30&gt;=46,'Daily Schedule'!$A30&lt;=52),'Daily Workforce'!$M130="Y",IFERROR(1*'Daily Workforce'!$P130&gt;=2,FALSE()))))),1,0)</f>
        <v>0</v>
      </c>
      <c r="EL26" s="1" t="n">
        <f aca="false">IF(AND('Daily Workforce'!$N131="Y",'Daily Workforce'!$B131&lt;&gt;"",COUNTIF('Daily Schedule'!$F$5:$F29,'Daily Workforce'!$B131)=0,IF('Daily Schedule'!$A30=45,'Daily Workforce'!$J131="Y",IF(OR('Daily Schedule'!$A30=4,'Daily Schedule'!$A30=8),IF(OR(WEEKDAY('Daily Schedule'!$B$2,2)=1,WEEKDAY('Daily Schedule'!$B$2,2)=4,WEEKDAY('Daily Schedule'!$B$2,2)=5,WEEKDAY('Daily Schedule'!$B$2,2)=7),IFERROR(1*'Daily Workforce'!$K131&gt;=3,FALSE()),IFERROR(1*'Daily Workforce'!$K131&gt;=2,FALSE())),IF(AND('Daily Schedule'!$A30&gt;=46,'Daily Schedule'!$A30&lt;=52),'Daily Workforce'!$M131="Y",IFERROR(1*'Daily Workforce'!$P131&gt;=2,FALSE()))))),1,0)</f>
        <v>0</v>
      </c>
      <c r="EM26" s="1" t="n">
        <f aca="false">IF(AND('Daily Workforce'!$N132="Y",'Daily Workforce'!$B132&lt;&gt;"",COUNTIF('Daily Schedule'!$F$5:$F29,'Daily Workforce'!$B132)=0,IF('Daily Schedule'!$A30=45,'Daily Workforce'!$J132="Y",IF(OR('Daily Schedule'!$A30=4,'Daily Schedule'!$A30=8),IF(OR(WEEKDAY('Daily Schedule'!$B$2,2)=1,WEEKDAY('Daily Schedule'!$B$2,2)=4,WEEKDAY('Daily Schedule'!$B$2,2)=5,WEEKDAY('Daily Schedule'!$B$2,2)=7),IFERROR(1*'Daily Workforce'!$K132&gt;=3,FALSE()),IFERROR(1*'Daily Workforce'!$K132&gt;=2,FALSE())),IF(AND('Daily Schedule'!$A30&gt;=46,'Daily Schedule'!$A30&lt;=52),'Daily Workforce'!$M132="Y",IFERROR(1*'Daily Workforce'!$P132&gt;=2,FALSE()))))),1,0)</f>
        <v>0</v>
      </c>
      <c r="EN26" s="1" t="n">
        <f aca="false">IF(AND('Daily Workforce'!$N133="Y",'Daily Workforce'!$B133&lt;&gt;"",COUNTIF('Daily Schedule'!$F$5:$F29,'Daily Workforce'!$B133)=0,IF('Daily Schedule'!$A30=45,'Daily Workforce'!$J133="Y",IF(OR('Daily Schedule'!$A30=4,'Daily Schedule'!$A30=8),IF(OR(WEEKDAY('Daily Schedule'!$B$2,2)=1,WEEKDAY('Daily Schedule'!$B$2,2)=4,WEEKDAY('Daily Schedule'!$B$2,2)=5,WEEKDAY('Daily Schedule'!$B$2,2)=7),IFERROR(1*'Daily Workforce'!$K133&gt;=3,FALSE()),IFERROR(1*'Daily Workforce'!$K133&gt;=2,FALSE())),IF(AND('Daily Schedule'!$A30&gt;=46,'Daily Schedule'!$A30&lt;=52),'Daily Workforce'!$M133="Y",IFERROR(1*'Daily Workforce'!$P133&gt;=2,FALSE()))))),1,0)</f>
        <v>0</v>
      </c>
      <c r="EO26" s="1" t="n">
        <f aca="false">IF(AND('Daily Workforce'!$N134="Y",'Daily Workforce'!$B134&lt;&gt;"",COUNTIF('Daily Schedule'!$F$5:$F29,'Daily Workforce'!$B134)=0,IF('Daily Schedule'!$A30=45,'Daily Workforce'!$J134="Y",IF(OR('Daily Schedule'!$A30=4,'Daily Schedule'!$A30=8),IF(OR(WEEKDAY('Daily Schedule'!$B$2,2)=1,WEEKDAY('Daily Schedule'!$B$2,2)=4,WEEKDAY('Daily Schedule'!$B$2,2)=5,WEEKDAY('Daily Schedule'!$B$2,2)=7),IFERROR(1*'Daily Workforce'!$K134&gt;=3,FALSE()),IFERROR(1*'Daily Workforce'!$K134&gt;=2,FALSE())),IF(AND('Daily Schedule'!$A30&gt;=46,'Daily Schedule'!$A30&lt;=52),'Daily Workforce'!$M134="Y",IFERROR(1*'Daily Workforce'!$P134&gt;=2,FALSE()))))),1,0)</f>
        <v>0</v>
      </c>
      <c r="EP26" s="1" t="n">
        <f aca="false">IF(AND('Daily Workforce'!$N135="Y",'Daily Workforce'!$B135&lt;&gt;"",COUNTIF('Daily Schedule'!$F$5:$F29,'Daily Workforce'!$B135)=0,IF('Daily Schedule'!$A30=45,'Daily Workforce'!$J135="Y",IF(OR('Daily Schedule'!$A30=4,'Daily Schedule'!$A30=8),IF(OR(WEEKDAY('Daily Schedule'!$B$2,2)=1,WEEKDAY('Daily Schedule'!$B$2,2)=4,WEEKDAY('Daily Schedule'!$B$2,2)=5,WEEKDAY('Daily Schedule'!$B$2,2)=7),IFERROR(1*'Daily Workforce'!$K135&gt;=3,FALSE()),IFERROR(1*'Daily Workforce'!$K135&gt;=2,FALSE())),IF(AND('Daily Schedule'!$A30&gt;=46,'Daily Schedule'!$A30&lt;=52),'Daily Workforce'!$M135="Y",IFERROR(1*'Daily Workforce'!$P135&gt;=2,FALSE()))))),1,0)</f>
        <v>0</v>
      </c>
      <c r="EQ26" s="1" t="n">
        <f aca="false">IF(AND('Daily Workforce'!$N136="Y",'Daily Workforce'!$B136&lt;&gt;"",COUNTIF('Daily Schedule'!$F$5:$F29,'Daily Workforce'!$B136)=0,IF('Daily Schedule'!$A30=45,'Daily Workforce'!$J136="Y",IF(OR('Daily Schedule'!$A30=4,'Daily Schedule'!$A30=8),IF(OR(WEEKDAY('Daily Schedule'!$B$2,2)=1,WEEKDAY('Daily Schedule'!$B$2,2)=4,WEEKDAY('Daily Schedule'!$B$2,2)=5,WEEKDAY('Daily Schedule'!$B$2,2)=7),IFERROR(1*'Daily Workforce'!$K136&gt;=3,FALSE()),IFERROR(1*'Daily Workforce'!$K136&gt;=2,FALSE())),IF(AND('Daily Schedule'!$A30&gt;=46,'Daily Schedule'!$A30&lt;=52),'Daily Workforce'!$M136="Y",IFERROR(1*'Daily Workforce'!$P136&gt;=2,FALSE()))))),1,0)</f>
        <v>0</v>
      </c>
      <c r="ER26" s="1" t="n">
        <f aca="false">IF(AND('Daily Workforce'!$N137="Y",'Daily Workforce'!$B137&lt;&gt;"",COUNTIF('Daily Schedule'!$F$5:$F29,'Daily Workforce'!$B137)=0,IF('Daily Schedule'!$A30=45,'Daily Workforce'!$J137="Y",IF(OR('Daily Schedule'!$A30=4,'Daily Schedule'!$A30=8),IF(OR(WEEKDAY('Daily Schedule'!$B$2,2)=1,WEEKDAY('Daily Schedule'!$B$2,2)=4,WEEKDAY('Daily Schedule'!$B$2,2)=5,WEEKDAY('Daily Schedule'!$B$2,2)=7),IFERROR(1*'Daily Workforce'!$K137&gt;=3,FALSE()),IFERROR(1*'Daily Workforce'!$K137&gt;=2,FALSE())),IF(AND('Daily Schedule'!$A30&gt;=46,'Daily Schedule'!$A30&lt;=52),'Daily Workforce'!$M137="Y",IFERROR(1*'Daily Workforce'!$P137&gt;=2,FALSE()))))),1,0)</f>
        <v>0</v>
      </c>
      <c r="ES26" s="1" t="n">
        <f aca="false">IF(AND('Daily Workforce'!$N138="Y",'Daily Workforce'!$B138&lt;&gt;"",COUNTIF('Daily Schedule'!$F$5:$F29,'Daily Workforce'!$B138)=0,IF('Daily Schedule'!$A30=45,'Daily Workforce'!$J138="Y",IF(OR('Daily Schedule'!$A30=4,'Daily Schedule'!$A30=8),IF(OR(WEEKDAY('Daily Schedule'!$B$2,2)=1,WEEKDAY('Daily Schedule'!$B$2,2)=4,WEEKDAY('Daily Schedule'!$B$2,2)=5,WEEKDAY('Daily Schedule'!$B$2,2)=7),IFERROR(1*'Daily Workforce'!$K138&gt;=3,FALSE()),IFERROR(1*'Daily Workforce'!$K138&gt;=2,FALSE())),IF(AND('Daily Schedule'!$A30&gt;=46,'Daily Schedule'!$A30&lt;=52),'Daily Workforce'!$M138="Y",IFERROR(1*'Daily Workforce'!$P138&gt;=2,FALSE()))))),1,0)</f>
        <v>0</v>
      </c>
      <c r="ET26" s="1" t="n">
        <f aca="false">IF(AND('Daily Workforce'!$N139="Y",'Daily Workforce'!$B139&lt;&gt;"",COUNTIF('Daily Schedule'!$F$5:$F29,'Daily Workforce'!$B139)=0,IF('Daily Schedule'!$A30=45,'Daily Workforce'!$J139="Y",IF(OR('Daily Schedule'!$A30=4,'Daily Schedule'!$A30=8),IF(OR(WEEKDAY('Daily Schedule'!$B$2,2)=1,WEEKDAY('Daily Schedule'!$B$2,2)=4,WEEKDAY('Daily Schedule'!$B$2,2)=5,WEEKDAY('Daily Schedule'!$B$2,2)=7),IFERROR(1*'Daily Workforce'!$K139&gt;=3,FALSE()),IFERROR(1*'Daily Workforce'!$K139&gt;=2,FALSE())),IF(AND('Daily Schedule'!$A30&gt;=46,'Daily Schedule'!$A30&lt;=52),'Daily Workforce'!$M139="Y",IFERROR(1*'Daily Workforce'!$P139&gt;=2,FALSE()))))),1,0)</f>
        <v>0</v>
      </c>
      <c r="EU26" s="1" t="n">
        <f aca="false">IF(AND('Daily Workforce'!$N140="Y",'Daily Workforce'!$B140&lt;&gt;"",COUNTIF('Daily Schedule'!$F$5:$F29,'Daily Workforce'!$B140)=0,IF('Daily Schedule'!$A30=45,'Daily Workforce'!$J140="Y",IF(OR('Daily Schedule'!$A30=4,'Daily Schedule'!$A30=8),IF(OR(WEEKDAY('Daily Schedule'!$B$2,2)=1,WEEKDAY('Daily Schedule'!$B$2,2)=4,WEEKDAY('Daily Schedule'!$B$2,2)=5,WEEKDAY('Daily Schedule'!$B$2,2)=7),IFERROR(1*'Daily Workforce'!$K140&gt;=3,FALSE()),IFERROR(1*'Daily Workforce'!$K140&gt;=2,FALSE())),IF(AND('Daily Schedule'!$A30&gt;=46,'Daily Schedule'!$A30&lt;=52),'Daily Workforce'!$M140="Y",IFERROR(1*'Daily Workforce'!$P140&gt;=2,FALSE()))))),1,0)</f>
        <v>0</v>
      </c>
      <c r="EV26" s="1" t="n">
        <f aca="false">IF(AND('Daily Workforce'!$N141="Y",'Daily Workforce'!$B141&lt;&gt;"",COUNTIF('Daily Schedule'!$F$5:$F29,'Daily Workforce'!$B141)=0,IF('Daily Schedule'!$A30=45,'Daily Workforce'!$J141="Y",IF(OR('Daily Schedule'!$A30=4,'Daily Schedule'!$A30=8),IF(OR(WEEKDAY('Daily Schedule'!$B$2,2)=1,WEEKDAY('Daily Schedule'!$B$2,2)=4,WEEKDAY('Daily Schedule'!$B$2,2)=5,WEEKDAY('Daily Schedule'!$B$2,2)=7),IFERROR(1*'Daily Workforce'!$K141&gt;=3,FALSE()),IFERROR(1*'Daily Workforce'!$K141&gt;=2,FALSE())),IF(AND('Daily Schedule'!$A30&gt;=46,'Daily Schedule'!$A30&lt;=52),'Daily Workforce'!$M141="Y",IFERROR(1*'Daily Workforce'!$P141&gt;=2,FALSE()))))),1,0)</f>
        <v>0</v>
      </c>
      <c r="EW26" s="1" t="n">
        <f aca="false">IF(AND('Daily Workforce'!$N142="Y",'Daily Workforce'!$B142&lt;&gt;"",COUNTIF('Daily Schedule'!$F$5:$F29,'Daily Workforce'!$B142)=0,IF('Daily Schedule'!$A30=45,'Daily Workforce'!$J142="Y",IF(OR('Daily Schedule'!$A30=4,'Daily Schedule'!$A30=8),IF(OR(WEEKDAY('Daily Schedule'!$B$2,2)=1,WEEKDAY('Daily Schedule'!$B$2,2)=4,WEEKDAY('Daily Schedule'!$B$2,2)=5,WEEKDAY('Daily Schedule'!$B$2,2)=7),IFERROR(1*'Daily Workforce'!$K142&gt;=3,FALSE()),IFERROR(1*'Daily Workforce'!$K142&gt;=2,FALSE())),IF(AND('Daily Schedule'!$A30&gt;=46,'Daily Schedule'!$A30&lt;=52),'Daily Workforce'!$M142="Y",IFERROR(1*'Daily Workforce'!$P142&gt;=2,FALSE()))))),1,0)</f>
        <v>0</v>
      </c>
      <c r="EX26" s="1" t="n">
        <f aca="false">IF(AND('Daily Workforce'!$N143="Y",'Daily Workforce'!$B143&lt;&gt;"",COUNTIF('Daily Schedule'!$F$5:$F29,'Daily Workforce'!$B143)=0,IF('Daily Schedule'!$A30=45,'Daily Workforce'!$J143="Y",IF(OR('Daily Schedule'!$A30=4,'Daily Schedule'!$A30=8),IF(OR(WEEKDAY('Daily Schedule'!$B$2,2)=1,WEEKDAY('Daily Schedule'!$B$2,2)=4,WEEKDAY('Daily Schedule'!$B$2,2)=5,WEEKDAY('Daily Schedule'!$B$2,2)=7),IFERROR(1*'Daily Workforce'!$K143&gt;=3,FALSE()),IFERROR(1*'Daily Workforce'!$K143&gt;=2,FALSE())),IF(AND('Daily Schedule'!$A30&gt;=46,'Daily Schedule'!$A30&lt;=52),'Daily Workforce'!$M143="Y",IFERROR(1*'Daily Workforce'!$P143&gt;=2,FALSE()))))),1,0)</f>
        <v>0</v>
      </c>
      <c r="EY26" s="1" t="n">
        <f aca="false">IF(AND('Daily Workforce'!$N144="Y",'Daily Workforce'!$B144&lt;&gt;"",COUNTIF('Daily Schedule'!$F$5:$F29,'Daily Workforce'!$B144)=0,IF('Daily Schedule'!$A30=45,'Daily Workforce'!$J144="Y",IF(OR('Daily Schedule'!$A30=4,'Daily Schedule'!$A30=8),IF(OR(WEEKDAY('Daily Schedule'!$B$2,2)=1,WEEKDAY('Daily Schedule'!$B$2,2)=4,WEEKDAY('Daily Schedule'!$B$2,2)=5,WEEKDAY('Daily Schedule'!$B$2,2)=7),IFERROR(1*'Daily Workforce'!$K144&gt;=3,FALSE()),IFERROR(1*'Daily Workforce'!$K144&gt;=2,FALSE())),IF(AND('Daily Schedule'!$A30&gt;=46,'Daily Schedule'!$A30&lt;=52),'Daily Workforce'!$M144="Y",IFERROR(1*'Daily Workforce'!$P144&gt;=2,FALSE()))))),1,0)</f>
        <v>0</v>
      </c>
      <c r="EZ26" s="1" t="n">
        <f aca="false">IF(AND('Daily Workforce'!$N145="Y",'Daily Workforce'!$B145&lt;&gt;"",COUNTIF('Daily Schedule'!$F$5:$F29,'Daily Workforce'!$B145)=0,IF('Daily Schedule'!$A30=45,'Daily Workforce'!$J145="Y",IF(OR('Daily Schedule'!$A30=4,'Daily Schedule'!$A30=8),IF(OR(WEEKDAY('Daily Schedule'!$B$2,2)=1,WEEKDAY('Daily Schedule'!$B$2,2)=4,WEEKDAY('Daily Schedule'!$B$2,2)=5,WEEKDAY('Daily Schedule'!$B$2,2)=7),IFERROR(1*'Daily Workforce'!$K145&gt;=3,FALSE()),IFERROR(1*'Daily Workforce'!$K145&gt;=2,FALSE())),IF(AND('Daily Schedule'!$A30&gt;=46,'Daily Schedule'!$A30&lt;=52),'Daily Workforce'!$M145="Y",IFERROR(1*'Daily Workforce'!$P145&gt;=2,FALSE()))))),1,0)</f>
        <v>0</v>
      </c>
      <c r="FA26" s="1" t="n">
        <f aca="false">IF(AND('Daily Workforce'!$N146="Y",'Daily Workforce'!$B146&lt;&gt;"",COUNTIF('Daily Schedule'!$F$5:$F29,'Daily Workforce'!$B146)=0,IF('Daily Schedule'!$A30=45,'Daily Workforce'!$J146="Y",IF(OR('Daily Schedule'!$A30=4,'Daily Schedule'!$A30=8),IF(OR(WEEKDAY('Daily Schedule'!$B$2,2)=1,WEEKDAY('Daily Schedule'!$B$2,2)=4,WEEKDAY('Daily Schedule'!$B$2,2)=5,WEEKDAY('Daily Schedule'!$B$2,2)=7),IFERROR(1*'Daily Workforce'!$K146&gt;=3,FALSE()),IFERROR(1*'Daily Workforce'!$K146&gt;=2,FALSE())),IF(AND('Daily Schedule'!$A30&gt;=46,'Daily Schedule'!$A30&lt;=52),'Daily Workforce'!$M146="Y",IFERROR(1*'Daily Workforce'!$P146&gt;=2,FALSE()))))),1,0)</f>
        <v>0</v>
      </c>
      <c r="FB26" s="1" t="n">
        <f aca="false">IF(AND('Daily Workforce'!$N147="Y",'Daily Workforce'!$B147&lt;&gt;"",COUNTIF('Daily Schedule'!$F$5:$F29,'Daily Workforce'!$B147)=0,IF('Daily Schedule'!$A30=45,'Daily Workforce'!$J147="Y",IF(OR('Daily Schedule'!$A30=4,'Daily Schedule'!$A30=8),IF(OR(WEEKDAY('Daily Schedule'!$B$2,2)=1,WEEKDAY('Daily Schedule'!$B$2,2)=4,WEEKDAY('Daily Schedule'!$B$2,2)=5,WEEKDAY('Daily Schedule'!$B$2,2)=7),IFERROR(1*'Daily Workforce'!$K147&gt;=3,FALSE()),IFERROR(1*'Daily Workforce'!$K147&gt;=2,FALSE())),IF(AND('Daily Schedule'!$A30&gt;=46,'Daily Schedule'!$A30&lt;=52),'Daily Workforce'!$M147="Y",IFERROR(1*'Daily Workforce'!$P147&gt;=2,FALSE()))))),1,0)</f>
        <v>0</v>
      </c>
      <c r="FC26" s="1" t="n">
        <f aca="false">IF(AND('Daily Workforce'!$N148="Y",'Daily Workforce'!$B148&lt;&gt;"",COUNTIF('Daily Schedule'!$F$5:$F29,'Daily Workforce'!$B148)=0,IF('Daily Schedule'!$A30=45,'Daily Workforce'!$J148="Y",IF(OR('Daily Schedule'!$A30=4,'Daily Schedule'!$A30=8),IF(OR(WEEKDAY('Daily Schedule'!$B$2,2)=1,WEEKDAY('Daily Schedule'!$B$2,2)=4,WEEKDAY('Daily Schedule'!$B$2,2)=5,WEEKDAY('Daily Schedule'!$B$2,2)=7),IFERROR(1*'Daily Workforce'!$K148&gt;=3,FALSE()),IFERROR(1*'Daily Workforce'!$K148&gt;=2,FALSE())),IF(AND('Daily Schedule'!$A30&gt;=46,'Daily Schedule'!$A30&lt;=52),'Daily Workforce'!$M148="Y",IFERROR(1*'Daily Workforce'!$P148&gt;=2,FALSE()))))),1,0)</f>
        <v>0</v>
      </c>
      <c r="FD26" s="1" t="n">
        <f aca="false">IF(AND('Daily Workforce'!$N149="Y",'Daily Workforce'!$B149&lt;&gt;"",COUNTIF('Daily Schedule'!$F$5:$F29,'Daily Workforce'!$B149)=0,IF('Daily Schedule'!$A30=45,'Daily Workforce'!$J149="Y",IF(OR('Daily Schedule'!$A30=4,'Daily Schedule'!$A30=8),IF(OR(WEEKDAY('Daily Schedule'!$B$2,2)=1,WEEKDAY('Daily Schedule'!$B$2,2)=4,WEEKDAY('Daily Schedule'!$B$2,2)=5,WEEKDAY('Daily Schedule'!$B$2,2)=7),IFERROR(1*'Daily Workforce'!$K149&gt;=3,FALSE()),IFERROR(1*'Daily Workforce'!$K149&gt;=2,FALSE())),IF(AND('Daily Schedule'!$A30&gt;=46,'Daily Schedule'!$A30&lt;=52),'Daily Workforce'!$M149="Y",IFERROR(1*'Daily Workforce'!$P149&gt;=2,FALSE()))))),1,0)</f>
        <v>0</v>
      </c>
      <c r="FE26" s="1" t="n">
        <f aca="false">IF(AND('Daily Workforce'!$N150="Y",'Daily Workforce'!$B150&lt;&gt;"",COUNTIF('Daily Schedule'!$F$5:$F29,'Daily Workforce'!$B150)=0,IF('Daily Schedule'!$A30=45,'Daily Workforce'!$J150="Y",IF(OR('Daily Schedule'!$A30=4,'Daily Schedule'!$A30=8),IF(OR(WEEKDAY('Daily Schedule'!$B$2,2)=1,WEEKDAY('Daily Schedule'!$B$2,2)=4,WEEKDAY('Daily Schedule'!$B$2,2)=5,WEEKDAY('Daily Schedule'!$B$2,2)=7),IFERROR(1*'Daily Workforce'!$K150&gt;=3,FALSE()),IFERROR(1*'Daily Workforce'!$K150&gt;=2,FALSE())),IF(AND('Daily Schedule'!$A30&gt;=46,'Daily Schedule'!$A30&lt;=52),'Daily Workforce'!$M150="Y",IFERROR(1*'Daily Workforce'!$P150&gt;=2,FALSE()))))),1,0)</f>
        <v>0</v>
      </c>
      <c r="FF26" s="1" t="n">
        <f aca="false">IF(AND('Daily Workforce'!$N151="Y",'Daily Workforce'!$B151&lt;&gt;"",COUNTIF('Daily Schedule'!$F$5:$F29,'Daily Workforce'!$B151)=0,IF('Daily Schedule'!$A30=45,'Daily Workforce'!$J151="Y",IF(OR('Daily Schedule'!$A30=4,'Daily Schedule'!$A30=8),IF(OR(WEEKDAY('Daily Schedule'!$B$2,2)=1,WEEKDAY('Daily Schedule'!$B$2,2)=4,WEEKDAY('Daily Schedule'!$B$2,2)=5,WEEKDAY('Daily Schedule'!$B$2,2)=7),IFERROR(1*'Daily Workforce'!$K151&gt;=3,FALSE()),IFERROR(1*'Daily Workforce'!$K151&gt;=2,FALSE())),IF(AND('Daily Schedule'!$A30&gt;=46,'Daily Schedule'!$A30&lt;=52),'Daily Workforce'!$M151="Y",IFERROR(1*'Daily Workforce'!$P151&gt;=2,FALSE()))))),1,0)</f>
        <v>0</v>
      </c>
      <c r="FG26" s="1" t="n">
        <f aca="false">IF(AND('Daily Workforce'!$N152="Y",'Daily Workforce'!$B152&lt;&gt;"",COUNTIF('Daily Schedule'!$F$5:$F29,'Daily Workforce'!$B152)=0,IF('Daily Schedule'!$A30=45,'Daily Workforce'!$J152="Y",IF(OR('Daily Schedule'!$A30=4,'Daily Schedule'!$A30=8),IF(OR(WEEKDAY('Daily Schedule'!$B$2,2)=1,WEEKDAY('Daily Schedule'!$B$2,2)=4,WEEKDAY('Daily Schedule'!$B$2,2)=5,WEEKDAY('Daily Schedule'!$B$2,2)=7),IFERROR(1*'Daily Workforce'!$K152&gt;=3,FALSE()),IFERROR(1*'Daily Workforce'!$K152&gt;=2,FALSE())),IF(AND('Daily Schedule'!$A30&gt;=46,'Daily Schedule'!$A30&lt;=52),'Daily Workforce'!$M152="Y",IFERROR(1*'Daily Workforce'!$P152&gt;=2,FALSE()))))),1,0)</f>
        <v>0</v>
      </c>
      <c r="FH26" s="1" t="n">
        <f aca="false">IF(AND('Daily Workforce'!$N153="Y",'Daily Workforce'!$B153&lt;&gt;"",COUNTIF('Daily Schedule'!$F$5:$F29,'Daily Workforce'!$B153)=0,IF('Daily Schedule'!$A30=45,'Daily Workforce'!$J153="Y",IF(OR('Daily Schedule'!$A30=4,'Daily Schedule'!$A30=8),IF(OR(WEEKDAY('Daily Schedule'!$B$2,2)=1,WEEKDAY('Daily Schedule'!$B$2,2)=4,WEEKDAY('Daily Schedule'!$B$2,2)=5,WEEKDAY('Daily Schedule'!$B$2,2)=7),IFERROR(1*'Daily Workforce'!$K153&gt;=3,FALSE()),IFERROR(1*'Daily Workforce'!$K153&gt;=2,FALSE())),IF(AND('Daily Schedule'!$A30&gt;=46,'Daily Schedule'!$A30&lt;=52),'Daily Workforce'!$M153="Y",IFERROR(1*'Daily Workforce'!$P153&gt;=2,FALSE()))))),1,0)</f>
        <v>0</v>
      </c>
      <c r="FI26" s="1" t="n">
        <f aca="false">IF(AND('Daily Workforce'!$N154="Y",'Daily Workforce'!$B154&lt;&gt;"",COUNTIF('Daily Schedule'!$F$5:$F29,'Daily Workforce'!$B154)=0,IF('Daily Schedule'!$A30=45,'Daily Workforce'!$J154="Y",IF(OR('Daily Schedule'!$A30=4,'Daily Schedule'!$A30=8),IF(OR(WEEKDAY('Daily Schedule'!$B$2,2)=1,WEEKDAY('Daily Schedule'!$B$2,2)=4,WEEKDAY('Daily Schedule'!$B$2,2)=5,WEEKDAY('Daily Schedule'!$B$2,2)=7),IFERROR(1*'Daily Workforce'!$K154&gt;=3,FALSE()),IFERROR(1*'Daily Workforce'!$K154&gt;=2,FALSE())),IF(AND('Daily Schedule'!$A30&gt;=46,'Daily Schedule'!$A30&lt;=52),'Daily Workforce'!$M154="Y",IFERROR(1*'Daily Workforce'!$P154&gt;=2,FALSE()))))),1,0)</f>
        <v>0</v>
      </c>
      <c r="FJ26" s="1" t="n">
        <f aca="false">IF(AND('Daily Workforce'!$N155="Y",'Daily Workforce'!$B155&lt;&gt;"",COUNTIF('Daily Schedule'!$F$5:$F29,'Daily Workforce'!$B155)=0,IF('Daily Schedule'!$A30=45,'Daily Workforce'!$J155="Y",IF(OR('Daily Schedule'!$A30=4,'Daily Schedule'!$A30=8),IF(OR(WEEKDAY('Daily Schedule'!$B$2,2)=1,WEEKDAY('Daily Schedule'!$B$2,2)=4,WEEKDAY('Daily Schedule'!$B$2,2)=5,WEEKDAY('Daily Schedule'!$B$2,2)=7),IFERROR(1*'Daily Workforce'!$K155&gt;=3,FALSE()),IFERROR(1*'Daily Workforce'!$K155&gt;=2,FALSE())),IF(AND('Daily Schedule'!$A30&gt;=46,'Daily Schedule'!$A30&lt;=52),'Daily Workforce'!$M155="Y",IFERROR(1*'Daily Workforce'!$P155&gt;=2,FALSE()))))),1,0)</f>
        <v>0</v>
      </c>
      <c r="FK26" s="1" t="n">
        <f aca="false">IF(AND('Daily Workforce'!$N156="Y",'Daily Workforce'!$B156&lt;&gt;"",COUNTIF('Daily Schedule'!$F$5:$F29,'Daily Workforce'!$B156)=0,IF('Daily Schedule'!$A30=45,'Daily Workforce'!$J156="Y",IF(OR('Daily Schedule'!$A30=4,'Daily Schedule'!$A30=8),IF(OR(WEEKDAY('Daily Schedule'!$B$2,2)=1,WEEKDAY('Daily Schedule'!$B$2,2)=4,WEEKDAY('Daily Schedule'!$B$2,2)=5,WEEKDAY('Daily Schedule'!$B$2,2)=7),IFERROR(1*'Daily Workforce'!$K156&gt;=3,FALSE()),IFERROR(1*'Daily Workforce'!$K156&gt;=2,FALSE())),IF(AND('Daily Schedule'!$A30&gt;=46,'Daily Schedule'!$A30&lt;=52),'Daily Workforce'!$M156="Y",IFERROR(1*'Daily Workforce'!$P156&gt;=2,FALSE()))))),1,0)</f>
        <v>0</v>
      </c>
      <c r="FL26" s="1" t="n">
        <f aca="false">IF(AND('Daily Workforce'!$N157="Y",'Daily Workforce'!$B157&lt;&gt;"",COUNTIF('Daily Schedule'!$F$5:$F29,'Daily Workforce'!$B157)=0,IF('Daily Schedule'!$A30=45,'Daily Workforce'!$J157="Y",IF(OR('Daily Schedule'!$A30=4,'Daily Schedule'!$A30=8),IF(OR(WEEKDAY('Daily Schedule'!$B$2,2)=1,WEEKDAY('Daily Schedule'!$B$2,2)=4,WEEKDAY('Daily Schedule'!$B$2,2)=5,WEEKDAY('Daily Schedule'!$B$2,2)=7),IFERROR(1*'Daily Workforce'!$K157&gt;=3,FALSE()),IFERROR(1*'Daily Workforce'!$K157&gt;=2,FALSE())),IF(AND('Daily Schedule'!$A30&gt;=46,'Daily Schedule'!$A30&lt;=52),'Daily Workforce'!$M157="Y",IFERROR(1*'Daily Workforce'!$P157&gt;=2,FALSE()))))),1,0)</f>
        <v>0</v>
      </c>
      <c r="FM26" s="1" t="n">
        <f aca="false">IF(AND('Daily Workforce'!$N158="Y",'Daily Workforce'!$B158&lt;&gt;"",COUNTIF('Daily Schedule'!$F$5:$F29,'Daily Workforce'!$B158)=0,IF('Daily Schedule'!$A30=45,'Daily Workforce'!$J158="Y",IF(OR('Daily Schedule'!$A30=4,'Daily Schedule'!$A30=8),IF(OR(WEEKDAY('Daily Schedule'!$B$2,2)=1,WEEKDAY('Daily Schedule'!$B$2,2)=4,WEEKDAY('Daily Schedule'!$B$2,2)=5,WEEKDAY('Daily Schedule'!$B$2,2)=7),IFERROR(1*'Daily Workforce'!$K158&gt;=3,FALSE()),IFERROR(1*'Daily Workforce'!$K158&gt;=2,FALSE())),IF(AND('Daily Schedule'!$A30&gt;=46,'Daily Schedule'!$A30&lt;=52),'Daily Workforce'!$M158="Y",IFERROR(1*'Daily Workforce'!$P158&gt;=2,FALSE()))))),1,0)</f>
        <v>0</v>
      </c>
      <c r="FN26" s="1" t="n">
        <f aca="false">IF(AND('Daily Workforce'!$N159="Y",'Daily Workforce'!$B159&lt;&gt;"",COUNTIF('Daily Schedule'!$F$5:$F29,'Daily Workforce'!$B159)=0,IF('Daily Schedule'!$A30=45,'Daily Workforce'!$J159="Y",IF(OR('Daily Schedule'!$A30=4,'Daily Schedule'!$A30=8),IF(OR(WEEKDAY('Daily Schedule'!$B$2,2)=1,WEEKDAY('Daily Schedule'!$B$2,2)=4,WEEKDAY('Daily Schedule'!$B$2,2)=5,WEEKDAY('Daily Schedule'!$B$2,2)=7),IFERROR(1*'Daily Workforce'!$K159&gt;=3,FALSE()),IFERROR(1*'Daily Workforce'!$K159&gt;=2,FALSE())),IF(AND('Daily Schedule'!$A30&gt;=46,'Daily Schedule'!$A30&lt;=52),'Daily Workforce'!$M159="Y",IFERROR(1*'Daily Workforce'!$P159&gt;=2,FALSE()))))),1,0)</f>
        <v>0</v>
      </c>
      <c r="FO26" s="1" t="n">
        <f aca="false">IF(AND('Daily Workforce'!$N160="Y",'Daily Workforce'!$B160&lt;&gt;"",COUNTIF('Daily Schedule'!$F$5:$F29,'Daily Workforce'!$B160)=0,IF('Daily Schedule'!$A30=45,'Daily Workforce'!$J160="Y",IF(OR('Daily Schedule'!$A30=4,'Daily Schedule'!$A30=8),IF(OR(WEEKDAY('Daily Schedule'!$B$2,2)=1,WEEKDAY('Daily Schedule'!$B$2,2)=4,WEEKDAY('Daily Schedule'!$B$2,2)=5,WEEKDAY('Daily Schedule'!$B$2,2)=7),IFERROR(1*'Daily Workforce'!$K160&gt;=3,FALSE()),IFERROR(1*'Daily Workforce'!$K160&gt;=2,FALSE())),IF(AND('Daily Schedule'!$A30&gt;=46,'Daily Schedule'!$A30&lt;=52),'Daily Workforce'!$M160="Y",IFERROR(1*'Daily Workforce'!$P160&gt;=2,FALSE()))))),1,0)</f>
        <v>0</v>
      </c>
      <c r="FP26" s="1" t="n">
        <f aca="false">IF(AND('Daily Workforce'!$N161="Y",'Daily Workforce'!$B161&lt;&gt;"",COUNTIF('Daily Schedule'!$F$5:$F29,'Daily Workforce'!$B161)=0,IF('Daily Schedule'!$A30=45,'Daily Workforce'!$J161="Y",IF(OR('Daily Schedule'!$A30=4,'Daily Schedule'!$A30=8),IF(OR(WEEKDAY('Daily Schedule'!$B$2,2)=1,WEEKDAY('Daily Schedule'!$B$2,2)=4,WEEKDAY('Daily Schedule'!$B$2,2)=5,WEEKDAY('Daily Schedule'!$B$2,2)=7),IFERROR(1*'Daily Workforce'!$K161&gt;=3,FALSE()),IFERROR(1*'Daily Workforce'!$K161&gt;=2,FALSE())),IF(AND('Daily Schedule'!$A30&gt;=46,'Daily Schedule'!$A30&lt;=52),'Daily Workforce'!$M161="Y",IFERROR(1*'Daily Workforce'!$P161&gt;=2,FALSE()))))),1,0)</f>
        <v>0</v>
      </c>
      <c r="FQ26" s="1" t="n">
        <f aca="false">IF(AND('Daily Workforce'!$N162="Y",'Daily Workforce'!$B162&lt;&gt;"",COUNTIF('Daily Schedule'!$F$5:$F29,'Daily Workforce'!$B162)=0,IF('Daily Schedule'!$A30=45,'Daily Workforce'!$J162="Y",IF(OR('Daily Schedule'!$A30=4,'Daily Schedule'!$A30=8),IF(OR(WEEKDAY('Daily Schedule'!$B$2,2)=1,WEEKDAY('Daily Schedule'!$B$2,2)=4,WEEKDAY('Daily Schedule'!$B$2,2)=5,WEEKDAY('Daily Schedule'!$B$2,2)=7),IFERROR(1*'Daily Workforce'!$K162&gt;=3,FALSE()),IFERROR(1*'Daily Workforce'!$K162&gt;=2,FALSE())),IF(AND('Daily Schedule'!$A30&gt;=46,'Daily Schedule'!$A30&lt;=52),'Daily Workforce'!$M162="Y",IFERROR(1*'Daily Workforce'!$P162&gt;=2,FALSE()))))),1,0)</f>
        <v>0</v>
      </c>
      <c r="FR26" s="1" t="n">
        <f aca="false">IF(AND('Daily Workforce'!$N163="Y",'Daily Workforce'!$B163&lt;&gt;"",COUNTIF('Daily Schedule'!$F$5:$F29,'Daily Workforce'!$B163)=0,IF('Daily Schedule'!$A30=45,'Daily Workforce'!$J163="Y",IF(OR('Daily Schedule'!$A30=4,'Daily Schedule'!$A30=8),IF(OR(WEEKDAY('Daily Schedule'!$B$2,2)=1,WEEKDAY('Daily Schedule'!$B$2,2)=4,WEEKDAY('Daily Schedule'!$B$2,2)=5,WEEKDAY('Daily Schedule'!$B$2,2)=7),IFERROR(1*'Daily Workforce'!$K163&gt;=3,FALSE()),IFERROR(1*'Daily Workforce'!$K163&gt;=2,FALSE())),IF(AND('Daily Schedule'!$A30&gt;=46,'Daily Schedule'!$A30&lt;=52),'Daily Workforce'!$M163="Y",IFERROR(1*'Daily Workforce'!$P163&gt;=2,FALSE()))))),1,0)</f>
        <v>0</v>
      </c>
      <c r="FS26" s="1" t="n">
        <f aca="false">IF(AND('Daily Workforce'!$N164="Y",'Daily Workforce'!$B164&lt;&gt;"",COUNTIF('Daily Schedule'!$F$5:$F29,'Daily Workforce'!$B164)=0,IF('Daily Schedule'!$A30=45,'Daily Workforce'!$J164="Y",IF(OR('Daily Schedule'!$A30=4,'Daily Schedule'!$A30=8),IF(OR(WEEKDAY('Daily Schedule'!$B$2,2)=1,WEEKDAY('Daily Schedule'!$B$2,2)=4,WEEKDAY('Daily Schedule'!$B$2,2)=5,WEEKDAY('Daily Schedule'!$B$2,2)=7),IFERROR(1*'Daily Workforce'!$K164&gt;=3,FALSE()),IFERROR(1*'Daily Workforce'!$K164&gt;=2,FALSE())),IF(AND('Daily Schedule'!$A30&gt;=46,'Daily Schedule'!$A30&lt;=52),'Daily Workforce'!$M164="Y",IFERROR(1*'Daily Workforce'!$P164&gt;=2,FALSE()))))),1,0)</f>
        <v>0</v>
      </c>
      <c r="FT26" s="1" t="n">
        <f aca="false">IF(AND('Daily Workforce'!$N165="Y",'Daily Workforce'!$B165&lt;&gt;"",COUNTIF('Daily Schedule'!$F$5:$F29,'Daily Workforce'!$B165)=0,IF('Daily Schedule'!$A30=45,'Daily Workforce'!$J165="Y",IF(OR('Daily Schedule'!$A30=4,'Daily Schedule'!$A30=8),IF(OR(WEEKDAY('Daily Schedule'!$B$2,2)=1,WEEKDAY('Daily Schedule'!$B$2,2)=4,WEEKDAY('Daily Schedule'!$B$2,2)=5,WEEKDAY('Daily Schedule'!$B$2,2)=7),IFERROR(1*'Daily Workforce'!$K165&gt;=3,FALSE()),IFERROR(1*'Daily Workforce'!$K165&gt;=2,FALSE())),IF(AND('Daily Schedule'!$A30&gt;=46,'Daily Schedule'!$A30&lt;=52),'Daily Workforce'!$M165="Y",IFERROR(1*'Daily Workforce'!$P165&gt;=2,FALSE()))))),1,0)</f>
        <v>0</v>
      </c>
      <c r="FU26" s="1" t="n">
        <f aca="false">IF(AND('Daily Workforce'!$N166="Y",'Daily Workforce'!$B166&lt;&gt;"",COUNTIF('Daily Schedule'!$F$5:$F29,'Daily Workforce'!$B166)=0,IF('Daily Schedule'!$A30=45,'Daily Workforce'!$J166="Y",IF(OR('Daily Schedule'!$A30=4,'Daily Schedule'!$A30=8),IF(OR(WEEKDAY('Daily Schedule'!$B$2,2)=1,WEEKDAY('Daily Schedule'!$B$2,2)=4,WEEKDAY('Daily Schedule'!$B$2,2)=5,WEEKDAY('Daily Schedule'!$B$2,2)=7),IFERROR(1*'Daily Workforce'!$K166&gt;=3,FALSE()),IFERROR(1*'Daily Workforce'!$K166&gt;=2,FALSE())),IF(AND('Daily Schedule'!$A30&gt;=46,'Daily Schedule'!$A30&lt;=52),'Daily Workforce'!$M166="Y",IFERROR(1*'Daily Workforce'!$P166&gt;=2,FALSE()))))),1,0)</f>
        <v>0</v>
      </c>
      <c r="FV26" s="1" t="n">
        <f aca="false">IF(AND('Daily Workforce'!$N167="Y",'Daily Workforce'!$B167&lt;&gt;"",COUNTIF('Daily Schedule'!$F$5:$F29,'Daily Workforce'!$B167)=0,IF('Daily Schedule'!$A30=45,'Daily Workforce'!$J167="Y",IF(OR('Daily Schedule'!$A30=4,'Daily Schedule'!$A30=8),IF(OR(WEEKDAY('Daily Schedule'!$B$2,2)=1,WEEKDAY('Daily Schedule'!$B$2,2)=4,WEEKDAY('Daily Schedule'!$B$2,2)=5,WEEKDAY('Daily Schedule'!$B$2,2)=7),IFERROR(1*'Daily Workforce'!$K167&gt;=3,FALSE()),IFERROR(1*'Daily Workforce'!$K167&gt;=2,FALSE())),IF(AND('Daily Schedule'!$A30&gt;=46,'Daily Schedule'!$A30&lt;=52),'Daily Workforce'!$M167="Y",IFERROR(1*'Daily Workforce'!$P167&gt;=2,FALSE()))))),1,0)</f>
        <v>0</v>
      </c>
      <c r="FW26" s="1" t="n">
        <f aca="false">IF(AND('Daily Workforce'!$N168="Y",'Daily Workforce'!$B168&lt;&gt;"",COUNTIF('Daily Schedule'!$F$5:$F29,'Daily Workforce'!$B168)=0,IF('Daily Schedule'!$A30=45,'Daily Workforce'!$J168="Y",IF(OR('Daily Schedule'!$A30=4,'Daily Schedule'!$A30=8),IF(OR(WEEKDAY('Daily Schedule'!$B$2,2)=1,WEEKDAY('Daily Schedule'!$B$2,2)=4,WEEKDAY('Daily Schedule'!$B$2,2)=5,WEEKDAY('Daily Schedule'!$B$2,2)=7),IFERROR(1*'Daily Workforce'!$K168&gt;=3,FALSE()),IFERROR(1*'Daily Workforce'!$K168&gt;=2,FALSE())),IF(AND('Daily Schedule'!$A30&gt;=46,'Daily Schedule'!$A30&lt;=52),'Daily Workforce'!$M168="Y",IFERROR(1*'Daily Workforce'!$P168&gt;=2,FALSE()))))),1,0)</f>
        <v>0</v>
      </c>
      <c r="FX26" s="1" t="n">
        <f aca="false">IF(AND('Daily Workforce'!$N169="Y",'Daily Workforce'!$B169&lt;&gt;"",COUNTIF('Daily Schedule'!$F$5:$F29,'Daily Workforce'!$B169)=0,IF('Daily Schedule'!$A30=45,'Daily Workforce'!$J169="Y",IF(OR('Daily Schedule'!$A30=4,'Daily Schedule'!$A30=8),IF(OR(WEEKDAY('Daily Schedule'!$B$2,2)=1,WEEKDAY('Daily Schedule'!$B$2,2)=4,WEEKDAY('Daily Schedule'!$B$2,2)=5,WEEKDAY('Daily Schedule'!$B$2,2)=7),IFERROR(1*'Daily Workforce'!$K169&gt;=3,FALSE()),IFERROR(1*'Daily Workforce'!$K169&gt;=2,FALSE())),IF(AND('Daily Schedule'!$A30&gt;=46,'Daily Schedule'!$A30&lt;=52),'Daily Workforce'!$M169="Y",IFERROR(1*'Daily Workforce'!$P169&gt;=2,FALSE()))))),1,0)</f>
        <v>0</v>
      </c>
      <c r="FY26" s="1" t="n">
        <f aca="false">IF(AND('Daily Workforce'!$N170="Y",'Daily Workforce'!$B170&lt;&gt;"",COUNTIF('Daily Schedule'!$F$5:$F29,'Daily Workforce'!$B170)=0,IF('Daily Schedule'!$A30=45,'Daily Workforce'!$J170="Y",IF(OR('Daily Schedule'!$A30=4,'Daily Schedule'!$A30=8),IF(OR(WEEKDAY('Daily Schedule'!$B$2,2)=1,WEEKDAY('Daily Schedule'!$B$2,2)=4,WEEKDAY('Daily Schedule'!$B$2,2)=5,WEEKDAY('Daily Schedule'!$B$2,2)=7),IFERROR(1*'Daily Workforce'!$K170&gt;=3,FALSE()),IFERROR(1*'Daily Workforce'!$K170&gt;=2,FALSE())),IF(AND('Daily Schedule'!$A30&gt;=46,'Daily Schedule'!$A30&lt;=52),'Daily Workforce'!$M170="Y",IFERROR(1*'Daily Workforce'!$P170&gt;=2,FALSE()))))),1,0)</f>
        <v>0</v>
      </c>
      <c r="FZ26" s="1" t="n">
        <f aca="false">IF(AND('Daily Workforce'!$N171="Y",'Daily Workforce'!$B171&lt;&gt;"",COUNTIF('Daily Schedule'!$F$5:$F29,'Daily Workforce'!$B171)=0,IF('Daily Schedule'!$A30=45,'Daily Workforce'!$J171="Y",IF(OR('Daily Schedule'!$A30=4,'Daily Schedule'!$A30=8),IF(OR(WEEKDAY('Daily Schedule'!$B$2,2)=1,WEEKDAY('Daily Schedule'!$B$2,2)=4,WEEKDAY('Daily Schedule'!$B$2,2)=5,WEEKDAY('Daily Schedule'!$B$2,2)=7),IFERROR(1*'Daily Workforce'!$K171&gt;=3,FALSE()),IFERROR(1*'Daily Workforce'!$K171&gt;=2,FALSE())),IF(AND('Daily Schedule'!$A30&gt;=46,'Daily Schedule'!$A30&lt;=52),'Daily Workforce'!$M171="Y",IFERROR(1*'Daily Workforce'!$P171&gt;=2,FALSE()))))),1,0)</f>
        <v>0</v>
      </c>
      <c r="GA26" s="1" t="n">
        <f aca="false">IF(AND('Daily Workforce'!$N172="Y",'Daily Workforce'!$B172&lt;&gt;"",COUNTIF('Daily Schedule'!$F$5:$F29,'Daily Workforce'!$B172)=0,IF('Daily Schedule'!$A30=45,'Daily Workforce'!$J172="Y",IF(OR('Daily Schedule'!$A30=4,'Daily Schedule'!$A30=8),IF(OR(WEEKDAY('Daily Schedule'!$B$2,2)=1,WEEKDAY('Daily Schedule'!$B$2,2)=4,WEEKDAY('Daily Schedule'!$B$2,2)=5,WEEKDAY('Daily Schedule'!$B$2,2)=7),IFERROR(1*'Daily Workforce'!$K172&gt;=3,FALSE()),IFERROR(1*'Daily Workforce'!$K172&gt;=2,FALSE())),IF(AND('Daily Schedule'!$A30&gt;=46,'Daily Schedule'!$A30&lt;=52),'Daily Workforce'!$M172="Y",IFERROR(1*'Daily Workforce'!$P172&gt;=2,FALSE()))))),1,0)</f>
        <v>0</v>
      </c>
      <c r="GB26" s="1" t="n">
        <f aca="false">IF(AND('Daily Workforce'!$N173="Y",'Daily Workforce'!$B173&lt;&gt;"",COUNTIF('Daily Schedule'!$F$5:$F29,'Daily Workforce'!$B173)=0,IF('Daily Schedule'!$A30=45,'Daily Workforce'!$J173="Y",IF(OR('Daily Schedule'!$A30=4,'Daily Schedule'!$A30=8),IF(OR(WEEKDAY('Daily Schedule'!$B$2,2)=1,WEEKDAY('Daily Schedule'!$B$2,2)=4,WEEKDAY('Daily Schedule'!$B$2,2)=5,WEEKDAY('Daily Schedule'!$B$2,2)=7),IFERROR(1*'Daily Workforce'!$K173&gt;=3,FALSE()),IFERROR(1*'Daily Workforce'!$K173&gt;=2,FALSE())),IF(AND('Daily Schedule'!$A30&gt;=46,'Daily Schedule'!$A30&lt;=52),'Daily Workforce'!$M173="Y",IFERROR(1*'Daily Workforce'!$P173&gt;=2,FALSE()))))),1,0)</f>
        <v>0</v>
      </c>
      <c r="GC26" s="1" t="n">
        <f aca="false">IF(AND('Daily Workforce'!$N174="Y",'Daily Workforce'!$B174&lt;&gt;"",COUNTIF('Daily Schedule'!$F$5:$F29,'Daily Workforce'!$B174)=0,IF('Daily Schedule'!$A30=45,'Daily Workforce'!$J174="Y",IF(OR('Daily Schedule'!$A30=4,'Daily Schedule'!$A30=8),IF(OR(WEEKDAY('Daily Schedule'!$B$2,2)=1,WEEKDAY('Daily Schedule'!$B$2,2)=4,WEEKDAY('Daily Schedule'!$B$2,2)=5,WEEKDAY('Daily Schedule'!$B$2,2)=7),IFERROR(1*'Daily Workforce'!$K174&gt;=3,FALSE()),IFERROR(1*'Daily Workforce'!$K174&gt;=2,FALSE())),IF(AND('Daily Schedule'!$A30&gt;=46,'Daily Schedule'!$A30&lt;=52),'Daily Workforce'!$M174="Y",IFERROR(1*'Daily Workforce'!$P174&gt;=2,FALSE()))))),1,0)</f>
        <v>0</v>
      </c>
      <c r="GD26" s="1" t="n">
        <f aca="false">IF(AND('Daily Workforce'!$N175="Y",'Daily Workforce'!$B175&lt;&gt;"",COUNTIF('Daily Schedule'!$F$5:$F29,'Daily Workforce'!$B175)=0,IF('Daily Schedule'!$A30=45,'Daily Workforce'!$J175="Y",IF(OR('Daily Schedule'!$A30=4,'Daily Schedule'!$A30=8),IF(OR(WEEKDAY('Daily Schedule'!$B$2,2)=1,WEEKDAY('Daily Schedule'!$B$2,2)=4,WEEKDAY('Daily Schedule'!$B$2,2)=5,WEEKDAY('Daily Schedule'!$B$2,2)=7),IFERROR(1*'Daily Workforce'!$K175&gt;=3,FALSE()),IFERROR(1*'Daily Workforce'!$K175&gt;=2,FALSE())),IF(AND('Daily Schedule'!$A30&gt;=46,'Daily Schedule'!$A30&lt;=52),'Daily Workforce'!$M175="Y",IFERROR(1*'Daily Workforce'!$P175&gt;=2,FALSE()))))),1,0)</f>
        <v>0</v>
      </c>
      <c r="GE26" s="1" t="n">
        <f aca="false">IF(AND('Daily Workforce'!$N176="Y",'Daily Workforce'!$B176&lt;&gt;"",COUNTIF('Daily Schedule'!$F$5:$F29,'Daily Workforce'!$B176)=0,IF('Daily Schedule'!$A30=45,'Daily Workforce'!$J176="Y",IF(OR('Daily Schedule'!$A30=4,'Daily Schedule'!$A30=8),IF(OR(WEEKDAY('Daily Schedule'!$B$2,2)=1,WEEKDAY('Daily Schedule'!$B$2,2)=4,WEEKDAY('Daily Schedule'!$B$2,2)=5,WEEKDAY('Daily Schedule'!$B$2,2)=7),IFERROR(1*'Daily Workforce'!$K176&gt;=3,FALSE()),IFERROR(1*'Daily Workforce'!$K176&gt;=2,FALSE())),IF(AND('Daily Schedule'!$A30&gt;=46,'Daily Schedule'!$A30&lt;=52),'Daily Workforce'!$M176="Y",IFERROR(1*'Daily Workforce'!$P176&gt;=2,FALSE()))))),1,0)</f>
        <v>0</v>
      </c>
      <c r="GF26" s="1" t="n">
        <f aca="false">IF(AND('Daily Workforce'!$N177="Y",'Daily Workforce'!$B177&lt;&gt;"",COUNTIF('Daily Schedule'!$F$5:$F29,'Daily Workforce'!$B177)=0,IF('Daily Schedule'!$A30=45,'Daily Workforce'!$J177="Y",IF(OR('Daily Schedule'!$A30=4,'Daily Schedule'!$A30=8),IF(OR(WEEKDAY('Daily Schedule'!$B$2,2)=1,WEEKDAY('Daily Schedule'!$B$2,2)=4,WEEKDAY('Daily Schedule'!$B$2,2)=5,WEEKDAY('Daily Schedule'!$B$2,2)=7),IFERROR(1*'Daily Workforce'!$K177&gt;=3,FALSE()),IFERROR(1*'Daily Workforce'!$K177&gt;=2,FALSE())),IF(AND('Daily Schedule'!$A30&gt;=46,'Daily Schedule'!$A30&lt;=52),'Daily Workforce'!$M177="Y",IFERROR(1*'Daily Workforce'!$P177&gt;=2,FALSE()))))),1,0)</f>
        <v>0</v>
      </c>
      <c r="GG26" s="1" t="n">
        <f aca="false">IF(AND('Daily Workforce'!$N178="Y",'Daily Workforce'!$B178&lt;&gt;"",COUNTIF('Daily Schedule'!$F$5:$F29,'Daily Workforce'!$B178)=0,IF('Daily Schedule'!$A30=45,'Daily Workforce'!$J178="Y",IF(OR('Daily Schedule'!$A30=4,'Daily Schedule'!$A30=8),IF(OR(WEEKDAY('Daily Schedule'!$B$2,2)=1,WEEKDAY('Daily Schedule'!$B$2,2)=4,WEEKDAY('Daily Schedule'!$B$2,2)=5,WEEKDAY('Daily Schedule'!$B$2,2)=7),IFERROR(1*'Daily Workforce'!$K178&gt;=3,FALSE()),IFERROR(1*'Daily Workforce'!$K178&gt;=2,FALSE())),IF(AND('Daily Schedule'!$A30&gt;=46,'Daily Schedule'!$A30&lt;=52),'Daily Workforce'!$M178="Y",IFERROR(1*'Daily Workforce'!$P178&gt;=2,FALSE()))))),1,0)</f>
        <v>0</v>
      </c>
      <c r="GH26" s="1" t="n">
        <f aca="false">IF(AND('Daily Workforce'!$N179="Y",'Daily Workforce'!$B179&lt;&gt;"",COUNTIF('Daily Schedule'!$F$5:$F29,'Daily Workforce'!$B179)=0,IF('Daily Schedule'!$A30=45,'Daily Workforce'!$J179="Y",IF(OR('Daily Schedule'!$A30=4,'Daily Schedule'!$A30=8),IF(OR(WEEKDAY('Daily Schedule'!$B$2,2)=1,WEEKDAY('Daily Schedule'!$B$2,2)=4,WEEKDAY('Daily Schedule'!$B$2,2)=5,WEEKDAY('Daily Schedule'!$B$2,2)=7),IFERROR(1*'Daily Workforce'!$K179&gt;=3,FALSE()),IFERROR(1*'Daily Workforce'!$K179&gt;=2,FALSE())),IF(AND('Daily Schedule'!$A30&gt;=46,'Daily Schedule'!$A30&lt;=52),'Daily Workforce'!$M179="Y",IFERROR(1*'Daily Workforce'!$P179&gt;=2,FALSE()))))),1,0)</f>
        <v>0</v>
      </c>
      <c r="GI26" s="1" t="n">
        <f aca="false">IF(AND('Daily Workforce'!$N180="Y",'Daily Workforce'!$B180&lt;&gt;"",COUNTIF('Daily Schedule'!$F$5:$F29,'Daily Workforce'!$B180)=0,IF('Daily Schedule'!$A30=45,'Daily Workforce'!$J180="Y",IF(OR('Daily Schedule'!$A30=4,'Daily Schedule'!$A30=8),IF(OR(WEEKDAY('Daily Schedule'!$B$2,2)=1,WEEKDAY('Daily Schedule'!$B$2,2)=4,WEEKDAY('Daily Schedule'!$B$2,2)=5,WEEKDAY('Daily Schedule'!$B$2,2)=7),IFERROR(1*'Daily Workforce'!$K180&gt;=3,FALSE()),IFERROR(1*'Daily Workforce'!$K180&gt;=2,FALSE())),IF(AND('Daily Schedule'!$A30&gt;=46,'Daily Schedule'!$A30&lt;=52),'Daily Workforce'!$M180="Y",IFERROR(1*'Daily Workforce'!$P180&gt;=2,FALSE()))))),1,0)</f>
        <v>0</v>
      </c>
      <c r="GJ26" s="1" t="n">
        <f aca="false">IF(AND('Daily Workforce'!$N181="Y",'Daily Workforce'!$B181&lt;&gt;"",COUNTIF('Daily Schedule'!$F$5:$F29,'Daily Workforce'!$B181)=0,IF('Daily Schedule'!$A30=45,'Daily Workforce'!$J181="Y",IF(OR('Daily Schedule'!$A30=4,'Daily Schedule'!$A30=8),IF(OR(WEEKDAY('Daily Schedule'!$B$2,2)=1,WEEKDAY('Daily Schedule'!$B$2,2)=4,WEEKDAY('Daily Schedule'!$B$2,2)=5,WEEKDAY('Daily Schedule'!$B$2,2)=7),IFERROR(1*'Daily Workforce'!$K181&gt;=3,FALSE()),IFERROR(1*'Daily Workforce'!$K181&gt;=2,FALSE())),IF(AND('Daily Schedule'!$A30&gt;=46,'Daily Schedule'!$A30&lt;=52),'Daily Workforce'!$M181="Y",IFERROR(1*'Daily Workforce'!$P181&gt;=2,FALSE()))))),1,0)</f>
        <v>0</v>
      </c>
      <c r="GK26" s="1" t="n">
        <f aca="false">IF(AND('Daily Workforce'!$N182="Y",'Daily Workforce'!$B182&lt;&gt;"",COUNTIF('Daily Schedule'!$F$5:$F29,'Daily Workforce'!$B182)=0,IF('Daily Schedule'!$A30=45,'Daily Workforce'!$J182="Y",IF(OR('Daily Schedule'!$A30=4,'Daily Schedule'!$A30=8),IF(OR(WEEKDAY('Daily Schedule'!$B$2,2)=1,WEEKDAY('Daily Schedule'!$B$2,2)=4,WEEKDAY('Daily Schedule'!$B$2,2)=5,WEEKDAY('Daily Schedule'!$B$2,2)=7),IFERROR(1*'Daily Workforce'!$K182&gt;=3,FALSE()),IFERROR(1*'Daily Workforce'!$K182&gt;=2,FALSE())),IF(AND('Daily Schedule'!$A30&gt;=46,'Daily Schedule'!$A30&lt;=52),'Daily Workforce'!$M182="Y",IFERROR(1*'Daily Workforce'!$P182&gt;=2,FALSE()))))),1,0)</f>
        <v>0</v>
      </c>
      <c r="GL26" s="1" t="n">
        <f aca="false">IF(AND('Daily Workforce'!$N183="Y",'Daily Workforce'!$B183&lt;&gt;"",COUNTIF('Daily Schedule'!$F$5:$F29,'Daily Workforce'!$B183)=0,IF('Daily Schedule'!$A30=45,'Daily Workforce'!$J183="Y",IF(OR('Daily Schedule'!$A30=4,'Daily Schedule'!$A30=8),IF(OR(WEEKDAY('Daily Schedule'!$B$2,2)=1,WEEKDAY('Daily Schedule'!$B$2,2)=4,WEEKDAY('Daily Schedule'!$B$2,2)=5,WEEKDAY('Daily Schedule'!$B$2,2)=7),IFERROR(1*'Daily Workforce'!$K183&gt;=3,FALSE()),IFERROR(1*'Daily Workforce'!$K183&gt;=2,FALSE())),IF(AND('Daily Schedule'!$A30&gt;=46,'Daily Schedule'!$A30&lt;=52),'Daily Workforce'!$M183="Y",IFERROR(1*'Daily Workforce'!$P183&gt;=2,FALSE()))))),1,0)</f>
        <v>0</v>
      </c>
      <c r="GM26" s="1" t="n">
        <f aca="false">IF(AND('Daily Workforce'!$N184="Y",'Daily Workforce'!$B184&lt;&gt;"",COUNTIF('Daily Schedule'!$F$5:$F29,'Daily Workforce'!$B184)=0,IF('Daily Schedule'!$A30=45,'Daily Workforce'!$J184="Y",IF(OR('Daily Schedule'!$A30=4,'Daily Schedule'!$A30=8),IF(OR(WEEKDAY('Daily Schedule'!$B$2,2)=1,WEEKDAY('Daily Schedule'!$B$2,2)=4,WEEKDAY('Daily Schedule'!$B$2,2)=5,WEEKDAY('Daily Schedule'!$B$2,2)=7),IFERROR(1*'Daily Workforce'!$K184&gt;=3,FALSE()),IFERROR(1*'Daily Workforce'!$K184&gt;=2,FALSE())),IF(AND('Daily Schedule'!$A30&gt;=46,'Daily Schedule'!$A30&lt;=52),'Daily Workforce'!$M184="Y",IFERROR(1*'Daily Workforce'!$P184&gt;=2,FALSE()))))),1,0)</f>
        <v>0</v>
      </c>
      <c r="GN26" s="1" t="n">
        <f aca="false">IF(AND('Daily Workforce'!$N185="Y",'Daily Workforce'!$B185&lt;&gt;"",COUNTIF('Daily Schedule'!$F$5:$F29,'Daily Workforce'!$B185)=0,IF('Daily Schedule'!$A30=45,'Daily Workforce'!$J185="Y",IF(OR('Daily Schedule'!$A30=4,'Daily Schedule'!$A30=8),IF(OR(WEEKDAY('Daily Schedule'!$B$2,2)=1,WEEKDAY('Daily Schedule'!$B$2,2)=4,WEEKDAY('Daily Schedule'!$B$2,2)=5,WEEKDAY('Daily Schedule'!$B$2,2)=7),IFERROR(1*'Daily Workforce'!$K185&gt;=3,FALSE()),IFERROR(1*'Daily Workforce'!$K185&gt;=2,FALSE())),IF(AND('Daily Schedule'!$A30&gt;=46,'Daily Schedule'!$A30&lt;=52),'Daily Workforce'!$M185="Y",IFERROR(1*'Daily Workforce'!$P185&gt;=2,FALSE()))))),1,0)</f>
        <v>0</v>
      </c>
      <c r="GO26" s="1" t="n">
        <f aca="false">IF(AND('Daily Workforce'!$N186="Y",'Daily Workforce'!$B186&lt;&gt;"",COUNTIF('Daily Schedule'!$F$5:$F29,'Daily Workforce'!$B186)=0,IF('Daily Schedule'!$A30=45,'Daily Workforce'!$J186="Y",IF(OR('Daily Schedule'!$A30=4,'Daily Schedule'!$A30=8),IF(OR(WEEKDAY('Daily Schedule'!$B$2,2)=1,WEEKDAY('Daily Schedule'!$B$2,2)=4,WEEKDAY('Daily Schedule'!$B$2,2)=5,WEEKDAY('Daily Schedule'!$B$2,2)=7),IFERROR(1*'Daily Workforce'!$K186&gt;=3,FALSE()),IFERROR(1*'Daily Workforce'!$K186&gt;=2,FALSE())),IF(AND('Daily Schedule'!$A30&gt;=46,'Daily Schedule'!$A30&lt;=52),'Daily Workforce'!$M186="Y",IFERROR(1*'Daily Workforce'!$P186&gt;=2,FALSE()))))),1,0)</f>
        <v>0</v>
      </c>
      <c r="GP26" s="1" t="n">
        <f aca="false">IF(AND('Daily Workforce'!$N187="Y",'Daily Workforce'!$B187&lt;&gt;"",COUNTIF('Daily Schedule'!$F$5:$F29,'Daily Workforce'!$B187)=0,IF('Daily Schedule'!$A30=45,'Daily Workforce'!$J187="Y",IF(OR('Daily Schedule'!$A30=4,'Daily Schedule'!$A30=8),IF(OR(WEEKDAY('Daily Schedule'!$B$2,2)=1,WEEKDAY('Daily Schedule'!$B$2,2)=4,WEEKDAY('Daily Schedule'!$B$2,2)=5,WEEKDAY('Daily Schedule'!$B$2,2)=7),IFERROR(1*'Daily Workforce'!$K187&gt;=3,FALSE()),IFERROR(1*'Daily Workforce'!$K187&gt;=2,FALSE())),IF(AND('Daily Schedule'!$A30&gt;=46,'Daily Schedule'!$A30&lt;=52),'Daily Workforce'!$M187="Y",IFERROR(1*'Daily Workforce'!$P187&gt;=2,FALSE()))))),1,0)</f>
        <v>0</v>
      </c>
      <c r="GQ26" s="1" t="n">
        <f aca="false">IF(AND('Daily Workforce'!$N188="Y",'Daily Workforce'!$B188&lt;&gt;"",COUNTIF('Daily Schedule'!$F$5:$F29,'Daily Workforce'!$B188)=0,IF('Daily Schedule'!$A30=45,'Daily Workforce'!$J188="Y",IF(OR('Daily Schedule'!$A30=4,'Daily Schedule'!$A30=8),IF(OR(WEEKDAY('Daily Schedule'!$B$2,2)=1,WEEKDAY('Daily Schedule'!$B$2,2)=4,WEEKDAY('Daily Schedule'!$B$2,2)=5,WEEKDAY('Daily Schedule'!$B$2,2)=7),IFERROR(1*'Daily Workforce'!$K188&gt;=3,FALSE()),IFERROR(1*'Daily Workforce'!$K188&gt;=2,FALSE())),IF(AND('Daily Schedule'!$A30&gt;=46,'Daily Schedule'!$A30&lt;=52),'Daily Workforce'!$M188="Y",IFERROR(1*'Daily Workforce'!$P188&gt;=2,FALSE()))))),1,0)</f>
        <v>0</v>
      </c>
      <c r="GR26" s="1" t="n">
        <f aca="false">IF(AND('Daily Workforce'!$N189="Y",'Daily Workforce'!$B189&lt;&gt;"",COUNTIF('Daily Schedule'!$F$5:$F29,'Daily Workforce'!$B189)=0,IF('Daily Schedule'!$A30=45,'Daily Workforce'!$J189="Y",IF(OR('Daily Schedule'!$A30=4,'Daily Schedule'!$A30=8),IF(OR(WEEKDAY('Daily Schedule'!$B$2,2)=1,WEEKDAY('Daily Schedule'!$B$2,2)=4,WEEKDAY('Daily Schedule'!$B$2,2)=5,WEEKDAY('Daily Schedule'!$B$2,2)=7),IFERROR(1*'Daily Workforce'!$K189&gt;=3,FALSE()),IFERROR(1*'Daily Workforce'!$K189&gt;=2,FALSE())),IF(AND('Daily Schedule'!$A30&gt;=46,'Daily Schedule'!$A30&lt;=52),'Daily Workforce'!$M189="Y",IFERROR(1*'Daily Workforce'!$P189&gt;=2,FALSE()))))),1,0)</f>
        <v>0</v>
      </c>
      <c r="GS26" s="1" t="n">
        <f aca="false">IF(AND('Daily Workforce'!$N190="Y",'Daily Workforce'!$B190&lt;&gt;"",COUNTIF('Daily Schedule'!$F$5:$F29,'Daily Workforce'!$B190)=0,IF('Daily Schedule'!$A30=45,'Daily Workforce'!$J190="Y",IF(OR('Daily Schedule'!$A30=4,'Daily Schedule'!$A30=8),IF(OR(WEEKDAY('Daily Schedule'!$B$2,2)=1,WEEKDAY('Daily Schedule'!$B$2,2)=4,WEEKDAY('Daily Schedule'!$B$2,2)=5,WEEKDAY('Daily Schedule'!$B$2,2)=7),IFERROR(1*'Daily Workforce'!$K190&gt;=3,FALSE()),IFERROR(1*'Daily Workforce'!$K190&gt;=2,FALSE())),IF(AND('Daily Schedule'!$A30&gt;=46,'Daily Schedule'!$A30&lt;=52),'Daily Workforce'!$M190="Y",IFERROR(1*'Daily Workforce'!$P190&gt;=2,FALSE()))))),1,0)</f>
        <v>0</v>
      </c>
      <c r="GT26" s="1" t="n">
        <f aca="false">IF(AND('Daily Workforce'!$N191="Y",'Daily Workforce'!$B191&lt;&gt;"",COUNTIF('Daily Schedule'!$F$5:$F29,'Daily Workforce'!$B191)=0,IF('Daily Schedule'!$A30=45,'Daily Workforce'!$J191="Y",IF(OR('Daily Schedule'!$A30=4,'Daily Schedule'!$A30=8),IF(OR(WEEKDAY('Daily Schedule'!$B$2,2)=1,WEEKDAY('Daily Schedule'!$B$2,2)=4,WEEKDAY('Daily Schedule'!$B$2,2)=5,WEEKDAY('Daily Schedule'!$B$2,2)=7),IFERROR(1*'Daily Workforce'!$K191&gt;=3,FALSE()),IFERROR(1*'Daily Workforce'!$K191&gt;=2,FALSE())),IF(AND('Daily Schedule'!$A30&gt;=46,'Daily Schedule'!$A30&lt;=52),'Daily Workforce'!$M191="Y",IFERROR(1*'Daily Workforce'!$P191&gt;=2,FALSE()))))),1,0)</f>
        <v>0</v>
      </c>
      <c r="GU26" s="1" t="n">
        <f aca="false">IF(AND('Daily Workforce'!$N192="Y",'Daily Workforce'!$B192&lt;&gt;"",COUNTIF('Daily Schedule'!$F$5:$F29,'Daily Workforce'!$B192)=0,IF('Daily Schedule'!$A30=45,'Daily Workforce'!$J192="Y",IF(OR('Daily Schedule'!$A30=4,'Daily Schedule'!$A30=8),IF(OR(WEEKDAY('Daily Schedule'!$B$2,2)=1,WEEKDAY('Daily Schedule'!$B$2,2)=4,WEEKDAY('Daily Schedule'!$B$2,2)=5,WEEKDAY('Daily Schedule'!$B$2,2)=7),IFERROR(1*'Daily Workforce'!$K192&gt;=3,FALSE()),IFERROR(1*'Daily Workforce'!$K192&gt;=2,FALSE())),IF(AND('Daily Schedule'!$A30&gt;=46,'Daily Schedule'!$A30&lt;=52),'Daily Workforce'!$M192="Y",IFERROR(1*'Daily Workforce'!$P192&gt;=2,FALSE()))))),1,0)</f>
        <v>0</v>
      </c>
      <c r="GV26" s="1" t="n">
        <f aca="false">IF(AND('Daily Workforce'!$N193="Y",'Daily Workforce'!$B193&lt;&gt;"",COUNTIF('Daily Schedule'!$F$5:$F29,'Daily Workforce'!$B193)=0,IF('Daily Schedule'!$A30=45,'Daily Workforce'!$J193="Y",IF(OR('Daily Schedule'!$A30=4,'Daily Schedule'!$A30=8),IF(OR(WEEKDAY('Daily Schedule'!$B$2,2)=1,WEEKDAY('Daily Schedule'!$B$2,2)=4,WEEKDAY('Daily Schedule'!$B$2,2)=5,WEEKDAY('Daily Schedule'!$B$2,2)=7),IFERROR(1*'Daily Workforce'!$K193&gt;=3,FALSE()),IFERROR(1*'Daily Workforce'!$K193&gt;=2,FALSE())),IF(AND('Daily Schedule'!$A30&gt;=46,'Daily Schedule'!$A30&lt;=52),'Daily Workforce'!$M193="Y",IFERROR(1*'Daily Workforce'!$P193&gt;=2,FALSE()))))),1,0)</f>
        <v>0</v>
      </c>
      <c r="GW26" s="1" t="n">
        <f aca="false">IF(AND('Daily Workforce'!$N194="Y",'Daily Workforce'!$B194&lt;&gt;"",COUNTIF('Daily Schedule'!$F$5:$F29,'Daily Workforce'!$B194)=0,IF('Daily Schedule'!$A30=45,'Daily Workforce'!$J194="Y",IF(OR('Daily Schedule'!$A30=4,'Daily Schedule'!$A30=8),IF(OR(WEEKDAY('Daily Schedule'!$B$2,2)=1,WEEKDAY('Daily Schedule'!$B$2,2)=4,WEEKDAY('Daily Schedule'!$B$2,2)=5,WEEKDAY('Daily Schedule'!$B$2,2)=7),IFERROR(1*'Daily Workforce'!$K194&gt;=3,FALSE()),IFERROR(1*'Daily Workforce'!$K194&gt;=2,FALSE())),IF(AND('Daily Schedule'!$A30&gt;=46,'Daily Schedule'!$A30&lt;=52),'Daily Workforce'!$M194="Y",IFERROR(1*'Daily Workforce'!$P194&gt;=2,FALSE()))))),1,0)</f>
        <v>0</v>
      </c>
      <c r="GX26" s="1" t="n">
        <f aca="false">IF(AND('Daily Workforce'!$N195="Y",'Daily Workforce'!$B195&lt;&gt;"",COUNTIF('Daily Schedule'!$F$5:$F29,'Daily Workforce'!$B195)=0,IF('Daily Schedule'!$A30=45,'Daily Workforce'!$J195="Y",IF(OR('Daily Schedule'!$A30=4,'Daily Schedule'!$A30=8),IF(OR(WEEKDAY('Daily Schedule'!$B$2,2)=1,WEEKDAY('Daily Schedule'!$B$2,2)=4,WEEKDAY('Daily Schedule'!$B$2,2)=5,WEEKDAY('Daily Schedule'!$B$2,2)=7),IFERROR(1*'Daily Workforce'!$K195&gt;=3,FALSE()),IFERROR(1*'Daily Workforce'!$K195&gt;=2,FALSE())),IF(AND('Daily Schedule'!$A30&gt;=46,'Daily Schedule'!$A30&lt;=52),'Daily Workforce'!$M195="Y",IFERROR(1*'Daily Workforce'!$P195&gt;=2,FALSE()))))),1,0)</f>
        <v>0</v>
      </c>
      <c r="GY26" s="1" t="n">
        <f aca="false">IF(AND('Daily Workforce'!$N196="Y",'Daily Workforce'!$B196&lt;&gt;"",COUNTIF('Daily Schedule'!$F$5:$F29,'Daily Workforce'!$B196)=0,IF('Daily Schedule'!$A30=45,'Daily Workforce'!$J196="Y",IF(OR('Daily Schedule'!$A30=4,'Daily Schedule'!$A30=8),IF(OR(WEEKDAY('Daily Schedule'!$B$2,2)=1,WEEKDAY('Daily Schedule'!$B$2,2)=4,WEEKDAY('Daily Schedule'!$B$2,2)=5,WEEKDAY('Daily Schedule'!$B$2,2)=7),IFERROR(1*'Daily Workforce'!$K196&gt;=3,FALSE()),IFERROR(1*'Daily Workforce'!$K196&gt;=2,FALSE())),IF(AND('Daily Schedule'!$A30&gt;=46,'Daily Schedule'!$A30&lt;=52),'Daily Workforce'!$M196="Y",IFERROR(1*'Daily Workforce'!$P196&gt;=2,FALSE()))))),1,0)</f>
        <v>0</v>
      </c>
      <c r="GZ26" s="1" t="n">
        <f aca="false">IF(AND('Daily Workforce'!$N197="Y",'Daily Workforce'!$B197&lt;&gt;"",COUNTIF('Daily Schedule'!$F$5:$F29,'Daily Workforce'!$B197)=0,IF('Daily Schedule'!$A30=45,'Daily Workforce'!$J197="Y",IF(OR('Daily Schedule'!$A30=4,'Daily Schedule'!$A30=8),IF(OR(WEEKDAY('Daily Schedule'!$B$2,2)=1,WEEKDAY('Daily Schedule'!$B$2,2)=4,WEEKDAY('Daily Schedule'!$B$2,2)=5,WEEKDAY('Daily Schedule'!$B$2,2)=7),IFERROR(1*'Daily Workforce'!$K197&gt;=3,FALSE()),IFERROR(1*'Daily Workforce'!$K197&gt;=2,FALSE())),IF(AND('Daily Schedule'!$A30&gt;=46,'Daily Schedule'!$A30&lt;=52),'Daily Workforce'!$M197="Y",IFERROR(1*'Daily Workforce'!$P197&gt;=2,FALSE()))))),1,0)</f>
        <v>0</v>
      </c>
      <c r="HA26" s="1" t="n">
        <f aca="false">IF(AND('Daily Workforce'!$N198="Y",'Daily Workforce'!$B198&lt;&gt;"",COUNTIF('Daily Schedule'!$F$5:$F29,'Daily Workforce'!$B198)=0,IF('Daily Schedule'!$A30=45,'Daily Workforce'!$J198="Y",IF(OR('Daily Schedule'!$A30=4,'Daily Schedule'!$A30=8),IF(OR(WEEKDAY('Daily Schedule'!$B$2,2)=1,WEEKDAY('Daily Schedule'!$B$2,2)=4,WEEKDAY('Daily Schedule'!$B$2,2)=5,WEEKDAY('Daily Schedule'!$B$2,2)=7),IFERROR(1*'Daily Workforce'!$K198&gt;=3,FALSE()),IFERROR(1*'Daily Workforce'!$K198&gt;=2,FALSE())),IF(AND('Daily Schedule'!$A30&gt;=46,'Daily Schedule'!$A30&lt;=52),'Daily Workforce'!$M198="Y",IFERROR(1*'Daily Workforce'!$P198&gt;=2,FALSE()))))),1,0)</f>
        <v>0</v>
      </c>
      <c r="HB26" s="1" t="n">
        <f aca="false">IF(AND('Daily Workforce'!$N199="Y",'Daily Workforce'!$B199&lt;&gt;"",COUNTIF('Daily Schedule'!$F$5:$F29,'Daily Workforce'!$B199)=0,IF('Daily Schedule'!$A30=45,'Daily Workforce'!$J199="Y",IF(OR('Daily Schedule'!$A30=4,'Daily Schedule'!$A30=8),IF(OR(WEEKDAY('Daily Schedule'!$B$2,2)=1,WEEKDAY('Daily Schedule'!$B$2,2)=4,WEEKDAY('Daily Schedule'!$B$2,2)=5,WEEKDAY('Daily Schedule'!$B$2,2)=7),IFERROR(1*'Daily Workforce'!$K199&gt;=3,FALSE()),IFERROR(1*'Daily Workforce'!$K199&gt;=2,FALSE())),IF(AND('Daily Schedule'!$A30&gt;=46,'Daily Schedule'!$A30&lt;=52),'Daily Workforce'!$M199="Y",IFERROR(1*'Daily Workforce'!$P199&gt;=2,FALSE()))))),1,0)</f>
        <v>0</v>
      </c>
      <c r="HC26" s="1" t="n">
        <f aca="false">IF(AND('Daily Workforce'!$N200="Y",'Daily Workforce'!$B200&lt;&gt;"",COUNTIF('Daily Schedule'!$F$5:$F29,'Daily Workforce'!$B200)=0,IF('Daily Schedule'!$A30=45,'Daily Workforce'!$J200="Y",IF(OR('Daily Schedule'!$A30=4,'Daily Schedule'!$A30=8),IF(OR(WEEKDAY('Daily Schedule'!$B$2,2)=1,WEEKDAY('Daily Schedule'!$B$2,2)=4,WEEKDAY('Daily Schedule'!$B$2,2)=5,WEEKDAY('Daily Schedule'!$B$2,2)=7),IFERROR(1*'Daily Workforce'!$K200&gt;=3,FALSE()),IFERROR(1*'Daily Workforce'!$K200&gt;=2,FALSE())),IF(AND('Daily Schedule'!$A30&gt;=46,'Daily Schedule'!$A30&lt;=52),'Daily Workforce'!$M200="Y",IFERROR(1*'Daily Workforce'!$P200&gt;=2,FALSE()))))),1,0)</f>
        <v>0</v>
      </c>
      <c r="HD26" s="1" t="n">
        <f aca="false">IF(AND('Daily Workforce'!$N201="Y",'Daily Workforce'!$B201&lt;&gt;"",COUNTIF('Daily Schedule'!$F$5:$F29,'Daily Workforce'!$B201)=0,IF('Daily Schedule'!$A30=45,'Daily Workforce'!$J201="Y",IF(OR('Daily Schedule'!$A30=4,'Daily Schedule'!$A30=8),IF(OR(WEEKDAY('Daily Schedule'!$B$2,2)=1,WEEKDAY('Daily Schedule'!$B$2,2)=4,WEEKDAY('Daily Schedule'!$B$2,2)=5,WEEKDAY('Daily Schedule'!$B$2,2)=7),IFERROR(1*'Daily Workforce'!$K201&gt;=3,FALSE()),IFERROR(1*'Daily Workforce'!$K201&gt;=2,FALSE())),IF(AND('Daily Schedule'!$A30&gt;=46,'Daily Schedule'!$A30&lt;=52),'Daily Workforce'!$M201="Y",IFERROR(1*'Daily Workforce'!$P201&gt;=2,FALSE()))))),1,0)</f>
        <v>0</v>
      </c>
      <c r="HE26" s="1" t="n">
        <f aca="false">IF(AND('Daily Workforce'!$N202="Y",'Daily Workforce'!$B202&lt;&gt;"",COUNTIF('Daily Schedule'!$F$5:$F29,'Daily Workforce'!$B202)=0,IF('Daily Schedule'!$A30=45,'Daily Workforce'!$J202="Y",IF(OR('Daily Schedule'!$A30=4,'Daily Schedule'!$A30=8),IF(OR(WEEKDAY('Daily Schedule'!$B$2,2)=1,WEEKDAY('Daily Schedule'!$B$2,2)=4,WEEKDAY('Daily Schedule'!$B$2,2)=5,WEEKDAY('Daily Schedule'!$B$2,2)=7),IFERROR(1*'Daily Workforce'!$K202&gt;=3,FALSE()),IFERROR(1*'Daily Workforce'!$K202&gt;=2,FALSE())),IF(AND('Daily Schedule'!$A30&gt;=46,'Daily Schedule'!$A30&lt;=52),'Daily Workforce'!$M202="Y",IFERROR(1*'Daily Workforce'!$P202&gt;=2,FALSE()))))),1,0)</f>
        <v>0</v>
      </c>
      <c r="HF26" s="1" t="n">
        <f aca="false">IF(AND('Daily Workforce'!$N203="Y",'Daily Workforce'!$B203&lt;&gt;"",COUNTIF('Daily Schedule'!$F$5:$F29,'Daily Workforce'!$B203)=0,IF('Daily Schedule'!$A30=45,'Daily Workforce'!$J203="Y",IF(OR('Daily Schedule'!$A30=4,'Daily Schedule'!$A30=8),IF(OR(WEEKDAY('Daily Schedule'!$B$2,2)=1,WEEKDAY('Daily Schedule'!$B$2,2)=4,WEEKDAY('Daily Schedule'!$B$2,2)=5,WEEKDAY('Daily Schedule'!$B$2,2)=7),IFERROR(1*'Daily Workforce'!$K203&gt;=3,FALSE()),IFERROR(1*'Daily Workforce'!$K203&gt;=2,FALSE())),IF(AND('Daily Schedule'!$A30&gt;=46,'Daily Schedule'!$A30&lt;=52),'Daily Workforce'!$M203="Y",IFERROR(1*'Daily Workforce'!$P203&gt;=2,FALSE()))))),1,0)</f>
        <v>0</v>
      </c>
      <c r="HG26" s="1" t="n">
        <f aca="false">IF(AND('Daily Workforce'!$N204="Y",'Daily Workforce'!$B204&lt;&gt;"",COUNTIF('Daily Schedule'!$F$5:$F29,'Daily Workforce'!$B204)=0,IF('Daily Schedule'!$A30=45,'Daily Workforce'!$J204="Y",IF(OR('Daily Schedule'!$A30=4,'Daily Schedule'!$A30=8),IF(OR(WEEKDAY('Daily Schedule'!$B$2,2)=1,WEEKDAY('Daily Schedule'!$B$2,2)=4,WEEKDAY('Daily Schedule'!$B$2,2)=5,WEEKDAY('Daily Schedule'!$B$2,2)=7),IFERROR(1*'Daily Workforce'!$K204&gt;=3,FALSE()),IFERROR(1*'Daily Workforce'!$K204&gt;=2,FALSE())),IF(AND('Daily Schedule'!$A30&gt;=46,'Daily Schedule'!$A30&lt;=52),'Daily Workforce'!$M204="Y",IFERROR(1*'Daily Workforce'!$P204&gt;=2,FALSE()))))),1,0)</f>
        <v>0</v>
      </c>
      <c r="HH26" s="1" t="n">
        <f aca="false">IF(AND('Daily Workforce'!$N205="Y",'Daily Workforce'!$B205&lt;&gt;"",COUNTIF('Daily Schedule'!$F$5:$F29,'Daily Workforce'!$B205)=0,IF('Daily Schedule'!$A30=45,'Daily Workforce'!$J205="Y",IF(OR('Daily Schedule'!$A30=4,'Daily Schedule'!$A30=8),IF(OR(WEEKDAY('Daily Schedule'!$B$2,2)=1,WEEKDAY('Daily Schedule'!$B$2,2)=4,WEEKDAY('Daily Schedule'!$B$2,2)=5,WEEKDAY('Daily Schedule'!$B$2,2)=7),IFERROR(1*'Daily Workforce'!$K205&gt;=3,FALSE()),IFERROR(1*'Daily Workforce'!$K205&gt;=2,FALSE())),IF(AND('Daily Schedule'!$A30&gt;=46,'Daily Schedule'!$A30&lt;=52),'Daily Workforce'!$M205="Y",IFERROR(1*'Daily Workforce'!$P205&gt;=2,FALSE()))))),1,0)</f>
        <v>0</v>
      </c>
    </row>
    <row r="27" customFormat="false" ht="15" hidden="false" customHeight="true" outlineLevel="0" collapsed="false">
      <c r="L27" s="1" t="s">
        <v>810</v>
      </c>
      <c r="O27" s="1" t="n">
        <f aca="false">IF(AND('Employee Master'!$G27="Y",ISERROR(SEARCH(TEXT('Daily Workforce'!$B$2,"ddd"),'Employee Master'!$D27)),IF('Daily Workforce'!$E$2="",TRUE(),'Employee Master'!$I27='Daily Workforce'!$E$2)),'Employee Master'!$K27*1000+ROW()-1,"")</f>
        <v>2026</v>
      </c>
      <c r="P27" s="1" t="n">
        <f aca="false">IF($O27="","",COUNTIF($O$2:$O$159,"&lt;="&amp;$O27))</f>
        <v>26</v>
      </c>
      <c r="Q27" s="1" t="n">
        <f aca="false">IF(AND('Daily Workforce'!$N6="Y",'Daily Workforce'!$B6&lt;&gt;"",COUNTIF('Daily Schedule'!$F$5:$F30,'Daily Workforce'!$B6)=0,IF('Daily Schedule'!$A31=45,'Daily Workforce'!$J6="Y",IF(OR('Daily Schedule'!$A31=4,'Daily Schedule'!$A31=8),IF(OR(WEEKDAY('Daily Schedule'!$B$2,2)=1,WEEKDAY('Daily Schedule'!$B$2,2)=4,WEEKDAY('Daily Schedule'!$B$2,2)=5,WEEKDAY('Daily Schedule'!$B$2,2)=7),IFERROR(1*'Daily Workforce'!$K6&gt;=3,FALSE()),IFERROR(1*'Daily Workforce'!$K6&gt;=2,FALSE())),IF(AND('Daily Schedule'!$A31&gt;=46,'Daily Schedule'!$A31&lt;=52),'Daily Workforce'!$M6="Y",IFERROR(1*'Daily Workforce'!$P6&gt;=2,FALSE()))))),1,0)</f>
        <v>0</v>
      </c>
      <c r="R27" s="1" t="n">
        <f aca="false">IF(AND('Daily Workforce'!$N7="Y",'Daily Workforce'!$B7&lt;&gt;"",COUNTIF('Daily Schedule'!$F$5:$F30,'Daily Workforce'!$B7)=0,IF('Daily Schedule'!$A31=45,'Daily Workforce'!$J7="Y",IF(OR('Daily Schedule'!$A31=4,'Daily Schedule'!$A31=8),IF(OR(WEEKDAY('Daily Schedule'!$B$2,2)=1,WEEKDAY('Daily Schedule'!$B$2,2)=4,WEEKDAY('Daily Schedule'!$B$2,2)=5,WEEKDAY('Daily Schedule'!$B$2,2)=7),IFERROR(1*'Daily Workforce'!$K7&gt;=3,FALSE()),IFERROR(1*'Daily Workforce'!$K7&gt;=2,FALSE())),IF(AND('Daily Schedule'!$A31&gt;=46,'Daily Schedule'!$A31&lt;=52),'Daily Workforce'!$M7="Y",IFERROR(1*'Daily Workforce'!$P7&gt;=2,FALSE()))))),1,0)</f>
        <v>0</v>
      </c>
      <c r="S27" s="1" t="n">
        <f aca="false">IF(AND('Daily Workforce'!$N8="Y",'Daily Workforce'!$B8&lt;&gt;"",COUNTIF('Daily Schedule'!$F$5:$F30,'Daily Workforce'!$B8)=0,IF('Daily Schedule'!$A31=45,'Daily Workforce'!$J8="Y",IF(OR('Daily Schedule'!$A31=4,'Daily Schedule'!$A31=8),IF(OR(WEEKDAY('Daily Schedule'!$B$2,2)=1,WEEKDAY('Daily Schedule'!$B$2,2)=4,WEEKDAY('Daily Schedule'!$B$2,2)=5,WEEKDAY('Daily Schedule'!$B$2,2)=7),IFERROR(1*'Daily Workforce'!$K8&gt;=3,FALSE()),IFERROR(1*'Daily Workforce'!$K8&gt;=2,FALSE())),IF(AND('Daily Schedule'!$A31&gt;=46,'Daily Schedule'!$A31&lt;=52),'Daily Workforce'!$M8="Y",IFERROR(1*'Daily Workforce'!$P8&gt;=2,FALSE()))))),1,0)</f>
        <v>0</v>
      </c>
      <c r="T27" s="1" t="n">
        <f aca="false">IF(AND('Daily Workforce'!$N9="Y",'Daily Workforce'!$B9&lt;&gt;"",COUNTIF('Daily Schedule'!$F$5:$F30,'Daily Workforce'!$B9)=0,IF('Daily Schedule'!$A31=45,'Daily Workforce'!$J9="Y",IF(OR('Daily Schedule'!$A31=4,'Daily Schedule'!$A31=8),IF(OR(WEEKDAY('Daily Schedule'!$B$2,2)=1,WEEKDAY('Daily Schedule'!$B$2,2)=4,WEEKDAY('Daily Schedule'!$B$2,2)=5,WEEKDAY('Daily Schedule'!$B$2,2)=7),IFERROR(1*'Daily Workforce'!$K9&gt;=3,FALSE()),IFERROR(1*'Daily Workforce'!$K9&gt;=2,FALSE())),IF(AND('Daily Schedule'!$A31&gt;=46,'Daily Schedule'!$A31&lt;=52),'Daily Workforce'!$M9="Y",IFERROR(1*'Daily Workforce'!$P9&gt;=2,FALSE()))))),1,0)</f>
        <v>0</v>
      </c>
      <c r="U27" s="1" t="n">
        <f aca="false">IF(AND('Daily Workforce'!$N10="Y",'Daily Workforce'!$B10&lt;&gt;"",COUNTIF('Daily Schedule'!$F$5:$F30,'Daily Workforce'!$B10)=0,IF('Daily Schedule'!$A31=45,'Daily Workforce'!$J10="Y",IF(OR('Daily Schedule'!$A31=4,'Daily Schedule'!$A31=8),IF(OR(WEEKDAY('Daily Schedule'!$B$2,2)=1,WEEKDAY('Daily Schedule'!$B$2,2)=4,WEEKDAY('Daily Schedule'!$B$2,2)=5,WEEKDAY('Daily Schedule'!$B$2,2)=7),IFERROR(1*'Daily Workforce'!$K10&gt;=3,FALSE()),IFERROR(1*'Daily Workforce'!$K10&gt;=2,FALSE())),IF(AND('Daily Schedule'!$A31&gt;=46,'Daily Schedule'!$A31&lt;=52),'Daily Workforce'!$M10="Y",IFERROR(1*'Daily Workforce'!$P10&gt;=2,FALSE()))))),1,0)</f>
        <v>0</v>
      </c>
      <c r="V27" s="1" t="n">
        <f aca="false">IF(AND('Daily Workforce'!$N11="Y",'Daily Workforce'!$B11&lt;&gt;"",COUNTIF('Daily Schedule'!$F$5:$F30,'Daily Workforce'!$B11)=0,IF('Daily Schedule'!$A31=45,'Daily Workforce'!$J11="Y",IF(OR('Daily Schedule'!$A31=4,'Daily Schedule'!$A31=8),IF(OR(WEEKDAY('Daily Schedule'!$B$2,2)=1,WEEKDAY('Daily Schedule'!$B$2,2)=4,WEEKDAY('Daily Schedule'!$B$2,2)=5,WEEKDAY('Daily Schedule'!$B$2,2)=7),IFERROR(1*'Daily Workforce'!$K11&gt;=3,FALSE()),IFERROR(1*'Daily Workforce'!$K11&gt;=2,FALSE())),IF(AND('Daily Schedule'!$A31&gt;=46,'Daily Schedule'!$A31&lt;=52),'Daily Workforce'!$M11="Y",IFERROR(1*'Daily Workforce'!$P11&gt;=2,FALSE()))))),1,0)</f>
        <v>0</v>
      </c>
      <c r="W27" s="1" t="n">
        <f aca="false">IF(AND('Daily Workforce'!$N12="Y",'Daily Workforce'!$B12&lt;&gt;"",COUNTIF('Daily Schedule'!$F$5:$F30,'Daily Workforce'!$B12)=0,IF('Daily Schedule'!$A31=45,'Daily Workforce'!$J12="Y",IF(OR('Daily Schedule'!$A31=4,'Daily Schedule'!$A31=8),IF(OR(WEEKDAY('Daily Schedule'!$B$2,2)=1,WEEKDAY('Daily Schedule'!$B$2,2)=4,WEEKDAY('Daily Schedule'!$B$2,2)=5,WEEKDAY('Daily Schedule'!$B$2,2)=7),IFERROR(1*'Daily Workforce'!$K12&gt;=3,FALSE()),IFERROR(1*'Daily Workforce'!$K12&gt;=2,FALSE())),IF(AND('Daily Schedule'!$A31&gt;=46,'Daily Schedule'!$A31&lt;=52),'Daily Workforce'!$M12="Y",IFERROR(1*'Daily Workforce'!$P12&gt;=2,FALSE()))))),1,0)</f>
        <v>0</v>
      </c>
      <c r="X27" s="1" t="n">
        <f aca="false">IF(AND('Daily Workforce'!$N13="Y",'Daily Workforce'!$B13&lt;&gt;"",COUNTIF('Daily Schedule'!$F$5:$F30,'Daily Workforce'!$B13)=0,IF('Daily Schedule'!$A31=45,'Daily Workforce'!$J13="Y",IF(OR('Daily Schedule'!$A31=4,'Daily Schedule'!$A31=8),IF(OR(WEEKDAY('Daily Schedule'!$B$2,2)=1,WEEKDAY('Daily Schedule'!$B$2,2)=4,WEEKDAY('Daily Schedule'!$B$2,2)=5,WEEKDAY('Daily Schedule'!$B$2,2)=7),IFERROR(1*'Daily Workforce'!$K13&gt;=3,FALSE()),IFERROR(1*'Daily Workforce'!$K13&gt;=2,FALSE())),IF(AND('Daily Schedule'!$A31&gt;=46,'Daily Schedule'!$A31&lt;=52),'Daily Workforce'!$M13="Y",IFERROR(1*'Daily Workforce'!$P13&gt;=2,FALSE()))))),1,0)</f>
        <v>0</v>
      </c>
      <c r="Y27" s="1" t="n">
        <f aca="false">IF(AND('Daily Workforce'!$N14="Y",'Daily Workforce'!$B14&lt;&gt;"",COUNTIF('Daily Schedule'!$F$5:$F30,'Daily Workforce'!$B14)=0,IF('Daily Schedule'!$A31=45,'Daily Workforce'!$J14="Y",IF(OR('Daily Schedule'!$A31=4,'Daily Schedule'!$A31=8),IF(OR(WEEKDAY('Daily Schedule'!$B$2,2)=1,WEEKDAY('Daily Schedule'!$B$2,2)=4,WEEKDAY('Daily Schedule'!$B$2,2)=5,WEEKDAY('Daily Schedule'!$B$2,2)=7),IFERROR(1*'Daily Workforce'!$K14&gt;=3,FALSE()),IFERROR(1*'Daily Workforce'!$K14&gt;=2,FALSE())),IF(AND('Daily Schedule'!$A31&gt;=46,'Daily Schedule'!$A31&lt;=52),'Daily Workforce'!$M14="Y",IFERROR(1*'Daily Workforce'!$P14&gt;=2,FALSE()))))),1,0)</f>
        <v>0</v>
      </c>
      <c r="Z27" s="1" t="n">
        <f aca="false">IF(AND('Daily Workforce'!$N15="Y",'Daily Workforce'!$B15&lt;&gt;"",COUNTIF('Daily Schedule'!$F$5:$F30,'Daily Workforce'!$B15)=0,IF('Daily Schedule'!$A31=45,'Daily Workforce'!$J15="Y",IF(OR('Daily Schedule'!$A31=4,'Daily Schedule'!$A31=8),IF(OR(WEEKDAY('Daily Schedule'!$B$2,2)=1,WEEKDAY('Daily Schedule'!$B$2,2)=4,WEEKDAY('Daily Schedule'!$B$2,2)=5,WEEKDAY('Daily Schedule'!$B$2,2)=7),IFERROR(1*'Daily Workforce'!$K15&gt;=3,FALSE()),IFERROR(1*'Daily Workforce'!$K15&gt;=2,FALSE())),IF(AND('Daily Schedule'!$A31&gt;=46,'Daily Schedule'!$A31&lt;=52),'Daily Workforce'!$M15="Y",IFERROR(1*'Daily Workforce'!$P15&gt;=2,FALSE()))))),1,0)</f>
        <v>0</v>
      </c>
      <c r="AA27" s="1" t="n">
        <f aca="false">IF(AND('Daily Workforce'!$N16="Y",'Daily Workforce'!$B16&lt;&gt;"",COUNTIF('Daily Schedule'!$F$5:$F30,'Daily Workforce'!$B16)=0,IF('Daily Schedule'!$A31=45,'Daily Workforce'!$J16="Y",IF(OR('Daily Schedule'!$A31=4,'Daily Schedule'!$A31=8),IF(OR(WEEKDAY('Daily Schedule'!$B$2,2)=1,WEEKDAY('Daily Schedule'!$B$2,2)=4,WEEKDAY('Daily Schedule'!$B$2,2)=5,WEEKDAY('Daily Schedule'!$B$2,2)=7),IFERROR(1*'Daily Workforce'!$K16&gt;=3,FALSE()),IFERROR(1*'Daily Workforce'!$K16&gt;=2,FALSE())),IF(AND('Daily Schedule'!$A31&gt;=46,'Daily Schedule'!$A31&lt;=52),'Daily Workforce'!$M16="Y",IFERROR(1*'Daily Workforce'!$P16&gt;=2,FALSE()))))),1,0)</f>
        <v>0</v>
      </c>
      <c r="AB27" s="1" t="n">
        <f aca="false">IF(AND('Daily Workforce'!$N17="Y",'Daily Workforce'!$B17&lt;&gt;"",COUNTIF('Daily Schedule'!$F$5:$F30,'Daily Workforce'!$B17)=0,IF('Daily Schedule'!$A31=45,'Daily Workforce'!$J17="Y",IF(OR('Daily Schedule'!$A31=4,'Daily Schedule'!$A31=8),IF(OR(WEEKDAY('Daily Schedule'!$B$2,2)=1,WEEKDAY('Daily Schedule'!$B$2,2)=4,WEEKDAY('Daily Schedule'!$B$2,2)=5,WEEKDAY('Daily Schedule'!$B$2,2)=7),IFERROR(1*'Daily Workforce'!$K17&gt;=3,FALSE()),IFERROR(1*'Daily Workforce'!$K17&gt;=2,FALSE())),IF(AND('Daily Schedule'!$A31&gt;=46,'Daily Schedule'!$A31&lt;=52),'Daily Workforce'!$M17="Y",IFERROR(1*'Daily Workforce'!$P17&gt;=2,FALSE()))))),1,0)</f>
        <v>0</v>
      </c>
      <c r="AC27" s="1" t="n">
        <f aca="false">IF(AND('Daily Workforce'!$N18="Y",'Daily Workforce'!$B18&lt;&gt;"",COUNTIF('Daily Schedule'!$F$5:$F30,'Daily Workforce'!$B18)=0,IF('Daily Schedule'!$A31=45,'Daily Workforce'!$J18="Y",IF(OR('Daily Schedule'!$A31=4,'Daily Schedule'!$A31=8),IF(OR(WEEKDAY('Daily Schedule'!$B$2,2)=1,WEEKDAY('Daily Schedule'!$B$2,2)=4,WEEKDAY('Daily Schedule'!$B$2,2)=5,WEEKDAY('Daily Schedule'!$B$2,2)=7),IFERROR(1*'Daily Workforce'!$K18&gt;=3,FALSE()),IFERROR(1*'Daily Workforce'!$K18&gt;=2,FALSE())),IF(AND('Daily Schedule'!$A31&gt;=46,'Daily Schedule'!$A31&lt;=52),'Daily Workforce'!$M18="Y",IFERROR(1*'Daily Workforce'!$P18&gt;=2,FALSE()))))),1,0)</f>
        <v>0</v>
      </c>
      <c r="AD27" s="1" t="n">
        <f aca="false">IF(AND('Daily Workforce'!$N19="Y",'Daily Workforce'!$B19&lt;&gt;"",COUNTIF('Daily Schedule'!$F$5:$F30,'Daily Workforce'!$B19)=0,IF('Daily Schedule'!$A31=45,'Daily Workforce'!$J19="Y",IF(OR('Daily Schedule'!$A31=4,'Daily Schedule'!$A31=8),IF(OR(WEEKDAY('Daily Schedule'!$B$2,2)=1,WEEKDAY('Daily Schedule'!$B$2,2)=4,WEEKDAY('Daily Schedule'!$B$2,2)=5,WEEKDAY('Daily Schedule'!$B$2,2)=7),IFERROR(1*'Daily Workforce'!$K19&gt;=3,FALSE()),IFERROR(1*'Daily Workforce'!$K19&gt;=2,FALSE())),IF(AND('Daily Schedule'!$A31&gt;=46,'Daily Schedule'!$A31&lt;=52),'Daily Workforce'!$M19="Y",IFERROR(1*'Daily Workforce'!$P19&gt;=2,FALSE()))))),1,0)</f>
        <v>0</v>
      </c>
      <c r="AE27" s="1" t="n">
        <f aca="false">IF(AND('Daily Workforce'!$N20="Y",'Daily Workforce'!$B20&lt;&gt;"",COUNTIF('Daily Schedule'!$F$5:$F30,'Daily Workforce'!$B20)=0,IF('Daily Schedule'!$A31=45,'Daily Workforce'!$J20="Y",IF(OR('Daily Schedule'!$A31=4,'Daily Schedule'!$A31=8),IF(OR(WEEKDAY('Daily Schedule'!$B$2,2)=1,WEEKDAY('Daily Schedule'!$B$2,2)=4,WEEKDAY('Daily Schedule'!$B$2,2)=5,WEEKDAY('Daily Schedule'!$B$2,2)=7),IFERROR(1*'Daily Workforce'!$K20&gt;=3,FALSE()),IFERROR(1*'Daily Workforce'!$K20&gt;=2,FALSE())),IF(AND('Daily Schedule'!$A31&gt;=46,'Daily Schedule'!$A31&lt;=52),'Daily Workforce'!$M20="Y",IFERROR(1*'Daily Workforce'!$P20&gt;=2,FALSE()))))),1,0)</f>
        <v>0</v>
      </c>
      <c r="AF27" s="1" t="n">
        <f aca="false">IF(AND('Daily Workforce'!$N21="Y",'Daily Workforce'!$B21&lt;&gt;"",COUNTIF('Daily Schedule'!$F$5:$F30,'Daily Workforce'!$B21)=0,IF('Daily Schedule'!$A31=45,'Daily Workforce'!$J21="Y",IF(OR('Daily Schedule'!$A31=4,'Daily Schedule'!$A31=8),IF(OR(WEEKDAY('Daily Schedule'!$B$2,2)=1,WEEKDAY('Daily Schedule'!$B$2,2)=4,WEEKDAY('Daily Schedule'!$B$2,2)=5,WEEKDAY('Daily Schedule'!$B$2,2)=7),IFERROR(1*'Daily Workforce'!$K21&gt;=3,FALSE()),IFERROR(1*'Daily Workforce'!$K21&gt;=2,FALSE())),IF(AND('Daily Schedule'!$A31&gt;=46,'Daily Schedule'!$A31&lt;=52),'Daily Workforce'!$M21="Y",IFERROR(1*'Daily Workforce'!$P21&gt;=2,FALSE()))))),1,0)</f>
        <v>0</v>
      </c>
      <c r="AG27" s="1" t="n">
        <f aca="false">IF(AND('Daily Workforce'!$N22="Y",'Daily Workforce'!$B22&lt;&gt;"",COUNTIF('Daily Schedule'!$F$5:$F30,'Daily Workforce'!$B22)=0,IF('Daily Schedule'!$A31=45,'Daily Workforce'!$J22="Y",IF(OR('Daily Schedule'!$A31=4,'Daily Schedule'!$A31=8),IF(OR(WEEKDAY('Daily Schedule'!$B$2,2)=1,WEEKDAY('Daily Schedule'!$B$2,2)=4,WEEKDAY('Daily Schedule'!$B$2,2)=5,WEEKDAY('Daily Schedule'!$B$2,2)=7),IFERROR(1*'Daily Workforce'!$K22&gt;=3,FALSE()),IFERROR(1*'Daily Workforce'!$K22&gt;=2,FALSE())),IF(AND('Daily Schedule'!$A31&gt;=46,'Daily Schedule'!$A31&lt;=52),'Daily Workforce'!$M22="Y",IFERROR(1*'Daily Workforce'!$P22&gt;=2,FALSE()))))),1,0)</f>
        <v>0</v>
      </c>
      <c r="AH27" s="1" t="n">
        <f aca="false">IF(AND('Daily Workforce'!$N23="Y",'Daily Workforce'!$B23&lt;&gt;"",COUNTIF('Daily Schedule'!$F$5:$F30,'Daily Workforce'!$B23)=0,IF('Daily Schedule'!$A31=45,'Daily Workforce'!$J23="Y",IF(OR('Daily Schedule'!$A31=4,'Daily Schedule'!$A31=8),IF(OR(WEEKDAY('Daily Schedule'!$B$2,2)=1,WEEKDAY('Daily Schedule'!$B$2,2)=4,WEEKDAY('Daily Schedule'!$B$2,2)=5,WEEKDAY('Daily Schedule'!$B$2,2)=7),IFERROR(1*'Daily Workforce'!$K23&gt;=3,FALSE()),IFERROR(1*'Daily Workforce'!$K23&gt;=2,FALSE())),IF(AND('Daily Schedule'!$A31&gt;=46,'Daily Schedule'!$A31&lt;=52),'Daily Workforce'!$M23="Y",IFERROR(1*'Daily Workforce'!$P23&gt;=2,FALSE()))))),1,0)</f>
        <v>0</v>
      </c>
      <c r="AI27" s="1" t="n">
        <f aca="false">IF(AND('Daily Workforce'!$N24="Y",'Daily Workforce'!$B24&lt;&gt;"",COUNTIF('Daily Schedule'!$F$5:$F30,'Daily Workforce'!$B24)=0,IF('Daily Schedule'!$A31=45,'Daily Workforce'!$J24="Y",IF(OR('Daily Schedule'!$A31=4,'Daily Schedule'!$A31=8),IF(OR(WEEKDAY('Daily Schedule'!$B$2,2)=1,WEEKDAY('Daily Schedule'!$B$2,2)=4,WEEKDAY('Daily Schedule'!$B$2,2)=5,WEEKDAY('Daily Schedule'!$B$2,2)=7),IFERROR(1*'Daily Workforce'!$K24&gt;=3,FALSE()),IFERROR(1*'Daily Workforce'!$K24&gt;=2,FALSE())),IF(AND('Daily Schedule'!$A31&gt;=46,'Daily Schedule'!$A31&lt;=52),'Daily Workforce'!$M24="Y",IFERROR(1*'Daily Workforce'!$P24&gt;=2,FALSE()))))),1,0)</f>
        <v>0</v>
      </c>
      <c r="AJ27" s="1" t="n">
        <f aca="false">IF(AND('Daily Workforce'!$N25="Y",'Daily Workforce'!$B25&lt;&gt;"",COUNTIF('Daily Schedule'!$F$5:$F30,'Daily Workforce'!$B25)=0,IF('Daily Schedule'!$A31=45,'Daily Workforce'!$J25="Y",IF(OR('Daily Schedule'!$A31=4,'Daily Schedule'!$A31=8),IF(OR(WEEKDAY('Daily Schedule'!$B$2,2)=1,WEEKDAY('Daily Schedule'!$B$2,2)=4,WEEKDAY('Daily Schedule'!$B$2,2)=5,WEEKDAY('Daily Schedule'!$B$2,2)=7),IFERROR(1*'Daily Workforce'!$K25&gt;=3,FALSE()),IFERROR(1*'Daily Workforce'!$K25&gt;=2,FALSE())),IF(AND('Daily Schedule'!$A31&gt;=46,'Daily Schedule'!$A31&lt;=52),'Daily Workforce'!$M25="Y",IFERROR(1*'Daily Workforce'!$P25&gt;=2,FALSE()))))),1,0)</f>
        <v>0</v>
      </c>
      <c r="AK27" s="1" t="n">
        <f aca="false">IF(AND('Daily Workforce'!$N26="Y",'Daily Workforce'!$B26&lt;&gt;"",COUNTIF('Daily Schedule'!$F$5:$F30,'Daily Workforce'!$B26)=0,IF('Daily Schedule'!$A31=45,'Daily Workforce'!$J26="Y",IF(OR('Daily Schedule'!$A31=4,'Daily Schedule'!$A31=8),IF(OR(WEEKDAY('Daily Schedule'!$B$2,2)=1,WEEKDAY('Daily Schedule'!$B$2,2)=4,WEEKDAY('Daily Schedule'!$B$2,2)=5,WEEKDAY('Daily Schedule'!$B$2,2)=7),IFERROR(1*'Daily Workforce'!$K26&gt;=3,FALSE()),IFERROR(1*'Daily Workforce'!$K26&gt;=2,FALSE())),IF(AND('Daily Schedule'!$A31&gt;=46,'Daily Schedule'!$A31&lt;=52),'Daily Workforce'!$M26="Y",IFERROR(1*'Daily Workforce'!$P26&gt;=2,FALSE()))))),1,0)</f>
        <v>0</v>
      </c>
      <c r="AL27" s="1" t="n">
        <f aca="false">IF(AND('Daily Workforce'!$N27="Y",'Daily Workforce'!$B27&lt;&gt;"",COUNTIF('Daily Schedule'!$F$5:$F30,'Daily Workforce'!$B27)=0,IF('Daily Schedule'!$A31=45,'Daily Workforce'!$J27="Y",IF(OR('Daily Schedule'!$A31=4,'Daily Schedule'!$A31=8),IF(OR(WEEKDAY('Daily Schedule'!$B$2,2)=1,WEEKDAY('Daily Schedule'!$B$2,2)=4,WEEKDAY('Daily Schedule'!$B$2,2)=5,WEEKDAY('Daily Schedule'!$B$2,2)=7),IFERROR(1*'Daily Workforce'!$K27&gt;=3,FALSE()),IFERROR(1*'Daily Workforce'!$K27&gt;=2,FALSE())),IF(AND('Daily Schedule'!$A31&gt;=46,'Daily Schedule'!$A31&lt;=52),'Daily Workforce'!$M27="Y",IFERROR(1*'Daily Workforce'!$P27&gt;=2,FALSE()))))),1,0)</f>
        <v>0</v>
      </c>
      <c r="AM27" s="1" t="n">
        <f aca="false">IF(AND('Daily Workforce'!$N28="Y",'Daily Workforce'!$B28&lt;&gt;"",COUNTIF('Daily Schedule'!$F$5:$F30,'Daily Workforce'!$B28)=0,IF('Daily Schedule'!$A31=45,'Daily Workforce'!$J28="Y",IF(OR('Daily Schedule'!$A31=4,'Daily Schedule'!$A31=8),IF(OR(WEEKDAY('Daily Schedule'!$B$2,2)=1,WEEKDAY('Daily Schedule'!$B$2,2)=4,WEEKDAY('Daily Schedule'!$B$2,2)=5,WEEKDAY('Daily Schedule'!$B$2,2)=7),IFERROR(1*'Daily Workforce'!$K28&gt;=3,FALSE()),IFERROR(1*'Daily Workforce'!$K28&gt;=2,FALSE())),IF(AND('Daily Schedule'!$A31&gt;=46,'Daily Schedule'!$A31&lt;=52),'Daily Workforce'!$M28="Y",IFERROR(1*'Daily Workforce'!$P28&gt;=2,FALSE()))))),1,0)</f>
        <v>0</v>
      </c>
      <c r="AN27" s="1" t="n">
        <f aca="false">IF(AND('Daily Workforce'!$N29="Y",'Daily Workforce'!$B29&lt;&gt;"",COUNTIF('Daily Schedule'!$F$5:$F30,'Daily Workforce'!$B29)=0,IF('Daily Schedule'!$A31=45,'Daily Workforce'!$J29="Y",IF(OR('Daily Schedule'!$A31=4,'Daily Schedule'!$A31=8),IF(OR(WEEKDAY('Daily Schedule'!$B$2,2)=1,WEEKDAY('Daily Schedule'!$B$2,2)=4,WEEKDAY('Daily Schedule'!$B$2,2)=5,WEEKDAY('Daily Schedule'!$B$2,2)=7),IFERROR(1*'Daily Workforce'!$K29&gt;=3,FALSE()),IFERROR(1*'Daily Workforce'!$K29&gt;=2,FALSE())),IF(AND('Daily Schedule'!$A31&gt;=46,'Daily Schedule'!$A31&lt;=52),'Daily Workforce'!$M29="Y",IFERROR(1*'Daily Workforce'!$P29&gt;=2,FALSE()))))),1,0)</f>
        <v>0</v>
      </c>
      <c r="AO27" s="1" t="n">
        <f aca="false">IF(AND('Daily Workforce'!$N30="Y",'Daily Workforce'!$B30&lt;&gt;"",COUNTIF('Daily Schedule'!$F$5:$F30,'Daily Workforce'!$B30)=0,IF('Daily Schedule'!$A31=45,'Daily Workforce'!$J30="Y",IF(OR('Daily Schedule'!$A31=4,'Daily Schedule'!$A31=8),IF(OR(WEEKDAY('Daily Schedule'!$B$2,2)=1,WEEKDAY('Daily Schedule'!$B$2,2)=4,WEEKDAY('Daily Schedule'!$B$2,2)=5,WEEKDAY('Daily Schedule'!$B$2,2)=7),IFERROR(1*'Daily Workforce'!$K30&gt;=3,FALSE()),IFERROR(1*'Daily Workforce'!$K30&gt;=2,FALSE())),IF(AND('Daily Schedule'!$A31&gt;=46,'Daily Schedule'!$A31&lt;=52),'Daily Workforce'!$M30="Y",IFERROR(1*'Daily Workforce'!$P30&gt;=2,FALSE()))))),1,0)</f>
        <v>1</v>
      </c>
      <c r="AP27" s="1" t="n">
        <f aca="false">IF(AND('Daily Workforce'!$N31="Y",'Daily Workforce'!$B31&lt;&gt;"",COUNTIF('Daily Schedule'!$F$5:$F30,'Daily Workforce'!$B31)=0,IF('Daily Schedule'!$A31=45,'Daily Workforce'!$J31="Y",IF(OR('Daily Schedule'!$A31=4,'Daily Schedule'!$A31=8),IF(OR(WEEKDAY('Daily Schedule'!$B$2,2)=1,WEEKDAY('Daily Schedule'!$B$2,2)=4,WEEKDAY('Daily Schedule'!$B$2,2)=5,WEEKDAY('Daily Schedule'!$B$2,2)=7),IFERROR(1*'Daily Workforce'!$K31&gt;=3,FALSE()),IFERROR(1*'Daily Workforce'!$K31&gt;=2,FALSE())),IF(AND('Daily Schedule'!$A31&gt;=46,'Daily Schedule'!$A31&lt;=52),'Daily Workforce'!$M31="Y",IFERROR(1*'Daily Workforce'!$P31&gt;=2,FALSE()))))),1,0)</f>
        <v>1</v>
      </c>
      <c r="AQ27" s="1" t="n">
        <f aca="false">IF(AND('Daily Workforce'!$N32="Y",'Daily Workforce'!$B32&lt;&gt;"",COUNTIF('Daily Schedule'!$F$5:$F30,'Daily Workforce'!$B32)=0,IF('Daily Schedule'!$A31=45,'Daily Workforce'!$J32="Y",IF(OR('Daily Schedule'!$A31=4,'Daily Schedule'!$A31=8),IF(OR(WEEKDAY('Daily Schedule'!$B$2,2)=1,WEEKDAY('Daily Schedule'!$B$2,2)=4,WEEKDAY('Daily Schedule'!$B$2,2)=5,WEEKDAY('Daily Schedule'!$B$2,2)=7),IFERROR(1*'Daily Workforce'!$K32&gt;=3,FALSE()),IFERROR(1*'Daily Workforce'!$K32&gt;=2,FALSE())),IF(AND('Daily Schedule'!$A31&gt;=46,'Daily Schedule'!$A31&lt;=52),'Daily Workforce'!$M32="Y",IFERROR(1*'Daily Workforce'!$P32&gt;=2,FALSE()))))),1,0)</f>
        <v>1</v>
      </c>
      <c r="AR27" s="1" t="n">
        <f aca="false">IF(AND('Daily Workforce'!$N33="Y",'Daily Workforce'!$B33&lt;&gt;"",COUNTIF('Daily Schedule'!$F$5:$F30,'Daily Workforce'!$B33)=0,IF('Daily Schedule'!$A31=45,'Daily Workforce'!$J33="Y",IF(OR('Daily Schedule'!$A31=4,'Daily Schedule'!$A31=8),IF(OR(WEEKDAY('Daily Schedule'!$B$2,2)=1,WEEKDAY('Daily Schedule'!$B$2,2)=4,WEEKDAY('Daily Schedule'!$B$2,2)=5,WEEKDAY('Daily Schedule'!$B$2,2)=7),IFERROR(1*'Daily Workforce'!$K33&gt;=3,FALSE()),IFERROR(1*'Daily Workforce'!$K33&gt;=2,FALSE())),IF(AND('Daily Schedule'!$A31&gt;=46,'Daily Schedule'!$A31&lt;=52),'Daily Workforce'!$M33="Y",IFERROR(1*'Daily Workforce'!$P33&gt;=2,FALSE()))))),1,0)</f>
        <v>1</v>
      </c>
      <c r="AS27" s="1" t="n">
        <f aca="false">IF(AND('Daily Workforce'!$N34="Y",'Daily Workforce'!$B34&lt;&gt;"",COUNTIF('Daily Schedule'!$F$5:$F30,'Daily Workforce'!$B34)=0,IF('Daily Schedule'!$A31=45,'Daily Workforce'!$J34="Y",IF(OR('Daily Schedule'!$A31=4,'Daily Schedule'!$A31=8),IF(OR(WEEKDAY('Daily Schedule'!$B$2,2)=1,WEEKDAY('Daily Schedule'!$B$2,2)=4,WEEKDAY('Daily Schedule'!$B$2,2)=5,WEEKDAY('Daily Schedule'!$B$2,2)=7),IFERROR(1*'Daily Workforce'!$K34&gt;=3,FALSE()),IFERROR(1*'Daily Workforce'!$K34&gt;=2,FALSE())),IF(AND('Daily Schedule'!$A31&gt;=46,'Daily Schedule'!$A31&lt;=52),'Daily Workforce'!$M34="Y",IFERROR(1*'Daily Workforce'!$P34&gt;=2,FALSE()))))),1,0)</f>
        <v>1</v>
      </c>
      <c r="AT27" s="1" t="n">
        <f aca="false">IF(AND('Daily Workforce'!$N35="Y",'Daily Workforce'!$B35&lt;&gt;"",COUNTIF('Daily Schedule'!$F$5:$F30,'Daily Workforce'!$B35)=0,IF('Daily Schedule'!$A31=45,'Daily Workforce'!$J35="Y",IF(OR('Daily Schedule'!$A31=4,'Daily Schedule'!$A31=8),IF(OR(WEEKDAY('Daily Schedule'!$B$2,2)=1,WEEKDAY('Daily Schedule'!$B$2,2)=4,WEEKDAY('Daily Schedule'!$B$2,2)=5,WEEKDAY('Daily Schedule'!$B$2,2)=7),IFERROR(1*'Daily Workforce'!$K35&gt;=3,FALSE()),IFERROR(1*'Daily Workforce'!$K35&gt;=2,FALSE())),IF(AND('Daily Schedule'!$A31&gt;=46,'Daily Schedule'!$A31&lt;=52),'Daily Workforce'!$M35="Y",IFERROR(1*'Daily Workforce'!$P35&gt;=2,FALSE()))))),1,0)</f>
        <v>1</v>
      </c>
      <c r="AU27" s="1" t="n">
        <f aca="false">IF(AND('Daily Workforce'!$N36="Y",'Daily Workforce'!$B36&lt;&gt;"",COUNTIF('Daily Schedule'!$F$5:$F30,'Daily Workforce'!$B36)=0,IF('Daily Schedule'!$A31=45,'Daily Workforce'!$J36="Y",IF(OR('Daily Schedule'!$A31=4,'Daily Schedule'!$A31=8),IF(OR(WEEKDAY('Daily Schedule'!$B$2,2)=1,WEEKDAY('Daily Schedule'!$B$2,2)=4,WEEKDAY('Daily Schedule'!$B$2,2)=5,WEEKDAY('Daily Schedule'!$B$2,2)=7),IFERROR(1*'Daily Workforce'!$K36&gt;=3,FALSE()),IFERROR(1*'Daily Workforce'!$K36&gt;=2,FALSE())),IF(AND('Daily Schedule'!$A31&gt;=46,'Daily Schedule'!$A31&lt;=52),'Daily Workforce'!$M36="Y",IFERROR(1*'Daily Workforce'!$P36&gt;=2,FALSE()))))),1,0)</f>
        <v>1</v>
      </c>
      <c r="AV27" s="1" t="n">
        <f aca="false">IF(AND('Daily Workforce'!$N37="Y",'Daily Workforce'!$B37&lt;&gt;"",COUNTIF('Daily Schedule'!$F$5:$F30,'Daily Workforce'!$B37)=0,IF('Daily Schedule'!$A31=45,'Daily Workforce'!$J37="Y",IF(OR('Daily Schedule'!$A31=4,'Daily Schedule'!$A31=8),IF(OR(WEEKDAY('Daily Schedule'!$B$2,2)=1,WEEKDAY('Daily Schedule'!$B$2,2)=4,WEEKDAY('Daily Schedule'!$B$2,2)=5,WEEKDAY('Daily Schedule'!$B$2,2)=7),IFERROR(1*'Daily Workforce'!$K37&gt;=3,FALSE()),IFERROR(1*'Daily Workforce'!$K37&gt;=2,FALSE())),IF(AND('Daily Schedule'!$A31&gt;=46,'Daily Schedule'!$A31&lt;=52),'Daily Workforce'!$M37="Y",IFERROR(1*'Daily Workforce'!$P37&gt;=2,FALSE()))))),1,0)</f>
        <v>1</v>
      </c>
      <c r="AW27" s="1" t="n">
        <f aca="false">IF(AND('Daily Workforce'!$N38="Y",'Daily Workforce'!$B38&lt;&gt;"",COUNTIF('Daily Schedule'!$F$5:$F30,'Daily Workforce'!$B38)=0,IF('Daily Schedule'!$A31=45,'Daily Workforce'!$J38="Y",IF(OR('Daily Schedule'!$A31=4,'Daily Schedule'!$A31=8),IF(OR(WEEKDAY('Daily Schedule'!$B$2,2)=1,WEEKDAY('Daily Schedule'!$B$2,2)=4,WEEKDAY('Daily Schedule'!$B$2,2)=5,WEEKDAY('Daily Schedule'!$B$2,2)=7),IFERROR(1*'Daily Workforce'!$K38&gt;=3,FALSE()),IFERROR(1*'Daily Workforce'!$K38&gt;=2,FALSE())),IF(AND('Daily Schedule'!$A31&gt;=46,'Daily Schedule'!$A31&lt;=52),'Daily Workforce'!$M38="Y",IFERROR(1*'Daily Workforce'!$P38&gt;=2,FALSE()))))),1,0)</f>
        <v>1</v>
      </c>
      <c r="AX27" s="1" t="n">
        <f aca="false">IF(AND('Daily Workforce'!$N39="Y",'Daily Workforce'!$B39&lt;&gt;"",COUNTIF('Daily Schedule'!$F$5:$F30,'Daily Workforce'!$B39)=0,IF('Daily Schedule'!$A31=45,'Daily Workforce'!$J39="Y",IF(OR('Daily Schedule'!$A31=4,'Daily Schedule'!$A31=8),IF(OR(WEEKDAY('Daily Schedule'!$B$2,2)=1,WEEKDAY('Daily Schedule'!$B$2,2)=4,WEEKDAY('Daily Schedule'!$B$2,2)=5,WEEKDAY('Daily Schedule'!$B$2,2)=7),IFERROR(1*'Daily Workforce'!$K39&gt;=3,FALSE()),IFERROR(1*'Daily Workforce'!$K39&gt;=2,FALSE())),IF(AND('Daily Schedule'!$A31&gt;=46,'Daily Schedule'!$A31&lt;=52),'Daily Workforce'!$M39="Y",IFERROR(1*'Daily Workforce'!$P39&gt;=2,FALSE()))))),1,0)</f>
        <v>1</v>
      </c>
      <c r="AY27" s="1" t="n">
        <f aca="false">IF(AND('Daily Workforce'!$N40="Y",'Daily Workforce'!$B40&lt;&gt;"",COUNTIF('Daily Schedule'!$F$5:$F30,'Daily Workforce'!$B40)=0,IF('Daily Schedule'!$A31=45,'Daily Workforce'!$J40="Y",IF(OR('Daily Schedule'!$A31=4,'Daily Schedule'!$A31=8),IF(OR(WEEKDAY('Daily Schedule'!$B$2,2)=1,WEEKDAY('Daily Schedule'!$B$2,2)=4,WEEKDAY('Daily Schedule'!$B$2,2)=5,WEEKDAY('Daily Schedule'!$B$2,2)=7),IFERROR(1*'Daily Workforce'!$K40&gt;=3,FALSE()),IFERROR(1*'Daily Workforce'!$K40&gt;=2,FALSE())),IF(AND('Daily Schedule'!$A31&gt;=46,'Daily Schedule'!$A31&lt;=52),'Daily Workforce'!$M40="Y",IFERROR(1*'Daily Workforce'!$P40&gt;=2,FALSE()))))),1,0)</f>
        <v>1</v>
      </c>
      <c r="AZ27" s="1" t="n">
        <f aca="false">IF(AND('Daily Workforce'!$N41="Y",'Daily Workforce'!$B41&lt;&gt;"",COUNTIF('Daily Schedule'!$F$5:$F30,'Daily Workforce'!$B41)=0,IF('Daily Schedule'!$A31=45,'Daily Workforce'!$J41="Y",IF(OR('Daily Schedule'!$A31=4,'Daily Schedule'!$A31=8),IF(OR(WEEKDAY('Daily Schedule'!$B$2,2)=1,WEEKDAY('Daily Schedule'!$B$2,2)=4,WEEKDAY('Daily Schedule'!$B$2,2)=5,WEEKDAY('Daily Schedule'!$B$2,2)=7),IFERROR(1*'Daily Workforce'!$K41&gt;=3,FALSE()),IFERROR(1*'Daily Workforce'!$K41&gt;=2,FALSE())),IF(AND('Daily Schedule'!$A31&gt;=46,'Daily Schedule'!$A31&lt;=52),'Daily Workforce'!$M41="Y",IFERROR(1*'Daily Workforce'!$P41&gt;=2,FALSE()))))),1,0)</f>
        <v>1</v>
      </c>
      <c r="BA27" s="1" t="n">
        <f aca="false">IF(AND('Daily Workforce'!$N42="Y",'Daily Workforce'!$B42&lt;&gt;"",COUNTIF('Daily Schedule'!$F$5:$F30,'Daily Workforce'!$B42)=0,IF('Daily Schedule'!$A31=45,'Daily Workforce'!$J42="Y",IF(OR('Daily Schedule'!$A31=4,'Daily Schedule'!$A31=8),IF(OR(WEEKDAY('Daily Schedule'!$B$2,2)=1,WEEKDAY('Daily Schedule'!$B$2,2)=4,WEEKDAY('Daily Schedule'!$B$2,2)=5,WEEKDAY('Daily Schedule'!$B$2,2)=7),IFERROR(1*'Daily Workforce'!$K42&gt;=3,FALSE()),IFERROR(1*'Daily Workforce'!$K42&gt;=2,FALSE())),IF(AND('Daily Schedule'!$A31&gt;=46,'Daily Schedule'!$A31&lt;=52),'Daily Workforce'!$M42="Y",IFERROR(1*'Daily Workforce'!$P42&gt;=2,FALSE()))))),1,0)</f>
        <v>1</v>
      </c>
      <c r="BB27" s="1" t="n">
        <f aca="false">IF(AND('Daily Workforce'!$N43="Y",'Daily Workforce'!$B43&lt;&gt;"",COUNTIF('Daily Schedule'!$F$5:$F30,'Daily Workforce'!$B43)=0,IF('Daily Schedule'!$A31=45,'Daily Workforce'!$J43="Y",IF(OR('Daily Schedule'!$A31=4,'Daily Schedule'!$A31=8),IF(OR(WEEKDAY('Daily Schedule'!$B$2,2)=1,WEEKDAY('Daily Schedule'!$B$2,2)=4,WEEKDAY('Daily Schedule'!$B$2,2)=5,WEEKDAY('Daily Schedule'!$B$2,2)=7),IFERROR(1*'Daily Workforce'!$K43&gt;=3,FALSE()),IFERROR(1*'Daily Workforce'!$K43&gt;=2,FALSE())),IF(AND('Daily Schedule'!$A31&gt;=46,'Daily Schedule'!$A31&lt;=52),'Daily Workforce'!$M43="Y",IFERROR(1*'Daily Workforce'!$P43&gt;=2,FALSE()))))),1,0)</f>
        <v>1</v>
      </c>
      <c r="BC27" s="1" t="n">
        <f aca="false">IF(AND('Daily Workforce'!$N44="Y",'Daily Workforce'!$B44&lt;&gt;"",COUNTIF('Daily Schedule'!$F$5:$F30,'Daily Workforce'!$B44)=0,IF('Daily Schedule'!$A31=45,'Daily Workforce'!$J44="Y",IF(OR('Daily Schedule'!$A31=4,'Daily Schedule'!$A31=8),IF(OR(WEEKDAY('Daily Schedule'!$B$2,2)=1,WEEKDAY('Daily Schedule'!$B$2,2)=4,WEEKDAY('Daily Schedule'!$B$2,2)=5,WEEKDAY('Daily Schedule'!$B$2,2)=7),IFERROR(1*'Daily Workforce'!$K44&gt;=3,FALSE()),IFERROR(1*'Daily Workforce'!$K44&gt;=2,FALSE())),IF(AND('Daily Schedule'!$A31&gt;=46,'Daily Schedule'!$A31&lt;=52),'Daily Workforce'!$M44="Y",IFERROR(1*'Daily Workforce'!$P44&gt;=2,FALSE()))))),1,0)</f>
        <v>1</v>
      </c>
      <c r="BD27" s="1" t="n">
        <f aca="false">IF(AND('Daily Workforce'!$N45="Y",'Daily Workforce'!$B45&lt;&gt;"",COUNTIF('Daily Schedule'!$F$5:$F30,'Daily Workforce'!$B45)=0,IF('Daily Schedule'!$A31=45,'Daily Workforce'!$J45="Y",IF(OR('Daily Schedule'!$A31=4,'Daily Schedule'!$A31=8),IF(OR(WEEKDAY('Daily Schedule'!$B$2,2)=1,WEEKDAY('Daily Schedule'!$B$2,2)=4,WEEKDAY('Daily Schedule'!$B$2,2)=5,WEEKDAY('Daily Schedule'!$B$2,2)=7),IFERROR(1*'Daily Workforce'!$K45&gt;=3,FALSE()),IFERROR(1*'Daily Workforce'!$K45&gt;=2,FALSE())),IF(AND('Daily Schedule'!$A31&gt;=46,'Daily Schedule'!$A31&lt;=52),'Daily Workforce'!$M45="Y",IFERROR(1*'Daily Workforce'!$P45&gt;=2,FALSE()))))),1,0)</f>
        <v>1</v>
      </c>
      <c r="BE27" s="1" t="n">
        <f aca="false">IF(AND('Daily Workforce'!$N46="Y",'Daily Workforce'!$B46&lt;&gt;"",COUNTIF('Daily Schedule'!$F$5:$F30,'Daily Workforce'!$B46)=0,IF('Daily Schedule'!$A31=45,'Daily Workforce'!$J46="Y",IF(OR('Daily Schedule'!$A31=4,'Daily Schedule'!$A31=8),IF(OR(WEEKDAY('Daily Schedule'!$B$2,2)=1,WEEKDAY('Daily Schedule'!$B$2,2)=4,WEEKDAY('Daily Schedule'!$B$2,2)=5,WEEKDAY('Daily Schedule'!$B$2,2)=7),IFERROR(1*'Daily Workforce'!$K46&gt;=3,FALSE()),IFERROR(1*'Daily Workforce'!$K46&gt;=2,FALSE())),IF(AND('Daily Schedule'!$A31&gt;=46,'Daily Schedule'!$A31&lt;=52),'Daily Workforce'!$M46="Y",IFERROR(1*'Daily Workforce'!$P46&gt;=2,FALSE()))))),1,0)</f>
        <v>1</v>
      </c>
      <c r="BF27" s="1" t="n">
        <f aca="false">IF(AND('Daily Workforce'!$N47="Y",'Daily Workforce'!$B47&lt;&gt;"",COUNTIF('Daily Schedule'!$F$5:$F30,'Daily Workforce'!$B47)=0,IF('Daily Schedule'!$A31=45,'Daily Workforce'!$J47="Y",IF(OR('Daily Schedule'!$A31=4,'Daily Schedule'!$A31=8),IF(OR(WEEKDAY('Daily Schedule'!$B$2,2)=1,WEEKDAY('Daily Schedule'!$B$2,2)=4,WEEKDAY('Daily Schedule'!$B$2,2)=5,WEEKDAY('Daily Schedule'!$B$2,2)=7),IFERROR(1*'Daily Workforce'!$K47&gt;=3,FALSE()),IFERROR(1*'Daily Workforce'!$K47&gt;=2,FALSE())),IF(AND('Daily Schedule'!$A31&gt;=46,'Daily Schedule'!$A31&lt;=52),'Daily Workforce'!$M47="Y",IFERROR(1*'Daily Workforce'!$P47&gt;=2,FALSE()))))),1,0)</f>
        <v>0</v>
      </c>
      <c r="BG27" s="1" t="n">
        <f aca="false">IF(AND('Daily Workforce'!$N48="Y",'Daily Workforce'!$B48&lt;&gt;"",COUNTIF('Daily Schedule'!$F$5:$F30,'Daily Workforce'!$B48)=0,IF('Daily Schedule'!$A31=45,'Daily Workforce'!$J48="Y",IF(OR('Daily Schedule'!$A31=4,'Daily Schedule'!$A31=8),IF(OR(WEEKDAY('Daily Schedule'!$B$2,2)=1,WEEKDAY('Daily Schedule'!$B$2,2)=4,WEEKDAY('Daily Schedule'!$B$2,2)=5,WEEKDAY('Daily Schedule'!$B$2,2)=7),IFERROR(1*'Daily Workforce'!$K48&gt;=3,FALSE()),IFERROR(1*'Daily Workforce'!$K48&gt;=2,FALSE())),IF(AND('Daily Schedule'!$A31&gt;=46,'Daily Schedule'!$A31&lt;=52),'Daily Workforce'!$M48="Y",IFERROR(1*'Daily Workforce'!$P48&gt;=2,FALSE()))))),1,0)</f>
        <v>1</v>
      </c>
      <c r="BH27" s="1" t="n">
        <f aca="false">IF(AND('Daily Workforce'!$N49="Y",'Daily Workforce'!$B49&lt;&gt;"",COUNTIF('Daily Schedule'!$F$5:$F30,'Daily Workforce'!$B49)=0,IF('Daily Schedule'!$A31=45,'Daily Workforce'!$J49="Y",IF(OR('Daily Schedule'!$A31=4,'Daily Schedule'!$A31=8),IF(OR(WEEKDAY('Daily Schedule'!$B$2,2)=1,WEEKDAY('Daily Schedule'!$B$2,2)=4,WEEKDAY('Daily Schedule'!$B$2,2)=5,WEEKDAY('Daily Schedule'!$B$2,2)=7),IFERROR(1*'Daily Workforce'!$K49&gt;=3,FALSE()),IFERROR(1*'Daily Workforce'!$K49&gt;=2,FALSE())),IF(AND('Daily Schedule'!$A31&gt;=46,'Daily Schedule'!$A31&lt;=52),'Daily Workforce'!$M49="Y",IFERROR(1*'Daily Workforce'!$P49&gt;=2,FALSE()))))),1,0)</f>
        <v>1</v>
      </c>
      <c r="BI27" s="1" t="n">
        <f aca="false">IF(AND('Daily Workforce'!$N50="Y",'Daily Workforce'!$B50&lt;&gt;"",COUNTIF('Daily Schedule'!$F$5:$F30,'Daily Workforce'!$B50)=0,IF('Daily Schedule'!$A31=45,'Daily Workforce'!$J50="Y",IF(OR('Daily Schedule'!$A31=4,'Daily Schedule'!$A31=8),IF(OR(WEEKDAY('Daily Schedule'!$B$2,2)=1,WEEKDAY('Daily Schedule'!$B$2,2)=4,WEEKDAY('Daily Schedule'!$B$2,2)=5,WEEKDAY('Daily Schedule'!$B$2,2)=7),IFERROR(1*'Daily Workforce'!$K50&gt;=3,FALSE()),IFERROR(1*'Daily Workforce'!$K50&gt;=2,FALSE())),IF(AND('Daily Schedule'!$A31&gt;=46,'Daily Schedule'!$A31&lt;=52),'Daily Workforce'!$M50="Y",IFERROR(1*'Daily Workforce'!$P50&gt;=2,FALSE()))))),1,0)</f>
        <v>0</v>
      </c>
      <c r="BJ27" s="1" t="n">
        <f aca="false">IF(AND('Daily Workforce'!$N51="Y",'Daily Workforce'!$B51&lt;&gt;"",COUNTIF('Daily Schedule'!$F$5:$F30,'Daily Workforce'!$B51)=0,IF('Daily Schedule'!$A31=45,'Daily Workforce'!$J51="Y",IF(OR('Daily Schedule'!$A31=4,'Daily Schedule'!$A31=8),IF(OR(WEEKDAY('Daily Schedule'!$B$2,2)=1,WEEKDAY('Daily Schedule'!$B$2,2)=4,WEEKDAY('Daily Schedule'!$B$2,2)=5,WEEKDAY('Daily Schedule'!$B$2,2)=7),IFERROR(1*'Daily Workforce'!$K51&gt;=3,FALSE()),IFERROR(1*'Daily Workforce'!$K51&gt;=2,FALSE())),IF(AND('Daily Schedule'!$A31&gt;=46,'Daily Schedule'!$A31&lt;=52),'Daily Workforce'!$M51="Y",IFERROR(1*'Daily Workforce'!$P51&gt;=2,FALSE()))))),1,0)</f>
        <v>1</v>
      </c>
      <c r="BK27" s="1" t="n">
        <f aca="false">IF(AND('Daily Workforce'!$N52="Y",'Daily Workforce'!$B52&lt;&gt;"",COUNTIF('Daily Schedule'!$F$5:$F30,'Daily Workforce'!$B52)=0,IF('Daily Schedule'!$A31=45,'Daily Workforce'!$J52="Y",IF(OR('Daily Schedule'!$A31=4,'Daily Schedule'!$A31=8),IF(OR(WEEKDAY('Daily Schedule'!$B$2,2)=1,WEEKDAY('Daily Schedule'!$B$2,2)=4,WEEKDAY('Daily Schedule'!$B$2,2)=5,WEEKDAY('Daily Schedule'!$B$2,2)=7),IFERROR(1*'Daily Workforce'!$K52&gt;=3,FALSE()),IFERROR(1*'Daily Workforce'!$K52&gt;=2,FALSE())),IF(AND('Daily Schedule'!$A31&gt;=46,'Daily Schedule'!$A31&lt;=52),'Daily Workforce'!$M52="Y",IFERROR(1*'Daily Workforce'!$P52&gt;=2,FALSE()))))),1,0)</f>
        <v>1</v>
      </c>
      <c r="BL27" s="1" t="n">
        <f aca="false">IF(AND('Daily Workforce'!$N53="Y",'Daily Workforce'!$B53&lt;&gt;"",COUNTIF('Daily Schedule'!$F$5:$F30,'Daily Workforce'!$B53)=0,IF('Daily Schedule'!$A31=45,'Daily Workforce'!$J53="Y",IF(OR('Daily Schedule'!$A31=4,'Daily Schedule'!$A31=8),IF(OR(WEEKDAY('Daily Schedule'!$B$2,2)=1,WEEKDAY('Daily Schedule'!$B$2,2)=4,WEEKDAY('Daily Schedule'!$B$2,2)=5,WEEKDAY('Daily Schedule'!$B$2,2)=7),IFERROR(1*'Daily Workforce'!$K53&gt;=3,FALSE()),IFERROR(1*'Daily Workforce'!$K53&gt;=2,FALSE())),IF(AND('Daily Schedule'!$A31&gt;=46,'Daily Schedule'!$A31&lt;=52),'Daily Workforce'!$M53="Y",IFERROR(1*'Daily Workforce'!$P53&gt;=2,FALSE()))))),1,0)</f>
        <v>1</v>
      </c>
      <c r="BM27" s="1" t="n">
        <f aca="false">IF(AND('Daily Workforce'!$N54="Y",'Daily Workforce'!$B54&lt;&gt;"",COUNTIF('Daily Schedule'!$F$5:$F30,'Daily Workforce'!$B54)=0,IF('Daily Schedule'!$A31=45,'Daily Workforce'!$J54="Y",IF(OR('Daily Schedule'!$A31=4,'Daily Schedule'!$A31=8),IF(OR(WEEKDAY('Daily Schedule'!$B$2,2)=1,WEEKDAY('Daily Schedule'!$B$2,2)=4,WEEKDAY('Daily Schedule'!$B$2,2)=5,WEEKDAY('Daily Schedule'!$B$2,2)=7),IFERROR(1*'Daily Workforce'!$K54&gt;=3,FALSE()),IFERROR(1*'Daily Workforce'!$K54&gt;=2,FALSE())),IF(AND('Daily Schedule'!$A31&gt;=46,'Daily Schedule'!$A31&lt;=52),'Daily Workforce'!$M54="Y",IFERROR(1*'Daily Workforce'!$P54&gt;=2,FALSE()))))),1,0)</f>
        <v>1</v>
      </c>
      <c r="BN27" s="1" t="n">
        <f aca="false">IF(AND('Daily Workforce'!$N55="Y",'Daily Workforce'!$B55&lt;&gt;"",COUNTIF('Daily Schedule'!$F$5:$F30,'Daily Workforce'!$B55)=0,IF('Daily Schedule'!$A31=45,'Daily Workforce'!$J55="Y",IF(OR('Daily Schedule'!$A31=4,'Daily Schedule'!$A31=8),IF(OR(WEEKDAY('Daily Schedule'!$B$2,2)=1,WEEKDAY('Daily Schedule'!$B$2,2)=4,WEEKDAY('Daily Schedule'!$B$2,2)=5,WEEKDAY('Daily Schedule'!$B$2,2)=7),IFERROR(1*'Daily Workforce'!$K55&gt;=3,FALSE()),IFERROR(1*'Daily Workforce'!$K55&gt;=2,FALSE())),IF(AND('Daily Schedule'!$A31&gt;=46,'Daily Schedule'!$A31&lt;=52),'Daily Workforce'!$M55="Y",IFERROR(1*'Daily Workforce'!$P55&gt;=2,FALSE()))))),1,0)</f>
        <v>1</v>
      </c>
      <c r="BO27" s="1" t="n">
        <f aca="false">IF(AND('Daily Workforce'!$N56="Y",'Daily Workforce'!$B56&lt;&gt;"",COUNTIF('Daily Schedule'!$F$5:$F30,'Daily Workforce'!$B56)=0,IF('Daily Schedule'!$A31=45,'Daily Workforce'!$J56="Y",IF(OR('Daily Schedule'!$A31=4,'Daily Schedule'!$A31=8),IF(OR(WEEKDAY('Daily Schedule'!$B$2,2)=1,WEEKDAY('Daily Schedule'!$B$2,2)=4,WEEKDAY('Daily Schedule'!$B$2,2)=5,WEEKDAY('Daily Schedule'!$B$2,2)=7),IFERROR(1*'Daily Workforce'!$K56&gt;=3,FALSE()),IFERROR(1*'Daily Workforce'!$K56&gt;=2,FALSE())),IF(AND('Daily Schedule'!$A31&gt;=46,'Daily Schedule'!$A31&lt;=52),'Daily Workforce'!$M56="Y",IFERROR(1*'Daily Workforce'!$P56&gt;=2,FALSE()))))),1,0)</f>
        <v>1</v>
      </c>
      <c r="BP27" s="1" t="n">
        <f aca="false">IF(AND('Daily Workforce'!$N57="Y",'Daily Workforce'!$B57&lt;&gt;"",COUNTIF('Daily Schedule'!$F$5:$F30,'Daily Workforce'!$B57)=0,IF('Daily Schedule'!$A31=45,'Daily Workforce'!$J57="Y",IF(OR('Daily Schedule'!$A31=4,'Daily Schedule'!$A31=8),IF(OR(WEEKDAY('Daily Schedule'!$B$2,2)=1,WEEKDAY('Daily Schedule'!$B$2,2)=4,WEEKDAY('Daily Schedule'!$B$2,2)=5,WEEKDAY('Daily Schedule'!$B$2,2)=7),IFERROR(1*'Daily Workforce'!$K57&gt;=3,FALSE()),IFERROR(1*'Daily Workforce'!$K57&gt;=2,FALSE())),IF(AND('Daily Schedule'!$A31&gt;=46,'Daily Schedule'!$A31&lt;=52),'Daily Workforce'!$M57="Y",IFERROR(1*'Daily Workforce'!$P57&gt;=2,FALSE()))))),1,0)</f>
        <v>0</v>
      </c>
      <c r="BQ27" s="1" t="n">
        <f aca="false">IF(AND('Daily Workforce'!$N58="Y",'Daily Workforce'!$B58&lt;&gt;"",COUNTIF('Daily Schedule'!$F$5:$F30,'Daily Workforce'!$B58)=0,IF('Daily Schedule'!$A31=45,'Daily Workforce'!$J58="Y",IF(OR('Daily Schedule'!$A31=4,'Daily Schedule'!$A31=8),IF(OR(WEEKDAY('Daily Schedule'!$B$2,2)=1,WEEKDAY('Daily Schedule'!$B$2,2)=4,WEEKDAY('Daily Schedule'!$B$2,2)=5,WEEKDAY('Daily Schedule'!$B$2,2)=7),IFERROR(1*'Daily Workforce'!$K58&gt;=3,FALSE()),IFERROR(1*'Daily Workforce'!$K58&gt;=2,FALSE())),IF(AND('Daily Schedule'!$A31&gt;=46,'Daily Schedule'!$A31&lt;=52),'Daily Workforce'!$M58="Y",IFERROR(1*'Daily Workforce'!$P58&gt;=2,FALSE()))))),1,0)</f>
        <v>1</v>
      </c>
      <c r="BR27" s="1" t="n">
        <f aca="false">IF(AND('Daily Workforce'!$N59="Y",'Daily Workforce'!$B59&lt;&gt;"",COUNTIF('Daily Schedule'!$F$5:$F30,'Daily Workforce'!$B59)=0,IF('Daily Schedule'!$A31=45,'Daily Workforce'!$J59="Y",IF(OR('Daily Schedule'!$A31=4,'Daily Schedule'!$A31=8),IF(OR(WEEKDAY('Daily Schedule'!$B$2,2)=1,WEEKDAY('Daily Schedule'!$B$2,2)=4,WEEKDAY('Daily Schedule'!$B$2,2)=5,WEEKDAY('Daily Schedule'!$B$2,2)=7),IFERROR(1*'Daily Workforce'!$K59&gt;=3,FALSE()),IFERROR(1*'Daily Workforce'!$K59&gt;=2,FALSE())),IF(AND('Daily Schedule'!$A31&gt;=46,'Daily Schedule'!$A31&lt;=52),'Daily Workforce'!$M59="Y",IFERROR(1*'Daily Workforce'!$P59&gt;=2,FALSE()))))),1,0)</f>
        <v>1</v>
      </c>
      <c r="BS27" s="1" t="n">
        <f aca="false">IF(AND('Daily Workforce'!$N60="Y",'Daily Workforce'!$B60&lt;&gt;"",COUNTIF('Daily Schedule'!$F$5:$F30,'Daily Workforce'!$B60)=0,IF('Daily Schedule'!$A31=45,'Daily Workforce'!$J60="Y",IF(OR('Daily Schedule'!$A31=4,'Daily Schedule'!$A31=8),IF(OR(WEEKDAY('Daily Schedule'!$B$2,2)=1,WEEKDAY('Daily Schedule'!$B$2,2)=4,WEEKDAY('Daily Schedule'!$B$2,2)=5,WEEKDAY('Daily Schedule'!$B$2,2)=7),IFERROR(1*'Daily Workforce'!$K60&gt;=3,FALSE()),IFERROR(1*'Daily Workforce'!$K60&gt;=2,FALSE())),IF(AND('Daily Schedule'!$A31&gt;=46,'Daily Schedule'!$A31&lt;=52),'Daily Workforce'!$M60="Y",IFERROR(1*'Daily Workforce'!$P60&gt;=2,FALSE()))))),1,0)</f>
        <v>1</v>
      </c>
      <c r="BT27" s="1" t="n">
        <f aca="false">IF(AND('Daily Workforce'!$N61="Y",'Daily Workforce'!$B61&lt;&gt;"",COUNTIF('Daily Schedule'!$F$5:$F30,'Daily Workforce'!$B61)=0,IF('Daily Schedule'!$A31=45,'Daily Workforce'!$J61="Y",IF(OR('Daily Schedule'!$A31=4,'Daily Schedule'!$A31=8),IF(OR(WEEKDAY('Daily Schedule'!$B$2,2)=1,WEEKDAY('Daily Schedule'!$B$2,2)=4,WEEKDAY('Daily Schedule'!$B$2,2)=5,WEEKDAY('Daily Schedule'!$B$2,2)=7),IFERROR(1*'Daily Workforce'!$K61&gt;=3,FALSE()),IFERROR(1*'Daily Workforce'!$K61&gt;=2,FALSE())),IF(AND('Daily Schedule'!$A31&gt;=46,'Daily Schedule'!$A31&lt;=52),'Daily Workforce'!$M61="Y",IFERROR(1*'Daily Workforce'!$P61&gt;=2,FALSE()))))),1,0)</f>
        <v>0</v>
      </c>
      <c r="BU27" s="1" t="n">
        <f aca="false">IF(AND('Daily Workforce'!$N62="Y",'Daily Workforce'!$B62&lt;&gt;"",COUNTIF('Daily Schedule'!$F$5:$F30,'Daily Workforce'!$B62)=0,IF('Daily Schedule'!$A31=45,'Daily Workforce'!$J62="Y",IF(OR('Daily Schedule'!$A31=4,'Daily Schedule'!$A31=8),IF(OR(WEEKDAY('Daily Schedule'!$B$2,2)=1,WEEKDAY('Daily Schedule'!$B$2,2)=4,WEEKDAY('Daily Schedule'!$B$2,2)=5,WEEKDAY('Daily Schedule'!$B$2,2)=7),IFERROR(1*'Daily Workforce'!$K62&gt;=3,FALSE()),IFERROR(1*'Daily Workforce'!$K62&gt;=2,FALSE())),IF(AND('Daily Schedule'!$A31&gt;=46,'Daily Schedule'!$A31&lt;=52),'Daily Workforce'!$M62="Y",IFERROR(1*'Daily Workforce'!$P62&gt;=2,FALSE()))))),1,0)</f>
        <v>1</v>
      </c>
      <c r="BV27" s="1" t="n">
        <f aca="false">IF(AND('Daily Workforce'!$N63="Y",'Daily Workforce'!$B63&lt;&gt;"",COUNTIF('Daily Schedule'!$F$5:$F30,'Daily Workforce'!$B63)=0,IF('Daily Schedule'!$A31=45,'Daily Workforce'!$J63="Y",IF(OR('Daily Schedule'!$A31=4,'Daily Schedule'!$A31=8),IF(OR(WEEKDAY('Daily Schedule'!$B$2,2)=1,WEEKDAY('Daily Schedule'!$B$2,2)=4,WEEKDAY('Daily Schedule'!$B$2,2)=5,WEEKDAY('Daily Schedule'!$B$2,2)=7),IFERROR(1*'Daily Workforce'!$K63&gt;=3,FALSE()),IFERROR(1*'Daily Workforce'!$K63&gt;=2,FALSE())),IF(AND('Daily Schedule'!$A31&gt;=46,'Daily Schedule'!$A31&lt;=52),'Daily Workforce'!$M63="Y",IFERROR(1*'Daily Workforce'!$P63&gt;=2,FALSE()))))),1,0)</f>
        <v>1</v>
      </c>
      <c r="BW27" s="1" t="n">
        <f aca="false">IF(AND('Daily Workforce'!$N64="Y",'Daily Workforce'!$B64&lt;&gt;"",COUNTIF('Daily Schedule'!$F$5:$F30,'Daily Workforce'!$B64)=0,IF('Daily Schedule'!$A31=45,'Daily Workforce'!$J64="Y",IF(OR('Daily Schedule'!$A31=4,'Daily Schedule'!$A31=8),IF(OR(WEEKDAY('Daily Schedule'!$B$2,2)=1,WEEKDAY('Daily Schedule'!$B$2,2)=4,WEEKDAY('Daily Schedule'!$B$2,2)=5,WEEKDAY('Daily Schedule'!$B$2,2)=7),IFERROR(1*'Daily Workforce'!$K64&gt;=3,FALSE()),IFERROR(1*'Daily Workforce'!$K64&gt;=2,FALSE())),IF(AND('Daily Schedule'!$A31&gt;=46,'Daily Schedule'!$A31&lt;=52),'Daily Workforce'!$M64="Y",IFERROR(1*'Daily Workforce'!$P64&gt;=2,FALSE()))))),1,0)</f>
        <v>1</v>
      </c>
      <c r="BX27" s="1" t="n">
        <f aca="false">IF(AND('Daily Workforce'!$N65="Y",'Daily Workforce'!$B65&lt;&gt;"",COUNTIF('Daily Schedule'!$F$5:$F30,'Daily Workforce'!$B65)=0,IF('Daily Schedule'!$A31=45,'Daily Workforce'!$J65="Y",IF(OR('Daily Schedule'!$A31=4,'Daily Schedule'!$A31=8),IF(OR(WEEKDAY('Daily Schedule'!$B$2,2)=1,WEEKDAY('Daily Schedule'!$B$2,2)=4,WEEKDAY('Daily Schedule'!$B$2,2)=5,WEEKDAY('Daily Schedule'!$B$2,2)=7),IFERROR(1*'Daily Workforce'!$K65&gt;=3,FALSE()),IFERROR(1*'Daily Workforce'!$K65&gt;=2,FALSE())),IF(AND('Daily Schedule'!$A31&gt;=46,'Daily Schedule'!$A31&lt;=52),'Daily Workforce'!$M65="Y",IFERROR(1*'Daily Workforce'!$P65&gt;=2,FALSE()))))),1,0)</f>
        <v>1</v>
      </c>
      <c r="BY27" s="1" t="n">
        <f aca="false">IF(AND('Daily Workforce'!$N66="Y",'Daily Workforce'!$B66&lt;&gt;"",COUNTIF('Daily Schedule'!$F$5:$F30,'Daily Workforce'!$B66)=0,IF('Daily Schedule'!$A31=45,'Daily Workforce'!$J66="Y",IF(OR('Daily Schedule'!$A31=4,'Daily Schedule'!$A31=8),IF(OR(WEEKDAY('Daily Schedule'!$B$2,2)=1,WEEKDAY('Daily Schedule'!$B$2,2)=4,WEEKDAY('Daily Schedule'!$B$2,2)=5,WEEKDAY('Daily Schedule'!$B$2,2)=7),IFERROR(1*'Daily Workforce'!$K66&gt;=3,FALSE()),IFERROR(1*'Daily Workforce'!$K66&gt;=2,FALSE())),IF(AND('Daily Schedule'!$A31&gt;=46,'Daily Schedule'!$A31&lt;=52),'Daily Workforce'!$M66="Y",IFERROR(1*'Daily Workforce'!$P66&gt;=2,FALSE()))))),1,0)</f>
        <v>1</v>
      </c>
      <c r="BZ27" s="1" t="n">
        <f aca="false">IF(AND('Daily Workforce'!$N67="Y",'Daily Workforce'!$B67&lt;&gt;"",COUNTIF('Daily Schedule'!$F$5:$F30,'Daily Workforce'!$B67)=0,IF('Daily Schedule'!$A31=45,'Daily Workforce'!$J67="Y",IF(OR('Daily Schedule'!$A31=4,'Daily Schedule'!$A31=8),IF(OR(WEEKDAY('Daily Schedule'!$B$2,2)=1,WEEKDAY('Daily Schedule'!$B$2,2)=4,WEEKDAY('Daily Schedule'!$B$2,2)=5,WEEKDAY('Daily Schedule'!$B$2,2)=7),IFERROR(1*'Daily Workforce'!$K67&gt;=3,FALSE()),IFERROR(1*'Daily Workforce'!$K67&gt;=2,FALSE())),IF(AND('Daily Schedule'!$A31&gt;=46,'Daily Schedule'!$A31&lt;=52),'Daily Workforce'!$M67="Y",IFERROR(1*'Daily Workforce'!$P67&gt;=2,FALSE()))))),1,0)</f>
        <v>1</v>
      </c>
      <c r="CA27" s="1" t="n">
        <f aca="false">IF(AND('Daily Workforce'!$N68="Y",'Daily Workforce'!$B68&lt;&gt;"",COUNTIF('Daily Schedule'!$F$5:$F30,'Daily Workforce'!$B68)=0,IF('Daily Schedule'!$A31=45,'Daily Workforce'!$J68="Y",IF(OR('Daily Schedule'!$A31=4,'Daily Schedule'!$A31=8),IF(OR(WEEKDAY('Daily Schedule'!$B$2,2)=1,WEEKDAY('Daily Schedule'!$B$2,2)=4,WEEKDAY('Daily Schedule'!$B$2,2)=5,WEEKDAY('Daily Schedule'!$B$2,2)=7),IFERROR(1*'Daily Workforce'!$K68&gt;=3,FALSE()),IFERROR(1*'Daily Workforce'!$K68&gt;=2,FALSE())),IF(AND('Daily Schedule'!$A31&gt;=46,'Daily Schedule'!$A31&lt;=52),'Daily Workforce'!$M68="Y",IFERROR(1*'Daily Workforce'!$P68&gt;=2,FALSE()))))),1,0)</f>
        <v>1</v>
      </c>
      <c r="CB27" s="1" t="n">
        <f aca="false">IF(AND('Daily Workforce'!$N69="Y",'Daily Workforce'!$B69&lt;&gt;"",COUNTIF('Daily Schedule'!$F$5:$F30,'Daily Workforce'!$B69)=0,IF('Daily Schedule'!$A31=45,'Daily Workforce'!$J69="Y",IF(OR('Daily Schedule'!$A31=4,'Daily Schedule'!$A31=8),IF(OR(WEEKDAY('Daily Schedule'!$B$2,2)=1,WEEKDAY('Daily Schedule'!$B$2,2)=4,WEEKDAY('Daily Schedule'!$B$2,2)=5,WEEKDAY('Daily Schedule'!$B$2,2)=7),IFERROR(1*'Daily Workforce'!$K69&gt;=3,FALSE()),IFERROR(1*'Daily Workforce'!$K69&gt;=2,FALSE())),IF(AND('Daily Schedule'!$A31&gt;=46,'Daily Schedule'!$A31&lt;=52),'Daily Workforce'!$M69="Y",IFERROR(1*'Daily Workforce'!$P69&gt;=2,FALSE()))))),1,0)</f>
        <v>1</v>
      </c>
      <c r="CC27" s="1" t="n">
        <f aca="false">IF(AND('Daily Workforce'!$N70="Y",'Daily Workforce'!$B70&lt;&gt;"",COUNTIF('Daily Schedule'!$F$5:$F30,'Daily Workforce'!$B70)=0,IF('Daily Schedule'!$A31=45,'Daily Workforce'!$J70="Y",IF(OR('Daily Schedule'!$A31=4,'Daily Schedule'!$A31=8),IF(OR(WEEKDAY('Daily Schedule'!$B$2,2)=1,WEEKDAY('Daily Schedule'!$B$2,2)=4,WEEKDAY('Daily Schedule'!$B$2,2)=5,WEEKDAY('Daily Schedule'!$B$2,2)=7),IFERROR(1*'Daily Workforce'!$K70&gt;=3,FALSE()),IFERROR(1*'Daily Workforce'!$K70&gt;=2,FALSE())),IF(AND('Daily Schedule'!$A31&gt;=46,'Daily Schedule'!$A31&lt;=52),'Daily Workforce'!$M70="Y",IFERROR(1*'Daily Workforce'!$P70&gt;=2,FALSE()))))),1,0)</f>
        <v>1</v>
      </c>
      <c r="CD27" s="1" t="n">
        <f aca="false">IF(AND('Daily Workforce'!$N71="Y",'Daily Workforce'!$B71&lt;&gt;"",COUNTIF('Daily Schedule'!$F$5:$F30,'Daily Workforce'!$B71)=0,IF('Daily Schedule'!$A31=45,'Daily Workforce'!$J71="Y",IF(OR('Daily Schedule'!$A31=4,'Daily Schedule'!$A31=8),IF(OR(WEEKDAY('Daily Schedule'!$B$2,2)=1,WEEKDAY('Daily Schedule'!$B$2,2)=4,WEEKDAY('Daily Schedule'!$B$2,2)=5,WEEKDAY('Daily Schedule'!$B$2,2)=7),IFERROR(1*'Daily Workforce'!$K71&gt;=3,FALSE()),IFERROR(1*'Daily Workforce'!$K71&gt;=2,FALSE())),IF(AND('Daily Schedule'!$A31&gt;=46,'Daily Schedule'!$A31&lt;=52),'Daily Workforce'!$M71="Y",IFERROR(1*'Daily Workforce'!$P71&gt;=2,FALSE()))))),1,0)</f>
        <v>1</v>
      </c>
      <c r="CE27" s="1" t="n">
        <f aca="false">IF(AND('Daily Workforce'!$N72="Y",'Daily Workforce'!$B72&lt;&gt;"",COUNTIF('Daily Schedule'!$F$5:$F30,'Daily Workforce'!$B72)=0,IF('Daily Schedule'!$A31=45,'Daily Workforce'!$J72="Y",IF(OR('Daily Schedule'!$A31=4,'Daily Schedule'!$A31=8),IF(OR(WEEKDAY('Daily Schedule'!$B$2,2)=1,WEEKDAY('Daily Schedule'!$B$2,2)=4,WEEKDAY('Daily Schedule'!$B$2,2)=5,WEEKDAY('Daily Schedule'!$B$2,2)=7),IFERROR(1*'Daily Workforce'!$K72&gt;=3,FALSE()),IFERROR(1*'Daily Workforce'!$K72&gt;=2,FALSE())),IF(AND('Daily Schedule'!$A31&gt;=46,'Daily Schedule'!$A31&lt;=52),'Daily Workforce'!$M72="Y",IFERROR(1*'Daily Workforce'!$P72&gt;=2,FALSE()))))),1,0)</f>
        <v>1</v>
      </c>
      <c r="CF27" s="1" t="n">
        <f aca="false">IF(AND('Daily Workforce'!$N73="Y",'Daily Workforce'!$B73&lt;&gt;"",COUNTIF('Daily Schedule'!$F$5:$F30,'Daily Workforce'!$B73)=0,IF('Daily Schedule'!$A31=45,'Daily Workforce'!$J73="Y",IF(OR('Daily Schedule'!$A31=4,'Daily Schedule'!$A31=8),IF(OR(WEEKDAY('Daily Schedule'!$B$2,2)=1,WEEKDAY('Daily Schedule'!$B$2,2)=4,WEEKDAY('Daily Schedule'!$B$2,2)=5,WEEKDAY('Daily Schedule'!$B$2,2)=7),IFERROR(1*'Daily Workforce'!$K73&gt;=3,FALSE()),IFERROR(1*'Daily Workforce'!$K73&gt;=2,FALSE())),IF(AND('Daily Schedule'!$A31&gt;=46,'Daily Schedule'!$A31&lt;=52),'Daily Workforce'!$M73="Y",IFERROR(1*'Daily Workforce'!$P73&gt;=2,FALSE()))))),1,0)</f>
        <v>1</v>
      </c>
      <c r="CG27" s="1" t="n">
        <f aca="false">IF(AND('Daily Workforce'!$N74="Y",'Daily Workforce'!$B74&lt;&gt;"",COUNTIF('Daily Schedule'!$F$5:$F30,'Daily Workforce'!$B74)=0,IF('Daily Schedule'!$A31=45,'Daily Workforce'!$J74="Y",IF(OR('Daily Schedule'!$A31=4,'Daily Schedule'!$A31=8),IF(OR(WEEKDAY('Daily Schedule'!$B$2,2)=1,WEEKDAY('Daily Schedule'!$B$2,2)=4,WEEKDAY('Daily Schedule'!$B$2,2)=5,WEEKDAY('Daily Schedule'!$B$2,2)=7),IFERROR(1*'Daily Workforce'!$K74&gt;=3,FALSE()),IFERROR(1*'Daily Workforce'!$K74&gt;=2,FALSE())),IF(AND('Daily Schedule'!$A31&gt;=46,'Daily Schedule'!$A31&lt;=52),'Daily Workforce'!$M74="Y",IFERROR(1*'Daily Workforce'!$P74&gt;=2,FALSE()))))),1,0)</f>
        <v>1</v>
      </c>
      <c r="CH27" s="1" t="n">
        <f aca="false">IF(AND('Daily Workforce'!$N75="Y",'Daily Workforce'!$B75&lt;&gt;"",COUNTIF('Daily Schedule'!$F$5:$F30,'Daily Workforce'!$B75)=0,IF('Daily Schedule'!$A31=45,'Daily Workforce'!$J75="Y",IF(OR('Daily Schedule'!$A31=4,'Daily Schedule'!$A31=8),IF(OR(WEEKDAY('Daily Schedule'!$B$2,2)=1,WEEKDAY('Daily Schedule'!$B$2,2)=4,WEEKDAY('Daily Schedule'!$B$2,2)=5,WEEKDAY('Daily Schedule'!$B$2,2)=7),IFERROR(1*'Daily Workforce'!$K75&gt;=3,FALSE()),IFERROR(1*'Daily Workforce'!$K75&gt;=2,FALSE())),IF(AND('Daily Schedule'!$A31&gt;=46,'Daily Schedule'!$A31&lt;=52),'Daily Workforce'!$M75="Y",IFERROR(1*'Daily Workforce'!$P75&gt;=2,FALSE()))))),1,0)</f>
        <v>1</v>
      </c>
      <c r="CI27" s="1" t="n">
        <f aca="false">IF(AND('Daily Workforce'!$N76="Y",'Daily Workforce'!$B76&lt;&gt;"",COUNTIF('Daily Schedule'!$F$5:$F30,'Daily Workforce'!$B76)=0,IF('Daily Schedule'!$A31=45,'Daily Workforce'!$J76="Y",IF(OR('Daily Schedule'!$A31=4,'Daily Schedule'!$A31=8),IF(OR(WEEKDAY('Daily Schedule'!$B$2,2)=1,WEEKDAY('Daily Schedule'!$B$2,2)=4,WEEKDAY('Daily Schedule'!$B$2,2)=5,WEEKDAY('Daily Schedule'!$B$2,2)=7),IFERROR(1*'Daily Workforce'!$K76&gt;=3,FALSE()),IFERROR(1*'Daily Workforce'!$K76&gt;=2,FALSE())),IF(AND('Daily Schedule'!$A31&gt;=46,'Daily Schedule'!$A31&lt;=52),'Daily Workforce'!$M76="Y",IFERROR(1*'Daily Workforce'!$P76&gt;=2,FALSE()))))),1,0)</f>
        <v>1</v>
      </c>
      <c r="CJ27" s="1" t="n">
        <f aca="false">IF(AND('Daily Workforce'!$N77="Y",'Daily Workforce'!$B77&lt;&gt;"",COUNTIF('Daily Schedule'!$F$5:$F30,'Daily Workforce'!$B77)=0,IF('Daily Schedule'!$A31=45,'Daily Workforce'!$J77="Y",IF(OR('Daily Schedule'!$A31=4,'Daily Schedule'!$A31=8),IF(OR(WEEKDAY('Daily Schedule'!$B$2,2)=1,WEEKDAY('Daily Schedule'!$B$2,2)=4,WEEKDAY('Daily Schedule'!$B$2,2)=5,WEEKDAY('Daily Schedule'!$B$2,2)=7),IFERROR(1*'Daily Workforce'!$K77&gt;=3,FALSE()),IFERROR(1*'Daily Workforce'!$K77&gt;=2,FALSE())),IF(AND('Daily Schedule'!$A31&gt;=46,'Daily Schedule'!$A31&lt;=52),'Daily Workforce'!$M77="Y",IFERROR(1*'Daily Workforce'!$P77&gt;=2,FALSE()))))),1,0)</f>
        <v>1</v>
      </c>
      <c r="CK27" s="1" t="n">
        <f aca="false">IF(AND('Daily Workforce'!$N78="Y",'Daily Workforce'!$B78&lt;&gt;"",COUNTIF('Daily Schedule'!$F$5:$F30,'Daily Workforce'!$B78)=0,IF('Daily Schedule'!$A31=45,'Daily Workforce'!$J78="Y",IF(OR('Daily Schedule'!$A31=4,'Daily Schedule'!$A31=8),IF(OR(WEEKDAY('Daily Schedule'!$B$2,2)=1,WEEKDAY('Daily Schedule'!$B$2,2)=4,WEEKDAY('Daily Schedule'!$B$2,2)=5,WEEKDAY('Daily Schedule'!$B$2,2)=7),IFERROR(1*'Daily Workforce'!$K78&gt;=3,FALSE()),IFERROR(1*'Daily Workforce'!$K78&gt;=2,FALSE())),IF(AND('Daily Schedule'!$A31&gt;=46,'Daily Schedule'!$A31&lt;=52),'Daily Workforce'!$M78="Y",IFERROR(1*'Daily Workforce'!$P78&gt;=2,FALSE()))))),1,0)</f>
        <v>1</v>
      </c>
      <c r="CL27" s="1" t="n">
        <f aca="false">IF(AND('Daily Workforce'!$N79="Y",'Daily Workforce'!$B79&lt;&gt;"",COUNTIF('Daily Schedule'!$F$5:$F30,'Daily Workforce'!$B79)=0,IF('Daily Schedule'!$A31=45,'Daily Workforce'!$J79="Y",IF(OR('Daily Schedule'!$A31=4,'Daily Schedule'!$A31=8),IF(OR(WEEKDAY('Daily Schedule'!$B$2,2)=1,WEEKDAY('Daily Schedule'!$B$2,2)=4,WEEKDAY('Daily Schedule'!$B$2,2)=5,WEEKDAY('Daily Schedule'!$B$2,2)=7),IFERROR(1*'Daily Workforce'!$K79&gt;=3,FALSE()),IFERROR(1*'Daily Workforce'!$K79&gt;=2,FALSE())),IF(AND('Daily Schedule'!$A31&gt;=46,'Daily Schedule'!$A31&lt;=52),'Daily Workforce'!$M79="Y",IFERROR(1*'Daily Workforce'!$P79&gt;=2,FALSE()))))),1,0)</f>
        <v>1</v>
      </c>
      <c r="CM27" s="1" t="n">
        <f aca="false">IF(AND('Daily Workforce'!$N80="Y",'Daily Workforce'!$B80&lt;&gt;"",COUNTIF('Daily Schedule'!$F$5:$F30,'Daily Workforce'!$B80)=0,IF('Daily Schedule'!$A31=45,'Daily Workforce'!$J80="Y",IF(OR('Daily Schedule'!$A31=4,'Daily Schedule'!$A31=8),IF(OR(WEEKDAY('Daily Schedule'!$B$2,2)=1,WEEKDAY('Daily Schedule'!$B$2,2)=4,WEEKDAY('Daily Schedule'!$B$2,2)=5,WEEKDAY('Daily Schedule'!$B$2,2)=7),IFERROR(1*'Daily Workforce'!$K80&gt;=3,FALSE()),IFERROR(1*'Daily Workforce'!$K80&gt;=2,FALSE())),IF(AND('Daily Schedule'!$A31&gt;=46,'Daily Schedule'!$A31&lt;=52),'Daily Workforce'!$M80="Y",IFERROR(1*'Daily Workforce'!$P80&gt;=2,FALSE()))))),1,0)</f>
        <v>1</v>
      </c>
      <c r="CN27" s="1" t="n">
        <f aca="false">IF(AND('Daily Workforce'!$N81="Y",'Daily Workforce'!$B81&lt;&gt;"",COUNTIF('Daily Schedule'!$F$5:$F30,'Daily Workforce'!$B81)=0,IF('Daily Schedule'!$A31=45,'Daily Workforce'!$J81="Y",IF(OR('Daily Schedule'!$A31=4,'Daily Schedule'!$A31=8),IF(OR(WEEKDAY('Daily Schedule'!$B$2,2)=1,WEEKDAY('Daily Schedule'!$B$2,2)=4,WEEKDAY('Daily Schedule'!$B$2,2)=5,WEEKDAY('Daily Schedule'!$B$2,2)=7),IFERROR(1*'Daily Workforce'!$K81&gt;=3,FALSE()),IFERROR(1*'Daily Workforce'!$K81&gt;=2,FALSE())),IF(AND('Daily Schedule'!$A31&gt;=46,'Daily Schedule'!$A31&lt;=52),'Daily Workforce'!$M81="Y",IFERROR(1*'Daily Workforce'!$P81&gt;=2,FALSE()))))),1,0)</f>
        <v>1</v>
      </c>
      <c r="CO27" s="1" t="n">
        <f aca="false">IF(AND('Daily Workforce'!$N82="Y",'Daily Workforce'!$B82&lt;&gt;"",COUNTIF('Daily Schedule'!$F$5:$F30,'Daily Workforce'!$B82)=0,IF('Daily Schedule'!$A31=45,'Daily Workforce'!$J82="Y",IF(OR('Daily Schedule'!$A31=4,'Daily Schedule'!$A31=8),IF(OR(WEEKDAY('Daily Schedule'!$B$2,2)=1,WEEKDAY('Daily Schedule'!$B$2,2)=4,WEEKDAY('Daily Schedule'!$B$2,2)=5,WEEKDAY('Daily Schedule'!$B$2,2)=7),IFERROR(1*'Daily Workforce'!$K82&gt;=3,FALSE()),IFERROR(1*'Daily Workforce'!$K82&gt;=2,FALSE())),IF(AND('Daily Schedule'!$A31&gt;=46,'Daily Schedule'!$A31&lt;=52),'Daily Workforce'!$M82="Y",IFERROR(1*'Daily Workforce'!$P82&gt;=2,FALSE()))))),1,0)</f>
        <v>1</v>
      </c>
      <c r="CP27" s="1" t="n">
        <f aca="false">IF(AND('Daily Workforce'!$N83="Y",'Daily Workforce'!$B83&lt;&gt;"",COUNTIF('Daily Schedule'!$F$5:$F30,'Daily Workforce'!$B83)=0,IF('Daily Schedule'!$A31=45,'Daily Workforce'!$J83="Y",IF(OR('Daily Schedule'!$A31=4,'Daily Schedule'!$A31=8),IF(OR(WEEKDAY('Daily Schedule'!$B$2,2)=1,WEEKDAY('Daily Schedule'!$B$2,2)=4,WEEKDAY('Daily Schedule'!$B$2,2)=5,WEEKDAY('Daily Schedule'!$B$2,2)=7),IFERROR(1*'Daily Workforce'!$K83&gt;=3,FALSE()),IFERROR(1*'Daily Workforce'!$K83&gt;=2,FALSE())),IF(AND('Daily Schedule'!$A31&gt;=46,'Daily Schedule'!$A31&lt;=52),'Daily Workforce'!$M83="Y",IFERROR(1*'Daily Workforce'!$P83&gt;=2,FALSE()))))),1,0)</f>
        <v>0</v>
      </c>
      <c r="CQ27" s="1" t="n">
        <f aca="false">IF(AND('Daily Workforce'!$N84="Y",'Daily Workforce'!$B84&lt;&gt;"",COUNTIF('Daily Schedule'!$F$5:$F30,'Daily Workforce'!$B84)=0,IF('Daily Schedule'!$A31=45,'Daily Workforce'!$J84="Y",IF(OR('Daily Schedule'!$A31=4,'Daily Schedule'!$A31=8),IF(OR(WEEKDAY('Daily Schedule'!$B$2,2)=1,WEEKDAY('Daily Schedule'!$B$2,2)=4,WEEKDAY('Daily Schedule'!$B$2,2)=5,WEEKDAY('Daily Schedule'!$B$2,2)=7),IFERROR(1*'Daily Workforce'!$K84&gt;=3,FALSE()),IFERROR(1*'Daily Workforce'!$K84&gt;=2,FALSE())),IF(AND('Daily Schedule'!$A31&gt;=46,'Daily Schedule'!$A31&lt;=52),'Daily Workforce'!$M84="Y",IFERROR(1*'Daily Workforce'!$P84&gt;=2,FALSE()))))),1,0)</f>
        <v>1</v>
      </c>
      <c r="CR27" s="1" t="n">
        <f aca="false">IF(AND('Daily Workforce'!$N85="Y",'Daily Workforce'!$B85&lt;&gt;"",COUNTIF('Daily Schedule'!$F$5:$F30,'Daily Workforce'!$B85)=0,IF('Daily Schedule'!$A31=45,'Daily Workforce'!$J85="Y",IF(OR('Daily Schedule'!$A31=4,'Daily Schedule'!$A31=8),IF(OR(WEEKDAY('Daily Schedule'!$B$2,2)=1,WEEKDAY('Daily Schedule'!$B$2,2)=4,WEEKDAY('Daily Schedule'!$B$2,2)=5,WEEKDAY('Daily Schedule'!$B$2,2)=7),IFERROR(1*'Daily Workforce'!$K85&gt;=3,FALSE()),IFERROR(1*'Daily Workforce'!$K85&gt;=2,FALSE())),IF(AND('Daily Schedule'!$A31&gt;=46,'Daily Schedule'!$A31&lt;=52),'Daily Workforce'!$M85="Y",IFERROR(1*'Daily Workforce'!$P85&gt;=2,FALSE()))))),1,0)</f>
        <v>0</v>
      </c>
      <c r="CS27" s="1" t="n">
        <f aca="false">IF(AND('Daily Workforce'!$N86="Y",'Daily Workforce'!$B86&lt;&gt;"",COUNTIF('Daily Schedule'!$F$5:$F30,'Daily Workforce'!$B86)=0,IF('Daily Schedule'!$A31=45,'Daily Workforce'!$J86="Y",IF(OR('Daily Schedule'!$A31=4,'Daily Schedule'!$A31=8),IF(OR(WEEKDAY('Daily Schedule'!$B$2,2)=1,WEEKDAY('Daily Schedule'!$B$2,2)=4,WEEKDAY('Daily Schedule'!$B$2,2)=5,WEEKDAY('Daily Schedule'!$B$2,2)=7),IFERROR(1*'Daily Workforce'!$K86&gt;=3,FALSE()),IFERROR(1*'Daily Workforce'!$K86&gt;=2,FALSE())),IF(AND('Daily Schedule'!$A31&gt;=46,'Daily Schedule'!$A31&lt;=52),'Daily Workforce'!$M86="Y",IFERROR(1*'Daily Workforce'!$P86&gt;=2,FALSE()))))),1,0)</f>
        <v>1</v>
      </c>
      <c r="CT27" s="1" t="n">
        <f aca="false">IF(AND('Daily Workforce'!$N87="Y",'Daily Workforce'!$B87&lt;&gt;"",COUNTIF('Daily Schedule'!$F$5:$F30,'Daily Workforce'!$B87)=0,IF('Daily Schedule'!$A31=45,'Daily Workforce'!$J87="Y",IF(OR('Daily Schedule'!$A31=4,'Daily Schedule'!$A31=8),IF(OR(WEEKDAY('Daily Schedule'!$B$2,2)=1,WEEKDAY('Daily Schedule'!$B$2,2)=4,WEEKDAY('Daily Schedule'!$B$2,2)=5,WEEKDAY('Daily Schedule'!$B$2,2)=7),IFERROR(1*'Daily Workforce'!$K87&gt;=3,FALSE()),IFERROR(1*'Daily Workforce'!$K87&gt;=2,FALSE())),IF(AND('Daily Schedule'!$A31&gt;=46,'Daily Schedule'!$A31&lt;=52),'Daily Workforce'!$M87="Y",IFERROR(1*'Daily Workforce'!$P87&gt;=2,FALSE()))))),1,0)</f>
        <v>1</v>
      </c>
      <c r="CU27" s="1" t="n">
        <f aca="false">IF(AND('Daily Workforce'!$N88="Y",'Daily Workforce'!$B88&lt;&gt;"",COUNTIF('Daily Schedule'!$F$5:$F30,'Daily Workforce'!$B88)=0,IF('Daily Schedule'!$A31=45,'Daily Workforce'!$J88="Y",IF(OR('Daily Schedule'!$A31=4,'Daily Schedule'!$A31=8),IF(OR(WEEKDAY('Daily Schedule'!$B$2,2)=1,WEEKDAY('Daily Schedule'!$B$2,2)=4,WEEKDAY('Daily Schedule'!$B$2,2)=5,WEEKDAY('Daily Schedule'!$B$2,2)=7),IFERROR(1*'Daily Workforce'!$K88&gt;=3,FALSE()),IFERROR(1*'Daily Workforce'!$K88&gt;=2,FALSE())),IF(AND('Daily Schedule'!$A31&gt;=46,'Daily Schedule'!$A31&lt;=52),'Daily Workforce'!$M88="Y",IFERROR(1*'Daily Workforce'!$P88&gt;=2,FALSE()))))),1,0)</f>
        <v>1</v>
      </c>
      <c r="CV27" s="1" t="n">
        <f aca="false">IF(AND('Daily Workforce'!$N89="Y",'Daily Workforce'!$B89&lt;&gt;"",COUNTIF('Daily Schedule'!$F$5:$F30,'Daily Workforce'!$B89)=0,IF('Daily Schedule'!$A31=45,'Daily Workforce'!$J89="Y",IF(OR('Daily Schedule'!$A31=4,'Daily Schedule'!$A31=8),IF(OR(WEEKDAY('Daily Schedule'!$B$2,2)=1,WEEKDAY('Daily Schedule'!$B$2,2)=4,WEEKDAY('Daily Schedule'!$B$2,2)=5,WEEKDAY('Daily Schedule'!$B$2,2)=7),IFERROR(1*'Daily Workforce'!$K89&gt;=3,FALSE()),IFERROR(1*'Daily Workforce'!$K89&gt;=2,FALSE())),IF(AND('Daily Schedule'!$A31&gt;=46,'Daily Schedule'!$A31&lt;=52),'Daily Workforce'!$M89="Y",IFERROR(1*'Daily Workforce'!$P89&gt;=2,FALSE()))))),1,0)</f>
        <v>1</v>
      </c>
      <c r="CW27" s="1" t="n">
        <f aca="false">IF(AND('Daily Workforce'!$N90="Y",'Daily Workforce'!$B90&lt;&gt;"",COUNTIF('Daily Schedule'!$F$5:$F30,'Daily Workforce'!$B90)=0,IF('Daily Schedule'!$A31=45,'Daily Workforce'!$J90="Y",IF(OR('Daily Schedule'!$A31=4,'Daily Schedule'!$A31=8),IF(OR(WEEKDAY('Daily Schedule'!$B$2,2)=1,WEEKDAY('Daily Schedule'!$B$2,2)=4,WEEKDAY('Daily Schedule'!$B$2,2)=5,WEEKDAY('Daily Schedule'!$B$2,2)=7),IFERROR(1*'Daily Workforce'!$K90&gt;=3,FALSE()),IFERROR(1*'Daily Workforce'!$K90&gt;=2,FALSE())),IF(AND('Daily Schedule'!$A31&gt;=46,'Daily Schedule'!$A31&lt;=52),'Daily Workforce'!$M90="Y",IFERROR(1*'Daily Workforce'!$P90&gt;=2,FALSE()))))),1,0)</f>
        <v>1</v>
      </c>
      <c r="CX27" s="1" t="n">
        <f aca="false">IF(AND('Daily Workforce'!$N91="Y",'Daily Workforce'!$B91&lt;&gt;"",COUNTIF('Daily Schedule'!$F$5:$F30,'Daily Workforce'!$B91)=0,IF('Daily Schedule'!$A31=45,'Daily Workforce'!$J91="Y",IF(OR('Daily Schedule'!$A31=4,'Daily Schedule'!$A31=8),IF(OR(WEEKDAY('Daily Schedule'!$B$2,2)=1,WEEKDAY('Daily Schedule'!$B$2,2)=4,WEEKDAY('Daily Schedule'!$B$2,2)=5,WEEKDAY('Daily Schedule'!$B$2,2)=7),IFERROR(1*'Daily Workforce'!$K91&gt;=3,FALSE()),IFERROR(1*'Daily Workforce'!$K91&gt;=2,FALSE())),IF(AND('Daily Schedule'!$A31&gt;=46,'Daily Schedule'!$A31&lt;=52),'Daily Workforce'!$M91="Y",IFERROR(1*'Daily Workforce'!$P91&gt;=2,FALSE()))))),1,0)</f>
        <v>1</v>
      </c>
      <c r="CY27" s="1" t="n">
        <f aca="false">IF(AND('Daily Workforce'!$N92="Y",'Daily Workforce'!$B92&lt;&gt;"",COUNTIF('Daily Schedule'!$F$5:$F30,'Daily Workforce'!$B92)=0,IF('Daily Schedule'!$A31=45,'Daily Workforce'!$J92="Y",IF(OR('Daily Schedule'!$A31=4,'Daily Schedule'!$A31=8),IF(OR(WEEKDAY('Daily Schedule'!$B$2,2)=1,WEEKDAY('Daily Schedule'!$B$2,2)=4,WEEKDAY('Daily Schedule'!$B$2,2)=5,WEEKDAY('Daily Schedule'!$B$2,2)=7),IFERROR(1*'Daily Workforce'!$K92&gt;=3,FALSE()),IFERROR(1*'Daily Workforce'!$K92&gt;=2,FALSE())),IF(AND('Daily Schedule'!$A31&gt;=46,'Daily Schedule'!$A31&lt;=52),'Daily Workforce'!$M92="Y",IFERROR(1*'Daily Workforce'!$P92&gt;=2,FALSE()))))),1,0)</f>
        <v>1</v>
      </c>
      <c r="CZ27" s="1" t="n">
        <f aca="false">IF(AND('Daily Workforce'!$N93="Y",'Daily Workforce'!$B93&lt;&gt;"",COUNTIF('Daily Schedule'!$F$5:$F30,'Daily Workforce'!$B93)=0,IF('Daily Schedule'!$A31=45,'Daily Workforce'!$J93="Y",IF(OR('Daily Schedule'!$A31=4,'Daily Schedule'!$A31=8),IF(OR(WEEKDAY('Daily Schedule'!$B$2,2)=1,WEEKDAY('Daily Schedule'!$B$2,2)=4,WEEKDAY('Daily Schedule'!$B$2,2)=5,WEEKDAY('Daily Schedule'!$B$2,2)=7),IFERROR(1*'Daily Workforce'!$K93&gt;=3,FALSE()),IFERROR(1*'Daily Workforce'!$K93&gt;=2,FALSE())),IF(AND('Daily Schedule'!$A31&gt;=46,'Daily Schedule'!$A31&lt;=52),'Daily Workforce'!$M93="Y",IFERROR(1*'Daily Workforce'!$P93&gt;=2,FALSE()))))),1,0)</f>
        <v>1</v>
      </c>
      <c r="DA27" s="1" t="n">
        <f aca="false">IF(AND('Daily Workforce'!$N94="Y",'Daily Workforce'!$B94&lt;&gt;"",COUNTIF('Daily Schedule'!$F$5:$F30,'Daily Workforce'!$B94)=0,IF('Daily Schedule'!$A31=45,'Daily Workforce'!$J94="Y",IF(OR('Daily Schedule'!$A31=4,'Daily Schedule'!$A31=8),IF(OR(WEEKDAY('Daily Schedule'!$B$2,2)=1,WEEKDAY('Daily Schedule'!$B$2,2)=4,WEEKDAY('Daily Schedule'!$B$2,2)=5,WEEKDAY('Daily Schedule'!$B$2,2)=7),IFERROR(1*'Daily Workforce'!$K94&gt;=3,FALSE()),IFERROR(1*'Daily Workforce'!$K94&gt;=2,FALSE())),IF(AND('Daily Schedule'!$A31&gt;=46,'Daily Schedule'!$A31&lt;=52),'Daily Workforce'!$M94="Y",IFERROR(1*'Daily Workforce'!$P94&gt;=2,FALSE()))))),1,0)</f>
        <v>1</v>
      </c>
      <c r="DB27" s="1" t="n">
        <f aca="false">IF(AND('Daily Workforce'!$N95="Y",'Daily Workforce'!$B95&lt;&gt;"",COUNTIF('Daily Schedule'!$F$5:$F30,'Daily Workforce'!$B95)=0,IF('Daily Schedule'!$A31=45,'Daily Workforce'!$J95="Y",IF(OR('Daily Schedule'!$A31=4,'Daily Schedule'!$A31=8),IF(OR(WEEKDAY('Daily Schedule'!$B$2,2)=1,WEEKDAY('Daily Schedule'!$B$2,2)=4,WEEKDAY('Daily Schedule'!$B$2,2)=5,WEEKDAY('Daily Schedule'!$B$2,2)=7),IFERROR(1*'Daily Workforce'!$K95&gt;=3,FALSE()),IFERROR(1*'Daily Workforce'!$K95&gt;=2,FALSE())),IF(AND('Daily Schedule'!$A31&gt;=46,'Daily Schedule'!$A31&lt;=52),'Daily Workforce'!$M95="Y",IFERROR(1*'Daily Workforce'!$P95&gt;=2,FALSE()))))),1,0)</f>
        <v>1</v>
      </c>
      <c r="DC27" s="1" t="n">
        <f aca="false">IF(AND('Daily Workforce'!$N96="Y",'Daily Workforce'!$B96&lt;&gt;"",COUNTIF('Daily Schedule'!$F$5:$F30,'Daily Workforce'!$B96)=0,IF('Daily Schedule'!$A31=45,'Daily Workforce'!$J96="Y",IF(OR('Daily Schedule'!$A31=4,'Daily Schedule'!$A31=8),IF(OR(WEEKDAY('Daily Schedule'!$B$2,2)=1,WEEKDAY('Daily Schedule'!$B$2,2)=4,WEEKDAY('Daily Schedule'!$B$2,2)=5,WEEKDAY('Daily Schedule'!$B$2,2)=7),IFERROR(1*'Daily Workforce'!$K96&gt;=3,FALSE()),IFERROR(1*'Daily Workforce'!$K96&gt;=2,FALSE())),IF(AND('Daily Schedule'!$A31&gt;=46,'Daily Schedule'!$A31&lt;=52),'Daily Workforce'!$M96="Y",IFERROR(1*'Daily Workforce'!$P96&gt;=2,FALSE()))))),1,0)</f>
        <v>1</v>
      </c>
      <c r="DD27" s="1" t="n">
        <f aca="false">IF(AND('Daily Workforce'!$N97="Y",'Daily Workforce'!$B97&lt;&gt;"",COUNTIF('Daily Schedule'!$F$5:$F30,'Daily Workforce'!$B97)=0,IF('Daily Schedule'!$A31=45,'Daily Workforce'!$J97="Y",IF(OR('Daily Schedule'!$A31=4,'Daily Schedule'!$A31=8),IF(OR(WEEKDAY('Daily Schedule'!$B$2,2)=1,WEEKDAY('Daily Schedule'!$B$2,2)=4,WEEKDAY('Daily Schedule'!$B$2,2)=5,WEEKDAY('Daily Schedule'!$B$2,2)=7),IFERROR(1*'Daily Workforce'!$K97&gt;=3,FALSE()),IFERROR(1*'Daily Workforce'!$K97&gt;=2,FALSE())),IF(AND('Daily Schedule'!$A31&gt;=46,'Daily Schedule'!$A31&lt;=52),'Daily Workforce'!$M97="Y",IFERROR(1*'Daily Workforce'!$P97&gt;=2,FALSE()))))),1,0)</f>
        <v>1</v>
      </c>
      <c r="DE27" s="1" t="n">
        <f aca="false">IF(AND('Daily Workforce'!$N98="Y",'Daily Workforce'!$B98&lt;&gt;"",COUNTIF('Daily Schedule'!$F$5:$F30,'Daily Workforce'!$B98)=0,IF('Daily Schedule'!$A31=45,'Daily Workforce'!$J98="Y",IF(OR('Daily Schedule'!$A31=4,'Daily Schedule'!$A31=8),IF(OR(WEEKDAY('Daily Schedule'!$B$2,2)=1,WEEKDAY('Daily Schedule'!$B$2,2)=4,WEEKDAY('Daily Schedule'!$B$2,2)=5,WEEKDAY('Daily Schedule'!$B$2,2)=7),IFERROR(1*'Daily Workforce'!$K98&gt;=3,FALSE()),IFERROR(1*'Daily Workforce'!$K98&gt;=2,FALSE())),IF(AND('Daily Schedule'!$A31&gt;=46,'Daily Schedule'!$A31&lt;=52),'Daily Workforce'!$M98="Y",IFERROR(1*'Daily Workforce'!$P98&gt;=2,FALSE()))))),1,0)</f>
        <v>1</v>
      </c>
      <c r="DF27" s="1" t="n">
        <f aca="false">IF(AND('Daily Workforce'!$N99="Y",'Daily Workforce'!$B99&lt;&gt;"",COUNTIF('Daily Schedule'!$F$5:$F30,'Daily Workforce'!$B99)=0,IF('Daily Schedule'!$A31=45,'Daily Workforce'!$J99="Y",IF(OR('Daily Schedule'!$A31=4,'Daily Schedule'!$A31=8),IF(OR(WEEKDAY('Daily Schedule'!$B$2,2)=1,WEEKDAY('Daily Schedule'!$B$2,2)=4,WEEKDAY('Daily Schedule'!$B$2,2)=5,WEEKDAY('Daily Schedule'!$B$2,2)=7),IFERROR(1*'Daily Workforce'!$K99&gt;=3,FALSE()),IFERROR(1*'Daily Workforce'!$K99&gt;=2,FALSE())),IF(AND('Daily Schedule'!$A31&gt;=46,'Daily Schedule'!$A31&lt;=52),'Daily Workforce'!$M99="Y",IFERROR(1*'Daily Workforce'!$P99&gt;=2,FALSE()))))),1,0)</f>
        <v>1</v>
      </c>
      <c r="DG27" s="1" t="n">
        <f aca="false">IF(AND('Daily Workforce'!$N100="Y",'Daily Workforce'!$B100&lt;&gt;"",COUNTIF('Daily Schedule'!$F$5:$F30,'Daily Workforce'!$B100)=0,IF('Daily Schedule'!$A31=45,'Daily Workforce'!$J100="Y",IF(OR('Daily Schedule'!$A31=4,'Daily Schedule'!$A31=8),IF(OR(WEEKDAY('Daily Schedule'!$B$2,2)=1,WEEKDAY('Daily Schedule'!$B$2,2)=4,WEEKDAY('Daily Schedule'!$B$2,2)=5,WEEKDAY('Daily Schedule'!$B$2,2)=7),IFERROR(1*'Daily Workforce'!$K100&gt;=3,FALSE()),IFERROR(1*'Daily Workforce'!$K100&gt;=2,FALSE())),IF(AND('Daily Schedule'!$A31&gt;=46,'Daily Schedule'!$A31&lt;=52),'Daily Workforce'!$M100="Y",IFERROR(1*'Daily Workforce'!$P100&gt;=2,FALSE()))))),1,0)</f>
        <v>1</v>
      </c>
      <c r="DH27" s="1" t="n">
        <f aca="false">IF(AND('Daily Workforce'!$N101="Y",'Daily Workforce'!$B101&lt;&gt;"",COUNTIF('Daily Schedule'!$F$5:$F30,'Daily Workforce'!$B101)=0,IF('Daily Schedule'!$A31=45,'Daily Workforce'!$J101="Y",IF(OR('Daily Schedule'!$A31=4,'Daily Schedule'!$A31=8),IF(OR(WEEKDAY('Daily Schedule'!$B$2,2)=1,WEEKDAY('Daily Schedule'!$B$2,2)=4,WEEKDAY('Daily Schedule'!$B$2,2)=5,WEEKDAY('Daily Schedule'!$B$2,2)=7),IFERROR(1*'Daily Workforce'!$K101&gt;=3,FALSE()),IFERROR(1*'Daily Workforce'!$K101&gt;=2,FALSE())),IF(AND('Daily Schedule'!$A31&gt;=46,'Daily Schedule'!$A31&lt;=52),'Daily Workforce'!$M101="Y",IFERROR(1*'Daily Workforce'!$P101&gt;=2,FALSE()))))),1,0)</f>
        <v>1</v>
      </c>
      <c r="DI27" s="1" t="n">
        <f aca="false">IF(AND('Daily Workforce'!$N102="Y",'Daily Workforce'!$B102&lt;&gt;"",COUNTIF('Daily Schedule'!$F$5:$F30,'Daily Workforce'!$B102)=0,IF('Daily Schedule'!$A31=45,'Daily Workforce'!$J102="Y",IF(OR('Daily Schedule'!$A31=4,'Daily Schedule'!$A31=8),IF(OR(WEEKDAY('Daily Schedule'!$B$2,2)=1,WEEKDAY('Daily Schedule'!$B$2,2)=4,WEEKDAY('Daily Schedule'!$B$2,2)=5,WEEKDAY('Daily Schedule'!$B$2,2)=7),IFERROR(1*'Daily Workforce'!$K102&gt;=3,FALSE()),IFERROR(1*'Daily Workforce'!$K102&gt;=2,FALSE())),IF(AND('Daily Schedule'!$A31&gt;=46,'Daily Schedule'!$A31&lt;=52),'Daily Workforce'!$M102="Y",IFERROR(1*'Daily Workforce'!$P102&gt;=2,FALSE()))))),1,0)</f>
        <v>1</v>
      </c>
      <c r="DJ27" s="1" t="n">
        <f aca="false">IF(AND('Daily Workforce'!$N103="Y",'Daily Workforce'!$B103&lt;&gt;"",COUNTIF('Daily Schedule'!$F$5:$F30,'Daily Workforce'!$B103)=0,IF('Daily Schedule'!$A31=45,'Daily Workforce'!$J103="Y",IF(OR('Daily Schedule'!$A31=4,'Daily Schedule'!$A31=8),IF(OR(WEEKDAY('Daily Schedule'!$B$2,2)=1,WEEKDAY('Daily Schedule'!$B$2,2)=4,WEEKDAY('Daily Schedule'!$B$2,2)=5,WEEKDAY('Daily Schedule'!$B$2,2)=7),IFERROR(1*'Daily Workforce'!$K103&gt;=3,FALSE()),IFERROR(1*'Daily Workforce'!$K103&gt;=2,FALSE())),IF(AND('Daily Schedule'!$A31&gt;=46,'Daily Schedule'!$A31&lt;=52),'Daily Workforce'!$M103="Y",IFERROR(1*'Daily Workforce'!$P103&gt;=2,FALSE()))))),1,0)</f>
        <v>1</v>
      </c>
      <c r="DK27" s="1" t="n">
        <f aca="false">IF(AND('Daily Workforce'!$N104="Y",'Daily Workforce'!$B104&lt;&gt;"",COUNTIF('Daily Schedule'!$F$5:$F30,'Daily Workforce'!$B104)=0,IF('Daily Schedule'!$A31=45,'Daily Workforce'!$J104="Y",IF(OR('Daily Schedule'!$A31=4,'Daily Schedule'!$A31=8),IF(OR(WEEKDAY('Daily Schedule'!$B$2,2)=1,WEEKDAY('Daily Schedule'!$B$2,2)=4,WEEKDAY('Daily Schedule'!$B$2,2)=5,WEEKDAY('Daily Schedule'!$B$2,2)=7),IFERROR(1*'Daily Workforce'!$K104&gt;=3,FALSE()),IFERROR(1*'Daily Workforce'!$K104&gt;=2,FALSE())),IF(AND('Daily Schedule'!$A31&gt;=46,'Daily Schedule'!$A31&lt;=52),'Daily Workforce'!$M104="Y",IFERROR(1*'Daily Workforce'!$P104&gt;=2,FALSE()))))),1,0)</f>
        <v>1</v>
      </c>
      <c r="DL27" s="1" t="n">
        <f aca="false">IF(AND('Daily Workforce'!$N105="Y",'Daily Workforce'!$B105&lt;&gt;"",COUNTIF('Daily Schedule'!$F$5:$F30,'Daily Workforce'!$B105)=0,IF('Daily Schedule'!$A31=45,'Daily Workforce'!$J105="Y",IF(OR('Daily Schedule'!$A31=4,'Daily Schedule'!$A31=8),IF(OR(WEEKDAY('Daily Schedule'!$B$2,2)=1,WEEKDAY('Daily Schedule'!$B$2,2)=4,WEEKDAY('Daily Schedule'!$B$2,2)=5,WEEKDAY('Daily Schedule'!$B$2,2)=7),IFERROR(1*'Daily Workforce'!$K105&gt;=3,FALSE()),IFERROR(1*'Daily Workforce'!$K105&gt;=2,FALSE())),IF(AND('Daily Schedule'!$A31&gt;=46,'Daily Schedule'!$A31&lt;=52),'Daily Workforce'!$M105="Y",IFERROR(1*'Daily Workforce'!$P105&gt;=2,FALSE()))))),1,0)</f>
        <v>0</v>
      </c>
      <c r="DM27" s="1" t="n">
        <f aca="false">IF(AND('Daily Workforce'!$N106="Y",'Daily Workforce'!$B106&lt;&gt;"",COUNTIF('Daily Schedule'!$F$5:$F30,'Daily Workforce'!$B106)=0,IF('Daily Schedule'!$A31=45,'Daily Workforce'!$J106="Y",IF(OR('Daily Schedule'!$A31=4,'Daily Schedule'!$A31=8),IF(OR(WEEKDAY('Daily Schedule'!$B$2,2)=1,WEEKDAY('Daily Schedule'!$B$2,2)=4,WEEKDAY('Daily Schedule'!$B$2,2)=5,WEEKDAY('Daily Schedule'!$B$2,2)=7),IFERROR(1*'Daily Workforce'!$K106&gt;=3,FALSE()),IFERROR(1*'Daily Workforce'!$K106&gt;=2,FALSE())),IF(AND('Daily Schedule'!$A31&gt;=46,'Daily Schedule'!$A31&lt;=52),'Daily Workforce'!$M106="Y",IFERROR(1*'Daily Workforce'!$P106&gt;=2,FALSE()))))),1,0)</f>
        <v>1</v>
      </c>
      <c r="DN27" s="1" t="n">
        <f aca="false">IF(AND('Daily Workforce'!$N107="Y",'Daily Workforce'!$B107&lt;&gt;"",COUNTIF('Daily Schedule'!$F$5:$F30,'Daily Workforce'!$B107)=0,IF('Daily Schedule'!$A31=45,'Daily Workforce'!$J107="Y",IF(OR('Daily Schedule'!$A31=4,'Daily Schedule'!$A31=8),IF(OR(WEEKDAY('Daily Schedule'!$B$2,2)=1,WEEKDAY('Daily Schedule'!$B$2,2)=4,WEEKDAY('Daily Schedule'!$B$2,2)=5,WEEKDAY('Daily Schedule'!$B$2,2)=7),IFERROR(1*'Daily Workforce'!$K107&gt;=3,FALSE()),IFERROR(1*'Daily Workforce'!$K107&gt;=2,FALSE())),IF(AND('Daily Schedule'!$A31&gt;=46,'Daily Schedule'!$A31&lt;=52),'Daily Workforce'!$M107="Y",IFERROR(1*'Daily Workforce'!$P107&gt;=2,FALSE()))))),1,0)</f>
        <v>1</v>
      </c>
      <c r="DO27" s="1" t="n">
        <f aca="false">IF(AND('Daily Workforce'!$N108="Y",'Daily Workforce'!$B108&lt;&gt;"",COUNTIF('Daily Schedule'!$F$5:$F30,'Daily Workforce'!$B108)=0,IF('Daily Schedule'!$A31=45,'Daily Workforce'!$J108="Y",IF(OR('Daily Schedule'!$A31=4,'Daily Schedule'!$A31=8),IF(OR(WEEKDAY('Daily Schedule'!$B$2,2)=1,WEEKDAY('Daily Schedule'!$B$2,2)=4,WEEKDAY('Daily Schedule'!$B$2,2)=5,WEEKDAY('Daily Schedule'!$B$2,2)=7),IFERROR(1*'Daily Workforce'!$K108&gt;=3,FALSE()),IFERROR(1*'Daily Workforce'!$K108&gt;=2,FALSE())),IF(AND('Daily Schedule'!$A31&gt;=46,'Daily Schedule'!$A31&lt;=52),'Daily Workforce'!$M108="Y",IFERROR(1*'Daily Workforce'!$P108&gt;=2,FALSE()))))),1,0)</f>
        <v>1</v>
      </c>
      <c r="DP27" s="1" t="n">
        <f aca="false">IF(AND('Daily Workforce'!$N109="Y",'Daily Workforce'!$B109&lt;&gt;"",COUNTIF('Daily Schedule'!$F$5:$F30,'Daily Workforce'!$B109)=0,IF('Daily Schedule'!$A31=45,'Daily Workforce'!$J109="Y",IF(OR('Daily Schedule'!$A31=4,'Daily Schedule'!$A31=8),IF(OR(WEEKDAY('Daily Schedule'!$B$2,2)=1,WEEKDAY('Daily Schedule'!$B$2,2)=4,WEEKDAY('Daily Schedule'!$B$2,2)=5,WEEKDAY('Daily Schedule'!$B$2,2)=7),IFERROR(1*'Daily Workforce'!$K109&gt;=3,FALSE()),IFERROR(1*'Daily Workforce'!$K109&gt;=2,FALSE())),IF(AND('Daily Schedule'!$A31&gt;=46,'Daily Schedule'!$A31&lt;=52),'Daily Workforce'!$M109="Y",IFERROR(1*'Daily Workforce'!$P109&gt;=2,FALSE()))))),1,0)</f>
        <v>1</v>
      </c>
      <c r="DQ27" s="1" t="n">
        <f aca="false">IF(AND('Daily Workforce'!$N110="Y",'Daily Workforce'!$B110&lt;&gt;"",COUNTIF('Daily Schedule'!$F$5:$F30,'Daily Workforce'!$B110)=0,IF('Daily Schedule'!$A31=45,'Daily Workforce'!$J110="Y",IF(OR('Daily Schedule'!$A31=4,'Daily Schedule'!$A31=8),IF(OR(WEEKDAY('Daily Schedule'!$B$2,2)=1,WEEKDAY('Daily Schedule'!$B$2,2)=4,WEEKDAY('Daily Schedule'!$B$2,2)=5,WEEKDAY('Daily Schedule'!$B$2,2)=7),IFERROR(1*'Daily Workforce'!$K110&gt;=3,FALSE()),IFERROR(1*'Daily Workforce'!$K110&gt;=2,FALSE())),IF(AND('Daily Schedule'!$A31&gt;=46,'Daily Schedule'!$A31&lt;=52),'Daily Workforce'!$M110="Y",IFERROR(1*'Daily Workforce'!$P110&gt;=2,FALSE()))))),1,0)</f>
        <v>1</v>
      </c>
      <c r="DR27" s="1" t="n">
        <f aca="false">IF(AND('Daily Workforce'!$N111="Y",'Daily Workforce'!$B111&lt;&gt;"",COUNTIF('Daily Schedule'!$F$5:$F30,'Daily Workforce'!$B111)=0,IF('Daily Schedule'!$A31=45,'Daily Workforce'!$J111="Y",IF(OR('Daily Schedule'!$A31=4,'Daily Schedule'!$A31=8),IF(OR(WEEKDAY('Daily Schedule'!$B$2,2)=1,WEEKDAY('Daily Schedule'!$B$2,2)=4,WEEKDAY('Daily Schedule'!$B$2,2)=5,WEEKDAY('Daily Schedule'!$B$2,2)=7),IFERROR(1*'Daily Workforce'!$K111&gt;=3,FALSE()),IFERROR(1*'Daily Workforce'!$K111&gt;=2,FALSE())),IF(AND('Daily Schedule'!$A31&gt;=46,'Daily Schedule'!$A31&lt;=52),'Daily Workforce'!$M111="Y",IFERROR(1*'Daily Workforce'!$P111&gt;=2,FALSE()))))),1,0)</f>
        <v>1</v>
      </c>
      <c r="DS27" s="1" t="n">
        <f aca="false">IF(AND('Daily Workforce'!$N112="Y",'Daily Workforce'!$B112&lt;&gt;"",COUNTIF('Daily Schedule'!$F$5:$F30,'Daily Workforce'!$B112)=0,IF('Daily Schedule'!$A31=45,'Daily Workforce'!$J112="Y",IF(OR('Daily Schedule'!$A31=4,'Daily Schedule'!$A31=8),IF(OR(WEEKDAY('Daily Schedule'!$B$2,2)=1,WEEKDAY('Daily Schedule'!$B$2,2)=4,WEEKDAY('Daily Schedule'!$B$2,2)=5,WEEKDAY('Daily Schedule'!$B$2,2)=7),IFERROR(1*'Daily Workforce'!$K112&gt;=3,FALSE()),IFERROR(1*'Daily Workforce'!$K112&gt;=2,FALSE())),IF(AND('Daily Schedule'!$A31&gt;=46,'Daily Schedule'!$A31&lt;=52),'Daily Workforce'!$M112="Y",IFERROR(1*'Daily Workforce'!$P112&gt;=2,FALSE()))))),1,0)</f>
        <v>1</v>
      </c>
      <c r="DT27" s="1" t="n">
        <f aca="false">IF(AND('Daily Workforce'!$N113="Y",'Daily Workforce'!$B113&lt;&gt;"",COUNTIF('Daily Schedule'!$F$5:$F30,'Daily Workforce'!$B113)=0,IF('Daily Schedule'!$A31=45,'Daily Workforce'!$J113="Y",IF(OR('Daily Schedule'!$A31=4,'Daily Schedule'!$A31=8),IF(OR(WEEKDAY('Daily Schedule'!$B$2,2)=1,WEEKDAY('Daily Schedule'!$B$2,2)=4,WEEKDAY('Daily Schedule'!$B$2,2)=5,WEEKDAY('Daily Schedule'!$B$2,2)=7),IFERROR(1*'Daily Workforce'!$K113&gt;=3,FALSE()),IFERROR(1*'Daily Workforce'!$K113&gt;=2,FALSE())),IF(AND('Daily Schedule'!$A31&gt;=46,'Daily Schedule'!$A31&lt;=52),'Daily Workforce'!$M113="Y",IFERROR(1*'Daily Workforce'!$P113&gt;=2,FALSE()))))),1,0)</f>
        <v>1</v>
      </c>
      <c r="DU27" s="1" t="n">
        <f aca="false">IF(AND('Daily Workforce'!$N114="Y",'Daily Workforce'!$B114&lt;&gt;"",COUNTIF('Daily Schedule'!$F$5:$F30,'Daily Workforce'!$B114)=0,IF('Daily Schedule'!$A31=45,'Daily Workforce'!$J114="Y",IF(OR('Daily Schedule'!$A31=4,'Daily Schedule'!$A31=8),IF(OR(WEEKDAY('Daily Schedule'!$B$2,2)=1,WEEKDAY('Daily Schedule'!$B$2,2)=4,WEEKDAY('Daily Schedule'!$B$2,2)=5,WEEKDAY('Daily Schedule'!$B$2,2)=7),IFERROR(1*'Daily Workforce'!$K114&gt;=3,FALSE()),IFERROR(1*'Daily Workforce'!$K114&gt;=2,FALSE())),IF(AND('Daily Schedule'!$A31&gt;=46,'Daily Schedule'!$A31&lt;=52),'Daily Workforce'!$M114="Y",IFERROR(1*'Daily Workforce'!$P114&gt;=2,FALSE()))))),1,0)</f>
        <v>1</v>
      </c>
      <c r="DV27" s="1" t="n">
        <f aca="false">IF(AND('Daily Workforce'!$N115="Y",'Daily Workforce'!$B115&lt;&gt;"",COUNTIF('Daily Schedule'!$F$5:$F30,'Daily Workforce'!$B115)=0,IF('Daily Schedule'!$A31=45,'Daily Workforce'!$J115="Y",IF(OR('Daily Schedule'!$A31=4,'Daily Schedule'!$A31=8),IF(OR(WEEKDAY('Daily Schedule'!$B$2,2)=1,WEEKDAY('Daily Schedule'!$B$2,2)=4,WEEKDAY('Daily Schedule'!$B$2,2)=5,WEEKDAY('Daily Schedule'!$B$2,2)=7),IFERROR(1*'Daily Workforce'!$K115&gt;=3,FALSE()),IFERROR(1*'Daily Workforce'!$K115&gt;=2,FALSE())),IF(AND('Daily Schedule'!$A31&gt;=46,'Daily Schedule'!$A31&lt;=52),'Daily Workforce'!$M115="Y",IFERROR(1*'Daily Workforce'!$P115&gt;=2,FALSE()))))),1,0)</f>
        <v>1</v>
      </c>
      <c r="DW27" s="1" t="n">
        <f aca="false">IF(AND('Daily Workforce'!$N116="Y",'Daily Workforce'!$B116&lt;&gt;"",COUNTIF('Daily Schedule'!$F$5:$F30,'Daily Workforce'!$B116)=0,IF('Daily Schedule'!$A31=45,'Daily Workforce'!$J116="Y",IF(OR('Daily Schedule'!$A31=4,'Daily Schedule'!$A31=8),IF(OR(WEEKDAY('Daily Schedule'!$B$2,2)=1,WEEKDAY('Daily Schedule'!$B$2,2)=4,WEEKDAY('Daily Schedule'!$B$2,2)=5,WEEKDAY('Daily Schedule'!$B$2,2)=7),IFERROR(1*'Daily Workforce'!$K116&gt;=3,FALSE()),IFERROR(1*'Daily Workforce'!$K116&gt;=2,FALSE())),IF(AND('Daily Schedule'!$A31&gt;=46,'Daily Schedule'!$A31&lt;=52),'Daily Workforce'!$M116="Y",IFERROR(1*'Daily Workforce'!$P116&gt;=2,FALSE()))))),1,0)</f>
        <v>1</v>
      </c>
      <c r="DX27" s="1" t="n">
        <f aca="false">IF(AND('Daily Workforce'!$N117="Y",'Daily Workforce'!$B117&lt;&gt;"",COUNTIF('Daily Schedule'!$F$5:$F30,'Daily Workforce'!$B117)=0,IF('Daily Schedule'!$A31=45,'Daily Workforce'!$J117="Y",IF(OR('Daily Schedule'!$A31=4,'Daily Schedule'!$A31=8),IF(OR(WEEKDAY('Daily Schedule'!$B$2,2)=1,WEEKDAY('Daily Schedule'!$B$2,2)=4,WEEKDAY('Daily Schedule'!$B$2,2)=5,WEEKDAY('Daily Schedule'!$B$2,2)=7),IFERROR(1*'Daily Workforce'!$K117&gt;=3,FALSE()),IFERROR(1*'Daily Workforce'!$K117&gt;=2,FALSE())),IF(AND('Daily Schedule'!$A31&gt;=46,'Daily Schedule'!$A31&lt;=52),'Daily Workforce'!$M117="Y",IFERROR(1*'Daily Workforce'!$P117&gt;=2,FALSE()))))),1,0)</f>
        <v>1</v>
      </c>
      <c r="DY27" s="1" t="n">
        <f aca="false">IF(AND('Daily Workforce'!$N118="Y",'Daily Workforce'!$B118&lt;&gt;"",COUNTIF('Daily Schedule'!$F$5:$F30,'Daily Workforce'!$B118)=0,IF('Daily Schedule'!$A31=45,'Daily Workforce'!$J118="Y",IF(OR('Daily Schedule'!$A31=4,'Daily Schedule'!$A31=8),IF(OR(WEEKDAY('Daily Schedule'!$B$2,2)=1,WEEKDAY('Daily Schedule'!$B$2,2)=4,WEEKDAY('Daily Schedule'!$B$2,2)=5,WEEKDAY('Daily Schedule'!$B$2,2)=7),IFERROR(1*'Daily Workforce'!$K118&gt;=3,FALSE()),IFERROR(1*'Daily Workforce'!$K118&gt;=2,FALSE())),IF(AND('Daily Schedule'!$A31&gt;=46,'Daily Schedule'!$A31&lt;=52),'Daily Workforce'!$M118="Y",IFERROR(1*'Daily Workforce'!$P118&gt;=2,FALSE()))))),1,0)</f>
        <v>0</v>
      </c>
      <c r="DZ27" s="1" t="n">
        <f aca="false">IF(AND('Daily Workforce'!$N119="Y",'Daily Workforce'!$B119&lt;&gt;"",COUNTIF('Daily Schedule'!$F$5:$F30,'Daily Workforce'!$B119)=0,IF('Daily Schedule'!$A31=45,'Daily Workforce'!$J119="Y",IF(OR('Daily Schedule'!$A31=4,'Daily Schedule'!$A31=8),IF(OR(WEEKDAY('Daily Schedule'!$B$2,2)=1,WEEKDAY('Daily Schedule'!$B$2,2)=4,WEEKDAY('Daily Schedule'!$B$2,2)=5,WEEKDAY('Daily Schedule'!$B$2,2)=7),IFERROR(1*'Daily Workforce'!$K119&gt;=3,FALSE()),IFERROR(1*'Daily Workforce'!$K119&gt;=2,FALSE())),IF(AND('Daily Schedule'!$A31&gt;=46,'Daily Schedule'!$A31&lt;=52),'Daily Workforce'!$M119="Y",IFERROR(1*'Daily Workforce'!$P119&gt;=2,FALSE()))))),1,0)</f>
        <v>0</v>
      </c>
      <c r="EA27" s="1" t="n">
        <f aca="false">IF(AND('Daily Workforce'!$N120="Y",'Daily Workforce'!$B120&lt;&gt;"",COUNTIF('Daily Schedule'!$F$5:$F30,'Daily Workforce'!$B120)=0,IF('Daily Schedule'!$A31=45,'Daily Workforce'!$J120="Y",IF(OR('Daily Schedule'!$A31=4,'Daily Schedule'!$A31=8),IF(OR(WEEKDAY('Daily Schedule'!$B$2,2)=1,WEEKDAY('Daily Schedule'!$B$2,2)=4,WEEKDAY('Daily Schedule'!$B$2,2)=5,WEEKDAY('Daily Schedule'!$B$2,2)=7),IFERROR(1*'Daily Workforce'!$K120&gt;=3,FALSE()),IFERROR(1*'Daily Workforce'!$K120&gt;=2,FALSE())),IF(AND('Daily Schedule'!$A31&gt;=46,'Daily Schedule'!$A31&lt;=52),'Daily Workforce'!$M120="Y",IFERROR(1*'Daily Workforce'!$P120&gt;=2,FALSE()))))),1,0)</f>
        <v>0</v>
      </c>
      <c r="EB27" s="1" t="n">
        <f aca="false">IF(AND('Daily Workforce'!$N121="Y",'Daily Workforce'!$B121&lt;&gt;"",COUNTIF('Daily Schedule'!$F$5:$F30,'Daily Workforce'!$B121)=0,IF('Daily Schedule'!$A31=45,'Daily Workforce'!$J121="Y",IF(OR('Daily Schedule'!$A31=4,'Daily Schedule'!$A31=8),IF(OR(WEEKDAY('Daily Schedule'!$B$2,2)=1,WEEKDAY('Daily Schedule'!$B$2,2)=4,WEEKDAY('Daily Schedule'!$B$2,2)=5,WEEKDAY('Daily Schedule'!$B$2,2)=7),IFERROR(1*'Daily Workforce'!$K121&gt;=3,FALSE()),IFERROR(1*'Daily Workforce'!$K121&gt;=2,FALSE())),IF(AND('Daily Schedule'!$A31&gt;=46,'Daily Schedule'!$A31&lt;=52),'Daily Workforce'!$M121="Y",IFERROR(1*'Daily Workforce'!$P121&gt;=2,FALSE()))))),1,0)</f>
        <v>0</v>
      </c>
      <c r="EC27" s="1" t="n">
        <f aca="false">IF(AND('Daily Workforce'!$N122="Y",'Daily Workforce'!$B122&lt;&gt;"",COUNTIF('Daily Schedule'!$F$5:$F30,'Daily Workforce'!$B122)=0,IF('Daily Schedule'!$A31=45,'Daily Workforce'!$J122="Y",IF(OR('Daily Schedule'!$A31=4,'Daily Schedule'!$A31=8),IF(OR(WEEKDAY('Daily Schedule'!$B$2,2)=1,WEEKDAY('Daily Schedule'!$B$2,2)=4,WEEKDAY('Daily Schedule'!$B$2,2)=5,WEEKDAY('Daily Schedule'!$B$2,2)=7),IFERROR(1*'Daily Workforce'!$K122&gt;=3,FALSE()),IFERROR(1*'Daily Workforce'!$K122&gt;=2,FALSE())),IF(AND('Daily Schedule'!$A31&gt;=46,'Daily Schedule'!$A31&lt;=52),'Daily Workforce'!$M122="Y",IFERROR(1*'Daily Workforce'!$P122&gt;=2,FALSE()))))),1,0)</f>
        <v>0</v>
      </c>
      <c r="ED27" s="1" t="n">
        <f aca="false">IF(AND('Daily Workforce'!$N123="Y",'Daily Workforce'!$B123&lt;&gt;"",COUNTIF('Daily Schedule'!$F$5:$F30,'Daily Workforce'!$B123)=0,IF('Daily Schedule'!$A31=45,'Daily Workforce'!$J123="Y",IF(OR('Daily Schedule'!$A31=4,'Daily Schedule'!$A31=8),IF(OR(WEEKDAY('Daily Schedule'!$B$2,2)=1,WEEKDAY('Daily Schedule'!$B$2,2)=4,WEEKDAY('Daily Schedule'!$B$2,2)=5,WEEKDAY('Daily Schedule'!$B$2,2)=7),IFERROR(1*'Daily Workforce'!$K123&gt;=3,FALSE()),IFERROR(1*'Daily Workforce'!$K123&gt;=2,FALSE())),IF(AND('Daily Schedule'!$A31&gt;=46,'Daily Schedule'!$A31&lt;=52),'Daily Workforce'!$M123="Y",IFERROR(1*'Daily Workforce'!$P123&gt;=2,FALSE()))))),1,0)</f>
        <v>0</v>
      </c>
      <c r="EE27" s="1" t="n">
        <f aca="false">IF(AND('Daily Workforce'!$N124="Y",'Daily Workforce'!$B124&lt;&gt;"",COUNTIF('Daily Schedule'!$F$5:$F30,'Daily Workforce'!$B124)=0,IF('Daily Schedule'!$A31=45,'Daily Workforce'!$J124="Y",IF(OR('Daily Schedule'!$A31=4,'Daily Schedule'!$A31=8),IF(OR(WEEKDAY('Daily Schedule'!$B$2,2)=1,WEEKDAY('Daily Schedule'!$B$2,2)=4,WEEKDAY('Daily Schedule'!$B$2,2)=5,WEEKDAY('Daily Schedule'!$B$2,2)=7),IFERROR(1*'Daily Workforce'!$K124&gt;=3,FALSE()),IFERROR(1*'Daily Workforce'!$K124&gt;=2,FALSE())),IF(AND('Daily Schedule'!$A31&gt;=46,'Daily Schedule'!$A31&lt;=52),'Daily Workforce'!$M124="Y",IFERROR(1*'Daily Workforce'!$P124&gt;=2,FALSE()))))),1,0)</f>
        <v>0</v>
      </c>
      <c r="EF27" s="1" t="n">
        <f aca="false">IF(AND('Daily Workforce'!$N125="Y",'Daily Workforce'!$B125&lt;&gt;"",COUNTIF('Daily Schedule'!$F$5:$F30,'Daily Workforce'!$B125)=0,IF('Daily Schedule'!$A31=45,'Daily Workforce'!$J125="Y",IF(OR('Daily Schedule'!$A31=4,'Daily Schedule'!$A31=8),IF(OR(WEEKDAY('Daily Schedule'!$B$2,2)=1,WEEKDAY('Daily Schedule'!$B$2,2)=4,WEEKDAY('Daily Schedule'!$B$2,2)=5,WEEKDAY('Daily Schedule'!$B$2,2)=7),IFERROR(1*'Daily Workforce'!$K125&gt;=3,FALSE()),IFERROR(1*'Daily Workforce'!$K125&gt;=2,FALSE())),IF(AND('Daily Schedule'!$A31&gt;=46,'Daily Schedule'!$A31&lt;=52),'Daily Workforce'!$M125="Y",IFERROR(1*'Daily Workforce'!$P125&gt;=2,FALSE()))))),1,0)</f>
        <v>0</v>
      </c>
      <c r="EG27" s="1" t="n">
        <f aca="false">IF(AND('Daily Workforce'!$N126="Y",'Daily Workforce'!$B126&lt;&gt;"",COUNTIF('Daily Schedule'!$F$5:$F30,'Daily Workforce'!$B126)=0,IF('Daily Schedule'!$A31=45,'Daily Workforce'!$J126="Y",IF(OR('Daily Schedule'!$A31=4,'Daily Schedule'!$A31=8),IF(OR(WEEKDAY('Daily Schedule'!$B$2,2)=1,WEEKDAY('Daily Schedule'!$B$2,2)=4,WEEKDAY('Daily Schedule'!$B$2,2)=5,WEEKDAY('Daily Schedule'!$B$2,2)=7),IFERROR(1*'Daily Workforce'!$K126&gt;=3,FALSE()),IFERROR(1*'Daily Workforce'!$K126&gt;=2,FALSE())),IF(AND('Daily Schedule'!$A31&gt;=46,'Daily Schedule'!$A31&lt;=52),'Daily Workforce'!$M126="Y",IFERROR(1*'Daily Workforce'!$P126&gt;=2,FALSE()))))),1,0)</f>
        <v>0</v>
      </c>
      <c r="EH27" s="1" t="n">
        <f aca="false">IF(AND('Daily Workforce'!$N127="Y",'Daily Workforce'!$B127&lt;&gt;"",COUNTIF('Daily Schedule'!$F$5:$F30,'Daily Workforce'!$B127)=0,IF('Daily Schedule'!$A31=45,'Daily Workforce'!$J127="Y",IF(OR('Daily Schedule'!$A31=4,'Daily Schedule'!$A31=8),IF(OR(WEEKDAY('Daily Schedule'!$B$2,2)=1,WEEKDAY('Daily Schedule'!$B$2,2)=4,WEEKDAY('Daily Schedule'!$B$2,2)=5,WEEKDAY('Daily Schedule'!$B$2,2)=7),IFERROR(1*'Daily Workforce'!$K127&gt;=3,FALSE()),IFERROR(1*'Daily Workforce'!$K127&gt;=2,FALSE())),IF(AND('Daily Schedule'!$A31&gt;=46,'Daily Schedule'!$A31&lt;=52),'Daily Workforce'!$M127="Y",IFERROR(1*'Daily Workforce'!$P127&gt;=2,FALSE()))))),1,0)</f>
        <v>0</v>
      </c>
      <c r="EI27" s="1" t="n">
        <f aca="false">IF(AND('Daily Workforce'!$N128="Y",'Daily Workforce'!$B128&lt;&gt;"",COUNTIF('Daily Schedule'!$F$5:$F30,'Daily Workforce'!$B128)=0,IF('Daily Schedule'!$A31=45,'Daily Workforce'!$J128="Y",IF(OR('Daily Schedule'!$A31=4,'Daily Schedule'!$A31=8),IF(OR(WEEKDAY('Daily Schedule'!$B$2,2)=1,WEEKDAY('Daily Schedule'!$B$2,2)=4,WEEKDAY('Daily Schedule'!$B$2,2)=5,WEEKDAY('Daily Schedule'!$B$2,2)=7),IFERROR(1*'Daily Workforce'!$K128&gt;=3,FALSE()),IFERROR(1*'Daily Workforce'!$K128&gt;=2,FALSE())),IF(AND('Daily Schedule'!$A31&gt;=46,'Daily Schedule'!$A31&lt;=52),'Daily Workforce'!$M128="Y",IFERROR(1*'Daily Workforce'!$P128&gt;=2,FALSE()))))),1,0)</f>
        <v>0</v>
      </c>
      <c r="EJ27" s="1" t="n">
        <f aca="false">IF(AND('Daily Workforce'!$N129="Y",'Daily Workforce'!$B129&lt;&gt;"",COUNTIF('Daily Schedule'!$F$5:$F30,'Daily Workforce'!$B129)=0,IF('Daily Schedule'!$A31=45,'Daily Workforce'!$J129="Y",IF(OR('Daily Schedule'!$A31=4,'Daily Schedule'!$A31=8),IF(OR(WEEKDAY('Daily Schedule'!$B$2,2)=1,WEEKDAY('Daily Schedule'!$B$2,2)=4,WEEKDAY('Daily Schedule'!$B$2,2)=5,WEEKDAY('Daily Schedule'!$B$2,2)=7),IFERROR(1*'Daily Workforce'!$K129&gt;=3,FALSE()),IFERROR(1*'Daily Workforce'!$K129&gt;=2,FALSE())),IF(AND('Daily Schedule'!$A31&gt;=46,'Daily Schedule'!$A31&lt;=52),'Daily Workforce'!$M129="Y",IFERROR(1*'Daily Workforce'!$P129&gt;=2,FALSE()))))),1,0)</f>
        <v>0</v>
      </c>
      <c r="EK27" s="1" t="n">
        <f aca="false">IF(AND('Daily Workforce'!$N130="Y",'Daily Workforce'!$B130&lt;&gt;"",COUNTIF('Daily Schedule'!$F$5:$F30,'Daily Workforce'!$B130)=0,IF('Daily Schedule'!$A31=45,'Daily Workforce'!$J130="Y",IF(OR('Daily Schedule'!$A31=4,'Daily Schedule'!$A31=8),IF(OR(WEEKDAY('Daily Schedule'!$B$2,2)=1,WEEKDAY('Daily Schedule'!$B$2,2)=4,WEEKDAY('Daily Schedule'!$B$2,2)=5,WEEKDAY('Daily Schedule'!$B$2,2)=7),IFERROR(1*'Daily Workforce'!$K130&gt;=3,FALSE()),IFERROR(1*'Daily Workforce'!$K130&gt;=2,FALSE())),IF(AND('Daily Schedule'!$A31&gt;=46,'Daily Schedule'!$A31&lt;=52),'Daily Workforce'!$M130="Y",IFERROR(1*'Daily Workforce'!$P130&gt;=2,FALSE()))))),1,0)</f>
        <v>0</v>
      </c>
      <c r="EL27" s="1" t="n">
        <f aca="false">IF(AND('Daily Workforce'!$N131="Y",'Daily Workforce'!$B131&lt;&gt;"",COUNTIF('Daily Schedule'!$F$5:$F30,'Daily Workforce'!$B131)=0,IF('Daily Schedule'!$A31=45,'Daily Workforce'!$J131="Y",IF(OR('Daily Schedule'!$A31=4,'Daily Schedule'!$A31=8),IF(OR(WEEKDAY('Daily Schedule'!$B$2,2)=1,WEEKDAY('Daily Schedule'!$B$2,2)=4,WEEKDAY('Daily Schedule'!$B$2,2)=5,WEEKDAY('Daily Schedule'!$B$2,2)=7),IFERROR(1*'Daily Workforce'!$K131&gt;=3,FALSE()),IFERROR(1*'Daily Workforce'!$K131&gt;=2,FALSE())),IF(AND('Daily Schedule'!$A31&gt;=46,'Daily Schedule'!$A31&lt;=52),'Daily Workforce'!$M131="Y",IFERROR(1*'Daily Workforce'!$P131&gt;=2,FALSE()))))),1,0)</f>
        <v>0</v>
      </c>
      <c r="EM27" s="1" t="n">
        <f aca="false">IF(AND('Daily Workforce'!$N132="Y",'Daily Workforce'!$B132&lt;&gt;"",COUNTIF('Daily Schedule'!$F$5:$F30,'Daily Workforce'!$B132)=0,IF('Daily Schedule'!$A31=45,'Daily Workforce'!$J132="Y",IF(OR('Daily Schedule'!$A31=4,'Daily Schedule'!$A31=8),IF(OR(WEEKDAY('Daily Schedule'!$B$2,2)=1,WEEKDAY('Daily Schedule'!$B$2,2)=4,WEEKDAY('Daily Schedule'!$B$2,2)=5,WEEKDAY('Daily Schedule'!$B$2,2)=7),IFERROR(1*'Daily Workforce'!$K132&gt;=3,FALSE()),IFERROR(1*'Daily Workforce'!$K132&gt;=2,FALSE())),IF(AND('Daily Schedule'!$A31&gt;=46,'Daily Schedule'!$A31&lt;=52),'Daily Workforce'!$M132="Y",IFERROR(1*'Daily Workforce'!$P132&gt;=2,FALSE()))))),1,0)</f>
        <v>0</v>
      </c>
      <c r="EN27" s="1" t="n">
        <f aca="false">IF(AND('Daily Workforce'!$N133="Y",'Daily Workforce'!$B133&lt;&gt;"",COUNTIF('Daily Schedule'!$F$5:$F30,'Daily Workforce'!$B133)=0,IF('Daily Schedule'!$A31=45,'Daily Workforce'!$J133="Y",IF(OR('Daily Schedule'!$A31=4,'Daily Schedule'!$A31=8),IF(OR(WEEKDAY('Daily Schedule'!$B$2,2)=1,WEEKDAY('Daily Schedule'!$B$2,2)=4,WEEKDAY('Daily Schedule'!$B$2,2)=5,WEEKDAY('Daily Schedule'!$B$2,2)=7),IFERROR(1*'Daily Workforce'!$K133&gt;=3,FALSE()),IFERROR(1*'Daily Workforce'!$K133&gt;=2,FALSE())),IF(AND('Daily Schedule'!$A31&gt;=46,'Daily Schedule'!$A31&lt;=52),'Daily Workforce'!$M133="Y",IFERROR(1*'Daily Workforce'!$P133&gt;=2,FALSE()))))),1,0)</f>
        <v>0</v>
      </c>
      <c r="EO27" s="1" t="n">
        <f aca="false">IF(AND('Daily Workforce'!$N134="Y",'Daily Workforce'!$B134&lt;&gt;"",COUNTIF('Daily Schedule'!$F$5:$F30,'Daily Workforce'!$B134)=0,IF('Daily Schedule'!$A31=45,'Daily Workforce'!$J134="Y",IF(OR('Daily Schedule'!$A31=4,'Daily Schedule'!$A31=8),IF(OR(WEEKDAY('Daily Schedule'!$B$2,2)=1,WEEKDAY('Daily Schedule'!$B$2,2)=4,WEEKDAY('Daily Schedule'!$B$2,2)=5,WEEKDAY('Daily Schedule'!$B$2,2)=7),IFERROR(1*'Daily Workforce'!$K134&gt;=3,FALSE()),IFERROR(1*'Daily Workforce'!$K134&gt;=2,FALSE())),IF(AND('Daily Schedule'!$A31&gt;=46,'Daily Schedule'!$A31&lt;=52),'Daily Workforce'!$M134="Y",IFERROR(1*'Daily Workforce'!$P134&gt;=2,FALSE()))))),1,0)</f>
        <v>0</v>
      </c>
      <c r="EP27" s="1" t="n">
        <f aca="false">IF(AND('Daily Workforce'!$N135="Y",'Daily Workforce'!$B135&lt;&gt;"",COUNTIF('Daily Schedule'!$F$5:$F30,'Daily Workforce'!$B135)=0,IF('Daily Schedule'!$A31=45,'Daily Workforce'!$J135="Y",IF(OR('Daily Schedule'!$A31=4,'Daily Schedule'!$A31=8),IF(OR(WEEKDAY('Daily Schedule'!$B$2,2)=1,WEEKDAY('Daily Schedule'!$B$2,2)=4,WEEKDAY('Daily Schedule'!$B$2,2)=5,WEEKDAY('Daily Schedule'!$B$2,2)=7),IFERROR(1*'Daily Workforce'!$K135&gt;=3,FALSE()),IFERROR(1*'Daily Workforce'!$K135&gt;=2,FALSE())),IF(AND('Daily Schedule'!$A31&gt;=46,'Daily Schedule'!$A31&lt;=52),'Daily Workforce'!$M135="Y",IFERROR(1*'Daily Workforce'!$P135&gt;=2,FALSE()))))),1,0)</f>
        <v>0</v>
      </c>
      <c r="EQ27" s="1" t="n">
        <f aca="false">IF(AND('Daily Workforce'!$N136="Y",'Daily Workforce'!$B136&lt;&gt;"",COUNTIF('Daily Schedule'!$F$5:$F30,'Daily Workforce'!$B136)=0,IF('Daily Schedule'!$A31=45,'Daily Workforce'!$J136="Y",IF(OR('Daily Schedule'!$A31=4,'Daily Schedule'!$A31=8),IF(OR(WEEKDAY('Daily Schedule'!$B$2,2)=1,WEEKDAY('Daily Schedule'!$B$2,2)=4,WEEKDAY('Daily Schedule'!$B$2,2)=5,WEEKDAY('Daily Schedule'!$B$2,2)=7),IFERROR(1*'Daily Workforce'!$K136&gt;=3,FALSE()),IFERROR(1*'Daily Workforce'!$K136&gt;=2,FALSE())),IF(AND('Daily Schedule'!$A31&gt;=46,'Daily Schedule'!$A31&lt;=52),'Daily Workforce'!$M136="Y",IFERROR(1*'Daily Workforce'!$P136&gt;=2,FALSE()))))),1,0)</f>
        <v>0</v>
      </c>
      <c r="ER27" s="1" t="n">
        <f aca="false">IF(AND('Daily Workforce'!$N137="Y",'Daily Workforce'!$B137&lt;&gt;"",COUNTIF('Daily Schedule'!$F$5:$F30,'Daily Workforce'!$B137)=0,IF('Daily Schedule'!$A31=45,'Daily Workforce'!$J137="Y",IF(OR('Daily Schedule'!$A31=4,'Daily Schedule'!$A31=8),IF(OR(WEEKDAY('Daily Schedule'!$B$2,2)=1,WEEKDAY('Daily Schedule'!$B$2,2)=4,WEEKDAY('Daily Schedule'!$B$2,2)=5,WEEKDAY('Daily Schedule'!$B$2,2)=7),IFERROR(1*'Daily Workforce'!$K137&gt;=3,FALSE()),IFERROR(1*'Daily Workforce'!$K137&gt;=2,FALSE())),IF(AND('Daily Schedule'!$A31&gt;=46,'Daily Schedule'!$A31&lt;=52),'Daily Workforce'!$M137="Y",IFERROR(1*'Daily Workforce'!$P137&gt;=2,FALSE()))))),1,0)</f>
        <v>0</v>
      </c>
      <c r="ES27" s="1" t="n">
        <f aca="false">IF(AND('Daily Workforce'!$N138="Y",'Daily Workforce'!$B138&lt;&gt;"",COUNTIF('Daily Schedule'!$F$5:$F30,'Daily Workforce'!$B138)=0,IF('Daily Schedule'!$A31=45,'Daily Workforce'!$J138="Y",IF(OR('Daily Schedule'!$A31=4,'Daily Schedule'!$A31=8),IF(OR(WEEKDAY('Daily Schedule'!$B$2,2)=1,WEEKDAY('Daily Schedule'!$B$2,2)=4,WEEKDAY('Daily Schedule'!$B$2,2)=5,WEEKDAY('Daily Schedule'!$B$2,2)=7),IFERROR(1*'Daily Workforce'!$K138&gt;=3,FALSE()),IFERROR(1*'Daily Workforce'!$K138&gt;=2,FALSE())),IF(AND('Daily Schedule'!$A31&gt;=46,'Daily Schedule'!$A31&lt;=52),'Daily Workforce'!$M138="Y",IFERROR(1*'Daily Workforce'!$P138&gt;=2,FALSE()))))),1,0)</f>
        <v>0</v>
      </c>
      <c r="ET27" s="1" t="n">
        <f aca="false">IF(AND('Daily Workforce'!$N139="Y",'Daily Workforce'!$B139&lt;&gt;"",COUNTIF('Daily Schedule'!$F$5:$F30,'Daily Workforce'!$B139)=0,IF('Daily Schedule'!$A31=45,'Daily Workforce'!$J139="Y",IF(OR('Daily Schedule'!$A31=4,'Daily Schedule'!$A31=8),IF(OR(WEEKDAY('Daily Schedule'!$B$2,2)=1,WEEKDAY('Daily Schedule'!$B$2,2)=4,WEEKDAY('Daily Schedule'!$B$2,2)=5,WEEKDAY('Daily Schedule'!$B$2,2)=7),IFERROR(1*'Daily Workforce'!$K139&gt;=3,FALSE()),IFERROR(1*'Daily Workforce'!$K139&gt;=2,FALSE())),IF(AND('Daily Schedule'!$A31&gt;=46,'Daily Schedule'!$A31&lt;=52),'Daily Workforce'!$M139="Y",IFERROR(1*'Daily Workforce'!$P139&gt;=2,FALSE()))))),1,0)</f>
        <v>0</v>
      </c>
      <c r="EU27" s="1" t="n">
        <f aca="false">IF(AND('Daily Workforce'!$N140="Y",'Daily Workforce'!$B140&lt;&gt;"",COUNTIF('Daily Schedule'!$F$5:$F30,'Daily Workforce'!$B140)=0,IF('Daily Schedule'!$A31=45,'Daily Workforce'!$J140="Y",IF(OR('Daily Schedule'!$A31=4,'Daily Schedule'!$A31=8),IF(OR(WEEKDAY('Daily Schedule'!$B$2,2)=1,WEEKDAY('Daily Schedule'!$B$2,2)=4,WEEKDAY('Daily Schedule'!$B$2,2)=5,WEEKDAY('Daily Schedule'!$B$2,2)=7),IFERROR(1*'Daily Workforce'!$K140&gt;=3,FALSE()),IFERROR(1*'Daily Workforce'!$K140&gt;=2,FALSE())),IF(AND('Daily Schedule'!$A31&gt;=46,'Daily Schedule'!$A31&lt;=52),'Daily Workforce'!$M140="Y",IFERROR(1*'Daily Workforce'!$P140&gt;=2,FALSE()))))),1,0)</f>
        <v>0</v>
      </c>
      <c r="EV27" s="1" t="n">
        <f aca="false">IF(AND('Daily Workforce'!$N141="Y",'Daily Workforce'!$B141&lt;&gt;"",COUNTIF('Daily Schedule'!$F$5:$F30,'Daily Workforce'!$B141)=0,IF('Daily Schedule'!$A31=45,'Daily Workforce'!$J141="Y",IF(OR('Daily Schedule'!$A31=4,'Daily Schedule'!$A31=8),IF(OR(WEEKDAY('Daily Schedule'!$B$2,2)=1,WEEKDAY('Daily Schedule'!$B$2,2)=4,WEEKDAY('Daily Schedule'!$B$2,2)=5,WEEKDAY('Daily Schedule'!$B$2,2)=7),IFERROR(1*'Daily Workforce'!$K141&gt;=3,FALSE()),IFERROR(1*'Daily Workforce'!$K141&gt;=2,FALSE())),IF(AND('Daily Schedule'!$A31&gt;=46,'Daily Schedule'!$A31&lt;=52),'Daily Workforce'!$M141="Y",IFERROR(1*'Daily Workforce'!$P141&gt;=2,FALSE()))))),1,0)</f>
        <v>0</v>
      </c>
      <c r="EW27" s="1" t="n">
        <f aca="false">IF(AND('Daily Workforce'!$N142="Y",'Daily Workforce'!$B142&lt;&gt;"",COUNTIF('Daily Schedule'!$F$5:$F30,'Daily Workforce'!$B142)=0,IF('Daily Schedule'!$A31=45,'Daily Workforce'!$J142="Y",IF(OR('Daily Schedule'!$A31=4,'Daily Schedule'!$A31=8),IF(OR(WEEKDAY('Daily Schedule'!$B$2,2)=1,WEEKDAY('Daily Schedule'!$B$2,2)=4,WEEKDAY('Daily Schedule'!$B$2,2)=5,WEEKDAY('Daily Schedule'!$B$2,2)=7),IFERROR(1*'Daily Workforce'!$K142&gt;=3,FALSE()),IFERROR(1*'Daily Workforce'!$K142&gt;=2,FALSE())),IF(AND('Daily Schedule'!$A31&gt;=46,'Daily Schedule'!$A31&lt;=52),'Daily Workforce'!$M142="Y",IFERROR(1*'Daily Workforce'!$P142&gt;=2,FALSE()))))),1,0)</f>
        <v>0</v>
      </c>
      <c r="EX27" s="1" t="n">
        <f aca="false">IF(AND('Daily Workforce'!$N143="Y",'Daily Workforce'!$B143&lt;&gt;"",COUNTIF('Daily Schedule'!$F$5:$F30,'Daily Workforce'!$B143)=0,IF('Daily Schedule'!$A31=45,'Daily Workforce'!$J143="Y",IF(OR('Daily Schedule'!$A31=4,'Daily Schedule'!$A31=8),IF(OR(WEEKDAY('Daily Schedule'!$B$2,2)=1,WEEKDAY('Daily Schedule'!$B$2,2)=4,WEEKDAY('Daily Schedule'!$B$2,2)=5,WEEKDAY('Daily Schedule'!$B$2,2)=7),IFERROR(1*'Daily Workforce'!$K143&gt;=3,FALSE()),IFERROR(1*'Daily Workforce'!$K143&gt;=2,FALSE())),IF(AND('Daily Schedule'!$A31&gt;=46,'Daily Schedule'!$A31&lt;=52),'Daily Workforce'!$M143="Y",IFERROR(1*'Daily Workforce'!$P143&gt;=2,FALSE()))))),1,0)</f>
        <v>0</v>
      </c>
      <c r="EY27" s="1" t="n">
        <f aca="false">IF(AND('Daily Workforce'!$N144="Y",'Daily Workforce'!$B144&lt;&gt;"",COUNTIF('Daily Schedule'!$F$5:$F30,'Daily Workforce'!$B144)=0,IF('Daily Schedule'!$A31=45,'Daily Workforce'!$J144="Y",IF(OR('Daily Schedule'!$A31=4,'Daily Schedule'!$A31=8),IF(OR(WEEKDAY('Daily Schedule'!$B$2,2)=1,WEEKDAY('Daily Schedule'!$B$2,2)=4,WEEKDAY('Daily Schedule'!$B$2,2)=5,WEEKDAY('Daily Schedule'!$B$2,2)=7),IFERROR(1*'Daily Workforce'!$K144&gt;=3,FALSE()),IFERROR(1*'Daily Workforce'!$K144&gt;=2,FALSE())),IF(AND('Daily Schedule'!$A31&gt;=46,'Daily Schedule'!$A31&lt;=52),'Daily Workforce'!$M144="Y",IFERROR(1*'Daily Workforce'!$P144&gt;=2,FALSE()))))),1,0)</f>
        <v>0</v>
      </c>
      <c r="EZ27" s="1" t="n">
        <f aca="false">IF(AND('Daily Workforce'!$N145="Y",'Daily Workforce'!$B145&lt;&gt;"",COUNTIF('Daily Schedule'!$F$5:$F30,'Daily Workforce'!$B145)=0,IF('Daily Schedule'!$A31=45,'Daily Workforce'!$J145="Y",IF(OR('Daily Schedule'!$A31=4,'Daily Schedule'!$A31=8),IF(OR(WEEKDAY('Daily Schedule'!$B$2,2)=1,WEEKDAY('Daily Schedule'!$B$2,2)=4,WEEKDAY('Daily Schedule'!$B$2,2)=5,WEEKDAY('Daily Schedule'!$B$2,2)=7),IFERROR(1*'Daily Workforce'!$K145&gt;=3,FALSE()),IFERROR(1*'Daily Workforce'!$K145&gt;=2,FALSE())),IF(AND('Daily Schedule'!$A31&gt;=46,'Daily Schedule'!$A31&lt;=52),'Daily Workforce'!$M145="Y",IFERROR(1*'Daily Workforce'!$P145&gt;=2,FALSE()))))),1,0)</f>
        <v>0</v>
      </c>
      <c r="FA27" s="1" t="n">
        <f aca="false">IF(AND('Daily Workforce'!$N146="Y",'Daily Workforce'!$B146&lt;&gt;"",COUNTIF('Daily Schedule'!$F$5:$F30,'Daily Workforce'!$B146)=0,IF('Daily Schedule'!$A31=45,'Daily Workforce'!$J146="Y",IF(OR('Daily Schedule'!$A31=4,'Daily Schedule'!$A31=8),IF(OR(WEEKDAY('Daily Schedule'!$B$2,2)=1,WEEKDAY('Daily Schedule'!$B$2,2)=4,WEEKDAY('Daily Schedule'!$B$2,2)=5,WEEKDAY('Daily Schedule'!$B$2,2)=7),IFERROR(1*'Daily Workforce'!$K146&gt;=3,FALSE()),IFERROR(1*'Daily Workforce'!$K146&gt;=2,FALSE())),IF(AND('Daily Schedule'!$A31&gt;=46,'Daily Schedule'!$A31&lt;=52),'Daily Workforce'!$M146="Y",IFERROR(1*'Daily Workforce'!$P146&gt;=2,FALSE()))))),1,0)</f>
        <v>0</v>
      </c>
      <c r="FB27" s="1" t="n">
        <f aca="false">IF(AND('Daily Workforce'!$N147="Y",'Daily Workforce'!$B147&lt;&gt;"",COUNTIF('Daily Schedule'!$F$5:$F30,'Daily Workforce'!$B147)=0,IF('Daily Schedule'!$A31=45,'Daily Workforce'!$J147="Y",IF(OR('Daily Schedule'!$A31=4,'Daily Schedule'!$A31=8),IF(OR(WEEKDAY('Daily Schedule'!$B$2,2)=1,WEEKDAY('Daily Schedule'!$B$2,2)=4,WEEKDAY('Daily Schedule'!$B$2,2)=5,WEEKDAY('Daily Schedule'!$B$2,2)=7),IFERROR(1*'Daily Workforce'!$K147&gt;=3,FALSE()),IFERROR(1*'Daily Workforce'!$K147&gt;=2,FALSE())),IF(AND('Daily Schedule'!$A31&gt;=46,'Daily Schedule'!$A31&lt;=52),'Daily Workforce'!$M147="Y",IFERROR(1*'Daily Workforce'!$P147&gt;=2,FALSE()))))),1,0)</f>
        <v>0</v>
      </c>
      <c r="FC27" s="1" t="n">
        <f aca="false">IF(AND('Daily Workforce'!$N148="Y",'Daily Workforce'!$B148&lt;&gt;"",COUNTIF('Daily Schedule'!$F$5:$F30,'Daily Workforce'!$B148)=0,IF('Daily Schedule'!$A31=45,'Daily Workforce'!$J148="Y",IF(OR('Daily Schedule'!$A31=4,'Daily Schedule'!$A31=8),IF(OR(WEEKDAY('Daily Schedule'!$B$2,2)=1,WEEKDAY('Daily Schedule'!$B$2,2)=4,WEEKDAY('Daily Schedule'!$B$2,2)=5,WEEKDAY('Daily Schedule'!$B$2,2)=7),IFERROR(1*'Daily Workforce'!$K148&gt;=3,FALSE()),IFERROR(1*'Daily Workforce'!$K148&gt;=2,FALSE())),IF(AND('Daily Schedule'!$A31&gt;=46,'Daily Schedule'!$A31&lt;=52),'Daily Workforce'!$M148="Y",IFERROR(1*'Daily Workforce'!$P148&gt;=2,FALSE()))))),1,0)</f>
        <v>0</v>
      </c>
      <c r="FD27" s="1" t="n">
        <f aca="false">IF(AND('Daily Workforce'!$N149="Y",'Daily Workforce'!$B149&lt;&gt;"",COUNTIF('Daily Schedule'!$F$5:$F30,'Daily Workforce'!$B149)=0,IF('Daily Schedule'!$A31=45,'Daily Workforce'!$J149="Y",IF(OR('Daily Schedule'!$A31=4,'Daily Schedule'!$A31=8),IF(OR(WEEKDAY('Daily Schedule'!$B$2,2)=1,WEEKDAY('Daily Schedule'!$B$2,2)=4,WEEKDAY('Daily Schedule'!$B$2,2)=5,WEEKDAY('Daily Schedule'!$B$2,2)=7),IFERROR(1*'Daily Workforce'!$K149&gt;=3,FALSE()),IFERROR(1*'Daily Workforce'!$K149&gt;=2,FALSE())),IF(AND('Daily Schedule'!$A31&gt;=46,'Daily Schedule'!$A31&lt;=52),'Daily Workforce'!$M149="Y",IFERROR(1*'Daily Workforce'!$P149&gt;=2,FALSE()))))),1,0)</f>
        <v>0</v>
      </c>
      <c r="FE27" s="1" t="n">
        <f aca="false">IF(AND('Daily Workforce'!$N150="Y",'Daily Workforce'!$B150&lt;&gt;"",COUNTIF('Daily Schedule'!$F$5:$F30,'Daily Workforce'!$B150)=0,IF('Daily Schedule'!$A31=45,'Daily Workforce'!$J150="Y",IF(OR('Daily Schedule'!$A31=4,'Daily Schedule'!$A31=8),IF(OR(WEEKDAY('Daily Schedule'!$B$2,2)=1,WEEKDAY('Daily Schedule'!$B$2,2)=4,WEEKDAY('Daily Schedule'!$B$2,2)=5,WEEKDAY('Daily Schedule'!$B$2,2)=7),IFERROR(1*'Daily Workforce'!$K150&gt;=3,FALSE()),IFERROR(1*'Daily Workforce'!$K150&gt;=2,FALSE())),IF(AND('Daily Schedule'!$A31&gt;=46,'Daily Schedule'!$A31&lt;=52),'Daily Workforce'!$M150="Y",IFERROR(1*'Daily Workforce'!$P150&gt;=2,FALSE()))))),1,0)</f>
        <v>0</v>
      </c>
      <c r="FF27" s="1" t="n">
        <f aca="false">IF(AND('Daily Workforce'!$N151="Y",'Daily Workforce'!$B151&lt;&gt;"",COUNTIF('Daily Schedule'!$F$5:$F30,'Daily Workforce'!$B151)=0,IF('Daily Schedule'!$A31=45,'Daily Workforce'!$J151="Y",IF(OR('Daily Schedule'!$A31=4,'Daily Schedule'!$A31=8),IF(OR(WEEKDAY('Daily Schedule'!$B$2,2)=1,WEEKDAY('Daily Schedule'!$B$2,2)=4,WEEKDAY('Daily Schedule'!$B$2,2)=5,WEEKDAY('Daily Schedule'!$B$2,2)=7),IFERROR(1*'Daily Workforce'!$K151&gt;=3,FALSE()),IFERROR(1*'Daily Workforce'!$K151&gt;=2,FALSE())),IF(AND('Daily Schedule'!$A31&gt;=46,'Daily Schedule'!$A31&lt;=52),'Daily Workforce'!$M151="Y",IFERROR(1*'Daily Workforce'!$P151&gt;=2,FALSE()))))),1,0)</f>
        <v>0</v>
      </c>
      <c r="FG27" s="1" t="n">
        <f aca="false">IF(AND('Daily Workforce'!$N152="Y",'Daily Workforce'!$B152&lt;&gt;"",COUNTIF('Daily Schedule'!$F$5:$F30,'Daily Workforce'!$B152)=0,IF('Daily Schedule'!$A31=45,'Daily Workforce'!$J152="Y",IF(OR('Daily Schedule'!$A31=4,'Daily Schedule'!$A31=8),IF(OR(WEEKDAY('Daily Schedule'!$B$2,2)=1,WEEKDAY('Daily Schedule'!$B$2,2)=4,WEEKDAY('Daily Schedule'!$B$2,2)=5,WEEKDAY('Daily Schedule'!$B$2,2)=7),IFERROR(1*'Daily Workforce'!$K152&gt;=3,FALSE()),IFERROR(1*'Daily Workforce'!$K152&gt;=2,FALSE())),IF(AND('Daily Schedule'!$A31&gt;=46,'Daily Schedule'!$A31&lt;=52),'Daily Workforce'!$M152="Y",IFERROR(1*'Daily Workforce'!$P152&gt;=2,FALSE()))))),1,0)</f>
        <v>0</v>
      </c>
      <c r="FH27" s="1" t="n">
        <f aca="false">IF(AND('Daily Workforce'!$N153="Y",'Daily Workforce'!$B153&lt;&gt;"",COUNTIF('Daily Schedule'!$F$5:$F30,'Daily Workforce'!$B153)=0,IF('Daily Schedule'!$A31=45,'Daily Workforce'!$J153="Y",IF(OR('Daily Schedule'!$A31=4,'Daily Schedule'!$A31=8),IF(OR(WEEKDAY('Daily Schedule'!$B$2,2)=1,WEEKDAY('Daily Schedule'!$B$2,2)=4,WEEKDAY('Daily Schedule'!$B$2,2)=5,WEEKDAY('Daily Schedule'!$B$2,2)=7),IFERROR(1*'Daily Workforce'!$K153&gt;=3,FALSE()),IFERROR(1*'Daily Workforce'!$K153&gt;=2,FALSE())),IF(AND('Daily Schedule'!$A31&gt;=46,'Daily Schedule'!$A31&lt;=52),'Daily Workforce'!$M153="Y",IFERROR(1*'Daily Workforce'!$P153&gt;=2,FALSE()))))),1,0)</f>
        <v>0</v>
      </c>
      <c r="FI27" s="1" t="n">
        <f aca="false">IF(AND('Daily Workforce'!$N154="Y",'Daily Workforce'!$B154&lt;&gt;"",COUNTIF('Daily Schedule'!$F$5:$F30,'Daily Workforce'!$B154)=0,IF('Daily Schedule'!$A31=45,'Daily Workforce'!$J154="Y",IF(OR('Daily Schedule'!$A31=4,'Daily Schedule'!$A31=8),IF(OR(WEEKDAY('Daily Schedule'!$B$2,2)=1,WEEKDAY('Daily Schedule'!$B$2,2)=4,WEEKDAY('Daily Schedule'!$B$2,2)=5,WEEKDAY('Daily Schedule'!$B$2,2)=7),IFERROR(1*'Daily Workforce'!$K154&gt;=3,FALSE()),IFERROR(1*'Daily Workforce'!$K154&gt;=2,FALSE())),IF(AND('Daily Schedule'!$A31&gt;=46,'Daily Schedule'!$A31&lt;=52),'Daily Workforce'!$M154="Y",IFERROR(1*'Daily Workforce'!$P154&gt;=2,FALSE()))))),1,0)</f>
        <v>0</v>
      </c>
      <c r="FJ27" s="1" t="n">
        <f aca="false">IF(AND('Daily Workforce'!$N155="Y",'Daily Workforce'!$B155&lt;&gt;"",COUNTIF('Daily Schedule'!$F$5:$F30,'Daily Workforce'!$B155)=0,IF('Daily Schedule'!$A31=45,'Daily Workforce'!$J155="Y",IF(OR('Daily Schedule'!$A31=4,'Daily Schedule'!$A31=8),IF(OR(WEEKDAY('Daily Schedule'!$B$2,2)=1,WEEKDAY('Daily Schedule'!$B$2,2)=4,WEEKDAY('Daily Schedule'!$B$2,2)=5,WEEKDAY('Daily Schedule'!$B$2,2)=7),IFERROR(1*'Daily Workforce'!$K155&gt;=3,FALSE()),IFERROR(1*'Daily Workforce'!$K155&gt;=2,FALSE())),IF(AND('Daily Schedule'!$A31&gt;=46,'Daily Schedule'!$A31&lt;=52),'Daily Workforce'!$M155="Y",IFERROR(1*'Daily Workforce'!$P155&gt;=2,FALSE()))))),1,0)</f>
        <v>0</v>
      </c>
      <c r="FK27" s="1" t="n">
        <f aca="false">IF(AND('Daily Workforce'!$N156="Y",'Daily Workforce'!$B156&lt;&gt;"",COUNTIF('Daily Schedule'!$F$5:$F30,'Daily Workforce'!$B156)=0,IF('Daily Schedule'!$A31=45,'Daily Workforce'!$J156="Y",IF(OR('Daily Schedule'!$A31=4,'Daily Schedule'!$A31=8),IF(OR(WEEKDAY('Daily Schedule'!$B$2,2)=1,WEEKDAY('Daily Schedule'!$B$2,2)=4,WEEKDAY('Daily Schedule'!$B$2,2)=5,WEEKDAY('Daily Schedule'!$B$2,2)=7),IFERROR(1*'Daily Workforce'!$K156&gt;=3,FALSE()),IFERROR(1*'Daily Workforce'!$K156&gt;=2,FALSE())),IF(AND('Daily Schedule'!$A31&gt;=46,'Daily Schedule'!$A31&lt;=52),'Daily Workforce'!$M156="Y",IFERROR(1*'Daily Workforce'!$P156&gt;=2,FALSE()))))),1,0)</f>
        <v>0</v>
      </c>
      <c r="FL27" s="1" t="n">
        <f aca="false">IF(AND('Daily Workforce'!$N157="Y",'Daily Workforce'!$B157&lt;&gt;"",COUNTIF('Daily Schedule'!$F$5:$F30,'Daily Workforce'!$B157)=0,IF('Daily Schedule'!$A31=45,'Daily Workforce'!$J157="Y",IF(OR('Daily Schedule'!$A31=4,'Daily Schedule'!$A31=8),IF(OR(WEEKDAY('Daily Schedule'!$B$2,2)=1,WEEKDAY('Daily Schedule'!$B$2,2)=4,WEEKDAY('Daily Schedule'!$B$2,2)=5,WEEKDAY('Daily Schedule'!$B$2,2)=7),IFERROR(1*'Daily Workforce'!$K157&gt;=3,FALSE()),IFERROR(1*'Daily Workforce'!$K157&gt;=2,FALSE())),IF(AND('Daily Schedule'!$A31&gt;=46,'Daily Schedule'!$A31&lt;=52),'Daily Workforce'!$M157="Y",IFERROR(1*'Daily Workforce'!$P157&gt;=2,FALSE()))))),1,0)</f>
        <v>0</v>
      </c>
      <c r="FM27" s="1" t="n">
        <f aca="false">IF(AND('Daily Workforce'!$N158="Y",'Daily Workforce'!$B158&lt;&gt;"",COUNTIF('Daily Schedule'!$F$5:$F30,'Daily Workforce'!$B158)=0,IF('Daily Schedule'!$A31=45,'Daily Workforce'!$J158="Y",IF(OR('Daily Schedule'!$A31=4,'Daily Schedule'!$A31=8),IF(OR(WEEKDAY('Daily Schedule'!$B$2,2)=1,WEEKDAY('Daily Schedule'!$B$2,2)=4,WEEKDAY('Daily Schedule'!$B$2,2)=5,WEEKDAY('Daily Schedule'!$B$2,2)=7),IFERROR(1*'Daily Workforce'!$K158&gt;=3,FALSE()),IFERROR(1*'Daily Workforce'!$K158&gt;=2,FALSE())),IF(AND('Daily Schedule'!$A31&gt;=46,'Daily Schedule'!$A31&lt;=52),'Daily Workforce'!$M158="Y",IFERROR(1*'Daily Workforce'!$P158&gt;=2,FALSE()))))),1,0)</f>
        <v>0</v>
      </c>
      <c r="FN27" s="1" t="n">
        <f aca="false">IF(AND('Daily Workforce'!$N159="Y",'Daily Workforce'!$B159&lt;&gt;"",COUNTIF('Daily Schedule'!$F$5:$F30,'Daily Workforce'!$B159)=0,IF('Daily Schedule'!$A31=45,'Daily Workforce'!$J159="Y",IF(OR('Daily Schedule'!$A31=4,'Daily Schedule'!$A31=8),IF(OR(WEEKDAY('Daily Schedule'!$B$2,2)=1,WEEKDAY('Daily Schedule'!$B$2,2)=4,WEEKDAY('Daily Schedule'!$B$2,2)=5,WEEKDAY('Daily Schedule'!$B$2,2)=7),IFERROR(1*'Daily Workforce'!$K159&gt;=3,FALSE()),IFERROR(1*'Daily Workforce'!$K159&gt;=2,FALSE())),IF(AND('Daily Schedule'!$A31&gt;=46,'Daily Schedule'!$A31&lt;=52),'Daily Workforce'!$M159="Y",IFERROR(1*'Daily Workforce'!$P159&gt;=2,FALSE()))))),1,0)</f>
        <v>0</v>
      </c>
      <c r="FO27" s="1" t="n">
        <f aca="false">IF(AND('Daily Workforce'!$N160="Y",'Daily Workforce'!$B160&lt;&gt;"",COUNTIF('Daily Schedule'!$F$5:$F30,'Daily Workforce'!$B160)=0,IF('Daily Schedule'!$A31=45,'Daily Workforce'!$J160="Y",IF(OR('Daily Schedule'!$A31=4,'Daily Schedule'!$A31=8),IF(OR(WEEKDAY('Daily Schedule'!$B$2,2)=1,WEEKDAY('Daily Schedule'!$B$2,2)=4,WEEKDAY('Daily Schedule'!$B$2,2)=5,WEEKDAY('Daily Schedule'!$B$2,2)=7),IFERROR(1*'Daily Workforce'!$K160&gt;=3,FALSE()),IFERROR(1*'Daily Workforce'!$K160&gt;=2,FALSE())),IF(AND('Daily Schedule'!$A31&gt;=46,'Daily Schedule'!$A31&lt;=52),'Daily Workforce'!$M160="Y",IFERROR(1*'Daily Workforce'!$P160&gt;=2,FALSE()))))),1,0)</f>
        <v>0</v>
      </c>
      <c r="FP27" s="1" t="n">
        <f aca="false">IF(AND('Daily Workforce'!$N161="Y",'Daily Workforce'!$B161&lt;&gt;"",COUNTIF('Daily Schedule'!$F$5:$F30,'Daily Workforce'!$B161)=0,IF('Daily Schedule'!$A31=45,'Daily Workforce'!$J161="Y",IF(OR('Daily Schedule'!$A31=4,'Daily Schedule'!$A31=8),IF(OR(WEEKDAY('Daily Schedule'!$B$2,2)=1,WEEKDAY('Daily Schedule'!$B$2,2)=4,WEEKDAY('Daily Schedule'!$B$2,2)=5,WEEKDAY('Daily Schedule'!$B$2,2)=7),IFERROR(1*'Daily Workforce'!$K161&gt;=3,FALSE()),IFERROR(1*'Daily Workforce'!$K161&gt;=2,FALSE())),IF(AND('Daily Schedule'!$A31&gt;=46,'Daily Schedule'!$A31&lt;=52),'Daily Workforce'!$M161="Y",IFERROR(1*'Daily Workforce'!$P161&gt;=2,FALSE()))))),1,0)</f>
        <v>0</v>
      </c>
      <c r="FQ27" s="1" t="n">
        <f aca="false">IF(AND('Daily Workforce'!$N162="Y",'Daily Workforce'!$B162&lt;&gt;"",COUNTIF('Daily Schedule'!$F$5:$F30,'Daily Workforce'!$B162)=0,IF('Daily Schedule'!$A31=45,'Daily Workforce'!$J162="Y",IF(OR('Daily Schedule'!$A31=4,'Daily Schedule'!$A31=8),IF(OR(WEEKDAY('Daily Schedule'!$B$2,2)=1,WEEKDAY('Daily Schedule'!$B$2,2)=4,WEEKDAY('Daily Schedule'!$B$2,2)=5,WEEKDAY('Daily Schedule'!$B$2,2)=7),IFERROR(1*'Daily Workforce'!$K162&gt;=3,FALSE()),IFERROR(1*'Daily Workforce'!$K162&gt;=2,FALSE())),IF(AND('Daily Schedule'!$A31&gt;=46,'Daily Schedule'!$A31&lt;=52),'Daily Workforce'!$M162="Y",IFERROR(1*'Daily Workforce'!$P162&gt;=2,FALSE()))))),1,0)</f>
        <v>0</v>
      </c>
      <c r="FR27" s="1" t="n">
        <f aca="false">IF(AND('Daily Workforce'!$N163="Y",'Daily Workforce'!$B163&lt;&gt;"",COUNTIF('Daily Schedule'!$F$5:$F30,'Daily Workforce'!$B163)=0,IF('Daily Schedule'!$A31=45,'Daily Workforce'!$J163="Y",IF(OR('Daily Schedule'!$A31=4,'Daily Schedule'!$A31=8),IF(OR(WEEKDAY('Daily Schedule'!$B$2,2)=1,WEEKDAY('Daily Schedule'!$B$2,2)=4,WEEKDAY('Daily Schedule'!$B$2,2)=5,WEEKDAY('Daily Schedule'!$B$2,2)=7),IFERROR(1*'Daily Workforce'!$K163&gt;=3,FALSE()),IFERROR(1*'Daily Workforce'!$K163&gt;=2,FALSE())),IF(AND('Daily Schedule'!$A31&gt;=46,'Daily Schedule'!$A31&lt;=52),'Daily Workforce'!$M163="Y",IFERROR(1*'Daily Workforce'!$P163&gt;=2,FALSE()))))),1,0)</f>
        <v>0</v>
      </c>
      <c r="FS27" s="1" t="n">
        <f aca="false">IF(AND('Daily Workforce'!$N164="Y",'Daily Workforce'!$B164&lt;&gt;"",COUNTIF('Daily Schedule'!$F$5:$F30,'Daily Workforce'!$B164)=0,IF('Daily Schedule'!$A31=45,'Daily Workforce'!$J164="Y",IF(OR('Daily Schedule'!$A31=4,'Daily Schedule'!$A31=8),IF(OR(WEEKDAY('Daily Schedule'!$B$2,2)=1,WEEKDAY('Daily Schedule'!$B$2,2)=4,WEEKDAY('Daily Schedule'!$B$2,2)=5,WEEKDAY('Daily Schedule'!$B$2,2)=7),IFERROR(1*'Daily Workforce'!$K164&gt;=3,FALSE()),IFERROR(1*'Daily Workforce'!$K164&gt;=2,FALSE())),IF(AND('Daily Schedule'!$A31&gt;=46,'Daily Schedule'!$A31&lt;=52),'Daily Workforce'!$M164="Y",IFERROR(1*'Daily Workforce'!$P164&gt;=2,FALSE()))))),1,0)</f>
        <v>0</v>
      </c>
      <c r="FT27" s="1" t="n">
        <f aca="false">IF(AND('Daily Workforce'!$N165="Y",'Daily Workforce'!$B165&lt;&gt;"",COUNTIF('Daily Schedule'!$F$5:$F30,'Daily Workforce'!$B165)=0,IF('Daily Schedule'!$A31=45,'Daily Workforce'!$J165="Y",IF(OR('Daily Schedule'!$A31=4,'Daily Schedule'!$A31=8),IF(OR(WEEKDAY('Daily Schedule'!$B$2,2)=1,WEEKDAY('Daily Schedule'!$B$2,2)=4,WEEKDAY('Daily Schedule'!$B$2,2)=5,WEEKDAY('Daily Schedule'!$B$2,2)=7),IFERROR(1*'Daily Workforce'!$K165&gt;=3,FALSE()),IFERROR(1*'Daily Workforce'!$K165&gt;=2,FALSE())),IF(AND('Daily Schedule'!$A31&gt;=46,'Daily Schedule'!$A31&lt;=52),'Daily Workforce'!$M165="Y",IFERROR(1*'Daily Workforce'!$P165&gt;=2,FALSE()))))),1,0)</f>
        <v>0</v>
      </c>
      <c r="FU27" s="1" t="n">
        <f aca="false">IF(AND('Daily Workforce'!$N166="Y",'Daily Workforce'!$B166&lt;&gt;"",COUNTIF('Daily Schedule'!$F$5:$F30,'Daily Workforce'!$B166)=0,IF('Daily Schedule'!$A31=45,'Daily Workforce'!$J166="Y",IF(OR('Daily Schedule'!$A31=4,'Daily Schedule'!$A31=8),IF(OR(WEEKDAY('Daily Schedule'!$B$2,2)=1,WEEKDAY('Daily Schedule'!$B$2,2)=4,WEEKDAY('Daily Schedule'!$B$2,2)=5,WEEKDAY('Daily Schedule'!$B$2,2)=7),IFERROR(1*'Daily Workforce'!$K166&gt;=3,FALSE()),IFERROR(1*'Daily Workforce'!$K166&gt;=2,FALSE())),IF(AND('Daily Schedule'!$A31&gt;=46,'Daily Schedule'!$A31&lt;=52),'Daily Workforce'!$M166="Y",IFERROR(1*'Daily Workforce'!$P166&gt;=2,FALSE()))))),1,0)</f>
        <v>0</v>
      </c>
      <c r="FV27" s="1" t="n">
        <f aca="false">IF(AND('Daily Workforce'!$N167="Y",'Daily Workforce'!$B167&lt;&gt;"",COUNTIF('Daily Schedule'!$F$5:$F30,'Daily Workforce'!$B167)=0,IF('Daily Schedule'!$A31=45,'Daily Workforce'!$J167="Y",IF(OR('Daily Schedule'!$A31=4,'Daily Schedule'!$A31=8),IF(OR(WEEKDAY('Daily Schedule'!$B$2,2)=1,WEEKDAY('Daily Schedule'!$B$2,2)=4,WEEKDAY('Daily Schedule'!$B$2,2)=5,WEEKDAY('Daily Schedule'!$B$2,2)=7),IFERROR(1*'Daily Workforce'!$K167&gt;=3,FALSE()),IFERROR(1*'Daily Workforce'!$K167&gt;=2,FALSE())),IF(AND('Daily Schedule'!$A31&gt;=46,'Daily Schedule'!$A31&lt;=52),'Daily Workforce'!$M167="Y",IFERROR(1*'Daily Workforce'!$P167&gt;=2,FALSE()))))),1,0)</f>
        <v>0</v>
      </c>
      <c r="FW27" s="1" t="n">
        <f aca="false">IF(AND('Daily Workforce'!$N168="Y",'Daily Workforce'!$B168&lt;&gt;"",COUNTIF('Daily Schedule'!$F$5:$F30,'Daily Workforce'!$B168)=0,IF('Daily Schedule'!$A31=45,'Daily Workforce'!$J168="Y",IF(OR('Daily Schedule'!$A31=4,'Daily Schedule'!$A31=8),IF(OR(WEEKDAY('Daily Schedule'!$B$2,2)=1,WEEKDAY('Daily Schedule'!$B$2,2)=4,WEEKDAY('Daily Schedule'!$B$2,2)=5,WEEKDAY('Daily Schedule'!$B$2,2)=7),IFERROR(1*'Daily Workforce'!$K168&gt;=3,FALSE()),IFERROR(1*'Daily Workforce'!$K168&gt;=2,FALSE())),IF(AND('Daily Schedule'!$A31&gt;=46,'Daily Schedule'!$A31&lt;=52),'Daily Workforce'!$M168="Y",IFERROR(1*'Daily Workforce'!$P168&gt;=2,FALSE()))))),1,0)</f>
        <v>0</v>
      </c>
      <c r="FX27" s="1" t="n">
        <f aca="false">IF(AND('Daily Workforce'!$N169="Y",'Daily Workforce'!$B169&lt;&gt;"",COUNTIF('Daily Schedule'!$F$5:$F30,'Daily Workforce'!$B169)=0,IF('Daily Schedule'!$A31=45,'Daily Workforce'!$J169="Y",IF(OR('Daily Schedule'!$A31=4,'Daily Schedule'!$A31=8),IF(OR(WEEKDAY('Daily Schedule'!$B$2,2)=1,WEEKDAY('Daily Schedule'!$B$2,2)=4,WEEKDAY('Daily Schedule'!$B$2,2)=5,WEEKDAY('Daily Schedule'!$B$2,2)=7),IFERROR(1*'Daily Workforce'!$K169&gt;=3,FALSE()),IFERROR(1*'Daily Workforce'!$K169&gt;=2,FALSE())),IF(AND('Daily Schedule'!$A31&gt;=46,'Daily Schedule'!$A31&lt;=52),'Daily Workforce'!$M169="Y",IFERROR(1*'Daily Workforce'!$P169&gt;=2,FALSE()))))),1,0)</f>
        <v>0</v>
      </c>
      <c r="FY27" s="1" t="n">
        <f aca="false">IF(AND('Daily Workforce'!$N170="Y",'Daily Workforce'!$B170&lt;&gt;"",COUNTIF('Daily Schedule'!$F$5:$F30,'Daily Workforce'!$B170)=0,IF('Daily Schedule'!$A31=45,'Daily Workforce'!$J170="Y",IF(OR('Daily Schedule'!$A31=4,'Daily Schedule'!$A31=8),IF(OR(WEEKDAY('Daily Schedule'!$B$2,2)=1,WEEKDAY('Daily Schedule'!$B$2,2)=4,WEEKDAY('Daily Schedule'!$B$2,2)=5,WEEKDAY('Daily Schedule'!$B$2,2)=7),IFERROR(1*'Daily Workforce'!$K170&gt;=3,FALSE()),IFERROR(1*'Daily Workforce'!$K170&gt;=2,FALSE())),IF(AND('Daily Schedule'!$A31&gt;=46,'Daily Schedule'!$A31&lt;=52),'Daily Workforce'!$M170="Y",IFERROR(1*'Daily Workforce'!$P170&gt;=2,FALSE()))))),1,0)</f>
        <v>0</v>
      </c>
      <c r="FZ27" s="1" t="n">
        <f aca="false">IF(AND('Daily Workforce'!$N171="Y",'Daily Workforce'!$B171&lt;&gt;"",COUNTIF('Daily Schedule'!$F$5:$F30,'Daily Workforce'!$B171)=0,IF('Daily Schedule'!$A31=45,'Daily Workforce'!$J171="Y",IF(OR('Daily Schedule'!$A31=4,'Daily Schedule'!$A31=8),IF(OR(WEEKDAY('Daily Schedule'!$B$2,2)=1,WEEKDAY('Daily Schedule'!$B$2,2)=4,WEEKDAY('Daily Schedule'!$B$2,2)=5,WEEKDAY('Daily Schedule'!$B$2,2)=7),IFERROR(1*'Daily Workforce'!$K171&gt;=3,FALSE()),IFERROR(1*'Daily Workforce'!$K171&gt;=2,FALSE())),IF(AND('Daily Schedule'!$A31&gt;=46,'Daily Schedule'!$A31&lt;=52),'Daily Workforce'!$M171="Y",IFERROR(1*'Daily Workforce'!$P171&gt;=2,FALSE()))))),1,0)</f>
        <v>0</v>
      </c>
      <c r="GA27" s="1" t="n">
        <f aca="false">IF(AND('Daily Workforce'!$N172="Y",'Daily Workforce'!$B172&lt;&gt;"",COUNTIF('Daily Schedule'!$F$5:$F30,'Daily Workforce'!$B172)=0,IF('Daily Schedule'!$A31=45,'Daily Workforce'!$J172="Y",IF(OR('Daily Schedule'!$A31=4,'Daily Schedule'!$A31=8),IF(OR(WEEKDAY('Daily Schedule'!$B$2,2)=1,WEEKDAY('Daily Schedule'!$B$2,2)=4,WEEKDAY('Daily Schedule'!$B$2,2)=5,WEEKDAY('Daily Schedule'!$B$2,2)=7),IFERROR(1*'Daily Workforce'!$K172&gt;=3,FALSE()),IFERROR(1*'Daily Workforce'!$K172&gt;=2,FALSE())),IF(AND('Daily Schedule'!$A31&gt;=46,'Daily Schedule'!$A31&lt;=52),'Daily Workforce'!$M172="Y",IFERROR(1*'Daily Workforce'!$P172&gt;=2,FALSE()))))),1,0)</f>
        <v>0</v>
      </c>
      <c r="GB27" s="1" t="n">
        <f aca="false">IF(AND('Daily Workforce'!$N173="Y",'Daily Workforce'!$B173&lt;&gt;"",COUNTIF('Daily Schedule'!$F$5:$F30,'Daily Workforce'!$B173)=0,IF('Daily Schedule'!$A31=45,'Daily Workforce'!$J173="Y",IF(OR('Daily Schedule'!$A31=4,'Daily Schedule'!$A31=8),IF(OR(WEEKDAY('Daily Schedule'!$B$2,2)=1,WEEKDAY('Daily Schedule'!$B$2,2)=4,WEEKDAY('Daily Schedule'!$B$2,2)=5,WEEKDAY('Daily Schedule'!$B$2,2)=7),IFERROR(1*'Daily Workforce'!$K173&gt;=3,FALSE()),IFERROR(1*'Daily Workforce'!$K173&gt;=2,FALSE())),IF(AND('Daily Schedule'!$A31&gt;=46,'Daily Schedule'!$A31&lt;=52),'Daily Workforce'!$M173="Y",IFERROR(1*'Daily Workforce'!$P173&gt;=2,FALSE()))))),1,0)</f>
        <v>0</v>
      </c>
      <c r="GC27" s="1" t="n">
        <f aca="false">IF(AND('Daily Workforce'!$N174="Y",'Daily Workforce'!$B174&lt;&gt;"",COUNTIF('Daily Schedule'!$F$5:$F30,'Daily Workforce'!$B174)=0,IF('Daily Schedule'!$A31=45,'Daily Workforce'!$J174="Y",IF(OR('Daily Schedule'!$A31=4,'Daily Schedule'!$A31=8),IF(OR(WEEKDAY('Daily Schedule'!$B$2,2)=1,WEEKDAY('Daily Schedule'!$B$2,2)=4,WEEKDAY('Daily Schedule'!$B$2,2)=5,WEEKDAY('Daily Schedule'!$B$2,2)=7),IFERROR(1*'Daily Workforce'!$K174&gt;=3,FALSE()),IFERROR(1*'Daily Workforce'!$K174&gt;=2,FALSE())),IF(AND('Daily Schedule'!$A31&gt;=46,'Daily Schedule'!$A31&lt;=52),'Daily Workforce'!$M174="Y",IFERROR(1*'Daily Workforce'!$P174&gt;=2,FALSE()))))),1,0)</f>
        <v>0</v>
      </c>
      <c r="GD27" s="1" t="n">
        <f aca="false">IF(AND('Daily Workforce'!$N175="Y",'Daily Workforce'!$B175&lt;&gt;"",COUNTIF('Daily Schedule'!$F$5:$F30,'Daily Workforce'!$B175)=0,IF('Daily Schedule'!$A31=45,'Daily Workforce'!$J175="Y",IF(OR('Daily Schedule'!$A31=4,'Daily Schedule'!$A31=8),IF(OR(WEEKDAY('Daily Schedule'!$B$2,2)=1,WEEKDAY('Daily Schedule'!$B$2,2)=4,WEEKDAY('Daily Schedule'!$B$2,2)=5,WEEKDAY('Daily Schedule'!$B$2,2)=7),IFERROR(1*'Daily Workforce'!$K175&gt;=3,FALSE()),IFERROR(1*'Daily Workforce'!$K175&gt;=2,FALSE())),IF(AND('Daily Schedule'!$A31&gt;=46,'Daily Schedule'!$A31&lt;=52),'Daily Workforce'!$M175="Y",IFERROR(1*'Daily Workforce'!$P175&gt;=2,FALSE()))))),1,0)</f>
        <v>0</v>
      </c>
      <c r="GE27" s="1" t="n">
        <f aca="false">IF(AND('Daily Workforce'!$N176="Y",'Daily Workforce'!$B176&lt;&gt;"",COUNTIF('Daily Schedule'!$F$5:$F30,'Daily Workforce'!$B176)=0,IF('Daily Schedule'!$A31=45,'Daily Workforce'!$J176="Y",IF(OR('Daily Schedule'!$A31=4,'Daily Schedule'!$A31=8),IF(OR(WEEKDAY('Daily Schedule'!$B$2,2)=1,WEEKDAY('Daily Schedule'!$B$2,2)=4,WEEKDAY('Daily Schedule'!$B$2,2)=5,WEEKDAY('Daily Schedule'!$B$2,2)=7),IFERROR(1*'Daily Workforce'!$K176&gt;=3,FALSE()),IFERROR(1*'Daily Workforce'!$K176&gt;=2,FALSE())),IF(AND('Daily Schedule'!$A31&gt;=46,'Daily Schedule'!$A31&lt;=52),'Daily Workforce'!$M176="Y",IFERROR(1*'Daily Workforce'!$P176&gt;=2,FALSE()))))),1,0)</f>
        <v>0</v>
      </c>
      <c r="GF27" s="1" t="n">
        <f aca="false">IF(AND('Daily Workforce'!$N177="Y",'Daily Workforce'!$B177&lt;&gt;"",COUNTIF('Daily Schedule'!$F$5:$F30,'Daily Workforce'!$B177)=0,IF('Daily Schedule'!$A31=45,'Daily Workforce'!$J177="Y",IF(OR('Daily Schedule'!$A31=4,'Daily Schedule'!$A31=8),IF(OR(WEEKDAY('Daily Schedule'!$B$2,2)=1,WEEKDAY('Daily Schedule'!$B$2,2)=4,WEEKDAY('Daily Schedule'!$B$2,2)=5,WEEKDAY('Daily Schedule'!$B$2,2)=7),IFERROR(1*'Daily Workforce'!$K177&gt;=3,FALSE()),IFERROR(1*'Daily Workforce'!$K177&gt;=2,FALSE())),IF(AND('Daily Schedule'!$A31&gt;=46,'Daily Schedule'!$A31&lt;=52),'Daily Workforce'!$M177="Y",IFERROR(1*'Daily Workforce'!$P177&gt;=2,FALSE()))))),1,0)</f>
        <v>0</v>
      </c>
      <c r="GG27" s="1" t="n">
        <f aca="false">IF(AND('Daily Workforce'!$N178="Y",'Daily Workforce'!$B178&lt;&gt;"",COUNTIF('Daily Schedule'!$F$5:$F30,'Daily Workforce'!$B178)=0,IF('Daily Schedule'!$A31=45,'Daily Workforce'!$J178="Y",IF(OR('Daily Schedule'!$A31=4,'Daily Schedule'!$A31=8),IF(OR(WEEKDAY('Daily Schedule'!$B$2,2)=1,WEEKDAY('Daily Schedule'!$B$2,2)=4,WEEKDAY('Daily Schedule'!$B$2,2)=5,WEEKDAY('Daily Schedule'!$B$2,2)=7),IFERROR(1*'Daily Workforce'!$K178&gt;=3,FALSE()),IFERROR(1*'Daily Workforce'!$K178&gt;=2,FALSE())),IF(AND('Daily Schedule'!$A31&gt;=46,'Daily Schedule'!$A31&lt;=52),'Daily Workforce'!$M178="Y",IFERROR(1*'Daily Workforce'!$P178&gt;=2,FALSE()))))),1,0)</f>
        <v>0</v>
      </c>
      <c r="GH27" s="1" t="n">
        <f aca="false">IF(AND('Daily Workforce'!$N179="Y",'Daily Workforce'!$B179&lt;&gt;"",COUNTIF('Daily Schedule'!$F$5:$F30,'Daily Workforce'!$B179)=0,IF('Daily Schedule'!$A31=45,'Daily Workforce'!$J179="Y",IF(OR('Daily Schedule'!$A31=4,'Daily Schedule'!$A31=8),IF(OR(WEEKDAY('Daily Schedule'!$B$2,2)=1,WEEKDAY('Daily Schedule'!$B$2,2)=4,WEEKDAY('Daily Schedule'!$B$2,2)=5,WEEKDAY('Daily Schedule'!$B$2,2)=7),IFERROR(1*'Daily Workforce'!$K179&gt;=3,FALSE()),IFERROR(1*'Daily Workforce'!$K179&gt;=2,FALSE())),IF(AND('Daily Schedule'!$A31&gt;=46,'Daily Schedule'!$A31&lt;=52),'Daily Workforce'!$M179="Y",IFERROR(1*'Daily Workforce'!$P179&gt;=2,FALSE()))))),1,0)</f>
        <v>0</v>
      </c>
      <c r="GI27" s="1" t="n">
        <f aca="false">IF(AND('Daily Workforce'!$N180="Y",'Daily Workforce'!$B180&lt;&gt;"",COUNTIF('Daily Schedule'!$F$5:$F30,'Daily Workforce'!$B180)=0,IF('Daily Schedule'!$A31=45,'Daily Workforce'!$J180="Y",IF(OR('Daily Schedule'!$A31=4,'Daily Schedule'!$A31=8),IF(OR(WEEKDAY('Daily Schedule'!$B$2,2)=1,WEEKDAY('Daily Schedule'!$B$2,2)=4,WEEKDAY('Daily Schedule'!$B$2,2)=5,WEEKDAY('Daily Schedule'!$B$2,2)=7),IFERROR(1*'Daily Workforce'!$K180&gt;=3,FALSE()),IFERROR(1*'Daily Workforce'!$K180&gt;=2,FALSE())),IF(AND('Daily Schedule'!$A31&gt;=46,'Daily Schedule'!$A31&lt;=52),'Daily Workforce'!$M180="Y",IFERROR(1*'Daily Workforce'!$P180&gt;=2,FALSE()))))),1,0)</f>
        <v>0</v>
      </c>
      <c r="GJ27" s="1" t="n">
        <f aca="false">IF(AND('Daily Workforce'!$N181="Y",'Daily Workforce'!$B181&lt;&gt;"",COUNTIF('Daily Schedule'!$F$5:$F30,'Daily Workforce'!$B181)=0,IF('Daily Schedule'!$A31=45,'Daily Workforce'!$J181="Y",IF(OR('Daily Schedule'!$A31=4,'Daily Schedule'!$A31=8),IF(OR(WEEKDAY('Daily Schedule'!$B$2,2)=1,WEEKDAY('Daily Schedule'!$B$2,2)=4,WEEKDAY('Daily Schedule'!$B$2,2)=5,WEEKDAY('Daily Schedule'!$B$2,2)=7),IFERROR(1*'Daily Workforce'!$K181&gt;=3,FALSE()),IFERROR(1*'Daily Workforce'!$K181&gt;=2,FALSE())),IF(AND('Daily Schedule'!$A31&gt;=46,'Daily Schedule'!$A31&lt;=52),'Daily Workforce'!$M181="Y",IFERROR(1*'Daily Workforce'!$P181&gt;=2,FALSE()))))),1,0)</f>
        <v>0</v>
      </c>
      <c r="GK27" s="1" t="n">
        <f aca="false">IF(AND('Daily Workforce'!$N182="Y",'Daily Workforce'!$B182&lt;&gt;"",COUNTIF('Daily Schedule'!$F$5:$F30,'Daily Workforce'!$B182)=0,IF('Daily Schedule'!$A31=45,'Daily Workforce'!$J182="Y",IF(OR('Daily Schedule'!$A31=4,'Daily Schedule'!$A31=8),IF(OR(WEEKDAY('Daily Schedule'!$B$2,2)=1,WEEKDAY('Daily Schedule'!$B$2,2)=4,WEEKDAY('Daily Schedule'!$B$2,2)=5,WEEKDAY('Daily Schedule'!$B$2,2)=7),IFERROR(1*'Daily Workforce'!$K182&gt;=3,FALSE()),IFERROR(1*'Daily Workforce'!$K182&gt;=2,FALSE())),IF(AND('Daily Schedule'!$A31&gt;=46,'Daily Schedule'!$A31&lt;=52),'Daily Workforce'!$M182="Y",IFERROR(1*'Daily Workforce'!$P182&gt;=2,FALSE()))))),1,0)</f>
        <v>0</v>
      </c>
      <c r="GL27" s="1" t="n">
        <f aca="false">IF(AND('Daily Workforce'!$N183="Y",'Daily Workforce'!$B183&lt;&gt;"",COUNTIF('Daily Schedule'!$F$5:$F30,'Daily Workforce'!$B183)=0,IF('Daily Schedule'!$A31=45,'Daily Workforce'!$J183="Y",IF(OR('Daily Schedule'!$A31=4,'Daily Schedule'!$A31=8),IF(OR(WEEKDAY('Daily Schedule'!$B$2,2)=1,WEEKDAY('Daily Schedule'!$B$2,2)=4,WEEKDAY('Daily Schedule'!$B$2,2)=5,WEEKDAY('Daily Schedule'!$B$2,2)=7),IFERROR(1*'Daily Workforce'!$K183&gt;=3,FALSE()),IFERROR(1*'Daily Workforce'!$K183&gt;=2,FALSE())),IF(AND('Daily Schedule'!$A31&gt;=46,'Daily Schedule'!$A31&lt;=52),'Daily Workforce'!$M183="Y",IFERROR(1*'Daily Workforce'!$P183&gt;=2,FALSE()))))),1,0)</f>
        <v>0</v>
      </c>
      <c r="GM27" s="1" t="n">
        <f aca="false">IF(AND('Daily Workforce'!$N184="Y",'Daily Workforce'!$B184&lt;&gt;"",COUNTIF('Daily Schedule'!$F$5:$F30,'Daily Workforce'!$B184)=0,IF('Daily Schedule'!$A31=45,'Daily Workforce'!$J184="Y",IF(OR('Daily Schedule'!$A31=4,'Daily Schedule'!$A31=8),IF(OR(WEEKDAY('Daily Schedule'!$B$2,2)=1,WEEKDAY('Daily Schedule'!$B$2,2)=4,WEEKDAY('Daily Schedule'!$B$2,2)=5,WEEKDAY('Daily Schedule'!$B$2,2)=7),IFERROR(1*'Daily Workforce'!$K184&gt;=3,FALSE()),IFERROR(1*'Daily Workforce'!$K184&gt;=2,FALSE())),IF(AND('Daily Schedule'!$A31&gt;=46,'Daily Schedule'!$A31&lt;=52),'Daily Workforce'!$M184="Y",IFERROR(1*'Daily Workforce'!$P184&gt;=2,FALSE()))))),1,0)</f>
        <v>0</v>
      </c>
      <c r="GN27" s="1" t="n">
        <f aca="false">IF(AND('Daily Workforce'!$N185="Y",'Daily Workforce'!$B185&lt;&gt;"",COUNTIF('Daily Schedule'!$F$5:$F30,'Daily Workforce'!$B185)=0,IF('Daily Schedule'!$A31=45,'Daily Workforce'!$J185="Y",IF(OR('Daily Schedule'!$A31=4,'Daily Schedule'!$A31=8),IF(OR(WEEKDAY('Daily Schedule'!$B$2,2)=1,WEEKDAY('Daily Schedule'!$B$2,2)=4,WEEKDAY('Daily Schedule'!$B$2,2)=5,WEEKDAY('Daily Schedule'!$B$2,2)=7),IFERROR(1*'Daily Workforce'!$K185&gt;=3,FALSE()),IFERROR(1*'Daily Workforce'!$K185&gt;=2,FALSE())),IF(AND('Daily Schedule'!$A31&gt;=46,'Daily Schedule'!$A31&lt;=52),'Daily Workforce'!$M185="Y",IFERROR(1*'Daily Workforce'!$P185&gt;=2,FALSE()))))),1,0)</f>
        <v>0</v>
      </c>
      <c r="GO27" s="1" t="n">
        <f aca="false">IF(AND('Daily Workforce'!$N186="Y",'Daily Workforce'!$B186&lt;&gt;"",COUNTIF('Daily Schedule'!$F$5:$F30,'Daily Workforce'!$B186)=0,IF('Daily Schedule'!$A31=45,'Daily Workforce'!$J186="Y",IF(OR('Daily Schedule'!$A31=4,'Daily Schedule'!$A31=8),IF(OR(WEEKDAY('Daily Schedule'!$B$2,2)=1,WEEKDAY('Daily Schedule'!$B$2,2)=4,WEEKDAY('Daily Schedule'!$B$2,2)=5,WEEKDAY('Daily Schedule'!$B$2,2)=7),IFERROR(1*'Daily Workforce'!$K186&gt;=3,FALSE()),IFERROR(1*'Daily Workforce'!$K186&gt;=2,FALSE())),IF(AND('Daily Schedule'!$A31&gt;=46,'Daily Schedule'!$A31&lt;=52),'Daily Workforce'!$M186="Y",IFERROR(1*'Daily Workforce'!$P186&gt;=2,FALSE()))))),1,0)</f>
        <v>0</v>
      </c>
      <c r="GP27" s="1" t="n">
        <f aca="false">IF(AND('Daily Workforce'!$N187="Y",'Daily Workforce'!$B187&lt;&gt;"",COUNTIF('Daily Schedule'!$F$5:$F30,'Daily Workforce'!$B187)=0,IF('Daily Schedule'!$A31=45,'Daily Workforce'!$J187="Y",IF(OR('Daily Schedule'!$A31=4,'Daily Schedule'!$A31=8),IF(OR(WEEKDAY('Daily Schedule'!$B$2,2)=1,WEEKDAY('Daily Schedule'!$B$2,2)=4,WEEKDAY('Daily Schedule'!$B$2,2)=5,WEEKDAY('Daily Schedule'!$B$2,2)=7),IFERROR(1*'Daily Workforce'!$K187&gt;=3,FALSE()),IFERROR(1*'Daily Workforce'!$K187&gt;=2,FALSE())),IF(AND('Daily Schedule'!$A31&gt;=46,'Daily Schedule'!$A31&lt;=52),'Daily Workforce'!$M187="Y",IFERROR(1*'Daily Workforce'!$P187&gt;=2,FALSE()))))),1,0)</f>
        <v>0</v>
      </c>
      <c r="GQ27" s="1" t="n">
        <f aca="false">IF(AND('Daily Workforce'!$N188="Y",'Daily Workforce'!$B188&lt;&gt;"",COUNTIF('Daily Schedule'!$F$5:$F30,'Daily Workforce'!$B188)=0,IF('Daily Schedule'!$A31=45,'Daily Workforce'!$J188="Y",IF(OR('Daily Schedule'!$A31=4,'Daily Schedule'!$A31=8),IF(OR(WEEKDAY('Daily Schedule'!$B$2,2)=1,WEEKDAY('Daily Schedule'!$B$2,2)=4,WEEKDAY('Daily Schedule'!$B$2,2)=5,WEEKDAY('Daily Schedule'!$B$2,2)=7),IFERROR(1*'Daily Workforce'!$K188&gt;=3,FALSE()),IFERROR(1*'Daily Workforce'!$K188&gt;=2,FALSE())),IF(AND('Daily Schedule'!$A31&gt;=46,'Daily Schedule'!$A31&lt;=52),'Daily Workforce'!$M188="Y",IFERROR(1*'Daily Workforce'!$P188&gt;=2,FALSE()))))),1,0)</f>
        <v>0</v>
      </c>
      <c r="GR27" s="1" t="n">
        <f aca="false">IF(AND('Daily Workforce'!$N189="Y",'Daily Workforce'!$B189&lt;&gt;"",COUNTIF('Daily Schedule'!$F$5:$F30,'Daily Workforce'!$B189)=0,IF('Daily Schedule'!$A31=45,'Daily Workforce'!$J189="Y",IF(OR('Daily Schedule'!$A31=4,'Daily Schedule'!$A31=8),IF(OR(WEEKDAY('Daily Schedule'!$B$2,2)=1,WEEKDAY('Daily Schedule'!$B$2,2)=4,WEEKDAY('Daily Schedule'!$B$2,2)=5,WEEKDAY('Daily Schedule'!$B$2,2)=7),IFERROR(1*'Daily Workforce'!$K189&gt;=3,FALSE()),IFERROR(1*'Daily Workforce'!$K189&gt;=2,FALSE())),IF(AND('Daily Schedule'!$A31&gt;=46,'Daily Schedule'!$A31&lt;=52),'Daily Workforce'!$M189="Y",IFERROR(1*'Daily Workforce'!$P189&gt;=2,FALSE()))))),1,0)</f>
        <v>0</v>
      </c>
      <c r="GS27" s="1" t="n">
        <f aca="false">IF(AND('Daily Workforce'!$N190="Y",'Daily Workforce'!$B190&lt;&gt;"",COUNTIF('Daily Schedule'!$F$5:$F30,'Daily Workforce'!$B190)=0,IF('Daily Schedule'!$A31=45,'Daily Workforce'!$J190="Y",IF(OR('Daily Schedule'!$A31=4,'Daily Schedule'!$A31=8),IF(OR(WEEKDAY('Daily Schedule'!$B$2,2)=1,WEEKDAY('Daily Schedule'!$B$2,2)=4,WEEKDAY('Daily Schedule'!$B$2,2)=5,WEEKDAY('Daily Schedule'!$B$2,2)=7),IFERROR(1*'Daily Workforce'!$K190&gt;=3,FALSE()),IFERROR(1*'Daily Workforce'!$K190&gt;=2,FALSE())),IF(AND('Daily Schedule'!$A31&gt;=46,'Daily Schedule'!$A31&lt;=52),'Daily Workforce'!$M190="Y",IFERROR(1*'Daily Workforce'!$P190&gt;=2,FALSE()))))),1,0)</f>
        <v>0</v>
      </c>
      <c r="GT27" s="1" t="n">
        <f aca="false">IF(AND('Daily Workforce'!$N191="Y",'Daily Workforce'!$B191&lt;&gt;"",COUNTIF('Daily Schedule'!$F$5:$F30,'Daily Workforce'!$B191)=0,IF('Daily Schedule'!$A31=45,'Daily Workforce'!$J191="Y",IF(OR('Daily Schedule'!$A31=4,'Daily Schedule'!$A31=8),IF(OR(WEEKDAY('Daily Schedule'!$B$2,2)=1,WEEKDAY('Daily Schedule'!$B$2,2)=4,WEEKDAY('Daily Schedule'!$B$2,2)=5,WEEKDAY('Daily Schedule'!$B$2,2)=7),IFERROR(1*'Daily Workforce'!$K191&gt;=3,FALSE()),IFERROR(1*'Daily Workforce'!$K191&gt;=2,FALSE())),IF(AND('Daily Schedule'!$A31&gt;=46,'Daily Schedule'!$A31&lt;=52),'Daily Workforce'!$M191="Y",IFERROR(1*'Daily Workforce'!$P191&gt;=2,FALSE()))))),1,0)</f>
        <v>0</v>
      </c>
      <c r="GU27" s="1" t="n">
        <f aca="false">IF(AND('Daily Workforce'!$N192="Y",'Daily Workforce'!$B192&lt;&gt;"",COUNTIF('Daily Schedule'!$F$5:$F30,'Daily Workforce'!$B192)=0,IF('Daily Schedule'!$A31=45,'Daily Workforce'!$J192="Y",IF(OR('Daily Schedule'!$A31=4,'Daily Schedule'!$A31=8),IF(OR(WEEKDAY('Daily Schedule'!$B$2,2)=1,WEEKDAY('Daily Schedule'!$B$2,2)=4,WEEKDAY('Daily Schedule'!$B$2,2)=5,WEEKDAY('Daily Schedule'!$B$2,2)=7),IFERROR(1*'Daily Workforce'!$K192&gt;=3,FALSE()),IFERROR(1*'Daily Workforce'!$K192&gt;=2,FALSE())),IF(AND('Daily Schedule'!$A31&gt;=46,'Daily Schedule'!$A31&lt;=52),'Daily Workforce'!$M192="Y",IFERROR(1*'Daily Workforce'!$P192&gt;=2,FALSE()))))),1,0)</f>
        <v>0</v>
      </c>
      <c r="GV27" s="1" t="n">
        <f aca="false">IF(AND('Daily Workforce'!$N193="Y",'Daily Workforce'!$B193&lt;&gt;"",COUNTIF('Daily Schedule'!$F$5:$F30,'Daily Workforce'!$B193)=0,IF('Daily Schedule'!$A31=45,'Daily Workforce'!$J193="Y",IF(OR('Daily Schedule'!$A31=4,'Daily Schedule'!$A31=8),IF(OR(WEEKDAY('Daily Schedule'!$B$2,2)=1,WEEKDAY('Daily Schedule'!$B$2,2)=4,WEEKDAY('Daily Schedule'!$B$2,2)=5,WEEKDAY('Daily Schedule'!$B$2,2)=7),IFERROR(1*'Daily Workforce'!$K193&gt;=3,FALSE()),IFERROR(1*'Daily Workforce'!$K193&gt;=2,FALSE())),IF(AND('Daily Schedule'!$A31&gt;=46,'Daily Schedule'!$A31&lt;=52),'Daily Workforce'!$M193="Y",IFERROR(1*'Daily Workforce'!$P193&gt;=2,FALSE()))))),1,0)</f>
        <v>0</v>
      </c>
      <c r="GW27" s="1" t="n">
        <f aca="false">IF(AND('Daily Workforce'!$N194="Y",'Daily Workforce'!$B194&lt;&gt;"",COUNTIF('Daily Schedule'!$F$5:$F30,'Daily Workforce'!$B194)=0,IF('Daily Schedule'!$A31=45,'Daily Workforce'!$J194="Y",IF(OR('Daily Schedule'!$A31=4,'Daily Schedule'!$A31=8),IF(OR(WEEKDAY('Daily Schedule'!$B$2,2)=1,WEEKDAY('Daily Schedule'!$B$2,2)=4,WEEKDAY('Daily Schedule'!$B$2,2)=5,WEEKDAY('Daily Schedule'!$B$2,2)=7),IFERROR(1*'Daily Workforce'!$K194&gt;=3,FALSE()),IFERROR(1*'Daily Workforce'!$K194&gt;=2,FALSE())),IF(AND('Daily Schedule'!$A31&gt;=46,'Daily Schedule'!$A31&lt;=52),'Daily Workforce'!$M194="Y",IFERROR(1*'Daily Workforce'!$P194&gt;=2,FALSE()))))),1,0)</f>
        <v>0</v>
      </c>
      <c r="GX27" s="1" t="n">
        <f aca="false">IF(AND('Daily Workforce'!$N195="Y",'Daily Workforce'!$B195&lt;&gt;"",COUNTIF('Daily Schedule'!$F$5:$F30,'Daily Workforce'!$B195)=0,IF('Daily Schedule'!$A31=45,'Daily Workforce'!$J195="Y",IF(OR('Daily Schedule'!$A31=4,'Daily Schedule'!$A31=8),IF(OR(WEEKDAY('Daily Schedule'!$B$2,2)=1,WEEKDAY('Daily Schedule'!$B$2,2)=4,WEEKDAY('Daily Schedule'!$B$2,2)=5,WEEKDAY('Daily Schedule'!$B$2,2)=7),IFERROR(1*'Daily Workforce'!$K195&gt;=3,FALSE()),IFERROR(1*'Daily Workforce'!$K195&gt;=2,FALSE())),IF(AND('Daily Schedule'!$A31&gt;=46,'Daily Schedule'!$A31&lt;=52),'Daily Workforce'!$M195="Y",IFERROR(1*'Daily Workforce'!$P195&gt;=2,FALSE()))))),1,0)</f>
        <v>0</v>
      </c>
      <c r="GY27" s="1" t="n">
        <f aca="false">IF(AND('Daily Workforce'!$N196="Y",'Daily Workforce'!$B196&lt;&gt;"",COUNTIF('Daily Schedule'!$F$5:$F30,'Daily Workforce'!$B196)=0,IF('Daily Schedule'!$A31=45,'Daily Workforce'!$J196="Y",IF(OR('Daily Schedule'!$A31=4,'Daily Schedule'!$A31=8),IF(OR(WEEKDAY('Daily Schedule'!$B$2,2)=1,WEEKDAY('Daily Schedule'!$B$2,2)=4,WEEKDAY('Daily Schedule'!$B$2,2)=5,WEEKDAY('Daily Schedule'!$B$2,2)=7),IFERROR(1*'Daily Workforce'!$K196&gt;=3,FALSE()),IFERROR(1*'Daily Workforce'!$K196&gt;=2,FALSE())),IF(AND('Daily Schedule'!$A31&gt;=46,'Daily Schedule'!$A31&lt;=52),'Daily Workforce'!$M196="Y",IFERROR(1*'Daily Workforce'!$P196&gt;=2,FALSE()))))),1,0)</f>
        <v>0</v>
      </c>
      <c r="GZ27" s="1" t="n">
        <f aca="false">IF(AND('Daily Workforce'!$N197="Y",'Daily Workforce'!$B197&lt;&gt;"",COUNTIF('Daily Schedule'!$F$5:$F30,'Daily Workforce'!$B197)=0,IF('Daily Schedule'!$A31=45,'Daily Workforce'!$J197="Y",IF(OR('Daily Schedule'!$A31=4,'Daily Schedule'!$A31=8),IF(OR(WEEKDAY('Daily Schedule'!$B$2,2)=1,WEEKDAY('Daily Schedule'!$B$2,2)=4,WEEKDAY('Daily Schedule'!$B$2,2)=5,WEEKDAY('Daily Schedule'!$B$2,2)=7),IFERROR(1*'Daily Workforce'!$K197&gt;=3,FALSE()),IFERROR(1*'Daily Workforce'!$K197&gt;=2,FALSE())),IF(AND('Daily Schedule'!$A31&gt;=46,'Daily Schedule'!$A31&lt;=52),'Daily Workforce'!$M197="Y",IFERROR(1*'Daily Workforce'!$P197&gt;=2,FALSE()))))),1,0)</f>
        <v>0</v>
      </c>
      <c r="HA27" s="1" t="n">
        <f aca="false">IF(AND('Daily Workforce'!$N198="Y",'Daily Workforce'!$B198&lt;&gt;"",COUNTIF('Daily Schedule'!$F$5:$F30,'Daily Workforce'!$B198)=0,IF('Daily Schedule'!$A31=45,'Daily Workforce'!$J198="Y",IF(OR('Daily Schedule'!$A31=4,'Daily Schedule'!$A31=8),IF(OR(WEEKDAY('Daily Schedule'!$B$2,2)=1,WEEKDAY('Daily Schedule'!$B$2,2)=4,WEEKDAY('Daily Schedule'!$B$2,2)=5,WEEKDAY('Daily Schedule'!$B$2,2)=7),IFERROR(1*'Daily Workforce'!$K198&gt;=3,FALSE()),IFERROR(1*'Daily Workforce'!$K198&gt;=2,FALSE())),IF(AND('Daily Schedule'!$A31&gt;=46,'Daily Schedule'!$A31&lt;=52),'Daily Workforce'!$M198="Y",IFERROR(1*'Daily Workforce'!$P198&gt;=2,FALSE()))))),1,0)</f>
        <v>0</v>
      </c>
      <c r="HB27" s="1" t="n">
        <f aca="false">IF(AND('Daily Workforce'!$N199="Y",'Daily Workforce'!$B199&lt;&gt;"",COUNTIF('Daily Schedule'!$F$5:$F30,'Daily Workforce'!$B199)=0,IF('Daily Schedule'!$A31=45,'Daily Workforce'!$J199="Y",IF(OR('Daily Schedule'!$A31=4,'Daily Schedule'!$A31=8),IF(OR(WEEKDAY('Daily Schedule'!$B$2,2)=1,WEEKDAY('Daily Schedule'!$B$2,2)=4,WEEKDAY('Daily Schedule'!$B$2,2)=5,WEEKDAY('Daily Schedule'!$B$2,2)=7),IFERROR(1*'Daily Workforce'!$K199&gt;=3,FALSE()),IFERROR(1*'Daily Workforce'!$K199&gt;=2,FALSE())),IF(AND('Daily Schedule'!$A31&gt;=46,'Daily Schedule'!$A31&lt;=52),'Daily Workforce'!$M199="Y",IFERROR(1*'Daily Workforce'!$P199&gt;=2,FALSE()))))),1,0)</f>
        <v>0</v>
      </c>
      <c r="HC27" s="1" t="n">
        <f aca="false">IF(AND('Daily Workforce'!$N200="Y",'Daily Workforce'!$B200&lt;&gt;"",COUNTIF('Daily Schedule'!$F$5:$F30,'Daily Workforce'!$B200)=0,IF('Daily Schedule'!$A31=45,'Daily Workforce'!$J200="Y",IF(OR('Daily Schedule'!$A31=4,'Daily Schedule'!$A31=8),IF(OR(WEEKDAY('Daily Schedule'!$B$2,2)=1,WEEKDAY('Daily Schedule'!$B$2,2)=4,WEEKDAY('Daily Schedule'!$B$2,2)=5,WEEKDAY('Daily Schedule'!$B$2,2)=7),IFERROR(1*'Daily Workforce'!$K200&gt;=3,FALSE()),IFERROR(1*'Daily Workforce'!$K200&gt;=2,FALSE())),IF(AND('Daily Schedule'!$A31&gt;=46,'Daily Schedule'!$A31&lt;=52),'Daily Workforce'!$M200="Y",IFERROR(1*'Daily Workforce'!$P200&gt;=2,FALSE()))))),1,0)</f>
        <v>0</v>
      </c>
      <c r="HD27" s="1" t="n">
        <f aca="false">IF(AND('Daily Workforce'!$N201="Y",'Daily Workforce'!$B201&lt;&gt;"",COUNTIF('Daily Schedule'!$F$5:$F30,'Daily Workforce'!$B201)=0,IF('Daily Schedule'!$A31=45,'Daily Workforce'!$J201="Y",IF(OR('Daily Schedule'!$A31=4,'Daily Schedule'!$A31=8),IF(OR(WEEKDAY('Daily Schedule'!$B$2,2)=1,WEEKDAY('Daily Schedule'!$B$2,2)=4,WEEKDAY('Daily Schedule'!$B$2,2)=5,WEEKDAY('Daily Schedule'!$B$2,2)=7),IFERROR(1*'Daily Workforce'!$K201&gt;=3,FALSE()),IFERROR(1*'Daily Workforce'!$K201&gt;=2,FALSE())),IF(AND('Daily Schedule'!$A31&gt;=46,'Daily Schedule'!$A31&lt;=52),'Daily Workforce'!$M201="Y",IFERROR(1*'Daily Workforce'!$P201&gt;=2,FALSE()))))),1,0)</f>
        <v>0</v>
      </c>
      <c r="HE27" s="1" t="n">
        <f aca="false">IF(AND('Daily Workforce'!$N202="Y",'Daily Workforce'!$B202&lt;&gt;"",COUNTIF('Daily Schedule'!$F$5:$F30,'Daily Workforce'!$B202)=0,IF('Daily Schedule'!$A31=45,'Daily Workforce'!$J202="Y",IF(OR('Daily Schedule'!$A31=4,'Daily Schedule'!$A31=8),IF(OR(WEEKDAY('Daily Schedule'!$B$2,2)=1,WEEKDAY('Daily Schedule'!$B$2,2)=4,WEEKDAY('Daily Schedule'!$B$2,2)=5,WEEKDAY('Daily Schedule'!$B$2,2)=7),IFERROR(1*'Daily Workforce'!$K202&gt;=3,FALSE()),IFERROR(1*'Daily Workforce'!$K202&gt;=2,FALSE())),IF(AND('Daily Schedule'!$A31&gt;=46,'Daily Schedule'!$A31&lt;=52),'Daily Workforce'!$M202="Y",IFERROR(1*'Daily Workforce'!$P202&gt;=2,FALSE()))))),1,0)</f>
        <v>0</v>
      </c>
      <c r="HF27" s="1" t="n">
        <f aca="false">IF(AND('Daily Workforce'!$N203="Y",'Daily Workforce'!$B203&lt;&gt;"",COUNTIF('Daily Schedule'!$F$5:$F30,'Daily Workforce'!$B203)=0,IF('Daily Schedule'!$A31=45,'Daily Workforce'!$J203="Y",IF(OR('Daily Schedule'!$A31=4,'Daily Schedule'!$A31=8),IF(OR(WEEKDAY('Daily Schedule'!$B$2,2)=1,WEEKDAY('Daily Schedule'!$B$2,2)=4,WEEKDAY('Daily Schedule'!$B$2,2)=5,WEEKDAY('Daily Schedule'!$B$2,2)=7),IFERROR(1*'Daily Workforce'!$K203&gt;=3,FALSE()),IFERROR(1*'Daily Workforce'!$K203&gt;=2,FALSE())),IF(AND('Daily Schedule'!$A31&gt;=46,'Daily Schedule'!$A31&lt;=52),'Daily Workforce'!$M203="Y",IFERROR(1*'Daily Workforce'!$P203&gt;=2,FALSE()))))),1,0)</f>
        <v>0</v>
      </c>
      <c r="HG27" s="1" t="n">
        <f aca="false">IF(AND('Daily Workforce'!$N204="Y",'Daily Workforce'!$B204&lt;&gt;"",COUNTIF('Daily Schedule'!$F$5:$F30,'Daily Workforce'!$B204)=0,IF('Daily Schedule'!$A31=45,'Daily Workforce'!$J204="Y",IF(OR('Daily Schedule'!$A31=4,'Daily Schedule'!$A31=8),IF(OR(WEEKDAY('Daily Schedule'!$B$2,2)=1,WEEKDAY('Daily Schedule'!$B$2,2)=4,WEEKDAY('Daily Schedule'!$B$2,2)=5,WEEKDAY('Daily Schedule'!$B$2,2)=7),IFERROR(1*'Daily Workforce'!$K204&gt;=3,FALSE()),IFERROR(1*'Daily Workforce'!$K204&gt;=2,FALSE())),IF(AND('Daily Schedule'!$A31&gt;=46,'Daily Schedule'!$A31&lt;=52),'Daily Workforce'!$M204="Y",IFERROR(1*'Daily Workforce'!$P204&gt;=2,FALSE()))))),1,0)</f>
        <v>0</v>
      </c>
      <c r="HH27" s="1" t="n">
        <f aca="false">IF(AND('Daily Workforce'!$N205="Y",'Daily Workforce'!$B205&lt;&gt;"",COUNTIF('Daily Schedule'!$F$5:$F30,'Daily Workforce'!$B205)=0,IF('Daily Schedule'!$A31=45,'Daily Workforce'!$J205="Y",IF(OR('Daily Schedule'!$A31=4,'Daily Schedule'!$A31=8),IF(OR(WEEKDAY('Daily Schedule'!$B$2,2)=1,WEEKDAY('Daily Schedule'!$B$2,2)=4,WEEKDAY('Daily Schedule'!$B$2,2)=5,WEEKDAY('Daily Schedule'!$B$2,2)=7),IFERROR(1*'Daily Workforce'!$K205&gt;=3,FALSE()),IFERROR(1*'Daily Workforce'!$K205&gt;=2,FALSE())),IF(AND('Daily Schedule'!$A31&gt;=46,'Daily Schedule'!$A31&lt;=52),'Daily Workforce'!$M205="Y",IFERROR(1*'Daily Workforce'!$P205&gt;=2,FALSE()))))),1,0)</f>
        <v>0</v>
      </c>
    </row>
    <row r="28" customFormat="false" ht="15" hidden="false" customHeight="true" outlineLevel="0" collapsed="false">
      <c r="L28" s="1" t="s">
        <v>481</v>
      </c>
      <c r="O28" s="1" t="str">
        <f aca="false">IF(AND('Employee Master'!$G28="Y",ISERROR(SEARCH(TEXT('Daily Workforce'!$B$2,"ddd"),'Employee Master'!$D28)),IF('Daily Workforce'!$E$2="",TRUE(),'Employee Master'!$I28='Daily Workforce'!$E$2)),'Employee Master'!$K28*1000+ROW()-1,"")</f>
        <v/>
      </c>
      <c r="P28" s="1" t="str">
        <f aca="false">IF($O28="","",COUNTIF($O$2:$O$159,"&lt;="&amp;$O28))</f>
        <v/>
      </c>
      <c r="Q28" s="1" t="n">
        <f aca="false">IF(AND('Daily Workforce'!$N6="Y",'Daily Workforce'!$B6&lt;&gt;"",COUNTIF('Daily Schedule'!$F$5:$F31,'Daily Workforce'!$B6)=0,IF('Daily Schedule'!$A32=45,'Daily Workforce'!$J6="Y",IF(OR('Daily Schedule'!$A32=4,'Daily Schedule'!$A32=8),IF(OR(WEEKDAY('Daily Schedule'!$B$2,2)=1,WEEKDAY('Daily Schedule'!$B$2,2)=4,WEEKDAY('Daily Schedule'!$B$2,2)=5,WEEKDAY('Daily Schedule'!$B$2,2)=7),IFERROR(1*'Daily Workforce'!$K6&gt;=3,FALSE()),IFERROR(1*'Daily Workforce'!$K6&gt;=2,FALSE())),IF(AND('Daily Schedule'!$A32&gt;=46,'Daily Schedule'!$A32&lt;=52),'Daily Workforce'!$M6="Y",IFERROR(1*'Daily Workforce'!$P6&gt;=2,FALSE()))))),1,0)</f>
        <v>0</v>
      </c>
      <c r="R28" s="1" t="n">
        <f aca="false">IF(AND('Daily Workforce'!$N7="Y",'Daily Workforce'!$B7&lt;&gt;"",COUNTIF('Daily Schedule'!$F$5:$F31,'Daily Workforce'!$B7)=0,IF('Daily Schedule'!$A32=45,'Daily Workforce'!$J7="Y",IF(OR('Daily Schedule'!$A32=4,'Daily Schedule'!$A32=8),IF(OR(WEEKDAY('Daily Schedule'!$B$2,2)=1,WEEKDAY('Daily Schedule'!$B$2,2)=4,WEEKDAY('Daily Schedule'!$B$2,2)=5,WEEKDAY('Daily Schedule'!$B$2,2)=7),IFERROR(1*'Daily Workforce'!$K7&gt;=3,FALSE()),IFERROR(1*'Daily Workforce'!$K7&gt;=2,FALSE())),IF(AND('Daily Schedule'!$A32&gt;=46,'Daily Schedule'!$A32&lt;=52),'Daily Workforce'!$M7="Y",IFERROR(1*'Daily Workforce'!$P7&gt;=2,FALSE()))))),1,0)</f>
        <v>0</v>
      </c>
      <c r="S28" s="1" t="n">
        <f aca="false">IF(AND('Daily Workforce'!$N8="Y",'Daily Workforce'!$B8&lt;&gt;"",COUNTIF('Daily Schedule'!$F$5:$F31,'Daily Workforce'!$B8)=0,IF('Daily Schedule'!$A32=45,'Daily Workforce'!$J8="Y",IF(OR('Daily Schedule'!$A32=4,'Daily Schedule'!$A32=8),IF(OR(WEEKDAY('Daily Schedule'!$B$2,2)=1,WEEKDAY('Daily Schedule'!$B$2,2)=4,WEEKDAY('Daily Schedule'!$B$2,2)=5,WEEKDAY('Daily Schedule'!$B$2,2)=7),IFERROR(1*'Daily Workforce'!$K8&gt;=3,FALSE()),IFERROR(1*'Daily Workforce'!$K8&gt;=2,FALSE())),IF(AND('Daily Schedule'!$A32&gt;=46,'Daily Schedule'!$A32&lt;=52),'Daily Workforce'!$M8="Y",IFERROR(1*'Daily Workforce'!$P8&gt;=2,FALSE()))))),1,0)</f>
        <v>0</v>
      </c>
      <c r="T28" s="1" t="n">
        <f aca="false">IF(AND('Daily Workforce'!$N9="Y",'Daily Workforce'!$B9&lt;&gt;"",COUNTIF('Daily Schedule'!$F$5:$F31,'Daily Workforce'!$B9)=0,IF('Daily Schedule'!$A32=45,'Daily Workforce'!$J9="Y",IF(OR('Daily Schedule'!$A32=4,'Daily Schedule'!$A32=8),IF(OR(WEEKDAY('Daily Schedule'!$B$2,2)=1,WEEKDAY('Daily Schedule'!$B$2,2)=4,WEEKDAY('Daily Schedule'!$B$2,2)=5,WEEKDAY('Daily Schedule'!$B$2,2)=7),IFERROR(1*'Daily Workforce'!$K9&gt;=3,FALSE()),IFERROR(1*'Daily Workforce'!$K9&gt;=2,FALSE())),IF(AND('Daily Schedule'!$A32&gt;=46,'Daily Schedule'!$A32&lt;=52),'Daily Workforce'!$M9="Y",IFERROR(1*'Daily Workforce'!$P9&gt;=2,FALSE()))))),1,0)</f>
        <v>0</v>
      </c>
      <c r="U28" s="1" t="n">
        <f aca="false">IF(AND('Daily Workforce'!$N10="Y",'Daily Workforce'!$B10&lt;&gt;"",COUNTIF('Daily Schedule'!$F$5:$F31,'Daily Workforce'!$B10)=0,IF('Daily Schedule'!$A32=45,'Daily Workforce'!$J10="Y",IF(OR('Daily Schedule'!$A32=4,'Daily Schedule'!$A32=8),IF(OR(WEEKDAY('Daily Schedule'!$B$2,2)=1,WEEKDAY('Daily Schedule'!$B$2,2)=4,WEEKDAY('Daily Schedule'!$B$2,2)=5,WEEKDAY('Daily Schedule'!$B$2,2)=7),IFERROR(1*'Daily Workforce'!$K10&gt;=3,FALSE()),IFERROR(1*'Daily Workforce'!$K10&gt;=2,FALSE())),IF(AND('Daily Schedule'!$A32&gt;=46,'Daily Schedule'!$A32&lt;=52),'Daily Workforce'!$M10="Y",IFERROR(1*'Daily Workforce'!$P10&gt;=2,FALSE()))))),1,0)</f>
        <v>0</v>
      </c>
      <c r="V28" s="1" t="n">
        <f aca="false">IF(AND('Daily Workforce'!$N11="Y",'Daily Workforce'!$B11&lt;&gt;"",COUNTIF('Daily Schedule'!$F$5:$F31,'Daily Workforce'!$B11)=0,IF('Daily Schedule'!$A32=45,'Daily Workforce'!$J11="Y",IF(OR('Daily Schedule'!$A32=4,'Daily Schedule'!$A32=8),IF(OR(WEEKDAY('Daily Schedule'!$B$2,2)=1,WEEKDAY('Daily Schedule'!$B$2,2)=4,WEEKDAY('Daily Schedule'!$B$2,2)=5,WEEKDAY('Daily Schedule'!$B$2,2)=7),IFERROR(1*'Daily Workforce'!$K11&gt;=3,FALSE()),IFERROR(1*'Daily Workforce'!$K11&gt;=2,FALSE())),IF(AND('Daily Schedule'!$A32&gt;=46,'Daily Schedule'!$A32&lt;=52),'Daily Workforce'!$M11="Y",IFERROR(1*'Daily Workforce'!$P11&gt;=2,FALSE()))))),1,0)</f>
        <v>0</v>
      </c>
      <c r="W28" s="1" t="n">
        <f aca="false">IF(AND('Daily Workforce'!$N12="Y",'Daily Workforce'!$B12&lt;&gt;"",COUNTIF('Daily Schedule'!$F$5:$F31,'Daily Workforce'!$B12)=0,IF('Daily Schedule'!$A32=45,'Daily Workforce'!$J12="Y",IF(OR('Daily Schedule'!$A32=4,'Daily Schedule'!$A32=8),IF(OR(WEEKDAY('Daily Schedule'!$B$2,2)=1,WEEKDAY('Daily Schedule'!$B$2,2)=4,WEEKDAY('Daily Schedule'!$B$2,2)=5,WEEKDAY('Daily Schedule'!$B$2,2)=7),IFERROR(1*'Daily Workforce'!$K12&gt;=3,FALSE()),IFERROR(1*'Daily Workforce'!$K12&gt;=2,FALSE())),IF(AND('Daily Schedule'!$A32&gt;=46,'Daily Schedule'!$A32&lt;=52),'Daily Workforce'!$M12="Y",IFERROR(1*'Daily Workforce'!$P12&gt;=2,FALSE()))))),1,0)</f>
        <v>0</v>
      </c>
      <c r="X28" s="1" t="n">
        <f aca="false">IF(AND('Daily Workforce'!$N13="Y",'Daily Workforce'!$B13&lt;&gt;"",COUNTIF('Daily Schedule'!$F$5:$F31,'Daily Workforce'!$B13)=0,IF('Daily Schedule'!$A32=45,'Daily Workforce'!$J13="Y",IF(OR('Daily Schedule'!$A32=4,'Daily Schedule'!$A32=8),IF(OR(WEEKDAY('Daily Schedule'!$B$2,2)=1,WEEKDAY('Daily Schedule'!$B$2,2)=4,WEEKDAY('Daily Schedule'!$B$2,2)=5,WEEKDAY('Daily Schedule'!$B$2,2)=7),IFERROR(1*'Daily Workforce'!$K13&gt;=3,FALSE()),IFERROR(1*'Daily Workforce'!$K13&gt;=2,FALSE())),IF(AND('Daily Schedule'!$A32&gt;=46,'Daily Schedule'!$A32&lt;=52),'Daily Workforce'!$M13="Y",IFERROR(1*'Daily Workforce'!$P13&gt;=2,FALSE()))))),1,0)</f>
        <v>0</v>
      </c>
      <c r="Y28" s="1" t="n">
        <f aca="false">IF(AND('Daily Workforce'!$N14="Y",'Daily Workforce'!$B14&lt;&gt;"",COUNTIF('Daily Schedule'!$F$5:$F31,'Daily Workforce'!$B14)=0,IF('Daily Schedule'!$A32=45,'Daily Workforce'!$J14="Y",IF(OR('Daily Schedule'!$A32=4,'Daily Schedule'!$A32=8),IF(OR(WEEKDAY('Daily Schedule'!$B$2,2)=1,WEEKDAY('Daily Schedule'!$B$2,2)=4,WEEKDAY('Daily Schedule'!$B$2,2)=5,WEEKDAY('Daily Schedule'!$B$2,2)=7),IFERROR(1*'Daily Workforce'!$K14&gt;=3,FALSE()),IFERROR(1*'Daily Workforce'!$K14&gt;=2,FALSE())),IF(AND('Daily Schedule'!$A32&gt;=46,'Daily Schedule'!$A32&lt;=52),'Daily Workforce'!$M14="Y",IFERROR(1*'Daily Workforce'!$P14&gt;=2,FALSE()))))),1,0)</f>
        <v>0</v>
      </c>
      <c r="Z28" s="1" t="n">
        <f aca="false">IF(AND('Daily Workforce'!$N15="Y",'Daily Workforce'!$B15&lt;&gt;"",COUNTIF('Daily Schedule'!$F$5:$F31,'Daily Workforce'!$B15)=0,IF('Daily Schedule'!$A32=45,'Daily Workforce'!$J15="Y",IF(OR('Daily Schedule'!$A32=4,'Daily Schedule'!$A32=8),IF(OR(WEEKDAY('Daily Schedule'!$B$2,2)=1,WEEKDAY('Daily Schedule'!$B$2,2)=4,WEEKDAY('Daily Schedule'!$B$2,2)=5,WEEKDAY('Daily Schedule'!$B$2,2)=7),IFERROR(1*'Daily Workforce'!$K15&gt;=3,FALSE()),IFERROR(1*'Daily Workforce'!$K15&gt;=2,FALSE())),IF(AND('Daily Schedule'!$A32&gt;=46,'Daily Schedule'!$A32&lt;=52),'Daily Workforce'!$M15="Y",IFERROR(1*'Daily Workforce'!$P15&gt;=2,FALSE()))))),1,0)</f>
        <v>0</v>
      </c>
      <c r="AA28" s="1" t="n">
        <f aca="false">IF(AND('Daily Workforce'!$N16="Y",'Daily Workforce'!$B16&lt;&gt;"",COUNTIF('Daily Schedule'!$F$5:$F31,'Daily Workforce'!$B16)=0,IF('Daily Schedule'!$A32=45,'Daily Workforce'!$J16="Y",IF(OR('Daily Schedule'!$A32=4,'Daily Schedule'!$A32=8),IF(OR(WEEKDAY('Daily Schedule'!$B$2,2)=1,WEEKDAY('Daily Schedule'!$B$2,2)=4,WEEKDAY('Daily Schedule'!$B$2,2)=5,WEEKDAY('Daily Schedule'!$B$2,2)=7),IFERROR(1*'Daily Workforce'!$K16&gt;=3,FALSE()),IFERROR(1*'Daily Workforce'!$K16&gt;=2,FALSE())),IF(AND('Daily Schedule'!$A32&gt;=46,'Daily Schedule'!$A32&lt;=52),'Daily Workforce'!$M16="Y",IFERROR(1*'Daily Workforce'!$P16&gt;=2,FALSE()))))),1,0)</f>
        <v>0</v>
      </c>
      <c r="AB28" s="1" t="n">
        <f aca="false">IF(AND('Daily Workforce'!$N17="Y",'Daily Workforce'!$B17&lt;&gt;"",COUNTIF('Daily Schedule'!$F$5:$F31,'Daily Workforce'!$B17)=0,IF('Daily Schedule'!$A32=45,'Daily Workforce'!$J17="Y",IF(OR('Daily Schedule'!$A32=4,'Daily Schedule'!$A32=8),IF(OR(WEEKDAY('Daily Schedule'!$B$2,2)=1,WEEKDAY('Daily Schedule'!$B$2,2)=4,WEEKDAY('Daily Schedule'!$B$2,2)=5,WEEKDAY('Daily Schedule'!$B$2,2)=7),IFERROR(1*'Daily Workforce'!$K17&gt;=3,FALSE()),IFERROR(1*'Daily Workforce'!$K17&gt;=2,FALSE())),IF(AND('Daily Schedule'!$A32&gt;=46,'Daily Schedule'!$A32&lt;=52),'Daily Workforce'!$M17="Y",IFERROR(1*'Daily Workforce'!$P17&gt;=2,FALSE()))))),1,0)</f>
        <v>0</v>
      </c>
      <c r="AC28" s="1" t="n">
        <f aca="false">IF(AND('Daily Workforce'!$N18="Y",'Daily Workforce'!$B18&lt;&gt;"",COUNTIF('Daily Schedule'!$F$5:$F31,'Daily Workforce'!$B18)=0,IF('Daily Schedule'!$A32=45,'Daily Workforce'!$J18="Y",IF(OR('Daily Schedule'!$A32=4,'Daily Schedule'!$A32=8),IF(OR(WEEKDAY('Daily Schedule'!$B$2,2)=1,WEEKDAY('Daily Schedule'!$B$2,2)=4,WEEKDAY('Daily Schedule'!$B$2,2)=5,WEEKDAY('Daily Schedule'!$B$2,2)=7),IFERROR(1*'Daily Workforce'!$K18&gt;=3,FALSE()),IFERROR(1*'Daily Workforce'!$K18&gt;=2,FALSE())),IF(AND('Daily Schedule'!$A32&gt;=46,'Daily Schedule'!$A32&lt;=52),'Daily Workforce'!$M18="Y",IFERROR(1*'Daily Workforce'!$P18&gt;=2,FALSE()))))),1,0)</f>
        <v>0</v>
      </c>
      <c r="AD28" s="1" t="n">
        <f aca="false">IF(AND('Daily Workforce'!$N19="Y",'Daily Workforce'!$B19&lt;&gt;"",COUNTIF('Daily Schedule'!$F$5:$F31,'Daily Workforce'!$B19)=0,IF('Daily Schedule'!$A32=45,'Daily Workforce'!$J19="Y",IF(OR('Daily Schedule'!$A32=4,'Daily Schedule'!$A32=8),IF(OR(WEEKDAY('Daily Schedule'!$B$2,2)=1,WEEKDAY('Daily Schedule'!$B$2,2)=4,WEEKDAY('Daily Schedule'!$B$2,2)=5,WEEKDAY('Daily Schedule'!$B$2,2)=7),IFERROR(1*'Daily Workforce'!$K19&gt;=3,FALSE()),IFERROR(1*'Daily Workforce'!$K19&gt;=2,FALSE())),IF(AND('Daily Schedule'!$A32&gt;=46,'Daily Schedule'!$A32&lt;=52),'Daily Workforce'!$M19="Y",IFERROR(1*'Daily Workforce'!$P19&gt;=2,FALSE()))))),1,0)</f>
        <v>0</v>
      </c>
      <c r="AE28" s="1" t="n">
        <f aca="false">IF(AND('Daily Workforce'!$N20="Y",'Daily Workforce'!$B20&lt;&gt;"",COUNTIF('Daily Schedule'!$F$5:$F31,'Daily Workforce'!$B20)=0,IF('Daily Schedule'!$A32=45,'Daily Workforce'!$J20="Y",IF(OR('Daily Schedule'!$A32=4,'Daily Schedule'!$A32=8),IF(OR(WEEKDAY('Daily Schedule'!$B$2,2)=1,WEEKDAY('Daily Schedule'!$B$2,2)=4,WEEKDAY('Daily Schedule'!$B$2,2)=5,WEEKDAY('Daily Schedule'!$B$2,2)=7),IFERROR(1*'Daily Workforce'!$K20&gt;=3,FALSE()),IFERROR(1*'Daily Workforce'!$K20&gt;=2,FALSE())),IF(AND('Daily Schedule'!$A32&gt;=46,'Daily Schedule'!$A32&lt;=52),'Daily Workforce'!$M20="Y",IFERROR(1*'Daily Workforce'!$P20&gt;=2,FALSE()))))),1,0)</f>
        <v>0</v>
      </c>
      <c r="AF28" s="1" t="n">
        <f aca="false">IF(AND('Daily Workforce'!$N21="Y",'Daily Workforce'!$B21&lt;&gt;"",COUNTIF('Daily Schedule'!$F$5:$F31,'Daily Workforce'!$B21)=0,IF('Daily Schedule'!$A32=45,'Daily Workforce'!$J21="Y",IF(OR('Daily Schedule'!$A32=4,'Daily Schedule'!$A32=8),IF(OR(WEEKDAY('Daily Schedule'!$B$2,2)=1,WEEKDAY('Daily Schedule'!$B$2,2)=4,WEEKDAY('Daily Schedule'!$B$2,2)=5,WEEKDAY('Daily Schedule'!$B$2,2)=7),IFERROR(1*'Daily Workforce'!$K21&gt;=3,FALSE()),IFERROR(1*'Daily Workforce'!$K21&gt;=2,FALSE())),IF(AND('Daily Schedule'!$A32&gt;=46,'Daily Schedule'!$A32&lt;=52),'Daily Workforce'!$M21="Y",IFERROR(1*'Daily Workforce'!$P21&gt;=2,FALSE()))))),1,0)</f>
        <v>0</v>
      </c>
      <c r="AG28" s="1" t="n">
        <f aca="false">IF(AND('Daily Workforce'!$N22="Y",'Daily Workforce'!$B22&lt;&gt;"",COUNTIF('Daily Schedule'!$F$5:$F31,'Daily Workforce'!$B22)=0,IF('Daily Schedule'!$A32=45,'Daily Workforce'!$J22="Y",IF(OR('Daily Schedule'!$A32=4,'Daily Schedule'!$A32=8),IF(OR(WEEKDAY('Daily Schedule'!$B$2,2)=1,WEEKDAY('Daily Schedule'!$B$2,2)=4,WEEKDAY('Daily Schedule'!$B$2,2)=5,WEEKDAY('Daily Schedule'!$B$2,2)=7),IFERROR(1*'Daily Workforce'!$K22&gt;=3,FALSE()),IFERROR(1*'Daily Workforce'!$K22&gt;=2,FALSE())),IF(AND('Daily Schedule'!$A32&gt;=46,'Daily Schedule'!$A32&lt;=52),'Daily Workforce'!$M22="Y",IFERROR(1*'Daily Workforce'!$P22&gt;=2,FALSE()))))),1,0)</f>
        <v>0</v>
      </c>
      <c r="AH28" s="1" t="n">
        <f aca="false">IF(AND('Daily Workforce'!$N23="Y",'Daily Workforce'!$B23&lt;&gt;"",COUNTIF('Daily Schedule'!$F$5:$F31,'Daily Workforce'!$B23)=0,IF('Daily Schedule'!$A32=45,'Daily Workforce'!$J23="Y",IF(OR('Daily Schedule'!$A32=4,'Daily Schedule'!$A32=8),IF(OR(WEEKDAY('Daily Schedule'!$B$2,2)=1,WEEKDAY('Daily Schedule'!$B$2,2)=4,WEEKDAY('Daily Schedule'!$B$2,2)=5,WEEKDAY('Daily Schedule'!$B$2,2)=7),IFERROR(1*'Daily Workforce'!$K23&gt;=3,FALSE()),IFERROR(1*'Daily Workforce'!$K23&gt;=2,FALSE())),IF(AND('Daily Schedule'!$A32&gt;=46,'Daily Schedule'!$A32&lt;=52),'Daily Workforce'!$M23="Y",IFERROR(1*'Daily Workforce'!$P23&gt;=2,FALSE()))))),1,0)</f>
        <v>0</v>
      </c>
      <c r="AI28" s="1" t="n">
        <f aca="false">IF(AND('Daily Workforce'!$N24="Y",'Daily Workforce'!$B24&lt;&gt;"",COUNTIF('Daily Schedule'!$F$5:$F31,'Daily Workforce'!$B24)=0,IF('Daily Schedule'!$A32=45,'Daily Workforce'!$J24="Y",IF(OR('Daily Schedule'!$A32=4,'Daily Schedule'!$A32=8),IF(OR(WEEKDAY('Daily Schedule'!$B$2,2)=1,WEEKDAY('Daily Schedule'!$B$2,2)=4,WEEKDAY('Daily Schedule'!$B$2,2)=5,WEEKDAY('Daily Schedule'!$B$2,2)=7),IFERROR(1*'Daily Workforce'!$K24&gt;=3,FALSE()),IFERROR(1*'Daily Workforce'!$K24&gt;=2,FALSE())),IF(AND('Daily Schedule'!$A32&gt;=46,'Daily Schedule'!$A32&lt;=52),'Daily Workforce'!$M24="Y",IFERROR(1*'Daily Workforce'!$P24&gt;=2,FALSE()))))),1,0)</f>
        <v>0</v>
      </c>
      <c r="AJ28" s="1" t="n">
        <f aca="false">IF(AND('Daily Workforce'!$N25="Y",'Daily Workforce'!$B25&lt;&gt;"",COUNTIF('Daily Schedule'!$F$5:$F31,'Daily Workforce'!$B25)=0,IF('Daily Schedule'!$A32=45,'Daily Workforce'!$J25="Y",IF(OR('Daily Schedule'!$A32=4,'Daily Schedule'!$A32=8),IF(OR(WEEKDAY('Daily Schedule'!$B$2,2)=1,WEEKDAY('Daily Schedule'!$B$2,2)=4,WEEKDAY('Daily Schedule'!$B$2,2)=5,WEEKDAY('Daily Schedule'!$B$2,2)=7),IFERROR(1*'Daily Workforce'!$K25&gt;=3,FALSE()),IFERROR(1*'Daily Workforce'!$K25&gt;=2,FALSE())),IF(AND('Daily Schedule'!$A32&gt;=46,'Daily Schedule'!$A32&lt;=52),'Daily Workforce'!$M25="Y",IFERROR(1*'Daily Workforce'!$P25&gt;=2,FALSE()))))),1,0)</f>
        <v>0</v>
      </c>
      <c r="AK28" s="1" t="n">
        <f aca="false">IF(AND('Daily Workforce'!$N26="Y",'Daily Workforce'!$B26&lt;&gt;"",COUNTIF('Daily Schedule'!$F$5:$F31,'Daily Workforce'!$B26)=0,IF('Daily Schedule'!$A32=45,'Daily Workforce'!$J26="Y",IF(OR('Daily Schedule'!$A32=4,'Daily Schedule'!$A32=8),IF(OR(WEEKDAY('Daily Schedule'!$B$2,2)=1,WEEKDAY('Daily Schedule'!$B$2,2)=4,WEEKDAY('Daily Schedule'!$B$2,2)=5,WEEKDAY('Daily Schedule'!$B$2,2)=7),IFERROR(1*'Daily Workforce'!$K26&gt;=3,FALSE()),IFERROR(1*'Daily Workforce'!$K26&gt;=2,FALSE())),IF(AND('Daily Schedule'!$A32&gt;=46,'Daily Schedule'!$A32&lt;=52),'Daily Workforce'!$M26="Y",IFERROR(1*'Daily Workforce'!$P26&gt;=2,FALSE()))))),1,0)</f>
        <v>0</v>
      </c>
      <c r="AL28" s="1" t="n">
        <f aca="false">IF(AND('Daily Workforce'!$N27="Y",'Daily Workforce'!$B27&lt;&gt;"",COUNTIF('Daily Schedule'!$F$5:$F31,'Daily Workforce'!$B27)=0,IF('Daily Schedule'!$A32=45,'Daily Workforce'!$J27="Y",IF(OR('Daily Schedule'!$A32=4,'Daily Schedule'!$A32=8),IF(OR(WEEKDAY('Daily Schedule'!$B$2,2)=1,WEEKDAY('Daily Schedule'!$B$2,2)=4,WEEKDAY('Daily Schedule'!$B$2,2)=5,WEEKDAY('Daily Schedule'!$B$2,2)=7),IFERROR(1*'Daily Workforce'!$K27&gt;=3,FALSE()),IFERROR(1*'Daily Workforce'!$K27&gt;=2,FALSE())),IF(AND('Daily Schedule'!$A32&gt;=46,'Daily Schedule'!$A32&lt;=52),'Daily Workforce'!$M27="Y",IFERROR(1*'Daily Workforce'!$P27&gt;=2,FALSE()))))),1,0)</f>
        <v>0</v>
      </c>
      <c r="AM28" s="1" t="n">
        <f aca="false">IF(AND('Daily Workforce'!$N28="Y",'Daily Workforce'!$B28&lt;&gt;"",COUNTIF('Daily Schedule'!$F$5:$F31,'Daily Workforce'!$B28)=0,IF('Daily Schedule'!$A32=45,'Daily Workforce'!$J28="Y",IF(OR('Daily Schedule'!$A32=4,'Daily Schedule'!$A32=8),IF(OR(WEEKDAY('Daily Schedule'!$B$2,2)=1,WEEKDAY('Daily Schedule'!$B$2,2)=4,WEEKDAY('Daily Schedule'!$B$2,2)=5,WEEKDAY('Daily Schedule'!$B$2,2)=7),IFERROR(1*'Daily Workforce'!$K28&gt;=3,FALSE()),IFERROR(1*'Daily Workforce'!$K28&gt;=2,FALSE())),IF(AND('Daily Schedule'!$A32&gt;=46,'Daily Schedule'!$A32&lt;=52),'Daily Workforce'!$M28="Y",IFERROR(1*'Daily Workforce'!$P28&gt;=2,FALSE()))))),1,0)</f>
        <v>0</v>
      </c>
      <c r="AN28" s="1" t="n">
        <f aca="false">IF(AND('Daily Workforce'!$N29="Y",'Daily Workforce'!$B29&lt;&gt;"",COUNTIF('Daily Schedule'!$F$5:$F31,'Daily Workforce'!$B29)=0,IF('Daily Schedule'!$A32=45,'Daily Workforce'!$J29="Y",IF(OR('Daily Schedule'!$A32=4,'Daily Schedule'!$A32=8),IF(OR(WEEKDAY('Daily Schedule'!$B$2,2)=1,WEEKDAY('Daily Schedule'!$B$2,2)=4,WEEKDAY('Daily Schedule'!$B$2,2)=5,WEEKDAY('Daily Schedule'!$B$2,2)=7),IFERROR(1*'Daily Workforce'!$K29&gt;=3,FALSE()),IFERROR(1*'Daily Workforce'!$K29&gt;=2,FALSE())),IF(AND('Daily Schedule'!$A32&gt;=46,'Daily Schedule'!$A32&lt;=52),'Daily Workforce'!$M29="Y",IFERROR(1*'Daily Workforce'!$P29&gt;=2,FALSE()))))),1,0)</f>
        <v>0</v>
      </c>
      <c r="AO28" s="1" t="n">
        <f aca="false">IF(AND('Daily Workforce'!$N30="Y",'Daily Workforce'!$B30&lt;&gt;"",COUNTIF('Daily Schedule'!$F$5:$F31,'Daily Workforce'!$B30)=0,IF('Daily Schedule'!$A32=45,'Daily Workforce'!$J30="Y",IF(OR('Daily Schedule'!$A32=4,'Daily Schedule'!$A32=8),IF(OR(WEEKDAY('Daily Schedule'!$B$2,2)=1,WEEKDAY('Daily Schedule'!$B$2,2)=4,WEEKDAY('Daily Schedule'!$B$2,2)=5,WEEKDAY('Daily Schedule'!$B$2,2)=7),IFERROR(1*'Daily Workforce'!$K30&gt;=3,FALSE()),IFERROR(1*'Daily Workforce'!$K30&gt;=2,FALSE())),IF(AND('Daily Schedule'!$A32&gt;=46,'Daily Schedule'!$A32&lt;=52),'Daily Workforce'!$M30="Y",IFERROR(1*'Daily Workforce'!$P30&gt;=2,FALSE()))))),1,0)</f>
        <v>0</v>
      </c>
      <c r="AP28" s="1" t="n">
        <f aca="false">IF(AND('Daily Workforce'!$N31="Y",'Daily Workforce'!$B31&lt;&gt;"",COUNTIF('Daily Schedule'!$F$5:$F31,'Daily Workforce'!$B31)=0,IF('Daily Schedule'!$A32=45,'Daily Workforce'!$J31="Y",IF(OR('Daily Schedule'!$A32=4,'Daily Schedule'!$A32=8),IF(OR(WEEKDAY('Daily Schedule'!$B$2,2)=1,WEEKDAY('Daily Schedule'!$B$2,2)=4,WEEKDAY('Daily Schedule'!$B$2,2)=5,WEEKDAY('Daily Schedule'!$B$2,2)=7),IFERROR(1*'Daily Workforce'!$K31&gt;=3,FALSE()),IFERROR(1*'Daily Workforce'!$K31&gt;=2,FALSE())),IF(AND('Daily Schedule'!$A32&gt;=46,'Daily Schedule'!$A32&lt;=52),'Daily Workforce'!$M31="Y",IFERROR(1*'Daily Workforce'!$P31&gt;=2,FALSE()))))),1,0)</f>
        <v>1</v>
      </c>
      <c r="AQ28" s="1" t="n">
        <f aca="false">IF(AND('Daily Workforce'!$N32="Y",'Daily Workforce'!$B32&lt;&gt;"",COUNTIF('Daily Schedule'!$F$5:$F31,'Daily Workforce'!$B32)=0,IF('Daily Schedule'!$A32=45,'Daily Workforce'!$J32="Y",IF(OR('Daily Schedule'!$A32=4,'Daily Schedule'!$A32=8),IF(OR(WEEKDAY('Daily Schedule'!$B$2,2)=1,WEEKDAY('Daily Schedule'!$B$2,2)=4,WEEKDAY('Daily Schedule'!$B$2,2)=5,WEEKDAY('Daily Schedule'!$B$2,2)=7),IFERROR(1*'Daily Workforce'!$K32&gt;=3,FALSE()),IFERROR(1*'Daily Workforce'!$K32&gt;=2,FALSE())),IF(AND('Daily Schedule'!$A32&gt;=46,'Daily Schedule'!$A32&lt;=52),'Daily Workforce'!$M32="Y",IFERROR(1*'Daily Workforce'!$P32&gt;=2,FALSE()))))),1,0)</f>
        <v>1</v>
      </c>
      <c r="AR28" s="1" t="n">
        <f aca="false">IF(AND('Daily Workforce'!$N33="Y",'Daily Workforce'!$B33&lt;&gt;"",COUNTIF('Daily Schedule'!$F$5:$F31,'Daily Workforce'!$B33)=0,IF('Daily Schedule'!$A32=45,'Daily Workforce'!$J33="Y",IF(OR('Daily Schedule'!$A32=4,'Daily Schedule'!$A32=8),IF(OR(WEEKDAY('Daily Schedule'!$B$2,2)=1,WEEKDAY('Daily Schedule'!$B$2,2)=4,WEEKDAY('Daily Schedule'!$B$2,2)=5,WEEKDAY('Daily Schedule'!$B$2,2)=7),IFERROR(1*'Daily Workforce'!$K33&gt;=3,FALSE()),IFERROR(1*'Daily Workforce'!$K33&gt;=2,FALSE())),IF(AND('Daily Schedule'!$A32&gt;=46,'Daily Schedule'!$A32&lt;=52),'Daily Workforce'!$M33="Y",IFERROR(1*'Daily Workforce'!$P33&gt;=2,FALSE()))))),1,0)</f>
        <v>1</v>
      </c>
      <c r="AS28" s="1" t="n">
        <f aca="false">IF(AND('Daily Workforce'!$N34="Y",'Daily Workforce'!$B34&lt;&gt;"",COUNTIF('Daily Schedule'!$F$5:$F31,'Daily Workforce'!$B34)=0,IF('Daily Schedule'!$A32=45,'Daily Workforce'!$J34="Y",IF(OR('Daily Schedule'!$A32=4,'Daily Schedule'!$A32=8),IF(OR(WEEKDAY('Daily Schedule'!$B$2,2)=1,WEEKDAY('Daily Schedule'!$B$2,2)=4,WEEKDAY('Daily Schedule'!$B$2,2)=5,WEEKDAY('Daily Schedule'!$B$2,2)=7),IFERROR(1*'Daily Workforce'!$K34&gt;=3,FALSE()),IFERROR(1*'Daily Workforce'!$K34&gt;=2,FALSE())),IF(AND('Daily Schedule'!$A32&gt;=46,'Daily Schedule'!$A32&lt;=52),'Daily Workforce'!$M34="Y",IFERROR(1*'Daily Workforce'!$P34&gt;=2,FALSE()))))),1,0)</f>
        <v>1</v>
      </c>
      <c r="AT28" s="1" t="n">
        <f aca="false">IF(AND('Daily Workforce'!$N35="Y",'Daily Workforce'!$B35&lt;&gt;"",COUNTIF('Daily Schedule'!$F$5:$F31,'Daily Workforce'!$B35)=0,IF('Daily Schedule'!$A32=45,'Daily Workforce'!$J35="Y",IF(OR('Daily Schedule'!$A32=4,'Daily Schedule'!$A32=8),IF(OR(WEEKDAY('Daily Schedule'!$B$2,2)=1,WEEKDAY('Daily Schedule'!$B$2,2)=4,WEEKDAY('Daily Schedule'!$B$2,2)=5,WEEKDAY('Daily Schedule'!$B$2,2)=7),IFERROR(1*'Daily Workforce'!$K35&gt;=3,FALSE()),IFERROR(1*'Daily Workforce'!$K35&gt;=2,FALSE())),IF(AND('Daily Schedule'!$A32&gt;=46,'Daily Schedule'!$A32&lt;=52),'Daily Workforce'!$M35="Y",IFERROR(1*'Daily Workforce'!$P35&gt;=2,FALSE()))))),1,0)</f>
        <v>1</v>
      </c>
      <c r="AU28" s="1" t="n">
        <f aca="false">IF(AND('Daily Workforce'!$N36="Y",'Daily Workforce'!$B36&lt;&gt;"",COUNTIF('Daily Schedule'!$F$5:$F31,'Daily Workforce'!$B36)=0,IF('Daily Schedule'!$A32=45,'Daily Workforce'!$J36="Y",IF(OR('Daily Schedule'!$A32=4,'Daily Schedule'!$A32=8),IF(OR(WEEKDAY('Daily Schedule'!$B$2,2)=1,WEEKDAY('Daily Schedule'!$B$2,2)=4,WEEKDAY('Daily Schedule'!$B$2,2)=5,WEEKDAY('Daily Schedule'!$B$2,2)=7),IFERROR(1*'Daily Workforce'!$K36&gt;=3,FALSE()),IFERROR(1*'Daily Workforce'!$K36&gt;=2,FALSE())),IF(AND('Daily Schedule'!$A32&gt;=46,'Daily Schedule'!$A32&lt;=52),'Daily Workforce'!$M36="Y",IFERROR(1*'Daily Workforce'!$P36&gt;=2,FALSE()))))),1,0)</f>
        <v>1</v>
      </c>
      <c r="AV28" s="1" t="n">
        <f aca="false">IF(AND('Daily Workforce'!$N37="Y",'Daily Workforce'!$B37&lt;&gt;"",COUNTIF('Daily Schedule'!$F$5:$F31,'Daily Workforce'!$B37)=0,IF('Daily Schedule'!$A32=45,'Daily Workforce'!$J37="Y",IF(OR('Daily Schedule'!$A32=4,'Daily Schedule'!$A32=8),IF(OR(WEEKDAY('Daily Schedule'!$B$2,2)=1,WEEKDAY('Daily Schedule'!$B$2,2)=4,WEEKDAY('Daily Schedule'!$B$2,2)=5,WEEKDAY('Daily Schedule'!$B$2,2)=7),IFERROR(1*'Daily Workforce'!$K37&gt;=3,FALSE()),IFERROR(1*'Daily Workforce'!$K37&gt;=2,FALSE())),IF(AND('Daily Schedule'!$A32&gt;=46,'Daily Schedule'!$A32&lt;=52),'Daily Workforce'!$M37="Y",IFERROR(1*'Daily Workforce'!$P37&gt;=2,FALSE()))))),1,0)</f>
        <v>1</v>
      </c>
      <c r="AW28" s="1" t="n">
        <f aca="false">IF(AND('Daily Workforce'!$N38="Y",'Daily Workforce'!$B38&lt;&gt;"",COUNTIF('Daily Schedule'!$F$5:$F31,'Daily Workforce'!$B38)=0,IF('Daily Schedule'!$A32=45,'Daily Workforce'!$J38="Y",IF(OR('Daily Schedule'!$A32=4,'Daily Schedule'!$A32=8),IF(OR(WEEKDAY('Daily Schedule'!$B$2,2)=1,WEEKDAY('Daily Schedule'!$B$2,2)=4,WEEKDAY('Daily Schedule'!$B$2,2)=5,WEEKDAY('Daily Schedule'!$B$2,2)=7),IFERROR(1*'Daily Workforce'!$K38&gt;=3,FALSE()),IFERROR(1*'Daily Workforce'!$K38&gt;=2,FALSE())),IF(AND('Daily Schedule'!$A32&gt;=46,'Daily Schedule'!$A32&lt;=52),'Daily Workforce'!$M38="Y",IFERROR(1*'Daily Workforce'!$P38&gt;=2,FALSE()))))),1,0)</f>
        <v>1</v>
      </c>
      <c r="AX28" s="1" t="n">
        <f aca="false">IF(AND('Daily Workforce'!$N39="Y",'Daily Workforce'!$B39&lt;&gt;"",COUNTIF('Daily Schedule'!$F$5:$F31,'Daily Workforce'!$B39)=0,IF('Daily Schedule'!$A32=45,'Daily Workforce'!$J39="Y",IF(OR('Daily Schedule'!$A32=4,'Daily Schedule'!$A32=8),IF(OR(WEEKDAY('Daily Schedule'!$B$2,2)=1,WEEKDAY('Daily Schedule'!$B$2,2)=4,WEEKDAY('Daily Schedule'!$B$2,2)=5,WEEKDAY('Daily Schedule'!$B$2,2)=7),IFERROR(1*'Daily Workforce'!$K39&gt;=3,FALSE()),IFERROR(1*'Daily Workforce'!$K39&gt;=2,FALSE())),IF(AND('Daily Schedule'!$A32&gt;=46,'Daily Schedule'!$A32&lt;=52),'Daily Workforce'!$M39="Y",IFERROR(1*'Daily Workforce'!$P39&gt;=2,FALSE()))))),1,0)</f>
        <v>1</v>
      </c>
      <c r="AY28" s="1" t="n">
        <f aca="false">IF(AND('Daily Workforce'!$N40="Y",'Daily Workforce'!$B40&lt;&gt;"",COUNTIF('Daily Schedule'!$F$5:$F31,'Daily Workforce'!$B40)=0,IF('Daily Schedule'!$A32=45,'Daily Workforce'!$J40="Y",IF(OR('Daily Schedule'!$A32=4,'Daily Schedule'!$A32=8),IF(OR(WEEKDAY('Daily Schedule'!$B$2,2)=1,WEEKDAY('Daily Schedule'!$B$2,2)=4,WEEKDAY('Daily Schedule'!$B$2,2)=5,WEEKDAY('Daily Schedule'!$B$2,2)=7),IFERROR(1*'Daily Workforce'!$K40&gt;=3,FALSE()),IFERROR(1*'Daily Workforce'!$K40&gt;=2,FALSE())),IF(AND('Daily Schedule'!$A32&gt;=46,'Daily Schedule'!$A32&lt;=52),'Daily Workforce'!$M40="Y",IFERROR(1*'Daily Workforce'!$P40&gt;=2,FALSE()))))),1,0)</f>
        <v>1</v>
      </c>
      <c r="AZ28" s="1" t="n">
        <f aca="false">IF(AND('Daily Workforce'!$N41="Y",'Daily Workforce'!$B41&lt;&gt;"",COUNTIF('Daily Schedule'!$F$5:$F31,'Daily Workforce'!$B41)=0,IF('Daily Schedule'!$A32=45,'Daily Workforce'!$J41="Y",IF(OR('Daily Schedule'!$A32=4,'Daily Schedule'!$A32=8),IF(OR(WEEKDAY('Daily Schedule'!$B$2,2)=1,WEEKDAY('Daily Schedule'!$B$2,2)=4,WEEKDAY('Daily Schedule'!$B$2,2)=5,WEEKDAY('Daily Schedule'!$B$2,2)=7),IFERROR(1*'Daily Workforce'!$K41&gt;=3,FALSE()),IFERROR(1*'Daily Workforce'!$K41&gt;=2,FALSE())),IF(AND('Daily Schedule'!$A32&gt;=46,'Daily Schedule'!$A32&lt;=52),'Daily Workforce'!$M41="Y",IFERROR(1*'Daily Workforce'!$P41&gt;=2,FALSE()))))),1,0)</f>
        <v>1</v>
      </c>
      <c r="BA28" s="1" t="n">
        <f aca="false">IF(AND('Daily Workforce'!$N42="Y",'Daily Workforce'!$B42&lt;&gt;"",COUNTIF('Daily Schedule'!$F$5:$F31,'Daily Workforce'!$B42)=0,IF('Daily Schedule'!$A32=45,'Daily Workforce'!$J42="Y",IF(OR('Daily Schedule'!$A32=4,'Daily Schedule'!$A32=8),IF(OR(WEEKDAY('Daily Schedule'!$B$2,2)=1,WEEKDAY('Daily Schedule'!$B$2,2)=4,WEEKDAY('Daily Schedule'!$B$2,2)=5,WEEKDAY('Daily Schedule'!$B$2,2)=7),IFERROR(1*'Daily Workforce'!$K42&gt;=3,FALSE()),IFERROR(1*'Daily Workforce'!$K42&gt;=2,FALSE())),IF(AND('Daily Schedule'!$A32&gt;=46,'Daily Schedule'!$A32&lt;=52),'Daily Workforce'!$M42="Y",IFERROR(1*'Daily Workforce'!$P42&gt;=2,FALSE()))))),1,0)</f>
        <v>1</v>
      </c>
      <c r="BB28" s="1" t="n">
        <f aca="false">IF(AND('Daily Workforce'!$N43="Y",'Daily Workforce'!$B43&lt;&gt;"",COUNTIF('Daily Schedule'!$F$5:$F31,'Daily Workforce'!$B43)=0,IF('Daily Schedule'!$A32=45,'Daily Workforce'!$J43="Y",IF(OR('Daily Schedule'!$A32=4,'Daily Schedule'!$A32=8),IF(OR(WEEKDAY('Daily Schedule'!$B$2,2)=1,WEEKDAY('Daily Schedule'!$B$2,2)=4,WEEKDAY('Daily Schedule'!$B$2,2)=5,WEEKDAY('Daily Schedule'!$B$2,2)=7),IFERROR(1*'Daily Workforce'!$K43&gt;=3,FALSE()),IFERROR(1*'Daily Workforce'!$K43&gt;=2,FALSE())),IF(AND('Daily Schedule'!$A32&gt;=46,'Daily Schedule'!$A32&lt;=52),'Daily Workforce'!$M43="Y",IFERROR(1*'Daily Workforce'!$P43&gt;=2,FALSE()))))),1,0)</f>
        <v>1</v>
      </c>
      <c r="BC28" s="1" t="n">
        <f aca="false">IF(AND('Daily Workforce'!$N44="Y",'Daily Workforce'!$B44&lt;&gt;"",COUNTIF('Daily Schedule'!$F$5:$F31,'Daily Workforce'!$B44)=0,IF('Daily Schedule'!$A32=45,'Daily Workforce'!$J44="Y",IF(OR('Daily Schedule'!$A32=4,'Daily Schedule'!$A32=8),IF(OR(WEEKDAY('Daily Schedule'!$B$2,2)=1,WEEKDAY('Daily Schedule'!$B$2,2)=4,WEEKDAY('Daily Schedule'!$B$2,2)=5,WEEKDAY('Daily Schedule'!$B$2,2)=7),IFERROR(1*'Daily Workforce'!$K44&gt;=3,FALSE()),IFERROR(1*'Daily Workforce'!$K44&gt;=2,FALSE())),IF(AND('Daily Schedule'!$A32&gt;=46,'Daily Schedule'!$A32&lt;=52),'Daily Workforce'!$M44="Y",IFERROR(1*'Daily Workforce'!$P44&gt;=2,FALSE()))))),1,0)</f>
        <v>1</v>
      </c>
      <c r="BD28" s="1" t="n">
        <f aca="false">IF(AND('Daily Workforce'!$N45="Y",'Daily Workforce'!$B45&lt;&gt;"",COUNTIF('Daily Schedule'!$F$5:$F31,'Daily Workforce'!$B45)=0,IF('Daily Schedule'!$A32=45,'Daily Workforce'!$J45="Y",IF(OR('Daily Schedule'!$A32=4,'Daily Schedule'!$A32=8),IF(OR(WEEKDAY('Daily Schedule'!$B$2,2)=1,WEEKDAY('Daily Schedule'!$B$2,2)=4,WEEKDAY('Daily Schedule'!$B$2,2)=5,WEEKDAY('Daily Schedule'!$B$2,2)=7),IFERROR(1*'Daily Workforce'!$K45&gt;=3,FALSE()),IFERROR(1*'Daily Workforce'!$K45&gt;=2,FALSE())),IF(AND('Daily Schedule'!$A32&gt;=46,'Daily Schedule'!$A32&lt;=52),'Daily Workforce'!$M45="Y",IFERROR(1*'Daily Workforce'!$P45&gt;=2,FALSE()))))),1,0)</f>
        <v>1</v>
      </c>
      <c r="BE28" s="1" t="n">
        <f aca="false">IF(AND('Daily Workforce'!$N46="Y",'Daily Workforce'!$B46&lt;&gt;"",COUNTIF('Daily Schedule'!$F$5:$F31,'Daily Workforce'!$B46)=0,IF('Daily Schedule'!$A32=45,'Daily Workforce'!$J46="Y",IF(OR('Daily Schedule'!$A32=4,'Daily Schedule'!$A32=8),IF(OR(WEEKDAY('Daily Schedule'!$B$2,2)=1,WEEKDAY('Daily Schedule'!$B$2,2)=4,WEEKDAY('Daily Schedule'!$B$2,2)=5,WEEKDAY('Daily Schedule'!$B$2,2)=7),IFERROR(1*'Daily Workforce'!$K46&gt;=3,FALSE()),IFERROR(1*'Daily Workforce'!$K46&gt;=2,FALSE())),IF(AND('Daily Schedule'!$A32&gt;=46,'Daily Schedule'!$A32&lt;=52),'Daily Workforce'!$M46="Y",IFERROR(1*'Daily Workforce'!$P46&gt;=2,FALSE()))))),1,0)</f>
        <v>1</v>
      </c>
      <c r="BF28" s="1" t="n">
        <f aca="false">IF(AND('Daily Workforce'!$N47="Y",'Daily Workforce'!$B47&lt;&gt;"",COUNTIF('Daily Schedule'!$F$5:$F31,'Daily Workforce'!$B47)=0,IF('Daily Schedule'!$A32=45,'Daily Workforce'!$J47="Y",IF(OR('Daily Schedule'!$A32=4,'Daily Schedule'!$A32=8),IF(OR(WEEKDAY('Daily Schedule'!$B$2,2)=1,WEEKDAY('Daily Schedule'!$B$2,2)=4,WEEKDAY('Daily Schedule'!$B$2,2)=5,WEEKDAY('Daily Schedule'!$B$2,2)=7),IFERROR(1*'Daily Workforce'!$K47&gt;=3,FALSE()),IFERROR(1*'Daily Workforce'!$K47&gt;=2,FALSE())),IF(AND('Daily Schedule'!$A32&gt;=46,'Daily Schedule'!$A32&lt;=52),'Daily Workforce'!$M47="Y",IFERROR(1*'Daily Workforce'!$P47&gt;=2,FALSE()))))),1,0)</f>
        <v>0</v>
      </c>
      <c r="BG28" s="1" t="n">
        <f aca="false">IF(AND('Daily Workforce'!$N48="Y",'Daily Workforce'!$B48&lt;&gt;"",COUNTIF('Daily Schedule'!$F$5:$F31,'Daily Workforce'!$B48)=0,IF('Daily Schedule'!$A32=45,'Daily Workforce'!$J48="Y",IF(OR('Daily Schedule'!$A32=4,'Daily Schedule'!$A32=8),IF(OR(WEEKDAY('Daily Schedule'!$B$2,2)=1,WEEKDAY('Daily Schedule'!$B$2,2)=4,WEEKDAY('Daily Schedule'!$B$2,2)=5,WEEKDAY('Daily Schedule'!$B$2,2)=7),IFERROR(1*'Daily Workforce'!$K48&gt;=3,FALSE()),IFERROR(1*'Daily Workforce'!$K48&gt;=2,FALSE())),IF(AND('Daily Schedule'!$A32&gt;=46,'Daily Schedule'!$A32&lt;=52),'Daily Workforce'!$M48="Y",IFERROR(1*'Daily Workforce'!$P48&gt;=2,FALSE()))))),1,0)</f>
        <v>1</v>
      </c>
      <c r="BH28" s="1" t="n">
        <f aca="false">IF(AND('Daily Workforce'!$N49="Y",'Daily Workforce'!$B49&lt;&gt;"",COUNTIF('Daily Schedule'!$F$5:$F31,'Daily Workforce'!$B49)=0,IF('Daily Schedule'!$A32=45,'Daily Workforce'!$J49="Y",IF(OR('Daily Schedule'!$A32=4,'Daily Schedule'!$A32=8),IF(OR(WEEKDAY('Daily Schedule'!$B$2,2)=1,WEEKDAY('Daily Schedule'!$B$2,2)=4,WEEKDAY('Daily Schedule'!$B$2,2)=5,WEEKDAY('Daily Schedule'!$B$2,2)=7),IFERROR(1*'Daily Workforce'!$K49&gt;=3,FALSE()),IFERROR(1*'Daily Workforce'!$K49&gt;=2,FALSE())),IF(AND('Daily Schedule'!$A32&gt;=46,'Daily Schedule'!$A32&lt;=52),'Daily Workforce'!$M49="Y",IFERROR(1*'Daily Workforce'!$P49&gt;=2,FALSE()))))),1,0)</f>
        <v>1</v>
      </c>
      <c r="BI28" s="1" t="n">
        <f aca="false">IF(AND('Daily Workforce'!$N50="Y",'Daily Workforce'!$B50&lt;&gt;"",COUNTIF('Daily Schedule'!$F$5:$F31,'Daily Workforce'!$B50)=0,IF('Daily Schedule'!$A32=45,'Daily Workforce'!$J50="Y",IF(OR('Daily Schedule'!$A32=4,'Daily Schedule'!$A32=8),IF(OR(WEEKDAY('Daily Schedule'!$B$2,2)=1,WEEKDAY('Daily Schedule'!$B$2,2)=4,WEEKDAY('Daily Schedule'!$B$2,2)=5,WEEKDAY('Daily Schedule'!$B$2,2)=7),IFERROR(1*'Daily Workforce'!$K50&gt;=3,FALSE()),IFERROR(1*'Daily Workforce'!$K50&gt;=2,FALSE())),IF(AND('Daily Schedule'!$A32&gt;=46,'Daily Schedule'!$A32&lt;=52),'Daily Workforce'!$M50="Y",IFERROR(1*'Daily Workforce'!$P50&gt;=2,FALSE()))))),1,0)</f>
        <v>0</v>
      </c>
      <c r="BJ28" s="1" t="n">
        <f aca="false">IF(AND('Daily Workforce'!$N51="Y",'Daily Workforce'!$B51&lt;&gt;"",COUNTIF('Daily Schedule'!$F$5:$F31,'Daily Workforce'!$B51)=0,IF('Daily Schedule'!$A32=45,'Daily Workforce'!$J51="Y",IF(OR('Daily Schedule'!$A32=4,'Daily Schedule'!$A32=8),IF(OR(WEEKDAY('Daily Schedule'!$B$2,2)=1,WEEKDAY('Daily Schedule'!$B$2,2)=4,WEEKDAY('Daily Schedule'!$B$2,2)=5,WEEKDAY('Daily Schedule'!$B$2,2)=7),IFERROR(1*'Daily Workforce'!$K51&gt;=3,FALSE()),IFERROR(1*'Daily Workforce'!$K51&gt;=2,FALSE())),IF(AND('Daily Schedule'!$A32&gt;=46,'Daily Schedule'!$A32&lt;=52),'Daily Workforce'!$M51="Y",IFERROR(1*'Daily Workforce'!$P51&gt;=2,FALSE()))))),1,0)</f>
        <v>1</v>
      </c>
      <c r="BK28" s="1" t="n">
        <f aca="false">IF(AND('Daily Workforce'!$N52="Y",'Daily Workforce'!$B52&lt;&gt;"",COUNTIF('Daily Schedule'!$F$5:$F31,'Daily Workforce'!$B52)=0,IF('Daily Schedule'!$A32=45,'Daily Workforce'!$J52="Y",IF(OR('Daily Schedule'!$A32=4,'Daily Schedule'!$A32=8),IF(OR(WEEKDAY('Daily Schedule'!$B$2,2)=1,WEEKDAY('Daily Schedule'!$B$2,2)=4,WEEKDAY('Daily Schedule'!$B$2,2)=5,WEEKDAY('Daily Schedule'!$B$2,2)=7),IFERROR(1*'Daily Workforce'!$K52&gt;=3,FALSE()),IFERROR(1*'Daily Workforce'!$K52&gt;=2,FALSE())),IF(AND('Daily Schedule'!$A32&gt;=46,'Daily Schedule'!$A32&lt;=52),'Daily Workforce'!$M52="Y",IFERROR(1*'Daily Workforce'!$P52&gt;=2,FALSE()))))),1,0)</f>
        <v>1</v>
      </c>
      <c r="BL28" s="1" t="n">
        <f aca="false">IF(AND('Daily Workforce'!$N53="Y",'Daily Workforce'!$B53&lt;&gt;"",COUNTIF('Daily Schedule'!$F$5:$F31,'Daily Workforce'!$B53)=0,IF('Daily Schedule'!$A32=45,'Daily Workforce'!$J53="Y",IF(OR('Daily Schedule'!$A32=4,'Daily Schedule'!$A32=8),IF(OR(WEEKDAY('Daily Schedule'!$B$2,2)=1,WEEKDAY('Daily Schedule'!$B$2,2)=4,WEEKDAY('Daily Schedule'!$B$2,2)=5,WEEKDAY('Daily Schedule'!$B$2,2)=7),IFERROR(1*'Daily Workforce'!$K53&gt;=3,FALSE()),IFERROR(1*'Daily Workforce'!$K53&gt;=2,FALSE())),IF(AND('Daily Schedule'!$A32&gt;=46,'Daily Schedule'!$A32&lt;=52),'Daily Workforce'!$M53="Y",IFERROR(1*'Daily Workforce'!$P53&gt;=2,FALSE()))))),1,0)</f>
        <v>1</v>
      </c>
      <c r="BM28" s="1" t="n">
        <f aca="false">IF(AND('Daily Workforce'!$N54="Y",'Daily Workforce'!$B54&lt;&gt;"",COUNTIF('Daily Schedule'!$F$5:$F31,'Daily Workforce'!$B54)=0,IF('Daily Schedule'!$A32=45,'Daily Workforce'!$J54="Y",IF(OR('Daily Schedule'!$A32=4,'Daily Schedule'!$A32=8),IF(OR(WEEKDAY('Daily Schedule'!$B$2,2)=1,WEEKDAY('Daily Schedule'!$B$2,2)=4,WEEKDAY('Daily Schedule'!$B$2,2)=5,WEEKDAY('Daily Schedule'!$B$2,2)=7),IFERROR(1*'Daily Workforce'!$K54&gt;=3,FALSE()),IFERROR(1*'Daily Workforce'!$K54&gt;=2,FALSE())),IF(AND('Daily Schedule'!$A32&gt;=46,'Daily Schedule'!$A32&lt;=52),'Daily Workforce'!$M54="Y",IFERROR(1*'Daily Workforce'!$P54&gt;=2,FALSE()))))),1,0)</f>
        <v>1</v>
      </c>
      <c r="BN28" s="1" t="n">
        <f aca="false">IF(AND('Daily Workforce'!$N55="Y",'Daily Workforce'!$B55&lt;&gt;"",COUNTIF('Daily Schedule'!$F$5:$F31,'Daily Workforce'!$B55)=0,IF('Daily Schedule'!$A32=45,'Daily Workforce'!$J55="Y",IF(OR('Daily Schedule'!$A32=4,'Daily Schedule'!$A32=8),IF(OR(WEEKDAY('Daily Schedule'!$B$2,2)=1,WEEKDAY('Daily Schedule'!$B$2,2)=4,WEEKDAY('Daily Schedule'!$B$2,2)=5,WEEKDAY('Daily Schedule'!$B$2,2)=7),IFERROR(1*'Daily Workforce'!$K55&gt;=3,FALSE()),IFERROR(1*'Daily Workforce'!$K55&gt;=2,FALSE())),IF(AND('Daily Schedule'!$A32&gt;=46,'Daily Schedule'!$A32&lt;=52),'Daily Workforce'!$M55="Y",IFERROR(1*'Daily Workforce'!$P55&gt;=2,FALSE()))))),1,0)</f>
        <v>1</v>
      </c>
      <c r="BO28" s="1" t="n">
        <f aca="false">IF(AND('Daily Workforce'!$N56="Y",'Daily Workforce'!$B56&lt;&gt;"",COUNTIF('Daily Schedule'!$F$5:$F31,'Daily Workforce'!$B56)=0,IF('Daily Schedule'!$A32=45,'Daily Workforce'!$J56="Y",IF(OR('Daily Schedule'!$A32=4,'Daily Schedule'!$A32=8),IF(OR(WEEKDAY('Daily Schedule'!$B$2,2)=1,WEEKDAY('Daily Schedule'!$B$2,2)=4,WEEKDAY('Daily Schedule'!$B$2,2)=5,WEEKDAY('Daily Schedule'!$B$2,2)=7),IFERROR(1*'Daily Workforce'!$K56&gt;=3,FALSE()),IFERROR(1*'Daily Workforce'!$K56&gt;=2,FALSE())),IF(AND('Daily Schedule'!$A32&gt;=46,'Daily Schedule'!$A32&lt;=52),'Daily Workforce'!$M56="Y",IFERROR(1*'Daily Workforce'!$P56&gt;=2,FALSE()))))),1,0)</f>
        <v>1</v>
      </c>
      <c r="BP28" s="1" t="n">
        <f aca="false">IF(AND('Daily Workforce'!$N57="Y",'Daily Workforce'!$B57&lt;&gt;"",COUNTIF('Daily Schedule'!$F$5:$F31,'Daily Workforce'!$B57)=0,IF('Daily Schedule'!$A32=45,'Daily Workforce'!$J57="Y",IF(OR('Daily Schedule'!$A32=4,'Daily Schedule'!$A32=8),IF(OR(WEEKDAY('Daily Schedule'!$B$2,2)=1,WEEKDAY('Daily Schedule'!$B$2,2)=4,WEEKDAY('Daily Schedule'!$B$2,2)=5,WEEKDAY('Daily Schedule'!$B$2,2)=7),IFERROR(1*'Daily Workforce'!$K57&gt;=3,FALSE()),IFERROR(1*'Daily Workforce'!$K57&gt;=2,FALSE())),IF(AND('Daily Schedule'!$A32&gt;=46,'Daily Schedule'!$A32&lt;=52),'Daily Workforce'!$M57="Y",IFERROR(1*'Daily Workforce'!$P57&gt;=2,FALSE()))))),1,0)</f>
        <v>0</v>
      </c>
      <c r="BQ28" s="1" t="n">
        <f aca="false">IF(AND('Daily Workforce'!$N58="Y",'Daily Workforce'!$B58&lt;&gt;"",COUNTIF('Daily Schedule'!$F$5:$F31,'Daily Workforce'!$B58)=0,IF('Daily Schedule'!$A32=45,'Daily Workforce'!$J58="Y",IF(OR('Daily Schedule'!$A32=4,'Daily Schedule'!$A32=8),IF(OR(WEEKDAY('Daily Schedule'!$B$2,2)=1,WEEKDAY('Daily Schedule'!$B$2,2)=4,WEEKDAY('Daily Schedule'!$B$2,2)=5,WEEKDAY('Daily Schedule'!$B$2,2)=7),IFERROR(1*'Daily Workforce'!$K58&gt;=3,FALSE()),IFERROR(1*'Daily Workforce'!$K58&gt;=2,FALSE())),IF(AND('Daily Schedule'!$A32&gt;=46,'Daily Schedule'!$A32&lt;=52),'Daily Workforce'!$M58="Y",IFERROR(1*'Daily Workforce'!$P58&gt;=2,FALSE()))))),1,0)</f>
        <v>1</v>
      </c>
      <c r="BR28" s="1" t="n">
        <f aca="false">IF(AND('Daily Workforce'!$N59="Y",'Daily Workforce'!$B59&lt;&gt;"",COUNTIF('Daily Schedule'!$F$5:$F31,'Daily Workforce'!$B59)=0,IF('Daily Schedule'!$A32=45,'Daily Workforce'!$J59="Y",IF(OR('Daily Schedule'!$A32=4,'Daily Schedule'!$A32=8),IF(OR(WEEKDAY('Daily Schedule'!$B$2,2)=1,WEEKDAY('Daily Schedule'!$B$2,2)=4,WEEKDAY('Daily Schedule'!$B$2,2)=5,WEEKDAY('Daily Schedule'!$B$2,2)=7),IFERROR(1*'Daily Workforce'!$K59&gt;=3,FALSE()),IFERROR(1*'Daily Workforce'!$K59&gt;=2,FALSE())),IF(AND('Daily Schedule'!$A32&gt;=46,'Daily Schedule'!$A32&lt;=52),'Daily Workforce'!$M59="Y",IFERROR(1*'Daily Workforce'!$P59&gt;=2,FALSE()))))),1,0)</f>
        <v>1</v>
      </c>
      <c r="BS28" s="1" t="n">
        <f aca="false">IF(AND('Daily Workforce'!$N60="Y",'Daily Workforce'!$B60&lt;&gt;"",COUNTIF('Daily Schedule'!$F$5:$F31,'Daily Workforce'!$B60)=0,IF('Daily Schedule'!$A32=45,'Daily Workforce'!$J60="Y",IF(OR('Daily Schedule'!$A32=4,'Daily Schedule'!$A32=8),IF(OR(WEEKDAY('Daily Schedule'!$B$2,2)=1,WEEKDAY('Daily Schedule'!$B$2,2)=4,WEEKDAY('Daily Schedule'!$B$2,2)=5,WEEKDAY('Daily Schedule'!$B$2,2)=7),IFERROR(1*'Daily Workforce'!$K60&gt;=3,FALSE()),IFERROR(1*'Daily Workforce'!$K60&gt;=2,FALSE())),IF(AND('Daily Schedule'!$A32&gt;=46,'Daily Schedule'!$A32&lt;=52),'Daily Workforce'!$M60="Y",IFERROR(1*'Daily Workforce'!$P60&gt;=2,FALSE()))))),1,0)</f>
        <v>1</v>
      </c>
      <c r="BT28" s="1" t="n">
        <f aca="false">IF(AND('Daily Workforce'!$N61="Y",'Daily Workforce'!$B61&lt;&gt;"",COUNTIF('Daily Schedule'!$F$5:$F31,'Daily Workforce'!$B61)=0,IF('Daily Schedule'!$A32=45,'Daily Workforce'!$J61="Y",IF(OR('Daily Schedule'!$A32=4,'Daily Schedule'!$A32=8),IF(OR(WEEKDAY('Daily Schedule'!$B$2,2)=1,WEEKDAY('Daily Schedule'!$B$2,2)=4,WEEKDAY('Daily Schedule'!$B$2,2)=5,WEEKDAY('Daily Schedule'!$B$2,2)=7),IFERROR(1*'Daily Workforce'!$K61&gt;=3,FALSE()),IFERROR(1*'Daily Workforce'!$K61&gt;=2,FALSE())),IF(AND('Daily Schedule'!$A32&gt;=46,'Daily Schedule'!$A32&lt;=52),'Daily Workforce'!$M61="Y",IFERROR(1*'Daily Workforce'!$P61&gt;=2,FALSE()))))),1,0)</f>
        <v>0</v>
      </c>
      <c r="BU28" s="1" t="n">
        <f aca="false">IF(AND('Daily Workforce'!$N62="Y",'Daily Workforce'!$B62&lt;&gt;"",COUNTIF('Daily Schedule'!$F$5:$F31,'Daily Workforce'!$B62)=0,IF('Daily Schedule'!$A32=45,'Daily Workforce'!$J62="Y",IF(OR('Daily Schedule'!$A32=4,'Daily Schedule'!$A32=8),IF(OR(WEEKDAY('Daily Schedule'!$B$2,2)=1,WEEKDAY('Daily Schedule'!$B$2,2)=4,WEEKDAY('Daily Schedule'!$B$2,2)=5,WEEKDAY('Daily Schedule'!$B$2,2)=7),IFERROR(1*'Daily Workforce'!$K62&gt;=3,FALSE()),IFERROR(1*'Daily Workforce'!$K62&gt;=2,FALSE())),IF(AND('Daily Schedule'!$A32&gt;=46,'Daily Schedule'!$A32&lt;=52),'Daily Workforce'!$M62="Y",IFERROR(1*'Daily Workforce'!$P62&gt;=2,FALSE()))))),1,0)</f>
        <v>1</v>
      </c>
      <c r="BV28" s="1" t="n">
        <f aca="false">IF(AND('Daily Workforce'!$N63="Y",'Daily Workforce'!$B63&lt;&gt;"",COUNTIF('Daily Schedule'!$F$5:$F31,'Daily Workforce'!$B63)=0,IF('Daily Schedule'!$A32=45,'Daily Workforce'!$J63="Y",IF(OR('Daily Schedule'!$A32=4,'Daily Schedule'!$A32=8),IF(OR(WEEKDAY('Daily Schedule'!$B$2,2)=1,WEEKDAY('Daily Schedule'!$B$2,2)=4,WEEKDAY('Daily Schedule'!$B$2,2)=5,WEEKDAY('Daily Schedule'!$B$2,2)=7),IFERROR(1*'Daily Workforce'!$K63&gt;=3,FALSE()),IFERROR(1*'Daily Workforce'!$K63&gt;=2,FALSE())),IF(AND('Daily Schedule'!$A32&gt;=46,'Daily Schedule'!$A32&lt;=52),'Daily Workforce'!$M63="Y",IFERROR(1*'Daily Workforce'!$P63&gt;=2,FALSE()))))),1,0)</f>
        <v>1</v>
      </c>
      <c r="BW28" s="1" t="n">
        <f aca="false">IF(AND('Daily Workforce'!$N64="Y",'Daily Workforce'!$B64&lt;&gt;"",COUNTIF('Daily Schedule'!$F$5:$F31,'Daily Workforce'!$B64)=0,IF('Daily Schedule'!$A32=45,'Daily Workforce'!$J64="Y",IF(OR('Daily Schedule'!$A32=4,'Daily Schedule'!$A32=8),IF(OR(WEEKDAY('Daily Schedule'!$B$2,2)=1,WEEKDAY('Daily Schedule'!$B$2,2)=4,WEEKDAY('Daily Schedule'!$B$2,2)=5,WEEKDAY('Daily Schedule'!$B$2,2)=7),IFERROR(1*'Daily Workforce'!$K64&gt;=3,FALSE()),IFERROR(1*'Daily Workforce'!$K64&gt;=2,FALSE())),IF(AND('Daily Schedule'!$A32&gt;=46,'Daily Schedule'!$A32&lt;=52),'Daily Workforce'!$M64="Y",IFERROR(1*'Daily Workforce'!$P64&gt;=2,FALSE()))))),1,0)</f>
        <v>1</v>
      </c>
      <c r="BX28" s="1" t="n">
        <f aca="false">IF(AND('Daily Workforce'!$N65="Y",'Daily Workforce'!$B65&lt;&gt;"",COUNTIF('Daily Schedule'!$F$5:$F31,'Daily Workforce'!$B65)=0,IF('Daily Schedule'!$A32=45,'Daily Workforce'!$J65="Y",IF(OR('Daily Schedule'!$A32=4,'Daily Schedule'!$A32=8),IF(OR(WEEKDAY('Daily Schedule'!$B$2,2)=1,WEEKDAY('Daily Schedule'!$B$2,2)=4,WEEKDAY('Daily Schedule'!$B$2,2)=5,WEEKDAY('Daily Schedule'!$B$2,2)=7),IFERROR(1*'Daily Workforce'!$K65&gt;=3,FALSE()),IFERROR(1*'Daily Workforce'!$K65&gt;=2,FALSE())),IF(AND('Daily Schedule'!$A32&gt;=46,'Daily Schedule'!$A32&lt;=52),'Daily Workforce'!$M65="Y",IFERROR(1*'Daily Workforce'!$P65&gt;=2,FALSE()))))),1,0)</f>
        <v>1</v>
      </c>
      <c r="BY28" s="1" t="n">
        <f aca="false">IF(AND('Daily Workforce'!$N66="Y",'Daily Workforce'!$B66&lt;&gt;"",COUNTIF('Daily Schedule'!$F$5:$F31,'Daily Workforce'!$B66)=0,IF('Daily Schedule'!$A32=45,'Daily Workforce'!$J66="Y",IF(OR('Daily Schedule'!$A32=4,'Daily Schedule'!$A32=8),IF(OR(WEEKDAY('Daily Schedule'!$B$2,2)=1,WEEKDAY('Daily Schedule'!$B$2,2)=4,WEEKDAY('Daily Schedule'!$B$2,2)=5,WEEKDAY('Daily Schedule'!$B$2,2)=7),IFERROR(1*'Daily Workforce'!$K66&gt;=3,FALSE()),IFERROR(1*'Daily Workforce'!$K66&gt;=2,FALSE())),IF(AND('Daily Schedule'!$A32&gt;=46,'Daily Schedule'!$A32&lt;=52),'Daily Workforce'!$M66="Y",IFERROR(1*'Daily Workforce'!$P66&gt;=2,FALSE()))))),1,0)</f>
        <v>1</v>
      </c>
      <c r="BZ28" s="1" t="n">
        <f aca="false">IF(AND('Daily Workforce'!$N67="Y",'Daily Workforce'!$B67&lt;&gt;"",COUNTIF('Daily Schedule'!$F$5:$F31,'Daily Workforce'!$B67)=0,IF('Daily Schedule'!$A32=45,'Daily Workforce'!$J67="Y",IF(OR('Daily Schedule'!$A32=4,'Daily Schedule'!$A32=8),IF(OR(WEEKDAY('Daily Schedule'!$B$2,2)=1,WEEKDAY('Daily Schedule'!$B$2,2)=4,WEEKDAY('Daily Schedule'!$B$2,2)=5,WEEKDAY('Daily Schedule'!$B$2,2)=7),IFERROR(1*'Daily Workforce'!$K67&gt;=3,FALSE()),IFERROR(1*'Daily Workforce'!$K67&gt;=2,FALSE())),IF(AND('Daily Schedule'!$A32&gt;=46,'Daily Schedule'!$A32&lt;=52),'Daily Workforce'!$M67="Y",IFERROR(1*'Daily Workforce'!$P67&gt;=2,FALSE()))))),1,0)</f>
        <v>1</v>
      </c>
      <c r="CA28" s="1" t="n">
        <f aca="false">IF(AND('Daily Workforce'!$N68="Y",'Daily Workforce'!$B68&lt;&gt;"",COUNTIF('Daily Schedule'!$F$5:$F31,'Daily Workforce'!$B68)=0,IF('Daily Schedule'!$A32=45,'Daily Workforce'!$J68="Y",IF(OR('Daily Schedule'!$A32=4,'Daily Schedule'!$A32=8),IF(OR(WEEKDAY('Daily Schedule'!$B$2,2)=1,WEEKDAY('Daily Schedule'!$B$2,2)=4,WEEKDAY('Daily Schedule'!$B$2,2)=5,WEEKDAY('Daily Schedule'!$B$2,2)=7),IFERROR(1*'Daily Workforce'!$K68&gt;=3,FALSE()),IFERROR(1*'Daily Workforce'!$K68&gt;=2,FALSE())),IF(AND('Daily Schedule'!$A32&gt;=46,'Daily Schedule'!$A32&lt;=52),'Daily Workforce'!$M68="Y",IFERROR(1*'Daily Workforce'!$P68&gt;=2,FALSE()))))),1,0)</f>
        <v>1</v>
      </c>
      <c r="CB28" s="1" t="n">
        <f aca="false">IF(AND('Daily Workforce'!$N69="Y",'Daily Workforce'!$B69&lt;&gt;"",COUNTIF('Daily Schedule'!$F$5:$F31,'Daily Workforce'!$B69)=0,IF('Daily Schedule'!$A32=45,'Daily Workforce'!$J69="Y",IF(OR('Daily Schedule'!$A32=4,'Daily Schedule'!$A32=8),IF(OR(WEEKDAY('Daily Schedule'!$B$2,2)=1,WEEKDAY('Daily Schedule'!$B$2,2)=4,WEEKDAY('Daily Schedule'!$B$2,2)=5,WEEKDAY('Daily Schedule'!$B$2,2)=7),IFERROR(1*'Daily Workforce'!$K69&gt;=3,FALSE()),IFERROR(1*'Daily Workforce'!$K69&gt;=2,FALSE())),IF(AND('Daily Schedule'!$A32&gt;=46,'Daily Schedule'!$A32&lt;=52),'Daily Workforce'!$M69="Y",IFERROR(1*'Daily Workforce'!$P69&gt;=2,FALSE()))))),1,0)</f>
        <v>1</v>
      </c>
      <c r="CC28" s="1" t="n">
        <f aca="false">IF(AND('Daily Workforce'!$N70="Y",'Daily Workforce'!$B70&lt;&gt;"",COUNTIF('Daily Schedule'!$F$5:$F31,'Daily Workforce'!$B70)=0,IF('Daily Schedule'!$A32=45,'Daily Workforce'!$J70="Y",IF(OR('Daily Schedule'!$A32=4,'Daily Schedule'!$A32=8),IF(OR(WEEKDAY('Daily Schedule'!$B$2,2)=1,WEEKDAY('Daily Schedule'!$B$2,2)=4,WEEKDAY('Daily Schedule'!$B$2,2)=5,WEEKDAY('Daily Schedule'!$B$2,2)=7),IFERROR(1*'Daily Workforce'!$K70&gt;=3,FALSE()),IFERROR(1*'Daily Workforce'!$K70&gt;=2,FALSE())),IF(AND('Daily Schedule'!$A32&gt;=46,'Daily Schedule'!$A32&lt;=52),'Daily Workforce'!$M70="Y",IFERROR(1*'Daily Workforce'!$P70&gt;=2,FALSE()))))),1,0)</f>
        <v>1</v>
      </c>
      <c r="CD28" s="1" t="n">
        <f aca="false">IF(AND('Daily Workforce'!$N71="Y",'Daily Workforce'!$B71&lt;&gt;"",COUNTIF('Daily Schedule'!$F$5:$F31,'Daily Workforce'!$B71)=0,IF('Daily Schedule'!$A32=45,'Daily Workforce'!$J71="Y",IF(OR('Daily Schedule'!$A32=4,'Daily Schedule'!$A32=8),IF(OR(WEEKDAY('Daily Schedule'!$B$2,2)=1,WEEKDAY('Daily Schedule'!$B$2,2)=4,WEEKDAY('Daily Schedule'!$B$2,2)=5,WEEKDAY('Daily Schedule'!$B$2,2)=7),IFERROR(1*'Daily Workforce'!$K71&gt;=3,FALSE()),IFERROR(1*'Daily Workforce'!$K71&gt;=2,FALSE())),IF(AND('Daily Schedule'!$A32&gt;=46,'Daily Schedule'!$A32&lt;=52),'Daily Workforce'!$M71="Y",IFERROR(1*'Daily Workforce'!$P71&gt;=2,FALSE()))))),1,0)</f>
        <v>1</v>
      </c>
      <c r="CE28" s="1" t="n">
        <f aca="false">IF(AND('Daily Workforce'!$N72="Y",'Daily Workforce'!$B72&lt;&gt;"",COUNTIF('Daily Schedule'!$F$5:$F31,'Daily Workforce'!$B72)=0,IF('Daily Schedule'!$A32=45,'Daily Workforce'!$J72="Y",IF(OR('Daily Schedule'!$A32=4,'Daily Schedule'!$A32=8),IF(OR(WEEKDAY('Daily Schedule'!$B$2,2)=1,WEEKDAY('Daily Schedule'!$B$2,2)=4,WEEKDAY('Daily Schedule'!$B$2,2)=5,WEEKDAY('Daily Schedule'!$B$2,2)=7),IFERROR(1*'Daily Workforce'!$K72&gt;=3,FALSE()),IFERROR(1*'Daily Workforce'!$K72&gt;=2,FALSE())),IF(AND('Daily Schedule'!$A32&gt;=46,'Daily Schedule'!$A32&lt;=52),'Daily Workforce'!$M72="Y",IFERROR(1*'Daily Workforce'!$P72&gt;=2,FALSE()))))),1,0)</f>
        <v>1</v>
      </c>
      <c r="CF28" s="1" t="n">
        <f aca="false">IF(AND('Daily Workforce'!$N73="Y",'Daily Workforce'!$B73&lt;&gt;"",COUNTIF('Daily Schedule'!$F$5:$F31,'Daily Workforce'!$B73)=0,IF('Daily Schedule'!$A32=45,'Daily Workforce'!$J73="Y",IF(OR('Daily Schedule'!$A32=4,'Daily Schedule'!$A32=8),IF(OR(WEEKDAY('Daily Schedule'!$B$2,2)=1,WEEKDAY('Daily Schedule'!$B$2,2)=4,WEEKDAY('Daily Schedule'!$B$2,2)=5,WEEKDAY('Daily Schedule'!$B$2,2)=7),IFERROR(1*'Daily Workforce'!$K73&gt;=3,FALSE()),IFERROR(1*'Daily Workforce'!$K73&gt;=2,FALSE())),IF(AND('Daily Schedule'!$A32&gt;=46,'Daily Schedule'!$A32&lt;=52),'Daily Workforce'!$M73="Y",IFERROR(1*'Daily Workforce'!$P73&gt;=2,FALSE()))))),1,0)</f>
        <v>1</v>
      </c>
      <c r="CG28" s="1" t="n">
        <f aca="false">IF(AND('Daily Workforce'!$N74="Y",'Daily Workforce'!$B74&lt;&gt;"",COUNTIF('Daily Schedule'!$F$5:$F31,'Daily Workforce'!$B74)=0,IF('Daily Schedule'!$A32=45,'Daily Workforce'!$J74="Y",IF(OR('Daily Schedule'!$A32=4,'Daily Schedule'!$A32=8),IF(OR(WEEKDAY('Daily Schedule'!$B$2,2)=1,WEEKDAY('Daily Schedule'!$B$2,2)=4,WEEKDAY('Daily Schedule'!$B$2,2)=5,WEEKDAY('Daily Schedule'!$B$2,2)=7),IFERROR(1*'Daily Workforce'!$K74&gt;=3,FALSE()),IFERROR(1*'Daily Workforce'!$K74&gt;=2,FALSE())),IF(AND('Daily Schedule'!$A32&gt;=46,'Daily Schedule'!$A32&lt;=52),'Daily Workforce'!$M74="Y",IFERROR(1*'Daily Workforce'!$P74&gt;=2,FALSE()))))),1,0)</f>
        <v>1</v>
      </c>
      <c r="CH28" s="1" t="n">
        <f aca="false">IF(AND('Daily Workforce'!$N75="Y",'Daily Workforce'!$B75&lt;&gt;"",COUNTIF('Daily Schedule'!$F$5:$F31,'Daily Workforce'!$B75)=0,IF('Daily Schedule'!$A32=45,'Daily Workforce'!$J75="Y",IF(OR('Daily Schedule'!$A32=4,'Daily Schedule'!$A32=8),IF(OR(WEEKDAY('Daily Schedule'!$B$2,2)=1,WEEKDAY('Daily Schedule'!$B$2,2)=4,WEEKDAY('Daily Schedule'!$B$2,2)=5,WEEKDAY('Daily Schedule'!$B$2,2)=7),IFERROR(1*'Daily Workforce'!$K75&gt;=3,FALSE()),IFERROR(1*'Daily Workforce'!$K75&gt;=2,FALSE())),IF(AND('Daily Schedule'!$A32&gt;=46,'Daily Schedule'!$A32&lt;=52),'Daily Workforce'!$M75="Y",IFERROR(1*'Daily Workforce'!$P75&gt;=2,FALSE()))))),1,0)</f>
        <v>1</v>
      </c>
      <c r="CI28" s="1" t="n">
        <f aca="false">IF(AND('Daily Workforce'!$N76="Y",'Daily Workforce'!$B76&lt;&gt;"",COUNTIF('Daily Schedule'!$F$5:$F31,'Daily Workforce'!$B76)=0,IF('Daily Schedule'!$A32=45,'Daily Workforce'!$J76="Y",IF(OR('Daily Schedule'!$A32=4,'Daily Schedule'!$A32=8),IF(OR(WEEKDAY('Daily Schedule'!$B$2,2)=1,WEEKDAY('Daily Schedule'!$B$2,2)=4,WEEKDAY('Daily Schedule'!$B$2,2)=5,WEEKDAY('Daily Schedule'!$B$2,2)=7),IFERROR(1*'Daily Workforce'!$K76&gt;=3,FALSE()),IFERROR(1*'Daily Workforce'!$K76&gt;=2,FALSE())),IF(AND('Daily Schedule'!$A32&gt;=46,'Daily Schedule'!$A32&lt;=52),'Daily Workforce'!$M76="Y",IFERROR(1*'Daily Workforce'!$P76&gt;=2,FALSE()))))),1,0)</f>
        <v>1</v>
      </c>
      <c r="CJ28" s="1" t="n">
        <f aca="false">IF(AND('Daily Workforce'!$N77="Y",'Daily Workforce'!$B77&lt;&gt;"",COUNTIF('Daily Schedule'!$F$5:$F31,'Daily Workforce'!$B77)=0,IF('Daily Schedule'!$A32=45,'Daily Workforce'!$J77="Y",IF(OR('Daily Schedule'!$A32=4,'Daily Schedule'!$A32=8),IF(OR(WEEKDAY('Daily Schedule'!$B$2,2)=1,WEEKDAY('Daily Schedule'!$B$2,2)=4,WEEKDAY('Daily Schedule'!$B$2,2)=5,WEEKDAY('Daily Schedule'!$B$2,2)=7),IFERROR(1*'Daily Workforce'!$K77&gt;=3,FALSE()),IFERROR(1*'Daily Workforce'!$K77&gt;=2,FALSE())),IF(AND('Daily Schedule'!$A32&gt;=46,'Daily Schedule'!$A32&lt;=52),'Daily Workforce'!$M77="Y",IFERROR(1*'Daily Workforce'!$P77&gt;=2,FALSE()))))),1,0)</f>
        <v>1</v>
      </c>
      <c r="CK28" s="1" t="n">
        <f aca="false">IF(AND('Daily Workforce'!$N78="Y",'Daily Workforce'!$B78&lt;&gt;"",COUNTIF('Daily Schedule'!$F$5:$F31,'Daily Workforce'!$B78)=0,IF('Daily Schedule'!$A32=45,'Daily Workforce'!$J78="Y",IF(OR('Daily Schedule'!$A32=4,'Daily Schedule'!$A32=8),IF(OR(WEEKDAY('Daily Schedule'!$B$2,2)=1,WEEKDAY('Daily Schedule'!$B$2,2)=4,WEEKDAY('Daily Schedule'!$B$2,2)=5,WEEKDAY('Daily Schedule'!$B$2,2)=7),IFERROR(1*'Daily Workforce'!$K78&gt;=3,FALSE()),IFERROR(1*'Daily Workforce'!$K78&gt;=2,FALSE())),IF(AND('Daily Schedule'!$A32&gt;=46,'Daily Schedule'!$A32&lt;=52),'Daily Workforce'!$M78="Y",IFERROR(1*'Daily Workforce'!$P78&gt;=2,FALSE()))))),1,0)</f>
        <v>1</v>
      </c>
      <c r="CL28" s="1" t="n">
        <f aca="false">IF(AND('Daily Workforce'!$N79="Y",'Daily Workforce'!$B79&lt;&gt;"",COUNTIF('Daily Schedule'!$F$5:$F31,'Daily Workforce'!$B79)=0,IF('Daily Schedule'!$A32=45,'Daily Workforce'!$J79="Y",IF(OR('Daily Schedule'!$A32=4,'Daily Schedule'!$A32=8),IF(OR(WEEKDAY('Daily Schedule'!$B$2,2)=1,WEEKDAY('Daily Schedule'!$B$2,2)=4,WEEKDAY('Daily Schedule'!$B$2,2)=5,WEEKDAY('Daily Schedule'!$B$2,2)=7),IFERROR(1*'Daily Workforce'!$K79&gt;=3,FALSE()),IFERROR(1*'Daily Workforce'!$K79&gt;=2,FALSE())),IF(AND('Daily Schedule'!$A32&gt;=46,'Daily Schedule'!$A32&lt;=52),'Daily Workforce'!$M79="Y",IFERROR(1*'Daily Workforce'!$P79&gt;=2,FALSE()))))),1,0)</f>
        <v>1</v>
      </c>
      <c r="CM28" s="1" t="n">
        <f aca="false">IF(AND('Daily Workforce'!$N80="Y",'Daily Workforce'!$B80&lt;&gt;"",COUNTIF('Daily Schedule'!$F$5:$F31,'Daily Workforce'!$B80)=0,IF('Daily Schedule'!$A32=45,'Daily Workforce'!$J80="Y",IF(OR('Daily Schedule'!$A32=4,'Daily Schedule'!$A32=8),IF(OR(WEEKDAY('Daily Schedule'!$B$2,2)=1,WEEKDAY('Daily Schedule'!$B$2,2)=4,WEEKDAY('Daily Schedule'!$B$2,2)=5,WEEKDAY('Daily Schedule'!$B$2,2)=7),IFERROR(1*'Daily Workforce'!$K80&gt;=3,FALSE()),IFERROR(1*'Daily Workforce'!$K80&gt;=2,FALSE())),IF(AND('Daily Schedule'!$A32&gt;=46,'Daily Schedule'!$A32&lt;=52),'Daily Workforce'!$M80="Y",IFERROR(1*'Daily Workforce'!$P80&gt;=2,FALSE()))))),1,0)</f>
        <v>1</v>
      </c>
      <c r="CN28" s="1" t="n">
        <f aca="false">IF(AND('Daily Workforce'!$N81="Y",'Daily Workforce'!$B81&lt;&gt;"",COUNTIF('Daily Schedule'!$F$5:$F31,'Daily Workforce'!$B81)=0,IF('Daily Schedule'!$A32=45,'Daily Workforce'!$J81="Y",IF(OR('Daily Schedule'!$A32=4,'Daily Schedule'!$A32=8),IF(OR(WEEKDAY('Daily Schedule'!$B$2,2)=1,WEEKDAY('Daily Schedule'!$B$2,2)=4,WEEKDAY('Daily Schedule'!$B$2,2)=5,WEEKDAY('Daily Schedule'!$B$2,2)=7),IFERROR(1*'Daily Workforce'!$K81&gt;=3,FALSE()),IFERROR(1*'Daily Workforce'!$K81&gt;=2,FALSE())),IF(AND('Daily Schedule'!$A32&gt;=46,'Daily Schedule'!$A32&lt;=52),'Daily Workforce'!$M81="Y",IFERROR(1*'Daily Workforce'!$P81&gt;=2,FALSE()))))),1,0)</f>
        <v>1</v>
      </c>
      <c r="CO28" s="1" t="n">
        <f aca="false">IF(AND('Daily Workforce'!$N82="Y",'Daily Workforce'!$B82&lt;&gt;"",COUNTIF('Daily Schedule'!$F$5:$F31,'Daily Workforce'!$B82)=0,IF('Daily Schedule'!$A32=45,'Daily Workforce'!$J82="Y",IF(OR('Daily Schedule'!$A32=4,'Daily Schedule'!$A32=8),IF(OR(WEEKDAY('Daily Schedule'!$B$2,2)=1,WEEKDAY('Daily Schedule'!$B$2,2)=4,WEEKDAY('Daily Schedule'!$B$2,2)=5,WEEKDAY('Daily Schedule'!$B$2,2)=7),IFERROR(1*'Daily Workforce'!$K82&gt;=3,FALSE()),IFERROR(1*'Daily Workforce'!$K82&gt;=2,FALSE())),IF(AND('Daily Schedule'!$A32&gt;=46,'Daily Schedule'!$A32&lt;=52),'Daily Workforce'!$M82="Y",IFERROR(1*'Daily Workforce'!$P82&gt;=2,FALSE()))))),1,0)</f>
        <v>1</v>
      </c>
      <c r="CP28" s="1" t="n">
        <f aca="false">IF(AND('Daily Workforce'!$N83="Y",'Daily Workforce'!$B83&lt;&gt;"",COUNTIF('Daily Schedule'!$F$5:$F31,'Daily Workforce'!$B83)=0,IF('Daily Schedule'!$A32=45,'Daily Workforce'!$J83="Y",IF(OR('Daily Schedule'!$A32=4,'Daily Schedule'!$A32=8),IF(OR(WEEKDAY('Daily Schedule'!$B$2,2)=1,WEEKDAY('Daily Schedule'!$B$2,2)=4,WEEKDAY('Daily Schedule'!$B$2,2)=5,WEEKDAY('Daily Schedule'!$B$2,2)=7),IFERROR(1*'Daily Workforce'!$K83&gt;=3,FALSE()),IFERROR(1*'Daily Workforce'!$K83&gt;=2,FALSE())),IF(AND('Daily Schedule'!$A32&gt;=46,'Daily Schedule'!$A32&lt;=52),'Daily Workforce'!$M83="Y",IFERROR(1*'Daily Workforce'!$P83&gt;=2,FALSE()))))),1,0)</f>
        <v>0</v>
      </c>
      <c r="CQ28" s="1" t="n">
        <f aca="false">IF(AND('Daily Workforce'!$N84="Y",'Daily Workforce'!$B84&lt;&gt;"",COUNTIF('Daily Schedule'!$F$5:$F31,'Daily Workforce'!$B84)=0,IF('Daily Schedule'!$A32=45,'Daily Workforce'!$J84="Y",IF(OR('Daily Schedule'!$A32=4,'Daily Schedule'!$A32=8),IF(OR(WEEKDAY('Daily Schedule'!$B$2,2)=1,WEEKDAY('Daily Schedule'!$B$2,2)=4,WEEKDAY('Daily Schedule'!$B$2,2)=5,WEEKDAY('Daily Schedule'!$B$2,2)=7),IFERROR(1*'Daily Workforce'!$K84&gt;=3,FALSE()),IFERROR(1*'Daily Workforce'!$K84&gt;=2,FALSE())),IF(AND('Daily Schedule'!$A32&gt;=46,'Daily Schedule'!$A32&lt;=52),'Daily Workforce'!$M84="Y",IFERROR(1*'Daily Workforce'!$P84&gt;=2,FALSE()))))),1,0)</f>
        <v>1</v>
      </c>
      <c r="CR28" s="1" t="n">
        <f aca="false">IF(AND('Daily Workforce'!$N85="Y",'Daily Workforce'!$B85&lt;&gt;"",COUNTIF('Daily Schedule'!$F$5:$F31,'Daily Workforce'!$B85)=0,IF('Daily Schedule'!$A32=45,'Daily Workforce'!$J85="Y",IF(OR('Daily Schedule'!$A32=4,'Daily Schedule'!$A32=8),IF(OR(WEEKDAY('Daily Schedule'!$B$2,2)=1,WEEKDAY('Daily Schedule'!$B$2,2)=4,WEEKDAY('Daily Schedule'!$B$2,2)=5,WEEKDAY('Daily Schedule'!$B$2,2)=7),IFERROR(1*'Daily Workforce'!$K85&gt;=3,FALSE()),IFERROR(1*'Daily Workforce'!$K85&gt;=2,FALSE())),IF(AND('Daily Schedule'!$A32&gt;=46,'Daily Schedule'!$A32&lt;=52),'Daily Workforce'!$M85="Y",IFERROR(1*'Daily Workforce'!$P85&gt;=2,FALSE()))))),1,0)</f>
        <v>0</v>
      </c>
      <c r="CS28" s="1" t="n">
        <f aca="false">IF(AND('Daily Workforce'!$N86="Y",'Daily Workforce'!$B86&lt;&gt;"",COUNTIF('Daily Schedule'!$F$5:$F31,'Daily Workforce'!$B86)=0,IF('Daily Schedule'!$A32=45,'Daily Workforce'!$J86="Y",IF(OR('Daily Schedule'!$A32=4,'Daily Schedule'!$A32=8),IF(OR(WEEKDAY('Daily Schedule'!$B$2,2)=1,WEEKDAY('Daily Schedule'!$B$2,2)=4,WEEKDAY('Daily Schedule'!$B$2,2)=5,WEEKDAY('Daily Schedule'!$B$2,2)=7),IFERROR(1*'Daily Workforce'!$K86&gt;=3,FALSE()),IFERROR(1*'Daily Workforce'!$K86&gt;=2,FALSE())),IF(AND('Daily Schedule'!$A32&gt;=46,'Daily Schedule'!$A32&lt;=52),'Daily Workforce'!$M86="Y",IFERROR(1*'Daily Workforce'!$P86&gt;=2,FALSE()))))),1,0)</f>
        <v>1</v>
      </c>
      <c r="CT28" s="1" t="n">
        <f aca="false">IF(AND('Daily Workforce'!$N87="Y",'Daily Workforce'!$B87&lt;&gt;"",COUNTIF('Daily Schedule'!$F$5:$F31,'Daily Workforce'!$B87)=0,IF('Daily Schedule'!$A32=45,'Daily Workforce'!$J87="Y",IF(OR('Daily Schedule'!$A32=4,'Daily Schedule'!$A32=8),IF(OR(WEEKDAY('Daily Schedule'!$B$2,2)=1,WEEKDAY('Daily Schedule'!$B$2,2)=4,WEEKDAY('Daily Schedule'!$B$2,2)=5,WEEKDAY('Daily Schedule'!$B$2,2)=7),IFERROR(1*'Daily Workforce'!$K87&gt;=3,FALSE()),IFERROR(1*'Daily Workforce'!$K87&gt;=2,FALSE())),IF(AND('Daily Schedule'!$A32&gt;=46,'Daily Schedule'!$A32&lt;=52),'Daily Workforce'!$M87="Y",IFERROR(1*'Daily Workforce'!$P87&gt;=2,FALSE()))))),1,0)</f>
        <v>1</v>
      </c>
      <c r="CU28" s="1" t="n">
        <f aca="false">IF(AND('Daily Workforce'!$N88="Y",'Daily Workforce'!$B88&lt;&gt;"",COUNTIF('Daily Schedule'!$F$5:$F31,'Daily Workforce'!$B88)=0,IF('Daily Schedule'!$A32=45,'Daily Workforce'!$J88="Y",IF(OR('Daily Schedule'!$A32=4,'Daily Schedule'!$A32=8),IF(OR(WEEKDAY('Daily Schedule'!$B$2,2)=1,WEEKDAY('Daily Schedule'!$B$2,2)=4,WEEKDAY('Daily Schedule'!$B$2,2)=5,WEEKDAY('Daily Schedule'!$B$2,2)=7),IFERROR(1*'Daily Workforce'!$K88&gt;=3,FALSE()),IFERROR(1*'Daily Workforce'!$K88&gt;=2,FALSE())),IF(AND('Daily Schedule'!$A32&gt;=46,'Daily Schedule'!$A32&lt;=52),'Daily Workforce'!$M88="Y",IFERROR(1*'Daily Workforce'!$P88&gt;=2,FALSE()))))),1,0)</f>
        <v>1</v>
      </c>
      <c r="CV28" s="1" t="n">
        <f aca="false">IF(AND('Daily Workforce'!$N89="Y",'Daily Workforce'!$B89&lt;&gt;"",COUNTIF('Daily Schedule'!$F$5:$F31,'Daily Workforce'!$B89)=0,IF('Daily Schedule'!$A32=45,'Daily Workforce'!$J89="Y",IF(OR('Daily Schedule'!$A32=4,'Daily Schedule'!$A32=8),IF(OR(WEEKDAY('Daily Schedule'!$B$2,2)=1,WEEKDAY('Daily Schedule'!$B$2,2)=4,WEEKDAY('Daily Schedule'!$B$2,2)=5,WEEKDAY('Daily Schedule'!$B$2,2)=7),IFERROR(1*'Daily Workforce'!$K89&gt;=3,FALSE()),IFERROR(1*'Daily Workforce'!$K89&gt;=2,FALSE())),IF(AND('Daily Schedule'!$A32&gt;=46,'Daily Schedule'!$A32&lt;=52),'Daily Workforce'!$M89="Y",IFERROR(1*'Daily Workforce'!$P89&gt;=2,FALSE()))))),1,0)</f>
        <v>1</v>
      </c>
      <c r="CW28" s="1" t="n">
        <f aca="false">IF(AND('Daily Workforce'!$N90="Y",'Daily Workforce'!$B90&lt;&gt;"",COUNTIF('Daily Schedule'!$F$5:$F31,'Daily Workforce'!$B90)=0,IF('Daily Schedule'!$A32=45,'Daily Workforce'!$J90="Y",IF(OR('Daily Schedule'!$A32=4,'Daily Schedule'!$A32=8),IF(OR(WEEKDAY('Daily Schedule'!$B$2,2)=1,WEEKDAY('Daily Schedule'!$B$2,2)=4,WEEKDAY('Daily Schedule'!$B$2,2)=5,WEEKDAY('Daily Schedule'!$B$2,2)=7),IFERROR(1*'Daily Workforce'!$K90&gt;=3,FALSE()),IFERROR(1*'Daily Workforce'!$K90&gt;=2,FALSE())),IF(AND('Daily Schedule'!$A32&gt;=46,'Daily Schedule'!$A32&lt;=52),'Daily Workforce'!$M90="Y",IFERROR(1*'Daily Workforce'!$P90&gt;=2,FALSE()))))),1,0)</f>
        <v>1</v>
      </c>
      <c r="CX28" s="1" t="n">
        <f aca="false">IF(AND('Daily Workforce'!$N91="Y",'Daily Workforce'!$B91&lt;&gt;"",COUNTIF('Daily Schedule'!$F$5:$F31,'Daily Workforce'!$B91)=0,IF('Daily Schedule'!$A32=45,'Daily Workforce'!$J91="Y",IF(OR('Daily Schedule'!$A32=4,'Daily Schedule'!$A32=8),IF(OR(WEEKDAY('Daily Schedule'!$B$2,2)=1,WEEKDAY('Daily Schedule'!$B$2,2)=4,WEEKDAY('Daily Schedule'!$B$2,2)=5,WEEKDAY('Daily Schedule'!$B$2,2)=7),IFERROR(1*'Daily Workforce'!$K91&gt;=3,FALSE()),IFERROR(1*'Daily Workforce'!$K91&gt;=2,FALSE())),IF(AND('Daily Schedule'!$A32&gt;=46,'Daily Schedule'!$A32&lt;=52),'Daily Workforce'!$M91="Y",IFERROR(1*'Daily Workforce'!$P91&gt;=2,FALSE()))))),1,0)</f>
        <v>1</v>
      </c>
      <c r="CY28" s="1" t="n">
        <f aca="false">IF(AND('Daily Workforce'!$N92="Y",'Daily Workforce'!$B92&lt;&gt;"",COUNTIF('Daily Schedule'!$F$5:$F31,'Daily Workforce'!$B92)=0,IF('Daily Schedule'!$A32=45,'Daily Workforce'!$J92="Y",IF(OR('Daily Schedule'!$A32=4,'Daily Schedule'!$A32=8),IF(OR(WEEKDAY('Daily Schedule'!$B$2,2)=1,WEEKDAY('Daily Schedule'!$B$2,2)=4,WEEKDAY('Daily Schedule'!$B$2,2)=5,WEEKDAY('Daily Schedule'!$B$2,2)=7),IFERROR(1*'Daily Workforce'!$K92&gt;=3,FALSE()),IFERROR(1*'Daily Workforce'!$K92&gt;=2,FALSE())),IF(AND('Daily Schedule'!$A32&gt;=46,'Daily Schedule'!$A32&lt;=52),'Daily Workforce'!$M92="Y",IFERROR(1*'Daily Workforce'!$P92&gt;=2,FALSE()))))),1,0)</f>
        <v>1</v>
      </c>
      <c r="CZ28" s="1" t="n">
        <f aca="false">IF(AND('Daily Workforce'!$N93="Y",'Daily Workforce'!$B93&lt;&gt;"",COUNTIF('Daily Schedule'!$F$5:$F31,'Daily Workforce'!$B93)=0,IF('Daily Schedule'!$A32=45,'Daily Workforce'!$J93="Y",IF(OR('Daily Schedule'!$A32=4,'Daily Schedule'!$A32=8),IF(OR(WEEKDAY('Daily Schedule'!$B$2,2)=1,WEEKDAY('Daily Schedule'!$B$2,2)=4,WEEKDAY('Daily Schedule'!$B$2,2)=5,WEEKDAY('Daily Schedule'!$B$2,2)=7),IFERROR(1*'Daily Workforce'!$K93&gt;=3,FALSE()),IFERROR(1*'Daily Workforce'!$K93&gt;=2,FALSE())),IF(AND('Daily Schedule'!$A32&gt;=46,'Daily Schedule'!$A32&lt;=52),'Daily Workforce'!$M93="Y",IFERROR(1*'Daily Workforce'!$P93&gt;=2,FALSE()))))),1,0)</f>
        <v>1</v>
      </c>
      <c r="DA28" s="1" t="n">
        <f aca="false">IF(AND('Daily Workforce'!$N94="Y",'Daily Workforce'!$B94&lt;&gt;"",COUNTIF('Daily Schedule'!$F$5:$F31,'Daily Workforce'!$B94)=0,IF('Daily Schedule'!$A32=45,'Daily Workforce'!$J94="Y",IF(OR('Daily Schedule'!$A32=4,'Daily Schedule'!$A32=8),IF(OR(WEEKDAY('Daily Schedule'!$B$2,2)=1,WEEKDAY('Daily Schedule'!$B$2,2)=4,WEEKDAY('Daily Schedule'!$B$2,2)=5,WEEKDAY('Daily Schedule'!$B$2,2)=7),IFERROR(1*'Daily Workforce'!$K94&gt;=3,FALSE()),IFERROR(1*'Daily Workforce'!$K94&gt;=2,FALSE())),IF(AND('Daily Schedule'!$A32&gt;=46,'Daily Schedule'!$A32&lt;=52),'Daily Workforce'!$M94="Y",IFERROR(1*'Daily Workforce'!$P94&gt;=2,FALSE()))))),1,0)</f>
        <v>1</v>
      </c>
      <c r="DB28" s="1" t="n">
        <f aca="false">IF(AND('Daily Workforce'!$N95="Y",'Daily Workforce'!$B95&lt;&gt;"",COUNTIF('Daily Schedule'!$F$5:$F31,'Daily Workforce'!$B95)=0,IF('Daily Schedule'!$A32=45,'Daily Workforce'!$J95="Y",IF(OR('Daily Schedule'!$A32=4,'Daily Schedule'!$A32=8),IF(OR(WEEKDAY('Daily Schedule'!$B$2,2)=1,WEEKDAY('Daily Schedule'!$B$2,2)=4,WEEKDAY('Daily Schedule'!$B$2,2)=5,WEEKDAY('Daily Schedule'!$B$2,2)=7),IFERROR(1*'Daily Workforce'!$K95&gt;=3,FALSE()),IFERROR(1*'Daily Workforce'!$K95&gt;=2,FALSE())),IF(AND('Daily Schedule'!$A32&gt;=46,'Daily Schedule'!$A32&lt;=52),'Daily Workforce'!$M95="Y",IFERROR(1*'Daily Workforce'!$P95&gt;=2,FALSE()))))),1,0)</f>
        <v>1</v>
      </c>
      <c r="DC28" s="1" t="n">
        <f aca="false">IF(AND('Daily Workforce'!$N96="Y",'Daily Workforce'!$B96&lt;&gt;"",COUNTIF('Daily Schedule'!$F$5:$F31,'Daily Workforce'!$B96)=0,IF('Daily Schedule'!$A32=45,'Daily Workforce'!$J96="Y",IF(OR('Daily Schedule'!$A32=4,'Daily Schedule'!$A32=8),IF(OR(WEEKDAY('Daily Schedule'!$B$2,2)=1,WEEKDAY('Daily Schedule'!$B$2,2)=4,WEEKDAY('Daily Schedule'!$B$2,2)=5,WEEKDAY('Daily Schedule'!$B$2,2)=7),IFERROR(1*'Daily Workforce'!$K96&gt;=3,FALSE()),IFERROR(1*'Daily Workforce'!$K96&gt;=2,FALSE())),IF(AND('Daily Schedule'!$A32&gt;=46,'Daily Schedule'!$A32&lt;=52),'Daily Workforce'!$M96="Y",IFERROR(1*'Daily Workforce'!$P96&gt;=2,FALSE()))))),1,0)</f>
        <v>1</v>
      </c>
      <c r="DD28" s="1" t="n">
        <f aca="false">IF(AND('Daily Workforce'!$N97="Y",'Daily Workforce'!$B97&lt;&gt;"",COUNTIF('Daily Schedule'!$F$5:$F31,'Daily Workforce'!$B97)=0,IF('Daily Schedule'!$A32=45,'Daily Workforce'!$J97="Y",IF(OR('Daily Schedule'!$A32=4,'Daily Schedule'!$A32=8),IF(OR(WEEKDAY('Daily Schedule'!$B$2,2)=1,WEEKDAY('Daily Schedule'!$B$2,2)=4,WEEKDAY('Daily Schedule'!$B$2,2)=5,WEEKDAY('Daily Schedule'!$B$2,2)=7),IFERROR(1*'Daily Workforce'!$K97&gt;=3,FALSE()),IFERROR(1*'Daily Workforce'!$K97&gt;=2,FALSE())),IF(AND('Daily Schedule'!$A32&gt;=46,'Daily Schedule'!$A32&lt;=52),'Daily Workforce'!$M97="Y",IFERROR(1*'Daily Workforce'!$P97&gt;=2,FALSE()))))),1,0)</f>
        <v>1</v>
      </c>
      <c r="DE28" s="1" t="n">
        <f aca="false">IF(AND('Daily Workforce'!$N98="Y",'Daily Workforce'!$B98&lt;&gt;"",COUNTIF('Daily Schedule'!$F$5:$F31,'Daily Workforce'!$B98)=0,IF('Daily Schedule'!$A32=45,'Daily Workforce'!$J98="Y",IF(OR('Daily Schedule'!$A32=4,'Daily Schedule'!$A32=8),IF(OR(WEEKDAY('Daily Schedule'!$B$2,2)=1,WEEKDAY('Daily Schedule'!$B$2,2)=4,WEEKDAY('Daily Schedule'!$B$2,2)=5,WEEKDAY('Daily Schedule'!$B$2,2)=7),IFERROR(1*'Daily Workforce'!$K98&gt;=3,FALSE()),IFERROR(1*'Daily Workforce'!$K98&gt;=2,FALSE())),IF(AND('Daily Schedule'!$A32&gt;=46,'Daily Schedule'!$A32&lt;=52),'Daily Workforce'!$M98="Y",IFERROR(1*'Daily Workforce'!$P98&gt;=2,FALSE()))))),1,0)</f>
        <v>1</v>
      </c>
      <c r="DF28" s="1" t="n">
        <f aca="false">IF(AND('Daily Workforce'!$N99="Y",'Daily Workforce'!$B99&lt;&gt;"",COUNTIF('Daily Schedule'!$F$5:$F31,'Daily Workforce'!$B99)=0,IF('Daily Schedule'!$A32=45,'Daily Workforce'!$J99="Y",IF(OR('Daily Schedule'!$A32=4,'Daily Schedule'!$A32=8),IF(OR(WEEKDAY('Daily Schedule'!$B$2,2)=1,WEEKDAY('Daily Schedule'!$B$2,2)=4,WEEKDAY('Daily Schedule'!$B$2,2)=5,WEEKDAY('Daily Schedule'!$B$2,2)=7),IFERROR(1*'Daily Workforce'!$K99&gt;=3,FALSE()),IFERROR(1*'Daily Workforce'!$K99&gt;=2,FALSE())),IF(AND('Daily Schedule'!$A32&gt;=46,'Daily Schedule'!$A32&lt;=52),'Daily Workforce'!$M99="Y",IFERROR(1*'Daily Workforce'!$P99&gt;=2,FALSE()))))),1,0)</f>
        <v>1</v>
      </c>
      <c r="DG28" s="1" t="n">
        <f aca="false">IF(AND('Daily Workforce'!$N100="Y",'Daily Workforce'!$B100&lt;&gt;"",COUNTIF('Daily Schedule'!$F$5:$F31,'Daily Workforce'!$B100)=0,IF('Daily Schedule'!$A32=45,'Daily Workforce'!$J100="Y",IF(OR('Daily Schedule'!$A32=4,'Daily Schedule'!$A32=8),IF(OR(WEEKDAY('Daily Schedule'!$B$2,2)=1,WEEKDAY('Daily Schedule'!$B$2,2)=4,WEEKDAY('Daily Schedule'!$B$2,2)=5,WEEKDAY('Daily Schedule'!$B$2,2)=7),IFERROR(1*'Daily Workforce'!$K100&gt;=3,FALSE()),IFERROR(1*'Daily Workforce'!$K100&gt;=2,FALSE())),IF(AND('Daily Schedule'!$A32&gt;=46,'Daily Schedule'!$A32&lt;=52),'Daily Workforce'!$M100="Y",IFERROR(1*'Daily Workforce'!$P100&gt;=2,FALSE()))))),1,0)</f>
        <v>1</v>
      </c>
      <c r="DH28" s="1" t="n">
        <f aca="false">IF(AND('Daily Workforce'!$N101="Y",'Daily Workforce'!$B101&lt;&gt;"",COUNTIF('Daily Schedule'!$F$5:$F31,'Daily Workforce'!$B101)=0,IF('Daily Schedule'!$A32=45,'Daily Workforce'!$J101="Y",IF(OR('Daily Schedule'!$A32=4,'Daily Schedule'!$A32=8),IF(OR(WEEKDAY('Daily Schedule'!$B$2,2)=1,WEEKDAY('Daily Schedule'!$B$2,2)=4,WEEKDAY('Daily Schedule'!$B$2,2)=5,WEEKDAY('Daily Schedule'!$B$2,2)=7),IFERROR(1*'Daily Workforce'!$K101&gt;=3,FALSE()),IFERROR(1*'Daily Workforce'!$K101&gt;=2,FALSE())),IF(AND('Daily Schedule'!$A32&gt;=46,'Daily Schedule'!$A32&lt;=52),'Daily Workforce'!$M101="Y",IFERROR(1*'Daily Workforce'!$P101&gt;=2,FALSE()))))),1,0)</f>
        <v>1</v>
      </c>
      <c r="DI28" s="1" t="n">
        <f aca="false">IF(AND('Daily Workforce'!$N102="Y",'Daily Workforce'!$B102&lt;&gt;"",COUNTIF('Daily Schedule'!$F$5:$F31,'Daily Workforce'!$B102)=0,IF('Daily Schedule'!$A32=45,'Daily Workforce'!$J102="Y",IF(OR('Daily Schedule'!$A32=4,'Daily Schedule'!$A32=8),IF(OR(WEEKDAY('Daily Schedule'!$B$2,2)=1,WEEKDAY('Daily Schedule'!$B$2,2)=4,WEEKDAY('Daily Schedule'!$B$2,2)=5,WEEKDAY('Daily Schedule'!$B$2,2)=7),IFERROR(1*'Daily Workforce'!$K102&gt;=3,FALSE()),IFERROR(1*'Daily Workforce'!$K102&gt;=2,FALSE())),IF(AND('Daily Schedule'!$A32&gt;=46,'Daily Schedule'!$A32&lt;=52),'Daily Workforce'!$M102="Y",IFERROR(1*'Daily Workforce'!$P102&gt;=2,FALSE()))))),1,0)</f>
        <v>1</v>
      </c>
      <c r="DJ28" s="1" t="n">
        <f aca="false">IF(AND('Daily Workforce'!$N103="Y",'Daily Workforce'!$B103&lt;&gt;"",COUNTIF('Daily Schedule'!$F$5:$F31,'Daily Workforce'!$B103)=0,IF('Daily Schedule'!$A32=45,'Daily Workforce'!$J103="Y",IF(OR('Daily Schedule'!$A32=4,'Daily Schedule'!$A32=8),IF(OR(WEEKDAY('Daily Schedule'!$B$2,2)=1,WEEKDAY('Daily Schedule'!$B$2,2)=4,WEEKDAY('Daily Schedule'!$B$2,2)=5,WEEKDAY('Daily Schedule'!$B$2,2)=7),IFERROR(1*'Daily Workforce'!$K103&gt;=3,FALSE()),IFERROR(1*'Daily Workforce'!$K103&gt;=2,FALSE())),IF(AND('Daily Schedule'!$A32&gt;=46,'Daily Schedule'!$A32&lt;=52),'Daily Workforce'!$M103="Y",IFERROR(1*'Daily Workforce'!$P103&gt;=2,FALSE()))))),1,0)</f>
        <v>1</v>
      </c>
      <c r="DK28" s="1" t="n">
        <f aca="false">IF(AND('Daily Workforce'!$N104="Y",'Daily Workforce'!$B104&lt;&gt;"",COUNTIF('Daily Schedule'!$F$5:$F31,'Daily Workforce'!$B104)=0,IF('Daily Schedule'!$A32=45,'Daily Workforce'!$J104="Y",IF(OR('Daily Schedule'!$A32=4,'Daily Schedule'!$A32=8),IF(OR(WEEKDAY('Daily Schedule'!$B$2,2)=1,WEEKDAY('Daily Schedule'!$B$2,2)=4,WEEKDAY('Daily Schedule'!$B$2,2)=5,WEEKDAY('Daily Schedule'!$B$2,2)=7),IFERROR(1*'Daily Workforce'!$K104&gt;=3,FALSE()),IFERROR(1*'Daily Workforce'!$K104&gt;=2,FALSE())),IF(AND('Daily Schedule'!$A32&gt;=46,'Daily Schedule'!$A32&lt;=52),'Daily Workforce'!$M104="Y",IFERROR(1*'Daily Workforce'!$P104&gt;=2,FALSE()))))),1,0)</f>
        <v>1</v>
      </c>
      <c r="DL28" s="1" t="n">
        <f aca="false">IF(AND('Daily Workforce'!$N105="Y",'Daily Workforce'!$B105&lt;&gt;"",COUNTIF('Daily Schedule'!$F$5:$F31,'Daily Workforce'!$B105)=0,IF('Daily Schedule'!$A32=45,'Daily Workforce'!$J105="Y",IF(OR('Daily Schedule'!$A32=4,'Daily Schedule'!$A32=8),IF(OR(WEEKDAY('Daily Schedule'!$B$2,2)=1,WEEKDAY('Daily Schedule'!$B$2,2)=4,WEEKDAY('Daily Schedule'!$B$2,2)=5,WEEKDAY('Daily Schedule'!$B$2,2)=7),IFERROR(1*'Daily Workforce'!$K105&gt;=3,FALSE()),IFERROR(1*'Daily Workforce'!$K105&gt;=2,FALSE())),IF(AND('Daily Schedule'!$A32&gt;=46,'Daily Schedule'!$A32&lt;=52),'Daily Workforce'!$M105="Y",IFERROR(1*'Daily Workforce'!$P105&gt;=2,FALSE()))))),1,0)</f>
        <v>0</v>
      </c>
      <c r="DM28" s="1" t="n">
        <f aca="false">IF(AND('Daily Workforce'!$N106="Y",'Daily Workforce'!$B106&lt;&gt;"",COUNTIF('Daily Schedule'!$F$5:$F31,'Daily Workforce'!$B106)=0,IF('Daily Schedule'!$A32=45,'Daily Workforce'!$J106="Y",IF(OR('Daily Schedule'!$A32=4,'Daily Schedule'!$A32=8),IF(OR(WEEKDAY('Daily Schedule'!$B$2,2)=1,WEEKDAY('Daily Schedule'!$B$2,2)=4,WEEKDAY('Daily Schedule'!$B$2,2)=5,WEEKDAY('Daily Schedule'!$B$2,2)=7),IFERROR(1*'Daily Workforce'!$K106&gt;=3,FALSE()),IFERROR(1*'Daily Workforce'!$K106&gt;=2,FALSE())),IF(AND('Daily Schedule'!$A32&gt;=46,'Daily Schedule'!$A32&lt;=52),'Daily Workforce'!$M106="Y",IFERROR(1*'Daily Workforce'!$P106&gt;=2,FALSE()))))),1,0)</f>
        <v>1</v>
      </c>
      <c r="DN28" s="1" t="n">
        <f aca="false">IF(AND('Daily Workforce'!$N107="Y",'Daily Workforce'!$B107&lt;&gt;"",COUNTIF('Daily Schedule'!$F$5:$F31,'Daily Workforce'!$B107)=0,IF('Daily Schedule'!$A32=45,'Daily Workforce'!$J107="Y",IF(OR('Daily Schedule'!$A32=4,'Daily Schedule'!$A32=8),IF(OR(WEEKDAY('Daily Schedule'!$B$2,2)=1,WEEKDAY('Daily Schedule'!$B$2,2)=4,WEEKDAY('Daily Schedule'!$B$2,2)=5,WEEKDAY('Daily Schedule'!$B$2,2)=7),IFERROR(1*'Daily Workforce'!$K107&gt;=3,FALSE()),IFERROR(1*'Daily Workforce'!$K107&gt;=2,FALSE())),IF(AND('Daily Schedule'!$A32&gt;=46,'Daily Schedule'!$A32&lt;=52),'Daily Workforce'!$M107="Y",IFERROR(1*'Daily Workforce'!$P107&gt;=2,FALSE()))))),1,0)</f>
        <v>1</v>
      </c>
      <c r="DO28" s="1" t="n">
        <f aca="false">IF(AND('Daily Workforce'!$N108="Y",'Daily Workforce'!$B108&lt;&gt;"",COUNTIF('Daily Schedule'!$F$5:$F31,'Daily Workforce'!$B108)=0,IF('Daily Schedule'!$A32=45,'Daily Workforce'!$J108="Y",IF(OR('Daily Schedule'!$A32=4,'Daily Schedule'!$A32=8),IF(OR(WEEKDAY('Daily Schedule'!$B$2,2)=1,WEEKDAY('Daily Schedule'!$B$2,2)=4,WEEKDAY('Daily Schedule'!$B$2,2)=5,WEEKDAY('Daily Schedule'!$B$2,2)=7),IFERROR(1*'Daily Workforce'!$K108&gt;=3,FALSE()),IFERROR(1*'Daily Workforce'!$K108&gt;=2,FALSE())),IF(AND('Daily Schedule'!$A32&gt;=46,'Daily Schedule'!$A32&lt;=52),'Daily Workforce'!$M108="Y",IFERROR(1*'Daily Workforce'!$P108&gt;=2,FALSE()))))),1,0)</f>
        <v>1</v>
      </c>
      <c r="DP28" s="1" t="n">
        <f aca="false">IF(AND('Daily Workforce'!$N109="Y",'Daily Workforce'!$B109&lt;&gt;"",COUNTIF('Daily Schedule'!$F$5:$F31,'Daily Workforce'!$B109)=0,IF('Daily Schedule'!$A32=45,'Daily Workforce'!$J109="Y",IF(OR('Daily Schedule'!$A32=4,'Daily Schedule'!$A32=8),IF(OR(WEEKDAY('Daily Schedule'!$B$2,2)=1,WEEKDAY('Daily Schedule'!$B$2,2)=4,WEEKDAY('Daily Schedule'!$B$2,2)=5,WEEKDAY('Daily Schedule'!$B$2,2)=7),IFERROR(1*'Daily Workforce'!$K109&gt;=3,FALSE()),IFERROR(1*'Daily Workforce'!$K109&gt;=2,FALSE())),IF(AND('Daily Schedule'!$A32&gt;=46,'Daily Schedule'!$A32&lt;=52),'Daily Workforce'!$M109="Y",IFERROR(1*'Daily Workforce'!$P109&gt;=2,FALSE()))))),1,0)</f>
        <v>1</v>
      </c>
      <c r="DQ28" s="1" t="n">
        <f aca="false">IF(AND('Daily Workforce'!$N110="Y",'Daily Workforce'!$B110&lt;&gt;"",COUNTIF('Daily Schedule'!$F$5:$F31,'Daily Workforce'!$B110)=0,IF('Daily Schedule'!$A32=45,'Daily Workforce'!$J110="Y",IF(OR('Daily Schedule'!$A32=4,'Daily Schedule'!$A32=8),IF(OR(WEEKDAY('Daily Schedule'!$B$2,2)=1,WEEKDAY('Daily Schedule'!$B$2,2)=4,WEEKDAY('Daily Schedule'!$B$2,2)=5,WEEKDAY('Daily Schedule'!$B$2,2)=7),IFERROR(1*'Daily Workforce'!$K110&gt;=3,FALSE()),IFERROR(1*'Daily Workforce'!$K110&gt;=2,FALSE())),IF(AND('Daily Schedule'!$A32&gt;=46,'Daily Schedule'!$A32&lt;=52),'Daily Workforce'!$M110="Y",IFERROR(1*'Daily Workforce'!$P110&gt;=2,FALSE()))))),1,0)</f>
        <v>1</v>
      </c>
      <c r="DR28" s="1" t="n">
        <f aca="false">IF(AND('Daily Workforce'!$N111="Y",'Daily Workforce'!$B111&lt;&gt;"",COUNTIF('Daily Schedule'!$F$5:$F31,'Daily Workforce'!$B111)=0,IF('Daily Schedule'!$A32=45,'Daily Workforce'!$J111="Y",IF(OR('Daily Schedule'!$A32=4,'Daily Schedule'!$A32=8),IF(OR(WEEKDAY('Daily Schedule'!$B$2,2)=1,WEEKDAY('Daily Schedule'!$B$2,2)=4,WEEKDAY('Daily Schedule'!$B$2,2)=5,WEEKDAY('Daily Schedule'!$B$2,2)=7),IFERROR(1*'Daily Workforce'!$K111&gt;=3,FALSE()),IFERROR(1*'Daily Workforce'!$K111&gt;=2,FALSE())),IF(AND('Daily Schedule'!$A32&gt;=46,'Daily Schedule'!$A32&lt;=52),'Daily Workforce'!$M111="Y",IFERROR(1*'Daily Workforce'!$P111&gt;=2,FALSE()))))),1,0)</f>
        <v>1</v>
      </c>
      <c r="DS28" s="1" t="n">
        <f aca="false">IF(AND('Daily Workforce'!$N112="Y",'Daily Workforce'!$B112&lt;&gt;"",COUNTIF('Daily Schedule'!$F$5:$F31,'Daily Workforce'!$B112)=0,IF('Daily Schedule'!$A32=45,'Daily Workforce'!$J112="Y",IF(OR('Daily Schedule'!$A32=4,'Daily Schedule'!$A32=8),IF(OR(WEEKDAY('Daily Schedule'!$B$2,2)=1,WEEKDAY('Daily Schedule'!$B$2,2)=4,WEEKDAY('Daily Schedule'!$B$2,2)=5,WEEKDAY('Daily Schedule'!$B$2,2)=7),IFERROR(1*'Daily Workforce'!$K112&gt;=3,FALSE()),IFERROR(1*'Daily Workforce'!$K112&gt;=2,FALSE())),IF(AND('Daily Schedule'!$A32&gt;=46,'Daily Schedule'!$A32&lt;=52),'Daily Workforce'!$M112="Y",IFERROR(1*'Daily Workforce'!$P112&gt;=2,FALSE()))))),1,0)</f>
        <v>1</v>
      </c>
      <c r="DT28" s="1" t="n">
        <f aca="false">IF(AND('Daily Workforce'!$N113="Y",'Daily Workforce'!$B113&lt;&gt;"",COUNTIF('Daily Schedule'!$F$5:$F31,'Daily Workforce'!$B113)=0,IF('Daily Schedule'!$A32=45,'Daily Workforce'!$J113="Y",IF(OR('Daily Schedule'!$A32=4,'Daily Schedule'!$A32=8),IF(OR(WEEKDAY('Daily Schedule'!$B$2,2)=1,WEEKDAY('Daily Schedule'!$B$2,2)=4,WEEKDAY('Daily Schedule'!$B$2,2)=5,WEEKDAY('Daily Schedule'!$B$2,2)=7),IFERROR(1*'Daily Workforce'!$K113&gt;=3,FALSE()),IFERROR(1*'Daily Workforce'!$K113&gt;=2,FALSE())),IF(AND('Daily Schedule'!$A32&gt;=46,'Daily Schedule'!$A32&lt;=52),'Daily Workforce'!$M113="Y",IFERROR(1*'Daily Workforce'!$P113&gt;=2,FALSE()))))),1,0)</f>
        <v>1</v>
      </c>
      <c r="DU28" s="1" t="n">
        <f aca="false">IF(AND('Daily Workforce'!$N114="Y",'Daily Workforce'!$B114&lt;&gt;"",COUNTIF('Daily Schedule'!$F$5:$F31,'Daily Workforce'!$B114)=0,IF('Daily Schedule'!$A32=45,'Daily Workforce'!$J114="Y",IF(OR('Daily Schedule'!$A32=4,'Daily Schedule'!$A32=8),IF(OR(WEEKDAY('Daily Schedule'!$B$2,2)=1,WEEKDAY('Daily Schedule'!$B$2,2)=4,WEEKDAY('Daily Schedule'!$B$2,2)=5,WEEKDAY('Daily Schedule'!$B$2,2)=7),IFERROR(1*'Daily Workforce'!$K114&gt;=3,FALSE()),IFERROR(1*'Daily Workforce'!$K114&gt;=2,FALSE())),IF(AND('Daily Schedule'!$A32&gt;=46,'Daily Schedule'!$A32&lt;=52),'Daily Workforce'!$M114="Y",IFERROR(1*'Daily Workforce'!$P114&gt;=2,FALSE()))))),1,0)</f>
        <v>1</v>
      </c>
      <c r="DV28" s="1" t="n">
        <f aca="false">IF(AND('Daily Workforce'!$N115="Y",'Daily Workforce'!$B115&lt;&gt;"",COUNTIF('Daily Schedule'!$F$5:$F31,'Daily Workforce'!$B115)=0,IF('Daily Schedule'!$A32=45,'Daily Workforce'!$J115="Y",IF(OR('Daily Schedule'!$A32=4,'Daily Schedule'!$A32=8),IF(OR(WEEKDAY('Daily Schedule'!$B$2,2)=1,WEEKDAY('Daily Schedule'!$B$2,2)=4,WEEKDAY('Daily Schedule'!$B$2,2)=5,WEEKDAY('Daily Schedule'!$B$2,2)=7),IFERROR(1*'Daily Workforce'!$K115&gt;=3,FALSE()),IFERROR(1*'Daily Workforce'!$K115&gt;=2,FALSE())),IF(AND('Daily Schedule'!$A32&gt;=46,'Daily Schedule'!$A32&lt;=52),'Daily Workforce'!$M115="Y",IFERROR(1*'Daily Workforce'!$P115&gt;=2,FALSE()))))),1,0)</f>
        <v>1</v>
      </c>
      <c r="DW28" s="1" t="n">
        <f aca="false">IF(AND('Daily Workforce'!$N116="Y",'Daily Workforce'!$B116&lt;&gt;"",COUNTIF('Daily Schedule'!$F$5:$F31,'Daily Workforce'!$B116)=0,IF('Daily Schedule'!$A32=45,'Daily Workforce'!$J116="Y",IF(OR('Daily Schedule'!$A32=4,'Daily Schedule'!$A32=8),IF(OR(WEEKDAY('Daily Schedule'!$B$2,2)=1,WEEKDAY('Daily Schedule'!$B$2,2)=4,WEEKDAY('Daily Schedule'!$B$2,2)=5,WEEKDAY('Daily Schedule'!$B$2,2)=7),IFERROR(1*'Daily Workforce'!$K116&gt;=3,FALSE()),IFERROR(1*'Daily Workforce'!$K116&gt;=2,FALSE())),IF(AND('Daily Schedule'!$A32&gt;=46,'Daily Schedule'!$A32&lt;=52),'Daily Workforce'!$M116="Y",IFERROR(1*'Daily Workforce'!$P116&gt;=2,FALSE()))))),1,0)</f>
        <v>1</v>
      </c>
      <c r="DX28" s="1" t="n">
        <f aca="false">IF(AND('Daily Workforce'!$N117="Y",'Daily Workforce'!$B117&lt;&gt;"",COUNTIF('Daily Schedule'!$F$5:$F31,'Daily Workforce'!$B117)=0,IF('Daily Schedule'!$A32=45,'Daily Workforce'!$J117="Y",IF(OR('Daily Schedule'!$A32=4,'Daily Schedule'!$A32=8),IF(OR(WEEKDAY('Daily Schedule'!$B$2,2)=1,WEEKDAY('Daily Schedule'!$B$2,2)=4,WEEKDAY('Daily Schedule'!$B$2,2)=5,WEEKDAY('Daily Schedule'!$B$2,2)=7),IFERROR(1*'Daily Workforce'!$K117&gt;=3,FALSE()),IFERROR(1*'Daily Workforce'!$K117&gt;=2,FALSE())),IF(AND('Daily Schedule'!$A32&gt;=46,'Daily Schedule'!$A32&lt;=52),'Daily Workforce'!$M117="Y",IFERROR(1*'Daily Workforce'!$P117&gt;=2,FALSE()))))),1,0)</f>
        <v>1</v>
      </c>
      <c r="DY28" s="1" t="n">
        <f aca="false">IF(AND('Daily Workforce'!$N118="Y",'Daily Workforce'!$B118&lt;&gt;"",COUNTIF('Daily Schedule'!$F$5:$F31,'Daily Workforce'!$B118)=0,IF('Daily Schedule'!$A32=45,'Daily Workforce'!$J118="Y",IF(OR('Daily Schedule'!$A32=4,'Daily Schedule'!$A32=8),IF(OR(WEEKDAY('Daily Schedule'!$B$2,2)=1,WEEKDAY('Daily Schedule'!$B$2,2)=4,WEEKDAY('Daily Schedule'!$B$2,2)=5,WEEKDAY('Daily Schedule'!$B$2,2)=7),IFERROR(1*'Daily Workforce'!$K118&gt;=3,FALSE()),IFERROR(1*'Daily Workforce'!$K118&gt;=2,FALSE())),IF(AND('Daily Schedule'!$A32&gt;=46,'Daily Schedule'!$A32&lt;=52),'Daily Workforce'!$M118="Y",IFERROR(1*'Daily Workforce'!$P118&gt;=2,FALSE()))))),1,0)</f>
        <v>0</v>
      </c>
      <c r="DZ28" s="1" t="n">
        <f aca="false">IF(AND('Daily Workforce'!$N119="Y",'Daily Workforce'!$B119&lt;&gt;"",COUNTIF('Daily Schedule'!$F$5:$F31,'Daily Workforce'!$B119)=0,IF('Daily Schedule'!$A32=45,'Daily Workforce'!$J119="Y",IF(OR('Daily Schedule'!$A32=4,'Daily Schedule'!$A32=8),IF(OR(WEEKDAY('Daily Schedule'!$B$2,2)=1,WEEKDAY('Daily Schedule'!$B$2,2)=4,WEEKDAY('Daily Schedule'!$B$2,2)=5,WEEKDAY('Daily Schedule'!$B$2,2)=7),IFERROR(1*'Daily Workforce'!$K119&gt;=3,FALSE()),IFERROR(1*'Daily Workforce'!$K119&gt;=2,FALSE())),IF(AND('Daily Schedule'!$A32&gt;=46,'Daily Schedule'!$A32&lt;=52),'Daily Workforce'!$M119="Y",IFERROR(1*'Daily Workforce'!$P119&gt;=2,FALSE()))))),1,0)</f>
        <v>0</v>
      </c>
      <c r="EA28" s="1" t="n">
        <f aca="false">IF(AND('Daily Workforce'!$N120="Y",'Daily Workforce'!$B120&lt;&gt;"",COUNTIF('Daily Schedule'!$F$5:$F31,'Daily Workforce'!$B120)=0,IF('Daily Schedule'!$A32=45,'Daily Workforce'!$J120="Y",IF(OR('Daily Schedule'!$A32=4,'Daily Schedule'!$A32=8),IF(OR(WEEKDAY('Daily Schedule'!$B$2,2)=1,WEEKDAY('Daily Schedule'!$B$2,2)=4,WEEKDAY('Daily Schedule'!$B$2,2)=5,WEEKDAY('Daily Schedule'!$B$2,2)=7),IFERROR(1*'Daily Workforce'!$K120&gt;=3,FALSE()),IFERROR(1*'Daily Workforce'!$K120&gt;=2,FALSE())),IF(AND('Daily Schedule'!$A32&gt;=46,'Daily Schedule'!$A32&lt;=52),'Daily Workforce'!$M120="Y",IFERROR(1*'Daily Workforce'!$P120&gt;=2,FALSE()))))),1,0)</f>
        <v>0</v>
      </c>
      <c r="EB28" s="1" t="n">
        <f aca="false">IF(AND('Daily Workforce'!$N121="Y",'Daily Workforce'!$B121&lt;&gt;"",COUNTIF('Daily Schedule'!$F$5:$F31,'Daily Workforce'!$B121)=0,IF('Daily Schedule'!$A32=45,'Daily Workforce'!$J121="Y",IF(OR('Daily Schedule'!$A32=4,'Daily Schedule'!$A32=8),IF(OR(WEEKDAY('Daily Schedule'!$B$2,2)=1,WEEKDAY('Daily Schedule'!$B$2,2)=4,WEEKDAY('Daily Schedule'!$B$2,2)=5,WEEKDAY('Daily Schedule'!$B$2,2)=7),IFERROR(1*'Daily Workforce'!$K121&gt;=3,FALSE()),IFERROR(1*'Daily Workforce'!$K121&gt;=2,FALSE())),IF(AND('Daily Schedule'!$A32&gt;=46,'Daily Schedule'!$A32&lt;=52),'Daily Workforce'!$M121="Y",IFERROR(1*'Daily Workforce'!$P121&gt;=2,FALSE()))))),1,0)</f>
        <v>0</v>
      </c>
      <c r="EC28" s="1" t="n">
        <f aca="false">IF(AND('Daily Workforce'!$N122="Y",'Daily Workforce'!$B122&lt;&gt;"",COUNTIF('Daily Schedule'!$F$5:$F31,'Daily Workforce'!$B122)=0,IF('Daily Schedule'!$A32=45,'Daily Workforce'!$J122="Y",IF(OR('Daily Schedule'!$A32=4,'Daily Schedule'!$A32=8),IF(OR(WEEKDAY('Daily Schedule'!$B$2,2)=1,WEEKDAY('Daily Schedule'!$B$2,2)=4,WEEKDAY('Daily Schedule'!$B$2,2)=5,WEEKDAY('Daily Schedule'!$B$2,2)=7),IFERROR(1*'Daily Workforce'!$K122&gt;=3,FALSE()),IFERROR(1*'Daily Workforce'!$K122&gt;=2,FALSE())),IF(AND('Daily Schedule'!$A32&gt;=46,'Daily Schedule'!$A32&lt;=52),'Daily Workforce'!$M122="Y",IFERROR(1*'Daily Workforce'!$P122&gt;=2,FALSE()))))),1,0)</f>
        <v>0</v>
      </c>
      <c r="ED28" s="1" t="n">
        <f aca="false">IF(AND('Daily Workforce'!$N123="Y",'Daily Workforce'!$B123&lt;&gt;"",COUNTIF('Daily Schedule'!$F$5:$F31,'Daily Workforce'!$B123)=0,IF('Daily Schedule'!$A32=45,'Daily Workforce'!$J123="Y",IF(OR('Daily Schedule'!$A32=4,'Daily Schedule'!$A32=8),IF(OR(WEEKDAY('Daily Schedule'!$B$2,2)=1,WEEKDAY('Daily Schedule'!$B$2,2)=4,WEEKDAY('Daily Schedule'!$B$2,2)=5,WEEKDAY('Daily Schedule'!$B$2,2)=7),IFERROR(1*'Daily Workforce'!$K123&gt;=3,FALSE()),IFERROR(1*'Daily Workforce'!$K123&gt;=2,FALSE())),IF(AND('Daily Schedule'!$A32&gt;=46,'Daily Schedule'!$A32&lt;=52),'Daily Workforce'!$M123="Y",IFERROR(1*'Daily Workforce'!$P123&gt;=2,FALSE()))))),1,0)</f>
        <v>0</v>
      </c>
      <c r="EE28" s="1" t="n">
        <f aca="false">IF(AND('Daily Workforce'!$N124="Y",'Daily Workforce'!$B124&lt;&gt;"",COUNTIF('Daily Schedule'!$F$5:$F31,'Daily Workforce'!$B124)=0,IF('Daily Schedule'!$A32=45,'Daily Workforce'!$J124="Y",IF(OR('Daily Schedule'!$A32=4,'Daily Schedule'!$A32=8),IF(OR(WEEKDAY('Daily Schedule'!$B$2,2)=1,WEEKDAY('Daily Schedule'!$B$2,2)=4,WEEKDAY('Daily Schedule'!$B$2,2)=5,WEEKDAY('Daily Schedule'!$B$2,2)=7),IFERROR(1*'Daily Workforce'!$K124&gt;=3,FALSE()),IFERROR(1*'Daily Workforce'!$K124&gt;=2,FALSE())),IF(AND('Daily Schedule'!$A32&gt;=46,'Daily Schedule'!$A32&lt;=52),'Daily Workforce'!$M124="Y",IFERROR(1*'Daily Workforce'!$P124&gt;=2,FALSE()))))),1,0)</f>
        <v>0</v>
      </c>
      <c r="EF28" s="1" t="n">
        <f aca="false">IF(AND('Daily Workforce'!$N125="Y",'Daily Workforce'!$B125&lt;&gt;"",COUNTIF('Daily Schedule'!$F$5:$F31,'Daily Workforce'!$B125)=0,IF('Daily Schedule'!$A32=45,'Daily Workforce'!$J125="Y",IF(OR('Daily Schedule'!$A32=4,'Daily Schedule'!$A32=8),IF(OR(WEEKDAY('Daily Schedule'!$B$2,2)=1,WEEKDAY('Daily Schedule'!$B$2,2)=4,WEEKDAY('Daily Schedule'!$B$2,2)=5,WEEKDAY('Daily Schedule'!$B$2,2)=7),IFERROR(1*'Daily Workforce'!$K125&gt;=3,FALSE()),IFERROR(1*'Daily Workforce'!$K125&gt;=2,FALSE())),IF(AND('Daily Schedule'!$A32&gt;=46,'Daily Schedule'!$A32&lt;=52),'Daily Workforce'!$M125="Y",IFERROR(1*'Daily Workforce'!$P125&gt;=2,FALSE()))))),1,0)</f>
        <v>0</v>
      </c>
      <c r="EG28" s="1" t="n">
        <f aca="false">IF(AND('Daily Workforce'!$N126="Y",'Daily Workforce'!$B126&lt;&gt;"",COUNTIF('Daily Schedule'!$F$5:$F31,'Daily Workforce'!$B126)=0,IF('Daily Schedule'!$A32=45,'Daily Workforce'!$J126="Y",IF(OR('Daily Schedule'!$A32=4,'Daily Schedule'!$A32=8),IF(OR(WEEKDAY('Daily Schedule'!$B$2,2)=1,WEEKDAY('Daily Schedule'!$B$2,2)=4,WEEKDAY('Daily Schedule'!$B$2,2)=5,WEEKDAY('Daily Schedule'!$B$2,2)=7),IFERROR(1*'Daily Workforce'!$K126&gt;=3,FALSE()),IFERROR(1*'Daily Workforce'!$K126&gt;=2,FALSE())),IF(AND('Daily Schedule'!$A32&gt;=46,'Daily Schedule'!$A32&lt;=52),'Daily Workforce'!$M126="Y",IFERROR(1*'Daily Workforce'!$P126&gt;=2,FALSE()))))),1,0)</f>
        <v>0</v>
      </c>
      <c r="EH28" s="1" t="n">
        <f aca="false">IF(AND('Daily Workforce'!$N127="Y",'Daily Workforce'!$B127&lt;&gt;"",COUNTIF('Daily Schedule'!$F$5:$F31,'Daily Workforce'!$B127)=0,IF('Daily Schedule'!$A32=45,'Daily Workforce'!$J127="Y",IF(OR('Daily Schedule'!$A32=4,'Daily Schedule'!$A32=8),IF(OR(WEEKDAY('Daily Schedule'!$B$2,2)=1,WEEKDAY('Daily Schedule'!$B$2,2)=4,WEEKDAY('Daily Schedule'!$B$2,2)=5,WEEKDAY('Daily Schedule'!$B$2,2)=7),IFERROR(1*'Daily Workforce'!$K127&gt;=3,FALSE()),IFERROR(1*'Daily Workforce'!$K127&gt;=2,FALSE())),IF(AND('Daily Schedule'!$A32&gt;=46,'Daily Schedule'!$A32&lt;=52),'Daily Workforce'!$M127="Y",IFERROR(1*'Daily Workforce'!$P127&gt;=2,FALSE()))))),1,0)</f>
        <v>0</v>
      </c>
      <c r="EI28" s="1" t="n">
        <f aca="false">IF(AND('Daily Workforce'!$N128="Y",'Daily Workforce'!$B128&lt;&gt;"",COUNTIF('Daily Schedule'!$F$5:$F31,'Daily Workforce'!$B128)=0,IF('Daily Schedule'!$A32=45,'Daily Workforce'!$J128="Y",IF(OR('Daily Schedule'!$A32=4,'Daily Schedule'!$A32=8),IF(OR(WEEKDAY('Daily Schedule'!$B$2,2)=1,WEEKDAY('Daily Schedule'!$B$2,2)=4,WEEKDAY('Daily Schedule'!$B$2,2)=5,WEEKDAY('Daily Schedule'!$B$2,2)=7),IFERROR(1*'Daily Workforce'!$K128&gt;=3,FALSE()),IFERROR(1*'Daily Workforce'!$K128&gt;=2,FALSE())),IF(AND('Daily Schedule'!$A32&gt;=46,'Daily Schedule'!$A32&lt;=52),'Daily Workforce'!$M128="Y",IFERROR(1*'Daily Workforce'!$P128&gt;=2,FALSE()))))),1,0)</f>
        <v>0</v>
      </c>
      <c r="EJ28" s="1" t="n">
        <f aca="false">IF(AND('Daily Workforce'!$N129="Y",'Daily Workforce'!$B129&lt;&gt;"",COUNTIF('Daily Schedule'!$F$5:$F31,'Daily Workforce'!$B129)=0,IF('Daily Schedule'!$A32=45,'Daily Workforce'!$J129="Y",IF(OR('Daily Schedule'!$A32=4,'Daily Schedule'!$A32=8),IF(OR(WEEKDAY('Daily Schedule'!$B$2,2)=1,WEEKDAY('Daily Schedule'!$B$2,2)=4,WEEKDAY('Daily Schedule'!$B$2,2)=5,WEEKDAY('Daily Schedule'!$B$2,2)=7),IFERROR(1*'Daily Workforce'!$K129&gt;=3,FALSE()),IFERROR(1*'Daily Workforce'!$K129&gt;=2,FALSE())),IF(AND('Daily Schedule'!$A32&gt;=46,'Daily Schedule'!$A32&lt;=52),'Daily Workforce'!$M129="Y",IFERROR(1*'Daily Workforce'!$P129&gt;=2,FALSE()))))),1,0)</f>
        <v>0</v>
      </c>
      <c r="EK28" s="1" t="n">
        <f aca="false">IF(AND('Daily Workforce'!$N130="Y",'Daily Workforce'!$B130&lt;&gt;"",COUNTIF('Daily Schedule'!$F$5:$F31,'Daily Workforce'!$B130)=0,IF('Daily Schedule'!$A32=45,'Daily Workforce'!$J130="Y",IF(OR('Daily Schedule'!$A32=4,'Daily Schedule'!$A32=8),IF(OR(WEEKDAY('Daily Schedule'!$B$2,2)=1,WEEKDAY('Daily Schedule'!$B$2,2)=4,WEEKDAY('Daily Schedule'!$B$2,2)=5,WEEKDAY('Daily Schedule'!$B$2,2)=7),IFERROR(1*'Daily Workforce'!$K130&gt;=3,FALSE()),IFERROR(1*'Daily Workforce'!$K130&gt;=2,FALSE())),IF(AND('Daily Schedule'!$A32&gt;=46,'Daily Schedule'!$A32&lt;=52),'Daily Workforce'!$M130="Y",IFERROR(1*'Daily Workforce'!$P130&gt;=2,FALSE()))))),1,0)</f>
        <v>0</v>
      </c>
      <c r="EL28" s="1" t="n">
        <f aca="false">IF(AND('Daily Workforce'!$N131="Y",'Daily Workforce'!$B131&lt;&gt;"",COUNTIF('Daily Schedule'!$F$5:$F31,'Daily Workforce'!$B131)=0,IF('Daily Schedule'!$A32=45,'Daily Workforce'!$J131="Y",IF(OR('Daily Schedule'!$A32=4,'Daily Schedule'!$A32=8),IF(OR(WEEKDAY('Daily Schedule'!$B$2,2)=1,WEEKDAY('Daily Schedule'!$B$2,2)=4,WEEKDAY('Daily Schedule'!$B$2,2)=5,WEEKDAY('Daily Schedule'!$B$2,2)=7),IFERROR(1*'Daily Workforce'!$K131&gt;=3,FALSE()),IFERROR(1*'Daily Workforce'!$K131&gt;=2,FALSE())),IF(AND('Daily Schedule'!$A32&gt;=46,'Daily Schedule'!$A32&lt;=52),'Daily Workforce'!$M131="Y",IFERROR(1*'Daily Workforce'!$P131&gt;=2,FALSE()))))),1,0)</f>
        <v>0</v>
      </c>
      <c r="EM28" s="1" t="n">
        <f aca="false">IF(AND('Daily Workforce'!$N132="Y",'Daily Workforce'!$B132&lt;&gt;"",COUNTIF('Daily Schedule'!$F$5:$F31,'Daily Workforce'!$B132)=0,IF('Daily Schedule'!$A32=45,'Daily Workforce'!$J132="Y",IF(OR('Daily Schedule'!$A32=4,'Daily Schedule'!$A32=8),IF(OR(WEEKDAY('Daily Schedule'!$B$2,2)=1,WEEKDAY('Daily Schedule'!$B$2,2)=4,WEEKDAY('Daily Schedule'!$B$2,2)=5,WEEKDAY('Daily Schedule'!$B$2,2)=7),IFERROR(1*'Daily Workforce'!$K132&gt;=3,FALSE()),IFERROR(1*'Daily Workforce'!$K132&gt;=2,FALSE())),IF(AND('Daily Schedule'!$A32&gt;=46,'Daily Schedule'!$A32&lt;=52),'Daily Workforce'!$M132="Y",IFERROR(1*'Daily Workforce'!$P132&gt;=2,FALSE()))))),1,0)</f>
        <v>0</v>
      </c>
      <c r="EN28" s="1" t="n">
        <f aca="false">IF(AND('Daily Workforce'!$N133="Y",'Daily Workforce'!$B133&lt;&gt;"",COUNTIF('Daily Schedule'!$F$5:$F31,'Daily Workforce'!$B133)=0,IF('Daily Schedule'!$A32=45,'Daily Workforce'!$J133="Y",IF(OR('Daily Schedule'!$A32=4,'Daily Schedule'!$A32=8),IF(OR(WEEKDAY('Daily Schedule'!$B$2,2)=1,WEEKDAY('Daily Schedule'!$B$2,2)=4,WEEKDAY('Daily Schedule'!$B$2,2)=5,WEEKDAY('Daily Schedule'!$B$2,2)=7),IFERROR(1*'Daily Workforce'!$K133&gt;=3,FALSE()),IFERROR(1*'Daily Workforce'!$K133&gt;=2,FALSE())),IF(AND('Daily Schedule'!$A32&gt;=46,'Daily Schedule'!$A32&lt;=52),'Daily Workforce'!$M133="Y",IFERROR(1*'Daily Workforce'!$P133&gt;=2,FALSE()))))),1,0)</f>
        <v>0</v>
      </c>
      <c r="EO28" s="1" t="n">
        <f aca="false">IF(AND('Daily Workforce'!$N134="Y",'Daily Workforce'!$B134&lt;&gt;"",COUNTIF('Daily Schedule'!$F$5:$F31,'Daily Workforce'!$B134)=0,IF('Daily Schedule'!$A32=45,'Daily Workforce'!$J134="Y",IF(OR('Daily Schedule'!$A32=4,'Daily Schedule'!$A32=8),IF(OR(WEEKDAY('Daily Schedule'!$B$2,2)=1,WEEKDAY('Daily Schedule'!$B$2,2)=4,WEEKDAY('Daily Schedule'!$B$2,2)=5,WEEKDAY('Daily Schedule'!$B$2,2)=7),IFERROR(1*'Daily Workforce'!$K134&gt;=3,FALSE()),IFERROR(1*'Daily Workforce'!$K134&gt;=2,FALSE())),IF(AND('Daily Schedule'!$A32&gt;=46,'Daily Schedule'!$A32&lt;=52),'Daily Workforce'!$M134="Y",IFERROR(1*'Daily Workforce'!$P134&gt;=2,FALSE()))))),1,0)</f>
        <v>0</v>
      </c>
      <c r="EP28" s="1" t="n">
        <f aca="false">IF(AND('Daily Workforce'!$N135="Y",'Daily Workforce'!$B135&lt;&gt;"",COUNTIF('Daily Schedule'!$F$5:$F31,'Daily Workforce'!$B135)=0,IF('Daily Schedule'!$A32=45,'Daily Workforce'!$J135="Y",IF(OR('Daily Schedule'!$A32=4,'Daily Schedule'!$A32=8),IF(OR(WEEKDAY('Daily Schedule'!$B$2,2)=1,WEEKDAY('Daily Schedule'!$B$2,2)=4,WEEKDAY('Daily Schedule'!$B$2,2)=5,WEEKDAY('Daily Schedule'!$B$2,2)=7),IFERROR(1*'Daily Workforce'!$K135&gt;=3,FALSE()),IFERROR(1*'Daily Workforce'!$K135&gt;=2,FALSE())),IF(AND('Daily Schedule'!$A32&gt;=46,'Daily Schedule'!$A32&lt;=52),'Daily Workforce'!$M135="Y",IFERROR(1*'Daily Workforce'!$P135&gt;=2,FALSE()))))),1,0)</f>
        <v>0</v>
      </c>
      <c r="EQ28" s="1" t="n">
        <f aca="false">IF(AND('Daily Workforce'!$N136="Y",'Daily Workforce'!$B136&lt;&gt;"",COUNTIF('Daily Schedule'!$F$5:$F31,'Daily Workforce'!$B136)=0,IF('Daily Schedule'!$A32=45,'Daily Workforce'!$J136="Y",IF(OR('Daily Schedule'!$A32=4,'Daily Schedule'!$A32=8),IF(OR(WEEKDAY('Daily Schedule'!$B$2,2)=1,WEEKDAY('Daily Schedule'!$B$2,2)=4,WEEKDAY('Daily Schedule'!$B$2,2)=5,WEEKDAY('Daily Schedule'!$B$2,2)=7),IFERROR(1*'Daily Workforce'!$K136&gt;=3,FALSE()),IFERROR(1*'Daily Workforce'!$K136&gt;=2,FALSE())),IF(AND('Daily Schedule'!$A32&gt;=46,'Daily Schedule'!$A32&lt;=52),'Daily Workforce'!$M136="Y",IFERROR(1*'Daily Workforce'!$P136&gt;=2,FALSE()))))),1,0)</f>
        <v>0</v>
      </c>
      <c r="ER28" s="1" t="n">
        <f aca="false">IF(AND('Daily Workforce'!$N137="Y",'Daily Workforce'!$B137&lt;&gt;"",COUNTIF('Daily Schedule'!$F$5:$F31,'Daily Workforce'!$B137)=0,IF('Daily Schedule'!$A32=45,'Daily Workforce'!$J137="Y",IF(OR('Daily Schedule'!$A32=4,'Daily Schedule'!$A32=8),IF(OR(WEEKDAY('Daily Schedule'!$B$2,2)=1,WEEKDAY('Daily Schedule'!$B$2,2)=4,WEEKDAY('Daily Schedule'!$B$2,2)=5,WEEKDAY('Daily Schedule'!$B$2,2)=7),IFERROR(1*'Daily Workforce'!$K137&gt;=3,FALSE()),IFERROR(1*'Daily Workforce'!$K137&gt;=2,FALSE())),IF(AND('Daily Schedule'!$A32&gt;=46,'Daily Schedule'!$A32&lt;=52),'Daily Workforce'!$M137="Y",IFERROR(1*'Daily Workforce'!$P137&gt;=2,FALSE()))))),1,0)</f>
        <v>0</v>
      </c>
      <c r="ES28" s="1" t="n">
        <f aca="false">IF(AND('Daily Workforce'!$N138="Y",'Daily Workforce'!$B138&lt;&gt;"",COUNTIF('Daily Schedule'!$F$5:$F31,'Daily Workforce'!$B138)=0,IF('Daily Schedule'!$A32=45,'Daily Workforce'!$J138="Y",IF(OR('Daily Schedule'!$A32=4,'Daily Schedule'!$A32=8),IF(OR(WEEKDAY('Daily Schedule'!$B$2,2)=1,WEEKDAY('Daily Schedule'!$B$2,2)=4,WEEKDAY('Daily Schedule'!$B$2,2)=5,WEEKDAY('Daily Schedule'!$B$2,2)=7),IFERROR(1*'Daily Workforce'!$K138&gt;=3,FALSE()),IFERROR(1*'Daily Workforce'!$K138&gt;=2,FALSE())),IF(AND('Daily Schedule'!$A32&gt;=46,'Daily Schedule'!$A32&lt;=52),'Daily Workforce'!$M138="Y",IFERROR(1*'Daily Workforce'!$P138&gt;=2,FALSE()))))),1,0)</f>
        <v>0</v>
      </c>
      <c r="ET28" s="1" t="n">
        <f aca="false">IF(AND('Daily Workforce'!$N139="Y",'Daily Workforce'!$B139&lt;&gt;"",COUNTIF('Daily Schedule'!$F$5:$F31,'Daily Workforce'!$B139)=0,IF('Daily Schedule'!$A32=45,'Daily Workforce'!$J139="Y",IF(OR('Daily Schedule'!$A32=4,'Daily Schedule'!$A32=8),IF(OR(WEEKDAY('Daily Schedule'!$B$2,2)=1,WEEKDAY('Daily Schedule'!$B$2,2)=4,WEEKDAY('Daily Schedule'!$B$2,2)=5,WEEKDAY('Daily Schedule'!$B$2,2)=7),IFERROR(1*'Daily Workforce'!$K139&gt;=3,FALSE()),IFERROR(1*'Daily Workforce'!$K139&gt;=2,FALSE())),IF(AND('Daily Schedule'!$A32&gt;=46,'Daily Schedule'!$A32&lt;=52),'Daily Workforce'!$M139="Y",IFERROR(1*'Daily Workforce'!$P139&gt;=2,FALSE()))))),1,0)</f>
        <v>0</v>
      </c>
      <c r="EU28" s="1" t="n">
        <f aca="false">IF(AND('Daily Workforce'!$N140="Y",'Daily Workforce'!$B140&lt;&gt;"",COUNTIF('Daily Schedule'!$F$5:$F31,'Daily Workforce'!$B140)=0,IF('Daily Schedule'!$A32=45,'Daily Workforce'!$J140="Y",IF(OR('Daily Schedule'!$A32=4,'Daily Schedule'!$A32=8),IF(OR(WEEKDAY('Daily Schedule'!$B$2,2)=1,WEEKDAY('Daily Schedule'!$B$2,2)=4,WEEKDAY('Daily Schedule'!$B$2,2)=5,WEEKDAY('Daily Schedule'!$B$2,2)=7),IFERROR(1*'Daily Workforce'!$K140&gt;=3,FALSE()),IFERROR(1*'Daily Workforce'!$K140&gt;=2,FALSE())),IF(AND('Daily Schedule'!$A32&gt;=46,'Daily Schedule'!$A32&lt;=52),'Daily Workforce'!$M140="Y",IFERROR(1*'Daily Workforce'!$P140&gt;=2,FALSE()))))),1,0)</f>
        <v>0</v>
      </c>
      <c r="EV28" s="1" t="n">
        <f aca="false">IF(AND('Daily Workforce'!$N141="Y",'Daily Workforce'!$B141&lt;&gt;"",COUNTIF('Daily Schedule'!$F$5:$F31,'Daily Workforce'!$B141)=0,IF('Daily Schedule'!$A32=45,'Daily Workforce'!$J141="Y",IF(OR('Daily Schedule'!$A32=4,'Daily Schedule'!$A32=8),IF(OR(WEEKDAY('Daily Schedule'!$B$2,2)=1,WEEKDAY('Daily Schedule'!$B$2,2)=4,WEEKDAY('Daily Schedule'!$B$2,2)=5,WEEKDAY('Daily Schedule'!$B$2,2)=7),IFERROR(1*'Daily Workforce'!$K141&gt;=3,FALSE()),IFERROR(1*'Daily Workforce'!$K141&gt;=2,FALSE())),IF(AND('Daily Schedule'!$A32&gt;=46,'Daily Schedule'!$A32&lt;=52),'Daily Workforce'!$M141="Y",IFERROR(1*'Daily Workforce'!$P141&gt;=2,FALSE()))))),1,0)</f>
        <v>0</v>
      </c>
      <c r="EW28" s="1" t="n">
        <f aca="false">IF(AND('Daily Workforce'!$N142="Y",'Daily Workforce'!$B142&lt;&gt;"",COUNTIF('Daily Schedule'!$F$5:$F31,'Daily Workforce'!$B142)=0,IF('Daily Schedule'!$A32=45,'Daily Workforce'!$J142="Y",IF(OR('Daily Schedule'!$A32=4,'Daily Schedule'!$A32=8),IF(OR(WEEKDAY('Daily Schedule'!$B$2,2)=1,WEEKDAY('Daily Schedule'!$B$2,2)=4,WEEKDAY('Daily Schedule'!$B$2,2)=5,WEEKDAY('Daily Schedule'!$B$2,2)=7),IFERROR(1*'Daily Workforce'!$K142&gt;=3,FALSE()),IFERROR(1*'Daily Workforce'!$K142&gt;=2,FALSE())),IF(AND('Daily Schedule'!$A32&gt;=46,'Daily Schedule'!$A32&lt;=52),'Daily Workforce'!$M142="Y",IFERROR(1*'Daily Workforce'!$P142&gt;=2,FALSE()))))),1,0)</f>
        <v>0</v>
      </c>
      <c r="EX28" s="1" t="n">
        <f aca="false">IF(AND('Daily Workforce'!$N143="Y",'Daily Workforce'!$B143&lt;&gt;"",COUNTIF('Daily Schedule'!$F$5:$F31,'Daily Workforce'!$B143)=0,IF('Daily Schedule'!$A32=45,'Daily Workforce'!$J143="Y",IF(OR('Daily Schedule'!$A32=4,'Daily Schedule'!$A32=8),IF(OR(WEEKDAY('Daily Schedule'!$B$2,2)=1,WEEKDAY('Daily Schedule'!$B$2,2)=4,WEEKDAY('Daily Schedule'!$B$2,2)=5,WEEKDAY('Daily Schedule'!$B$2,2)=7),IFERROR(1*'Daily Workforce'!$K143&gt;=3,FALSE()),IFERROR(1*'Daily Workforce'!$K143&gt;=2,FALSE())),IF(AND('Daily Schedule'!$A32&gt;=46,'Daily Schedule'!$A32&lt;=52),'Daily Workforce'!$M143="Y",IFERROR(1*'Daily Workforce'!$P143&gt;=2,FALSE()))))),1,0)</f>
        <v>0</v>
      </c>
      <c r="EY28" s="1" t="n">
        <f aca="false">IF(AND('Daily Workforce'!$N144="Y",'Daily Workforce'!$B144&lt;&gt;"",COUNTIF('Daily Schedule'!$F$5:$F31,'Daily Workforce'!$B144)=0,IF('Daily Schedule'!$A32=45,'Daily Workforce'!$J144="Y",IF(OR('Daily Schedule'!$A32=4,'Daily Schedule'!$A32=8),IF(OR(WEEKDAY('Daily Schedule'!$B$2,2)=1,WEEKDAY('Daily Schedule'!$B$2,2)=4,WEEKDAY('Daily Schedule'!$B$2,2)=5,WEEKDAY('Daily Schedule'!$B$2,2)=7),IFERROR(1*'Daily Workforce'!$K144&gt;=3,FALSE()),IFERROR(1*'Daily Workforce'!$K144&gt;=2,FALSE())),IF(AND('Daily Schedule'!$A32&gt;=46,'Daily Schedule'!$A32&lt;=52),'Daily Workforce'!$M144="Y",IFERROR(1*'Daily Workforce'!$P144&gt;=2,FALSE()))))),1,0)</f>
        <v>0</v>
      </c>
      <c r="EZ28" s="1" t="n">
        <f aca="false">IF(AND('Daily Workforce'!$N145="Y",'Daily Workforce'!$B145&lt;&gt;"",COUNTIF('Daily Schedule'!$F$5:$F31,'Daily Workforce'!$B145)=0,IF('Daily Schedule'!$A32=45,'Daily Workforce'!$J145="Y",IF(OR('Daily Schedule'!$A32=4,'Daily Schedule'!$A32=8),IF(OR(WEEKDAY('Daily Schedule'!$B$2,2)=1,WEEKDAY('Daily Schedule'!$B$2,2)=4,WEEKDAY('Daily Schedule'!$B$2,2)=5,WEEKDAY('Daily Schedule'!$B$2,2)=7),IFERROR(1*'Daily Workforce'!$K145&gt;=3,FALSE()),IFERROR(1*'Daily Workforce'!$K145&gt;=2,FALSE())),IF(AND('Daily Schedule'!$A32&gt;=46,'Daily Schedule'!$A32&lt;=52),'Daily Workforce'!$M145="Y",IFERROR(1*'Daily Workforce'!$P145&gt;=2,FALSE()))))),1,0)</f>
        <v>0</v>
      </c>
      <c r="FA28" s="1" t="n">
        <f aca="false">IF(AND('Daily Workforce'!$N146="Y",'Daily Workforce'!$B146&lt;&gt;"",COUNTIF('Daily Schedule'!$F$5:$F31,'Daily Workforce'!$B146)=0,IF('Daily Schedule'!$A32=45,'Daily Workforce'!$J146="Y",IF(OR('Daily Schedule'!$A32=4,'Daily Schedule'!$A32=8),IF(OR(WEEKDAY('Daily Schedule'!$B$2,2)=1,WEEKDAY('Daily Schedule'!$B$2,2)=4,WEEKDAY('Daily Schedule'!$B$2,2)=5,WEEKDAY('Daily Schedule'!$B$2,2)=7),IFERROR(1*'Daily Workforce'!$K146&gt;=3,FALSE()),IFERROR(1*'Daily Workforce'!$K146&gt;=2,FALSE())),IF(AND('Daily Schedule'!$A32&gt;=46,'Daily Schedule'!$A32&lt;=52),'Daily Workforce'!$M146="Y",IFERROR(1*'Daily Workforce'!$P146&gt;=2,FALSE()))))),1,0)</f>
        <v>0</v>
      </c>
      <c r="FB28" s="1" t="n">
        <f aca="false">IF(AND('Daily Workforce'!$N147="Y",'Daily Workforce'!$B147&lt;&gt;"",COUNTIF('Daily Schedule'!$F$5:$F31,'Daily Workforce'!$B147)=0,IF('Daily Schedule'!$A32=45,'Daily Workforce'!$J147="Y",IF(OR('Daily Schedule'!$A32=4,'Daily Schedule'!$A32=8),IF(OR(WEEKDAY('Daily Schedule'!$B$2,2)=1,WEEKDAY('Daily Schedule'!$B$2,2)=4,WEEKDAY('Daily Schedule'!$B$2,2)=5,WEEKDAY('Daily Schedule'!$B$2,2)=7),IFERROR(1*'Daily Workforce'!$K147&gt;=3,FALSE()),IFERROR(1*'Daily Workforce'!$K147&gt;=2,FALSE())),IF(AND('Daily Schedule'!$A32&gt;=46,'Daily Schedule'!$A32&lt;=52),'Daily Workforce'!$M147="Y",IFERROR(1*'Daily Workforce'!$P147&gt;=2,FALSE()))))),1,0)</f>
        <v>0</v>
      </c>
      <c r="FC28" s="1" t="n">
        <f aca="false">IF(AND('Daily Workforce'!$N148="Y",'Daily Workforce'!$B148&lt;&gt;"",COUNTIF('Daily Schedule'!$F$5:$F31,'Daily Workforce'!$B148)=0,IF('Daily Schedule'!$A32=45,'Daily Workforce'!$J148="Y",IF(OR('Daily Schedule'!$A32=4,'Daily Schedule'!$A32=8),IF(OR(WEEKDAY('Daily Schedule'!$B$2,2)=1,WEEKDAY('Daily Schedule'!$B$2,2)=4,WEEKDAY('Daily Schedule'!$B$2,2)=5,WEEKDAY('Daily Schedule'!$B$2,2)=7),IFERROR(1*'Daily Workforce'!$K148&gt;=3,FALSE()),IFERROR(1*'Daily Workforce'!$K148&gt;=2,FALSE())),IF(AND('Daily Schedule'!$A32&gt;=46,'Daily Schedule'!$A32&lt;=52),'Daily Workforce'!$M148="Y",IFERROR(1*'Daily Workforce'!$P148&gt;=2,FALSE()))))),1,0)</f>
        <v>0</v>
      </c>
      <c r="FD28" s="1" t="n">
        <f aca="false">IF(AND('Daily Workforce'!$N149="Y",'Daily Workforce'!$B149&lt;&gt;"",COUNTIF('Daily Schedule'!$F$5:$F31,'Daily Workforce'!$B149)=0,IF('Daily Schedule'!$A32=45,'Daily Workforce'!$J149="Y",IF(OR('Daily Schedule'!$A32=4,'Daily Schedule'!$A32=8),IF(OR(WEEKDAY('Daily Schedule'!$B$2,2)=1,WEEKDAY('Daily Schedule'!$B$2,2)=4,WEEKDAY('Daily Schedule'!$B$2,2)=5,WEEKDAY('Daily Schedule'!$B$2,2)=7),IFERROR(1*'Daily Workforce'!$K149&gt;=3,FALSE()),IFERROR(1*'Daily Workforce'!$K149&gt;=2,FALSE())),IF(AND('Daily Schedule'!$A32&gt;=46,'Daily Schedule'!$A32&lt;=52),'Daily Workforce'!$M149="Y",IFERROR(1*'Daily Workforce'!$P149&gt;=2,FALSE()))))),1,0)</f>
        <v>0</v>
      </c>
      <c r="FE28" s="1" t="n">
        <f aca="false">IF(AND('Daily Workforce'!$N150="Y",'Daily Workforce'!$B150&lt;&gt;"",COUNTIF('Daily Schedule'!$F$5:$F31,'Daily Workforce'!$B150)=0,IF('Daily Schedule'!$A32=45,'Daily Workforce'!$J150="Y",IF(OR('Daily Schedule'!$A32=4,'Daily Schedule'!$A32=8),IF(OR(WEEKDAY('Daily Schedule'!$B$2,2)=1,WEEKDAY('Daily Schedule'!$B$2,2)=4,WEEKDAY('Daily Schedule'!$B$2,2)=5,WEEKDAY('Daily Schedule'!$B$2,2)=7),IFERROR(1*'Daily Workforce'!$K150&gt;=3,FALSE()),IFERROR(1*'Daily Workforce'!$K150&gt;=2,FALSE())),IF(AND('Daily Schedule'!$A32&gt;=46,'Daily Schedule'!$A32&lt;=52),'Daily Workforce'!$M150="Y",IFERROR(1*'Daily Workforce'!$P150&gt;=2,FALSE()))))),1,0)</f>
        <v>0</v>
      </c>
      <c r="FF28" s="1" t="n">
        <f aca="false">IF(AND('Daily Workforce'!$N151="Y",'Daily Workforce'!$B151&lt;&gt;"",COUNTIF('Daily Schedule'!$F$5:$F31,'Daily Workforce'!$B151)=0,IF('Daily Schedule'!$A32=45,'Daily Workforce'!$J151="Y",IF(OR('Daily Schedule'!$A32=4,'Daily Schedule'!$A32=8),IF(OR(WEEKDAY('Daily Schedule'!$B$2,2)=1,WEEKDAY('Daily Schedule'!$B$2,2)=4,WEEKDAY('Daily Schedule'!$B$2,2)=5,WEEKDAY('Daily Schedule'!$B$2,2)=7),IFERROR(1*'Daily Workforce'!$K151&gt;=3,FALSE()),IFERROR(1*'Daily Workforce'!$K151&gt;=2,FALSE())),IF(AND('Daily Schedule'!$A32&gt;=46,'Daily Schedule'!$A32&lt;=52),'Daily Workforce'!$M151="Y",IFERROR(1*'Daily Workforce'!$P151&gt;=2,FALSE()))))),1,0)</f>
        <v>0</v>
      </c>
      <c r="FG28" s="1" t="n">
        <f aca="false">IF(AND('Daily Workforce'!$N152="Y",'Daily Workforce'!$B152&lt;&gt;"",COUNTIF('Daily Schedule'!$F$5:$F31,'Daily Workforce'!$B152)=0,IF('Daily Schedule'!$A32=45,'Daily Workforce'!$J152="Y",IF(OR('Daily Schedule'!$A32=4,'Daily Schedule'!$A32=8),IF(OR(WEEKDAY('Daily Schedule'!$B$2,2)=1,WEEKDAY('Daily Schedule'!$B$2,2)=4,WEEKDAY('Daily Schedule'!$B$2,2)=5,WEEKDAY('Daily Schedule'!$B$2,2)=7),IFERROR(1*'Daily Workforce'!$K152&gt;=3,FALSE()),IFERROR(1*'Daily Workforce'!$K152&gt;=2,FALSE())),IF(AND('Daily Schedule'!$A32&gt;=46,'Daily Schedule'!$A32&lt;=52),'Daily Workforce'!$M152="Y",IFERROR(1*'Daily Workforce'!$P152&gt;=2,FALSE()))))),1,0)</f>
        <v>0</v>
      </c>
      <c r="FH28" s="1" t="n">
        <f aca="false">IF(AND('Daily Workforce'!$N153="Y",'Daily Workforce'!$B153&lt;&gt;"",COUNTIF('Daily Schedule'!$F$5:$F31,'Daily Workforce'!$B153)=0,IF('Daily Schedule'!$A32=45,'Daily Workforce'!$J153="Y",IF(OR('Daily Schedule'!$A32=4,'Daily Schedule'!$A32=8),IF(OR(WEEKDAY('Daily Schedule'!$B$2,2)=1,WEEKDAY('Daily Schedule'!$B$2,2)=4,WEEKDAY('Daily Schedule'!$B$2,2)=5,WEEKDAY('Daily Schedule'!$B$2,2)=7),IFERROR(1*'Daily Workforce'!$K153&gt;=3,FALSE()),IFERROR(1*'Daily Workforce'!$K153&gt;=2,FALSE())),IF(AND('Daily Schedule'!$A32&gt;=46,'Daily Schedule'!$A32&lt;=52),'Daily Workforce'!$M153="Y",IFERROR(1*'Daily Workforce'!$P153&gt;=2,FALSE()))))),1,0)</f>
        <v>0</v>
      </c>
      <c r="FI28" s="1" t="n">
        <f aca="false">IF(AND('Daily Workforce'!$N154="Y",'Daily Workforce'!$B154&lt;&gt;"",COUNTIF('Daily Schedule'!$F$5:$F31,'Daily Workforce'!$B154)=0,IF('Daily Schedule'!$A32=45,'Daily Workforce'!$J154="Y",IF(OR('Daily Schedule'!$A32=4,'Daily Schedule'!$A32=8),IF(OR(WEEKDAY('Daily Schedule'!$B$2,2)=1,WEEKDAY('Daily Schedule'!$B$2,2)=4,WEEKDAY('Daily Schedule'!$B$2,2)=5,WEEKDAY('Daily Schedule'!$B$2,2)=7),IFERROR(1*'Daily Workforce'!$K154&gt;=3,FALSE()),IFERROR(1*'Daily Workforce'!$K154&gt;=2,FALSE())),IF(AND('Daily Schedule'!$A32&gt;=46,'Daily Schedule'!$A32&lt;=52),'Daily Workforce'!$M154="Y",IFERROR(1*'Daily Workforce'!$P154&gt;=2,FALSE()))))),1,0)</f>
        <v>0</v>
      </c>
      <c r="FJ28" s="1" t="n">
        <f aca="false">IF(AND('Daily Workforce'!$N155="Y",'Daily Workforce'!$B155&lt;&gt;"",COUNTIF('Daily Schedule'!$F$5:$F31,'Daily Workforce'!$B155)=0,IF('Daily Schedule'!$A32=45,'Daily Workforce'!$J155="Y",IF(OR('Daily Schedule'!$A32=4,'Daily Schedule'!$A32=8),IF(OR(WEEKDAY('Daily Schedule'!$B$2,2)=1,WEEKDAY('Daily Schedule'!$B$2,2)=4,WEEKDAY('Daily Schedule'!$B$2,2)=5,WEEKDAY('Daily Schedule'!$B$2,2)=7),IFERROR(1*'Daily Workforce'!$K155&gt;=3,FALSE()),IFERROR(1*'Daily Workforce'!$K155&gt;=2,FALSE())),IF(AND('Daily Schedule'!$A32&gt;=46,'Daily Schedule'!$A32&lt;=52),'Daily Workforce'!$M155="Y",IFERROR(1*'Daily Workforce'!$P155&gt;=2,FALSE()))))),1,0)</f>
        <v>0</v>
      </c>
      <c r="FK28" s="1" t="n">
        <f aca="false">IF(AND('Daily Workforce'!$N156="Y",'Daily Workforce'!$B156&lt;&gt;"",COUNTIF('Daily Schedule'!$F$5:$F31,'Daily Workforce'!$B156)=0,IF('Daily Schedule'!$A32=45,'Daily Workforce'!$J156="Y",IF(OR('Daily Schedule'!$A32=4,'Daily Schedule'!$A32=8),IF(OR(WEEKDAY('Daily Schedule'!$B$2,2)=1,WEEKDAY('Daily Schedule'!$B$2,2)=4,WEEKDAY('Daily Schedule'!$B$2,2)=5,WEEKDAY('Daily Schedule'!$B$2,2)=7),IFERROR(1*'Daily Workforce'!$K156&gt;=3,FALSE()),IFERROR(1*'Daily Workforce'!$K156&gt;=2,FALSE())),IF(AND('Daily Schedule'!$A32&gt;=46,'Daily Schedule'!$A32&lt;=52),'Daily Workforce'!$M156="Y",IFERROR(1*'Daily Workforce'!$P156&gt;=2,FALSE()))))),1,0)</f>
        <v>0</v>
      </c>
      <c r="FL28" s="1" t="n">
        <f aca="false">IF(AND('Daily Workforce'!$N157="Y",'Daily Workforce'!$B157&lt;&gt;"",COUNTIF('Daily Schedule'!$F$5:$F31,'Daily Workforce'!$B157)=0,IF('Daily Schedule'!$A32=45,'Daily Workforce'!$J157="Y",IF(OR('Daily Schedule'!$A32=4,'Daily Schedule'!$A32=8),IF(OR(WEEKDAY('Daily Schedule'!$B$2,2)=1,WEEKDAY('Daily Schedule'!$B$2,2)=4,WEEKDAY('Daily Schedule'!$B$2,2)=5,WEEKDAY('Daily Schedule'!$B$2,2)=7),IFERROR(1*'Daily Workforce'!$K157&gt;=3,FALSE()),IFERROR(1*'Daily Workforce'!$K157&gt;=2,FALSE())),IF(AND('Daily Schedule'!$A32&gt;=46,'Daily Schedule'!$A32&lt;=52),'Daily Workforce'!$M157="Y",IFERROR(1*'Daily Workforce'!$P157&gt;=2,FALSE()))))),1,0)</f>
        <v>0</v>
      </c>
      <c r="FM28" s="1" t="n">
        <f aca="false">IF(AND('Daily Workforce'!$N158="Y",'Daily Workforce'!$B158&lt;&gt;"",COUNTIF('Daily Schedule'!$F$5:$F31,'Daily Workforce'!$B158)=0,IF('Daily Schedule'!$A32=45,'Daily Workforce'!$J158="Y",IF(OR('Daily Schedule'!$A32=4,'Daily Schedule'!$A32=8),IF(OR(WEEKDAY('Daily Schedule'!$B$2,2)=1,WEEKDAY('Daily Schedule'!$B$2,2)=4,WEEKDAY('Daily Schedule'!$B$2,2)=5,WEEKDAY('Daily Schedule'!$B$2,2)=7),IFERROR(1*'Daily Workforce'!$K158&gt;=3,FALSE()),IFERROR(1*'Daily Workforce'!$K158&gt;=2,FALSE())),IF(AND('Daily Schedule'!$A32&gt;=46,'Daily Schedule'!$A32&lt;=52),'Daily Workforce'!$M158="Y",IFERROR(1*'Daily Workforce'!$P158&gt;=2,FALSE()))))),1,0)</f>
        <v>0</v>
      </c>
      <c r="FN28" s="1" t="n">
        <f aca="false">IF(AND('Daily Workforce'!$N159="Y",'Daily Workforce'!$B159&lt;&gt;"",COUNTIF('Daily Schedule'!$F$5:$F31,'Daily Workforce'!$B159)=0,IF('Daily Schedule'!$A32=45,'Daily Workforce'!$J159="Y",IF(OR('Daily Schedule'!$A32=4,'Daily Schedule'!$A32=8),IF(OR(WEEKDAY('Daily Schedule'!$B$2,2)=1,WEEKDAY('Daily Schedule'!$B$2,2)=4,WEEKDAY('Daily Schedule'!$B$2,2)=5,WEEKDAY('Daily Schedule'!$B$2,2)=7),IFERROR(1*'Daily Workforce'!$K159&gt;=3,FALSE()),IFERROR(1*'Daily Workforce'!$K159&gt;=2,FALSE())),IF(AND('Daily Schedule'!$A32&gt;=46,'Daily Schedule'!$A32&lt;=52),'Daily Workforce'!$M159="Y",IFERROR(1*'Daily Workforce'!$P159&gt;=2,FALSE()))))),1,0)</f>
        <v>0</v>
      </c>
      <c r="FO28" s="1" t="n">
        <f aca="false">IF(AND('Daily Workforce'!$N160="Y",'Daily Workforce'!$B160&lt;&gt;"",COUNTIF('Daily Schedule'!$F$5:$F31,'Daily Workforce'!$B160)=0,IF('Daily Schedule'!$A32=45,'Daily Workforce'!$J160="Y",IF(OR('Daily Schedule'!$A32=4,'Daily Schedule'!$A32=8),IF(OR(WEEKDAY('Daily Schedule'!$B$2,2)=1,WEEKDAY('Daily Schedule'!$B$2,2)=4,WEEKDAY('Daily Schedule'!$B$2,2)=5,WEEKDAY('Daily Schedule'!$B$2,2)=7),IFERROR(1*'Daily Workforce'!$K160&gt;=3,FALSE()),IFERROR(1*'Daily Workforce'!$K160&gt;=2,FALSE())),IF(AND('Daily Schedule'!$A32&gt;=46,'Daily Schedule'!$A32&lt;=52),'Daily Workforce'!$M160="Y",IFERROR(1*'Daily Workforce'!$P160&gt;=2,FALSE()))))),1,0)</f>
        <v>0</v>
      </c>
      <c r="FP28" s="1" t="n">
        <f aca="false">IF(AND('Daily Workforce'!$N161="Y",'Daily Workforce'!$B161&lt;&gt;"",COUNTIF('Daily Schedule'!$F$5:$F31,'Daily Workforce'!$B161)=0,IF('Daily Schedule'!$A32=45,'Daily Workforce'!$J161="Y",IF(OR('Daily Schedule'!$A32=4,'Daily Schedule'!$A32=8),IF(OR(WEEKDAY('Daily Schedule'!$B$2,2)=1,WEEKDAY('Daily Schedule'!$B$2,2)=4,WEEKDAY('Daily Schedule'!$B$2,2)=5,WEEKDAY('Daily Schedule'!$B$2,2)=7),IFERROR(1*'Daily Workforce'!$K161&gt;=3,FALSE()),IFERROR(1*'Daily Workforce'!$K161&gt;=2,FALSE())),IF(AND('Daily Schedule'!$A32&gt;=46,'Daily Schedule'!$A32&lt;=52),'Daily Workforce'!$M161="Y",IFERROR(1*'Daily Workforce'!$P161&gt;=2,FALSE()))))),1,0)</f>
        <v>0</v>
      </c>
      <c r="FQ28" s="1" t="n">
        <f aca="false">IF(AND('Daily Workforce'!$N162="Y",'Daily Workforce'!$B162&lt;&gt;"",COUNTIF('Daily Schedule'!$F$5:$F31,'Daily Workforce'!$B162)=0,IF('Daily Schedule'!$A32=45,'Daily Workforce'!$J162="Y",IF(OR('Daily Schedule'!$A32=4,'Daily Schedule'!$A32=8),IF(OR(WEEKDAY('Daily Schedule'!$B$2,2)=1,WEEKDAY('Daily Schedule'!$B$2,2)=4,WEEKDAY('Daily Schedule'!$B$2,2)=5,WEEKDAY('Daily Schedule'!$B$2,2)=7),IFERROR(1*'Daily Workforce'!$K162&gt;=3,FALSE()),IFERROR(1*'Daily Workforce'!$K162&gt;=2,FALSE())),IF(AND('Daily Schedule'!$A32&gt;=46,'Daily Schedule'!$A32&lt;=52),'Daily Workforce'!$M162="Y",IFERROR(1*'Daily Workforce'!$P162&gt;=2,FALSE()))))),1,0)</f>
        <v>0</v>
      </c>
      <c r="FR28" s="1" t="n">
        <f aca="false">IF(AND('Daily Workforce'!$N163="Y",'Daily Workforce'!$B163&lt;&gt;"",COUNTIF('Daily Schedule'!$F$5:$F31,'Daily Workforce'!$B163)=0,IF('Daily Schedule'!$A32=45,'Daily Workforce'!$J163="Y",IF(OR('Daily Schedule'!$A32=4,'Daily Schedule'!$A32=8),IF(OR(WEEKDAY('Daily Schedule'!$B$2,2)=1,WEEKDAY('Daily Schedule'!$B$2,2)=4,WEEKDAY('Daily Schedule'!$B$2,2)=5,WEEKDAY('Daily Schedule'!$B$2,2)=7),IFERROR(1*'Daily Workforce'!$K163&gt;=3,FALSE()),IFERROR(1*'Daily Workforce'!$K163&gt;=2,FALSE())),IF(AND('Daily Schedule'!$A32&gt;=46,'Daily Schedule'!$A32&lt;=52),'Daily Workforce'!$M163="Y",IFERROR(1*'Daily Workforce'!$P163&gt;=2,FALSE()))))),1,0)</f>
        <v>0</v>
      </c>
      <c r="FS28" s="1" t="n">
        <f aca="false">IF(AND('Daily Workforce'!$N164="Y",'Daily Workforce'!$B164&lt;&gt;"",COUNTIF('Daily Schedule'!$F$5:$F31,'Daily Workforce'!$B164)=0,IF('Daily Schedule'!$A32=45,'Daily Workforce'!$J164="Y",IF(OR('Daily Schedule'!$A32=4,'Daily Schedule'!$A32=8),IF(OR(WEEKDAY('Daily Schedule'!$B$2,2)=1,WEEKDAY('Daily Schedule'!$B$2,2)=4,WEEKDAY('Daily Schedule'!$B$2,2)=5,WEEKDAY('Daily Schedule'!$B$2,2)=7),IFERROR(1*'Daily Workforce'!$K164&gt;=3,FALSE()),IFERROR(1*'Daily Workforce'!$K164&gt;=2,FALSE())),IF(AND('Daily Schedule'!$A32&gt;=46,'Daily Schedule'!$A32&lt;=52),'Daily Workforce'!$M164="Y",IFERROR(1*'Daily Workforce'!$P164&gt;=2,FALSE()))))),1,0)</f>
        <v>0</v>
      </c>
      <c r="FT28" s="1" t="n">
        <f aca="false">IF(AND('Daily Workforce'!$N165="Y",'Daily Workforce'!$B165&lt;&gt;"",COUNTIF('Daily Schedule'!$F$5:$F31,'Daily Workforce'!$B165)=0,IF('Daily Schedule'!$A32=45,'Daily Workforce'!$J165="Y",IF(OR('Daily Schedule'!$A32=4,'Daily Schedule'!$A32=8),IF(OR(WEEKDAY('Daily Schedule'!$B$2,2)=1,WEEKDAY('Daily Schedule'!$B$2,2)=4,WEEKDAY('Daily Schedule'!$B$2,2)=5,WEEKDAY('Daily Schedule'!$B$2,2)=7),IFERROR(1*'Daily Workforce'!$K165&gt;=3,FALSE()),IFERROR(1*'Daily Workforce'!$K165&gt;=2,FALSE())),IF(AND('Daily Schedule'!$A32&gt;=46,'Daily Schedule'!$A32&lt;=52),'Daily Workforce'!$M165="Y",IFERROR(1*'Daily Workforce'!$P165&gt;=2,FALSE()))))),1,0)</f>
        <v>0</v>
      </c>
      <c r="FU28" s="1" t="n">
        <f aca="false">IF(AND('Daily Workforce'!$N166="Y",'Daily Workforce'!$B166&lt;&gt;"",COUNTIF('Daily Schedule'!$F$5:$F31,'Daily Workforce'!$B166)=0,IF('Daily Schedule'!$A32=45,'Daily Workforce'!$J166="Y",IF(OR('Daily Schedule'!$A32=4,'Daily Schedule'!$A32=8),IF(OR(WEEKDAY('Daily Schedule'!$B$2,2)=1,WEEKDAY('Daily Schedule'!$B$2,2)=4,WEEKDAY('Daily Schedule'!$B$2,2)=5,WEEKDAY('Daily Schedule'!$B$2,2)=7),IFERROR(1*'Daily Workforce'!$K166&gt;=3,FALSE()),IFERROR(1*'Daily Workforce'!$K166&gt;=2,FALSE())),IF(AND('Daily Schedule'!$A32&gt;=46,'Daily Schedule'!$A32&lt;=52),'Daily Workforce'!$M166="Y",IFERROR(1*'Daily Workforce'!$P166&gt;=2,FALSE()))))),1,0)</f>
        <v>0</v>
      </c>
      <c r="FV28" s="1" t="n">
        <f aca="false">IF(AND('Daily Workforce'!$N167="Y",'Daily Workforce'!$B167&lt;&gt;"",COUNTIF('Daily Schedule'!$F$5:$F31,'Daily Workforce'!$B167)=0,IF('Daily Schedule'!$A32=45,'Daily Workforce'!$J167="Y",IF(OR('Daily Schedule'!$A32=4,'Daily Schedule'!$A32=8),IF(OR(WEEKDAY('Daily Schedule'!$B$2,2)=1,WEEKDAY('Daily Schedule'!$B$2,2)=4,WEEKDAY('Daily Schedule'!$B$2,2)=5,WEEKDAY('Daily Schedule'!$B$2,2)=7),IFERROR(1*'Daily Workforce'!$K167&gt;=3,FALSE()),IFERROR(1*'Daily Workforce'!$K167&gt;=2,FALSE())),IF(AND('Daily Schedule'!$A32&gt;=46,'Daily Schedule'!$A32&lt;=52),'Daily Workforce'!$M167="Y",IFERROR(1*'Daily Workforce'!$P167&gt;=2,FALSE()))))),1,0)</f>
        <v>0</v>
      </c>
      <c r="FW28" s="1" t="n">
        <f aca="false">IF(AND('Daily Workforce'!$N168="Y",'Daily Workforce'!$B168&lt;&gt;"",COUNTIF('Daily Schedule'!$F$5:$F31,'Daily Workforce'!$B168)=0,IF('Daily Schedule'!$A32=45,'Daily Workforce'!$J168="Y",IF(OR('Daily Schedule'!$A32=4,'Daily Schedule'!$A32=8),IF(OR(WEEKDAY('Daily Schedule'!$B$2,2)=1,WEEKDAY('Daily Schedule'!$B$2,2)=4,WEEKDAY('Daily Schedule'!$B$2,2)=5,WEEKDAY('Daily Schedule'!$B$2,2)=7),IFERROR(1*'Daily Workforce'!$K168&gt;=3,FALSE()),IFERROR(1*'Daily Workforce'!$K168&gt;=2,FALSE())),IF(AND('Daily Schedule'!$A32&gt;=46,'Daily Schedule'!$A32&lt;=52),'Daily Workforce'!$M168="Y",IFERROR(1*'Daily Workforce'!$P168&gt;=2,FALSE()))))),1,0)</f>
        <v>0</v>
      </c>
      <c r="FX28" s="1" t="n">
        <f aca="false">IF(AND('Daily Workforce'!$N169="Y",'Daily Workforce'!$B169&lt;&gt;"",COUNTIF('Daily Schedule'!$F$5:$F31,'Daily Workforce'!$B169)=0,IF('Daily Schedule'!$A32=45,'Daily Workforce'!$J169="Y",IF(OR('Daily Schedule'!$A32=4,'Daily Schedule'!$A32=8),IF(OR(WEEKDAY('Daily Schedule'!$B$2,2)=1,WEEKDAY('Daily Schedule'!$B$2,2)=4,WEEKDAY('Daily Schedule'!$B$2,2)=5,WEEKDAY('Daily Schedule'!$B$2,2)=7),IFERROR(1*'Daily Workforce'!$K169&gt;=3,FALSE()),IFERROR(1*'Daily Workforce'!$K169&gt;=2,FALSE())),IF(AND('Daily Schedule'!$A32&gt;=46,'Daily Schedule'!$A32&lt;=52),'Daily Workforce'!$M169="Y",IFERROR(1*'Daily Workforce'!$P169&gt;=2,FALSE()))))),1,0)</f>
        <v>0</v>
      </c>
      <c r="FY28" s="1" t="n">
        <f aca="false">IF(AND('Daily Workforce'!$N170="Y",'Daily Workforce'!$B170&lt;&gt;"",COUNTIF('Daily Schedule'!$F$5:$F31,'Daily Workforce'!$B170)=0,IF('Daily Schedule'!$A32=45,'Daily Workforce'!$J170="Y",IF(OR('Daily Schedule'!$A32=4,'Daily Schedule'!$A32=8),IF(OR(WEEKDAY('Daily Schedule'!$B$2,2)=1,WEEKDAY('Daily Schedule'!$B$2,2)=4,WEEKDAY('Daily Schedule'!$B$2,2)=5,WEEKDAY('Daily Schedule'!$B$2,2)=7),IFERROR(1*'Daily Workforce'!$K170&gt;=3,FALSE()),IFERROR(1*'Daily Workforce'!$K170&gt;=2,FALSE())),IF(AND('Daily Schedule'!$A32&gt;=46,'Daily Schedule'!$A32&lt;=52),'Daily Workforce'!$M170="Y",IFERROR(1*'Daily Workforce'!$P170&gt;=2,FALSE()))))),1,0)</f>
        <v>0</v>
      </c>
      <c r="FZ28" s="1" t="n">
        <f aca="false">IF(AND('Daily Workforce'!$N171="Y",'Daily Workforce'!$B171&lt;&gt;"",COUNTIF('Daily Schedule'!$F$5:$F31,'Daily Workforce'!$B171)=0,IF('Daily Schedule'!$A32=45,'Daily Workforce'!$J171="Y",IF(OR('Daily Schedule'!$A32=4,'Daily Schedule'!$A32=8),IF(OR(WEEKDAY('Daily Schedule'!$B$2,2)=1,WEEKDAY('Daily Schedule'!$B$2,2)=4,WEEKDAY('Daily Schedule'!$B$2,2)=5,WEEKDAY('Daily Schedule'!$B$2,2)=7),IFERROR(1*'Daily Workforce'!$K171&gt;=3,FALSE()),IFERROR(1*'Daily Workforce'!$K171&gt;=2,FALSE())),IF(AND('Daily Schedule'!$A32&gt;=46,'Daily Schedule'!$A32&lt;=52),'Daily Workforce'!$M171="Y",IFERROR(1*'Daily Workforce'!$P171&gt;=2,FALSE()))))),1,0)</f>
        <v>0</v>
      </c>
      <c r="GA28" s="1" t="n">
        <f aca="false">IF(AND('Daily Workforce'!$N172="Y",'Daily Workforce'!$B172&lt;&gt;"",COUNTIF('Daily Schedule'!$F$5:$F31,'Daily Workforce'!$B172)=0,IF('Daily Schedule'!$A32=45,'Daily Workforce'!$J172="Y",IF(OR('Daily Schedule'!$A32=4,'Daily Schedule'!$A32=8),IF(OR(WEEKDAY('Daily Schedule'!$B$2,2)=1,WEEKDAY('Daily Schedule'!$B$2,2)=4,WEEKDAY('Daily Schedule'!$B$2,2)=5,WEEKDAY('Daily Schedule'!$B$2,2)=7),IFERROR(1*'Daily Workforce'!$K172&gt;=3,FALSE()),IFERROR(1*'Daily Workforce'!$K172&gt;=2,FALSE())),IF(AND('Daily Schedule'!$A32&gt;=46,'Daily Schedule'!$A32&lt;=52),'Daily Workforce'!$M172="Y",IFERROR(1*'Daily Workforce'!$P172&gt;=2,FALSE()))))),1,0)</f>
        <v>0</v>
      </c>
      <c r="GB28" s="1" t="n">
        <f aca="false">IF(AND('Daily Workforce'!$N173="Y",'Daily Workforce'!$B173&lt;&gt;"",COUNTIF('Daily Schedule'!$F$5:$F31,'Daily Workforce'!$B173)=0,IF('Daily Schedule'!$A32=45,'Daily Workforce'!$J173="Y",IF(OR('Daily Schedule'!$A32=4,'Daily Schedule'!$A32=8),IF(OR(WEEKDAY('Daily Schedule'!$B$2,2)=1,WEEKDAY('Daily Schedule'!$B$2,2)=4,WEEKDAY('Daily Schedule'!$B$2,2)=5,WEEKDAY('Daily Schedule'!$B$2,2)=7),IFERROR(1*'Daily Workforce'!$K173&gt;=3,FALSE()),IFERROR(1*'Daily Workforce'!$K173&gt;=2,FALSE())),IF(AND('Daily Schedule'!$A32&gt;=46,'Daily Schedule'!$A32&lt;=52),'Daily Workforce'!$M173="Y",IFERROR(1*'Daily Workforce'!$P173&gt;=2,FALSE()))))),1,0)</f>
        <v>0</v>
      </c>
      <c r="GC28" s="1" t="n">
        <f aca="false">IF(AND('Daily Workforce'!$N174="Y",'Daily Workforce'!$B174&lt;&gt;"",COUNTIF('Daily Schedule'!$F$5:$F31,'Daily Workforce'!$B174)=0,IF('Daily Schedule'!$A32=45,'Daily Workforce'!$J174="Y",IF(OR('Daily Schedule'!$A32=4,'Daily Schedule'!$A32=8),IF(OR(WEEKDAY('Daily Schedule'!$B$2,2)=1,WEEKDAY('Daily Schedule'!$B$2,2)=4,WEEKDAY('Daily Schedule'!$B$2,2)=5,WEEKDAY('Daily Schedule'!$B$2,2)=7),IFERROR(1*'Daily Workforce'!$K174&gt;=3,FALSE()),IFERROR(1*'Daily Workforce'!$K174&gt;=2,FALSE())),IF(AND('Daily Schedule'!$A32&gt;=46,'Daily Schedule'!$A32&lt;=52),'Daily Workforce'!$M174="Y",IFERROR(1*'Daily Workforce'!$P174&gt;=2,FALSE()))))),1,0)</f>
        <v>0</v>
      </c>
      <c r="GD28" s="1" t="n">
        <f aca="false">IF(AND('Daily Workforce'!$N175="Y",'Daily Workforce'!$B175&lt;&gt;"",COUNTIF('Daily Schedule'!$F$5:$F31,'Daily Workforce'!$B175)=0,IF('Daily Schedule'!$A32=45,'Daily Workforce'!$J175="Y",IF(OR('Daily Schedule'!$A32=4,'Daily Schedule'!$A32=8),IF(OR(WEEKDAY('Daily Schedule'!$B$2,2)=1,WEEKDAY('Daily Schedule'!$B$2,2)=4,WEEKDAY('Daily Schedule'!$B$2,2)=5,WEEKDAY('Daily Schedule'!$B$2,2)=7),IFERROR(1*'Daily Workforce'!$K175&gt;=3,FALSE()),IFERROR(1*'Daily Workforce'!$K175&gt;=2,FALSE())),IF(AND('Daily Schedule'!$A32&gt;=46,'Daily Schedule'!$A32&lt;=52),'Daily Workforce'!$M175="Y",IFERROR(1*'Daily Workforce'!$P175&gt;=2,FALSE()))))),1,0)</f>
        <v>0</v>
      </c>
      <c r="GE28" s="1" t="n">
        <f aca="false">IF(AND('Daily Workforce'!$N176="Y",'Daily Workforce'!$B176&lt;&gt;"",COUNTIF('Daily Schedule'!$F$5:$F31,'Daily Workforce'!$B176)=0,IF('Daily Schedule'!$A32=45,'Daily Workforce'!$J176="Y",IF(OR('Daily Schedule'!$A32=4,'Daily Schedule'!$A32=8),IF(OR(WEEKDAY('Daily Schedule'!$B$2,2)=1,WEEKDAY('Daily Schedule'!$B$2,2)=4,WEEKDAY('Daily Schedule'!$B$2,2)=5,WEEKDAY('Daily Schedule'!$B$2,2)=7),IFERROR(1*'Daily Workforce'!$K176&gt;=3,FALSE()),IFERROR(1*'Daily Workforce'!$K176&gt;=2,FALSE())),IF(AND('Daily Schedule'!$A32&gt;=46,'Daily Schedule'!$A32&lt;=52),'Daily Workforce'!$M176="Y",IFERROR(1*'Daily Workforce'!$P176&gt;=2,FALSE()))))),1,0)</f>
        <v>0</v>
      </c>
      <c r="GF28" s="1" t="n">
        <f aca="false">IF(AND('Daily Workforce'!$N177="Y",'Daily Workforce'!$B177&lt;&gt;"",COUNTIF('Daily Schedule'!$F$5:$F31,'Daily Workforce'!$B177)=0,IF('Daily Schedule'!$A32=45,'Daily Workforce'!$J177="Y",IF(OR('Daily Schedule'!$A32=4,'Daily Schedule'!$A32=8),IF(OR(WEEKDAY('Daily Schedule'!$B$2,2)=1,WEEKDAY('Daily Schedule'!$B$2,2)=4,WEEKDAY('Daily Schedule'!$B$2,2)=5,WEEKDAY('Daily Schedule'!$B$2,2)=7),IFERROR(1*'Daily Workforce'!$K177&gt;=3,FALSE()),IFERROR(1*'Daily Workforce'!$K177&gt;=2,FALSE())),IF(AND('Daily Schedule'!$A32&gt;=46,'Daily Schedule'!$A32&lt;=52),'Daily Workforce'!$M177="Y",IFERROR(1*'Daily Workforce'!$P177&gt;=2,FALSE()))))),1,0)</f>
        <v>0</v>
      </c>
      <c r="GG28" s="1" t="n">
        <f aca="false">IF(AND('Daily Workforce'!$N178="Y",'Daily Workforce'!$B178&lt;&gt;"",COUNTIF('Daily Schedule'!$F$5:$F31,'Daily Workforce'!$B178)=0,IF('Daily Schedule'!$A32=45,'Daily Workforce'!$J178="Y",IF(OR('Daily Schedule'!$A32=4,'Daily Schedule'!$A32=8),IF(OR(WEEKDAY('Daily Schedule'!$B$2,2)=1,WEEKDAY('Daily Schedule'!$B$2,2)=4,WEEKDAY('Daily Schedule'!$B$2,2)=5,WEEKDAY('Daily Schedule'!$B$2,2)=7),IFERROR(1*'Daily Workforce'!$K178&gt;=3,FALSE()),IFERROR(1*'Daily Workforce'!$K178&gt;=2,FALSE())),IF(AND('Daily Schedule'!$A32&gt;=46,'Daily Schedule'!$A32&lt;=52),'Daily Workforce'!$M178="Y",IFERROR(1*'Daily Workforce'!$P178&gt;=2,FALSE()))))),1,0)</f>
        <v>0</v>
      </c>
      <c r="GH28" s="1" t="n">
        <f aca="false">IF(AND('Daily Workforce'!$N179="Y",'Daily Workforce'!$B179&lt;&gt;"",COUNTIF('Daily Schedule'!$F$5:$F31,'Daily Workforce'!$B179)=0,IF('Daily Schedule'!$A32=45,'Daily Workforce'!$J179="Y",IF(OR('Daily Schedule'!$A32=4,'Daily Schedule'!$A32=8),IF(OR(WEEKDAY('Daily Schedule'!$B$2,2)=1,WEEKDAY('Daily Schedule'!$B$2,2)=4,WEEKDAY('Daily Schedule'!$B$2,2)=5,WEEKDAY('Daily Schedule'!$B$2,2)=7),IFERROR(1*'Daily Workforce'!$K179&gt;=3,FALSE()),IFERROR(1*'Daily Workforce'!$K179&gt;=2,FALSE())),IF(AND('Daily Schedule'!$A32&gt;=46,'Daily Schedule'!$A32&lt;=52),'Daily Workforce'!$M179="Y",IFERROR(1*'Daily Workforce'!$P179&gt;=2,FALSE()))))),1,0)</f>
        <v>0</v>
      </c>
      <c r="GI28" s="1" t="n">
        <f aca="false">IF(AND('Daily Workforce'!$N180="Y",'Daily Workforce'!$B180&lt;&gt;"",COUNTIF('Daily Schedule'!$F$5:$F31,'Daily Workforce'!$B180)=0,IF('Daily Schedule'!$A32=45,'Daily Workforce'!$J180="Y",IF(OR('Daily Schedule'!$A32=4,'Daily Schedule'!$A32=8),IF(OR(WEEKDAY('Daily Schedule'!$B$2,2)=1,WEEKDAY('Daily Schedule'!$B$2,2)=4,WEEKDAY('Daily Schedule'!$B$2,2)=5,WEEKDAY('Daily Schedule'!$B$2,2)=7),IFERROR(1*'Daily Workforce'!$K180&gt;=3,FALSE()),IFERROR(1*'Daily Workforce'!$K180&gt;=2,FALSE())),IF(AND('Daily Schedule'!$A32&gt;=46,'Daily Schedule'!$A32&lt;=52),'Daily Workforce'!$M180="Y",IFERROR(1*'Daily Workforce'!$P180&gt;=2,FALSE()))))),1,0)</f>
        <v>0</v>
      </c>
      <c r="GJ28" s="1" t="n">
        <f aca="false">IF(AND('Daily Workforce'!$N181="Y",'Daily Workforce'!$B181&lt;&gt;"",COUNTIF('Daily Schedule'!$F$5:$F31,'Daily Workforce'!$B181)=0,IF('Daily Schedule'!$A32=45,'Daily Workforce'!$J181="Y",IF(OR('Daily Schedule'!$A32=4,'Daily Schedule'!$A32=8),IF(OR(WEEKDAY('Daily Schedule'!$B$2,2)=1,WEEKDAY('Daily Schedule'!$B$2,2)=4,WEEKDAY('Daily Schedule'!$B$2,2)=5,WEEKDAY('Daily Schedule'!$B$2,2)=7),IFERROR(1*'Daily Workforce'!$K181&gt;=3,FALSE()),IFERROR(1*'Daily Workforce'!$K181&gt;=2,FALSE())),IF(AND('Daily Schedule'!$A32&gt;=46,'Daily Schedule'!$A32&lt;=52),'Daily Workforce'!$M181="Y",IFERROR(1*'Daily Workforce'!$P181&gt;=2,FALSE()))))),1,0)</f>
        <v>0</v>
      </c>
      <c r="GK28" s="1" t="n">
        <f aca="false">IF(AND('Daily Workforce'!$N182="Y",'Daily Workforce'!$B182&lt;&gt;"",COUNTIF('Daily Schedule'!$F$5:$F31,'Daily Workforce'!$B182)=0,IF('Daily Schedule'!$A32=45,'Daily Workforce'!$J182="Y",IF(OR('Daily Schedule'!$A32=4,'Daily Schedule'!$A32=8),IF(OR(WEEKDAY('Daily Schedule'!$B$2,2)=1,WEEKDAY('Daily Schedule'!$B$2,2)=4,WEEKDAY('Daily Schedule'!$B$2,2)=5,WEEKDAY('Daily Schedule'!$B$2,2)=7),IFERROR(1*'Daily Workforce'!$K182&gt;=3,FALSE()),IFERROR(1*'Daily Workforce'!$K182&gt;=2,FALSE())),IF(AND('Daily Schedule'!$A32&gt;=46,'Daily Schedule'!$A32&lt;=52),'Daily Workforce'!$M182="Y",IFERROR(1*'Daily Workforce'!$P182&gt;=2,FALSE()))))),1,0)</f>
        <v>0</v>
      </c>
      <c r="GL28" s="1" t="n">
        <f aca="false">IF(AND('Daily Workforce'!$N183="Y",'Daily Workforce'!$B183&lt;&gt;"",COUNTIF('Daily Schedule'!$F$5:$F31,'Daily Workforce'!$B183)=0,IF('Daily Schedule'!$A32=45,'Daily Workforce'!$J183="Y",IF(OR('Daily Schedule'!$A32=4,'Daily Schedule'!$A32=8),IF(OR(WEEKDAY('Daily Schedule'!$B$2,2)=1,WEEKDAY('Daily Schedule'!$B$2,2)=4,WEEKDAY('Daily Schedule'!$B$2,2)=5,WEEKDAY('Daily Schedule'!$B$2,2)=7),IFERROR(1*'Daily Workforce'!$K183&gt;=3,FALSE()),IFERROR(1*'Daily Workforce'!$K183&gt;=2,FALSE())),IF(AND('Daily Schedule'!$A32&gt;=46,'Daily Schedule'!$A32&lt;=52),'Daily Workforce'!$M183="Y",IFERROR(1*'Daily Workforce'!$P183&gt;=2,FALSE()))))),1,0)</f>
        <v>0</v>
      </c>
      <c r="GM28" s="1" t="n">
        <f aca="false">IF(AND('Daily Workforce'!$N184="Y",'Daily Workforce'!$B184&lt;&gt;"",COUNTIF('Daily Schedule'!$F$5:$F31,'Daily Workforce'!$B184)=0,IF('Daily Schedule'!$A32=45,'Daily Workforce'!$J184="Y",IF(OR('Daily Schedule'!$A32=4,'Daily Schedule'!$A32=8),IF(OR(WEEKDAY('Daily Schedule'!$B$2,2)=1,WEEKDAY('Daily Schedule'!$B$2,2)=4,WEEKDAY('Daily Schedule'!$B$2,2)=5,WEEKDAY('Daily Schedule'!$B$2,2)=7),IFERROR(1*'Daily Workforce'!$K184&gt;=3,FALSE()),IFERROR(1*'Daily Workforce'!$K184&gt;=2,FALSE())),IF(AND('Daily Schedule'!$A32&gt;=46,'Daily Schedule'!$A32&lt;=52),'Daily Workforce'!$M184="Y",IFERROR(1*'Daily Workforce'!$P184&gt;=2,FALSE()))))),1,0)</f>
        <v>0</v>
      </c>
      <c r="GN28" s="1" t="n">
        <f aca="false">IF(AND('Daily Workforce'!$N185="Y",'Daily Workforce'!$B185&lt;&gt;"",COUNTIF('Daily Schedule'!$F$5:$F31,'Daily Workforce'!$B185)=0,IF('Daily Schedule'!$A32=45,'Daily Workforce'!$J185="Y",IF(OR('Daily Schedule'!$A32=4,'Daily Schedule'!$A32=8),IF(OR(WEEKDAY('Daily Schedule'!$B$2,2)=1,WEEKDAY('Daily Schedule'!$B$2,2)=4,WEEKDAY('Daily Schedule'!$B$2,2)=5,WEEKDAY('Daily Schedule'!$B$2,2)=7),IFERROR(1*'Daily Workforce'!$K185&gt;=3,FALSE()),IFERROR(1*'Daily Workforce'!$K185&gt;=2,FALSE())),IF(AND('Daily Schedule'!$A32&gt;=46,'Daily Schedule'!$A32&lt;=52),'Daily Workforce'!$M185="Y",IFERROR(1*'Daily Workforce'!$P185&gt;=2,FALSE()))))),1,0)</f>
        <v>0</v>
      </c>
      <c r="GO28" s="1" t="n">
        <f aca="false">IF(AND('Daily Workforce'!$N186="Y",'Daily Workforce'!$B186&lt;&gt;"",COUNTIF('Daily Schedule'!$F$5:$F31,'Daily Workforce'!$B186)=0,IF('Daily Schedule'!$A32=45,'Daily Workforce'!$J186="Y",IF(OR('Daily Schedule'!$A32=4,'Daily Schedule'!$A32=8),IF(OR(WEEKDAY('Daily Schedule'!$B$2,2)=1,WEEKDAY('Daily Schedule'!$B$2,2)=4,WEEKDAY('Daily Schedule'!$B$2,2)=5,WEEKDAY('Daily Schedule'!$B$2,2)=7),IFERROR(1*'Daily Workforce'!$K186&gt;=3,FALSE()),IFERROR(1*'Daily Workforce'!$K186&gt;=2,FALSE())),IF(AND('Daily Schedule'!$A32&gt;=46,'Daily Schedule'!$A32&lt;=52),'Daily Workforce'!$M186="Y",IFERROR(1*'Daily Workforce'!$P186&gt;=2,FALSE()))))),1,0)</f>
        <v>0</v>
      </c>
      <c r="GP28" s="1" t="n">
        <f aca="false">IF(AND('Daily Workforce'!$N187="Y",'Daily Workforce'!$B187&lt;&gt;"",COUNTIF('Daily Schedule'!$F$5:$F31,'Daily Workforce'!$B187)=0,IF('Daily Schedule'!$A32=45,'Daily Workforce'!$J187="Y",IF(OR('Daily Schedule'!$A32=4,'Daily Schedule'!$A32=8),IF(OR(WEEKDAY('Daily Schedule'!$B$2,2)=1,WEEKDAY('Daily Schedule'!$B$2,2)=4,WEEKDAY('Daily Schedule'!$B$2,2)=5,WEEKDAY('Daily Schedule'!$B$2,2)=7),IFERROR(1*'Daily Workforce'!$K187&gt;=3,FALSE()),IFERROR(1*'Daily Workforce'!$K187&gt;=2,FALSE())),IF(AND('Daily Schedule'!$A32&gt;=46,'Daily Schedule'!$A32&lt;=52),'Daily Workforce'!$M187="Y",IFERROR(1*'Daily Workforce'!$P187&gt;=2,FALSE()))))),1,0)</f>
        <v>0</v>
      </c>
      <c r="GQ28" s="1" t="n">
        <f aca="false">IF(AND('Daily Workforce'!$N188="Y",'Daily Workforce'!$B188&lt;&gt;"",COUNTIF('Daily Schedule'!$F$5:$F31,'Daily Workforce'!$B188)=0,IF('Daily Schedule'!$A32=45,'Daily Workforce'!$J188="Y",IF(OR('Daily Schedule'!$A32=4,'Daily Schedule'!$A32=8),IF(OR(WEEKDAY('Daily Schedule'!$B$2,2)=1,WEEKDAY('Daily Schedule'!$B$2,2)=4,WEEKDAY('Daily Schedule'!$B$2,2)=5,WEEKDAY('Daily Schedule'!$B$2,2)=7),IFERROR(1*'Daily Workforce'!$K188&gt;=3,FALSE()),IFERROR(1*'Daily Workforce'!$K188&gt;=2,FALSE())),IF(AND('Daily Schedule'!$A32&gt;=46,'Daily Schedule'!$A32&lt;=52),'Daily Workforce'!$M188="Y",IFERROR(1*'Daily Workforce'!$P188&gt;=2,FALSE()))))),1,0)</f>
        <v>0</v>
      </c>
      <c r="GR28" s="1" t="n">
        <f aca="false">IF(AND('Daily Workforce'!$N189="Y",'Daily Workforce'!$B189&lt;&gt;"",COUNTIF('Daily Schedule'!$F$5:$F31,'Daily Workforce'!$B189)=0,IF('Daily Schedule'!$A32=45,'Daily Workforce'!$J189="Y",IF(OR('Daily Schedule'!$A32=4,'Daily Schedule'!$A32=8),IF(OR(WEEKDAY('Daily Schedule'!$B$2,2)=1,WEEKDAY('Daily Schedule'!$B$2,2)=4,WEEKDAY('Daily Schedule'!$B$2,2)=5,WEEKDAY('Daily Schedule'!$B$2,2)=7),IFERROR(1*'Daily Workforce'!$K189&gt;=3,FALSE()),IFERROR(1*'Daily Workforce'!$K189&gt;=2,FALSE())),IF(AND('Daily Schedule'!$A32&gt;=46,'Daily Schedule'!$A32&lt;=52),'Daily Workforce'!$M189="Y",IFERROR(1*'Daily Workforce'!$P189&gt;=2,FALSE()))))),1,0)</f>
        <v>0</v>
      </c>
      <c r="GS28" s="1" t="n">
        <f aca="false">IF(AND('Daily Workforce'!$N190="Y",'Daily Workforce'!$B190&lt;&gt;"",COUNTIF('Daily Schedule'!$F$5:$F31,'Daily Workforce'!$B190)=0,IF('Daily Schedule'!$A32=45,'Daily Workforce'!$J190="Y",IF(OR('Daily Schedule'!$A32=4,'Daily Schedule'!$A32=8),IF(OR(WEEKDAY('Daily Schedule'!$B$2,2)=1,WEEKDAY('Daily Schedule'!$B$2,2)=4,WEEKDAY('Daily Schedule'!$B$2,2)=5,WEEKDAY('Daily Schedule'!$B$2,2)=7),IFERROR(1*'Daily Workforce'!$K190&gt;=3,FALSE()),IFERROR(1*'Daily Workforce'!$K190&gt;=2,FALSE())),IF(AND('Daily Schedule'!$A32&gt;=46,'Daily Schedule'!$A32&lt;=52),'Daily Workforce'!$M190="Y",IFERROR(1*'Daily Workforce'!$P190&gt;=2,FALSE()))))),1,0)</f>
        <v>0</v>
      </c>
      <c r="GT28" s="1" t="n">
        <f aca="false">IF(AND('Daily Workforce'!$N191="Y",'Daily Workforce'!$B191&lt;&gt;"",COUNTIF('Daily Schedule'!$F$5:$F31,'Daily Workforce'!$B191)=0,IF('Daily Schedule'!$A32=45,'Daily Workforce'!$J191="Y",IF(OR('Daily Schedule'!$A32=4,'Daily Schedule'!$A32=8),IF(OR(WEEKDAY('Daily Schedule'!$B$2,2)=1,WEEKDAY('Daily Schedule'!$B$2,2)=4,WEEKDAY('Daily Schedule'!$B$2,2)=5,WEEKDAY('Daily Schedule'!$B$2,2)=7),IFERROR(1*'Daily Workforce'!$K191&gt;=3,FALSE()),IFERROR(1*'Daily Workforce'!$K191&gt;=2,FALSE())),IF(AND('Daily Schedule'!$A32&gt;=46,'Daily Schedule'!$A32&lt;=52),'Daily Workforce'!$M191="Y",IFERROR(1*'Daily Workforce'!$P191&gt;=2,FALSE()))))),1,0)</f>
        <v>0</v>
      </c>
      <c r="GU28" s="1" t="n">
        <f aca="false">IF(AND('Daily Workforce'!$N192="Y",'Daily Workforce'!$B192&lt;&gt;"",COUNTIF('Daily Schedule'!$F$5:$F31,'Daily Workforce'!$B192)=0,IF('Daily Schedule'!$A32=45,'Daily Workforce'!$J192="Y",IF(OR('Daily Schedule'!$A32=4,'Daily Schedule'!$A32=8),IF(OR(WEEKDAY('Daily Schedule'!$B$2,2)=1,WEEKDAY('Daily Schedule'!$B$2,2)=4,WEEKDAY('Daily Schedule'!$B$2,2)=5,WEEKDAY('Daily Schedule'!$B$2,2)=7),IFERROR(1*'Daily Workforce'!$K192&gt;=3,FALSE()),IFERROR(1*'Daily Workforce'!$K192&gt;=2,FALSE())),IF(AND('Daily Schedule'!$A32&gt;=46,'Daily Schedule'!$A32&lt;=52),'Daily Workforce'!$M192="Y",IFERROR(1*'Daily Workforce'!$P192&gt;=2,FALSE()))))),1,0)</f>
        <v>0</v>
      </c>
      <c r="GV28" s="1" t="n">
        <f aca="false">IF(AND('Daily Workforce'!$N193="Y",'Daily Workforce'!$B193&lt;&gt;"",COUNTIF('Daily Schedule'!$F$5:$F31,'Daily Workforce'!$B193)=0,IF('Daily Schedule'!$A32=45,'Daily Workforce'!$J193="Y",IF(OR('Daily Schedule'!$A32=4,'Daily Schedule'!$A32=8),IF(OR(WEEKDAY('Daily Schedule'!$B$2,2)=1,WEEKDAY('Daily Schedule'!$B$2,2)=4,WEEKDAY('Daily Schedule'!$B$2,2)=5,WEEKDAY('Daily Schedule'!$B$2,2)=7),IFERROR(1*'Daily Workforce'!$K193&gt;=3,FALSE()),IFERROR(1*'Daily Workforce'!$K193&gt;=2,FALSE())),IF(AND('Daily Schedule'!$A32&gt;=46,'Daily Schedule'!$A32&lt;=52),'Daily Workforce'!$M193="Y",IFERROR(1*'Daily Workforce'!$P193&gt;=2,FALSE()))))),1,0)</f>
        <v>0</v>
      </c>
      <c r="GW28" s="1" t="n">
        <f aca="false">IF(AND('Daily Workforce'!$N194="Y",'Daily Workforce'!$B194&lt;&gt;"",COUNTIF('Daily Schedule'!$F$5:$F31,'Daily Workforce'!$B194)=0,IF('Daily Schedule'!$A32=45,'Daily Workforce'!$J194="Y",IF(OR('Daily Schedule'!$A32=4,'Daily Schedule'!$A32=8),IF(OR(WEEKDAY('Daily Schedule'!$B$2,2)=1,WEEKDAY('Daily Schedule'!$B$2,2)=4,WEEKDAY('Daily Schedule'!$B$2,2)=5,WEEKDAY('Daily Schedule'!$B$2,2)=7),IFERROR(1*'Daily Workforce'!$K194&gt;=3,FALSE()),IFERROR(1*'Daily Workforce'!$K194&gt;=2,FALSE())),IF(AND('Daily Schedule'!$A32&gt;=46,'Daily Schedule'!$A32&lt;=52),'Daily Workforce'!$M194="Y",IFERROR(1*'Daily Workforce'!$P194&gt;=2,FALSE()))))),1,0)</f>
        <v>0</v>
      </c>
      <c r="GX28" s="1" t="n">
        <f aca="false">IF(AND('Daily Workforce'!$N195="Y",'Daily Workforce'!$B195&lt;&gt;"",COUNTIF('Daily Schedule'!$F$5:$F31,'Daily Workforce'!$B195)=0,IF('Daily Schedule'!$A32=45,'Daily Workforce'!$J195="Y",IF(OR('Daily Schedule'!$A32=4,'Daily Schedule'!$A32=8),IF(OR(WEEKDAY('Daily Schedule'!$B$2,2)=1,WEEKDAY('Daily Schedule'!$B$2,2)=4,WEEKDAY('Daily Schedule'!$B$2,2)=5,WEEKDAY('Daily Schedule'!$B$2,2)=7),IFERROR(1*'Daily Workforce'!$K195&gt;=3,FALSE()),IFERROR(1*'Daily Workforce'!$K195&gt;=2,FALSE())),IF(AND('Daily Schedule'!$A32&gt;=46,'Daily Schedule'!$A32&lt;=52),'Daily Workforce'!$M195="Y",IFERROR(1*'Daily Workforce'!$P195&gt;=2,FALSE()))))),1,0)</f>
        <v>0</v>
      </c>
      <c r="GY28" s="1" t="n">
        <f aca="false">IF(AND('Daily Workforce'!$N196="Y",'Daily Workforce'!$B196&lt;&gt;"",COUNTIF('Daily Schedule'!$F$5:$F31,'Daily Workforce'!$B196)=0,IF('Daily Schedule'!$A32=45,'Daily Workforce'!$J196="Y",IF(OR('Daily Schedule'!$A32=4,'Daily Schedule'!$A32=8),IF(OR(WEEKDAY('Daily Schedule'!$B$2,2)=1,WEEKDAY('Daily Schedule'!$B$2,2)=4,WEEKDAY('Daily Schedule'!$B$2,2)=5,WEEKDAY('Daily Schedule'!$B$2,2)=7),IFERROR(1*'Daily Workforce'!$K196&gt;=3,FALSE()),IFERROR(1*'Daily Workforce'!$K196&gt;=2,FALSE())),IF(AND('Daily Schedule'!$A32&gt;=46,'Daily Schedule'!$A32&lt;=52),'Daily Workforce'!$M196="Y",IFERROR(1*'Daily Workforce'!$P196&gt;=2,FALSE()))))),1,0)</f>
        <v>0</v>
      </c>
      <c r="GZ28" s="1" t="n">
        <f aca="false">IF(AND('Daily Workforce'!$N197="Y",'Daily Workforce'!$B197&lt;&gt;"",COUNTIF('Daily Schedule'!$F$5:$F31,'Daily Workforce'!$B197)=0,IF('Daily Schedule'!$A32=45,'Daily Workforce'!$J197="Y",IF(OR('Daily Schedule'!$A32=4,'Daily Schedule'!$A32=8),IF(OR(WEEKDAY('Daily Schedule'!$B$2,2)=1,WEEKDAY('Daily Schedule'!$B$2,2)=4,WEEKDAY('Daily Schedule'!$B$2,2)=5,WEEKDAY('Daily Schedule'!$B$2,2)=7),IFERROR(1*'Daily Workforce'!$K197&gt;=3,FALSE()),IFERROR(1*'Daily Workforce'!$K197&gt;=2,FALSE())),IF(AND('Daily Schedule'!$A32&gt;=46,'Daily Schedule'!$A32&lt;=52),'Daily Workforce'!$M197="Y",IFERROR(1*'Daily Workforce'!$P197&gt;=2,FALSE()))))),1,0)</f>
        <v>0</v>
      </c>
      <c r="HA28" s="1" t="n">
        <f aca="false">IF(AND('Daily Workforce'!$N198="Y",'Daily Workforce'!$B198&lt;&gt;"",COUNTIF('Daily Schedule'!$F$5:$F31,'Daily Workforce'!$B198)=0,IF('Daily Schedule'!$A32=45,'Daily Workforce'!$J198="Y",IF(OR('Daily Schedule'!$A32=4,'Daily Schedule'!$A32=8),IF(OR(WEEKDAY('Daily Schedule'!$B$2,2)=1,WEEKDAY('Daily Schedule'!$B$2,2)=4,WEEKDAY('Daily Schedule'!$B$2,2)=5,WEEKDAY('Daily Schedule'!$B$2,2)=7),IFERROR(1*'Daily Workforce'!$K198&gt;=3,FALSE()),IFERROR(1*'Daily Workforce'!$K198&gt;=2,FALSE())),IF(AND('Daily Schedule'!$A32&gt;=46,'Daily Schedule'!$A32&lt;=52),'Daily Workforce'!$M198="Y",IFERROR(1*'Daily Workforce'!$P198&gt;=2,FALSE()))))),1,0)</f>
        <v>0</v>
      </c>
      <c r="HB28" s="1" t="n">
        <f aca="false">IF(AND('Daily Workforce'!$N199="Y",'Daily Workforce'!$B199&lt;&gt;"",COUNTIF('Daily Schedule'!$F$5:$F31,'Daily Workforce'!$B199)=0,IF('Daily Schedule'!$A32=45,'Daily Workforce'!$J199="Y",IF(OR('Daily Schedule'!$A32=4,'Daily Schedule'!$A32=8),IF(OR(WEEKDAY('Daily Schedule'!$B$2,2)=1,WEEKDAY('Daily Schedule'!$B$2,2)=4,WEEKDAY('Daily Schedule'!$B$2,2)=5,WEEKDAY('Daily Schedule'!$B$2,2)=7),IFERROR(1*'Daily Workforce'!$K199&gt;=3,FALSE()),IFERROR(1*'Daily Workforce'!$K199&gt;=2,FALSE())),IF(AND('Daily Schedule'!$A32&gt;=46,'Daily Schedule'!$A32&lt;=52),'Daily Workforce'!$M199="Y",IFERROR(1*'Daily Workforce'!$P199&gt;=2,FALSE()))))),1,0)</f>
        <v>0</v>
      </c>
      <c r="HC28" s="1" t="n">
        <f aca="false">IF(AND('Daily Workforce'!$N200="Y",'Daily Workforce'!$B200&lt;&gt;"",COUNTIF('Daily Schedule'!$F$5:$F31,'Daily Workforce'!$B200)=0,IF('Daily Schedule'!$A32=45,'Daily Workforce'!$J200="Y",IF(OR('Daily Schedule'!$A32=4,'Daily Schedule'!$A32=8),IF(OR(WEEKDAY('Daily Schedule'!$B$2,2)=1,WEEKDAY('Daily Schedule'!$B$2,2)=4,WEEKDAY('Daily Schedule'!$B$2,2)=5,WEEKDAY('Daily Schedule'!$B$2,2)=7),IFERROR(1*'Daily Workforce'!$K200&gt;=3,FALSE()),IFERROR(1*'Daily Workforce'!$K200&gt;=2,FALSE())),IF(AND('Daily Schedule'!$A32&gt;=46,'Daily Schedule'!$A32&lt;=52),'Daily Workforce'!$M200="Y",IFERROR(1*'Daily Workforce'!$P200&gt;=2,FALSE()))))),1,0)</f>
        <v>0</v>
      </c>
      <c r="HD28" s="1" t="n">
        <f aca="false">IF(AND('Daily Workforce'!$N201="Y",'Daily Workforce'!$B201&lt;&gt;"",COUNTIF('Daily Schedule'!$F$5:$F31,'Daily Workforce'!$B201)=0,IF('Daily Schedule'!$A32=45,'Daily Workforce'!$J201="Y",IF(OR('Daily Schedule'!$A32=4,'Daily Schedule'!$A32=8),IF(OR(WEEKDAY('Daily Schedule'!$B$2,2)=1,WEEKDAY('Daily Schedule'!$B$2,2)=4,WEEKDAY('Daily Schedule'!$B$2,2)=5,WEEKDAY('Daily Schedule'!$B$2,2)=7),IFERROR(1*'Daily Workforce'!$K201&gt;=3,FALSE()),IFERROR(1*'Daily Workforce'!$K201&gt;=2,FALSE())),IF(AND('Daily Schedule'!$A32&gt;=46,'Daily Schedule'!$A32&lt;=52),'Daily Workforce'!$M201="Y",IFERROR(1*'Daily Workforce'!$P201&gt;=2,FALSE()))))),1,0)</f>
        <v>0</v>
      </c>
      <c r="HE28" s="1" t="n">
        <f aca="false">IF(AND('Daily Workforce'!$N202="Y",'Daily Workforce'!$B202&lt;&gt;"",COUNTIF('Daily Schedule'!$F$5:$F31,'Daily Workforce'!$B202)=0,IF('Daily Schedule'!$A32=45,'Daily Workforce'!$J202="Y",IF(OR('Daily Schedule'!$A32=4,'Daily Schedule'!$A32=8),IF(OR(WEEKDAY('Daily Schedule'!$B$2,2)=1,WEEKDAY('Daily Schedule'!$B$2,2)=4,WEEKDAY('Daily Schedule'!$B$2,2)=5,WEEKDAY('Daily Schedule'!$B$2,2)=7),IFERROR(1*'Daily Workforce'!$K202&gt;=3,FALSE()),IFERROR(1*'Daily Workforce'!$K202&gt;=2,FALSE())),IF(AND('Daily Schedule'!$A32&gt;=46,'Daily Schedule'!$A32&lt;=52),'Daily Workforce'!$M202="Y",IFERROR(1*'Daily Workforce'!$P202&gt;=2,FALSE()))))),1,0)</f>
        <v>0</v>
      </c>
      <c r="HF28" s="1" t="n">
        <f aca="false">IF(AND('Daily Workforce'!$N203="Y",'Daily Workforce'!$B203&lt;&gt;"",COUNTIF('Daily Schedule'!$F$5:$F31,'Daily Workforce'!$B203)=0,IF('Daily Schedule'!$A32=45,'Daily Workforce'!$J203="Y",IF(OR('Daily Schedule'!$A32=4,'Daily Schedule'!$A32=8),IF(OR(WEEKDAY('Daily Schedule'!$B$2,2)=1,WEEKDAY('Daily Schedule'!$B$2,2)=4,WEEKDAY('Daily Schedule'!$B$2,2)=5,WEEKDAY('Daily Schedule'!$B$2,2)=7),IFERROR(1*'Daily Workforce'!$K203&gt;=3,FALSE()),IFERROR(1*'Daily Workforce'!$K203&gt;=2,FALSE())),IF(AND('Daily Schedule'!$A32&gt;=46,'Daily Schedule'!$A32&lt;=52),'Daily Workforce'!$M203="Y",IFERROR(1*'Daily Workforce'!$P203&gt;=2,FALSE()))))),1,0)</f>
        <v>0</v>
      </c>
      <c r="HG28" s="1" t="n">
        <f aca="false">IF(AND('Daily Workforce'!$N204="Y",'Daily Workforce'!$B204&lt;&gt;"",COUNTIF('Daily Schedule'!$F$5:$F31,'Daily Workforce'!$B204)=0,IF('Daily Schedule'!$A32=45,'Daily Workforce'!$J204="Y",IF(OR('Daily Schedule'!$A32=4,'Daily Schedule'!$A32=8),IF(OR(WEEKDAY('Daily Schedule'!$B$2,2)=1,WEEKDAY('Daily Schedule'!$B$2,2)=4,WEEKDAY('Daily Schedule'!$B$2,2)=5,WEEKDAY('Daily Schedule'!$B$2,2)=7),IFERROR(1*'Daily Workforce'!$K204&gt;=3,FALSE()),IFERROR(1*'Daily Workforce'!$K204&gt;=2,FALSE())),IF(AND('Daily Schedule'!$A32&gt;=46,'Daily Schedule'!$A32&lt;=52),'Daily Workforce'!$M204="Y",IFERROR(1*'Daily Workforce'!$P204&gt;=2,FALSE()))))),1,0)</f>
        <v>0</v>
      </c>
      <c r="HH28" s="1" t="n">
        <f aca="false">IF(AND('Daily Workforce'!$N205="Y",'Daily Workforce'!$B205&lt;&gt;"",COUNTIF('Daily Schedule'!$F$5:$F31,'Daily Workforce'!$B205)=0,IF('Daily Schedule'!$A32=45,'Daily Workforce'!$J205="Y",IF(OR('Daily Schedule'!$A32=4,'Daily Schedule'!$A32=8),IF(OR(WEEKDAY('Daily Schedule'!$B$2,2)=1,WEEKDAY('Daily Schedule'!$B$2,2)=4,WEEKDAY('Daily Schedule'!$B$2,2)=5,WEEKDAY('Daily Schedule'!$B$2,2)=7),IFERROR(1*'Daily Workforce'!$K205&gt;=3,FALSE()),IFERROR(1*'Daily Workforce'!$K205&gt;=2,FALSE())),IF(AND('Daily Schedule'!$A32&gt;=46,'Daily Schedule'!$A32&lt;=52),'Daily Workforce'!$M205="Y",IFERROR(1*'Daily Workforce'!$P205&gt;=2,FALSE()))))),1,0)</f>
        <v>0</v>
      </c>
    </row>
    <row r="29" customFormat="false" ht="15" hidden="false" customHeight="true" outlineLevel="0" collapsed="false">
      <c r="L29" s="1" t="s">
        <v>483</v>
      </c>
      <c r="O29" s="1" t="n">
        <f aca="false">IF(AND('Employee Master'!$G29="Y",ISERROR(SEARCH(TEXT('Daily Workforce'!$B$2,"ddd"),'Employee Master'!$D29)),IF('Daily Workforce'!$E$2="",TRUE(),'Employee Master'!$I29='Daily Workforce'!$E$2)),'Employee Master'!$K29*1000+ROW()-1,"")</f>
        <v>2028</v>
      </c>
      <c r="P29" s="1" t="n">
        <f aca="false">IF($O29="","",COUNTIF($O$2:$O$159,"&lt;="&amp;$O29))</f>
        <v>27</v>
      </c>
      <c r="Q29" s="1" t="n">
        <f aca="false">IF(AND('Daily Workforce'!$N6="Y",'Daily Workforce'!$B6&lt;&gt;"",COUNTIF('Daily Schedule'!$F$5:$F32,'Daily Workforce'!$B6)=0,IF('Daily Schedule'!$A33=45,'Daily Workforce'!$J6="Y",IF(OR('Daily Schedule'!$A33=4,'Daily Schedule'!$A33=8),IF(OR(WEEKDAY('Daily Schedule'!$B$2,2)=1,WEEKDAY('Daily Schedule'!$B$2,2)=4,WEEKDAY('Daily Schedule'!$B$2,2)=5,WEEKDAY('Daily Schedule'!$B$2,2)=7),IFERROR(1*'Daily Workforce'!$K6&gt;=3,FALSE()),IFERROR(1*'Daily Workforce'!$K6&gt;=2,FALSE())),IF(AND('Daily Schedule'!$A33&gt;=46,'Daily Schedule'!$A33&lt;=52),'Daily Workforce'!$M6="Y",IFERROR(1*'Daily Workforce'!$P6&gt;=2,FALSE()))))),1,0)</f>
        <v>0</v>
      </c>
      <c r="R29" s="1" t="n">
        <f aca="false">IF(AND('Daily Workforce'!$N7="Y",'Daily Workforce'!$B7&lt;&gt;"",COUNTIF('Daily Schedule'!$F$5:$F32,'Daily Workforce'!$B7)=0,IF('Daily Schedule'!$A33=45,'Daily Workforce'!$J7="Y",IF(OR('Daily Schedule'!$A33=4,'Daily Schedule'!$A33=8),IF(OR(WEEKDAY('Daily Schedule'!$B$2,2)=1,WEEKDAY('Daily Schedule'!$B$2,2)=4,WEEKDAY('Daily Schedule'!$B$2,2)=5,WEEKDAY('Daily Schedule'!$B$2,2)=7),IFERROR(1*'Daily Workforce'!$K7&gt;=3,FALSE()),IFERROR(1*'Daily Workforce'!$K7&gt;=2,FALSE())),IF(AND('Daily Schedule'!$A33&gt;=46,'Daily Schedule'!$A33&lt;=52),'Daily Workforce'!$M7="Y",IFERROR(1*'Daily Workforce'!$P7&gt;=2,FALSE()))))),1,0)</f>
        <v>0</v>
      </c>
      <c r="S29" s="1" t="n">
        <f aca="false">IF(AND('Daily Workforce'!$N8="Y",'Daily Workforce'!$B8&lt;&gt;"",COUNTIF('Daily Schedule'!$F$5:$F32,'Daily Workforce'!$B8)=0,IF('Daily Schedule'!$A33=45,'Daily Workforce'!$J8="Y",IF(OR('Daily Schedule'!$A33=4,'Daily Schedule'!$A33=8),IF(OR(WEEKDAY('Daily Schedule'!$B$2,2)=1,WEEKDAY('Daily Schedule'!$B$2,2)=4,WEEKDAY('Daily Schedule'!$B$2,2)=5,WEEKDAY('Daily Schedule'!$B$2,2)=7),IFERROR(1*'Daily Workforce'!$K8&gt;=3,FALSE()),IFERROR(1*'Daily Workforce'!$K8&gt;=2,FALSE())),IF(AND('Daily Schedule'!$A33&gt;=46,'Daily Schedule'!$A33&lt;=52),'Daily Workforce'!$M8="Y",IFERROR(1*'Daily Workforce'!$P8&gt;=2,FALSE()))))),1,0)</f>
        <v>0</v>
      </c>
      <c r="T29" s="1" t="n">
        <f aca="false">IF(AND('Daily Workforce'!$N9="Y",'Daily Workforce'!$B9&lt;&gt;"",COUNTIF('Daily Schedule'!$F$5:$F32,'Daily Workforce'!$B9)=0,IF('Daily Schedule'!$A33=45,'Daily Workforce'!$J9="Y",IF(OR('Daily Schedule'!$A33=4,'Daily Schedule'!$A33=8),IF(OR(WEEKDAY('Daily Schedule'!$B$2,2)=1,WEEKDAY('Daily Schedule'!$B$2,2)=4,WEEKDAY('Daily Schedule'!$B$2,2)=5,WEEKDAY('Daily Schedule'!$B$2,2)=7),IFERROR(1*'Daily Workforce'!$K9&gt;=3,FALSE()),IFERROR(1*'Daily Workforce'!$K9&gt;=2,FALSE())),IF(AND('Daily Schedule'!$A33&gt;=46,'Daily Schedule'!$A33&lt;=52),'Daily Workforce'!$M9="Y",IFERROR(1*'Daily Workforce'!$P9&gt;=2,FALSE()))))),1,0)</f>
        <v>0</v>
      </c>
      <c r="U29" s="1" t="n">
        <f aca="false">IF(AND('Daily Workforce'!$N10="Y",'Daily Workforce'!$B10&lt;&gt;"",COUNTIF('Daily Schedule'!$F$5:$F32,'Daily Workforce'!$B10)=0,IF('Daily Schedule'!$A33=45,'Daily Workforce'!$J10="Y",IF(OR('Daily Schedule'!$A33=4,'Daily Schedule'!$A33=8),IF(OR(WEEKDAY('Daily Schedule'!$B$2,2)=1,WEEKDAY('Daily Schedule'!$B$2,2)=4,WEEKDAY('Daily Schedule'!$B$2,2)=5,WEEKDAY('Daily Schedule'!$B$2,2)=7),IFERROR(1*'Daily Workforce'!$K10&gt;=3,FALSE()),IFERROR(1*'Daily Workforce'!$K10&gt;=2,FALSE())),IF(AND('Daily Schedule'!$A33&gt;=46,'Daily Schedule'!$A33&lt;=52),'Daily Workforce'!$M10="Y",IFERROR(1*'Daily Workforce'!$P10&gt;=2,FALSE()))))),1,0)</f>
        <v>0</v>
      </c>
      <c r="V29" s="1" t="n">
        <f aca="false">IF(AND('Daily Workforce'!$N11="Y",'Daily Workforce'!$B11&lt;&gt;"",COUNTIF('Daily Schedule'!$F$5:$F32,'Daily Workforce'!$B11)=0,IF('Daily Schedule'!$A33=45,'Daily Workforce'!$J11="Y",IF(OR('Daily Schedule'!$A33=4,'Daily Schedule'!$A33=8),IF(OR(WEEKDAY('Daily Schedule'!$B$2,2)=1,WEEKDAY('Daily Schedule'!$B$2,2)=4,WEEKDAY('Daily Schedule'!$B$2,2)=5,WEEKDAY('Daily Schedule'!$B$2,2)=7),IFERROR(1*'Daily Workforce'!$K11&gt;=3,FALSE()),IFERROR(1*'Daily Workforce'!$K11&gt;=2,FALSE())),IF(AND('Daily Schedule'!$A33&gt;=46,'Daily Schedule'!$A33&lt;=52),'Daily Workforce'!$M11="Y",IFERROR(1*'Daily Workforce'!$P11&gt;=2,FALSE()))))),1,0)</f>
        <v>0</v>
      </c>
      <c r="W29" s="1" t="n">
        <f aca="false">IF(AND('Daily Workforce'!$N12="Y",'Daily Workforce'!$B12&lt;&gt;"",COUNTIF('Daily Schedule'!$F$5:$F32,'Daily Workforce'!$B12)=0,IF('Daily Schedule'!$A33=45,'Daily Workforce'!$J12="Y",IF(OR('Daily Schedule'!$A33=4,'Daily Schedule'!$A33=8),IF(OR(WEEKDAY('Daily Schedule'!$B$2,2)=1,WEEKDAY('Daily Schedule'!$B$2,2)=4,WEEKDAY('Daily Schedule'!$B$2,2)=5,WEEKDAY('Daily Schedule'!$B$2,2)=7),IFERROR(1*'Daily Workforce'!$K12&gt;=3,FALSE()),IFERROR(1*'Daily Workforce'!$K12&gt;=2,FALSE())),IF(AND('Daily Schedule'!$A33&gt;=46,'Daily Schedule'!$A33&lt;=52),'Daily Workforce'!$M12="Y",IFERROR(1*'Daily Workforce'!$P12&gt;=2,FALSE()))))),1,0)</f>
        <v>0</v>
      </c>
      <c r="X29" s="1" t="n">
        <f aca="false">IF(AND('Daily Workforce'!$N13="Y",'Daily Workforce'!$B13&lt;&gt;"",COUNTIF('Daily Schedule'!$F$5:$F32,'Daily Workforce'!$B13)=0,IF('Daily Schedule'!$A33=45,'Daily Workforce'!$J13="Y",IF(OR('Daily Schedule'!$A33=4,'Daily Schedule'!$A33=8),IF(OR(WEEKDAY('Daily Schedule'!$B$2,2)=1,WEEKDAY('Daily Schedule'!$B$2,2)=4,WEEKDAY('Daily Schedule'!$B$2,2)=5,WEEKDAY('Daily Schedule'!$B$2,2)=7),IFERROR(1*'Daily Workforce'!$K13&gt;=3,FALSE()),IFERROR(1*'Daily Workforce'!$K13&gt;=2,FALSE())),IF(AND('Daily Schedule'!$A33&gt;=46,'Daily Schedule'!$A33&lt;=52),'Daily Workforce'!$M13="Y",IFERROR(1*'Daily Workforce'!$P13&gt;=2,FALSE()))))),1,0)</f>
        <v>0</v>
      </c>
      <c r="Y29" s="1" t="n">
        <f aca="false">IF(AND('Daily Workforce'!$N14="Y",'Daily Workforce'!$B14&lt;&gt;"",COUNTIF('Daily Schedule'!$F$5:$F32,'Daily Workforce'!$B14)=0,IF('Daily Schedule'!$A33=45,'Daily Workforce'!$J14="Y",IF(OR('Daily Schedule'!$A33=4,'Daily Schedule'!$A33=8),IF(OR(WEEKDAY('Daily Schedule'!$B$2,2)=1,WEEKDAY('Daily Schedule'!$B$2,2)=4,WEEKDAY('Daily Schedule'!$B$2,2)=5,WEEKDAY('Daily Schedule'!$B$2,2)=7),IFERROR(1*'Daily Workforce'!$K14&gt;=3,FALSE()),IFERROR(1*'Daily Workforce'!$K14&gt;=2,FALSE())),IF(AND('Daily Schedule'!$A33&gt;=46,'Daily Schedule'!$A33&lt;=52),'Daily Workforce'!$M14="Y",IFERROR(1*'Daily Workforce'!$P14&gt;=2,FALSE()))))),1,0)</f>
        <v>0</v>
      </c>
      <c r="Z29" s="1" t="n">
        <f aca="false">IF(AND('Daily Workforce'!$N15="Y",'Daily Workforce'!$B15&lt;&gt;"",COUNTIF('Daily Schedule'!$F$5:$F32,'Daily Workforce'!$B15)=0,IF('Daily Schedule'!$A33=45,'Daily Workforce'!$J15="Y",IF(OR('Daily Schedule'!$A33=4,'Daily Schedule'!$A33=8),IF(OR(WEEKDAY('Daily Schedule'!$B$2,2)=1,WEEKDAY('Daily Schedule'!$B$2,2)=4,WEEKDAY('Daily Schedule'!$B$2,2)=5,WEEKDAY('Daily Schedule'!$B$2,2)=7),IFERROR(1*'Daily Workforce'!$K15&gt;=3,FALSE()),IFERROR(1*'Daily Workforce'!$K15&gt;=2,FALSE())),IF(AND('Daily Schedule'!$A33&gt;=46,'Daily Schedule'!$A33&lt;=52),'Daily Workforce'!$M15="Y",IFERROR(1*'Daily Workforce'!$P15&gt;=2,FALSE()))))),1,0)</f>
        <v>0</v>
      </c>
      <c r="AA29" s="1" t="n">
        <f aca="false">IF(AND('Daily Workforce'!$N16="Y",'Daily Workforce'!$B16&lt;&gt;"",COUNTIF('Daily Schedule'!$F$5:$F32,'Daily Workforce'!$B16)=0,IF('Daily Schedule'!$A33=45,'Daily Workforce'!$J16="Y",IF(OR('Daily Schedule'!$A33=4,'Daily Schedule'!$A33=8),IF(OR(WEEKDAY('Daily Schedule'!$B$2,2)=1,WEEKDAY('Daily Schedule'!$B$2,2)=4,WEEKDAY('Daily Schedule'!$B$2,2)=5,WEEKDAY('Daily Schedule'!$B$2,2)=7),IFERROR(1*'Daily Workforce'!$K16&gt;=3,FALSE()),IFERROR(1*'Daily Workforce'!$K16&gt;=2,FALSE())),IF(AND('Daily Schedule'!$A33&gt;=46,'Daily Schedule'!$A33&lt;=52),'Daily Workforce'!$M16="Y",IFERROR(1*'Daily Workforce'!$P16&gt;=2,FALSE()))))),1,0)</f>
        <v>0</v>
      </c>
      <c r="AB29" s="1" t="n">
        <f aca="false">IF(AND('Daily Workforce'!$N17="Y",'Daily Workforce'!$B17&lt;&gt;"",COUNTIF('Daily Schedule'!$F$5:$F32,'Daily Workforce'!$B17)=0,IF('Daily Schedule'!$A33=45,'Daily Workforce'!$J17="Y",IF(OR('Daily Schedule'!$A33=4,'Daily Schedule'!$A33=8),IF(OR(WEEKDAY('Daily Schedule'!$B$2,2)=1,WEEKDAY('Daily Schedule'!$B$2,2)=4,WEEKDAY('Daily Schedule'!$B$2,2)=5,WEEKDAY('Daily Schedule'!$B$2,2)=7),IFERROR(1*'Daily Workforce'!$K17&gt;=3,FALSE()),IFERROR(1*'Daily Workforce'!$K17&gt;=2,FALSE())),IF(AND('Daily Schedule'!$A33&gt;=46,'Daily Schedule'!$A33&lt;=52),'Daily Workforce'!$M17="Y",IFERROR(1*'Daily Workforce'!$P17&gt;=2,FALSE()))))),1,0)</f>
        <v>0</v>
      </c>
      <c r="AC29" s="1" t="n">
        <f aca="false">IF(AND('Daily Workforce'!$N18="Y",'Daily Workforce'!$B18&lt;&gt;"",COUNTIF('Daily Schedule'!$F$5:$F32,'Daily Workforce'!$B18)=0,IF('Daily Schedule'!$A33=45,'Daily Workforce'!$J18="Y",IF(OR('Daily Schedule'!$A33=4,'Daily Schedule'!$A33=8),IF(OR(WEEKDAY('Daily Schedule'!$B$2,2)=1,WEEKDAY('Daily Schedule'!$B$2,2)=4,WEEKDAY('Daily Schedule'!$B$2,2)=5,WEEKDAY('Daily Schedule'!$B$2,2)=7),IFERROR(1*'Daily Workforce'!$K18&gt;=3,FALSE()),IFERROR(1*'Daily Workforce'!$K18&gt;=2,FALSE())),IF(AND('Daily Schedule'!$A33&gt;=46,'Daily Schedule'!$A33&lt;=52),'Daily Workforce'!$M18="Y",IFERROR(1*'Daily Workforce'!$P18&gt;=2,FALSE()))))),1,0)</f>
        <v>0</v>
      </c>
      <c r="AD29" s="1" t="n">
        <f aca="false">IF(AND('Daily Workforce'!$N19="Y",'Daily Workforce'!$B19&lt;&gt;"",COUNTIF('Daily Schedule'!$F$5:$F32,'Daily Workforce'!$B19)=0,IF('Daily Schedule'!$A33=45,'Daily Workforce'!$J19="Y",IF(OR('Daily Schedule'!$A33=4,'Daily Schedule'!$A33=8),IF(OR(WEEKDAY('Daily Schedule'!$B$2,2)=1,WEEKDAY('Daily Schedule'!$B$2,2)=4,WEEKDAY('Daily Schedule'!$B$2,2)=5,WEEKDAY('Daily Schedule'!$B$2,2)=7),IFERROR(1*'Daily Workforce'!$K19&gt;=3,FALSE()),IFERROR(1*'Daily Workforce'!$K19&gt;=2,FALSE())),IF(AND('Daily Schedule'!$A33&gt;=46,'Daily Schedule'!$A33&lt;=52),'Daily Workforce'!$M19="Y",IFERROR(1*'Daily Workforce'!$P19&gt;=2,FALSE()))))),1,0)</f>
        <v>0</v>
      </c>
      <c r="AE29" s="1" t="n">
        <f aca="false">IF(AND('Daily Workforce'!$N20="Y",'Daily Workforce'!$B20&lt;&gt;"",COUNTIF('Daily Schedule'!$F$5:$F32,'Daily Workforce'!$B20)=0,IF('Daily Schedule'!$A33=45,'Daily Workforce'!$J20="Y",IF(OR('Daily Schedule'!$A33=4,'Daily Schedule'!$A33=8),IF(OR(WEEKDAY('Daily Schedule'!$B$2,2)=1,WEEKDAY('Daily Schedule'!$B$2,2)=4,WEEKDAY('Daily Schedule'!$B$2,2)=5,WEEKDAY('Daily Schedule'!$B$2,2)=7),IFERROR(1*'Daily Workforce'!$K20&gt;=3,FALSE()),IFERROR(1*'Daily Workforce'!$K20&gt;=2,FALSE())),IF(AND('Daily Schedule'!$A33&gt;=46,'Daily Schedule'!$A33&lt;=52),'Daily Workforce'!$M20="Y",IFERROR(1*'Daily Workforce'!$P20&gt;=2,FALSE()))))),1,0)</f>
        <v>0</v>
      </c>
      <c r="AF29" s="1" t="n">
        <f aca="false">IF(AND('Daily Workforce'!$N21="Y",'Daily Workforce'!$B21&lt;&gt;"",COUNTIF('Daily Schedule'!$F$5:$F32,'Daily Workforce'!$B21)=0,IF('Daily Schedule'!$A33=45,'Daily Workforce'!$J21="Y",IF(OR('Daily Schedule'!$A33=4,'Daily Schedule'!$A33=8),IF(OR(WEEKDAY('Daily Schedule'!$B$2,2)=1,WEEKDAY('Daily Schedule'!$B$2,2)=4,WEEKDAY('Daily Schedule'!$B$2,2)=5,WEEKDAY('Daily Schedule'!$B$2,2)=7),IFERROR(1*'Daily Workforce'!$K21&gt;=3,FALSE()),IFERROR(1*'Daily Workforce'!$K21&gt;=2,FALSE())),IF(AND('Daily Schedule'!$A33&gt;=46,'Daily Schedule'!$A33&lt;=52),'Daily Workforce'!$M21="Y",IFERROR(1*'Daily Workforce'!$P21&gt;=2,FALSE()))))),1,0)</f>
        <v>0</v>
      </c>
      <c r="AG29" s="1" t="n">
        <f aca="false">IF(AND('Daily Workforce'!$N22="Y",'Daily Workforce'!$B22&lt;&gt;"",COUNTIF('Daily Schedule'!$F$5:$F32,'Daily Workforce'!$B22)=0,IF('Daily Schedule'!$A33=45,'Daily Workforce'!$J22="Y",IF(OR('Daily Schedule'!$A33=4,'Daily Schedule'!$A33=8),IF(OR(WEEKDAY('Daily Schedule'!$B$2,2)=1,WEEKDAY('Daily Schedule'!$B$2,2)=4,WEEKDAY('Daily Schedule'!$B$2,2)=5,WEEKDAY('Daily Schedule'!$B$2,2)=7),IFERROR(1*'Daily Workforce'!$K22&gt;=3,FALSE()),IFERROR(1*'Daily Workforce'!$K22&gt;=2,FALSE())),IF(AND('Daily Schedule'!$A33&gt;=46,'Daily Schedule'!$A33&lt;=52),'Daily Workforce'!$M22="Y",IFERROR(1*'Daily Workforce'!$P22&gt;=2,FALSE()))))),1,0)</f>
        <v>0</v>
      </c>
      <c r="AH29" s="1" t="n">
        <f aca="false">IF(AND('Daily Workforce'!$N23="Y",'Daily Workforce'!$B23&lt;&gt;"",COUNTIF('Daily Schedule'!$F$5:$F32,'Daily Workforce'!$B23)=0,IF('Daily Schedule'!$A33=45,'Daily Workforce'!$J23="Y",IF(OR('Daily Schedule'!$A33=4,'Daily Schedule'!$A33=8),IF(OR(WEEKDAY('Daily Schedule'!$B$2,2)=1,WEEKDAY('Daily Schedule'!$B$2,2)=4,WEEKDAY('Daily Schedule'!$B$2,2)=5,WEEKDAY('Daily Schedule'!$B$2,2)=7),IFERROR(1*'Daily Workforce'!$K23&gt;=3,FALSE()),IFERROR(1*'Daily Workforce'!$K23&gt;=2,FALSE())),IF(AND('Daily Schedule'!$A33&gt;=46,'Daily Schedule'!$A33&lt;=52),'Daily Workforce'!$M23="Y",IFERROR(1*'Daily Workforce'!$P23&gt;=2,FALSE()))))),1,0)</f>
        <v>0</v>
      </c>
      <c r="AI29" s="1" t="n">
        <f aca="false">IF(AND('Daily Workforce'!$N24="Y",'Daily Workforce'!$B24&lt;&gt;"",COUNTIF('Daily Schedule'!$F$5:$F32,'Daily Workforce'!$B24)=0,IF('Daily Schedule'!$A33=45,'Daily Workforce'!$J24="Y",IF(OR('Daily Schedule'!$A33=4,'Daily Schedule'!$A33=8),IF(OR(WEEKDAY('Daily Schedule'!$B$2,2)=1,WEEKDAY('Daily Schedule'!$B$2,2)=4,WEEKDAY('Daily Schedule'!$B$2,2)=5,WEEKDAY('Daily Schedule'!$B$2,2)=7),IFERROR(1*'Daily Workforce'!$K24&gt;=3,FALSE()),IFERROR(1*'Daily Workforce'!$K24&gt;=2,FALSE())),IF(AND('Daily Schedule'!$A33&gt;=46,'Daily Schedule'!$A33&lt;=52),'Daily Workforce'!$M24="Y",IFERROR(1*'Daily Workforce'!$P24&gt;=2,FALSE()))))),1,0)</f>
        <v>0</v>
      </c>
      <c r="AJ29" s="1" t="n">
        <f aca="false">IF(AND('Daily Workforce'!$N25="Y",'Daily Workforce'!$B25&lt;&gt;"",COUNTIF('Daily Schedule'!$F$5:$F32,'Daily Workforce'!$B25)=0,IF('Daily Schedule'!$A33=45,'Daily Workforce'!$J25="Y",IF(OR('Daily Schedule'!$A33=4,'Daily Schedule'!$A33=8),IF(OR(WEEKDAY('Daily Schedule'!$B$2,2)=1,WEEKDAY('Daily Schedule'!$B$2,2)=4,WEEKDAY('Daily Schedule'!$B$2,2)=5,WEEKDAY('Daily Schedule'!$B$2,2)=7),IFERROR(1*'Daily Workforce'!$K25&gt;=3,FALSE()),IFERROR(1*'Daily Workforce'!$K25&gt;=2,FALSE())),IF(AND('Daily Schedule'!$A33&gt;=46,'Daily Schedule'!$A33&lt;=52),'Daily Workforce'!$M25="Y",IFERROR(1*'Daily Workforce'!$P25&gt;=2,FALSE()))))),1,0)</f>
        <v>0</v>
      </c>
      <c r="AK29" s="1" t="n">
        <f aca="false">IF(AND('Daily Workforce'!$N26="Y",'Daily Workforce'!$B26&lt;&gt;"",COUNTIF('Daily Schedule'!$F$5:$F32,'Daily Workforce'!$B26)=0,IF('Daily Schedule'!$A33=45,'Daily Workforce'!$J26="Y",IF(OR('Daily Schedule'!$A33=4,'Daily Schedule'!$A33=8),IF(OR(WEEKDAY('Daily Schedule'!$B$2,2)=1,WEEKDAY('Daily Schedule'!$B$2,2)=4,WEEKDAY('Daily Schedule'!$B$2,2)=5,WEEKDAY('Daily Schedule'!$B$2,2)=7),IFERROR(1*'Daily Workforce'!$K26&gt;=3,FALSE()),IFERROR(1*'Daily Workforce'!$K26&gt;=2,FALSE())),IF(AND('Daily Schedule'!$A33&gt;=46,'Daily Schedule'!$A33&lt;=52),'Daily Workforce'!$M26="Y",IFERROR(1*'Daily Workforce'!$P26&gt;=2,FALSE()))))),1,0)</f>
        <v>0</v>
      </c>
      <c r="AL29" s="1" t="n">
        <f aca="false">IF(AND('Daily Workforce'!$N27="Y",'Daily Workforce'!$B27&lt;&gt;"",COUNTIF('Daily Schedule'!$F$5:$F32,'Daily Workforce'!$B27)=0,IF('Daily Schedule'!$A33=45,'Daily Workforce'!$J27="Y",IF(OR('Daily Schedule'!$A33=4,'Daily Schedule'!$A33=8),IF(OR(WEEKDAY('Daily Schedule'!$B$2,2)=1,WEEKDAY('Daily Schedule'!$B$2,2)=4,WEEKDAY('Daily Schedule'!$B$2,2)=5,WEEKDAY('Daily Schedule'!$B$2,2)=7),IFERROR(1*'Daily Workforce'!$K27&gt;=3,FALSE()),IFERROR(1*'Daily Workforce'!$K27&gt;=2,FALSE())),IF(AND('Daily Schedule'!$A33&gt;=46,'Daily Schedule'!$A33&lt;=52),'Daily Workforce'!$M27="Y",IFERROR(1*'Daily Workforce'!$P27&gt;=2,FALSE()))))),1,0)</f>
        <v>0</v>
      </c>
      <c r="AM29" s="1" t="n">
        <f aca="false">IF(AND('Daily Workforce'!$N28="Y",'Daily Workforce'!$B28&lt;&gt;"",COUNTIF('Daily Schedule'!$F$5:$F32,'Daily Workforce'!$B28)=0,IF('Daily Schedule'!$A33=45,'Daily Workforce'!$J28="Y",IF(OR('Daily Schedule'!$A33=4,'Daily Schedule'!$A33=8),IF(OR(WEEKDAY('Daily Schedule'!$B$2,2)=1,WEEKDAY('Daily Schedule'!$B$2,2)=4,WEEKDAY('Daily Schedule'!$B$2,2)=5,WEEKDAY('Daily Schedule'!$B$2,2)=7),IFERROR(1*'Daily Workforce'!$K28&gt;=3,FALSE()),IFERROR(1*'Daily Workforce'!$K28&gt;=2,FALSE())),IF(AND('Daily Schedule'!$A33&gt;=46,'Daily Schedule'!$A33&lt;=52),'Daily Workforce'!$M28="Y",IFERROR(1*'Daily Workforce'!$P28&gt;=2,FALSE()))))),1,0)</f>
        <v>0</v>
      </c>
      <c r="AN29" s="1" t="n">
        <f aca="false">IF(AND('Daily Workforce'!$N29="Y",'Daily Workforce'!$B29&lt;&gt;"",COUNTIF('Daily Schedule'!$F$5:$F32,'Daily Workforce'!$B29)=0,IF('Daily Schedule'!$A33=45,'Daily Workforce'!$J29="Y",IF(OR('Daily Schedule'!$A33=4,'Daily Schedule'!$A33=8),IF(OR(WEEKDAY('Daily Schedule'!$B$2,2)=1,WEEKDAY('Daily Schedule'!$B$2,2)=4,WEEKDAY('Daily Schedule'!$B$2,2)=5,WEEKDAY('Daily Schedule'!$B$2,2)=7),IFERROR(1*'Daily Workforce'!$K29&gt;=3,FALSE()),IFERROR(1*'Daily Workforce'!$K29&gt;=2,FALSE())),IF(AND('Daily Schedule'!$A33&gt;=46,'Daily Schedule'!$A33&lt;=52),'Daily Workforce'!$M29="Y",IFERROR(1*'Daily Workforce'!$P29&gt;=2,FALSE()))))),1,0)</f>
        <v>0</v>
      </c>
      <c r="AO29" s="1" t="n">
        <f aca="false">IF(AND('Daily Workforce'!$N30="Y",'Daily Workforce'!$B30&lt;&gt;"",COUNTIF('Daily Schedule'!$F$5:$F32,'Daily Workforce'!$B30)=0,IF('Daily Schedule'!$A33=45,'Daily Workforce'!$J30="Y",IF(OR('Daily Schedule'!$A33=4,'Daily Schedule'!$A33=8),IF(OR(WEEKDAY('Daily Schedule'!$B$2,2)=1,WEEKDAY('Daily Schedule'!$B$2,2)=4,WEEKDAY('Daily Schedule'!$B$2,2)=5,WEEKDAY('Daily Schedule'!$B$2,2)=7),IFERROR(1*'Daily Workforce'!$K30&gt;=3,FALSE()),IFERROR(1*'Daily Workforce'!$K30&gt;=2,FALSE())),IF(AND('Daily Schedule'!$A33&gt;=46,'Daily Schedule'!$A33&lt;=52),'Daily Workforce'!$M30="Y",IFERROR(1*'Daily Workforce'!$P30&gt;=2,FALSE()))))),1,0)</f>
        <v>0</v>
      </c>
      <c r="AP29" s="1" t="n">
        <f aca="false">IF(AND('Daily Workforce'!$N31="Y",'Daily Workforce'!$B31&lt;&gt;"",COUNTIF('Daily Schedule'!$F$5:$F32,'Daily Workforce'!$B31)=0,IF('Daily Schedule'!$A33=45,'Daily Workforce'!$J31="Y",IF(OR('Daily Schedule'!$A33=4,'Daily Schedule'!$A33=8),IF(OR(WEEKDAY('Daily Schedule'!$B$2,2)=1,WEEKDAY('Daily Schedule'!$B$2,2)=4,WEEKDAY('Daily Schedule'!$B$2,2)=5,WEEKDAY('Daily Schedule'!$B$2,2)=7),IFERROR(1*'Daily Workforce'!$K31&gt;=3,FALSE()),IFERROR(1*'Daily Workforce'!$K31&gt;=2,FALSE())),IF(AND('Daily Schedule'!$A33&gt;=46,'Daily Schedule'!$A33&lt;=52),'Daily Workforce'!$M31="Y",IFERROR(1*'Daily Workforce'!$P31&gt;=2,FALSE()))))),1,0)</f>
        <v>0</v>
      </c>
      <c r="AQ29" s="1" t="n">
        <f aca="false">IF(AND('Daily Workforce'!$N32="Y",'Daily Workforce'!$B32&lt;&gt;"",COUNTIF('Daily Schedule'!$F$5:$F32,'Daily Workforce'!$B32)=0,IF('Daily Schedule'!$A33=45,'Daily Workforce'!$J32="Y",IF(OR('Daily Schedule'!$A33=4,'Daily Schedule'!$A33=8),IF(OR(WEEKDAY('Daily Schedule'!$B$2,2)=1,WEEKDAY('Daily Schedule'!$B$2,2)=4,WEEKDAY('Daily Schedule'!$B$2,2)=5,WEEKDAY('Daily Schedule'!$B$2,2)=7),IFERROR(1*'Daily Workforce'!$K32&gt;=3,FALSE()),IFERROR(1*'Daily Workforce'!$K32&gt;=2,FALSE())),IF(AND('Daily Schedule'!$A33&gt;=46,'Daily Schedule'!$A33&lt;=52),'Daily Workforce'!$M32="Y",IFERROR(1*'Daily Workforce'!$P32&gt;=2,FALSE()))))),1,0)</f>
        <v>1</v>
      </c>
      <c r="AR29" s="1" t="n">
        <f aca="false">IF(AND('Daily Workforce'!$N33="Y",'Daily Workforce'!$B33&lt;&gt;"",COUNTIF('Daily Schedule'!$F$5:$F32,'Daily Workforce'!$B33)=0,IF('Daily Schedule'!$A33=45,'Daily Workforce'!$J33="Y",IF(OR('Daily Schedule'!$A33=4,'Daily Schedule'!$A33=8),IF(OR(WEEKDAY('Daily Schedule'!$B$2,2)=1,WEEKDAY('Daily Schedule'!$B$2,2)=4,WEEKDAY('Daily Schedule'!$B$2,2)=5,WEEKDAY('Daily Schedule'!$B$2,2)=7),IFERROR(1*'Daily Workforce'!$K33&gt;=3,FALSE()),IFERROR(1*'Daily Workforce'!$K33&gt;=2,FALSE())),IF(AND('Daily Schedule'!$A33&gt;=46,'Daily Schedule'!$A33&lt;=52),'Daily Workforce'!$M33="Y",IFERROR(1*'Daily Workforce'!$P33&gt;=2,FALSE()))))),1,0)</f>
        <v>1</v>
      </c>
      <c r="AS29" s="1" t="n">
        <f aca="false">IF(AND('Daily Workforce'!$N34="Y",'Daily Workforce'!$B34&lt;&gt;"",COUNTIF('Daily Schedule'!$F$5:$F32,'Daily Workforce'!$B34)=0,IF('Daily Schedule'!$A33=45,'Daily Workforce'!$J34="Y",IF(OR('Daily Schedule'!$A33=4,'Daily Schedule'!$A33=8),IF(OR(WEEKDAY('Daily Schedule'!$B$2,2)=1,WEEKDAY('Daily Schedule'!$B$2,2)=4,WEEKDAY('Daily Schedule'!$B$2,2)=5,WEEKDAY('Daily Schedule'!$B$2,2)=7),IFERROR(1*'Daily Workforce'!$K34&gt;=3,FALSE()),IFERROR(1*'Daily Workforce'!$K34&gt;=2,FALSE())),IF(AND('Daily Schedule'!$A33&gt;=46,'Daily Schedule'!$A33&lt;=52),'Daily Workforce'!$M34="Y",IFERROR(1*'Daily Workforce'!$P34&gt;=2,FALSE()))))),1,0)</f>
        <v>1</v>
      </c>
      <c r="AT29" s="1" t="n">
        <f aca="false">IF(AND('Daily Workforce'!$N35="Y",'Daily Workforce'!$B35&lt;&gt;"",COUNTIF('Daily Schedule'!$F$5:$F32,'Daily Workforce'!$B35)=0,IF('Daily Schedule'!$A33=45,'Daily Workforce'!$J35="Y",IF(OR('Daily Schedule'!$A33=4,'Daily Schedule'!$A33=8),IF(OR(WEEKDAY('Daily Schedule'!$B$2,2)=1,WEEKDAY('Daily Schedule'!$B$2,2)=4,WEEKDAY('Daily Schedule'!$B$2,2)=5,WEEKDAY('Daily Schedule'!$B$2,2)=7),IFERROR(1*'Daily Workforce'!$K35&gt;=3,FALSE()),IFERROR(1*'Daily Workforce'!$K35&gt;=2,FALSE())),IF(AND('Daily Schedule'!$A33&gt;=46,'Daily Schedule'!$A33&lt;=52),'Daily Workforce'!$M35="Y",IFERROR(1*'Daily Workforce'!$P35&gt;=2,FALSE()))))),1,0)</f>
        <v>1</v>
      </c>
      <c r="AU29" s="1" t="n">
        <f aca="false">IF(AND('Daily Workforce'!$N36="Y",'Daily Workforce'!$B36&lt;&gt;"",COUNTIF('Daily Schedule'!$F$5:$F32,'Daily Workforce'!$B36)=0,IF('Daily Schedule'!$A33=45,'Daily Workforce'!$J36="Y",IF(OR('Daily Schedule'!$A33=4,'Daily Schedule'!$A33=8),IF(OR(WEEKDAY('Daily Schedule'!$B$2,2)=1,WEEKDAY('Daily Schedule'!$B$2,2)=4,WEEKDAY('Daily Schedule'!$B$2,2)=5,WEEKDAY('Daily Schedule'!$B$2,2)=7),IFERROR(1*'Daily Workforce'!$K36&gt;=3,FALSE()),IFERROR(1*'Daily Workforce'!$K36&gt;=2,FALSE())),IF(AND('Daily Schedule'!$A33&gt;=46,'Daily Schedule'!$A33&lt;=52),'Daily Workforce'!$M36="Y",IFERROR(1*'Daily Workforce'!$P36&gt;=2,FALSE()))))),1,0)</f>
        <v>1</v>
      </c>
      <c r="AV29" s="1" t="n">
        <f aca="false">IF(AND('Daily Workforce'!$N37="Y",'Daily Workforce'!$B37&lt;&gt;"",COUNTIF('Daily Schedule'!$F$5:$F32,'Daily Workforce'!$B37)=0,IF('Daily Schedule'!$A33=45,'Daily Workforce'!$J37="Y",IF(OR('Daily Schedule'!$A33=4,'Daily Schedule'!$A33=8),IF(OR(WEEKDAY('Daily Schedule'!$B$2,2)=1,WEEKDAY('Daily Schedule'!$B$2,2)=4,WEEKDAY('Daily Schedule'!$B$2,2)=5,WEEKDAY('Daily Schedule'!$B$2,2)=7),IFERROR(1*'Daily Workforce'!$K37&gt;=3,FALSE()),IFERROR(1*'Daily Workforce'!$K37&gt;=2,FALSE())),IF(AND('Daily Schedule'!$A33&gt;=46,'Daily Schedule'!$A33&lt;=52),'Daily Workforce'!$M37="Y",IFERROR(1*'Daily Workforce'!$P37&gt;=2,FALSE()))))),1,0)</f>
        <v>1</v>
      </c>
      <c r="AW29" s="1" t="n">
        <f aca="false">IF(AND('Daily Workforce'!$N38="Y",'Daily Workforce'!$B38&lt;&gt;"",COUNTIF('Daily Schedule'!$F$5:$F32,'Daily Workforce'!$B38)=0,IF('Daily Schedule'!$A33=45,'Daily Workforce'!$J38="Y",IF(OR('Daily Schedule'!$A33=4,'Daily Schedule'!$A33=8),IF(OR(WEEKDAY('Daily Schedule'!$B$2,2)=1,WEEKDAY('Daily Schedule'!$B$2,2)=4,WEEKDAY('Daily Schedule'!$B$2,2)=5,WEEKDAY('Daily Schedule'!$B$2,2)=7),IFERROR(1*'Daily Workforce'!$K38&gt;=3,FALSE()),IFERROR(1*'Daily Workforce'!$K38&gt;=2,FALSE())),IF(AND('Daily Schedule'!$A33&gt;=46,'Daily Schedule'!$A33&lt;=52),'Daily Workforce'!$M38="Y",IFERROR(1*'Daily Workforce'!$P38&gt;=2,FALSE()))))),1,0)</f>
        <v>1</v>
      </c>
      <c r="AX29" s="1" t="n">
        <f aca="false">IF(AND('Daily Workforce'!$N39="Y",'Daily Workforce'!$B39&lt;&gt;"",COUNTIF('Daily Schedule'!$F$5:$F32,'Daily Workforce'!$B39)=0,IF('Daily Schedule'!$A33=45,'Daily Workforce'!$J39="Y",IF(OR('Daily Schedule'!$A33=4,'Daily Schedule'!$A33=8),IF(OR(WEEKDAY('Daily Schedule'!$B$2,2)=1,WEEKDAY('Daily Schedule'!$B$2,2)=4,WEEKDAY('Daily Schedule'!$B$2,2)=5,WEEKDAY('Daily Schedule'!$B$2,2)=7),IFERROR(1*'Daily Workforce'!$K39&gt;=3,FALSE()),IFERROR(1*'Daily Workforce'!$K39&gt;=2,FALSE())),IF(AND('Daily Schedule'!$A33&gt;=46,'Daily Schedule'!$A33&lt;=52),'Daily Workforce'!$M39="Y",IFERROR(1*'Daily Workforce'!$P39&gt;=2,FALSE()))))),1,0)</f>
        <v>1</v>
      </c>
      <c r="AY29" s="1" t="n">
        <f aca="false">IF(AND('Daily Workforce'!$N40="Y",'Daily Workforce'!$B40&lt;&gt;"",COUNTIF('Daily Schedule'!$F$5:$F32,'Daily Workforce'!$B40)=0,IF('Daily Schedule'!$A33=45,'Daily Workforce'!$J40="Y",IF(OR('Daily Schedule'!$A33=4,'Daily Schedule'!$A33=8),IF(OR(WEEKDAY('Daily Schedule'!$B$2,2)=1,WEEKDAY('Daily Schedule'!$B$2,2)=4,WEEKDAY('Daily Schedule'!$B$2,2)=5,WEEKDAY('Daily Schedule'!$B$2,2)=7),IFERROR(1*'Daily Workforce'!$K40&gt;=3,FALSE()),IFERROR(1*'Daily Workforce'!$K40&gt;=2,FALSE())),IF(AND('Daily Schedule'!$A33&gt;=46,'Daily Schedule'!$A33&lt;=52),'Daily Workforce'!$M40="Y",IFERROR(1*'Daily Workforce'!$P40&gt;=2,FALSE()))))),1,0)</f>
        <v>1</v>
      </c>
      <c r="AZ29" s="1" t="n">
        <f aca="false">IF(AND('Daily Workforce'!$N41="Y",'Daily Workforce'!$B41&lt;&gt;"",COUNTIF('Daily Schedule'!$F$5:$F32,'Daily Workforce'!$B41)=0,IF('Daily Schedule'!$A33=45,'Daily Workforce'!$J41="Y",IF(OR('Daily Schedule'!$A33=4,'Daily Schedule'!$A33=8),IF(OR(WEEKDAY('Daily Schedule'!$B$2,2)=1,WEEKDAY('Daily Schedule'!$B$2,2)=4,WEEKDAY('Daily Schedule'!$B$2,2)=5,WEEKDAY('Daily Schedule'!$B$2,2)=7),IFERROR(1*'Daily Workforce'!$K41&gt;=3,FALSE()),IFERROR(1*'Daily Workforce'!$K41&gt;=2,FALSE())),IF(AND('Daily Schedule'!$A33&gt;=46,'Daily Schedule'!$A33&lt;=52),'Daily Workforce'!$M41="Y",IFERROR(1*'Daily Workforce'!$P41&gt;=2,FALSE()))))),1,0)</f>
        <v>1</v>
      </c>
      <c r="BA29" s="1" t="n">
        <f aca="false">IF(AND('Daily Workforce'!$N42="Y",'Daily Workforce'!$B42&lt;&gt;"",COUNTIF('Daily Schedule'!$F$5:$F32,'Daily Workforce'!$B42)=0,IF('Daily Schedule'!$A33=45,'Daily Workforce'!$J42="Y",IF(OR('Daily Schedule'!$A33=4,'Daily Schedule'!$A33=8),IF(OR(WEEKDAY('Daily Schedule'!$B$2,2)=1,WEEKDAY('Daily Schedule'!$B$2,2)=4,WEEKDAY('Daily Schedule'!$B$2,2)=5,WEEKDAY('Daily Schedule'!$B$2,2)=7),IFERROR(1*'Daily Workforce'!$K42&gt;=3,FALSE()),IFERROR(1*'Daily Workforce'!$K42&gt;=2,FALSE())),IF(AND('Daily Schedule'!$A33&gt;=46,'Daily Schedule'!$A33&lt;=52),'Daily Workforce'!$M42="Y",IFERROR(1*'Daily Workforce'!$P42&gt;=2,FALSE()))))),1,0)</f>
        <v>1</v>
      </c>
      <c r="BB29" s="1" t="n">
        <f aca="false">IF(AND('Daily Workforce'!$N43="Y",'Daily Workforce'!$B43&lt;&gt;"",COUNTIF('Daily Schedule'!$F$5:$F32,'Daily Workforce'!$B43)=0,IF('Daily Schedule'!$A33=45,'Daily Workforce'!$J43="Y",IF(OR('Daily Schedule'!$A33=4,'Daily Schedule'!$A33=8),IF(OR(WEEKDAY('Daily Schedule'!$B$2,2)=1,WEEKDAY('Daily Schedule'!$B$2,2)=4,WEEKDAY('Daily Schedule'!$B$2,2)=5,WEEKDAY('Daily Schedule'!$B$2,2)=7),IFERROR(1*'Daily Workforce'!$K43&gt;=3,FALSE()),IFERROR(1*'Daily Workforce'!$K43&gt;=2,FALSE())),IF(AND('Daily Schedule'!$A33&gt;=46,'Daily Schedule'!$A33&lt;=52),'Daily Workforce'!$M43="Y",IFERROR(1*'Daily Workforce'!$P43&gt;=2,FALSE()))))),1,0)</f>
        <v>1</v>
      </c>
      <c r="BC29" s="1" t="n">
        <f aca="false">IF(AND('Daily Workforce'!$N44="Y",'Daily Workforce'!$B44&lt;&gt;"",COUNTIF('Daily Schedule'!$F$5:$F32,'Daily Workforce'!$B44)=0,IF('Daily Schedule'!$A33=45,'Daily Workforce'!$J44="Y",IF(OR('Daily Schedule'!$A33=4,'Daily Schedule'!$A33=8),IF(OR(WEEKDAY('Daily Schedule'!$B$2,2)=1,WEEKDAY('Daily Schedule'!$B$2,2)=4,WEEKDAY('Daily Schedule'!$B$2,2)=5,WEEKDAY('Daily Schedule'!$B$2,2)=7),IFERROR(1*'Daily Workforce'!$K44&gt;=3,FALSE()),IFERROR(1*'Daily Workforce'!$K44&gt;=2,FALSE())),IF(AND('Daily Schedule'!$A33&gt;=46,'Daily Schedule'!$A33&lt;=52),'Daily Workforce'!$M44="Y",IFERROR(1*'Daily Workforce'!$P44&gt;=2,FALSE()))))),1,0)</f>
        <v>1</v>
      </c>
      <c r="BD29" s="1" t="n">
        <f aca="false">IF(AND('Daily Workforce'!$N45="Y",'Daily Workforce'!$B45&lt;&gt;"",COUNTIF('Daily Schedule'!$F$5:$F32,'Daily Workforce'!$B45)=0,IF('Daily Schedule'!$A33=45,'Daily Workforce'!$J45="Y",IF(OR('Daily Schedule'!$A33=4,'Daily Schedule'!$A33=8),IF(OR(WEEKDAY('Daily Schedule'!$B$2,2)=1,WEEKDAY('Daily Schedule'!$B$2,2)=4,WEEKDAY('Daily Schedule'!$B$2,2)=5,WEEKDAY('Daily Schedule'!$B$2,2)=7),IFERROR(1*'Daily Workforce'!$K45&gt;=3,FALSE()),IFERROR(1*'Daily Workforce'!$K45&gt;=2,FALSE())),IF(AND('Daily Schedule'!$A33&gt;=46,'Daily Schedule'!$A33&lt;=52),'Daily Workforce'!$M45="Y",IFERROR(1*'Daily Workforce'!$P45&gt;=2,FALSE()))))),1,0)</f>
        <v>1</v>
      </c>
      <c r="BE29" s="1" t="n">
        <f aca="false">IF(AND('Daily Workforce'!$N46="Y",'Daily Workforce'!$B46&lt;&gt;"",COUNTIF('Daily Schedule'!$F$5:$F32,'Daily Workforce'!$B46)=0,IF('Daily Schedule'!$A33=45,'Daily Workforce'!$J46="Y",IF(OR('Daily Schedule'!$A33=4,'Daily Schedule'!$A33=8),IF(OR(WEEKDAY('Daily Schedule'!$B$2,2)=1,WEEKDAY('Daily Schedule'!$B$2,2)=4,WEEKDAY('Daily Schedule'!$B$2,2)=5,WEEKDAY('Daily Schedule'!$B$2,2)=7),IFERROR(1*'Daily Workforce'!$K46&gt;=3,FALSE()),IFERROR(1*'Daily Workforce'!$K46&gt;=2,FALSE())),IF(AND('Daily Schedule'!$A33&gt;=46,'Daily Schedule'!$A33&lt;=52),'Daily Workforce'!$M46="Y",IFERROR(1*'Daily Workforce'!$P46&gt;=2,FALSE()))))),1,0)</f>
        <v>1</v>
      </c>
      <c r="BF29" s="1" t="n">
        <f aca="false">IF(AND('Daily Workforce'!$N47="Y",'Daily Workforce'!$B47&lt;&gt;"",COUNTIF('Daily Schedule'!$F$5:$F32,'Daily Workforce'!$B47)=0,IF('Daily Schedule'!$A33=45,'Daily Workforce'!$J47="Y",IF(OR('Daily Schedule'!$A33=4,'Daily Schedule'!$A33=8),IF(OR(WEEKDAY('Daily Schedule'!$B$2,2)=1,WEEKDAY('Daily Schedule'!$B$2,2)=4,WEEKDAY('Daily Schedule'!$B$2,2)=5,WEEKDAY('Daily Schedule'!$B$2,2)=7),IFERROR(1*'Daily Workforce'!$K47&gt;=3,FALSE()),IFERROR(1*'Daily Workforce'!$K47&gt;=2,FALSE())),IF(AND('Daily Schedule'!$A33&gt;=46,'Daily Schedule'!$A33&lt;=52),'Daily Workforce'!$M47="Y",IFERROR(1*'Daily Workforce'!$P47&gt;=2,FALSE()))))),1,0)</f>
        <v>0</v>
      </c>
      <c r="BG29" s="1" t="n">
        <f aca="false">IF(AND('Daily Workforce'!$N48="Y",'Daily Workforce'!$B48&lt;&gt;"",COUNTIF('Daily Schedule'!$F$5:$F32,'Daily Workforce'!$B48)=0,IF('Daily Schedule'!$A33=45,'Daily Workforce'!$J48="Y",IF(OR('Daily Schedule'!$A33=4,'Daily Schedule'!$A33=8),IF(OR(WEEKDAY('Daily Schedule'!$B$2,2)=1,WEEKDAY('Daily Schedule'!$B$2,2)=4,WEEKDAY('Daily Schedule'!$B$2,2)=5,WEEKDAY('Daily Schedule'!$B$2,2)=7),IFERROR(1*'Daily Workforce'!$K48&gt;=3,FALSE()),IFERROR(1*'Daily Workforce'!$K48&gt;=2,FALSE())),IF(AND('Daily Schedule'!$A33&gt;=46,'Daily Schedule'!$A33&lt;=52),'Daily Workforce'!$M48="Y",IFERROR(1*'Daily Workforce'!$P48&gt;=2,FALSE()))))),1,0)</f>
        <v>1</v>
      </c>
      <c r="BH29" s="1" t="n">
        <f aca="false">IF(AND('Daily Workforce'!$N49="Y",'Daily Workforce'!$B49&lt;&gt;"",COUNTIF('Daily Schedule'!$F$5:$F32,'Daily Workforce'!$B49)=0,IF('Daily Schedule'!$A33=45,'Daily Workforce'!$J49="Y",IF(OR('Daily Schedule'!$A33=4,'Daily Schedule'!$A33=8),IF(OR(WEEKDAY('Daily Schedule'!$B$2,2)=1,WEEKDAY('Daily Schedule'!$B$2,2)=4,WEEKDAY('Daily Schedule'!$B$2,2)=5,WEEKDAY('Daily Schedule'!$B$2,2)=7),IFERROR(1*'Daily Workforce'!$K49&gt;=3,FALSE()),IFERROR(1*'Daily Workforce'!$K49&gt;=2,FALSE())),IF(AND('Daily Schedule'!$A33&gt;=46,'Daily Schedule'!$A33&lt;=52),'Daily Workforce'!$M49="Y",IFERROR(1*'Daily Workforce'!$P49&gt;=2,FALSE()))))),1,0)</f>
        <v>1</v>
      </c>
      <c r="BI29" s="1" t="n">
        <f aca="false">IF(AND('Daily Workforce'!$N50="Y",'Daily Workforce'!$B50&lt;&gt;"",COUNTIF('Daily Schedule'!$F$5:$F32,'Daily Workforce'!$B50)=0,IF('Daily Schedule'!$A33=45,'Daily Workforce'!$J50="Y",IF(OR('Daily Schedule'!$A33=4,'Daily Schedule'!$A33=8),IF(OR(WEEKDAY('Daily Schedule'!$B$2,2)=1,WEEKDAY('Daily Schedule'!$B$2,2)=4,WEEKDAY('Daily Schedule'!$B$2,2)=5,WEEKDAY('Daily Schedule'!$B$2,2)=7),IFERROR(1*'Daily Workforce'!$K50&gt;=3,FALSE()),IFERROR(1*'Daily Workforce'!$K50&gt;=2,FALSE())),IF(AND('Daily Schedule'!$A33&gt;=46,'Daily Schedule'!$A33&lt;=52),'Daily Workforce'!$M50="Y",IFERROR(1*'Daily Workforce'!$P50&gt;=2,FALSE()))))),1,0)</f>
        <v>0</v>
      </c>
      <c r="BJ29" s="1" t="n">
        <f aca="false">IF(AND('Daily Workforce'!$N51="Y",'Daily Workforce'!$B51&lt;&gt;"",COUNTIF('Daily Schedule'!$F$5:$F32,'Daily Workforce'!$B51)=0,IF('Daily Schedule'!$A33=45,'Daily Workforce'!$J51="Y",IF(OR('Daily Schedule'!$A33=4,'Daily Schedule'!$A33=8),IF(OR(WEEKDAY('Daily Schedule'!$B$2,2)=1,WEEKDAY('Daily Schedule'!$B$2,2)=4,WEEKDAY('Daily Schedule'!$B$2,2)=5,WEEKDAY('Daily Schedule'!$B$2,2)=7),IFERROR(1*'Daily Workforce'!$K51&gt;=3,FALSE()),IFERROR(1*'Daily Workforce'!$K51&gt;=2,FALSE())),IF(AND('Daily Schedule'!$A33&gt;=46,'Daily Schedule'!$A33&lt;=52),'Daily Workforce'!$M51="Y",IFERROR(1*'Daily Workforce'!$P51&gt;=2,FALSE()))))),1,0)</f>
        <v>1</v>
      </c>
      <c r="BK29" s="1" t="n">
        <f aca="false">IF(AND('Daily Workforce'!$N52="Y",'Daily Workforce'!$B52&lt;&gt;"",COUNTIF('Daily Schedule'!$F$5:$F32,'Daily Workforce'!$B52)=0,IF('Daily Schedule'!$A33=45,'Daily Workforce'!$J52="Y",IF(OR('Daily Schedule'!$A33=4,'Daily Schedule'!$A33=8),IF(OR(WEEKDAY('Daily Schedule'!$B$2,2)=1,WEEKDAY('Daily Schedule'!$B$2,2)=4,WEEKDAY('Daily Schedule'!$B$2,2)=5,WEEKDAY('Daily Schedule'!$B$2,2)=7),IFERROR(1*'Daily Workforce'!$K52&gt;=3,FALSE()),IFERROR(1*'Daily Workforce'!$K52&gt;=2,FALSE())),IF(AND('Daily Schedule'!$A33&gt;=46,'Daily Schedule'!$A33&lt;=52),'Daily Workforce'!$M52="Y",IFERROR(1*'Daily Workforce'!$P52&gt;=2,FALSE()))))),1,0)</f>
        <v>1</v>
      </c>
      <c r="BL29" s="1" t="n">
        <f aca="false">IF(AND('Daily Workforce'!$N53="Y",'Daily Workforce'!$B53&lt;&gt;"",COUNTIF('Daily Schedule'!$F$5:$F32,'Daily Workforce'!$B53)=0,IF('Daily Schedule'!$A33=45,'Daily Workforce'!$J53="Y",IF(OR('Daily Schedule'!$A33=4,'Daily Schedule'!$A33=8),IF(OR(WEEKDAY('Daily Schedule'!$B$2,2)=1,WEEKDAY('Daily Schedule'!$B$2,2)=4,WEEKDAY('Daily Schedule'!$B$2,2)=5,WEEKDAY('Daily Schedule'!$B$2,2)=7),IFERROR(1*'Daily Workforce'!$K53&gt;=3,FALSE()),IFERROR(1*'Daily Workforce'!$K53&gt;=2,FALSE())),IF(AND('Daily Schedule'!$A33&gt;=46,'Daily Schedule'!$A33&lt;=52),'Daily Workforce'!$M53="Y",IFERROR(1*'Daily Workforce'!$P53&gt;=2,FALSE()))))),1,0)</f>
        <v>1</v>
      </c>
      <c r="BM29" s="1" t="n">
        <f aca="false">IF(AND('Daily Workforce'!$N54="Y",'Daily Workforce'!$B54&lt;&gt;"",COUNTIF('Daily Schedule'!$F$5:$F32,'Daily Workforce'!$B54)=0,IF('Daily Schedule'!$A33=45,'Daily Workforce'!$J54="Y",IF(OR('Daily Schedule'!$A33=4,'Daily Schedule'!$A33=8),IF(OR(WEEKDAY('Daily Schedule'!$B$2,2)=1,WEEKDAY('Daily Schedule'!$B$2,2)=4,WEEKDAY('Daily Schedule'!$B$2,2)=5,WEEKDAY('Daily Schedule'!$B$2,2)=7),IFERROR(1*'Daily Workforce'!$K54&gt;=3,FALSE()),IFERROR(1*'Daily Workforce'!$K54&gt;=2,FALSE())),IF(AND('Daily Schedule'!$A33&gt;=46,'Daily Schedule'!$A33&lt;=52),'Daily Workforce'!$M54="Y",IFERROR(1*'Daily Workforce'!$P54&gt;=2,FALSE()))))),1,0)</f>
        <v>1</v>
      </c>
      <c r="BN29" s="1" t="n">
        <f aca="false">IF(AND('Daily Workforce'!$N55="Y",'Daily Workforce'!$B55&lt;&gt;"",COUNTIF('Daily Schedule'!$F$5:$F32,'Daily Workforce'!$B55)=0,IF('Daily Schedule'!$A33=45,'Daily Workforce'!$J55="Y",IF(OR('Daily Schedule'!$A33=4,'Daily Schedule'!$A33=8),IF(OR(WEEKDAY('Daily Schedule'!$B$2,2)=1,WEEKDAY('Daily Schedule'!$B$2,2)=4,WEEKDAY('Daily Schedule'!$B$2,2)=5,WEEKDAY('Daily Schedule'!$B$2,2)=7),IFERROR(1*'Daily Workforce'!$K55&gt;=3,FALSE()),IFERROR(1*'Daily Workforce'!$K55&gt;=2,FALSE())),IF(AND('Daily Schedule'!$A33&gt;=46,'Daily Schedule'!$A33&lt;=52),'Daily Workforce'!$M55="Y",IFERROR(1*'Daily Workforce'!$P55&gt;=2,FALSE()))))),1,0)</f>
        <v>1</v>
      </c>
      <c r="BO29" s="1" t="n">
        <f aca="false">IF(AND('Daily Workforce'!$N56="Y",'Daily Workforce'!$B56&lt;&gt;"",COUNTIF('Daily Schedule'!$F$5:$F32,'Daily Workforce'!$B56)=0,IF('Daily Schedule'!$A33=45,'Daily Workforce'!$J56="Y",IF(OR('Daily Schedule'!$A33=4,'Daily Schedule'!$A33=8),IF(OR(WEEKDAY('Daily Schedule'!$B$2,2)=1,WEEKDAY('Daily Schedule'!$B$2,2)=4,WEEKDAY('Daily Schedule'!$B$2,2)=5,WEEKDAY('Daily Schedule'!$B$2,2)=7),IFERROR(1*'Daily Workforce'!$K56&gt;=3,FALSE()),IFERROR(1*'Daily Workforce'!$K56&gt;=2,FALSE())),IF(AND('Daily Schedule'!$A33&gt;=46,'Daily Schedule'!$A33&lt;=52),'Daily Workforce'!$M56="Y",IFERROR(1*'Daily Workforce'!$P56&gt;=2,FALSE()))))),1,0)</f>
        <v>1</v>
      </c>
      <c r="BP29" s="1" t="n">
        <f aca="false">IF(AND('Daily Workforce'!$N57="Y",'Daily Workforce'!$B57&lt;&gt;"",COUNTIF('Daily Schedule'!$F$5:$F32,'Daily Workforce'!$B57)=0,IF('Daily Schedule'!$A33=45,'Daily Workforce'!$J57="Y",IF(OR('Daily Schedule'!$A33=4,'Daily Schedule'!$A33=8),IF(OR(WEEKDAY('Daily Schedule'!$B$2,2)=1,WEEKDAY('Daily Schedule'!$B$2,2)=4,WEEKDAY('Daily Schedule'!$B$2,2)=5,WEEKDAY('Daily Schedule'!$B$2,2)=7),IFERROR(1*'Daily Workforce'!$K57&gt;=3,FALSE()),IFERROR(1*'Daily Workforce'!$K57&gt;=2,FALSE())),IF(AND('Daily Schedule'!$A33&gt;=46,'Daily Schedule'!$A33&lt;=52),'Daily Workforce'!$M57="Y",IFERROR(1*'Daily Workforce'!$P57&gt;=2,FALSE()))))),1,0)</f>
        <v>0</v>
      </c>
      <c r="BQ29" s="1" t="n">
        <f aca="false">IF(AND('Daily Workforce'!$N58="Y",'Daily Workforce'!$B58&lt;&gt;"",COUNTIF('Daily Schedule'!$F$5:$F32,'Daily Workforce'!$B58)=0,IF('Daily Schedule'!$A33=45,'Daily Workforce'!$J58="Y",IF(OR('Daily Schedule'!$A33=4,'Daily Schedule'!$A33=8),IF(OR(WEEKDAY('Daily Schedule'!$B$2,2)=1,WEEKDAY('Daily Schedule'!$B$2,2)=4,WEEKDAY('Daily Schedule'!$B$2,2)=5,WEEKDAY('Daily Schedule'!$B$2,2)=7),IFERROR(1*'Daily Workforce'!$K58&gt;=3,FALSE()),IFERROR(1*'Daily Workforce'!$K58&gt;=2,FALSE())),IF(AND('Daily Schedule'!$A33&gt;=46,'Daily Schedule'!$A33&lt;=52),'Daily Workforce'!$M58="Y",IFERROR(1*'Daily Workforce'!$P58&gt;=2,FALSE()))))),1,0)</f>
        <v>1</v>
      </c>
      <c r="BR29" s="1" t="n">
        <f aca="false">IF(AND('Daily Workforce'!$N59="Y",'Daily Workforce'!$B59&lt;&gt;"",COUNTIF('Daily Schedule'!$F$5:$F32,'Daily Workforce'!$B59)=0,IF('Daily Schedule'!$A33=45,'Daily Workforce'!$J59="Y",IF(OR('Daily Schedule'!$A33=4,'Daily Schedule'!$A33=8),IF(OR(WEEKDAY('Daily Schedule'!$B$2,2)=1,WEEKDAY('Daily Schedule'!$B$2,2)=4,WEEKDAY('Daily Schedule'!$B$2,2)=5,WEEKDAY('Daily Schedule'!$B$2,2)=7),IFERROR(1*'Daily Workforce'!$K59&gt;=3,FALSE()),IFERROR(1*'Daily Workforce'!$K59&gt;=2,FALSE())),IF(AND('Daily Schedule'!$A33&gt;=46,'Daily Schedule'!$A33&lt;=52),'Daily Workforce'!$M59="Y",IFERROR(1*'Daily Workforce'!$P59&gt;=2,FALSE()))))),1,0)</f>
        <v>1</v>
      </c>
      <c r="BS29" s="1" t="n">
        <f aca="false">IF(AND('Daily Workforce'!$N60="Y",'Daily Workforce'!$B60&lt;&gt;"",COUNTIF('Daily Schedule'!$F$5:$F32,'Daily Workforce'!$B60)=0,IF('Daily Schedule'!$A33=45,'Daily Workforce'!$J60="Y",IF(OR('Daily Schedule'!$A33=4,'Daily Schedule'!$A33=8),IF(OR(WEEKDAY('Daily Schedule'!$B$2,2)=1,WEEKDAY('Daily Schedule'!$B$2,2)=4,WEEKDAY('Daily Schedule'!$B$2,2)=5,WEEKDAY('Daily Schedule'!$B$2,2)=7),IFERROR(1*'Daily Workforce'!$K60&gt;=3,FALSE()),IFERROR(1*'Daily Workforce'!$K60&gt;=2,FALSE())),IF(AND('Daily Schedule'!$A33&gt;=46,'Daily Schedule'!$A33&lt;=52),'Daily Workforce'!$M60="Y",IFERROR(1*'Daily Workforce'!$P60&gt;=2,FALSE()))))),1,0)</f>
        <v>1</v>
      </c>
      <c r="BT29" s="1" t="n">
        <f aca="false">IF(AND('Daily Workforce'!$N61="Y",'Daily Workforce'!$B61&lt;&gt;"",COUNTIF('Daily Schedule'!$F$5:$F32,'Daily Workforce'!$B61)=0,IF('Daily Schedule'!$A33=45,'Daily Workforce'!$J61="Y",IF(OR('Daily Schedule'!$A33=4,'Daily Schedule'!$A33=8),IF(OR(WEEKDAY('Daily Schedule'!$B$2,2)=1,WEEKDAY('Daily Schedule'!$B$2,2)=4,WEEKDAY('Daily Schedule'!$B$2,2)=5,WEEKDAY('Daily Schedule'!$B$2,2)=7),IFERROR(1*'Daily Workforce'!$K61&gt;=3,FALSE()),IFERROR(1*'Daily Workforce'!$K61&gt;=2,FALSE())),IF(AND('Daily Schedule'!$A33&gt;=46,'Daily Schedule'!$A33&lt;=52),'Daily Workforce'!$M61="Y",IFERROR(1*'Daily Workforce'!$P61&gt;=2,FALSE()))))),1,0)</f>
        <v>0</v>
      </c>
      <c r="BU29" s="1" t="n">
        <f aca="false">IF(AND('Daily Workforce'!$N62="Y",'Daily Workforce'!$B62&lt;&gt;"",COUNTIF('Daily Schedule'!$F$5:$F32,'Daily Workforce'!$B62)=0,IF('Daily Schedule'!$A33=45,'Daily Workforce'!$J62="Y",IF(OR('Daily Schedule'!$A33=4,'Daily Schedule'!$A33=8),IF(OR(WEEKDAY('Daily Schedule'!$B$2,2)=1,WEEKDAY('Daily Schedule'!$B$2,2)=4,WEEKDAY('Daily Schedule'!$B$2,2)=5,WEEKDAY('Daily Schedule'!$B$2,2)=7),IFERROR(1*'Daily Workforce'!$K62&gt;=3,FALSE()),IFERROR(1*'Daily Workforce'!$K62&gt;=2,FALSE())),IF(AND('Daily Schedule'!$A33&gt;=46,'Daily Schedule'!$A33&lt;=52),'Daily Workforce'!$M62="Y",IFERROR(1*'Daily Workforce'!$P62&gt;=2,FALSE()))))),1,0)</f>
        <v>1</v>
      </c>
      <c r="BV29" s="1" t="n">
        <f aca="false">IF(AND('Daily Workforce'!$N63="Y",'Daily Workforce'!$B63&lt;&gt;"",COUNTIF('Daily Schedule'!$F$5:$F32,'Daily Workforce'!$B63)=0,IF('Daily Schedule'!$A33=45,'Daily Workforce'!$J63="Y",IF(OR('Daily Schedule'!$A33=4,'Daily Schedule'!$A33=8),IF(OR(WEEKDAY('Daily Schedule'!$B$2,2)=1,WEEKDAY('Daily Schedule'!$B$2,2)=4,WEEKDAY('Daily Schedule'!$B$2,2)=5,WEEKDAY('Daily Schedule'!$B$2,2)=7),IFERROR(1*'Daily Workforce'!$K63&gt;=3,FALSE()),IFERROR(1*'Daily Workforce'!$K63&gt;=2,FALSE())),IF(AND('Daily Schedule'!$A33&gt;=46,'Daily Schedule'!$A33&lt;=52),'Daily Workforce'!$M63="Y",IFERROR(1*'Daily Workforce'!$P63&gt;=2,FALSE()))))),1,0)</f>
        <v>1</v>
      </c>
      <c r="BW29" s="1" t="n">
        <f aca="false">IF(AND('Daily Workforce'!$N64="Y",'Daily Workforce'!$B64&lt;&gt;"",COUNTIF('Daily Schedule'!$F$5:$F32,'Daily Workforce'!$B64)=0,IF('Daily Schedule'!$A33=45,'Daily Workforce'!$J64="Y",IF(OR('Daily Schedule'!$A33=4,'Daily Schedule'!$A33=8),IF(OR(WEEKDAY('Daily Schedule'!$B$2,2)=1,WEEKDAY('Daily Schedule'!$B$2,2)=4,WEEKDAY('Daily Schedule'!$B$2,2)=5,WEEKDAY('Daily Schedule'!$B$2,2)=7),IFERROR(1*'Daily Workforce'!$K64&gt;=3,FALSE()),IFERROR(1*'Daily Workforce'!$K64&gt;=2,FALSE())),IF(AND('Daily Schedule'!$A33&gt;=46,'Daily Schedule'!$A33&lt;=52),'Daily Workforce'!$M64="Y",IFERROR(1*'Daily Workforce'!$P64&gt;=2,FALSE()))))),1,0)</f>
        <v>1</v>
      </c>
      <c r="BX29" s="1" t="n">
        <f aca="false">IF(AND('Daily Workforce'!$N65="Y",'Daily Workforce'!$B65&lt;&gt;"",COUNTIF('Daily Schedule'!$F$5:$F32,'Daily Workforce'!$B65)=0,IF('Daily Schedule'!$A33=45,'Daily Workforce'!$J65="Y",IF(OR('Daily Schedule'!$A33=4,'Daily Schedule'!$A33=8),IF(OR(WEEKDAY('Daily Schedule'!$B$2,2)=1,WEEKDAY('Daily Schedule'!$B$2,2)=4,WEEKDAY('Daily Schedule'!$B$2,2)=5,WEEKDAY('Daily Schedule'!$B$2,2)=7),IFERROR(1*'Daily Workforce'!$K65&gt;=3,FALSE()),IFERROR(1*'Daily Workforce'!$K65&gt;=2,FALSE())),IF(AND('Daily Schedule'!$A33&gt;=46,'Daily Schedule'!$A33&lt;=52),'Daily Workforce'!$M65="Y",IFERROR(1*'Daily Workforce'!$P65&gt;=2,FALSE()))))),1,0)</f>
        <v>1</v>
      </c>
      <c r="BY29" s="1" t="n">
        <f aca="false">IF(AND('Daily Workforce'!$N66="Y",'Daily Workforce'!$B66&lt;&gt;"",COUNTIF('Daily Schedule'!$F$5:$F32,'Daily Workforce'!$B66)=0,IF('Daily Schedule'!$A33=45,'Daily Workforce'!$J66="Y",IF(OR('Daily Schedule'!$A33=4,'Daily Schedule'!$A33=8),IF(OR(WEEKDAY('Daily Schedule'!$B$2,2)=1,WEEKDAY('Daily Schedule'!$B$2,2)=4,WEEKDAY('Daily Schedule'!$B$2,2)=5,WEEKDAY('Daily Schedule'!$B$2,2)=7),IFERROR(1*'Daily Workforce'!$K66&gt;=3,FALSE()),IFERROR(1*'Daily Workforce'!$K66&gt;=2,FALSE())),IF(AND('Daily Schedule'!$A33&gt;=46,'Daily Schedule'!$A33&lt;=52),'Daily Workforce'!$M66="Y",IFERROR(1*'Daily Workforce'!$P66&gt;=2,FALSE()))))),1,0)</f>
        <v>1</v>
      </c>
      <c r="BZ29" s="1" t="n">
        <f aca="false">IF(AND('Daily Workforce'!$N67="Y",'Daily Workforce'!$B67&lt;&gt;"",COUNTIF('Daily Schedule'!$F$5:$F32,'Daily Workforce'!$B67)=0,IF('Daily Schedule'!$A33=45,'Daily Workforce'!$J67="Y",IF(OR('Daily Schedule'!$A33=4,'Daily Schedule'!$A33=8),IF(OR(WEEKDAY('Daily Schedule'!$B$2,2)=1,WEEKDAY('Daily Schedule'!$B$2,2)=4,WEEKDAY('Daily Schedule'!$B$2,2)=5,WEEKDAY('Daily Schedule'!$B$2,2)=7),IFERROR(1*'Daily Workforce'!$K67&gt;=3,FALSE()),IFERROR(1*'Daily Workforce'!$K67&gt;=2,FALSE())),IF(AND('Daily Schedule'!$A33&gt;=46,'Daily Schedule'!$A33&lt;=52),'Daily Workforce'!$M67="Y",IFERROR(1*'Daily Workforce'!$P67&gt;=2,FALSE()))))),1,0)</f>
        <v>1</v>
      </c>
      <c r="CA29" s="1" t="n">
        <f aca="false">IF(AND('Daily Workforce'!$N68="Y",'Daily Workforce'!$B68&lt;&gt;"",COUNTIF('Daily Schedule'!$F$5:$F32,'Daily Workforce'!$B68)=0,IF('Daily Schedule'!$A33=45,'Daily Workforce'!$J68="Y",IF(OR('Daily Schedule'!$A33=4,'Daily Schedule'!$A33=8),IF(OR(WEEKDAY('Daily Schedule'!$B$2,2)=1,WEEKDAY('Daily Schedule'!$B$2,2)=4,WEEKDAY('Daily Schedule'!$B$2,2)=5,WEEKDAY('Daily Schedule'!$B$2,2)=7),IFERROR(1*'Daily Workforce'!$K68&gt;=3,FALSE()),IFERROR(1*'Daily Workforce'!$K68&gt;=2,FALSE())),IF(AND('Daily Schedule'!$A33&gt;=46,'Daily Schedule'!$A33&lt;=52),'Daily Workforce'!$M68="Y",IFERROR(1*'Daily Workforce'!$P68&gt;=2,FALSE()))))),1,0)</f>
        <v>1</v>
      </c>
      <c r="CB29" s="1" t="n">
        <f aca="false">IF(AND('Daily Workforce'!$N69="Y",'Daily Workforce'!$B69&lt;&gt;"",COUNTIF('Daily Schedule'!$F$5:$F32,'Daily Workforce'!$B69)=0,IF('Daily Schedule'!$A33=45,'Daily Workforce'!$J69="Y",IF(OR('Daily Schedule'!$A33=4,'Daily Schedule'!$A33=8),IF(OR(WEEKDAY('Daily Schedule'!$B$2,2)=1,WEEKDAY('Daily Schedule'!$B$2,2)=4,WEEKDAY('Daily Schedule'!$B$2,2)=5,WEEKDAY('Daily Schedule'!$B$2,2)=7),IFERROR(1*'Daily Workforce'!$K69&gt;=3,FALSE()),IFERROR(1*'Daily Workforce'!$K69&gt;=2,FALSE())),IF(AND('Daily Schedule'!$A33&gt;=46,'Daily Schedule'!$A33&lt;=52),'Daily Workforce'!$M69="Y",IFERROR(1*'Daily Workforce'!$P69&gt;=2,FALSE()))))),1,0)</f>
        <v>1</v>
      </c>
      <c r="CC29" s="1" t="n">
        <f aca="false">IF(AND('Daily Workforce'!$N70="Y",'Daily Workforce'!$B70&lt;&gt;"",COUNTIF('Daily Schedule'!$F$5:$F32,'Daily Workforce'!$B70)=0,IF('Daily Schedule'!$A33=45,'Daily Workforce'!$J70="Y",IF(OR('Daily Schedule'!$A33=4,'Daily Schedule'!$A33=8),IF(OR(WEEKDAY('Daily Schedule'!$B$2,2)=1,WEEKDAY('Daily Schedule'!$B$2,2)=4,WEEKDAY('Daily Schedule'!$B$2,2)=5,WEEKDAY('Daily Schedule'!$B$2,2)=7),IFERROR(1*'Daily Workforce'!$K70&gt;=3,FALSE()),IFERROR(1*'Daily Workforce'!$K70&gt;=2,FALSE())),IF(AND('Daily Schedule'!$A33&gt;=46,'Daily Schedule'!$A33&lt;=52),'Daily Workforce'!$M70="Y",IFERROR(1*'Daily Workforce'!$P70&gt;=2,FALSE()))))),1,0)</f>
        <v>1</v>
      </c>
      <c r="CD29" s="1" t="n">
        <f aca="false">IF(AND('Daily Workforce'!$N71="Y",'Daily Workforce'!$B71&lt;&gt;"",COUNTIF('Daily Schedule'!$F$5:$F32,'Daily Workforce'!$B71)=0,IF('Daily Schedule'!$A33=45,'Daily Workforce'!$J71="Y",IF(OR('Daily Schedule'!$A33=4,'Daily Schedule'!$A33=8),IF(OR(WEEKDAY('Daily Schedule'!$B$2,2)=1,WEEKDAY('Daily Schedule'!$B$2,2)=4,WEEKDAY('Daily Schedule'!$B$2,2)=5,WEEKDAY('Daily Schedule'!$B$2,2)=7),IFERROR(1*'Daily Workforce'!$K71&gt;=3,FALSE()),IFERROR(1*'Daily Workforce'!$K71&gt;=2,FALSE())),IF(AND('Daily Schedule'!$A33&gt;=46,'Daily Schedule'!$A33&lt;=52),'Daily Workforce'!$M71="Y",IFERROR(1*'Daily Workforce'!$P71&gt;=2,FALSE()))))),1,0)</f>
        <v>1</v>
      </c>
      <c r="CE29" s="1" t="n">
        <f aca="false">IF(AND('Daily Workforce'!$N72="Y",'Daily Workforce'!$B72&lt;&gt;"",COUNTIF('Daily Schedule'!$F$5:$F32,'Daily Workforce'!$B72)=0,IF('Daily Schedule'!$A33=45,'Daily Workforce'!$J72="Y",IF(OR('Daily Schedule'!$A33=4,'Daily Schedule'!$A33=8),IF(OR(WEEKDAY('Daily Schedule'!$B$2,2)=1,WEEKDAY('Daily Schedule'!$B$2,2)=4,WEEKDAY('Daily Schedule'!$B$2,2)=5,WEEKDAY('Daily Schedule'!$B$2,2)=7),IFERROR(1*'Daily Workforce'!$K72&gt;=3,FALSE()),IFERROR(1*'Daily Workforce'!$K72&gt;=2,FALSE())),IF(AND('Daily Schedule'!$A33&gt;=46,'Daily Schedule'!$A33&lt;=52),'Daily Workforce'!$M72="Y",IFERROR(1*'Daily Workforce'!$P72&gt;=2,FALSE()))))),1,0)</f>
        <v>1</v>
      </c>
      <c r="CF29" s="1" t="n">
        <f aca="false">IF(AND('Daily Workforce'!$N73="Y",'Daily Workforce'!$B73&lt;&gt;"",COUNTIF('Daily Schedule'!$F$5:$F32,'Daily Workforce'!$B73)=0,IF('Daily Schedule'!$A33=45,'Daily Workforce'!$J73="Y",IF(OR('Daily Schedule'!$A33=4,'Daily Schedule'!$A33=8),IF(OR(WEEKDAY('Daily Schedule'!$B$2,2)=1,WEEKDAY('Daily Schedule'!$B$2,2)=4,WEEKDAY('Daily Schedule'!$B$2,2)=5,WEEKDAY('Daily Schedule'!$B$2,2)=7),IFERROR(1*'Daily Workforce'!$K73&gt;=3,FALSE()),IFERROR(1*'Daily Workforce'!$K73&gt;=2,FALSE())),IF(AND('Daily Schedule'!$A33&gt;=46,'Daily Schedule'!$A33&lt;=52),'Daily Workforce'!$M73="Y",IFERROR(1*'Daily Workforce'!$P73&gt;=2,FALSE()))))),1,0)</f>
        <v>1</v>
      </c>
      <c r="CG29" s="1" t="n">
        <f aca="false">IF(AND('Daily Workforce'!$N74="Y",'Daily Workforce'!$B74&lt;&gt;"",COUNTIF('Daily Schedule'!$F$5:$F32,'Daily Workforce'!$B74)=0,IF('Daily Schedule'!$A33=45,'Daily Workforce'!$J74="Y",IF(OR('Daily Schedule'!$A33=4,'Daily Schedule'!$A33=8),IF(OR(WEEKDAY('Daily Schedule'!$B$2,2)=1,WEEKDAY('Daily Schedule'!$B$2,2)=4,WEEKDAY('Daily Schedule'!$B$2,2)=5,WEEKDAY('Daily Schedule'!$B$2,2)=7),IFERROR(1*'Daily Workforce'!$K74&gt;=3,FALSE()),IFERROR(1*'Daily Workforce'!$K74&gt;=2,FALSE())),IF(AND('Daily Schedule'!$A33&gt;=46,'Daily Schedule'!$A33&lt;=52),'Daily Workforce'!$M74="Y",IFERROR(1*'Daily Workforce'!$P74&gt;=2,FALSE()))))),1,0)</f>
        <v>1</v>
      </c>
      <c r="CH29" s="1" t="n">
        <f aca="false">IF(AND('Daily Workforce'!$N75="Y",'Daily Workforce'!$B75&lt;&gt;"",COUNTIF('Daily Schedule'!$F$5:$F32,'Daily Workforce'!$B75)=0,IF('Daily Schedule'!$A33=45,'Daily Workforce'!$J75="Y",IF(OR('Daily Schedule'!$A33=4,'Daily Schedule'!$A33=8),IF(OR(WEEKDAY('Daily Schedule'!$B$2,2)=1,WEEKDAY('Daily Schedule'!$B$2,2)=4,WEEKDAY('Daily Schedule'!$B$2,2)=5,WEEKDAY('Daily Schedule'!$B$2,2)=7),IFERROR(1*'Daily Workforce'!$K75&gt;=3,FALSE()),IFERROR(1*'Daily Workforce'!$K75&gt;=2,FALSE())),IF(AND('Daily Schedule'!$A33&gt;=46,'Daily Schedule'!$A33&lt;=52),'Daily Workforce'!$M75="Y",IFERROR(1*'Daily Workforce'!$P75&gt;=2,FALSE()))))),1,0)</f>
        <v>1</v>
      </c>
      <c r="CI29" s="1" t="n">
        <f aca="false">IF(AND('Daily Workforce'!$N76="Y",'Daily Workforce'!$B76&lt;&gt;"",COUNTIF('Daily Schedule'!$F$5:$F32,'Daily Workforce'!$B76)=0,IF('Daily Schedule'!$A33=45,'Daily Workforce'!$J76="Y",IF(OR('Daily Schedule'!$A33=4,'Daily Schedule'!$A33=8),IF(OR(WEEKDAY('Daily Schedule'!$B$2,2)=1,WEEKDAY('Daily Schedule'!$B$2,2)=4,WEEKDAY('Daily Schedule'!$B$2,2)=5,WEEKDAY('Daily Schedule'!$B$2,2)=7),IFERROR(1*'Daily Workforce'!$K76&gt;=3,FALSE()),IFERROR(1*'Daily Workforce'!$K76&gt;=2,FALSE())),IF(AND('Daily Schedule'!$A33&gt;=46,'Daily Schedule'!$A33&lt;=52),'Daily Workforce'!$M76="Y",IFERROR(1*'Daily Workforce'!$P76&gt;=2,FALSE()))))),1,0)</f>
        <v>1</v>
      </c>
      <c r="CJ29" s="1" t="n">
        <f aca="false">IF(AND('Daily Workforce'!$N77="Y",'Daily Workforce'!$B77&lt;&gt;"",COUNTIF('Daily Schedule'!$F$5:$F32,'Daily Workforce'!$B77)=0,IF('Daily Schedule'!$A33=45,'Daily Workforce'!$J77="Y",IF(OR('Daily Schedule'!$A33=4,'Daily Schedule'!$A33=8),IF(OR(WEEKDAY('Daily Schedule'!$B$2,2)=1,WEEKDAY('Daily Schedule'!$B$2,2)=4,WEEKDAY('Daily Schedule'!$B$2,2)=5,WEEKDAY('Daily Schedule'!$B$2,2)=7),IFERROR(1*'Daily Workforce'!$K77&gt;=3,FALSE()),IFERROR(1*'Daily Workforce'!$K77&gt;=2,FALSE())),IF(AND('Daily Schedule'!$A33&gt;=46,'Daily Schedule'!$A33&lt;=52),'Daily Workforce'!$M77="Y",IFERROR(1*'Daily Workforce'!$P77&gt;=2,FALSE()))))),1,0)</f>
        <v>1</v>
      </c>
      <c r="CK29" s="1" t="n">
        <f aca="false">IF(AND('Daily Workforce'!$N78="Y",'Daily Workforce'!$B78&lt;&gt;"",COUNTIF('Daily Schedule'!$F$5:$F32,'Daily Workforce'!$B78)=0,IF('Daily Schedule'!$A33=45,'Daily Workforce'!$J78="Y",IF(OR('Daily Schedule'!$A33=4,'Daily Schedule'!$A33=8),IF(OR(WEEKDAY('Daily Schedule'!$B$2,2)=1,WEEKDAY('Daily Schedule'!$B$2,2)=4,WEEKDAY('Daily Schedule'!$B$2,2)=5,WEEKDAY('Daily Schedule'!$B$2,2)=7),IFERROR(1*'Daily Workforce'!$K78&gt;=3,FALSE()),IFERROR(1*'Daily Workforce'!$K78&gt;=2,FALSE())),IF(AND('Daily Schedule'!$A33&gt;=46,'Daily Schedule'!$A33&lt;=52),'Daily Workforce'!$M78="Y",IFERROR(1*'Daily Workforce'!$P78&gt;=2,FALSE()))))),1,0)</f>
        <v>1</v>
      </c>
      <c r="CL29" s="1" t="n">
        <f aca="false">IF(AND('Daily Workforce'!$N79="Y",'Daily Workforce'!$B79&lt;&gt;"",COUNTIF('Daily Schedule'!$F$5:$F32,'Daily Workforce'!$B79)=0,IF('Daily Schedule'!$A33=45,'Daily Workforce'!$J79="Y",IF(OR('Daily Schedule'!$A33=4,'Daily Schedule'!$A33=8),IF(OR(WEEKDAY('Daily Schedule'!$B$2,2)=1,WEEKDAY('Daily Schedule'!$B$2,2)=4,WEEKDAY('Daily Schedule'!$B$2,2)=5,WEEKDAY('Daily Schedule'!$B$2,2)=7),IFERROR(1*'Daily Workforce'!$K79&gt;=3,FALSE()),IFERROR(1*'Daily Workforce'!$K79&gt;=2,FALSE())),IF(AND('Daily Schedule'!$A33&gt;=46,'Daily Schedule'!$A33&lt;=52),'Daily Workforce'!$M79="Y",IFERROR(1*'Daily Workforce'!$P79&gt;=2,FALSE()))))),1,0)</f>
        <v>1</v>
      </c>
      <c r="CM29" s="1" t="n">
        <f aca="false">IF(AND('Daily Workforce'!$N80="Y",'Daily Workforce'!$B80&lt;&gt;"",COUNTIF('Daily Schedule'!$F$5:$F32,'Daily Workforce'!$B80)=0,IF('Daily Schedule'!$A33=45,'Daily Workforce'!$J80="Y",IF(OR('Daily Schedule'!$A33=4,'Daily Schedule'!$A33=8),IF(OR(WEEKDAY('Daily Schedule'!$B$2,2)=1,WEEKDAY('Daily Schedule'!$B$2,2)=4,WEEKDAY('Daily Schedule'!$B$2,2)=5,WEEKDAY('Daily Schedule'!$B$2,2)=7),IFERROR(1*'Daily Workforce'!$K80&gt;=3,FALSE()),IFERROR(1*'Daily Workforce'!$K80&gt;=2,FALSE())),IF(AND('Daily Schedule'!$A33&gt;=46,'Daily Schedule'!$A33&lt;=52),'Daily Workforce'!$M80="Y",IFERROR(1*'Daily Workforce'!$P80&gt;=2,FALSE()))))),1,0)</f>
        <v>1</v>
      </c>
      <c r="CN29" s="1" t="n">
        <f aca="false">IF(AND('Daily Workforce'!$N81="Y",'Daily Workforce'!$B81&lt;&gt;"",COUNTIF('Daily Schedule'!$F$5:$F32,'Daily Workforce'!$B81)=0,IF('Daily Schedule'!$A33=45,'Daily Workforce'!$J81="Y",IF(OR('Daily Schedule'!$A33=4,'Daily Schedule'!$A33=8),IF(OR(WEEKDAY('Daily Schedule'!$B$2,2)=1,WEEKDAY('Daily Schedule'!$B$2,2)=4,WEEKDAY('Daily Schedule'!$B$2,2)=5,WEEKDAY('Daily Schedule'!$B$2,2)=7),IFERROR(1*'Daily Workforce'!$K81&gt;=3,FALSE()),IFERROR(1*'Daily Workforce'!$K81&gt;=2,FALSE())),IF(AND('Daily Schedule'!$A33&gt;=46,'Daily Schedule'!$A33&lt;=52),'Daily Workforce'!$M81="Y",IFERROR(1*'Daily Workforce'!$P81&gt;=2,FALSE()))))),1,0)</f>
        <v>1</v>
      </c>
      <c r="CO29" s="1" t="n">
        <f aca="false">IF(AND('Daily Workforce'!$N82="Y",'Daily Workforce'!$B82&lt;&gt;"",COUNTIF('Daily Schedule'!$F$5:$F32,'Daily Workforce'!$B82)=0,IF('Daily Schedule'!$A33=45,'Daily Workforce'!$J82="Y",IF(OR('Daily Schedule'!$A33=4,'Daily Schedule'!$A33=8),IF(OR(WEEKDAY('Daily Schedule'!$B$2,2)=1,WEEKDAY('Daily Schedule'!$B$2,2)=4,WEEKDAY('Daily Schedule'!$B$2,2)=5,WEEKDAY('Daily Schedule'!$B$2,2)=7),IFERROR(1*'Daily Workforce'!$K82&gt;=3,FALSE()),IFERROR(1*'Daily Workforce'!$K82&gt;=2,FALSE())),IF(AND('Daily Schedule'!$A33&gt;=46,'Daily Schedule'!$A33&lt;=52),'Daily Workforce'!$M82="Y",IFERROR(1*'Daily Workforce'!$P82&gt;=2,FALSE()))))),1,0)</f>
        <v>1</v>
      </c>
      <c r="CP29" s="1" t="n">
        <f aca="false">IF(AND('Daily Workforce'!$N83="Y",'Daily Workforce'!$B83&lt;&gt;"",COUNTIF('Daily Schedule'!$F$5:$F32,'Daily Workforce'!$B83)=0,IF('Daily Schedule'!$A33=45,'Daily Workforce'!$J83="Y",IF(OR('Daily Schedule'!$A33=4,'Daily Schedule'!$A33=8),IF(OR(WEEKDAY('Daily Schedule'!$B$2,2)=1,WEEKDAY('Daily Schedule'!$B$2,2)=4,WEEKDAY('Daily Schedule'!$B$2,2)=5,WEEKDAY('Daily Schedule'!$B$2,2)=7),IFERROR(1*'Daily Workforce'!$K83&gt;=3,FALSE()),IFERROR(1*'Daily Workforce'!$K83&gt;=2,FALSE())),IF(AND('Daily Schedule'!$A33&gt;=46,'Daily Schedule'!$A33&lt;=52),'Daily Workforce'!$M83="Y",IFERROR(1*'Daily Workforce'!$P83&gt;=2,FALSE()))))),1,0)</f>
        <v>0</v>
      </c>
      <c r="CQ29" s="1" t="n">
        <f aca="false">IF(AND('Daily Workforce'!$N84="Y",'Daily Workforce'!$B84&lt;&gt;"",COUNTIF('Daily Schedule'!$F$5:$F32,'Daily Workforce'!$B84)=0,IF('Daily Schedule'!$A33=45,'Daily Workforce'!$J84="Y",IF(OR('Daily Schedule'!$A33=4,'Daily Schedule'!$A33=8),IF(OR(WEEKDAY('Daily Schedule'!$B$2,2)=1,WEEKDAY('Daily Schedule'!$B$2,2)=4,WEEKDAY('Daily Schedule'!$B$2,2)=5,WEEKDAY('Daily Schedule'!$B$2,2)=7),IFERROR(1*'Daily Workforce'!$K84&gt;=3,FALSE()),IFERROR(1*'Daily Workforce'!$K84&gt;=2,FALSE())),IF(AND('Daily Schedule'!$A33&gt;=46,'Daily Schedule'!$A33&lt;=52),'Daily Workforce'!$M84="Y",IFERROR(1*'Daily Workforce'!$P84&gt;=2,FALSE()))))),1,0)</f>
        <v>1</v>
      </c>
      <c r="CR29" s="1" t="n">
        <f aca="false">IF(AND('Daily Workforce'!$N85="Y",'Daily Workforce'!$B85&lt;&gt;"",COUNTIF('Daily Schedule'!$F$5:$F32,'Daily Workforce'!$B85)=0,IF('Daily Schedule'!$A33=45,'Daily Workforce'!$J85="Y",IF(OR('Daily Schedule'!$A33=4,'Daily Schedule'!$A33=8),IF(OR(WEEKDAY('Daily Schedule'!$B$2,2)=1,WEEKDAY('Daily Schedule'!$B$2,2)=4,WEEKDAY('Daily Schedule'!$B$2,2)=5,WEEKDAY('Daily Schedule'!$B$2,2)=7),IFERROR(1*'Daily Workforce'!$K85&gt;=3,FALSE()),IFERROR(1*'Daily Workforce'!$K85&gt;=2,FALSE())),IF(AND('Daily Schedule'!$A33&gt;=46,'Daily Schedule'!$A33&lt;=52),'Daily Workforce'!$M85="Y",IFERROR(1*'Daily Workforce'!$P85&gt;=2,FALSE()))))),1,0)</f>
        <v>0</v>
      </c>
      <c r="CS29" s="1" t="n">
        <f aca="false">IF(AND('Daily Workforce'!$N86="Y",'Daily Workforce'!$B86&lt;&gt;"",COUNTIF('Daily Schedule'!$F$5:$F32,'Daily Workforce'!$B86)=0,IF('Daily Schedule'!$A33=45,'Daily Workforce'!$J86="Y",IF(OR('Daily Schedule'!$A33=4,'Daily Schedule'!$A33=8),IF(OR(WEEKDAY('Daily Schedule'!$B$2,2)=1,WEEKDAY('Daily Schedule'!$B$2,2)=4,WEEKDAY('Daily Schedule'!$B$2,2)=5,WEEKDAY('Daily Schedule'!$B$2,2)=7),IFERROR(1*'Daily Workforce'!$K86&gt;=3,FALSE()),IFERROR(1*'Daily Workforce'!$K86&gt;=2,FALSE())),IF(AND('Daily Schedule'!$A33&gt;=46,'Daily Schedule'!$A33&lt;=52),'Daily Workforce'!$M86="Y",IFERROR(1*'Daily Workforce'!$P86&gt;=2,FALSE()))))),1,0)</f>
        <v>1</v>
      </c>
      <c r="CT29" s="1" t="n">
        <f aca="false">IF(AND('Daily Workforce'!$N87="Y",'Daily Workforce'!$B87&lt;&gt;"",COUNTIF('Daily Schedule'!$F$5:$F32,'Daily Workforce'!$B87)=0,IF('Daily Schedule'!$A33=45,'Daily Workforce'!$J87="Y",IF(OR('Daily Schedule'!$A33=4,'Daily Schedule'!$A33=8),IF(OR(WEEKDAY('Daily Schedule'!$B$2,2)=1,WEEKDAY('Daily Schedule'!$B$2,2)=4,WEEKDAY('Daily Schedule'!$B$2,2)=5,WEEKDAY('Daily Schedule'!$B$2,2)=7),IFERROR(1*'Daily Workforce'!$K87&gt;=3,FALSE()),IFERROR(1*'Daily Workforce'!$K87&gt;=2,FALSE())),IF(AND('Daily Schedule'!$A33&gt;=46,'Daily Schedule'!$A33&lt;=52),'Daily Workforce'!$M87="Y",IFERROR(1*'Daily Workforce'!$P87&gt;=2,FALSE()))))),1,0)</f>
        <v>1</v>
      </c>
      <c r="CU29" s="1" t="n">
        <f aca="false">IF(AND('Daily Workforce'!$N88="Y",'Daily Workforce'!$B88&lt;&gt;"",COUNTIF('Daily Schedule'!$F$5:$F32,'Daily Workforce'!$B88)=0,IF('Daily Schedule'!$A33=45,'Daily Workforce'!$J88="Y",IF(OR('Daily Schedule'!$A33=4,'Daily Schedule'!$A33=8),IF(OR(WEEKDAY('Daily Schedule'!$B$2,2)=1,WEEKDAY('Daily Schedule'!$B$2,2)=4,WEEKDAY('Daily Schedule'!$B$2,2)=5,WEEKDAY('Daily Schedule'!$B$2,2)=7),IFERROR(1*'Daily Workforce'!$K88&gt;=3,FALSE()),IFERROR(1*'Daily Workforce'!$K88&gt;=2,FALSE())),IF(AND('Daily Schedule'!$A33&gt;=46,'Daily Schedule'!$A33&lt;=52),'Daily Workforce'!$M88="Y",IFERROR(1*'Daily Workforce'!$P88&gt;=2,FALSE()))))),1,0)</f>
        <v>1</v>
      </c>
      <c r="CV29" s="1" t="n">
        <f aca="false">IF(AND('Daily Workforce'!$N89="Y",'Daily Workforce'!$B89&lt;&gt;"",COUNTIF('Daily Schedule'!$F$5:$F32,'Daily Workforce'!$B89)=0,IF('Daily Schedule'!$A33=45,'Daily Workforce'!$J89="Y",IF(OR('Daily Schedule'!$A33=4,'Daily Schedule'!$A33=8),IF(OR(WEEKDAY('Daily Schedule'!$B$2,2)=1,WEEKDAY('Daily Schedule'!$B$2,2)=4,WEEKDAY('Daily Schedule'!$B$2,2)=5,WEEKDAY('Daily Schedule'!$B$2,2)=7),IFERROR(1*'Daily Workforce'!$K89&gt;=3,FALSE()),IFERROR(1*'Daily Workforce'!$K89&gt;=2,FALSE())),IF(AND('Daily Schedule'!$A33&gt;=46,'Daily Schedule'!$A33&lt;=52),'Daily Workforce'!$M89="Y",IFERROR(1*'Daily Workforce'!$P89&gt;=2,FALSE()))))),1,0)</f>
        <v>1</v>
      </c>
      <c r="CW29" s="1" t="n">
        <f aca="false">IF(AND('Daily Workforce'!$N90="Y",'Daily Workforce'!$B90&lt;&gt;"",COUNTIF('Daily Schedule'!$F$5:$F32,'Daily Workforce'!$B90)=0,IF('Daily Schedule'!$A33=45,'Daily Workforce'!$J90="Y",IF(OR('Daily Schedule'!$A33=4,'Daily Schedule'!$A33=8),IF(OR(WEEKDAY('Daily Schedule'!$B$2,2)=1,WEEKDAY('Daily Schedule'!$B$2,2)=4,WEEKDAY('Daily Schedule'!$B$2,2)=5,WEEKDAY('Daily Schedule'!$B$2,2)=7),IFERROR(1*'Daily Workforce'!$K90&gt;=3,FALSE()),IFERROR(1*'Daily Workforce'!$K90&gt;=2,FALSE())),IF(AND('Daily Schedule'!$A33&gt;=46,'Daily Schedule'!$A33&lt;=52),'Daily Workforce'!$M90="Y",IFERROR(1*'Daily Workforce'!$P90&gt;=2,FALSE()))))),1,0)</f>
        <v>1</v>
      </c>
      <c r="CX29" s="1" t="n">
        <f aca="false">IF(AND('Daily Workforce'!$N91="Y",'Daily Workforce'!$B91&lt;&gt;"",COUNTIF('Daily Schedule'!$F$5:$F32,'Daily Workforce'!$B91)=0,IF('Daily Schedule'!$A33=45,'Daily Workforce'!$J91="Y",IF(OR('Daily Schedule'!$A33=4,'Daily Schedule'!$A33=8),IF(OR(WEEKDAY('Daily Schedule'!$B$2,2)=1,WEEKDAY('Daily Schedule'!$B$2,2)=4,WEEKDAY('Daily Schedule'!$B$2,2)=5,WEEKDAY('Daily Schedule'!$B$2,2)=7),IFERROR(1*'Daily Workforce'!$K91&gt;=3,FALSE()),IFERROR(1*'Daily Workforce'!$K91&gt;=2,FALSE())),IF(AND('Daily Schedule'!$A33&gt;=46,'Daily Schedule'!$A33&lt;=52),'Daily Workforce'!$M91="Y",IFERROR(1*'Daily Workforce'!$P91&gt;=2,FALSE()))))),1,0)</f>
        <v>1</v>
      </c>
      <c r="CY29" s="1" t="n">
        <f aca="false">IF(AND('Daily Workforce'!$N92="Y",'Daily Workforce'!$B92&lt;&gt;"",COUNTIF('Daily Schedule'!$F$5:$F32,'Daily Workforce'!$B92)=0,IF('Daily Schedule'!$A33=45,'Daily Workforce'!$J92="Y",IF(OR('Daily Schedule'!$A33=4,'Daily Schedule'!$A33=8),IF(OR(WEEKDAY('Daily Schedule'!$B$2,2)=1,WEEKDAY('Daily Schedule'!$B$2,2)=4,WEEKDAY('Daily Schedule'!$B$2,2)=5,WEEKDAY('Daily Schedule'!$B$2,2)=7),IFERROR(1*'Daily Workforce'!$K92&gt;=3,FALSE()),IFERROR(1*'Daily Workforce'!$K92&gt;=2,FALSE())),IF(AND('Daily Schedule'!$A33&gt;=46,'Daily Schedule'!$A33&lt;=52),'Daily Workforce'!$M92="Y",IFERROR(1*'Daily Workforce'!$P92&gt;=2,FALSE()))))),1,0)</f>
        <v>1</v>
      </c>
      <c r="CZ29" s="1" t="n">
        <f aca="false">IF(AND('Daily Workforce'!$N93="Y",'Daily Workforce'!$B93&lt;&gt;"",COUNTIF('Daily Schedule'!$F$5:$F32,'Daily Workforce'!$B93)=0,IF('Daily Schedule'!$A33=45,'Daily Workforce'!$J93="Y",IF(OR('Daily Schedule'!$A33=4,'Daily Schedule'!$A33=8),IF(OR(WEEKDAY('Daily Schedule'!$B$2,2)=1,WEEKDAY('Daily Schedule'!$B$2,2)=4,WEEKDAY('Daily Schedule'!$B$2,2)=5,WEEKDAY('Daily Schedule'!$B$2,2)=7),IFERROR(1*'Daily Workforce'!$K93&gt;=3,FALSE()),IFERROR(1*'Daily Workforce'!$K93&gt;=2,FALSE())),IF(AND('Daily Schedule'!$A33&gt;=46,'Daily Schedule'!$A33&lt;=52),'Daily Workforce'!$M93="Y",IFERROR(1*'Daily Workforce'!$P93&gt;=2,FALSE()))))),1,0)</f>
        <v>1</v>
      </c>
      <c r="DA29" s="1" t="n">
        <f aca="false">IF(AND('Daily Workforce'!$N94="Y",'Daily Workforce'!$B94&lt;&gt;"",COUNTIF('Daily Schedule'!$F$5:$F32,'Daily Workforce'!$B94)=0,IF('Daily Schedule'!$A33=45,'Daily Workforce'!$J94="Y",IF(OR('Daily Schedule'!$A33=4,'Daily Schedule'!$A33=8),IF(OR(WEEKDAY('Daily Schedule'!$B$2,2)=1,WEEKDAY('Daily Schedule'!$B$2,2)=4,WEEKDAY('Daily Schedule'!$B$2,2)=5,WEEKDAY('Daily Schedule'!$B$2,2)=7),IFERROR(1*'Daily Workforce'!$K94&gt;=3,FALSE()),IFERROR(1*'Daily Workforce'!$K94&gt;=2,FALSE())),IF(AND('Daily Schedule'!$A33&gt;=46,'Daily Schedule'!$A33&lt;=52),'Daily Workforce'!$M94="Y",IFERROR(1*'Daily Workforce'!$P94&gt;=2,FALSE()))))),1,0)</f>
        <v>1</v>
      </c>
      <c r="DB29" s="1" t="n">
        <f aca="false">IF(AND('Daily Workforce'!$N95="Y",'Daily Workforce'!$B95&lt;&gt;"",COUNTIF('Daily Schedule'!$F$5:$F32,'Daily Workforce'!$B95)=0,IF('Daily Schedule'!$A33=45,'Daily Workforce'!$J95="Y",IF(OR('Daily Schedule'!$A33=4,'Daily Schedule'!$A33=8),IF(OR(WEEKDAY('Daily Schedule'!$B$2,2)=1,WEEKDAY('Daily Schedule'!$B$2,2)=4,WEEKDAY('Daily Schedule'!$B$2,2)=5,WEEKDAY('Daily Schedule'!$B$2,2)=7),IFERROR(1*'Daily Workforce'!$K95&gt;=3,FALSE()),IFERROR(1*'Daily Workforce'!$K95&gt;=2,FALSE())),IF(AND('Daily Schedule'!$A33&gt;=46,'Daily Schedule'!$A33&lt;=52),'Daily Workforce'!$M95="Y",IFERROR(1*'Daily Workforce'!$P95&gt;=2,FALSE()))))),1,0)</f>
        <v>1</v>
      </c>
      <c r="DC29" s="1" t="n">
        <f aca="false">IF(AND('Daily Workforce'!$N96="Y",'Daily Workforce'!$B96&lt;&gt;"",COUNTIF('Daily Schedule'!$F$5:$F32,'Daily Workforce'!$B96)=0,IF('Daily Schedule'!$A33=45,'Daily Workforce'!$J96="Y",IF(OR('Daily Schedule'!$A33=4,'Daily Schedule'!$A33=8),IF(OR(WEEKDAY('Daily Schedule'!$B$2,2)=1,WEEKDAY('Daily Schedule'!$B$2,2)=4,WEEKDAY('Daily Schedule'!$B$2,2)=5,WEEKDAY('Daily Schedule'!$B$2,2)=7),IFERROR(1*'Daily Workforce'!$K96&gt;=3,FALSE()),IFERROR(1*'Daily Workforce'!$K96&gt;=2,FALSE())),IF(AND('Daily Schedule'!$A33&gt;=46,'Daily Schedule'!$A33&lt;=52),'Daily Workforce'!$M96="Y",IFERROR(1*'Daily Workforce'!$P96&gt;=2,FALSE()))))),1,0)</f>
        <v>1</v>
      </c>
      <c r="DD29" s="1" t="n">
        <f aca="false">IF(AND('Daily Workforce'!$N97="Y",'Daily Workforce'!$B97&lt;&gt;"",COUNTIF('Daily Schedule'!$F$5:$F32,'Daily Workforce'!$B97)=0,IF('Daily Schedule'!$A33=45,'Daily Workforce'!$J97="Y",IF(OR('Daily Schedule'!$A33=4,'Daily Schedule'!$A33=8),IF(OR(WEEKDAY('Daily Schedule'!$B$2,2)=1,WEEKDAY('Daily Schedule'!$B$2,2)=4,WEEKDAY('Daily Schedule'!$B$2,2)=5,WEEKDAY('Daily Schedule'!$B$2,2)=7),IFERROR(1*'Daily Workforce'!$K97&gt;=3,FALSE()),IFERROR(1*'Daily Workforce'!$K97&gt;=2,FALSE())),IF(AND('Daily Schedule'!$A33&gt;=46,'Daily Schedule'!$A33&lt;=52),'Daily Workforce'!$M97="Y",IFERROR(1*'Daily Workforce'!$P97&gt;=2,FALSE()))))),1,0)</f>
        <v>1</v>
      </c>
      <c r="DE29" s="1" t="n">
        <f aca="false">IF(AND('Daily Workforce'!$N98="Y",'Daily Workforce'!$B98&lt;&gt;"",COUNTIF('Daily Schedule'!$F$5:$F32,'Daily Workforce'!$B98)=0,IF('Daily Schedule'!$A33=45,'Daily Workforce'!$J98="Y",IF(OR('Daily Schedule'!$A33=4,'Daily Schedule'!$A33=8),IF(OR(WEEKDAY('Daily Schedule'!$B$2,2)=1,WEEKDAY('Daily Schedule'!$B$2,2)=4,WEEKDAY('Daily Schedule'!$B$2,2)=5,WEEKDAY('Daily Schedule'!$B$2,2)=7),IFERROR(1*'Daily Workforce'!$K98&gt;=3,FALSE()),IFERROR(1*'Daily Workforce'!$K98&gt;=2,FALSE())),IF(AND('Daily Schedule'!$A33&gt;=46,'Daily Schedule'!$A33&lt;=52),'Daily Workforce'!$M98="Y",IFERROR(1*'Daily Workforce'!$P98&gt;=2,FALSE()))))),1,0)</f>
        <v>1</v>
      </c>
      <c r="DF29" s="1" t="n">
        <f aca="false">IF(AND('Daily Workforce'!$N99="Y",'Daily Workforce'!$B99&lt;&gt;"",COUNTIF('Daily Schedule'!$F$5:$F32,'Daily Workforce'!$B99)=0,IF('Daily Schedule'!$A33=45,'Daily Workforce'!$J99="Y",IF(OR('Daily Schedule'!$A33=4,'Daily Schedule'!$A33=8),IF(OR(WEEKDAY('Daily Schedule'!$B$2,2)=1,WEEKDAY('Daily Schedule'!$B$2,2)=4,WEEKDAY('Daily Schedule'!$B$2,2)=5,WEEKDAY('Daily Schedule'!$B$2,2)=7),IFERROR(1*'Daily Workforce'!$K99&gt;=3,FALSE()),IFERROR(1*'Daily Workforce'!$K99&gt;=2,FALSE())),IF(AND('Daily Schedule'!$A33&gt;=46,'Daily Schedule'!$A33&lt;=52),'Daily Workforce'!$M99="Y",IFERROR(1*'Daily Workforce'!$P99&gt;=2,FALSE()))))),1,0)</f>
        <v>1</v>
      </c>
      <c r="DG29" s="1" t="n">
        <f aca="false">IF(AND('Daily Workforce'!$N100="Y",'Daily Workforce'!$B100&lt;&gt;"",COUNTIF('Daily Schedule'!$F$5:$F32,'Daily Workforce'!$B100)=0,IF('Daily Schedule'!$A33=45,'Daily Workforce'!$J100="Y",IF(OR('Daily Schedule'!$A33=4,'Daily Schedule'!$A33=8),IF(OR(WEEKDAY('Daily Schedule'!$B$2,2)=1,WEEKDAY('Daily Schedule'!$B$2,2)=4,WEEKDAY('Daily Schedule'!$B$2,2)=5,WEEKDAY('Daily Schedule'!$B$2,2)=7),IFERROR(1*'Daily Workforce'!$K100&gt;=3,FALSE()),IFERROR(1*'Daily Workforce'!$K100&gt;=2,FALSE())),IF(AND('Daily Schedule'!$A33&gt;=46,'Daily Schedule'!$A33&lt;=52),'Daily Workforce'!$M100="Y",IFERROR(1*'Daily Workforce'!$P100&gt;=2,FALSE()))))),1,0)</f>
        <v>1</v>
      </c>
      <c r="DH29" s="1" t="n">
        <f aca="false">IF(AND('Daily Workforce'!$N101="Y",'Daily Workforce'!$B101&lt;&gt;"",COUNTIF('Daily Schedule'!$F$5:$F32,'Daily Workforce'!$B101)=0,IF('Daily Schedule'!$A33=45,'Daily Workforce'!$J101="Y",IF(OR('Daily Schedule'!$A33=4,'Daily Schedule'!$A33=8),IF(OR(WEEKDAY('Daily Schedule'!$B$2,2)=1,WEEKDAY('Daily Schedule'!$B$2,2)=4,WEEKDAY('Daily Schedule'!$B$2,2)=5,WEEKDAY('Daily Schedule'!$B$2,2)=7),IFERROR(1*'Daily Workforce'!$K101&gt;=3,FALSE()),IFERROR(1*'Daily Workforce'!$K101&gt;=2,FALSE())),IF(AND('Daily Schedule'!$A33&gt;=46,'Daily Schedule'!$A33&lt;=52),'Daily Workforce'!$M101="Y",IFERROR(1*'Daily Workforce'!$P101&gt;=2,FALSE()))))),1,0)</f>
        <v>1</v>
      </c>
      <c r="DI29" s="1" t="n">
        <f aca="false">IF(AND('Daily Workforce'!$N102="Y",'Daily Workforce'!$B102&lt;&gt;"",COUNTIF('Daily Schedule'!$F$5:$F32,'Daily Workforce'!$B102)=0,IF('Daily Schedule'!$A33=45,'Daily Workforce'!$J102="Y",IF(OR('Daily Schedule'!$A33=4,'Daily Schedule'!$A33=8),IF(OR(WEEKDAY('Daily Schedule'!$B$2,2)=1,WEEKDAY('Daily Schedule'!$B$2,2)=4,WEEKDAY('Daily Schedule'!$B$2,2)=5,WEEKDAY('Daily Schedule'!$B$2,2)=7),IFERROR(1*'Daily Workforce'!$K102&gt;=3,FALSE()),IFERROR(1*'Daily Workforce'!$K102&gt;=2,FALSE())),IF(AND('Daily Schedule'!$A33&gt;=46,'Daily Schedule'!$A33&lt;=52),'Daily Workforce'!$M102="Y",IFERROR(1*'Daily Workforce'!$P102&gt;=2,FALSE()))))),1,0)</f>
        <v>1</v>
      </c>
      <c r="DJ29" s="1" t="n">
        <f aca="false">IF(AND('Daily Workforce'!$N103="Y",'Daily Workforce'!$B103&lt;&gt;"",COUNTIF('Daily Schedule'!$F$5:$F32,'Daily Workforce'!$B103)=0,IF('Daily Schedule'!$A33=45,'Daily Workforce'!$J103="Y",IF(OR('Daily Schedule'!$A33=4,'Daily Schedule'!$A33=8),IF(OR(WEEKDAY('Daily Schedule'!$B$2,2)=1,WEEKDAY('Daily Schedule'!$B$2,2)=4,WEEKDAY('Daily Schedule'!$B$2,2)=5,WEEKDAY('Daily Schedule'!$B$2,2)=7),IFERROR(1*'Daily Workforce'!$K103&gt;=3,FALSE()),IFERROR(1*'Daily Workforce'!$K103&gt;=2,FALSE())),IF(AND('Daily Schedule'!$A33&gt;=46,'Daily Schedule'!$A33&lt;=52),'Daily Workforce'!$M103="Y",IFERROR(1*'Daily Workforce'!$P103&gt;=2,FALSE()))))),1,0)</f>
        <v>1</v>
      </c>
      <c r="DK29" s="1" t="n">
        <f aca="false">IF(AND('Daily Workforce'!$N104="Y",'Daily Workforce'!$B104&lt;&gt;"",COUNTIF('Daily Schedule'!$F$5:$F32,'Daily Workforce'!$B104)=0,IF('Daily Schedule'!$A33=45,'Daily Workforce'!$J104="Y",IF(OR('Daily Schedule'!$A33=4,'Daily Schedule'!$A33=8),IF(OR(WEEKDAY('Daily Schedule'!$B$2,2)=1,WEEKDAY('Daily Schedule'!$B$2,2)=4,WEEKDAY('Daily Schedule'!$B$2,2)=5,WEEKDAY('Daily Schedule'!$B$2,2)=7),IFERROR(1*'Daily Workforce'!$K104&gt;=3,FALSE()),IFERROR(1*'Daily Workforce'!$K104&gt;=2,FALSE())),IF(AND('Daily Schedule'!$A33&gt;=46,'Daily Schedule'!$A33&lt;=52),'Daily Workforce'!$M104="Y",IFERROR(1*'Daily Workforce'!$P104&gt;=2,FALSE()))))),1,0)</f>
        <v>1</v>
      </c>
      <c r="DL29" s="1" t="n">
        <f aca="false">IF(AND('Daily Workforce'!$N105="Y",'Daily Workforce'!$B105&lt;&gt;"",COUNTIF('Daily Schedule'!$F$5:$F32,'Daily Workforce'!$B105)=0,IF('Daily Schedule'!$A33=45,'Daily Workforce'!$J105="Y",IF(OR('Daily Schedule'!$A33=4,'Daily Schedule'!$A33=8),IF(OR(WEEKDAY('Daily Schedule'!$B$2,2)=1,WEEKDAY('Daily Schedule'!$B$2,2)=4,WEEKDAY('Daily Schedule'!$B$2,2)=5,WEEKDAY('Daily Schedule'!$B$2,2)=7),IFERROR(1*'Daily Workforce'!$K105&gt;=3,FALSE()),IFERROR(1*'Daily Workforce'!$K105&gt;=2,FALSE())),IF(AND('Daily Schedule'!$A33&gt;=46,'Daily Schedule'!$A33&lt;=52),'Daily Workforce'!$M105="Y",IFERROR(1*'Daily Workforce'!$P105&gt;=2,FALSE()))))),1,0)</f>
        <v>0</v>
      </c>
      <c r="DM29" s="1" t="n">
        <f aca="false">IF(AND('Daily Workforce'!$N106="Y",'Daily Workforce'!$B106&lt;&gt;"",COUNTIF('Daily Schedule'!$F$5:$F32,'Daily Workforce'!$B106)=0,IF('Daily Schedule'!$A33=45,'Daily Workforce'!$J106="Y",IF(OR('Daily Schedule'!$A33=4,'Daily Schedule'!$A33=8),IF(OR(WEEKDAY('Daily Schedule'!$B$2,2)=1,WEEKDAY('Daily Schedule'!$B$2,2)=4,WEEKDAY('Daily Schedule'!$B$2,2)=5,WEEKDAY('Daily Schedule'!$B$2,2)=7),IFERROR(1*'Daily Workforce'!$K106&gt;=3,FALSE()),IFERROR(1*'Daily Workforce'!$K106&gt;=2,FALSE())),IF(AND('Daily Schedule'!$A33&gt;=46,'Daily Schedule'!$A33&lt;=52),'Daily Workforce'!$M106="Y",IFERROR(1*'Daily Workforce'!$P106&gt;=2,FALSE()))))),1,0)</f>
        <v>1</v>
      </c>
      <c r="DN29" s="1" t="n">
        <f aca="false">IF(AND('Daily Workforce'!$N107="Y",'Daily Workforce'!$B107&lt;&gt;"",COUNTIF('Daily Schedule'!$F$5:$F32,'Daily Workforce'!$B107)=0,IF('Daily Schedule'!$A33=45,'Daily Workforce'!$J107="Y",IF(OR('Daily Schedule'!$A33=4,'Daily Schedule'!$A33=8),IF(OR(WEEKDAY('Daily Schedule'!$B$2,2)=1,WEEKDAY('Daily Schedule'!$B$2,2)=4,WEEKDAY('Daily Schedule'!$B$2,2)=5,WEEKDAY('Daily Schedule'!$B$2,2)=7),IFERROR(1*'Daily Workforce'!$K107&gt;=3,FALSE()),IFERROR(1*'Daily Workforce'!$K107&gt;=2,FALSE())),IF(AND('Daily Schedule'!$A33&gt;=46,'Daily Schedule'!$A33&lt;=52),'Daily Workforce'!$M107="Y",IFERROR(1*'Daily Workforce'!$P107&gt;=2,FALSE()))))),1,0)</f>
        <v>1</v>
      </c>
      <c r="DO29" s="1" t="n">
        <f aca="false">IF(AND('Daily Workforce'!$N108="Y",'Daily Workforce'!$B108&lt;&gt;"",COUNTIF('Daily Schedule'!$F$5:$F32,'Daily Workforce'!$B108)=0,IF('Daily Schedule'!$A33=45,'Daily Workforce'!$J108="Y",IF(OR('Daily Schedule'!$A33=4,'Daily Schedule'!$A33=8),IF(OR(WEEKDAY('Daily Schedule'!$B$2,2)=1,WEEKDAY('Daily Schedule'!$B$2,2)=4,WEEKDAY('Daily Schedule'!$B$2,2)=5,WEEKDAY('Daily Schedule'!$B$2,2)=7),IFERROR(1*'Daily Workforce'!$K108&gt;=3,FALSE()),IFERROR(1*'Daily Workforce'!$K108&gt;=2,FALSE())),IF(AND('Daily Schedule'!$A33&gt;=46,'Daily Schedule'!$A33&lt;=52),'Daily Workforce'!$M108="Y",IFERROR(1*'Daily Workforce'!$P108&gt;=2,FALSE()))))),1,0)</f>
        <v>1</v>
      </c>
      <c r="DP29" s="1" t="n">
        <f aca="false">IF(AND('Daily Workforce'!$N109="Y",'Daily Workforce'!$B109&lt;&gt;"",COUNTIF('Daily Schedule'!$F$5:$F32,'Daily Workforce'!$B109)=0,IF('Daily Schedule'!$A33=45,'Daily Workforce'!$J109="Y",IF(OR('Daily Schedule'!$A33=4,'Daily Schedule'!$A33=8),IF(OR(WEEKDAY('Daily Schedule'!$B$2,2)=1,WEEKDAY('Daily Schedule'!$B$2,2)=4,WEEKDAY('Daily Schedule'!$B$2,2)=5,WEEKDAY('Daily Schedule'!$B$2,2)=7),IFERROR(1*'Daily Workforce'!$K109&gt;=3,FALSE()),IFERROR(1*'Daily Workforce'!$K109&gt;=2,FALSE())),IF(AND('Daily Schedule'!$A33&gt;=46,'Daily Schedule'!$A33&lt;=52),'Daily Workforce'!$M109="Y",IFERROR(1*'Daily Workforce'!$P109&gt;=2,FALSE()))))),1,0)</f>
        <v>1</v>
      </c>
      <c r="DQ29" s="1" t="n">
        <f aca="false">IF(AND('Daily Workforce'!$N110="Y",'Daily Workforce'!$B110&lt;&gt;"",COUNTIF('Daily Schedule'!$F$5:$F32,'Daily Workforce'!$B110)=0,IF('Daily Schedule'!$A33=45,'Daily Workforce'!$J110="Y",IF(OR('Daily Schedule'!$A33=4,'Daily Schedule'!$A33=8),IF(OR(WEEKDAY('Daily Schedule'!$B$2,2)=1,WEEKDAY('Daily Schedule'!$B$2,2)=4,WEEKDAY('Daily Schedule'!$B$2,2)=5,WEEKDAY('Daily Schedule'!$B$2,2)=7),IFERROR(1*'Daily Workforce'!$K110&gt;=3,FALSE()),IFERROR(1*'Daily Workforce'!$K110&gt;=2,FALSE())),IF(AND('Daily Schedule'!$A33&gt;=46,'Daily Schedule'!$A33&lt;=52),'Daily Workforce'!$M110="Y",IFERROR(1*'Daily Workforce'!$P110&gt;=2,FALSE()))))),1,0)</f>
        <v>1</v>
      </c>
      <c r="DR29" s="1" t="n">
        <f aca="false">IF(AND('Daily Workforce'!$N111="Y",'Daily Workforce'!$B111&lt;&gt;"",COUNTIF('Daily Schedule'!$F$5:$F32,'Daily Workforce'!$B111)=0,IF('Daily Schedule'!$A33=45,'Daily Workforce'!$J111="Y",IF(OR('Daily Schedule'!$A33=4,'Daily Schedule'!$A33=8),IF(OR(WEEKDAY('Daily Schedule'!$B$2,2)=1,WEEKDAY('Daily Schedule'!$B$2,2)=4,WEEKDAY('Daily Schedule'!$B$2,2)=5,WEEKDAY('Daily Schedule'!$B$2,2)=7),IFERROR(1*'Daily Workforce'!$K111&gt;=3,FALSE()),IFERROR(1*'Daily Workforce'!$K111&gt;=2,FALSE())),IF(AND('Daily Schedule'!$A33&gt;=46,'Daily Schedule'!$A33&lt;=52),'Daily Workforce'!$M111="Y",IFERROR(1*'Daily Workforce'!$P111&gt;=2,FALSE()))))),1,0)</f>
        <v>1</v>
      </c>
      <c r="DS29" s="1" t="n">
        <f aca="false">IF(AND('Daily Workforce'!$N112="Y",'Daily Workforce'!$B112&lt;&gt;"",COUNTIF('Daily Schedule'!$F$5:$F32,'Daily Workforce'!$B112)=0,IF('Daily Schedule'!$A33=45,'Daily Workforce'!$J112="Y",IF(OR('Daily Schedule'!$A33=4,'Daily Schedule'!$A33=8),IF(OR(WEEKDAY('Daily Schedule'!$B$2,2)=1,WEEKDAY('Daily Schedule'!$B$2,2)=4,WEEKDAY('Daily Schedule'!$B$2,2)=5,WEEKDAY('Daily Schedule'!$B$2,2)=7),IFERROR(1*'Daily Workforce'!$K112&gt;=3,FALSE()),IFERROR(1*'Daily Workforce'!$K112&gt;=2,FALSE())),IF(AND('Daily Schedule'!$A33&gt;=46,'Daily Schedule'!$A33&lt;=52),'Daily Workforce'!$M112="Y",IFERROR(1*'Daily Workforce'!$P112&gt;=2,FALSE()))))),1,0)</f>
        <v>1</v>
      </c>
      <c r="DT29" s="1" t="n">
        <f aca="false">IF(AND('Daily Workforce'!$N113="Y",'Daily Workforce'!$B113&lt;&gt;"",COUNTIF('Daily Schedule'!$F$5:$F32,'Daily Workforce'!$B113)=0,IF('Daily Schedule'!$A33=45,'Daily Workforce'!$J113="Y",IF(OR('Daily Schedule'!$A33=4,'Daily Schedule'!$A33=8),IF(OR(WEEKDAY('Daily Schedule'!$B$2,2)=1,WEEKDAY('Daily Schedule'!$B$2,2)=4,WEEKDAY('Daily Schedule'!$B$2,2)=5,WEEKDAY('Daily Schedule'!$B$2,2)=7),IFERROR(1*'Daily Workforce'!$K113&gt;=3,FALSE()),IFERROR(1*'Daily Workforce'!$K113&gt;=2,FALSE())),IF(AND('Daily Schedule'!$A33&gt;=46,'Daily Schedule'!$A33&lt;=52),'Daily Workforce'!$M113="Y",IFERROR(1*'Daily Workforce'!$P113&gt;=2,FALSE()))))),1,0)</f>
        <v>1</v>
      </c>
      <c r="DU29" s="1" t="n">
        <f aca="false">IF(AND('Daily Workforce'!$N114="Y",'Daily Workforce'!$B114&lt;&gt;"",COUNTIF('Daily Schedule'!$F$5:$F32,'Daily Workforce'!$B114)=0,IF('Daily Schedule'!$A33=45,'Daily Workforce'!$J114="Y",IF(OR('Daily Schedule'!$A33=4,'Daily Schedule'!$A33=8),IF(OR(WEEKDAY('Daily Schedule'!$B$2,2)=1,WEEKDAY('Daily Schedule'!$B$2,2)=4,WEEKDAY('Daily Schedule'!$B$2,2)=5,WEEKDAY('Daily Schedule'!$B$2,2)=7),IFERROR(1*'Daily Workforce'!$K114&gt;=3,FALSE()),IFERROR(1*'Daily Workforce'!$K114&gt;=2,FALSE())),IF(AND('Daily Schedule'!$A33&gt;=46,'Daily Schedule'!$A33&lt;=52),'Daily Workforce'!$M114="Y",IFERROR(1*'Daily Workforce'!$P114&gt;=2,FALSE()))))),1,0)</f>
        <v>1</v>
      </c>
      <c r="DV29" s="1" t="n">
        <f aca="false">IF(AND('Daily Workforce'!$N115="Y",'Daily Workforce'!$B115&lt;&gt;"",COUNTIF('Daily Schedule'!$F$5:$F32,'Daily Workforce'!$B115)=0,IF('Daily Schedule'!$A33=45,'Daily Workforce'!$J115="Y",IF(OR('Daily Schedule'!$A33=4,'Daily Schedule'!$A33=8),IF(OR(WEEKDAY('Daily Schedule'!$B$2,2)=1,WEEKDAY('Daily Schedule'!$B$2,2)=4,WEEKDAY('Daily Schedule'!$B$2,2)=5,WEEKDAY('Daily Schedule'!$B$2,2)=7),IFERROR(1*'Daily Workforce'!$K115&gt;=3,FALSE()),IFERROR(1*'Daily Workforce'!$K115&gt;=2,FALSE())),IF(AND('Daily Schedule'!$A33&gt;=46,'Daily Schedule'!$A33&lt;=52),'Daily Workforce'!$M115="Y",IFERROR(1*'Daily Workforce'!$P115&gt;=2,FALSE()))))),1,0)</f>
        <v>1</v>
      </c>
      <c r="DW29" s="1" t="n">
        <f aca="false">IF(AND('Daily Workforce'!$N116="Y",'Daily Workforce'!$B116&lt;&gt;"",COUNTIF('Daily Schedule'!$F$5:$F32,'Daily Workforce'!$B116)=0,IF('Daily Schedule'!$A33=45,'Daily Workforce'!$J116="Y",IF(OR('Daily Schedule'!$A33=4,'Daily Schedule'!$A33=8),IF(OR(WEEKDAY('Daily Schedule'!$B$2,2)=1,WEEKDAY('Daily Schedule'!$B$2,2)=4,WEEKDAY('Daily Schedule'!$B$2,2)=5,WEEKDAY('Daily Schedule'!$B$2,2)=7),IFERROR(1*'Daily Workforce'!$K116&gt;=3,FALSE()),IFERROR(1*'Daily Workforce'!$K116&gt;=2,FALSE())),IF(AND('Daily Schedule'!$A33&gt;=46,'Daily Schedule'!$A33&lt;=52),'Daily Workforce'!$M116="Y",IFERROR(1*'Daily Workforce'!$P116&gt;=2,FALSE()))))),1,0)</f>
        <v>1</v>
      </c>
      <c r="DX29" s="1" t="n">
        <f aca="false">IF(AND('Daily Workforce'!$N117="Y",'Daily Workforce'!$B117&lt;&gt;"",COUNTIF('Daily Schedule'!$F$5:$F32,'Daily Workforce'!$B117)=0,IF('Daily Schedule'!$A33=45,'Daily Workforce'!$J117="Y",IF(OR('Daily Schedule'!$A33=4,'Daily Schedule'!$A33=8),IF(OR(WEEKDAY('Daily Schedule'!$B$2,2)=1,WEEKDAY('Daily Schedule'!$B$2,2)=4,WEEKDAY('Daily Schedule'!$B$2,2)=5,WEEKDAY('Daily Schedule'!$B$2,2)=7),IFERROR(1*'Daily Workforce'!$K117&gt;=3,FALSE()),IFERROR(1*'Daily Workforce'!$K117&gt;=2,FALSE())),IF(AND('Daily Schedule'!$A33&gt;=46,'Daily Schedule'!$A33&lt;=52),'Daily Workforce'!$M117="Y",IFERROR(1*'Daily Workforce'!$P117&gt;=2,FALSE()))))),1,0)</f>
        <v>1</v>
      </c>
      <c r="DY29" s="1" t="n">
        <f aca="false">IF(AND('Daily Workforce'!$N118="Y",'Daily Workforce'!$B118&lt;&gt;"",COUNTIF('Daily Schedule'!$F$5:$F32,'Daily Workforce'!$B118)=0,IF('Daily Schedule'!$A33=45,'Daily Workforce'!$J118="Y",IF(OR('Daily Schedule'!$A33=4,'Daily Schedule'!$A33=8),IF(OR(WEEKDAY('Daily Schedule'!$B$2,2)=1,WEEKDAY('Daily Schedule'!$B$2,2)=4,WEEKDAY('Daily Schedule'!$B$2,2)=5,WEEKDAY('Daily Schedule'!$B$2,2)=7),IFERROR(1*'Daily Workforce'!$K118&gt;=3,FALSE()),IFERROR(1*'Daily Workforce'!$K118&gt;=2,FALSE())),IF(AND('Daily Schedule'!$A33&gt;=46,'Daily Schedule'!$A33&lt;=52),'Daily Workforce'!$M118="Y",IFERROR(1*'Daily Workforce'!$P118&gt;=2,FALSE()))))),1,0)</f>
        <v>0</v>
      </c>
      <c r="DZ29" s="1" t="n">
        <f aca="false">IF(AND('Daily Workforce'!$N119="Y",'Daily Workforce'!$B119&lt;&gt;"",COUNTIF('Daily Schedule'!$F$5:$F32,'Daily Workforce'!$B119)=0,IF('Daily Schedule'!$A33=45,'Daily Workforce'!$J119="Y",IF(OR('Daily Schedule'!$A33=4,'Daily Schedule'!$A33=8),IF(OR(WEEKDAY('Daily Schedule'!$B$2,2)=1,WEEKDAY('Daily Schedule'!$B$2,2)=4,WEEKDAY('Daily Schedule'!$B$2,2)=5,WEEKDAY('Daily Schedule'!$B$2,2)=7),IFERROR(1*'Daily Workforce'!$K119&gt;=3,FALSE()),IFERROR(1*'Daily Workforce'!$K119&gt;=2,FALSE())),IF(AND('Daily Schedule'!$A33&gt;=46,'Daily Schedule'!$A33&lt;=52),'Daily Workforce'!$M119="Y",IFERROR(1*'Daily Workforce'!$P119&gt;=2,FALSE()))))),1,0)</f>
        <v>0</v>
      </c>
      <c r="EA29" s="1" t="n">
        <f aca="false">IF(AND('Daily Workforce'!$N120="Y",'Daily Workforce'!$B120&lt;&gt;"",COUNTIF('Daily Schedule'!$F$5:$F32,'Daily Workforce'!$B120)=0,IF('Daily Schedule'!$A33=45,'Daily Workforce'!$J120="Y",IF(OR('Daily Schedule'!$A33=4,'Daily Schedule'!$A33=8),IF(OR(WEEKDAY('Daily Schedule'!$B$2,2)=1,WEEKDAY('Daily Schedule'!$B$2,2)=4,WEEKDAY('Daily Schedule'!$B$2,2)=5,WEEKDAY('Daily Schedule'!$B$2,2)=7),IFERROR(1*'Daily Workforce'!$K120&gt;=3,FALSE()),IFERROR(1*'Daily Workforce'!$K120&gt;=2,FALSE())),IF(AND('Daily Schedule'!$A33&gt;=46,'Daily Schedule'!$A33&lt;=52),'Daily Workforce'!$M120="Y",IFERROR(1*'Daily Workforce'!$P120&gt;=2,FALSE()))))),1,0)</f>
        <v>0</v>
      </c>
      <c r="EB29" s="1" t="n">
        <f aca="false">IF(AND('Daily Workforce'!$N121="Y",'Daily Workforce'!$B121&lt;&gt;"",COUNTIF('Daily Schedule'!$F$5:$F32,'Daily Workforce'!$B121)=0,IF('Daily Schedule'!$A33=45,'Daily Workforce'!$J121="Y",IF(OR('Daily Schedule'!$A33=4,'Daily Schedule'!$A33=8),IF(OR(WEEKDAY('Daily Schedule'!$B$2,2)=1,WEEKDAY('Daily Schedule'!$B$2,2)=4,WEEKDAY('Daily Schedule'!$B$2,2)=5,WEEKDAY('Daily Schedule'!$B$2,2)=7),IFERROR(1*'Daily Workforce'!$K121&gt;=3,FALSE()),IFERROR(1*'Daily Workforce'!$K121&gt;=2,FALSE())),IF(AND('Daily Schedule'!$A33&gt;=46,'Daily Schedule'!$A33&lt;=52),'Daily Workforce'!$M121="Y",IFERROR(1*'Daily Workforce'!$P121&gt;=2,FALSE()))))),1,0)</f>
        <v>0</v>
      </c>
      <c r="EC29" s="1" t="n">
        <f aca="false">IF(AND('Daily Workforce'!$N122="Y",'Daily Workforce'!$B122&lt;&gt;"",COUNTIF('Daily Schedule'!$F$5:$F32,'Daily Workforce'!$B122)=0,IF('Daily Schedule'!$A33=45,'Daily Workforce'!$J122="Y",IF(OR('Daily Schedule'!$A33=4,'Daily Schedule'!$A33=8),IF(OR(WEEKDAY('Daily Schedule'!$B$2,2)=1,WEEKDAY('Daily Schedule'!$B$2,2)=4,WEEKDAY('Daily Schedule'!$B$2,2)=5,WEEKDAY('Daily Schedule'!$B$2,2)=7),IFERROR(1*'Daily Workforce'!$K122&gt;=3,FALSE()),IFERROR(1*'Daily Workforce'!$K122&gt;=2,FALSE())),IF(AND('Daily Schedule'!$A33&gt;=46,'Daily Schedule'!$A33&lt;=52),'Daily Workforce'!$M122="Y",IFERROR(1*'Daily Workforce'!$P122&gt;=2,FALSE()))))),1,0)</f>
        <v>0</v>
      </c>
      <c r="ED29" s="1" t="n">
        <f aca="false">IF(AND('Daily Workforce'!$N123="Y",'Daily Workforce'!$B123&lt;&gt;"",COUNTIF('Daily Schedule'!$F$5:$F32,'Daily Workforce'!$B123)=0,IF('Daily Schedule'!$A33=45,'Daily Workforce'!$J123="Y",IF(OR('Daily Schedule'!$A33=4,'Daily Schedule'!$A33=8),IF(OR(WEEKDAY('Daily Schedule'!$B$2,2)=1,WEEKDAY('Daily Schedule'!$B$2,2)=4,WEEKDAY('Daily Schedule'!$B$2,2)=5,WEEKDAY('Daily Schedule'!$B$2,2)=7),IFERROR(1*'Daily Workforce'!$K123&gt;=3,FALSE()),IFERROR(1*'Daily Workforce'!$K123&gt;=2,FALSE())),IF(AND('Daily Schedule'!$A33&gt;=46,'Daily Schedule'!$A33&lt;=52),'Daily Workforce'!$M123="Y",IFERROR(1*'Daily Workforce'!$P123&gt;=2,FALSE()))))),1,0)</f>
        <v>0</v>
      </c>
      <c r="EE29" s="1" t="n">
        <f aca="false">IF(AND('Daily Workforce'!$N124="Y",'Daily Workforce'!$B124&lt;&gt;"",COUNTIF('Daily Schedule'!$F$5:$F32,'Daily Workforce'!$B124)=0,IF('Daily Schedule'!$A33=45,'Daily Workforce'!$J124="Y",IF(OR('Daily Schedule'!$A33=4,'Daily Schedule'!$A33=8),IF(OR(WEEKDAY('Daily Schedule'!$B$2,2)=1,WEEKDAY('Daily Schedule'!$B$2,2)=4,WEEKDAY('Daily Schedule'!$B$2,2)=5,WEEKDAY('Daily Schedule'!$B$2,2)=7),IFERROR(1*'Daily Workforce'!$K124&gt;=3,FALSE()),IFERROR(1*'Daily Workforce'!$K124&gt;=2,FALSE())),IF(AND('Daily Schedule'!$A33&gt;=46,'Daily Schedule'!$A33&lt;=52),'Daily Workforce'!$M124="Y",IFERROR(1*'Daily Workforce'!$P124&gt;=2,FALSE()))))),1,0)</f>
        <v>0</v>
      </c>
      <c r="EF29" s="1" t="n">
        <f aca="false">IF(AND('Daily Workforce'!$N125="Y",'Daily Workforce'!$B125&lt;&gt;"",COUNTIF('Daily Schedule'!$F$5:$F32,'Daily Workforce'!$B125)=0,IF('Daily Schedule'!$A33=45,'Daily Workforce'!$J125="Y",IF(OR('Daily Schedule'!$A33=4,'Daily Schedule'!$A33=8),IF(OR(WEEKDAY('Daily Schedule'!$B$2,2)=1,WEEKDAY('Daily Schedule'!$B$2,2)=4,WEEKDAY('Daily Schedule'!$B$2,2)=5,WEEKDAY('Daily Schedule'!$B$2,2)=7),IFERROR(1*'Daily Workforce'!$K125&gt;=3,FALSE()),IFERROR(1*'Daily Workforce'!$K125&gt;=2,FALSE())),IF(AND('Daily Schedule'!$A33&gt;=46,'Daily Schedule'!$A33&lt;=52),'Daily Workforce'!$M125="Y",IFERROR(1*'Daily Workforce'!$P125&gt;=2,FALSE()))))),1,0)</f>
        <v>0</v>
      </c>
      <c r="EG29" s="1" t="n">
        <f aca="false">IF(AND('Daily Workforce'!$N126="Y",'Daily Workforce'!$B126&lt;&gt;"",COUNTIF('Daily Schedule'!$F$5:$F32,'Daily Workforce'!$B126)=0,IF('Daily Schedule'!$A33=45,'Daily Workforce'!$J126="Y",IF(OR('Daily Schedule'!$A33=4,'Daily Schedule'!$A33=8),IF(OR(WEEKDAY('Daily Schedule'!$B$2,2)=1,WEEKDAY('Daily Schedule'!$B$2,2)=4,WEEKDAY('Daily Schedule'!$B$2,2)=5,WEEKDAY('Daily Schedule'!$B$2,2)=7),IFERROR(1*'Daily Workforce'!$K126&gt;=3,FALSE()),IFERROR(1*'Daily Workforce'!$K126&gt;=2,FALSE())),IF(AND('Daily Schedule'!$A33&gt;=46,'Daily Schedule'!$A33&lt;=52),'Daily Workforce'!$M126="Y",IFERROR(1*'Daily Workforce'!$P126&gt;=2,FALSE()))))),1,0)</f>
        <v>0</v>
      </c>
      <c r="EH29" s="1" t="n">
        <f aca="false">IF(AND('Daily Workforce'!$N127="Y",'Daily Workforce'!$B127&lt;&gt;"",COUNTIF('Daily Schedule'!$F$5:$F32,'Daily Workforce'!$B127)=0,IF('Daily Schedule'!$A33=45,'Daily Workforce'!$J127="Y",IF(OR('Daily Schedule'!$A33=4,'Daily Schedule'!$A33=8),IF(OR(WEEKDAY('Daily Schedule'!$B$2,2)=1,WEEKDAY('Daily Schedule'!$B$2,2)=4,WEEKDAY('Daily Schedule'!$B$2,2)=5,WEEKDAY('Daily Schedule'!$B$2,2)=7),IFERROR(1*'Daily Workforce'!$K127&gt;=3,FALSE()),IFERROR(1*'Daily Workforce'!$K127&gt;=2,FALSE())),IF(AND('Daily Schedule'!$A33&gt;=46,'Daily Schedule'!$A33&lt;=52),'Daily Workforce'!$M127="Y",IFERROR(1*'Daily Workforce'!$P127&gt;=2,FALSE()))))),1,0)</f>
        <v>0</v>
      </c>
      <c r="EI29" s="1" t="n">
        <f aca="false">IF(AND('Daily Workforce'!$N128="Y",'Daily Workforce'!$B128&lt;&gt;"",COUNTIF('Daily Schedule'!$F$5:$F32,'Daily Workforce'!$B128)=0,IF('Daily Schedule'!$A33=45,'Daily Workforce'!$J128="Y",IF(OR('Daily Schedule'!$A33=4,'Daily Schedule'!$A33=8),IF(OR(WEEKDAY('Daily Schedule'!$B$2,2)=1,WEEKDAY('Daily Schedule'!$B$2,2)=4,WEEKDAY('Daily Schedule'!$B$2,2)=5,WEEKDAY('Daily Schedule'!$B$2,2)=7),IFERROR(1*'Daily Workforce'!$K128&gt;=3,FALSE()),IFERROR(1*'Daily Workforce'!$K128&gt;=2,FALSE())),IF(AND('Daily Schedule'!$A33&gt;=46,'Daily Schedule'!$A33&lt;=52),'Daily Workforce'!$M128="Y",IFERROR(1*'Daily Workforce'!$P128&gt;=2,FALSE()))))),1,0)</f>
        <v>0</v>
      </c>
      <c r="EJ29" s="1" t="n">
        <f aca="false">IF(AND('Daily Workforce'!$N129="Y",'Daily Workforce'!$B129&lt;&gt;"",COUNTIF('Daily Schedule'!$F$5:$F32,'Daily Workforce'!$B129)=0,IF('Daily Schedule'!$A33=45,'Daily Workforce'!$J129="Y",IF(OR('Daily Schedule'!$A33=4,'Daily Schedule'!$A33=8),IF(OR(WEEKDAY('Daily Schedule'!$B$2,2)=1,WEEKDAY('Daily Schedule'!$B$2,2)=4,WEEKDAY('Daily Schedule'!$B$2,2)=5,WEEKDAY('Daily Schedule'!$B$2,2)=7),IFERROR(1*'Daily Workforce'!$K129&gt;=3,FALSE()),IFERROR(1*'Daily Workforce'!$K129&gt;=2,FALSE())),IF(AND('Daily Schedule'!$A33&gt;=46,'Daily Schedule'!$A33&lt;=52),'Daily Workforce'!$M129="Y",IFERROR(1*'Daily Workforce'!$P129&gt;=2,FALSE()))))),1,0)</f>
        <v>0</v>
      </c>
      <c r="EK29" s="1" t="n">
        <f aca="false">IF(AND('Daily Workforce'!$N130="Y",'Daily Workforce'!$B130&lt;&gt;"",COUNTIF('Daily Schedule'!$F$5:$F32,'Daily Workforce'!$B130)=0,IF('Daily Schedule'!$A33=45,'Daily Workforce'!$J130="Y",IF(OR('Daily Schedule'!$A33=4,'Daily Schedule'!$A33=8),IF(OR(WEEKDAY('Daily Schedule'!$B$2,2)=1,WEEKDAY('Daily Schedule'!$B$2,2)=4,WEEKDAY('Daily Schedule'!$B$2,2)=5,WEEKDAY('Daily Schedule'!$B$2,2)=7),IFERROR(1*'Daily Workforce'!$K130&gt;=3,FALSE()),IFERROR(1*'Daily Workforce'!$K130&gt;=2,FALSE())),IF(AND('Daily Schedule'!$A33&gt;=46,'Daily Schedule'!$A33&lt;=52),'Daily Workforce'!$M130="Y",IFERROR(1*'Daily Workforce'!$P130&gt;=2,FALSE()))))),1,0)</f>
        <v>0</v>
      </c>
      <c r="EL29" s="1" t="n">
        <f aca="false">IF(AND('Daily Workforce'!$N131="Y",'Daily Workforce'!$B131&lt;&gt;"",COUNTIF('Daily Schedule'!$F$5:$F32,'Daily Workforce'!$B131)=0,IF('Daily Schedule'!$A33=45,'Daily Workforce'!$J131="Y",IF(OR('Daily Schedule'!$A33=4,'Daily Schedule'!$A33=8),IF(OR(WEEKDAY('Daily Schedule'!$B$2,2)=1,WEEKDAY('Daily Schedule'!$B$2,2)=4,WEEKDAY('Daily Schedule'!$B$2,2)=5,WEEKDAY('Daily Schedule'!$B$2,2)=7),IFERROR(1*'Daily Workforce'!$K131&gt;=3,FALSE()),IFERROR(1*'Daily Workforce'!$K131&gt;=2,FALSE())),IF(AND('Daily Schedule'!$A33&gt;=46,'Daily Schedule'!$A33&lt;=52),'Daily Workforce'!$M131="Y",IFERROR(1*'Daily Workforce'!$P131&gt;=2,FALSE()))))),1,0)</f>
        <v>0</v>
      </c>
      <c r="EM29" s="1" t="n">
        <f aca="false">IF(AND('Daily Workforce'!$N132="Y",'Daily Workforce'!$B132&lt;&gt;"",COUNTIF('Daily Schedule'!$F$5:$F32,'Daily Workforce'!$B132)=0,IF('Daily Schedule'!$A33=45,'Daily Workforce'!$J132="Y",IF(OR('Daily Schedule'!$A33=4,'Daily Schedule'!$A33=8),IF(OR(WEEKDAY('Daily Schedule'!$B$2,2)=1,WEEKDAY('Daily Schedule'!$B$2,2)=4,WEEKDAY('Daily Schedule'!$B$2,2)=5,WEEKDAY('Daily Schedule'!$B$2,2)=7),IFERROR(1*'Daily Workforce'!$K132&gt;=3,FALSE()),IFERROR(1*'Daily Workforce'!$K132&gt;=2,FALSE())),IF(AND('Daily Schedule'!$A33&gt;=46,'Daily Schedule'!$A33&lt;=52),'Daily Workforce'!$M132="Y",IFERROR(1*'Daily Workforce'!$P132&gt;=2,FALSE()))))),1,0)</f>
        <v>0</v>
      </c>
      <c r="EN29" s="1" t="n">
        <f aca="false">IF(AND('Daily Workforce'!$N133="Y",'Daily Workforce'!$B133&lt;&gt;"",COUNTIF('Daily Schedule'!$F$5:$F32,'Daily Workforce'!$B133)=0,IF('Daily Schedule'!$A33=45,'Daily Workforce'!$J133="Y",IF(OR('Daily Schedule'!$A33=4,'Daily Schedule'!$A33=8),IF(OR(WEEKDAY('Daily Schedule'!$B$2,2)=1,WEEKDAY('Daily Schedule'!$B$2,2)=4,WEEKDAY('Daily Schedule'!$B$2,2)=5,WEEKDAY('Daily Schedule'!$B$2,2)=7),IFERROR(1*'Daily Workforce'!$K133&gt;=3,FALSE()),IFERROR(1*'Daily Workforce'!$K133&gt;=2,FALSE())),IF(AND('Daily Schedule'!$A33&gt;=46,'Daily Schedule'!$A33&lt;=52),'Daily Workforce'!$M133="Y",IFERROR(1*'Daily Workforce'!$P133&gt;=2,FALSE()))))),1,0)</f>
        <v>0</v>
      </c>
      <c r="EO29" s="1" t="n">
        <f aca="false">IF(AND('Daily Workforce'!$N134="Y",'Daily Workforce'!$B134&lt;&gt;"",COUNTIF('Daily Schedule'!$F$5:$F32,'Daily Workforce'!$B134)=0,IF('Daily Schedule'!$A33=45,'Daily Workforce'!$J134="Y",IF(OR('Daily Schedule'!$A33=4,'Daily Schedule'!$A33=8),IF(OR(WEEKDAY('Daily Schedule'!$B$2,2)=1,WEEKDAY('Daily Schedule'!$B$2,2)=4,WEEKDAY('Daily Schedule'!$B$2,2)=5,WEEKDAY('Daily Schedule'!$B$2,2)=7),IFERROR(1*'Daily Workforce'!$K134&gt;=3,FALSE()),IFERROR(1*'Daily Workforce'!$K134&gt;=2,FALSE())),IF(AND('Daily Schedule'!$A33&gt;=46,'Daily Schedule'!$A33&lt;=52),'Daily Workforce'!$M134="Y",IFERROR(1*'Daily Workforce'!$P134&gt;=2,FALSE()))))),1,0)</f>
        <v>0</v>
      </c>
      <c r="EP29" s="1" t="n">
        <f aca="false">IF(AND('Daily Workforce'!$N135="Y",'Daily Workforce'!$B135&lt;&gt;"",COUNTIF('Daily Schedule'!$F$5:$F32,'Daily Workforce'!$B135)=0,IF('Daily Schedule'!$A33=45,'Daily Workforce'!$J135="Y",IF(OR('Daily Schedule'!$A33=4,'Daily Schedule'!$A33=8),IF(OR(WEEKDAY('Daily Schedule'!$B$2,2)=1,WEEKDAY('Daily Schedule'!$B$2,2)=4,WEEKDAY('Daily Schedule'!$B$2,2)=5,WEEKDAY('Daily Schedule'!$B$2,2)=7),IFERROR(1*'Daily Workforce'!$K135&gt;=3,FALSE()),IFERROR(1*'Daily Workforce'!$K135&gt;=2,FALSE())),IF(AND('Daily Schedule'!$A33&gt;=46,'Daily Schedule'!$A33&lt;=52),'Daily Workforce'!$M135="Y",IFERROR(1*'Daily Workforce'!$P135&gt;=2,FALSE()))))),1,0)</f>
        <v>0</v>
      </c>
      <c r="EQ29" s="1" t="n">
        <f aca="false">IF(AND('Daily Workforce'!$N136="Y",'Daily Workforce'!$B136&lt;&gt;"",COUNTIF('Daily Schedule'!$F$5:$F32,'Daily Workforce'!$B136)=0,IF('Daily Schedule'!$A33=45,'Daily Workforce'!$J136="Y",IF(OR('Daily Schedule'!$A33=4,'Daily Schedule'!$A33=8),IF(OR(WEEKDAY('Daily Schedule'!$B$2,2)=1,WEEKDAY('Daily Schedule'!$B$2,2)=4,WEEKDAY('Daily Schedule'!$B$2,2)=5,WEEKDAY('Daily Schedule'!$B$2,2)=7),IFERROR(1*'Daily Workforce'!$K136&gt;=3,FALSE()),IFERROR(1*'Daily Workforce'!$K136&gt;=2,FALSE())),IF(AND('Daily Schedule'!$A33&gt;=46,'Daily Schedule'!$A33&lt;=52),'Daily Workforce'!$M136="Y",IFERROR(1*'Daily Workforce'!$P136&gt;=2,FALSE()))))),1,0)</f>
        <v>0</v>
      </c>
      <c r="ER29" s="1" t="n">
        <f aca="false">IF(AND('Daily Workforce'!$N137="Y",'Daily Workforce'!$B137&lt;&gt;"",COUNTIF('Daily Schedule'!$F$5:$F32,'Daily Workforce'!$B137)=0,IF('Daily Schedule'!$A33=45,'Daily Workforce'!$J137="Y",IF(OR('Daily Schedule'!$A33=4,'Daily Schedule'!$A33=8),IF(OR(WEEKDAY('Daily Schedule'!$B$2,2)=1,WEEKDAY('Daily Schedule'!$B$2,2)=4,WEEKDAY('Daily Schedule'!$B$2,2)=5,WEEKDAY('Daily Schedule'!$B$2,2)=7),IFERROR(1*'Daily Workforce'!$K137&gt;=3,FALSE()),IFERROR(1*'Daily Workforce'!$K137&gt;=2,FALSE())),IF(AND('Daily Schedule'!$A33&gt;=46,'Daily Schedule'!$A33&lt;=52),'Daily Workforce'!$M137="Y",IFERROR(1*'Daily Workforce'!$P137&gt;=2,FALSE()))))),1,0)</f>
        <v>0</v>
      </c>
      <c r="ES29" s="1" t="n">
        <f aca="false">IF(AND('Daily Workforce'!$N138="Y",'Daily Workforce'!$B138&lt;&gt;"",COUNTIF('Daily Schedule'!$F$5:$F32,'Daily Workforce'!$B138)=0,IF('Daily Schedule'!$A33=45,'Daily Workforce'!$J138="Y",IF(OR('Daily Schedule'!$A33=4,'Daily Schedule'!$A33=8),IF(OR(WEEKDAY('Daily Schedule'!$B$2,2)=1,WEEKDAY('Daily Schedule'!$B$2,2)=4,WEEKDAY('Daily Schedule'!$B$2,2)=5,WEEKDAY('Daily Schedule'!$B$2,2)=7),IFERROR(1*'Daily Workforce'!$K138&gt;=3,FALSE()),IFERROR(1*'Daily Workforce'!$K138&gt;=2,FALSE())),IF(AND('Daily Schedule'!$A33&gt;=46,'Daily Schedule'!$A33&lt;=52),'Daily Workforce'!$M138="Y",IFERROR(1*'Daily Workforce'!$P138&gt;=2,FALSE()))))),1,0)</f>
        <v>0</v>
      </c>
      <c r="ET29" s="1" t="n">
        <f aca="false">IF(AND('Daily Workforce'!$N139="Y",'Daily Workforce'!$B139&lt;&gt;"",COUNTIF('Daily Schedule'!$F$5:$F32,'Daily Workforce'!$B139)=0,IF('Daily Schedule'!$A33=45,'Daily Workforce'!$J139="Y",IF(OR('Daily Schedule'!$A33=4,'Daily Schedule'!$A33=8),IF(OR(WEEKDAY('Daily Schedule'!$B$2,2)=1,WEEKDAY('Daily Schedule'!$B$2,2)=4,WEEKDAY('Daily Schedule'!$B$2,2)=5,WEEKDAY('Daily Schedule'!$B$2,2)=7),IFERROR(1*'Daily Workforce'!$K139&gt;=3,FALSE()),IFERROR(1*'Daily Workforce'!$K139&gt;=2,FALSE())),IF(AND('Daily Schedule'!$A33&gt;=46,'Daily Schedule'!$A33&lt;=52),'Daily Workforce'!$M139="Y",IFERROR(1*'Daily Workforce'!$P139&gt;=2,FALSE()))))),1,0)</f>
        <v>0</v>
      </c>
      <c r="EU29" s="1" t="n">
        <f aca="false">IF(AND('Daily Workforce'!$N140="Y",'Daily Workforce'!$B140&lt;&gt;"",COUNTIF('Daily Schedule'!$F$5:$F32,'Daily Workforce'!$B140)=0,IF('Daily Schedule'!$A33=45,'Daily Workforce'!$J140="Y",IF(OR('Daily Schedule'!$A33=4,'Daily Schedule'!$A33=8),IF(OR(WEEKDAY('Daily Schedule'!$B$2,2)=1,WEEKDAY('Daily Schedule'!$B$2,2)=4,WEEKDAY('Daily Schedule'!$B$2,2)=5,WEEKDAY('Daily Schedule'!$B$2,2)=7),IFERROR(1*'Daily Workforce'!$K140&gt;=3,FALSE()),IFERROR(1*'Daily Workforce'!$K140&gt;=2,FALSE())),IF(AND('Daily Schedule'!$A33&gt;=46,'Daily Schedule'!$A33&lt;=52),'Daily Workforce'!$M140="Y",IFERROR(1*'Daily Workforce'!$P140&gt;=2,FALSE()))))),1,0)</f>
        <v>0</v>
      </c>
      <c r="EV29" s="1" t="n">
        <f aca="false">IF(AND('Daily Workforce'!$N141="Y",'Daily Workforce'!$B141&lt;&gt;"",COUNTIF('Daily Schedule'!$F$5:$F32,'Daily Workforce'!$B141)=0,IF('Daily Schedule'!$A33=45,'Daily Workforce'!$J141="Y",IF(OR('Daily Schedule'!$A33=4,'Daily Schedule'!$A33=8),IF(OR(WEEKDAY('Daily Schedule'!$B$2,2)=1,WEEKDAY('Daily Schedule'!$B$2,2)=4,WEEKDAY('Daily Schedule'!$B$2,2)=5,WEEKDAY('Daily Schedule'!$B$2,2)=7),IFERROR(1*'Daily Workforce'!$K141&gt;=3,FALSE()),IFERROR(1*'Daily Workforce'!$K141&gt;=2,FALSE())),IF(AND('Daily Schedule'!$A33&gt;=46,'Daily Schedule'!$A33&lt;=52),'Daily Workforce'!$M141="Y",IFERROR(1*'Daily Workforce'!$P141&gt;=2,FALSE()))))),1,0)</f>
        <v>0</v>
      </c>
      <c r="EW29" s="1" t="n">
        <f aca="false">IF(AND('Daily Workforce'!$N142="Y",'Daily Workforce'!$B142&lt;&gt;"",COUNTIF('Daily Schedule'!$F$5:$F32,'Daily Workforce'!$B142)=0,IF('Daily Schedule'!$A33=45,'Daily Workforce'!$J142="Y",IF(OR('Daily Schedule'!$A33=4,'Daily Schedule'!$A33=8),IF(OR(WEEKDAY('Daily Schedule'!$B$2,2)=1,WEEKDAY('Daily Schedule'!$B$2,2)=4,WEEKDAY('Daily Schedule'!$B$2,2)=5,WEEKDAY('Daily Schedule'!$B$2,2)=7),IFERROR(1*'Daily Workforce'!$K142&gt;=3,FALSE()),IFERROR(1*'Daily Workforce'!$K142&gt;=2,FALSE())),IF(AND('Daily Schedule'!$A33&gt;=46,'Daily Schedule'!$A33&lt;=52),'Daily Workforce'!$M142="Y",IFERROR(1*'Daily Workforce'!$P142&gt;=2,FALSE()))))),1,0)</f>
        <v>0</v>
      </c>
      <c r="EX29" s="1" t="n">
        <f aca="false">IF(AND('Daily Workforce'!$N143="Y",'Daily Workforce'!$B143&lt;&gt;"",COUNTIF('Daily Schedule'!$F$5:$F32,'Daily Workforce'!$B143)=0,IF('Daily Schedule'!$A33=45,'Daily Workforce'!$J143="Y",IF(OR('Daily Schedule'!$A33=4,'Daily Schedule'!$A33=8),IF(OR(WEEKDAY('Daily Schedule'!$B$2,2)=1,WEEKDAY('Daily Schedule'!$B$2,2)=4,WEEKDAY('Daily Schedule'!$B$2,2)=5,WEEKDAY('Daily Schedule'!$B$2,2)=7),IFERROR(1*'Daily Workforce'!$K143&gt;=3,FALSE()),IFERROR(1*'Daily Workforce'!$K143&gt;=2,FALSE())),IF(AND('Daily Schedule'!$A33&gt;=46,'Daily Schedule'!$A33&lt;=52),'Daily Workforce'!$M143="Y",IFERROR(1*'Daily Workforce'!$P143&gt;=2,FALSE()))))),1,0)</f>
        <v>0</v>
      </c>
      <c r="EY29" s="1" t="n">
        <f aca="false">IF(AND('Daily Workforce'!$N144="Y",'Daily Workforce'!$B144&lt;&gt;"",COUNTIF('Daily Schedule'!$F$5:$F32,'Daily Workforce'!$B144)=0,IF('Daily Schedule'!$A33=45,'Daily Workforce'!$J144="Y",IF(OR('Daily Schedule'!$A33=4,'Daily Schedule'!$A33=8),IF(OR(WEEKDAY('Daily Schedule'!$B$2,2)=1,WEEKDAY('Daily Schedule'!$B$2,2)=4,WEEKDAY('Daily Schedule'!$B$2,2)=5,WEEKDAY('Daily Schedule'!$B$2,2)=7),IFERROR(1*'Daily Workforce'!$K144&gt;=3,FALSE()),IFERROR(1*'Daily Workforce'!$K144&gt;=2,FALSE())),IF(AND('Daily Schedule'!$A33&gt;=46,'Daily Schedule'!$A33&lt;=52),'Daily Workforce'!$M144="Y",IFERROR(1*'Daily Workforce'!$P144&gt;=2,FALSE()))))),1,0)</f>
        <v>0</v>
      </c>
      <c r="EZ29" s="1" t="n">
        <f aca="false">IF(AND('Daily Workforce'!$N145="Y",'Daily Workforce'!$B145&lt;&gt;"",COUNTIF('Daily Schedule'!$F$5:$F32,'Daily Workforce'!$B145)=0,IF('Daily Schedule'!$A33=45,'Daily Workforce'!$J145="Y",IF(OR('Daily Schedule'!$A33=4,'Daily Schedule'!$A33=8),IF(OR(WEEKDAY('Daily Schedule'!$B$2,2)=1,WEEKDAY('Daily Schedule'!$B$2,2)=4,WEEKDAY('Daily Schedule'!$B$2,2)=5,WEEKDAY('Daily Schedule'!$B$2,2)=7),IFERROR(1*'Daily Workforce'!$K145&gt;=3,FALSE()),IFERROR(1*'Daily Workforce'!$K145&gt;=2,FALSE())),IF(AND('Daily Schedule'!$A33&gt;=46,'Daily Schedule'!$A33&lt;=52),'Daily Workforce'!$M145="Y",IFERROR(1*'Daily Workforce'!$P145&gt;=2,FALSE()))))),1,0)</f>
        <v>0</v>
      </c>
      <c r="FA29" s="1" t="n">
        <f aca="false">IF(AND('Daily Workforce'!$N146="Y",'Daily Workforce'!$B146&lt;&gt;"",COUNTIF('Daily Schedule'!$F$5:$F32,'Daily Workforce'!$B146)=0,IF('Daily Schedule'!$A33=45,'Daily Workforce'!$J146="Y",IF(OR('Daily Schedule'!$A33=4,'Daily Schedule'!$A33=8),IF(OR(WEEKDAY('Daily Schedule'!$B$2,2)=1,WEEKDAY('Daily Schedule'!$B$2,2)=4,WEEKDAY('Daily Schedule'!$B$2,2)=5,WEEKDAY('Daily Schedule'!$B$2,2)=7),IFERROR(1*'Daily Workforce'!$K146&gt;=3,FALSE()),IFERROR(1*'Daily Workforce'!$K146&gt;=2,FALSE())),IF(AND('Daily Schedule'!$A33&gt;=46,'Daily Schedule'!$A33&lt;=52),'Daily Workforce'!$M146="Y",IFERROR(1*'Daily Workforce'!$P146&gt;=2,FALSE()))))),1,0)</f>
        <v>0</v>
      </c>
      <c r="FB29" s="1" t="n">
        <f aca="false">IF(AND('Daily Workforce'!$N147="Y",'Daily Workforce'!$B147&lt;&gt;"",COUNTIF('Daily Schedule'!$F$5:$F32,'Daily Workforce'!$B147)=0,IF('Daily Schedule'!$A33=45,'Daily Workforce'!$J147="Y",IF(OR('Daily Schedule'!$A33=4,'Daily Schedule'!$A33=8),IF(OR(WEEKDAY('Daily Schedule'!$B$2,2)=1,WEEKDAY('Daily Schedule'!$B$2,2)=4,WEEKDAY('Daily Schedule'!$B$2,2)=5,WEEKDAY('Daily Schedule'!$B$2,2)=7),IFERROR(1*'Daily Workforce'!$K147&gt;=3,FALSE()),IFERROR(1*'Daily Workforce'!$K147&gt;=2,FALSE())),IF(AND('Daily Schedule'!$A33&gt;=46,'Daily Schedule'!$A33&lt;=52),'Daily Workforce'!$M147="Y",IFERROR(1*'Daily Workforce'!$P147&gt;=2,FALSE()))))),1,0)</f>
        <v>0</v>
      </c>
      <c r="FC29" s="1" t="n">
        <f aca="false">IF(AND('Daily Workforce'!$N148="Y",'Daily Workforce'!$B148&lt;&gt;"",COUNTIF('Daily Schedule'!$F$5:$F32,'Daily Workforce'!$B148)=0,IF('Daily Schedule'!$A33=45,'Daily Workforce'!$J148="Y",IF(OR('Daily Schedule'!$A33=4,'Daily Schedule'!$A33=8),IF(OR(WEEKDAY('Daily Schedule'!$B$2,2)=1,WEEKDAY('Daily Schedule'!$B$2,2)=4,WEEKDAY('Daily Schedule'!$B$2,2)=5,WEEKDAY('Daily Schedule'!$B$2,2)=7),IFERROR(1*'Daily Workforce'!$K148&gt;=3,FALSE()),IFERROR(1*'Daily Workforce'!$K148&gt;=2,FALSE())),IF(AND('Daily Schedule'!$A33&gt;=46,'Daily Schedule'!$A33&lt;=52),'Daily Workforce'!$M148="Y",IFERROR(1*'Daily Workforce'!$P148&gt;=2,FALSE()))))),1,0)</f>
        <v>0</v>
      </c>
      <c r="FD29" s="1" t="n">
        <f aca="false">IF(AND('Daily Workforce'!$N149="Y",'Daily Workforce'!$B149&lt;&gt;"",COUNTIF('Daily Schedule'!$F$5:$F32,'Daily Workforce'!$B149)=0,IF('Daily Schedule'!$A33=45,'Daily Workforce'!$J149="Y",IF(OR('Daily Schedule'!$A33=4,'Daily Schedule'!$A33=8),IF(OR(WEEKDAY('Daily Schedule'!$B$2,2)=1,WEEKDAY('Daily Schedule'!$B$2,2)=4,WEEKDAY('Daily Schedule'!$B$2,2)=5,WEEKDAY('Daily Schedule'!$B$2,2)=7),IFERROR(1*'Daily Workforce'!$K149&gt;=3,FALSE()),IFERROR(1*'Daily Workforce'!$K149&gt;=2,FALSE())),IF(AND('Daily Schedule'!$A33&gt;=46,'Daily Schedule'!$A33&lt;=52),'Daily Workforce'!$M149="Y",IFERROR(1*'Daily Workforce'!$P149&gt;=2,FALSE()))))),1,0)</f>
        <v>0</v>
      </c>
      <c r="FE29" s="1" t="n">
        <f aca="false">IF(AND('Daily Workforce'!$N150="Y",'Daily Workforce'!$B150&lt;&gt;"",COUNTIF('Daily Schedule'!$F$5:$F32,'Daily Workforce'!$B150)=0,IF('Daily Schedule'!$A33=45,'Daily Workforce'!$J150="Y",IF(OR('Daily Schedule'!$A33=4,'Daily Schedule'!$A33=8),IF(OR(WEEKDAY('Daily Schedule'!$B$2,2)=1,WEEKDAY('Daily Schedule'!$B$2,2)=4,WEEKDAY('Daily Schedule'!$B$2,2)=5,WEEKDAY('Daily Schedule'!$B$2,2)=7),IFERROR(1*'Daily Workforce'!$K150&gt;=3,FALSE()),IFERROR(1*'Daily Workforce'!$K150&gt;=2,FALSE())),IF(AND('Daily Schedule'!$A33&gt;=46,'Daily Schedule'!$A33&lt;=52),'Daily Workforce'!$M150="Y",IFERROR(1*'Daily Workforce'!$P150&gt;=2,FALSE()))))),1,0)</f>
        <v>0</v>
      </c>
      <c r="FF29" s="1" t="n">
        <f aca="false">IF(AND('Daily Workforce'!$N151="Y",'Daily Workforce'!$B151&lt;&gt;"",COUNTIF('Daily Schedule'!$F$5:$F32,'Daily Workforce'!$B151)=0,IF('Daily Schedule'!$A33=45,'Daily Workforce'!$J151="Y",IF(OR('Daily Schedule'!$A33=4,'Daily Schedule'!$A33=8),IF(OR(WEEKDAY('Daily Schedule'!$B$2,2)=1,WEEKDAY('Daily Schedule'!$B$2,2)=4,WEEKDAY('Daily Schedule'!$B$2,2)=5,WEEKDAY('Daily Schedule'!$B$2,2)=7),IFERROR(1*'Daily Workforce'!$K151&gt;=3,FALSE()),IFERROR(1*'Daily Workforce'!$K151&gt;=2,FALSE())),IF(AND('Daily Schedule'!$A33&gt;=46,'Daily Schedule'!$A33&lt;=52),'Daily Workforce'!$M151="Y",IFERROR(1*'Daily Workforce'!$P151&gt;=2,FALSE()))))),1,0)</f>
        <v>0</v>
      </c>
      <c r="FG29" s="1" t="n">
        <f aca="false">IF(AND('Daily Workforce'!$N152="Y",'Daily Workforce'!$B152&lt;&gt;"",COUNTIF('Daily Schedule'!$F$5:$F32,'Daily Workforce'!$B152)=0,IF('Daily Schedule'!$A33=45,'Daily Workforce'!$J152="Y",IF(OR('Daily Schedule'!$A33=4,'Daily Schedule'!$A33=8),IF(OR(WEEKDAY('Daily Schedule'!$B$2,2)=1,WEEKDAY('Daily Schedule'!$B$2,2)=4,WEEKDAY('Daily Schedule'!$B$2,2)=5,WEEKDAY('Daily Schedule'!$B$2,2)=7),IFERROR(1*'Daily Workforce'!$K152&gt;=3,FALSE()),IFERROR(1*'Daily Workforce'!$K152&gt;=2,FALSE())),IF(AND('Daily Schedule'!$A33&gt;=46,'Daily Schedule'!$A33&lt;=52),'Daily Workforce'!$M152="Y",IFERROR(1*'Daily Workforce'!$P152&gt;=2,FALSE()))))),1,0)</f>
        <v>0</v>
      </c>
      <c r="FH29" s="1" t="n">
        <f aca="false">IF(AND('Daily Workforce'!$N153="Y",'Daily Workforce'!$B153&lt;&gt;"",COUNTIF('Daily Schedule'!$F$5:$F32,'Daily Workforce'!$B153)=0,IF('Daily Schedule'!$A33=45,'Daily Workforce'!$J153="Y",IF(OR('Daily Schedule'!$A33=4,'Daily Schedule'!$A33=8),IF(OR(WEEKDAY('Daily Schedule'!$B$2,2)=1,WEEKDAY('Daily Schedule'!$B$2,2)=4,WEEKDAY('Daily Schedule'!$B$2,2)=5,WEEKDAY('Daily Schedule'!$B$2,2)=7),IFERROR(1*'Daily Workforce'!$K153&gt;=3,FALSE()),IFERROR(1*'Daily Workforce'!$K153&gt;=2,FALSE())),IF(AND('Daily Schedule'!$A33&gt;=46,'Daily Schedule'!$A33&lt;=52),'Daily Workforce'!$M153="Y",IFERROR(1*'Daily Workforce'!$P153&gt;=2,FALSE()))))),1,0)</f>
        <v>0</v>
      </c>
      <c r="FI29" s="1" t="n">
        <f aca="false">IF(AND('Daily Workforce'!$N154="Y",'Daily Workforce'!$B154&lt;&gt;"",COUNTIF('Daily Schedule'!$F$5:$F32,'Daily Workforce'!$B154)=0,IF('Daily Schedule'!$A33=45,'Daily Workforce'!$J154="Y",IF(OR('Daily Schedule'!$A33=4,'Daily Schedule'!$A33=8),IF(OR(WEEKDAY('Daily Schedule'!$B$2,2)=1,WEEKDAY('Daily Schedule'!$B$2,2)=4,WEEKDAY('Daily Schedule'!$B$2,2)=5,WEEKDAY('Daily Schedule'!$B$2,2)=7),IFERROR(1*'Daily Workforce'!$K154&gt;=3,FALSE()),IFERROR(1*'Daily Workforce'!$K154&gt;=2,FALSE())),IF(AND('Daily Schedule'!$A33&gt;=46,'Daily Schedule'!$A33&lt;=52),'Daily Workforce'!$M154="Y",IFERROR(1*'Daily Workforce'!$P154&gt;=2,FALSE()))))),1,0)</f>
        <v>0</v>
      </c>
      <c r="FJ29" s="1" t="n">
        <f aca="false">IF(AND('Daily Workforce'!$N155="Y",'Daily Workforce'!$B155&lt;&gt;"",COUNTIF('Daily Schedule'!$F$5:$F32,'Daily Workforce'!$B155)=0,IF('Daily Schedule'!$A33=45,'Daily Workforce'!$J155="Y",IF(OR('Daily Schedule'!$A33=4,'Daily Schedule'!$A33=8),IF(OR(WEEKDAY('Daily Schedule'!$B$2,2)=1,WEEKDAY('Daily Schedule'!$B$2,2)=4,WEEKDAY('Daily Schedule'!$B$2,2)=5,WEEKDAY('Daily Schedule'!$B$2,2)=7),IFERROR(1*'Daily Workforce'!$K155&gt;=3,FALSE()),IFERROR(1*'Daily Workforce'!$K155&gt;=2,FALSE())),IF(AND('Daily Schedule'!$A33&gt;=46,'Daily Schedule'!$A33&lt;=52),'Daily Workforce'!$M155="Y",IFERROR(1*'Daily Workforce'!$P155&gt;=2,FALSE()))))),1,0)</f>
        <v>0</v>
      </c>
      <c r="FK29" s="1" t="n">
        <f aca="false">IF(AND('Daily Workforce'!$N156="Y",'Daily Workforce'!$B156&lt;&gt;"",COUNTIF('Daily Schedule'!$F$5:$F32,'Daily Workforce'!$B156)=0,IF('Daily Schedule'!$A33=45,'Daily Workforce'!$J156="Y",IF(OR('Daily Schedule'!$A33=4,'Daily Schedule'!$A33=8),IF(OR(WEEKDAY('Daily Schedule'!$B$2,2)=1,WEEKDAY('Daily Schedule'!$B$2,2)=4,WEEKDAY('Daily Schedule'!$B$2,2)=5,WEEKDAY('Daily Schedule'!$B$2,2)=7),IFERROR(1*'Daily Workforce'!$K156&gt;=3,FALSE()),IFERROR(1*'Daily Workforce'!$K156&gt;=2,FALSE())),IF(AND('Daily Schedule'!$A33&gt;=46,'Daily Schedule'!$A33&lt;=52),'Daily Workforce'!$M156="Y",IFERROR(1*'Daily Workforce'!$P156&gt;=2,FALSE()))))),1,0)</f>
        <v>0</v>
      </c>
      <c r="FL29" s="1" t="n">
        <f aca="false">IF(AND('Daily Workforce'!$N157="Y",'Daily Workforce'!$B157&lt;&gt;"",COUNTIF('Daily Schedule'!$F$5:$F32,'Daily Workforce'!$B157)=0,IF('Daily Schedule'!$A33=45,'Daily Workforce'!$J157="Y",IF(OR('Daily Schedule'!$A33=4,'Daily Schedule'!$A33=8),IF(OR(WEEKDAY('Daily Schedule'!$B$2,2)=1,WEEKDAY('Daily Schedule'!$B$2,2)=4,WEEKDAY('Daily Schedule'!$B$2,2)=5,WEEKDAY('Daily Schedule'!$B$2,2)=7),IFERROR(1*'Daily Workforce'!$K157&gt;=3,FALSE()),IFERROR(1*'Daily Workforce'!$K157&gt;=2,FALSE())),IF(AND('Daily Schedule'!$A33&gt;=46,'Daily Schedule'!$A33&lt;=52),'Daily Workforce'!$M157="Y",IFERROR(1*'Daily Workforce'!$P157&gt;=2,FALSE()))))),1,0)</f>
        <v>0</v>
      </c>
      <c r="FM29" s="1" t="n">
        <f aca="false">IF(AND('Daily Workforce'!$N158="Y",'Daily Workforce'!$B158&lt;&gt;"",COUNTIF('Daily Schedule'!$F$5:$F32,'Daily Workforce'!$B158)=0,IF('Daily Schedule'!$A33=45,'Daily Workforce'!$J158="Y",IF(OR('Daily Schedule'!$A33=4,'Daily Schedule'!$A33=8),IF(OR(WEEKDAY('Daily Schedule'!$B$2,2)=1,WEEKDAY('Daily Schedule'!$B$2,2)=4,WEEKDAY('Daily Schedule'!$B$2,2)=5,WEEKDAY('Daily Schedule'!$B$2,2)=7),IFERROR(1*'Daily Workforce'!$K158&gt;=3,FALSE()),IFERROR(1*'Daily Workforce'!$K158&gt;=2,FALSE())),IF(AND('Daily Schedule'!$A33&gt;=46,'Daily Schedule'!$A33&lt;=52),'Daily Workforce'!$M158="Y",IFERROR(1*'Daily Workforce'!$P158&gt;=2,FALSE()))))),1,0)</f>
        <v>0</v>
      </c>
      <c r="FN29" s="1" t="n">
        <f aca="false">IF(AND('Daily Workforce'!$N159="Y",'Daily Workforce'!$B159&lt;&gt;"",COUNTIF('Daily Schedule'!$F$5:$F32,'Daily Workforce'!$B159)=0,IF('Daily Schedule'!$A33=45,'Daily Workforce'!$J159="Y",IF(OR('Daily Schedule'!$A33=4,'Daily Schedule'!$A33=8),IF(OR(WEEKDAY('Daily Schedule'!$B$2,2)=1,WEEKDAY('Daily Schedule'!$B$2,2)=4,WEEKDAY('Daily Schedule'!$B$2,2)=5,WEEKDAY('Daily Schedule'!$B$2,2)=7),IFERROR(1*'Daily Workforce'!$K159&gt;=3,FALSE()),IFERROR(1*'Daily Workforce'!$K159&gt;=2,FALSE())),IF(AND('Daily Schedule'!$A33&gt;=46,'Daily Schedule'!$A33&lt;=52),'Daily Workforce'!$M159="Y",IFERROR(1*'Daily Workforce'!$P159&gt;=2,FALSE()))))),1,0)</f>
        <v>0</v>
      </c>
      <c r="FO29" s="1" t="n">
        <f aca="false">IF(AND('Daily Workforce'!$N160="Y",'Daily Workforce'!$B160&lt;&gt;"",COUNTIF('Daily Schedule'!$F$5:$F32,'Daily Workforce'!$B160)=0,IF('Daily Schedule'!$A33=45,'Daily Workforce'!$J160="Y",IF(OR('Daily Schedule'!$A33=4,'Daily Schedule'!$A33=8),IF(OR(WEEKDAY('Daily Schedule'!$B$2,2)=1,WEEKDAY('Daily Schedule'!$B$2,2)=4,WEEKDAY('Daily Schedule'!$B$2,2)=5,WEEKDAY('Daily Schedule'!$B$2,2)=7),IFERROR(1*'Daily Workforce'!$K160&gt;=3,FALSE()),IFERROR(1*'Daily Workforce'!$K160&gt;=2,FALSE())),IF(AND('Daily Schedule'!$A33&gt;=46,'Daily Schedule'!$A33&lt;=52),'Daily Workforce'!$M160="Y",IFERROR(1*'Daily Workforce'!$P160&gt;=2,FALSE()))))),1,0)</f>
        <v>0</v>
      </c>
      <c r="FP29" s="1" t="n">
        <f aca="false">IF(AND('Daily Workforce'!$N161="Y",'Daily Workforce'!$B161&lt;&gt;"",COUNTIF('Daily Schedule'!$F$5:$F32,'Daily Workforce'!$B161)=0,IF('Daily Schedule'!$A33=45,'Daily Workforce'!$J161="Y",IF(OR('Daily Schedule'!$A33=4,'Daily Schedule'!$A33=8),IF(OR(WEEKDAY('Daily Schedule'!$B$2,2)=1,WEEKDAY('Daily Schedule'!$B$2,2)=4,WEEKDAY('Daily Schedule'!$B$2,2)=5,WEEKDAY('Daily Schedule'!$B$2,2)=7),IFERROR(1*'Daily Workforce'!$K161&gt;=3,FALSE()),IFERROR(1*'Daily Workforce'!$K161&gt;=2,FALSE())),IF(AND('Daily Schedule'!$A33&gt;=46,'Daily Schedule'!$A33&lt;=52),'Daily Workforce'!$M161="Y",IFERROR(1*'Daily Workforce'!$P161&gt;=2,FALSE()))))),1,0)</f>
        <v>0</v>
      </c>
      <c r="FQ29" s="1" t="n">
        <f aca="false">IF(AND('Daily Workforce'!$N162="Y",'Daily Workforce'!$B162&lt;&gt;"",COUNTIF('Daily Schedule'!$F$5:$F32,'Daily Workforce'!$B162)=0,IF('Daily Schedule'!$A33=45,'Daily Workforce'!$J162="Y",IF(OR('Daily Schedule'!$A33=4,'Daily Schedule'!$A33=8),IF(OR(WEEKDAY('Daily Schedule'!$B$2,2)=1,WEEKDAY('Daily Schedule'!$B$2,2)=4,WEEKDAY('Daily Schedule'!$B$2,2)=5,WEEKDAY('Daily Schedule'!$B$2,2)=7),IFERROR(1*'Daily Workforce'!$K162&gt;=3,FALSE()),IFERROR(1*'Daily Workforce'!$K162&gt;=2,FALSE())),IF(AND('Daily Schedule'!$A33&gt;=46,'Daily Schedule'!$A33&lt;=52),'Daily Workforce'!$M162="Y",IFERROR(1*'Daily Workforce'!$P162&gt;=2,FALSE()))))),1,0)</f>
        <v>0</v>
      </c>
      <c r="FR29" s="1" t="n">
        <f aca="false">IF(AND('Daily Workforce'!$N163="Y",'Daily Workforce'!$B163&lt;&gt;"",COUNTIF('Daily Schedule'!$F$5:$F32,'Daily Workforce'!$B163)=0,IF('Daily Schedule'!$A33=45,'Daily Workforce'!$J163="Y",IF(OR('Daily Schedule'!$A33=4,'Daily Schedule'!$A33=8),IF(OR(WEEKDAY('Daily Schedule'!$B$2,2)=1,WEEKDAY('Daily Schedule'!$B$2,2)=4,WEEKDAY('Daily Schedule'!$B$2,2)=5,WEEKDAY('Daily Schedule'!$B$2,2)=7),IFERROR(1*'Daily Workforce'!$K163&gt;=3,FALSE()),IFERROR(1*'Daily Workforce'!$K163&gt;=2,FALSE())),IF(AND('Daily Schedule'!$A33&gt;=46,'Daily Schedule'!$A33&lt;=52),'Daily Workforce'!$M163="Y",IFERROR(1*'Daily Workforce'!$P163&gt;=2,FALSE()))))),1,0)</f>
        <v>0</v>
      </c>
      <c r="FS29" s="1" t="n">
        <f aca="false">IF(AND('Daily Workforce'!$N164="Y",'Daily Workforce'!$B164&lt;&gt;"",COUNTIF('Daily Schedule'!$F$5:$F32,'Daily Workforce'!$B164)=0,IF('Daily Schedule'!$A33=45,'Daily Workforce'!$J164="Y",IF(OR('Daily Schedule'!$A33=4,'Daily Schedule'!$A33=8),IF(OR(WEEKDAY('Daily Schedule'!$B$2,2)=1,WEEKDAY('Daily Schedule'!$B$2,2)=4,WEEKDAY('Daily Schedule'!$B$2,2)=5,WEEKDAY('Daily Schedule'!$B$2,2)=7),IFERROR(1*'Daily Workforce'!$K164&gt;=3,FALSE()),IFERROR(1*'Daily Workforce'!$K164&gt;=2,FALSE())),IF(AND('Daily Schedule'!$A33&gt;=46,'Daily Schedule'!$A33&lt;=52),'Daily Workforce'!$M164="Y",IFERROR(1*'Daily Workforce'!$P164&gt;=2,FALSE()))))),1,0)</f>
        <v>0</v>
      </c>
      <c r="FT29" s="1" t="n">
        <f aca="false">IF(AND('Daily Workforce'!$N165="Y",'Daily Workforce'!$B165&lt;&gt;"",COUNTIF('Daily Schedule'!$F$5:$F32,'Daily Workforce'!$B165)=0,IF('Daily Schedule'!$A33=45,'Daily Workforce'!$J165="Y",IF(OR('Daily Schedule'!$A33=4,'Daily Schedule'!$A33=8),IF(OR(WEEKDAY('Daily Schedule'!$B$2,2)=1,WEEKDAY('Daily Schedule'!$B$2,2)=4,WEEKDAY('Daily Schedule'!$B$2,2)=5,WEEKDAY('Daily Schedule'!$B$2,2)=7),IFERROR(1*'Daily Workforce'!$K165&gt;=3,FALSE()),IFERROR(1*'Daily Workforce'!$K165&gt;=2,FALSE())),IF(AND('Daily Schedule'!$A33&gt;=46,'Daily Schedule'!$A33&lt;=52),'Daily Workforce'!$M165="Y",IFERROR(1*'Daily Workforce'!$P165&gt;=2,FALSE()))))),1,0)</f>
        <v>0</v>
      </c>
      <c r="FU29" s="1" t="n">
        <f aca="false">IF(AND('Daily Workforce'!$N166="Y",'Daily Workforce'!$B166&lt;&gt;"",COUNTIF('Daily Schedule'!$F$5:$F32,'Daily Workforce'!$B166)=0,IF('Daily Schedule'!$A33=45,'Daily Workforce'!$J166="Y",IF(OR('Daily Schedule'!$A33=4,'Daily Schedule'!$A33=8),IF(OR(WEEKDAY('Daily Schedule'!$B$2,2)=1,WEEKDAY('Daily Schedule'!$B$2,2)=4,WEEKDAY('Daily Schedule'!$B$2,2)=5,WEEKDAY('Daily Schedule'!$B$2,2)=7),IFERROR(1*'Daily Workforce'!$K166&gt;=3,FALSE()),IFERROR(1*'Daily Workforce'!$K166&gt;=2,FALSE())),IF(AND('Daily Schedule'!$A33&gt;=46,'Daily Schedule'!$A33&lt;=52),'Daily Workforce'!$M166="Y",IFERROR(1*'Daily Workforce'!$P166&gt;=2,FALSE()))))),1,0)</f>
        <v>0</v>
      </c>
      <c r="FV29" s="1" t="n">
        <f aca="false">IF(AND('Daily Workforce'!$N167="Y",'Daily Workforce'!$B167&lt;&gt;"",COUNTIF('Daily Schedule'!$F$5:$F32,'Daily Workforce'!$B167)=0,IF('Daily Schedule'!$A33=45,'Daily Workforce'!$J167="Y",IF(OR('Daily Schedule'!$A33=4,'Daily Schedule'!$A33=8),IF(OR(WEEKDAY('Daily Schedule'!$B$2,2)=1,WEEKDAY('Daily Schedule'!$B$2,2)=4,WEEKDAY('Daily Schedule'!$B$2,2)=5,WEEKDAY('Daily Schedule'!$B$2,2)=7),IFERROR(1*'Daily Workforce'!$K167&gt;=3,FALSE()),IFERROR(1*'Daily Workforce'!$K167&gt;=2,FALSE())),IF(AND('Daily Schedule'!$A33&gt;=46,'Daily Schedule'!$A33&lt;=52),'Daily Workforce'!$M167="Y",IFERROR(1*'Daily Workforce'!$P167&gt;=2,FALSE()))))),1,0)</f>
        <v>0</v>
      </c>
      <c r="FW29" s="1" t="n">
        <f aca="false">IF(AND('Daily Workforce'!$N168="Y",'Daily Workforce'!$B168&lt;&gt;"",COUNTIF('Daily Schedule'!$F$5:$F32,'Daily Workforce'!$B168)=0,IF('Daily Schedule'!$A33=45,'Daily Workforce'!$J168="Y",IF(OR('Daily Schedule'!$A33=4,'Daily Schedule'!$A33=8),IF(OR(WEEKDAY('Daily Schedule'!$B$2,2)=1,WEEKDAY('Daily Schedule'!$B$2,2)=4,WEEKDAY('Daily Schedule'!$B$2,2)=5,WEEKDAY('Daily Schedule'!$B$2,2)=7),IFERROR(1*'Daily Workforce'!$K168&gt;=3,FALSE()),IFERROR(1*'Daily Workforce'!$K168&gt;=2,FALSE())),IF(AND('Daily Schedule'!$A33&gt;=46,'Daily Schedule'!$A33&lt;=52),'Daily Workforce'!$M168="Y",IFERROR(1*'Daily Workforce'!$P168&gt;=2,FALSE()))))),1,0)</f>
        <v>0</v>
      </c>
      <c r="FX29" s="1" t="n">
        <f aca="false">IF(AND('Daily Workforce'!$N169="Y",'Daily Workforce'!$B169&lt;&gt;"",COUNTIF('Daily Schedule'!$F$5:$F32,'Daily Workforce'!$B169)=0,IF('Daily Schedule'!$A33=45,'Daily Workforce'!$J169="Y",IF(OR('Daily Schedule'!$A33=4,'Daily Schedule'!$A33=8),IF(OR(WEEKDAY('Daily Schedule'!$B$2,2)=1,WEEKDAY('Daily Schedule'!$B$2,2)=4,WEEKDAY('Daily Schedule'!$B$2,2)=5,WEEKDAY('Daily Schedule'!$B$2,2)=7),IFERROR(1*'Daily Workforce'!$K169&gt;=3,FALSE()),IFERROR(1*'Daily Workforce'!$K169&gt;=2,FALSE())),IF(AND('Daily Schedule'!$A33&gt;=46,'Daily Schedule'!$A33&lt;=52),'Daily Workforce'!$M169="Y",IFERROR(1*'Daily Workforce'!$P169&gt;=2,FALSE()))))),1,0)</f>
        <v>0</v>
      </c>
      <c r="FY29" s="1" t="n">
        <f aca="false">IF(AND('Daily Workforce'!$N170="Y",'Daily Workforce'!$B170&lt;&gt;"",COUNTIF('Daily Schedule'!$F$5:$F32,'Daily Workforce'!$B170)=0,IF('Daily Schedule'!$A33=45,'Daily Workforce'!$J170="Y",IF(OR('Daily Schedule'!$A33=4,'Daily Schedule'!$A33=8),IF(OR(WEEKDAY('Daily Schedule'!$B$2,2)=1,WEEKDAY('Daily Schedule'!$B$2,2)=4,WEEKDAY('Daily Schedule'!$B$2,2)=5,WEEKDAY('Daily Schedule'!$B$2,2)=7),IFERROR(1*'Daily Workforce'!$K170&gt;=3,FALSE()),IFERROR(1*'Daily Workforce'!$K170&gt;=2,FALSE())),IF(AND('Daily Schedule'!$A33&gt;=46,'Daily Schedule'!$A33&lt;=52),'Daily Workforce'!$M170="Y",IFERROR(1*'Daily Workforce'!$P170&gt;=2,FALSE()))))),1,0)</f>
        <v>0</v>
      </c>
      <c r="FZ29" s="1" t="n">
        <f aca="false">IF(AND('Daily Workforce'!$N171="Y",'Daily Workforce'!$B171&lt;&gt;"",COUNTIF('Daily Schedule'!$F$5:$F32,'Daily Workforce'!$B171)=0,IF('Daily Schedule'!$A33=45,'Daily Workforce'!$J171="Y",IF(OR('Daily Schedule'!$A33=4,'Daily Schedule'!$A33=8),IF(OR(WEEKDAY('Daily Schedule'!$B$2,2)=1,WEEKDAY('Daily Schedule'!$B$2,2)=4,WEEKDAY('Daily Schedule'!$B$2,2)=5,WEEKDAY('Daily Schedule'!$B$2,2)=7),IFERROR(1*'Daily Workforce'!$K171&gt;=3,FALSE()),IFERROR(1*'Daily Workforce'!$K171&gt;=2,FALSE())),IF(AND('Daily Schedule'!$A33&gt;=46,'Daily Schedule'!$A33&lt;=52),'Daily Workforce'!$M171="Y",IFERROR(1*'Daily Workforce'!$P171&gt;=2,FALSE()))))),1,0)</f>
        <v>0</v>
      </c>
      <c r="GA29" s="1" t="n">
        <f aca="false">IF(AND('Daily Workforce'!$N172="Y",'Daily Workforce'!$B172&lt;&gt;"",COUNTIF('Daily Schedule'!$F$5:$F32,'Daily Workforce'!$B172)=0,IF('Daily Schedule'!$A33=45,'Daily Workforce'!$J172="Y",IF(OR('Daily Schedule'!$A33=4,'Daily Schedule'!$A33=8),IF(OR(WEEKDAY('Daily Schedule'!$B$2,2)=1,WEEKDAY('Daily Schedule'!$B$2,2)=4,WEEKDAY('Daily Schedule'!$B$2,2)=5,WEEKDAY('Daily Schedule'!$B$2,2)=7),IFERROR(1*'Daily Workforce'!$K172&gt;=3,FALSE()),IFERROR(1*'Daily Workforce'!$K172&gt;=2,FALSE())),IF(AND('Daily Schedule'!$A33&gt;=46,'Daily Schedule'!$A33&lt;=52),'Daily Workforce'!$M172="Y",IFERROR(1*'Daily Workforce'!$P172&gt;=2,FALSE()))))),1,0)</f>
        <v>0</v>
      </c>
      <c r="GB29" s="1" t="n">
        <f aca="false">IF(AND('Daily Workforce'!$N173="Y",'Daily Workforce'!$B173&lt;&gt;"",COUNTIF('Daily Schedule'!$F$5:$F32,'Daily Workforce'!$B173)=0,IF('Daily Schedule'!$A33=45,'Daily Workforce'!$J173="Y",IF(OR('Daily Schedule'!$A33=4,'Daily Schedule'!$A33=8),IF(OR(WEEKDAY('Daily Schedule'!$B$2,2)=1,WEEKDAY('Daily Schedule'!$B$2,2)=4,WEEKDAY('Daily Schedule'!$B$2,2)=5,WEEKDAY('Daily Schedule'!$B$2,2)=7),IFERROR(1*'Daily Workforce'!$K173&gt;=3,FALSE()),IFERROR(1*'Daily Workforce'!$K173&gt;=2,FALSE())),IF(AND('Daily Schedule'!$A33&gt;=46,'Daily Schedule'!$A33&lt;=52),'Daily Workforce'!$M173="Y",IFERROR(1*'Daily Workforce'!$P173&gt;=2,FALSE()))))),1,0)</f>
        <v>0</v>
      </c>
      <c r="GC29" s="1" t="n">
        <f aca="false">IF(AND('Daily Workforce'!$N174="Y",'Daily Workforce'!$B174&lt;&gt;"",COUNTIF('Daily Schedule'!$F$5:$F32,'Daily Workforce'!$B174)=0,IF('Daily Schedule'!$A33=45,'Daily Workforce'!$J174="Y",IF(OR('Daily Schedule'!$A33=4,'Daily Schedule'!$A33=8),IF(OR(WEEKDAY('Daily Schedule'!$B$2,2)=1,WEEKDAY('Daily Schedule'!$B$2,2)=4,WEEKDAY('Daily Schedule'!$B$2,2)=5,WEEKDAY('Daily Schedule'!$B$2,2)=7),IFERROR(1*'Daily Workforce'!$K174&gt;=3,FALSE()),IFERROR(1*'Daily Workforce'!$K174&gt;=2,FALSE())),IF(AND('Daily Schedule'!$A33&gt;=46,'Daily Schedule'!$A33&lt;=52),'Daily Workforce'!$M174="Y",IFERROR(1*'Daily Workforce'!$P174&gt;=2,FALSE()))))),1,0)</f>
        <v>0</v>
      </c>
      <c r="GD29" s="1" t="n">
        <f aca="false">IF(AND('Daily Workforce'!$N175="Y",'Daily Workforce'!$B175&lt;&gt;"",COUNTIF('Daily Schedule'!$F$5:$F32,'Daily Workforce'!$B175)=0,IF('Daily Schedule'!$A33=45,'Daily Workforce'!$J175="Y",IF(OR('Daily Schedule'!$A33=4,'Daily Schedule'!$A33=8),IF(OR(WEEKDAY('Daily Schedule'!$B$2,2)=1,WEEKDAY('Daily Schedule'!$B$2,2)=4,WEEKDAY('Daily Schedule'!$B$2,2)=5,WEEKDAY('Daily Schedule'!$B$2,2)=7),IFERROR(1*'Daily Workforce'!$K175&gt;=3,FALSE()),IFERROR(1*'Daily Workforce'!$K175&gt;=2,FALSE())),IF(AND('Daily Schedule'!$A33&gt;=46,'Daily Schedule'!$A33&lt;=52),'Daily Workforce'!$M175="Y",IFERROR(1*'Daily Workforce'!$P175&gt;=2,FALSE()))))),1,0)</f>
        <v>0</v>
      </c>
      <c r="GE29" s="1" t="n">
        <f aca="false">IF(AND('Daily Workforce'!$N176="Y",'Daily Workforce'!$B176&lt;&gt;"",COUNTIF('Daily Schedule'!$F$5:$F32,'Daily Workforce'!$B176)=0,IF('Daily Schedule'!$A33=45,'Daily Workforce'!$J176="Y",IF(OR('Daily Schedule'!$A33=4,'Daily Schedule'!$A33=8),IF(OR(WEEKDAY('Daily Schedule'!$B$2,2)=1,WEEKDAY('Daily Schedule'!$B$2,2)=4,WEEKDAY('Daily Schedule'!$B$2,2)=5,WEEKDAY('Daily Schedule'!$B$2,2)=7),IFERROR(1*'Daily Workforce'!$K176&gt;=3,FALSE()),IFERROR(1*'Daily Workforce'!$K176&gt;=2,FALSE())),IF(AND('Daily Schedule'!$A33&gt;=46,'Daily Schedule'!$A33&lt;=52),'Daily Workforce'!$M176="Y",IFERROR(1*'Daily Workforce'!$P176&gt;=2,FALSE()))))),1,0)</f>
        <v>0</v>
      </c>
      <c r="GF29" s="1" t="n">
        <f aca="false">IF(AND('Daily Workforce'!$N177="Y",'Daily Workforce'!$B177&lt;&gt;"",COUNTIF('Daily Schedule'!$F$5:$F32,'Daily Workforce'!$B177)=0,IF('Daily Schedule'!$A33=45,'Daily Workforce'!$J177="Y",IF(OR('Daily Schedule'!$A33=4,'Daily Schedule'!$A33=8),IF(OR(WEEKDAY('Daily Schedule'!$B$2,2)=1,WEEKDAY('Daily Schedule'!$B$2,2)=4,WEEKDAY('Daily Schedule'!$B$2,2)=5,WEEKDAY('Daily Schedule'!$B$2,2)=7),IFERROR(1*'Daily Workforce'!$K177&gt;=3,FALSE()),IFERROR(1*'Daily Workforce'!$K177&gt;=2,FALSE())),IF(AND('Daily Schedule'!$A33&gt;=46,'Daily Schedule'!$A33&lt;=52),'Daily Workforce'!$M177="Y",IFERROR(1*'Daily Workforce'!$P177&gt;=2,FALSE()))))),1,0)</f>
        <v>0</v>
      </c>
      <c r="GG29" s="1" t="n">
        <f aca="false">IF(AND('Daily Workforce'!$N178="Y",'Daily Workforce'!$B178&lt;&gt;"",COUNTIF('Daily Schedule'!$F$5:$F32,'Daily Workforce'!$B178)=0,IF('Daily Schedule'!$A33=45,'Daily Workforce'!$J178="Y",IF(OR('Daily Schedule'!$A33=4,'Daily Schedule'!$A33=8),IF(OR(WEEKDAY('Daily Schedule'!$B$2,2)=1,WEEKDAY('Daily Schedule'!$B$2,2)=4,WEEKDAY('Daily Schedule'!$B$2,2)=5,WEEKDAY('Daily Schedule'!$B$2,2)=7),IFERROR(1*'Daily Workforce'!$K178&gt;=3,FALSE()),IFERROR(1*'Daily Workforce'!$K178&gt;=2,FALSE())),IF(AND('Daily Schedule'!$A33&gt;=46,'Daily Schedule'!$A33&lt;=52),'Daily Workforce'!$M178="Y",IFERROR(1*'Daily Workforce'!$P178&gt;=2,FALSE()))))),1,0)</f>
        <v>0</v>
      </c>
      <c r="GH29" s="1" t="n">
        <f aca="false">IF(AND('Daily Workforce'!$N179="Y",'Daily Workforce'!$B179&lt;&gt;"",COUNTIF('Daily Schedule'!$F$5:$F32,'Daily Workforce'!$B179)=0,IF('Daily Schedule'!$A33=45,'Daily Workforce'!$J179="Y",IF(OR('Daily Schedule'!$A33=4,'Daily Schedule'!$A33=8),IF(OR(WEEKDAY('Daily Schedule'!$B$2,2)=1,WEEKDAY('Daily Schedule'!$B$2,2)=4,WEEKDAY('Daily Schedule'!$B$2,2)=5,WEEKDAY('Daily Schedule'!$B$2,2)=7),IFERROR(1*'Daily Workforce'!$K179&gt;=3,FALSE()),IFERROR(1*'Daily Workforce'!$K179&gt;=2,FALSE())),IF(AND('Daily Schedule'!$A33&gt;=46,'Daily Schedule'!$A33&lt;=52),'Daily Workforce'!$M179="Y",IFERROR(1*'Daily Workforce'!$P179&gt;=2,FALSE()))))),1,0)</f>
        <v>0</v>
      </c>
      <c r="GI29" s="1" t="n">
        <f aca="false">IF(AND('Daily Workforce'!$N180="Y",'Daily Workforce'!$B180&lt;&gt;"",COUNTIF('Daily Schedule'!$F$5:$F32,'Daily Workforce'!$B180)=0,IF('Daily Schedule'!$A33=45,'Daily Workforce'!$J180="Y",IF(OR('Daily Schedule'!$A33=4,'Daily Schedule'!$A33=8),IF(OR(WEEKDAY('Daily Schedule'!$B$2,2)=1,WEEKDAY('Daily Schedule'!$B$2,2)=4,WEEKDAY('Daily Schedule'!$B$2,2)=5,WEEKDAY('Daily Schedule'!$B$2,2)=7),IFERROR(1*'Daily Workforce'!$K180&gt;=3,FALSE()),IFERROR(1*'Daily Workforce'!$K180&gt;=2,FALSE())),IF(AND('Daily Schedule'!$A33&gt;=46,'Daily Schedule'!$A33&lt;=52),'Daily Workforce'!$M180="Y",IFERROR(1*'Daily Workforce'!$P180&gt;=2,FALSE()))))),1,0)</f>
        <v>0</v>
      </c>
      <c r="GJ29" s="1" t="n">
        <f aca="false">IF(AND('Daily Workforce'!$N181="Y",'Daily Workforce'!$B181&lt;&gt;"",COUNTIF('Daily Schedule'!$F$5:$F32,'Daily Workforce'!$B181)=0,IF('Daily Schedule'!$A33=45,'Daily Workforce'!$J181="Y",IF(OR('Daily Schedule'!$A33=4,'Daily Schedule'!$A33=8),IF(OR(WEEKDAY('Daily Schedule'!$B$2,2)=1,WEEKDAY('Daily Schedule'!$B$2,2)=4,WEEKDAY('Daily Schedule'!$B$2,2)=5,WEEKDAY('Daily Schedule'!$B$2,2)=7),IFERROR(1*'Daily Workforce'!$K181&gt;=3,FALSE()),IFERROR(1*'Daily Workforce'!$K181&gt;=2,FALSE())),IF(AND('Daily Schedule'!$A33&gt;=46,'Daily Schedule'!$A33&lt;=52),'Daily Workforce'!$M181="Y",IFERROR(1*'Daily Workforce'!$P181&gt;=2,FALSE()))))),1,0)</f>
        <v>0</v>
      </c>
      <c r="GK29" s="1" t="n">
        <f aca="false">IF(AND('Daily Workforce'!$N182="Y",'Daily Workforce'!$B182&lt;&gt;"",COUNTIF('Daily Schedule'!$F$5:$F32,'Daily Workforce'!$B182)=0,IF('Daily Schedule'!$A33=45,'Daily Workforce'!$J182="Y",IF(OR('Daily Schedule'!$A33=4,'Daily Schedule'!$A33=8),IF(OR(WEEKDAY('Daily Schedule'!$B$2,2)=1,WEEKDAY('Daily Schedule'!$B$2,2)=4,WEEKDAY('Daily Schedule'!$B$2,2)=5,WEEKDAY('Daily Schedule'!$B$2,2)=7),IFERROR(1*'Daily Workforce'!$K182&gt;=3,FALSE()),IFERROR(1*'Daily Workforce'!$K182&gt;=2,FALSE())),IF(AND('Daily Schedule'!$A33&gt;=46,'Daily Schedule'!$A33&lt;=52),'Daily Workforce'!$M182="Y",IFERROR(1*'Daily Workforce'!$P182&gt;=2,FALSE()))))),1,0)</f>
        <v>0</v>
      </c>
      <c r="GL29" s="1" t="n">
        <f aca="false">IF(AND('Daily Workforce'!$N183="Y",'Daily Workforce'!$B183&lt;&gt;"",COUNTIF('Daily Schedule'!$F$5:$F32,'Daily Workforce'!$B183)=0,IF('Daily Schedule'!$A33=45,'Daily Workforce'!$J183="Y",IF(OR('Daily Schedule'!$A33=4,'Daily Schedule'!$A33=8),IF(OR(WEEKDAY('Daily Schedule'!$B$2,2)=1,WEEKDAY('Daily Schedule'!$B$2,2)=4,WEEKDAY('Daily Schedule'!$B$2,2)=5,WEEKDAY('Daily Schedule'!$B$2,2)=7),IFERROR(1*'Daily Workforce'!$K183&gt;=3,FALSE()),IFERROR(1*'Daily Workforce'!$K183&gt;=2,FALSE())),IF(AND('Daily Schedule'!$A33&gt;=46,'Daily Schedule'!$A33&lt;=52),'Daily Workforce'!$M183="Y",IFERROR(1*'Daily Workforce'!$P183&gt;=2,FALSE()))))),1,0)</f>
        <v>0</v>
      </c>
      <c r="GM29" s="1" t="n">
        <f aca="false">IF(AND('Daily Workforce'!$N184="Y",'Daily Workforce'!$B184&lt;&gt;"",COUNTIF('Daily Schedule'!$F$5:$F32,'Daily Workforce'!$B184)=0,IF('Daily Schedule'!$A33=45,'Daily Workforce'!$J184="Y",IF(OR('Daily Schedule'!$A33=4,'Daily Schedule'!$A33=8),IF(OR(WEEKDAY('Daily Schedule'!$B$2,2)=1,WEEKDAY('Daily Schedule'!$B$2,2)=4,WEEKDAY('Daily Schedule'!$B$2,2)=5,WEEKDAY('Daily Schedule'!$B$2,2)=7),IFERROR(1*'Daily Workforce'!$K184&gt;=3,FALSE()),IFERROR(1*'Daily Workforce'!$K184&gt;=2,FALSE())),IF(AND('Daily Schedule'!$A33&gt;=46,'Daily Schedule'!$A33&lt;=52),'Daily Workforce'!$M184="Y",IFERROR(1*'Daily Workforce'!$P184&gt;=2,FALSE()))))),1,0)</f>
        <v>0</v>
      </c>
      <c r="GN29" s="1" t="n">
        <f aca="false">IF(AND('Daily Workforce'!$N185="Y",'Daily Workforce'!$B185&lt;&gt;"",COUNTIF('Daily Schedule'!$F$5:$F32,'Daily Workforce'!$B185)=0,IF('Daily Schedule'!$A33=45,'Daily Workforce'!$J185="Y",IF(OR('Daily Schedule'!$A33=4,'Daily Schedule'!$A33=8),IF(OR(WEEKDAY('Daily Schedule'!$B$2,2)=1,WEEKDAY('Daily Schedule'!$B$2,2)=4,WEEKDAY('Daily Schedule'!$B$2,2)=5,WEEKDAY('Daily Schedule'!$B$2,2)=7),IFERROR(1*'Daily Workforce'!$K185&gt;=3,FALSE()),IFERROR(1*'Daily Workforce'!$K185&gt;=2,FALSE())),IF(AND('Daily Schedule'!$A33&gt;=46,'Daily Schedule'!$A33&lt;=52),'Daily Workforce'!$M185="Y",IFERROR(1*'Daily Workforce'!$P185&gt;=2,FALSE()))))),1,0)</f>
        <v>0</v>
      </c>
      <c r="GO29" s="1" t="n">
        <f aca="false">IF(AND('Daily Workforce'!$N186="Y",'Daily Workforce'!$B186&lt;&gt;"",COUNTIF('Daily Schedule'!$F$5:$F32,'Daily Workforce'!$B186)=0,IF('Daily Schedule'!$A33=45,'Daily Workforce'!$J186="Y",IF(OR('Daily Schedule'!$A33=4,'Daily Schedule'!$A33=8),IF(OR(WEEKDAY('Daily Schedule'!$B$2,2)=1,WEEKDAY('Daily Schedule'!$B$2,2)=4,WEEKDAY('Daily Schedule'!$B$2,2)=5,WEEKDAY('Daily Schedule'!$B$2,2)=7),IFERROR(1*'Daily Workforce'!$K186&gt;=3,FALSE()),IFERROR(1*'Daily Workforce'!$K186&gt;=2,FALSE())),IF(AND('Daily Schedule'!$A33&gt;=46,'Daily Schedule'!$A33&lt;=52),'Daily Workforce'!$M186="Y",IFERROR(1*'Daily Workforce'!$P186&gt;=2,FALSE()))))),1,0)</f>
        <v>0</v>
      </c>
      <c r="GP29" s="1" t="n">
        <f aca="false">IF(AND('Daily Workforce'!$N187="Y",'Daily Workforce'!$B187&lt;&gt;"",COUNTIF('Daily Schedule'!$F$5:$F32,'Daily Workforce'!$B187)=0,IF('Daily Schedule'!$A33=45,'Daily Workforce'!$J187="Y",IF(OR('Daily Schedule'!$A33=4,'Daily Schedule'!$A33=8),IF(OR(WEEKDAY('Daily Schedule'!$B$2,2)=1,WEEKDAY('Daily Schedule'!$B$2,2)=4,WEEKDAY('Daily Schedule'!$B$2,2)=5,WEEKDAY('Daily Schedule'!$B$2,2)=7),IFERROR(1*'Daily Workforce'!$K187&gt;=3,FALSE()),IFERROR(1*'Daily Workforce'!$K187&gt;=2,FALSE())),IF(AND('Daily Schedule'!$A33&gt;=46,'Daily Schedule'!$A33&lt;=52),'Daily Workforce'!$M187="Y",IFERROR(1*'Daily Workforce'!$P187&gt;=2,FALSE()))))),1,0)</f>
        <v>0</v>
      </c>
      <c r="GQ29" s="1" t="n">
        <f aca="false">IF(AND('Daily Workforce'!$N188="Y",'Daily Workforce'!$B188&lt;&gt;"",COUNTIF('Daily Schedule'!$F$5:$F32,'Daily Workforce'!$B188)=0,IF('Daily Schedule'!$A33=45,'Daily Workforce'!$J188="Y",IF(OR('Daily Schedule'!$A33=4,'Daily Schedule'!$A33=8),IF(OR(WEEKDAY('Daily Schedule'!$B$2,2)=1,WEEKDAY('Daily Schedule'!$B$2,2)=4,WEEKDAY('Daily Schedule'!$B$2,2)=5,WEEKDAY('Daily Schedule'!$B$2,2)=7),IFERROR(1*'Daily Workforce'!$K188&gt;=3,FALSE()),IFERROR(1*'Daily Workforce'!$K188&gt;=2,FALSE())),IF(AND('Daily Schedule'!$A33&gt;=46,'Daily Schedule'!$A33&lt;=52),'Daily Workforce'!$M188="Y",IFERROR(1*'Daily Workforce'!$P188&gt;=2,FALSE()))))),1,0)</f>
        <v>0</v>
      </c>
      <c r="GR29" s="1" t="n">
        <f aca="false">IF(AND('Daily Workforce'!$N189="Y",'Daily Workforce'!$B189&lt;&gt;"",COUNTIF('Daily Schedule'!$F$5:$F32,'Daily Workforce'!$B189)=0,IF('Daily Schedule'!$A33=45,'Daily Workforce'!$J189="Y",IF(OR('Daily Schedule'!$A33=4,'Daily Schedule'!$A33=8),IF(OR(WEEKDAY('Daily Schedule'!$B$2,2)=1,WEEKDAY('Daily Schedule'!$B$2,2)=4,WEEKDAY('Daily Schedule'!$B$2,2)=5,WEEKDAY('Daily Schedule'!$B$2,2)=7),IFERROR(1*'Daily Workforce'!$K189&gt;=3,FALSE()),IFERROR(1*'Daily Workforce'!$K189&gt;=2,FALSE())),IF(AND('Daily Schedule'!$A33&gt;=46,'Daily Schedule'!$A33&lt;=52),'Daily Workforce'!$M189="Y",IFERROR(1*'Daily Workforce'!$P189&gt;=2,FALSE()))))),1,0)</f>
        <v>0</v>
      </c>
      <c r="GS29" s="1" t="n">
        <f aca="false">IF(AND('Daily Workforce'!$N190="Y",'Daily Workforce'!$B190&lt;&gt;"",COUNTIF('Daily Schedule'!$F$5:$F32,'Daily Workforce'!$B190)=0,IF('Daily Schedule'!$A33=45,'Daily Workforce'!$J190="Y",IF(OR('Daily Schedule'!$A33=4,'Daily Schedule'!$A33=8),IF(OR(WEEKDAY('Daily Schedule'!$B$2,2)=1,WEEKDAY('Daily Schedule'!$B$2,2)=4,WEEKDAY('Daily Schedule'!$B$2,2)=5,WEEKDAY('Daily Schedule'!$B$2,2)=7),IFERROR(1*'Daily Workforce'!$K190&gt;=3,FALSE()),IFERROR(1*'Daily Workforce'!$K190&gt;=2,FALSE())),IF(AND('Daily Schedule'!$A33&gt;=46,'Daily Schedule'!$A33&lt;=52),'Daily Workforce'!$M190="Y",IFERROR(1*'Daily Workforce'!$P190&gt;=2,FALSE()))))),1,0)</f>
        <v>0</v>
      </c>
      <c r="GT29" s="1" t="n">
        <f aca="false">IF(AND('Daily Workforce'!$N191="Y",'Daily Workforce'!$B191&lt;&gt;"",COUNTIF('Daily Schedule'!$F$5:$F32,'Daily Workforce'!$B191)=0,IF('Daily Schedule'!$A33=45,'Daily Workforce'!$J191="Y",IF(OR('Daily Schedule'!$A33=4,'Daily Schedule'!$A33=8),IF(OR(WEEKDAY('Daily Schedule'!$B$2,2)=1,WEEKDAY('Daily Schedule'!$B$2,2)=4,WEEKDAY('Daily Schedule'!$B$2,2)=5,WEEKDAY('Daily Schedule'!$B$2,2)=7),IFERROR(1*'Daily Workforce'!$K191&gt;=3,FALSE()),IFERROR(1*'Daily Workforce'!$K191&gt;=2,FALSE())),IF(AND('Daily Schedule'!$A33&gt;=46,'Daily Schedule'!$A33&lt;=52),'Daily Workforce'!$M191="Y",IFERROR(1*'Daily Workforce'!$P191&gt;=2,FALSE()))))),1,0)</f>
        <v>0</v>
      </c>
      <c r="GU29" s="1" t="n">
        <f aca="false">IF(AND('Daily Workforce'!$N192="Y",'Daily Workforce'!$B192&lt;&gt;"",COUNTIF('Daily Schedule'!$F$5:$F32,'Daily Workforce'!$B192)=0,IF('Daily Schedule'!$A33=45,'Daily Workforce'!$J192="Y",IF(OR('Daily Schedule'!$A33=4,'Daily Schedule'!$A33=8),IF(OR(WEEKDAY('Daily Schedule'!$B$2,2)=1,WEEKDAY('Daily Schedule'!$B$2,2)=4,WEEKDAY('Daily Schedule'!$B$2,2)=5,WEEKDAY('Daily Schedule'!$B$2,2)=7),IFERROR(1*'Daily Workforce'!$K192&gt;=3,FALSE()),IFERROR(1*'Daily Workforce'!$K192&gt;=2,FALSE())),IF(AND('Daily Schedule'!$A33&gt;=46,'Daily Schedule'!$A33&lt;=52),'Daily Workforce'!$M192="Y",IFERROR(1*'Daily Workforce'!$P192&gt;=2,FALSE()))))),1,0)</f>
        <v>0</v>
      </c>
      <c r="GV29" s="1" t="n">
        <f aca="false">IF(AND('Daily Workforce'!$N193="Y",'Daily Workforce'!$B193&lt;&gt;"",COUNTIF('Daily Schedule'!$F$5:$F32,'Daily Workforce'!$B193)=0,IF('Daily Schedule'!$A33=45,'Daily Workforce'!$J193="Y",IF(OR('Daily Schedule'!$A33=4,'Daily Schedule'!$A33=8),IF(OR(WEEKDAY('Daily Schedule'!$B$2,2)=1,WEEKDAY('Daily Schedule'!$B$2,2)=4,WEEKDAY('Daily Schedule'!$B$2,2)=5,WEEKDAY('Daily Schedule'!$B$2,2)=7),IFERROR(1*'Daily Workforce'!$K193&gt;=3,FALSE()),IFERROR(1*'Daily Workforce'!$K193&gt;=2,FALSE())),IF(AND('Daily Schedule'!$A33&gt;=46,'Daily Schedule'!$A33&lt;=52),'Daily Workforce'!$M193="Y",IFERROR(1*'Daily Workforce'!$P193&gt;=2,FALSE()))))),1,0)</f>
        <v>0</v>
      </c>
      <c r="GW29" s="1" t="n">
        <f aca="false">IF(AND('Daily Workforce'!$N194="Y",'Daily Workforce'!$B194&lt;&gt;"",COUNTIF('Daily Schedule'!$F$5:$F32,'Daily Workforce'!$B194)=0,IF('Daily Schedule'!$A33=45,'Daily Workforce'!$J194="Y",IF(OR('Daily Schedule'!$A33=4,'Daily Schedule'!$A33=8),IF(OR(WEEKDAY('Daily Schedule'!$B$2,2)=1,WEEKDAY('Daily Schedule'!$B$2,2)=4,WEEKDAY('Daily Schedule'!$B$2,2)=5,WEEKDAY('Daily Schedule'!$B$2,2)=7),IFERROR(1*'Daily Workforce'!$K194&gt;=3,FALSE()),IFERROR(1*'Daily Workforce'!$K194&gt;=2,FALSE())),IF(AND('Daily Schedule'!$A33&gt;=46,'Daily Schedule'!$A33&lt;=52),'Daily Workforce'!$M194="Y",IFERROR(1*'Daily Workforce'!$P194&gt;=2,FALSE()))))),1,0)</f>
        <v>0</v>
      </c>
      <c r="GX29" s="1" t="n">
        <f aca="false">IF(AND('Daily Workforce'!$N195="Y",'Daily Workforce'!$B195&lt;&gt;"",COUNTIF('Daily Schedule'!$F$5:$F32,'Daily Workforce'!$B195)=0,IF('Daily Schedule'!$A33=45,'Daily Workforce'!$J195="Y",IF(OR('Daily Schedule'!$A33=4,'Daily Schedule'!$A33=8),IF(OR(WEEKDAY('Daily Schedule'!$B$2,2)=1,WEEKDAY('Daily Schedule'!$B$2,2)=4,WEEKDAY('Daily Schedule'!$B$2,2)=5,WEEKDAY('Daily Schedule'!$B$2,2)=7),IFERROR(1*'Daily Workforce'!$K195&gt;=3,FALSE()),IFERROR(1*'Daily Workforce'!$K195&gt;=2,FALSE())),IF(AND('Daily Schedule'!$A33&gt;=46,'Daily Schedule'!$A33&lt;=52),'Daily Workforce'!$M195="Y",IFERROR(1*'Daily Workforce'!$P195&gt;=2,FALSE()))))),1,0)</f>
        <v>0</v>
      </c>
      <c r="GY29" s="1" t="n">
        <f aca="false">IF(AND('Daily Workforce'!$N196="Y",'Daily Workforce'!$B196&lt;&gt;"",COUNTIF('Daily Schedule'!$F$5:$F32,'Daily Workforce'!$B196)=0,IF('Daily Schedule'!$A33=45,'Daily Workforce'!$J196="Y",IF(OR('Daily Schedule'!$A33=4,'Daily Schedule'!$A33=8),IF(OR(WEEKDAY('Daily Schedule'!$B$2,2)=1,WEEKDAY('Daily Schedule'!$B$2,2)=4,WEEKDAY('Daily Schedule'!$B$2,2)=5,WEEKDAY('Daily Schedule'!$B$2,2)=7),IFERROR(1*'Daily Workforce'!$K196&gt;=3,FALSE()),IFERROR(1*'Daily Workforce'!$K196&gt;=2,FALSE())),IF(AND('Daily Schedule'!$A33&gt;=46,'Daily Schedule'!$A33&lt;=52),'Daily Workforce'!$M196="Y",IFERROR(1*'Daily Workforce'!$P196&gt;=2,FALSE()))))),1,0)</f>
        <v>0</v>
      </c>
      <c r="GZ29" s="1" t="n">
        <f aca="false">IF(AND('Daily Workforce'!$N197="Y",'Daily Workforce'!$B197&lt;&gt;"",COUNTIF('Daily Schedule'!$F$5:$F32,'Daily Workforce'!$B197)=0,IF('Daily Schedule'!$A33=45,'Daily Workforce'!$J197="Y",IF(OR('Daily Schedule'!$A33=4,'Daily Schedule'!$A33=8),IF(OR(WEEKDAY('Daily Schedule'!$B$2,2)=1,WEEKDAY('Daily Schedule'!$B$2,2)=4,WEEKDAY('Daily Schedule'!$B$2,2)=5,WEEKDAY('Daily Schedule'!$B$2,2)=7),IFERROR(1*'Daily Workforce'!$K197&gt;=3,FALSE()),IFERROR(1*'Daily Workforce'!$K197&gt;=2,FALSE())),IF(AND('Daily Schedule'!$A33&gt;=46,'Daily Schedule'!$A33&lt;=52),'Daily Workforce'!$M197="Y",IFERROR(1*'Daily Workforce'!$P197&gt;=2,FALSE()))))),1,0)</f>
        <v>0</v>
      </c>
      <c r="HA29" s="1" t="n">
        <f aca="false">IF(AND('Daily Workforce'!$N198="Y",'Daily Workforce'!$B198&lt;&gt;"",COUNTIF('Daily Schedule'!$F$5:$F32,'Daily Workforce'!$B198)=0,IF('Daily Schedule'!$A33=45,'Daily Workforce'!$J198="Y",IF(OR('Daily Schedule'!$A33=4,'Daily Schedule'!$A33=8),IF(OR(WEEKDAY('Daily Schedule'!$B$2,2)=1,WEEKDAY('Daily Schedule'!$B$2,2)=4,WEEKDAY('Daily Schedule'!$B$2,2)=5,WEEKDAY('Daily Schedule'!$B$2,2)=7),IFERROR(1*'Daily Workforce'!$K198&gt;=3,FALSE()),IFERROR(1*'Daily Workforce'!$K198&gt;=2,FALSE())),IF(AND('Daily Schedule'!$A33&gt;=46,'Daily Schedule'!$A33&lt;=52),'Daily Workforce'!$M198="Y",IFERROR(1*'Daily Workforce'!$P198&gt;=2,FALSE()))))),1,0)</f>
        <v>0</v>
      </c>
      <c r="HB29" s="1" t="n">
        <f aca="false">IF(AND('Daily Workforce'!$N199="Y",'Daily Workforce'!$B199&lt;&gt;"",COUNTIF('Daily Schedule'!$F$5:$F32,'Daily Workforce'!$B199)=0,IF('Daily Schedule'!$A33=45,'Daily Workforce'!$J199="Y",IF(OR('Daily Schedule'!$A33=4,'Daily Schedule'!$A33=8),IF(OR(WEEKDAY('Daily Schedule'!$B$2,2)=1,WEEKDAY('Daily Schedule'!$B$2,2)=4,WEEKDAY('Daily Schedule'!$B$2,2)=5,WEEKDAY('Daily Schedule'!$B$2,2)=7),IFERROR(1*'Daily Workforce'!$K199&gt;=3,FALSE()),IFERROR(1*'Daily Workforce'!$K199&gt;=2,FALSE())),IF(AND('Daily Schedule'!$A33&gt;=46,'Daily Schedule'!$A33&lt;=52),'Daily Workforce'!$M199="Y",IFERROR(1*'Daily Workforce'!$P199&gt;=2,FALSE()))))),1,0)</f>
        <v>0</v>
      </c>
      <c r="HC29" s="1" t="n">
        <f aca="false">IF(AND('Daily Workforce'!$N200="Y",'Daily Workforce'!$B200&lt;&gt;"",COUNTIF('Daily Schedule'!$F$5:$F32,'Daily Workforce'!$B200)=0,IF('Daily Schedule'!$A33=45,'Daily Workforce'!$J200="Y",IF(OR('Daily Schedule'!$A33=4,'Daily Schedule'!$A33=8),IF(OR(WEEKDAY('Daily Schedule'!$B$2,2)=1,WEEKDAY('Daily Schedule'!$B$2,2)=4,WEEKDAY('Daily Schedule'!$B$2,2)=5,WEEKDAY('Daily Schedule'!$B$2,2)=7),IFERROR(1*'Daily Workforce'!$K200&gt;=3,FALSE()),IFERROR(1*'Daily Workforce'!$K200&gt;=2,FALSE())),IF(AND('Daily Schedule'!$A33&gt;=46,'Daily Schedule'!$A33&lt;=52),'Daily Workforce'!$M200="Y",IFERROR(1*'Daily Workforce'!$P200&gt;=2,FALSE()))))),1,0)</f>
        <v>0</v>
      </c>
      <c r="HD29" s="1" t="n">
        <f aca="false">IF(AND('Daily Workforce'!$N201="Y",'Daily Workforce'!$B201&lt;&gt;"",COUNTIF('Daily Schedule'!$F$5:$F32,'Daily Workforce'!$B201)=0,IF('Daily Schedule'!$A33=45,'Daily Workforce'!$J201="Y",IF(OR('Daily Schedule'!$A33=4,'Daily Schedule'!$A33=8),IF(OR(WEEKDAY('Daily Schedule'!$B$2,2)=1,WEEKDAY('Daily Schedule'!$B$2,2)=4,WEEKDAY('Daily Schedule'!$B$2,2)=5,WEEKDAY('Daily Schedule'!$B$2,2)=7),IFERROR(1*'Daily Workforce'!$K201&gt;=3,FALSE()),IFERROR(1*'Daily Workforce'!$K201&gt;=2,FALSE())),IF(AND('Daily Schedule'!$A33&gt;=46,'Daily Schedule'!$A33&lt;=52),'Daily Workforce'!$M201="Y",IFERROR(1*'Daily Workforce'!$P201&gt;=2,FALSE()))))),1,0)</f>
        <v>0</v>
      </c>
      <c r="HE29" s="1" t="n">
        <f aca="false">IF(AND('Daily Workforce'!$N202="Y",'Daily Workforce'!$B202&lt;&gt;"",COUNTIF('Daily Schedule'!$F$5:$F32,'Daily Workforce'!$B202)=0,IF('Daily Schedule'!$A33=45,'Daily Workforce'!$J202="Y",IF(OR('Daily Schedule'!$A33=4,'Daily Schedule'!$A33=8),IF(OR(WEEKDAY('Daily Schedule'!$B$2,2)=1,WEEKDAY('Daily Schedule'!$B$2,2)=4,WEEKDAY('Daily Schedule'!$B$2,2)=5,WEEKDAY('Daily Schedule'!$B$2,2)=7),IFERROR(1*'Daily Workforce'!$K202&gt;=3,FALSE()),IFERROR(1*'Daily Workforce'!$K202&gt;=2,FALSE())),IF(AND('Daily Schedule'!$A33&gt;=46,'Daily Schedule'!$A33&lt;=52),'Daily Workforce'!$M202="Y",IFERROR(1*'Daily Workforce'!$P202&gt;=2,FALSE()))))),1,0)</f>
        <v>0</v>
      </c>
      <c r="HF29" s="1" t="n">
        <f aca="false">IF(AND('Daily Workforce'!$N203="Y",'Daily Workforce'!$B203&lt;&gt;"",COUNTIF('Daily Schedule'!$F$5:$F32,'Daily Workforce'!$B203)=0,IF('Daily Schedule'!$A33=45,'Daily Workforce'!$J203="Y",IF(OR('Daily Schedule'!$A33=4,'Daily Schedule'!$A33=8),IF(OR(WEEKDAY('Daily Schedule'!$B$2,2)=1,WEEKDAY('Daily Schedule'!$B$2,2)=4,WEEKDAY('Daily Schedule'!$B$2,2)=5,WEEKDAY('Daily Schedule'!$B$2,2)=7),IFERROR(1*'Daily Workforce'!$K203&gt;=3,FALSE()),IFERROR(1*'Daily Workforce'!$K203&gt;=2,FALSE())),IF(AND('Daily Schedule'!$A33&gt;=46,'Daily Schedule'!$A33&lt;=52),'Daily Workforce'!$M203="Y",IFERROR(1*'Daily Workforce'!$P203&gt;=2,FALSE()))))),1,0)</f>
        <v>0</v>
      </c>
      <c r="HG29" s="1" t="n">
        <f aca="false">IF(AND('Daily Workforce'!$N204="Y",'Daily Workforce'!$B204&lt;&gt;"",COUNTIF('Daily Schedule'!$F$5:$F32,'Daily Workforce'!$B204)=0,IF('Daily Schedule'!$A33=45,'Daily Workforce'!$J204="Y",IF(OR('Daily Schedule'!$A33=4,'Daily Schedule'!$A33=8),IF(OR(WEEKDAY('Daily Schedule'!$B$2,2)=1,WEEKDAY('Daily Schedule'!$B$2,2)=4,WEEKDAY('Daily Schedule'!$B$2,2)=5,WEEKDAY('Daily Schedule'!$B$2,2)=7),IFERROR(1*'Daily Workforce'!$K204&gt;=3,FALSE()),IFERROR(1*'Daily Workforce'!$K204&gt;=2,FALSE())),IF(AND('Daily Schedule'!$A33&gt;=46,'Daily Schedule'!$A33&lt;=52),'Daily Workforce'!$M204="Y",IFERROR(1*'Daily Workforce'!$P204&gt;=2,FALSE()))))),1,0)</f>
        <v>0</v>
      </c>
      <c r="HH29" s="1" t="n">
        <f aca="false">IF(AND('Daily Workforce'!$N205="Y",'Daily Workforce'!$B205&lt;&gt;"",COUNTIF('Daily Schedule'!$F$5:$F32,'Daily Workforce'!$B205)=0,IF('Daily Schedule'!$A33=45,'Daily Workforce'!$J205="Y",IF(OR('Daily Schedule'!$A33=4,'Daily Schedule'!$A33=8),IF(OR(WEEKDAY('Daily Schedule'!$B$2,2)=1,WEEKDAY('Daily Schedule'!$B$2,2)=4,WEEKDAY('Daily Schedule'!$B$2,2)=5,WEEKDAY('Daily Schedule'!$B$2,2)=7),IFERROR(1*'Daily Workforce'!$K205&gt;=3,FALSE()),IFERROR(1*'Daily Workforce'!$K205&gt;=2,FALSE())),IF(AND('Daily Schedule'!$A33&gt;=46,'Daily Schedule'!$A33&lt;=52),'Daily Workforce'!$M205="Y",IFERROR(1*'Daily Workforce'!$P205&gt;=2,FALSE()))))),1,0)</f>
        <v>0</v>
      </c>
    </row>
    <row r="30" customFormat="false" ht="15" hidden="false" customHeight="true" outlineLevel="0" collapsed="false">
      <c r="L30" s="1" t="s">
        <v>476</v>
      </c>
      <c r="O30" s="1" t="str">
        <f aca="false">IF(AND('Employee Master'!$G30="Y",ISERROR(SEARCH(TEXT('Daily Workforce'!$B$2,"ddd"),'Employee Master'!$D30)),IF('Daily Workforce'!$E$2="",TRUE(),'Employee Master'!$I30='Daily Workforce'!$E$2)),'Employee Master'!$K30*1000+ROW()-1,"")</f>
        <v/>
      </c>
      <c r="P30" s="1" t="str">
        <f aca="false">IF($O30="","",COUNTIF($O$2:$O$159,"&lt;="&amp;$O30))</f>
        <v/>
      </c>
      <c r="Q30" s="1" t="n">
        <f aca="false">IF(AND('Daily Workforce'!$N6="Y",'Daily Workforce'!$B6&lt;&gt;"",COUNTIF('Daily Schedule'!$F$5:$F33,'Daily Workforce'!$B6)=0,IF('Daily Schedule'!$A34=45,'Daily Workforce'!$J6="Y",IF(OR('Daily Schedule'!$A34=4,'Daily Schedule'!$A34=8),IF(OR(WEEKDAY('Daily Schedule'!$B$2,2)=1,WEEKDAY('Daily Schedule'!$B$2,2)=4,WEEKDAY('Daily Schedule'!$B$2,2)=5,WEEKDAY('Daily Schedule'!$B$2,2)=7),IFERROR(1*'Daily Workforce'!$K6&gt;=3,FALSE()),IFERROR(1*'Daily Workforce'!$K6&gt;=2,FALSE())),IF(AND('Daily Schedule'!$A34&gt;=46,'Daily Schedule'!$A34&lt;=52),'Daily Workforce'!$M6="Y",IFERROR(1*'Daily Workforce'!$P6&gt;=2,FALSE()))))),1,0)</f>
        <v>0</v>
      </c>
      <c r="R30" s="1" t="n">
        <f aca="false">IF(AND('Daily Workforce'!$N7="Y",'Daily Workforce'!$B7&lt;&gt;"",COUNTIF('Daily Schedule'!$F$5:$F33,'Daily Workforce'!$B7)=0,IF('Daily Schedule'!$A34=45,'Daily Workforce'!$J7="Y",IF(OR('Daily Schedule'!$A34=4,'Daily Schedule'!$A34=8),IF(OR(WEEKDAY('Daily Schedule'!$B$2,2)=1,WEEKDAY('Daily Schedule'!$B$2,2)=4,WEEKDAY('Daily Schedule'!$B$2,2)=5,WEEKDAY('Daily Schedule'!$B$2,2)=7),IFERROR(1*'Daily Workforce'!$K7&gt;=3,FALSE()),IFERROR(1*'Daily Workforce'!$K7&gt;=2,FALSE())),IF(AND('Daily Schedule'!$A34&gt;=46,'Daily Schedule'!$A34&lt;=52),'Daily Workforce'!$M7="Y",IFERROR(1*'Daily Workforce'!$P7&gt;=2,FALSE()))))),1,0)</f>
        <v>0</v>
      </c>
      <c r="S30" s="1" t="n">
        <f aca="false">IF(AND('Daily Workforce'!$N8="Y",'Daily Workforce'!$B8&lt;&gt;"",COUNTIF('Daily Schedule'!$F$5:$F33,'Daily Workforce'!$B8)=0,IF('Daily Schedule'!$A34=45,'Daily Workforce'!$J8="Y",IF(OR('Daily Schedule'!$A34=4,'Daily Schedule'!$A34=8),IF(OR(WEEKDAY('Daily Schedule'!$B$2,2)=1,WEEKDAY('Daily Schedule'!$B$2,2)=4,WEEKDAY('Daily Schedule'!$B$2,2)=5,WEEKDAY('Daily Schedule'!$B$2,2)=7),IFERROR(1*'Daily Workforce'!$K8&gt;=3,FALSE()),IFERROR(1*'Daily Workforce'!$K8&gt;=2,FALSE())),IF(AND('Daily Schedule'!$A34&gt;=46,'Daily Schedule'!$A34&lt;=52),'Daily Workforce'!$M8="Y",IFERROR(1*'Daily Workforce'!$P8&gt;=2,FALSE()))))),1,0)</f>
        <v>0</v>
      </c>
      <c r="T30" s="1" t="n">
        <f aca="false">IF(AND('Daily Workforce'!$N9="Y",'Daily Workforce'!$B9&lt;&gt;"",COUNTIF('Daily Schedule'!$F$5:$F33,'Daily Workforce'!$B9)=0,IF('Daily Schedule'!$A34=45,'Daily Workforce'!$J9="Y",IF(OR('Daily Schedule'!$A34=4,'Daily Schedule'!$A34=8),IF(OR(WEEKDAY('Daily Schedule'!$B$2,2)=1,WEEKDAY('Daily Schedule'!$B$2,2)=4,WEEKDAY('Daily Schedule'!$B$2,2)=5,WEEKDAY('Daily Schedule'!$B$2,2)=7),IFERROR(1*'Daily Workforce'!$K9&gt;=3,FALSE()),IFERROR(1*'Daily Workforce'!$K9&gt;=2,FALSE())),IF(AND('Daily Schedule'!$A34&gt;=46,'Daily Schedule'!$A34&lt;=52),'Daily Workforce'!$M9="Y",IFERROR(1*'Daily Workforce'!$P9&gt;=2,FALSE()))))),1,0)</f>
        <v>0</v>
      </c>
      <c r="U30" s="1" t="n">
        <f aca="false">IF(AND('Daily Workforce'!$N10="Y",'Daily Workforce'!$B10&lt;&gt;"",COUNTIF('Daily Schedule'!$F$5:$F33,'Daily Workforce'!$B10)=0,IF('Daily Schedule'!$A34=45,'Daily Workforce'!$J10="Y",IF(OR('Daily Schedule'!$A34=4,'Daily Schedule'!$A34=8),IF(OR(WEEKDAY('Daily Schedule'!$B$2,2)=1,WEEKDAY('Daily Schedule'!$B$2,2)=4,WEEKDAY('Daily Schedule'!$B$2,2)=5,WEEKDAY('Daily Schedule'!$B$2,2)=7),IFERROR(1*'Daily Workforce'!$K10&gt;=3,FALSE()),IFERROR(1*'Daily Workforce'!$K10&gt;=2,FALSE())),IF(AND('Daily Schedule'!$A34&gt;=46,'Daily Schedule'!$A34&lt;=52),'Daily Workforce'!$M10="Y",IFERROR(1*'Daily Workforce'!$P10&gt;=2,FALSE()))))),1,0)</f>
        <v>0</v>
      </c>
      <c r="V30" s="1" t="n">
        <f aca="false">IF(AND('Daily Workforce'!$N11="Y",'Daily Workforce'!$B11&lt;&gt;"",COUNTIF('Daily Schedule'!$F$5:$F33,'Daily Workforce'!$B11)=0,IF('Daily Schedule'!$A34=45,'Daily Workforce'!$J11="Y",IF(OR('Daily Schedule'!$A34=4,'Daily Schedule'!$A34=8),IF(OR(WEEKDAY('Daily Schedule'!$B$2,2)=1,WEEKDAY('Daily Schedule'!$B$2,2)=4,WEEKDAY('Daily Schedule'!$B$2,2)=5,WEEKDAY('Daily Schedule'!$B$2,2)=7),IFERROR(1*'Daily Workforce'!$K11&gt;=3,FALSE()),IFERROR(1*'Daily Workforce'!$K11&gt;=2,FALSE())),IF(AND('Daily Schedule'!$A34&gt;=46,'Daily Schedule'!$A34&lt;=52),'Daily Workforce'!$M11="Y",IFERROR(1*'Daily Workforce'!$P11&gt;=2,FALSE()))))),1,0)</f>
        <v>0</v>
      </c>
      <c r="W30" s="1" t="n">
        <f aca="false">IF(AND('Daily Workforce'!$N12="Y",'Daily Workforce'!$B12&lt;&gt;"",COUNTIF('Daily Schedule'!$F$5:$F33,'Daily Workforce'!$B12)=0,IF('Daily Schedule'!$A34=45,'Daily Workforce'!$J12="Y",IF(OR('Daily Schedule'!$A34=4,'Daily Schedule'!$A34=8),IF(OR(WEEKDAY('Daily Schedule'!$B$2,2)=1,WEEKDAY('Daily Schedule'!$B$2,2)=4,WEEKDAY('Daily Schedule'!$B$2,2)=5,WEEKDAY('Daily Schedule'!$B$2,2)=7),IFERROR(1*'Daily Workforce'!$K12&gt;=3,FALSE()),IFERROR(1*'Daily Workforce'!$K12&gt;=2,FALSE())),IF(AND('Daily Schedule'!$A34&gt;=46,'Daily Schedule'!$A34&lt;=52),'Daily Workforce'!$M12="Y",IFERROR(1*'Daily Workforce'!$P12&gt;=2,FALSE()))))),1,0)</f>
        <v>0</v>
      </c>
      <c r="X30" s="1" t="n">
        <f aca="false">IF(AND('Daily Workforce'!$N13="Y",'Daily Workforce'!$B13&lt;&gt;"",COUNTIF('Daily Schedule'!$F$5:$F33,'Daily Workforce'!$B13)=0,IF('Daily Schedule'!$A34=45,'Daily Workforce'!$J13="Y",IF(OR('Daily Schedule'!$A34=4,'Daily Schedule'!$A34=8),IF(OR(WEEKDAY('Daily Schedule'!$B$2,2)=1,WEEKDAY('Daily Schedule'!$B$2,2)=4,WEEKDAY('Daily Schedule'!$B$2,2)=5,WEEKDAY('Daily Schedule'!$B$2,2)=7),IFERROR(1*'Daily Workforce'!$K13&gt;=3,FALSE()),IFERROR(1*'Daily Workforce'!$K13&gt;=2,FALSE())),IF(AND('Daily Schedule'!$A34&gt;=46,'Daily Schedule'!$A34&lt;=52),'Daily Workforce'!$M13="Y",IFERROR(1*'Daily Workforce'!$P13&gt;=2,FALSE()))))),1,0)</f>
        <v>0</v>
      </c>
      <c r="Y30" s="1" t="n">
        <f aca="false">IF(AND('Daily Workforce'!$N14="Y",'Daily Workforce'!$B14&lt;&gt;"",COUNTIF('Daily Schedule'!$F$5:$F33,'Daily Workforce'!$B14)=0,IF('Daily Schedule'!$A34=45,'Daily Workforce'!$J14="Y",IF(OR('Daily Schedule'!$A34=4,'Daily Schedule'!$A34=8),IF(OR(WEEKDAY('Daily Schedule'!$B$2,2)=1,WEEKDAY('Daily Schedule'!$B$2,2)=4,WEEKDAY('Daily Schedule'!$B$2,2)=5,WEEKDAY('Daily Schedule'!$B$2,2)=7),IFERROR(1*'Daily Workforce'!$K14&gt;=3,FALSE()),IFERROR(1*'Daily Workforce'!$K14&gt;=2,FALSE())),IF(AND('Daily Schedule'!$A34&gt;=46,'Daily Schedule'!$A34&lt;=52),'Daily Workforce'!$M14="Y",IFERROR(1*'Daily Workforce'!$P14&gt;=2,FALSE()))))),1,0)</f>
        <v>0</v>
      </c>
      <c r="Z30" s="1" t="n">
        <f aca="false">IF(AND('Daily Workforce'!$N15="Y",'Daily Workforce'!$B15&lt;&gt;"",COUNTIF('Daily Schedule'!$F$5:$F33,'Daily Workforce'!$B15)=0,IF('Daily Schedule'!$A34=45,'Daily Workforce'!$J15="Y",IF(OR('Daily Schedule'!$A34=4,'Daily Schedule'!$A34=8),IF(OR(WEEKDAY('Daily Schedule'!$B$2,2)=1,WEEKDAY('Daily Schedule'!$B$2,2)=4,WEEKDAY('Daily Schedule'!$B$2,2)=5,WEEKDAY('Daily Schedule'!$B$2,2)=7),IFERROR(1*'Daily Workforce'!$K15&gt;=3,FALSE()),IFERROR(1*'Daily Workforce'!$K15&gt;=2,FALSE())),IF(AND('Daily Schedule'!$A34&gt;=46,'Daily Schedule'!$A34&lt;=52),'Daily Workforce'!$M15="Y",IFERROR(1*'Daily Workforce'!$P15&gt;=2,FALSE()))))),1,0)</f>
        <v>0</v>
      </c>
      <c r="AA30" s="1" t="n">
        <f aca="false">IF(AND('Daily Workforce'!$N16="Y",'Daily Workforce'!$B16&lt;&gt;"",COUNTIF('Daily Schedule'!$F$5:$F33,'Daily Workforce'!$B16)=0,IF('Daily Schedule'!$A34=45,'Daily Workforce'!$J16="Y",IF(OR('Daily Schedule'!$A34=4,'Daily Schedule'!$A34=8),IF(OR(WEEKDAY('Daily Schedule'!$B$2,2)=1,WEEKDAY('Daily Schedule'!$B$2,2)=4,WEEKDAY('Daily Schedule'!$B$2,2)=5,WEEKDAY('Daily Schedule'!$B$2,2)=7),IFERROR(1*'Daily Workforce'!$K16&gt;=3,FALSE()),IFERROR(1*'Daily Workforce'!$K16&gt;=2,FALSE())),IF(AND('Daily Schedule'!$A34&gt;=46,'Daily Schedule'!$A34&lt;=52),'Daily Workforce'!$M16="Y",IFERROR(1*'Daily Workforce'!$P16&gt;=2,FALSE()))))),1,0)</f>
        <v>0</v>
      </c>
      <c r="AB30" s="1" t="n">
        <f aca="false">IF(AND('Daily Workforce'!$N17="Y",'Daily Workforce'!$B17&lt;&gt;"",COUNTIF('Daily Schedule'!$F$5:$F33,'Daily Workforce'!$B17)=0,IF('Daily Schedule'!$A34=45,'Daily Workforce'!$J17="Y",IF(OR('Daily Schedule'!$A34=4,'Daily Schedule'!$A34=8),IF(OR(WEEKDAY('Daily Schedule'!$B$2,2)=1,WEEKDAY('Daily Schedule'!$B$2,2)=4,WEEKDAY('Daily Schedule'!$B$2,2)=5,WEEKDAY('Daily Schedule'!$B$2,2)=7),IFERROR(1*'Daily Workforce'!$K17&gt;=3,FALSE()),IFERROR(1*'Daily Workforce'!$K17&gt;=2,FALSE())),IF(AND('Daily Schedule'!$A34&gt;=46,'Daily Schedule'!$A34&lt;=52),'Daily Workforce'!$M17="Y",IFERROR(1*'Daily Workforce'!$P17&gt;=2,FALSE()))))),1,0)</f>
        <v>0</v>
      </c>
      <c r="AC30" s="1" t="n">
        <f aca="false">IF(AND('Daily Workforce'!$N18="Y",'Daily Workforce'!$B18&lt;&gt;"",COUNTIF('Daily Schedule'!$F$5:$F33,'Daily Workforce'!$B18)=0,IF('Daily Schedule'!$A34=45,'Daily Workforce'!$J18="Y",IF(OR('Daily Schedule'!$A34=4,'Daily Schedule'!$A34=8),IF(OR(WEEKDAY('Daily Schedule'!$B$2,2)=1,WEEKDAY('Daily Schedule'!$B$2,2)=4,WEEKDAY('Daily Schedule'!$B$2,2)=5,WEEKDAY('Daily Schedule'!$B$2,2)=7),IFERROR(1*'Daily Workforce'!$K18&gt;=3,FALSE()),IFERROR(1*'Daily Workforce'!$K18&gt;=2,FALSE())),IF(AND('Daily Schedule'!$A34&gt;=46,'Daily Schedule'!$A34&lt;=52),'Daily Workforce'!$M18="Y",IFERROR(1*'Daily Workforce'!$P18&gt;=2,FALSE()))))),1,0)</f>
        <v>0</v>
      </c>
      <c r="AD30" s="1" t="n">
        <f aca="false">IF(AND('Daily Workforce'!$N19="Y",'Daily Workforce'!$B19&lt;&gt;"",COUNTIF('Daily Schedule'!$F$5:$F33,'Daily Workforce'!$B19)=0,IF('Daily Schedule'!$A34=45,'Daily Workforce'!$J19="Y",IF(OR('Daily Schedule'!$A34=4,'Daily Schedule'!$A34=8),IF(OR(WEEKDAY('Daily Schedule'!$B$2,2)=1,WEEKDAY('Daily Schedule'!$B$2,2)=4,WEEKDAY('Daily Schedule'!$B$2,2)=5,WEEKDAY('Daily Schedule'!$B$2,2)=7),IFERROR(1*'Daily Workforce'!$K19&gt;=3,FALSE()),IFERROR(1*'Daily Workforce'!$K19&gt;=2,FALSE())),IF(AND('Daily Schedule'!$A34&gt;=46,'Daily Schedule'!$A34&lt;=52),'Daily Workforce'!$M19="Y",IFERROR(1*'Daily Workforce'!$P19&gt;=2,FALSE()))))),1,0)</f>
        <v>0</v>
      </c>
      <c r="AE30" s="1" t="n">
        <f aca="false">IF(AND('Daily Workforce'!$N20="Y",'Daily Workforce'!$B20&lt;&gt;"",COUNTIF('Daily Schedule'!$F$5:$F33,'Daily Workforce'!$B20)=0,IF('Daily Schedule'!$A34=45,'Daily Workforce'!$J20="Y",IF(OR('Daily Schedule'!$A34=4,'Daily Schedule'!$A34=8),IF(OR(WEEKDAY('Daily Schedule'!$B$2,2)=1,WEEKDAY('Daily Schedule'!$B$2,2)=4,WEEKDAY('Daily Schedule'!$B$2,2)=5,WEEKDAY('Daily Schedule'!$B$2,2)=7),IFERROR(1*'Daily Workforce'!$K20&gt;=3,FALSE()),IFERROR(1*'Daily Workforce'!$K20&gt;=2,FALSE())),IF(AND('Daily Schedule'!$A34&gt;=46,'Daily Schedule'!$A34&lt;=52),'Daily Workforce'!$M20="Y",IFERROR(1*'Daily Workforce'!$P20&gt;=2,FALSE()))))),1,0)</f>
        <v>0</v>
      </c>
      <c r="AF30" s="1" t="n">
        <f aca="false">IF(AND('Daily Workforce'!$N21="Y",'Daily Workforce'!$B21&lt;&gt;"",COUNTIF('Daily Schedule'!$F$5:$F33,'Daily Workforce'!$B21)=0,IF('Daily Schedule'!$A34=45,'Daily Workforce'!$J21="Y",IF(OR('Daily Schedule'!$A34=4,'Daily Schedule'!$A34=8),IF(OR(WEEKDAY('Daily Schedule'!$B$2,2)=1,WEEKDAY('Daily Schedule'!$B$2,2)=4,WEEKDAY('Daily Schedule'!$B$2,2)=5,WEEKDAY('Daily Schedule'!$B$2,2)=7),IFERROR(1*'Daily Workforce'!$K21&gt;=3,FALSE()),IFERROR(1*'Daily Workforce'!$K21&gt;=2,FALSE())),IF(AND('Daily Schedule'!$A34&gt;=46,'Daily Schedule'!$A34&lt;=52),'Daily Workforce'!$M21="Y",IFERROR(1*'Daily Workforce'!$P21&gt;=2,FALSE()))))),1,0)</f>
        <v>0</v>
      </c>
      <c r="AG30" s="1" t="n">
        <f aca="false">IF(AND('Daily Workforce'!$N22="Y",'Daily Workforce'!$B22&lt;&gt;"",COUNTIF('Daily Schedule'!$F$5:$F33,'Daily Workforce'!$B22)=0,IF('Daily Schedule'!$A34=45,'Daily Workforce'!$J22="Y",IF(OR('Daily Schedule'!$A34=4,'Daily Schedule'!$A34=8),IF(OR(WEEKDAY('Daily Schedule'!$B$2,2)=1,WEEKDAY('Daily Schedule'!$B$2,2)=4,WEEKDAY('Daily Schedule'!$B$2,2)=5,WEEKDAY('Daily Schedule'!$B$2,2)=7),IFERROR(1*'Daily Workforce'!$K22&gt;=3,FALSE()),IFERROR(1*'Daily Workforce'!$K22&gt;=2,FALSE())),IF(AND('Daily Schedule'!$A34&gt;=46,'Daily Schedule'!$A34&lt;=52),'Daily Workforce'!$M22="Y",IFERROR(1*'Daily Workforce'!$P22&gt;=2,FALSE()))))),1,0)</f>
        <v>0</v>
      </c>
      <c r="AH30" s="1" t="n">
        <f aca="false">IF(AND('Daily Workforce'!$N23="Y",'Daily Workforce'!$B23&lt;&gt;"",COUNTIF('Daily Schedule'!$F$5:$F33,'Daily Workforce'!$B23)=0,IF('Daily Schedule'!$A34=45,'Daily Workforce'!$J23="Y",IF(OR('Daily Schedule'!$A34=4,'Daily Schedule'!$A34=8),IF(OR(WEEKDAY('Daily Schedule'!$B$2,2)=1,WEEKDAY('Daily Schedule'!$B$2,2)=4,WEEKDAY('Daily Schedule'!$B$2,2)=5,WEEKDAY('Daily Schedule'!$B$2,2)=7),IFERROR(1*'Daily Workforce'!$K23&gt;=3,FALSE()),IFERROR(1*'Daily Workforce'!$K23&gt;=2,FALSE())),IF(AND('Daily Schedule'!$A34&gt;=46,'Daily Schedule'!$A34&lt;=52),'Daily Workforce'!$M23="Y",IFERROR(1*'Daily Workforce'!$P23&gt;=2,FALSE()))))),1,0)</f>
        <v>0</v>
      </c>
      <c r="AI30" s="1" t="n">
        <f aca="false">IF(AND('Daily Workforce'!$N24="Y",'Daily Workforce'!$B24&lt;&gt;"",COUNTIF('Daily Schedule'!$F$5:$F33,'Daily Workforce'!$B24)=0,IF('Daily Schedule'!$A34=45,'Daily Workforce'!$J24="Y",IF(OR('Daily Schedule'!$A34=4,'Daily Schedule'!$A34=8),IF(OR(WEEKDAY('Daily Schedule'!$B$2,2)=1,WEEKDAY('Daily Schedule'!$B$2,2)=4,WEEKDAY('Daily Schedule'!$B$2,2)=5,WEEKDAY('Daily Schedule'!$B$2,2)=7),IFERROR(1*'Daily Workforce'!$K24&gt;=3,FALSE()),IFERROR(1*'Daily Workforce'!$K24&gt;=2,FALSE())),IF(AND('Daily Schedule'!$A34&gt;=46,'Daily Schedule'!$A34&lt;=52),'Daily Workforce'!$M24="Y",IFERROR(1*'Daily Workforce'!$P24&gt;=2,FALSE()))))),1,0)</f>
        <v>0</v>
      </c>
      <c r="AJ30" s="1" t="n">
        <f aca="false">IF(AND('Daily Workforce'!$N25="Y",'Daily Workforce'!$B25&lt;&gt;"",COUNTIF('Daily Schedule'!$F$5:$F33,'Daily Workforce'!$B25)=0,IF('Daily Schedule'!$A34=45,'Daily Workforce'!$J25="Y",IF(OR('Daily Schedule'!$A34=4,'Daily Schedule'!$A34=8),IF(OR(WEEKDAY('Daily Schedule'!$B$2,2)=1,WEEKDAY('Daily Schedule'!$B$2,2)=4,WEEKDAY('Daily Schedule'!$B$2,2)=5,WEEKDAY('Daily Schedule'!$B$2,2)=7),IFERROR(1*'Daily Workforce'!$K25&gt;=3,FALSE()),IFERROR(1*'Daily Workforce'!$K25&gt;=2,FALSE())),IF(AND('Daily Schedule'!$A34&gt;=46,'Daily Schedule'!$A34&lt;=52),'Daily Workforce'!$M25="Y",IFERROR(1*'Daily Workforce'!$P25&gt;=2,FALSE()))))),1,0)</f>
        <v>0</v>
      </c>
      <c r="AK30" s="1" t="n">
        <f aca="false">IF(AND('Daily Workforce'!$N26="Y",'Daily Workforce'!$B26&lt;&gt;"",COUNTIF('Daily Schedule'!$F$5:$F33,'Daily Workforce'!$B26)=0,IF('Daily Schedule'!$A34=45,'Daily Workforce'!$J26="Y",IF(OR('Daily Schedule'!$A34=4,'Daily Schedule'!$A34=8),IF(OR(WEEKDAY('Daily Schedule'!$B$2,2)=1,WEEKDAY('Daily Schedule'!$B$2,2)=4,WEEKDAY('Daily Schedule'!$B$2,2)=5,WEEKDAY('Daily Schedule'!$B$2,2)=7),IFERROR(1*'Daily Workforce'!$K26&gt;=3,FALSE()),IFERROR(1*'Daily Workforce'!$K26&gt;=2,FALSE())),IF(AND('Daily Schedule'!$A34&gt;=46,'Daily Schedule'!$A34&lt;=52),'Daily Workforce'!$M26="Y",IFERROR(1*'Daily Workforce'!$P26&gt;=2,FALSE()))))),1,0)</f>
        <v>0</v>
      </c>
      <c r="AL30" s="1" t="n">
        <f aca="false">IF(AND('Daily Workforce'!$N27="Y",'Daily Workforce'!$B27&lt;&gt;"",COUNTIF('Daily Schedule'!$F$5:$F33,'Daily Workforce'!$B27)=0,IF('Daily Schedule'!$A34=45,'Daily Workforce'!$J27="Y",IF(OR('Daily Schedule'!$A34=4,'Daily Schedule'!$A34=8),IF(OR(WEEKDAY('Daily Schedule'!$B$2,2)=1,WEEKDAY('Daily Schedule'!$B$2,2)=4,WEEKDAY('Daily Schedule'!$B$2,2)=5,WEEKDAY('Daily Schedule'!$B$2,2)=7),IFERROR(1*'Daily Workforce'!$K27&gt;=3,FALSE()),IFERROR(1*'Daily Workforce'!$K27&gt;=2,FALSE())),IF(AND('Daily Schedule'!$A34&gt;=46,'Daily Schedule'!$A34&lt;=52),'Daily Workforce'!$M27="Y",IFERROR(1*'Daily Workforce'!$P27&gt;=2,FALSE()))))),1,0)</f>
        <v>0</v>
      </c>
      <c r="AM30" s="1" t="n">
        <f aca="false">IF(AND('Daily Workforce'!$N28="Y",'Daily Workforce'!$B28&lt;&gt;"",COUNTIF('Daily Schedule'!$F$5:$F33,'Daily Workforce'!$B28)=0,IF('Daily Schedule'!$A34=45,'Daily Workforce'!$J28="Y",IF(OR('Daily Schedule'!$A34=4,'Daily Schedule'!$A34=8),IF(OR(WEEKDAY('Daily Schedule'!$B$2,2)=1,WEEKDAY('Daily Schedule'!$B$2,2)=4,WEEKDAY('Daily Schedule'!$B$2,2)=5,WEEKDAY('Daily Schedule'!$B$2,2)=7),IFERROR(1*'Daily Workforce'!$K28&gt;=3,FALSE()),IFERROR(1*'Daily Workforce'!$K28&gt;=2,FALSE())),IF(AND('Daily Schedule'!$A34&gt;=46,'Daily Schedule'!$A34&lt;=52),'Daily Workforce'!$M28="Y",IFERROR(1*'Daily Workforce'!$P28&gt;=2,FALSE()))))),1,0)</f>
        <v>0</v>
      </c>
      <c r="AN30" s="1" t="n">
        <f aca="false">IF(AND('Daily Workforce'!$N29="Y",'Daily Workforce'!$B29&lt;&gt;"",COUNTIF('Daily Schedule'!$F$5:$F33,'Daily Workforce'!$B29)=0,IF('Daily Schedule'!$A34=45,'Daily Workforce'!$J29="Y",IF(OR('Daily Schedule'!$A34=4,'Daily Schedule'!$A34=8),IF(OR(WEEKDAY('Daily Schedule'!$B$2,2)=1,WEEKDAY('Daily Schedule'!$B$2,2)=4,WEEKDAY('Daily Schedule'!$B$2,2)=5,WEEKDAY('Daily Schedule'!$B$2,2)=7),IFERROR(1*'Daily Workforce'!$K29&gt;=3,FALSE()),IFERROR(1*'Daily Workforce'!$K29&gt;=2,FALSE())),IF(AND('Daily Schedule'!$A34&gt;=46,'Daily Schedule'!$A34&lt;=52),'Daily Workforce'!$M29="Y",IFERROR(1*'Daily Workforce'!$P29&gt;=2,FALSE()))))),1,0)</f>
        <v>0</v>
      </c>
      <c r="AO30" s="1" t="n">
        <f aca="false">IF(AND('Daily Workforce'!$N30="Y",'Daily Workforce'!$B30&lt;&gt;"",COUNTIF('Daily Schedule'!$F$5:$F33,'Daily Workforce'!$B30)=0,IF('Daily Schedule'!$A34=45,'Daily Workforce'!$J30="Y",IF(OR('Daily Schedule'!$A34=4,'Daily Schedule'!$A34=8),IF(OR(WEEKDAY('Daily Schedule'!$B$2,2)=1,WEEKDAY('Daily Schedule'!$B$2,2)=4,WEEKDAY('Daily Schedule'!$B$2,2)=5,WEEKDAY('Daily Schedule'!$B$2,2)=7),IFERROR(1*'Daily Workforce'!$K30&gt;=3,FALSE()),IFERROR(1*'Daily Workforce'!$K30&gt;=2,FALSE())),IF(AND('Daily Schedule'!$A34&gt;=46,'Daily Schedule'!$A34&lt;=52),'Daily Workforce'!$M30="Y",IFERROR(1*'Daily Workforce'!$P30&gt;=2,FALSE()))))),1,0)</f>
        <v>0</v>
      </c>
      <c r="AP30" s="1" t="n">
        <f aca="false">IF(AND('Daily Workforce'!$N31="Y",'Daily Workforce'!$B31&lt;&gt;"",COUNTIF('Daily Schedule'!$F$5:$F33,'Daily Workforce'!$B31)=0,IF('Daily Schedule'!$A34=45,'Daily Workforce'!$J31="Y",IF(OR('Daily Schedule'!$A34=4,'Daily Schedule'!$A34=8),IF(OR(WEEKDAY('Daily Schedule'!$B$2,2)=1,WEEKDAY('Daily Schedule'!$B$2,2)=4,WEEKDAY('Daily Schedule'!$B$2,2)=5,WEEKDAY('Daily Schedule'!$B$2,2)=7),IFERROR(1*'Daily Workforce'!$K31&gt;=3,FALSE()),IFERROR(1*'Daily Workforce'!$K31&gt;=2,FALSE())),IF(AND('Daily Schedule'!$A34&gt;=46,'Daily Schedule'!$A34&lt;=52),'Daily Workforce'!$M31="Y",IFERROR(1*'Daily Workforce'!$P31&gt;=2,FALSE()))))),1,0)</f>
        <v>0</v>
      </c>
      <c r="AQ30" s="1" t="n">
        <f aca="false">IF(AND('Daily Workforce'!$N32="Y",'Daily Workforce'!$B32&lt;&gt;"",COUNTIF('Daily Schedule'!$F$5:$F33,'Daily Workforce'!$B32)=0,IF('Daily Schedule'!$A34=45,'Daily Workforce'!$J32="Y",IF(OR('Daily Schedule'!$A34=4,'Daily Schedule'!$A34=8),IF(OR(WEEKDAY('Daily Schedule'!$B$2,2)=1,WEEKDAY('Daily Schedule'!$B$2,2)=4,WEEKDAY('Daily Schedule'!$B$2,2)=5,WEEKDAY('Daily Schedule'!$B$2,2)=7),IFERROR(1*'Daily Workforce'!$K32&gt;=3,FALSE()),IFERROR(1*'Daily Workforce'!$K32&gt;=2,FALSE())),IF(AND('Daily Schedule'!$A34&gt;=46,'Daily Schedule'!$A34&lt;=52),'Daily Workforce'!$M32="Y",IFERROR(1*'Daily Workforce'!$P32&gt;=2,FALSE()))))),1,0)</f>
        <v>0</v>
      </c>
      <c r="AR30" s="1" t="n">
        <f aca="false">IF(AND('Daily Workforce'!$N33="Y",'Daily Workforce'!$B33&lt;&gt;"",COUNTIF('Daily Schedule'!$F$5:$F33,'Daily Workforce'!$B33)=0,IF('Daily Schedule'!$A34=45,'Daily Workforce'!$J33="Y",IF(OR('Daily Schedule'!$A34=4,'Daily Schedule'!$A34=8),IF(OR(WEEKDAY('Daily Schedule'!$B$2,2)=1,WEEKDAY('Daily Schedule'!$B$2,2)=4,WEEKDAY('Daily Schedule'!$B$2,2)=5,WEEKDAY('Daily Schedule'!$B$2,2)=7),IFERROR(1*'Daily Workforce'!$K33&gt;=3,FALSE()),IFERROR(1*'Daily Workforce'!$K33&gt;=2,FALSE())),IF(AND('Daily Schedule'!$A34&gt;=46,'Daily Schedule'!$A34&lt;=52),'Daily Workforce'!$M33="Y",IFERROR(1*'Daily Workforce'!$P33&gt;=2,FALSE()))))),1,0)</f>
        <v>1</v>
      </c>
      <c r="AS30" s="1" t="n">
        <f aca="false">IF(AND('Daily Workforce'!$N34="Y",'Daily Workforce'!$B34&lt;&gt;"",COUNTIF('Daily Schedule'!$F$5:$F33,'Daily Workforce'!$B34)=0,IF('Daily Schedule'!$A34=45,'Daily Workforce'!$J34="Y",IF(OR('Daily Schedule'!$A34=4,'Daily Schedule'!$A34=8),IF(OR(WEEKDAY('Daily Schedule'!$B$2,2)=1,WEEKDAY('Daily Schedule'!$B$2,2)=4,WEEKDAY('Daily Schedule'!$B$2,2)=5,WEEKDAY('Daily Schedule'!$B$2,2)=7),IFERROR(1*'Daily Workforce'!$K34&gt;=3,FALSE()),IFERROR(1*'Daily Workforce'!$K34&gt;=2,FALSE())),IF(AND('Daily Schedule'!$A34&gt;=46,'Daily Schedule'!$A34&lt;=52),'Daily Workforce'!$M34="Y",IFERROR(1*'Daily Workforce'!$P34&gt;=2,FALSE()))))),1,0)</f>
        <v>1</v>
      </c>
      <c r="AT30" s="1" t="n">
        <f aca="false">IF(AND('Daily Workforce'!$N35="Y",'Daily Workforce'!$B35&lt;&gt;"",COUNTIF('Daily Schedule'!$F$5:$F33,'Daily Workforce'!$B35)=0,IF('Daily Schedule'!$A34=45,'Daily Workforce'!$J35="Y",IF(OR('Daily Schedule'!$A34=4,'Daily Schedule'!$A34=8),IF(OR(WEEKDAY('Daily Schedule'!$B$2,2)=1,WEEKDAY('Daily Schedule'!$B$2,2)=4,WEEKDAY('Daily Schedule'!$B$2,2)=5,WEEKDAY('Daily Schedule'!$B$2,2)=7),IFERROR(1*'Daily Workforce'!$K35&gt;=3,FALSE()),IFERROR(1*'Daily Workforce'!$K35&gt;=2,FALSE())),IF(AND('Daily Schedule'!$A34&gt;=46,'Daily Schedule'!$A34&lt;=52),'Daily Workforce'!$M35="Y",IFERROR(1*'Daily Workforce'!$P35&gt;=2,FALSE()))))),1,0)</f>
        <v>1</v>
      </c>
      <c r="AU30" s="1" t="n">
        <f aca="false">IF(AND('Daily Workforce'!$N36="Y",'Daily Workforce'!$B36&lt;&gt;"",COUNTIF('Daily Schedule'!$F$5:$F33,'Daily Workforce'!$B36)=0,IF('Daily Schedule'!$A34=45,'Daily Workforce'!$J36="Y",IF(OR('Daily Schedule'!$A34=4,'Daily Schedule'!$A34=8),IF(OR(WEEKDAY('Daily Schedule'!$B$2,2)=1,WEEKDAY('Daily Schedule'!$B$2,2)=4,WEEKDAY('Daily Schedule'!$B$2,2)=5,WEEKDAY('Daily Schedule'!$B$2,2)=7),IFERROR(1*'Daily Workforce'!$K36&gt;=3,FALSE()),IFERROR(1*'Daily Workforce'!$K36&gt;=2,FALSE())),IF(AND('Daily Schedule'!$A34&gt;=46,'Daily Schedule'!$A34&lt;=52),'Daily Workforce'!$M36="Y",IFERROR(1*'Daily Workforce'!$P36&gt;=2,FALSE()))))),1,0)</f>
        <v>1</v>
      </c>
      <c r="AV30" s="1" t="n">
        <f aca="false">IF(AND('Daily Workforce'!$N37="Y",'Daily Workforce'!$B37&lt;&gt;"",COUNTIF('Daily Schedule'!$F$5:$F33,'Daily Workforce'!$B37)=0,IF('Daily Schedule'!$A34=45,'Daily Workforce'!$J37="Y",IF(OR('Daily Schedule'!$A34=4,'Daily Schedule'!$A34=8),IF(OR(WEEKDAY('Daily Schedule'!$B$2,2)=1,WEEKDAY('Daily Schedule'!$B$2,2)=4,WEEKDAY('Daily Schedule'!$B$2,2)=5,WEEKDAY('Daily Schedule'!$B$2,2)=7),IFERROR(1*'Daily Workforce'!$K37&gt;=3,FALSE()),IFERROR(1*'Daily Workforce'!$K37&gt;=2,FALSE())),IF(AND('Daily Schedule'!$A34&gt;=46,'Daily Schedule'!$A34&lt;=52),'Daily Workforce'!$M37="Y",IFERROR(1*'Daily Workforce'!$P37&gt;=2,FALSE()))))),1,0)</f>
        <v>1</v>
      </c>
      <c r="AW30" s="1" t="n">
        <f aca="false">IF(AND('Daily Workforce'!$N38="Y",'Daily Workforce'!$B38&lt;&gt;"",COUNTIF('Daily Schedule'!$F$5:$F33,'Daily Workforce'!$B38)=0,IF('Daily Schedule'!$A34=45,'Daily Workforce'!$J38="Y",IF(OR('Daily Schedule'!$A34=4,'Daily Schedule'!$A34=8),IF(OR(WEEKDAY('Daily Schedule'!$B$2,2)=1,WEEKDAY('Daily Schedule'!$B$2,2)=4,WEEKDAY('Daily Schedule'!$B$2,2)=5,WEEKDAY('Daily Schedule'!$B$2,2)=7),IFERROR(1*'Daily Workforce'!$K38&gt;=3,FALSE()),IFERROR(1*'Daily Workforce'!$K38&gt;=2,FALSE())),IF(AND('Daily Schedule'!$A34&gt;=46,'Daily Schedule'!$A34&lt;=52),'Daily Workforce'!$M38="Y",IFERROR(1*'Daily Workforce'!$P38&gt;=2,FALSE()))))),1,0)</f>
        <v>1</v>
      </c>
      <c r="AX30" s="1" t="n">
        <f aca="false">IF(AND('Daily Workforce'!$N39="Y",'Daily Workforce'!$B39&lt;&gt;"",COUNTIF('Daily Schedule'!$F$5:$F33,'Daily Workforce'!$B39)=0,IF('Daily Schedule'!$A34=45,'Daily Workforce'!$J39="Y",IF(OR('Daily Schedule'!$A34=4,'Daily Schedule'!$A34=8),IF(OR(WEEKDAY('Daily Schedule'!$B$2,2)=1,WEEKDAY('Daily Schedule'!$B$2,2)=4,WEEKDAY('Daily Schedule'!$B$2,2)=5,WEEKDAY('Daily Schedule'!$B$2,2)=7),IFERROR(1*'Daily Workforce'!$K39&gt;=3,FALSE()),IFERROR(1*'Daily Workforce'!$K39&gt;=2,FALSE())),IF(AND('Daily Schedule'!$A34&gt;=46,'Daily Schedule'!$A34&lt;=52),'Daily Workforce'!$M39="Y",IFERROR(1*'Daily Workforce'!$P39&gt;=2,FALSE()))))),1,0)</f>
        <v>1</v>
      </c>
      <c r="AY30" s="1" t="n">
        <f aca="false">IF(AND('Daily Workforce'!$N40="Y",'Daily Workforce'!$B40&lt;&gt;"",COUNTIF('Daily Schedule'!$F$5:$F33,'Daily Workforce'!$B40)=0,IF('Daily Schedule'!$A34=45,'Daily Workforce'!$J40="Y",IF(OR('Daily Schedule'!$A34=4,'Daily Schedule'!$A34=8),IF(OR(WEEKDAY('Daily Schedule'!$B$2,2)=1,WEEKDAY('Daily Schedule'!$B$2,2)=4,WEEKDAY('Daily Schedule'!$B$2,2)=5,WEEKDAY('Daily Schedule'!$B$2,2)=7),IFERROR(1*'Daily Workforce'!$K40&gt;=3,FALSE()),IFERROR(1*'Daily Workforce'!$K40&gt;=2,FALSE())),IF(AND('Daily Schedule'!$A34&gt;=46,'Daily Schedule'!$A34&lt;=52),'Daily Workforce'!$M40="Y",IFERROR(1*'Daily Workforce'!$P40&gt;=2,FALSE()))))),1,0)</f>
        <v>1</v>
      </c>
      <c r="AZ30" s="1" t="n">
        <f aca="false">IF(AND('Daily Workforce'!$N41="Y",'Daily Workforce'!$B41&lt;&gt;"",COUNTIF('Daily Schedule'!$F$5:$F33,'Daily Workforce'!$B41)=0,IF('Daily Schedule'!$A34=45,'Daily Workforce'!$J41="Y",IF(OR('Daily Schedule'!$A34=4,'Daily Schedule'!$A34=8),IF(OR(WEEKDAY('Daily Schedule'!$B$2,2)=1,WEEKDAY('Daily Schedule'!$B$2,2)=4,WEEKDAY('Daily Schedule'!$B$2,2)=5,WEEKDAY('Daily Schedule'!$B$2,2)=7),IFERROR(1*'Daily Workforce'!$K41&gt;=3,FALSE()),IFERROR(1*'Daily Workforce'!$K41&gt;=2,FALSE())),IF(AND('Daily Schedule'!$A34&gt;=46,'Daily Schedule'!$A34&lt;=52),'Daily Workforce'!$M41="Y",IFERROR(1*'Daily Workforce'!$P41&gt;=2,FALSE()))))),1,0)</f>
        <v>1</v>
      </c>
      <c r="BA30" s="1" t="n">
        <f aca="false">IF(AND('Daily Workforce'!$N42="Y",'Daily Workforce'!$B42&lt;&gt;"",COUNTIF('Daily Schedule'!$F$5:$F33,'Daily Workforce'!$B42)=0,IF('Daily Schedule'!$A34=45,'Daily Workforce'!$J42="Y",IF(OR('Daily Schedule'!$A34=4,'Daily Schedule'!$A34=8),IF(OR(WEEKDAY('Daily Schedule'!$B$2,2)=1,WEEKDAY('Daily Schedule'!$B$2,2)=4,WEEKDAY('Daily Schedule'!$B$2,2)=5,WEEKDAY('Daily Schedule'!$B$2,2)=7),IFERROR(1*'Daily Workforce'!$K42&gt;=3,FALSE()),IFERROR(1*'Daily Workforce'!$K42&gt;=2,FALSE())),IF(AND('Daily Schedule'!$A34&gt;=46,'Daily Schedule'!$A34&lt;=52),'Daily Workforce'!$M42="Y",IFERROR(1*'Daily Workforce'!$P42&gt;=2,FALSE()))))),1,0)</f>
        <v>1</v>
      </c>
      <c r="BB30" s="1" t="n">
        <f aca="false">IF(AND('Daily Workforce'!$N43="Y",'Daily Workforce'!$B43&lt;&gt;"",COUNTIF('Daily Schedule'!$F$5:$F33,'Daily Workforce'!$B43)=0,IF('Daily Schedule'!$A34=45,'Daily Workforce'!$J43="Y",IF(OR('Daily Schedule'!$A34=4,'Daily Schedule'!$A34=8),IF(OR(WEEKDAY('Daily Schedule'!$B$2,2)=1,WEEKDAY('Daily Schedule'!$B$2,2)=4,WEEKDAY('Daily Schedule'!$B$2,2)=5,WEEKDAY('Daily Schedule'!$B$2,2)=7),IFERROR(1*'Daily Workforce'!$K43&gt;=3,FALSE()),IFERROR(1*'Daily Workforce'!$K43&gt;=2,FALSE())),IF(AND('Daily Schedule'!$A34&gt;=46,'Daily Schedule'!$A34&lt;=52),'Daily Workforce'!$M43="Y",IFERROR(1*'Daily Workforce'!$P43&gt;=2,FALSE()))))),1,0)</f>
        <v>1</v>
      </c>
      <c r="BC30" s="1" t="n">
        <f aca="false">IF(AND('Daily Workforce'!$N44="Y",'Daily Workforce'!$B44&lt;&gt;"",COUNTIF('Daily Schedule'!$F$5:$F33,'Daily Workforce'!$B44)=0,IF('Daily Schedule'!$A34=45,'Daily Workforce'!$J44="Y",IF(OR('Daily Schedule'!$A34=4,'Daily Schedule'!$A34=8),IF(OR(WEEKDAY('Daily Schedule'!$B$2,2)=1,WEEKDAY('Daily Schedule'!$B$2,2)=4,WEEKDAY('Daily Schedule'!$B$2,2)=5,WEEKDAY('Daily Schedule'!$B$2,2)=7),IFERROR(1*'Daily Workforce'!$K44&gt;=3,FALSE()),IFERROR(1*'Daily Workforce'!$K44&gt;=2,FALSE())),IF(AND('Daily Schedule'!$A34&gt;=46,'Daily Schedule'!$A34&lt;=52),'Daily Workforce'!$M44="Y",IFERROR(1*'Daily Workforce'!$P44&gt;=2,FALSE()))))),1,0)</f>
        <v>1</v>
      </c>
      <c r="BD30" s="1" t="n">
        <f aca="false">IF(AND('Daily Workforce'!$N45="Y",'Daily Workforce'!$B45&lt;&gt;"",COUNTIF('Daily Schedule'!$F$5:$F33,'Daily Workforce'!$B45)=0,IF('Daily Schedule'!$A34=45,'Daily Workforce'!$J45="Y",IF(OR('Daily Schedule'!$A34=4,'Daily Schedule'!$A34=8),IF(OR(WEEKDAY('Daily Schedule'!$B$2,2)=1,WEEKDAY('Daily Schedule'!$B$2,2)=4,WEEKDAY('Daily Schedule'!$B$2,2)=5,WEEKDAY('Daily Schedule'!$B$2,2)=7),IFERROR(1*'Daily Workforce'!$K45&gt;=3,FALSE()),IFERROR(1*'Daily Workforce'!$K45&gt;=2,FALSE())),IF(AND('Daily Schedule'!$A34&gt;=46,'Daily Schedule'!$A34&lt;=52),'Daily Workforce'!$M45="Y",IFERROR(1*'Daily Workforce'!$P45&gt;=2,FALSE()))))),1,0)</f>
        <v>1</v>
      </c>
      <c r="BE30" s="1" t="n">
        <f aca="false">IF(AND('Daily Workforce'!$N46="Y",'Daily Workforce'!$B46&lt;&gt;"",COUNTIF('Daily Schedule'!$F$5:$F33,'Daily Workforce'!$B46)=0,IF('Daily Schedule'!$A34=45,'Daily Workforce'!$J46="Y",IF(OR('Daily Schedule'!$A34=4,'Daily Schedule'!$A34=8),IF(OR(WEEKDAY('Daily Schedule'!$B$2,2)=1,WEEKDAY('Daily Schedule'!$B$2,2)=4,WEEKDAY('Daily Schedule'!$B$2,2)=5,WEEKDAY('Daily Schedule'!$B$2,2)=7),IFERROR(1*'Daily Workforce'!$K46&gt;=3,FALSE()),IFERROR(1*'Daily Workforce'!$K46&gt;=2,FALSE())),IF(AND('Daily Schedule'!$A34&gt;=46,'Daily Schedule'!$A34&lt;=52),'Daily Workforce'!$M46="Y",IFERROR(1*'Daily Workforce'!$P46&gt;=2,FALSE()))))),1,0)</f>
        <v>1</v>
      </c>
      <c r="BF30" s="1" t="n">
        <f aca="false">IF(AND('Daily Workforce'!$N47="Y",'Daily Workforce'!$B47&lt;&gt;"",COUNTIF('Daily Schedule'!$F$5:$F33,'Daily Workforce'!$B47)=0,IF('Daily Schedule'!$A34=45,'Daily Workforce'!$J47="Y",IF(OR('Daily Schedule'!$A34=4,'Daily Schedule'!$A34=8),IF(OR(WEEKDAY('Daily Schedule'!$B$2,2)=1,WEEKDAY('Daily Schedule'!$B$2,2)=4,WEEKDAY('Daily Schedule'!$B$2,2)=5,WEEKDAY('Daily Schedule'!$B$2,2)=7),IFERROR(1*'Daily Workforce'!$K47&gt;=3,FALSE()),IFERROR(1*'Daily Workforce'!$K47&gt;=2,FALSE())),IF(AND('Daily Schedule'!$A34&gt;=46,'Daily Schedule'!$A34&lt;=52),'Daily Workforce'!$M47="Y",IFERROR(1*'Daily Workforce'!$P47&gt;=2,FALSE()))))),1,0)</f>
        <v>0</v>
      </c>
      <c r="BG30" s="1" t="n">
        <f aca="false">IF(AND('Daily Workforce'!$N48="Y",'Daily Workforce'!$B48&lt;&gt;"",COUNTIF('Daily Schedule'!$F$5:$F33,'Daily Workforce'!$B48)=0,IF('Daily Schedule'!$A34=45,'Daily Workforce'!$J48="Y",IF(OR('Daily Schedule'!$A34=4,'Daily Schedule'!$A34=8),IF(OR(WEEKDAY('Daily Schedule'!$B$2,2)=1,WEEKDAY('Daily Schedule'!$B$2,2)=4,WEEKDAY('Daily Schedule'!$B$2,2)=5,WEEKDAY('Daily Schedule'!$B$2,2)=7),IFERROR(1*'Daily Workforce'!$K48&gt;=3,FALSE()),IFERROR(1*'Daily Workforce'!$K48&gt;=2,FALSE())),IF(AND('Daily Schedule'!$A34&gt;=46,'Daily Schedule'!$A34&lt;=52),'Daily Workforce'!$M48="Y",IFERROR(1*'Daily Workforce'!$P48&gt;=2,FALSE()))))),1,0)</f>
        <v>1</v>
      </c>
      <c r="BH30" s="1" t="n">
        <f aca="false">IF(AND('Daily Workforce'!$N49="Y",'Daily Workforce'!$B49&lt;&gt;"",COUNTIF('Daily Schedule'!$F$5:$F33,'Daily Workforce'!$B49)=0,IF('Daily Schedule'!$A34=45,'Daily Workforce'!$J49="Y",IF(OR('Daily Schedule'!$A34=4,'Daily Schedule'!$A34=8),IF(OR(WEEKDAY('Daily Schedule'!$B$2,2)=1,WEEKDAY('Daily Schedule'!$B$2,2)=4,WEEKDAY('Daily Schedule'!$B$2,2)=5,WEEKDAY('Daily Schedule'!$B$2,2)=7),IFERROR(1*'Daily Workforce'!$K49&gt;=3,FALSE()),IFERROR(1*'Daily Workforce'!$K49&gt;=2,FALSE())),IF(AND('Daily Schedule'!$A34&gt;=46,'Daily Schedule'!$A34&lt;=52),'Daily Workforce'!$M49="Y",IFERROR(1*'Daily Workforce'!$P49&gt;=2,FALSE()))))),1,0)</f>
        <v>1</v>
      </c>
      <c r="BI30" s="1" t="n">
        <f aca="false">IF(AND('Daily Workforce'!$N50="Y",'Daily Workforce'!$B50&lt;&gt;"",COUNTIF('Daily Schedule'!$F$5:$F33,'Daily Workforce'!$B50)=0,IF('Daily Schedule'!$A34=45,'Daily Workforce'!$J50="Y",IF(OR('Daily Schedule'!$A34=4,'Daily Schedule'!$A34=8),IF(OR(WEEKDAY('Daily Schedule'!$B$2,2)=1,WEEKDAY('Daily Schedule'!$B$2,2)=4,WEEKDAY('Daily Schedule'!$B$2,2)=5,WEEKDAY('Daily Schedule'!$B$2,2)=7),IFERROR(1*'Daily Workforce'!$K50&gt;=3,FALSE()),IFERROR(1*'Daily Workforce'!$K50&gt;=2,FALSE())),IF(AND('Daily Schedule'!$A34&gt;=46,'Daily Schedule'!$A34&lt;=52),'Daily Workforce'!$M50="Y",IFERROR(1*'Daily Workforce'!$P50&gt;=2,FALSE()))))),1,0)</f>
        <v>0</v>
      </c>
      <c r="BJ30" s="1" t="n">
        <f aca="false">IF(AND('Daily Workforce'!$N51="Y",'Daily Workforce'!$B51&lt;&gt;"",COUNTIF('Daily Schedule'!$F$5:$F33,'Daily Workforce'!$B51)=0,IF('Daily Schedule'!$A34=45,'Daily Workforce'!$J51="Y",IF(OR('Daily Schedule'!$A34=4,'Daily Schedule'!$A34=8),IF(OR(WEEKDAY('Daily Schedule'!$B$2,2)=1,WEEKDAY('Daily Schedule'!$B$2,2)=4,WEEKDAY('Daily Schedule'!$B$2,2)=5,WEEKDAY('Daily Schedule'!$B$2,2)=7),IFERROR(1*'Daily Workforce'!$K51&gt;=3,FALSE()),IFERROR(1*'Daily Workforce'!$K51&gt;=2,FALSE())),IF(AND('Daily Schedule'!$A34&gt;=46,'Daily Schedule'!$A34&lt;=52),'Daily Workforce'!$M51="Y",IFERROR(1*'Daily Workforce'!$P51&gt;=2,FALSE()))))),1,0)</f>
        <v>1</v>
      </c>
      <c r="BK30" s="1" t="n">
        <f aca="false">IF(AND('Daily Workforce'!$N52="Y",'Daily Workforce'!$B52&lt;&gt;"",COUNTIF('Daily Schedule'!$F$5:$F33,'Daily Workforce'!$B52)=0,IF('Daily Schedule'!$A34=45,'Daily Workforce'!$J52="Y",IF(OR('Daily Schedule'!$A34=4,'Daily Schedule'!$A34=8),IF(OR(WEEKDAY('Daily Schedule'!$B$2,2)=1,WEEKDAY('Daily Schedule'!$B$2,2)=4,WEEKDAY('Daily Schedule'!$B$2,2)=5,WEEKDAY('Daily Schedule'!$B$2,2)=7),IFERROR(1*'Daily Workforce'!$K52&gt;=3,FALSE()),IFERROR(1*'Daily Workforce'!$K52&gt;=2,FALSE())),IF(AND('Daily Schedule'!$A34&gt;=46,'Daily Schedule'!$A34&lt;=52),'Daily Workforce'!$M52="Y",IFERROR(1*'Daily Workforce'!$P52&gt;=2,FALSE()))))),1,0)</f>
        <v>1</v>
      </c>
      <c r="BL30" s="1" t="n">
        <f aca="false">IF(AND('Daily Workforce'!$N53="Y",'Daily Workforce'!$B53&lt;&gt;"",COUNTIF('Daily Schedule'!$F$5:$F33,'Daily Workforce'!$B53)=0,IF('Daily Schedule'!$A34=45,'Daily Workforce'!$J53="Y",IF(OR('Daily Schedule'!$A34=4,'Daily Schedule'!$A34=8),IF(OR(WEEKDAY('Daily Schedule'!$B$2,2)=1,WEEKDAY('Daily Schedule'!$B$2,2)=4,WEEKDAY('Daily Schedule'!$B$2,2)=5,WEEKDAY('Daily Schedule'!$B$2,2)=7),IFERROR(1*'Daily Workforce'!$K53&gt;=3,FALSE()),IFERROR(1*'Daily Workforce'!$K53&gt;=2,FALSE())),IF(AND('Daily Schedule'!$A34&gt;=46,'Daily Schedule'!$A34&lt;=52),'Daily Workforce'!$M53="Y",IFERROR(1*'Daily Workforce'!$P53&gt;=2,FALSE()))))),1,0)</f>
        <v>1</v>
      </c>
      <c r="BM30" s="1" t="n">
        <f aca="false">IF(AND('Daily Workforce'!$N54="Y",'Daily Workforce'!$B54&lt;&gt;"",COUNTIF('Daily Schedule'!$F$5:$F33,'Daily Workforce'!$B54)=0,IF('Daily Schedule'!$A34=45,'Daily Workforce'!$J54="Y",IF(OR('Daily Schedule'!$A34=4,'Daily Schedule'!$A34=8),IF(OR(WEEKDAY('Daily Schedule'!$B$2,2)=1,WEEKDAY('Daily Schedule'!$B$2,2)=4,WEEKDAY('Daily Schedule'!$B$2,2)=5,WEEKDAY('Daily Schedule'!$B$2,2)=7),IFERROR(1*'Daily Workforce'!$K54&gt;=3,FALSE()),IFERROR(1*'Daily Workforce'!$K54&gt;=2,FALSE())),IF(AND('Daily Schedule'!$A34&gt;=46,'Daily Schedule'!$A34&lt;=52),'Daily Workforce'!$M54="Y",IFERROR(1*'Daily Workforce'!$P54&gt;=2,FALSE()))))),1,0)</f>
        <v>1</v>
      </c>
      <c r="BN30" s="1" t="n">
        <f aca="false">IF(AND('Daily Workforce'!$N55="Y",'Daily Workforce'!$B55&lt;&gt;"",COUNTIF('Daily Schedule'!$F$5:$F33,'Daily Workforce'!$B55)=0,IF('Daily Schedule'!$A34=45,'Daily Workforce'!$J55="Y",IF(OR('Daily Schedule'!$A34=4,'Daily Schedule'!$A34=8),IF(OR(WEEKDAY('Daily Schedule'!$B$2,2)=1,WEEKDAY('Daily Schedule'!$B$2,2)=4,WEEKDAY('Daily Schedule'!$B$2,2)=5,WEEKDAY('Daily Schedule'!$B$2,2)=7),IFERROR(1*'Daily Workforce'!$K55&gt;=3,FALSE()),IFERROR(1*'Daily Workforce'!$K55&gt;=2,FALSE())),IF(AND('Daily Schedule'!$A34&gt;=46,'Daily Schedule'!$A34&lt;=52),'Daily Workforce'!$M55="Y",IFERROR(1*'Daily Workforce'!$P55&gt;=2,FALSE()))))),1,0)</f>
        <v>1</v>
      </c>
      <c r="BO30" s="1" t="n">
        <f aca="false">IF(AND('Daily Workforce'!$N56="Y",'Daily Workforce'!$B56&lt;&gt;"",COUNTIF('Daily Schedule'!$F$5:$F33,'Daily Workforce'!$B56)=0,IF('Daily Schedule'!$A34=45,'Daily Workforce'!$J56="Y",IF(OR('Daily Schedule'!$A34=4,'Daily Schedule'!$A34=8),IF(OR(WEEKDAY('Daily Schedule'!$B$2,2)=1,WEEKDAY('Daily Schedule'!$B$2,2)=4,WEEKDAY('Daily Schedule'!$B$2,2)=5,WEEKDAY('Daily Schedule'!$B$2,2)=7),IFERROR(1*'Daily Workforce'!$K56&gt;=3,FALSE()),IFERROR(1*'Daily Workforce'!$K56&gt;=2,FALSE())),IF(AND('Daily Schedule'!$A34&gt;=46,'Daily Schedule'!$A34&lt;=52),'Daily Workforce'!$M56="Y",IFERROR(1*'Daily Workforce'!$P56&gt;=2,FALSE()))))),1,0)</f>
        <v>1</v>
      </c>
      <c r="BP30" s="1" t="n">
        <f aca="false">IF(AND('Daily Workforce'!$N57="Y",'Daily Workforce'!$B57&lt;&gt;"",COUNTIF('Daily Schedule'!$F$5:$F33,'Daily Workforce'!$B57)=0,IF('Daily Schedule'!$A34=45,'Daily Workforce'!$J57="Y",IF(OR('Daily Schedule'!$A34=4,'Daily Schedule'!$A34=8),IF(OR(WEEKDAY('Daily Schedule'!$B$2,2)=1,WEEKDAY('Daily Schedule'!$B$2,2)=4,WEEKDAY('Daily Schedule'!$B$2,2)=5,WEEKDAY('Daily Schedule'!$B$2,2)=7),IFERROR(1*'Daily Workforce'!$K57&gt;=3,FALSE()),IFERROR(1*'Daily Workforce'!$K57&gt;=2,FALSE())),IF(AND('Daily Schedule'!$A34&gt;=46,'Daily Schedule'!$A34&lt;=52),'Daily Workforce'!$M57="Y",IFERROR(1*'Daily Workforce'!$P57&gt;=2,FALSE()))))),1,0)</f>
        <v>0</v>
      </c>
      <c r="BQ30" s="1" t="n">
        <f aca="false">IF(AND('Daily Workforce'!$N58="Y",'Daily Workforce'!$B58&lt;&gt;"",COUNTIF('Daily Schedule'!$F$5:$F33,'Daily Workforce'!$B58)=0,IF('Daily Schedule'!$A34=45,'Daily Workforce'!$J58="Y",IF(OR('Daily Schedule'!$A34=4,'Daily Schedule'!$A34=8),IF(OR(WEEKDAY('Daily Schedule'!$B$2,2)=1,WEEKDAY('Daily Schedule'!$B$2,2)=4,WEEKDAY('Daily Schedule'!$B$2,2)=5,WEEKDAY('Daily Schedule'!$B$2,2)=7),IFERROR(1*'Daily Workforce'!$K58&gt;=3,FALSE()),IFERROR(1*'Daily Workforce'!$K58&gt;=2,FALSE())),IF(AND('Daily Schedule'!$A34&gt;=46,'Daily Schedule'!$A34&lt;=52),'Daily Workforce'!$M58="Y",IFERROR(1*'Daily Workforce'!$P58&gt;=2,FALSE()))))),1,0)</f>
        <v>1</v>
      </c>
      <c r="BR30" s="1" t="n">
        <f aca="false">IF(AND('Daily Workforce'!$N59="Y",'Daily Workforce'!$B59&lt;&gt;"",COUNTIF('Daily Schedule'!$F$5:$F33,'Daily Workforce'!$B59)=0,IF('Daily Schedule'!$A34=45,'Daily Workforce'!$J59="Y",IF(OR('Daily Schedule'!$A34=4,'Daily Schedule'!$A34=8),IF(OR(WEEKDAY('Daily Schedule'!$B$2,2)=1,WEEKDAY('Daily Schedule'!$B$2,2)=4,WEEKDAY('Daily Schedule'!$B$2,2)=5,WEEKDAY('Daily Schedule'!$B$2,2)=7),IFERROR(1*'Daily Workforce'!$K59&gt;=3,FALSE()),IFERROR(1*'Daily Workforce'!$K59&gt;=2,FALSE())),IF(AND('Daily Schedule'!$A34&gt;=46,'Daily Schedule'!$A34&lt;=52),'Daily Workforce'!$M59="Y",IFERROR(1*'Daily Workforce'!$P59&gt;=2,FALSE()))))),1,0)</f>
        <v>1</v>
      </c>
      <c r="BS30" s="1" t="n">
        <f aca="false">IF(AND('Daily Workforce'!$N60="Y",'Daily Workforce'!$B60&lt;&gt;"",COUNTIF('Daily Schedule'!$F$5:$F33,'Daily Workforce'!$B60)=0,IF('Daily Schedule'!$A34=45,'Daily Workforce'!$J60="Y",IF(OR('Daily Schedule'!$A34=4,'Daily Schedule'!$A34=8),IF(OR(WEEKDAY('Daily Schedule'!$B$2,2)=1,WEEKDAY('Daily Schedule'!$B$2,2)=4,WEEKDAY('Daily Schedule'!$B$2,2)=5,WEEKDAY('Daily Schedule'!$B$2,2)=7),IFERROR(1*'Daily Workforce'!$K60&gt;=3,FALSE()),IFERROR(1*'Daily Workforce'!$K60&gt;=2,FALSE())),IF(AND('Daily Schedule'!$A34&gt;=46,'Daily Schedule'!$A34&lt;=52),'Daily Workforce'!$M60="Y",IFERROR(1*'Daily Workforce'!$P60&gt;=2,FALSE()))))),1,0)</f>
        <v>1</v>
      </c>
      <c r="BT30" s="1" t="n">
        <f aca="false">IF(AND('Daily Workforce'!$N61="Y",'Daily Workforce'!$B61&lt;&gt;"",COUNTIF('Daily Schedule'!$F$5:$F33,'Daily Workforce'!$B61)=0,IF('Daily Schedule'!$A34=45,'Daily Workforce'!$J61="Y",IF(OR('Daily Schedule'!$A34=4,'Daily Schedule'!$A34=8),IF(OR(WEEKDAY('Daily Schedule'!$B$2,2)=1,WEEKDAY('Daily Schedule'!$B$2,2)=4,WEEKDAY('Daily Schedule'!$B$2,2)=5,WEEKDAY('Daily Schedule'!$B$2,2)=7),IFERROR(1*'Daily Workforce'!$K61&gt;=3,FALSE()),IFERROR(1*'Daily Workforce'!$K61&gt;=2,FALSE())),IF(AND('Daily Schedule'!$A34&gt;=46,'Daily Schedule'!$A34&lt;=52),'Daily Workforce'!$M61="Y",IFERROR(1*'Daily Workforce'!$P61&gt;=2,FALSE()))))),1,0)</f>
        <v>0</v>
      </c>
      <c r="BU30" s="1" t="n">
        <f aca="false">IF(AND('Daily Workforce'!$N62="Y",'Daily Workforce'!$B62&lt;&gt;"",COUNTIF('Daily Schedule'!$F$5:$F33,'Daily Workforce'!$B62)=0,IF('Daily Schedule'!$A34=45,'Daily Workforce'!$J62="Y",IF(OR('Daily Schedule'!$A34=4,'Daily Schedule'!$A34=8),IF(OR(WEEKDAY('Daily Schedule'!$B$2,2)=1,WEEKDAY('Daily Schedule'!$B$2,2)=4,WEEKDAY('Daily Schedule'!$B$2,2)=5,WEEKDAY('Daily Schedule'!$B$2,2)=7),IFERROR(1*'Daily Workforce'!$K62&gt;=3,FALSE()),IFERROR(1*'Daily Workforce'!$K62&gt;=2,FALSE())),IF(AND('Daily Schedule'!$A34&gt;=46,'Daily Schedule'!$A34&lt;=52),'Daily Workforce'!$M62="Y",IFERROR(1*'Daily Workforce'!$P62&gt;=2,FALSE()))))),1,0)</f>
        <v>1</v>
      </c>
      <c r="BV30" s="1" t="n">
        <f aca="false">IF(AND('Daily Workforce'!$N63="Y",'Daily Workforce'!$B63&lt;&gt;"",COUNTIF('Daily Schedule'!$F$5:$F33,'Daily Workforce'!$B63)=0,IF('Daily Schedule'!$A34=45,'Daily Workforce'!$J63="Y",IF(OR('Daily Schedule'!$A34=4,'Daily Schedule'!$A34=8),IF(OR(WEEKDAY('Daily Schedule'!$B$2,2)=1,WEEKDAY('Daily Schedule'!$B$2,2)=4,WEEKDAY('Daily Schedule'!$B$2,2)=5,WEEKDAY('Daily Schedule'!$B$2,2)=7),IFERROR(1*'Daily Workforce'!$K63&gt;=3,FALSE()),IFERROR(1*'Daily Workforce'!$K63&gt;=2,FALSE())),IF(AND('Daily Schedule'!$A34&gt;=46,'Daily Schedule'!$A34&lt;=52),'Daily Workforce'!$M63="Y",IFERROR(1*'Daily Workforce'!$P63&gt;=2,FALSE()))))),1,0)</f>
        <v>1</v>
      </c>
      <c r="BW30" s="1" t="n">
        <f aca="false">IF(AND('Daily Workforce'!$N64="Y",'Daily Workforce'!$B64&lt;&gt;"",COUNTIF('Daily Schedule'!$F$5:$F33,'Daily Workforce'!$B64)=0,IF('Daily Schedule'!$A34=45,'Daily Workforce'!$J64="Y",IF(OR('Daily Schedule'!$A34=4,'Daily Schedule'!$A34=8),IF(OR(WEEKDAY('Daily Schedule'!$B$2,2)=1,WEEKDAY('Daily Schedule'!$B$2,2)=4,WEEKDAY('Daily Schedule'!$B$2,2)=5,WEEKDAY('Daily Schedule'!$B$2,2)=7),IFERROR(1*'Daily Workforce'!$K64&gt;=3,FALSE()),IFERROR(1*'Daily Workforce'!$K64&gt;=2,FALSE())),IF(AND('Daily Schedule'!$A34&gt;=46,'Daily Schedule'!$A34&lt;=52),'Daily Workforce'!$M64="Y",IFERROR(1*'Daily Workforce'!$P64&gt;=2,FALSE()))))),1,0)</f>
        <v>1</v>
      </c>
      <c r="BX30" s="1" t="n">
        <f aca="false">IF(AND('Daily Workforce'!$N65="Y",'Daily Workforce'!$B65&lt;&gt;"",COUNTIF('Daily Schedule'!$F$5:$F33,'Daily Workforce'!$B65)=0,IF('Daily Schedule'!$A34=45,'Daily Workforce'!$J65="Y",IF(OR('Daily Schedule'!$A34=4,'Daily Schedule'!$A34=8),IF(OR(WEEKDAY('Daily Schedule'!$B$2,2)=1,WEEKDAY('Daily Schedule'!$B$2,2)=4,WEEKDAY('Daily Schedule'!$B$2,2)=5,WEEKDAY('Daily Schedule'!$B$2,2)=7),IFERROR(1*'Daily Workforce'!$K65&gt;=3,FALSE()),IFERROR(1*'Daily Workforce'!$K65&gt;=2,FALSE())),IF(AND('Daily Schedule'!$A34&gt;=46,'Daily Schedule'!$A34&lt;=52),'Daily Workforce'!$M65="Y",IFERROR(1*'Daily Workforce'!$P65&gt;=2,FALSE()))))),1,0)</f>
        <v>1</v>
      </c>
      <c r="BY30" s="1" t="n">
        <f aca="false">IF(AND('Daily Workforce'!$N66="Y",'Daily Workforce'!$B66&lt;&gt;"",COUNTIF('Daily Schedule'!$F$5:$F33,'Daily Workforce'!$B66)=0,IF('Daily Schedule'!$A34=45,'Daily Workforce'!$J66="Y",IF(OR('Daily Schedule'!$A34=4,'Daily Schedule'!$A34=8),IF(OR(WEEKDAY('Daily Schedule'!$B$2,2)=1,WEEKDAY('Daily Schedule'!$B$2,2)=4,WEEKDAY('Daily Schedule'!$B$2,2)=5,WEEKDAY('Daily Schedule'!$B$2,2)=7),IFERROR(1*'Daily Workforce'!$K66&gt;=3,FALSE()),IFERROR(1*'Daily Workforce'!$K66&gt;=2,FALSE())),IF(AND('Daily Schedule'!$A34&gt;=46,'Daily Schedule'!$A34&lt;=52),'Daily Workforce'!$M66="Y",IFERROR(1*'Daily Workforce'!$P66&gt;=2,FALSE()))))),1,0)</f>
        <v>1</v>
      </c>
      <c r="BZ30" s="1" t="n">
        <f aca="false">IF(AND('Daily Workforce'!$N67="Y",'Daily Workforce'!$B67&lt;&gt;"",COUNTIF('Daily Schedule'!$F$5:$F33,'Daily Workforce'!$B67)=0,IF('Daily Schedule'!$A34=45,'Daily Workforce'!$J67="Y",IF(OR('Daily Schedule'!$A34=4,'Daily Schedule'!$A34=8),IF(OR(WEEKDAY('Daily Schedule'!$B$2,2)=1,WEEKDAY('Daily Schedule'!$B$2,2)=4,WEEKDAY('Daily Schedule'!$B$2,2)=5,WEEKDAY('Daily Schedule'!$B$2,2)=7),IFERROR(1*'Daily Workforce'!$K67&gt;=3,FALSE()),IFERROR(1*'Daily Workforce'!$K67&gt;=2,FALSE())),IF(AND('Daily Schedule'!$A34&gt;=46,'Daily Schedule'!$A34&lt;=52),'Daily Workforce'!$M67="Y",IFERROR(1*'Daily Workforce'!$P67&gt;=2,FALSE()))))),1,0)</f>
        <v>1</v>
      </c>
      <c r="CA30" s="1" t="n">
        <f aca="false">IF(AND('Daily Workforce'!$N68="Y",'Daily Workforce'!$B68&lt;&gt;"",COUNTIF('Daily Schedule'!$F$5:$F33,'Daily Workforce'!$B68)=0,IF('Daily Schedule'!$A34=45,'Daily Workforce'!$J68="Y",IF(OR('Daily Schedule'!$A34=4,'Daily Schedule'!$A34=8),IF(OR(WEEKDAY('Daily Schedule'!$B$2,2)=1,WEEKDAY('Daily Schedule'!$B$2,2)=4,WEEKDAY('Daily Schedule'!$B$2,2)=5,WEEKDAY('Daily Schedule'!$B$2,2)=7),IFERROR(1*'Daily Workforce'!$K68&gt;=3,FALSE()),IFERROR(1*'Daily Workforce'!$K68&gt;=2,FALSE())),IF(AND('Daily Schedule'!$A34&gt;=46,'Daily Schedule'!$A34&lt;=52),'Daily Workforce'!$M68="Y",IFERROR(1*'Daily Workforce'!$P68&gt;=2,FALSE()))))),1,0)</f>
        <v>1</v>
      </c>
      <c r="CB30" s="1" t="n">
        <f aca="false">IF(AND('Daily Workforce'!$N69="Y",'Daily Workforce'!$B69&lt;&gt;"",COUNTIF('Daily Schedule'!$F$5:$F33,'Daily Workforce'!$B69)=0,IF('Daily Schedule'!$A34=45,'Daily Workforce'!$J69="Y",IF(OR('Daily Schedule'!$A34=4,'Daily Schedule'!$A34=8),IF(OR(WEEKDAY('Daily Schedule'!$B$2,2)=1,WEEKDAY('Daily Schedule'!$B$2,2)=4,WEEKDAY('Daily Schedule'!$B$2,2)=5,WEEKDAY('Daily Schedule'!$B$2,2)=7),IFERROR(1*'Daily Workforce'!$K69&gt;=3,FALSE()),IFERROR(1*'Daily Workforce'!$K69&gt;=2,FALSE())),IF(AND('Daily Schedule'!$A34&gt;=46,'Daily Schedule'!$A34&lt;=52),'Daily Workforce'!$M69="Y",IFERROR(1*'Daily Workforce'!$P69&gt;=2,FALSE()))))),1,0)</f>
        <v>1</v>
      </c>
      <c r="CC30" s="1" t="n">
        <f aca="false">IF(AND('Daily Workforce'!$N70="Y",'Daily Workforce'!$B70&lt;&gt;"",COUNTIF('Daily Schedule'!$F$5:$F33,'Daily Workforce'!$B70)=0,IF('Daily Schedule'!$A34=45,'Daily Workforce'!$J70="Y",IF(OR('Daily Schedule'!$A34=4,'Daily Schedule'!$A34=8),IF(OR(WEEKDAY('Daily Schedule'!$B$2,2)=1,WEEKDAY('Daily Schedule'!$B$2,2)=4,WEEKDAY('Daily Schedule'!$B$2,2)=5,WEEKDAY('Daily Schedule'!$B$2,2)=7),IFERROR(1*'Daily Workforce'!$K70&gt;=3,FALSE()),IFERROR(1*'Daily Workforce'!$K70&gt;=2,FALSE())),IF(AND('Daily Schedule'!$A34&gt;=46,'Daily Schedule'!$A34&lt;=52),'Daily Workforce'!$M70="Y",IFERROR(1*'Daily Workforce'!$P70&gt;=2,FALSE()))))),1,0)</f>
        <v>1</v>
      </c>
      <c r="CD30" s="1" t="n">
        <f aca="false">IF(AND('Daily Workforce'!$N71="Y",'Daily Workforce'!$B71&lt;&gt;"",COUNTIF('Daily Schedule'!$F$5:$F33,'Daily Workforce'!$B71)=0,IF('Daily Schedule'!$A34=45,'Daily Workforce'!$J71="Y",IF(OR('Daily Schedule'!$A34=4,'Daily Schedule'!$A34=8),IF(OR(WEEKDAY('Daily Schedule'!$B$2,2)=1,WEEKDAY('Daily Schedule'!$B$2,2)=4,WEEKDAY('Daily Schedule'!$B$2,2)=5,WEEKDAY('Daily Schedule'!$B$2,2)=7),IFERROR(1*'Daily Workforce'!$K71&gt;=3,FALSE()),IFERROR(1*'Daily Workforce'!$K71&gt;=2,FALSE())),IF(AND('Daily Schedule'!$A34&gt;=46,'Daily Schedule'!$A34&lt;=52),'Daily Workforce'!$M71="Y",IFERROR(1*'Daily Workforce'!$P71&gt;=2,FALSE()))))),1,0)</f>
        <v>1</v>
      </c>
      <c r="CE30" s="1" t="n">
        <f aca="false">IF(AND('Daily Workforce'!$N72="Y",'Daily Workforce'!$B72&lt;&gt;"",COUNTIF('Daily Schedule'!$F$5:$F33,'Daily Workforce'!$B72)=0,IF('Daily Schedule'!$A34=45,'Daily Workforce'!$J72="Y",IF(OR('Daily Schedule'!$A34=4,'Daily Schedule'!$A34=8),IF(OR(WEEKDAY('Daily Schedule'!$B$2,2)=1,WEEKDAY('Daily Schedule'!$B$2,2)=4,WEEKDAY('Daily Schedule'!$B$2,2)=5,WEEKDAY('Daily Schedule'!$B$2,2)=7),IFERROR(1*'Daily Workforce'!$K72&gt;=3,FALSE()),IFERROR(1*'Daily Workforce'!$K72&gt;=2,FALSE())),IF(AND('Daily Schedule'!$A34&gt;=46,'Daily Schedule'!$A34&lt;=52),'Daily Workforce'!$M72="Y",IFERROR(1*'Daily Workforce'!$P72&gt;=2,FALSE()))))),1,0)</f>
        <v>1</v>
      </c>
      <c r="CF30" s="1" t="n">
        <f aca="false">IF(AND('Daily Workforce'!$N73="Y",'Daily Workforce'!$B73&lt;&gt;"",COUNTIF('Daily Schedule'!$F$5:$F33,'Daily Workforce'!$B73)=0,IF('Daily Schedule'!$A34=45,'Daily Workforce'!$J73="Y",IF(OR('Daily Schedule'!$A34=4,'Daily Schedule'!$A34=8),IF(OR(WEEKDAY('Daily Schedule'!$B$2,2)=1,WEEKDAY('Daily Schedule'!$B$2,2)=4,WEEKDAY('Daily Schedule'!$B$2,2)=5,WEEKDAY('Daily Schedule'!$B$2,2)=7),IFERROR(1*'Daily Workforce'!$K73&gt;=3,FALSE()),IFERROR(1*'Daily Workforce'!$K73&gt;=2,FALSE())),IF(AND('Daily Schedule'!$A34&gt;=46,'Daily Schedule'!$A34&lt;=52),'Daily Workforce'!$M73="Y",IFERROR(1*'Daily Workforce'!$P73&gt;=2,FALSE()))))),1,0)</f>
        <v>1</v>
      </c>
      <c r="CG30" s="1" t="n">
        <f aca="false">IF(AND('Daily Workforce'!$N74="Y",'Daily Workforce'!$B74&lt;&gt;"",COUNTIF('Daily Schedule'!$F$5:$F33,'Daily Workforce'!$B74)=0,IF('Daily Schedule'!$A34=45,'Daily Workforce'!$J74="Y",IF(OR('Daily Schedule'!$A34=4,'Daily Schedule'!$A34=8),IF(OR(WEEKDAY('Daily Schedule'!$B$2,2)=1,WEEKDAY('Daily Schedule'!$B$2,2)=4,WEEKDAY('Daily Schedule'!$B$2,2)=5,WEEKDAY('Daily Schedule'!$B$2,2)=7),IFERROR(1*'Daily Workforce'!$K74&gt;=3,FALSE()),IFERROR(1*'Daily Workforce'!$K74&gt;=2,FALSE())),IF(AND('Daily Schedule'!$A34&gt;=46,'Daily Schedule'!$A34&lt;=52),'Daily Workforce'!$M74="Y",IFERROR(1*'Daily Workforce'!$P74&gt;=2,FALSE()))))),1,0)</f>
        <v>1</v>
      </c>
      <c r="CH30" s="1" t="n">
        <f aca="false">IF(AND('Daily Workforce'!$N75="Y",'Daily Workforce'!$B75&lt;&gt;"",COUNTIF('Daily Schedule'!$F$5:$F33,'Daily Workforce'!$B75)=0,IF('Daily Schedule'!$A34=45,'Daily Workforce'!$J75="Y",IF(OR('Daily Schedule'!$A34=4,'Daily Schedule'!$A34=8),IF(OR(WEEKDAY('Daily Schedule'!$B$2,2)=1,WEEKDAY('Daily Schedule'!$B$2,2)=4,WEEKDAY('Daily Schedule'!$B$2,2)=5,WEEKDAY('Daily Schedule'!$B$2,2)=7),IFERROR(1*'Daily Workforce'!$K75&gt;=3,FALSE()),IFERROR(1*'Daily Workforce'!$K75&gt;=2,FALSE())),IF(AND('Daily Schedule'!$A34&gt;=46,'Daily Schedule'!$A34&lt;=52),'Daily Workforce'!$M75="Y",IFERROR(1*'Daily Workforce'!$P75&gt;=2,FALSE()))))),1,0)</f>
        <v>1</v>
      </c>
      <c r="CI30" s="1" t="n">
        <f aca="false">IF(AND('Daily Workforce'!$N76="Y",'Daily Workforce'!$B76&lt;&gt;"",COUNTIF('Daily Schedule'!$F$5:$F33,'Daily Workforce'!$B76)=0,IF('Daily Schedule'!$A34=45,'Daily Workforce'!$J76="Y",IF(OR('Daily Schedule'!$A34=4,'Daily Schedule'!$A34=8),IF(OR(WEEKDAY('Daily Schedule'!$B$2,2)=1,WEEKDAY('Daily Schedule'!$B$2,2)=4,WEEKDAY('Daily Schedule'!$B$2,2)=5,WEEKDAY('Daily Schedule'!$B$2,2)=7),IFERROR(1*'Daily Workforce'!$K76&gt;=3,FALSE()),IFERROR(1*'Daily Workforce'!$K76&gt;=2,FALSE())),IF(AND('Daily Schedule'!$A34&gt;=46,'Daily Schedule'!$A34&lt;=52),'Daily Workforce'!$M76="Y",IFERROR(1*'Daily Workforce'!$P76&gt;=2,FALSE()))))),1,0)</f>
        <v>1</v>
      </c>
      <c r="CJ30" s="1" t="n">
        <f aca="false">IF(AND('Daily Workforce'!$N77="Y",'Daily Workforce'!$B77&lt;&gt;"",COUNTIF('Daily Schedule'!$F$5:$F33,'Daily Workforce'!$B77)=0,IF('Daily Schedule'!$A34=45,'Daily Workforce'!$J77="Y",IF(OR('Daily Schedule'!$A34=4,'Daily Schedule'!$A34=8),IF(OR(WEEKDAY('Daily Schedule'!$B$2,2)=1,WEEKDAY('Daily Schedule'!$B$2,2)=4,WEEKDAY('Daily Schedule'!$B$2,2)=5,WEEKDAY('Daily Schedule'!$B$2,2)=7),IFERROR(1*'Daily Workforce'!$K77&gt;=3,FALSE()),IFERROR(1*'Daily Workforce'!$K77&gt;=2,FALSE())),IF(AND('Daily Schedule'!$A34&gt;=46,'Daily Schedule'!$A34&lt;=52),'Daily Workforce'!$M77="Y",IFERROR(1*'Daily Workforce'!$P77&gt;=2,FALSE()))))),1,0)</f>
        <v>1</v>
      </c>
      <c r="CK30" s="1" t="n">
        <f aca="false">IF(AND('Daily Workforce'!$N78="Y",'Daily Workforce'!$B78&lt;&gt;"",COUNTIF('Daily Schedule'!$F$5:$F33,'Daily Workforce'!$B78)=0,IF('Daily Schedule'!$A34=45,'Daily Workforce'!$J78="Y",IF(OR('Daily Schedule'!$A34=4,'Daily Schedule'!$A34=8),IF(OR(WEEKDAY('Daily Schedule'!$B$2,2)=1,WEEKDAY('Daily Schedule'!$B$2,2)=4,WEEKDAY('Daily Schedule'!$B$2,2)=5,WEEKDAY('Daily Schedule'!$B$2,2)=7),IFERROR(1*'Daily Workforce'!$K78&gt;=3,FALSE()),IFERROR(1*'Daily Workforce'!$K78&gt;=2,FALSE())),IF(AND('Daily Schedule'!$A34&gt;=46,'Daily Schedule'!$A34&lt;=52),'Daily Workforce'!$M78="Y",IFERROR(1*'Daily Workforce'!$P78&gt;=2,FALSE()))))),1,0)</f>
        <v>1</v>
      </c>
      <c r="CL30" s="1" t="n">
        <f aca="false">IF(AND('Daily Workforce'!$N79="Y",'Daily Workforce'!$B79&lt;&gt;"",COUNTIF('Daily Schedule'!$F$5:$F33,'Daily Workforce'!$B79)=0,IF('Daily Schedule'!$A34=45,'Daily Workforce'!$J79="Y",IF(OR('Daily Schedule'!$A34=4,'Daily Schedule'!$A34=8),IF(OR(WEEKDAY('Daily Schedule'!$B$2,2)=1,WEEKDAY('Daily Schedule'!$B$2,2)=4,WEEKDAY('Daily Schedule'!$B$2,2)=5,WEEKDAY('Daily Schedule'!$B$2,2)=7),IFERROR(1*'Daily Workforce'!$K79&gt;=3,FALSE()),IFERROR(1*'Daily Workforce'!$K79&gt;=2,FALSE())),IF(AND('Daily Schedule'!$A34&gt;=46,'Daily Schedule'!$A34&lt;=52),'Daily Workforce'!$M79="Y",IFERROR(1*'Daily Workforce'!$P79&gt;=2,FALSE()))))),1,0)</f>
        <v>1</v>
      </c>
      <c r="CM30" s="1" t="n">
        <f aca="false">IF(AND('Daily Workforce'!$N80="Y",'Daily Workforce'!$B80&lt;&gt;"",COUNTIF('Daily Schedule'!$F$5:$F33,'Daily Workforce'!$B80)=0,IF('Daily Schedule'!$A34=45,'Daily Workforce'!$J80="Y",IF(OR('Daily Schedule'!$A34=4,'Daily Schedule'!$A34=8),IF(OR(WEEKDAY('Daily Schedule'!$B$2,2)=1,WEEKDAY('Daily Schedule'!$B$2,2)=4,WEEKDAY('Daily Schedule'!$B$2,2)=5,WEEKDAY('Daily Schedule'!$B$2,2)=7),IFERROR(1*'Daily Workforce'!$K80&gt;=3,FALSE()),IFERROR(1*'Daily Workforce'!$K80&gt;=2,FALSE())),IF(AND('Daily Schedule'!$A34&gt;=46,'Daily Schedule'!$A34&lt;=52),'Daily Workforce'!$M80="Y",IFERROR(1*'Daily Workforce'!$P80&gt;=2,FALSE()))))),1,0)</f>
        <v>1</v>
      </c>
      <c r="CN30" s="1" t="n">
        <f aca="false">IF(AND('Daily Workforce'!$N81="Y",'Daily Workforce'!$B81&lt;&gt;"",COUNTIF('Daily Schedule'!$F$5:$F33,'Daily Workforce'!$B81)=0,IF('Daily Schedule'!$A34=45,'Daily Workforce'!$J81="Y",IF(OR('Daily Schedule'!$A34=4,'Daily Schedule'!$A34=8),IF(OR(WEEKDAY('Daily Schedule'!$B$2,2)=1,WEEKDAY('Daily Schedule'!$B$2,2)=4,WEEKDAY('Daily Schedule'!$B$2,2)=5,WEEKDAY('Daily Schedule'!$B$2,2)=7),IFERROR(1*'Daily Workforce'!$K81&gt;=3,FALSE()),IFERROR(1*'Daily Workforce'!$K81&gt;=2,FALSE())),IF(AND('Daily Schedule'!$A34&gt;=46,'Daily Schedule'!$A34&lt;=52),'Daily Workforce'!$M81="Y",IFERROR(1*'Daily Workforce'!$P81&gt;=2,FALSE()))))),1,0)</f>
        <v>1</v>
      </c>
      <c r="CO30" s="1" t="n">
        <f aca="false">IF(AND('Daily Workforce'!$N82="Y",'Daily Workforce'!$B82&lt;&gt;"",COUNTIF('Daily Schedule'!$F$5:$F33,'Daily Workforce'!$B82)=0,IF('Daily Schedule'!$A34=45,'Daily Workforce'!$J82="Y",IF(OR('Daily Schedule'!$A34=4,'Daily Schedule'!$A34=8),IF(OR(WEEKDAY('Daily Schedule'!$B$2,2)=1,WEEKDAY('Daily Schedule'!$B$2,2)=4,WEEKDAY('Daily Schedule'!$B$2,2)=5,WEEKDAY('Daily Schedule'!$B$2,2)=7),IFERROR(1*'Daily Workforce'!$K82&gt;=3,FALSE()),IFERROR(1*'Daily Workforce'!$K82&gt;=2,FALSE())),IF(AND('Daily Schedule'!$A34&gt;=46,'Daily Schedule'!$A34&lt;=52),'Daily Workforce'!$M82="Y",IFERROR(1*'Daily Workforce'!$P82&gt;=2,FALSE()))))),1,0)</f>
        <v>1</v>
      </c>
      <c r="CP30" s="1" t="n">
        <f aca="false">IF(AND('Daily Workforce'!$N83="Y",'Daily Workforce'!$B83&lt;&gt;"",COUNTIF('Daily Schedule'!$F$5:$F33,'Daily Workforce'!$B83)=0,IF('Daily Schedule'!$A34=45,'Daily Workforce'!$J83="Y",IF(OR('Daily Schedule'!$A34=4,'Daily Schedule'!$A34=8),IF(OR(WEEKDAY('Daily Schedule'!$B$2,2)=1,WEEKDAY('Daily Schedule'!$B$2,2)=4,WEEKDAY('Daily Schedule'!$B$2,2)=5,WEEKDAY('Daily Schedule'!$B$2,2)=7),IFERROR(1*'Daily Workforce'!$K83&gt;=3,FALSE()),IFERROR(1*'Daily Workforce'!$K83&gt;=2,FALSE())),IF(AND('Daily Schedule'!$A34&gt;=46,'Daily Schedule'!$A34&lt;=52),'Daily Workforce'!$M83="Y",IFERROR(1*'Daily Workforce'!$P83&gt;=2,FALSE()))))),1,0)</f>
        <v>0</v>
      </c>
      <c r="CQ30" s="1" t="n">
        <f aca="false">IF(AND('Daily Workforce'!$N84="Y",'Daily Workforce'!$B84&lt;&gt;"",COUNTIF('Daily Schedule'!$F$5:$F33,'Daily Workforce'!$B84)=0,IF('Daily Schedule'!$A34=45,'Daily Workforce'!$J84="Y",IF(OR('Daily Schedule'!$A34=4,'Daily Schedule'!$A34=8),IF(OR(WEEKDAY('Daily Schedule'!$B$2,2)=1,WEEKDAY('Daily Schedule'!$B$2,2)=4,WEEKDAY('Daily Schedule'!$B$2,2)=5,WEEKDAY('Daily Schedule'!$B$2,2)=7),IFERROR(1*'Daily Workforce'!$K84&gt;=3,FALSE()),IFERROR(1*'Daily Workforce'!$K84&gt;=2,FALSE())),IF(AND('Daily Schedule'!$A34&gt;=46,'Daily Schedule'!$A34&lt;=52),'Daily Workforce'!$M84="Y",IFERROR(1*'Daily Workforce'!$P84&gt;=2,FALSE()))))),1,0)</f>
        <v>1</v>
      </c>
      <c r="CR30" s="1" t="n">
        <f aca="false">IF(AND('Daily Workforce'!$N85="Y",'Daily Workforce'!$B85&lt;&gt;"",COUNTIF('Daily Schedule'!$F$5:$F33,'Daily Workforce'!$B85)=0,IF('Daily Schedule'!$A34=45,'Daily Workforce'!$J85="Y",IF(OR('Daily Schedule'!$A34=4,'Daily Schedule'!$A34=8),IF(OR(WEEKDAY('Daily Schedule'!$B$2,2)=1,WEEKDAY('Daily Schedule'!$B$2,2)=4,WEEKDAY('Daily Schedule'!$B$2,2)=5,WEEKDAY('Daily Schedule'!$B$2,2)=7),IFERROR(1*'Daily Workforce'!$K85&gt;=3,FALSE()),IFERROR(1*'Daily Workforce'!$K85&gt;=2,FALSE())),IF(AND('Daily Schedule'!$A34&gt;=46,'Daily Schedule'!$A34&lt;=52),'Daily Workforce'!$M85="Y",IFERROR(1*'Daily Workforce'!$P85&gt;=2,FALSE()))))),1,0)</f>
        <v>0</v>
      </c>
      <c r="CS30" s="1" t="n">
        <f aca="false">IF(AND('Daily Workforce'!$N86="Y",'Daily Workforce'!$B86&lt;&gt;"",COUNTIF('Daily Schedule'!$F$5:$F33,'Daily Workforce'!$B86)=0,IF('Daily Schedule'!$A34=45,'Daily Workforce'!$J86="Y",IF(OR('Daily Schedule'!$A34=4,'Daily Schedule'!$A34=8),IF(OR(WEEKDAY('Daily Schedule'!$B$2,2)=1,WEEKDAY('Daily Schedule'!$B$2,2)=4,WEEKDAY('Daily Schedule'!$B$2,2)=5,WEEKDAY('Daily Schedule'!$B$2,2)=7),IFERROR(1*'Daily Workforce'!$K86&gt;=3,FALSE()),IFERROR(1*'Daily Workforce'!$K86&gt;=2,FALSE())),IF(AND('Daily Schedule'!$A34&gt;=46,'Daily Schedule'!$A34&lt;=52),'Daily Workforce'!$M86="Y",IFERROR(1*'Daily Workforce'!$P86&gt;=2,FALSE()))))),1,0)</f>
        <v>1</v>
      </c>
      <c r="CT30" s="1" t="n">
        <f aca="false">IF(AND('Daily Workforce'!$N87="Y",'Daily Workforce'!$B87&lt;&gt;"",COUNTIF('Daily Schedule'!$F$5:$F33,'Daily Workforce'!$B87)=0,IF('Daily Schedule'!$A34=45,'Daily Workforce'!$J87="Y",IF(OR('Daily Schedule'!$A34=4,'Daily Schedule'!$A34=8),IF(OR(WEEKDAY('Daily Schedule'!$B$2,2)=1,WEEKDAY('Daily Schedule'!$B$2,2)=4,WEEKDAY('Daily Schedule'!$B$2,2)=5,WEEKDAY('Daily Schedule'!$B$2,2)=7),IFERROR(1*'Daily Workforce'!$K87&gt;=3,FALSE()),IFERROR(1*'Daily Workforce'!$K87&gt;=2,FALSE())),IF(AND('Daily Schedule'!$A34&gt;=46,'Daily Schedule'!$A34&lt;=52),'Daily Workforce'!$M87="Y",IFERROR(1*'Daily Workforce'!$P87&gt;=2,FALSE()))))),1,0)</f>
        <v>1</v>
      </c>
      <c r="CU30" s="1" t="n">
        <f aca="false">IF(AND('Daily Workforce'!$N88="Y",'Daily Workforce'!$B88&lt;&gt;"",COUNTIF('Daily Schedule'!$F$5:$F33,'Daily Workforce'!$B88)=0,IF('Daily Schedule'!$A34=45,'Daily Workforce'!$J88="Y",IF(OR('Daily Schedule'!$A34=4,'Daily Schedule'!$A34=8),IF(OR(WEEKDAY('Daily Schedule'!$B$2,2)=1,WEEKDAY('Daily Schedule'!$B$2,2)=4,WEEKDAY('Daily Schedule'!$B$2,2)=5,WEEKDAY('Daily Schedule'!$B$2,2)=7),IFERROR(1*'Daily Workforce'!$K88&gt;=3,FALSE()),IFERROR(1*'Daily Workforce'!$K88&gt;=2,FALSE())),IF(AND('Daily Schedule'!$A34&gt;=46,'Daily Schedule'!$A34&lt;=52),'Daily Workforce'!$M88="Y",IFERROR(1*'Daily Workforce'!$P88&gt;=2,FALSE()))))),1,0)</f>
        <v>1</v>
      </c>
      <c r="CV30" s="1" t="n">
        <f aca="false">IF(AND('Daily Workforce'!$N89="Y",'Daily Workforce'!$B89&lt;&gt;"",COUNTIF('Daily Schedule'!$F$5:$F33,'Daily Workforce'!$B89)=0,IF('Daily Schedule'!$A34=45,'Daily Workforce'!$J89="Y",IF(OR('Daily Schedule'!$A34=4,'Daily Schedule'!$A34=8),IF(OR(WEEKDAY('Daily Schedule'!$B$2,2)=1,WEEKDAY('Daily Schedule'!$B$2,2)=4,WEEKDAY('Daily Schedule'!$B$2,2)=5,WEEKDAY('Daily Schedule'!$B$2,2)=7),IFERROR(1*'Daily Workforce'!$K89&gt;=3,FALSE()),IFERROR(1*'Daily Workforce'!$K89&gt;=2,FALSE())),IF(AND('Daily Schedule'!$A34&gt;=46,'Daily Schedule'!$A34&lt;=52),'Daily Workforce'!$M89="Y",IFERROR(1*'Daily Workforce'!$P89&gt;=2,FALSE()))))),1,0)</f>
        <v>1</v>
      </c>
      <c r="CW30" s="1" t="n">
        <f aca="false">IF(AND('Daily Workforce'!$N90="Y",'Daily Workforce'!$B90&lt;&gt;"",COUNTIF('Daily Schedule'!$F$5:$F33,'Daily Workforce'!$B90)=0,IF('Daily Schedule'!$A34=45,'Daily Workforce'!$J90="Y",IF(OR('Daily Schedule'!$A34=4,'Daily Schedule'!$A34=8),IF(OR(WEEKDAY('Daily Schedule'!$B$2,2)=1,WEEKDAY('Daily Schedule'!$B$2,2)=4,WEEKDAY('Daily Schedule'!$B$2,2)=5,WEEKDAY('Daily Schedule'!$B$2,2)=7),IFERROR(1*'Daily Workforce'!$K90&gt;=3,FALSE()),IFERROR(1*'Daily Workforce'!$K90&gt;=2,FALSE())),IF(AND('Daily Schedule'!$A34&gt;=46,'Daily Schedule'!$A34&lt;=52),'Daily Workforce'!$M90="Y",IFERROR(1*'Daily Workforce'!$P90&gt;=2,FALSE()))))),1,0)</f>
        <v>1</v>
      </c>
      <c r="CX30" s="1" t="n">
        <f aca="false">IF(AND('Daily Workforce'!$N91="Y",'Daily Workforce'!$B91&lt;&gt;"",COUNTIF('Daily Schedule'!$F$5:$F33,'Daily Workforce'!$B91)=0,IF('Daily Schedule'!$A34=45,'Daily Workforce'!$J91="Y",IF(OR('Daily Schedule'!$A34=4,'Daily Schedule'!$A34=8),IF(OR(WEEKDAY('Daily Schedule'!$B$2,2)=1,WEEKDAY('Daily Schedule'!$B$2,2)=4,WEEKDAY('Daily Schedule'!$B$2,2)=5,WEEKDAY('Daily Schedule'!$B$2,2)=7),IFERROR(1*'Daily Workforce'!$K91&gt;=3,FALSE()),IFERROR(1*'Daily Workforce'!$K91&gt;=2,FALSE())),IF(AND('Daily Schedule'!$A34&gt;=46,'Daily Schedule'!$A34&lt;=52),'Daily Workforce'!$M91="Y",IFERROR(1*'Daily Workforce'!$P91&gt;=2,FALSE()))))),1,0)</f>
        <v>1</v>
      </c>
      <c r="CY30" s="1" t="n">
        <f aca="false">IF(AND('Daily Workforce'!$N92="Y",'Daily Workforce'!$B92&lt;&gt;"",COUNTIF('Daily Schedule'!$F$5:$F33,'Daily Workforce'!$B92)=0,IF('Daily Schedule'!$A34=45,'Daily Workforce'!$J92="Y",IF(OR('Daily Schedule'!$A34=4,'Daily Schedule'!$A34=8),IF(OR(WEEKDAY('Daily Schedule'!$B$2,2)=1,WEEKDAY('Daily Schedule'!$B$2,2)=4,WEEKDAY('Daily Schedule'!$B$2,2)=5,WEEKDAY('Daily Schedule'!$B$2,2)=7),IFERROR(1*'Daily Workforce'!$K92&gt;=3,FALSE()),IFERROR(1*'Daily Workforce'!$K92&gt;=2,FALSE())),IF(AND('Daily Schedule'!$A34&gt;=46,'Daily Schedule'!$A34&lt;=52),'Daily Workforce'!$M92="Y",IFERROR(1*'Daily Workforce'!$P92&gt;=2,FALSE()))))),1,0)</f>
        <v>1</v>
      </c>
      <c r="CZ30" s="1" t="n">
        <f aca="false">IF(AND('Daily Workforce'!$N93="Y",'Daily Workforce'!$B93&lt;&gt;"",COUNTIF('Daily Schedule'!$F$5:$F33,'Daily Workforce'!$B93)=0,IF('Daily Schedule'!$A34=45,'Daily Workforce'!$J93="Y",IF(OR('Daily Schedule'!$A34=4,'Daily Schedule'!$A34=8),IF(OR(WEEKDAY('Daily Schedule'!$B$2,2)=1,WEEKDAY('Daily Schedule'!$B$2,2)=4,WEEKDAY('Daily Schedule'!$B$2,2)=5,WEEKDAY('Daily Schedule'!$B$2,2)=7),IFERROR(1*'Daily Workforce'!$K93&gt;=3,FALSE()),IFERROR(1*'Daily Workforce'!$K93&gt;=2,FALSE())),IF(AND('Daily Schedule'!$A34&gt;=46,'Daily Schedule'!$A34&lt;=52),'Daily Workforce'!$M93="Y",IFERROR(1*'Daily Workforce'!$P93&gt;=2,FALSE()))))),1,0)</f>
        <v>1</v>
      </c>
      <c r="DA30" s="1" t="n">
        <f aca="false">IF(AND('Daily Workforce'!$N94="Y",'Daily Workforce'!$B94&lt;&gt;"",COUNTIF('Daily Schedule'!$F$5:$F33,'Daily Workforce'!$B94)=0,IF('Daily Schedule'!$A34=45,'Daily Workforce'!$J94="Y",IF(OR('Daily Schedule'!$A34=4,'Daily Schedule'!$A34=8),IF(OR(WEEKDAY('Daily Schedule'!$B$2,2)=1,WEEKDAY('Daily Schedule'!$B$2,2)=4,WEEKDAY('Daily Schedule'!$B$2,2)=5,WEEKDAY('Daily Schedule'!$B$2,2)=7),IFERROR(1*'Daily Workforce'!$K94&gt;=3,FALSE()),IFERROR(1*'Daily Workforce'!$K94&gt;=2,FALSE())),IF(AND('Daily Schedule'!$A34&gt;=46,'Daily Schedule'!$A34&lt;=52),'Daily Workforce'!$M94="Y",IFERROR(1*'Daily Workforce'!$P94&gt;=2,FALSE()))))),1,0)</f>
        <v>1</v>
      </c>
      <c r="DB30" s="1" t="n">
        <f aca="false">IF(AND('Daily Workforce'!$N95="Y",'Daily Workforce'!$B95&lt;&gt;"",COUNTIF('Daily Schedule'!$F$5:$F33,'Daily Workforce'!$B95)=0,IF('Daily Schedule'!$A34=45,'Daily Workforce'!$J95="Y",IF(OR('Daily Schedule'!$A34=4,'Daily Schedule'!$A34=8),IF(OR(WEEKDAY('Daily Schedule'!$B$2,2)=1,WEEKDAY('Daily Schedule'!$B$2,2)=4,WEEKDAY('Daily Schedule'!$B$2,2)=5,WEEKDAY('Daily Schedule'!$B$2,2)=7),IFERROR(1*'Daily Workforce'!$K95&gt;=3,FALSE()),IFERROR(1*'Daily Workforce'!$K95&gt;=2,FALSE())),IF(AND('Daily Schedule'!$A34&gt;=46,'Daily Schedule'!$A34&lt;=52),'Daily Workforce'!$M95="Y",IFERROR(1*'Daily Workforce'!$P95&gt;=2,FALSE()))))),1,0)</f>
        <v>1</v>
      </c>
      <c r="DC30" s="1" t="n">
        <f aca="false">IF(AND('Daily Workforce'!$N96="Y",'Daily Workforce'!$B96&lt;&gt;"",COUNTIF('Daily Schedule'!$F$5:$F33,'Daily Workforce'!$B96)=0,IF('Daily Schedule'!$A34=45,'Daily Workforce'!$J96="Y",IF(OR('Daily Schedule'!$A34=4,'Daily Schedule'!$A34=8),IF(OR(WEEKDAY('Daily Schedule'!$B$2,2)=1,WEEKDAY('Daily Schedule'!$B$2,2)=4,WEEKDAY('Daily Schedule'!$B$2,2)=5,WEEKDAY('Daily Schedule'!$B$2,2)=7),IFERROR(1*'Daily Workforce'!$K96&gt;=3,FALSE()),IFERROR(1*'Daily Workforce'!$K96&gt;=2,FALSE())),IF(AND('Daily Schedule'!$A34&gt;=46,'Daily Schedule'!$A34&lt;=52),'Daily Workforce'!$M96="Y",IFERROR(1*'Daily Workforce'!$P96&gt;=2,FALSE()))))),1,0)</f>
        <v>1</v>
      </c>
      <c r="DD30" s="1" t="n">
        <f aca="false">IF(AND('Daily Workforce'!$N97="Y",'Daily Workforce'!$B97&lt;&gt;"",COUNTIF('Daily Schedule'!$F$5:$F33,'Daily Workforce'!$B97)=0,IF('Daily Schedule'!$A34=45,'Daily Workforce'!$J97="Y",IF(OR('Daily Schedule'!$A34=4,'Daily Schedule'!$A34=8),IF(OR(WEEKDAY('Daily Schedule'!$B$2,2)=1,WEEKDAY('Daily Schedule'!$B$2,2)=4,WEEKDAY('Daily Schedule'!$B$2,2)=5,WEEKDAY('Daily Schedule'!$B$2,2)=7),IFERROR(1*'Daily Workforce'!$K97&gt;=3,FALSE()),IFERROR(1*'Daily Workforce'!$K97&gt;=2,FALSE())),IF(AND('Daily Schedule'!$A34&gt;=46,'Daily Schedule'!$A34&lt;=52),'Daily Workforce'!$M97="Y",IFERROR(1*'Daily Workforce'!$P97&gt;=2,FALSE()))))),1,0)</f>
        <v>1</v>
      </c>
      <c r="DE30" s="1" t="n">
        <f aca="false">IF(AND('Daily Workforce'!$N98="Y",'Daily Workforce'!$B98&lt;&gt;"",COUNTIF('Daily Schedule'!$F$5:$F33,'Daily Workforce'!$B98)=0,IF('Daily Schedule'!$A34=45,'Daily Workforce'!$J98="Y",IF(OR('Daily Schedule'!$A34=4,'Daily Schedule'!$A34=8),IF(OR(WEEKDAY('Daily Schedule'!$B$2,2)=1,WEEKDAY('Daily Schedule'!$B$2,2)=4,WEEKDAY('Daily Schedule'!$B$2,2)=5,WEEKDAY('Daily Schedule'!$B$2,2)=7),IFERROR(1*'Daily Workforce'!$K98&gt;=3,FALSE()),IFERROR(1*'Daily Workforce'!$K98&gt;=2,FALSE())),IF(AND('Daily Schedule'!$A34&gt;=46,'Daily Schedule'!$A34&lt;=52),'Daily Workforce'!$M98="Y",IFERROR(1*'Daily Workforce'!$P98&gt;=2,FALSE()))))),1,0)</f>
        <v>1</v>
      </c>
      <c r="DF30" s="1" t="n">
        <f aca="false">IF(AND('Daily Workforce'!$N99="Y",'Daily Workforce'!$B99&lt;&gt;"",COUNTIF('Daily Schedule'!$F$5:$F33,'Daily Workforce'!$B99)=0,IF('Daily Schedule'!$A34=45,'Daily Workforce'!$J99="Y",IF(OR('Daily Schedule'!$A34=4,'Daily Schedule'!$A34=8),IF(OR(WEEKDAY('Daily Schedule'!$B$2,2)=1,WEEKDAY('Daily Schedule'!$B$2,2)=4,WEEKDAY('Daily Schedule'!$B$2,2)=5,WEEKDAY('Daily Schedule'!$B$2,2)=7),IFERROR(1*'Daily Workforce'!$K99&gt;=3,FALSE()),IFERROR(1*'Daily Workforce'!$K99&gt;=2,FALSE())),IF(AND('Daily Schedule'!$A34&gt;=46,'Daily Schedule'!$A34&lt;=52),'Daily Workforce'!$M99="Y",IFERROR(1*'Daily Workforce'!$P99&gt;=2,FALSE()))))),1,0)</f>
        <v>1</v>
      </c>
      <c r="DG30" s="1" t="n">
        <f aca="false">IF(AND('Daily Workforce'!$N100="Y",'Daily Workforce'!$B100&lt;&gt;"",COUNTIF('Daily Schedule'!$F$5:$F33,'Daily Workforce'!$B100)=0,IF('Daily Schedule'!$A34=45,'Daily Workforce'!$J100="Y",IF(OR('Daily Schedule'!$A34=4,'Daily Schedule'!$A34=8),IF(OR(WEEKDAY('Daily Schedule'!$B$2,2)=1,WEEKDAY('Daily Schedule'!$B$2,2)=4,WEEKDAY('Daily Schedule'!$B$2,2)=5,WEEKDAY('Daily Schedule'!$B$2,2)=7),IFERROR(1*'Daily Workforce'!$K100&gt;=3,FALSE()),IFERROR(1*'Daily Workforce'!$K100&gt;=2,FALSE())),IF(AND('Daily Schedule'!$A34&gt;=46,'Daily Schedule'!$A34&lt;=52),'Daily Workforce'!$M100="Y",IFERROR(1*'Daily Workforce'!$P100&gt;=2,FALSE()))))),1,0)</f>
        <v>1</v>
      </c>
      <c r="DH30" s="1" t="n">
        <f aca="false">IF(AND('Daily Workforce'!$N101="Y",'Daily Workforce'!$B101&lt;&gt;"",COUNTIF('Daily Schedule'!$F$5:$F33,'Daily Workforce'!$B101)=0,IF('Daily Schedule'!$A34=45,'Daily Workforce'!$J101="Y",IF(OR('Daily Schedule'!$A34=4,'Daily Schedule'!$A34=8),IF(OR(WEEKDAY('Daily Schedule'!$B$2,2)=1,WEEKDAY('Daily Schedule'!$B$2,2)=4,WEEKDAY('Daily Schedule'!$B$2,2)=5,WEEKDAY('Daily Schedule'!$B$2,2)=7),IFERROR(1*'Daily Workforce'!$K101&gt;=3,FALSE()),IFERROR(1*'Daily Workforce'!$K101&gt;=2,FALSE())),IF(AND('Daily Schedule'!$A34&gt;=46,'Daily Schedule'!$A34&lt;=52),'Daily Workforce'!$M101="Y",IFERROR(1*'Daily Workforce'!$P101&gt;=2,FALSE()))))),1,0)</f>
        <v>1</v>
      </c>
      <c r="DI30" s="1" t="n">
        <f aca="false">IF(AND('Daily Workforce'!$N102="Y",'Daily Workforce'!$B102&lt;&gt;"",COUNTIF('Daily Schedule'!$F$5:$F33,'Daily Workforce'!$B102)=0,IF('Daily Schedule'!$A34=45,'Daily Workforce'!$J102="Y",IF(OR('Daily Schedule'!$A34=4,'Daily Schedule'!$A34=8),IF(OR(WEEKDAY('Daily Schedule'!$B$2,2)=1,WEEKDAY('Daily Schedule'!$B$2,2)=4,WEEKDAY('Daily Schedule'!$B$2,2)=5,WEEKDAY('Daily Schedule'!$B$2,2)=7),IFERROR(1*'Daily Workforce'!$K102&gt;=3,FALSE()),IFERROR(1*'Daily Workforce'!$K102&gt;=2,FALSE())),IF(AND('Daily Schedule'!$A34&gt;=46,'Daily Schedule'!$A34&lt;=52),'Daily Workforce'!$M102="Y",IFERROR(1*'Daily Workforce'!$P102&gt;=2,FALSE()))))),1,0)</f>
        <v>1</v>
      </c>
      <c r="DJ30" s="1" t="n">
        <f aca="false">IF(AND('Daily Workforce'!$N103="Y",'Daily Workforce'!$B103&lt;&gt;"",COUNTIF('Daily Schedule'!$F$5:$F33,'Daily Workforce'!$B103)=0,IF('Daily Schedule'!$A34=45,'Daily Workforce'!$J103="Y",IF(OR('Daily Schedule'!$A34=4,'Daily Schedule'!$A34=8),IF(OR(WEEKDAY('Daily Schedule'!$B$2,2)=1,WEEKDAY('Daily Schedule'!$B$2,2)=4,WEEKDAY('Daily Schedule'!$B$2,2)=5,WEEKDAY('Daily Schedule'!$B$2,2)=7),IFERROR(1*'Daily Workforce'!$K103&gt;=3,FALSE()),IFERROR(1*'Daily Workforce'!$K103&gt;=2,FALSE())),IF(AND('Daily Schedule'!$A34&gt;=46,'Daily Schedule'!$A34&lt;=52),'Daily Workforce'!$M103="Y",IFERROR(1*'Daily Workforce'!$P103&gt;=2,FALSE()))))),1,0)</f>
        <v>1</v>
      </c>
      <c r="DK30" s="1" t="n">
        <f aca="false">IF(AND('Daily Workforce'!$N104="Y",'Daily Workforce'!$B104&lt;&gt;"",COUNTIF('Daily Schedule'!$F$5:$F33,'Daily Workforce'!$B104)=0,IF('Daily Schedule'!$A34=45,'Daily Workforce'!$J104="Y",IF(OR('Daily Schedule'!$A34=4,'Daily Schedule'!$A34=8),IF(OR(WEEKDAY('Daily Schedule'!$B$2,2)=1,WEEKDAY('Daily Schedule'!$B$2,2)=4,WEEKDAY('Daily Schedule'!$B$2,2)=5,WEEKDAY('Daily Schedule'!$B$2,2)=7),IFERROR(1*'Daily Workforce'!$K104&gt;=3,FALSE()),IFERROR(1*'Daily Workforce'!$K104&gt;=2,FALSE())),IF(AND('Daily Schedule'!$A34&gt;=46,'Daily Schedule'!$A34&lt;=52),'Daily Workforce'!$M104="Y",IFERROR(1*'Daily Workforce'!$P104&gt;=2,FALSE()))))),1,0)</f>
        <v>1</v>
      </c>
      <c r="DL30" s="1" t="n">
        <f aca="false">IF(AND('Daily Workforce'!$N105="Y",'Daily Workforce'!$B105&lt;&gt;"",COUNTIF('Daily Schedule'!$F$5:$F33,'Daily Workforce'!$B105)=0,IF('Daily Schedule'!$A34=45,'Daily Workforce'!$J105="Y",IF(OR('Daily Schedule'!$A34=4,'Daily Schedule'!$A34=8),IF(OR(WEEKDAY('Daily Schedule'!$B$2,2)=1,WEEKDAY('Daily Schedule'!$B$2,2)=4,WEEKDAY('Daily Schedule'!$B$2,2)=5,WEEKDAY('Daily Schedule'!$B$2,2)=7),IFERROR(1*'Daily Workforce'!$K105&gt;=3,FALSE()),IFERROR(1*'Daily Workforce'!$K105&gt;=2,FALSE())),IF(AND('Daily Schedule'!$A34&gt;=46,'Daily Schedule'!$A34&lt;=52),'Daily Workforce'!$M105="Y",IFERROR(1*'Daily Workforce'!$P105&gt;=2,FALSE()))))),1,0)</f>
        <v>0</v>
      </c>
      <c r="DM30" s="1" t="n">
        <f aca="false">IF(AND('Daily Workforce'!$N106="Y",'Daily Workforce'!$B106&lt;&gt;"",COUNTIF('Daily Schedule'!$F$5:$F33,'Daily Workforce'!$B106)=0,IF('Daily Schedule'!$A34=45,'Daily Workforce'!$J106="Y",IF(OR('Daily Schedule'!$A34=4,'Daily Schedule'!$A34=8),IF(OR(WEEKDAY('Daily Schedule'!$B$2,2)=1,WEEKDAY('Daily Schedule'!$B$2,2)=4,WEEKDAY('Daily Schedule'!$B$2,2)=5,WEEKDAY('Daily Schedule'!$B$2,2)=7),IFERROR(1*'Daily Workforce'!$K106&gt;=3,FALSE()),IFERROR(1*'Daily Workforce'!$K106&gt;=2,FALSE())),IF(AND('Daily Schedule'!$A34&gt;=46,'Daily Schedule'!$A34&lt;=52),'Daily Workforce'!$M106="Y",IFERROR(1*'Daily Workforce'!$P106&gt;=2,FALSE()))))),1,0)</f>
        <v>1</v>
      </c>
      <c r="DN30" s="1" t="n">
        <f aca="false">IF(AND('Daily Workforce'!$N107="Y",'Daily Workforce'!$B107&lt;&gt;"",COUNTIF('Daily Schedule'!$F$5:$F33,'Daily Workforce'!$B107)=0,IF('Daily Schedule'!$A34=45,'Daily Workforce'!$J107="Y",IF(OR('Daily Schedule'!$A34=4,'Daily Schedule'!$A34=8),IF(OR(WEEKDAY('Daily Schedule'!$B$2,2)=1,WEEKDAY('Daily Schedule'!$B$2,2)=4,WEEKDAY('Daily Schedule'!$B$2,2)=5,WEEKDAY('Daily Schedule'!$B$2,2)=7),IFERROR(1*'Daily Workforce'!$K107&gt;=3,FALSE()),IFERROR(1*'Daily Workforce'!$K107&gt;=2,FALSE())),IF(AND('Daily Schedule'!$A34&gt;=46,'Daily Schedule'!$A34&lt;=52),'Daily Workforce'!$M107="Y",IFERROR(1*'Daily Workforce'!$P107&gt;=2,FALSE()))))),1,0)</f>
        <v>1</v>
      </c>
      <c r="DO30" s="1" t="n">
        <f aca="false">IF(AND('Daily Workforce'!$N108="Y",'Daily Workforce'!$B108&lt;&gt;"",COUNTIF('Daily Schedule'!$F$5:$F33,'Daily Workforce'!$B108)=0,IF('Daily Schedule'!$A34=45,'Daily Workforce'!$J108="Y",IF(OR('Daily Schedule'!$A34=4,'Daily Schedule'!$A34=8),IF(OR(WEEKDAY('Daily Schedule'!$B$2,2)=1,WEEKDAY('Daily Schedule'!$B$2,2)=4,WEEKDAY('Daily Schedule'!$B$2,2)=5,WEEKDAY('Daily Schedule'!$B$2,2)=7),IFERROR(1*'Daily Workforce'!$K108&gt;=3,FALSE()),IFERROR(1*'Daily Workforce'!$K108&gt;=2,FALSE())),IF(AND('Daily Schedule'!$A34&gt;=46,'Daily Schedule'!$A34&lt;=52),'Daily Workforce'!$M108="Y",IFERROR(1*'Daily Workforce'!$P108&gt;=2,FALSE()))))),1,0)</f>
        <v>1</v>
      </c>
      <c r="DP30" s="1" t="n">
        <f aca="false">IF(AND('Daily Workforce'!$N109="Y",'Daily Workforce'!$B109&lt;&gt;"",COUNTIF('Daily Schedule'!$F$5:$F33,'Daily Workforce'!$B109)=0,IF('Daily Schedule'!$A34=45,'Daily Workforce'!$J109="Y",IF(OR('Daily Schedule'!$A34=4,'Daily Schedule'!$A34=8),IF(OR(WEEKDAY('Daily Schedule'!$B$2,2)=1,WEEKDAY('Daily Schedule'!$B$2,2)=4,WEEKDAY('Daily Schedule'!$B$2,2)=5,WEEKDAY('Daily Schedule'!$B$2,2)=7),IFERROR(1*'Daily Workforce'!$K109&gt;=3,FALSE()),IFERROR(1*'Daily Workforce'!$K109&gt;=2,FALSE())),IF(AND('Daily Schedule'!$A34&gt;=46,'Daily Schedule'!$A34&lt;=52),'Daily Workforce'!$M109="Y",IFERROR(1*'Daily Workforce'!$P109&gt;=2,FALSE()))))),1,0)</f>
        <v>1</v>
      </c>
      <c r="DQ30" s="1" t="n">
        <f aca="false">IF(AND('Daily Workforce'!$N110="Y",'Daily Workforce'!$B110&lt;&gt;"",COUNTIF('Daily Schedule'!$F$5:$F33,'Daily Workforce'!$B110)=0,IF('Daily Schedule'!$A34=45,'Daily Workforce'!$J110="Y",IF(OR('Daily Schedule'!$A34=4,'Daily Schedule'!$A34=8),IF(OR(WEEKDAY('Daily Schedule'!$B$2,2)=1,WEEKDAY('Daily Schedule'!$B$2,2)=4,WEEKDAY('Daily Schedule'!$B$2,2)=5,WEEKDAY('Daily Schedule'!$B$2,2)=7),IFERROR(1*'Daily Workforce'!$K110&gt;=3,FALSE()),IFERROR(1*'Daily Workforce'!$K110&gt;=2,FALSE())),IF(AND('Daily Schedule'!$A34&gt;=46,'Daily Schedule'!$A34&lt;=52),'Daily Workforce'!$M110="Y",IFERROR(1*'Daily Workforce'!$P110&gt;=2,FALSE()))))),1,0)</f>
        <v>1</v>
      </c>
      <c r="DR30" s="1" t="n">
        <f aca="false">IF(AND('Daily Workforce'!$N111="Y",'Daily Workforce'!$B111&lt;&gt;"",COUNTIF('Daily Schedule'!$F$5:$F33,'Daily Workforce'!$B111)=0,IF('Daily Schedule'!$A34=45,'Daily Workforce'!$J111="Y",IF(OR('Daily Schedule'!$A34=4,'Daily Schedule'!$A34=8),IF(OR(WEEKDAY('Daily Schedule'!$B$2,2)=1,WEEKDAY('Daily Schedule'!$B$2,2)=4,WEEKDAY('Daily Schedule'!$B$2,2)=5,WEEKDAY('Daily Schedule'!$B$2,2)=7),IFERROR(1*'Daily Workforce'!$K111&gt;=3,FALSE()),IFERROR(1*'Daily Workforce'!$K111&gt;=2,FALSE())),IF(AND('Daily Schedule'!$A34&gt;=46,'Daily Schedule'!$A34&lt;=52),'Daily Workforce'!$M111="Y",IFERROR(1*'Daily Workforce'!$P111&gt;=2,FALSE()))))),1,0)</f>
        <v>1</v>
      </c>
      <c r="DS30" s="1" t="n">
        <f aca="false">IF(AND('Daily Workforce'!$N112="Y",'Daily Workforce'!$B112&lt;&gt;"",COUNTIF('Daily Schedule'!$F$5:$F33,'Daily Workforce'!$B112)=0,IF('Daily Schedule'!$A34=45,'Daily Workforce'!$J112="Y",IF(OR('Daily Schedule'!$A34=4,'Daily Schedule'!$A34=8),IF(OR(WEEKDAY('Daily Schedule'!$B$2,2)=1,WEEKDAY('Daily Schedule'!$B$2,2)=4,WEEKDAY('Daily Schedule'!$B$2,2)=5,WEEKDAY('Daily Schedule'!$B$2,2)=7),IFERROR(1*'Daily Workforce'!$K112&gt;=3,FALSE()),IFERROR(1*'Daily Workforce'!$K112&gt;=2,FALSE())),IF(AND('Daily Schedule'!$A34&gt;=46,'Daily Schedule'!$A34&lt;=52),'Daily Workforce'!$M112="Y",IFERROR(1*'Daily Workforce'!$P112&gt;=2,FALSE()))))),1,0)</f>
        <v>1</v>
      </c>
      <c r="DT30" s="1" t="n">
        <f aca="false">IF(AND('Daily Workforce'!$N113="Y",'Daily Workforce'!$B113&lt;&gt;"",COUNTIF('Daily Schedule'!$F$5:$F33,'Daily Workforce'!$B113)=0,IF('Daily Schedule'!$A34=45,'Daily Workforce'!$J113="Y",IF(OR('Daily Schedule'!$A34=4,'Daily Schedule'!$A34=8),IF(OR(WEEKDAY('Daily Schedule'!$B$2,2)=1,WEEKDAY('Daily Schedule'!$B$2,2)=4,WEEKDAY('Daily Schedule'!$B$2,2)=5,WEEKDAY('Daily Schedule'!$B$2,2)=7),IFERROR(1*'Daily Workforce'!$K113&gt;=3,FALSE()),IFERROR(1*'Daily Workforce'!$K113&gt;=2,FALSE())),IF(AND('Daily Schedule'!$A34&gt;=46,'Daily Schedule'!$A34&lt;=52),'Daily Workforce'!$M113="Y",IFERROR(1*'Daily Workforce'!$P113&gt;=2,FALSE()))))),1,0)</f>
        <v>1</v>
      </c>
      <c r="DU30" s="1" t="n">
        <f aca="false">IF(AND('Daily Workforce'!$N114="Y",'Daily Workforce'!$B114&lt;&gt;"",COUNTIF('Daily Schedule'!$F$5:$F33,'Daily Workforce'!$B114)=0,IF('Daily Schedule'!$A34=45,'Daily Workforce'!$J114="Y",IF(OR('Daily Schedule'!$A34=4,'Daily Schedule'!$A34=8),IF(OR(WEEKDAY('Daily Schedule'!$B$2,2)=1,WEEKDAY('Daily Schedule'!$B$2,2)=4,WEEKDAY('Daily Schedule'!$B$2,2)=5,WEEKDAY('Daily Schedule'!$B$2,2)=7),IFERROR(1*'Daily Workforce'!$K114&gt;=3,FALSE()),IFERROR(1*'Daily Workforce'!$K114&gt;=2,FALSE())),IF(AND('Daily Schedule'!$A34&gt;=46,'Daily Schedule'!$A34&lt;=52),'Daily Workforce'!$M114="Y",IFERROR(1*'Daily Workforce'!$P114&gt;=2,FALSE()))))),1,0)</f>
        <v>1</v>
      </c>
      <c r="DV30" s="1" t="n">
        <f aca="false">IF(AND('Daily Workforce'!$N115="Y",'Daily Workforce'!$B115&lt;&gt;"",COUNTIF('Daily Schedule'!$F$5:$F33,'Daily Workforce'!$B115)=0,IF('Daily Schedule'!$A34=45,'Daily Workforce'!$J115="Y",IF(OR('Daily Schedule'!$A34=4,'Daily Schedule'!$A34=8),IF(OR(WEEKDAY('Daily Schedule'!$B$2,2)=1,WEEKDAY('Daily Schedule'!$B$2,2)=4,WEEKDAY('Daily Schedule'!$B$2,2)=5,WEEKDAY('Daily Schedule'!$B$2,2)=7),IFERROR(1*'Daily Workforce'!$K115&gt;=3,FALSE()),IFERROR(1*'Daily Workforce'!$K115&gt;=2,FALSE())),IF(AND('Daily Schedule'!$A34&gt;=46,'Daily Schedule'!$A34&lt;=52),'Daily Workforce'!$M115="Y",IFERROR(1*'Daily Workforce'!$P115&gt;=2,FALSE()))))),1,0)</f>
        <v>1</v>
      </c>
      <c r="DW30" s="1" t="n">
        <f aca="false">IF(AND('Daily Workforce'!$N116="Y",'Daily Workforce'!$B116&lt;&gt;"",COUNTIF('Daily Schedule'!$F$5:$F33,'Daily Workforce'!$B116)=0,IF('Daily Schedule'!$A34=45,'Daily Workforce'!$J116="Y",IF(OR('Daily Schedule'!$A34=4,'Daily Schedule'!$A34=8),IF(OR(WEEKDAY('Daily Schedule'!$B$2,2)=1,WEEKDAY('Daily Schedule'!$B$2,2)=4,WEEKDAY('Daily Schedule'!$B$2,2)=5,WEEKDAY('Daily Schedule'!$B$2,2)=7),IFERROR(1*'Daily Workforce'!$K116&gt;=3,FALSE()),IFERROR(1*'Daily Workforce'!$K116&gt;=2,FALSE())),IF(AND('Daily Schedule'!$A34&gt;=46,'Daily Schedule'!$A34&lt;=52),'Daily Workforce'!$M116="Y",IFERROR(1*'Daily Workforce'!$P116&gt;=2,FALSE()))))),1,0)</f>
        <v>1</v>
      </c>
      <c r="DX30" s="1" t="n">
        <f aca="false">IF(AND('Daily Workforce'!$N117="Y",'Daily Workforce'!$B117&lt;&gt;"",COUNTIF('Daily Schedule'!$F$5:$F33,'Daily Workforce'!$B117)=0,IF('Daily Schedule'!$A34=45,'Daily Workforce'!$J117="Y",IF(OR('Daily Schedule'!$A34=4,'Daily Schedule'!$A34=8),IF(OR(WEEKDAY('Daily Schedule'!$B$2,2)=1,WEEKDAY('Daily Schedule'!$B$2,2)=4,WEEKDAY('Daily Schedule'!$B$2,2)=5,WEEKDAY('Daily Schedule'!$B$2,2)=7),IFERROR(1*'Daily Workforce'!$K117&gt;=3,FALSE()),IFERROR(1*'Daily Workforce'!$K117&gt;=2,FALSE())),IF(AND('Daily Schedule'!$A34&gt;=46,'Daily Schedule'!$A34&lt;=52),'Daily Workforce'!$M117="Y",IFERROR(1*'Daily Workforce'!$P117&gt;=2,FALSE()))))),1,0)</f>
        <v>1</v>
      </c>
      <c r="DY30" s="1" t="n">
        <f aca="false">IF(AND('Daily Workforce'!$N118="Y",'Daily Workforce'!$B118&lt;&gt;"",COUNTIF('Daily Schedule'!$F$5:$F33,'Daily Workforce'!$B118)=0,IF('Daily Schedule'!$A34=45,'Daily Workforce'!$J118="Y",IF(OR('Daily Schedule'!$A34=4,'Daily Schedule'!$A34=8),IF(OR(WEEKDAY('Daily Schedule'!$B$2,2)=1,WEEKDAY('Daily Schedule'!$B$2,2)=4,WEEKDAY('Daily Schedule'!$B$2,2)=5,WEEKDAY('Daily Schedule'!$B$2,2)=7),IFERROR(1*'Daily Workforce'!$K118&gt;=3,FALSE()),IFERROR(1*'Daily Workforce'!$K118&gt;=2,FALSE())),IF(AND('Daily Schedule'!$A34&gt;=46,'Daily Schedule'!$A34&lt;=52),'Daily Workforce'!$M118="Y",IFERROR(1*'Daily Workforce'!$P118&gt;=2,FALSE()))))),1,0)</f>
        <v>0</v>
      </c>
      <c r="DZ30" s="1" t="n">
        <f aca="false">IF(AND('Daily Workforce'!$N119="Y",'Daily Workforce'!$B119&lt;&gt;"",COUNTIF('Daily Schedule'!$F$5:$F33,'Daily Workforce'!$B119)=0,IF('Daily Schedule'!$A34=45,'Daily Workforce'!$J119="Y",IF(OR('Daily Schedule'!$A34=4,'Daily Schedule'!$A34=8),IF(OR(WEEKDAY('Daily Schedule'!$B$2,2)=1,WEEKDAY('Daily Schedule'!$B$2,2)=4,WEEKDAY('Daily Schedule'!$B$2,2)=5,WEEKDAY('Daily Schedule'!$B$2,2)=7),IFERROR(1*'Daily Workforce'!$K119&gt;=3,FALSE()),IFERROR(1*'Daily Workforce'!$K119&gt;=2,FALSE())),IF(AND('Daily Schedule'!$A34&gt;=46,'Daily Schedule'!$A34&lt;=52),'Daily Workforce'!$M119="Y",IFERROR(1*'Daily Workforce'!$P119&gt;=2,FALSE()))))),1,0)</f>
        <v>0</v>
      </c>
      <c r="EA30" s="1" t="n">
        <f aca="false">IF(AND('Daily Workforce'!$N120="Y",'Daily Workforce'!$B120&lt;&gt;"",COUNTIF('Daily Schedule'!$F$5:$F33,'Daily Workforce'!$B120)=0,IF('Daily Schedule'!$A34=45,'Daily Workforce'!$J120="Y",IF(OR('Daily Schedule'!$A34=4,'Daily Schedule'!$A34=8),IF(OR(WEEKDAY('Daily Schedule'!$B$2,2)=1,WEEKDAY('Daily Schedule'!$B$2,2)=4,WEEKDAY('Daily Schedule'!$B$2,2)=5,WEEKDAY('Daily Schedule'!$B$2,2)=7),IFERROR(1*'Daily Workforce'!$K120&gt;=3,FALSE()),IFERROR(1*'Daily Workforce'!$K120&gt;=2,FALSE())),IF(AND('Daily Schedule'!$A34&gt;=46,'Daily Schedule'!$A34&lt;=52),'Daily Workforce'!$M120="Y",IFERROR(1*'Daily Workforce'!$P120&gt;=2,FALSE()))))),1,0)</f>
        <v>0</v>
      </c>
      <c r="EB30" s="1" t="n">
        <f aca="false">IF(AND('Daily Workforce'!$N121="Y",'Daily Workforce'!$B121&lt;&gt;"",COUNTIF('Daily Schedule'!$F$5:$F33,'Daily Workforce'!$B121)=0,IF('Daily Schedule'!$A34=45,'Daily Workforce'!$J121="Y",IF(OR('Daily Schedule'!$A34=4,'Daily Schedule'!$A34=8),IF(OR(WEEKDAY('Daily Schedule'!$B$2,2)=1,WEEKDAY('Daily Schedule'!$B$2,2)=4,WEEKDAY('Daily Schedule'!$B$2,2)=5,WEEKDAY('Daily Schedule'!$B$2,2)=7),IFERROR(1*'Daily Workforce'!$K121&gt;=3,FALSE()),IFERROR(1*'Daily Workforce'!$K121&gt;=2,FALSE())),IF(AND('Daily Schedule'!$A34&gt;=46,'Daily Schedule'!$A34&lt;=52),'Daily Workforce'!$M121="Y",IFERROR(1*'Daily Workforce'!$P121&gt;=2,FALSE()))))),1,0)</f>
        <v>0</v>
      </c>
      <c r="EC30" s="1" t="n">
        <f aca="false">IF(AND('Daily Workforce'!$N122="Y",'Daily Workforce'!$B122&lt;&gt;"",COUNTIF('Daily Schedule'!$F$5:$F33,'Daily Workforce'!$B122)=0,IF('Daily Schedule'!$A34=45,'Daily Workforce'!$J122="Y",IF(OR('Daily Schedule'!$A34=4,'Daily Schedule'!$A34=8),IF(OR(WEEKDAY('Daily Schedule'!$B$2,2)=1,WEEKDAY('Daily Schedule'!$B$2,2)=4,WEEKDAY('Daily Schedule'!$B$2,2)=5,WEEKDAY('Daily Schedule'!$B$2,2)=7),IFERROR(1*'Daily Workforce'!$K122&gt;=3,FALSE()),IFERROR(1*'Daily Workforce'!$K122&gt;=2,FALSE())),IF(AND('Daily Schedule'!$A34&gt;=46,'Daily Schedule'!$A34&lt;=52),'Daily Workforce'!$M122="Y",IFERROR(1*'Daily Workforce'!$P122&gt;=2,FALSE()))))),1,0)</f>
        <v>0</v>
      </c>
      <c r="ED30" s="1" t="n">
        <f aca="false">IF(AND('Daily Workforce'!$N123="Y",'Daily Workforce'!$B123&lt;&gt;"",COUNTIF('Daily Schedule'!$F$5:$F33,'Daily Workforce'!$B123)=0,IF('Daily Schedule'!$A34=45,'Daily Workforce'!$J123="Y",IF(OR('Daily Schedule'!$A34=4,'Daily Schedule'!$A34=8),IF(OR(WEEKDAY('Daily Schedule'!$B$2,2)=1,WEEKDAY('Daily Schedule'!$B$2,2)=4,WEEKDAY('Daily Schedule'!$B$2,2)=5,WEEKDAY('Daily Schedule'!$B$2,2)=7),IFERROR(1*'Daily Workforce'!$K123&gt;=3,FALSE()),IFERROR(1*'Daily Workforce'!$K123&gt;=2,FALSE())),IF(AND('Daily Schedule'!$A34&gt;=46,'Daily Schedule'!$A34&lt;=52),'Daily Workforce'!$M123="Y",IFERROR(1*'Daily Workforce'!$P123&gt;=2,FALSE()))))),1,0)</f>
        <v>0</v>
      </c>
      <c r="EE30" s="1" t="n">
        <f aca="false">IF(AND('Daily Workforce'!$N124="Y",'Daily Workforce'!$B124&lt;&gt;"",COUNTIF('Daily Schedule'!$F$5:$F33,'Daily Workforce'!$B124)=0,IF('Daily Schedule'!$A34=45,'Daily Workforce'!$J124="Y",IF(OR('Daily Schedule'!$A34=4,'Daily Schedule'!$A34=8),IF(OR(WEEKDAY('Daily Schedule'!$B$2,2)=1,WEEKDAY('Daily Schedule'!$B$2,2)=4,WEEKDAY('Daily Schedule'!$B$2,2)=5,WEEKDAY('Daily Schedule'!$B$2,2)=7),IFERROR(1*'Daily Workforce'!$K124&gt;=3,FALSE()),IFERROR(1*'Daily Workforce'!$K124&gt;=2,FALSE())),IF(AND('Daily Schedule'!$A34&gt;=46,'Daily Schedule'!$A34&lt;=52),'Daily Workforce'!$M124="Y",IFERROR(1*'Daily Workforce'!$P124&gt;=2,FALSE()))))),1,0)</f>
        <v>0</v>
      </c>
      <c r="EF30" s="1" t="n">
        <f aca="false">IF(AND('Daily Workforce'!$N125="Y",'Daily Workforce'!$B125&lt;&gt;"",COUNTIF('Daily Schedule'!$F$5:$F33,'Daily Workforce'!$B125)=0,IF('Daily Schedule'!$A34=45,'Daily Workforce'!$J125="Y",IF(OR('Daily Schedule'!$A34=4,'Daily Schedule'!$A34=8),IF(OR(WEEKDAY('Daily Schedule'!$B$2,2)=1,WEEKDAY('Daily Schedule'!$B$2,2)=4,WEEKDAY('Daily Schedule'!$B$2,2)=5,WEEKDAY('Daily Schedule'!$B$2,2)=7),IFERROR(1*'Daily Workforce'!$K125&gt;=3,FALSE()),IFERROR(1*'Daily Workforce'!$K125&gt;=2,FALSE())),IF(AND('Daily Schedule'!$A34&gt;=46,'Daily Schedule'!$A34&lt;=52),'Daily Workforce'!$M125="Y",IFERROR(1*'Daily Workforce'!$P125&gt;=2,FALSE()))))),1,0)</f>
        <v>0</v>
      </c>
      <c r="EG30" s="1" t="n">
        <f aca="false">IF(AND('Daily Workforce'!$N126="Y",'Daily Workforce'!$B126&lt;&gt;"",COUNTIF('Daily Schedule'!$F$5:$F33,'Daily Workforce'!$B126)=0,IF('Daily Schedule'!$A34=45,'Daily Workforce'!$J126="Y",IF(OR('Daily Schedule'!$A34=4,'Daily Schedule'!$A34=8),IF(OR(WEEKDAY('Daily Schedule'!$B$2,2)=1,WEEKDAY('Daily Schedule'!$B$2,2)=4,WEEKDAY('Daily Schedule'!$B$2,2)=5,WEEKDAY('Daily Schedule'!$B$2,2)=7),IFERROR(1*'Daily Workforce'!$K126&gt;=3,FALSE()),IFERROR(1*'Daily Workforce'!$K126&gt;=2,FALSE())),IF(AND('Daily Schedule'!$A34&gt;=46,'Daily Schedule'!$A34&lt;=52),'Daily Workforce'!$M126="Y",IFERROR(1*'Daily Workforce'!$P126&gt;=2,FALSE()))))),1,0)</f>
        <v>0</v>
      </c>
      <c r="EH30" s="1" t="n">
        <f aca="false">IF(AND('Daily Workforce'!$N127="Y",'Daily Workforce'!$B127&lt;&gt;"",COUNTIF('Daily Schedule'!$F$5:$F33,'Daily Workforce'!$B127)=0,IF('Daily Schedule'!$A34=45,'Daily Workforce'!$J127="Y",IF(OR('Daily Schedule'!$A34=4,'Daily Schedule'!$A34=8),IF(OR(WEEKDAY('Daily Schedule'!$B$2,2)=1,WEEKDAY('Daily Schedule'!$B$2,2)=4,WEEKDAY('Daily Schedule'!$B$2,2)=5,WEEKDAY('Daily Schedule'!$B$2,2)=7),IFERROR(1*'Daily Workforce'!$K127&gt;=3,FALSE()),IFERROR(1*'Daily Workforce'!$K127&gt;=2,FALSE())),IF(AND('Daily Schedule'!$A34&gt;=46,'Daily Schedule'!$A34&lt;=52),'Daily Workforce'!$M127="Y",IFERROR(1*'Daily Workforce'!$P127&gt;=2,FALSE()))))),1,0)</f>
        <v>0</v>
      </c>
      <c r="EI30" s="1" t="n">
        <f aca="false">IF(AND('Daily Workforce'!$N128="Y",'Daily Workforce'!$B128&lt;&gt;"",COUNTIF('Daily Schedule'!$F$5:$F33,'Daily Workforce'!$B128)=0,IF('Daily Schedule'!$A34=45,'Daily Workforce'!$J128="Y",IF(OR('Daily Schedule'!$A34=4,'Daily Schedule'!$A34=8),IF(OR(WEEKDAY('Daily Schedule'!$B$2,2)=1,WEEKDAY('Daily Schedule'!$B$2,2)=4,WEEKDAY('Daily Schedule'!$B$2,2)=5,WEEKDAY('Daily Schedule'!$B$2,2)=7),IFERROR(1*'Daily Workforce'!$K128&gt;=3,FALSE()),IFERROR(1*'Daily Workforce'!$K128&gt;=2,FALSE())),IF(AND('Daily Schedule'!$A34&gt;=46,'Daily Schedule'!$A34&lt;=52),'Daily Workforce'!$M128="Y",IFERROR(1*'Daily Workforce'!$P128&gt;=2,FALSE()))))),1,0)</f>
        <v>0</v>
      </c>
      <c r="EJ30" s="1" t="n">
        <f aca="false">IF(AND('Daily Workforce'!$N129="Y",'Daily Workforce'!$B129&lt;&gt;"",COUNTIF('Daily Schedule'!$F$5:$F33,'Daily Workforce'!$B129)=0,IF('Daily Schedule'!$A34=45,'Daily Workforce'!$J129="Y",IF(OR('Daily Schedule'!$A34=4,'Daily Schedule'!$A34=8),IF(OR(WEEKDAY('Daily Schedule'!$B$2,2)=1,WEEKDAY('Daily Schedule'!$B$2,2)=4,WEEKDAY('Daily Schedule'!$B$2,2)=5,WEEKDAY('Daily Schedule'!$B$2,2)=7),IFERROR(1*'Daily Workforce'!$K129&gt;=3,FALSE()),IFERROR(1*'Daily Workforce'!$K129&gt;=2,FALSE())),IF(AND('Daily Schedule'!$A34&gt;=46,'Daily Schedule'!$A34&lt;=52),'Daily Workforce'!$M129="Y",IFERROR(1*'Daily Workforce'!$P129&gt;=2,FALSE()))))),1,0)</f>
        <v>0</v>
      </c>
      <c r="EK30" s="1" t="n">
        <f aca="false">IF(AND('Daily Workforce'!$N130="Y",'Daily Workforce'!$B130&lt;&gt;"",COUNTIF('Daily Schedule'!$F$5:$F33,'Daily Workforce'!$B130)=0,IF('Daily Schedule'!$A34=45,'Daily Workforce'!$J130="Y",IF(OR('Daily Schedule'!$A34=4,'Daily Schedule'!$A34=8),IF(OR(WEEKDAY('Daily Schedule'!$B$2,2)=1,WEEKDAY('Daily Schedule'!$B$2,2)=4,WEEKDAY('Daily Schedule'!$B$2,2)=5,WEEKDAY('Daily Schedule'!$B$2,2)=7),IFERROR(1*'Daily Workforce'!$K130&gt;=3,FALSE()),IFERROR(1*'Daily Workforce'!$K130&gt;=2,FALSE())),IF(AND('Daily Schedule'!$A34&gt;=46,'Daily Schedule'!$A34&lt;=52),'Daily Workforce'!$M130="Y",IFERROR(1*'Daily Workforce'!$P130&gt;=2,FALSE()))))),1,0)</f>
        <v>0</v>
      </c>
      <c r="EL30" s="1" t="n">
        <f aca="false">IF(AND('Daily Workforce'!$N131="Y",'Daily Workforce'!$B131&lt;&gt;"",COUNTIF('Daily Schedule'!$F$5:$F33,'Daily Workforce'!$B131)=0,IF('Daily Schedule'!$A34=45,'Daily Workforce'!$J131="Y",IF(OR('Daily Schedule'!$A34=4,'Daily Schedule'!$A34=8),IF(OR(WEEKDAY('Daily Schedule'!$B$2,2)=1,WEEKDAY('Daily Schedule'!$B$2,2)=4,WEEKDAY('Daily Schedule'!$B$2,2)=5,WEEKDAY('Daily Schedule'!$B$2,2)=7),IFERROR(1*'Daily Workforce'!$K131&gt;=3,FALSE()),IFERROR(1*'Daily Workforce'!$K131&gt;=2,FALSE())),IF(AND('Daily Schedule'!$A34&gt;=46,'Daily Schedule'!$A34&lt;=52),'Daily Workforce'!$M131="Y",IFERROR(1*'Daily Workforce'!$P131&gt;=2,FALSE()))))),1,0)</f>
        <v>0</v>
      </c>
      <c r="EM30" s="1" t="n">
        <f aca="false">IF(AND('Daily Workforce'!$N132="Y",'Daily Workforce'!$B132&lt;&gt;"",COUNTIF('Daily Schedule'!$F$5:$F33,'Daily Workforce'!$B132)=0,IF('Daily Schedule'!$A34=45,'Daily Workforce'!$J132="Y",IF(OR('Daily Schedule'!$A34=4,'Daily Schedule'!$A34=8),IF(OR(WEEKDAY('Daily Schedule'!$B$2,2)=1,WEEKDAY('Daily Schedule'!$B$2,2)=4,WEEKDAY('Daily Schedule'!$B$2,2)=5,WEEKDAY('Daily Schedule'!$B$2,2)=7),IFERROR(1*'Daily Workforce'!$K132&gt;=3,FALSE()),IFERROR(1*'Daily Workforce'!$K132&gt;=2,FALSE())),IF(AND('Daily Schedule'!$A34&gt;=46,'Daily Schedule'!$A34&lt;=52),'Daily Workforce'!$M132="Y",IFERROR(1*'Daily Workforce'!$P132&gt;=2,FALSE()))))),1,0)</f>
        <v>0</v>
      </c>
      <c r="EN30" s="1" t="n">
        <f aca="false">IF(AND('Daily Workforce'!$N133="Y",'Daily Workforce'!$B133&lt;&gt;"",COUNTIF('Daily Schedule'!$F$5:$F33,'Daily Workforce'!$B133)=0,IF('Daily Schedule'!$A34=45,'Daily Workforce'!$J133="Y",IF(OR('Daily Schedule'!$A34=4,'Daily Schedule'!$A34=8),IF(OR(WEEKDAY('Daily Schedule'!$B$2,2)=1,WEEKDAY('Daily Schedule'!$B$2,2)=4,WEEKDAY('Daily Schedule'!$B$2,2)=5,WEEKDAY('Daily Schedule'!$B$2,2)=7),IFERROR(1*'Daily Workforce'!$K133&gt;=3,FALSE()),IFERROR(1*'Daily Workforce'!$K133&gt;=2,FALSE())),IF(AND('Daily Schedule'!$A34&gt;=46,'Daily Schedule'!$A34&lt;=52),'Daily Workforce'!$M133="Y",IFERROR(1*'Daily Workforce'!$P133&gt;=2,FALSE()))))),1,0)</f>
        <v>0</v>
      </c>
      <c r="EO30" s="1" t="n">
        <f aca="false">IF(AND('Daily Workforce'!$N134="Y",'Daily Workforce'!$B134&lt;&gt;"",COUNTIF('Daily Schedule'!$F$5:$F33,'Daily Workforce'!$B134)=0,IF('Daily Schedule'!$A34=45,'Daily Workforce'!$J134="Y",IF(OR('Daily Schedule'!$A34=4,'Daily Schedule'!$A34=8),IF(OR(WEEKDAY('Daily Schedule'!$B$2,2)=1,WEEKDAY('Daily Schedule'!$B$2,2)=4,WEEKDAY('Daily Schedule'!$B$2,2)=5,WEEKDAY('Daily Schedule'!$B$2,2)=7),IFERROR(1*'Daily Workforce'!$K134&gt;=3,FALSE()),IFERROR(1*'Daily Workforce'!$K134&gt;=2,FALSE())),IF(AND('Daily Schedule'!$A34&gt;=46,'Daily Schedule'!$A34&lt;=52),'Daily Workforce'!$M134="Y",IFERROR(1*'Daily Workforce'!$P134&gt;=2,FALSE()))))),1,0)</f>
        <v>0</v>
      </c>
      <c r="EP30" s="1" t="n">
        <f aca="false">IF(AND('Daily Workforce'!$N135="Y",'Daily Workforce'!$B135&lt;&gt;"",COUNTIF('Daily Schedule'!$F$5:$F33,'Daily Workforce'!$B135)=0,IF('Daily Schedule'!$A34=45,'Daily Workforce'!$J135="Y",IF(OR('Daily Schedule'!$A34=4,'Daily Schedule'!$A34=8),IF(OR(WEEKDAY('Daily Schedule'!$B$2,2)=1,WEEKDAY('Daily Schedule'!$B$2,2)=4,WEEKDAY('Daily Schedule'!$B$2,2)=5,WEEKDAY('Daily Schedule'!$B$2,2)=7),IFERROR(1*'Daily Workforce'!$K135&gt;=3,FALSE()),IFERROR(1*'Daily Workforce'!$K135&gt;=2,FALSE())),IF(AND('Daily Schedule'!$A34&gt;=46,'Daily Schedule'!$A34&lt;=52),'Daily Workforce'!$M135="Y",IFERROR(1*'Daily Workforce'!$P135&gt;=2,FALSE()))))),1,0)</f>
        <v>0</v>
      </c>
      <c r="EQ30" s="1" t="n">
        <f aca="false">IF(AND('Daily Workforce'!$N136="Y",'Daily Workforce'!$B136&lt;&gt;"",COUNTIF('Daily Schedule'!$F$5:$F33,'Daily Workforce'!$B136)=0,IF('Daily Schedule'!$A34=45,'Daily Workforce'!$J136="Y",IF(OR('Daily Schedule'!$A34=4,'Daily Schedule'!$A34=8),IF(OR(WEEKDAY('Daily Schedule'!$B$2,2)=1,WEEKDAY('Daily Schedule'!$B$2,2)=4,WEEKDAY('Daily Schedule'!$B$2,2)=5,WEEKDAY('Daily Schedule'!$B$2,2)=7),IFERROR(1*'Daily Workforce'!$K136&gt;=3,FALSE()),IFERROR(1*'Daily Workforce'!$K136&gt;=2,FALSE())),IF(AND('Daily Schedule'!$A34&gt;=46,'Daily Schedule'!$A34&lt;=52),'Daily Workforce'!$M136="Y",IFERROR(1*'Daily Workforce'!$P136&gt;=2,FALSE()))))),1,0)</f>
        <v>0</v>
      </c>
      <c r="ER30" s="1" t="n">
        <f aca="false">IF(AND('Daily Workforce'!$N137="Y",'Daily Workforce'!$B137&lt;&gt;"",COUNTIF('Daily Schedule'!$F$5:$F33,'Daily Workforce'!$B137)=0,IF('Daily Schedule'!$A34=45,'Daily Workforce'!$J137="Y",IF(OR('Daily Schedule'!$A34=4,'Daily Schedule'!$A34=8),IF(OR(WEEKDAY('Daily Schedule'!$B$2,2)=1,WEEKDAY('Daily Schedule'!$B$2,2)=4,WEEKDAY('Daily Schedule'!$B$2,2)=5,WEEKDAY('Daily Schedule'!$B$2,2)=7),IFERROR(1*'Daily Workforce'!$K137&gt;=3,FALSE()),IFERROR(1*'Daily Workforce'!$K137&gt;=2,FALSE())),IF(AND('Daily Schedule'!$A34&gt;=46,'Daily Schedule'!$A34&lt;=52),'Daily Workforce'!$M137="Y",IFERROR(1*'Daily Workforce'!$P137&gt;=2,FALSE()))))),1,0)</f>
        <v>0</v>
      </c>
      <c r="ES30" s="1" t="n">
        <f aca="false">IF(AND('Daily Workforce'!$N138="Y",'Daily Workforce'!$B138&lt;&gt;"",COUNTIF('Daily Schedule'!$F$5:$F33,'Daily Workforce'!$B138)=0,IF('Daily Schedule'!$A34=45,'Daily Workforce'!$J138="Y",IF(OR('Daily Schedule'!$A34=4,'Daily Schedule'!$A34=8),IF(OR(WEEKDAY('Daily Schedule'!$B$2,2)=1,WEEKDAY('Daily Schedule'!$B$2,2)=4,WEEKDAY('Daily Schedule'!$B$2,2)=5,WEEKDAY('Daily Schedule'!$B$2,2)=7),IFERROR(1*'Daily Workforce'!$K138&gt;=3,FALSE()),IFERROR(1*'Daily Workforce'!$K138&gt;=2,FALSE())),IF(AND('Daily Schedule'!$A34&gt;=46,'Daily Schedule'!$A34&lt;=52),'Daily Workforce'!$M138="Y",IFERROR(1*'Daily Workforce'!$P138&gt;=2,FALSE()))))),1,0)</f>
        <v>0</v>
      </c>
      <c r="ET30" s="1" t="n">
        <f aca="false">IF(AND('Daily Workforce'!$N139="Y",'Daily Workforce'!$B139&lt;&gt;"",COUNTIF('Daily Schedule'!$F$5:$F33,'Daily Workforce'!$B139)=0,IF('Daily Schedule'!$A34=45,'Daily Workforce'!$J139="Y",IF(OR('Daily Schedule'!$A34=4,'Daily Schedule'!$A34=8),IF(OR(WEEKDAY('Daily Schedule'!$B$2,2)=1,WEEKDAY('Daily Schedule'!$B$2,2)=4,WEEKDAY('Daily Schedule'!$B$2,2)=5,WEEKDAY('Daily Schedule'!$B$2,2)=7),IFERROR(1*'Daily Workforce'!$K139&gt;=3,FALSE()),IFERROR(1*'Daily Workforce'!$K139&gt;=2,FALSE())),IF(AND('Daily Schedule'!$A34&gt;=46,'Daily Schedule'!$A34&lt;=52),'Daily Workforce'!$M139="Y",IFERROR(1*'Daily Workforce'!$P139&gt;=2,FALSE()))))),1,0)</f>
        <v>0</v>
      </c>
      <c r="EU30" s="1" t="n">
        <f aca="false">IF(AND('Daily Workforce'!$N140="Y",'Daily Workforce'!$B140&lt;&gt;"",COUNTIF('Daily Schedule'!$F$5:$F33,'Daily Workforce'!$B140)=0,IF('Daily Schedule'!$A34=45,'Daily Workforce'!$J140="Y",IF(OR('Daily Schedule'!$A34=4,'Daily Schedule'!$A34=8),IF(OR(WEEKDAY('Daily Schedule'!$B$2,2)=1,WEEKDAY('Daily Schedule'!$B$2,2)=4,WEEKDAY('Daily Schedule'!$B$2,2)=5,WEEKDAY('Daily Schedule'!$B$2,2)=7),IFERROR(1*'Daily Workforce'!$K140&gt;=3,FALSE()),IFERROR(1*'Daily Workforce'!$K140&gt;=2,FALSE())),IF(AND('Daily Schedule'!$A34&gt;=46,'Daily Schedule'!$A34&lt;=52),'Daily Workforce'!$M140="Y",IFERROR(1*'Daily Workforce'!$P140&gt;=2,FALSE()))))),1,0)</f>
        <v>0</v>
      </c>
      <c r="EV30" s="1" t="n">
        <f aca="false">IF(AND('Daily Workforce'!$N141="Y",'Daily Workforce'!$B141&lt;&gt;"",COUNTIF('Daily Schedule'!$F$5:$F33,'Daily Workforce'!$B141)=0,IF('Daily Schedule'!$A34=45,'Daily Workforce'!$J141="Y",IF(OR('Daily Schedule'!$A34=4,'Daily Schedule'!$A34=8),IF(OR(WEEKDAY('Daily Schedule'!$B$2,2)=1,WEEKDAY('Daily Schedule'!$B$2,2)=4,WEEKDAY('Daily Schedule'!$B$2,2)=5,WEEKDAY('Daily Schedule'!$B$2,2)=7),IFERROR(1*'Daily Workforce'!$K141&gt;=3,FALSE()),IFERROR(1*'Daily Workforce'!$K141&gt;=2,FALSE())),IF(AND('Daily Schedule'!$A34&gt;=46,'Daily Schedule'!$A34&lt;=52),'Daily Workforce'!$M141="Y",IFERROR(1*'Daily Workforce'!$P141&gt;=2,FALSE()))))),1,0)</f>
        <v>0</v>
      </c>
      <c r="EW30" s="1" t="n">
        <f aca="false">IF(AND('Daily Workforce'!$N142="Y",'Daily Workforce'!$B142&lt;&gt;"",COUNTIF('Daily Schedule'!$F$5:$F33,'Daily Workforce'!$B142)=0,IF('Daily Schedule'!$A34=45,'Daily Workforce'!$J142="Y",IF(OR('Daily Schedule'!$A34=4,'Daily Schedule'!$A34=8),IF(OR(WEEKDAY('Daily Schedule'!$B$2,2)=1,WEEKDAY('Daily Schedule'!$B$2,2)=4,WEEKDAY('Daily Schedule'!$B$2,2)=5,WEEKDAY('Daily Schedule'!$B$2,2)=7),IFERROR(1*'Daily Workforce'!$K142&gt;=3,FALSE()),IFERROR(1*'Daily Workforce'!$K142&gt;=2,FALSE())),IF(AND('Daily Schedule'!$A34&gt;=46,'Daily Schedule'!$A34&lt;=52),'Daily Workforce'!$M142="Y",IFERROR(1*'Daily Workforce'!$P142&gt;=2,FALSE()))))),1,0)</f>
        <v>0</v>
      </c>
      <c r="EX30" s="1" t="n">
        <f aca="false">IF(AND('Daily Workforce'!$N143="Y",'Daily Workforce'!$B143&lt;&gt;"",COUNTIF('Daily Schedule'!$F$5:$F33,'Daily Workforce'!$B143)=0,IF('Daily Schedule'!$A34=45,'Daily Workforce'!$J143="Y",IF(OR('Daily Schedule'!$A34=4,'Daily Schedule'!$A34=8),IF(OR(WEEKDAY('Daily Schedule'!$B$2,2)=1,WEEKDAY('Daily Schedule'!$B$2,2)=4,WEEKDAY('Daily Schedule'!$B$2,2)=5,WEEKDAY('Daily Schedule'!$B$2,2)=7),IFERROR(1*'Daily Workforce'!$K143&gt;=3,FALSE()),IFERROR(1*'Daily Workforce'!$K143&gt;=2,FALSE())),IF(AND('Daily Schedule'!$A34&gt;=46,'Daily Schedule'!$A34&lt;=52),'Daily Workforce'!$M143="Y",IFERROR(1*'Daily Workforce'!$P143&gt;=2,FALSE()))))),1,0)</f>
        <v>0</v>
      </c>
      <c r="EY30" s="1" t="n">
        <f aca="false">IF(AND('Daily Workforce'!$N144="Y",'Daily Workforce'!$B144&lt;&gt;"",COUNTIF('Daily Schedule'!$F$5:$F33,'Daily Workforce'!$B144)=0,IF('Daily Schedule'!$A34=45,'Daily Workforce'!$J144="Y",IF(OR('Daily Schedule'!$A34=4,'Daily Schedule'!$A34=8),IF(OR(WEEKDAY('Daily Schedule'!$B$2,2)=1,WEEKDAY('Daily Schedule'!$B$2,2)=4,WEEKDAY('Daily Schedule'!$B$2,2)=5,WEEKDAY('Daily Schedule'!$B$2,2)=7),IFERROR(1*'Daily Workforce'!$K144&gt;=3,FALSE()),IFERROR(1*'Daily Workforce'!$K144&gt;=2,FALSE())),IF(AND('Daily Schedule'!$A34&gt;=46,'Daily Schedule'!$A34&lt;=52),'Daily Workforce'!$M144="Y",IFERROR(1*'Daily Workforce'!$P144&gt;=2,FALSE()))))),1,0)</f>
        <v>0</v>
      </c>
      <c r="EZ30" s="1" t="n">
        <f aca="false">IF(AND('Daily Workforce'!$N145="Y",'Daily Workforce'!$B145&lt;&gt;"",COUNTIF('Daily Schedule'!$F$5:$F33,'Daily Workforce'!$B145)=0,IF('Daily Schedule'!$A34=45,'Daily Workforce'!$J145="Y",IF(OR('Daily Schedule'!$A34=4,'Daily Schedule'!$A34=8),IF(OR(WEEKDAY('Daily Schedule'!$B$2,2)=1,WEEKDAY('Daily Schedule'!$B$2,2)=4,WEEKDAY('Daily Schedule'!$B$2,2)=5,WEEKDAY('Daily Schedule'!$B$2,2)=7),IFERROR(1*'Daily Workforce'!$K145&gt;=3,FALSE()),IFERROR(1*'Daily Workforce'!$K145&gt;=2,FALSE())),IF(AND('Daily Schedule'!$A34&gt;=46,'Daily Schedule'!$A34&lt;=52),'Daily Workforce'!$M145="Y",IFERROR(1*'Daily Workforce'!$P145&gt;=2,FALSE()))))),1,0)</f>
        <v>0</v>
      </c>
      <c r="FA30" s="1" t="n">
        <f aca="false">IF(AND('Daily Workforce'!$N146="Y",'Daily Workforce'!$B146&lt;&gt;"",COUNTIF('Daily Schedule'!$F$5:$F33,'Daily Workforce'!$B146)=0,IF('Daily Schedule'!$A34=45,'Daily Workforce'!$J146="Y",IF(OR('Daily Schedule'!$A34=4,'Daily Schedule'!$A34=8),IF(OR(WEEKDAY('Daily Schedule'!$B$2,2)=1,WEEKDAY('Daily Schedule'!$B$2,2)=4,WEEKDAY('Daily Schedule'!$B$2,2)=5,WEEKDAY('Daily Schedule'!$B$2,2)=7),IFERROR(1*'Daily Workforce'!$K146&gt;=3,FALSE()),IFERROR(1*'Daily Workforce'!$K146&gt;=2,FALSE())),IF(AND('Daily Schedule'!$A34&gt;=46,'Daily Schedule'!$A34&lt;=52),'Daily Workforce'!$M146="Y",IFERROR(1*'Daily Workforce'!$P146&gt;=2,FALSE()))))),1,0)</f>
        <v>0</v>
      </c>
      <c r="FB30" s="1" t="n">
        <f aca="false">IF(AND('Daily Workforce'!$N147="Y",'Daily Workforce'!$B147&lt;&gt;"",COUNTIF('Daily Schedule'!$F$5:$F33,'Daily Workforce'!$B147)=0,IF('Daily Schedule'!$A34=45,'Daily Workforce'!$J147="Y",IF(OR('Daily Schedule'!$A34=4,'Daily Schedule'!$A34=8),IF(OR(WEEKDAY('Daily Schedule'!$B$2,2)=1,WEEKDAY('Daily Schedule'!$B$2,2)=4,WEEKDAY('Daily Schedule'!$B$2,2)=5,WEEKDAY('Daily Schedule'!$B$2,2)=7),IFERROR(1*'Daily Workforce'!$K147&gt;=3,FALSE()),IFERROR(1*'Daily Workforce'!$K147&gt;=2,FALSE())),IF(AND('Daily Schedule'!$A34&gt;=46,'Daily Schedule'!$A34&lt;=52),'Daily Workforce'!$M147="Y",IFERROR(1*'Daily Workforce'!$P147&gt;=2,FALSE()))))),1,0)</f>
        <v>0</v>
      </c>
      <c r="FC30" s="1" t="n">
        <f aca="false">IF(AND('Daily Workforce'!$N148="Y",'Daily Workforce'!$B148&lt;&gt;"",COUNTIF('Daily Schedule'!$F$5:$F33,'Daily Workforce'!$B148)=0,IF('Daily Schedule'!$A34=45,'Daily Workforce'!$J148="Y",IF(OR('Daily Schedule'!$A34=4,'Daily Schedule'!$A34=8),IF(OR(WEEKDAY('Daily Schedule'!$B$2,2)=1,WEEKDAY('Daily Schedule'!$B$2,2)=4,WEEKDAY('Daily Schedule'!$B$2,2)=5,WEEKDAY('Daily Schedule'!$B$2,2)=7),IFERROR(1*'Daily Workforce'!$K148&gt;=3,FALSE()),IFERROR(1*'Daily Workforce'!$K148&gt;=2,FALSE())),IF(AND('Daily Schedule'!$A34&gt;=46,'Daily Schedule'!$A34&lt;=52),'Daily Workforce'!$M148="Y",IFERROR(1*'Daily Workforce'!$P148&gt;=2,FALSE()))))),1,0)</f>
        <v>0</v>
      </c>
      <c r="FD30" s="1" t="n">
        <f aca="false">IF(AND('Daily Workforce'!$N149="Y",'Daily Workforce'!$B149&lt;&gt;"",COUNTIF('Daily Schedule'!$F$5:$F33,'Daily Workforce'!$B149)=0,IF('Daily Schedule'!$A34=45,'Daily Workforce'!$J149="Y",IF(OR('Daily Schedule'!$A34=4,'Daily Schedule'!$A34=8),IF(OR(WEEKDAY('Daily Schedule'!$B$2,2)=1,WEEKDAY('Daily Schedule'!$B$2,2)=4,WEEKDAY('Daily Schedule'!$B$2,2)=5,WEEKDAY('Daily Schedule'!$B$2,2)=7),IFERROR(1*'Daily Workforce'!$K149&gt;=3,FALSE()),IFERROR(1*'Daily Workforce'!$K149&gt;=2,FALSE())),IF(AND('Daily Schedule'!$A34&gt;=46,'Daily Schedule'!$A34&lt;=52),'Daily Workforce'!$M149="Y",IFERROR(1*'Daily Workforce'!$P149&gt;=2,FALSE()))))),1,0)</f>
        <v>0</v>
      </c>
      <c r="FE30" s="1" t="n">
        <f aca="false">IF(AND('Daily Workforce'!$N150="Y",'Daily Workforce'!$B150&lt;&gt;"",COUNTIF('Daily Schedule'!$F$5:$F33,'Daily Workforce'!$B150)=0,IF('Daily Schedule'!$A34=45,'Daily Workforce'!$J150="Y",IF(OR('Daily Schedule'!$A34=4,'Daily Schedule'!$A34=8),IF(OR(WEEKDAY('Daily Schedule'!$B$2,2)=1,WEEKDAY('Daily Schedule'!$B$2,2)=4,WEEKDAY('Daily Schedule'!$B$2,2)=5,WEEKDAY('Daily Schedule'!$B$2,2)=7),IFERROR(1*'Daily Workforce'!$K150&gt;=3,FALSE()),IFERROR(1*'Daily Workforce'!$K150&gt;=2,FALSE())),IF(AND('Daily Schedule'!$A34&gt;=46,'Daily Schedule'!$A34&lt;=52),'Daily Workforce'!$M150="Y",IFERROR(1*'Daily Workforce'!$P150&gt;=2,FALSE()))))),1,0)</f>
        <v>0</v>
      </c>
      <c r="FF30" s="1" t="n">
        <f aca="false">IF(AND('Daily Workforce'!$N151="Y",'Daily Workforce'!$B151&lt;&gt;"",COUNTIF('Daily Schedule'!$F$5:$F33,'Daily Workforce'!$B151)=0,IF('Daily Schedule'!$A34=45,'Daily Workforce'!$J151="Y",IF(OR('Daily Schedule'!$A34=4,'Daily Schedule'!$A34=8),IF(OR(WEEKDAY('Daily Schedule'!$B$2,2)=1,WEEKDAY('Daily Schedule'!$B$2,2)=4,WEEKDAY('Daily Schedule'!$B$2,2)=5,WEEKDAY('Daily Schedule'!$B$2,2)=7),IFERROR(1*'Daily Workforce'!$K151&gt;=3,FALSE()),IFERROR(1*'Daily Workforce'!$K151&gt;=2,FALSE())),IF(AND('Daily Schedule'!$A34&gt;=46,'Daily Schedule'!$A34&lt;=52),'Daily Workforce'!$M151="Y",IFERROR(1*'Daily Workforce'!$P151&gt;=2,FALSE()))))),1,0)</f>
        <v>0</v>
      </c>
      <c r="FG30" s="1" t="n">
        <f aca="false">IF(AND('Daily Workforce'!$N152="Y",'Daily Workforce'!$B152&lt;&gt;"",COUNTIF('Daily Schedule'!$F$5:$F33,'Daily Workforce'!$B152)=0,IF('Daily Schedule'!$A34=45,'Daily Workforce'!$J152="Y",IF(OR('Daily Schedule'!$A34=4,'Daily Schedule'!$A34=8),IF(OR(WEEKDAY('Daily Schedule'!$B$2,2)=1,WEEKDAY('Daily Schedule'!$B$2,2)=4,WEEKDAY('Daily Schedule'!$B$2,2)=5,WEEKDAY('Daily Schedule'!$B$2,2)=7),IFERROR(1*'Daily Workforce'!$K152&gt;=3,FALSE()),IFERROR(1*'Daily Workforce'!$K152&gt;=2,FALSE())),IF(AND('Daily Schedule'!$A34&gt;=46,'Daily Schedule'!$A34&lt;=52),'Daily Workforce'!$M152="Y",IFERROR(1*'Daily Workforce'!$P152&gt;=2,FALSE()))))),1,0)</f>
        <v>0</v>
      </c>
      <c r="FH30" s="1" t="n">
        <f aca="false">IF(AND('Daily Workforce'!$N153="Y",'Daily Workforce'!$B153&lt;&gt;"",COUNTIF('Daily Schedule'!$F$5:$F33,'Daily Workforce'!$B153)=0,IF('Daily Schedule'!$A34=45,'Daily Workforce'!$J153="Y",IF(OR('Daily Schedule'!$A34=4,'Daily Schedule'!$A34=8),IF(OR(WEEKDAY('Daily Schedule'!$B$2,2)=1,WEEKDAY('Daily Schedule'!$B$2,2)=4,WEEKDAY('Daily Schedule'!$B$2,2)=5,WEEKDAY('Daily Schedule'!$B$2,2)=7),IFERROR(1*'Daily Workforce'!$K153&gt;=3,FALSE()),IFERROR(1*'Daily Workforce'!$K153&gt;=2,FALSE())),IF(AND('Daily Schedule'!$A34&gt;=46,'Daily Schedule'!$A34&lt;=52),'Daily Workforce'!$M153="Y",IFERROR(1*'Daily Workforce'!$P153&gt;=2,FALSE()))))),1,0)</f>
        <v>0</v>
      </c>
      <c r="FI30" s="1" t="n">
        <f aca="false">IF(AND('Daily Workforce'!$N154="Y",'Daily Workforce'!$B154&lt;&gt;"",COUNTIF('Daily Schedule'!$F$5:$F33,'Daily Workforce'!$B154)=0,IF('Daily Schedule'!$A34=45,'Daily Workforce'!$J154="Y",IF(OR('Daily Schedule'!$A34=4,'Daily Schedule'!$A34=8),IF(OR(WEEKDAY('Daily Schedule'!$B$2,2)=1,WEEKDAY('Daily Schedule'!$B$2,2)=4,WEEKDAY('Daily Schedule'!$B$2,2)=5,WEEKDAY('Daily Schedule'!$B$2,2)=7),IFERROR(1*'Daily Workforce'!$K154&gt;=3,FALSE()),IFERROR(1*'Daily Workforce'!$K154&gt;=2,FALSE())),IF(AND('Daily Schedule'!$A34&gt;=46,'Daily Schedule'!$A34&lt;=52),'Daily Workforce'!$M154="Y",IFERROR(1*'Daily Workforce'!$P154&gt;=2,FALSE()))))),1,0)</f>
        <v>0</v>
      </c>
      <c r="FJ30" s="1" t="n">
        <f aca="false">IF(AND('Daily Workforce'!$N155="Y",'Daily Workforce'!$B155&lt;&gt;"",COUNTIF('Daily Schedule'!$F$5:$F33,'Daily Workforce'!$B155)=0,IF('Daily Schedule'!$A34=45,'Daily Workforce'!$J155="Y",IF(OR('Daily Schedule'!$A34=4,'Daily Schedule'!$A34=8),IF(OR(WEEKDAY('Daily Schedule'!$B$2,2)=1,WEEKDAY('Daily Schedule'!$B$2,2)=4,WEEKDAY('Daily Schedule'!$B$2,2)=5,WEEKDAY('Daily Schedule'!$B$2,2)=7),IFERROR(1*'Daily Workforce'!$K155&gt;=3,FALSE()),IFERROR(1*'Daily Workforce'!$K155&gt;=2,FALSE())),IF(AND('Daily Schedule'!$A34&gt;=46,'Daily Schedule'!$A34&lt;=52),'Daily Workforce'!$M155="Y",IFERROR(1*'Daily Workforce'!$P155&gt;=2,FALSE()))))),1,0)</f>
        <v>0</v>
      </c>
      <c r="FK30" s="1" t="n">
        <f aca="false">IF(AND('Daily Workforce'!$N156="Y",'Daily Workforce'!$B156&lt;&gt;"",COUNTIF('Daily Schedule'!$F$5:$F33,'Daily Workforce'!$B156)=0,IF('Daily Schedule'!$A34=45,'Daily Workforce'!$J156="Y",IF(OR('Daily Schedule'!$A34=4,'Daily Schedule'!$A34=8),IF(OR(WEEKDAY('Daily Schedule'!$B$2,2)=1,WEEKDAY('Daily Schedule'!$B$2,2)=4,WEEKDAY('Daily Schedule'!$B$2,2)=5,WEEKDAY('Daily Schedule'!$B$2,2)=7),IFERROR(1*'Daily Workforce'!$K156&gt;=3,FALSE()),IFERROR(1*'Daily Workforce'!$K156&gt;=2,FALSE())),IF(AND('Daily Schedule'!$A34&gt;=46,'Daily Schedule'!$A34&lt;=52),'Daily Workforce'!$M156="Y",IFERROR(1*'Daily Workforce'!$P156&gt;=2,FALSE()))))),1,0)</f>
        <v>0</v>
      </c>
      <c r="FL30" s="1" t="n">
        <f aca="false">IF(AND('Daily Workforce'!$N157="Y",'Daily Workforce'!$B157&lt;&gt;"",COUNTIF('Daily Schedule'!$F$5:$F33,'Daily Workforce'!$B157)=0,IF('Daily Schedule'!$A34=45,'Daily Workforce'!$J157="Y",IF(OR('Daily Schedule'!$A34=4,'Daily Schedule'!$A34=8),IF(OR(WEEKDAY('Daily Schedule'!$B$2,2)=1,WEEKDAY('Daily Schedule'!$B$2,2)=4,WEEKDAY('Daily Schedule'!$B$2,2)=5,WEEKDAY('Daily Schedule'!$B$2,2)=7),IFERROR(1*'Daily Workforce'!$K157&gt;=3,FALSE()),IFERROR(1*'Daily Workforce'!$K157&gt;=2,FALSE())),IF(AND('Daily Schedule'!$A34&gt;=46,'Daily Schedule'!$A34&lt;=52),'Daily Workforce'!$M157="Y",IFERROR(1*'Daily Workforce'!$P157&gt;=2,FALSE()))))),1,0)</f>
        <v>0</v>
      </c>
      <c r="FM30" s="1" t="n">
        <f aca="false">IF(AND('Daily Workforce'!$N158="Y",'Daily Workforce'!$B158&lt;&gt;"",COUNTIF('Daily Schedule'!$F$5:$F33,'Daily Workforce'!$B158)=0,IF('Daily Schedule'!$A34=45,'Daily Workforce'!$J158="Y",IF(OR('Daily Schedule'!$A34=4,'Daily Schedule'!$A34=8),IF(OR(WEEKDAY('Daily Schedule'!$B$2,2)=1,WEEKDAY('Daily Schedule'!$B$2,2)=4,WEEKDAY('Daily Schedule'!$B$2,2)=5,WEEKDAY('Daily Schedule'!$B$2,2)=7),IFERROR(1*'Daily Workforce'!$K158&gt;=3,FALSE()),IFERROR(1*'Daily Workforce'!$K158&gt;=2,FALSE())),IF(AND('Daily Schedule'!$A34&gt;=46,'Daily Schedule'!$A34&lt;=52),'Daily Workforce'!$M158="Y",IFERROR(1*'Daily Workforce'!$P158&gt;=2,FALSE()))))),1,0)</f>
        <v>0</v>
      </c>
      <c r="FN30" s="1" t="n">
        <f aca="false">IF(AND('Daily Workforce'!$N159="Y",'Daily Workforce'!$B159&lt;&gt;"",COUNTIF('Daily Schedule'!$F$5:$F33,'Daily Workforce'!$B159)=0,IF('Daily Schedule'!$A34=45,'Daily Workforce'!$J159="Y",IF(OR('Daily Schedule'!$A34=4,'Daily Schedule'!$A34=8),IF(OR(WEEKDAY('Daily Schedule'!$B$2,2)=1,WEEKDAY('Daily Schedule'!$B$2,2)=4,WEEKDAY('Daily Schedule'!$B$2,2)=5,WEEKDAY('Daily Schedule'!$B$2,2)=7),IFERROR(1*'Daily Workforce'!$K159&gt;=3,FALSE()),IFERROR(1*'Daily Workforce'!$K159&gt;=2,FALSE())),IF(AND('Daily Schedule'!$A34&gt;=46,'Daily Schedule'!$A34&lt;=52),'Daily Workforce'!$M159="Y",IFERROR(1*'Daily Workforce'!$P159&gt;=2,FALSE()))))),1,0)</f>
        <v>0</v>
      </c>
      <c r="FO30" s="1" t="n">
        <f aca="false">IF(AND('Daily Workforce'!$N160="Y",'Daily Workforce'!$B160&lt;&gt;"",COUNTIF('Daily Schedule'!$F$5:$F33,'Daily Workforce'!$B160)=0,IF('Daily Schedule'!$A34=45,'Daily Workforce'!$J160="Y",IF(OR('Daily Schedule'!$A34=4,'Daily Schedule'!$A34=8),IF(OR(WEEKDAY('Daily Schedule'!$B$2,2)=1,WEEKDAY('Daily Schedule'!$B$2,2)=4,WEEKDAY('Daily Schedule'!$B$2,2)=5,WEEKDAY('Daily Schedule'!$B$2,2)=7),IFERROR(1*'Daily Workforce'!$K160&gt;=3,FALSE()),IFERROR(1*'Daily Workforce'!$K160&gt;=2,FALSE())),IF(AND('Daily Schedule'!$A34&gt;=46,'Daily Schedule'!$A34&lt;=52),'Daily Workforce'!$M160="Y",IFERROR(1*'Daily Workforce'!$P160&gt;=2,FALSE()))))),1,0)</f>
        <v>0</v>
      </c>
      <c r="FP30" s="1" t="n">
        <f aca="false">IF(AND('Daily Workforce'!$N161="Y",'Daily Workforce'!$B161&lt;&gt;"",COUNTIF('Daily Schedule'!$F$5:$F33,'Daily Workforce'!$B161)=0,IF('Daily Schedule'!$A34=45,'Daily Workforce'!$J161="Y",IF(OR('Daily Schedule'!$A34=4,'Daily Schedule'!$A34=8),IF(OR(WEEKDAY('Daily Schedule'!$B$2,2)=1,WEEKDAY('Daily Schedule'!$B$2,2)=4,WEEKDAY('Daily Schedule'!$B$2,2)=5,WEEKDAY('Daily Schedule'!$B$2,2)=7),IFERROR(1*'Daily Workforce'!$K161&gt;=3,FALSE()),IFERROR(1*'Daily Workforce'!$K161&gt;=2,FALSE())),IF(AND('Daily Schedule'!$A34&gt;=46,'Daily Schedule'!$A34&lt;=52),'Daily Workforce'!$M161="Y",IFERROR(1*'Daily Workforce'!$P161&gt;=2,FALSE()))))),1,0)</f>
        <v>0</v>
      </c>
      <c r="FQ30" s="1" t="n">
        <f aca="false">IF(AND('Daily Workforce'!$N162="Y",'Daily Workforce'!$B162&lt;&gt;"",COUNTIF('Daily Schedule'!$F$5:$F33,'Daily Workforce'!$B162)=0,IF('Daily Schedule'!$A34=45,'Daily Workforce'!$J162="Y",IF(OR('Daily Schedule'!$A34=4,'Daily Schedule'!$A34=8),IF(OR(WEEKDAY('Daily Schedule'!$B$2,2)=1,WEEKDAY('Daily Schedule'!$B$2,2)=4,WEEKDAY('Daily Schedule'!$B$2,2)=5,WEEKDAY('Daily Schedule'!$B$2,2)=7),IFERROR(1*'Daily Workforce'!$K162&gt;=3,FALSE()),IFERROR(1*'Daily Workforce'!$K162&gt;=2,FALSE())),IF(AND('Daily Schedule'!$A34&gt;=46,'Daily Schedule'!$A34&lt;=52),'Daily Workforce'!$M162="Y",IFERROR(1*'Daily Workforce'!$P162&gt;=2,FALSE()))))),1,0)</f>
        <v>0</v>
      </c>
      <c r="FR30" s="1" t="n">
        <f aca="false">IF(AND('Daily Workforce'!$N163="Y",'Daily Workforce'!$B163&lt;&gt;"",COUNTIF('Daily Schedule'!$F$5:$F33,'Daily Workforce'!$B163)=0,IF('Daily Schedule'!$A34=45,'Daily Workforce'!$J163="Y",IF(OR('Daily Schedule'!$A34=4,'Daily Schedule'!$A34=8),IF(OR(WEEKDAY('Daily Schedule'!$B$2,2)=1,WEEKDAY('Daily Schedule'!$B$2,2)=4,WEEKDAY('Daily Schedule'!$B$2,2)=5,WEEKDAY('Daily Schedule'!$B$2,2)=7),IFERROR(1*'Daily Workforce'!$K163&gt;=3,FALSE()),IFERROR(1*'Daily Workforce'!$K163&gt;=2,FALSE())),IF(AND('Daily Schedule'!$A34&gt;=46,'Daily Schedule'!$A34&lt;=52),'Daily Workforce'!$M163="Y",IFERROR(1*'Daily Workforce'!$P163&gt;=2,FALSE()))))),1,0)</f>
        <v>0</v>
      </c>
      <c r="FS30" s="1" t="n">
        <f aca="false">IF(AND('Daily Workforce'!$N164="Y",'Daily Workforce'!$B164&lt;&gt;"",COUNTIF('Daily Schedule'!$F$5:$F33,'Daily Workforce'!$B164)=0,IF('Daily Schedule'!$A34=45,'Daily Workforce'!$J164="Y",IF(OR('Daily Schedule'!$A34=4,'Daily Schedule'!$A34=8),IF(OR(WEEKDAY('Daily Schedule'!$B$2,2)=1,WEEKDAY('Daily Schedule'!$B$2,2)=4,WEEKDAY('Daily Schedule'!$B$2,2)=5,WEEKDAY('Daily Schedule'!$B$2,2)=7),IFERROR(1*'Daily Workforce'!$K164&gt;=3,FALSE()),IFERROR(1*'Daily Workforce'!$K164&gt;=2,FALSE())),IF(AND('Daily Schedule'!$A34&gt;=46,'Daily Schedule'!$A34&lt;=52),'Daily Workforce'!$M164="Y",IFERROR(1*'Daily Workforce'!$P164&gt;=2,FALSE()))))),1,0)</f>
        <v>0</v>
      </c>
      <c r="FT30" s="1" t="n">
        <f aca="false">IF(AND('Daily Workforce'!$N165="Y",'Daily Workforce'!$B165&lt;&gt;"",COUNTIF('Daily Schedule'!$F$5:$F33,'Daily Workforce'!$B165)=0,IF('Daily Schedule'!$A34=45,'Daily Workforce'!$J165="Y",IF(OR('Daily Schedule'!$A34=4,'Daily Schedule'!$A34=8),IF(OR(WEEKDAY('Daily Schedule'!$B$2,2)=1,WEEKDAY('Daily Schedule'!$B$2,2)=4,WEEKDAY('Daily Schedule'!$B$2,2)=5,WEEKDAY('Daily Schedule'!$B$2,2)=7),IFERROR(1*'Daily Workforce'!$K165&gt;=3,FALSE()),IFERROR(1*'Daily Workforce'!$K165&gt;=2,FALSE())),IF(AND('Daily Schedule'!$A34&gt;=46,'Daily Schedule'!$A34&lt;=52),'Daily Workforce'!$M165="Y",IFERROR(1*'Daily Workforce'!$P165&gt;=2,FALSE()))))),1,0)</f>
        <v>0</v>
      </c>
      <c r="FU30" s="1" t="n">
        <f aca="false">IF(AND('Daily Workforce'!$N166="Y",'Daily Workforce'!$B166&lt;&gt;"",COUNTIF('Daily Schedule'!$F$5:$F33,'Daily Workforce'!$B166)=0,IF('Daily Schedule'!$A34=45,'Daily Workforce'!$J166="Y",IF(OR('Daily Schedule'!$A34=4,'Daily Schedule'!$A34=8),IF(OR(WEEKDAY('Daily Schedule'!$B$2,2)=1,WEEKDAY('Daily Schedule'!$B$2,2)=4,WEEKDAY('Daily Schedule'!$B$2,2)=5,WEEKDAY('Daily Schedule'!$B$2,2)=7),IFERROR(1*'Daily Workforce'!$K166&gt;=3,FALSE()),IFERROR(1*'Daily Workforce'!$K166&gt;=2,FALSE())),IF(AND('Daily Schedule'!$A34&gt;=46,'Daily Schedule'!$A34&lt;=52),'Daily Workforce'!$M166="Y",IFERROR(1*'Daily Workforce'!$P166&gt;=2,FALSE()))))),1,0)</f>
        <v>0</v>
      </c>
      <c r="FV30" s="1" t="n">
        <f aca="false">IF(AND('Daily Workforce'!$N167="Y",'Daily Workforce'!$B167&lt;&gt;"",COUNTIF('Daily Schedule'!$F$5:$F33,'Daily Workforce'!$B167)=0,IF('Daily Schedule'!$A34=45,'Daily Workforce'!$J167="Y",IF(OR('Daily Schedule'!$A34=4,'Daily Schedule'!$A34=8),IF(OR(WEEKDAY('Daily Schedule'!$B$2,2)=1,WEEKDAY('Daily Schedule'!$B$2,2)=4,WEEKDAY('Daily Schedule'!$B$2,2)=5,WEEKDAY('Daily Schedule'!$B$2,2)=7),IFERROR(1*'Daily Workforce'!$K167&gt;=3,FALSE()),IFERROR(1*'Daily Workforce'!$K167&gt;=2,FALSE())),IF(AND('Daily Schedule'!$A34&gt;=46,'Daily Schedule'!$A34&lt;=52),'Daily Workforce'!$M167="Y",IFERROR(1*'Daily Workforce'!$P167&gt;=2,FALSE()))))),1,0)</f>
        <v>0</v>
      </c>
      <c r="FW30" s="1" t="n">
        <f aca="false">IF(AND('Daily Workforce'!$N168="Y",'Daily Workforce'!$B168&lt;&gt;"",COUNTIF('Daily Schedule'!$F$5:$F33,'Daily Workforce'!$B168)=0,IF('Daily Schedule'!$A34=45,'Daily Workforce'!$J168="Y",IF(OR('Daily Schedule'!$A34=4,'Daily Schedule'!$A34=8),IF(OR(WEEKDAY('Daily Schedule'!$B$2,2)=1,WEEKDAY('Daily Schedule'!$B$2,2)=4,WEEKDAY('Daily Schedule'!$B$2,2)=5,WEEKDAY('Daily Schedule'!$B$2,2)=7),IFERROR(1*'Daily Workforce'!$K168&gt;=3,FALSE()),IFERROR(1*'Daily Workforce'!$K168&gt;=2,FALSE())),IF(AND('Daily Schedule'!$A34&gt;=46,'Daily Schedule'!$A34&lt;=52),'Daily Workforce'!$M168="Y",IFERROR(1*'Daily Workforce'!$P168&gt;=2,FALSE()))))),1,0)</f>
        <v>0</v>
      </c>
      <c r="FX30" s="1" t="n">
        <f aca="false">IF(AND('Daily Workforce'!$N169="Y",'Daily Workforce'!$B169&lt;&gt;"",COUNTIF('Daily Schedule'!$F$5:$F33,'Daily Workforce'!$B169)=0,IF('Daily Schedule'!$A34=45,'Daily Workforce'!$J169="Y",IF(OR('Daily Schedule'!$A34=4,'Daily Schedule'!$A34=8),IF(OR(WEEKDAY('Daily Schedule'!$B$2,2)=1,WEEKDAY('Daily Schedule'!$B$2,2)=4,WEEKDAY('Daily Schedule'!$B$2,2)=5,WEEKDAY('Daily Schedule'!$B$2,2)=7),IFERROR(1*'Daily Workforce'!$K169&gt;=3,FALSE()),IFERROR(1*'Daily Workforce'!$K169&gt;=2,FALSE())),IF(AND('Daily Schedule'!$A34&gt;=46,'Daily Schedule'!$A34&lt;=52),'Daily Workforce'!$M169="Y",IFERROR(1*'Daily Workforce'!$P169&gt;=2,FALSE()))))),1,0)</f>
        <v>0</v>
      </c>
      <c r="FY30" s="1" t="n">
        <f aca="false">IF(AND('Daily Workforce'!$N170="Y",'Daily Workforce'!$B170&lt;&gt;"",COUNTIF('Daily Schedule'!$F$5:$F33,'Daily Workforce'!$B170)=0,IF('Daily Schedule'!$A34=45,'Daily Workforce'!$J170="Y",IF(OR('Daily Schedule'!$A34=4,'Daily Schedule'!$A34=8),IF(OR(WEEKDAY('Daily Schedule'!$B$2,2)=1,WEEKDAY('Daily Schedule'!$B$2,2)=4,WEEKDAY('Daily Schedule'!$B$2,2)=5,WEEKDAY('Daily Schedule'!$B$2,2)=7),IFERROR(1*'Daily Workforce'!$K170&gt;=3,FALSE()),IFERROR(1*'Daily Workforce'!$K170&gt;=2,FALSE())),IF(AND('Daily Schedule'!$A34&gt;=46,'Daily Schedule'!$A34&lt;=52),'Daily Workforce'!$M170="Y",IFERROR(1*'Daily Workforce'!$P170&gt;=2,FALSE()))))),1,0)</f>
        <v>0</v>
      </c>
      <c r="FZ30" s="1" t="n">
        <f aca="false">IF(AND('Daily Workforce'!$N171="Y",'Daily Workforce'!$B171&lt;&gt;"",COUNTIF('Daily Schedule'!$F$5:$F33,'Daily Workforce'!$B171)=0,IF('Daily Schedule'!$A34=45,'Daily Workforce'!$J171="Y",IF(OR('Daily Schedule'!$A34=4,'Daily Schedule'!$A34=8),IF(OR(WEEKDAY('Daily Schedule'!$B$2,2)=1,WEEKDAY('Daily Schedule'!$B$2,2)=4,WEEKDAY('Daily Schedule'!$B$2,2)=5,WEEKDAY('Daily Schedule'!$B$2,2)=7),IFERROR(1*'Daily Workforce'!$K171&gt;=3,FALSE()),IFERROR(1*'Daily Workforce'!$K171&gt;=2,FALSE())),IF(AND('Daily Schedule'!$A34&gt;=46,'Daily Schedule'!$A34&lt;=52),'Daily Workforce'!$M171="Y",IFERROR(1*'Daily Workforce'!$P171&gt;=2,FALSE()))))),1,0)</f>
        <v>0</v>
      </c>
      <c r="GA30" s="1" t="n">
        <f aca="false">IF(AND('Daily Workforce'!$N172="Y",'Daily Workforce'!$B172&lt;&gt;"",COUNTIF('Daily Schedule'!$F$5:$F33,'Daily Workforce'!$B172)=0,IF('Daily Schedule'!$A34=45,'Daily Workforce'!$J172="Y",IF(OR('Daily Schedule'!$A34=4,'Daily Schedule'!$A34=8),IF(OR(WEEKDAY('Daily Schedule'!$B$2,2)=1,WEEKDAY('Daily Schedule'!$B$2,2)=4,WEEKDAY('Daily Schedule'!$B$2,2)=5,WEEKDAY('Daily Schedule'!$B$2,2)=7),IFERROR(1*'Daily Workforce'!$K172&gt;=3,FALSE()),IFERROR(1*'Daily Workforce'!$K172&gt;=2,FALSE())),IF(AND('Daily Schedule'!$A34&gt;=46,'Daily Schedule'!$A34&lt;=52),'Daily Workforce'!$M172="Y",IFERROR(1*'Daily Workforce'!$P172&gt;=2,FALSE()))))),1,0)</f>
        <v>0</v>
      </c>
      <c r="GB30" s="1" t="n">
        <f aca="false">IF(AND('Daily Workforce'!$N173="Y",'Daily Workforce'!$B173&lt;&gt;"",COUNTIF('Daily Schedule'!$F$5:$F33,'Daily Workforce'!$B173)=0,IF('Daily Schedule'!$A34=45,'Daily Workforce'!$J173="Y",IF(OR('Daily Schedule'!$A34=4,'Daily Schedule'!$A34=8),IF(OR(WEEKDAY('Daily Schedule'!$B$2,2)=1,WEEKDAY('Daily Schedule'!$B$2,2)=4,WEEKDAY('Daily Schedule'!$B$2,2)=5,WEEKDAY('Daily Schedule'!$B$2,2)=7),IFERROR(1*'Daily Workforce'!$K173&gt;=3,FALSE()),IFERROR(1*'Daily Workforce'!$K173&gt;=2,FALSE())),IF(AND('Daily Schedule'!$A34&gt;=46,'Daily Schedule'!$A34&lt;=52),'Daily Workforce'!$M173="Y",IFERROR(1*'Daily Workforce'!$P173&gt;=2,FALSE()))))),1,0)</f>
        <v>0</v>
      </c>
      <c r="GC30" s="1" t="n">
        <f aca="false">IF(AND('Daily Workforce'!$N174="Y",'Daily Workforce'!$B174&lt;&gt;"",COUNTIF('Daily Schedule'!$F$5:$F33,'Daily Workforce'!$B174)=0,IF('Daily Schedule'!$A34=45,'Daily Workforce'!$J174="Y",IF(OR('Daily Schedule'!$A34=4,'Daily Schedule'!$A34=8),IF(OR(WEEKDAY('Daily Schedule'!$B$2,2)=1,WEEKDAY('Daily Schedule'!$B$2,2)=4,WEEKDAY('Daily Schedule'!$B$2,2)=5,WEEKDAY('Daily Schedule'!$B$2,2)=7),IFERROR(1*'Daily Workforce'!$K174&gt;=3,FALSE()),IFERROR(1*'Daily Workforce'!$K174&gt;=2,FALSE())),IF(AND('Daily Schedule'!$A34&gt;=46,'Daily Schedule'!$A34&lt;=52),'Daily Workforce'!$M174="Y",IFERROR(1*'Daily Workforce'!$P174&gt;=2,FALSE()))))),1,0)</f>
        <v>0</v>
      </c>
      <c r="GD30" s="1" t="n">
        <f aca="false">IF(AND('Daily Workforce'!$N175="Y",'Daily Workforce'!$B175&lt;&gt;"",COUNTIF('Daily Schedule'!$F$5:$F33,'Daily Workforce'!$B175)=0,IF('Daily Schedule'!$A34=45,'Daily Workforce'!$J175="Y",IF(OR('Daily Schedule'!$A34=4,'Daily Schedule'!$A34=8),IF(OR(WEEKDAY('Daily Schedule'!$B$2,2)=1,WEEKDAY('Daily Schedule'!$B$2,2)=4,WEEKDAY('Daily Schedule'!$B$2,2)=5,WEEKDAY('Daily Schedule'!$B$2,2)=7),IFERROR(1*'Daily Workforce'!$K175&gt;=3,FALSE()),IFERROR(1*'Daily Workforce'!$K175&gt;=2,FALSE())),IF(AND('Daily Schedule'!$A34&gt;=46,'Daily Schedule'!$A34&lt;=52),'Daily Workforce'!$M175="Y",IFERROR(1*'Daily Workforce'!$P175&gt;=2,FALSE()))))),1,0)</f>
        <v>0</v>
      </c>
      <c r="GE30" s="1" t="n">
        <f aca="false">IF(AND('Daily Workforce'!$N176="Y",'Daily Workforce'!$B176&lt;&gt;"",COUNTIF('Daily Schedule'!$F$5:$F33,'Daily Workforce'!$B176)=0,IF('Daily Schedule'!$A34=45,'Daily Workforce'!$J176="Y",IF(OR('Daily Schedule'!$A34=4,'Daily Schedule'!$A34=8),IF(OR(WEEKDAY('Daily Schedule'!$B$2,2)=1,WEEKDAY('Daily Schedule'!$B$2,2)=4,WEEKDAY('Daily Schedule'!$B$2,2)=5,WEEKDAY('Daily Schedule'!$B$2,2)=7),IFERROR(1*'Daily Workforce'!$K176&gt;=3,FALSE()),IFERROR(1*'Daily Workforce'!$K176&gt;=2,FALSE())),IF(AND('Daily Schedule'!$A34&gt;=46,'Daily Schedule'!$A34&lt;=52),'Daily Workforce'!$M176="Y",IFERROR(1*'Daily Workforce'!$P176&gt;=2,FALSE()))))),1,0)</f>
        <v>0</v>
      </c>
      <c r="GF30" s="1" t="n">
        <f aca="false">IF(AND('Daily Workforce'!$N177="Y",'Daily Workforce'!$B177&lt;&gt;"",COUNTIF('Daily Schedule'!$F$5:$F33,'Daily Workforce'!$B177)=0,IF('Daily Schedule'!$A34=45,'Daily Workforce'!$J177="Y",IF(OR('Daily Schedule'!$A34=4,'Daily Schedule'!$A34=8),IF(OR(WEEKDAY('Daily Schedule'!$B$2,2)=1,WEEKDAY('Daily Schedule'!$B$2,2)=4,WEEKDAY('Daily Schedule'!$B$2,2)=5,WEEKDAY('Daily Schedule'!$B$2,2)=7),IFERROR(1*'Daily Workforce'!$K177&gt;=3,FALSE()),IFERROR(1*'Daily Workforce'!$K177&gt;=2,FALSE())),IF(AND('Daily Schedule'!$A34&gt;=46,'Daily Schedule'!$A34&lt;=52),'Daily Workforce'!$M177="Y",IFERROR(1*'Daily Workforce'!$P177&gt;=2,FALSE()))))),1,0)</f>
        <v>0</v>
      </c>
      <c r="GG30" s="1" t="n">
        <f aca="false">IF(AND('Daily Workforce'!$N178="Y",'Daily Workforce'!$B178&lt;&gt;"",COUNTIF('Daily Schedule'!$F$5:$F33,'Daily Workforce'!$B178)=0,IF('Daily Schedule'!$A34=45,'Daily Workforce'!$J178="Y",IF(OR('Daily Schedule'!$A34=4,'Daily Schedule'!$A34=8),IF(OR(WEEKDAY('Daily Schedule'!$B$2,2)=1,WEEKDAY('Daily Schedule'!$B$2,2)=4,WEEKDAY('Daily Schedule'!$B$2,2)=5,WEEKDAY('Daily Schedule'!$B$2,2)=7),IFERROR(1*'Daily Workforce'!$K178&gt;=3,FALSE()),IFERROR(1*'Daily Workforce'!$K178&gt;=2,FALSE())),IF(AND('Daily Schedule'!$A34&gt;=46,'Daily Schedule'!$A34&lt;=52),'Daily Workforce'!$M178="Y",IFERROR(1*'Daily Workforce'!$P178&gt;=2,FALSE()))))),1,0)</f>
        <v>0</v>
      </c>
      <c r="GH30" s="1" t="n">
        <f aca="false">IF(AND('Daily Workforce'!$N179="Y",'Daily Workforce'!$B179&lt;&gt;"",COUNTIF('Daily Schedule'!$F$5:$F33,'Daily Workforce'!$B179)=0,IF('Daily Schedule'!$A34=45,'Daily Workforce'!$J179="Y",IF(OR('Daily Schedule'!$A34=4,'Daily Schedule'!$A34=8),IF(OR(WEEKDAY('Daily Schedule'!$B$2,2)=1,WEEKDAY('Daily Schedule'!$B$2,2)=4,WEEKDAY('Daily Schedule'!$B$2,2)=5,WEEKDAY('Daily Schedule'!$B$2,2)=7),IFERROR(1*'Daily Workforce'!$K179&gt;=3,FALSE()),IFERROR(1*'Daily Workforce'!$K179&gt;=2,FALSE())),IF(AND('Daily Schedule'!$A34&gt;=46,'Daily Schedule'!$A34&lt;=52),'Daily Workforce'!$M179="Y",IFERROR(1*'Daily Workforce'!$P179&gt;=2,FALSE()))))),1,0)</f>
        <v>0</v>
      </c>
      <c r="GI30" s="1" t="n">
        <f aca="false">IF(AND('Daily Workforce'!$N180="Y",'Daily Workforce'!$B180&lt;&gt;"",COUNTIF('Daily Schedule'!$F$5:$F33,'Daily Workforce'!$B180)=0,IF('Daily Schedule'!$A34=45,'Daily Workforce'!$J180="Y",IF(OR('Daily Schedule'!$A34=4,'Daily Schedule'!$A34=8),IF(OR(WEEKDAY('Daily Schedule'!$B$2,2)=1,WEEKDAY('Daily Schedule'!$B$2,2)=4,WEEKDAY('Daily Schedule'!$B$2,2)=5,WEEKDAY('Daily Schedule'!$B$2,2)=7),IFERROR(1*'Daily Workforce'!$K180&gt;=3,FALSE()),IFERROR(1*'Daily Workforce'!$K180&gt;=2,FALSE())),IF(AND('Daily Schedule'!$A34&gt;=46,'Daily Schedule'!$A34&lt;=52),'Daily Workforce'!$M180="Y",IFERROR(1*'Daily Workforce'!$P180&gt;=2,FALSE()))))),1,0)</f>
        <v>0</v>
      </c>
      <c r="GJ30" s="1" t="n">
        <f aca="false">IF(AND('Daily Workforce'!$N181="Y",'Daily Workforce'!$B181&lt;&gt;"",COUNTIF('Daily Schedule'!$F$5:$F33,'Daily Workforce'!$B181)=0,IF('Daily Schedule'!$A34=45,'Daily Workforce'!$J181="Y",IF(OR('Daily Schedule'!$A34=4,'Daily Schedule'!$A34=8),IF(OR(WEEKDAY('Daily Schedule'!$B$2,2)=1,WEEKDAY('Daily Schedule'!$B$2,2)=4,WEEKDAY('Daily Schedule'!$B$2,2)=5,WEEKDAY('Daily Schedule'!$B$2,2)=7),IFERROR(1*'Daily Workforce'!$K181&gt;=3,FALSE()),IFERROR(1*'Daily Workforce'!$K181&gt;=2,FALSE())),IF(AND('Daily Schedule'!$A34&gt;=46,'Daily Schedule'!$A34&lt;=52),'Daily Workforce'!$M181="Y",IFERROR(1*'Daily Workforce'!$P181&gt;=2,FALSE()))))),1,0)</f>
        <v>0</v>
      </c>
      <c r="GK30" s="1" t="n">
        <f aca="false">IF(AND('Daily Workforce'!$N182="Y",'Daily Workforce'!$B182&lt;&gt;"",COUNTIF('Daily Schedule'!$F$5:$F33,'Daily Workforce'!$B182)=0,IF('Daily Schedule'!$A34=45,'Daily Workforce'!$J182="Y",IF(OR('Daily Schedule'!$A34=4,'Daily Schedule'!$A34=8),IF(OR(WEEKDAY('Daily Schedule'!$B$2,2)=1,WEEKDAY('Daily Schedule'!$B$2,2)=4,WEEKDAY('Daily Schedule'!$B$2,2)=5,WEEKDAY('Daily Schedule'!$B$2,2)=7),IFERROR(1*'Daily Workforce'!$K182&gt;=3,FALSE()),IFERROR(1*'Daily Workforce'!$K182&gt;=2,FALSE())),IF(AND('Daily Schedule'!$A34&gt;=46,'Daily Schedule'!$A34&lt;=52),'Daily Workforce'!$M182="Y",IFERROR(1*'Daily Workforce'!$P182&gt;=2,FALSE()))))),1,0)</f>
        <v>0</v>
      </c>
      <c r="GL30" s="1" t="n">
        <f aca="false">IF(AND('Daily Workforce'!$N183="Y",'Daily Workforce'!$B183&lt;&gt;"",COUNTIF('Daily Schedule'!$F$5:$F33,'Daily Workforce'!$B183)=0,IF('Daily Schedule'!$A34=45,'Daily Workforce'!$J183="Y",IF(OR('Daily Schedule'!$A34=4,'Daily Schedule'!$A34=8),IF(OR(WEEKDAY('Daily Schedule'!$B$2,2)=1,WEEKDAY('Daily Schedule'!$B$2,2)=4,WEEKDAY('Daily Schedule'!$B$2,2)=5,WEEKDAY('Daily Schedule'!$B$2,2)=7),IFERROR(1*'Daily Workforce'!$K183&gt;=3,FALSE()),IFERROR(1*'Daily Workforce'!$K183&gt;=2,FALSE())),IF(AND('Daily Schedule'!$A34&gt;=46,'Daily Schedule'!$A34&lt;=52),'Daily Workforce'!$M183="Y",IFERROR(1*'Daily Workforce'!$P183&gt;=2,FALSE()))))),1,0)</f>
        <v>0</v>
      </c>
      <c r="GM30" s="1" t="n">
        <f aca="false">IF(AND('Daily Workforce'!$N184="Y",'Daily Workforce'!$B184&lt;&gt;"",COUNTIF('Daily Schedule'!$F$5:$F33,'Daily Workforce'!$B184)=0,IF('Daily Schedule'!$A34=45,'Daily Workforce'!$J184="Y",IF(OR('Daily Schedule'!$A34=4,'Daily Schedule'!$A34=8),IF(OR(WEEKDAY('Daily Schedule'!$B$2,2)=1,WEEKDAY('Daily Schedule'!$B$2,2)=4,WEEKDAY('Daily Schedule'!$B$2,2)=5,WEEKDAY('Daily Schedule'!$B$2,2)=7),IFERROR(1*'Daily Workforce'!$K184&gt;=3,FALSE()),IFERROR(1*'Daily Workforce'!$K184&gt;=2,FALSE())),IF(AND('Daily Schedule'!$A34&gt;=46,'Daily Schedule'!$A34&lt;=52),'Daily Workforce'!$M184="Y",IFERROR(1*'Daily Workforce'!$P184&gt;=2,FALSE()))))),1,0)</f>
        <v>0</v>
      </c>
      <c r="GN30" s="1" t="n">
        <f aca="false">IF(AND('Daily Workforce'!$N185="Y",'Daily Workforce'!$B185&lt;&gt;"",COUNTIF('Daily Schedule'!$F$5:$F33,'Daily Workforce'!$B185)=0,IF('Daily Schedule'!$A34=45,'Daily Workforce'!$J185="Y",IF(OR('Daily Schedule'!$A34=4,'Daily Schedule'!$A34=8),IF(OR(WEEKDAY('Daily Schedule'!$B$2,2)=1,WEEKDAY('Daily Schedule'!$B$2,2)=4,WEEKDAY('Daily Schedule'!$B$2,2)=5,WEEKDAY('Daily Schedule'!$B$2,2)=7),IFERROR(1*'Daily Workforce'!$K185&gt;=3,FALSE()),IFERROR(1*'Daily Workforce'!$K185&gt;=2,FALSE())),IF(AND('Daily Schedule'!$A34&gt;=46,'Daily Schedule'!$A34&lt;=52),'Daily Workforce'!$M185="Y",IFERROR(1*'Daily Workforce'!$P185&gt;=2,FALSE()))))),1,0)</f>
        <v>0</v>
      </c>
      <c r="GO30" s="1" t="n">
        <f aca="false">IF(AND('Daily Workforce'!$N186="Y",'Daily Workforce'!$B186&lt;&gt;"",COUNTIF('Daily Schedule'!$F$5:$F33,'Daily Workforce'!$B186)=0,IF('Daily Schedule'!$A34=45,'Daily Workforce'!$J186="Y",IF(OR('Daily Schedule'!$A34=4,'Daily Schedule'!$A34=8),IF(OR(WEEKDAY('Daily Schedule'!$B$2,2)=1,WEEKDAY('Daily Schedule'!$B$2,2)=4,WEEKDAY('Daily Schedule'!$B$2,2)=5,WEEKDAY('Daily Schedule'!$B$2,2)=7),IFERROR(1*'Daily Workforce'!$K186&gt;=3,FALSE()),IFERROR(1*'Daily Workforce'!$K186&gt;=2,FALSE())),IF(AND('Daily Schedule'!$A34&gt;=46,'Daily Schedule'!$A34&lt;=52),'Daily Workforce'!$M186="Y",IFERROR(1*'Daily Workforce'!$P186&gt;=2,FALSE()))))),1,0)</f>
        <v>0</v>
      </c>
      <c r="GP30" s="1" t="n">
        <f aca="false">IF(AND('Daily Workforce'!$N187="Y",'Daily Workforce'!$B187&lt;&gt;"",COUNTIF('Daily Schedule'!$F$5:$F33,'Daily Workforce'!$B187)=0,IF('Daily Schedule'!$A34=45,'Daily Workforce'!$J187="Y",IF(OR('Daily Schedule'!$A34=4,'Daily Schedule'!$A34=8),IF(OR(WEEKDAY('Daily Schedule'!$B$2,2)=1,WEEKDAY('Daily Schedule'!$B$2,2)=4,WEEKDAY('Daily Schedule'!$B$2,2)=5,WEEKDAY('Daily Schedule'!$B$2,2)=7),IFERROR(1*'Daily Workforce'!$K187&gt;=3,FALSE()),IFERROR(1*'Daily Workforce'!$K187&gt;=2,FALSE())),IF(AND('Daily Schedule'!$A34&gt;=46,'Daily Schedule'!$A34&lt;=52),'Daily Workforce'!$M187="Y",IFERROR(1*'Daily Workforce'!$P187&gt;=2,FALSE()))))),1,0)</f>
        <v>0</v>
      </c>
      <c r="GQ30" s="1" t="n">
        <f aca="false">IF(AND('Daily Workforce'!$N188="Y",'Daily Workforce'!$B188&lt;&gt;"",COUNTIF('Daily Schedule'!$F$5:$F33,'Daily Workforce'!$B188)=0,IF('Daily Schedule'!$A34=45,'Daily Workforce'!$J188="Y",IF(OR('Daily Schedule'!$A34=4,'Daily Schedule'!$A34=8),IF(OR(WEEKDAY('Daily Schedule'!$B$2,2)=1,WEEKDAY('Daily Schedule'!$B$2,2)=4,WEEKDAY('Daily Schedule'!$B$2,2)=5,WEEKDAY('Daily Schedule'!$B$2,2)=7),IFERROR(1*'Daily Workforce'!$K188&gt;=3,FALSE()),IFERROR(1*'Daily Workforce'!$K188&gt;=2,FALSE())),IF(AND('Daily Schedule'!$A34&gt;=46,'Daily Schedule'!$A34&lt;=52),'Daily Workforce'!$M188="Y",IFERROR(1*'Daily Workforce'!$P188&gt;=2,FALSE()))))),1,0)</f>
        <v>0</v>
      </c>
      <c r="GR30" s="1" t="n">
        <f aca="false">IF(AND('Daily Workforce'!$N189="Y",'Daily Workforce'!$B189&lt;&gt;"",COUNTIF('Daily Schedule'!$F$5:$F33,'Daily Workforce'!$B189)=0,IF('Daily Schedule'!$A34=45,'Daily Workforce'!$J189="Y",IF(OR('Daily Schedule'!$A34=4,'Daily Schedule'!$A34=8),IF(OR(WEEKDAY('Daily Schedule'!$B$2,2)=1,WEEKDAY('Daily Schedule'!$B$2,2)=4,WEEKDAY('Daily Schedule'!$B$2,2)=5,WEEKDAY('Daily Schedule'!$B$2,2)=7),IFERROR(1*'Daily Workforce'!$K189&gt;=3,FALSE()),IFERROR(1*'Daily Workforce'!$K189&gt;=2,FALSE())),IF(AND('Daily Schedule'!$A34&gt;=46,'Daily Schedule'!$A34&lt;=52),'Daily Workforce'!$M189="Y",IFERROR(1*'Daily Workforce'!$P189&gt;=2,FALSE()))))),1,0)</f>
        <v>0</v>
      </c>
      <c r="GS30" s="1" t="n">
        <f aca="false">IF(AND('Daily Workforce'!$N190="Y",'Daily Workforce'!$B190&lt;&gt;"",COUNTIF('Daily Schedule'!$F$5:$F33,'Daily Workforce'!$B190)=0,IF('Daily Schedule'!$A34=45,'Daily Workforce'!$J190="Y",IF(OR('Daily Schedule'!$A34=4,'Daily Schedule'!$A34=8),IF(OR(WEEKDAY('Daily Schedule'!$B$2,2)=1,WEEKDAY('Daily Schedule'!$B$2,2)=4,WEEKDAY('Daily Schedule'!$B$2,2)=5,WEEKDAY('Daily Schedule'!$B$2,2)=7),IFERROR(1*'Daily Workforce'!$K190&gt;=3,FALSE()),IFERROR(1*'Daily Workforce'!$K190&gt;=2,FALSE())),IF(AND('Daily Schedule'!$A34&gt;=46,'Daily Schedule'!$A34&lt;=52),'Daily Workforce'!$M190="Y",IFERROR(1*'Daily Workforce'!$P190&gt;=2,FALSE()))))),1,0)</f>
        <v>0</v>
      </c>
      <c r="GT30" s="1" t="n">
        <f aca="false">IF(AND('Daily Workforce'!$N191="Y",'Daily Workforce'!$B191&lt;&gt;"",COUNTIF('Daily Schedule'!$F$5:$F33,'Daily Workforce'!$B191)=0,IF('Daily Schedule'!$A34=45,'Daily Workforce'!$J191="Y",IF(OR('Daily Schedule'!$A34=4,'Daily Schedule'!$A34=8),IF(OR(WEEKDAY('Daily Schedule'!$B$2,2)=1,WEEKDAY('Daily Schedule'!$B$2,2)=4,WEEKDAY('Daily Schedule'!$B$2,2)=5,WEEKDAY('Daily Schedule'!$B$2,2)=7),IFERROR(1*'Daily Workforce'!$K191&gt;=3,FALSE()),IFERROR(1*'Daily Workforce'!$K191&gt;=2,FALSE())),IF(AND('Daily Schedule'!$A34&gt;=46,'Daily Schedule'!$A34&lt;=52),'Daily Workforce'!$M191="Y",IFERROR(1*'Daily Workforce'!$P191&gt;=2,FALSE()))))),1,0)</f>
        <v>0</v>
      </c>
      <c r="GU30" s="1" t="n">
        <f aca="false">IF(AND('Daily Workforce'!$N192="Y",'Daily Workforce'!$B192&lt;&gt;"",COUNTIF('Daily Schedule'!$F$5:$F33,'Daily Workforce'!$B192)=0,IF('Daily Schedule'!$A34=45,'Daily Workforce'!$J192="Y",IF(OR('Daily Schedule'!$A34=4,'Daily Schedule'!$A34=8),IF(OR(WEEKDAY('Daily Schedule'!$B$2,2)=1,WEEKDAY('Daily Schedule'!$B$2,2)=4,WEEKDAY('Daily Schedule'!$B$2,2)=5,WEEKDAY('Daily Schedule'!$B$2,2)=7),IFERROR(1*'Daily Workforce'!$K192&gt;=3,FALSE()),IFERROR(1*'Daily Workforce'!$K192&gt;=2,FALSE())),IF(AND('Daily Schedule'!$A34&gt;=46,'Daily Schedule'!$A34&lt;=52),'Daily Workforce'!$M192="Y",IFERROR(1*'Daily Workforce'!$P192&gt;=2,FALSE()))))),1,0)</f>
        <v>0</v>
      </c>
      <c r="GV30" s="1" t="n">
        <f aca="false">IF(AND('Daily Workforce'!$N193="Y",'Daily Workforce'!$B193&lt;&gt;"",COUNTIF('Daily Schedule'!$F$5:$F33,'Daily Workforce'!$B193)=0,IF('Daily Schedule'!$A34=45,'Daily Workforce'!$J193="Y",IF(OR('Daily Schedule'!$A34=4,'Daily Schedule'!$A34=8),IF(OR(WEEKDAY('Daily Schedule'!$B$2,2)=1,WEEKDAY('Daily Schedule'!$B$2,2)=4,WEEKDAY('Daily Schedule'!$B$2,2)=5,WEEKDAY('Daily Schedule'!$B$2,2)=7),IFERROR(1*'Daily Workforce'!$K193&gt;=3,FALSE()),IFERROR(1*'Daily Workforce'!$K193&gt;=2,FALSE())),IF(AND('Daily Schedule'!$A34&gt;=46,'Daily Schedule'!$A34&lt;=52),'Daily Workforce'!$M193="Y",IFERROR(1*'Daily Workforce'!$P193&gt;=2,FALSE()))))),1,0)</f>
        <v>0</v>
      </c>
      <c r="GW30" s="1" t="n">
        <f aca="false">IF(AND('Daily Workforce'!$N194="Y",'Daily Workforce'!$B194&lt;&gt;"",COUNTIF('Daily Schedule'!$F$5:$F33,'Daily Workforce'!$B194)=0,IF('Daily Schedule'!$A34=45,'Daily Workforce'!$J194="Y",IF(OR('Daily Schedule'!$A34=4,'Daily Schedule'!$A34=8),IF(OR(WEEKDAY('Daily Schedule'!$B$2,2)=1,WEEKDAY('Daily Schedule'!$B$2,2)=4,WEEKDAY('Daily Schedule'!$B$2,2)=5,WEEKDAY('Daily Schedule'!$B$2,2)=7),IFERROR(1*'Daily Workforce'!$K194&gt;=3,FALSE()),IFERROR(1*'Daily Workforce'!$K194&gt;=2,FALSE())),IF(AND('Daily Schedule'!$A34&gt;=46,'Daily Schedule'!$A34&lt;=52),'Daily Workforce'!$M194="Y",IFERROR(1*'Daily Workforce'!$P194&gt;=2,FALSE()))))),1,0)</f>
        <v>0</v>
      </c>
      <c r="GX30" s="1" t="n">
        <f aca="false">IF(AND('Daily Workforce'!$N195="Y",'Daily Workforce'!$B195&lt;&gt;"",COUNTIF('Daily Schedule'!$F$5:$F33,'Daily Workforce'!$B195)=0,IF('Daily Schedule'!$A34=45,'Daily Workforce'!$J195="Y",IF(OR('Daily Schedule'!$A34=4,'Daily Schedule'!$A34=8),IF(OR(WEEKDAY('Daily Schedule'!$B$2,2)=1,WEEKDAY('Daily Schedule'!$B$2,2)=4,WEEKDAY('Daily Schedule'!$B$2,2)=5,WEEKDAY('Daily Schedule'!$B$2,2)=7),IFERROR(1*'Daily Workforce'!$K195&gt;=3,FALSE()),IFERROR(1*'Daily Workforce'!$K195&gt;=2,FALSE())),IF(AND('Daily Schedule'!$A34&gt;=46,'Daily Schedule'!$A34&lt;=52),'Daily Workforce'!$M195="Y",IFERROR(1*'Daily Workforce'!$P195&gt;=2,FALSE()))))),1,0)</f>
        <v>0</v>
      </c>
      <c r="GY30" s="1" t="n">
        <f aca="false">IF(AND('Daily Workforce'!$N196="Y",'Daily Workforce'!$B196&lt;&gt;"",COUNTIF('Daily Schedule'!$F$5:$F33,'Daily Workforce'!$B196)=0,IF('Daily Schedule'!$A34=45,'Daily Workforce'!$J196="Y",IF(OR('Daily Schedule'!$A34=4,'Daily Schedule'!$A34=8),IF(OR(WEEKDAY('Daily Schedule'!$B$2,2)=1,WEEKDAY('Daily Schedule'!$B$2,2)=4,WEEKDAY('Daily Schedule'!$B$2,2)=5,WEEKDAY('Daily Schedule'!$B$2,2)=7),IFERROR(1*'Daily Workforce'!$K196&gt;=3,FALSE()),IFERROR(1*'Daily Workforce'!$K196&gt;=2,FALSE())),IF(AND('Daily Schedule'!$A34&gt;=46,'Daily Schedule'!$A34&lt;=52),'Daily Workforce'!$M196="Y",IFERROR(1*'Daily Workforce'!$P196&gt;=2,FALSE()))))),1,0)</f>
        <v>0</v>
      </c>
      <c r="GZ30" s="1" t="n">
        <f aca="false">IF(AND('Daily Workforce'!$N197="Y",'Daily Workforce'!$B197&lt;&gt;"",COUNTIF('Daily Schedule'!$F$5:$F33,'Daily Workforce'!$B197)=0,IF('Daily Schedule'!$A34=45,'Daily Workforce'!$J197="Y",IF(OR('Daily Schedule'!$A34=4,'Daily Schedule'!$A34=8),IF(OR(WEEKDAY('Daily Schedule'!$B$2,2)=1,WEEKDAY('Daily Schedule'!$B$2,2)=4,WEEKDAY('Daily Schedule'!$B$2,2)=5,WEEKDAY('Daily Schedule'!$B$2,2)=7),IFERROR(1*'Daily Workforce'!$K197&gt;=3,FALSE()),IFERROR(1*'Daily Workforce'!$K197&gt;=2,FALSE())),IF(AND('Daily Schedule'!$A34&gt;=46,'Daily Schedule'!$A34&lt;=52),'Daily Workforce'!$M197="Y",IFERROR(1*'Daily Workforce'!$P197&gt;=2,FALSE()))))),1,0)</f>
        <v>0</v>
      </c>
      <c r="HA30" s="1" t="n">
        <f aca="false">IF(AND('Daily Workforce'!$N198="Y",'Daily Workforce'!$B198&lt;&gt;"",COUNTIF('Daily Schedule'!$F$5:$F33,'Daily Workforce'!$B198)=0,IF('Daily Schedule'!$A34=45,'Daily Workforce'!$J198="Y",IF(OR('Daily Schedule'!$A34=4,'Daily Schedule'!$A34=8),IF(OR(WEEKDAY('Daily Schedule'!$B$2,2)=1,WEEKDAY('Daily Schedule'!$B$2,2)=4,WEEKDAY('Daily Schedule'!$B$2,2)=5,WEEKDAY('Daily Schedule'!$B$2,2)=7),IFERROR(1*'Daily Workforce'!$K198&gt;=3,FALSE()),IFERROR(1*'Daily Workforce'!$K198&gt;=2,FALSE())),IF(AND('Daily Schedule'!$A34&gt;=46,'Daily Schedule'!$A34&lt;=52),'Daily Workforce'!$M198="Y",IFERROR(1*'Daily Workforce'!$P198&gt;=2,FALSE()))))),1,0)</f>
        <v>0</v>
      </c>
      <c r="HB30" s="1" t="n">
        <f aca="false">IF(AND('Daily Workforce'!$N199="Y",'Daily Workforce'!$B199&lt;&gt;"",COUNTIF('Daily Schedule'!$F$5:$F33,'Daily Workforce'!$B199)=0,IF('Daily Schedule'!$A34=45,'Daily Workforce'!$J199="Y",IF(OR('Daily Schedule'!$A34=4,'Daily Schedule'!$A34=8),IF(OR(WEEKDAY('Daily Schedule'!$B$2,2)=1,WEEKDAY('Daily Schedule'!$B$2,2)=4,WEEKDAY('Daily Schedule'!$B$2,2)=5,WEEKDAY('Daily Schedule'!$B$2,2)=7),IFERROR(1*'Daily Workforce'!$K199&gt;=3,FALSE()),IFERROR(1*'Daily Workforce'!$K199&gt;=2,FALSE())),IF(AND('Daily Schedule'!$A34&gt;=46,'Daily Schedule'!$A34&lt;=52),'Daily Workforce'!$M199="Y",IFERROR(1*'Daily Workforce'!$P199&gt;=2,FALSE()))))),1,0)</f>
        <v>0</v>
      </c>
      <c r="HC30" s="1" t="n">
        <f aca="false">IF(AND('Daily Workforce'!$N200="Y",'Daily Workforce'!$B200&lt;&gt;"",COUNTIF('Daily Schedule'!$F$5:$F33,'Daily Workforce'!$B200)=0,IF('Daily Schedule'!$A34=45,'Daily Workforce'!$J200="Y",IF(OR('Daily Schedule'!$A34=4,'Daily Schedule'!$A34=8),IF(OR(WEEKDAY('Daily Schedule'!$B$2,2)=1,WEEKDAY('Daily Schedule'!$B$2,2)=4,WEEKDAY('Daily Schedule'!$B$2,2)=5,WEEKDAY('Daily Schedule'!$B$2,2)=7),IFERROR(1*'Daily Workforce'!$K200&gt;=3,FALSE()),IFERROR(1*'Daily Workforce'!$K200&gt;=2,FALSE())),IF(AND('Daily Schedule'!$A34&gt;=46,'Daily Schedule'!$A34&lt;=52),'Daily Workforce'!$M200="Y",IFERROR(1*'Daily Workforce'!$P200&gt;=2,FALSE()))))),1,0)</f>
        <v>0</v>
      </c>
      <c r="HD30" s="1" t="n">
        <f aca="false">IF(AND('Daily Workforce'!$N201="Y",'Daily Workforce'!$B201&lt;&gt;"",COUNTIF('Daily Schedule'!$F$5:$F33,'Daily Workforce'!$B201)=0,IF('Daily Schedule'!$A34=45,'Daily Workforce'!$J201="Y",IF(OR('Daily Schedule'!$A34=4,'Daily Schedule'!$A34=8),IF(OR(WEEKDAY('Daily Schedule'!$B$2,2)=1,WEEKDAY('Daily Schedule'!$B$2,2)=4,WEEKDAY('Daily Schedule'!$B$2,2)=5,WEEKDAY('Daily Schedule'!$B$2,2)=7),IFERROR(1*'Daily Workforce'!$K201&gt;=3,FALSE()),IFERROR(1*'Daily Workforce'!$K201&gt;=2,FALSE())),IF(AND('Daily Schedule'!$A34&gt;=46,'Daily Schedule'!$A34&lt;=52),'Daily Workforce'!$M201="Y",IFERROR(1*'Daily Workforce'!$P201&gt;=2,FALSE()))))),1,0)</f>
        <v>0</v>
      </c>
      <c r="HE30" s="1" t="n">
        <f aca="false">IF(AND('Daily Workforce'!$N202="Y",'Daily Workforce'!$B202&lt;&gt;"",COUNTIF('Daily Schedule'!$F$5:$F33,'Daily Workforce'!$B202)=0,IF('Daily Schedule'!$A34=45,'Daily Workforce'!$J202="Y",IF(OR('Daily Schedule'!$A34=4,'Daily Schedule'!$A34=8),IF(OR(WEEKDAY('Daily Schedule'!$B$2,2)=1,WEEKDAY('Daily Schedule'!$B$2,2)=4,WEEKDAY('Daily Schedule'!$B$2,2)=5,WEEKDAY('Daily Schedule'!$B$2,2)=7),IFERROR(1*'Daily Workforce'!$K202&gt;=3,FALSE()),IFERROR(1*'Daily Workforce'!$K202&gt;=2,FALSE())),IF(AND('Daily Schedule'!$A34&gt;=46,'Daily Schedule'!$A34&lt;=52),'Daily Workforce'!$M202="Y",IFERROR(1*'Daily Workforce'!$P202&gt;=2,FALSE()))))),1,0)</f>
        <v>0</v>
      </c>
      <c r="HF30" s="1" t="n">
        <f aca="false">IF(AND('Daily Workforce'!$N203="Y",'Daily Workforce'!$B203&lt;&gt;"",COUNTIF('Daily Schedule'!$F$5:$F33,'Daily Workforce'!$B203)=0,IF('Daily Schedule'!$A34=45,'Daily Workforce'!$J203="Y",IF(OR('Daily Schedule'!$A34=4,'Daily Schedule'!$A34=8),IF(OR(WEEKDAY('Daily Schedule'!$B$2,2)=1,WEEKDAY('Daily Schedule'!$B$2,2)=4,WEEKDAY('Daily Schedule'!$B$2,2)=5,WEEKDAY('Daily Schedule'!$B$2,2)=7),IFERROR(1*'Daily Workforce'!$K203&gt;=3,FALSE()),IFERROR(1*'Daily Workforce'!$K203&gt;=2,FALSE())),IF(AND('Daily Schedule'!$A34&gt;=46,'Daily Schedule'!$A34&lt;=52),'Daily Workforce'!$M203="Y",IFERROR(1*'Daily Workforce'!$P203&gt;=2,FALSE()))))),1,0)</f>
        <v>0</v>
      </c>
      <c r="HG30" s="1" t="n">
        <f aca="false">IF(AND('Daily Workforce'!$N204="Y",'Daily Workforce'!$B204&lt;&gt;"",COUNTIF('Daily Schedule'!$F$5:$F33,'Daily Workforce'!$B204)=0,IF('Daily Schedule'!$A34=45,'Daily Workforce'!$J204="Y",IF(OR('Daily Schedule'!$A34=4,'Daily Schedule'!$A34=8),IF(OR(WEEKDAY('Daily Schedule'!$B$2,2)=1,WEEKDAY('Daily Schedule'!$B$2,2)=4,WEEKDAY('Daily Schedule'!$B$2,2)=5,WEEKDAY('Daily Schedule'!$B$2,2)=7),IFERROR(1*'Daily Workforce'!$K204&gt;=3,FALSE()),IFERROR(1*'Daily Workforce'!$K204&gt;=2,FALSE())),IF(AND('Daily Schedule'!$A34&gt;=46,'Daily Schedule'!$A34&lt;=52),'Daily Workforce'!$M204="Y",IFERROR(1*'Daily Workforce'!$P204&gt;=2,FALSE()))))),1,0)</f>
        <v>0</v>
      </c>
      <c r="HH30" s="1" t="n">
        <f aca="false">IF(AND('Daily Workforce'!$N205="Y",'Daily Workforce'!$B205&lt;&gt;"",COUNTIF('Daily Schedule'!$F$5:$F33,'Daily Workforce'!$B205)=0,IF('Daily Schedule'!$A34=45,'Daily Workforce'!$J205="Y",IF(OR('Daily Schedule'!$A34=4,'Daily Schedule'!$A34=8),IF(OR(WEEKDAY('Daily Schedule'!$B$2,2)=1,WEEKDAY('Daily Schedule'!$B$2,2)=4,WEEKDAY('Daily Schedule'!$B$2,2)=5,WEEKDAY('Daily Schedule'!$B$2,2)=7),IFERROR(1*'Daily Workforce'!$K205&gt;=3,FALSE()),IFERROR(1*'Daily Workforce'!$K205&gt;=2,FALSE())),IF(AND('Daily Schedule'!$A34&gt;=46,'Daily Schedule'!$A34&lt;=52),'Daily Workforce'!$M205="Y",IFERROR(1*'Daily Workforce'!$P205&gt;=2,FALSE()))))),1,0)</f>
        <v>0</v>
      </c>
    </row>
    <row r="31" customFormat="false" ht="15" hidden="false" customHeight="true" outlineLevel="0" collapsed="false">
      <c r="L31" s="1" t="s">
        <v>482</v>
      </c>
      <c r="O31" s="1" t="str">
        <f aca="false">IF(AND('Employee Master'!$G31="Y",ISERROR(SEARCH(TEXT('Daily Workforce'!$B$2,"ddd"),'Employee Master'!$D31)),IF('Daily Workforce'!$E$2="",TRUE(),'Employee Master'!$I31='Daily Workforce'!$E$2)),'Employee Master'!$K31*1000+ROW()-1,"")</f>
        <v/>
      </c>
      <c r="P31" s="1" t="str">
        <f aca="false">IF($O31="","",COUNTIF($O$2:$O$159,"&lt;="&amp;$O31))</f>
        <v/>
      </c>
      <c r="Q31" s="1" t="n">
        <f aca="false">IF(AND('Daily Workforce'!$N6="Y",'Daily Workforce'!$B6&lt;&gt;"",COUNTIF('Daily Schedule'!$F$5:$F34,'Daily Workforce'!$B6)=0,IF('Daily Schedule'!$A35=45,'Daily Workforce'!$J6="Y",IF(OR('Daily Schedule'!$A35=4,'Daily Schedule'!$A35=8),IF(OR(WEEKDAY('Daily Schedule'!$B$2,2)=1,WEEKDAY('Daily Schedule'!$B$2,2)=4,WEEKDAY('Daily Schedule'!$B$2,2)=5,WEEKDAY('Daily Schedule'!$B$2,2)=7),IFERROR(1*'Daily Workforce'!$K6&gt;=3,FALSE()),IFERROR(1*'Daily Workforce'!$K6&gt;=2,FALSE())),IF(AND('Daily Schedule'!$A35&gt;=46,'Daily Schedule'!$A35&lt;=52),'Daily Workforce'!$M6="Y",IFERROR(1*'Daily Workforce'!$P6&gt;=2,FALSE()))))),1,0)</f>
        <v>0</v>
      </c>
      <c r="R31" s="1" t="n">
        <f aca="false">IF(AND('Daily Workforce'!$N7="Y",'Daily Workforce'!$B7&lt;&gt;"",COUNTIF('Daily Schedule'!$F$5:$F34,'Daily Workforce'!$B7)=0,IF('Daily Schedule'!$A35=45,'Daily Workforce'!$J7="Y",IF(OR('Daily Schedule'!$A35=4,'Daily Schedule'!$A35=8),IF(OR(WEEKDAY('Daily Schedule'!$B$2,2)=1,WEEKDAY('Daily Schedule'!$B$2,2)=4,WEEKDAY('Daily Schedule'!$B$2,2)=5,WEEKDAY('Daily Schedule'!$B$2,2)=7),IFERROR(1*'Daily Workforce'!$K7&gt;=3,FALSE()),IFERROR(1*'Daily Workforce'!$K7&gt;=2,FALSE())),IF(AND('Daily Schedule'!$A35&gt;=46,'Daily Schedule'!$A35&lt;=52),'Daily Workforce'!$M7="Y",IFERROR(1*'Daily Workforce'!$P7&gt;=2,FALSE()))))),1,0)</f>
        <v>0</v>
      </c>
      <c r="S31" s="1" t="n">
        <f aca="false">IF(AND('Daily Workforce'!$N8="Y",'Daily Workforce'!$B8&lt;&gt;"",COUNTIF('Daily Schedule'!$F$5:$F34,'Daily Workforce'!$B8)=0,IF('Daily Schedule'!$A35=45,'Daily Workforce'!$J8="Y",IF(OR('Daily Schedule'!$A35=4,'Daily Schedule'!$A35=8),IF(OR(WEEKDAY('Daily Schedule'!$B$2,2)=1,WEEKDAY('Daily Schedule'!$B$2,2)=4,WEEKDAY('Daily Schedule'!$B$2,2)=5,WEEKDAY('Daily Schedule'!$B$2,2)=7),IFERROR(1*'Daily Workforce'!$K8&gt;=3,FALSE()),IFERROR(1*'Daily Workforce'!$K8&gt;=2,FALSE())),IF(AND('Daily Schedule'!$A35&gt;=46,'Daily Schedule'!$A35&lt;=52),'Daily Workforce'!$M8="Y",IFERROR(1*'Daily Workforce'!$P8&gt;=2,FALSE()))))),1,0)</f>
        <v>0</v>
      </c>
      <c r="T31" s="1" t="n">
        <f aca="false">IF(AND('Daily Workforce'!$N9="Y",'Daily Workforce'!$B9&lt;&gt;"",COUNTIF('Daily Schedule'!$F$5:$F34,'Daily Workforce'!$B9)=0,IF('Daily Schedule'!$A35=45,'Daily Workforce'!$J9="Y",IF(OR('Daily Schedule'!$A35=4,'Daily Schedule'!$A35=8),IF(OR(WEEKDAY('Daily Schedule'!$B$2,2)=1,WEEKDAY('Daily Schedule'!$B$2,2)=4,WEEKDAY('Daily Schedule'!$B$2,2)=5,WEEKDAY('Daily Schedule'!$B$2,2)=7),IFERROR(1*'Daily Workforce'!$K9&gt;=3,FALSE()),IFERROR(1*'Daily Workforce'!$K9&gt;=2,FALSE())),IF(AND('Daily Schedule'!$A35&gt;=46,'Daily Schedule'!$A35&lt;=52),'Daily Workforce'!$M9="Y",IFERROR(1*'Daily Workforce'!$P9&gt;=2,FALSE()))))),1,0)</f>
        <v>0</v>
      </c>
      <c r="U31" s="1" t="n">
        <f aca="false">IF(AND('Daily Workforce'!$N10="Y",'Daily Workforce'!$B10&lt;&gt;"",COUNTIF('Daily Schedule'!$F$5:$F34,'Daily Workforce'!$B10)=0,IF('Daily Schedule'!$A35=45,'Daily Workforce'!$J10="Y",IF(OR('Daily Schedule'!$A35=4,'Daily Schedule'!$A35=8),IF(OR(WEEKDAY('Daily Schedule'!$B$2,2)=1,WEEKDAY('Daily Schedule'!$B$2,2)=4,WEEKDAY('Daily Schedule'!$B$2,2)=5,WEEKDAY('Daily Schedule'!$B$2,2)=7),IFERROR(1*'Daily Workforce'!$K10&gt;=3,FALSE()),IFERROR(1*'Daily Workforce'!$K10&gt;=2,FALSE())),IF(AND('Daily Schedule'!$A35&gt;=46,'Daily Schedule'!$A35&lt;=52),'Daily Workforce'!$M10="Y",IFERROR(1*'Daily Workforce'!$P10&gt;=2,FALSE()))))),1,0)</f>
        <v>0</v>
      </c>
      <c r="V31" s="1" t="n">
        <f aca="false">IF(AND('Daily Workforce'!$N11="Y",'Daily Workforce'!$B11&lt;&gt;"",COUNTIF('Daily Schedule'!$F$5:$F34,'Daily Workforce'!$B11)=0,IF('Daily Schedule'!$A35=45,'Daily Workforce'!$J11="Y",IF(OR('Daily Schedule'!$A35=4,'Daily Schedule'!$A35=8),IF(OR(WEEKDAY('Daily Schedule'!$B$2,2)=1,WEEKDAY('Daily Schedule'!$B$2,2)=4,WEEKDAY('Daily Schedule'!$B$2,2)=5,WEEKDAY('Daily Schedule'!$B$2,2)=7),IFERROR(1*'Daily Workforce'!$K11&gt;=3,FALSE()),IFERROR(1*'Daily Workforce'!$K11&gt;=2,FALSE())),IF(AND('Daily Schedule'!$A35&gt;=46,'Daily Schedule'!$A35&lt;=52),'Daily Workforce'!$M11="Y",IFERROR(1*'Daily Workforce'!$P11&gt;=2,FALSE()))))),1,0)</f>
        <v>0</v>
      </c>
      <c r="W31" s="1" t="n">
        <f aca="false">IF(AND('Daily Workforce'!$N12="Y",'Daily Workforce'!$B12&lt;&gt;"",COUNTIF('Daily Schedule'!$F$5:$F34,'Daily Workforce'!$B12)=0,IF('Daily Schedule'!$A35=45,'Daily Workforce'!$J12="Y",IF(OR('Daily Schedule'!$A35=4,'Daily Schedule'!$A35=8),IF(OR(WEEKDAY('Daily Schedule'!$B$2,2)=1,WEEKDAY('Daily Schedule'!$B$2,2)=4,WEEKDAY('Daily Schedule'!$B$2,2)=5,WEEKDAY('Daily Schedule'!$B$2,2)=7),IFERROR(1*'Daily Workforce'!$K12&gt;=3,FALSE()),IFERROR(1*'Daily Workforce'!$K12&gt;=2,FALSE())),IF(AND('Daily Schedule'!$A35&gt;=46,'Daily Schedule'!$A35&lt;=52),'Daily Workforce'!$M12="Y",IFERROR(1*'Daily Workforce'!$P12&gt;=2,FALSE()))))),1,0)</f>
        <v>0</v>
      </c>
      <c r="X31" s="1" t="n">
        <f aca="false">IF(AND('Daily Workforce'!$N13="Y",'Daily Workforce'!$B13&lt;&gt;"",COUNTIF('Daily Schedule'!$F$5:$F34,'Daily Workforce'!$B13)=0,IF('Daily Schedule'!$A35=45,'Daily Workforce'!$J13="Y",IF(OR('Daily Schedule'!$A35=4,'Daily Schedule'!$A35=8),IF(OR(WEEKDAY('Daily Schedule'!$B$2,2)=1,WEEKDAY('Daily Schedule'!$B$2,2)=4,WEEKDAY('Daily Schedule'!$B$2,2)=5,WEEKDAY('Daily Schedule'!$B$2,2)=7),IFERROR(1*'Daily Workforce'!$K13&gt;=3,FALSE()),IFERROR(1*'Daily Workforce'!$K13&gt;=2,FALSE())),IF(AND('Daily Schedule'!$A35&gt;=46,'Daily Schedule'!$A35&lt;=52),'Daily Workforce'!$M13="Y",IFERROR(1*'Daily Workforce'!$P13&gt;=2,FALSE()))))),1,0)</f>
        <v>0</v>
      </c>
      <c r="Y31" s="1" t="n">
        <f aca="false">IF(AND('Daily Workforce'!$N14="Y",'Daily Workforce'!$B14&lt;&gt;"",COUNTIF('Daily Schedule'!$F$5:$F34,'Daily Workforce'!$B14)=0,IF('Daily Schedule'!$A35=45,'Daily Workforce'!$J14="Y",IF(OR('Daily Schedule'!$A35=4,'Daily Schedule'!$A35=8),IF(OR(WEEKDAY('Daily Schedule'!$B$2,2)=1,WEEKDAY('Daily Schedule'!$B$2,2)=4,WEEKDAY('Daily Schedule'!$B$2,2)=5,WEEKDAY('Daily Schedule'!$B$2,2)=7),IFERROR(1*'Daily Workforce'!$K14&gt;=3,FALSE()),IFERROR(1*'Daily Workforce'!$K14&gt;=2,FALSE())),IF(AND('Daily Schedule'!$A35&gt;=46,'Daily Schedule'!$A35&lt;=52),'Daily Workforce'!$M14="Y",IFERROR(1*'Daily Workforce'!$P14&gt;=2,FALSE()))))),1,0)</f>
        <v>0</v>
      </c>
      <c r="Z31" s="1" t="n">
        <f aca="false">IF(AND('Daily Workforce'!$N15="Y",'Daily Workforce'!$B15&lt;&gt;"",COUNTIF('Daily Schedule'!$F$5:$F34,'Daily Workforce'!$B15)=0,IF('Daily Schedule'!$A35=45,'Daily Workforce'!$J15="Y",IF(OR('Daily Schedule'!$A35=4,'Daily Schedule'!$A35=8),IF(OR(WEEKDAY('Daily Schedule'!$B$2,2)=1,WEEKDAY('Daily Schedule'!$B$2,2)=4,WEEKDAY('Daily Schedule'!$B$2,2)=5,WEEKDAY('Daily Schedule'!$B$2,2)=7),IFERROR(1*'Daily Workforce'!$K15&gt;=3,FALSE()),IFERROR(1*'Daily Workforce'!$K15&gt;=2,FALSE())),IF(AND('Daily Schedule'!$A35&gt;=46,'Daily Schedule'!$A35&lt;=52),'Daily Workforce'!$M15="Y",IFERROR(1*'Daily Workforce'!$P15&gt;=2,FALSE()))))),1,0)</f>
        <v>0</v>
      </c>
      <c r="AA31" s="1" t="n">
        <f aca="false">IF(AND('Daily Workforce'!$N16="Y",'Daily Workforce'!$B16&lt;&gt;"",COUNTIF('Daily Schedule'!$F$5:$F34,'Daily Workforce'!$B16)=0,IF('Daily Schedule'!$A35=45,'Daily Workforce'!$J16="Y",IF(OR('Daily Schedule'!$A35=4,'Daily Schedule'!$A35=8),IF(OR(WEEKDAY('Daily Schedule'!$B$2,2)=1,WEEKDAY('Daily Schedule'!$B$2,2)=4,WEEKDAY('Daily Schedule'!$B$2,2)=5,WEEKDAY('Daily Schedule'!$B$2,2)=7),IFERROR(1*'Daily Workforce'!$K16&gt;=3,FALSE()),IFERROR(1*'Daily Workforce'!$K16&gt;=2,FALSE())),IF(AND('Daily Schedule'!$A35&gt;=46,'Daily Schedule'!$A35&lt;=52),'Daily Workforce'!$M16="Y",IFERROR(1*'Daily Workforce'!$P16&gt;=2,FALSE()))))),1,0)</f>
        <v>0</v>
      </c>
      <c r="AB31" s="1" t="n">
        <f aca="false">IF(AND('Daily Workforce'!$N17="Y",'Daily Workforce'!$B17&lt;&gt;"",COUNTIF('Daily Schedule'!$F$5:$F34,'Daily Workforce'!$B17)=0,IF('Daily Schedule'!$A35=45,'Daily Workforce'!$J17="Y",IF(OR('Daily Schedule'!$A35=4,'Daily Schedule'!$A35=8),IF(OR(WEEKDAY('Daily Schedule'!$B$2,2)=1,WEEKDAY('Daily Schedule'!$B$2,2)=4,WEEKDAY('Daily Schedule'!$B$2,2)=5,WEEKDAY('Daily Schedule'!$B$2,2)=7),IFERROR(1*'Daily Workforce'!$K17&gt;=3,FALSE()),IFERROR(1*'Daily Workforce'!$K17&gt;=2,FALSE())),IF(AND('Daily Schedule'!$A35&gt;=46,'Daily Schedule'!$A35&lt;=52),'Daily Workforce'!$M17="Y",IFERROR(1*'Daily Workforce'!$P17&gt;=2,FALSE()))))),1,0)</f>
        <v>0</v>
      </c>
      <c r="AC31" s="1" t="n">
        <f aca="false">IF(AND('Daily Workforce'!$N18="Y",'Daily Workforce'!$B18&lt;&gt;"",COUNTIF('Daily Schedule'!$F$5:$F34,'Daily Workforce'!$B18)=0,IF('Daily Schedule'!$A35=45,'Daily Workforce'!$J18="Y",IF(OR('Daily Schedule'!$A35=4,'Daily Schedule'!$A35=8),IF(OR(WEEKDAY('Daily Schedule'!$B$2,2)=1,WEEKDAY('Daily Schedule'!$B$2,2)=4,WEEKDAY('Daily Schedule'!$B$2,2)=5,WEEKDAY('Daily Schedule'!$B$2,2)=7),IFERROR(1*'Daily Workforce'!$K18&gt;=3,FALSE()),IFERROR(1*'Daily Workforce'!$K18&gt;=2,FALSE())),IF(AND('Daily Schedule'!$A35&gt;=46,'Daily Schedule'!$A35&lt;=52),'Daily Workforce'!$M18="Y",IFERROR(1*'Daily Workforce'!$P18&gt;=2,FALSE()))))),1,0)</f>
        <v>0</v>
      </c>
      <c r="AD31" s="1" t="n">
        <f aca="false">IF(AND('Daily Workforce'!$N19="Y",'Daily Workforce'!$B19&lt;&gt;"",COUNTIF('Daily Schedule'!$F$5:$F34,'Daily Workforce'!$B19)=0,IF('Daily Schedule'!$A35=45,'Daily Workforce'!$J19="Y",IF(OR('Daily Schedule'!$A35=4,'Daily Schedule'!$A35=8),IF(OR(WEEKDAY('Daily Schedule'!$B$2,2)=1,WEEKDAY('Daily Schedule'!$B$2,2)=4,WEEKDAY('Daily Schedule'!$B$2,2)=5,WEEKDAY('Daily Schedule'!$B$2,2)=7),IFERROR(1*'Daily Workforce'!$K19&gt;=3,FALSE()),IFERROR(1*'Daily Workforce'!$K19&gt;=2,FALSE())),IF(AND('Daily Schedule'!$A35&gt;=46,'Daily Schedule'!$A35&lt;=52),'Daily Workforce'!$M19="Y",IFERROR(1*'Daily Workforce'!$P19&gt;=2,FALSE()))))),1,0)</f>
        <v>0</v>
      </c>
      <c r="AE31" s="1" t="n">
        <f aca="false">IF(AND('Daily Workforce'!$N20="Y",'Daily Workforce'!$B20&lt;&gt;"",COUNTIF('Daily Schedule'!$F$5:$F34,'Daily Workforce'!$B20)=0,IF('Daily Schedule'!$A35=45,'Daily Workforce'!$J20="Y",IF(OR('Daily Schedule'!$A35=4,'Daily Schedule'!$A35=8),IF(OR(WEEKDAY('Daily Schedule'!$B$2,2)=1,WEEKDAY('Daily Schedule'!$B$2,2)=4,WEEKDAY('Daily Schedule'!$B$2,2)=5,WEEKDAY('Daily Schedule'!$B$2,2)=7),IFERROR(1*'Daily Workforce'!$K20&gt;=3,FALSE()),IFERROR(1*'Daily Workforce'!$K20&gt;=2,FALSE())),IF(AND('Daily Schedule'!$A35&gt;=46,'Daily Schedule'!$A35&lt;=52),'Daily Workforce'!$M20="Y",IFERROR(1*'Daily Workforce'!$P20&gt;=2,FALSE()))))),1,0)</f>
        <v>0</v>
      </c>
      <c r="AF31" s="1" t="n">
        <f aca="false">IF(AND('Daily Workforce'!$N21="Y",'Daily Workforce'!$B21&lt;&gt;"",COUNTIF('Daily Schedule'!$F$5:$F34,'Daily Workforce'!$B21)=0,IF('Daily Schedule'!$A35=45,'Daily Workforce'!$J21="Y",IF(OR('Daily Schedule'!$A35=4,'Daily Schedule'!$A35=8),IF(OR(WEEKDAY('Daily Schedule'!$B$2,2)=1,WEEKDAY('Daily Schedule'!$B$2,2)=4,WEEKDAY('Daily Schedule'!$B$2,2)=5,WEEKDAY('Daily Schedule'!$B$2,2)=7),IFERROR(1*'Daily Workforce'!$K21&gt;=3,FALSE()),IFERROR(1*'Daily Workforce'!$K21&gt;=2,FALSE())),IF(AND('Daily Schedule'!$A35&gt;=46,'Daily Schedule'!$A35&lt;=52),'Daily Workforce'!$M21="Y",IFERROR(1*'Daily Workforce'!$P21&gt;=2,FALSE()))))),1,0)</f>
        <v>0</v>
      </c>
      <c r="AG31" s="1" t="n">
        <f aca="false">IF(AND('Daily Workforce'!$N22="Y",'Daily Workforce'!$B22&lt;&gt;"",COUNTIF('Daily Schedule'!$F$5:$F34,'Daily Workforce'!$B22)=0,IF('Daily Schedule'!$A35=45,'Daily Workforce'!$J22="Y",IF(OR('Daily Schedule'!$A35=4,'Daily Schedule'!$A35=8),IF(OR(WEEKDAY('Daily Schedule'!$B$2,2)=1,WEEKDAY('Daily Schedule'!$B$2,2)=4,WEEKDAY('Daily Schedule'!$B$2,2)=5,WEEKDAY('Daily Schedule'!$B$2,2)=7),IFERROR(1*'Daily Workforce'!$K22&gt;=3,FALSE()),IFERROR(1*'Daily Workforce'!$K22&gt;=2,FALSE())),IF(AND('Daily Schedule'!$A35&gt;=46,'Daily Schedule'!$A35&lt;=52),'Daily Workforce'!$M22="Y",IFERROR(1*'Daily Workforce'!$P22&gt;=2,FALSE()))))),1,0)</f>
        <v>0</v>
      </c>
      <c r="AH31" s="1" t="n">
        <f aca="false">IF(AND('Daily Workforce'!$N23="Y",'Daily Workforce'!$B23&lt;&gt;"",COUNTIF('Daily Schedule'!$F$5:$F34,'Daily Workforce'!$B23)=0,IF('Daily Schedule'!$A35=45,'Daily Workforce'!$J23="Y",IF(OR('Daily Schedule'!$A35=4,'Daily Schedule'!$A35=8),IF(OR(WEEKDAY('Daily Schedule'!$B$2,2)=1,WEEKDAY('Daily Schedule'!$B$2,2)=4,WEEKDAY('Daily Schedule'!$B$2,2)=5,WEEKDAY('Daily Schedule'!$B$2,2)=7),IFERROR(1*'Daily Workforce'!$K23&gt;=3,FALSE()),IFERROR(1*'Daily Workforce'!$K23&gt;=2,FALSE())),IF(AND('Daily Schedule'!$A35&gt;=46,'Daily Schedule'!$A35&lt;=52),'Daily Workforce'!$M23="Y",IFERROR(1*'Daily Workforce'!$P23&gt;=2,FALSE()))))),1,0)</f>
        <v>0</v>
      </c>
      <c r="AI31" s="1" t="n">
        <f aca="false">IF(AND('Daily Workforce'!$N24="Y",'Daily Workforce'!$B24&lt;&gt;"",COUNTIF('Daily Schedule'!$F$5:$F34,'Daily Workforce'!$B24)=0,IF('Daily Schedule'!$A35=45,'Daily Workforce'!$J24="Y",IF(OR('Daily Schedule'!$A35=4,'Daily Schedule'!$A35=8),IF(OR(WEEKDAY('Daily Schedule'!$B$2,2)=1,WEEKDAY('Daily Schedule'!$B$2,2)=4,WEEKDAY('Daily Schedule'!$B$2,2)=5,WEEKDAY('Daily Schedule'!$B$2,2)=7),IFERROR(1*'Daily Workforce'!$K24&gt;=3,FALSE()),IFERROR(1*'Daily Workforce'!$K24&gt;=2,FALSE())),IF(AND('Daily Schedule'!$A35&gt;=46,'Daily Schedule'!$A35&lt;=52),'Daily Workforce'!$M24="Y",IFERROR(1*'Daily Workforce'!$P24&gt;=2,FALSE()))))),1,0)</f>
        <v>0</v>
      </c>
      <c r="AJ31" s="1" t="n">
        <f aca="false">IF(AND('Daily Workforce'!$N25="Y",'Daily Workforce'!$B25&lt;&gt;"",COUNTIF('Daily Schedule'!$F$5:$F34,'Daily Workforce'!$B25)=0,IF('Daily Schedule'!$A35=45,'Daily Workforce'!$J25="Y",IF(OR('Daily Schedule'!$A35=4,'Daily Schedule'!$A35=8),IF(OR(WEEKDAY('Daily Schedule'!$B$2,2)=1,WEEKDAY('Daily Schedule'!$B$2,2)=4,WEEKDAY('Daily Schedule'!$B$2,2)=5,WEEKDAY('Daily Schedule'!$B$2,2)=7),IFERROR(1*'Daily Workforce'!$K25&gt;=3,FALSE()),IFERROR(1*'Daily Workforce'!$K25&gt;=2,FALSE())),IF(AND('Daily Schedule'!$A35&gt;=46,'Daily Schedule'!$A35&lt;=52),'Daily Workforce'!$M25="Y",IFERROR(1*'Daily Workforce'!$P25&gt;=2,FALSE()))))),1,0)</f>
        <v>0</v>
      </c>
      <c r="AK31" s="1" t="n">
        <f aca="false">IF(AND('Daily Workforce'!$N26="Y",'Daily Workforce'!$B26&lt;&gt;"",COUNTIF('Daily Schedule'!$F$5:$F34,'Daily Workforce'!$B26)=0,IF('Daily Schedule'!$A35=45,'Daily Workforce'!$J26="Y",IF(OR('Daily Schedule'!$A35=4,'Daily Schedule'!$A35=8),IF(OR(WEEKDAY('Daily Schedule'!$B$2,2)=1,WEEKDAY('Daily Schedule'!$B$2,2)=4,WEEKDAY('Daily Schedule'!$B$2,2)=5,WEEKDAY('Daily Schedule'!$B$2,2)=7),IFERROR(1*'Daily Workforce'!$K26&gt;=3,FALSE()),IFERROR(1*'Daily Workforce'!$K26&gt;=2,FALSE())),IF(AND('Daily Schedule'!$A35&gt;=46,'Daily Schedule'!$A35&lt;=52),'Daily Workforce'!$M26="Y",IFERROR(1*'Daily Workforce'!$P26&gt;=2,FALSE()))))),1,0)</f>
        <v>0</v>
      </c>
      <c r="AL31" s="1" t="n">
        <f aca="false">IF(AND('Daily Workforce'!$N27="Y",'Daily Workforce'!$B27&lt;&gt;"",COUNTIF('Daily Schedule'!$F$5:$F34,'Daily Workforce'!$B27)=0,IF('Daily Schedule'!$A35=45,'Daily Workforce'!$J27="Y",IF(OR('Daily Schedule'!$A35=4,'Daily Schedule'!$A35=8),IF(OR(WEEKDAY('Daily Schedule'!$B$2,2)=1,WEEKDAY('Daily Schedule'!$B$2,2)=4,WEEKDAY('Daily Schedule'!$B$2,2)=5,WEEKDAY('Daily Schedule'!$B$2,2)=7),IFERROR(1*'Daily Workforce'!$K27&gt;=3,FALSE()),IFERROR(1*'Daily Workforce'!$K27&gt;=2,FALSE())),IF(AND('Daily Schedule'!$A35&gt;=46,'Daily Schedule'!$A35&lt;=52),'Daily Workforce'!$M27="Y",IFERROR(1*'Daily Workforce'!$P27&gt;=2,FALSE()))))),1,0)</f>
        <v>0</v>
      </c>
      <c r="AM31" s="1" t="n">
        <f aca="false">IF(AND('Daily Workforce'!$N28="Y",'Daily Workforce'!$B28&lt;&gt;"",COUNTIF('Daily Schedule'!$F$5:$F34,'Daily Workforce'!$B28)=0,IF('Daily Schedule'!$A35=45,'Daily Workforce'!$J28="Y",IF(OR('Daily Schedule'!$A35=4,'Daily Schedule'!$A35=8),IF(OR(WEEKDAY('Daily Schedule'!$B$2,2)=1,WEEKDAY('Daily Schedule'!$B$2,2)=4,WEEKDAY('Daily Schedule'!$B$2,2)=5,WEEKDAY('Daily Schedule'!$B$2,2)=7),IFERROR(1*'Daily Workforce'!$K28&gt;=3,FALSE()),IFERROR(1*'Daily Workforce'!$K28&gt;=2,FALSE())),IF(AND('Daily Schedule'!$A35&gt;=46,'Daily Schedule'!$A35&lt;=52),'Daily Workforce'!$M28="Y",IFERROR(1*'Daily Workforce'!$P28&gt;=2,FALSE()))))),1,0)</f>
        <v>0</v>
      </c>
      <c r="AN31" s="1" t="n">
        <f aca="false">IF(AND('Daily Workforce'!$N29="Y",'Daily Workforce'!$B29&lt;&gt;"",COUNTIF('Daily Schedule'!$F$5:$F34,'Daily Workforce'!$B29)=0,IF('Daily Schedule'!$A35=45,'Daily Workforce'!$J29="Y",IF(OR('Daily Schedule'!$A35=4,'Daily Schedule'!$A35=8),IF(OR(WEEKDAY('Daily Schedule'!$B$2,2)=1,WEEKDAY('Daily Schedule'!$B$2,2)=4,WEEKDAY('Daily Schedule'!$B$2,2)=5,WEEKDAY('Daily Schedule'!$B$2,2)=7),IFERROR(1*'Daily Workforce'!$K29&gt;=3,FALSE()),IFERROR(1*'Daily Workforce'!$K29&gt;=2,FALSE())),IF(AND('Daily Schedule'!$A35&gt;=46,'Daily Schedule'!$A35&lt;=52),'Daily Workforce'!$M29="Y",IFERROR(1*'Daily Workforce'!$P29&gt;=2,FALSE()))))),1,0)</f>
        <v>0</v>
      </c>
      <c r="AO31" s="1" t="n">
        <f aca="false">IF(AND('Daily Workforce'!$N30="Y",'Daily Workforce'!$B30&lt;&gt;"",COUNTIF('Daily Schedule'!$F$5:$F34,'Daily Workforce'!$B30)=0,IF('Daily Schedule'!$A35=45,'Daily Workforce'!$J30="Y",IF(OR('Daily Schedule'!$A35=4,'Daily Schedule'!$A35=8),IF(OR(WEEKDAY('Daily Schedule'!$B$2,2)=1,WEEKDAY('Daily Schedule'!$B$2,2)=4,WEEKDAY('Daily Schedule'!$B$2,2)=5,WEEKDAY('Daily Schedule'!$B$2,2)=7),IFERROR(1*'Daily Workforce'!$K30&gt;=3,FALSE()),IFERROR(1*'Daily Workforce'!$K30&gt;=2,FALSE())),IF(AND('Daily Schedule'!$A35&gt;=46,'Daily Schedule'!$A35&lt;=52),'Daily Workforce'!$M30="Y",IFERROR(1*'Daily Workforce'!$P30&gt;=2,FALSE()))))),1,0)</f>
        <v>0</v>
      </c>
      <c r="AP31" s="1" t="n">
        <f aca="false">IF(AND('Daily Workforce'!$N31="Y",'Daily Workforce'!$B31&lt;&gt;"",COUNTIF('Daily Schedule'!$F$5:$F34,'Daily Workforce'!$B31)=0,IF('Daily Schedule'!$A35=45,'Daily Workforce'!$J31="Y",IF(OR('Daily Schedule'!$A35=4,'Daily Schedule'!$A35=8),IF(OR(WEEKDAY('Daily Schedule'!$B$2,2)=1,WEEKDAY('Daily Schedule'!$B$2,2)=4,WEEKDAY('Daily Schedule'!$B$2,2)=5,WEEKDAY('Daily Schedule'!$B$2,2)=7),IFERROR(1*'Daily Workforce'!$K31&gt;=3,FALSE()),IFERROR(1*'Daily Workforce'!$K31&gt;=2,FALSE())),IF(AND('Daily Schedule'!$A35&gt;=46,'Daily Schedule'!$A35&lt;=52),'Daily Workforce'!$M31="Y",IFERROR(1*'Daily Workforce'!$P31&gt;=2,FALSE()))))),1,0)</f>
        <v>0</v>
      </c>
      <c r="AQ31" s="1" t="n">
        <f aca="false">IF(AND('Daily Workforce'!$N32="Y",'Daily Workforce'!$B32&lt;&gt;"",COUNTIF('Daily Schedule'!$F$5:$F34,'Daily Workforce'!$B32)=0,IF('Daily Schedule'!$A35=45,'Daily Workforce'!$J32="Y",IF(OR('Daily Schedule'!$A35=4,'Daily Schedule'!$A35=8),IF(OR(WEEKDAY('Daily Schedule'!$B$2,2)=1,WEEKDAY('Daily Schedule'!$B$2,2)=4,WEEKDAY('Daily Schedule'!$B$2,2)=5,WEEKDAY('Daily Schedule'!$B$2,2)=7),IFERROR(1*'Daily Workforce'!$K32&gt;=3,FALSE()),IFERROR(1*'Daily Workforce'!$K32&gt;=2,FALSE())),IF(AND('Daily Schedule'!$A35&gt;=46,'Daily Schedule'!$A35&lt;=52),'Daily Workforce'!$M32="Y",IFERROR(1*'Daily Workforce'!$P32&gt;=2,FALSE()))))),1,0)</f>
        <v>0</v>
      </c>
      <c r="AR31" s="1" t="n">
        <f aca="false">IF(AND('Daily Workforce'!$N33="Y",'Daily Workforce'!$B33&lt;&gt;"",COUNTIF('Daily Schedule'!$F$5:$F34,'Daily Workforce'!$B33)=0,IF('Daily Schedule'!$A35=45,'Daily Workforce'!$J33="Y",IF(OR('Daily Schedule'!$A35=4,'Daily Schedule'!$A35=8),IF(OR(WEEKDAY('Daily Schedule'!$B$2,2)=1,WEEKDAY('Daily Schedule'!$B$2,2)=4,WEEKDAY('Daily Schedule'!$B$2,2)=5,WEEKDAY('Daily Schedule'!$B$2,2)=7),IFERROR(1*'Daily Workforce'!$K33&gt;=3,FALSE()),IFERROR(1*'Daily Workforce'!$K33&gt;=2,FALSE())),IF(AND('Daily Schedule'!$A35&gt;=46,'Daily Schedule'!$A35&lt;=52),'Daily Workforce'!$M33="Y",IFERROR(1*'Daily Workforce'!$P33&gt;=2,FALSE()))))),1,0)</f>
        <v>0</v>
      </c>
      <c r="AS31" s="1" t="n">
        <f aca="false">IF(AND('Daily Workforce'!$N34="Y",'Daily Workforce'!$B34&lt;&gt;"",COUNTIF('Daily Schedule'!$F$5:$F34,'Daily Workforce'!$B34)=0,IF('Daily Schedule'!$A35=45,'Daily Workforce'!$J34="Y",IF(OR('Daily Schedule'!$A35=4,'Daily Schedule'!$A35=8),IF(OR(WEEKDAY('Daily Schedule'!$B$2,2)=1,WEEKDAY('Daily Schedule'!$B$2,2)=4,WEEKDAY('Daily Schedule'!$B$2,2)=5,WEEKDAY('Daily Schedule'!$B$2,2)=7),IFERROR(1*'Daily Workforce'!$K34&gt;=3,FALSE()),IFERROR(1*'Daily Workforce'!$K34&gt;=2,FALSE())),IF(AND('Daily Schedule'!$A35&gt;=46,'Daily Schedule'!$A35&lt;=52),'Daily Workforce'!$M34="Y",IFERROR(1*'Daily Workforce'!$P34&gt;=2,FALSE()))))),1,0)</f>
        <v>1</v>
      </c>
      <c r="AT31" s="1" t="n">
        <f aca="false">IF(AND('Daily Workforce'!$N35="Y",'Daily Workforce'!$B35&lt;&gt;"",COUNTIF('Daily Schedule'!$F$5:$F34,'Daily Workforce'!$B35)=0,IF('Daily Schedule'!$A35=45,'Daily Workforce'!$J35="Y",IF(OR('Daily Schedule'!$A35=4,'Daily Schedule'!$A35=8),IF(OR(WEEKDAY('Daily Schedule'!$B$2,2)=1,WEEKDAY('Daily Schedule'!$B$2,2)=4,WEEKDAY('Daily Schedule'!$B$2,2)=5,WEEKDAY('Daily Schedule'!$B$2,2)=7),IFERROR(1*'Daily Workforce'!$K35&gt;=3,FALSE()),IFERROR(1*'Daily Workforce'!$K35&gt;=2,FALSE())),IF(AND('Daily Schedule'!$A35&gt;=46,'Daily Schedule'!$A35&lt;=52),'Daily Workforce'!$M35="Y",IFERROR(1*'Daily Workforce'!$P35&gt;=2,FALSE()))))),1,0)</f>
        <v>1</v>
      </c>
      <c r="AU31" s="1" t="n">
        <f aca="false">IF(AND('Daily Workforce'!$N36="Y",'Daily Workforce'!$B36&lt;&gt;"",COUNTIF('Daily Schedule'!$F$5:$F34,'Daily Workforce'!$B36)=0,IF('Daily Schedule'!$A35=45,'Daily Workforce'!$J36="Y",IF(OR('Daily Schedule'!$A35=4,'Daily Schedule'!$A35=8),IF(OR(WEEKDAY('Daily Schedule'!$B$2,2)=1,WEEKDAY('Daily Schedule'!$B$2,2)=4,WEEKDAY('Daily Schedule'!$B$2,2)=5,WEEKDAY('Daily Schedule'!$B$2,2)=7),IFERROR(1*'Daily Workforce'!$K36&gt;=3,FALSE()),IFERROR(1*'Daily Workforce'!$K36&gt;=2,FALSE())),IF(AND('Daily Schedule'!$A35&gt;=46,'Daily Schedule'!$A35&lt;=52),'Daily Workforce'!$M36="Y",IFERROR(1*'Daily Workforce'!$P36&gt;=2,FALSE()))))),1,0)</f>
        <v>1</v>
      </c>
      <c r="AV31" s="1" t="n">
        <f aca="false">IF(AND('Daily Workforce'!$N37="Y",'Daily Workforce'!$B37&lt;&gt;"",COUNTIF('Daily Schedule'!$F$5:$F34,'Daily Workforce'!$B37)=0,IF('Daily Schedule'!$A35=45,'Daily Workforce'!$J37="Y",IF(OR('Daily Schedule'!$A35=4,'Daily Schedule'!$A35=8),IF(OR(WEEKDAY('Daily Schedule'!$B$2,2)=1,WEEKDAY('Daily Schedule'!$B$2,2)=4,WEEKDAY('Daily Schedule'!$B$2,2)=5,WEEKDAY('Daily Schedule'!$B$2,2)=7),IFERROR(1*'Daily Workforce'!$K37&gt;=3,FALSE()),IFERROR(1*'Daily Workforce'!$K37&gt;=2,FALSE())),IF(AND('Daily Schedule'!$A35&gt;=46,'Daily Schedule'!$A35&lt;=52),'Daily Workforce'!$M37="Y",IFERROR(1*'Daily Workforce'!$P37&gt;=2,FALSE()))))),1,0)</f>
        <v>1</v>
      </c>
      <c r="AW31" s="1" t="n">
        <f aca="false">IF(AND('Daily Workforce'!$N38="Y",'Daily Workforce'!$B38&lt;&gt;"",COUNTIF('Daily Schedule'!$F$5:$F34,'Daily Workforce'!$B38)=0,IF('Daily Schedule'!$A35=45,'Daily Workforce'!$J38="Y",IF(OR('Daily Schedule'!$A35=4,'Daily Schedule'!$A35=8),IF(OR(WEEKDAY('Daily Schedule'!$B$2,2)=1,WEEKDAY('Daily Schedule'!$B$2,2)=4,WEEKDAY('Daily Schedule'!$B$2,2)=5,WEEKDAY('Daily Schedule'!$B$2,2)=7),IFERROR(1*'Daily Workforce'!$K38&gt;=3,FALSE()),IFERROR(1*'Daily Workforce'!$K38&gt;=2,FALSE())),IF(AND('Daily Schedule'!$A35&gt;=46,'Daily Schedule'!$A35&lt;=52),'Daily Workforce'!$M38="Y",IFERROR(1*'Daily Workforce'!$P38&gt;=2,FALSE()))))),1,0)</f>
        <v>1</v>
      </c>
      <c r="AX31" s="1" t="n">
        <f aca="false">IF(AND('Daily Workforce'!$N39="Y",'Daily Workforce'!$B39&lt;&gt;"",COUNTIF('Daily Schedule'!$F$5:$F34,'Daily Workforce'!$B39)=0,IF('Daily Schedule'!$A35=45,'Daily Workforce'!$J39="Y",IF(OR('Daily Schedule'!$A35=4,'Daily Schedule'!$A35=8),IF(OR(WEEKDAY('Daily Schedule'!$B$2,2)=1,WEEKDAY('Daily Schedule'!$B$2,2)=4,WEEKDAY('Daily Schedule'!$B$2,2)=5,WEEKDAY('Daily Schedule'!$B$2,2)=7),IFERROR(1*'Daily Workforce'!$K39&gt;=3,FALSE()),IFERROR(1*'Daily Workforce'!$K39&gt;=2,FALSE())),IF(AND('Daily Schedule'!$A35&gt;=46,'Daily Schedule'!$A35&lt;=52),'Daily Workforce'!$M39="Y",IFERROR(1*'Daily Workforce'!$P39&gt;=2,FALSE()))))),1,0)</f>
        <v>1</v>
      </c>
      <c r="AY31" s="1" t="n">
        <f aca="false">IF(AND('Daily Workforce'!$N40="Y",'Daily Workforce'!$B40&lt;&gt;"",COUNTIF('Daily Schedule'!$F$5:$F34,'Daily Workforce'!$B40)=0,IF('Daily Schedule'!$A35=45,'Daily Workforce'!$J40="Y",IF(OR('Daily Schedule'!$A35=4,'Daily Schedule'!$A35=8),IF(OR(WEEKDAY('Daily Schedule'!$B$2,2)=1,WEEKDAY('Daily Schedule'!$B$2,2)=4,WEEKDAY('Daily Schedule'!$B$2,2)=5,WEEKDAY('Daily Schedule'!$B$2,2)=7),IFERROR(1*'Daily Workforce'!$K40&gt;=3,FALSE()),IFERROR(1*'Daily Workforce'!$K40&gt;=2,FALSE())),IF(AND('Daily Schedule'!$A35&gt;=46,'Daily Schedule'!$A35&lt;=52),'Daily Workforce'!$M40="Y",IFERROR(1*'Daily Workforce'!$P40&gt;=2,FALSE()))))),1,0)</f>
        <v>1</v>
      </c>
      <c r="AZ31" s="1" t="n">
        <f aca="false">IF(AND('Daily Workforce'!$N41="Y",'Daily Workforce'!$B41&lt;&gt;"",COUNTIF('Daily Schedule'!$F$5:$F34,'Daily Workforce'!$B41)=0,IF('Daily Schedule'!$A35=45,'Daily Workforce'!$J41="Y",IF(OR('Daily Schedule'!$A35=4,'Daily Schedule'!$A35=8),IF(OR(WEEKDAY('Daily Schedule'!$B$2,2)=1,WEEKDAY('Daily Schedule'!$B$2,2)=4,WEEKDAY('Daily Schedule'!$B$2,2)=5,WEEKDAY('Daily Schedule'!$B$2,2)=7),IFERROR(1*'Daily Workforce'!$K41&gt;=3,FALSE()),IFERROR(1*'Daily Workforce'!$K41&gt;=2,FALSE())),IF(AND('Daily Schedule'!$A35&gt;=46,'Daily Schedule'!$A35&lt;=52),'Daily Workforce'!$M41="Y",IFERROR(1*'Daily Workforce'!$P41&gt;=2,FALSE()))))),1,0)</f>
        <v>1</v>
      </c>
      <c r="BA31" s="1" t="n">
        <f aca="false">IF(AND('Daily Workforce'!$N42="Y",'Daily Workforce'!$B42&lt;&gt;"",COUNTIF('Daily Schedule'!$F$5:$F34,'Daily Workforce'!$B42)=0,IF('Daily Schedule'!$A35=45,'Daily Workforce'!$J42="Y",IF(OR('Daily Schedule'!$A35=4,'Daily Schedule'!$A35=8),IF(OR(WEEKDAY('Daily Schedule'!$B$2,2)=1,WEEKDAY('Daily Schedule'!$B$2,2)=4,WEEKDAY('Daily Schedule'!$B$2,2)=5,WEEKDAY('Daily Schedule'!$B$2,2)=7),IFERROR(1*'Daily Workforce'!$K42&gt;=3,FALSE()),IFERROR(1*'Daily Workforce'!$K42&gt;=2,FALSE())),IF(AND('Daily Schedule'!$A35&gt;=46,'Daily Schedule'!$A35&lt;=52),'Daily Workforce'!$M42="Y",IFERROR(1*'Daily Workforce'!$P42&gt;=2,FALSE()))))),1,0)</f>
        <v>1</v>
      </c>
      <c r="BB31" s="1" t="n">
        <f aca="false">IF(AND('Daily Workforce'!$N43="Y",'Daily Workforce'!$B43&lt;&gt;"",COUNTIF('Daily Schedule'!$F$5:$F34,'Daily Workforce'!$B43)=0,IF('Daily Schedule'!$A35=45,'Daily Workforce'!$J43="Y",IF(OR('Daily Schedule'!$A35=4,'Daily Schedule'!$A35=8),IF(OR(WEEKDAY('Daily Schedule'!$B$2,2)=1,WEEKDAY('Daily Schedule'!$B$2,2)=4,WEEKDAY('Daily Schedule'!$B$2,2)=5,WEEKDAY('Daily Schedule'!$B$2,2)=7),IFERROR(1*'Daily Workforce'!$K43&gt;=3,FALSE()),IFERROR(1*'Daily Workforce'!$K43&gt;=2,FALSE())),IF(AND('Daily Schedule'!$A35&gt;=46,'Daily Schedule'!$A35&lt;=52),'Daily Workforce'!$M43="Y",IFERROR(1*'Daily Workforce'!$P43&gt;=2,FALSE()))))),1,0)</f>
        <v>1</v>
      </c>
      <c r="BC31" s="1" t="n">
        <f aca="false">IF(AND('Daily Workforce'!$N44="Y",'Daily Workforce'!$B44&lt;&gt;"",COUNTIF('Daily Schedule'!$F$5:$F34,'Daily Workforce'!$B44)=0,IF('Daily Schedule'!$A35=45,'Daily Workforce'!$J44="Y",IF(OR('Daily Schedule'!$A35=4,'Daily Schedule'!$A35=8),IF(OR(WEEKDAY('Daily Schedule'!$B$2,2)=1,WEEKDAY('Daily Schedule'!$B$2,2)=4,WEEKDAY('Daily Schedule'!$B$2,2)=5,WEEKDAY('Daily Schedule'!$B$2,2)=7),IFERROR(1*'Daily Workforce'!$K44&gt;=3,FALSE()),IFERROR(1*'Daily Workforce'!$K44&gt;=2,FALSE())),IF(AND('Daily Schedule'!$A35&gt;=46,'Daily Schedule'!$A35&lt;=52),'Daily Workforce'!$M44="Y",IFERROR(1*'Daily Workforce'!$P44&gt;=2,FALSE()))))),1,0)</f>
        <v>1</v>
      </c>
      <c r="BD31" s="1" t="n">
        <f aca="false">IF(AND('Daily Workforce'!$N45="Y",'Daily Workforce'!$B45&lt;&gt;"",COUNTIF('Daily Schedule'!$F$5:$F34,'Daily Workforce'!$B45)=0,IF('Daily Schedule'!$A35=45,'Daily Workforce'!$J45="Y",IF(OR('Daily Schedule'!$A35=4,'Daily Schedule'!$A35=8),IF(OR(WEEKDAY('Daily Schedule'!$B$2,2)=1,WEEKDAY('Daily Schedule'!$B$2,2)=4,WEEKDAY('Daily Schedule'!$B$2,2)=5,WEEKDAY('Daily Schedule'!$B$2,2)=7),IFERROR(1*'Daily Workforce'!$K45&gt;=3,FALSE()),IFERROR(1*'Daily Workforce'!$K45&gt;=2,FALSE())),IF(AND('Daily Schedule'!$A35&gt;=46,'Daily Schedule'!$A35&lt;=52),'Daily Workforce'!$M45="Y",IFERROR(1*'Daily Workforce'!$P45&gt;=2,FALSE()))))),1,0)</f>
        <v>1</v>
      </c>
      <c r="BE31" s="1" t="n">
        <f aca="false">IF(AND('Daily Workforce'!$N46="Y",'Daily Workforce'!$B46&lt;&gt;"",COUNTIF('Daily Schedule'!$F$5:$F34,'Daily Workforce'!$B46)=0,IF('Daily Schedule'!$A35=45,'Daily Workforce'!$J46="Y",IF(OR('Daily Schedule'!$A35=4,'Daily Schedule'!$A35=8),IF(OR(WEEKDAY('Daily Schedule'!$B$2,2)=1,WEEKDAY('Daily Schedule'!$B$2,2)=4,WEEKDAY('Daily Schedule'!$B$2,2)=5,WEEKDAY('Daily Schedule'!$B$2,2)=7),IFERROR(1*'Daily Workforce'!$K46&gt;=3,FALSE()),IFERROR(1*'Daily Workforce'!$K46&gt;=2,FALSE())),IF(AND('Daily Schedule'!$A35&gt;=46,'Daily Schedule'!$A35&lt;=52),'Daily Workforce'!$M46="Y",IFERROR(1*'Daily Workforce'!$P46&gt;=2,FALSE()))))),1,0)</f>
        <v>1</v>
      </c>
      <c r="BF31" s="1" t="n">
        <f aca="false">IF(AND('Daily Workforce'!$N47="Y",'Daily Workforce'!$B47&lt;&gt;"",COUNTIF('Daily Schedule'!$F$5:$F34,'Daily Workforce'!$B47)=0,IF('Daily Schedule'!$A35=45,'Daily Workforce'!$J47="Y",IF(OR('Daily Schedule'!$A35=4,'Daily Schedule'!$A35=8),IF(OR(WEEKDAY('Daily Schedule'!$B$2,2)=1,WEEKDAY('Daily Schedule'!$B$2,2)=4,WEEKDAY('Daily Schedule'!$B$2,2)=5,WEEKDAY('Daily Schedule'!$B$2,2)=7),IFERROR(1*'Daily Workforce'!$K47&gt;=3,FALSE()),IFERROR(1*'Daily Workforce'!$K47&gt;=2,FALSE())),IF(AND('Daily Schedule'!$A35&gt;=46,'Daily Schedule'!$A35&lt;=52),'Daily Workforce'!$M47="Y",IFERROR(1*'Daily Workforce'!$P47&gt;=2,FALSE()))))),1,0)</f>
        <v>0</v>
      </c>
      <c r="BG31" s="1" t="n">
        <f aca="false">IF(AND('Daily Workforce'!$N48="Y",'Daily Workforce'!$B48&lt;&gt;"",COUNTIF('Daily Schedule'!$F$5:$F34,'Daily Workforce'!$B48)=0,IF('Daily Schedule'!$A35=45,'Daily Workforce'!$J48="Y",IF(OR('Daily Schedule'!$A35=4,'Daily Schedule'!$A35=8),IF(OR(WEEKDAY('Daily Schedule'!$B$2,2)=1,WEEKDAY('Daily Schedule'!$B$2,2)=4,WEEKDAY('Daily Schedule'!$B$2,2)=5,WEEKDAY('Daily Schedule'!$B$2,2)=7),IFERROR(1*'Daily Workforce'!$K48&gt;=3,FALSE()),IFERROR(1*'Daily Workforce'!$K48&gt;=2,FALSE())),IF(AND('Daily Schedule'!$A35&gt;=46,'Daily Schedule'!$A35&lt;=52),'Daily Workforce'!$M48="Y",IFERROR(1*'Daily Workforce'!$P48&gt;=2,FALSE()))))),1,0)</f>
        <v>1</v>
      </c>
      <c r="BH31" s="1" t="n">
        <f aca="false">IF(AND('Daily Workforce'!$N49="Y",'Daily Workforce'!$B49&lt;&gt;"",COUNTIF('Daily Schedule'!$F$5:$F34,'Daily Workforce'!$B49)=0,IF('Daily Schedule'!$A35=45,'Daily Workforce'!$J49="Y",IF(OR('Daily Schedule'!$A35=4,'Daily Schedule'!$A35=8),IF(OR(WEEKDAY('Daily Schedule'!$B$2,2)=1,WEEKDAY('Daily Schedule'!$B$2,2)=4,WEEKDAY('Daily Schedule'!$B$2,2)=5,WEEKDAY('Daily Schedule'!$B$2,2)=7),IFERROR(1*'Daily Workforce'!$K49&gt;=3,FALSE()),IFERROR(1*'Daily Workforce'!$K49&gt;=2,FALSE())),IF(AND('Daily Schedule'!$A35&gt;=46,'Daily Schedule'!$A35&lt;=52),'Daily Workforce'!$M49="Y",IFERROR(1*'Daily Workforce'!$P49&gt;=2,FALSE()))))),1,0)</f>
        <v>1</v>
      </c>
      <c r="BI31" s="1" t="n">
        <f aca="false">IF(AND('Daily Workforce'!$N50="Y",'Daily Workforce'!$B50&lt;&gt;"",COUNTIF('Daily Schedule'!$F$5:$F34,'Daily Workforce'!$B50)=0,IF('Daily Schedule'!$A35=45,'Daily Workforce'!$J50="Y",IF(OR('Daily Schedule'!$A35=4,'Daily Schedule'!$A35=8),IF(OR(WEEKDAY('Daily Schedule'!$B$2,2)=1,WEEKDAY('Daily Schedule'!$B$2,2)=4,WEEKDAY('Daily Schedule'!$B$2,2)=5,WEEKDAY('Daily Schedule'!$B$2,2)=7),IFERROR(1*'Daily Workforce'!$K50&gt;=3,FALSE()),IFERROR(1*'Daily Workforce'!$K50&gt;=2,FALSE())),IF(AND('Daily Schedule'!$A35&gt;=46,'Daily Schedule'!$A35&lt;=52),'Daily Workforce'!$M50="Y",IFERROR(1*'Daily Workforce'!$P50&gt;=2,FALSE()))))),1,0)</f>
        <v>0</v>
      </c>
      <c r="BJ31" s="1" t="n">
        <f aca="false">IF(AND('Daily Workforce'!$N51="Y",'Daily Workforce'!$B51&lt;&gt;"",COUNTIF('Daily Schedule'!$F$5:$F34,'Daily Workforce'!$B51)=0,IF('Daily Schedule'!$A35=45,'Daily Workforce'!$J51="Y",IF(OR('Daily Schedule'!$A35=4,'Daily Schedule'!$A35=8),IF(OR(WEEKDAY('Daily Schedule'!$B$2,2)=1,WEEKDAY('Daily Schedule'!$B$2,2)=4,WEEKDAY('Daily Schedule'!$B$2,2)=5,WEEKDAY('Daily Schedule'!$B$2,2)=7),IFERROR(1*'Daily Workforce'!$K51&gt;=3,FALSE()),IFERROR(1*'Daily Workforce'!$K51&gt;=2,FALSE())),IF(AND('Daily Schedule'!$A35&gt;=46,'Daily Schedule'!$A35&lt;=52),'Daily Workforce'!$M51="Y",IFERROR(1*'Daily Workforce'!$P51&gt;=2,FALSE()))))),1,0)</f>
        <v>1</v>
      </c>
      <c r="BK31" s="1" t="n">
        <f aca="false">IF(AND('Daily Workforce'!$N52="Y",'Daily Workforce'!$B52&lt;&gt;"",COUNTIF('Daily Schedule'!$F$5:$F34,'Daily Workforce'!$B52)=0,IF('Daily Schedule'!$A35=45,'Daily Workforce'!$J52="Y",IF(OR('Daily Schedule'!$A35=4,'Daily Schedule'!$A35=8),IF(OR(WEEKDAY('Daily Schedule'!$B$2,2)=1,WEEKDAY('Daily Schedule'!$B$2,2)=4,WEEKDAY('Daily Schedule'!$B$2,2)=5,WEEKDAY('Daily Schedule'!$B$2,2)=7),IFERROR(1*'Daily Workforce'!$K52&gt;=3,FALSE()),IFERROR(1*'Daily Workforce'!$K52&gt;=2,FALSE())),IF(AND('Daily Schedule'!$A35&gt;=46,'Daily Schedule'!$A35&lt;=52),'Daily Workforce'!$M52="Y",IFERROR(1*'Daily Workforce'!$P52&gt;=2,FALSE()))))),1,0)</f>
        <v>1</v>
      </c>
      <c r="BL31" s="1" t="n">
        <f aca="false">IF(AND('Daily Workforce'!$N53="Y",'Daily Workforce'!$B53&lt;&gt;"",COUNTIF('Daily Schedule'!$F$5:$F34,'Daily Workforce'!$B53)=0,IF('Daily Schedule'!$A35=45,'Daily Workforce'!$J53="Y",IF(OR('Daily Schedule'!$A35=4,'Daily Schedule'!$A35=8),IF(OR(WEEKDAY('Daily Schedule'!$B$2,2)=1,WEEKDAY('Daily Schedule'!$B$2,2)=4,WEEKDAY('Daily Schedule'!$B$2,2)=5,WEEKDAY('Daily Schedule'!$B$2,2)=7),IFERROR(1*'Daily Workforce'!$K53&gt;=3,FALSE()),IFERROR(1*'Daily Workforce'!$K53&gt;=2,FALSE())),IF(AND('Daily Schedule'!$A35&gt;=46,'Daily Schedule'!$A35&lt;=52),'Daily Workforce'!$M53="Y",IFERROR(1*'Daily Workforce'!$P53&gt;=2,FALSE()))))),1,0)</f>
        <v>1</v>
      </c>
      <c r="BM31" s="1" t="n">
        <f aca="false">IF(AND('Daily Workforce'!$N54="Y",'Daily Workforce'!$B54&lt;&gt;"",COUNTIF('Daily Schedule'!$F$5:$F34,'Daily Workforce'!$B54)=0,IF('Daily Schedule'!$A35=45,'Daily Workforce'!$J54="Y",IF(OR('Daily Schedule'!$A35=4,'Daily Schedule'!$A35=8),IF(OR(WEEKDAY('Daily Schedule'!$B$2,2)=1,WEEKDAY('Daily Schedule'!$B$2,2)=4,WEEKDAY('Daily Schedule'!$B$2,2)=5,WEEKDAY('Daily Schedule'!$B$2,2)=7),IFERROR(1*'Daily Workforce'!$K54&gt;=3,FALSE()),IFERROR(1*'Daily Workforce'!$K54&gt;=2,FALSE())),IF(AND('Daily Schedule'!$A35&gt;=46,'Daily Schedule'!$A35&lt;=52),'Daily Workforce'!$M54="Y",IFERROR(1*'Daily Workforce'!$P54&gt;=2,FALSE()))))),1,0)</f>
        <v>1</v>
      </c>
      <c r="BN31" s="1" t="n">
        <f aca="false">IF(AND('Daily Workforce'!$N55="Y",'Daily Workforce'!$B55&lt;&gt;"",COUNTIF('Daily Schedule'!$F$5:$F34,'Daily Workforce'!$B55)=0,IF('Daily Schedule'!$A35=45,'Daily Workforce'!$J55="Y",IF(OR('Daily Schedule'!$A35=4,'Daily Schedule'!$A35=8),IF(OR(WEEKDAY('Daily Schedule'!$B$2,2)=1,WEEKDAY('Daily Schedule'!$B$2,2)=4,WEEKDAY('Daily Schedule'!$B$2,2)=5,WEEKDAY('Daily Schedule'!$B$2,2)=7),IFERROR(1*'Daily Workforce'!$K55&gt;=3,FALSE()),IFERROR(1*'Daily Workforce'!$K55&gt;=2,FALSE())),IF(AND('Daily Schedule'!$A35&gt;=46,'Daily Schedule'!$A35&lt;=52),'Daily Workforce'!$M55="Y",IFERROR(1*'Daily Workforce'!$P55&gt;=2,FALSE()))))),1,0)</f>
        <v>1</v>
      </c>
      <c r="BO31" s="1" t="n">
        <f aca="false">IF(AND('Daily Workforce'!$N56="Y",'Daily Workforce'!$B56&lt;&gt;"",COUNTIF('Daily Schedule'!$F$5:$F34,'Daily Workforce'!$B56)=0,IF('Daily Schedule'!$A35=45,'Daily Workforce'!$J56="Y",IF(OR('Daily Schedule'!$A35=4,'Daily Schedule'!$A35=8),IF(OR(WEEKDAY('Daily Schedule'!$B$2,2)=1,WEEKDAY('Daily Schedule'!$B$2,2)=4,WEEKDAY('Daily Schedule'!$B$2,2)=5,WEEKDAY('Daily Schedule'!$B$2,2)=7),IFERROR(1*'Daily Workforce'!$K56&gt;=3,FALSE()),IFERROR(1*'Daily Workforce'!$K56&gt;=2,FALSE())),IF(AND('Daily Schedule'!$A35&gt;=46,'Daily Schedule'!$A35&lt;=52),'Daily Workforce'!$M56="Y",IFERROR(1*'Daily Workforce'!$P56&gt;=2,FALSE()))))),1,0)</f>
        <v>1</v>
      </c>
      <c r="BP31" s="1" t="n">
        <f aca="false">IF(AND('Daily Workforce'!$N57="Y",'Daily Workforce'!$B57&lt;&gt;"",COUNTIF('Daily Schedule'!$F$5:$F34,'Daily Workforce'!$B57)=0,IF('Daily Schedule'!$A35=45,'Daily Workforce'!$J57="Y",IF(OR('Daily Schedule'!$A35=4,'Daily Schedule'!$A35=8),IF(OR(WEEKDAY('Daily Schedule'!$B$2,2)=1,WEEKDAY('Daily Schedule'!$B$2,2)=4,WEEKDAY('Daily Schedule'!$B$2,2)=5,WEEKDAY('Daily Schedule'!$B$2,2)=7),IFERROR(1*'Daily Workforce'!$K57&gt;=3,FALSE()),IFERROR(1*'Daily Workforce'!$K57&gt;=2,FALSE())),IF(AND('Daily Schedule'!$A35&gt;=46,'Daily Schedule'!$A35&lt;=52),'Daily Workforce'!$M57="Y",IFERROR(1*'Daily Workforce'!$P57&gt;=2,FALSE()))))),1,0)</f>
        <v>0</v>
      </c>
      <c r="BQ31" s="1" t="n">
        <f aca="false">IF(AND('Daily Workforce'!$N58="Y",'Daily Workforce'!$B58&lt;&gt;"",COUNTIF('Daily Schedule'!$F$5:$F34,'Daily Workforce'!$B58)=0,IF('Daily Schedule'!$A35=45,'Daily Workforce'!$J58="Y",IF(OR('Daily Schedule'!$A35=4,'Daily Schedule'!$A35=8),IF(OR(WEEKDAY('Daily Schedule'!$B$2,2)=1,WEEKDAY('Daily Schedule'!$B$2,2)=4,WEEKDAY('Daily Schedule'!$B$2,2)=5,WEEKDAY('Daily Schedule'!$B$2,2)=7),IFERROR(1*'Daily Workforce'!$K58&gt;=3,FALSE()),IFERROR(1*'Daily Workforce'!$K58&gt;=2,FALSE())),IF(AND('Daily Schedule'!$A35&gt;=46,'Daily Schedule'!$A35&lt;=52),'Daily Workforce'!$M58="Y",IFERROR(1*'Daily Workforce'!$P58&gt;=2,FALSE()))))),1,0)</f>
        <v>1</v>
      </c>
      <c r="BR31" s="1" t="n">
        <f aca="false">IF(AND('Daily Workforce'!$N59="Y",'Daily Workforce'!$B59&lt;&gt;"",COUNTIF('Daily Schedule'!$F$5:$F34,'Daily Workforce'!$B59)=0,IF('Daily Schedule'!$A35=45,'Daily Workforce'!$J59="Y",IF(OR('Daily Schedule'!$A35=4,'Daily Schedule'!$A35=8),IF(OR(WEEKDAY('Daily Schedule'!$B$2,2)=1,WEEKDAY('Daily Schedule'!$B$2,2)=4,WEEKDAY('Daily Schedule'!$B$2,2)=5,WEEKDAY('Daily Schedule'!$B$2,2)=7),IFERROR(1*'Daily Workforce'!$K59&gt;=3,FALSE()),IFERROR(1*'Daily Workforce'!$K59&gt;=2,FALSE())),IF(AND('Daily Schedule'!$A35&gt;=46,'Daily Schedule'!$A35&lt;=52),'Daily Workforce'!$M59="Y",IFERROR(1*'Daily Workforce'!$P59&gt;=2,FALSE()))))),1,0)</f>
        <v>1</v>
      </c>
      <c r="BS31" s="1" t="n">
        <f aca="false">IF(AND('Daily Workforce'!$N60="Y",'Daily Workforce'!$B60&lt;&gt;"",COUNTIF('Daily Schedule'!$F$5:$F34,'Daily Workforce'!$B60)=0,IF('Daily Schedule'!$A35=45,'Daily Workforce'!$J60="Y",IF(OR('Daily Schedule'!$A35=4,'Daily Schedule'!$A35=8),IF(OR(WEEKDAY('Daily Schedule'!$B$2,2)=1,WEEKDAY('Daily Schedule'!$B$2,2)=4,WEEKDAY('Daily Schedule'!$B$2,2)=5,WEEKDAY('Daily Schedule'!$B$2,2)=7),IFERROR(1*'Daily Workforce'!$K60&gt;=3,FALSE()),IFERROR(1*'Daily Workforce'!$K60&gt;=2,FALSE())),IF(AND('Daily Schedule'!$A35&gt;=46,'Daily Schedule'!$A35&lt;=52),'Daily Workforce'!$M60="Y",IFERROR(1*'Daily Workforce'!$P60&gt;=2,FALSE()))))),1,0)</f>
        <v>1</v>
      </c>
      <c r="BT31" s="1" t="n">
        <f aca="false">IF(AND('Daily Workforce'!$N61="Y",'Daily Workforce'!$B61&lt;&gt;"",COUNTIF('Daily Schedule'!$F$5:$F34,'Daily Workforce'!$B61)=0,IF('Daily Schedule'!$A35=45,'Daily Workforce'!$J61="Y",IF(OR('Daily Schedule'!$A35=4,'Daily Schedule'!$A35=8),IF(OR(WEEKDAY('Daily Schedule'!$B$2,2)=1,WEEKDAY('Daily Schedule'!$B$2,2)=4,WEEKDAY('Daily Schedule'!$B$2,2)=5,WEEKDAY('Daily Schedule'!$B$2,2)=7),IFERROR(1*'Daily Workforce'!$K61&gt;=3,FALSE()),IFERROR(1*'Daily Workforce'!$K61&gt;=2,FALSE())),IF(AND('Daily Schedule'!$A35&gt;=46,'Daily Schedule'!$A35&lt;=52),'Daily Workforce'!$M61="Y",IFERROR(1*'Daily Workforce'!$P61&gt;=2,FALSE()))))),1,0)</f>
        <v>0</v>
      </c>
      <c r="BU31" s="1" t="n">
        <f aca="false">IF(AND('Daily Workforce'!$N62="Y",'Daily Workforce'!$B62&lt;&gt;"",COUNTIF('Daily Schedule'!$F$5:$F34,'Daily Workforce'!$B62)=0,IF('Daily Schedule'!$A35=45,'Daily Workforce'!$J62="Y",IF(OR('Daily Schedule'!$A35=4,'Daily Schedule'!$A35=8),IF(OR(WEEKDAY('Daily Schedule'!$B$2,2)=1,WEEKDAY('Daily Schedule'!$B$2,2)=4,WEEKDAY('Daily Schedule'!$B$2,2)=5,WEEKDAY('Daily Schedule'!$B$2,2)=7),IFERROR(1*'Daily Workforce'!$K62&gt;=3,FALSE()),IFERROR(1*'Daily Workforce'!$K62&gt;=2,FALSE())),IF(AND('Daily Schedule'!$A35&gt;=46,'Daily Schedule'!$A35&lt;=52),'Daily Workforce'!$M62="Y",IFERROR(1*'Daily Workforce'!$P62&gt;=2,FALSE()))))),1,0)</f>
        <v>1</v>
      </c>
      <c r="BV31" s="1" t="n">
        <f aca="false">IF(AND('Daily Workforce'!$N63="Y",'Daily Workforce'!$B63&lt;&gt;"",COUNTIF('Daily Schedule'!$F$5:$F34,'Daily Workforce'!$B63)=0,IF('Daily Schedule'!$A35=45,'Daily Workforce'!$J63="Y",IF(OR('Daily Schedule'!$A35=4,'Daily Schedule'!$A35=8),IF(OR(WEEKDAY('Daily Schedule'!$B$2,2)=1,WEEKDAY('Daily Schedule'!$B$2,2)=4,WEEKDAY('Daily Schedule'!$B$2,2)=5,WEEKDAY('Daily Schedule'!$B$2,2)=7),IFERROR(1*'Daily Workforce'!$K63&gt;=3,FALSE()),IFERROR(1*'Daily Workforce'!$K63&gt;=2,FALSE())),IF(AND('Daily Schedule'!$A35&gt;=46,'Daily Schedule'!$A35&lt;=52),'Daily Workforce'!$M63="Y",IFERROR(1*'Daily Workforce'!$P63&gt;=2,FALSE()))))),1,0)</f>
        <v>1</v>
      </c>
      <c r="BW31" s="1" t="n">
        <f aca="false">IF(AND('Daily Workforce'!$N64="Y",'Daily Workforce'!$B64&lt;&gt;"",COUNTIF('Daily Schedule'!$F$5:$F34,'Daily Workforce'!$B64)=0,IF('Daily Schedule'!$A35=45,'Daily Workforce'!$J64="Y",IF(OR('Daily Schedule'!$A35=4,'Daily Schedule'!$A35=8),IF(OR(WEEKDAY('Daily Schedule'!$B$2,2)=1,WEEKDAY('Daily Schedule'!$B$2,2)=4,WEEKDAY('Daily Schedule'!$B$2,2)=5,WEEKDAY('Daily Schedule'!$B$2,2)=7),IFERROR(1*'Daily Workforce'!$K64&gt;=3,FALSE()),IFERROR(1*'Daily Workforce'!$K64&gt;=2,FALSE())),IF(AND('Daily Schedule'!$A35&gt;=46,'Daily Schedule'!$A35&lt;=52),'Daily Workforce'!$M64="Y",IFERROR(1*'Daily Workforce'!$P64&gt;=2,FALSE()))))),1,0)</f>
        <v>1</v>
      </c>
      <c r="BX31" s="1" t="n">
        <f aca="false">IF(AND('Daily Workforce'!$N65="Y",'Daily Workforce'!$B65&lt;&gt;"",COUNTIF('Daily Schedule'!$F$5:$F34,'Daily Workforce'!$B65)=0,IF('Daily Schedule'!$A35=45,'Daily Workforce'!$J65="Y",IF(OR('Daily Schedule'!$A35=4,'Daily Schedule'!$A35=8),IF(OR(WEEKDAY('Daily Schedule'!$B$2,2)=1,WEEKDAY('Daily Schedule'!$B$2,2)=4,WEEKDAY('Daily Schedule'!$B$2,2)=5,WEEKDAY('Daily Schedule'!$B$2,2)=7),IFERROR(1*'Daily Workforce'!$K65&gt;=3,FALSE()),IFERROR(1*'Daily Workforce'!$K65&gt;=2,FALSE())),IF(AND('Daily Schedule'!$A35&gt;=46,'Daily Schedule'!$A35&lt;=52),'Daily Workforce'!$M65="Y",IFERROR(1*'Daily Workforce'!$P65&gt;=2,FALSE()))))),1,0)</f>
        <v>1</v>
      </c>
      <c r="BY31" s="1" t="n">
        <f aca="false">IF(AND('Daily Workforce'!$N66="Y",'Daily Workforce'!$B66&lt;&gt;"",COUNTIF('Daily Schedule'!$F$5:$F34,'Daily Workforce'!$B66)=0,IF('Daily Schedule'!$A35=45,'Daily Workforce'!$J66="Y",IF(OR('Daily Schedule'!$A35=4,'Daily Schedule'!$A35=8),IF(OR(WEEKDAY('Daily Schedule'!$B$2,2)=1,WEEKDAY('Daily Schedule'!$B$2,2)=4,WEEKDAY('Daily Schedule'!$B$2,2)=5,WEEKDAY('Daily Schedule'!$B$2,2)=7),IFERROR(1*'Daily Workforce'!$K66&gt;=3,FALSE()),IFERROR(1*'Daily Workforce'!$K66&gt;=2,FALSE())),IF(AND('Daily Schedule'!$A35&gt;=46,'Daily Schedule'!$A35&lt;=52),'Daily Workforce'!$M66="Y",IFERROR(1*'Daily Workforce'!$P66&gt;=2,FALSE()))))),1,0)</f>
        <v>1</v>
      </c>
      <c r="BZ31" s="1" t="n">
        <f aca="false">IF(AND('Daily Workforce'!$N67="Y",'Daily Workforce'!$B67&lt;&gt;"",COUNTIF('Daily Schedule'!$F$5:$F34,'Daily Workforce'!$B67)=0,IF('Daily Schedule'!$A35=45,'Daily Workforce'!$J67="Y",IF(OR('Daily Schedule'!$A35=4,'Daily Schedule'!$A35=8),IF(OR(WEEKDAY('Daily Schedule'!$B$2,2)=1,WEEKDAY('Daily Schedule'!$B$2,2)=4,WEEKDAY('Daily Schedule'!$B$2,2)=5,WEEKDAY('Daily Schedule'!$B$2,2)=7),IFERROR(1*'Daily Workforce'!$K67&gt;=3,FALSE()),IFERROR(1*'Daily Workforce'!$K67&gt;=2,FALSE())),IF(AND('Daily Schedule'!$A35&gt;=46,'Daily Schedule'!$A35&lt;=52),'Daily Workforce'!$M67="Y",IFERROR(1*'Daily Workforce'!$P67&gt;=2,FALSE()))))),1,0)</f>
        <v>1</v>
      </c>
      <c r="CA31" s="1" t="n">
        <f aca="false">IF(AND('Daily Workforce'!$N68="Y",'Daily Workforce'!$B68&lt;&gt;"",COUNTIF('Daily Schedule'!$F$5:$F34,'Daily Workforce'!$B68)=0,IF('Daily Schedule'!$A35=45,'Daily Workforce'!$J68="Y",IF(OR('Daily Schedule'!$A35=4,'Daily Schedule'!$A35=8),IF(OR(WEEKDAY('Daily Schedule'!$B$2,2)=1,WEEKDAY('Daily Schedule'!$B$2,2)=4,WEEKDAY('Daily Schedule'!$B$2,2)=5,WEEKDAY('Daily Schedule'!$B$2,2)=7),IFERROR(1*'Daily Workforce'!$K68&gt;=3,FALSE()),IFERROR(1*'Daily Workforce'!$K68&gt;=2,FALSE())),IF(AND('Daily Schedule'!$A35&gt;=46,'Daily Schedule'!$A35&lt;=52),'Daily Workforce'!$M68="Y",IFERROR(1*'Daily Workforce'!$P68&gt;=2,FALSE()))))),1,0)</f>
        <v>1</v>
      </c>
      <c r="CB31" s="1" t="n">
        <f aca="false">IF(AND('Daily Workforce'!$N69="Y",'Daily Workforce'!$B69&lt;&gt;"",COUNTIF('Daily Schedule'!$F$5:$F34,'Daily Workforce'!$B69)=0,IF('Daily Schedule'!$A35=45,'Daily Workforce'!$J69="Y",IF(OR('Daily Schedule'!$A35=4,'Daily Schedule'!$A35=8),IF(OR(WEEKDAY('Daily Schedule'!$B$2,2)=1,WEEKDAY('Daily Schedule'!$B$2,2)=4,WEEKDAY('Daily Schedule'!$B$2,2)=5,WEEKDAY('Daily Schedule'!$B$2,2)=7),IFERROR(1*'Daily Workforce'!$K69&gt;=3,FALSE()),IFERROR(1*'Daily Workforce'!$K69&gt;=2,FALSE())),IF(AND('Daily Schedule'!$A35&gt;=46,'Daily Schedule'!$A35&lt;=52),'Daily Workforce'!$M69="Y",IFERROR(1*'Daily Workforce'!$P69&gt;=2,FALSE()))))),1,0)</f>
        <v>1</v>
      </c>
      <c r="CC31" s="1" t="n">
        <f aca="false">IF(AND('Daily Workforce'!$N70="Y",'Daily Workforce'!$B70&lt;&gt;"",COUNTIF('Daily Schedule'!$F$5:$F34,'Daily Workforce'!$B70)=0,IF('Daily Schedule'!$A35=45,'Daily Workforce'!$J70="Y",IF(OR('Daily Schedule'!$A35=4,'Daily Schedule'!$A35=8),IF(OR(WEEKDAY('Daily Schedule'!$B$2,2)=1,WEEKDAY('Daily Schedule'!$B$2,2)=4,WEEKDAY('Daily Schedule'!$B$2,2)=5,WEEKDAY('Daily Schedule'!$B$2,2)=7),IFERROR(1*'Daily Workforce'!$K70&gt;=3,FALSE()),IFERROR(1*'Daily Workforce'!$K70&gt;=2,FALSE())),IF(AND('Daily Schedule'!$A35&gt;=46,'Daily Schedule'!$A35&lt;=52),'Daily Workforce'!$M70="Y",IFERROR(1*'Daily Workforce'!$P70&gt;=2,FALSE()))))),1,0)</f>
        <v>1</v>
      </c>
      <c r="CD31" s="1" t="n">
        <f aca="false">IF(AND('Daily Workforce'!$N71="Y",'Daily Workforce'!$B71&lt;&gt;"",COUNTIF('Daily Schedule'!$F$5:$F34,'Daily Workforce'!$B71)=0,IF('Daily Schedule'!$A35=45,'Daily Workforce'!$J71="Y",IF(OR('Daily Schedule'!$A35=4,'Daily Schedule'!$A35=8),IF(OR(WEEKDAY('Daily Schedule'!$B$2,2)=1,WEEKDAY('Daily Schedule'!$B$2,2)=4,WEEKDAY('Daily Schedule'!$B$2,2)=5,WEEKDAY('Daily Schedule'!$B$2,2)=7),IFERROR(1*'Daily Workforce'!$K71&gt;=3,FALSE()),IFERROR(1*'Daily Workforce'!$K71&gt;=2,FALSE())),IF(AND('Daily Schedule'!$A35&gt;=46,'Daily Schedule'!$A35&lt;=52),'Daily Workforce'!$M71="Y",IFERROR(1*'Daily Workforce'!$P71&gt;=2,FALSE()))))),1,0)</f>
        <v>1</v>
      </c>
      <c r="CE31" s="1" t="n">
        <f aca="false">IF(AND('Daily Workforce'!$N72="Y",'Daily Workforce'!$B72&lt;&gt;"",COUNTIF('Daily Schedule'!$F$5:$F34,'Daily Workforce'!$B72)=0,IF('Daily Schedule'!$A35=45,'Daily Workforce'!$J72="Y",IF(OR('Daily Schedule'!$A35=4,'Daily Schedule'!$A35=8),IF(OR(WEEKDAY('Daily Schedule'!$B$2,2)=1,WEEKDAY('Daily Schedule'!$B$2,2)=4,WEEKDAY('Daily Schedule'!$B$2,2)=5,WEEKDAY('Daily Schedule'!$B$2,2)=7),IFERROR(1*'Daily Workforce'!$K72&gt;=3,FALSE()),IFERROR(1*'Daily Workforce'!$K72&gt;=2,FALSE())),IF(AND('Daily Schedule'!$A35&gt;=46,'Daily Schedule'!$A35&lt;=52),'Daily Workforce'!$M72="Y",IFERROR(1*'Daily Workforce'!$P72&gt;=2,FALSE()))))),1,0)</f>
        <v>1</v>
      </c>
      <c r="CF31" s="1" t="n">
        <f aca="false">IF(AND('Daily Workforce'!$N73="Y",'Daily Workforce'!$B73&lt;&gt;"",COUNTIF('Daily Schedule'!$F$5:$F34,'Daily Workforce'!$B73)=0,IF('Daily Schedule'!$A35=45,'Daily Workforce'!$J73="Y",IF(OR('Daily Schedule'!$A35=4,'Daily Schedule'!$A35=8),IF(OR(WEEKDAY('Daily Schedule'!$B$2,2)=1,WEEKDAY('Daily Schedule'!$B$2,2)=4,WEEKDAY('Daily Schedule'!$B$2,2)=5,WEEKDAY('Daily Schedule'!$B$2,2)=7),IFERROR(1*'Daily Workforce'!$K73&gt;=3,FALSE()),IFERROR(1*'Daily Workforce'!$K73&gt;=2,FALSE())),IF(AND('Daily Schedule'!$A35&gt;=46,'Daily Schedule'!$A35&lt;=52),'Daily Workforce'!$M73="Y",IFERROR(1*'Daily Workforce'!$P73&gt;=2,FALSE()))))),1,0)</f>
        <v>1</v>
      </c>
      <c r="CG31" s="1" t="n">
        <f aca="false">IF(AND('Daily Workforce'!$N74="Y",'Daily Workforce'!$B74&lt;&gt;"",COUNTIF('Daily Schedule'!$F$5:$F34,'Daily Workforce'!$B74)=0,IF('Daily Schedule'!$A35=45,'Daily Workforce'!$J74="Y",IF(OR('Daily Schedule'!$A35=4,'Daily Schedule'!$A35=8),IF(OR(WEEKDAY('Daily Schedule'!$B$2,2)=1,WEEKDAY('Daily Schedule'!$B$2,2)=4,WEEKDAY('Daily Schedule'!$B$2,2)=5,WEEKDAY('Daily Schedule'!$B$2,2)=7),IFERROR(1*'Daily Workforce'!$K74&gt;=3,FALSE()),IFERROR(1*'Daily Workforce'!$K74&gt;=2,FALSE())),IF(AND('Daily Schedule'!$A35&gt;=46,'Daily Schedule'!$A35&lt;=52),'Daily Workforce'!$M74="Y",IFERROR(1*'Daily Workforce'!$P74&gt;=2,FALSE()))))),1,0)</f>
        <v>1</v>
      </c>
      <c r="CH31" s="1" t="n">
        <f aca="false">IF(AND('Daily Workforce'!$N75="Y",'Daily Workforce'!$B75&lt;&gt;"",COUNTIF('Daily Schedule'!$F$5:$F34,'Daily Workforce'!$B75)=0,IF('Daily Schedule'!$A35=45,'Daily Workforce'!$J75="Y",IF(OR('Daily Schedule'!$A35=4,'Daily Schedule'!$A35=8),IF(OR(WEEKDAY('Daily Schedule'!$B$2,2)=1,WEEKDAY('Daily Schedule'!$B$2,2)=4,WEEKDAY('Daily Schedule'!$B$2,2)=5,WEEKDAY('Daily Schedule'!$B$2,2)=7),IFERROR(1*'Daily Workforce'!$K75&gt;=3,FALSE()),IFERROR(1*'Daily Workforce'!$K75&gt;=2,FALSE())),IF(AND('Daily Schedule'!$A35&gt;=46,'Daily Schedule'!$A35&lt;=52),'Daily Workforce'!$M75="Y",IFERROR(1*'Daily Workforce'!$P75&gt;=2,FALSE()))))),1,0)</f>
        <v>1</v>
      </c>
      <c r="CI31" s="1" t="n">
        <f aca="false">IF(AND('Daily Workforce'!$N76="Y",'Daily Workforce'!$B76&lt;&gt;"",COUNTIF('Daily Schedule'!$F$5:$F34,'Daily Workforce'!$B76)=0,IF('Daily Schedule'!$A35=45,'Daily Workforce'!$J76="Y",IF(OR('Daily Schedule'!$A35=4,'Daily Schedule'!$A35=8),IF(OR(WEEKDAY('Daily Schedule'!$B$2,2)=1,WEEKDAY('Daily Schedule'!$B$2,2)=4,WEEKDAY('Daily Schedule'!$B$2,2)=5,WEEKDAY('Daily Schedule'!$B$2,2)=7),IFERROR(1*'Daily Workforce'!$K76&gt;=3,FALSE()),IFERROR(1*'Daily Workforce'!$K76&gt;=2,FALSE())),IF(AND('Daily Schedule'!$A35&gt;=46,'Daily Schedule'!$A35&lt;=52),'Daily Workforce'!$M76="Y",IFERROR(1*'Daily Workforce'!$P76&gt;=2,FALSE()))))),1,0)</f>
        <v>1</v>
      </c>
      <c r="CJ31" s="1" t="n">
        <f aca="false">IF(AND('Daily Workforce'!$N77="Y",'Daily Workforce'!$B77&lt;&gt;"",COUNTIF('Daily Schedule'!$F$5:$F34,'Daily Workforce'!$B77)=0,IF('Daily Schedule'!$A35=45,'Daily Workforce'!$J77="Y",IF(OR('Daily Schedule'!$A35=4,'Daily Schedule'!$A35=8),IF(OR(WEEKDAY('Daily Schedule'!$B$2,2)=1,WEEKDAY('Daily Schedule'!$B$2,2)=4,WEEKDAY('Daily Schedule'!$B$2,2)=5,WEEKDAY('Daily Schedule'!$B$2,2)=7),IFERROR(1*'Daily Workforce'!$K77&gt;=3,FALSE()),IFERROR(1*'Daily Workforce'!$K77&gt;=2,FALSE())),IF(AND('Daily Schedule'!$A35&gt;=46,'Daily Schedule'!$A35&lt;=52),'Daily Workforce'!$M77="Y",IFERROR(1*'Daily Workforce'!$P77&gt;=2,FALSE()))))),1,0)</f>
        <v>1</v>
      </c>
      <c r="CK31" s="1" t="n">
        <f aca="false">IF(AND('Daily Workforce'!$N78="Y",'Daily Workforce'!$B78&lt;&gt;"",COUNTIF('Daily Schedule'!$F$5:$F34,'Daily Workforce'!$B78)=0,IF('Daily Schedule'!$A35=45,'Daily Workforce'!$J78="Y",IF(OR('Daily Schedule'!$A35=4,'Daily Schedule'!$A35=8),IF(OR(WEEKDAY('Daily Schedule'!$B$2,2)=1,WEEKDAY('Daily Schedule'!$B$2,2)=4,WEEKDAY('Daily Schedule'!$B$2,2)=5,WEEKDAY('Daily Schedule'!$B$2,2)=7),IFERROR(1*'Daily Workforce'!$K78&gt;=3,FALSE()),IFERROR(1*'Daily Workforce'!$K78&gt;=2,FALSE())),IF(AND('Daily Schedule'!$A35&gt;=46,'Daily Schedule'!$A35&lt;=52),'Daily Workforce'!$M78="Y",IFERROR(1*'Daily Workforce'!$P78&gt;=2,FALSE()))))),1,0)</f>
        <v>1</v>
      </c>
      <c r="CL31" s="1" t="n">
        <f aca="false">IF(AND('Daily Workforce'!$N79="Y",'Daily Workforce'!$B79&lt;&gt;"",COUNTIF('Daily Schedule'!$F$5:$F34,'Daily Workforce'!$B79)=0,IF('Daily Schedule'!$A35=45,'Daily Workforce'!$J79="Y",IF(OR('Daily Schedule'!$A35=4,'Daily Schedule'!$A35=8),IF(OR(WEEKDAY('Daily Schedule'!$B$2,2)=1,WEEKDAY('Daily Schedule'!$B$2,2)=4,WEEKDAY('Daily Schedule'!$B$2,2)=5,WEEKDAY('Daily Schedule'!$B$2,2)=7),IFERROR(1*'Daily Workforce'!$K79&gt;=3,FALSE()),IFERROR(1*'Daily Workforce'!$K79&gt;=2,FALSE())),IF(AND('Daily Schedule'!$A35&gt;=46,'Daily Schedule'!$A35&lt;=52),'Daily Workforce'!$M79="Y",IFERROR(1*'Daily Workforce'!$P79&gt;=2,FALSE()))))),1,0)</f>
        <v>1</v>
      </c>
      <c r="CM31" s="1" t="n">
        <f aca="false">IF(AND('Daily Workforce'!$N80="Y",'Daily Workforce'!$B80&lt;&gt;"",COUNTIF('Daily Schedule'!$F$5:$F34,'Daily Workforce'!$B80)=0,IF('Daily Schedule'!$A35=45,'Daily Workforce'!$J80="Y",IF(OR('Daily Schedule'!$A35=4,'Daily Schedule'!$A35=8),IF(OR(WEEKDAY('Daily Schedule'!$B$2,2)=1,WEEKDAY('Daily Schedule'!$B$2,2)=4,WEEKDAY('Daily Schedule'!$B$2,2)=5,WEEKDAY('Daily Schedule'!$B$2,2)=7),IFERROR(1*'Daily Workforce'!$K80&gt;=3,FALSE()),IFERROR(1*'Daily Workforce'!$K80&gt;=2,FALSE())),IF(AND('Daily Schedule'!$A35&gt;=46,'Daily Schedule'!$A35&lt;=52),'Daily Workforce'!$M80="Y",IFERROR(1*'Daily Workforce'!$P80&gt;=2,FALSE()))))),1,0)</f>
        <v>1</v>
      </c>
      <c r="CN31" s="1" t="n">
        <f aca="false">IF(AND('Daily Workforce'!$N81="Y",'Daily Workforce'!$B81&lt;&gt;"",COUNTIF('Daily Schedule'!$F$5:$F34,'Daily Workforce'!$B81)=0,IF('Daily Schedule'!$A35=45,'Daily Workforce'!$J81="Y",IF(OR('Daily Schedule'!$A35=4,'Daily Schedule'!$A35=8),IF(OR(WEEKDAY('Daily Schedule'!$B$2,2)=1,WEEKDAY('Daily Schedule'!$B$2,2)=4,WEEKDAY('Daily Schedule'!$B$2,2)=5,WEEKDAY('Daily Schedule'!$B$2,2)=7),IFERROR(1*'Daily Workforce'!$K81&gt;=3,FALSE()),IFERROR(1*'Daily Workforce'!$K81&gt;=2,FALSE())),IF(AND('Daily Schedule'!$A35&gt;=46,'Daily Schedule'!$A35&lt;=52),'Daily Workforce'!$M81="Y",IFERROR(1*'Daily Workforce'!$P81&gt;=2,FALSE()))))),1,0)</f>
        <v>1</v>
      </c>
      <c r="CO31" s="1" t="n">
        <f aca="false">IF(AND('Daily Workforce'!$N82="Y",'Daily Workforce'!$B82&lt;&gt;"",COUNTIF('Daily Schedule'!$F$5:$F34,'Daily Workforce'!$B82)=0,IF('Daily Schedule'!$A35=45,'Daily Workforce'!$J82="Y",IF(OR('Daily Schedule'!$A35=4,'Daily Schedule'!$A35=8),IF(OR(WEEKDAY('Daily Schedule'!$B$2,2)=1,WEEKDAY('Daily Schedule'!$B$2,2)=4,WEEKDAY('Daily Schedule'!$B$2,2)=5,WEEKDAY('Daily Schedule'!$B$2,2)=7),IFERROR(1*'Daily Workforce'!$K82&gt;=3,FALSE()),IFERROR(1*'Daily Workforce'!$K82&gt;=2,FALSE())),IF(AND('Daily Schedule'!$A35&gt;=46,'Daily Schedule'!$A35&lt;=52),'Daily Workforce'!$M82="Y",IFERROR(1*'Daily Workforce'!$P82&gt;=2,FALSE()))))),1,0)</f>
        <v>1</v>
      </c>
      <c r="CP31" s="1" t="n">
        <f aca="false">IF(AND('Daily Workforce'!$N83="Y",'Daily Workforce'!$B83&lt;&gt;"",COUNTIF('Daily Schedule'!$F$5:$F34,'Daily Workforce'!$B83)=0,IF('Daily Schedule'!$A35=45,'Daily Workforce'!$J83="Y",IF(OR('Daily Schedule'!$A35=4,'Daily Schedule'!$A35=8),IF(OR(WEEKDAY('Daily Schedule'!$B$2,2)=1,WEEKDAY('Daily Schedule'!$B$2,2)=4,WEEKDAY('Daily Schedule'!$B$2,2)=5,WEEKDAY('Daily Schedule'!$B$2,2)=7),IFERROR(1*'Daily Workforce'!$K83&gt;=3,FALSE()),IFERROR(1*'Daily Workforce'!$K83&gt;=2,FALSE())),IF(AND('Daily Schedule'!$A35&gt;=46,'Daily Schedule'!$A35&lt;=52),'Daily Workforce'!$M83="Y",IFERROR(1*'Daily Workforce'!$P83&gt;=2,FALSE()))))),1,0)</f>
        <v>0</v>
      </c>
      <c r="CQ31" s="1" t="n">
        <f aca="false">IF(AND('Daily Workforce'!$N84="Y",'Daily Workforce'!$B84&lt;&gt;"",COUNTIF('Daily Schedule'!$F$5:$F34,'Daily Workforce'!$B84)=0,IF('Daily Schedule'!$A35=45,'Daily Workforce'!$J84="Y",IF(OR('Daily Schedule'!$A35=4,'Daily Schedule'!$A35=8),IF(OR(WEEKDAY('Daily Schedule'!$B$2,2)=1,WEEKDAY('Daily Schedule'!$B$2,2)=4,WEEKDAY('Daily Schedule'!$B$2,2)=5,WEEKDAY('Daily Schedule'!$B$2,2)=7),IFERROR(1*'Daily Workforce'!$K84&gt;=3,FALSE()),IFERROR(1*'Daily Workforce'!$K84&gt;=2,FALSE())),IF(AND('Daily Schedule'!$A35&gt;=46,'Daily Schedule'!$A35&lt;=52),'Daily Workforce'!$M84="Y",IFERROR(1*'Daily Workforce'!$P84&gt;=2,FALSE()))))),1,0)</f>
        <v>1</v>
      </c>
      <c r="CR31" s="1" t="n">
        <f aca="false">IF(AND('Daily Workforce'!$N85="Y",'Daily Workforce'!$B85&lt;&gt;"",COUNTIF('Daily Schedule'!$F$5:$F34,'Daily Workforce'!$B85)=0,IF('Daily Schedule'!$A35=45,'Daily Workforce'!$J85="Y",IF(OR('Daily Schedule'!$A35=4,'Daily Schedule'!$A35=8),IF(OR(WEEKDAY('Daily Schedule'!$B$2,2)=1,WEEKDAY('Daily Schedule'!$B$2,2)=4,WEEKDAY('Daily Schedule'!$B$2,2)=5,WEEKDAY('Daily Schedule'!$B$2,2)=7),IFERROR(1*'Daily Workforce'!$K85&gt;=3,FALSE()),IFERROR(1*'Daily Workforce'!$K85&gt;=2,FALSE())),IF(AND('Daily Schedule'!$A35&gt;=46,'Daily Schedule'!$A35&lt;=52),'Daily Workforce'!$M85="Y",IFERROR(1*'Daily Workforce'!$P85&gt;=2,FALSE()))))),1,0)</f>
        <v>0</v>
      </c>
      <c r="CS31" s="1" t="n">
        <f aca="false">IF(AND('Daily Workforce'!$N86="Y",'Daily Workforce'!$B86&lt;&gt;"",COUNTIF('Daily Schedule'!$F$5:$F34,'Daily Workforce'!$B86)=0,IF('Daily Schedule'!$A35=45,'Daily Workforce'!$J86="Y",IF(OR('Daily Schedule'!$A35=4,'Daily Schedule'!$A35=8),IF(OR(WEEKDAY('Daily Schedule'!$B$2,2)=1,WEEKDAY('Daily Schedule'!$B$2,2)=4,WEEKDAY('Daily Schedule'!$B$2,2)=5,WEEKDAY('Daily Schedule'!$B$2,2)=7),IFERROR(1*'Daily Workforce'!$K86&gt;=3,FALSE()),IFERROR(1*'Daily Workforce'!$K86&gt;=2,FALSE())),IF(AND('Daily Schedule'!$A35&gt;=46,'Daily Schedule'!$A35&lt;=52),'Daily Workforce'!$M86="Y",IFERROR(1*'Daily Workforce'!$P86&gt;=2,FALSE()))))),1,0)</f>
        <v>1</v>
      </c>
      <c r="CT31" s="1" t="n">
        <f aca="false">IF(AND('Daily Workforce'!$N87="Y",'Daily Workforce'!$B87&lt;&gt;"",COUNTIF('Daily Schedule'!$F$5:$F34,'Daily Workforce'!$B87)=0,IF('Daily Schedule'!$A35=45,'Daily Workforce'!$J87="Y",IF(OR('Daily Schedule'!$A35=4,'Daily Schedule'!$A35=8),IF(OR(WEEKDAY('Daily Schedule'!$B$2,2)=1,WEEKDAY('Daily Schedule'!$B$2,2)=4,WEEKDAY('Daily Schedule'!$B$2,2)=5,WEEKDAY('Daily Schedule'!$B$2,2)=7),IFERROR(1*'Daily Workforce'!$K87&gt;=3,FALSE()),IFERROR(1*'Daily Workforce'!$K87&gt;=2,FALSE())),IF(AND('Daily Schedule'!$A35&gt;=46,'Daily Schedule'!$A35&lt;=52),'Daily Workforce'!$M87="Y",IFERROR(1*'Daily Workforce'!$P87&gt;=2,FALSE()))))),1,0)</f>
        <v>1</v>
      </c>
      <c r="CU31" s="1" t="n">
        <f aca="false">IF(AND('Daily Workforce'!$N88="Y",'Daily Workforce'!$B88&lt;&gt;"",COUNTIF('Daily Schedule'!$F$5:$F34,'Daily Workforce'!$B88)=0,IF('Daily Schedule'!$A35=45,'Daily Workforce'!$J88="Y",IF(OR('Daily Schedule'!$A35=4,'Daily Schedule'!$A35=8),IF(OR(WEEKDAY('Daily Schedule'!$B$2,2)=1,WEEKDAY('Daily Schedule'!$B$2,2)=4,WEEKDAY('Daily Schedule'!$B$2,2)=5,WEEKDAY('Daily Schedule'!$B$2,2)=7),IFERROR(1*'Daily Workforce'!$K88&gt;=3,FALSE()),IFERROR(1*'Daily Workforce'!$K88&gt;=2,FALSE())),IF(AND('Daily Schedule'!$A35&gt;=46,'Daily Schedule'!$A35&lt;=52),'Daily Workforce'!$M88="Y",IFERROR(1*'Daily Workforce'!$P88&gt;=2,FALSE()))))),1,0)</f>
        <v>1</v>
      </c>
      <c r="CV31" s="1" t="n">
        <f aca="false">IF(AND('Daily Workforce'!$N89="Y",'Daily Workforce'!$B89&lt;&gt;"",COUNTIF('Daily Schedule'!$F$5:$F34,'Daily Workforce'!$B89)=0,IF('Daily Schedule'!$A35=45,'Daily Workforce'!$J89="Y",IF(OR('Daily Schedule'!$A35=4,'Daily Schedule'!$A35=8),IF(OR(WEEKDAY('Daily Schedule'!$B$2,2)=1,WEEKDAY('Daily Schedule'!$B$2,2)=4,WEEKDAY('Daily Schedule'!$B$2,2)=5,WEEKDAY('Daily Schedule'!$B$2,2)=7),IFERROR(1*'Daily Workforce'!$K89&gt;=3,FALSE()),IFERROR(1*'Daily Workforce'!$K89&gt;=2,FALSE())),IF(AND('Daily Schedule'!$A35&gt;=46,'Daily Schedule'!$A35&lt;=52),'Daily Workforce'!$M89="Y",IFERROR(1*'Daily Workforce'!$P89&gt;=2,FALSE()))))),1,0)</f>
        <v>1</v>
      </c>
      <c r="CW31" s="1" t="n">
        <f aca="false">IF(AND('Daily Workforce'!$N90="Y",'Daily Workforce'!$B90&lt;&gt;"",COUNTIF('Daily Schedule'!$F$5:$F34,'Daily Workforce'!$B90)=0,IF('Daily Schedule'!$A35=45,'Daily Workforce'!$J90="Y",IF(OR('Daily Schedule'!$A35=4,'Daily Schedule'!$A35=8),IF(OR(WEEKDAY('Daily Schedule'!$B$2,2)=1,WEEKDAY('Daily Schedule'!$B$2,2)=4,WEEKDAY('Daily Schedule'!$B$2,2)=5,WEEKDAY('Daily Schedule'!$B$2,2)=7),IFERROR(1*'Daily Workforce'!$K90&gt;=3,FALSE()),IFERROR(1*'Daily Workforce'!$K90&gt;=2,FALSE())),IF(AND('Daily Schedule'!$A35&gt;=46,'Daily Schedule'!$A35&lt;=52),'Daily Workforce'!$M90="Y",IFERROR(1*'Daily Workforce'!$P90&gt;=2,FALSE()))))),1,0)</f>
        <v>1</v>
      </c>
      <c r="CX31" s="1" t="n">
        <f aca="false">IF(AND('Daily Workforce'!$N91="Y",'Daily Workforce'!$B91&lt;&gt;"",COUNTIF('Daily Schedule'!$F$5:$F34,'Daily Workforce'!$B91)=0,IF('Daily Schedule'!$A35=45,'Daily Workforce'!$J91="Y",IF(OR('Daily Schedule'!$A35=4,'Daily Schedule'!$A35=8),IF(OR(WEEKDAY('Daily Schedule'!$B$2,2)=1,WEEKDAY('Daily Schedule'!$B$2,2)=4,WEEKDAY('Daily Schedule'!$B$2,2)=5,WEEKDAY('Daily Schedule'!$B$2,2)=7),IFERROR(1*'Daily Workforce'!$K91&gt;=3,FALSE()),IFERROR(1*'Daily Workforce'!$K91&gt;=2,FALSE())),IF(AND('Daily Schedule'!$A35&gt;=46,'Daily Schedule'!$A35&lt;=52),'Daily Workforce'!$M91="Y",IFERROR(1*'Daily Workforce'!$P91&gt;=2,FALSE()))))),1,0)</f>
        <v>1</v>
      </c>
      <c r="CY31" s="1" t="n">
        <f aca="false">IF(AND('Daily Workforce'!$N92="Y",'Daily Workforce'!$B92&lt;&gt;"",COUNTIF('Daily Schedule'!$F$5:$F34,'Daily Workforce'!$B92)=0,IF('Daily Schedule'!$A35=45,'Daily Workforce'!$J92="Y",IF(OR('Daily Schedule'!$A35=4,'Daily Schedule'!$A35=8),IF(OR(WEEKDAY('Daily Schedule'!$B$2,2)=1,WEEKDAY('Daily Schedule'!$B$2,2)=4,WEEKDAY('Daily Schedule'!$B$2,2)=5,WEEKDAY('Daily Schedule'!$B$2,2)=7),IFERROR(1*'Daily Workforce'!$K92&gt;=3,FALSE()),IFERROR(1*'Daily Workforce'!$K92&gt;=2,FALSE())),IF(AND('Daily Schedule'!$A35&gt;=46,'Daily Schedule'!$A35&lt;=52),'Daily Workforce'!$M92="Y",IFERROR(1*'Daily Workforce'!$P92&gt;=2,FALSE()))))),1,0)</f>
        <v>1</v>
      </c>
      <c r="CZ31" s="1" t="n">
        <f aca="false">IF(AND('Daily Workforce'!$N93="Y",'Daily Workforce'!$B93&lt;&gt;"",COUNTIF('Daily Schedule'!$F$5:$F34,'Daily Workforce'!$B93)=0,IF('Daily Schedule'!$A35=45,'Daily Workforce'!$J93="Y",IF(OR('Daily Schedule'!$A35=4,'Daily Schedule'!$A35=8),IF(OR(WEEKDAY('Daily Schedule'!$B$2,2)=1,WEEKDAY('Daily Schedule'!$B$2,2)=4,WEEKDAY('Daily Schedule'!$B$2,2)=5,WEEKDAY('Daily Schedule'!$B$2,2)=7),IFERROR(1*'Daily Workforce'!$K93&gt;=3,FALSE()),IFERROR(1*'Daily Workforce'!$K93&gt;=2,FALSE())),IF(AND('Daily Schedule'!$A35&gt;=46,'Daily Schedule'!$A35&lt;=52),'Daily Workforce'!$M93="Y",IFERROR(1*'Daily Workforce'!$P93&gt;=2,FALSE()))))),1,0)</f>
        <v>1</v>
      </c>
      <c r="DA31" s="1" t="n">
        <f aca="false">IF(AND('Daily Workforce'!$N94="Y",'Daily Workforce'!$B94&lt;&gt;"",COUNTIF('Daily Schedule'!$F$5:$F34,'Daily Workforce'!$B94)=0,IF('Daily Schedule'!$A35=45,'Daily Workforce'!$J94="Y",IF(OR('Daily Schedule'!$A35=4,'Daily Schedule'!$A35=8),IF(OR(WEEKDAY('Daily Schedule'!$B$2,2)=1,WEEKDAY('Daily Schedule'!$B$2,2)=4,WEEKDAY('Daily Schedule'!$B$2,2)=5,WEEKDAY('Daily Schedule'!$B$2,2)=7),IFERROR(1*'Daily Workforce'!$K94&gt;=3,FALSE()),IFERROR(1*'Daily Workforce'!$K94&gt;=2,FALSE())),IF(AND('Daily Schedule'!$A35&gt;=46,'Daily Schedule'!$A35&lt;=52),'Daily Workforce'!$M94="Y",IFERROR(1*'Daily Workforce'!$P94&gt;=2,FALSE()))))),1,0)</f>
        <v>1</v>
      </c>
      <c r="DB31" s="1" t="n">
        <f aca="false">IF(AND('Daily Workforce'!$N95="Y",'Daily Workforce'!$B95&lt;&gt;"",COUNTIF('Daily Schedule'!$F$5:$F34,'Daily Workforce'!$B95)=0,IF('Daily Schedule'!$A35=45,'Daily Workforce'!$J95="Y",IF(OR('Daily Schedule'!$A35=4,'Daily Schedule'!$A35=8),IF(OR(WEEKDAY('Daily Schedule'!$B$2,2)=1,WEEKDAY('Daily Schedule'!$B$2,2)=4,WEEKDAY('Daily Schedule'!$B$2,2)=5,WEEKDAY('Daily Schedule'!$B$2,2)=7),IFERROR(1*'Daily Workforce'!$K95&gt;=3,FALSE()),IFERROR(1*'Daily Workforce'!$K95&gt;=2,FALSE())),IF(AND('Daily Schedule'!$A35&gt;=46,'Daily Schedule'!$A35&lt;=52),'Daily Workforce'!$M95="Y",IFERROR(1*'Daily Workforce'!$P95&gt;=2,FALSE()))))),1,0)</f>
        <v>1</v>
      </c>
      <c r="DC31" s="1" t="n">
        <f aca="false">IF(AND('Daily Workforce'!$N96="Y",'Daily Workforce'!$B96&lt;&gt;"",COUNTIF('Daily Schedule'!$F$5:$F34,'Daily Workforce'!$B96)=0,IF('Daily Schedule'!$A35=45,'Daily Workforce'!$J96="Y",IF(OR('Daily Schedule'!$A35=4,'Daily Schedule'!$A35=8),IF(OR(WEEKDAY('Daily Schedule'!$B$2,2)=1,WEEKDAY('Daily Schedule'!$B$2,2)=4,WEEKDAY('Daily Schedule'!$B$2,2)=5,WEEKDAY('Daily Schedule'!$B$2,2)=7),IFERROR(1*'Daily Workforce'!$K96&gt;=3,FALSE()),IFERROR(1*'Daily Workforce'!$K96&gt;=2,FALSE())),IF(AND('Daily Schedule'!$A35&gt;=46,'Daily Schedule'!$A35&lt;=52),'Daily Workforce'!$M96="Y",IFERROR(1*'Daily Workforce'!$P96&gt;=2,FALSE()))))),1,0)</f>
        <v>1</v>
      </c>
      <c r="DD31" s="1" t="n">
        <f aca="false">IF(AND('Daily Workforce'!$N97="Y",'Daily Workforce'!$B97&lt;&gt;"",COUNTIF('Daily Schedule'!$F$5:$F34,'Daily Workforce'!$B97)=0,IF('Daily Schedule'!$A35=45,'Daily Workforce'!$J97="Y",IF(OR('Daily Schedule'!$A35=4,'Daily Schedule'!$A35=8),IF(OR(WEEKDAY('Daily Schedule'!$B$2,2)=1,WEEKDAY('Daily Schedule'!$B$2,2)=4,WEEKDAY('Daily Schedule'!$B$2,2)=5,WEEKDAY('Daily Schedule'!$B$2,2)=7),IFERROR(1*'Daily Workforce'!$K97&gt;=3,FALSE()),IFERROR(1*'Daily Workforce'!$K97&gt;=2,FALSE())),IF(AND('Daily Schedule'!$A35&gt;=46,'Daily Schedule'!$A35&lt;=52),'Daily Workforce'!$M97="Y",IFERROR(1*'Daily Workforce'!$P97&gt;=2,FALSE()))))),1,0)</f>
        <v>1</v>
      </c>
      <c r="DE31" s="1" t="n">
        <f aca="false">IF(AND('Daily Workforce'!$N98="Y",'Daily Workforce'!$B98&lt;&gt;"",COUNTIF('Daily Schedule'!$F$5:$F34,'Daily Workforce'!$B98)=0,IF('Daily Schedule'!$A35=45,'Daily Workforce'!$J98="Y",IF(OR('Daily Schedule'!$A35=4,'Daily Schedule'!$A35=8),IF(OR(WEEKDAY('Daily Schedule'!$B$2,2)=1,WEEKDAY('Daily Schedule'!$B$2,2)=4,WEEKDAY('Daily Schedule'!$B$2,2)=5,WEEKDAY('Daily Schedule'!$B$2,2)=7),IFERROR(1*'Daily Workforce'!$K98&gt;=3,FALSE()),IFERROR(1*'Daily Workforce'!$K98&gt;=2,FALSE())),IF(AND('Daily Schedule'!$A35&gt;=46,'Daily Schedule'!$A35&lt;=52),'Daily Workforce'!$M98="Y",IFERROR(1*'Daily Workforce'!$P98&gt;=2,FALSE()))))),1,0)</f>
        <v>1</v>
      </c>
      <c r="DF31" s="1" t="n">
        <f aca="false">IF(AND('Daily Workforce'!$N99="Y",'Daily Workforce'!$B99&lt;&gt;"",COUNTIF('Daily Schedule'!$F$5:$F34,'Daily Workforce'!$B99)=0,IF('Daily Schedule'!$A35=45,'Daily Workforce'!$J99="Y",IF(OR('Daily Schedule'!$A35=4,'Daily Schedule'!$A35=8),IF(OR(WEEKDAY('Daily Schedule'!$B$2,2)=1,WEEKDAY('Daily Schedule'!$B$2,2)=4,WEEKDAY('Daily Schedule'!$B$2,2)=5,WEEKDAY('Daily Schedule'!$B$2,2)=7),IFERROR(1*'Daily Workforce'!$K99&gt;=3,FALSE()),IFERROR(1*'Daily Workforce'!$K99&gt;=2,FALSE())),IF(AND('Daily Schedule'!$A35&gt;=46,'Daily Schedule'!$A35&lt;=52),'Daily Workforce'!$M99="Y",IFERROR(1*'Daily Workforce'!$P99&gt;=2,FALSE()))))),1,0)</f>
        <v>1</v>
      </c>
      <c r="DG31" s="1" t="n">
        <f aca="false">IF(AND('Daily Workforce'!$N100="Y",'Daily Workforce'!$B100&lt;&gt;"",COUNTIF('Daily Schedule'!$F$5:$F34,'Daily Workforce'!$B100)=0,IF('Daily Schedule'!$A35=45,'Daily Workforce'!$J100="Y",IF(OR('Daily Schedule'!$A35=4,'Daily Schedule'!$A35=8),IF(OR(WEEKDAY('Daily Schedule'!$B$2,2)=1,WEEKDAY('Daily Schedule'!$B$2,2)=4,WEEKDAY('Daily Schedule'!$B$2,2)=5,WEEKDAY('Daily Schedule'!$B$2,2)=7),IFERROR(1*'Daily Workforce'!$K100&gt;=3,FALSE()),IFERROR(1*'Daily Workforce'!$K100&gt;=2,FALSE())),IF(AND('Daily Schedule'!$A35&gt;=46,'Daily Schedule'!$A35&lt;=52),'Daily Workforce'!$M100="Y",IFERROR(1*'Daily Workforce'!$P100&gt;=2,FALSE()))))),1,0)</f>
        <v>1</v>
      </c>
      <c r="DH31" s="1" t="n">
        <f aca="false">IF(AND('Daily Workforce'!$N101="Y",'Daily Workforce'!$B101&lt;&gt;"",COUNTIF('Daily Schedule'!$F$5:$F34,'Daily Workforce'!$B101)=0,IF('Daily Schedule'!$A35=45,'Daily Workforce'!$J101="Y",IF(OR('Daily Schedule'!$A35=4,'Daily Schedule'!$A35=8),IF(OR(WEEKDAY('Daily Schedule'!$B$2,2)=1,WEEKDAY('Daily Schedule'!$B$2,2)=4,WEEKDAY('Daily Schedule'!$B$2,2)=5,WEEKDAY('Daily Schedule'!$B$2,2)=7),IFERROR(1*'Daily Workforce'!$K101&gt;=3,FALSE()),IFERROR(1*'Daily Workforce'!$K101&gt;=2,FALSE())),IF(AND('Daily Schedule'!$A35&gt;=46,'Daily Schedule'!$A35&lt;=52),'Daily Workforce'!$M101="Y",IFERROR(1*'Daily Workforce'!$P101&gt;=2,FALSE()))))),1,0)</f>
        <v>1</v>
      </c>
      <c r="DI31" s="1" t="n">
        <f aca="false">IF(AND('Daily Workforce'!$N102="Y",'Daily Workforce'!$B102&lt;&gt;"",COUNTIF('Daily Schedule'!$F$5:$F34,'Daily Workforce'!$B102)=0,IF('Daily Schedule'!$A35=45,'Daily Workforce'!$J102="Y",IF(OR('Daily Schedule'!$A35=4,'Daily Schedule'!$A35=8),IF(OR(WEEKDAY('Daily Schedule'!$B$2,2)=1,WEEKDAY('Daily Schedule'!$B$2,2)=4,WEEKDAY('Daily Schedule'!$B$2,2)=5,WEEKDAY('Daily Schedule'!$B$2,2)=7),IFERROR(1*'Daily Workforce'!$K102&gt;=3,FALSE()),IFERROR(1*'Daily Workforce'!$K102&gt;=2,FALSE())),IF(AND('Daily Schedule'!$A35&gt;=46,'Daily Schedule'!$A35&lt;=52),'Daily Workforce'!$M102="Y",IFERROR(1*'Daily Workforce'!$P102&gt;=2,FALSE()))))),1,0)</f>
        <v>1</v>
      </c>
      <c r="DJ31" s="1" t="n">
        <f aca="false">IF(AND('Daily Workforce'!$N103="Y",'Daily Workforce'!$B103&lt;&gt;"",COUNTIF('Daily Schedule'!$F$5:$F34,'Daily Workforce'!$B103)=0,IF('Daily Schedule'!$A35=45,'Daily Workforce'!$J103="Y",IF(OR('Daily Schedule'!$A35=4,'Daily Schedule'!$A35=8),IF(OR(WEEKDAY('Daily Schedule'!$B$2,2)=1,WEEKDAY('Daily Schedule'!$B$2,2)=4,WEEKDAY('Daily Schedule'!$B$2,2)=5,WEEKDAY('Daily Schedule'!$B$2,2)=7),IFERROR(1*'Daily Workforce'!$K103&gt;=3,FALSE()),IFERROR(1*'Daily Workforce'!$K103&gt;=2,FALSE())),IF(AND('Daily Schedule'!$A35&gt;=46,'Daily Schedule'!$A35&lt;=52),'Daily Workforce'!$M103="Y",IFERROR(1*'Daily Workforce'!$P103&gt;=2,FALSE()))))),1,0)</f>
        <v>1</v>
      </c>
      <c r="DK31" s="1" t="n">
        <f aca="false">IF(AND('Daily Workforce'!$N104="Y",'Daily Workforce'!$B104&lt;&gt;"",COUNTIF('Daily Schedule'!$F$5:$F34,'Daily Workforce'!$B104)=0,IF('Daily Schedule'!$A35=45,'Daily Workforce'!$J104="Y",IF(OR('Daily Schedule'!$A35=4,'Daily Schedule'!$A35=8),IF(OR(WEEKDAY('Daily Schedule'!$B$2,2)=1,WEEKDAY('Daily Schedule'!$B$2,2)=4,WEEKDAY('Daily Schedule'!$B$2,2)=5,WEEKDAY('Daily Schedule'!$B$2,2)=7),IFERROR(1*'Daily Workforce'!$K104&gt;=3,FALSE()),IFERROR(1*'Daily Workforce'!$K104&gt;=2,FALSE())),IF(AND('Daily Schedule'!$A35&gt;=46,'Daily Schedule'!$A35&lt;=52),'Daily Workforce'!$M104="Y",IFERROR(1*'Daily Workforce'!$P104&gt;=2,FALSE()))))),1,0)</f>
        <v>1</v>
      </c>
      <c r="DL31" s="1" t="n">
        <f aca="false">IF(AND('Daily Workforce'!$N105="Y",'Daily Workforce'!$B105&lt;&gt;"",COUNTIF('Daily Schedule'!$F$5:$F34,'Daily Workforce'!$B105)=0,IF('Daily Schedule'!$A35=45,'Daily Workforce'!$J105="Y",IF(OR('Daily Schedule'!$A35=4,'Daily Schedule'!$A35=8),IF(OR(WEEKDAY('Daily Schedule'!$B$2,2)=1,WEEKDAY('Daily Schedule'!$B$2,2)=4,WEEKDAY('Daily Schedule'!$B$2,2)=5,WEEKDAY('Daily Schedule'!$B$2,2)=7),IFERROR(1*'Daily Workforce'!$K105&gt;=3,FALSE()),IFERROR(1*'Daily Workforce'!$K105&gt;=2,FALSE())),IF(AND('Daily Schedule'!$A35&gt;=46,'Daily Schedule'!$A35&lt;=52),'Daily Workforce'!$M105="Y",IFERROR(1*'Daily Workforce'!$P105&gt;=2,FALSE()))))),1,0)</f>
        <v>0</v>
      </c>
      <c r="DM31" s="1" t="n">
        <f aca="false">IF(AND('Daily Workforce'!$N106="Y",'Daily Workforce'!$B106&lt;&gt;"",COUNTIF('Daily Schedule'!$F$5:$F34,'Daily Workforce'!$B106)=0,IF('Daily Schedule'!$A35=45,'Daily Workforce'!$J106="Y",IF(OR('Daily Schedule'!$A35=4,'Daily Schedule'!$A35=8),IF(OR(WEEKDAY('Daily Schedule'!$B$2,2)=1,WEEKDAY('Daily Schedule'!$B$2,2)=4,WEEKDAY('Daily Schedule'!$B$2,2)=5,WEEKDAY('Daily Schedule'!$B$2,2)=7),IFERROR(1*'Daily Workforce'!$K106&gt;=3,FALSE()),IFERROR(1*'Daily Workforce'!$K106&gt;=2,FALSE())),IF(AND('Daily Schedule'!$A35&gt;=46,'Daily Schedule'!$A35&lt;=52),'Daily Workforce'!$M106="Y",IFERROR(1*'Daily Workforce'!$P106&gt;=2,FALSE()))))),1,0)</f>
        <v>1</v>
      </c>
      <c r="DN31" s="1" t="n">
        <f aca="false">IF(AND('Daily Workforce'!$N107="Y",'Daily Workforce'!$B107&lt;&gt;"",COUNTIF('Daily Schedule'!$F$5:$F34,'Daily Workforce'!$B107)=0,IF('Daily Schedule'!$A35=45,'Daily Workforce'!$J107="Y",IF(OR('Daily Schedule'!$A35=4,'Daily Schedule'!$A35=8),IF(OR(WEEKDAY('Daily Schedule'!$B$2,2)=1,WEEKDAY('Daily Schedule'!$B$2,2)=4,WEEKDAY('Daily Schedule'!$B$2,2)=5,WEEKDAY('Daily Schedule'!$B$2,2)=7),IFERROR(1*'Daily Workforce'!$K107&gt;=3,FALSE()),IFERROR(1*'Daily Workforce'!$K107&gt;=2,FALSE())),IF(AND('Daily Schedule'!$A35&gt;=46,'Daily Schedule'!$A35&lt;=52),'Daily Workforce'!$M107="Y",IFERROR(1*'Daily Workforce'!$P107&gt;=2,FALSE()))))),1,0)</f>
        <v>1</v>
      </c>
      <c r="DO31" s="1" t="n">
        <f aca="false">IF(AND('Daily Workforce'!$N108="Y",'Daily Workforce'!$B108&lt;&gt;"",COUNTIF('Daily Schedule'!$F$5:$F34,'Daily Workforce'!$B108)=0,IF('Daily Schedule'!$A35=45,'Daily Workforce'!$J108="Y",IF(OR('Daily Schedule'!$A35=4,'Daily Schedule'!$A35=8),IF(OR(WEEKDAY('Daily Schedule'!$B$2,2)=1,WEEKDAY('Daily Schedule'!$B$2,2)=4,WEEKDAY('Daily Schedule'!$B$2,2)=5,WEEKDAY('Daily Schedule'!$B$2,2)=7),IFERROR(1*'Daily Workforce'!$K108&gt;=3,FALSE()),IFERROR(1*'Daily Workforce'!$K108&gt;=2,FALSE())),IF(AND('Daily Schedule'!$A35&gt;=46,'Daily Schedule'!$A35&lt;=52),'Daily Workforce'!$M108="Y",IFERROR(1*'Daily Workforce'!$P108&gt;=2,FALSE()))))),1,0)</f>
        <v>1</v>
      </c>
      <c r="DP31" s="1" t="n">
        <f aca="false">IF(AND('Daily Workforce'!$N109="Y",'Daily Workforce'!$B109&lt;&gt;"",COUNTIF('Daily Schedule'!$F$5:$F34,'Daily Workforce'!$B109)=0,IF('Daily Schedule'!$A35=45,'Daily Workforce'!$J109="Y",IF(OR('Daily Schedule'!$A35=4,'Daily Schedule'!$A35=8),IF(OR(WEEKDAY('Daily Schedule'!$B$2,2)=1,WEEKDAY('Daily Schedule'!$B$2,2)=4,WEEKDAY('Daily Schedule'!$B$2,2)=5,WEEKDAY('Daily Schedule'!$B$2,2)=7),IFERROR(1*'Daily Workforce'!$K109&gt;=3,FALSE()),IFERROR(1*'Daily Workforce'!$K109&gt;=2,FALSE())),IF(AND('Daily Schedule'!$A35&gt;=46,'Daily Schedule'!$A35&lt;=52),'Daily Workforce'!$M109="Y",IFERROR(1*'Daily Workforce'!$P109&gt;=2,FALSE()))))),1,0)</f>
        <v>1</v>
      </c>
      <c r="DQ31" s="1" t="n">
        <f aca="false">IF(AND('Daily Workforce'!$N110="Y",'Daily Workforce'!$B110&lt;&gt;"",COUNTIF('Daily Schedule'!$F$5:$F34,'Daily Workforce'!$B110)=0,IF('Daily Schedule'!$A35=45,'Daily Workforce'!$J110="Y",IF(OR('Daily Schedule'!$A35=4,'Daily Schedule'!$A35=8),IF(OR(WEEKDAY('Daily Schedule'!$B$2,2)=1,WEEKDAY('Daily Schedule'!$B$2,2)=4,WEEKDAY('Daily Schedule'!$B$2,2)=5,WEEKDAY('Daily Schedule'!$B$2,2)=7),IFERROR(1*'Daily Workforce'!$K110&gt;=3,FALSE()),IFERROR(1*'Daily Workforce'!$K110&gt;=2,FALSE())),IF(AND('Daily Schedule'!$A35&gt;=46,'Daily Schedule'!$A35&lt;=52),'Daily Workforce'!$M110="Y",IFERROR(1*'Daily Workforce'!$P110&gt;=2,FALSE()))))),1,0)</f>
        <v>1</v>
      </c>
      <c r="DR31" s="1" t="n">
        <f aca="false">IF(AND('Daily Workforce'!$N111="Y",'Daily Workforce'!$B111&lt;&gt;"",COUNTIF('Daily Schedule'!$F$5:$F34,'Daily Workforce'!$B111)=0,IF('Daily Schedule'!$A35=45,'Daily Workforce'!$J111="Y",IF(OR('Daily Schedule'!$A35=4,'Daily Schedule'!$A35=8),IF(OR(WEEKDAY('Daily Schedule'!$B$2,2)=1,WEEKDAY('Daily Schedule'!$B$2,2)=4,WEEKDAY('Daily Schedule'!$B$2,2)=5,WEEKDAY('Daily Schedule'!$B$2,2)=7),IFERROR(1*'Daily Workforce'!$K111&gt;=3,FALSE()),IFERROR(1*'Daily Workforce'!$K111&gt;=2,FALSE())),IF(AND('Daily Schedule'!$A35&gt;=46,'Daily Schedule'!$A35&lt;=52),'Daily Workforce'!$M111="Y",IFERROR(1*'Daily Workforce'!$P111&gt;=2,FALSE()))))),1,0)</f>
        <v>1</v>
      </c>
      <c r="DS31" s="1" t="n">
        <f aca="false">IF(AND('Daily Workforce'!$N112="Y",'Daily Workforce'!$B112&lt;&gt;"",COUNTIF('Daily Schedule'!$F$5:$F34,'Daily Workforce'!$B112)=0,IF('Daily Schedule'!$A35=45,'Daily Workforce'!$J112="Y",IF(OR('Daily Schedule'!$A35=4,'Daily Schedule'!$A35=8),IF(OR(WEEKDAY('Daily Schedule'!$B$2,2)=1,WEEKDAY('Daily Schedule'!$B$2,2)=4,WEEKDAY('Daily Schedule'!$B$2,2)=5,WEEKDAY('Daily Schedule'!$B$2,2)=7),IFERROR(1*'Daily Workforce'!$K112&gt;=3,FALSE()),IFERROR(1*'Daily Workforce'!$K112&gt;=2,FALSE())),IF(AND('Daily Schedule'!$A35&gt;=46,'Daily Schedule'!$A35&lt;=52),'Daily Workforce'!$M112="Y",IFERROR(1*'Daily Workforce'!$P112&gt;=2,FALSE()))))),1,0)</f>
        <v>1</v>
      </c>
      <c r="DT31" s="1" t="n">
        <f aca="false">IF(AND('Daily Workforce'!$N113="Y",'Daily Workforce'!$B113&lt;&gt;"",COUNTIF('Daily Schedule'!$F$5:$F34,'Daily Workforce'!$B113)=0,IF('Daily Schedule'!$A35=45,'Daily Workforce'!$J113="Y",IF(OR('Daily Schedule'!$A35=4,'Daily Schedule'!$A35=8),IF(OR(WEEKDAY('Daily Schedule'!$B$2,2)=1,WEEKDAY('Daily Schedule'!$B$2,2)=4,WEEKDAY('Daily Schedule'!$B$2,2)=5,WEEKDAY('Daily Schedule'!$B$2,2)=7),IFERROR(1*'Daily Workforce'!$K113&gt;=3,FALSE()),IFERROR(1*'Daily Workforce'!$K113&gt;=2,FALSE())),IF(AND('Daily Schedule'!$A35&gt;=46,'Daily Schedule'!$A35&lt;=52),'Daily Workforce'!$M113="Y",IFERROR(1*'Daily Workforce'!$P113&gt;=2,FALSE()))))),1,0)</f>
        <v>1</v>
      </c>
      <c r="DU31" s="1" t="n">
        <f aca="false">IF(AND('Daily Workforce'!$N114="Y",'Daily Workforce'!$B114&lt;&gt;"",COUNTIF('Daily Schedule'!$F$5:$F34,'Daily Workforce'!$B114)=0,IF('Daily Schedule'!$A35=45,'Daily Workforce'!$J114="Y",IF(OR('Daily Schedule'!$A35=4,'Daily Schedule'!$A35=8),IF(OR(WEEKDAY('Daily Schedule'!$B$2,2)=1,WEEKDAY('Daily Schedule'!$B$2,2)=4,WEEKDAY('Daily Schedule'!$B$2,2)=5,WEEKDAY('Daily Schedule'!$B$2,2)=7),IFERROR(1*'Daily Workforce'!$K114&gt;=3,FALSE()),IFERROR(1*'Daily Workforce'!$K114&gt;=2,FALSE())),IF(AND('Daily Schedule'!$A35&gt;=46,'Daily Schedule'!$A35&lt;=52),'Daily Workforce'!$M114="Y",IFERROR(1*'Daily Workforce'!$P114&gt;=2,FALSE()))))),1,0)</f>
        <v>1</v>
      </c>
      <c r="DV31" s="1" t="n">
        <f aca="false">IF(AND('Daily Workforce'!$N115="Y",'Daily Workforce'!$B115&lt;&gt;"",COUNTIF('Daily Schedule'!$F$5:$F34,'Daily Workforce'!$B115)=0,IF('Daily Schedule'!$A35=45,'Daily Workforce'!$J115="Y",IF(OR('Daily Schedule'!$A35=4,'Daily Schedule'!$A35=8),IF(OR(WEEKDAY('Daily Schedule'!$B$2,2)=1,WEEKDAY('Daily Schedule'!$B$2,2)=4,WEEKDAY('Daily Schedule'!$B$2,2)=5,WEEKDAY('Daily Schedule'!$B$2,2)=7),IFERROR(1*'Daily Workforce'!$K115&gt;=3,FALSE()),IFERROR(1*'Daily Workforce'!$K115&gt;=2,FALSE())),IF(AND('Daily Schedule'!$A35&gt;=46,'Daily Schedule'!$A35&lt;=52),'Daily Workforce'!$M115="Y",IFERROR(1*'Daily Workforce'!$P115&gt;=2,FALSE()))))),1,0)</f>
        <v>1</v>
      </c>
      <c r="DW31" s="1" t="n">
        <f aca="false">IF(AND('Daily Workforce'!$N116="Y",'Daily Workforce'!$B116&lt;&gt;"",COUNTIF('Daily Schedule'!$F$5:$F34,'Daily Workforce'!$B116)=0,IF('Daily Schedule'!$A35=45,'Daily Workforce'!$J116="Y",IF(OR('Daily Schedule'!$A35=4,'Daily Schedule'!$A35=8),IF(OR(WEEKDAY('Daily Schedule'!$B$2,2)=1,WEEKDAY('Daily Schedule'!$B$2,2)=4,WEEKDAY('Daily Schedule'!$B$2,2)=5,WEEKDAY('Daily Schedule'!$B$2,2)=7),IFERROR(1*'Daily Workforce'!$K116&gt;=3,FALSE()),IFERROR(1*'Daily Workforce'!$K116&gt;=2,FALSE())),IF(AND('Daily Schedule'!$A35&gt;=46,'Daily Schedule'!$A35&lt;=52),'Daily Workforce'!$M116="Y",IFERROR(1*'Daily Workforce'!$P116&gt;=2,FALSE()))))),1,0)</f>
        <v>1</v>
      </c>
      <c r="DX31" s="1" t="n">
        <f aca="false">IF(AND('Daily Workforce'!$N117="Y",'Daily Workforce'!$B117&lt;&gt;"",COUNTIF('Daily Schedule'!$F$5:$F34,'Daily Workforce'!$B117)=0,IF('Daily Schedule'!$A35=45,'Daily Workforce'!$J117="Y",IF(OR('Daily Schedule'!$A35=4,'Daily Schedule'!$A35=8),IF(OR(WEEKDAY('Daily Schedule'!$B$2,2)=1,WEEKDAY('Daily Schedule'!$B$2,2)=4,WEEKDAY('Daily Schedule'!$B$2,2)=5,WEEKDAY('Daily Schedule'!$B$2,2)=7),IFERROR(1*'Daily Workforce'!$K117&gt;=3,FALSE()),IFERROR(1*'Daily Workforce'!$K117&gt;=2,FALSE())),IF(AND('Daily Schedule'!$A35&gt;=46,'Daily Schedule'!$A35&lt;=52),'Daily Workforce'!$M117="Y",IFERROR(1*'Daily Workforce'!$P117&gt;=2,FALSE()))))),1,0)</f>
        <v>1</v>
      </c>
      <c r="DY31" s="1" t="n">
        <f aca="false">IF(AND('Daily Workforce'!$N118="Y",'Daily Workforce'!$B118&lt;&gt;"",COUNTIF('Daily Schedule'!$F$5:$F34,'Daily Workforce'!$B118)=0,IF('Daily Schedule'!$A35=45,'Daily Workforce'!$J118="Y",IF(OR('Daily Schedule'!$A35=4,'Daily Schedule'!$A35=8),IF(OR(WEEKDAY('Daily Schedule'!$B$2,2)=1,WEEKDAY('Daily Schedule'!$B$2,2)=4,WEEKDAY('Daily Schedule'!$B$2,2)=5,WEEKDAY('Daily Schedule'!$B$2,2)=7),IFERROR(1*'Daily Workforce'!$K118&gt;=3,FALSE()),IFERROR(1*'Daily Workforce'!$K118&gt;=2,FALSE())),IF(AND('Daily Schedule'!$A35&gt;=46,'Daily Schedule'!$A35&lt;=52),'Daily Workforce'!$M118="Y",IFERROR(1*'Daily Workforce'!$P118&gt;=2,FALSE()))))),1,0)</f>
        <v>0</v>
      </c>
      <c r="DZ31" s="1" t="n">
        <f aca="false">IF(AND('Daily Workforce'!$N119="Y",'Daily Workforce'!$B119&lt;&gt;"",COUNTIF('Daily Schedule'!$F$5:$F34,'Daily Workforce'!$B119)=0,IF('Daily Schedule'!$A35=45,'Daily Workforce'!$J119="Y",IF(OR('Daily Schedule'!$A35=4,'Daily Schedule'!$A35=8),IF(OR(WEEKDAY('Daily Schedule'!$B$2,2)=1,WEEKDAY('Daily Schedule'!$B$2,2)=4,WEEKDAY('Daily Schedule'!$B$2,2)=5,WEEKDAY('Daily Schedule'!$B$2,2)=7),IFERROR(1*'Daily Workforce'!$K119&gt;=3,FALSE()),IFERROR(1*'Daily Workforce'!$K119&gt;=2,FALSE())),IF(AND('Daily Schedule'!$A35&gt;=46,'Daily Schedule'!$A35&lt;=52),'Daily Workforce'!$M119="Y",IFERROR(1*'Daily Workforce'!$P119&gt;=2,FALSE()))))),1,0)</f>
        <v>0</v>
      </c>
      <c r="EA31" s="1" t="n">
        <f aca="false">IF(AND('Daily Workforce'!$N120="Y",'Daily Workforce'!$B120&lt;&gt;"",COUNTIF('Daily Schedule'!$F$5:$F34,'Daily Workforce'!$B120)=0,IF('Daily Schedule'!$A35=45,'Daily Workforce'!$J120="Y",IF(OR('Daily Schedule'!$A35=4,'Daily Schedule'!$A35=8),IF(OR(WEEKDAY('Daily Schedule'!$B$2,2)=1,WEEKDAY('Daily Schedule'!$B$2,2)=4,WEEKDAY('Daily Schedule'!$B$2,2)=5,WEEKDAY('Daily Schedule'!$B$2,2)=7),IFERROR(1*'Daily Workforce'!$K120&gt;=3,FALSE()),IFERROR(1*'Daily Workforce'!$K120&gt;=2,FALSE())),IF(AND('Daily Schedule'!$A35&gt;=46,'Daily Schedule'!$A35&lt;=52),'Daily Workforce'!$M120="Y",IFERROR(1*'Daily Workforce'!$P120&gt;=2,FALSE()))))),1,0)</f>
        <v>0</v>
      </c>
      <c r="EB31" s="1" t="n">
        <f aca="false">IF(AND('Daily Workforce'!$N121="Y",'Daily Workforce'!$B121&lt;&gt;"",COUNTIF('Daily Schedule'!$F$5:$F34,'Daily Workforce'!$B121)=0,IF('Daily Schedule'!$A35=45,'Daily Workforce'!$J121="Y",IF(OR('Daily Schedule'!$A35=4,'Daily Schedule'!$A35=8),IF(OR(WEEKDAY('Daily Schedule'!$B$2,2)=1,WEEKDAY('Daily Schedule'!$B$2,2)=4,WEEKDAY('Daily Schedule'!$B$2,2)=5,WEEKDAY('Daily Schedule'!$B$2,2)=7),IFERROR(1*'Daily Workforce'!$K121&gt;=3,FALSE()),IFERROR(1*'Daily Workforce'!$K121&gt;=2,FALSE())),IF(AND('Daily Schedule'!$A35&gt;=46,'Daily Schedule'!$A35&lt;=52),'Daily Workforce'!$M121="Y",IFERROR(1*'Daily Workforce'!$P121&gt;=2,FALSE()))))),1,0)</f>
        <v>0</v>
      </c>
      <c r="EC31" s="1" t="n">
        <f aca="false">IF(AND('Daily Workforce'!$N122="Y",'Daily Workforce'!$B122&lt;&gt;"",COUNTIF('Daily Schedule'!$F$5:$F34,'Daily Workforce'!$B122)=0,IF('Daily Schedule'!$A35=45,'Daily Workforce'!$J122="Y",IF(OR('Daily Schedule'!$A35=4,'Daily Schedule'!$A35=8),IF(OR(WEEKDAY('Daily Schedule'!$B$2,2)=1,WEEKDAY('Daily Schedule'!$B$2,2)=4,WEEKDAY('Daily Schedule'!$B$2,2)=5,WEEKDAY('Daily Schedule'!$B$2,2)=7),IFERROR(1*'Daily Workforce'!$K122&gt;=3,FALSE()),IFERROR(1*'Daily Workforce'!$K122&gt;=2,FALSE())),IF(AND('Daily Schedule'!$A35&gt;=46,'Daily Schedule'!$A35&lt;=52),'Daily Workforce'!$M122="Y",IFERROR(1*'Daily Workforce'!$P122&gt;=2,FALSE()))))),1,0)</f>
        <v>0</v>
      </c>
      <c r="ED31" s="1" t="n">
        <f aca="false">IF(AND('Daily Workforce'!$N123="Y",'Daily Workforce'!$B123&lt;&gt;"",COUNTIF('Daily Schedule'!$F$5:$F34,'Daily Workforce'!$B123)=0,IF('Daily Schedule'!$A35=45,'Daily Workforce'!$J123="Y",IF(OR('Daily Schedule'!$A35=4,'Daily Schedule'!$A35=8),IF(OR(WEEKDAY('Daily Schedule'!$B$2,2)=1,WEEKDAY('Daily Schedule'!$B$2,2)=4,WEEKDAY('Daily Schedule'!$B$2,2)=5,WEEKDAY('Daily Schedule'!$B$2,2)=7),IFERROR(1*'Daily Workforce'!$K123&gt;=3,FALSE()),IFERROR(1*'Daily Workforce'!$K123&gt;=2,FALSE())),IF(AND('Daily Schedule'!$A35&gt;=46,'Daily Schedule'!$A35&lt;=52),'Daily Workforce'!$M123="Y",IFERROR(1*'Daily Workforce'!$P123&gt;=2,FALSE()))))),1,0)</f>
        <v>0</v>
      </c>
      <c r="EE31" s="1" t="n">
        <f aca="false">IF(AND('Daily Workforce'!$N124="Y",'Daily Workforce'!$B124&lt;&gt;"",COUNTIF('Daily Schedule'!$F$5:$F34,'Daily Workforce'!$B124)=0,IF('Daily Schedule'!$A35=45,'Daily Workforce'!$J124="Y",IF(OR('Daily Schedule'!$A35=4,'Daily Schedule'!$A35=8),IF(OR(WEEKDAY('Daily Schedule'!$B$2,2)=1,WEEKDAY('Daily Schedule'!$B$2,2)=4,WEEKDAY('Daily Schedule'!$B$2,2)=5,WEEKDAY('Daily Schedule'!$B$2,2)=7),IFERROR(1*'Daily Workforce'!$K124&gt;=3,FALSE()),IFERROR(1*'Daily Workforce'!$K124&gt;=2,FALSE())),IF(AND('Daily Schedule'!$A35&gt;=46,'Daily Schedule'!$A35&lt;=52),'Daily Workforce'!$M124="Y",IFERROR(1*'Daily Workforce'!$P124&gt;=2,FALSE()))))),1,0)</f>
        <v>0</v>
      </c>
      <c r="EF31" s="1" t="n">
        <f aca="false">IF(AND('Daily Workforce'!$N125="Y",'Daily Workforce'!$B125&lt;&gt;"",COUNTIF('Daily Schedule'!$F$5:$F34,'Daily Workforce'!$B125)=0,IF('Daily Schedule'!$A35=45,'Daily Workforce'!$J125="Y",IF(OR('Daily Schedule'!$A35=4,'Daily Schedule'!$A35=8),IF(OR(WEEKDAY('Daily Schedule'!$B$2,2)=1,WEEKDAY('Daily Schedule'!$B$2,2)=4,WEEKDAY('Daily Schedule'!$B$2,2)=5,WEEKDAY('Daily Schedule'!$B$2,2)=7),IFERROR(1*'Daily Workforce'!$K125&gt;=3,FALSE()),IFERROR(1*'Daily Workforce'!$K125&gt;=2,FALSE())),IF(AND('Daily Schedule'!$A35&gt;=46,'Daily Schedule'!$A35&lt;=52),'Daily Workforce'!$M125="Y",IFERROR(1*'Daily Workforce'!$P125&gt;=2,FALSE()))))),1,0)</f>
        <v>0</v>
      </c>
      <c r="EG31" s="1" t="n">
        <f aca="false">IF(AND('Daily Workforce'!$N126="Y",'Daily Workforce'!$B126&lt;&gt;"",COUNTIF('Daily Schedule'!$F$5:$F34,'Daily Workforce'!$B126)=0,IF('Daily Schedule'!$A35=45,'Daily Workforce'!$J126="Y",IF(OR('Daily Schedule'!$A35=4,'Daily Schedule'!$A35=8),IF(OR(WEEKDAY('Daily Schedule'!$B$2,2)=1,WEEKDAY('Daily Schedule'!$B$2,2)=4,WEEKDAY('Daily Schedule'!$B$2,2)=5,WEEKDAY('Daily Schedule'!$B$2,2)=7),IFERROR(1*'Daily Workforce'!$K126&gt;=3,FALSE()),IFERROR(1*'Daily Workforce'!$K126&gt;=2,FALSE())),IF(AND('Daily Schedule'!$A35&gt;=46,'Daily Schedule'!$A35&lt;=52),'Daily Workforce'!$M126="Y",IFERROR(1*'Daily Workforce'!$P126&gt;=2,FALSE()))))),1,0)</f>
        <v>0</v>
      </c>
      <c r="EH31" s="1" t="n">
        <f aca="false">IF(AND('Daily Workforce'!$N127="Y",'Daily Workforce'!$B127&lt;&gt;"",COUNTIF('Daily Schedule'!$F$5:$F34,'Daily Workforce'!$B127)=0,IF('Daily Schedule'!$A35=45,'Daily Workforce'!$J127="Y",IF(OR('Daily Schedule'!$A35=4,'Daily Schedule'!$A35=8),IF(OR(WEEKDAY('Daily Schedule'!$B$2,2)=1,WEEKDAY('Daily Schedule'!$B$2,2)=4,WEEKDAY('Daily Schedule'!$B$2,2)=5,WEEKDAY('Daily Schedule'!$B$2,2)=7),IFERROR(1*'Daily Workforce'!$K127&gt;=3,FALSE()),IFERROR(1*'Daily Workforce'!$K127&gt;=2,FALSE())),IF(AND('Daily Schedule'!$A35&gt;=46,'Daily Schedule'!$A35&lt;=52),'Daily Workforce'!$M127="Y",IFERROR(1*'Daily Workforce'!$P127&gt;=2,FALSE()))))),1,0)</f>
        <v>0</v>
      </c>
      <c r="EI31" s="1" t="n">
        <f aca="false">IF(AND('Daily Workforce'!$N128="Y",'Daily Workforce'!$B128&lt;&gt;"",COUNTIF('Daily Schedule'!$F$5:$F34,'Daily Workforce'!$B128)=0,IF('Daily Schedule'!$A35=45,'Daily Workforce'!$J128="Y",IF(OR('Daily Schedule'!$A35=4,'Daily Schedule'!$A35=8),IF(OR(WEEKDAY('Daily Schedule'!$B$2,2)=1,WEEKDAY('Daily Schedule'!$B$2,2)=4,WEEKDAY('Daily Schedule'!$B$2,2)=5,WEEKDAY('Daily Schedule'!$B$2,2)=7),IFERROR(1*'Daily Workforce'!$K128&gt;=3,FALSE()),IFERROR(1*'Daily Workforce'!$K128&gt;=2,FALSE())),IF(AND('Daily Schedule'!$A35&gt;=46,'Daily Schedule'!$A35&lt;=52),'Daily Workforce'!$M128="Y",IFERROR(1*'Daily Workforce'!$P128&gt;=2,FALSE()))))),1,0)</f>
        <v>0</v>
      </c>
      <c r="EJ31" s="1" t="n">
        <f aca="false">IF(AND('Daily Workforce'!$N129="Y",'Daily Workforce'!$B129&lt;&gt;"",COUNTIF('Daily Schedule'!$F$5:$F34,'Daily Workforce'!$B129)=0,IF('Daily Schedule'!$A35=45,'Daily Workforce'!$J129="Y",IF(OR('Daily Schedule'!$A35=4,'Daily Schedule'!$A35=8),IF(OR(WEEKDAY('Daily Schedule'!$B$2,2)=1,WEEKDAY('Daily Schedule'!$B$2,2)=4,WEEKDAY('Daily Schedule'!$B$2,2)=5,WEEKDAY('Daily Schedule'!$B$2,2)=7),IFERROR(1*'Daily Workforce'!$K129&gt;=3,FALSE()),IFERROR(1*'Daily Workforce'!$K129&gt;=2,FALSE())),IF(AND('Daily Schedule'!$A35&gt;=46,'Daily Schedule'!$A35&lt;=52),'Daily Workforce'!$M129="Y",IFERROR(1*'Daily Workforce'!$P129&gt;=2,FALSE()))))),1,0)</f>
        <v>0</v>
      </c>
      <c r="EK31" s="1" t="n">
        <f aca="false">IF(AND('Daily Workforce'!$N130="Y",'Daily Workforce'!$B130&lt;&gt;"",COUNTIF('Daily Schedule'!$F$5:$F34,'Daily Workforce'!$B130)=0,IF('Daily Schedule'!$A35=45,'Daily Workforce'!$J130="Y",IF(OR('Daily Schedule'!$A35=4,'Daily Schedule'!$A35=8),IF(OR(WEEKDAY('Daily Schedule'!$B$2,2)=1,WEEKDAY('Daily Schedule'!$B$2,2)=4,WEEKDAY('Daily Schedule'!$B$2,2)=5,WEEKDAY('Daily Schedule'!$B$2,2)=7),IFERROR(1*'Daily Workforce'!$K130&gt;=3,FALSE()),IFERROR(1*'Daily Workforce'!$K130&gt;=2,FALSE())),IF(AND('Daily Schedule'!$A35&gt;=46,'Daily Schedule'!$A35&lt;=52),'Daily Workforce'!$M130="Y",IFERROR(1*'Daily Workforce'!$P130&gt;=2,FALSE()))))),1,0)</f>
        <v>0</v>
      </c>
      <c r="EL31" s="1" t="n">
        <f aca="false">IF(AND('Daily Workforce'!$N131="Y",'Daily Workforce'!$B131&lt;&gt;"",COUNTIF('Daily Schedule'!$F$5:$F34,'Daily Workforce'!$B131)=0,IF('Daily Schedule'!$A35=45,'Daily Workforce'!$J131="Y",IF(OR('Daily Schedule'!$A35=4,'Daily Schedule'!$A35=8),IF(OR(WEEKDAY('Daily Schedule'!$B$2,2)=1,WEEKDAY('Daily Schedule'!$B$2,2)=4,WEEKDAY('Daily Schedule'!$B$2,2)=5,WEEKDAY('Daily Schedule'!$B$2,2)=7),IFERROR(1*'Daily Workforce'!$K131&gt;=3,FALSE()),IFERROR(1*'Daily Workforce'!$K131&gt;=2,FALSE())),IF(AND('Daily Schedule'!$A35&gt;=46,'Daily Schedule'!$A35&lt;=52),'Daily Workforce'!$M131="Y",IFERROR(1*'Daily Workforce'!$P131&gt;=2,FALSE()))))),1,0)</f>
        <v>0</v>
      </c>
      <c r="EM31" s="1" t="n">
        <f aca="false">IF(AND('Daily Workforce'!$N132="Y",'Daily Workforce'!$B132&lt;&gt;"",COUNTIF('Daily Schedule'!$F$5:$F34,'Daily Workforce'!$B132)=0,IF('Daily Schedule'!$A35=45,'Daily Workforce'!$J132="Y",IF(OR('Daily Schedule'!$A35=4,'Daily Schedule'!$A35=8),IF(OR(WEEKDAY('Daily Schedule'!$B$2,2)=1,WEEKDAY('Daily Schedule'!$B$2,2)=4,WEEKDAY('Daily Schedule'!$B$2,2)=5,WEEKDAY('Daily Schedule'!$B$2,2)=7),IFERROR(1*'Daily Workforce'!$K132&gt;=3,FALSE()),IFERROR(1*'Daily Workforce'!$K132&gt;=2,FALSE())),IF(AND('Daily Schedule'!$A35&gt;=46,'Daily Schedule'!$A35&lt;=52),'Daily Workforce'!$M132="Y",IFERROR(1*'Daily Workforce'!$P132&gt;=2,FALSE()))))),1,0)</f>
        <v>0</v>
      </c>
      <c r="EN31" s="1" t="n">
        <f aca="false">IF(AND('Daily Workforce'!$N133="Y",'Daily Workforce'!$B133&lt;&gt;"",COUNTIF('Daily Schedule'!$F$5:$F34,'Daily Workforce'!$B133)=0,IF('Daily Schedule'!$A35=45,'Daily Workforce'!$J133="Y",IF(OR('Daily Schedule'!$A35=4,'Daily Schedule'!$A35=8),IF(OR(WEEKDAY('Daily Schedule'!$B$2,2)=1,WEEKDAY('Daily Schedule'!$B$2,2)=4,WEEKDAY('Daily Schedule'!$B$2,2)=5,WEEKDAY('Daily Schedule'!$B$2,2)=7),IFERROR(1*'Daily Workforce'!$K133&gt;=3,FALSE()),IFERROR(1*'Daily Workforce'!$K133&gt;=2,FALSE())),IF(AND('Daily Schedule'!$A35&gt;=46,'Daily Schedule'!$A35&lt;=52),'Daily Workforce'!$M133="Y",IFERROR(1*'Daily Workforce'!$P133&gt;=2,FALSE()))))),1,0)</f>
        <v>0</v>
      </c>
      <c r="EO31" s="1" t="n">
        <f aca="false">IF(AND('Daily Workforce'!$N134="Y",'Daily Workforce'!$B134&lt;&gt;"",COUNTIF('Daily Schedule'!$F$5:$F34,'Daily Workforce'!$B134)=0,IF('Daily Schedule'!$A35=45,'Daily Workforce'!$J134="Y",IF(OR('Daily Schedule'!$A35=4,'Daily Schedule'!$A35=8),IF(OR(WEEKDAY('Daily Schedule'!$B$2,2)=1,WEEKDAY('Daily Schedule'!$B$2,2)=4,WEEKDAY('Daily Schedule'!$B$2,2)=5,WEEKDAY('Daily Schedule'!$B$2,2)=7),IFERROR(1*'Daily Workforce'!$K134&gt;=3,FALSE()),IFERROR(1*'Daily Workforce'!$K134&gt;=2,FALSE())),IF(AND('Daily Schedule'!$A35&gt;=46,'Daily Schedule'!$A35&lt;=52),'Daily Workforce'!$M134="Y",IFERROR(1*'Daily Workforce'!$P134&gt;=2,FALSE()))))),1,0)</f>
        <v>0</v>
      </c>
      <c r="EP31" s="1" t="n">
        <f aca="false">IF(AND('Daily Workforce'!$N135="Y",'Daily Workforce'!$B135&lt;&gt;"",COUNTIF('Daily Schedule'!$F$5:$F34,'Daily Workforce'!$B135)=0,IF('Daily Schedule'!$A35=45,'Daily Workforce'!$J135="Y",IF(OR('Daily Schedule'!$A35=4,'Daily Schedule'!$A35=8),IF(OR(WEEKDAY('Daily Schedule'!$B$2,2)=1,WEEKDAY('Daily Schedule'!$B$2,2)=4,WEEKDAY('Daily Schedule'!$B$2,2)=5,WEEKDAY('Daily Schedule'!$B$2,2)=7),IFERROR(1*'Daily Workforce'!$K135&gt;=3,FALSE()),IFERROR(1*'Daily Workforce'!$K135&gt;=2,FALSE())),IF(AND('Daily Schedule'!$A35&gt;=46,'Daily Schedule'!$A35&lt;=52),'Daily Workforce'!$M135="Y",IFERROR(1*'Daily Workforce'!$P135&gt;=2,FALSE()))))),1,0)</f>
        <v>0</v>
      </c>
      <c r="EQ31" s="1" t="n">
        <f aca="false">IF(AND('Daily Workforce'!$N136="Y",'Daily Workforce'!$B136&lt;&gt;"",COUNTIF('Daily Schedule'!$F$5:$F34,'Daily Workforce'!$B136)=0,IF('Daily Schedule'!$A35=45,'Daily Workforce'!$J136="Y",IF(OR('Daily Schedule'!$A35=4,'Daily Schedule'!$A35=8),IF(OR(WEEKDAY('Daily Schedule'!$B$2,2)=1,WEEKDAY('Daily Schedule'!$B$2,2)=4,WEEKDAY('Daily Schedule'!$B$2,2)=5,WEEKDAY('Daily Schedule'!$B$2,2)=7),IFERROR(1*'Daily Workforce'!$K136&gt;=3,FALSE()),IFERROR(1*'Daily Workforce'!$K136&gt;=2,FALSE())),IF(AND('Daily Schedule'!$A35&gt;=46,'Daily Schedule'!$A35&lt;=52),'Daily Workforce'!$M136="Y",IFERROR(1*'Daily Workforce'!$P136&gt;=2,FALSE()))))),1,0)</f>
        <v>0</v>
      </c>
      <c r="ER31" s="1" t="n">
        <f aca="false">IF(AND('Daily Workforce'!$N137="Y",'Daily Workforce'!$B137&lt;&gt;"",COUNTIF('Daily Schedule'!$F$5:$F34,'Daily Workforce'!$B137)=0,IF('Daily Schedule'!$A35=45,'Daily Workforce'!$J137="Y",IF(OR('Daily Schedule'!$A35=4,'Daily Schedule'!$A35=8),IF(OR(WEEKDAY('Daily Schedule'!$B$2,2)=1,WEEKDAY('Daily Schedule'!$B$2,2)=4,WEEKDAY('Daily Schedule'!$B$2,2)=5,WEEKDAY('Daily Schedule'!$B$2,2)=7),IFERROR(1*'Daily Workforce'!$K137&gt;=3,FALSE()),IFERROR(1*'Daily Workforce'!$K137&gt;=2,FALSE())),IF(AND('Daily Schedule'!$A35&gt;=46,'Daily Schedule'!$A35&lt;=52),'Daily Workforce'!$M137="Y",IFERROR(1*'Daily Workforce'!$P137&gt;=2,FALSE()))))),1,0)</f>
        <v>0</v>
      </c>
      <c r="ES31" s="1" t="n">
        <f aca="false">IF(AND('Daily Workforce'!$N138="Y",'Daily Workforce'!$B138&lt;&gt;"",COUNTIF('Daily Schedule'!$F$5:$F34,'Daily Workforce'!$B138)=0,IF('Daily Schedule'!$A35=45,'Daily Workforce'!$J138="Y",IF(OR('Daily Schedule'!$A35=4,'Daily Schedule'!$A35=8),IF(OR(WEEKDAY('Daily Schedule'!$B$2,2)=1,WEEKDAY('Daily Schedule'!$B$2,2)=4,WEEKDAY('Daily Schedule'!$B$2,2)=5,WEEKDAY('Daily Schedule'!$B$2,2)=7),IFERROR(1*'Daily Workforce'!$K138&gt;=3,FALSE()),IFERROR(1*'Daily Workforce'!$K138&gt;=2,FALSE())),IF(AND('Daily Schedule'!$A35&gt;=46,'Daily Schedule'!$A35&lt;=52),'Daily Workforce'!$M138="Y",IFERROR(1*'Daily Workforce'!$P138&gt;=2,FALSE()))))),1,0)</f>
        <v>0</v>
      </c>
      <c r="ET31" s="1" t="n">
        <f aca="false">IF(AND('Daily Workforce'!$N139="Y",'Daily Workforce'!$B139&lt;&gt;"",COUNTIF('Daily Schedule'!$F$5:$F34,'Daily Workforce'!$B139)=0,IF('Daily Schedule'!$A35=45,'Daily Workforce'!$J139="Y",IF(OR('Daily Schedule'!$A35=4,'Daily Schedule'!$A35=8),IF(OR(WEEKDAY('Daily Schedule'!$B$2,2)=1,WEEKDAY('Daily Schedule'!$B$2,2)=4,WEEKDAY('Daily Schedule'!$B$2,2)=5,WEEKDAY('Daily Schedule'!$B$2,2)=7),IFERROR(1*'Daily Workforce'!$K139&gt;=3,FALSE()),IFERROR(1*'Daily Workforce'!$K139&gt;=2,FALSE())),IF(AND('Daily Schedule'!$A35&gt;=46,'Daily Schedule'!$A35&lt;=52),'Daily Workforce'!$M139="Y",IFERROR(1*'Daily Workforce'!$P139&gt;=2,FALSE()))))),1,0)</f>
        <v>0</v>
      </c>
      <c r="EU31" s="1" t="n">
        <f aca="false">IF(AND('Daily Workforce'!$N140="Y",'Daily Workforce'!$B140&lt;&gt;"",COUNTIF('Daily Schedule'!$F$5:$F34,'Daily Workforce'!$B140)=0,IF('Daily Schedule'!$A35=45,'Daily Workforce'!$J140="Y",IF(OR('Daily Schedule'!$A35=4,'Daily Schedule'!$A35=8),IF(OR(WEEKDAY('Daily Schedule'!$B$2,2)=1,WEEKDAY('Daily Schedule'!$B$2,2)=4,WEEKDAY('Daily Schedule'!$B$2,2)=5,WEEKDAY('Daily Schedule'!$B$2,2)=7),IFERROR(1*'Daily Workforce'!$K140&gt;=3,FALSE()),IFERROR(1*'Daily Workforce'!$K140&gt;=2,FALSE())),IF(AND('Daily Schedule'!$A35&gt;=46,'Daily Schedule'!$A35&lt;=52),'Daily Workforce'!$M140="Y",IFERROR(1*'Daily Workforce'!$P140&gt;=2,FALSE()))))),1,0)</f>
        <v>0</v>
      </c>
      <c r="EV31" s="1" t="n">
        <f aca="false">IF(AND('Daily Workforce'!$N141="Y",'Daily Workforce'!$B141&lt;&gt;"",COUNTIF('Daily Schedule'!$F$5:$F34,'Daily Workforce'!$B141)=0,IF('Daily Schedule'!$A35=45,'Daily Workforce'!$J141="Y",IF(OR('Daily Schedule'!$A35=4,'Daily Schedule'!$A35=8),IF(OR(WEEKDAY('Daily Schedule'!$B$2,2)=1,WEEKDAY('Daily Schedule'!$B$2,2)=4,WEEKDAY('Daily Schedule'!$B$2,2)=5,WEEKDAY('Daily Schedule'!$B$2,2)=7),IFERROR(1*'Daily Workforce'!$K141&gt;=3,FALSE()),IFERROR(1*'Daily Workforce'!$K141&gt;=2,FALSE())),IF(AND('Daily Schedule'!$A35&gt;=46,'Daily Schedule'!$A35&lt;=52),'Daily Workforce'!$M141="Y",IFERROR(1*'Daily Workforce'!$P141&gt;=2,FALSE()))))),1,0)</f>
        <v>0</v>
      </c>
      <c r="EW31" s="1" t="n">
        <f aca="false">IF(AND('Daily Workforce'!$N142="Y",'Daily Workforce'!$B142&lt;&gt;"",COUNTIF('Daily Schedule'!$F$5:$F34,'Daily Workforce'!$B142)=0,IF('Daily Schedule'!$A35=45,'Daily Workforce'!$J142="Y",IF(OR('Daily Schedule'!$A35=4,'Daily Schedule'!$A35=8),IF(OR(WEEKDAY('Daily Schedule'!$B$2,2)=1,WEEKDAY('Daily Schedule'!$B$2,2)=4,WEEKDAY('Daily Schedule'!$B$2,2)=5,WEEKDAY('Daily Schedule'!$B$2,2)=7),IFERROR(1*'Daily Workforce'!$K142&gt;=3,FALSE()),IFERROR(1*'Daily Workforce'!$K142&gt;=2,FALSE())),IF(AND('Daily Schedule'!$A35&gt;=46,'Daily Schedule'!$A35&lt;=52),'Daily Workforce'!$M142="Y",IFERROR(1*'Daily Workforce'!$P142&gt;=2,FALSE()))))),1,0)</f>
        <v>0</v>
      </c>
      <c r="EX31" s="1" t="n">
        <f aca="false">IF(AND('Daily Workforce'!$N143="Y",'Daily Workforce'!$B143&lt;&gt;"",COUNTIF('Daily Schedule'!$F$5:$F34,'Daily Workforce'!$B143)=0,IF('Daily Schedule'!$A35=45,'Daily Workforce'!$J143="Y",IF(OR('Daily Schedule'!$A35=4,'Daily Schedule'!$A35=8),IF(OR(WEEKDAY('Daily Schedule'!$B$2,2)=1,WEEKDAY('Daily Schedule'!$B$2,2)=4,WEEKDAY('Daily Schedule'!$B$2,2)=5,WEEKDAY('Daily Schedule'!$B$2,2)=7),IFERROR(1*'Daily Workforce'!$K143&gt;=3,FALSE()),IFERROR(1*'Daily Workforce'!$K143&gt;=2,FALSE())),IF(AND('Daily Schedule'!$A35&gt;=46,'Daily Schedule'!$A35&lt;=52),'Daily Workforce'!$M143="Y",IFERROR(1*'Daily Workforce'!$P143&gt;=2,FALSE()))))),1,0)</f>
        <v>0</v>
      </c>
      <c r="EY31" s="1" t="n">
        <f aca="false">IF(AND('Daily Workforce'!$N144="Y",'Daily Workforce'!$B144&lt;&gt;"",COUNTIF('Daily Schedule'!$F$5:$F34,'Daily Workforce'!$B144)=0,IF('Daily Schedule'!$A35=45,'Daily Workforce'!$J144="Y",IF(OR('Daily Schedule'!$A35=4,'Daily Schedule'!$A35=8),IF(OR(WEEKDAY('Daily Schedule'!$B$2,2)=1,WEEKDAY('Daily Schedule'!$B$2,2)=4,WEEKDAY('Daily Schedule'!$B$2,2)=5,WEEKDAY('Daily Schedule'!$B$2,2)=7),IFERROR(1*'Daily Workforce'!$K144&gt;=3,FALSE()),IFERROR(1*'Daily Workforce'!$K144&gt;=2,FALSE())),IF(AND('Daily Schedule'!$A35&gt;=46,'Daily Schedule'!$A35&lt;=52),'Daily Workforce'!$M144="Y",IFERROR(1*'Daily Workforce'!$P144&gt;=2,FALSE()))))),1,0)</f>
        <v>0</v>
      </c>
      <c r="EZ31" s="1" t="n">
        <f aca="false">IF(AND('Daily Workforce'!$N145="Y",'Daily Workforce'!$B145&lt;&gt;"",COUNTIF('Daily Schedule'!$F$5:$F34,'Daily Workforce'!$B145)=0,IF('Daily Schedule'!$A35=45,'Daily Workforce'!$J145="Y",IF(OR('Daily Schedule'!$A35=4,'Daily Schedule'!$A35=8),IF(OR(WEEKDAY('Daily Schedule'!$B$2,2)=1,WEEKDAY('Daily Schedule'!$B$2,2)=4,WEEKDAY('Daily Schedule'!$B$2,2)=5,WEEKDAY('Daily Schedule'!$B$2,2)=7),IFERROR(1*'Daily Workforce'!$K145&gt;=3,FALSE()),IFERROR(1*'Daily Workforce'!$K145&gt;=2,FALSE())),IF(AND('Daily Schedule'!$A35&gt;=46,'Daily Schedule'!$A35&lt;=52),'Daily Workforce'!$M145="Y",IFERROR(1*'Daily Workforce'!$P145&gt;=2,FALSE()))))),1,0)</f>
        <v>0</v>
      </c>
      <c r="FA31" s="1" t="n">
        <f aca="false">IF(AND('Daily Workforce'!$N146="Y",'Daily Workforce'!$B146&lt;&gt;"",COUNTIF('Daily Schedule'!$F$5:$F34,'Daily Workforce'!$B146)=0,IF('Daily Schedule'!$A35=45,'Daily Workforce'!$J146="Y",IF(OR('Daily Schedule'!$A35=4,'Daily Schedule'!$A35=8),IF(OR(WEEKDAY('Daily Schedule'!$B$2,2)=1,WEEKDAY('Daily Schedule'!$B$2,2)=4,WEEKDAY('Daily Schedule'!$B$2,2)=5,WEEKDAY('Daily Schedule'!$B$2,2)=7),IFERROR(1*'Daily Workforce'!$K146&gt;=3,FALSE()),IFERROR(1*'Daily Workforce'!$K146&gt;=2,FALSE())),IF(AND('Daily Schedule'!$A35&gt;=46,'Daily Schedule'!$A35&lt;=52),'Daily Workforce'!$M146="Y",IFERROR(1*'Daily Workforce'!$P146&gt;=2,FALSE()))))),1,0)</f>
        <v>0</v>
      </c>
      <c r="FB31" s="1" t="n">
        <f aca="false">IF(AND('Daily Workforce'!$N147="Y",'Daily Workforce'!$B147&lt;&gt;"",COUNTIF('Daily Schedule'!$F$5:$F34,'Daily Workforce'!$B147)=0,IF('Daily Schedule'!$A35=45,'Daily Workforce'!$J147="Y",IF(OR('Daily Schedule'!$A35=4,'Daily Schedule'!$A35=8),IF(OR(WEEKDAY('Daily Schedule'!$B$2,2)=1,WEEKDAY('Daily Schedule'!$B$2,2)=4,WEEKDAY('Daily Schedule'!$B$2,2)=5,WEEKDAY('Daily Schedule'!$B$2,2)=7),IFERROR(1*'Daily Workforce'!$K147&gt;=3,FALSE()),IFERROR(1*'Daily Workforce'!$K147&gt;=2,FALSE())),IF(AND('Daily Schedule'!$A35&gt;=46,'Daily Schedule'!$A35&lt;=52),'Daily Workforce'!$M147="Y",IFERROR(1*'Daily Workforce'!$P147&gt;=2,FALSE()))))),1,0)</f>
        <v>0</v>
      </c>
      <c r="FC31" s="1" t="n">
        <f aca="false">IF(AND('Daily Workforce'!$N148="Y",'Daily Workforce'!$B148&lt;&gt;"",COUNTIF('Daily Schedule'!$F$5:$F34,'Daily Workforce'!$B148)=0,IF('Daily Schedule'!$A35=45,'Daily Workforce'!$J148="Y",IF(OR('Daily Schedule'!$A35=4,'Daily Schedule'!$A35=8),IF(OR(WEEKDAY('Daily Schedule'!$B$2,2)=1,WEEKDAY('Daily Schedule'!$B$2,2)=4,WEEKDAY('Daily Schedule'!$B$2,2)=5,WEEKDAY('Daily Schedule'!$B$2,2)=7),IFERROR(1*'Daily Workforce'!$K148&gt;=3,FALSE()),IFERROR(1*'Daily Workforce'!$K148&gt;=2,FALSE())),IF(AND('Daily Schedule'!$A35&gt;=46,'Daily Schedule'!$A35&lt;=52),'Daily Workforce'!$M148="Y",IFERROR(1*'Daily Workforce'!$P148&gt;=2,FALSE()))))),1,0)</f>
        <v>0</v>
      </c>
      <c r="FD31" s="1" t="n">
        <f aca="false">IF(AND('Daily Workforce'!$N149="Y",'Daily Workforce'!$B149&lt;&gt;"",COUNTIF('Daily Schedule'!$F$5:$F34,'Daily Workforce'!$B149)=0,IF('Daily Schedule'!$A35=45,'Daily Workforce'!$J149="Y",IF(OR('Daily Schedule'!$A35=4,'Daily Schedule'!$A35=8),IF(OR(WEEKDAY('Daily Schedule'!$B$2,2)=1,WEEKDAY('Daily Schedule'!$B$2,2)=4,WEEKDAY('Daily Schedule'!$B$2,2)=5,WEEKDAY('Daily Schedule'!$B$2,2)=7),IFERROR(1*'Daily Workforce'!$K149&gt;=3,FALSE()),IFERROR(1*'Daily Workforce'!$K149&gt;=2,FALSE())),IF(AND('Daily Schedule'!$A35&gt;=46,'Daily Schedule'!$A35&lt;=52),'Daily Workforce'!$M149="Y",IFERROR(1*'Daily Workforce'!$P149&gt;=2,FALSE()))))),1,0)</f>
        <v>0</v>
      </c>
      <c r="FE31" s="1" t="n">
        <f aca="false">IF(AND('Daily Workforce'!$N150="Y",'Daily Workforce'!$B150&lt;&gt;"",COUNTIF('Daily Schedule'!$F$5:$F34,'Daily Workforce'!$B150)=0,IF('Daily Schedule'!$A35=45,'Daily Workforce'!$J150="Y",IF(OR('Daily Schedule'!$A35=4,'Daily Schedule'!$A35=8),IF(OR(WEEKDAY('Daily Schedule'!$B$2,2)=1,WEEKDAY('Daily Schedule'!$B$2,2)=4,WEEKDAY('Daily Schedule'!$B$2,2)=5,WEEKDAY('Daily Schedule'!$B$2,2)=7),IFERROR(1*'Daily Workforce'!$K150&gt;=3,FALSE()),IFERROR(1*'Daily Workforce'!$K150&gt;=2,FALSE())),IF(AND('Daily Schedule'!$A35&gt;=46,'Daily Schedule'!$A35&lt;=52),'Daily Workforce'!$M150="Y",IFERROR(1*'Daily Workforce'!$P150&gt;=2,FALSE()))))),1,0)</f>
        <v>0</v>
      </c>
      <c r="FF31" s="1" t="n">
        <f aca="false">IF(AND('Daily Workforce'!$N151="Y",'Daily Workforce'!$B151&lt;&gt;"",COUNTIF('Daily Schedule'!$F$5:$F34,'Daily Workforce'!$B151)=0,IF('Daily Schedule'!$A35=45,'Daily Workforce'!$J151="Y",IF(OR('Daily Schedule'!$A35=4,'Daily Schedule'!$A35=8),IF(OR(WEEKDAY('Daily Schedule'!$B$2,2)=1,WEEKDAY('Daily Schedule'!$B$2,2)=4,WEEKDAY('Daily Schedule'!$B$2,2)=5,WEEKDAY('Daily Schedule'!$B$2,2)=7),IFERROR(1*'Daily Workforce'!$K151&gt;=3,FALSE()),IFERROR(1*'Daily Workforce'!$K151&gt;=2,FALSE())),IF(AND('Daily Schedule'!$A35&gt;=46,'Daily Schedule'!$A35&lt;=52),'Daily Workforce'!$M151="Y",IFERROR(1*'Daily Workforce'!$P151&gt;=2,FALSE()))))),1,0)</f>
        <v>0</v>
      </c>
      <c r="FG31" s="1" t="n">
        <f aca="false">IF(AND('Daily Workforce'!$N152="Y",'Daily Workforce'!$B152&lt;&gt;"",COUNTIF('Daily Schedule'!$F$5:$F34,'Daily Workforce'!$B152)=0,IF('Daily Schedule'!$A35=45,'Daily Workforce'!$J152="Y",IF(OR('Daily Schedule'!$A35=4,'Daily Schedule'!$A35=8),IF(OR(WEEKDAY('Daily Schedule'!$B$2,2)=1,WEEKDAY('Daily Schedule'!$B$2,2)=4,WEEKDAY('Daily Schedule'!$B$2,2)=5,WEEKDAY('Daily Schedule'!$B$2,2)=7),IFERROR(1*'Daily Workforce'!$K152&gt;=3,FALSE()),IFERROR(1*'Daily Workforce'!$K152&gt;=2,FALSE())),IF(AND('Daily Schedule'!$A35&gt;=46,'Daily Schedule'!$A35&lt;=52),'Daily Workforce'!$M152="Y",IFERROR(1*'Daily Workforce'!$P152&gt;=2,FALSE()))))),1,0)</f>
        <v>0</v>
      </c>
      <c r="FH31" s="1" t="n">
        <f aca="false">IF(AND('Daily Workforce'!$N153="Y",'Daily Workforce'!$B153&lt;&gt;"",COUNTIF('Daily Schedule'!$F$5:$F34,'Daily Workforce'!$B153)=0,IF('Daily Schedule'!$A35=45,'Daily Workforce'!$J153="Y",IF(OR('Daily Schedule'!$A35=4,'Daily Schedule'!$A35=8),IF(OR(WEEKDAY('Daily Schedule'!$B$2,2)=1,WEEKDAY('Daily Schedule'!$B$2,2)=4,WEEKDAY('Daily Schedule'!$B$2,2)=5,WEEKDAY('Daily Schedule'!$B$2,2)=7),IFERROR(1*'Daily Workforce'!$K153&gt;=3,FALSE()),IFERROR(1*'Daily Workforce'!$K153&gt;=2,FALSE())),IF(AND('Daily Schedule'!$A35&gt;=46,'Daily Schedule'!$A35&lt;=52),'Daily Workforce'!$M153="Y",IFERROR(1*'Daily Workforce'!$P153&gt;=2,FALSE()))))),1,0)</f>
        <v>0</v>
      </c>
      <c r="FI31" s="1" t="n">
        <f aca="false">IF(AND('Daily Workforce'!$N154="Y",'Daily Workforce'!$B154&lt;&gt;"",COUNTIF('Daily Schedule'!$F$5:$F34,'Daily Workforce'!$B154)=0,IF('Daily Schedule'!$A35=45,'Daily Workforce'!$J154="Y",IF(OR('Daily Schedule'!$A35=4,'Daily Schedule'!$A35=8),IF(OR(WEEKDAY('Daily Schedule'!$B$2,2)=1,WEEKDAY('Daily Schedule'!$B$2,2)=4,WEEKDAY('Daily Schedule'!$B$2,2)=5,WEEKDAY('Daily Schedule'!$B$2,2)=7),IFERROR(1*'Daily Workforce'!$K154&gt;=3,FALSE()),IFERROR(1*'Daily Workforce'!$K154&gt;=2,FALSE())),IF(AND('Daily Schedule'!$A35&gt;=46,'Daily Schedule'!$A35&lt;=52),'Daily Workforce'!$M154="Y",IFERROR(1*'Daily Workforce'!$P154&gt;=2,FALSE()))))),1,0)</f>
        <v>0</v>
      </c>
      <c r="FJ31" s="1" t="n">
        <f aca="false">IF(AND('Daily Workforce'!$N155="Y",'Daily Workforce'!$B155&lt;&gt;"",COUNTIF('Daily Schedule'!$F$5:$F34,'Daily Workforce'!$B155)=0,IF('Daily Schedule'!$A35=45,'Daily Workforce'!$J155="Y",IF(OR('Daily Schedule'!$A35=4,'Daily Schedule'!$A35=8),IF(OR(WEEKDAY('Daily Schedule'!$B$2,2)=1,WEEKDAY('Daily Schedule'!$B$2,2)=4,WEEKDAY('Daily Schedule'!$B$2,2)=5,WEEKDAY('Daily Schedule'!$B$2,2)=7),IFERROR(1*'Daily Workforce'!$K155&gt;=3,FALSE()),IFERROR(1*'Daily Workforce'!$K155&gt;=2,FALSE())),IF(AND('Daily Schedule'!$A35&gt;=46,'Daily Schedule'!$A35&lt;=52),'Daily Workforce'!$M155="Y",IFERROR(1*'Daily Workforce'!$P155&gt;=2,FALSE()))))),1,0)</f>
        <v>0</v>
      </c>
      <c r="FK31" s="1" t="n">
        <f aca="false">IF(AND('Daily Workforce'!$N156="Y",'Daily Workforce'!$B156&lt;&gt;"",COUNTIF('Daily Schedule'!$F$5:$F34,'Daily Workforce'!$B156)=0,IF('Daily Schedule'!$A35=45,'Daily Workforce'!$J156="Y",IF(OR('Daily Schedule'!$A35=4,'Daily Schedule'!$A35=8),IF(OR(WEEKDAY('Daily Schedule'!$B$2,2)=1,WEEKDAY('Daily Schedule'!$B$2,2)=4,WEEKDAY('Daily Schedule'!$B$2,2)=5,WEEKDAY('Daily Schedule'!$B$2,2)=7),IFERROR(1*'Daily Workforce'!$K156&gt;=3,FALSE()),IFERROR(1*'Daily Workforce'!$K156&gt;=2,FALSE())),IF(AND('Daily Schedule'!$A35&gt;=46,'Daily Schedule'!$A35&lt;=52),'Daily Workforce'!$M156="Y",IFERROR(1*'Daily Workforce'!$P156&gt;=2,FALSE()))))),1,0)</f>
        <v>0</v>
      </c>
      <c r="FL31" s="1" t="n">
        <f aca="false">IF(AND('Daily Workforce'!$N157="Y",'Daily Workforce'!$B157&lt;&gt;"",COUNTIF('Daily Schedule'!$F$5:$F34,'Daily Workforce'!$B157)=0,IF('Daily Schedule'!$A35=45,'Daily Workforce'!$J157="Y",IF(OR('Daily Schedule'!$A35=4,'Daily Schedule'!$A35=8),IF(OR(WEEKDAY('Daily Schedule'!$B$2,2)=1,WEEKDAY('Daily Schedule'!$B$2,2)=4,WEEKDAY('Daily Schedule'!$B$2,2)=5,WEEKDAY('Daily Schedule'!$B$2,2)=7),IFERROR(1*'Daily Workforce'!$K157&gt;=3,FALSE()),IFERROR(1*'Daily Workforce'!$K157&gt;=2,FALSE())),IF(AND('Daily Schedule'!$A35&gt;=46,'Daily Schedule'!$A35&lt;=52),'Daily Workforce'!$M157="Y",IFERROR(1*'Daily Workforce'!$P157&gt;=2,FALSE()))))),1,0)</f>
        <v>0</v>
      </c>
      <c r="FM31" s="1" t="n">
        <f aca="false">IF(AND('Daily Workforce'!$N158="Y",'Daily Workforce'!$B158&lt;&gt;"",COUNTIF('Daily Schedule'!$F$5:$F34,'Daily Workforce'!$B158)=0,IF('Daily Schedule'!$A35=45,'Daily Workforce'!$J158="Y",IF(OR('Daily Schedule'!$A35=4,'Daily Schedule'!$A35=8),IF(OR(WEEKDAY('Daily Schedule'!$B$2,2)=1,WEEKDAY('Daily Schedule'!$B$2,2)=4,WEEKDAY('Daily Schedule'!$B$2,2)=5,WEEKDAY('Daily Schedule'!$B$2,2)=7),IFERROR(1*'Daily Workforce'!$K158&gt;=3,FALSE()),IFERROR(1*'Daily Workforce'!$K158&gt;=2,FALSE())),IF(AND('Daily Schedule'!$A35&gt;=46,'Daily Schedule'!$A35&lt;=52),'Daily Workforce'!$M158="Y",IFERROR(1*'Daily Workforce'!$P158&gt;=2,FALSE()))))),1,0)</f>
        <v>0</v>
      </c>
      <c r="FN31" s="1" t="n">
        <f aca="false">IF(AND('Daily Workforce'!$N159="Y",'Daily Workforce'!$B159&lt;&gt;"",COUNTIF('Daily Schedule'!$F$5:$F34,'Daily Workforce'!$B159)=0,IF('Daily Schedule'!$A35=45,'Daily Workforce'!$J159="Y",IF(OR('Daily Schedule'!$A35=4,'Daily Schedule'!$A35=8),IF(OR(WEEKDAY('Daily Schedule'!$B$2,2)=1,WEEKDAY('Daily Schedule'!$B$2,2)=4,WEEKDAY('Daily Schedule'!$B$2,2)=5,WEEKDAY('Daily Schedule'!$B$2,2)=7),IFERROR(1*'Daily Workforce'!$K159&gt;=3,FALSE()),IFERROR(1*'Daily Workforce'!$K159&gt;=2,FALSE())),IF(AND('Daily Schedule'!$A35&gt;=46,'Daily Schedule'!$A35&lt;=52),'Daily Workforce'!$M159="Y",IFERROR(1*'Daily Workforce'!$P159&gt;=2,FALSE()))))),1,0)</f>
        <v>0</v>
      </c>
      <c r="FO31" s="1" t="n">
        <f aca="false">IF(AND('Daily Workforce'!$N160="Y",'Daily Workforce'!$B160&lt;&gt;"",COUNTIF('Daily Schedule'!$F$5:$F34,'Daily Workforce'!$B160)=0,IF('Daily Schedule'!$A35=45,'Daily Workforce'!$J160="Y",IF(OR('Daily Schedule'!$A35=4,'Daily Schedule'!$A35=8),IF(OR(WEEKDAY('Daily Schedule'!$B$2,2)=1,WEEKDAY('Daily Schedule'!$B$2,2)=4,WEEKDAY('Daily Schedule'!$B$2,2)=5,WEEKDAY('Daily Schedule'!$B$2,2)=7),IFERROR(1*'Daily Workforce'!$K160&gt;=3,FALSE()),IFERROR(1*'Daily Workforce'!$K160&gt;=2,FALSE())),IF(AND('Daily Schedule'!$A35&gt;=46,'Daily Schedule'!$A35&lt;=52),'Daily Workforce'!$M160="Y",IFERROR(1*'Daily Workforce'!$P160&gt;=2,FALSE()))))),1,0)</f>
        <v>0</v>
      </c>
      <c r="FP31" s="1" t="n">
        <f aca="false">IF(AND('Daily Workforce'!$N161="Y",'Daily Workforce'!$B161&lt;&gt;"",COUNTIF('Daily Schedule'!$F$5:$F34,'Daily Workforce'!$B161)=0,IF('Daily Schedule'!$A35=45,'Daily Workforce'!$J161="Y",IF(OR('Daily Schedule'!$A35=4,'Daily Schedule'!$A35=8),IF(OR(WEEKDAY('Daily Schedule'!$B$2,2)=1,WEEKDAY('Daily Schedule'!$B$2,2)=4,WEEKDAY('Daily Schedule'!$B$2,2)=5,WEEKDAY('Daily Schedule'!$B$2,2)=7),IFERROR(1*'Daily Workforce'!$K161&gt;=3,FALSE()),IFERROR(1*'Daily Workforce'!$K161&gt;=2,FALSE())),IF(AND('Daily Schedule'!$A35&gt;=46,'Daily Schedule'!$A35&lt;=52),'Daily Workforce'!$M161="Y",IFERROR(1*'Daily Workforce'!$P161&gt;=2,FALSE()))))),1,0)</f>
        <v>0</v>
      </c>
      <c r="FQ31" s="1" t="n">
        <f aca="false">IF(AND('Daily Workforce'!$N162="Y",'Daily Workforce'!$B162&lt;&gt;"",COUNTIF('Daily Schedule'!$F$5:$F34,'Daily Workforce'!$B162)=0,IF('Daily Schedule'!$A35=45,'Daily Workforce'!$J162="Y",IF(OR('Daily Schedule'!$A35=4,'Daily Schedule'!$A35=8),IF(OR(WEEKDAY('Daily Schedule'!$B$2,2)=1,WEEKDAY('Daily Schedule'!$B$2,2)=4,WEEKDAY('Daily Schedule'!$B$2,2)=5,WEEKDAY('Daily Schedule'!$B$2,2)=7),IFERROR(1*'Daily Workforce'!$K162&gt;=3,FALSE()),IFERROR(1*'Daily Workforce'!$K162&gt;=2,FALSE())),IF(AND('Daily Schedule'!$A35&gt;=46,'Daily Schedule'!$A35&lt;=52),'Daily Workforce'!$M162="Y",IFERROR(1*'Daily Workforce'!$P162&gt;=2,FALSE()))))),1,0)</f>
        <v>0</v>
      </c>
      <c r="FR31" s="1" t="n">
        <f aca="false">IF(AND('Daily Workforce'!$N163="Y",'Daily Workforce'!$B163&lt;&gt;"",COUNTIF('Daily Schedule'!$F$5:$F34,'Daily Workforce'!$B163)=0,IF('Daily Schedule'!$A35=45,'Daily Workforce'!$J163="Y",IF(OR('Daily Schedule'!$A35=4,'Daily Schedule'!$A35=8),IF(OR(WEEKDAY('Daily Schedule'!$B$2,2)=1,WEEKDAY('Daily Schedule'!$B$2,2)=4,WEEKDAY('Daily Schedule'!$B$2,2)=5,WEEKDAY('Daily Schedule'!$B$2,2)=7),IFERROR(1*'Daily Workforce'!$K163&gt;=3,FALSE()),IFERROR(1*'Daily Workforce'!$K163&gt;=2,FALSE())),IF(AND('Daily Schedule'!$A35&gt;=46,'Daily Schedule'!$A35&lt;=52),'Daily Workforce'!$M163="Y",IFERROR(1*'Daily Workforce'!$P163&gt;=2,FALSE()))))),1,0)</f>
        <v>0</v>
      </c>
      <c r="FS31" s="1" t="n">
        <f aca="false">IF(AND('Daily Workforce'!$N164="Y",'Daily Workforce'!$B164&lt;&gt;"",COUNTIF('Daily Schedule'!$F$5:$F34,'Daily Workforce'!$B164)=0,IF('Daily Schedule'!$A35=45,'Daily Workforce'!$J164="Y",IF(OR('Daily Schedule'!$A35=4,'Daily Schedule'!$A35=8),IF(OR(WEEKDAY('Daily Schedule'!$B$2,2)=1,WEEKDAY('Daily Schedule'!$B$2,2)=4,WEEKDAY('Daily Schedule'!$B$2,2)=5,WEEKDAY('Daily Schedule'!$B$2,2)=7),IFERROR(1*'Daily Workforce'!$K164&gt;=3,FALSE()),IFERROR(1*'Daily Workforce'!$K164&gt;=2,FALSE())),IF(AND('Daily Schedule'!$A35&gt;=46,'Daily Schedule'!$A35&lt;=52),'Daily Workforce'!$M164="Y",IFERROR(1*'Daily Workforce'!$P164&gt;=2,FALSE()))))),1,0)</f>
        <v>0</v>
      </c>
      <c r="FT31" s="1" t="n">
        <f aca="false">IF(AND('Daily Workforce'!$N165="Y",'Daily Workforce'!$B165&lt;&gt;"",COUNTIF('Daily Schedule'!$F$5:$F34,'Daily Workforce'!$B165)=0,IF('Daily Schedule'!$A35=45,'Daily Workforce'!$J165="Y",IF(OR('Daily Schedule'!$A35=4,'Daily Schedule'!$A35=8),IF(OR(WEEKDAY('Daily Schedule'!$B$2,2)=1,WEEKDAY('Daily Schedule'!$B$2,2)=4,WEEKDAY('Daily Schedule'!$B$2,2)=5,WEEKDAY('Daily Schedule'!$B$2,2)=7),IFERROR(1*'Daily Workforce'!$K165&gt;=3,FALSE()),IFERROR(1*'Daily Workforce'!$K165&gt;=2,FALSE())),IF(AND('Daily Schedule'!$A35&gt;=46,'Daily Schedule'!$A35&lt;=52),'Daily Workforce'!$M165="Y",IFERROR(1*'Daily Workforce'!$P165&gt;=2,FALSE()))))),1,0)</f>
        <v>0</v>
      </c>
      <c r="FU31" s="1" t="n">
        <f aca="false">IF(AND('Daily Workforce'!$N166="Y",'Daily Workforce'!$B166&lt;&gt;"",COUNTIF('Daily Schedule'!$F$5:$F34,'Daily Workforce'!$B166)=0,IF('Daily Schedule'!$A35=45,'Daily Workforce'!$J166="Y",IF(OR('Daily Schedule'!$A35=4,'Daily Schedule'!$A35=8),IF(OR(WEEKDAY('Daily Schedule'!$B$2,2)=1,WEEKDAY('Daily Schedule'!$B$2,2)=4,WEEKDAY('Daily Schedule'!$B$2,2)=5,WEEKDAY('Daily Schedule'!$B$2,2)=7),IFERROR(1*'Daily Workforce'!$K166&gt;=3,FALSE()),IFERROR(1*'Daily Workforce'!$K166&gt;=2,FALSE())),IF(AND('Daily Schedule'!$A35&gt;=46,'Daily Schedule'!$A35&lt;=52),'Daily Workforce'!$M166="Y",IFERROR(1*'Daily Workforce'!$P166&gt;=2,FALSE()))))),1,0)</f>
        <v>0</v>
      </c>
      <c r="FV31" s="1" t="n">
        <f aca="false">IF(AND('Daily Workforce'!$N167="Y",'Daily Workforce'!$B167&lt;&gt;"",COUNTIF('Daily Schedule'!$F$5:$F34,'Daily Workforce'!$B167)=0,IF('Daily Schedule'!$A35=45,'Daily Workforce'!$J167="Y",IF(OR('Daily Schedule'!$A35=4,'Daily Schedule'!$A35=8),IF(OR(WEEKDAY('Daily Schedule'!$B$2,2)=1,WEEKDAY('Daily Schedule'!$B$2,2)=4,WEEKDAY('Daily Schedule'!$B$2,2)=5,WEEKDAY('Daily Schedule'!$B$2,2)=7),IFERROR(1*'Daily Workforce'!$K167&gt;=3,FALSE()),IFERROR(1*'Daily Workforce'!$K167&gt;=2,FALSE())),IF(AND('Daily Schedule'!$A35&gt;=46,'Daily Schedule'!$A35&lt;=52),'Daily Workforce'!$M167="Y",IFERROR(1*'Daily Workforce'!$P167&gt;=2,FALSE()))))),1,0)</f>
        <v>0</v>
      </c>
      <c r="FW31" s="1" t="n">
        <f aca="false">IF(AND('Daily Workforce'!$N168="Y",'Daily Workforce'!$B168&lt;&gt;"",COUNTIF('Daily Schedule'!$F$5:$F34,'Daily Workforce'!$B168)=0,IF('Daily Schedule'!$A35=45,'Daily Workforce'!$J168="Y",IF(OR('Daily Schedule'!$A35=4,'Daily Schedule'!$A35=8),IF(OR(WEEKDAY('Daily Schedule'!$B$2,2)=1,WEEKDAY('Daily Schedule'!$B$2,2)=4,WEEKDAY('Daily Schedule'!$B$2,2)=5,WEEKDAY('Daily Schedule'!$B$2,2)=7),IFERROR(1*'Daily Workforce'!$K168&gt;=3,FALSE()),IFERROR(1*'Daily Workforce'!$K168&gt;=2,FALSE())),IF(AND('Daily Schedule'!$A35&gt;=46,'Daily Schedule'!$A35&lt;=52),'Daily Workforce'!$M168="Y",IFERROR(1*'Daily Workforce'!$P168&gt;=2,FALSE()))))),1,0)</f>
        <v>0</v>
      </c>
      <c r="FX31" s="1" t="n">
        <f aca="false">IF(AND('Daily Workforce'!$N169="Y",'Daily Workforce'!$B169&lt;&gt;"",COUNTIF('Daily Schedule'!$F$5:$F34,'Daily Workforce'!$B169)=0,IF('Daily Schedule'!$A35=45,'Daily Workforce'!$J169="Y",IF(OR('Daily Schedule'!$A35=4,'Daily Schedule'!$A35=8),IF(OR(WEEKDAY('Daily Schedule'!$B$2,2)=1,WEEKDAY('Daily Schedule'!$B$2,2)=4,WEEKDAY('Daily Schedule'!$B$2,2)=5,WEEKDAY('Daily Schedule'!$B$2,2)=7),IFERROR(1*'Daily Workforce'!$K169&gt;=3,FALSE()),IFERROR(1*'Daily Workforce'!$K169&gt;=2,FALSE())),IF(AND('Daily Schedule'!$A35&gt;=46,'Daily Schedule'!$A35&lt;=52),'Daily Workforce'!$M169="Y",IFERROR(1*'Daily Workforce'!$P169&gt;=2,FALSE()))))),1,0)</f>
        <v>0</v>
      </c>
      <c r="FY31" s="1" t="n">
        <f aca="false">IF(AND('Daily Workforce'!$N170="Y",'Daily Workforce'!$B170&lt;&gt;"",COUNTIF('Daily Schedule'!$F$5:$F34,'Daily Workforce'!$B170)=0,IF('Daily Schedule'!$A35=45,'Daily Workforce'!$J170="Y",IF(OR('Daily Schedule'!$A35=4,'Daily Schedule'!$A35=8),IF(OR(WEEKDAY('Daily Schedule'!$B$2,2)=1,WEEKDAY('Daily Schedule'!$B$2,2)=4,WEEKDAY('Daily Schedule'!$B$2,2)=5,WEEKDAY('Daily Schedule'!$B$2,2)=7),IFERROR(1*'Daily Workforce'!$K170&gt;=3,FALSE()),IFERROR(1*'Daily Workforce'!$K170&gt;=2,FALSE())),IF(AND('Daily Schedule'!$A35&gt;=46,'Daily Schedule'!$A35&lt;=52),'Daily Workforce'!$M170="Y",IFERROR(1*'Daily Workforce'!$P170&gt;=2,FALSE()))))),1,0)</f>
        <v>0</v>
      </c>
      <c r="FZ31" s="1" t="n">
        <f aca="false">IF(AND('Daily Workforce'!$N171="Y",'Daily Workforce'!$B171&lt;&gt;"",COUNTIF('Daily Schedule'!$F$5:$F34,'Daily Workforce'!$B171)=0,IF('Daily Schedule'!$A35=45,'Daily Workforce'!$J171="Y",IF(OR('Daily Schedule'!$A35=4,'Daily Schedule'!$A35=8),IF(OR(WEEKDAY('Daily Schedule'!$B$2,2)=1,WEEKDAY('Daily Schedule'!$B$2,2)=4,WEEKDAY('Daily Schedule'!$B$2,2)=5,WEEKDAY('Daily Schedule'!$B$2,2)=7),IFERROR(1*'Daily Workforce'!$K171&gt;=3,FALSE()),IFERROR(1*'Daily Workforce'!$K171&gt;=2,FALSE())),IF(AND('Daily Schedule'!$A35&gt;=46,'Daily Schedule'!$A35&lt;=52),'Daily Workforce'!$M171="Y",IFERROR(1*'Daily Workforce'!$P171&gt;=2,FALSE()))))),1,0)</f>
        <v>0</v>
      </c>
      <c r="GA31" s="1" t="n">
        <f aca="false">IF(AND('Daily Workforce'!$N172="Y",'Daily Workforce'!$B172&lt;&gt;"",COUNTIF('Daily Schedule'!$F$5:$F34,'Daily Workforce'!$B172)=0,IF('Daily Schedule'!$A35=45,'Daily Workforce'!$J172="Y",IF(OR('Daily Schedule'!$A35=4,'Daily Schedule'!$A35=8),IF(OR(WEEKDAY('Daily Schedule'!$B$2,2)=1,WEEKDAY('Daily Schedule'!$B$2,2)=4,WEEKDAY('Daily Schedule'!$B$2,2)=5,WEEKDAY('Daily Schedule'!$B$2,2)=7),IFERROR(1*'Daily Workforce'!$K172&gt;=3,FALSE()),IFERROR(1*'Daily Workforce'!$K172&gt;=2,FALSE())),IF(AND('Daily Schedule'!$A35&gt;=46,'Daily Schedule'!$A35&lt;=52),'Daily Workforce'!$M172="Y",IFERROR(1*'Daily Workforce'!$P172&gt;=2,FALSE()))))),1,0)</f>
        <v>0</v>
      </c>
      <c r="GB31" s="1" t="n">
        <f aca="false">IF(AND('Daily Workforce'!$N173="Y",'Daily Workforce'!$B173&lt;&gt;"",COUNTIF('Daily Schedule'!$F$5:$F34,'Daily Workforce'!$B173)=0,IF('Daily Schedule'!$A35=45,'Daily Workforce'!$J173="Y",IF(OR('Daily Schedule'!$A35=4,'Daily Schedule'!$A35=8),IF(OR(WEEKDAY('Daily Schedule'!$B$2,2)=1,WEEKDAY('Daily Schedule'!$B$2,2)=4,WEEKDAY('Daily Schedule'!$B$2,2)=5,WEEKDAY('Daily Schedule'!$B$2,2)=7),IFERROR(1*'Daily Workforce'!$K173&gt;=3,FALSE()),IFERROR(1*'Daily Workforce'!$K173&gt;=2,FALSE())),IF(AND('Daily Schedule'!$A35&gt;=46,'Daily Schedule'!$A35&lt;=52),'Daily Workforce'!$M173="Y",IFERROR(1*'Daily Workforce'!$P173&gt;=2,FALSE()))))),1,0)</f>
        <v>0</v>
      </c>
      <c r="GC31" s="1" t="n">
        <f aca="false">IF(AND('Daily Workforce'!$N174="Y",'Daily Workforce'!$B174&lt;&gt;"",COUNTIF('Daily Schedule'!$F$5:$F34,'Daily Workforce'!$B174)=0,IF('Daily Schedule'!$A35=45,'Daily Workforce'!$J174="Y",IF(OR('Daily Schedule'!$A35=4,'Daily Schedule'!$A35=8),IF(OR(WEEKDAY('Daily Schedule'!$B$2,2)=1,WEEKDAY('Daily Schedule'!$B$2,2)=4,WEEKDAY('Daily Schedule'!$B$2,2)=5,WEEKDAY('Daily Schedule'!$B$2,2)=7),IFERROR(1*'Daily Workforce'!$K174&gt;=3,FALSE()),IFERROR(1*'Daily Workforce'!$K174&gt;=2,FALSE())),IF(AND('Daily Schedule'!$A35&gt;=46,'Daily Schedule'!$A35&lt;=52),'Daily Workforce'!$M174="Y",IFERROR(1*'Daily Workforce'!$P174&gt;=2,FALSE()))))),1,0)</f>
        <v>0</v>
      </c>
      <c r="GD31" s="1" t="n">
        <f aca="false">IF(AND('Daily Workforce'!$N175="Y",'Daily Workforce'!$B175&lt;&gt;"",COUNTIF('Daily Schedule'!$F$5:$F34,'Daily Workforce'!$B175)=0,IF('Daily Schedule'!$A35=45,'Daily Workforce'!$J175="Y",IF(OR('Daily Schedule'!$A35=4,'Daily Schedule'!$A35=8),IF(OR(WEEKDAY('Daily Schedule'!$B$2,2)=1,WEEKDAY('Daily Schedule'!$B$2,2)=4,WEEKDAY('Daily Schedule'!$B$2,2)=5,WEEKDAY('Daily Schedule'!$B$2,2)=7),IFERROR(1*'Daily Workforce'!$K175&gt;=3,FALSE()),IFERROR(1*'Daily Workforce'!$K175&gt;=2,FALSE())),IF(AND('Daily Schedule'!$A35&gt;=46,'Daily Schedule'!$A35&lt;=52),'Daily Workforce'!$M175="Y",IFERROR(1*'Daily Workforce'!$P175&gt;=2,FALSE()))))),1,0)</f>
        <v>0</v>
      </c>
      <c r="GE31" s="1" t="n">
        <f aca="false">IF(AND('Daily Workforce'!$N176="Y",'Daily Workforce'!$B176&lt;&gt;"",COUNTIF('Daily Schedule'!$F$5:$F34,'Daily Workforce'!$B176)=0,IF('Daily Schedule'!$A35=45,'Daily Workforce'!$J176="Y",IF(OR('Daily Schedule'!$A35=4,'Daily Schedule'!$A35=8),IF(OR(WEEKDAY('Daily Schedule'!$B$2,2)=1,WEEKDAY('Daily Schedule'!$B$2,2)=4,WEEKDAY('Daily Schedule'!$B$2,2)=5,WEEKDAY('Daily Schedule'!$B$2,2)=7),IFERROR(1*'Daily Workforce'!$K176&gt;=3,FALSE()),IFERROR(1*'Daily Workforce'!$K176&gt;=2,FALSE())),IF(AND('Daily Schedule'!$A35&gt;=46,'Daily Schedule'!$A35&lt;=52),'Daily Workforce'!$M176="Y",IFERROR(1*'Daily Workforce'!$P176&gt;=2,FALSE()))))),1,0)</f>
        <v>0</v>
      </c>
      <c r="GF31" s="1" t="n">
        <f aca="false">IF(AND('Daily Workforce'!$N177="Y",'Daily Workforce'!$B177&lt;&gt;"",COUNTIF('Daily Schedule'!$F$5:$F34,'Daily Workforce'!$B177)=0,IF('Daily Schedule'!$A35=45,'Daily Workforce'!$J177="Y",IF(OR('Daily Schedule'!$A35=4,'Daily Schedule'!$A35=8),IF(OR(WEEKDAY('Daily Schedule'!$B$2,2)=1,WEEKDAY('Daily Schedule'!$B$2,2)=4,WEEKDAY('Daily Schedule'!$B$2,2)=5,WEEKDAY('Daily Schedule'!$B$2,2)=7),IFERROR(1*'Daily Workforce'!$K177&gt;=3,FALSE()),IFERROR(1*'Daily Workforce'!$K177&gt;=2,FALSE())),IF(AND('Daily Schedule'!$A35&gt;=46,'Daily Schedule'!$A35&lt;=52),'Daily Workforce'!$M177="Y",IFERROR(1*'Daily Workforce'!$P177&gt;=2,FALSE()))))),1,0)</f>
        <v>0</v>
      </c>
      <c r="GG31" s="1" t="n">
        <f aca="false">IF(AND('Daily Workforce'!$N178="Y",'Daily Workforce'!$B178&lt;&gt;"",COUNTIF('Daily Schedule'!$F$5:$F34,'Daily Workforce'!$B178)=0,IF('Daily Schedule'!$A35=45,'Daily Workforce'!$J178="Y",IF(OR('Daily Schedule'!$A35=4,'Daily Schedule'!$A35=8),IF(OR(WEEKDAY('Daily Schedule'!$B$2,2)=1,WEEKDAY('Daily Schedule'!$B$2,2)=4,WEEKDAY('Daily Schedule'!$B$2,2)=5,WEEKDAY('Daily Schedule'!$B$2,2)=7),IFERROR(1*'Daily Workforce'!$K178&gt;=3,FALSE()),IFERROR(1*'Daily Workforce'!$K178&gt;=2,FALSE())),IF(AND('Daily Schedule'!$A35&gt;=46,'Daily Schedule'!$A35&lt;=52),'Daily Workforce'!$M178="Y",IFERROR(1*'Daily Workforce'!$P178&gt;=2,FALSE()))))),1,0)</f>
        <v>0</v>
      </c>
      <c r="GH31" s="1" t="n">
        <f aca="false">IF(AND('Daily Workforce'!$N179="Y",'Daily Workforce'!$B179&lt;&gt;"",COUNTIF('Daily Schedule'!$F$5:$F34,'Daily Workforce'!$B179)=0,IF('Daily Schedule'!$A35=45,'Daily Workforce'!$J179="Y",IF(OR('Daily Schedule'!$A35=4,'Daily Schedule'!$A35=8),IF(OR(WEEKDAY('Daily Schedule'!$B$2,2)=1,WEEKDAY('Daily Schedule'!$B$2,2)=4,WEEKDAY('Daily Schedule'!$B$2,2)=5,WEEKDAY('Daily Schedule'!$B$2,2)=7),IFERROR(1*'Daily Workforce'!$K179&gt;=3,FALSE()),IFERROR(1*'Daily Workforce'!$K179&gt;=2,FALSE())),IF(AND('Daily Schedule'!$A35&gt;=46,'Daily Schedule'!$A35&lt;=52),'Daily Workforce'!$M179="Y",IFERROR(1*'Daily Workforce'!$P179&gt;=2,FALSE()))))),1,0)</f>
        <v>0</v>
      </c>
      <c r="GI31" s="1" t="n">
        <f aca="false">IF(AND('Daily Workforce'!$N180="Y",'Daily Workforce'!$B180&lt;&gt;"",COUNTIF('Daily Schedule'!$F$5:$F34,'Daily Workforce'!$B180)=0,IF('Daily Schedule'!$A35=45,'Daily Workforce'!$J180="Y",IF(OR('Daily Schedule'!$A35=4,'Daily Schedule'!$A35=8),IF(OR(WEEKDAY('Daily Schedule'!$B$2,2)=1,WEEKDAY('Daily Schedule'!$B$2,2)=4,WEEKDAY('Daily Schedule'!$B$2,2)=5,WEEKDAY('Daily Schedule'!$B$2,2)=7),IFERROR(1*'Daily Workforce'!$K180&gt;=3,FALSE()),IFERROR(1*'Daily Workforce'!$K180&gt;=2,FALSE())),IF(AND('Daily Schedule'!$A35&gt;=46,'Daily Schedule'!$A35&lt;=52),'Daily Workforce'!$M180="Y",IFERROR(1*'Daily Workforce'!$P180&gt;=2,FALSE()))))),1,0)</f>
        <v>0</v>
      </c>
      <c r="GJ31" s="1" t="n">
        <f aca="false">IF(AND('Daily Workforce'!$N181="Y",'Daily Workforce'!$B181&lt;&gt;"",COUNTIF('Daily Schedule'!$F$5:$F34,'Daily Workforce'!$B181)=0,IF('Daily Schedule'!$A35=45,'Daily Workforce'!$J181="Y",IF(OR('Daily Schedule'!$A35=4,'Daily Schedule'!$A35=8),IF(OR(WEEKDAY('Daily Schedule'!$B$2,2)=1,WEEKDAY('Daily Schedule'!$B$2,2)=4,WEEKDAY('Daily Schedule'!$B$2,2)=5,WEEKDAY('Daily Schedule'!$B$2,2)=7),IFERROR(1*'Daily Workforce'!$K181&gt;=3,FALSE()),IFERROR(1*'Daily Workforce'!$K181&gt;=2,FALSE())),IF(AND('Daily Schedule'!$A35&gt;=46,'Daily Schedule'!$A35&lt;=52),'Daily Workforce'!$M181="Y",IFERROR(1*'Daily Workforce'!$P181&gt;=2,FALSE()))))),1,0)</f>
        <v>0</v>
      </c>
      <c r="GK31" s="1" t="n">
        <f aca="false">IF(AND('Daily Workforce'!$N182="Y",'Daily Workforce'!$B182&lt;&gt;"",COUNTIF('Daily Schedule'!$F$5:$F34,'Daily Workforce'!$B182)=0,IF('Daily Schedule'!$A35=45,'Daily Workforce'!$J182="Y",IF(OR('Daily Schedule'!$A35=4,'Daily Schedule'!$A35=8),IF(OR(WEEKDAY('Daily Schedule'!$B$2,2)=1,WEEKDAY('Daily Schedule'!$B$2,2)=4,WEEKDAY('Daily Schedule'!$B$2,2)=5,WEEKDAY('Daily Schedule'!$B$2,2)=7),IFERROR(1*'Daily Workforce'!$K182&gt;=3,FALSE()),IFERROR(1*'Daily Workforce'!$K182&gt;=2,FALSE())),IF(AND('Daily Schedule'!$A35&gt;=46,'Daily Schedule'!$A35&lt;=52),'Daily Workforce'!$M182="Y",IFERROR(1*'Daily Workforce'!$P182&gt;=2,FALSE()))))),1,0)</f>
        <v>0</v>
      </c>
      <c r="GL31" s="1" t="n">
        <f aca="false">IF(AND('Daily Workforce'!$N183="Y",'Daily Workforce'!$B183&lt;&gt;"",COUNTIF('Daily Schedule'!$F$5:$F34,'Daily Workforce'!$B183)=0,IF('Daily Schedule'!$A35=45,'Daily Workforce'!$J183="Y",IF(OR('Daily Schedule'!$A35=4,'Daily Schedule'!$A35=8),IF(OR(WEEKDAY('Daily Schedule'!$B$2,2)=1,WEEKDAY('Daily Schedule'!$B$2,2)=4,WEEKDAY('Daily Schedule'!$B$2,2)=5,WEEKDAY('Daily Schedule'!$B$2,2)=7),IFERROR(1*'Daily Workforce'!$K183&gt;=3,FALSE()),IFERROR(1*'Daily Workforce'!$K183&gt;=2,FALSE())),IF(AND('Daily Schedule'!$A35&gt;=46,'Daily Schedule'!$A35&lt;=52),'Daily Workforce'!$M183="Y",IFERROR(1*'Daily Workforce'!$P183&gt;=2,FALSE()))))),1,0)</f>
        <v>0</v>
      </c>
      <c r="GM31" s="1" t="n">
        <f aca="false">IF(AND('Daily Workforce'!$N184="Y",'Daily Workforce'!$B184&lt;&gt;"",COUNTIF('Daily Schedule'!$F$5:$F34,'Daily Workforce'!$B184)=0,IF('Daily Schedule'!$A35=45,'Daily Workforce'!$J184="Y",IF(OR('Daily Schedule'!$A35=4,'Daily Schedule'!$A35=8),IF(OR(WEEKDAY('Daily Schedule'!$B$2,2)=1,WEEKDAY('Daily Schedule'!$B$2,2)=4,WEEKDAY('Daily Schedule'!$B$2,2)=5,WEEKDAY('Daily Schedule'!$B$2,2)=7),IFERROR(1*'Daily Workforce'!$K184&gt;=3,FALSE()),IFERROR(1*'Daily Workforce'!$K184&gt;=2,FALSE())),IF(AND('Daily Schedule'!$A35&gt;=46,'Daily Schedule'!$A35&lt;=52),'Daily Workforce'!$M184="Y",IFERROR(1*'Daily Workforce'!$P184&gt;=2,FALSE()))))),1,0)</f>
        <v>0</v>
      </c>
      <c r="GN31" s="1" t="n">
        <f aca="false">IF(AND('Daily Workforce'!$N185="Y",'Daily Workforce'!$B185&lt;&gt;"",COUNTIF('Daily Schedule'!$F$5:$F34,'Daily Workforce'!$B185)=0,IF('Daily Schedule'!$A35=45,'Daily Workforce'!$J185="Y",IF(OR('Daily Schedule'!$A35=4,'Daily Schedule'!$A35=8),IF(OR(WEEKDAY('Daily Schedule'!$B$2,2)=1,WEEKDAY('Daily Schedule'!$B$2,2)=4,WEEKDAY('Daily Schedule'!$B$2,2)=5,WEEKDAY('Daily Schedule'!$B$2,2)=7),IFERROR(1*'Daily Workforce'!$K185&gt;=3,FALSE()),IFERROR(1*'Daily Workforce'!$K185&gt;=2,FALSE())),IF(AND('Daily Schedule'!$A35&gt;=46,'Daily Schedule'!$A35&lt;=52),'Daily Workforce'!$M185="Y",IFERROR(1*'Daily Workforce'!$P185&gt;=2,FALSE()))))),1,0)</f>
        <v>0</v>
      </c>
      <c r="GO31" s="1" t="n">
        <f aca="false">IF(AND('Daily Workforce'!$N186="Y",'Daily Workforce'!$B186&lt;&gt;"",COUNTIF('Daily Schedule'!$F$5:$F34,'Daily Workforce'!$B186)=0,IF('Daily Schedule'!$A35=45,'Daily Workforce'!$J186="Y",IF(OR('Daily Schedule'!$A35=4,'Daily Schedule'!$A35=8),IF(OR(WEEKDAY('Daily Schedule'!$B$2,2)=1,WEEKDAY('Daily Schedule'!$B$2,2)=4,WEEKDAY('Daily Schedule'!$B$2,2)=5,WEEKDAY('Daily Schedule'!$B$2,2)=7),IFERROR(1*'Daily Workforce'!$K186&gt;=3,FALSE()),IFERROR(1*'Daily Workforce'!$K186&gt;=2,FALSE())),IF(AND('Daily Schedule'!$A35&gt;=46,'Daily Schedule'!$A35&lt;=52),'Daily Workforce'!$M186="Y",IFERROR(1*'Daily Workforce'!$P186&gt;=2,FALSE()))))),1,0)</f>
        <v>0</v>
      </c>
      <c r="GP31" s="1" t="n">
        <f aca="false">IF(AND('Daily Workforce'!$N187="Y",'Daily Workforce'!$B187&lt;&gt;"",COUNTIF('Daily Schedule'!$F$5:$F34,'Daily Workforce'!$B187)=0,IF('Daily Schedule'!$A35=45,'Daily Workforce'!$J187="Y",IF(OR('Daily Schedule'!$A35=4,'Daily Schedule'!$A35=8),IF(OR(WEEKDAY('Daily Schedule'!$B$2,2)=1,WEEKDAY('Daily Schedule'!$B$2,2)=4,WEEKDAY('Daily Schedule'!$B$2,2)=5,WEEKDAY('Daily Schedule'!$B$2,2)=7),IFERROR(1*'Daily Workforce'!$K187&gt;=3,FALSE()),IFERROR(1*'Daily Workforce'!$K187&gt;=2,FALSE())),IF(AND('Daily Schedule'!$A35&gt;=46,'Daily Schedule'!$A35&lt;=52),'Daily Workforce'!$M187="Y",IFERROR(1*'Daily Workforce'!$P187&gt;=2,FALSE()))))),1,0)</f>
        <v>0</v>
      </c>
      <c r="GQ31" s="1" t="n">
        <f aca="false">IF(AND('Daily Workforce'!$N188="Y",'Daily Workforce'!$B188&lt;&gt;"",COUNTIF('Daily Schedule'!$F$5:$F34,'Daily Workforce'!$B188)=0,IF('Daily Schedule'!$A35=45,'Daily Workforce'!$J188="Y",IF(OR('Daily Schedule'!$A35=4,'Daily Schedule'!$A35=8),IF(OR(WEEKDAY('Daily Schedule'!$B$2,2)=1,WEEKDAY('Daily Schedule'!$B$2,2)=4,WEEKDAY('Daily Schedule'!$B$2,2)=5,WEEKDAY('Daily Schedule'!$B$2,2)=7),IFERROR(1*'Daily Workforce'!$K188&gt;=3,FALSE()),IFERROR(1*'Daily Workforce'!$K188&gt;=2,FALSE())),IF(AND('Daily Schedule'!$A35&gt;=46,'Daily Schedule'!$A35&lt;=52),'Daily Workforce'!$M188="Y",IFERROR(1*'Daily Workforce'!$P188&gt;=2,FALSE()))))),1,0)</f>
        <v>0</v>
      </c>
      <c r="GR31" s="1" t="n">
        <f aca="false">IF(AND('Daily Workforce'!$N189="Y",'Daily Workforce'!$B189&lt;&gt;"",COUNTIF('Daily Schedule'!$F$5:$F34,'Daily Workforce'!$B189)=0,IF('Daily Schedule'!$A35=45,'Daily Workforce'!$J189="Y",IF(OR('Daily Schedule'!$A35=4,'Daily Schedule'!$A35=8),IF(OR(WEEKDAY('Daily Schedule'!$B$2,2)=1,WEEKDAY('Daily Schedule'!$B$2,2)=4,WEEKDAY('Daily Schedule'!$B$2,2)=5,WEEKDAY('Daily Schedule'!$B$2,2)=7),IFERROR(1*'Daily Workforce'!$K189&gt;=3,FALSE()),IFERROR(1*'Daily Workforce'!$K189&gt;=2,FALSE())),IF(AND('Daily Schedule'!$A35&gt;=46,'Daily Schedule'!$A35&lt;=52),'Daily Workforce'!$M189="Y",IFERROR(1*'Daily Workforce'!$P189&gt;=2,FALSE()))))),1,0)</f>
        <v>0</v>
      </c>
      <c r="GS31" s="1" t="n">
        <f aca="false">IF(AND('Daily Workforce'!$N190="Y",'Daily Workforce'!$B190&lt;&gt;"",COUNTIF('Daily Schedule'!$F$5:$F34,'Daily Workforce'!$B190)=0,IF('Daily Schedule'!$A35=45,'Daily Workforce'!$J190="Y",IF(OR('Daily Schedule'!$A35=4,'Daily Schedule'!$A35=8),IF(OR(WEEKDAY('Daily Schedule'!$B$2,2)=1,WEEKDAY('Daily Schedule'!$B$2,2)=4,WEEKDAY('Daily Schedule'!$B$2,2)=5,WEEKDAY('Daily Schedule'!$B$2,2)=7),IFERROR(1*'Daily Workforce'!$K190&gt;=3,FALSE()),IFERROR(1*'Daily Workforce'!$K190&gt;=2,FALSE())),IF(AND('Daily Schedule'!$A35&gt;=46,'Daily Schedule'!$A35&lt;=52),'Daily Workforce'!$M190="Y",IFERROR(1*'Daily Workforce'!$P190&gt;=2,FALSE()))))),1,0)</f>
        <v>0</v>
      </c>
      <c r="GT31" s="1" t="n">
        <f aca="false">IF(AND('Daily Workforce'!$N191="Y",'Daily Workforce'!$B191&lt;&gt;"",COUNTIF('Daily Schedule'!$F$5:$F34,'Daily Workforce'!$B191)=0,IF('Daily Schedule'!$A35=45,'Daily Workforce'!$J191="Y",IF(OR('Daily Schedule'!$A35=4,'Daily Schedule'!$A35=8),IF(OR(WEEKDAY('Daily Schedule'!$B$2,2)=1,WEEKDAY('Daily Schedule'!$B$2,2)=4,WEEKDAY('Daily Schedule'!$B$2,2)=5,WEEKDAY('Daily Schedule'!$B$2,2)=7),IFERROR(1*'Daily Workforce'!$K191&gt;=3,FALSE()),IFERROR(1*'Daily Workforce'!$K191&gt;=2,FALSE())),IF(AND('Daily Schedule'!$A35&gt;=46,'Daily Schedule'!$A35&lt;=52),'Daily Workforce'!$M191="Y",IFERROR(1*'Daily Workforce'!$P191&gt;=2,FALSE()))))),1,0)</f>
        <v>0</v>
      </c>
      <c r="GU31" s="1" t="n">
        <f aca="false">IF(AND('Daily Workforce'!$N192="Y",'Daily Workforce'!$B192&lt;&gt;"",COUNTIF('Daily Schedule'!$F$5:$F34,'Daily Workforce'!$B192)=0,IF('Daily Schedule'!$A35=45,'Daily Workforce'!$J192="Y",IF(OR('Daily Schedule'!$A35=4,'Daily Schedule'!$A35=8),IF(OR(WEEKDAY('Daily Schedule'!$B$2,2)=1,WEEKDAY('Daily Schedule'!$B$2,2)=4,WEEKDAY('Daily Schedule'!$B$2,2)=5,WEEKDAY('Daily Schedule'!$B$2,2)=7),IFERROR(1*'Daily Workforce'!$K192&gt;=3,FALSE()),IFERROR(1*'Daily Workforce'!$K192&gt;=2,FALSE())),IF(AND('Daily Schedule'!$A35&gt;=46,'Daily Schedule'!$A35&lt;=52),'Daily Workforce'!$M192="Y",IFERROR(1*'Daily Workforce'!$P192&gt;=2,FALSE()))))),1,0)</f>
        <v>0</v>
      </c>
      <c r="GV31" s="1" t="n">
        <f aca="false">IF(AND('Daily Workforce'!$N193="Y",'Daily Workforce'!$B193&lt;&gt;"",COUNTIF('Daily Schedule'!$F$5:$F34,'Daily Workforce'!$B193)=0,IF('Daily Schedule'!$A35=45,'Daily Workforce'!$J193="Y",IF(OR('Daily Schedule'!$A35=4,'Daily Schedule'!$A35=8),IF(OR(WEEKDAY('Daily Schedule'!$B$2,2)=1,WEEKDAY('Daily Schedule'!$B$2,2)=4,WEEKDAY('Daily Schedule'!$B$2,2)=5,WEEKDAY('Daily Schedule'!$B$2,2)=7),IFERROR(1*'Daily Workforce'!$K193&gt;=3,FALSE()),IFERROR(1*'Daily Workforce'!$K193&gt;=2,FALSE())),IF(AND('Daily Schedule'!$A35&gt;=46,'Daily Schedule'!$A35&lt;=52),'Daily Workforce'!$M193="Y",IFERROR(1*'Daily Workforce'!$P193&gt;=2,FALSE()))))),1,0)</f>
        <v>0</v>
      </c>
      <c r="GW31" s="1" t="n">
        <f aca="false">IF(AND('Daily Workforce'!$N194="Y",'Daily Workforce'!$B194&lt;&gt;"",COUNTIF('Daily Schedule'!$F$5:$F34,'Daily Workforce'!$B194)=0,IF('Daily Schedule'!$A35=45,'Daily Workforce'!$J194="Y",IF(OR('Daily Schedule'!$A35=4,'Daily Schedule'!$A35=8),IF(OR(WEEKDAY('Daily Schedule'!$B$2,2)=1,WEEKDAY('Daily Schedule'!$B$2,2)=4,WEEKDAY('Daily Schedule'!$B$2,2)=5,WEEKDAY('Daily Schedule'!$B$2,2)=7),IFERROR(1*'Daily Workforce'!$K194&gt;=3,FALSE()),IFERROR(1*'Daily Workforce'!$K194&gt;=2,FALSE())),IF(AND('Daily Schedule'!$A35&gt;=46,'Daily Schedule'!$A35&lt;=52),'Daily Workforce'!$M194="Y",IFERROR(1*'Daily Workforce'!$P194&gt;=2,FALSE()))))),1,0)</f>
        <v>0</v>
      </c>
      <c r="GX31" s="1" t="n">
        <f aca="false">IF(AND('Daily Workforce'!$N195="Y",'Daily Workforce'!$B195&lt;&gt;"",COUNTIF('Daily Schedule'!$F$5:$F34,'Daily Workforce'!$B195)=0,IF('Daily Schedule'!$A35=45,'Daily Workforce'!$J195="Y",IF(OR('Daily Schedule'!$A35=4,'Daily Schedule'!$A35=8),IF(OR(WEEKDAY('Daily Schedule'!$B$2,2)=1,WEEKDAY('Daily Schedule'!$B$2,2)=4,WEEKDAY('Daily Schedule'!$B$2,2)=5,WEEKDAY('Daily Schedule'!$B$2,2)=7),IFERROR(1*'Daily Workforce'!$K195&gt;=3,FALSE()),IFERROR(1*'Daily Workforce'!$K195&gt;=2,FALSE())),IF(AND('Daily Schedule'!$A35&gt;=46,'Daily Schedule'!$A35&lt;=52),'Daily Workforce'!$M195="Y",IFERROR(1*'Daily Workforce'!$P195&gt;=2,FALSE()))))),1,0)</f>
        <v>0</v>
      </c>
      <c r="GY31" s="1" t="n">
        <f aca="false">IF(AND('Daily Workforce'!$N196="Y",'Daily Workforce'!$B196&lt;&gt;"",COUNTIF('Daily Schedule'!$F$5:$F34,'Daily Workforce'!$B196)=0,IF('Daily Schedule'!$A35=45,'Daily Workforce'!$J196="Y",IF(OR('Daily Schedule'!$A35=4,'Daily Schedule'!$A35=8),IF(OR(WEEKDAY('Daily Schedule'!$B$2,2)=1,WEEKDAY('Daily Schedule'!$B$2,2)=4,WEEKDAY('Daily Schedule'!$B$2,2)=5,WEEKDAY('Daily Schedule'!$B$2,2)=7),IFERROR(1*'Daily Workforce'!$K196&gt;=3,FALSE()),IFERROR(1*'Daily Workforce'!$K196&gt;=2,FALSE())),IF(AND('Daily Schedule'!$A35&gt;=46,'Daily Schedule'!$A35&lt;=52),'Daily Workforce'!$M196="Y",IFERROR(1*'Daily Workforce'!$P196&gt;=2,FALSE()))))),1,0)</f>
        <v>0</v>
      </c>
      <c r="GZ31" s="1" t="n">
        <f aca="false">IF(AND('Daily Workforce'!$N197="Y",'Daily Workforce'!$B197&lt;&gt;"",COUNTIF('Daily Schedule'!$F$5:$F34,'Daily Workforce'!$B197)=0,IF('Daily Schedule'!$A35=45,'Daily Workforce'!$J197="Y",IF(OR('Daily Schedule'!$A35=4,'Daily Schedule'!$A35=8),IF(OR(WEEKDAY('Daily Schedule'!$B$2,2)=1,WEEKDAY('Daily Schedule'!$B$2,2)=4,WEEKDAY('Daily Schedule'!$B$2,2)=5,WEEKDAY('Daily Schedule'!$B$2,2)=7),IFERROR(1*'Daily Workforce'!$K197&gt;=3,FALSE()),IFERROR(1*'Daily Workforce'!$K197&gt;=2,FALSE())),IF(AND('Daily Schedule'!$A35&gt;=46,'Daily Schedule'!$A35&lt;=52),'Daily Workforce'!$M197="Y",IFERROR(1*'Daily Workforce'!$P197&gt;=2,FALSE()))))),1,0)</f>
        <v>0</v>
      </c>
      <c r="HA31" s="1" t="n">
        <f aca="false">IF(AND('Daily Workforce'!$N198="Y",'Daily Workforce'!$B198&lt;&gt;"",COUNTIF('Daily Schedule'!$F$5:$F34,'Daily Workforce'!$B198)=0,IF('Daily Schedule'!$A35=45,'Daily Workforce'!$J198="Y",IF(OR('Daily Schedule'!$A35=4,'Daily Schedule'!$A35=8),IF(OR(WEEKDAY('Daily Schedule'!$B$2,2)=1,WEEKDAY('Daily Schedule'!$B$2,2)=4,WEEKDAY('Daily Schedule'!$B$2,2)=5,WEEKDAY('Daily Schedule'!$B$2,2)=7),IFERROR(1*'Daily Workforce'!$K198&gt;=3,FALSE()),IFERROR(1*'Daily Workforce'!$K198&gt;=2,FALSE())),IF(AND('Daily Schedule'!$A35&gt;=46,'Daily Schedule'!$A35&lt;=52),'Daily Workforce'!$M198="Y",IFERROR(1*'Daily Workforce'!$P198&gt;=2,FALSE()))))),1,0)</f>
        <v>0</v>
      </c>
      <c r="HB31" s="1" t="n">
        <f aca="false">IF(AND('Daily Workforce'!$N199="Y",'Daily Workforce'!$B199&lt;&gt;"",COUNTIF('Daily Schedule'!$F$5:$F34,'Daily Workforce'!$B199)=0,IF('Daily Schedule'!$A35=45,'Daily Workforce'!$J199="Y",IF(OR('Daily Schedule'!$A35=4,'Daily Schedule'!$A35=8),IF(OR(WEEKDAY('Daily Schedule'!$B$2,2)=1,WEEKDAY('Daily Schedule'!$B$2,2)=4,WEEKDAY('Daily Schedule'!$B$2,2)=5,WEEKDAY('Daily Schedule'!$B$2,2)=7),IFERROR(1*'Daily Workforce'!$K199&gt;=3,FALSE()),IFERROR(1*'Daily Workforce'!$K199&gt;=2,FALSE())),IF(AND('Daily Schedule'!$A35&gt;=46,'Daily Schedule'!$A35&lt;=52),'Daily Workforce'!$M199="Y",IFERROR(1*'Daily Workforce'!$P199&gt;=2,FALSE()))))),1,0)</f>
        <v>0</v>
      </c>
      <c r="HC31" s="1" t="n">
        <f aca="false">IF(AND('Daily Workforce'!$N200="Y",'Daily Workforce'!$B200&lt;&gt;"",COUNTIF('Daily Schedule'!$F$5:$F34,'Daily Workforce'!$B200)=0,IF('Daily Schedule'!$A35=45,'Daily Workforce'!$J200="Y",IF(OR('Daily Schedule'!$A35=4,'Daily Schedule'!$A35=8),IF(OR(WEEKDAY('Daily Schedule'!$B$2,2)=1,WEEKDAY('Daily Schedule'!$B$2,2)=4,WEEKDAY('Daily Schedule'!$B$2,2)=5,WEEKDAY('Daily Schedule'!$B$2,2)=7),IFERROR(1*'Daily Workforce'!$K200&gt;=3,FALSE()),IFERROR(1*'Daily Workforce'!$K200&gt;=2,FALSE())),IF(AND('Daily Schedule'!$A35&gt;=46,'Daily Schedule'!$A35&lt;=52),'Daily Workforce'!$M200="Y",IFERROR(1*'Daily Workforce'!$P200&gt;=2,FALSE()))))),1,0)</f>
        <v>0</v>
      </c>
      <c r="HD31" s="1" t="n">
        <f aca="false">IF(AND('Daily Workforce'!$N201="Y",'Daily Workforce'!$B201&lt;&gt;"",COUNTIF('Daily Schedule'!$F$5:$F34,'Daily Workforce'!$B201)=0,IF('Daily Schedule'!$A35=45,'Daily Workforce'!$J201="Y",IF(OR('Daily Schedule'!$A35=4,'Daily Schedule'!$A35=8),IF(OR(WEEKDAY('Daily Schedule'!$B$2,2)=1,WEEKDAY('Daily Schedule'!$B$2,2)=4,WEEKDAY('Daily Schedule'!$B$2,2)=5,WEEKDAY('Daily Schedule'!$B$2,2)=7),IFERROR(1*'Daily Workforce'!$K201&gt;=3,FALSE()),IFERROR(1*'Daily Workforce'!$K201&gt;=2,FALSE())),IF(AND('Daily Schedule'!$A35&gt;=46,'Daily Schedule'!$A35&lt;=52),'Daily Workforce'!$M201="Y",IFERROR(1*'Daily Workforce'!$P201&gt;=2,FALSE()))))),1,0)</f>
        <v>0</v>
      </c>
      <c r="HE31" s="1" t="n">
        <f aca="false">IF(AND('Daily Workforce'!$N202="Y",'Daily Workforce'!$B202&lt;&gt;"",COUNTIF('Daily Schedule'!$F$5:$F34,'Daily Workforce'!$B202)=0,IF('Daily Schedule'!$A35=45,'Daily Workforce'!$J202="Y",IF(OR('Daily Schedule'!$A35=4,'Daily Schedule'!$A35=8),IF(OR(WEEKDAY('Daily Schedule'!$B$2,2)=1,WEEKDAY('Daily Schedule'!$B$2,2)=4,WEEKDAY('Daily Schedule'!$B$2,2)=5,WEEKDAY('Daily Schedule'!$B$2,2)=7),IFERROR(1*'Daily Workforce'!$K202&gt;=3,FALSE()),IFERROR(1*'Daily Workforce'!$K202&gt;=2,FALSE())),IF(AND('Daily Schedule'!$A35&gt;=46,'Daily Schedule'!$A35&lt;=52),'Daily Workforce'!$M202="Y",IFERROR(1*'Daily Workforce'!$P202&gt;=2,FALSE()))))),1,0)</f>
        <v>0</v>
      </c>
      <c r="HF31" s="1" t="n">
        <f aca="false">IF(AND('Daily Workforce'!$N203="Y",'Daily Workforce'!$B203&lt;&gt;"",COUNTIF('Daily Schedule'!$F$5:$F34,'Daily Workforce'!$B203)=0,IF('Daily Schedule'!$A35=45,'Daily Workforce'!$J203="Y",IF(OR('Daily Schedule'!$A35=4,'Daily Schedule'!$A35=8),IF(OR(WEEKDAY('Daily Schedule'!$B$2,2)=1,WEEKDAY('Daily Schedule'!$B$2,2)=4,WEEKDAY('Daily Schedule'!$B$2,2)=5,WEEKDAY('Daily Schedule'!$B$2,2)=7),IFERROR(1*'Daily Workforce'!$K203&gt;=3,FALSE()),IFERROR(1*'Daily Workforce'!$K203&gt;=2,FALSE())),IF(AND('Daily Schedule'!$A35&gt;=46,'Daily Schedule'!$A35&lt;=52),'Daily Workforce'!$M203="Y",IFERROR(1*'Daily Workforce'!$P203&gt;=2,FALSE()))))),1,0)</f>
        <v>0</v>
      </c>
      <c r="HG31" s="1" t="n">
        <f aca="false">IF(AND('Daily Workforce'!$N204="Y",'Daily Workforce'!$B204&lt;&gt;"",COUNTIF('Daily Schedule'!$F$5:$F34,'Daily Workforce'!$B204)=0,IF('Daily Schedule'!$A35=45,'Daily Workforce'!$J204="Y",IF(OR('Daily Schedule'!$A35=4,'Daily Schedule'!$A35=8),IF(OR(WEEKDAY('Daily Schedule'!$B$2,2)=1,WEEKDAY('Daily Schedule'!$B$2,2)=4,WEEKDAY('Daily Schedule'!$B$2,2)=5,WEEKDAY('Daily Schedule'!$B$2,2)=7),IFERROR(1*'Daily Workforce'!$K204&gt;=3,FALSE()),IFERROR(1*'Daily Workforce'!$K204&gt;=2,FALSE())),IF(AND('Daily Schedule'!$A35&gt;=46,'Daily Schedule'!$A35&lt;=52),'Daily Workforce'!$M204="Y",IFERROR(1*'Daily Workforce'!$P204&gt;=2,FALSE()))))),1,0)</f>
        <v>0</v>
      </c>
      <c r="HH31" s="1" t="n">
        <f aca="false">IF(AND('Daily Workforce'!$N205="Y",'Daily Workforce'!$B205&lt;&gt;"",COUNTIF('Daily Schedule'!$F$5:$F34,'Daily Workforce'!$B205)=0,IF('Daily Schedule'!$A35=45,'Daily Workforce'!$J205="Y",IF(OR('Daily Schedule'!$A35=4,'Daily Schedule'!$A35=8),IF(OR(WEEKDAY('Daily Schedule'!$B$2,2)=1,WEEKDAY('Daily Schedule'!$B$2,2)=4,WEEKDAY('Daily Schedule'!$B$2,2)=5,WEEKDAY('Daily Schedule'!$B$2,2)=7),IFERROR(1*'Daily Workforce'!$K205&gt;=3,FALSE()),IFERROR(1*'Daily Workforce'!$K205&gt;=2,FALSE())),IF(AND('Daily Schedule'!$A35&gt;=46,'Daily Schedule'!$A35&lt;=52),'Daily Workforce'!$M205="Y",IFERROR(1*'Daily Workforce'!$P205&gt;=2,FALSE()))))),1,0)</f>
        <v>0</v>
      </c>
    </row>
    <row r="32" customFormat="false" ht="15" hidden="false" customHeight="true" outlineLevel="0" collapsed="false">
      <c r="L32" s="1" t="s">
        <v>485</v>
      </c>
      <c r="O32" s="1" t="n">
        <f aca="false">IF(AND('Employee Master'!$G32="Y",ISERROR(SEARCH(TEXT('Daily Workforce'!$B$2,"ddd"),'Employee Master'!$D32)),IF('Daily Workforce'!$E$2="",TRUE(),'Employee Master'!$I32='Daily Workforce'!$E$2)),'Employee Master'!$K32*1000+ROW()-1,"")</f>
        <v>3031</v>
      </c>
      <c r="P32" s="1" t="n">
        <f aca="false">IF($O32="","",COUNTIF($O$2:$O$159,"&lt;="&amp;$O32))</f>
        <v>63</v>
      </c>
      <c r="Q32" s="1" t="n">
        <f aca="false">IF(AND('Daily Workforce'!$N6="Y",'Daily Workforce'!$B6&lt;&gt;"",COUNTIF('Daily Schedule'!$F$5:$F35,'Daily Workforce'!$B6)=0,IF('Daily Schedule'!$A36=45,'Daily Workforce'!$J6="Y",IF(OR('Daily Schedule'!$A36=4,'Daily Schedule'!$A36=8),IF(OR(WEEKDAY('Daily Schedule'!$B$2,2)=1,WEEKDAY('Daily Schedule'!$B$2,2)=4,WEEKDAY('Daily Schedule'!$B$2,2)=5,WEEKDAY('Daily Schedule'!$B$2,2)=7),IFERROR(1*'Daily Workforce'!$K6&gt;=3,FALSE()),IFERROR(1*'Daily Workforce'!$K6&gt;=2,FALSE())),IF(AND('Daily Schedule'!$A36&gt;=46,'Daily Schedule'!$A36&lt;=52),'Daily Workforce'!$M6="Y",IFERROR(1*'Daily Workforce'!$P6&gt;=2,FALSE()))))),1,0)</f>
        <v>0</v>
      </c>
      <c r="R32" s="1" t="n">
        <f aca="false">IF(AND('Daily Workforce'!$N7="Y",'Daily Workforce'!$B7&lt;&gt;"",COUNTIF('Daily Schedule'!$F$5:$F35,'Daily Workforce'!$B7)=0,IF('Daily Schedule'!$A36=45,'Daily Workforce'!$J7="Y",IF(OR('Daily Schedule'!$A36=4,'Daily Schedule'!$A36=8),IF(OR(WEEKDAY('Daily Schedule'!$B$2,2)=1,WEEKDAY('Daily Schedule'!$B$2,2)=4,WEEKDAY('Daily Schedule'!$B$2,2)=5,WEEKDAY('Daily Schedule'!$B$2,2)=7),IFERROR(1*'Daily Workforce'!$K7&gt;=3,FALSE()),IFERROR(1*'Daily Workforce'!$K7&gt;=2,FALSE())),IF(AND('Daily Schedule'!$A36&gt;=46,'Daily Schedule'!$A36&lt;=52),'Daily Workforce'!$M7="Y",IFERROR(1*'Daily Workforce'!$P7&gt;=2,FALSE()))))),1,0)</f>
        <v>0</v>
      </c>
      <c r="S32" s="1" t="n">
        <f aca="false">IF(AND('Daily Workforce'!$N8="Y",'Daily Workforce'!$B8&lt;&gt;"",COUNTIF('Daily Schedule'!$F$5:$F35,'Daily Workforce'!$B8)=0,IF('Daily Schedule'!$A36=45,'Daily Workforce'!$J8="Y",IF(OR('Daily Schedule'!$A36=4,'Daily Schedule'!$A36=8),IF(OR(WEEKDAY('Daily Schedule'!$B$2,2)=1,WEEKDAY('Daily Schedule'!$B$2,2)=4,WEEKDAY('Daily Schedule'!$B$2,2)=5,WEEKDAY('Daily Schedule'!$B$2,2)=7),IFERROR(1*'Daily Workforce'!$K8&gt;=3,FALSE()),IFERROR(1*'Daily Workforce'!$K8&gt;=2,FALSE())),IF(AND('Daily Schedule'!$A36&gt;=46,'Daily Schedule'!$A36&lt;=52),'Daily Workforce'!$M8="Y",IFERROR(1*'Daily Workforce'!$P8&gt;=2,FALSE()))))),1,0)</f>
        <v>0</v>
      </c>
      <c r="T32" s="1" t="n">
        <f aca="false">IF(AND('Daily Workforce'!$N9="Y",'Daily Workforce'!$B9&lt;&gt;"",COUNTIF('Daily Schedule'!$F$5:$F35,'Daily Workforce'!$B9)=0,IF('Daily Schedule'!$A36=45,'Daily Workforce'!$J9="Y",IF(OR('Daily Schedule'!$A36=4,'Daily Schedule'!$A36=8),IF(OR(WEEKDAY('Daily Schedule'!$B$2,2)=1,WEEKDAY('Daily Schedule'!$B$2,2)=4,WEEKDAY('Daily Schedule'!$B$2,2)=5,WEEKDAY('Daily Schedule'!$B$2,2)=7),IFERROR(1*'Daily Workforce'!$K9&gt;=3,FALSE()),IFERROR(1*'Daily Workforce'!$K9&gt;=2,FALSE())),IF(AND('Daily Schedule'!$A36&gt;=46,'Daily Schedule'!$A36&lt;=52),'Daily Workforce'!$M9="Y",IFERROR(1*'Daily Workforce'!$P9&gt;=2,FALSE()))))),1,0)</f>
        <v>0</v>
      </c>
      <c r="U32" s="1" t="n">
        <f aca="false">IF(AND('Daily Workforce'!$N10="Y",'Daily Workforce'!$B10&lt;&gt;"",COUNTIF('Daily Schedule'!$F$5:$F35,'Daily Workforce'!$B10)=0,IF('Daily Schedule'!$A36=45,'Daily Workforce'!$J10="Y",IF(OR('Daily Schedule'!$A36=4,'Daily Schedule'!$A36=8),IF(OR(WEEKDAY('Daily Schedule'!$B$2,2)=1,WEEKDAY('Daily Schedule'!$B$2,2)=4,WEEKDAY('Daily Schedule'!$B$2,2)=5,WEEKDAY('Daily Schedule'!$B$2,2)=7),IFERROR(1*'Daily Workforce'!$K10&gt;=3,FALSE()),IFERROR(1*'Daily Workforce'!$K10&gt;=2,FALSE())),IF(AND('Daily Schedule'!$A36&gt;=46,'Daily Schedule'!$A36&lt;=52),'Daily Workforce'!$M10="Y",IFERROR(1*'Daily Workforce'!$P10&gt;=2,FALSE()))))),1,0)</f>
        <v>0</v>
      </c>
      <c r="V32" s="1" t="n">
        <f aca="false">IF(AND('Daily Workforce'!$N11="Y",'Daily Workforce'!$B11&lt;&gt;"",COUNTIF('Daily Schedule'!$F$5:$F35,'Daily Workforce'!$B11)=0,IF('Daily Schedule'!$A36=45,'Daily Workforce'!$J11="Y",IF(OR('Daily Schedule'!$A36=4,'Daily Schedule'!$A36=8),IF(OR(WEEKDAY('Daily Schedule'!$B$2,2)=1,WEEKDAY('Daily Schedule'!$B$2,2)=4,WEEKDAY('Daily Schedule'!$B$2,2)=5,WEEKDAY('Daily Schedule'!$B$2,2)=7),IFERROR(1*'Daily Workforce'!$K11&gt;=3,FALSE()),IFERROR(1*'Daily Workforce'!$K11&gt;=2,FALSE())),IF(AND('Daily Schedule'!$A36&gt;=46,'Daily Schedule'!$A36&lt;=52),'Daily Workforce'!$M11="Y",IFERROR(1*'Daily Workforce'!$P11&gt;=2,FALSE()))))),1,0)</f>
        <v>0</v>
      </c>
      <c r="W32" s="1" t="n">
        <f aca="false">IF(AND('Daily Workforce'!$N12="Y",'Daily Workforce'!$B12&lt;&gt;"",COUNTIF('Daily Schedule'!$F$5:$F35,'Daily Workforce'!$B12)=0,IF('Daily Schedule'!$A36=45,'Daily Workforce'!$J12="Y",IF(OR('Daily Schedule'!$A36=4,'Daily Schedule'!$A36=8),IF(OR(WEEKDAY('Daily Schedule'!$B$2,2)=1,WEEKDAY('Daily Schedule'!$B$2,2)=4,WEEKDAY('Daily Schedule'!$B$2,2)=5,WEEKDAY('Daily Schedule'!$B$2,2)=7),IFERROR(1*'Daily Workforce'!$K12&gt;=3,FALSE()),IFERROR(1*'Daily Workforce'!$K12&gt;=2,FALSE())),IF(AND('Daily Schedule'!$A36&gt;=46,'Daily Schedule'!$A36&lt;=52),'Daily Workforce'!$M12="Y",IFERROR(1*'Daily Workforce'!$P12&gt;=2,FALSE()))))),1,0)</f>
        <v>0</v>
      </c>
      <c r="X32" s="1" t="n">
        <f aca="false">IF(AND('Daily Workforce'!$N13="Y",'Daily Workforce'!$B13&lt;&gt;"",COUNTIF('Daily Schedule'!$F$5:$F35,'Daily Workforce'!$B13)=0,IF('Daily Schedule'!$A36=45,'Daily Workforce'!$J13="Y",IF(OR('Daily Schedule'!$A36=4,'Daily Schedule'!$A36=8),IF(OR(WEEKDAY('Daily Schedule'!$B$2,2)=1,WEEKDAY('Daily Schedule'!$B$2,2)=4,WEEKDAY('Daily Schedule'!$B$2,2)=5,WEEKDAY('Daily Schedule'!$B$2,2)=7),IFERROR(1*'Daily Workforce'!$K13&gt;=3,FALSE()),IFERROR(1*'Daily Workforce'!$K13&gt;=2,FALSE())),IF(AND('Daily Schedule'!$A36&gt;=46,'Daily Schedule'!$A36&lt;=52),'Daily Workforce'!$M13="Y",IFERROR(1*'Daily Workforce'!$P13&gt;=2,FALSE()))))),1,0)</f>
        <v>0</v>
      </c>
      <c r="Y32" s="1" t="n">
        <f aca="false">IF(AND('Daily Workforce'!$N14="Y",'Daily Workforce'!$B14&lt;&gt;"",COUNTIF('Daily Schedule'!$F$5:$F35,'Daily Workforce'!$B14)=0,IF('Daily Schedule'!$A36=45,'Daily Workforce'!$J14="Y",IF(OR('Daily Schedule'!$A36=4,'Daily Schedule'!$A36=8),IF(OR(WEEKDAY('Daily Schedule'!$B$2,2)=1,WEEKDAY('Daily Schedule'!$B$2,2)=4,WEEKDAY('Daily Schedule'!$B$2,2)=5,WEEKDAY('Daily Schedule'!$B$2,2)=7),IFERROR(1*'Daily Workforce'!$K14&gt;=3,FALSE()),IFERROR(1*'Daily Workforce'!$K14&gt;=2,FALSE())),IF(AND('Daily Schedule'!$A36&gt;=46,'Daily Schedule'!$A36&lt;=52),'Daily Workforce'!$M14="Y",IFERROR(1*'Daily Workforce'!$P14&gt;=2,FALSE()))))),1,0)</f>
        <v>0</v>
      </c>
      <c r="Z32" s="1" t="n">
        <f aca="false">IF(AND('Daily Workforce'!$N15="Y",'Daily Workforce'!$B15&lt;&gt;"",COUNTIF('Daily Schedule'!$F$5:$F35,'Daily Workforce'!$B15)=0,IF('Daily Schedule'!$A36=45,'Daily Workforce'!$J15="Y",IF(OR('Daily Schedule'!$A36=4,'Daily Schedule'!$A36=8),IF(OR(WEEKDAY('Daily Schedule'!$B$2,2)=1,WEEKDAY('Daily Schedule'!$B$2,2)=4,WEEKDAY('Daily Schedule'!$B$2,2)=5,WEEKDAY('Daily Schedule'!$B$2,2)=7),IFERROR(1*'Daily Workforce'!$K15&gt;=3,FALSE()),IFERROR(1*'Daily Workforce'!$K15&gt;=2,FALSE())),IF(AND('Daily Schedule'!$A36&gt;=46,'Daily Schedule'!$A36&lt;=52),'Daily Workforce'!$M15="Y",IFERROR(1*'Daily Workforce'!$P15&gt;=2,FALSE()))))),1,0)</f>
        <v>0</v>
      </c>
      <c r="AA32" s="1" t="n">
        <f aca="false">IF(AND('Daily Workforce'!$N16="Y",'Daily Workforce'!$B16&lt;&gt;"",COUNTIF('Daily Schedule'!$F$5:$F35,'Daily Workforce'!$B16)=0,IF('Daily Schedule'!$A36=45,'Daily Workforce'!$J16="Y",IF(OR('Daily Schedule'!$A36=4,'Daily Schedule'!$A36=8),IF(OR(WEEKDAY('Daily Schedule'!$B$2,2)=1,WEEKDAY('Daily Schedule'!$B$2,2)=4,WEEKDAY('Daily Schedule'!$B$2,2)=5,WEEKDAY('Daily Schedule'!$B$2,2)=7),IFERROR(1*'Daily Workforce'!$K16&gt;=3,FALSE()),IFERROR(1*'Daily Workforce'!$K16&gt;=2,FALSE())),IF(AND('Daily Schedule'!$A36&gt;=46,'Daily Schedule'!$A36&lt;=52),'Daily Workforce'!$M16="Y",IFERROR(1*'Daily Workforce'!$P16&gt;=2,FALSE()))))),1,0)</f>
        <v>0</v>
      </c>
      <c r="AB32" s="1" t="n">
        <f aca="false">IF(AND('Daily Workforce'!$N17="Y",'Daily Workforce'!$B17&lt;&gt;"",COUNTIF('Daily Schedule'!$F$5:$F35,'Daily Workforce'!$B17)=0,IF('Daily Schedule'!$A36=45,'Daily Workforce'!$J17="Y",IF(OR('Daily Schedule'!$A36=4,'Daily Schedule'!$A36=8),IF(OR(WEEKDAY('Daily Schedule'!$B$2,2)=1,WEEKDAY('Daily Schedule'!$B$2,2)=4,WEEKDAY('Daily Schedule'!$B$2,2)=5,WEEKDAY('Daily Schedule'!$B$2,2)=7),IFERROR(1*'Daily Workforce'!$K17&gt;=3,FALSE()),IFERROR(1*'Daily Workforce'!$K17&gt;=2,FALSE())),IF(AND('Daily Schedule'!$A36&gt;=46,'Daily Schedule'!$A36&lt;=52),'Daily Workforce'!$M17="Y",IFERROR(1*'Daily Workforce'!$P17&gt;=2,FALSE()))))),1,0)</f>
        <v>0</v>
      </c>
      <c r="AC32" s="1" t="n">
        <f aca="false">IF(AND('Daily Workforce'!$N18="Y",'Daily Workforce'!$B18&lt;&gt;"",COUNTIF('Daily Schedule'!$F$5:$F35,'Daily Workforce'!$B18)=0,IF('Daily Schedule'!$A36=45,'Daily Workforce'!$J18="Y",IF(OR('Daily Schedule'!$A36=4,'Daily Schedule'!$A36=8),IF(OR(WEEKDAY('Daily Schedule'!$B$2,2)=1,WEEKDAY('Daily Schedule'!$B$2,2)=4,WEEKDAY('Daily Schedule'!$B$2,2)=5,WEEKDAY('Daily Schedule'!$B$2,2)=7),IFERROR(1*'Daily Workforce'!$K18&gt;=3,FALSE()),IFERROR(1*'Daily Workforce'!$K18&gt;=2,FALSE())),IF(AND('Daily Schedule'!$A36&gt;=46,'Daily Schedule'!$A36&lt;=52),'Daily Workforce'!$M18="Y",IFERROR(1*'Daily Workforce'!$P18&gt;=2,FALSE()))))),1,0)</f>
        <v>0</v>
      </c>
      <c r="AD32" s="1" t="n">
        <f aca="false">IF(AND('Daily Workforce'!$N19="Y",'Daily Workforce'!$B19&lt;&gt;"",COUNTIF('Daily Schedule'!$F$5:$F35,'Daily Workforce'!$B19)=0,IF('Daily Schedule'!$A36=45,'Daily Workforce'!$J19="Y",IF(OR('Daily Schedule'!$A36=4,'Daily Schedule'!$A36=8),IF(OR(WEEKDAY('Daily Schedule'!$B$2,2)=1,WEEKDAY('Daily Schedule'!$B$2,2)=4,WEEKDAY('Daily Schedule'!$B$2,2)=5,WEEKDAY('Daily Schedule'!$B$2,2)=7),IFERROR(1*'Daily Workforce'!$K19&gt;=3,FALSE()),IFERROR(1*'Daily Workforce'!$K19&gt;=2,FALSE())),IF(AND('Daily Schedule'!$A36&gt;=46,'Daily Schedule'!$A36&lt;=52),'Daily Workforce'!$M19="Y",IFERROR(1*'Daily Workforce'!$P19&gt;=2,FALSE()))))),1,0)</f>
        <v>0</v>
      </c>
      <c r="AE32" s="1" t="n">
        <f aca="false">IF(AND('Daily Workforce'!$N20="Y",'Daily Workforce'!$B20&lt;&gt;"",COUNTIF('Daily Schedule'!$F$5:$F35,'Daily Workforce'!$B20)=0,IF('Daily Schedule'!$A36=45,'Daily Workforce'!$J20="Y",IF(OR('Daily Schedule'!$A36=4,'Daily Schedule'!$A36=8),IF(OR(WEEKDAY('Daily Schedule'!$B$2,2)=1,WEEKDAY('Daily Schedule'!$B$2,2)=4,WEEKDAY('Daily Schedule'!$B$2,2)=5,WEEKDAY('Daily Schedule'!$B$2,2)=7),IFERROR(1*'Daily Workforce'!$K20&gt;=3,FALSE()),IFERROR(1*'Daily Workforce'!$K20&gt;=2,FALSE())),IF(AND('Daily Schedule'!$A36&gt;=46,'Daily Schedule'!$A36&lt;=52),'Daily Workforce'!$M20="Y",IFERROR(1*'Daily Workforce'!$P20&gt;=2,FALSE()))))),1,0)</f>
        <v>0</v>
      </c>
      <c r="AF32" s="1" t="n">
        <f aca="false">IF(AND('Daily Workforce'!$N21="Y",'Daily Workforce'!$B21&lt;&gt;"",COUNTIF('Daily Schedule'!$F$5:$F35,'Daily Workforce'!$B21)=0,IF('Daily Schedule'!$A36=45,'Daily Workforce'!$J21="Y",IF(OR('Daily Schedule'!$A36=4,'Daily Schedule'!$A36=8),IF(OR(WEEKDAY('Daily Schedule'!$B$2,2)=1,WEEKDAY('Daily Schedule'!$B$2,2)=4,WEEKDAY('Daily Schedule'!$B$2,2)=5,WEEKDAY('Daily Schedule'!$B$2,2)=7),IFERROR(1*'Daily Workforce'!$K21&gt;=3,FALSE()),IFERROR(1*'Daily Workforce'!$K21&gt;=2,FALSE())),IF(AND('Daily Schedule'!$A36&gt;=46,'Daily Schedule'!$A36&lt;=52),'Daily Workforce'!$M21="Y",IFERROR(1*'Daily Workforce'!$P21&gt;=2,FALSE()))))),1,0)</f>
        <v>0</v>
      </c>
      <c r="AG32" s="1" t="n">
        <f aca="false">IF(AND('Daily Workforce'!$N22="Y",'Daily Workforce'!$B22&lt;&gt;"",COUNTIF('Daily Schedule'!$F$5:$F35,'Daily Workforce'!$B22)=0,IF('Daily Schedule'!$A36=45,'Daily Workforce'!$J22="Y",IF(OR('Daily Schedule'!$A36=4,'Daily Schedule'!$A36=8),IF(OR(WEEKDAY('Daily Schedule'!$B$2,2)=1,WEEKDAY('Daily Schedule'!$B$2,2)=4,WEEKDAY('Daily Schedule'!$B$2,2)=5,WEEKDAY('Daily Schedule'!$B$2,2)=7),IFERROR(1*'Daily Workforce'!$K22&gt;=3,FALSE()),IFERROR(1*'Daily Workforce'!$K22&gt;=2,FALSE())),IF(AND('Daily Schedule'!$A36&gt;=46,'Daily Schedule'!$A36&lt;=52),'Daily Workforce'!$M22="Y",IFERROR(1*'Daily Workforce'!$P22&gt;=2,FALSE()))))),1,0)</f>
        <v>0</v>
      </c>
      <c r="AH32" s="1" t="n">
        <f aca="false">IF(AND('Daily Workforce'!$N23="Y",'Daily Workforce'!$B23&lt;&gt;"",COUNTIF('Daily Schedule'!$F$5:$F35,'Daily Workforce'!$B23)=0,IF('Daily Schedule'!$A36=45,'Daily Workforce'!$J23="Y",IF(OR('Daily Schedule'!$A36=4,'Daily Schedule'!$A36=8),IF(OR(WEEKDAY('Daily Schedule'!$B$2,2)=1,WEEKDAY('Daily Schedule'!$B$2,2)=4,WEEKDAY('Daily Schedule'!$B$2,2)=5,WEEKDAY('Daily Schedule'!$B$2,2)=7),IFERROR(1*'Daily Workforce'!$K23&gt;=3,FALSE()),IFERROR(1*'Daily Workforce'!$K23&gt;=2,FALSE())),IF(AND('Daily Schedule'!$A36&gt;=46,'Daily Schedule'!$A36&lt;=52),'Daily Workforce'!$M23="Y",IFERROR(1*'Daily Workforce'!$P23&gt;=2,FALSE()))))),1,0)</f>
        <v>0</v>
      </c>
      <c r="AI32" s="1" t="n">
        <f aca="false">IF(AND('Daily Workforce'!$N24="Y",'Daily Workforce'!$B24&lt;&gt;"",COUNTIF('Daily Schedule'!$F$5:$F35,'Daily Workforce'!$B24)=0,IF('Daily Schedule'!$A36=45,'Daily Workforce'!$J24="Y",IF(OR('Daily Schedule'!$A36=4,'Daily Schedule'!$A36=8),IF(OR(WEEKDAY('Daily Schedule'!$B$2,2)=1,WEEKDAY('Daily Schedule'!$B$2,2)=4,WEEKDAY('Daily Schedule'!$B$2,2)=5,WEEKDAY('Daily Schedule'!$B$2,2)=7),IFERROR(1*'Daily Workforce'!$K24&gt;=3,FALSE()),IFERROR(1*'Daily Workforce'!$K24&gt;=2,FALSE())),IF(AND('Daily Schedule'!$A36&gt;=46,'Daily Schedule'!$A36&lt;=52),'Daily Workforce'!$M24="Y",IFERROR(1*'Daily Workforce'!$P24&gt;=2,FALSE()))))),1,0)</f>
        <v>0</v>
      </c>
      <c r="AJ32" s="1" t="n">
        <f aca="false">IF(AND('Daily Workforce'!$N25="Y",'Daily Workforce'!$B25&lt;&gt;"",COUNTIF('Daily Schedule'!$F$5:$F35,'Daily Workforce'!$B25)=0,IF('Daily Schedule'!$A36=45,'Daily Workforce'!$J25="Y",IF(OR('Daily Schedule'!$A36=4,'Daily Schedule'!$A36=8),IF(OR(WEEKDAY('Daily Schedule'!$B$2,2)=1,WEEKDAY('Daily Schedule'!$B$2,2)=4,WEEKDAY('Daily Schedule'!$B$2,2)=5,WEEKDAY('Daily Schedule'!$B$2,2)=7),IFERROR(1*'Daily Workforce'!$K25&gt;=3,FALSE()),IFERROR(1*'Daily Workforce'!$K25&gt;=2,FALSE())),IF(AND('Daily Schedule'!$A36&gt;=46,'Daily Schedule'!$A36&lt;=52),'Daily Workforce'!$M25="Y",IFERROR(1*'Daily Workforce'!$P25&gt;=2,FALSE()))))),1,0)</f>
        <v>0</v>
      </c>
      <c r="AK32" s="1" t="n">
        <f aca="false">IF(AND('Daily Workforce'!$N26="Y",'Daily Workforce'!$B26&lt;&gt;"",COUNTIF('Daily Schedule'!$F$5:$F35,'Daily Workforce'!$B26)=0,IF('Daily Schedule'!$A36=45,'Daily Workforce'!$J26="Y",IF(OR('Daily Schedule'!$A36=4,'Daily Schedule'!$A36=8),IF(OR(WEEKDAY('Daily Schedule'!$B$2,2)=1,WEEKDAY('Daily Schedule'!$B$2,2)=4,WEEKDAY('Daily Schedule'!$B$2,2)=5,WEEKDAY('Daily Schedule'!$B$2,2)=7),IFERROR(1*'Daily Workforce'!$K26&gt;=3,FALSE()),IFERROR(1*'Daily Workforce'!$K26&gt;=2,FALSE())),IF(AND('Daily Schedule'!$A36&gt;=46,'Daily Schedule'!$A36&lt;=52),'Daily Workforce'!$M26="Y",IFERROR(1*'Daily Workforce'!$P26&gt;=2,FALSE()))))),1,0)</f>
        <v>0</v>
      </c>
      <c r="AL32" s="1" t="n">
        <f aca="false">IF(AND('Daily Workforce'!$N27="Y",'Daily Workforce'!$B27&lt;&gt;"",COUNTIF('Daily Schedule'!$F$5:$F35,'Daily Workforce'!$B27)=0,IF('Daily Schedule'!$A36=45,'Daily Workforce'!$J27="Y",IF(OR('Daily Schedule'!$A36=4,'Daily Schedule'!$A36=8),IF(OR(WEEKDAY('Daily Schedule'!$B$2,2)=1,WEEKDAY('Daily Schedule'!$B$2,2)=4,WEEKDAY('Daily Schedule'!$B$2,2)=5,WEEKDAY('Daily Schedule'!$B$2,2)=7),IFERROR(1*'Daily Workforce'!$K27&gt;=3,FALSE()),IFERROR(1*'Daily Workforce'!$K27&gt;=2,FALSE())),IF(AND('Daily Schedule'!$A36&gt;=46,'Daily Schedule'!$A36&lt;=52),'Daily Workforce'!$M27="Y",IFERROR(1*'Daily Workforce'!$P27&gt;=2,FALSE()))))),1,0)</f>
        <v>0</v>
      </c>
      <c r="AM32" s="1" t="n">
        <f aca="false">IF(AND('Daily Workforce'!$N28="Y",'Daily Workforce'!$B28&lt;&gt;"",COUNTIF('Daily Schedule'!$F$5:$F35,'Daily Workforce'!$B28)=0,IF('Daily Schedule'!$A36=45,'Daily Workforce'!$J28="Y",IF(OR('Daily Schedule'!$A36=4,'Daily Schedule'!$A36=8),IF(OR(WEEKDAY('Daily Schedule'!$B$2,2)=1,WEEKDAY('Daily Schedule'!$B$2,2)=4,WEEKDAY('Daily Schedule'!$B$2,2)=5,WEEKDAY('Daily Schedule'!$B$2,2)=7),IFERROR(1*'Daily Workforce'!$K28&gt;=3,FALSE()),IFERROR(1*'Daily Workforce'!$K28&gt;=2,FALSE())),IF(AND('Daily Schedule'!$A36&gt;=46,'Daily Schedule'!$A36&lt;=52),'Daily Workforce'!$M28="Y",IFERROR(1*'Daily Workforce'!$P28&gt;=2,FALSE()))))),1,0)</f>
        <v>0</v>
      </c>
      <c r="AN32" s="1" t="n">
        <f aca="false">IF(AND('Daily Workforce'!$N29="Y",'Daily Workforce'!$B29&lt;&gt;"",COUNTIF('Daily Schedule'!$F$5:$F35,'Daily Workforce'!$B29)=0,IF('Daily Schedule'!$A36=45,'Daily Workforce'!$J29="Y",IF(OR('Daily Schedule'!$A36=4,'Daily Schedule'!$A36=8),IF(OR(WEEKDAY('Daily Schedule'!$B$2,2)=1,WEEKDAY('Daily Schedule'!$B$2,2)=4,WEEKDAY('Daily Schedule'!$B$2,2)=5,WEEKDAY('Daily Schedule'!$B$2,2)=7),IFERROR(1*'Daily Workforce'!$K29&gt;=3,FALSE()),IFERROR(1*'Daily Workforce'!$K29&gt;=2,FALSE())),IF(AND('Daily Schedule'!$A36&gt;=46,'Daily Schedule'!$A36&lt;=52),'Daily Workforce'!$M29="Y",IFERROR(1*'Daily Workforce'!$P29&gt;=2,FALSE()))))),1,0)</f>
        <v>0</v>
      </c>
      <c r="AO32" s="1" t="n">
        <f aca="false">IF(AND('Daily Workforce'!$N30="Y",'Daily Workforce'!$B30&lt;&gt;"",COUNTIF('Daily Schedule'!$F$5:$F35,'Daily Workforce'!$B30)=0,IF('Daily Schedule'!$A36=45,'Daily Workforce'!$J30="Y",IF(OR('Daily Schedule'!$A36=4,'Daily Schedule'!$A36=8),IF(OR(WEEKDAY('Daily Schedule'!$B$2,2)=1,WEEKDAY('Daily Schedule'!$B$2,2)=4,WEEKDAY('Daily Schedule'!$B$2,2)=5,WEEKDAY('Daily Schedule'!$B$2,2)=7),IFERROR(1*'Daily Workforce'!$K30&gt;=3,FALSE()),IFERROR(1*'Daily Workforce'!$K30&gt;=2,FALSE())),IF(AND('Daily Schedule'!$A36&gt;=46,'Daily Schedule'!$A36&lt;=52),'Daily Workforce'!$M30="Y",IFERROR(1*'Daily Workforce'!$P30&gt;=2,FALSE()))))),1,0)</f>
        <v>0</v>
      </c>
      <c r="AP32" s="1" t="n">
        <f aca="false">IF(AND('Daily Workforce'!$N31="Y",'Daily Workforce'!$B31&lt;&gt;"",COUNTIF('Daily Schedule'!$F$5:$F35,'Daily Workforce'!$B31)=0,IF('Daily Schedule'!$A36=45,'Daily Workforce'!$J31="Y",IF(OR('Daily Schedule'!$A36=4,'Daily Schedule'!$A36=8),IF(OR(WEEKDAY('Daily Schedule'!$B$2,2)=1,WEEKDAY('Daily Schedule'!$B$2,2)=4,WEEKDAY('Daily Schedule'!$B$2,2)=5,WEEKDAY('Daily Schedule'!$B$2,2)=7),IFERROR(1*'Daily Workforce'!$K31&gt;=3,FALSE()),IFERROR(1*'Daily Workforce'!$K31&gt;=2,FALSE())),IF(AND('Daily Schedule'!$A36&gt;=46,'Daily Schedule'!$A36&lt;=52),'Daily Workforce'!$M31="Y",IFERROR(1*'Daily Workforce'!$P31&gt;=2,FALSE()))))),1,0)</f>
        <v>0</v>
      </c>
      <c r="AQ32" s="1" t="n">
        <f aca="false">IF(AND('Daily Workforce'!$N32="Y",'Daily Workforce'!$B32&lt;&gt;"",COUNTIF('Daily Schedule'!$F$5:$F35,'Daily Workforce'!$B32)=0,IF('Daily Schedule'!$A36=45,'Daily Workforce'!$J32="Y",IF(OR('Daily Schedule'!$A36=4,'Daily Schedule'!$A36=8),IF(OR(WEEKDAY('Daily Schedule'!$B$2,2)=1,WEEKDAY('Daily Schedule'!$B$2,2)=4,WEEKDAY('Daily Schedule'!$B$2,2)=5,WEEKDAY('Daily Schedule'!$B$2,2)=7),IFERROR(1*'Daily Workforce'!$K32&gt;=3,FALSE()),IFERROR(1*'Daily Workforce'!$K32&gt;=2,FALSE())),IF(AND('Daily Schedule'!$A36&gt;=46,'Daily Schedule'!$A36&lt;=52),'Daily Workforce'!$M32="Y",IFERROR(1*'Daily Workforce'!$P32&gt;=2,FALSE()))))),1,0)</f>
        <v>0</v>
      </c>
      <c r="AR32" s="1" t="n">
        <f aca="false">IF(AND('Daily Workforce'!$N33="Y",'Daily Workforce'!$B33&lt;&gt;"",COUNTIF('Daily Schedule'!$F$5:$F35,'Daily Workforce'!$B33)=0,IF('Daily Schedule'!$A36=45,'Daily Workforce'!$J33="Y",IF(OR('Daily Schedule'!$A36=4,'Daily Schedule'!$A36=8),IF(OR(WEEKDAY('Daily Schedule'!$B$2,2)=1,WEEKDAY('Daily Schedule'!$B$2,2)=4,WEEKDAY('Daily Schedule'!$B$2,2)=5,WEEKDAY('Daily Schedule'!$B$2,2)=7),IFERROR(1*'Daily Workforce'!$K33&gt;=3,FALSE()),IFERROR(1*'Daily Workforce'!$K33&gt;=2,FALSE())),IF(AND('Daily Schedule'!$A36&gt;=46,'Daily Schedule'!$A36&lt;=52),'Daily Workforce'!$M33="Y",IFERROR(1*'Daily Workforce'!$P33&gt;=2,FALSE()))))),1,0)</f>
        <v>0</v>
      </c>
      <c r="AS32" s="1" t="n">
        <f aca="false">IF(AND('Daily Workforce'!$N34="Y",'Daily Workforce'!$B34&lt;&gt;"",COUNTIF('Daily Schedule'!$F$5:$F35,'Daily Workforce'!$B34)=0,IF('Daily Schedule'!$A36=45,'Daily Workforce'!$J34="Y",IF(OR('Daily Schedule'!$A36=4,'Daily Schedule'!$A36=8),IF(OR(WEEKDAY('Daily Schedule'!$B$2,2)=1,WEEKDAY('Daily Schedule'!$B$2,2)=4,WEEKDAY('Daily Schedule'!$B$2,2)=5,WEEKDAY('Daily Schedule'!$B$2,2)=7),IFERROR(1*'Daily Workforce'!$K34&gt;=3,FALSE()),IFERROR(1*'Daily Workforce'!$K34&gt;=2,FALSE())),IF(AND('Daily Schedule'!$A36&gt;=46,'Daily Schedule'!$A36&lt;=52),'Daily Workforce'!$M34="Y",IFERROR(1*'Daily Workforce'!$P34&gt;=2,FALSE()))))),1,0)</f>
        <v>0</v>
      </c>
      <c r="AT32" s="1" t="n">
        <f aca="false">IF(AND('Daily Workforce'!$N35="Y",'Daily Workforce'!$B35&lt;&gt;"",COUNTIF('Daily Schedule'!$F$5:$F35,'Daily Workforce'!$B35)=0,IF('Daily Schedule'!$A36=45,'Daily Workforce'!$J35="Y",IF(OR('Daily Schedule'!$A36=4,'Daily Schedule'!$A36=8),IF(OR(WEEKDAY('Daily Schedule'!$B$2,2)=1,WEEKDAY('Daily Schedule'!$B$2,2)=4,WEEKDAY('Daily Schedule'!$B$2,2)=5,WEEKDAY('Daily Schedule'!$B$2,2)=7),IFERROR(1*'Daily Workforce'!$K35&gt;=3,FALSE()),IFERROR(1*'Daily Workforce'!$K35&gt;=2,FALSE())),IF(AND('Daily Schedule'!$A36&gt;=46,'Daily Schedule'!$A36&lt;=52),'Daily Workforce'!$M35="Y",IFERROR(1*'Daily Workforce'!$P35&gt;=2,FALSE()))))),1,0)</f>
        <v>1</v>
      </c>
      <c r="AU32" s="1" t="n">
        <f aca="false">IF(AND('Daily Workforce'!$N36="Y",'Daily Workforce'!$B36&lt;&gt;"",COUNTIF('Daily Schedule'!$F$5:$F35,'Daily Workforce'!$B36)=0,IF('Daily Schedule'!$A36=45,'Daily Workforce'!$J36="Y",IF(OR('Daily Schedule'!$A36=4,'Daily Schedule'!$A36=8),IF(OR(WEEKDAY('Daily Schedule'!$B$2,2)=1,WEEKDAY('Daily Schedule'!$B$2,2)=4,WEEKDAY('Daily Schedule'!$B$2,2)=5,WEEKDAY('Daily Schedule'!$B$2,2)=7),IFERROR(1*'Daily Workforce'!$K36&gt;=3,FALSE()),IFERROR(1*'Daily Workforce'!$K36&gt;=2,FALSE())),IF(AND('Daily Schedule'!$A36&gt;=46,'Daily Schedule'!$A36&lt;=52),'Daily Workforce'!$M36="Y",IFERROR(1*'Daily Workforce'!$P36&gt;=2,FALSE()))))),1,0)</f>
        <v>1</v>
      </c>
      <c r="AV32" s="1" t="n">
        <f aca="false">IF(AND('Daily Workforce'!$N37="Y",'Daily Workforce'!$B37&lt;&gt;"",COUNTIF('Daily Schedule'!$F$5:$F35,'Daily Workforce'!$B37)=0,IF('Daily Schedule'!$A36=45,'Daily Workforce'!$J37="Y",IF(OR('Daily Schedule'!$A36=4,'Daily Schedule'!$A36=8),IF(OR(WEEKDAY('Daily Schedule'!$B$2,2)=1,WEEKDAY('Daily Schedule'!$B$2,2)=4,WEEKDAY('Daily Schedule'!$B$2,2)=5,WEEKDAY('Daily Schedule'!$B$2,2)=7),IFERROR(1*'Daily Workforce'!$K37&gt;=3,FALSE()),IFERROR(1*'Daily Workforce'!$K37&gt;=2,FALSE())),IF(AND('Daily Schedule'!$A36&gt;=46,'Daily Schedule'!$A36&lt;=52),'Daily Workforce'!$M37="Y",IFERROR(1*'Daily Workforce'!$P37&gt;=2,FALSE()))))),1,0)</f>
        <v>1</v>
      </c>
      <c r="AW32" s="1" t="n">
        <f aca="false">IF(AND('Daily Workforce'!$N38="Y",'Daily Workforce'!$B38&lt;&gt;"",COUNTIF('Daily Schedule'!$F$5:$F35,'Daily Workforce'!$B38)=0,IF('Daily Schedule'!$A36=45,'Daily Workforce'!$J38="Y",IF(OR('Daily Schedule'!$A36=4,'Daily Schedule'!$A36=8),IF(OR(WEEKDAY('Daily Schedule'!$B$2,2)=1,WEEKDAY('Daily Schedule'!$B$2,2)=4,WEEKDAY('Daily Schedule'!$B$2,2)=5,WEEKDAY('Daily Schedule'!$B$2,2)=7),IFERROR(1*'Daily Workforce'!$K38&gt;=3,FALSE()),IFERROR(1*'Daily Workforce'!$K38&gt;=2,FALSE())),IF(AND('Daily Schedule'!$A36&gt;=46,'Daily Schedule'!$A36&lt;=52),'Daily Workforce'!$M38="Y",IFERROR(1*'Daily Workforce'!$P38&gt;=2,FALSE()))))),1,0)</f>
        <v>1</v>
      </c>
      <c r="AX32" s="1" t="n">
        <f aca="false">IF(AND('Daily Workforce'!$N39="Y",'Daily Workforce'!$B39&lt;&gt;"",COUNTIF('Daily Schedule'!$F$5:$F35,'Daily Workforce'!$B39)=0,IF('Daily Schedule'!$A36=45,'Daily Workforce'!$J39="Y",IF(OR('Daily Schedule'!$A36=4,'Daily Schedule'!$A36=8),IF(OR(WEEKDAY('Daily Schedule'!$B$2,2)=1,WEEKDAY('Daily Schedule'!$B$2,2)=4,WEEKDAY('Daily Schedule'!$B$2,2)=5,WEEKDAY('Daily Schedule'!$B$2,2)=7),IFERROR(1*'Daily Workforce'!$K39&gt;=3,FALSE()),IFERROR(1*'Daily Workforce'!$K39&gt;=2,FALSE())),IF(AND('Daily Schedule'!$A36&gt;=46,'Daily Schedule'!$A36&lt;=52),'Daily Workforce'!$M39="Y",IFERROR(1*'Daily Workforce'!$P39&gt;=2,FALSE()))))),1,0)</f>
        <v>1</v>
      </c>
      <c r="AY32" s="1" t="n">
        <f aca="false">IF(AND('Daily Workforce'!$N40="Y",'Daily Workforce'!$B40&lt;&gt;"",COUNTIF('Daily Schedule'!$F$5:$F35,'Daily Workforce'!$B40)=0,IF('Daily Schedule'!$A36=45,'Daily Workforce'!$J40="Y",IF(OR('Daily Schedule'!$A36=4,'Daily Schedule'!$A36=8),IF(OR(WEEKDAY('Daily Schedule'!$B$2,2)=1,WEEKDAY('Daily Schedule'!$B$2,2)=4,WEEKDAY('Daily Schedule'!$B$2,2)=5,WEEKDAY('Daily Schedule'!$B$2,2)=7),IFERROR(1*'Daily Workforce'!$K40&gt;=3,FALSE()),IFERROR(1*'Daily Workforce'!$K40&gt;=2,FALSE())),IF(AND('Daily Schedule'!$A36&gt;=46,'Daily Schedule'!$A36&lt;=52),'Daily Workforce'!$M40="Y",IFERROR(1*'Daily Workforce'!$P40&gt;=2,FALSE()))))),1,0)</f>
        <v>1</v>
      </c>
      <c r="AZ32" s="1" t="n">
        <f aca="false">IF(AND('Daily Workforce'!$N41="Y",'Daily Workforce'!$B41&lt;&gt;"",COUNTIF('Daily Schedule'!$F$5:$F35,'Daily Workforce'!$B41)=0,IF('Daily Schedule'!$A36=45,'Daily Workforce'!$J41="Y",IF(OR('Daily Schedule'!$A36=4,'Daily Schedule'!$A36=8),IF(OR(WEEKDAY('Daily Schedule'!$B$2,2)=1,WEEKDAY('Daily Schedule'!$B$2,2)=4,WEEKDAY('Daily Schedule'!$B$2,2)=5,WEEKDAY('Daily Schedule'!$B$2,2)=7),IFERROR(1*'Daily Workforce'!$K41&gt;=3,FALSE()),IFERROR(1*'Daily Workforce'!$K41&gt;=2,FALSE())),IF(AND('Daily Schedule'!$A36&gt;=46,'Daily Schedule'!$A36&lt;=52),'Daily Workforce'!$M41="Y",IFERROR(1*'Daily Workforce'!$P41&gt;=2,FALSE()))))),1,0)</f>
        <v>1</v>
      </c>
      <c r="BA32" s="1" t="n">
        <f aca="false">IF(AND('Daily Workforce'!$N42="Y",'Daily Workforce'!$B42&lt;&gt;"",COUNTIF('Daily Schedule'!$F$5:$F35,'Daily Workforce'!$B42)=0,IF('Daily Schedule'!$A36=45,'Daily Workforce'!$J42="Y",IF(OR('Daily Schedule'!$A36=4,'Daily Schedule'!$A36=8),IF(OR(WEEKDAY('Daily Schedule'!$B$2,2)=1,WEEKDAY('Daily Schedule'!$B$2,2)=4,WEEKDAY('Daily Schedule'!$B$2,2)=5,WEEKDAY('Daily Schedule'!$B$2,2)=7),IFERROR(1*'Daily Workforce'!$K42&gt;=3,FALSE()),IFERROR(1*'Daily Workforce'!$K42&gt;=2,FALSE())),IF(AND('Daily Schedule'!$A36&gt;=46,'Daily Schedule'!$A36&lt;=52),'Daily Workforce'!$M42="Y",IFERROR(1*'Daily Workforce'!$P42&gt;=2,FALSE()))))),1,0)</f>
        <v>1</v>
      </c>
      <c r="BB32" s="1" t="n">
        <f aca="false">IF(AND('Daily Workforce'!$N43="Y",'Daily Workforce'!$B43&lt;&gt;"",COUNTIF('Daily Schedule'!$F$5:$F35,'Daily Workforce'!$B43)=0,IF('Daily Schedule'!$A36=45,'Daily Workforce'!$J43="Y",IF(OR('Daily Schedule'!$A36=4,'Daily Schedule'!$A36=8),IF(OR(WEEKDAY('Daily Schedule'!$B$2,2)=1,WEEKDAY('Daily Schedule'!$B$2,2)=4,WEEKDAY('Daily Schedule'!$B$2,2)=5,WEEKDAY('Daily Schedule'!$B$2,2)=7),IFERROR(1*'Daily Workforce'!$K43&gt;=3,FALSE()),IFERROR(1*'Daily Workforce'!$K43&gt;=2,FALSE())),IF(AND('Daily Schedule'!$A36&gt;=46,'Daily Schedule'!$A36&lt;=52),'Daily Workforce'!$M43="Y",IFERROR(1*'Daily Workforce'!$P43&gt;=2,FALSE()))))),1,0)</f>
        <v>1</v>
      </c>
      <c r="BC32" s="1" t="n">
        <f aca="false">IF(AND('Daily Workforce'!$N44="Y",'Daily Workforce'!$B44&lt;&gt;"",COUNTIF('Daily Schedule'!$F$5:$F35,'Daily Workforce'!$B44)=0,IF('Daily Schedule'!$A36=45,'Daily Workforce'!$J44="Y",IF(OR('Daily Schedule'!$A36=4,'Daily Schedule'!$A36=8),IF(OR(WEEKDAY('Daily Schedule'!$B$2,2)=1,WEEKDAY('Daily Schedule'!$B$2,2)=4,WEEKDAY('Daily Schedule'!$B$2,2)=5,WEEKDAY('Daily Schedule'!$B$2,2)=7),IFERROR(1*'Daily Workforce'!$K44&gt;=3,FALSE()),IFERROR(1*'Daily Workforce'!$K44&gt;=2,FALSE())),IF(AND('Daily Schedule'!$A36&gt;=46,'Daily Schedule'!$A36&lt;=52),'Daily Workforce'!$M44="Y",IFERROR(1*'Daily Workforce'!$P44&gt;=2,FALSE()))))),1,0)</f>
        <v>1</v>
      </c>
      <c r="BD32" s="1" t="n">
        <f aca="false">IF(AND('Daily Workforce'!$N45="Y",'Daily Workforce'!$B45&lt;&gt;"",COUNTIF('Daily Schedule'!$F$5:$F35,'Daily Workforce'!$B45)=0,IF('Daily Schedule'!$A36=45,'Daily Workforce'!$J45="Y",IF(OR('Daily Schedule'!$A36=4,'Daily Schedule'!$A36=8),IF(OR(WEEKDAY('Daily Schedule'!$B$2,2)=1,WEEKDAY('Daily Schedule'!$B$2,2)=4,WEEKDAY('Daily Schedule'!$B$2,2)=5,WEEKDAY('Daily Schedule'!$B$2,2)=7),IFERROR(1*'Daily Workforce'!$K45&gt;=3,FALSE()),IFERROR(1*'Daily Workforce'!$K45&gt;=2,FALSE())),IF(AND('Daily Schedule'!$A36&gt;=46,'Daily Schedule'!$A36&lt;=52),'Daily Workforce'!$M45="Y",IFERROR(1*'Daily Workforce'!$P45&gt;=2,FALSE()))))),1,0)</f>
        <v>1</v>
      </c>
      <c r="BE32" s="1" t="n">
        <f aca="false">IF(AND('Daily Workforce'!$N46="Y",'Daily Workforce'!$B46&lt;&gt;"",COUNTIF('Daily Schedule'!$F$5:$F35,'Daily Workforce'!$B46)=0,IF('Daily Schedule'!$A36=45,'Daily Workforce'!$J46="Y",IF(OR('Daily Schedule'!$A36=4,'Daily Schedule'!$A36=8),IF(OR(WEEKDAY('Daily Schedule'!$B$2,2)=1,WEEKDAY('Daily Schedule'!$B$2,2)=4,WEEKDAY('Daily Schedule'!$B$2,2)=5,WEEKDAY('Daily Schedule'!$B$2,2)=7),IFERROR(1*'Daily Workforce'!$K46&gt;=3,FALSE()),IFERROR(1*'Daily Workforce'!$K46&gt;=2,FALSE())),IF(AND('Daily Schedule'!$A36&gt;=46,'Daily Schedule'!$A36&lt;=52),'Daily Workforce'!$M46="Y",IFERROR(1*'Daily Workforce'!$P46&gt;=2,FALSE()))))),1,0)</f>
        <v>1</v>
      </c>
      <c r="BF32" s="1" t="n">
        <f aca="false">IF(AND('Daily Workforce'!$N47="Y",'Daily Workforce'!$B47&lt;&gt;"",COUNTIF('Daily Schedule'!$F$5:$F35,'Daily Workforce'!$B47)=0,IF('Daily Schedule'!$A36=45,'Daily Workforce'!$J47="Y",IF(OR('Daily Schedule'!$A36=4,'Daily Schedule'!$A36=8),IF(OR(WEEKDAY('Daily Schedule'!$B$2,2)=1,WEEKDAY('Daily Schedule'!$B$2,2)=4,WEEKDAY('Daily Schedule'!$B$2,2)=5,WEEKDAY('Daily Schedule'!$B$2,2)=7),IFERROR(1*'Daily Workforce'!$K47&gt;=3,FALSE()),IFERROR(1*'Daily Workforce'!$K47&gt;=2,FALSE())),IF(AND('Daily Schedule'!$A36&gt;=46,'Daily Schedule'!$A36&lt;=52),'Daily Workforce'!$M47="Y",IFERROR(1*'Daily Workforce'!$P47&gt;=2,FALSE()))))),1,0)</f>
        <v>0</v>
      </c>
      <c r="BG32" s="1" t="n">
        <f aca="false">IF(AND('Daily Workforce'!$N48="Y",'Daily Workforce'!$B48&lt;&gt;"",COUNTIF('Daily Schedule'!$F$5:$F35,'Daily Workforce'!$B48)=0,IF('Daily Schedule'!$A36=45,'Daily Workforce'!$J48="Y",IF(OR('Daily Schedule'!$A36=4,'Daily Schedule'!$A36=8),IF(OR(WEEKDAY('Daily Schedule'!$B$2,2)=1,WEEKDAY('Daily Schedule'!$B$2,2)=4,WEEKDAY('Daily Schedule'!$B$2,2)=5,WEEKDAY('Daily Schedule'!$B$2,2)=7),IFERROR(1*'Daily Workforce'!$K48&gt;=3,FALSE()),IFERROR(1*'Daily Workforce'!$K48&gt;=2,FALSE())),IF(AND('Daily Schedule'!$A36&gt;=46,'Daily Schedule'!$A36&lt;=52),'Daily Workforce'!$M48="Y",IFERROR(1*'Daily Workforce'!$P48&gt;=2,FALSE()))))),1,0)</f>
        <v>1</v>
      </c>
      <c r="BH32" s="1" t="n">
        <f aca="false">IF(AND('Daily Workforce'!$N49="Y",'Daily Workforce'!$B49&lt;&gt;"",COUNTIF('Daily Schedule'!$F$5:$F35,'Daily Workforce'!$B49)=0,IF('Daily Schedule'!$A36=45,'Daily Workforce'!$J49="Y",IF(OR('Daily Schedule'!$A36=4,'Daily Schedule'!$A36=8),IF(OR(WEEKDAY('Daily Schedule'!$B$2,2)=1,WEEKDAY('Daily Schedule'!$B$2,2)=4,WEEKDAY('Daily Schedule'!$B$2,2)=5,WEEKDAY('Daily Schedule'!$B$2,2)=7),IFERROR(1*'Daily Workforce'!$K49&gt;=3,FALSE()),IFERROR(1*'Daily Workforce'!$K49&gt;=2,FALSE())),IF(AND('Daily Schedule'!$A36&gt;=46,'Daily Schedule'!$A36&lt;=52),'Daily Workforce'!$M49="Y",IFERROR(1*'Daily Workforce'!$P49&gt;=2,FALSE()))))),1,0)</f>
        <v>1</v>
      </c>
      <c r="BI32" s="1" t="n">
        <f aca="false">IF(AND('Daily Workforce'!$N50="Y",'Daily Workforce'!$B50&lt;&gt;"",COUNTIF('Daily Schedule'!$F$5:$F35,'Daily Workforce'!$B50)=0,IF('Daily Schedule'!$A36=45,'Daily Workforce'!$J50="Y",IF(OR('Daily Schedule'!$A36=4,'Daily Schedule'!$A36=8),IF(OR(WEEKDAY('Daily Schedule'!$B$2,2)=1,WEEKDAY('Daily Schedule'!$B$2,2)=4,WEEKDAY('Daily Schedule'!$B$2,2)=5,WEEKDAY('Daily Schedule'!$B$2,2)=7),IFERROR(1*'Daily Workforce'!$K50&gt;=3,FALSE()),IFERROR(1*'Daily Workforce'!$K50&gt;=2,FALSE())),IF(AND('Daily Schedule'!$A36&gt;=46,'Daily Schedule'!$A36&lt;=52),'Daily Workforce'!$M50="Y",IFERROR(1*'Daily Workforce'!$P50&gt;=2,FALSE()))))),1,0)</f>
        <v>0</v>
      </c>
      <c r="BJ32" s="1" t="n">
        <f aca="false">IF(AND('Daily Workforce'!$N51="Y",'Daily Workforce'!$B51&lt;&gt;"",COUNTIF('Daily Schedule'!$F$5:$F35,'Daily Workforce'!$B51)=0,IF('Daily Schedule'!$A36=45,'Daily Workforce'!$J51="Y",IF(OR('Daily Schedule'!$A36=4,'Daily Schedule'!$A36=8),IF(OR(WEEKDAY('Daily Schedule'!$B$2,2)=1,WEEKDAY('Daily Schedule'!$B$2,2)=4,WEEKDAY('Daily Schedule'!$B$2,2)=5,WEEKDAY('Daily Schedule'!$B$2,2)=7),IFERROR(1*'Daily Workforce'!$K51&gt;=3,FALSE()),IFERROR(1*'Daily Workforce'!$K51&gt;=2,FALSE())),IF(AND('Daily Schedule'!$A36&gt;=46,'Daily Schedule'!$A36&lt;=52),'Daily Workforce'!$M51="Y",IFERROR(1*'Daily Workforce'!$P51&gt;=2,FALSE()))))),1,0)</f>
        <v>1</v>
      </c>
      <c r="BK32" s="1" t="n">
        <f aca="false">IF(AND('Daily Workforce'!$N52="Y",'Daily Workforce'!$B52&lt;&gt;"",COUNTIF('Daily Schedule'!$F$5:$F35,'Daily Workforce'!$B52)=0,IF('Daily Schedule'!$A36=45,'Daily Workforce'!$J52="Y",IF(OR('Daily Schedule'!$A36=4,'Daily Schedule'!$A36=8),IF(OR(WEEKDAY('Daily Schedule'!$B$2,2)=1,WEEKDAY('Daily Schedule'!$B$2,2)=4,WEEKDAY('Daily Schedule'!$B$2,2)=5,WEEKDAY('Daily Schedule'!$B$2,2)=7),IFERROR(1*'Daily Workforce'!$K52&gt;=3,FALSE()),IFERROR(1*'Daily Workforce'!$K52&gt;=2,FALSE())),IF(AND('Daily Schedule'!$A36&gt;=46,'Daily Schedule'!$A36&lt;=52),'Daily Workforce'!$M52="Y",IFERROR(1*'Daily Workforce'!$P52&gt;=2,FALSE()))))),1,0)</f>
        <v>1</v>
      </c>
      <c r="BL32" s="1" t="n">
        <f aca="false">IF(AND('Daily Workforce'!$N53="Y",'Daily Workforce'!$B53&lt;&gt;"",COUNTIF('Daily Schedule'!$F$5:$F35,'Daily Workforce'!$B53)=0,IF('Daily Schedule'!$A36=45,'Daily Workforce'!$J53="Y",IF(OR('Daily Schedule'!$A36=4,'Daily Schedule'!$A36=8),IF(OR(WEEKDAY('Daily Schedule'!$B$2,2)=1,WEEKDAY('Daily Schedule'!$B$2,2)=4,WEEKDAY('Daily Schedule'!$B$2,2)=5,WEEKDAY('Daily Schedule'!$B$2,2)=7),IFERROR(1*'Daily Workforce'!$K53&gt;=3,FALSE()),IFERROR(1*'Daily Workforce'!$K53&gt;=2,FALSE())),IF(AND('Daily Schedule'!$A36&gt;=46,'Daily Schedule'!$A36&lt;=52),'Daily Workforce'!$M53="Y",IFERROR(1*'Daily Workforce'!$P53&gt;=2,FALSE()))))),1,0)</f>
        <v>1</v>
      </c>
      <c r="BM32" s="1" t="n">
        <f aca="false">IF(AND('Daily Workforce'!$N54="Y",'Daily Workforce'!$B54&lt;&gt;"",COUNTIF('Daily Schedule'!$F$5:$F35,'Daily Workforce'!$B54)=0,IF('Daily Schedule'!$A36=45,'Daily Workforce'!$J54="Y",IF(OR('Daily Schedule'!$A36=4,'Daily Schedule'!$A36=8),IF(OR(WEEKDAY('Daily Schedule'!$B$2,2)=1,WEEKDAY('Daily Schedule'!$B$2,2)=4,WEEKDAY('Daily Schedule'!$B$2,2)=5,WEEKDAY('Daily Schedule'!$B$2,2)=7),IFERROR(1*'Daily Workforce'!$K54&gt;=3,FALSE()),IFERROR(1*'Daily Workforce'!$K54&gt;=2,FALSE())),IF(AND('Daily Schedule'!$A36&gt;=46,'Daily Schedule'!$A36&lt;=52),'Daily Workforce'!$M54="Y",IFERROR(1*'Daily Workforce'!$P54&gt;=2,FALSE()))))),1,0)</f>
        <v>1</v>
      </c>
      <c r="BN32" s="1" t="n">
        <f aca="false">IF(AND('Daily Workforce'!$N55="Y",'Daily Workforce'!$B55&lt;&gt;"",COUNTIF('Daily Schedule'!$F$5:$F35,'Daily Workforce'!$B55)=0,IF('Daily Schedule'!$A36=45,'Daily Workforce'!$J55="Y",IF(OR('Daily Schedule'!$A36=4,'Daily Schedule'!$A36=8),IF(OR(WEEKDAY('Daily Schedule'!$B$2,2)=1,WEEKDAY('Daily Schedule'!$B$2,2)=4,WEEKDAY('Daily Schedule'!$B$2,2)=5,WEEKDAY('Daily Schedule'!$B$2,2)=7),IFERROR(1*'Daily Workforce'!$K55&gt;=3,FALSE()),IFERROR(1*'Daily Workforce'!$K55&gt;=2,FALSE())),IF(AND('Daily Schedule'!$A36&gt;=46,'Daily Schedule'!$A36&lt;=52),'Daily Workforce'!$M55="Y",IFERROR(1*'Daily Workforce'!$P55&gt;=2,FALSE()))))),1,0)</f>
        <v>1</v>
      </c>
      <c r="BO32" s="1" t="n">
        <f aca="false">IF(AND('Daily Workforce'!$N56="Y",'Daily Workforce'!$B56&lt;&gt;"",COUNTIF('Daily Schedule'!$F$5:$F35,'Daily Workforce'!$B56)=0,IF('Daily Schedule'!$A36=45,'Daily Workforce'!$J56="Y",IF(OR('Daily Schedule'!$A36=4,'Daily Schedule'!$A36=8),IF(OR(WEEKDAY('Daily Schedule'!$B$2,2)=1,WEEKDAY('Daily Schedule'!$B$2,2)=4,WEEKDAY('Daily Schedule'!$B$2,2)=5,WEEKDAY('Daily Schedule'!$B$2,2)=7),IFERROR(1*'Daily Workforce'!$K56&gt;=3,FALSE()),IFERROR(1*'Daily Workforce'!$K56&gt;=2,FALSE())),IF(AND('Daily Schedule'!$A36&gt;=46,'Daily Schedule'!$A36&lt;=52),'Daily Workforce'!$M56="Y",IFERROR(1*'Daily Workforce'!$P56&gt;=2,FALSE()))))),1,0)</f>
        <v>1</v>
      </c>
      <c r="BP32" s="1" t="n">
        <f aca="false">IF(AND('Daily Workforce'!$N57="Y",'Daily Workforce'!$B57&lt;&gt;"",COUNTIF('Daily Schedule'!$F$5:$F35,'Daily Workforce'!$B57)=0,IF('Daily Schedule'!$A36=45,'Daily Workforce'!$J57="Y",IF(OR('Daily Schedule'!$A36=4,'Daily Schedule'!$A36=8),IF(OR(WEEKDAY('Daily Schedule'!$B$2,2)=1,WEEKDAY('Daily Schedule'!$B$2,2)=4,WEEKDAY('Daily Schedule'!$B$2,2)=5,WEEKDAY('Daily Schedule'!$B$2,2)=7),IFERROR(1*'Daily Workforce'!$K57&gt;=3,FALSE()),IFERROR(1*'Daily Workforce'!$K57&gt;=2,FALSE())),IF(AND('Daily Schedule'!$A36&gt;=46,'Daily Schedule'!$A36&lt;=52),'Daily Workforce'!$M57="Y",IFERROR(1*'Daily Workforce'!$P57&gt;=2,FALSE()))))),1,0)</f>
        <v>0</v>
      </c>
      <c r="BQ32" s="1" t="n">
        <f aca="false">IF(AND('Daily Workforce'!$N58="Y",'Daily Workforce'!$B58&lt;&gt;"",COUNTIF('Daily Schedule'!$F$5:$F35,'Daily Workforce'!$B58)=0,IF('Daily Schedule'!$A36=45,'Daily Workforce'!$J58="Y",IF(OR('Daily Schedule'!$A36=4,'Daily Schedule'!$A36=8),IF(OR(WEEKDAY('Daily Schedule'!$B$2,2)=1,WEEKDAY('Daily Schedule'!$B$2,2)=4,WEEKDAY('Daily Schedule'!$B$2,2)=5,WEEKDAY('Daily Schedule'!$B$2,2)=7),IFERROR(1*'Daily Workforce'!$K58&gt;=3,FALSE()),IFERROR(1*'Daily Workforce'!$K58&gt;=2,FALSE())),IF(AND('Daily Schedule'!$A36&gt;=46,'Daily Schedule'!$A36&lt;=52),'Daily Workforce'!$M58="Y",IFERROR(1*'Daily Workforce'!$P58&gt;=2,FALSE()))))),1,0)</f>
        <v>1</v>
      </c>
      <c r="BR32" s="1" t="n">
        <f aca="false">IF(AND('Daily Workforce'!$N59="Y",'Daily Workforce'!$B59&lt;&gt;"",COUNTIF('Daily Schedule'!$F$5:$F35,'Daily Workforce'!$B59)=0,IF('Daily Schedule'!$A36=45,'Daily Workforce'!$J59="Y",IF(OR('Daily Schedule'!$A36=4,'Daily Schedule'!$A36=8),IF(OR(WEEKDAY('Daily Schedule'!$B$2,2)=1,WEEKDAY('Daily Schedule'!$B$2,2)=4,WEEKDAY('Daily Schedule'!$B$2,2)=5,WEEKDAY('Daily Schedule'!$B$2,2)=7),IFERROR(1*'Daily Workforce'!$K59&gt;=3,FALSE()),IFERROR(1*'Daily Workforce'!$K59&gt;=2,FALSE())),IF(AND('Daily Schedule'!$A36&gt;=46,'Daily Schedule'!$A36&lt;=52),'Daily Workforce'!$M59="Y",IFERROR(1*'Daily Workforce'!$P59&gt;=2,FALSE()))))),1,0)</f>
        <v>1</v>
      </c>
      <c r="BS32" s="1" t="n">
        <f aca="false">IF(AND('Daily Workforce'!$N60="Y",'Daily Workforce'!$B60&lt;&gt;"",COUNTIF('Daily Schedule'!$F$5:$F35,'Daily Workforce'!$B60)=0,IF('Daily Schedule'!$A36=45,'Daily Workforce'!$J60="Y",IF(OR('Daily Schedule'!$A36=4,'Daily Schedule'!$A36=8),IF(OR(WEEKDAY('Daily Schedule'!$B$2,2)=1,WEEKDAY('Daily Schedule'!$B$2,2)=4,WEEKDAY('Daily Schedule'!$B$2,2)=5,WEEKDAY('Daily Schedule'!$B$2,2)=7),IFERROR(1*'Daily Workforce'!$K60&gt;=3,FALSE()),IFERROR(1*'Daily Workforce'!$K60&gt;=2,FALSE())),IF(AND('Daily Schedule'!$A36&gt;=46,'Daily Schedule'!$A36&lt;=52),'Daily Workforce'!$M60="Y",IFERROR(1*'Daily Workforce'!$P60&gt;=2,FALSE()))))),1,0)</f>
        <v>1</v>
      </c>
      <c r="BT32" s="1" t="n">
        <f aca="false">IF(AND('Daily Workforce'!$N61="Y",'Daily Workforce'!$B61&lt;&gt;"",COUNTIF('Daily Schedule'!$F$5:$F35,'Daily Workforce'!$B61)=0,IF('Daily Schedule'!$A36=45,'Daily Workforce'!$J61="Y",IF(OR('Daily Schedule'!$A36=4,'Daily Schedule'!$A36=8),IF(OR(WEEKDAY('Daily Schedule'!$B$2,2)=1,WEEKDAY('Daily Schedule'!$B$2,2)=4,WEEKDAY('Daily Schedule'!$B$2,2)=5,WEEKDAY('Daily Schedule'!$B$2,2)=7),IFERROR(1*'Daily Workforce'!$K61&gt;=3,FALSE()),IFERROR(1*'Daily Workforce'!$K61&gt;=2,FALSE())),IF(AND('Daily Schedule'!$A36&gt;=46,'Daily Schedule'!$A36&lt;=52),'Daily Workforce'!$M61="Y",IFERROR(1*'Daily Workforce'!$P61&gt;=2,FALSE()))))),1,0)</f>
        <v>0</v>
      </c>
      <c r="BU32" s="1" t="n">
        <f aca="false">IF(AND('Daily Workforce'!$N62="Y",'Daily Workforce'!$B62&lt;&gt;"",COUNTIF('Daily Schedule'!$F$5:$F35,'Daily Workforce'!$B62)=0,IF('Daily Schedule'!$A36=45,'Daily Workforce'!$J62="Y",IF(OR('Daily Schedule'!$A36=4,'Daily Schedule'!$A36=8),IF(OR(WEEKDAY('Daily Schedule'!$B$2,2)=1,WEEKDAY('Daily Schedule'!$B$2,2)=4,WEEKDAY('Daily Schedule'!$B$2,2)=5,WEEKDAY('Daily Schedule'!$B$2,2)=7),IFERROR(1*'Daily Workforce'!$K62&gt;=3,FALSE()),IFERROR(1*'Daily Workforce'!$K62&gt;=2,FALSE())),IF(AND('Daily Schedule'!$A36&gt;=46,'Daily Schedule'!$A36&lt;=52),'Daily Workforce'!$M62="Y",IFERROR(1*'Daily Workforce'!$P62&gt;=2,FALSE()))))),1,0)</f>
        <v>1</v>
      </c>
      <c r="BV32" s="1" t="n">
        <f aca="false">IF(AND('Daily Workforce'!$N63="Y",'Daily Workforce'!$B63&lt;&gt;"",COUNTIF('Daily Schedule'!$F$5:$F35,'Daily Workforce'!$B63)=0,IF('Daily Schedule'!$A36=45,'Daily Workforce'!$J63="Y",IF(OR('Daily Schedule'!$A36=4,'Daily Schedule'!$A36=8),IF(OR(WEEKDAY('Daily Schedule'!$B$2,2)=1,WEEKDAY('Daily Schedule'!$B$2,2)=4,WEEKDAY('Daily Schedule'!$B$2,2)=5,WEEKDAY('Daily Schedule'!$B$2,2)=7),IFERROR(1*'Daily Workforce'!$K63&gt;=3,FALSE()),IFERROR(1*'Daily Workforce'!$K63&gt;=2,FALSE())),IF(AND('Daily Schedule'!$A36&gt;=46,'Daily Schedule'!$A36&lt;=52),'Daily Workforce'!$M63="Y",IFERROR(1*'Daily Workforce'!$P63&gt;=2,FALSE()))))),1,0)</f>
        <v>1</v>
      </c>
      <c r="BW32" s="1" t="n">
        <f aca="false">IF(AND('Daily Workforce'!$N64="Y",'Daily Workforce'!$B64&lt;&gt;"",COUNTIF('Daily Schedule'!$F$5:$F35,'Daily Workforce'!$B64)=0,IF('Daily Schedule'!$A36=45,'Daily Workforce'!$J64="Y",IF(OR('Daily Schedule'!$A36=4,'Daily Schedule'!$A36=8),IF(OR(WEEKDAY('Daily Schedule'!$B$2,2)=1,WEEKDAY('Daily Schedule'!$B$2,2)=4,WEEKDAY('Daily Schedule'!$B$2,2)=5,WEEKDAY('Daily Schedule'!$B$2,2)=7),IFERROR(1*'Daily Workforce'!$K64&gt;=3,FALSE()),IFERROR(1*'Daily Workforce'!$K64&gt;=2,FALSE())),IF(AND('Daily Schedule'!$A36&gt;=46,'Daily Schedule'!$A36&lt;=52),'Daily Workforce'!$M64="Y",IFERROR(1*'Daily Workforce'!$P64&gt;=2,FALSE()))))),1,0)</f>
        <v>1</v>
      </c>
      <c r="BX32" s="1" t="n">
        <f aca="false">IF(AND('Daily Workforce'!$N65="Y",'Daily Workforce'!$B65&lt;&gt;"",COUNTIF('Daily Schedule'!$F$5:$F35,'Daily Workforce'!$B65)=0,IF('Daily Schedule'!$A36=45,'Daily Workforce'!$J65="Y",IF(OR('Daily Schedule'!$A36=4,'Daily Schedule'!$A36=8),IF(OR(WEEKDAY('Daily Schedule'!$B$2,2)=1,WEEKDAY('Daily Schedule'!$B$2,2)=4,WEEKDAY('Daily Schedule'!$B$2,2)=5,WEEKDAY('Daily Schedule'!$B$2,2)=7),IFERROR(1*'Daily Workforce'!$K65&gt;=3,FALSE()),IFERROR(1*'Daily Workforce'!$K65&gt;=2,FALSE())),IF(AND('Daily Schedule'!$A36&gt;=46,'Daily Schedule'!$A36&lt;=52),'Daily Workforce'!$M65="Y",IFERROR(1*'Daily Workforce'!$P65&gt;=2,FALSE()))))),1,0)</f>
        <v>1</v>
      </c>
      <c r="BY32" s="1" t="n">
        <f aca="false">IF(AND('Daily Workforce'!$N66="Y",'Daily Workforce'!$B66&lt;&gt;"",COUNTIF('Daily Schedule'!$F$5:$F35,'Daily Workforce'!$B66)=0,IF('Daily Schedule'!$A36=45,'Daily Workforce'!$J66="Y",IF(OR('Daily Schedule'!$A36=4,'Daily Schedule'!$A36=8),IF(OR(WEEKDAY('Daily Schedule'!$B$2,2)=1,WEEKDAY('Daily Schedule'!$B$2,2)=4,WEEKDAY('Daily Schedule'!$B$2,2)=5,WEEKDAY('Daily Schedule'!$B$2,2)=7),IFERROR(1*'Daily Workforce'!$K66&gt;=3,FALSE()),IFERROR(1*'Daily Workforce'!$K66&gt;=2,FALSE())),IF(AND('Daily Schedule'!$A36&gt;=46,'Daily Schedule'!$A36&lt;=52),'Daily Workforce'!$M66="Y",IFERROR(1*'Daily Workforce'!$P66&gt;=2,FALSE()))))),1,0)</f>
        <v>1</v>
      </c>
      <c r="BZ32" s="1" t="n">
        <f aca="false">IF(AND('Daily Workforce'!$N67="Y",'Daily Workforce'!$B67&lt;&gt;"",COUNTIF('Daily Schedule'!$F$5:$F35,'Daily Workforce'!$B67)=0,IF('Daily Schedule'!$A36=45,'Daily Workforce'!$J67="Y",IF(OR('Daily Schedule'!$A36=4,'Daily Schedule'!$A36=8),IF(OR(WEEKDAY('Daily Schedule'!$B$2,2)=1,WEEKDAY('Daily Schedule'!$B$2,2)=4,WEEKDAY('Daily Schedule'!$B$2,2)=5,WEEKDAY('Daily Schedule'!$B$2,2)=7),IFERROR(1*'Daily Workforce'!$K67&gt;=3,FALSE()),IFERROR(1*'Daily Workforce'!$K67&gt;=2,FALSE())),IF(AND('Daily Schedule'!$A36&gt;=46,'Daily Schedule'!$A36&lt;=52),'Daily Workforce'!$M67="Y",IFERROR(1*'Daily Workforce'!$P67&gt;=2,FALSE()))))),1,0)</f>
        <v>1</v>
      </c>
      <c r="CA32" s="1" t="n">
        <f aca="false">IF(AND('Daily Workforce'!$N68="Y",'Daily Workforce'!$B68&lt;&gt;"",COUNTIF('Daily Schedule'!$F$5:$F35,'Daily Workforce'!$B68)=0,IF('Daily Schedule'!$A36=45,'Daily Workforce'!$J68="Y",IF(OR('Daily Schedule'!$A36=4,'Daily Schedule'!$A36=8),IF(OR(WEEKDAY('Daily Schedule'!$B$2,2)=1,WEEKDAY('Daily Schedule'!$B$2,2)=4,WEEKDAY('Daily Schedule'!$B$2,2)=5,WEEKDAY('Daily Schedule'!$B$2,2)=7),IFERROR(1*'Daily Workforce'!$K68&gt;=3,FALSE()),IFERROR(1*'Daily Workforce'!$K68&gt;=2,FALSE())),IF(AND('Daily Schedule'!$A36&gt;=46,'Daily Schedule'!$A36&lt;=52),'Daily Workforce'!$M68="Y",IFERROR(1*'Daily Workforce'!$P68&gt;=2,FALSE()))))),1,0)</f>
        <v>1</v>
      </c>
      <c r="CB32" s="1" t="n">
        <f aca="false">IF(AND('Daily Workforce'!$N69="Y",'Daily Workforce'!$B69&lt;&gt;"",COUNTIF('Daily Schedule'!$F$5:$F35,'Daily Workforce'!$B69)=0,IF('Daily Schedule'!$A36=45,'Daily Workforce'!$J69="Y",IF(OR('Daily Schedule'!$A36=4,'Daily Schedule'!$A36=8),IF(OR(WEEKDAY('Daily Schedule'!$B$2,2)=1,WEEKDAY('Daily Schedule'!$B$2,2)=4,WEEKDAY('Daily Schedule'!$B$2,2)=5,WEEKDAY('Daily Schedule'!$B$2,2)=7),IFERROR(1*'Daily Workforce'!$K69&gt;=3,FALSE()),IFERROR(1*'Daily Workforce'!$K69&gt;=2,FALSE())),IF(AND('Daily Schedule'!$A36&gt;=46,'Daily Schedule'!$A36&lt;=52),'Daily Workforce'!$M69="Y",IFERROR(1*'Daily Workforce'!$P69&gt;=2,FALSE()))))),1,0)</f>
        <v>1</v>
      </c>
      <c r="CC32" s="1" t="n">
        <f aca="false">IF(AND('Daily Workforce'!$N70="Y",'Daily Workforce'!$B70&lt;&gt;"",COUNTIF('Daily Schedule'!$F$5:$F35,'Daily Workforce'!$B70)=0,IF('Daily Schedule'!$A36=45,'Daily Workforce'!$J70="Y",IF(OR('Daily Schedule'!$A36=4,'Daily Schedule'!$A36=8),IF(OR(WEEKDAY('Daily Schedule'!$B$2,2)=1,WEEKDAY('Daily Schedule'!$B$2,2)=4,WEEKDAY('Daily Schedule'!$B$2,2)=5,WEEKDAY('Daily Schedule'!$B$2,2)=7),IFERROR(1*'Daily Workforce'!$K70&gt;=3,FALSE()),IFERROR(1*'Daily Workforce'!$K70&gt;=2,FALSE())),IF(AND('Daily Schedule'!$A36&gt;=46,'Daily Schedule'!$A36&lt;=52),'Daily Workforce'!$M70="Y",IFERROR(1*'Daily Workforce'!$P70&gt;=2,FALSE()))))),1,0)</f>
        <v>1</v>
      </c>
      <c r="CD32" s="1" t="n">
        <f aca="false">IF(AND('Daily Workforce'!$N71="Y",'Daily Workforce'!$B71&lt;&gt;"",COUNTIF('Daily Schedule'!$F$5:$F35,'Daily Workforce'!$B71)=0,IF('Daily Schedule'!$A36=45,'Daily Workforce'!$J71="Y",IF(OR('Daily Schedule'!$A36=4,'Daily Schedule'!$A36=8),IF(OR(WEEKDAY('Daily Schedule'!$B$2,2)=1,WEEKDAY('Daily Schedule'!$B$2,2)=4,WEEKDAY('Daily Schedule'!$B$2,2)=5,WEEKDAY('Daily Schedule'!$B$2,2)=7),IFERROR(1*'Daily Workforce'!$K71&gt;=3,FALSE()),IFERROR(1*'Daily Workforce'!$K71&gt;=2,FALSE())),IF(AND('Daily Schedule'!$A36&gt;=46,'Daily Schedule'!$A36&lt;=52),'Daily Workforce'!$M71="Y",IFERROR(1*'Daily Workforce'!$P71&gt;=2,FALSE()))))),1,0)</f>
        <v>1</v>
      </c>
      <c r="CE32" s="1" t="n">
        <f aca="false">IF(AND('Daily Workforce'!$N72="Y",'Daily Workforce'!$B72&lt;&gt;"",COUNTIF('Daily Schedule'!$F$5:$F35,'Daily Workforce'!$B72)=0,IF('Daily Schedule'!$A36=45,'Daily Workforce'!$J72="Y",IF(OR('Daily Schedule'!$A36=4,'Daily Schedule'!$A36=8),IF(OR(WEEKDAY('Daily Schedule'!$B$2,2)=1,WEEKDAY('Daily Schedule'!$B$2,2)=4,WEEKDAY('Daily Schedule'!$B$2,2)=5,WEEKDAY('Daily Schedule'!$B$2,2)=7),IFERROR(1*'Daily Workforce'!$K72&gt;=3,FALSE()),IFERROR(1*'Daily Workforce'!$K72&gt;=2,FALSE())),IF(AND('Daily Schedule'!$A36&gt;=46,'Daily Schedule'!$A36&lt;=52),'Daily Workforce'!$M72="Y",IFERROR(1*'Daily Workforce'!$P72&gt;=2,FALSE()))))),1,0)</f>
        <v>1</v>
      </c>
      <c r="CF32" s="1" t="n">
        <f aca="false">IF(AND('Daily Workforce'!$N73="Y",'Daily Workforce'!$B73&lt;&gt;"",COUNTIF('Daily Schedule'!$F$5:$F35,'Daily Workforce'!$B73)=0,IF('Daily Schedule'!$A36=45,'Daily Workforce'!$J73="Y",IF(OR('Daily Schedule'!$A36=4,'Daily Schedule'!$A36=8),IF(OR(WEEKDAY('Daily Schedule'!$B$2,2)=1,WEEKDAY('Daily Schedule'!$B$2,2)=4,WEEKDAY('Daily Schedule'!$B$2,2)=5,WEEKDAY('Daily Schedule'!$B$2,2)=7),IFERROR(1*'Daily Workforce'!$K73&gt;=3,FALSE()),IFERROR(1*'Daily Workforce'!$K73&gt;=2,FALSE())),IF(AND('Daily Schedule'!$A36&gt;=46,'Daily Schedule'!$A36&lt;=52),'Daily Workforce'!$M73="Y",IFERROR(1*'Daily Workforce'!$P73&gt;=2,FALSE()))))),1,0)</f>
        <v>1</v>
      </c>
      <c r="CG32" s="1" t="n">
        <f aca="false">IF(AND('Daily Workforce'!$N74="Y",'Daily Workforce'!$B74&lt;&gt;"",COUNTIF('Daily Schedule'!$F$5:$F35,'Daily Workforce'!$B74)=0,IF('Daily Schedule'!$A36=45,'Daily Workforce'!$J74="Y",IF(OR('Daily Schedule'!$A36=4,'Daily Schedule'!$A36=8),IF(OR(WEEKDAY('Daily Schedule'!$B$2,2)=1,WEEKDAY('Daily Schedule'!$B$2,2)=4,WEEKDAY('Daily Schedule'!$B$2,2)=5,WEEKDAY('Daily Schedule'!$B$2,2)=7),IFERROR(1*'Daily Workforce'!$K74&gt;=3,FALSE()),IFERROR(1*'Daily Workforce'!$K74&gt;=2,FALSE())),IF(AND('Daily Schedule'!$A36&gt;=46,'Daily Schedule'!$A36&lt;=52),'Daily Workforce'!$M74="Y",IFERROR(1*'Daily Workforce'!$P74&gt;=2,FALSE()))))),1,0)</f>
        <v>1</v>
      </c>
      <c r="CH32" s="1" t="n">
        <f aca="false">IF(AND('Daily Workforce'!$N75="Y",'Daily Workforce'!$B75&lt;&gt;"",COUNTIF('Daily Schedule'!$F$5:$F35,'Daily Workforce'!$B75)=0,IF('Daily Schedule'!$A36=45,'Daily Workforce'!$J75="Y",IF(OR('Daily Schedule'!$A36=4,'Daily Schedule'!$A36=8),IF(OR(WEEKDAY('Daily Schedule'!$B$2,2)=1,WEEKDAY('Daily Schedule'!$B$2,2)=4,WEEKDAY('Daily Schedule'!$B$2,2)=5,WEEKDAY('Daily Schedule'!$B$2,2)=7),IFERROR(1*'Daily Workforce'!$K75&gt;=3,FALSE()),IFERROR(1*'Daily Workforce'!$K75&gt;=2,FALSE())),IF(AND('Daily Schedule'!$A36&gt;=46,'Daily Schedule'!$A36&lt;=52),'Daily Workforce'!$M75="Y",IFERROR(1*'Daily Workforce'!$P75&gt;=2,FALSE()))))),1,0)</f>
        <v>1</v>
      </c>
      <c r="CI32" s="1" t="n">
        <f aca="false">IF(AND('Daily Workforce'!$N76="Y",'Daily Workforce'!$B76&lt;&gt;"",COUNTIF('Daily Schedule'!$F$5:$F35,'Daily Workforce'!$B76)=0,IF('Daily Schedule'!$A36=45,'Daily Workforce'!$J76="Y",IF(OR('Daily Schedule'!$A36=4,'Daily Schedule'!$A36=8),IF(OR(WEEKDAY('Daily Schedule'!$B$2,2)=1,WEEKDAY('Daily Schedule'!$B$2,2)=4,WEEKDAY('Daily Schedule'!$B$2,2)=5,WEEKDAY('Daily Schedule'!$B$2,2)=7),IFERROR(1*'Daily Workforce'!$K76&gt;=3,FALSE()),IFERROR(1*'Daily Workforce'!$K76&gt;=2,FALSE())),IF(AND('Daily Schedule'!$A36&gt;=46,'Daily Schedule'!$A36&lt;=52),'Daily Workforce'!$M76="Y",IFERROR(1*'Daily Workforce'!$P76&gt;=2,FALSE()))))),1,0)</f>
        <v>1</v>
      </c>
      <c r="CJ32" s="1" t="n">
        <f aca="false">IF(AND('Daily Workforce'!$N77="Y",'Daily Workforce'!$B77&lt;&gt;"",COUNTIF('Daily Schedule'!$F$5:$F35,'Daily Workforce'!$B77)=0,IF('Daily Schedule'!$A36=45,'Daily Workforce'!$J77="Y",IF(OR('Daily Schedule'!$A36=4,'Daily Schedule'!$A36=8),IF(OR(WEEKDAY('Daily Schedule'!$B$2,2)=1,WEEKDAY('Daily Schedule'!$B$2,2)=4,WEEKDAY('Daily Schedule'!$B$2,2)=5,WEEKDAY('Daily Schedule'!$B$2,2)=7),IFERROR(1*'Daily Workforce'!$K77&gt;=3,FALSE()),IFERROR(1*'Daily Workforce'!$K77&gt;=2,FALSE())),IF(AND('Daily Schedule'!$A36&gt;=46,'Daily Schedule'!$A36&lt;=52),'Daily Workforce'!$M77="Y",IFERROR(1*'Daily Workforce'!$P77&gt;=2,FALSE()))))),1,0)</f>
        <v>1</v>
      </c>
      <c r="CK32" s="1" t="n">
        <f aca="false">IF(AND('Daily Workforce'!$N78="Y",'Daily Workforce'!$B78&lt;&gt;"",COUNTIF('Daily Schedule'!$F$5:$F35,'Daily Workforce'!$B78)=0,IF('Daily Schedule'!$A36=45,'Daily Workforce'!$J78="Y",IF(OR('Daily Schedule'!$A36=4,'Daily Schedule'!$A36=8),IF(OR(WEEKDAY('Daily Schedule'!$B$2,2)=1,WEEKDAY('Daily Schedule'!$B$2,2)=4,WEEKDAY('Daily Schedule'!$B$2,2)=5,WEEKDAY('Daily Schedule'!$B$2,2)=7),IFERROR(1*'Daily Workforce'!$K78&gt;=3,FALSE()),IFERROR(1*'Daily Workforce'!$K78&gt;=2,FALSE())),IF(AND('Daily Schedule'!$A36&gt;=46,'Daily Schedule'!$A36&lt;=52),'Daily Workforce'!$M78="Y",IFERROR(1*'Daily Workforce'!$P78&gt;=2,FALSE()))))),1,0)</f>
        <v>1</v>
      </c>
      <c r="CL32" s="1" t="n">
        <f aca="false">IF(AND('Daily Workforce'!$N79="Y",'Daily Workforce'!$B79&lt;&gt;"",COUNTIF('Daily Schedule'!$F$5:$F35,'Daily Workforce'!$B79)=0,IF('Daily Schedule'!$A36=45,'Daily Workforce'!$J79="Y",IF(OR('Daily Schedule'!$A36=4,'Daily Schedule'!$A36=8),IF(OR(WEEKDAY('Daily Schedule'!$B$2,2)=1,WEEKDAY('Daily Schedule'!$B$2,2)=4,WEEKDAY('Daily Schedule'!$B$2,2)=5,WEEKDAY('Daily Schedule'!$B$2,2)=7),IFERROR(1*'Daily Workforce'!$K79&gt;=3,FALSE()),IFERROR(1*'Daily Workforce'!$K79&gt;=2,FALSE())),IF(AND('Daily Schedule'!$A36&gt;=46,'Daily Schedule'!$A36&lt;=52),'Daily Workforce'!$M79="Y",IFERROR(1*'Daily Workforce'!$P79&gt;=2,FALSE()))))),1,0)</f>
        <v>1</v>
      </c>
      <c r="CM32" s="1" t="n">
        <f aca="false">IF(AND('Daily Workforce'!$N80="Y",'Daily Workforce'!$B80&lt;&gt;"",COUNTIF('Daily Schedule'!$F$5:$F35,'Daily Workforce'!$B80)=0,IF('Daily Schedule'!$A36=45,'Daily Workforce'!$J80="Y",IF(OR('Daily Schedule'!$A36=4,'Daily Schedule'!$A36=8),IF(OR(WEEKDAY('Daily Schedule'!$B$2,2)=1,WEEKDAY('Daily Schedule'!$B$2,2)=4,WEEKDAY('Daily Schedule'!$B$2,2)=5,WEEKDAY('Daily Schedule'!$B$2,2)=7),IFERROR(1*'Daily Workforce'!$K80&gt;=3,FALSE()),IFERROR(1*'Daily Workforce'!$K80&gt;=2,FALSE())),IF(AND('Daily Schedule'!$A36&gt;=46,'Daily Schedule'!$A36&lt;=52),'Daily Workforce'!$M80="Y",IFERROR(1*'Daily Workforce'!$P80&gt;=2,FALSE()))))),1,0)</f>
        <v>1</v>
      </c>
      <c r="CN32" s="1" t="n">
        <f aca="false">IF(AND('Daily Workforce'!$N81="Y",'Daily Workforce'!$B81&lt;&gt;"",COUNTIF('Daily Schedule'!$F$5:$F35,'Daily Workforce'!$B81)=0,IF('Daily Schedule'!$A36=45,'Daily Workforce'!$J81="Y",IF(OR('Daily Schedule'!$A36=4,'Daily Schedule'!$A36=8),IF(OR(WEEKDAY('Daily Schedule'!$B$2,2)=1,WEEKDAY('Daily Schedule'!$B$2,2)=4,WEEKDAY('Daily Schedule'!$B$2,2)=5,WEEKDAY('Daily Schedule'!$B$2,2)=7),IFERROR(1*'Daily Workforce'!$K81&gt;=3,FALSE()),IFERROR(1*'Daily Workforce'!$K81&gt;=2,FALSE())),IF(AND('Daily Schedule'!$A36&gt;=46,'Daily Schedule'!$A36&lt;=52),'Daily Workforce'!$M81="Y",IFERROR(1*'Daily Workforce'!$P81&gt;=2,FALSE()))))),1,0)</f>
        <v>1</v>
      </c>
      <c r="CO32" s="1" t="n">
        <f aca="false">IF(AND('Daily Workforce'!$N82="Y",'Daily Workforce'!$B82&lt;&gt;"",COUNTIF('Daily Schedule'!$F$5:$F35,'Daily Workforce'!$B82)=0,IF('Daily Schedule'!$A36=45,'Daily Workforce'!$J82="Y",IF(OR('Daily Schedule'!$A36=4,'Daily Schedule'!$A36=8),IF(OR(WEEKDAY('Daily Schedule'!$B$2,2)=1,WEEKDAY('Daily Schedule'!$B$2,2)=4,WEEKDAY('Daily Schedule'!$B$2,2)=5,WEEKDAY('Daily Schedule'!$B$2,2)=7),IFERROR(1*'Daily Workforce'!$K82&gt;=3,FALSE()),IFERROR(1*'Daily Workforce'!$K82&gt;=2,FALSE())),IF(AND('Daily Schedule'!$A36&gt;=46,'Daily Schedule'!$A36&lt;=52),'Daily Workforce'!$M82="Y",IFERROR(1*'Daily Workforce'!$P82&gt;=2,FALSE()))))),1,0)</f>
        <v>1</v>
      </c>
      <c r="CP32" s="1" t="n">
        <f aca="false">IF(AND('Daily Workforce'!$N83="Y",'Daily Workforce'!$B83&lt;&gt;"",COUNTIF('Daily Schedule'!$F$5:$F35,'Daily Workforce'!$B83)=0,IF('Daily Schedule'!$A36=45,'Daily Workforce'!$J83="Y",IF(OR('Daily Schedule'!$A36=4,'Daily Schedule'!$A36=8),IF(OR(WEEKDAY('Daily Schedule'!$B$2,2)=1,WEEKDAY('Daily Schedule'!$B$2,2)=4,WEEKDAY('Daily Schedule'!$B$2,2)=5,WEEKDAY('Daily Schedule'!$B$2,2)=7),IFERROR(1*'Daily Workforce'!$K83&gt;=3,FALSE()),IFERROR(1*'Daily Workforce'!$K83&gt;=2,FALSE())),IF(AND('Daily Schedule'!$A36&gt;=46,'Daily Schedule'!$A36&lt;=52),'Daily Workforce'!$M83="Y",IFERROR(1*'Daily Workforce'!$P83&gt;=2,FALSE()))))),1,0)</f>
        <v>0</v>
      </c>
      <c r="CQ32" s="1" t="n">
        <f aca="false">IF(AND('Daily Workforce'!$N84="Y",'Daily Workforce'!$B84&lt;&gt;"",COUNTIF('Daily Schedule'!$F$5:$F35,'Daily Workforce'!$B84)=0,IF('Daily Schedule'!$A36=45,'Daily Workforce'!$J84="Y",IF(OR('Daily Schedule'!$A36=4,'Daily Schedule'!$A36=8),IF(OR(WEEKDAY('Daily Schedule'!$B$2,2)=1,WEEKDAY('Daily Schedule'!$B$2,2)=4,WEEKDAY('Daily Schedule'!$B$2,2)=5,WEEKDAY('Daily Schedule'!$B$2,2)=7),IFERROR(1*'Daily Workforce'!$K84&gt;=3,FALSE()),IFERROR(1*'Daily Workforce'!$K84&gt;=2,FALSE())),IF(AND('Daily Schedule'!$A36&gt;=46,'Daily Schedule'!$A36&lt;=52),'Daily Workforce'!$M84="Y",IFERROR(1*'Daily Workforce'!$P84&gt;=2,FALSE()))))),1,0)</f>
        <v>1</v>
      </c>
      <c r="CR32" s="1" t="n">
        <f aca="false">IF(AND('Daily Workforce'!$N85="Y",'Daily Workforce'!$B85&lt;&gt;"",COUNTIF('Daily Schedule'!$F$5:$F35,'Daily Workforce'!$B85)=0,IF('Daily Schedule'!$A36=45,'Daily Workforce'!$J85="Y",IF(OR('Daily Schedule'!$A36=4,'Daily Schedule'!$A36=8),IF(OR(WEEKDAY('Daily Schedule'!$B$2,2)=1,WEEKDAY('Daily Schedule'!$B$2,2)=4,WEEKDAY('Daily Schedule'!$B$2,2)=5,WEEKDAY('Daily Schedule'!$B$2,2)=7),IFERROR(1*'Daily Workforce'!$K85&gt;=3,FALSE()),IFERROR(1*'Daily Workforce'!$K85&gt;=2,FALSE())),IF(AND('Daily Schedule'!$A36&gt;=46,'Daily Schedule'!$A36&lt;=52),'Daily Workforce'!$M85="Y",IFERROR(1*'Daily Workforce'!$P85&gt;=2,FALSE()))))),1,0)</f>
        <v>0</v>
      </c>
      <c r="CS32" s="1" t="n">
        <f aca="false">IF(AND('Daily Workforce'!$N86="Y",'Daily Workforce'!$B86&lt;&gt;"",COUNTIF('Daily Schedule'!$F$5:$F35,'Daily Workforce'!$B86)=0,IF('Daily Schedule'!$A36=45,'Daily Workforce'!$J86="Y",IF(OR('Daily Schedule'!$A36=4,'Daily Schedule'!$A36=8),IF(OR(WEEKDAY('Daily Schedule'!$B$2,2)=1,WEEKDAY('Daily Schedule'!$B$2,2)=4,WEEKDAY('Daily Schedule'!$B$2,2)=5,WEEKDAY('Daily Schedule'!$B$2,2)=7),IFERROR(1*'Daily Workforce'!$K86&gt;=3,FALSE()),IFERROR(1*'Daily Workforce'!$K86&gt;=2,FALSE())),IF(AND('Daily Schedule'!$A36&gt;=46,'Daily Schedule'!$A36&lt;=52),'Daily Workforce'!$M86="Y",IFERROR(1*'Daily Workforce'!$P86&gt;=2,FALSE()))))),1,0)</f>
        <v>1</v>
      </c>
      <c r="CT32" s="1" t="n">
        <f aca="false">IF(AND('Daily Workforce'!$N87="Y",'Daily Workforce'!$B87&lt;&gt;"",COUNTIF('Daily Schedule'!$F$5:$F35,'Daily Workforce'!$B87)=0,IF('Daily Schedule'!$A36=45,'Daily Workforce'!$J87="Y",IF(OR('Daily Schedule'!$A36=4,'Daily Schedule'!$A36=8),IF(OR(WEEKDAY('Daily Schedule'!$B$2,2)=1,WEEKDAY('Daily Schedule'!$B$2,2)=4,WEEKDAY('Daily Schedule'!$B$2,2)=5,WEEKDAY('Daily Schedule'!$B$2,2)=7),IFERROR(1*'Daily Workforce'!$K87&gt;=3,FALSE()),IFERROR(1*'Daily Workforce'!$K87&gt;=2,FALSE())),IF(AND('Daily Schedule'!$A36&gt;=46,'Daily Schedule'!$A36&lt;=52),'Daily Workforce'!$M87="Y",IFERROR(1*'Daily Workforce'!$P87&gt;=2,FALSE()))))),1,0)</f>
        <v>1</v>
      </c>
      <c r="CU32" s="1" t="n">
        <f aca="false">IF(AND('Daily Workforce'!$N88="Y",'Daily Workforce'!$B88&lt;&gt;"",COUNTIF('Daily Schedule'!$F$5:$F35,'Daily Workforce'!$B88)=0,IF('Daily Schedule'!$A36=45,'Daily Workforce'!$J88="Y",IF(OR('Daily Schedule'!$A36=4,'Daily Schedule'!$A36=8),IF(OR(WEEKDAY('Daily Schedule'!$B$2,2)=1,WEEKDAY('Daily Schedule'!$B$2,2)=4,WEEKDAY('Daily Schedule'!$B$2,2)=5,WEEKDAY('Daily Schedule'!$B$2,2)=7),IFERROR(1*'Daily Workforce'!$K88&gt;=3,FALSE()),IFERROR(1*'Daily Workforce'!$K88&gt;=2,FALSE())),IF(AND('Daily Schedule'!$A36&gt;=46,'Daily Schedule'!$A36&lt;=52),'Daily Workforce'!$M88="Y",IFERROR(1*'Daily Workforce'!$P88&gt;=2,FALSE()))))),1,0)</f>
        <v>1</v>
      </c>
      <c r="CV32" s="1" t="n">
        <f aca="false">IF(AND('Daily Workforce'!$N89="Y",'Daily Workforce'!$B89&lt;&gt;"",COUNTIF('Daily Schedule'!$F$5:$F35,'Daily Workforce'!$B89)=0,IF('Daily Schedule'!$A36=45,'Daily Workforce'!$J89="Y",IF(OR('Daily Schedule'!$A36=4,'Daily Schedule'!$A36=8),IF(OR(WEEKDAY('Daily Schedule'!$B$2,2)=1,WEEKDAY('Daily Schedule'!$B$2,2)=4,WEEKDAY('Daily Schedule'!$B$2,2)=5,WEEKDAY('Daily Schedule'!$B$2,2)=7),IFERROR(1*'Daily Workforce'!$K89&gt;=3,FALSE()),IFERROR(1*'Daily Workforce'!$K89&gt;=2,FALSE())),IF(AND('Daily Schedule'!$A36&gt;=46,'Daily Schedule'!$A36&lt;=52),'Daily Workforce'!$M89="Y",IFERROR(1*'Daily Workforce'!$P89&gt;=2,FALSE()))))),1,0)</f>
        <v>1</v>
      </c>
      <c r="CW32" s="1" t="n">
        <f aca="false">IF(AND('Daily Workforce'!$N90="Y",'Daily Workforce'!$B90&lt;&gt;"",COUNTIF('Daily Schedule'!$F$5:$F35,'Daily Workforce'!$B90)=0,IF('Daily Schedule'!$A36=45,'Daily Workforce'!$J90="Y",IF(OR('Daily Schedule'!$A36=4,'Daily Schedule'!$A36=8),IF(OR(WEEKDAY('Daily Schedule'!$B$2,2)=1,WEEKDAY('Daily Schedule'!$B$2,2)=4,WEEKDAY('Daily Schedule'!$B$2,2)=5,WEEKDAY('Daily Schedule'!$B$2,2)=7),IFERROR(1*'Daily Workforce'!$K90&gt;=3,FALSE()),IFERROR(1*'Daily Workforce'!$K90&gt;=2,FALSE())),IF(AND('Daily Schedule'!$A36&gt;=46,'Daily Schedule'!$A36&lt;=52),'Daily Workforce'!$M90="Y",IFERROR(1*'Daily Workforce'!$P90&gt;=2,FALSE()))))),1,0)</f>
        <v>1</v>
      </c>
      <c r="CX32" s="1" t="n">
        <f aca="false">IF(AND('Daily Workforce'!$N91="Y",'Daily Workforce'!$B91&lt;&gt;"",COUNTIF('Daily Schedule'!$F$5:$F35,'Daily Workforce'!$B91)=0,IF('Daily Schedule'!$A36=45,'Daily Workforce'!$J91="Y",IF(OR('Daily Schedule'!$A36=4,'Daily Schedule'!$A36=8),IF(OR(WEEKDAY('Daily Schedule'!$B$2,2)=1,WEEKDAY('Daily Schedule'!$B$2,2)=4,WEEKDAY('Daily Schedule'!$B$2,2)=5,WEEKDAY('Daily Schedule'!$B$2,2)=7),IFERROR(1*'Daily Workforce'!$K91&gt;=3,FALSE()),IFERROR(1*'Daily Workforce'!$K91&gt;=2,FALSE())),IF(AND('Daily Schedule'!$A36&gt;=46,'Daily Schedule'!$A36&lt;=52),'Daily Workforce'!$M91="Y",IFERROR(1*'Daily Workforce'!$P91&gt;=2,FALSE()))))),1,0)</f>
        <v>1</v>
      </c>
      <c r="CY32" s="1" t="n">
        <f aca="false">IF(AND('Daily Workforce'!$N92="Y",'Daily Workforce'!$B92&lt;&gt;"",COUNTIF('Daily Schedule'!$F$5:$F35,'Daily Workforce'!$B92)=0,IF('Daily Schedule'!$A36=45,'Daily Workforce'!$J92="Y",IF(OR('Daily Schedule'!$A36=4,'Daily Schedule'!$A36=8),IF(OR(WEEKDAY('Daily Schedule'!$B$2,2)=1,WEEKDAY('Daily Schedule'!$B$2,2)=4,WEEKDAY('Daily Schedule'!$B$2,2)=5,WEEKDAY('Daily Schedule'!$B$2,2)=7),IFERROR(1*'Daily Workforce'!$K92&gt;=3,FALSE()),IFERROR(1*'Daily Workforce'!$K92&gt;=2,FALSE())),IF(AND('Daily Schedule'!$A36&gt;=46,'Daily Schedule'!$A36&lt;=52),'Daily Workforce'!$M92="Y",IFERROR(1*'Daily Workforce'!$P92&gt;=2,FALSE()))))),1,0)</f>
        <v>1</v>
      </c>
      <c r="CZ32" s="1" t="n">
        <f aca="false">IF(AND('Daily Workforce'!$N93="Y",'Daily Workforce'!$B93&lt;&gt;"",COUNTIF('Daily Schedule'!$F$5:$F35,'Daily Workforce'!$B93)=0,IF('Daily Schedule'!$A36=45,'Daily Workforce'!$J93="Y",IF(OR('Daily Schedule'!$A36=4,'Daily Schedule'!$A36=8),IF(OR(WEEKDAY('Daily Schedule'!$B$2,2)=1,WEEKDAY('Daily Schedule'!$B$2,2)=4,WEEKDAY('Daily Schedule'!$B$2,2)=5,WEEKDAY('Daily Schedule'!$B$2,2)=7),IFERROR(1*'Daily Workforce'!$K93&gt;=3,FALSE()),IFERROR(1*'Daily Workforce'!$K93&gt;=2,FALSE())),IF(AND('Daily Schedule'!$A36&gt;=46,'Daily Schedule'!$A36&lt;=52),'Daily Workforce'!$M93="Y",IFERROR(1*'Daily Workforce'!$P93&gt;=2,FALSE()))))),1,0)</f>
        <v>1</v>
      </c>
      <c r="DA32" s="1" t="n">
        <f aca="false">IF(AND('Daily Workforce'!$N94="Y",'Daily Workforce'!$B94&lt;&gt;"",COUNTIF('Daily Schedule'!$F$5:$F35,'Daily Workforce'!$B94)=0,IF('Daily Schedule'!$A36=45,'Daily Workforce'!$J94="Y",IF(OR('Daily Schedule'!$A36=4,'Daily Schedule'!$A36=8),IF(OR(WEEKDAY('Daily Schedule'!$B$2,2)=1,WEEKDAY('Daily Schedule'!$B$2,2)=4,WEEKDAY('Daily Schedule'!$B$2,2)=5,WEEKDAY('Daily Schedule'!$B$2,2)=7),IFERROR(1*'Daily Workforce'!$K94&gt;=3,FALSE()),IFERROR(1*'Daily Workforce'!$K94&gt;=2,FALSE())),IF(AND('Daily Schedule'!$A36&gt;=46,'Daily Schedule'!$A36&lt;=52),'Daily Workforce'!$M94="Y",IFERROR(1*'Daily Workforce'!$P94&gt;=2,FALSE()))))),1,0)</f>
        <v>1</v>
      </c>
      <c r="DB32" s="1" t="n">
        <f aca="false">IF(AND('Daily Workforce'!$N95="Y",'Daily Workforce'!$B95&lt;&gt;"",COUNTIF('Daily Schedule'!$F$5:$F35,'Daily Workforce'!$B95)=0,IF('Daily Schedule'!$A36=45,'Daily Workforce'!$J95="Y",IF(OR('Daily Schedule'!$A36=4,'Daily Schedule'!$A36=8),IF(OR(WEEKDAY('Daily Schedule'!$B$2,2)=1,WEEKDAY('Daily Schedule'!$B$2,2)=4,WEEKDAY('Daily Schedule'!$B$2,2)=5,WEEKDAY('Daily Schedule'!$B$2,2)=7),IFERROR(1*'Daily Workforce'!$K95&gt;=3,FALSE()),IFERROR(1*'Daily Workforce'!$K95&gt;=2,FALSE())),IF(AND('Daily Schedule'!$A36&gt;=46,'Daily Schedule'!$A36&lt;=52),'Daily Workforce'!$M95="Y",IFERROR(1*'Daily Workforce'!$P95&gt;=2,FALSE()))))),1,0)</f>
        <v>1</v>
      </c>
      <c r="DC32" s="1" t="n">
        <f aca="false">IF(AND('Daily Workforce'!$N96="Y",'Daily Workforce'!$B96&lt;&gt;"",COUNTIF('Daily Schedule'!$F$5:$F35,'Daily Workforce'!$B96)=0,IF('Daily Schedule'!$A36=45,'Daily Workforce'!$J96="Y",IF(OR('Daily Schedule'!$A36=4,'Daily Schedule'!$A36=8),IF(OR(WEEKDAY('Daily Schedule'!$B$2,2)=1,WEEKDAY('Daily Schedule'!$B$2,2)=4,WEEKDAY('Daily Schedule'!$B$2,2)=5,WEEKDAY('Daily Schedule'!$B$2,2)=7),IFERROR(1*'Daily Workforce'!$K96&gt;=3,FALSE()),IFERROR(1*'Daily Workforce'!$K96&gt;=2,FALSE())),IF(AND('Daily Schedule'!$A36&gt;=46,'Daily Schedule'!$A36&lt;=52),'Daily Workforce'!$M96="Y",IFERROR(1*'Daily Workforce'!$P96&gt;=2,FALSE()))))),1,0)</f>
        <v>1</v>
      </c>
      <c r="DD32" s="1" t="n">
        <f aca="false">IF(AND('Daily Workforce'!$N97="Y",'Daily Workforce'!$B97&lt;&gt;"",COUNTIF('Daily Schedule'!$F$5:$F35,'Daily Workforce'!$B97)=0,IF('Daily Schedule'!$A36=45,'Daily Workforce'!$J97="Y",IF(OR('Daily Schedule'!$A36=4,'Daily Schedule'!$A36=8),IF(OR(WEEKDAY('Daily Schedule'!$B$2,2)=1,WEEKDAY('Daily Schedule'!$B$2,2)=4,WEEKDAY('Daily Schedule'!$B$2,2)=5,WEEKDAY('Daily Schedule'!$B$2,2)=7),IFERROR(1*'Daily Workforce'!$K97&gt;=3,FALSE()),IFERROR(1*'Daily Workforce'!$K97&gt;=2,FALSE())),IF(AND('Daily Schedule'!$A36&gt;=46,'Daily Schedule'!$A36&lt;=52),'Daily Workforce'!$M97="Y",IFERROR(1*'Daily Workforce'!$P97&gt;=2,FALSE()))))),1,0)</f>
        <v>1</v>
      </c>
      <c r="DE32" s="1" t="n">
        <f aca="false">IF(AND('Daily Workforce'!$N98="Y",'Daily Workforce'!$B98&lt;&gt;"",COUNTIF('Daily Schedule'!$F$5:$F35,'Daily Workforce'!$B98)=0,IF('Daily Schedule'!$A36=45,'Daily Workforce'!$J98="Y",IF(OR('Daily Schedule'!$A36=4,'Daily Schedule'!$A36=8),IF(OR(WEEKDAY('Daily Schedule'!$B$2,2)=1,WEEKDAY('Daily Schedule'!$B$2,2)=4,WEEKDAY('Daily Schedule'!$B$2,2)=5,WEEKDAY('Daily Schedule'!$B$2,2)=7),IFERROR(1*'Daily Workforce'!$K98&gt;=3,FALSE()),IFERROR(1*'Daily Workforce'!$K98&gt;=2,FALSE())),IF(AND('Daily Schedule'!$A36&gt;=46,'Daily Schedule'!$A36&lt;=52),'Daily Workforce'!$M98="Y",IFERROR(1*'Daily Workforce'!$P98&gt;=2,FALSE()))))),1,0)</f>
        <v>1</v>
      </c>
      <c r="DF32" s="1" t="n">
        <f aca="false">IF(AND('Daily Workforce'!$N99="Y",'Daily Workforce'!$B99&lt;&gt;"",COUNTIF('Daily Schedule'!$F$5:$F35,'Daily Workforce'!$B99)=0,IF('Daily Schedule'!$A36=45,'Daily Workforce'!$J99="Y",IF(OR('Daily Schedule'!$A36=4,'Daily Schedule'!$A36=8),IF(OR(WEEKDAY('Daily Schedule'!$B$2,2)=1,WEEKDAY('Daily Schedule'!$B$2,2)=4,WEEKDAY('Daily Schedule'!$B$2,2)=5,WEEKDAY('Daily Schedule'!$B$2,2)=7),IFERROR(1*'Daily Workforce'!$K99&gt;=3,FALSE()),IFERROR(1*'Daily Workforce'!$K99&gt;=2,FALSE())),IF(AND('Daily Schedule'!$A36&gt;=46,'Daily Schedule'!$A36&lt;=52),'Daily Workforce'!$M99="Y",IFERROR(1*'Daily Workforce'!$P99&gt;=2,FALSE()))))),1,0)</f>
        <v>1</v>
      </c>
      <c r="DG32" s="1" t="n">
        <f aca="false">IF(AND('Daily Workforce'!$N100="Y",'Daily Workforce'!$B100&lt;&gt;"",COUNTIF('Daily Schedule'!$F$5:$F35,'Daily Workforce'!$B100)=0,IF('Daily Schedule'!$A36=45,'Daily Workforce'!$J100="Y",IF(OR('Daily Schedule'!$A36=4,'Daily Schedule'!$A36=8),IF(OR(WEEKDAY('Daily Schedule'!$B$2,2)=1,WEEKDAY('Daily Schedule'!$B$2,2)=4,WEEKDAY('Daily Schedule'!$B$2,2)=5,WEEKDAY('Daily Schedule'!$B$2,2)=7),IFERROR(1*'Daily Workforce'!$K100&gt;=3,FALSE()),IFERROR(1*'Daily Workforce'!$K100&gt;=2,FALSE())),IF(AND('Daily Schedule'!$A36&gt;=46,'Daily Schedule'!$A36&lt;=52),'Daily Workforce'!$M100="Y",IFERROR(1*'Daily Workforce'!$P100&gt;=2,FALSE()))))),1,0)</f>
        <v>1</v>
      </c>
      <c r="DH32" s="1" t="n">
        <f aca="false">IF(AND('Daily Workforce'!$N101="Y",'Daily Workforce'!$B101&lt;&gt;"",COUNTIF('Daily Schedule'!$F$5:$F35,'Daily Workforce'!$B101)=0,IF('Daily Schedule'!$A36=45,'Daily Workforce'!$J101="Y",IF(OR('Daily Schedule'!$A36=4,'Daily Schedule'!$A36=8),IF(OR(WEEKDAY('Daily Schedule'!$B$2,2)=1,WEEKDAY('Daily Schedule'!$B$2,2)=4,WEEKDAY('Daily Schedule'!$B$2,2)=5,WEEKDAY('Daily Schedule'!$B$2,2)=7),IFERROR(1*'Daily Workforce'!$K101&gt;=3,FALSE()),IFERROR(1*'Daily Workforce'!$K101&gt;=2,FALSE())),IF(AND('Daily Schedule'!$A36&gt;=46,'Daily Schedule'!$A36&lt;=52),'Daily Workforce'!$M101="Y",IFERROR(1*'Daily Workforce'!$P101&gt;=2,FALSE()))))),1,0)</f>
        <v>1</v>
      </c>
      <c r="DI32" s="1" t="n">
        <f aca="false">IF(AND('Daily Workforce'!$N102="Y",'Daily Workforce'!$B102&lt;&gt;"",COUNTIF('Daily Schedule'!$F$5:$F35,'Daily Workforce'!$B102)=0,IF('Daily Schedule'!$A36=45,'Daily Workforce'!$J102="Y",IF(OR('Daily Schedule'!$A36=4,'Daily Schedule'!$A36=8),IF(OR(WEEKDAY('Daily Schedule'!$B$2,2)=1,WEEKDAY('Daily Schedule'!$B$2,2)=4,WEEKDAY('Daily Schedule'!$B$2,2)=5,WEEKDAY('Daily Schedule'!$B$2,2)=7),IFERROR(1*'Daily Workforce'!$K102&gt;=3,FALSE()),IFERROR(1*'Daily Workforce'!$K102&gt;=2,FALSE())),IF(AND('Daily Schedule'!$A36&gt;=46,'Daily Schedule'!$A36&lt;=52),'Daily Workforce'!$M102="Y",IFERROR(1*'Daily Workforce'!$P102&gt;=2,FALSE()))))),1,0)</f>
        <v>1</v>
      </c>
      <c r="DJ32" s="1" t="n">
        <f aca="false">IF(AND('Daily Workforce'!$N103="Y",'Daily Workforce'!$B103&lt;&gt;"",COUNTIF('Daily Schedule'!$F$5:$F35,'Daily Workforce'!$B103)=0,IF('Daily Schedule'!$A36=45,'Daily Workforce'!$J103="Y",IF(OR('Daily Schedule'!$A36=4,'Daily Schedule'!$A36=8),IF(OR(WEEKDAY('Daily Schedule'!$B$2,2)=1,WEEKDAY('Daily Schedule'!$B$2,2)=4,WEEKDAY('Daily Schedule'!$B$2,2)=5,WEEKDAY('Daily Schedule'!$B$2,2)=7),IFERROR(1*'Daily Workforce'!$K103&gt;=3,FALSE()),IFERROR(1*'Daily Workforce'!$K103&gt;=2,FALSE())),IF(AND('Daily Schedule'!$A36&gt;=46,'Daily Schedule'!$A36&lt;=52),'Daily Workforce'!$M103="Y",IFERROR(1*'Daily Workforce'!$P103&gt;=2,FALSE()))))),1,0)</f>
        <v>1</v>
      </c>
      <c r="DK32" s="1" t="n">
        <f aca="false">IF(AND('Daily Workforce'!$N104="Y",'Daily Workforce'!$B104&lt;&gt;"",COUNTIF('Daily Schedule'!$F$5:$F35,'Daily Workforce'!$B104)=0,IF('Daily Schedule'!$A36=45,'Daily Workforce'!$J104="Y",IF(OR('Daily Schedule'!$A36=4,'Daily Schedule'!$A36=8),IF(OR(WEEKDAY('Daily Schedule'!$B$2,2)=1,WEEKDAY('Daily Schedule'!$B$2,2)=4,WEEKDAY('Daily Schedule'!$B$2,2)=5,WEEKDAY('Daily Schedule'!$B$2,2)=7),IFERROR(1*'Daily Workforce'!$K104&gt;=3,FALSE()),IFERROR(1*'Daily Workforce'!$K104&gt;=2,FALSE())),IF(AND('Daily Schedule'!$A36&gt;=46,'Daily Schedule'!$A36&lt;=52),'Daily Workforce'!$M104="Y",IFERROR(1*'Daily Workforce'!$P104&gt;=2,FALSE()))))),1,0)</f>
        <v>1</v>
      </c>
      <c r="DL32" s="1" t="n">
        <f aca="false">IF(AND('Daily Workforce'!$N105="Y",'Daily Workforce'!$B105&lt;&gt;"",COUNTIF('Daily Schedule'!$F$5:$F35,'Daily Workforce'!$B105)=0,IF('Daily Schedule'!$A36=45,'Daily Workforce'!$J105="Y",IF(OR('Daily Schedule'!$A36=4,'Daily Schedule'!$A36=8),IF(OR(WEEKDAY('Daily Schedule'!$B$2,2)=1,WEEKDAY('Daily Schedule'!$B$2,2)=4,WEEKDAY('Daily Schedule'!$B$2,2)=5,WEEKDAY('Daily Schedule'!$B$2,2)=7),IFERROR(1*'Daily Workforce'!$K105&gt;=3,FALSE()),IFERROR(1*'Daily Workforce'!$K105&gt;=2,FALSE())),IF(AND('Daily Schedule'!$A36&gt;=46,'Daily Schedule'!$A36&lt;=52),'Daily Workforce'!$M105="Y",IFERROR(1*'Daily Workforce'!$P105&gt;=2,FALSE()))))),1,0)</f>
        <v>0</v>
      </c>
      <c r="DM32" s="1" t="n">
        <f aca="false">IF(AND('Daily Workforce'!$N106="Y",'Daily Workforce'!$B106&lt;&gt;"",COUNTIF('Daily Schedule'!$F$5:$F35,'Daily Workforce'!$B106)=0,IF('Daily Schedule'!$A36=45,'Daily Workforce'!$J106="Y",IF(OR('Daily Schedule'!$A36=4,'Daily Schedule'!$A36=8),IF(OR(WEEKDAY('Daily Schedule'!$B$2,2)=1,WEEKDAY('Daily Schedule'!$B$2,2)=4,WEEKDAY('Daily Schedule'!$B$2,2)=5,WEEKDAY('Daily Schedule'!$B$2,2)=7),IFERROR(1*'Daily Workforce'!$K106&gt;=3,FALSE()),IFERROR(1*'Daily Workforce'!$K106&gt;=2,FALSE())),IF(AND('Daily Schedule'!$A36&gt;=46,'Daily Schedule'!$A36&lt;=52),'Daily Workforce'!$M106="Y",IFERROR(1*'Daily Workforce'!$P106&gt;=2,FALSE()))))),1,0)</f>
        <v>1</v>
      </c>
      <c r="DN32" s="1" t="n">
        <f aca="false">IF(AND('Daily Workforce'!$N107="Y",'Daily Workforce'!$B107&lt;&gt;"",COUNTIF('Daily Schedule'!$F$5:$F35,'Daily Workforce'!$B107)=0,IF('Daily Schedule'!$A36=45,'Daily Workforce'!$J107="Y",IF(OR('Daily Schedule'!$A36=4,'Daily Schedule'!$A36=8),IF(OR(WEEKDAY('Daily Schedule'!$B$2,2)=1,WEEKDAY('Daily Schedule'!$B$2,2)=4,WEEKDAY('Daily Schedule'!$B$2,2)=5,WEEKDAY('Daily Schedule'!$B$2,2)=7),IFERROR(1*'Daily Workforce'!$K107&gt;=3,FALSE()),IFERROR(1*'Daily Workforce'!$K107&gt;=2,FALSE())),IF(AND('Daily Schedule'!$A36&gt;=46,'Daily Schedule'!$A36&lt;=52),'Daily Workforce'!$M107="Y",IFERROR(1*'Daily Workforce'!$P107&gt;=2,FALSE()))))),1,0)</f>
        <v>1</v>
      </c>
      <c r="DO32" s="1" t="n">
        <f aca="false">IF(AND('Daily Workforce'!$N108="Y",'Daily Workforce'!$B108&lt;&gt;"",COUNTIF('Daily Schedule'!$F$5:$F35,'Daily Workforce'!$B108)=0,IF('Daily Schedule'!$A36=45,'Daily Workforce'!$J108="Y",IF(OR('Daily Schedule'!$A36=4,'Daily Schedule'!$A36=8),IF(OR(WEEKDAY('Daily Schedule'!$B$2,2)=1,WEEKDAY('Daily Schedule'!$B$2,2)=4,WEEKDAY('Daily Schedule'!$B$2,2)=5,WEEKDAY('Daily Schedule'!$B$2,2)=7),IFERROR(1*'Daily Workforce'!$K108&gt;=3,FALSE()),IFERROR(1*'Daily Workforce'!$K108&gt;=2,FALSE())),IF(AND('Daily Schedule'!$A36&gt;=46,'Daily Schedule'!$A36&lt;=52),'Daily Workforce'!$M108="Y",IFERROR(1*'Daily Workforce'!$P108&gt;=2,FALSE()))))),1,0)</f>
        <v>1</v>
      </c>
      <c r="DP32" s="1" t="n">
        <f aca="false">IF(AND('Daily Workforce'!$N109="Y",'Daily Workforce'!$B109&lt;&gt;"",COUNTIF('Daily Schedule'!$F$5:$F35,'Daily Workforce'!$B109)=0,IF('Daily Schedule'!$A36=45,'Daily Workforce'!$J109="Y",IF(OR('Daily Schedule'!$A36=4,'Daily Schedule'!$A36=8),IF(OR(WEEKDAY('Daily Schedule'!$B$2,2)=1,WEEKDAY('Daily Schedule'!$B$2,2)=4,WEEKDAY('Daily Schedule'!$B$2,2)=5,WEEKDAY('Daily Schedule'!$B$2,2)=7),IFERROR(1*'Daily Workforce'!$K109&gt;=3,FALSE()),IFERROR(1*'Daily Workforce'!$K109&gt;=2,FALSE())),IF(AND('Daily Schedule'!$A36&gt;=46,'Daily Schedule'!$A36&lt;=52),'Daily Workforce'!$M109="Y",IFERROR(1*'Daily Workforce'!$P109&gt;=2,FALSE()))))),1,0)</f>
        <v>1</v>
      </c>
      <c r="DQ32" s="1" t="n">
        <f aca="false">IF(AND('Daily Workforce'!$N110="Y",'Daily Workforce'!$B110&lt;&gt;"",COUNTIF('Daily Schedule'!$F$5:$F35,'Daily Workforce'!$B110)=0,IF('Daily Schedule'!$A36=45,'Daily Workforce'!$J110="Y",IF(OR('Daily Schedule'!$A36=4,'Daily Schedule'!$A36=8),IF(OR(WEEKDAY('Daily Schedule'!$B$2,2)=1,WEEKDAY('Daily Schedule'!$B$2,2)=4,WEEKDAY('Daily Schedule'!$B$2,2)=5,WEEKDAY('Daily Schedule'!$B$2,2)=7),IFERROR(1*'Daily Workforce'!$K110&gt;=3,FALSE()),IFERROR(1*'Daily Workforce'!$K110&gt;=2,FALSE())),IF(AND('Daily Schedule'!$A36&gt;=46,'Daily Schedule'!$A36&lt;=52),'Daily Workforce'!$M110="Y",IFERROR(1*'Daily Workforce'!$P110&gt;=2,FALSE()))))),1,0)</f>
        <v>1</v>
      </c>
      <c r="DR32" s="1" t="n">
        <f aca="false">IF(AND('Daily Workforce'!$N111="Y",'Daily Workforce'!$B111&lt;&gt;"",COUNTIF('Daily Schedule'!$F$5:$F35,'Daily Workforce'!$B111)=0,IF('Daily Schedule'!$A36=45,'Daily Workforce'!$J111="Y",IF(OR('Daily Schedule'!$A36=4,'Daily Schedule'!$A36=8),IF(OR(WEEKDAY('Daily Schedule'!$B$2,2)=1,WEEKDAY('Daily Schedule'!$B$2,2)=4,WEEKDAY('Daily Schedule'!$B$2,2)=5,WEEKDAY('Daily Schedule'!$B$2,2)=7),IFERROR(1*'Daily Workforce'!$K111&gt;=3,FALSE()),IFERROR(1*'Daily Workforce'!$K111&gt;=2,FALSE())),IF(AND('Daily Schedule'!$A36&gt;=46,'Daily Schedule'!$A36&lt;=52),'Daily Workforce'!$M111="Y",IFERROR(1*'Daily Workforce'!$P111&gt;=2,FALSE()))))),1,0)</f>
        <v>1</v>
      </c>
      <c r="DS32" s="1" t="n">
        <f aca="false">IF(AND('Daily Workforce'!$N112="Y",'Daily Workforce'!$B112&lt;&gt;"",COUNTIF('Daily Schedule'!$F$5:$F35,'Daily Workforce'!$B112)=0,IF('Daily Schedule'!$A36=45,'Daily Workforce'!$J112="Y",IF(OR('Daily Schedule'!$A36=4,'Daily Schedule'!$A36=8),IF(OR(WEEKDAY('Daily Schedule'!$B$2,2)=1,WEEKDAY('Daily Schedule'!$B$2,2)=4,WEEKDAY('Daily Schedule'!$B$2,2)=5,WEEKDAY('Daily Schedule'!$B$2,2)=7),IFERROR(1*'Daily Workforce'!$K112&gt;=3,FALSE()),IFERROR(1*'Daily Workforce'!$K112&gt;=2,FALSE())),IF(AND('Daily Schedule'!$A36&gt;=46,'Daily Schedule'!$A36&lt;=52),'Daily Workforce'!$M112="Y",IFERROR(1*'Daily Workforce'!$P112&gt;=2,FALSE()))))),1,0)</f>
        <v>1</v>
      </c>
      <c r="DT32" s="1" t="n">
        <f aca="false">IF(AND('Daily Workforce'!$N113="Y",'Daily Workforce'!$B113&lt;&gt;"",COUNTIF('Daily Schedule'!$F$5:$F35,'Daily Workforce'!$B113)=0,IF('Daily Schedule'!$A36=45,'Daily Workforce'!$J113="Y",IF(OR('Daily Schedule'!$A36=4,'Daily Schedule'!$A36=8),IF(OR(WEEKDAY('Daily Schedule'!$B$2,2)=1,WEEKDAY('Daily Schedule'!$B$2,2)=4,WEEKDAY('Daily Schedule'!$B$2,2)=5,WEEKDAY('Daily Schedule'!$B$2,2)=7),IFERROR(1*'Daily Workforce'!$K113&gt;=3,FALSE()),IFERROR(1*'Daily Workforce'!$K113&gt;=2,FALSE())),IF(AND('Daily Schedule'!$A36&gt;=46,'Daily Schedule'!$A36&lt;=52),'Daily Workforce'!$M113="Y",IFERROR(1*'Daily Workforce'!$P113&gt;=2,FALSE()))))),1,0)</f>
        <v>1</v>
      </c>
      <c r="DU32" s="1" t="n">
        <f aca="false">IF(AND('Daily Workforce'!$N114="Y",'Daily Workforce'!$B114&lt;&gt;"",COUNTIF('Daily Schedule'!$F$5:$F35,'Daily Workforce'!$B114)=0,IF('Daily Schedule'!$A36=45,'Daily Workforce'!$J114="Y",IF(OR('Daily Schedule'!$A36=4,'Daily Schedule'!$A36=8),IF(OR(WEEKDAY('Daily Schedule'!$B$2,2)=1,WEEKDAY('Daily Schedule'!$B$2,2)=4,WEEKDAY('Daily Schedule'!$B$2,2)=5,WEEKDAY('Daily Schedule'!$B$2,2)=7),IFERROR(1*'Daily Workforce'!$K114&gt;=3,FALSE()),IFERROR(1*'Daily Workforce'!$K114&gt;=2,FALSE())),IF(AND('Daily Schedule'!$A36&gt;=46,'Daily Schedule'!$A36&lt;=52),'Daily Workforce'!$M114="Y",IFERROR(1*'Daily Workforce'!$P114&gt;=2,FALSE()))))),1,0)</f>
        <v>1</v>
      </c>
      <c r="DV32" s="1" t="n">
        <f aca="false">IF(AND('Daily Workforce'!$N115="Y",'Daily Workforce'!$B115&lt;&gt;"",COUNTIF('Daily Schedule'!$F$5:$F35,'Daily Workforce'!$B115)=0,IF('Daily Schedule'!$A36=45,'Daily Workforce'!$J115="Y",IF(OR('Daily Schedule'!$A36=4,'Daily Schedule'!$A36=8),IF(OR(WEEKDAY('Daily Schedule'!$B$2,2)=1,WEEKDAY('Daily Schedule'!$B$2,2)=4,WEEKDAY('Daily Schedule'!$B$2,2)=5,WEEKDAY('Daily Schedule'!$B$2,2)=7),IFERROR(1*'Daily Workforce'!$K115&gt;=3,FALSE()),IFERROR(1*'Daily Workforce'!$K115&gt;=2,FALSE())),IF(AND('Daily Schedule'!$A36&gt;=46,'Daily Schedule'!$A36&lt;=52),'Daily Workforce'!$M115="Y",IFERROR(1*'Daily Workforce'!$P115&gt;=2,FALSE()))))),1,0)</f>
        <v>1</v>
      </c>
      <c r="DW32" s="1" t="n">
        <f aca="false">IF(AND('Daily Workforce'!$N116="Y",'Daily Workforce'!$B116&lt;&gt;"",COUNTIF('Daily Schedule'!$F$5:$F35,'Daily Workforce'!$B116)=0,IF('Daily Schedule'!$A36=45,'Daily Workforce'!$J116="Y",IF(OR('Daily Schedule'!$A36=4,'Daily Schedule'!$A36=8),IF(OR(WEEKDAY('Daily Schedule'!$B$2,2)=1,WEEKDAY('Daily Schedule'!$B$2,2)=4,WEEKDAY('Daily Schedule'!$B$2,2)=5,WEEKDAY('Daily Schedule'!$B$2,2)=7),IFERROR(1*'Daily Workforce'!$K116&gt;=3,FALSE()),IFERROR(1*'Daily Workforce'!$K116&gt;=2,FALSE())),IF(AND('Daily Schedule'!$A36&gt;=46,'Daily Schedule'!$A36&lt;=52),'Daily Workforce'!$M116="Y",IFERROR(1*'Daily Workforce'!$P116&gt;=2,FALSE()))))),1,0)</f>
        <v>1</v>
      </c>
      <c r="DX32" s="1" t="n">
        <f aca="false">IF(AND('Daily Workforce'!$N117="Y",'Daily Workforce'!$B117&lt;&gt;"",COUNTIF('Daily Schedule'!$F$5:$F35,'Daily Workforce'!$B117)=0,IF('Daily Schedule'!$A36=45,'Daily Workforce'!$J117="Y",IF(OR('Daily Schedule'!$A36=4,'Daily Schedule'!$A36=8),IF(OR(WEEKDAY('Daily Schedule'!$B$2,2)=1,WEEKDAY('Daily Schedule'!$B$2,2)=4,WEEKDAY('Daily Schedule'!$B$2,2)=5,WEEKDAY('Daily Schedule'!$B$2,2)=7),IFERROR(1*'Daily Workforce'!$K117&gt;=3,FALSE()),IFERROR(1*'Daily Workforce'!$K117&gt;=2,FALSE())),IF(AND('Daily Schedule'!$A36&gt;=46,'Daily Schedule'!$A36&lt;=52),'Daily Workforce'!$M117="Y",IFERROR(1*'Daily Workforce'!$P117&gt;=2,FALSE()))))),1,0)</f>
        <v>1</v>
      </c>
      <c r="DY32" s="1" t="n">
        <f aca="false">IF(AND('Daily Workforce'!$N118="Y",'Daily Workforce'!$B118&lt;&gt;"",COUNTIF('Daily Schedule'!$F$5:$F35,'Daily Workforce'!$B118)=0,IF('Daily Schedule'!$A36=45,'Daily Workforce'!$J118="Y",IF(OR('Daily Schedule'!$A36=4,'Daily Schedule'!$A36=8),IF(OR(WEEKDAY('Daily Schedule'!$B$2,2)=1,WEEKDAY('Daily Schedule'!$B$2,2)=4,WEEKDAY('Daily Schedule'!$B$2,2)=5,WEEKDAY('Daily Schedule'!$B$2,2)=7),IFERROR(1*'Daily Workforce'!$K118&gt;=3,FALSE()),IFERROR(1*'Daily Workforce'!$K118&gt;=2,FALSE())),IF(AND('Daily Schedule'!$A36&gt;=46,'Daily Schedule'!$A36&lt;=52),'Daily Workforce'!$M118="Y",IFERROR(1*'Daily Workforce'!$P118&gt;=2,FALSE()))))),1,0)</f>
        <v>0</v>
      </c>
      <c r="DZ32" s="1" t="n">
        <f aca="false">IF(AND('Daily Workforce'!$N119="Y",'Daily Workforce'!$B119&lt;&gt;"",COUNTIF('Daily Schedule'!$F$5:$F35,'Daily Workforce'!$B119)=0,IF('Daily Schedule'!$A36=45,'Daily Workforce'!$J119="Y",IF(OR('Daily Schedule'!$A36=4,'Daily Schedule'!$A36=8),IF(OR(WEEKDAY('Daily Schedule'!$B$2,2)=1,WEEKDAY('Daily Schedule'!$B$2,2)=4,WEEKDAY('Daily Schedule'!$B$2,2)=5,WEEKDAY('Daily Schedule'!$B$2,2)=7),IFERROR(1*'Daily Workforce'!$K119&gt;=3,FALSE()),IFERROR(1*'Daily Workforce'!$K119&gt;=2,FALSE())),IF(AND('Daily Schedule'!$A36&gt;=46,'Daily Schedule'!$A36&lt;=52),'Daily Workforce'!$M119="Y",IFERROR(1*'Daily Workforce'!$P119&gt;=2,FALSE()))))),1,0)</f>
        <v>0</v>
      </c>
      <c r="EA32" s="1" t="n">
        <f aca="false">IF(AND('Daily Workforce'!$N120="Y",'Daily Workforce'!$B120&lt;&gt;"",COUNTIF('Daily Schedule'!$F$5:$F35,'Daily Workforce'!$B120)=0,IF('Daily Schedule'!$A36=45,'Daily Workforce'!$J120="Y",IF(OR('Daily Schedule'!$A36=4,'Daily Schedule'!$A36=8),IF(OR(WEEKDAY('Daily Schedule'!$B$2,2)=1,WEEKDAY('Daily Schedule'!$B$2,2)=4,WEEKDAY('Daily Schedule'!$B$2,2)=5,WEEKDAY('Daily Schedule'!$B$2,2)=7),IFERROR(1*'Daily Workforce'!$K120&gt;=3,FALSE()),IFERROR(1*'Daily Workforce'!$K120&gt;=2,FALSE())),IF(AND('Daily Schedule'!$A36&gt;=46,'Daily Schedule'!$A36&lt;=52),'Daily Workforce'!$M120="Y",IFERROR(1*'Daily Workforce'!$P120&gt;=2,FALSE()))))),1,0)</f>
        <v>0</v>
      </c>
      <c r="EB32" s="1" t="n">
        <f aca="false">IF(AND('Daily Workforce'!$N121="Y",'Daily Workforce'!$B121&lt;&gt;"",COUNTIF('Daily Schedule'!$F$5:$F35,'Daily Workforce'!$B121)=0,IF('Daily Schedule'!$A36=45,'Daily Workforce'!$J121="Y",IF(OR('Daily Schedule'!$A36=4,'Daily Schedule'!$A36=8),IF(OR(WEEKDAY('Daily Schedule'!$B$2,2)=1,WEEKDAY('Daily Schedule'!$B$2,2)=4,WEEKDAY('Daily Schedule'!$B$2,2)=5,WEEKDAY('Daily Schedule'!$B$2,2)=7),IFERROR(1*'Daily Workforce'!$K121&gt;=3,FALSE()),IFERROR(1*'Daily Workforce'!$K121&gt;=2,FALSE())),IF(AND('Daily Schedule'!$A36&gt;=46,'Daily Schedule'!$A36&lt;=52),'Daily Workforce'!$M121="Y",IFERROR(1*'Daily Workforce'!$P121&gt;=2,FALSE()))))),1,0)</f>
        <v>0</v>
      </c>
      <c r="EC32" s="1" t="n">
        <f aca="false">IF(AND('Daily Workforce'!$N122="Y",'Daily Workforce'!$B122&lt;&gt;"",COUNTIF('Daily Schedule'!$F$5:$F35,'Daily Workforce'!$B122)=0,IF('Daily Schedule'!$A36=45,'Daily Workforce'!$J122="Y",IF(OR('Daily Schedule'!$A36=4,'Daily Schedule'!$A36=8),IF(OR(WEEKDAY('Daily Schedule'!$B$2,2)=1,WEEKDAY('Daily Schedule'!$B$2,2)=4,WEEKDAY('Daily Schedule'!$B$2,2)=5,WEEKDAY('Daily Schedule'!$B$2,2)=7),IFERROR(1*'Daily Workforce'!$K122&gt;=3,FALSE()),IFERROR(1*'Daily Workforce'!$K122&gt;=2,FALSE())),IF(AND('Daily Schedule'!$A36&gt;=46,'Daily Schedule'!$A36&lt;=52),'Daily Workforce'!$M122="Y",IFERROR(1*'Daily Workforce'!$P122&gt;=2,FALSE()))))),1,0)</f>
        <v>0</v>
      </c>
      <c r="ED32" s="1" t="n">
        <f aca="false">IF(AND('Daily Workforce'!$N123="Y",'Daily Workforce'!$B123&lt;&gt;"",COUNTIF('Daily Schedule'!$F$5:$F35,'Daily Workforce'!$B123)=0,IF('Daily Schedule'!$A36=45,'Daily Workforce'!$J123="Y",IF(OR('Daily Schedule'!$A36=4,'Daily Schedule'!$A36=8),IF(OR(WEEKDAY('Daily Schedule'!$B$2,2)=1,WEEKDAY('Daily Schedule'!$B$2,2)=4,WEEKDAY('Daily Schedule'!$B$2,2)=5,WEEKDAY('Daily Schedule'!$B$2,2)=7),IFERROR(1*'Daily Workforce'!$K123&gt;=3,FALSE()),IFERROR(1*'Daily Workforce'!$K123&gt;=2,FALSE())),IF(AND('Daily Schedule'!$A36&gt;=46,'Daily Schedule'!$A36&lt;=52),'Daily Workforce'!$M123="Y",IFERROR(1*'Daily Workforce'!$P123&gt;=2,FALSE()))))),1,0)</f>
        <v>0</v>
      </c>
      <c r="EE32" s="1" t="n">
        <f aca="false">IF(AND('Daily Workforce'!$N124="Y",'Daily Workforce'!$B124&lt;&gt;"",COUNTIF('Daily Schedule'!$F$5:$F35,'Daily Workforce'!$B124)=0,IF('Daily Schedule'!$A36=45,'Daily Workforce'!$J124="Y",IF(OR('Daily Schedule'!$A36=4,'Daily Schedule'!$A36=8),IF(OR(WEEKDAY('Daily Schedule'!$B$2,2)=1,WEEKDAY('Daily Schedule'!$B$2,2)=4,WEEKDAY('Daily Schedule'!$B$2,2)=5,WEEKDAY('Daily Schedule'!$B$2,2)=7),IFERROR(1*'Daily Workforce'!$K124&gt;=3,FALSE()),IFERROR(1*'Daily Workforce'!$K124&gt;=2,FALSE())),IF(AND('Daily Schedule'!$A36&gt;=46,'Daily Schedule'!$A36&lt;=52),'Daily Workforce'!$M124="Y",IFERROR(1*'Daily Workforce'!$P124&gt;=2,FALSE()))))),1,0)</f>
        <v>0</v>
      </c>
      <c r="EF32" s="1" t="n">
        <f aca="false">IF(AND('Daily Workforce'!$N125="Y",'Daily Workforce'!$B125&lt;&gt;"",COUNTIF('Daily Schedule'!$F$5:$F35,'Daily Workforce'!$B125)=0,IF('Daily Schedule'!$A36=45,'Daily Workforce'!$J125="Y",IF(OR('Daily Schedule'!$A36=4,'Daily Schedule'!$A36=8),IF(OR(WEEKDAY('Daily Schedule'!$B$2,2)=1,WEEKDAY('Daily Schedule'!$B$2,2)=4,WEEKDAY('Daily Schedule'!$B$2,2)=5,WEEKDAY('Daily Schedule'!$B$2,2)=7),IFERROR(1*'Daily Workforce'!$K125&gt;=3,FALSE()),IFERROR(1*'Daily Workforce'!$K125&gt;=2,FALSE())),IF(AND('Daily Schedule'!$A36&gt;=46,'Daily Schedule'!$A36&lt;=52),'Daily Workforce'!$M125="Y",IFERROR(1*'Daily Workforce'!$P125&gt;=2,FALSE()))))),1,0)</f>
        <v>0</v>
      </c>
      <c r="EG32" s="1" t="n">
        <f aca="false">IF(AND('Daily Workforce'!$N126="Y",'Daily Workforce'!$B126&lt;&gt;"",COUNTIF('Daily Schedule'!$F$5:$F35,'Daily Workforce'!$B126)=0,IF('Daily Schedule'!$A36=45,'Daily Workforce'!$J126="Y",IF(OR('Daily Schedule'!$A36=4,'Daily Schedule'!$A36=8),IF(OR(WEEKDAY('Daily Schedule'!$B$2,2)=1,WEEKDAY('Daily Schedule'!$B$2,2)=4,WEEKDAY('Daily Schedule'!$B$2,2)=5,WEEKDAY('Daily Schedule'!$B$2,2)=7),IFERROR(1*'Daily Workforce'!$K126&gt;=3,FALSE()),IFERROR(1*'Daily Workforce'!$K126&gt;=2,FALSE())),IF(AND('Daily Schedule'!$A36&gt;=46,'Daily Schedule'!$A36&lt;=52),'Daily Workforce'!$M126="Y",IFERROR(1*'Daily Workforce'!$P126&gt;=2,FALSE()))))),1,0)</f>
        <v>0</v>
      </c>
      <c r="EH32" s="1" t="n">
        <f aca="false">IF(AND('Daily Workforce'!$N127="Y",'Daily Workforce'!$B127&lt;&gt;"",COUNTIF('Daily Schedule'!$F$5:$F35,'Daily Workforce'!$B127)=0,IF('Daily Schedule'!$A36=45,'Daily Workforce'!$J127="Y",IF(OR('Daily Schedule'!$A36=4,'Daily Schedule'!$A36=8),IF(OR(WEEKDAY('Daily Schedule'!$B$2,2)=1,WEEKDAY('Daily Schedule'!$B$2,2)=4,WEEKDAY('Daily Schedule'!$B$2,2)=5,WEEKDAY('Daily Schedule'!$B$2,2)=7),IFERROR(1*'Daily Workforce'!$K127&gt;=3,FALSE()),IFERROR(1*'Daily Workforce'!$K127&gt;=2,FALSE())),IF(AND('Daily Schedule'!$A36&gt;=46,'Daily Schedule'!$A36&lt;=52),'Daily Workforce'!$M127="Y",IFERROR(1*'Daily Workforce'!$P127&gt;=2,FALSE()))))),1,0)</f>
        <v>0</v>
      </c>
      <c r="EI32" s="1" t="n">
        <f aca="false">IF(AND('Daily Workforce'!$N128="Y",'Daily Workforce'!$B128&lt;&gt;"",COUNTIF('Daily Schedule'!$F$5:$F35,'Daily Workforce'!$B128)=0,IF('Daily Schedule'!$A36=45,'Daily Workforce'!$J128="Y",IF(OR('Daily Schedule'!$A36=4,'Daily Schedule'!$A36=8),IF(OR(WEEKDAY('Daily Schedule'!$B$2,2)=1,WEEKDAY('Daily Schedule'!$B$2,2)=4,WEEKDAY('Daily Schedule'!$B$2,2)=5,WEEKDAY('Daily Schedule'!$B$2,2)=7),IFERROR(1*'Daily Workforce'!$K128&gt;=3,FALSE()),IFERROR(1*'Daily Workforce'!$K128&gt;=2,FALSE())),IF(AND('Daily Schedule'!$A36&gt;=46,'Daily Schedule'!$A36&lt;=52),'Daily Workforce'!$M128="Y",IFERROR(1*'Daily Workforce'!$P128&gt;=2,FALSE()))))),1,0)</f>
        <v>0</v>
      </c>
      <c r="EJ32" s="1" t="n">
        <f aca="false">IF(AND('Daily Workforce'!$N129="Y",'Daily Workforce'!$B129&lt;&gt;"",COUNTIF('Daily Schedule'!$F$5:$F35,'Daily Workforce'!$B129)=0,IF('Daily Schedule'!$A36=45,'Daily Workforce'!$J129="Y",IF(OR('Daily Schedule'!$A36=4,'Daily Schedule'!$A36=8),IF(OR(WEEKDAY('Daily Schedule'!$B$2,2)=1,WEEKDAY('Daily Schedule'!$B$2,2)=4,WEEKDAY('Daily Schedule'!$B$2,2)=5,WEEKDAY('Daily Schedule'!$B$2,2)=7),IFERROR(1*'Daily Workforce'!$K129&gt;=3,FALSE()),IFERROR(1*'Daily Workforce'!$K129&gt;=2,FALSE())),IF(AND('Daily Schedule'!$A36&gt;=46,'Daily Schedule'!$A36&lt;=52),'Daily Workforce'!$M129="Y",IFERROR(1*'Daily Workforce'!$P129&gt;=2,FALSE()))))),1,0)</f>
        <v>0</v>
      </c>
      <c r="EK32" s="1" t="n">
        <f aca="false">IF(AND('Daily Workforce'!$N130="Y",'Daily Workforce'!$B130&lt;&gt;"",COUNTIF('Daily Schedule'!$F$5:$F35,'Daily Workforce'!$B130)=0,IF('Daily Schedule'!$A36=45,'Daily Workforce'!$J130="Y",IF(OR('Daily Schedule'!$A36=4,'Daily Schedule'!$A36=8),IF(OR(WEEKDAY('Daily Schedule'!$B$2,2)=1,WEEKDAY('Daily Schedule'!$B$2,2)=4,WEEKDAY('Daily Schedule'!$B$2,2)=5,WEEKDAY('Daily Schedule'!$B$2,2)=7),IFERROR(1*'Daily Workforce'!$K130&gt;=3,FALSE()),IFERROR(1*'Daily Workforce'!$K130&gt;=2,FALSE())),IF(AND('Daily Schedule'!$A36&gt;=46,'Daily Schedule'!$A36&lt;=52),'Daily Workforce'!$M130="Y",IFERROR(1*'Daily Workforce'!$P130&gt;=2,FALSE()))))),1,0)</f>
        <v>0</v>
      </c>
      <c r="EL32" s="1" t="n">
        <f aca="false">IF(AND('Daily Workforce'!$N131="Y",'Daily Workforce'!$B131&lt;&gt;"",COUNTIF('Daily Schedule'!$F$5:$F35,'Daily Workforce'!$B131)=0,IF('Daily Schedule'!$A36=45,'Daily Workforce'!$J131="Y",IF(OR('Daily Schedule'!$A36=4,'Daily Schedule'!$A36=8),IF(OR(WEEKDAY('Daily Schedule'!$B$2,2)=1,WEEKDAY('Daily Schedule'!$B$2,2)=4,WEEKDAY('Daily Schedule'!$B$2,2)=5,WEEKDAY('Daily Schedule'!$B$2,2)=7),IFERROR(1*'Daily Workforce'!$K131&gt;=3,FALSE()),IFERROR(1*'Daily Workforce'!$K131&gt;=2,FALSE())),IF(AND('Daily Schedule'!$A36&gt;=46,'Daily Schedule'!$A36&lt;=52),'Daily Workforce'!$M131="Y",IFERROR(1*'Daily Workforce'!$P131&gt;=2,FALSE()))))),1,0)</f>
        <v>0</v>
      </c>
      <c r="EM32" s="1" t="n">
        <f aca="false">IF(AND('Daily Workforce'!$N132="Y",'Daily Workforce'!$B132&lt;&gt;"",COUNTIF('Daily Schedule'!$F$5:$F35,'Daily Workforce'!$B132)=0,IF('Daily Schedule'!$A36=45,'Daily Workforce'!$J132="Y",IF(OR('Daily Schedule'!$A36=4,'Daily Schedule'!$A36=8),IF(OR(WEEKDAY('Daily Schedule'!$B$2,2)=1,WEEKDAY('Daily Schedule'!$B$2,2)=4,WEEKDAY('Daily Schedule'!$B$2,2)=5,WEEKDAY('Daily Schedule'!$B$2,2)=7),IFERROR(1*'Daily Workforce'!$K132&gt;=3,FALSE()),IFERROR(1*'Daily Workforce'!$K132&gt;=2,FALSE())),IF(AND('Daily Schedule'!$A36&gt;=46,'Daily Schedule'!$A36&lt;=52),'Daily Workforce'!$M132="Y",IFERROR(1*'Daily Workforce'!$P132&gt;=2,FALSE()))))),1,0)</f>
        <v>0</v>
      </c>
      <c r="EN32" s="1" t="n">
        <f aca="false">IF(AND('Daily Workforce'!$N133="Y",'Daily Workforce'!$B133&lt;&gt;"",COUNTIF('Daily Schedule'!$F$5:$F35,'Daily Workforce'!$B133)=0,IF('Daily Schedule'!$A36=45,'Daily Workforce'!$J133="Y",IF(OR('Daily Schedule'!$A36=4,'Daily Schedule'!$A36=8),IF(OR(WEEKDAY('Daily Schedule'!$B$2,2)=1,WEEKDAY('Daily Schedule'!$B$2,2)=4,WEEKDAY('Daily Schedule'!$B$2,2)=5,WEEKDAY('Daily Schedule'!$B$2,2)=7),IFERROR(1*'Daily Workforce'!$K133&gt;=3,FALSE()),IFERROR(1*'Daily Workforce'!$K133&gt;=2,FALSE())),IF(AND('Daily Schedule'!$A36&gt;=46,'Daily Schedule'!$A36&lt;=52),'Daily Workforce'!$M133="Y",IFERROR(1*'Daily Workforce'!$P133&gt;=2,FALSE()))))),1,0)</f>
        <v>0</v>
      </c>
      <c r="EO32" s="1" t="n">
        <f aca="false">IF(AND('Daily Workforce'!$N134="Y",'Daily Workforce'!$B134&lt;&gt;"",COUNTIF('Daily Schedule'!$F$5:$F35,'Daily Workforce'!$B134)=0,IF('Daily Schedule'!$A36=45,'Daily Workforce'!$J134="Y",IF(OR('Daily Schedule'!$A36=4,'Daily Schedule'!$A36=8),IF(OR(WEEKDAY('Daily Schedule'!$B$2,2)=1,WEEKDAY('Daily Schedule'!$B$2,2)=4,WEEKDAY('Daily Schedule'!$B$2,2)=5,WEEKDAY('Daily Schedule'!$B$2,2)=7),IFERROR(1*'Daily Workforce'!$K134&gt;=3,FALSE()),IFERROR(1*'Daily Workforce'!$K134&gt;=2,FALSE())),IF(AND('Daily Schedule'!$A36&gt;=46,'Daily Schedule'!$A36&lt;=52),'Daily Workforce'!$M134="Y",IFERROR(1*'Daily Workforce'!$P134&gt;=2,FALSE()))))),1,0)</f>
        <v>0</v>
      </c>
      <c r="EP32" s="1" t="n">
        <f aca="false">IF(AND('Daily Workforce'!$N135="Y",'Daily Workforce'!$B135&lt;&gt;"",COUNTIF('Daily Schedule'!$F$5:$F35,'Daily Workforce'!$B135)=0,IF('Daily Schedule'!$A36=45,'Daily Workforce'!$J135="Y",IF(OR('Daily Schedule'!$A36=4,'Daily Schedule'!$A36=8),IF(OR(WEEKDAY('Daily Schedule'!$B$2,2)=1,WEEKDAY('Daily Schedule'!$B$2,2)=4,WEEKDAY('Daily Schedule'!$B$2,2)=5,WEEKDAY('Daily Schedule'!$B$2,2)=7),IFERROR(1*'Daily Workforce'!$K135&gt;=3,FALSE()),IFERROR(1*'Daily Workforce'!$K135&gt;=2,FALSE())),IF(AND('Daily Schedule'!$A36&gt;=46,'Daily Schedule'!$A36&lt;=52),'Daily Workforce'!$M135="Y",IFERROR(1*'Daily Workforce'!$P135&gt;=2,FALSE()))))),1,0)</f>
        <v>0</v>
      </c>
      <c r="EQ32" s="1" t="n">
        <f aca="false">IF(AND('Daily Workforce'!$N136="Y",'Daily Workforce'!$B136&lt;&gt;"",COUNTIF('Daily Schedule'!$F$5:$F35,'Daily Workforce'!$B136)=0,IF('Daily Schedule'!$A36=45,'Daily Workforce'!$J136="Y",IF(OR('Daily Schedule'!$A36=4,'Daily Schedule'!$A36=8),IF(OR(WEEKDAY('Daily Schedule'!$B$2,2)=1,WEEKDAY('Daily Schedule'!$B$2,2)=4,WEEKDAY('Daily Schedule'!$B$2,2)=5,WEEKDAY('Daily Schedule'!$B$2,2)=7),IFERROR(1*'Daily Workforce'!$K136&gt;=3,FALSE()),IFERROR(1*'Daily Workforce'!$K136&gt;=2,FALSE())),IF(AND('Daily Schedule'!$A36&gt;=46,'Daily Schedule'!$A36&lt;=52),'Daily Workforce'!$M136="Y",IFERROR(1*'Daily Workforce'!$P136&gt;=2,FALSE()))))),1,0)</f>
        <v>0</v>
      </c>
      <c r="ER32" s="1" t="n">
        <f aca="false">IF(AND('Daily Workforce'!$N137="Y",'Daily Workforce'!$B137&lt;&gt;"",COUNTIF('Daily Schedule'!$F$5:$F35,'Daily Workforce'!$B137)=0,IF('Daily Schedule'!$A36=45,'Daily Workforce'!$J137="Y",IF(OR('Daily Schedule'!$A36=4,'Daily Schedule'!$A36=8),IF(OR(WEEKDAY('Daily Schedule'!$B$2,2)=1,WEEKDAY('Daily Schedule'!$B$2,2)=4,WEEKDAY('Daily Schedule'!$B$2,2)=5,WEEKDAY('Daily Schedule'!$B$2,2)=7),IFERROR(1*'Daily Workforce'!$K137&gt;=3,FALSE()),IFERROR(1*'Daily Workforce'!$K137&gt;=2,FALSE())),IF(AND('Daily Schedule'!$A36&gt;=46,'Daily Schedule'!$A36&lt;=52),'Daily Workforce'!$M137="Y",IFERROR(1*'Daily Workforce'!$P137&gt;=2,FALSE()))))),1,0)</f>
        <v>0</v>
      </c>
      <c r="ES32" s="1" t="n">
        <f aca="false">IF(AND('Daily Workforce'!$N138="Y",'Daily Workforce'!$B138&lt;&gt;"",COUNTIF('Daily Schedule'!$F$5:$F35,'Daily Workforce'!$B138)=0,IF('Daily Schedule'!$A36=45,'Daily Workforce'!$J138="Y",IF(OR('Daily Schedule'!$A36=4,'Daily Schedule'!$A36=8),IF(OR(WEEKDAY('Daily Schedule'!$B$2,2)=1,WEEKDAY('Daily Schedule'!$B$2,2)=4,WEEKDAY('Daily Schedule'!$B$2,2)=5,WEEKDAY('Daily Schedule'!$B$2,2)=7),IFERROR(1*'Daily Workforce'!$K138&gt;=3,FALSE()),IFERROR(1*'Daily Workforce'!$K138&gt;=2,FALSE())),IF(AND('Daily Schedule'!$A36&gt;=46,'Daily Schedule'!$A36&lt;=52),'Daily Workforce'!$M138="Y",IFERROR(1*'Daily Workforce'!$P138&gt;=2,FALSE()))))),1,0)</f>
        <v>0</v>
      </c>
      <c r="ET32" s="1" t="n">
        <f aca="false">IF(AND('Daily Workforce'!$N139="Y",'Daily Workforce'!$B139&lt;&gt;"",COUNTIF('Daily Schedule'!$F$5:$F35,'Daily Workforce'!$B139)=0,IF('Daily Schedule'!$A36=45,'Daily Workforce'!$J139="Y",IF(OR('Daily Schedule'!$A36=4,'Daily Schedule'!$A36=8),IF(OR(WEEKDAY('Daily Schedule'!$B$2,2)=1,WEEKDAY('Daily Schedule'!$B$2,2)=4,WEEKDAY('Daily Schedule'!$B$2,2)=5,WEEKDAY('Daily Schedule'!$B$2,2)=7),IFERROR(1*'Daily Workforce'!$K139&gt;=3,FALSE()),IFERROR(1*'Daily Workforce'!$K139&gt;=2,FALSE())),IF(AND('Daily Schedule'!$A36&gt;=46,'Daily Schedule'!$A36&lt;=52),'Daily Workforce'!$M139="Y",IFERROR(1*'Daily Workforce'!$P139&gt;=2,FALSE()))))),1,0)</f>
        <v>0</v>
      </c>
      <c r="EU32" s="1" t="n">
        <f aca="false">IF(AND('Daily Workforce'!$N140="Y",'Daily Workforce'!$B140&lt;&gt;"",COUNTIF('Daily Schedule'!$F$5:$F35,'Daily Workforce'!$B140)=0,IF('Daily Schedule'!$A36=45,'Daily Workforce'!$J140="Y",IF(OR('Daily Schedule'!$A36=4,'Daily Schedule'!$A36=8),IF(OR(WEEKDAY('Daily Schedule'!$B$2,2)=1,WEEKDAY('Daily Schedule'!$B$2,2)=4,WEEKDAY('Daily Schedule'!$B$2,2)=5,WEEKDAY('Daily Schedule'!$B$2,2)=7),IFERROR(1*'Daily Workforce'!$K140&gt;=3,FALSE()),IFERROR(1*'Daily Workforce'!$K140&gt;=2,FALSE())),IF(AND('Daily Schedule'!$A36&gt;=46,'Daily Schedule'!$A36&lt;=52),'Daily Workforce'!$M140="Y",IFERROR(1*'Daily Workforce'!$P140&gt;=2,FALSE()))))),1,0)</f>
        <v>0</v>
      </c>
      <c r="EV32" s="1" t="n">
        <f aca="false">IF(AND('Daily Workforce'!$N141="Y",'Daily Workforce'!$B141&lt;&gt;"",COUNTIF('Daily Schedule'!$F$5:$F35,'Daily Workforce'!$B141)=0,IF('Daily Schedule'!$A36=45,'Daily Workforce'!$J141="Y",IF(OR('Daily Schedule'!$A36=4,'Daily Schedule'!$A36=8),IF(OR(WEEKDAY('Daily Schedule'!$B$2,2)=1,WEEKDAY('Daily Schedule'!$B$2,2)=4,WEEKDAY('Daily Schedule'!$B$2,2)=5,WEEKDAY('Daily Schedule'!$B$2,2)=7),IFERROR(1*'Daily Workforce'!$K141&gt;=3,FALSE()),IFERROR(1*'Daily Workforce'!$K141&gt;=2,FALSE())),IF(AND('Daily Schedule'!$A36&gt;=46,'Daily Schedule'!$A36&lt;=52),'Daily Workforce'!$M141="Y",IFERROR(1*'Daily Workforce'!$P141&gt;=2,FALSE()))))),1,0)</f>
        <v>0</v>
      </c>
      <c r="EW32" s="1" t="n">
        <f aca="false">IF(AND('Daily Workforce'!$N142="Y",'Daily Workforce'!$B142&lt;&gt;"",COUNTIF('Daily Schedule'!$F$5:$F35,'Daily Workforce'!$B142)=0,IF('Daily Schedule'!$A36=45,'Daily Workforce'!$J142="Y",IF(OR('Daily Schedule'!$A36=4,'Daily Schedule'!$A36=8),IF(OR(WEEKDAY('Daily Schedule'!$B$2,2)=1,WEEKDAY('Daily Schedule'!$B$2,2)=4,WEEKDAY('Daily Schedule'!$B$2,2)=5,WEEKDAY('Daily Schedule'!$B$2,2)=7),IFERROR(1*'Daily Workforce'!$K142&gt;=3,FALSE()),IFERROR(1*'Daily Workforce'!$K142&gt;=2,FALSE())),IF(AND('Daily Schedule'!$A36&gt;=46,'Daily Schedule'!$A36&lt;=52),'Daily Workforce'!$M142="Y",IFERROR(1*'Daily Workforce'!$P142&gt;=2,FALSE()))))),1,0)</f>
        <v>0</v>
      </c>
      <c r="EX32" s="1" t="n">
        <f aca="false">IF(AND('Daily Workforce'!$N143="Y",'Daily Workforce'!$B143&lt;&gt;"",COUNTIF('Daily Schedule'!$F$5:$F35,'Daily Workforce'!$B143)=0,IF('Daily Schedule'!$A36=45,'Daily Workforce'!$J143="Y",IF(OR('Daily Schedule'!$A36=4,'Daily Schedule'!$A36=8),IF(OR(WEEKDAY('Daily Schedule'!$B$2,2)=1,WEEKDAY('Daily Schedule'!$B$2,2)=4,WEEKDAY('Daily Schedule'!$B$2,2)=5,WEEKDAY('Daily Schedule'!$B$2,2)=7),IFERROR(1*'Daily Workforce'!$K143&gt;=3,FALSE()),IFERROR(1*'Daily Workforce'!$K143&gt;=2,FALSE())),IF(AND('Daily Schedule'!$A36&gt;=46,'Daily Schedule'!$A36&lt;=52),'Daily Workforce'!$M143="Y",IFERROR(1*'Daily Workforce'!$P143&gt;=2,FALSE()))))),1,0)</f>
        <v>0</v>
      </c>
      <c r="EY32" s="1" t="n">
        <f aca="false">IF(AND('Daily Workforce'!$N144="Y",'Daily Workforce'!$B144&lt;&gt;"",COUNTIF('Daily Schedule'!$F$5:$F35,'Daily Workforce'!$B144)=0,IF('Daily Schedule'!$A36=45,'Daily Workforce'!$J144="Y",IF(OR('Daily Schedule'!$A36=4,'Daily Schedule'!$A36=8),IF(OR(WEEKDAY('Daily Schedule'!$B$2,2)=1,WEEKDAY('Daily Schedule'!$B$2,2)=4,WEEKDAY('Daily Schedule'!$B$2,2)=5,WEEKDAY('Daily Schedule'!$B$2,2)=7),IFERROR(1*'Daily Workforce'!$K144&gt;=3,FALSE()),IFERROR(1*'Daily Workforce'!$K144&gt;=2,FALSE())),IF(AND('Daily Schedule'!$A36&gt;=46,'Daily Schedule'!$A36&lt;=52),'Daily Workforce'!$M144="Y",IFERROR(1*'Daily Workforce'!$P144&gt;=2,FALSE()))))),1,0)</f>
        <v>0</v>
      </c>
      <c r="EZ32" s="1" t="n">
        <f aca="false">IF(AND('Daily Workforce'!$N145="Y",'Daily Workforce'!$B145&lt;&gt;"",COUNTIF('Daily Schedule'!$F$5:$F35,'Daily Workforce'!$B145)=0,IF('Daily Schedule'!$A36=45,'Daily Workforce'!$J145="Y",IF(OR('Daily Schedule'!$A36=4,'Daily Schedule'!$A36=8),IF(OR(WEEKDAY('Daily Schedule'!$B$2,2)=1,WEEKDAY('Daily Schedule'!$B$2,2)=4,WEEKDAY('Daily Schedule'!$B$2,2)=5,WEEKDAY('Daily Schedule'!$B$2,2)=7),IFERROR(1*'Daily Workforce'!$K145&gt;=3,FALSE()),IFERROR(1*'Daily Workforce'!$K145&gt;=2,FALSE())),IF(AND('Daily Schedule'!$A36&gt;=46,'Daily Schedule'!$A36&lt;=52),'Daily Workforce'!$M145="Y",IFERROR(1*'Daily Workforce'!$P145&gt;=2,FALSE()))))),1,0)</f>
        <v>0</v>
      </c>
      <c r="FA32" s="1" t="n">
        <f aca="false">IF(AND('Daily Workforce'!$N146="Y",'Daily Workforce'!$B146&lt;&gt;"",COUNTIF('Daily Schedule'!$F$5:$F35,'Daily Workforce'!$B146)=0,IF('Daily Schedule'!$A36=45,'Daily Workforce'!$J146="Y",IF(OR('Daily Schedule'!$A36=4,'Daily Schedule'!$A36=8),IF(OR(WEEKDAY('Daily Schedule'!$B$2,2)=1,WEEKDAY('Daily Schedule'!$B$2,2)=4,WEEKDAY('Daily Schedule'!$B$2,2)=5,WEEKDAY('Daily Schedule'!$B$2,2)=7),IFERROR(1*'Daily Workforce'!$K146&gt;=3,FALSE()),IFERROR(1*'Daily Workforce'!$K146&gt;=2,FALSE())),IF(AND('Daily Schedule'!$A36&gt;=46,'Daily Schedule'!$A36&lt;=52),'Daily Workforce'!$M146="Y",IFERROR(1*'Daily Workforce'!$P146&gt;=2,FALSE()))))),1,0)</f>
        <v>0</v>
      </c>
      <c r="FB32" s="1" t="n">
        <f aca="false">IF(AND('Daily Workforce'!$N147="Y",'Daily Workforce'!$B147&lt;&gt;"",COUNTIF('Daily Schedule'!$F$5:$F35,'Daily Workforce'!$B147)=0,IF('Daily Schedule'!$A36=45,'Daily Workforce'!$J147="Y",IF(OR('Daily Schedule'!$A36=4,'Daily Schedule'!$A36=8),IF(OR(WEEKDAY('Daily Schedule'!$B$2,2)=1,WEEKDAY('Daily Schedule'!$B$2,2)=4,WEEKDAY('Daily Schedule'!$B$2,2)=5,WEEKDAY('Daily Schedule'!$B$2,2)=7),IFERROR(1*'Daily Workforce'!$K147&gt;=3,FALSE()),IFERROR(1*'Daily Workforce'!$K147&gt;=2,FALSE())),IF(AND('Daily Schedule'!$A36&gt;=46,'Daily Schedule'!$A36&lt;=52),'Daily Workforce'!$M147="Y",IFERROR(1*'Daily Workforce'!$P147&gt;=2,FALSE()))))),1,0)</f>
        <v>0</v>
      </c>
      <c r="FC32" s="1" t="n">
        <f aca="false">IF(AND('Daily Workforce'!$N148="Y",'Daily Workforce'!$B148&lt;&gt;"",COUNTIF('Daily Schedule'!$F$5:$F35,'Daily Workforce'!$B148)=0,IF('Daily Schedule'!$A36=45,'Daily Workforce'!$J148="Y",IF(OR('Daily Schedule'!$A36=4,'Daily Schedule'!$A36=8),IF(OR(WEEKDAY('Daily Schedule'!$B$2,2)=1,WEEKDAY('Daily Schedule'!$B$2,2)=4,WEEKDAY('Daily Schedule'!$B$2,2)=5,WEEKDAY('Daily Schedule'!$B$2,2)=7),IFERROR(1*'Daily Workforce'!$K148&gt;=3,FALSE()),IFERROR(1*'Daily Workforce'!$K148&gt;=2,FALSE())),IF(AND('Daily Schedule'!$A36&gt;=46,'Daily Schedule'!$A36&lt;=52),'Daily Workforce'!$M148="Y",IFERROR(1*'Daily Workforce'!$P148&gt;=2,FALSE()))))),1,0)</f>
        <v>0</v>
      </c>
      <c r="FD32" s="1" t="n">
        <f aca="false">IF(AND('Daily Workforce'!$N149="Y",'Daily Workforce'!$B149&lt;&gt;"",COUNTIF('Daily Schedule'!$F$5:$F35,'Daily Workforce'!$B149)=0,IF('Daily Schedule'!$A36=45,'Daily Workforce'!$J149="Y",IF(OR('Daily Schedule'!$A36=4,'Daily Schedule'!$A36=8),IF(OR(WEEKDAY('Daily Schedule'!$B$2,2)=1,WEEKDAY('Daily Schedule'!$B$2,2)=4,WEEKDAY('Daily Schedule'!$B$2,2)=5,WEEKDAY('Daily Schedule'!$B$2,2)=7),IFERROR(1*'Daily Workforce'!$K149&gt;=3,FALSE()),IFERROR(1*'Daily Workforce'!$K149&gt;=2,FALSE())),IF(AND('Daily Schedule'!$A36&gt;=46,'Daily Schedule'!$A36&lt;=52),'Daily Workforce'!$M149="Y",IFERROR(1*'Daily Workforce'!$P149&gt;=2,FALSE()))))),1,0)</f>
        <v>0</v>
      </c>
      <c r="FE32" s="1" t="n">
        <f aca="false">IF(AND('Daily Workforce'!$N150="Y",'Daily Workforce'!$B150&lt;&gt;"",COUNTIF('Daily Schedule'!$F$5:$F35,'Daily Workforce'!$B150)=0,IF('Daily Schedule'!$A36=45,'Daily Workforce'!$J150="Y",IF(OR('Daily Schedule'!$A36=4,'Daily Schedule'!$A36=8),IF(OR(WEEKDAY('Daily Schedule'!$B$2,2)=1,WEEKDAY('Daily Schedule'!$B$2,2)=4,WEEKDAY('Daily Schedule'!$B$2,2)=5,WEEKDAY('Daily Schedule'!$B$2,2)=7),IFERROR(1*'Daily Workforce'!$K150&gt;=3,FALSE()),IFERROR(1*'Daily Workforce'!$K150&gt;=2,FALSE())),IF(AND('Daily Schedule'!$A36&gt;=46,'Daily Schedule'!$A36&lt;=52),'Daily Workforce'!$M150="Y",IFERROR(1*'Daily Workforce'!$P150&gt;=2,FALSE()))))),1,0)</f>
        <v>0</v>
      </c>
      <c r="FF32" s="1" t="n">
        <f aca="false">IF(AND('Daily Workforce'!$N151="Y",'Daily Workforce'!$B151&lt;&gt;"",COUNTIF('Daily Schedule'!$F$5:$F35,'Daily Workforce'!$B151)=0,IF('Daily Schedule'!$A36=45,'Daily Workforce'!$J151="Y",IF(OR('Daily Schedule'!$A36=4,'Daily Schedule'!$A36=8),IF(OR(WEEKDAY('Daily Schedule'!$B$2,2)=1,WEEKDAY('Daily Schedule'!$B$2,2)=4,WEEKDAY('Daily Schedule'!$B$2,2)=5,WEEKDAY('Daily Schedule'!$B$2,2)=7),IFERROR(1*'Daily Workforce'!$K151&gt;=3,FALSE()),IFERROR(1*'Daily Workforce'!$K151&gt;=2,FALSE())),IF(AND('Daily Schedule'!$A36&gt;=46,'Daily Schedule'!$A36&lt;=52),'Daily Workforce'!$M151="Y",IFERROR(1*'Daily Workforce'!$P151&gt;=2,FALSE()))))),1,0)</f>
        <v>0</v>
      </c>
      <c r="FG32" s="1" t="n">
        <f aca="false">IF(AND('Daily Workforce'!$N152="Y",'Daily Workforce'!$B152&lt;&gt;"",COUNTIF('Daily Schedule'!$F$5:$F35,'Daily Workforce'!$B152)=0,IF('Daily Schedule'!$A36=45,'Daily Workforce'!$J152="Y",IF(OR('Daily Schedule'!$A36=4,'Daily Schedule'!$A36=8),IF(OR(WEEKDAY('Daily Schedule'!$B$2,2)=1,WEEKDAY('Daily Schedule'!$B$2,2)=4,WEEKDAY('Daily Schedule'!$B$2,2)=5,WEEKDAY('Daily Schedule'!$B$2,2)=7),IFERROR(1*'Daily Workforce'!$K152&gt;=3,FALSE()),IFERROR(1*'Daily Workforce'!$K152&gt;=2,FALSE())),IF(AND('Daily Schedule'!$A36&gt;=46,'Daily Schedule'!$A36&lt;=52),'Daily Workforce'!$M152="Y",IFERROR(1*'Daily Workforce'!$P152&gt;=2,FALSE()))))),1,0)</f>
        <v>0</v>
      </c>
      <c r="FH32" s="1" t="n">
        <f aca="false">IF(AND('Daily Workforce'!$N153="Y",'Daily Workforce'!$B153&lt;&gt;"",COUNTIF('Daily Schedule'!$F$5:$F35,'Daily Workforce'!$B153)=0,IF('Daily Schedule'!$A36=45,'Daily Workforce'!$J153="Y",IF(OR('Daily Schedule'!$A36=4,'Daily Schedule'!$A36=8),IF(OR(WEEKDAY('Daily Schedule'!$B$2,2)=1,WEEKDAY('Daily Schedule'!$B$2,2)=4,WEEKDAY('Daily Schedule'!$B$2,2)=5,WEEKDAY('Daily Schedule'!$B$2,2)=7),IFERROR(1*'Daily Workforce'!$K153&gt;=3,FALSE()),IFERROR(1*'Daily Workforce'!$K153&gt;=2,FALSE())),IF(AND('Daily Schedule'!$A36&gt;=46,'Daily Schedule'!$A36&lt;=52),'Daily Workforce'!$M153="Y",IFERROR(1*'Daily Workforce'!$P153&gt;=2,FALSE()))))),1,0)</f>
        <v>0</v>
      </c>
      <c r="FI32" s="1" t="n">
        <f aca="false">IF(AND('Daily Workforce'!$N154="Y",'Daily Workforce'!$B154&lt;&gt;"",COUNTIF('Daily Schedule'!$F$5:$F35,'Daily Workforce'!$B154)=0,IF('Daily Schedule'!$A36=45,'Daily Workforce'!$J154="Y",IF(OR('Daily Schedule'!$A36=4,'Daily Schedule'!$A36=8),IF(OR(WEEKDAY('Daily Schedule'!$B$2,2)=1,WEEKDAY('Daily Schedule'!$B$2,2)=4,WEEKDAY('Daily Schedule'!$B$2,2)=5,WEEKDAY('Daily Schedule'!$B$2,2)=7),IFERROR(1*'Daily Workforce'!$K154&gt;=3,FALSE()),IFERROR(1*'Daily Workforce'!$K154&gt;=2,FALSE())),IF(AND('Daily Schedule'!$A36&gt;=46,'Daily Schedule'!$A36&lt;=52),'Daily Workforce'!$M154="Y",IFERROR(1*'Daily Workforce'!$P154&gt;=2,FALSE()))))),1,0)</f>
        <v>0</v>
      </c>
      <c r="FJ32" s="1" t="n">
        <f aca="false">IF(AND('Daily Workforce'!$N155="Y",'Daily Workforce'!$B155&lt;&gt;"",COUNTIF('Daily Schedule'!$F$5:$F35,'Daily Workforce'!$B155)=0,IF('Daily Schedule'!$A36=45,'Daily Workforce'!$J155="Y",IF(OR('Daily Schedule'!$A36=4,'Daily Schedule'!$A36=8),IF(OR(WEEKDAY('Daily Schedule'!$B$2,2)=1,WEEKDAY('Daily Schedule'!$B$2,2)=4,WEEKDAY('Daily Schedule'!$B$2,2)=5,WEEKDAY('Daily Schedule'!$B$2,2)=7),IFERROR(1*'Daily Workforce'!$K155&gt;=3,FALSE()),IFERROR(1*'Daily Workforce'!$K155&gt;=2,FALSE())),IF(AND('Daily Schedule'!$A36&gt;=46,'Daily Schedule'!$A36&lt;=52),'Daily Workforce'!$M155="Y",IFERROR(1*'Daily Workforce'!$P155&gt;=2,FALSE()))))),1,0)</f>
        <v>0</v>
      </c>
      <c r="FK32" s="1" t="n">
        <f aca="false">IF(AND('Daily Workforce'!$N156="Y",'Daily Workforce'!$B156&lt;&gt;"",COUNTIF('Daily Schedule'!$F$5:$F35,'Daily Workforce'!$B156)=0,IF('Daily Schedule'!$A36=45,'Daily Workforce'!$J156="Y",IF(OR('Daily Schedule'!$A36=4,'Daily Schedule'!$A36=8),IF(OR(WEEKDAY('Daily Schedule'!$B$2,2)=1,WEEKDAY('Daily Schedule'!$B$2,2)=4,WEEKDAY('Daily Schedule'!$B$2,2)=5,WEEKDAY('Daily Schedule'!$B$2,2)=7),IFERROR(1*'Daily Workforce'!$K156&gt;=3,FALSE()),IFERROR(1*'Daily Workforce'!$K156&gt;=2,FALSE())),IF(AND('Daily Schedule'!$A36&gt;=46,'Daily Schedule'!$A36&lt;=52),'Daily Workforce'!$M156="Y",IFERROR(1*'Daily Workforce'!$P156&gt;=2,FALSE()))))),1,0)</f>
        <v>0</v>
      </c>
      <c r="FL32" s="1" t="n">
        <f aca="false">IF(AND('Daily Workforce'!$N157="Y",'Daily Workforce'!$B157&lt;&gt;"",COUNTIF('Daily Schedule'!$F$5:$F35,'Daily Workforce'!$B157)=0,IF('Daily Schedule'!$A36=45,'Daily Workforce'!$J157="Y",IF(OR('Daily Schedule'!$A36=4,'Daily Schedule'!$A36=8),IF(OR(WEEKDAY('Daily Schedule'!$B$2,2)=1,WEEKDAY('Daily Schedule'!$B$2,2)=4,WEEKDAY('Daily Schedule'!$B$2,2)=5,WEEKDAY('Daily Schedule'!$B$2,2)=7),IFERROR(1*'Daily Workforce'!$K157&gt;=3,FALSE()),IFERROR(1*'Daily Workforce'!$K157&gt;=2,FALSE())),IF(AND('Daily Schedule'!$A36&gt;=46,'Daily Schedule'!$A36&lt;=52),'Daily Workforce'!$M157="Y",IFERROR(1*'Daily Workforce'!$P157&gt;=2,FALSE()))))),1,0)</f>
        <v>0</v>
      </c>
      <c r="FM32" s="1" t="n">
        <f aca="false">IF(AND('Daily Workforce'!$N158="Y",'Daily Workforce'!$B158&lt;&gt;"",COUNTIF('Daily Schedule'!$F$5:$F35,'Daily Workforce'!$B158)=0,IF('Daily Schedule'!$A36=45,'Daily Workforce'!$J158="Y",IF(OR('Daily Schedule'!$A36=4,'Daily Schedule'!$A36=8),IF(OR(WEEKDAY('Daily Schedule'!$B$2,2)=1,WEEKDAY('Daily Schedule'!$B$2,2)=4,WEEKDAY('Daily Schedule'!$B$2,2)=5,WEEKDAY('Daily Schedule'!$B$2,2)=7),IFERROR(1*'Daily Workforce'!$K158&gt;=3,FALSE()),IFERROR(1*'Daily Workforce'!$K158&gt;=2,FALSE())),IF(AND('Daily Schedule'!$A36&gt;=46,'Daily Schedule'!$A36&lt;=52),'Daily Workforce'!$M158="Y",IFERROR(1*'Daily Workforce'!$P158&gt;=2,FALSE()))))),1,0)</f>
        <v>0</v>
      </c>
      <c r="FN32" s="1" t="n">
        <f aca="false">IF(AND('Daily Workforce'!$N159="Y",'Daily Workforce'!$B159&lt;&gt;"",COUNTIF('Daily Schedule'!$F$5:$F35,'Daily Workforce'!$B159)=0,IF('Daily Schedule'!$A36=45,'Daily Workforce'!$J159="Y",IF(OR('Daily Schedule'!$A36=4,'Daily Schedule'!$A36=8),IF(OR(WEEKDAY('Daily Schedule'!$B$2,2)=1,WEEKDAY('Daily Schedule'!$B$2,2)=4,WEEKDAY('Daily Schedule'!$B$2,2)=5,WEEKDAY('Daily Schedule'!$B$2,2)=7),IFERROR(1*'Daily Workforce'!$K159&gt;=3,FALSE()),IFERROR(1*'Daily Workforce'!$K159&gt;=2,FALSE())),IF(AND('Daily Schedule'!$A36&gt;=46,'Daily Schedule'!$A36&lt;=52),'Daily Workforce'!$M159="Y",IFERROR(1*'Daily Workforce'!$P159&gt;=2,FALSE()))))),1,0)</f>
        <v>0</v>
      </c>
      <c r="FO32" s="1" t="n">
        <f aca="false">IF(AND('Daily Workforce'!$N160="Y",'Daily Workforce'!$B160&lt;&gt;"",COUNTIF('Daily Schedule'!$F$5:$F35,'Daily Workforce'!$B160)=0,IF('Daily Schedule'!$A36=45,'Daily Workforce'!$J160="Y",IF(OR('Daily Schedule'!$A36=4,'Daily Schedule'!$A36=8),IF(OR(WEEKDAY('Daily Schedule'!$B$2,2)=1,WEEKDAY('Daily Schedule'!$B$2,2)=4,WEEKDAY('Daily Schedule'!$B$2,2)=5,WEEKDAY('Daily Schedule'!$B$2,2)=7),IFERROR(1*'Daily Workforce'!$K160&gt;=3,FALSE()),IFERROR(1*'Daily Workforce'!$K160&gt;=2,FALSE())),IF(AND('Daily Schedule'!$A36&gt;=46,'Daily Schedule'!$A36&lt;=52),'Daily Workforce'!$M160="Y",IFERROR(1*'Daily Workforce'!$P160&gt;=2,FALSE()))))),1,0)</f>
        <v>0</v>
      </c>
      <c r="FP32" s="1" t="n">
        <f aca="false">IF(AND('Daily Workforce'!$N161="Y",'Daily Workforce'!$B161&lt;&gt;"",COUNTIF('Daily Schedule'!$F$5:$F35,'Daily Workforce'!$B161)=0,IF('Daily Schedule'!$A36=45,'Daily Workforce'!$J161="Y",IF(OR('Daily Schedule'!$A36=4,'Daily Schedule'!$A36=8),IF(OR(WEEKDAY('Daily Schedule'!$B$2,2)=1,WEEKDAY('Daily Schedule'!$B$2,2)=4,WEEKDAY('Daily Schedule'!$B$2,2)=5,WEEKDAY('Daily Schedule'!$B$2,2)=7),IFERROR(1*'Daily Workforce'!$K161&gt;=3,FALSE()),IFERROR(1*'Daily Workforce'!$K161&gt;=2,FALSE())),IF(AND('Daily Schedule'!$A36&gt;=46,'Daily Schedule'!$A36&lt;=52),'Daily Workforce'!$M161="Y",IFERROR(1*'Daily Workforce'!$P161&gt;=2,FALSE()))))),1,0)</f>
        <v>0</v>
      </c>
      <c r="FQ32" s="1" t="n">
        <f aca="false">IF(AND('Daily Workforce'!$N162="Y",'Daily Workforce'!$B162&lt;&gt;"",COUNTIF('Daily Schedule'!$F$5:$F35,'Daily Workforce'!$B162)=0,IF('Daily Schedule'!$A36=45,'Daily Workforce'!$J162="Y",IF(OR('Daily Schedule'!$A36=4,'Daily Schedule'!$A36=8),IF(OR(WEEKDAY('Daily Schedule'!$B$2,2)=1,WEEKDAY('Daily Schedule'!$B$2,2)=4,WEEKDAY('Daily Schedule'!$B$2,2)=5,WEEKDAY('Daily Schedule'!$B$2,2)=7),IFERROR(1*'Daily Workforce'!$K162&gt;=3,FALSE()),IFERROR(1*'Daily Workforce'!$K162&gt;=2,FALSE())),IF(AND('Daily Schedule'!$A36&gt;=46,'Daily Schedule'!$A36&lt;=52),'Daily Workforce'!$M162="Y",IFERROR(1*'Daily Workforce'!$P162&gt;=2,FALSE()))))),1,0)</f>
        <v>0</v>
      </c>
      <c r="FR32" s="1" t="n">
        <f aca="false">IF(AND('Daily Workforce'!$N163="Y",'Daily Workforce'!$B163&lt;&gt;"",COUNTIF('Daily Schedule'!$F$5:$F35,'Daily Workforce'!$B163)=0,IF('Daily Schedule'!$A36=45,'Daily Workforce'!$J163="Y",IF(OR('Daily Schedule'!$A36=4,'Daily Schedule'!$A36=8),IF(OR(WEEKDAY('Daily Schedule'!$B$2,2)=1,WEEKDAY('Daily Schedule'!$B$2,2)=4,WEEKDAY('Daily Schedule'!$B$2,2)=5,WEEKDAY('Daily Schedule'!$B$2,2)=7),IFERROR(1*'Daily Workforce'!$K163&gt;=3,FALSE()),IFERROR(1*'Daily Workforce'!$K163&gt;=2,FALSE())),IF(AND('Daily Schedule'!$A36&gt;=46,'Daily Schedule'!$A36&lt;=52),'Daily Workforce'!$M163="Y",IFERROR(1*'Daily Workforce'!$P163&gt;=2,FALSE()))))),1,0)</f>
        <v>0</v>
      </c>
      <c r="FS32" s="1" t="n">
        <f aca="false">IF(AND('Daily Workforce'!$N164="Y",'Daily Workforce'!$B164&lt;&gt;"",COUNTIF('Daily Schedule'!$F$5:$F35,'Daily Workforce'!$B164)=0,IF('Daily Schedule'!$A36=45,'Daily Workforce'!$J164="Y",IF(OR('Daily Schedule'!$A36=4,'Daily Schedule'!$A36=8),IF(OR(WEEKDAY('Daily Schedule'!$B$2,2)=1,WEEKDAY('Daily Schedule'!$B$2,2)=4,WEEKDAY('Daily Schedule'!$B$2,2)=5,WEEKDAY('Daily Schedule'!$B$2,2)=7),IFERROR(1*'Daily Workforce'!$K164&gt;=3,FALSE()),IFERROR(1*'Daily Workforce'!$K164&gt;=2,FALSE())),IF(AND('Daily Schedule'!$A36&gt;=46,'Daily Schedule'!$A36&lt;=52),'Daily Workforce'!$M164="Y",IFERROR(1*'Daily Workforce'!$P164&gt;=2,FALSE()))))),1,0)</f>
        <v>0</v>
      </c>
      <c r="FT32" s="1" t="n">
        <f aca="false">IF(AND('Daily Workforce'!$N165="Y",'Daily Workforce'!$B165&lt;&gt;"",COUNTIF('Daily Schedule'!$F$5:$F35,'Daily Workforce'!$B165)=0,IF('Daily Schedule'!$A36=45,'Daily Workforce'!$J165="Y",IF(OR('Daily Schedule'!$A36=4,'Daily Schedule'!$A36=8),IF(OR(WEEKDAY('Daily Schedule'!$B$2,2)=1,WEEKDAY('Daily Schedule'!$B$2,2)=4,WEEKDAY('Daily Schedule'!$B$2,2)=5,WEEKDAY('Daily Schedule'!$B$2,2)=7),IFERROR(1*'Daily Workforce'!$K165&gt;=3,FALSE()),IFERROR(1*'Daily Workforce'!$K165&gt;=2,FALSE())),IF(AND('Daily Schedule'!$A36&gt;=46,'Daily Schedule'!$A36&lt;=52),'Daily Workforce'!$M165="Y",IFERROR(1*'Daily Workforce'!$P165&gt;=2,FALSE()))))),1,0)</f>
        <v>0</v>
      </c>
      <c r="FU32" s="1" t="n">
        <f aca="false">IF(AND('Daily Workforce'!$N166="Y",'Daily Workforce'!$B166&lt;&gt;"",COUNTIF('Daily Schedule'!$F$5:$F35,'Daily Workforce'!$B166)=0,IF('Daily Schedule'!$A36=45,'Daily Workforce'!$J166="Y",IF(OR('Daily Schedule'!$A36=4,'Daily Schedule'!$A36=8),IF(OR(WEEKDAY('Daily Schedule'!$B$2,2)=1,WEEKDAY('Daily Schedule'!$B$2,2)=4,WEEKDAY('Daily Schedule'!$B$2,2)=5,WEEKDAY('Daily Schedule'!$B$2,2)=7),IFERROR(1*'Daily Workforce'!$K166&gt;=3,FALSE()),IFERROR(1*'Daily Workforce'!$K166&gt;=2,FALSE())),IF(AND('Daily Schedule'!$A36&gt;=46,'Daily Schedule'!$A36&lt;=52),'Daily Workforce'!$M166="Y",IFERROR(1*'Daily Workforce'!$P166&gt;=2,FALSE()))))),1,0)</f>
        <v>0</v>
      </c>
      <c r="FV32" s="1" t="n">
        <f aca="false">IF(AND('Daily Workforce'!$N167="Y",'Daily Workforce'!$B167&lt;&gt;"",COUNTIF('Daily Schedule'!$F$5:$F35,'Daily Workforce'!$B167)=0,IF('Daily Schedule'!$A36=45,'Daily Workforce'!$J167="Y",IF(OR('Daily Schedule'!$A36=4,'Daily Schedule'!$A36=8),IF(OR(WEEKDAY('Daily Schedule'!$B$2,2)=1,WEEKDAY('Daily Schedule'!$B$2,2)=4,WEEKDAY('Daily Schedule'!$B$2,2)=5,WEEKDAY('Daily Schedule'!$B$2,2)=7),IFERROR(1*'Daily Workforce'!$K167&gt;=3,FALSE()),IFERROR(1*'Daily Workforce'!$K167&gt;=2,FALSE())),IF(AND('Daily Schedule'!$A36&gt;=46,'Daily Schedule'!$A36&lt;=52),'Daily Workforce'!$M167="Y",IFERROR(1*'Daily Workforce'!$P167&gt;=2,FALSE()))))),1,0)</f>
        <v>0</v>
      </c>
      <c r="FW32" s="1" t="n">
        <f aca="false">IF(AND('Daily Workforce'!$N168="Y",'Daily Workforce'!$B168&lt;&gt;"",COUNTIF('Daily Schedule'!$F$5:$F35,'Daily Workforce'!$B168)=0,IF('Daily Schedule'!$A36=45,'Daily Workforce'!$J168="Y",IF(OR('Daily Schedule'!$A36=4,'Daily Schedule'!$A36=8),IF(OR(WEEKDAY('Daily Schedule'!$B$2,2)=1,WEEKDAY('Daily Schedule'!$B$2,2)=4,WEEKDAY('Daily Schedule'!$B$2,2)=5,WEEKDAY('Daily Schedule'!$B$2,2)=7),IFERROR(1*'Daily Workforce'!$K168&gt;=3,FALSE()),IFERROR(1*'Daily Workforce'!$K168&gt;=2,FALSE())),IF(AND('Daily Schedule'!$A36&gt;=46,'Daily Schedule'!$A36&lt;=52),'Daily Workforce'!$M168="Y",IFERROR(1*'Daily Workforce'!$P168&gt;=2,FALSE()))))),1,0)</f>
        <v>0</v>
      </c>
      <c r="FX32" s="1" t="n">
        <f aca="false">IF(AND('Daily Workforce'!$N169="Y",'Daily Workforce'!$B169&lt;&gt;"",COUNTIF('Daily Schedule'!$F$5:$F35,'Daily Workforce'!$B169)=0,IF('Daily Schedule'!$A36=45,'Daily Workforce'!$J169="Y",IF(OR('Daily Schedule'!$A36=4,'Daily Schedule'!$A36=8),IF(OR(WEEKDAY('Daily Schedule'!$B$2,2)=1,WEEKDAY('Daily Schedule'!$B$2,2)=4,WEEKDAY('Daily Schedule'!$B$2,2)=5,WEEKDAY('Daily Schedule'!$B$2,2)=7),IFERROR(1*'Daily Workforce'!$K169&gt;=3,FALSE()),IFERROR(1*'Daily Workforce'!$K169&gt;=2,FALSE())),IF(AND('Daily Schedule'!$A36&gt;=46,'Daily Schedule'!$A36&lt;=52),'Daily Workforce'!$M169="Y",IFERROR(1*'Daily Workforce'!$P169&gt;=2,FALSE()))))),1,0)</f>
        <v>0</v>
      </c>
      <c r="FY32" s="1" t="n">
        <f aca="false">IF(AND('Daily Workforce'!$N170="Y",'Daily Workforce'!$B170&lt;&gt;"",COUNTIF('Daily Schedule'!$F$5:$F35,'Daily Workforce'!$B170)=0,IF('Daily Schedule'!$A36=45,'Daily Workforce'!$J170="Y",IF(OR('Daily Schedule'!$A36=4,'Daily Schedule'!$A36=8),IF(OR(WEEKDAY('Daily Schedule'!$B$2,2)=1,WEEKDAY('Daily Schedule'!$B$2,2)=4,WEEKDAY('Daily Schedule'!$B$2,2)=5,WEEKDAY('Daily Schedule'!$B$2,2)=7),IFERROR(1*'Daily Workforce'!$K170&gt;=3,FALSE()),IFERROR(1*'Daily Workforce'!$K170&gt;=2,FALSE())),IF(AND('Daily Schedule'!$A36&gt;=46,'Daily Schedule'!$A36&lt;=52),'Daily Workforce'!$M170="Y",IFERROR(1*'Daily Workforce'!$P170&gt;=2,FALSE()))))),1,0)</f>
        <v>0</v>
      </c>
      <c r="FZ32" s="1" t="n">
        <f aca="false">IF(AND('Daily Workforce'!$N171="Y",'Daily Workforce'!$B171&lt;&gt;"",COUNTIF('Daily Schedule'!$F$5:$F35,'Daily Workforce'!$B171)=0,IF('Daily Schedule'!$A36=45,'Daily Workforce'!$J171="Y",IF(OR('Daily Schedule'!$A36=4,'Daily Schedule'!$A36=8),IF(OR(WEEKDAY('Daily Schedule'!$B$2,2)=1,WEEKDAY('Daily Schedule'!$B$2,2)=4,WEEKDAY('Daily Schedule'!$B$2,2)=5,WEEKDAY('Daily Schedule'!$B$2,2)=7),IFERROR(1*'Daily Workforce'!$K171&gt;=3,FALSE()),IFERROR(1*'Daily Workforce'!$K171&gt;=2,FALSE())),IF(AND('Daily Schedule'!$A36&gt;=46,'Daily Schedule'!$A36&lt;=52),'Daily Workforce'!$M171="Y",IFERROR(1*'Daily Workforce'!$P171&gt;=2,FALSE()))))),1,0)</f>
        <v>0</v>
      </c>
      <c r="GA32" s="1" t="n">
        <f aca="false">IF(AND('Daily Workforce'!$N172="Y",'Daily Workforce'!$B172&lt;&gt;"",COUNTIF('Daily Schedule'!$F$5:$F35,'Daily Workforce'!$B172)=0,IF('Daily Schedule'!$A36=45,'Daily Workforce'!$J172="Y",IF(OR('Daily Schedule'!$A36=4,'Daily Schedule'!$A36=8),IF(OR(WEEKDAY('Daily Schedule'!$B$2,2)=1,WEEKDAY('Daily Schedule'!$B$2,2)=4,WEEKDAY('Daily Schedule'!$B$2,2)=5,WEEKDAY('Daily Schedule'!$B$2,2)=7),IFERROR(1*'Daily Workforce'!$K172&gt;=3,FALSE()),IFERROR(1*'Daily Workforce'!$K172&gt;=2,FALSE())),IF(AND('Daily Schedule'!$A36&gt;=46,'Daily Schedule'!$A36&lt;=52),'Daily Workforce'!$M172="Y",IFERROR(1*'Daily Workforce'!$P172&gt;=2,FALSE()))))),1,0)</f>
        <v>0</v>
      </c>
      <c r="GB32" s="1" t="n">
        <f aca="false">IF(AND('Daily Workforce'!$N173="Y",'Daily Workforce'!$B173&lt;&gt;"",COUNTIF('Daily Schedule'!$F$5:$F35,'Daily Workforce'!$B173)=0,IF('Daily Schedule'!$A36=45,'Daily Workforce'!$J173="Y",IF(OR('Daily Schedule'!$A36=4,'Daily Schedule'!$A36=8),IF(OR(WEEKDAY('Daily Schedule'!$B$2,2)=1,WEEKDAY('Daily Schedule'!$B$2,2)=4,WEEKDAY('Daily Schedule'!$B$2,2)=5,WEEKDAY('Daily Schedule'!$B$2,2)=7),IFERROR(1*'Daily Workforce'!$K173&gt;=3,FALSE()),IFERROR(1*'Daily Workforce'!$K173&gt;=2,FALSE())),IF(AND('Daily Schedule'!$A36&gt;=46,'Daily Schedule'!$A36&lt;=52),'Daily Workforce'!$M173="Y",IFERROR(1*'Daily Workforce'!$P173&gt;=2,FALSE()))))),1,0)</f>
        <v>0</v>
      </c>
      <c r="GC32" s="1" t="n">
        <f aca="false">IF(AND('Daily Workforce'!$N174="Y",'Daily Workforce'!$B174&lt;&gt;"",COUNTIF('Daily Schedule'!$F$5:$F35,'Daily Workforce'!$B174)=0,IF('Daily Schedule'!$A36=45,'Daily Workforce'!$J174="Y",IF(OR('Daily Schedule'!$A36=4,'Daily Schedule'!$A36=8),IF(OR(WEEKDAY('Daily Schedule'!$B$2,2)=1,WEEKDAY('Daily Schedule'!$B$2,2)=4,WEEKDAY('Daily Schedule'!$B$2,2)=5,WEEKDAY('Daily Schedule'!$B$2,2)=7),IFERROR(1*'Daily Workforce'!$K174&gt;=3,FALSE()),IFERROR(1*'Daily Workforce'!$K174&gt;=2,FALSE())),IF(AND('Daily Schedule'!$A36&gt;=46,'Daily Schedule'!$A36&lt;=52),'Daily Workforce'!$M174="Y",IFERROR(1*'Daily Workforce'!$P174&gt;=2,FALSE()))))),1,0)</f>
        <v>0</v>
      </c>
      <c r="GD32" s="1" t="n">
        <f aca="false">IF(AND('Daily Workforce'!$N175="Y",'Daily Workforce'!$B175&lt;&gt;"",COUNTIF('Daily Schedule'!$F$5:$F35,'Daily Workforce'!$B175)=0,IF('Daily Schedule'!$A36=45,'Daily Workforce'!$J175="Y",IF(OR('Daily Schedule'!$A36=4,'Daily Schedule'!$A36=8),IF(OR(WEEKDAY('Daily Schedule'!$B$2,2)=1,WEEKDAY('Daily Schedule'!$B$2,2)=4,WEEKDAY('Daily Schedule'!$B$2,2)=5,WEEKDAY('Daily Schedule'!$B$2,2)=7),IFERROR(1*'Daily Workforce'!$K175&gt;=3,FALSE()),IFERROR(1*'Daily Workforce'!$K175&gt;=2,FALSE())),IF(AND('Daily Schedule'!$A36&gt;=46,'Daily Schedule'!$A36&lt;=52),'Daily Workforce'!$M175="Y",IFERROR(1*'Daily Workforce'!$P175&gt;=2,FALSE()))))),1,0)</f>
        <v>0</v>
      </c>
      <c r="GE32" s="1" t="n">
        <f aca="false">IF(AND('Daily Workforce'!$N176="Y",'Daily Workforce'!$B176&lt;&gt;"",COUNTIF('Daily Schedule'!$F$5:$F35,'Daily Workforce'!$B176)=0,IF('Daily Schedule'!$A36=45,'Daily Workforce'!$J176="Y",IF(OR('Daily Schedule'!$A36=4,'Daily Schedule'!$A36=8),IF(OR(WEEKDAY('Daily Schedule'!$B$2,2)=1,WEEKDAY('Daily Schedule'!$B$2,2)=4,WEEKDAY('Daily Schedule'!$B$2,2)=5,WEEKDAY('Daily Schedule'!$B$2,2)=7),IFERROR(1*'Daily Workforce'!$K176&gt;=3,FALSE()),IFERROR(1*'Daily Workforce'!$K176&gt;=2,FALSE())),IF(AND('Daily Schedule'!$A36&gt;=46,'Daily Schedule'!$A36&lt;=52),'Daily Workforce'!$M176="Y",IFERROR(1*'Daily Workforce'!$P176&gt;=2,FALSE()))))),1,0)</f>
        <v>0</v>
      </c>
      <c r="GF32" s="1" t="n">
        <f aca="false">IF(AND('Daily Workforce'!$N177="Y",'Daily Workforce'!$B177&lt;&gt;"",COUNTIF('Daily Schedule'!$F$5:$F35,'Daily Workforce'!$B177)=0,IF('Daily Schedule'!$A36=45,'Daily Workforce'!$J177="Y",IF(OR('Daily Schedule'!$A36=4,'Daily Schedule'!$A36=8),IF(OR(WEEKDAY('Daily Schedule'!$B$2,2)=1,WEEKDAY('Daily Schedule'!$B$2,2)=4,WEEKDAY('Daily Schedule'!$B$2,2)=5,WEEKDAY('Daily Schedule'!$B$2,2)=7),IFERROR(1*'Daily Workforce'!$K177&gt;=3,FALSE()),IFERROR(1*'Daily Workforce'!$K177&gt;=2,FALSE())),IF(AND('Daily Schedule'!$A36&gt;=46,'Daily Schedule'!$A36&lt;=52),'Daily Workforce'!$M177="Y",IFERROR(1*'Daily Workforce'!$P177&gt;=2,FALSE()))))),1,0)</f>
        <v>0</v>
      </c>
      <c r="GG32" s="1" t="n">
        <f aca="false">IF(AND('Daily Workforce'!$N178="Y",'Daily Workforce'!$B178&lt;&gt;"",COUNTIF('Daily Schedule'!$F$5:$F35,'Daily Workforce'!$B178)=0,IF('Daily Schedule'!$A36=45,'Daily Workforce'!$J178="Y",IF(OR('Daily Schedule'!$A36=4,'Daily Schedule'!$A36=8),IF(OR(WEEKDAY('Daily Schedule'!$B$2,2)=1,WEEKDAY('Daily Schedule'!$B$2,2)=4,WEEKDAY('Daily Schedule'!$B$2,2)=5,WEEKDAY('Daily Schedule'!$B$2,2)=7),IFERROR(1*'Daily Workforce'!$K178&gt;=3,FALSE()),IFERROR(1*'Daily Workforce'!$K178&gt;=2,FALSE())),IF(AND('Daily Schedule'!$A36&gt;=46,'Daily Schedule'!$A36&lt;=52),'Daily Workforce'!$M178="Y",IFERROR(1*'Daily Workforce'!$P178&gt;=2,FALSE()))))),1,0)</f>
        <v>0</v>
      </c>
      <c r="GH32" s="1" t="n">
        <f aca="false">IF(AND('Daily Workforce'!$N179="Y",'Daily Workforce'!$B179&lt;&gt;"",COUNTIF('Daily Schedule'!$F$5:$F35,'Daily Workforce'!$B179)=0,IF('Daily Schedule'!$A36=45,'Daily Workforce'!$J179="Y",IF(OR('Daily Schedule'!$A36=4,'Daily Schedule'!$A36=8),IF(OR(WEEKDAY('Daily Schedule'!$B$2,2)=1,WEEKDAY('Daily Schedule'!$B$2,2)=4,WEEKDAY('Daily Schedule'!$B$2,2)=5,WEEKDAY('Daily Schedule'!$B$2,2)=7),IFERROR(1*'Daily Workforce'!$K179&gt;=3,FALSE()),IFERROR(1*'Daily Workforce'!$K179&gt;=2,FALSE())),IF(AND('Daily Schedule'!$A36&gt;=46,'Daily Schedule'!$A36&lt;=52),'Daily Workforce'!$M179="Y",IFERROR(1*'Daily Workforce'!$P179&gt;=2,FALSE()))))),1,0)</f>
        <v>0</v>
      </c>
      <c r="GI32" s="1" t="n">
        <f aca="false">IF(AND('Daily Workforce'!$N180="Y",'Daily Workforce'!$B180&lt;&gt;"",COUNTIF('Daily Schedule'!$F$5:$F35,'Daily Workforce'!$B180)=0,IF('Daily Schedule'!$A36=45,'Daily Workforce'!$J180="Y",IF(OR('Daily Schedule'!$A36=4,'Daily Schedule'!$A36=8),IF(OR(WEEKDAY('Daily Schedule'!$B$2,2)=1,WEEKDAY('Daily Schedule'!$B$2,2)=4,WEEKDAY('Daily Schedule'!$B$2,2)=5,WEEKDAY('Daily Schedule'!$B$2,2)=7),IFERROR(1*'Daily Workforce'!$K180&gt;=3,FALSE()),IFERROR(1*'Daily Workforce'!$K180&gt;=2,FALSE())),IF(AND('Daily Schedule'!$A36&gt;=46,'Daily Schedule'!$A36&lt;=52),'Daily Workforce'!$M180="Y",IFERROR(1*'Daily Workforce'!$P180&gt;=2,FALSE()))))),1,0)</f>
        <v>0</v>
      </c>
      <c r="GJ32" s="1" t="n">
        <f aca="false">IF(AND('Daily Workforce'!$N181="Y",'Daily Workforce'!$B181&lt;&gt;"",COUNTIF('Daily Schedule'!$F$5:$F35,'Daily Workforce'!$B181)=0,IF('Daily Schedule'!$A36=45,'Daily Workforce'!$J181="Y",IF(OR('Daily Schedule'!$A36=4,'Daily Schedule'!$A36=8),IF(OR(WEEKDAY('Daily Schedule'!$B$2,2)=1,WEEKDAY('Daily Schedule'!$B$2,2)=4,WEEKDAY('Daily Schedule'!$B$2,2)=5,WEEKDAY('Daily Schedule'!$B$2,2)=7),IFERROR(1*'Daily Workforce'!$K181&gt;=3,FALSE()),IFERROR(1*'Daily Workforce'!$K181&gt;=2,FALSE())),IF(AND('Daily Schedule'!$A36&gt;=46,'Daily Schedule'!$A36&lt;=52),'Daily Workforce'!$M181="Y",IFERROR(1*'Daily Workforce'!$P181&gt;=2,FALSE()))))),1,0)</f>
        <v>0</v>
      </c>
      <c r="GK32" s="1" t="n">
        <f aca="false">IF(AND('Daily Workforce'!$N182="Y",'Daily Workforce'!$B182&lt;&gt;"",COUNTIF('Daily Schedule'!$F$5:$F35,'Daily Workforce'!$B182)=0,IF('Daily Schedule'!$A36=45,'Daily Workforce'!$J182="Y",IF(OR('Daily Schedule'!$A36=4,'Daily Schedule'!$A36=8),IF(OR(WEEKDAY('Daily Schedule'!$B$2,2)=1,WEEKDAY('Daily Schedule'!$B$2,2)=4,WEEKDAY('Daily Schedule'!$B$2,2)=5,WEEKDAY('Daily Schedule'!$B$2,2)=7),IFERROR(1*'Daily Workforce'!$K182&gt;=3,FALSE()),IFERROR(1*'Daily Workforce'!$K182&gt;=2,FALSE())),IF(AND('Daily Schedule'!$A36&gt;=46,'Daily Schedule'!$A36&lt;=52),'Daily Workforce'!$M182="Y",IFERROR(1*'Daily Workforce'!$P182&gt;=2,FALSE()))))),1,0)</f>
        <v>0</v>
      </c>
      <c r="GL32" s="1" t="n">
        <f aca="false">IF(AND('Daily Workforce'!$N183="Y",'Daily Workforce'!$B183&lt;&gt;"",COUNTIF('Daily Schedule'!$F$5:$F35,'Daily Workforce'!$B183)=0,IF('Daily Schedule'!$A36=45,'Daily Workforce'!$J183="Y",IF(OR('Daily Schedule'!$A36=4,'Daily Schedule'!$A36=8),IF(OR(WEEKDAY('Daily Schedule'!$B$2,2)=1,WEEKDAY('Daily Schedule'!$B$2,2)=4,WEEKDAY('Daily Schedule'!$B$2,2)=5,WEEKDAY('Daily Schedule'!$B$2,2)=7),IFERROR(1*'Daily Workforce'!$K183&gt;=3,FALSE()),IFERROR(1*'Daily Workforce'!$K183&gt;=2,FALSE())),IF(AND('Daily Schedule'!$A36&gt;=46,'Daily Schedule'!$A36&lt;=52),'Daily Workforce'!$M183="Y",IFERROR(1*'Daily Workforce'!$P183&gt;=2,FALSE()))))),1,0)</f>
        <v>0</v>
      </c>
      <c r="GM32" s="1" t="n">
        <f aca="false">IF(AND('Daily Workforce'!$N184="Y",'Daily Workforce'!$B184&lt;&gt;"",COUNTIF('Daily Schedule'!$F$5:$F35,'Daily Workforce'!$B184)=0,IF('Daily Schedule'!$A36=45,'Daily Workforce'!$J184="Y",IF(OR('Daily Schedule'!$A36=4,'Daily Schedule'!$A36=8),IF(OR(WEEKDAY('Daily Schedule'!$B$2,2)=1,WEEKDAY('Daily Schedule'!$B$2,2)=4,WEEKDAY('Daily Schedule'!$B$2,2)=5,WEEKDAY('Daily Schedule'!$B$2,2)=7),IFERROR(1*'Daily Workforce'!$K184&gt;=3,FALSE()),IFERROR(1*'Daily Workforce'!$K184&gt;=2,FALSE())),IF(AND('Daily Schedule'!$A36&gt;=46,'Daily Schedule'!$A36&lt;=52),'Daily Workforce'!$M184="Y",IFERROR(1*'Daily Workforce'!$P184&gt;=2,FALSE()))))),1,0)</f>
        <v>0</v>
      </c>
      <c r="GN32" s="1" t="n">
        <f aca="false">IF(AND('Daily Workforce'!$N185="Y",'Daily Workforce'!$B185&lt;&gt;"",COUNTIF('Daily Schedule'!$F$5:$F35,'Daily Workforce'!$B185)=0,IF('Daily Schedule'!$A36=45,'Daily Workforce'!$J185="Y",IF(OR('Daily Schedule'!$A36=4,'Daily Schedule'!$A36=8),IF(OR(WEEKDAY('Daily Schedule'!$B$2,2)=1,WEEKDAY('Daily Schedule'!$B$2,2)=4,WEEKDAY('Daily Schedule'!$B$2,2)=5,WEEKDAY('Daily Schedule'!$B$2,2)=7),IFERROR(1*'Daily Workforce'!$K185&gt;=3,FALSE()),IFERROR(1*'Daily Workforce'!$K185&gt;=2,FALSE())),IF(AND('Daily Schedule'!$A36&gt;=46,'Daily Schedule'!$A36&lt;=52),'Daily Workforce'!$M185="Y",IFERROR(1*'Daily Workforce'!$P185&gt;=2,FALSE()))))),1,0)</f>
        <v>0</v>
      </c>
      <c r="GO32" s="1" t="n">
        <f aca="false">IF(AND('Daily Workforce'!$N186="Y",'Daily Workforce'!$B186&lt;&gt;"",COUNTIF('Daily Schedule'!$F$5:$F35,'Daily Workforce'!$B186)=0,IF('Daily Schedule'!$A36=45,'Daily Workforce'!$J186="Y",IF(OR('Daily Schedule'!$A36=4,'Daily Schedule'!$A36=8),IF(OR(WEEKDAY('Daily Schedule'!$B$2,2)=1,WEEKDAY('Daily Schedule'!$B$2,2)=4,WEEKDAY('Daily Schedule'!$B$2,2)=5,WEEKDAY('Daily Schedule'!$B$2,2)=7),IFERROR(1*'Daily Workforce'!$K186&gt;=3,FALSE()),IFERROR(1*'Daily Workforce'!$K186&gt;=2,FALSE())),IF(AND('Daily Schedule'!$A36&gt;=46,'Daily Schedule'!$A36&lt;=52),'Daily Workforce'!$M186="Y",IFERROR(1*'Daily Workforce'!$P186&gt;=2,FALSE()))))),1,0)</f>
        <v>0</v>
      </c>
      <c r="GP32" s="1" t="n">
        <f aca="false">IF(AND('Daily Workforce'!$N187="Y",'Daily Workforce'!$B187&lt;&gt;"",COUNTIF('Daily Schedule'!$F$5:$F35,'Daily Workforce'!$B187)=0,IF('Daily Schedule'!$A36=45,'Daily Workforce'!$J187="Y",IF(OR('Daily Schedule'!$A36=4,'Daily Schedule'!$A36=8),IF(OR(WEEKDAY('Daily Schedule'!$B$2,2)=1,WEEKDAY('Daily Schedule'!$B$2,2)=4,WEEKDAY('Daily Schedule'!$B$2,2)=5,WEEKDAY('Daily Schedule'!$B$2,2)=7),IFERROR(1*'Daily Workforce'!$K187&gt;=3,FALSE()),IFERROR(1*'Daily Workforce'!$K187&gt;=2,FALSE())),IF(AND('Daily Schedule'!$A36&gt;=46,'Daily Schedule'!$A36&lt;=52),'Daily Workforce'!$M187="Y",IFERROR(1*'Daily Workforce'!$P187&gt;=2,FALSE()))))),1,0)</f>
        <v>0</v>
      </c>
      <c r="GQ32" s="1" t="n">
        <f aca="false">IF(AND('Daily Workforce'!$N188="Y",'Daily Workforce'!$B188&lt;&gt;"",COUNTIF('Daily Schedule'!$F$5:$F35,'Daily Workforce'!$B188)=0,IF('Daily Schedule'!$A36=45,'Daily Workforce'!$J188="Y",IF(OR('Daily Schedule'!$A36=4,'Daily Schedule'!$A36=8),IF(OR(WEEKDAY('Daily Schedule'!$B$2,2)=1,WEEKDAY('Daily Schedule'!$B$2,2)=4,WEEKDAY('Daily Schedule'!$B$2,2)=5,WEEKDAY('Daily Schedule'!$B$2,2)=7),IFERROR(1*'Daily Workforce'!$K188&gt;=3,FALSE()),IFERROR(1*'Daily Workforce'!$K188&gt;=2,FALSE())),IF(AND('Daily Schedule'!$A36&gt;=46,'Daily Schedule'!$A36&lt;=52),'Daily Workforce'!$M188="Y",IFERROR(1*'Daily Workforce'!$P188&gt;=2,FALSE()))))),1,0)</f>
        <v>0</v>
      </c>
      <c r="GR32" s="1" t="n">
        <f aca="false">IF(AND('Daily Workforce'!$N189="Y",'Daily Workforce'!$B189&lt;&gt;"",COUNTIF('Daily Schedule'!$F$5:$F35,'Daily Workforce'!$B189)=0,IF('Daily Schedule'!$A36=45,'Daily Workforce'!$J189="Y",IF(OR('Daily Schedule'!$A36=4,'Daily Schedule'!$A36=8),IF(OR(WEEKDAY('Daily Schedule'!$B$2,2)=1,WEEKDAY('Daily Schedule'!$B$2,2)=4,WEEKDAY('Daily Schedule'!$B$2,2)=5,WEEKDAY('Daily Schedule'!$B$2,2)=7),IFERROR(1*'Daily Workforce'!$K189&gt;=3,FALSE()),IFERROR(1*'Daily Workforce'!$K189&gt;=2,FALSE())),IF(AND('Daily Schedule'!$A36&gt;=46,'Daily Schedule'!$A36&lt;=52),'Daily Workforce'!$M189="Y",IFERROR(1*'Daily Workforce'!$P189&gt;=2,FALSE()))))),1,0)</f>
        <v>0</v>
      </c>
      <c r="GS32" s="1" t="n">
        <f aca="false">IF(AND('Daily Workforce'!$N190="Y",'Daily Workforce'!$B190&lt;&gt;"",COUNTIF('Daily Schedule'!$F$5:$F35,'Daily Workforce'!$B190)=0,IF('Daily Schedule'!$A36=45,'Daily Workforce'!$J190="Y",IF(OR('Daily Schedule'!$A36=4,'Daily Schedule'!$A36=8),IF(OR(WEEKDAY('Daily Schedule'!$B$2,2)=1,WEEKDAY('Daily Schedule'!$B$2,2)=4,WEEKDAY('Daily Schedule'!$B$2,2)=5,WEEKDAY('Daily Schedule'!$B$2,2)=7),IFERROR(1*'Daily Workforce'!$K190&gt;=3,FALSE()),IFERROR(1*'Daily Workforce'!$K190&gt;=2,FALSE())),IF(AND('Daily Schedule'!$A36&gt;=46,'Daily Schedule'!$A36&lt;=52),'Daily Workforce'!$M190="Y",IFERROR(1*'Daily Workforce'!$P190&gt;=2,FALSE()))))),1,0)</f>
        <v>0</v>
      </c>
      <c r="GT32" s="1" t="n">
        <f aca="false">IF(AND('Daily Workforce'!$N191="Y",'Daily Workforce'!$B191&lt;&gt;"",COUNTIF('Daily Schedule'!$F$5:$F35,'Daily Workforce'!$B191)=0,IF('Daily Schedule'!$A36=45,'Daily Workforce'!$J191="Y",IF(OR('Daily Schedule'!$A36=4,'Daily Schedule'!$A36=8),IF(OR(WEEKDAY('Daily Schedule'!$B$2,2)=1,WEEKDAY('Daily Schedule'!$B$2,2)=4,WEEKDAY('Daily Schedule'!$B$2,2)=5,WEEKDAY('Daily Schedule'!$B$2,2)=7),IFERROR(1*'Daily Workforce'!$K191&gt;=3,FALSE()),IFERROR(1*'Daily Workforce'!$K191&gt;=2,FALSE())),IF(AND('Daily Schedule'!$A36&gt;=46,'Daily Schedule'!$A36&lt;=52),'Daily Workforce'!$M191="Y",IFERROR(1*'Daily Workforce'!$P191&gt;=2,FALSE()))))),1,0)</f>
        <v>0</v>
      </c>
      <c r="GU32" s="1" t="n">
        <f aca="false">IF(AND('Daily Workforce'!$N192="Y",'Daily Workforce'!$B192&lt;&gt;"",COUNTIF('Daily Schedule'!$F$5:$F35,'Daily Workforce'!$B192)=0,IF('Daily Schedule'!$A36=45,'Daily Workforce'!$J192="Y",IF(OR('Daily Schedule'!$A36=4,'Daily Schedule'!$A36=8),IF(OR(WEEKDAY('Daily Schedule'!$B$2,2)=1,WEEKDAY('Daily Schedule'!$B$2,2)=4,WEEKDAY('Daily Schedule'!$B$2,2)=5,WEEKDAY('Daily Schedule'!$B$2,2)=7),IFERROR(1*'Daily Workforce'!$K192&gt;=3,FALSE()),IFERROR(1*'Daily Workforce'!$K192&gt;=2,FALSE())),IF(AND('Daily Schedule'!$A36&gt;=46,'Daily Schedule'!$A36&lt;=52),'Daily Workforce'!$M192="Y",IFERROR(1*'Daily Workforce'!$P192&gt;=2,FALSE()))))),1,0)</f>
        <v>0</v>
      </c>
      <c r="GV32" s="1" t="n">
        <f aca="false">IF(AND('Daily Workforce'!$N193="Y",'Daily Workforce'!$B193&lt;&gt;"",COUNTIF('Daily Schedule'!$F$5:$F35,'Daily Workforce'!$B193)=0,IF('Daily Schedule'!$A36=45,'Daily Workforce'!$J193="Y",IF(OR('Daily Schedule'!$A36=4,'Daily Schedule'!$A36=8),IF(OR(WEEKDAY('Daily Schedule'!$B$2,2)=1,WEEKDAY('Daily Schedule'!$B$2,2)=4,WEEKDAY('Daily Schedule'!$B$2,2)=5,WEEKDAY('Daily Schedule'!$B$2,2)=7),IFERROR(1*'Daily Workforce'!$K193&gt;=3,FALSE()),IFERROR(1*'Daily Workforce'!$K193&gt;=2,FALSE())),IF(AND('Daily Schedule'!$A36&gt;=46,'Daily Schedule'!$A36&lt;=52),'Daily Workforce'!$M193="Y",IFERROR(1*'Daily Workforce'!$P193&gt;=2,FALSE()))))),1,0)</f>
        <v>0</v>
      </c>
      <c r="GW32" s="1" t="n">
        <f aca="false">IF(AND('Daily Workforce'!$N194="Y",'Daily Workforce'!$B194&lt;&gt;"",COUNTIF('Daily Schedule'!$F$5:$F35,'Daily Workforce'!$B194)=0,IF('Daily Schedule'!$A36=45,'Daily Workforce'!$J194="Y",IF(OR('Daily Schedule'!$A36=4,'Daily Schedule'!$A36=8),IF(OR(WEEKDAY('Daily Schedule'!$B$2,2)=1,WEEKDAY('Daily Schedule'!$B$2,2)=4,WEEKDAY('Daily Schedule'!$B$2,2)=5,WEEKDAY('Daily Schedule'!$B$2,2)=7),IFERROR(1*'Daily Workforce'!$K194&gt;=3,FALSE()),IFERROR(1*'Daily Workforce'!$K194&gt;=2,FALSE())),IF(AND('Daily Schedule'!$A36&gt;=46,'Daily Schedule'!$A36&lt;=52),'Daily Workforce'!$M194="Y",IFERROR(1*'Daily Workforce'!$P194&gt;=2,FALSE()))))),1,0)</f>
        <v>0</v>
      </c>
      <c r="GX32" s="1" t="n">
        <f aca="false">IF(AND('Daily Workforce'!$N195="Y",'Daily Workforce'!$B195&lt;&gt;"",COUNTIF('Daily Schedule'!$F$5:$F35,'Daily Workforce'!$B195)=0,IF('Daily Schedule'!$A36=45,'Daily Workforce'!$J195="Y",IF(OR('Daily Schedule'!$A36=4,'Daily Schedule'!$A36=8),IF(OR(WEEKDAY('Daily Schedule'!$B$2,2)=1,WEEKDAY('Daily Schedule'!$B$2,2)=4,WEEKDAY('Daily Schedule'!$B$2,2)=5,WEEKDAY('Daily Schedule'!$B$2,2)=7),IFERROR(1*'Daily Workforce'!$K195&gt;=3,FALSE()),IFERROR(1*'Daily Workforce'!$K195&gt;=2,FALSE())),IF(AND('Daily Schedule'!$A36&gt;=46,'Daily Schedule'!$A36&lt;=52),'Daily Workforce'!$M195="Y",IFERROR(1*'Daily Workforce'!$P195&gt;=2,FALSE()))))),1,0)</f>
        <v>0</v>
      </c>
      <c r="GY32" s="1" t="n">
        <f aca="false">IF(AND('Daily Workforce'!$N196="Y",'Daily Workforce'!$B196&lt;&gt;"",COUNTIF('Daily Schedule'!$F$5:$F35,'Daily Workforce'!$B196)=0,IF('Daily Schedule'!$A36=45,'Daily Workforce'!$J196="Y",IF(OR('Daily Schedule'!$A36=4,'Daily Schedule'!$A36=8),IF(OR(WEEKDAY('Daily Schedule'!$B$2,2)=1,WEEKDAY('Daily Schedule'!$B$2,2)=4,WEEKDAY('Daily Schedule'!$B$2,2)=5,WEEKDAY('Daily Schedule'!$B$2,2)=7),IFERROR(1*'Daily Workforce'!$K196&gt;=3,FALSE()),IFERROR(1*'Daily Workforce'!$K196&gt;=2,FALSE())),IF(AND('Daily Schedule'!$A36&gt;=46,'Daily Schedule'!$A36&lt;=52),'Daily Workforce'!$M196="Y",IFERROR(1*'Daily Workforce'!$P196&gt;=2,FALSE()))))),1,0)</f>
        <v>0</v>
      </c>
      <c r="GZ32" s="1" t="n">
        <f aca="false">IF(AND('Daily Workforce'!$N197="Y",'Daily Workforce'!$B197&lt;&gt;"",COUNTIF('Daily Schedule'!$F$5:$F35,'Daily Workforce'!$B197)=0,IF('Daily Schedule'!$A36=45,'Daily Workforce'!$J197="Y",IF(OR('Daily Schedule'!$A36=4,'Daily Schedule'!$A36=8),IF(OR(WEEKDAY('Daily Schedule'!$B$2,2)=1,WEEKDAY('Daily Schedule'!$B$2,2)=4,WEEKDAY('Daily Schedule'!$B$2,2)=5,WEEKDAY('Daily Schedule'!$B$2,2)=7),IFERROR(1*'Daily Workforce'!$K197&gt;=3,FALSE()),IFERROR(1*'Daily Workforce'!$K197&gt;=2,FALSE())),IF(AND('Daily Schedule'!$A36&gt;=46,'Daily Schedule'!$A36&lt;=52),'Daily Workforce'!$M197="Y",IFERROR(1*'Daily Workforce'!$P197&gt;=2,FALSE()))))),1,0)</f>
        <v>0</v>
      </c>
      <c r="HA32" s="1" t="n">
        <f aca="false">IF(AND('Daily Workforce'!$N198="Y",'Daily Workforce'!$B198&lt;&gt;"",COUNTIF('Daily Schedule'!$F$5:$F35,'Daily Workforce'!$B198)=0,IF('Daily Schedule'!$A36=45,'Daily Workforce'!$J198="Y",IF(OR('Daily Schedule'!$A36=4,'Daily Schedule'!$A36=8),IF(OR(WEEKDAY('Daily Schedule'!$B$2,2)=1,WEEKDAY('Daily Schedule'!$B$2,2)=4,WEEKDAY('Daily Schedule'!$B$2,2)=5,WEEKDAY('Daily Schedule'!$B$2,2)=7),IFERROR(1*'Daily Workforce'!$K198&gt;=3,FALSE()),IFERROR(1*'Daily Workforce'!$K198&gt;=2,FALSE())),IF(AND('Daily Schedule'!$A36&gt;=46,'Daily Schedule'!$A36&lt;=52),'Daily Workforce'!$M198="Y",IFERROR(1*'Daily Workforce'!$P198&gt;=2,FALSE()))))),1,0)</f>
        <v>0</v>
      </c>
      <c r="HB32" s="1" t="n">
        <f aca="false">IF(AND('Daily Workforce'!$N199="Y",'Daily Workforce'!$B199&lt;&gt;"",COUNTIF('Daily Schedule'!$F$5:$F35,'Daily Workforce'!$B199)=0,IF('Daily Schedule'!$A36=45,'Daily Workforce'!$J199="Y",IF(OR('Daily Schedule'!$A36=4,'Daily Schedule'!$A36=8),IF(OR(WEEKDAY('Daily Schedule'!$B$2,2)=1,WEEKDAY('Daily Schedule'!$B$2,2)=4,WEEKDAY('Daily Schedule'!$B$2,2)=5,WEEKDAY('Daily Schedule'!$B$2,2)=7),IFERROR(1*'Daily Workforce'!$K199&gt;=3,FALSE()),IFERROR(1*'Daily Workforce'!$K199&gt;=2,FALSE())),IF(AND('Daily Schedule'!$A36&gt;=46,'Daily Schedule'!$A36&lt;=52),'Daily Workforce'!$M199="Y",IFERROR(1*'Daily Workforce'!$P199&gt;=2,FALSE()))))),1,0)</f>
        <v>0</v>
      </c>
      <c r="HC32" s="1" t="n">
        <f aca="false">IF(AND('Daily Workforce'!$N200="Y",'Daily Workforce'!$B200&lt;&gt;"",COUNTIF('Daily Schedule'!$F$5:$F35,'Daily Workforce'!$B200)=0,IF('Daily Schedule'!$A36=45,'Daily Workforce'!$J200="Y",IF(OR('Daily Schedule'!$A36=4,'Daily Schedule'!$A36=8),IF(OR(WEEKDAY('Daily Schedule'!$B$2,2)=1,WEEKDAY('Daily Schedule'!$B$2,2)=4,WEEKDAY('Daily Schedule'!$B$2,2)=5,WEEKDAY('Daily Schedule'!$B$2,2)=7),IFERROR(1*'Daily Workforce'!$K200&gt;=3,FALSE()),IFERROR(1*'Daily Workforce'!$K200&gt;=2,FALSE())),IF(AND('Daily Schedule'!$A36&gt;=46,'Daily Schedule'!$A36&lt;=52),'Daily Workforce'!$M200="Y",IFERROR(1*'Daily Workforce'!$P200&gt;=2,FALSE()))))),1,0)</f>
        <v>0</v>
      </c>
      <c r="HD32" s="1" t="n">
        <f aca="false">IF(AND('Daily Workforce'!$N201="Y",'Daily Workforce'!$B201&lt;&gt;"",COUNTIF('Daily Schedule'!$F$5:$F35,'Daily Workforce'!$B201)=0,IF('Daily Schedule'!$A36=45,'Daily Workforce'!$J201="Y",IF(OR('Daily Schedule'!$A36=4,'Daily Schedule'!$A36=8),IF(OR(WEEKDAY('Daily Schedule'!$B$2,2)=1,WEEKDAY('Daily Schedule'!$B$2,2)=4,WEEKDAY('Daily Schedule'!$B$2,2)=5,WEEKDAY('Daily Schedule'!$B$2,2)=7),IFERROR(1*'Daily Workforce'!$K201&gt;=3,FALSE()),IFERROR(1*'Daily Workforce'!$K201&gt;=2,FALSE())),IF(AND('Daily Schedule'!$A36&gt;=46,'Daily Schedule'!$A36&lt;=52),'Daily Workforce'!$M201="Y",IFERROR(1*'Daily Workforce'!$P201&gt;=2,FALSE()))))),1,0)</f>
        <v>0</v>
      </c>
      <c r="HE32" s="1" t="n">
        <f aca="false">IF(AND('Daily Workforce'!$N202="Y",'Daily Workforce'!$B202&lt;&gt;"",COUNTIF('Daily Schedule'!$F$5:$F35,'Daily Workforce'!$B202)=0,IF('Daily Schedule'!$A36=45,'Daily Workforce'!$J202="Y",IF(OR('Daily Schedule'!$A36=4,'Daily Schedule'!$A36=8),IF(OR(WEEKDAY('Daily Schedule'!$B$2,2)=1,WEEKDAY('Daily Schedule'!$B$2,2)=4,WEEKDAY('Daily Schedule'!$B$2,2)=5,WEEKDAY('Daily Schedule'!$B$2,2)=7),IFERROR(1*'Daily Workforce'!$K202&gt;=3,FALSE()),IFERROR(1*'Daily Workforce'!$K202&gt;=2,FALSE())),IF(AND('Daily Schedule'!$A36&gt;=46,'Daily Schedule'!$A36&lt;=52),'Daily Workforce'!$M202="Y",IFERROR(1*'Daily Workforce'!$P202&gt;=2,FALSE()))))),1,0)</f>
        <v>0</v>
      </c>
      <c r="HF32" s="1" t="n">
        <f aca="false">IF(AND('Daily Workforce'!$N203="Y",'Daily Workforce'!$B203&lt;&gt;"",COUNTIF('Daily Schedule'!$F$5:$F35,'Daily Workforce'!$B203)=0,IF('Daily Schedule'!$A36=45,'Daily Workforce'!$J203="Y",IF(OR('Daily Schedule'!$A36=4,'Daily Schedule'!$A36=8),IF(OR(WEEKDAY('Daily Schedule'!$B$2,2)=1,WEEKDAY('Daily Schedule'!$B$2,2)=4,WEEKDAY('Daily Schedule'!$B$2,2)=5,WEEKDAY('Daily Schedule'!$B$2,2)=7),IFERROR(1*'Daily Workforce'!$K203&gt;=3,FALSE()),IFERROR(1*'Daily Workforce'!$K203&gt;=2,FALSE())),IF(AND('Daily Schedule'!$A36&gt;=46,'Daily Schedule'!$A36&lt;=52),'Daily Workforce'!$M203="Y",IFERROR(1*'Daily Workforce'!$P203&gt;=2,FALSE()))))),1,0)</f>
        <v>0</v>
      </c>
      <c r="HG32" s="1" t="n">
        <f aca="false">IF(AND('Daily Workforce'!$N204="Y",'Daily Workforce'!$B204&lt;&gt;"",COUNTIF('Daily Schedule'!$F$5:$F35,'Daily Workforce'!$B204)=0,IF('Daily Schedule'!$A36=45,'Daily Workforce'!$J204="Y",IF(OR('Daily Schedule'!$A36=4,'Daily Schedule'!$A36=8),IF(OR(WEEKDAY('Daily Schedule'!$B$2,2)=1,WEEKDAY('Daily Schedule'!$B$2,2)=4,WEEKDAY('Daily Schedule'!$B$2,2)=5,WEEKDAY('Daily Schedule'!$B$2,2)=7),IFERROR(1*'Daily Workforce'!$K204&gt;=3,FALSE()),IFERROR(1*'Daily Workforce'!$K204&gt;=2,FALSE())),IF(AND('Daily Schedule'!$A36&gt;=46,'Daily Schedule'!$A36&lt;=52),'Daily Workforce'!$M204="Y",IFERROR(1*'Daily Workforce'!$P204&gt;=2,FALSE()))))),1,0)</f>
        <v>0</v>
      </c>
      <c r="HH32" s="1" t="n">
        <f aca="false">IF(AND('Daily Workforce'!$N205="Y",'Daily Workforce'!$B205&lt;&gt;"",COUNTIF('Daily Schedule'!$F$5:$F35,'Daily Workforce'!$B205)=0,IF('Daily Schedule'!$A36=45,'Daily Workforce'!$J205="Y",IF(OR('Daily Schedule'!$A36=4,'Daily Schedule'!$A36=8),IF(OR(WEEKDAY('Daily Schedule'!$B$2,2)=1,WEEKDAY('Daily Schedule'!$B$2,2)=4,WEEKDAY('Daily Schedule'!$B$2,2)=5,WEEKDAY('Daily Schedule'!$B$2,2)=7),IFERROR(1*'Daily Workforce'!$K205&gt;=3,FALSE()),IFERROR(1*'Daily Workforce'!$K205&gt;=2,FALSE())),IF(AND('Daily Schedule'!$A36&gt;=46,'Daily Schedule'!$A36&lt;=52),'Daily Workforce'!$M205="Y",IFERROR(1*'Daily Workforce'!$P205&gt;=2,FALSE()))))),1,0)</f>
        <v>0</v>
      </c>
    </row>
    <row r="33" customFormat="false" ht="15" hidden="false" customHeight="true" outlineLevel="0" collapsed="false">
      <c r="L33" s="1" t="s">
        <v>811</v>
      </c>
      <c r="O33" s="1" t="n">
        <f aca="false">IF(AND('Employee Master'!$G33="Y",ISERROR(SEARCH(TEXT('Daily Workforce'!$B$2,"ddd"),'Employee Master'!$D33)),IF('Daily Workforce'!$E$2="",TRUE(),'Employee Master'!$I33='Daily Workforce'!$E$2)),'Employee Master'!$K33*1000+ROW()-1,"")</f>
        <v>5032</v>
      </c>
      <c r="P33" s="1" t="n">
        <f aca="false">IF($O33="","",COUNTIF($O$2:$O$159,"&lt;="&amp;$O33))</f>
        <v>106</v>
      </c>
      <c r="Q33" s="1" t="n">
        <f aca="false">IF(AND('Daily Workforce'!$N6="Y",'Daily Workforce'!$B6&lt;&gt;"",COUNTIF('Daily Schedule'!$F$5:$F36,'Daily Workforce'!$B6)=0,IF('Daily Schedule'!$A37=45,'Daily Workforce'!$J6="Y",IF(OR('Daily Schedule'!$A37=4,'Daily Schedule'!$A37=8),IF(OR(WEEKDAY('Daily Schedule'!$B$2,2)=1,WEEKDAY('Daily Schedule'!$B$2,2)=4,WEEKDAY('Daily Schedule'!$B$2,2)=5,WEEKDAY('Daily Schedule'!$B$2,2)=7),IFERROR(1*'Daily Workforce'!$K6&gt;=3,FALSE()),IFERROR(1*'Daily Workforce'!$K6&gt;=2,FALSE())),IF(AND('Daily Schedule'!$A37&gt;=46,'Daily Schedule'!$A37&lt;=52),'Daily Workforce'!$M6="Y",IFERROR(1*'Daily Workforce'!$P6&gt;=2,FALSE()))))),1,0)</f>
        <v>0</v>
      </c>
      <c r="R33" s="1" t="n">
        <f aca="false">IF(AND('Daily Workforce'!$N7="Y",'Daily Workforce'!$B7&lt;&gt;"",COUNTIF('Daily Schedule'!$F$5:$F36,'Daily Workforce'!$B7)=0,IF('Daily Schedule'!$A37=45,'Daily Workforce'!$J7="Y",IF(OR('Daily Schedule'!$A37=4,'Daily Schedule'!$A37=8),IF(OR(WEEKDAY('Daily Schedule'!$B$2,2)=1,WEEKDAY('Daily Schedule'!$B$2,2)=4,WEEKDAY('Daily Schedule'!$B$2,2)=5,WEEKDAY('Daily Schedule'!$B$2,2)=7),IFERROR(1*'Daily Workforce'!$K7&gt;=3,FALSE()),IFERROR(1*'Daily Workforce'!$K7&gt;=2,FALSE())),IF(AND('Daily Schedule'!$A37&gt;=46,'Daily Schedule'!$A37&lt;=52),'Daily Workforce'!$M7="Y",IFERROR(1*'Daily Workforce'!$P7&gt;=2,FALSE()))))),1,0)</f>
        <v>0</v>
      </c>
      <c r="S33" s="1" t="n">
        <f aca="false">IF(AND('Daily Workforce'!$N8="Y",'Daily Workforce'!$B8&lt;&gt;"",COUNTIF('Daily Schedule'!$F$5:$F36,'Daily Workforce'!$B8)=0,IF('Daily Schedule'!$A37=45,'Daily Workforce'!$J8="Y",IF(OR('Daily Schedule'!$A37=4,'Daily Schedule'!$A37=8),IF(OR(WEEKDAY('Daily Schedule'!$B$2,2)=1,WEEKDAY('Daily Schedule'!$B$2,2)=4,WEEKDAY('Daily Schedule'!$B$2,2)=5,WEEKDAY('Daily Schedule'!$B$2,2)=7),IFERROR(1*'Daily Workforce'!$K8&gt;=3,FALSE()),IFERROR(1*'Daily Workforce'!$K8&gt;=2,FALSE())),IF(AND('Daily Schedule'!$A37&gt;=46,'Daily Schedule'!$A37&lt;=52),'Daily Workforce'!$M8="Y",IFERROR(1*'Daily Workforce'!$P8&gt;=2,FALSE()))))),1,0)</f>
        <v>0</v>
      </c>
      <c r="T33" s="1" t="n">
        <f aca="false">IF(AND('Daily Workforce'!$N9="Y",'Daily Workforce'!$B9&lt;&gt;"",COUNTIF('Daily Schedule'!$F$5:$F36,'Daily Workforce'!$B9)=0,IF('Daily Schedule'!$A37=45,'Daily Workforce'!$J9="Y",IF(OR('Daily Schedule'!$A37=4,'Daily Schedule'!$A37=8),IF(OR(WEEKDAY('Daily Schedule'!$B$2,2)=1,WEEKDAY('Daily Schedule'!$B$2,2)=4,WEEKDAY('Daily Schedule'!$B$2,2)=5,WEEKDAY('Daily Schedule'!$B$2,2)=7),IFERROR(1*'Daily Workforce'!$K9&gt;=3,FALSE()),IFERROR(1*'Daily Workforce'!$K9&gt;=2,FALSE())),IF(AND('Daily Schedule'!$A37&gt;=46,'Daily Schedule'!$A37&lt;=52),'Daily Workforce'!$M9="Y",IFERROR(1*'Daily Workforce'!$P9&gt;=2,FALSE()))))),1,0)</f>
        <v>0</v>
      </c>
      <c r="U33" s="1" t="n">
        <f aca="false">IF(AND('Daily Workforce'!$N10="Y",'Daily Workforce'!$B10&lt;&gt;"",COUNTIF('Daily Schedule'!$F$5:$F36,'Daily Workforce'!$B10)=0,IF('Daily Schedule'!$A37=45,'Daily Workforce'!$J10="Y",IF(OR('Daily Schedule'!$A37=4,'Daily Schedule'!$A37=8),IF(OR(WEEKDAY('Daily Schedule'!$B$2,2)=1,WEEKDAY('Daily Schedule'!$B$2,2)=4,WEEKDAY('Daily Schedule'!$B$2,2)=5,WEEKDAY('Daily Schedule'!$B$2,2)=7),IFERROR(1*'Daily Workforce'!$K10&gt;=3,FALSE()),IFERROR(1*'Daily Workforce'!$K10&gt;=2,FALSE())),IF(AND('Daily Schedule'!$A37&gt;=46,'Daily Schedule'!$A37&lt;=52),'Daily Workforce'!$M10="Y",IFERROR(1*'Daily Workforce'!$P10&gt;=2,FALSE()))))),1,0)</f>
        <v>0</v>
      </c>
      <c r="V33" s="1" t="n">
        <f aca="false">IF(AND('Daily Workforce'!$N11="Y",'Daily Workforce'!$B11&lt;&gt;"",COUNTIF('Daily Schedule'!$F$5:$F36,'Daily Workforce'!$B11)=0,IF('Daily Schedule'!$A37=45,'Daily Workforce'!$J11="Y",IF(OR('Daily Schedule'!$A37=4,'Daily Schedule'!$A37=8),IF(OR(WEEKDAY('Daily Schedule'!$B$2,2)=1,WEEKDAY('Daily Schedule'!$B$2,2)=4,WEEKDAY('Daily Schedule'!$B$2,2)=5,WEEKDAY('Daily Schedule'!$B$2,2)=7),IFERROR(1*'Daily Workforce'!$K11&gt;=3,FALSE()),IFERROR(1*'Daily Workforce'!$K11&gt;=2,FALSE())),IF(AND('Daily Schedule'!$A37&gt;=46,'Daily Schedule'!$A37&lt;=52),'Daily Workforce'!$M11="Y",IFERROR(1*'Daily Workforce'!$P11&gt;=2,FALSE()))))),1,0)</f>
        <v>0</v>
      </c>
      <c r="W33" s="1" t="n">
        <f aca="false">IF(AND('Daily Workforce'!$N12="Y",'Daily Workforce'!$B12&lt;&gt;"",COUNTIF('Daily Schedule'!$F$5:$F36,'Daily Workforce'!$B12)=0,IF('Daily Schedule'!$A37=45,'Daily Workforce'!$J12="Y",IF(OR('Daily Schedule'!$A37=4,'Daily Schedule'!$A37=8),IF(OR(WEEKDAY('Daily Schedule'!$B$2,2)=1,WEEKDAY('Daily Schedule'!$B$2,2)=4,WEEKDAY('Daily Schedule'!$B$2,2)=5,WEEKDAY('Daily Schedule'!$B$2,2)=7),IFERROR(1*'Daily Workforce'!$K12&gt;=3,FALSE()),IFERROR(1*'Daily Workforce'!$K12&gt;=2,FALSE())),IF(AND('Daily Schedule'!$A37&gt;=46,'Daily Schedule'!$A37&lt;=52),'Daily Workforce'!$M12="Y",IFERROR(1*'Daily Workforce'!$P12&gt;=2,FALSE()))))),1,0)</f>
        <v>0</v>
      </c>
      <c r="X33" s="1" t="n">
        <f aca="false">IF(AND('Daily Workforce'!$N13="Y",'Daily Workforce'!$B13&lt;&gt;"",COUNTIF('Daily Schedule'!$F$5:$F36,'Daily Workforce'!$B13)=0,IF('Daily Schedule'!$A37=45,'Daily Workforce'!$J13="Y",IF(OR('Daily Schedule'!$A37=4,'Daily Schedule'!$A37=8),IF(OR(WEEKDAY('Daily Schedule'!$B$2,2)=1,WEEKDAY('Daily Schedule'!$B$2,2)=4,WEEKDAY('Daily Schedule'!$B$2,2)=5,WEEKDAY('Daily Schedule'!$B$2,2)=7),IFERROR(1*'Daily Workforce'!$K13&gt;=3,FALSE()),IFERROR(1*'Daily Workforce'!$K13&gt;=2,FALSE())),IF(AND('Daily Schedule'!$A37&gt;=46,'Daily Schedule'!$A37&lt;=52),'Daily Workforce'!$M13="Y",IFERROR(1*'Daily Workforce'!$P13&gt;=2,FALSE()))))),1,0)</f>
        <v>0</v>
      </c>
      <c r="Y33" s="1" t="n">
        <f aca="false">IF(AND('Daily Workforce'!$N14="Y",'Daily Workforce'!$B14&lt;&gt;"",COUNTIF('Daily Schedule'!$F$5:$F36,'Daily Workforce'!$B14)=0,IF('Daily Schedule'!$A37=45,'Daily Workforce'!$J14="Y",IF(OR('Daily Schedule'!$A37=4,'Daily Schedule'!$A37=8),IF(OR(WEEKDAY('Daily Schedule'!$B$2,2)=1,WEEKDAY('Daily Schedule'!$B$2,2)=4,WEEKDAY('Daily Schedule'!$B$2,2)=5,WEEKDAY('Daily Schedule'!$B$2,2)=7),IFERROR(1*'Daily Workforce'!$K14&gt;=3,FALSE()),IFERROR(1*'Daily Workforce'!$K14&gt;=2,FALSE())),IF(AND('Daily Schedule'!$A37&gt;=46,'Daily Schedule'!$A37&lt;=52),'Daily Workforce'!$M14="Y",IFERROR(1*'Daily Workforce'!$P14&gt;=2,FALSE()))))),1,0)</f>
        <v>0</v>
      </c>
      <c r="Z33" s="1" t="n">
        <f aca="false">IF(AND('Daily Workforce'!$N15="Y",'Daily Workforce'!$B15&lt;&gt;"",COUNTIF('Daily Schedule'!$F$5:$F36,'Daily Workforce'!$B15)=0,IF('Daily Schedule'!$A37=45,'Daily Workforce'!$J15="Y",IF(OR('Daily Schedule'!$A37=4,'Daily Schedule'!$A37=8),IF(OR(WEEKDAY('Daily Schedule'!$B$2,2)=1,WEEKDAY('Daily Schedule'!$B$2,2)=4,WEEKDAY('Daily Schedule'!$B$2,2)=5,WEEKDAY('Daily Schedule'!$B$2,2)=7),IFERROR(1*'Daily Workforce'!$K15&gt;=3,FALSE()),IFERROR(1*'Daily Workforce'!$K15&gt;=2,FALSE())),IF(AND('Daily Schedule'!$A37&gt;=46,'Daily Schedule'!$A37&lt;=52),'Daily Workforce'!$M15="Y",IFERROR(1*'Daily Workforce'!$P15&gt;=2,FALSE()))))),1,0)</f>
        <v>0</v>
      </c>
      <c r="AA33" s="1" t="n">
        <f aca="false">IF(AND('Daily Workforce'!$N16="Y",'Daily Workforce'!$B16&lt;&gt;"",COUNTIF('Daily Schedule'!$F$5:$F36,'Daily Workforce'!$B16)=0,IF('Daily Schedule'!$A37=45,'Daily Workforce'!$J16="Y",IF(OR('Daily Schedule'!$A37=4,'Daily Schedule'!$A37=8),IF(OR(WEEKDAY('Daily Schedule'!$B$2,2)=1,WEEKDAY('Daily Schedule'!$B$2,2)=4,WEEKDAY('Daily Schedule'!$B$2,2)=5,WEEKDAY('Daily Schedule'!$B$2,2)=7),IFERROR(1*'Daily Workforce'!$K16&gt;=3,FALSE()),IFERROR(1*'Daily Workforce'!$K16&gt;=2,FALSE())),IF(AND('Daily Schedule'!$A37&gt;=46,'Daily Schedule'!$A37&lt;=52),'Daily Workforce'!$M16="Y",IFERROR(1*'Daily Workforce'!$P16&gt;=2,FALSE()))))),1,0)</f>
        <v>0</v>
      </c>
      <c r="AB33" s="1" t="n">
        <f aca="false">IF(AND('Daily Workforce'!$N17="Y",'Daily Workforce'!$B17&lt;&gt;"",COUNTIF('Daily Schedule'!$F$5:$F36,'Daily Workforce'!$B17)=0,IF('Daily Schedule'!$A37=45,'Daily Workforce'!$J17="Y",IF(OR('Daily Schedule'!$A37=4,'Daily Schedule'!$A37=8),IF(OR(WEEKDAY('Daily Schedule'!$B$2,2)=1,WEEKDAY('Daily Schedule'!$B$2,2)=4,WEEKDAY('Daily Schedule'!$B$2,2)=5,WEEKDAY('Daily Schedule'!$B$2,2)=7),IFERROR(1*'Daily Workforce'!$K17&gt;=3,FALSE()),IFERROR(1*'Daily Workforce'!$K17&gt;=2,FALSE())),IF(AND('Daily Schedule'!$A37&gt;=46,'Daily Schedule'!$A37&lt;=52),'Daily Workforce'!$M17="Y",IFERROR(1*'Daily Workforce'!$P17&gt;=2,FALSE()))))),1,0)</f>
        <v>0</v>
      </c>
      <c r="AC33" s="1" t="n">
        <f aca="false">IF(AND('Daily Workforce'!$N18="Y",'Daily Workforce'!$B18&lt;&gt;"",COUNTIF('Daily Schedule'!$F$5:$F36,'Daily Workforce'!$B18)=0,IF('Daily Schedule'!$A37=45,'Daily Workforce'!$J18="Y",IF(OR('Daily Schedule'!$A37=4,'Daily Schedule'!$A37=8),IF(OR(WEEKDAY('Daily Schedule'!$B$2,2)=1,WEEKDAY('Daily Schedule'!$B$2,2)=4,WEEKDAY('Daily Schedule'!$B$2,2)=5,WEEKDAY('Daily Schedule'!$B$2,2)=7),IFERROR(1*'Daily Workforce'!$K18&gt;=3,FALSE()),IFERROR(1*'Daily Workforce'!$K18&gt;=2,FALSE())),IF(AND('Daily Schedule'!$A37&gt;=46,'Daily Schedule'!$A37&lt;=52),'Daily Workforce'!$M18="Y",IFERROR(1*'Daily Workforce'!$P18&gt;=2,FALSE()))))),1,0)</f>
        <v>0</v>
      </c>
      <c r="AD33" s="1" t="n">
        <f aca="false">IF(AND('Daily Workforce'!$N19="Y",'Daily Workforce'!$B19&lt;&gt;"",COUNTIF('Daily Schedule'!$F$5:$F36,'Daily Workforce'!$B19)=0,IF('Daily Schedule'!$A37=45,'Daily Workforce'!$J19="Y",IF(OR('Daily Schedule'!$A37=4,'Daily Schedule'!$A37=8),IF(OR(WEEKDAY('Daily Schedule'!$B$2,2)=1,WEEKDAY('Daily Schedule'!$B$2,2)=4,WEEKDAY('Daily Schedule'!$B$2,2)=5,WEEKDAY('Daily Schedule'!$B$2,2)=7),IFERROR(1*'Daily Workforce'!$K19&gt;=3,FALSE()),IFERROR(1*'Daily Workforce'!$K19&gt;=2,FALSE())),IF(AND('Daily Schedule'!$A37&gt;=46,'Daily Schedule'!$A37&lt;=52),'Daily Workforce'!$M19="Y",IFERROR(1*'Daily Workforce'!$P19&gt;=2,FALSE()))))),1,0)</f>
        <v>0</v>
      </c>
      <c r="AE33" s="1" t="n">
        <f aca="false">IF(AND('Daily Workforce'!$N20="Y",'Daily Workforce'!$B20&lt;&gt;"",COUNTIF('Daily Schedule'!$F$5:$F36,'Daily Workforce'!$B20)=0,IF('Daily Schedule'!$A37=45,'Daily Workforce'!$J20="Y",IF(OR('Daily Schedule'!$A37=4,'Daily Schedule'!$A37=8),IF(OR(WEEKDAY('Daily Schedule'!$B$2,2)=1,WEEKDAY('Daily Schedule'!$B$2,2)=4,WEEKDAY('Daily Schedule'!$B$2,2)=5,WEEKDAY('Daily Schedule'!$B$2,2)=7),IFERROR(1*'Daily Workforce'!$K20&gt;=3,FALSE()),IFERROR(1*'Daily Workforce'!$K20&gt;=2,FALSE())),IF(AND('Daily Schedule'!$A37&gt;=46,'Daily Schedule'!$A37&lt;=52),'Daily Workforce'!$M20="Y",IFERROR(1*'Daily Workforce'!$P20&gt;=2,FALSE()))))),1,0)</f>
        <v>0</v>
      </c>
      <c r="AF33" s="1" t="n">
        <f aca="false">IF(AND('Daily Workforce'!$N21="Y",'Daily Workforce'!$B21&lt;&gt;"",COUNTIF('Daily Schedule'!$F$5:$F36,'Daily Workforce'!$B21)=0,IF('Daily Schedule'!$A37=45,'Daily Workforce'!$J21="Y",IF(OR('Daily Schedule'!$A37=4,'Daily Schedule'!$A37=8),IF(OR(WEEKDAY('Daily Schedule'!$B$2,2)=1,WEEKDAY('Daily Schedule'!$B$2,2)=4,WEEKDAY('Daily Schedule'!$B$2,2)=5,WEEKDAY('Daily Schedule'!$B$2,2)=7),IFERROR(1*'Daily Workforce'!$K21&gt;=3,FALSE()),IFERROR(1*'Daily Workforce'!$K21&gt;=2,FALSE())),IF(AND('Daily Schedule'!$A37&gt;=46,'Daily Schedule'!$A37&lt;=52),'Daily Workforce'!$M21="Y",IFERROR(1*'Daily Workforce'!$P21&gt;=2,FALSE()))))),1,0)</f>
        <v>0</v>
      </c>
      <c r="AG33" s="1" t="n">
        <f aca="false">IF(AND('Daily Workforce'!$N22="Y",'Daily Workforce'!$B22&lt;&gt;"",COUNTIF('Daily Schedule'!$F$5:$F36,'Daily Workforce'!$B22)=0,IF('Daily Schedule'!$A37=45,'Daily Workforce'!$J22="Y",IF(OR('Daily Schedule'!$A37=4,'Daily Schedule'!$A37=8),IF(OR(WEEKDAY('Daily Schedule'!$B$2,2)=1,WEEKDAY('Daily Schedule'!$B$2,2)=4,WEEKDAY('Daily Schedule'!$B$2,2)=5,WEEKDAY('Daily Schedule'!$B$2,2)=7),IFERROR(1*'Daily Workforce'!$K22&gt;=3,FALSE()),IFERROR(1*'Daily Workforce'!$K22&gt;=2,FALSE())),IF(AND('Daily Schedule'!$A37&gt;=46,'Daily Schedule'!$A37&lt;=52),'Daily Workforce'!$M22="Y",IFERROR(1*'Daily Workforce'!$P22&gt;=2,FALSE()))))),1,0)</f>
        <v>0</v>
      </c>
      <c r="AH33" s="1" t="n">
        <f aca="false">IF(AND('Daily Workforce'!$N23="Y",'Daily Workforce'!$B23&lt;&gt;"",COUNTIF('Daily Schedule'!$F$5:$F36,'Daily Workforce'!$B23)=0,IF('Daily Schedule'!$A37=45,'Daily Workforce'!$J23="Y",IF(OR('Daily Schedule'!$A37=4,'Daily Schedule'!$A37=8),IF(OR(WEEKDAY('Daily Schedule'!$B$2,2)=1,WEEKDAY('Daily Schedule'!$B$2,2)=4,WEEKDAY('Daily Schedule'!$B$2,2)=5,WEEKDAY('Daily Schedule'!$B$2,2)=7),IFERROR(1*'Daily Workforce'!$K23&gt;=3,FALSE()),IFERROR(1*'Daily Workforce'!$K23&gt;=2,FALSE())),IF(AND('Daily Schedule'!$A37&gt;=46,'Daily Schedule'!$A37&lt;=52),'Daily Workforce'!$M23="Y",IFERROR(1*'Daily Workforce'!$P23&gt;=2,FALSE()))))),1,0)</f>
        <v>0</v>
      </c>
      <c r="AI33" s="1" t="n">
        <f aca="false">IF(AND('Daily Workforce'!$N24="Y",'Daily Workforce'!$B24&lt;&gt;"",COUNTIF('Daily Schedule'!$F$5:$F36,'Daily Workforce'!$B24)=0,IF('Daily Schedule'!$A37=45,'Daily Workforce'!$J24="Y",IF(OR('Daily Schedule'!$A37=4,'Daily Schedule'!$A37=8),IF(OR(WEEKDAY('Daily Schedule'!$B$2,2)=1,WEEKDAY('Daily Schedule'!$B$2,2)=4,WEEKDAY('Daily Schedule'!$B$2,2)=5,WEEKDAY('Daily Schedule'!$B$2,2)=7),IFERROR(1*'Daily Workforce'!$K24&gt;=3,FALSE()),IFERROR(1*'Daily Workforce'!$K24&gt;=2,FALSE())),IF(AND('Daily Schedule'!$A37&gt;=46,'Daily Schedule'!$A37&lt;=52),'Daily Workforce'!$M24="Y",IFERROR(1*'Daily Workforce'!$P24&gt;=2,FALSE()))))),1,0)</f>
        <v>0</v>
      </c>
      <c r="AJ33" s="1" t="n">
        <f aca="false">IF(AND('Daily Workforce'!$N25="Y",'Daily Workforce'!$B25&lt;&gt;"",COUNTIF('Daily Schedule'!$F$5:$F36,'Daily Workforce'!$B25)=0,IF('Daily Schedule'!$A37=45,'Daily Workforce'!$J25="Y",IF(OR('Daily Schedule'!$A37=4,'Daily Schedule'!$A37=8),IF(OR(WEEKDAY('Daily Schedule'!$B$2,2)=1,WEEKDAY('Daily Schedule'!$B$2,2)=4,WEEKDAY('Daily Schedule'!$B$2,2)=5,WEEKDAY('Daily Schedule'!$B$2,2)=7),IFERROR(1*'Daily Workforce'!$K25&gt;=3,FALSE()),IFERROR(1*'Daily Workforce'!$K25&gt;=2,FALSE())),IF(AND('Daily Schedule'!$A37&gt;=46,'Daily Schedule'!$A37&lt;=52),'Daily Workforce'!$M25="Y",IFERROR(1*'Daily Workforce'!$P25&gt;=2,FALSE()))))),1,0)</f>
        <v>0</v>
      </c>
      <c r="AK33" s="1" t="n">
        <f aca="false">IF(AND('Daily Workforce'!$N26="Y",'Daily Workforce'!$B26&lt;&gt;"",COUNTIF('Daily Schedule'!$F$5:$F36,'Daily Workforce'!$B26)=0,IF('Daily Schedule'!$A37=45,'Daily Workforce'!$J26="Y",IF(OR('Daily Schedule'!$A37=4,'Daily Schedule'!$A37=8),IF(OR(WEEKDAY('Daily Schedule'!$B$2,2)=1,WEEKDAY('Daily Schedule'!$B$2,2)=4,WEEKDAY('Daily Schedule'!$B$2,2)=5,WEEKDAY('Daily Schedule'!$B$2,2)=7),IFERROR(1*'Daily Workforce'!$K26&gt;=3,FALSE()),IFERROR(1*'Daily Workforce'!$K26&gt;=2,FALSE())),IF(AND('Daily Schedule'!$A37&gt;=46,'Daily Schedule'!$A37&lt;=52),'Daily Workforce'!$M26="Y",IFERROR(1*'Daily Workforce'!$P26&gt;=2,FALSE()))))),1,0)</f>
        <v>0</v>
      </c>
      <c r="AL33" s="1" t="n">
        <f aca="false">IF(AND('Daily Workforce'!$N27="Y",'Daily Workforce'!$B27&lt;&gt;"",COUNTIF('Daily Schedule'!$F$5:$F36,'Daily Workforce'!$B27)=0,IF('Daily Schedule'!$A37=45,'Daily Workforce'!$J27="Y",IF(OR('Daily Schedule'!$A37=4,'Daily Schedule'!$A37=8),IF(OR(WEEKDAY('Daily Schedule'!$B$2,2)=1,WEEKDAY('Daily Schedule'!$B$2,2)=4,WEEKDAY('Daily Schedule'!$B$2,2)=5,WEEKDAY('Daily Schedule'!$B$2,2)=7),IFERROR(1*'Daily Workforce'!$K27&gt;=3,FALSE()),IFERROR(1*'Daily Workforce'!$K27&gt;=2,FALSE())),IF(AND('Daily Schedule'!$A37&gt;=46,'Daily Schedule'!$A37&lt;=52),'Daily Workforce'!$M27="Y",IFERROR(1*'Daily Workforce'!$P27&gt;=2,FALSE()))))),1,0)</f>
        <v>0</v>
      </c>
      <c r="AM33" s="1" t="n">
        <f aca="false">IF(AND('Daily Workforce'!$N28="Y",'Daily Workforce'!$B28&lt;&gt;"",COUNTIF('Daily Schedule'!$F$5:$F36,'Daily Workforce'!$B28)=0,IF('Daily Schedule'!$A37=45,'Daily Workforce'!$J28="Y",IF(OR('Daily Schedule'!$A37=4,'Daily Schedule'!$A37=8),IF(OR(WEEKDAY('Daily Schedule'!$B$2,2)=1,WEEKDAY('Daily Schedule'!$B$2,2)=4,WEEKDAY('Daily Schedule'!$B$2,2)=5,WEEKDAY('Daily Schedule'!$B$2,2)=7),IFERROR(1*'Daily Workforce'!$K28&gt;=3,FALSE()),IFERROR(1*'Daily Workforce'!$K28&gt;=2,FALSE())),IF(AND('Daily Schedule'!$A37&gt;=46,'Daily Schedule'!$A37&lt;=52),'Daily Workforce'!$M28="Y",IFERROR(1*'Daily Workforce'!$P28&gt;=2,FALSE()))))),1,0)</f>
        <v>0</v>
      </c>
      <c r="AN33" s="1" t="n">
        <f aca="false">IF(AND('Daily Workforce'!$N29="Y",'Daily Workforce'!$B29&lt;&gt;"",COUNTIF('Daily Schedule'!$F$5:$F36,'Daily Workforce'!$B29)=0,IF('Daily Schedule'!$A37=45,'Daily Workforce'!$J29="Y",IF(OR('Daily Schedule'!$A37=4,'Daily Schedule'!$A37=8),IF(OR(WEEKDAY('Daily Schedule'!$B$2,2)=1,WEEKDAY('Daily Schedule'!$B$2,2)=4,WEEKDAY('Daily Schedule'!$B$2,2)=5,WEEKDAY('Daily Schedule'!$B$2,2)=7),IFERROR(1*'Daily Workforce'!$K29&gt;=3,FALSE()),IFERROR(1*'Daily Workforce'!$K29&gt;=2,FALSE())),IF(AND('Daily Schedule'!$A37&gt;=46,'Daily Schedule'!$A37&lt;=52),'Daily Workforce'!$M29="Y",IFERROR(1*'Daily Workforce'!$P29&gt;=2,FALSE()))))),1,0)</f>
        <v>0</v>
      </c>
      <c r="AO33" s="1" t="n">
        <f aca="false">IF(AND('Daily Workforce'!$N30="Y",'Daily Workforce'!$B30&lt;&gt;"",COUNTIF('Daily Schedule'!$F$5:$F36,'Daily Workforce'!$B30)=0,IF('Daily Schedule'!$A37=45,'Daily Workforce'!$J30="Y",IF(OR('Daily Schedule'!$A37=4,'Daily Schedule'!$A37=8),IF(OR(WEEKDAY('Daily Schedule'!$B$2,2)=1,WEEKDAY('Daily Schedule'!$B$2,2)=4,WEEKDAY('Daily Schedule'!$B$2,2)=5,WEEKDAY('Daily Schedule'!$B$2,2)=7),IFERROR(1*'Daily Workforce'!$K30&gt;=3,FALSE()),IFERROR(1*'Daily Workforce'!$K30&gt;=2,FALSE())),IF(AND('Daily Schedule'!$A37&gt;=46,'Daily Schedule'!$A37&lt;=52),'Daily Workforce'!$M30="Y",IFERROR(1*'Daily Workforce'!$P30&gt;=2,FALSE()))))),1,0)</f>
        <v>0</v>
      </c>
      <c r="AP33" s="1" t="n">
        <f aca="false">IF(AND('Daily Workforce'!$N31="Y",'Daily Workforce'!$B31&lt;&gt;"",COUNTIF('Daily Schedule'!$F$5:$F36,'Daily Workforce'!$B31)=0,IF('Daily Schedule'!$A37=45,'Daily Workforce'!$J31="Y",IF(OR('Daily Schedule'!$A37=4,'Daily Schedule'!$A37=8),IF(OR(WEEKDAY('Daily Schedule'!$B$2,2)=1,WEEKDAY('Daily Schedule'!$B$2,2)=4,WEEKDAY('Daily Schedule'!$B$2,2)=5,WEEKDAY('Daily Schedule'!$B$2,2)=7),IFERROR(1*'Daily Workforce'!$K31&gt;=3,FALSE()),IFERROR(1*'Daily Workforce'!$K31&gt;=2,FALSE())),IF(AND('Daily Schedule'!$A37&gt;=46,'Daily Schedule'!$A37&lt;=52),'Daily Workforce'!$M31="Y",IFERROR(1*'Daily Workforce'!$P31&gt;=2,FALSE()))))),1,0)</f>
        <v>0</v>
      </c>
      <c r="AQ33" s="1" t="n">
        <f aca="false">IF(AND('Daily Workforce'!$N32="Y",'Daily Workforce'!$B32&lt;&gt;"",COUNTIF('Daily Schedule'!$F$5:$F36,'Daily Workforce'!$B32)=0,IF('Daily Schedule'!$A37=45,'Daily Workforce'!$J32="Y",IF(OR('Daily Schedule'!$A37=4,'Daily Schedule'!$A37=8),IF(OR(WEEKDAY('Daily Schedule'!$B$2,2)=1,WEEKDAY('Daily Schedule'!$B$2,2)=4,WEEKDAY('Daily Schedule'!$B$2,2)=5,WEEKDAY('Daily Schedule'!$B$2,2)=7),IFERROR(1*'Daily Workforce'!$K32&gt;=3,FALSE()),IFERROR(1*'Daily Workforce'!$K32&gt;=2,FALSE())),IF(AND('Daily Schedule'!$A37&gt;=46,'Daily Schedule'!$A37&lt;=52),'Daily Workforce'!$M32="Y",IFERROR(1*'Daily Workforce'!$P32&gt;=2,FALSE()))))),1,0)</f>
        <v>0</v>
      </c>
      <c r="AR33" s="1" t="n">
        <f aca="false">IF(AND('Daily Workforce'!$N33="Y",'Daily Workforce'!$B33&lt;&gt;"",COUNTIF('Daily Schedule'!$F$5:$F36,'Daily Workforce'!$B33)=0,IF('Daily Schedule'!$A37=45,'Daily Workforce'!$J33="Y",IF(OR('Daily Schedule'!$A37=4,'Daily Schedule'!$A37=8),IF(OR(WEEKDAY('Daily Schedule'!$B$2,2)=1,WEEKDAY('Daily Schedule'!$B$2,2)=4,WEEKDAY('Daily Schedule'!$B$2,2)=5,WEEKDAY('Daily Schedule'!$B$2,2)=7),IFERROR(1*'Daily Workforce'!$K33&gt;=3,FALSE()),IFERROR(1*'Daily Workforce'!$K33&gt;=2,FALSE())),IF(AND('Daily Schedule'!$A37&gt;=46,'Daily Schedule'!$A37&lt;=52),'Daily Workforce'!$M33="Y",IFERROR(1*'Daily Workforce'!$P33&gt;=2,FALSE()))))),1,0)</f>
        <v>0</v>
      </c>
      <c r="AS33" s="1" t="n">
        <f aca="false">IF(AND('Daily Workforce'!$N34="Y",'Daily Workforce'!$B34&lt;&gt;"",COUNTIF('Daily Schedule'!$F$5:$F36,'Daily Workforce'!$B34)=0,IF('Daily Schedule'!$A37=45,'Daily Workforce'!$J34="Y",IF(OR('Daily Schedule'!$A37=4,'Daily Schedule'!$A37=8),IF(OR(WEEKDAY('Daily Schedule'!$B$2,2)=1,WEEKDAY('Daily Schedule'!$B$2,2)=4,WEEKDAY('Daily Schedule'!$B$2,2)=5,WEEKDAY('Daily Schedule'!$B$2,2)=7),IFERROR(1*'Daily Workforce'!$K34&gt;=3,FALSE()),IFERROR(1*'Daily Workforce'!$K34&gt;=2,FALSE())),IF(AND('Daily Schedule'!$A37&gt;=46,'Daily Schedule'!$A37&lt;=52),'Daily Workforce'!$M34="Y",IFERROR(1*'Daily Workforce'!$P34&gt;=2,FALSE()))))),1,0)</f>
        <v>0</v>
      </c>
      <c r="AT33" s="1" t="n">
        <f aca="false">IF(AND('Daily Workforce'!$N35="Y",'Daily Workforce'!$B35&lt;&gt;"",COUNTIF('Daily Schedule'!$F$5:$F36,'Daily Workforce'!$B35)=0,IF('Daily Schedule'!$A37=45,'Daily Workforce'!$J35="Y",IF(OR('Daily Schedule'!$A37=4,'Daily Schedule'!$A37=8),IF(OR(WEEKDAY('Daily Schedule'!$B$2,2)=1,WEEKDAY('Daily Schedule'!$B$2,2)=4,WEEKDAY('Daily Schedule'!$B$2,2)=5,WEEKDAY('Daily Schedule'!$B$2,2)=7),IFERROR(1*'Daily Workforce'!$K35&gt;=3,FALSE()),IFERROR(1*'Daily Workforce'!$K35&gt;=2,FALSE())),IF(AND('Daily Schedule'!$A37&gt;=46,'Daily Schedule'!$A37&lt;=52),'Daily Workforce'!$M35="Y",IFERROR(1*'Daily Workforce'!$P35&gt;=2,FALSE()))))),1,0)</f>
        <v>0</v>
      </c>
      <c r="AU33" s="1" t="n">
        <f aca="false">IF(AND('Daily Workforce'!$N36="Y",'Daily Workforce'!$B36&lt;&gt;"",COUNTIF('Daily Schedule'!$F$5:$F36,'Daily Workforce'!$B36)=0,IF('Daily Schedule'!$A37=45,'Daily Workforce'!$J36="Y",IF(OR('Daily Schedule'!$A37=4,'Daily Schedule'!$A37=8),IF(OR(WEEKDAY('Daily Schedule'!$B$2,2)=1,WEEKDAY('Daily Schedule'!$B$2,2)=4,WEEKDAY('Daily Schedule'!$B$2,2)=5,WEEKDAY('Daily Schedule'!$B$2,2)=7),IFERROR(1*'Daily Workforce'!$K36&gt;=3,FALSE()),IFERROR(1*'Daily Workforce'!$K36&gt;=2,FALSE())),IF(AND('Daily Schedule'!$A37&gt;=46,'Daily Schedule'!$A37&lt;=52),'Daily Workforce'!$M36="Y",IFERROR(1*'Daily Workforce'!$P36&gt;=2,FALSE()))))),1,0)</f>
        <v>1</v>
      </c>
      <c r="AV33" s="1" t="n">
        <f aca="false">IF(AND('Daily Workforce'!$N37="Y",'Daily Workforce'!$B37&lt;&gt;"",COUNTIF('Daily Schedule'!$F$5:$F36,'Daily Workforce'!$B37)=0,IF('Daily Schedule'!$A37=45,'Daily Workforce'!$J37="Y",IF(OR('Daily Schedule'!$A37=4,'Daily Schedule'!$A37=8),IF(OR(WEEKDAY('Daily Schedule'!$B$2,2)=1,WEEKDAY('Daily Schedule'!$B$2,2)=4,WEEKDAY('Daily Schedule'!$B$2,2)=5,WEEKDAY('Daily Schedule'!$B$2,2)=7),IFERROR(1*'Daily Workforce'!$K37&gt;=3,FALSE()),IFERROR(1*'Daily Workforce'!$K37&gt;=2,FALSE())),IF(AND('Daily Schedule'!$A37&gt;=46,'Daily Schedule'!$A37&lt;=52),'Daily Workforce'!$M37="Y",IFERROR(1*'Daily Workforce'!$P37&gt;=2,FALSE()))))),1,0)</f>
        <v>1</v>
      </c>
      <c r="AW33" s="1" t="n">
        <f aca="false">IF(AND('Daily Workforce'!$N38="Y",'Daily Workforce'!$B38&lt;&gt;"",COUNTIF('Daily Schedule'!$F$5:$F36,'Daily Workforce'!$B38)=0,IF('Daily Schedule'!$A37=45,'Daily Workforce'!$J38="Y",IF(OR('Daily Schedule'!$A37=4,'Daily Schedule'!$A37=8),IF(OR(WEEKDAY('Daily Schedule'!$B$2,2)=1,WEEKDAY('Daily Schedule'!$B$2,2)=4,WEEKDAY('Daily Schedule'!$B$2,2)=5,WEEKDAY('Daily Schedule'!$B$2,2)=7),IFERROR(1*'Daily Workforce'!$K38&gt;=3,FALSE()),IFERROR(1*'Daily Workforce'!$K38&gt;=2,FALSE())),IF(AND('Daily Schedule'!$A37&gt;=46,'Daily Schedule'!$A37&lt;=52),'Daily Workforce'!$M38="Y",IFERROR(1*'Daily Workforce'!$P38&gt;=2,FALSE()))))),1,0)</f>
        <v>1</v>
      </c>
      <c r="AX33" s="1" t="n">
        <f aca="false">IF(AND('Daily Workforce'!$N39="Y",'Daily Workforce'!$B39&lt;&gt;"",COUNTIF('Daily Schedule'!$F$5:$F36,'Daily Workforce'!$B39)=0,IF('Daily Schedule'!$A37=45,'Daily Workforce'!$J39="Y",IF(OR('Daily Schedule'!$A37=4,'Daily Schedule'!$A37=8),IF(OR(WEEKDAY('Daily Schedule'!$B$2,2)=1,WEEKDAY('Daily Schedule'!$B$2,2)=4,WEEKDAY('Daily Schedule'!$B$2,2)=5,WEEKDAY('Daily Schedule'!$B$2,2)=7),IFERROR(1*'Daily Workforce'!$K39&gt;=3,FALSE()),IFERROR(1*'Daily Workforce'!$K39&gt;=2,FALSE())),IF(AND('Daily Schedule'!$A37&gt;=46,'Daily Schedule'!$A37&lt;=52),'Daily Workforce'!$M39="Y",IFERROR(1*'Daily Workforce'!$P39&gt;=2,FALSE()))))),1,0)</f>
        <v>1</v>
      </c>
      <c r="AY33" s="1" t="n">
        <f aca="false">IF(AND('Daily Workforce'!$N40="Y",'Daily Workforce'!$B40&lt;&gt;"",COUNTIF('Daily Schedule'!$F$5:$F36,'Daily Workforce'!$B40)=0,IF('Daily Schedule'!$A37=45,'Daily Workforce'!$J40="Y",IF(OR('Daily Schedule'!$A37=4,'Daily Schedule'!$A37=8),IF(OR(WEEKDAY('Daily Schedule'!$B$2,2)=1,WEEKDAY('Daily Schedule'!$B$2,2)=4,WEEKDAY('Daily Schedule'!$B$2,2)=5,WEEKDAY('Daily Schedule'!$B$2,2)=7),IFERROR(1*'Daily Workforce'!$K40&gt;=3,FALSE()),IFERROR(1*'Daily Workforce'!$K40&gt;=2,FALSE())),IF(AND('Daily Schedule'!$A37&gt;=46,'Daily Schedule'!$A37&lt;=52),'Daily Workforce'!$M40="Y",IFERROR(1*'Daily Workforce'!$P40&gt;=2,FALSE()))))),1,0)</f>
        <v>1</v>
      </c>
      <c r="AZ33" s="1" t="n">
        <f aca="false">IF(AND('Daily Workforce'!$N41="Y",'Daily Workforce'!$B41&lt;&gt;"",COUNTIF('Daily Schedule'!$F$5:$F36,'Daily Workforce'!$B41)=0,IF('Daily Schedule'!$A37=45,'Daily Workforce'!$J41="Y",IF(OR('Daily Schedule'!$A37=4,'Daily Schedule'!$A37=8),IF(OR(WEEKDAY('Daily Schedule'!$B$2,2)=1,WEEKDAY('Daily Schedule'!$B$2,2)=4,WEEKDAY('Daily Schedule'!$B$2,2)=5,WEEKDAY('Daily Schedule'!$B$2,2)=7),IFERROR(1*'Daily Workforce'!$K41&gt;=3,FALSE()),IFERROR(1*'Daily Workforce'!$K41&gt;=2,FALSE())),IF(AND('Daily Schedule'!$A37&gt;=46,'Daily Schedule'!$A37&lt;=52),'Daily Workforce'!$M41="Y",IFERROR(1*'Daily Workforce'!$P41&gt;=2,FALSE()))))),1,0)</f>
        <v>1</v>
      </c>
      <c r="BA33" s="1" t="n">
        <f aca="false">IF(AND('Daily Workforce'!$N42="Y",'Daily Workforce'!$B42&lt;&gt;"",COUNTIF('Daily Schedule'!$F$5:$F36,'Daily Workforce'!$B42)=0,IF('Daily Schedule'!$A37=45,'Daily Workforce'!$J42="Y",IF(OR('Daily Schedule'!$A37=4,'Daily Schedule'!$A37=8),IF(OR(WEEKDAY('Daily Schedule'!$B$2,2)=1,WEEKDAY('Daily Schedule'!$B$2,2)=4,WEEKDAY('Daily Schedule'!$B$2,2)=5,WEEKDAY('Daily Schedule'!$B$2,2)=7),IFERROR(1*'Daily Workforce'!$K42&gt;=3,FALSE()),IFERROR(1*'Daily Workforce'!$K42&gt;=2,FALSE())),IF(AND('Daily Schedule'!$A37&gt;=46,'Daily Schedule'!$A37&lt;=52),'Daily Workforce'!$M42="Y",IFERROR(1*'Daily Workforce'!$P42&gt;=2,FALSE()))))),1,0)</f>
        <v>1</v>
      </c>
      <c r="BB33" s="1" t="n">
        <f aca="false">IF(AND('Daily Workforce'!$N43="Y",'Daily Workforce'!$B43&lt;&gt;"",COUNTIF('Daily Schedule'!$F$5:$F36,'Daily Workforce'!$B43)=0,IF('Daily Schedule'!$A37=45,'Daily Workforce'!$J43="Y",IF(OR('Daily Schedule'!$A37=4,'Daily Schedule'!$A37=8),IF(OR(WEEKDAY('Daily Schedule'!$B$2,2)=1,WEEKDAY('Daily Schedule'!$B$2,2)=4,WEEKDAY('Daily Schedule'!$B$2,2)=5,WEEKDAY('Daily Schedule'!$B$2,2)=7),IFERROR(1*'Daily Workforce'!$K43&gt;=3,FALSE()),IFERROR(1*'Daily Workforce'!$K43&gt;=2,FALSE())),IF(AND('Daily Schedule'!$A37&gt;=46,'Daily Schedule'!$A37&lt;=52),'Daily Workforce'!$M43="Y",IFERROR(1*'Daily Workforce'!$P43&gt;=2,FALSE()))))),1,0)</f>
        <v>1</v>
      </c>
      <c r="BC33" s="1" t="n">
        <f aca="false">IF(AND('Daily Workforce'!$N44="Y",'Daily Workforce'!$B44&lt;&gt;"",COUNTIF('Daily Schedule'!$F$5:$F36,'Daily Workforce'!$B44)=0,IF('Daily Schedule'!$A37=45,'Daily Workforce'!$J44="Y",IF(OR('Daily Schedule'!$A37=4,'Daily Schedule'!$A37=8),IF(OR(WEEKDAY('Daily Schedule'!$B$2,2)=1,WEEKDAY('Daily Schedule'!$B$2,2)=4,WEEKDAY('Daily Schedule'!$B$2,2)=5,WEEKDAY('Daily Schedule'!$B$2,2)=7),IFERROR(1*'Daily Workforce'!$K44&gt;=3,FALSE()),IFERROR(1*'Daily Workforce'!$K44&gt;=2,FALSE())),IF(AND('Daily Schedule'!$A37&gt;=46,'Daily Schedule'!$A37&lt;=52),'Daily Workforce'!$M44="Y",IFERROR(1*'Daily Workforce'!$P44&gt;=2,FALSE()))))),1,0)</f>
        <v>1</v>
      </c>
      <c r="BD33" s="1" t="n">
        <f aca="false">IF(AND('Daily Workforce'!$N45="Y",'Daily Workforce'!$B45&lt;&gt;"",COUNTIF('Daily Schedule'!$F$5:$F36,'Daily Workforce'!$B45)=0,IF('Daily Schedule'!$A37=45,'Daily Workforce'!$J45="Y",IF(OR('Daily Schedule'!$A37=4,'Daily Schedule'!$A37=8),IF(OR(WEEKDAY('Daily Schedule'!$B$2,2)=1,WEEKDAY('Daily Schedule'!$B$2,2)=4,WEEKDAY('Daily Schedule'!$B$2,2)=5,WEEKDAY('Daily Schedule'!$B$2,2)=7),IFERROR(1*'Daily Workforce'!$K45&gt;=3,FALSE()),IFERROR(1*'Daily Workforce'!$K45&gt;=2,FALSE())),IF(AND('Daily Schedule'!$A37&gt;=46,'Daily Schedule'!$A37&lt;=52),'Daily Workforce'!$M45="Y",IFERROR(1*'Daily Workforce'!$P45&gt;=2,FALSE()))))),1,0)</f>
        <v>1</v>
      </c>
      <c r="BE33" s="1" t="n">
        <f aca="false">IF(AND('Daily Workforce'!$N46="Y",'Daily Workforce'!$B46&lt;&gt;"",COUNTIF('Daily Schedule'!$F$5:$F36,'Daily Workforce'!$B46)=0,IF('Daily Schedule'!$A37=45,'Daily Workforce'!$J46="Y",IF(OR('Daily Schedule'!$A37=4,'Daily Schedule'!$A37=8),IF(OR(WEEKDAY('Daily Schedule'!$B$2,2)=1,WEEKDAY('Daily Schedule'!$B$2,2)=4,WEEKDAY('Daily Schedule'!$B$2,2)=5,WEEKDAY('Daily Schedule'!$B$2,2)=7),IFERROR(1*'Daily Workforce'!$K46&gt;=3,FALSE()),IFERROR(1*'Daily Workforce'!$K46&gt;=2,FALSE())),IF(AND('Daily Schedule'!$A37&gt;=46,'Daily Schedule'!$A37&lt;=52),'Daily Workforce'!$M46="Y",IFERROR(1*'Daily Workforce'!$P46&gt;=2,FALSE()))))),1,0)</f>
        <v>1</v>
      </c>
      <c r="BF33" s="1" t="n">
        <f aca="false">IF(AND('Daily Workforce'!$N47="Y",'Daily Workforce'!$B47&lt;&gt;"",COUNTIF('Daily Schedule'!$F$5:$F36,'Daily Workforce'!$B47)=0,IF('Daily Schedule'!$A37=45,'Daily Workforce'!$J47="Y",IF(OR('Daily Schedule'!$A37=4,'Daily Schedule'!$A37=8),IF(OR(WEEKDAY('Daily Schedule'!$B$2,2)=1,WEEKDAY('Daily Schedule'!$B$2,2)=4,WEEKDAY('Daily Schedule'!$B$2,2)=5,WEEKDAY('Daily Schedule'!$B$2,2)=7),IFERROR(1*'Daily Workforce'!$K47&gt;=3,FALSE()),IFERROR(1*'Daily Workforce'!$K47&gt;=2,FALSE())),IF(AND('Daily Schedule'!$A37&gt;=46,'Daily Schedule'!$A37&lt;=52),'Daily Workforce'!$M47="Y",IFERROR(1*'Daily Workforce'!$P47&gt;=2,FALSE()))))),1,0)</f>
        <v>0</v>
      </c>
      <c r="BG33" s="1" t="n">
        <f aca="false">IF(AND('Daily Workforce'!$N48="Y",'Daily Workforce'!$B48&lt;&gt;"",COUNTIF('Daily Schedule'!$F$5:$F36,'Daily Workforce'!$B48)=0,IF('Daily Schedule'!$A37=45,'Daily Workforce'!$J48="Y",IF(OR('Daily Schedule'!$A37=4,'Daily Schedule'!$A37=8),IF(OR(WEEKDAY('Daily Schedule'!$B$2,2)=1,WEEKDAY('Daily Schedule'!$B$2,2)=4,WEEKDAY('Daily Schedule'!$B$2,2)=5,WEEKDAY('Daily Schedule'!$B$2,2)=7),IFERROR(1*'Daily Workforce'!$K48&gt;=3,FALSE()),IFERROR(1*'Daily Workforce'!$K48&gt;=2,FALSE())),IF(AND('Daily Schedule'!$A37&gt;=46,'Daily Schedule'!$A37&lt;=52),'Daily Workforce'!$M48="Y",IFERROR(1*'Daily Workforce'!$P48&gt;=2,FALSE()))))),1,0)</f>
        <v>1</v>
      </c>
      <c r="BH33" s="1" t="n">
        <f aca="false">IF(AND('Daily Workforce'!$N49="Y",'Daily Workforce'!$B49&lt;&gt;"",COUNTIF('Daily Schedule'!$F$5:$F36,'Daily Workforce'!$B49)=0,IF('Daily Schedule'!$A37=45,'Daily Workforce'!$J49="Y",IF(OR('Daily Schedule'!$A37=4,'Daily Schedule'!$A37=8),IF(OR(WEEKDAY('Daily Schedule'!$B$2,2)=1,WEEKDAY('Daily Schedule'!$B$2,2)=4,WEEKDAY('Daily Schedule'!$B$2,2)=5,WEEKDAY('Daily Schedule'!$B$2,2)=7),IFERROR(1*'Daily Workforce'!$K49&gt;=3,FALSE()),IFERROR(1*'Daily Workforce'!$K49&gt;=2,FALSE())),IF(AND('Daily Schedule'!$A37&gt;=46,'Daily Schedule'!$A37&lt;=52),'Daily Workforce'!$M49="Y",IFERROR(1*'Daily Workforce'!$P49&gt;=2,FALSE()))))),1,0)</f>
        <v>1</v>
      </c>
      <c r="BI33" s="1" t="n">
        <f aca="false">IF(AND('Daily Workforce'!$N50="Y",'Daily Workforce'!$B50&lt;&gt;"",COUNTIF('Daily Schedule'!$F$5:$F36,'Daily Workforce'!$B50)=0,IF('Daily Schedule'!$A37=45,'Daily Workforce'!$J50="Y",IF(OR('Daily Schedule'!$A37=4,'Daily Schedule'!$A37=8),IF(OR(WEEKDAY('Daily Schedule'!$B$2,2)=1,WEEKDAY('Daily Schedule'!$B$2,2)=4,WEEKDAY('Daily Schedule'!$B$2,2)=5,WEEKDAY('Daily Schedule'!$B$2,2)=7),IFERROR(1*'Daily Workforce'!$K50&gt;=3,FALSE()),IFERROR(1*'Daily Workforce'!$K50&gt;=2,FALSE())),IF(AND('Daily Schedule'!$A37&gt;=46,'Daily Schedule'!$A37&lt;=52),'Daily Workforce'!$M50="Y",IFERROR(1*'Daily Workforce'!$P50&gt;=2,FALSE()))))),1,0)</f>
        <v>0</v>
      </c>
      <c r="BJ33" s="1" t="n">
        <f aca="false">IF(AND('Daily Workforce'!$N51="Y",'Daily Workforce'!$B51&lt;&gt;"",COUNTIF('Daily Schedule'!$F$5:$F36,'Daily Workforce'!$B51)=0,IF('Daily Schedule'!$A37=45,'Daily Workforce'!$J51="Y",IF(OR('Daily Schedule'!$A37=4,'Daily Schedule'!$A37=8),IF(OR(WEEKDAY('Daily Schedule'!$B$2,2)=1,WEEKDAY('Daily Schedule'!$B$2,2)=4,WEEKDAY('Daily Schedule'!$B$2,2)=5,WEEKDAY('Daily Schedule'!$B$2,2)=7),IFERROR(1*'Daily Workforce'!$K51&gt;=3,FALSE()),IFERROR(1*'Daily Workforce'!$K51&gt;=2,FALSE())),IF(AND('Daily Schedule'!$A37&gt;=46,'Daily Schedule'!$A37&lt;=52),'Daily Workforce'!$M51="Y",IFERROR(1*'Daily Workforce'!$P51&gt;=2,FALSE()))))),1,0)</f>
        <v>1</v>
      </c>
      <c r="BK33" s="1" t="n">
        <f aca="false">IF(AND('Daily Workforce'!$N52="Y",'Daily Workforce'!$B52&lt;&gt;"",COUNTIF('Daily Schedule'!$F$5:$F36,'Daily Workforce'!$B52)=0,IF('Daily Schedule'!$A37=45,'Daily Workforce'!$J52="Y",IF(OR('Daily Schedule'!$A37=4,'Daily Schedule'!$A37=8),IF(OR(WEEKDAY('Daily Schedule'!$B$2,2)=1,WEEKDAY('Daily Schedule'!$B$2,2)=4,WEEKDAY('Daily Schedule'!$B$2,2)=5,WEEKDAY('Daily Schedule'!$B$2,2)=7),IFERROR(1*'Daily Workforce'!$K52&gt;=3,FALSE()),IFERROR(1*'Daily Workforce'!$K52&gt;=2,FALSE())),IF(AND('Daily Schedule'!$A37&gt;=46,'Daily Schedule'!$A37&lt;=52),'Daily Workforce'!$M52="Y",IFERROR(1*'Daily Workforce'!$P52&gt;=2,FALSE()))))),1,0)</f>
        <v>1</v>
      </c>
      <c r="BL33" s="1" t="n">
        <f aca="false">IF(AND('Daily Workforce'!$N53="Y",'Daily Workforce'!$B53&lt;&gt;"",COUNTIF('Daily Schedule'!$F$5:$F36,'Daily Workforce'!$B53)=0,IF('Daily Schedule'!$A37=45,'Daily Workforce'!$J53="Y",IF(OR('Daily Schedule'!$A37=4,'Daily Schedule'!$A37=8),IF(OR(WEEKDAY('Daily Schedule'!$B$2,2)=1,WEEKDAY('Daily Schedule'!$B$2,2)=4,WEEKDAY('Daily Schedule'!$B$2,2)=5,WEEKDAY('Daily Schedule'!$B$2,2)=7),IFERROR(1*'Daily Workforce'!$K53&gt;=3,FALSE()),IFERROR(1*'Daily Workforce'!$K53&gt;=2,FALSE())),IF(AND('Daily Schedule'!$A37&gt;=46,'Daily Schedule'!$A37&lt;=52),'Daily Workforce'!$M53="Y",IFERROR(1*'Daily Workforce'!$P53&gt;=2,FALSE()))))),1,0)</f>
        <v>1</v>
      </c>
      <c r="BM33" s="1" t="n">
        <f aca="false">IF(AND('Daily Workforce'!$N54="Y",'Daily Workforce'!$B54&lt;&gt;"",COUNTIF('Daily Schedule'!$F$5:$F36,'Daily Workforce'!$B54)=0,IF('Daily Schedule'!$A37=45,'Daily Workforce'!$J54="Y",IF(OR('Daily Schedule'!$A37=4,'Daily Schedule'!$A37=8),IF(OR(WEEKDAY('Daily Schedule'!$B$2,2)=1,WEEKDAY('Daily Schedule'!$B$2,2)=4,WEEKDAY('Daily Schedule'!$B$2,2)=5,WEEKDAY('Daily Schedule'!$B$2,2)=7),IFERROR(1*'Daily Workforce'!$K54&gt;=3,FALSE()),IFERROR(1*'Daily Workforce'!$K54&gt;=2,FALSE())),IF(AND('Daily Schedule'!$A37&gt;=46,'Daily Schedule'!$A37&lt;=52),'Daily Workforce'!$M54="Y",IFERROR(1*'Daily Workforce'!$P54&gt;=2,FALSE()))))),1,0)</f>
        <v>1</v>
      </c>
      <c r="BN33" s="1" t="n">
        <f aca="false">IF(AND('Daily Workforce'!$N55="Y",'Daily Workforce'!$B55&lt;&gt;"",COUNTIF('Daily Schedule'!$F$5:$F36,'Daily Workforce'!$B55)=0,IF('Daily Schedule'!$A37=45,'Daily Workforce'!$J55="Y",IF(OR('Daily Schedule'!$A37=4,'Daily Schedule'!$A37=8),IF(OR(WEEKDAY('Daily Schedule'!$B$2,2)=1,WEEKDAY('Daily Schedule'!$B$2,2)=4,WEEKDAY('Daily Schedule'!$B$2,2)=5,WEEKDAY('Daily Schedule'!$B$2,2)=7),IFERROR(1*'Daily Workforce'!$K55&gt;=3,FALSE()),IFERROR(1*'Daily Workforce'!$K55&gt;=2,FALSE())),IF(AND('Daily Schedule'!$A37&gt;=46,'Daily Schedule'!$A37&lt;=52),'Daily Workforce'!$M55="Y",IFERROR(1*'Daily Workforce'!$P55&gt;=2,FALSE()))))),1,0)</f>
        <v>1</v>
      </c>
      <c r="BO33" s="1" t="n">
        <f aca="false">IF(AND('Daily Workforce'!$N56="Y",'Daily Workforce'!$B56&lt;&gt;"",COUNTIF('Daily Schedule'!$F$5:$F36,'Daily Workforce'!$B56)=0,IF('Daily Schedule'!$A37=45,'Daily Workforce'!$J56="Y",IF(OR('Daily Schedule'!$A37=4,'Daily Schedule'!$A37=8),IF(OR(WEEKDAY('Daily Schedule'!$B$2,2)=1,WEEKDAY('Daily Schedule'!$B$2,2)=4,WEEKDAY('Daily Schedule'!$B$2,2)=5,WEEKDAY('Daily Schedule'!$B$2,2)=7),IFERROR(1*'Daily Workforce'!$K56&gt;=3,FALSE()),IFERROR(1*'Daily Workforce'!$K56&gt;=2,FALSE())),IF(AND('Daily Schedule'!$A37&gt;=46,'Daily Schedule'!$A37&lt;=52),'Daily Workforce'!$M56="Y",IFERROR(1*'Daily Workforce'!$P56&gt;=2,FALSE()))))),1,0)</f>
        <v>1</v>
      </c>
      <c r="BP33" s="1" t="n">
        <f aca="false">IF(AND('Daily Workforce'!$N57="Y",'Daily Workforce'!$B57&lt;&gt;"",COUNTIF('Daily Schedule'!$F$5:$F36,'Daily Workforce'!$B57)=0,IF('Daily Schedule'!$A37=45,'Daily Workforce'!$J57="Y",IF(OR('Daily Schedule'!$A37=4,'Daily Schedule'!$A37=8),IF(OR(WEEKDAY('Daily Schedule'!$B$2,2)=1,WEEKDAY('Daily Schedule'!$B$2,2)=4,WEEKDAY('Daily Schedule'!$B$2,2)=5,WEEKDAY('Daily Schedule'!$B$2,2)=7),IFERROR(1*'Daily Workforce'!$K57&gt;=3,FALSE()),IFERROR(1*'Daily Workforce'!$K57&gt;=2,FALSE())),IF(AND('Daily Schedule'!$A37&gt;=46,'Daily Schedule'!$A37&lt;=52),'Daily Workforce'!$M57="Y",IFERROR(1*'Daily Workforce'!$P57&gt;=2,FALSE()))))),1,0)</f>
        <v>0</v>
      </c>
      <c r="BQ33" s="1" t="n">
        <f aca="false">IF(AND('Daily Workforce'!$N58="Y",'Daily Workforce'!$B58&lt;&gt;"",COUNTIF('Daily Schedule'!$F$5:$F36,'Daily Workforce'!$B58)=0,IF('Daily Schedule'!$A37=45,'Daily Workforce'!$J58="Y",IF(OR('Daily Schedule'!$A37=4,'Daily Schedule'!$A37=8),IF(OR(WEEKDAY('Daily Schedule'!$B$2,2)=1,WEEKDAY('Daily Schedule'!$B$2,2)=4,WEEKDAY('Daily Schedule'!$B$2,2)=5,WEEKDAY('Daily Schedule'!$B$2,2)=7),IFERROR(1*'Daily Workforce'!$K58&gt;=3,FALSE()),IFERROR(1*'Daily Workforce'!$K58&gt;=2,FALSE())),IF(AND('Daily Schedule'!$A37&gt;=46,'Daily Schedule'!$A37&lt;=52),'Daily Workforce'!$M58="Y",IFERROR(1*'Daily Workforce'!$P58&gt;=2,FALSE()))))),1,0)</f>
        <v>1</v>
      </c>
      <c r="BR33" s="1" t="n">
        <f aca="false">IF(AND('Daily Workforce'!$N59="Y",'Daily Workforce'!$B59&lt;&gt;"",COUNTIF('Daily Schedule'!$F$5:$F36,'Daily Workforce'!$B59)=0,IF('Daily Schedule'!$A37=45,'Daily Workforce'!$J59="Y",IF(OR('Daily Schedule'!$A37=4,'Daily Schedule'!$A37=8),IF(OR(WEEKDAY('Daily Schedule'!$B$2,2)=1,WEEKDAY('Daily Schedule'!$B$2,2)=4,WEEKDAY('Daily Schedule'!$B$2,2)=5,WEEKDAY('Daily Schedule'!$B$2,2)=7),IFERROR(1*'Daily Workforce'!$K59&gt;=3,FALSE()),IFERROR(1*'Daily Workforce'!$K59&gt;=2,FALSE())),IF(AND('Daily Schedule'!$A37&gt;=46,'Daily Schedule'!$A37&lt;=52),'Daily Workforce'!$M59="Y",IFERROR(1*'Daily Workforce'!$P59&gt;=2,FALSE()))))),1,0)</f>
        <v>1</v>
      </c>
      <c r="BS33" s="1" t="n">
        <f aca="false">IF(AND('Daily Workforce'!$N60="Y",'Daily Workforce'!$B60&lt;&gt;"",COUNTIF('Daily Schedule'!$F$5:$F36,'Daily Workforce'!$B60)=0,IF('Daily Schedule'!$A37=45,'Daily Workforce'!$J60="Y",IF(OR('Daily Schedule'!$A37=4,'Daily Schedule'!$A37=8),IF(OR(WEEKDAY('Daily Schedule'!$B$2,2)=1,WEEKDAY('Daily Schedule'!$B$2,2)=4,WEEKDAY('Daily Schedule'!$B$2,2)=5,WEEKDAY('Daily Schedule'!$B$2,2)=7),IFERROR(1*'Daily Workforce'!$K60&gt;=3,FALSE()),IFERROR(1*'Daily Workforce'!$K60&gt;=2,FALSE())),IF(AND('Daily Schedule'!$A37&gt;=46,'Daily Schedule'!$A37&lt;=52),'Daily Workforce'!$M60="Y",IFERROR(1*'Daily Workforce'!$P60&gt;=2,FALSE()))))),1,0)</f>
        <v>1</v>
      </c>
      <c r="BT33" s="1" t="n">
        <f aca="false">IF(AND('Daily Workforce'!$N61="Y",'Daily Workforce'!$B61&lt;&gt;"",COUNTIF('Daily Schedule'!$F$5:$F36,'Daily Workforce'!$B61)=0,IF('Daily Schedule'!$A37=45,'Daily Workforce'!$J61="Y",IF(OR('Daily Schedule'!$A37=4,'Daily Schedule'!$A37=8),IF(OR(WEEKDAY('Daily Schedule'!$B$2,2)=1,WEEKDAY('Daily Schedule'!$B$2,2)=4,WEEKDAY('Daily Schedule'!$B$2,2)=5,WEEKDAY('Daily Schedule'!$B$2,2)=7),IFERROR(1*'Daily Workforce'!$K61&gt;=3,FALSE()),IFERROR(1*'Daily Workforce'!$K61&gt;=2,FALSE())),IF(AND('Daily Schedule'!$A37&gt;=46,'Daily Schedule'!$A37&lt;=52),'Daily Workforce'!$M61="Y",IFERROR(1*'Daily Workforce'!$P61&gt;=2,FALSE()))))),1,0)</f>
        <v>0</v>
      </c>
      <c r="BU33" s="1" t="n">
        <f aca="false">IF(AND('Daily Workforce'!$N62="Y",'Daily Workforce'!$B62&lt;&gt;"",COUNTIF('Daily Schedule'!$F$5:$F36,'Daily Workforce'!$B62)=0,IF('Daily Schedule'!$A37=45,'Daily Workforce'!$J62="Y",IF(OR('Daily Schedule'!$A37=4,'Daily Schedule'!$A37=8),IF(OR(WEEKDAY('Daily Schedule'!$B$2,2)=1,WEEKDAY('Daily Schedule'!$B$2,2)=4,WEEKDAY('Daily Schedule'!$B$2,2)=5,WEEKDAY('Daily Schedule'!$B$2,2)=7),IFERROR(1*'Daily Workforce'!$K62&gt;=3,FALSE()),IFERROR(1*'Daily Workforce'!$K62&gt;=2,FALSE())),IF(AND('Daily Schedule'!$A37&gt;=46,'Daily Schedule'!$A37&lt;=52),'Daily Workforce'!$M62="Y",IFERROR(1*'Daily Workforce'!$P62&gt;=2,FALSE()))))),1,0)</f>
        <v>1</v>
      </c>
      <c r="BV33" s="1" t="n">
        <f aca="false">IF(AND('Daily Workforce'!$N63="Y",'Daily Workforce'!$B63&lt;&gt;"",COUNTIF('Daily Schedule'!$F$5:$F36,'Daily Workforce'!$B63)=0,IF('Daily Schedule'!$A37=45,'Daily Workforce'!$J63="Y",IF(OR('Daily Schedule'!$A37=4,'Daily Schedule'!$A37=8),IF(OR(WEEKDAY('Daily Schedule'!$B$2,2)=1,WEEKDAY('Daily Schedule'!$B$2,2)=4,WEEKDAY('Daily Schedule'!$B$2,2)=5,WEEKDAY('Daily Schedule'!$B$2,2)=7),IFERROR(1*'Daily Workforce'!$K63&gt;=3,FALSE()),IFERROR(1*'Daily Workforce'!$K63&gt;=2,FALSE())),IF(AND('Daily Schedule'!$A37&gt;=46,'Daily Schedule'!$A37&lt;=52),'Daily Workforce'!$M63="Y",IFERROR(1*'Daily Workforce'!$P63&gt;=2,FALSE()))))),1,0)</f>
        <v>1</v>
      </c>
      <c r="BW33" s="1" t="n">
        <f aca="false">IF(AND('Daily Workforce'!$N64="Y",'Daily Workforce'!$B64&lt;&gt;"",COUNTIF('Daily Schedule'!$F$5:$F36,'Daily Workforce'!$B64)=0,IF('Daily Schedule'!$A37=45,'Daily Workforce'!$J64="Y",IF(OR('Daily Schedule'!$A37=4,'Daily Schedule'!$A37=8),IF(OR(WEEKDAY('Daily Schedule'!$B$2,2)=1,WEEKDAY('Daily Schedule'!$B$2,2)=4,WEEKDAY('Daily Schedule'!$B$2,2)=5,WEEKDAY('Daily Schedule'!$B$2,2)=7),IFERROR(1*'Daily Workforce'!$K64&gt;=3,FALSE()),IFERROR(1*'Daily Workforce'!$K64&gt;=2,FALSE())),IF(AND('Daily Schedule'!$A37&gt;=46,'Daily Schedule'!$A37&lt;=52),'Daily Workforce'!$M64="Y",IFERROR(1*'Daily Workforce'!$P64&gt;=2,FALSE()))))),1,0)</f>
        <v>1</v>
      </c>
      <c r="BX33" s="1" t="n">
        <f aca="false">IF(AND('Daily Workforce'!$N65="Y",'Daily Workforce'!$B65&lt;&gt;"",COUNTIF('Daily Schedule'!$F$5:$F36,'Daily Workforce'!$B65)=0,IF('Daily Schedule'!$A37=45,'Daily Workforce'!$J65="Y",IF(OR('Daily Schedule'!$A37=4,'Daily Schedule'!$A37=8),IF(OR(WEEKDAY('Daily Schedule'!$B$2,2)=1,WEEKDAY('Daily Schedule'!$B$2,2)=4,WEEKDAY('Daily Schedule'!$B$2,2)=5,WEEKDAY('Daily Schedule'!$B$2,2)=7),IFERROR(1*'Daily Workforce'!$K65&gt;=3,FALSE()),IFERROR(1*'Daily Workforce'!$K65&gt;=2,FALSE())),IF(AND('Daily Schedule'!$A37&gt;=46,'Daily Schedule'!$A37&lt;=52),'Daily Workforce'!$M65="Y",IFERROR(1*'Daily Workforce'!$P65&gt;=2,FALSE()))))),1,0)</f>
        <v>1</v>
      </c>
      <c r="BY33" s="1" t="n">
        <f aca="false">IF(AND('Daily Workforce'!$N66="Y",'Daily Workforce'!$B66&lt;&gt;"",COUNTIF('Daily Schedule'!$F$5:$F36,'Daily Workforce'!$B66)=0,IF('Daily Schedule'!$A37=45,'Daily Workforce'!$J66="Y",IF(OR('Daily Schedule'!$A37=4,'Daily Schedule'!$A37=8),IF(OR(WEEKDAY('Daily Schedule'!$B$2,2)=1,WEEKDAY('Daily Schedule'!$B$2,2)=4,WEEKDAY('Daily Schedule'!$B$2,2)=5,WEEKDAY('Daily Schedule'!$B$2,2)=7),IFERROR(1*'Daily Workforce'!$K66&gt;=3,FALSE()),IFERROR(1*'Daily Workforce'!$K66&gt;=2,FALSE())),IF(AND('Daily Schedule'!$A37&gt;=46,'Daily Schedule'!$A37&lt;=52),'Daily Workforce'!$M66="Y",IFERROR(1*'Daily Workforce'!$P66&gt;=2,FALSE()))))),1,0)</f>
        <v>1</v>
      </c>
      <c r="BZ33" s="1" t="n">
        <f aca="false">IF(AND('Daily Workforce'!$N67="Y",'Daily Workforce'!$B67&lt;&gt;"",COUNTIF('Daily Schedule'!$F$5:$F36,'Daily Workforce'!$B67)=0,IF('Daily Schedule'!$A37=45,'Daily Workforce'!$J67="Y",IF(OR('Daily Schedule'!$A37=4,'Daily Schedule'!$A37=8),IF(OR(WEEKDAY('Daily Schedule'!$B$2,2)=1,WEEKDAY('Daily Schedule'!$B$2,2)=4,WEEKDAY('Daily Schedule'!$B$2,2)=5,WEEKDAY('Daily Schedule'!$B$2,2)=7),IFERROR(1*'Daily Workforce'!$K67&gt;=3,FALSE()),IFERROR(1*'Daily Workforce'!$K67&gt;=2,FALSE())),IF(AND('Daily Schedule'!$A37&gt;=46,'Daily Schedule'!$A37&lt;=52),'Daily Workforce'!$M67="Y",IFERROR(1*'Daily Workforce'!$P67&gt;=2,FALSE()))))),1,0)</f>
        <v>1</v>
      </c>
      <c r="CA33" s="1" t="n">
        <f aca="false">IF(AND('Daily Workforce'!$N68="Y",'Daily Workforce'!$B68&lt;&gt;"",COUNTIF('Daily Schedule'!$F$5:$F36,'Daily Workforce'!$B68)=0,IF('Daily Schedule'!$A37=45,'Daily Workforce'!$J68="Y",IF(OR('Daily Schedule'!$A37=4,'Daily Schedule'!$A37=8),IF(OR(WEEKDAY('Daily Schedule'!$B$2,2)=1,WEEKDAY('Daily Schedule'!$B$2,2)=4,WEEKDAY('Daily Schedule'!$B$2,2)=5,WEEKDAY('Daily Schedule'!$B$2,2)=7),IFERROR(1*'Daily Workforce'!$K68&gt;=3,FALSE()),IFERROR(1*'Daily Workforce'!$K68&gt;=2,FALSE())),IF(AND('Daily Schedule'!$A37&gt;=46,'Daily Schedule'!$A37&lt;=52),'Daily Workforce'!$M68="Y",IFERROR(1*'Daily Workforce'!$P68&gt;=2,FALSE()))))),1,0)</f>
        <v>1</v>
      </c>
      <c r="CB33" s="1" t="n">
        <f aca="false">IF(AND('Daily Workforce'!$N69="Y",'Daily Workforce'!$B69&lt;&gt;"",COUNTIF('Daily Schedule'!$F$5:$F36,'Daily Workforce'!$B69)=0,IF('Daily Schedule'!$A37=45,'Daily Workforce'!$J69="Y",IF(OR('Daily Schedule'!$A37=4,'Daily Schedule'!$A37=8),IF(OR(WEEKDAY('Daily Schedule'!$B$2,2)=1,WEEKDAY('Daily Schedule'!$B$2,2)=4,WEEKDAY('Daily Schedule'!$B$2,2)=5,WEEKDAY('Daily Schedule'!$B$2,2)=7),IFERROR(1*'Daily Workforce'!$K69&gt;=3,FALSE()),IFERROR(1*'Daily Workforce'!$K69&gt;=2,FALSE())),IF(AND('Daily Schedule'!$A37&gt;=46,'Daily Schedule'!$A37&lt;=52),'Daily Workforce'!$M69="Y",IFERROR(1*'Daily Workforce'!$P69&gt;=2,FALSE()))))),1,0)</f>
        <v>1</v>
      </c>
      <c r="CC33" s="1" t="n">
        <f aca="false">IF(AND('Daily Workforce'!$N70="Y",'Daily Workforce'!$B70&lt;&gt;"",COUNTIF('Daily Schedule'!$F$5:$F36,'Daily Workforce'!$B70)=0,IF('Daily Schedule'!$A37=45,'Daily Workforce'!$J70="Y",IF(OR('Daily Schedule'!$A37=4,'Daily Schedule'!$A37=8),IF(OR(WEEKDAY('Daily Schedule'!$B$2,2)=1,WEEKDAY('Daily Schedule'!$B$2,2)=4,WEEKDAY('Daily Schedule'!$B$2,2)=5,WEEKDAY('Daily Schedule'!$B$2,2)=7),IFERROR(1*'Daily Workforce'!$K70&gt;=3,FALSE()),IFERROR(1*'Daily Workforce'!$K70&gt;=2,FALSE())),IF(AND('Daily Schedule'!$A37&gt;=46,'Daily Schedule'!$A37&lt;=52),'Daily Workforce'!$M70="Y",IFERROR(1*'Daily Workforce'!$P70&gt;=2,FALSE()))))),1,0)</f>
        <v>1</v>
      </c>
      <c r="CD33" s="1" t="n">
        <f aca="false">IF(AND('Daily Workforce'!$N71="Y",'Daily Workforce'!$B71&lt;&gt;"",COUNTIF('Daily Schedule'!$F$5:$F36,'Daily Workforce'!$B71)=0,IF('Daily Schedule'!$A37=45,'Daily Workforce'!$J71="Y",IF(OR('Daily Schedule'!$A37=4,'Daily Schedule'!$A37=8),IF(OR(WEEKDAY('Daily Schedule'!$B$2,2)=1,WEEKDAY('Daily Schedule'!$B$2,2)=4,WEEKDAY('Daily Schedule'!$B$2,2)=5,WEEKDAY('Daily Schedule'!$B$2,2)=7),IFERROR(1*'Daily Workforce'!$K71&gt;=3,FALSE()),IFERROR(1*'Daily Workforce'!$K71&gt;=2,FALSE())),IF(AND('Daily Schedule'!$A37&gt;=46,'Daily Schedule'!$A37&lt;=52),'Daily Workforce'!$M71="Y",IFERROR(1*'Daily Workforce'!$P71&gt;=2,FALSE()))))),1,0)</f>
        <v>1</v>
      </c>
      <c r="CE33" s="1" t="n">
        <f aca="false">IF(AND('Daily Workforce'!$N72="Y",'Daily Workforce'!$B72&lt;&gt;"",COUNTIF('Daily Schedule'!$F$5:$F36,'Daily Workforce'!$B72)=0,IF('Daily Schedule'!$A37=45,'Daily Workforce'!$J72="Y",IF(OR('Daily Schedule'!$A37=4,'Daily Schedule'!$A37=8),IF(OR(WEEKDAY('Daily Schedule'!$B$2,2)=1,WEEKDAY('Daily Schedule'!$B$2,2)=4,WEEKDAY('Daily Schedule'!$B$2,2)=5,WEEKDAY('Daily Schedule'!$B$2,2)=7),IFERROR(1*'Daily Workforce'!$K72&gt;=3,FALSE()),IFERROR(1*'Daily Workforce'!$K72&gt;=2,FALSE())),IF(AND('Daily Schedule'!$A37&gt;=46,'Daily Schedule'!$A37&lt;=52),'Daily Workforce'!$M72="Y",IFERROR(1*'Daily Workforce'!$P72&gt;=2,FALSE()))))),1,0)</f>
        <v>1</v>
      </c>
      <c r="CF33" s="1" t="n">
        <f aca="false">IF(AND('Daily Workforce'!$N73="Y",'Daily Workforce'!$B73&lt;&gt;"",COUNTIF('Daily Schedule'!$F$5:$F36,'Daily Workforce'!$B73)=0,IF('Daily Schedule'!$A37=45,'Daily Workforce'!$J73="Y",IF(OR('Daily Schedule'!$A37=4,'Daily Schedule'!$A37=8),IF(OR(WEEKDAY('Daily Schedule'!$B$2,2)=1,WEEKDAY('Daily Schedule'!$B$2,2)=4,WEEKDAY('Daily Schedule'!$B$2,2)=5,WEEKDAY('Daily Schedule'!$B$2,2)=7),IFERROR(1*'Daily Workforce'!$K73&gt;=3,FALSE()),IFERROR(1*'Daily Workforce'!$K73&gt;=2,FALSE())),IF(AND('Daily Schedule'!$A37&gt;=46,'Daily Schedule'!$A37&lt;=52),'Daily Workforce'!$M73="Y",IFERROR(1*'Daily Workforce'!$P73&gt;=2,FALSE()))))),1,0)</f>
        <v>1</v>
      </c>
      <c r="CG33" s="1" t="n">
        <f aca="false">IF(AND('Daily Workforce'!$N74="Y",'Daily Workforce'!$B74&lt;&gt;"",COUNTIF('Daily Schedule'!$F$5:$F36,'Daily Workforce'!$B74)=0,IF('Daily Schedule'!$A37=45,'Daily Workforce'!$J74="Y",IF(OR('Daily Schedule'!$A37=4,'Daily Schedule'!$A37=8),IF(OR(WEEKDAY('Daily Schedule'!$B$2,2)=1,WEEKDAY('Daily Schedule'!$B$2,2)=4,WEEKDAY('Daily Schedule'!$B$2,2)=5,WEEKDAY('Daily Schedule'!$B$2,2)=7),IFERROR(1*'Daily Workforce'!$K74&gt;=3,FALSE()),IFERROR(1*'Daily Workforce'!$K74&gt;=2,FALSE())),IF(AND('Daily Schedule'!$A37&gt;=46,'Daily Schedule'!$A37&lt;=52),'Daily Workforce'!$M74="Y",IFERROR(1*'Daily Workforce'!$P74&gt;=2,FALSE()))))),1,0)</f>
        <v>1</v>
      </c>
      <c r="CH33" s="1" t="n">
        <f aca="false">IF(AND('Daily Workforce'!$N75="Y",'Daily Workforce'!$B75&lt;&gt;"",COUNTIF('Daily Schedule'!$F$5:$F36,'Daily Workforce'!$B75)=0,IF('Daily Schedule'!$A37=45,'Daily Workforce'!$J75="Y",IF(OR('Daily Schedule'!$A37=4,'Daily Schedule'!$A37=8),IF(OR(WEEKDAY('Daily Schedule'!$B$2,2)=1,WEEKDAY('Daily Schedule'!$B$2,2)=4,WEEKDAY('Daily Schedule'!$B$2,2)=5,WEEKDAY('Daily Schedule'!$B$2,2)=7),IFERROR(1*'Daily Workforce'!$K75&gt;=3,FALSE()),IFERROR(1*'Daily Workforce'!$K75&gt;=2,FALSE())),IF(AND('Daily Schedule'!$A37&gt;=46,'Daily Schedule'!$A37&lt;=52),'Daily Workforce'!$M75="Y",IFERROR(1*'Daily Workforce'!$P75&gt;=2,FALSE()))))),1,0)</f>
        <v>1</v>
      </c>
      <c r="CI33" s="1" t="n">
        <f aca="false">IF(AND('Daily Workforce'!$N76="Y",'Daily Workforce'!$B76&lt;&gt;"",COUNTIF('Daily Schedule'!$F$5:$F36,'Daily Workforce'!$B76)=0,IF('Daily Schedule'!$A37=45,'Daily Workforce'!$J76="Y",IF(OR('Daily Schedule'!$A37=4,'Daily Schedule'!$A37=8),IF(OR(WEEKDAY('Daily Schedule'!$B$2,2)=1,WEEKDAY('Daily Schedule'!$B$2,2)=4,WEEKDAY('Daily Schedule'!$B$2,2)=5,WEEKDAY('Daily Schedule'!$B$2,2)=7),IFERROR(1*'Daily Workforce'!$K76&gt;=3,FALSE()),IFERROR(1*'Daily Workforce'!$K76&gt;=2,FALSE())),IF(AND('Daily Schedule'!$A37&gt;=46,'Daily Schedule'!$A37&lt;=52),'Daily Workforce'!$M76="Y",IFERROR(1*'Daily Workforce'!$P76&gt;=2,FALSE()))))),1,0)</f>
        <v>1</v>
      </c>
      <c r="CJ33" s="1" t="n">
        <f aca="false">IF(AND('Daily Workforce'!$N77="Y",'Daily Workforce'!$B77&lt;&gt;"",COUNTIF('Daily Schedule'!$F$5:$F36,'Daily Workforce'!$B77)=0,IF('Daily Schedule'!$A37=45,'Daily Workforce'!$J77="Y",IF(OR('Daily Schedule'!$A37=4,'Daily Schedule'!$A37=8),IF(OR(WEEKDAY('Daily Schedule'!$B$2,2)=1,WEEKDAY('Daily Schedule'!$B$2,2)=4,WEEKDAY('Daily Schedule'!$B$2,2)=5,WEEKDAY('Daily Schedule'!$B$2,2)=7),IFERROR(1*'Daily Workforce'!$K77&gt;=3,FALSE()),IFERROR(1*'Daily Workforce'!$K77&gt;=2,FALSE())),IF(AND('Daily Schedule'!$A37&gt;=46,'Daily Schedule'!$A37&lt;=52),'Daily Workforce'!$M77="Y",IFERROR(1*'Daily Workforce'!$P77&gt;=2,FALSE()))))),1,0)</f>
        <v>1</v>
      </c>
      <c r="CK33" s="1" t="n">
        <f aca="false">IF(AND('Daily Workforce'!$N78="Y",'Daily Workforce'!$B78&lt;&gt;"",COUNTIF('Daily Schedule'!$F$5:$F36,'Daily Workforce'!$B78)=0,IF('Daily Schedule'!$A37=45,'Daily Workforce'!$J78="Y",IF(OR('Daily Schedule'!$A37=4,'Daily Schedule'!$A37=8),IF(OR(WEEKDAY('Daily Schedule'!$B$2,2)=1,WEEKDAY('Daily Schedule'!$B$2,2)=4,WEEKDAY('Daily Schedule'!$B$2,2)=5,WEEKDAY('Daily Schedule'!$B$2,2)=7),IFERROR(1*'Daily Workforce'!$K78&gt;=3,FALSE()),IFERROR(1*'Daily Workforce'!$K78&gt;=2,FALSE())),IF(AND('Daily Schedule'!$A37&gt;=46,'Daily Schedule'!$A37&lt;=52),'Daily Workforce'!$M78="Y",IFERROR(1*'Daily Workforce'!$P78&gt;=2,FALSE()))))),1,0)</f>
        <v>1</v>
      </c>
      <c r="CL33" s="1" t="n">
        <f aca="false">IF(AND('Daily Workforce'!$N79="Y",'Daily Workforce'!$B79&lt;&gt;"",COUNTIF('Daily Schedule'!$F$5:$F36,'Daily Workforce'!$B79)=0,IF('Daily Schedule'!$A37=45,'Daily Workforce'!$J79="Y",IF(OR('Daily Schedule'!$A37=4,'Daily Schedule'!$A37=8),IF(OR(WEEKDAY('Daily Schedule'!$B$2,2)=1,WEEKDAY('Daily Schedule'!$B$2,2)=4,WEEKDAY('Daily Schedule'!$B$2,2)=5,WEEKDAY('Daily Schedule'!$B$2,2)=7),IFERROR(1*'Daily Workforce'!$K79&gt;=3,FALSE()),IFERROR(1*'Daily Workforce'!$K79&gt;=2,FALSE())),IF(AND('Daily Schedule'!$A37&gt;=46,'Daily Schedule'!$A37&lt;=52),'Daily Workforce'!$M79="Y",IFERROR(1*'Daily Workforce'!$P79&gt;=2,FALSE()))))),1,0)</f>
        <v>1</v>
      </c>
      <c r="CM33" s="1" t="n">
        <f aca="false">IF(AND('Daily Workforce'!$N80="Y",'Daily Workforce'!$B80&lt;&gt;"",COUNTIF('Daily Schedule'!$F$5:$F36,'Daily Workforce'!$B80)=0,IF('Daily Schedule'!$A37=45,'Daily Workforce'!$J80="Y",IF(OR('Daily Schedule'!$A37=4,'Daily Schedule'!$A37=8),IF(OR(WEEKDAY('Daily Schedule'!$B$2,2)=1,WEEKDAY('Daily Schedule'!$B$2,2)=4,WEEKDAY('Daily Schedule'!$B$2,2)=5,WEEKDAY('Daily Schedule'!$B$2,2)=7),IFERROR(1*'Daily Workforce'!$K80&gt;=3,FALSE()),IFERROR(1*'Daily Workforce'!$K80&gt;=2,FALSE())),IF(AND('Daily Schedule'!$A37&gt;=46,'Daily Schedule'!$A37&lt;=52),'Daily Workforce'!$M80="Y",IFERROR(1*'Daily Workforce'!$P80&gt;=2,FALSE()))))),1,0)</f>
        <v>1</v>
      </c>
      <c r="CN33" s="1" t="n">
        <f aca="false">IF(AND('Daily Workforce'!$N81="Y",'Daily Workforce'!$B81&lt;&gt;"",COUNTIF('Daily Schedule'!$F$5:$F36,'Daily Workforce'!$B81)=0,IF('Daily Schedule'!$A37=45,'Daily Workforce'!$J81="Y",IF(OR('Daily Schedule'!$A37=4,'Daily Schedule'!$A37=8),IF(OR(WEEKDAY('Daily Schedule'!$B$2,2)=1,WEEKDAY('Daily Schedule'!$B$2,2)=4,WEEKDAY('Daily Schedule'!$B$2,2)=5,WEEKDAY('Daily Schedule'!$B$2,2)=7),IFERROR(1*'Daily Workforce'!$K81&gt;=3,FALSE()),IFERROR(1*'Daily Workforce'!$K81&gt;=2,FALSE())),IF(AND('Daily Schedule'!$A37&gt;=46,'Daily Schedule'!$A37&lt;=52),'Daily Workforce'!$M81="Y",IFERROR(1*'Daily Workforce'!$P81&gt;=2,FALSE()))))),1,0)</f>
        <v>1</v>
      </c>
      <c r="CO33" s="1" t="n">
        <f aca="false">IF(AND('Daily Workforce'!$N82="Y",'Daily Workforce'!$B82&lt;&gt;"",COUNTIF('Daily Schedule'!$F$5:$F36,'Daily Workforce'!$B82)=0,IF('Daily Schedule'!$A37=45,'Daily Workforce'!$J82="Y",IF(OR('Daily Schedule'!$A37=4,'Daily Schedule'!$A37=8),IF(OR(WEEKDAY('Daily Schedule'!$B$2,2)=1,WEEKDAY('Daily Schedule'!$B$2,2)=4,WEEKDAY('Daily Schedule'!$B$2,2)=5,WEEKDAY('Daily Schedule'!$B$2,2)=7),IFERROR(1*'Daily Workforce'!$K82&gt;=3,FALSE()),IFERROR(1*'Daily Workforce'!$K82&gt;=2,FALSE())),IF(AND('Daily Schedule'!$A37&gt;=46,'Daily Schedule'!$A37&lt;=52),'Daily Workforce'!$M82="Y",IFERROR(1*'Daily Workforce'!$P82&gt;=2,FALSE()))))),1,0)</f>
        <v>1</v>
      </c>
      <c r="CP33" s="1" t="n">
        <f aca="false">IF(AND('Daily Workforce'!$N83="Y",'Daily Workforce'!$B83&lt;&gt;"",COUNTIF('Daily Schedule'!$F$5:$F36,'Daily Workforce'!$B83)=0,IF('Daily Schedule'!$A37=45,'Daily Workforce'!$J83="Y",IF(OR('Daily Schedule'!$A37=4,'Daily Schedule'!$A37=8),IF(OR(WEEKDAY('Daily Schedule'!$B$2,2)=1,WEEKDAY('Daily Schedule'!$B$2,2)=4,WEEKDAY('Daily Schedule'!$B$2,2)=5,WEEKDAY('Daily Schedule'!$B$2,2)=7),IFERROR(1*'Daily Workforce'!$K83&gt;=3,FALSE()),IFERROR(1*'Daily Workforce'!$K83&gt;=2,FALSE())),IF(AND('Daily Schedule'!$A37&gt;=46,'Daily Schedule'!$A37&lt;=52),'Daily Workforce'!$M83="Y",IFERROR(1*'Daily Workforce'!$P83&gt;=2,FALSE()))))),1,0)</f>
        <v>0</v>
      </c>
      <c r="CQ33" s="1" t="n">
        <f aca="false">IF(AND('Daily Workforce'!$N84="Y",'Daily Workforce'!$B84&lt;&gt;"",COUNTIF('Daily Schedule'!$F$5:$F36,'Daily Workforce'!$B84)=0,IF('Daily Schedule'!$A37=45,'Daily Workforce'!$J84="Y",IF(OR('Daily Schedule'!$A37=4,'Daily Schedule'!$A37=8),IF(OR(WEEKDAY('Daily Schedule'!$B$2,2)=1,WEEKDAY('Daily Schedule'!$B$2,2)=4,WEEKDAY('Daily Schedule'!$B$2,2)=5,WEEKDAY('Daily Schedule'!$B$2,2)=7),IFERROR(1*'Daily Workforce'!$K84&gt;=3,FALSE()),IFERROR(1*'Daily Workforce'!$K84&gt;=2,FALSE())),IF(AND('Daily Schedule'!$A37&gt;=46,'Daily Schedule'!$A37&lt;=52),'Daily Workforce'!$M84="Y",IFERROR(1*'Daily Workforce'!$P84&gt;=2,FALSE()))))),1,0)</f>
        <v>1</v>
      </c>
      <c r="CR33" s="1" t="n">
        <f aca="false">IF(AND('Daily Workforce'!$N85="Y",'Daily Workforce'!$B85&lt;&gt;"",COUNTIF('Daily Schedule'!$F$5:$F36,'Daily Workforce'!$B85)=0,IF('Daily Schedule'!$A37=45,'Daily Workforce'!$J85="Y",IF(OR('Daily Schedule'!$A37=4,'Daily Schedule'!$A37=8),IF(OR(WEEKDAY('Daily Schedule'!$B$2,2)=1,WEEKDAY('Daily Schedule'!$B$2,2)=4,WEEKDAY('Daily Schedule'!$B$2,2)=5,WEEKDAY('Daily Schedule'!$B$2,2)=7),IFERROR(1*'Daily Workforce'!$K85&gt;=3,FALSE()),IFERROR(1*'Daily Workforce'!$K85&gt;=2,FALSE())),IF(AND('Daily Schedule'!$A37&gt;=46,'Daily Schedule'!$A37&lt;=52),'Daily Workforce'!$M85="Y",IFERROR(1*'Daily Workforce'!$P85&gt;=2,FALSE()))))),1,0)</f>
        <v>0</v>
      </c>
      <c r="CS33" s="1" t="n">
        <f aca="false">IF(AND('Daily Workforce'!$N86="Y",'Daily Workforce'!$B86&lt;&gt;"",COUNTIF('Daily Schedule'!$F$5:$F36,'Daily Workforce'!$B86)=0,IF('Daily Schedule'!$A37=45,'Daily Workforce'!$J86="Y",IF(OR('Daily Schedule'!$A37=4,'Daily Schedule'!$A37=8),IF(OR(WEEKDAY('Daily Schedule'!$B$2,2)=1,WEEKDAY('Daily Schedule'!$B$2,2)=4,WEEKDAY('Daily Schedule'!$B$2,2)=5,WEEKDAY('Daily Schedule'!$B$2,2)=7),IFERROR(1*'Daily Workforce'!$K86&gt;=3,FALSE()),IFERROR(1*'Daily Workforce'!$K86&gt;=2,FALSE())),IF(AND('Daily Schedule'!$A37&gt;=46,'Daily Schedule'!$A37&lt;=52),'Daily Workforce'!$M86="Y",IFERROR(1*'Daily Workforce'!$P86&gt;=2,FALSE()))))),1,0)</f>
        <v>1</v>
      </c>
      <c r="CT33" s="1" t="n">
        <f aca="false">IF(AND('Daily Workforce'!$N87="Y",'Daily Workforce'!$B87&lt;&gt;"",COUNTIF('Daily Schedule'!$F$5:$F36,'Daily Workforce'!$B87)=0,IF('Daily Schedule'!$A37=45,'Daily Workforce'!$J87="Y",IF(OR('Daily Schedule'!$A37=4,'Daily Schedule'!$A37=8),IF(OR(WEEKDAY('Daily Schedule'!$B$2,2)=1,WEEKDAY('Daily Schedule'!$B$2,2)=4,WEEKDAY('Daily Schedule'!$B$2,2)=5,WEEKDAY('Daily Schedule'!$B$2,2)=7),IFERROR(1*'Daily Workforce'!$K87&gt;=3,FALSE()),IFERROR(1*'Daily Workforce'!$K87&gt;=2,FALSE())),IF(AND('Daily Schedule'!$A37&gt;=46,'Daily Schedule'!$A37&lt;=52),'Daily Workforce'!$M87="Y",IFERROR(1*'Daily Workforce'!$P87&gt;=2,FALSE()))))),1,0)</f>
        <v>1</v>
      </c>
      <c r="CU33" s="1" t="n">
        <f aca="false">IF(AND('Daily Workforce'!$N88="Y",'Daily Workforce'!$B88&lt;&gt;"",COUNTIF('Daily Schedule'!$F$5:$F36,'Daily Workforce'!$B88)=0,IF('Daily Schedule'!$A37=45,'Daily Workforce'!$J88="Y",IF(OR('Daily Schedule'!$A37=4,'Daily Schedule'!$A37=8),IF(OR(WEEKDAY('Daily Schedule'!$B$2,2)=1,WEEKDAY('Daily Schedule'!$B$2,2)=4,WEEKDAY('Daily Schedule'!$B$2,2)=5,WEEKDAY('Daily Schedule'!$B$2,2)=7),IFERROR(1*'Daily Workforce'!$K88&gt;=3,FALSE()),IFERROR(1*'Daily Workforce'!$K88&gt;=2,FALSE())),IF(AND('Daily Schedule'!$A37&gt;=46,'Daily Schedule'!$A37&lt;=52),'Daily Workforce'!$M88="Y",IFERROR(1*'Daily Workforce'!$P88&gt;=2,FALSE()))))),1,0)</f>
        <v>1</v>
      </c>
      <c r="CV33" s="1" t="n">
        <f aca="false">IF(AND('Daily Workforce'!$N89="Y",'Daily Workforce'!$B89&lt;&gt;"",COUNTIF('Daily Schedule'!$F$5:$F36,'Daily Workforce'!$B89)=0,IF('Daily Schedule'!$A37=45,'Daily Workforce'!$J89="Y",IF(OR('Daily Schedule'!$A37=4,'Daily Schedule'!$A37=8),IF(OR(WEEKDAY('Daily Schedule'!$B$2,2)=1,WEEKDAY('Daily Schedule'!$B$2,2)=4,WEEKDAY('Daily Schedule'!$B$2,2)=5,WEEKDAY('Daily Schedule'!$B$2,2)=7),IFERROR(1*'Daily Workforce'!$K89&gt;=3,FALSE()),IFERROR(1*'Daily Workforce'!$K89&gt;=2,FALSE())),IF(AND('Daily Schedule'!$A37&gt;=46,'Daily Schedule'!$A37&lt;=52),'Daily Workforce'!$M89="Y",IFERROR(1*'Daily Workforce'!$P89&gt;=2,FALSE()))))),1,0)</f>
        <v>1</v>
      </c>
      <c r="CW33" s="1" t="n">
        <f aca="false">IF(AND('Daily Workforce'!$N90="Y",'Daily Workforce'!$B90&lt;&gt;"",COUNTIF('Daily Schedule'!$F$5:$F36,'Daily Workforce'!$B90)=0,IF('Daily Schedule'!$A37=45,'Daily Workforce'!$J90="Y",IF(OR('Daily Schedule'!$A37=4,'Daily Schedule'!$A37=8),IF(OR(WEEKDAY('Daily Schedule'!$B$2,2)=1,WEEKDAY('Daily Schedule'!$B$2,2)=4,WEEKDAY('Daily Schedule'!$B$2,2)=5,WEEKDAY('Daily Schedule'!$B$2,2)=7),IFERROR(1*'Daily Workforce'!$K90&gt;=3,FALSE()),IFERROR(1*'Daily Workforce'!$K90&gt;=2,FALSE())),IF(AND('Daily Schedule'!$A37&gt;=46,'Daily Schedule'!$A37&lt;=52),'Daily Workforce'!$M90="Y",IFERROR(1*'Daily Workforce'!$P90&gt;=2,FALSE()))))),1,0)</f>
        <v>1</v>
      </c>
      <c r="CX33" s="1" t="n">
        <f aca="false">IF(AND('Daily Workforce'!$N91="Y",'Daily Workforce'!$B91&lt;&gt;"",COUNTIF('Daily Schedule'!$F$5:$F36,'Daily Workforce'!$B91)=0,IF('Daily Schedule'!$A37=45,'Daily Workforce'!$J91="Y",IF(OR('Daily Schedule'!$A37=4,'Daily Schedule'!$A37=8),IF(OR(WEEKDAY('Daily Schedule'!$B$2,2)=1,WEEKDAY('Daily Schedule'!$B$2,2)=4,WEEKDAY('Daily Schedule'!$B$2,2)=5,WEEKDAY('Daily Schedule'!$B$2,2)=7),IFERROR(1*'Daily Workforce'!$K91&gt;=3,FALSE()),IFERROR(1*'Daily Workforce'!$K91&gt;=2,FALSE())),IF(AND('Daily Schedule'!$A37&gt;=46,'Daily Schedule'!$A37&lt;=52),'Daily Workforce'!$M91="Y",IFERROR(1*'Daily Workforce'!$P91&gt;=2,FALSE()))))),1,0)</f>
        <v>1</v>
      </c>
      <c r="CY33" s="1" t="n">
        <f aca="false">IF(AND('Daily Workforce'!$N92="Y",'Daily Workforce'!$B92&lt;&gt;"",COUNTIF('Daily Schedule'!$F$5:$F36,'Daily Workforce'!$B92)=0,IF('Daily Schedule'!$A37=45,'Daily Workforce'!$J92="Y",IF(OR('Daily Schedule'!$A37=4,'Daily Schedule'!$A37=8),IF(OR(WEEKDAY('Daily Schedule'!$B$2,2)=1,WEEKDAY('Daily Schedule'!$B$2,2)=4,WEEKDAY('Daily Schedule'!$B$2,2)=5,WEEKDAY('Daily Schedule'!$B$2,2)=7),IFERROR(1*'Daily Workforce'!$K92&gt;=3,FALSE()),IFERROR(1*'Daily Workforce'!$K92&gt;=2,FALSE())),IF(AND('Daily Schedule'!$A37&gt;=46,'Daily Schedule'!$A37&lt;=52),'Daily Workforce'!$M92="Y",IFERROR(1*'Daily Workforce'!$P92&gt;=2,FALSE()))))),1,0)</f>
        <v>1</v>
      </c>
      <c r="CZ33" s="1" t="n">
        <f aca="false">IF(AND('Daily Workforce'!$N93="Y",'Daily Workforce'!$B93&lt;&gt;"",COUNTIF('Daily Schedule'!$F$5:$F36,'Daily Workforce'!$B93)=0,IF('Daily Schedule'!$A37=45,'Daily Workforce'!$J93="Y",IF(OR('Daily Schedule'!$A37=4,'Daily Schedule'!$A37=8),IF(OR(WEEKDAY('Daily Schedule'!$B$2,2)=1,WEEKDAY('Daily Schedule'!$B$2,2)=4,WEEKDAY('Daily Schedule'!$B$2,2)=5,WEEKDAY('Daily Schedule'!$B$2,2)=7),IFERROR(1*'Daily Workforce'!$K93&gt;=3,FALSE()),IFERROR(1*'Daily Workforce'!$K93&gt;=2,FALSE())),IF(AND('Daily Schedule'!$A37&gt;=46,'Daily Schedule'!$A37&lt;=52),'Daily Workforce'!$M93="Y",IFERROR(1*'Daily Workforce'!$P93&gt;=2,FALSE()))))),1,0)</f>
        <v>1</v>
      </c>
      <c r="DA33" s="1" t="n">
        <f aca="false">IF(AND('Daily Workforce'!$N94="Y",'Daily Workforce'!$B94&lt;&gt;"",COUNTIF('Daily Schedule'!$F$5:$F36,'Daily Workforce'!$B94)=0,IF('Daily Schedule'!$A37=45,'Daily Workforce'!$J94="Y",IF(OR('Daily Schedule'!$A37=4,'Daily Schedule'!$A37=8),IF(OR(WEEKDAY('Daily Schedule'!$B$2,2)=1,WEEKDAY('Daily Schedule'!$B$2,2)=4,WEEKDAY('Daily Schedule'!$B$2,2)=5,WEEKDAY('Daily Schedule'!$B$2,2)=7),IFERROR(1*'Daily Workforce'!$K94&gt;=3,FALSE()),IFERROR(1*'Daily Workforce'!$K94&gt;=2,FALSE())),IF(AND('Daily Schedule'!$A37&gt;=46,'Daily Schedule'!$A37&lt;=52),'Daily Workforce'!$M94="Y",IFERROR(1*'Daily Workforce'!$P94&gt;=2,FALSE()))))),1,0)</f>
        <v>1</v>
      </c>
      <c r="DB33" s="1" t="n">
        <f aca="false">IF(AND('Daily Workforce'!$N95="Y",'Daily Workforce'!$B95&lt;&gt;"",COUNTIF('Daily Schedule'!$F$5:$F36,'Daily Workforce'!$B95)=0,IF('Daily Schedule'!$A37=45,'Daily Workforce'!$J95="Y",IF(OR('Daily Schedule'!$A37=4,'Daily Schedule'!$A37=8),IF(OR(WEEKDAY('Daily Schedule'!$B$2,2)=1,WEEKDAY('Daily Schedule'!$B$2,2)=4,WEEKDAY('Daily Schedule'!$B$2,2)=5,WEEKDAY('Daily Schedule'!$B$2,2)=7),IFERROR(1*'Daily Workforce'!$K95&gt;=3,FALSE()),IFERROR(1*'Daily Workforce'!$K95&gt;=2,FALSE())),IF(AND('Daily Schedule'!$A37&gt;=46,'Daily Schedule'!$A37&lt;=52),'Daily Workforce'!$M95="Y",IFERROR(1*'Daily Workforce'!$P95&gt;=2,FALSE()))))),1,0)</f>
        <v>1</v>
      </c>
      <c r="DC33" s="1" t="n">
        <f aca="false">IF(AND('Daily Workforce'!$N96="Y",'Daily Workforce'!$B96&lt;&gt;"",COUNTIF('Daily Schedule'!$F$5:$F36,'Daily Workforce'!$B96)=0,IF('Daily Schedule'!$A37=45,'Daily Workforce'!$J96="Y",IF(OR('Daily Schedule'!$A37=4,'Daily Schedule'!$A37=8),IF(OR(WEEKDAY('Daily Schedule'!$B$2,2)=1,WEEKDAY('Daily Schedule'!$B$2,2)=4,WEEKDAY('Daily Schedule'!$B$2,2)=5,WEEKDAY('Daily Schedule'!$B$2,2)=7),IFERROR(1*'Daily Workforce'!$K96&gt;=3,FALSE()),IFERROR(1*'Daily Workforce'!$K96&gt;=2,FALSE())),IF(AND('Daily Schedule'!$A37&gt;=46,'Daily Schedule'!$A37&lt;=52),'Daily Workforce'!$M96="Y",IFERROR(1*'Daily Workforce'!$P96&gt;=2,FALSE()))))),1,0)</f>
        <v>1</v>
      </c>
      <c r="DD33" s="1" t="n">
        <f aca="false">IF(AND('Daily Workforce'!$N97="Y",'Daily Workforce'!$B97&lt;&gt;"",COUNTIF('Daily Schedule'!$F$5:$F36,'Daily Workforce'!$B97)=0,IF('Daily Schedule'!$A37=45,'Daily Workforce'!$J97="Y",IF(OR('Daily Schedule'!$A37=4,'Daily Schedule'!$A37=8),IF(OR(WEEKDAY('Daily Schedule'!$B$2,2)=1,WEEKDAY('Daily Schedule'!$B$2,2)=4,WEEKDAY('Daily Schedule'!$B$2,2)=5,WEEKDAY('Daily Schedule'!$B$2,2)=7),IFERROR(1*'Daily Workforce'!$K97&gt;=3,FALSE()),IFERROR(1*'Daily Workforce'!$K97&gt;=2,FALSE())),IF(AND('Daily Schedule'!$A37&gt;=46,'Daily Schedule'!$A37&lt;=52),'Daily Workforce'!$M97="Y",IFERROR(1*'Daily Workforce'!$P97&gt;=2,FALSE()))))),1,0)</f>
        <v>1</v>
      </c>
      <c r="DE33" s="1" t="n">
        <f aca="false">IF(AND('Daily Workforce'!$N98="Y",'Daily Workforce'!$B98&lt;&gt;"",COUNTIF('Daily Schedule'!$F$5:$F36,'Daily Workforce'!$B98)=0,IF('Daily Schedule'!$A37=45,'Daily Workforce'!$J98="Y",IF(OR('Daily Schedule'!$A37=4,'Daily Schedule'!$A37=8),IF(OR(WEEKDAY('Daily Schedule'!$B$2,2)=1,WEEKDAY('Daily Schedule'!$B$2,2)=4,WEEKDAY('Daily Schedule'!$B$2,2)=5,WEEKDAY('Daily Schedule'!$B$2,2)=7),IFERROR(1*'Daily Workforce'!$K98&gt;=3,FALSE()),IFERROR(1*'Daily Workforce'!$K98&gt;=2,FALSE())),IF(AND('Daily Schedule'!$A37&gt;=46,'Daily Schedule'!$A37&lt;=52),'Daily Workforce'!$M98="Y",IFERROR(1*'Daily Workforce'!$P98&gt;=2,FALSE()))))),1,0)</f>
        <v>1</v>
      </c>
      <c r="DF33" s="1" t="n">
        <f aca="false">IF(AND('Daily Workforce'!$N99="Y",'Daily Workforce'!$B99&lt;&gt;"",COUNTIF('Daily Schedule'!$F$5:$F36,'Daily Workforce'!$B99)=0,IF('Daily Schedule'!$A37=45,'Daily Workforce'!$J99="Y",IF(OR('Daily Schedule'!$A37=4,'Daily Schedule'!$A37=8),IF(OR(WEEKDAY('Daily Schedule'!$B$2,2)=1,WEEKDAY('Daily Schedule'!$B$2,2)=4,WEEKDAY('Daily Schedule'!$B$2,2)=5,WEEKDAY('Daily Schedule'!$B$2,2)=7),IFERROR(1*'Daily Workforce'!$K99&gt;=3,FALSE()),IFERROR(1*'Daily Workforce'!$K99&gt;=2,FALSE())),IF(AND('Daily Schedule'!$A37&gt;=46,'Daily Schedule'!$A37&lt;=52),'Daily Workforce'!$M99="Y",IFERROR(1*'Daily Workforce'!$P99&gt;=2,FALSE()))))),1,0)</f>
        <v>1</v>
      </c>
      <c r="DG33" s="1" t="n">
        <f aca="false">IF(AND('Daily Workforce'!$N100="Y",'Daily Workforce'!$B100&lt;&gt;"",COUNTIF('Daily Schedule'!$F$5:$F36,'Daily Workforce'!$B100)=0,IF('Daily Schedule'!$A37=45,'Daily Workforce'!$J100="Y",IF(OR('Daily Schedule'!$A37=4,'Daily Schedule'!$A37=8),IF(OR(WEEKDAY('Daily Schedule'!$B$2,2)=1,WEEKDAY('Daily Schedule'!$B$2,2)=4,WEEKDAY('Daily Schedule'!$B$2,2)=5,WEEKDAY('Daily Schedule'!$B$2,2)=7),IFERROR(1*'Daily Workforce'!$K100&gt;=3,FALSE()),IFERROR(1*'Daily Workforce'!$K100&gt;=2,FALSE())),IF(AND('Daily Schedule'!$A37&gt;=46,'Daily Schedule'!$A37&lt;=52),'Daily Workforce'!$M100="Y",IFERROR(1*'Daily Workforce'!$P100&gt;=2,FALSE()))))),1,0)</f>
        <v>1</v>
      </c>
      <c r="DH33" s="1" t="n">
        <f aca="false">IF(AND('Daily Workforce'!$N101="Y",'Daily Workforce'!$B101&lt;&gt;"",COUNTIF('Daily Schedule'!$F$5:$F36,'Daily Workforce'!$B101)=0,IF('Daily Schedule'!$A37=45,'Daily Workforce'!$J101="Y",IF(OR('Daily Schedule'!$A37=4,'Daily Schedule'!$A37=8),IF(OR(WEEKDAY('Daily Schedule'!$B$2,2)=1,WEEKDAY('Daily Schedule'!$B$2,2)=4,WEEKDAY('Daily Schedule'!$B$2,2)=5,WEEKDAY('Daily Schedule'!$B$2,2)=7),IFERROR(1*'Daily Workforce'!$K101&gt;=3,FALSE()),IFERROR(1*'Daily Workforce'!$K101&gt;=2,FALSE())),IF(AND('Daily Schedule'!$A37&gt;=46,'Daily Schedule'!$A37&lt;=52),'Daily Workforce'!$M101="Y",IFERROR(1*'Daily Workforce'!$P101&gt;=2,FALSE()))))),1,0)</f>
        <v>1</v>
      </c>
      <c r="DI33" s="1" t="n">
        <f aca="false">IF(AND('Daily Workforce'!$N102="Y",'Daily Workforce'!$B102&lt;&gt;"",COUNTIF('Daily Schedule'!$F$5:$F36,'Daily Workforce'!$B102)=0,IF('Daily Schedule'!$A37=45,'Daily Workforce'!$J102="Y",IF(OR('Daily Schedule'!$A37=4,'Daily Schedule'!$A37=8),IF(OR(WEEKDAY('Daily Schedule'!$B$2,2)=1,WEEKDAY('Daily Schedule'!$B$2,2)=4,WEEKDAY('Daily Schedule'!$B$2,2)=5,WEEKDAY('Daily Schedule'!$B$2,2)=7),IFERROR(1*'Daily Workforce'!$K102&gt;=3,FALSE()),IFERROR(1*'Daily Workforce'!$K102&gt;=2,FALSE())),IF(AND('Daily Schedule'!$A37&gt;=46,'Daily Schedule'!$A37&lt;=52),'Daily Workforce'!$M102="Y",IFERROR(1*'Daily Workforce'!$P102&gt;=2,FALSE()))))),1,0)</f>
        <v>1</v>
      </c>
      <c r="DJ33" s="1" t="n">
        <f aca="false">IF(AND('Daily Workforce'!$N103="Y",'Daily Workforce'!$B103&lt;&gt;"",COUNTIF('Daily Schedule'!$F$5:$F36,'Daily Workforce'!$B103)=0,IF('Daily Schedule'!$A37=45,'Daily Workforce'!$J103="Y",IF(OR('Daily Schedule'!$A37=4,'Daily Schedule'!$A37=8),IF(OR(WEEKDAY('Daily Schedule'!$B$2,2)=1,WEEKDAY('Daily Schedule'!$B$2,2)=4,WEEKDAY('Daily Schedule'!$B$2,2)=5,WEEKDAY('Daily Schedule'!$B$2,2)=7),IFERROR(1*'Daily Workforce'!$K103&gt;=3,FALSE()),IFERROR(1*'Daily Workforce'!$K103&gt;=2,FALSE())),IF(AND('Daily Schedule'!$A37&gt;=46,'Daily Schedule'!$A37&lt;=52),'Daily Workforce'!$M103="Y",IFERROR(1*'Daily Workforce'!$P103&gt;=2,FALSE()))))),1,0)</f>
        <v>1</v>
      </c>
      <c r="DK33" s="1" t="n">
        <f aca="false">IF(AND('Daily Workforce'!$N104="Y",'Daily Workforce'!$B104&lt;&gt;"",COUNTIF('Daily Schedule'!$F$5:$F36,'Daily Workforce'!$B104)=0,IF('Daily Schedule'!$A37=45,'Daily Workforce'!$J104="Y",IF(OR('Daily Schedule'!$A37=4,'Daily Schedule'!$A37=8),IF(OR(WEEKDAY('Daily Schedule'!$B$2,2)=1,WEEKDAY('Daily Schedule'!$B$2,2)=4,WEEKDAY('Daily Schedule'!$B$2,2)=5,WEEKDAY('Daily Schedule'!$B$2,2)=7),IFERROR(1*'Daily Workforce'!$K104&gt;=3,FALSE()),IFERROR(1*'Daily Workforce'!$K104&gt;=2,FALSE())),IF(AND('Daily Schedule'!$A37&gt;=46,'Daily Schedule'!$A37&lt;=52),'Daily Workforce'!$M104="Y",IFERROR(1*'Daily Workforce'!$P104&gt;=2,FALSE()))))),1,0)</f>
        <v>1</v>
      </c>
      <c r="DL33" s="1" t="n">
        <f aca="false">IF(AND('Daily Workforce'!$N105="Y",'Daily Workforce'!$B105&lt;&gt;"",COUNTIF('Daily Schedule'!$F$5:$F36,'Daily Workforce'!$B105)=0,IF('Daily Schedule'!$A37=45,'Daily Workforce'!$J105="Y",IF(OR('Daily Schedule'!$A37=4,'Daily Schedule'!$A37=8),IF(OR(WEEKDAY('Daily Schedule'!$B$2,2)=1,WEEKDAY('Daily Schedule'!$B$2,2)=4,WEEKDAY('Daily Schedule'!$B$2,2)=5,WEEKDAY('Daily Schedule'!$B$2,2)=7),IFERROR(1*'Daily Workforce'!$K105&gt;=3,FALSE()),IFERROR(1*'Daily Workforce'!$K105&gt;=2,FALSE())),IF(AND('Daily Schedule'!$A37&gt;=46,'Daily Schedule'!$A37&lt;=52),'Daily Workforce'!$M105="Y",IFERROR(1*'Daily Workforce'!$P105&gt;=2,FALSE()))))),1,0)</f>
        <v>0</v>
      </c>
      <c r="DM33" s="1" t="n">
        <f aca="false">IF(AND('Daily Workforce'!$N106="Y",'Daily Workforce'!$B106&lt;&gt;"",COUNTIF('Daily Schedule'!$F$5:$F36,'Daily Workforce'!$B106)=0,IF('Daily Schedule'!$A37=45,'Daily Workforce'!$J106="Y",IF(OR('Daily Schedule'!$A37=4,'Daily Schedule'!$A37=8),IF(OR(WEEKDAY('Daily Schedule'!$B$2,2)=1,WEEKDAY('Daily Schedule'!$B$2,2)=4,WEEKDAY('Daily Schedule'!$B$2,2)=5,WEEKDAY('Daily Schedule'!$B$2,2)=7),IFERROR(1*'Daily Workforce'!$K106&gt;=3,FALSE()),IFERROR(1*'Daily Workforce'!$K106&gt;=2,FALSE())),IF(AND('Daily Schedule'!$A37&gt;=46,'Daily Schedule'!$A37&lt;=52),'Daily Workforce'!$M106="Y",IFERROR(1*'Daily Workforce'!$P106&gt;=2,FALSE()))))),1,0)</f>
        <v>1</v>
      </c>
      <c r="DN33" s="1" t="n">
        <f aca="false">IF(AND('Daily Workforce'!$N107="Y",'Daily Workforce'!$B107&lt;&gt;"",COUNTIF('Daily Schedule'!$F$5:$F36,'Daily Workforce'!$B107)=0,IF('Daily Schedule'!$A37=45,'Daily Workforce'!$J107="Y",IF(OR('Daily Schedule'!$A37=4,'Daily Schedule'!$A37=8),IF(OR(WEEKDAY('Daily Schedule'!$B$2,2)=1,WEEKDAY('Daily Schedule'!$B$2,2)=4,WEEKDAY('Daily Schedule'!$B$2,2)=5,WEEKDAY('Daily Schedule'!$B$2,2)=7),IFERROR(1*'Daily Workforce'!$K107&gt;=3,FALSE()),IFERROR(1*'Daily Workforce'!$K107&gt;=2,FALSE())),IF(AND('Daily Schedule'!$A37&gt;=46,'Daily Schedule'!$A37&lt;=52),'Daily Workforce'!$M107="Y",IFERROR(1*'Daily Workforce'!$P107&gt;=2,FALSE()))))),1,0)</f>
        <v>1</v>
      </c>
      <c r="DO33" s="1" t="n">
        <f aca="false">IF(AND('Daily Workforce'!$N108="Y",'Daily Workforce'!$B108&lt;&gt;"",COUNTIF('Daily Schedule'!$F$5:$F36,'Daily Workforce'!$B108)=0,IF('Daily Schedule'!$A37=45,'Daily Workforce'!$J108="Y",IF(OR('Daily Schedule'!$A37=4,'Daily Schedule'!$A37=8),IF(OR(WEEKDAY('Daily Schedule'!$B$2,2)=1,WEEKDAY('Daily Schedule'!$B$2,2)=4,WEEKDAY('Daily Schedule'!$B$2,2)=5,WEEKDAY('Daily Schedule'!$B$2,2)=7),IFERROR(1*'Daily Workforce'!$K108&gt;=3,FALSE()),IFERROR(1*'Daily Workforce'!$K108&gt;=2,FALSE())),IF(AND('Daily Schedule'!$A37&gt;=46,'Daily Schedule'!$A37&lt;=52),'Daily Workforce'!$M108="Y",IFERROR(1*'Daily Workforce'!$P108&gt;=2,FALSE()))))),1,0)</f>
        <v>1</v>
      </c>
      <c r="DP33" s="1" t="n">
        <f aca="false">IF(AND('Daily Workforce'!$N109="Y",'Daily Workforce'!$B109&lt;&gt;"",COUNTIF('Daily Schedule'!$F$5:$F36,'Daily Workforce'!$B109)=0,IF('Daily Schedule'!$A37=45,'Daily Workforce'!$J109="Y",IF(OR('Daily Schedule'!$A37=4,'Daily Schedule'!$A37=8),IF(OR(WEEKDAY('Daily Schedule'!$B$2,2)=1,WEEKDAY('Daily Schedule'!$B$2,2)=4,WEEKDAY('Daily Schedule'!$B$2,2)=5,WEEKDAY('Daily Schedule'!$B$2,2)=7),IFERROR(1*'Daily Workforce'!$K109&gt;=3,FALSE()),IFERROR(1*'Daily Workforce'!$K109&gt;=2,FALSE())),IF(AND('Daily Schedule'!$A37&gt;=46,'Daily Schedule'!$A37&lt;=52),'Daily Workforce'!$M109="Y",IFERROR(1*'Daily Workforce'!$P109&gt;=2,FALSE()))))),1,0)</f>
        <v>1</v>
      </c>
      <c r="DQ33" s="1" t="n">
        <f aca="false">IF(AND('Daily Workforce'!$N110="Y",'Daily Workforce'!$B110&lt;&gt;"",COUNTIF('Daily Schedule'!$F$5:$F36,'Daily Workforce'!$B110)=0,IF('Daily Schedule'!$A37=45,'Daily Workforce'!$J110="Y",IF(OR('Daily Schedule'!$A37=4,'Daily Schedule'!$A37=8),IF(OR(WEEKDAY('Daily Schedule'!$B$2,2)=1,WEEKDAY('Daily Schedule'!$B$2,2)=4,WEEKDAY('Daily Schedule'!$B$2,2)=5,WEEKDAY('Daily Schedule'!$B$2,2)=7),IFERROR(1*'Daily Workforce'!$K110&gt;=3,FALSE()),IFERROR(1*'Daily Workforce'!$K110&gt;=2,FALSE())),IF(AND('Daily Schedule'!$A37&gt;=46,'Daily Schedule'!$A37&lt;=52),'Daily Workforce'!$M110="Y",IFERROR(1*'Daily Workforce'!$P110&gt;=2,FALSE()))))),1,0)</f>
        <v>1</v>
      </c>
      <c r="DR33" s="1" t="n">
        <f aca="false">IF(AND('Daily Workforce'!$N111="Y",'Daily Workforce'!$B111&lt;&gt;"",COUNTIF('Daily Schedule'!$F$5:$F36,'Daily Workforce'!$B111)=0,IF('Daily Schedule'!$A37=45,'Daily Workforce'!$J111="Y",IF(OR('Daily Schedule'!$A37=4,'Daily Schedule'!$A37=8),IF(OR(WEEKDAY('Daily Schedule'!$B$2,2)=1,WEEKDAY('Daily Schedule'!$B$2,2)=4,WEEKDAY('Daily Schedule'!$B$2,2)=5,WEEKDAY('Daily Schedule'!$B$2,2)=7),IFERROR(1*'Daily Workforce'!$K111&gt;=3,FALSE()),IFERROR(1*'Daily Workforce'!$K111&gt;=2,FALSE())),IF(AND('Daily Schedule'!$A37&gt;=46,'Daily Schedule'!$A37&lt;=52),'Daily Workforce'!$M111="Y",IFERROR(1*'Daily Workforce'!$P111&gt;=2,FALSE()))))),1,0)</f>
        <v>1</v>
      </c>
      <c r="DS33" s="1" t="n">
        <f aca="false">IF(AND('Daily Workforce'!$N112="Y",'Daily Workforce'!$B112&lt;&gt;"",COUNTIF('Daily Schedule'!$F$5:$F36,'Daily Workforce'!$B112)=0,IF('Daily Schedule'!$A37=45,'Daily Workforce'!$J112="Y",IF(OR('Daily Schedule'!$A37=4,'Daily Schedule'!$A37=8),IF(OR(WEEKDAY('Daily Schedule'!$B$2,2)=1,WEEKDAY('Daily Schedule'!$B$2,2)=4,WEEKDAY('Daily Schedule'!$B$2,2)=5,WEEKDAY('Daily Schedule'!$B$2,2)=7),IFERROR(1*'Daily Workforce'!$K112&gt;=3,FALSE()),IFERROR(1*'Daily Workforce'!$K112&gt;=2,FALSE())),IF(AND('Daily Schedule'!$A37&gt;=46,'Daily Schedule'!$A37&lt;=52),'Daily Workforce'!$M112="Y",IFERROR(1*'Daily Workforce'!$P112&gt;=2,FALSE()))))),1,0)</f>
        <v>1</v>
      </c>
      <c r="DT33" s="1" t="n">
        <f aca="false">IF(AND('Daily Workforce'!$N113="Y",'Daily Workforce'!$B113&lt;&gt;"",COUNTIF('Daily Schedule'!$F$5:$F36,'Daily Workforce'!$B113)=0,IF('Daily Schedule'!$A37=45,'Daily Workforce'!$J113="Y",IF(OR('Daily Schedule'!$A37=4,'Daily Schedule'!$A37=8),IF(OR(WEEKDAY('Daily Schedule'!$B$2,2)=1,WEEKDAY('Daily Schedule'!$B$2,2)=4,WEEKDAY('Daily Schedule'!$B$2,2)=5,WEEKDAY('Daily Schedule'!$B$2,2)=7),IFERROR(1*'Daily Workforce'!$K113&gt;=3,FALSE()),IFERROR(1*'Daily Workforce'!$K113&gt;=2,FALSE())),IF(AND('Daily Schedule'!$A37&gt;=46,'Daily Schedule'!$A37&lt;=52),'Daily Workforce'!$M113="Y",IFERROR(1*'Daily Workforce'!$P113&gt;=2,FALSE()))))),1,0)</f>
        <v>1</v>
      </c>
      <c r="DU33" s="1" t="n">
        <f aca="false">IF(AND('Daily Workforce'!$N114="Y",'Daily Workforce'!$B114&lt;&gt;"",COUNTIF('Daily Schedule'!$F$5:$F36,'Daily Workforce'!$B114)=0,IF('Daily Schedule'!$A37=45,'Daily Workforce'!$J114="Y",IF(OR('Daily Schedule'!$A37=4,'Daily Schedule'!$A37=8),IF(OR(WEEKDAY('Daily Schedule'!$B$2,2)=1,WEEKDAY('Daily Schedule'!$B$2,2)=4,WEEKDAY('Daily Schedule'!$B$2,2)=5,WEEKDAY('Daily Schedule'!$B$2,2)=7),IFERROR(1*'Daily Workforce'!$K114&gt;=3,FALSE()),IFERROR(1*'Daily Workforce'!$K114&gt;=2,FALSE())),IF(AND('Daily Schedule'!$A37&gt;=46,'Daily Schedule'!$A37&lt;=52),'Daily Workforce'!$M114="Y",IFERROR(1*'Daily Workforce'!$P114&gt;=2,FALSE()))))),1,0)</f>
        <v>1</v>
      </c>
      <c r="DV33" s="1" t="n">
        <f aca="false">IF(AND('Daily Workforce'!$N115="Y",'Daily Workforce'!$B115&lt;&gt;"",COUNTIF('Daily Schedule'!$F$5:$F36,'Daily Workforce'!$B115)=0,IF('Daily Schedule'!$A37=45,'Daily Workforce'!$J115="Y",IF(OR('Daily Schedule'!$A37=4,'Daily Schedule'!$A37=8),IF(OR(WEEKDAY('Daily Schedule'!$B$2,2)=1,WEEKDAY('Daily Schedule'!$B$2,2)=4,WEEKDAY('Daily Schedule'!$B$2,2)=5,WEEKDAY('Daily Schedule'!$B$2,2)=7),IFERROR(1*'Daily Workforce'!$K115&gt;=3,FALSE()),IFERROR(1*'Daily Workforce'!$K115&gt;=2,FALSE())),IF(AND('Daily Schedule'!$A37&gt;=46,'Daily Schedule'!$A37&lt;=52),'Daily Workforce'!$M115="Y",IFERROR(1*'Daily Workforce'!$P115&gt;=2,FALSE()))))),1,0)</f>
        <v>1</v>
      </c>
      <c r="DW33" s="1" t="n">
        <f aca="false">IF(AND('Daily Workforce'!$N116="Y",'Daily Workforce'!$B116&lt;&gt;"",COUNTIF('Daily Schedule'!$F$5:$F36,'Daily Workforce'!$B116)=0,IF('Daily Schedule'!$A37=45,'Daily Workforce'!$J116="Y",IF(OR('Daily Schedule'!$A37=4,'Daily Schedule'!$A37=8),IF(OR(WEEKDAY('Daily Schedule'!$B$2,2)=1,WEEKDAY('Daily Schedule'!$B$2,2)=4,WEEKDAY('Daily Schedule'!$B$2,2)=5,WEEKDAY('Daily Schedule'!$B$2,2)=7),IFERROR(1*'Daily Workforce'!$K116&gt;=3,FALSE()),IFERROR(1*'Daily Workforce'!$K116&gt;=2,FALSE())),IF(AND('Daily Schedule'!$A37&gt;=46,'Daily Schedule'!$A37&lt;=52),'Daily Workforce'!$M116="Y",IFERROR(1*'Daily Workforce'!$P116&gt;=2,FALSE()))))),1,0)</f>
        <v>1</v>
      </c>
      <c r="DX33" s="1" t="n">
        <f aca="false">IF(AND('Daily Workforce'!$N117="Y",'Daily Workforce'!$B117&lt;&gt;"",COUNTIF('Daily Schedule'!$F$5:$F36,'Daily Workforce'!$B117)=0,IF('Daily Schedule'!$A37=45,'Daily Workforce'!$J117="Y",IF(OR('Daily Schedule'!$A37=4,'Daily Schedule'!$A37=8),IF(OR(WEEKDAY('Daily Schedule'!$B$2,2)=1,WEEKDAY('Daily Schedule'!$B$2,2)=4,WEEKDAY('Daily Schedule'!$B$2,2)=5,WEEKDAY('Daily Schedule'!$B$2,2)=7),IFERROR(1*'Daily Workforce'!$K117&gt;=3,FALSE()),IFERROR(1*'Daily Workforce'!$K117&gt;=2,FALSE())),IF(AND('Daily Schedule'!$A37&gt;=46,'Daily Schedule'!$A37&lt;=52),'Daily Workforce'!$M117="Y",IFERROR(1*'Daily Workforce'!$P117&gt;=2,FALSE()))))),1,0)</f>
        <v>1</v>
      </c>
      <c r="DY33" s="1" t="n">
        <f aca="false">IF(AND('Daily Workforce'!$N118="Y",'Daily Workforce'!$B118&lt;&gt;"",COUNTIF('Daily Schedule'!$F$5:$F36,'Daily Workforce'!$B118)=0,IF('Daily Schedule'!$A37=45,'Daily Workforce'!$J118="Y",IF(OR('Daily Schedule'!$A37=4,'Daily Schedule'!$A37=8),IF(OR(WEEKDAY('Daily Schedule'!$B$2,2)=1,WEEKDAY('Daily Schedule'!$B$2,2)=4,WEEKDAY('Daily Schedule'!$B$2,2)=5,WEEKDAY('Daily Schedule'!$B$2,2)=7),IFERROR(1*'Daily Workforce'!$K118&gt;=3,FALSE()),IFERROR(1*'Daily Workforce'!$K118&gt;=2,FALSE())),IF(AND('Daily Schedule'!$A37&gt;=46,'Daily Schedule'!$A37&lt;=52),'Daily Workforce'!$M118="Y",IFERROR(1*'Daily Workforce'!$P118&gt;=2,FALSE()))))),1,0)</f>
        <v>0</v>
      </c>
      <c r="DZ33" s="1" t="n">
        <f aca="false">IF(AND('Daily Workforce'!$N119="Y",'Daily Workforce'!$B119&lt;&gt;"",COUNTIF('Daily Schedule'!$F$5:$F36,'Daily Workforce'!$B119)=0,IF('Daily Schedule'!$A37=45,'Daily Workforce'!$J119="Y",IF(OR('Daily Schedule'!$A37=4,'Daily Schedule'!$A37=8),IF(OR(WEEKDAY('Daily Schedule'!$B$2,2)=1,WEEKDAY('Daily Schedule'!$B$2,2)=4,WEEKDAY('Daily Schedule'!$B$2,2)=5,WEEKDAY('Daily Schedule'!$B$2,2)=7),IFERROR(1*'Daily Workforce'!$K119&gt;=3,FALSE()),IFERROR(1*'Daily Workforce'!$K119&gt;=2,FALSE())),IF(AND('Daily Schedule'!$A37&gt;=46,'Daily Schedule'!$A37&lt;=52),'Daily Workforce'!$M119="Y",IFERROR(1*'Daily Workforce'!$P119&gt;=2,FALSE()))))),1,0)</f>
        <v>0</v>
      </c>
      <c r="EA33" s="1" t="n">
        <f aca="false">IF(AND('Daily Workforce'!$N120="Y",'Daily Workforce'!$B120&lt;&gt;"",COUNTIF('Daily Schedule'!$F$5:$F36,'Daily Workforce'!$B120)=0,IF('Daily Schedule'!$A37=45,'Daily Workforce'!$J120="Y",IF(OR('Daily Schedule'!$A37=4,'Daily Schedule'!$A37=8),IF(OR(WEEKDAY('Daily Schedule'!$B$2,2)=1,WEEKDAY('Daily Schedule'!$B$2,2)=4,WEEKDAY('Daily Schedule'!$B$2,2)=5,WEEKDAY('Daily Schedule'!$B$2,2)=7),IFERROR(1*'Daily Workforce'!$K120&gt;=3,FALSE()),IFERROR(1*'Daily Workforce'!$K120&gt;=2,FALSE())),IF(AND('Daily Schedule'!$A37&gt;=46,'Daily Schedule'!$A37&lt;=52),'Daily Workforce'!$M120="Y",IFERROR(1*'Daily Workforce'!$P120&gt;=2,FALSE()))))),1,0)</f>
        <v>0</v>
      </c>
      <c r="EB33" s="1" t="n">
        <f aca="false">IF(AND('Daily Workforce'!$N121="Y",'Daily Workforce'!$B121&lt;&gt;"",COUNTIF('Daily Schedule'!$F$5:$F36,'Daily Workforce'!$B121)=0,IF('Daily Schedule'!$A37=45,'Daily Workforce'!$J121="Y",IF(OR('Daily Schedule'!$A37=4,'Daily Schedule'!$A37=8),IF(OR(WEEKDAY('Daily Schedule'!$B$2,2)=1,WEEKDAY('Daily Schedule'!$B$2,2)=4,WEEKDAY('Daily Schedule'!$B$2,2)=5,WEEKDAY('Daily Schedule'!$B$2,2)=7),IFERROR(1*'Daily Workforce'!$K121&gt;=3,FALSE()),IFERROR(1*'Daily Workforce'!$K121&gt;=2,FALSE())),IF(AND('Daily Schedule'!$A37&gt;=46,'Daily Schedule'!$A37&lt;=52),'Daily Workforce'!$M121="Y",IFERROR(1*'Daily Workforce'!$P121&gt;=2,FALSE()))))),1,0)</f>
        <v>0</v>
      </c>
      <c r="EC33" s="1" t="n">
        <f aca="false">IF(AND('Daily Workforce'!$N122="Y",'Daily Workforce'!$B122&lt;&gt;"",COUNTIF('Daily Schedule'!$F$5:$F36,'Daily Workforce'!$B122)=0,IF('Daily Schedule'!$A37=45,'Daily Workforce'!$J122="Y",IF(OR('Daily Schedule'!$A37=4,'Daily Schedule'!$A37=8),IF(OR(WEEKDAY('Daily Schedule'!$B$2,2)=1,WEEKDAY('Daily Schedule'!$B$2,2)=4,WEEKDAY('Daily Schedule'!$B$2,2)=5,WEEKDAY('Daily Schedule'!$B$2,2)=7),IFERROR(1*'Daily Workforce'!$K122&gt;=3,FALSE()),IFERROR(1*'Daily Workforce'!$K122&gt;=2,FALSE())),IF(AND('Daily Schedule'!$A37&gt;=46,'Daily Schedule'!$A37&lt;=52),'Daily Workforce'!$M122="Y",IFERROR(1*'Daily Workforce'!$P122&gt;=2,FALSE()))))),1,0)</f>
        <v>0</v>
      </c>
      <c r="ED33" s="1" t="n">
        <f aca="false">IF(AND('Daily Workforce'!$N123="Y",'Daily Workforce'!$B123&lt;&gt;"",COUNTIF('Daily Schedule'!$F$5:$F36,'Daily Workforce'!$B123)=0,IF('Daily Schedule'!$A37=45,'Daily Workforce'!$J123="Y",IF(OR('Daily Schedule'!$A37=4,'Daily Schedule'!$A37=8),IF(OR(WEEKDAY('Daily Schedule'!$B$2,2)=1,WEEKDAY('Daily Schedule'!$B$2,2)=4,WEEKDAY('Daily Schedule'!$B$2,2)=5,WEEKDAY('Daily Schedule'!$B$2,2)=7),IFERROR(1*'Daily Workforce'!$K123&gt;=3,FALSE()),IFERROR(1*'Daily Workforce'!$K123&gt;=2,FALSE())),IF(AND('Daily Schedule'!$A37&gt;=46,'Daily Schedule'!$A37&lt;=52),'Daily Workforce'!$M123="Y",IFERROR(1*'Daily Workforce'!$P123&gt;=2,FALSE()))))),1,0)</f>
        <v>0</v>
      </c>
      <c r="EE33" s="1" t="n">
        <f aca="false">IF(AND('Daily Workforce'!$N124="Y",'Daily Workforce'!$B124&lt;&gt;"",COUNTIF('Daily Schedule'!$F$5:$F36,'Daily Workforce'!$B124)=0,IF('Daily Schedule'!$A37=45,'Daily Workforce'!$J124="Y",IF(OR('Daily Schedule'!$A37=4,'Daily Schedule'!$A37=8),IF(OR(WEEKDAY('Daily Schedule'!$B$2,2)=1,WEEKDAY('Daily Schedule'!$B$2,2)=4,WEEKDAY('Daily Schedule'!$B$2,2)=5,WEEKDAY('Daily Schedule'!$B$2,2)=7),IFERROR(1*'Daily Workforce'!$K124&gt;=3,FALSE()),IFERROR(1*'Daily Workforce'!$K124&gt;=2,FALSE())),IF(AND('Daily Schedule'!$A37&gt;=46,'Daily Schedule'!$A37&lt;=52),'Daily Workforce'!$M124="Y",IFERROR(1*'Daily Workforce'!$P124&gt;=2,FALSE()))))),1,0)</f>
        <v>0</v>
      </c>
      <c r="EF33" s="1" t="n">
        <f aca="false">IF(AND('Daily Workforce'!$N125="Y",'Daily Workforce'!$B125&lt;&gt;"",COUNTIF('Daily Schedule'!$F$5:$F36,'Daily Workforce'!$B125)=0,IF('Daily Schedule'!$A37=45,'Daily Workforce'!$J125="Y",IF(OR('Daily Schedule'!$A37=4,'Daily Schedule'!$A37=8),IF(OR(WEEKDAY('Daily Schedule'!$B$2,2)=1,WEEKDAY('Daily Schedule'!$B$2,2)=4,WEEKDAY('Daily Schedule'!$B$2,2)=5,WEEKDAY('Daily Schedule'!$B$2,2)=7),IFERROR(1*'Daily Workforce'!$K125&gt;=3,FALSE()),IFERROR(1*'Daily Workforce'!$K125&gt;=2,FALSE())),IF(AND('Daily Schedule'!$A37&gt;=46,'Daily Schedule'!$A37&lt;=52),'Daily Workforce'!$M125="Y",IFERROR(1*'Daily Workforce'!$P125&gt;=2,FALSE()))))),1,0)</f>
        <v>0</v>
      </c>
      <c r="EG33" s="1" t="n">
        <f aca="false">IF(AND('Daily Workforce'!$N126="Y",'Daily Workforce'!$B126&lt;&gt;"",COUNTIF('Daily Schedule'!$F$5:$F36,'Daily Workforce'!$B126)=0,IF('Daily Schedule'!$A37=45,'Daily Workforce'!$J126="Y",IF(OR('Daily Schedule'!$A37=4,'Daily Schedule'!$A37=8),IF(OR(WEEKDAY('Daily Schedule'!$B$2,2)=1,WEEKDAY('Daily Schedule'!$B$2,2)=4,WEEKDAY('Daily Schedule'!$B$2,2)=5,WEEKDAY('Daily Schedule'!$B$2,2)=7),IFERROR(1*'Daily Workforce'!$K126&gt;=3,FALSE()),IFERROR(1*'Daily Workforce'!$K126&gt;=2,FALSE())),IF(AND('Daily Schedule'!$A37&gt;=46,'Daily Schedule'!$A37&lt;=52),'Daily Workforce'!$M126="Y",IFERROR(1*'Daily Workforce'!$P126&gt;=2,FALSE()))))),1,0)</f>
        <v>0</v>
      </c>
      <c r="EH33" s="1" t="n">
        <f aca="false">IF(AND('Daily Workforce'!$N127="Y",'Daily Workforce'!$B127&lt;&gt;"",COUNTIF('Daily Schedule'!$F$5:$F36,'Daily Workforce'!$B127)=0,IF('Daily Schedule'!$A37=45,'Daily Workforce'!$J127="Y",IF(OR('Daily Schedule'!$A37=4,'Daily Schedule'!$A37=8),IF(OR(WEEKDAY('Daily Schedule'!$B$2,2)=1,WEEKDAY('Daily Schedule'!$B$2,2)=4,WEEKDAY('Daily Schedule'!$B$2,2)=5,WEEKDAY('Daily Schedule'!$B$2,2)=7),IFERROR(1*'Daily Workforce'!$K127&gt;=3,FALSE()),IFERROR(1*'Daily Workforce'!$K127&gt;=2,FALSE())),IF(AND('Daily Schedule'!$A37&gt;=46,'Daily Schedule'!$A37&lt;=52),'Daily Workforce'!$M127="Y",IFERROR(1*'Daily Workforce'!$P127&gt;=2,FALSE()))))),1,0)</f>
        <v>0</v>
      </c>
      <c r="EI33" s="1" t="n">
        <f aca="false">IF(AND('Daily Workforce'!$N128="Y",'Daily Workforce'!$B128&lt;&gt;"",COUNTIF('Daily Schedule'!$F$5:$F36,'Daily Workforce'!$B128)=0,IF('Daily Schedule'!$A37=45,'Daily Workforce'!$J128="Y",IF(OR('Daily Schedule'!$A37=4,'Daily Schedule'!$A37=8),IF(OR(WEEKDAY('Daily Schedule'!$B$2,2)=1,WEEKDAY('Daily Schedule'!$B$2,2)=4,WEEKDAY('Daily Schedule'!$B$2,2)=5,WEEKDAY('Daily Schedule'!$B$2,2)=7),IFERROR(1*'Daily Workforce'!$K128&gt;=3,FALSE()),IFERROR(1*'Daily Workforce'!$K128&gt;=2,FALSE())),IF(AND('Daily Schedule'!$A37&gt;=46,'Daily Schedule'!$A37&lt;=52),'Daily Workforce'!$M128="Y",IFERROR(1*'Daily Workforce'!$P128&gt;=2,FALSE()))))),1,0)</f>
        <v>0</v>
      </c>
      <c r="EJ33" s="1" t="n">
        <f aca="false">IF(AND('Daily Workforce'!$N129="Y",'Daily Workforce'!$B129&lt;&gt;"",COUNTIF('Daily Schedule'!$F$5:$F36,'Daily Workforce'!$B129)=0,IF('Daily Schedule'!$A37=45,'Daily Workforce'!$J129="Y",IF(OR('Daily Schedule'!$A37=4,'Daily Schedule'!$A37=8),IF(OR(WEEKDAY('Daily Schedule'!$B$2,2)=1,WEEKDAY('Daily Schedule'!$B$2,2)=4,WEEKDAY('Daily Schedule'!$B$2,2)=5,WEEKDAY('Daily Schedule'!$B$2,2)=7),IFERROR(1*'Daily Workforce'!$K129&gt;=3,FALSE()),IFERROR(1*'Daily Workforce'!$K129&gt;=2,FALSE())),IF(AND('Daily Schedule'!$A37&gt;=46,'Daily Schedule'!$A37&lt;=52),'Daily Workforce'!$M129="Y",IFERROR(1*'Daily Workforce'!$P129&gt;=2,FALSE()))))),1,0)</f>
        <v>0</v>
      </c>
      <c r="EK33" s="1" t="n">
        <f aca="false">IF(AND('Daily Workforce'!$N130="Y",'Daily Workforce'!$B130&lt;&gt;"",COUNTIF('Daily Schedule'!$F$5:$F36,'Daily Workforce'!$B130)=0,IF('Daily Schedule'!$A37=45,'Daily Workforce'!$J130="Y",IF(OR('Daily Schedule'!$A37=4,'Daily Schedule'!$A37=8),IF(OR(WEEKDAY('Daily Schedule'!$B$2,2)=1,WEEKDAY('Daily Schedule'!$B$2,2)=4,WEEKDAY('Daily Schedule'!$B$2,2)=5,WEEKDAY('Daily Schedule'!$B$2,2)=7),IFERROR(1*'Daily Workforce'!$K130&gt;=3,FALSE()),IFERROR(1*'Daily Workforce'!$K130&gt;=2,FALSE())),IF(AND('Daily Schedule'!$A37&gt;=46,'Daily Schedule'!$A37&lt;=52),'Daily Workforce'!$M130="Y",IFERROR(1*'Daily Workforce'!$P130&gt;=2,FALSE()))))),1,0)</f>
        <v>0</v>
      </c>
      <c r="EL33" s="1" t="n">
        <f aca="false">IF(AND('Daily Workforce'!$N131="Y",'Daily Workforce'!$B131&lt;&gt;"",COUNTIF('Daily Schedule'!$F$5:$F36,'Daily Workforce'!$B131)=0,IF('Daily Schedule'!$A37=45,'Daily Workforce'!$J131="Y",IF(OR('Daily Schedule'!$A37=4,'Daily Schedule'!$A37=8),IF(OR(WEEKDAY('Daily Schedule'!$B$2,2)=1,WEEKDAY('Daily Schedule'!$B$2,2)=4,WEEKDAY('Daily Schedule'!$B$2,2)=5,WEEKDAY('Daily Schedule'!$B$2,2)=7),IFERROR(1*'Daily Workforce'!$K131&gt;=3,FALSE()),IFERROR(1*'Daily Workforce'!$K131&gt;=2,FALSE())),IF(AND('Daily Schedule'!$A37&gt;=46,'Daily Schedule'!$A37&lt;=52),'Daily Workforce'!$M131="Y",IFERROR(1*'Daily Workforce'!$P131&gt;=2,FALSE()))))),1,0)</f>
        <v>0</v>
      </c>
      <c r="EM33" s="1" t="n">
        <f aca="false">IF(AND('Daily Workforce'!$N132="Y",'Daily Workforce'!$B132&lt;&gt;"",COUNTIF('Daily Schedule'!$F$5:$F36,'Daily Workforce'!$B132)=0,IF('Daily Schedule'!$A37=45,'Daily Workforce'!$J132="Y",IF(OR('Daily Schedule'!$A37=4,'Daily Schedule'!$A37=8),IF(OR(WEEKDAY('Daily Schedule'!$B$2,2)=1,WEEKDAY('Daily Schedule'!$B$2,2)=4,WEEKDAY('Daily Schedule'!$B$2,2)=5,WEEKDAY('Daily Schedule'!$B$2,2)=7),IFERROR(1*'Daily Workforce'!$K132&gt;=3,FALSE()),IFERROR(1*'Daily Workforce'!$K132&gt;=2,FALSE())),IF(AND('Daily Schedule'!$A37&gt;=46,'Daily Schedule'!$A37&lt;=52),'Daily Workforce'!$M132="Y",IFERROR(1*'Daily Workforce'!$P132&gt;=2,FALSE()))))),1,0)</f>
        <v>0</v>
      </c>
      <c r="EN33" s="1" t="n">
        <f aca="false">IF(AND('Daily Workforce'!$N133="Y",'Daily Workforce'!$B133&lt;&gt;"",COUNTIF('Daily Schedule'!$F$5:$F36,'Daily Workforce'!$B133)=0,IF('Daily Schedule'!$A37=45,'Daily Workforce'!$J133="Y",IF(OR('Daily Schedule'!$A37=4,'Daily Schedule'!$A37=8),IF(OR(WEEKDAY('Daily Schedule'!$B$2,2)=1,WEEKDAY('Daily Schedule'!$B$2,2)=4,WEEKDAY('Daily Schedule'!$B$2,2)=5,WEEKDAY('Daily Schedule'!$B$2,2)=7),IFERROR(1*'Daily Workforce'!$K133&gt;=3,FALSE()),IFERROR(1*'Daily Workforce'!$K133&gt;=2,FALSE())),IF(AND('Daily Schedule'!$A37&gt;=46,'Daily Schedule'!$A37&lt;=52),'Daily Workforce'!$M133="Y",IFERROR(1*'Daily Workforce'!$P133&gt;=2,FALSE()))))),1,0)</f>
        <v>0</v>
      </c>
      <c r="EO33" s="1" t="n">
        <f aca="false">IF(AND('Daily Workforce'!$N134="Y",'Daily Workforce'!$B134&lt;&gt;"",COUNTIF('Daily Schedule'!$F$5:$F36,'Daily Workforce'!$B134)=0,IF('Daily Schedule'!$A37=45,'Daily Workforce'!$J134="Y",IF(OR('Daily Schedule'!$A37=4,'Daily Schedule'!$A37=8),IF(OR(WEEKDAY('Daily Schedule'!$B$2,2)=1,WEEKDAY('Daily Schedule'!$B$2,2)=4,WEEKDAY('Daily Schedule'!$B$2,2)=5,WEEKDAY('Daily Schedule'!$B$2,2)=7),IFERROR(1*'Daily Workforce'!$K134&gt;=3,FALSE()),IFERROR(1*'Daily Workforce'!$K134&gt;=2,FALSE())),IF(AND('Daily Schedule'!$A37&gt;=46,'Daily Schedule'!$A37&lt;=52),'Daily Workforce'!$M134="Y",IFERROR(1*'Daily Workforce'!$P134&gt;=2,FALSE()))))),1,0)</f>
        <v>0</v>
      </c>
      <c r="EP33" s="1" t="n">
        <f aca="false">IF(AND('Daily Workforce'!$N135="Y",'Daily Workforce'!$B135&lt;&gt;"",COUNTIF('Daily Schedule'!$F$5:$F36,'Daily Workforce'!$B135)=0,IF('Daily Schedule'!$A37=45,'Daily Workforce'!$J135="Y",IF(OR('Daily Schedule'!$A37=4,'Daily Schedule'!$A37=8),IF(OR(WEEKDAY('Daily Schedule'!$B$2,2)=1,WEEKDAY('Daily Schedule'!$B$2,2)=4,WEEKDAY('Daily Schedule'!$B$2,2)=5,WEEKDAY('Daily Schedule'!$B$2,2)=7),IFERROR(1*'Daily Workforce'!$K135&gt;=3,FALSE()),IFERROR(1*'Daily Workforce'!$K135&gt;=2,FALSE())),IF(AND('Daily Schedule'!$A37&gt;=46,'Daily Schedule'!$A37&lt;=52),'Daily Workforce'!$M135="Y",IFERROR(1*'Daily Workforce'!$P135&gt;=2,FALSE()))))),1,0)</f>
        <v>0</v>
      </c>
      <c r="EQ33" s="1" t="n">
        <f aca="false">IF(AND('Daily Workforce'!$N136="Y",'Daily Workforce'!$B136&lt;&gt;"",COUNTIF('Daily Schedule'!$F$5:$F36,'Daily Workforce'!$B136)=0,IF('Daily Schedule'!$A37=45,'Daily Workforce'!$J136="Y",IF(OR('Daily Schedule'!$A37=4,'Daily Schedule'!$A37=8),IF(OR(WEEKDAY('Daily Schedule'!$B$2,2)=1,WEEKDAY('Daily Schedule'!$B$2,2)=4,WEEKDAY('Daily Schedule'!$B$2,2)=5,WEEKDAY('Daily Schedule'!$B$2,2)=7),IFERROR(1*'Daily Workforce'!$K136&gt;=3,FALSE()),IFERROR(1*'Daily Workforce'!$K136&gt;=2,FALSE())),IF(AND('Daily Schedule'!$A37&gt;=46,'Daily Schedule'!$A37&lt;=52),'Daily Workforce'!$M136="Y",IFERROR(1*'Daily Workforce'!$P136&gt;=2,FALSE()))))),1,0)</f>
        <v>0</v>
      </c>
      <c r="ER33" s="1" t="n">
        <f aca="false">IF(AND('Daily Workforce'!$N137="Y",'Daily Workforce'!$B137&lt;&gt;"",COUNTIF('Daily Schedule'!$F$5:$F36,'Daily Workforce'!$B137)=0,IF('Daily Schedule'!$A37=45,'Daily Workforce'!$J137="Y",IF(OR('Daily Schedule'!$A37=4,'Daily Schedule'!$A37=8),IF(OR(WEEKDAY('Daily Schedule'!$B$2,2)=1,WEEKDAY('Daily Schedule'!$B$2,2)=4,WEEKDAY('Daily Schedule'!$B$2,2)=5,WEEKDAY('Daily Schedule'!$B$2,2)=7),IFERROR(1*'Daily Workforce'!$K137&gt;=3,FALSE()),IFERROR(1*'Daily Workforce'!$K137&gt;=2,FALSE())),IF(AND('Daily Schedule'!$A37&gt;=46,'Daily Schedule'!$A37&lt;=52),'Daily Workforce'!$M137="Y",IFERROR(1*'Daily Workforce'!$P137&gt;=2,FALSE()))))),1,0)</f>
        <v>0</v>
      </c>
      <c r="ES33" s="1" t="n">
        <f aca="false">IF(AND('Daily Workforce'!$N138="Y",'Daily Workforce'!$B138&lt;&gt;"",COUNTIF('Daily Schedule'!$F$5:$F36,'Daily Workforce'!$B138)=0,IF('Daily Schedule'!$A37=45,'Daily Workforce'!$J138="Y",IF(OR('Daily Schedule'!$A37=4,'Daily Schedule'!$A37=8),IF(OR(WEEKDAY('Daily Schedule'!$B$2,2)=1,WEEKDAY('Daily Schedule'!$B$2,2)=4,WEEKDAY('Daily Schedule'!$B$2,2)=5,WEEKDAY('Daily Schedule'!$B$2,2)=7),IFERROR(1*'Daily Workforce'!$K138&gt;=3,FALSE()),IFERROR(1*'Daily Workforce'!$K138&gt;=2,FALSE())),IF(AND('Daily Schedule'!$A37&gt;=46,'Daily Schedule'!$A37&lt;=52),'Daily Workforce'!$M138="Y",IFERROR(1*'Daily Workforce'!$P138&gt;=2,FALSE()))))),1,0)</f>
        <v>0</v>
      </c>
      <c r="ET33" s="1" t="n">
        <f aca="false">IF(AND('Daily Workforce'!$N139="Y",'Daily Workforce'!$B139&lt;&gt;"",COUNTIF('Daily Schedule'!$F$5:$F36,'Daily Workforce'!$B139)=0,IF('Daily Schedule'!$A37=45,'Daily Workforce'!$J139="Y",IF(OR('Daily Schedule'!$A37=4,'Daily Schedule'!$A37=8),IF(OR(WEEKDAY('Daily Schedule'!$B$2,2)=1,WEEKDAY('Daily Schedule'!$B$2,2)=4,WEEKDAY('Daily Schedule'!$B$2,2)=5,WEEKDAY('Daily Schedule'!$B$2,2)=7),IFERROR(1*'Daily Workforce'!$K139&gt;=3,FALSE()),IFERROR(1*'Daily Workforce'!$K139&gt;=2,FALSE())),IF(AND('Daily Schedule'!$A37&gt;=46,'Daily Schedule'!$A37&lt;=52),'Daily Workforce'!$M139="Y",IFERROR(1*'Daily Workforce'!$P139&gt;=2,FALSE()))))),1,0)</f>
        <v>0</v>
      </c>
      <c r="EU33" s="1" t="n">
        <f aca="false">IF(AND('Daily Workforce'!$N140="Y",'Daily Workforce'!$B140&lt;&gt;"",COUNTIF('Daily Schedule'!$F$5:$F36,'Daily Workforce'!$B140)=0,IF('Daily Schedule'!$A37=45,'Daily Workforce'!$J140="Y",IF(OR('Daily Schedule'!$A37=4,'Daily Schedule'!$A37=8),IF(OR(WEEKDAY('Daily Schedule'!$B$2,2)=1,WEEKDAY('Daily Schedule'!$B$2,2)=4,WEEKDAY('Daily Schedule'!$B$2,2)=5,WEEKDAY('Daily Schedule'!$B$2,2)=7),IFERROR(1*'Daily Workforce'!$K140&gt;=3,FALSE()),IFERROR(1*'Daily Workforce'!$K140&gt;=2,FALSE())),IF(AND('Daily Schedule'!$A37&gt;=46,'Daily Schedule'!$A37&lt;=52),'Daily Workforce'!$M140="Y",IFERROR(1*'Daily Workforce'!$P140&gt;=2,FALSE()))))),1,0)</f>
        <v>0</v>
      </c>
      <c r="EV33" s="1" t="n">
        <f aca="false">IF(AND('Daily Workforce'!$N141="Y",'Daily Workforce'!$B141&lt;&gt;"",COUNTIF('Daily Schedule'!$F$5:$F36,'Daily Workforce'!$B141)=0,IF('Daily Schedule'!$A37=45,'Daily Workforce'!$J141="Y",IF(OR('Daily Schedule'!$A37=4,'Daily Schedule'!$A37=8),IF(OR(WEEKDAY('Daily Schedule'!$B$2,2)=1,WEEKDAY('Daily Schedule'!$B$2,2)=4,WEEKDAY('Daily Schedule'!$B$2,2)=5,WEEKDAY('Daily Schedule'!$B$2,2)=7),IFERROR(1*'Daily Workforce'!$K141&gt;=3,FALSE()),IFERROR(1*'Daily Workforce'!$K141&gt;=2,FALSE())),IF(AND('Daily Schedule'!$A37&gt;=46,'Daily Schedule'!$A37&lt;=52),'Daily Workforce'!$M141="Y",IFERROR(1*'Daily Workforce'!$P141&gt;=2,FALSE()))))),1,0)</f>
        <v>0</v>
      </c>
      <c r="EW33" s="1" t="n">
        <f aca="false">IF(AND('Daily Workforce'!$N142="Y",'Daily Workforce'!$B142&lt;&gt;"",COUNTIF('Daily Schedule'!$F$5:$F36,'Daily Workforce'!$B142)=0,IF('Daily Schedule'!$A37=45,'Daily Workforce'!$J142="Y",IF(OR('Daily Schedule'!$A37=4,'Daily Schedule'!$A37=8),IF(OR(WEEKDAY('Daily Schedule'!$B$2,2)=1,WEEKDAY('Daily Schedule'!$B$2,2)=4,WEEKDAY('Daily Schedule'!$B$2,2)=5,WEEKDAY('Daily Schedule'!$B$2,2)=7),IFERROR(1*'Daily Workforce'!$K142&gt;=3,FALSE()),IFERROR(1*'Daily Workforce'!$K142&gt;=2,FALSE())),IF(AND('Daily Schedule'!$A37&gt;=46,'Daily Schedule'!$A37&lt;=52),'Daily Workforce'!$M142="Y",IFERROR(1*'Daily Workforce'!$P142&gt;=2,FALSE()))))),1,0)</f>
        <v>0</v>
      </c>
      <c r="EX33" s="1" t="n">
        <f aca="false">IF(AND('Daily Workforce'!$N143="Y",'Daily Workforce'!$B143&lt;&gt;"",COUNTIF('Daily Schedule'!$F$5:$F36,'Daily Workforce'!$B143)=0,IF('Daily Schedule'!$A37=45,'Daily Workforce'!$J143="Y",IF(OR('Daily Schedule'!$A37=4,'Daily Schedule'!$A37=8),IF(OR(WEEKDAY('Daily Schedule'!$B$2,2)=1,WEEKDAY('Daily Schedule'!$B$2,2)=4,WEEKDAY('Daily Schedule'!$B$2,2)=5,WEEKDAY('Daily Schedule'!$B$2,2)=7),IFERROR(1*'Daily Workforce'!$K143&gt;=3,FALSE()),IFERROR(1*'Daily Workforce'!$K143&gt;=2,FALSE())),IF(AND('Daily Schedule'!$A37&gt;=46,'Daily Schedule'!$A37&lt;=52),'Daily Workforce'!$M143="Y",IFERROR(1*'Daily Workforce'!$P143&gt;=2,FALSE()))))),1,0)</f>
        <v>0</v>
      </c>
      <c r="EY33" s="1" t="n">
        <f aca="false">IF(AND('Daily Workforce'!$N144="Y",'Daily Workforce'!$B144&lt;&gt;"",COUNTIF('Daily Schedule'!$F$5:$F36,'Daily Workforce'!$B144)=0,IF('Daily Schedule'!$A37=45,'Daily Workforce'!$J144="Y",IF(OR('Daily Schedule'!$A37=4,'Daily Schedule'!$A37=8),IF(OR(WEEKDAY('Daily Schedule'!$B$2,2)=1,WEEKDAY('Daily Schedule'!$B$2,2)=4,WEEKDAY('Daily Schedule'!$B$2,2)=5,WEEKDAY('Daily Schedule'!$B$2,2)=7),IFERROR(1*'Daily Workforce'!$K144&gt;=3,FALSE()),IFERROR(1*'Daily Workforce'!$K144&gt;=2,FALSE())),IF(AND('Daily Schedule'!$A37&gt;=46,'Daily Schedule'!$A37&lt;=52),'Daily Workforce'!$M144="Y",IFERROR(1*'Daily Workforce'!$P144&gt;=2,FALSE()))))),1,0)</f>
        <v>0</v>
      </c>
      <c r="EZ33" s="1" t="n">
        <f aca="false">IF(AND('Daily Workforce'!$N145="Y",'Daily Workforce'!$B145&lt;&gt;"",COUNTIF('Daily Schedule'!$F$5:$F36,'Daily Workforce'!$B145)=0,IF('Daily Schedule'!$A37=45,'Daily Workforce'!$J145="Y",IF(OR('Daily Schedule'!$A37=4,'Daily Schedule'!$A37=8),IF(OR(WEEKDAY('Daily Schedule'!$B$2,2)=1,WEEKDAY('Daily Schedule'!$B$2,2)=4,WEEKDAY('Daily Schedule'!$B$2,2)=5,WEEKDAY('Daily Schedule'!$B$2,2)=7),IFERROR(1*'Daily Workforce'!$K145&gt;=3,FALSE()),IFERROR(1*'Daily Workforce'!$K145&gt;=2,FALSE())),IF(AND('Daily Schedule'!$A37&gt;=46,'Daily Schedule'!$A37&lt;=52),'Daily Workforce'!$M145="Y",IFERROR(1*'Daily Workforce'!$P145&gt;=2,FALSE()))))),1,0)</f>
        <v>0</v>
      </c>
      <c r="FA33" s="1" t="n">
        <f aca="false">IF(AND('Daily Workforce'!$N146="Y",'Daily Workforce'!$B146&lt;&gt;"",COUNTIF('Daily Schedule'!$F$5:$F36,'Daily Workforce'!$B146)=0,IF('Daily Schedule'!$A37=45,'Daily Workforce'!$J146="Y",IF(OR('Daily Schedule'!$A37=4,'Daily Schedule'!$A37=8),IF(OR(WEEKDAY('Daily Schedule'!$B$2,2)=1,WEEKDAY('Daily Schedule'!$B$2,2)=4,WEEKDAY('Daily Schedule'!$B$2,2)=5,WEEKDAY('Daily Schedule'!$B$2,2)=7),IFERROR(1*'Daily Workforce'!$K146&gt;=3,FALSE()),IFERROR(1*'Daily Workforce'!$K146&gt;=2,FALSE())),IF(AND('Daily Schedule'!$A37&gt;=46,'Daily Schedule'!$A37&lt;=52),'Daily Workforce'!$M146="Y",IFERROR(1*'Daily Workforce'!$P146&gt;=2,FALSE()))))),1,0)</f>
        <v>0</v>
      </c>
      <c r="FB33" s="1" t="n">
        <f aca="false">IF(AND('Daily Workforce'!$N147="Y",'Daily Workforce'!$B147&lt;&gt;"",COUNTIF('Daily Schedule'!$F$5:$F36,'Daily Workforce'!$B147)=0,IF('Daily Schedule'!$A37=45,'Daily Workforce'!$J147="Y",IF(OR('Daily Schedule'!$A37=4,'Daily Schedule'!$A37=8),IF(OR(WEEKDAY('Daily Schedule'!$B$2,2)=1,WEEKDAY('Daily Schedule'!$B$2,2)=4,WEEKDAY('Daily Schedule'!$B$2,2)=5,WEEKDAY('Daily Schedule'!$B$2,2)=7),IFERROR(1*'Daily Workforce'!$K147&gt;=3,FALSE()),IFERROR(1*'Daily Workforce'!$K147&gt;=2,FALSE())),IF(AND('Daily Schedule'!$A37&gt;=46,'Daily Schedule'!$A37&lt;=52),'Daily Workforce'!$M147="Y",IFERROR(1*'Daily Workforce'!$P147&gt;=2,FALSE()))))),1,0)</f>
        <v>0</v>
      </c>
      <c r="FC33" s="1" t="n">
        <f aca="false">IF(AND('Daily Workforce'!$N148="Y",'Daily Workforce'!$B148&lt;&gt;"",COUNTIF('Daily Schedule'!$F$5:$F36,'Daily Workforce'!$B148)=0,IF('Daily Schedule'!$A37=45,'Daily Workforce'!$J148="Y",IF(OR('Daily Schedule'!$A37=4,'Daily Schedule'!$A37=8),IF(OR(WEEKDAY('Daily Schedule'!$B$2,2)=1,WEEKDAY('Daily Schedule'!$B$2,2)=4,WEEKDAY('Daily Schedule'!$B$2,2)=5,WEEKDAY('Daily Schedule'!$B$2,2)=7),IFERROR(1*'Daily Workforce'!$K148&gt;=3,FALSE()),IFERROR(1*'Daily Workforce'!$K148&gt;=2,FALSE())),IF(AND('Daily Schedule'!$A37&gt;=46,'Daily Schedule'!$A37&lt;=52),'Daily Workforce'!$M148="Y",IFERROR(1*'Daily Workforce'!$P148&gt;=2,FALSE()))))),1,0)</f>
        <v>0</v>
      </c>
      <c r="FD33" s="1" t="n">
        <f aca="false">IF(AND('Daily Workforce'!$N149="Y",'Daily Workforce'!$B149&lt;&gt;"",COUNTIF('Daily Schedule'!$F$5:$F36,'Daily Workforce'!$B149)=0,IF('Daily Schedule'!$A37=45,'Daily Workforce'!$J149="Y",IF(OR('Daily Schedule'!$A37=4,'Daily Schedule'!$A37=8),IF(OR(WEEKDAY('Daily Schedule'!$B$2,2)=1,WEEKDAY('Daily Schedule'!$B$2,2)=4,WEEKDAY('Daily Schedule'!$B$2,2)=5,WEEKDAY('Daily Schedule'!$B$2,2)=7),IFERROR(1*'Daily Workforce'!$K149&gt;=3,FALSE()),IFERROR(1*'Daily Workforce'!$K149&gt;=2,FALSE())),IF(AND('Daily Schedule'!$A37&gt;=46,'Daily Schedule'!$A37&lt;=52),'Daily Workforce'!$M149="Y",IFERROR(1*'Daily Workforce'!$P149&gt;=2,FALSE()))))),1,0)</f>
        <v>0</v>
      </c>
      <c r="FE33" s="1" t="n">
        <f aca="false">IF(AND('Daily Workforce'!$N150="Y",'Daily Workforce'!$B150&lt;&gt;"",COUNTIF('Daily Schedule'!$F$5:$F36,'Daily Workforce'!$B150)=0,IF('Daily Schedule'!$A37=45,'Daily Workforce'!$J150="Y",IF(OR('Daily Schedule'!$A37=4,'Daily Schedule'!$A37=8),IF(OR(WEEKDAY('Daily Schedule'!$B$2,2)=1,WEEKDAY('Daily Schedule'!$B$2,2)=4,WEEKDAY('Daily Schedule'!$B$2,2)=5,WEEKDAY('Daily Schedule'!$B$2,2)=7),IFERROR(1*'Daily Workforce'!$K150&gt;=3,FALSE()),IFERROR(1*'Daily Workforce'!$K150&gt;=2,FALSE())),IF(AND('Daily Schedule'!$A37&gt;=46,'Daily Schedule'!$A37&lt;=52),'Daily Workforce'!$M150="Y",IFERROR(1*'Daily Workforce'!$P150&gt;=2,FALSE()))))),1,0)</f>
        <v>0</v>
      </c>
      <c r="FF33" s="1" t="n">
        <f aca="false">IF(AND('Daily Workforce'!$N151="Y",'Daily Workforce'!$B151&lt;&gt;"",COUNTIF('Daily Schedule'!$F$5:$F36,'Daily Workforce'!$B151)=0,IF('Daily Schedule'!$A37=45,'Daily Workforce'!$J151="Y",IF(OR('Daily Schedule'!$A37=4,'Daily Schedule'!$A37=8),IF(OR(WEEKDAY('Daily Schedule'!$B$2,2)=1,WEEKDAY('Daily Schedule'!$B$2,2)=4,WEEKDAY('Daily Schedule'!$B$2,2)=5,WEEKDAY('Daily Schedule'!$B$2,2)=7),IFERROR(1*'Daily Workforce'!$K151&gt;=3,FALSE()),IFERROR(1*'Daily Workforce'!$K151&gt;=2,FALSE())),IF(AND('Daily Schedule'!$A37&gt;=46,'Daily Schedule'!$A37&lt;=52),'Daily Workforce'!$M151="Y",IFERROR(1*'Daily Workforce'!$P151&gt;=2,FALSE()))))),1,0)</f>
        <v>0</v>
      </c>
      <c r="FG33" s="1" t="n">
        <f aca="false">IF(AND('Daily Workforce'!$N152="Y",'Daily Workforce'!$B152&lt;&gt;"",COUNTIF('Daily Schedule'!$F$5:$F36,'Daily Workforce'!$B152)=0,IF('Daily Schedule'!$A37=45,'Daily Workforce'!$J152="Y",IF(OR('Daily Schedule'!$A37=4,'Daily Schedule'!$A37=8),IF(OR(WEEKDAY('Daily Schedule'!$B$2,2)=1,WEEKDAY('Daily Schedule'!$B$2,2)=4,WEEKDAY('Daily Schedule'!$B$2,2)=5,WEEKDAY('Daily Schedule'!$B$2,2)=7),IFERROR(1*'Daily Workforce'!$K152&gt;=3,FALSE()),IFERROR(1*'Daily Workforce'!$K152&gt;=2,FALSE())),IF(AND('Daily Schedule'!$A37&gt;=46,'Daily Schedule'!$A37&lt;=52),'Daily Workforce'!$M152="Y",IFERROR(1*'Daily Workforce'!$P152&gt;=2,FALSE()))))),1,0)</f>
        <v>0</v>
      </c>
      <c r="FH33" s="1" t="n">
        <f aca="false">IF(AND('Daily Workforce'!$N153="Y",'Daily Workforce'!$B153&lt;&gt;"",COUNTIF('Daily Schedule'!$F$5:$F36,'Daily Workforce'!$B153)=0,IF('Daily Schedule'!$A37=45,'Daily Workforce'!$J153="Y",IF(OR('Daily Schedule'!$A37=4,'Daily Schedule'!$A37=8),IF(OR(WEEKDAY('Daily Schedule'!$B$2,2)=1,WEEKDAY('Daily Schedule'!$B$2,2)=4,WEEKDAY('Daily Schedule'!$B$2,2)=5,WEEKDAY('Daily Schedule'!$B$2,2)=7),IFERROR(1*'Daily Workforce'!$K153&gt;=3,FALSE()),IFERROR(1*'Daily Workforce'!$K153&gt;=2,FALSE())),IF(AND('Daily Schedule'!$A37&gt;=46,'Daily Schedule'!$A37&lt;=52),'Daily Workforce'!$M153="Y",IFERROR(1*'Daily Workforce'!$P153&gt;=2,FALSE()))))),1,0)</f>
        <v>0</v>
      </c>
      <c r="FI33" s="1" t="n">
        <f aca="false">IF(AND('Daily Workforce'!$N154="Y",'Daily Workforce'!$B154&lt;&gt;"",COUNTIF('Daily Schedule'!$F$5:$F36,'Daily Workforce'!$B154)=0,IF('Daily Schedule'!$A37=45,'Daily Workforce'!$J154="Y",IF(OR('Daily Schedule'!$A37=4,'Daily Schedule'!$A37=8),IF(OR(WEEKDAY('Daily Schedule'!$B$2,2)=1,WEEKDAY('Daily Schedule'!$B$2,2)=4,WEEKDAY('Daily Schedule'!$B$2,2)=5,WEEKDAY('Daily Schedule'!$B$2,2)=7),IFERROR(1*'Daily Workforce'!$K154&gt;=3,FALSE()),IFERROR(1*'Daily Workforce'!$K154&gt;=2,FALSE())),IF(AND('Daily Schedule'!$A37&gt;=46,'Daily Schedule'!$A37&lt;=52),'Daily Workforce'!$M154="Y",IFERROR(1*'Daily Workforce'!$P154&gt;=2,FALSE()))))),1,0)</f>
        <v>0</v>
      </c>
      <c r="FJ33" s="1" t="n">
        <f aca="false">IF(AND('Daily Workforce'!$N155="Y",'Daily Workforce'!$B155&lt;&gt;"",COUNTIF('Daily Schedule'!$F$5:$F36,'Daily Workforce'!$B155)=0,IF('Daily Schedule'!$A37=45,'Daily Workforce'!$J155="Y",IF(OR('Daily Schedule'!$A37=4,'Daily Schedule'!$A37=8),IF(OR(WEEKDAY('Daily Schedule'!$B$2,2)=1,WEEKDAY('Daily Schedule'!$B$2,2)=4,WEEKDAY('Daily Schedule'!$B$2,2)=5,WEEKDAY('Daily Schedule'!$B$2,2)=7),IFERROR(1*'Daily Workforce'!$K155&gt;=3,FALSE()),IFERROR(1*'Daily Workforce'!$K155&gt;=2,FALSE())),IF(AND('Daily Schedule'!$A37&gt;=46,'Daily Schedule'!$A37&lt;=52),'Daily Workforce'!$M155="Y",IFERROR(1*'Daily Workforce'!$P155&gt;=2,FALSE()))))),1,0)</f>
        <v>0</v>
      </c>
      <c r="FK33" s="1" t="n">
        <f aca="false">IF(AND('Daily Workforce'!$N156="Y",'Daily Workforce'!$B156&lt;&gt;"",COUNTIF('Daily Schedule'!$F$5:$F36,'Daily Workforce'!$B156)=0,IF('Daily Schedule'!$A37=45,'Daily Workforce'!$J156="Y",IF(OR('Daily Schedule'!$A37=4,'Daily Schedule'!$A37=8),IF(OR(WEEKDAY('Daily Schedule'!$B$2,2)=1,WEEKDAY('Daily Schedule'!$B$2,2)=4,WEEKDAY('Daily Schedule'!$B$2,2)=5,WEEKDAY('Daily Schedule'!$B$2,2)=7),IFERROR(1*'Daily Workforce'!$K156&gt;=3,FALSE()),IFERROR(1*'Daily Workforce'!$K156&gt;=2,FALSE())),IF(AND('Daily Schedule'!$A37&gt;=46,'Daily Schedule'!$A37&lt;=52),'Daily Workforce'!$M156="Y",IFERROR(1*'Daily Workforce'!$P156&gt;=2,FALSE()))))),1,0)</f>
        <v>0</v>
      </c>
      <c r="FL33" s="1" t="n">
        <f aca="false">IF(AND('Daily Workforce'!$N157="Y",'Daily Workforce'!$B157&lt;&gt;"",COUNTIF('Daily Schedule'!$F$5:$F36,'Daily Workforce'!$B157)=0,IF('Daily Schedule'!$A37=45,'Daily Workforce'!$J157="Y",IF(OR('Daily Schedule'!$A37=4,'Daily Schedule'!$A37=8),IF(OR(WEEKDAY('Daily Schedule'!$B$2,2)=1,WEEKDAY('Daily Schedule'!$B$2,2)=4,WEEKDAY('Daily Schedule'!$B$2,2)=5,WEEKDAY('Daily Schedule'!$B$2,2)=7),IFERROR(1*'Daily Workforce'!$K157&gt;=3,FALSE()),IFERROR(1*'Daily Workforce'!$K157&gt;=2,FALSE())),IF(AND('Daily Schedule'!$A37&gt;=46,'Daily Schedule'!$A37&lt;=52),'Daily Workforce'!$M157="Y",IFERROR(1*'Daily Workforce'!$P157&gt;=2,FALSE()))))),1,0)</f>
        <v>0</v>
      </c>
      <c r="FM33" s="1" t="n">
        <f aca="false">IF(AND('Daily Workforce'!$N158="Y",'Daily Workforce'!$B158&lt;&gt;"",COUNTIF('Daily Schedule'!$F$5:$F36,'Daily Workforce'!$B158)=0,IF('Daily Schedule'!$A37=45,'Daily Workforce'!$J158="Y",IF(OR('Daily Schedule'!$A37=4,'Daily Schedule'!$A37=8),IF(OR(WEEKDAY('Daily Schedule'!$B$2,2)=1,WEEKDAY('Daily Schedule'!$B$2,2)=4,WEEKDAY('Daily Schedule'!$B$2,2)=5,WEEKDAY('Daily Schedule'!$B$2,2)=7),IFERROR(1*'Daily Workforce'!$K158&gt;=3,FALSE()),IFERROR(1*'Daily Workforce'!$K158&gt;=2,FALSE())),IF(AND('Daily Schedule'!$A37&gt;=46,'Daily Schedule'!$A37&lt;=52),'Daily Workforce'!$M158="Y",IFERROR(1*'Daily Workforce'!$P158&gt;=2,FALSE()))))),1,0)</f>
        <v>0</v>
      </c>
      <c r="FN33" s="1" t="n">
        <f aca="false">IF(AND('Daily Workforce'!$N159="Y",'Daily Workforce'!$B159&lt;&gt;"",COUNTIF('Daily Schedule'!$F$5:$F36,'Daily Workforce'!$B159)=0,IF('Daily Schedule'!$A37=45,'Daily Workforce'!$J159="Y",IF(OR('Daily Schedule'!$A37=4,'Daily Schedule'!$A37=8),IF(OR(WEEKDAY('Daily Schedule'!$B$2,2)=1,WEEKDAY('Daily Schedule'!$B$2,2)=4,WEEKDAY('Daily Schedule'!$B$2,2)=5,WEEKDAY('Daily Schedule'!$B$2,2)=7),IFERROR(1*'Daily Workforce'!$K159&gt;=3,FALSE()),IFERROR(1*'Daily Workforce'!$K159&gt;=2,FALSE())),IF(AND('Daily Schedule'!$A37&gt;=46,'Daily Schedule'!$A37&lt;=52),'Daily Workforce'!$M159="Y",IFERROR(1*'Daily Workforce'!$P159&gt;=2,FALSE()))))),1,0)</f>
        <v>0</v>
      </c>
      <c r="FO33" s="1" t="n">
        <f aca="false">IF(AND('Daily Workforce'!$N160="Y",'Daily Workforce'!$B160&lt;&gt;"",COUNTIF('Daily Schedule'!$F$5:$F36,'Daily Workforce'!$B160)=0,IF('Daily Schedule'!$A37=45,'Daily Workforce'!$J160="Y",IF(OR('Daily Schedule'!$A37=4,'Daily Schedule'!$A37=8),IF(OR(WEEKDAY('Daily Schedule'!$B$2,2)=1,WEEKDAY('Daily Schedule'!$B$2,2)=4,WEEKDAY('Daily Schedule'!$B$2,2)=5,WEEKDAY('Daily Schedule'!$B$2,2)=7),IFERROR(1*'Daily Workforce'!$K160&gt;=3,FALSE()),IFERROR(1*'Daily Workforce'!$K160&gt;=2,FALSE())),IF(AND('Daily Schedule'!$A37&gt;=46,'Daily Schedule'!$A37&lt;=52),'Daily Workforce'!$M160="Y",IFERROR(1*'Daily Workforce'!$P160&gt;=2,FALSE()))))),1,0)</f>
        <v>0</v>
      </c>
      <c r="FP33" s="1" t="n">
        <f aca="false">IF(AND('Daily Workforce'!$N161="Y",'Daily Workforce'!$B161&lt;&gt;"",COUNTIF('Daily Schedule'!$F$5:$F36,'Daily Workforce'!$B161)=0,IF('Daily Schedule'!$A37=45,'Daily Workforce'!$J161="Y",IF(OR('Daily Schedule'!$A37=4,'Daily Schedule'!$A37=8),IF(OR(WEEKDAY('Daily Schedule'!$B$2,2)=1,WEEKDAY('Daily Schedule'!$B$2,2)=4,WEEKDAY('Daily Schedule'!$B$2,2)=5,WEEKDAY('Daily Schedule'!$B$2,2)=7),IFERROR(1*'Daily Workforce'!$K161&gt;=3,FALSE()),IFERROR(1*'Daily Workforce'!$K161&gt;=2,FALSE())),IF(AND('Daily Schedule'!$A37&gt;=46,'Daily Schedule'!$A37&lt;=52),'Daily Workforce'!$M161="Y",IFERROR(1*'Daily Workforce'!$P161&gt;=2,FALSE()))))),1,0)</f>
        <v>0</v>
      </c>
      <c r="FQ33" s="1" t="n">
        <f aca="false">IF(AND('Daily Workforce'!$N162="Y",'Daily Workforce'!$B162&lt;&gt;"",COUNTIF('Daily Schedule'!$F$5:$F36,'Daily Workforce'!$B162)=0,IF('Daily Schedule'!$A37=45,'Daily Workforce'!$J162="Y",IF(OR('Daily Schedule'!$A37=4,'Daily Schedule'!$A37=8),IF(OR(WEEKDAY('Daily Schedule'!$B$2,2)=1,WEEKDAY('Daily Schedule'!$B$2,2)=4,WEEKDAY('Daily Schedule'!$B$2,2)=5,WEEKDAY('Daily Schedule'!$B$2,2)=7),IFERROR(1*'Daily Workforce'!$K162&gt;=3,FALSE()),IFERROR(1*'Daily Workforce'!$K162&gt;=2,FALSE())),IF(AND('Daily Schedule'!$A37&gt;=46,'Daily Schedule'!$A37&lt;=52),'Daily Workforce'!$M162="Y",IFERROR(1*'Daily Workforce'!$P162&gt;=2,FALSE()))))),1,0)</f>
        <v>0</v>
      </c>
      <c r="FR33" s="1" t="n">
        <f aca="false">IF(AND('Daily Workforce'!$N163="Y",'Daily Workforce'!$B163&lt;&gt;"",COUNTIF('Daily Schedule'!$F$5:$F36,'Daily Workforce'!$B163)=0,IF('Daily Schedule'!$A37=45,'Daily Workforce'!$J163="Y",IF(OR('Daily Schedule'!$A37=4,'Daily Schedule'!$A37=8),IF(OR(WEEKDAY('Daily Schedule'!$B$2,2)=1,WEEKDAY('Daily Schedule'!$B$2,2)=4,WEEKDAY('Daily Schedule'!$B$2,2)=5,WEEKDAY('Daily Schedule'!$B$2,2)=7),IFERROR(1*'Daily Workforce'!$K163&gt;=3,FALSE()),IFERROR(1*'Daily Workforce'!$K163&gt;=2,FALSE())),IF(AND('Daily Schedule'!$A37&gt;=46,'Daily Schedule'!$A37&lt;=52),'Daily Workforce'!$M163="Y",IFERROR(1*'Daily Workforce'!$P163&gt;=2,FALSE()))))),1,0)</f>
        <v>0</v>
      </c>
      <c r="FS33" s="1" t="n">
        <f aca="false">IF(AND('Daily Workforce'!$N164="Y",'Daily Workforce'!$B164&lt;&gt;"",COUNTIF('Daily Schedule'!$F$5:$F36,'Daily Workforce'!$B164)=0,IF('Daily Schedule'!$A37=45,'Daily Workforce'!$J164="Y",IF(OR('Daily Schedule'!$A37=4,'Daily Schedule'!$A37=8),IF(OR(WEEKDAY('Daily Schedule'!$B$2,2)=1,WEEKDAY('Daily Schedule'!$B$2,2)=4,WEEKDAY('Daily Schedule'!$B$2,2)=5,WEEKDAY('Daily Schedule'!$B$2,2)=7),IFERROR(1*'Daily Workforce'!$K164&gt;=3,FALSE()),IFERROR(1*'Daily Workforce'!$K164&gt;=2,FALSE())),IF(AND('Daily Schedule'!$A37&gt;=46,'Daily Schedule'!$A37&lt;=52),'Daily Workforce'!$M164="Y",IFERROR(1*'Daily Workforce'!$P164&gt;=2,FALSE()))))),1,0)</f>
        <v>0</v>
      </c>
      <c r="FT33" s="1" t="n">
        <f aca="false">IF(AND('Daily Workforce'!$N165="Y",'Daily Workforce'!$B165&lt;&gt;"",COUNTIF('Daily Schedule'!$F$5:$F36,'Daily Workforce'!$B165)=0,IF('Daily Schedule'!$A37=45,'Daily Workforce'!$J165="Y",IF(OR('Daily Schedule'!$A37=4,'Daily Schedule'!$A37=8),IF(OR(WEEKDAY('Daily Schedule'!$B$2,2)=1,WEEKDAY('Daily Schedule'!$B$2,2)=4,WEEKDAY('Daily Schedule'!$B$2,2)=5,WEEKDAY('Daily Schedule'!$B$2,2)=7),IFERROR(1*'Daily Workforce'!$K165&gt;=3,FALSE()),IFERROR(1*'Daily Workforce'!$K165&gt;=2,FALSE())),IF(AND('Daily Schedule'!$A37&gt;=46,'Daily Schedule'!$A37&lt;=52),'Daily Workforce'!$M165="Y",IFERROR(1*'Daily Workforce'!$P165&gt;=2,FALSE()))))),1,0)</f>
        <v>0</v>
      </c>
      <c r="FU33" s="1" t="n">
        <f aca="false">IF(AND('Daily Workforce'!$N166="Y",'Daily Workforce'!$B166&lt;&gt;"",COUNTIF('Daily Schedule'!$F$5:$F36,'Daily Workforce'!$B166)=0,IF('Daily Schedule'!$A37=45,'Daily Workforce'!$J166="Y",IF(OR('Daily Schedule'!$A37=4,'Daily Schedule'!$A37=8),IF(OR(WEEKDAY('Daily Schedule'!$B$2,2)=1,WEEKDAY('Daily Schedule'!$B$2,2)=4,WEEKDAY('Daily Schedule'!$B$2,2)=5,WEEKDAY('Daily Schedule'!$B$2,2)=7),IFERROR(1*'Daily Workforce'!$K166&gt;=3,FALSE()),IFERROR(1*'Daily Workforce'!$K166&gt;=2,FALSE())),IF(AND('Daily Schedule'!$A37&gt;=46,'Daily Schedule'!$A37&lt;=52),'Daily Workforce'!$M166="Y",IFERROR(1*'Daily Workforce'!$P166&gt;=2,FALSE()))))),1,0)</f>
        <v>0</v>
      </c>
      <c r="FV33" s="1" t="n">
        <f aca="false">IF(AND('Daily Workforce'!$N167="Y",'Daily Workforce'!$B167&lt;&gt;"",COUNTIF('Daily Schedule'!$F$5:$F36,'Daily Workforce'!$B167)=0,IF('Daily Schedule'!$A37=45,'Daily Workforce'!$J167="Y",IF(OR('Daily Schedule'!$A37=4,'Daily Schedule'!$A37=8),IF(OR(WEEKDAY('Daily Schedule'!$B$2,2)=1,WEEKDAY('Daily Schedule'!$B$2,2)=4,WEEKDAY('Daily Schedule'!$B$2,2)=5,WEEKDAY('Daily Schedule'!$B$2,2)=7),IFERROR(1*'Daily Workforce'!$K167&gt;=3,FALSE()),IFERROR(1*'Daily Workforce'!$K167&gt;=2,FALSE())),IF(AND('Daily Schedule'!$A37&gt;=46,'Daily Schedule'!$A37&lt;=52),'Daily Workforce'!$M167="Y",IFERROR(1*'Daily Workforce'!$P167&gt;=2,FALSE()))))),1,0)</f>
        <v>0</v>
      </c>
      <c r="FW33" s="1" t="n">
        <f aca="false">IF(AND('Daily Workforce'!$N168="Y",'Daily Workforce'!$B168&lt;&gt;"",COUNTIF('Daily Schedule'!$F$5:$F36,'Daily Workforce'!$B168)=0,IF('Daily Schedule'!$A37=45,'Daily Workforce'!$J168="Y",IF(OR('Daily Schedule'!$A37=4,'Daily Schedule'!$A37=8),IF(OR(WEEKDAY('Daily Schedule'!$B$2,2)=1,WEEKDAY('Daily Schedule'!$B$2,2)=4,WEEKDAY('Daily Schedule'!$B$2,2)=5,WEEKDAY('Daily Schedule'!$B$2,2)=7),IFERROR(1*'Daily Workforce'!$K168&gt;=3,FALSE()),IFERROR(1*'Daily Workforce'!$K168&gt;=2,FALSE())),IF(AND('Daily Schedule'!$A37&gt;=46,'Daily Schedule'!$A37&lt;=52),'Daily Workforce'!$M168="Y",IFERROR(1*'Daily Workforce'!$P168&gt;=2,FALSE()))))),1,0)</f>
        <v>0</v>
      </c>
      <c r="FX33" s="1" t="n">
        <f aca="false">IF(AND('Daily Workforce'!$N169="Y",'Daily Workforce'!$B169&lt;&gt;"",COUNTIF('Daily Schedule'!$F$5:$F36,'Daily Workforce'!$B169)=0,IF('Daily Schedule'!$A37=45,'Daily Workforce'!$J169="Y",IF(OR('Daily Schedule'!$A37=4,'Daily Schedule'!$A37=8),IF(OR(WEEKDAY('Daily Schedule'!$B$2,2)=1,WEEKDAY('Daily Schedule'!$B$2,2)=4,WEEKDAY('Daily Schedule'!$B$2,2)=5,WEEKDAY('Daily Schedule'!$B$2,2)=7),IFERROR(1*'Daily Workforce'!$K169&gt;=3,FALSE()),IFERROR(1*'Daily Workforce'!$K169&gt;=2,FALSE())),IF(AND('Daily Schedule'!$A37&gt;=46,'Daily Schedule'!$A37&lt;=52),'Daily Workforce'!$M169="Y",IFERROR(1*'Daily Workforce'!$P169&gt;=2,FALSE()))))),1,0)</f>
        <v>0</v>
      </c>
      <c r="FY33" s="1" t="n">
        <f aca="false">IF(AND('Daily Workforce'!$N170="Y",'Daily Workforce'!$B170&lt;&gt;"",COUNTIF('Daily Schedule'!$F$5:$F36,'Daily Workforce'!$B170)=0,IF('Daily Schedule'!$A37=45,'Daily Workforce'!$J170="Y",IF(OR('Daily Schedule'!$A37=4,'Daily Schedule'!$A37=8),IF(OR(WEEKDAY('Daily Schedule'!$B$2,2)=1,WEEKDAY('Daily Schedule'!$B$2,2)=4,WEEKDAY('Daily Schedule'!$B$2,2)=5,WEEKDAY('Daily Schedule'!$B$2,2)=7),IFERROR(1*'Daily Workforce'!$K170&gt;=3,FALSE()),IFERROR(1*'Daily Workforce'!$K170&gt;=2,FALSE())),IF(AND('Daily Schedule'!$A37&gt;=46,'Daily Schedule'!$A37&lt;=52),'Daily Workforce'!$M170="Y",IFERROR(1*'Daily Workforce'!$P170&gt;=2,FALSE()))))),1,0)</f>
        <v>0</v>
      </c>
      <c r="FZ33" s="1" t="n">
        <f aca="false">IF(AND('Daily Workforce'!$N171="Y",'Daily Workforce'!$B171&lt;&gt;"",COUNTIF('Daily Schedule'!$F$5:$F36,'Daily Workforce'!$B171)=0,IF('Daily Schedule'!$A37=45,'Daily Workforce'!$J171="Y",IF(OR('Daily Schedule'!$A37=4,'Daily Schedule'!$A37=8),IF(OR(WEEKDAY('Daily Schedule'!$B$2,2)=1,WEEKDAY('Daily Schedule'!$B$2,2)=4,WEEKDAY('Daily Schedule'!$B$2,2)=5,WEEKDAY('Daily Schedule'!$B$2,2)=7),IFERROR(1*'Daily Workforce'!$K171&gt;=3,FALSE()),IFERROR(1*'Daily Workforce'!$K171&gt;=2,FALSE())),IF(AND('Daily Schedule'!$A37&gt;=46,'Daily Schedule'!$A37&lt;=52),'Daily Workforce'!$M171="Y",IFERROR(1*'Daily Workforce'!$P171&gt;=2,FALSE()))))),1,0)</f>
        <v>0</v>
      </c>
      <c r="GA33" s="1" t="n">
        <f aca="false">IF(AND('Daily Workforce'!$N172="Y",'Daily Workforce'!$B172&lt;&gt;"",COUNTIF('Daily Schedule'!$F$5:$F36,'Daily Workforce'!$B172)=0,IF('Daily Schedule'!$A37=45,'Daily Workforce'!$J172="Y",IF(OR('Daily Schedule'!$A37=4,'Daily Schedule'!$A37=8),IF(OR(WEEKDAY('Daily Schedule'!$B$2,2)=1,WEEKDAY('Daily Schedule'!$B$2,2)=4,WEEKDAY('Daily Schedule'!$B$2,2)=5,WEEKDAY('Daily Schedule'!$B$2,2)=7),IFERROR(1*'Daily Workforce'!$K172&gt;=3,FALSE()),IFERROR(1*'Daily Workforce'!$K172&gt;=2,FALSE())),IF(AND('Daily Schedule'!$A37&gt;=46,'Daily Schedule'!$A37&lt;=52),'Daily Workforce'!$M172="Y",IFERROR(1*'Daily Workforce'!$P172&gt;=2,FALSE()))))),1,0)</f>
        <v>0</v>
      </c>
      <c r="GB33" s="1" t="n">
        <f aca="false">IF(AND('Daily Workforce'!$N173="Y",'Daily Workforce'!$B173&lt;&gt;"",COUNTIF('Daily Schedule'!$F$5:$F36,'Daily Workforce'!$B173)=0,IF('Daily Schedule'!$A37=45,'Daily Workforce'!$J173="Y",IF(OR('Daily Schedule'!$A37=4,'Daily Schedule'!$A37=8),IF(OR(WEEKDAY('Daily Schedule'!$B$2,2)=1,WEEKDAY('Daily Schedule'!$B$2,2)=4,WEEKDAY('Daily Schedule'!$B$2,2)=5,WEEKDAY('Daily Schedule'!$B$2,2)=7),IFERROR(1*'Daily Workforce'!$K173&gt;=3,FALSE()),IFERROR(1*'Daily Workforce'!$K173&gt;=2,FALSE())),IF(AND('Daily Schedule'!$A37&gt;=46,'Daily Schedule'!$A37&lt;=52),'Daily Workforce'!$M173="Y",IFERROR(1*'Daily Workforce'!$P173&gt;=2,FALSE()))))),1,0)</f>
        <v>0</v>
      </c>
      <c r="GC33" s="1" t="n">
        <f aca="false">IF(AND('Daily Workforce'!$N174="Y",'Daily Workforce'!$B174&lt;&gt;"",COUNTIF('Daily Schedule'!$F$5:$F36,'Daily Workforce'!$B174)=0,IF('Daily Schedule'!$A37=45,'Daily Workforce'!$J174="Y",IF(OR('Daily Schedule'!$A37=4,'Daily Schedule'!$A37=8),IF(OR(WEEKDAY('Daily Schedule'!$B$2,2)=1,WEEKDAY('Daily Schedule'!$B$2,2)=4,WEEKDAY('Daily Schedule'!$B$2,2)=5,WEEKDAY('Daily Schedule'!$B$2,2)=7),IFERROR(1*'Daily Workforce'!$K174&gt;=3,FALSE()),IFERROR(1*'Daily Workforce'!$K174&gt;=2,FALSE())),IF(AND('Daily Schedule'!$A37&gt;=46,'Daily Schedule'!$A37&lt;=52),'Daily Workforce'!$M174="Y",IFERROR(1*'Daily Workforce'!$P174&gt;=2,FALSE()))))),1,0)</f>
        <v>0</v>
      </c>
      <c r="GD33" s="1" t="n">
        <f aca="false">IF(AND('Daily Workforce'!$N175="Y",'Daily Workforce'!$B175&lt;&gt;"",COUNTIF('Daily Schedule'!$F$5:$F36,'Daily Workforce'!$B175)=0,IF('Daily Schedule'!$A37=45,'Daily Workforce'!$J175="Y",IF(OR('Daily Schedule'!$A37=4,'Daily Schedule'!$A37=8),IF(OR(WEEKDAY('Daily Schedule'!$B$2,2)=1,WEEKDAY('Daily Schedule'!$B$2,2)=4,WEEKDAY('Daily Schedule'!$B$2,2)=5,WEEKDAY('Daily Schedule'!$B$2,2)=7),IFERROR(1*'Daily Workforce'!$K175&gt;=3,FALSE()),IFERROR(1*'Daily Workforce'!$K175&gt;=2,FALSE())),IF(AND('Daily Schedule'!$A37&gt;=46,'Daily Schedule'!$A37&lt;=52),'Daily Workforce'!$M175="Y",IFERROR(1*'Daily Workforce'!$P175&gt;=2,FALSE()))))),1,0)</f>
        <v>0</v>
      </c>
      <c r="GE33" s="1" t="n">
        <f aca="false">IF(AND('Daily Workforce'!$N176="Y",'Daily Workforce'!$B176&lt;&gt;"",COUNTIF('Daily Schedule'!$F$5:$F36,'Daily Workforce'!$B176)=0,IF('Daily Schedule'!$A37=45,'Daily Workforce'!$J176="Y",IF(OR('Daily Schedule'!$A37=4,'Daily Schedule'!$A37=8),IF(OR(WEEKDAY('Daily Schedule'!$B$2,2)=1,WEEKDAY('Daily Schedule'!$B$2,2)=4,WEEKDAY('Daily Schedule'!$B$2,2)=5,WEEKDAY('Daily Schedule'!$B$2,2)=7),IFERROR(1*'Daily Workforce'!$K176&gt;=3,FALSE()),IFERROR(1*'Daily Workforce'!$K176&gt;=2,FALSE())),IF(AND('Daily Schedule'!$A37&gt;=46,'Daily Schedule'!$A37&lt;=52),'Daily Workforce'!$M176="Y",IFERROR(1*'Daily Workforce'!$P176&gt;=2,FALSE()))))),1,0)</f>
        <v>0</v>
      </c>
      <c r="GF33" s="1" t="n">
        <f aca="false">IF(AND('Daily Workforce'!$N177="Y",'Daily Workforce'!$B177&lt;&gt;"",COUNTIF('Daily Schedule'!$F$5:$F36,'Daily Workforce'!$B177)=0,IF('Daily Schedule'!$A37=45,'Daily Workforce'!$J177="Y",IF(OR('Daily Schedule'!$A37=4,'Daily Schedule'!$A37=8),IF(OR(WEEKDAY('Daily Schedule'!$B$2,2)=1,WEEKDAY('Daily Schedule'!$B$2,2)=4,WEEKDAY('Daily Schedule'!$B$2,2)=5,WEEKDAY('Daily Schedule'!$B$2,2)=7),IFERROR(1*'Daily Workforce'!$K177&gt;=3,FALSE()),IFERROR(1*'Daily Workforce'!$K177&gt;=2,FALSE())),IF(AND('Daily Schedule'!$A37&gt;=46,'Daily Schedule'!$A37&lt;=52),'Daily Workforce'!$M177="Y",IFERROR(1*'Daily Workforce'!$P177&gt;=2,FALSE()))))),1,0)</f>
        <v>0</v>
      </c>
      <c r="GG33" s="1" t="n">
        <f aca="false">IF(AND('Daily Workforce'!$N178="Y",'Daily Workforce'!$B178&lt;&gt;"",COUNTIF('Daily Schedule'!$F$5:$F36,'Daily Workforce'!$B178)=0,IF('Daily Schedule'!$A37=45,'Daily Workforce'!$J178="Y",IF(OR('Daily Schedule'!$A37=4,'Daily Schedule'!$A37=8),IF(OR(WEEKDAY('Daily Schedule'!$B$2,2)=1,WEEKDAY('Daily Schedule'!$B$2,2)=4,WEEKDAY('Daily Schedule'!$B$2,2)=5,WEEKDAY('Daily Schedule'!$B$2,2)=7),IFERROR(1*'Daily Workforce'!$K178&gt;=3,FALSE()),IFERROR(1*'Daily Workforce'!$K178&gt;=2,FALSE())),IF(AND('Daily Schedule'!$A37&gt;=46,'Daily Schedule'!$A37&lt;=52),'Daily Workforce'!$M178="Y",IFERROR(1*'Daily Workforce'!$P178&gt;=2,FALSE()))))),1,0)</f>
        <v>0</v>
      </c>
      <c r="GH33" s="1" t="n">
        <f aca="false">IF(AND('Daily Workforce'!$N179="Y",'Daily Workforce'!$B179&lt;&gt;"",COUNTIF('Daily Schedule'!$F$5:$F36,'Daily Workforce'!$B179)=0,IF('Daily Schedule'!$A37=45,'Daily Workforce'!$J179="Y",IF(OR('Daily Schedule'!$A37=4,'Daily Schedule'!$A37=8),IF(OR(WEEKDAY('Daily Schedule'!$B$2,2)=1,WEEKDAY('Daily Schedule'!$B$2,2)=4,WEEKDAY('Daily Schedule'!$B$2,2)=5,WEEKDAY('Daily Schedule'!$B$2,2)=7),IFERROR(1*'Daily Workforce'!$K179&gt;=3,FALSE()),IFERROR(1*'Daily Workforce'!$K179&gt;=2,FALSE())),IF(AND('Daily Schedule'!$A37&gt;=46,'Daily Schedule'!$A37&lt;=52),'Daily Workforce'!$M179="Y",IFERROR(1*'Daily Workforce'!$P179&gt;=2,FALSE()))))),1,0)</f>
        <v>0</v>
      </c>
      <c r="GI33" s="1" t="n">
        <f aca="false">IF(AND('Daily Workforce'!$N180="Y",'Daily Workforce'!$B180&lt;&gt;"",COUNTIF('Daily Schedule'!$F$5:$F36,'Daily Workforce'!$B180)=0,IF('Daily Schedule'!$A37=45,'Daily Workforce'!$J180="Y",IF(OR('Daily Schedule'!$A37=4,'Daily Schedule'!$A37=8),IF(OR(WEEKDAY('Daily Schedule'!$B$2,2)=1,WEEKDAY('Daily Schedule'!$B$2,2)=4,WEEKDAY('Daily Schedule'!$B$2,2)=5,WEEKDAY('Daily Schedule'!$B$2,2)=7),IFERROR(1*'Daily Workforce'!$K180&gt;=3,FALSE()),IFERROR(1*'Daily Workforce'!$K180&gt;=2,FALSE())),IF(AND('Daily Schedule'!$A37&gt;=46,'Daily Schedule'!$A37&lt;=52),'Daily Workforce'!$M180="Y",IFERROR(1*'Daily Workforce'!$P180&gt;=2,FALSE()))))),1,0)</f>
        <v>0</v>
      </c>
      <c r="GJ33" s="1" t="n">
        <f aca="false">IF(AND('Daily Workforce'!$N181="Y",'Daily Workforce'!$B181&lt;&gt;"",COUNTIF('Daily Schedule'!$F$5:$F36,'Daily Workforce'!$B181)=0,IF('Daily Schedule'!$A37=45,'Daily Workforce'!$J181="Y",IF(OR('Daily Schedule'!$A37=4,'Daily Schedule'!$A37=8),IF(OR(WEEKDAY('Daily Schedule'!$B$2,2)=1,WEEKDAY('Daily Schedule'!$B$2,2)=4,WEEKDAY('Daily Schedule'!$B$2,2)=5,WEEKDAY('Daily Schedule'!$B$2,2)=7),IFERROR(1*'Daily Workforce'!$K181&gt;=3,FALSE()),IFERROR(1*'Daily Workforce'!$K181&gt;=2,FALSE())),IF(AND('Daily Schedule'!$A37&gt;=46,'Daily Schedule'!$A37&lt;=52),'Daily Workforce'!$M181="Y",IFERROR(1*'Daily Workforce'!$P181&gt;=2,FALSE()))))),1,0)</f>
        <v>0</v>
      </c>
      <c r="GK33" s="1" t="n">
        <f aca="false">IF(AND('Daily Workforce'!$N182="Y",'Daily Workforce'!$B182&lt;&gt;"",COUNTIF('Daily Schedule'!$F$5:$F36,'Daily Workforce'!$B182)=0,IF('Daily Schedule'!$A37=45,'Daily Workforce'!$J182="Y",IF(OR('Daily Schedule'!$A37=4,'Daily Schedule'!$A37=8),IF(OR(WEEKDAY('Daily Schedule'!$B$2,2)=1,WEEKDAY('Daily Schedule'!$B$2,2)=4,WEEKDAY('Daily Schedule'!$B$2,2)=5,WEEKDAY('Daily Schedule'!$B$2,2)=7),IFERROR(1*'Daily Workforce'!$K182&gt;=3,FALSE()),IFERROR(1*'Daily Workforce'!$K182&gt;=2,FALSE())),IF(AND('Daily Schedule'!$A37&gt;=46,'Daily Schedule'!$A37&lt;=52),'Daily Workforce'!$M182="Y",IFERROR(1*'Daily Workforce'!$P182&gt;=2,FALSE()))))),1,0)</f>
        <v>0</v>
      </c>
      <c r="GL33" s="1" t="n">
        <f aca="false">IF(AND('Daily Workforce'!$N183="Y",'Daily Workforce'!$B183&lt;&gt;"",COUNTIF('Daily Schedule'!$F$5:$F36,'Daily Workforce'!$B183)=0,IF('Daily Schedule'!$A37=45,'Daily Workforce'!$J183="Y",IF(OR('Daily Schedule'!$A37=4,'Daily Schedule'!$A37=8),IF(OR(WEEKDAY('Daily Schedule'!$B$2,2)=1,WEEKDAY('Daily Schedule'!$B$2,2)=4,WEEKDAY('Daily Schedule'!$B$2,2)=5,WEEKDAY('Daily Schedule'!$B$2,2)=7),IFERROR(1*'Daily Workforce'!$K183&gt;=3,FALSE()),IFERROR(1*'Daily Workforce'!$K183&gt;=2,FALSE())),IF(AND('Daily Schedule'!$A37&gt;=46,'Daily Schedule'!$A37&lt;=52),'Daily Workforce'!$M183="Y",IFERROR(1*'Daily Workforce'!$P183&gt;=2,FALSE()))))),1,0)</f>
        <v>0</v>
      </c>
      <c r="GM33" s="1" t="n">
        <f aca="false">IF(AND('Daily Workforce'!$N184="Y",'Daily Workforce'!$B184&lt;&gt;"",COUNTIF('Daily Schedule'!$F$5:$F36,'Daily Workforce'!$B184)=0,IF('Daily Schedule'!$A37=45,'Daily Workforce'!$J184="Y",IF(OR('Daily Schedule'!$A37=4,'Daily Schedule'!$A37=8),IF(OR(WEEKDAY('Daily Schedule'!$B$2,2)=1,WEEKDAY('Daily Schedule'!$B$2,2)=4,WEEKDAY('Daily Schedule'!$B$2,2)=5,WEEKDAY('Daily Schedule'!$B$2,2)=7),IFERROR(1*'Daily Workforce'!$K184&gt;=3,FALSE()),IFERROR(1*'Daily Workforce'!$K184&gt;=2,FALSE())),IF(AND('Daily Schedule'!$A37&gt;=46,'Daily Schedule'!$A37&lt;=52),'Daily Workforce'!$M184="Y",IFERROR(1*'Daily Workforce'!$P184&gt;=2,FALSE()))))),1,0)</f>
        <v>0</v>
      </c>
      <c r="GN33" s="1" t="n">
        <f aca="false">IF(AND('Daily Workforce'!$N185="Y",'Daily Workforce'!$B185&lt;&gt;"",COUNTIF('Daily Schedule'!$F$5:$F36,'Daily Workforce'!$B185)=0,IF('Daily Schedule'!$A37=45,'Daily Workforce'!$J185="Y",IF(OR('Daily Schedule'!$A37=4,'Daily Schedule'!$A37=8),IF(OR(WEEKDAY('Daily Schedule'!$B$2,2)=1,WEEKDAY('Daily Schedule'!$B$2,2)=4,WEEKDAY('Daily Schedule'!$B$2,2)=5,WEEKDAY('Daily Schedule'!$B$2,2)=7),IFERROR(1*'Daily Workforce'!$K185&gt;=3,FALSE()),IFERROR(1*'Daily Workforce'!$K185&gt;=2,FALSE())),IF(AND('Daily Schedule'!$A37&gt;=46,'Daily Schedule'!$A37&lt;=52),'Daily Workforce'!$M185="Y",IFERROR(1*'Daily Workforce'!$P185&gt;=2,FALSE()))))),1,0)</f>
        <v>0</v>
      </c>
      <c r="GO33" s="1" t="n">
        <f aca="false">IF(AND('Daily Workforce'!$N186="Y",'Daily Workforce'!$B186&lt;&gt;"",COUNTIF('Daily Schedule'!$F$5:$F36,'Daily Workforce'!$B186)=0,IF('Daily Schedule'!$A37=45,'Daily Workforce'!$J186="Y",IF(OR('Daily Schedule'!$A37=4,'Daily Schedule'!$A37=8),IF(OR(WEEKDAY('Daily Schedule'!$B$2,2)=1,WEEKDAY('Daily Schedule'!$B$2,2)=4,WEEKDAY('Daily Schedule'!$B$2,2)=5,WEEKDAY('Daily Schedule'!$B$2,2)=7),IFERROR(1*'Daily Workforce'!$K186&gt;=3,FALSE()),IFERROR(1*'Daily Workforce'!$K186&gt;=2,FALSE())),IF(AND('Daily Schedule'!$A37&gt;=46,'Daily Schedule'!$A37&lt;=52),'Daily Workforce'!$M186="Y",IFERROR(1*'Daily Workforce'!$P186&gt;=2,FALSE()))))),1,0)</f>
        <v>0</v>
      </c>
      <c r="GP33" s="1" t="n">
        <f aca="false">IF(AND('Daily Workforce'!$N187="Y",'Daily Workforce'!$B187&lt;&gt;"",COUNTIF('Daily Schedule'!$F$5:$F36,'Daily Workforce'!$B187)=0,IF('Daily Schedule'!$A37=45,'Daily Workforce'!$J187="Y",IF(OR('Daily Schedule'!$A37=4,'Daily Schedule'!$A37=8),IF(OR(WEEKDAY('Daily Schedule'!$B$2,2)=1,WEEKDAY('Daily Schedule'!$B$2,2)=4,WEEKDAY('Daily Schedule'!$B$2,2)=5,WEEKDAY('Daily Schedule'!$B$2,2)=7),IFERROR(1*'Daily Workforce'!$K187&gt;=3,FALSE()),IFERROR(1*'Daily Workforce'!$K187&gt;=2,FALSE())),IF(AND('Daily Schedule'!$A37&gt;=46,'Daily Schedule'!$A37&lt;=52),'Daily Workforce'!$M187="Y",IFERROR(1*'Daily Workforce'!$P187&gt;=2,FALSE()))))),1,0)</f>
        <v>0</v>
      </c>
      <c r="GQ33" s="1" t="n">
        <f aca="false">IF(AND('Daily Workforce'!$N188="Y",'Daily Workforce'!$B188&lt;&gt;"",COUNTIF('Daily Schedule'!$F$5:$F36,'Daily Workforce'!$B188)=0,IF('Daily Schedule'!$A37=45,'Daily Workforce'!$J188="Y",IF(OR('Daily Schedule'!$A37=4,'Daily Schedule'!$A37=8),IF(OR(WEEKDAY('Daily Schedule'!$B$2,2)=1,WEEKDAY('Daily Schedule'!$B$2,2)=4,WEEKDAY('Daily Schedule'!$B$2,2)=5,WEEKDAY('Daily Schedule'!$B$2,2)=7),IFERROR(1*'Daily Workforce'!$K188&gt;=3,FALSE()),IFERROR(1*'Daily Workforce'!$K188&gt;=2,FALSE())),IF(AND('Daily Schedule'!$A37&gt;=46,'Daily Schedule'!$A37&lt;=52),'Daily Workforce'!$M188="Y",IFERROR(1*'Daily Workforce'!$P188&gt;=2,FALSE()))))),1,0)</f>
        <v>0</v>
      </c>
      <c r="GR33" s="1" t="n">
        <f aca="false">IF(AND('Daily Workforce'!$N189="Y",'Daily Workforce'!$B189&lt;&gt;"",COUNTIF('Daily Schedule'!$F$5:$F36,'Daily Workforce'!$B189)=0,IF('Daily Schedule'!$A37=45,'Daily Workforce'!$J189="Y",IF(OR('Daily Schedule'!$A37=4,'Daily Schedule'!$A37=8),IF(OR(WEEKDAY('Daily Schedule'!$B$2,2)=1,WEEKDAY('Daily Schedule'!$B$2,2)=4,WEEKDAY('Daily Schedule'!$B$2,2)=5,WEEKDAY('Daily Schedule'!$B$2,2)=7),IFERROR(1*'Daily Workforce'!$K189&gt;=3,FALSE()),IFERROR(1*'Daily Workforce'!$K189&gt;=2,FALSE())),IF(AND('Daily Schedule'!$A37&gt;=46,'Daily Schedule'!$A37&lt;=52),'Daily Workforce'!$M189="Y",IFERROR(1*'Daily Workforce'!$P189&gt;=2,FALSE()))))),1,0)</f>
        <v>0</v>
      </c>
      <c r="GS33" s="1" t="n">
        <f aca="false">IF(AND('Daily Workforce'!$N190="Y",'Daily Workforce'!$B190&lt;&gt;"",COUNTIF('Daily Schedule'!$F$5:$F36,'Daily Workforce'!$B190)=0,IF('Daily Schedule'!$A37=45,'Daily Workforce'!$J190="Y",IF(OR('Daily Schedule'!$A37=4,'Daily Schedule'!$A37=8),IF(OR(WEEKDAY('Daily Schedule'!$B$2,2)=1,WEEKDAY('Daily Schedule'!$B$2,2)=4,WEEKDAY('Daily Schedule'!$B$2,2)=5,WEEKDAY('Daily Schedule'!$B$2,2)=7),IFERROR(1*'Daily Workforce'!$K190&gt;=3,FALSE()),IFERROR(1*'Daily Workforce'!$K190&gt;=2,FALSE())),IF(AND('Daily Schedule'!$A37&gt;=46,'Daily Schedule'!$A37&lt;=52),'Daily Workforce'!$M190="Y",IFERROR(1*'Daily Workforce'!$P190&gt;=2,FALSE()))))),1,0)</f>
        <v>0</v>
      </c>
      <c r="GT33" s="1" t="n">
        <f aca="false">IF(AND('Daily Workforce'!$N191="Y",'Daily Workforce'!$B191&lt;&gt;"",COUNTIF('Daily Schedule'!$F$5:$F36,'Daily Workforce'!$B191)=0,IF('Daily Schedule'!$A37=45,'Daily Workforce'!$J191="Y",IF(OR('Daily Schedule'!$A37=4,'Daily Schedule'!$A37=8),IF(OR(WEEKDAY('Daily Schedule'!$B$2,2)=1,WEEKDAY('Daily Schedule'!$B$2,2)=4,WEEKDAY('Daily Schedule'!$B$2,2)=5,WEEKDAY('Daily Schedule'!$B$2,2)=7),IFERROR(1*'Daily Workforce'!$K191&gt;=3,FALSE()),IFERROR(1*'Daily Workforce'!$K191&gt;=2,FALSE())),IF(AND('Daily Schedule'!$A37&gt;=46,'Daily Schedule'!$A37&lt;=52),'Daily Workforce'!$M191="Y",IFERROR(1*'Daily Workforce'!$P191&gt;=2,FALSE()))))),1,0)</f>
        <v>0</v>
      </c>
      <c r="GU33" s="1" t="n">
        <f aca="false">IF(AND('Daily Workforce'!$N192="Y",'Daily Workforce'!$B192&lt;&gt;"",COUNTIF('Daily Schedule'!$F$5:$F36,'Daily Workforce'!$B192)=0,IF('Daily Schedule'!$A37=45,'Daily Workforce'!$J192="Y",IF(OR('Daily Schedule'!$A37=4,'Daily Schedule'!$A37=8),IF(OR(WEEKDAY('Daily Schedule'!$B$2,2)=1,WEEKDAY('Daily Schedule'!$B$2,2)=4,WEEKDAY('Daily Schedule'!$B$2,2)=5,WEEKDAY('Daily Schedule'!$B$2,2)=7),IFERROR(1*'Daily Workforce'!$K192&gt;=3,FALSE()),IFERROR(1*'Daily Workforce'!$K192&gt;=2,FALSE())),IF(AND('Daily Schedule'!$A37&gt;=46,'Daily Schedule'!$A37&lt;=52),'Daily Workforce'!$M192="Y",IFERROR(1*'Daily Workforce'!$P192&gt;=2,FALSE()))))),1,0)</f>
        <v>0</v>
      </c>
      <c r="GV33" s="1" t="n">
        <f aca="false">IF(AND('Daily Workforce'!$N193="Y",'Daily Workforce'!$B193&lt;&gt;"",COUNTIF('Daily Schedule'!$F$5:$F36,'Daily Workforce'!$B193)=0,IF('Daily Schedule'!$A37=45,'Daily Workforce'!$J193="Y",IF(OR('Daily Schedule'!$A37=4,'Daily Schedule'!$A37=8),IF(OR(WEEKDAY('Daily Schedule'!$B$2,2)=1,WEEKDAY('Daily Schedule'!$B$2,2)=4,WEEKDAY('Daily Schedule'!$B$2,2)=5,WEEKDAY('Daily Schedule'!$B$2,2)=7),IFERROR(1*'Daily Workforce'!$K193&gt;=3,FALSE()),IFERROR(1*'Daily Workforce'!$K193&gt;=2,FALSE())),IF(AND('Daily Schedule'!$A37&gt;=46,'Daily Schedule'!$A37&lt;=52),'Daily Workforce'!$M193="Y",IFERROR(1*'Daily Workforce'!$P193&gt;=2,FALSE()))))),1,0)</f>
        <v>0</v>
      </c>
      <c r="GW33" s="1" t="n">
        <f aca="false">IF(AND('Daily Workforce'!$N194="Y",'Daily Workforce'!$B194&lt;&gt;"",COUNTIF('Daily Schedule'!$F$5:$F36,'Daily Workforce'!$B194)=0,IF('Daily Schedule'!$A37=45,'Daily Workforce'!$J194="Y",IF(OR('Daily Schedule'!$A37=4,'Daily Schedule'!$A37=8),IF(OR(WEEKDAY('Daily Schedule'!$B$2,2)=1,WEEKDAY('Daily Schedule'!$B$2,2)=4,WEEKDAY('Daily Schedule'!$B$2,2)=5,WEEKDAY('Daily Schedule'!$B$2,2)=7),IFERROR(1*'Daily Workforce'!$K194&gt;=3,FALSE()),IFERROR(1*'Daily Workforce'!$K194&gt;=2,FALSE())),IF(AND('Daily Schedule'!$A37&gt;=46,'Daily Schedule'!$A37&lt;=52),'Daily Workforce'!$M194="Y",IFERROR(1*'Daily Workforce'!$P194&gt;=2,FALSE()))))),1,0)</f>
        <v>0</v>
      </c>
      <c r="GX33" s="1" t="n">
        <f aca="false">IF(AND('Daily Workforce'!$N195="Y",'Daily Workforce'!$B195&lt;&gt;"",COUNTIF('Daily Schedule'!$F$5:$F36,'Daily Workforce'!$B195)=0,IF('Daily Schedule'!$A37=45,'Daily Workforce'!$J195="Y",IF(OR('Daily Schedule'!$A37=4,'Daily Schedule'!$A37=8),IF(OR(WEEKDAY('Daily Schedule'!$B$2,2)=1,WEEKDAY('Daily Schedule'!$B$2,2)=4,WEEKDAY('Daily Schedule'!$B$2,2)=5,WEEKDAY('Daily Schedule'!$B$2,2)=7),IFERROR(1*'Daily Workforce'!$K195&gt;=3,FALSE()),IFERROR(1*'Daily Workforce'!$K195&gt;=2,FALSE())),IF(AND('Daily Schedule'!$A37&gt;=46,'Daily Schedule'!$A37&lt;=52),'Daily Workforce'!$M195="Y",IFERROR(1*'Daily Workforce'!$P195&gt;=2,FALSE()))))),1,0)</f>
        <v>0</v>
      </c>
      <c r="GY33" s="1" t="n">
        <f aca="false">IF(AND('Daily Workforce'!$N196="Y",'Daily Workforce'!$B196&lt;&gt;"",COUNTIF('Daily Schedule'!$F$5:$F36,'Daily Workforce'!$B196)=0,IF('Daily Schedule'!$A37=45,'Daily Workforce'!$J196="Y",IF(OR('Daily Schedule'!$A37=4,'Daily Schedule'!$A37=8),IF(OR(WEEKDAY('Daily Schedule'!$B$2,2)=1,WEEKDAY('Daily Schedule'!$B$2,2)=4,WEEKDAY('Daily Schedule'!$B$2,2)=5,WEEKDAY('Daily Schedule'!$B$2,2)=7),IFERROR(1*'Daily Workforce'!$K196&gt;=3,FALSE()),IFERROR(1*'Daily Workforce'!$K196&gt;=2,FALSE())),IF(AND('Daily Schedule'!$A37&gt;=46,'Daily Schedule'!$A37&lt;=52),'Daily Workforce'!$M196="Y",IFERROR(1*'Daily Workforce'!$P196&gt;=2,FALSE()))))),1,0)</f>
        <v>0</v>
      </c>
      <c r="GZ33" s="1" t="n">
        <f aca="false">IF(AND('Daily Workforce'!$N197="Y",'Daily Workforce'!$B197&lt;&gt;"",COUNTIF('Daily Schedule'!$F$5:$F36,'Daily Workforce'!$B197)=0,IF('Daily Schedule'!$A37=45,'Daily Workforce'!$J197="Y",IF(OR('Daily Schedule'!$A37=4,'Daily Schedule'!$A37=8),IF(OR(WEEKDAY('Daily Schedule'!$B$2,2)=1,WEEKDAY('Daily Schedule'!$B$2,2)=4,WEEKDAY('Daily Schedule'!$B$2,2)=5,WEEKDAY('Daily Schedule'!$B$2,2)=7),IFERROR(1*'Daily Workforce'!$K197&gt;=3,FALSE()),IFERROR(1*'Daily Workforce'!$K197&gt;=2,FALSE())),IF(AND('Daily Schedule'!$A37&gt;=46,'Daily Schedule'!$A37&lt;=52),'Daily Workforce'!$M197="Y",IFERROR(1*'Daily Workforce'!$P197&gt;=2,FALSE()))))),1,0)</f>
        <v>0</v>
      </c>
      <c r="HA33" s="1" t="n">
        <f aca="false">IF(AND('Daily Workforce'!$N198="Y",'Daily Workforce'!$B198&lt;&gt;"",COUNTIF('Daily Schedule'!$F$5:$F36,'Daily Workforce'!$B198)=0,IF('Daily Schedule'!$A37=45,'Daily Workforce'!$J198="Y",IF(OR('Daily Schedule'!$A37=4,'Daily Schedule'!$A37=8),IF(OR(WEEKDAY('Daily Schedule'!$B$2,2)=1,WEEKDAY('Daily Schedule'!$B$2,2)=4,WEEKDAY('Daily Schedule'!$B$2,2)=5,WEEKDAY('Daily Schedule'!$B$2,2)=7),IFERROR(1*'Daily Workforce'!$K198&gt;=3,FALSE()),IFERROR(1*'Daily Workforce'!$K198&gt;=2,FALSE())),IF(AND('Daily Schedule'!$A37&gt;=46,'Daily Schedule'!$A37&lt;=52),'Daily Workforce'!$M198="Y",IFERROR(1*'Daily Workforce'!$P198&gt;=2,FALSE()))))),1,0)</f>
        <v>0</v>
      </c>
      <c r="HB33" s="1" t="n">
        <f aca="false">IF(AND('Daily Workforce'!$N199="Y",'Daily Workforce'!$B199&lt;&gt;"",COUNTIF('Daily Schedule'!$F$5:$F36,'Daily Workforce'!$B199)=0,IF('Daily Schedule'!$A37=45,'Daily Workforce'!$J199="Y",IF(OR('Daily Schedule'!$A37=4,'Daily Schedule'!$A37=8),IF(OR(WEEKDAY('Daily Schedule'!$B$2,2)=1,WEEKDAY('Daily Schedule'!$B$2,2)=4,WEEKDAY('Daily Schedule'!$B$2,2)=5,WEEKDAY('Daily Schedule'!$B$2,2)=7),IFERROR(1*'Daily Workforce'!$K199&gt;=3,FALSE()),IFERROR(1*'Daily Workforce'!$K199&gt;=2,FALSE())),IF(AND('Daily Schedule'!$A37&gt;=46,'Daily Schedule'!$A37&lt;=52),'Daily Workforce'!$M199="Y",IFERROR(1*'Daily Workforce'!$P199&gt;=2,FALSE()))))),1,0)</f>
        <v>0</v>
      </c>
      <c r="HC33" s="1" t="n">
        <f aca="false">IF(AND('Daily Workforce'!$N200="Y",'Daily Workforce'!$B200&lt;&gt;"",COUNTIF('Daily Schedule'!$F$5:$F36,'Daily Workforce'!$B200)=0,IF('Daily Schedule'!$A37=45,'Daily Workforce'!$J200="Y",IF(OR('Daily Schedule'!$A37=4,'Daily Schedule'!$A37=8),IF(OR(WEEKDAY('Daily Schedule'!$B$2,2)=1,WEEKDAY('Daily Schedule'!$B$2,2)=4,WEEKDAY('Daily Schedule'!$B$2,2)=5,WEEKDAY('Daily Schedule'!$B$2,2)=7),IFERROR(1*'Daily Workforce'!$K200&gt;=3,FALSE()),IFERROR(1*'Daily Workforce'!$K200&gt;=2,FALSE())),IF(AND('Daily Schedule'!$A37&gt;=46,'Daily Schedule'!$A37&lt;=52),'Daily Workforce'!$M200="Y",IFERROR(1*'Daily Workforce'!$P200&gt;=2,FALSE()))))),1,0)</f>
        <v>0</v>
      </c>
      <c r="HD33" s="1" t="n">
        <f aca="false">IF(AND('Daily Workforce'!$N201="Y",'Daily Workforce'!$B201&lt;&gt;"",COUNTIF('Daily Schedule'!$F$5:$F36,'Daily Workforce'!$B201)=0,IF('Daily Schedule'!$A37=45,'Daily Workforce'!$J201="Y",IF(OR('Daily Schedule'!$A37=4,'Daily Schedule'!$A37=8),IF(OR(WEEKDAY('Daily Schedule'!$B$2,2)=1,WEEKDAY('Daily Schedule'!$B$2,2)=4,WEEKDAY('Daily Schedule'!$B$2,2)=5,WEEKDAY('Daily Schedule'!$B$2,2)=7),IFERROR(1*'Daily Workforce'!$K201&gt;=3,FALSE()),IFERROR(1*'Daily Workforce'!$K201&gt;=2,FALSE())),IF(AND('Daily Schedule'!$A37&gt;=46,'Daily Schedule'!$A37&lt;=52),'Daily Workforce'!$M201="Y",IFERROR(1*'Daily Workforce'!$P201&gt;=2,FALSE()))))),1,0)</f>
        <v>0</v>
      </c>
      <c r="HE33" s="1" t="n">
        <f aca="false">IF(AND('Daily Workforce'!$N202="Y",'Daily Workforce'!$B202&lt;&gt;"",COUNTIF('Daily Schedule'!$F$5:$F36,'Daily Workforce'!$B202)=0,IF('Daily Schedule'!$A37=45,'Daily Workforce'!$J202="Y",IF(OR('Daily Schedule'!$A37=4,'Daily Schedule'!$A37=8),IF(OR(WEEKDAY('Daily Schedule'!$B$2,2)=1,WEEKDAY('Daily Schedule'!$B$2,2)=4,WEEKDAY('Daily Schedule'!$B$2,2)=5,WEEKDAY('Daily Schedule'!$B$2,2)=7),IFERROR(1*'Daily Workforce'!$K202&gt;=3,FALSE()),IFERROR(1*'Daily Workforce'!$K202&gt;=2,FALSE())),IF(AND('Daily Schedule'!$A37&gt;=46,'Daily Schedule'!$A37&lt;=52),'Daily Workforce'!$M202="Y",IFERROR(1*'Daily Workforce'!$P202&gt;=2,FALSE()))))),1,0)</f>
        <v>0</v>
      </c>
      <c r="HF33" s="1" t="n">
        <f aca="false">IF(AND('Daily Workforce'!$N203="Y",'Daily Workforce'!$B203&lt;&gt;"",COUNTIF('Daily Schedule'!$F$5:$F36,'Daily Workforce'!$B203)=0,IF('Daily Schedule'!$A37=45,'Daily Workforce'!$J203="Y",IF(OR('Daily Schedule'!$A37=4,'Daily Schedule'!$A37=8),IF(OR(WEEKDAY('Daily Schedule'!$B$2,2)=1,WEEKDAY('Daily Schedule'!$B$2,2)=4,WEEKDAY('Daily Schedule'!$B$2,2)=5,WEEKDAY('Daily Schedule'!$B$2,2)=7),IFERROR(1*'Daily Workforce'!$K203&gt;=3,FALSE()),IFERROR(1*'Daily Workforce'!$K203&gt;=2,FALSE())),IF(AND('Daily Schedule'!$A37&gt;=46,'Daily Schedule'!$A37&lt;=52),'Daily Workforce'!$M203="Y",IFERROR(1*'Daily Workforce'!$P203&gt;=2,FALSE()))))),1,0)</f>
        <v>0</v>
      </c>
      <c r="HG33" s="1" t="n">
        <f aca="false">IF(AND('Daily Workforce'!$N204="Y",'Daily Workforce'!$B204&lt;&gt;"",COUNTIF('Daily Schedule'!$F$5:$F36,'Daily Workforce'!$B204)=0,IF('Daily Schedule'!$A37=45,'Daily Workforce'!$J204="Y",IF(OR('Daily Schedule'!$A37=4,'Daily Schedule'!$A37=8),IF(OR(WEEKDAY('Daily Schedule'!$B$2,2)=1,WEEKDAY('Daily Schedule'!$B$2,2)=4,WEEKDAY('Daily Schedule'!$B$2,2)=5,WEEKDAY('Daily Schedule'!$B$2,2)=7),IFERROR(1*'Daily Workforce'!$K204&gt;=3,FALSE()),IFERROR(1*'Daily Workforce'!$K204&gt;=2,FALSE())),IF(AND('Daily Schedule'!$A37&gt;=46,'Daily Schedule'!$A37&lt;=52),'Daily Workforce'!$M204="Y",IFERROR(1*'Daily Workforce'!$P204&gt;=2,FALSE()))))),1,0)</f>
        <v>0</v>
      </c>
      <c r="HH33" s="1" t="n">
        <f aca="false">IF(AND('Daily Workforce'!$N205="Y",'Daily Workforce'!$B205&lt;&gt;"",COUNTIF('Daily Schedule'!$F$5:$F36,'Daily Workforce'!$B205)=0,IF('Daily Schedule'!$A37=45,'Daily Workforce'!$J205="Y",IF(OR('Daily Schedule'!$A37=4,'Daily Schedule'!$A37=8),IF(OR(WEEKDAY('Daily Schedule'!$B$2,2)=1,WEEKDAY('Daily Schedule'!$B$2,2)=4,WEEKDAY('Daily Schedule'!$B$2,2)=5,WEEKDAY('Daily Schedule'!$B$2,2)=7),IFERROR(1*'Daily Workforce'!$K205&gt;=3,FALSE()),IFERROR(1*'Daily Workforce'!$K205&gt;=2,FALSE())),IF(AND('Daily Schedule'!$A37&gt;=46,'Daily Schedule'!$A37&lt;=52),'Daily Workforce'!$M205="Y",IFERROR(1*'Daily Workforce'!$P205&gt;=2,FALSE()))))),1,0)</f>
        <v>0</v>
      </c>
    </row>
    <row r="34" customFormat="false" ht="15" hidden="false" customHeight="true" outlineLevel="0" collapsed="false">
      <c r="L34" s="1" t="s">
        <v>812</v>
      </c>
      <c r="O34" s="1" t="n">
        <f aca="false">IF(AND('Employee Master'!$G34="Y",ISERROR(SEARCH(TEXT('Daily Workforce'!$B$2,"ddd"),'Employee Master'!$D34)),IF('Daily Workforce'!$E$2="",TRUE(),'Employee Master'!$I34='Daily Workforce'!$E$2)),'Employee Master'!$K34*1000+ROW()-1,"")</f>
        <v>5033</v>
      </c>
      <c r="P34" s="1" t="n">
        <f aca="false">IF($O34="","",COUNTIF($O$2:$O$159,"&lt;="&amp;$O34))</f>
        <v>107</v>
      </c>
      <c r="Q34" s="1" t="n">
        <f aca="false">IF(AND('Daily Workforce'!$N6="Y",'Daily Workforce'!$B6&lt;&gt;"",COUNTIF('Daily Schedule'!$F$5:$F37,'Daily Workforce'!$B6)=0,IF('Daily Schedule'!$A38=45,'Daily Workforce'!$J6="Y",IF(OR('Daily Schedule'!$A38=4,'Daily Schedule'!$A38=8),IF(OR(WEEKDAY('Daily Schedule'!$B$2,2)=1,WEEKDAY('Daily Schedule'!$B$2,2)=4,WEEKDAY('Daily Schedule'!$B$2,2)=5,WEEKDAY('Daily Schedule'!$B$2,2)=7),IFERROR(1*'Daily Workforce'!$K6&gt;=3,FALSE()),IFERROR(1*'Daily Workforce'!$K6&gt;=2,FALSE())),IF(AND('Daily Schedule'!$A38&gt;=46,'Daily Schedule'!$A38&lt;=52),'Daily Workforce'!$M6="Y",IFERROR(1*'Daily Workforce'!$P6&gt;=2,FALSE()))))),1,0)</f>
        <v>0</v>
      </c>
      <c r="R34" s="1" t="n">
        <f aca="false">IF(AND('Daily Workforce'!$N7="Y",'Daily Workforce'!$B7&lt;&gt;"",COUNTIF('Daily Schedule'!$F$5:$F37,'Daily Workforce'!$B7)=0,IF('Daily Schedule'!$A38=45,'Daily Workforce'!$J7="Y",IF(OR('Daily Schedule'!$A38=4,'Daily Schedule'!$A38=8),IF(OR(WEEKDAY('Daily Schedule'!$B$2,2)=1,WEEKDAY('Daily Schedule'!$B$2,2)=4,WEEKDAY('Daily Schedule'!$B$2,2)=5,WEEKDAY('Daily Schedule'!$B$2,2)=7),IFERROR(1*'Daily Workforce'!$K7&gt;=3,FALSE()),IFERROR(1*'Daily Workforce'!$K7&gt;=2,FALSE())),IF(AND('Daily Schedule'!$A38&gt;=46,'Daily Schedule'!$A38&lt;=52),'Daily Workforce'!$M7="Y",IFERROR(1*'Daily Workforce'!$P7&gt;=2,FALSE()))))),1,0)</f>
        <v>0</v>
      </c>
      <c r="S34" s="1" t="n">
        <f aca="false">IF(AND('Daily Workforce'!$N8="Y",'Daily Workforce'!$B8&lt;&gt;"",COUNTIF('Daily Schedule'!$F$5:$F37,'Daily Workforce'!$B8)=0,IF('Daily Schedule'!$A38=45,'Daily Workforce'!$J8="Y",IF(OR('Daily Schedule'!$A38=4,'Daily Schedule'!$A38=8),IF(OR(WEEKDAY('Daily Schedule'!$B$2,2)=1,WEEKDAY('Daily Schedule'!$B$2,2)=4,WEEKDAY('Daily Schedule'!$B$2,2)=5,WEEKDAY('Daily Schedule'!$B$2,2)=7),IFERROR(1*'Daily Workforce'!$K8&gt;=3,FALSE()),IFERROR(1*'Daily Workforce'!$K8&gt;=2,FALSE())),IF(AND('Daily Schedule'!$A38&gt;=46,'Daily Schedule'!$A38&lt;=52),'Daily Workforce'!$M8="Y",IFERROR(1*'Daily Workforce'!$P8&gt;=2,FALSE()))))),1,0)</f>
        <v>0</v>
      </c>
      <c r="T34" s="1" t="n">
        <f aca="false">IF(AND('Daily Workforce'!$N9="Y",'Daily Workforce'!$B9&lt;&gt;"",COUNTIF('Daily Schedule'!$F$5:$F37,'Daily Workforce'!$B9)=0,IF('Daily Schedule'!$A38=45,'Daily Workforce'!$J9="Y",IF(OR('Daily Schedule'!$A38=4,'Daily Schedule'!$A38=8),IF(OR(WEEKDAY('Daily Schedule'!$B$2,2)=1,WEEKDAY('Daily Schedule'!$B$2,2)=4,WEEKDAY('Daily Schedule'!$B$2,2)=5,WEEKDAY('Daily Schedule'!$B$2,2)=7),IFERROR(1*'Daily Workforce'!$K9&gt;=3,FALSE()),IFERROR(1*'Daily Workforce'!$K9&gt;=2,FALSE())),IF(AND('Daily Schedule'!$A38&gt;=46,'Daily Schedule'!$A38&lt;=52),'Daily Workforce'!$M9="Y",IFERROR(1*'Daily Workforce'!$P9&gt;=2,FALSE()))))),1,0)</f>
        <v>0</v>
      </c>
      <c r="U34" s="1" t="n">
        <f aca="false">IF(AND('Daily Workforce'!$N10="Y",'Daily Workforce'!$B10&lt;&gt;"",COUNTIF('Daily Schedule'!$F$5:$F37,'Daily Workforce'!$B10)=0,IF('Daily Schedule'!$A38=45,'Daily Workforce'!$J10="Y",IF(OR('Daily Schedule'!$A38=4,'Daily Schedule'!$A38=8),IF(OR(WEEKDAY('Daily Schedule'!$B$2,2)=1,WEEKDAY('Daily Schedule'!$B$2,2)=4,WEEKDAY('Daily Schedule'!$B$2,2)=5,WEEKDAY('Daily Schedule'!$B$2,2)=7),IFERROR(1*'Daily Workforce'!$K10&gt;=3,FALSE()),IFERROR(1*'Daily Workforce'!$K10&gt;=2,FALSE())),IF(AND('Daily Schedule'!$A38&gt;=46,'Daily Schedule'!$A38&lt;=52),'Daily Workforce'!$M10="Y",IFERROR(1*'Daily Workforce'!$P10&gt;=2,FALSE()))))),1,0)</f>
        <v>0</v>
      </c>
      <c r="V34" s="1" t="n">
        <f aca="false">IF(AND('Daily Workforce'!$N11="Y",'Daily Workforce'!$B11&lt;&gt;"",COUNTIF('Daily Schedule'!$F$5:$F37,'Daily Workforce'!$B11)=0,IF('Daily Schedule'!$A38=45,'Daily Workforce'!$J11="Y",IF(OR('Daily Schedule'!$A38=4,'Daily Schedule'!$A38=8),IF(OR(WEEKDAY('Daily Schedule'!$B$2,2)=1,WEEKDAY('Daily Schedule'!$B$2,2)=4,WEEKDAY('Daily Schedule'!$B$2,2)=5,WEEKDAY('Daily Schedule'!$B$2,2)=7),IFERROR(1*'Daily Workforce'!$K11&gt;=3,FALSE()),IFERROR(1*'Daily Workforce'!$K11&gt;=2,FALSE())),IF(AND('Daily Schedule'!$A38&gt;=46,'Daily Schedule'!$A38&lt;=52),'Daily Workforce'!$M11="Y",IFERROR(1*'Daily Workforce'!$P11&gt;=2,FALSE()))))),1,0)</f>
        <v>0</v>
      </c>
      <c r="W34" s="1" t="n">
        <f aca="false">IF(AND('Daily Workforce'!$N12="Y",'Daily Workforce'!$B12&lt;&gt;"",COUNTIF('Daily Schedule'!$F$5:$F37,'Daily Workforce'!$B12)=0,IF('Daily Schedule'!$A38=45,'Daily Workforce'!$J12="Y",IF(OR('Daily Schedule'!$A38=4,'Daily Schedule'!$A38=8),IF(OR(WEEKDAY('Daily Schedule'!$B$2,2)=1,WEEKDAY('Daily Schedule'!$B$2,2)=4,WEEKDAY('Daily Schedule'!$B$2,2)=5,WEEKDAY('Daily Schedule'!$B$2,2)=7),IFERROR(1*'Daily Workforce'!$K12&gt;=3,FALSE()),IFERROR(1*'Daily Workforce'!$K12&gt;=2,FALSE())),IF(AND('Daily Schedule'!$A38&gt;=46,'Daily Schedule'!$A38&lt;=52),'Daily Workforce'!$M12="Y",IFERROR(1*'Daily Workforce'!$P12&gt;=2,FALSE()))))),1,0)</f>
        <v>0</v>
      </c>
      <c r="X34" s="1" t="n">
        <f aca="false">IF(AND('Daily Workforce'!$N13="Y",'Daily Workforce'!$B13&lt;&gt;"",COUNTIF('Daily Schedule'!$F$5:$F37,'Daily Workforce'!$B13)=0,IF('Daily Schedule'!$A38=45,'Daily Workforce'!$J13="Y",IF(OR('Daily Schedule'!$A38=4,'Daily Schedule'!$A38=8),IF(OR(WEEKDAY('Daily Schedule'!$B$2,2)=1,WEEKDAY('Daily Schedule'!$B$2,2)=4,WEEKDAY('Daily Schedule'!$B$2,2)=5,WEEKDAY('Daily Schedule'!$B$2,2)=7),IFERROR(1*'Daily Workforce'!$K13&gt;=3,FALSE()),IFERROR(1*'Daily Workforce'!$K13&gt;=2,FALSE())),IF(AND('Daily Schedule'!$A38&gt;=46,'Daily Schedule'!$A38&lt;=52),'Daily Workforce'!$M13="Y",IFERROR(1*'Daily Workforce'!$P13&gt;=2,FALSE()))))),1,0)</f>
        <v>0</v>
      </c>
      <c r="Y34" s="1" t="n">
        <f aca="false">IF(AND('Daily Workforce'!$N14="Y",'Daily Workforce'!$B14&lt;&gt;"",COUNTIF('Daily Schedule'!$F$5:$F37,'Daily Workforce'!$B14)=0,IF('Daily Schedule'!$A38=45,'Daily Workforce'!$J14="Y",IF(OR('Daily Schedule'!$A38=4,'Daily Schedule'!$A38=8),IF(OR(WEEKDAY('Daily Schedule'!$B$2,2)=1,WEEKDAY('Daily Schedule'!$B$2,2)=4,WEEKDAY('Daily Schedule'!$B$2,2)=5,WEEKDAY('Daily Schedule'!$B$2,2)=7),IFERROR(1*'Daily Workforce'!$K14&gt;=3,FALSE()),IFERROR(1*'Daily Workforce'!$K14&gt;=2,FALSE())),IF(AND('Daily Schedule'!$A38&gt;=46,'Daily Schedule'!$A38&lt;=52),'Daily Workforce'!$M14="Y",IFERROR(1*'Daily Workforce'!$P14&gt;=2,FALSE()))))),1,0)</f>
        <v>0</v>
      </c>
      <c r="Z34" s="1" t="n">
        <f aca="false">IF(AND('Daily Workforce'!$N15="Y",'Daily Workforce'!$B15&lt;&gt;"",COUNTIF('Daily Schedule'!$F$5:$F37,'Daily Workforce'!$B15)=0,IF('Daily Schedule'!$A38=45,'Daily Workforce'!$J15="Y",IF(OR('Daily Schedule'!$A38=4,'Daily Schedule'!$A38=8),IF(OR(WEEKDAY('Daily Schedule'!$B$2,2)=1,WEEKDAY('Daily Schedule'!$B$2,2)=4,WEEKDAY('Daily Schedule'!$B$2,2)=5,WEEKDAY('Daily Schedule'!$B$2,2)=7),IFERROR(1*'Daily Workforce'!$K15&gt;=3,FALSE()),IFERROR(1*'Daily Workforce'!$K15&gt;=2,FALSE())),IF(AND('Daily Schedule'!$A38&gt;=46,'Daily Schedule'!$A38&lt;=52),'Daily Workforce'!$M15="Y",IFERROR(1*'Daily Workforce'!$P15&gt;=2,FALSE()))))),1,0)</f>
        <v>0</v>
      </c>
      <c r="AA34" s="1" t="n">
        <f aca="false">IF(AND('Daily Workforce'!$N16="Y",'Daily Workforce'!$B16&lt;&gt;"",COUNTIF('Daily Schedule'!$F$5:$F37,'Daily Workforce'!$B16)=0,IF('Daily Schedule'!$A38=45,'Daily Workforce'!$J16="Y",IF(OR('Daily Schedule'!$A38=4,'Daily Schedule'!$A38=8),IF(OR(WEEKDAY('Daily Schedule'!$B$2,2)=1,WEEKDAY('Daily Schedule'!$B$2,2)=4,WEEKDAY('Daily Schedule'!$B$2,2)=5,WEEKDAY('Daily Schedule'!$B$2,2)=7),IFERROR(1*'Daily Workforce'!$K16&gt;=3,FALSE()),IFERROR(1*'Daily Workforce'!$K16&gt;=2,FALSE())),IF(AND('Daily Schedule'!$A38&gt;=46,'Daily Schedule'!$A38&lt;=52),'Daily Workforce'!$M16="Y",IFERROR(1*'Daily Workforce'!$P16&gt;=2,FALSE()))))),1,0)</f>
        <v>0</v>
      </c>
      <c r="AB34" s="1" t="n">
        <f aca="false">IF(AND('Daily Workforce'!$N17="Y",'Daily Workforce'!$B17&lt;&gt;"",COUNTIF('Daily Schedule'!$F$5:$F37,'Daily Workforce'!$B17)=0,IF('Daily Schedule'!$A38=45,'Daily Workforce'!$J17="Y",IF(OR('Daily Schedule'!$A38=4,'Daily Schedule'!$A38=8),IF(OR(WEEKDAY('Daily Schedule'!$B$2,2)=1,WEEKDAY('Daily Schedule'!$B$2,2)=4,WEEKDAY('Daily Schedule'!$B$2,2)=5,WEEKDAY('Daily Schedule'!$B$2,2)=7),IFERROR(1*'Daily Workforce'!$K17&gt;=3,FALSE()),IFERROR(1*'Daily Workforce'!$K17&gt;=2,FALSE())),IF(AND('Daily Schedule'!$A38&gt;=46,'Daily Schedule'!$A38&lt;=52),'Daily Workforce'!$M17="Y",IFERROR(1*'Daily Workforce'!$P17&gt;=2,FALSE()))))),1,0)</f>
        <v>0</v>
      </c>
      <c r="AC34" s="1" t="n">
        <f aca="false">IF(AND('Daily Workforce'!$N18="Y",'Daily Workforce'!$B18&lt;&gt;"",COUNTIF('Daily Schedule'!$F$5:$F37,'Daily Workforce'!$B18)=0,IF('Daily Schedule'!$A38=45,'Daily Workforce'!$J18="Y",IF(OR('Daily Schedule'!$A38=4,'Daily Schedule'!$A38=8),IF(OR(WEEKDAY('Daily Schedule'!$B$2,2)=1,WEEKDAY('Daily Schedule'!$B$2,2)=4,WEEKDAY('Daily Schedule'!$B$2,2)=5,WEEKDAY('Daily Schedule'!$B$2,2)=7),IFERROR(1*'Daily Workforce'!$K18&gt;=3,FALSE()),IFERROR(1*'Daily Workforce'!$K18&gt;=2,FALSE())),IF(AND('Daily Schedule'!$A38&gt;=46,'Daily Schedule'!$A38&lt;=52),'Daily Workforce'!$M18="Y",IFERROR(1*'Daily Workforce'!$P18&gt;=2,FALSE()))))),1,0)</f>
        <v>0</v>
      </c>
      <c r="AD34" s="1" t="n">
        <f aca="false">IF(AND('Daily Workforce'!$N19="Y",'Daily Workforce'!$B19&lt;&gt;"",COUNTIF('Daily Schedule'!$F$5:$F37,'Daily Workforce'!$B19)=0,IF('Daily Schedule'!$A38=45,'Daily Workforce'!$J19="Y",IF(OR('Daily Schedule'!$A38=4,'Daily Schedule'!$A38=8),IF(OR(WEEKDAY('Daily Schedule'!$B$2,2)=1,WEEKDAY('Daily Schedule'!$B$2,2)=4,WEEKDAY('Daily Schedule'!$B$2,2)=5,WEEKDAY('Daily Schedule'!$B$2,2)=7),IFERROR(1*'Daily Workforce'!$K19&gt;=3,FALSE()),IFERROR(1*'Daily Workforce'!$K19&gt;=2,FALSE())),IF(AND('Daily Schedule'!$A38&gt;=46,'Daily Schedule'!$A38&lt;=52),'Daily Workforce'!$M19="Y",IFERROR(1*'Daily Workforce'!$P19&gt;=2,FALSE()))))),1,0)</f>
        <v>0</v>
      </c>
      <c r="AE34" s="1" t="n">
        <f aca="false">IF(AND('Daily Workforce'!$N20="Y",'Daily Workforce'!$B20&lt;&gt;"",COUNTIF('Daily Schedule'!$F$5:$F37,'Daily Workforce'!$B20)=0,IF('Daily Schedule'!$A38=45,'Daily Workforce'!$J20="Y",IF(OR('Daily Schedule'!$A38=4,'Daily Schedule'!$A38=8),IF(OR(WEEKDAY('Daily Schedule'!$B$2,2)=1,WEEKDAY('Daily Schedule'!$B$2,2)=4,WEEKDAY('Daily Schedule'!$B$2,2)=5,WEEKDAY('Daily Schedule'!$B$2,2)=7),IFERROR(1*'Daily Workforce'!$K20&gt;=3,FALSE()),IFERROR(1*'Daily Workforce'!$K20&gt;=2,FALSE())),IF(AND('Daily Schedule'!$A38&gt;=46,'Daily Schedule'!$A38&lt;=52),'Daily Workforce'!$M20="Y",IFERROR(1*'Daily Workforce'!$P20&gt;=2,FALSE()))))),1,0)</f>
        <v>0</v>
      </c>
      <c r="AF34" s="1" t="n">
        <f aca="false">IF(AND('Daily Workforce'!$N21="Y",'Daily Workforce'!$B21&lt;&gt;"",COUNTIF('Daily Schedule'!$F$5:$F37,'Daily Workforce'!$B21)=0,IF('Daily Schedule'!$A38=45,'Daily Workforce'!$J21="Y",IF(OR('Daily Schedule'!$A38=4,'Daily Schedule'!$A38=8),IF(OR(WEEKDAY('Daily Schedule'!$B$2,2)=1,WEEKDAY('Daily Schedule'!$B$2,2)=4,WEEKDAY('Daily Schedule'!$B$2,2)=5,WEEKDAY('Daily Schedule'!$B$2,2)=7),IFERROR(1*'Daily Workforce'!$K21&gt;=3,FALSE()),IFERROR(1*'Daily Workforce'!$K21&gt;=2,FALSE())),IF(AND('Daily Schedule'!$A38&gt;=46,'Daily Schedule'!$A38&lt;=52),'Daily Workforce'!$M21="Y",IFERROR(1*'Daily Workforce'!$P21&gt;=2,FALSE()))))),1,0)</f>
        <v>0</v>
      </c>
      <c r="AG34" s="1" t="n">
        <f aca="false">IF(AND('Daily Workforce'!$N22="Y",'Daily Workforce'!$B22&lt;&gt;"",COUNTIF('Daily Schedule'!$F$5:$F37,'Daily Workforce'!$B22)=0,IF('Daily Schedule'!$A38=45,'Daily Workforce'!$J22="Y",IF(OR('Daily Schedule'!$A38=4,'Daily Schedule'!$A38=8),IF(OR(WEEKDAY('Daily Schedule'!$B$2,2)=1,WEEKDAY('Daily Schedule'!$B$2,2)=4,WEEKDAY('Daily Schedule'!$B$2,2)=5,WEEKDAY('Daily Schedule'!$B$2,2)=7),IFERROR(1*'Daily Workforce'!$K22&gt;=3,FALSE()),IFERROR(1*'Daily Workforce'!$K22&gt;=2,FALSE())),IF(AND('Daily Schedule'!$A38&gt;=46,'Daily Schedule'!$A38&lt;=52),'Daily Workforce'!$M22="Y",IFERROR(1*'Daily Workforce'!$P22&gt;=2,FALSE()))))),1,0)</f>
        <v>0</v>
      </c>
      <c r="AH34" s="1" t="n">
        <f aca="false">IF(AND('Daily Workforce'!$N23="Y",'Daily Workforce'!$B23&lt;&gt;"",COUNTIF('Daily Schedule'!$F$5:$F37,'Daily Workforce'!$B23)=0,IF('Daily Schedule'!$A38=45,'Daily Workforce'!$J23="Y",IF(OR('Daily Schedule'!$A38=4,'Daily Schedule'!$A38=8),IF(OR(WEEKDAY('Daily Schedule'!$B$2,2)=1,WEEKDAY('Daily Schedule'!$B$2,2)=4,WEEKDAY('Daily Schedule'!$B$2,2)=5,WEEKDAY('Daily Schedule'!$B$2,2)=7),IFERROR(1*'Daily Workforce'!$K23&gt;=3,FALSE()),IFERROR(1*'Daily Workforce'!$K23&gt;=2,FALSE())),IF(AND('Daily Schedule'!$A38&gt;=46,'Daily Schedule'!$A38&lt;=52),'Daily Workforce'!$M23="Y",IFERROR(1*'Daily Workforce'!$P23&gt;=2,FALSE()))))),1,0)</f>
        <v>0</v>
      </c>
      <c r="AI34" s="1" t="n">
        <f aca="false">IF(AND('Daily Workforce'!$N24="Y",'Daily Workforce'!$B24&lt;&gt;"",COUNTIF('Daily Schedule'!$F$5:$F37,'Daily Workforce'!$B24)=0,IF('Daily Schedule'!$A38=45,'Daily Workforce'!$J24="Y",IF(OR('Daily Schedule'!$A38=4,'Daily Schedule'!$A38=8),IF(OR(WEEKDAY('Daily Schedule'!$B$2,2)=1,WEEKDAY('Daily Schedule'!$B$2,2)=4,WEEKDAY('Daily Schedule'!$B$2,2)=5,WEEKDAY('Daily Schedule'!$B$2,2)=7),IFERROR(1*'Daily Workforce'!$K24&gt;=3,FALSE()),IFERROR(1*'Daily Workforce'!$K24&gt;=2,FALSE())),IF(AND('Daily Schedule'!$A38&gt;=46,'Daily Schedule'!$A38&lt;=52),'Daily Workforce'!$M24="Y",IFERROR(1*'Daily Workforce'!$P24&gt;=2,FALSE()))))),1,0)</f>
        <v>0</v>
      </c>
      <c r="AJ34" s="1" t="n">
        <f aca="false">IF(AND('Daily Workforce'!$N25="Y",'Daily Workforce'!$B25&lt;&gt;"",COUNTIF('Daily Schedule'!$F$5:$F37,'Daily Workforce'!$B25)=0,IF('Daily Schedule'!$A38=45,'Daily Workforce'!$J25="Y",IF(OR('Daily Schedule'!$A38=4,'Daily Schedule'!$A38=8),IF(OR(WEEKDAY('Daily Schedule'!$B$2,2)=1,WEEKDAY('Daily Schedule'!$B$2,2)=4,WEEKDAY('Daily Schedule'!$B$2,2)=5,WEEKDAY('Daily Schedule'!$B$2,2)=7),IFERROR(1*'Daily Workforce'!$K25&gt;=3,FALSE()),IFERROR(1*'Daily Workforce'!$K25&gt;=2,FALSE())),IF(AND('Daily Schedule'!$A38&gt;=46,'Daily Schedule'!$A38&lt;=52),'Daily Workforce'!$M25="Y",IFERROR(1*'Daily Workforce'!$P25&gt;=2,FALSE()))))),1,0)</f>
        <v>0</v>
      </c>
      <c r="AK34" s="1" t="n">
        <f aca="false">IF(AND('Daily Workforce'!$N26="Y",'Daily Workforce'!$B26&lt;&gt;"",COUNTIF('Daily Schedule'!$F$5:$F37,'Daily Workforce'!$B26)=0,IF('Daily Schedule'!$A38=45,'Daily Workforce'!$J26="Y",IF(OR('Daily Schedule'!$A38=4,'Daily Schedule'!$A38=8),IF(OR(WEEKDAY('Daily Schedule'!$B$2,2)=1,WEEKDAY('Daily Schedule'!$B$2,2)=4,WEEKDAY('Daily Schedule'!$B$2,2)=5,WEEKDAY('Daily Schedule'!$B$2,2)=7),IFERROR(1*'Daily Workforce'!$K26&gt;=3,FALSE()),IFERROR(1*'Daily Workforce'!$K26&gt;=2,FALSE())),IF(AND('Daily Schedule'!$A38&gt;=46,'Daily Schedule'!$A38&lt;=52),'Daily Workforce'!$M26="Y",IFERROR(1*'Daily Workforce'!$P26&gt;=2,FALSE()))))),1,0)</f>
        <v>0</v>
      </c>
      <c r="AL34" s="1" t="n">
        <f aca="false">IF(AND('Daily Workforce'!$N27="Y",'Daily Workforce'!$B27&lt;&gt;"",COUNTIF('Daily Schedule'!$F$5:$F37,'Daily Workforce'!$B27)=0,IF('Daily Schedule'!$A38=45,'Daily Workforce'!$J27="Y",IF(OR('Daily Schedule'!$A38=4,'Daily Schedule'!$A38=8),IF(OR(WEEKDAY('Daily Schedule'!$B$2,2)=1,WEEKDAY('Daily Schedule'!$B$2,2)=4,WEEKDAY('Daily Schedule'!$B$2,2)=5,WEEKDAY('Daily Schedule'!$B$2,2)=7),IFERROR(1*'Daily Workforce'!$K27&gt;=3,FALSE()),IFERROR(1*'Daily Workforce'!$K27&gt;=2,FALSE())),IF(AND('Daily Schedule'!$A38&gt;=46,'Daily Schedule'!$A38&lt;=52),'Daily Workforce'!$M27="Y",IFERROR(1*'Daily Workforce'!$P27&gt;=2,FALSE()))))),1,0)</f>
        <v>0</v>
      </c>
      <c r="AM34" s="1" t="n">
        <f aca="false">IF(AND('Daily Workforce'!$N28="Y",'Daily Workforce'!$B28&lt;&gt;"",COUNTIF('Daily Schedule'!$F$5:$F37,'Daily Workforce'!$B28)=0,IF('Daily Schedule'!$A38=45,'Daily Workforce'!$J28="Y",IF(OR('Daily Schedule'!$A38=4,'Daily Schedule'!$A38=8),IF(OR(WEEKDAY('Daily Schedule'!$B$2,2)=1,WEEKDAY('Daily Schedule'!$B$2,2)=4,WEEKDAY('Daily Schedule'!$B$2,2)=5,WEEKDAY('Daily Schedule'!$B$2,2)=7),IFERROR(1*'Daily Workforce'!$K28&gt;=3,FALSE()),IFERROR(1*'Daily Workforce'!$K28&gt;=2,FALSE())),IF(AND('Daily Schedule'!$A38&gt;=46,'Daily Schedule'!$A38&lt;=52),'Daily Workforce'!$M28="Y",IFERROR(1*'Daily Workforce'!$P28&gt;=2,FALSE()))))),1,0)</f>
        <v>0</v>
      </c>
      <c r="AN34" s="1" t="n">
        <f aca="false">IF(AND('Daily Workforce'!$N29="Y",'Daily Workforce'!$B29&lt;&gt;"",COUNTIF('Daily Schedule'!$F$5:$F37,'Daily Workforce'!$B29)=0,IF('Daily Schedule'!$A38=45,'Daily Workforce'!$J29="Y",IF(OR('Daily Schedule'!$A38=4,'Daily Schedule'!$A38=8),IF(OR(WEEKDAY('Daily Schedule'!$B$2,2)=1,WEEKDAY('Daily Schedule'!$B$2,2)=4,WEEKDAY('Daily Schedule'!$B$2,2)=5,WEEKDAY('Daily Schedule'!$B$2,2)=7),IFERROR(1*'Daily Workforce'!$K29&gt;=3,FALSE()),IFERROR(1*'Daily Workforce'!$K29&gt;=2,FALSE())),IF(AND('Daily Schedule'!$A38&gt;=46,'Daily Schedule'!$A38&lt;=52),'Daily Workforce'!$M29="Y",IFERROR(1*'Daily Workforce'!$P29&gt;=2,FALSE()))))),1,0)</f>
        <v>0</v>
      </c>
      <c r="AO34" s="1" t="n">
        <f aca="false">IF(AND('Daily Workforce'!$N30="Y",'Daily Workforce'!$B30&lt;&gt;"",COUNTIF('Daily Schedule'!$F$5:$F37,'Daily Workforce'!$B30)=0,IF('Daily Schedule'!$A38=45,'Daily Workforce'!$J30="Y",IF(OR('Daily Schedule'!$A38=4,'Daily Schedule'!$A38=8),IF(OR(WEEKDAY('Daily Schedule'!$B$2,2)=1,WEEKDAY('Daily Schedule'!$B$2,2)=4,WEEKDAY('Daily Schedule'!$B$2,2)=5,WEEKDAY('Daily Schedule'!$B$2,2)=7),IFERROR(1*'Daily Workforce'!$K30&gt;=3,FALSE()),IFERROR(1*'Daily Workforce'!$K30&gt;=2,FALSE())),IF(AND('Daily Schedule'!$A38&gt;=46,'Daily Schedule'!$A38&lt;=52),'Daily Workforce'!$M30="Y",IFERROR(1*'Daily Workforce'!$P30&gt;=2,FALSE()))))),1,0)</f>
        <v>0</v>
      </c>
      <c r="AP34" s="1" t="n">
        <f aca="false">IF(AND('Daily Workforce'!$N31="Y",'Daily Workforce'!$B31&lt;&gt;"",COUNTIF('Daily Schedule'!$F$5:$F37,'Daily Workforce'!$B31)=0,IF('Daily Schedule'!$A38=45,'Daily Workforce'!$J31="Y",IF(OR('Daily Schedule'!$A38=4,'Daily Schedule'!$A38=8),IF(OR(WEEKDAY('Daily Schedule'!$B$2,2)=1,WEEKDAY('Daily Schedule'!$B$2,2)=4,WEEKDAY('Daily Schedule'!$B$2,2)=5,WEEKDAY('Daily Schedule'!$B$2,2)=7),IFERROR(1*'Daily Workforce'!$K31&gt;=3,FALSE()),IFERROR(1*'Daily Workforce'!$K31&gt;=2,FALSE())),IF(AND('Daily Schedule'!$A38&gt;=46,'Daily Schedule'!$A38&lt;=52),'Daily Workforce'!$M31="Y",IFERROR(1*'Daily Workforce'!$P31&gt;=2,FALSE()))))),1,0)</f>
        <v>0</v>
      </c>
      <c r="AQ34" s="1" t="n">
        <f aca="false">IF(AND('Daily Workforce'!$N32="Y",'Daily Workforce'!$B32&lt;&gt;"",COUNTIF('Daily Schedule'!$F$5:$F37,'Daily Workforce'!$B32)=0,IF('Daily Schedule'!$A38=45,'Daily Workforce'!$J32="Y",IF(OR('Daily Schedule'!$A38=4,'Daily Schedule'!$A38=8),IF(OR(WEEKDAY('Daily Schedule'!$B$2,2)=1,WEEKDAY('Daily Schedule'!$B$2,2)=4,WEEKDAY('Daily Schedule'!$B$2,2)=5,WEEKDAY('Daily Schedule'!$B$2,2)=7),IFERROR(1*'Daily Workforce'!$K32&gt;=3,FALSE()),IFERROR(1*'Daily Workforce'!$K32&gt;=2,FALSE())),IF(AND('Daily Schedule'!$A38&gt;=46,'Daily Schedule'!$A38&lt;=52),'Daily Workforce'!$M32="Y",IFERROR(1*'Daily Workforce'!$P32&gt;=2,FALSE()))))),1,0)</f>
        <v>0</v>
      </c>
      <c r="AR34" s="1" t="n">
        <f aca="false">IF(AND('Daily Workforce'!$N33="Y",'Daily Workforce'!$B33&lt;&gt;"",COUNTIF('Daily Schedule'!$F$5:$F37,'Daily Workforce'!$B33)=0,IF('Daily Schedule'!$A38=45,'Daily Workforce'!$J33="Y",IF(OR('Daily Schedule'!$A38=4,'Daily Schedule'!$A38=8),IF(OR(WEEKDAY('Daily Schedule'!$B$2,2)=1,WEEKDAY('Daily Schedule'!$B$2,2)=4,WEEKDAY('Daily Schedule'!$B$2,2)=5,WEEKDAY('Daily Schedule'!$B$2,2)=7),IFERROR(1*'Daily Workforce'!$K33&gt;=3,FALSE()),IFERROR(1*'Daily Workforce'!$K33&gt;=2,FALSE())),IF(AND('Daily Schedule'!$A38&gt;=46,'Daily Schedule'!$A38&lt;=52),'Daily Workforce'!$M33="Y",IFERROR(1*'Daily Workforce'!$P33&gt;=2,FALSE()))))),1,0)</f>
        <v>0</v>
      </c>
      <c r="AS34" s="1" t="n">
        <f aca="false">IF(AND('Daily Workforce'!$N34="Y",'Daily Workforce'!$B34&lt;&gt;"",COUNTIF('Daily Schedule'!$F$5:$F37,'Daily Workforce'!$B34)=0,IF('Daily Schedule'!$A38=45,'Daily Workforce'!$J34="Y",IF(OR('Daily Schedule'!$A38=4,'Daily Schedule'!$A38=8),IF(OR(WEEKDAY('Daily Schedule'!$B$2,2)=1,WEEKDAY('Daily Schedule'!$B$2,2)=4,WEEKDAY('Daily Schedule'!$B$2,2)=5,WEEKDAY('Daily Schedule'!$B$2,2)=7),IFERROR(1*'Daily Workforce'!$K34&gt;=3,FALSE()),IFERROR(1*'Daily Workforce'!$K34&gt;=2,FALSE())),IF(AND('Daily Schedule'!$A38&gt;=46,'Daily Schedule'!$A38&lt;=52),'Daily Workforce'!$M34="Y",IFERROR(1*'Daily Workforce'!$P34&gt;=2,FALSE()))))),1,0)</f>
        <v>0</v>
      </c>
      <c r="AT34" s="1" t="n">
        <f aca="false">IF(AND('Daily Workforce'!$N35="Y",'Daily Workforce'!$B35&lt;&gt;"",COUNTIF('Daily Schedule'!$F$5:$F37,'Daily Workforce'!$B35)=0,IF('Daily Schedule'!$A38=45,'Daily Workforce'!$J35="Y",IF(OR('Daily Schedule'!$A38=4,'Daily Schedule'!$A38=8),IF(OR(WEEKDAY('Daily Schedule'!$B$2,2)=1,WEEKDAY('Daily Schedule'!$B$2,2)=4,WEEKDAY('Daily Schedule'!$B$2,2)=5,WEEKDAY('Daily Schedule'!$B$2,2)=7),IFERROR(1*'Daily Workforce'!$K35&gt;=3,FALSE()),IFERROR(1*'Daily Workforce'!$K35&gt;=2,FALSE())),IF(AND('Daily Schedule'!$A38&gt;=46,'Daily Schedule'!$A38&lt;=52),'Daily Workforce'!$M35="Y",IFERROR(1*'Daily Workforce'!$P35&gt;=2,FALSE()))))),1,0)</f>
        <v>0</v>
      </c>
      <c r="AU34" s="1" t="n">
        <f aca="false">IF(AND('Daily Workforce'!$N36="Y",'Daily Workforce'!$B36&lt;&gt;"",COUNTIF('Daily Schedule'!$F$5:$F37,'Daily Workforce'!$B36)=0,IF('Daily Schedule'!$A38=45,'Daily Workforce'!$J36="Y",IF(OR('Daily Schedule'!$A38=4,'Daily Schedule'!$A38=8),IF(OR(WEEKDAY('Daily Schedule'!$B$2,2)=1,WEEKDAY('Daily Schedule'!$B$2,2)=4,WEEKDAY('Daily Schedule'!$B$2,2)=5,WEEKDAY('Daily Schedule'!$B$2,2)=7),IFERROR(1*'Daily Workforce'!$K36&gt;=3,FALSE()),IFERROR(1*'Daily Workforce'!$K36&gt;=2,FALSE())),IF(AND('Daily Schedule'!$A38&gt;=46,'Daily Schedule'!$A38&lt;=52),'Daily Workforce'!$M36="Y",IFERROR(1*'Daily Workforce'!$P36&gt;=2,FALSE()))))),1,0)</f>
        <v>0</v>
      </c>
      <c r="AV34" s="1" t="n">
        <f aca="false">IF(AND('Daily Workforce'!$N37="Y",'Daily Workforce'!$B37&lt;&gt;"",COUNTIF('Daily Schedule'!$F$5:$F37,'Daily Workforce'!$B37)=0,IF('Daily Schedule'!$A38=45,'Daily Workforce'!$J37="Y",IF(OR('Daily Schedule'!$A38=4,'Daily Schedule'!$A38=8),IF(OR(WEEKDAY('Daily Schedule'!$B$2,2)=1,WEEKDAY('Daily Schedule'!$B$2,2)=4,WEEKDAY('Daily Schedule'!$B$2,2)=5,WEEKDAY('Daily Schedule'!$B$2,2)=7),IFERROR(1*'Daily Workforce'!$K37&gt;=3,FALSE()),IFERROR(1*'Daily Workforce'!$K37&gt;=2,FALSE())),IF(AND('Daily Schedule'!$A38&gt;=46,'Daily Schedule'!$A38&lt;=52),'Daily Workforce'!$M37="Y",IFERROR(1*'Daily Workforce'!$P37&gt;=2,FALSE()))))),1,0)</f>
        <v>1</v>
      </c>
      <c r="AW34" s="1" t="n">
        <f aca="false">IF(AND('Daily Workforce'!$N38="Y",'Daily Workforce'!$B38&lt;&gt;"",COUNTIF('Daily Schedule'!$F$5:$F37,'Daily Workforce'!$B38)=0,IF('Daily Schedule'!$A38=45,'Daily Workforce'!$J38="Y",IF(OR('Daily Schedule'!$A38=4,'Daily Schedule'!$A38=8),IF(OR(WEEKDAY('Daily Schedule'!$B$2,2)=1,WEEKDAY('Daily Schedule'!$B$2,2)=4,WEEKDAY('Daily Schedule'!$B$2,2)=5,WEEKDAY('Daily Schedule'!$B$2,2)=7),IFERROR(1*'Daily Workforce'!$K38&gt;=3,FALSE()),IFERROR(1*'Daily Workforce'!$K38&gt;=2,FALSE())),IF(AND('Daily Schedule'!$A38&gt;=46,'Daily Schedule'!$A38&lt;=52),'Daily Workforce'!$M38="Y",IFERROR(1*'Daily Workforce'!$P38&gt;=2,FALSE()))))),1,0)</f>
        <v>1</v>
      </c>
      <c r="AX34" s="1" t="n">
        <f aca="false">IF(AND('Daily Workforce'!$N39="Y",'Daily Workforce'!$B39&lt;&gt;"",COUNTIF('Daily Schedule'!$F$5:$F37,'Daily Workforce'!$B39)=0,IF('Daily Schedule'!$A38=45,'Daily Workforce'!$J39="Y",IF(OR('Daily Schedule'!$A38=4,'Daily Schedule'!$A38=8),IF(OR(WEEKDAY('Daily Schedule'!$B$2,2)=1,WEEKDAY('Daily Schedule'!$B$2,2)=4,WEEKDAY('Daily Schedule'!$B$2,2)=5,WEEKDAY('Daily Schedule'!$B$2,2)=7),IFERROR(1*'Daily Workforce'!$K39&gt;=3,FALSE()),IFERROR(1*'Daily Workforce'!$K39&gt;=2,FALSE())),IF(AND('Daily Schedule'!$A38&gt;=46,'Daily Schedule'!$A38&lt;=52),'Daily Workforce'!$M39="Y",IFERROR(1*'Daily Workforce'!$P39&gt;=2,FALSE()))))),1,0)</f>
        <v>1</v>
      </c>
      <c r="AY34" s="1" t="n">
        <f aca="false">IF(AND('Daily Workforce'!$N40="Y",'Daily Workforce'!$B40&lt;&gt;"",COUNTIF('Daily Schedule'!$F$5:$F37,'Daily Workforce'!$B40)=0,IF('Daily Schedule'!$A38=45,'Daily Workforce'!$J40="Y",IF(OR('Daily Schedule'!$A38=4,'Daily Schedule'!$A38=8),IF(OR(WEEKDAY('Daily Schedule'!$B$2,2)=1,WEEKDAY('Daily Schedule'!$B$2,2)=4,WEEKDAY('Daily Schedule'!$B$2,2)=5,WEEKDAY('Daily Schedule'!$B$2,2)=7),IFERROR(1*'Daily Workforce'!$K40&gt;=3,FALSE()),IFERROR(1*'Daily Workforce'!$K40&gt;=2,FALSE())),IF(AND('Daily Schedule'!$A38&gt;=46,'Daily Schedule'!$A38&lt;=52),'Daily Workforce'!$M40="Y",IFERROR(1*'Daily Workforce'!$P40&gt;=2,FALSE()))))),1,0)</f>
        <v>1</v>
      </c>
      <c r="AZ34" s="1" t="n">
        <f aca="false">IF(AND('Daily Workforce'!$N41="Y",'Daily Workforce'!$B41&lt;&gt;"",COUNTIF('Daily Schedule'!$F$5:$F37,'Daily Workforce'!$B41)=0,IF('Daily Schedule'!$A38=45,'Daily Workforce'!$J41="Y",IF(OR('Daily Schedule'!$A38=4,'Daily Schedule'!$A38=8),IF(OR(WEEKDAY('Daily Schedule'!$B$2,2)=1,WEEKDAY('Daily Schedule'!$B$2,2)=4,WEEKDAY('Daily Schedule'!$B$2,2)=5,WEEKDAY('Daily Schedule'!$B$2,2)=7),IFERROR(1*'Daily Workforce'!$K41&gt;=3,FALSE()),IFERROR(1*'Daily Workforce'!$K41&gt;=2,FALSE())),IF(AND('Daily Schedule'!$A38&gt;=46,'Daily Schedule'!$A38&lt;=52),'Daily Workforce'!$M41="Y",IFERROR(1*'Daily Workforce'!$P41&gt;=2,FALSE()))))),1,0)</f>
        <v>1</v>
      </c>
      <c r="BA34" s="1" t="n">
        <f aca="false">IF(AND('Daily Workforce'!$N42="Y",'Daily Workforce'!$B42&lt;&gt;"",COUNTIF('Daily Schedule'!$F$5:$F37,'Daily Workforce'!$B42)=0,IF('Daily Schedule'!$A38=45,'Daily Workforce'!$J42="Y",IF(OR('Daily Schedule'!$A38=4,'Daily Schedule'!$A38=8),IF(OR(WEEKDAY('Daily Schedule'!$B$2,2)=1,WEEKDAY('Daily Schedule'!$B$2,2)=4,WEEKDAY('Daily Schedule'!$B$2,2)=5,WEEKDAY('Daily Schedule'!$B$2,2)=7),IFERROR(1*'Daily Workforce'!$K42&gt;=3,FALSE()),IFERROR(1*'Daily Workforce'!$K42&gt;=2,FALSE())),IF(AND('Daily Schedule'!$A38&gt;=46,'Daily Schedule'!$A38&lt;=52),'Daily Workforce'!$M42="Y",IFERROR(1*'Daily Workforce'!$P42&gt;=2,FALSE()))))),1,0)</f>
        <v>1</v>
      </c>
      <c r="BB34" s="1" t="n">
        <f aca="false">IF(AND('Daily Workforce'!$N43="Y",'Daily Workforce'!$B43&lt;&gt;"",COUNTIF('Daily Schedule'!$F$5:$F37,'Daily Workforce'!$B43)=0,IF('Daily Schedule'!$A38=45,'Daily Workforce'!$J43="Y",IF(OR('Daily Schedule'!$A38=4,'Daily Schedule'!$A38=8),IF(OR(WEEKDAY('Daily Schedule'!$B$2,2)=1,WEEKDAY('Daily Schedule'!$B$2,2)=4,WEEKDAY('Daily Schedule'!$B$2,2)=5,WEEKDAY('Daily Schedule'!$B$2,2)=7),IFERROR(1*'Daily Workforce'!$K43&gt;=3,FALSE()),IFERROR(1*'Daily Workforce'!$K43&gt;=2,FALSE())),IF(AND('Daily Schedule'!$A38&gt;=46,'Daily Schedule'!$A38&lt;=52),'Daily Workforce'!$M43="Y",IFERROR(1*'Daily Workforce'!$P43&gt;=2,FALSE()))))),1,0)</f>
        <v>1</v>
      </c>
      <c r="BC34" s="1" t="n">
        <f aca="false">IF(AND('Daily Workforce'!$N44="Y",'Daily Workforce'!$B44&lt;&gt;"",COUNTIF('Daily Schedule'!$F$5:$F37,'Daily Workforce'!$B44)=0,IF('Daily Schedule'!$A38=45,'Daily Workforce'!$J44="Y",IF(OR('Daily Schedule'!$A38=4,'Daily Schedule'!$A38=8),IF(OR(WEEKDAY('Daily Schedule'!$B$2,2)=1,WEEKDAY('Daily Schedule'!$B$2,2)=4,WEEKDAY('Daily Schedule'!$B$2,2)=5,WEEKDAY('Daily Schedule'!$B$2,2)=7),IFERROR(1*'Daily Workforce'!$K44&gt;=3,FALSE()),IFERROR(1*'Daily Workforce'!$K44&gt;=2,FALSE())),IF(AND('Daily Schedule'!$A38&gt;=46,'Daily Schedule'!$A38&lt;=52),'Daily Workforce'!$M44="Y",IFERROR(1*'Daily Workforce'!$P44&gt;=2,FALSE()))))),1,0)</f>
        <v>1</v>
      </c>
      <c r="BD34" s="1" t="n">
        <f aca="false">IF(AND('Daily Workforce'!$N45="Y",'Daily Workforce'!$B45&lt;&gt;"",COUNTIF('Daily Schedule'!$F$5:$F37,'Daily Workforce'!$B45)=0,IF('Daily Schedule'!$A38=45,'Daily Workforce'!$J45="Y",IF(OR('Daily Schedule'!$A38=4,'Daily Schedule'!$A38=8),IF(OR(WEEKDAY('Daily Schedule'!$B$2,2)=1,WEEKDAY('Daily Schedule'!$B$2,2)=4,WEEKDAY('Daily Schedule'!$B$2,2)=5,WEEKDAY('Daily Schedule'!$B$2,2)=7),IFERROR(1*'Daily Workforce'!$K45&gt;=3,FALSE()),IFERROR(1*'Daily Workforce'!$K45&gt;=2,FALSE())),IF(AND('Daily Schedule'!$A38&gt;=46,'Daily Schedule'!$A38&lt;=52),'Daily Workforce'!$M45="Y",IFERROR(1*'Daily Workforce'!$P45&gt;=2,FALSE()))))),1,0)</f>
        <v>1</v>
      </c>
      <c r="BE34" s="1" t="n">
        <f aca="false">IF(AND('Daily Workforce'!$N46="Y",'Daily Workforce'!$B46&lt;&gt;"",COUNTIF('Daily Schedule'!$F$5:$F37,'Daily Workforce'!$B46)=0,IF('Daily Schedule'!$A38=45,'Daily Workforce'!$J46="Y",IF(OR('Daily Schedule'!$A38=4,'Daily Schedule'!$A38=8),IF(OR(WEEKDAY('Daily Schedule'!$B$2,2)=1,WEEKDAY('Daily Schedule'!$B$2,2)=4,WEEKDAY('Daily Schedule'!$B$2,2)=5,WEEKDAY('Daily Schedule'!$B$2,2)=7),IFERROR(1*'Daily Workforce'!$K46&gt;=3,FALSE()),IFERROR(1*'Daily Workforce'!$K46&gt;=2,FALSE())),IF(AND('Daily Schedule'!$A38&gt;=46,'Daily Schedule'!$A38&lt;=52),'Daily Workforce'!$M46="Y",IFERROR(1*'Daily Workforce'!$P46&gt;=2,FALSE()))))),1,0)</f>
        <v>1</v>
      </c>
      <c r="BF34" s="1" t="n">
        <f aca="false">IF(AND('Daily Workforce'!$N47="Y",'Daily Workforce'!$B47&lt;&gt;"",COUNTIF('Daily Schedule'!$F$5:$F37,'Daily Workforce'!$B47)=0,IF('Daily Schedule'!$A38=45,'Daily Workforce'!$J47="Y",IF(OR('Daily Schedule'!$A38=4,'Daily Schedule'!$A38=8),IF(OR(WEEKDAY('Daily Schedule'!$B$2,2)=1,WEEKDAY('Daily Schedule'!$B$2,2)=4,WEEKDAY('Daily Schedule'!$B$2,2)=5,WEEKDAY('Daily Schedule'!$B$2,2)=7),IFERROR(1*'Daily Workforce'!$K47&gt;=3,FALSE()),IFERROR(1*'Daily Workforce'!$K47&gt;=2,FALSE())),IF(AND('Daily Schedule'!$A38&gt;=46,'Daily Schedule'!$A38&lt;=52),'Daily Workforce'!$M47="Y",IFERROR(1*'Daily Workforce'!$P47&gt;=2,FALSE()))))),1,0)</f>
        <v>0</v>
      </c>
      <c r="BG34" s="1" t="n">
        <f aca="false">IF(AND('Daily Workforce'!$N48="Y",'Daily Workforce'!$B48&lt;&gt;"",COUNTIF('Daily Schedule'!$F$5:$F37,'Daily Workforce'!$B48)=0,IF('Daily Schedule'!$A38=45,'Daily Workforce'!$J48="Y",IF(OR('Daily Schedule'!$A38=4,'Daily Schedule'!$A38=8),IF(OR(WEEKDAY('Daily Schedule'!$B$2,2)=1,WEEKDAY('Daily Schedule'!$B$2,2)=4,WEEKDAY('Daily Schedule'!$B$2,2)=5,WEEKDAY('Daily Schedule'!$B$2,2)=7),IFERROR(1*'Daily Workforce'!$K48&gt;=3,FALSE()),IFERROR(1*'Daily Workforce'!$K48&gt;=2,FALSE())),IF(AND('Daily Schedule'!$A38&gt;=46,'Daily Schedule'!$A38&lt;=52),'Daily Workforce'!$M48="Y",IFERROR(1*'Daily Workforce'!$P48&gt;=2,FALSE()))))),1,0)</f>
        <v>1</v>
      </c>
      <c r="BH34" s="1" t="n">
        <f aca="false">IF(AND('Daily Workforce'!$N49="Y",'Daily Workforce'!$B49&lt;&gt;"",COUNTIF('Daily Schedule'!$F$5:$F37,'Daily Workforce'!$B49)=0,IF('Daily Schedule'!$A38=45,'Daily Workforce'!$J49="Y",IF(OR('Daily Schedule'!$A38=4,'Daily Schedule'!$A38=8),IF(OR(WEEKDAY('Daily Schedule'!$B$2,2)=1,WEEKDAY('Daily Schedule'!$B$2,2)=4,WEEKDAY('Daily Schedule'!$B$2,2)=5,WEEKDAY('Daily Schedule'!$B$2,2)=7),IFERROR(1*'Daily Workforce'!$K49&gt;=3,FALSE()),IFERROR(1*'Daily Workforce'!$K49&gt;=2,FALSE())),IF(AND('Daily Schedule'!$A38&gt;=46,'Daily Schedule'!$A38&lt;=52),'Daily Workforce'!$M49="Y",IFERROR(1*'Daily Workforce'!$P49&gt;=2,FALSE()))))),1,0)</f>
        <v>1</v>
      </c>
      <c r="BI34" s="1" t="n">
        <f aca="false">IF(AND('Daily Workforce'!$N50="Y",'Daily Workforce'!$B50&lt;&gt;"",COUNTIF('Daily Schedule'!$F$5:$F37,'Daily Workforce'!$B50)=0,IF('Daily Schedule'!$A38=45,'Daily Workforce'!$J50="Y",IF(OR('Daily Schedule'!$A38=4,'Daily Schedule'!$A38=8),IF(OR(WEEKDAY('Daily Schedule'!$B$2,2)=1,WEEKDAY('Daily Schedule'!$B$2,2)=4,WEEKDAY('Daily Schedule'!$B$2,2)=5,WEEKDAY('Daily Schedule'!$B$2,2)=7),IFERROR(1*'Daily Workforce'!$K50&gt;=3,FALSE()),IFERROR(1*'Daily Workforce'!$K50&gt;=2,FALSE())),IF(AND('Daily Schedule'!$A38&gt;=46,'Daily Schedule'!$A38&lt;=52),'Daily Workforce'!$M50="Y",IFERROR(1*'Daily Workforce'!$P50&gt;=2,FALSE()))))),1,0)</f>
        <v>0</v>
      </c>
      <c r="BJ34" s="1" t="n">
        <f aca="false">IF(AND('Daily Workforce'!$N51="Y",'Daily Workforce'!$B51&lt;&gt;"",COUNTIF('Daily Schedule'!$F$5:$F37,'Daily Workforce'!$B51)=0,IF('Daily Schedule'!$A38=45,'Daily Workforce'!$J51="Y",IF(OR('Daily Schedule'!$A38=4,'Daily Schedule'!$A38=8),IF(OR(WEEKDAY('Daily Schedule'!$B$2,2)=1,WEEKDAY('Daily Schedule'!$B$2,2)=4,WEEKDAY('Daily Schedule'!$B$2,2)=5,WEEKDAY('Daily Schedule'!$B$2,2)=7),IFERROR(1*'Daily Workforce'!$K51&gt;=3,FALSE()),IFERROR(1*'Daily Workforce'!$K51&gt;=2,FALSE())),IF(AND('Daily Schedule'!$A38&gt;=46,'Daily Schedule'!$A38&lt;=52),'Daily Workforce'!$M51="Y",IFERROR(1*'Daily Workforce'!$P51&gt;=2,FALSE()))))),1,0)</f>
        <v>1</v>
      </c>
      <c r="BK34" s="1" t="n">
        <f aca="false">IF(AND('Daily Workforce'!$N52="Y",'Daily Workforce'!$B52&lt;&gt;"",COUNTIF('Daily Schedule'!$F$5:$F37,'Daily Workforce'!$B52)=0,IF('Daily Schedule'!$A38=45,'Daily Workforce'!$J52="Y",IF(OR('Daily Schedule'!$A38=4,'Daily Schedule'!$A38=8),IF(OR(WEEKDAY('Daily Schedule'!$B$2,2)=1,WEEKDAY('Daily Schedule'!$B$2,2)=4,WEEKDAY('Daily Schedule'!$B$2,2)=5,WEEKDAY('Daily Schedule'!$B$2,2)=7),IFERROR(1*'Daily Workforce'!$K52&gt;=3,FALSE()),IFERROR(1*'Daily Workforce'!$K52&gt;=2,FALSE())),IF(AND('Daily Schedule'!$A38&gt;=46,'Daily Schedule'!$A38&lt;=52),'Daily Workforce'!$M52="Y",IFERROR(1*'Daily Workforce'!$P52&gt;=2,FALSE()))))),1,0)</f>
        <v>1</v>
      </c>
      <c r="BL34" s="1" t="n">
        <f aca="false">IF(AND('Daily Workforce'!$N53="Y",'Daily Workforce'!$B53&lt;&gt;"",COUNTIF('Daily Schedule'!$F$5:$F37,'Daily Workforce'!$B53)=0,IF('Daily Schedule'!$A38=45,'Daily Workforce'!$J53="Y",IF(OR('Daily Schedule'!$A38=4,'Daily Schedule'!$A38=8),IF(OR(WEEKDAY('Daily Schedule'!$B$2,2)=1,WEEKDAY('Daily Schedule'!$B$2,2)=4,WEEKDAY('Daily Schedule'!$B$2,2)=5,WEEKDAY('Daily Schedule'!$B$2,2)=7),IFERROR(1*'Daily Workforce'!$K53&gt;=3,FALSE()),IFERROR(1*'Daily Workforce'!$K53&gt;=2,FALSE())),IF(AND('Daily Schedule'!$A38&gt;=46,'Daily Schedule'!$A38&lt;=52),'Daily Workforce'!$M53="Y",IFERROR(1*'Daily Workforce'!$P53&gt;=2,FALSE()))))),1,0)</f>
        <v>1</v>
      </c>
      <c r="BM34" s="1" t="n">
        <f aca="false">IF(AND('Daily Workforce'!$N54="Y",'Daily Workforce'!$B54&lt;&gt;"",COUNTIF('Daily Schedule'!$F$5:$F37,'Daily Workforce'!$B54)=0,IF('Daily Schedule'!$A38=45,'Daily Workforce'!$J54="Y",IF(OR('Daily Schedule'!$A38=4,'Daily Schedule'!$A38=8),IF(OR(WEEKDAY('Daily Schedule'!$B$2,2)=1,WEEKDAY('Daily Schedule'!$B$2,2)=4,WEEKDAY('Daily Schedule'!$B$2,2)=5,WEEKDAY('Daily Schedule'!$B$2,2)=7),IFERROR(1*'Daily Workforce'!$K54&gt;=3,FALSE()),IFERROR(1*'Daily Workforce'!$K54&gt;=2,FALSE())),IF(AND('Daily Schedule'!$A38&gt;=46,'Daily Schedule'!$A38&lt;=52),'Daily Workforce'!$M54="Y",IFERROR(1*'Daily Workforce'!$P54&gt;=2,FALSE()))))),1,0)</f>
        <v>1</v>
      </c>
      <c r="BN34" s="1" t="n">
        <f aca="false">IF(AND('Daily Workforce'!$N55="Y",'Daily Workforce'!$B55&lt;&gt;"",COUNTIF('Daily Schedule'!$F$5:$F37,'Daily Workforce'!$B55)=0,IF('Daily Schedule'!$A38=45,'Daily Workforce'!$J55="Y",IF(OR('Daily Schedule'!$A38=4,'Daily Schedule'!$A38=8),IF(OR(WEEKDAY('Daily Schedule'!$B$2,2)=1,WEEKDAY('Daily Schedule'!$B$2,2)=4,WEEKDAY('Daily Schedule'!$B$2,2)=5,WEEKDAY('Daily Schedule'!$B$2,2)=7),IFERROR(1*'Daily Workforce'!$K55&gt;=3,FALSE()),IFERROR(1*'Daily Workforce'!$K55&gt;=2,FALSE())),IF(AND('Daily Schedule'!$A38&gt;=46,'Daily Schedule'!$A38&lt;=52),'Daily Workforce'!$M55="Y",IFERROR(1*'Daily Workforce'!$P55&gt;=2,FALSE()))))),1,0)</f>
        <v>1</v>
      </c>
      <c r="BO34" s="1" t="n">
        <f aca="false">IF(AND('Daily Workforce'!$N56="Y",'Daily Workforce'!$B56&lt;&gt;"",COUNTIF('Daily Schedule'!$F$5:$F37,'Daily Workforce'!$B56)=0,IF('Daily Schedule'!$A38=45,'Daily Workforce'!$J56="Y",IF(OR('Daily Schedule'!$A38=4,'Daily Schedule'!$A38=8),IF(OR(WEEKDAY('Daily Schedule'!$B$2,2)=1,WEEKDAY('Daily Schedule'!$B$2,2)=4,WEEKDAY('Daily Schedule'!$B$2,2)=5,WEEKDAY('Daily Schedule'!$B$2,2)=7),IFERROR(1*'Daily Workforce'!$K56&gt;=3,FALSE()),IFERROR(1*'Daily Workforce'!$K56&gt;=2,FALSE())),IF(AND('Daily Schedule'!$A38&gt;=46,'Daily Schedule'!$A38&lt;=52),'Daily Workforce'!$M56="Y",IFERROR(1*'Daily Workforce'!$P56&gt;=2,FALSE()))))),1,0)</f>
        <v>1</v>
      </c>
      <c r="BP34" s="1" t="n">
        <f aca="false">IF(AND('Daily Workforce'!$N57="Y",'Daily Workforce'!$B57&lt;&gt;"",COUNTIF('Daily Schedule'!$F$5:$F37,'Daily Workforce'!$B57)=0,IF('Daily Schedule'!$A38=45,'Daily Workforce'!$J57="Y",IF(OR('Daily Schedule'!$A38=4,'Daily Schedule'!$A38=8),IF(OR(WEEKDAY('Daily Schedule'!$B$2,2)=1,WEEKDAY('Daily Schedule'!$B$2,2)=4,WEEKDAY('Daily Schedule'!$B$2,2)=5,WEEKDAY('Daily Schedule'!$B$2,2)=7),IFERROR(1*'Daily Workforce'!$K57&gt;=3,FALSE()),IFERROR(1*'Daily Workforce'!$K57&gt;=2,FALSE())),IF(AND('Daily Schedule'!$A38&gt;=46,'Daily Schedule'!$A38&lt;=52),'Daily Workforce'!$M57="Y",IFERROR(1*'Daily Workforce'!$P57&gt;=2,FALSE()))))),1,0)</f>
        <v>0</v>
      </c>
      <c r="BQ34" s="1" t="n">
        <f aca="false">IF(AND('Daily Workforce'!$N58="Y",'Daily Workforce'!$B58&lt;&gt;"",COUNTIF('Daily Schedule'!$F$5:$F37,'Daily Workforce'!$B58)=0,IF('Daily Schedule'!$A38=45,'Daily Workforce'!$J58="Y",IF(OR('Daily Schedule'!$A38=4,'Daily Schedule'!$A38=8),IF(OR(WEEKDAY('Daily Schedule'!$B$2,2)=1,WEEKDAY('Daily Schedule'!$B$2,2)=4,WEEKDAY('Daily Schedule'!$B$2,2)=5,WEEKDAY('Daily Schedule'!$B$2,2)=7),IFERROR(1*'Daily Workforce'!$K58&gt;=3,FALSE()),IFERROR(1*'Daily Workforce'!$K58&gt;=2,FALSE())),IF(AND('Daily Schedule'!$A38&gt;=46,'Daily Schedule'!$A38&lt;=52),'Daily Workforce'!$M58="Y",IFERROR(1*'Daily Workforce'!$P58&gt;=2,FALSE()))))),1,0)</f>
        <v>1</v>
      </c>
      <c r="BR34" s="1" t="n">
        <f aca="false">IF(AND('Daily Workforce'!$N59="Y",'Daily Workforce'!$B59&lt;&gt;"",COUNTIF('Daily Schedule'!$F$5:$F37,'Daily Workforce'!$B59)=0,IF('Daily Schedule'!$A38=45,'Daily Workforce'!$J59="Y",IF(OR('Daily Schedule'!$A38=4,'Daily Schedule'!$A38=8),IF(OR(WEEKDAY('Daily Schedule'!$B$2,2)=1,WEEKDAY('Daily Schedule'!$B$2,2)=4,WEEKDAY('Daily Schedule'!$B$2,2)=5,WEEKDAY('Daily Schedule'!$B$2,2)=7),IFERROR(1*'Daily Workforce'!$K59&gt;=3,FALSE()),IFERROR(1*'Daily Workforce'!$K59&gt;=2,FALSE())),IF(AND('Daily Schedule'!$A38&gt;=46,'Daily Schedule'!$A38&lt;=52),'Daily Workforce'!$M59="Y",IFERROR(1*'Daily Workforce'!$P59&gt;=2,FALSE()))))),1,0)</f>
        <v>1</v>
      </c>
      <c r="BS34" s="1" t="n">
        <f aca="false">IF(AND('Daily Workforce'!$N60="Y",'Daily Workforce'!$B60&lt;&gt;"",COUNTIF('Daily Schedule'!$F$5:$F37,'Daily Workforce'!$B60)=0,IF('Daily Schedule'!$A38=45,'Daily Workforce'!$J60="Y",IF(OR('Daily Schedule'!$A38=4,'Daily Schedule'!$A38=8),IF(OR(WEEKDAY('Daily Schedule'!$B$2,2)=1,WEEKDAY('Daily Schedule'!$B$2,2)=4,WEEKDAY('Daily Schedule'!$B$2,2)=5,WEEKDAY('Daily Schedule'!$B$2,2)=7),IFERROR(1*'Daily Workforce'!$K60&gt;=3,FALSE()),IFERROR(1*'Daily Workforce'!$K60&gt;=2,FALSE())),IF(AND('Daily Schedule'!$A38&gt;=46,'Daily Schedule'!$A38&lt;=52),'Daily Workforce'!$M60="Y",IFERROR(1*'Daily Workforce'!$P60&gt;=2,FALSE()))))),1,0)</f>
        <v>1</v>
      </c>
      <c r="BT34" s="1" t="n">
        <f aca="false">IF(AND('Daily Workforce'!$N61="Y",'Daily Workforce'!$B61&lt;&gt;"",COUNTIF('Daily Schedule'!$F$5:$F37,'Daily Workforce'!$B61)=0,IF('Daily Schedule'!$A38=45,'Daily Workforce'!$J61="Y",IF(OR('Daily Schedule'!$A38=4,'Daily Schedule'!$A38=8),IF(OR(WEEKDAY('Daily Schedule'!$B$2,2)=1,WEEKDAY('Daily Schedule'!$B$2,2)=4,WEEKDAY('Daily Schedule'!$B$2,2)=5,WEEKDAY('Daily Schedule'!$B$2,2)=7),IFERROR(1*'Daily Workforce'!$K61&gt;=3,FALSE()),IFERROR(1*'Daily Workforce'!$K61&gt;=2,FALSE())),IF(AND('Daily Schedule'!$A38&gt;=46,'Daily Schedule'!$A38&lt;=52),'Daily Workforce'!$M61="Y",IFERROR(1*'Daily Workforce'!$P61&gt;=2,FALSE()))))),1,0)</f>
        <v>0</v>
      </c>
      <c r="BU34" s="1" t="n">
        <f aca="false">IF(AND('Daily Workforce'!$N62="Y",'Daily Workforce'!$B62&lt;&gt;"",COUNTIF('Daily Schedule'!$F$5:$F37,'Daily Workforce'!$B62)=0,IF('Daily Schedule'!$A38=45,'Daily Workforce'!$J62="Y",IF(OR('Daily Schedule'!$A38=4,'Daily Schedule'!$A38=8),IF(OR(WEEKDAY('Daily Schedule'!$B$2,2)=1,WEEKDAY('Daily Schedule'!$B$2,2)=4,WEEKDAY('Daily Schedule'!$B$2,2)=5,WEEKDAY('Daily Schedule'!$B$2,2)=7),IFERROR(1*'Daily Workforce'!$K62&gt;=3,FALSE()),IFERROR(1*'Daily Workforce'!$K62&gt;=2,FALSE())),IF(AND('Daily Schedule'!$A38&gt;=46,'Daily Schedule'!$A38&lt;=52),'Daily Workforce'!$M62="Y",IFERROR(1*'Daily Workforce'!$P62&gt;=2,FALSE()))))),1,0)</f>
        <v>1</v>
      </c>
      <c r="BV34" s="1" t="n">
        <f aca="false">IF(AND('Daily Workforce'!$N63="Y",'Daily Workforce'!$B63&lt;&gt;"",COUNTIF('Daily Schedule'!$F$5:$F37,'Daily Workforce'!$B63)=0,IF('Daily Schedule'!$A38=45,'Daily Workforce'!$J63="Y",IF(OR('Daily Schedule'!$A38=4,'Daily Schedule'!$A38=8),IF(OR(WEEKDAY('Daily Schedule'!$B$2,2)=1,WEEKDAY('Daily Schedule'!$B$2,2)=4,WEEKDAY('Daily Schedule'!$B$2,2)=5,WEEKDAY('Daily Schedule'!$B$2,2)=7),IFERROR(1*'Daily Workforce'!$K63&gt;=3,FALSE()),IFERROR(1*'Daily Workforce'!$K63&gt;=2,FALSE())),IF(AND('Daily Schedule'!$A38&gt;=46,'Daily Schedule'!$A38&lt;=52),'Daily Workforce'!$M63="Y",IFERROR(1*'Daily Workforce'!$P63&gt;=2,FALSE()))))),1,0)</f>
        <v>1</v>
      </c>
      <c r="BW34" s="1" t="n">
        <f aca="false">IF(AND('Daily Workforce'!$N64="Y",'Daily Workforce'!$B64&lt;&gt;"",COUNTIF('Daily Schedule'!$F$5:$F37,'Daily Workforce'!$B64)=0,IF('Daily Schedule'!$A38=45,'Daily Workforce'!$J64="Y",IF(OR('Daily Schedule'!$A38=4,'Daily Schedule'!$A38=8),IF(OR(WEEKDAY('Daily Schedule'!$B$2,2)=1,WEEKDAY('Daily Schedule'!$B$2,2)=4,WEEKDAY('Daily Schedule'!$B$2,2)=5,WEEKDAY('Daily Schedule'!$B$2,2)=7),IFERROR(1*'Daily Workforce'!$K64&gt;=3,FALSE()),IFERROR(1*'Daily Workforce'!$K64&gt;=2,FALSE())),IF(AND('Daily Schedule'!$A38&gt;=46,'Daily Schedule'!$A38&lt;=52),'Daily Workforce'!$M64="Y",IFERROR(1*'Daily Workforce'!$P64&gt;=2,FALSE()))))),1,0)</f>
        <v>1</v>
      </c>
      <c r="BX34" s="1" t="n">
        <f aca="false">IF(AND('Daily Workforce'!$N65="Y",'Daily Workforce'!$B65&lt;&gt;"",COUNTIF('Daily Schedule'!$F$5:$F37,'Daily Workforce'!$B65)=0,IF('Daily Schedule'!$A38=45,'Daily Workforce'!$J65="Y",IF(OR('Daily Schedule'!$A38=4,'Daily Schedule'!$A38=8),IF(OR(WEEKDAY('Daily Schedule'!$B$2,2)=1,WEEKDAY('Daily Schedule'!$B$2,2)=4,WEEKDAY('Daily Schedule'!$B$2,2)=5,WEEKDAY('Daily Schedule'!$B$2,2)=7),IFERROR(1*'Daily Workforce'!$K65&gt;=3,FALSE()),IFERROR(1*'Daily Workforce'!$K65&gt;=2,FALSE())),IF(AND('Daily Schedule'!$A38&gt;=46,'Daily Schedule'!$A38&lt;=52),'Daily Workforce'!$M65="Y",IFERROR(1*'Daily Workforce'!$P65&gt;=2,FALSE()))))),1,0)</f>
        <v>1</v>
      </c>
      <c r="BY34" s="1" t="n">
        <f aca="false">IF(AND('Daily Workforce'!$N66="Y",'Daily Workforce'!$B66&lt;&gt;"",COUNTIF('Daily Schedule'!$F$5:$F37,'Daily Workforce'!$B66)=0,IF('Daily Schedule'!$A38=45,'Daily Workforce'!$J66="Y",IF(OR('Daily Schedule'!$A38=4,'Daily Schedule'!$A38=8),IF(OR(WEEKDAY('Daily Schedule'!$B$2,2)=1,WEEKDAY('Daily Schedule'!$B$2,2)=4,WEEKDAY('Daily Schedule'!$B$2,2)=5,WEEKDAY('Daily Schedule'!$B$2,2)=7),IFERROR(1*'Daily Workforce'!$K66&gt;=3,FALSE()),IFERROR(1*'Daily Workforce'!$K66&gt;=2,FALSE())),IF(AND('Daily Schedule'!$A38&gt;=46,'Daily Schedule'!$A38&lt;=52),'Daily Workforce'!$M66="Y",IFERROR(1*'Daily Workforce'!$P66&gt;=2,FALSE()))))),1,0)</f>
        <v>1</v>
      </c>
      <c r="BZ34" s="1" t="n">
        <f aca="false">IF(AND('Daily Workforce'!$N67="Y",'Daily Workforce'!$B67&lt;&gt;"",COUNTIF('Daily Schedule'!$F$5:$F37,'Daily Workforce'!$B67)=0,IF('Daily Schedule'!$A38=45,'Daily Workforce'!$J67="Y",IF(OR('Daily Schedule'!$A38=4,'Daily Schedule'!$A38=8),IF(OR(WEEKDAY('Daily Schedule'!$B$2,2)=1,WEEKDAY('Daily Schedule'!$B$2,2)=4,WEEKDAY('Daily Schedule'!$B$2,2)=5,WEEKDAY('Daily Schedule'!$B$2,2)=7),IFERROR(1*'Daily Workforce'!$K67&gt;=3,FALSE()),IFERROR(1*'Daily Workforce'!$K67&gt;=2,FALSE())),IF(AND('Daily Schedule'!$A38&gt;=46,'Daily Schedule'!$A38&lt;=52),'Daily Workforce'!$M67="Y",IFERROR(1*'Daily Workforce'!$P67&gt;=2,FALSE()))))),1,0)</f>
        <v>1</v>
      </c>
      <c r="CA34" s="1" t="n">
        <f aca="false">IF(AND('Daily Workforce'!$N68="Y",'Daily Workforce'!$B68&lt;&gt;"",COUNTIF('Daily Schedule'!$F$5:$F37,'Daily Workforce'!$B68)=0,IF('Daily Schedule'!$A38=45,'Daily Workforce'!$J68="Y",IF(OR('Daily Schedule'!$A38=4,'Daily Schedule'!$A38=8),IF(OR(WEEKDAY('Daily Schedule'!$B$2,2)=1,WEEKDAY('Daily Schedule'!$B$2,2)=4,WEEKDAY('Daily Schedule'!$B$2,2)=5,WEEKDAY('Daily Schedule'!$B$2,2)=7),IFERROR(1*'Daily Workforce'!$K68&gt;=3,FALSE()),IFERROR(1*'Daily Workforce'!$K68&gt;=2,FALSE())),IF(AND('Daily Schedule'!$A38&gt;=46,'Daily Schedule'!$A38&lt;=52),'Daily Workforce'!$M68="Y",IFERROR(1*'Daily Workforce'!$P68&gt;=2,FALSE()))))),1,0)</f>
        <v>1</v>
      </c>
      <c r="CB34" s="1" t="n">
        <f aca="false">IF(AND('Daily Workforce'!$N69="Y",'Daily Workforce'!$B69&lt;&gt;"",COUNTIF('Daily Schedule'!$F$5:$F37,'Daily Workforce'!$B69)=0,IF('Daily Schedule'!$A38=45,'Daily Workforce'!$J69="Y",IF(OR('Daily Schedule'!$A38=4,'Daily Schedule'!$A38=8),IF(OR(WEEKDAY('Daily Schedule'!$B$2,2)=1,WEEKDAY('Daily Schedule'!$B$2,2)=4,WEEKDAY('Daily Schedule'!$B$2,2)=5,WEEKDAY('Daily Schedule'!$B$2,2)=7),IFERROR(1*'Daily Workforce'!$K69&gt;=3,FALSE()),IFERROR(1*'Daily Workforce'!$K69&gt;=2,FALSE())),IF(AND('Daily Schedule'!$A38&gt;=46,'Daily Schedule'!$A38&lt;=52),'Daily Workforce'!$M69="Y",IFERROR(1*'Daily Workforce'!$P69&gt;=2,FALSE()))))),1,0)</f>
        <v>1</v>
      </c>
      <c r="CC34" s="1" t="n">
        <f aca="false">IF(AND('Daily Workforce'!$N70="Y",'Daily Workforce'!$B70&lt;&gt;"",COUNTIF('Daily Schedule'!$F$5:$F37,'Daily Workforce'!$B70)=0,IF('Daily Schedule'!$A38=45,'Daily Workforce'!$J70="Y",IF(OR('Daily Schedule'!$A38=4,'Daily Schedule'!$A38=8),IF(OR(WEEKDAY('Daily Schedule'!$B$2,2)=1,WEEKDAY('Daily Schedule'!$B$2,2)=4,WEEKDAY('Daily Schedule'!$B$2,2)=5,WEEKDAY('Daily Schedule'!$B$2,2)=7),IFERROR(1*'Daily Workforce'!$K70&gt;=3,FALSE()),IFERROR(1*'Daily Workforce'!$K70&gt;=2,FALSE())),IF(AND('Daily Schedule'!$A38&gt;=46,'Daily Schedule'!$A38&lt;=52),'Daily Workforce'!$M70="Y",IFERROR(1*'Daily Workforce'!$P70&gt;=2,FALSE()))))),1,0)</f>
        <v>1</v>
      </c>
      <c r="CD34" s="1" t="n">
        <f aca="false">IF(AND('Daily Workforce'!$N71="Y",'Daily Workforce'!$B71&lt;&gt;"",COUNTIF('Daily Schedule'!$F$5:$F37,'Daily Workforce'!$B71)=0,IF('Daily Schedule'!$A38=45,'Daily Workforce'!$J71="Y",IF(OR('Daily Schedule'!$A38=4,'Daily Schedule'!$A38=8),IF(OR(WEEKDAY('Daily Schedule'!$B$2,2)=1,WEEKDAY('Daily Schedule'!$B$2,2)=4,WEEKDAY('Daily Schedule'!$B$2,2)=5,WEEKDAY('Daily Schedule'!$B$2,2)=7),IFERROR(1*'Daily Workforce'!$K71&gt;=3,FALSE()),IFERROR(1*'Daily Workforce'!$K71&gt;=2,FALSE())),IF(AND('Daily Schedule'!$A38&gt;=46,'Daily Schedule'!$A38&lt;=52),'Daily Workforce'!$M71="Y",IFERROR(1*'Daily Workforce'!$P71&gt;=2,FALSE()))))),1,0)</f>
        <v>1</v>
      </c>
      <c r="CE34" s="1" t="n">
        <f aca="false">IF(AND('Daily Workforce'!$N72="Y",'Daily Workforce'!$B72&lt;&gt;"",COUNTIF('Daily Schedule'!$F$5:$F37,'Daily Workforce'!$B72)=0,IF('Daily Schedule'!$A38=45,'Daily Workforce'!$J72="Y",IF(OR('Daily Schedule'!$A38=4,'Daily Schedule'!$A38=8),IF(OR(WEEKDAY('Daily Schedule'!$B$2,2)=1,WEEKDAY('Daily Schedule'!$B$2,2)=4,WEEKDAY('Daily Schedule'!$B$2,2)=5,WEEKDAY('Daily Schedule'!$B$2,2)=7),IFERROR(1*'Daily Workforce'!$K72&gt;=3,FALSE()),IFERROR(1*'Daily Workforce'!$K72&gt;=2,FALSE())),IF(AND('Daily Schedule'!$A38&gt;=46,'Daily Schedule'!$A38&lt;=52),'Daily Workforce'!$M72="Y",IFERROR(1*'Daily Workforce'!$P72&gt;=2,FALSE()))))),1,0)</f>
        <v>1</v>
      </c>
      <c r="CF34" s="1" t="n">
        <f aca="false">IF(AND('Daily Workforce'!$N73="Y",'Daily Workforce'!$B73&lt;&gt;"",COUNTIF('Daily Schedule'!$F$5:$F37,'Daily Workforce'!$B73)=0,IF('Daily Schedule'!$A38=45,'Daily Workforce'!$J73="Y",IF(OR('Daily Schedule'!$A38=4,'Daily Schedule'!$A38=8),IF(OR(WEEKDAY('Daily Schedule'!$B$2,2)=1,WEEKDAY('Daily Schedule'!$B$2,2)=4,WEEKDAY('Daily Schedule'!$B$2,2)=5,WEEKDAY('Daily Schedule'!$B$2,2)=7),IFERROR(1*'Daily Workforce'!$K73&gt;=3,FALSE()),IFERROR(1*'Daily Workforce'!$K73&gt;=2,FALSE())),IF(AND('Daily Schedule'!$A38&gt;=46,'Daily Schedule'!$A38&lt;=52),'Daily Workforce'!$M73="Y",IFERROR(1*'Daily Workforce'!$P73&gt;=2,FALSE()))))),1,0)</f>
        <v>1</v>
      </c>
      <c r="CG34" s="1" t="n">
        <f aca="false">IF(AND('Daily Workforce'!$N74="Y",'Daily Workforce'!$B74&lt;&gt;"",COUNTIF('Daily Schedule'!$F$5:$F37,'Daily Workforce'!$B74)=0,IF('Daily Schedule'!$A38=45,'Daily Workforce'!$J74="Y",IF(OR('Daily Schedule'!$A38=4,'Daily Schedule'!$A38=8),IF(OR(WEEKDAY('Daily Schedule'!$B$2,2)=1,WEEKDAY('Daily Schedule'!$B$2,2)=4,WEEKDAY('Daily Schedule'!$B$2,2)=5,WEEKDAY('Daily Schedule'!$B$2,2)=7),IFERROR(1*'Daily Workforce'!$K74&gt;=3,FALSE()),IFERROR(1*'Daily Workforce'!$K74&gt;=2,FALSE())),IF(AND('Daily Schedule'!$A38&gt;=46,'Daily Schedule'!$A38&lt;=52),'Daily Workforce'!$M74="Y",IFERROR(1*'Daily Workforce'!$P74&gt;=2,FALSE()))))),1,0)</f>
        <v>1</v>
      </c>
      <c r="CH34" s="1" t="n">
        <f aca="false">IF(AND('Daily Workforce'!$N75="Y",'Daily Workforce'!$B75&lt;&gt;"",COUNTIF('Daily Schedule'!$F$5:$F37,'Daily Workforce'!$B75)=0,IF('Daily Schedule'!$A38=45,'Daily Workforce'!$J75="Y",IF(OR('Daily Schedule'!$A38=4,'Daily Schedule'!$A38=8),IF(OR(WEEKDAY('Daily Schedule'!$B$2,2)=1,WEEKDAY('Daily Schedule'!$B$2,2)=4,WEEKDAY('Daily Schedule'!$B$2,2)=5,WEEKDAY('Daily Schedule'!$B$2,2)=7),IFERROR(1*'Daily Workforce'!$K75&gt;=3,FALSE()),IFERROR(1*'Daily Workforce'!$K75&gt;=2,FALSE())),IF(AND('Daily Schedule'!$A38&gt;=46,'Daily Schedule'!$A38&lt;=52),'Daily Workforce'!$M75="Y",IFERROR(1*'Daily Workforce'!$P75&gt;=2,FALSE()))))),1,0)</f>
        <v>1</v>
      </c>
      <c r="CI34" s="1" t="n">
        <f aca="false">IF(AND('Daily Workforce'!$N76="Y",'Daily Workforce'!$B76&lt;&gt;"",COUNTIF('Daily Schedule'!$F$5:$F37,'Daily Workforce'!$B76)=0,IF('Daily Schedule'!$A38=45,'Daily Workforce'!$J76="Y",IF(OR('Daily Schedule'!$A38=4,'Daily Schedule'!$A38=8),IF(OR(WEEKDAY('Daily Schedule'!$B$2,2)=1,WEEKDAY('Daily Schedule'!$B$2,2)=4,WEEKDAY('Daily Schedule'!$B$2,2)=5,WEEKDAY('Daily Schedule'!$B$2,2)=7),IFERROR(1*'Daily Workforce'!$K76&gt;=3,FALSE()),IFERROR(1*'Daily Workforce'!$K76&gt;=2,FALSE())),IF(AND('Daily Schedule'!$A38&gt;=46,'Daily Schedule'!$A38&lt;=52),'Daily Workforce'!$M76="Y",IFERROR(1*'Daily Workforce'!$P76&gt;=2,FALSE()))))),1,0)</f>
        <v>1</v>
      </c>
      <c r="CJ34" s="1" t="n">
        <f aca="false">IF(AND('Daily Workforce'!$N77="Y",'Daily Workforce'!$B77&lt;&gt;"",COUNTIF('Daily Schedule'!$F$5:$F37,'Daily Workforce'!$B77)=0,IF('Daily Schedule'!$A38=45,'Daily Workforce'!$J77="Y",IF(OR('Daily Schedule'!$A38=4,'Daily Schedule'!$A38=8),IF(OR(WEEKDAY('Daily Schedule'!$B$2,2)=1,WEEKDAY('Daily Schedule'!$B$2,2)=4,WEEKDAY('Daily Schedule'!$B$2,2)=5,WEEKDAY('Daily Schedule'!$B$2,2)=7),IFERROR(1*'Daily Workforce'!$K77&gt;=3,FALSE()),IFERROR(1*'Daily Workforce'!$K77&gt;=2,FALSE())),IF(AND('Daily Schedule'!$A38&gt;=46,'Daily Schedule'!$A38&lt;=52),'Daily Workforce'!$M77="Y",IFERROR(1*'Daily Workforce'!$P77&gt;=2,FALSE()))))),1,0)</f>
        <v>1</v>
      </c>
      <c r="CK34" s="1" t="n">
        <f aca="false">IF(AND('Daily Workforce'!$N78="Y",'Daily Workforce'!$B78&lt;&gt;"",COUNTIF('Daily Schedule'!$F$5:$F37,'Daily Workforce'!$B78)=0,IF('Daily Schedule'!$A38=45,'Daily Workforce'!$J78="Y",IF(OR('Daily Schedule'!$A38=4,'Daily Schedule'!$A38=8),IF(OR(WEEKDAY('Daily Schedule'!$B$2,2)=1,WEEKDAY('Daily Schedule'!$B$2,2)=4,WEEKDAY('Daily Schedule'!$B$2,2)=5,WEEKDAY('Daily Schedule'!$B$2,2)=7),IFERROR(1*'Daily Workforce'!$K78&gt;=3,FALSE()),IFERROR(1*'Daily Workforce'!$K78&gt;=2,FALSE())),IF(AND('Daily Schedule'!$A38&gt;=46,'Daily Schedule'!$A38&lt;=52),'Daily Workforce'!$M78="Y",IFERROR(1*'Daily Workforce'!$P78&gt;=2,FALSE()))))),1,0)</f>
        <v>1</v>
      </c>
      <c r="CL34" s="1" t="n">
        <f aca="false">IF(AND('Daily Workforce'!$N79="Y",'Daily Workforce'!$B79&lt;&gt;"",COUNTIF('Daily Schedule'!$F$5:$F37,'Daily Workforce'!$B79)=0,IF('Daily Schedule'!$A38=45,'Daily Workforce'!$J79="Y",IF(OR('Daily Schedule'!$A38=4,'Daily Schedule'!$A38=8),IF(OR(WEEKDAY('Daily Schedule'!$B$2,2)=1,WEEKDAY('Daily Schedule'!$B$2,2)=4,WEEKDAY('Daily Schedule'!$B$2,2)=5,WEEKDAY('Daily Schedule'!$B$2,2)=7),IFERROR(1*'Daily Workforce'!$K79&gt;=3,FALSE()),IFERROR(1*'Daily Workforce'!$K79&gt;=2,FALSE())),IF(AND('Daily Schedule'!$A38&gt;=46,'Daily Schedule'!$A38&lt;=52),'Daily Workforce'!$M79="Y",IFERROR(1*'Daily Workforce'!$P79&gt;=2,FALSE()))))),1,0)</f>
        <v>1</v>
      </c>
      <c r="CM34" s="1" t="n">
        <f aca="false">IF(AND('Daily Workforce'!$N80="Y",'Daily Workforce'!$B80&lt;&gt;"",COUNTIF('Daily Schedule'!$F$5:$F37,'Daily Workforce'!$B80)=0,IF('Daily Schedule'!$A38=45,'Daily Workforce'!$J80="Y",IF(OR('Daily Schedule'!$A38=4,'Daily Schedule'!$A38=8),IF(OR(WEEKDAY('Daily Schedule'!$B$2,2)=1,WEEKDAY('Daily Schedule'!$B$2,2)=4,WEEKDAY('Daily Schedule'!$B$2,2)=5,WEEKDAY('Daily Schedule'!$B$2,2)=7),IFERROR(1*'Daily Workforce'!$K80&gt;=3,FALSE()),IFERROR(1*'Daily Workforce'!$K80&gt;=2,FALSE())),IF(AND('Daily Schedule'!$A38&gt;=46,'Daily Schedule'!$A38&lt;=52),'Daily Workforce'!$M80="Y",IFERROR(1*'Daily Workforce'!$P80&gt;=2,FALSE()))))),1,0)</f>
        <v>1</v>
      </c>
      <c r="CN34" s="1" t="n">
        <f aca="false">IF(AND('Daily Workforce'!$N81="Y",'Daily Workforce'!$B81&lt;&gt;"",COUNTIF('Daily Schedule'!$F$5:$F37,'Daily Workforce'!$B81)=0,IF('Daily Schedule'!$A38=45,'Daily Workforce'!$J81="Y",IF(OR('Daily Schedule'!$A38=4,'Daily Schedule'!$A38=8),IF(OR(WEEKDAY('Daily Schedule'!$B$2,2)=1,WEEKDAY('Daily Schedule'!$B$2,2)=4,WEEKDAY('Daily Schedule'!$B$2,2)=5,WEEKDAY('Daily Schedule'!$B$2,2)=7),IFERROR(1*'Daily Workforce'!$K81&gt;=3,FALSE()),IFERROR(1*'Daily Workforce'!$K81&gt;=2,FALSE())),IF(AND('Daily Schedule'!$A38&gt;=46,'Daily Schedule'!$A38&lt;=52),'Daily Workforce'!$M81="Y",IFERROR(1*'Daily Workforce'!$P81&gt;=2,FALSE()))))),1,0)</f>
        <v>1</v>
      </c>
      <c r="CO34" s="1" t="n">
        <f aca="false">IF(AND('Daily Workforce'!$N82="Y",'Daily Workforce'!$B82&lt;&gt;"",COUNTIF('Daily Schedule'!$F$5:$F37,'Daily Workforce'!$B82)=0,IF('Daily Schedule'!$A38=45,'Daily Workforce'!$J82="Y",IF(OR('Daily Schedule'!$A38=4,'Daily Schedule'!$A38=8),IF(OR(WEEKDAY('Daily Schedule'!$B$2,2)=1,WEEKDAY('Daily Schedule'!$B$2,2)=4,WEEKDAY('Daily Schedule'!$B$2,2)=5,WEEKDAY('Daily Schedule'!$B$2,2)=7),IFERROR(1*'Daily Workforce'!$K82&gt;=3,FALSE()),IFERROR(1*'Daily Workforce'!$K82&gt;=2,FALSE())),IF(AND('Daily Schedule'!$A38&gt;=46,'Daily Schedule'!$A38&lt;=52),'Daily Workforce'!$M82="Y",IFERROR(1*'Daily Workforce'!$P82&gt;=2,FALSE()))))),1,0)</f>
        <v>1</v>
      </c>
      <c r="CP34" s="1" t="n">
        <f aca="false">IF(AND('Daily Workforce'!$N83="Y",'Daily Workforce'!$B83&lt;&gt;"",COUNTIF('Daily Schedule'!$F$5:$F37,'Daily Workforce'!$B83)=0,IF('Daily Schedule'!$A38=45,'Daily Workforce'!$J83="Y",IF(OR('Daily Schedule'!$A38=4,'Daily Schedule'!$A38=8),IF(OR(WEEKDAY('Daily Schedule'!$B$2,2)=1,WEEKDAY('Daily Schedule'!$B$2,2)=4,WEEKDAY('Daily Schedule'!$B$2,2)=5,WEEKDAY('Daily Schedule'!$B$2,2)=7),IFERROR(1*'Daily Workforce'!$K83&gt;=3,FALSE()),IFERROR(1*'Daily Workforce'!$K83&gt;=2,FALSE())),IF(AND('Daily Schedule'!$A38&gt;=46,'Daily Schedule'!$A38&lt;=52),'Daily Workforce'!$M83="Y",IFERROR(1*'Daily Workforce'!$P83&gt;=2,FALSE()))))),1,0)</f>
        <v>0</v>
      </c>
      <c r="CQ34" s="1" t="n">
        <f aca="false">IF(AND('Daily Workforce'!$N84="Y",'Daily Workforce'!$B84&lt;&gt;"",COUNTIF('Daily Schedule'!$F$5:$F37,'Daily Workforce'!$B84)=0,IF('Daily Schedule'!$A38=45,'Daily Workforce'!$J84="Y",IF(OR('Daily Schedule'!$A38=4,'Daily Schedule'!$A38=8),IF(OR(WEEKDAY('Daily Schedule'!$B$2,2)=1,WEEKDAY('Daily Schedule'!$B$2,2)=4,WEEKDAY('Daily Schedule'!$B$2,2)=5,WEEKDAY('Daily Schedule'!$B$2,2)=7),IFERROR(1*'Daily Workforce'!$K84&gt;=3,FALSE()),IFERROR(1*'Daily Workforce'!$K84&gt;=2,FALSE())),IF(AND('Daily Schedule'!$A38&gt;=46,'Daily Schedule'!$A38&lt;=52),'Daily Workforce'!$M84="Y",IFERROR(1*'Daily Workforce'!$P84&gt;=2,FALSE()))))),1,0)</f>
        <v>1</v>
      </c>
      <c r="CR34" s="1" t="n">
        <f aca="false">IF(AND('Daily Workforce'!$N85="Y",'Daily Workforce'!$B85&lt;&gt;"",COUNTIF('Daily Schedule'!$F$5:$F37,'Daily Workforce'!$B85)=0,IF('Daily Schedule'!$A38=45,'Daily Workforce'!$J85="Y",IF(OR('Daily Schedule'!$A38=4,'Daily Schedule'!$A38=8),IF(OR(WEEKDAY('Daily Schedule'!$B$2,2)=1,WEEKDAY('Daily Schedule'!$B$2,2)=4,WEEKDAY('Daily Schedule'!$B$2,2)=5,WEEKDAY('Daily Schedule'!$B$2,2)=7),IFERROR(1*'Daily Workforce'!$K85&gt;=3,FALSE()),IFERROR(1*'Daily Workforce'!$K85&gt;=2,FALSE())),IF(AND('Daily Schedule'!$A38&gt;=46,'Daily Schedule'!$A38&lt;=52),'Daily Workforce'!$M85="Y",IFERROR(1*'Daily Workforce'!$P85&gt;=2,FALSE()))))),1,0)</f>
        <v>0</v>
      </c>
      <c r="CS34" s="1" t="n">
        <f aca="false">IF(AND('Daily Workforce'!$N86="Y",'Daily Workforce'!$B86&lt;&gt;"",COUNTIF('Daily Schedule'!$F$5:$F37,'Daily Workforce'!$B86)=0,IF('Daily Schedule'!$A38=45,'Daily Workforce'!$J86="Y",IF(OR('Daily Schedule'!$A38=4,'Daily Schedule'!$A38=8),IF(OR(WEEKDAY('Daily Schedule'!$B$2,2)=1,WEEKDAY('Daily Schedule'!$B$2,2)=4,WEEKDAY('Daily Schedule'!$B$2,2)=5,WEEKDAY('Daily Schedule'!$B$2,2)=7),IFERROR(1*'Daily Workforce'!$K86&gt;=3,FALSE()),IFERROR(1*'Daily Workforce'!$K86&gt;=2,FALSE())),IF(AND('Daily Schedule'!$A38&gt;=46,'Daily Schedule'!$A38&lt;=52),'Daily Workforce'!$M86="Y",IFERROR(1*'Daily Workforce'!$P86&gt;=2,FALSE()))))),1,0)</f>
        <v>1</v>
      </c>
      <c r="CT34" s="1" t="n">
        <f aca="false">IF(AND('Daily Workforce'!$N87="Y",'Daily Workforce'!$B87&lt;&gt;"",COUNTIF('Daily Schedule'!$F$5:$F37,'Daily Workforce'!$B87)=0,IF('Daily Schedule'!$A38=45,'Daily Workforce'!$J87="Y",IF(OR('Daily Schedule'!$A38=4,'Daily Schedule'!$A38=8),IF(OR(WEEKDAY('Daily Schedule'!$B$2,2)=1,WEEKDAY('Daily Schedule'!$B$2,2)=4,WEEKDAY('Daily Schedule'!$B$2,2)=5,WEEKDAY('Daily Schedule'!$B$2,2)=7),IFERROR(1*'Daily Workforce'!$K87&gt;=3,FALSE()),IFERROR(1*'Daily Workforce'!$K87&gt;=2,FALSE())),IF(AND('Daily Schedule'!$A38&gt;=46,'Daily Schedule'!$A38&lt;=52),'Daily Workforce'!$M87="Y",IFERROR(1*'Daily Workforce'!$P87&gt;=2,FALSE()))))),1,0)</f>
        <v>1</v>
      </c>
      <c r="CU34" s="1" t="n">
        <f aca="false">IF(AND('Daily Workforce'!$N88="Y",'Daily Workforce'!$B88&lt;&gt;"",COUNTIF('Daily Schedule'!$F$5:$F37,'Daily Workforce'!$B88)=0,IF('Daily Schedule'!$A38=45,'Daily Workforce'!$J88="Y",IF(OR('Daily Schedule'!$A38=4,'Daily Schedule'!$A38=8),IF(OR(WEEKDAY('Daily Schedule'!$B$2,2)=1,WEEKDAY('Daily Schedule'!$B$2,2)=4,WEEKDAY('Daily Schedule'!$B$2,2)=5,WEEKDAY('Daily Schedule'!$B$2,2)=7),IFERROR(1*'Daily Workforce'!$K88&gt;=3,FALSE()),IFERROR(1*'Daily Workforce'!$K88&gt;=2,FALSE())),IF(AND('Daily Schedule'!$A38&gt;=46,'Daily Schedule'!$A38&lt;=52),'Daily Workforce'!$M88="Y",IFERROR(1*'Daily Workforce'!$P88&gt;=2,FALSE()))))),1,0)</f>
        <v>1</v>
      </c>
      <c r="CV34" s="1" t="n">
        <f aca="false">IF(AND('Daily Workforce'!$N89="Y",'Daily Workforce'!$B89&lt;&gt;"",COUNTIF('Daily Schedule'!$F$5:$F37,'Daily Workforce'!$B89)=0,IF('Daily Schedule'!$A38=45,'Daily Workforce'!$J89="Y",IF(OR('Daily Schedule'!$A38=4,'Daily Schedule'!$A38=8),IF(OR(WEEKDAY('Daily Schedule'!$B$2,2)=1,WEEKDAY('Daily Schedule'!$B$2,2)=4,WEEKDAY('Daily Schedule'!$B$2,2)=5,WEEKDAY('Daily Schedule'!$B$2,2)=7),IFERROR(1*'Daily Workforce'!$K89&gt;=3,FALSE()),IFERROR(1*'Daily Workforce'!$K89&gt;=2,FALSE())),IF(AND('Daily Schedule'!$A38&gt;=46,'Daily Schedule'!$A38&lt;=52),'Daily Workforce'!$M89="Y",IFERROR(1*'Daily Workforce'!$P89&gt;=2,FALSE()))))),1,0)</f>
        <v>1</v>
      </c>
      <c r="CW34" s="1" t="n">
        <f aca="false">IF(AND('Daily Workforce'!$N90="Y",'Daily Workforce'!$B90&lt;&gt;"",COUNTIF('Daily Schedule'!$F$5:$F37,'Daily Workforce'!$B90)=0,IF('Daily Schedule'!$A38=45,'Daily Workforce'!$J90="Y",IF(OR('Daily Schedule'!$A38=4,'Daily Schedule'!$A38=8),IF(OR(WEEKDAY('Daily Schedule'!$B$2,2)=1,WEEKDAY('Daily Schedule'!$B$2,2)=4,WEEKDAY('Daily Schedule'!$B$2,2)=5,WEEKDAY('Daily Schedule'!$B$2,2)=7),IFERROR(1*'Daily Workforce'!$K90&gt;=3,FALSE()),IFERROR(1*'Daily Workforce'!$K90&gt;=2,FALSE())),IF(AND('Daily Schedule'!$A38&gt;=46,'Daily Schedule'!$A38&lt;=52),'Daily Workforce'!$M90="Y",IFERROR(1*'Daily Workforce'!$P90&gt;=2,FALSE()))))),1,0)</f>
        <v>1</v>
      </c>
      <c r="CX34" s="1" t="n">
        <f aca="false">IF(AND('Daily Workforce'!$N91="Y",'Daily Workforce'!$B91&lt;&gt;"",COUNTIF('Daily Schedule'!$F$5:$F37,'Daily Workforce'!$B91)=0,IF('Daily Schedule'!$A38=45,'Daily Workforce'!$J91="Y",IF(OR('Daily Schedule'!$A38=4,'Daily Schedule'!$A38=8),IF(OR(WEEKDAY('Daily Schedule'!$B$2,2)=1,WEEKDAY('Daily Schedule'!$B$2,2)=4,WEEKDAY('Daily Schedule'!$B$2,2)=5,WEEKDAY('Daily Schedule'!$B$2,2)=7),IFERROR(1*'Daily Workforce'!$K91&gt;=3,FALSE()),IFERROR(1*'Daily Workforce'!$K91&gt;=2,FALSE())),IF(AND('Daily Schedule'!$A38&gt;=46,'Daily Schedule'!$A38&lt;=52),'Daily Workforce'!$M91="Y",IFERROR(1*'Daily Workforce'!$P91&gt;=2,FALSE()))))),1,0)</f>
        <v>1</v>
      </c>
      <c r="CY34" s="1" t="n">
        <f aca="false">IF(AND('Daily Workforce'!$N92="Y",'Daily Workforce'!$B92&lt;&gt;"",COUNTIF('Daily Schedule'!$F$5:$F37,'Daily Workforce'!$B92)=0,IF('Daily Schedule'!$A38=45,'Daily Workforce'!$J92="Y",IF(OR('Daily Schedule'!$A38=4,'Daily Schedule'!$A38=8),IF(OR(WEEKDAY('Daily Schedule'!$B$2,2)=1,WEEKDAY('Daily Schedule'!$B$2,2)=4,WEEKDAY('Daily Schedule'!$B$2,2)=5,WEEKDAY('Daily Schedule'!$B$2,2)=7),IFERROR(1*'Daily Workforce'!$K92&gt;=3,FALSE()),IFERROR(1*'Daily Workforce'!$K92&gt;=2,FALSE())),IF(AND('Daily Schedule'!$A38&gt;=46,'Daily Schedule'!$A38&lt;=52),'Daily Workforce'!$M92="Y",IFERROR(1*'Daily Workforce'!$P92&gt;=2,FALSE()))))),1,0)</f>
        <v>1</v>
      </c>
      <c r="CZ34" s="1" t="n">
        <f aca="false">IF(AND('Daily Workforce'!$N93="Y",'Daily Workforce'!$B93&lt;&gt;"",COUNTIF('Daily Schedule'!$F$5:$F37,'Daily Workforce'!$B93)=0,IF('Daily Schedule'!$A38=45,'Daily Workforce'!$J93="Y",IF(OR('Daily Schedule'!$A38=4,'Daily Schedule'!$A38=8),IF(OR(WEEKDAY('Daily Schedule'!$B$2,2)=1,WEEKDAY('Daily Schedule'!$B$2,2)=4,WEEKDAY('Daily Schedule'!$B$2,2)=5,WEEKDAY('Daily Schedule'!$B$2,2)=7),IFERROR(1*'Daily Workforce'!$K93&gt;=3,FALSE()),IFERROR(1*'Daily Workforce'!$K93&gt;=2,FALSE())),IF(AND('Daily Schedule'!$A38&gt;=46,'Daily Schedule'!$A38&lt;=52),'Daily Workforce'!$M93="Y",IFERROR(1*'Daily Workforce'!$P93&gt;=2,FALSE()))))),1,0)</f>
        <v>1</v>
      </c>
      <c r="DA34" s="1" t="n">
        <f aca="false">IF(AND('Daily Workforce'!$N94="Y",'Daily Workforce'!$B94&lt;&gt;"",COUNTIF('Daily Schedule'!$F$5:$F37,'Daily Workforce'!$B94)=0,IF('Daily Schedule'!$A38=45,'Daily Workforce'!$J94="Y",IF(OR('Daily Schedule'!$A38=4,'Daily Schedule'!$A38=8),IF(OR(WEEKDAY('Daily Schedule'!$B$2,2)=1,WEEKDAY('Daily Schedule'!$B$2,2)=4,WEEKDAY('Daily Schedule'!$B$2,2)=5,WEEKDAY('Daily Schedule'!$B$2,2)=7),IFERROR(1*'Daily Workforce'!$K94&gt;=3,FALSE()),IFERROR(1*'Daily Workforce'!$K94&gt;=2,FALSE())),IF(AND('Daily Schedule'!$A38&gt;=46,'Daily Schedule'!$A38&lt;=52),'Daily Workforce'!$M94="Y",IFERROR(1*'Daily Workforce'!$P94&gt;=2,FALSE()))))),1,0)</f>
        <v>1</v>
      </c>
      <c r="DB34" s="1" t="n">
        <f aca="false">IF(AND('Daily Workforce'!$N95="Y",'Daily Workforce'!$B95&lt;&gt;"",COUNTIF('Daily Schedule'!$F$5:$F37,'Daily Workforce'!$B95)=0,IF('Daily Schedule'!$A38=45,'Daily Workforce'!$J95="Y",IF(OR('Daily Schedule'!$A38=4,'Daily Schedule'!$A38=8),IF(OR(WEEKDAY('Daily Schedule'!$B$2,2)=1,WEEKDAY('Daily Schedule'!$B$2,2)=4,WEEKDAY('Daily Schedule'!$B$2,2)=5,WEEKDAY('Daily Schedule'!$B$2,2)=7),IFERROR(1*'Daily Workforce'!$K95&gt;=3,FALSE()),IFERROR(1*'Daily Workforce'!$K95&gt;=2,FALSE())),IF(AND('Daily Schedule'!$A38&gt;=46,'Daily Schedule'!$A38&lt;=52),'Daily Workforce'!$M95="Y",IFERROR(1*'Daily Workforce'!$P95&gt;=2,FALSE()))))),1,0)</f>
        <v>1</v>
      </c>
      <c r="DC34" s="1" t="n">
        <f aca="false">IF(AND('Daily Workforce'!$N96="Y",'Daily Workforce'!$B96&lt;&gt;"",COUNTIF('Daily Schedule'!$F$5:$F37,'Daily Workforce'!$B96)=0,IF('Daily Schedule'!$A38=45,'Daily Workforce'!$J96="Y",IF(OR('Daily Schedule'!$A38=4,'Daily Schedule'!$A38=8),IF(OR(WEEKDAY('Daily Schedule'!$B$2,2)=1,WEEKDAY('Daily Schedule'!$B$2,2)=4,WEEKDAY('Daily Schedule'!$B$2,2)=5,WEEKDAY('Daily Schedule'!$B$2,2)=7),IFERROR(1*'Daily Workforce'!$K96&gt;=3,FALSE()),IFERROR(1*'Daily Workforce'!$K96&gt;=2,FALSE())),IF(AND('Daily Schedule'!$A38&gt;=46,'Daily Schedule'!$A38&lt;=52),'Daily Workforce'!$M96="Y",IFERROR(1*'Daily Workforce'!$P96&gt;=2,FALSE()))))),1,0)</f>
        <v>1</v>
      </c>
      <c r="DD34" s="1" t="n">
        <f aca="false">IF(AND('Daily Workforce'!$N97="Y",'Daily Workforce'!$B97&lt;&gt;"",COUNTIF('Daily Schedule'!$F$5:$F37,'Daily Workforce'!$B97)=0,IF('Daily Schedule'!$A38=45,'Daily Workforce'!$J97="Y",IF(OR('Daily Schedule'!$A38=4,'Daily Schedule'!$A38=8),IF(OR(WEEKDAY('Daily Schedule'!$B$2,2)=1,WEEKDAY('Daily Schedule'!$B$2,2)=4,WEEKDAY('Daily Schedule'!$B$2,2)=5,WEEKDAY('Daily Schedule'!$B$2,2)=7),IFERROR(1*'Daily Workforce'!$K97&gt;=3,FALSE()),IFERROR(1*'Daily Workforce'!$K97&gt;=2,FALSE())),IF(AND('Daily Schedule'!$A38&gt;=46,'Daily Schedule'!$A38&lt;=52),'Daily Workforce'!$M97="Y",IFERROR(1*'Daily Workforce'!$P97&gt;=2,FALSE()))))),1,0)</f>
        <v>1</v>
      </c>
      <c r="DE34" s="1" t="n">
        <f aca="false">IF(AND('Daily Workforce'!$N98="Y",'Daily Workforce'!$B98&lt;&gt;"",COUNTIF('Daily Schedule'!$F$5:$F37,'Daily Workforce'!$B98)=0,IF('Daily Schedule'!$A38=45,'Daily Workforce'!$J98="Y",IF(OR('Daily Schedule'!$A38=4,'Daily Schedule'!$A38=8),IF(OR(WEEKDAY('Daily Schedule'!$B$2,2)=1,WEEKDAY('Daily Schedule'!$B$2,2)=4,WEEKDAY('Daily Schedule'!$B$2,2)=5,WEEKDAY('Daily Schedule'!$B$2,2)=7),IFERROR(1*'Daily Workforce'!$K98&gt;=3,FALSE()),IFERROR(1*'Daily Workforce'!$K98&gt;=2,FALSE())),IF(AND('Daily Schedule'!$A38&gt;=46,'Daily Schedule'!$A38&lt;=52),'Daily Workforce'!$M98="Y",IFERROR(1*'Daily Workforce'!$P98&gt;=2,FALSE()))))),1,0)</f>
        <v>1</v>
      </c>
      <c r="DF34" s="1" t="n">
        <f aca="false">IF(AND('Daily Workforce'!$N99="Y",'Daily Workforce'!$B99&lt;&gt;"",COUNTIF('Daily Schedule'!$F$5:$F37,'Daily Workforce'!$B99)=0,IF('Daily Schedule'!$A38=45,'Daily Workforce'!$J99="Y",IF(OR('Daily Schedule'!$A38=4,'Daily Schedule'!$A38=8),IF(OR(WEEKDAY('Daily Schedule'!$B$2,2)=1,WEEKDAY('Daily Schedule'!$B$2,2)=4,WEEKDAY('Daily Schedule'!$B$2,2)=5,WEEKDAY('Daily Schedule'!$B$2,2)=7),IFERROR(1*'Daily Workforce'!$K99&gt;=3,FALSE()),IFERROR(1*'Daily Workforce'!$K99&gt;=2,FALSE())),IF(AND('Daily Schedule'!$A38&gt;=46,'Daily Schedule'!$A38&lt;=52),'Daily Workforce'!$M99="Y",IFERROR(1*'Daily Workforce'!$P99&gt;=2,FALSE()))))),1,0)</f>
        <v>1</v>
      </c>
      <c r="DG34" s="1" t="n">
        <f aca="false">IF(AND('Daily Workforce'!$N100="Y",'Daily Workforce'!$B100&lt;&gt;"",COUNTIF('Daily Schedule'!$F$5:$F37,'Daily Workforce'!$B100)=0,IF('Daily Schedule'!$A38=45,'Daily Workforce'!$J100="Y",IF(OR('Daily Schedule'!$A38=4,'Daily Schedule'!$A38=8),IF(OR(WEEKDAY('Daily Schedule'!$B$2,2)=1,WEEKDAY('Daily Schedule'!$B$2,2)=4,WEEKDAY('Daily Schedule'!$B$2,2)=5,WEEKDAY('Daily Schedule'!$B$2,2)=7),IFERROR(1*'Daily Workforce'!$K100&gt;=3,FALSE()),IFERROR(1*'Daily Workforce'!$K100&gt;=2,FALSE())),IF(AND('Daily Schedule'!$A38&gt;=46,'Daily Schedule'!$A38&lt;=52),'Daily Workforce'!$M100="Y",IFERROR(1*'Daily Workforce'!$P100&gt;=2,FALSE()))))),1,0)</f>
        <v>1</v>
      </c>
      <c r="DH34" s="1" t="n">
        <f aca="false">IF(AND('Daily Workforce'!$N101="Y",'Daily Workforce'!$B101&lt;&gt;"",COUNTIF('Daily Schedule'!$F$5:$F37,'Daily Workforce'!$B101)=0,IF('Daily Schedule'!$A38=45,'Daily Workforce'!$J101="Y",IF(OR('Daily Schedule'!$A38=4,'Daily Schedule'!$A38=8),IF(OR(WEEKDAY('Daily Schedule'!$B$2,2)=1,WEEKDAY('Daily Schedule'!$B$2,2)=4,WEEKDAY('Daily Schedule'!$B$2,2)=5,WEEKDAY('Daily Schedule'!$B$2,2)=7),IFERROR(1*'Daily Workforce'!$K101&gt;=3,FALSE()),IFERROR(1*'Daily Workforce'!$K101&gt;=2,FALSE())),IF(AND('Daily Schedule'!$A38&gt;=46,'Daily Schedule'!$A38&lt;=52),'Daily Workforce'!$M101="Y",IFERROR(1*'Daily Workforce'!$P101&gt;=2,FALSE()))))),1,0)</f>
        <v>1</v>
      </c>
      <c r="DI34" s="1" t="n">
        <f aca="false">IF(AND('Daily Workforce'!$N102="Y",'Daily Workforce'!$B102&lt;&gt;"",COUNTIF('Daily Schedule'!$F$5:$F37,'Daily Workforce'!$B102)=0,IF('Daily Schedule'!$A38=45,'Daily Workforce'!$J102="Y",IF(OR('Daily Schedule'!$A38=4,'Daily Schedule'!$A38=8),IF(OR(WEEKDAY('Daily Schedule'!$B$2,2)=1,WEEKDAY('Daily Schedule'!$B$2,2)=4,WEEKDAY('Daily Schedule'!$B$2,2)=5,WEEKDAY('Daily Schedule'!$B$2,2)=7),IFERROR(1*'Daily Workforce'!$K102&gt;=3,FALSE()),IFERROR(1*'Daily Workforce'!$K102&gt;=2,FALSE())),IF(AND('Daily Schedule'!$A38&gt;=46,'Daily Schedule'!$A38&lt;=52),'Daily Workforce'!$M102="Y",IFERROR(1*'Daily Workforce'!$P102&gt;=2,FALSE()))))),1,0)</f>
        <v>1</v>
      </c>
      <c r="DJ34" s="1" t="n">
        <f aca="false">IF(AND('Daily Workforce'!$N103="Y",'Daily Workforce'!$B103&lt;&gt;"",COUNTIF('Daily Schedule'!$F$5:$F37,'Daily Workforce'!$B103)=0,IF('Daily Schedule'!$A38=45,'Daily Workforce'!$J103="Y",IF(OR('Daily Schedule'!$A38=4,'Daily Schedule'!$A38=8),IF(OR(WEEKDAY('Daily Schedule'!$B$2,2)=1,WEEKDAY('Daily Schedule'!$B$2,2)=4,WEEKDAY('Daily Schedule'!$B$2,2)=5,WEEKDAY('Daily Schedule'!$B$2,2)=7),IFERROR(1*'Daily Workforce'!$K103&gt;=3,FALSE()),IFERROR(1*'Daily Workforce'!$K103&gt;=2,FALSE())),IF(AND('Daily Schedule'!$A38&gt;=46,'Daily Schedule'!$A38&lt;=52),'Daily Workforce'!$M103="Y",IFERROR(1*'Daily Workforce'!$P103&gt;=2,FALSE()))))),1,0)</f>
        <v>1</v>
      </c>
      <c r="DK34" s="1" t="n">
        <f aca="false">IF(AND('Daily Workforce'!$N104="Y",'Daily Workforce'!$B104&lt;&gt;"",COUNTIF('Daily Schedule'!$F$5:$F37,'Daily Workforce'!$B104)=0,IF('Daily Schedule'!$A38=45,'Daily Workforce'!$J104="Y",IF(OR('Daily Schedule'!$A38=4,'Daily Schedule'!$A38=8),IF(OR(WEEKDAY('Daily Schedule'!$B$2,2)=1,WEEKDAY('Daily Schedule'!$B$2,2)=4,WEEKDAY('Daily Schedule'!$B$2,2)=5,WEEKDAY('Daily Schedule'!$B$2,2)=7),IFERROR(1*'Daily Workforce'!$K104&gt;=3,FALSE()),IFERROR(1*'Daily Workforce'!$K104&gt;=2,FALSE())),IF(AND('Daily Schedule'!$A38&gt;=46,'Daily Schedule'!$A38&lt;=52),'Daily Workforce'!$M104="Y",IFERROR(1*'Daily Workforce'!$P104&gt;=2,FALSE()))))),1,0)</f>
        <v>1</v>
      </c>
      <c r="DL34" s="1" t="n">
        <f aca="false">IF(AND('Daily Workforce'!$N105="Y",'Daily Workforce'!$B105&lt;&gt;"",COUNTIF('Daily Schedule'!$F$5:$F37,'Daily Workforce'!$B105)=0,IF('Daily Schedule'!$A38=45,'Daily Workforce'!$J105="Y",IF(OR('Daily Schedule'!$A38=4,'Daily Schedule'!$A38=8),IF(OR(WEEKDAY('Daily Schedule'!$B$2,2)=1,WEEKDAY('Daily Schedule'!$B$2,2)=4,WEEKDAY('Daily Schedule'!$B$2,2)=5,WEEKDAY('Daily Schedule'!$B$2,2)=7),IFERROR(1*'Daily Workforce'!$K105&gt;=3,FALSE()),IFERROR(1*'Daily Workforce'!$K105&gt;=2,FALSE())),IF(AND('Daily Schedule'!$A38&gt;=46,'Daily Schedule'!$A38&lt;=52),'Daily Workforce'!$M105="Y",IFERROR(1*'Daily Workforce'!$P105&gt;=2,FALSE()))))),1,0)</f>
        <v>0</v>
      </c>
      <c r="DM34" s="1" t="n">
        <f aca="false">IF(AND('Daily Workforce'!$N106="Y",'Daily Workforce'!$B106&lt;&gt;"",COUNTIF('Daily Schedule'!$F$5:$F37,'Daily Workforce'!$B106)=0,IF('Daily Schedule'!$A38=45,'Daily Workforce'!$J106="Y",IF(OR('Daily Schedule'!$A38=4,'Daily Schedule'!$A38=8),IF(OR(WEEKDAY('Daily Schedule'!$B$2,2)=1,WEEKDAY('Daily Schedule'!$B$2,2)=4,WEEKDAY('Daily Schedule'!$B$2,2)=5,WEEKDAY('Daily Schedule'!$B$2,2)=7),IFERROR(1*'Daily Workforce'!$K106&gt;=3,FALSE()),IFERROR(1*'Daily Workforce'!$K106&gt;=2,FALSE())),IF(AND('Daily Schedule'!$A38&gt;=46,'Daily Schedule'!$A38&lt;=52),'Daily Workforce'!$M106="Y",IFERROR(1*'Daily Workforce'!$P106&gt;=2,FALSE()))))),1,0)</f>
        <v>1</v>
      </c>
      <c r="DN34" s="1" t="n">
        <f aca="false">IF(AND('Daily Workforce'!$N107="Y",'Daily Workforce'!$B107&lt;&gt;"",COUNTIF('Daily Schedule'!$F$5:$F37,'Daily Workforce'!$B107)=0,IF('Daily Schedule'!$A38=45,'Daily Workforce'!$J107="Y",IF(OR('Daily Schedule'!$A38=4,'Daily Schedule'!$A38=8),IF(OR(WEEKDAY('Daily Schedule'!$B$2,2)=1,WEEKDAY('Daily Schedule'!$B$2,2)=4,WEEKDAY('Daily Schedule'!$B$2,2)=5,WEEKDAY('Daily Schedule'!$B$2,2)=7),IFERROR(1*'Daily Workforce'!$K107&gt;=3,FALSE()),IFERROR(1*'Daily Workforce'!$K107&gt;=2,FALSE())),IF(AND('Daily Schedule'!$A38&gt;=46,'Daily Schedule'!$A38&lt;=52),'Daily Workforce'!$M107="Y",IFERROR(1*'Daily Workforce'!$P107&gt;=2,FALSE()))))),1,0)</f>
        <v>1</v>
      </c>
      <c r="DO34" s="1" t="n">
        <f aca="false">IF(AND('Daily Workforce'!$N108="Y",'Daily Workforce'!$B108&lt;&gt;"",COUNTIF('Daily Schedule'!$F$5:$F37,'Daily Workforce'!$B108)=0,IF('Daily Schedule'!$A38=45,'Daily Workforce'!$J108="Y",IF(OR('Daily Schedule'!$A38=4,'Daily Schedule'!$A38=8),IF(OR(WEEKDAY('Daily Schedule'!$B$2,2)=1,WEEKDAY('Daily Schedule'!$B$2,2)=4,WEEKDAY('Daily Schedule'!$B$2,2)=5,WEEKDAY('Daily Schedule'!$B$2,2)=7),IFERROR(1*'Daily Workforce'!$K108&gt;=3,FALSE()),IFERROR(1*'Daily Workforce'!$K108&gt;=2,FALSE())),IF(AND('Daily Schedule'!$A38&gt;=46,'Daily Schedule'!$A38&lt;=52),'Daily Workforce'!$M108="Y",IFERROR(1*'Daily Workforce'!$P108&gt;=2,FALSE()))))),1,0)</f>
        <v>1</v>
      </c>
      <c r="DP34" s="1" t="n">
        <f aca="false">IF(AND('Daily Workforce'!$N109="Y",'Daily Workforce'!$B109&lt;&gt;"",COUNTIF('Daily Schedule'!$F$5:$F37,'Daily Workforce'!$B109)=0,IF('Daily Schedule'!$A38=45,'Daily Workforce'!$J109="Y",IF(OR('Daily Schedule'!$A38=4,'Daily Schedule'!$A38=8),IF(OR(WEEKDAY('Daily Schedule'!$B$2,2)=1,WEEKDAY('Daily Schedule'!$B$2,2)=4,WEEKDAY('Daily Schedule'!$B$2,2)=5,WEEKDAY('Daily Schedule'!$B$2,2)=7),IFERROR(1*'Daily Workforce'!$K109&gt;=3,FALSE()),IFERROR(1*'Daily Workforce'!$K109&gt;=2,FALSE())),IF(AND('Daily Schedule'!$A38&gt;=46,'Daily Schedule'!$A38&lt;=52),'Daily Workforce'!$M109="Y",IFERROR(1*'Daily Workforce'!$P109&gt;=2,FALSE()))))),1,0)</f>
        <v>1</v>
      </c>
      <c r="DQ34" s="1" t="n">
        <f aca="false">IF(AND('Daily Workforce'!$N110="Y",'Daily Workforce'!$B110&lt;&gt;"",COUNTIF('Daily Schedule'!$F$5:$F37,'Daily Workforce'!$B110)=0,IF('Daily Schedule'!$A38=45,'Daily Workforce'!$J110="Y",IF(OR('Daily Schedule'!$A38=4,'Daily Schedule'!$A38=8),IF(OR(WEEKDAY('Daily Schedule'!$B$2,2)=1,WEEKDAY('Daily Schedule'!$B$2,2)=4,WEEKDAY('Daily Schedule'!$B$2,2)=5,WEEKDAY('Daily Schedule'!$B$2,2)=7),IFERROR(1*'Daily Workforce'!$K110&gt;=3,FALSE()),IFERROR(1*'Daily Workforce'!$K110&gt;=2,FALSE())),IF(AND('Daily Schedule'!$A38&gt;=46,'Daily Schedule'!$A38&lt;=52),'Daily Workforce'!$M110="Y",IFERROR(1*'Daily Workforce'!$P110&gt;=2,FALSE()))))),1,0)</f>
        <v>1</v>
      </c>
      <c r="DR34" s="1" t="n">
        <f aca="false">IF(AND('Daily Workforce'!$N111="Y",'Daily Workforce'!$B111&lt;&gt;"",COUNTIF('Daily Schedule'!$F$5:$F37,'Daily Workforce'!$B111)=0,IF('Daily Schedule'!$A38=45,'Daily Workforce'!$J111="Y",IF(OR('Daily Schedule'!$A38=4,'Daily Schedule'!$A38=8),IF(OR(WEEKDAY('Daily Schedule'!$B$2,2)=1,WEEKDAY('Daily Schedule'!$B$2,2)=4,WEEKDAY('Daily Schedule'!$B$2,2)=5,WEEKDAY('Daily Schedule'!$B$2,2)=7),IFERROR(1*'Daily Workforce'!$K111&gt;=3,FALSE()),IFERROR(1*'Daily Workforce'!$K111&gt;=2,FALSE())),IF(AND('Daily Schedule'!$A38&gt;=46,'Daily Schedule'!$A38&lt;=52),'Daily Workforce'!$M111="Y",IFERROR(1*'Daily Workforce'!$P111&gt;=2,FALSE()))))),1,0)</f>
        <v>1</v>
      </c>
      <c r="DS34" s="1" t="n">
        <f aca="false">IF(AND('Daily Workforce'!$N112="Y",'Daily Workforce'!$B112&lt;&gt;"",COUNTIF('Daily Schedule'!$F$5:$F37,'Daily Workforce'!$B112)=0,IF('Daily Schedule'!$A38=45,'Daily Workforce'!$J112="Y",IF(OR('Daily Schedule'!$A38=4,'Daily Schedule'!$A38=8),IF(OR(WEEKDAY('Daily Schedule'!$B$2,2)=1,WEEKDAY('Daily Schedule'!$B$2,2)=4,WEEKDAY('Daily Schedule'!$B$2,2)=5,WEEKDAY('Daily Schedule'!$B$2,2)=7),IFERROR(1*'Daily Workforce'!$K112&gt;=3,FALSE()),IFERROR(1*'Daily Workforce'!$K112&gt;=2,FALSE())),IF(AND('Daily Schedule'!$A38&gt;=46,'Daily Schedule'!$A38&lt;=52),'Daily Workforce'!$M112="Y",IFERROR(1*'Daily Workforce'!$P112&gt;=2,FALSE()))))),1,0)</f>
        <v>1</v>
      </c>
      <c r="DT34" s="1" t="n">
        <f aca="false">IF(AND('Daily Workforce'!$N113="Y",'Daily Workforce'!$B113&lt;&gt;"",COUNTIF('Daily Schedule'!$F$5:$F37,'Daily Workforce'!$B113)=0,IF('Daily Schedule'!$A38=45,'Daily Workforce'!$J113="Y",IF(OR('Daily Schedule'!$A38=4,'Daily Schedule'!$A38=8),IF(OR(WEEKDAY('Daily Schedule'!$B$2,2)=1,WEEKDAY('Daily Schedule'!$B$2,2)=4,WEEKDAY('Daily Schedule'!$B$2,2)=5,WEEKDAY('Daily Schedule'!$B$2,2)=7),IFERROR(1*'Daily Workforce'!$K113&gt;=3,FALSE()),IFERROR(1*'Daily Workforce'!$K113&gt;=2,FALSE())),IF(AND('Daily Schedule'!$A38&gt;=46,'Daily Schedule'!$A38&lt;=52),'Daily Workforce'!$M113="Y",IFERROR(1*'Daily Workforce'!$P113&gt;=2,FALSE()))))),1,0)</f>
        <v>1</v>
      </c>
      <c r="DU34" s="1" t="n">
        <f aca="false">IF(AND('Daily Workforce'!$N114="Y",'Daily Workforce'!$B114&lt;&gt;"",COUNTIF('Daily Schedule'!$F$5:$F37,'Daily Workforce'!$B114)=0,IF('Daily Schedule'!$A38=45,'Daily Workforce'!$J114="Y",IF(OR('Daily Schedule'!$A38=4,'Daily Schedule'!$A38=8),IF(OR(WEEKDAY('Daily Schedule'!$B$2,2)=1,WEEKDAY('Daily Schedule'!$B$2,2)=4,WEEKDAY('Daily Schedule'!$B$2,2)=5,WEEKDAY('Daily Schedule'!$B$2,2)=7),IFERROR(1*'Daily Workforce'!$K114&gt;=3,FALSE()),IFERROR(1*'Daily Workforce'!$K114&gt;=2,FALSE())),IF(AND('Daily Schedule'!$A38&gt;=46,'Daily Schedule'!$A38&lt;=52),'Daily Workforce'!$M114="Y",IFERROR(1*'Daily Workforce'!$P114&gt;=2,FALSE()))))),1,0)</f>
        <v>1</v>
      </c>
      <c r="DV34" s="1" t="n">
        <f aca="false">IF(AND('Daily Workforce'!$N115="Y",'Daily Workforce'!$B115&lt;&gt;"",COUNTIF('Daily Schedule'!$F$5:$F37,'Daily Workforce'!$B115)=0,IF('Daily Schedule'!$A38=45,'Daily Workforce'!$J115="Y",IF(OR('Daily Schedule'!$A38=4,'Daily Schedule'!$A38=8),IF(OR(WEEKDAY('Daily Schedule'!$B$2,2)=1,WEEKDAY('Daily Schedule'!$B$2,2)=4,WEEKDAY('Daily Schedule'!$B$2,2)=5,WEEKDAY('Daily Schedule'!$B$2,2)=7),IFERROR(1*'Daily Workforce'!$K115&gt;=3,FALSE()),IFERROR(1*'Daily Workforce'!$K115&gt;=2,FALSE())),IF(AND('Daily Schedule'!$A38&gt;=46,'Daily Schedule'!$A38&lt;=52),'Daily Workforce'!$M115="Y",IFERROR(1*'Daily Workforce'!$P115&gt;=2,FALSE()))))),1,0)</f>
        <v>1</v>
      </c>
      <c r="DW34" s="1" t="n">
        <f aca="false">IF(AND('Daily Workforce'!$N116="Y",'Daily Workforce'!$B116&lt;&gt;"",COUNTIF('Daily Schedule'!$F$5:$F37,'Daily Workforce'!$B116)=0,IF('Daily Schedule'!$A38=45,'Daily Workforce'!$J116="Y",IF(OR('Daily Schedule'!$A38=4,'Daily Schedule'!$A38=8),IF(OR(WEEKDAY('Daily Schedule'!$B$2,2)=1,WEEKDAY('Daily Schedule'!$B$2,2)=4,WEEKDAY('Daily Schedule'!$B$2,2)=5,WEEKDAY('Daily Schedule'!$B$2,2)=7),IFERROR(1*'Daily Workforce'!$K116&gt;=3,FALSE()),IFERROR(1*'Daily Workforce'!$K116&gt;=2,FALSE())),IF(AND('Daily Schedule'!$A38&gt;=46,'Daily Schedule'!$A38&lt;=52),'Daily Workforce'!$M116="Y",IFERROR(1*'Daily Workforce'!$P116&gt;=2,FALSE()))))),1,0)</f>
        <v>1</v>
      </c>
      <c r="DX34" s="1" t="n">
        <f aca="false">IF(AND('Daily Workforce'!$N117="Y",'Daily Workforce'!$B117&lt;&gt;"",COUNTIF('Daily Schedule'!$F$5:$F37,'Daily Workforce'!$B117)=0,IF('Daily Schedule'!$A38=45,'Daily Workforce'!$J117="Y",IF(OR('Daily Schedule'!$A38=4,'Daily Schedule'!$A38=8),IF(OR(WEEKDAY('Daily Schedule'!$B$2,2)=1,WEEKDAY('Daily Schedule'!$B$2,2)=4,WEEKDAY('Daily Schedule'!$B$2,2)=5,WEEKDAY('Daily Schedule'!$B$2,2)=7),IFERROR(1*'Daily Workforce'!$K117&gt;=3,FALSE()),IFERROR(1*'Daily Workforce'!$K117&gt;=2,FALSE())),IF(AND('Daily Schedule'!$A38&gt;=46,'Daily Schedule'!$A38&lt;=52),'Daily Workforce'!$M117="Y",IFERROR(1*'Daily Workforce'!$P117&gt;=2,FALSE()))))),1,0)</f>
        <v>1</v>
      </c>
      <c r="DY34" s="1" t="n">
        <f aca="false">IF(AND('Daily Workforce'!$N118="Y",'Daily Workforce'!$B118&lt;&gt;"",COUNTIF('Daily Schedule'!$F$5:$F37,'Daily Workforce'!$B118)=0,IF('Daily Schedule'!$A38=45,'Daily Workforce'!$J118="Y",IF(OR('Daily Schedule'!$A38=4,'Daily Schedule'!$A38=8),IF(OR(WEEKDAY('Daily Schedule'!$B$2,2)=1,WEEKDAY('Daily Schedule'!$B$2,2)=4,WEEKDAY('Daily Schedule'!$B$2,2)=5,WEEKDAY('Daily Schedule'!$B$2,2)=7),IFERROR(1*'Daily Workforce'!$K118&gt;=3,FALSE()),IFERROR(1*'Daily Workforce'!$K118&gt;=2,FALSE())),IF(AND('Daily Schedule'!$A38&gt;=46,'Daily Schedule'!$A38&lt;=52),'Daily Workforce'!$M118="Y",IFERROR(1*'Daily Workforce'!$P118&gt;=2,FALSE()))))),1,0)</f>
        <v>0</v>
      </c>
      <c r="DZ34" s="1" t="n">
        <f aca="false">IF(AND('Daily Workforce'!$N119="Y",'Daily Workforce'!$B119&lt;&gt;"",COUNTIF('Daily Schedule'!$F$5:$F37,'Daily Workforce'!$B119)=0,IF('Daily Schedule'!$A38=45,'Daily Workforce'!$J119="Y",IF(OR('Daily Schedule'!$A38=4,'Daily Schedule'!$A38=8),IF(OR(WEEKDAY('Daily Schedule'!$B$2,2)=1,WEEKDAY('Daily Schedule'!$B$2,2)=4,WEEKDAY('Daily Schedule'!$B$2,2)=5,WEEKDAY('Daily Schedule'!$B$2,2)=7),IFERROR(1*'Daily Workforce'!$K119&gt;=3,FALSE()),IFERROR(1*'Daily Workforce'!$K119&gt;=2,FALSE())),IF(AND('Daily Schedule'!$A38&gt;=46,'Daily Schedule'!$A38&lt;=52),'Daily Workforce'!$M119="Y",IFERROR(1*'Daily Workforce'!$P119&gt;=2,FALSE()))))),1,0)</f>
        <v>0</v>
      </c>
      <c r="EA34" s="1" t="n">
        <f aca="false">IF(AND('Daily Workforce'!$N120="Y",'Daily Workforce'!$B120&lt;&gt;"",COUNTIF('Daily Schedule'!$F$5:$F37,'Daily Workforce'!$B120)=0,IF('Daily Schedule'!$A38=45,'Daily Workforce'!$J120="Y",IF(OR('Daily Schedule'!$A38=4,'Daily Schedule'!$A38=8),IF(OR(WEEKDAY('Daily Schedule'!$B$2,2)=1,WEEKDAY('Daily Schedule'!$B$2,2)=4,WEEKDAY('Daily Schedule'!$B$2,2)=5,WEEKDAY('Daily Schedule'!$B$2,2)=7),IFERROR(1*'Daily Workforce'!$K120&gt;=3,FALSE()),IFERROR(1*'Daily Workforce'!$K120&gt;=2,FALSE())),IF(AND('Daily Schedule'!$A38&gt;=46,'Daily Schedule'!$A38&lt;=52),'Daily Workforce'!$M120="Y",IFERROR(1*'Daily Workforce'!$P120&gt;=2,FALSE()))))),1,0)</f>
        <v>0</v>
      </c>
      <c r="EB34" s="1" t="n">
        <f aca="false">IF(AND('Daily Workforce'!$N121="Y",'Daily Workforce'!$B121&lt;&gt;"",COUNTIF('Daily Schedule'!$F$5:$F37,'Daily Workforce'!$B121)=0,IF('Daily Schedule'!$A38=45,'Daily Workforce'!$J121="Y",IF(OR('Daily Schedule'!$A38=4,'Daily Schedule'!$A38=8),IF(OR(WEEKDAY('Daily Schedule'!$B$2,2)=1,WEEKDAY('Daily Schedule'!$B$2,2)=4,WEEKDAY('Daily Schedule'!$B$2,2)=5,WEEKDAY('Daily Schedule'!$B$2,2)=7),IFERROR(1*'Daily Workforce'!$K121&gt;=3,FALSE()),IFERROR(1*'Daily Workforce'!$K121&gt;=2,FALSE())),IF(AND('Daily Schedule'!$A38&gt;=46,'Daily Schedule'!$A38&lt;=52),'Daily Workforce'!$M121="Y",IFERROR(1*'Daily Workforce'!$P121&gt;=2,FALSE()))))),1,0)</f>
        <v>0</v>
      </c>
      <c r="EC34" s="1" t="n">
        <f aca="false">IF(AND('Daily Workforce'!$N122="Y",'Daily Workforce'!$B122&lt;&gt;"",COUNTIF('Daily Schedule'!$F$5:$F37,'Daily Workforce'!$B122)=0,IF('Daily Schedule'!$A38=45,'Daily Workforce'!$J122="Y",IF(OR('Daily Schedule'!$A38=4,'Daily Schedule'!$A38=8),IF(OR(WEEKDAY('Daily Schedule'!$B$2,2)=1,WEEKDAY('Daily Schedule'!$B$2,2)=4,WEEKDAY('Daily Schedule'!$B$2,2)=5,WEEKDAY('Daily Schedule'!$B$2,2)=7),IFERROR(1*'Daily Workforce'!$K122&gt;=3,FALSE()),IFERROR(1*'Daily Workforce'!$K122&gt;=2,FALSE())),IF(AND('Daily Schedule'!$A38&gt;=46,'Daily Schedule'!$A38&lt;=52),'Daily Workforce'!$M122="Y",IFERROR(1*'Daily Workforce'!$P122&gt;=2,FALSE()))))),1,0)</f>
        <v>0</v>
      </c>
      <c r="ED34" s="1" t="n">
        <f aca="false">IF(AND('Daily Workforce'!$N123="Y",'Daily Workforce'!$B123&lt;&gt;"",COUNTIF('Daily Schedule'!$F$5:$F37,'Daily Workforce'!$B123)=0,IF('Daily Schedule'!$A38=45,'Daily Workforce'!$J123="Y",IF(OR('Daily Schedule'!$A38=4,'Daily Schedule'!$A38=8),IF(OR(WEEKDAY('Daily Schedule'!$B$2,2)=1,WEEKDAY('Daily Schedule'!$B$2,2)=4,WEEKDAY('Daily Schedule'!$B$2,2)=5,WEEKDAY('Daily Schedule'!$B$2,2)=7),IFERROR(1*'Daily Workforce'!$K123&gt;=3,FALSE()),IFERROR(1*'Daily Workforce'!$K123&gt;=2,FALSE())),IF(AND('Daily Schedule'!$A38&gt;=46,'Daily Schedule'!$A38&lt;=52),'Daily Workforce'!$M123="Y",IFERROR(1*'Daily Workforce'!$P123&gt;=2,FALSE()))))),1,0)</f>
        <v>0</v>
      </c>
      <c r="EE34" s="1" t="n">
        <f aca="false">IF(AND('Daily Workforce'!$N124="Y",'Daily Workforce'!$B124&lt;&gt;"",COUNTIF('Daily Schedule'!$F$5:$F37,'Daily Workforce'!$B124)=0,IF('Daily Schedule'!$A38=45,'Daily Workforce'!$J124="Y",IF(OR('Daily Schedule'!$A38=4,'Daily Schedule'!$A38=8),IF(OR(WEEKDAY('Daily Schedule'!$B$2,2)=1,WEEKDAY('Daily Schedule'!$B$2,2)=4,WEEKDAY('Daily Schedule'!$B$2,2)=5,WEEKDAY('Daily Schedule'!$B$2,2)=7),IFERROR(1*'Daily Workforce'!$K124&gt;=3,FALSE()),IFERROR(1*'Daily Workforce'!$K124&gt;=2,FALSE())),IF(AND('Daily Schedule'!$A38&gt;=46,'Daily Schedule'!$A38&lt;=52),'Daily Workforce'!$M124="Y",IFERROR(1*'Daily Workforce'!$P124&gt;=2,FALSE()))))),1,0)</f>
        <v>0</v>
      </c>
      <c r="EF34" s="1" t="n">
        <f aca="false">IF(AND('Daily Workforce'!$N125="Y",'Daily Workforce'!$B125&lt;&gt;"",COUNTIF('Daily Schedule'!$F$5:$F37,'Daily Workforce'!$B125)=0,IF('Daily Schedule'!$A38=45,'Daily Workforce'!$J125="Y",IF(OR('Daily Schedule'!$A38=4,'Daily Schedule'!$A38=8),IF(OR(WEEKDAY('Daily Schedule'!$B$2,2)=1,WEEKDAY('Daily Schedule'!$B$2,2)=4,WEEKDAY('Daily Schedule'!$B$2,2)=5,WEEKDAY('Daily Schedule'!$B$2,2)=7),IFERROR(1*'Daily Workforce'!$K125&gt;=3,FALSE()),IFERROR(1*'Daily Workforce'!$K125&gt;=2,FALSE())),IF(AND('Daily Schedule'!$A38&gt;=46,'Daily Schedule'!$A38&lt;=52),'Daily Workforce'!$M125="Y",IFERROR(1*'Daily Workforce'!$P125&gt;=2,FALSE()))))),1,0)</f>
        <v>0</v>
      </c>
      <c r="EG34" s="1" t="n">
        <f aca="false">IF(AND('Daily Workforce'!$N126="Y",'Daily Workforce'!$B126&lt;&gt;"",COUNTIF('Daily Schedule'!$F$5:$F37,'Daily Workforce'!$B126)=0,IF('Daily Schedule'!$A38=45,'Daily Workforce'!$J126="Y",IF(OR('Daily Schedule'!$A38=4,'Daily Schedule'!$A38=8),IF(OR(WEEKDAY('Daily Schedule'!$B$2,2)=1,WEEKDAY('Daily Schedule'!$B$2,2)=4,WEEKDAY('Daily Schedule'!$B$2,2)=5,WEEKDAY('Daily Schedule'!$B$2,2)=7),IFERROR(1*'Daily Workforce'!$K126&gt;=3,FALSE()),IFERROR(1*'Daily Workforce'!$K126&gt;=2,FALSE())),IF(AND('Daily Schedule'!$A38&gt;=46,'Daily Schedule'!$A38&lt;=52),'Daily Workforce'!$M126="Y",IFERROR(1*'Daily Workforce'!$P126&gt;=2,FALSE()))))),1,0)</f>
        <v>0</v>
      </c>
      <c r="EH34" s="1" t="n">
        <f aca="false">IF(AND('Daily Workforce'!$N127="Y",'Daily Workforce'!$B127&lt;&gt;"",COUNTIF('Daily Schedule'!$F$5:$F37,'Daily Workforce'!$B127)=0,IF('Daily Schedule'!$A38=45,'Daily Workforce'!$J127="Y",IF(OR('Daily Schedule'!$A38=4,'Daily Schedule'!$A38=8),IF(OR(WEEKDAY('Daily Schedule'!$B$2,2)=1,WEEKDAY('Daily Schedule'!$B$2,2)=4,WEEKDAY('Daily Schedule'!$B$2,2)=5,WEEKDAY('Daily Schedule'!$B$2,2)=7),IFERROR(1*'Daily Workforce'!$K127&gt;=3,FALSE()),IFERROR(1*'Daily Workforce'!$K127&gt;=2,FALSE())),IF(AND('Daily Schedule'!$A38&gt;=46,'Daily Schedule'!$A38&lt;=52),'Daily Workforce'!$M127="Y",IFERROR(1*'Daily Workforce'!$P127&gt;=2,FALSE()))))),1,0)</f>
        <v>0</v>
      </c>
      <c r="EI34" s="1" t="n">
        <f aca="false">IF(AND('Daily Workforce'!$N128="Y",'Daily Workforce'!$B128&lt;&gt;"",COUNTIF('Daily Schedule'!$F$5:$F37,'Daily Workforce'!$B128)=0,IF('Daily Schedule'!$A38=45,'Daily Workforce'!$J128="Y",IF(OR('Daily Schedule'!$A38=4,'Daily Schedule'!$A38=8),IF(OR(WEEKDAY('Daily Schedule'!$B$2,2)=1,WEEKDAY('Daily Schedule'!$B$2,2)=4,WEEKDAY('Daily Schedule'!$B$2,2)=5,WEEKDAY('Daily Schedule'!$B$2,2)=7),IFERROR(1*'Daily Workforce'!$K128&gt;=3,FALSE()),IFERROR(1*'Daily Workforce'!$K128&gt;=2,FALSE())),IF(AND('Daily Schedule'!$A38&gt;=46,'Daily Schedule'!$A38&lt;=52),'Daily Workforce'!$M128="Y",IFERROR(1*'Daily Workforce'!$P128&gt;=2,FALSE()))))),1,0)</f>
        <v>0</v>
      </c>
      <c r="EJ34" s="1" t="n">
        <f aca="false">IF(AND('Daily Workforce'!$N129="Y",'Daily Workforce'!$B129&lt;&gt;"",COUNTIF('Daily Schedule'!$F$5:$F37,'Daily Workforce'!$B129)=0,IF('Daily Schedule'!$A38=45,'Daily Workforce'!$J129="Y",IF(OR('Daily Schedule'!$A38=4,'Daily Schedule'!$A38=8),IF(OR(WEEKDAY('Daily Schedule'!$B$2,2)=1,WEEKDAY('Daily Schedule'!$B$2,2)=4,WEEKDAY('Daily Schedule'!$B$2,2)=5,WEEKDAY('Daily Schedule'!$B$2,2)=7),IFERROR(1*'Daily Workforce'!$K129&gt;=3,FALSE()),IFERROR(1*'Daily Workforce'!$K129&gt;=2,FALSE())),IF(AND('Daily Schedule'!$A38&gt;=46,'Daily Schedule'!$A38&lt;=52),'Daily Workforce'!$M129="Y",IFERROR(1*'Daily Workforce'!$P129&gt;=2,FALSE()))))),1,0)</f>
        <v>0</v>
      </c>
      <c r="EK34" s="1" t="n">
        <f aca="false">IF(AND('Daily Workforce'!$N130="Y",'Daily Workforce'!$B130&lt;&gt;"",COUNTIF('Daily Schedule'!$F$5:$F37,'Daily Workforce'!$B130)=0,IF('Daily Schedule'!$A38=45,'Daily Workforce'!$J130="Y",IF(OR('Daily Schedule'!$A38=4,'Daily Schedule'!$A38=8),IF(OR(WEEKDAY('Daily Schedule'!$B$2,2)=1,WEEKDAY('Daily Schedule'!$B$2,2)=4,WEEKDAY('Daily Schedule'!$B$2,2)=5,WEEKDAY('Daily Schedule'!$B$2,2)=7),IFERROR(1*'Daily Workforce'!$K130&gt;=3,FALSE()),IFERROR(1*'Daily Workforce'!$K130&gt;=2,FALSE())),IF(AND('Daily Schedule'!$A38&gt;=46,'Daily Schedule'!$A38&lt;=52),'Daily Workforce'!$M130="Y",IFERROR(1*'Daily Workforce'!$P130&gt;=2,FALSE()))))),1,0)</f>
        <v>0</v>
      </c>
      <c r="EL34" s="1" t="n">
        <f aca="false">IF(AND('Daily Workforce'!$N131="Y",'Daily Workforce'!$B131&lt;&gt;"",COUNTIF('Daily Schedule'!$F$5:$F37,'Daily Workforce'!$B131)=0,IF('Daily Schedule'!$A38=45,'Daily Workforce'!$J131="Y",IF(OR('Daily Schedule'!$A38=4,'Daily Schedule'!$A38=8),IF(OR(WEEKDAY('Daily Schedule'!$B$2,2)=1,WEEKDAY('Daily Schedule'!$B$2,2)=4,WEEKDAY('Daily Schedule'!$B$2,2)=5,WEEKDAY('Daily Schedule'!$B$2,2)=7),IFERROR(1*'Daily Workforce'!$K131&gt;=3,FALSE()),IFERROR(1*'Daily Workforce'!$K131&gt;=2,FALSE())),IF(AND('Daily Schedule'!$A38&gt;=46,'Daily Schedule'!$A38&lt;=52),'Daily Workforce'!$M131="Y",IFERROR(1*'Daily Workforce'!$P131&gt;=2,FALSE()))))),1,0)</f>
        <v>0</v>
      </c>
      <c r="EM34" s="1" t="n">
        <f aca="false">IF(AND('Daily Workforce'!$N132="Y",'Daily Workforce'!$B132&lt;&gt;"",COUNTIF('Daily Schedule'!$F$5:$F37,'Daily Workforce'!$B132)=0,IF('Daily Schedule'!$A38=45,'Daily Workforce'!$J132="Y",IF(OR('Daily Schedule'!$A38=4,'Daily Schedule'!$A38=8),IF(OR(WEEKDAY('Daily Schedule'!$B$2,2)=1,WEEKDAY('Daily Schedule'!$B$2,2)=4,WEEKDAY('Daily Schedule'!$B$2,2)=5,WEEKDAY('Daily Schedule'!$B$2,2)=7),IFERROR(1*'Daily Workforce'!$K132&gt;=3,FALSE()),IFERROR(1*'Daily Workforce'!$K132&gt;=2,FALSE())),IF(AND('Daily Schedule'!$A38&gt;=46,'Daily Schedule'!$A38&lt;=52),'Daily Workforce'!$M132="Y",IFERROR(1*'Daily Workforce'!$P132&gt;=2,FALSE()))))),1,0)</f>
        <v>0</v>
      </c>
      <c r="EN34" s="1" t="n">
        <f aca="false">IF(AND('Daily Workforce'!$N133="Y",'Daily Workforce'!$B133&lt;&gt;"",COUNTIF('Daily Schedule'!$F$5:$F37,'Daily Workforce'!$B133)=0,IF('Daily Schedule'!$A38=45,'Daily Workforce'!$J133="Y",IF(OR('Daily Schedule'!$A38=4,'Daily Schedule'!$A38=8),IF(OR(WEEKDAY('Daily Schedule'!$B$2,2)=1,WEEKDAY('Daily Schedule'!$B$2,2)=4,WEEKDAY('Daily Schedule'!$B$2,2)=5,WEEKDAY('Daily Schedule'!$B$2,2)=7),IFERROR(1*'Daily Workforce'!$K133&gt;=3,FALSE()),IFERROR(1*'Daily Workforce'!$K133&gt;=2,FALSE())),IF(AND('Daily Schedule'!$A38&gt;=46,'Daily Schedule'!$A38&lt;=52),'Daily Workforce'!$M133="Y",IFERROR(1*'Daily Workforce'!$P133&gt;=2,FALSE()))))),1,0)</f>
        <v>0</v>
      </c>
      <c r="EO34" s="1" t="n">
        <f aca="false">IF(AND('Daily Workforce'!$N134="Y",'Daily Workforce'!$B134&lt;&gt;"",COUNTIF('Daily Schedule'!$F$5:$F37,'Daily Workforce'!$B134)=0,IF('Daily Schedule'!$A38=45,'Daily Workforce'!$J134="Y",IF(OR('Daily Schedule'!$A38=4,'Daily Schedule'!$A38=8),IF(OR(WEEKDAY('Daily Schedule'!$B$2,2)=1,WEEKDAY('Daily Schedule'!$B$2,2)=4,WEEKDAY('Daily Schedule'!$B$2,2)=5,WEEKDAY('Daily Schedule'!$B$2,2)=7),IFERROR(1*'Daily Workforce'!$K134&gt;=3,FALSE()),IFERROR(1*'Daily Workforce'!$K134&gt;=2,FALSE())),IF(AND('Daily Schedule'!$A38&gt;=46,'Daily Schedule'!$A38&lt;=52),'Daily Workforce'!$M134="Y",IFERROR(1*'Daily Workforce'!$P134&gt;=2,FALSE()))))),1,0)</f>
        <v>0</v>
      </c>
      <c r="EP34" s="1" t="n">
        <f aca="false">IF(AND('Daily Workforce'!$N135="Y",'Daily Workforce'!$B135&lt;&gt;"",COUNTIF('Daily Schedule'!$F$5:$F37,'Daily Workforce'!$B135)=0,IF('Daily Schedule'!$A38=45,'Daily Workforce'!$J135="Y",IF(OR('Daily Schedule'!$A38=4,'Daily Schedule'!$A38=8),IF(OR(WEEKDAY('Daily Schedule'!$B$2,2)=1,WEEKDAY('Daily Schedule'!$B$2,2)=4,WEEKDAY('Daily Schedule'!$B$2,2)=5,WEEKDAY('Daily Schedule'!$B$2,2)=7),IFERROR(1*'Daily Workforce'!$K135&gt;=3,FALSE()),IFERROR(1*'Daily Workforce'!$K135&gt;=2,FALSE())),IF(AND('Daily Schedule'!$A38&gt;=46,'Daily Schedule'!$A38&lt;=52),'Daily Workforce'!$M135="Y",IFERROR(1*'Daily Workforce'!$P135&gt;=2,FALSE()))))),1,0)</f>
        <v>0</v>
      </c>
      <c r="EQ34" s="1" t="n">
        <f aca="false">IF(AND('Daily Workforce'!$N136="Y",'Daily Workforce'!$B136&lt;&gt;"",COUNTIF('Daily Schedule'!$F$5:$F37,'Daily Workforce'!$B136)=0,IF('Daily Schedule'!$A38=45,'Daily Workforce'!$J136="Y",IF(OR('Daily Schedule'!$A38=4,'Daily Schedule'!$A38=8),IF(OR(WEEKDAY('Daily Schedule'!$B$2,2)=1,WEEKDAY('Daily Schedule'!$B$2,2)=4,WEEKDAY('Daily Schedule'!$B$2,2)=5,WEEKDAY('Daily Schedule'!$B$2,2)=7),IFERROR(1*'Daily Workforce'!$K136&gt;=3,FALSE()),IFERROR(1*'Daily Workforce'!$K136&gt;=2,FALSE())),IF(AND('Daily Schedule'!$A38&gt;=46,'Daily Schedule'!$A38&lt;=52),'Daily Workforce'!$M136="Y",IFERROR(1*'Daily Workforce'!$P136&gt;=2,FALSE()))))),1,0)</f>
        <v>0</v>
      </c>
      <c r="ER34" s="1" t="n">
        <f aca="false">IF(AND('Daily Workforce'!$N137="Y",'Daily Workforce'!$B137&lt;&gt;"",COUNTIF('Daily Schedule'!$F$5:$F37,'Daily Workforce'!$B137)=0,IF('Daily Schedule'!$A38=45,'Daily Workforce'!$J137="Y",IF(OR('Daily Schedule'!$A38=4,'Daily Schedule'!$A38=8),IF(OR(WEEKDAY('Daily Schedule'!$B$2,2)=1,WEEKDAY('Daily Schedule'!$B$2,2)=4,WEEKDAY('Daily Schedule'!$B$2,2)=5,WEEKDAY('Daily Schedule'!$B$2,2)=7),IFERROR(1*'Daily Workforce'!$K137&gt;=3,FALSE()),IFERROR(1*'Daily Workforce'!$K137&gt;=2,FALSE())),IF(AND('Daily Schedule'!$A38&gt;=46,'Daily Schedule'!$A38&lt;=52),'Daily Workforce'!$M137="Y",IFERROR(1*'Daily Workforce'!$P137&gt;=2,FALSE()))))),1,0)</f>
        <v>0</v>
      </c>
      <c r="ES34" s="1" t="n">
        <f aca="false">IF(AND('Daily Workforce'!$N138="Y",'Daily Workforce'!$B138&lt;&gt;"",COUNTIF('Daily Schedule'!$F$5:$F37,'Daily Workforce'!$B138)=0,IF('Daily Schedule'!$A38=45,'Daily Workforce'!$J138="Y",IF(OR('Daily Schedule'!$A38=4,'Daily Schedule'!$A38=8),IF(OR(WEEKDAY('Daily Schedule'!$B$2,2)=1,WEEKDAY('Daily Schedule'!$B$2,2)=4,WEEKDAY('Daily Schedule'!$B$2,2)=5,WEEKDAY('Daily Schedule'!$B$2,2)=7),IFERROR(1*'Daily Workforce'!$K138&gt;=3,FALSE()),IFERROR(1*'Daily Workforce'!$K138&gt;=2,FALSE())),IF(AND('Daily Schedule'!$A38&gt;=46,'Daily Schedule'!$A38&lt;=52),'Daily Workforce'!$M138="Y",IFERROR(1*'Daily Workforce'!$P138&gt;=2,FALSE()))))),1,0)</f>
        <v>0</v>
      </c>
      <c r="ET34" s="1" t="n">
        <f aca="false">IF(AND('Daily Workforce'!$N139="Y",'Daily Workforce'!$B139&lt;&gt;"",COUNTIF('Daily Schedule'!$F$5:$F37,'Daily Workforce'!$B139)=0,IF('Daily Schedule'!$A38=45,'Daily Workforce'!$J139="Y",IF(OR('Daily Schedule'!$A38=4,'Daily Schedule'!$A38=8),IF(OR(WEEKDAY('Daily Schedule'!$B$2,2)=1,WEEKDAY('Daily Schedule'!$B$2,2)=4,WEEKDAY('Daily Schedule'!$B$2,2)=5,WEEKDAY('Daily Schedule'!$B$2,2)=7),IFERROR(1*'Daily Workforce'!$K139&gt;=3,FALSE()),IFERROR(1*'Daily Workforce'!$K139&gt;=2,FALSE())),IF(AND('Daily Schedule'!$A38&gt;=46,'Daily Schedule'!$A38&lt;=52),'Daily Workforce'!$M139="Y",IFERROR(1*'Daily Workforce'!$P139&gt;=2,FALSE()))))),1,0)</f>
        <v>0</v>
      </c>
      <c r="EU34" s="1" t="n">
        <f aca="false">IF(AND('Daily Workforce'!$N140="Y",'Daily Workforce'!$B140&lt;&gt;"",COUNTIF('Daily Schedule'!$F$5:$F37,'Daily Workforce'!$B140)=0,IF('Daily Schedule'!$A38=45,'Daily Workforce'!$J140="Y",IF(OR('Daily Schedule'!$A38=4,'Daily Schedule'!$A38=8),IF(OR(WEEKDAY('Daily Schedule'!$B$2,2)=1,WEEKDAY('Daily Schedule'!$B$2,2)=4,WEEKDAY('Daily Schedule'!$B$2,2)=5,WEEKDAY('Daily Schedule'!$B$2,2)=7),IFERROR(1*'Daily Workforce'!$K140&gt;=3,FALSE()),IFERROR(1*'Daily Workforce'!$K140&gt;=2,FALSE())),IF(AND('Daily Schedule'!$A38&gt;=46,'Daily Schedule'!$A38&lt;=52),'Daily Workforce'!$M140="Y",IFERROR(1*'Daily Workforce'!$P140&gt;=2,FALSE()))))),1,0)</f>
        <v>0</v>
      </c>
      <c r="EV34" s="1" t="n">
        <f aca="false">IF(AND('Daily Workforce'!$N141="Y",'Daily Workforce'!$B141&lt;&gt;"",COUNTIF('Daily Schedule'!$F$5:$F37,'Daily Workforce'!$B141)=0,IF('Daily Schedule'!$A38=45,'Daily Workforce'!$J141="Y",IF(OR('Daily Schedule'!$A38=4,'Daily Schedule'!$A38=8),IF(OR(WEEKDAY('Daily Schedule'!$B$2,2)=1,WEEKDAY('Daily Schedule'!$B$2,2)=4,WEEKDAY('Daily Schedule'!$B$2,2)=5,WEEKDAY('Daily Schedule'!$B$2,2)=7),IFERROR(1*'Daily Workforce'!$K141&gt;=3,FALSE()),IFERROR(1*'Daily Workforce'!$K141&gt;=2,FALSE())),IF(AND('Daily Schedule'!$A38&gt;=46,'Daily Schedule'!$A38&lt;=52),'Daily Workforce'!$M141="Y",IFERROR(1*'Daily Workforce'!$P141&gt;=2,FALSE()))))),1,0)</f>
        <v>0</v>
      </c>
      <c r="EW34" s="1" t="n">
        <f aca="false">IF(AND('Daily Workforce'!$N142="Y",'Daily Workforce'!$B142&lt;&gt;"",COUNTIF('Daily Schedule'!$F$5:$F37,'Daily Workforce'!$B142)=0,IF('Daily Schedule'!$A38=45,'Daily Workforce'!$J142="Y",IF(OR('Daily Schedule'!$A38=4,'Daily Schedule'!$A38=8),IF(OR(WEEKDAY('Daily Schedule'!$B$2,2)=1,WEEKDAY('Daily Schedule'!$B$2,2)=4,WEEKDAY('Daily Schedule'!$B$2,2)=5,WEEKDAY('Daily Schedule'!$B$2,2)=7),IFERROR(1*'Daily Workforce'!$K142&gt;=3,FALSE()),IFERROR(1*'Daily Workforce'!$K142&gt;=2,FALSE())),IF(AND('Daily Schedule'!$A38&gt;=46,'Daily Schedule'!$A38&lt;=52),'Daily Workforce'!$M142="Y",IFERROR(1*'Daily Workforce'!$P142&gt;=2,FALSE()))))),1,0)</f>
        <v>0</v>
      </c>
      <c r="EX34" s="1" t="n">
        <f aca="false">IF(AND('Daily Workforce'!$N143="Y",'Daily Workforce'!$B143&lt;&gt;"",COUNTIF('Daily Schedule'!$F$5:$F37,'Daily Workforce'!$B143)=0,IF('Daily Schedule'!$A38=45,'Daily Workforce'!$J143="Y",IF(OR('Daily Schedule'!$A38=4,'Daily Schedule'!$A38=8),IF(OR(WEEKDAY('Daily Schedule'!$B$2,2)=1,WEEKDAY('Daily Schedule'!$B$2,2)=4,WEEKDAY('Daily Schedule'!$B$2,2)=5,WEEKDAY('Daily Schedule'!$B$2,2)=7),IFERROR(1*'Daily Workforce'!$K143&gt;=3,FALSE()),IFERROR(1*'Daily Workforce'!$K143&gt;=2,FALSE())),IF(AND('Daily Schedule'!$A38&gt;=46,'Daily Schedule'!$A38&lt;=52),'Daily Workforce'!$M143="Y",IFERROR(1*'Daily Workforce'!$P143&gt;=2,FALSE()))))),1,0)</f>
        <v>0</v>
      </c>
      <c r="EY34" s="1" t="n">
        <f aca="false">IF(AND('Daily Workforce'!$N144="Y",'Daily Workforce'!$B144&lt;&gt;"",COUNTIF('Daily Schedule'!$F$5:$F37,'Daily Workforce'!$B144)=0,IF('Daily Schedule'!$A38=45,'Daily Workforce'!$J144="Y",IF(OR('Daily Schedule'!$A38=4,'Daily Schedule'!$A38=8),IF(OR(WEEKDAY('Daily Schedule'!$B$2,2)=1,WEEKDAY('Daily Schedule'!$B$2,2)=4,WEEKDAY('Daily Schedule'!$B$2,2)=5,WEEKDAY('Daily Schedule'!$B$2,2)=7),IFERROR(1*'Daily Workforce'!$K144&gt;=3,FALSE()),IFERROR(1*'Daily Workforce'!$K144&gt;=2,FALSE())),IF(AND('Daily Schedule'!$A38&gt;=46,'Daily Schedule'!$A38&lt;=52),'Daily Workforce'!$M144="Y",IFERROR(1*'Daily Workforce'!$P144&gt;=2,FALSE()))))),1,0)</f>
        <v>0</v>
      </c>
      <c r="EZ34" s="1" t="n">
        <f aca="false">IF(AND('Daily Workforce'!$N145="Y",'Daily Workforce'!$B145&lt;&gt;"",COUNTIF('Daily Schedule'!$F$5:$F37,'Daily Workforce'!$B145)=0,IF('Daily Schedule'!$A38=45,'Daily Workforce'!$J145="Y",IF(OR('Daily Schedule'!$A38=4,'Daily Schedule'!$A38=8),IF(OR(WEEKDAY('Daily Schedule'!$B$2,2)=1,WEEKDAY('Daily Schedule'!$B$2,2)=4,WEEKDAY('Daily Schedule'!$B$2,2)=5,WEEKDAY('Daily Schedule'!$B$2,2)=7),IFERROR(1*'Daily Workforce'!$K145&gt;=3,FALSE()),IFERROR(1*'Daily Workforce'!$K145&gt;=2,FALSE())),IF(AND('Daily Schedule'!$A38&gt;=46,'Daily Schedule'!$A38&lt;=52),'Daily Workforce'!$M145="Y",IFERROR(1*'Daily Workforce'!$P145&gt;=2,FALSE()))))),1,0)</f>
        <v>0</v>
      </c>
      <c r="FA34" s="1" t="n">
        <f aca="false">IF(AND('Daily Workforce'!$N146="Y",'Daily Workforce'!$B146&lt;&gt;"",COUNTIF('Daily Schedule'!$F$5:$F37,'Daily Workforce'!$B146)=0,IF('Daily Schedule'!$A38=45,'Daily Workforce'!$J146="Y",IF(OR('Daily Schedule'!$A38=4,'Daily Schedule'!$A38=8),IF(OR(WEEKDAY('Daily Schedule'!$B$2,2)=1,WEEKDAY('Daily Schedule'!$B$2,2)=4,WEEKDAY('Daily Schedule'!$B$2,2)=5,WEEKDAY('Daily Schedule'!$B$2,2)=7),IFERROR(1*'Daily Workforce'!$K146&gt;=3,FALSE()),IFERROR(1*'Daily Workforce'!$K146&gt;=2,FALSE())),IF(AND('Daily Schedule'!$A38&gt;=46,'Daily Schedule'!$A38&lt;=52),'Daily Workforce'!$M146="Y",IFERROR(1*'Daily Workforce'!$P146&gt;=2,FALSE()))))),1,0)</f>
        <v>0</v>
      </c>
      <c r="FB34" s="1" t="n">
        <f aca="false">IF(AND('Daily Workforce'!$N147="Y",'Daily Workforce'!$B147&lt;&gt;"",COUNTIF('Daily Schedule'!$F$5:$F37,'Daily Workforce'!$B147)=0,IF('Daily Schedule'!$A38=45,'Daily Workforce'!$J147="Y",IF(OR('Daily Schedule'!$A38=4,'Daily Schedule'!$A38=8),IF(OR(WEEKDAY('Daily Schedule'!$B$2,2)=1,WEEKDAY('Daily Schedule'!$B$2,2)=4,WEEKDAY('Daily Schedule'!$B$2,2)=5,WEEKDAY('Daily Schedule'!$B$2,2)=7),IFERROR(1*'Daily Workforce'!$K147&gt;=3,FALSE()),IFERROR(1*'Daily Workforce'!$K147&gt;=2,FALSE())),IF(AND('Daily Schedule'!$A38&gt;=46,'Daily Schedule'!$A38&lt;=52),'Daily Workforce'!$M147="Y",IFERROR(1*'Daily Workforce'!$P147&gt;=2,FALSE()))))),1,0)</f>
        <v>0</v>
      </c>
      <c r="FC34" s="1" t="n">
        <f aca="false">IF(AND('Daily Workforce'!$N148="Y",'Daily Workforce'!$B148&lt;&gt;"",COUNTIF('Daily Schedule'!$F$5:$F37,'Daily Workforce'!$B148)=0,IF('Daily Schedule'!$A38=45,'Daily Workforce'!$J148="Y",IF(OR('Daily Schedule'!$A38=4,'Daily Schedule'!$A38=8),IF(OR(WEEKDAY('Daily Schedule'!$B$2,2)=1,WEEKDAY('Daily Schedule'!$B$2,2)=4,WEEKDAY('Daily Schedule'!$B$2,2)=5,WEEKDAY('Daily Schedule'!$B$2,2)=7),IFERROR(1*'Daily Workforce'!$K148&gt;=3,FALSE()),IFERROR(1*'Daily Workforce'!$K148&gt;=2,FALSE())),IF(AND('Daily Schedule'!$A38&gt;=46,'Daily Schedule'!$A38&lt;=52),'Daily Workforce'!$M148="Y",IFERROR(1*'Daily Workforce'!$P148&gt;=2,FALSE()))))),1,0)</f>
        <v>0</v>
      </c>
      <c r="FD34" s="1" t="n">
        <f aca="false">IF(AND('Daily Workforce'!$N149="Y",'Daily Workforce'!$B149&lt;&gt;"",COUNTIF('Daily Schedule'!$F$5:$F37,'Daily Workforce'!$B149)=0,IF('Daily Schedule'!$A38=45,'Daily Workforce'!$J149="Y",IF(OR('Daily Schedule'!$A38=4,'Daily Schedule'!$A38=8),IF(OR(WEEKDAY('Daily Schedule'!$B$2,2)=1,WEEKDAY('Daily Schedule'!$B$2,2)=4,WEEKDAY('Daily Schedule'!$B$2,2)=5,WEEKDAY('Daily Schedule'!$B$2,2)=7),IFERROR(1*'Daily Workforce'!$K149&gt;=3,FALSE()),IFERROR(1*'Daily Workforce'!$K149&gt;=2,FALSE())),IF(AND('Daily Schedule'!$A38&gt;=46,'Daily Schedule'!$A38&lt;=52),'Daily Workforce'!$M149="Y",IFERROR(1*'Daily Workforce'!$P149&gt;=2,FALSE()))))),1,0)</f>
        <v>0</v>
      </c>
      <c r="FE34" s="1" t="n">
        <f aca="false">IF(AND('Daily Workforce'!$N150="Y",'Daily Workforce'!$B150&lt;&gt;"",COUNTIF('Daily Schedule'!$F$5:$F37,'Daily Workforce'!$B150)=0,IF('Daily Schedule'!$A38=45,'Daily Workforce'!$J150="Y",IF(OR('Daily Schedule'!$A38=4,'Daily Schedule'!$A38=8),IF(OR(WEEKDAY('Daily Schedule'!$B$2,2)=1,WEEKDAY('Daily Schedule'!$B$2,2)=4,WEEKDAY('Daily Schedule'!$B$2,2)=5,WEEKDAY('Daily Schedule'!$B$2,2)=7),IFERROR(1*'Daily Workforce'!$K150&gt;=3,FALSE()),IFERROR(1*'Daily Workforce'!$K150&gt;=2,FALSE())),IF(AND('Daily Schedule'!$A38&gt;=46,'Daily Schedule'!$A38&lt;=52),'Daily Workforce'!$M150="Y",IFERROR(1*'Daily Workforce'!$P150&gt;=2,FALSE()))))),1,0)</f>
        <v>0</v>
      </c>
      <c r="FF34" s="1" t="n">
        <f aca="false">IF(AND('Daily Workforce'!$N151="Y",'Daily Workforce'!$B151&lt;&gt;"",COUNTIF('Daily Schedule'!$F$5:$F37,'Daily Workforce'!$B151)=0,IF('Daily Schedule'!$A38=45,'Daily Workforce'!$J151="Y",IF(OR('Daily Schedule'!$A38=4,'Daily Schedule'!$A38=8),IF(OR(WEEKDAY('Daily Schedule'!$B$2,2)=1,WEEKDAY('Daily Schedule'!$B$2,2)=4,WEEKDAY('Daily Schedule'!$B$2,2)=5,WEEKDAY('Daily Schedule'!$B$2,2)=7),IFERROR(1*'Daily Workforce'!$K151&gt;=3,FALSE()),IFERROR(1*'Daily Workforce'!$K151&gt;=2,FALSE())),IF(AND('Daily Schedule'!$A38&gt;=46,'Daily Schedule'!$A38&lt;=52),'Daily Workforce'!$M151="Y",IFERROR(1*'Daily Workforce'!$P151&gt;=2,FALSE()))))),1,0)</f>
        <v>0</v>
      </c>
      <c r="FG34" s="1" t="n">
        <f aca="false">IF(AND('Daily Workforce'!$N152="Y",'Daily Workforce'!$B152&lt;&gt;"",COUNTIF('Daily Schedule'!$F$5:$F37,'Daily Workforce'!$B152)=0,IF('Daily Schedule'!$A38=45,'Daily Workforce'!$J152="Y",IF(OR('Daily Schedule'!$A38=4,'Daily Schedule'!$A38=8),IF(OR(WEEKDAY('Daily Schedule'!$B$2,2)=1,WEEKDAY('Daily Schedule'!$B$2,2)=4,WEEKDAY('Daily Schedule'!$B$2,2)=5,WEEKDAY('Daily Schedule'!$B$2,2)=7),IFERROR(1*'Daily Workforce'!$K152&gt;=3,FALSE()),IFERROR(1*'Daily Workforce'!$K152&gt;=2,FALSE())),IF(AND('Daily Schedule'!$A38&gt;=46,'Daily Schedule'!$A38&lt;=52),'Daily Workforce'!$M152="Y",IFERROR(1*'Daily Workforce'!$P152&gt;=2,FALSE()))))),1,0)</f>
        <v>0</v>
      </c>
      <c r="FH34" s="1" t="n">
        <f aca="false">IF(AND('Daily Workforce'!$N153="Y",'Daily Workforce'!$B153&lt;&gt;"",COUNTIF('Daily Schedule'!$F$5:$F37,'Daily Workforce'!$B153)=0,IF('Daily Schedule'!$A38=45,'Daily Workforce'!$J153="Y",IF(OR('Daily Schedule'!$A38=4,'Daily Schedule'!$A38=8),IF(OR(WEEKDAY('Daily Schedule'!$B$2,2)=1,WEEKDAY('Daily Schedule'!$B$2,2)=4,WEEKDAY('Daily Schedule'!$B$2,2)=5,WEEKDAY('Daily Schedule'!$B$2,2)=7),IFERROR(1*'Daily Workforce'!$K153&gt;=3,FALSE()),IFERROR(1*'Daily Workforce'!$K153&gt;=2,FALSE())),IF(AND('Daily Schedule'!$A38&gt;=46,'Daily Schedule'!$A38&lt;=52),'Daily Workforce'!$M153="Y",IFERROR(1*'Daily Workforce'!$P153&gt;=2,FALSE()))))),1,0)</f>
        <v>0</v>
      </c>
      <c r="FI34" s="1" t="n">
        <f aca="false">IF(AND('Daily Workforce'!$N154="Y",'Daily Workforce'!$B154&lt;&gt;"",COUNTIF('Daily Schedule'!$F$5:$F37,'Daily Workforce'!$B154)=0,IF('Daily Schedule'!$A38=45,'Daily Workforce'!$J154="Y",IF(OR('Daily Schedule'!$A38=4,'Daily Schedule'!$A38=8),IF(OR(WEEKDAY('Daily Schedule'!$B$2,2)=1,WEEKDAY('Daily Schedule'!$B$2,2)=4,WEEKDAY('Daily Schedule'!$B$2,2)=5,WEEKDAY('Daily Schedule'!$B$2,2)=7),IFERROR(1*'Daily Workforce'!$K154&gt;=3,FALSE()),IFERROR(1*'Daily Workforce'!$K154&gt;=2,FALSE())),IF(AND('Daily Schedule'!$A38&gt;=46,'Daily Schedule'!$A38&lt;=52),'Daily Workforce'!$M154="Y",IFERROR(1*'Daily Workforce'!$P154&gt;=2,FALSE()))))),1,0)</f>
        <v>0</v>
      </c>
      <c r="FJ34" s="1" t="n">
        <f aca="false">IF(AND('Daily Workforce'!$N155="Y",'Daily Workforce'!$B155&lt;&gt;"",COUNTIF('Daily Schedule'!$F$5:$F37,'Daily Workforce'!$B155)=0,IF('Daily Schedule'!$A38=45,'Daily Workforce'!$J155="Y",IF(OR('Daily Schedule'!$A38=4,'Daily Schedule'!$A38=8),IF(OR(WEEKDAY('Daily Schedule'!$B$2,2)=1,WEEKDAY('Daily Schedule'!$B$2,2)=4,WEEKDAY('Daily Schedule'!$B$2,2)=5,WEEKDAY('Daily Schedule'!$B$2,2)=7),IFERROR(1*'Daily Workforce'!$K155&gt;=3,FALSE()),IFERROR(1*'Daily Workforce'!$K155&gt;=2,FALSE())),IF(AND('Daily Schedule'!$A38&gt;=46,'Daily Schedule'!$A38&lt;=52),'Daily Workforce'!$M155="Y",IFERROR(1*'Daily Workforce'!$P155&gt;=2,FALSE()))))),1,0)</f>
        <v>0</v>
      </c>
      <c r="FK34" s="1" t="n">
        <f aca="false">IF(AND('Daily Workforce'!$N156="Y",'Daily Workforce'!$B156&lt;&gt;"",COUNTIF('Daily Schedule'!$F$5:$F37,'Daily Workforce'!$B156)=0,IF('Daily Schedule'!$A38=45,'Daily Workforce'!$J156="Y",IF(OR('Daily Schedule'!$A38=4,'Daily Schedule'!$A38=8),IF(OR(WEEKDAY('Daily Schedule'!$B$2,2)=1,WEEKDAY('Daily Schedule'!$B$2,2)=4,WEEKDAY('Daily Schedule'!$B$2,2)=5,WEEKDAY('Daily Schedule'!$B$2,2)=7),IFERROR(1*'Daily Workforce'!$K156&gt;=3,FALSE()),IFERROR(1*'Daily Workforce'!$K156&gt;=2,FALSE())),IF(AND('Daily Schedule'!$A38&gt;=46,'Daily Schedule'!$A38&lt;=52),'Daily Workforce'!$M156="Y",IFERROR(1*'Daily Workforce'!$P156&gt;=2,FALSE()))))),1,0)</f>
        <v>0</v>
      </c>
      <c r="FL34" s="1" t="n">
        <f aca="false">IF(AND('Daily Workforce'!$N157="Y",'Daily Workforce'!$B157&lt;&gt;"",COUNTIF('Daily Schedule'!$F$5:$F37,'Daily Workforce'!$B157)=0,IF('Daily Schedule'!$A38=45,'Daily Workforce'!$J157="Y",IF(OR('Daily Schedule'!$A38=4,'Daily Schedule'!$A38=8),IF(OR(WEEKDAY('Daily Schedule'!$B$2,2)=1,WEEKDAY('Daily Schedule'!$B$2,2)=4,WEEKDAY('Daily Schedule'!$B$2,2)=5,WEEKDAY('Daily Schedule'!$B$2,2)=7),IFERROR(1*'Daily Workforce'!$K157&gt;=3,FALSE()),IFERROR(1*'Daily Workforce'!$K157&gt;=2,FALSE())),IF(AND('Daily Schedule'!$A38&gt;=46,'Daily Schedule'!$A38&lt;=52),'Daily Workforce'!$M157="Y",IFERROR(1*'Daily Workforce'!$P157&gt;=2,FALSE()))))),1,0)</f>
        <v>0</v>
      </c>
      <c r="FM34" s="1" t="n">
        <f aca="false">IF(AND('Daily Workforce'!$N158="Y",'Daily Workforce'!$B158&lt;&gt;"",COUNTIF('Daily Schedule'!$F$5:$F37,'Daily Workforce'!$B158)=0,IF('Daily Schedule'!$A38=45,'Daily Workforce'!$J158="Y",IF(OR('Daily Schedule'!$A38=4,'Daily Schedule'!$A38=8),IF(OR(WEEKDAY('Daily Schedule'!$B$2,2)=1,WEEKDAY('Daily Schedule'!$B$2,2)=4,WEEKDAY('Daily Schedule'!$B$2,2)=5,WEEKDAY('Daily Schedule'!$B$2,2)=7),IFERROR(1*'Daily Workforce'!$K158&gt;=3,FALSE()),IFERROR(1*'Daily Workforce'!$K158&gt;=2,FALSE())),IF(AND('Daily Schedule'!$A38&gt;=46,'Daily Schedule'!$A38&lt;=52),'Daily Workforce'!$M158="Y",IFERROR(1*'Daily Workforce'!$P158&gt;=2,FALSE()))))),1,0)</f>
        <v>0</v>
      </c>
      <c r="FN34" s="1" t="n">
        <f aca="false">IF(AND('Daily Workforce'!$N159="Y",'Daily Workforce'!$B159&lt;&gt;"",COUNTIF('Daily Schedule'!$F$5:$F37,'Daily Workforce'!$B159)=0,IF('Daily Schedule'!$A38=45,'Daily Workforce'!$J159="Y",IF(OR('Daily Schedule'!$A38=4,'Daily Schedule'!$A38=8),IF(OR(WEEKDAY('Daily Schedule'!$B$2,2)=1,WEEKDAY('Daily Schedule'!$B$2,2)=4,WEEKDAY('Daily Schedule'!$B$2,2)=5,WEEKDAY('Daily Schedule'!$B$2,2)=7),IFERROR(1*'Daily Workforce'!$K159&gt;=3,FALSE()),IFERROR(1*'Daily Workforce'!$K159&gt;=2,FALSE())),IF(AND('Daily Schedule'!$A38&gt;=46,'Daily Schedule'!$A38&lt;=52),'Daily Workforce'!$M159="Y",IFERROR(1*'Daily Workforce'!$P159&gt;=2,FALSE()))))),1,0)</f>
        <v>0</v>
      </c>
      <c r="FO34" s="1" t="n">
        <f aca="false">IF(AND('Daily Workforce'!$N160="Y",'Daily Workforce'!$B160&lt;&gt;"",COUNTIF('Daily Schedule'!$F$5:$F37,'Daily Workforce'!$B160)=0,IF('Daily Schedule'!$A38=45,'Daily Workforce'!$J160="Y",IF(OR('Daily Schedule'!$A38=4,'Daily Schedule'!$A38=8),IF(OR(WEEKDAY('Daily Schedule'!$B$2,2)=1,WEEKDAY('Daily Schedule'!$B$2,2)=4,WEEKDAY('Daily Schedule'!$B$2,2)=5,WEEKDAY('Daily Schedule'!$B$2,2)=7),IFERROR(1*'Daily Workforce'!$K160&gt;=3,FALSE()),IFERROR(1*'Daily Workforce'!$K160&gt;=2,FALSE())),IF(AND('Daily Schedule'!$A38&gt;=46,'Daily Schedule'!$A38&lt;=52),'Daily Workforce'!$M160="Y",IFERROR(1*'Daily Workforce'!$P160&gt;=2,FALSE()))))),1,0)</f>
        <v>0</v>
      </c>
      <c r="FP34" s="1" t="n">
        <f aca="false">IF(AND('Daily Workforce'!$N161="Y",'Daily Workforce'!$B161&lt;&gt;"",COUNTIF('Daily Schedule'!$F$5:$F37,'Daily Workforce'!$B161)=0,IF('Daily Schedule'!$A38=45,'Daily Workforce'!$J161="Y",IF(OR('Daily Schedule'!$A38=4,'Daily Schedule'!$A38=8),IF(OR(WEEKDAY('Daily Schedule'!$B$2,2)=1,WEEKDAY('Daily Schedule'!$B$2,2)=4,WEEKDAY('Daily Schedule'!$B$2,2)=5,WEEKDAY('Daily Schedule'!$B$2,2)=7),IFERROR(1*'Daily Workforce'!$K161&gt;=3,FALSE()),IFERROR(1*'Daily Workforce'!$K161&gt;=2,FALSE())),IF(AND('Daily Schedule'!$A38&gt;=46,'Daily Schedule'!$A38&lt;=52),'Daily Workforce'!$M161="Y",IFERROR(1*'Daily Workforce'!$P161&gt;=2,FALSE()))))),1,0)</f>
        <v>0</v>
      </c>
      <c r="FQ34" s="1" t="n">
        <f aca="false">IF(AND('Daily Workforce'!$N162="Y",'Daily Workforce'!$B162&lt;&gt;"",COUNTIF('Daily Schedule'!$F$5:$F37,'Daily Workforce'!$B162)=0,IF('Daily Schedule'!$A38=45,'Daily Workforce'!$J162="Y",IF(OR('Daily Schedule'!$A38=4,'Daily Schedule'!$A38=8),IF(OR(WEEKDAY('Daily Schedule'!$B$2,2)=1,WEEKDAY('Daily Schedule'!$B$2,2)=4,WEEKDAY('Daily Schedule'!$B$2,2)=5,WEEKDAY('Daily Schedule'!$B$2,2)=7),IFERROR(1*'Daily Workforce'!$K162&gt;=3,FALSE()),IFERROR(1*'Daily Workforce'!$K162&gt;=2,FALSE())),IF(AND('Daily Schedule'!$A38&gt;=46,'Daily Schedule'!$A38&lt;=52),'Daily Workforce'!$M162="Y",IFERROR(1*'Daily Workforce'!$P162&gt;=2,FALSE()))))),1,0)</f>
        <v>0</v>
      </c>
      <c r="FR34" s="1" t="n">
        <f aca="false">IF(AND('Daily Workforce'!$N163="Y",'Daily Workforce'!$B163&lt;&gt;"",COUNTIF('Daily Schedule'!$F$5:$F37,'Daily Workforce'!$B163)=0,IF('Daily Schedule'!$A38=45,'Daily Workforce'!$J163="Y",IF(OR('Daily Schedule'!$A38=4,'Daily Schedule'!$A38=8),IF(OR(WEEKDAY('Daily Schedule'!$B$2,2)=1,WEEKDAY('Daily Schedule'!$B$2,2)=4,WEEKDAY('Daily Schedule'!$B$2,2)=5,WEEKDAY('Daily Schedule'!$B$2,2)=7),IFERROR(1*'Daily Workforce'!$K163&gt;=3,FALSE()),IFERROR(1*'Daily Workforce'!$K163&gt;=2,FALSE())),IF(AND('Daily Schedule'!$A38&gt;=46,'Daily Schedule'!$A38&lt;=52),'Daily Workforce'!$M163="Y",IFERROR(1*'Daily Workforce'!$P163&gt;=2,FALSE()))))),1,0)</f>
        <v>0</v>
      </c>
      <c r="FS34" s="1" t="n">
        <f aca="false">IF(AND('Daily Workforce'!$N164="Y",'Daily Workforce'!$B164&lt;&gt;"",COUNTIF('Daily Schedule'!$F$5:$F37,'Daily Workforce'!$B164)=0,IF('Daily Schedule'!$A38=45,'Daily Workforce'!$J164="Y",IF(OR('Daily Schedule'!$A38=4,'Daily Schedule'!$A38=8),IF(OR(WEEKDAY('Daily Schedule'!$B$2,2)=1,WEEKDAY('Daily Schedule'!$B$2,2)=4,WEEKDAY('Daily Schedule'!$B$2,2)=5,WEEKDAY('Daily Schedule'!$B$2,2)=7),IFERROR(1*'Daily Workforce'!$K164&gt;=3,FALSE()),IFERROR(1*'Daily Workforce'!$K164&gt;=2,FALSE())),IF(AND('Daily Schedule'!$A38&gt;=46,'Daily Schedule'!$A38&lt;=52),'Daily Workforce'!$M164="Y",IFERROR(1*'Daily Workforce'!$P164&gt;=2,FALSE()))))),1,0)</f>
        <v>0</v>
      </c>
      <c r="FT34" s="1" t="n">
        <f aca="false">IF(AND('Daily Workforce'!$N165="Y",'Daily Workforce'!$B165&lt;&gt;"",COUNTIF('Daily Schedule'!$F$5:$F37,'Daily Workforce'!$B165)=0,IF('Daily Schedule'!$A38=45,'Daily Workforce'!$J165="Y",IF(OR('Daily Schedule'!$A38=4,'Daily Schedule'!$A38=8),IF(OR(WEEKDAY('Daily Schedule'!$B$2,2)=1,WEEKDAY('Daily Schedule'!$B$2,2)=4,WEEKDAY('Daily Schedule'!$B$2,2)=5,WEEKDAY('Daily Schedule'!$B$2,2)=7),IFERROR(1*'Daily Workforce'!$K165&gt;=3,FALSE()),IFERROR(1*'Daily Workforce'!$K165&gt;=2,FALSE())),IF(AND('Daily Schedule'!$A38&gt;=46,'Daily Schedule'!$A38&lt;=52),'Daily Workforce'!$M165="Y",IFERROR(1*'Daily Workforce'!$P165&gt;=2,FALSE()))))),1,0)</f>
        <v>0</v>
      </c>
      <c r="FU34" s="1" t="n">
        <f aca="false">IF(AND('Daily Workforce'!$N166="Y",'Daily Workforce'!$B166&lt;&gt;"",COUNTIF('Daily Schedule'!$F$5:$F37,'Daily Workforce'!$B166)=0,IF('Daily Schedule'!$A38=45,'Daily Workforce'!$J166="Y",IF(OR('Daily Schedule'!$A38=4,'Daily Schedule'!$A38=8),IF(OR(WEEKDAY('Daily Schedule'!$B$2,2)=1,WEEKDAY('Daily Schedule'!$B$2,2)=4,WEEKDAY('Daily Schedule'!$B$2,2)=5,WEEKDAY('Daily Schedule'!$B$2,2)=7),IFERROR(1*'Daily Workforce'!$K166&gt;=3,FALSE()),IFERROR(1*'Daily Workforce'!$K166&gt;=2,FALSE())),IF(AND('Daily Schedule'!$A38&gt;=46,'Daily Schedule'!$A38&lt;=52),'Daily Workforce'!$M166="Y",IFERROR(1*'Daily Workforce'!$P166&gt;=2,FALSE()))))),1,0)</f>
        <v>0</v>
      </c>
      <c r="FV34" s="1" t="n">
        <f aca="false">IF(AND('Daily Workforce'!$N167="Y",'Daily Workforce'!$B167&lt;&gt;"",COUNTIF('Daily Schedule'!$F$5:$F37,'Daily Workforce'!$B167)=0,IF('Daily Schedule'!$A38=45,'Daily Workforce'!$J167="Y",IF(OR('Daily Schedule'!$A38=4,'Daily Schedule'!$A38=8),IF(OR(WEEKDAY('Daily Schedule'!$B$2,2)=1,WEEKDAY('Daily Schedule'!$B$2,2)=4,WEEKDAY('Daily Schedule'!$B$2,2)=5,WEEKDAY('Daily Schedule'!$B$2,2)=7),IFERROR(1*'Daily Workforce'!$K167&gt;=3,FALSE()),IFERROR(1*'Daily Workforce'!$K167&gt;=2,FALSE())),IF(AND('Daily Schedule'!$A38&gt;=46,'Daily Schedule'!$A38&lt;=52),'Daily Workforce'!$M167="Y",IFERROR(1*'Daily Workforce'!$P167&gt;=2,FALSE()))))),1,0)</f>
        <v>0</v>
      </c>
      <c r="FW34" s="1" t="n">
        <f aca="false">IF(AND('Daily Workforce'!$N168="Y",'Daily Workforce'!$B168&lt;&gt;"",COUNTIF('Daily Schedule'!$F$5:$F37,'Daily Workforce'!$B168)=0,IF('Daily Schedule'!$A38=45,'Daily Workforce'!$J168="Y",IF(OR('Daily Schedule'!$A38=4,'Daily Schedule'!$A38=8),IF(OR(WEEKDAY('Daily Schedule'!$B$2,2)=1,WEEKDAY('Daily Schedule'!$B$2,2)=4,WEEKDAY('Daily Schedule'!$B$2,2)=5,WEEKDAY('Daily Schedule'!$B$2,2)=7),IFERROR(1*'Daily Workforce'!$K168&gt;=3,FALSE()),IFERROR(1*'Daily Workforce'!$K168&gt;=2,FALSE())),IF(AND('Daily Schedule'!$A38&gt;=46,'Daily Schedule'!$A38&lt;=52),'Daily Workforce'!$M168="Y",IFERROR(1*'Daily Workforce'!$P168&gt;=2,FALSE()))))),1,0)</f>
        <v>0</v>
      </c>
      <c r="FX34" s="1" t="n">
        <f aca="false">IF(AND('Daily Workforce'!$N169="Y",'Daily Workforce'!$B169&lt;&gt;"",COUNTIF('Daily Schedule'!$F$5:$F37,'Daily Workforce'!$B169)=0,IF('Daily Schedule'!$A38=45,'Daily Workforce'!$J169="Y",IF(OR('Daily Schedule'!$A38=4,'Daily Schedule'!$A38=8),IF(OR(WEEKDAY('Daily Schedule'!$B$2,2)=1,WEEKDAY('Daily Schedule'!$B$2,2)=4,WEEKDAY('Daily Schedule'!$B$2,2)=5,WEEKDAY('Daily Schedule'!$B$2,2)=7),IFERROR(1*'Daily Workforce'!$K169&gt;=3,FALSE()),IFERROR(1*'Daily Workforce'!$K169&gt;=2,FALSE())),IF(AND('Daily Schedule'!$A38&gt;=46,'Daily Schedule'!$A38&lt;=52),'Daily Workforce'!$M169="Y",IFERROR(1*'Daily Workforce'!$P169&gt;=2,FALSE()))))),1,0)</f>
        <v>0</v>
      </c>
      <c r="FY34" s="1" t="n">
        <f aca="false">IF(AND('Daily Workforce'!$N170="Y",'Daily Workforce'!$B170&lt;&gt;"",COUNTIF('Daily Schedule'!$F$5:$F37,'Daily Workforce'!$B170)=0,IF('Daily Schedule'!$A38=45,'Daily Workforce'!$J170="Y",IF(OR('Daily Schedule'!$A38=4,'Daily Schedule'!$A38=8),IF(OR(WEEKDAY('Daily Schedule'!$B$2,2)=1,WEEKDAY('Daily Schedule'!$B$2,2)=4,WEEKDAY('Daily Schedule'!$B$2,2)=5,WEEKDAY('Daily Schedule'!$B$2,2)=7),IFERROR(1*'Daily Workforce'!$K170&gt;=3,FALSE()),IFERROR(1*'Daily Workforce'!$K170&gt;=2,FALSE())),IF(AND('Daily Schedule'!$A38&gt;=46,'Daily Schedule'!$A38&lt;=52),'Daily Workforce'!$M170="Y",IFERROR(1*'Daily Workforce'!$P170&gt;=2,FALSE()))))),1,0)</f>
        <v>0</v>
      </c>
      <c r="FZ34" s="1" t="n">
        <f aca="false">IF(AND('Daily Workforce'!$N171="Y",'Daily Workforce'!$B171&lt;&gt;"",COUNTIF('Daily Schedule'!$F$5:$F37,'Daily Workforce'!$B171)=0,IF('Daily Schedule'!$A38=45,'Daily Workforce'!$J171="Y",IF(OR('Daily Schedule'!$A38=4,'Daily Schedule'!$A38=8),IF(OR(WEEKDAY('Daily Schedule'!$B$2,2)=1,WEEKDAY('Daily Schedule'!$B$2,2)=4,WEEKDAY('Daily Schedule'!$B$2,2)=5,WEEKDAY('Daily Schedule'!$B$2,2)=7),IFERROR(1*'Daily Workforce'!$K171&gt;=3,FALSE()),IFERROR(1*'Daily Workforce'!$K171&gt;=2,FALSE())),IF(AND('Daily Schedule'!$A38&gt;=46,'Daily Schedule'!$A38&lt;=52),'Daily Workforce'!$M171="Y",IFERROR(1*'Daily Workforce'!$P171&gt;=2,FALSE()))))),1,0)</f>
        <v>0</v>
      </c>
      <c r="GA34" s="1" t="n">
        <f aca="false">IF(AND('Daily Workforce'!$N172="Y",'Daily Workforce'!$B172&lt;&gt;"",COUNTIF('Daily Schedule'!$F$5:$F37,'Daily Workforce'!$B172)=0,IF('Daily Schedule'!$A38=45,'Daily Workforce'!$J172="Y",IF(OR('Daily Schedule'!$A38=4,'Daily Schedule'!$A38=8),IF(OR(WEEKDAY('Daily Schedule'!$B$2,2)=1,WEEKDAY('Daily Schedule'!$B$2,2)=4,WEEKDAY('Daily Schedule'!$B$2,2)=5,WEEKDAY('Daily Schedule'!$B$2,2)=7),IFERROR(1*'Daily Workforce'!$K172&gt;=3,FALSE()),IFERROR(1*'Daily Workforce'!$K172&gt;=2,FALSE())),IF(AND('Daily Schedule'!$A38&gt;=46,'Daily Schedule'!$A38&lt;=52),'Daily Workforce'!$M172="Y",IFERROR(1*'Daily Workforce'!$P172&gt;=2,FALSE()))))),1,0)</f>
        <v>0</v>
      </c>
      <c r="GB34" s="1" t="n">
        <f aca="false">IF(AND('Daily Workforce'!$N173="Y",'Daily Workforce'!$B173&lt;&gt;"",COUNTIF('Daily Schedule'!$F$5:$F37,'Daily Workforce'!$B173)=0,IF('Daily Schedule'!$A38=45,'Daily Workforce'!$J173="Y",IF(OR('Daily Schedule'!$A38=4,'Daily Schedule'!$A38=8),IF(OR(WEEKDAY('Daily Schedule'!$B$2,2)=1,WEEKDAY('Daily Schedule'!$B$2,2)=4,WEEKDAY('Daily Schedule'!$B$2,2)=5,WEEKDAY('Daily Schedule'!$B$2,2)=7),IFERROR(1*'Daily Workforce'!$K173&gt;=3,FALSE()),IFERROR(1*'Daily Workforce'!$K173&gt;=2,FALSE())),IF(AND('Daily Schedule'!$A38&gt;=46,'Daily Schedule'!$A38&lt;=52),'Daily Workforce'!$M173="Y",IFERROR(1*'Daily Workforce'!$P173&gt;=2,FALSE()))))),1,0)</f>
        <v>0</v>
      </c>
      <c r="GC34" s="1" t="n">
        <f aca="false">IF(AND('Daily Workforce'!$N174="Y",'Daily Workforce'!$B174&lt;&gt;"",COUNTIF('Daily Schedule'!$F$5:$F37,'Daily Workforce'!$B174)=0,IF('Daily Schedule'!$A38=45,'Daily Workforce'!$J174="Y",IF(OR('Daily Schedule'!$A38=4,'Daily Schedule'!$A38=8),IF(OR(WEEKDAY('Daily Schedule'!$B$2,2)=1,WEEKDAY('Daily Schedule'!$B$2,2)=4,WEEKDAY('Daily Schedule'!$B$2,2)=5,WEEKDAY('Daily Schedule'!$B$2,2)=7),IFERROR(1*'Daily Workforce'!$K174&gt;=3,FALSE()),IFERROR(1*'Daily Workforce'!$K174&gt;=2,FALSE())),IF(AND('Daily Schedule'!$A38&gt;=46,'Daily Schedule'!$A38&lt;=52),'Daily Workforce'!$M174="Y",IFERROR(1*'Daily Workforce'!$P174&gt;=2,FALSE()))))),1,0)</f>
        <v>0</v>
      </c>
      <c r="GD34" s="1" t="n">
        <f aca="false">IF(AND('Daily Workforce'!$N175="Y",'Daily Workforce'!$B175&lt;&gt;"",COUNTIF('Daily Schedule'!$F$5:$F37,'Daily Workforce'!$B175)=0,IF('Daily Schedule'!$A38=45,'Daily Workforce'!$J175="Y",IF(OR('Daily Schedule'!$A38=4,'Daily Schedule'!$A38=8),IF(OR(WEEKDAY('Daily Schedule'!$B$2,2)=1,WEEKDAY('Daily Schedule'!$B$2,2)=4,WEEKDAY('Daily Schedule'!$B$2,2)=5,WEEKDAY('Daily Schedule'!$B$2,2)=7),IFERROR(1*'Daily Workforce'!$K175&gt;=3,FALSE()),IFERROR(1*'Daily Workforce'!$K175&gt;=2,FALSE())),IF(AND('Daily Schedule'!$A38&gt;=46,'Daily Schedule'!$A38&lt;=52),'Daily Workforce'!$M175="Y",IFERROR(1*'Daily Workforce'!$P175&gt;=2,FALSE()))))),1,0)</f>
        <v>0</v>
      </c>
      <c r="GE34" s="1" t="n">
        <f aca="false">IF(AND('Daily Workforce'!$N176="Y",'Daily Workforce'!$B176&lt;&gt;"",COUNTIF('Daily Schedule'!$F$5:$F37,'Daily Workforce'!$B176)=0,IF('Daily Schedule'!$A38=45,'Daily Workforce'!$J176="Y",IF(OR('Daily Schedule'!$A38=4,'Daily Schedule'!$A38=8),IF(OR(WEEKDAY('Daily Schedule'!$B$2,2)=1,WEEKDAY('Daily Schedule'!$B$2,2)=4,WEEKDAY('Daily Schedule'!$B$2,2)=5,WEEKDAY('Daily Schedule'!$B$2,2)=7),IFERROR(1*'Daily Workforce'!$K176&gt;=3,FALSE()),IFERROR(1*'Daily Workforce'!$K176&gt;=2,FALSE())),IF(AND('Daily Schedule'!$A38&gt;=46,'Daily Schedule'!$A38&lt;=52),'Daily Workforce'!$M176="Y",IFERROR(1*'Daily Workforce'!$P176&gt;=2,FALSE()))))),1,0)</f>
        <v>0</v>
      </c>
      <c r="GF34" s="1" t="n">
        <f aca="false">IF(AND('Daily Workforce'!$N177="Y",'Daily Workforce'!$B177&lt;&gt;"",COUNTIF('Daily Schedule'!$F$5:$F37,'Daily Workforce'!$B177)=0,IF('Daily Schedule'!$A38=45,'Daily Workforce'!$J177="Y",IF(OR('Daily Schedule'!$A38=4,'Daily Schedule'!$A38=8),IF(OR(WEEKDAY('Daily Schedule'!$B$2,2)=1,WEEKDAY('Daily Schedule'!$B$2,2)=4,WEEKDAY('Daily Schedule'!$B$2,2)=5,WEEKDAY('Daily Schedule'!$B$2,2)=7),IFERROR(1*'Daily Workforce'!$K177&gt;=3,FALSE()),IFERROR(1*'Daily Workforce'!$K177&gt;=2,FALSE())),IF(AND('Daily Schedule'!$A38&gt;=46,'Daily Schedule'!$A38&lt;=52),'Daily Workforce'!$M177="Y",IFERROR(1*'Daily Workforce'!$P177&gt;=2,FALSE()))))),1,0)</f>
        <v>0</v>
      </c>
      <c r="GG34" s="1" t="n">
        <f aca="false">IF(AND('Daily Workforce'!$N178="Y",'Daily Workforce'!$B178&lt;&gt;"",COUNTIF('Daily Schedule'!$F$5:$F37,'Daily Workforce'!$B178)=0,IF('Daily Schedule'!$A38=45,'Daily Workforce'!$J178="Y",IF(OR('Daily Schedule'!$A38=4,'Daily Schedule'!$A38=8),IF(OR(WEEKDAY('Daily Schedule'!$B$2,2)=1,WEEKDAY('Daily Schedule'!$B$2,2)=4,WEEKDAY('Daily Schedule'!$B$2,2)=5,WEEKDAY('Daily Schedule'!$B$2,2)=7),IFERROR(1*'Daily Workforce'!$K178&gt;=3,FALSE()),IFERROR(1*'Daily Workforce'!$K178&gt;=2,FALSE())),IF(AND('Daily Schedule'!$A38&gt;=46,'Daily Schedule'!$A38&lt;=52),'Daily Workforce'!$M178="Y",IFERROR(1*'Daily Workforce'!$P178&gt;=2,FALSE()))))),1,0)</f>
        <v>0</v>
      </c>
      <c r="GH34" s="1" t="n">
        <f aca="false">IF(AND('Daily Workforce'!$N179="Y",'Daily Workforce'!$B179&lt;&gt;"",COUNTIF('Daily Schedule'!$F$5:$F37,'Daily Workforce'!$B179)=0,IF('Daily Schedule'!$A38=45,'Daily Workforce'!$J179="Y",IF(OR('Daily Schedule'!$A38=4,'Daily Schedule'!$A38=8),IF(OR(WEEKDAY('Daily Schedule'!$B$2,2)=1,WEEKDAY('Daily Schedule'!$B$2,2)=4,WEEKDAY('Daily Schedule'!$B$2,2)=5,WEEKDAY('Daily Schedule'!$B$2,2)=7),IFERROR(1*'Daily Workforce'!$K179&gt;=3,FALSE()),IFERROR(1*'Daily Workforce'!$K179&gt;=2,FALSE())),IF(AND('Daily Schedule'!$A38&gt;=46,'Daily Schedule'!$A38&lt;=52),'Daily Workforce'!$M179="Y",IFERROR(1*'Daily Workforce'!$P179&gt;=2,FALSE()))))),1,0)</f>
        <v>0</v>
      </c>
      <c r="GI34" s="1" t="n">
        <f aca="false">IF(AND('Daily Workforce'!$N180="Y",'Daily Workforce'!$B180&lt;&gt;"",COUNTIF('Daily Schedule'!$F$5:$F37,'Daily Workforce'!$B180)=0,IF('Daily Schedule'!$A38=45,'Daily Workforce'!$J180="Y",IF(OR('Daily Schedule'!$A38=4,'Daily Schedule'!$A38=8),IF(OR(WEEKDAY('Daily Schedule'!$B$2,2)=1,WEEKDAY('Daily Schedule'!$B$2,2)=4,WEEKDAY('Daily Schedule'!$B$2,2)=5,WEEKDAY('Daily Schedule'!$B$2,2)=7),IFERROR(1*'Daily Workforce'!$K180&gt;=3,FALSE()),IFERROR(1*'Daily Workforce'!$K180&gt;=2,FALSE())),IF(AND('Daily Schedule'!$A38&gt;=46,'Daily Schedule'!$A38&lt;=52),'Daily Workforce'!$M180="Y",IFERROR(1*'Daily Workforce'!$P180&gt;=2,FALSE()))))),1,0)</f>
        <v>0</v>
      </c>
      <c r="GJ34" s="1" t="n">
        <f aca="false">IF(AND('Daily Workforce'!$N181="Y",'Daily Workforce'!$B181&lt;&gt;"",COUNTIF('Daily Schedule'!$F$5:$F37,'Daily Workforce'!$B181)=0,IF('Daily Schedule'!$A38=45,'Daily Workforce'!$J181="Y",IF(OR('Daily Schedule'!$A38=4,'Daily Schedule'!$A38=8),IF(OR(WEEKDAY('Daily Schedule'!$B$2,2)=1,WEEKDAY('Daily Schedule'!$B$2,2)=4,WEEKDAY('Daily Schedule'!$B$2,2)=5,WEEKDAY('Daily Schedule'!$B$2,2)=7),IFERROR(1*'Daily Workforce'!$K181&gt;=3,FALSE()),IFERROR(1*'Daily Workforce'!$K181&gt;=2,FALSE())),IF(AND('Daily Schedule'!$A38&gt;=46,'Daily Schedule'!$A38&lt;=52),'Daily Workforce'!$M181="Y",IFERROR(1*'Daily Workforce'!$P181&gt;=2,FALSE()))))),1,0)</f>
        <v>0</v>
      </c>
      <c r="GK34" s="1" t="n">
        <f aca="false">IF(AND('Daily Workforce'!$N182="Y",'Daily Workforce'!$B182&lt;&gt;"",COUNTIF('Daily Schedule'!$F$5:$F37,'Daily Workforce'!$B182)=0,IF('Daily Schedule'!$A38=45,'Daily Workforce'!$J182="Y",IF(OR('Daily Schedule'!$A38=4,'Daily Schedule'!$A38=8),IF(OR(WEEKDAY('Daily Schedule'!$B$2,2)=1,WEEKDAY('Daily Schedule'!$B$2,2)=4,WEEKDAY('Daily Schedule'!$B$2,2)=5,WEEKDAY('Daily Schedule'!$B$2,2)=7),IFERROR(1*'Daily Workforce'!$K182&gt;=3,FALSE()),IFERROR(1*'Daily Workforce'!$K182&gt;=2,FALSE())),IF(AND('Daily Schedule'!$A38&gt;=46,'Daily Schedule'!$A38&lt;=52),'Daily Workforce'!$M182="Y",IFERROR(1*'Daily Workforce'!$P182&gt;=2,FALSE()))))),1,0)</f>
        <v>0</v>
      </c>
      <c r="GL34" s="1" t="n">
        <f aca="false">IF(AND('Daily Workforce'!$N183="Y",'Daily Workforce'!$B183&lt;&gt;"",COUNTIF('Daily Schedule'!$F$5:$F37,'Daily Workforce'!$B183)=0,IF('Daily Schedule'!$A38=45,'Daily Workforce'!$J183="Y",IF(OR('Daily Schedule'!$A38=4,'Daily Schedule'!$A38=8),IF(OR(WEEKDAY('Daily Schedule'!$B$2,2)=1,WEEKDAY('Daily Schedule'!$B$2,2)=4,WEEKDAY('Daily Schedule'!$B$2,2)=5,WEEKDAY('Daily Schedule'!$B$2,2)=7),IFERROR(1*'Daily Workforce'!$K183&gt;=3,FALSE()),IFERROR(1*'Daily Workforce'!$K183&gt;=2,FALSE())),IF(AND('Daily Schedule'!$A38&gt;=46,'Daily Schedule'!$A38&lt;=52),'Daily Workforce'!$M183="Y",IFERROR(1*'Daily Workforce'!$P183&gt;=2,FALSE()))))),1,0)</f>
        <v>0</v>
      </c>
      <c r="GM34" s="1" t="n">
        <f aca="false">IF(AND('Daily Workforce'!$N184="Y",'Daily Workforce'!$B184&lt;&gt;"",COUNTIF('Daily Schedule'!$F$5:$F37,'Daily Workforce'!$B184)=0,IF('Daily Schedule'!$A38=45,'Daily Workforce'!$J184="Y",IF(OR('Daily Schedule'!$A38=4,'Daily Schedule'!$A38=8),IF(OR(WEEKDAY('Daily Schedule'!$B$2,2)=1,WEEKDAY('Daily Schedule'!$B$2,2)=4,WEEKDAY('Daily Schedule'!$B$2,2)=5,WEEKDAY('Daily Schedule'!$B$2,2)=7),IFERROR(1*'Daily Workforce'!$K184&gt;=3,FALSE()),IFERROR(1*'Daily Workforce'!$K184&gt;=2,FALSE())),IF(AND('Daily Schedule'!$A38&gt;=46,'Daily Schedule'!$A38&lt;=52),'Daily Workforce'!$M184="Y",IFERROR(1*'Daily Workforce'!$P184&gt;=2,FALSE()))))),1,0)</f>
        <v>0</v>
      </c>
      <c r="GN34" s="1" t="n">
        <f aca="false">IF(AND('Daily Workforce'!$N185="Y",'Daily Workforce'!$B185&lt;&gt;"",COUNTIF('Daily Schedule'!$F$5:$F37,'Daily Workforce'!$B185)=0,IF('Daily Schedule'!$A38=45,'Daily Workforce'!$J185="Y",IF(OR('Daily Schedule'!$A38=4,'Daily Schedule'!$A38=8),IF(OR(WEEKDAY('Daily Schedule'!$B$2,2)=1,WEEKDAY('Daily Schedule'!$B$2,2)=4,WEEKDAY('Daily Schedule'!$B$2,2)=5,WEEKDAY('Daily Schedule'!$B$2,2)=7),IFERROR(1*'Daily Workforce'!$K185&gt;=3,FALSE()),IFERROR(1*'Daily Workforce'!$K185&gt;=2,FALSE())),IF(AND('Daily Schedule'!$A38&gt;=46,'Daily Schedule'!$A38&lt;=52),'Daily Workforce'!$M185="Y",IFERROR(1*'Daily Workforce'!$P185&gt;=2,FALSE()))))),1,0)</f>
        <v>0</v>
      </c>
      <c r="GO34" s="1" t="n">
        <f aca="false">IF(AND('Daily Workforce'!$N186="Y",'Daily Workforce'!$B186&lt;&gt;"",COUNTIF('Daily Schedule'!$F$5:$F37,'Daily Workforce'!$B186)=0,IF('Daily Schedule'!$A38=45,'Daily Workforce'!$J186="Y",IF(OR('Daily Schedule'!$A38=4,'Daily Schedule'!$A38=8),IF(OR(WEEKDAY('Daily Schedule'!$B$2,2)=1,WEEKDAY('Daily Schedule'!$B$2,2)=4,WEEKDAY('Daily Schedule'!$B$2,2)=5,WEEKDAY('Daily Schedule'!$B$2,2)=7),IFERROR(1*'Daily Workforce'!$K186&gt;=3,FALSE()),IFERROR(1*'Daily Workforce'!$K186&gt;=2,FALSE())),IF(AND('Daily Schedule'!$A38&gt;=46,'Daily Schedule'!$A38&lt;=52),'Daily Workforce'!$M186="Y",IFERROR(1*'Daily Workforce'!$P186&gt;=2,FALSE()))))),1,0)</f>
        <v>0</v>
      </c>
      <c r="GP34" s="1" t="n">
        <f aca="false">IF(AND('Daily Workforce'!$N187="Y",'Daily Workforce'!$B187&lt;&gt;"",COUNTIF('Daily Schedule'!$F$5:$F37,'Daily Workforce'!$B187)=0,IF('Daily Schedule'!$A38=45,'Daily Workforce'!$J187="Y",IF(OR('Daily Schedule'!$A38=4,'Daily Schedule'!$A38=8),IF(OR(WEEKDAY('Daily Schedule'!$B$2,2)=1,WEEKDAY('Daily Schedule'!$B$2,2)=4,WEEKDAY('Daily Schedule'!$B$2,2)=5,WEEKDAY('Daily Schedule'!$B$2,2)=7),IFERROR(1*'Daily Workforce'!$K187&gt;=3,FALSE()),IFERROR(1*'Daily Workforce'!$K187&gt;=2,FALSE())),IF(AND('Daily Schedule'!$A38&gt;=46,'Daily Schedule'!$A38&lt;=52),'Daily Workforce'!$M187="Y",IFERROR(1*'Daily Workforce'!$P187&gt;=2,FALSE()))))),1,0)</f>
        <v>0</v>
      </c>
      <c r="GQ34" s="1" t="n">
        <f aca="false">IF(AND('Daily Workforce'!$N188="Y",'Daily Workforce'!$B188&lt;&gt;"",COUNTIF('Daily Schedule'!$F$5:$F37,'Daily Workforce'!$B188)=0,IF('Daily Schedule'!$A38=45,'Daily Workforce'!$J188="Y",IF(OR('Daily Schedule'!$A38=4,'Daily Schedule'!$A38=8),IF(OR(WEEKDAY('Daily Schedule'!$B$2,2)=1,WEEKDAY('Daily Schedule'!$B$2,2)=4,WEEKDAY('Daily Schedule'!$B$2,2)=5,WEEKDAY('Daily Schedule'!$B$2,2)=7),IFERROR(1*'Daily Workforce'!$K188&gt;=3,FALSE()),IFERROR(1*'Daily Workforce'!$K188&gt;=2,FALSE())),IF(AND('Daily Schedule'!$A38&gt;=46,'Daily Schedule'!$A38&lt;=52),'Daily Workforce'!$M188="Y",IFERROR(1*'Daily Workforce'!$P188&gt;=2,FALSE()))))),1,0)</f>
        <v>0</v>
      </c>
      <c r="GR34" s="1" t="n">
        <f aca="false">IF(AND('Daily Workforce'!$N189="Y",'Daily Workforce'!$B189&lt;&gt;"",COUNTIF('Daily Schedule'!$F$5:$F37,'Daily Workforce'!$B189)=0,IF('Daily Schedule'!$A38=45,'Daily Workforce'!$J189="Y",IF(OR('Daily Schedule'!$A38=4,'Daily Schedule'!$A38=8),IF(OR(WEEKDAY('Daily Schedule'!$B$2,2)=1,WEEKDAY('Daily Schedule'!$B$2,2)=4,WEEKDAY('Daily Schedule'!$B$2,2)=5,WEEKDAY('Daily Schedule'!$B$2,2)=7),IFERROR(1*'Daily Workforce'!$K189&gt;=3,FALSE()),IFERROR(1*'Daily Workforce'!$K189&gt;=2,FALSE())),IF(AND('Daily Schedule'!$A38&gt;=46,'Daily Schedule'!$A38&lt;=52),'Daily Workforce'!$M189="Y",IFERROR(1*'Daily Workforce'!$P189&gt;=2,FALSE()))))),1,0)</f>
        <v>0</v>
      </c>
      <c r="GS34" s="1" t="n">
        <f aca="false">IF(AND('Daily Workforce'!$N190="Y",'Daily Workforce'!$B190&lt;&gt;"",COUNTIF('Daily Schedule'!$F$5:$F37,'Daily Workforce'!$B190)=0,IF('Daily Schedule'!$A38=45,'Daily Workforce'!$J190="Y",IF(OR('Daily Schedule'!$A38=4,'Daily Schedule'!$A38=8),IF(OR(WEEKDAY('Daily Schedule'!$B$2,2)=1,WEEKDAY('Daily Schedule'!$B$2,2)=4,WEEKDAY('Daily Schedule'!$B$2,2)=5,WEEKDAY('Daily Schedule'!$B$2,2)=7),IFERROR(1*'Daily Workforce'!$K190&gt;=3,FALSE()),IFERROR(1*'Daily Workforce'!$K190&gt;=2,FALSE())),IF(AND('Daily Schedule'!$A38&gt;=46,'Daily Schedule'!$A38&lt;=52),'Daily Workforce'!$M190="Y",IFERROR(1*'Daily Workforce'!$P190&gt;=2,FALSE()))))),1,0)</f>
        <v>0</v>
      </c>
      <c r="GT34" s="1" t="n">
        <f aca="false">IF(AND('Daily Workforce'!$N191="Y",'Daily Workforce'!$B191&lt;&gt;"",COUNTIF('Daily Schedule'!$F$5:$F37,'Daily Workforce'!$B191)=0,IF('Daily Schedule'!$A38=45,'Daily Workforce'!$J191="Y",IF(OR('Daily Schedule'!$A38=4,'Daily Schedule'!$A38=8),IF(OR(WEEKDAY('Daily Schedule'!$B$2,2)=1,WEEKDAY('Daily Schedule'!$B$2,2)=4,WEEKDAY('Daily Schedule'!$B$2,2)=5,WEEKDAY('Daily Schedule'!$B$2,2)=7),IFERROR(1*'Daily Workforce'!$K191&gt;=3,FALSE()),IFERROR(1*'Daily Workforce'!$K191&gt;=2,FALSE())),IF(AND('Daily Schedule'!$A38&gt;=46,'Daily Schedule'!$A38&lt;=52),'Daily Workforce'!$M191="Y",IFERROR(1*'Daily Workforce'!$P191&gt;=2,FALSE()))))),1,0)</f>
        <v>0</v>
      </c>
      <c r="GU34" s="1" t="n">
        <f aca="false">IF(AND('Daily Workforce'!$N192="Y",'Daily Workforce'!$B192&lt;&gt;"",COUNTIF('Daily Schedule'!$F$5:$F37,'Daily Workforce'!$B192)=0,IF('Daily Schedule'!$A38=45,'Daily Workforce'!$J192="Y",IF(OR('Daily Schedule'!$A38=4,'Daily Schedule'!$A38=8),IF(OR(WEEKDAY('Daily Schedule'!$B$2,2)=1,WEEKDAY('Daily Schedule'!$B$2,2)=4,WEEKDAY('Daily Schedule'!$B$2,2)=5,WEEKDAY('Daily Schedule'!$B$2,2)=7),IFERROR(1*'Daily Workforce'!$K192&gt;=3,FALSE()),IFERROR(1*'Daily Workforce'!$K192&gt;=2,FALSE())),IF(AND('Daily Schedule'!$A38&gt;=46,'Daily Schedule'!$A38&lt;=52),'Daily Workforce'!$M192="Y",IFERROR(1*'Daily Workforce'!$P192&gt;=2,FALSE()))))),1,0)</f>
        <v>0</v>
      </c>
      <c r="GV34" s="1" t="n">
        <f aca="false">IF(AND('Daily Workforce'!$N193="Y",'Daily Workforce'!$B193&lt;&gt;"",COUNTIF('Daily Schedule'!$F$5:$F37,'Daily Workforce'!$B193)=0,IF('Daily Schedule'!$A38=45,'Daily Workforce'!$J193="Y",IF(OR('Daily Schedule'!$A38=4,'Daily Schedule'!$A38=8),IF(OR(WEEKDAY('Daily Schedule'!$B$2,2)=1,WEEKDAY('Daily Schedule'!$B$2,2)=4,WEEKDAY('Daily Schedule'!$B$2,2)=5,WEEKDAY('Daily Schedule'!$B$2,2)=7),IFERROR(1*'Daily Workforce'!$K193&gt;=3,FALSE()),IFERROR(1*'Daily Workforce'!$K193&gt;=2,FALSE())),IF(AND('Daily Schedule'!$A38&gt;=46,'Daily Schedule'!$A38&lt;=52),'Daily Workforce'!$M193="Y",IFERROR(1*'Daily Workforce'!$P193&gt;=2,FALSE()))))),1,0)</f>
        <v>0</v>
      </c>
      <c r="GW34" s="1" t="n">
        <f aca="false">IF(AND('Daily Workforce'!$N194="Y",'Daily Workforce'!$B194&lt;&gt;"",COUNTIF('Daily Schedule'!$F$5:$F37,'Daily Workforce'!$B194)=0,IF('Daily Schedule'!$A38=45,'Daily Workforce'!$J194="Y",IF(OR('Daily Schedule'!$A38=4,'Daily Schedule'!$A38=8),IF(OR(WEEKDAY('Daily Schedule'!$B$2,2)=1,WEEKDAY('Daily Schedule'!$B$2,2)=4,WEEKDAY('Daily Schedule'!$B$2,2)=5,WEEKDAY('Daily Schedule'!$B$2,2)=7),IFERROR(1*'Daily Workforce'!$K194&gt;=3,FALSE()),IFERROR(1*'Daily Workforce'!$K194&gt;=2,FALSE())),IF(AND('Daily Schedule'!$A38&gt;=46,'Daily Schedule'!$A38&lt;=52),'Daily Workforce'!$M194="Y",IFERROR(1*'Daily Workforce'!$P194&gt;=2,FALSE()))))),1,0)</f>
        <v>0</v>
      </c>
      <c r="GX34" s="1" t="n">
        <f aca="false">IF(AND('Daily Workforce'!$N195="Y",'Daily Workforce'!$B195&lt;&gt;"",COUNTIF('Daily Schedule'!$F$5:$F37,'Daily Workforce'!$B195)=0,IF('Daily Schedule'!$A38=45,'Daily Workforce'!$J195="Y",IF(OR('Daily Schedule'!$A38=4,'Daily Schedule'!$A38=8),IF(OR(WEEKDAY('Daily Schedule'!$B$2,2)=1,WEEKDAY('Daily Schedule'!$B$2,2)=4,WEEKDAY('Daily Schedule'!$B$2,2)=5,WEEKDAY('Daily Schedule'!$B$2,2)=7),IFERROR(1*'Daily Workforce'!$K195&gt;=3,FALSE()),IFERROR(1*'Daily Workforce'!$K195&gt;=2,FALSE())),IF(AND('Daily Schedule'!$A38&gt;=46,'Daily Schedule'!$A38&lt;=52),'Daily Workforce'!$M195="Y",IFERROR(1*'Daily Workforce'!$P195&gt;=2,FALSE()))))),1,0)</f>
        <v>0</v>
      </c>
      <c r="GY34" s="1" t="n">
        <f aca="false">IF(AND('Daily Workforce'!$N196="Y",'Daily Workforce'!$B196&lt;&gt;"",COUNTIF('Daily Schedule'!$F$5:$F37,'Daily Workforce'!$B196)=0,IF('Daily Schedule'!$A38=45,'Daily Workforce'!$J196="Y",IF(OR('Daily Schedule'!$A38=4,'Daily Schedule'!$A38=8),IF(OR(WEEKDAY('Daily Schedule'!$B$2,2)=1,WEEKDAY('Daily Schedule'!$B$2,2)=4,WEEKDAY('Daily Schedule'!$B$2,2)=5,WEEKDAY('Daily Schedule'!$B$2,2)=7),IFERROR(1*'Daily Workforce'!$K196&gt;=3,FALSE()),IFERROR(1*'Daily Workforce'!$K196&gt;=2,FALSE())),IF(AND('Daily Schedule'!$A38&gt;=46,'Daily Schedule'!$A38&lt;=52),'Daily Workforce'!$M196="Y",IFERROR(1*'Daily Workforce'!$P196&gt;=2,FALSE()))))),1,0)</f>
        <v>0</v>
      </c>
      <c r="GZ34" s="1" t="n">
        <f aca="false">IF(AND('Daily Workforce'!$N197="Y",'Daily Workforce'!$B197&lt;&gt;"",COUNTIF('Daily Schedule'!$F$5:$F37,'Daily Workforce'!$B197)=0,IF('Daily Schedule'!$A38=45,'Daily Workforce'!$J197="Y",IF(OR('Daily Schedule'!$A38=4,'Daily Schedule'!$A38=8),IF(OR(WEEKDAY('Daily Schedule'!$B$2,2)=1,WEEKDAY('Daily Schedule'!$B$2,2)=4,WEEKDAY('Daily Schedule'!$B$2,2)=5,WEEKDAY('Daily Schedule'!$B$2,2)=7),IFERROR(1*'Daily Workforce'!$K197&gt;=3,FALSE()),IFERROR(1*'Daily Workforce'!$K197&gt;=2,FALSE())),IF(AND('Daily Schedule'!$A38&gt;=46,'Daily Schedule'!$A38&lt;=52),'Daily Workforce'!$M197="Y",IFERROR(1*'Daily Workforce'!$P197&gt;=2,FALSE()))))),1,0)</f>
        <v>0</v>
      </c>
      <c r="HA34" s="1" t="n">
        <f aca="false">IF(AND('Daily Workforce'!$N198="Y",'Daily Workforce'!$B198&lt;&gt;"",COUNTIF('Daily Schedule'!$F$5:$F37,'Daily Workforce'!$B198)=0,IF('Daily Schedule'!$A38=45,'Daily Workforce'!$J198="Y",IF(OR('Daily Schedule'!$A38=4,'Daily Schedule'!$A38=8),IF(OR(WEEKDAY('Daily Schedule'!$B$2,2)=1,WEEKDAY('Daily Schedule'!$B$2,2)=4,WEEKDAY('Daily Schedule'!$B$2,2)=5,WEEKDAY('Daily Schedule'!$B$2,2)=7),IFERROR(1*'Daily Workforce'!$K198&gt;=3,FALSE()),IFERROR(1*'Daily Workforce'!$K198&gt;=2,FALSE())),IF(AND('Daily Schedule'!$A38&gt;=46,'Daily Schedule'!$A38&lt;=52),'Daily Workforce'!$M198="Y",IFERROR(1*'Daily Workforce'!$P198&gt;=2,FALSE()))))),1,0)</f>
        <v>0</v>
      </c>
      <c r="HB34" s="1" t="n">
        <f aca="false">IF(AND('Daily Workforce'!$N199="Y",'Daily Workforce'!$B199&lt;&gt;"",COUNTIF('Daily Schedule'!$F$5:$F37,'Daily Workforce'!$B199)=0,IF('Daily Schedule'!$A38=45,'Daily Workforce'!$J199="Y",IF(OR('Daily Schedule'!$A38=4,'Daily Schedule'!$A38=8),IF(OR(WEEKDAY('Daily Schedule'!$B$2,2)=1,WEEKDAY('Daily Schedule'!$B$2,2)=4,WEEKDAY('Daily Schedule'!$B$2,2)=5,WEEKDAY('Daily Schedule'!$B$2,2)=7),IFERROR(1*'Daily Workforce'!$K199&gt;=3,FALSE()),IFERROR(1*'Daily Workforce'!$K199&gt;=2,FALSE())),IF(AND('Daily Schedule'!$A38&gt;=46,'Daily Schedule'!$A38&lt;=52),'Daily Workforce'!$M199="Y",IFERROR(1*'Daily Workforce'!$P199&gt;=2,FALSE()))))),1,0)</f>
        <v>0</v>
      </c>
      <c r="HC34" s="1" t="n">
        <f aca="false">IF(AND('Daily Workforce'!$N200="Y",'Daily Workforce'!$B200&lt;&gt;"",COUNTIF('Daily Schedule'!$F$5:$F37,'Daily Workforce'!$B200)=0,IF('Daily Schedule'!$A38=45,'Daily Workforce'!$J200="Y",IF(OR('Daily Schedule'!$A38=4,'Daily Schedule'!$A38=8),IF(OR(WEEKDAY('Daily Schedule'!$B$2,2)=1,WEEKDAY('Daily Schedule'!$B$2,2)=4,WEEKDAY('Daily Schedule'!$B$2,2)=5,WEEKDAY('Daily Schedule'!$B$2,2)=7),IFERROR(1*'Daily Workforce'!$K200&gt;=3,FALSE()),IFERROR(1*'Daily Workforce'!$K200&gt;=2,FALSE())),IF(AND('Daily Schedule'!$A38&gt;=46,'Daily Schedule'!$A38&lt;=52),'Daily Workforce'!$M200="Y",IFERROR(1*'Daily Workforce'!$P200&gt;=2,FALSE()))))),1,0)</f>
        <v>0</v>
      </c>
      <c r="HD34" s="1" t="n">
        <f aca="false">IF(AND('Daily Workforce'!$N201="Y",'Daily Workforce'!$B201&lt;&gt;"",COUNTIF('Daily Schedule'!$F$5:$F37,'Daily Workforce'!$B201)=0,IF('Daily Schedule'!$A38=45,'Daily Workforce'!$J201="Y",IF(OR('Daily Schedule'!$A38=4,'Daily Schedule'!$A38=8),IF(OR(WEEKDAY('Daily Schedule'!$B$2,2)=1,WEEKDAY('Daily Schedule'!$B$2,2)=4,WEEKDAY('Daily Schedule'!$B$2,2)=5,WEEKDAY('Daily Schedule'!$B$2,2)=7),IFERROR(1*'Daily Workforce'!$K201&gt;=3,FALSE()),IFERROR(1*'Daily Workforce'!$K201&gt;=2,FALSE())),IF(AND('Daily Schedule'!$A38&gt;=46,'Daily Schedule'!$A38&lt;=52),'Daily Workforce'!$M201="Y",IFERROR(1*'Daily Workforce'!$P201&gt;=2,FALSE()))))),1,0)</f>
        <v>0</v>
      </c>
      <c r="HE34" s="1" t="n">
        <f aca="false">IF(AND('Daily Workforce'!$N202="Y",'Daily Workforce'!$B202&lt;&gt;"",COUNTIF('Daily Schedule'!$F$5:$F37,'Daily Workforce'!$B202)=0,IF('Daily Schedule'!$A38=45,'Daily Workforce'!$J202="Y",IF(OR('Daily Schedule'!$A38=4,'Daily Schedule'!$A38=8),IF(OR(WEEKDAY('Daily Schedule'!$B$2,2)=1,WEEKDAY('Daily Schedule'!$B$2,2)=4,WEEKDAY('Daily Schedule'!$B$2,2)=5,WEEKDAY('Daily Schedule'!$B$2,2)=7),IFERROR(1*'Daily Workforce'!$K202&gt;=3,FALSE()),IFERROR(1*'Daily Workforce'!$K202&gt;=2,FALSE())),IF(AND('Daily Schedule'!$A38&gt;=46,'Daily Schedule'!$A38&lt;=52),'Daily Workforce'!$M202="Y",IFERROR(1*'Daily Workforce'!$P202&gt;=2,FALSE()))))),1,0)</f>
        <v>0</v>
      </c>
      <c r="HF34" s="1" t="n">
        <f aca="false">IF(AND('Daily Workforce'!$N203="Y",'Daily Workforce'!$B203&lt;&gt;"",COUNTIF('Daily Schedule'!$F$5:$F37,'Daily Workforce'!$B203)=0,IF('Daily Schedule'!$A38=45,'Daily Workforce'!$J203="Y",IF(OR('Daily Schedule'!$A38=4,'Daily Schedule'!$A38=8),IF(OR(WEEKDAY('Daily Schedule'!$B$2,2)=1,WEEKDAY('Daily Schedule'!$B$2,2)=4,WEEKDAY('Daily Schedule'!$B$2,2)=5,WEEKDAY('Daily Schedule'!$B$2,2)=7),IFERROR(1*'Daily Workforce'!$K203&gt;=3,FALSE()),IFERROR(1*'Daily Workforce'!$K203&gt;=2,FALSE())),IF(AND('Daily Schedule'!$A38&gt;=46,'Daily Schedule'!$A38&lt;=52),'Daily Workforce'!$M203="Y",IFERROR(1*'Daily Workforce'!$P203&gt;=2,FALSE()))))),1,0)</f>
        <v>0</v>
      </c>
      <c r="HG34" s="1" t="n">
        <f aca="false">IF(AND('Daily Workforce'!$N204="Y",'Daily Workforce'!$B204&lt;&gt;"",COUNTIF('Daily Schedule'!$F$5:$F37,'Daily Workforce'!$B204)=0,IF('Daily Schedule'!$A38=45,'Daily Workforce'!$J204="Y",IF(OR('Daily Schedule'!$A38=4,'Daily Schedule'!$A38=8),IF(OR(WEEKDAY('Daily Schedule'!$B$2,2)=1,WEEKDAY('Daily Schedule'!$B$2,2)=4,WEEKDAY('Daily Schedule'!$B$2,2)=5,WEEKDAY('Daily Schedule'!$B$2,2)=7),IFERROR(1*'Daily Workforce'!$K204&gt;=3,FALSE()),IFERROR(1*'Daily Workforce'!$K204&gt;=2,FALSE())),IF(AND('Daily Schedule'!$A38&gt;=46,'Daily Schedule'!$A38&lt;=52),'Daily Workforce'!$M204="Y",IFERROR(1*'Daily Workforce'!$P204&gt;=2,FALSE()))))),1,0)</f>
        <v>0</v>
      </c>
      <c r="HH34" s="1" t="n">
        <f aca="false">IF(AND('Daily Workforce'!$N205="Y",'Daily Workforce'!$B205&lt;&gt;"",COUNTIF('Daily Schedule'!$F$5:$F37,'Daily Workforce'!$B205)=0,IF('Daily Schedule'!$A38=45,'Daily Workforce'!$J205="Y",IF(OR('Daily Schedule'!$A38=4,'Daily Schedule'!$A38=8),IF(OR(WEEKDAY('Daily Schedule'!$B$2,2)=1,WEEKDAY('Daily Schedule'!$B$2,2)=4,WEEKDAY('Daily Schedule'!$B$2,2)=5,WEEKDAY('Daily Schedule'!$B$2,2)=7),IFERROR(1*'Daily Workforce'!$K205&gt;=3,FALSE()),IFERROR(1*'Daily Workforce'!$K205&gt;=2,FALSE())),IF(AND('Daily Schedule'!$A38&gt;=46,'Daily Schedule'!$A38&lt;=52),'Daily Workforce'!$M205="Y",IFERROR(1*'Daily Workforce'!$P205&gt;=2,FALSE()))))),1,0)</f>
        <v>0</v>
      </c>
    </row>
    <row r="35" customFormat="false" ht="15" hidden="false" customHeight="true" outlineLevel="0" collapsed="false">
      <c r="L35" s="1" t="s">
        <v>813</v>
      </c>
      <c r="O35" s="1" t="n">
        <f aca="false">IF(AND('Employee Master'!$G35="Y",ISERROR(SEARCH(TEXT('Daily Workforce'!$B$2,"ddd"),'Employee Master'!$D35)),IF('Daily Workforce'!$E$2="",TRUE(),'Employee Master'!$I35='Daily Workforce'!$E$2)),'Employee Master'!$K35*1000+ROW()-1,"")</f>
        <v>3034</v>
      </c>
      <c r="P35" s="1" t="n">
        <f aca="false">IF($O35="","",COUNTIF($O$2:$O$159,"&lt;="&amp;$O35))</f>
        <v>64</v>
      </c>
      <c r="Q35" s="1" t="n">
        <f aca="false">IF(AND('Daily Workforce'!$N6="Y",'Daily Workforce'!$B6&lt;&gt;"",COUNTIF('Daily Schedule'!$F$5:$F38,'Daily Workforce'!$B6)=0,IF('Daily Schedule'!$A39=45,'Daily Workforce'!$J6="Y",IF(OR('Daily Schedule'!$A39=4,'Daily Schedule'!$A39=8),IF(OR(WEEKDAY('Daily Schedule'!$B$2,2)=1,WEEKDAY('Daily Schedule'!$B$2,2)=4,WEEKDAY('Daily Schedule'!$B$2,2)=5,WEEKDAY('Daily Schedule'!$B$2,2)=7),IFERROR(1*'Daily Workforce'!$K6&gt;=3,FALSE()),IFERROR(1*'Daily Workforce'!$K6&gt;=2,FALSE())),IF(AND('Daily Schedule'!$A39&gt;=46,'Daily Schedule'!$A39&lt;=52),'Daily Workforce'!$M6="Y",IFERROR(1*'Daily Workforce'!$P6&gt;=2,FALSE()))))),1,0)</f>
        <v>0</v>
      </c>
      <c r="R35" s="1" t="n">
        <f aca="false">IF(AND('Daily Workforce'!$N7="Y",'Daily Workforce'!$B7&lt;&gt;"",COUNTIF('Daily Schedule'!$F$5:$F38,'Daily Workforce'!$B7)=0,IF('Daily Schedule'!$A39=45,'Daily Workforce'!$J7="Y",IF(OR('Daily Schedule'!$A39=4,'Daily Schedule'!$A39=8),IF(OR(WEEKDAY('Daily Schedule'!$B$2,2)=1,WEEKDAY('Daily Schedule'!$B$2,2)=4,WEEKDAY('Daily Schedule'!$B$2,2)=5,WEEKDAY('Daily Schedule'!$B$2,2)=7),IFERROR(1*'Daily Workforce'!$K7&gt;=3,FALSE()),IFERROR(1*'Daily Workforce'!$K7&gt;=2,FALSE())),IF(AND('Daily Schedule'!$A39&gt;=46,'Daily Schedule'!$A39&lt;=52),'Daily Workforce'!$M7="Y",IFERROR(1*'Daily Workforce'!$P7&gt;=2,FALSE()))))),1,0)</f>
        <v>0</v>
      </c>
      <c r="S35" s="1" t="n">
        <f aca="false">IF(AND('Daily Workforce'!$N8="Y",'Daily Workforce'!$B8&lt;&gt;"",COUNTIF('Daily Schedule'!$F$5:$F38,'Daily Workforce'!$B8)=0,IF('Daily Schedule'!$A39=45,'Daily Workforce'!$J8="Y",IF(OR('Daily Schedule'!$A39=4,'Daily Schedule'!$A39=8),IF(OR(WEEKDAY('Daily Schedule'!$B$2,2)=1,WEEKDAY('Daily Schedule'!$B$2,2)=4,WEEKDAY('Daily Schedule'!$B$2,2)=5,WEEKDAY('Daily Schedule'!$B$2,2)=7),IFERROR(1*'Daily Workforce'!$K8&gt;=3,FALSE()),IFERROR(1*'Daily Workforce'!$K8&gt;=2,FALSE())),IF(AND('Daily Schedule'!$A39&gt;=46,'Daily Schedule'!$A39&lt;=52),'Daily Workforce'!$M8="Y",IFERROR(1*'Daily Workforce'!$P8&gt;=2,FALSE()))))),1,0)</f>
        <v>0</v>
      </c>
      <c r="T35" s="1" t="n">
        <f aca="false">IF(AND('Daily Workforce'!$N9="Y",'Daily Workforce'!$B9&lt;&gt;"",COUNTIF('Daily Schedule'!$F$5:$F38,'Daily Workforce'!$B9)=0,IF('Daily Schedule'!$A39=45,'Daily Workforce'!$J9="Y",IF(OR('Daily Schedule'!$A39=4,'Daily Schedule'!$A39=8),IF(OR(WEEKDAY('Daily Schedule'!$B$2,2)=1,WEEKDAY('Daily Schedule'!$B$2,2)=4,WEEKDAY('Daily Schedule'!$B$2,2)=5,WEEKDAY('Daily Schedule'!$B$2,2)=7),IFERROR(1*'Daily Workforce'!$K9&gt;=3,FALSE()),IFERROR(1*'Daily Workforce'!$K9&gt;=2,FALSE())),IF(AND('Daily Schedule'!$A39&gt;=46,'Daily Schedule'!$A39&lt;=52),'Daily Workforce'!$M9="Y",IFERROR(1*'Daily Workforce'!$P9&gt;=2,FALSE()))))),1,0)</f>
        <v>0</v>
      </c>
      <c r="U35" s="1" t="n">
        <f aca="false">IF(AND('Daily Workforce'!$N10="Y",'Daily Workforce'!$B10&lt;&gt;"",COUNTIF('Daily Schedule'!$F$5:$F38,'Daily Workforce'!$B10)=0,IF('Daily Schedule'!$A39=45,'Daily Workforce'!$J10="Y",IF(OR('Daily Schedule'!$A39=4,'Daily Schedule'!$A39=8),IF(OR(WEEKDAY('Daily Schedule'!$B$2,2)=1,WEEKDAY('Daily Schedule'!$B$2,2)=4,WEEKDAY('Daily Schedule'!$B$2,2)=5,WEEKDAY('Daily Schedule'!$B$2,2)=7),IFERROR(1*'Daily Workforce'!$K10&gt;=3,FALSE()),IFERROR(1*'Daily Workforce'!$K10&gt;=2,FALSE())),IF(AND('Daily Schedule'!$A39&gt;=46,'Daily Schedule'!$A39&lt;=52),'Daily Workforce'!$M10="Y",IFERROR(1*'Daily Workforce'!$P10&gt;=2,FALSE()))))),1,0)</f>
        <v>0</v>
      </c>
      <c r="V35" s="1" t="n">
        <f aca="false">IF(AND('Daily Workforce'!$N11="Y",'Daily Workforce'!$B11&lt;&gt;"",COUNTIF('Daily Schedule'!$F$5:$F38,'Daily Workforce'!$B11)=0,IF('Daily Schedule'!$A39=45,'Daily Workforce'!$J11="Y",IF(OR('Daily Schedule'!$A39=4,'Daily Schedule'!$A39=8),IF(OR(WEEKDAY('Daily Schedule'!$B$2,2)=1,WEEKDAY('Daily Schedule'!$B$2,2)=4,WEEKDAY('Daily Schedule'!$B$2,2)=5,WEEKDAY('Daily Schedule'!$B$2,2)=7),IFERROR(1*'Daily Workforce'!$K11&gt;=3,FALSE()),IFERROR(1*'Daily Workforce'!$K11&gt;=2,FALSE())),IF(AND('Daily Schedule'!$A39&gt;=46,'Daily Schedule'!$A39&lt;=52),'Daily Workforce'!$M11="Y",IFERROR(1*'Daily Workforce'!$P11&gt;=2,FALSE()))))),1,0)</f>
        <v>0</v>
      </c>
      <c r="W35" s="1" t="n">
        <f aca="false">IF(AND('Daily Workforce'!$N12="Y",'Daily Workforce'!$B12&lt;&gt;"",COUNTIF('Daily Schedule'!$F$5:$F38,'Daily Workforce'!$B12)=0,IF('Daily Schedule'!$A39=45,'Daily Workforce'!$J12="Y",IF(OR('Daily Schedule'!$A39=4,'Daily Schedule'!$A39=8),IF(OR(WEEKDAY('Daily Schedule'!$B$2,2)=1,WEEKDAY('Daily Schedule'!$B$2,2)=4,WEEKDAY('Daily Schedule'!$B$2,2)=5,WEEKDAY('Daily Schedule'!$B$2,2)=7),IFERROR(1*'Daily Workforce'!$K12&gt;=3,FALSE()),IFERROR(1*'Daily Workforce'!$K12&gt;=2,FALSE())),IF(AND('Daily Schedule'!$A39&gt;=46,'Daily Schedule'!$A39&lt;=52),'Daily Workforce'!$M12="Y",IFERROR(1*'Daily Workforce'!$P12&gt;=2,FALSE()))))),1,0)</f>
        <v>0</v>
      </c>
      <c r="X35" s="1" t="n">
        <f aca="false">IF(AND('Daily Workforce'!$N13="Y",'Daily Workforce'!$B13&lt;&gt;"",COUNTIF('Daily Schedule'!$F$5:$F38,'Daily Workforce'!$B13)=0,IF('Daily Schedule'!$A39=45,'Daily Workforce'!$J13="Y",IF(OR('Daily Schedule'!$A39=4,'Daily Schedule'!$A39=8),IF(OR(WEEKDAY('Daily Schedule'!$B$2,2)=1,WEEKDAY('Daily Schedule'!$B$2,2)=4,WEEKDAY('Daily Schedule'!$B$2,2)=5,WEEKDAY('Daily Schedule'!$B$2,2)=7),IFERROR(1*'Daily Workforce'!$K13&gt;=3,FALSE()),IFERROR(1*'Daily Workforce'!$K13&gt;=2,FALSE())),IF(AND('Daily Schedule'!$A39&gt;=46,'Daily Schedule'!$A39&lt;=52),'Daily Workforce'!$M13="Y",IFERROR(1*'Daily Workforce'!$P13&gt;=2,FALSE()))))),1,0)</f>
        <v>0</v>
      </c>
      <c r="Y35" s="1" t="n">
        <f aca="false">IF(AND('Daily Workforce'!$N14="Y",'Daily Workforce'!$B14&lt;&gt;"",COUNTIF('Daily Schedule'!$F$5:$F38,'Daily Workforce'!$B14)=0,IF('Daily Schedule'!$A39=45,'Daily Workforce'!$J14="Y",IF(OR('Daily Schedule'!$A39=4,'Daily Schedule'!$A39=8),IF(OR(WEEKDAY('Daily Schedule'!$B$2,2)=1,WEEKDAY('Daily Schedule'!$B$2,2)=4,WEEKDAY('Daily Schedule'!$B$2,2)=5,WEEKDAY('Daily Schedule'!$B$2,2)=7),IFERROR(1*'Daily Workforce'!$K14&gt;=3,FALSE()),IFERROR(1*'Daily Workforce'!$K14&gt;=2,FALSE())),IF(AND('Daily Schedule'!$A39&gt;=46,'Daily Schedule'!$A39&lt;=52),'Daily Workforce'!$M14="Y",IFERROR(1*'Daily Workforce'!$P14&gt;=2,FALSE()))))),1,0)</f>
        <v>0</v>
      </c>
      <c r="Z35" s="1" t="n">
        <f aca="false">IF(AND('Daily Workforce'!$N15="Y",'Daily Workforce'!$B15&lt;&gt;"",COUNTIF('Daily Schedule'!$F$5:$F38,'Daily Workforce'!$B15)=0,IF('Daily Schedule'!$A39=45,'Daily Workforce'!$J15="Y",IF(OR('Daily Schedule'!$A39=4,'Daily Schedule'!$A39=8),IF(OR(WEEKDAY('Daily Schedule'!$B$2,2)=1,WEEKDAY('Daily Schedule'!$B$2,2)=4,WEEKDAY('Daily Schedule'!$B$2,2)=5,WEEKDAY('Daily Schedule'!$B$2,2)=7),IFERROR(1*'Daily Workforce'!$K15&gt;=3,FALSE()),IFERROR(1*'Daily Workforce'!$K15&gt;=2,FALSE())),IF(AND('Daily Schedule'!$A39&gt;=46,'Daily Schedule'!$A39&lt;=52),'Daily Workforce'!$M15="Y",IFERROR(1*'Daily Workforce'!$P15&gt;=2,FALSE()))))),1,0)</f>
        <v>0</v>
      </c>
      <c r="AA35" s="1" t="n">
        <f aca="false">IF(AND('Daily Workforce'!$N16="Y",'Daily Workforce'!$B16&lt;&gt;"",COUNTIF('Daily Schedule'!$F$5:$F38,'Daily Workforce'!$B16)=0,IF('Daily Schedule'!$A39=45,'Daily Workforce'!$J16="Y",IF(OR('Daily Schedule'!$A39=4,'Daily Schedule'!$A39=8),IF(OR(WEEKDAY('Daily Schedule'!$B$2,2)=1,WEEKDAY('Daily Schedule'!$B$2,2)=4,WEEKDAY('Daily Schedule'!$B$2,2)=5,WEEKDAY('Daily Schedule'!$B$2,2)=7),IFERROR(1*'Daily Workforce'!$K16&gt;=3,FALSE()),IFERROR(1*'Daily Workforce'!$K16&gt;=2,FALSE())),IF(AND('Daily Schedule'!$A39&gt;=46,'Daily Schedule'!$A39&lt;=52),'Daily Workforce'!$M16="Y",IFERROR(1*'Daily Workforce'!$P16&gt;=2,FALSE()))))),1,0)</f>
        <v>0</v>
      </c>
      <c r="AB35" s="1" t="n">
        <f aca="false">IF(AND('Daily Workforce'!$N17="Y",'Daily Workforce'!$B17&lt;&gt;"",COUNTIF('Daily Schedule'!$F$5:$F38,'Daily Workforce'!$B17)=0,IF('Daily Schedule'!$A39=45,'Daily Workforce'!$J17="Y",IF(OR('Daily Schedule'!$A39=4,'Daily Schedule'!$A39=8),IF(OR(WEEKDAY('Daily Schedule'!$B$2,2)=1,WEEKDAY('Daily Schedule'!$B$2,2)=4,WEEKDAY('Daily Schedule'!$B$2,2)=5,WEEKDAY('Daily Schedule'!$B$2,2)=7),IFERROR(1*'Daily Workforce'!$K17&gt;=3,FALSE()),IFERROR(1*'Daily Workforce'!$K17&gt;=2,FALSE())),IF(AND('Daily Schedule'!$A39&gt;=46,'Daily Schedule'!$A39&lt;=52),'Daily Workforce'!$M17="Y",IFERROR(1*'Daily Workforce'!$P17&gt;=2,FALSE()))))),1,0)</f>
        <v>0</v>
      </c>
      <c r="AC35" s="1" t="n">
        <f aca="false">IF(AND('Daily Workforce'!$N18="Y",'Daily Workforce'!$B18&lt;&gt;"",COUNTIF('Daily Schedule'!$F$5:$F38,'Daily Workforce'!$B18)=0,IF('Daily Schedule'!$A39=45,'Daily Workforce'!$J18="Y",IF(OR('Daily Schedule'!$A39=4,'Daily Schedule'!$A39=8),IF(OR(WEEKDAY('Daily Schedule'!$B$2,2)=1,WEEKDAY('Daily Schedule'!$B$2,2)=4,WEEKDAY('Daily Schedule'!$B$2,2)=5,WEEKDAY('Daily Schedule'!$B$2,2)=7),IFERROR(1*'Daily Workforce'!$K18&gt;=3,FALSE()),IFERROR(1*'Daily Workforce'!$K18&gt;=2,FALSE())),IF(AND('Daily Schedule'!$A39&gt;=46,'Daily Schedule'!$A39&lt;=52),'Daily Workforce'!$M18="Y",IFERROR(1*'Daily Workforce'!$P18&gt;=2,FALSE()))))),1,0)</f>
        <v>0</v>
      </c>
      <c r="AD35" s="1" t="n">
        <f aca="false">IF(AND('Daily Workforce'!$N19="Y",'Daily Workforce'!$B19&lt;&gt;"",COUNTIF('Daily Schedule'!$F$5:$F38,'Daily Workforce'!$B19)=0,IF('Daily Schedule'!$A39=45,'Daily Workforce'!$J19="Y",IF(OR('Daily Schedule'!$A39=4,'Daily Schedule'!$A39=8),IF(OR(WEEKDAY('Daily Schedule'!$B$2,2)=1,WEEKDAY('Daily Schedule'!$B$2,2)=4,WEEKDAY('Daily Schedule'!$B$2,2)=5,WEEKDAY('Daily Schedule'!$B$2,2)=7),IFERROR(1*'Daily Workforce'!$K19&gt;=3,FALSE()),IFERROR(1*'Daily Workforce'!$K19&gt;=2,FALSE())),IF(AND('Daily Schedule'!$A39&gt;=46,'Daily Schedule'!$A39&lt;=52),'Daily Workforce'!$M19="Y",IFERROR(1*'Daily Workforce'!$P19&gt;=2,FALSE()))))),1,0)</f>
        <v>0</v>
      </c>
      <c r="AE35" s="1" t="n">
        <f aca="false">IF(AND('Daily Workforce'!$N20="Y",'Daily Workforce'!$B20&lt;&gt;"",COUNTIF('Daily Schedule'!$F$5:$F38,'Daily Workforce'!$B20)=0,IF('Daily Schedule'!$A39=45,'Daily Workforce'!$J20="Y",IF(OR('Daily Schedule'!$A39=4,'Daily Schedule'!$A39=8),IF(OR(WEEKDAY('Daily Schedule'!$B$2,2)=1,WEEKDAY('Daily Schedule'!$B$2,2)=4,WEEKDAY('Daily Schedule'!$B$2,2)=5,WEEKDAY('Daily Schedule'!$B$2,2)=7),IFERROR(1*'Daily Workforce'!$K20&gt;=3,FALSE()),IFERROR(1*'Daily Workforce'!$K20&gt;=2,FALSE())),IF(AND('Daily Schedule'!$A39&gt;=46,'Daily Schedule'!$A39&lt;=52),'Daily Workforce'!$M20="Y",IFERROR(1*'Daily Workforce'!$P20&gt;=2,FALSE()))))),1,0)</f>
        <v>0</v>
      </c>
      <c r="AF35" s="1" t="n">
        <f aca="false">IF(AND('Daily Workforce'!$N21="Y",'Daily Workforce'!$B21&lt;&gt;"",COUNTIF('Daily Schedule'!$F$5:$F38,'Daily Workforce'!$B21)=0,IF('Daily Schedule'!$A39=45,'Daily Workforce'!$J21="Y",IF(OR('Daily Schedule'!$A39=4,'Daily Schedule'!$A39=8),IF(OR(WEEKDAY('Daily Schedule'!$B$2,2)=1,WEEKDAY('Daily Schedule'!$B$2,2)=4,WEEKDAY('Daily Schedule'!$B$2,2)=5,WEEKDAY('Daily Schedule'!$B$2,2)=7),IFERROR(1*'Daily Workforce'!$K21&gt;=3,FALSE()),IFERROR(1*'Daily Workforce'!$K21&gt;=2,FALSE())),IF(AND('Daily Schedule'!$A39&gt;=46,'Daily Schedule'!$A39&lt;=52),'Daily Workforce'!$M21="Y",IFERROR(1*'Daily Workforce'!$P21&gt;=2,FALSE()))))),1,0)</f>
        <v>0</v>
      </c>
      <c r="AG35" s="1" t="n">
        <f aca="false">IF(AND('Daily Workforce'!$N22="Y",'Daily Workforce'!$B22&lt;&gt;"",COUNTIF('Daily Schedule'!$F$5:$F38,'Daily Workforce'!$B22)=0,IF('Daily Schedule'!$A39=45,'Daily Workforce'!$J22="Y",IF(OR('Daily Schedule'!$A39=4,'Daily Schedule'!$A39=8),IF(OR(WEEKDAY('Daily Schedule'!$B$2,2)=1,WEEKDAY('Daily Schedule'!$B$2,2)=4,WEEKDAY('Daily Schedule'!$B$2,2)=5,WEEKDAY('Daily Schedule'!$B$2,2)=7),IFERROR(1*'Daily Workforce'!$K22&gt;=3,FALSE()),IFERROR(1*'Daily Workforce'!$K22&gt;=2,FALSE())),IF(AND('Daily Schedule'!$A39&gt;=46,'Daily Schedule'!$A39&lt;=52),'Daily Workforce'!$M22="Y",IFERROR(1*'Daily Workforce'!$P22&gt;=2,FALSE()))))),1,0)</f>
        <v>0</v>
      </c>
      <c r="AH35" s="1" t="n">
        <f aca="false">IF(AND('Daily Workforce'!$N23="Y",'Daily Workforce'!$B23&lt;&gt;"",COUNTIF('Daily Schedule'!$F$5:$F38,'Daily Workforce'!$B23)=0,IF('Daily Schedule'!$A39=45,'Daily Workforce'!$J23="Y",IF(OR('Daily Schedule'!$A39=4,'Daily Schedule'!$A39=8),IF(OR(WEEKDAY('Daily Schedule'!$B$2,2)=1,WEEKDAY('Daily Schedule'!$B$2,2)=4,WEEKDAY('Daily Schedule'!$B$2,2)=5,WEEKDAY('Daily Schedule'!$B$2,2)=7),IFERROR(1*'Daily Workforce'!$K23&gt;=3,FALSE()),IFERROR(1*'Daily Workforce'!$K23&gt;=2,FALSE())),IF(AND('Daily Schedule'!$A39&gt;=46,'Daily Schedule'!$A39&lt;=52),'Daily Workforce'!$M23="Y",IFERROR(1*'Daily Workforce'!$P23&gt;=2,FALSE()))))),1,0)</f>
        <v>0</v>
      </c>
      <c r="AI35" s="1" t="n">
        <f aca="false">IF(AND('Daily Workforce'!$N24="Y",'Daily Workforce'!$B24&lt;&gt;"",COUNTIF('Daily Schedule'!$F$5:$F38,'Daily Workforce'!$B24)=0,IF('Daily Schedule'!$A39=45,'Daily Workforce'!$J24="Y",IF(OR('Daily Schedule'!$A39=4,'Daily Schedule'!$A39=8),IF(OR(WEEKDAY('Daily Schedule'!$B$2,2)=1,WEEKDAY('Daily Schedule'!$B$2,2)=4,WEEKDAY('Daily Schedule'!$B$2,2)=5,WEEKDAY('Daily Schedule'!$B$2,2)=7),IFERROR(1*'Daily Workforce'!$K24&gt;=3,FALSE()),IFERROR(1*'Daily Workforce'!$K24&gt;=2,FALSE())),IF(AND('Daily Schedule'!$A39&gt;=46,'Daily Schedule'!$A39&lt;=52),'Daily Workforce'!$M24="Y",IFERROR(1*'Daily Workforce'!$P24&gt;=2,FALSE()))))),1,0)</f>
        <v>0</v>
      </c>
      <c r="AJ35" s="1" t="n">
        <f aca="false">IF(AND('Daily Workforce'!$N25="Y",'Daily Workforce'!$B25&lt;&gt;"",COUNTIF('Daily Schedule'!$F$5:$F38,'Daily Workforce'!$B25)=0,IF('Daily Schedule'!$A39=45,'Daily Workforce'!$J25="Y",IF(OR('Daily Schedule'!$A39=4,'Daily Schedule'!$A39=8),IF(OR(WEEKDAY('Daily Schedule'!$B$2,2)=1,WEEKDAY('Daily Schedule'!$B$2,2)=4,WEEKDAY('Daily Schedule'!$B$2,2)=5,WEEKDAY('Daily Schedule'!$B$2,2)=7),IFERROR(1*'Daily Workforce'!$K25&gt;=3,FALSE()),IFERROR(1*'Daily Workforce'!$K25&gt;=2,FALSE())),IF(AND('Daily Schedule'!$A39&gt;=46,'Daily Schedule'!$A39&lt;=52),'Daily Workforce'!$M25="Y",IFERROR(1*'Daily Workforce'!$P25&gt;=2,FALSE()))))),1,0)</f>
        <v>0</v>
      </c>
      <c r="AK35" s="1" t="n">
        <f aca="false">IF(AND('Daily Workforce'!$N26="Y",'Daily Workforce'!$B26&lt;&gt;"",COUNTIF('Daily Schedule'!$F$5:$F38,'Daily Workforce'!$B26)=0,IF('Daily Schedule'!$A39=45,'Daily Workforce'!$J26="Y",IF(OR('Daily Schedule'!$A39=4,'Daily Schedule'!$A39=8),IF(OR(WEEKDAY('Daily Schedule'!$B$2,2)=1,WEEKDAY('Daily Schedule'!$B$2,2)=4,WEEKDAY('Daily Schedule'!$B$2,2)=5,WEEKDAY('Daily Schedule'!$B$2,2)=7),IFERROR(1*'Daily Workforce'!$K26&gt;=3,FALSE()),IFERROR(1*'Daily Workforce'!$K26&gt;=2,FALSE())),IF(AND('Daily Schedule'!$A39&gt;=46,'Daily Schedule'!$A39&lt;=52),'Daily Workforce'!$M26="Y",IFERROR(1*'Daily Workforce'!$P26&gt;=2,FALSE()))))),1,0)</f>
        <v>0</v>
      </c>
      <c r="AL35" s="1" t="n">
        <f aca="false">IF(AND('Daily Workforce'!$N27="Y",'Daily Workforce'!$B27&lt;&gt;"",COUNTIF('Daily Schedule'!$F$5:$F38,'Daily Workforce'!$B27)=0,IF('Daily Schedule'!$A39=45,'Daily Workforce'!$J27="Y",IF(OR('Daily Schedule'!$A39=4,'Daily Schedule'!$A39=8),IF(OR(WEEKDAY('Daily Schedule'!$B$2,2)=1,WEEKDAY('Daily Schedule'!$B$2,2)=4,WEEKDAY('Daily Schedule'!$B$2,2)=5,WEEKDAY('Daily Schedule'!$B$2,2)=7),IFERROR(1*'Daily Workforce'!$K27&gt;=3,FALSE()),IFERROR(1*'Daily Workforce'!$K27&gt;=2,FALSE())),IF(AND('Daily Schedule'!$A39&gt;=46,'Daily Schedule'!$A39&lt;=52),'Daily Workforce'!$M27="Y",IFERROR(1*'Daily Workforce'!$P27&gt;=2,FALSE()))))),1,0)</f>
        <v>0</v>
      </c>
      <c r="AM35" s="1" t="n">
        <f aca="false">IF(AND('Daily Workforce'!$N28="Y",'Daily Workforce'!$B28&lt;&gt;"",COUNTIF('Daily Schedule'!$F$5:$F38,'Daily Workforce'!$B28)=0,IF('Daily Schedule'!$A39=45,'Daily Workforce'!$J28="Y",IF(OR('Daily Schedule'!$A39=4,'Daily Schedule'!$A39=8),IF(OR(WEEKDAY('Daily Schedule'!$B$2,2)=1,WEEKDAY('Daily Schedule'!$B$2,2)=4,WEEKDAY('Daily Schedule'!$B$2,2)=5,WEEKDAY('Daily Schedule'!$B$2,2)=7),IFERROR(1*'Daily Workforce'!$K28&gt;=3,FALSE()),IFERROR(1*'Daily Workforce'!$K28&gt;=2,FALSE())),IF(AND('Daily Schedule'!$A39&gt;=46,'Daily Schedule'!$A39&lt;=52),'Daily Workforce'!$M28="Y",IFERROR(1*'Daily Workforce'!$P28&gt;=2,FALSE()))))),1,0)</f>
        <v>0</v>
      </c>
      <c r="AN35" s="1" t="n">
        <f aca="false">IF(AND('Daily Workforce'!$N29="Y",'Daily Workforce'!$B29&lt;&gt;"",COUNTIF('Daily Schedule'!$F$5:$F38,'Daily Workforce'!$B29)=0,IF('Daily Schedule'!$A39=45,'Daily Workforce'!$J29="Y",IF(OR('Daily Schedule'!$A39=4,'Daily Schedule'!$A39=8),IF(OR(WEEKDAY('Daily Schedule'!$B$2,2)=1,WEEKDAY('Daily Schedule'!$B$2,2)=4,WEEKDAY('Daily Schedule'!$B$2,2)=5,WEEKDAY('Daily Schedule'!$B$2,2)=7),IFERROR(1*'Daily Workforce'!$K29&gt;=3,FALSE()),IFERROR(1*'Daily Workforce'!$K29&gt;=2,FALSE())),IF(AND('Daily Schedule'!$A39&gt;=46,'Daily Schedule'!$A39&lt;=52),'Daily Workforce'!$M29="Y",IFERROR(1*'Daily Workforce'!$P29&gt;=2,FALSE()))))),1,0)</f>
        <v>0</v>
      </c>
      <c r="AO35" s="1" t="n">
        <f aca="false">IF(AND('Daily Workforce'!$N30="Y",'Daily Workforce'!$B30&lt;&gt;"",COUNTIF('Daily Schedule'!$F$5:$F38,'Daily Workforce'!$B30)=0,IF('Daily Schedule'!$A39=45,'Daily Workforce'!$J30="Y",IF(OR('Daily Schedule'!$A39=4,'Daily Schedule'!$A39=8),IF(OR(WEEKDAY('Daily Schedule'!$B$2,2)=1,WEEKDAY('Daily Schedule'!$B$2,2)=4,WEEKDAY('Daily Schedule'!$B$2,2)=5,WEEKDAY('Daily Schedule'!$B$2,2)=7),IFERROR(1*'Daily Workforce'!$K30&gt;=3,FALSE()),IFERROR(1*'Daily Workforce'!$K30&gt;=2,FALSE())),IF(AND('Daily Schedule'!$A39&gt;=46,'Daily Schedule'!$A39&lt;=52),'Daily Workforce'!$M30="Y",IFERROR(1*'Daily Workforce'!$P30&gt;=2,FALSE()))))),1,0)</f>
        <v>0</v>
      </c>
      <c r="AP35" s="1" t="n">
        <f aca="false">IF(AND('Daily Workforce'!$N31="Y",'Daily Workforce'!$B31&lt;&gt;"",COUNTIF('Daily Schedule'!$F$5:$F38,'Daily Workforce'!$B31)=0,IF('Daily Schedule'!$A39=45,'Daily Workforce'!$J31="Y",IF(OR('Daily Schedule'!$A39=4,'Daily Schedule'!$A39=8),IF(OR(WEEKDAY('Daily Schedule'!$B$2,2)=1,WEEKDAY('Daily Schedule'!$B$2,2)=4,WEEKDAY('Daily Schedule'!$B$2,2)=5,WEEKDAY('Daily Schedule'!$B$2,2)=7),IFERROR(1*'Daily Workforce'!$K31&gt;=3,FALSE()),IFERROR(1*'Daily Workforce'!$K31&gt;=2,FALSE())),IF(AND('Daily Schedule'!$A39&gt;=46,'Daily Schedule'!$A39&lt;=52),'Daily Workforce'!$M31="Y",IFERROR(1*'Daily Workforce'!$P31&gt;=2,FALSE()))))),1,0)</f>
        <v>0</v>
      </c>
      <c r="AQ35" s="1" t="n">
        <f aca="false">IF(AND('Daily Workforce'!$N32="Y",'Daily Workforce'!$B32&lt;&gt;"",COUNTIF('Daily Schedule'!$F$5:$F38,'Daily Workforce'!$B32)=0,IF('Daily Schedule'!$A39=45,'Daily Workforce'!$J32="Y",IF(OR('Daily Schedule'!$A39=4,'Daily Schedule'!$A39=8),IF(OR(WEEKDAY('Daily Schedule'!$B$2,2)=1,WEEKDAY('Daily Schedule'!$B$2,2)=4,WEEKDAY('Daily Schedule'!$B$2,2)=5,WEEKDAY('Daily Schedule'!$B$2,2)=7),IFERROR(1*'Daily Workforce'!$K32&gt;=3,FALSE()),IFERROR(1*'Daily Workforce'!$K32&gt;=2,FALSE())),IF(AND('Daily Schedule'!$A39&gt;=46,'Daily Schedule'!$A39&lt;=52),'Daily Workforce'!$M32="Y",IFERROR(1*'Daily Workforce'!$P32&gt;=2,FALSE()))))),1,0)</f>
        <v>0</v>
      </c>
      <c r="AR35" s="1" t="n">
        <f aca="false">IF(AND('Daily Workforce'!$N33="Y",'Daily Workforce'!$B33&lt;&gt;"",COUNTIF('Daily Schedule'!$F$5:$F38,'Daily Workforce'!$B33)=0,IF('Daily Schedule'!$A39=45,'Daily Workforce'!$J33="Y",IF(OR('Daily Schedule'!$A39=4,'Daily Schedule'!$A39=8),IF(OR(WEEKDAY('Daily Schedule'!$B$2,2)=1,WEEKDAY('Daily Schedule'!$B$2,2)=4,WEEKDAY('Daily Schedule'!$B$2,2)=5,WEEKDAY('Daily Schedule'!$B$2,2)=7),IFERROR(1*'Daily Workforce'!$K33&gt;=3,FALSE()),IFERROR(1*'Daily Workforce'!$K33&gt;=2,FALSE())),IF(AND('Daily Schedule'!$A39&gt;=46,'Daily Schedule'!$A39&lt;=52),'Daily Workforce'!$M33="Y",IFERROR(1*'Daily Workforce'!$P33&gt;=2,FALSE()))))),1,0)</f>
        <v>0</v>
      </c>
      <c r="AS35" s="1" t="n">
        <f aca="false">IF(AND('Daily Workforce'!$N34="Y",'Daily Workforce'!$B34&lt;&gt;"",COUNTIF('Daily Schedule'!$F$5:$F38,'Daily Workforce'!$B34)=0,IF('Daily Schedule'!$A39=45,'Daily Workforce'!$J34="Y",IF(OR('Daily Schedule'!$A39=4,'Daily Schedule'!$A39=8),IF(OR(WEEKDAY('Daily Schedule'!$B$2,2)=1,WEEKDAY('Daily Schedule'!$B$2,2)=4,WEEKDAY('Daily Schedule'!$B$2,2)=5,WEEKDAY('Daily Schedule'!$B$2,2)=7),IFERROR(1*'Daily Workforce'!$K34&gt;=3,FALSE()),IFERROR(1*'Daily Workforce'!$K34&gt;=2,FALSE())),IF(AND('Daily Schedule'!$A39&gt;=46,'Daily Schedule'!$A39&lt;=52),'Daily Workforce'!$M34="Y",IFERROR(1*'Daily Workforce'!$P34&gt;=2,FALSE()))))),1,0)</f>
        <v>0</v>
      </c>
      <c r="AT35" s="1" t="n">
        <f aca="false">IF(AND('Daily Workforce'!$N35="Y",'Daily Workforce'!$B35&lt;&gt;"",COUNTIF('Daily Schedule'!$F$5:$F38,'Daily Workforce'!$B35)=0,IF('Daily Schedule'!$A39=45,'Daily Workforce'!$J35="Y",IF(OR('Daily Schedule'!$A39=4,'Daily Schedule'!$A39=8),IF(OR(WEEKDAY('Daily Schedule'!$B$2,2)=1,WEEKDAY('Daily Schedule'!$B$2,2)=4,WEEKDAY('Daily Schedule'!$B$2,2)=5,WEEKDAY('Daily Schedule'!$B$2,2)=7),IFERROR(1*'Daily Workforce'!$K35&gt;=3,FALSE()),IFERROR(1*'Daily Workforce'!$K35&gt;=2,FALSE())),IF(AND('Daily Schedule'!$A39&gt;=46,'Daily Schedule'!$A39&lt;=52),'Daily Workforce'!$M35="Y",IFERROR(1*'Daily Workforce'!$P35&gt;=2,FALSE()))))),1,0)</f>
        <v>0</v>
      </c>
      <c r="AU35" s="1" t="n">
        <f aca="false">IF(AND('Daily Workforce'!$N36="Y",'Daily Workforce'!$B36&lt;&gt;"",COUNTIF('Daily Schedule'!$F$5:$F38,'Daily Workforce'!$B36)=0,IF('Daily Schedule'!$A39=45,'Daily Workforce'!$J36="Y",IF(OR('Daily Schedule'!$A39=4,'Daily Schedule'!$A39=8),IF(OR(WEEKDAY('Daily Schedule'!$B$2,2)=1,WEEKDAY('Daily Schedule'!$B$2,2)=4,WEEKDAY('Daily Schedule'!$B$2,2)=5,WEEKDAY('Daily Schedule'!$B$2,2)=7),IFERROR(1*'Daily Workforce'!$K36&gt;=3,FALSE()),IFERROR(1*'Daily Workforce'!$K36&gt;=2,FALSE())),IF(AND('Daily Schedule'!$A39&gt;=46,'Daily Schedule'!$A39&lt;=52),'Daily Workforce'!$M36="Y",IFERROR(1*'Daily Workforce'!$P36&gt;=2,FALSE()))))),1,0)</f>
        <v>0</v>
      </c>
      <c r="AV35" s="1" t="n">
        <f aca="false">IF(AND('Daily Workforce'!$N37="Y",'Daily Workforce'!$B37&lt;&gt;"",COUNTIF('Daily Schedule'!$F$5:$F38,'Daily Workforce'!$B37)=0,IF('Daily Schedule'!$A39=45,'Daily Workforce'!$J37="Y",IF(OR('Daily Schedule'!$A39=4,'Daily Schedule'!$A39=8),IF(OR(WEEKDAY('Daily Schedule'!$B$2,2)=1,WEEKDAY('Daily Schedule'!$B$2,2)=4,WEEKDAY('Daily Schedule'!$B$2,2)=5,WEEKDAY('Daily Schedule'!$B$2,2)=7),IFERROR(1*'Daily Workforce'!$K37&gt;=3,FALSE()),IFERROR(1*'Daily Workforce'!$K37&gt;=2,FALSE())),IF(AND('Daily Schedule'!$A39&gt;=46,'Daily Schedule'!$A39&lt;=52),'Daily Workforce'!$M37="Y",IFERROR(1*'Daily Workforce'!$P37&gt;=2,FALSE()))))),1,0)</f>
        <v>0</v>
      </c>
      <c r="AW35" s="1" t="n">
        <f aca="false">IF(AND('Daily Workforce'!$N38="Y",'Daily Workforce'!$B38&lt;&gt;"",COUNTIF('Daily Schedule'!$F$5:$F38,'Daily Workforce'!$B38)=0,IF('Daily Schedule'!$A39=45,'Daily Workforce'!$J38="Y",IF(OR('Daily Schedule'!$A39=4,'Daily Schedule'!$A39=8),IF(OR(WEEKDAY('Daily Schedule'!$B$2,2)=1,WEEKDAY('Daily Schedule'!$B$2,2)=4,WEEKDAY('Daily Schedule'!$B$2,2)=5,WEEKDAY('Daily Schedule'!$B$2,2)=7),IFERROR(1*'Daily Workforce'!$K38&gt;=3,FALSE()),IFERROR(1*'Daily Workforce'!$K38&gt;=2,FALSE())),IF(AND('Daily Schedule'!$A39&gt;=46,'Daily Schedule'!$A39&lt;=52),'Daily Workforce'!$M38="Y",IFERROR(1*'Daily Workforce'!$P38&gt;=2,FALSE()))))),1,0)</f>
        <v>1</v>
      </c>
      <c r="AX35" s="1" t="n">
        <f aca="false">IF(AND('Daily Workforce'!$N39="Y",'Daily Workforce'!$B39&lt;&gt;"",COUNTIF('Daily Schedule'!$F$5:$F38,'Daily Workforce'!$B39)=0,IF('Daily Schedule'!$A39=45,'Daily Workforce'!$J39="Y",IF(OR('Daily Schedule'!$A39=4,'Daily Schedule'!$A39=8),IF(OR(WEEKDAY('Daily Schedule'!$B$2,2)=1,WEEKDAY('Daily Schedule'!$B$2,2)=4,WEEKDAY('Daily Schedule'!$B$2,2)=5,WEEKDAY('Daily Schedule'!$B$2,2)=7),IFERROR(1*'Daily Workforce'!$K39&gt;=3,FALSE()),IFERROR(1*'Daily Workforce'!$K39&gt;=2,FALSE())),IF(AND('Daily Schedule'!$A39&gt;=46,'Daily Schedule'!$A39&lt;=52),'Daily Workforce'!$M39="Y",IFERROR(1*'Daily Workforce'!$P39&gt;=2,FALSE()))))),1,0)</f>
        <v>1</v>
      </c>
      <c r="AY35" s="1" t="n">
        <f aca="false">IF(AND('Daily Workforce'!$N40="Y",'Daily Workforce'!$B40&lt;&gt;"",COUNTIF('Daily Schedule'!$F$5:$F38,'Daily Workforce'!$B40)=0,IF('Daily Schedule'!$A39=45,'Daily Workforce'!$J40="Y",IF(OR('Daily Schedule'!$A39=4,'Daily Schedule'!$A39=8),IF(OR(WEEKDAY('Daily Schedule'!$B$2,2)=1,WEEKDAY('Daily Schedule'!$B$2,2)=4,WEEKDAY('Daily Schedule'!$B$2,2)=5,WEEKDAY('Daily Schedule'!$B$2,2)=7),IFERROR(1*'Daily Workforce'!$K40&gt;=3,FALSE()),IFERROR(1*'Daily Workforce'!$K40&gt;=2,FALSE())),IF(AND('Daily Schedule'!$A39&gt;=46,'Daily Schedule'!$A39&lt;=52),'Daily Workforce'!$M40="Y",IFERROR(1*'Daily Workforce'!$P40&gt;=2,FALSE()))))),1,0)</f>
        <v>1</v>
      </c>
      <c r="AZ35" s="1" t="n">
        <f aca="false">IF(AND('Daily Workforce'!$N41="Y",'Daily Workforce'!$B41&lt;&gt;"",COUNTIF('Daily Schedule'!$F$5:$F38,'Daily Workforce'!$B41)=0,IF('Daily Schedule'!$A39=45,'Daily Workforce'!$J41="Y",IF(OR('Daily Schedule'!$A39=4,'Daily Schedule'!$A39=8),IF(OR(WEEKDAY('Daily Schedule'!$B$2,2)=1,WEEKDAY('Daily Schedule'!$B$2,2)=4,WEEKDAY('Daily Schedule'!$B$2,2)=5,WEEKDAY('Daily Schedule'!$B$2,2)=7),IFERROR(1*'Daily Workforce'!$K41&gt;=3,FALSE()),IFERROR(1*'Daily Workforce'!$K41&gt;=2,FALSE())),IF(AND('Daily Schedule'!$A39&gt;=46,'Daily Schedule'!$A39&lt;=52),'Daily Workforce'!$M41="Y",IFERROR(1*'Daily Workforce'!$P41&gt;=2,FALSE()))))),1,0)</f>
        <v>1</v>
      </c>
      <c r="BA35" s="1" t="n">
        <f aca="false">IF(AND('Daily Workforce'!$N42="Y",'Daily Workforce'!$B42&lt;&gt;"",COUNTIF('Daily Schedule'!$F$5:$F38,'Daily Workforce'!$B42)=0,IF('Daily Schedule'!$A39=45,'Daily Workforce'!$J42="Y",IF(OR('Daily Schedule'!$A39=4,'Daily Schedule'!$A39=8),IF(OR(WEEKDAY('Daily Schedule'!$B$2,2)=1,WEEKDAY('Daily Schedule'!$B$2,2)=4,WEEKDAY('Daily Schedule'!$B$2,2)=5,WEEKDAY('Daily Schedule'!$B$2,2)=7),IFERROR(1*'Daily Workforce'!$K42&gt;=3,FALSE()),IFERROR(1*'Daily Workforce'!$K42&gt;=2,FALSE())),IF(AND('Daily Schedule'!$A39&gt;=46,'Daily Schedule'!$A39&lt;=52),'Daily Workforce'!$M42="Y",IFERROR(1*'Daily Workforce'!$P42&gt;=2,FALSE()))))),1,0)</f>
        <v>1</v>
      </c>
      <c r="BB35" s="1" t="n">
        <f aca="false">IF(AND('Daily Workforce'!$N43="Y",'Daily Workforce'!$B43&lt;&gt;"",COUNTIF('Daily Schedule'!$F$5:$F38,'Daily Workforce'!$B43)=0,IF('Daily Schedule'!$A39=45,'Daily Workforce'!$J43="Y",IF(OR('Daily Schedule'!$A39=4,'Daily Schedule'!$A39=8),IF(OR(WEEKDAY('Daily Schedule'!$B$2,2)=1,WEEKDAY('Daily Schedule'!$B$2,2)=4,WEEKDAY('Daily Schedule'!$B$2,2)=5,WEEKDAY('Daily Schedule'!$B$2,2)=7),IFERROR(1*'Daily Workforce'!$K43&gt;=3,FALSE()),IFERROR(1*'Daily Workforce'!$K43&gt;=2,FALSE())),IF(AND('Daily Schedule'!$A39&gt;=46,'Daily Schedule'!$A39&lt;=52),'Daily Workforce'!$M43="Y",IFERROR(1*'Daily Workforce'!$P43&gt;=2,FALSE()))))),1,0)</f>
        <v>1</v>
      </c>
      <c r="BC35" s="1" t="n">
        <f aca="false">IF(AND('Daily Workforce'!$N44="Y",'Daily Workforce'!$B44&lt;&gt;"",COUNTIF('Daily Schedule'!$F$5:$F38,'Daily Workforce'!$B44)=0,IF('Daily Schedule'!$A39=45,'Daily Workforce'!$J44="Y",IF(OR('Daily Schedule'!$A39=4,'Daily Schedule'!$A39=8),IF(OR(WEEKDAY('Daily Schedule'!$B$2,2)=1,WEEKDAY('Daily Schedule'!$B$2,2)=4,WEEKDAY('Daily Schedule'!$B$2,2)=5,WEEKDAY('Daily Schedule'!$B$2,2)=7),IFERROR(1*'Daily Workforce'!$K44&gt;=3,FALSE()),IFERROR(1*'Daily Workforce'!$K44&gt;=2,FALSE())),IF(AND('Daily Schedule'!$A39&gt;=46,'Daily Schedule'!$A39&lt;=52),'Daily Workforce'!$M44="Y",IFERROR(1*'Daily Workforce'!$P44&gt;=2,FALSE()))))),1,0)</f>
        <v>1</v>
      </c>
      <c r="BD35" s="1" t="n">
        <f aca="false">IF(AND('Daily Workforce'!$N45="Y",'Daily Workforce'!$B45&lt;&gt;"",COUNTIF('Daily Schedule'!$F$5:$F38,'Daily Workforce'!$B45)=0,IF('Daily Schedule'!$A39=45,'Daily Workforce'!$J45="Y",IF(OR('Daily Schedule'!$A39=4,'Daily Schedule'!$A39=8),IF(OR(WEEKDAY('Daily Schedule'!$B$2,2)=1,WEEKDAY('Daily Schedule'!$B$2,2)=4,WEEKDAY('Daily Schedule'!$B$2,2)=5,WEEKDAY('Daily Schedule'!$B$2,2)=7),IFERROR(1*'Daily Workforce'!$K45&gt;=3,FALSE()),IFERROR(1*'Daily Workforce'!$K45&gt;=2,FALSE())),IF(AND('Daily Schedule'!$A39&gt;=46,'Daily Schedule'!$A39&lt;=52),'Daily Workforce'!$M45="Y",IFERROR(1*'Daily Workforce'!$P45&gt;=2,FALSE()))))),1,0)</f>
        <v>1</v>
      </c>
      <c r="BE35" s="1" t="n">
        <f aca="false">IF(AND('Daily Workforce'!$N46="Y",'Daily Workforce'!$B46&lt;&gt;"",COUNTIF('Daily Schedule'!$F$5:$F38,'Daily Workforce'!$B46)=0,IF('Daily Schedule'!$A39=45,'Daily Workforce'!$J46="Y",IF(OR('Daily Schedule'!$A39=4,'Daily Schedule'!$A39=8),IF(OR(WEEKDAY('Daily Schedule'!$B$2,2)=1,WEEKDAY('Daily Schedule'!$B$2,2)=4,WEEKDAY('Daily Schedule'!$B$2,2)=5,WEEKDAY('Daily Schedule'!$B$2,2)=7),IFERROR(1*'Daily Workforce'!$K46&gt;=3,FALSE()),IFERROR(1*'Daily Workforce'!$K46&gt;=2,FALSE())),IF(AND('Daily Schedule'!$A39&gt;=46,'Daily Schedule'!$A39&lt;=52),'Daily Workforce'!$M46="Y",IFERROR(1*'Daily Workforce'!$P46&gt;=2,FALSE()))))),1,0)</f>
        <v>1</v>
      </c>
      <c r="BF35" s="1" t="n">
        <f aca="false">IF(AND('Daily Workforce'!$N47="Y",'Daily Workforce'!$B47&lt;&gt;"",COUNTIF('Daily Schedule'!$F$5:$F38,'Daily Workforce'!$B47)=0,IF('Daily Schedule'!$A39=45,'Daily Workforce'!$J47="Y",IF(OR('Daily Schedule'!$A39=4,'Daily Schedule'!$A39=8),IF(OR(WEEKDAY('Daily Schedule'!$B$2,2)=1,WEEKDAY('Daily Schedule'!$B$2,2)=4,WEEKDAY('Daily Schedule'!$B$2,2)=5,WEEKDAY('Daily Schedule'!$B$2,2)=7),IFERROR(1*'Daily Workforce'!$K47&gt;=3,FALSE()),IFERROR(1*'Daily Workforce'!$K47&gt;=2,FALSE())),IF(AND('Daily Schedule'!$A39&gt;=46,'Daily Schedule'!$A39&lt;=52),'Daily Workforce'!$M47="Y",IFERROR(1*'Daily Workforce'!$P47&gt;=2,FALSE()))))),1,0)</f>
        <v>0</v>
      </c>
      <c r="BG35" s="1" t="n">
        <f aca="false">IF(AND('Daily Workforce'!$N48="Y",'Daily Workforce'!$B48&lt;&gt;"",COUNTIF('Daily Schedule'!$F$5:$F38,'Daily Workforce'!$B48)=0,IF('Daily Schedule'!$A39=45,'Daily Workforce'!$J48="Y",IF(OR('Daily Schedule'!$A39=4,'Daily Schedule'!$A39=8),IF(OR(WEEKDAY('Daily Schedule'!$B$2,2)=1,WEEKDAY('Daily Schedule'!$B$2,2)=4,WEEKDAY('Daily Schedule'!$B$2,2)=5,WEEKDAY('Daily Schedule'!$B$2,2)=7),IFERROR(1*'Daily Workforce'!$K48&gt;=3,FALSE()),IFERROR(1*'Daily Workforce'!$K48&gt;=2,FALSE())),IF(AND('Daily Schedule'!$A39&gt;=46,'Daily Schedule'!$A39&lt;=52),'Daily Workforce'!$M48="Y",IFERROR(1*'Daily Workforce'!$P48&gt;=2,FALSE()))))),1,0)</f>
        <v>1</v>
      </c>
      <c r="BH35" s="1" t="n">
        <f aca="false">IF(AND('Daily Workforce'!$N49="Y",'Daily Workforce'!$B49&lt;&gt;"",COUNTIF('Daily Schedule'!$F$5:$F38,'Daily Workforce'!$B49)=0,IF('Daily Schedule'!$A39=45,'Daily Workforce'!$J49="Y",IF(OR('Daily Schedule'!$A39=4,'Daily Schedule'!$A39=8),IF(OR(WEEKDAY('Daily Schedule'!$B$2,2)=1,WEEKDAY('Daily Schedule'!$B$2,2)=4,WEEKDAY('Daily Schedule'!$B$2,2)=5,WEEKDAY('Daily Schedule'!$B$2,2)=7),IFERROR(1*'Daily Workforce'!$K49&gt;=3,FALSE()),IFERROR(1*'Daily Workforce'!$K49&gt;=2,FALSE())),IF(AND('Daily Schedule'!$A39&gt;=46,'Daily Schedule'!$A39&lt;=52),'Daily Workforce'!$M49="Y",IFERROR(1*'Daily Workforce'!$P49&gt;=2,FALSE()))))),1,0)</f>
        <v>1</v>
      </c>
      <c r="BI35" s="1" t="n">
        <f aca="false">IF(AND('Daily Workforce'!$N50="Y",'Daily Workforce'!$B50&lt;&gt;"",COUNTIF('Daily Schedule'!$F$5:$F38,'Daily Workforce'!$B50)=0,IF('Daily Schedule'!$A39=45,'Daily Workforce'!$J50="Y",IF(OR('Daily Schedule'!$A39=4,'Daily Schedule'!$A39=8),IF(OR(WEEKDAY('Daily Schedule'!$B$2,2)=1,WEEKDAY('Daily Schedule'!$B$2,2)=4,WEEKDAY('Daily Schedule'!$B$2,2)=5,WEEKDAY('Daily Schedule'!$B$2,2)=7),IFERROR(1*'Daily Workforce'!$K50&gt;=3,FALSE()),IFERROR(1*'Daily Workforce'!$K50&gt;=2,FALSE())),IF(AND('Daily Schedule'!$A39&gt;=46,'Daily Schedule'!$A39&lt;=52),'Daily Workforce'!$M50="Y",IFERROR(1*'Daily Workforce'!$P50&gt;=2,FALSE()))))),1,0)</f>
        <v>0</v>
      </c>
      <c r="BJ35" s="1" t="n">
        <f aca="false">IF(AND('Daily Workforce'!$N51="Y",'Daily Workforce'!$B51&lt;&gt;"",COUNTIF('Daily Schedule'!$F$5:$F38,'Daily Workforce'!$B51)=0,IF('Daily Schedule'!$A39=45,'Daily Workforce'!$J51="Y",IF(OR('Daily Schedule'!$A39=4,'Daily Schedule'!$A39=8),IF(OR(WEEKDAY('Daily Schedule'!$B$2,2)=1,WEEKDAY('Daily Schedule'!$B$2,2)=4,WEEKDAY('Daily Schedule'!$B$2,2)=5,WEEKDAY('Daily Schedule'!$B$2,2)=7),IFERROR(1*'Daily Workforce'!$K51&gt;=3,FALSE()),IFERROR(1*'Daily Workforce'!$K51&gt;=2,FALSE())),IF(AND('Daily Schedule'!$A39&gt;=46,'Daily Schedule'!$A39&lt;=52),'Daily Workforce'!$M51="Y",IFERROR(1*'Daily Workforce'!$P51&gt;=2,FALSE()))))),1,0)</f>
        <v>1</v>
      </c>
      <c r="BK35" s="1" t="n">
        <f aca="false">IF(AND('Daily Workforce'!$N52="Y",'Daily Workforce'!$B52&lt;&gt;"",COUNTIF('Daily Schedule'!$F$5:$F38,'Daily Workforce'!$B52)=0,IF('Daily Schedule'!$A39=45,'Daily Workforce'!$J52="Y",IF(OR('Daily Schedule'!$A39=4,'Daily Schedule'!$A39=8),IF(OR(WEEKDAY('Daily Schedule'!$B$2,2)=1,WEEKDAY('Daily Schedule'!$B$2,2)=4,WEEKDAY('Daily Schedule'!$B$2,2)=5,WEEKDAY('Daily Schedule'!$B$2,2)=7),IFERROR(1*'Daily Workforce'!$K52&gt;=3,FALSE()),IFERROR(1*'Daily Workforce'!$K52&gt;=2,FALSE())),IF(AND('Daily Schedule'!$A39&gt;=46,'Daily Schedule'!$A39&lt;=52),'Daily Workforce'!$M52="Y",IFERROR(1*'Daily Workforce'!$P52&gt;=2,FALSE()))))),1,0)</f>
        <v>1</v>
      </c>
      <c r="BL35" s="1" t="n">
        <f aca="false">IF(AND('Daily Workforce'!$N53="Y",'Daily Workforce'!$B53&lt;&gt;"",COUNTIF('Daily Schedule'!$F$5:$F38,'Daily Workforce'!$B53)=0,IF('Daily Schedule'!$A39=45,'Daily Workforce'!$J53="Y",IF(OR('Daily Schedule'!$A39=4,'Daily Schedule'!$A39=8),IF(OR(WEEKDAY('Daily Schedule'!$B$2,2)=1,WEEKDAY('Daily Schedule'!$B$2,2)=4,WEEKDAY('Daily Schedule'!$B$2,2)=5,WEEKDAY('Daily Schedule'!$B$2,2)=7),IFERROR(1*'Daily Workforce'!$K53&gt;=3,FALSE()),IFERROR(1*'Daily Workforce'!$K53&gt;=2,FALSE())),IF(AND('Daily Schedule'!$A39&gt;=46,'Daily Schedule'!$A39&lt;=52),'Daily Workforce'!$M53="Y",IFERROR(1*'Daily Workforce'!$P53&gt;=2,FALSE()))))),1,0)</f>
        <v>1</v>
      </c>
      <c r="BM35" s="1" t="n">
        <f aca="false">IF(AND('Daily Workforce'!$N54="Y",'Daily Workforce'!$B54&lt;&gt;"",COUNTIF('Daily Schedule'!$F$5:$F38,'Daily Workforce'!$B54)=0,IF('Daily Schedule'!$A39=45,'Daily Workforce'!$J54="Y",IF(OR('Daily Schedule'!$A39=4,'Daily Schedule'!$A39=8),IF(OR(WEEKDAY('Daily Schedule'!$B$2,2)=1,WEEKDAY('Daily Schedule'!$B$2,2)=4,WEEKDAY('Daily Schedule'!$B$2,2)=5,WEEKDAY('Daily Schedule'!$B$2,2)=7),IFERROR(1*'Daily Workforce'!$K54&gt;=3,FALSE()),IFERROR(1*'Daily Workforce'!$K54&gt;=2,FALSE())),IF(AND('Daily Schedule'!$A39&gt;=46,'Daily Schedule'!$A39&lt;=52),'Daily Workforce'!$M54="Y",IFERROR(1*'Daily Workforce'!$P54&gt;=2,FALSE()))))),1,0)</f>
        <v>1</v>
      </c>
      <c r="BN35" s="1" t="n">
        <f aca="false">IF(AND('Daily Workforce'!$N55="Y",'Daily Workforce'!$B55&lt;&gt;"",COUNTIF('Daily Schedule'!$F$5:$F38,'Daily Workforce'!$B55)=0,IF('Daily Schedule'!$A39=45,'Daily Workforce'!$J55="Y",IF(OR('Daily Schedule'!$A39=4,'Daily Schedule'!$A39=8),IF(OR(WEEKDAY('Daily Schedule'!$B$2,2)=1,WEEKDAY('Daily Schedule'!$B$2,2)=4,WEEKDAY('Daily Schedule'!$B$2,2)=5,WEEKDAY('Daily Schedule'!$B$2,2)=7),IFERROR(1*'Daily Workforce'!$K55&gt;=3,FALSE()),IFERROR(1*'Daily Workforce'!$K55&gt;=2,FALSE())),IF(AND('Daily Schedule'!$A39&gt;=46,'Daily Schedule'!$A39&lt;=52),'Daily Workforce'!$M55="Y",IFERROR(1*'Daily Workforce'!$P55&gt;=2,FALSE()))))),1,0)</f>
        <v>1</v>
      </c>
      <c r="BO35" s="1" t="n">
        <f aca="false">IF(AND('Daily Workforce'!$N56="Y",'Daily Workforce'!$B56&lt;&gt;"",COUNTIF('Daily Schedule'!$F$5:$F38,'Daily Workforce'!$B56)=0,IF('Daily Schedule'!$A39=45,'Daily Workforce'!$J56="Y",IF(OR('Daily Schedule'!$A39=4,'Daily Schedule'!$A39=8),IF(OR(WEEKDAY('Daily Schedule'!$B$2,2)=1,WEEKDAY('Daily Schedule'!$B$2,2)=4,WEEKDAY('Daily Schedule'!$B$2,2)=5,WEEKDAY('Daily Schedule'!$B$2,2)=7),IFERROR(1*'Daily Workforce'!$K56&gt;=3,FALSE()),IFERROR(1*'Daily Workforce'!$K56&gt;=2,FALSE())),IF(AND('Daily Schedule'!$A39&gt;=46,'Daily Schedule'!$A39&lt;=52),'Daily Workforce'!$M56="Y",IFERROR(1*'Daily Workforce'!$P56&gt;=2,FALSE()))))),1,0)</f>
        <v>1</v>
      </c>
      <c r="BP35" s="1" t="n">
        <f aca="false">IF(AND('Daily Workforce'!$N57="Y",'Daily Workforce'!$B57&lt;&gt;"",COUNTIF('Daily Schedule'!$F$5:$F38,'Daily Workforce'!$B57)=0,IF('Daily Schedule'!$A39=45,'Daily Workforce'!$J57="Y",IF(OR('Daily Schedule'!$A39=4,'Daily Schedule'!$A39=8),IF(OR(WEEKDAY('Daily Schedule'!$B$2,2)=1,WEEKDAY('Daily Schedule'!$B$2,2)=4,WEEKDAY('Daily Schedule'!$B$2,2)=5,WEEKDAY('Daily Schedule'!$B$2,2)=7),IFERROR(1*'Daily Workforce'!$K57&gt;=3,FALSE()),IFERROR(1*'Daily Workforce'!$K57&gt;=2,FALSE())),IF(AND('Daily Schedule'!$A39&gt;=46,'Daily Schedule'!$A39&lt;=52),'Daily Workforce'!$M57="Y",IFERROR(1*'Daily Workforce'!$P57&gt;=2,FALSE()))))),1,0)</f>
        <v>0</v>
      </c>
      <c r="BQ35" s="1" t="n">
        <f aca="false">IF(AND('Daily Workforce'!$N58="Y",'Daily Workforce'!$B58&lt;&gt;"",COUNTIF('Daily Schedule'!$F$5:$F38,'Daily Workforce'!$B58)=0,IF('Daily Schedule'!$A39=45,'Daily Workforce'!$J58="Y",IF(OR('Daily Schedule'!$A39=4,'Daily Schedule'!$A39=8),IF(OR(WEEKDAY('Daily Schedule'!$B$2,2)=1,WEEKDAY('Daily Schedule'!$B$2,2)=4,WEEKDAY('Daily Schedule'!$B$2,2)=5,WEEKDAY('Daily Schedule'!$B$2,2)=7),IFERROR(1*'Daily Workforce'!$K58&gt;=3,FALSE()),IFERROR(1*'Daily Workforce'!$K58&gt;=2,FALSE())),IF(AND('Daily Schedule'!$A39&gt;=46,'Daily Schedule'!$A39&lt;=52),'Daily Workforce'!$M58="Y",IFERROR(1*'Daily Workforce'!$P58&gt;=2,FALSE()))))),1,0)</f>
        <v>1</v>
      </c>
      <c r="BR35" s="1" t="n">
        <f aca="false">IF(AND('Daily Workforce'!$N59="Y",'Daily Workforce'!$B59&lt;&gt;"",COUNTIF('Daily Schedule'!$F$5:$F38,'Daily Workforce'!$B59)=0,IF('Daily Schedule'!$A39=45,'Daily Workforce'!$J59="Y",IF(OR('Daily Schedule'!$A39=4,'Daily Schedule'!$A39=8),IF(OR(WEEKDAY('Daily Schedule'!$B$2,2)=1,WEEKDAY('Daily Schedule'!$B$2,2)=4,WEEKDAY('Daily Schedule'!$B$2,2)=5,WEEKDAY('Daily Schedule'!$B$2,2)=7),IFERROR(1*'Daily Workforce'!$K59&gt;=3,FALSE()),IFERROR(1*'Daily Workforce'!$K59&gt;=2,FALSE())),IF(AND('Daily Schedule'!$A39&gt;=46,'Daily Schedule'!$A39&lt;=52),'Daily Workforce'!$M59="Y",IFERROR(1*'Daily Workforce'!$P59&gt;=2,FALSE()))))),1,0)</f>
        <v>1</v>
      </c>
      <c r="BS35" s="1" t="n">
        <f aca="false">IF(AND('Daily Workforce'!$N60="Y",'Daily Workforce'!$B60&lt;&gt;"",COUNTIF('Daily Schedule'!$F$5:$F38,'Daily Workforce'!$B60)=0,IF('Daily Schedule'!$A39=45,'Daily Workforce'!$J60="Y",IF(OR('Daily Schedule'!$A39=4,'Daily Schedule'!$A39=8),IF(OR(WEEKDAY('Daily Schedule'!$B$2,2)=1,WEEKDAY('Daily Schedule'!$B$2,2)=4,WEEKDAY('Daily Schedule'!$B$2,2)=5,WEEKDAY('Daily Schedule'!$B$2,2)=7),IFERROR(1*'Daily Workforce'!$K60&gt;=3,FALSE()),IFERROR(1*'Daily Workforce'!$K60&gt;=2,FALSE())),IF(AND('Daily Schedule'!$A39&gt;=46,'Daily Schedule'!$A39&lt;=52),'Daily Workforce'!$M60="Y",IFERROR(1*'Daily Workforce'!$P60&gt;=2,FALSE()))))),1,0)</f>
        <v>1</v>
      </c>
      <c r="BT35" s="1" t="n">
        <f aca="false">IF(AND('Daily Workforce'!$N61="Y",'Daily Workforce'!$B61&lt;&gt;"",COUNTIF('Daily Schedule'!$F$5:$F38,'Daily Workforce'!$B61)=0,IF('Daily Schedule'!$A39=45,'Daily Workforce'!$J61="Y",IF(OR('Daily Schedule'!$A39=4,'Daily Schedule'!$A39=8),IF(OR(WEEKDAY('Daily Schedule'!$B$2,2)=1,WEEKDAY('Daily Schedule'!$B$2,2)=4,WEEKDAY('Daily Schedule'!$B$2,2)=5,WEEKDAY('Daily Schedule'!$B$2,2)=7),IFERROR(1*'Daily Workforce'!$K61&gt;=3,FALSE()),IFERROR(1*'Daily Workforce'!$K61&gt;=2,FALSE())),IF(AND('Daily Schedule'!$A39&gt;=46,'Daily Schedule'!$A39&lt;=52),'Daily Workforce'!$M61="Y",IFERROR(1*'Daily Workforce'!$P61&gt;=2,FALSE()))))),1,0)</f>
        <v>0</v>
      </c>
      <c r="BU35" s="1" t="n">
        <f aca="false">IF(AND('Daily Workforce'!$N62="Y",'Daily Workforce'!$B62&lt;&gt;"",COUNTIF('Daily Schedule'!$F$5:$F38,'Daily Workforce'!$B62)=0,IF('Daily Schedule'!$A39=45,'Daily Workforce'!$J62="Y",IF(OR('Daily Schedule'!$A39=4,'Daily Schedule'!$A39=8),IF(OR(WEEKDAY('Daily Schedule'!$B$2,2)=1,WEEKDAY('Daily Schedule'!$B$2,2)=4,WEEKDAY('Daily Schedule'!$B$2,2)=5,WEEKDAY('Daily Schedule'!$B$2,2)=7),IFERROR(1*'Daily Workforce'!$K62&gt;=3,FALSE()),IFERROR(1*'Daily Workforce'!$K62&gt;=2,FALSE())),IF(AND('Daily Schedule'!$A39&gt;=46,'Daily Schedule'!$A39&lt;=52),'Daily Workforce'!$M62="Y",IFERROR(1*'Daily Workforce'!$P62&gt;=2,FALSE()))))),1,0)</f>
        <v>1</v>
      </c>
      <c r="BV35" s="1" t="n">
        <f aca="false">IF(AND('Daily Workforce'!$N63="Y",'Daily Workforce'!$B63&lt;&gt;"",COUNTIF('Daily Schedule'!$F$5:$F38,'Daily Workforce'!$B63)=0,IF('Daily Schedule'!$A39=45,'Daily Workforce'!$J63="Y",IF(OR('Daily Schedule'!$A39=4,'Daily Schedule'!$A39=8),IF(OR(WEEKDAY('Daily Schedule'!$B$2,2)=1,WEEKDAY('Daily Schedule'!$B$2,2)=4,WEEKDAY('Daily Schedule'!$B$2,2)=5,WEEKDAY('Daily Schedule'!$B$2,2)=7),IFERROR(1*'Daily Workforce'!$K63&gt;=3,FALSE()),IFERROR(1*'Daily Workforce'!$K63&gt;=2,FALSE())),IF(AND('Daily Schedule'!$A39&gt;=46,'Daily Schedule'!$A39&lt;=52),'Daily Workforce'!$M63="Y",IFERROR(1*'Daily Workforce'!$P63&gt;=2,FALSE()))))),1,0)</f>
        <v>1</v>
      </c>
      <c r="BW35" s="1" t="n">
        <f aca="false">IF(AND('Daily Workforce'!$N64="Y",'Daily Workforce'!$B64&lt;&gt;"",COUNTIF('Daily Schedule'!$F$5:$F38,'Daily Workforce'!$B64)=0,IF('Daily Schedule'!$A39=45,'Daily Workforce'!$J64="Y",IF(OR('Daily Schedule'!$A39=4,'Daily Schedule'!$A39=8),IF(OR(WEEKDAY('Daily Schedule'!$B$2,2)=1,WEEKDAY('Daily Schedule'!$B$2,2)=4,WEEKDAY('Daily Schedule'!$B$2,2)=5,WEEKDAY('Daily Schedule'!$B$2,2)=7),IFERROR(1*'Daily Workforce'!$K64&gt;=3,FALSE()),IFERROR(1*'Daily Workforce'!$K64&gt;=2,FALSE())),IF(AND('Daily Schedule'!$A39&gt;=46,'Daily Schedule'!$A39&lt;=52),'Daily Workforce'!$M64="Y",IFERROR(1*'Daily Workforce'!$P64&gt;=2,FALSE()))))),1,0)</f>
        <v>1</v>
      </c>
      <c r="BX35" s="1" t="n">
        <f aca="false">IF(AND('Daily Workforce'!$N65="Y",'Daily Workforce'!$B65&lt;&gt;"",COUNTIF('Daily Schedule'!$F$5:$F38,'Daily Workforce'!$B65)=0,IF('Daily Schedule'!$A39=45,'Daily Workforce'!$J65="Y",IF(OR('Daily Schedule'!$A39=4,'Daily Schedule'!$A39=8),IF(OR(WEEKDAY('Daily Schedule'!$B$2,2)=1,WEEKDAY('Daily Schedule'!$B$2,2)=4,WEEKDAY('Daily Schedule'!$B$2,2)=5,WEEKDAY('Daily Schedule'!$B$2,2)=7),IFERROR(1*'Daily Workforce'!$K65&gt;=3,FALSE()),IFERROR(1*'Daily Workforce'!$K65&gt;=2,FALSE())),IF(AND('Daily Schedule'!$A39&gt;=46,'Daily Schedule'!$A39&lt;=52),'Daily Workforce'!$M65="Y",IFERROR(1*'Daily Workforce'!$P65&gt;=2,FALSE()))))),1,0)</f>
        <v>1</v>
      </c>
      <c r="BY35" s="1" t="n">
        <f aca="false">IF(AND('Daily Workforce'!$N66="Y",'Daily Workforce'!$B66&lt;&gt;"",COUNTIF('Daily Schedule'!$F$5:$F38,'Daily Workforce'!$B66)=0,IF('Daily Schedule'!$A39=45,'Daily Workforce'!$J66="Y",IF(OR('Daily Schedule'!$A39=4,'Daily Schedule'!$A39=8),IF(OR(WEEKDAY('Daily Schedule'!$B$2,2)=1,WEEKDAY('Daily Schedule'!$B$2,2)=4,WEEKDAY('Daily Schedule'!$B$2,2)=5,WEEKDAY('Daily Schedule'!$B$2,2)=7),IFERROR(1*'Daily Workforce'!$K66&gt;=3,FALSE()),IFERROR(1*'Daily Workforce'!$K66&gt;=2,FALSE())),IF(AND('Daily Schedule'!$A39&gt;=46,'Daily Schedule'!$A39&lt;=52),'Daily Workforce'!$M66="Y",IFERROR(1*'Daily Workforce'!$P66&gt;=2,FALSE()))))),1,0)</f>
        <v>1</v>
      </c>
      <c r="BZ35" s="1" t="n">
        <f aca="false">IF(AND('Daily Workforce'!$N67="Y",'Daily Workforce'!$B67&lt;&gt;"",COUNTIF('Daily Schedule'!$F$5:$F38,'Daily Workforce'!$B67)=0,IF('Daily Schedule'!$A39=45,'Daily Workforce'!$J67="Y",IF(OR('Daily Schedule'!$A39=4,'Daily Schedule'!$A39=8),IF(OR(WEEKDAY('Daily Schedule'!$B$2,2)=1,WEEKDAY('Daily Schedule'!$B$2,2)=4,WEEKDAY('Daily Schedule'!$B$2,2)=5,WEEKDAY('Daily Schedule'!$B$2,2)=7),IFERROR(1*'Daily Workforce'!$K67&gt;=3,FALSE()),IFERROR(1*'Daily Workforce'!$K67&gt;=2,FALSE())),IF(AND('Daily Schedule'!$A39&gt;=46,'Daily Schedule'!$A39&lt;=52),'Daily Workforce'!$M67="Y",IFERROR(1*'Daily Workforce'!$P67&gt;=2,FALSE()))))),1,0)</f>
        <v>1</v>
      </c>
      <c r="CA35" s="1" t="n">
        <f aca="false">IF(AND('Daily Workforce'!$N68="Y",'Daily Workforce'!$B68&lt;&gt;"",COUNTIF('Daily Schedule'!$F$5:$F38,'Daily Workforce'!$B68)=0,IF('Daily Schedule'!$A39=45,'Daily Workforce'!$J68="Y",IF(OR('Daily Schedule'!$A39=4,'Daily Schedule'!$A39=8),IF(OR(WEEKDAY('Daily Schedule'!$B$2,2)=1,WEEKDAY('Daily Schedule'!$B$2,2)=4,WEEKDAY('Daily Schedule'!$B$2,2)=5,WEEKDAY('Daily Schedule'!$B$2,2)=7),IFERROR(1*'Daily Workforce'!$K68&gt;=3,FALSE()),IFERROR(1*'Daily Workforce'!$K68&gt;=2,FALSE())),IF(AND('Daily Schedule'!$A39&gt;=46,'Daily Schedule'!$A39&lt;=52),'Daily Workforce'!$M68="Y",IFERROR(1*'Daily Workforce'!$P68&gt;=2,FALSE()))))),1,0)</f>
        <v>1</v>
      </c>
      <c r="CB35" s="1" t="n">
        <f aca="false">IF(AND('Daily Workforce'!$N69="Y",'Daily Workforce'!$B69&lt;&gt;"",COUNTIF('Daily Schedule'!$F$5:$F38,'Daily Workforce'!$B69)=0,IF('Daily Schedule'!$A39=45,'Daily Workforce'!$J69="Y",IF(OR('Daily Schedule'!$A39=4,'Daily Schedule'!$A39=8),IF(OR(WEEKDAY('Daily Schedule'!$B$2,2)=1,WEEKDAY('Daily Schedule'!$B$2,2)=4,WEEKDAY('Daily Schedule'!$B$2,2)=5,WEEKDAY('Daily Schedule'!$B$2,2)=7),IFERROR(1*'Daily Workforce'!$K69&gt;=3,FALSE()),IFERROR(1*'Daily Workforce'!$K69&gt;=2,FALSE())),IF(AND('Daily Schedule'!$A39&gt;=46,'Daily Schedule'!$A39&lt;=52),'Daily Workforce'!$M69="Y",IFERROR(1*'Daily Workforce'!$P69&gt;=2,FALSE()))))),1,0)</f>
        <v>1</v>
      </c>
      <c r="CC35" s="1" t="n">
        <f aca="false">IF(AND('Daily Workforce'!$N70="Y",'Daily Workforce'!$B70&lt;&gt;"",COUNTIF('Daily Schedule'!$F$5:$F38,'Daily Workforce'!$B70)=0,IF('Daily Schedule'!$A39=45,'Daily Workforce'!$J70="Y",IF(OR('Daily Schedule'!$A39=4,'Daily Schedule'!$A39=8),IF(OR(WEEKDAY('Daily Schedule'!$B$2,2)=1,WEEKDAY('Daily Schedule'!$B$2,2)=4,WEEKDAY('Daily Schedule'!$B$2,2)=5,WEEKDAY('Daily Schedule'!$B$2,2)=7),IFERROR(1*'Daily Workforce'!$K70&gt;=3,FALSE()),IFERROR(1*'Daily Workforce'!$K70&gt;=2,FALSE())),IF(AND('Daily Schedule'!$A39&gt;=46,'Daily Schedule'!$A39&lt;=52),'Daily Workforce'!$M70="Y",IFERROR(1*'Daily Workforce'!$P70&gt;=2,FALSE()))))),1,0)</f>
        <v>1</v>
      </c>
      <c r="CD35" s="1" t="n">
        <f aca="false">IF(AND('Daily Workforce'!$N71="Y",'Daily Workforce'!$B71&lt;&gt;"",COUNTIF('Daily Schedule'!$F$5:$F38,'Daily Workforce'!$B71)=0,IF('Daily Schedule'!$A39=45,'Daily Workforce'!$J71="Y",IF(OR('Daily Schedule'!$A39=4,'Daily Schedule'!$A39=8),IF(OR(WEEKDAY('Daily Schedule'!$B$2,2)=1,WEEKDAY('Daily Schedule'!$B$2,2)=4,WEEKDAY('Daily Schedule'!$B$2,2)=5,WEEKDAY('Daily Schedule'!$B$2,2)=7),IFERROR(1*'Daily Workforce'!$K71&gt;=3,FALSE()),IFERROR(1*'Daily Workforce'!$K71&gt;=2,FALSE())),IF(AND('Daily Schedule'!$A39&gt;=46,'Daily Schedule'!$A39&lt;=52),'Daily Workforce'!$M71="Y",IFERROR(1*'Daily Workforce'!$P71&gt;=2,FALSE()))))),1,0)</f>
        <v>1</v>
      </c>
      <c r="CE35" s="1" t="n">
        <f aca="false">IF(AND('Daily Workforce'!$N72="Y",'Daily Workforce'!$B72&lt;&gt;"",COUNTIF('Daily Schedule'!$F$5:$F38,'Daily Workforce'!$B72)=0,IF('Daily Schedule'!$A39=45,'Daily Workforce'!$J72="Y",IF(OR('Daily Schedule'!$A39=4,'Daily Schedule'!$A39=8),IF(OR(WEEKDAY('Daily Schedule'!$B$2,2)=1,WEEKDAY('Daily Schedule'!$B$2,2)=4,WEEKDAY('Daily Schedule'!$B$2,2)=5,WEEKDAY('Daily Schedule'!$B$2,2)=7),IFERROR(1*'Daily Workforce'!$K72&gt;=3,FALSE()),IFERROR(1*'Daily Workforce'!$K72&gt;=2,FALSE())),IF(AND('Daily Schedule'!$A39&gt;=46,'Daily Schedule'!$A39&lt;=52),'Daily Workforce'!$M72="Y",IFERROR(1*'Daily Workforce'!$P72&gt;=2,FALSE()))))),1,0)</f>
        <v>1</v>
      </c>
      <c r="CF35" s="1" t="n">
        <f aca="false">IF(AND('Daily Workforce'!$N73="Y",'Daily Workforce'!$B73&lt;&gt;"",COUNTIF('Daily Schedule'!$F$5:$F38,'Daily Workforce'!$B73)=0,IF('Daily Schedule'!$A39=45,'Daily Workforce'!$J73="Y",IF(OR('Daily Schedule'!$A39=4,'Daily Schedule'!$A39=8),IF(OR(WEEKDAY('Daily Schedule'!$B$2,2)=1,WEEKDAY('Daily Schedule'!$B$2,2)=4,WEEKDAY('Daily Schedule'!$B$2,2)=5,WEEKDAY('Daily Schedule'!$B$2,2)=7),IFERROR(1*'Daily Workforce'!$K73&gt;=3,FALSE()),IFERROR(1*'Daily Workforce'!$K73&gt;=2,FALSE())),IF(AND('Daily Schedule'!$A39&gt;=46,'Daily Schedule'!$A39&lt;=52),'Daily Workforce'!$M73="Y",IFERROR(1*'Daily Workforce'!$P73&gt;=2,FALSE()))))),1,0)</f>
        <v>1</v>
      </c>
      <c r="CG35" s="1" t="n">
        <f aca="false">IF(AND('Daily Workforce'!$N74="Y",'Daily Workforce'!$B74&lt;&gt;"",COUNTIF('Daily Schedule'!$F$5:$F38,'Daily Workforce'!$B74)=0,IF('Daily Schedule'!$A39=45,'Daily Workforce'!$J74="Y",IF(OR('Daily Schedule'!$A39=4,'Daily Schedule'!$A39=8),IF(OR(WEEKDAY('Daily Schedule'!$B$2,2)=1,WEEKDAY('Daily Schedule'!$B$2,2)=4,WEEKDAY('Daily Schedule'!$B$2,2)=5,WEEKDAY('Daily Schedule'!$B$2,2)=7),IFERROR(1*'Daily Workforce'!$K74&gt;=3,FALSE()),IFERROR(1*'Daily Workforce'!$K74&gt;=2,FALSE())),IF(AND('Daily Schedule'!$A39&gt;=46,'Daily Schedule'!$A39&lt;=52),'Daily Workforce'!$M74="Y",IFERROR(1*'Daily Workforce'!$P74&gt;=2,FALSE()))))),1,0)</f>
        <v>1</v>
      </c>
      <c r="CH35" s="1" t="n">
        <f aca="false">IF(AND('Daily Workforce'!$N75="Y",'Daily Workforce'!$B75&lt;&gt;"",COUNTIF('Daily Schedule'!$F$5:$F38,'Daily Workforce'!$B75)=0,IF('Daily Schedule'!$A39=45,'Daily Workforce'!$J75="Y",IF(OR('Daily Schedule'!$A39=4,'Daily Schedule'!$A39=8),IF(OR(WEEKDAY('Daily Schedule'!$B$2,2)=1,WEEKDAY('Daily Schedule'!$B$2,2)=4,WEEKDAY('Daily Schedule'!$B$2,2)=5,WEEKDAY('Daily Schedule'!$B$2,2)=7),IFERROR(1*'Daily Workforce'!$K75&gt;=3,FALSE()),IFERROR(1*'Daily Workforce'!$K75&gt;=2,FALSE())),IF(AND('Daily Schedule'!$A39&gt;=46,'Daily Schedule'!$A39&lt;=52),'Daily Workforce'!$M75="Y",IFERROR(1*'Daily Workforce'!$P75&gt;=2,FALSE()))))),1,0)</f>
        <v>1</v>
      </c>
      <c r="CI35" s="1" t="n">
        <f aca="false">IF(AND('Daily Workforce'!$N76="Y",'Daily Workforce'!$B76&lt;&gt;"",COUNTIF('Daily Schedule'!$F$5:$F38,'Daily Workforce'!$B76)=0,IF('Daily Schedule'!$A39=45,'Daily Workforce'!$J76="Y",IF(OR('Daily Schedule'!$A39=4,'Daily Schedule'!$A39=8),IF(OR(WEEKDAY('Daily Schedule'!$B$2,2)=1,WEEKDAY('Daily Schedule'!$B$2,2)=4,WEEKDAY('Daily Schedule'!$B$2,2)=5,WEEKDAY('Daily Schedule'!$B$2,2)=7),IFERROR(1*'Daily Workforce'!$K76&gt;=3,FALSE()),IFERROR(1*'Daily Workforce'!$K76&gt;=2,FALSE())),IF(AND('Daily Schedule'!$A39&gt;=46,'Daily Schedule'!$A39&lt;=52),'Daily Workforce'!$M76="Y",IFERROR(1*'Daily Workforce'!$P76&gt;=2,FALSE()))))),1,0)</f>
        <v>1</v>
      </c>
      <c r="CJ35" s="1" t="n">
        <f aca="false">IF(AND('Daily Workforce'!$N77="Y",'Daily Workforce'!$B77&lt;&gt;"",COUNTIF('Daily Schedule'!$F$5:$F38,'Daily Workforce'!$B77)=0,IF('Daily Schedule'!$A39=45,'Daily Workforce'!$J77="Y",IF(OR('Daily Schedule'!$A39=4,'Daily Schedule'!$A39=8),IF(OR(WEEKDAY('Daily Schedule'!$B$2,2)=1,WEEKDAY('Daily Schedule'!$B$2,2)=4,WEEKDAY('Daily Schedule'!$B$2,2)=5,WEEKDAY('Daily Schedule'!$B$2,2)=7),IFERROR(1*'Daily Workforce'!$K77&gt;=3,FALSE()),IFERROR(1*'Daily Workforce'!$K77&gt;=2,FALSE())),IF(AND('Daily Schedule'!$A39&gt;=46,'Daily Schedule'!$A39&lt;=52),'Daily Workforce'!$M77="Y",IFERROR(1*'Daily Workforce'!$P77&gt;=2,FALSE()))))),1,0)</f>
        <v>1</v>
      </c>
      <c r="CK35" s="1" t="n">
        <f aca="false">IF(AND('Daily Workforce'!$N78="Y",'Daily Workforce'!$B78&lt;&gt;"",COUNTIF('Daily Schedule'!$F$5:$F38,'Daily Workforce'!$B78)=0,IF('Daily Schedule'!$A39=45,'Daily Workforce'!$J78="Y",IF(OR('Daily Schedule'!$A39=4,'Daily Schedule'!$A39=8),IF(OR(WEEKDAY('Daily Schedule'!$B$2,2)=1,WEEKDAY('Daily Schedule'!$B$2,2)=4,WEEKDAY('Daily Schedule'!$B$2,2)=5,WEEKDAY('Daily Schedule'!$B$2,2)=7),IFERROR(1*'Daily Workforce'!$K78&gt;=3,FALSE()),IFERROR(1*'Daily Workforce'!$K78&gt;=2,FALSE())),IF(AND('Daily Schedule'!$A39&gt;=46,'Daily Schedule'!$A39&lt;=52),'Daily Workforce'!$M78="Y",IFERROR(1*'Daily Workforce'!$P78&gt;=2,FALSE()))))),1,0)</f>
        <v>1</v>
      </c>
      <c r="CL35" s="1" t="n">
        <f aca="false">IF(AND('Daily Workforce'!$N79="Y",'Daily Workforce'!$B79&lt;&gt;"",COUNTIF('Daily Schedule'!$F$5:$F38,'Daily Workforce'!$B79)=0,IF('Daily Schedule'!$A39=45,'Daily Workforce'!$J79="Y",IF(OR('Daily Schedule'!$A39=4,'Daily Schedule'!$A39=8),IF(OR(WEEKDAY('Daily Schedule'!$B$2,2)=1,WEEKDAY('Daily Schedule'!$B$2,2)=4,WEEKDAY('Daily Schedule'!$B$2,2)=5,WEEKDAY('Daily Schedule'!$B$2,2)=7),IFERROR(1*'Daily Workforce'!$K79&gt;=3,FALSE()),IFERROR(1*'Daily Workforce'!$K79&gt;=2,FALSE())),IF(AND('Daily Schedule'!$A39&gt;=46,'Daily Schedule'!$A39&lt;=52),'Daily Workforce'!$M79="Y",IFERROR(1*'Daily Workforce'!$P79&gt;=2,FALSE()))))),1,0)</f>
        <v>1</v>
      </c>
      <c r="CM35" s="1" t="n">
        <f aca="false">IF(AND('Daily Workforce'!$N80="Y",'Daily Workforce'!$B80&lt;&gt;"",COUNTIF('Daily Schedule'!$F$5:$F38,'Daily Workforce'!$B80)=0,IF('Daily Schedule'!$A39=45,'Daily Workforce'!$J80="Y",IF(OR('Daily Schedule'!$A39=4,'Daily Schedule'!$A39=8),IF(OR(WEEKDAY('Daily Schedule'!$B$2,2)=1,WEEKDAY('Daily Schedule'!$B$2,2)=4,WEEKDAY('Daily Schedule'!$B$2,2)=5,WEEKDAY('Daily Schedule'!$B$2,2)=7),IFERROR(1*'Daily Workforce'!$K80&gt;=3,FALSE()),IFERROR(1*'Daily Workforce'!$K80&gt;=2,FALSE())),IF(AND('Daily Schedule'!$A39&gt;=46,'Daily Schedule'!$A39&lt;=52),'Daily Workforce'!$M80="Y",IFERROR(1*'Daily Workforce'!$P80&gt;=2,FALSE()))))),1,0)</f>
        <v>1</v>
      </c>
      <c r="CN35" s="1" t="n">
        <f aca="false">IF(AND('Daily Workforce'!$N81="Y",'Daily Workforce'!$B81&lt;&gt;"",COUNTIF('Daily Schedule'!$F$5:$F38,'Daily Workforce'!$B81)=0,IF('Daily Schedule'!$A39=45,'Daily Workforce'!$J81="Y",IF(OR('Daily Schedule'!$A39=4,'Daily Schedule'!$A39=8),IF(OR(WEEKDAY('Daily Schedule'!$B$2,2)=1,WEEKDAY('Daily Schedule'!$B$2,2)=4,WEEKDAY('Daily Schedule'!$B$2,2)=5,WEEKDAY('Daily Schedule'!$B$2,2)=7),IFERROR(1*'Daily Workforce'!$K81&gt;=3,FALSE()),IFERROR(1*'Daily Workforce'!$K81&gt;=2,FALSE())),IF(AND('Daily Schedule'!$A39&gt;=46,'Daily Schedule'!$A39&lt;=52),'Daily Workforce'!$M81="Y",IFERROR(1*'Daily Workforce'!$P81&gt;=2,FALSE()))))),1,0)</f>
        <v>1</v>
      </c>
      <c r="CO35" s="1" t="n">
        <f aca="false">IF(AND('Daily Workforce'!$N82="Y",'Daily Workforce'!$B82&lt;&gt;"",COUNTIF('Daily Schedule'!$F$5:$F38,'Daily Workforce'!$B82)=0,IF('Daily Schedule'!$A39=45,'Daily Workforce'!$J82="Y",IF(OR('Daily Schedule'!$A39=4,'Daily Schedule'!$A39=8),IF(OR(WEEKDAY('Daily Schedule'!$B$2,2)=1,WEEKDAY('Daily Schedule'!$B$2,2)=4,WEEKDAY('Daily Schedule'!$B$2,2)=5,WEEKDAY('Daily Schedule'!$B$2,2)=7),IFERROR(1*'Daily Workforce'!$K82&gt;=3,FALSE()),IFERROR(1*'Daily Workforce'!$K82&gt;=2,FALSE())),IF(AND('Daily Schedule'!$A39&gt;=46,'Daily Schedule'!$A39&lt;=52),'Daily Workforce'!$M82="Y",IFERROR(1*'Daily Workforce'!$P82&gt;=2,FALSE()))))),1,0)</f>
        <v>1</v>
      </c>
      <c r="CP35" s="1" t="n">
        <f aca="false">IF(AND('Daily Workforce'!$N83="Y",'Daily Workforce'!$B83&lt;&gt;"",COUNTIF('Daily Schedule'!$F$5:$F38,'Daily Workforce'!$B83)=0,IF('Daily Schedule'!$A39=45,'Daily Workforce'!$J83="Y",IF(OR('Daily Schedule'!$A39=4,'Daily Schedule'!$A39=8),IF(OR(WEEKDAY('Daily Schedule'!$B$2,2)=1,WEEKDAY('Daily Schedule'!$B$2,2)=4,WEEKDAY('Daily Schedule'!$B$2,2)=5,WEEKDAY('Daily Schedule'!$B$2,2)=7),IFERROR(1*'Daily Workforce'!$K83&gt;=3,FALSE()),IFERROR(1*'Daily Workforce'!$K83&gt;=2,FALSE())),IF(AND('Daily Schedule'!$A39&gt;=46,'Daily Schedule'!$A39&lt;=52),'Daily Workforce'!$M83="Y",IFERROR(1*'Daily Workforce'!$P83&gt;=2,FALSE()))))),1,0)</f>
        <v>0</v>
      </c>
      <c r="CQ35" s="1" t="n">
        <f aca="false">IF(AND('Daily Workforce'!$N84="Y",'Daily Workforce'!$B84&lt;&gt;"",COUNTIF('Daily Schedule'!$F$5:$F38,'Daily Workforce'!$B84)=0,IF('Daily Schedule'!$A39=45,'Daily Workforce'!$J84="Y",IF(OR('Daily Schedule'!$A39=4,'Daily Schedule'!$A39=8),IF(OR(WEEKDAY('Daily Schedule'!$B$2,2)=1,WEEKDAY('Daily Schedule'!$B$2,2)=4,WEEKDAY('Daily Schedule'!$B$2,2)=5,WEEKDAY('Daily Schedule'!$B$2,2)=7),IFERROR(1*'Daily Workforce'!$K84&gt;=3,FALSE()),IFERROR(1*'Daily Workforce'!$K84&gt;=2,FALSE())),IF(AND('Daily Schedule'!$A39&gt;=46,'Daily Schedule'!$A39&lt;=52),'Daily Workforce'!$M84="Y",IFERROR(1*'Daily Workforce'!$P84&gt;=2,FALSE()))))),1,0)</f>
        <v>1</v>
      </c>
      <c r="CR35" s="1" t="n">
        <f aca="false">IF(AND('Daily Workforce'!$N85="Y",'Daily Workforce'!$B85&lt;&gt;"",COUNTIF('Daily Schedule'!$F$5:$F38,'Daily Workforce'!$B85)=0,IF('Daily Schedule'!$A39=45,'Daily Workforce'!$J85="Y",IF(OR('Daily Schedule'!$A39=4,'Daily Schedule'!$A39=8),IF(OR(WEEKDAY('Daily Schedule'!$B$2,2)=1,WEEKDAY('Daily Schedule'!$B$2,2)=4,WEEKDAY('Daily Schedule'!$B$2,2)=5,WEEKDAY('Daily Schedule'!$B$2,2)=7),IFERROR(1*'Daily Workforce'!$K85&gt;=3,FALSE()),IFERROR(1*'Daily Workforce'!$K85&gt;=2,FALSE())),IF(AND('Daily Schedule'!$A39&gt;=46,'Daily Schedule'!$A39&lt;=52),'Daily Workforce'!$M85="Y",IFERROR(1*'Daily Workforce'!$P85&gt;=2,FALSE()))))),1,0)</f>
        <v>0</v>
      </c>
      <c r="CS35" s="1" t="n">
        <f aca="false">IF(AND('Daily Workforce'!$N86="Y",'Daily Workforce'!$B86&lt;&gt;"",COUNTIF('Daily Schedule'!$F$5:$F38,'Daily Workforce'!$B86)=0,IF('Daily Schedule'!$A39=45,'Daily Workforce'!$J86="Y",IF(OR('Daily Schedule'!$A39=4,'Daily Schedule'!$A39=8),IF(OR(WEEKDAY('Daily Schedule'!$B$2,2)=1,WEEKDAY('Daily Schedule'!$B$2,2)=4,WEEKDAY('Daily Schedule'!$B$2,2)=5,WEEKDAY('Daily Schedule'!$B$2,2)=7),IFERROR(1*'Daily Workforce'!$K86&gt;=3,FALSE()),IFERROR(1*'Daily Workforce'!$K86&gt;=2,FALSE())),IF(AND('Daily Schedule'!$A39&gt;=46,'Daily Schedule'!$A39&lt;=52),'Daily Workforce'!$M86="Y",IFERROR(1*'Daily Workforce'!$P86&gt;=2,FALSE()))))),1,0)</f>
        <v>1</v>
      </c>
      <c r="CT35" s="1" t="n">
        <f aca="false">IF(AND('Daily Workforce'!$N87="Y",'Daily Workforce'!$B87&lt;&gt;"",COUNTIF('Daily Schedule'!$F$5:$F38,'Daily Workforce'!$B87)=0,IF('Daily Schedule'!$A39=45,'Daily Workforce'!$J87="Y",IF(OR('Daily Schedule'!$A39=4,'Daily Schedule'!$A39=8),IF(OR(WEEKDAY('Daily Schedule'!$B$2,2)=1,WEEKDAY('Daily Schedule'!$B$2,2)=4,WEEKDAY('Daily Schedule'!$B$2,2)=5,WEEKDAY('Daily Schedule'!$B$2,2)=7),IFERROR(1*'Daily Workforce'!$K87&gt;=3,FALSE()),IFERROR(1*'Daily Workforce'!$K87&gt;=2,FALSE())),IF(AND('Daily Schedule'!$A39&gt;=46,'Daily Schedule'!$A39&lt;=52),'Daily Workforce'!$M87="Y",IFERROR(1*'Daily Workforce'!$P87&gt;=2,FALSE()))))),1,0)</f>
        <v>1</v>
      </c>
      <c r="CU35" s="1" t="n">
        <f aca="false">IF(AND('Daily Workforce'!$N88="Y",'Daily Workforce'!$B88&lt;&gt;"",COUNTIF('Daily Schedule'!$F$5:$F38,'Daily Workforce'!$B88)=0,IF('Daily Schedule'!$A39=45,'Daily Workforce'!$J88="Y",IF(OR('Daily Schedule'!$A39=4,'Daily Schedule'!$A39=8),IF(OR(WEEKDAY('Daily Schedule'!$B$2,2)=1,WEEKDAY('Daily Schedule'!$B$2,2)=4,WEEKDAY('Daily Schedule'!$B$2,2)=5,WEEKDAY('Daily Schedule'!$B$2,2)=7),IFERROR(1*'Daily Workforce'!$K88&gt;=3,FALSE()),IFERROR(1*'Daily Workforce'!$K88&gt;=2,FALSE())),IF(AND('Daily Schedule'!$A39&gt;=46,'Daily Schedule'!$A39&lt;=52),'Daily Workforce'!$M88="Y",IFERROR(1*'Daily Workforce'!$P88&gt;=2,FALSE()))))),1,0)</f>
        <v>1</v>
      </c>
      <c r="CV35" s="1" t="n">
        <f aca="false">IF(AND('Daily Workforce'!$N89="Y",'Daily Workforce'!$B89&lt;&gt;"",COUNTIF('Daily Schedule'!$F$5:$F38,'Daily Workforce'!$B89)=0,IF('Daily Schedule'!$A39=45,'Daily Workforce'!$J89="Y",IF(OR('Daily Schedule'!$A39=4,'Daily Schedule'!$A39=8),IF(OR(WEEKDAY('Daily Schedule'!$B$2,2)=1,WEEKDAY('Daily Schedule'!$B$2,2)=4,WEEKDAY('Daily Schedule'!$B$2,2)=5,WEEKDAY('Daily Schedule'!$B$2,2)=7),IFERROR(1*'Daily Workforce'!$K89&gt;=3,FALSE()),IFERROR(1*'Daily Workforce'!$K89&gt;=2,FALSE())),IF(AND('Daily Schedule'!$A39&gt;=46,'Daily Schedule'!$A39&lt;=52),'Daily Workforce'!$M89="Y",IFERROR(1*'Daily Workforce'!$P89&gt;=2,FALSE()))))),1,0)</f>
        <v>1</v>
      </c>
      <c r="CW35" s="1" t="n">
        <f aca="false">IF(AND('Daily Workforce'!$N90="Y",'Daily Workforce'!$B90&lt;&gt;"",COUNTIF('Daily Schedule'!$F$5:$F38,'Daily Workforce'!$B90)=0,IF('Daily Schedule'!$A39=45,'Daily Workforce'!$J90="Y",IF(OR('Daily Schedule'!$A39=4,'Daily Schedule'!$A39=8),IF(OR(WEEKDAY('Daily Schedule'!$B$2,2)=1,WEEKDAY('Daily Schedule'!$B$2,2)=4,WEEKDAY('Daily Schedule'!$B$2,2)=5,WEEKDAY('Daily Schedule'!$B$2,2)=7),IFERROR(1*'Daily Workforce'!$K90&gt;=3,FALSE()),IFERROR(1*'Daily Workforce'!$K90&gt;=2,FALSE())),IF(AND('Daily Schedule'!$A39&gt;=46,'Daily Schedule'!$A39&lt;=52),'Daily Workforce'!$M90="Y",IFERROR(1*'Daily Workforce'!$P90&gt;=2,FALSE()))))),1,0)</f>
        <v>1</v>
      </c>
      <c r="CX35" s="1" t="n">
        <f aca="false">IF(AND('Daily Workforce'!$N91="Y",'Daily Workforce'!$B91&lt;&gt;"",COUNTIF('Daily Schedule'!$F$5:$F38,'Daily Workforce'!$B91)=0,IF('Daily Schedule'!$A39=45,'Daily Workforce'!$J91="Y",IF(OR('Daily Schedule'!$A39=4,'Daily Schedule'!$A39=8),IF(OR(WEEKDAY('Daily Schedule'!$B$2,2)=1,WEEKDAY('Daily Schedule'!$B$2,2)=4,WEEKDAY('Daily Schedule'!$B$2,2)=5,WEEKDAY('Daily Schedule'!$B$2,2)=7),IFERROR(1*'Daily Workforce'!$K91&gt;=3,FALSE()),IFERROR(1*'Daily Workforce'!$K91&gt;=2,FALSE())),IF(AND('Daily Schedule'!$A39&gt;=46,'Daily Schedule'!$A39&lt;=52),'Daily Workforce'!$M91="Y",IFERROR(1*'Daily Workforce'!$P91&gt;=2,FALSE()))))),1,0)</f>
        <v>1</v>
      </c>
      <c r="CY35" s="1" t="n">
        <f aca="false">IF(AND('Daily Workforce'!$N92="Y",'Daily Workforce'!$B92&lt;&gt;"",COUNTIF('Daily Schedule'!$F$5:$F38,'Daily Workforce'!$B92)=0,IF('Daily Schedule'!$A39=45,'Daily Workforce'!$J92="Y",IF(OR('Daily Schedule'!$A39=4,'Daily Schedule'!$A39=8),IF(OR(WEEKDAY('Daily Schedule'!$B$2,2)=1,WEEKDAY('Daily Schedule'!$B$2,2)=4,WEEKDAY('Daily Schedule'!$B$2,2)=5,WEEKDAY('Daily Schedule'!$B$2,2)=7),IFERROR(1*'Daily Workforce'!$K92&gt;=3,FALSE()),IFERROR(1*'Daily Workforce'!$K92&gt;=2,FALSE())),IF(AND('Daily Schedule'!$A39&gt;=46,'Daily Schedule'!$A39&lt;=52),'Daily Workforce'!$M92="Y",IFERROR(1*'Daily Workforce'!$P92&gt;=2,FALSE()))))),1,0)</f>
        <v>1</v>
      </c>
      <c r="CZ35" s="1" t="n">
        <f aca="false">IF(AND('Daily Workforce'!$N93="Y",'Daily Workforce'!$B93&lt;&gt;"",COUNTIF('Daily Schedule'!$F$5:$F38,'Daily Workforce'!$B93)=0,IF('Daily Schedule'!$A39=45,'Daily Workforce'!$J93="Y",IF(OR('Daily Schedule'!$A39=4,'Daily Schedule'!$A39=8),IF(OR(WEEKDAY('Daily Schedule'!$B$2,2)=1,WEEKDAY('Daily Schedule'!$B$2,2)=4,WEEKDAY('Daily Schedule'!$B$2,2)=5,WEEKDAY('Daily Schedule'!$B$2,2)=7),IFERROR(1*'Daily Workforce'!$K93&gt;=3,FALSE()),IFERROR(1*'Daily Workforce'!$K93&gt;=2,FALSE())),IF(AND('Daily Schedule'!$A39&gt;=46,'Daily Schedule'!$A39&lt;=52),'Daily Workforce'!$M93="Y",IFERROR(1*'Daily Workforce'!$P93&gt;=2,FALSE()))))),1,0)</f>
        <v>1</v>
      </c>
      <c r="DA35" s="1" t="n">
        <f aca="false">IF(AND('Daily Workforce'!$N94="Y",'Daily Workforce'!$B94&lt;&gt;"",COUNTIF('Daily Schedule'!$F$5:$F38,'Daily Workforce'!$B94)=0,IF('Daily Schedule'!$A39=45,'Daily Workforce'!$J94="Y",IF(OR('Daily Schedule'!$A39=4,'Daily Schedule'!$A39=8),IF(OR(WEEKDAY('Daily Schedule'!$B$2,2)=1,WEEKDAY('Daily Schedule'!$B$2,2)=4,WEEKDAY('Daily Schedule'!$B$2,2)=5,WEEKDAY('Daily Schedule'!$B$2,2)=7),IFERROR(1*'Daily Workforce'!$K94&gt;=3,FALSE()),IFERROR(1*'Daily Workforce'!$K94&gt;=2,FALSE())),IF(AND('Daily Schedule'!$A39&gt;=46,'Daily Schedule'!$A39&lt;=52),'Daily Workforce'!$M94="Y",IFERROR(1*'Daily Workforce'!$P94&gt;=2,FALSE()))))),1,0)</f>
        <v>1</v>
      </c>
      <c r="DB35" s="1" t="n">
        <f aca="false">IF(AND('Daily Workforce'!$N95="Y",'Daily Workforce'!$B95&lt;&gt;"",COUNTIF('Daily Schedule'!$F$5:$F38,'Daily Workforce'!$B95)=0,IF('Daily Schedule'!$A39=45,'Daily Workforce'!$J95="Y",IF(OR('Daily Schedule'!$A39=4,'Daily Schedule'!$A39=8),IF(OR(WEEKDAY('Daily Schedule'!$B$2,2)=1,WEEKDAY('Daily Schedule'!$B$2,2)=4,WEEKDAY('Daily Schedule'!$B$2,2)=5,WEEKDAY('Daily Schedule'!$B$2,2)=7),IFERROR(1*'Daily Workforce'!$K95&gt;=3,FALSE()),IFERROR(1*'Daily Workforce'!$K95&gt;=2,FALSE())),IF(AND('Daily Schedule'!$A39&gt;=46,'Daily Schedule'!$A39&lt;=52),'Daily Workforce'!$M95="Y",IFERROR(1*'Daily Workforce'!$P95&gt;=2,FALSE()))))),1,0)</f>
        <v>1</v>
      </c>
      <c r="DC35" s="1" t="n">
        <f aca="false">IF(AND('Daily Workforce'!$N96="Y",'Daily Workforce'!$B96&lt;&gt;"",COUNTIF('Daily Schedule'!$F$5:$F38,'Daily Workforce'!$B96)=0,IF('Daily Schedule'!$A39=45,'Daily Workforce'!$J96="Y",IF(OR('Daily Schedule'!$A39=4,'Daily Schedule'!$A39=8),IF(OR(WEEKDAY('Daily Schedule'!$B$2,2)=1,WEEKDAY('Daily Schedule'!$B$2,2)=4,WEEKDAY('Daily Schedule'!$B$2,2)=5,WEEKDAY('Daily Schedule'!$B$2,2)=7),IFERROR(1*'Daily Workforce'!$K96&gt;=3,FALSE()),IFERROR(1*'Daily Workforce'!$K96&gt;=2,FALSE())),IF(AND('Daily Schedule'!$A39&gt;=46,'Daily Schedule'!$A39&lt;=52),'Daily Workforce'!$M96="Y",IFERROR(1*'Daily Workforce'!$P96&gt;=2,FALSE()))))),1,0)</f>
        <v>1</v>
      </c>
      <c r="DD35" s="1" t="n">
        <f aca="false">IF(AND('Daily Workforce'!$N97="Y",'Daily Workforce'!$B97&lt;&gt;"",COUNTIF('Daily Schedule'!$F$5:$F38,'Daily Workforce'!$B97)=0,IF('Daily Schedule'!$A39=45,'Daily Workforce'!$J97="Y",IF(OR('Daily Schedule'!$A39=4,'Daily Schedule'!$A39=8),IF(OR(WEEKDAY('Daily Schedule'!$B$2,2)=1,WEEKDAY('Daily Schedule'!$B$2,2)=4,WEEKDAY('Daily Schedule'!$B$2,2)=5,WEEKDAY('Daily Schedule'!$B$2,2)=7),IFERROR(1*'Daily Workforce'!$K97&gt;=3,FALSE()),IFERROR(1*'Daily Workforce'!$K97&gt;=2,FALSE())),IF(AND('Daily Schedule'!$A39&gt;=46,'Daily Schedule'!$A39&lt;=52),'Daily Workforce'!$M97="Y",IFERROR(1*'Daily Workforce'!$P97&gt;=2,FALSE()))))),1,0)</f>
        <v>1</v>
      </c>
      <c r="DE35" s="1" t="n">
        <f aca="false">IF(AND('Daily Workforce'!$N98="Y",'Daily Workforce'!$B98&lt;&gt;"",COUNTIF('Daily Schedule'!$F$5:$F38,'Daily Workforce'!$B98)=0,IF('Daily Schedule'!$A39=45,'Daily Workforce'!$J98="Y",IF(OR('Daily Schedule'!$A39=4,'Daily Schedule'!$A39=8),IF(OR(WEEKDAY('Daily Schedule'!$B$2,2)=1,WEEKDAY('Daily Schedule'!$B$2,2)=4,WEEKDAY('Daily Schedule'!$B$2,2)=5,WEEKDAY('Daily Schedule'!$B$2,2)=7),IFERROR(1*'Daily Workforce'!$K98&gt;=3,FALSE()),IFERROR(1*'Daily Workforce'!$K98&gt;=2,FALSE())),IF(AND('Daily Schedule'!$A39&gt;=46,'Daily Schedule'!$A39&lt;=52),'Daily Workforce'!$M98="Y",IFERROR(1*'Daily Workforce'!$P98&gt;=2,FALSE()))))),1,0)</f>
        <v>1</v>
      </c>
      <c r="DF35" s="1" t="n">
        <f aca="false">IF(AND('Daily Workforce'!$N99="Y",'Daily Workforce'!$B99&lt;&gt;"",COUNTIF('Daily Schedule'!$F$5:$F38,'Daily Workforce'!$B99)=0,IF('Daily Schedule'!$A39=45,'Daily Workforce'!$J99="Y",IF(OR('Daily Schedule'!$A39=4,'Daily Schedule'!$A39=8),IF(OR(WEEKDAY('Daily Schedule'!$B$2,2)=1,WEEKDAY('Daily Schedule'!$B$2,2)=4,WEEKDAY('Daily Schedule'!$B$2,2)=5,WEEKDAY('Daily Schedule'!$B$2,2)=7),IFERROR(1*'Daily Workforce'!$K99&gt;=3,FALSE()),IFERROR(1*'Daily Workforce'!$K99&gt;=2,FALSE())),IF(AND('Daily Schedule'!$A39&gt;=46,'Daily Schedule'!$A39&lt;=52),'Daily Workforce'!$M99="Y",IFERROR(1*'Daily Workforce'!$P99&gt;=2,FALSE()))))),1,0)</f>
        <v>1</v>
      </c>
      <c r="DG35" s="1" t="n">
        <f aca="false">IF(AND('Daily Workforce'!$N100="Y",'Daily Workforce'!$B100&lt;&gt;"",COUNTIF('Daily Schedule'!$F$5:$F38,'Daily Workforce'!$B100)=0,IF('Daily Schedule'!$A39=45,'Daily Workforce'!$J100="Y",IF(OR('Daily Schedule'!$A39=4,'Daily Schedule'!$A39=8),IF(OR(WEEKDAY('Daily Schedule'!$B$2,2)=1,WEEKDAY('Daily Schedule'!$B$2,2)=4,WEEKDAY('Daily Schedule'!$B$2,2)=5,WEEKDAY('Daily Schedule'!$B$2,2)=7),IFERROR(1*'Daily Workforce'!$K100&gt;=3,FALSE()),IFERROR(1*'Daily Workforce'!$K100&gt;=2,FALSE())),IF(AND('Daily Schedule'!$A39&gt;=46,'Daily Schedule'!$A39&lt;=52),'Daily Workforce'!$M100="Y",IFERROR(1*'Daily Workforce'!$P100&gt;=2,FALSE()))))),1,0)</f>
        <v>1</v>
      </c>
      <c r="DH35" s="1" t="n">
        <f aca="false">IF(AND('Daily Workforce'!$N101="Y",'Daily Workforce'!$B101&lt;&gt;"",COUNTIF('Daily Schedule'!$F$5:$F38,'Daily Workforce'!$B101)=0,IF('Daily Schedule'!$A39=45,'Daily Workforce'!$J101="Y",IF(OR('Daily Schedule'!$A39=4,'Daily Schedule'!$A39=8),IF(OR(WEEKDAY('Daily Schedule'!$B$2,2)=1,WEEKDAY('Daily Schedule'!$B$2,2)=4,WEEKDAY('Daily Schedule'!$B$2,2)=5,WEEKDAY('Daily Schedule'!$B$2,2)=7),IFERROR(1*'Daily Workforce'!$K101&gt;=3,FALSE()),IFERROR(1*'Daily Workforce'!$K101&gt;=2,FALSE())),IF(AND('Daily Schedule'!$A39&gt;=46,'Daily Schedule'!$A39&lt;=52),'Daily Workforce'!$M101="Y",IFERROR(1*'Daily Workforce'!$P101&gt;=2,FALSE()))))),1,0)</f>
        <v>1</v>
      </c>
      <c r="DI35" s="1" t="n">
        <f aca="false">IF(AND('Daily Workforce'!$N102="Y",'Daily Workforce'!$B102&lt;&gt;"",COUNTIF('Daily Schedule'!$F$5:$F38,'Daily Workforce'!$B102)=0,IF('Daily Schedule'!$A39=45,'Daily Workforce'!$J102="Y",IF(OR('Daily Schedule'!$A39=4,'Daily Schedule'!$A39=8),IF(OR(WEEKDAY('Daily Schedule'!$B$2,2)=1,WEEKDAY('Daily Schedule'!$B$2,2)=4,WEEKDAY('Daily Schedule'!$B$2,2)=5,WEEKDAY('Daily Schedule'!$B$2,2)=7),IFERROR(1*'Daily Workforce'!$K102&gt;=3,FALSE()),IFERROR(1*'Daily Workforce'!$K102&gt;=2,FALSE())),IF(AND('Daily Schedule'!$A39&gt;=46,'Daily Schedule'!$A39&lt;=52),'Daily Workforce'!$M102="Y",IFERROR(1*'Daily Workforce'!$P102&gt;=2,FALSE()))))),1,0)</f>
        <v>1</v>
      </c>
      <c r="DJ35" s="1" t="n">
        <f aca="false">IF(AND('Daily Workforce'!$N103="Y",'Daily Workforce'!$B103&lt;&gt;"",COUNTIF('Daily Schedule'!$F$5:$F38,'Daily Workforce'!$B103)=0,IF('Daily Schedule'!$A39=45,'Daily Workforce'!$J103="Y",IF(OR('Daily Schedule'!$A39=4,'Daily Schedule'!$A39=8),IF(OR(WEEKDAY('Daily Schedule'!$B$2,2)=1,WEEKDAY('Daily Schedule'!$B$2,2)=4,WEEKDAY('Daily Schedule'!$B$2,2)=5,WEEKDAY('Daily Schedule'!$B$2,2)=7),IFERROR(1*'Daily Workforce'!$K103&gt;=3,FALSE()),IFERROR(1*'Daily Workforce'!$K103&gt;=2,FALSE())),IF(AND('Daily Schedule'!$A39&gt;=46,'Daily Schedule'!$A39&lt;=52),'Daily Workforce'!$M103="Y",IFERROR(1*'Daily Workforce'!$P103&gt;=2,FALSE()))))),1,0)</f>
        <v>1</v>
      </c>
      <c r="DK35" s="1" t="n">
        <f aca="false">IF(AND('Daily Workforce'!$N104="Y",'Daily Workforce'!$B104&lt;&gt;"",COUNTIF('Daily Schedule'!$F$5:$F38,'Daily Workforce'!$B104)=0,IF('Daily Schedule'!$A39=45,'Daily Workforce'!$J104="Y",IF(OR('Daily Schedule'!$A39=4,'Daily Schedule'!$A39=8),IF(OR(WEEKDAY('Daily Schedule'!$B$2,2)=1,WEEKDAY('Daily Schedule'!$B$2,2)=4,WEEKDAY('Daily Schedule'!$B$2,2)=5,WEEKDAY('Daily Schedule'!$B$2,2)=7),IFERROR(1*'Daily Workforce'!$K104&gt;=3,FALSE()),IFERROR(1*'Daily Workforce'!$K104&gt;=2,FALSE())),IF(AND('Daily Schedule'!$A39&gt;=46,'Daily Schedule'!$A39&lt;=52),'Daily Workforce'!$M104="Y",IFERROR(1*'Daily Workforce'!$P104&gt;=2,FALSE()))))),1,0)</f>
        <v>1</v>
      </c>
      <c r="DL35" s="1" t="n">
        <f aca="false">IF(AND('Daily Workforce'!$N105="Y",'Daily Workforce'!$B105&lt;&gt;"",COUNTIF('Daily Schedule'!$F$5:$F38,'Daily Workforce'!$B105)=0,IF('Daily Schedule'!$A39=45,'Daily Workforce'!$J105="Y",IF(OR('Daily Schedule'!$A39=4,'Daily Schedule'!$A39=8),IF(OR(WEEKDAY('Daily Schedule'!$B$2,2)=1,WEEKDAY('Daily Schedule'!$B$2,2)=4,WEEKDAY('Daily Schedule'!$B$2,2)=5,WEEKDAY('Daily Schedule'!$B$2,2)=7),IFERROR(1*'Daily Workforce'!$K105&gt;=3,FALSE()),IFERROR(1*'Daily Workforce'!$K105&gt;=2,FALSE())),IF(AND('Daily Schedule'!$A39&gt;=46,'Daily Schedule'!$A39&lt;=52),'Daily Workforce'!$M105="Y",IFERROR(1*'Daily Workforce'!$P105&gt;=2,FALSE()))))),1,0)</f>
        <v>0</v>
      </c>
      <c r="DM35" s="1" t="n">
        <f aca="false">IF(AND('Daily Workforce'!$N106="Y",'Daily Workforce'!$B106&lt;&gt;"",COUNTIF('Daily Schedule'!$F$5:$F38,'Daily Workforce'!$B106)=0,IF('Daily Schedule'!$A39=45,'Daily Workforce'!$J106="Y",IF(OR('Daily Schedule'!$A39=4,'Daily Schedule'!$A39=8),IF(OR(WEEKDAY('Daily Schedule'!$B$2,2)=1,WEEKDAY('Daily Schedule'!$B$2,2)=4,WEEKDAY('Daily Schedule'!$B$2,2)=5,WEEKDAY('Daily Schedule'!$B$2,2)=7),IFERROR(1*'Daily Workforce'!$K106&gt;=3,FALSE()),IFERROR(1*'Daily Workforce'!$K106&gt;=2,FALSE())),IF(AND('Daily Schedule'!$A39&gt;=46,'Daily Schedule'!$A39&lt;=52),'Daily Workforce'!$M106="Y",IFERROR(1*'Daily Workforce'!$P106&gt;=2,FALSE()))))),1,0)</f>
        <v>1</v>
      </c>
      <c r="DN35" s="1" t="n">
        <f aca="false">IF(AND('Daily Workforce'!$N107="Y",'Daily Workforce'!$B107&lt;&gt;"",COUNTIF('Daily Schedule'!$F$5:$F38,'Daily Workforce'!$B107)=0,IF('Daily Schedule'!$A39=45,'Daily Workforce'!$J107="Y",IF(OR('Daily Schedule'!$A39=4,'Daily Schedule'!$A39=8),IF(OR(WEEKDAY('Daily Schedule'!$B$2,2)=1,WEEKDAY('Daily Schedule'!$B$2,2)=4,WEEKDAY('Daily Schedule'!$B$2,2)=5,WEEKDAY('Daily Schedule'!$B$2,2)=7),IFERROR(1*'Daily Workforce'!$K107&gt;=3,FALSE()),IFERROR(1*'Daily Workforce'!$K107&gt;=2,FALSE())),IF(AND('Daily Schedule'!$A39&gt;=46,'Daily Schedule'!$A39&lt;=52),'Daily Workforce'!$M107="Y",IFERROR(1*'Daily Workforce'!$P107&gt;=2,FALSE()))))),1,0)</f>
        <v>1</v>
      </c>
      <c r="DO35" s="1" t="n">
        <f aca="false">IF(AND('Daily Workforce'!$N108="Y",'Daily Workforce'!$B108&lt;&gt;"",COUNTIF('Daily Schedule'!$F$5:$F38,'Daily Workforce'!$B108)=0,IF('Daily Schedule'!$A39=45,'Daily Workforce'!$J108="Y",IF(OR('Daily Schedule'!$A39=4,'Daily Schedule'!$A39=8),IF(OR(WEEKDAY('Daily Schedule'!$B$2,2)=1,WEEKDAY('Daily Schedule'!$B$2,2)=4,WEEKDAY('Daily Schedule'!$B$2,2)=5,WEEKDAY('Daily Schedule'!$B$2,2)=7),IFERROR(1*'Daily Workforce'!$K108&gt;=3,FALSE()),IFERROR(1*'Daily Workforce'!$K108&gt;=2,FALSE())),IF(AND('Daily Schedule'!$A39&gt;=46,'Daily Schedule'!$A39&lt;=52),'Daily Workforce'!$M108="Y",IFERROR(1*'Daily Workforce'!$P108&gt;=2,FALSE()))))),1,0)</f>
        <v>1</v>
      </c>
      <c r="DP35" s="1" t="n">
        <f aca="false">IF(AND('Daily Workforce'!$N109="Y",'Daily Workforce'!$B109&lt;&gt;"",COUNTIF('Daily Schedule'!$F$5:$F38,'Daily Workforce'!$B109)=0,IF('Daily Schedule'!$A39=45,'Daily Workforce'!$J109="Y",IF(OR('Daily Schedule'!$A39=4,'Daily Schedule'!$A39=8),IF(OR(WEEKDAY('Daily Schedule'!$B$2,2)=1,WEEKDAY('Daily Schedule'!$B$2,2)=4,WEEKDAY('Daily Schedule'!$B$2,2)=5,WEEKDAY('Daily Schedule'!$B$2,2)=7),IFERROR(1*'Daily Workforce'!$K109&gt;=3,FALSE()),IFERROR(1*'Daily Workforce'!$K109&gt;=2,FALSE())),IF(AND('Daily Schedule'!$A39&gt;=46,'Daily Schedule'!$A39&lt;=52),'Daily Workforce'!$M109="Y",IFERROR(1*'Daily Workforce'!$P109&gt;=2,FALSE()))))),1,0)</f>
        <v>1</v>
      </c>
      <c r="DQ35" s="1" t="n">
        <f aca="false">IF(AND('Daily Workforce'!$N110="Y",'Daily Workforce'!$B110&lt;&gt;"",COUNTIF('Daily Schedule'!$F$5:$F38,'Daily Workforce'!$B110)=0,IF('Daily Schedule'!$A39=45,'Daily Workforce'!$J110="Y",IF(OR('Daily Schedule'!$A39=4,'Daily Schedule'!$A39=8),IF(OR(WEEKDAY('Daily Schedule'!$B$2,2)=1,WEEKDAY('Daily Schedule'!$B$2,2)=4,WEEKDAY('Daily Schedule'!$B$2,2)=5,WEEKDAY('Daily Schedule'!$B$2,2)=7),IFERROR(1*'Daily Workforce'!$K110&gt;=3,FALSE()),IFERROR(1*'Daily Workforce'!$K110&gt;=2,FALSE())),IF(AND('Daily Schedule'!$A39&gt;=46,'Daily Schedule'!$A39&lt;=52),'Daily Workforce'!$M110="Y",IFERROR(1*'Daily Workforce'!$P110&gt;=2,FALSE()))))),1,0)</f>
        <v>1</v>
      </c>
      <c r="DR35" s="1" t="n">
        <f aca="false">IF(AND('Daily Workforce'!$N111="Y",'Daily Workforce'!$B111&lt;&gt;"",COUNTIF('Daily Schedule'!$F$5:$F38,'Daily Workforce'!$B111)=0,IF('Daily Schedule'!$A39=45,'Daily Workforce'!$J111="Y",IF(OR('Daily Schedule'!$A39=4,'Daily Schedule'!$A39=8),IF(OR(WEEKDAY('Daily Schedule'!$B$2,2)=1,WEEKDAY('Daily Schedule'!$B$2,2)=4,WEEKDAY('Daily Schedule'!$B$2,2)=5,WEEKDAY('Daily Schedule'!$B$2,2)=7),IFERROR(1*'Daily Workforce'!$K111&gt;=3,FALSE()),IFERROR(1*'Daily Workforce'!$K111&gt;=2,FALSE())),IF(AND('Daily Schedule'!$A39&gt;=46,'Daily Schedule'!$A39&lt;=52),'Daily Workforce'!$M111="Y",IFERROR(1*'Daily Workforce'!$P111&gt;=2,FALSE()))))),1,0)</f>
        <v>1</v>
      </c>
      <c r="DS35" s="1" t="n">
        <f aca="false">IF(AND('Daily Workforce'!$N112="Y",'Daily Workforce'!$B112&lt;&gt;"",COUNTIF('Daily Schedule'!$F$5:$F38,'Daily Workforce'!$B112)=0,IF('Daily Schedule'!$A39=45,'Daily Workforce'!$J112="Y",IF(OR('Daily Schedule'!$A39=4,'Daily Schedule'!$A39=8),IF(OR(WEEKDAY('Daily Schedule'!$B$2,2)=1,WEEKDAY('Daily Schedule'!$B$2,2)=4,WEEKDAY('Daily Schedule'!$B$2,2)=5,WEEKDAY('Daily Schedule'!$B$2,2)=7),IFERROR(1*'Daily Workforce'!$K112&gt;=3,FALSE()),IFERROR(1*'Daily Workforce'!$K112&gt;=2,FALSE())),IF(AND('Daily Schedule'!$A39&gt;=46,'Daily Schedule'!$A39&lt;=52),'Daily Workforce'!$M112="Y",IFERROR(1*'Daily Workforce'!$P112&gt;=2,FALSE()))))),1,0)</f>
        <v>1</v>
      </c>
      <c r="DT35" s="1" t="n">
        <f aca="false">IF(AND('Daily Workforce'!$N113="Y",'Daily Workforce'!$B113&lt;&gt;"",COUNTIF('Daily Schedule'!$F$5:$F38,'Daily Workforce'!$B113)=0,IF('Daily Schedule'!$A39=45,'Daily Workforce'!$J113="Y",IF(OR('Daily Schedule'!$A39=4,'Daily Schedule'!$A39=8),IF(OR(WEEKDAY('Daily Schedule'!$B$2,2)=1,WEEKDAY('Daily Schedule'!$B$2,2)=4,WEEKDAY('Daily Schedule'!$B$2,2)=5,WEEKDAY('Daily Schedule'!$B$2,2)=7),IFERROR(1*'Daily Workforce'!$K113&gt;=3,FALSE()),IFERROR(1*'Daily Workforce'!$K113&gt;=2,FALSE())),IF(AND('Daily Schedule'!$A39&gt;=46,'Daily Schedule'!$A39&lt;=52),'Daily Workforce'!$M113="Y",IFERROR(1*'Daily Workforce'!$P113&gt;=2,FALSE()))))),1,0)</f>
        <v>1</v>
      </c>
      <c r="DU35" s="1" t="n">
        <f aca="false">IF(AND('Daily Workforce'!$N114="Y",'Daily Workforce'!$B114&lt;&gt;"",COUNTIF('Daily Schedule'!$F$5:$F38,'Daily Workforce'!$B114)=0,IF('Daily Schedule'!$A39=45,'Daily Workforce'!$J114="Y",IF(OR('Daily Schedule'!$A39=4,'Daily Schedule'!$A39=8),IF(OR(WEEKDAY('Daily Schedule'!$B$2,2)=1,WEEKDAY('Daily Schedule'!$B$2,2)=4,WEEKDAY('Daily Schedule'!$B$2,2)=5,WEEKDAY('Daily Schedule'!$B$2,2)=7),IFERROR(1*'Daily Workforce'!$K114&gt;=3,FALSE()),IFERROR(1*'Daily Workforce'!$K114&gt;=2,FALSE())),IF(AND('Daily Schedule'!$A39&gt;=46,'Daily Schedule'!$A39&lt;=52),'Daily Workforce'!$M114="Y",IFERROR(1*'Daily Workforce'!$P114&gt;=2,FALSE()))))),1,0)</f>
        <v>1</v>
      </c>
      <c r="DV35" s="1" t="n">
        <f aca="false">IF(AND('Daily Workforce'!$N115="Y",'Daily Workforce'!$B115&lt;&gt;"",COUNTIF('Daily Schedule'!$F$5:$F38,'Daily Workforce'!$B115)=0,IF('Daily Schedule'!$A39=45,'Daily Workforce'!$J115="Y",IF(OR('Daily Schedule'!$A39=4,'Daily Schedule'!$A39=8),IF(OR(WEEKDAY('Daily Schedule'!$B$2,2)=1,WEEKDAY('Daily Schedule'!$B$2,2)=4,WEEKDAY('Daily Schedule'!$B$2,2)=5,WEEKDAY('Daily Schedule'!$B$2,2)=7),IFERROR(1*'Daily Workforce'!$K115&gt;=3,FALSE()),IFERROR(1*'Daily Workforce'!$K115&gt;=2,FALSE())),IF(AND('Daily Schedule'!$A39&gt;=46,'Daily Schedule'!$A39&lt;=52),'Daily Workforce'!$M115="Y",IFERROR(1*'Daily Workforce'!$P115&gt;=2,FALSE()))))),1,0)</f>
        <v>1</v>
      </c>
      <c r="DW35" s="1" t="n">
        <f aca="false">IF(AND('Daily Workforce'!$N116="Y",'Daily Workforce'!$B116&lt;&gt;"",COUNTIF('Daily Schedule'!$F$5:$F38,'Daily Workforce'!$B116)=0,IF('Daily Schedule'!$A39=45,'Daily Workforce'!$J116="Y",IF(OR('Daily Schedule'!$A39=4,'Daily Schedule'!$A39=8),IF(OR(WEEKDAY('Daily Schedule'!$B$2,2)=1,WEEKDAY('Daily Schedule'!$B$2,2)=4,WEEKDAY('Daily Schedule'!$B$2,2)=5,WEEKDAY('Daily Schedule'!$B$2,2)=7),IFERROR(1*'Daily Workforce'!$K116&gt;=3,FALSE()),IFERROR(1*'Daily Workforce'!$K116&gt;=2,FALSE())),IF(AND('Daily Schedule'!$A39&gt;=46,'Daily Schedule'!$A39&lt;=52),'Daily Workforce'!$M116="Y",IFERROR(1*'Daily Workforce'!$P116&gt;=2,FALSE()))))),1,0)</f>
        <v>1</v>
      </c>
      <c r="DX35" s="1" t="n">
        <f aca="false">IF(AND('Daily Workforce'!$N117="Y",'Daily Workforce'!$B117&lt;&gt;"",COUNTIF('Daily Schedule'!$F$5:$F38,'Daily Workforce'!$B117)=0,IF('Daily Schedule'!$A39=45,'Daily Workforce'!$J117="Y",IF(OR('Daily Schedule'!$A39=4,'Daily Schedule'!$A39=8),IF(OR(WEEKDAY('Daily Schedule'!$B$2,2)=1,WEEKDAY('Daily Schedule'!$B$2,2)=4,WEEKDAY('Daily Schedule'!$B$2,2)=5,WEEKDAY('Daily Schedule'!$B$2,2)=7),IFERROR(1*'Daily Workforce'!$K117&gt;=3,FALSE()),IFERROR(1*'Daily Workforce'!$K117&gt;=2,FALSE())),IF(AND('Daily Schedule'!$A39&gt;=46,'Daily Schedule'!$A39&lt;=52),'Daily Workforce'!$M117="Y",IFERROR(1*'Daily Workforce'!$P117&gt;=2,FALSE()))))),1,0)</f>
        <v>1</v>
      </c>
      <c r="DY35" s="1" t="n">
        <f aca="false">IF(AND('Daily Workforce'!$N118="Y",'Daily Workforce'!$B118&lt;&gt;"",COUNTIF('Daily Schedule'!$F$5:$F38,'Daily Workforce'!$B118)=0,IF('Daily Schedule'!$A39=45,'Daily Workforce'!$J118="Y",IF(OR('Daily Schedule'!$A39=4,'Daily Schedule'!$A39=8),IF(OR(WEEKDAY('Daily Schedule'!$B$2,2)=1,WEEKDAY('Daily Schedule'!$B$2,2)=4,WEEKDAY('Daily Schedule'!$B$2,2)=5,WEEKDAY('Daily Schedule'!$B$2,2)=7),IFERROR(1*'Daily Workforce'!$K118&gt;=3,FALSE()),IFERROR(1*'Daily Workforce'!$K118&gt;=2,FALSE())),IF(AND('Daily Schedule'!$A39&gt;=46,'Daily Schedule'!$A39&lt;=52),'Daily Workforce'!$M118="Y",IFERROR(1*'Daily Workforce'!$P118&gt;=2,FALSE()))))),1,0)</f>
        <v>0</v>
      </c>
      <c r="DZ35" s="1" t="n">
        <f aca="false">IF(AND('Daily Workforce'!$N119="Y",'Daily Workforce'!$B119&lt;&gt;"",COUNTIF('Daily Schedule'!$F$5:$F38,'Daily Workforce'!$B119)=0,IF('Daily Schedule'!$A39=45,'Daily Workforce'!$J119="Y",IF(OR('Daily Schedule'!$A39=4,'Daily Schedule'!$A39=8),IF(OR(WEEKDAY('Daily Schedule'!$B$2,2)=1,WEEKDAY('Daily Schedule'!$B$2,2)=4,WEEKDAY('Daily Schedule'!$B$2,2)=5,WEEKDAY('Daily Schedule'!$B$2,2)=7),IFERROR(1*'Daily Workforce'!$K119&gt;=3,FALSE()),IFERROR(1*'Daily Workforce'!$K119&gt;=2,FALSE())),IF(AND('Daily Schedule'!$A39&gt;=46,'Daily Schedule'!$A39&lt;=52),'Daily Workforce'!$M119="Y",IFERROR(1*'Daily Workforce'!$P119&gt;=2,FALSE()))))),1,0)</f>
        <v>0</v>
      </c>
      <c r="EA35" s="1" t="n">
        <f aca="false">IF(AND('Daily Workforce'!$N120="Y",'Daily Workforce'!$B120&lt;&gt;"",COUNTIF('Daily Schedule'!$F$5:$F38,'Daily Workforce'!$B120)=0,IF('Daily Schedule'!$A39=45,'Daily Workforce'!$J120="Y",IF(OR('Daily Schedule'!$A39=4,'Daily Schedule'!$A39=8),IF(OR(WEEKDAY('Daily Schedule'!$B$2,2)=1,WEEKDAY('Daily Schedule'!$B$2,2)=4,WEEKDAY('Daily Schedule'!$B$2,2)=5,WEEKDAY('Daily Schedule'!$B$2,2)=7),IFERROR(1*'Daily Workforce'!$K120&gt;=3,FALSE()),IFERROR(1*'Daily Workforce'!$K120&gt;=2,FALSE())),IF(AND('Daily Schedule'!$A39&gt;=46,'Daily Schedule'!$A39&lt;=52),'Daily Workforce'!$M120="Y",IFERROR(1*'Daily Workforce'!$P120&gt;=2,FALSE()))))),1,0)</f>
        <v>0</v>
      </c>
      <c r="EB35" s="1" t="n">
        <f aca="false">IF(AND('Daily Workforce'!$N121="Y",'Daily Workforce'!$B121&lt;&gt;"",COUNTIF('Daily Schedule'!$F$5:$F38,'Daily Workforce'!$B121)=0,IF('Daily Schedule'!$A39=45,'Daily Workforce'!$J121="Y",IF(OR('Daily Schedule'!$A39=4,'Daily Schedule'!$A39=8),IF(OR(WEEKDAY('Daily Schedule'!$B$2,2)=1,WEEKDAY('Daily Schedule'!$B$2,2)=4,WEEKDAY('Daily Schedule'!$B$2,2)=5,WEEKDAY('Daily Schedule'!$B$2,2)=7),IFERROR(1*'Daily Workforce'!$K121&gt;=3,FALSE()),IFERROR(1*'Daily Workforce'!$K121&gt;=2,FALSE())),IF(AND('Daily Schedule'!$A39&gt;=46,'Daily Schedule'!$A39&lt;=52),'Daily Workforce'!$M121="Y",IFERROR(1*'Daily Workforce'!$P121&gt;=2,FALSE()))))),1,0)</f>
        <v>0</v>
      </c>
      <c r="EC35" s="1" t="n">
        <f aca="false">IF(AND('Daily Workforce'!$N122="Y",'Daily Workforce'!$B122&lt;&gt;"",COUNTIF('Daily Schedule'!$F$5:$F38,'Daily Workforce'!$B122)=0,IF('Daily Schedule'!$A39=45,'Daily Workforce'!$J122="Y",IF(OR('Daily Schedule'!$A39=4,'Daily Schedule'!$A39=8),IF(OR(WEEKDAY('Daily Schedule'!$B$2,2)=1,WEEKDAY('Daily Schedule'!$B$2,2)=4,WEEKDAY('Daily Schedule'!$B$2,2)=5,WEEKDAY('Daily Schedule'!$B$2,2)=7),IFERROR(1*'Daily Workforce'!$K122&gt;=3,FALSE()),IFERROR(1*'Daily Workforce'!$K122&gt;=2,FALSE())),IF(AND('Daily Schedule'!$A39&gt;=46,'Daily Schedule'!$A39&lt;=52),'Daily Workforce'!$M122="Y",IFERROR(1*'Daily Workforce'!$P122&gt;=2,FALSE()))))),1,0)</f>
        <v>0</v>
      </c>
      <c r="ED35" s="1" t="n">
        <f aca="false">IF(AND('Daily Workforce'!$N123="Y",'Daily Workforce'!$B123&lt;&gt;"",COUNTIF('Daily Schedule'!$F$5:$F38,'Daily Workforce'!$B123)=0,IF('Daily Schedule'!$A39=45,'Daily Workforce'!$J123="Y",IF(OR('Daily Schedule'!$A39=4,'Daily Schedule'!$A39=8),IF(OR(WEEKDAY('Daily Schedule'!$B$2,2)=1,WEEKDAY('Daily Schedule'!$B$2,2)=4,WEEKDAY('Daily Schedule'!$B$2,2)=5,WEEKDAY('Daily Schedule'!$B$2,2)=7),IFERROR(1*'Daily Workforce'!$K123&gt;=3,FALSE()),IFERROR(1*'Daily Workforce'!$K123&gt;=2,FALSE())),IF(AND('Daily Schedule'!$A39&gt;=46,'Daily Schedule'!$A39&lt;=52),'Daily Workforce'!$M123="Y",IFERROR(1*'Daily Workforce'!$P123&gt;=2,FALSE()))))),1,0)</f>
        <v>0</v>
      </c>
      <c r="EE35" s="1" t="n">
        <f aca="false">IF(AND('Daily Workforce'!$N124="Y",'Daily Workforce'!$B124&lt;&gt;"",COUNTIF('Daily Schedule'!$F$5:$F38,'Daily Workforce'!$B124)=0,IF('Daily Schedule'!$A39=45,'Daily Workforce'!$J124="Y",IF(OR('Daily Schedule'!$A39=4,'Daily Schedule'!$A39=8),IF(OR(WEEKDAY('Daily Schedule'!$B$2,2)=1,WEEKDAY('Daily Schedule'!$B$2,2)=4,WEEKDAY('Daily Schedule'!$B$2,2)=5,WEEKDAY('Daily Schedule'!$B$2,2)=7),IFERROR(1*'Daily Workforce'!$K124&gt;=3,FALSE()),IFERROR(1*'Daily Workforce'!$K124&gt;=2,FALSE())),IF(AND('Daily Schedule'!$A39&gt;=46,'Daily Schedule'!$A39&lt;=52),'Daily Workforce'!$M124="Y",IFERROR(1*'Daily Workforce'!$P124&gt;=2,FALSE()))))),1,0)</f>
        <v>0</v>
      </c>
      <c r="EF35" s="1" t="n">
        <f aca="false">IF(AND('Daily Workforce'!$N125="Y",'Daily Workforce'!$B125&lt;&gt;"",COUNTIF('Daily Schedule'!$F$5:$F38,'Daily Workforce'!$B125)=0,IF('Daily Schedule'!$A39=45,'Daily Workforce'!$J125="Y",IF(OR('Daily Schedule'!$A39=4,'Daily Schedule'!$A39=8),IF(OR(WEEKDAY('Daily Schedule'!$B$2,2)=1,WEEKDAY('Daily Schedule'!$B$2,2)=4,WEEKDAY('Daily Schedule'!$B$2,2)=5,WEEKDAY('Daily Schedule'!$B$2,2)=7),IFERROR(1*'Daily Workforce'!$K125&gt;=3,FALSE()),IFERROR(1*'Daily Workforce'!$K125&gt;=2,FALSE())),IF(AND('Daily Schedule'!$A39&gt;=46,'Daily Schedule'!$A39&lt;=52),'Daily Workforce'!$M125="Y",IFERROR(1*'Daily Workforce'!$P125&gt;=2,FALSE()))))),1,0)</f>
        <v>0</v>
      </c>
      <c r="EG35" s="1" t="n">
        <f aca="false">IF(AND('Daily Workforce'!$N126="Y",'Daily Workforce'!$B126&lt;&gt;"",COUNTIF('Daily Schedule'!$F$5:$F38,'Daily Workforce'!$B126)=0,IF('Daily Schedule'!$A39=45,'Daily Workforce'!$J126="Y",IF(OR('Daily Schedule'!$A39=4,'Daily Schedule'!$A39=8),IF(OR(WEEKDAY('Daily Schedule'!$B$2,2)=1,WEEKDAY('Daily Schedule'!$B$2,2)=4,WEEKDAY('Daily Schedule'!$B$2,2)=5,WEEKDAY('Daily Schedule'!$B$2,2)=7),IFERROR(1*'Daily Workforce'!$K126&gt;=3,FALSE()),IFERROR(1*'Daily Workforce'!$K126&gt;=2,FALSE())),IF(AND('Daily Schedule'!$A39&gt;=46,'Daily Schedule'!$A39&lt;=52),'Daily Workforce'!$M126="Y",IFERROR(1*'Daily Workforce'!$P126&gt;=2,FALSE()))))),1,0)</f>
        <v>0</v>
      </c>
      <c r="EH35" s="1" t="n">
        <f aca="false">IF(AND('Daily Workforce'!$N127="Y",'Daily Workforce'!$B127&lt;&gt;"",COUNTIF('Daily Schedule'!$F$5:$F38,'Daily Workforce'!$B127)=0,IF('Daily Schedule'!$A39=45,'Daily Workforce'!$J127="Y",IF(OR('Daily Schedule'!$A39=4,'Daily Schedule'!$A39=8),IF(OR(WEEKDAY('Daily Schedule'!$B$2,2)=1,WEEKDAY('Daily Schedule'!$B$2,2)=4,WEEKDAY('Daily Schedule'!$B$2,2)=5,WEEKDAY('Daily Schedule'!$B$2,2)=7),IFERROR(1*'Daily Workforce'!$K127&gt;=3,FALSE()),IFERROR(1*'Daily Workforce'!$K127&gt;=2,FALSE())),IF(AND('Daily Schedule'!$A39&gt;=46,'Daily Schedule'!$A39&lt;=52),'Daily Workforce'!$M127="Y",IFERROR(1*'Daily Workforce'!$P127&gt;=2,FALSE()))))),1,0)</f>
        <v>0</v>
      </c>
      <c r="EI35" s="1" t="n">
        <f aca="false">IF(AND('Daily Workforce'!$N128="Y",'Daily Workforce'!$B128&lt;&gt;"",COUNTIF('Daily Schedule'!$F$5:$F38,'Daily Workforce'!$B128)=0,IF('Daily Schedule'!$A39=45,'Daily Workforce'!$J128="Y",IF(OR('Daily Schedule'!$A39=4,'Daily Schedule'!$A39=8),IF(OR(WEEKDAY('Daily Schedule'!$B$2,2)=1,WEEKDAY('Daily Schedule'!$B$2,2)=4,WEEKDAY('Daily Schedule'!$B$2,2)=5,WEEKDAY('Daily Schedule'!$B$2,2)=7),IFERROR(1*'Daily Workforce'!$K128&gt;=3,FALSE()),IFERROR(1*'Daily Workforce'!$K128&gt;=2,FALSE())),IF(AND('Daily Schedule'!$A39&gt;=46,'Daily Schedule'!$A39&lt;=52),'Daily Workforce'!$M128="Y",IFERROR(1*'Daily Workforce'!$P128&gt;=2,FALSE()))))),1,0)</f>
        <v>0</v>
      </c>
      <c r="EJ35" s="1" t="n">
        <f aca="false">IF(AND('Daily Workforce'!$N129="Y",'Daily Workforce'!$B129&lt;&gt;"",COUNTIF('Daily Schedule'!$F$5:$F38,'Daily Workforce'!$B129)=0,IF('Daily Schedule'!$A39=45,'Daily Workforce'!$J129="Y",IF(OR('Daily Schedule'!$A39=4,'Daily Schedule'!$A39=8),IF(OR(WEEKDAY('Daily Schedule'!$B$2,2)=1,WEEKDAY('Daily Schedule'!$B$2,2)=4,WEEKDAY('Daily Schedule'!$B$2,2)=5,WEEKDAY('Daily Schedule'!$B$2,2)=7),IFERROR(1*'Daily Workforce'!$K129&gt;=3,FALSE()),IFERROR(1*'Daily Workforce'!$K129&gt;=2,FALSE())),IF(AND('Daily Schedule'!$A39&gt;=46,'Daily Schedule'!$A39&lt;=52),'Daily Workforce'!$M129="Y",IFERROR(1*'Daily Workforce'!$P129&gt;=2,FALSE()))))),1,0)</f>
        <v>0</v>
      </c>
      <c r="EK35" s="1" t="n">
        <f aca="false">IF(AND('Daily Workforce'!$N130="Y",'Daily Workforce'!$B130&lt;&gt;"",COUNTIF('Daily Schedule'!$F$5:$F38,'Daily Workforce'!$B130)=0,IF('Daily Schedule'!$A39=45,'Daily Workforce'!$J130="Y",IF(OR('Daily Schedule'!$A39=4,'Daily Schedule'!$A39=8),IF(OR(WEEKDAY('Daily Schedule'!$B$2,2)=1,WEEKDAY('Daily Schedule'!$B$2,2)=4,WEEKDAY('Daily Schedule'!$B$2,2)=5,WEEKDAY('Daily Schedule'!$B$2,2)=7),IFERROR(1*'Daily Workforce'!$K130&gt;=3,FALSE()),IFERROR(1*'Daily Workforce'!$K130&gt;=2,FALSE())),IF(AND('Daily Schedule'!$A39&gt;=46,'Daily Schedule'!$A39&lt;=52),'Daily Workforce'!$M130="Y",IFERROR(1*'Daily Workforce'!$P130&gt;=2,FALSE()))))),1,0)</f>
        <v>0</v>
      </c>
      <c r="EL35" s="1" t="n">
        <f aca="false">IF(AND('Daily Workforce'!$N131="Y",'Daily Workforce'!$B131&lt;&gt;"",COUNTIF('Daily Schedule'!$F$5:$F38,'Daily Workforce'!$B131)=0,IF('Daily Schedule'!$A39=45,'Daily Workforce'!$J131="Y",IF(OR('Daily Schedule'!$A39=4,'Daily Schedule'!$A39=8),IF(OR(WEEKDAY('Daily Schedule'!$B$2,2)=1,WEEKDAY('Daily Schedule'!$B$2,2)=4,WEEKDAY('Daily Schedule'!$B$2,2)=5,WEEKDAY('Daily Schedule'!$B$2,2)=7),IFERROR(1*'Daily Workforce'!$K131&gt;=3,FALSE()),IFERROR(1*'Daily Workforce'!$K131&gt;=2,FALSE())),IF(AND('Daily Schedule'!$A39&gt;=46,'Daily Schedule'!$A39&lt;=52),'Daily Workforce'!$M131="Y",IFERROR(1*'Daily Workforce'!$P131&gt;=2,FALSE()))))),1,0)</f>
        <v>0</v>
      </c>
      <c r="EM35" s="1" t="n">
        <f aca="false">IF(AND('Daily Workforce'!$N132="Y",'Daily Workforce'!$B132&lt;&gt;"",COUNTIF('Daily Schedule'!$F$5:$F38,'Daily Workforce'!$B132)=0,IF('Daily Schedule'!$A39=45,'Daily Workforce'!$J132="Y",IF(OR('Daily Schedule'!$A39=4,'Daily Schedule'!$A39=8),IF(OR(WEEKDAY('Daily Schedule'!$B$2,2)=1,WEEKDAY('Daily Schedule'!$B$2,2)=4,WEEKDAY('Daily Schedule'!$B$2,2)=5,WEEKDAY('Daily Schedule'!$B$2,2)=7),IFERROR(1*'Daily Workforce'!$K132&gt;=3,FALSE()),IFERROR(1*'Daily Workforce'!$K132&gt;=2,FALSE())),IF(AND('Daily Schedule'!$A39&gt;=46,'Daily Schedule'!$A39&lt;=52),'Daily Workforce'!$M132="Y",IFERROR(1*'Daily Workforce'!$P132&gt;=2,FALSE()))))),1,0)</f>
        <v>0</v>
      </c>
      <c r="EN35" s="1" t="n">
        <f aca="false">IF(AND('Daily Workforce'!$N133="Y",'Daily Workforce'!$B133&lt;&gt;"",COUNTIF('Daily Schedule'!$F$5:$F38,'Daily Workforce'!$B133)=0,IF('Daily Schedule'!$A39=45,'Daily Workforce'!$J133="Y",IF(OR('Daily Schedule'!$A39=4,'Daily Schedule'!$A39=8),IF(OR(WEEKDAY('Daily Schedule'!$B$2,2)=1,WEEKDAY('Daily Schedule'!$B$2,2)=4,WEEKDAY('Daily Schedule'!$B$2,2)=5,WEEKDAY('Daily Schedule'!$B$2,2)=7),IFERROR(1*'Daily Workforce'!$K133&gt;=3,FALSE()),IFERROR(1*'Daily Workforce'!$K133&gt;=2,FALSE())),IF(AND('Daily Schedule'!$A39&gt;=46,'Daily Schedule'!$A39&lt;=52),'Daily Workforce'!$M133="Y",IFERROR(1*'Daily Workforce'!$P133&gt;=2,FALSE()))))),1,0)</f>
        <v>0</v>
      </c>
      <c r="EO35" s="1" t="n">
        <f aca="false">IF(AND('Daily Workforce'!$N134="Y",'Daily Workforce'!$B134&lt;&gt;"",COUNTIF('Daily Schedule'!$F$5:$F38,'Daily Workforce'!$B134)=0,IF('Daily Schedule'!$A39=45,'Daily Workforce'!$J134="Y",IF(OR('Daily Schedule'!$A39=4,'Daily Schedule'!$A39=8),IF(OR(WEEKDAY('Daily Schedule'!$B$2,2)=1,WEEKDAY('Daily Schedule'!$B$2,2)=4,WEEKDAY('Daily Schedule'!$B$2,2)=5,WEEKDAY('Daily Schedule'!$B$2,2)=7),IFERROR(1*'Daily Workforce'!$K134&gt;=3,FALSE()),IFERROR(1*'Daily Workforce'!$K134&gt;=2,FALSE())),IF(AND('Daily Schedule'!$A39&gt;=46,'Daily Schedule'!$A39&lt;=52),'Daily Workforce'!$M134="Y",IFERROR(1*'Daily Workforce'!$P134&gt;=2,FALSE()))))),1,0)</f>
        <v>0</v>
      </c>
      <c r="EP35" s="1" t="n">
        <f aca="false">IF(AND('Daily Workforce'!$N135="Y",'Daily Workforce'!$B135&lt;&gt;"",COUNTIF('Daily Schedule'!$F$5:$F38,'Daily Workforce'!$B135)=0,IF('Daily Schedule'!$A39=45,'Daily Workforce'!$J135="Y",IF(OR('Daily Schedule'!$A39=4,'Daily Schedule'!$A39=8),IF(OR(WEEKDAY('Daily Schedule'!$B$2,2)=1,WEEKDAY('Daily Schedule'!$B$2,2)=4,WEEKDAY('Daily Schedule'!$B$2,2)=5,WEEKDAY('Daily Schedule'!$B$2,2)=7),IFERROR(1*'Daily Workforce'!$K135&gt;=3,FALSE()),IFERROR(1*'Daily Workforce'!$K135&gt;=2,FALSE())),IF(AND('Daily Schedule'!$A39&gt;=46,'Daily Schedule'!$A39&lt;=52),'Daily Workforce'!$M135="Y",IFERROR(1*'Daily Workforce'!$P135&gt;=2,FALSE()))))),1,0)</f>
        <v>0</v>
      </c>
      <c r="EQ35" s="1" t="n">
        <f aca="false">IF(AND('Daily Workforce'!$N136="Y",'Daily Workforce'!$B136&lt;&gt;"",COUNTIF('Daily Schedule'!$F$5:$F38,'Daily Workforce'!$B136)=0,IF('Daily Schedule'!$A39=45,'Daily Workforce'!$J136="Y",IF(OR('Daily Schedule'!$A39=4,'Daily Schedule'!$A39=8),IF(OR(WEEKDAY('Daily Schedule'!$B$2,2)=1,WEEKDAY('Daily Schedule'!$B$2,2)=4,WEEKDAY('Daily Schedule'!$B$2,2)=5,WEEKDAY('Daily Schedule'!$B$2,2)=7),IFERROR(1*'Daily Workforce'!$K136&gt;=3,FALSE()),IFERROR(1*'Daily Workforce'!$K136&gt;=2,FALSE())),IF(AND('Daily Schedule'!$A39&gt;=46,'Daily Schedule'!$A39&lt;=52),'Daily Workforce'!$M136="Y",IFERROR(1*'Daily Workforce'!$P136&gt;=2,FALSE()))))),1,0)</f>
        <v>0</v>
      </c>
      <c r="ER35" s="1" t="n">
        <f aca="false">IF(AND('Daily Workforce'!$N137="Y",'Daily Workforce'!$B137&lt;&gt;"",COUNTIF('Daily Schedule'!$F$5:$F38,'Daily Workforce'!$B137)=0,IF('Daily Schedule'!$A39=45,'Daily Workforce'!$J137="Y",IF(OR('Daily Schedule'!$A39=4,'Daily Schedule'!$A39=8),IF(OR(WEEKDAY('Daily Schedule'!$B$2,2)=1,WEEKDAY('Daily Schedule'!$B$2,2)=4,WEEKDAY('Daily Schedule'!$B$2,2)=5,WEEKDAY('Daily Schedule'!$B$2,2)=7),IFERROR(1*'Daily Workforce'!$K137&gt;=3,FALSE()),IFERROR(1*'Daily Workforce'!$K137&gt;=2,FALSE())),IF(AND('Daily Schedule'!$A39&gt;=46,'Daily Schedule'!$A39&lt;=52),'Daily Workforce'!$M137="Y",IFERROR(1*'Daily Workforce'!$P137&gt;=2,FALSE()))))),1,0)</f>
        <v>0</v>
      </c>
      <c r="ES35" s="1" t="n">
        <f aca="false">IF(AND('Daily Workforce'!$N138="Y",'Daily Workforce'!$B138&lt;&gt;"",COUNTIF('Daily Schedule'!$F$5:$F38,'Daily Workforce'!$B138)=0,IF('Daily Schedule'!$A39=45,'Daily Workforce'!$J138="Y",IF(OR('Daily Schedule'!$A39=4,'Daily Schedule'!$A39=8),IF(OR(WEEKDAY('Daily Schedule'!$B$2,2)=1,WEEKDAY('Daily Schedule'!$B$2,2)=4,WEEKDAY('Daily Schedule'!$B$2,2)=5,WEEKDAY('Daily Schedule'!$B$2,2)=7),IFERROR(1*'Daily Workforce'!$K138&gt;=3,FALSE()),IFERROR(1*'Daily Workforce'!$K138&gt;=2,FALSE())),IF(AND('Daily Schedule'!$A39&gt;=46,'Daily Schedule'!$A39&lt;=52),'Daily Workforce'!$M138="Y",IFERROR(1*'Daily Workforce'!$P138&gt;=2,FALSE()))))),1,0)</f>
        <v>0</v>
      </c>
      <c r="ET35" s="1" t="n">
        <f aca="false">IF(AND('Daily Workforce'!$N139="Y",'Daily Workforce'!$B139&lt;&gt;"",COUNTIF('Daily Schedule'!$F$5:$F38,'Daily Workforce'!$B139)=0,IF('Daily Schedule'!$A39=45,'Daily Workforce'!$J139="Y",IF(OR('Daily Schedule'!$A39=4,'Daily Schedule'!$A39=8),IF(OR(WEEKDAY('Daily Schedule'!$B$2,2)=1,WEEKDAY('Daily Schedule'!$B$2,2)=4,WEEKDAY('Daily Schedule'!$B$2,2)=5,WEEKDAY('Daily Schedule'!$B$2,2)=7),IFERROR(1*'Daily Workforce'!$K139&gt;=3,FALSE()),IFERROR(1*'Daily Workforce'!$K139&gt;=2,FALSE())),IF(AND('Daily Schedule'!$A39&gt;=46,'Daily Schedule'!$A39&lt;=52),'Daily Workforce'!$M139="Y",IFERROR(1*'Daily Workforce'!$P139&gt;=2,FALSE()))))),1,0)</f>
        <v>0</v>
      </c>
      <c r="EU35" s="1" t="n">
        <f aca="false">IF(AND('Daily Workforce'!$N140="Y",'Daily Workforce'!$B140&lt;&gt;"",COUNTIF('Daily Schedule'!$F$5:$F38,'Daily Workforce'!$B140)=0,IF('Daily Schedule'!$A39=45,'Daily Workforce'!$J140="Y",IF(OR('Daily Schedule'!$A39=4,'Daily Schedule'!$A39=8),IF(OR(WEEKDAY('Daily Schedule'!$B$2,2)=1,WEEKDAY('Daily Schedule'!$B$2,2)=4,WEEKDAY('Daily Schedule'!$B$2,2)=5,WEEKDAY('Daily Schedule'!$B$2,2)=7),IFERROR(1*'Daily Workforce'!$K140&gt;=3,FALSE()),IFERROR(1*'Daily Workforce'!$K140&gt;=2,FALSE())),IF(AND('Daily Schedule'!$A39&gt;=46,'Daily Schedule'!$A39&lt;=52),'Daily Workforce'!$M140="Y",IFERROR(1*'Daily Workforce'!$P140&gt;=2,FALSE()))))),1,0)</f>
        <v>0</v>
      </c>
      <c r="EV35" s="1" t="n">
        <f aca="false">IF(AND('Daily Workforce'!$N141="Y",'Daily Workforce'!$B141&lt;&gt;"",COUNTIF('Daily Schedule'!$F$5:$F38,'Daily Workforce'!$B141)=0,IF('Daily Schedule'!$A39=45,'Daily Workforce'!$J141="Y",IF(OR('Daily Schedule'!$A39=4,'Daily Schedule'!$A39=8),IF(OR(WEEKDAY('Daily Schedule'!$B$2,2)=1,WEEKDAY('Daily Schedule'!$B$2,2)=4,WEEKDAY('Daily Schedule'!$B$2,2)=5,WEEKDAY('Daily Schedule'!$B$2,2)=7),IFERROR(1*'Daily Workforce'!$K141&gt;=3,FALSE()),IFERROR(1*'Daily Workforce'!$K141&gt;=2,FALSE())),IF(AND('Daily Schedule'!$A39&gt;=46,'Daily Schedule'!$A39&lt;=52),'Daily Workforce'!$M141="Y",IFERROR(1*'Daily Workforce'!$P141&gt;=2,FALSE()))))),1,0)</f>
        <v>0</v>
      </c>
      <c r="EW35" s="1" t="n">
        <f aca="false">IF(AND('Daily Workforce'!$N142="Y",'Daily Workforce'!$B142&lt;&gt;"",COUNTIF('Daily Schedule'!$F$5:$F38,'Daily Workforce'!$B142)=0,IF('Daily Schedule'!$A39=45,'Daily Workforce'!$J142="Y",IF(OR('Daily Schedule'!$A39=4,'Daily Schedule'!$A39=8),IF(OR(WEEKDAY('Daily Schedule'!$B$2,2)=1,WEEKDAY('Daily Schedule'!$B$2,2)=4,WEEKDAY('Daily Schedule'!$B$2,2)=5,WEEKDAY('Daily Schedule'!$B$2,2)=7),IFERROR(1*'Daily Workforce'!$K142&gt;=3,FALSE()),IFERROR(1*'Daily Workforce'!$K142&gt;=2,FALSE())),IF(AND('Daily Schedule'!$A39&gt;=46,'Daily Schedule'!$A39&lt;=52),'Daily Workforce'!$M142="Y",IFERROR(1*'Daily Workforce'!$P142&gt;=2,FALSE()))))),1,0)</f>
        <v>0</v>
      </c>
      <c r="EX35" s="1" t="n">
        <f aca="false">IF(AND('Daily Workforce'!$N143="Y",'Daily Workforce'!$B143&lt;&gt;"",COUNTIF('Daily Schedule'!$F$5:$F38,'Daily Workforce'!$B143)=0,IF('Daily Schedule'!$A39=45,'Daily Workforce'!$J143="Y",IF(OR('Daily Schedule'!$A39=4,'Daily Schedule'!$A39=8),IF(OR(WEEKDAY('Daily Schedule'!$B$2,2)=1,WEEKDAY('Daily Schedule'!$B$2,2)=4,WEEKDAY('Daily Schedule'!$B$2,2)=5,WEEKDAY('Daily Schedule'!$B$2,2)=7),IFERROR(1*'Daily Workforce'!$K143&gt;=3,FALSE()),IFERROR(1*'Daily Workforce'!$K143&gt;=2,FALSE())),IF(AND('Daily Schedule'!$A39&gt;=46,'Daily Schedule'!$A39&lt;=52),'Daily Workforce'!$M143="Y",IFERROR(1*'Daily Workforce'!$P143&gt;=2,FALSE()))))),1,0)</f>
        <v>0</v>
      </c>
      <c r="EY35" s="1" t="n">
        <f aca="false">IF(AND('Daily Workforce'!$N144="Y",'Daily Workforce'!$B144&lt;&gt;"",COUNTIF('Daily Schedule'!$F$5:$F38,'Daily Workforce'!$B144)=0,IF('Daily Schedule'!$A39=45,'Daily Workforce'!$J144="Y",IF(OR('Daily Schedule'!$A39=4,'Daily Schedule'!$A39=8),IF(OR(WEEKDAY('Daily Schedule'!$B$2,2)=1,WEEKDAY('Daily Schedule'!$B$2,2)=4,WEEKDAY('Daily Schedule'!$B$2,2)=5,WEEKDAY('Daily Schedule'!$B$2,2)=7),IFERROR(1*'Daily Workforce'!$K144&gt;=3,FALSE()),IFERROR(1*'Daily Workforce'!$K144&gt;=2,FALSE())),IF(AND('Daily Schedule'!$A39&gt;=46,'Daily Schedule'!$A39&lt;=52),'Daily Workforce'!$M144="Y",IFERROR(1*'Daily Workforce'!$P144&gt;=2,FALSE()))))),1,0)</f>
        <v>0</v>
      </c>
      <c r="EZ35" s="1" t="n">
        <f aca="false">IF(AND('Daily Workforce'!$N145="Y",'Daily Workforce'!$B145&lt;&gt;"",COUNTIF('Daily Schedule'!$F$5:$F38,'Daily Workforce'!$B145)=0,IF('Daily Schedule'!$A39=45,'Daily Workforce'!$J145="Y",IF(OR('Daily Schedule'!$A39=4,'Daily Schedule'!$A39=8),IF(OR(WEEKDAY('Daily Schedule'!$B$2,2)=1,WEEKDAY('Daily Schedule'!$B$2,2)=4,WEEKDAY('Daily Schedule'!$B$2,2)=5,WEEKDAY('Daily Schedule'!$B$2,2)=7),IFERROR(1*'Daily Workforce'!$K145&gt;=3,FALSE()),IFERROR(1*'Daily Workforce'!$K145&gt;=2,FALSE())),IF(AND('Daily Schedule'!$A39&gt;=46,'Daily Schedule'!$A39&lt;=52),'Daily Workforce'!$M145="Y",IFERROR(1*'Daily Workforce'!$P145&gt;=2,FALSE()))))),1,0)</f>
        <v>0</v>
      </c>
      <c r="FA35" s="1" t="n">
        <f aca="false">IF(AND('Daily Workforce'!$N146="Y",'Daily Workforce'!$B146&lt;&gt;"",COUNTIF('Daily Schedule'!$F$5:$F38,'Daily Workforce'!$B146)=0,IF('Daily Schedule'!$A39=45,'Daily Workforce'!$J146="Y",IF(OR('Daily Schedule'!$A39=4,'Daily Schedule'!$A39=8),IF(OR(WEEKDAY('Daily Schedule'!$B$2,2)=1,WEEKDAY('Daily Schedule'!$B$2,2)=4,WEEKDAY('Daily Schedule'!$B$2,2)=5,WEEKDAY('Daily Schedule'!$B$2,2)=7),IFERROR(1*'Daily Workforce'!$K146&gt;=3,FALSE()),IFERROR(1*'Daily Workforce'!$K146&gt;=2,FALSE())),IF(AND('Daily Schedule'!$A39&gt;=46,'Daily Schedule'!$A39&lt;=52),'Daily Workforce'!$M146="Y",IFERROR(1*'Daily Workforce'!$P146&gt;=2,FALSE()))))),1,0)</f>
        <v>0</v>
      </c>
      <c r="FB35" s="1" t="n">
        <f aca="false">IF(AND('Daily Workforce'!$N147="Y",'Daily Workforce'!$B147&lt;&gt;"",COUNTIF('Daily Schedule'!$F$5:$F38,'Daily Workforce'!$B147)=0,IF('Daily Schedule'!$A39=45,'Daily Workforce'!$J147="Y",IF(OR('Daily Schedule'!$A39=4,'Daily Schedule'!$A39=8),IF(OR(WEEKDAY('Daily Schedule'!$B$2,2)=1,WEEKDAY('Daily Schedule'!$B$2,2)=4,WEEKDAY('Daily Schedule'!$B$2,2)=5,WEEKDAY('Daily Schedule'!$B$2,2)=7),IFERROR(1*'Daily Workforce'!$K147&gt;=3,FALSE()),IFERROR(1*'Daily Workforce'!$K147&gt;=2,FALSE())),IF(AND('Daily Schedule'!$A39&gt;=46,'Daily Schedule'!$A39&lt;=52),'Daily Workforce'!$M147="Y",IFERROR(1*'Daily Workforce'!$P147&gt;=2,FALSE()))))),1,0)</f>
        <v>0</v>
      </c>
      <c r="FC35" s="1" t="n">
        <f aca="false">IF(AND('Daily Workforce'!$N148="Y",'Daily Workforce'!$B148&lt;&gt;"",COUNTIF('Daily Schedule'!$F$5:$F38,'Daily Workforce'!$B148)=0,IF('Daily Schedule'!$A39=45,'Daily Workforce'!$J148="Y",IF(OR('Daily Schedule'!$A39=4,'Daily Schedule'!$A39=8),IF(OR(WEEKDAY('Daily Schedule'!$B$2,2)=1,WEEKDAY('Daily Schedule'!$B$2,2)=4,WEEKDAY('Daily Schedule'!$B$2,2)=5,WEEKDAY('Daily Schedule'!$B$2,2)=7),IFERROR(1*'Daily Workforce'!$K148&gt;=3,FALSE()),IFERROR(1*'Daily Workforce'!$K148&gt;=2,FALSE())),IF(AND('Daily Schedule'!$A39&gt;=46,'Daily Schedule'!$A39&lt;=52),'Daily Workforce'!$M148="Y",IFERROR(1*'Daily Workforce'!$P148&gt;=2,FALSE()))))),1,0)</f>
        <v>0</v>
      </c>
      <c r="FD35" s="1" t="n">
        <f aca="false">IF(AND('Daily Workforce'!$N149="Y",'Daily Workforce'!$B149&lt;&gt;"",COUNTIF('Daily Schedule'!$F$5:$F38,'Daily Workforce'!$B149)=0,IF('Daily Schedule'!$A39=45,'Daily Workforce'!$J149="Y",IF(OR('Daily Schedule'!$A39=4,'Daily Schedule'!$A39=8),IF(OR(WEEKDAY('Daily Schedule'!$B$2,2)=1,WEEKDAY('Daily Schedule'!$B$2,2)=4,WEEKDAY('Daily Schedule'!$B$2,2)=5,WEEKDAY('Daily Schedule'!$B$2,2)=7),IFERROR(1*'Daily Workforce'!$K149&gt;=3,FALSE()),IFERROR(1*'Daily Workforce'!$K149&gt;=2,FALSE())),IF(AND('Daily Schedule'!$A39&gt;=46,'Daily Schedule'!$A39&lt;=52),'Daily Workforce'!$M149="Y",IFERROR(1*'Daily Workforce'!$P149&gt;=2,FALSE()))))),1,0)</f>
        <v>0</v>
      </c>
      <c r="FE35" s="1" t="n">
        <f aca="false">IF(AND('Daily Workforce'!$N150="Y",'Daily Workforce'!$B150&lt;&gt;"",COUNTIF('Daily Schedule'!$F$5:$F38,'Daily Workforce'!$B150)=0,IF('Daily Schedule'!$A39=45,'Daily Workforce'!$J150="Y",IF(OR('Daily Schedule'!$A39=4,'Daily Schedule'!$A39=8),IF(OR(WEEKDAY('Daily Schedule'!$B$2,2)=1,WEEKDAY('Daily Schedule'!$B$2,2)=4,WEEKDAY('Daily Schedule'!$B$2,2)=5,WEEKDAY('Daily Schedule'!$B$2,2)=7),IFERROR(1*'Daily Workforce'!$K150&gt;=3,FALSE()),IFERROR(1*'Daily Workforce'!$K150&gt;=2,FALSE())),IF(AND('Daily Schedule'!$A39&gt;=46,'Daily Schedule'!$A39&lt;=52),'Daily Workforce'!$M150="Y",IFERROR(1*'Daily Workforce'!$P150&gt;=2,FALSE()))))),1,0)</f>
        <v>0</v>
      </c>
      <c r="FF35" s="1" t="n">
        <f aca="false">IF(AND('Daily Workforce'!$N151="Y",'Daily Workforce'!$B151&lt;&gt;"",COUNTIF('Daily Schedule'!$F$5:$F38,'Daily Workforce'!$B151)=0,IF('Daily Schedule'!$A39=45,'Daily Workforce'!$J151="Y",IF(OR('Daily Schedule'!$A39=4,'Daily Schedule'!$A39=8),IF(OR(WEEKDAY('Daily Schedule'!$B$2,2)=1,WEEKDAY('Daily Schedule'!$B$2,2)=4,WEEKDAY('Daily Schedule'!$B$2,2)=5,WEEKDAY('Daily Schedule'!$B$2,2)=7),IFERROR(1*'Daily Workforce'!$K151&gt;=3,FALSE()),IFERROR(1*'Daily Workforce'!$K151&gt;=2,FALSE())),IF(AND('Daily Schedule'!$A39&gt;=46,'Daily Schedule'!$A39&lt;=52),'Daily Workforce'!$M151="Y",IFERROR(1*'Daily Workforce'!$P151&gt;=2,FALSE()))))),1,0)</f>
        <v>0</v>
      </c>
      <c r="FG35" s="1" t="n">
        <f aca="false">IF(AND('Daily Workforce'!$N152="Y",'Daily Workforce'!$B152&lt;&gt;"",COUNTIF('Daily Schedule'!$F$5:$F38,'Daily Workforce'!$B152)=0,IF('Daily Schedule'!$A39=45,'Daily Workforce'!$J152="Y",IF(OR('Daily Schedule'!$A39=4,'Daily Schedule'!$A39=8),IF(OR(WEEKDAY('Daily Schedule'!$B$2,2)=1,WEEKDAY('Daily Schedule'!$B$2,2)=4,WEEKDAY('Daily Schedule'!$B$2,2)=5,WEEKDAY('Daily Schedule'!$B$2,2)=7),IFERROR(1*'Daily Workforce'!$K152&gt;=3,FALSE()),IFERROR(1*'Daily Workforce'!$K152&gt;=2,FALSE())),IF(AND('Daily Schedule'!$A39&gt;=46,'Daily Schedule'!$A39&lt;=52),'Daily Workforce'!$M152="Y",IFERROR(1*'Daily Workforce'!$P152&gt;=2,FALSE()))))),1,0)</f>
        <v>0</v>
      </c>
      <c r="FH35" s="1" t="n">
        <f aca="false">IF(AND('Daily Workforce'!$N153="Y",'Daily Workforce'!$B153&lt;&gt;"",COUNTIF('Daily Schedule'!$F$5:$F38,'Daily Workforce'!$B153)=0,IF('Daily Schedule'!$A39=45,'Daily Workforce'!$J153="Y",IF(OR('Daily Schedule'!$A39=4,'Daily Schedule'!$A39=8),IF(OR(WEEKDAY('Daily Schedule'!$B$2,2)=1,WEEKDAY('Daily Schedule'!$B$2,2)=4,WEEKDAY('Daily Schedule'!$B$2,2)=5,WEEKDAY('Daily Schedule'!$B$2,2)=7),IFERROR(1*'Daily Workforce'!$K153&gt;=3,FALSE()),IFERROR(1*'Daily Workforce'!$K153&gt;=2,FALSE())),IF(AND('Daily Schedule'!$A39&gt;=46,'Daily Schedule'!$A39&lt;=52),'Daily Workforce'!$M153="Y",IFERROR(1*'Daily Workforce'!$P153&gt;=2,FALSE()))))),1,0)</f>
        <v>0</v>
      </c>
      <c r="FI35" s="1" t="n">
        <f aca="false">IF(AND('Daily Workforce'!$N154="Y",'Daily Workforce'!$B154&lt;&gt;"",COUNTIF('Daily Schedule'!$F$5:$F38,'Daily Workforce'!$B154)=0,IF('Daily Schedule'!$A39=45,'Daily Workforce'!$J154="Y",IF(OR('Daily Schedule'!$A39=4,'Daily Schedule'!$A39=8),IF(OR(WEEKDAY('Daily Schedule'!$B$2,2)=1,WEEKDAY('Daily Schedule'!$B$2,2)=4,WEEKDAY('Daily Schedule'!$B$2,2)=5,WEEKDAY('Daily Schedule'!$B$2,2)=7),IFERROR(1*'Daily Workforce'!$K154&gt;=3,FALSE()),IFERROR(1*'Daily Workforce'!$K154&gt;=2,FALSE())),IF(AND('Daily Schedule'!$A39&gt;=46,'Daily Schedule'!$A39&lt;=52),'Daily Workforce'!$M154="Y",IFERROR(1*'Daily Workforce'!$P154&gt;=2,FALSE()))))),1,0)</f>
        <v>0</v>
      </c>
      <c r="FJ35" s="1" t="n">
        <f aca="false">IF(AND('Daily Workforce'!$N155="Y",'Daily Workforce'!$B155&lt;&gt;"",COUNTIF('Daily Schedule'!$F$5:$F38,'Daily Workforce'!$B155)=0,IF('Daily Schedule'!$A39=45,'Daily Workforce'!$J155="Y",IF(OR('Daily Schedule'!$A39=4,'Daily Schedule'!$A39=8),IF(OR(WEEKDAY('Daily Schedule'!$B$2,2)=1,WEEKDAY('Daily Schedule'!$B$2,2)=4,WEEKDAY('Daily Schedule'!$B$2,2)=5,WEEKDAY('Daily Schedule'!$B$2,2)=7),IFERROR(1*'Daily Workforce'!$K155&gt;=3,FALSE()),IFERROR(1*'Daily Workforce'!$K155&gt;=2,FALSE())),IF(AND('Daily Schedule'!$A39&gt;=46,'Daily Schedule'!$A39&lt;=52),'Daily Workforce'!$M155="Y",IFERROR(1*'Daily Workforce'!$P155&gt;=2,FALSE()))))),1,0)</f>
        <v>0</v>
      </c>
      <c r="FK35" s="1" t="n">
        <f aca="false">IF(AND('Daily Workforce'!$N156="Y",'Daily Workforce'!$B156&lt;&gt;"",COUNTIF('Daily Schedule'!$F$5:$F38,'Daily Workforce'!$B156)=0,IF('Daily Schedule'!$A39=45,'Daily Workforce'!$J156="Y",IF(OR('Daily Schedule'!$A39=4,'Daily Schedule'!$A39=8),IF(OR(WEEKDAY('Daily Schedule'!$B$2,2)=1,WEEKDAY('Daily Schedule'!$B$2,2)=4,WEEKDAY('Daily Schedule'!$B$2,2)=5,WEEKDAY('Daily Schedule'!$B$2,2)=7),IFERROR(1*'Daily Workforce'!$K156&gt;=3,FALSE()),IFERROR(1*'Daily Workforce'!$K156&gt;=2,FALSE())),IF(AND('Daily Schedule'!$A39&gt;=46,'Daily Schedule'!$A39&lt;=52),'Daily Workforce'!$M156="Y",IFERROR(1*'Daily Workforce'!$P156&gt;=2,FALSE()))))),1,0)</f>
        <v>0</v>
      </c>
      <c r="FL35" s="1" t="n">
        <f aca="false">IF(AND('Daily Workforce'!$N157="Y",'Daily Workforce'!$B157&lt;&gt;"",COUNTIF('Daily Schedule'!$F$5:$F38,'Daily Workforce'!$B157)=0,IF('Daily Schedule'!$A39=45,'Daily Workforce'!$J157="Y",IF(OR('Daily Schedule'!$A39=4,'Daily Schedule'!$A39=8),IF(OR(WEEKDAY('Daily Schedule'!$B$2,2)=1,WEEKDAY('Daily Schedule'!$B$2,2)=4,WEEKDAY('Daily Schedule'!$B$2,2)=5,WEEKDAY('Daily Schedule'!$B$2,2)=7),IFERROR(1*'Daily Workforce'!$K157&gt;=3,FALSE()),IFERROR(1*'Daily Workforce'!$K157&gt;=2,FALSE())),IF(AND('Daily Schedule'!$A39&gt;=46,'Daily Schedule'!$A39&lt;=52),'Daily Workforce'!$M157="Y",IFERROR(1*'Daily Workforce'!$P157&gt;=2,FALSE()))))),1,0)</f>
        <v>0</v>
      </c>
      <c r="FM35" s="1" t="n">
        <f aca="false">IF(AND('Daily Workforce'!$N158="Y",'Daily Workforce'!$B158&lt;&gt;"",COUNTIF('Daily Schedule'!$F$5:$F38,'Daily Workforce'!$B158)=0,IF('Daily Schedule'!$A39=45,'Daily Workforce'!$J158="Y",IF(OR('Daily Schedule'!$A39=4,'Daily Schedule'!$A39=8),IF(OR(WEEKDAY('Daily Schedule'!$B$2,2)=1,WEEKDAY('Daily Schedule'!$B$2,2)=4,WEEKDAY('Daily Schedule'!$B$2,2)=5,WEEKDAY('Daily Schedule'!$B$2,2)=7),IFERROR(1*'Daily Workforce'!$K158&gt;=3,FALSE()),IFERROR(1*'Daily Workforce'!$K158&gt;=2,FALSE())),IF(AND('Daily Schedule'!$A39&gt;=46,'Daily Schedule'!$A39&lt;=52),'Daily Workforce'!$M158="Y",IFERROR(1*'Daily Workforce'!$P158&gt;=2,FALSE()))))),1,0)</f>
        <v>0</v>
      </c>
      <c r="FN35" s="1" t="n">
        <f aca="false">IF(AND('Daily Workforce'!$N159="Y",'Daily Workforce'!$B159&lt;&gt;"",COUNTIF('Daily Schedule'!$F$5:$F38,'Daily Workforce'!$B159)=0,IF('Daily Schedule'!$A39=45,'Daily Workforce'!$J159="Y",IF(OR('Daily Schedule'!$A39=4,'Daily Schedule'!$A39=8),IF(OR(WEEKDAY('Daily Schedule'!$B$2,2)=1,WEEKDAY('Daily Schedule'!$B$2,2)=4,WEEKDAY('Daily Schedule'!$B$2,2)=5,WEEKDAY('Daily Schedule'!$B$2,2)=7),IFERROR(1*'Daily Workforce'!$K159&gt;=3,FALSE()),IFERROR(1*'Daily Workforce'!$K159&gt;=2,FALSE())),IF(AND('Daily Schedule'!$A39&gt;=46,'Daily Schedule'!$A39&lt;=52),'Daily Workforce'!$M159="Y",IFERROR(1*'Daily Workforce'!$P159&gt;=2,FALSE()))))),1,0)</f>
        <v>0</v>
      </c>
      <c r="FO35" s="1" t="n">
        <f aca="false">IF(AND('Daily Workforce'!$N160="Y",'Daily Workforce'!$B160&lt;&gt;"",COUNTIF('Daily Schedule'!$F$5:$F38,'Daily Workforce'!$B160)=0,IF('Daily Schedule'!$A39=45,'Daily Workforce'!$J160="Y",IF(OR('Daily Schedule'!$A39=4,'Daily Schedule'!$A39=8),IF(OR(WEEKDAY('Daily Schedule'!$B$2,2)=1,WEEKDAY('Daily Schedule'!$B$2,2)=4,WEEKDAY('Daily Schedule'!$B$2,2)=5,WEEKDAY('Daily Schedule'!$B$2,2)=7),IFERROR(1*'Daily Workforce'!$K160&gt;=3,FALSE()),IFERROR(1*'Daily Workforce'!$K160&gt;=2,FALSE())),IF(AND('Daily Schedule'!$A39&gt;=46,'Daily Schedule'!$A39&lt;=52),'Daily Workforce'!$M160="Y",IFERROR(1*'Daily Workforce'!$P160&gt;=2,FALSE()))))),1,0)</f>
        <v>0</v>
      </c>
      <c r="FP35" s="1" t="n">
        <f aca="false">IF(AND('Daily Workforce'!$N161="Y",'Daily Workforce'!$B161&lt;&gt;"",COUNTIF('Daily Schedule'!$F$5:$F38,'Daily Workforce'!$B161)=0,IF('Daily Schedule'!$A39=45,'Daily Workforce'!$J161="Y",IF(OR('Daily Schedule'!$A39=4,'Daily Schedule'!$A39=8),IF(OR(WEEKDAY('Daily Schedule'!$B$2,2)=1,WEEKDAY('Daily Schedule'!$B$2,2)=4,WEEKDAY('Daily Schedule'!$B$2,2)=5,WEEKDAY('Daily Schedule'!$B$2,2)=7),IFERROR(1*'Daily Workforce'!$K161&gt;=3,FALSE()),IFERROR(1*'Daily Workforce'!$K161&gt;=2,FALSE())),IF(AND('Daily Schedule'!$A39&gt;=46,'Daily Schedule'!$A39&lt;=52),'Daily Workforce'!$M161="Y",IFERROR(1*'Daily Workforce'!$P161&gt;=2,FALSE()))))),1,0)</f>
        <v>0</v>
      </c>
      <c r="FQ35" s="1" t="n">
        <f aca="false">IF(AND('Daily Workforce'!$N162="Y",'Daily Workforce'!$B162&lt;&gt;"",COUNTIF('Daily Schedule'!$F$5:$F38,'Daily Workforce'!$B162)=0,IF('Daily Schedule'!$A39=45,'Daily Workforce'!$J162="Y",IF(OR('Daily Schedule'!$A39=4,'Daily Schedule'!$A39=8),IF(OR(WEEKDAY('Daily Schedule'!$B$2,2)=1,WEEKDAY('Daily Schedule'!$B$2,2)=4,WEEKDAY('Daily Schedule'!$B$2,2)=5,WEEKDAY('Daily Schedule'!$B$2,2)=7),IFERROR(1*'Daily Workforce'!$K162&gt;=3,FALSE()),IFERROR(1*'Daily Workforce'!$K162&gt;=2,FALSE())),IF(AND('Daily Schedule'!$A39&gt;=46,'Daily Schedule'!$A39&lt;=52),'Daily Workforce'!$M162="Y",IFERROR(1*'Daily Workforce'!$P162&gt;=2,FALSE()))))),1,0)</f>
        <v>0</v>
      </c>
      <c r="FR35" s="1" t="n">
        <f aca="false">IF(AND('Daily Workforce'!$N163="Y",'Daily Workforce'!$B163&lt;&gt;"",COUNTIF('Daily Schedule'!$F$5:$F38,'Daily Workforce'!$B163)=0,IF('Daily Schedule'!$A39=45,'Daily Workforce'!$J163="Y",IF(OR('Daily Schedule'!$A39=4,'Daily Schedule'!$A39=8),IF(OR(WEEKDAY('Daily Schedule'!$B$2,2)=1,WEEKDAY('Daily Schedule'!$B$2,2)=4,WEEKDAY('Daily Schedule'!$B$2,2)=5,WEEKDAY('Daily Schedule'!$B$2,2)=7),IFERROR(1*'Daily Workforce'!$K163&gt;=3,FALSE()),IFERROR(1*'Daily Workforce'!$K163&gt;=2,FALSE())),IF(AND('Daily Schedule'!$A39&gt;=46,'Daily Schedule'!$A39&lt;=52),'Daily Workforce'!$M163="Y",IFERROR(1*'Daily Workforce'!$P163&gt;=2,FALSE()))))),1,0)</f>
        <v>0</v>
      </c>
      <c r="FS35" s="1" t="n">
        <f aca="false">IF(AND('Daily Workforce'!$N164="Y",'Daily Workforce'!$B164&lt;&gt;"",COUNTIF('Daily Schedule'!$F$5:$F38,'Daily Workforce'!$B164)=0,IF('Daily Schedule'!$A39=45,'Daily Workforce'!$J164="Y",IF(OR('Daily Schedule'!$A39=4,'Daily Schedule'!$A39=8),IF(OR(WEEKDAY('Daily Schedule'!$B$2,2)=1,WEEKDAY('Daily Schedule'!$B$2,2)=4,WEEKDAY('Daily Schedule'!$B$2,2)=5,WEEKDAY('Daily Schedule'!$B$2,2)=7),IFERROR(1*'Daily Workforce'!$K164&gt;=3,FALSE()),IFERROR(1*'Daily Workforce'!$K164&gt;=2,FALSE())),IF(AND('Daily Schedule'!$A39&gt;=46,'Daily Schedule'!$A39&lt;=52),'Daily Workforce'!$M164="Y",IFERROR(1*'Daily Workforce'!$P164&gt;=2,FALSE()))))),1,0)</f>
        <v>0</v>
      </c>
      <c r="FT35" s="1" t="n">
        <f aca="false">IF(AND('Daily Workforce'!$N165="Y",'Daily Workforce'!$B165&lt;&gt;"",COUNTIF('Daily Schedule'!$F$5:$F38,'Daily Workforce'!$B165)=0,IF('Daily Schedule'!$A39=45,'Daily Workforce'!$J165="Y",IF(OR('Daily Schedule'!$A39=4,'Daily Schedule'!$A39=8),IF(OR(WEEKDAY('Daily Schedule'!$B$2,2)=1,WEEKDAY('Daily Schedule'!$B$2,2)=4,WEEKDAY('Daily Schedule'!$B$2,2)=5,WEEKDAY('Daily Schedule'!$B$2,2)=7),IFERROR(1*'Daily Workforce'!$K165&gt;=3,FALSE()),IFERROR(1*'Daily Workforce'!$K165&gt;=2,FALSE())),IF(AND('Daily Schedule'!$A39&gt;=46,'Daily Schedule'!$A39&lt;=52),'Daily Workforce'!$M165="Y",IFERROR(1*'Daily Workforce'!$P165&gt;=2,FALSE()))))),1,0)</f>
        <v>0</v>
      </c>
      <c r="FU35" s="1" t="n">
        <f aca="false">IF(AND('Daily Workforce'!$N166="Y",'Daily Workforce'!$B166&lt;&gt;"",COUNTIF('Daily Schedule'!$F$5:$F38,'Daily Workforce'!$B166)=0,IF('Daily Schedule'!$A39=45,'Daily Workforce'!$J166="Y",IF(OR('Daily Schedule'!$A39=4,'Daily Schedule'!$A39=8),IF(OR(WEEKDAY('Daily Schedule'!$B$2,2)=1,WEEKDAY('Daily Schedule'!$B$2,2)=4,WEEKDAY('Daily Schedule'!$B$2,2)=5,WEEKDAY('Daily Schedule'!$B$2,2)=7),IFERROR(1*'Daily Workforce'!$K166&gt;=3,FALSE()),IFERROR(1*'Daily Workforce'!$K166&gt;=2,FALSE())),IF(AND('Daily Schedule'!$A39&gt;=46,'Daily Schedule'!$A39&lt;=52),'Daily Workforce'!$M166="Y",IFERROR(1*'Daily Workforce'!$P166&gt;=2,FALSE()))))),1,0)</f>
        <v>0</v>
      </c>
      <c r="FV35" s="1" t="n">
        <f aca="false">IF(AND('Daily Workforce'!$N167="Y",'Daily Workforce'!$B167&lt;&gt;"",COUNTIF('Daily Schedule'!$F$5:$F38,'Daily Workforce'!$B167)=0,IF('Daily Schedule'!$A39=45,'Daily Workforce'!$J167="Y",IF(OR('Daily Schedule'!$A39=4,'Daily Schedule'!$A39=8),IF(OR(WEEKDAY('Daily Schedule'!$B$2,2)=1,WEEKDAY('Daily Schedule'!$B$2,2)=4,WEEKDAY('Daily Schedule'!$B$2,2)=5,WEEKDAY('Daily Schedule'!$B$2,2)=7),IFERROR(1*'Daily Workforce'!$K167&gt;=3,FALSE()),IFERROR(1*'Daily Workforce'!$K167&gt;=2,FALSE())),IF(AND('Daily Schedule'!$A39&gt;=46,'Daily Schedule'!$A39&lt;=52),'Daily Workforce'!$M167="Y",IFERROR(1*'Daily Workforce'!$P167&gt;=2,FALSE()))))),1,0)</f>
        <v>0</v>
      </c>
      <c r="FW35" s="1" t="n">
        <f aca="false">IF(AND('Daily Workforce'!$N168="Y",'Daily Workforce'!$B168&lt;&gt;"",COUNTIF('Daily Schedule'!$F$5:$F38,'Daily Workforce'!$B168)=0,IF('Daily Schedule'!$A39=45,'Daily Workforce'!$J168="Y",IF(OR('Daily Schedule'!$A39=4,'Daily Schedule'!$A39=8),IF(OR(WEEKDAY('Daily Schedule'!$B$2,2)=1,WEEKDAY('Daily Schedule'!$B$2,2)=4,WEEKDAY('Daily Schedule'!$B$2,2)=5,WEEKDAY('Daily Schedule'!$B$2,2)=7),IFERROR(1*'Daily Workforce'!$K168&gt;=3,FALSE()),IFERROR(1*'Daily Workforce'!$K168&gt;=2,FALSE())),IF(AND('Daily Schedule'!$A39&gt;=46,'Daily Schedule'!$A39&lt;=52),'Daily Workforce'!$M168="Y",IFERROR(1*'Daily Workforce'!$P168&gt;=2,FALSE()))))),1,0)</f>
        <v>0</v>
      </c>
      <c r="FX35" s="1" t="n">
        <f aca="false">IF(AND('Daily Workforce'!$N169="Y",'Daily Workforce'!$B169&lt;&gt;"",COUNTIF('Daily Schedule'!$F$5:$F38,'Daily Workforce'!$B169)=0,IF('Daily Schedule'!$A39=45,'Daily Workforce'!$J169="Y",IF(OR('Daily Schedule'!$A39=4,'Daily Schedule'!$A39=8),IF(OR(WEEKDAY('Daily Schedule'!$B$2,2)=1,WEEKDAY('Daily Schedule'!$B$2,2)=4,WEEKDAY('Daily Schedule'!$B$2,2)=5,WEEKDAY('Daily Schedule'!$B$2,2)=7),IFERROR(1*'Daily Workforce'!$K169&gt;=3,FALSE()),IFERROR(1*'Daily Workforce'!$K169&gt;=2,FALSE())),IF(AND('Daily Schedule'!$A39&gt;=46,'Daily Schedule'!$A39&lt;=52),'Daily Workforce'!$M169="Y",IFERROR(1*'Daily Workforce'!$P169&gt;=2,FALSE()))))),1,0)</f>
        <v>0</v>
      </c>
      <c r="FY35" s="1" t="n">
        <f aca="false">IF(AND('Daily Workforce'!$N170="Y",'Daily Workforce'!$B170&lt;&gt;"",COUNTIF('Daily Schedule'!$F$5:$F38,'Daily Workforce'!$B170)=0,IF('Daily Schedule'!$A39=45,'Daily Workforce'!$J170="Y",IF(OR('Daily Schedule'!$A39=4,'Daily Schedule'!$A39=8),IF(OR(WEEKDAY('Daily Schedule'!$B$2,2)=1,WEEKDAY('Daily Schedule'!$B$2,2)=4,WEEKDAY('Daily Schedule'!$B$2,2)=5,WEEKDAY('Daily Schedule'!$B$2,2)=7),IFERROR(1*'Daily Workforce'!$K170&gt;=3,FALSE()),IFERROR(1*'Daily Workforce'!$K170&gt;=2,FALSE())),IF(AND('Daily Schedule'!$A39&gt;=46,'Daily Schedule'!$A39&lt;=52),'Daily Workforce'!$M170="Y",IFERROR(1*'Daily Workforce'!$P170&gt;=2,FALSE()))))),1,0)</f>
        <v>0</v>
      </c>
      <c r="FZ35" s="1" t="n">
        <f aca="false">IF(AND('Daily Workforce'!$N171="Y",'Daily Workforce'!$B171&lt;&gt;"",COUNTIF('Daily Schedule'!$F$5:$F38,'Daily Workforce'!$B171)=0,IF('Daily Schedule'!$A39=45,'Daily Workforce'!$J171="Y",IF(OR('Daily Schedule'!$A39=4,'Daily Schedule'!$A39=8),IF(OR(WEEKDAY('Daily Schedule'!$B$2,2)=1,WEEKDAY('Daily Schedule'!$B$2,2)=4,WEEKDAY('Daily Schedule'!$B$2,2)=5,WEEKDAY('Daily Schedule'!$B$2,2)=7),IFERROR(1*'Daily Workforce'!$K171&gt;=3,FALSE()),IFERROR(1*'Daily Workforce'!$K171&gt;=2,FALSE())),IF(AND('Daily Schedule'!$A39&gt;=46,'Daily Schedule'!$A39&lt;=52),'Daily Workforce'!$M171="Y",IFERROR(1*'Daily Workforce'!$P171&gt;=2,FALSE()))))),1,0)</f>
        <v>0</v>
      </c>
      <c r="GA35" s="1" t="n">
        <f aca="false">IF(AND('Daily Workforce'!$N172="Y",'Daily Workforce'!$B172&lt;&gt;"",COUNTIF('Daily Schedule'!$F$5:$F38,'Daily Workforce'!$B172)=0,IF('Daily Schedule'!$A39=45,'Daily Workforce'!$J172="Y",IF(OR('Daily Schedule'!$A39=4,'Daily Schedule'!$A39=8),IF(OR(WEEKDAY('Daily Schedule'!$B$2,2)=1,WEEKDAY('Daily Schedule'!$B$2,2)=4,WEEKDAY('Daily Schedule'!$B$2,2)=5,WEEKDAY('Daily Schedule'!$B$2,2)=7),IFERROR(1*'Daily Workforce'!$K172&gt;=3,FALSE()),IFERROR(1*'Daily Workforce'!$K172&gt;=2,FALSE())),IF(AND('Daily Schedule'!$A39&gt;=46,'Daily Schedule'!$A39&lt;=52),'Daily Workforce'!$M172="Y",IFERROR(1*'Daily Workforce'!$P172&gt;=2,FALSE()))))),1,0)</f>
        <v>0</v>
      </c>
      <c r="GB35" s="1" t="n">
        <f aca="false">IF(AND('Daily Workforce'!$N173="Y",'Daily Workforce'!$B173&lt;&gt;"",COUNTIF('Daily Schedule'!$F$5:$F38,'Daily Workforce'!$B173)=0,IF('Daily Schedule'!$A39=45,'Daily Workforce'!$J173="Y",IF(OR('Daily Schedule'!$A39=4,'Daily Schedule'!$A39=8),IF(OR(WEEKDAY('Daily Schedule'!$B$2,2)=1,WEEKDAY('Daily Schedule'!$B$2,2)=4,WEEKDAY('Daily Schedule'!$B$2,2)=5,WEEKDAY('Daily Schedule'!$B$2,2)=7),IFERROR(1*'Daily Workforce'!$K173&gt;=3,FALSE()),IFERROR(1*'Daily Workforce'!$K173&gt;=2,FALSE())),IF(AND('Daily Schedule'!$A39&gt;=46,'Daily Schedule'!$A39&lt;=52),'Daily Workforce'!$M173="Y",IFERROR(1*'Daily Workforce'!$P173&gt;=2,FALSE()))))),1,0)</f>
        <v>0</v>
      </c>
      <c r="GC35" s="1" t="n">
        <f aca="false">IF(AND('Daily Workforce'!$N174="Y",'Daily Workforce'!$B174&lt;&gt;"",COUNTIF('Daily Schedule'!$F$5:$F38,'Daily Workforce'!$B174)=0,IF('Daily Schedule'!$A39=45,'Daily Workforce'!$J174="Y",IF(OR('Daily Schedule'!$A39=4,'Daily Schedule'!$A39=8),IF(OR(WEEKDAY('Daily Schedule'!$B$2,2)=1,WEEKDAY('Daily Schedule'!$B$2,2)=4,WEEKDAY('Daily Schedule'!$B$2,2)=5,WEEKDAY('Daily Schedule'!$B$2,2)=7),IFERROR(1*'Daily Workforce'!$K174&gt;=3,FALSE()),IFERROR(1*'Daily Workforce'!$K174&gt;=2,FALSE())),IF(AND('Daily Schedule'!$A39&gt;=46,'Daily Schedule'!$A39&lt;=52),'Daily Workforce'!$M174="Y",IFERROR(1*'Daily Workforce'!$P174&gt;=2,FALSE()))))),1,0)</f>
        <v>0</v>
      </c>
      <c r="GD35" s="1" t="n">
        <f aca="false">IF(AND('Daily Workforce'!$N175="Y",'Daily Workforce'!$B175&lt;&gt;"",COUNTIF('Daily Schedule'!$F$5:$F38,'Daily Workforce'!$B175)=0,IF('Daily Schedule'!$A39=45,'Daily Workforce'!$J175="Y",IF(OR('Daily Schedule'!$A39=4,'Daily Schedule'!$A39=8),IF(OR(WEEKDAY('Daily Schedule'!$B$2,2)=1,WEEKDAY('Daily Schedule'!$B$2,2)=4,WEEKDAY('Daily Schedule'!$B$2,2)=5,WEEKDAY('Daily Schedule'!$B$2,2)=7),IFERROR(1*'Daily Workforce'!$K175&gt;=3,FALSE()),IFERROR(1*'Daily Workforce'!$K175&gt;=2,FALSE())),IF(AND('Daily Schedule'!$A39&gt;=46,'Daily Schedule'!$A39&lt;=52),'Daily Workforce'!$M175="Y",IFERROR(1*'Daily Workforce'!$P175&gt;=2,FALSE()))))),1,0)</f>
        <v>0</v>
      </c>
      <c r="GE35" s="1" t="n">
        <f aca="false">IF(AND('Daily Workforce'!$N176="Y",'Daily Workforce'!$B176&lt;&gt;"",COUNTIF('Daily Schedule'!$F$5:$F38,'Daily Workforce'!$B176)=0,IF('Daily Schedule'!$A39=45,'Daily Workforce'!$J176="Y",IF(OR('Daily Schedule'!$A39=4,'Daily Schedule'!$A39=8),IF(OR(WEEKDAY('Daily Schedule'!$B$2,2)=1,WEEKDAY('Daily Schedule'!$B$2,2)=4,WEEKDAY('Daily Schedule'!$B$2,2)=5,WEEKDAY('Daily Schedule'!$B$2,2)=7),IFERROR(1*'Daily Workforce'!$K176&gt;=3,FALSE()),IFERROR(1*'Daily Workforce'!$K176&gt;=2,FALSE())),IF(AND('Daily Schedule'!$A39&gt;=46,'Daily Schedule'!$A39&lt;=52),'Daily Workforce'!$M176="Y",IFERROR(1*'Daily Workforce'!$P176&gt;=2,FALSE()))))),1,0)</f>
        <v>0</v>
      </c>
      <c r="GF35" s="1" t="n">
        <f aca="false">IF(AND('Daily Workforce'!$N177="Y",'Daily Workforce'!$B177&lt;&gt;"",COUNTIF('Daily Schedule'!$F$5:$F38,'Daily Workforce'!$B177)=0,IF('Daily Schedule'!$A39=45,'Daily Workforce'!$J177="Y",IF(OR('Daily Schedule'!$A39=4,'Daily Schedule'!$A39=8),IF(OR(WEEKDAY('Daily Schedule'!$B$2,2)=1,WEEKDAY('Daily Schedule'!$B$2,2)=4,WEEKDAY('Daily Schedule'!$B$2,2)=5,WEEKDAY('Daily Schedule'!$B$2,2)=7),IFERROR(1*'Daily Workforce'!$K177&gt;=3,FALSE()),IFERROR(1*'Daily Workforce'!$K177&gt;=2,FALSE())),IF(AND('Daily Schedule'!$A39&gt;=46,'Daily Schedule'!$A39&lt;=52),'Daily Workforce'!$M177="Y",IFERROR(1*'Daily Workforce'!$P177&gt;=2,FALSE()))))),1,0)</f>
        <v>0</v>
      </c>
      <c r="GG35" s="1" t="n">
        <f aca="false">IF(AND('Daily Workforce'!$N178="Y",'Daily Workforce'!$B178&lt;&gt;"",COUNTIF('Daily Schedule'!$F$5:$F38,'Daily Workforce'!$B178)=0,IF('Daily Schedule'!$A39=45,'Daily Workforce'!$J178="Y",IF(OR('Daily Schedule'!$A39=4,'Daily Schedule'!$A39=8),IF(OR(WEEKDAY('Daily Schedule'!$B$2,2)=1,WEEKDAY('Daily Schedule'!$B$2,2)=4,WEEKDAY('Daily Schedule'!$B$2,2)=5,WEEKDAY('Daily Schedule'!$B$2,2)=7),IFERROR(1*'Daily Workforce'!$K178&gt;=3,FALSE()),IFERROR(1*'Daily Workforce'!$K178&gt;=2,FALSE())),IF(AND('Daily Schedule'!$A39&gt;=46,'Daily Schedule'!$A39&lt;=52),'Daily Workforce'!$M178="Y",IFERROR(1*'Daily Workforce'!$P178&gt;=2,FALSE()))))),1,0)</f>
        <v>0</v>
      </c>
      <c r="GH35" s="1" t="n">
        <f aca="false">IF(AND('Daily Workforce'!$N179="Y",'Daily Workforce'!$B179&lt;&gt;"",COUNTIF('Daily Schedule'!$F$5:$F38,'Daily Workforce'!$B179)=0,IF('Daily Schedule'!$A39=45,'Daily Workforce'!$J179="Y",IF(OR('Daily Schedule'!$A39=4,'Daily Schedule'!$A39=8),IF(OR(WEEKDAY('Daily Schedule'!$B$2,2)=1,WEEKDAY('Daily Schedule'!$B$2,2)=4,WEEKDAY('Daily Schedule'!$B$2,2)=5,WEEKDAY('Daily Schedule'!$B$2,2)=7),IFERROR(1*'Daily Workforce'!$K179&gt;=3,FALSE()),IFERROR(1*'Daily Workforce'!$K179&gt;=2,FALSE())),IF(AND('Daily Schedule'!$A39&gt;=46,'Daily Schedule'!$A39&lt;=52),'Daily Workforce'!$M179="Y",IFERROR(1*'Daily Workforce'!$P179&gt;=2,FALSE()))))),1,0)</f>
        <v>0</v>
      </c>
      <c r="GI35" s="1" t="n">
        <f aca="false">IF(AND('Daily Workforce'!$N180="Y",'Daily Workforce'!$B180&lt;&gt;"",COUNTIF('Daily Schedule'!$F$5:$F38,'Daily Workforce'!$B180)=0,IF('Daily Schedule'!$A39=45,'Daily Workforce'!$J180="Y",IF(OR('Daily Schedule'!$A39=4,'Daily Schedule'!$A39=8),IF(OR(WEEKDAY('Daily Schedule'!$B$2,2)=1,WEEKDAY('Daily Schedule'!$B$2,2)=4,WEEKDAY('Daily Schedule'!$B$2,2)=5,WEEKDAY('Daily Schedule'!$B$2,2)=7),IFERROR(1*'Daily Workforce'!$K180&gt;=3,FALSE()),IFERROR(1*'Daily Workforce'!$K180&gt;=2,FALSE())),IF(AND('Daily Schedule'!$A39&gt;=46,'Daily Schedule'!$A39&lt;=52),'Daily Workforce'!$M180="Y",IFERROR(1*'Daily Workforce'!$P180&gt;=2,FALSE()))))),1,0)</f>
        <v>0</v>
      </c>
      <c r="GJ35" s="1" t="n">
        <f aca="false">IF(AND('Daily Workforce'!$N181="Y",'Daily Workforce'!$B181&lt;&gt;"",COUNTIF('Daily Schedule'!$F$5:$F38,'Daily Workforce'!$B181)=0,IF('Daily Schedule'!$A39=45,'Daily Workforce'!$J181="Y",IF(OR('Daily Schedule'!$A39=4,'Daily Schedule'!$A39=8),IF(OR(WEEKDAY('Daily Schedule'!$B$2,2)=1,WEEKDAY('Daily Schedule'!$B$2,2)=4,WEEKDAY('Daily Schedule'!$B$2,2)=5,WEEKDAY('Daily Schedule'!$B$2,2)=7),IFERROR(1*'Daily Workforce'!$K181&gt;=3,FALSE()),IFERROR(1*'Daily Workforce'!$K181&gt;=2,FALSE())),IF(AND('Daily Schedule'!$A39&gt;=46,'Daily Schedule'!$A39&lt;=52),'Daily Workforce'!$M181="Y",IFERROR(1*'Daily Workforce'!$P181&gt;=2,FALSE()))))),1,0)</f>
        <v>0</v>
      </c>
      <c r="GK35" s="1" t="n">
        <f aca="false">IF(AND('Daily Workforce'!$N182="Y",'Daily Workforce'!$B182&lt;&gt;"",COUNTIF('Daily Schedule'!$F$5:$F38,'Daily Workforce'!$B182)=0,IF('Daily Schedule'!$A39=45,'Daily Workforce'!$J182="Y",IF(OR('Daily Schedule'!$A39=4,'Daily Schedule'!$A39=8),IF(OR(WEEKDAY('Daily Schedule'!$B$2,2)=1,WEEKDAY('Daily Schedule'!$B$2,2)=4,WEEKDAY('Daily Schedule'!$B$2,2)=5,WEEKDAY('Daily Schedule'!$B$2,2)=7),IFERROR(1*'Daily Workforce'!$K182&gt;=3,FALSE()),IFERROR(1*'Daily Workforce'!$K182&gt;=2,FALSE())),IF(AND('Daily Schedule'!$A39&gt;=46,'Daily Schedule'!$A39&lt;=52),'Daily Workforce'!$M182="Y",IFERROR(1*'Daily Workforce'!$P182&gt;=2,FALSE()))))),1,0)</f>
        <v>0</v>
      </c>
      <c r="GL35" s="1" t="n">
        <f aca="false">IF(AND('Daily Workforce'!$N183="Y",'Daily Workforce'!$B183&lt;&gt;"",COUNTIF('Daily Schedule'!$F$5:$F38,'Daily Workforce'!$B183)=0,IF('Daily Schedule'!$A39=45,'Daily Workforce'!$J183="Y",IF(OR('Daily Schedule'!$A39=4,'Daily Schedule'!$A39=8),IF(OR(WEEKDAY('Daily Schedule'!$B$2,2)=1,WEEKDAY('Daily Schedule'!$B$2,2)=4,WEEKDAY('Daily Schedule'!$B$2,2)=5,WEEKDAY('Daily Schedule'!$B$2,2)=7),IFERROR(1*'Daily Workforce'!$K183&gt;=3,FALSE()),IFERROR(1*'Daily Workforce'!$K183&gt;=2,FALSE())),IF(AND('Daily Schedule'!$A39&gt;=46,'Daily Schedule'!$A39&lt;=52),'Daily Workforce'!$M183="Y",IFERROR(1*'Daily Workforce'!$P183&gt;=2,FALSE()))))),1,0)</f>
        <v>0</v>
      </c>
      <c r="GM35" s="1" t="n">
        <f aca="false">IF(AND('Daily Workforce'!$N184="Y",'Daily Workforce'!$B184&lt;&gt;"",COUNTIF('Daily Schedule'!$F$5:$F38,'Daily Workforce'!$B184)=0,IF('Daily Schedule'!$A39=45,'Daily Workforce'!$J184="Y",IF(OR('Daily Schedule'!$A39=4,'Daily Schedule'!$A39=8),IF(OR(WEEKDAY('Daily Schedule'!$B$2,2)=1,WEEKDAY('Daily Schedule'!$B$2,2)=4,WEEKDAY('Daily Schedule'!$B$2,2)=5,WEEKDAY('Daily Schedule'!$B$2,2)=7),IFERROR(1*'Daily Workforce'!$K184&gt;=3,FALSE()),IFERROR(1*'Daily Workforce'!$K184&gt;=2,FALSE())),IF(AND('Daily Schedule'!$A39&gt;=46,'Daily Schedule'!$A39&lt;=52),'Daily Workforce'!$M184="Y",IFERROR(1*'Daily Workforce'!$P184&gt;=2,FALSE()))))),1,0)</f>
        <v>0</v>
      </c>
      <c r="GN35" s="1" t="n">
        <f aca="false">IF(AND('Daily Workforce'!$N185="Y",'Daily Workforce'!$B185&lt;&gt;"",COUNTIF('Daily Schedule'!$F$5:$F38,'Daily Workforce'!$B185)=0,IF('Daily Schedule'!$A39=45,'Daily Workforce'!$J185="Y",IF(OR('Daily Schedule'!$A39=4,'Daily Schedule'!$A39=8),IF(OR(WEEKDAY('Daily Schedule'!$B$2,2)=1,WEEKDAY('Daily Schedule'!$B$2,2)=4,WEEKDAY('Daily Schedule'!$B$2,2)=5,WEEKDAY('Daily Schedule'!$B$2,2)=7),IFERROR(1*'Daily Workforce'!$K185&gt;=3,FALSE()),IFERROR(1*'Daily Workforce'!$K185&gt;=2,FALSE())),IF(AND('Daily Schedule'!$A39&gt;=46,'Daily Schedule'!$A39&lt;=52),'Daily Workforce'!$M185="Y",IFERROR(1*'Daily Workforce'!$P185&gt;=2,FALSE()))))),1,0)</f>
        <v>0</v>
      </c>
      <c r="GO35" s="1" t="n">
        <f aca="false">IF(AND('Daily Workforce'!$N186="Y",'Daily Workforce'!$B186&lt;&gt;"",COUNTIF('Daily Schedule'!$F$5:$F38,'Daily Workforce'!$B186)=0,IF('Daily Schedule'!$A39=45,'Daily Workforce'!$J186="Y",IF(OR('Daily Schedule'!$A39=4,'Daily Schedule'!$A39=8),IF(OR(WEEKDAY('Daily Schedule'!$B$2,2)=1,WEEKDAY('Daily Schedule'!$B$2,2)=4,WEEKDAY('Daily Schedule'!$B$2,2)=5,WEEKDAY('Daily Schedule'!$B$2,2)=7),IFERROR(1*'Daily Workforce'!$K186&gt;=3,FALSE()),IFERROR(1*'Daily Workforce'!$K186&gt;=2,FALSE())),IF(AND('Daily Schedule'!$A39&gt;=46,'Daily Schedule'!$A39&lt;=52),'Daily Workforce'!$M186="Y",IFERROR(1*'Daily Workforce'!$P186&gt;=2,FALSE()))))),1,0)</f>
        <v>0</v>
      </c>
      <c r="GP35" s="1" t="n">
        <f aca="false">IF(AND('Daily Workforce'!$N187="Y",'Daily Workforce'!$B187&lt;&gt;"",COUNTIF('Daily Schedule'!$F$5:$F38,'Daily Workforce'!$B187)=0,IF('Daily Schedule'!$A39=45,'Daily Workforce'!$J187="Y",IF(OR('Daily Schedule'!$A39=4,'Daily Schedule'!$A39=8),IF(OR(WEEKDAY('Daily Schedule'!$B$2,2)=1,WEEKDAY('Daily Schedule'!$B$2,2)=4,WEEKDAY('Daily Schedule'!$B$2,2)=5,WEEKDAY('Daily Schedule'!$B$2,2)=7),IFERROR(1*'Daily Workforce'!$K187&gt;=3,FALSE()),IFERROR(1*'Daily Workforce'!$K187&gt;=2,FALSE())),IF(AND('Daily Schedule'!$A39&gt;=46,'Daily Schedule'!$A39&lt;=52),'Daily Workforce'!$M187="Y",IFERROR(1*'Daily Workforce'!$P187&gt;=2,FALSE()))))),1,0)</f>
        <v>0</v>
      </c>
      <c r="GQ35" s="1" t="n">
        <f aca="false">IF(AND('Daily Workforce'!$N188="Y",'Daily Workforce'!$B188&lt;&gt;"",COUNTIF('Daily Schedule'!$F$5:$F38,'Daily Workforce'!$B188)=0,IF('Daily Schedule'!$A39=45,'Daily Workforce'!$J188="Y",IF(OR('Daily Schedule'!$A39=4,'Daily Schedule'!$A39=8),IF(OR(WEEKDAY('Daily Schedule'!$B$2,2)=1,WEEKDAY('Daily Schedule'!$B$2,2)=4,WEEKDAY('Daily Schedule'!$B$2,2)=5,WEEKDAY('Daily Schedule'!$B$2,2)=7),IFERROR(1*'Daily Workforce'!$K188&gt;=3,FALSE()),IFERROR(1*'Daily Workforce'!$K188&gt;=2,FALSE())),IF(AND('Daily Schedule'!$A39&gt;=46,'Daily Schedule'!$A39&lt;=52),'Daily Workforce'!$M188="Y",IFERROR(1*'Daily Workforce'!$P188&gt;=2,FALSE()))))),1,0)</f>
        <v>0</v>
      </c>
      <c r="GR35" s="1" t="n">
        <f aca="false">IF(AND('Daily Workforce'!$N189="Y",'Daily Workforce'!$B189&lt;&gt;"",COUNTIF('Daily Schedule'!$F$5:$F38,'Daily Workforce'!$B189)=0,IF('Daily Schedule'!$A39=45,'Daily Workforce'!$J189="Y",IF(OR('Daily Schedule'!$A39=4,'Daily Schedule'!$A39=8),IF(OR(WEEKDAY('Daily Schedule'!$B$2,2)=1,WEEKDAY('Daily Schedule'!$B$2,2)=4,WEEKDAY('Daily Schedule'!$B$2,2)=5,WEEKDAY('Daily Schedule'!$B$2,2)=7),IFERROR(1*'Daily Workforce'!$K189&gt;=3,FALSE()),IFERROR(1*'Daily Workforce'!$K189&gt;=2,FALSE())),IF(AND('Daily Schedule'!$A39&gt;=46,'Daily Schedule'!$A39&lt;=52),'Daily Workforce'!$M189="Y",IFERROR(1*'Daily Workforce'!$P189&gt;=2,FALSE()))))),1,0)</f>
        <v>0</v>
      </c>
      <c r="GS35" s="1" t="n">
        <f aca="false">IF(AND('Daily Workforce'!$N190="Y",'Daily Workforce'!$B190&lt;&gt;"",COUNTIF('Daily Schedule'!$F$5:$F38,'Daily Workforce'!$B190)=0,IF('Daily Schedule'!$A39=45,'Daily Workforce'!$J190="Y",IF(OR('Daily Schedule'!$A39=4,'Daily Schedule'!$A39=8),IF(OR(WEEKDAY('Daily Schedule'!$B$2,2)=1,WEEKDAY('Daily Schedule'!$B$2,2)=4,WEEKDAY('Daily Schedule'!$B$2,2)=5,WEEKDAY('Daily Schedule'!$B$2,2)=7),IFERROR(1*'Daily Workforce'!$K190&gt;=3,FALSE()),IFERROR(1*'Daily Workforce'!$K190&gt;=2,FALSE())),IF(AND('Daily Schedule'!$A39&gt;=46,'Daily Schedule'!$A39&lt;=52),'Daily Workforce'!$M190="Y",IFERROR(1*'Daily Workforce'!$P190&gt;=2,FALSE()))))),1,0)</f>
        <v>0</v>
      </c>
      <c r="GT35" s="1" t="n">
        <f aca="false">IF(AND('Daily Workforce'!$N191="Y",'Daily Workforce'!$B191&lt;&gt;"",COUNTIF('Daily Schedule'!$F$5:$F38,'Daily Workforce'!$B191)=0,IF('Daily Schedule'!$A39=45,'Daily Workforce'!$J191="Y",IF(OR('Daily Schedule'!$A39=4,'Daily Schedule'!$A39=8),IF(OR(WEEKDAY('Daily Schedule'!$B$2,2)=1,WEEKDAY('Daily Schedule'!$B$2,2)=4,WEEKDAY('Daily Schedule'!$B$2,2)=5,WEEKDAY('Daily Schedule'!$B$2,2)=7),IFERROR(1*'Daily Workforce'!$K191&gt;=3,FALSE()),IFERROR(1*'Daily Workforce'!$K191&gt;=2,FALSE())),IF(AND('Daily Schedule'!$A39&gt;=46,'Daily Schedule'!$A39&lt;=52),'Daily Workforce'!$M191="Y",IFERROR(1*'Daily Workforce'!$P191&gt;=2,FALSE()))))),1,0)</f>
        <v>0</v>
      </c>
      <c r="GU35" s="1" t="n">
        <f aca="false">IF(AND('Daily Workforce'!$N192="Y",'Daily Workforce'!$B192&lt;&gt;"",COUNTIF('Daily Schedule'!$F$5:$F38,'Daily Workforce'!$B192)=0,IF('Daily Schedule'!$A39=45,'Daily Workforce'!$J192="Y",IF(OR('Daily Schedule'!$A39=4,'Daily Schedule'!$A39=8),IF(OR(WEEKDAY('Daily Schedule'!$B$2,2)=1,WEEKDAY('Daily Schedule'!$B$2,2)=4,WEEKDAY('Daily Schedule'!$B$2,2)=5,WEEKDAY('Daily Schedule'!$B$2,2)=7),IFERROR(1*'Daily Workforce'!$K192&gt;=3,FALSE()),IFERROR(1*'Daily Workforce'!$K192&gt;=2,FALSE())),IF(AND('Daily Schedule'!$A39&gt;=46,'Daily Schedule'!$A39&lt;=52),'Daily Workforce'!$M192="Y",IFERROR(1*'Daily Workforce'!$P192&gt;=2,FALSE()))))),1,0)</f>
        <v>0</v>
      </c>
      <c r="GV35" s="1" t="n">
        <f aca="false">IF(AND('Daily Workforce'!$N193="Y",'Daily Workforce'!$B193&lt;&gt;"",COUNTIF('Daily Schedule'!$F$5:$F38,'Daily Workforce'!$B193)=0,IF('Daily Schedule'!$A39=45,'Daily Workforce'!$J193="Y",IF(OR('Daily Schedule'!$A39=4,'Daily Schedule'!$A39=8),IF(OR(WEEKDAY('Daily Schedule'!$B$2,2)=1,WEEKDAY('Daily Schedule'!$B$2,2)=4,WEEKDAY('Daily Schedule'!$B$2,2)=5,WEEKDAY('Daily Schedule'!$B$2,2)=7),IFERROR(1*'Daily Workforce'!$K193&gt;=3,FALSE()),IFERROR(1*'Daily Workforce'!$K193&gt;=2,FALSE())),IF(AND('Daily Schedule'!$A39&gt;=46,'Daily Schedule'!$A39&lt;=52),'Daily Workforce'!$M193="Y",IFERROR(1*'Daily Workforce'!$P193&gt;=2,FALSE()))))),1,0)</f>
        <v>0</v>
      </c>
      <c r="GW35" s="1" t="n">
        <f aca="false">IF(AND('Daily Workforce'!$N194="Y",'Daily Workforce'!$B194&lt;&gt;"",COUNTIF('Daily Schedule'!$F$5:$F38,'Daily Workforce'!$B194)=0,IF('Daily Schedule'!$A39=45,'Daily Workforce'!$J194="Y",IF(OR('Daily Schedule'!$A39=4,'Daily Schedule'!$A39=8),IF(OR(WEEKDAY('Daily Schedule'!$B$2,2)=1,WEEKDAY('Daily Schedule'!$B$2,2)=4,WEEKDAY('Daily Schedule'!$B$2,2)=5,WEEKDAY('Daily Schedule'!$B$2,2)=7),IFERROR(1*'Daily Workforce'!$K194&gt;=3,FALSE()),IFERROR(1*'Daily Workforce'!$K194&gt;=2,FALSE())),IF(AND('Daily Schedule'!$A39&gt;=46,'Daily Schedule'!$A39&lt;=52),'Daily Workforce'!$M194="Y",IFERROR(1*'Daily Workforce'!$P194&gt;=2,FALSE()))))),1,0)</f>
        <v>0</v>
      </c>
      <c r="GX35" s="1" t="n">
        <f aca="false">IF(AND('Daily Workforce'!$N195="Y",'Daily Workforce'!$B195&lt;&gt;"",COUNTIF('Daily Schedule'!$F$5:$F38,'Daily Workforce'!$B195)=0,IF('Daily Schedule'!$A39=45,'Daily Workforce'!$J195="Y",IF(OR('Daily Schedule'!$A39=4,'Daily Schedule'!$A39=8),IF(OR(WEEKDAY('Daily Schedule'!$B$2,2)=1,WEEKDAY('Daily Schedule'!$B$2,2)=4,WEEKDAY('Daily Schedule'!$B$2,2)=5,WEEKDAY('Daily Schedule'!$B$2,2)=7),IFERROR(1*'Daily Workforce'!$K195&gt;=3,FALSE()),IFERROR(1*'Daily Workforce'!$K195&gt;=2,FALSE())),IF(AND('Daily Schedule'!$A39&gt;=46,'Daily Schedule'!$A39&lt;=52),'Daily Workforce'!$M195="Y",IFERROR(1*'Daily Workforce'!$P195&gt;=2,FALSE()))))),1,0)</f>
        <v>0</v>
      </c>
      <c r="GY35" s="1" t="n">
        <f aca="false">IF(AND('Daily Workforce'!$N196="Y",'Daily Workforce'!$B196&lt;&gt;"",COUNTIF('Daily Schedule'!$F$5:$F38,'Daily Workforce'!$B196)=0,IF('Daily Schedule'!$A39=45,'Daily Workforce'!$J196="Y",IF(OR('Daily Schedule'!$A39=4,'Daily Schedule'!$A39=8),IF(OR(WEEKDAY('Daily Schedule'!$B$2,2)=1,WEEKDAY('Daily Schedule'!$B$2,2)=4,WEEKDAY('Daily Schedule'!$B$2,2)=5,WEEKDAY('Daily Schedule'!$B$2,2)=7),IFERROR(1*'Daily Workforce'!$K196&gt;=3,FALSE()),IFERROR(1*'Daily Workforce'!$K196&gt;=2,FALSE())),IF(AND('Daily Schedule'!$A39&gt;=46,'Daily Schedule'!$A39&lt;=52),'Daily Workforce'!$M196="Y",IFERROR(1*'Daily Workforce'!$P196&gt;=2,FALSE()))))),1,0)</f>
        <v>0</v>
      </c>
      <c r="GZ35" s="1" t="n">
        <f aca="false">IF(AND('Daily Workforce'!$N197="Y",'Daily Workforce'!$B197&lt;&gt;"",COUNTIF('Daily Schedule'!$F$5:$F38,'Daily Workforce'!$B197)=0,IF('Daily Schedule'!$A39=45,'Daily Workforce'!$J197="Y",IF(OR('Daily Schedule'!$A39=4,'Daily Schedule'!$A39=8),IF(OR(WEEKDAY('Daily Schedule'!$B$2,2)=1,WEEKDAY('Daily Schedule'!$B$2,2)=4,WEEKDAY('Daily Schedule'!$B$2,2)=5,WEEKDAY('Daily Schedule'!$B$2,2)=7),IFERROR(1*'Daily Workforce'!$K197&gt;=3,FALSE()),IFERROR(1*'Daily Workforce'!$K197&gt;=2,FALSE())),IF(AND('Daily Schedule'!$A39&gt;=46,'Daily Schedule'!$A39&lt;=52),'Daily Workforce'!$M197="Y",IFERROR(1*'Daily Workforce'!$P197&gt;=2,FALSE()))))),1,0)</f>
        <v>0</v>
      </c>
      <c r="HA35" s="1" t="n">
        <f aca="false">IF(AND('Daily Workforce'!$N198="Y",'Daily Workforce'!$B198&lt;&gt;"",COUNTIF('Daily Schedule'!$F$5:$F38,'Daily Workforce'!$B198)=0,IF('Daily Schedule'!$A39=45,'Daily Workforce'!$J198="Y",IF(OR('Daily Schedule'!$A39=4,'Daily Schedule'!$A39=8),IF(OR(WEEKDAY('Daily Schedule'!$B$2,2)=1,WEEKDAY('Daily Schedule'!$B$2,2)=4,WEEKDAY('Daily Schedule'!$B$2,2)=5,WEEKDAY('Daily Schedule'!$B$2,2)=7),IFERROR(1*'Daily Workforce'!$K198&gt;=3,FALSE()),IFERROR(1*'Daily Workforce'!$K198&gt;=2,FALSE())),IF(AND('Daily Schedule'!$A39&gt;=46,'Daily Schedule'!$A39&lt;=52),'Daily Workforce'!$M198="Y",IFERROR(1*'Daily Workforce'!$P198&gt;=2,FALSE()))))),1,0)</f>
        <v>0</v>
      </c>
      <c r="HB35" s="1" t="n">
        <f aca="false">IF(AND('Daily Workforce'!$N199="Y",'Daily Workforce'!$B199&lt;&gt;"",COUNTIF('Daily Schedule'!$F$5:$F38,'Daily Workforce'!$B199)=0,IF('Daily Schedule'!$A39=45,'Daily Workforce'!$J199="Y",IF(OR('Daily Schedule'!$A39=4,'Daily Schedule'!$A39=8),IF(OR(WEEKDAY('Daily Schedule'!$B$2,2)=1,WEEKDAY('Daily Schedule'!$B$2,2)=4,WEEKDAY('Daily Schedule'!$B$2,2)=5,WEEKDAY('Daily Schedule'!$B$2,2)=7),IFERROR(1*'Daily Workforce'!$K199&gt;=3,FALSE()),IFERROR(1*'Daily Workforce'!$K199&gt;=2,FALSE())),IF(AND('Daily Schedule'!$A39&gt;=46,'Daily Schedule'!$A39&lt;=52),'Daily Workforce'!$M199="Y",IFERROR(1*'Daily Workforce'!$P199&gt;=2,FALSE()))))),1,0)</f>
        <v>0</v>
      </c>
      <c r="HC35" s="1" t="n">
        <f aca="false">IF(AND('Daily Workforce'!$N200="Y",'Daily Workforce'!$B200&lt;&gt;"",COUNTIF('Daily Schedule'!$F$5:$F38,'Daily Workforce'!$B200)=0,IF('Daily Schedule'!$A39=45,'Daily Workforce'!$J200="Y",IF(OR('Daily Schedule'!$A39=4,'Daily Schedule'!$A39=8),IF(OR(WEEKDAY('Daily Schedule'!$B$2,2)=1,WEEKDAY('Daily Schedule'!$B$2,2)=4,WEEKDAY('Daily Schedule'!$B$2,2)=5,WEEKDAY('Daily Schedule'!$B$2,2)=7),IFERROR(1*'Daily Workforce'!$K200&gt;=3,FALSE()),IFERROR(1*'Daily Workforce'!$K200&gt;=2,FALSE())),IF(AND('Daily Schedule'!$A39&gt;=46,'Daily Schedule'!$A39&lt;=52),'Daily Workforce'!$M200="Y",IFERROR(1*'Daily Workforce'!$P200&gt;=2,FALSE()))))),1,0)</f>
        <v>0</v>
      </c>
      <c r="HD35" s="1" t="n">
        <f aca="false">IF(AND('Daily Workforce'!$N201="Y",'Daily Workforce'!$B201&lt;&gt;"",COUNTIF('Daily Schedule'!$F$5:$F38,'Daily Workforce'!$B201)=0,IF('Daily Schedule'!$A39=45,'Daily Workforce'!$J201="Y",IF(OR('Daily Schedule'!$A39=4,'Daily Schedule'!$A39=8),IF(OR(WEEKDAY('Daily Schedule'!$B$2,2)=1,WEEKDAY('Daily Schedule'!$B$2,2)=4,WEEKDAY('Daily Schedule'!$B$2,2)=5,WEEKDAY('Daily Schedule'!$B$2,2)=7),IFERROR(1*'Daily Workforce'!$K201&gt;=3,FALSE()),IFERROR(1*'Daily Workforce'!$K201&gt;=2,FALSE())),IF(AND('Daily Schedule'!$A39&gt;=46,'Daily Schedule'!$A39&lt;=52),'Daily Workforce'!$M201="Y",IFERROR(1*'Daily Workforce'!$P201&gt;=2,FALSE()))))),1,0)</f>
        <v>0</v>
      </c>
      <c r="HE35" s="1" t="n">
        <f aca="false">IF(AND('Daily Workforce'!$N202="Y",'Daily Workforce'!$B202&lt;&gt;"",COUNTIF('Daily Schedule'!$F$5:$F38,'Daily Workforce'!$B202)=0,IF('Daily Schedule'!$A39=45,'Daily Workforce'!$J202="Y",IF(OR('Daily Schedule'!$A39=4,'Daily Schedule'!$A39=8),IF(OR(WEEKDAY('Daily Schedule'!$B$2,2)=1,WEEKDAY('Daily Schedule'!$B$2,2)=4,WEEKDAY('Daily Schedule'!$B$2,2)=5,WEEKDAY('Daily Schedule'!$B$2,2)=7),IFERROR(1*'Daily Workforce'!$K202&gt;=3,FALSE()),IFERROR(1*'Daily Workforce'!$K202&gt;=2,FALSE())),IF(AND('Daily Schedule'!$A39&gt;=46,'Daily Schedule'!$A39&lt;=52),'Daily Workforce'!$M202="Y",IFERROR(1*'Daily Workforce'!$P202&gt;=2,FALSE()))))),1,0)</f>
        <v>0</v>
      </c>
      <c r="HF35" s="1" t="n">
        <f aca="false">IF(AND('Daily Workforce'!$N203="Y",'Daily Workforce'!$B203&lt;&gt;"",COUNTIF('Daily Schedule'!$F$5:$F38,'Daily Workforce'!$B203)=0,IF('Daily Schedule'!$A39=45,'Daily Workforce'!$J203="Y",IF(OR('Daily Schedule'!$A39=4,'Daily Schedule'!$A39=8),IF(OR(WEEKDAY('Daily Schedule'!$B$2,2)=1,WEEKDAY('Daily Schedule'!$B$2,2)=4,WEEKDAY('Daily Schedule'!$B$2,2)=5,WEEKDAY('Daily Schedule'!$B$2,2)=7),IFERROR(1*'Daily Workforce'!$K203&gt;=3,FALSE()),IFERROR(1*'Daily Workforce'!$K203&gt;=2,FALSE())),IF(AND('Daily Schedule'!$A39&gt;=46,'Daily Schedule'!$A39&lt;=52),'Daily Workforce'!$M203="Y",IFERROR(1*'Daily Workforce'!$P203&gt;=2,FALSE()))))),1,0)</f>
        <v>0</v>
      </c>
      <c r="HG35" s="1" t="n">
        <f aca="false">IF(AND('Daily Workforce'!$N204="Y",'Daily Workforce'!$B204&lt;&gt;"",COUNTIF('Daily Schedule'!$F$5:$F38,'Daily Workforce'!$B204)=0,IF('Daily Schedule'!$A39=45,'Daily Workforce'!$J204="Y",IF(OR('Daily Schedule'!$A39=4,'Daily Schedule'!$A39=8),IF(OR(WEEKDAY('Daily Schedule'!$B$2,2)=1,WEEKDAY('Daily Schedule'!$B$2,2)=4,WEEKDAY('Daily Schedule'!$B$2,2)=5,WEEKDAY('Daily Schedule'!$B$2,2)=7),IFERROR(1*'Daily Workforce'!$K204&gt;=3,FALSE()),IFERROR(1*'Daily Workforce'!$K204&gt;=2,FALSE())),IF(AND('Daily Schedule'!$A39&gt;=46,'Daily Schedule'!$A39&lt;=52),'Daily Workforce'!$M204="Y",IFERROR(1*'Daily Workforce'!$P204&gt;=2,FALSE()))))),1,0)</f>
        <v>0</v>
      </c>
      <c r="HH35" s="1" t="n">
        <f aca="false">IF(AND('Daily Workforce'!$N205="Y",'Daily Workforce'!$B205&lt;&gt;"",COUNTIF('Daily Schedule'!$F$5:$F38,'Daily Workforce'!$B205)=0,IF('Daily Schedule'!$A39=45,'Daily Workforce'!$J205="Y",IF(OR('Daily Schedule'!$A39=4,'Daily Schedule'!$A39=8),IF(OR(WEEKDAY('Daily Schedule'!$B$2,2)=1,WEEKDAY('Daily Schedule'!$B$2,2)=4,WEEKDAY('Daily Schedule'!$B$2,2)=5,WEEKDAY('Daily Schedule'!$B$2,2)=7),IFERROR(1*'Daily Workforce'!$K205&gt;=3,FALSE()),IFERROR(1*'Daily Workforce'!$K205&gt;=2,FALSE())),IF(AND('Daily Schedule'!$A39&gt;=46,'Daily Schedule'!$A39&lt;=52),'Daily Workforce'!$M205="Y",IFERROR(1*'Daily Workforce'!$P205&gt;=2,FALSE()))))),1,0)</f>
        <v>0</v>
      </c>
    </row>
    <row r="36" customFormat="false" ht="15" hidden="false" customHeight="true" outlineLevel="0" collapsed="false">
      <c r="L36" s="1" t="s">
        <v>488</v>
      </c>
      <c r="O36" s="1" t="str">
        <f aca="false">IF(AND('Employee Master'!$G36="Y",ISERROR(SEARCH(TEXT('Daily Workforce'!$B$2,"ddd"),'Employee Master'!$D36)),IF('Daily Workforce'!$E$2="",TRUE(),'Employee Master'!$I36='Daily Workforce'!$E$2)),'Employee Master'!$K36*1000+ROW()-1,"")</f>
        <v/>
      </c>
      <c r="P36" s="1" t="str">
        <f aca="false">IF($O36="","",COUNTIF($O$2:$O$159,"&lt;="&amp;$O36))</f>
        <v/>
      </c>
      <c r="Q36" s="1" t="n">
        <f aca="false">IF(AND('Daily Workforce'!$N6="Y",'Daily Workforce'!$B6&lt;&gt;"",COUNTIF('Daily Schedule'!$F$5:$F39,'Daily Workforce'!$B6)=0,IF('Daily Schedule'!$A40=45,'Daily Workforce'!$J6="Y",IF(OR('Daily Schedule'!$A40=4,'Daily Schedule'!$A40=8),IF(OR(WEEKDAY('Daily Schedule'!$B$2,2)=1,WEEKDAY('Daily Schedule'!$B$2,2)=4,WEEKDAY('Daily Schedule'!$B$2,2)=5,WEEKDAY('Daily Schedule'!$B$2,2)=7),IFERROR(1*'Daily Workforce'!$K6&gt;=3,FALSE()),IFERROR(1*'Daily Workforce'!$K6&gt;=2,FALSE())),IF(AND('Daily Schedule'!$A40&gt;=46,'Daily Schedule'!$A40&lt;=52),'Daily Workforce'!$M6="Y",IFERROR(1*'Daily Workforce'!$P6&gt;=2,FALSE()))))),1,0)</f>
        <v>0</v>
      </c>
      <c r="R36" s="1" t="n">
        <f aca="false">IF(AND('Daily Workforce'!$N7="Y",'Daily Workforce'!$B7&lt;&gt;"",COUNTIF('Daily Schedule'!$F$5:$F39,'Daily Workforce'!$B7)=0,IF('Daily Schedule'!$A40=45,'Daily Workforce'!$J7="Y",IF(OR('Daily Schedule'!$A40=4,'Daily Schedule'!$A40=8),IF(OR(WEEKDAY('Daily Schedule'!$B$2,2)=1,WEEKDAY('Daily Schedule'!$B$2,2)=4,WEEKDAY('Daily Schedule'!$B$2,2)=5,WEEKDAY('Daily Schedule'!$B$2,2)=7),IFERROR(1*'Daily Workforce'!$K7&gt;=3,FALSE()),IFERROR(1*'Daily Workforce'!$K7&gt;=2,FALSE())),IF(AND('Daily Schedule'!$A40&gt;=46,'Daily Schedule'!$A40&lt;=52),'Daily Workforce'!$M7="Y",IFERROR(1*'Daily Workforce'!$P7&gt;=2,FALSE()))))),1,0)</f>
        <v>0</v>
      </c>
      <c r="S36" s="1" t="n">
        <f aca="false">IF(AND('Daily Workforce'!$N8="Y",'Daily Workforce'!$B8&lt;&gt;"",COUNTIF('Daily Schedule'!$F$5:$F39,'Daily Workforce'!$B8)=0,IF('Daily Schedule'!$A40=45,'Daily Workforce'!$J8="Y",IF(OR('Daily Schedule'!$A40=4,'Daily Schedule'!$A40=8),IF(OR(WEEKDAY('Daily Schedule'!$B$2,2)=1,WEEKDAY('Daily Schedule'!$B$2,2)=4,WEEKDAY('Daily Schedule'!$B$2,2)=5,WEEKDAY('Daily Schedule'!$B$2,2)=7),IFERROR(1*'Daily Workforce'!$K8&gt;=3,FALSE()),IFERROR(1*'Daily Workforce'!$K8&gt;=2,FALSE())),IF(AND('Daily Schedule'!$A40&gt;=46,'Daily Schedule'!$A40&lt;=52),'Daily Workforce'!$M8="Y",IFERROR(1*'Daily Workforce'!$P8&gt;=2,FALSE()))))),1,0)</f>
        <v>0</v>
      </c>
      <c r="T36" s="1" t="n">
        <f aca="false">IF(AND('Daily Workforce'!$N9="Y",'Daily Workforce'!$B9&lt;&gt;"",COUNTIF('Daily Schedule'!$F$5:$F39,'Daily Workforce'!$B9)=0,IF('Daily Schedule'!$A40=45,'Daily Workforce'!$J9="Y",IF(OR('Daily Schedule'!$A40=4,'Daily Schedule'!$A40=8),IF(OR(WEEKDAY('Daily Schedule'!$B$2,2)=1,WEEKDAY('Daily Schedule'!$B$2,2)=4,WEEKDAY('Daily Schedule'!$B$2,2)=5,WEEKDAY('Daily Schedule'!$B$2,2)=7),IFERROR(1*'Daily Workforce'!$K9&gt;=3,FALSE()),IFERROR(1*'Daily Workforce'!$K9&gt;=2,FALSE())),IF(AND('Daily Schedule'!$A40&gt;=46,'Daily Schedule'!$A40&lt;=52),'Daily Workforce'!$M9="Y",IFERROR(1*'Daily Workforce'!$P9&gt;=2,FALSE()))))),1,0)</f>
        <v>0</v>
      </c>
      <c r="U36" s="1" t="n">
        <f aca="false">IF(AND('Daily Workforce'!$N10="Y",'Daily Workforce'!$B10&lt;&gt;"",COUNTIF('Daily Schedule'!$F$5:$F39,'Daily Workforce'!$B10)=0,IF('Daily Schedule'!$A40=45,'Daily Workforce'!$J10="Y",IF(OR('Daily Schedule'!$A40=4,'Daily Schedule'!$A40=8),IF(OR(WEEKDAY('Daily Schedule'!$B$2,2)=1,WEEKDAY('Daily Schedule'!$B$2,2)=4,WEEKDAY('Daily Schedule'!$B$2,2)=5,WEEKDAY('Daily Schedule'!$B$2,2)=7),IFERROR(1*'Daily Workforce'!$K10&gt;=3,FALSE()),IFERROR(1*'Daily Workforce'!$K10&gt;=2,FALSE())),IF(AND('Daily Schedule'!$A40&gt;=46,'Daily Schedule'!$A40&lt;=52),'Daily Workforce'!$M10="Y",IFERROR(1*'Daily Workforce'!$P10&gt;=2,FALSE()))))),1,0)</f>
        <v>0</v>
      </c>
      <c r="V36" s="1" t="n">
        <f aca="false">IF(AND('Daily Workforce'!$N11="Y",'Daily Workforce'!$B11&lt;&gt;"",COUNTIF('Daily Schedule'!$F$5:$F39,'Daily Workforce'!$B11)=0,IF('Daily Schedule'!$A40=45,'Daily Workforce'!$J11="Y",IF(OR('Daily Schedule'!$A40=4,'Daily Schedule'!$A40=8),IF(OR(WEEKDAY('Daily Schedule'!$B$2,2)=1,WEEKDAY('Daily Schedule'!$B$2,2)=4,WEEKDAY('Daily Schedule'!$B$2,2)=5,WEEKDAY('Daily Schedule'!$B$2,2)=7),IFERROR(1*'Daily Workforce'!$K11&gt;=3,FALSE()),IFERROR(1*'Daily Workforce'!$K11&gt;=2,FALSE())),IF(AND('Daily Schedule'!$A40&gt;=46,'Daily Schedule'!$A40&lt;=52),'Daily Workforce'!$M11="Y",IFERROR(1*'Daily Workforce'!$P11&gt;=2,FALSE()))))),1,0)</f>
        <v>0</v>
      </c>
      <c r="W36" s="1" t="n">
        <f aca="false">IF(AND('Daily Workforce'!$N12="Y",'Daily Workforce'!$B12&lt;&gt;"",COUNTIF('Daily Schedule'!$F$5:$F39,'Daily Workforce'!$B12)=0,IF('Daily Schedule'!$A40=45,'Daily Workforce'!$J12="Y",IF(OR('Daily Schedule'!$A40=4,'Daily Schedule'!$A40=8),IF(OR(WEEKDAY('Daily Schedule'!$B$2,2)=1,WEEKDAY('Daily Schedule'!$B$2,2)=4,WEEKDAY('Daily Schedule'!$B$2,2)=5,WEEKDAY('Daily Schedule'!$B$2,2)=7),IFERROR(1*'Daily Workforce'!$K12&gt;=3,FALSE()),IFERROR(1*'Daily Workforce'!$K12&gt;=2,FALSE())),IF(AND('Daily Schedule'!$A40&gt;=46,'Daily Schedule'!$A40&lt;=52),'Daily Workforce'!$M12="Y",IFERROR(1*'Daily Workforce'!$P12&gt;=2,FALSE()))))),1,0)</f>
        <v>0</v>
      </c>
      <c r="X36" s="1" t="n">
        <f aca="false">IF(AND('Daily Workforce'!$N13="Y",'Daily Workforce'!$B13&lt;&gt;"",COUNTIF('Daily Schedule'!$F$5:$F39,'Daily Workforce'!$B13)=0,IF('Daily Schedule'!$A40=45,'Daily Workforce'!$J13="Y",IF(OR('Daily Schedule'!$A40=4,'Daily Schedule'!$A40=8),IF(OR(WEEKDAY('Daily Schedule'!$B$2,2)=1,WEEKDAY('Daily Schedule'!$B$2,2)=4,WEEKDAY('Daily Schedule'!$B$2,2)=5,WEEKDAY('Daily Schedule'!$B$2,2)=7),IFERROR(1*'Daily Workforce'!$K13&gt;=3,FALSE()),IFERROR(1*'Daily Workforce'!$K13&gt;=2,FALSE())),IF(AND('Daily Schedule'!$A40&gt;=46,'Daily Schedule'!$A40&lt;=52),'Daily Workforce'!$M13="Y",IFERROR(1*'Daily Workforce'!$P13&gt;=2,FALSE()))))),1,0)</f>
        <v>0</v>
      </c>
      <c r="Y36" s="1" t="n">
        <f aca="false">IF(AND('Daily Workforce'!$N14="Y",'Daily Workforce'!$B14&lt;&gt;"",COUNTIF('Daily Schedule'!$F$5:$F39,'Daily Workforce'!$B14)=0,IF('Daily Schedule'!$A40=45,'Daily Workforce'!$J14="Y",IF(OR('Daily Schedule'!$A40=4,'Daily Schedule'!$A40=8),IF(OR(WEEKDAY('Daily Schedule'!$B$2,2)=1,WEEKDAY('Daily Schedule'!$B$2,2)=4,WEEKDAY('Daily Schedule'!$B$2,2)=5,WEEKDAY('Daily Schedule'!$B$2,2)=7),IFERROR(1*'Daily Workforce'!$K14&gt;=3,FALSE()),IFERROR(1*'Daily Workforce'!$K14&gt;=2,FALSE())),IF(AND('Daily Schedule'!$A40&gt;=46,'Daily Schedule'!$A40&lt;=52),'Daily Workforce'!$M14="Y",IFERROR(1*'Daily Workforce'!$P14&gt;=2,FALSE()))))),1,0)</f>
        <v>0</v>
      </c>
      <c r="Z36" s="1" t="n">
        <f aca="false">IF(AND('Daily Workforce'!$N15="Y",'Daily Workforce'!$B15&lt;&gt;"",COUNTIF('Daily Schedule'!$F$5:$F39,'Daily Workforce'!$B15)=0,IF('Daily Schedule'!$A40=45,'Daily Workforce'!$J15="Y",IF(OR('Daily Schedule'!$A40=4,'Daily Schedule'!$A40=8),IF(OR(WEEKDAY('Daily Schedule'!$B$2,2)=1,WEEKDAY('Daily Schedule'!$B$2,2)=4,WEEKDAY('Daily Schedule'!$B$2,2)=5,WEEKDAY('Daily Schedule'!$B$2,2)=7),IFERROR(1*'Daily Workforce'!$K15&gt;=3,FALSE()),IFERROR(1*'Daily Workforce'!$K15&gt;=2,FALSE())),IF(AND('Daily Schedule'!$A40&gt;=46,'Daily Schedule'!$A40&lt;=52),'Daily Workforce'!$M15="Y",IFERROR(1*'Daily Workforce'!$P15&gt;=2,FALSE()))))),1,0)</f>
        <v>0</v>
      </c>
      <c r="AA36" s="1" t="n">
        <f aca="false">IF(AND('Daily Workforce'!$N16="Y",'Daily Workforce'!$B16&lt;&gt;"",COUNTIF('Daily Schedule'!$F$5:$F39,'Daily Workforce'!$B16)=0,IF('Daily Schedule'!$A40=45,'Daily Workforce'!$J16="Y",IF(OR('Daily Schedule'!$A40=4,'Daily Schedule'!$A40=8),IF(OR(WEEKDAY('Daily Schedule'!$B$2,2)=1,WEEKDAY('Daily Schedule'!$B$2,2)=4,WEEKDAY('Daily Schedule'!$B$2,2)=5,WEEKDAY('Daily Schedule'!$B$2,2)=7),IFERROR(1*'Daily Workforce'!$K16&gt;=3,FALSE()),IFERROR(1*'Daily Workforce'!$K16&gt;=2,FALSE())),IF(AND('Daily Schedule'!$A40&gt;=46,'Daily Schedule'!$A40&lt;=52),'Daily Workforce'!$M16="Y",IFERROR(1*'Daily Workforce'!$P16&gt;=2,FALSE()))))),1,0)</f>
        <v>0</v>
      </c>
      <c r="AB36" s="1" t="n">
        <f aca="false">IF(AND('Daily Workforce'!$N17="Y",'Daily Workforce'!$B17&lt;&gt;"",COUNTIF('Daily Schedule'!$F$5:$F39,'Daily Workforce'!$B17)=0,IF('Daily Schedule'!$A40=45,'Daily Workforce'!$J17="Y",IF(OR('Daily Schedule'!$A40=4,'Daily Schedule'!$A40=8),IF(OR(WEEKDAY('Daily Schedule'!$B$2,2)=1,WEEKDAY('Daily Schedule'!$B$2,2)=4,WEEKDAY('Daily Schedule'!$B$2,2)=5,WEEKDAY('Daily Schedule'!$B$2,2)=7),IFERROR(1*'Daily Workforce'!$K17&gt;=3,FALSE()),IFERROR(1*'Daily Workforce'!$K17&gt;=2,FALSE())),IF(AND('Daily Schedule'!$A40&gt;=46,'Daily Schedule'!$A40&lt;=52),'Daily Workforce'!$M17="Y",IFERROR(1*'Daily Workforce'!$P17&gt;=2,FALSE()))))),1,0)</f>
        <v>0</v>
      </c>
      <c r="AC36" s="1" t="n">
        <f aca="false">IF(AND('Daily Workforce'!$N18="Y",'Daily Workforce'!$B18&lt;&gt;"",COUNTIF('Daily Schedule'!$F$5:$F39,'Daily Workforce'!$B18)=0,IF('Daily Schedule'!$A40=45,'Daily Workforce'!$J18="Y",IF(OR('Daily Schedule'!$A40=4,'Daily Schedule'!$A40=8),IF(OR(WEEKDAY('Daily Schedule'!$B$2,2)=1,WEEKDAY('Daily Schedule'!$B$2,2)=4,WEEKDAY('Daily Schedule'!$B$2,2)=5,WEEKDAY('Daily Schedule'!$B$2,2)=7),IFERROR(1*'Daily Workforce'!$K18&gt;=3,FALSE()),IFERROR(1*'Daily Workforce'!$K18&gt;=2,FALSE())),IF(AND('Daily Schedule'!$A40&gt;=46,'Daily Schedule'!$A40&lt;=52),'Daily Workforce'!$M18="Y",IFERROR(1*'Daily Workforce'!$P18&gt;=2,FALSE()))))),1,0)</f>
        <v>0</v>
      </c>
      <c r="AD36" s="1" t="n">
        <f aca="false">IF(AND('Daily Workforce'!$N19="Y",'Daily Workforce'!$B19&lt;&gt;"",COUNTIF('Daily Schedule'!$F$5:$F39,'Daily Workforce'!$B19)=0,IF('Daily Schedule'!$A40=45,'Daily Workforce'!$J19="Y",IF(OR('Daily Schedule'!$A40=4,'Daily Schedule'!$A40=8),IF(OR(WEEKDAY('Daily Schedule'!$B$2,2)=1,WEEKDAY('Daily Schedule'!$B$2,2)=4,WEEKDAY('Daily Schedule'!$B$2,2)=5,WEEKDAY('Daily Schedule'!$B$2,2)=7),IFERROR(1*'Daily Workforce'!$K19&gt;=3,FALSE()),IFERROR(1*'Daily Workforce'!$K19&gt;=2,FALSE())),IF(AND('Daily Schedule'!$A40&gt;=46,'Daily Schedule'!$A40&lt;=52),'Daily Workforce'!$M19="Y",IFERROR(1*'Daily Workforce'!$P19&gt;=2,FALSE()))))),1,0)</f>
        <v>0</v>
      </c>
      <c r="AE36" s="1" t="n">
        <f aca="false">IF(AND('Daily Workforce'!$N20="Y",'Daily Workforce'!$B20&lt;&gt;"",COUNTIF('Daily Schedule'!$F$5:$F39,'Daily Workforce'!$B20)=0,IF('Daily Schedule'!$A40=45,'Daily Workforce'!$J20="Y",IF(OR('Daily Schedule'!$A40=4,'Daily Schedule'!$A40=8),IF(OR(WEEKDAY('Daily Schedule'!$B$2,2)=1,WEEKDAY('Daily Schedule'!$B$2,2)=4,WEEKDAY('Daily Schedule'!$B$2,2)=5,WEEKDAY('Daily Schedule'!$B$2,2)=7),IFERROR(1*'Daily Workforce'!$K20&gt;=3,FALSE()),IFERROR(1*'Daily Workforce'!$K20&gt;=2,FALSE())),IF(AND('Daily Schedule'!$A40&gt;=46,'Daily Schedule'!$A40&lt;=52),'Daily Workforce'!$M20="Y",IFERROR(1*'Daily Workforce'!$P20&gt;=2,FALSE()))))),1,0)</f>
        <v>0</v>
      </c>
      <c r="AF36" s="1" t="n">
        <f aca="false">IF(AND('Daily Workforce'!$N21="Y",'Daily Workforce'!$B21&lt;&gt;"",COUNTIF('Daily Schedule'!$F$5:$F39,'Daily Workforce'!$B21)=0,IF('Daily Schedule'!$A40=45,'Daily Workforce'!$J21="Y",IF(OR('Daily Schedule'!$A40=4,'Daily Schedule'!$A40=8),IF(OR(WEEKDAY('Daily Schedule'!$B$2,2)=1,WEEKDAY('Daily Schedule'!$B$2,2)=4,WEEKDAY('Daily Schedule'!$B$2,2)=5,WEEKDAY('Daily Schedule'!$B$2,2)=7),IFERROR(1*'Daily Workforce'!$K21&gt;=3,FALSE()),IFERROR(1*'Daily Workforce'!$K21&gt;=2,FALSE())),IF(AND('Daily Schedule'!$A40&gt;=46,'Daily Schedule'!$A40&lt;=52),'Daily Workforce'!$M21="Y",IFERROR(1*'Daily Workforce'!$P21&gt;=2,FALSE()))))),1,0)</f>
        <v>0</v>
      </c>
      <c r="AG36" s="1" t="n">
        <f aca="false">IF(AND('Daily Workforce'!$N22="Y",'Daily Workforce'!$B22&lt;&gt;"",COUNTIF('Daily Schedule'!$F$5:$F39,'Daily Workforce'!$B22)=0,IF('Daily Schedule'!$A40=45,'Daily Workforce'!$J22="Y",IF(OR('Daily Schedule'!$A40=4,'Daily Schedule'!$A40=8),IF(OR(WEEKDAY('Daily Schedule'!$B$2,2)=1,WEEKDAY('Daily Schedule'!$B$2,2)=4,WEEKDAY('Daily Schedule'!$B$2,2)=5,WEEKDAY('Daily Schedule'!$B$2,2)=7),IFERROR(1*'Daily Workforce'!$K22&gt;=3,FALSE()),IFERROR(1*'Daily Workforce'!$K22&gt;=2,FALSE())),IF(AND('Daily Schedule'!$A40&gt;=46,'Daily Schedule'!$A40&lt;=52),'Daily Workforce'!$M22="Y",IFERROR(1*'Daily Workforce'!$P22&gt;=2,FALSE()))))),1,0)</f>
        <v>0</v>
      </c>
      <c r="AH36" s="1" t="n">
        <f aca="false">IF(AND('Daily Workforce'!$N23="Y",'Daily Workforce'!$B23&lt;&gt;"",COUNTIF('Daily Schedule'!$F$5:$F39,'Daily Workforce'!$B23)=0,IF('Daily Schedule'!$A40=45,'Daily Workforce'!$J23="Y",IF(OR('Daily Schedule'!$A40=4,'Daily Schedule'!$A40=8),IF(OR(WEEKDAY('Daily Schedule'!$B$2,2)=1,WEEKDAY('Daily Schedule'!$B$2,2)=4,WEEKDAY('Daily Schedule'!$B$2,2)=5,WEEKDAY('Daily Schedule'!$B$2,2)=7),IFERROR(1*'Daily Workforce'!$K23&gt;=3,FALSE()),IFERROR(1*'Daily Workforce'!$K23&gt;=2,FALSE())),IF(AND('Daily Schedule'!$A40&gt;=46,'Daily Schedule'!$A40&lt;=52),'Daily Workforce'!$M23="Y",IFERROR(1*'Daily Workforce'!$P23&gt;=2,FALSE()))))),1,0)</f>
        <v>0</v>
      </c>
      <c r="AI36" s="1" t="n">
        <f aca="false">IF(AND('Daily Workforce'!$N24="Y",'Daily Workforce'!$B24&lt;&gt;"",COUNTIF('Daily Schedule'!$F$5:$F39,'Daily Workforce'!$B24)=0,IF('Daily Schedule'!$A40=45,'Daily Workforce'!$J24="Y",IF(OR('Daily Schedule'!$A40=4,'Daily Schedule'!$A40=8),IF(OR(WEEKDAY('Daily Schedule'!$B$2,2)=1,WEEKDAY('Daily Schedule'!$B$2,2)=4,WEEKDAY('Daily Schedule'!$B$2,2)=5,WEEKDAY('Daily Schedule'!$B$2,2)=7),IFERROR(1*'Daily Workforce'!$K24&gt;=3,FALSE()),IFERROR(1*'Daily Workforce'!$K24&gt;=2,FALSE())),IF(AND('Daily Schedule'!$A40&gt;=46,'Daily Schedule'!$A40&lt;=52),'Daily Workforce'!$M24="Y",IFERROR(1*'Daily Workforce'!$P24&gt;=2,FALSE()))))),1,0)</f>
        <v>0</v>
      </c>
      <c r="AJ36" s="1" t="n">
        <f aca="false">IF(AND('Daily Workforce'!$N25="Y",'Daily Workforce'!$B25&lt;&gt;"",COUNTIF('Daily Schedule'!$F$5:$F39,'Daily Workforce'!$B25)=0,IF('Daily Schedule'!$A40=45,'Daily Workforce'!$J25="Y",IF(OR('Daily Schedule'!$A40=4,'Daily Schedule'!$A40=8),IF(OR(WEEKDAY('Daily Schedule'!$B$2,2)=1,WEEKDAY('Daily Schedule'!$B$2,2)=4,WEEKDAY('Daily Schedule'!$B$2,2)=5,WEEKDAY('Daily Schedule'!$B$2,2)=7),IFERROR(1*'Daily Workforce'!$K25&gt;=3,FALSE()),IFERROR(1*'Daily Workforce'!$K25&gt;=2,FALSE())),IF(AND('Daily Schedule'!$A40&gt;=46,'Daily Schedule'!$A40&lt;=52),'Daily Workforce'!$M25="Y",IFERROR(1*'Daily Workforce'!$P25&gt;=2,FALSE()))))),1,0)</f>
        <v>0</v>
      </c>
      <c r="AK36" s="1" t="n">
        <f aca="false">IF(AND('Daily Workforce'!$N26="Y",'Daily Workforce'!$B26&lt;&gt;"",COUNTIF('Daily Schedule'!$F$5:$F39,'Daily Workforce'!$B26)=0,IF('Daily Schedule'!$A40=45,'Daily Workforce'!$J26="Y",IF(OR('Daily Schedule'!$A40=4,'Daily Schedule'!$A40=8),IF(OR(WEEKDAY('Daily Schedule'!$B$2,2)=1,WEEKDAY('Daily Schedule'!$B$2,2)=4,WEEKDAY('Daily Schedule'!$B$2,2)=5,WEEKDAY('Daily Schedule'!$B$2,2)=7),IFERROR(1*'Daily Workforce'!$K26&gt;=3,FALSE()),IFERROR(1*'Daily Workforce'!$K26&gt;=2,FALSE())),IF(AND('Daily Schedule'!$A40&gt;=46,'Daily Schedule'!$A40&lt;=52),'Daily Workforce'!$M26="Y",IFERROR(1*'Daily Workforce'!$P26&gt;=2,FALSE()))))),1,0)</f>
        <v>0</v>
      </c>
      <c r="AL36" s="1" t="n">
        <f aca="false">IF(AND('Daily Workforce'!$N27="Y",'Daily Workforce'!$B27&lt;&gt;"",COUNTIF('Daily Schedule'!$F$5:$F39,'Daily Workforce'!$B27)=0,IF('Daily Schedule'!$A40=45,'Daily Workforce'!$J27="Y",IF(OR('Daily Schedule'!$A40=4,'Daily Schedule'!$A40=8),IF(OR(WEEKDAY('Daily Schedule'!$B$2,2)=1,WEEKDAY('Daily Schedule'!$B$2,2)=4,WEEKDAY('Daily Schedule'!$B$2,2)=5,WEEKDAY('Daily Schedule'!$B$2,2)=7),IFERROR(1*'Daily Workforce'!$K27&gt;=3,FALSE()),IFERROR(1*'Daily Workforce'!$K27&gt;=2,FALSE())),IF(AND('Daily Schedule'!$A40&gt;=46,'Daily Schedule'!$A40&lt;=52),'Daily Workforce'!$M27="Y",IFERROR(1*'Daily Workforce'!$P27&gt;=2,FALSE()))))),1,0)</f>
        <v>0</v>
      </c>
      <c r="AM36" s="1" t="n">
        <f aca="false">IF(AND('Daily Workforce'!$N28="Y",'Daily Workforce'!$B28&lt;&gt;"",COUNTIF('Daily Schedule'!$F$5:$F39,'Daily Workforce'!$B28)=0,IF('Daily Schedule'!$A40=45,'Daily Workforce'!$J28="Y",IF(OR('Daily Schedule'!$A40=4,'Daily Schedule'!$A40=8),IF(OR(WEEKDAY('Daily Schedule'!$B$2,2)=1,WEEKDAY('Daily Schedule'!$B$2,2)=4,WEEKDAY('Daily Schedule'!$B$2,2)=5,WEEKDAY('Daily Schedule'!$B$2,2)=7),IFERROR(1*'Daily Workforce'!$K28&gt;=3,FALSE()),IFERROR(1*'Daily Workforce'!$K28&gt;=2,FALSE())),IF(AND('Daily Schedule'!$A40&gt;=46,'Daily Schedule'!$A40&lt;=52),'Daily Workforce'!$M28="Y",IFERROR(1*'Daily Workforce'!$P28&gt;=2,FALSE()))))),1,0)</f>
        <v>0</v>
      </c>
      <c r="AN36" s="1" t="n">
        <f aca="false">IF(AND('Daily Workforce'!$N29="Y",'Daily Workforce'!$B29&lt;&gt;"",COUNTIF('Daily Schedule'!$F$5:$F39,'Daily Workforce'!$B29)=0,IF('Daily Schedule'!$A40=45,'Daily Workforce'!$J29="Y",IF(OR('Daily Schedule'!$A40=4,'Daily Schedule'!$A40=8),IF(OR(WEEKDAY('Daily Schedule'!$B$2,2)=1,WEEKDAY('Daily Schedule'!$B$2,2)=4,WEEKDAY('Daily Schedule'!$B$2,2)=5,WEEKDAY('Daily Schedule'!$B$2,2)=7),IFERROR(1*'Daily Workforce'!$K29&gt;=3,FALSE()),IFERROR(1*'Daily Workforce'!$K29&gt;=2,FALSE())),IF(AND('Daily Schedule'!$A40&gt;=46,'Daily Schedule'!$A40&lt;=52),'Daily Workforce'!$M29="Y",IFERROR(1*'Daily Workforce'!$P29&gt;=2,FALSE()))))),1,0)</f>
        <v>0</v>
      </c>
      <c r="AO36" s="1" t="n">
        <f aca="false">IF(AND('Daily Workforce'!$N30="Y",'Daily Workforce'!$B30&lt;&gt;"",COUNTIF('Daily Schedule'!$F$5:$F39,'Daily Workforce'!$B30)=0,IF('Daily Schedule'!$A40=45,'Daily Workforce'!$J30="Y",IF(OR('Daily Schedule'!$A40=4,'Daily Schedule'!$A40=8),IF(OR(WEEKDAY('Daily Schedule'!$B$2,2)=1,WEEKDAY('Daily Schedule'!$B$2,2)=4,WEEKDAY('Daily Schedule'!$B$2,2)=5,WEEKDAY('Daily Schedule'!$B$2,2)=7),IFERROR(1*'Daily Workforce'!$K30&gt;=3,FALSE()),IFERROR(1*'Daily Workforce'!$K30&gt;=2,FALSE())),IF(AND('Daily Schedule'!$A40&gt;=46,'Daily Schedule'!$A40&lt;=52),'Daily Workforce'!$M30="Y",IFERROR(1*'Daily Workforce'!$P30&gt;=2,FALSE()))))),1,0)</f>
        <v>0</v>
      </c>
      <c r="AP36" s="1" t="n">
        <f aca="false">IF(AND('Daily Workforce'!$N31="Y",'Daily Workforce'!$B31&lt;&gt;"",COUNTIF('Daily Schedule'!$F$5:$F39,'Daily Workforce'!$B31)=0,IF('Daily Schedule'!$A40=45,'Daily Workforce'!$J31="Y",IF(OR('Daily Schedule'!$A40=4,'Daily Schedule'!$A40=8),IF(OR(WEEKDAY('Daily Schedule'!$B$2,2)=1,WEEKDAY('Daily Schedule'!$B$2,2)=4,WEEKDAY('Daily Schedule'!$B$2,2)=5,WEEKDAY('Daily Schedule'!$B$2,2)=7),IFERROR(1*'Daily Workforce'!$K31&gt;=3,FALSE()),IFERROR(1*'Daily Workforce'!$K31&gt;=2,FALSE())),IF(AND('Daily Schedule'!$A40&gt;=46,'Daily Schedule'!$A40&lt;=52),'Daily Workforce'!$M31="Y",IFERROR(1*'Daily Workforce'!$P31&gt;=2,FALSE()))))),1,0)</f>
        <v>0</v>
      </c>
      <c r="AQ36" s="1" t="n">
        <f aca="false">IF(AND('Daily Workforce'!$N32="Y",'Daily Workforce'!$B32&lt;&gt;"",COUNTIF('Daily Schedule'!$F$5:$F39,'Daily Workforce'!$B32)=0,IF('Daily Schedule'!$A40=45,'Daily Workforce'!$J32="Y",IF(OR('Daily Schedule'!$A40=4,'Daily Schedule'!$A40=8),IF(OR(WEEKDAY('Daily Schedule'!$B$2,2)=1,WEEKDAY('Daily Schedule'!$B$2,2)=4,WEEKDAY('Daily Schedule'!$B$2,2)=5,WEEKDAY('Daily Schedule'!$B$2,2)=7),IFERROR(1*'Daily Workforce'!$K32&gt;=3,FALSE()),IFERROR(1*'Daily Workforce'!$K32&gt;=2,FALSE())),IF(AND('Daily Schedule'!$A40&gt;=46,'Daily Schedule'!$A40&lt;=52),'Daily Workforce'!$M32="Y",IFERROR(1*'Daily Workforce'!$P32&gt;=2,FALSE()))))),1,0)</f>
        <v>0</v>
      </c>
      <c r="AR36" s="1" t="n">
        <f aca="false">IF(AND('Daily Workforce'!$N33="Y",'Daily Workforce'!$B33&lt;&gt;"",COUNTIF('Daily Schedule'!$F$5:$F39,'Daily Workforce'!$B33)=0,IF('Daily Schedule'!$A40=45,'Daily Workforce'!$J33="Y",IF(OR('Daily Schedule'!$A40=4,'Daily Schedule'!$A40=8),IF(OR(WEEKDAY('Daily Schedule'!$B$2,2)=1,WEEKDAY('Daily Schedule'!$B$2,2)=4,WEEKDAY('Daily Schedule'!$B$2,2)=5,WEEKDAY('Daily Schedule'!$B$2,2)=7),IFERROR(1*'Daily Workforce'!$K33&gt;=3,FALSE()),IFERROR(1*'Daily Workforce'!$K33&gt;=2,FALSE())),IF(AND('Daily Schedule'!$A40&gt;=46,'Daily Schedule'!$A40&lt;=52),'Daily Workforce'!$M33="Y",IFERROR(1*'Daily Workforce'!$P33&gt;=2,FALSE()))))),1,0)</f>
        <v>0</v>
      </c>
      <c r="AS36" s="1" t="n">
        <f aca="false">IF(AND('Daily Workforce'!$N34="Y",'Daily Workforce'!$B34&lt;&gt;"",COUNTIF('Daily Schedule'!$F$5:$F39,'Daily Workforce'!$B34)=0,IF('Daily Schedule'!$A40=45,'Daily Workforce'!$J34="Y",IF(OR('Daily Schedule'!$A40=4,'Daily Schedule'!$A40=8),IF(OR(WEEKDAY('Daily Schedule'!$B$2,2)=1,WEEKDAY('Daily Schedule'!$B$2,2)=4,WEEKDAY('Daily Schedule'!$B$2,2)=5,WEEKDAY('Daily Schedule'!$B$2,2)=7),IFERROR(1*'Daily Workforce'!$K34&gt;=3,FALSE()),IFERROR(1*'Daily Workforce'!$K34&gt;=2,FALSE())),IF(AND('Daily Schedule'!$A40&gt;=46,'Daily Schedule'!$A40&lt;=52),'Daily Workforce'!$M34="Y",IFERROR(1*'Daily Workforce'!$P34&gt;=2,FALSE()))))),1,0)</f>
        <v>0</v>
      </c>
      <c r="AT36" s="1" t="n">
        <f aca="false">IF(AND('Daily Workforce'!$N35="Y",'Daily Workforce'!$B35&lt;&gt;"",COUNTIF('Daily Schedule'!$F$5:$F39,'Daily Workforce'!$B35)=0,IF('Daily Schedule'!$A40=45,'Daily Workforce'!$J35="Y",IF(OR('Daily Schedule'!$A40=4,'Daily Schedule'!$A40=8),IF(OR(WEEKDAY('Daily Schedule'!$B$2,2)=1,WEEKDAY('Daily Schedule'!$B$2,2)=4,WEEKDAY('Daily Schedule'!$B$2,2)=5,WEEKDAY('Daily Schedule'!$B$2,2)=7),IFERROR(1*'Daily Workforce'!$K35&gt;=3,FALSE()),IFERROR(1*'Daily Workforce'!$K35&gt;=2,FALSE())),IF(AND('Daily Schedule'!$A40&gt;=46,'Daily Schedule'!$A40&lt;=52),'Daily Workforce'!$M35="Y",IFERROR(1*'Daily Workforce'!$P35&gt;=2,FALSE()))))),1,0)</f>
        <v>0</v>
      </c>
      <c r="AU36" s="1" t="n">
        <f aca="false">IF(AND('Daily Workforce'!$N36="Y",'Daily Workforce'!$B36&lt;&gt;"",COUNTIF('Daily Schedule'!$F$5:$F39,'Daily Workforce'!$B36)=0,IF('Daily Schedule'!$A40=45,'Daily Workforce'!$J36="Y",IF(OR('Daily Schedule'!$A40=4,'Daily Schedule'!$A40=8),IF(OR(WEEKDAY('Daily Schedule'!$B$2,2)=1,WEEKDAY('Daily Schedule'!$B$2,2)=4,WEEKDAY('Daily Schedule'!$B$2,2)=5,WEEKDAY('Daily Schedule'!$B$2,2)=7),IFERROR(1*'Daily Workforce'!$K36&gt;=3,FALSE()),IFERROR(1*'Daily Workforce'!$K36&gt;=2,FALSE())),IF(AND('Daily Schedule'!$A40&gt;=46,'Daily Schedule'!$A40&lt;=52),'Daily Workforce'!$M36="Y",IFERROR(1*'Daily Workforce'!$P36&gt;=2,FALSE()))))),1,0)</f>
        <v>0</v>
      </c>
      <c r="AV36" s="1" t="n">
        <f aca="false">IF(AND('Daily Workforce'!$N37="Y",'Daily Workforce'!$B37&lt;&gt;"",COUNTIF('Daily Schedule'!$F$5:$F39,'Daily Workforce'!$B37)=0,IF('Daily Schedule'!$A40=45,'Daily Workforce'!$J37="Y",IF(OR('Daily Schedule'!$A40=4,'Daily Schedule'!$A40=8),IF(OR(WEEKDAY('Daily Schedule'!$B$2,2)=1,WEEKDAY('Daily Schedule'!$B$2,2)=4,WEEKDAY('Daily Schedule'!$B$2,2)=5,WEEKDAY('Daily Schedule'!$B$2,2)=7),IFERROR(1*'Daily Workforce'!$K37&gt;=3,FALSE()),IFERROR(1*'Daily Workforce'!$K37&gt;=2,FALSE())),IF(AND('Daily Schedule'!$A40&gt;=46,'Daily Schedule'!$A40&lt;=52),'Daily Workforce'!$M37="Y",IFERROR(1*'Daily Workforce'!$P37&gt;=2,FALSE()))))),1,0)</f>
        <v>0</v>
      </c>
      <c r="AW36" s="1" t="n">
        <f aca="false">IF(AND('Daily Workforce'!$N38="Y",'Daily Workforce'!$B38&lt;&gt;"",COUNTIF('Daily Schedule'!$F$5:$F39,'Daily Workforce'!$B38)=0,IF('Daily Schedule'!$A40=45,'Daily Workforce'!$J38="Y",IF(OR('Daily Schedule'!$A40=4,'Daily Schedule'!$A40=8),IF(OR(WEEKDAY('Daily Schedule'!$B$2,2)=1,WEEKDAY('Daily Schedule'!$B$2,2)=4,WEEKDAY('Daily Schedule'!$B$2,2)=5,WEEKDAY('Daily Schedule'!$B$2,2)=7),IFERROR(1*'Daily Workforce'!$K38&gt;=3,FALSE()),IFERROR(1*'Daily Workforce'!$K38&gt;=2,FALSE())),IF(AND('Daily Schedule'!$A40&gt;=46,'Daily Schedule'!$A40&lt;=52),'Daily Workforce'!$M38="Y",IFERROR(1*'Daily Workforce'!$P38&gt;=2,FALSE()))))),1,0)</f>
        <v>0</v>
      </c>
      <c r="AX36" s="1" t="n">
        <f aca="false">IF(AND('Daily Workforce'!$N39="Y",'Daily Workforce'!$B39&lt;&gt;"",COUNTIF('Daily Schedule'!$F$5:$F39,'Daily Workforce'!$B39)=0,IF('Daily Schedule'!$A40=45,'Daily Workforce'!$J39="Y",IF(OR('Daily Schedule'!$A40=4,'Daily Schedule'!$A40=8),IF(OR(WEEKDAY('Daily Schedule'!$B$2,2)=1,WEEKDAY('Daily Schedule'!$B$2,2)=4,WEEKDAY('Daily Schedule'!$B$2,2)=5,WEEKDAY('Daily Schedule'!$B$2,2)=7),IFERROR(1*'Daily Workforce'!$K39&gt;=3,FALSE()),IFERROR(1*'Daily Workforce'!$K39&gt;=2,FALSE())),IF(AND('Daily Schedule'!$A40&gt;=46,'Daily Schedule'!$A40&lt;=52),'Daily Workforce'!$M39="Y",IFERROR(1*'Daily Workforce'!$P39&gt;=2,FALSE()))))),1,0)</f>
        <v>1</v>
      </c>
      <c r="AY36" s="1" t="n">
        <f aca="false">IF(AND('Daily Workforce'!$N40="Y",'Daily Workforce'!$B40&lt;&gt;"",COUNTIF('Daily Schedule'!$F$5:$F39,'Daily Workforce'!$B40)=0,IF('Daily Schedule'!$A40=45,'Daily Workforce'!$J40="Y",IF(OR('Daily Schedule'!$A40=4,'Daily Schedule'!$A40=8),IF(OR(WEEKDAY('Daily Schedule'!$B$2,2)=1,WEEKDAY('Daily Schedule'!$B$2,2)=4,WEEKDAY('Daily Schedule'!$B$2,2)=5,WEEKDAY('Daily Schedule'!$B$2,2)=7),IFERROR(1*'Daily Workforce'!$K40&gt;=3,FALSE()),IFERROR(1*'Daily Workforce'!$K40&gt;=2,FALSE())),IF(AND('Daily Schedule'!$A40&gt;=46,'Daily Schedule'!$A40&lt;=52),'Daily Workforce'!$M40="Y",IFERROR(1*'Daily Workforce'!$P40&gt;=2,FALSE()))))),1,0)</f>
        <v>1</v>
      </c>
      <c r="AZ36" s="1" t="n">
        <f aca="false">IF(AND('Daily Workforce'!$N41="Y",'Daily Workforce'!$B41&lt;&gt;"",COUNTIF('Daily Schedule'!$F$5:$F39,'Daily Workforce'!$B41)=0,IF('Daily Schedule'!$A40=45,'Daily Workforce'!$J41="Y",IF(OR('Daily Schedule'!$A40=4,'Daily Schedule'!$A40=8),IF(OR(WEEKDAY('Daily Schedule'!$B$2,2)=1,WEEKDAY('Daily Schedule'!$B$2,2)=4,WEEKDAY('Daily Schedule'!$B$2,2)=5,WEEKDAY('Daily Schedule'!$B$2,2)=7),IFERROR(1*'Daily Workforce'!$K41&gt;=3,FALSE()),IFERROR(1*'Daily Workforce'!$K41&gt;=2,FALSE())),IF(AND('Daily Schedule'!$A40&gt;=46,'Daily Schedule'!$A40&lt;=52),'Daily Workforce'!$M41="Y",IFERROR(1*'Daily Workforce'!$P41&gt;=2,FALSE()))))),1,0)</f>
        <v>1</v>
      </c>
      <c r="BA36" s="1" t="n">
        <f aca="false">IF(AND('Daily Workforce'!$N42="Y",'Daily Workforce'!$B42&lt;&gt;"",COUNTIF('Daily Schedule'!$F$5:$F39,'Daily Workforce'!$B42)=0,IF('Daily Schedule'!$A40=45,'Daily Workforce'!$J42="Y",IF(OR('Daily Schedule'!$A40=4,'Daily Schedule'!$A40=8),IF(OR(WEEKDAY('Daily Schedule'!$B$2,2)=1,WEEKDAY('Daily Schedule'!$B$2,2)=4,WEEKDAY('Daily Schedule'!$B$2,2)=5,WEEKDAY('Daily Schedule'!$B$2,2)=7),IFERROR(1*'Daily Workforce'!$K42&gt;=3,FALSE()),IFERROR(1*'Daily Workforce'!$K42&gt;=2,FALSE())),IF(AND('Daily Schedule'!$A40&gt;=46,'Daily Schedule'!$A40&lt;=52),'Daily Workforce'!$M42="Y",IFERROR(1*'Daily Workforce'!$P42&gt;=2,FALSE()))))),1,0)</f>
        <v>1</v>
      </c>
      <c r="BB36" s="1" t="n">
        <f aca="false">IF(AND('Daily Workforce'!$N43="Y",'Daily Workforce'!$B43&lt;&gt;"",COUNTIF('Daily Schedule'!$F$5:$F39,'Daily Workforce'!$B43)=0,IF('Daily Schedule'!$A40=45,'Daily Workforce'!$J43="Y",IF(OR('Daily Schedule'!$A40=4,'Daily Schedule'!$A40=8),IF(OR(WEEKDAY('Daily Schedule'!$B$2,2)=1,WEEKDAY('Daily Schedule'!$B$2,2)=4,WEEKDAY('Daily Schedule'!$B$2,2)=5,WEEKDAY('Daily Schedule'!$B$2,2)=7),IFERROR(1*'Daily Workforce'!$K43&gt;=3,FALSE()),IFERROR(1*'Daily Workforce'!$K43&gt;=2,FALSE())),IF(AND('Daily Schedule'!$A40&gt;=46,'Daily Schedule'!$A40&lt;=52),'Daily Workforce'!$M43="Y",IFERROR(1*'Daily Workforce'!$P43&gt;=2,FALSE()))))),1,0)</f>
        <v>1</v>
      </c>
      <c r="BC36" s="1" t="n">
        <f aca="false">IF(AND('Daily Workforce'!$N44="Y",'Daily Workforce'!$B44&lt;&gt;"",COUNTIF('Daily Schedule'!$F$5:$F39,'Daily Workforce'!$B44)=0,IF('Daily Schedule'!$A40=45,'Daily Workforce'!$J44="Y",IF(OR('Daily Schedule'!$A40=4,'Daily Schedule'!$A40=8),IF(OR(WEEKDAY('Daily Schedule'!$B$2,2)=1,WEEKDAY('Daily Schedule'!$B$2,2)=4,WEEKDAY('Daily Schedule'!$B$2,2)=5,WEEKDAY('Daily Schedule'!$B$2,2)=7),IFERROR(1*'Daily Workforce'!$K44&gt;=3,FALSE()),IFERROR(1*'Daily Workforce'!$K44&gt;=2,FALSE())),IF(AND('Daily Schedule'!$A40&gt;=46,'Daily Schedule'!$A40&lt;=52),'Daily Workforce'!$M44="Y",IFERROR(1*'Daily Workforce'!$P44&gt;=2,FALSE()))))),1,0)</f>
        <v>1</v>
      </c>
      <c r="BD36" s="1" t="n">
        <f aca="false">IF(AND('Daily Workforce'!$N45="Y",'Daily Workforce'!$B45&lt;&gt;"",COUNTIF('Daily Schedule'!$F$5:$F39,'Daily Workforce'!$B45)=0,IF('Daily Schedule'!$A40=45,'Daily Workforce'!$J45="Y",IF(OR('Daily Schedule'!$A40=4,'Daily Schedule'!$A40=8),IF(OR(WEEKDAY('Daily Schedule'!$B$2,2)=1,WEEKDAY('Daily Schedule'!$B$2,2)=4,WEEKDAY('Daily Schedule'!$B$2,2)=5,WEEKDAY('Daily Schedule'!$B$2,2)=7),IFERROR(1*'Daily Workforce'!$K45&gt;=3,FALSE()),IFERROR(1*'Daily Workforce'!$K45&gt;=2,FALSE())),IF(AND('Daily Schedule'!$A40&gt;=46,'Daily Schedule'!$A40&lt;=52),'Daily Workforce'!$M45="Y",IFERROR(1*'Daily Workforce'!$P45&gt;=2,FALSE()))))),1,0)</f>
        <v>1</v>
      </c>
      <c r="BE36" s="1" t="n">
        <f aca="false">IF(AND('Daily Workforce'!$N46="Y",'Daily Workforce'!$B46&lt;&gt;"",COUNTIF('Daily Schedule'!$F$5:$F39,'Daily Workforce'!$B46)=0,IF('Daily Schedule'!$A40=45,'Daily Workforce'!$J46="Y",IF(OR('Daily Schedule'!$A40=4,'Daily Schedule'!$A40=8),IF(OR(WEEKDAY('Daily Schedule'!$B$2,2)=1,WEEKDAY('Daily Schedule'!$B$2,2)=4,WEEKDAY('Daily Schedule'!$B$2,2)=5,WEEKDAY('Daily Schedule'!$B$2,2)=7),IFERROR(1*'Daily Workforce'!$K46&gt;=3,FALSE()),IFERROR(1*'Daily Workforce'!$K46&gt;=2,FALSE())),IF(AND('Daily Schedule'!$A40&gt;=46,'Daily Schedule'!$A40&lt;=52),'Daily Workforce'!$M46="Y",IFERROR(1*'Daily Workforce'!$P46&gt;=2,FALSE()))))),1,0)</f>
        <v>1</v>
      </c>
      <c r="BF36" s="1" t="n">
        <f aca="false">IF(AND('Daily Workforce'!$N47="Y",'Daily Workforce'!$B47&lt;&gt;"",COUNTIF('Daily Schedule'!$F$5:$F39,'Daily Workforce'!$B47)=0,IF('Daily Schedule'!$A40=45,'Daily Workforce'!$J47="Y",IF(OR('Daily Schedule'!$A40=4,'Daily Schedule'!$A40=8),IF(OR(WEEKDAY('Daily Schedule'!$B$2,2)=1,WEEKDAY('Daily Schedule'!$B$2,2)=4,WEEKDAY('Daily Schedule'!$B$2,2)=5,WEEKDAY('Daily Schedule'!$B$2,2)=7),IFERROR(1*'Daily Workforce'!$K47&gt;=3,FALSE()),IFERROR(1*'Daily Workforce'!$K47&gt;=2,FALSE())),IF(AND('Daily Schedule'!$A40&gt;=46,'Daily Schedule'!$A40&lt;=52),'Daily Workforce'!$M47="Y",IFERROR(1*'Daily Workforce'!$P47&gt;=2,FALSE()))))),1,0)</f>
        <v>0</v>
      </c>
      <c r="BG36" s="1" t="n">
        <f aca="false">IF(AND('Daily Workforce'!$N48="Y",'Daily Workforce'!$B48&lt;&gt;"",COUNTIF('Daily Schedule'!$F$5:$F39,'Daily Workforce'!$B48)=0,IF('Daily Schedule'!$A40=45,'Daily Workforce'!$J48="Y",IF(OR('Daily Schedule'!$A40=4,'Daily Schedule'!$A40=8),IF(OR(WEEKDAY('Daily Schedule'!$B$2,2)=1,WEEKDAY('Daily Schedule'!$B$2,2)=4,WEEKDAY('Daily Schedule'!$B$2,2)=5,WEEKDAY('Daily Schedule'!$B$2,2)=7),IFERROR(1*'Daily Workforce'!$K48&gt;=3,FALSE()),IFERROR(1*'Daily Workforce'!$K48&gt;=2,FALSE())),IF(AND('Daily Schedule'!$A40&gt;=46,'Daily Schedule'!$A40&lt;=52),'Daily Workforce'!$M48="Y",IFERROR(1*'Daily Workforce'!$P48&gt;=2,FALSE()))))),1,0)</f>
        <v>1</v>
      </c>
      <c r="BH36" s="1" t="n">
        <f aca="false">IF(AND('Daily Workforce'!$N49="Y",'Daily Workforce'!$B49&lt;&gt;"",COUNTIF('Daily Schedule'!$F$5:$F39,'Daily Workforce'!$B49)=0,IF('Daily Schedule'!$A40=45,'Daily Workforce'!$J49="Y",IF(OR('Daily Schedule'!$A40=4,'Daily Schedule'!$A40=8),IF(OR(WEEKDAY('Daily Schedule'!$B$2,2)=1,WEEKDAY('Daily Schedule'!$B$2,2)=4,WEEKDAY('Daily Schedule'!$B$2,2)=5,WEEKDAY('Daily Schedule'!$B$2,2)=7),IFERROR(1*'Daily Workforce'!$K49&gt;=3,FALSE()),IFERROR(1*'Daily Workforce'!$K49&gt;=2,FALSE())),IF(AND('Daily Schedule'!$A40&gt;=46,'Daily Schedule'!$A40&lt;=52),'Daily Workforce'!$M49="Y",IFERROR(1*'Daily Workforce'!$P49&gt;=2,FALSE()))))),1,0)</f>
        <v>1</v>
      </c>
      <c r="BI36" s="1" t="n">
        <f aca="false">IF(AND('Daily Workforce'!$N50="Y",'Daily Workforce'!$B50&lt;&gt;"",COUNTIF('Daily Schedule'!$F$5:$F39,'Daily Workforce'!$B50)=0,IF('Daily Schedule'!$A40=45,'Daily Workforce'!$J50="Y",IF(OR('Daily Schedule'!$A40=4,'Daily Schedule'!$A40=8),IF(OR(WEEKDAY('Daily Schedule'!$B$2,2)=1,WEEKDAY('Daily Schedule'!$B$2,2)=4,WEEKDAY('Daily Schedule'!$B$2,2)=5,WEEKDAY('Daily Schedule'!$B$2,2)=7),IFERROR(1*'Daily Workforce'!$K50&gt;=3,FALSE()),IFERROR(1*'Daily Workforce'!$K50&gt;=2,FALSE())),IF(AND('Daily Schedule'!$A40&gt;=46,'Daily Schedule'!$A40&lt;=52),'Daily Workforce'!$M50="Y",IFERROR(1*'Daily Workforce'!$P50&gt;=2,FALSE()))))),1,0)</f>
        <v>0</v>
      </c>
      <c r="BJ36" s="1" t="n">
        <f aca="false">IF(AND('Daily Workforce'!$N51="Y",'Daily Workforce'!$B51&lt;&gt;"",COUNTIF('Daily Schedule'!$F$5:$F39,'Daily Workforce'!$B51)=0,IF('Daily Schedule'!$A40=45,'Daily Workforce'!$J51="Y",IF(OR('Daily Schedule'!$A40=4,'Daily Schedule'!$A40=8),IF(OR(WEEKDAY('Daily Schedule'!$B$2,2)=1,WEEKDAY('Daily Schedule'!$B$2,2)=4,WEEKDAY('Daily Schedule'!$B$2,2)=5,WEEKDAY('Daily Schedule'!$B$2,2)=7),IFERROR(1*'Daily Workforce'!$K51&gt;=3,FALSE()),IFERROR(1*'Daily Workforce'!$K51&gt;=2,FALSE())),IF(AND('Daily Schedule'!$A40&gt;=46,'Daily Schedule'!$A40&lt;=52),'Daily Workforce'!$M51="Y",IFERROR(1*'Daily Workforce'!$P51&gt;=2,FALSE()))))),1,0)</f>
        <v>1</v>
      </c>
      <c r="BK36" s="1" t="n">
        <f aca="false">IF(AND('Daily Workforce'!$N52="Y",'Daily Workforce'!$B52&lt;&gt;"",COUNTIF('Daily Schedule'!$F$5:$F39,'Daily Workforce'!$B52)=0,IF('Daily Schedule'!$A40=45,'Daily Workforce'!$J52="Y",IF(OR('Daily Schedule'!$A40=4,'Daily Schedule'!$A40=8),IF(OR(WEEKDAY('Daily Schedule'!$B$2,2)=1,WEEKDAY('Daily Schedule'!$B$2,2)=4,WEEKDAY('Daily Schedule'!$B$2,2)=5,WEEKDAY('Daily Schedule'!$B$2,2)=7),IFERROR(1*'Daily Workforce'!$K52&gt;=3,FALSE()),IFERROR(1*'Daily Workforce'!$K52&gt;=2,FALSE())),IF(AND('Daily Schedule'!$A40&gt;=46,'Daily Schedule'!$A40&lt;=52),'Daily Workforce'!$M52="Y",IFERROR(1*'Daily Workforce'!$P52&gt;=2,FALSE()))))),1,0)</f>
        <v>1</v>
      </c>
      <c r="BL36" s="1" t="n">
        <f aca="false">IF(AND('Daily Workforce'!$N53="Y",'Daily Workforce'!$B53&lt;&gt;"",COUNTIF('Daily Schedule'!$F$5:$F39,'Daily Workforce'!$B53)=0,IF('Daily Schedule'!$A40=45,'Daily Workforce'!$J53="Y",IF(OR('Daily Schedule'!$A40=4,'Daily Schedule'!$A40=8),IF(OR(WEEKDAY('Daily Schedule'!$B$2,2)=1,WEEKDAY('Daily Schedule'!$B$2,2)=4,WEEKDAY('Daily Schedule'!$B$2,2)=5,WEEKDAY('Daily Schedule'!$B$2,2)=7),IFERROR(1*'Daily Workforce'!$K53&gt;=3,FALSE()),IFERROR(1*'Daily Workforce'!$K53&gt;=2,FALSE())),IF(AND('Daily Schedule'!$A40&gt;=46,'Daily Schedule'!$A40&lt;=52),'Daily Workforce'!$M53="Y",IFERROR(1*'Daily Workforce'!$P53&gt;=2,FALSE()))))),1,0)</f>
        <v>1</v>
      </c>
      <c r="BM36" s="1" t="n">
        <f aca="false">IF(AND('Daily Workforce'!$N54="Y",'Daily Workforce'!$B54&lt;&gt;"",COUNTIF('Daily Schedule'!$F$5:$F39,'Daily Workforce'!$B54)=0,IF('Daily Schedule'!$A40=45,'Daily Workforce'!$J54="Y",IF(OR('Daily Schedule'!$A40=4,'Daily Schedule'!$A40=8),IF(OR(WEEKDAY('Daily Schedule'!$B$2,2)=1,WEEKDAY('Daily Schedule'!$B$2,2)=4,WEEKDAY('Daily Schedule'!$B$2,2)=5,WEEKDAY('Daily Schedule'!$B$2,2)=7),IFERROR(1*'Daily Workforce'!$K54&gt;=3,FALSE()),IFERROR(1*'Daily Workforce'!$K54&gt;=2,FALSE())),IF(AND('Daily Schedule'!$A40&gt;=46,'Daily Schedule'!$A40&lt;=52),'Daily Workforce'!$M54="Y",IFERROR(1*'Daily Workforce'!$P54&gt;=2,FALSE()))))),1,0)</f>
        <v>1</v>
      </c>
      <c r="BN36" s="1" t="n">
        <f aca="false">IF(AND('Daily Workforce'!$N55="Y",'Daily Workforce'!$B55&lt;&gt;"",COUNTIF('Daily Schedule'!$F$5:$F39,'Daily Workforce'!$B55)=0,IF('Daily Schedule'!$A40=45,'Daily Workforce'!$J55="Y",IF(OR('Daily Schedule'!$A40=4,'Daily Schedule'!$A40=8),IF(OR(WEEKDAY('Daily Schedule'!$B$2,2)=1,WEEKDAY('Daily Schedule'!$B$2,2)=4,WEEKDAY('Daily Schedule'!$B$2,2)=5,WEEKDAY('Daily Schedule'!$B$2,2)=7),IFERROR(1*'Daily Workforce'!$K55&gt;=3,FALSE()),IFERROR(1*'Daily Workforce'!$K55&gt;=2,FALSE())),IF(AND('Daily Schedule'!$A40&gt;=46,'Daily Schedule'!$A40&lt;=52),'Daily Workforce'!$M55="Y",IFERROR(1*'Daily Workforce'!$P55&gt;=2,FALSE()))))),1,0)</f>
        <v>1</v>
      </c>
      <c r="BO36" s="1" t="n">
        <f aca="false">IF(AND('Daily Workforce'!$N56="Y",'Daily Workforce'!$B56&lt;&gt;"",COUNTIF('Daily Schedule'!$F$5:$F39,'Daily Workforce'!$B56)=0,IF('Daily Schedule'!$A40=45,'Daily Workforce'!$J56="Y",IF(OR('Daily Schedule'!$A40=4,'Daily Schedule'!$A40=8),IF(OR(WEEKDAY('Daily Schedule'!$B$2,2)=1,WEEKDAY('Daily Schedule'!$B$2,2)=4,WEEKDAY('Daily Schedule'!$B$2,2)=5,WEEKDAY('Daily Schedule'!$B$2,2)=7),IFERROR(1*'Daily Workforce'!$K56&gt;=3,FALSE()),IFERROR(1*'Daily Workforce'!$K56&gt;=2,FALSE())),IF(AND('Daily Schedule'!$A40&gt;=46,'Daily Schedule'!$A40&lt;=52),'Daily Workforce'!$M56="Y",IFERROR(1*'Daily Workforce'!$P56&gt;=2,FALSE()))))),1,0)</f>
        <v>1</v>
      </c>
      <c r="BP36" s="1" t="n">
        <f aca="false">IF(AND('Daily Workforce'!$N57="Y",'Daily Workforce'!$B57&lt;&gt;"",COUNTIF('Daily Schedule'!$F$5:$F39,'Daily Workforce'!$B57)=0,IF('Daily Schedule'!$A40=45,'Daily Workforce'!$J57="Y",IF(OR('Daily Schedule'!$A40=4,'Daily Schedule'!$A40=8),IF(OR(WEEKDAY('Daily Schedule'!$B$2,2)=1,WEEKDAY('Daily Schedule'!$B$2,2)=4,WEEKDAY('Daily Schedule'!$B$2,2)=5,WEEKDAY('Daily Schedule'!$B$2,2)=7),IFERROR(1*'Daily Workforce'!$K57&gt;=3,FALSE()),IFERROR(1*'Daily Workforce'!$K57&gt;=2,FALSE())),IF(AND('Daily Schedule'!$A40&gt;=46,'Daily Schedule'!$A40&lt;=52),'Daily Workforce'!$M57="Y",IFERROR(1*'Daily Workforce'!$P57&gt;=2,FALSE()))))),1,0)</f>
        <v>0</v>
      </c>
      <c r="BQ36" s="1" t="n">
        <f aca="false">IF(AND('Daily Workforce'!$N58="Y",'Daily Workforce'!$B58&lt;&gt;"",COUNTIF('Daily Schedule'!$F$5:$F39,'Daily Workforce'!$B58)=0,IF('Daily Schedule'!$A40=45,'Daily Workforce'!$J58="Y",IF(OR('Daily Schedule'!$A40=4,'Daily Schedule'!$A40=8),IF(OR(WEEKDAY('Daily Schedule'!$B$2,2)=1,WEEKDAY('Daily Schedule'!$B$2,2)=4,WEEKDAY('Daily Schedule'!$B$2,2)=5,WEEKDAY('Daily Schedule'!$B$2,2)=7),IFERROR(1*'Daily Workforce'!$K58&gt;=3,FALSE()),IFERROR(1*'Daily Workforce'!$K58&gt;=2,FALSE())),IF(AND('Daily Schedule'!$A40&gt;=46,'Daily Schedule'!$A40&lt;=52),'Daily Workforce'!$M58="Y",IFERROR(1*'Daily Workforce'!$P58&gt;=2,FALSE()))))),1,0)</f>
        <v>1</v>
      </c>
      <c r="BR36" s="1" t="n">
        <f aca="false">IF(AND('Daily Workforce'!$N59="Y",'Daily Workforce'!$B59&lt;&gt;"",COUNTIF('Daily Schedule'!$F$5:$F39,'Daily Workforce'!$B59)=0,IF('Daily Schedule'!$A40=45,'Daily Workforce'!$J59="Y",IF(OR('Daily Schedule'!$A40=4,'Daily Schedule'!$A40=8),IF(OR(WEEKDAY('Daily Schedule'!$B$2,2)=1,WEEKDAY('Daily Schedule'!$B$2,2)=4,WEEKDAY('Daily Schedule'!$B$2,2)=5,WEEKDAY('Daily Schedule'!$B$2,2)=7),IFERROR(1*'Daily Workforce'!$K59&gt;=3,FALSE()),IFERROR(1*'Daily Workforce'!$K59&gt;=2,FALSE())),IF(AND('Daily Schedule'!$A40&gt;=46,'Daily Schedule'!$A40&lt;=52),'Daily Workforce'!$M59="Y",IFERROR(1*'Daily Workforce'!$P59&gt;=2,FALSE()))))),1,0)</f>
        <v>1</v>
      </c>
      <c r="BS36" s="1" t="n">
        <f aca="false">IF(AND('Daily Workforce'!$N60="Y",'Daily Workforce'!$B60&lt;&gt;"",COUNTIF('Daily Schedule'!$F$5:$F39,'Daily Workforce'!$B60)=0,IF('Daily Schedule'!$A40=45,'Daily Workforce'!$J60="Y",IF(OR('Daily Schedule'!$A40=4,'Daily Schedule'!$A40=8),IF(OR(WEEKDAY('Daily Schedule'!$B$2,2)=1,WEEKDAY('Daily Schedule'!$B$2,2)=4,WEEKDAY('Daily Schedule'!$B$2,2)=5,WEEKDAY('Daily Schedule'!$B$2,2)=7),IFERROR(1*'Daily Workforce'!$K60&gt;=3,FALSE()),IFERROR(1*'Daily Workforce'!$K60&gt;=2,FALSE())),IF(AND('Daily Schedule'!$A40&gt;=46,'Daily Schedule'!$A40&lt;=52),'Daily Workforce'!$M60="Y",IFERROR(1*'Daily Workforce'!$P60&gt;=2,FALSE()))))),1,0)</f>
        <v>1</v>
      </c>
      <c r="BT36" s="1" t="n">
        <f aca="false">IF(AND('Daily Workforce'!$N61="Y",'Daily Workforce'!$B61&lt;&gt;"",COUNTIF('Daily Schedule'!$F$5:$F39,'Daily Workforce'!$B61)=0,IF('Daily Schedule'!$A40=45,'Daily Workforce'!$J61="Y",IF(OR('Daily Schedule'!$A40=4,'Daily Schedule'!$A40=8),IF(OR(WEEKDAY('Daily Schedule'!$B$2,2)=1,WEEKDAY('Daily Schedule'!$B$2,2)=4,WEEKDAY('Daily Schedule'!$B$2,2)=5,WEEKDAY('Daily Schedule'!$B$2,2)=7),IFERROR(1*'Daily Workforce'!$K61&gt;=3,FALSE()),IFERROR(1*'Daily Workforce'!$K61&gt;=2,FALSE())),IF(AND('Daily Schedule'!$A40&gt;=46,'Daily Schedule'!$A40&lt;=52),'Daily Workforce'!$M61="Y",IFERROR(1*'Daily Workforce'!$P61&gt;=2,FALSE()))))),1,0)</f>
        <v>0</v>
      </c>
      <c r="BU36" s="1" t="n">
        <f aca="false">IF(AND('Daily Workforce'!$N62="Y",'Daily Workforce'!$B62&lt;&gt;"",COUNTIF('Daily Schedule'!$F$5:$F39,'Daily Workforce'!$B62)=0,IF('Daily Schedule'!$A40=45,'Daily Workforce'!$J62="Y",IF(OR('Daily Schedule'!$A40=4,'Daily Schedule'!$A40=8),IF(OR(WEEKDAY('Daily Schedule'!$B$2,2)=1,WEEKDAY('Daily Schedule'!$B$2,2)=4,WEEKDAY('Daily Schedule'!$B$2,2)=5,WEEKDAY('Daily Schedule'!$B$2,2)=7),IFERROR(1*'Daily Workforce'!$K62&gt;=3,FALSE()),IFERROR(1*'Daily Workforce'!$K62&gt;=2,FALSE())),IF(AND('Daily Schedule'!$A40&gt;=46,'Daily Schedule'!$A40&lt;=52),'Daily Workforce'!$M62="Y",IFERROR(1*'Daily Workforce'!$P62&gt;=2,FALSE()))))),1,0)</f>
        <v>1</v>
      </c>
      <c r="BV36" s="1" t="n">
        <f aca="false">IF(AND('Daily Workforce'!$N63="Y",'Daily Workforce'!$B63&lt;&gt;"",COUNTIF('Daily Schedule'!$F$5:$F39,'Daily Workforce'!$B63)=0,IF('Daily Schedule'!$A40=45,'Daily Workforce'!$J63="Y",IF(OR('Daily Schedule'!$A40=4,'Daily Schedule'!$A40=8),IF(OR(WEEKDAY('Daily Schedule'!$B$2,2)=1,WEEKDAY('Daily Schedule'!$B$2,2)=4,WEEKDAY('Daily Schedule'!$B$2,2)=5,WEEKDAY('Daily Schedule'!$B$2,2)=7),IFERROR(1*'Daily Workforce'!$K63&gt;=3,FALSE()),IFERROR(1*'Daily Workforce'!$K63&gt;=2,FALSE())),IF(AND('Daily Schedule'!$A40&gt;=46,'Daily Schedule'!$A40&lt;=52),'Daily Workforce'!$M63="Y",IFERROR(1*'Daily Workforce'!$P63&gt;=2,FALSE()))))),1,0)</f>
        <v>1</v>
      </c>
      <c r="BW36" s="1" t="n">
        <f aca="false">IF(AND('Daily Workforce'!$N64="Y",'Daily Workforce'!$B64&lt;&gt;"",COUNTIF('Daily Schedule'!$F$5:$F39,'Daily Workforce'!$B64)=0,IF('Daily Schedule'!$A40=45,'Daily Workforce'!$J64="Y",IF(OR('Daily Schedule'!$A40=4,'Daily Schedule'!$A40=8),IF(OR(WEEKDAY('Daily Schedule'!$B$2,2)=1,WEEKDAY('Daily Schedule'!$B$2,2)=4,WEEKDAY('Daily Schedule'!$B$2,2)=5,WEEKDAY('Daily Schedule'!$B$2,2)=7),IFERROR(1*'Daily Workforce'!$K64&gt;=3,FALSE()),IFERROR(1*'Daily Workforce'!$K64&gt;=2,FALSE())),IF(AND('Daily Schedule'!$A40&gt;=46,'Daily Schedule'!$A40&lt;=52),'Daily Workforce'!$M64="Y",IFERROR(1*'Daily Workforce'!$P64&gt;=2,FALSE()))))),1,0)</f>
        <v>1</v>
      </c>
      <c r="BX36" s="1" t="n">
        <f aca="false">IF(AND('Daily Workforce'!$N65="Y",'Daily Workforce'!$B65&lt;&gt;"",COUNTIF('Daily Schedule'!$F$5:$F39,'Daily Workforce'!$B65)=0,IF('Daily Schedule'!$A40=45,'Daily Workforce'!$J65="Y",IF(OR('Daily Schedule'!$A40=4,'Daily Schedule'!$A40=8),IF(OR(WEEKDAY('Daily Schedule'!$B$2,2)=1,WEEKDAY('Daily Schedule'!$B$2,2)=4,WEEKDAY('Daily Schedule'!$B$2,2)=5,WEEKDAY('Daily Schedule'!$B$2,2)=7),IFERROR(1*'Daily Workforce'!$K65&gt;=3,FALSE()),IFERROR(1*'Daily Workforce'!$K65&gt;=2,FALSE())),IF(AND('Daily Schedule'!$A40&gt;=46,'Daily Schedule'!$A40&lt;=52),'Daily Workforce'!$M65="Y",IFERROR(1*'Daily Workforce'!$P65&gt;=2,FALSE()))))),1,0)</f>
        <v>1</v>
      </c>
      <c r="BY36" s="1" t="n">
        <f aca="false">IF(AND('Daily Workforce'!$N66="Y",'Daily Workforce'!$B66&lt;&gt;"",COUNTIF('Daily Schedule'!$F$5:$F39,'Daily Workforce'!$B66)=0,IF('Daily Schedule'!$A40=45,'Daily Workforce'!$J66="Y",IF(OR('Daily Schedule'!$A40=4,'Daily Schedule'!$A40=8),IF(OR(WEEKDAY('Daily Schedule'!$B$2,2)=1,WEEKDAY('Daily Schedule'!$B$2,2)=4,WEEKDAY('Daily Schedule'!$B$2,2)=5,WEEKDAY('Daily Schedule'!$B$2,2)=7),IFERROR(1*'Daily Workforce'!$K66&gt;=3,FALSE()),IFERROR(1*'Daily Workforce'!$K66&gt;=2,FALSE())),IF(AND('Daily Schedule'!$A40&gt;=46,'Daily Schedule'!$A40&lt;=52),'Daily Workforce'!$M66="Y",IFERROR(1*'Daily Workforce'!$P66&gt;=2,FALSE()))))),1,0)</f>
        <v>1</v>
      </c>
      <c r="BZ36" s="1" t="n">
        <f aca="false">IF(AND('Daily Workforce'!$N67="Y",'Daily Workforce'!$B67&lt;&gt;"",COUNTIF('Daily Schedule'!$F$5:$F39,'Daily Workforce'!$B67)=0,IF('Daily Schedule'!$A40=45,'Daily Workforce'!$J67="Y",IF(OR('Daily Schedule'!$A40=4,'Daily Schedule'!$A40=8),IF(OR(WEEKDAY('Daily Schedule'!$B$2,2)=1,WEEKDAY('Daily Schedule'!$B$2,2)=4,WEEKDAY('Daily Schedule'!$B$2,2)=5,WEEKDAY('Daily Schedule'!$B$2,2)=7),IFERROR(1*'Daily Workforce'!$K67&gt;=3,FALSE()),IFERROR(1*'Daily Workforce'!$K67&gt;=2,FALSE())),IF(AND('Daily Schedule'!$A40&gt;=46,'Daily Schedule'!$A40&lt;=52),'Daily Workforce'!$M67="Y",IFERROR(1*'Daily Workforce'!$P67&gt;=2,FALSE()))))),1,0)</f>
        <v>1</v>
      </c>
      <c r="CA36" s="1" t="n">
        <f aca="false">IF(AND('Daily Workforce'!$N68="Y",'Daily Workforce'!$B68&lt;&gt;"",COUNTIF('Daily Schedule'!$F$5:$F39,'Daily Workforce'!$B68)=0,IF('Daily Schedule'!$A40=45,'Daily Workforce'!$J68="Y",IF(OR('Daily Schedule'!$A40=4,'Daily Schedule'!$A40=8),IF(OR(WEEKDAY('Daily Schedule'!$B$2,2)=1,WEEKDAY('Daily Schedule'!$B$2,2)=4,WEEKDAY('Daily Schedule'!$B$2,2)=5,WEEKDAY('Daily Schedule'!$B$2,2)=7),IFERROR(1*'Daily Workforce'!$K68&gt;=3,FALSE()),IFERROR(1*'Daily Workforce'!$K68&gt;=2,FALSE())),IF(AND('Daily Schedule'!$A40&gt;=46,'Daily Schedule'!$A40&lt;=52),'Daily Workforce'!$M68="Y",IFERROR(1*'Daily Workforce'!$P68&gt;=2,FALSE()))))),1,0)</f>
        <v>1</v>
      </c>
      <c r="CB36" s="1" t="n">
        <f aca="false">IF(AND('Daily Workforce'!$N69="Y",'Daily Workforce'!$B69&lt;&gt;"",COUNTIF('Daily Schedule'!$F$5:$F39,'Daily Workforce'!$B69)=0,IF('Daily Schedule'!$A40=45,'Daily Workforce'!$J69="Y",IF(OR('Daily Schedule'!$A40=4,'Daily Schedule'!$A40=8),IF(OR(WEEKDAY('Daily Schedule'!$B$2,2)=1,WEEKDAY('Daily Schedule'!$B$2,2)=4,WEEKDAY('Daily Schedule'!$B$2,2)=5,WEEKDAY('Daily Schedule'!$B$2,2)=7),IFERROR(1*'Daily Workforce'!$K69&gt;=3,FALSE()),IFERROR(1*'Daily Workforce'!$K69&gt;=2,FALSE())),IF(AND('Daily Schedule'!$A40&gt;=46,'Daily Schedule'!$A40&lt;=52),'Daily Workforce'!$M69="Y",IFERROR(1*'Daily Workforce'!$P69&gt;=2,FALSE()))))),1,0)</f>
        <v>1</v>
      </c>
      <c r="CC36" s="1" t="n">
        <f aca="false">IF(AND('Daily Workforce'!$N70="Y",'Daily Workforce'!$B70&lt;&gt;"",COUNTIF('Daily Schedule'!$F$5:$F39,'Daily Workforce'!$B70)=0,IF('Daily Schedule'!$A40=45,'Daily Workforce'!$J70="Y",IF(OR('Daily Schedule'!$A40=4,'Daily Schedule'!$A40=8),IF(OR(WEEKDAY('Daily Schedule'!$B$2,2)=1,WEEKDAY('Daily Schedule'!$B$2,2)=4,WEEKDAY('Daily Schedule'!$B$2,2)=5,WEEKDAY('Daily Schedule'!$B$2,2)=7),IFERROR(1*'Daily Workforce'!$K70&gt;=3,FALSE()),IFERROR(1*'Daily Workforce'!$K70&gt;=2,FALSE())),IF(AND('Daily Schedule'!$A40&gt;=46,'Daily Schedule'!$A40&lt;=52),'Daily Workforce'!$M70="Y",IFERROR(1*'Daily Workforce'!$P70&gt;=2,FALSE()))))),1,0)</f>
        <v>1</v>
      </c>
      <c r="CD36" s="1" t="n">
        <f aca="false">IF(AND('Daily Workforce'!$N71="Y",'Daily Workforce'!$B71&lt;&gt;"",COUNTIF('Daily Schedule'!$F$5:$F39,'Daily Workforce'!$B71)=0,IF('Daily Schedule'!$A40=45,'Daily Workforce'!$J71="Y",IF(OR('Daily Schedule'!$A40=4,'Daily Schedule'!$A40=8),IF(OR(WEEKDAY('Daily Schedule'!$B$2,2)=1,WEEKDAY('Daily Schedule'!$B$2,2)=4,WEEKDAY('Daily Schedule'!$B$2,2)=5,WEEKDAY('Daily Schedule'!$B$2,2)=7),IFERROR(1*'Daily Workforce'!$K71&gt;=3,FALSE()),IFERROR(1*'Daily Workforce'!$K71&gt;=2,FALSE())),IF(AND('Daily Schedule'!$A40&gt;=46,'Daily Schedule'!$A40&lt;=52),'Daily Workforce'!$M71="Y",IFERROR(1*'Daily Workforce'!$P71&gt;=2,FALSE()))))),1,0)</f>
        <v>1</v>
      </c>
      <c r="CE36" s="1" t="n">
        <f aca="false">IF(AND('Daily Workforce'!$N72="Y",'Daily Workforce'!$B72&lt;&gt;"",COUNTIF('Daily Schedule'!$F$5:$F39,'Daily Workforce'!$B72)=0,IF('Daily Schedule'!$A40=45,'Daily Workforce'!$J72="Y",IF(OR('Daily Schedule'!$A40=4,'Daily Schedule'!$A40=8),IF(OR(WEEKDAY('Daily Schedule'!$B$2,2)=1,WEEKDAY('Daily Schedule'!$B$2,2)=4,WEEKDAY('Daily Schedule'!$B$2,2)=5,WEEKDAY('Daily Schedule'!$B$2,2)=7),IFERROR(1*'Daily Workforce'!$K72&gt;=3,FALSE()),IFERROR(1*'Daily Workforce'!$K72&gt;=2,FALSE())),IF(AND('Daily Schedule'!$A40&gt;=46,'Daily Schedule'!$A40&lt;=52),'Daily Workforce'!$M72="Y",IFERROR(1*'Daily Workforce'!$P72&gt;=2,FALSE()))))),1,0)</f>
        <v>1</v>
      </c>
      <c r="CF36" s="1" t="n">
        <f aca="false">IF(AND('Daily Workforce'!$N73="Y",'Daily Workforce'!$B73&lt;&gt;"",COUNTIF('Daily Schedule'!$F$5:$F39,'Daily Workforce'!$B73)=0,IF('Daily Schedule'!$A40=45,'Daily Workforce'!$J73="Y",IF(OR('Daily Schedule'!$A40=4,'Daily Schedule'!$A40=8),IF(OR(WEEKDAY('Daily Schedule'!$B$2,2)=1,WEEKDAY('Daily Schedule'!$B$2,2)=4,WEEKDAY('Daily Schedule'!$B$2,2)=5,WEEKDAY('Daily Schedule'!$B$2,2)=7),IFERROR(1*'Daily Workforce'!$K73&gt;=3,FALSE()),IFERROR(1*'Daily Workforce'!$K73&gt;=2,FALSE())),IF(AND('Daily Schedule'!$A40&gt;=46,'Daily Schedule'!$A40&lt;=52),'Daily Workforce'!$M73="Y",IFERROR(1*'Daily Workforce'!$P73&gt;=2,FALSE()))))),1,0)</f>
        <v>1</v>
      </c>
      <c r="CG36" s="1" t="n">
        <f aca="false">IF(AND('Daily Workforce'!$N74="Y",'Daily Workforce'!$B74&lt;&gt;"",COUNTIF('Daily Schedule'!$F$5:$F39,'Daily Workforce'!$B74)=0,IF('Daily Schedule'!$A40=45,'Daily Workforce'!$J74="Y",IF(OR('Daily Schedule'!$A40=4,'Daily Schedule'!$A40=8),IF(OR(WEEKDAY('Daily Schedule'!$B$2,2)=1,WEEKDAY('Daily Schedule'!$B$2,2)=4,WEEKDAY('Daily Schedule'!$B$2,2)=5,WEEKDAY('Daily Schedule'!$B$2,2)=7),IFERROR(1*'Daily Workforce'!$K74&gt;=3,FALSE()),IFERROR(1*'Daily Workforce'!$K74&gt;=2,FALSE())),IF(AND('Daily Schedule'!$A40&gt;=46,'Daily Schedule'!$A40&lt;=52),'Daily Workforce'!$M74="Y",IFERROR(1*'Daily Workforce'!$P74&gt;=2,FALSE()))))),1,0)</f>
        <v>1</v>
      </c>
      <c r="CH36" s="1" t="n">
        <f aca="false">IF(AND('Daily Workforce'!$N75="Y",'Daily Workforce'!$B75&lt;&gt;"",COUNTIF('Daily Schedule'!$F$5:$F39,'Daily Workforce'!$B75)=0,IF('Daily Schedule'!$A40=45,'Daily Workforce'!$J75="Y",IF(OR('Daily Schedule'!$A40=4,'Daily Schedule'!$A40=8),IF(OR(WEEKDAY('Daily Schedule'!$B$2,2)=1,WEEKDAY('Daily Schedule'!$B$2,2)=4,WEEKDAY('Daily Schedule'!$B$2,2)=5,WEEKDAY('Daily Schedule'!$B$2,2)=7),IFERROR(1*'Daily Workforce'!$K75&gt;=3,FALSE()),IFERROR(1*'Daily Workforce'!$K75&gt;=2,FALSE())),IF(AND('Daily Schedule'!$A40&gt;=46,'Daily Schedule'!$A40&lt;=52),'Daily Workforce'!$M75="Y",IFERROR(1*'Daily Workforce'!$P75&gt;=2,FALSE()))))),1,0)</f>
        <v>1</v>
      </c>
      <c r="CI36" s="1" t="n">
        <f aca="false">IF(AND('Daily Workforce'!$N76="Y",'Daily Workforce'!$B76&lt;&gt;"",COUNTIF('Daily Schedule'!$F$5:$F39,'Daily Workforce'!$B76)=0,IF('Daily Schedule'!$A40=45,'Daily Workforce'!$J76="Y",IF(OR('Daily Schedule'!$A40=4,'Daily Schedule'!$A40=8),IF(OR(WEEKDAY('Daily Schedule'!$B$2,2)=1,WEEKDAY('Daily Schedule'!$B$2,2)=4,WEEKDAY('Daily Schedule'!$B$2,2)=5,WEEKDAY('Daily Schedule'!$B$2,2)=7),IFERROR(1*'Daily Workforce'!$K76&gt;=3,FALSE()),IFERROR(1*'Daily Workforce'!$K76&gt;=2,FALSE())),IF(AND('Daily Schedule'!$A40&gt;=46,'Daily Schedule'!$A40&lt;=52),'Daily Workforce'!$M76="Y",IFERROR(1*'Daily Workforce'!$P76&gt;=2,FALSE()))))),1,0)</f>
        <v>1</v>
      </c>
      <c r="CJ36" s="1" t="n">
        <f aca="false">IF(AND('Daily Workforce'!$N77="Y",'Daily Workforce'!$B77&lt;&gt;"",COUNTIF('Daily Schedule'!$F$5:$F39,'Daily Workforce'!$B77)=0,IF('Daily Schedule'!$A40=45,'Daily Workforce'!$J77="Y",IF(OR('Daily Schedule'!$A40=4,'Daily Schedule'!$A40=8),IF(OR(WEEKDAY('Daily Schedule'!$B$2,2)=1,WEEKDAY('Daily Schedule'!$B$2,2)=4,WEEKDAY('Daily Schedule'!$B$2,2)=5,WEEKDAY('Daily Schedule'!$B$2,2)=7),IFERROR(1*'Daily Workforce'!$K77&gt;=3,FALSE()),IFERROR(1*'Daily Workforce'!$K77&gt;=2,FALSE())),IF(AND('Daily Schedule'!$A40&gt;=46,'Daily Schedule'!$A40&lt;=52),'Daily Workforce'!$M77="Y",IFERROR(1*'Daily Workforce'!$P77&gt;=2,FALSE()))))),1,0)</f>
        <v>1</v>
      </c>
      <c r="CK36" s="1" t="n">
        <f aca="false">IF(AND('Daily Workforce'!$N78="Y",'Daily Workforce'!$B78&lt;&gt;"",COUNTIF('Daily Schedule'!$F$5:$F39,'Daily Workforce'!$B78)=0,IF('Daily Schedule'!$A40=45,'Daily Workforce'!$J78="Y",IF(OR('Daily Schedule'!$A40=4,'Daily Schedule'!$A40=8),IF(OR(WEEKDAY('Daily Schedule'!$B$2,2)=1,WEEKDAY('Daily Schedule'!$B$2,2)=4,WEEKDAY('Daily Schedule'!$B$2,2)=5,WEEKDAY('Daily Schedule'!$B$2,2)=7),IFERROR(1*'Daily Workforce'!$K78&gt;=3,FALSE()),IFERROR(1*'Daily Workforce'!$K78&gt;=2,FALSE())),IF(AND('Daily Schedule'!$A40&gt;=46,'Daily Schedule'!$A40&lt;=52),'Daily Workforce'!$M78="Y",IFERROR(1*'Daily Workforce'!$P78&gt;=2,FALSE()))))),1,0)</f>
        <v>1</v>
      </c>
      <c r="CL36" s="1" t="n">
        <f aca="false">IF(AND('Daily Workforce'!$N79="Y",'Daily Workforce'!$B79&lt;&gt;"",COUNTIF('Daily Schedule'!$F$5:$F39,'Daily Workforce'!$B79)=0,IF('Daily Schedule'!$A40=45,'Daily Workforce'!$J79="Y",IF(OR('Daily Schedule'!$A40=4,'Daily Schedule'!$A40=8),IF(OR(WEEKDAY('Daily Schedule'!$B$2,2)=1,WEEKDAY('Daily Schedule'!$B$2,2)=4,WEEKDAY('Daily Schedule'!$B$2,2)=5,WEEKDAY('Daily Schedule'!$B$2,2)=7),IFERROR(1*'Daily Workforce'!$K79&gt;=3,FALSE()),IFERROR(1*'Daily Workforce'!$K79&gt;=2,FALSE())),IF(AND('Daily Schedule'!$A40&gt;=46,'Daily Schedule'!$A40&lt;=52),'Daily Workforce'!$M79="Y",IFERROR(1*'Daily Workforce'!$P79&gt;=2,FALSE()))))),1,0)</f>
        <v>1</v>
      </c>
      <c r="CM36" s="1" t="n">
        <f aca="false">IF(AND('Daily Workforce'!$N80="Y",'Daily Workforce'!$B80&lt;&gt;"",COUNTIF('Daily Schedule'!$F$5:$F39,'Daily Workforce'!$B80)=0,IF('Daily Schedule'!$A40=45,'Daily Workforce'!$J80="Y",IF(OR('Daily Schedule'!$A40=4,'Daily Schedule'!$A40=8),IF(OR(WEEKDAY('Daily Schedule'!$B$2,2)=1,WEEKDAY('Daily Schedule'!$B$2,2)=4,WEEKDAY('Daily Schedule'!$B$2,2)=5,WEEKDAY('Daily Schedule'!$B$2,2)=7),IFERROR(1*'Daily Workforce'!$K80&gt;=3,FALSE()),IFERROR(1*'Daily Workforce'!$K80&gt;=2,FALSE())),IF(AND('Daily Schedule'!$A40&gt;=46,'Daily Schedule'!$A40&lt;=52),'Daily Workforce'!$M80="Y",IFERROR(1*'Daily Workforce'!$P80&gt;=2,FALSE()))))),1,0)</f>
        <v>1</v>
      </c>
      <c r="CN36" s="1" t="n">
        <f aca="false">IF(AND('Daily Workforce'!$N81="Y",'Daily Workforce'!$B81&lt;&gt;"",COUNTIF('Daily Schedule'!$F$5:$F39,'Daily Workforce'!$B81)=0,IF('Daily Schedule'!$A40=45,'Daily Workforce'!$J81="Y",IF(OR('Daily Schedule'!$A40=4,'Daily Schedule'!$A40=8),IF(OR(WEEKDAY('Daily Schedule'!$B$2,2)=1,WEEKDAY('Daily Schedule'!$B$2,2)=4,WEEKDAY('Daily Schedule'!$B$2,2)=5,WEEKDAY('Daily Schedule'!$B$2,2)=7),IFERROR(1*'Daily Workforce'!$K81&gt;=3,FALSE()),IFERROR(1*'Daily Workforce'!$K81&gt;=2,FALSE())),IF(AND('Daily Schedule'!$A40&gt;=46,'Daily Schedule'!$A40&lt;=52),'Daily Workforce'!$M81="Y",IFERROR(1*'Daily Workforce'!$P81&gt;=2,FALSE()))))),1,0)</f>
        <v>1</v>
      </c>
      <c r="CO36" s="1" t="n">
        <f aca="false">IF(AND('Daily Workforce'!$N82="Y",'Daily Workforce'!$B82&lt;&gt;"",COUNTIF('Daily Schedule'!$F$5:$F39,'Daily Workforce'!$B82)=0,IF('Daily Schedule'!$A40=45,'Daily Workforce'!$J82="Y",IF(OR('Daily Schedule'!$A40=4,'Daily Schedule'!$A40=8),IF(OR(WEEKDAY('Daily Schedule'!$B$2,2)=1,WEEKDAY('Daily Schedule'!$B$2,2)=4,WEEKDAY('Daily Schedule'!$B$2,2)=5,WEEKDAY('Daily Schedule'!$B$2,2)=7),IFERROR(1*'Daily Workforce'!$K82&gt;=3,FALSE()),IFERROR(1*'Daily Workforce'!$K82&gt;=2,FALSE())),IF(AND('Daily Schedule'!$A40&gt;=46,'Daily Schedule'!$A40&lt;=52),'Daily Workforce'!$M82="Y",IFERROR(1*'Daily Workforce'!$P82&gt;=2,FALSE()))))),1,0)</f>
        <v>1</v>
      </c>
      <c r="CP36" s="1" t="n">
        <f aca="false">IF(AND('Daily Workforce'!$N83="Y",'Daily Workforce'!$B83&lt;&gt;"",COUNTIF('Daily Schedule'!$F$5:$F39,'Daily Workforce'!$B83)=0,IF('Daily Schedule'!$A40=45,'Daily Workforce'!$J83="Y",IF(OR('Daily Schedule'!$A40=4,'Daily Schedule'!$A40=8),IF(OR(WEEKDAY('Daily Schedule'!$B$2,2)=1,WEEKDAY('Daily Schedule'!$B$2,2)=4,WEEKDAY('Daily Schedule'!$B$2,2)=5,WEEKDAY('Daily Schedule'!$B$2,2)=7),IFERROR(1*'Daily Workforce'!$K83&gt;=3,FALSE()),IFERROR(1*'Daily Workforce'!$K83&gt;=2,FALSE())),IF(AND('Daily Schedule'!$A40&gt;=46,'Daily Schedule'!$A40&lt;=52),'Daily Workforce'!$M83="Y",IFERROR(1*'Daily Workforce'!$P83&gt;=2,FALSE()))))),1,0)</f>
        <v>0</v>
      </c>
      <c r="CQ36" s="1" t="n">
        <f aca="false">IF(AND('Daily Workforce'!$N84="Y",'Daily Workforce'!$B84&lt;&gt;"",COUNTIF('Daily Schedule'!$F$5:$F39,'Daily Workforce'!$B84)=0,IF('Daily Schedule'!$A40=45,'Daily Workforce'!$J84="Y",IF(OR('Daily Schedule'!$A40=4,'Daily Schedule'!$A40=8),IF(OR(WEEKDAY('Daily Schedule'!$B$2,2)=1,WEEKDAY('Daily Schedule'!$B$2,2)=4,WEEKDAY('Daily Schedule'!$B$2,2)=5,WEEKDAY('Daily Schedule'!$B$2,2)=7),IFERROR(1*'Daily Workforce'!$K84&gt;=3,FALSE()),IFERROR(1*'Daily Workforce'!$K84&gt;=2,FALSE())),IF(AND('Daily Schedule'!$A40&gt;=46,'Daily Schedule'!$A40&lt;=52),'Daily Workforce'!$M84="Y",IFERROR(1*'Daily Workforce'!$P84&gt;=2,FALSE()))))),1,0)</f>
        <v>1</v>
      </c>
      <c r="CR36" s="1" t="n">
        <f aca="false">IF(AND('Daily Workforce'!$N85="Y",'Daily Workforce'!$B85&lt;&gt;"",COUNTIF('Daily Schedule'!$F$5:$F39,'Daily Workforce'!$B85)=0,IF('Daily Schedule'!$A40=45,'Daily Workforce'!$J85="Y",IF(OR('Daily Schedule'!$A40=4,'Daily Schedule'!$A40=8),IF(OR(WEEKDAY('Daily Schedule'!$B$2,2)=1,WEEKDAY('Daily Schedule'!$B$2,2)=4,WEEKDAY('Daily Schedule'!$B$2,2)=5,WEEKDAY('Daily Schedule'!$B$2,2)=7),IFERROR(1*'Daily Workforce'!$K85&gt;=3,FALSE()),IFERROR(1*'Daily Workforce'!$K85&gt;=2,FALSE())),IF(AND('Daily Schedule'!$A40&gt;=46,'Daily Schedule'!$A40&lt;=52),'Daily Workforce'!$M85="Y",IFERROR(1*'Daily Workforce'!$P85&gt;=2,FALSE()))))),1,0)</f>
        <v>0</v>
      </c>
      <c r="CS36" s="1" t="n">
        <f aca="false">IF(AND('Daily Workforce'!$N86="Y",'Daily Workforce'!$B86&lt;&gt;"",COUNTIF('Daily Schedule'!$F$5:$F39,'Daily Workforce'!$B86)=0,IF('Daily Schedule'!$A40=45,'Daily Workforce'!$J86="Y",IF(OR('Daily Schedule'!$A40=4,'Daily Schedule'!$A40=8),IF(OR(WEEKDAY('Daily Schedule'!$B$2,2)=1,WEEKDAY('Daily Schedule'!$B$2,2)=4,WEEKDAY('Daily Schedule'!$B$2,2)=5,WEEKDAY('Daily Schedule'!$B$2,2)=7),IFERROR(1*'Daily Workforce'!$K86&gt;=3,FALSE()),IFERROR(1*'Daily Workforce'!$K86&gt;=2,FALSE())),IF(AND('Daily Schedule'!$A40&gt;=46,'Daily Schedule'!$A40&lt;=52),'Daily Workforce'!$M86="Y",IFERROR(1*'Daily Workforce'!$P86&gt;=2,FALSE()))))),1,0)</f>
        <v>1</v>
      </c>
      <c r="CT36" s="1" t="n">
        <f aca="false">IF(AND('Daily Workforce'!$N87="Y",'Daily Workforce'!$B87&lt;&gt;"",COUNTIF('Daily Schedule'!$F$5:$F39,'Daily Workforce'!$B87)=0,IF('Daily Schedule'!$A40=45,'Daily Workforce'!$J87="Y",IF(OR('Daily Schedule'!$A40=4,'Daily Schedule'!$A40=8),IF(OR(WEEKDAY('Daily Schedule'!$B$2,2)=1,WEEKDAY('Daily Schedule'!$B$2,2)=4,WEEKDAY('Daily Schedule'!$B$2,2)=5,WEEKDAY('Daily Schedule'!$B$2,2)=7),IFERROR(1*'Daily Workforce'!$K87&gt;=3,FALSE()),IFERROR(1*'Daily Workforce'!$K87&gt;=2,FALSE())),IF(AND('Daily Schedule'!$A40&gt;=46,'Daily Schedule'!$A40&lt;=52),'Daily Workforce'!$M87="Y",IFERROR(1*'Daily Workforce'!$P87&gt;=2,FALSE()))))),1,0)</f>
        <v>1</v>
      </c>
      <c r="CU36" s="1" t="n">
        <f aca="false">IF(AND('Daily Workforce'!$N88="Y",'Daily Workforce'!$B88&lt;&gt;"",COUNTIF('Daily Schedule'!$F$5:$F39,'Daily Workforce'!$B88)=0,IF('Daily Schedule'!$A40=45,'Daily Workforce'!$J88="Y",IF(OR('Daily Schedule'!$A40=4,'Daily Schedule'!$A40=8),IF(OR(WEEKDAY('Daily Schedule'!$B$2,2)=1,WEEKDAY('Daily Schedule'!$B$2,2)=4,WEEKDAY('Daily Schedule'!$B$2,2)=5,WEEKDAY('Daily Schedule'!$B$2,2)=7),IFERROR(1*'Daily Workforce'!$K88&gt;=3,FALSE()),IFERROR(1*'Daily Workforce'!$K88&gt;=2,FALSE())),IF(AND('Daily Schedule'!$A40&gt;=46,'Daily Schedule'!$A40&lt;=52),'Daily Workforce'!$M88="Y",IFERROR(1*'Daily Workforce'!$P88&gt;=2,FALSE()))))),1,0)</f>
        <v>1</v>
      </c>
      <c r="CV36" s="1" t="n">
        <f aca="false">IF(AND('Daily Workforce'!$N89="Y",'Daily Workforce'!$B89&lt;&gt;"",COUNTIF('Daily Schedule'!$F$5:$F39,'Daily Workforce'!$B89)=0,IF('Daily Schedule'!$A40=45,'Daily Workforce'!$J89="Y",IF(OR('Daily Schedule'!$A40=4,'Daily Schedule'!$A40=8),IF(OR(WEEKDAY('Daily Schedule'!$B$2,2)=1,WEEKDAY('Daily Schedule'!$B$2,2)=4,WEEKDAY('Daily Schedule'!$B$2,2)=5,WEEKDAY('Daily Schedule'!$B$2,2)=7),IFERROR(1*'Daily Workforce'!$K89&gt;=3,FALSE()),IFERROR(1*'Daily Workforce'!$K89&gt;=2,FALSE())),IF(AND('Daily Schedule'!$A40&gt;=46,'Daily Schedule'!$A40&lt;=52),'Daily Workforce'!$M89="Y",IFERROR(1*'Daily Workforce'!$P89&gt;=2,FALSE()))))),1,0)</f>
        <v>1</v>
      </c>
      <c r="CW36" s="1" t="n">
        <f aca="false">IF(AND('Daily Workforce'!$N90="Y",'Daily Workforce'!$B90&lt;&gt;"",COUNTIF('Daily Schedule'!$F$5:$F39,'Daily Workforce'!$B90)=0,IF('Daily Schedule'!$A40=45,'Daily Workforce'!$J90="Y",IF(OR('Daily Schedule'!$A40=4,'Daily Schedule'!$A40=8),IF(OR(WEEKDAY('Daily Schedule'!$B$2,2)=1,WEEKDAY('Daily Schedule'!$B$2,2)=4,WEEKDAY('Daily Schedule'!$B$2,2)=5,WEEKDAY('Daily Schedule'!$B$2,2)=7),IFERROR(1*'Daily Workforce'!$K90&gt;=3,FALSE()),IFERROR(1*'Daily Workforce'!$K90&gt;=2,FALSE())),IF(AND('Daily Schedule'!$A40&gt;=46,'Daily Schedule'!$A40&lt;=52),'Daily Workforce'!$M90="Y",IFERROR(1*'Daily Workforce'!$P90&gt;=2,FALSE()))))),1,0)</f>
        <v>1</v>
      </c>
      <c r="CX36" s="1" t="n">
        <f aca="false">IF(AND('Daily Workforce'!$N91="Y",'Daily Workforce'!$B91&lt;&gt;"",COUNTIF('Daily Schedule'!$F$5:$F39,'Daily Workforce'!$B91)=0,IF('Daily Schedule'!$A40=45,'Daily Workforce'!$J91="Y",IF(OR('Daily Schedule'!$A40=4,'Daily Schedule'!$A40=8),IF(OR(WEEKDAY('Daily Schedule'!$B$2,2)=1,WEEKDAY('Daily Schedule'!$B$2,2)=4,WEEKDAY('Daily Schedule'!$B$2,2)=5,WEEKDAY('Daily Schedule'!$B$2,2)=7),IFERROR(1*'Daily Workforce'!$K91&gt;=3,FALSE()),IFERROR(1*'Daily Workforce'!$K91&gt;=2,FALSE())),IF(AND('Daily Schedule'!$A40&gt;=46,'Daily Schedule'!$A40&lt;=52),'Daily Workforce'!$M91="Y",IFERROR(1*'Daily Workforce'!$P91&gt;=2,FALSE()))))),1,0)</f>
        <v>1</v>
      </c>
      <c r="CY36" s="1" t="n">
        <f aca="false">IF(AND('Daily Workforce'!$N92="Y",'Daily Workforce'!$B92&lt;&gt;"",COUNTIF('Daily Schedule'!$F$5:$F39,'Daily Workforce'!$B92)=0,IF('Daily Schedule'!$A40=45,'Daily Workforce'!$J92="Y",IF(OR('Daily Schedule'!$A40=4,'Daily Schedule'!$A40=8),IF(OR(WEEKDAY('Daily Schedule'!$B$2,2)=1,WEEKDAY('Daily Schedule'!$B$2,2)=4,WEEKDAY('Daily Schedule'!$B$2,2)=5,WEEKDAY('Daily Schedule'!$B$2,2)=7),IFERROR(1*'Daily Workforce'!$K92&gt;=3,FALSE()),IFERROR(1*'Daily Workforce'!$K92&gt;=2,FALSE())),IF(AND('Daily Schedule'!$A40&gt;=46,'Daily Schedule'!$A40&lt;=52),'Daily Workforce'!$M92="Y",IFERROR(1*'Daily Workforce'!$P92&gt;=2,FALSE()))))),1,0)</f>
        <v>1</v>
      </c>
      <c r="CZ36" s="1" t="n">
        <f aca="false">IF(AND('Daily Workforce'!$N93="Y",'Daily Workforce'!$B93&lt;&gt;"",COUNTIF('Daily Schedule'!$F$5:$F39,'Daily Workforce'!$B93)=0,IF('Daily Schedule'!$A40=45,'Daily Workforce'!$J93="Y",IF(OR('Daily Schedule'!$A40=4,'Daily Schedule'!$A40=8),IF(OR(WEEKDAY('Daily Schedule'!$B$2,2)=1,WEEKDAY('Daily Schedule'!$B$2,2)=4,WEEKDAY('Daily Schedule'!$B$2,2)=5,WEEKDAY('Daily Schedule'!$B$2,2)=7),IFERROR(1*'Daily Workforce'!$K93&gt;=3,FALSE()),IFERROR(1*'Daily Workforce'!$K93&gt;=2,FALSE())),IF(AND('Daily Schedule'!$A40&gt;=46,'Daily Schedule'!$A40&lt;=52),'Daily Workforce'!$M93="Y",IFERROR(1*'Daily Workforce'!$P93&gt;=2,FALSE()))))),1,0)</f>
        <v>1</v>
      </c>
      <c r="DA36" s="1" t="n">
        <f aca="false">IF(AND('Daily Workforce'!$N94="Y",'Daily Workforce'!$B94&lt;&gt;"",COUNTIF('Daily Schedule'!$F$5:$F39,'Daily Workforce'!$B94)=0,IF('Daily Schedule'!$A40=45,'Daily Workforce'!$J94="Y",IF(OR('Daily Schedule'!$A40=4,'Daily Schedule'!$A40=8),IF(OR(WEEKDAY('Daily Schedule'!$B$2,2)=1,WEEKDAY('Daily Schedule'!$B$2,2)=4,WEEKDAY('Daily Schedule'!$B$2,2)=5,WEEKDAY('Daily Schedule'!$B$2,2)=7),IFERROR(1*'Daily Workforce'!$K94&gt;=3,FALSE()),IFERROR(1*'Daily Workforce'!$K94&gt;=2,FALSE())),IF(AND('Daily Schedule'!$A40&gt;=46,'Daily Schedule'!$A40&lt;=52),'Daily Workforce'!$M94="Y",IFERROR(1*'Daily Workforce'!$P94&gt;=2,FALSE()))))),1,0)</f>
        <v>1</v>
      </c>
      <c r="DB36" s="1" t="n">
        <f aca="false">IF(AND('Daily Workforce'!$N95="Y",'Daily Workforce'!$B95&lt;&gt;"",COUNTIF('Daily Schedule'!$F$5:$F39,'Daily Workforce'!$B95)=0,IF('Daily Schedule'!$A40=45,'Daily Workforce'!$J95="Y",IF(OR('Daily Schedule'!$A40=4,'Daily Schedule'!$A40=8),IF(OR(WEEKDAY('Daily Schedule'!$B$2,2)=1,WEEKDAY('Daily Schedule'!$B$2,2)=4,WEEKDAY('Daily Schedule'!$B$2,2)=5,WEEKDAY('Daily Schedule'!$B$2,2)=7),IFERROR(1*'Daily Workforce'!$K95&gt;=3,FALSE()),IFERROR(1*'Daily Workforce'!$K95&gt;=2,FALSE())),IF(AND('Daily Schedule'!$A40&gt;=46,'Daily Schedule'!$A40&lt;=52),'Daily Workforce'!$M95="Y",IFERROR(1*'Daily Workforce'!$P95&gt;=2,FALSE()))))),1,0)</f>
        <v>1</v>
      </c>
      <c r="DC36" s="1" t="n">
        <f aca="false">IF(AND('Daily Workforce'!$N96="Y",'Daily Workforce'!$B96&lt;&gt;"",COUNTIF('Daily Schedule'!$F$5:$F39,'Daily Workforce'!$B96)=0,IF('Daily Schedule'!$A40=45,'Daily Workforce'!$J96="Y",IF(OR('Daily Schedule'!$A40=4,'Daily Schedule'!$A40=8),IF(OR(WEEKDAY('Daily Schedule'!$B$2,2)=1,WEEKDAY('Daily Schedule'!$B$2,2)=4,WEEKDAY('Daily Schedule'!$B$2,2)=5,WEEKDAY('Daily Schedule'!$B$2,2)=7),IFERROR(1*'Daily Workforce'!$K96&gt;=3,FALSE()),IFERROR(1*'Daily Workforce'!$K96&gt;=2,FALSE())),IF(AND('Daily Schedule'!$A40&gt;=46,'Daily Schedule'!$A40&lt;=52),'Daily Workforce'!$M96="Y",IFERROR(1*'Daily Workforce'!$P96&gt;=2,FALSE()))))),1,0)</f>
        <v>1</v>
      </c>
      <c r="DD36" s="1" t="n">
        <f aca="false">IF(AND('Daily Workforce'!$N97="Y",'Daily Workforce'!$B97&lt;&gt;"",COUNTIF('Daily Schedule'!$F$5:$F39,'Daily Workforce'!$B97)=0,IF('Daily Schedule'!$A40=45,'Daily Workforce'!$J97="Y",IF(OR('Daily Schedule'!$A40=4,'Daily Schedule'!$A40=8),IF(OR(WEEKDAY('Daily Schedule'!$B$2,2)=1,WEEKDAY('Daily Schedule'!$B$2,2)=4,WEEKDAY('Daily Schedule'!$B$2,2)=5,WEEKDAY('Daily Schedule'!$B$2,2)=7),IFERROR(1*'Daily Workforce'!$K97&gt;=3,FALSE()),IFERROR(1*'Daily Workforce'!$K97&gt;=2,FALSE())),IF(AND('Daily Schedule'!$A40&gt;=46,'Daily Schedule'!$A40&lt;=52),'Daily Workforce'!$M97="Y",IFERROR(1*'Daily Workforce'!$P97&gt;=2,FALSE()))))),1,0)</f>
        <v>1</v>
      </c>
      <c r="DE36" s="1" t="n">
        <f aca="false">IF(AND('Daily Workforce'!$N98="Y",'Daily Workforce'!$B98&lt;&gt;"",COUNTIF('Daily Schedule'!$F$5:$F39,'Daily Workforce'!$B98)=0,IF('Daily Schedule'!$A40=45,'Daily Workforce'!$J98="Y",IF(OR('Daily Schedule'!$A40=4,'Daily Schedule'!$A40=8),IF(OR(WEEKDAY('Daily Schedule'!$B$2,2)=1,WEEKDAY('Daily Schedule'!$B$2,2)=4,WEEKDAY('Daily Schedule'!$B$2,2)=5,WEEKDAY('Daily Schedule'!$B$2,2)=7),IFERROR(1*'Daily Workforce'!$K98&gt;=3,FALSE()),IFERROR(1*'Daily Workforce'!$K98&gt;=2,FALSE())),IF(AND('Daily Schedule'!$A40&gt;=46,'Daily Schedule'!$A40&lt;=52),'Daily Workforce'!$M98="Y",IFERROR(1*'Daily Workforce'!$P98&gt;=2,FALSE()))))),1,0)</f>
        <v>1</v>
      </c>
      <c r="DF36" s="1" t="n">
        <f aca="false">IF(AND('Daily Workforce'!$N99="Y",'Daily Workforce'!$B99&lt;&gt;"",COUNTIF('Daily Schedule'!$F$5:$F39,'Daily Workforce'!$B99)=0,IF('Daily Schedule'!$A40=45,'Daily Workforce'!$J99="Y",IF(OR('Daily Schedule'!$A40=4,'Daily Schedule'!$A40=8),IF(OR(WEEKDAY('Daily Schedule'!$B$2,2)=1,WEEKDAY('Daily Schedule'!$B$2,2)=4,WEEKDAY('Daily Schedule'!$B$2,2)=5,WEEKDAY('Daily Schedule'!$B$2,2)=7),IFERROR(1*'Daily Workforce'!$K99&gt;=3,FALSE()),IFERROR(1*'Daily Workforce'!$K99&gt;=2,FALSE())),IF(AND('Daily Schedule'!$A40&gt;=46,'Daily Schedule'!$A40&lt;=52),'Daily Workforce'!$M99="Y",IFERROR(1*'Daily Workforce'!$P99&gt;=2,FALSE()))))),1,0)</f>
        <v>1</v>
      </c>
      <c r="DG36" s="1" t="n">
        <f aca="false">IF(AND('Daily Workforce'!$N100="Y",'Daily Workforce'!$B100&lt;&gt;"",COUNTIF('Daily Schedule'!$F$5:$F39,'Daily Workforce'!$B100)=0,IF('Daily Schedule'!$A40=45,'Daily Workforce'!$J100="Y",IF(OR('Daily Schedule'!$A40=4,'Daily Schedule'!$A40=8),IF(OR(WEEKDAY('Daily Schedule'!$B$2,2)=1,WEEKDAY('Daily Schedule'!$B$2,2)=4,WEEKDAY('Daily Schedule'!$B$2,2)=5,WEEKDAY('Daily Schedule'!$B$2,2)=7),IFERROR(1*'Daily Workforce'!$K100&gt;=3,FALSE()),IFERROR(1*'Daily Workforce'!$K100&gt;=2,FALSE())),IF(AND('Daily Schedule'!$A40&gt;=46,'Daily Schedule'!$A40&lt;=52),'Daily Workforce'!$M100="Y",IFERROR(1*'Daily Workforce'!$P100&gt;=2,FALSE()))))),1,0)</f>
        <v>1</v>
      </c>
      <c r="DH36" s="1" t="n">
        <f aca="false">IF(AND('Daily Workforce'!$N101="Y",'Daily Workforce'!$B101&lt;&gt;"",COUNTIF('Daily Schedule'!$F$5:$F39,'Daily Workforce'!$B101)=0,IF('Daily Schedule'!$A40=45,'Daily Workforce'!$J101="Y",IF(OR('Daily Schedule'!$A40=4,'Daily Schedule'!$A40=8),IF(OR(WEEKDAY('Daily Schedule'!$B$2,2)=1,WEEKDAY('Daily Schedule'!$B$2,2)=4,WEEKDAY('Daily Schedule'!$B$2,2)=5,WEEKDAY('Daily Schedule'!$B$2,2)=7),IFERROR(1*'Daily Workforce'!$K101&gt;=3,FALSE()),IFERROR(1*'Daily Workforce'!$K101&gt;=2,FALSE())),IF(AND('Daily Schedule'!$A40&gt;=46,'Daily Schedule'!$A40&lt;=52),'Daily Workforce'!$M101="Y",IFERROR(1*'Daily Workforce'!$P101&gt;=2,FALSE()))))),1,0)</f>
        <v>1</v>
      </c>
      <c r="DI36" s="1" t="n">
        <f aca="false">IF(AND('Daily Workforce'!$N102="Y",'Daily Workforce'!$B102&lt;&gt;"",COUNTIF('Daily Schedule'!$F$5:$F39,'Daily Workforce'!$B102)=0,IF('Daily Schedule'!$A40=45,'Daily Workforce'!$J102="Y",IF(OR('Daily Schedule'!$A40=4,'Daily Schedule'!$A40=8),IF(OR(WEEKDAY('Daily Schedule'!$B$2,2)=1,WEEKDAY('Daily Schedule'!$B$2,2)=4,WEEKDAY('Daily Schedule'!$B$2,2)=5,WEEKDAY('Daily Schedule'!$B$2,2)=7),IFERROR(1*'Daily Workforce'!$K102&gt;=3,FALSE()),IFERROR(1*'Daily Workforce'!$K102&gt;=2,FALSE())),IF(AND('Daily Schedule'!$A40&gt;=46,'Daily Schedule'!$A40&lt;=52),'Daily Workforce'!$M102="Y",IFERROR(1*'Daily Workforce'!$P102&gt;=2,FALSE()))))),1,0)</f>
        <v>1</v>
      </c>
      <c r="DJ36" s="1" t="n">
        <f aca="false">IF(AND('Daily Workforce'!$N103="Y",'Daily Workforce'!$B103&lt;&gt;"",COUNTIF('Daily Schedule'!$F$5:$F39,'Daily Workforce'!$B103)=0,IF('Daily Schedule'!$A40=45,'Daily Workforce'!$J103="Y",IF(OR('Daily Schedule'!$A40=4,'Daily Schedule'!$A40=8),IF(OR(WEEKDAY('Daily Schedule'!$B$2,2)=1,WEEKDAY('Daily Schedule'!$B$2,2)=4,WEEKDAY('Daily Schedule'!$B$2,2)=5,WEEKDAY('Daily Schedule'!$B$2,2)=7),IFERROR(1*'Daily Workforce'!$K103&gt;=3,FALSE()),IFERROR(1*'Daily Workforce'!$K103&gt;=2,FALSE())),IF(AND('Daily Schedule'!$A40&gt;=46,'Daily Schedule'!$A40&lt;=52),'Daily Workforce'!$M103="Y",IFERROR(1*'Daily Workforce'!$P103&gt;=2,FALSE()))))),1,0)</f>
        <v>1</v>
      </c>
      <c r="DK36" s="1" t="n">
        <f aca="false">IF(AND('Daily Workforce'!$N104="Y",'Daily Workforce'!$B104&lt;&gt;"",COUNTIF('Daily Schedule'!$F$5:$F39,'Daily Workforce'!$B104)=0,IF('Daily Schedule'!$A40=45,'Daily Workforce'!$J104="Y",IF(OR('Daily Schedule'!$A40=4,'Daily Schedule'!$A40=8),IF(OR(WEEKDAY('Daily Schedule'!$B$2,2)=1,WEEKDAY('Daily Schedule'!$B$2,2)=4,WEEKDAY('Daily Schedule'!$B$2,2)=5,WEEKDAY('Daily Schedule'!$B$2,2)=7),IFERROR(1*'Daily Workforce'!$K104&gt;=3,FALSE()),IFERROR(1*'Daily Workforce'!$K104&gt;=2,FALSE())),IF(AND('Daily Schedule'!$A40&gt;=46,'Daily Schedule'!$A40&lt;=52),'Daily Workforce'!$M104="Y",IFERROR(1*'Daily Workforce'!$P104&gt;=2,FALSE()))))),1,0)</f>
        <v>1</v>
      </c>
      <c r="DL36" s="1" t="n">
        <f aca="false">IF(AND('Daily Workforce'!$N105="Y",'Daily Workforce'!$B105&lt;&gt;"",COUNTIF('Daily Schedule'!$F$5:$F39,'Daily Workforce'!$B105)=0,IF('Daily Schedule'!$A40=45,'Daily Workforce'!$J105="Y",IF(OR('Daily Schedule'!$A40=4,'Daily Schedule'!$A40=8),IF(OR(WEEKDAY('Daily Schedule'!$B$2,2)=1,WEEKDAY('Daily Schedule'!$B$2,2)=4,WEEKDAY('Daily Schedule'!$B$2,2)=5,WEEKDAY('Daily Schedule'!$B$2,2)=7),IFERROR(1*'Daily Workforce'!$K105&gt;=3,FALSE()),IFERROR(1*'Daily Workforce'!$K105&gt;=2,FALSE())),IF(AND('Daily Schedule'!$A40&gt;=46,'Daily Schedule'!$A40&lt;=52),'Daily Workforce'!$M105="Y",IFERROR(1*'Daily Workforce'!$P105&gt;=2,FALSE()))))),1,0)</f>
        <v>0</v>
      </c>
      <c r="DM36" s="1" t="n">
        <f aca="false">IF(AND('Daily Workforce'!$N106="Y",'Daily Workforce'!$B106&lt;&gt;"",COUNTIF('Daily Schedule'!$F$5:$F39,'Daily Workforce'!$B106)=0,IF('Daily Schedule'!$A40=45,'Daily Workforce'!$J106="Y",IF(OR('Daily Schedule'!$A40=4,'Daily Schedule'!$A40=8),IF(OR(WEEKDAY('Daily Schedule'!$B$2,2)=1,WEEKDAY('Daily Schedule'!$B$2,2)=4,WEEKDAY('Daily Schedule'!$B$2,2)=5,WEEKDAY('Daily Schedule'!$B$2,2)=7),IFERROR(1*'Daily Workforce'!$K106&gt;=3,FALSE()),IFERROR(1*'Daily Workforce'!$K106&gt;=2,FALSE())),IF(AND('Daily Schedule'!$A40&gt;=46,'Daily Schedule'!$A40&lt;=52),'Daily Workforce'!$M106="Y",IFERROR(1*'Daily Workforce'!$P106&gt;=2,FALSE()))))),1,0)</f>
        <v>1</v>
      </c>
      <c r="DN36" s="1" t="n">
        <f aca="false">IF(AND('Daily Workforce'!$N107="Y",'Daily Workforce'!$B107&lt;&gt;"",COUNTIF('Daily Schedule'!$F$5:$F39,'Daily Workforce'!$B107)=0,IF('Daily Schedule'!$A40=45,'Daily Workforce'!$J107="Y",IF(OR('Daily Schedule'!$A40=4,'Daily Schedule'!$A40=8),IF(OR(WEEKDAY('Daily Schedule'!$B$2,2)=1,WEEKDAY('Daily Schedule'!$B$2,2)=4,WEEKDAY('Daily Schedule'!$B$2,2)=5,WEEKDAY('Daily Schedule'!$B$2,2)=7),IFERROR(1*'Daily Workforce'!$K107&gt;=3,FALSE()),IFERROR(1*'Daily Workforce'!$K107&gt;=2,FALSE())),IF(AND('Daily Schedule'!$A40&gt;=46,'Daily Schedule'!$A40&lt;=52),'Daily Workforce'!$M107="Y",IFERROR(1*'Daily Workforce'!$P107&gt;=2,FALSE()))))),1,0)</f>
        <v>1</v>
      </c>
      <c r="DO36" s="1" t="n">
        <f aca="false">IF(AND('Daily Workforce'!$N108="Y",'Daily Workforce'!$B108&lt;&gt;"",COUNTIF('Daily Schedule'!$F$5:$F39,'Daily Workforce'!$B108)=0,IF('Daily Schedule'!$A40=45,'Daily Workforce'!$J108="Y",IF(OR('Daily Schedule'!$A40=4,'Daily Schedule'!$A40=8),IF(OR(WEEKDAY('Daily Schedule'!$B$2,2)=1,WEEKDAY('Daily Schedule'!$B$2,2)=4,WEEKDAY('Daily Schedule'!$B$2,2)=5,WEEKDAY('Daily Schedule'!$B$2,2)=7),IFERROR(1*'Daily Workforce'!$K108&gt;=3,FALSE()),IFERROR(1*'Daily Workforce'!$K108&gt;=2,FALSE())),IF(AND('Daily Schedule'!$A40&gt;=46,'Daily Schedule'!$A40&lt;=52),'Daily Workforce'!$M108="Y",IFERROR(1*'Daily Workforce'!$P108&gt;=2,FALSE()))))),1,0)</f>
        <v>1</v>
      </c>
      <c r="DP36" s="1" t="n">
        <f aca="false">IF(AND('Daily Workforce'!$N109="Y",'Daily Workforce'!$B109&lt;&gt;"",COUNTIF('Daily Schedule'!$F$5:$F39,'Daily Workforce'!$B109)=0,IF('Daily Schedule'!$A40=45,'Daily Workforce'!$J109="Y",IF(OR('Daily Schedule'!$A40=4,'Daily Schedule'!$A40=8),IF(OR(WEEKDAY('Daily Schedule'!$B$2,2)=1,WEEKDAY('Daily Schedule'!$B$2,2)=4,WEEKDAY('Daily Schedule'!$B$2,2)=5,WEEKDAY('Daily Schedule'!$B$2,2)=7),IFERROR(1*'Daily Workforce'!$K109&gt;=3,FALSE()),IFERROR(1*'Daily Workforce'!$K109&gt;=2,FALSE())),IF(AND('Daily Schedule'!$A40&gt;=46,'Daily Schedule'!$A40&lt;=52),'Daily Workforce'!$M109="Y",IFERROR(1*'Daily Workforce'!$P109&gt;=2,FALSE()))))),1,0)</f>
        <v>1</v>
      </c>
      <c r="DQ36" s="1" t="n">
        <f aca="false">IF(AND('Daily Workforce'!$N110="Y",'Daily Workforce'!$B110&lt;&gt;"",COUNTIF('Daily Schedule'!$F$5:$F39,'Daily Workforce'!$B110)=0,IF('Daily Schedule'!$A40=45,'Daily Workforce'!$J110="Y",IF(OR('Daily Schedule'!$A40=4,'Daily Schedule'!$A40=8),IF(OR(WEEKDAY('Daily Schedule'!$B$2,2)=1,WEEKDAY('Daily Schedule'!$B$2,2)=4,WEEKDAY('Daily Schedule'!$B$2,2)=5,WEEKDAY('Daily Schedule'!$B$2,2)=7),IFERROR(1*'Daily Workforce'!$K110&gt;=3,FALSE()),IFERROR(1*'Daily Workforce'!$K110&gt;=2,FALSE())),IF(AND('Daily Schedule'!$A40&gt;=46,'Daily Schedule'!$A40&lt;=52),'Daily Workforce'!$M110="Y",IFERROR(1*'Daily Workforce'!$P110&gt;=2,FALSE()))))),1,0)</f>
        <v>1</v>
      </c>
      <c r="DR36" s="1" t="n">
        <f aca="false">IF(AND('Daily Workforce'!$N111="Y",'Daily Workforce'!$B111&lt;&gt;"",COUNTIF('Daily Schedule'!$F$5:$F39,'Daily Workforce'!$B111)=0,IF('Daily Schedule'!$A40=45,'Daily Workforce'!$J111="Y",IF(OR('Daily Schedule'!$A40=4,'Daily Schedule'!$A40=8),IF(OR(WEEKDAY('Daily Schedule'!$B$2,2)=1,WEEKDAY('Daily Schedule'!$B$2,2)=4,WEEKDAY('Daily Schedule'!$B$2,2)=5,WEEKDAY('Daily Schedule'!$B$2,2)=7),IFERROR(1*'Daily Workforce'!$K111&gt;=3,FALSE()),IFERROR(1*'Daily Workforce'!$K111&gt;=2,FALSE())),IF(AND('Daily Schedule'!$A40&gt;=46,'Daily Schedule'!$A40&lt;=52),'Daily Workforce'!$M111="Y",IFERROR(1*'Daily Workforce'!$P111&gt;=2,FALSE()))))),1,0)</f>
        <v>1</v>
      </c>
      <c r="DS36" s="1" t="n">
        <f aca="false">IF(AND('Daily Workforce'!$N112="Y",'Daily Workforce'!$B112&lt;&gt;"",COUNTIF('Daily Schedule'!$F$5:$F39,'Daily Workforce'!$B112)=0,IF('Daily Schedule'!$A40=45,'Daily Workforce'!$J112="Y",IF(OR('Daily Schedule'!$A40=4,'Daily Schedule'!$A40=8),IF(OR(WEEKDAY('Daily Schedule'!$B$2,2)=1,WEEKDAY('Daily Schedule'!$B$2,2)=4,WEEKDAY('Daily Schedule'!$B$2,2)=5,WEEKDAY('Daily Schedule'!$B$2,2)=7),IFERROR(1*'Daily Workforce'!$K112&gt;=3,FALSE()),IFERROR(1*'Daily Workforce'!$K112&gt;=2,FALSE())),IF(AND('Daily Schedule'!$A40&gt;=46,'Daily Schedule'!$A40&lt;=52),'Daily Workforce'!$M112="Y",IFERROR(1*'Daily Workforce'!$P112&gt;=2,FALSE()))))),1,0)</f>
        <v>1</v>
      </c>
      <c r="DT36" s="1" t="n">
        <f aca="false">IF(AND('Daily Workforce'!$N113="Y",'Daily Workforce'!$B113&lt;&gt;"",COUNTIF('Daily Schedule'!$F$5:$F39,'Daily Workforce'!$B113)=0,IF('Daily Schedule'!$A40=45,'Daily Workforce'!$J113="Y",IF(OR('Daily Schedule'!$A40=4,'Daily Schedule'!$A40=8),IF(OR(WEEKDAY('Daily Schedule'!$B$2,2)=1,WEEKDAY('Daily Schedule'!$B$2,2)=4,WEEKDAY('Daily Schedule'!$B$2,2)=5,WEEKDAY('Daily Schedule'!$B$2,2)=7),IFERROR(1*'Daily Workforce'!$K113&gt;=3,FALSE()),IFERROR(1*'Daily Workforce'!$K113&gt;=2,FALSE())),IF(AND('Daily Schedule'!$A40&gt;=46,'Daily Schedule'!$A40&lt;=52),'Daily Workforce'!$M113="Y",IFERROR(1*'Daily Workforce'!$P113&gt;=2,FALSE()))))),1,0)</f>
        <v>1</v>
      </c>
      <c r="DU36" s="1" t="n">
        <f aca="false">IF(AND('Daily Workforce'!$N114="Y",'Daily Workforce'!$B114&lt;&gt;"",COUNTIF('Daily Schedule'!$F$5:$F39,'Daily Workforce'!$B114)=0,IF('Daily Schedule'!$A40=45,'Daily Workforce'!$J114="Y",IF(OR('Daily Schedule'!$A40=4,'Daily Schedule'!$A40=8),IF(OR(WEEKDAY('Daily Schedule'!$B$2,2)=1,WEEKDAY('Daily Schedule'!$B$2,2)=4,WEEKDAY('Daily Schedule'!$B$2,2)=5,WEEKDAY('Daily Schedule'!$B$2,2)=7),IFERROR(1*'Daily Workforce'!$K114&gt;=3,FALSE()),IFERROR(1*'Daily Workforce'!$K114&gt;=2,FALSE())),IF(AND('Daily Schedule'!$A40&gt;=46,'Daily Schedule'!$A40&lt;=52),'Daily Workforce'!$M114="Y",IFERROR(1*'Daily Workforce'!$P114&gt;=2,FALSE()))))),1,0)</f>
        <v>1</v>
      </c>
      <c r="DV36" s="1" t="n">
        <f aca="false">IF(AND('Daily Workforce'!$N115="Y",'Daily Workforce'!$B115&lt;&gt;"",COUNTIF('Daily Schedule'!$F$5:$F39,'Daily Workforce'!$B115)=0,IF('Daily Schedule'!$A40=45,'Daily Workforce'!$J115="Y",IF(OR('Daily Schedule'!$A40=4,'Daily Schedule'!$A40=8),IF(OR(WEEKDAY('Daily Schedule'!$B$2,2)=1,WEEKDAY('Daily Schedule'!$B$2,2)=4,WEEKDAY('Daily Schedule'!$B$2,2)=5,WEEKDAY('Daily Schedule'!$B$2,2)=7),IFERROR(1*'Daily Workforce'!$K115&gt;=3,FALSE()),IFERROR(1*'Daily Workforce'!$K115&gt;=2,FALSE())),IF(AND('Daily Schedule'!$A40&gt;=46,'Daily Schedule'!$A40&lt;=52),'Daily Workforce'!$M115="Y",IFERROR(1*'Daily Workforce'!$P115&gt;=2,FALSE()))))),1,0)</f>
        <v>1</v>
      </c>
      <c r="DW36" s="1" t="n">
        <f aca="false">IF(AND('Daily Workforce'!$N116="Y",'Daily Workforce'!$B116&lt;&gt;"",COUNTIF('Daily Schedule'!$F$5:$F39,'Daily Workforce'!$B116)=0,IF('Daily Schedule'!$A40=45,'Daily Workforce'!$J116="Y",IF(OR('Daily Schedule'!$A40=4,'Daily Schedule'!$A40=8),IF(OR(WEEKDAY('Daily Schedule'!$B$2,2)=1,WEEKDAY('Daily Schedule'!$B$2,2)=4,WEEKDAY('Daily Schedule'!$B$2,2)=5,WEEKDAY('Daily Schedule'!$B$2,2)=7),IFERROR(1*'Daily Workforce'!$K116&gt;=3,FALSE()),IFERROR(1*'Daily Workforce'!$K116&gt;=2,FALSE())),IF(AND('Daily Schedule'!$A40&gt;=46,'Daily Schedule'!$A40&lt;=52),'Daily Workforce'!$M116="Y",IFERROR(1*'Daily Workforce'!$P116&gt;=2,FALSE()))))),1,0)</f>
        <v>1</v>
      </c>
      <c r="DX36" s="1" t="n">
        <f aca="false">IF(AND('Daily Workforce'!$N117="Y",'Daily Workforce'!$B117&lt;&gt;"",COUNTIF('Daily Schedule'!$F$5:$F39,'Daily Workforce'!$B117)=0,IF('Daily Schedule'!$A40=45,'Daily Workforce'!$J117="Y",IF(OR('Daily Schedule'!$A40=4,'Daily Schedule'!$A40=8),IF(OR(WEEKDAY('Daily Schedule'!$B$2,2)=1,WEEKDAY('Daily Schedule'!$B$2,2)=4,WEEKDAY('Daily Schedule'!$B$2,2)=5,WEEKDAY('Daily Schedule'!$B$2,2)=7),IFERROR(1*'Daily Workforce'!$K117&gt;=3,FALSE()),IFERROR(1*'Daily Workforce'!$K117&gt;=2,FALSE())),IF(AND('Daily Schedule'!$A40&gt;=46,'Daily Schedule'!$A40&lt;=52),'Daily Workforce'!$M117="Y",IFERROR(1*'Daily Workforce'!$P117&gt;=2,FALSE()))))),1,0)</f>
        <v>1</v>
      </c>
      <c r="DY36" s="1" t="n">
        <f aca="false">IF(AND('Daily Workforce'!$N118="Y",'Daily Workforce'!$B118&lt;&gt;"",COUNTIF('Daily Schedule'!$F$5:$F39,'Daily Workforce'!$B118)=0,IF('Daily Schedule'!$A40=45,'Daily Workforce'!$J118="Y",IF(OR('Daily Schedule'!$A40=4,'Daily Schedule'!$A40=8),IF(OR(WEEKDAY('Daily Schedule'!$B$2,2)=1,WEEKDAY('Daily Schedule'!$B$2,2)=4,WEEKDAY('Daily Schedule'!$B$2,2)=5,WEEKDAY('Daily Schedule'!$B$2,2)=7),IFERROR(1*'Daily Workforce'!$K118&gt;=3,FALSE()),IFERROR(1*'Daily Workforce'!$K118&gt;=2,FALSE())),IF(AND('Daily Schedule'!$A40&gt;=46,'Daily Schedule'!$A40&lt;=52),'Daily Workforce'!$M118="Y",IFERROR(1*'Daily Workforce'!$P118&gt;=2,FALSE()))))),1,0)</f>
        <v>0</v>
      </c>
      <c r="DZ36" s="1" t="n">
        <f aca="false">IF(AND('Daily Workforce'!$N119="Y",'Daily Workforce'!$B119&lt;&gt;"",COUNTIF('Daily Schedule'!$F$5:$F39,'Daily Workforce'!$B119)=0,IF('Daily Schedule'!$A40=45,'Daily Workforce'!$J119="Y",IF(OR('Daily Schedule'!$A40=4,'Daily Schedule'!$A40=8),IF(OR(WEEKDAY('Daily Schedule'!$B$2,2)=1,WEEKDAY('Daily Schedule'!$B$2,2)=4,WEEKDAY('Daily Schedule'!$B$2,2)=5,WEEKDAY('Daily Schedule'!$B$2,2)=7),IFERROR(1*'Daily Workforce'!$K119&gt;=3,FALSE()),IFERROR(1*'Daily Workforce'!$K119&gt;=2,FALSE())),IF(AND('Daily Schedule'!$A40&gt;=46,'Daily Schedule'!$A40&lt;=52),'Daily Workforce'!$M119="Y",IFERROR(1*'Daily Workforce'!$P119&gt;=2,FALSE()))))),1,0)</f>
        <v>0</v>
      </c>
      <c r="EA36" s="1" t="n">
        <f aca="false">IF(AND('Daily Workforce'!$N120="Y",'Daily Workforce'!$B120&lt;&gt;"",COUNTIF('Daily Schedule'!$F$5:$F39,'Daily Workforce'!$B120)=0,IF('Daily Schedule'!$A40=45,'Daily Workforce'!$J120="Y",IF(OR('Daily Schedule'!$A40=4,'Daily Schedule'!$A40=8),IF(OR(WEEKDAY('Daily Schedule'!$B$2,2)=1,WEEKDAY('Daily Schedule'!$B$2,2)=4,WEEKDAY('Daily Schedule'!$B$2,2)=5,WEEKDAY('Daily Schedule'!$B$2,2)=7),IFERROR(1*'Daily Workforce'!$K120&gt;=3,FALSE()),IFERROR(1*'Daily Workforce'!$K120&gt;=2,FALSE())),IF(AND('Daily Schedule'!$A40&gt;=46,'Daily Schedule'!$A40&lt;=52),'Daily Workforce'!$M120="Y",IFERROR(1*'Daily Workforce'!$P120&gt;=2,FALSE()))))),1,0)</f>
        <v>0</v>
      </c>
      <c r="EB36" s="1" t="n">
        <f aca="false">IF(AND('Daily Workforce'!$N121="Y",'Daily Workforce'!$B121&lt;&gt;"",COUNTIF('Daily Schedule'!$F$5:$F39,'Daily Workforce'!$B121)=0,IF('Daily Schedule'!$A40=45,'Daily Workforce'!$J121="Y",IF(OR('Daily Schedule'!$A40=4,'Daily Schedule'!$A40=8),IF(OR(WEEKDAY('Daily Schedule'!$B$2,2)=1,WEEKDAY('Daily Schedule'!$B$2,2)=4,WEEKDAY('Daily Schedule'!$B$2,2)=5,WEEKDAY('Daily Schedule'!$B$2,2)=7),IFERROR(1*'Daily Workforce'!$K121&gt;=3,FALSE()),IFERROR(1*'Daily Workforce'!$K121&gt;=2,FALSE())),IF(AND('Daily Schedule'!$A40&gt;=46,'Daily Schedule'!$A40&lt;=52),'Daily Workforce'!$M121="Y",IFERROR(1*'Daily Workforce'!$P121&gt;=2,FALSE()))))),1,0)</f>
        <v>0</v>
      </c>
      <c r="EC36" s="1" t="n">
        <f aca="false">IF(AND('Daily Workforce'!$N122="Y",'Daily Workforce'!$B122&lt;&gt;"",COUNTIF('Daily Schedule'!$F$5:$F39,'Daily Workforce'!$B122)=0,IF('Daily Schedule'!$A40=45,'Daily Workforce'!$J122="Y",IF(OR('Daily Schedule'!$A40=4,'Daily Schedule'!$A40=8),IF(OR(WEEKDAY('Daily Schedule'!$B$2,2)=1,WEEKDAY('Daily Schedule'!$B$2,2)=4,WEEKDAY('Daily Schedule'!$B$2,2)=5,WEEKDAY('Daily Schedule'!$B$2,2)=7),IFERROR(1*'Daily Workforce'!$K122&gt;=3,FALSE()),IFERROR(1*'Daily Workforce'!$K122&gt;=2,FALSE())),IF(AND('Daily Schedule'!$A40&gt;=46,'Daily Schedule'!$A40&lt;=52),'Daily Workforce'!$M122="Y",IFERROR(1*'Daily Workforce'!$P122&gt;=2,FALSE()))))),1,0)</f>
        <v>0</v>
      </c>
      <c r="ED36" s="1" t="n">
        <f aca="false">IF(AND('Daily Workforce'!$N123="Y",'Daily Workforce'!$B123&lt;&gt;"",COUNTIF('Daily Schedule'!$F$5:$F39,'Daily Workforce'!$B123)=0,IF('Daily Schedule'!$A40=45,'Daily Workforce'!$J123="Y",IF(OR('Daily Schedule'!$A40=4,'Daily Schedule'!$A40=8),IF(OR(WEEKDAY('Daily Schedule'!$B$2,2)=1,WEEKDAY('Daily Schedule'!$B$2,2)=4,WEEKDAY('Daily Schedule'!$B$2,2)=5,WEEKDAY('Daily Schedule'!$B$2,2)=7),IFERROR(1*'Daily Workforce'!$K123&gt;=3,FALSE()),IFERROR(1*'Daily Workforce'!$K123&gt;=2,FALSE())),IF(AND('Daily Schedule'!$A40&gt;=46,'Daily Schedule'!$A40&lt;=52),'Daily Workforce'!$M123="Y",IFERROR(1*'Daily Workforce'!$P123&gt;=2,FALSE()))))),1,0)</f>
        <v>0</v>
      </c>
      <c r="EE36" s="1" t="n">
        <f aca="false">IF(AND('Daily Workforce'!$N124="Y",'Daily Workforce'!$B124&lt;&gt;"",COUNTIF('Daily Schedule'!$F$5:$F39,'Daily Workforce'!$B124)=0,IF('Daily Schedule'!$A40=45,'Daily Workforce'!$J124="Y",IF(OR('Daily Schedule'!$A40=4,'Daily Schedule'!$A40=8),IF(OR(WEEKDAY('Daily Schedule'!$B$2,2)=1,WEEKDAY('Daily Schedule'!$B$2,2)=4,WEEKDAY('Daily Schedule'!$B$2,2)=5,WEEKDAY('Daily Schedule'!$B$2,2)=7),IFERROR(1*'Daily Workforce'!$K124&gt;=3,FALSE()),IFERROR(1*'Daily Workforce'!$K124&gt;=2,FALSE())),IF(AND('Daily Schedule'!$A40&gt;=46,'Daily Schedule'!$A40&lt;=52),'Daily Workforce'!$M124="Y",IFERROR(1*'Daily Workforce'!$P124&gt;=2,FALSE()))))),1,0)</f>
        <v>0</v>
      </c>
      <c r="EF36" s="1" t="n">
        <f aca="false">IF(AND('Daily Workforce'!$N125="Y",'Daily Workforce'!$B125&lt;&gt;"",COUNTIF('Daily Schedule'!$F$5:$F39,'Daily Workforce'!$B125)=0,IF('Daily Schedule'!$A40=45,'Daily Workforce'!$J125="Y",IF(OR('Daily Schedule'!$A40=4,'Daily Schedule'!$A40=8),IF(OR(WEEKDAY('Daily Schedule'!$B$2,2)=1,WEEKDAY('Daily Schedule'!$B$2,2)=4,WEEKDAY('Daily Schedule'!$B$2,2)=5,WEEKDAY('Daily Schedule'!$B$2,2)=7),IFERROR(1*'Daily Workforce'!$K125&gt;=3,FALSE()),IFERROR(1*'Daily Workforce'!$K125&gt;=2,FALSE())),IF(AND('Daily Schedule'!$A40&gt;=46,'Daily Schedule'!$A40&lt;=52),'Daily Workforce'!$M125="Y",IFERROR(1*'Daily Workforce'!$P125&gt;=2,FALSE()))))),1,0)</f>
        <v>0</v>
      </c>
      <c r="EG36" s="1" t="n">
        <f aca="false">IF(AND('Daily Workforce'!$N126="Y",'Daily Workforce'!$B126&lt;&gt;"",COUNTIF('Daily Schedule'!$F$5:$F39,'Daily Workforce'!$B126)=0,IF('Daily Schedule'!$A40=45,'Daily Workforce'!$J126="Y",IF(OR('Daily Schedule'!$A40=4,'Daily Schedule'!$A40=8),IF(OR(WEEKDAY('Daily Schedule'!$B$2,2)=1,WEEKDAY('Daily Schedule'!$B$2,2)=4,WEEKDAY('Daily Schedule'!$B$2,2)=5,WEEKDAY('Daily Schedule'!$B$2,2)=7),IFERROR(1*'Daily Workforce'!$K126&gt;=3,FALSE()),IFERROR(1*'Daily Workforce'!$K126&gt;=2,FALSE())),IF(AND('Daily Schedule'!$A40&gt;=46,'Daily Schedule'!$A40&lt;=52),'Daily Workforce'!$M126="Y",IFERROR(1*'Daily Workforce'!$P126&gt;=2,FALSE()))))),1,0)</f>
        <v>0</v>
      </c>
      <c r="EH36" s="1" t="n">
        <f aca="false">IF(AND('Daily Workforce'!$N127="Y",'Daily Workforce'!$B127&lt;&gt;"",COUNTIF('Daily Schedule'!$F$5:$F39,'Daily Workforce'!$B127)=0,IF('Daily Schedule'!$A40=45,'Daily Workforce'!$J127="Y",IF(OR('Daily Schedule'!$A40=4,'Daily Schedule'!$A40=8),IF(OR(WEEKDAY('Daily Schedule'!$B$2,2)=1,WEEKDAY('Daily Schedule'!$B$2,2)=4,WEEKDAY('Daily Schedule'!$B$2,2)=5,WEEKDAY('Daily Schedule'!$B$2,2)=7),IFERROR(1*'Daily Workforce'!$K127&gt;=3,FALSE()),IFERROR(1*'Daily Workforce'!$K127&gt;=2,FALSE())),IF(AND('Daily Schedule'!$A40&gt;=46,'Daily Schedule'!$A40&lt;=52),'Daily Workforce'!$M127="Y",IFERROR(1*'Daily Workforce'!$P127&gt;=2,FALSE()))))),1,0)</f>
        <v>0</v>
      </c>
      <c r="EI36" s="1" t="n">
        <f aca="false">IF(AND('Daily Workforce'!$N128="Y",'Daily Workforce'!$B128&lt;&gt;"",COUNTIF('Daily Schedule'!$F$5:$F39,'Daily Workforce'!$B128)=0,IF('Daily Schedule'!$A40=45,'Daily Workforce'!$J128="Y",IF(OR('Daily Schedule'!$A40=4,'Daily Schedule'!$A40=8),IF(OR(WEEKDAY('Daily Schedule'!$B$2,2)=1,WEEKDAY('Daily Schedule'!$B$2,2)=4,WEEKDAY('Daily Schedule'!$B$2,2)=5,WEEKDAY('Daily Schedule'!$B$2,2)=7),IFERROR(1*'Daily Workforce'!$K128&gt;=3,FALSE()),IFERROR(1*'Daily Workforce'!$K128&gt;=2,FALSE())),IF(AND('Daily Schedule'!$A40&gt;=46,'Daily Schedule'!$A40&lt;=52),'Daily Workforce'!$M128="Y",IFERROR(1*'Daily Workforce'!$P128&gt;=2,FALSE()))))),1,0)</f>
        <v>0</v>
      </c>
      <c r="EJ36" s="1" t="n">
        <f aca="false">IF(AND('Daily Workforce'!$N129="Y",'Daily Workforce'!$B129&lt;&gt;"",COUNTIF('Daily Schedule'!$F$5:$F39,'Daily Workforce'!$B129)=0,IF('Daily Schedule'!$A40=45,'Daily Workforce'!$J129="Y",IF(OR('Daily Schedule'!$A40=4,'Daily Schedule'!$A40=8),IF(OR(WEEKDAY('Daily Schedule'!$B$2,2)=1,WEEKDAY('Daily Schedule'!$B$2,2)=4,WEEKDAY('Daily Schedule'!$B$2,2)=5,WEEKDAY('Daily Schedule'!$B$2,2)=7),IFERROR(1*'Daily Workforce'!$K129&gt;=3,FALSE()),IFERROR(1*'Daily Workforce'!$K129&gt;=2,FALSE())),IF(AND('Daily Schedule'!$A40&gt;=46,'Daily Schedule'!$A40&lt;=52),'Daily Workforce'!$M129="Y",IFERROR(1*'Daily Workforce'!$P129&gt;=2,FALSE()))))),1,0)</f>
        <v>0</v>
      </c>
      <c r="EK36" s="1" t="n">
        <f aca="false">IF(AND('Daily Workforce'!$N130="Y",'Daily Workforce'!$B130&lt;&gt;"",COUNTIF('Daily Schedule'!$F$5:$F39,'Daily Workforce'!$B130)=0,IF('Daily Schedule'!$A40=45,'Daily Workforce'!$J130="Y",IF(OR('Daily Schedule'!$A40=4,'Daily Schedule'!$A40=8),IF(OR(WEEKDAY('Daily Schedule'!$B$2,2)=1,WEEKDAY('Daily Schedule'!$B$2,2)=4,WEEKDAY('Daily Schedule'!$B$2,2)=5,WEEKDAY('Daily Schedule'!$B$2,2)=7),IFERROR(1*'Daily Workforce'!$K130&gt;=3,FALSE()),IFERROR(1*'Daily Workforce'!$K130&gt;=2,FALSE())),IF(AND('Daily Schedule'!$A40&gt;=46,'Daily Schedule'!$A40&lt;=52),'Daily Workforce'!$M130="Y",IFERROR(1*'Daily Workforce'!$P130&gt;=2,FALSE()))))),1,0)</f>
        <v>0</v>
      </c>
      <c r="EL36" s="1" t="n">
        <f aca="false">IF(AND('Daily Workforce'!$N131="Y",'Daily Workforce'!$B131&lt;&gt;"",COUNTIF('Daily Schedule'!$F$5:$F39,'Daily Workforce'!$B131)=0,IF('Daily Schedule'!$A40=45,'Daily Workforce'!$J131="Y",IF(OR('Daily Schedule'!$A40=4,'Daily Schedule'!$A40=8),IF(OR(WEEKDAY('Daily Schedule'!$B$2,2)=1,WEEKDAY('Daily Schedule'!$B$2,2)=4,WEEKDAY('Daily Schedule'!$B$2,2)=5,WEEKDAY('Daily Schedule'!$B$2,2)=7),IFERROR(1*'Daily Workforce'!$K131&gt;=3,FALSE()),IFERROR(1*'Daily Workforce'!$K131&gt;=2,FALSE())),IF(AND('Daily Schedule'!$A40&gt;=46,'Daily Schedule'!$A40&lt;=52),'Daily Workforce'!$M131="Y",IFERROR(1*'Daily Workforce'!$P131&gt;=2,FALSE()))))),1,0)</f>
        <v>0</v>
      </c>
      <c r="EM36" s="1" t="n">
        <f aca="false">IF(AND('Daily Workforce'!$N132="Y",'Daily Workforce'!$B132&lt;&gt;"",COUNTIF('Daily Schedule'!$F$5:$F39,'Daily Workforce'!$B132)=0,IF('Daily Schedule'!$A40=45,'Daily Workforce'!$J132="Y",IF(OR('Daily Schedule'!$A40=4,'Daily Schedule'!$A40=8),IF(OR(WEEKDAY('Daily Schedule'!$B$2,2)=1,WEEKDAY('Daily Schedule'!$B$2,2)=4,WEEKDAY('Daily Schedule'!$B$2,2)=5,WEEKDAY('Daily Schedule'!$B$2,2)=7),IFERROR(1*'Daily Workforce'!$K132&gt;=3,FALSE()),IFERROR(1*'Daily Workforce'!$K132&gt;=2,FALSE())),IF(AND('Daily Schedule'!$A40&gt;=46,'Daily Schedule'!$A40&lt;=52),'Daily Workforce'!$M132="Y",IFERROR(1*'Daily Workforce'!$P132&gt;=2,FALSE()))))),1,0)</f>
        <v>0</v>
      </c>
      <c r="EN36" s="1" t="n">
        <f aca="false">IF(AND('Daily Workforce'!$N133="Y",'Daily Workforce'!$B133&lt;&gt;"",COUNTIF('Daily Schedule'!$F$5:$F39,'Daily Workforce'!$B133)=0,IF('Daily Schedule'!$A40=45,'Daily Workforce'!$J133="Y",IF(OR('Daily Schedule'!$A40=4,'Daily Schedule'!$A40=8),IF(OR(WEEKDAY('Daily Schedule'!$B$2,2)=1,WEEKDAY('Daily Schedule'!$B$2,2)=4,WEEKDAY('Daily Schedule'!$B$2,2)=5,WEEKDAY('Daily Schedule'!$B$2,2)=7),IFERROR(1*'Daily Workforce'!$K133&gt;=3,FALSE()),IFERROR(1*'Daily Workforce'!$K133&gt;=2,FALSE())),IF(AND('Daily Schedule'!$A40&gt;=46,'Daily Schedule'!$A40&lt;=52),'Daily Workforce'!$M133="Y",IFERROR(1*'Daily Workforce'!$P133&gt;=2,FALSE()))))),1,0)</f>
        <v>0</v>
      </c>
      <c r="EO36" s="1" t="n">
        <f aca="false">IF(AND('Daily Workforce'!$N134="Y",'Daily Workforce'!$B134&lt;&gt;"",COUNTIF('Daily Schedule'!$F$5:$F39,'Daily Workforce'!$B134)=0,IF('Daily Schedule'!$A40=45,'Daily Workforce'!$J134="Y",IF(OR('Daily Schedule'!$A40=4,'Daily Schedule'!$A40=8),IF(OR(WEEKDAY('Daily Schedule'!$B$2,2)=1,WEEKDAY('Daily Schedule'!$B$2,2)=4,WEEKDAY('Daily Schedule'!$B$2,2)=5,WEEKDAY('Daily Schedule'!$B$2,2)=7),IFERROR(1*'Daily Workforce'!$K134&gt;=3,FALSE()),IFERROR(1*'Daily Workforce'!$K134&gt;=2,FALSE())),IF(AND('Daily Schedule'!$A40&gt;=46,'Daily Schedule'!$A40&lt;=52),'Daily Workforce'!$M134="Y",IFERROR(1*'Daily Workforce'!$P134&gt;=2,FALSE()))))),1,0)</f>
        <v>0</v>
      </c>
      <c r="EP36" s="1" t="n">
        <f aca="false">IF(AND('Daily Workforce'!$N135="Y",'Daily Workforce'!$B135&lt;&gt;"",COUNTIF('Daily Schedule'!$F$5:$F39,'Daily Workforce'!$B135)=0,IF('Daily Schedule'!$A40=45,'Daily Workforce'!$J135="Y",IF(OR('Daily Schedule'!$A40=4,'Daily Schedule'!$A40=8),IF(OR(WEEKDAY('Daily Schedule'!$B$2,2)=1,WEEKDAY('Daily Schedule'!$B$2,2)=4,WEEKDAY('Daily Schedule'!$B$2,2)=5,WEEKDAY('Daily Schedule'!$B$2,2)=7),IFERROR(1*'Daily Workforce'!$K135&gt;=3,FALSE()),IFERROR(1*'Daily Workforce'!$K135&gt;=2,FALSE())),IF(AND('Daily Schedule'!$A40&gt;=46,'Daily Schedule'!$A40&lt;=52),'Daily Workforce'!$M135="Y",IFERROR(1*'Daily Workforce'!$P135&gt;=2,FALSE()))))),1,0)</f>
        <v>0</v>
      </c>
      <c r="EQ36" s="1" t="n">
        <f aca="false">IF(AND('Daily Workforce'!$N136="Y",'Daily Workforce'!$B136&lt;&gt;"",COUNTIF('Daily Schedule'!$F$5:$F39,'Daily Workforce'!$B136)=0,IF('Daily Schedule'!$A40=45,'Daily Workforce'!$J136="Y",IF(OR('Daily Schedule'!$A40=4,'Daily Schedule'!$A40=8),IF(OR(WEEKDAY('Daily Schedule'!$B$2,2)=1,WEEKDAY('Daily Schedule'!$B$2,2)=4,WEEKDAY('Daily Schedule'!$B$2,2)=5,WEEKDAY('Daily Schedule'!$B$2,2)=7),IFERROR(1*'Daily Workforce'!$K136&gt;=3,FALSE()),IFERROR(1*'Daily Workforce'!$K136&gt;=2,FALSE())),IF(AND('Daily Schedule'!$A40&gt;=46,'Daily Schedule'!$A40&lt;=52),'Daily Workforce'!$M136="Y",IFERROR(1*'Daily Workforce'!$P136&gt;=2,FALSE()))))),1,0)</f>
        <v>0</v>
      </c>
      <c r="ER36" s="1" t="n">
        <f aca="false">IF(AND('Daily Workforce'!$N137="Y",'Daily Workforce'!$B137&lt;&gt;"",COUNTIF('Daily Schedule'!$F$5:$F39,'Daily Workforce'!$B137)=0,IF('Daily Schedule'!$A40=45,'Daily Workforce'!$J137="Y",IF(OR('Daily Schedule'!$A40=4,'Daily Schedule'!$A40=8),IF(OR(WEEKDAY('Daily Schedule'!$B$2,2)=1,WEEKDAY('Daily Schedule'!$B$2,2)=4,WEEKDAY('Daily Schedule'!$B$2,2)=5,WEEKDAY('Daily Schedule'!$B$2,2)=7),IFERROR(1*'Daily Workforce'!$K137&gt;=3,FALSE()),IFERROR(1*'Daily Workforce'!$K137&gt;=2,FALSE())),IF(AND('Daily Schedule'!$A40&gt;=46,'Daily Schedule'!$A40&lt;=52),'Daily Workforce'!$M137="Y",IFERROR(1*'Daily Workforce'!$P137&gt;=2,FALSE()))))),1,0)</f>
        <v>0</v>
      </c>
      <c r="ES36" s="1" t="n">
        <f aca="false">IF(AND('Daily Workforce'!$N138="Y",'Daily Workforce'!$B138&lt;&gt;"",COUNTIF('Daily Schedule'!$F$5:$F39,'Daily Workforce'!$B138)=0,IF('Daily Schedule'!$A40=45,'Daily Workforce'!$J138="Y",IF(OR('Daily Schedule'!$A40=4,'Daily Schedule'!$A40=8),IF(OR(WEEKDAY('Daily Schedule'!$B$2,2)=1,WEEKDAY('Daily Schedule'!$B$2,2)=4,WEEKDAY('Daily Schedule'!$B$2,2)=5,WEEKDAY('Daily Schedule'!$B$2,2)=7),IFERROR(1*'Daily Workforce'!$K138&gt;=3,FALSE()),IFERROR(1*'Daily Workforce'!$K138&gt;=2,FALSE())),IF(AND('Daily Schedule'!$A40&gt;=46,'Daily Schedule'!$A40&lt;=52),'Daily Workforce'!$M138="Y",IFERROR(1*'Daily Workforce'!$P138&gt;=2,FALSE()))))),1,0)</f>
        <v>0</v>
      </c>
      <c r="ET36" s="1" t="n">
        <f aca="false">IF(AND('Daily Workforce'!$N139="Y",'Daily Workforce'!$B139&lt;&gt;"",COUNTIF('Daily Schedule'!$F$5:$F39,'Daily Workforce'!$B139)=0,IF('Daily Schedule'!$A40=45,'Daily Workforce'!$J139="Y",IF(OR('Daily Schedule'!$A40=4,'Daily Schedule'!$A40=8),IF(OR(WEEKDAY('Daily Schedule'!$B$2,2)=1,WEEKDAY('Daily Schedule'!$B$2,2)=4,WEEKDAY('Daily Schedule'!$B$2,2)=5,WEEKDAY('Daily Schedule'!$B$2,2)=7),IFERROR(1*'Daily Workforce'!$K139&gt;=3,FALSE()),IFERROR(1*'Daily Workforce'!$K139&gt;=2,FALSE())),IF(AND('Daily Schedule'!$A40&gt;=46,'Daily Schedule'!$A40&lt;=52),'Daily Workforce'!$M139="Y",IFERROR(1*'Daily Workforce'!$P139&gt;=2,FALSE()))))),1,0)</f>
        <v>0</v>
      </c>
      <c r="EU36" s="1" t="n">
        <f aca="false">IF(AND('Daily Workforce'!$N140="Y",'Daily Workforce'!$B140&lt;&gt;"",COUNTIF('Daily Schedule'!$F$5:$F39,'Daily Workforce'!$B140)=0,IF('Daily Schedule'!$A40=45,'Daily Workforce'!$J140="Y",IF(OR('Daily Schedule'!$A40=4,'Daily Schedule'!$A40=8),IF(OR(WEEKDAY('Daily Schedule'!$B$2,2)=1,WEEKDAY('Daily Schedule'!$B$2,2)=4,WEEKDAY('Daily Schedule'!$B$2,2)=5,WEEKDAY('Daily Schedule'!$B$2,2)=7),IFERROR(1*'Daily Workforce'!$K140&gt;=3,FALSE()),IFERROR(1*'Daily Workforce'!$K140&gt;=2,FALSE())),IF(AND('Daily Schedule'!$A40&gt;=46,'Daily Schedule'!$A40&lt;=52),'Daily Workforce'!$M140="Y",IFERROR(1*'Daily Workforce'!$P140&gt;=2,FALSE()))))),1,0)</f>
        <v>0</v>
      </c>
      <c r="EV36" s="1" t="n">
        <f aca="false">IF(AND('Daily Workforce'!$N141="Y",'Daily Workforce'!$B141&lt;&gt;"",COUNTIF('Daily Schedule'!$F$5:$F39,'Daily Workforce'!$B141)=0,IF('Daily Schedule'!$A40=45,'Daily Workforce'!$J141="Y",IF(OR('Daily Schedule'!$A40=4,'Daily Schedule'!$A40=8),IF(OR(WEEKDAY('Daily Schedule'!$B$2,2)=1,WEEKDAY('Daily Schedule'!$B$2,2)=4,WEEKDAY('Daily Schedule'!$B$2,2)=5,WEEKDAY('Daily Schedule'!$B$2,2)=7),IFERROR(1*'Daily Workforce'!$K141&gt;=3,FALSE()),IFERROR(1*'Daily Workforce'!$K141&gt;=2,FALSE())),IF(AND('Daily Schedule'!$A40&gt;=46,'Daily Schedule'!$A40&lt;=52),'Daily Workforce'!$M141="Y",IFERROR(1*'Daily Workforce'!$P141&gt;=2,FALSE()))))),1,0)</f>
        <v>0</v>
      </c>
      <c r="EW36" s="1" t="n">
        <f aca="false">IF(AND('Daily Workforce'!$N142="Y",'Daily Workforce'!$B142&lt;&gt;"",COUNTIF('Daily Schedule'!$F$5:$F39,'Daily Workforce'!$B142)=0,IF('Daily Schedule'!$A40=45,'Daily Workforce'!$J142="Y",IF(OR('Daily Schedule'!$A40=4,'Daily Schedule'!$A40=8),IF(OR(WEEKDAY('Daily Schedule'!$B$2,2)=1,WEEKDAY('Daily Schedule'!$B$2,2)=4,WEEKDAY('Daily Schedule'!$B$2,2)=5,WEEKDAY('Daily Schedule'!$B$2,2)=7),IFERROR(1*'Daily Workforce'!$K142&gt;=3,FALSE()),IFERROR(1*'Daily Workforce'!$K142&gt;=2,FALSE())),IF(AND('Daily Schedule'!$A40&gt;=46,'Daily Schedule'!$A40&lt;=52),'Daily Workforce'!$M142="Y",IFERROR(1*'Daily Workforce'!$P142&gt;=2,FALSE()))))),1,0)</f>
        <v>0</v>
      </c>
      <c r="EX36" s="1" t="n">
        <f aca="false">IF(AND('Daily Workforce'!$N143="Y",'Daily Workforce'!$B143&lt;&gt;"",COUNTIF('Daily Schedule'!$F$5:$F39,'Daily Workforce'!$B143)=0,IF('Daily Schedule'!$A40=45,'Daily Workforce'!$J143="Y",IF(OR('Daily Schedule'!$A40=4,'Daily Schedule'!$A40=8),IF(OR(WEEKDAY('Daily Schedule'!$B$2,2)=1,WEEKDAY('Daily Schedule'!$B$2,2)=4,WEEKDAY('Daily Schedule'!$B$2,2)=5,WEEKDAY('Daily Schedule'!$B$2,2)=7),IFERROR(1*'Daily Workforce'!$K143&gt;=3,FALSE()),IFERROR(1*'Daily Workforce'!$K143&gt;=2,FALSE())),IF(AND('Daily Schedule'!$A40&gt;=46,'Daily Schedule'!$A40&lt;=52),'Daily Workforce'!$M143="Y",IFERROR(1*'Daily Workforce'!$P143&gt;=2,FALSE()))))),1,0)</f>
        <v>0</v>
      </c>
      <c r="EY36" s="1" t="n">
        <f aca="false">IF(AND('Daily Workforce'!$N144="Y",'Daily Workforce'!$B144&lt;&gt;"",COUNTIF('Daily Schedule'!$F$5:$F39,'Daily Workforce'!$B144)=0,IF('Daily Schedule'!$A40=45,'Daily Workforce'!$J144="Y",IF(OR('Daily Schedule'!$A40=4,'Daily Schedule'!$A40=8),IF(OR(WEEKDAY('Daily Schedule'!$B$2,2)=1,WEEKDAY('Daily Schedule'!$B$2,2)=4,WEEKDAY('Daily Schedule'!$B$2,2)=5,WEEKDAY('Daily Schedule'!$B$2,2)=7),IFERROR(1*'Daily Workforce'!$K144&gt;=3,FALSE()),IFERROR(1*'Daily Workforce'!$K144&gt;=2,FALSE())),IF(AND('Daily Schedule'!$A40&gt;=46,'Daily Schedule'!$A40&lt;=52),'Daily Workforce'!$M144="Y",IFERROR(1*'Daily Workforce'!$P144&gt;=2,FALSE()))))),1,0)</f>
        <v>0</v>
      </c>
      <c r="EZ36" s="1" t="n">
        <f aca="false">IF(AND('Daily Workforce'!$N145="Y",'Daily Workforce'!$B145&lt;&gt;"",COUNTIF('Daily Schedule'!$F$5:$F39,'Daily Workforce'!$B145)=0,IF('Daily Schedule'!$A40=45,'Daily Workforce'!$J145="Y",IF(OR('Daily Schedule'!$A40=4,'Daily Schedule'!$A40=8),IF(OR(WEEKDAY('Daily Schedule'!$B$2,2)=1,WEEKDAY('Daily Schedule'!$B$2,2)=4,WEEKDAY('Daily Schedule'!$B$2,2)=5,WEEKDAY('Daily Schedule'!$B$2,2)=7),IFERROR(1*'Daily Workforce'!$K145&gt;=3,FALSE()),IFERROR(1*'Daily Workforce'!$K145&gt;=2,FALSE())),IF(AND('Daily Schedule'!$A40&gt;=46,'Daily Schedule'!$A40&lt;=52),'Daily Workforce'!$M145="Y",IFERROR(1*'Daily Workforce'!$P145&gt;=2,FALSE()))))),1,0)</f>
        <v>0</v>
      </c>
      <c r="FA36" s="1" t="n">
        <f aca="false">IF(AND('Daily Workforce'!$N146="Y",'Daily Workforce'!$B146&lt;&gt;"",COUNTIF('Daily Schedule'!$F$5:$F39,'Daily Workforce'!$B146)=0,IF('Daily Schedule'!$A40=45,'Daily Workforce'!$J146="Y",IF(OR('Daily Schedule'!$A40=4,'Daily Schedule'!$A40=8),IF(OR(WEEKDAY('Daily Schedule'!$B$2,2)=1,WEEKDAY('Daily Schedule'!$B$2,2)=4,WEEKDAY('Daily Schedule'!$B$2,2)=5,WEEKDAY('Daily Schedule'!$B$2,2)=7),IFERROR(1*'Daily Workforce'!$K146&gt;=3,FALSE()),IFERROR(1*'Daily Workforce'!$K146&gt;=2,FALSE())),IF(AND('Daily Schedule'!$A40&gt;=46,'Daily Schedule'!$A40&lt;=52),'Daily Workforce'!$M146="Y",IFERROR(1*'Daily Workforce'!$P146&gt;=2,FALSE()))))),1,0)</f>
        <v>0</v>
      </c>
      <c r="FB36" s="1" t="n">
        <f aca="false">IF(AND('Daily Workforce'!$N147="Y",'Daily Workforce'!$B147&lt;&gt;"",COUNTIF('Daily Schedule'!$F$5:$F39,'Daily Workforce'!$B147)=0,IF('Daily Schedule'!$A40=45,'Daily Workforce'!$J147="Y",IF(OR('Daily Schedule'!$A40=4,'Daily Schedule'!$A40=8),IF(OR(WEEKDAY('Daily Schedule'!$B$2,2)=1,WEEKDAY('Daily Schedule'!$B$2,2)=4,WEEKDAY('Daily Schedule'!$B$2,2)=5,WEEKDAY('Daily Schedule'!$B$2,2)=7),IFERROR(1*'Daily Workforce'!$K147&gt;=3,FALSE()),IFERROR(1*'Daily Workforce'!$K147&gt;=2,FALSE())),IF(AND('Daily Schedule'!$A40&gt;=46,'Daily Schedule'!$A40&lt;=52),'Daily Workforce'!$M147="Y",IFERROR(1*'Daily Workforce'!$P147&gt;=2,FALSE()))))),1,0)</f>
        <v>0</v>
      </c>
      <c r="FC36" s="1" t="n">
        <f aca="false">IF(AND('Daily Workforce'!$N148="Y",'Daily Workforce'!$B148&lt;&gt;"",COUNTIF('Daily Schedule'!$F$5:$F39,'Daily Workforce'!$B148)=0,IF('Daily Schedule'!$A40=45,'Daily Workforce'!$J148="Y",IF(OR('Daily Schedule'!$A40=4,'Daily Schedule'!$A40=8),IF(OR(WEEKDAY('Daily Schedule'!$B$2,2)=1,WEEKDAY('Daily Schedule'!$B$2,2)=4,WEEKDAY('Daily Schedule'!$B$2,2)=5,WEEKDAY('Daily Schedule'!$B$2,2)=7),IFERROR(1*'Daily Workforce'!$K148&gt;=3,FALSE()),IFERROR(1*'Daily Workforce'!$K148&gt;=2,FALSE())),IF(AND('Daily Schedule'!$A40&gt;=46,'Daily Schedule'!$A40&lt;=52),'Daily Workforce'!$M148="Y",IFERROR(1*'Daily Workforce'!$P148&gt;=2,FALSE()))))),1,0)</f>
        <v>0</v>
      </c>
      <c r="FD36" s="1" t="n">
        <f aca="false">IF(AND('Daily Workforce'!$N149="Y",'Daily Workforce'!$B149&lt;&gt;"",COUNTIF('Daily Schedule'!$F$5:$F39,'Daily Workforce'!$B149)=0,IF('Daily Schedule'!$A40=45,'Daily Workforce'!$J149="Y",IF(OR('Daily Schedule'!$A40=4,'Daily Schedule'!$A40=8),IF(OR(WEEKDAY('Daily Schedule'!$B$2,2)=1,WEEKDAY('Daily Schedule'!$B$2,2)=4,WEEKDAY('Daily Schedule'!$B$2,2)=5,WEEKDAY('Daily Schedule'!$B$2,2)=7),IFERROR(1*'Daily Workforce'!$K149&gt;=3,FALSE()),IFERROR(1*'Daily Workforce'!$K149&gt;=2,FALSE())),IF(AND('Daily Schedule'!$A40&gt;=46,'Daily Schedule'!$A40&lt;=52),'Daily Workforce'!$M149="Y",IFERROR(1*'Daily Workforce'!$P149&gt;=2,FALSE()))))),1,0)</f>
        <v>0</v>
      </c>
      <c r="FE36" s="1" t="n">
        <f aca="false">IF(AND('Daily Workforce'!$N150="Y",'Daily Workforce'!$B150&lt;&gt;"",COUNTIF('Daily Schedule'!$F$5:$F39,'Daily Workforce'!$B150)=0,IF('Daily Schedule'!$A40=45,'Daily Workforce'!$J150="Y",IF(OR('Daily Schedule'!$A40=4,'Daily Schedule'!$A40=8),IF(OR(WEEKDAY('Daily Schedule'!$B$2,2)=1,WEEKDAY('Daily Schedule'!$B$2,2)=4,WEEKDAY('Daily Schedule'!$B$2,2)=5,WEEKDAY('Daily Schedule'!$B$2,2)=7),IFERROR(1*'Daily Workforce'!$K150&gt;=3,FALSE()),IFERROR(1*'Daily Workforce'!$K150&gt;=2,FALSE())),IF(AND('Daily Schedule'!$A40&gt;=46,'Daily Schedule'!$A40&lt;=52),'Daily Workforce'!$M150="Y",IFERROR(1*'Daily Workforce'!$P150&gt;=2,FALSE()))))),1,0)</f>
        <v>0</v>
      </c>
      <c r="FF36" s="1" t="n">
        <f aca="false">IF(AND('Daily Workforce'!$N151="Y",'Daily Workforce'!$B151&lt;&gt;"",COUNTIF('Daily Schedule'!$F$5:$F39,'Daily Workforce'!$B151)=0,IF('Daily Schedule'!$A40=45,'Daily Workforce'!$J151="Y",IF(OR('Daily Schedule'!$A40=4,'Daily Schedule'!$A40=8),IF(OR(WEEKDAY('Daily Schedule'!$B$2,2)=1,WEEKDAY('Daily Schedule'!$B$2,2)=4,WEEKDAY('Daily Schedule'!$B$2,2)=5,WEEKDAY('Daily Schedule'!$B$2,2)=7),IFERROR(1*'Daily Workforce'!$K151&gt;=3,FALSE()),IFERROR(1*'Daily Workforce'!$K151&gt;=2,FALSE())),IF(AND('Daily Schedule'!$A40&gt;=46,'Daily Schedule'!$A40&lt;=52),'Daily Workforce'!$M151="Y",IFERROR(1*'Daily Workforce'!$P151&gt;=2,FALSE()))))),1,0)</f>
        <v>0</v>
      </c>
      <c r="FG36" s="1" t="n">
        <f aca="false">IF(AND('Daily Workforce'!$N152="Y",'Daily Workforce'!$B152&lt;&gt;"",COUNTIF('Daily Schedule'!$F$5:$F39,'Daily Workforce'!$B152)=0,IF('Daily Schedule'!$A40=45,'Daily Workforce'!$J152="Y",IF(OR('Daily Schedule'!$A40=4,'Daily Schedule'!$A40=8),IF(OR(WEEKDAY('Daily Schedule'!$B$2,2)=1,WEEKDAY('Daily Schedule'!$B$2,2)=4,WEEKDAY('Daily Schedule'!$B$2,2)=5,WEEKDAY('Daily Schedule'!$B$2,2)=7),IFERROR(1*'Daily Workforce'!$K152&gt;=3,FALSE()),IFERROR(1*'Daily Workforce'!$K152&gt;=2,FALSE())),IF(AND('Daily Schedule'!$A40&gt;=46,'Daily Schedule'!$A40&lt;=52),'Daily Workforce'!$M152="Y",IFERROR(1*'Daily Workforce'!$P152&gt;=2,FALSE()))))),1,0)</f>
        <v>0</v>
      </c>
      <c r="FH36" s="1" t="n">
        <f aca="false">IF(AND('Daily Workforce'!$N153="Y",'Daily Workforce'!$B153&lt;&gt;"",COUNTIF('Daily Schedule'!$F$5:$F39,'Daily Workforce'!$B153)=0,IF('Daily Schedule'!$A40=45,'Daily Workforce'!$J153="Y",IF(OR('Daily Schedule'!$A40=4,'Daily Schedule'!$A40=8),IF(OR(WEEKDAY('Daily Schedule'!$B$2,2)=1,WEEKDAY('Daily Schedule'!$B$2,2)=4,WEEKDAY('Daily Schedule'!$B$2,2)=5,WEEKDAY('Daily Schedule'!$B$2,2)=7),IFERROR(1*'Daily Workforce'!$K153&gt;=3,FALSE()),IFERROR(1*'Daily Workforce'!$K153&gt;=2,FALSE())),IF(AND('Daily Schedule'!$A40&gt;=46,'Daily Schedule'!$A40&lt;=52),'Daily Workforce'!$M153="Y",IFERROR(1*'Daily Workforce'!$P153&gt;=2,FALSE()))))),1,0)</f>
        <v>0</v>
      </c>
      <c r="FI36" s="1" t="n">
        <f aca="false">IF(AND('Daily Workforce'!$N154="Y",'Daily Workforce'!$B154&lt;&gt;"",COUNTIF('Daily Schedule'!$F$5:$F39,'Daily Workforce'!$B154)=0,IF('Daily Schedule'!$A40=45,'Daily Workforce'!$J154="Y",IF(OR('Daily Schedule'!$A40=4,'Daily Schedule'!$A40=8),IF(OR(WEEKDAY('Daily Schedule'!$B$2,2)=1,WEEKDAY('Daily Schedule'!$B$2,2)=4,WEEKDAY('Daily Schedule'!$B$2,2)=5,WEEKDAY('Daily Schedule'!$B$2,2)=7),IFERROR(1*'Daily Workforce'!$K154&gt;=3,FALSE()),IFERROR(1*'Daily Workforce'!$K154&gt;=2,FALSE())),IF(AND('Daily Schedule'!$A40&gt;=46,'Daily Schedule'!$A40&lt;=52),'Daily Workforce'!$M154="Y",IFERROR(1*'Daily Workforce'!$P154&gt;=2,FALSE()))))),1,0)</f>
        <v>0</v>
      </c>
      <c r="FJ36" s="1" t="n">
        <f aca="false">IF(AND('Daily Workforce'!$N155="Y",'Daily Workforce'!$B155&lt;&gt;"",COUNTIF('Daily Schedule'!$F$5:$F39,'Daily Workforce'!$B155)=0,IF('Daily Schedule'!$A40=45,'Daily Workforce'!$J155="Y",IF(OR('Daily Schedule'!$A40=4,'Daily Schedule'!$A40=8),IF(OR(WEEKDAY('Daily Schedule'!$B$2,2)=1,WEEKDAY('Daily Schedule'!$B$2,2)=4,WEEKDAY('Daily Schedule'!$B$2,2)=5,WEEKDAY('Daily Schedule'!$B$2,2)=7),IFERROR(1*'Daily Workforce'!$K155&gt;=3,FALSE()),IFERROR(1*'Daily Workforce'!$K155&gt;=2,FALSE())),IF(AND('Daily Schedule'!$A40&gt;=46,'Daily Schedule'!$A40&lt;=52),'Daily Workforce'!$M155="Y",IFERROR(1*'Daily Workforce'!$P155&gt;=2,FALSE()))))),1,0)</f>
        <v>0</v>
      </c>
      <c r="FK36" s="1" t="n">
        <f aca="false">IF(AND('Daily Workforce'!$N156="Y",'Daily Workforce'!$B156&lt;&gt;"",COUNTIF('Daily Schedule'!$F$5:$F39,'Daily Workforce'!$B156)=0,IF('Daily Schedule'!$A40=45,'Daily Workforce'!$J156="Y",IF(OR('Daily Schedule'!$A40=4,'Daily Schedule'!$A40=8),IF(OR(WEEKDAY('Daily Schedule'!$B$2,2)=1,WEEKDAY('Daily Schedule'!$B$2,2)=4,WEEKDAY('Daily Schedule'!$B$2,2)=5,WEEKDAY('Daily Schedule'!$B$2,2)=7),IFERROR(1*'Daily Workforce'!$K156&gt;=3,FALSE()),IFERROR(1*'Daily Workforce'!$K156&gt;=2,FALSE())),IF(AND('Daily Schedule'!$A40&gt;=46,'Daily Schedule'!$A40&lt;=52),'Daily Workforce'!$M156="Y",IFERROR(1*'Daily Workforce'!$P156&gt;=2,FALSE()))))),1,0)</f>
        <v>0</v>
      </c>
      <c r="FL36" s="1" t="n">
        <f aca="false">IF(AND('Daily Workforce'!$N157="Y",'Daily Workforce'!$B157&lt;&gt;"",COUNTIF('Daily Schedule'!$F$5:$F39,'Daily Workforce'!$B157)=0,IF('Daily Schedule'!$A40=45,'Daily Workforce'!$J157="Y",IF(OR('Daily Schedule'!$A40=4,'Daily Schedule'!$A40=8),IF(OR(WEEKDAY('Daily Schedule'!$B$2,2)=1,WEEKDAY('Daily Schedule'!$B$2,2)=4,WEEKDAY('Daily Schedule'!$B$2,2)=5,WEEKDAY('Daily Schedule'!$B$2,2)=7),IFERROR(1*'Daily Workforce'!$K157&gt;=3,FALSE()),IFERROR(1*'Daily Workforce'!$K157&gt;=2,FALSE())),IF(AND('Daily Schedule'!$A40&gt;=46,'Daily Schedule'!$A40&lt;=52),'Daily Workforce'!$M157="Y",IFERROR(1*'Daily Workforce'!$P157&gt;=2,FALSE()))))),1,0)</f>
        <v>0</v>
      </c>
      <c r="FM36" s="1" t="n">
        <f aca="false">IF(AND('Daily Workforce'!$N158="Y",'Daily Workforce'!$B158&lt;&gt;"",COUNTIF('Daily Schedule'!$F$5:$F39,'Daily Workforce'!$B158)=0,IF('Daily Schedule'!$A40=45,'Daily Workforce'!$J158="Y",IF(OR('Daily Schedule'!$A40=4,'Daily Schedule'!$A40=8),IF(OR(WEEKDAY('Daily Schedule'!$B$2,2)=1,WEEKDAY('Daily Schedule'!$B$2,2)=4,WEEKDAY('Daily Schedule'!$B$2,2)=5,WEEKDAY('Daily Schedule'!$B$2,2)=7),IFERROR(1*'Daily Workforce'!$K158&gt;=3,FALSE()),IFERROR(1*'Daily Workforce'!$K158&gt;=2,FALSE())),IF(AND('Daily Schedule'!$A40&gt;=46,'Daily Schedule'!$A40&lt;=52),'Daily Workforce'!$M158="Y",IFERROR(1*'Daily Workforce'!$P158&gt;=2,FALSE()))))),1,0)</f>
        <v>0</v>
      </c>
      <c r="FN36" s="1" t="n">
        <f aca="false">IF(AND('Daily Workforce'!$N159="Y",'Daily Workforce'!$B159&lt;&gt;"",COUNTIF('Daily Schedule'!$F$5:$F39,'Daily Workforce'!$B159)=0,IF('Daily Schedule'!$A40=45,'Daily Workforce'!$J159="Y",IF(OR('Daily Schedule'!$A40=4,'Daily Schedule'!$A40=8),IF(OR(WEEKDAY('Daily Schedule'!$B$2,2)=1,WEEKDAY('Daily Schedule'!$B$2,2)=4,WEEKDAY('Daily Schedule'!$B$2,2)=5,WEEKDAY('Daily Schedule'!$B$2,2)=7),IFERROR(1*'Daily Workforce'!$K159&gt;=3,FALSE()),IFERROR(1*'Daily Workforce'!$K159&gt;=2,FALSE())),IF(AND('Daily Schedule'!$A40&gt;=46,'Daily Schedule'!$A40&lt;=52),'Daily Workforce'!$M159="Y",IFERROR(1*'Daily Workforce'!$P159&gt;=2,FALSE()))))),1,0)</f>
        <v>0</v>
      </c>
      <c r="FO36" s="1" t="n">
        <f aca="false">IF(AND('Daily Workforce'!$N160="Y",'Daily Workforce'!$B160&lt;&gt;"",COUNTIF('Daily Schedule'!$F$5:$F39,'Daily Workforce'!$B160)=0,IF('Daily Schedule'!$A40=45,'Daily Workforce'!$J160="Y",IF(OR('Daily Schedule'!$A40=4,'Daily Schedule'!$A40=8),IF(OR(WEEKDAY('Daily Schedule'!$B$2,2)=1,WEEKDAY('Daily Schedule'!$B$2,2)=4,WEEKDAY('Daily Schedule'!$B$2,2)=5,WEEKDAY('Daily Schedule'!$B$2,2)=7),IFERROR(1*'Daily Workforce'!$K160&gt;=3,FALSE()),IFERROR(1*'Daily Workforce'!$K160&gt;=2,FALSE())),IF(AND('Daily Schedule'!$A40&gt;=46,'Daily Schedule'!$A40&lt;=52),'Daily Workforce'!$M160="Y",IFERROR(1*'Daily Workforce'!$P160&gt;=2,FALSE()))))),1,0)</f>
        <v>0</v>
      </c>
      <c r="FP36" s="1" t="n">
        <f aca="false">IF(AND('Daily Workforce'!$N161="Y",'Daily Workforce'!$B161&lt;&gt;"",COUNTIF('Daily Schedule'!$F$5:$F39,'Daily Workforce'!$B161)=0,IF('Daily Schedule'!$A40=45,'Daily Workforce'!$J161="Y",IF(OR('Daily Schedule'!$A40=4,'Daily Schedule'!$A40=8),IF(OR(WEEKDAY('Daily Schedule'!$B$2,2)=1,WEEKDAY('Daily Schedule'!$B$2,2)=4,WEEKDAY('Daily Schedule'!$B$2,2)=5,WEEKDAY('Daily Schedule'!$B$2,2)=7),IFERROR(1*'Daily Workforce'!$K161&gt;=3,FALSE()),IFERROR(1*'Daily Workforce'!$K161&gt;=2,FALSE())),IF(AND('Daily Schedule'!$A40&gt;=46,'Daily Schedule'!$A40&lt;=52),'Daily Workforce'!$M161="Y",IFERROR(1*'Daily Workforce'!$P161&gt;=2,FALSE()))))),1,0)</f>
        <v>0</v>
      </c>
      <c r="FQ36" s="1" t="n">
        <f aca="false">IF(AND('Daily Workforce'!$N162="Y",'Daily Workforce'!$B162&lt;&gt;"",COUNTIF('Daily Schedule'!$F$5:$F39,'Daily Workforce'!$B162)=0,IF('Daily Schedule'!$A40=45,'Daily Workforce'!$J162="Y",IF(OR('Daily Schedule'!$A40=4,'Daily Schedule'!$A40=8),IF(OR(WEEKDAY('Daily Schedule'!$B$2,2)=1,WEEKDAY('Daily Schedule'!$B$2,2)=4,WEEKDAY('Daily Schedule'!$B$2,2)=5,WEEKDAY('Daily Schedule'!$B$2,2)=7),IFERROR(1*'Daily Workforce'!$K162&gt;=3,FALSE()),IFERROR(1*'Daily Workforce'!$K162&gt;=2,FALSE())),IF(AND('Daily Schedule'!$A40&gt;=46,'Daily Schedule'!$A40&lt;=52),'Daily Workforce'!$M162="Y",IFERROR(1*'Daily Workforce'!$P162&gt;=2,FALSE()))))),1,0)</f>
        <v>0</v>
      </c>
      <c r="FR36" s="1" t="n">
        <f aca="false">IF(AND('Daily Workforce'!$N163="Y",'Daily Workforce'!$B163&lt;&gt;"",COUNTIF('Daily Schedule'!$F$5:$F39,'Daily Workforce'!$B163)=0,IF('Daily Schedule'!$A40=45,'Daily Workforce'!$J163="Y",IF(OR('Daily Schedule'!$A40=4,'Daily Schedule'!$A40=8),IF(OR(WEEKDAY('Daily Schedule'!$B$2,2)=1,WEEKDAY('Daily Schedule'!$B$2,2)=4,WEEKDAY('Daily Schedule'!$B$2,2)=5,WEEKDAY('Daily Schedule'!$B$2,2)=7),IFERROR(1*'Daily Workforce'!$K163&gt;=3,FALSE()),IFERROR(1*'Daily Workforce'!$K163&gt;=2,FALSE())),IF(AND('Daily Schedule'!$A40&gt;=46,'Daily Schedule'!$A40&lt;=52),'Daily Workforce'!$M163="Y",IFERROR(1*'Daily Workforce'!$P163&gt;=2,FALSE()))))),1,0)</f>
        <v>0</v>
      </c>
      <c r="FS36" s="1" t="n">
        <f aca="false">IF(AND('Daily Workforce'!$N164="Y",'Daily Workforce'!$B164&lt;&gt;"",COUNTIF('Daily Schedule'!$F$5:$F39,'Daily Workforce'!$B164)=0,IF('Daily Schedule'!$A40=45,'Daily Workforce'!$J164="Y",IF(OR('Daily Schedule'!$A40=4,'Daily Schedule'!$A40=8),IF(OR(WEEKDAY('Daily Schedule'!$B$2,2)=1,WEEKDAY('Daily Schedule'!$B$2,2)=4,WEEKDAY('Daily Schedule'!$B$2,2)=5,WEEKDAY('Daily Schedule'!$B$2,2)=7),IFERROR(1*'Daily Workforce'!$K164&gt;=3,FALSE()),IFERROR(1*'Daily Workforce'!$K164&gt;=2,FALSE())),IF(AND('Daily Schedule'!$A40&gt;=46,'Daily Schedule'!$A40&lt;=52),'Daily Workforce'!$M164="Y",IFERROR(1*'Daily Workforce'!$P164&gt;=2,FALSE()))))),1,0)</f>
        <v>0</v>
      </c>
      <c r="FT36" s="1" t="n">
        <f aca="false">IF(AND('Daily Workforce'!$N165="Y",'Daily Workforce'!$B165&lt;&gt;"",COUNTIF('Daily Schedule'!$F$5:$F39,'Daily Workforce'!$B165)=0,IF('Daily Schedule'!$A40=45,'Daily Workforce'!$J165="Y",IF(OR('Daily Schedule'!$A40=4,'Daily Schedule'!$A40=8),IF(OR(WEEKDAY('Daily Schedule'!$B$2,2)=1,WEEKDAY('Daily Schedule'!$B$2,2)=4,WEEKDAY('Daily Schedule'!$B$2,2)=5,WEEKDAY('Daily Schedule'!$B$2,2)=7),IFERROR(1*'Daily Workforce'!$K165&gt;=3,FALSE()),IFERROR(1*'Daily Workforce'!$K165&gt;=2,FALSE())),IF(AND('Daily Schedule'!$A40&gt;=46,'Daily Schedule'!$A40&lt;=52),'Daily Workforce'!$M165="Y",IFERROR(1*'Daily Workforce'!$P165&gt;=2,FALSE()))))),1,0)</f>
        <v>0</v>
      </c>
      <c r="FU36" s="1" t="n">
        <f aca="false">IF(AND('Daily Workforce'!$N166="Y",'Daily Workforce'!$B166&lt;&gt;"",COUNTIF('Daily Schedule'!$F$5:$F39,'Daily Workforce'!$B166)=0,IF('Daily Schedule'!$A40=45,'Daily Workforce'!$J166="Y",IF(OR('Daily Schedule'!$A40=4,'Daily Schedule'!$A40=8),IF(OR(WEEKDAY('Daily Schedule'!$B$2,2)=1,WEEKDAY('Daily Schedule'!$B$2,2)=4,WEEKDAY('Daily Schedule'!$B$2,2)=5,WEEKDAY('Daily Schedule'!$B$2,2)=7),IFERROR(1*'Daily Workforce'!$K166&gt;=3,FALSE()),IFERROR(1*'Daily Workforce'!$K166&gt;=2,FALSE())),IF(AND('Daily Schedule'!$A40&gt;=46,'Daily Schedule'!$A40&lt;=52),'Daily Workforce'!$M166="Y",IFERROR(1*'Daily Workforce'!$P166&gt;=2,FALSE()))))),1,0)</f>
        <v>0</v>
      </c>
      <c r="FV36" s="1" t="n">
        <f aca="false">IF(AND('Daily Workforce'!$N167="Y",'Daily Workforce'!$B167&lt;&gt;"",COUNTIF('Daily Schedule'!$F$5:$F39,'Daily Workforce'!$B167)=0,IF('Daily Schedule'!$A40=45,'Daily Workforce'!$J167="Y",IF(OR('Daily Schedule'!$A40=4,'Daily Schedule'!$A40=8),IF(OR(WEEKDAY('Daily Schedule'!$B$2,2)=1,WEEKDAY('Daily Schedule'!$B$2,2)=4,WEEKDAY('Daily Schedule'!$B$2,2)=5,WEEKDAY('Daily Schedule'!$B$2,2)=7),IFERROR(1*'Daily Workforce'!$K167&gt;=3,FALSE()),IFERROR(1*'Daily Workforce'!$K167&gt;=2,FALSE())),IF(AND('Daily Schedule'!$A40&gt;=46,'Daily Schedule'!$A40&lt;=52),'Daily Workforce'!$M167="Y",IFERROR(1*'Daily Workforce'!$P167&gt;=2,FALSE()))))),1,0)</f>
        <v>0</v>
      </c>
      <c r="FW36" s="1" t="n">
        <f aca="false">IF(AND('Daily Workforce'!$N168="Y",'Daily Workforce'!$B168&lt;&gt;"",COUNTIF('Daily Schedule'!$F$5:$F39,'Daily Workforce'!$B168)=0,IF('Daily Schedule'!$A40=45,'Daily Workforce'!$J168="Y",IF(OR('Daily Schedule'!$A40=4,'Daily Schedule'!$A40=8),IF(OR(WEEKDAY('Daily Schedule'!$B$2,2)=1,WEEKDAY('Daily Schedule'!$B$2,2)=4,WEEKDAY('Daily Schedule'!$B$2,2)=5,WEEKDAY('Daily Schedule'!$B$2,2)=7),IFERROR(1*'Daily Workforce'!$K168&gt;=3,FALSE()),IFERROR(1*'Daily Workforce'!$K168&gt;=2,FALSE())),IF(AND('Daily Schedule'!$A40&gt;=46,'Daily Schedule'!$A40&lt;=52),'Daily Workforce'!$M168="Y",IFERROR(1*'Daily Workforce'!$P168&gt;=2,FALSE()))))),1,0)</f>
        <v>0</v>
      </c>
      <c r="FX36" s="1" t="n">
        <f aca="false">IF(AND('Daily Workforce'!$N169="Y",'Daily Workforce'!$B169&lt;&gt;"",COUNTIF('Daily Schedule'!$F$5:$F39,'Daily Workforce'!$B169)=0,IF('Daily Schedule'!$A40=45,'Daily Workforce'!$J169="Y",IF(OR('Daily Schedule'!$A40=4,'Daily Schedule'!$A40=8),IF(OR(WEEKDAY('Daily Schedule'!$B$2,2)=1,WEEKDAY('Daily Schedule'!$B$2,2)=4,WEEKDAY('Daily Schedule'!$B$2,2)=5,WEEKDAY('Daily Schedule'!$B$2,2)=7),IFERROR(1*'Daily Workforce'!$K169&gt;=3,FALSE()),IFERROR(1*'Daily Workforce'!$K169&gt;=2,FALSE())),IF(AND('Daily Schedule'!$A40&gt;=46,'Daily Schedule'!$A40&lt;=52),'Daily Workforce'!$M169="Y",IFERROR(1*'Daily Workforce'!$P169&gt;=2,FALSE()))))),1,0)</f>
        <v>0</v>
      </c>
      <c r="FY36" s="1" t="n">
        <f aca="false">IF(AND('Daily Workforce'!$N170="Y",'Daily Workforce'!$B170&lt;&gt;"",COUNTIF('Daily Schedule'!$F$5:$F39,'Daily Workforce'!$B170)=0,IF('Daily Schedule'!$A40=45,'Daily Workforce'!$J170="Y",IF(OR('Daily Schedule'!$A40=4,'Daily Schedule'!$A40=8),IF(OR(WEEKDAY('Daily Schedule'!$B$2,2)=1,WEEKDAY('Daily Schedule'!$B$2,2)=4,WEEKDAY('Daily Schedule'!$B$2,2)=5,WEEKDAY('Daily Schedule'!$B$2,2)=7),IFERROR(1*'Daily Workforce'!$K170&gt;=3,FALSE()),IFERROR(1*'Daily Workforce'!$K170&gt;=2,FALSE())),IF(AND('Daily Schedule'!$A40&gt;=46,'Daily Schedule'!$A40&lt;=52),'Daily Workforce'!$M170="Y",IFERROR(1*'Daily Workforce'!$P170&gt;=2,FALSE()))))),1,0)</f>
        <v>0</v>
      </c>
      <c r="FZ36" s="1" t="n">
        <f aca="false">IF(AND('Daily Workforce'!$N171="Y",'Daily Workforce'!$B171&lt;&gt;"",COUNTIF('Daily Schedule'!$F$5:$F39,'Daily Workforce'!$B171)=0,IF('Daily Schedule'!$A40=45,'Daily Workforce'!$J171="Y",IF(OR('Daily Schedule'!$A40=4,'Daily Schedule'!$A40=8),IF(OR(WEEKDAY('Daily Schedule'!$B$2,2)=1,WEEKDAY('Daily Schedule'!$B$2,2)=4,WEEKDAY('Daily Schedule'!$B$2,2)=5,WEEKDAY('Daily Schedule'!$B$2,2)=7),IFERROR(1*'Daily Workforce'!$K171&gt;=3,FALSE()),IFERROR(1*'Daily Workforce'!$K171&gt;=2,FALSE())),IF(AND('Daily Schedule'!$A40&gt;=46,'Daily Schedule'!$A40&lt;=52),'Daily Workforce'!$M171="Y",IFERROR(1*'Daily Workforce'!$P171&gt;=2,FALSE()))))),1,0)</f>
        <v>0</v>
      </c>
      <c r="GA36" s="1" t="n">
        <f aca="false">IF(AND('Daily Workforce'!$N172="Y",'Daily Workforce'!$B172&lt;&gt;"",COUNTIF('Daily Schedule'!$F$5:$F39,'Daily Workforce'!$B172)=0,IF('Daily Schedule'!$A40=45,'Daily Workforce'!$J172="Y",IF(OR('Daily Schedule'!$A40=4,'Daily Schedule'!$A40=8),IF(OR(WEEKDAY('Daily Schedule'!$B$2,2)=1,WEEKDAY('Daily Schedule'!$B$2,2)=4,WEEKDAY('Daily Schedule'!$B$2,2)=5,WEEKDAY('Daily Schedule'!$B$2,2)=7),IFERROR(1*'Daily Workforce'!$K172&gt;=3,FALSE()),IFERROR(1*'Daily Workforce'!$K172&gt;=2,FALSE())),IF(AND('Daily Schedule'!$A40&gt;=46,'Daily Schedule'!$A40&lt;=52),'Daily Workforce'!$M172="Y",IFERROR(1*'Daily Workforce'!$P172&gt;=2,FALSE()))))),1,0)</f>
        <v>0</v>
      </c>
      <c r="GB36" s="1" t="n">
        <f aca="false">IF(AND('Daily Workforce'!$N173="Y",'Daily Workforce'!$B173&lt;&gt;"",COUNTIF('Daily Schedule'!$F$5:$F39,'Daily Workforce'!$B173)=0,IF('Daily Schedule'!$A40=45,'Daily Workforce'!$J173="Y",IF(OR('Daily Schedule'!$A40=4,'Daily Schedule'!$A40=8),IF(OR(WEEKDAY('Daily Schedule'!$B$2,2)=1,WEEKDAY('Daily Schedule'!$B$2,2)=4,WEEKDAY('Daily Schedule'!$B$2,2)=5,WEEKDAY('Daily Schedule'!$B$2,2)=7),IFERROR(1*'Daily Workforce'!$K173&gt;=3,FALSE()),IFERROR(1*'Daily Workforce'!$K173&gt;=2,FALSE())),IF(AND('Daily Schedule'!$A40&gt;=46,'Daily Schedule'!$A40&lt;=52),'Daily Workforce'!$M173="Y",IFERROR(1*'Daily Workforce'!$P173&gt;=2,FALSE()))))),1,0)</f>
        <v>0</v>
      </c>
      <c r="GC36" s="1" t="n">
        <f aca="false">IF(AND('Daily Workforce'!$N174="Y",'Daily Workforce'!$B174&lt;&gt;"",COUNTIF('Daily Schedule'!$F$5:$F39,'Daily Workforce'!$B174)=0,IF('Daily Schedule'!$A40=45,'Daily Workforce'!$J174="Y",IF(OR('Daily Schedule'!$A40=4,'Daily Schedule'!$A40=8),IF(OR(WEEKDAY('Daily Schedule'!$B$2,2)=1,WEEKDAY('Daily Schedule'!$B$2,2)=4,WEEKDAY('Daily Schedule'!$B$2,2)=5,WEEKDAY('Daily Schedule'!$B$2,2)=7),IFERROR(1*'Daily Workforce'!$K174&gt;=3,FALSE()),IFERROR(1*'Daily Workforce'!$K174&gt;=2,FALSE())),IF(AND('Daily Schedule'!$A40&gt;=46,'Daily Schedule'!$A40&lt;=52),'Daily Workforce'!$M174="Y",IFERROR(1*'Daily Workforce'!$P174&gt;=2,FALSE()))))),1,0)</f>
        <v>0</v>
      </c>
      <c r="GD36" s="1" t="n">
        <f aca="false">IF(AND('Daily Workforce'!$N175="Y",'Daily Workforce'!$B175&lt;&gt;"",COUNTIF('Daily Schedule'!$F$5:$F39,'Daily Workforce'!$B175)=0,IF('Daily Schedule'!$A40=45,'Daily Workforce'!$J175="Y",IF(OR('Daily Schedule'!$A40=4,'Daily Schedule'!$A40=8),IF(OR(WEEKDAY('Daily Schedule'!$B$2,2)=1,WEEKDAY('Daily Schedule'!$B$2,2)=4,WEEKDAY('Daily Schedule'!$B$2,2)=5,WEEKDAY('Daily Schedule'!$B$2,2)=7),IFERROR(1*'Daily Workforce'!$K175&gt;=3,FALSE()),IFERROR(1*'Daily Workforce'!$K175&gt;=2,FALSE())),IF(AND('Daily Schedule'!$A40&gt;=46,'Daily Schedule'!$A40&lt;=52),'Daily Workforce'!$M175="Y",IFERROR(1*'Daily Workforce'!$P175&gt;=2,FALSE()))))),1,0)</f>
        <v>0</v>
      </c>
      <c r="GE36" s="1" t="n">
        <f aca="false">IF(AND('Daily Workforce'!$N176="Y",'Daily Workforce'!$B176&lt;&gt;"",COUNTIF('Daily Schedule'!$F$5:$F39,'Daily Workforce'!$B176)=0,IF('Daily Schedule'!$A40=45,'Daily Workforce'!$J176="Y",IF(OR('Daily Schedule'!$A40=4,'Daily Schedule'!$A40=8),IF(OR(WEEKDAY('Daily Schedule'!$B$2,2)=1,WEEKDAY('Daily Schedule'!$B$2,2)=4,WEEKDAY('Daily Schedule'!$B$2,2)=5,WEEKDAY('Daily Schedule'!$B$2,2)=7),IFERROR(1*'Daily Workforce'!$K176&gt;=3,FALSE()),IFERROR(1*'Daily Workforce'!$K176&gt;=2,FALSE())),IF(AND('Daily Schedule'!$A40&gt;=46,'Daily Schedule'!$A40&lt;=52),'Daily Workforce'!$M176="Y",IFERROR(1*'Daily Workforce'!$P176&gt;=2,FALSE()))))),1,0)</f>
        <v>0</v>
      </c>
      <c r="GF36" s="1" t="n">
        <f aca="false">IF(AND('Daily Workforce'!$N177="Y",'Daily Workforce'!$B177&lt;&gt;"",COUNTIF('Daily Schedule'!$F$5:$F39,'Daily Workforce'!$B177)=0,IF('Daily Schedule'!$A40=45,'Daily Workforce'!$J177="Y",IF(OR('Daily Schedule'!$A40=4,'Daily Schedule'!$A40=8),IF(OR(WEEKDAY('Daily Schedule'!$B$2,2)=1,WEEKDAY('Daily Schedule'!$B$2,2)=4,WEEKDAY('Daily Schedule'!$B$2,2)=5,WEEKDAY('Daily Schedule'!$B$2,2)=7),IFERROR(1*'Daily Workforce'!$K177&gt;=3,FALSE()),IFERROR(1*'Daily Workforce'!$K177&gt;=2,FALSE())),IF(AND('Daily Schedule'!$A40&gt;=46,'Daily Schedule'!$A40&lt;=52),'Daily Workforce'!$M177="Y",IFERROR(1*'Daily Workforce'!$P177&gt;=2,FALSE()))))),1,0)</f>
        <v>0</v>
      </c>
      <c r="GG36" s="1" t="n">
        <f aca="false">IF(AND('Daily Workforce'!$N178="Y",'Daily Workforce'!$B178&lt;&gt;"",COUNTIF('Daily Schedule'!$F$5:$F39,'Daily Workforce'!$B178)=0,IF('Daily Schedule'!$A40=45,'Daily Workforce'!$J178="Y",IF(OR('Daily Schedule'!$A40=4,'Daily Schedule'!$A40=8),IF(OR(WEEKDAY('Daily Schedule'!$B$2,2)=1,WEEKDAY('Daily Schedule'!$B$2,2)=4,WEEKDAY('Daily Schedule'!$B$2,2)=5,WEEKDAY('Daily Schedule'!$B$2,2)=7),IFERROR(1*'Daily Workforce'!$K178&gt;=3,FALSE()),IFERROR(1*'Daily Workforce'!$K178&gt;=2,FALSE())),IF(AND('Daily Schedule'!$A40&gt;=46,'Daily Schedule'!$A40&lt;=52),'Daily Workforce'!$M178="Y",IFERROR(1*'Daily Workforce'!$P178&gt;=2,FALSE()))))),1,0)</f>
        <v>0</v>
      </c>
      <c r="GH36" s="1" t="n">
        <f aca="false">IF(AND('Daily Workforce'!$N179="Y",'Daily Workforce'!$B179&lt;&gt;"",COUNTIF('Daily Schedule'!$F$5:$F39,'Daily Workforce'!$B179)=0,IF('Daily Schedule'!$A40=45,'Daily Workforce'!$J179="Y",IF(OR('Daily Schedule'!$A40=4,'Daily Schedule'!$A40=8),IF(OR(WEEKDAY('Daily Schedule'!$B$2,2)=1,WEEKDAY('Daily Schedule'!$B$2,2)=4,WEEKDAY('Daily Schedule'!$B$2,2)=5,WEEKDAY('Daily Schedule'!$B$2,2)=7),IFERROR(1*'Daily Workforce'!$K179&gt;=3,FALSE()),IFERROR(1*'Daily Workforce'!$K179&gt;=2,FALSE())),IF(AND('Daily Schedule'!$A40&gt;=46,'Daily Schedule'!$A40&lt;=52),'Daily Workforce'!$M179="Y",IFERROR(1*'Daily Workforce'!$P179&gt;=2,FALSE()))))),1,0)</f>
        <v>0</v>
      </c>
      <c r="GI36" s="1" t="n">
        <f aca="false">IF(AND('Daily Workforce'!$N180="Y",'Daily Workforce'!$B180&lt;&gt;"",COUNTIF('Daily Schedule'!$F$5:$F39,'Daily Workforce'!$B180)=0,IF('Daily Schedule'!$A40=45,'Daily Workforce'!$J180="Y",IF(OR('Daily Schedule'!$A40=4,'Daily Schedule'!$A40=8),IF(OR(WEEKDAY('Daily Schedule'!$B$2,2)=1,WEEKDAY('Daily Schedule'!$B$2,2)=4,WEEKDAY('Daily Schedule'!$B$2,2)=5,WEEKDAY('Daily Schedule'!$B$2,2)=7),IFERROR(1*'Daily Workforce'!$K180&gt;=3,FALSE()),IFERROR(1*'Daily Workforce'!$K180&gt;=2,FALSE())),IF(AND('Daily Schedule'!$A40&gt;=46,'Daily Schedule'!$A40&lt;=52),'Daily Workforce'!$M180="Y",IFERROR(1*'Daily Workforce'!$P180&gt;=2,FALSE()))))),1,0)</f>
        <v>0</v>
      </c>
      <c r="GJ36" s="1" t="n">
        <f aca="false">IF(AND('Daily Workforce'!$N181="Y",'Daily Workforce'!$B181&lt;&gt;"",COUNTIF('Daily Schedule'!$F$5:$F39,'Daily Workforce'!$B181)=0,IF('Daily Schedule'!$A40=45,'Daily Workforce'!$J181="Y",IF(OR('Daily Schedule'!$A40=4,'Daily Schedule'!$A40=8),IF(OR(WEEKDAY('Daily Schedule'!$B$2,2)=1,WEEKDAY('Daily Schedule'!$B$2,2)=4,WEEKDAY('Daily Schedule'!$B$2,2)=5,WEEKDAY('Daily Schedule'!$B$2,2)=7),IFERROR(1*'Daily Workforce'!$K181&gt;=3,FALSE()),IFERROR(1*'Daily Workforce'!$K181&gt;=2,FALSE())),IF(AND('Daily Schedule'!$A40&gt;=46,'Daily Schedule'!$A40&lt;=52),'Daily Workforce'!$M181="Y",IFERROR(1*'Daily Workforce'!$P181&gt;=2,FALSE()))))),1,0)</f>
        <v>0</v>
      </c>
      <c r="GK36" s="1" t="n">
        <f aca="false">IF(AND('Daily Workforce'!$N182="Y",'Daily Workforce'!$B182&lt;&gt;"",COUNTIF('Daily Schedule'!$F$5:$F39,'Daily Workforce'!$B182)=0,IF('Daily Schedule'!$A40=45,'Daily Workforce'!$J182="Y",IF(OR('Daily Schedule'!$A40=4,'Daily Schedule'!$A40=8),IF(OR(WEEKDAY('Daily Schedule'!$B$2,2)=1,WEEKDAY('Daily Schedule'!$B$2,2)=4,WEEKDAY('Daily Schedule'!$B$2,2)=5,WEEKDAY('Daily Schedule'!$B$2,2)=7),IFERROR(1*'Daily Workforce'!$K182&gt;=3,FALSE()),IFERROR(1*'Daily Workforce'!$K182&gt;=2,FALSE())),IF(AND('Daily Schedule'!$A40&gt;=46,'Daily Schedule'!$A40&lt;=52),'Daily Workforce'!$M182="Y",IFERROR(1*'Daily Workforce'!$P182&gt;=2,FALSE()))))),1,0)</f>
        <v>0</v>
      </c>
      <c r="GL36" s="1" t="n">
        <f aca="false">IF(AND('Daily Workforce'!$N183="Y",'Daily Workforce'!$B183&lt;&gt;"",COUNTIF('Daily Schedule'!$F$5:$F39,'Daily Workforce'!$B183)=0,IF('Daily Schedule'!$A40=45,'Daily Workforce'!$J183="Y",IF(OR('Daily Schedule'!$A40=4,'Daily Schedule'!$A40=8),IF(OR(WEEKDAY('Daily Schedule'!$B$2,2)=1,WEEKDAY('Daily Schedule'!$B$2,2)=4,WEEKDAY('Daily Schedule'!$B$2,2)=5,WEEKDAY('Daily Schedule'!$B$2,2)=7),IFERROR(1*'Daily Workforce'!$K183&gt;=3,FALSE()),IFERROR(1*'Daily Workforce'!$K183&gt;=2,FALSE())),IF(AND('Daily Schedule'!$A40&gt;=46,'Daily Schedule'!$A40&lt;=52),'Daily Workforce'!$M183="Y",IFERROR(1*'Daily Workforce'!$P183&gt;=2,FALSE()))))),1,0)</f>
        <v>0</v>
      </c>
      <c r="GM36" s="1" t="n">
        <f aca="false">IF(AND('Daily Workforce'!$N184="Y",'Daily Workforce'!$B184&lt;&gt;"",COUNTIF('Daily Schedule'!$F$5:$F39,'Daily Workforce'!$B184)=0,IF('Daily Schedule'!$A40=45,'Daily Workforce'!$J184="Y",IF(OR('Daily Schedule'!$A40=4,'Daily Schedule'!$A40=8),IF(OR(WEEKDAY('Daily Schedule'!$B$2,2)=1,WEEKDAY('Daily Schedule'!$B$2,2)=4,WEEKDAY('Daily Schedule'!$B$2,2)=5,WEEKDAY('Daily Schedule'!$B$2,2)=7),IFERROR(1*'Daily Workforce'!$K184&gt;=3,FALSE()),IFERROR(1*'Daily Workforce'!$K184&gt;=2,FALSE())),IF(AND('Daily Schedule'!$A40&gt;=46,'Daily Schedule'!$A40&lt;=52),'Daily Workforce'!$M184="Y",IFERROR(1*'Daily Workforce'!$P184&gt;=2,FALSE()))))),1,0)</f>
        <v>0</v>
      </c>
      <c r="GN36" s="1" t="n">
        <f aca="false">IF(AND('Daily Workforce'!$N185="Y",'Daily Workforce'!$B185&lt;&gt;"",COUNTIF('Daily Schedule'!$F$5:$F39,'Daily Workforce'!$B185)=0,IF('Daily Schedule'!$A40=45,'Daily Workforce'!$J185="Y",IF(OR('Daily Schedule'!$A40=4,'Daily Schedule'!$A40=8),IF(OR(WEEKDAY('Daily Schedule'!$B$2,2)=1,WEEKDAY('Daily Schedule'!$B$2,2)=4,WEEKDAY('Daily Schedule'!$B$2,2)=5,WEEKDAY('Daily Schedule'!$B$2,2)=7),IFERROR(1*'Daily Workforce'!$K185&gt;=3,FALSE()),IFERROR(1*'Daily Workforce'!$K185&gt;=2,FALSE())),IF(AND('Daily Schedule'!$A40&gt;=46,'Daily Schedule'!$A40&lt;=52),'Daily Workforce'!$M185="Y",IFERROR(1*'Daily Workforce'!$P185&gt;=2,FALSE()))))),1,0)</f>
        <v>0</v>
      </c>
      <c r="GO36" s="1" t="n">
        <f aca="false">IF(AND('Daily Workforce'!$N186="Y",'Daily Workforce'!$B186&lt;&gt;"",COUNTIF('Daily Schedule'!$F$5:$F39,'Daily Workforce'!$B186)=0,IF('Daily Schedule'!$A40=45,'Daily Workforce'!$J186="Y",IF(OR('Daily Schedule'!$A40=4,'Daily Schedule'!$A40=8),IF(OR(WEEKDAY('Daily Schedule'!$B$2,2)=1,WEEKDAY('Daily Schedule'!$B$2,2)=4,WEEKDAY('Daily Schedule'!$B$2,2)=5,WEEKDAY('Daily Schedule'!$B$2,2)=7),IFERROR(1*'Daily Workforce'!$K186&gt;=3,FALSE()),IFERROR(1*'Daily Workforce'!$K186&gt;=2,FALSE())),IF(AND('Daily Schedule'!$A40&gt;=46,'Daily Schedule'!$A40&lt;=52),'Daily Workforce'!$M186="Y",IFERROR(1*'Daily Workforce'!$P186&gt;=2,FALSE()))))),1,0)</f>
        <v>0</v>
      </c>
      <c r="GP36" s="1" t="n">
        <f aca="false">IF(AND('Daily Workforce'!$N187="Y",'Daily Workforce'!$B187&lt;&gt;"",COUNTIF('Daily Schedule'!$F$5:$F39,'Daily Workforce'!$B187)=0,IF('Daily Schedule'!$A40=45,'Daily Workforce'!$J187="Y",IF(OR('Daily Schedule'!$A40=4,'Daily Schedule'!$A40=8),IF(OR(WEEKDAY('Daily Schedule'!$B$2,2)=1,WEEKDAY('Daily Schedule'!$B$2,2)=4,WEEKDAY('Daily Schedule'!$B$2,2)=5,WEEKDAY('Daily Schedule'!$B$2,2)=7),IFERROR(1*'Daily Workforce'!$K187&gt;=3,FALSE()),IFERROR(1*'Daily Workforce'!$K187&gt;=2,FALSE())),IF(AND('Daily Schedule'!$A40&gt;=46,'Daily Schedule'!$A40&lt;=52),'Daily Workforce'!$M187="Y",IFERROR(1*'Daily Workforce'!$P187&gt;=2,FALSE()))))),1,0)</f>
        <v>0</v>
      </c>
      <c r="GQ36" s="1" t="n">
        <f aca="false">IF(AND('Daily Workforce'!$N188="Y",'Daily Workforce'!$B188&lt;&gt;"",COUNTIF('Daily Schedule'!$F$5:$F39,'Daily Workforce'!$B188)=0,IF('Daily Schedule'!$A40=45,'Daily Workforce'!$J188="Y",IF(OR('Daily Schedule'!$A40=4,'Daily Schedule'!$A40=8),IF(OR(WEEKDAY('Daily Schedule'!$B$2,2)=1,WEEKDAY('Daily Schedule'!$B$2,2)=4,WEEKDAY('Daily Schedule'!$B$2,2)=5,WEEKDAY('Daily Schedule'!$B$2,2)=7),IFERROR(1*'Daily Workforce'!$K188&gt;=3,FALSE()),IFERROR(1*'Daily Workforce'!$K188&gt;=2,FALSE())),IF(AND('Daily Schedule'!$A40&gt;=46,'Daily Schedule'!$A40&lt;=52),'Daily Workforce'!$M188="Y",IFERROR(1*'Daily Workforce'!$P188&gt;=2,FALSE()))))),1,0)</f>
        <v>0</v>
      </c>
      <c r="GR36" s="1" t="n">
        <f aca="false">IF(AND('Daily Workforce'!$N189="Y",'Daily Workforce'!$B189&lt;&gt;"",COUNTIF('Daily Schedule'!$F$5:$F39,'Daily Workforce'!$B189)=0,IF('Daily Schedule'!$A40=45,'Daily Workforce'!$J189="Y",IF(OR('Daily Schedule'!$A40=4,'Daily Schedule'!$A40=8),IF(OR(WEEKDAY('Daily Schedule'!$B$2,2)=1,WEEKDAY('Daily Schedule'!$B$2,2)=4,WEEKDAY('Daily Schedule'!$B$2,2)=5,WEEKDAY('Daily Schedule'!$B$2,2)=7),IFERROR(1*'Daily Workforce'!$K189&gt;=3,FALSE()),IFERROR(1*'Daily Workforce'!$K189&gt;=2,FALSE())),IF(AND('Daily Schedule'!$A40&gt;=46,'Daily Schedule'!$A40&lt;=52),'Daily Workforce'!$M189="Y",IFERROR(1*'Daily Workforce'!$P189&gt;=2,FALSE()))))),1,0)</f>
        <v>0</v>
      </c>
      <c r="GS36" s="1" t="n">
        <f aca="false">IF(AND('Daily Workforce'!$N190="Y",'Daily Workforce'!$B190&lt;&gt;"",COUNTIF('Daily Schedule'!$F$5:$F39,'Daily Workforce'!$B190)=0,IF('Daily Schedule'!$A40=45,'Daily Workforce'!$J190="Y",IF(OR('Daily Schedule'!$A40=4,'Daily Schedule'!$A40=8),IF(OR(WEEKDAY('Daily Schedule'!$B$2,2)=1,WEEKDAY('Daily Schedule'!$B$2,2)=4,WEEKDAY('Daily Schedule'!$B$2,2)=5,WEEKDAY('Daily Schedule'!$B$2,2)=7),IFERROR(1*'Daily Workforce'!$K190&gt;=3,FALSE()),IFERROR(1*'Daily Workforce'!$K190&gt;=2,FALSE())),IF(AND('Daily Schedule'!$A40&gt;=46,'Daily Schedule'!$A40&lt;=52),'Daily Workforce'!$M190="Y",IFERROR(1*'Daily Workforce'!$P190&gt;=2,FALSE()))))),1,0)</f>
        <v>0</v>
      </c>
      <c r="GT36" s="1" t="n">
        <f aca="false">IF(AND('Daily Workforce'!$N191="Y",'Daily Workforce'!$B191&lt;&gt;"",COUNTIF('Daily Schedule'!$F$5:$F39,'Daily Workforce'!$B191)=0,IF('Daily Schedule'!$A40=45,'Daily Workforce'!$J191="Y",IF(OR('Daily Schedule'!$A40=4,'Daily Schedule'!$A40=8),IF(OR(WEEKDAY('Daily Schedule'!$B$2,2)=1,WEEKDAY('Daily Schedule'!$B$2,2)=4,WEEKDAY('Daily Schedule'!$B$2,2)=5,WEEKDAY('Daily Schedule'!$B$2,2)=7),IFERROR(1*'Daily Workforce'!$K191&gt;=3,FALSE()),IFERROR(1*'Daily Workforce'!$K191&gt;=2,FALSE())),IF(AND('Daily Schedule'!$A40&gt;=46,'Daily Schedule'!$A40&lt;=52),'Daily Workforce'!$M191="Y",IFERROR(1*'Daily Workforce'!$P191&gt;=2,FALSE()))))),1,0)</f>
        <v>0</v>
      </c>
      <c r="GU36" s="1" t="n">
        <f aca="false">IF(AND('Daily Workforce'!$N192="Y",'Daily Workforce'!$B192&lt;&gt;"",COUNTIF('Daily Schedule'!$F$5:$F39,'Daily Workforce'!$B192)=0,IF('Daily Schedule'!$A40=45,'Daily Workforce'!$J192="Y",IF(OR('Daily Schedule'!$A40=4,'Daily Schedule'!$A40=8),IF(OR(WEEKDAY('Daily Schedule'!$B$2,2)=1,WEEKDAY('Daily Schedule'!$B$2,2)=4,WEEKDAY('Daily Schedule'!$B$2,2)=5,WEEKDAY('Daily Schedule'!$B$2,2)=7),IFERROR(1*'Daily Workforce'!$K192&gt;=3,FALSE()),IFERROR(1*'Daily Workforce'!$K192&gt;=2,FALSE())),IF(AND('Daily Schedule'!$A40&gt;=46,'Daily Schedule'!$A40&lt;=52),'Daily Workforce'!$M192="Y",IFERROR(1*'Daily Workforce'!$P192&gt;=2,FALSE()))))),1,0)</f>
        <v>0</v>
      </c>
      <c r="GV36" s="1" t="n">
        <f aca="false">IF(AND('Daily Workforce'!$N193="Y",'Daily Workforce'!$B193&lt;&gt;"",COUNTIF('Daily Schedule'!$F$5:$F39,'Daily Workforce'!$B193)=0,IF('Daily Schedule'!$A40=45,'Daily Workforce'!$J193="Y",IF(OR('Daily Schedule'!$A40=4,'Daily Schedule'!$A40=8),IF(OR(WEEKDAY('Daily Schedule'!$B$2,2)=1,WEEKDAY('Daily Schedule'!$B$2,2)=4,WEEKDAY('Daily Schedule'!$B$2,2)=5,WEEKDAY('Daily Schedule'!$B$2,2)=7),IFERROR(1*'Daily Workforce'!$K193&gt;=3,FALSE()),IFERROR(1*'Daily Workforce'!$K193&gt;=2,FALSE())),IF(AND('Daily Schedule'!$A40&gt;=46,'Daily Schedule'!$A40&lt;=52),'Daily Workforce'!$M193="Y",IFERROR(1*'Daily Workforce'!$P193&gt;=2,FALSE()))))),1,0)</f>
        <v>0</v>
      </c>
      <c r="GW36" s="1" t="n">
        <f aca="false">IF(AND('Daily Workforce'!$N194="Y",'Daily Workforce'!$B194&lt;&gt;"",COUNTIF('Daily Schedule'!$F$5:$F39,'Daily Workforce'!$B194)=0,IF('Daily Schedule'!$A40=45,'Daily Workforce'!$J194="Y",IF(OR('Daily Schedule'!$A40=4,'Daily Schedule'!$A40=8),IF(OR(WEEKDAY('Daily Schedule'!$B$2,2)=1,WEEKDAY('Daily Schedule'!$B$2,2)=4,WEEKDAY('Daily Schedule'!$B$2,2)=5,WEEKDAY('Daily Schedule'!$B$2,2)=7),IFERROR(1*'Daily Workforce'!$K194&gt;=3,FALSE()),IFERROR(1*'Daily Workforce'!$K194&gt;=2,FALSE())),IF(AND('Daily Schedule'!$A40&gt;=46,'Daily Schedule'!$A40&lt;=52),'Daily Workforce'!$M194="Y",IFERROR(1*'Daily Workforce'!$P194&gt;=2,FALSE()))))),1,0)</f>
        <v>0</v>
      </c>
      <c r="GX36" s="1" t="n">
        <f aca="false">IF(AND('Daily Workforce'!$N195="Y",'Daily Workforce'!$B195&lt;&gt;"",COUNTIF('Daily Schedule'!$F$5:$F39,'Daily Workforce'!$B195)=0,IF('Daily Schedule'!$A40=45,'Daily Workforce'!$J195="Y",IF(OR('Daily Schedule'!$A40=4,'Daily Schedule'!$A40=8),IF(OR(WEEKDAY('Daily Schedule'!$B$2,2)=1,WEEKDAY('Daily Schedule'!$B$2,2)=4,WEEKDAY('Daily Schedule'!$B$2,2)=5,WEEKDAY('Daily Schedule'!$B$2,2)=7),IFERROR(1*'Daily Workforce'!$K195&gt;=3,FALSE()),IFERROR(1*'Daily Workforce'!$K195&gt;=2,FALSE())),IF(AND('Daily Schedule'!$A40&gt;=46,'Daily Schedule'!$A40&lt;=52),'Daily Workforce'!$M195="Y",IFERROR(1*'Daily Workforce'!$P195&gt;=2,FALSE()))))),1,0)</f>
        <v>0</v>
      </c>
      <c r="GY36" s="1" t="n">
        <f aca="false">IF(AND('Daily Workforce'!$N196="Y",'Daily Workforce'!$B196&lt;&gt;"",COUNTIF('Daily Schedule'!$F$5:$F39,'Daily Workforce'!$B196)=0,IF('Daily Schedule'!$A40=45,'Daily Workforce'!$J196="Y",IF(OR('Daily Schedule'!$A40=4,'Daily Schedule'!$A40=8),IF(OR(WEEKDAY('Daily Schedule'!$B$2,2)=1,WEEKDAY('Daily Schedule'!$B$2,2)=4,WEEKDAY('Daily Schedule'!$B$2,2)=5,WEEKDAY('Daily Schedule'!$B$2,2)=7),IFERROR(1*'Daily Workforce'!$K196&gt;=3,FALSE()),IFERROR(1*'Daily Workforce'!$K196&gt;=2,FALSE())),IF(AND('Daily Schedule'!$A40&gt;=46,'Daily Schedule'!$A40&lt;=52),'Daily Workforce'!$M196="Y",IFERROR(1*'Daily Workforce'!$P196&gt;=2,FALSE()))))),1,0)</f>
        <v>0</v>
      </c>
      <c r="GZ36" s="1" t="n">
        <f aca="false">IF(AND('Daily Workforce'!$N197="Y",'Daily Workforce'!$B197&lt;&gt;"",COUNTIF('Daily Schedule'!$F$5:$F39,'Daily Workforce'!$B197)=0,IF('Daily Schedule'!$A40=45,'Daily Workforce'!$J197="Y",IF(OR('Daily Schedule'!$A40=4,'Daily Schedule'!$A40=8),IF(OR(WEEKDAY('Daily Schedule'!$B$2,2)=1,WEEKDAY('Daily Schedule'!$B$2,2)=4,WEEKDAY('Daily Schedule'!$B$2,2)=5,WEEKDAY('Daily Schedule'!$B$2,2)=7),IFERROR(1*'Daily Workforce'!$K197&gt;=3,FALSE()),IFERROR(1*'Daily Workforce'!$K197&gt;=2,FALSE())),IF(AND('Daily Schedule'!$A40&gt;=46,'Daily Schedule'!$A40&lt;=52),'Daily Workforce'!$M197="Y",IFERROR(1*'Daily Workforce'!$P197&gt;=2,FALSE()))))),1,0)</f>
        <v>0</v>
      </c>
      <c r="HA36" s="1" t="n">
        <f aca="false">IF(AND('Daily Workforce'!$N198="Y",'Daily Workforce'!$B198&lt;&gt;"",COUNTIF('Daily Schedule'!$F$5:$F39,'Daily Workforce'!$B198)=0,IF('Daily Schedule'!$A40=45,'Daily Workforce'!$J198="Y",IF(OR('Daily Schedule'!$A40=4,'Daily Schedule'!$A40=8),IF(OR(WEEKDAY('Daily Schedule'!$B$2,2)=1,WEEKDAY('Daily Schedule'!$B$2,2)=4,WEEKDAY('Daily Schedule'!$B$2,2)=5,WEEKDAY('Daily Schedule'!$B$2,2)=7),IFERROR(1*'Daily Workforce'!$K198&gt;=3,FALSE()),IFERROR(1*'Daily Workforce'!$K198&gt;=2,FALSE())),IF(AND('Daily Schedule'!$A40&gt;=46,'Daily Schedule'!$A40&lt;=52),'Daily Workforce'!$M198="Y",IFERROR(1*'Daily Workforce'!$P198&gt;=2,FALSE()))))),1,0)</f>
        <v>0</v>
      </c>
      <c r="HB36" s="1" t="n">
        <f aca="false">IF(AND('Daily Workforce'!$N199="Y",'Daily Workforce'!$B199&lt;&gt;"",COUNTIF('Daily Schedule'!$F$5:$F39,'Daily Workforce'!$B199)=0,IF('Daily Schedule'!$A40=45,'Daily Workforce'!$J199="Y",IF(OR('Daily Schedule'!$A40=4,'Daily Schedule'!$A40=8),IF(OR(WEEKDAY('Daily Schedule'!$B$2,2)=1,WEEKDAY('Daily Schedule'!$B$2,2)=4,WEEKDAY('Daily Schedule'!$B$2,2)=5,WEEKDAY('Daily Schedule'!$B$2,2)=7),IFERROR(1*'Daily Workforce'!$K199&gt;=3,FALSE()),IFERROR(1*'Daily Workforce'!$K199&gt;=2,FALSE())),IF(AND('Daily Schedule'!$A40&gt;=46,'Daily Schedule'!$A40&lt;=52),'Daily Workforce'!$M199="Y",IFERROR(1*'Daily Workforce'!$P199&gt;=2,FALSE()))))),1,0)</f>
        <v>0</v>
      </c>
      <c r="HC36" s="1" t="n">
        <f aca="false">IF(AND('Daily Workforce'!$N200="Y",'Daily Workforce'!$B200&lt;&gt;"",COUNTIF('Daily Schedule'!$F$5:$F39,'Daily Workforce'!$B200)=0,IF('Daily Schedule'!$A40=45,'Daily Workforce'!$J200="Y",IF(OR('Daily Schedule'!$A40=4,'Daily Schedule'!$A40=8),IF(OR(WEEKDAY('Daily Schedule'!$B$2,2)=1,WEEKDAY('Daily Schedule'!$B$2,2)=4,WEEKDAY('Daily Schedule'!$B$2,2)=5,WEEKDAY('Daily Schedule'!$B$2,2)=7),IFERROR(1*'Daily Workforce'!$K200&gt;=3,FALSE()),IFERROR(1*'Daily Workforce'!$K200&gt;=2,FALSE())),IF(AND('Daily Schedule'!$A40&gt;=46,'Daily Schedule'!$A40&lt;=52),'Daily Workforce'!$M200="Y",IFERROR(1*'Daily Workforce'!$P200&gt;=2,FALSE()))))),1,0)</f>
        <v>0</v>
      </c>
      <c r="HD36" s="1" t="n">
        <f aca="false">IF(AND('Daily Workforce'!$N201="Y",'Daily Workforce'!$B201&lt;&gt;"",COUNTIF('Daily Schedule'!$F$5:$F39,'Daily Workforce'!$B201)=0,IF('Daily Schedule'!$A40=45,'Daily Workforce'!$J201="Y",IF(OR('Daily Schedule'!$A40=4,'Daily Schedule'!$A40=8),IF(OR(WEEKDAY('Daily Schedule'!$B$2,2)=1,WEEKDAY('Daily Schedule'!$B$2,2)=4,WEEKDAY('Daily Schedule'!$B$2,2)=5,WEEKDAY('Daily Schedule'!$B$2,2)=7),IFERROR(1*'Daily Workforce'!$K201&gt;=3,FALSE()),IFERROR(1*'Daily Workforce'!$K201&gt;=2,FALSE())),IF(AND('Daily Schedule'!$A40&gt;=46,'Daily Schedule'!$A40&lt;=52),'Daily Workforce'!$M201="Y",IFERROR(1*'Daily Workforce'!$P201&gt;=2,FALSE()))))),1,0)</f>
        <v>0</v>
      </c>
      <c r="HE36" s="1" t="n">
        <f aca="false">IF(AND('Daily Workforce'!$N202="Y",'Daily Workforce'!$B202&lt;&gt;"",COUNTIF('Daily Schedule'!$F$5:$F39,'Daily Workforce'!$B202)=0,IF('Daily Schedule'!$A40=45,'Daily Workforce'!$J202="Y",IF(OR('Daily Schedule'!$A40=4,'Daily Schedule'!$A40=8),IF(OR(WEEKDAY('Daily Schedule'!$B$2,2)=1,WEEKDAY('Daily Schedule'!$B$2,2)=4,WEEKDAY('Daily Schedule'!$B$2,2)=5,WEEKDAY('Daily Schedule'!$B$2,2)=7),IFERROR(1*'Daily Workforce'!$K202&gt;=3,FALSE()),IFERROR(1*'Daily Workforce'!$K202&gt;=2,FALSE())),IF(AND('Daily Schedule'!$A40&gt;=46,'Daily Schedule'!$A40&lt;=52),'Daily Workforce'!$M202="Y",IFERROR(1*'Daily Workforce'!$P202&gt;=2,FALSE()))))),1,0)</f>
        <v>0</v>
      </c>
      <c r="HF36" s="1" t="n">
        <f aca="false">IF(AND('Daily Workforce'!$N203="Y",'Daily Workforce'!$B203&lt;&gt;"",COUNTIF('Daily Schedule'!$F$5:$F39,'Daily Workforce'!$B203)=0,IF('Daily Schedule'!$A40=45,'Daily Workforce'!$J203="Y",IF(OR('Daily Schedule'!$A40=4,'Daily Schedule'!$A40=8),IF(OR(WEEKDAY('Daily Schedule'!$B$2,2)=1,WEEKDAY('Daily Schedule'!$B$2,2)=4,WEEKDAY('Daily Schedule'!$B$2,2)=5,WEEKDAY('Daily Schedule'!$B$2,2)=7),IFERROR(1*'Daily Workforce'!$K203&gt;=3,FALSE()),IFERROR(1*'Daily Workforce'!$K203&gt;=2,FALSE())),IF(AND('Daily Schedule'!$A40&gt;=46,'Daily Schedule'!$A40&lt;=52),'Daily Workforce'!$M203="Y",IFERROR(1*'Daily Workforce'!$P203&gt;=2,FALSE()))))),1,0)</f>
        <v>0</v>
      </c>
      <c r="HG36" s="1" t="n">
        <f aca="false">IF(AND('Daily Workforce'!$N204="Y",'Daily Workforce'!$B204&lt;&gt;"",COUNTIF('Daily Schedule'!$F$5:$F39,'Daily Workforce'!$B204)=0,IF('Daily Schedule'!$A40=45,'Daily Workforce'!$J204="Y",IF(OR('Daily Schedule'!$A40=4,'Daily Schedule'!$A40=8),IF(OR(WEEKDAY('Daily Schedule'!$B$2,2)=1,WEEKDAY('Daily Schedule'!$B$2,2)=4,WEEKDAY('Daily Schedule'!$B$2,2)=5,WEEKDAY('Daily Schedule'!$B$2,2)=7),IFERROR(1*'Daily Workforce'!$K204&gt;=3,FALSE()),IFERROR(1*'Daily Workforce'!$K204&gt;=2,FALSE())),IF(AND('Daily Schedule'!$A40&gt;=46,'Daily Schedule'!$A40&lt;=52),'Daily Workforce'!$M204="Y",IFERROR(1*'Daily Workforce'!$P204&gt;=2,FALSE()))))),1,0)</f>
        <v>0</v>
      </c>
      <c r="HH36" s="1" t="n">
        <f aca="false">IF(AND('Daily Workforce'!$N205="Y",'Daily Workforce'!$B205&lt;&gt;"",COUNTIF('Daily Schedule'!$F$5:$F39,'Daily Workforce'!$B205)=0,IF('Daily Schedule'!$A40=45,'Daily Workforce'!$J205="Y",IF(OR('Daily Schedule'!$A40=4,'Daily Schedule'!$A40=8),IF(OR(WEEKDAY('Daily Schedule'!$B$2,2)=1,WEEKDAY('Daily Schedule'!$B$2,2)=4,WEEKDAY('Daily Schedule'!$B$2,2)=5,WEEKDAY('Daily Schedule'!$B$2,2)=7),IFERROR(1*'Daily Workforce'!$K205&gt;=3,FALSE()),IFERROR(1*'Daily Workforce'!$K205&gt;=2,FALSE())),IF(AND('Daily Schedule'!$A40&gt;=46,'Daily Schedule'!$A40&lt;=52),'Daily Workforce'!$M205="Y",IFERROR(1*'Daily Workforce'!$P205&gt;=2,FALSE()))))),1,0)</f>
        <v>0</v>
      </c>
    </row>
    <row r="37" customFormat="false" ht="15" hidden="false" customHeight="true" outlineLevel="0" collapsed="false">
      <c r="L37" s="1" t="s">
        <v>486</v>
      </c>
      <c r="O37" s="1" t="n">
        <f aca="false">IF(AND('Employee Master'!$G37="Y",ISERROR(SEARCH(TEXT('Daily Workforce'!$B$2,"ddd"),'Employee Master'!$D37)),IF('Daily Workforce'!$E$2="",TRUE(),'Employee Master'!$I37='Daily Workforce'!$E$2)),'Employee Master'!$K37*1000+ROW()-1,"")</f>
        <v>4036</v>
      </c>
      <c r="P37" s="1" t="n">
        <f aca="false">IF($O37="","",COUNTIF($O$2:$O$159,"&lt;="&amp;$O37))</f>
        <v>86</v>
      </c>
      <c r="Q37" s="1" t="n">
        <f aca="false">IF(AND('Daily Workforce'!$N6="Y",'Daily Workforce'!$B6&lt;&gt;"",COUNTIF('Daily Schedule'!$F$5:$F40,'Daily Workforce'!$B6)=0,IF('Daily Schedule'!$A41=45,'Daily Workforce'!$J6="Y",IF(OR('Daily Schedule'!$A41=4,'Daily Schedule'!$A41=8),IF(OR(WEEKDAY('Daily Schedule'!$B$2,2)=1,WEEKDAY('Daily Schedule'!$B$2,2)=4,WEEKDAY('Daily Schedule'!$B$2,2)=5,WEEKDAY('Daily Schedule'!$B$2,2)=7),IFERROR(1*'Daily Workforce'!$K6&gt;=3,FALSE()),IFERROR(1*'Daily Workforce'!$K6&gt;=2,FALSE())),IF(AND('Daily Schedule'!$A41&gt;=46,'Daily Schedule'!$A41&lt;=52),'Daily Workforce'!$M6="Y",IFERROR(1*'Daily Workforce'!$P6&gt;=2,FALSE()))))),1,0)</f>
        <v>0</v>
      </c>
      <c r="R37" s="1" t="n">
        <f aca="false">IF(AND('Daily Workforce'!$N7="Y",'Daily Workforce'!$B7&lt;&gt;"",COUNTIF('Daily Schedule'!$F$5:$F40,'Daily Workforce'!$B7)=0,IF('Daily Schedule'!$A41=45,'Daily Workforce'!$J7="Y",IF(OR('Daily Schedule'!$A41=4,'Daily Schedule'!$A41=8),IF(OR(WEEKDAY('Daily Schedule'!$B$2,2)=1,WEEKDAY('Daily Schedule'!$B$2,2)=4,WEEKDAY('Daily Schedule'!$B$2,2)=5,WEEKDAY('Daily Schedule'!$B$2,2)=7),IFERROR(1*'Daily Workforce'!$K7&gt;=3,FALSE()),IFERROR(1*'Daily Workforce'!$K7&gt;=2,FALSE())),IF(AND('Daily Schedule'!$A41&gt;=46,'Daily Schedule'!$A41&lt;=52),'Daily Workforce'!$M7="Y",IFERROR(1*'Daily Workforce'!$P7&gt;=2,FALSE()))))),1,0)</f>
        <v>0</v>
      </c>
      <c r="S37" s="1" t="n">
        <f aca="false">IF(AND('Daily Workforce'!$N8="Y",'Daily Workforce'!$B8&lt;&gt;"",COUNTIF('Daily Schedule'!$F$5:$F40,'Daily Workforce'!$B8)=0,IF('Daily Schedule'!$A41=45,'Daily Workforce'!$J8="Y",IF(OR('Daily Schedule'!$A41=4,'Daily Schedule'!$A41=8),IF(OR(WEEKDAY('Daily Schedule'!$B$2,2)=1,WEEKDAY('Daily Schedule'!$B$2,2)=4,WEEKDAY('Daily Schedule'!$B$2,2)=5,WEEKDAY('Daily Schedule'!$B$2,2)=7),IFERROR(1*'Daily Workforce'!$K8&gt;=3,FALSE()),IFERROR(1*'Daily Workforce'!$K8&gt;=2,FALSE())),IF(AND('Daily Schedule'!$A41&gt;=46,'Daily Schedule'!$A41&lt;=52),'Daily Workforce'!$M8="Y",IFERROR(1*'Daily Workforce'!$P8&gt;=2,FALSE()))))),1,0)</f>
        <v>0</v>
      </c>
      <c r="T37" s="1" t="n">
        <f aca="false">IF(AND('Daily Workforce'!$N9="Y",'Daily Workforce'!$B9&lt;&gt;"",COUNTIF('Daily Schedule'!$F$5:$F40,'Daily Workforce'!$B9)=0,IF('Daily Schedule'!$A41=45,'Daily Workforce'!$J9="Y",IF(OR('Daily Schedule'!$A41=4,'Daily Schedule'!$A41=8),IF(OR(WEEKDAY('Daily Schedule'!$B$2,2)=1,WEEKDAY('Daily Schedule'!$B$2,2)=4,WEEKDAY('Daily Schedule'!$B$2,2)=5,WEEKDAY('Daily Schedule'!$B$2,2)=7),IFERROR(1*'Daily Workforce'!$K9&gt;=3,FALSE()),IFERROR(1*'Daily Workforce'!$K9&gt;=2,FALSE())),IF(AND('Daily Schedule'!$A41&gt;=46,'Daily Schedule'!$A41&lt;=52),'Daily Workforce'!$M9="Y",IFERROR(1*'Daily Workforce'!$P9&gt;=2,FALSE()))))),1,0)</f>
        <v>0</v>
      </c>
      <c r="U37" s="1" t="n">
        <f aca="false">IF(AND('Daily Workforce'!$N10="Y",'Daily Workforce'!$B10&lt;&gt;"",COUNTIF('Daily Schedule'!$F$5:$F40,'Daily Workforce'!$B10)=0,IF('Daily Schedule'!$A41=45,'Daily Workforce'!$J10="Y",IF(OR('Daily Schedule'!$A41=4,'Daily Schedule'!$A41=8),IF(OR(WEEKDAY('Daily Schedule'!$B$2,2)=1,WEEKDAY('Daily Schedule'!$B$2,2)=4,WEEKDAY('Daily Schedule'!$B$2,2)=5,WEEKDAY('Daily Schedule'!$B$2,2)=7),IFERROR(1*'Daily Workforce'!$K10&gt;=3,FALSE()),IFERROR(1*'Daily Workforce'!$K10&gt;=2,FALSE())),IF(AND('Daily Schedule'!$A41&gt;=46,'Daily Schedule'!$A41&lt;=52),'Daily Workforce'!$M10="Y",IFERROR(1*'Daily Workforce'!$P10&gt;=2,FALSE()))))),1,0)</f>
        <v>0</v>
      </c>
      <c r="V37" s="1" t="n">
        <f aca="false">IF(AND('Daily Workforce'!$N11="Y",'Daily Workforce'!$B11&lt;&gt;"",COUNTIF('Daily Schedule'!$F$5:$F40,'Daily Workforce'!$B11)=0,IF('Daily Schedule'!$A41=45,'Daily Workforce'!$J11="Y",IF(OR('Daily Schedule'!$A41=4,'Daily Schedule'!$A41=8),IF(OR(WEEKDAY('Daily Schedule'!$B$2,2)=1,WEEKDAY('Daily Schedule'!$B$2,2)=4,WEEKDAY('Daily Schedule'!$B$2,2)=5,WEEKDAY('Daily Schedule'!$B$2,2)=7),IFERROR(1*'Daily Workforce'!$K11&gt;=3,FALSE()),IFERROR(1*'Daily Workforce'!$K11&gt;=2,FALSE())),IF(AND('Daily Schedule'!$A41&gt;=46,'Daily Schedule'!$A41&lt;=52),'Daily Workforce'!$M11="Y",IFERROR(1*'Daily Workforce'!$P11&gt;=2,FALSE()))))),1,0)</f>
        <v>0</v>
      </c>
      <c r="W37" s="1" t="n">
        <f aca="false">IF(AND('Daily Workforce'!$N12="Y",'Daily Workforce'!$B12&lt;&gt;"",COUNTIF('Daily Schedule'!$F$5:$F40,'Daily Workforce'!$B12)=0,IF('Daily Schedule'!$A41=45,'Daily Workforce'!$J12="Y",IF(OR('Daily Schedule'!$A41=4,'Daily Schedule'!$A41=8),IF(OR(WEEKDAY('Daily Schedule'!$B$2,2)=1,WEEKDAY('Daily Schedule'!$B$2,2)=4,WEEKDAY('Daily Schedule'!$B$2,2)=5,WEEKDAY('Daily Schedule'!$B$2,2)=7),IFERROR(1*'Daily Workforce'!$K12&gt;=3,FALSE()),IFERROR(1*'Daily Workforce'!$K12&gt;=2,FALSE())),IF(AND('Daily Schedule'!$A41&gt;=46,'Daily Schedule'!$A41&lt;=52),'Daily Workforce'!$M12="Y",IFERROR(1*'Daily Workforce'!$P12&gt;=2,FALSE()))))),1,0)</f>
        <v>0</v>
      </c>
      <c r="X37" s="1" t="n">
        <f aca="false">IF(AND('Daily Workforce'!$N13="Y",'Daily Workforce'!$B13&lt;&gt;"",COUNTIF('Daily Schedule'!$F$5:$F40,'Daily Workforce'!$B13)=0,IF('Daily Schedule'!$A41=45,'Daily Workforce'!$J13="Y",IF(OR('Daily Schedule'!$A41=4,'Daily Schedule'!$A41=8),IF(OR(WEEKDAY('Daily Schedule'!$B$2,2)=1,WEEKDAY('Daily Schedule'!$B$2,2)=4,WEEKDAY('Daily Schedule'!$B$2,2)=5,WEEKDAY('Daily Schedule'!$B$2,2)=7),IFERROR(1*'Daily Workforce'!$K13&gt;=3,FALSE()),IFERROR(1*'Daily Workforce'!$K13&gt;=2,FALSE())),IF(AND('Daily Schedule'!$A41&gt;=46,'Daily Schedule'!$A41&lt;=52),'Daily Workforce'!$M13="Y",IFERROR(1*'Daily Workforce'!$P13&gt;=2,FALSE()))))),1,0)</f>
        <v>0</v>
      </c>
      <c r="Y37" s="1" t="n">
        <f aca="false">IF(AND('Daily Workforce'!$N14="Y",'Daily Workforce'!$B14&lt;&gt;"",COUNTIF('Daily Schedule'!$F$5:$F40,'Daily Workforce'!$B14)=0,IF('Daily Schedule'!$A41=45,'Daily Workforce'!$J14="Y",IF(OR('Daily Schedule'!$A41=4,'Daily Schedule'!$A41=8),IF(OR(WEEKDAY('Daily Schedule'!$B$2,2)=1,WEEKDAY('Daily Schedule'!$B$2,2)=4,WEEKDAY('Daily Schedule'!$B$2,2)=5,WEEKDAY('Daily Schedule'!$B$2,2)=7),IFERROR(1*'Daily Workforce'!$K14&gt;=3,FALSE()),IFERROR(1*'Daily Workforce'!$K14&gt;=2,FALSE())),IF(AND('Daily Schedule'!$A41&gt;=46,'Daily Schedule'!$A41&lt;=52),'Daily Workforce'!$M14="Y",IFERROR(1*'Daily Workforce'!$P14&gt;=2,FALSE()))))),1,0)</f>
        <v>0</v>
      </c>
      <c r="Z37" s="1" t="n">
        <f aca="false">IF(AND('Daily Workforce'!$N15="Y",'Daily Workforce'!$B15&lt;&gt;"",COUNTIF('Daily Schedule'!$F$5:$F40,'Daily Workforce'!$B15)=0,IF('Daily Schedule'!$A41=45,'Daily Workforce'!$J15="Y",IF(OR('Daily Schedule'!$A41=4,'Daily Schedule'!$A41=8),IF(OR(WEEKDAY('Daily Schedule'!$B$2,2)=1,WEEKDAY('Daily Schedule'!$B$2,2)=4,WEEKDAY('Daily Schedule'!$B$2,2)=5,WEEKDAY('Daily Schedule'!$B$2,2)=7),IFERROR(1*'Daily Workforce'!$K15&gt;=3,FALSE()),IFERROR(1*'Daily Workforce'!$K15&gt;=2,FALSE())),IF(AND('Daily Schedule'!$A41&gt;=46,'Daily Schedule'!$A41&lt;=52),'Daily Workforce'!$M15="Y",IFERROR(1*'Daily Workforce'!$P15&gt;=2,FALSE()))))),1,0)</f>
        <v>0</v>
      </c>
      <c r="AA37" s="1" t="n">
        <f aca="false">IF(AND('Daily Workforce'!$N16="Y",'Daily Workforce'!$B16&lt;&gt;"",COUNTIF('Daily Schedule'!$F$5:$F40,'Daily Workforce'!$B16)=0,IF('Daily Schedule'!$A41=45,'Daily Workforce'!$J16="Y",IF(OR('Daily Schedule'!$A41=4,'Daily Schedule'!$A41=8),IF(OR(WEEKDAY('Daily Schedule'!$B$2,2)=1,WEEKDAY('Daily Schedule'!$B$2,2)=4,WEEKDAY('Daily Schedule'!$B$2,2)=5,WEEKDAY('Daily Schedule'!$B$2,2)=7),IFERROR(1*'Daily Workforce'!$K16&gt;=3,FALSE()),IFERROR(1*'Daily Workforce'!$K16&gt;=2,FALSE())),IF(AND('Daily Schedule'!$A41&gt;=46,'Daily Schedule'!$A41&lt;=52),'Daily Workforce'!$M16="Y",IFERROR(1*'Daily Workforce'!$P16&gt;=2,FALSE()))))),1,0)</f>
        <v>0</v>
      </c>
      <c r="AB37" s="1" t="n">
        <f aca="false">IF(AND('Daily Workforce'!$N17="Y",'Daily Workforce'!$B17&lt;&gt;"",COUNTIF('Daily Schedule'!$F$5:$F40,'Daily Workforce'!$B17)=0,IF('Daily Schedule'!$A41=45,'Daily Workforce'!$J17="Y",IF(OR('Daily Schedule'!$A41=4,'Daily Schedule'!$A41=8),IF(OR(WEEKDAY('Daily Schedule'!$B$2,2)=1,WEEKDAY('Daily Schedule'!$B$2,2)=4,WEEKDAY('Daily Schedule'!$B$2,2)=5,WEEKDAY('Daily Schedule'!$B$2,2)=7),IFERROR(1*'Daily Workforce'!$K17&gt;=3,FALSE()),IFERROR(1*'Daily Workforce'!$K17&gt;=2,FALSE())),IF(AND('Daily Schedule'!$A41&gt;=46,'Daily Schedule'!$A41&lt;=52),'Daily Workforce'!$M17="Y",IFERROR(1*'Daily Workforce'!$P17&gt;=2,FALSE()))))),1,0)</f>
        <v>0</v>
      </c>
      <c r="AC37" s="1" t="n">
        <f aca="false">IF(AND('Daily Workforce'!$N18="Y",'Daily Workforce'!$B18&lt;&gt;"",COUNTIF('Daily Schedule'!$F$5:$F40,'Daily Workforce'!$B18)=0,IF('Daily Schedule'!$A41=45,'Daily Workforce'!$J18="Y",IF(OR('Daily Schedule'!$A41=4,'Daily Schedule'!$A41=8),IF(OR(WEEKDAY('Daily Schedule'!$B$2,2)=1,WEEKDAY('Daily Schedule'!$B$2,2)=4,WEEKDAY('Daily Schedule'!$B$2,2)=5,WEEKDAY('Daily Schedule'!$B$2,2)=7),IFERROR(1*'Daily Workforce'!$K18&gt;=3,FALSE()),IFERROR(1*'Daily Workforce'!$K18&gt;=2,FALSE())),IF(AND('Daily Schedule'!$A41&gt;=46,'Daily Schedule'!$A41&lt;=52),'Daily Workforce'!$M18="Y",IFERROR(1*'Daily Workforce'!$P18&gt;=2,FALSE()))))),1,0)</f>
        <v>0</v>
      </c>
      <c r="AD37" s="1" t="n">
        <f aca="false">IF(AND('Daily Workforce'!$N19="Y",'Daily Workforce'!$B19&lt;&gt;"",COUNTIF('Daily Schedule'!$F$5:$F40,'Daily Workforce'!$B19)=0,IF('Daily Schedule'!$A41=45,'Daily Workforce'!$J19="Y",IF(OR('Daily Schedule'!$A41=4,'Daily Schedule'!$A41=8),IF(OR(WEEKDAY('Daily Schedule'!$B$2,2)=1,WEEKDAY('Daily Schedule'!$B$2,2)=4,WEEKDAY('Daily Schedule'!$B$2,2)=5,WEEKDAY('Daily Schedule'!$B$2,2)=7),IFERROR(1*'Daily Workforce'!$K19&gt;=3,FALSE()),IFERROR(1*'Daily Workforce'!$K19&gt;=2,FALSE())),IF(AND('Daily Schedule'!$A41&gt;=46,'Daily Schedule'!$A41&lt;=52),'Daily Workforce'!$M19="Y",IFERROR(1*'Daily Workforce'!$P19&gt;=2,FALSE()))))),1,0)</f>
        <v>0</v>
      </c>
      <c r="AE37" s="1" t="n">
        <f aca="false">IF(AND('Daily Workforce'!$N20="Y",'Daily Workforce'!$B20&lt;&gt;"",COUNTIF('Daily Schedule'!$F$5:$F40,'Daily Workforce'!$B20)=0,IF('Daily Schedule'!$A41=45,'Daily Workforce'!$J20="Y",IF(OR('Daily Schedule'!$A41=4,'Daily Schedule'!$A41=8),IF(OR(WEEKDAY('Daily Schedule'!$B$2,2)=1,WEEKDAY('Daily Schedule'!$B$2,2)=4,WEEKDAY('Daily Schedule'!$B$2,2)=5,WEEKDAY('Daily Schedule'!$B$2,2)=7),IFERROR(1*'Daily Workforce'!$K20&gt;=3,FALSE()),IFERROR(1*'Daily Workforce'!$K20&gt;=2,FALSE())),IF(AND('Daily Schedule'!$A41&gt;=46,'Daily Schedule'!$A41&lt;=52),'Daily Workforce'!$M20="Y",IFERROR(1*'Daily Workforce'!$P20&gt;=2,FALSE()))))),1,0)</f>
        <v>0</v>
      </c>
      <c r="AF37" s="1" t="n">
        <f aca="false">IF(AND('Daily Workforce'!$N21="Y",'Daily Workforce'!$B21&lt;&gt;"",COUNTIF('Daily Schedule'!$F$5:$F40,'Daily Workforce'!$B21)=0,IF('Daily Schedule'!$A41=45,'Daily Workforce'!$J21="Y",IF(OR('Daily Schedule'!$A41=4,'Daily Schedule'!$A41=8),IF(OR(WEEKDAY('Daily Schedule'!$B$2,2)=1,WEEKDAY('Daily Schedule'!$B$2,2)=4,WEEKDAY('Daily Schedule'!$B$2,2)=5,WEEKDAY('Daily Schedule'!$B$2,2)=7),IFERROR(1*'Daily Workforce'!$K21&gt;=3,FALSE()),IFERROR(1*'Daily Workforce'!$K21&gt;=2,FALSE())),IF(AND('Daily Schedule'!$A41&gt;=46,'Daily Schedule'!$A41&lt;=52),'Daily Workforce'!$M21="Y",IFERROR(1*'Daily Workforce'!$P21&gt;=2,FALSE()))))),1,0)</f>
        <v>0</v>
      </c>
      <c r="AG37" s="1" t="n">
        <f aca="false">IF(AND('Daily Workforce'!$N22="Y",'Daily Workforce'!$B22&lt;&gt;"",COUNTIF('Daily Schedule'!$F$5:$F40,'Daily Workforce'!$B22)=0,IF('Daily Schedule'!$A41=45,'Daily Workforce'!$J22="Y",IF(OR('Daily Schedule'!$A41=4,'Daily Schedule'!$A41=8),IF(OR(WEEKDAY('Daily Schedule'!$B$2,2)=1,WEEKDAY('Daily Schedule'!$B$2,2)=4,WEEKDAY('Daily Schedule'!$B$2,2)=5,WEEKDAY('Daily Schedule'!$B$2,2)=7),IFERROR(1*'Daily Workforce'!$K22&gt;=3,FALSE()),IFERROR(1*'Daily Workforce'!$K22&gt;=2,FALSE())),IF(AND('Daily Schedule'!$A41&gt;=46,'Daily Schedule'!$A41&lt;=52),'Daily Workforce'!$M22="Y",IFERROR(1*'Daily Workforce'!$P22&gt;=2,FALSE()))))),1,0)</f>
        <v>0</v>
      </c>
      <c r="AH37" s="1" t="n">
        <f aca="false">IF(AND('Daily Workforce'!$N23="Y",'Daily Workforce'!$B23&lt;&gt;"",COUNTIF('Daily Schedule'!$F$5:$F40,'Daily Workforce'!$B23)=0,IF('Daily Schedule'!$A41=45,'Daily Workforce'!$J23="Y",IF(OR('Daily Schedule'!$A41=4,'Daily Schedule'!$A41=8),IF(OR(WEEKDAY('Daily Schedule'!$B$2,2)=1,WEEKDAY('Daily Schedule'!$B$2,2)=4,WEEKDAY('Daily Schedule'!$B$2,2)=5,WEEKDAY('Daily Schedule'!$B$2,2)=7),IFERROR(1*'Daily Workforce'!$K23&gt;=3,FALSE()),IFERROR(1*'Daily Workforce'!$K23&gt;=2,FALSE())),IF(AND('Daily Schedule'!$A41&gt;=46,'Daily Schedule'!$A41&lt;=52),'Daily Workforce'!$M23="Y",IFERROR(1*'Daily Workforce'!$P23&gt;=2,FALSE()))))),1,0)</f>
        <v>0</v>
      </c>
      <c r="AI37" s="1" t="n">
        <f aca="false">IF(AND('Daily Workforce'!$N24="Y",'Daily Workforce'!$B24&lt;&gt;"",COUNTIF('Daily Schedule'!$F$5:$F40,'Daily Workforce'!$B24)=0,IF('Daily Schedule'!$A41=45,'Daily Workforce'!$J24="Y",IF(OR('Daily Schedule'!$A41=4,'Daily Schedule'!$A41=8),IF(OR(WEEKDAY('Daily Schedule'!$B$2,2)=1,WEEKDAY('Daily Schedule'!$B$2,2)=4,WEEKDAY('Daily Schedule'!$B$2,2)=5,WEEKDAY('Daily Schedule'!$B$2,2)=7),IFERROR(1*'Daily Workforce'!$K24&gt;=3,FALSE()),IFERROR(1*'Daily Workforce'!$K24&gt;=2,FALSE())),IF(AND('Daily Schedule'!$A41&gt;=46,'Daily Schedule'!$A41&lt;=52),'Daily Workforce'!$M24="Y",IFERROR(1*'Daily Workforce'!$P24&gt;=2,FALSE()))))),1,0)</f>
        <v>0</v>
      </c>
      <c r="AJ37" s="1" t="n">
        <f aca="false">IF(AND('Daily Workforce'!$N25="Y",'Daily Workforce'!$B25&lt;&gt;"",COUNTIF('Daily Schedule'!$F$5:$F40,'Daily Workforce'!$B25)=0,IF('Daily Schedule'!$A41=45,'Daily Workforce'!$J25="Y",IF(OR('Daily Schedule'!$A41=4,'Daily Schedule'!$A41=8),IF(OR(WEEKDAY('Daily Schedule'!$B$2,2)=1,WEEKDAY('Daily Schedule'!$B$2,2)=4,WEEKDAY('Daily Schedule'!$B$2,2)=5,WEEKDAY('Daily Schedule'!$B$2,2)=7),IFERROR(1*'Daily Workforce'!$K25&gt;=3,FALSE()),IFERROR(1*'Daily Workforce'!$K25&gt;=2,FALSE())),IF(AND('Daily Schedule'!$A41&gt;=46,'Daily Schedule'!$A41&lt;=52),'Daily Workforce'!$M25="Y",IFERROR(1*'Daily Workforce'!$P25&gt;=2,FALSE()))))),1,0)</f>
        <v>0</v>
      </c>
      <c r="AK37" s="1" t="n">
        <f aca="false">IF(AND('Daily Workforce'!$N26="Y",'Daily Workforce'!$B26&lt;&gt;"",COUNTIF('Daily Schedule'!$F$5:$F40,'Daily Workforce'!$B26)=0,IF('Daily Schedule'!$A41=45,'Daily Workforce'!$J26="Y",IF(OR('Daily Schedule'!$A41=4,'Daily Schedule'!$A41=8),IF(OR(WEEKDAY('Daily Schedule'!$B$2,2)=1,WEEKDAY('Daily Schedule'!$B$2,2)=4,WEEKDAY('Daily Schedule'!$B$2,2)=5,WEEKDAY('Daily Schedule'!$B$2,2)=7),IFERROR(1*'Daily Workforce'!$K26&gt;=3,FALSE()),IFERROR(1*'Daily Workforce'!$K26&gt;=2,FALSE())),IF(AND('Daily Schedule'!$A41&gt;=46,'Daily Schedule'!$A41&lt;=52),'Daily Workforce'!$M26="Y",IFERROR(1*'Daily Workforce'!$P26&gt;=2,FALSE()))))),1,0)</f>
        <v>0</v>
      </c>
      <c r="AL37" s="1" t="n">
        <f aca="false">IF(AND('Daily Workforce'!$N27="Y",'Daily Workforce'!$B27&lt;&gt;"",COUNTIF('Daily Schedule'!$F$5:$F40,'Daily Workforce'!$B27)=0,IF('Daily Schedule'!$A41=45,'Daily Workforce'!$J27="Y",IF(OR('Daily Schedule'!$A41=4,'Daily Schedule'!$A41=8),IF(OR(WEEKDAY('Daily Schedule'!$B$2,2)=1,WEEKDAY('Daily Schedule'!$B$2,2)=4,WEEKDAY('Daily Schedule'!$B$2,2)=5,WEEKDAY('Daily Schedule'!$B$2,2)=7),IFERROR(1*'Daily Workforce'!$K27&gt;=3,FALSE()),IFERROR(1*'Daily Workforce'!$K27&gt;=2,FALSE())),IF(AND('Daily Schedule'!$A41&gt;=46,'Daily Schedule'!$A41&lt;=52),'Daily Workforce'!$M27="Y",IFERROR(1*'Daily Workforce'!$P27&gt;=2,FALSE()))))),1,0)</f>
        <v>0</v>
      </c>
      <c r="AM37" s="1" t="n">
        <f aca="false">IF(AND('Daily Workforce'!$N28="Y",'Daily Workforce'!$B28&lt;&gt;"",COUNTIF('Daily Schedule'!$F$5:$F40,'Daily Workforce'!$B28)=0,IF('Daily Schedule'!$A41=45,'Daily Workforce'!$J28="Y",IF(OR('Daily Schedule'!$A41=4,'Daily Schedule'!$A41=8),IF(OR(WEEKDAY('Daily Schedule'!$B$2,2)=1,WEEKDAY('Daily Schedule'!$B$2,2)=4,WEEKDAY('Daily Schedule'!$B$2,2)=5,WEEKDAY('Daily Schedule'!$B$2,2)=7),IFERROR(1*'Daily Workforce'!$K28&gt;=3,FALSE()),IFERROR(1*'Daily Workforce'!$K28&gt;=2,FALSE())),IF(AND('Daily Schedule'!$A41&gt;=46,'Daily Schedule'!$A41&lt;=52),'Daily Workforce'!$M28="Y",IFERROR(1*'Daily Workforce'!$P28&gt;=2,FALSE()))))),1,0)</f>
        <v>0</v>
      </c>
      <c r="AN37" s="1" t="n">
        <f aca="false">IF(AND('Daily Workforce'!$N29="Y",'Daily Workforce'!$B29&lt;&gt;"",COUNTIF('Daily Schedule'!$F$5:$F40,'Daily Workforce'!$B29)=0,IF('Daily Schedule'!$A41=45,'Daily Workforce'!$J29="Y",IF(OR('Daily Schedule'!$A41=4,'Daily Schedule'!$A41=8),IF(OR(WEEKDAY('Daily Schedule'!$B$2,2)=1,WEEKDAY('Daily Schedule'!$B$2,2)=4,WEEKDAY('Daily Schedule'!$B$2,2)=5,WEEKDAY('Daily Schedule'!$B$2,2)=7),IFERROR(1*'Daily Workforce'!$K29&gt;=3,FALSE()),IFERROR(1*'Daily Workforce'!$K29&gt;=2,FALSE())),IF(AND('Daily Schedule'!$A41&gt;=46,'Daily Schedule'!$A41&lt;=52),'Daily Workforce'!$M29="Y",IFERROR(1*'Daily Workforce'!$P29&gt;=2,FALSE()))))),1,0)</f>
        <v>0</v>
      </c>
      <c r="AO37" s="1" t="n">
        <f aca="false">IF(AND('Daily Workforce'!$N30="Y",'Daily Workforce'!$B30&lt;&gt;"",COUNTIF('Daily Schedule'!$F$5:$F40,'Daily Workforce'!$B30)=0,IF('Daily Schedule'!$A41=45,'Daily Workforce'!$J30="Y",IF(OR('Daily Schedule'!$A41=4,'Daily Schedule'!$A41=8),IF(OR(WEEKDAY('Daily Schedule'!$B$2,2)=1,WEEKDAY('Daily Schedule'!$B$2,2)=4,WEEKDAY('Daily Schedule'!$B$2,2)=5,WEEKDAY('Daily Schedule'!$B$2,2)=7),IFERROR(1*'Daily Workforce'!$K30&gt;=3,FALSE()),IFERROR(1*'Daily Workforce'!$K30&gt;=2,FALSE())),IF(AND('Daily Schedule'!$A41&gt;=46,'Daily Schedule'!$A41&lt;=52),'Daily Workforce'!$M30="Y",IFERROR(1*'Daily Workforce'!$P30&gt;=2,FALSE()))))),1,0)</f>
        <v>0</v>
      </c>
      <c r="AP37" s="1" t="n">
        <f aca="false">IF(AND('Daily Workforce'!$N31="Y",'Daily Workforce'!$B31&lt;&gt;"",COUNTIF('Daily Schedule'!$F$5:$F40,'Daily Workforce'!$B31)=0,IF('Daily Schedule'!$A41=45,'Daily Workforce'!$J31="Y",IF(OR('Daily Schedule'!$A41=4,'Daily Schedule'!$A41=8),IF(OR(WEEKDAY('Daily Schedule'!$B$2,2)=1,WEEKDAY('Daily Schedule'!$B$2,2)=4,WEEKDAY('Daily Schedule'!$B$2,2)=5,WEEKDAY('Daily Schedule'!$B$2,2)=7),IFERROR(1*'Daily Workforce'!$K31&gt;=3,FALSE()),IFERROR(1*'Daily Workforce'!$K31&gt;=2,FALSE())),IF(AND('Daily Schedule'!$A41&gt;=46,'Daily Schedule'!$A41&lt;=52),'Daily Workforce'!$M31="Y",IFERROR(1*'Daily Workforce'!$P31&gt;=2,FALSE()))))),1,0)</f>
        <v>0</v>
      </c>
      <c r="AQ37" s="1" t="n">
        <f aca="false">IF(AND('Daily Workforce'!$N32="Y",'Daily Workforce'!$B32&lt;&gt;"",COUNTIF('Daily Schedule'!$F$5:$F40,'Daily Workforce'!$B32)=0,IF('Daily Schedule'!$A41=45,'Daily Workforce'!$J32="Y",IF(OR('Daily Schedule'!$A41=4,'Daily Schedule'!$A41=8),IF(OR(WEEKDAY('Daily Schedule'!$B$2,2)=1,WEEKDAY('Daily Schedule'!$B$2,2)=4,WEEKDAY('Daily Schedule'!$B$2,2)=5,WEEKDAY('Daily Schedule'!$B$2,2)=7),IFERROR(1*'Daily Workforce'!$K32&gt;=3,FALSE()),IFERROR(1*'Daily Workforce'!$K32&gt;=2,FALSE())),IF(AND('Daily Schedule'!$A41&gt;=46,'Daily Schedule'!$A41&lt;=52),'Daily Workforce'!$M32="Y",IFERROR(1*'Daily Workforce'!$P32&gt;=2,FALSE()))))),1,0)</f>
        <v>0</v>
      </c>
      <c r="AR37" s="1" t="n">
        <f aca="false">IF(AND('Daily Workforce'!$N33="Y",'Daily Workforce'!$B33&lt;&gt;"",COUNTIF('Daily Schedule'!$F$5:$F40,'Daily Workforce'!$B33)=0,IF('Daily Schedule'!$A41=45,'Daily Workforce'!$J33="Y",IF(OR('Daily Schedule'!$A41=4,'Daily Schedule'!$A41=8),IF(OR(WEEKDAY('Daily Schedule'!$B$2,2)=1,WEEKDAY('Daily Schedule'!$B$2,2)=4,WEEKDAY('Daily Schedule'!$B$2,2)=5,WEEKDAY('Daily Schedule'!$B$2,2)=7),IFERROR(1*'Daily Workforce'!$K33&gt;=3,FALSE()),IFERROR(1*'Daily Workforce'!$K33&gt;=2,FALSE())),IF(AND('Daily Schedule'!$A41&gt;=46,'Daily Schedule'!$A41&lt;=52),'Daily Workforce'!$M33="Y",IFERROR(1*'Daily Workforce'!$P33&gt;=2,FALSE()))))),1,0)</f>
        <v>0</v>
      </c>
      <c r="AS37" s="1" t="n">
        <f aca="false">IF(AND('Daily Workforce'!$N34="Y",'Daily Workforce'!$B34&lt;&gt;"",COUNTIF('Daily Schedule'!$F$5:$F40,'Daily Workforce'!$B34)=0,IF('Daily Schedule'!$A41=45,'Daily Workforce'!$J34="Y",IF(OR('Daily Schedule'!$A41=4,'Daily Schedule'!$A41=8),IF(OR(WEEKDAY('Daily Schedule'!$B$2,2)=1,WEEKDAY('Daily Schedule'!$B$2,2)=4,WEEKDAY('Daily Schedule'!$B$2,2)=5,WEEKDAY('Daily Schedule'!$B$2,2)=7),IFERROR(1*'Daily Workforce'!$K34&gt;=3,FALSE()),IFERROR(1*'Daily Workforce'!$K34&gt;=2,FALSE())),IF(AND('Daily Schedule'!$A41&gt;=46,'Daily Schedule'!$A41&lt;=52),'Daily Workforce'!$M34="Y",IFERROR(1*'Daily Workforce'!$P34&gt;=2,FALSE()))))),1,0)</f>
        <v>0</v>
      </c>
      <c r="AT37" s="1" t="n">
        <f aca="false">IF(AND('Daily Workforce'!$N35="Y",'Daily Workforce'!$B35&lt;&gt;"",COUNTIF('Daily Schedule'!$F$5:$F40,'Daily Workforce'!$B35)=0,IF('Daily Schedule'!$A41=45,'Daily Workforce'!$J35="Y",IF(OR('Daily Schedule'!$A41=4,'Daily Schedule'!$A41=8),IF(OR(WEEKDAY('Daily Schedule'!$B$2,2)=1,WEEKDAY('Daily Schedule'!$B$2,2)=4,WEEKDAY('Daily Schedule'!$B$2,2)=5,WEEKDAY('Daily Schedule'!$B$2,2)=7),IFERROR(1*'Daily Workforce'!$K35&gt;=3,FALSE()),IFERROR(1*'Daily Workforce'!$K35&gt;=2,FALSE())),IF(AND('Daily Schedule'!$A41&gt;=46,'Daily Schedule'!$A41&lt;=52),'Daily Workforce'!$M35="Y",IFERROR(1*'Daily Workforce'!$P35&gt;=2,FALSE()))))),1,0)</f>
        <v>0</v>
      </c>
      <c r="AU37" s="1" t="n">
        <f aca="false">IF(AND('Daily Workforce'!$N36="Y",'Daily Workforce'!$B36&lt;&gt;"",COUNTIF('Daily Schedule'!$F$5:$F40,'Daily Workforce'!$B36)=0,IF('Daily Schedule'!$A41=45,'Daily Workforce'!$J36="Y",IF(OR('Daily Schedule'!$A41=4,'Daily Schedule'!$A41=8),IF(OR(WEEKDAY('Daily Schedule'!$B$2,2)=1,WEEKDAY('Daily Schedule'!$B$2,2)=4,WEEKDAY('Daily Schedule'!$B$2,2)=5,WEEKDAY('Daily Schedule'!$B$2,2)=7),IFERROR(1*'Daily Workforce'!$K36&gt;=3,FALSE()),IFERROR(1*'Daily Workforce'!$K36&gt;=2,FALSE())),IF(AND('Daily Schedule'!$A41&gt;=46,'Daily Schedule'!$A41&lt;=52),'Daily Workforce'!$M36="Y",IFERROR(1*'Daily Workforce'!$P36&gt;=2,FALSE()))))),1,0)</f>
        <v>0</v>
      </c>
      <c r="AV37" s="1" t="n">
        <f aca="false">IF(AND('Daily Workforce'!$N37="Y",'Daily Workforce'!$B37&lt;&gt;"",COUNTIF('Daily Schedule'!$F$5:$F40,'Daily Workforce'!$B37)=0,IF('Daily Schedule'!$A41=45,'Daily Workforce'!$J37="Y",IF(OR('Daily Schedule'!$A41=4,'Daily Schedule'!$A41=8),IF(OR(WEEKDAY('Daily Schedule'!$B$2,2)=1,WEEKDAY('Daily Schedule'!$B$2,2)=4,WEEKDAY('Daily Schedule'!$B$2,2)=5,WEEKDAY('Daily Schedule'!$B$2,2)=7),IFERROR(1*'Daily Workforce'!$K37&gt;=3,FALSE()),IFERROR(1*'Daily Workforce'!$K37&gt;=2,FALSE())),IF(AND('Daily Schedule'!$A41&gt;=46,'Daily Schedule'!$A41&lt;=52),'Daily Workforce'!$M37="Y",IFERROR(1*'Daily Workforce'!$P37&gt;=2,FALSE()))))),1,0)</f>
        <v>0</v>
      </c>
      <c r="AW37" s="1" t="n">
        <f aca="false">IF(AND('Daily Workforce'!$N38="Y",'Daily Workforce'!$B38&lt;&gt;"",COUNTIF('Daily Schedule'!$F$5:$F40,'Daily Workforce'!$B38)=0,IF('Daily Schedule'!$A41=45,'Daily Workforce'!$J38="Y",IF(OR('Daily Schedule'!$A41=4,'Daily Schedule'!$A41=8),IF(OR(WEEKDAY('Daily Schedule'!$B$2,2)=1,WEEKDAY('Daily Schedule'!$B$2,2)=4,WEEKDAY('Daily Schedule'!$B$2,2)=5,WEEKDAY('Daily Schedule'!$B$2,2)=7),IFERROR(1*'Daily Workforce'!$K38&gt;=3,FALSE()),IFERROR(1*'Daily Workforce'!$K38&gt;=2,FALSE())),IF(AND('Daily Schedule'!$A41&gt;=46,'Daily Schedule'!$A41&lt;=52),'Daily Workforce'!$M38="Y",IFERROR(1*'Daily Workforce'!$P38&gt;=2,FALSE()))))),1,0)</f>
        <v>0</v>
      </c>
      <c r="AX37" s="1" t="n">
        <f aca="false">IF(AND('Daily Workforce'!$N39="Y",'Daily Workforce'!$B39&lt;&gt;"",COUNTIF('Daily Schedule'!$F$5:$F40,'Daily Workforce'!$B39)=0,IF('Daily Schedule'!$A41=45,'Daily Workforce'!$J39="Y",IF(OR('Daily Schedule'!$A41=4,'Daily Schedule'!$A41=8),IF(OR(WEEKDAY('Daily Schedule'!$B$2,2)=1,WEEKDAY('Daily Schedule'!$B$2,2)=4,WEEKDAY('Daily Schedule'!$B$2,2)=5,WEEKDAY('Daily Schedule'!$B$2,2)=7),IFERROR(1*'Daily Workforce'!$K39&gt;=3,FALSE()),IFERROR(1*'Daily Workforce'!$K39&gt;=2,FALSE())),IF(AND('Daily Schedule'!$A41&gt;=46,'Daily Schedule'!$A41&lt;=52),'Daily Workforce'!$M39="Y",IFERROR(1*'Daily Workforce'!$P39&gt;=2,FALSE()))))),1,0)</f>
        <v>0</v>
      </c>
      <c r="AY37" s="1" t="n">
        <f aca="false">IF(AND('Daily Workforce'!$N40="Y",'Daily Workforce'!$B40&lt;&gt;"",COUNTIF('Daily Schedule'!$F$5:$F40,'Daily Workforce'!$B40)=0,IF('Daily Schedule'!$A41=45,'Daily Workforce'!$J40="Y",IF(OR('Daily Schedule'!$A41=4,'Daily Schedule'!$A41=8),IF(OR(WEEKDAY('Daily Schedule'!$B$2,2)=1,WEEKDAY('Daily Schedule'!$B$2,2)=4,WEEKDAY('Daily Schedule'!$B$2,2)=5,WEEKDAY('Daily Schedule'!$B$2,2)=7),IFERROR(1*'Daily Workforce'!$K40&gt;=3,FALSE()),IFERROR(1*'Daily Workforce'!$K40&gt;=2,FALSE())),IF(AND('Daily Schedule'!$A41&gt;=46,'Daily Schedule'!$A41&lt;=52),'Daily Workforce'!$M40="Y",IFERROR(1*'Daily Workforce'!$P40&gt;=2,FALSE()))))),1,0)</f>
        <v>1</v>
      </c>
      <c r="AZ37" s="1" t="n">
        <f aca="false">IF(AND('Daily Workforce'!$N41="Y",'Daily Workforce'!$B41&lt;&gt;"",COUNTIF('Daily Schedule'!$F$5:$F40,'Daily Workforce'!$B41)=0,IF('Daily Schedule'!$A41=45,'Daily Workforce'!$J41="Y",IF(OR('Daily Schedule'!$A41=4,'Daily Schedule'!$A41=8),IF(OR(WEEKDAY('Daily Schedule'!$B$2,2)=1,WEEKDAY('Daily Schedule'!$B$2,2)=4,WEEKDAY('Daily Schedule'!$B$2,2)=5,WEEKDAY('Daily Schedule'!$B$2,2)=7),IFERROR(1*'Daily Workforce'!$K41&gt;=3,FALSE()),IFERROR(1*'Daily Workforce'!$K41&gt;=2,FALSE())),IF(AND('Daily Schedule'!$A41&gt;=46,'Daily Schedule'!$A41&lt;=52),'Daily Workforce'!$M41="Y",IFERROR(1*'Daily Workforce'!$P41&gt;=2,FALSE()))))),1,0)</f>
        <v>1</v>
      </c>
      <c r="BA37" s="1" t="n">
        <f aca="false">IF(AND('Daily Workforce'!$N42="Y",'Daily Workforce'!$B42&lt;&gt;"",COUNTIF('Daily Schedule'!$F$5:$F40,'Daily Workforce'!$B42)=0,IF('Daily Schedule'!$A41=45,'Daily Workforce'!$J42="Y",IF(OR('Daily Schedule'!$A41=4,'Daily Schedule'!$A41=8),IF(OR(WEEKDAY('Daily Schedule'!$B$2,2)=1,WEEKDAY('Daily Schedule'!$B$2,2)=4,WEEKDAY('Daily Schedule'!$B$2,2)=5,WEEKDAY('Daily Schedule'!$B$2,2)=7),IFERROR(1*'Daily Workforce'!$K42&gt;=3,FALSE()),IFERROR(1*'Daily Workforce'!$K42&gt;=2,FALSE())),IF(AND('Daily Schedule'!$A41&gt;=46,'Daily Schedule'!$A41&lt;=52),'Daily Workforce'!$M42="Y",IFERROR(1*'Daily Workforce'!$P42&gt;=2,FALSE()))))),1,0)</f>
        <v>1</v>
      </c>
      <c r="BB37" s="1" t="n">
        <f aca="false">IF(AND('Daily Workforce'!$N43="Y",'Daily Workforce'!$B43&lt;&gt;"",COUNTIF('Daily Schedule'!$F$5:$F40,'Daily Workforce'!$B43)=0,IF('Daily Schedule'!$A41=45,'Daily Workforce'!$J43="Y",IF(OR('Daily Schedule'!$A41=4,'Daily Schedule'!$A41=8),IF(OR(WEEKDAY('Daily Schedule'!$B$2,2)=1,WEEKDAY('Daily Schedule'!$B$2,2)=4,WEEKDAY('Daily Schedule'!$B$2,2)=5,WEEKDAY('Daily Schedule'!$B$2,2)=7),IFERROR(1*'Daily Workforce'!$K43&gt;=3,FALSE()),IFERROR(1*'Daily Workforce'!$K43&gt;=2,FALSE())),IF(AND('Daily Schedule'!$A41&gt;=46,'Daily Schedule'!$A41&lt;=52),'Daily Workforce'!$M43="Y",IFERROR(1*'Daily Workforce'!$P43&gt;=2,FALSE()))))),1,0)</f>
        <v>1</v>
      </c>
      <c r="BC37" s="1" t="n">
        <f aca="false">IF(AND('Daily Workforce'!$N44="Y",'Daily Workforce'!$B44&lt;&gt;"",COUNTIF('Daily Schedule'!$F$5:$F40,'Daily Workforce'!$B44)=0,IF('Daily Schedule'!$A41=45,'Daily Workforce'!$J44="Y",IF(OR('Daily Schedule'!$A41=4,'Daily Schedule'!$A41=8),IF(OR(WEEKDAY('Daily Schedule'!$B$2,2)=1,WEEKDAY('Daily Schedule'!$B$2,2)=4,WEEKDAY('Daily Schedule'!$B$2,2)=5,WEEKDAY('Daily Schedule'!$B$2,2)=7),IFERROR(1*'Daily Workforce'!$K44&gt;=3,FALSE()),IFERROR(1*'Daily Workforce'!$K44&gt;=2,FALSE())),IF(AND('Daily Schedule'!$A41&gt;=46,'Daily Schedule'!$A41&lt;=52),'Daily Workforce'!$M44="Y",IFERROR(1*'Daily Workforce'!$P44&gt;=2,FALSE()))))),1,0)</f>
        <v>1</v>
      </c>
      <c r="BD37" s="1" t="n">
        <f aca="false">IF(AND('Daily Workforce'!$N45="Y",'Daily Workforce'!$B45&lt;&gt;"",COUNTIF('Daily Schedule'!$F$5:$F40,'Daily Workforce'!$B45)=0,IF('Daily Schedule'!$A41=45,'Daily Workforce'!$J45="Y",IF(OR('Daily Schedule'!$A41=4,'Daily Schedule'!$A41=8),IF(OR(WEEKDAY('Daily Schedule'!$B$2,2)=1,WEEKDAY('Daily Schedule'!$B$2,2)=4,WEEKDAY('Daily Schedule'!$B$2,2)=5,WEEKDAY('Daily Schedule'!$B$2,2)=7),IFERROR(1*'Daily Workforce'!$K45&gt;=3,FALSE()),IFERROR(1*'Daily Workforce'!$K45&gt;=2,FALSE())),IF(AND('Daily Schedule'!$A41&gt;=46,'Daily Schedule'!$A41&lt;=52),'Daily Workforce'!$M45="Y",IFERROR(1*'Daily Workforce'!$P45&gt;=2,FALSE()))))),1,0)</f>
        <v>1</v>
      </c>
      <c r="BE37" s="1" t="n">
        <f aca="false">IF(AND('Daily Workforce'!$N46="Y",'Daily Workforce'!$B46&lt;&gt;"",COUNTIF('Daily Schedule'!$F$5:$F40,'Daily Workforce'!$B46)=0,IF('Daily Schedule'!$A41=45,'Daily Workforce'!$J46="Y",IF(OR('Daily Schedule'!$A41=4,'Daily Schedule'!$A41=8),IF(OR(WEEKDAY('Daily Schedule'!$B$2,2)=1,WEEKDAY('Daily Schedule'!$B$2,2)=4,WEEKDAY('Daily Schedule'!$B$2,2)=5,WEEKDAY('Daily Schedule'!$B$2,2)=7),IFERROR(1*'Daily Workforce'!$K46&gt;=3,FALSE()),IFERROR(1*'Daily Workforce'!$K46&gt;=2,FALSE())),IF(AND('Daily Schedule'!$A41&gt;=46,'Daily Schedule'!$A41&lt;=52),'Daily Workforce'!$M46="Y",IFERROR(1*'Daily Workforce'!$P46&gt;=2,FALSE()))))),1,0)</f>
        <v>1</v>
      </c>
      <c r="BF37" s="1" t="n">
        <f aca="false">IF(AND('Daily Workforce'!$N47="Y",'Daily Workforce'!$B47&lt;&gt;"",COUNTIF('Daily Schedule'!$F$5:$F40,'Daily Workforce'!$B47)=0,IF('Daily Schedule'!$A41=45,'Daily Workforce'!$J47="Y",IF(OR('Daily Schedule'!$A41=4,'Daily Schedule'!$A41=8),IF(OR(WEEKDAY('Daily Schedule'!$B$2,2)=1,WEEKDAY('Daily Schedule'!$B$2,2)=4,WEEKDAY('Daily Schedule'!$B$2,2)=5,WEEKDAY('Daily Schedule'!$B$2,2)=7),IFERROR(1*'Daily Workforce'!$K47&gt;=3,FALSE()),IFERROR(1*'Daily Workforce'!$K47&gt;=2,FALSE())),IF(AND('Daily Schedule'!$A41&gt;=46,'Daily Schedule'!$A41&lt;=52),'Daily Workforce'!$M47="Y",IFERROR(1*'Daily Workforce'!$P47&gt;=2,FALSE()))))),1,0)</f>
        <v>0</v>
      </c>
      <c r="BG37" s="1" t="n">
        <f aca="false">IF(AND('Daily Workforce'!$N48="Y",'Daily Workforce'!$B48&lt;&gt;"",COUNTIF('Daily Schedule'!$F$5:$F40,'Daily Workforce'!$B48)=0,IF('Daily Schedule'!$A41=45,'Daily Workforce'!$J48="Y",IF(OR('Daily Schedule'!$A41=4,'Daily Schedule'!$A41=8),IF(OR(WEEKDAY('Daily Schedule'!$B$2,2)=1,WEEKDAY('Daily Schedule'!$B$2,2)=4,WEEKDAY('Daily Schedule'!$B$2,2)=5,WEEKDAY('Daily Schedule'!$B$2,2)=7),IFERROR(1*'Daily Workforce'!$K48&gt;=3,FALSE()),IFERROR(1*'Daily Workforce'!$K48&gt;=2,FALSE())),IF(AND('Daily Schedule'!$A41&gt;=46,'Daily Schedule'!$A41&lt;=52),'Daily Workforce'!$M48="Y",IFERROR(1*'Daily Workforce'!$P48&gt;=2,FALSE()))))),1,0)</f>
        <v>1</v>
      </c>
      <c r="BH37" s="1" t="n">
        <f aca="false">IF(AND('Daily Workforce'!$N49="Y",'Daily Workforce'!$B49&lt;&gt;"",COUNTIF('Daily Schedule'!$F$5:$F40,'Daily Workforce'!$B49)=0,IF('Daily Schedule'!$A41=45,'Daily Workforce'!$J49="Y",IF(OR('Daily Schedule'!$A41=4,'Daily Schedule'!$A41=8),IF(OR(WEEKDAY('Daily Schedule'!$B$2,2)=1,WEEKDAY('Daily Schedule'!$B$2,2)=4,WEEKDAY('Daily Schedule'!$B$2,2)=5,WEEKDAY('Daily Schedule'!$B$2,2)=7),IFERROR(1*'Daily Workforce'!$K49&gt;=3,FALSE()),IFERROR(1*'Daily Workforce'!$K49&gt;=2,FALSE())),IF(AND('Daily Schedule'!$A41&gt;=46,'Daily Schedule'!$A41&lt;=52),'Daily Workforce'!$M49="Y",IFERROR(1*'Daily Workforce'!$P49&gt;=2,FALSE()))))),1,0)</f>
        <v>1</v>
      </c>
      <c r="BI37" s="1" t="n">
        <f aca="false">IF(AND('Daily Workforce'!$N50="Y",'Daily Workforce'!$B50&lt;&gt;"",COUNTIF('Daily Schedule'!$F$5:$F40,'Daily Workforce'!$B50)=0,IF('Daily Schedule'!$A41=45,'Daily Workforce'!$J50="Y",IF(OR('Daily Schedule'!$A41=4,'Daily Schedule'!$A41=8),IF(OR(WEEKDAY('Daily Schedule'!$B$2,2)=1,WEEKDAY('Daily Schedule'!$B$2,2)=4,WEEKDAY('Daily Schedule'!$B$2,2)=5,WEEKDAY('Daily Schedule'!$B$2,2)=7),IFERROR(1*'Daily Workforce'!$K50&gt;=3,FALSE()),IFERROR(1*'Daily Workforce'!$K50&gt;=2,FALSE())),IF(AND('Daily Schedule'!$A41&gt;=46,'Daily Schedule'!$A41&lt;=52),'Daily Workforce'!$M50="Y",IFERROR(1*'Daily Workforce'!$P50&gt;=2,FALSE()))))),1,0)</f>
        <v>0</v>
      </c>
      <c r="BJ37" s="1" t="n">
        <f aca="false">IF(AND('Daily Workforce'!$N51="Y",'Daily Workforce'!$B51&lt;&gt;"",COUNTIF('Daily Schedule'!$F$5:$F40,'Daily Workforce'!$B51)=0,IF('Daily Schedule'!$A41=45,'Daily Workforce'!$J51="Y",IF(OR('Daily Schedule'!$A41=4,'Daily Schedule'!$A41=8),IF(OR(WEEKDAY('Daily Schedule'!$B$2,2)=1,WEEKDAY('Daily Schedule'!$B$2,2)=4,WEEKDAY('Daily Schedule'!$B$2,2)=5,WEEKDAY('Daily Schedule'!$B$2,2)=7),IFERROR(1*'Daily Workforce'!$K51&gt;=3,FALSE()),IFERROR(1*'Daily Workforce'!$K51&gt;=2,FALSE())),IF(AND('Daily Schedule'!$A41&gt;=46,'Daily Schedule'!$A41&lt;=52),'Daily Workforce'!$M51="Y",IFERROR(1*'Daily Workforce'!$P51&gt;=2,FALSE()))))),1,0)</f>
        <v>1</v>
      </c>
      <c r="BK37" s="1" t="n">
        <f aca="false">IF(AND('Daily Workforce'!$N52="Y",'Daily Workforce'!$B52&lt;&gt;"",COUNTIF('Daily Schedule'!$F$5:$F40,'Daily Workforce'!$B52)=0,IF('Daily Schedule'!$A41=45,'Daily Workforce'!$J52="Y",IF(OR('Daily Schedule'!$A41=4,'Daily Schedule'!$A41=8),IF(OR(WEEKDAY('Daily Schedule'!$B$2,2)=1,WEEKDAY('Daily Schedule'!$B$2,2)=4,WEEKDAY('Daily Schedule'!$B$2,2)=5,WEEKDAY('Daily Schedule'!$B$2,2)=7),IFERROR(1*'Daily Workforce'!$K52&gt;=3,FALSE()),IFERROR(1*'Daily Workforce'!$K52&gt;=2,FALSE())),IF(AND('Daily Schedule'!$A41&gt;=46,'Daily Schedule'!$A41&lt;=52),'Daily Workforce'!$M52="Y",IFERROR(1*'Daily Workforce'!$P52&gt;=2,FALSE()))))),1,0)</f>
        <v>1</v>
      </c>
      <c r="BL37" s="1" t="n">
        <f aca="false">IF(AND('Daily Workforce'!$N53="Y",'Daily Workforce'!$B53&lt;&gt;"",COUNTIF('Daily Schedule'!$F$5:$F40,'Daily Workforce'!$B53)=0,IF('Daily Schedule'!$A41=45,'Daily Workforce'!$J53="Y",IF(OR('Daily Schedule'!$A41=4,'Daily Schedule'!$A41=8),IF(OR(WEEKDAY('Daily Schedule'!$B$2,2)=1,WEEKDAY('Daily Schedule'!$B$2,2)=4,WEEKDAY('Daily Schedule'!$B$2,2)=5,WEEKDAY('Daily Schedule'!$B$2,2)=7),IFERROR(1*'Daily Workforce'!$K53&gt;=3,FALSE()),IFERROR(1*'Daily Workforce'!$K53&gt;=2,FALSE())),IF(AND('Daily Schedule'!$A41&gt;=46,'Daily Schedule'!$A41&lt;=52),'Daily Workforce'!$M53="Y",IFERROR(1*'Daily Workforce'!$P53&gt;=2,FALSE()))))),1,0)</f>
        <v>1</v>
      </c>
      <c r="BM37" s="1" t="n">
        <f aca="false">IF(AND('Daily Workforce'!$N54="Y",'Daily Workforce'!$B54&lt;&gt;"",COUNTIF('Daily Schedule'!$F$5:$F40,'Daily Workforce'!$B54)=0,IF('Daily Schedule'!$A41=45,'Daily Workforce'!$J54="Y",IF(OR('Daily Schedule'!$A41=4,'Daily Schedule'!$A41=8),IF(OR(WEEKDAY('Daily Schedule'!$B$2,2)=1,WEEKDAY('Daily Schedule'!$B$2,2)=4,WEEKDAY('Daily Schedule'!$B$2,2)=5,WEEKDAY('Daily Schedule'!$B$2,2)=7),IFERROR(1*'Daily Workforce'!$K54&gt;=3,FALSE()),IFERROR(1*'Daily Workforce'!$K54&gt;=2,FALSE())),IF(AND('Daily Schedule'!$A41&gt;=46,'Daily Schedule'!$A41&lt;=52),'Daily Workforce'!$M54="Y",IFERROR(1*'Daily Workforce'!$P54&gt;=2,FALSE()))))),1,0)</f>
        <v>1</v>
      </c>
      <c r="BN37" s="1" t="n">
        <f aca="false">IF(AND('Daily Workforce'!$N55="Y",'Daily Workforce'!$B55&lt;&gt;"",COUNTIF('Daily Schedule'!$F$5:$F40,'Daily Workforce'!$B55)=0,IF('Daily Schedule'!$A41=45,'Daily Workforce'!$J55="Y",IF(OR('Daily Schedule'!$A41=4,'Daily Schedule'!$A41=8),IF(OR(WEEKDAY('Daily Schedule'!$B$2,2)=1,WEEKDAY('Daily Schedule'!$B$2,2)=4,WEEKDAY('Daily Schedule'!$B$2,2)=5,WEEKDAY('Daily Schedule'!$B$2,2)=7),IFERROR(1*'Daily Workforce'!$K55&gt;=3,FALSE()),IFERROR(1*'Daily Workforce'!$K55&gt;=2,FALSE())),IF(AND('Daily Schedule'!$A41&gt;=46,'Daily Schedule'!$A41&lt;=52),'Daily Workforce'!$M55="Y",IFERROR(1*'Daily Workforce'!$P55&gt;=2,FALSE()))))),1,0)</f>
        <v>1</v>
      </c>
      <c r="BO37" s="1" t="n">
        <f aca="false">IF(AND('Daily Workforce'!$N56="Y",'Daily Workforce'!$B56&lt;&gt;"",COUNTIF('Daily Schedule'!$F$5:$F40,'Daily Workforce'!$B56)=0,IF('Daily Schedule'!$A41=45,'Daily Workforce'!$J56="Y",IF(OR('Daily Schedule'!$A41=4,'Daily Schedule'!$A41=8),IF(OR(WEEKDAY('Daily Schedule'!$B$2,2)=1,WEEKDAY('Daily Schedule'!$B$2,2)=4,WEEKDAY('Daily Schedule'!$B$2,2)=5,WEEKDAY('Daily Schedule'!$B$2,2)=7),IFERROR(1*'Daily Workforce'!$K56&gt;=3,FALSE()),IFERROR(1*'Daily Workforce'!$K56&gt;=2,FALSE())),IF(AND('Daily Schedule'!$A41&gt;=46,'Daily Schedule'!$A41&lt;=52),'Daily Workforce'!$M56="Y",IFERROR(1*'Daily Workforce'!$P56&gt;=2,FALSE()))))),1,0)</f>
        <v>1</v>
      </c>
      <c r="BP37" s="1" t="n">
        <f aca="false">IF(AND('Daily Workforce'!$N57="Y",'Daily Workforce'!$B57&lt;&gt;"",COUNTIF('Daily Schedule'!$F$5:$F40,'Daily Workforce'!$B57)=0,IF('Daily Schedule'!$A41=45,'Daily Workforce'!$J57="Y",IF(OR('Daily Schedule'!$A41=4,'Daily Schedule'!$A41=8),IF(OR(WEEKDAY('Daily Schedule'!$B$2,2)=1,WEEKDAY('Daily Schedule'!$B$2,2)=4,WEEKDAY('Daily Schedule'!$B$2,2)=5,WEEKDAY('Daily Schedule'!$B$2,2)=7),IFERROR(1*'Daily Workforce'!$K57&gt;=3,FALSE()),IFERROR(1*'Daily Workforce'!$K57&gt;=2,FALSE())),IF(AND('Daily Schedule'!$A41&gt;=46,'Daily Schedule'!$A41&lt;=52),'Daily Workforce'!$M57="Y",IFERROR(1*'Daily Workforce'!$P57&gt;=2,FALSE()))))),1,0)</f>
        <v>0</v>
      </c>
      <c r="BQ37" s="1" t="n">
        <f aca="false">IF(AND('Daily Workforce'!$N58="Y",'Daily Workforce'!$B58&lt;&gt;"",COUNTIF('Daily Schedule'!$F$5:$F40,'Daily Workforce'!$B58)=0,IF('Daily Schedule'!$A41=45,'Daily Workforce'!$J58="Y",IF(OR('Daily Schedule'!$A41=4,'Daily Schedule'!$A41=8),IF(OR(WEEKDAY('Daily Schedule'!$B$2,2)=1,WEEKDAY('Daily Schedule'!$B$2,2)=4,WEEKDAY('Daily Schedule'!$B$2,2)=5,WEEKDAY('Daily Schedule'!$B$2,2)=7),IFERROR(1*'Daily Workforce'!$K58&gt;=3,FALSE()),IFERROR(1*'Daily Workforce'!$K58&gt;=2,FALSE())),IF(AND('Daily Schedule'!$A41&gt;=46,'Daily Schedule'!$A41&lt;=52),'Daily Workforce'!$M58="Y",IFERROR(1*'Daily Workforce'!$P58&gt;=2,FALSE()))))),1,0)</f>
        <v>1</v>
      </c>
      <c r="BR37" s="1" t="n">
        <f aca="false">IF(AND('Daily Workforce'!$N59="Y",'Daily Workforce'!$B59&lt;&gt;"",COUNTIF('Daily Schedule'!$F$5:$F40,'Daily Workforce'!$B59)=0,IF('Daily Schedule'!$A41=45,'Daily Workforce'!$J59="Y",IF(OR('Daily Schedule'!$A41=4,'Daily Schedule'!$A41=8),IF(OR(WEEKDAY('Daily Schedule'!$B$2,2)=1,WEEKDAY('Daily Schedule'!$B$2,2)=4,WEEKDAY('Daily Schedule'!$B$2,2)=5,WEEKDAY('Daily Schedule'!$B$2,2)=7),IFERROR(1*'Daily Workforce'!$K59&gt;=3,FALSE()),IFERROR(1*'Daily Workforce'!$K59&gt;=2,FALSE())),IF(AND('Daily Schedule'!$A41&gt;=46,'Daily Schedule'!$A41&lt;=52),'Daily Workforce'!$M59="Y",IFERROR(1*'Daily Workforce'!$P59&gt;=2,FALSE()))))),1,0)</f>
        <v>1</v>
      </c>
      <c r="BS37" s="1" t="n">
        <f aca="false">IF(AND('Daily Workforce'!$N60="Y",'Daily Workforce'!$B60&lt;&gt;"",COUNTIF('Daily Schedule'!$F$5:$F40,'Daily Workforce'!$B60)=0,IF('Daily Schedule'!$A41=45,'Daily Workforce'!$J60="Y",IF(OR('Daily Schedule'!$A41=4,'Daily Schedule'!$A41=8),IF(OR(WEEKDAY('Daily Schedule'!$B$2,2)=1,WEEKDAY('Daily Schedule'!$B$2,2)=4,WEEKDAY('Daily Schedule'!$B$2,2)=5,WEEKDAY('Daily Schedule'!$B$2,2)=7),IFERROR(1*'Daily Workforce'!$K60&gt;=3,FALSE()),IFERROR(1*'Daily Workforce'!$K60&gt;=2,FALSE())),IF(AND('Daily Schedule'!$A41&gt;=46,'Daily Schedule'!$A41&lt;=52),'Daily Workforce'!$M60="Y",IFERROR(1*'Daily Workforce'!$P60&gt;=2,FALSE()))))),1,0)</f>
        <v>1</v>
      </c>
      <c r="BT37" s="1" t="n">
        <f aca="false">IF(AND('Daily Workforce'!$N61="Y",'Daily Workforce'!$B61&lt;&gt;"",COUNTIF('Daily Schedule'!$F$5:$F40,'Daily Workforce'!$B61)=0,IF('Daily Schedule'!$A41=45,'Daily Workforce'!$J61="Y",IF(OR('Daily Schedule'!$A41=4,'Daily Schedule'!$A41=8),IF(OR(WEEKDAY('Daily Schedule'!$B$2,2)=1,WEEKDAY('Daily Schedule'!$B$2,2)=4,WEEKDAY('Daily Schedule'!$B$2,2)=5,WEEKDAY('Daily Schedule'!$B$2,2)=7),IFERROR(1*'Daily Workforce'!$K61&gt;=3,FALSE()),IFERROR(1*'Daily Workforce'!$K61&gt;=2,FALSE())),IF(AND('Daily Schedule'!$A41&gt;=46,'Daily Schedule'!$A41&lt;=52),'Daily Workforce'!$M61="Y",IFERROR(1*'Daily Workforce'!$P61&gt;=2,FALSE()))))),1,0)</f>
        <v>0</v>
      </c>
      <c r="BU37" s="1" t="n">
        <f aca="false">IF(AND('Daily Workforce'!$N62="Y",'Daily Workforce'!$B62&lt;&gt;"",COUNTIF('Daily Schedule'!$F$5:$F40,'Daily Workforce'!$B62)=0,IF('Daily Schedule'!$A41=45,'Daily Workforce'!$J62="Y",IF(OR('Daily Schedule'!$A41=4,'Daily Schedule'!$A41=8),IF(OR(WEEKDAY('Daily Schedule'!$B$2,2)=1,WEEKDAY('Daily Schedule'!$B$2,2)=4,WEEKDAY('Daily Schedule'!$B$2,2)=5,WEEKDAY('Daily Schedule'!$B$2,2)=7),IFERROR(1*'Daily Workforce'!$K62&gt;=3,FALSE()),IFERROR(1*'Daily Workforce'!$K62&gt;=2,FALSE())),IF(AND('Daily Schedule'!$A41&gt;=46,'Daily Schedule'!$A41&lt;=52),'Daily Workforce'!$M62="Y",IFERROR(1*'Daily Workforce'!$P62&gt;=2,FALSE()))))),1,0)</f>
        <v>1</v>
      </c>
      <c r="BV37" s="1" t="n">
        <f aca="false">IF(AND('Daily Workforce'!$N63="Y",'Daily Workforce'!$B63&lt;&gt;"",COUNTIF('Daily Schedule'!$F$5:$F40,'Daily Workforce'!$B63)=0,IF('Daily Schedule'!$A41=45,'Daily Workforce'!$J63="Y",IF(OR('Daily Schedule'!$A41=4,'Daily Schedule'!$A41=8),IF(OR(WEEKDAY('Daily Schedule'!$B$2,2)=1,WEEKDAY('Daily Schedule'!$B$2,2)=4,WEEKDAY('Daily Schedule'!$B$2,2)=5,WEEKDAY('Daily Schedule'!$B$2,2)=7),IFERROR(1*'Daily Workforce'!$K63&gt;=3,FALSE()),IFERROR(1*'Daily Workforce'!$K63&gt;=2,FALSE())),IF(AND('Daily Schedule'!$A41&gt;=46,'Daily Schedule'!$A41&lt;=52),'Daily Workforce'!$M63="Y",IFERROR(1*'Daily Workforce'!$P63&gt;=2,FALSE()))))),1,0)</f>
        <v>1</v>
      </c>
      <c r="BW37" s="1" t="n">
        <f aca="false">IF(AND('Daily Workforce'!$N64="Y",'Daily Workforce'!$B64&lt;&gt;"",COUNTIF('Daily Schedule'!$F$5:$F40,'Daily Workforce'!$B64)=0,IF('Daily Schedule'!$A41=45,'Daily Workforce'!$J64="Y",IF(OR('Daily Schedule'!$A41=4,'Daily Schedule'!$A41=8),IF(OR(WEEKDAY('Daily Schedule'!$B$2,2)=1,WEEKDAY('Daily Schedule'!$B$2,2)=4,WEEKDAY('Daily Schedule'!$B$2,2)=5,WEEKDAY('Daily Schedule'!$B$2,2)=7),IFERROR(1*'Daily Workforce'!$K64&gt;=3,FALSE()),IFERROR(1*'Daily Workforce'!$K64&gt;=2,FALSE())),IF(AND('Daily Schedule'!$A41&gt;=46,'Daily Schedule'!$A41&lt;=52),'Daily Workforce'!$M64="Y",IFERROR(1*'Daily Workforce'!$P64&gt;=2,FALSE()))))),1,0)</f>
        <v>1</v>
      </c>
      <c r="BX37" s="1" t="n">
        <f aca="false">IF(AND('Daily Workforce'!$N65="Y",'Daily Workforce'!$B65&lt;&gt;"",COUNTIF('Daily Schedule'!$F$5:$F40,'Daily Workforce'!$B65)=0,IF('Daily Schedule'!$A41=45,'Daily Workforce'!$J65="Y",IF(OR('Daily Schedule'!$A41=4,'Daily Schedule'!$A41=8),IF(OR(WEEKDAY('Daily Schedule'!$B$2,2)=1,WEEKDAY('Daily Schedule'!$B$2,2)=4,WEEKDAY('Daily Schedule'!$B$2,2)=5,WEEKDAY('Daily Schedule'!$B$2,2)=7),IFERROR(1*'Daily Workforce'!$K65&gt;=3,FALSE()),IFERROR(1*'Daily Workforce'!$K65&gt;=2,FALSE())),IF(AND('Daily Schedule'!$A41&gt;=46,'Daily Schedule'!$A41&lt;=52),'Daily Workforce'!$M65="Y",IFERROR(1*'Daily Workforce'!$P65&gt;=2,FALSE()))))),1,0)</f>
        <v>1</v>
      </c>
      <c r="BY37" s="1" t="n">
        <f aca="false">IF(AND('Daily Workforce'!$N66="Y",'Daily Workforce'!$B66&lt;&gt;"",COUNTIF('Daily Schedule'!$F$5:$F40,'Daily Workforce'!$B66)=0,IF('Daily Schedule'!$A41=45,'Daily Workforce'!$J66="Y",IF(OR('Daily Schedule'!$A41=4,'Daily Schedule'!$A41=8),IF(OR(WEEKDAY('Daily Schedule'!$B$2,2)=1,WEEKDAY('Daily Schedule'!$B$2,2)=4,WEEKDAY('Daily Schedule'!$B$2,2)=5,WEEKDAY('Daily Schedule'!$B$2,2)=7),IFERROR(1*'Daily Workforce'!$K66&gt;=3,FALSE()),IFERROR(1*'Daily Workforce'!$K66&gt;=2,FALSE())),IF(AND('Daily Schedule'!$A41&gt;=46,'Daily Schedule'!$A41&lt;=52),'Daily Workforce'!$M66="Y",IFERROR(1*'Daily Workforce'!$P66&gt;=2,FALSE()))))),1,0)</f>
        <v>1</v>
      </c>
      <c r="BZ37" s="1" t="n">
        <f aca="false">IF(AND('Daily Workforce'!$N67="Y",'Daily Workforce'!$B67&lt;&gt;"",COUNTIF('Daily Schedule'!$F$5:$F40,'Daily Workforce'!$B67)=0,IF('Daily Schedule'!$A41=45,'Daily Workforce'!$J67="Y",IF(OR('Daily Schedule'!$A41=4,'Daily Schedule'!$A41=8),IF(OR(WEEKDAY('Daily Schedule'!$B$2,2)=1,WEEKDAY('Daily Schedule'!$B$2,2)=4,WEEKDAY('Daily Schedule'!$B$2,2)=5,WEEKDAY('Daily Schedule'!$B$2,2)=7),IFERROR(1*'Daily Workforce'!$K67&gt;=3,FALSE()),IFERROR(1*'Daily Workforce'!$K67&gt;=2,FALSE())),IF(AND('Daily Schedule'!$A41&gt;=46,'Daily Schedule'!$A41&lt;=52),'Daily Workforce'!$M67="Y",IFERROR(1*'Daily Workforce'!$P67&gt;=2,FALSE()))))),1,0)</f>
        <v>1</v>
      </c>
      <c r="CA37" s="1" t="n">
        <f aca="false">IF(AND('Daily Workforce'!$N68="Y",'Daily Workforce'!$B68&lt;&gt;"",COUNTIF('Daily Schedule'!$F$5:$F40,'Daily Workforce'!$B68)=0,IF('Daily Schedule'!$A41=45,'Daily Workforce'!$J68="Y",IF(OR('Daily Schedule'!$A41=4,'Daily Schedule'!$A41=8),IF(OR(WEEKDAY('Daily Schedule'!$B$2,2)=1,WEEKDAY('Daily Schedule'!$B$2,2)=4,WEEKDAY('Daily Schedule'!$B$2,2)=5,WEEKDAY('Daily Schedule'!$B$2,2)=7),IFERROR(1*'Daily Workforce'!$K68&gt;=3,FALSE()),IFERROR(1*'Daily Workforce'!$K68&gt;=2,FALSE())),IF(AND('Daily Schedule'!$A41&gt;=46,'Daily Schedule'!$A41&lt;=52),'Daily Workforce'!$M68="Y",IFERROR(1*'Daily Workforce'!$P68&gt;=2,FALSE()))))),1,0)</f>
        <v>1</v>
      </c>
      <c r="CB37" s="1" t="n">
        <f aca="false">IF(AND('Daily Workforce'!$N69="Y",'Daily Workforce'!$B69&lt;&gt;"",COUNTIF('Daily Schedule'!$F$5:$F40,'Daily Workforce'!$B69)=0,IF('Daily Schedule'!$A41=45,'Daily Workforce'!$J69="Y",IF(OR('Daily Schedule'!$A41=4,'Daily Schedule'!$A41=8),IF(OR(WEEKDAY('Daily Schedule'!$B$2,2)=1,WEEKDAY('Daily Schedule'!$B$2,2)=4,WEEKDAY('Daily Schedule'!$B$2,2)=5,WEEKDAY('Daily Schedule'!$B$2,2)=7),IFERROR(1*'Daily Workforce'!$K69&gt;=3,FALSE()),IFERROR(1*'Daily Workforce'!$K69&gt;=2,FALSE())),IF(AND('Daily Schedule'!$A41&gt;=46,'Daily Schedule'!$A41&lt;=52),'Daily Workforce'!$M69="Y",IFERROR(1*'Daily Workforce'!$P69&gt;=2,FALSE()))))),1,0)</f>
        <v>1</v>
      </c>
      <c r="CC37" s="1" t="n">
        <f aca="false">IF(AND('Daily Workforce'!$N70="Y",'Daily Workforce'!$B70&lt;&gt;"",COUNTIF('Daily Schedule'!$F$5:$F40,'Daily Workforce'!$B70)=0,IF('Daily Schedule'!$A41=45,'Daily Workforce'!$J70="Y",IF(OR('Daily Schedule'!$A41=4,'Daily Schedule'!$A41=8),IF(OR(WEEKDAY('Daily Schedule'!$B$2,2)=1,WEEKDAY('Daily Schedule'!$B$2,2)=4,WEEKDAY('Daily Schedule'!$B$2,2)=5,WEEKDAY('Daily Schedule'!$B$2,2)=7),IFERROR(1*'Daily Workforce'!$K70&gt;=3,FALSE()),IFERROR(1*'Daily Workforce'!$K70&gt;=2,FALSE())),IF(AND('Daily Schedule'!$A41&gt;=46,'Daily Schedule'!$A41&lt;=52),'Daily Workforce'!$M70="Y",IFERROR(1*'Daily Workforce'!$P70&gt;=2,FALSE()))))),1,0)</f>
        <v>1</v>
      </c>
      <c r="CD37" s="1" t="n">
        <f aca="false">IF(AND('Daily Workforce'!$N71="Y",'Daily Workforce'!$B71&lt;&gt;"",COUNTIF('Daily Schedule'!$F$5:$F40,'Daily Workforce'!$B71)=0,IF('Daily Schedule'!$A41=45,'Daily Workforce'!$J71="Y",IF(OR('Daily Schedule'!$A41=4,'Daily Schedule'!$A41=8),IF(OR(WEEKDAY('Daily Schedule'!$B$2,2)=1,WEEKDAY('Daily Schedule'!$B$2,2)=4,WEEKDAY('Daily Schedule'!$B$2,2)=5,WEEKDAY('Daily Schedule'!$B$2,2)=7),IFERROR(1*'Daily Workforce'!$K71&gt;=3,FALSE()),IFERROR(1*'Daily Workforce'!$K71&gt;=2,FALSE())),IF(AND('Daily Schedule'!$A41&gt;=46,'Daily Schedule'!$A41&lt;=52),'Daily Workforce'!$M71="Y",IFERROR(1*'Daily Workforce'!$P71&gt;=2,FALSE()))))),1,0)</f>
        <v>1</v>
      </c>
      <c r="CE37" s="1" t="n">
        <f aca="false">IF(AND('Daily Workforce'!$N72="Y",'Daily Workforce'!$B72&lt;&gt;"",COUNTIF('Daily Schedule'!$F$5:$F40,'Daily Workforce'!$B72)=0,IF('Daily Schedule'!$A41=45,'Daily Workforce'!$J72="Y",IF(OR('Daily Schedule'!$A41=4,'Daily Schedule'!$A41=8),IF(OR(WEEKDAY('Daily Schedule'!$B$2,2)=1,WEEKDAY('Daily Schedule'!$B$2,2)=4,WEEKDAY('Daily Schedule'!$B$2,2)=5,WEEKDAY('Daily Schedule'!$B$2,2)=7),IFERROR(1*'Daily Workforce'!$K72&gt;=3,FALSE()),IFERROR(1*'Daily Workforce'!$K72&gt;=2,FALSE())),IF(AND('Daily Schedule'!$A41&gt;=46,'Daily Schedule'!$A41&lt;=52),'Daily Workforce'!$M72="Y",IFERROR(1*'Daily Workforce'!$P72&gt;=2,FALSE()))))),1,0)</f>
        <v>1</v>
      </c>
      <c r="CF37" s="1" t="n">
        <f aca="false">IF(AND('Daily Workforce'!$N73="Y",'Daily Workforce'!$B73&lt;&gt;"",COUNTIF('Daily Schedule'!$F$5:$F40,'Daily Workforce'!$B73)=0,IF('Daily Schedule'!$A41=45,'Daily Workforce'!$J73="Y",IF(OR('Daily Schedule'!$A41=4,'Daily Schedule'!$A41=8),IF(OR(WEEKDAY('Daily Schedule'!$B$2,2)=1,WEEKDAY('Daily Schedule'!$B$2,2)=4,WEEKDAY('Daily Schedule'!$B$2,2)=5,WEEKDAY('Daily Schedule'!$B$2,2)=7),IFERROR(1*'Daily Workforce'!$K73&gt;=3,FALSE()),IFERROR(1*'Daily Workforce'!$K73&gt;=2,FALSE())),IF(AND('Daily Schedule'!$A41&gt;=46,'Daily Schedule'!$A41&lt;=52),'Daily Workforce'!$M73="Y",IFERROR(1*'Daily Workforce'!$P73&gt;=2,FALSE()))))),1,0)</f>
        <v>1</v>
      </c>
      <c r="CG37" s="1" t="n">
        <f aca="false">IF(AND('Daily Workforce'!$N74="Y",'Daily Workforce'!$B74&lt;&gt;"",COUNTIF('Daily Schedule'!$F$5:$F40,'Daily Workforce'!$B74)=0,IF('Daily Schedule'!$A41=45,'Daily Workforce'!$J74="Y",IF(OR('Daily Schedule'!$A41=4,'Daily Schedule'!$A41=8),IF(OR(WEEKDAY('Daily Schedule'!$B$2,2)=1,WEEKDAY('Daily Schedule'!$B$2,2)=4,WEEKDAY('Daily Schedule'!$B$2,2)=5,WEEKDAY('Daily Schedule'!$B$2,2)=7),IFERROR(1*'Daily Workforce'!$K74&gt;=3,FALSE()),IFERROR(1*'Daily Workforce'!$K74&gt;=2,FALSE())),IF(AND('Daily Schedule'!$A41&gt;=46,'Daily Schedule'!$A41&lt;=52),'Daily Workforce'!$M74="Y",IFERROR(1*'Daily Workforce'!$P74&gt;=2,FALSE()))))),1,0)</f>
        <v>1</v>
      </c>
      <c r="CH37" s="1" t="n">
        <f aca="false">IF(AND('Daily Workforce'!$N75="Y",'Daily Workforce'!$B75&lt;&gt;"",COUNTIF('Daily Schedule'!$F$5:$F40,'Daily Workforce'!$B75)=0,IF('Daily Schedule'!$A41=45,'Daily Workforce'!$J75="Y",IF(OR('Daily Schedule'!$A41=4,'Daily Schedule'!$A41=8),IF(OR(WEEKDAY('Daily Schedule'!$B$2,2)=1,WEEKDAY('Daily Schedule'!$B$2,2)=4,WEEKDAY('Daily Schedule'!$B$2,2)=5,WEEKDAY('Daily Schedule'!$B$2,2)=7),IFERROR(1*'Daily Workforce'!$K75&gt;=3,FALSE()),IFERROR(1*'Daily Workforce'!$K75&gt;=2,FALSE())),IF(AND('Daily Schedule'!$A41&gt;=46,'Daily Schedule'!$A41&lt;=52),'Daily Workforce'!$M75="Y",IFERROR(1*'Daily Workforce'!$P75&gt;=2,FALSE()))))),1,0)</f>
        <v>1</v>
      </c>
      <c r="CI37" s="1" t="n">
        <f aca="false">IF(AND('Daily Workforce'!$N76="Y",'Daily Workforce'!$B76&lt;&gt;"",COUNTIF('Daily Schedule'!$F$5:$F40,'Daily Workforce'!$B76)=0,IF('Daily Schedule'!$A41=45,'Daily Workforce'!$J76="Y",IF(OR('Daily Schedule'!$A41=4,'Daily Schedule'!$A41=8),IF(OR(WEEKDAY('Daily Schedule'!$B$2,2)=1,WEEKDAY('Daily Schedule'!$B$2,2)=4,WEEKDAY('Daily Schedule'!$B$2,2)=5,WEEKDAY('Daily Schedule'!$B$2,2)=7),IFERROR(1*'Daily Workforce'!$K76&gt;=3,FALSE()),IFERROR(1*'Daily Workforce'!$K76&gt;=2,FALSE())),IF(AND('Daily Schedule'!$A41&gt;=46,'Daily Schedule'!$A41&lt;=52),'Daily Workforce'!$M76="Y",IFERROR(1*'Daily Workforce'!$P76&gt;=2,FALSE()))))),1,0)</f>
        <v>1</v>
      </c>
      <c r="CJ37" s="1" t="n">
        <f aca="false">IF(AND('Daily Workforce'!$N77="Y",'Daily Workforce'!$B77&lt;&gt;"",COUNTIF('Daily Schedule'!$F$5:$F40,'Daily Workforce'!$B77)=0,IF('Daily Schedule'!$A41=45,'Daily Workforce'!$J77="Y",IF(OR('Daily Schedule'!$A41=4,'Daily Schedule'!$A41=8),IF(OR(WEEKDAY('Daily Schedule'!$B$2,2)=1,WEEKDAY('Daily Schedule'!$B$2,2)=4,WEEKDAY('Daily Schedule'!$B$2,2)=5,WEEKDAY('Daily Schedule'!$B$2,2)=7),IFERROR(1*'Daily Workforce'!$K77&gt;=3,FALSE()),IFERROR(1*'Daily Workforce'!$K77&gt;=2,FALSE())),IF(AND('Daily Schedule'!$A41&gt;=46,'Daily Schedule'!$A41&lt;=52),'Daily Workforce'!$M77="Y",IFERROR(1*'Daily Workforce'!$P77&gt;=2,FALSE()))))),1,0)</f>
        <v>1</v>
      </c>
      <c r="CK37" s="1" t="n">
        <f aca="false">IF(AND('Daily Workforce'!$N78="Y",'Daily Workforce'!$B78&lt;&gt;"",COUNTIF('Daily Schedule'!$F$5:$F40,'Daily Workforce'!$B78)=0,IF('Daily Schedule'!$A41=45,'Daily Workforce'!$J78="Y",IF(OR('Daily Schedule'!$A41=4,'Daily Schedule'!$A41=8),IF(OR(WEEKDAY('Daily Schedule'!$B$2,2)=1,WEEKDAY('Daily Schedule'!$B$2,2)=4,WEEKDAY('Daily Schedule'!$B$2,2)=5,WEEKDAY('Daily Schedule'!$B$2,2)=7),IFERROR(1*'Daily Workforce'!$K78&gt;=3,FALSE()),IFERROR(1*'Daily Workforce'!$K78&gt;=2,FALSE())),IF(AND('Daily Schedule'!$A41&gt;=46,'Daily Schedule'!$A41&lt;=52),'Daily Workforce'!$M78="Y",IFERROR(1*'Daily Workforce'!$P78&gt;=2,FALSE()))))),1,0)</f>
        <v>1</v>
      </c>
      <c r="CL37" s="1" t="n">
        <f aca="false">IF(AND('Daily Workforce'!$N79="Y",'Daily Workforce'!$B79&lt;&gt;"",COUNTIF('Daily Schedule'!$F$5:$F40,'Daily Workforce'!$B79)=0,IF('Daily Schedule'!$A41=45,'Daily Workforce'!$J79="Y",IF(OR('Daily Schedule'!$A41=4,'Daily Schedule'!$A41=8),IF(OR(WEEKDAY('Daily Schedule'!$B$2,2)=1,WEEKDAY('Daily Schedule'!$B$2,2)=4,WEEKDAY('Daily Schedule'!$B$2,2)=5,WEEKDAY('Daily Schedule'!$B$2,2)=7),IFERROR(1*'Daily Workforce'!$K79&gt;=3,FALSE()),IFERROR(1*'Daily Workforce'!$K79&gt;=2,FALSE())),IF(AND('Daily Schedule'!$A41&gt;=46,'Daily Schedule'!$A41&lt;=52),'Daily Workforce'!$M79="Y",IFERROR(1*'Daily Workforce'!$P79&gt;=2,FALSE()))))),1,0)</f>
        <v>1</v>
      </c>
      <c r="CM37" s="1" t="n">
        <f aca="false">IF(AND('Daily Workforce'!$N80="Y",'Daily Workforce'!$B80&lt;&gt;"",COUNTIF('Daily Schedule'!$F$5:$F40,'Daily Workforce'!$B80)=0,IF('Daily Schedule'!$A41=45,'Daily Workforce'!$J80="Y",IF(OR('Daily Schedule'!$A41=4,'Daily Schedule'!$A41=8),IF(OR(WEEKDAY('Daily Schedule'!$B$2,2)=1,WEEKDAY('Daily Schedule'!$B$2,2)=4,WEEKDAY('Daily Schedule'!$B$2,2)=5,WEEKDAY('Daily Schedule'!$B$2,2)=7),IFERROR(1*'Daily Workforce'!$K80&gt;=3,FALSE()),IFERROR(1*'Daily Workforce'!$K80&gt;=2,FALSE())),IF(AND('Daily Schedule'!$A41&gt;=46,'Daily Schedule'!$A41&lt;=52),'Daily Workforce'!$M80="Y",IFERROR(1*'Daily Workforce'!$P80&gt;=2,FALSE()))))),1,0)</f>
        <v>1</v>
      </c>
      <c r="CN37" s="1" t="n">
        <f aca="false">IF(AND('Daily Workforce'!$N81="Y",'Daily Workforce'!$B81&lt;&gt;"",COUNTIF('Daily Schedule'!$F$5:$F40,'Daily Workforce'!$B81)=0,IF('Daily Schedule'!$A41=45,'Daily Workforce'!$J81="Y",IF(OR('Daily Schedule'!$A41=4,'Daily Schedule'!$A41=8),IF(OR(WEEKDAY('Daily Schedule'!$B$2,2)=1,WEEKDAY('Daily Schedule'!$B$2,2)=4,WEEKDAY('Daily Schedule'!$B$2,2)=5,WEEKDAY('Daily Schedule'!$B$2,2)=7),IFERROR(1*'Daily Workforce'!$K81&gt;=3,FALSE()),IFERROR(1*'Daily Workforce'!$K81&gt;=2,FALSE())),IF(AND('Daily Schedule'!$A41&gt;=46,'Daily Schedule'!$A41&lt;=52),'Daily Workforce'!$M81="Y",IFERROR(1*'Daily Workforce'!$P81&gt;=2,FALSE()))))),1,0)</f>
        <v>1</v>
      </c>
      <c r="CO37" s="1" t="n">
        <f aca="false">IF(AND('Daily Workforce'!$N82="Y",'Daily Workforce'!$B82&lt;&gt;"",COUNTIF('Daily Schedule'!$F$5:$F40,'Daily Workforce'!$B82)=0,IF('Daily Schedule'!$A41=45,'Daily Workforce'!$J82="Y",IF(OR('Daily Schedule'!$A41=4,'Daily Schedule'!$A41=8),IF(OR(WEEKDAY('Daily Schedule'!$B$2,2)=1,WEEKDAY('Daily Schedule'!$B$2,2)=4,WEEKDAY('Daily Schedule'!$B$2,2)=5,WEEKDAY('Daily Schedule'!$B$2,2)=7),IFERROR(1*'Daily Workforce'!$K82&gt;=3,FALSE()),IFERROR(1*'Daily Workforce'!$K82&gt;=2,FALSE())),IF(AND('Daily Schedule'!$A41&gt;=46,'Daily Schedule'!$A41&lt;=52),'Daily Workforce'!$M82="Y",IFERROR(1*'Daily Workforce'!$P82&gt;=2,FALSE()))))),1,0)</f>
        <v>1</v>
      </c>
      <c r="CP37" s="1" t="n">
        <f aca="false">IF(AND('Daily Workforce'!$N83="Y",'Daily Workforce'!$B83&lt;&gt;"",COUNTIF('Daily Schedule'!$F$5:$F40,'Daily Workforce'!$B83)=0,IF('Daily Schedule'!$A41=45,'Daily Workforce'!$J83="Y",IF(OR('Daily Schedule'!$A41=4,'Daily Schedule'!$A41=8),IF(OR(WEEKDAY('Daily Schedule'!$B$2,2)=1,WEEKDAY('Daily Schedule'!$B$2,2)=4,WEEKDAY('Daily Schedule'!$B$2,2)=5,WEEKDAY('Daily Schedule'!$B$2,2)=7),IFERROR(1*'Daily Workforce'!$K83&gt;=3,FALSE()),IFERROR(1*'Daily Workforce'!$K83&gt;=2,FALSE())),IF(AND('Daily Schedule'!$A41&gt;=46,'Daily Schedule'!$A41&lt;=52),'Daily Workforce'!$M83="Y",IFERROR(1*'Daily Workforce'!$P83&gt;=2,FALSE()))))),1,0)</f>
        <v>0</v>
      </c>
      <c r="CQ37" s="1" t="n">
        <f aca="false">IF(AND('Daily Workforce'!$N84="Y",'Daily Workforce'!$B84&lt;&gt;"",COUNTIF('Daily Schedule'!$F$5:$F40,'Daily Workforce'!$B84)=0,IF('Daily Schedule'!$A41=45,'Daily Workforce'!$J84="Y",IF(OR('Daily Schedule'!$A41=4,'Daily Schedule'!$A41=8),IF(OR(WEEKDAY('Daily Schedule'!$B$2,2)=1,WEEKDAY('Daily Schedule'!$B$2,2)=4,WEEKDAY('Daily Schedule'!$B$2,2)=5,WEEKDAY('Daily Schedule'!$B$2,2)=7),IFERROR(1*'Daily Workforce'!$K84&gt;=3,FALSE()),IFERROR(1*'Daily Workforce'!$K84&gt;=2,FALSE())),IF(AND('Daily Schedule'!$A41&gt;=46,'Daily Schedule'!$A41&lt;=52),'Daily Workforce'!$M84="Y",IFERROR(1*'Daily Workforce'!$P84&gt;=2,FALSE()))))),1,0)</f>
        <v>1</v>
      </c>
      <c r="CR37" s="1" t="n">
        <f aca="false">IF(AND('Daily Workforce'!$N85="Y",'Daily Workforce'!$B85&lt;&gt;"",COUNTIF('Daily Schedule'!$F$5:$F40,'Daily Workforce'!$B85)=0,IF('Daily Schedule'!$A41=45,'Daily Workforce'!$J85="Y",IF(OR('Daily Schedule'!$A41=4,'Daily Schedule'!$A41=8),IF(OR(WEEKDAY('Daily Schedule'!$B$2,2)=1,WEEKDAY('Daily Schedule'!$B$2,2)=4,WEEKDAY('Daily Schedule'!$B$2,2)=5,WEEKDAY('Daily Schedule'!$B$2,2)=7),IFERROR(1*'Daily Workforce'!$K85&gt;=3,FALSE()),IFERROR(1*'Daily Workforce'!$K85&gt;=2,FALSE())),IF(AND('Daily Schedule'!$A41&gt;=46,'Daily Schedule'!$A41&lt;=52),'Daily Workforce'!$M85="Y",IFERROR(1*'Daily Workforce'!$P85&gt;=2,FALSE()))))),1,0)</f>
        <v>0</v>
      </c>
      <c r="CS37" s="1" t="n">
        <f aca="false">IF(AND('Daily Workforce'!$N86="Y",'Daily Workforce'!$B86&lt;&gt;"",COUNTIF('Daily Schedule'!$F$5:$F40,'Daily Workforce'!$B86)=0,IF('Daily Schedule'!$A41=45,'Daily Workforce'!$J86="Y",IF(OR('Daily Schedule'!$A41=4,'Daily Schedule'!$A41=8),IF(OR(WEEKDAY('Daily Schedule'!$B$2,2)=1,WEEKDAY('Daily Schedule'!$B$2,2)=4,WEEKDAY('Daily Schedule'!$B$2,2)=5,WEEKDAY('Daily Schedule'!$B$2,2)=7),IFERROR(1*'Daily Workforce'!$K86&gt;=3,FALSE()),IFERROR(1*'Daily Workforce'!$K86&gt;=2,FALSE())),IF(AND('Daily Schedule'!$A41&gt;=46,'Daily Schedule'!$A41&lt;=52),'Daily Workforce'!$M86="Y",IFERROR(1*'Daily Workforce'!$P86&gt;=2,FALSE()))))),1,0)</f>
        <v>1</v>
      </c>
      <c r="CT37" s="1" t="n">
        <f aca="false">IF(AND('Daily Workforce'!$N87="Y",'Daily Workforce'!$B87&lt;&gt;"",COUNTIF('Daily Schedule'!$F$5:$F40,'Daily Workforce'!$B87)=0,IF('Daily Schedule'!$A41=45,'Daily Workforce'!$J87="Y",IF(OR('Daily Schedule'!$A41=4,'Daily Schedule'!$A41=8),IF(OR(WEEKDAY('Daily Schedule'!$B$2,2)=1,WEEKDAY('Daily Schedule'!$B$2,2)=4,WEEKDAY('Daily Schedule'!$B$2,2)=5,WEEKDAY('Daily Schedule'!$B$2,2)=7),IFERROR(1*'Daily Workforce'!$K87&gt;=3,FALSE()),IFERROR(1*'Daily Workforce'!$K87&gt;=2,FALSE())),IF(AND('Daily Schedule'!$A41&gt;=46,'Daily Schedule'!$A41&lt;=52),'Daily Workforce'!$M87="Y",IFERROR(1*'Daily Workforce'!$P87&gt;=2,FALSE()))))),1,0)</f>
        <v>1</v>
      </c>
      <c r="CU37" s="1" t="n">
        <f aca="false">IF(AND('Daily Workforce'!$N88="Y",'Daily Workforce'!$B88&lt;&gt;"",COUNTIF('Daily Schedule'!$F$5:$F40,'Daily Workforce'!$B88)=0,IF('Daily Schedule'!$A41=45,'Daily Workforce'!$J88="Y",IF(OR('Daily Schedule'!$A41=4,'Daily Schedule'!$A41=8),IF(OR(WEEKDAY('Daily Schedule'!$B$2,2)=1,WEEKDAY('Daily Schedule'!$B$2,2)=4,WEEKDAY('Daily Schedule'!$B$2,2)=5,WEEKDAY('Daily Schedule'!$B$2,2)=7),IFERROR(1*'Daily Workforce'!$K88&gt;=3,FALSE()),IFERROR(1*'Daily Workforce'!$K88&gt;=2,FALSE())),IF(AND('Daily Schedule'!$A41&gt;=46,'Daily Schedule'!$A41&lt;=52),'Daily Workforce'!$M88="Y",IFERROR(1*'Daily Workforce'!$P88&gt;=2,FALSE()))))),1,0)</f>
        <v>1</v>
      </c>
      <c r="CV37" s="1" t="n">
        <f aca="false">IF(AND('Daily Workforce'!$N89="Y",'Daily Workforce'!$B89&lt;&gt;"",COUNTIF('Daily Schedule'!$F$5:$F40,'Daily Workforce'!$B89)=0,IF('Daily Schedule'!$A41=45,'Daily Workforce'!$J89="Y",IF(OR('Daily Schedule'!$A41=4,'Daily Schedule'!$A41=8),IF(OR(WEEKDAY('Daily Schedule'!$B$2,2)=1,WEEKDAY('Daily Schedule'!$B$2,2)=4,WEEKDAY('Daily Schedule'!$B$2,2)=5,WEEKDAY('Daily Schedule'!$B$2,2)=7),IFERROR(1*'Daily Workforce'!$K89&gt;=3,FALSE()),IFERROR(1*'Daily Workforce'!$K89&gt;=2,FALSE())),IF(AND('Daily Schedule'!$A41&gt;=46,'Daily Schedule'!$A41&lt;=52),'Daily Workforce'!$M89="Y",IFERROR(1*'Daily Workforce'!$P89&gt;=2,FALSE()))))),1,0)</f>
        <v>1</v>
      </c>
      <c r="CW37" s="1" t="n">
        <f aca="false">IF(AND('Daily Workforce'!$N90="Y",'Daily Workforce'!$B90&lt;&gt;"",COUNTIF('Daily Schedule'!$F$5:$F40,'Daily Workforce'!$B90)=0,IF('Daily Schedule'!$A41=45,'Daily Workforce'!$J90="Y",IF(OR('Daily Schedule'!$A41=4,'Daily Schedule'!$A41=8),IF(OR(WEEKDAY('Daily Schedule'!$B$2,2)=1,WEEKDAY('Daily Schedule'!$B$2,2)=4,WEEKDAY('Daily Schedule'!$B$2,2)=5,WEEKDAY('Daily Schedule'!$B$2,2)=7),IFERROR(1*'Daily Workforce'!$K90&gt;=3,FALSE()),IFERROR(1*'Daily Workforce'!$K90&gt;=2,FALSE())),IF(AND('Daily Schedule'!$A41&gt;=46,'Daily Schedule'!$A41&lt;=52),'Daily Workforce'!$M90="Y",IFERROR(1*'Daily Workforce'!$P90&gt;=2,FALSE()))))),1,0)</f>
        <v>1</v>
      </c>
      <c r="CX37" s="1" t="n">
        <f aca="false">IF(AND('Daily Workforce'!$N91="Y",'Daily Workforce'!$B91&lt;&gt;"",COUNTIF('Daily Schedule'!$F$5:$F40,'Daily Workforce'!$B91)=0,IF('Daily Schedule'!$A41=45,'Daily Workforce'!$J91="Y",IF(OR('Daily Schedule'!$A41=4,'Daily Schedule'!$A41=8),IF(OR(WEEKDAY('Daily Schedule'!$B$2,2)=1,WEEKDAY('Daily Schedule'!$B$2,2)=4,WEEKDAY('Daily Schedule'!$B$2,2)=5,WEEKDAY('Daily Schedule'!$B$2,2)=7),IFERROR(1*'Daily Workforce'!$K91&gt;=3,FALSE()),IFERROR(1*'Daily Workforce'!$K91&gt;=2,FALSE())),IF(AND('Daily Schedule'!$A41&gt;=46,'Daily Schedule'!$A41&lt;=52),'Daily Workforce'!$M91="Y",IFERROR(1*'Daily Workforce'!$P91&gt;=2,FALSE()))))),1,0)</f>
        <v>1</v>
      </c>
      <c r="CY37" s="1" t="n">
        <f aca="false">IF(AND('Daily Workforce'!$N92="Y",'Daily Workforce'!$B92&lt;&gt;"",COUNTIF('Daily Schedule'!$F$5:$F40,'Daily Workforce'!$B92)=0,IF('Daily Schedule'!$A41=45,'Daily Workforce'!$J92="Y",IF(OR('Daily Schedule'!$A41=4,'Daily Schedule'!$A41=8),IF(OR(WEEKDAY('Daily Schedule'!$B$2,2)=1,WEEKDAY('Daily Schedule'!$B$2,2)=4,WEEKDAY('Daily Schedule'!$B$2,2)=5,WEEKDAY('Daily Schedule'!$B$2,2)=7),IFERROR(1*'Daily Workforce'!$K92&gt;=3,FALSE()),IFERROR(1*'Daily Workforce'!$K92&gt;=2,FALSE())),IF(AND('Daily Schedule'!$A41&gt;=46,'Daily Schedule'!$A41&lt;=52),'Daily Workforce'!$M92="Y",IFERROR(1*'Daily Workforce'!$P92&gt;=2,FALSE()))))),1,0)</f>
        <v>1</v>
      </c>
      <c r="CZ37" s="1" t="n">
        <f aca="false">IF(AND('Daily Workforce'!$N93="Y",'Daily Workforce'!$B93&lt;&gt;"",COUNTIF('Daily Schedule'!$F$5:$F40,'Daily Workforce'!$B93)=0,IF('Daily Schedule'!$A41=45,'Daily Workforce'!$J93="Y",IF(OR('Daily Schedule'!$A41=4,'Daily Schedule'!$A41=8),IF(OR(WEEKDAY('Daily Schedule'!$B$2,2)=1,WEEKDAY('Daily Schedule'!$B$2,2)=4,WEEKDAY('Daily Schedule'!$B$2,2)=5,WEEKDAY('Daily Schedule'!$B$2,2)=7),IFERROR(1*'Daily Workforce'!$K93&gt;=3,FALSE()),IFERROR(1*'Daily Workforce'!$K93&gt;=2,FALSE())),IF(AND('Daily Schedule'!$A41&gt;=46,'Daily Schedule'!$A41&lt;=52),'Daily Workforce'!$M93="Y",IFERROR(1*'Daily Workforce'!$P93&gt;=2,FALSE()))))),1,0)</f>
        <v>1</v>
      </c>
      <c r="DA37" s="1" t="n">
        <f aca="false">IF(AND('Daily Workforce'!$N94="Y",'Daily Workforce'!$B94&lt;&gt;"",COUNTIF('Daily Schedule'!$F$5:$F40,'Daily Workforce'!$B94)=0,IF('Daily Schedule'!$A41=45,'Daily Workforce'!$J94="Y",IF(OR('Daily Schedule'!$A41=4,'Daily Schedule'!$A41=8),IF(OR(WEEKDAY('Daily Schedule'!$B$2,2)=1,WEEKDAY('Daily Schedule'!$B$2,2)=4,WEEKDAY('Daily Schedule'!$B$2,2)=5,WEEKDAY('Daily Schedule'!$B$2,2)=7),IFERROR(1*'Daily Workforce'!$K94&gt;=3,FALSE()),IFERROR(1*'Daily Workforce'!$K94&gt;=2,FALSE())),IF(AND('Daily Schedule'!$A41&gt;=46,'Daily Schedule'!$A41&lt;=52),'Daily Workforce'!$M94="Y",IFERROR(1*'Daily Workforce'!$P94&gt;=2,FALSE()))))),1,0)</f>
        <v>1</v>
      </c>
      <c r="DB37" s="1" t="n">
        <f aca="false">IF(AND('Daily Workforce'!$N95="Y",'Daily Workforce'!$B95&lt;&gt;"",COUNTIF('Daily Schedule'!$F$5:$F40,'Daily Workforce'!$B95)=0,IF('Daily Schedule'!$A41=45,'Daily Workforce'!$J95="Y",IF(OR('Daily Schedule'!$A41=4,'Daily Schedule'!$A41=8),IF(OR(WEEKDAY('Daily Schedule'!$B$2,2)=1,WEEKDAY('Daily Schedule'!$B$2,2)=4,WEEKDAY('Daily Schedule'!$B$2,2)=5,WEEKDAY('Daily Schedule'!$B$2,2)=7),IFERROR(1*'Daily Workforce'!$K95&gt;=3,FALSE()),IFERROR(1*'Daily Workforce'!$K95&gt;=2,FALSE())),IF(AND('Daily Schedule'!$A41&gt;=46,'Daily Schedule'!$A41&lt;=52),'Daily Workforce'!$M95="Y",IFERROR(1*'Daily Workforce'!$P95&gt;=2,FALSE()))))),1,0)</f>
        <v>1</v>
      </c>
      <c r="DC37" s="1" t="n">
        <f aca="false">IF(AND('Daily Workforce'!$N96="Y",'Daily Workforce'!$B96&lt;&gt;"",COUNTIF('Daily Schedule'!$F$5:$F40,'Daily Workforce'!$B96)=0,IF('Daily Schedule'!$A41=45,'Daily Workforce'!$J96="Y",IF(OR('Daily Schedule'!$A41=4,'Daily Schedule'!$A41=8),IF(OR(WEEKDAY('Daily Schedule'!$B$2,2)=1,WEEKDAY('Daily Schedule'!$B$2,2)=4,WEEKDAY('Daily Schedule'!$B$2,2)=5,WEEKDAY('Daily Schedule'!$B$2,2)=7),IFERROR(1*'Daily Workforce'!$K96&gt;=3,FALSE()),IFERROR(1*'Daily Workforce'!$K96&gt;=2,FALSE())),IF(AND('Daily Schedule'!$A41&gt;=46,'Daily Schedule'!$A41&lt;=52),'Daily Workforce'!$M96="Y",IFERROR(1*'Daily Workforce'!$P96&gt;=2,FALSE()))))),1,0)</f>
        <v>1</v>
      </c>
      <c r="DD37" s="1" t="n">
        <f aca="false">IF(AND('Daily Workforce'!$N97="Y",'Daily Workforce'!$B97&lt;&gt;"",COUNTIF('Daily Schedule'!$F$5:$F40,'Daily Workforce'!$B97)=0,IF('Daily Schedule'!$A41=45,'Daily Workforce'!$J97="Y",IF(OR('Daily Schedule'!$A41=4,'Daily Schedule'!$A41=8),IF(OR(WEEKDAY('Daily Schedule'!$B$2,2)=1,WEEKDAY('Daily Schedule'!$B$2,2)=4,WEEKDAY('Daily Schedule'!$B$2,2)=5,WEEKDAY('Daily Schedule'!$B$2,2)=7),IFERROR(1*'Daily Workforce'!$K97&gt;=3,FALSE()),IFERROR(1*'Daily Workforce'!$K97&gt;=2,FALSE())),IF(AND('Daily Schedule'!$A41&gt;=46,'Daily Schedule'!$A41&lt;=52),'Daily Workforce'!$M97="Y",IFERROR(1*'Daily Workforce'!$P97&gt;=2,FALSE()))))),1,0)</f>
        <v>1</v>
      </c>
      <c r="DE37" s="1" t="n">
        <f aca="false">IF(AND('Daily Workforce'!$N98="Y",'Daily Workforce'!$B98&lt;&gt;"",COUNTIF('Daily Schedule'!$F$5:$F40,'Daily Workforce'!$B98)=0,IF('Daily Schedule'!$A41=45,'Daily Workforce'!$J98="Y",IF(OR('Daily Schedule'!$A41=4,'Daily Schedule'!$A41=8),IF(OR(WEEKDAY('Daily Schedule'!$B$2,2)=1,WEEKDAY('Daily Schedule'!$B$2,2)=4,WEEKDAY('Daily Schedule'!$B$2,2)=5,WEEKDAY('Daily Schedule'!$B$2,2)=7),IFERROR(1*'Daily Workforce'!$K98&gt;=3,FALSE()),IFERROR(1*'Daily Workforce'!$K98&gt;=2,FALSE())),IF(AND('Daily Schedule'!$A41&gt;=46,'Daily Schedule'!$A41&lt;=52),'Daily Workforce'!$M98="Y",IFERROR(1*'Daily Workforce'!$P98&gt;=2,FALSE()))))),1,0)</f>
        <v>1</v>
      </c>
      <c r="DF37" s="1" t="n">
        <f aca="false">IF(AND('Daily Workforce'!$N99="Y",'Daily Workforce'!$B99&lt;&gt;"",COUNTIF('Daily Schedule'!$F$5:$F40,'Daily Workforce'!$B99)=0,IF('Daily Schedule'!$A41=45,'Daily Workforce'!$J99="Y",IF(OR('Daily Schedule'!$A41=4,'Daily Schedule'!$A41=8),IF(OR(WEEKDAY('Daily Schedule'!$B$2,2)=1,WEEKDAY('Daily Schedule'!$B$2,2)=4,WEEKDAY('Daily Schedule'!$B$2,2)=5,WEEKDAY('Daily Schedule'!$B$2,2)=7),IFERROR(1*'Daily Workforce'!$K99&gt;=3,FALSE()),IFERROR(1*'Daily Workforce'!$K99&gt;=2,FALSE())),IF(AND('Daily Schedule'!$A41&gt;=46,'Daily Schedule'!$A41&lt;=52),'Daily Workforce'!$M99="Y",IFERROR(1*'Daily Workforce'!$P99&gt;=2,FALSE()))))),1,0)</f>
        <v>1</v>
      </c>
      <c r="DG37" s="1" t="n">
        <f aca="false">IF(AND('Daily Workforce'!$N100="Y",'Daily Workforce'!$B100&lt;&gt;"",COUNTIF('Daily Schedule'!$F$5:$F40,'Daily Workforce'!$B100)=0,IF('Daily Schedule'!$A41=45,'Daily Workforce'!$J100="Y",IF(OR('Daily Schedule'!$A41=4,'Daily Schedule'!$A41=8),IF(OR(WEEKDAY('Daily Schedule'!$B$2,2)=1,WEEKDAY('Daily Schedule'!$B$2,2)=4,WEEKDAY('Daily Schedule'!$B$2,2)=5,WEEKDAY('Daily Schedule'!$B$2,2)=7),IFERROR(1*'Daily Workforce'!$K100&gt;=3,FALSE()),IFERROR(1*'Daily Workforce'!$K100&gt;=2,FALSE())),IF(AND('Daily Schedule'!$A41&gt;=46,'Daily Schedule'!$A41&lt;=52),'Daily Workforce'!$M100="Y",IFERROR(1*'Daily Workforce'!$P100&gt;=2,FALSE()))))),1,0)</f>
        <v>1</v>
      </c>
      <c r="DH37" s="1" t="n">
        <f aca="false">IF(AND('Daily Workforce'!$N101="Y",'Daily Workforce'!$B101&lt;&gt;"",COUNTIF('Daily Schedule'!$F$5:$F40,'Daily Workforce'!$B101)=0,IF('Daily Schedule'!$A41=45,'Daily Workforce'!$J101="Y",IF(OR('Daily Schedule'!$A41=4,'Daily Schedule'!$A41=8),IF(OR(WEEKDAY('Daily Schedule'!$B$2,2)=1,WEEKDAY('Daily Schedule'!$B$2,2)=4,WEEKDAY('Daily Schedule'!$B$2,2)=5,WEEKDAY('Daily Schedule'!$B$2,2)=7),IFERROR(1*'Daily Workforce'!$K101&gt;=3,FALSE()),IFERROR(1*'Daily Workforce'!$K101&gt;=2,FALSE())),IF(AND('Daily Schedule'!$A41&gt;=46,'Daily Schedule'!$A41&lt;=52),'Daily Workforce'!$M101="Y",IFERROR(1*'Daily Workforce'!$P101&gt;=2,FALSE()))))),1,0)</f>
        <v>1</v>
      </c>
      <c r="DI37" s="1" t="n">
        <f aca="false">IF(AND('Daily Workforce'!$N102="Y",'Daily Workforce'!$B102&lt;&gt;"",COUNTIF('Daily Schedule'!$F$5:$F40,'Daily Workforce'!$B102)=0,IF('Daily Schedule'!$A41=45,'Daily Workforce'!$J102="Y",IF(OR('Daily Schedule'!$A41=4,'Daily Schedule'!$A41=8),IF(OR(WEEKDAY('Daily Schedule'!$B$2,2)=1,WEEKDAY('Daily Schedule'!$B$2,2)=4,WEEKDAY('Daily Schedule'!$B$2,2)=5,WEEKDAY('Daily Schedule'!$B$2,2)=7),IFERROR(1*'Daily Workforce'!$K102&gt;=3,FALSE()),IFERROR(1*'Daily Workforce'!$K102&gt;=2,FALSE())),IF(AND('Daily Schedule'!$A41&gt;=46,'Daily Schedule'!$A41&lt;=52),'Daily Workforce'!$M102="Y",IFERROR(1*'Daily Workforce'!$P102&gt;=2,FALSE()))))),1,0)</f>
        <v>1</v>
      </c>
      <c r="DJ37" s="1" t="n">
        <f aca="false">IF(AND('Daily Workforce'!$N103="Y",'Daily Workforce'!$B103&lt;&gt;"",COUNTIF('Daily Schedule'!$F$5:$F40,'Daily Workforce'!$B103)=0,IF('Daily Schedule'!$A41=45,'Daily Workforce'!$J103="Y",IF(OR('Daily Schedule'!$A41=4,'Daily Schedule'!$A41=8),IF(OR(WEEKDAY('Daily Schedule'!$B$2,2)=1,WEEKDAY('Daily Schedule'!$B$2,2)=4,WEEKDAY('Daily Schedule'!$B$2,2)=5,WEEKDAY('Daily Schedule'!$B$2,2)=7),IFERROR(1*'Daily Workforce'!$K103&gt;=3,FALSE()),IFERROR(1*'Daily Workforce'!$K103&gt;=2,FALSE())),IF(AND('Daily Schedule'!$A41&gt;=46,'Daily Schedule'!$A41&lt;=52),'Daily Workforce'!$M103="Y",IFERROR(1*'Daily Workforce'!$P103&gt;=2,FALSE()))))),1,0)</f>
        <v>1</v>
      </c>
      <c r="DK37" s="1" t="n">
        <f aca="false">IF(AND('Daily Workforce'!$N104="Y",'Daily Workforce'!$B104&lt;&gt;"",COUNTIF('Daily Schedule'!$F$5:$F40,'Daily Workforce'!$B104)=0,IF('Daily Schedule'!$A41=45,'Daily Workforce'!$J104="Y",IF(OR('Daily Schedule'!$A41=4,'Daily Schedule'!$A41=8),IF(OR(WEEKDAY('Daily Schedule'!$B$2,2)=1,WEEKDAY('Daily Schedule'!$B$2,2)=4,WEEKDAY('Daily Schedule'!$B$2,2)=5,WEEKDAY('Daily Schedule'!$B$2,2)=7),IFERROR(1*'Daily Workforce'!$K104&gt;=3,FALSE()),IFERROR(1*'Daily Workforce'!$K104&gt;=2,FALSE())),IF(AND('Daily Schedule'!$A41&gt;=46,'Daily Schedule'!$A41&lt;=52),'Daily Workforce'!$M104="Y",IFERROR(1*'Daily Workforce'!$P104&gt;=2,FALSE()))))),1,0)</f>
        <v>1</v>
      </c>
      <c r="DL37" s="1" t="n">
        <f aca="false">IF(AND('Daily Workforce'!$N105="Y",'Daily Workforce'!$B105&lt;&gt;"",COUNTIF('Daily Schedule'!$F$5:$F40,'Daily Workforce'!$B105)=0,IF('Daily Schedule'!$A41=45,'Daily Workforce'!$J105="Y",IF(OR('Daily Schedule'!$A41=4,'Daily Schedule'!$A41=8),IF(OR(WEEKDAY('Daily Schedule'!$B$2,2)=1,WEEKDAY('Daily Schedule'!$B$2,2)=4,WEEKDAY('Daily Schedule'!$B$2,2)=5,WEEKDAY('Daily Schedule'!$B$2,2)=7),IFERROR(1*'Daily Workforce'!$K105&gt;=3,FALSE()),IFERROR(1*'Daily Workforce'!$K105&gt;=2,FALSE())),IF(AND('Daily Schedule'!$A41&gt;=46,'Daily Schedule'!$A41&lt;=52),'Daily Workforce'!$M105="Y",IFERROR(1*'Daily Workforce'!$P105&gt;=2,FALSE()))))),1,0)</f>
        <v>0</v>
      </c>
      <c r="DM37" s="1" t="n">
        <f aca="false">IF(AND('Daily Workforce'!$N106="Y",'Daily Workforce'!$B106&lt;&gt;"",COUNTIF('Daily Schedule'!$F$5:$F40,'Daily Workforce'!$B106)=0,IF('Daily Schedule'!$A41=45,'Daily Workforce'!$J106="Y",IF(OR('Daily Schedule'!$A41=4,'Daily Schedule'!$A41=8),IF(OR(WEEKDAY('Daily Schedule'!$B$2,2)=1,WEEKDAY('Daily Schedule'!$B$2,2)=4,WEEKDAY('Daily Schedule'!$B$2,2)=5,WEEKDAY('Daily Schedule'!$B$2,2)=7),IFERROR(1*'Daily Workforce'!$K106&gt;=3,FALSE()),IFERROR(1*'Daily Workforce'!$K106&gt;=2,FALSE())),IF(AND('Daily Schedule'!$A41&gt;=46,'Daily Schedule'!$A41&lt;=52),'Daily Workforce'!$M106="Y",IFERROR(1*'Daily Workforce'!$P106&gt;=2,FALSE()))))),1,0)</f>
        <v>1</v>
      </c>
      <c r="DN37" s="1" t="n">
        <f aca="false">IF(AND('Daily Workforce'!$N107="Y",'Daily Workforce'!$B107&lt;&gt;"",COUNTIF('Daily Schedule'!$F$5:$F40,'Daily Workforce'!$B107)=0,IF('Daily Schedule'!$A41=45,'Daily Workforce'!$J107="Y",IF(OR('Daily Schedule'!$A41=4,'Daily Schedule'!$A41=8),IF(OR(WEEKDAY('Daily Schedule'!$B$2,2)=1,WEEKDAY('Daily Schedule'!$B$2,2)=4,WEEKDAY('Daily Schedule'!$B$2,2)=5,WEEKDAY('Daily Schedule'!$B$2,2)=7),IFERROR(1*'Daily Workforce'!$K107&gt;=3,FALSE()),IFERROR(1*'Daily Workforce'!$K107&gt;=2,FALSE())),IF(AND('Daily Schedule'!$A41&gt;=46,'Daily Schedule'!$A41&lt;=52),'Daily Workforce'!$M107="Y",IFERROR(1*'Daily Workforce'!$P107&gt;=2,FALSE()))))),1,0)</f>
        <v>1</v>
      </c>
      <c r="DO37" s="1" t="n">
        <f aca="false">IF(AND('Daily Workforce'!$N108="Y",'Daily Workforce'!$B108&lt;&gt;"",COUNTIF('Daily Schedule'!$F$5:$F40,'Daily Workforce'!$B108)=0,IF('Daily Schedule'!$A41=45,'Daily Workforce'!$J108="Y",IF(OR('Daily Schedule'!$A41=4,'Daily Schedule'!$A41=8),IF(OR(WEEKDAY('Daily Schedule'!$B$2,2)=1,WEEKDAY('Daily Schedule'!$B$2,2)=4,WEEKDAY('Daily Schedule'!$B$2,2)=5,WEEKDAY('Daily Schedule'!$B$2,2)=7),IFERROR(1*'Daily Workforce'!$K108&gt;=3,FALSE()),IFERROR(1*'Daily Workforce'!$K108&gt;=2,FALSE())),IF(AND('Daily Schedule'!$A41&gt;=46,'Daily Schedule'!$A41&lt;=52),'Daily Workforce'!$M108="Y",IFERROR(1*'Daily Workforce'!$P108&gt;=2,FALSE()))))),1,0)</f>
        <v>1</v>
      </c>
      <c r="DP37" s="1" t="n">
        <f aca="false">IF(AND('Daily Workforce'!$N109="Y",'Daily Workforce'!$B109&lt;&gt;"",COUNTIF('Daily Schedule'!$F$5:$F40,'Daily Workforce'!$B109)=0,IF('Daily Schedule'!$A41=45,'Daily Workforce'!$J109="Y",IF(OR('Daily Schedule'!$A41=4,'Daily Schedule'!$A41=8),IF(OR(WEEKDAY('Daily Schedule'!$B$2,2)=1,WEEKDAY('Daily Schedule'!$B$2,2)=4,WEEKDAY('Daily Schedule'!$B$2,2)=5,WEEKDAY('Daily Schedule'!$B$2,2)=7),IFERROR(1*'Daily Workforce'!$K109&gt;=3,FALSE()),IFERROR(1*'Daily Workforce'!$K109&gt;=2,FALSE())),IF(AND('Daily Schedule'!$A41&gt;=46,'Daily Schedule'!$A41&lt;=52),'Daily Workforce'!$M109="Y",IFERROR(1*'Daily Workforce'!$P109&gt;=2,FALSE()))))),1,0)</f>
        <v>1</v>
      </c>
      <c r="DQ37" s="1" t="n">
        <f aca="false">IF(AND('Daily Workforce'!$N110="Y",'Daily Workforce'!$B110&lt;&gt;"",COUNTIF('Daily Schedule'!$F$5:$F40,'Daily Workforce'!$B110)=0,IF('Daily Schedule'!$A41=45,'Daily Workforce'!$J110="Y",IF(OR('Daily Schedule'!$A41=4,'Daily Schedule'!$A41=8),IF(OR(WEEKDAY('Daily Schedule'!$B$2,2)=1,WEEKDAY('Daily Schedule'!$B$2,2)=4,WEEKDAY('Daily Schedule'!$B$2,2)=5,WEEKDAY('Daily Schedule'!$B$2,2)=7),IFERROR(1*'Daily Workforce'!$K110&gt;=3,FALSE()),IFERROR(1*'Daily Workforce'!$K110&gt;=2,FALSE())),IF(AND('Daily Schedule'!$A41&gt;=46,'Daily Schedule'!$A41&lt;=52),'Daily Workforce'!$M110="Y",IFERROR(1*'Daily Workforce'!$P110&gt;=2,FALSE()))))),1,0)</f>
        <v>1</v>
      </c>
      <c r="DR37" s="1" t="n">
        <f aca="false">IF(AND('Daily Workforce'!$N111="Y",'Daily Workforce'!$B111&lt;&gt;"",COUNTIF('Daily Schedule'!$F$5:$F40,'Daily Workforce'!$B111)=0,IF('Daily Schedule'!$A41=45,'Daily Workforce'!$J111="Y",IF(OR('Daily Schedule'!$A41=4,'Daily Schedule'!$A41=8),IF(OR(WEEKDAY('Daily Schedule'!$B$2,2)=1,WEEKDAY('Daily Schedule'!$B$2,2)=4,WEEKDAY('Daily Schedule'!$B$2,2)=5,WEEKDAY('Daily Schedule'!$B$2,2)=7),IFERROR(1*'Daily Workforce'!$K111&gt;=3,FALSE()),IFERROR(1*'Daily Workforce'!$K111&gt;=2,FALSE())),IF(AND('Daily Schedule'!$A41&gt;=46,'Daily Schedule'!$A41&lt;=52),'Daily Workforce'!$M111="Y",IFERROR(1*'Daily Workforce'!$P111&gt;=2,FALSE()))))),1,0)</f>
        <v>1</v>
      </c>
      <c r="DS37" s="1" t="n">
        <f aca="false">IF(AND('Daily Workforce'!$N112="Y",'Daily Workforce'!$B112&lt;&gt;"",COUNTIF('Daily Schedule'!$F$5:$F40,'Daily Workforce'!$B112)=0,IF('Daily Schedule'!$A41=45,'Daily Workforce'!$J112="Y",IF(OR('Daily Schedule'!$A41=4,'Daily Schedule'!$A41=8),IF(OR(WEEKDAY('Daily Schedule'!$B$2,2)=1,WEEKDAY('Daily Schedule'!$B$2,2)=4,WEEKDAY('Daily Schedule'!$B$2,2)=5,WEEKDAY('Daily Schedule'!$B$2,2)=7),IFERROR(1*'Daily Workforce'!$K112&gt;=3,FALSE()),IFERROR(1*'Daily Workforce'!$K112&gt;=2,FALSE())),IF(AND('Daily Schedule'!$A41&gt;=46,'Daily Schedule'!$A41&lt;=52),'Daily Workforce'!$M112="Y",IFERROR(1*'Daily Workforce'!$P112&gt;=2,FALSE()))))),1,0)</f>
        <v>1</v>
      </c>
      <c r="DT37" s="1" t="n">
        <f aca="false">IF(AND('Daily Workforce'!$N113="Y",'Daily Workforce'!$B113&lt;&gt;"",COUNTIF('Daily Schedule'!$F$5:$F40,'Daily Workforce'!$B113)=0,IF('Daily Schedule'!$A41=45,'Daily Workforce'!$J113="Y",IF(OR('Daily Schedule'!$A41=4,'Daily Schedule'!$A41=8),IF(OR(WEEKDAY('Daily Schedule'!$B$2,2)=1,WEEKDAY('Daily Schedule'!$B$2,2)=4,WEEKDAY('Daily Schedule'!$B$2,2)=5,WEEKDAY('Daily Schedule'!$B$2,2)=7),IFERROR(1*'Daily Workforce'!$K113&gt;=3,FALSE()),IFERROR(1*'Daily Workforce'!$K113&gt;=2,FALSE())),IF(AND('Daily Schedule'!$A41&gt;=46,'Daily Schedule'!$A41&lt;=52),'Daily Workforce'!$M113="Y",IFERROR(1*'Daily Workforce'!$P113&gt;=2,FALSE()))))),1,0)</f>
        <v>1</v>
      </c>
      <c r="DU37" s="1" t="n">
        <f aca="false">IF(AND('Daily Workforce'!$N114="Y",'Daily Workforce'!$B114&lt;&gt;"",COUNTIF('Daily Schedule'!$F$5:$F40,'Daily Workforce'!$B114)=0,IF('Daily Schedule'!$A41=45,'Daily Workforce'!$J114="Y",IF(OR('Daily Schedule'!$A41=4,'Daily Schedule'!$A41=8),IF(OR(WEEKDAY('Daily Schedule'!$B$2,2)=1,WEEKDAY('Daily Schedule'!$B$2,2)=4,WEEKDAY('Daily Schedule'!$B$2,2)=5,WEEKDAY('Daily Schedule'!$B$2,2)=7),IFERROR(1*'Daily Workforce'!$K114&gt;=3,FALSE()),IFERROR(1*'Daily Workforce'!$K114&gt;=2,FALSE())),IF(AND('Daily Schedule'!$A41&gt;=46,'Daily Schedule'!$A41&lt;=52),'Daily Workforce'!$M114="Y",IFERROR(1*'Daily Workforce'!$P114&gt;=2,FALSE()))))),1,0)</f>
        <v>1</v>
      </c>
      <c r="DV37" s="1" t="n">
        <f aca="false">IF(AND('Daily Workforce'!$N115="Y",'Daily Workforce'!$B115&lt;&gt;"",COUNTIF('Daily Schedule'!$F$5:$F40,'Daily Workforce'!$B115)=0,IF('Daily Schedule'!$A41=45,'Daily Workforce'!$J115="Y",IF(OR('Daily Schedule'!$A41=4,'Daily Schedule'!$A41=8),IF(OR(WEEKDAY('Daily Schedule'!$B$2,2)=1,WEEKDAY('Daily Schedule'!$B$2,2)=4,WEEKDAY('Daily Schedule'!$B$2,2)=5,WEEKDAY('Daily Schedule'!$B$2,2)=7),IFERROR(1*'Daily Workforce'!$K115&gt;=3,FALSE()),IFERROR(1*'Daily Workforce'!$K115&gt;=2,FALSE())),IF(AND('Daily Schedule'!$A41&gt;=46,'Daily Schedule'!$A41&lt;=52),'Daily Workforce'!$M115="Y",IFERROR(1*'Daily Workforce'!$P115&gt;=2,FALSE()))))),1,0)</f>
        <v>1</v>
      </c>
      <c r="DW37" s="1" t="n">
        <f aca="false">IF(AND('Daily Workforce'!$N116="Y",'Daily Workforce'!$B116&lt;&gt;"",COUNTIF('Daily Schedule'!$F$5:$F40,'Daily Workforce'!$B116)=0,IF('Daily Schedule'!$A41=45,'Daily Workforce'!$J116="Y",IF(OR('Daily Schedule'!$A41=4,'Daily Schedule'!$A41=8),IF(OR(WEEKDAY('Daily Schedule'!$B$2,2)=1,WEEKDAY('Daily Schedule'!$B$2,2)=4,WEEKDAY('Daily Schedule'!$B$2,2)=5,WEEKDAY('Daily Schedule'!$B$2,2)=7),IFERROR(1*'Daily Workforce'!$K116&gt;=3,FALSE()),IFERROR(1*'Daily Workforce'!$K116&gt;=2,FALSE())),IF(AND('Daily Schedule'!$A41&gt;=46,'Daily Schedule'!$A41&lt;=52),'Daily Workforce'!$M116="Y",IFERROR(1*'Daily Workforce'!$P116&gt;=2,FALSE()))))),1,0)</f>
        <v>1</v>
      </c>
      <c r="DX37" s="1" t="n">
        <f aca="false">IF(AND('Daily Workforce'!$N117="Y",'Daily Workforce'!$B117&lt;&gt;"",COUNTIF('Daily Schedule'!$F$5:$F40,'Daily Workforce'!$B117)=0,IF('Daily Schedule'!$A41=45,'Daily Workforce'!$J117="Y",IF(OR('Daily Schedule'!$A41=4,'Daily Schedule'!$A41=8),IF(OR(WEEKDAY('Daily Schedule'!$B$2,2)=1,WEEKDAY('Daily Schedule'!$B$2,2)=4,WEEKDAY('Daily Schedule'!$B$2,2)=5,WEEKDAY('Daily Schedule'!$B$2,2)=7),IFERROR(1*'Daily Workforce'!$K117&gt;=3,FALSE()),IFERROR(1*'Daily Workforce'!$K117&gt;=2,FALSE())),IF(AND('Daily Schedule'!$A41&gt;=46,'Daily Schedule'!$A41&lt;=52),'Daily Workforce'!$M117="Y",IFERROR(1*'Daily Workforce'!$P117&gt;=2,FALSE()))))),1,0)</f>
        <v>1</v>
      </c>
      <c r="DY37" s="1" t="n">
        <f aca="false">IF(AND('Daily Workforce'!$N118="Y",'Daily Workforce'!$B118&lt;&gt;"",COUNTIF('Daily Schedule'!$F$5:$F40,'Daily Workforce'!$B118)=0,IF('Daily Schedule'!$A41=45,'Daily Workforce'!$J118="Y",IF(OR('Daily Schedule'!$A41=4,'Daily Schedule'!$A41=8),IF(OR(WEEKDAY('Daily Schedule'!$B$2,2)=1,WEEKDAY('Daily Schedule'!$B$2,2)=4,WEEKDAY('Daily Schedule'!$B$2,2)=5,WEEKDAY('Daily Schedule'!$B$2,2)=7),IFERROR(1*'Daily Workforce'!$K118&gt;=3,FALSE()),IFERROR(1*'Daily Workforce'!$K118&gt;=2,FALSE())),IF(AND('Daily Schedule'!$A41&gt;=46,'Daily Schedule'!$A41&lt;=52),'Daily Workforce'!$M118="Y",IFERROR(1*'Daily Workforce'!$P118&gt;=2,FALSE()))))),1,0)</f>
        <v>0</v>
      </c>
      <c r="DZ37" s="1" t="n">
        <f aca="false">IF(AND('Daily Workforce'!$N119="Y",'Daily Workforce'!$B119&lt;&gt;"",COUNTIF('Daily Schedule'!$F$5:$F40,'Daily Workforce'!$B119)=0,IF('Daily Schedule'!$A41=45,'Daily Workforce'!$J119="Y",IF(OR('Daily Schedule'!$A41=4,'Daily Schedule'!$A41=8),IF(OR(WEEKDAY('Daily Schedule'!$B$2,2)=1,WEEKDAY('Daily Schedule'!$B$2,2)=4,WEEKDAY('Daily Schedule'!$B$2,2)=5,WEEKDAY('Daily Schedule'!$B$2,2)=7),IFERROR(1*'Daily Workforce'!$K119&gt;=3,FALSE()),IFERROR(1*'Daily Workforce'!$K119&gt;=2,FALSE())),IF(AND('Daily Schedule'!$A41&gt;=46,'Daily Schedule'!$A41&lt;=52),'Daily Workforce'!$M119="Y",IFERROR(1*'Daily Workforce'!$P119&gt;=2,FALSE()))))),1,0)</f>
        <v>0</v>
      </c>
      <c r="EA37" s="1" t="n">
        <f aca="false">IF(AND('Daily Workforce'!$N120="Y",'Daily Workforce'!$B120&lt;&gt;"",COUNTIF('Daily Schedule'!$F$5:$F40,'Daily Workforce'!$B120)=0,IF('Daily Schedule'!$A41=45,'Daily Workforce'!$J120="Y",IF(OR('Daily Schedule'!$A41=4,'Daily Schedule'!$A41=8),IF(OR(WEEKDAY('Daily Schedule'!$B$2,2)=1,WEEKDAY('Daily Schedule'!$B$2,2)=4,WEEKDAY('Daily Schedule'!$B$2,2)=5,WEEKDAY('Daily Schedule'!$B$2,2)=7),IFERROR(1*'Daily Workforce'!$K120&gt;=3,FALSE()),IFERROR(1*'Daily Workforce'!$K120&gt;=2,FALSE())),IF(AND('Daily Schedule'!$A41&gt;=46,'Daily Schedule'!$A41&lt;=52),'Daily Workforce'!$M120="Y",IFERROR(1*'Daily Workforce'!$P120&gt;=2,FALSE()))))),1,0)</f>
        <v>0</v>
      </c>
      <c r="EB37" s="1" t="n">
        <f aca="false">IF(AND('Daily Workforce'!$N121="Y",'Daily Workforce'!$B121&lt;&gt;"",COUNTIF('Daily Schedule'!$F$5:$F40,'Daily Workforce'!$B121)=0,IF('Daily Schedule'!$A41=45,'Daily Workforce'!$J121="Y",IF(OR('Daily Schedule'!$A41=4,'Daily Schedule'!$A41=8),IF(OR(WEEKDAY('Daily Schedule'!$B$2,2)=1,WEEKDAY('Daily Schedule'!$B$2,2)=4,WEEKDAY('Daily Schedule'!$B$2,2)=5,WEEKDAY('Daily Schedule'!$B$2,2)=7),IFERROR(1*'Daily Workforce'!$K121&gt;=3,FALSE()),IFERROR(1*'Daily Workforce'!$K121&gt;=2,FALSE())),IF(AND('Daily Schedule'!$A41&gt;=46,'Daily Schedule'!$A41&lt;=52),'Daily Workforce'!$M121="Y",IFERROR(1*'Daily Workforce'!$P121&gt;=2,FALSE()))))),1,0)</f>
        <v>0</v>
      </c>
      <c r="EC37" s="1" t="n">
        <f aca="false">IF(AND('Daily Workforce'!$N122="Y",'Daily Workforce'!$B122&lt;&gt;"",COUNTIF('Daily Schedule'!$F$5:$F40,'Daily Workforce'!$B122)=0,IF('Daily Schedule'!$A41=45,'Daily Workforce'!$J122="Y",IF(OR('Daily Schedule'!$A41=4,'Daily Schedule'!$A41=8),IF(OR(WEEKDAY('Daily Schedule'!$B$2,2)=1,WEEKDAY('Daily Schedule'!$B$2,2)=4,WEEKDAY('Daily Schedule'!$B$2,2)=5,WEEKDAY('Daily Schedule'!$B$2,2)=7),IFERROR(1*'Daily Workforce'!$K122&gt;=3,FALSE()),IFERROR(1*'Daily Workforce'!$K122&gt;=2,FALSE())),IF(AND('Daily Schedule'!$A41&gt;=46,'Daily Schedule'!$A41&lt;=52),'Daily Workforce'!$M122="Y",IFERROR(1*'Daily Workforce'!$P122&gt;=2,FALSE()))))),1,0)</f>
        <v>0</v>
      </c>
      <c r="ED37" s="1" t="n">
        <f aca="false">IF(AND('Daily Workforce'!$N123="Y",'Daily Workforce'!$B123&lt;&gt;"",COUNTIF('Daily Schedule'!$F$5:$F40,'Daily Workforce'!$B123)=0,IF('Daily Schedule'!$A41=45,'Daily Workforce'!$J123="Y",IF(OR('Daily Schedule'!$A41=4,'Daily Schedule'!$A41=8),IF(OR(WEEKDAY('Daily Schedule'!$B$2,2)=1,WEEKDAY('Daily Schedule'!$B$2,2)=4,WEEKDAY('Daily Schedule'!$B$2,2)=5,WEEKDAY('Daily Schedule'!$B$2,2)=7),IFERROR(1*'Daily Workforce'!$K123&gt;=3,FALSE()),IFERROR(1*'Daily Workforce'!$K123&gt;=2,FALSE())),IF(AND('Daily Schedule'!$A41&gt;=46,'Daily Schedule'!$A41&lt;=52),'Daily Workforce'!$M123="Y",IFERROR(1*'Daily Workforce'!$P123&gt;=2,FALSE()))))),1,0)</f>
        <v>0</v>
      </c>
      <c r="EE37" s="1" t="n">
        <f aca="false">IF(AND('Daily Workforce'!$N124="Y",'Daily Workforce'!$B124&lt;&gt;"",COUNTIF('Daily Schedule'!$F$5:$F40,'Daily Workforce'!$B124)=0,IF('Daily Schedule'!$A41=45,'Daily Workforce'!$J124="Y",IF(OR('Daily Schedule'!$A41=4,'Daily Schedule'!$A41=8),IF(OR(WEEKDAY('Daily Schedule'!$B$2,2)=1,WEEKDAY('Daily Schedule'!$B$2,2)=4,WEEKDAY('Daily Schedule'!$B$2,2)=5,WEEKDAY('Daily Schedule'!$B$2,2)=7),IFERROR(1*'Daily Workforce'!$K124&gt;=3,FALSE()),IFERROR(1*'Daily Workforce'!$K124&gt;=2,FALSE())),IF(AND('Daily Schedule'!$A41&gt;=46,'Daily Schedule'!$A41&lt;=52),'Daily Workforce'!$M124="Y",IFERROR(1*'Daily Workforce'!$P124&gt;=2,FALSE()))))),1,0)</f>
        <v>0</v>
      </c>
      <c r="EF37" s="1" t="n">
        <f aca="false">IF(AND('Daily Workforce'!$N125="Y",'Daily Workforce'!$B125&lt;&gt;"",COUNTIF('Daily Schedule'!$F$5:$F40,'Daily Workforce'!$B125)=0,IF('Daily Schedule'!$A41=45,'Daily Workforce'!$J125="Y",IF(OR('Daily Schedule'!$A41=4,'Daily Schedule'!$A41=8),IF(OR(WEEKDAY('Daily Schedule'!$B$2,2)=1,WEEKDAY('Daily Schedule'!$B$2,2)=4,WEEKDAY('Daily Schedule'!$B$2,2)=5,WEEKDAY('Daily Schedule'!$B$2,2)=7),IFERROR(1*'Daily Workforce'!$K125&gt;=3,FALSE()),IFERROR(1*'Daily Workforce'!$K125&gt;=2,FALSE())),IF(AND('Daily Schedule'!$A41&gt;=46,'Daily Schedule'!$A41&lt;=52),'Daily Workforce'!$M125="Y",IFERROR(1*'Daily Workforce'!$P125&gt;=2,FALSE()))))),1,0)</f>
        <v>0</v>
      </c>
      <c r="EG37" s="1" t="n">
        <f aca="false">IF(AND('Daily Workforce'!$N126="Y",'Daily Workforce'!$B126&lt;&gt;"",COUNTIF('Daily Schedule'!$F$5:$F40,'Daily Workforce'!$B126)=0,IF('Daily Schedule'!$A41=45,'Daily Workforce'!$J126="Y",IF(OR('Daily Schedule'!$A41=4,'Daily Schedule'!$A41=8),IF(OR(WEEKDAY('Daily Schedule'!$B$2,2)=1,WEEKDAY('Daily Schedule'!$B$2,2)=4,WEEKDAY('Daily Schedule'!$B$2,2)=5,WEEKDAY('Daily Schedule'!$B$2,2)=7),IFERROR(1*'Daily Workforce'!$K126&gt;=3,FALSE()),IFERROR(1*'Daily Workforce'!$K126&gt;=2,FALSE())),IF(AND('Daily Schedule'!$A41&gt;=46,'Daily Schedule'!$A41&lt;=52),'Daily Workforce'!$M126="Y",IFERROR(1*'Daily Workforce'!$P126&gt;=2,FALSE()))))),1,0)</f>
        <v>0</v>
      </c>
      <c r="EH37" s="1" t="n">
        <f aca="false">IF(AND('Daily Workforce'!$N127="Y",'Daily Workforce'!$B127&lt;&gt;"",COUNTIF('Daily Schedule'!$F$5:$F40,'Daily Workforce'!$B127)=0,IF('Daily Schedule'!$A41=45,'Daily Workforce'!$J127="Y",IF(OR('Daily Schedule'!$A41=4,'Daily Schedule'!$A41=8),IF(OR(WEEKDAY('Daily Schedule'!$B$2,2)=1,WEEKDAY('Daily Schedule'!$B$2,2)=4,WEEKDAY('Daily Schedule'!$B$2,2)=5,WEEKDAY('Daily Schedule'!$B$2,2)=7),IFERROR(1*'Daily Workforce'!$K127&gt;=3,FALSE()),IFERROR(1*'Daily Workforce'!$K127&gt;=2,FALSE())),IF(AND('Daily Schedule'!$A41&gt;=46,'Daily Schedule'!$A41&lt;=52),'Daily Workforce'!$M127="Y",IFERROR(1*'Daily Workforce'!$P127&gt;=2,FALSE()))))),1,0)</f>
        <v>0</v>
      </c>
      <c r="EI37" s="1" t="n">
        <f aca="false">IF(AND('Daily Workforce'!$N128="Y",'Daily Workforce'!$B128&lt;&gt;"",COUNTIF('Daily Schedule'!$F$5:$F40,'Daily Workforce'!$B128)=0,IF('Daily Schedule'!$A41=45,'Daily Workforce'!$J128="Y",IF(OR('Daily Schedule'!$A41=4,'Daily Schedule'!$A41=8),IF(OR(WEEKDAY('Daily Schedule'!$B$2,2)=1,WEEKDAY('Daily Schedule'!$B$2,2)=4,WEEKDAY('Daily Schedule'!$B$2,2)=5,WEEKDAY('Daily Schedule'!$B$2,2)=7),IFERROR(1*'Daily Workforce'!$K128&gt;=3,FALSE()),IFERROR(1*'Daily Workforce'!$K128&gt;=2,FALSE())),IF(AND('Daily Schedule'!$A41&gt;=46,'Daily Schedule'!$A41&lt;=52),'Daily Workforce'!$M128="Y",IFERROR(1*'Daily Workforce'!$P128&gt;=2,FALSE()))))),1,0)</f>
        <v>0</v>
      </c>
      <c r="EJ37" s="1" t="n">
        <f aca="false">IF(AND('Daily Workforce'!$N129="Y",'Daily Workforce'!$B129&lt;&gt;"",COUNTIF('Daily Schedule'!$F$5:$F40,'Daily Workforce'!$B129)=0,IF('Daily Schedule'!$A41=45,'Daily Workforce'!$J129="Y",IF(OR('Daily Schedule'!$A41=4,'Daily Schedule'!$A41=8),IF(OR(WEEKDAY('Daily Schedule'!$B$2,2)=1,WEEKDAY('Daily Schedule'!$B$2,2)=4,WEEKDAY('Daily Schedule'!$B$2,2)=5,WEEKDAY('Daily Schedule'!$B$2,2)=7),IFERROR(1*'Daily Workforce'!$K129&gt;=3,FALSE()),IFERROR(1*'Daily Workforce'!$K129&gt;=2,FALSE())),IF(AND('Daily Schedule'!$A41&gt;=46,'Daily Schedule'!$A41&lt;=52),'Daily Workforce'!$M129="Y",IFERROR(1*'Daily Workforce'!$P129&gt;=2,FALSE()))))),1,0)</f>
        <v>0</v>
      </c>
      <c r="EK37" s="1" t="n">
        <f aca="false">IF(AND('Daily Workforce'!$N130="Y",'Daily Workforce'!$B130&lt;&gt;"",COUNTIF('Daily Schedule'!$F$5:$F40,'Daily Workforce'!$B130)=0,IF('Daily Schedule'!$A41=45,'Daily Workforce'!$J130="Y",IF(OR('Daily Schedule'!$A41=4,'Daily Schedule'!$A41=8),IF(OR(WEEKDAY('Daily Schedule'!$B$2,2)=1,WEEKDAY('Daily Schedule'!$B$2,2)=4,WEEKDAY('Daily Schedule'!$B$2,2)=5,WEEKDAY('Daily Schedule'!$B$2,2)=7),IFERROR(1*'Daily Workforce'!$K130&gt;=3,FALSE()),IFERROR(1*'Daily Workforce'!$K130&gt;=2,FALSE())),IF(AND('Daily Schedule'!$A41&gt;=46,'Daily Schedule'!$A41&lt;=52),'Daily Workforce'!$M130="Y",IFERROR(1*'Daily Workforce'!$P130&gt;=2,FALSE()))))),1,0)</f>
        <v>0</v>
      </c>
      <c r="EL37" s="1" t="n">
        <f aca="false">IF(AND('Daily Workforce'!$N131="Y",'Daily Workforce'!$B131&lt;&gt;"",COUNTIF('Daily Schedule'!$F$5:$F40,'Daily Workforce'!$B131)=0,IF('Daily Schedule'!$A41=45,'Daily Workforce'!$J131="Y",IF(OR('Daily Schedule'!$A41=4,'Daily Schedule'!$A41=8),IF(OR(WEEKDAY('Daily Schedule'!$B$2,2)=1,WEEKDAY('Daily Schedule'!$B$2,2)=4,WEEKDAY('Daily Schedule'!$B$2,2)=5,WEEKDAY('Daily Schedule'!$B$2,2)=7),IFERROR(1*'Daily Workforce'!$K131&gt;=3,FALSE()),IFERROR(1*'Daily Workforce'!$K131&gt;=2,FALSE())),IF(AND('Daily Schedule'!$A41&gt;=46,'Daily Schedule'!$A41&lt;=52),'Daily Workforce'!$M131="Y",IFERROR(1*'Daily Workforce'!$P131&gt;=2,FALSE()))))),1,0)</f>
        <v>0</v>
      </c>
      <c r="EM37" s="1" t="n">
        <f aca="false">IF(AND('Daily Workforce'!$N132="Y",'Daily Workforce'!$B132&lt;&gt;"",COUNTIF('Daily Schedule'!$F$5:$F40,'Daily Workforce'!$B132)=0,IF('Daily Schedule'!$A41=45,'Daily Workforce'!$J132="Y",IF(OR('Daily Schedule'!$A41=4,'Daily Schedule'!$A41=8),IF(OR(WEEKDAY('Daily Schedule'!$B$2,2)=1,WEEKDAY('Daily Schedule'!$B$2,2)=4,WEEKDAY('Daily Schedule'!$B$2,2)=5,WEEKDAY('Daily Schedule'!$B$2,2)=7),IFERROR(1*'Daily Workforce'!$K132&gt;=3,FALSE()),IFERROR(1*'Daily Workforce'!$K132&gt;=2,FALSE())),IF(AND('Daily Schedule'!$A41&gt;=46,'Daily Schedule'!$A41&lt;=52),'Daily Workforce'!$M132="Y",IFERROR(1*'Daily Workforce'!$P132&gt;=2,FALSE()))))),1,0)</f>
        <v>0</v>
      </c>
      <c r="EN37" s="1" t="n">
        <f aca="false">IF(AND('Daily Workforce'!$N133="Y",'Daily Workforce'!$B133&lt;&gt;"",COUNTIF('Daily Schedule'!$F$5:$F40,'Daily Workforce'!$B133)=0,IF('Daily Schedule'!$A41=45,'Daily Workforce'!$J133="Y",IF(OR('Daily Schedule'!$A41=4,'Daily Schedule'!$A41=8),IF(OR(WEEKDAY('Daily Schedule'!$B$2,2)=1,WEEKDAY('Daily Schedule'!$B$2,2)=4,WEEKDAY('Daily Schedule'!$B$2,2)=5,WEEKDAY('Daily Schedule'!$B$2,2)=7),IFERROR(1*'Daily Workforce'!$K133&gt;=3,FALSE()),IFERROR(1*'Daily Workforce'!$K133&gt;=2,FALSE())),IF(AND('Daily Schedule'!$A41&gt;=46,'Daily Schedule'!$A41&lt;=52),'Daily Workforce'!$M133="Y",IFERROR(1*'Daily Workforce'!$P133&gt;=2,FALSE()))))),1,0)</f>
        <v>0</v>
      </c>
      <c r="EO37" s="1" t="n">
        <f aca="false">IF(AND('Daily Workforce'!$N134="Y",'Daily Workforce'!$B134&lt;&gt;"",COUNTIF('Daily Schedule'!$F$5:$F40,'Daily Workforce'!$B134)=0,IF('Daily Schedule'!$A41=45,'Daily Workforce'!$J134="Y",IF(OR('Daily Schedule'!$A41=4,'Daily Schedule'!$A41=8),IF(OR(WEEKDAY('Daily Schedule'!$B$2,2)=1,WEEKDAY('Daily Schedule'!$B$2,2)=4,WEEKDAY('Daily Schedule'!$B$2,2)=5,WEEKDAY('Daily Schedule'!$B$2,2)=7),IFERROR(1*'Daily Workforce'!$K134&gt;=3,FALSE()),IFERROR(1*'Daily Workforce'!$K134&gt;=2,FALSE())),IF(AND('Daily Schedule'!$A41&gt;=46,'Daily Schedule'!$A41&lt;=52),'Daily Workforce'!$M134="Y",IFERROR(1*'Daily Workforce'!$P134&gt;=2,FALSE()))))),1,0)</f>
        <v>0</v>
      </c>
      <c r="EP37" s="1" t="n">
        <f aca="false">IF(AND('Daily Workforce'!$N135="Y",'Daily Workforce'!$B135&lt;&gt;"",COUNTIF('Daily Schedule'!$F$5:$F40,'Daily Workforce'!$B135)=0,IF('Daily Schedule'!$A41=45,'Daily Workforce'!$J135="Y",IF(OR('Daily Schedule'!$A41=4,'Daily Schedule'!$A41=8),IF(OR(WEEKDAY('Daily Schedule'!$B$2,2)=1,WEEKDAY('Daily Schedule'!$B$2,2)=4,WEEKDAY('Daily Schedule'!$B$2,2)=5,WEEKDAY('Daily Schedule'!$B$2,2)=7),IFERROR(1*'Daily Workforce'!$K135&gt;=3,FALSE()),IFERROR(1*'Daily Workforce'!$K135&gt;=2,FALSE())),IF(AND('Daily Schedule'!$A41&gt;=46,'Daily Schedule'!$A41&lt;=52),'Daily Workforce'!$M135="Y",IFERROR(1*'Daily Workforce'!$P135&gt;=2,FALSE()))))),1,0)</f>
        <v>0</v>
      </c>
      <c r="EQ37" s="1" t="n">
        <f aca="false">IF(AND('Daily Workforce'!$N136="Y",'Daily Workforce'!$B136&lt;&gt;"",COUNTIF('Daily Schedule'!$F$5:$F40,'Daily Workforce'!$B136)=0,IF('Daily Schedule'!$A41=45,'Daily Workforce'!$J136="Y",IF(OR('Daily Schedule'!$A41=4,'Daily Schedule'!$A41=8),IF(OR(WEEKDAY('Daily Schedule'!$B$2,2)=1,WEEKDAY('Daily Schedule'!$B$2,2)=4,WEEKDAY('Daily Schedule'!$B$2,2)=5,WEEKDAY('Daily Schedule'!$B$2,2)=7),IFERROR(1*'Daily Workforce'!$K136&gt;=3,FALSE()),IFERROR(1*'Daily Workforce'!$K136&gt;=2,FALSE())),IF(AND('Daily Schedule'!$A41&gt;=46,'Daily Schedule'!$A41&lt;=52),'Daily Workforce'!$M136="Y",IFERROR(1*'Daily Workforce'!$P136&gt;=2,FALSE()))))),1,0)</f>
        <v>0</v>
      </c>
      <c r="ER37" s="1" t="n">
        <f aca="false">IF(AND('Daily Workforce'!$N137="Y",'Daily Workforce'!$B137&lt;&gt;"",COUNTIF('Daily Schedule'!$F$5:$F40,'Daily Workforce'!$B137)=0,IF('Daily Schedule'!$A41=45,'Daily Workforce'!$J137="Y",IF(OR('Daily Schedule'!$A41=4,'Daily Schedule'!$A41=8),IF(OR(WEEKDAY('Daily Schedule'!$B$2,2)=1,WEEKDAY('Daily Schedule'!$B$2,2)=4,WEEKDAY('Daily Schedule'!$B$2,2)=5,WEEKDAY('Daily Schedule'!$B$2,2)=7),IFERROR(1*'Daily Workforce'!$K137&gt;=3,FALSE()),IFERROR(1*'Daily Workforce'!$K137&gt;=2,FALSE())),IF(AND('Daily Schedule'!$A41&gt;=46,'Daily Schedule'!$A41&lt;=52),'Daily Workforce'!$M137="Y",IFERROR(1*'Daily Workforce'!$P137&gt;=2,FALSE()))))),1,0)</f>
        <v>0</v>
      </c>
      <c r="ES37" s="1" t="n">
        <f aca="false">IF(AND('Daily Workforce'!$N138="Y",'Daily Workforce'!$B138&lt;&gt;"",COUNTIF('Daily Schedule'!$F$5:$F40,'Daily Workforce'!$B138)=0,IF('Daily Schedule'!$A41=45,'Daily Workforce'!$J138="Y",IF(OR('Daily Schedule'!$A41=4,'Daily Schedule'!$A41=8),IF(OR(WEEKDAY('Daily Schedule'!$B$2,2)=1,WEEKDAY('Daily Schedule'!$B$2,2)=4,WEEKDAY('Daily Schedule'!$B$2,2)=5,WEEKDAY('Daily Schedule'!$B$2,2)=7),IFERROR(1*'Daily Workforce'!$K138&gt;=3,FALSE()),IFERROR(1*'Daily Workforce'!$K138&gt;=2,FALSE())),IF(AND('Daily Schedule'!$A41&gt;=46,'Daily Schedule'!$A41&lt;=52),'Daily Workforce'!$M138="Y",IFERROR(1*'Daily Workforce'!$P138&gt;=2,FALSE()))))),1,0)</f>
        <v>0</v>
      </c>
      <c r="ET37" s="1" t="n">
        <f aca="false">IF(AND('Daily Workforce'!$N139="Y",'Daily Workforce'!$B139&lt;&gt;"",COUNTIF('Daily Schedule'!$F$5:$F40,'Daily Workforce'!$B139)=0,IF('Daily Schedule'!$A41=45,'Daily Workforce'!$J139="Y",IF(OR('Daily Schedule'!$A41=4,'Daily Schedule'!$A41=8),IF(OR(WEEKDAY('Daily Schedule'!$B$2,2)=1,WEEKDAY('Daily Schedule'!$B$2,2)=4,WEEKDAY('Daily Schedule'!$B$2,2)=5,WEEKDAY('Daily Schedule'!$B$2,2)=7),IFERROR(1*'Daily Workforce'!$K139&gt;=3,FALSE()),IFERROR(1*'Daily Workforce'!$K139&gt;=2,FALSE())),IF(AND('Daily Schedule'!$A41&gt;=46,'Daily Schedule'!$A41&lt;=52),'Daily Workforce'!$M139="Y",IFERROR(1*'Daily Workforce'!$P139&gt;=2,FALSE()))))),1,0)</f>
        <v>0</v>
      </c>
      <c r="EU37" s="1" t="n">
        <f aca="false">IF(AND('Daily Workforce'!$N140="Y",'Daily Workforce'!$B140&lt;&gt;"",COUNTIF('Daily Schedule'!$F$5:$F40,'Daily Workforce'!$B140)=0,IF('Daily Schedule'!$A41=45,'Daily Workforce'!$J140="Y",IF(OR('Daily Schedule'!$A41=4,'Daily Schedule'!$A41=8),IF(OR(WEEKDAY('Daily Schedule'!$B$2,2)=1,WEEKDAY('Daily Schedule'!$B$2,2)=4,WEEKDAY('Daily Schedule'!$B$2,2)=5,WEEKDAY('Daily Schedule'!$B$2,2)=7),IFERROR(1*'Daily Workforce'!$K140&gt;=3,FALSE()),IFERROR(1*'Daily Workforce'!$K140&gt;=2,FALSE())),IF(AND('Daily Schedule'!$A41&gt;=46,'Daily Schedule'!$A41&lt;=52),'Daily Workforce'!$M140="Y",IFERROR(1*'Daily Workforce'!$P140&gt;=2,FALSE()))))),1,0)</f>
        <v>0</v>
      </c>
      <c r="EV37" s="1" t="n">
        <f aca="false">IF(AND('Daily Workforce'!$N141="Y",'Daily Workforce'!$B141&lt;&gt;"",COUNTIF('Daily Schedule'!$F$5:$F40,'Daily Workforce'!$B141)=0,IF('Daily Schedule'!$A41=45,'Daily Workforce'!$J141="Y",IF(OR('Daily Schedule'!$A41=4,'Daily Schedule'!$A41=8),IF(OR(WEEKDAY('Daily Schedule'!$B$2,2)=1,WEEKDAY('Daily Schedule'!$B$2,2)=4,WEEKDAY('Daily Schedule'!$B$2,2)=5,WEEKDAY('Daily Schedule'!$B$2,2)=7),IFERROR(1*'Daily Workforce'!$K141&gt;=3,FALSE()),IFERROR(1*'Daily Workforce'!$K141&gt;=2,FALSE())),IF(AND('Daily Schedule'!$A41&gt;=46,'Daily Schedule'!$A41&lt;=52),'Daily Workforce'!$M141="Y",IFERROR(1*'Daily Workforce'!$P141&gt;=2,FALSE()))))),1,0)</f>
        <v>0</v>
      </c>
      <c r="EW37" s="1" t="n">
        <f aca="false">IF(AND('Daily Workforce'!$N142="Y",'Daily Workforce'!$B142&lt;&gt;"",COUNTIF('Daily Schedule'!$F$5:$F40,'Daily Workforce'!$B142)=0,IF('Daily Schedule'!$A41=45,'Daily Workforce'!$J142="Y",IF(OR('Daily Schedule'!$A41=4,'Daily Schedule'!$A41=8),IF(OR(WEEKDAY('Daily Schedule'!$B$2,2)=1,WEEKDAY('Daily Schedule'!$B$2,2)=4,WEEKDAY('Daily Schedule'!$B$2,2)=5,WEEKDAY('Daily Schedule'!$B$2,2)=7),IFERROR(1*'Daily Workforce'!$K142&gt;=3,FALSE()),IFERROR(1*'Daily Workforce'!$K142&gt;=2,FALSE())),IF(AND('Daily Schedule'!$A41&gt;=46,'Daily Schedule'!$A41&lt;=52),'Daily Workforce'!$M142="Y",IFERROR(1*'Daily Workforce'!$P142&gt;=2,FALSE()))))),1,0)</f>
        <v>0</v>
      </c>
      <c r="EX37" s="1" t="n">
        <f aca="false">IF(AND('Daily Workforce'!$N143="Y",'Daily Workforce'!$B143&lt;&gt;"",COUNTIF('Daily Schedule'!$F$5:$F40,'Daily Workforce'!$B143)=0,IF('Daily Schedule'!$A41=45,'Daily Workforce'!$J143="Y",IF(OR('Daily Schedule'!$A41=4,'Daily Schedule'!$A41=8),IF(OR(WEEKDAY('Daily Schedule'!$B$2,2)=1,WEEKDAY('Daily Schedule'!$B$2,2)=4,WEEKDAY('Daily Schedule'!$B$2,2)=5,WEEKDAY('Daily Schedule'!$B$2,2)=7),IFERROR(1*'Daily Workforce'!$K143&gt;=3,FALSE()),IFERROR(1*'Daily Workforce'!$K143&gt;=2,FALSE())),IF(AND('Daily Schedule'!$A41&gt;=46,'Daily Schedule'!$A41&lt;=52),'Daily Workforce'!$M143="Y",IFERROR(1*'Daily Workforce'!$P143&gt;=2,FALSE()))))),1,0)</f>
        <v>0</v>
      </c>
      <c r="EY37" s="1" t="n">
        <f aca="false">IF(AND('Daily Workforce'!$N144="Y",'Daily Workforce'!$B144&lt;&gt;"",COUNTIF('Daily Schedule'!$F$5:$F40,'Daily Workforce'!$B144)=0,IF('Daily Schedule'!$A41=45,'Daily Workforce'!$J144="Y",IF(OR('Daily Schedule'!$A41=4,'Daily Schedule'!$A41=8),IF(OR(WEEKDAY('Daily Schedule'!$B$2,2)=1,WEEKDAY('Daily Schedule'!$B$2,2)=4,WEEKDAY('Daily Schedule'!$B$2,2)=5,WEEKDAY('Daily Schedule'!$B$2,2)=7),IFERROR(1*'Daily Workforce'!$K144&gt;=3,FALSE()),IFERROR(1*'Daily Workforce'!$K144&gt;=2,FALSE())),IF(AND('Daily Schedule'!$A41&gt;=46,'Daily Schedule'!$A41&lt;=52),'Daily Workforce'!$M144="Y",IFERROR(1*'Daily Workforce'!$P144&gt;=2,FALSE()))))),1,0)</f>
        <v>0</v>
      </c>
      <c r="EZ37" s="1" t="n">
        <f aca="false">IF(AND('Daily Workforce'!$N145="Y",'Daily Workforce'!$B145&lt;&gt;"",COUNTIF('Daily Schedule'!$F$5:$F40,'Daily Workforce'!$B145)=0,IF('Daily Schedule'!$A41=45,'Daily Workforce'!$J145="Y",IF(OR('Daily Schedule'!$A41=4,'Daily Schedule'!$A41=8),IF(OR(WEEKDAY('Daily Schedule'!$B$2,2)=1,WEEKDAY('Daily Schedule'!$B$2,2)=4,WEEKDAY('Daily Schedule'!$B$2,2)=5,WEEKDAY('Daily Schedule'!$B$2,2)=7),IFERROR(1*'Daily Workforce'!$K145&gt;=3,FALSE()),IFERROR(1*'Daily Workforce'!$K145&gt;=2,FALSE())),IF(AND('Daily Schedule'!$A41&gt;=46,'Daily Schedule'!$A41&lt;=52),'Daily Workforce'!$M145="Y",IFERROR(1*'Daily Workforce'!$P145&gt;=2,FALSE()))))),1,0)</f>
        <v>0</v>
      </c>
      <c r="FA37" s="1" t="n">
        <f aca="false">IF(AND('Daily Workforce'!$N146="Y",'Daily Workforce'!$B146&lt;&gt;"",COUNTIF('Daily Schedule'!$F$5:$F40,'Daily Workforce'!$B146)=0,IF('Daily Schedule'!$A41=45,'Daily Workforce'!$J146="Y",IF(OR('Daily Schedule'!$A41=4,'Daily Schedule'!$A41=8),IF(OR(WEEKDAY('Daily Schedule'!$B$2,2)=1,WEEKDAY('Daily Schedule'!$B$2,2)=4,WEEKDAY('Daily Schedule'!$B$2,2)=5,WEEKDAY('Daily Schedule'!$B$2,2)=7),IFERROR(1*'Daily Workforce'!$K146&gt;=3,FALSE()),IFERROR(1*'Daily Workforce'!$K146&gt;=2,FALSE())),IF(AND('Daily Schedule'!$A41&gt;=46,'Daily Schedule'!$A41&lt;=52),'Daily Workforce'!$M146="Y",IFERROR(1*'Daily Workforce'!$P146&gt;=2,FALSE()))))),1,0)</f>
        <v>0</v>
      </c>
      <c r="FB37" s="1" t="n">
        <f aca="false">IF(AND('Daily Workforce'!$N147="Y",'Daily Workforce'!$B147&lt;&gt;"",COUNTIF('Daily Schedule'!$F$5:$F40,'Daily Workforce'!$B147)=0,IF('Daily Schedule'!$A41=45,'Daily Workforce'!$J147="Y",IF(OR('Daily Schedule'!$A41=4,'Daily Schedule'!$A41=8),IF(OR(WEEKDAY('Daily Schedule'!$B$2,2)=1,WEEKDAY('Daily Schedule'!$B$2,2)=4,WEEKDAY('Daily Schedule'!$B$2,2)=5,WEEKDAY('Daily Schedule'!$B$2,2)=7),IFERROR(1*'Daily Workforce'!$K147&gt;=3,FALSE()),IFERROR(1*'Daily Workforce'!$K147&gt;=2,FALSE())),IF(AND('Daily Schedule'!$A41&gt;=46,'Daily Schedule'!$A41&lt;=52),'Daily Workforce'!$M147="Y",IFERROR(1*'Daily Workforce'!$P147&gt;=2,FALSE()))))),1,0)</f>
        <v>0</v>
      </c>
      <c r="FC37" s="1" t="n">
        <f aca="false">IF(AND('Daily Workforce'!$N148="Y",'Daily Workforce'!$B148&lt;&gt;"",COUNTIF('Daily Schedule'!$F$5:$F40,'Daily Workforce'!$B148)=0,IF('Daily Schedule'!$A41=45,'Daily Workforce'!$J148="Y",IF(OR('Daily Schedule'!$A41=4,'Daily Schedule'!$A41=8),IF(OR(WEEKDAY('Daily Schedule'!$B$2,2)=1,WEEKDAY('Daily Schedule'!$B$2,2)=4,WEEKDAY('Daily Schedule'!$B$2,2)=5,WEEKDAY('Daily Schedule'!$B$2,2)=7),IFERROR(1*'Daily Workforce'!$K148&gt;=3,FALSE()),IFERROR(1*'Daily Workforce'!$K148&gt;=2,FALSE())),IF(AND('Daily Schedule'!$A41&gt;=46,'Daily Schedule'!$A41&lt;=52),'Daily Workforce'!$M148="Y",IFERROR(1*'Daily Workforce'!$P148&gt;=2,FALSE()))))),1,0)</f>
        <v>0</v>
      </c>
      <c r="FD37" s="1" t="n">
        <f aca="false">IF(AND('Daily Workforce'!$N149="Y",'Daily Workforce'!$B149&lt;&gt;"",COUNTIF('Daily Schedule'!$F$5:$F40,'Daily Workforce'!$B149)=0,IF('Daily Schedule'!$A41=45,'Daily Workforce'!$J149="Y",IF(OR('Daily Schedule'!$A41=4,'Daily Schedule'!$A41=8),IF(OR(WEEKDAY('Daily Schedule'!$B$2,2)=1,WEEKDAY('Daily Schedule'!$B$2,2)=4,WEEKDAY('Daily Schedule'!$B$2,2)=5,WEEKDAY('Daily Schedule'!$B$2,2)=7),IFERROR(1*'Daily Workforce'!$K149&gt;=3,FALSE()),IFERROR(1*'Daily Workforce'!$K149&gt;=2,FALSE())),IF(AND('Daily Schedule'!$A41&gt;=46,'Daily Schedule'!$A41&lt;=52),'Daily Workforce'!$M149="Y",IFERROR(1*'Daily Workforce'!$P149&gt;=2,FALSE()))))),1,0)</f>
        <v>0</v>
      </c>
      <c r="FE37" s="1" t="n">
        <f aca="false">IF(AND('Daily Workforce'!$N150="Y",'Daily Workforce'!$B150&lt;&gt;"",COUNTIF('Daily Schedule'!$F$5:$F40,'Daily Workforce'!$B150)=0,IF('Daily Schedule'!$A41=45,'Daily Workforce'!$J150="Y",IF(OR('Daily Schedule'!$A41=4,'Daily Schedule'!$A41=8),IF(OR(WEEKDAY('Daily Schedule'!$B$2,2)=1,WEEKDAY('Daily Schedule'!$B$2,2)=4,WEEKDAY('Daily Schedule'!$B$2,2)=5,WEEKDAY('Daily Schedule'!$B$2,2)=7),IFERROR(1*'Daily Workforce'!$K150&gt;=3,FALSE()),IFERROR(1*'Daily Workforce'!$K150&gt;=2,FALSE())),IF(AND('Daily Schedule'!$A41&gt;=46,'Daily Schedule'!$A41&lt;=52),'Daily Workforce'!$M150="Y",IFERROR(1*'Daily Workforce'!$P150&gt;=2,FALSE()))))),1,0)</f>
        <v>0</v>
      </c>
      <c r="FF37" s="1" t="n">
        <f aca="false">IF(AND('Daily Workforce'!$N151="Y",'Daily Workforce'!$B151&lt;&gt;"",COUNTIF('Daily Schedule'!$F$5:$F40,'Daily Workforce'!$B151)=0,IF('Daily Schedule'!$A41=45,'Daily Workforce'!$J151="Y",IF(OR('Daily Schedule'!$A41=4,'Daily Schedule'!$A41=8),IF(OR(WEEKDAY('Daily Schedule'!$B$2,2)=1,WEEKDAY('Daily Schedule'!$B$2,2)=4,WEEKDAY('Daily Schedule'!$B$2,2)=5,WEEKDAY('Daily Schedule'!$B$2,2)=7),IFERROR(1*'Daily Workforce'!$K151&gt;=3,FALSE()),IFERROR(1*'Daily Workforce'!$K151&gt;=2,FALSE())),IF(AND('Daily Schedule'!$A41&gt;=46,'Daily Schedule'!$A41&lt;=52),'Daily Workforce'!$M151="Y",IFERROR(1*'Daily Workforce'!$P151&gt;=2,FALSE()))))),1,0)</f>
        <v>0</v>
      </c>
      <c r="FG37" s="1" t="n">
        <f aca="false">IF(AND('Daily Workforce'!$N152="Y",'Daily Workforce'!$B152&lt;&gt;"",COUNTIF('Daily Schedule'!$F$5:$F40,'Daily Workforce'!$B152)=0,IF('Daily Schedule'!$A41=45,'Daily Workforce'!$J152="Y",IF(OR('Daily Schedule'!$A41=4,'Daily Schedule'!$A41=8),IF(OR(WEEKDAY('Daily Schedule'!$B$2,2)=1,WEEKDAY('Daily Schedule'!$B$2,2)=4,WEEKDAY('Daily Schedule'!$B$2,2)=5,WEEKDAY('Daily Schedule'!$B$2,2)=7),IFERROR(1*'Daily Workforce'!$K152&gt;=3,FALSE()),IFERROR(1*'Daily Workforce'!$K152&gt;=2,FALSE())),IF(AND('Daily Schedule'!$A41&gt;=46,'Daily Schedule'!$A41&lt;=52),'Daily Workforce'!$M152="Y",IFERROR(1*'Daily Workforce'!$P152&gt;=2,FALSE()))))),1,0)</f>
        <v>0</v>
      </c>
      <c r="FH37" s="1" t="n">
        <f aca="false">IF(AND('Daily Workforce'!$N153="Y",'Daily Workforce'!$B153&lt;&gt;"",COUNTIF('Daily Schedule'!$F$5:$F40,'Daily Workforce'!$B153)=0,IF('Daily Schedule'!$A41=45,'Daily Workforce'!$J153="Y",IF(OR('Daily Schedule'!$A41=4,'Daily Schedule'!$A41=8),IF(OR(WEEKDAY('Daily Schedule'!$B$2,2)=1,WEEKDAY('Daily Schedule'!$B$2,2)=4,WEEKDAY('Daily Schedule'!$B$2,2)=5,WEEKDAY('Daily Schedule'!$B$2,2)=7),IFERROR(1*'Daily Workforce'!$K153&gt;=3,FALSE()),IFERROR(1*'Daily Workforce'!$K153&gt;=2,FALSE())),IF(AND('Daily Schedule'!$A41&gt;=46,'Daily Schedule'!$A41&lt;=52),'Daily Workforce'!$M153="Y",IFERROR(1*'Daily Workforce'!$P153&gt;=2,FALSE()))))),1,0)</f>
        <v>0</v>
      </c>
      <c r="FI37" s="1" t="n">
        <f aca="false">IF(AND('Daily Workforce'!$N154="Y",'Daily Workforce'!$B154&lt;&gt;"",COUNTIF('Daily Schedule'!$F$5:$F40,'Daily Workforce'!$B154)=0,IF('Daily Schedule'!$A41=45,'Daily Workforce'!$J154="Y",IF(OR('Daily Schedule'!$A41=4,'Daily Schedule'!$A41=8),IF(OR(WEEKDAY('Daily Schedule'!$B$2,2)=1,WEEKDAY('Daily Schedule'!$B$2,2)=4,WEEKDAY('Daily Schedule'!$B$2,2)=5,WEEKDAY('Daily Schedule'!$B$2,2)=7),IFERROR(1*'Daily Workforce'!$K154&gt;=3,FALSE()),IFERROR(1*'Daily Workforce'!$K154&gt;=2,FALSE())),IF(AND('Daily Schedule'!$A41&gt;=46,'Daily Schedule'!$A41&lt;=52),'Daily Workforce'!$M154="Y",IFERROR(1*'Daily Workforce'!$P154&gt;=2,FALSE()))))),1,0)</f>
        <v>0</v>
      </c>
      <c r="FJ37" s="1" t="n">
        <f aca="false">IF(AND('Daily Workforce'!$N155="Y",'Daily Workforce'!$B155&lt;&gt;"",COUNTIF('Daily Schedule'!$F$5:$F40,'Daily Workforce'!$B155)=0,IF('Daily Schedule'!$A41=45,'Daily Workforce'!$J155="Y",IF(OR('Daily Schedule'!$A41=4,'Daily Schedule'!$A41=8),IF(OR(WEEKDAY('Daily Schedule'!$B$2,2)=1,WEEKDAY('Daily Schedule'!$B$2,2)=4,WEEKDAY('Daily Schedule'!$B$2,2)=5,WEEKDAY('Daily Schedule'!$B$2,2)=7),IFERROR(1*'Daily Workforce'!$K155&gt;=3,FALSE()),IFERROR(1*'Daily Workforce'!$K155&gt;=2,FALSE())),IF(AND('Daily Schedule'!$A41&gt;=46,'Daily Schedule'!$A41&lt;=52),'Daily Workforce'!$M155="Y",IFERROR(1*'Daily Workforce'!$P155&gt;=2,FALSE()))))),1,0)</f>
        <v>0</v>
      </c>
      <c r="FK37" s="1" t="n">
        <f aca="false">IF(AND('Daily Workforce'!$N156="Y",'Daily Workforce'!$B156&lt;&gt;"",COUNTIF('Daily Schedule'!$F$5:$F40,'Daily Workforce'!$B156)=0,IF('Daily Schedule'!$A41=45,'Daily Workforce'!$J156="Y",IF(OR('Daily Schedule'!$A41=4,'Daily Schedule'!$A41=8),IF(OR(WEEKDAY('Daily Schedule'!$B$2,2)=1,WEEKDAY('Daily Schedule'!$B$2,2)=4,WEEKDAY('Daily Schedule'!$B$2,2)=5,WEEKDAY('Daily Schedule'!$B$2,2)=7),IFERROR(1*'Daily Workforce'!$K156&gt;=3,FALSE()),IFERROR(1*'Daily Workforce'!$K156&gt;=2,FALSE())),IF(AND('Daily Schedule'!$A41&gt;=46,'Daily Schedule'!$A41&lt;=52),'Daily Workforce'!$M156="Y",IFERROR(1*'Daily Workforce'!$P156&gt;=2,FALSE()))))),1,0)</f>
        <v>0</v>
      </c>
      <c r="FL37" s="1" t="n">
        <f aca="false">IF(AND('Daily Workforce'!$N157="Y",'Daily Workforce'!$B157&lt;&gt;"",COUNTIF('Daily Schedule'!$F$5:$F40,'Daily Workforce'!$B157)=0,IF('Daily Schedule'!$A41=45,'Daily Workforce'!$J157="Y",IF(OR('Daily Schedule'!$A41=4,'Daily Schedule'!$A41=8),IF(OR(WEEKDAY('Daily Schedule'!$B$2,2)=1,WEEKDAY('Daily Schedule'!$B$2,2)=4,WEEKDAY('Daily Schedule'!$B$2,2)=5,WEEKDAY('Daily Schedule'!$B$2,2)=7),IFERROR(1*'Daily Workforce'!$K157&gt;=3,FALSE()),IFERROR(1*'Daily Workforce'!$K157&gt;=2,FALSE())),IF(AND('Daily Schedule'!$A41&gt;=46,'Daily Schedule'!$A41&lt;=52),'Daily Workforce'!$M157="Y",IFERROR(1*'Daily Workforce'!$P157&gt;=2,FALSE()))))),1,0)</f>
        <v>0</v>
      </c>
      <c r="FM37" s="1" t="n">
        <f aca="false">IF(AND('Daily Workforce'!$N158="Y",'Daily Workforce'!$B158&lt;&gt;"",COUNTIF('Daily Schedule'!$F$5:$F40,'Daily Workforce'!$B158)=0,IF('Daily Schedule'!$A41=45,'Daily Workforce'!$J158="Y",IF(OR('Daily Schedule'!$A41=4,'Daily Schedule'!$A41=8),IF(OR(WEEKDAY('Daily Schedule'!$B$2,2)=1,WEEKDAY('Daily Schedule'!$B$2,2)=4,WEEKDAY('Daily Schedule'!$B$2,2)=5,WEEKDAY('Daily Schedule'!$B$2,2)=7),IFERROR(1*'Daily Workforce'!$K158&gt;=3,FALSE()),IFERROR(1*'Daily Workforce'!$K158&gt;=2,FALSE())),IF(AND('Daily Schedule'!$A41&gt;=46,'Daily Schedule'!$A41&lt;=52),'Daily Workforce'!$M158="Y",IFERROR(1*'Daily Workforce'!$P158&gt;=2,FALSE()))))),1,0)</f>
        <v>0</v>
      </c>
      <c r="FN37" s="1" t="n">
        <f aca="false">IF(AND('Daily Workforce'!$N159="Y",'Daily Workforce'!$B159&lt;&gt;"",COUNTIF('Daily Schedule'!$F$5:$F40,'Daily Workforce'!$B159)=0,IF('Daily Schedule'!$A41=45,'Daily Workforce'!$J159="Y",IF(OR('Daily Schedule'!$A41=4,'Daily Schedule'!$A41=8),IF(OR(WEEKDAY('Daily Schedule'!$B$2,2)=1,WEEKDAY('Daily Schedule'!$B$2,2)=4,WEEKDAY('Daily Schedule'!$B$2,2)=5,WEEKDAY('Daily Schedule'!$B$2,2)=7),IFERROR(1*'Daily Workforce'!$K159&gt;=3,FALSE()),IFERROR(1*'Daily Workforce'!$K159&gt;=2,FALSE())),IF(AND('Daily Schedule'!$A41&gt;=46,'Daily Schedule'!$A41&lt;=52),'Daily Workforce'!$M159="Y",IFERROR(1*'Daily Workforce'!$P159&gt;=2,FALSE()))))),1,0)</f>
        <v>0</v>
      </c>
      <c r="FO37" s="1" t="n">
        <f aca="false">IF(AND('Daily Workforce'!$N160="Y",'Daily Workforce'!$B160&lt;&gt;"",COUNTIF('Daily Schedule'!$F$5:$F40,'Daily Workforce'!$B160)=0,IF('Daily Schedule'!$A41=45,'Daily Workforce'!$J160="Y",IF(OR('Daily Schedule'!$A41=4,'Daily Schedule'!$A41=8),IF(OR(WEEKDAY('Daily Schedule'!$B$2,2)=1,WEEKDAY('Daily Schedule'!$B$2,2)=4,WEEKDAY('Daily Schedule'!$B$2,2)=5,WEEKDAY('Daily Schedule'!$B$2,2)=7),IFERROR(1*'Daily Workforce'!$K160&gt;=3,FALSE()),IFERROR(1*'Daily Workforce'!$K160&gt;=2,FALSE())),IF(AND('Daily Schedule'!$A41&gt;=46,'Daily Schedule'!$A41&lt;=52),'Daily Workforce'!$M160="Y",IFERROR(1*'Daily Workforce'!$P160&gt;=2,FALSE()))))),1,0)</f>
        <v>0</v>
      </c>
      <c r="FP37" s="1" t="n">
        <f aca="false">IF(AND('Daily Workforce'!$N161="Y",'Daily Workforce'!$B161&lt;&gt;"",COUNTIF('Daily Schedule'!$F$5:$F40,'Daily Workforce'!$B161)=0,IF('Daily Schedule'!$A41=45,'Daily Workforce'!$J161="Y",IF(OR('Daily Schedule'!$A41=4,'Daily Schedule'!$A41=8),IF(OR(WEEKDAY('Daily Schedule'!$B$2,2)=1,WEEKDAY('Daily Schedule'!$B$2,2)=4,WEEKDAY('Daily Schedule'!$B$2,2)=5,WEEKDAY('Daily Schedule'!$B$2,2)=7),IFERROR(1*'Daily Workforce'!$K161&gt;=3,FALSE()),IFERROR(1*'Daily Workforce'!$K161&gt;=2,FALSE())),IF(AND('Daily Schedule'!$A41&gt;=46,'Daily Schedule'!$A41&lt;=52),'Daily Workforce'!$M161="Y",IFERROR(1*'Daily Workforce'!$P161&gt;=2,FALSE()))))),1,0)</f>
        <v>0</v>
      </c>
      <c r="FQ37" s="1" t="n">
        <f aca="false">IF(AND('Daily Workforce'!$N162="Y",'Daily Workforce'!$B162&lt;&gt;"",COUNTIF('Daily Schedule'!$F$5:$F40,'Daily Workforce'!$B162)=0,IF('Daily Schedule'!$A41=45,'Daily Workforce'!$J162="Y",IF(OR('Daily Schedule'!$A41=4,'Daily Schedule'!$A41=8),IF(OR(WEEKDAY('Daily Schedule'!$B$2,2)=1,WEEKDAY('Daily Schedule'!$B$2,2)=4,WEEKDAY('Daily Schedule'!$B$2,2)=5,WEEKDAY('Daily Schedule'!$B$2,2)=7),IFERROR(1*'Daily Workforce'!$K162&gt;=3,FALSE()),IFERROR(1*'Daily Workforce'!$K162&gt;=2,FALSE())),IF(AND('Daily Schedule'!$A41&gt;=46,'Daily Schedule'!$A41&lt;=52),'Daily Workforce'!$M162="Y",IFERROR(1*'Daily Workforce'!$P162&gt;=2,FALSE()))))),1,0)</f>
        <v>0</v>
      </c>
      <c r="FR37" s="1" t="n">
        <f aca="false">IF(AND('Daily Workforce'!$N163="Y",'Daily Workforce'!$B163&lt;&gt;"",COUNTIF('Daily Schedule'!$F$5:$F40,'Daily Workforce'!$B163)=0,IF('Daily Schedule'!$A41=45,'Daily Workforce'!$J163="Y",IF(OR('Daily Schedule'!$A41=4,'Daily Schedule'!$A41=8),IF(OR(WEEKDAY('Daily Schedule'!$B$2,2)=1,WEEKDAY('Daily Schedule'!$B$2,2)=4,WEEKDAY('Daily Schedule'!$B$2,2)=5,WEEKDAY('Daily Schedule'!$B$2,2)=7),IFERROR(1*'Daily Workforce'!$K163&gt;=3,FALSE()),IFERROR(1*'Daily Workforce'!$K163&gt;=2,FALSE())),IF(AND('Daily Schedule'!$A41&gt;=46,'Daily Schedule'!$A41&lt;=52),'Daily Workforce'!$M163="Y",IFERROR(1*'Daily Workforce'!$P163&gt;=2,FALSE()))))),1,0)</f>
        <v>0</v>
      </c>
      <c r="FS37" s="1" t="n">
        <f aca="false">IF(AND('Daily Workforce'!$N164="Y",'Daily Workforce'!$B164&lt;&gt;"",COUNTIF('Daily Schedule'!$F$5:$F40,'Daily Workforce'!$B164)=0,IF('Daily Schedule'!$A41=45,'Daily Workforce'!$J164="Y",IF(OR('Daily Schedule'!$A41=4,'Daily Schedule'!$A41=8),IF(OR(WEEKDAY('Daily Schedule'!$B$2,2)=1,WEEKDAY('Daily Schedule'!$B$2,2)=4,WEEKDAY('Daily Schedule'!$B$2,2)=5,WEEKDAY('Daily Schedule'!$B$2,2)=7),IFERROR(1*'Daily Workforce'!$K164&gt;=3,FALSE()),IFERROR(1*'Daily Workforce'!$K164&gt;=2,FALSE())),IF(AND('Daily Schedule'!$A41&gt;=46,'Daily Schedule'!$A41&lt;=52),'Daily Workforce'!$M164="Y",IFERROR(1*'Daily Workforce'!$P164&gt;=2,FALSE()))))),1,0)</f>
        <v>0</v>
      </c>
      <c r="FT37" s="1" t="n">
        <f aca="false">IF(AND('Daily Workforce'!$N165="Y",'Daily Workforce'!$B165&lt;&gt;"",COUNTIF('Daily Schedule'!$F$5:$F40,'Daily Workforce'!$B165)=0,IF('Daily Schedule'!$A41=45,'Daily Workforce'!$J165="Y",IF(OR('Daily Schedule'!$A41=4,'Daily Schedule'!$A41=8),IF(OR(WEEKDAY('Daily Schedule'!$B$2,2)=1,WEEKDAY('Daily Schedule'!$B$2,2)=4,WEEKDAY('Daily Schedule'!$B$2,2)=5,WEEKDAY('Daily Schedule'!$B$2,2)=7),IFERROR(1*'Daily Workforce'!$K165&gt;=3,FALSE()),IFERROR(1*'Daily Workforce'!$K165&gt;=2,FALSE())),IF(AND('Daily Schedule'!$A41&gt;=46,'Daily Schedule'!$A41&lt;=52),'Daily Workforce'!$M165="Y",IFERROR(1*'Daily Workforce'!$P165&gt;=2,FALSE()))))),1,0)</f>
        <v>0</v>
      </c>
      <c r="FU37" s="1" t="n">
        <f aca="false">IF(AND('Daily Workforce'!$N166="Y",'Daily Workforce'!$B166&lt;&gt;"",COUNTIF('Daily Schedule'!$F$5:$F40,'Daily Workforce'!$B166)=0,IF('Daily Schedule'!$A41=45,'Daily Workforce'!$J166="Y",IF(OR('Daily Schedule'!$A41=4,'Daily Schedule'!$A41=8),IF(OR(WEEKDAY('Daily Schedule'!$B$2,2)=1,WEEKDAY('Daily Schedule'!$B$2,2)=4,WEEKDAY('Daily Schedule'!$B$2,2)=5,WEEKDAY('Daily Schedule'!$B$2,2)=7),IFERROR(1*'Daily Workforce'!$K166&gt;=3,FALSE()),IFERROR(1*'Daily Workforce'!$K166&gt;=2,FALSE())),IF(AND('Daily Schedule'!$A41&gt;=46,'Daily Schedule'!$A41&lt;=52),'Daily Workforce'!$M166="Y",IFERROR(1*'Daily Workforce'!$P166&gt;=2,FALSE()))))),1,0)</f>
        <v>0</v>
      </c>
      <c r="FV37" s="1" t="n">
        <f aca="false">IF(AND('Daily Workforce'!$N167="Y",'Daily Workforce'!$B167&lt;&gt;"",COUNTIF('Daily Schedule'!$F$5:$F40,'Daily Workforce'!$B167)=0,IF('Daily Schedule'!$A41=45,'Daily Workforce'!$J167="Y",IF(OR('Daily Schedule'!$A41=4,'Daily Schedule'!$A41=8),IF(OR(WEEKDAY('Daily Schedule'!$B$2,2)=1,WEEKDAY('Daily Schedule'!$B$2,2)=4,WEEKDAY('Daily Schedule'!$B$2,2)=5,WEEKDAY('Daily Schedule'!$B$2,2)=7),IFERROR(1*'Daily Workforce'!$K167&gt;=3,FALSE()),IFERROR(1*'Daily Workforce'!$K167&gt;=2,FALSE())),IF(AND('Daily Schedule'!$A41&gt;=46,'Daily Schedule'!$A41&lt;=52),'Daily Workforce'!$M167="Y",IFERROR(1*'Daily Workforce'!$P167&gt;=2,FALSE()))))),1,0)</f>
        <v>0</v>
      </c>
      <c r="FW37" s="1" t="n">
        <f aca="false">IF(AND('Daily Workforce'!$N168="Y",'Daily Workforce'!$B168&lt;&gt;"",COUNTIF('Daily Schedule'!$F$5:$F40,'Daily Workforce'!$B168)=0,IF('Daily Schedule'!$A41=45,'Daily Workforce'!$J168="Y",IF(OR('Daily Schedule'!$A41=4,'Daily Schedule'!$A41=8),IF(OR(WEEKDAY('Daily Schedule'!$B$2,2)=1,WEEKDAY('Daily Schedule'!$B$2,2)=4,WEEKDAY('Daily Schedule'!$B$2,2)=5,WEEKDAY('Daily Schedule'!$B$2,2)=7),IFERROR(1*'Daily Workforce'!$K168&gt;=3,FALSE()),IFERROR(1*'Daily Workforce'!$K168&gt;=2,FALSE())),IF(AND('Daily Schedule'!$A41&gt;=46,'Daily Schedule'!$A41&lt;=52),'Daily Workforce'!$M168="Y",IFERROR(1*'Daily Workforce'!$P168&gt;=2,FALSE()))))),1,0)</f>
        <v>0</v>
      </c>
      <c r="FX37" s="1" t="n">
        <f aca="false">IF(AND('Daily Workforce'!$N169="Y",'Daily Workforce'!$B169&lt;&gt;"",COUNTIF('Daily Schedule'!$F$5:$F40,'Daily Workforce'!$B169)=0,IF('Daily Schedule'!$A41=45,'Daily Workforce'!$J169="Y",IF(OR('Daily Schedule'!$A41=4,'Daily Schedule'!$A41=8),IF(OR(WEEKDAY('Daily Schedule'!$B$2,2)=1,WEEKDAY('Daily Schedule'!$B$2,2)=4,WEEKDAY('Daily Schedule'!$B$2,2)=5,WEEKDAY('Daily Schedule'!$B$2,2)=7),IFERROR(1*'Daily Workforce'!$K169&gt;=3,FALSE()),IFERROR(1*'Daily Workforce'!$K169&gt;=2,FALSE())),IF(AND('Daily Schedule'!$A41&gt;=46,'Daily Schedule'!$A41&lt;=52),'Daily Workforce'!$M169="Y",IFERROR(1*'Daily Workforce'!$P169&gt;=2,FALSE()))))),1,0)</f>
        <v>0</v>
      </c>
      <c r="FY37" s="1" t="n">
        <f aca="false">IF(AND('Daily Workforce'!$N170="Y",'Daily Workforce'!$B170&lt;&gt;"",COUNTIF('Daily Schedule'!$F$5:$F40,'Daily Workforce'!$B170)=0,IF('Daily Schedule'!$A41=45,'Daily Workforce'!$J170="Y",IF(OR('Daily Schedule'!$A41=4,'Daily Schedule'!$A41=8),IF(OR(WEEKDAY('Daily Schedule'!$B$2,2)=1,WEEKDAY('Daily Schedule'!$B$2,2)=4,WEEKDAY('Daily Schedule'!$B$2,2)=5,WEEKDAY('Daily Schedule'!$B$2,2)=7),IFERROR(1*'Daily Workforce'!$K170&gt;=3,FALSE()),IFERROR(1*'Daily Workforce'!$K170&gt;=2,FALSE())),IF(AND('Daily Schedule'!$A41&gt;=46,'Daily Schedule'!$A41&lt;=52),'Daily Workforce'!$M170="Y",IFERROR(1*'Daily Workforce'!$P170&gt;=2,FALSE()))))),1,0)</f>
        <v>0</v>
      </c>
      <c r="FZ37" s="1" t="n">
        <f aca="false">IF(AND('Daily Workforce'!$N171="Y",'Daily Workforce'!$B171&lt;&gt;"",COUNTIF('Daily Schedule'!$F$5:$F40,'Daily Workforce'!$B171)=0,IF('Daily Schedule'!$A41=45,'Daily Workforce'!$J171="Y",IF(OR('Daily Schedule'!$A41=4,'Daily Schedule'!$A41=8),IF(OR(WEEKDAY('Daily Schedule'!$B$2,2)=1,WEEKDAY('Daily Schedule'!$B$2,2)=4,WEEKDAY('Daily Schedule'!$B$2,2)=5,WEEKDAY('Daily Schedule'!$B$2,2)=7),IFERROR(1*'Daily Workforce'!$K171&gt;=3,FALSE()),IFERROR(1*'Daily Workforce'!$K171&gt;=2,FALSE())),IF(AND('Daily Schedule'!$A41&gt;=46,'Daily Schedule'!$A41&lt;=52),'Daily Workforce'!$M171="Y",IFERROR(1*'Daily Workforce'!$P171&gt;=2,FALSE()))))),1,0)</f>
        <v>0</v>
      </c>
      <c r="GA37" s="1" t="n">
        <f aca="false">IF(AND('Daily Workforce'!$N172="Y",'Daily Workforce'!$B172&lt;&gt;"",COUNTIF('Daily Schedule'!$F$5:$F40,'Daily Workforce'!$B172)=0,IF('Daily Schedule'!$A41=45,'Daily Workforce'!$J172="Y",IF(OR('Daily Schedule'!$A41=4,'Daily Schedule'!$A41=8),IF(OR(WEEKDAY('Daily Schedule'!$B$2,2)=1,WEEKDAY('Daily Schedule'!$B$2,2)=4,WEEKDAY('Daily Schedule'!$B$2,2)=5,WEEKDAY('Daily Schedule'!$B$2,2)=7),IFERROR(1*'Daily Workforce'!$K172&gt;=3,FALSE()),IFERROR(1*'Daily Workforce'!$K172&gt;=2,FALSE())),IF(AND('Daily Schedule'!$A41&gt;=46,'Daily Schedule'!$A41&lt;=52),'Daily Workforce'!$M172="Y",IFERROR(1*'Daily Workforce'!$P172&gt;=2,FALSE()))))),1,0)</f>
        <v>0</v>
      </c>
      <c r="GB37" s="1" t="n">
        <f aca="false">IF(AND('Daily Workforce'!$N173="Y",'Daily Workforce'!$B173&lt;&gt;"",COUNTIF('Daily Schedule'!$F$5:$F40,'Daily Workforce'!$B173)=0,IF('Daily Schedule'!$A41=45,'Daily Workforce'!$J173="Y",IF(OR('Daily Schedule'!$A41=4,'Daily Schedule'!$A41=8),IF(OR(WEEKDAY('Daily Schedule'!$B$2,2)=1,WEEKDAY('Daily Schedule'!$B$2,2)=4,WEEKDAY('Daily Schedule'!$B$2,2)=5,WEEKDAY('Daily Schedule'!$B$2,2)=7),IFERROR(1*'Daily Workforce'!$K173&gt;=3,FALSE()),IFERROR(1*'Daily Workforce'!$K173&gt;=2,FALSE())),IF(AND('Daily Schedule'!$A41&gt;=46,'Daily Schedule'!$A41&lt;=52),'Daily Workforce'!$M173="Y",IFERROR(1*'Daily Workforce'!$P173&gt;=2,FALSE()))))),1,0)</f>
        <v>0</v>
      </c>
      <c r="GC37" s="1" t="n">
        <f aca="false">IF(AND('Daily Workforce'!$N174="Y",'Daily Workforce'!$B174&lt;&gt;"",COUNTIF('Daily Schedule'!$F$5:$F40,'Daily Workforce'!$B174)=0,IF('Daily Schedule'!$A41=45,'Daily Workforce'!$J174="Y",IF(OR('Daily Schedule'!$A41=4,'Daily Schedule'!$A41=8),IF(OR(WEEKDAY('Daily Schedule'!$B$2,2)=1,WEEKDAY('Daily Schedule'!$B$2,2)=4,WEEKDAY('Daily Schedule'!$B$2,2)=5,WEEKDAY('Daily Schedule'!$B$2,2)=7),IFERROR(1*'Daily Workforce'!$K174&gt;=3,FALSE()),IFERROR(1*'Daily Workforce'!$K174&gt;=2,FALSE())),IF(AND('Daily Schedule'!$A41&gt;=46,'Daily Schedule'!$A41&lt;=52),'Daily Workforce'!$M174="Y",IFERROR(1*'Daily Workforce'!$P174&gt;=2,FALSE()))))),1,0)</f>
        <v>0</v>
      </c>
      <c r="GD37" s="1" t="n">
        <f aca="false">IF(AND('Daily Workforce'!$N175="Y",'Daily Workforce'!$B175&lt;&gt;"",COUNTIF('Daily Schedule'!$F$5:$F40,'Daily Workforce'!$B175)=0,IF('Daily Schedule'!$A41=45,'Daily Workforce'!$J175="Y",IF(OR('Daily Schedule'!$A41=4,'Daily Schedule'!$A41=8),IF(OR(WEEKDAY('Daily Schedule'!$B$2,2)=1,WEEKDAY('Daily Schedule'!$B$2,2)=4,WEEKDAY('Daily Schedule'!$B$2,2)=5,WEEKDAY('Daily Schedule'!$B$2,2)=7),IFERROR(1*'Daily Workforce'!$K175&gt;=3,FALSE()),IFERROR(1*'Daily Workforce'!$K175&gt;=2,FALSE())),IF(AND('Daily Schedule'!$A41&gt;=46,'Daily Schedule'!$A41&lt;=52),'Daily Workforce'!$M175="Y",IFERROR(1*'Daily Workforce'!$P175&gt;=2,FALSE()))))),1,0)</f>
        <v>0</v>
      </c>
      <c r="GE37" s="1" t="n">
        <f aca="false">IF(AND('Daily Workforce'!$N176="Y",'Daily Workforce'!$B176&lt;&gt;"",COUNTIF('Daily Schedule'!$F$5:$F40,'Daily Workforce'!$B176)=0,IF('Daily Schedule'!$A41=45,'Daily Workforce'!$J176="Y",IF(OR('Daily Schedule'!$A41=4,'Daily Schedule'!$A41=8),IF(OR(WEEKDAY('Daily Schedule'!$B$2,2)=1,WEEKDAY('Daily Schedule'!$B$2,2)=4,WEEKDAY('Daily Schedule'!$B$2,2)=5,WEEKDAY('Daily Schedule'!$B$2,2)=7),IFERROR(1*'Daily Workforce'!$K176&gt;=3,FALSE()),IFERROR(1*'Daily Workforce'!$K176&gt;=2,FALSE())),IF(AND('Daily Schedule'!$A41&gt;=46,'Daily Schedule'!$A41&lt;=52),'Daily Workforce'!$M176="Y",IFERROR(1*'Daily Workforce'!$P176&gt;=2,FALSE()))))),1,0)</f>
        <v>0</v>
      </c>
      <c r="GF37" s="1" t="n">
        <f aca="false">IF(AND('Daily Workforce'!$N177="Y",'Daily Workforce'!$B177&lt;&gt;"",COUNTIF('Daily Schedule'!$F$5:$F40,'Daily Workforce'!$B177)=0,IF('Daily Schedule'!$A41=45,'Daily Workforce'!$J177="Y",IF(OR('Daily Schedule'!$A41=4,'Daily Schedule'!$A41=8),IF(OR(WEEKDAY('Daily Schedule'!$B$2,2)=1,WEEKDAY('Daily Schedule'!$B$2,2)=4,WEEKDAY('Daily Schedule'!$B$2,2)=5,WEEKDAY('Daily Schedule'!$B$2,2)=7),IFERROR(1*'Daily Workforce'!$K177&gt;=3,FALSE()),IFERROR(1*'Daily Workforce'!$K177&gt;=2,FALSE())),IF(AND('Daily Schedule'!$A41&gt;=46,'Daily Schedule'!$A41&lt;=52),'Daily Workforce'!$M177="Y",IFERROR(1*'Daily Workforce'!$P177&gt;=2,FALSE()))))),1,0)</f>
        <v>0</v>
      </c>
      <c r="GG37" s="1" t="n">
        <f aca="false">IF(AND('Daily Workforce'!$N178="Y",'Daily Workforce'!$B178&lt;&gt;"",COUNTIF('Daily Schedule'!$F$5:$F40,'Daily Workforce'!$B178)=0,IF('Daily Schedule'!$A41=45,'Daily Workforce'!$J178="Y",IF(OR('Daily Schedule'!$A41=4,'Daily Schedule'!$A41=8),IF(OR(WEEKDAY('Daily Schedule'!$B$2,2)=1,WEEKDAY('Daily Schedule'!$B$2,2)=4,WEEKDAY('Daily Schedule'!$B$2,2)=5,WEEKDAY('Daily Schedule'!$B$2,2)=7),IFERROR(1*'Daily Workforce'!$K178&gt;=3,FALSE()),IFERROR(1*'Daily Workforce'!$K178&gt;=2,FALSE())),IF(AND('Daily Schedule'!$A41&gt;=46,'Daily Schedule'!$A41&lt;=52),'Daily Workforce'!$M178="Y",IFERROR(1*'Daily Workforce'!$P178&gt;=2,FALSE()))))),1,0)</f>
        <v>0</v>
      </c>
      <c r="GH37" s="1" t="n">
        <f aca="false">IF(AND('Daily Workforce'!$N179="Y",'Daily Workforce'!$B179&lt;&gt;"",COUNTIF('Daily Schedule'!$F$5:$F40,'Daily Workforce'!$B179)=0,IF('Daily Schedule'!$A41=45,'Daily Workforce'!$J179="Y",IF(OR('Daily Schedule'!$A41=4,'Daily Schedule'!$A41=8),IF(OR(WEEKDAY('Daily Schedule'!$B$2,2)=1,WEEKDAY('Daily Schedule'!$B$2,2)=4,WEEKDAY('Daily Schedule'!$B$2,2)=5,WEEKDAY('Daily Schedule'!$B$2,2)=7),IFERROR(1*'Daily Workforce'!$K179&gt;=3,FALSE()),IFERROR(1*'Daily Workforce'!$K179&gt;=2,FALSE())),IF(AND('Daily Schedule'!$A41&gt;=46,'Daily Schedule'!$A41&lt;=52),'Daily Workforce'!$M179="Y",IFERROR(1*'Daily Workforce'!$P179&gt;=2,FALSE()))))),1,0)</f>
        <v>0</v>
      </c>
      <c r="GI37" s="1" t="n">
        <f aca="false">IF(AND('Daily Workforce'!$N180="Y",'Daily Workforce'!$B180&lt;&gt;"",COUNTIF('Daily Schedule'!$F$5:$F40,'Daily Workforce'!$B180)=0,IF('Daily Schedule'!$A41=45,'Daily Workforce'!$J180="Y",IF(OR('Daily Schedule'!$A41=4,'Daily Schedule'!$A41=8),IF(OR(WEEKDAY('Daily Schedule'!$B$2,2)=1,WEEKDAY('Daily Schedule'!$B$2,2)=4,WEEKDAY('Daily Schedule'!$B$2,2)=5,WEEKDAY('Daily Schedule'!$B$2,2)=7),IFERROR(1*'Daily Workforce'!$K180&gt;=3,FALSE()),IFERROR(1*'Daily Workforce'!$K180&gt;=2,FALSE())),IF(AND('Daily Schedule'!$A41&gt;=46,'Daily Schedule'!$A41&lt;=52),'Daily Workforce'!$M180="Y",IFERROR(1*'Daily Workforce'!$P180&gt;=2,FALSE()))))),1,0)</f>
        <v>0</v>
      </c>
      <c r="GJ37" s="1" t="n">
        <f aca="false">IF(AND('Daily Workforce'!$N181="Y",'Daily Workforce'!$B181&lt;&gt;"",COUNTIF('Daily Schedule'!$F$5:$F40,'Daily Workforce'!$B181)=0,IF('Daily Schedule'!$A41=45,'Daily Workforce'!$J181="Y",IF(OR('Daily Schedule'!$A41=4,'Daily Schedule'!$A41=8),IF(OR(WEEKDAY('Daily Schedule'!$B$2,2)=1,WEEKDAY('Daily Schedule'!$B$2,2)=4,WEEKDAY('Daily Schedule'!$B$2,2)=5,WEEKDAY('Daily Schedule'!$B$2,2)=7),IFERROR(1*'Daily Workforce'!$K181&gt;=3,FALSE()),IFERROR(1*'Daily Workforce'!$K181&gt;=2,FALSE())),IF(AND('Daily Schedule'!$A41&gt;=46,'Daily Schedule'!$A41&lt;=52),'Daily Workforce'!$M181="Y",IFERROR(1*'Daily Workforce'!$P181&gt;=2,FALSE()))))),1,0)</f>
        <v>0</v>
      </c>
      <c r="GK37" s="1" t="n">
        <f aca="false">IF(AND('Daily Workforce'!$N182="Y",'Daily Workforce'!$B182&lt;&gt;"",COUNTIF('Daily Schedule'!$F$5:$F40,'Daily Workforce'!$B182)=0,IF('Daily Schedule'!$A41=45,'Daily Workforce'!$J182="Y",IF(OR('Daily Schedule'!$A41=4,'Daily Schedule'!$A41=8),IF(OR(WEEKDAY('Daily Schedule'!$B$2,2)=1,WEEKDAY('Daily Schedule'!$B$2,2)=4,WEEKDAY('Daily Schedule'!$B$2,2)=5,WEEKDAY('Daily Schedule'!$B$2,2)=7),IFERROR(1*'Daily Workforce'!$K182&gt;=3,FALSE()),IFERROR(1*'Daily Workforce'!$K182&gt;=2,FALSE())),IF(AND('Daily Schedule'!$A41&gt;=46,'Daily Schedule'!$A41&lt;=52),'Daily Workforce'!$M182="Y",IFERROR(1*'Daily Workforce'!$P182&gt;=2,FALSE()))))),1,0)</f>
        <v>0</v>
      </c>
      <c r="GL37" s="1" t="n">
        <f aca="false">IF(AND('Daily Workforce'!$N183="Y",'Daily Workforce'!$B183&lt;&gt;"",COUNTIF('Daily Schedule'!$F$5:$F40,'Daily Workforce'!$B183)=0,IF('Daily Schedule'!$A41=45,'Daily Workforce'!$J183="Y",IF(OR('Daily Schedule'!$A41=4,'Daily Schedule'!$A41=8),IF(OR(WEEKDAY('Daily Schedule'!$B$2,2)=1,WEEKDAY('Daily Schedule'!$B$2,2)=4,WEEKDAY('Daily Schedule'!$B$2,2)=5,WEEKDAY('Daily Schedule'!$B$2,2)=7),IFERROR(1*'Daily Workforce'!$K183&gt;=3,FALSE()),IFERROR(1*'Daily Workforce'!$K183&gt;=2,FALSE())),IF(AND('Daily Schedule'!$A41&gt;=46,'Daily Schedule'!$A41&lt;=52),'Daily Workforce'!$M183="Y",IFERROR(1*'Daily Workforce'!$P183&gt;=2,FALSE()))))),1,0)</f>
        <v>0</v>
      </c>
      <c r="GM37" s="1" t="n">
        <f aca="false">IF(AND('Daily Workforce'!$N184="Y",'Daily Workforce'!$B184&lt;&gt;"",COUNTIF('Daily Schedule'!$F$5:$F40,'Daily Workforce'!$B184)=0,IF('Daily Schedule'!$A41=45,'Daily Workforce'!$J184="Y",IF(OR('Daily Schedule'!$A41=4,'Daily Schedule'!$A41=8),IF(OR(WEEKDAY('Daily Schedule'!$B$2,2)=1,WEEKDAY('Daily Schedule'!$B$2,2)=4,WEEKDAY('Daily Schedule'!$B$2,2)=5,WEEKDAY('Daily Schedule'!$B$2,2)=7),IFERROR(1*'Daily Workforce'!$K184&gt;=3,FALSE()),IFERROR(1*'Daily Workforce'!$K184&gt;=2,FALSE())),IF(AND('Daily Schedule'!$A41&gt;=46,'Daily Schedule'!$A41&lt;=52),'Daily Workforce'!$M184="Y",IFERROR(1*'Daily Workforce'!$P184&gt;=2,FALSE()))))),1,0)</f>
        <v>0</v>
      </c>
      <c r="GN37" s="1" t="n">
        <f aca="false">IF(AND('Daily Workforce'!$N185="Y",'Daily Workforce'!$B185&lt;&gt;"",COUNTIF('Daily Schedule'!$F$5:$F40,'Daily Workforce'!$B185)=0,IF('Daily Schedule'!$A41=45,'Daily Workforce'!$J185="Y",IF(OR('Daily Schedule'!$A41=4,'Daily Schedule'!$A41=8),IF(OR(WEEKDAY('Daily Schedule'!$B$2,2)=1,WEEKDAY('Daily Schedule'!$B$2,2)=4,WEEKDAY('Daily Schedule'!$B$2,2)=5,WEEKDAY('Daily Schedule'!$B$2,2)=7),IFERROR(1*'Daily Workforce'!$K185&gt;=3,FALSE()),IFERROR(1*'Daily Workforce'!$K185&gt;=2,FALSE())),IF(AND('Daily Schedule'!$A41&gt;=46,'Daily Schedule'!$A41&lt;=52),'Daily Workforce'!$M185="Y",IFERROR(1*'Daily Workforce'!$P185&gt;=2,FALSE()))))),1,0)</f>
        <v>0</v>
      </c>
      <c r="GO37" s="1" t="n">
        <f aca="false">IF(AND('Daily Workforce'!$N186="Y",'Daily Workforce'!$B186&lt;&gt;"",COUNTIF('Daily Schedule'!$F$5:$F40,'Daily Workforce'!$B186)=0,IF('Daily Schedule'!$A41=45,'Daily Workforce'!$J186="Y",IF(OR('Daily Schedule'!$A41=4,'Daily Schedule'!$A41=8),IF(OR(WEEKDAY('Daily Schedule'!$B$2,2)=1,WEEKDAY('Daily Schedule'!$B$2,2)=4,WEEKDAY('Daily Schedule'!$B$2,2)=5,WEEKDAY('Daily Schedule'!$B$2,2)=7),IFERROR(1*'Daily Workforce'!$K186&gt;=3,FALSE()),IFERROR(1*'Daily Workforce'!$K186&gt;=2,FALSE())),IF(AND('Daily Schedule'!$A41&gt;=46,'Daily Schedule'!$A41&lt;=52),'Daily Workforce'!$M186="Y",IFERROR(1*'Daily Workforce'!$P186&gt;=2,FALSE()))))),1,0)</f>
        <v>0</v>
      </c>
      <c r="GP37" s="1" t="n">
        <f aca="false">IF(AND('Daily Workforce'!$N187="Y",'Daily Workforce'!$B187&lt;&gt;"",COUNTIF('Daily Schedule'!$F$5:$F40,'Daily Workforce'!$B187)=0,IF('Daily Schedule'!$A41=45,'Daily Workforce'!$J187="Y",IF(OR('Daily Schedule'!$A41=4,'Daily Schedule'!$A41=8),IF(OR(WEEKDAY('Daily Schedule'!$B$2,2)=1,WEEKDAY('Daily Schedule'!$B$2,2)=4,WEEKDAY('Daily Schedule'!$B$2,2)=5,WEEKDAY('Daily Schedule'!$B$2,2)=7),IFERROR(1*'Daily Workforce'!$K187&gt;=3,FALSE()),IFERROR(1*'Daily Workforce'!$K187&gt;=2,FALSE())),IF(AND('Daily Schedule'!$A41&gt;=46,'Daily Schedule'!$A41&lt;=52),'Daily Workforce'!$M187="Y",IFERROR(1*'Daily Workforce'!$P187&gt;=2,FALSE()))))),1,0)</f>
        <v>0</v>
      </c>
      <c r="GQ37" s="1" t="n">
        <f aca="false">IF(AND('Daily Workforce'!$N188="Y",'Daily Workforce'!$B188&lt;&gt;"",COUNTIF('Daily Schedule'!$F$5:$F40,'Daily Workforce'!$B188)=0,IF('Daily Schedule'!$A41=45,'Daily Workforce'!$J188="Y",IF(OR('Daily Schedule'!$A41=4,'Daily Schedule'!$A41=8),IF(OR(WEEKDAY('Daily Schedule'!$B$2,2)=1,WEEKDAY('Daily Schedule'!$B$2,2)=4,WEEKDAY('Daily Schedule'!$B$2,2)=5,WEEKDAY('Daily Schedule'!$B$2,2)=7),IFERROR(1*'Daily Workforce'!$K188&gt;=3,FALSE()),IFERROR(1*'Daily Workforce'!$K188&gt;=2,FALSE())),IF(AND('Daily Schedule'!$A41&gt;=46,'Daily Schedule'!$A41&lt;=52),'Daily Workforce'!$M188="Y",IFERROR(1*'Daily Workforce'!$P188&gt;=2,FALSE()))))),1,0)</f>
        <v>0</v>
      </c>
      <c r="GR37" s="1" t="n">
        <f aca="false">IF(AND('Daily Workforce'!$N189="Y",'Daily Workforce'!$B189&lt;&gt;"",COUNTIF('Daily Schedule'!$F$5:$F40,'Daily Workforce'!$B189)=0,IF('Daily Schedule'!$A41=45,'Daily Workforce'!$J189="Y",IF(OR('Daily Schedule'!$A41=4,'Daily Schedule'!$A41=8),IF(OR(WEEKDAY('Daily Schedule'!$B$2,2)=1,WEEKDAY('Daily Schedule'!$B$2,2)=4,WEEKDAY('Daily Schedule'!$B$2,2)=5,WEEKDAY('Daily Schedule'!$B$2,2)=7),IFERROR(1*'Daily Workforce'!$K189&gt;=3,FALSE()),IFERROR(1*'Daily Workforce'!$K189&gt;=2,FALSE())),IF(AND('Daily Schedule'!$A41&gt;=46,'Daily Schedule'!$A41&lt;=52),'Daily Workforce'!$M189="Y",IFERROR(1*'Daily Workforce'!$P189&gt;=2,FALSE()))))),1,0)</f>
        <v>0</v>
      </c>
      <c r="GS37" s="1" t="n">
        <f aca="false">IF(AND('Daily Workforce'!$N190="Y",'Daily Workforce'!$B190&lt;&gt;"",COUNTIF('Daily Schedule'!$F$5:$F40,'Daily Workforce'!$B190)=0,IF('Daily Schedule'!$A41=45,'Daily Workforce'!$J190="Y",IF(OR('Daily Schedule'!$A41=4,'Daily Schedule'!$A41=8),IF(OR(WEEKDAY('Daily Schedule'!$B$2,2)=1,WEEKDAY('Daily Schedule'!$B$2,2)=4,WEEKDAY('Daily Schedule'!$B$2,2)=5,WEEKDAY('Daily Schedule'!$B$2,2)=7),IFERROR(1*'Daily Workforce'!$K190&gt;=3,FALSE()),IFERROR(1*'Daily Workforce'!$K190&gt;=2,FALSE())),IF(AND('Daily Schedule'!$A41&gt;=46,'Daily Schedule'!$A41&lt;=52),'Daily Workforce'!$M190="Y",IFERROR(1*'Daily Workforce'!$P190&gt;=2,FALSE()))))),1,0)</f>
        <v>0</v>
      </c>
      <c r="GT37" s="1" t="n">
        <f aca="false">IF(AND('Daily Workforce'!$N191="Y",'Daily Workforce'!$B191&lt;&gt;"",COUNTIF('Daily Schedule'!$F$5:$F40,'Daily Workforce'!$B191)=0,IF('Daily Schedule'!$A41=45,'Daily Workforce'!$J191="Y",IF(OR('Daily Schedule'!$A41=4,'Daily Schedule'!$A41=8),IF(OR(WEEKDAY('Daily Schedule'!$B$2,2)=1,WEEKDAY('Daily Schedule'!$B$2,2)=4,WEEKDAY('Daily Schedule'!$B$2,2)=5,WEEKDAY('Daily Schedule'!$B$2,2)=7),IFERROR(1*'Daily Workforce'!$K191&gt;=3,FALSE()),IFERROR(1*'Daily Workforce'!$K191&gt;=2,FALSE())),IF(AND('Daily Schedule'!$A41&gt;=46,'Daily Schedule'!$A41&lt;=52),'Daily Workforce'!$M191="Y",IFERROR(1*'Daily Workforce'!$P191&gt;=2,FALSE()))))),1,0)</f>
        <v>0</v>
      </c>
      <c r="GU37" s="1" t="n">
        <f aca="false">IF(AND('Daily Workforce'!$N192="Y",'Daily Workforce'!$B192&lt;&gt;"",COUNTIF('Daily Schedule'!$F$5:$F40,'Daily Workforce'!$B192)=0,IF('Daily Schedule'!$A41=45,'Daily Workforce'!$J192="Y",IF(OR('Daily Schedule'!$A41=4,'Daily Schedule'!$A41=8),IF(OR(WEEKDAY('Daily Schedule'!$B$2,2)=1,WEEKDAY('Daily Schedule'!$B$2,2)=4,WEEKDAY('Daily Schedule'!$B$2,2)=5,WEEKDAY('Daily Schedule'!$B$2,2)=7),IFERROR(1*'Daily Workforce'!$K192&gt;=3,FALSE()),IFERROR(1*'Daily Workforce'!$K192&gt;=2,FALSE())),IF(AND('Daily Schedule'!$A41&gt;=46,'Daily Schedule'!$A41&lt;=52),'Daily Workforce'!$M192="Y",IFERROR(1*'Daily Workforce'!$P192&gt;=2,FALSE()))))),1,0)</f>
        <v>0</v>
      </c>
      <c r="GV37" s="1" t="n">
        <f aca="false">IF(AND('Daily Workforce'!$N193="Y",'Daily Workforce'!$B193&lt;&gt;"",COUNTIF('Daily Schedule'!$F$5:$F40,'Daily Workforce'!$B193)=0,IF('Daily Schedule'!$A41=45,'Daily Workforce'!$J193="Y",IF(OR('Daily Schedule'!$A41=4,'Daily Schedule'!$A41=8),IF(OR(WEEKDAY('Daily Schedule'!$B$2,2)=1,WEEKDAY('Daily Schedule'!$B$2,2)=4,WEEKDAY('Daily Schedule'!$B$2,2)=5,WEEKDAY('Daily Schedule'!$B$2,2)=7),IFERROR(1*'Daily Workforce'!$K193&gt;=3,FALSE()),IFERROR(1*'Daily Workforce'!$K193&gt;=2,FALSE())),IF(AND('Daily Schedule'!$A41&gt;=46,'Daily Schedule'!$A41&lt;=52),'Daily Workforce'!$M193="Y",IFERROR(1*'Daily Workforce'!$P193&gt;=2,FALSE()))))),1,0)</f>
        <v>0</v>
      </c>
      <c r="GW37" s="1" t="n">
        <f aca="false">IF(AND('Daily Workforce'!$N194="Y",'Daily Workforce'!$B194&lt;&gt;"",COUNTIF('Daily Schedule'!$F$5:$F40,'Daily Workforce'!$B194)=0,IF('Daily Schedule'!$A41=45,'Daily Workforce'!$J194="Y",IF(OR('Daily Schedule'!$A41=4,'Daily Schedule'!$A41=8),IF(OR(WEEKDAY('Daily Schedule'!$B$2,2)=1,WEEKDAY('Daily Schedule'!$B$2,2)=4,WEEKDAY('Daily Schedule'!$B$2,2)=5,WEEKDAY('Daily Schedule'!$B$2,2)=7),IFERROR(1*'Daily Workforce'!$K194&gt;=3,FALSE()),IFERROR(1*'Daily Workforce'!$K194&gt;=2,FALSE())),IF(AND('Daily Schedule'!$A41&gt;=46,'Daily Schedule'!$A41&lt;=52),'Daily Workforce'!$M194="Y",IFERROR(1*'Daily Workforce'!$P194&gt;=2,FALSE()))))),1,0)</f>
        <v>0</v>
      </c>
      <c r="GX37" s="1" t="n">
        <f aca="false">IF(AND('Daily Workforce'!$N195="Y",'Daily Workforce'!$B195&lt;&gt;"",COUNTIF('Daily Schedule'!$F$5:$F40,'Daily Workforce'!$B195)=0,IF('Daily Schedule'!$A41=45,'Daily Workforce'!$J195="Y",IF(OR('Daily Schedule'!$A41=4,'Daily Schedule'!$A41=8),IF(OR(WEEKDAY('Daily Schedule'!$B$2,2)=1,WEEKDAY('Daily Schedule'!$B$2,2)=4,WEEKDAY('Daily Schedule'!$B$2,2)=5,WEEKDAY('Daily Schedule'!$B$2,2)=7),IFERROR(1*'Daily Workforce'!$K195&gt;=3,FALSE()),IFERROR(1*'Daily Workforce'!$K195&gt;=2,FALSE())),IF(AND('Daily Schedule'!$A41&gt;=46,'Daily Schedule'!$A41&lt;=52),'Daily Workforce'!$M195="Y",IFERROR(1*'Daily Workforce'!$P195&gt;=2,FALSE()))))),1,0)</f>
        <v>0</v>
      </c>
      <c r="GY37" s="1" t="n">
        <f aca="false">IF(AND('Daily Workforce'!$N196="Y",'Daily Workforce'!$B196&lt;&gt;"",COUNTIF('Daily Schedule'!$F$5:$F40,'Daily Workforce'!$B196)=0,IF('Daily Schedule'!$A41=45,'Daily Workforce'!$J196="Y",IF(OR('Daily Schedule'!$A41=4,'Daily Schedule'!$A41=8),IF(OR(WEEKDAY('Daily Schedule'!$B$2,2)=1,WEEKDAY('Daily Schedule'!$B$2,2)=4,WEEKDAY('Daily Schedule'!$B$2,2)=5,WEEKDAY('Daily Schedule'!$B$2,2)=7),IFERROR(1*'Daily Workforce'!$K196&gt;=3,FALSE()),IFERROR(1*'Daily Workforce'!$K196&gt;=2,FALSE())),IF(AND('Daily Schedule'!$A41&gt;=46,'Daily Schedule'!$A41&lt;=52),'Daily Workforce'!$M196="Y",IFERROR(1*'Daily Workforce'!$P196&gt;=2,FALSE()))))),1,0)</f>
        <v>0</v>
      </c>
      <c r="GZ37" s="1" t="n">
        <f aca="false">IF(AND('Daily Workforce'!$N197="Y",'Daily Workforce'!$B197&lt;&gt;"",COUNTIF('Daily Schedule'!$F$5:$F40,'Daily Workforce'!$B197)=0,IF('Daily Schedule'!$A41=45,'Daily Workforce'!$J197="Y",IF(OR('Daily Schedule'!$A41=4,'Daily Schedule'!$A41=8),IF(OR(WEEKDAY('Daily Schedule'!$B$2,2)=1,WEEKDAY('Daily Schedule'!$B$2,2)=4,WEEKDAY('Daily Schedule'!$B$2,2)=5,WEEKDAY('Daily Schedule'!$B$2,2)=7),IFERROR(1*'Daily Workforce'!$K197&gt;=3,FALSE()),IFERROR(1*'Daily Workforce'!$K197&gt;=2,FALSE())),IF(AND('Daily Schedule'!$A41&gt;=46,'Daily Schedule'!$A41&lt;=52),'Daily Workforce'!$M197="Y",IFERROR(1*'Daily Workforce'!$P197&gt;=2,FALSE()))))),1,0)</f>
        <v>0</v>
      </c>
      <c r="HA37" s="1" t="n">
        <f aca="false">IF(AND('Daily Workforce'!$N198="Y",'Daily Workforce'!$B198&lt;&gt;"",COUNTIF('Daily Schedule'!$F$5:$F40,'Daily Workforce'!$B198)=0,IF('Daily Schedule'!$A41=45,'Daily Workforce'!$J198="Y",IF(OR('Daily Schedule'!$A41=4,'Daily Schedule'!$A41=8),IF(OR(WEEKDAY('Daily Schedule'!$B$2,2)=1,WEEKDAY('Daily Schedule'!$B$2,2)=4,WEEKDAY('Daily Schedule'!$B$2,2)=5,WEEKDAY('Daily Schedule'!$B$2,2)=7),IFERROR(1*'Daily Workforce'!$K198&gt;=3,FALSE()),IFERROR(1*'Daily Workforce'!$K198&gt;=2,FALSE())),IF(AND('Daily Schedule'!$A41&gt;=46,'Daily Schedule'!$A41&lt;=52),'Daily Workforce'!$M198="Y",IFERROR(1*'Daily Workforce'!$P198&gt;=2,FALSE()))))),1,0)</f>
        <v>0</v>
      </c>
      <c r="HB37" s="1" t="n">
        <f aca="false">IF(AND('Daily Workforce'!$N199="Y",'Daily Workforce'!$B199&lt;&gt;"",COUNTIF('Daily Schedule'!$F$5:$F40,'Daily Workforce'!$B199)=0,IF('Daily Schedule'!$A41=45,'Daily Workforce'!$J199="Y",IF(OR('Daily Schedule'!$A41=4,'Daily Schedule'!$A41=8),IF(OR(WEEKDAY('Daily Schedule'!$B$2,2)=1,WEEKDAY('Daily Schedule'!$B$2,2)=4,WEEKDAY('Daily Schedule'!$B$2,2)=5,WEEKDAY('Daily Schedule'!$B$2,2)=7),IFERROR(1*'Daily Workforce'!$K199&gt;=3,FALSE()),IFERROR(1*'Daily Workforce'!$K199&gt;=2,FALSE())),IF(AND('Daily Schedule'!$A41&gt;=46,'Daily Schedule'!$A41&lt;=52),'Daily Workforce'!$M199="Y",IFERROR(1*'Daily Workforce'!$P199&gt;=2,FALSE()))))),1,0)</f>
        <v>0</v>
      </c>
      <c r="HC37" s="1" t="n">
        <f aca="false">IF(AND('Daily Workforce'!$N200="Y",'Daily Workforce'!$B200&lt;&gt;"",COUNTIF('Daily Schedule'!$F$5:$F40,'Daily Workforce'!$B200)=0,IF('Daily Schedule'!$A41=45,'Daily Workforce'!$J200="Y",IF(OR('Daily Schedule'!$A41=4,'Daily Schedule'!$A41=8),IF(OR(WEEKDAY('Daily Schedule'!$B$2,2)=1,WEEKDAY('Daily Schedule'!$B$2,2)=4,WEEKDAY('Daily Schedule'!$B$2,2)=5,WEEKDAY('Daily Schedule'!$B$2,2)=7),IFERROR(1*'Daily Workforce'!$K200&gt;=3,FALSE()),IFERROR(1*'Daily Workforce'!$K200&gt;=2,FALSE())),IF(AND('Daily Schedule'!$A41&gt;=46,'Daily Schedule'!$A41&lt;=52),'Daily Workforce'!$M200="Y",IFERROR(1*'Daily Workforce'!$P200&gt;=2,FALSE()))))),1,0)</f>
        <v>0</v>
      </c>
      <c r="HD37" s="1" t="n">
        <f aca="false">IF(AND('Daily Workforce'!$N201="Y",'Daily Workforce'!$B201&lt;&gt;"",COUNTIF('Daily Schedule'!$F$5:$F40,'Daily Workforce'!$B201)=0,IF('Daily Schedule'!$A41=45,'Daily Workforce'!$J201="Y",IF(OR('Daily Schedule'!$A41=4,'Daily Schedule'!$A41=8),IF(OR(WEEKDAY('Daily Schedule'!$B$2,2)=1,WEEKDAY('Daily Schedule'!$B$2,2)=4,WEEKDAY('Daily Schedule'!$B$2,2)=5,WEEKDAY('Daily Schedule'!$B$2,2)=7),IFERROR(1*'Daily Workforce'!$K201&gt;=3,FALSE()),IFERROR(1*'Daily Workforce'!$K201&gt;=2,FALSE())),IF(AND('Daily Schedule'!$A41&gt;=46,'Daily Schedule'!$A41&lt;=52),'Daily Workforce'!$M201="Y",IFERROR(1*'Daily Workforce'!$P201&gt;=2,FALSE()))))),1,0)</f>
        <v>0</v>
      </c>
      <c r="HE37" s="1" t="n">
        <f aca="false">IF(AND('Daily Workforce'!$N202="Y",'Daily Workforce'!$B202&lt;&gt;"",COUNTIF('Daily Schedule'!$F$5:$F40,'Daily Workforce'!$B202)=0,IF('Daily Schedule'!$A41=45,'Daily Workforce'!$J202="Y",IF(OR('Daily Schedule'!$A41=4,'Daily Schedule'!$A41=8),IF(OR(WEEKDAY('Daily Schedule'!$B$2,2)=1,WEEKDAY('Daily Schedule'!$B$2,2)=4,WEEKDAY('Daily Schedule'!$B$2,2)=5,WEEKDAY('Daily Schedule'!$B$2,2)=7),IFERROR(1*'Daily Workforce'!$K202&gt;=3,FALSE()),IFERROR(1*'Daily Workforce'!$K202&gt;=2,FALSE())),IF(AND('Daily Schedule'!$A41&gt;=46,'Daily Schedule'!$A41&lt;=52),'Daily Workforce'!$M202="Y",IFERROR(1*'Daily Workforce'!$P202&gt;=2,FALSE()))))),1,0)</f>
        <v>0</v>
      </c>
      <c r="HF37" s="1" t="n">
        <f aca="false">IF(AND('Daily Workforce'!$N203="Y",'Daily Workforce'!$B203&lt;&gt;"",COUNTIF('Daily Schedule'!$F$5:$F40,'Daily Workforce'!$B203)=0,IF('Daily Schedule'!$A41=45,'Daily Workforce'!$J203="Y",IF(OR('Daily Schedule'!$A41=4,'Daily Schedule'!$A41=8),IF(OR(WEEKDAY('Daily Schedule'!$B$2,2)=1,WEEKDAY('Daily Schedule'!$B$2,2)=4,WEEKDAY('Daily Schedule'!$B$2,2)=5,WEEKDAY('Daily Schedule'!$B$2,2)=7),IFERROR(1*'Daily Workforce'!$K203&gt;=3,FALSE()),IFERROR(1*'Daily Workforce'!$K203&gt;=2,FALSE())),IF(AND('Daily Schedule'!$A41&gt;=46,'Daily Schedule'!$A41&lt;=52),'Daily Workforce'!$M203="Y",IFERROR(1*'Daily Workforce'!$P203&gt;=2,FALSE()))))),1,0)</f>
        <v>0</v>
      </c>
      <c r="HG37" s="1" t="n">
        <f aca="false">IF(AND('Daily Workforce'!$N204="Y",'Daily Workforce'!$B204&lt;&gt;"",COUNTIF('Daily Schedule'!$F$5:$F40,'Daily Workforce'!$B204)=0,IF('Daily Schedule'!$A41=45,'Daily Workforce'!$J204="Y",IF(OR('Daily Schedule'!$A41=4,'Daily Schedule'!$A41=8),IF(OR(WEEKDAY('Daily Schedule'!$B$2,2)=1,WEEKDAY('Daily Schedule'!$B$2,2)=4,WEEKDAY('Daily Schedule'!$B$2,2)=5,WEEKDAY('Daily Schedule'!$B$2,2)=7),IFERROR(1*'Daily Workforce'!$K204&gt;=3,FALSE()),IFERROR(1*'Daily Workforce'!$K204&gt;=2,FALSE())),IF(AND('Daily Schedule'!$A41&gt;=46,'Daily Schedule'!$A41&lt;=52),'Daily Workforce'!$M204="Y",IFERROR(1*'Daily Workforce'!$P204&gt;=2,FALSE()))))),1,0)</f>
        <v>0</v>
      </c>
      <c r="HH37" s="1" t="n">
        <f aca="false">IF(AND('Daily Workforce'!$N205="Y",'Daily Workforce'!$B205&lt;&gt;"",COUNTIF('Daily Schedule'!$F$5:$F40,'Daily Workforce'!$B205)=0,IF('Daily Schedule'!$A41=45,'Daily Workforce'!$J205="Y",IF(OR('Daily Schedule'!$A41=4,'Daily Schedule'!$A41=8),IF(OR(WEEKDAY('Daily Schedule'!$B$2,2)=1,WEEKDAY('Daily Schedule'!$B$2,2)=4,WEEKDAY('Daily Schedule'!$B$2,2)=5,WEEKDAY('Daily Schedule'!$B$2,2)=7),IFERROR(1*'Daily Workforce'!$K205&gt;=3,FALSE()),IFERROR(1*'Daily Workforce'!$K205&gt;=2,FALSE())),IF(AND('Daily Schedule'!$A41&gt;=46,'Daily Schedule'!$A41&lt;=52),'Daily Workforce'!$M205="Y",IFERROR(1*'Daily Workforce'!$P205&gt;=2,FALSE()))))),1,0)</f>
        <v>0</v>
      </c>
    </row>
    <row r="38" customFormat="false" ht="15" hidden="false" customHeight="true" outlineLevel="0" collapsed="false">
      <c r="L38" s="1" t="s">
        <v>487</v>
      </c>
      <c r="O38" s="1" t="n">
        <f aca="false">IF(AND('Employee Master'!$G38="Y",ISERROR(SEARCH(TEXT('Daily Workforce'!$B$2,"ddd"),'Employee Master'!$D38)),IF('Daily Workforce'!$E$2="",TRUE(),'Employee Master'!$I38='Daily Workforce'!$E$2)),'Employee Master'!$K38*1000+ROW()-1,"")</f>
        <v>3037</v>
      </c>
      <c r="P38" s="1" t="n">
        <f aca="false">IF($O38="","",COUNTIF($O$2:$O$159,"&lt;="&amp;$O38))</f>
        <v>65</v>
      </c>
      <c r="Q38" s="1" t="n">
        <f aca="false">IF(AND('Daily Workforce'!$N6="Y",'Daily Workforce'!$B6&lt;&gt;"",COUNTIF('Daily Schedule'!$F$5:$F41,'Daily Workforce'!$B6)=0,IF('Daily Schedule'!$A42=45,'Daily Workforce'!$J6="Y",IF(OR('Daily Schedule'!$A42=4,'Daily Schedule'!$A42=8),IF(OR(WEEKDAY('Daily Schedule'!$B$2,2)=1,WEEKDAY('Daily Schedule'!$B$2,2)=4,WEEKDAY('Daily Schedule'!$B$2,2)=5,WEEKDAY('Daily Schedule'!$B$2,2)=7),IFERROR(1*'Daily Workforce'!$K6&gt;=3,FALSE()),IFERROR(1*'Daily Workforce'!$K6&gt;=2,FALSE())),IF(AND('Daily Schedule'!$A42&gt;=46,'Daily Schedule'!$A42&lt;=52),'Daily Workforce'!$M6="Y",IFERROR(1*'Daily Workforce'!$P6&gt;=2,FALSE()))))),1,0)</f>
        <v>0</v>
      </c>
      <c r="R38" s="1" t="n">
        <f aca="false">IF(AND('Daily Workforce'!$N7="Y",'Daily Workforce'!$B7&lt;&gt;"",COUNTIF('Daily Schedule'!$F$5:$F41,'Daily Workforce'!$B7)=0,IF('Daily Schedule'!$A42=45,'Daily Workforce'!$J7="Y",IF(OR('Daily Schedule'!$A42=4,'Daily Schedule'!$A42=8),IF(OR(WEEKDAY('Daily Schedule'!$B$2,2)=1,WEEKDAY('Daily Schedule'!$B$2,2)=4,WEEKDAY('Daily Schedule'!$B$2,2)=5,WEEKDAY('Daily Schedule'!$B$2,2)=7),IFERROR(1*'Daily Workforce'!$K7&gt;=3,FALSE()),IFERROR(1*'Daily Workforce'!$K7&gt;=2,FALSE())),IF(AND('Daily Schedule'!$A42&gt;=46,'Daily Schedule'!$A42&lt;=52),'Daily Workforce'!$M7="Y",IFERROR(1*'Daily Workforce'!$P7&gt;=2,FALSE()))))),1,0)</f>
        <v>0</v>
      </c>
      <c r="S38" s="1" t="n">
        <f aca="false">IF(AND('Daily Workforce'!$N8="Y",'Daily Workforce'!$B8&lt;&gt;"",COUNTIF('Daily Schedule'!$F$5:$F41,'Daily Workforce'!$B8)=0,IF('Daily Schedule'!$A42=45,'Daily Workforce'!$J8="Y",IF(OR('Daily Schedule'!$A42=4,'Daily Schedule'!$A42=8),IF(OR(WEEKDAY('Daily Schedule'!$B$2,2)=1,WEEKDAY('Daily Schedule'!$B$2,2)=4,WEEKDAY('Daily Schedule'!$B$2,2)=5,WEEKDAY('Daily Schedule'!$B$2,2)=7),IFERROR(1*'Daily Workforce'!$K8&gt;=3,FALSE()),IFERROR(1*'Daily Workforce'!$K8&gt;=2,FALSE())),IF(AND('Daily Schedule'!$A42&gt;=46,'Daily Schedule'!$A42&lt;=52),'Daily Workforce'!$M8="Y",IFERROR(1*'Daily Workforce'!$P8&gt;=2,FALSE()))))),1,0)</f>
        <v>0</v>
      </c>
      <c r="T38" s="1" t="n">
        <f aca="false">IF(AND('Daily Workforce'!$N9="Y",'Daily Workforce'!$B9&lt;&gt;"",COUNTIF('Daily Schedule'!$F$5:$F41,'Daily Workforce'!$B9)=0,IF('Daily Schedule'!$A42=45,'Daily Workforce'!$J9="Y",IF(OR('Daily Schedule'!$A42=4,'Daily Schedule'!$A42=8),IF(OR(WEEKDAY('Daily Schedule'!$B$2,2)=1,WEEKDAY('Daily Schedule'!$B$2,2)=4,WEEKDAY('Daily Schedule'!$B$2,2)=5,WEEKDAY('Daily Schedule'!$B$2,2)=7),IFERROR(1*'Daily Workforce'!$K9&gt;=3,FALSE()),IFERROR(1*'Daily Workforce'!$K9&gt;=2,FALSE())),IF(AND('Daily Schedule'!$A42&gt;=46,'Daily Schedule'!$A42&lt;=52),'Daily Workforce'!$M9="Y",IFERROR(1*'Daily Workforce'!$P9&gt;=2,FALSE()))))),1,0)</f>
        <v>0</v>
      </c>
      <c r="U38" s="1" t="n">
        <f aca="false">IF(AND('Daily Workforce'!$N10="Y",'Daily Workforce'!$B10&lt;&gt;"",COUNTIF('Daily Schedule'!$F$5:$F41,'Daily Workforce'!$B10)=0,IF('Daily Schedule'!$A42=45,'Daily Workforce'!$J10="Y",IF(OR('Daily Schedule'!$A42=4,'Daily Schedule'!$A42=8),IF(OR(WEEKDAY('Daily Schedule'!$B$2,2)=1,WEEKDAY('Daily Schedule'!$B$2,2)=4,WEEKDAY('Daily Schedule'!$B$2,2)=5,WEEKDAY('Daily Schedule'!$B$2,2)=7),IFERROR(1*'Daily Workforce'!$K10&gt;=3,FALSE()),IFERROR(1*'Daily Workforce'!$K10&gt;=2,FALSE())),IF(AND('Daily Schedule'!$A42&gt;=46,'Daily Schedule'!$A42&lt;=52),'Daily Workforce'!$M10="Y",IFERROR(1*'Daily Workforce'!$P10&gt;=2,FALSE()))))),1,0)</f>
        <v>0</v>
      </c>
      <c r="V38" s="1" t="n">
        <f aca="false">IF(AND('Daily Workforce'!$N11="Y",'Daily Workforce'!$B11&lt;&gt;"",COUNTIF('Daily Schedule'!$F$5:$F41,'Daily Workforce'!$B11)=0,IF('Daily Schedule'!$A42=45,'Daily Workforce'!$J11="Y",IF(OR('Daily Schedule'!$A42=4,'Daily Schedule'!$A42=8),IF(OR(WEEKDAY('Daily Schedule'!$B$2,2)=1,WEEKDAY('Daily Schedule'!$B$2,2)=4,WEEKDAY('Daily Schedule'!$B$2,2)=5,WEEKDAY('Daily Schedule'!$B$2,2)=7),IFERROR(1*'Daily Workforce'!$K11&gt;=3,FALSE()),IFERROR(1*'Daily Workforce'!$K11&gt;=2,FALSE())),IF(AND('Daily Schedule'!$A42&gt;=46,'Daily Schedule'!$A42&lt;=52),'Daily Workforce'!$M11="Y",IFERROR(1*'Daily Workforce'!$P11&gt;=2,FALSE()))))),1,0)</f>
        <v>0</v>
      </c>
      <c r="W38" s="1" t="n">
        <f aca="false">IF(AND('Daily Workforce'!$N12="Y",'Daily Workforce'!$B12&lt;&gt;"",COUNTIF('Daily Schedule'!$F$5:$F41,'Daily Workforce'!$B12)=0,IF('Daily Schedule'!$A42=45,'Daily Workforce'!$J12="Y",IF(OR('Daily Schedule'!$A42=4,'Daily Schedule'!$A42=8),IF(OR(WEEKDAY('Daily Schedule'!$B$2,2)=1,WEEKDAY('Daily Schedule'!$B$2,2)=4,WEEKDAY('Daily Schedule'!$B$2,2)=5,WEEKDAY('Daily Schedule'!$B$2,2)=7),IFERROR(1*'Daily Workforce'!$K12&gt;=3,FALSE()),IFERROR(1*'Daily Workforce'!$K12&gt;=2,FALSE())),IF(AND('Daily Schedule'!$A42&gt;=46,'Daily Schedule'!$A42&lt;=52),'Daily Workforce'!$M12="Y",IFERROR(1*'Daily Workforce'!$P12&gt;=2,FALSE()))))),1,0)</f>
        <v>0</v>
      </c>
      <c r="X38" s="1" t="n">
        <f aca="false">IF(AND('Daily Workforce'!$N13="Y",'Daily Workforce'!$B13&lt;&gt;"",COUNTIF('Daily Schedule'!$F$5:$F41,'Daily Workforce'!$B13)=0,IF('Daily Schedule'!$A42=45,'Daily Workforce'!$J13="Y",IF(OR('Daily Schedule'!$A42=4,'Daily Schedule'!$A42=8),IF(OR(WEEKDAY('Daily Schedule'!$B$2,2)=1,WEEKDAY('Daily Schedule'!$B$2,2)=4,WEEKDAY('Daily Schedule'!$B$2,2)=5,WEEKDAY('Daily Schedule'!$B$2,2)=7),IFERROR(1*'Daily Workforce'!$K13&gt;=3,FALSE()),IFERROR(1*'Daily Workforce'!$K13&gt;=2,FALSE())),IF(AND('Daily Schedule'!$A42&gt;=46,'Daily Schedule'!$A42&lt;=52),'Daily Workforce'!$M13="Y",IFERROR(1*'Daily Workforce'!$P13&gt;=2,FALSE()))))),1,0)</f>
        <v>0</v>
      </c>
      <c r="Y38" s="1" t="n">
        <f aca="false">IF(AND('Daily Workforce'!$N14="Y",'Daily Workforce'!$B14&lt;&gt;"",COUNTIF('Daily Schedule'!$F$5:$F41,'Daily Workforce'!$B14)=0,IF('Daily Schedule'!$A42=45,'Daily Workforce'!$J14="Y",IF(OR('Daily Schedule'!$A42=4,'Daily Schedule'!$A42=8),IF(OR(WEEKDAY('Daily Schedule'!$B$2,2)=1,WEEKDAY('Daily Schedule'!$B$2,2)=4,WEEKDAY('Daily Schedule'!$B$2,2)=5,WEEKDAY('Daily Schedule'!$B$2,2)=7),IFERROR(1*'Daily Workforce'!$K14&gt;=3,FALSE()),IFERROR(1*'Daily Workforce'!$K14&gt;=2,FALSE())),IF(AND('Daily Schedule'!$A42&gt;=46,'Daily Schedule'!$A42&lt;=52),'Daily Workforce'!$M14="Y",IFERROR(1*'Daily Workforce'!$P14&gt;=2,FALSE()))))),1,0)</f>
        <v>0</v>
      </c>
      <c r="Z38" s="1" t="n">
        <f aca="false">IF(AND('Daily Workforce'!$N15="Y",'Daily Workforce'!$B15&lt;&gt;"",COUNTIF('Daily Schedule'!$F$5:$F41,'Daily Workforce'!$B15)=0,IF('Daily Schedule'!$A42=45,'Daily Workforce'!$J15="Y",IF(OR('Daily Schedule'!$A42=4,'Daily Schedule'!$A42=8),IF(OR(WEEKDAY('Daily Schedule'!$B$2,2)=1,WEEKDAY('Daily Schedule'!$B$2,2)=4,WEEKDAY('Daily Schedule'!$B$2,2)=5,WEEKDAY('Daily Schedule'!$B$2,2)=7),IFERROR(1*'Daily Workforce'!$K15&gt;=3,FALSE()),IFERROR(1*'Daily Workforce'!$K15&gt;=2,FALSE())),IF(AND('Daily Schedule'!$A42&gt;=46,'Daily Schedule'!$A42&lt;=52),'Daily Workforce'!$M15="Y",IFERROR(1*'Daily Workforce'!$P15&gt;=2,FALSE()))))),1,0)</f>
        <v>0</v>
      </c>
      <c r="AA38" s="1" t="n">
        <f aca="false">IF(AND('Daily Workforce'!$N16="Y",'Daily Workforce'!$B16&lt;&gt;"",COUNTIF('Daily Schedule'!$F$5:$F41,'Daily Workforce'!$B16)=0,IF('Daily Schedule'!$A42=45,'Daily Workforce'!$J16="Y",IF(OR('Daily Schedule'!$A42=4,'Daily Schedule'!$A42=8),IF(OR(WEEKDAY('Daily Schedule'!$B$2,2)=1,WEEKDAY('Daily Schedule'!$B$2,2)=4,WEEKDAY('Daily Schedule'!$B$2,2)=5,WEEKDAY('Daily Schedule'!$B$2,2)=7),IFERROR(1*'Daily Workforce'!$K16&gt;=3,FALSE()),IFERROR(1*'Daily Workforce'!$K16&gt;=2,FALSE())),IF(AND('Daily Schedule'!$A42&gt;=46,'Daily Schedule'!$A42&lt;=52),'Daily Workforce'!$M16="Y",IFERROR(1*'Daily Workforce'!$P16&gt;=2,FALSE()))))),1,0)</f>
        <v>0</v>
      </c>
      <c r="AB38" s="1" t="n">
        <f aca="false">IF(AND('Daily Workforce'!$N17="Y",'Daily Workforce'!$B17&lt;&gt;"",COUNTIF('Daily Schedule'!$F$5:$F41,'Daily Workforce'!$B17)=0,IF('Daily Schedule'!$A42=45,'Daily Workforce'!$J17="Y",IF(OR('Daily Schedule'!$A42=4,'Daily Schedule'!$A42=8),IF(OR(WEEKDAY('Daily Schedule'!$B$2,2)=1,WEEKDAY('Daily Schedule'!$B$2,2)=4,WEEKDAY('Daily Schedule'!$B$2,2)=5,WEEKDAY('Daily Schedule'!$B$2,2)=7),IFERROR(1*'Daily Workforce'!$K17&gt;=3,FALSE()),IFERROR(1*'Daily Workforce'!$K17&gt;=2,FALSE())),IF(AND('Daily Schedule'!$A42&gt;=46,'Daily Schedule'!$A42&lt;=52),'Daily Workforce'!$M17="Y",IFERROR(1*'Daily Workforce'!$P17&gt;=2,FALSE()))))),1,0)</f>
        <v>0</v>
      </c>
      <c r="AC38" s="1" t="n">
        <f aca="false">IF(AND('Daily Workforce'!$N18="Y",'Daily Workforce'!$B18&lt;&gt;"",COUNTIF('Daily Schedule'!$F$5:$F41,'Daily Workforce'!$B18)=0,IF('Daily Schedule'!$A42=45,'Daily Workforce'!$J18="Y",IF(OR('Daily Schedule'!$A42=4,'Daily Schedule'!$A42=8),IF(OR(WEEKDAY('Daily Schedule'!$B$2,2)=1,WEEKDAY('Daily Schedule'!$B$2,2)=4,WEEKDAY('Daily Schedule'!$B$2,2)=5,WEEKDAY('Daily Schedule'!$B$2,2)=7),IFERROR(1*'Daily Workforce'!$K18&gt;=3,FALSE()),IFERROR(1*'Daily Workforce'!$K18&gt;=2,FALSE())),IF(AND('Daily Schedule'!$A42&gt;=46,'Daily Schedule'!$A42&lt;=52),'Daily Workforce'!$M18="Y",IFERROR(1*'Daily Workforce'!$P18&gt;=2,FALSE()))))),1,0)</f>
        <v>0</v>
      </c>
      <c r="AD38" s="1" t="n">
        <f aca="false">IF(AND('Daily Workforce'!$N19="Y",'Daily Workforce'!$B19&lt;&gt;"",COUNTIF('Daily Schedule'!$F$5:$F41,'Daily Workforce'!$B19)=0,IF('Daily Schedule'!$A42=45,'Daily Workforce'!$J19="Y",IF(OR('Daily Schedule'!$A42=4,'Daily Schedule'!$A42=8),IF(OR(WEEKDAY('Daily Schedule'!$B$2,2)=1,WEEKDAY('Daily Schedule'!$B$2,2)=4,WEEKDAY('Daily Schedule'!$B$2,2)=5,WEEKDAY('Daily Schedule'!$B$2,2)=7),IFERROR(1*'Daily Workforce'!$K19&gt;=3,FALSE()),IFERROR(1*'Daily Workforce'!$K19&gt;=2,FALSE())),IF(AND('Daily Schedule'!$A42&gt;=46,'Daily Schedule'!$A42&lt;=52),'Daily Workforce'!$M19="Y",IFERROR(1*'Daily Workforce'!$P19&gt;=2,FALSE()))))),1,0)</f>
        <v>0</v>
      </c>
      <c r="AE38" s="1" t="n">
        <f aca="false">IF(AND('Daily Workforce'!$N20="Y",'Daily Workforce'!$B20&lt;&gt;"",COUNTIF('Daily Schedule'!$F$5:$F41,'Daily Workforce'!$B20)=0,IF('Daily Schedule'!$A42=45,'Daily Workforce'!$J20="Y",IF(OR('Daily Schedule'!$A42=4,'Daily Schedule'!$A42=8),IF(OR(WEEKDAY('Daily Schedule'!$B$2,2)=1,WEEKDAY('Daily Schedule'!$B$2,2)=4,WEEKDAY('Daily Schedule'!$B$2,2)=5,WEEKDAY('Daily Schedule'!$B$2,2)=7),IFERROR(1*'Daily Workforce'!$K20&gt;=3,FALSE()),IFERROR(1*'Daily Workforce'!$K20&gt;=2,FALSE())),IF(AND('Daily Schedule'!$A42&gt;=46,'Daily Schedule'!$A42&lt;=52),'Daily Workforce'!$M20="Y",IFERROR(1*'Daily Workforce'!$P20&gt;=2,FALSE()))))),1,0)</f>
        <v>0</v>
      </c>
      <c r="AF38" s="1" t="n">
        <f aca="false">IF(AND('Daily Workforce'!$N21="Y",'Daily Workforce'!$B21&lt;&gt;"",COUNTIF('Daily Schedule'!$F$5:$F41,'Daily Workforce'!$B21)=0,IF('Daily Schedule'!$A42=45,'Daily Workforce'!$J21="Y",IF(OR('Daily Schedule'!$A42=4,'Daily Schedule'!$A42=8),IF(OR(WEEKDAY('Daily Schedule'!$B$2,2)=1,WEEKDAY('Daily Schedule'!$B$2,2)=4,WEEKDAY('Daily Schedule'!$B$2,2)=5,WEEKDAY('Daily Schedule'!$B$2,2)=7),IFERROR(1*'Daily Workforce'!$K21&gt;=3,FALSE()),IFERROR(1*'Daily Workforce'!$K21&gt;=2,FALSE())),IF(AND('Daily Schedule'!$A42&gt;=46,'Daily Schedule'!$A42&lt;=52),'Daily Workforce'!$M21="Y",IFERROR(1*'Daily Workforce'!$P21&gt;=2,FALSE()))))),1,0)</f>
        <v>0</v>
      </c>
      <c r="AG38" s="1" t="n">
        <f aca="false">IF(AND('Daily Workforce'!$N22="Y",'Daily Workforce'!$B22&lt;&gt;"",COUNTIF('Daily Schedule'!$F$5:$F41,'Daily Workforce'!$B22)=0,IF('Daily Schedule'!$A42=45,'Daily Workforce'!$J22="Y",IF(OR('Daily Schedule'!$A42=4,'Daily Schedule'!$A42=8),IF(OR(WEEKDAY('Daily Schedule'!$B$2,2)=1,WEEKDAY('Daily Schedule'!$B$2,2)=4,WEEKDAY('Daily Schedule'!$B$2,2)=5,WEEKDAY('Daily Schedule'!$B$2,2)=7),IFERROR(1*'Daily Workforce'!$K22&gt;=3,FALSE()),IFERROR(1*'Daily Workforce'!$K22&gt;=2,FALSE())),IF(AND('Daily Schedule'!$A42&gt;=46,'Daily Schedule'!$A42&lt;=52),'Daily Workforce'!$M22="Y",IFERROR(1*'Daily Workforce'!$P22&gt;=2,FALSE()))))),1,0)</f>
        <v>0</v>
      </c>
      <c r="AH38" s="1" t="n">
        <f aca="false">IF(AND('Daily Workforce'!$N23="Y",'Daily Workforce'!$B23&lt;&gt;"",COUNTIF('Daily Schedule'!$F$5:$F41,'Daily Workforce'!$B23)=0,IF('Daily Schedule'!$A42=45,'Daily Workforce'!$J23="Y",IF(OR('Daily Schedule'!$A42=4,'Daily Schedule'!$A42=8),IF(OR(WEEKDAY('Daily Schedule'!$B$2,2)=1,WEEKDAY('Daily Schedule'!$B$2,2)=4,WEEKDAY('Daily Schedule'!$B$2,2)=5,WEEKDAY('Daily Schedule'!$B$2,2)=7),IFERROR(1*'Daily Workforce'!$K23&gt;=3,FALSE()),IFERROR(1*'Daily Workforce'!$K23&gt;=2,FALSE())),IF(AND('Daily Schedule'!$A42&gt;=46,'Daily Schedule'!$A42&lt;=52),'Daily Workforce'!$M23="Y",IFERROR(1*'Daily Workforce'!$P23&gt;=2,FALSE()))))),1,0)</f>
        <v>0</v>
      </c>
      <c r="AI38" s="1" t="n">
        <f aca="false">IF(AND('Daily Workforce'!$N24="Y",'Daily Workforce'!$B24&lt;&gt;"",COUNTIF('Daily Schedule'!$F$5:$F41,'Daily Workforce'!$B24)=0,IF('Daily Schedule'!$A42=45,'Daily Workforce'!$J24="Y",IF(OR('Daily Schedule'!$A42=4,'Daily Schedule'!$A42=8),IF(OR(WEEKDAY('Daily Schedule'!$B$2,2)=1,WEEKDAY('Daily Schedule'!$B$2,2)=4,WEEKDAY('Daily Schedule'!$B$2,2)=5,WEEKDAY('Daily Schedule'!$B$2,2)=7),IFERROR(1*'Daily Workforce'!$K24&gt;=3,FALSE()),IFERROR(1*'Daily Workforce'!$K24&gt;=2,FALSE())),IF(AND('Daily Schedule'!$A42&gt;=46,'Daily Schedule'!$A42&lt;=52),'Daily Workforce'!$M24="Y",IFERROR(1*'Daily Workforce'!$P24&gt;=2,FALSE()))))),1,0)</f>
        <v>0</v>
      </c>
      <c r="AJ38" s="1" t="n">
        <f aca="false">IF(AND('Daily Workforce'!$N25="Y",'Daily Workforce'!$B25&lt;&gt;"",COUNTIF('Daily Schedule'!$F$5:$F41,'Daily Workforce'!$B25)=0,IF('Daily Schedule'!$A42=45,'Daily Workforce'!$J25="Y",IF(OR('Daily Schedule'!$A42=4,'Daily Schedule'!$A42=8),IF(OR(WEEKDAY('Daily Schedule'!$B$2,2)=1,WEEKDAY('Daily Schedule'!$B$2,2)=4,WEEKDAY('Daily Schedule'!$B$2,2)=5,WEEKDAY('Daily Schedule'!$B$2,2)=7),IFERROR(1*'Daily Workforce'!$K25&gt;=3,FALSE()),IFERROR(1*'Daily Workforce'!$K25&gt;=2,FALSE())),IF(AND('Daily Schedule'!$A42&gt;=46,'Daily Schedule'!$A42&lt;=52),'Daily Workforce'!$M25="Y",IFERROR(1*'Daily Workforce'!$P25&gt;=2,FALSE()))))),1,0)</f>
        <v>0</v>
      </c>
      <c r="AK38" s="1" t="n">
        <f aca="false">IF(AND('Daily Workforce'!$N26="Y",'Daily Workforce'!$B26&lt;&gt;"",COUNTIF('Daily Schedule'!$F$5:$F41,'Daily Workforce'!$B26)=0,IF('Daily Schedule'!$A42=45,'Daily Workforce'!$J26="Y",IF(OR('Daily Schedule'!$A42=4,'Daily Schedule'!$A42=8),IF(OR(WEEKDAY('Daily Schedule'!$B$2,2)=1,WEEKDAY('Daily Schedule'!$B$2,2)=4,WEEKDAY('Daily Schedule'!$B$2,2)=5,WEEKDAY('Daily Schedule'!$B$2,2)=7),IFERROR(1*'Daily Workforce'!$K26&gt;=3,FALSE()),IFERROR(1*'Daily Workforce'!$K26&gt;=2,FALSE())),IF(AND('Daily Schedule'!$A42&gt;=46,'Daily Schedule'!$A42&lt;=52),'Daily Workforce'!$M26="Y",IFERROR(1*'Daily Workforce'!$P26&gt;=2,FALSE()))))),1,0)</f>
        <v>0</v>
      </c>
      <c r="AL38" s="1" t="n">
        <f aca="false">IF(AND('Daily Workforce'!$N27="Y",'Daily Workforce'!$B27&lt;&gt;"",COUNTIF('Daily Schedule'!$F$5:$F41,'Daily Workforce'!$B27)=0,IF('Daily Schedule'!$A42=45,'Daily Workforce'!$J27="Y",IF(OR('Daily Schedule'!$A42=4,'Daily Schedule'!$A42=8),IF(OR(WEEKDAY('Daily Schedule'!$B$2,2)=1,WEEKDAY('Daily Schedule'!$B$2,2)=4,WEEKDAY('Daily Schedule'!$B$2,2)=5,WEEKDAY('Daily Schedule'!$B$2,2)=7),IFERROR(1*'Daily Workforce'!$K27&gt;=3,FALSE()),IFERROR(1*'Daily Workforce'!$K27&gt;=2,FALSE())),IF(AND('Daily Schedule'!$A42&gt;=46,'Daily Schedule'!$A42&lt;=52),'Daily Workforce'!$M27="Y",IFERROR(1*'Daily Workforce'!$P27&gt;=2,FALSE()))))),1,0)</f>
        <v>0</v>
      </c>
      <c r="AM38" s="1" t="n">
        <f aca="false">IF(AND('Daily Workforce'!$N28="Y",'Daily Workforce'!$B28&lt;&gt;"",COUNTIF('Daily Schedule'!$F$5:$F41,'Daily Workforce'!$B28)=0,IF('Daily Schedule'!$A42=45,'Daily Workforce'!$J28="Y",IF(OR('Daily Schedule'!$A42=4,'Daily Schedule'!$A42=8),IF(OR(WEEKDAY('Daily Schedule'!$B$2,2)=1,WEEKDAY('Daily Schedule'!$B$2,2)=4,WEEKDAY('Daily Schedule'!$B$2,2)=5,WEEKDAY('Daily Schedule'!$B$2,2)=7),IFERROR(1*'Daily Workforce'!$K28&gt;=3,FALSE()),IFERROR(1*'Daily Workforce'!$K28&gt;=2,FALSE())),IF(AND('Daily Schedule'!$A42&gt;=46,'Daily Schedule'!$A42&lt;=52),'Daily Workforce'!$M28="Y",IFERROR(1*'Daily Workforce'!$P28&gt;=2,FALSE()))))),1,0)</f>
        <v>0</v>
      </c>
      <c r="AN38" s="1" t="n">
        <f aca="false">IF(AND('Daily Workforce'!$N29="Y",'Daily Workforce'!$B29&lt;&gt;"",COUNTIF('Daily Schedule'!$F$5:$F41,'Daily Workforce'!$B29)=0,IF('Daily Schedule'!$A42=45,'Daily Workforce'!$J29="Y",IF(OR('Daily Schedule'!$A42=4,'Daily Schedule'!$A42=8),IF(OR(WEEKDAY('Daily Schedule'!$B$2,2)=1,WEEKDAY('Daily Schedule'!$B$2,2)=4,WEEKDAY('Daily Schedule'!$B$2,2)=5,WEEKDAY('Daily Schedule'!$B$2,2)=7),IFERROR(1*'Daily Workforce'!$K29&gt;=3,FALSE()),IFERROR(1*'Daily Workforce'!$K29&gt;=2,FALSE())),IF(AND('Daily Schedule'!$A42&gt;=46,'Daily Schedule'!$A42&lt;=52),'Daily Workforce'!$M29="Y",IFERROR(1*'Daily Workforce'!$P29&gt;=2,FALSE()))))),1,0)</f>
        <v>0</v>
      </c>
      <c r="AO38" s="1" t="n">
        <f aca="false">IF(AND('Daily Workforce'!$N30="Y",'Daily Workforce'!$B30&lt;&gt;"",COUNTIF('Daily Schedule'!$F$5:$F41,'Daily Workforce'!$B30)=0,IF('Daily Schedule'!$A42=45,'Daily Workforce'!$J30="Y",IF(OR('Daily Schedule'!$A42=4,'Daily Schedule'!$A42=8),IF(OR(WEEKDAY('Daily Schedule'!$B$2,2)=1,WEEKDAY('Daily Schedule'!$B$2,2)=4,WEEKDAY('Daily Schedule'!$B$2,2)=5,WEEKDAY('Daily Schedule'!$B$2,2)=7),IFERROR(1*'Daily Workforce'!$K30&gt;=3,FALSE()),IFERROR(1*'Daily Workforce'!$K30&gt;=2,FALSE())),IF(AND('Daily Schedule'!$A42&gt;=46,'Daily Schedule'!$A42&lt;=52),'Daily Workforce'!$M30="Y",IFERROR(1*'Daily Workforce'!$P30&gt;=2,FALSE()))))),1,0)</f>
        <v>0</v>
      </c>
      <c r="AP38" s="1" t="n">
        <f aca="false">IF(AND('Daily Workforce'!$N31="Y",'Daily Workforce'!$B31&lt;&gt;"",COUNTIF('Daily Schedule'!$F$5:$F41,'Daily Workforce'!$B31)=0,IF('Daily Schedule'!$A42=45,'Daily Workforce'!$J31="Y",IF(OR('Daily Schedule'!$A42=4,'Daily Schedule'!$A42=8),IF(OR(WEEKDAY('Daily Schedule'!$B$2,2)=1,WEEKDAY('Daily Schedule'!$B$2,2)=4,WEEKDAY('Daily Schedule'!$B$2,2)=5,WEEKDAY('Daily Schedule'!$B$2,2)=7),IFERROR(1*'Daily Workforce'!$K31&gt;=3,FALSE()),IFERROR(1*'Daily Workforce'!$K31&gt;=2,FALSE())),IF(AND('Daily Schedule'!$A42&gt;=46,'Daily Schedule'!$A42&lt;=52),'Daily Workforce'!$M31="Y",IFERROR(1*'Daily Workforce'!$P31&gt;=2,FALSE()))))),1,0)</f>
        <v>0</v>
      </c>
      <c r="AQ38" s="1" t="n">
        <f aca="false">IF(AND('Daily Workforce'!$N32="Y",'Daily Workforce'!$B32&lt;&gt;"",COUNTIF('Daily Schedule'!$F$5:$F41,'Daily Workforce'!$B32)=0,IF('Daily Schedule'!$A42=45,'Daily Workforce'!$J32="Y",IF(OR('Daily Schedule'!$A42=4,'Daily Schedule'!$A42=8),IF(OR(WEEKDAY('Daily Schedule'!$B$2,2)=1,WEEKDAY('Daily Schedule'!$B$2,2)=4,WEEKDAY('Daily Schedule'!$B$2,2)=5,WEEKDAY('Daily Schedule'!$B$2,2)=7),IFERROR(1*'Daily Workforce'!$K32&gt;=3,FALSE()),IFERROR(1*'Daily Workforce'!$K32&gt;=2,FALSE())),IF(AND('Daily Schedule'!$A42&gt;=46,'Daily Schedule'!$A42&lt;=52),'Daily Workforce'!$M32="Y",IFERROR(1*'Daily Workforce'!$P32&gt;=2,FALSE()))))),1,0)</f>
        <v>0</v>
      </c>
      <c r="AR38" s="1" t="n">
        <f aca="false">IF(AND('Daily Workforce'!$N33="Y",'Daily Workforce'!$B33&lt;&gt;"",COUNTIF('Daily Schedule'!$F$5:$F41,'Daily Workforce'!$B33)=0,IF('Daily Schedule'!$A42=45,'Daily Workforce'!$J33="Y",IF(OR('Daily Schedule'!$A42=4,'Daily Schedule'!$A42=8),IF(OR(WEEKDAY('Daily Schedule'!$B$2,2)=1,WEEKDAY('Daily Schedule'!$B$2,2)=4,WEEKDAY('Daily Schedule'!$B$2,2)=5,WEEKDAY('Daily Schedule'!$B$2,2)=7),IFERROR(1*'Daily Workforce'!$K33&gt;=3,FALSE()),IFERROR(1*'Daily Workforce'!$K33&gt;=2,FALSE())),IF(AND('Daily Schedule'!$A42&gt;=46,'Daily Schedule'!$A42&lt;=52),'Daily Workforce'!$M33="Y",IFERROR(1*'Daily Workforce'!$P33&gt;=2,FALSE()))))),1,0)</f>
        <v>0</v>
      </c>
      <c r="AS38" s="1" t="n">
        <f aca="false">IF(AND('Daily Workforce'!$N34="Y",'Daily Workforce'!$B34&lt;&gt;"",COUNTIF('Daily Schedule'!$F$5:$F41,'Daily Workforce'!$B34)=0,IF('Daily Schedule'!$A42=45,'Daily Workforce'!$J34="Y",IF(OR('Daily Schedule'!$A42=4,'Daily Schedule'!$A42=8),IF(OR(WEEKDAY('Daily Schedule'!$B$2,2)=1,WEEKDAY('Daily Schedule'!$B$2,2)=4,WEEKDAY('Daily Schedule'!$B$2,2)=5,WEEKDAY('Daily Schedule'!$B$2,2)=7),IFERROR(1*'Daily Workforce'!$K34&gt;=3,FALSE()),IFERROR(1*'Daily Workforce'!$K34&gt;=2,FALSE())),IF(AND('Daily Schedule'!$A42&gt;=46,'Daily Schedule'!$A42&lt;=52),'Daily Workforce'!$M34="Y",IFERROR(1*'Daily Workforce'!$P34&gt;=2,FALSE()))))),1,0)</f>
        <v>0</v>
      </c>
      <c r="AT38" s="1" t="n">
        <f aca="false">IF(AND('Daily Workforce'!$N35="Y",'Daily Workforce'!$B35&lt;&gt;"",COUNTIF('Daily Schedule'!$F$5:$F41,'Daily Workforce'!$B35)=0,IF('Daily Schedule'!$A42=45,'Daily Workforce'!$J35="Y",IF(OR('Daily Schedule'!$A42=4,'Daily Schedule'!$A42=8),IF(OR(WEEKDAY('Daily Schedule'!$B$2,2)=1,WEEKDAY('Daily Schedule'!$B$2,2)=4,WEEKDAY('Daily Schedule'!$B$2,2)=5,WEEKDAY('Daily Schedule'!$B$2,2)=7),IFERROR(1*'Daily Workforce'!$K35&gt;=3,FALSE()),IFERROR(1*'Daily Workforce'!$K35&gt;=2,FALSE())),IF(AND('Daily Schedule'!$A42&gt;=46,'Daily Schedule'!$A42&lt;=52),'Daily Workforce'!$M35="Y",IFERROR(1*'Daily Workforce'!$P35&gt;=2,FALSE()))))),1,0)</f>
        <v>0</v>
      </c>
      <c r="AU38" s="1" t="n">
        <f aca="false">IF(AND('Daily Workforce'!$N36="Y",'Daily Workforce'!$B36&lt;&gt;"",COUNTIF('Daily Schedule'!$F$5:$F41,'Daily Workforce'!$B36)=0,IF('Daily Schedule'!$A42=45,'Daily Workforce'!$J36="Y",IF(OR('Daily Schedule'!$A42=4,'Daily Schedule'!$A42=8),IF(OR(WEEKDAY('Daily Schedule'!$B$2,2)=1,WEEKDAY('Daily Schedule'!$B$2,2)=4,WEEKDAY('Daily Schedule'!$B$2,2)=5,WEEKDAY('Daily Schedule'!$B$2,2)=7),IFERROR(1*'Daily Workforce'!$K36&gt;=3,FALSE()),IFERROR(1*'Daily Workforce'!$K36&gt;=2,FALSE())),IF(AND('Daily Schedule'!$A42&gt;=46,'Daily Schedule'!$A42&lt;=52),'Daily Workforce'!$M36="Y",IFERROR(1*'Daily Workforce'!$P36&gt;=2,FALSE()))))),1,0)</f>
        <v>0</v>
      </c>
      <c r="AV38" s="1" t="n">
        <f aca="false">IF(AND('Daily Workforce'!$N37="Y",'Daily Workforce'!$B37&lt;&gt;"",COUNTIF('Daily Schedule'!$F$5:$F41,'Daily Workforce'!$B37)=0,IF('Daily Schedule'!$A42=45,'Daily Workforce'!$J37="Y",IF(OR('Daily Schedule'!$A42=4,'Daily Schedule'!$A42=8),IF(OR(WEEKDAY('Daily Schedule'!$B$2,2)=1,WEEKDAY('Daily Schedule'!$B$2,2)=4,WEEKDAY('Daily Schedule'!$B$2,2)=5,WEEKDAY('Daily Schedule'!$B$2,2)=7),IFERROR(1*'Daily Workforce'!$K37&gt;=3,FALSE()),IFERROR(1*'Daily Workforce'!$K37&gt;=2,FALSE())),IF(AND('Daily Schedule'!$A42&gt;=46,'Daily Schedule'!$A42&lt;=52),'Daily Workforce'!$M37="Y",IFERROR(1*'Daily Workforce'!$P37&gt;=2,FALSE()))))),1,0)</f>
        <v>0</v>
      </c>
      <c r="AW38" s="1" t="n">
        <f aca="false">IF(AND('Daily Workforce'!$N38="Y",'Daily Workforce'!$B38&lt;&gt;"",COUNTIF('Daily Schedule'!$F$5:$F41,'Daily Workforce'!$B38)=0,IF('Daily Schedule'!$A42=45,'Daily Workforce'!$J38="Y",IF(OR('Daily Schedule'!$A42=4,'Daily Schedule'!$A42=8),IF(OR(WEEKDAY('Daily Schedule'!$B$2,2)=1,WEEKDAY('Daily Schedule'!$B$2,2)=4,WEEKDAY('Daily Schedule'!$B$2,2)=5,WEEKDAY('Daily Schedule'!$B$2,2)=7),IFERROR(1*'Daily Workforce'!$K38&gt;=3,FALSE()),IFERROR(1*'Daily Workforce'!$K38&gt;=2,FALSE())),IF(AND('Daily Schedule'!$A42&gt;=46,'Daily Schedule'!$A42&lt;=52),'Daily Workforce'!$M38="Y",IFERROR(1*'Daily Workforce'!$P38&gt;=2,FALSE()))))),1,0)</f>
        <v>0</v>
      </c>
      <c r="AX38" s="1" t="n">
        <f aca="false">IF(AND('Daily Workforce'!$N39="Y",'Daily Workforce'!$B39&lt;&gt;"",COUNTIF('Daily Schedule'!$F$5:$F41,'Daily Workforce'!$B39)=0,IF('Daily Schedule'!$A42=45,'Daily Workforce'!$J39="Y",IF(OR('Daily Schedule'!$A42=4,'Daily Schedule'!$A42=8),IF(OR(WEEKDAY('Daily Schedule'!$B$2,2)=1,WEEKDAY('Daily Schedule'!$B$2,2)=4,WEEKDAY('Daily Schedule'!$B$2,2)=5,WEEKDAY('Daily Schedule'!$B$2,2)=7),IFERROR(1*'Daily Workforce'!$K39&gt;=3,FALSE()),IFERROR(1*'Daily Workforce'!$K39&gt;=2,FALSE())),IF(AND('Daily Schedule'!$A42&gt;=46,'Daily Schedule'!$A42&lt;=52),'Daily Workforce'!$M39="Y",IFERROR(1*'Daily Workforce'!$P39&gt;=2,FALSE()))))),1,0)</f>
        <v>0</v>
      </c>
      <c r="AY38" s="1" t="n">
        <f aca="false">IF(AND('Daily Workforce'!$N40="Y",'Daily Workforce'!$B40&lt;&gt;"",COUNTIF('Daily Schedule'!$F$5:$F41,'Daily Workforce'!$B40)=0,IF('Daily Schedule'!$A42=45,'Daily Workforce'!$J40="Y",IF(OR('Daily Schedule'!$A42=4,'Daily Schedule'!$A42=8),IF(OR(WEEKDAY('Daily Schedule'!$B$2,2)=1,WEEKDAY('Daily Schedule'!$B$2,2)=4,WEEKDAY('Daily Schedule'!$B$2,2)=5,WEEKDAY('Daily Schedule'!$B$2,2)=7),IFERROR(1*'Daily Workforce'!$K40&gt;=3,FALSE()),IFERROR(1*'Daily Workforce'!$K40&gt;=2,FALSE())),IF(AND('Daily Schedule'!$A42&gt;=46,'Daily Schedule'!$A42&lt;=52),'Daily Workforce'!$M40="Y",IFERROR(1*'Daily Workforce'!$P40&gt;=2,FALSE()))))),1,0)</f>
        <v>0</v>
      </c>
      <c r="AZ38" s="1" t="n">
        <f aca="false">IF(AND('Daily Workforce'!$N41="Y",'Daily Workforce'!$B41&lt;&gt;"",COUNTIF('Daily Schedule'!$F$5:$F41,'Daily Workforce'!$B41)=0,IF('Daily Schedule'!$A42=45,'Daily Workforce'!$J41="Y",IF(OR('Daily Schedule'!$A42=4,'Daily Schedule'!$A42=8),IF(OR(WEEKDAY('Daily Schedule'!$B$2,2)=1,WEEKDAY('Daily Schedule'!$B$2,2)=4,WEEKDAY('Daily Schedule'!$B$2,2)=5,WEEKDAY('Daily Schedule'!$B$2,2)=7),IFERROR(1*'Daily Workforce'!$K41&gt;=3,FALSE()),IFERROR(1*'Daily Workforce'!$K41&gt;=2,FALSE())),IF(AND('Daily Schedule'!$A42&gt;=46,'Daily Schedule'!$A42&lt;=52),'Daily Workforce'!$M41="Y",IFERROR(1*'Daily Workforce'!$P41&gt;=2,FALSE()))))),1,0)</f>
        <v>1</v>
      </c>
      <c r="BA38" s="1" t="n">
        <f aca="false">IF(AND('Daily Workforce'!$N42="Y",'Daily Workforce'!$B42&lt;&gt;"",COUNTIF('Daily Schedule'!$F$5:$F41,'Daily Workforce'!$B42)=0,IF('Daily Schedule'!$A42=45,'Daily Workforce'!$J42="Y",IF(OR('Daily Schedule'!$A42=4,'Daily Schedule'!$A42=8),IF(OR(WEEKDAY('Daily Schedule'!$B$2,2)=1,WEEKDAY('Daily Schedule'!$B$2,2)=4,WEEKDAY('Daily Schedule'!$B$2,2)=5,WEEKDAY('Daily Schedule'!$B$2,2)=7),IFERROR(1*'Daily Workforce'!$K42&gt;=3,FALSE()),IFERROR(1*'Daily Workforce'!$K42&gt;=2,FALSE())),IF(AND('Daily Schedule'!$A42&gt;=46,'Daily Schedule'!$A42&lt;=52),'Daily Workforce'!$M42="Y",IFERROR(1*'Daily Workforce'!$P42&gt;=2,FALSE()))))),1,0)</f>
        <v>1</v>
      </c>
      <c r="BB38" s="1" t="n">
        <f aca="false">IF(AND('Daily Workforce'!$N43="Y",'Daily Workforce'!$B43&lt;&gt;"",COUNTIF('Daily Schedule'!$F$5:$F41,'Daily Workforce'!$B43)=0,IF('Daily Schedule'!$A42=45,'Daily Workforce'!$J43="Y",IF(OR('Daily Schedule'!$A42=4,'Daily Schedule'!$A42=8),IF(OR(WEEKDAY('Daily Schedule'!$B$2,2)=1,WEEKDAY('Daily Schedule'!$B$2,2)=4,WEEKDAY('Daily Schedule'!$B$2,2)=5,WEEKDAY('Daily Schedule'!$B$2,2)=7),IFERROR(1*'Daily Workforce'!$K43&gt;=3,FALSE()),IFERROR(1*'Daily Workforce'!$K43&gt;=2,FALSE())),IF(AND('Daily Schedule'!$A42&gt;=46,'Daily Schedule'!$A42&lt;=52),'Daily Workforce'!$M43="Y",IFERROR(1*'Daily Workforce'!$P43&gt;=2,FALSE()))))),1,0)</f>
        <v>1</v>
      </c>
      <c r="BC38" s="1" t="n">
        <f aca="false">IF(AND('Daily Workforce'!$N44="Y",'Daily Workforce'!$B44&lt;&gt;"",COUNTIF('Daily Schedule'!$F$5:$F41,'Daily Workforce'!$B44)=0,IF('Daily Schedule'!$A42=45,'Daily Workforce'!$J44="Y",IF(OR('Daily Schedule'!$A42=4,'Daily Schedule'!$A42=8),IF(OR(WEEKDAY('Daily Schedule'!$B$2,2)=1,WEEKDAY('Daily Schedule'!$B$2,2)=4,WEEKDAY('Daily Schedule'!$B$2,2)=5,WEEKDAY('Daily Schedule'!$B$2,2)=7),IFERROR(1*'Daily Workforce'!$K44&gt;=3,FALSE()),IFERROR(1*'Daily Workforce'!$K44&gt;=2,FALSE())),IF(AND('Daily Schedule'!$A42&gt;=46,'Daily Schedule'!$A42&lt;=52),'Daily Workforce'!$M44="Y",IFERROR(1*'Daily Workforce'!$P44&gt;=2,FALSE()))))),1,0)</f>
        <v>1</v>
      </c>
      <c r="BD38" s="1" t="n">
        <f aca="false">IF(AND('Daily Workforce'!$N45="Y",'Daily Workforce'!$B45&lt;&gt;"",COUNTIF('Daily Schedule'!$F$5:$F41,'Daily Workforce'!$B45)=0,IF('Daily Schedule'!$A42=45,'Daily Workforce'!$J45="Y",IF(OR('Daily Schedule'!$A42=4,'Daily Schedule'!$A42=8),IF(OR(WEEKDAY('Daily Schedule'!$B$2,2)=1,WEEKDAY('Daily Schedule'!$B$2,2)=4,WEEKDAY('Daily Schedule'!$B$2,2)=5,WEEKDAY('Daily Schedule'!$B$2,2)=7),IFERROR(1*'Daily Workforce'!$K45&gt;=3,FALSE()),IFERROR(1*'Daily Workforce'!$K45&gt;=2,FALSE())),IF(AND('Daily Schedule'!$A42&gt;=46,'Daily Schedule'!$A42&lt;=52),'Daily Workforce'!$M45="Y",IFERROR(1*'Daily Workforce'!$P45&gt;=2,FALSE()))))),1,0)</f>
        <v>1</v>
      </c>
      <c r="BE38" s="1" t="n">
        <f aca="false">IF(AND('Daily Workforce'!$N46="Y",'Daily Workforce'!$B46&lt;&gt;"",COUNTIF('Daily Schedule'!$F$5:$F41,'Daily Workforce'!$B46)=0,IF('Daily Schedule'!$A42=45,'Daily Workforce'!$J46="Y",IF(OR('Daily Schedule'!$A42=4,'Daily Schedule'!$A42=8),IF(OR(WEEKDAY('Daily Schedule'!$B$2,2)=1,WEEKDAY('Daily Schedule'!$B$2,2)=4,WEEKDAY('Daily Schedule'!$B$2,2)=5,WEEKDAY('Daily Schedule'!$B$2,2)=7),IFERROR(1*'Daily Workforce'!$K46&gt;=3,FALSE()),IFERROR(1*'Daily Workforce'!$K46&gt;=2,FALSE())),IF(AND('Daily Schedule'!$A42&gt;=46,'Daily Schedule'!$A42&lt;=52),'Daily Workforce'!$M46="Y",IFERROR(1*'Daily Workforce'!$P46&gt;=2,FALSE()))))),1,0)</f>
        <v>1</v>
      </c>
      <c r="BF38" s="1" t="n">
        <f aca="false">IF(AND('Daily Workforce'!$N47="Y",'Daily Workforce'!$B47&lt;&gt;"",COUNTIF('Daily Schedule'!$F$5:$F41,'Daily Workforce'!$B47)=0,IF('Daily Schedule'!$A42=45,'Daily Workforce'!$J47="Y",IF(OR('Daily Schedule'!$A42=4,'Daily Schedule'!$A42=8),IF(OR(WEEKDAY('Daily Schedule'!$B$2,2)=1,WEEKDAY('Daily Schedule'!$B$2,2)=4,WEEKDAY('Daily Schedule'!$B$2,2)=5,WEEKDAY('Daily Schedule'!$B$2,2)=7),IFERROR(1*'Daily Workforce'!$K47&gt;=3,FALSE()),IFERROR(1*'Daily Workforce'!$K47&gt;=2,FALSE())),IF(AND('Daily Schedule'!$A42&gt;=46,'Daily Schedule'!$A42&lt;=52),'Daily Workforce'!$M47="Y",IFERROR(1*'Daily Workforce'!$P47&gt;=2,FALSE()))))),1,0)</f>
        <v>0</v>
      </c>
      <c r="BG38" s="1" t="n">
        <f aca="false">IF(AND('Daily Workforce'!$N48="Y",'Daily Workforce'!$B48&lt;&gt;"",COUNTIF('Daily Schedule'!$F$5:$F41,'Daily Workforce'!$B48)=0,IF('Daily Schedule'!$A42=45,'Daily Workforce'!$J48="Y",IF(OR('Daily Schedule'!$A42=4,'Daily Schedule'!$A42=8),IF(OR(WEEKDAY('Daily Schedule'!$B$2,2)=1,WEEKDAY('Daily Schedule'!$B$2,2)=4,WEEKDAY('Daily Schedule'!$B$2,2)=5,WEEKDAY('Daily Schedule'!$B$2,2)=7),IFERROR(1*'Daily Workforce'!$K48&gt;=3,FALSE()),IFERROR(1*'Daily Workforce'!$K48&gt;=2,FALSE())),IF(AND('Daily Schedule'!$A42&gt;=46,'Daily Schedule'!$A42&lt;=52),'Daily Workforce'!$M48="Y",IFERROR(1*'Daily Workforce'!$P48&gt;=2,FALSE()))))),1,0)</f>
        <v>1</v>
      </c>
      <c r="BH38" s="1" t="n">
        <f aca="false">IF(AND('Daily Workforce'!$N49="Y",'Daily Workforce'!$B49&lt;&gt;"",COUNTIF('Daily Schedule'!$F$5:$F41,'Daily Workforce'!$B49)=0,IF('Daily Schedule'!$A42=45,'Daily Workforce'!$J49="Y",IF(OR('Daily Schedule'!$A42=4,'Daily Schedule'!$A42=8),IF(OR(WEEKDAY('Daily Schedule'!$B$2,2)=1,WEEKDAY('Daily Schedule'!$B$2,2)=4,WEEKDAY('Daily Schedule'!$B$2,2)=5,WEEKDAY('Daily Schedule'!$B$2,2)=7),IFERROR(1*'Daily Workforce'!$K49&gt;=3,FALSE()),IFERROR(1*'Daily Workforce'!$K49&gt;=2,FALSE())),IF(AND('Daily Schedule'!$A42&gt;=46,'Daily Schedule'!$A42&lt;=52),'Daily Workforce'!$M49="Y",IFERROR(1*'Daily Workforce'!$P49&gt;=2,FALSE()))))),1,0)</f>
        <v>1</v>
      </c>
      <c r="BI38" s="1" t="n">
        <f aca="false">IF(AND('Daily Workforce'!$N50="Y",'Daily Workforce'!$B50&lt;&gt;"",COUNTIF('Daily Schedule'!$F$5:$F41,'Daily Workforce'!$B50)=0,IF('Daily Schedule'!$A42=45,'Daily Workforce'!$J50="Y",IF(OR('Daily Schedule'!$A42=4,'Daily Schedule'!$A42=8),IF(OR(WEEKDAY('Daily Schedule'!$B$2,2)=1,WEEKDAY('Daily Schedule'!$B$2,2)=4,WEEKDAY('Daily Schedule'!$B$2,2)=5,WEEKDAY('Daily Schedule'!$B$2,2)=7),IFERROR(1*'Daily Workforce'!$K50&gt;=3,FALSE()),IFERROR(1*'Daily Workforce'!$K50&gt;=2,FALSE())),IF(AND('Daily Schedule'!$A42&gt;=46,'Daily Schedule'!$A42&lt;=52),'Daily Workforce'!$M50="Y",IFERROR(1*'Daily Workforce'!$P50&gt;=2,FALSE()))))),1,0)</f>
        <v>0</v>
      </c>
      <c r="BJ38" s="1" t="n">
        <f aca="false">IF(AND('Daily Workforce'!$N51="Y",'Daily Workforce'!$B51&lt;&gt;"",COUNTIF('Daily Schedule'!$F$5:$F41,'Daily Workforce'!$B51)=0,IF('Daily Schedule'!$A42=45,'Daily Workforce'!$J51="Y",IF(OR('Daily Schedule'!$A42=4,'Daily Schedule'!$A42=8),IF(OR(WEEKDAY('Daily Schedule'!$B$2,2)=1,WEEKDAY('Daily Schedule'!$B$2,2)=4,WEEKDAY('Daily Schedule'!$B$2,2)=5,WEEKDAY('Daily Schedule'!$B$2,2)=7),IFERROR(1*'Daily Workforce'!$K51&gt;=3,FALSE()),IFERROR(1*'Daily Workforce'!$K51&gt;=2,FALSE())),IF(AND('Daily Schedule'!$A42&gt;=46,'Daily Schedule'!$A42&lt;=52),'Daily Workforce'!$M51="Y",IFERROR(1*'Daily Workforce'!$P51&gt;=2,FALSE()))))),1,0)</f>
        <v>1</v>
      </c>
      <c r="BK38" s="1" t="n">
        <f aca="false">IF(AND('Daily Workforce'!$N52="Y",'Daily Workforce'!$B52&lt;&gt;"",COUNTIF('Daily Schedule'!$F$5:$F41,'Daily Workforce'!$B52)=0,IF('Daily Schedule'!$A42=45,'Daily Workforce'!$J52="Y",IF(OR('Daily Schedule'!$A42=4,'Daily Schedule'!$A42=8),IF(OR(WEEKDAY('Daily Schedule'!$B$2,2)=1,WEEKDAY('Daily Schedule'!$B$2,2)=4,WEEKDAY('Daily Schedule'!$B$2,2)=5,WEEKDAY('Daily Schedule'!$B$2,2)=7),IFERROR(1*'Daily Workforce'!$K52&gt;=3,FALSE()),IFERROR(1*'Daily Workforce'!$K52&gt;=2,FALSE())),IF(AND('Daily Schedule'!$A42&gt;=46,'Daily Schedule'!$A42&lt;=52),'Daily Workforce'!$M52="Y",IFERROR(1*'Daily Workforce'!$P52&gt;=2,FALSE()))))),1,0)</f>
        <v>1</v>
      </c>
      <c r="BL38" s="1" t="n">
        <f aca="false">IF(AND('Daily Workforce'!$N53="Y",'Daily Workforce'!$B53&lt;&gt;"",COUNTIF('Daily Schedule'!$F$5:$F41,'Daily Workforce'!$B53)=0,IF('Daily Schedule'!$A42=45,'Daily Workforce'!$J53="Y",IF(OR('Daily Schedule'!$A42=4,'Daily Schedule'!$A42=8),IF(OR(WEEKDAY('Daily Schedule'!$B$2,2)=1,WEEKDAY('Daily Schedule'!$B$2,2)=4,WEEKDAY('Daily Schedule'!$B$2,2)=5,WEEKDAY('Daily Schedule'!$B$2,2)=7),IFERROR(1*'Daily Workforce'!$K53&gt;=3,FALSE()),IFERROR(1*'Daily Workforce'!$K53&gt;=2,FALSE())),IF(AND('Daily Schedule'!$A42&gt;=46,'Daily Schedule'!$A42&lt;=52),'Daily Workforce'!$M53="Y",IFERROR(1*'Daily Workforce'!$P53&gt;=2,FALSE()))))),1,0)</f>
        <v>1</v>
      </c>
      <c r="BM38" s="1" t="n">
        <f aca="false">IF(AND('Daily Workforce'!$N54="Y",'Daily Workforce'!$B54&lt;&gt;"",COUNTIF('Daily Schedule'!$F$5:$F41,'Daily Workforce'!$B54)=0,IF('Daily Schedule'!$A42=45,'Daily Workforce'!$J54="Y",IF(OR('Daily Schedule'!$A42=4,'Daily Schedule'!$A42=8),IF(OR(WEEKDAY('Daily Schedule'!$B$2,2)=1,WEEKDAY('Daily Schedule'!$B$2,2)=4,WEEKDAY('Daily Schedule'!$B$2,2)=5,WEEKDAY('Daily Schedule'!$B$2,2)=7),IFERROR(1*'Daily Workforce'!$K54&gt;=3,FALSE()),IFERROR(1*'Daily Workforce'!$K54&gt;=2,FALSE())),IF(AND('Daily Schedule'!$A42&gt;=46,'Daily Schedule'!$A42&lt;=52),'Daily Workforce'!$M54="Y",IFERROR(1*'Daily Workforce'!$P54&gt;=2,FALSE()))))),1,0)</f>
        <v>1</v>
      </c>
      <c r="BN38" s="1" t="n">
        <f aca="false">IF(AND('Daily Workforce'!$N55="Y",'Daily Workforce'!$B55&lt;&gt;"",COUNTIF('Daily Schedule'!$F$5:$F41,'Daily Workforce'!$B55)=0,IF('Daily Schedule'!$A42=45,'Daily Workforce'!$J55="Y",IF(OR('Daily Schedule'!$A42=4,'Daily Schedule'!$A42=8),IF(OR(WEEKDAY('Daily Schedule'!$B$2,2)=1,WEEKDAY('Daily Schedule'!$B$2,2)=4,WEEKDAY('Daily Schedule'!$B$2,2)=5,WEEKDAY('Daily Schedule'!$B$2,2)=7),IFERROR(1*'Daily Workforce'!$K55&gt;=3,FALSE()),IFERROR(1*'Daily Workforce'!$K55&gt;=2,FALSE())),IF(AND('Daily Schedule'!$A42&gt;=46,'Daily Schedule'!$A42&lt;=52),'Daily Workforce'!$M55="Y",IFERROR(1*'Daily Workforce'!$P55&gt;=2,FALSE()))))),1,0)</f>
        <v>1</v>
      </c>
      <c r="BO38" s="1" t="n">
        <f aca="false">IF(AND('Daily Workforce'!$N56="Y",'Daily Workforce'!$B56&lt;&gt;"",COUNTIF('Daily Schedule'!$F$5:$F41,'Daily Workforce'!$B56)=0,IF('Daily Schedule'!$A42=45,'Daily Workforce'!$J56="Y",IF(OR('Daily Schedule'!$A42=4,'Daily Schedule'!$A42=8),IF(OR(WEEKDAY('Daily Schedule'!$B$2,2)=1,WEEKDAY('Daily Schedule'!$B$2,2)=4,WEEKDAY('Daily Schedule'!$B$2,2)=5,WEEKDAY('Daily Schedule'!$B$2,2)=7),IFERROR(1*'Daily Workforce'!$K56&gt;=3,FALSE()),IFERROR(1*'Daily Workforce'!$K56&gt;=2,FALSE())),IF(AND('Daily Schedule'!$A42&gt;=46,'Daily Schedule'!$A42&lt;=52),'Daily Workforce'!$M56="Y",IFERROR(1*'Daily Workforce'!$P56&gt;=2,FALSE()))))),1,0)</f>
        <v>1</v>
      </c>
      <c r="BP38" s="1" t="n">
        <f aca="false">IF(AND('Daily Workforce'!$N57="Y",'Daily Workforce'!$B57&lt;&gt;"",COUNTIF('Daily Schedule'!$F$5:$F41,'Daily Workforce'!$B57)=0,IF('Daily Schedule'!$A42=45,'Daily Workforce'!$J57="Y",IF(OR('Daily Schedule'!$A42=4,'Daily Schedule'!$A42=8),IF(OR(WEEKDAY('Daily Schedule'!$B$2,2)=1,WEEKDAY('Daily Schedule'!$B$2,2)=4,WEEKDAY('Daily Schedule'!$B$2,2)=5,WEEKDAY('Daily Schedule'!$B$2,2)=7),IFERROR(1*'Daily Workforce'!$K57&gt;=3,FALSE()),IFERROR(1*'Daily Workforce'!$K57&gt;=2,FALSE())),IF(AND('Daily Schedule'!$A42&gt;=46,'Daily Schedule'!$A42&lt;=52),'Daily Workforce'!$M57="Y",IFERROR(1*'Daily Workforce'!$P57&gt;=2,FALSE()))))),1,0)</f>
        <v>0</v>
      </c>
      <c r="BQ38" s="1" t="n">
        <f aca="false">IF(AND('Daily Workforce'!$N58="Y",'Daily Workforce'!$B58&lt;&gt;"",COUNTIF('Daily Schedule'!$F$5:$F41,'Daily Workforce'!$B58)=0,IF('Daily Schedule'!$A42=45,'Daily Workforce'!$J58="Y",IF(OR('Daily Schedule'!$A42=4,'Daily Schedule'!$A42=8),IF(OR(WEEKDAY('Daily Schedule'!$B$2,2)=1,WEEKDAY('Daily Schedule'!$B$2,2)=4,WEEKDAY('Daily Schedule'!$B$2,2)=5,WEEKDAY('Daily Schedule'!$B$2,2)=7),IFERROR(1*'Daily Workforce'!$K58&gt;=3,FALSE()),IFERROR(1*'Daily Workforce'!$K58&gt;=2,FALSE())),IF(AND('Daily Schedule'!$A42&gt;=46,'Daily Schedule'!$A42&lt;=52),'Daily Workforce'!$M58="Y",IFERROR(1*'Daily Workforce'!$P58&gt;=2,FALSE()))))),1,0)</f>
        <v>1</v>
      </c>
      <c r="BR38" s="1" t="n">
        <f aca="false">IF(AND('Daily Workforce'!$N59="Y",'Daily Workforce'!$B59&lt;&gt;"",COUNTIF('Daily Schedule'!$F$5:$F41,'Daily Workforce'!$B59)=0,IF('Daily Schedule'!$A42=45,'Daily Workforce'!$J59="Y",IF(OR('Daily Schedule'!$A42=4,'Daily Schedule'!$A42=8),IF(OR(WEEKDAY('Daily Schedule'!$B$2,2)=1,WEEKDAY('Daily Schedule'!$B$2,2)=4,WEEKDAY('Daily Schedule'!$B$2,2)=5,WEEKDAY('Daily Schedule'!$B$2,2)=7),IFERROR(1*'Daily Workforce'!$K59&gt;=3,FALSE()),IFERROR(1*'Daily Workforce'!$K59&gt;=2,FALSE())),IF(AND('Daily Schedule'!$A42&gt;=46,'Daily Schedule'!$A42&lt;=52),'Daily Workforce'!$M59="Y",IFERROR(1*'Daily Workforce'!$P59&gt;=2,FALSE()))))),1,0)</f>
        <v>1</v>
      </c>
      <c r="BS38" s="1" t="n">
        <f aca="false">IF(AND('Daily Workforce'!$N60="Y",'Daily Workforce'!$B60&lt;&gt;"",COUNTIF('Daily Schedule'!$F$5:$F41,'Daily Workforce'!$B60)=0,IF('Daily Schedule'!$A42=45,'Daily Workforce'!$J60="Y",IF(OR('Daily Schedule'!$A42=4,'Daily Schedule'!$A42=8),IF(OR(WEEKDAY('Daily Schedule'!$B$2,2)=1,WEEKDAY('Daily Schedule'!$B$2,2)=4,WEEKDAY('Daily Schedule'!$B$2,2)=5,WEEKDAY('Daily Schedule'!$B$2,2)=7),IFERROR(1*'Daily Workforce'!$K60&gt;=3,FALSE()),IFERROR(1*'Daily Workforce'!$K60&gt;=2,FALSE())),IF(AND('Daily Schedule'!$A42&gt;=46,'Daily Schedule'!$A42&lt;=52),'Daily Workforce'!$M60="Y",IFERROR(1*'Daily Workforce'!$P60&gt;=2,FALSE()))))),1,0)</f>
        <v>1</v>
      </c>
      <c r="BT38" s="1" t="n">
        <f aca="false">IF(AND('Daily Workforce'!$N61="Y",'Daily Workforce'!$B61&lt;&gt;"",COUNTIF('Daily Schedule'!$F$5:$F41,'Daily Workforce'!$B61)=0,IF('Daily Schedule'!$A42=45,'Daily Workforce'!$J61="Y",IF(OR('Daily Schedule'!$A42=4,'Daily Schedule'!$A42=8),IF(OR(WEEKDAY('Daily Schedule'!$B$2,2)=1,WEEKDAY('Daily Schedule'!$B$2,2)=4,WEEKDAY('Daily Schedule'!$B$2,2)=5,WEEKDAY('Daily Schedule'!$B$2,2)=7),IFERROR(1*'Daily Workforce'!$K61&gt;=3,FALSE()),IFERROR(1*'Daily Workforce'!$K61&gt;=2,FALSE())),IF(AND('Daily Schedule'!$A42&gt;=46,'Daily Schedule'!$A42&lt;=52),'Daily Workforce'!$M61="Y",IFERROR(1*'Daily Workforce'!$P61&gt;=2,FALSE()))))),1,0)</f>
        <v>0</v>
      </c>
      <c r="BU38" s="1" t="n">
        <f aca="false">IF(AND('Daily Workforce'!$N62="Y",'Daily Workforce'!$B62&lt;&gt;"",COUNTIF('Daily Schedule'!$F$5:$F41,'Daily Workforce'!$B62)=0,IF('Daily Schedule'!$A42=45,'Daily Workforce'!$J62="Y",IF(OR('Daily Schedule'!$A42=4,'Daily Schedule'!$A42=8),IF(OR(WEEKDAY('Daily Schedule'!$B$2,2)=1,WEEKDAY('Daily Schedule'!$B$2,2)=4,WEEKDAY('Daily Schedule'!$B$2,2)=5,WEEKDAY('Daily Schedule'!$B$2,2)=7),IFERROR(1*'Daily Workforce'!$K62&gt;=3,FALSE()),IFERROR(1*'Daily Workforce'!$K62&gt;=2,FALSE())),IF(AND('Daily Schedule'!$A42&gt;=46,'Daily Schedule'!$A42&lt;=52),'Daily Workforce'!$M62="Y",IFERROR(1*'Daily Workforce'!$P62&gt;=2,FALSE()))))),1,0)</f>
        <v>1</v>
      </c>
      <c r="BV38" s="1" t="n">
        <f aca="false">IF(AND('Daily Workforce'!$N63="Y",'Daily Workforce'!$B63&lt;&gt;"",COUNTIF('Daily Schedule'!$F$5:$F41,'Daily Workforce'!$B63)=0,IF('Daily Schedule'!$A42=45,'Daily Workforce'!$J63="Y",IF(OR('Daily Schedule'!$A42=4,'Daily Schedule'!$A42=8),IF(OR(WEEKDAY('Daily Schedule'!$B$2,2)=1,WEEKDAY('Daily Schedule'!$B$2,2)=4,WEEKDAY('Daily Schedule'!$B$2,2)=5,WEEKDAY('Daily Schedule'!$B$2,2)=7),IFERROR(1*'Daily Workforce'!$K63&gt;=3,FALSE()),IFERROR(1*'Daily Workforce'!$K63&gt;=2,FALSE())),IF(AND('Daily Schedule'!$A42&gt;=46,'Daily Schedule'!$A42&lt;=52),'Daily Workforce'!$M63="Y",IFERROR(1*'Daily Workforce'!$P63&gt;=2,FALSE()))))),1,0)</f>
        <v>1</v>
      </c>
      <c r="BW38" s="1" t="n">
        <f aca="false">IF(AND('Daily Workforce'!$N64="Y",'Daily Workforce'!$B64&lt;&gt;"",COUNTIF('Daily Schedule'!$F$5:$F41,'Daily Workforce'!$B64)=0,IF('Daily Schedule'!$A42=45,'Daily Workforce'!$J64="Y",IF(OR('Daily Schedule'!$A42=4,'Daily Schedule'!$A42=8),IF(OR(WEEKDAY('Daily Schedule'!$B$2,2)=1,WEEKDAY('Daily Schedule'!$B$2,2)=4,WEEKDAY('Daily Schedule'!$B$2,2)=5,WEEKDAY('Daily Schedule'!$B$2,2)=7),IFERROR(1*'Daily Workforce'!$K64&gt;=3,FALSE()),IFERROR(1*'Daily Workforce'!$K64&gt;=2,FALSE())),IF(AND('Daily Schedule'!$A42&gt;=46,'Daily Schedule'!$A42&lt;=52),'Daily Workforce'!$M64="Y",IFERROR(1*'Daily Workforce'!$P64&gt;=2,FALSE()))))),1,0)</f>
        <v>1</v>
      </c>
      <c r="BX38" s="1" t="n">
        <f aca="false">IF(AND('Daily Workforce'!$N65="Y",'Daily Workforce'!$B65&lt;&gt;"",COUNTIF('Daily Schedule'!$F$5:$F41,'Daily Workforce'!$B65)=0,IF('Daily Schedule'!$A42=45,'Daily Workforce'!$J65="Y",IF(OR('Daily Schedule'!$A42=4,'Daily Schedule'!$A42=8),IF(OR(WEEKDAY('Daily Schedule'!$B$2,2)=1,WEEKDAY('Daily Schedule'!$B$2,2)=4,WEEKDAY('Daily Schedule'!$B$2,2)=5,WEEKDAY('Daily Schedule'!$B$2,2)=7),IFERROR(1*'Daily Workforce'!$K65&gt;=3,FALSE()),IFERROR(1*'Daily Workforce'!$K65&gt;=2,FALSE())),IF(AND('Daily Schedule'!$A42&gt;=46,'Daily Schedule'!$A42&lt;=52),'Daily Workforce'!$M65="Y",IFERROR(1*'Daily Workforce'!$P65&gt;=2,FALSE()))))),1,0)</f>
        <v>1</v>
      </c>
      <c r="BY38" s="1" t="n">
        <f aca="false">IF(AND('Daily Workforce'!$N66="Y",'Daily Workforce'!$B66&lt;&gt;"",COUNTIF('Daily Schedule'!$F$5:$F41,'Daily Workforce'!$B66)=0,IF('Daily Schedule'!$A42=45,'Daily Workforce'!$J66="Y",IF(OR('Daily Schedule'!$A42=4,'Daily Schedule'!$A42=8),IF(OR(WEEKDAY('Daily Schedule'!$B$2,2)=1,WEEKDAY('Daily Schedule'!$B$2,2)=4,WEEKDAY('Daily Schedule'!$B$2,2)=5,WEEKDAY('Daily Schedule'!$B$2,2)=7),IFERROR(1*'Daily Workforce'!$K66&gt;=3,FALSE()),IFERROR(1*'Daily Workforce'!$K66&gt;=2,FALSE())),IF(AND('Daily Schedule'!$A42&gt;=46,'Daily Schedule'!$A42&lt;=52),'Daily Workforce'!$M66="Y",IFERROR(1*'Daily Workforce'!$P66&gt;=2,FALSE()))))),1,0)</f>
        <v>1</v>
      </c>
      <c r="BZ38" s="1" t="n">
        <f aca="false">IF(AND('Daily Workforce'!$N67="Y",'Daily Workforce'!$B67&lt;&gt;"",COUNTIF('Daily Schedule'!$F$5:$F41,'Daily Workforce'!$B67)=0,IF('Daily Schedule'!$A42=45,'Daily Workforce'!$J67="Y",IF(OR('Daily Schedule'!$A42=4,'Daily Schedule'!$A42=8),IF(OR(WEEKDAY('Daily Schedule'!$B$2,2)=1,WEEKDAY('Daily Schedule'!$B$2,2)=4,WEEKDAY('Daily Schedule'!$B$2,2)=5,WEEKDAY('Daily Schedule'!$B$2,2)=7),IFERROR(1*'Daily Workforce'!$K67&gt;=3,FALSE()),IFERROR(1*'Daily Workforce'!$K67&gt;=2,FALSE())),IF(AND('Daily Schedule'!$A42&gt;=46,'Daily Schedule'!$A42&lt;=52),'Daily Workforce'!$M67="Y",IFERROR(1*'Daily Workforce'!$P67&gt;=2,FALSE()))))),1,0)</f>
        <v>1</v>
      </c>
      <c r="CA38" s="1" t="n">
        <f aca="false">IF(AND('Daily Workforce'!$N68="Y",'Daily Workforce'!$B68&lt;&gt;"",COUNTIF('Daily Schedule'!$F$5:$F41,'Daily Workforce'!$B68)=0,IF('Daily Schedule'!$A42=45,'Daily Workforce'!$J68="Y",IF(OR('Daily Schedule'!$A42=4,'Daily Schedule'!$A42=8),IF(OR(WEEKDAY('Daily Schedule'!$B$2,2)=1,WEEKDAY('Daily Schedule'!$B$2,2)=4,WEEKDAY('Daily Schedule'!$B$2,2)=5,WEEKDAY('Daily Schedule'!$B$2,2)=7),IFERROR(1*'Daily Workforce'!$K68&gt;=3,FALSE()),IFERROR(1*'Daily Workforce'!$K68&gt;=2,FALSE())),IF(AND('Daily Schedule'!$A42&gt;=46,'Daily Schedule'!$A42&lt;=52),'Daily Workforce'!$M68="Y",IFERROR(1*'Daily Workforce'!$P68&gt;=2,FALSE()))))),1,0)</f>
        <v>1</v>
      </c>
      <c r="CB38" s="1" t="n">
        <f aca="false">IF(AND('Daily Workforce'!$N69="Y",'Daily Workforce'!$B69&lt;&gt;"",COUNTIF('Daily Schedule'!$F$5:$F41,'Daily Workforce'!$B69)=0,IF('Daily Schedule'!$A42=45,'Daily Workforce'!$J69="Y",IF(OR('Daily Schedule'!$A42=4,'Daily Schedule'!$A42=8),IF(OR(WEEKDAY('Daily Schedule'!$B$2,2)=1,WEEKDAY('Daily Schedule'!$B$2,2)=4,WEEKDAY('Daily Schedule'!$B$2,2)=5,WEEKDAY('Daily Schedule'!$B$2,2)=7),IFERROR(1*'Daily Workforce'!$K69&gt;=3,FALSE()),IFERROR(1*'Daily Workforce'!$K69&gt;=2,FALSE())),IF(AND('Daily Schedule'!$A42&gt;=46,'Daily Schedule'!$A42&lt;=52),'Daily Workforce'!$M69="Y",IFERROR(1*'Daily Workforce'!$P69&gt;=2,FALSE()))))),1,0)</f>
        <v>1</v>
      </c>
      <c r="CC38" s="1" t="n">
        <f aca="false">IF(AND('Daily Workforce'!$N70="Y",'Daily Workforce'!$B70&lt;&gt;"",COUNTIF('Daily Schedule'!$F$5:$F41,'Daily Workforce'!$B70)=0,IF('Daily Schedule'!$A42=45,'Daily Workforce'!$J70="Y",IF(OR('Daily Schedule'!$A42=4,'Daily Schedule'!$A42=8),IF(OR(WEEKDAY('Daily Schedule'!$B$2,2)=1,WEEKDAY('Daily Schedule'!$B$2,2)=4,WEEKDAY('Daily Schedule'!$B$2,2)=5,WEEKDAY('Daily Schedule'!$B$2,2)=7),IFERROR(1*'Daily Workforce'!$K70&gt;=3,FALSE()),IFERROR(1*'Daily Workforce'!$K70&gt;=2,FALSE())),IF(AND('Daily Schedule'!$A42&gt;=46,'Daily Schedule'!$A42&lt;=52),'Daily Workforce'!$M70="Y",IFERROR(1*'Daily Workforce'!$P70&gt;=2,FALSE()))))),1,0)</f>
        <v>1</v>
      </c>
      <c r="CD38" s="1" t="n">
        <f aca="false">IF(AND('Daily Workforce'!$N71="Y",'Daily Workforce'!$B71&lt;&gt;"",COUNTIF('Daily Schedule'!$F$5:$F41,'Daily Workforce'!$B71)=0,IF('Daily Schedule'!$A42=45,'Daily Workforce'!$J71="Y",IF(OR('Daily Schedule'!$A42=4,'Daily Schedule'!$A42=8),IF(OR(WEEKDAY('Daily Schedule'!$B$2,2)=1,WEEKDAY('Daily Schedule'!$B$2,2)=4,WEEKDAY('Daily Schedule'!$B$2,2)=5,WEEKDAY('Daily Schedule'!$B$2,2)=7),IFERROR(1*'Daily Workforce'!$K71&gt;=3,FALSE()),IFERROR(1*'Daily Workforce'!$K71&gt;=2,FALSE())),IF(AND('Daily Schedule'!$A42&gt;=46,'Daily Schedule'!$A42&lt;=52),'Daily Workforce'!$M71="Y",IFERROR(1*'Daily Workforce'!$P71&gt;=2,FALSE()))))),1,0)</f>
        <v>1</v>
      </c>
      <c r="CE38" s="1" t="n">
        <f aca="false">IF(AND('Daily Workforce'!$N72="Y",'Daily Workforce'!$B72&lt;&gt;"",COUNTIF('Daily Schedule'!$F$5:$F41,'Daily Workforce'!$B72)=0,IF('Daily Schedule'!$A42=45,'Daily Workforce'!$J72="Y",IF(OR('Daily Schedule'!$A42=4,'Daily Schedule'!$A42=8),IF(OR(WEEKDAY('Daily Schedule'!$B$2,2)=1,WEEKDAY('Daily Schedule'!$B$2,2)=4,WEEKDAY('Daily Schedule'!$B$2,2)=5,WEEKDAY('Daily Schedule'!$B$2,2)=7),IFERROR(1*'Daily Workforce'!$K72&gt;=3,FALSE()),IFERROR(1*'Daily Workforce'!$K72&gt;=2,FALSE())),IF(AND('Daily Schedule'!$A42&gt;=46,'Daily Schedule'!$A42&lt;=52),'Daily Workforce'!$M72="Y",IFERROR(1*'Daily Workforce'!$P72&gt;=2,FALSE()))))),1,0)</f>
        <v>1</v>
      </c>
      <c r="CF38" s="1" t="n">
        <f aca="false">IF(AND('Daily Workforce'!$N73="Y",'Daily Workforce'!$B73&lt;&gt;"",COUNTIF('Daily Schedule'!$F$5:$F41,'Daily Workforce'!$B73)=0,IF('Daily Schedule'!$A42=45,'Daily Workforce'!$J73="Y",IF(OR('Daily Schedule'!$A42=4,'Daily Schedule'!$A42=8),IF(OR(WEEKDAY('Daily Schedule'!$B$2,2)=1,WEEKDAY('Daily Schedule'!$B$2,2)=4,WEEKDAY('Daily Schedule'!$B$2,2)=5,WEEKDAY('Daily Schedule'!$B$2,2)=7),IFERROR(1*'Daily Workforce'!$K73&gt;=3,FALSE()),IFERROR(1*'Daily Workforce'!$K73&gt;=2,FALSE())),IF(AND('Daily Schedule'!$A42&gt;=46,'Daily Schedule'!$A42&lt;=52),'Daily Workforce'!$M73="Y",IFERROR(1*'Daily Workforce'!$P73&gt;=2,FALSE()))))),1,0)</f>
        <v>1</v>
      </c>
      <c r="CG38" s="1" t="n">
        <f aca="false">IF(AND('Daily Workforce'!$N74="Y",'Daily Workforce'!$B74&lt;&gt;"",COUNTIF('Daily Schedule'!$F$5:$F41,'Daily Workforce'!$B74)=0,IF('Daily Schedule'!$A42=45,'Daily Workforce'!$J74="Y",IF(OR('Daily Schedule'!$A42=4,'Daily Schedule'!$A42=8),IF(OR(WEEKDAY('Daily Schedule'!$B$2,2)=1,WEEKDAY('Daily Schedule'!$B$2,2)=4,WEEKDAY('Daily Schedule'!$B$2,2)=5,WEEKDAY('Daily Schedule'!$B$2,2)=7),IFERROR(1*'Daily Workforce'!$K74&gt;=3,FALSE()),IFERROR(1*'Daily Workforce'!$K74&gt;=2,FALSE())),IF(AND('Daily Schedule'!$A42&gt;=46,'Daily Schedule'!$A42&lt;=52),'Daily Workforce'!$M74="Y",IFERROR(1*'Daily Workforce'!$P74&gt;=2,FALSE()))))),1,0)</f>
        <v>1</v>
      </c>
      <c r="CH38" s="1" t="n">
        <f aca="false">IF(AND('Daily Workforce'!$N75="Y",'Daily Workforce'!$B75&lt;&gt;"",COUNTIF('Daily Schedule'!$F$5:$F41,'Daily Workforce'!$B75)=0,IF('Daily Schedule'!$A42=45,'Daily Workforce'!$J75="Y",IF(OR('Daily Schedule'!$A42=4,'Daily Schedule'!$A42=8),IF(OR(WEEKDAY('Daily Schedule'!$B$2,2)=1,WEEKDAY('Daily Schedule'!$B$2,2)=4,WEEKDAY('Daily Schedule'!$B$2,2)=5,WEEKDAY('Daily Schedule'!$B$2,2)=7),IFERROR(1*'Daily Workforce'!$K75&gt;=3,FALSE()),IFERROR(1*'Daily Workforce'!$K75&gt;=2,FALSE())),IF(AND('Daily Schedule'!$A42&gt;=46,'Daily Schedule'!$A42&lt;=52),'Daily Workforce'!$M75="Y",IFERROR(1*'Daily Workforce'!$P75&gt;=2,FALSE()))))),1,0)</f>
        <v>1</v>
      </c>
      <c r="CI38" s="1" t="n">
        <f aca="false">IF(AND('Daily Workforce'!$N76="Y",'Daily Workforce'!$B76&lt;&gt;"",COUNTIF('Daily Schedule'!$F$5:$F41,'Daily Workforce'!$B76)=0,IF('Daily Schedule'!$A42=45,'Daily Workforce'!$J76="Y",IF(OR('Daily Schedule'!$A42=4,'Daily Schedule'!$A42=8),IF(OR(WEEKDAY('Daily Schedule'!$B$2,2)=1,WEEKDAY('Daily Schedule'!$B$2,2)=4,WEEKDAY('Daily Schedule'!$B$2,2)=5,WEEKDAY('Daily Schedule'!$B$2,2)=7),IFERROR(1*'Daily Workforce'!$K76&gt;=3,FALSE()),IFERROR(1*'Daily Workforce'!$K76&gt;=2,FALSE())),IF(AND('Daily Schedule'!$A42&gt;=46,'Daily Schedule'!$A42&lt;=52),'Daily Workforce'!$M76="Y",IFERROR(1*'Daily Workforce'!$P76&gt;=2,FALSE()))))),1,0)</f>
        <v>1</v>
      </c>
      <c r="CJ38" s="1" t="n">
        <f aca="false">IF(AND('Daily Workforce'!$N77="Y",'Daily Workforce'!$B77&lt;&gt;"",COUNTIF('Daily Schedule'!$F$5:$F41,'Daily Workforce'!$B77)=0,IF('Daily Schedule'!$A42=45,'Daily Workforce'!$J77="Y",IF(OR('Daily Schedule'!$A42=4,'Daily Schedule'!$A42=8),IF(OR(WEEKDAY('Daily Schedule'!$B$2,2)=1,WEEKDAY('Daily Schedule'!$B$2,2)=4,WEEKDAY('Daily Schedule'!$B$2,2)=5,WEEKDAY('Daily Schedule'!$B$2,2)=7),IFERROR(1*'Daily Workforce'!$K77&gt;=3,FALSE()),IFERROR(1*'Daily Workforce'!$K77&gt;=2,FALSE())),IF(AND('Daily Schedule'!$A42&gt;=46,'Daily Schedule'!$A42&lt;=52),'Daily Workforce'!$M77="Y",IFERROR(1*'Daily Workforce'!$P77&gt;=2,FALSE()))))),1,0)</f>
        <v>1</v>
      </c>
      <c r="CK38" s="1" t="n">
        <f aca="false">IF(AND('Daily Workforce'!$N78="Y",'Daily Workforce'!$B78&lt;&gt;"",COUNTIF('Daily Schedule'!$F$5:$F41,'Daily Workforce'!$B78)=0,IF('Daily Schedule'!$A42=45,'Daily Workforce'!$J78="Y",IF(OR('Daily Schedule'!$A42=4,'Daily Schedule'!$A42=8),IF(OR(WEEKDAY('Daily Schedule'!$B$2,2)=1,WEEKDAY('Daily Schedule'!$B$2,2)=4,WEEKDAY('Daily Schedule'!$B$2,2)=5,WEEKDAY('Daily Schedule'!$B$2,2)=7),IFERROR(1*'Daily Workforce'!$K78&gt;=3,FALSE()),IFERROR(1*'Daily Workforce'!$K78&gt;=2,FALSE())),IF(AND('Daily Schedule'!$A42&gt;=46,'Daily Schedule'!$A42&lt;=52),'Daily Workforce'!$M78="Y",IFERROR(1*'Daily Workforce'!$P78&gt;=2,FALSE()))))),1,0)</f>
        <v>1</v>
      </c>
      <c r="CL38" s="1" t="n">
        <f aca="false">IF(AND('Daily Workforce'!$N79="Y",'Daily Workforce'!$B79&lt;&gt;"",COUNTIF('Daily Schedule'!$F$5:$F41,'Daily Workforce'!$B79)=0,IF('Daily Schedule'!$A42=45,'Daily Workforce'!$J79="Y",IF(OR('Daily Schedule'!$A42=4,'Daily Schedule'!$A42=8),IF(OR(WEEKDAY('Daily Schedule'!$B$2,2)=1,WEEKDAY('Daily Schedule'!$B$2,2)=4,WEEKDAY('Daily Schedule'!$B$2,2)=5,WEEKDAY('Daily Schedule'!$B$2,2)=7),IFERROR(1*'Daily Workforce'!$K79&gt;=3,FALSE()),IFERROR(1*'Daily Workforce'!$K79&gt;=2,FALSE())),IF(AND('Daily Schedule'!$A42&gt;=46,'Daily Schedule'!$A42&lt;=52),'Daily Workforce'!$M79="Y",IFERROR(1*'Daily Workforce'!$P79&gt;=2,FALSE()))))),1,0)</f>
        <v>1</v>
      </c>
      <c r="CM38" s="1" t="n">
        <f aca="false">IF(AND('Daily Workforce'!$N80="Y",'Daily Workforce'!$B80&lt;&gt;"",COUNTIF('Daily Schedule'!$F$5:$F41,'Daily Workforce'!$B80)=0,IF('Daily Schedule'!$A42=45,'Daily Workforce'!$J80="Y",IF(OR('Daily Schedule'!$A42=4,'Daily Schedule'!$A42=8),IF(OR(WEEKDAY('Daily Schedule'!$B$2,2)=1,WEEKDAY('Daily Schedule'!$B$2,2)=4,WEEKDAY('Daily Schedule'!$B$2,2)=5,WEEKDAY('Daily Schedule'!$B$2,2)=7),IFERROR(1*'Daily Workforce'!$K80&gt;=3,FALSE()),IFERROR(1*'Daily Workforce'!$K80&gt;=2,FALSE())),IF(AND('Daily Schedule'!$A42&gt;=46,'Daily Schedule'!$A42&lt;=52),'Daily Workforce'!$M80="Y",IFERROR(1*'Daily Workforce'!$P80&gt;=2,FALSE()))))),1,0)</f>
        <v>1</v>
      </c>
      <c r="CN38" s="1" t="n">
        <f aca="false">IF(AND('Daily Workforce'!$N81="Y",'Daily Workforce'!$B81&lt;&gt;"",COUNTIF('Daily Schedule'!$F$5:$F41,'Daily Workforce'!$B81)=0,IF('Daily Schedule'!$A42=45,'Daily Workforce'!$J81="Y",IF(OR('Daily Schedule'!$A42=4,'Daily Schedule'!$A42=8),IF(OR(WEEKDAY('Daily Schedule'!$B$2,2)=1,WEEKDAY('Daily Schedule'!$B$2,2)=4,WEEKDAY('Daily Schedule'!$B$2,2)=5,WEEKDAY('Daily Schedule'!$B$2,2)=7),IFERROR(1*'Daily Workforce'!$K81&gt;=3,FALSE()),IFERROR(1*'Daily Workforce'!$K81&gt;=2,FALSE())),IF(AND('Daily Schedule'!$A42&gt;=46,'Daily Schedule'!$A42&lt;=52),'Daily Workforce'!$M81="Y",IFERROR(1*'Daily Workforce'!$P81&gt;=2,FALSE()))))),1,0)</f>
        <v>1</v>
      </c>
      <c r="CO38" s="1" t="n">
        <f aca="false">IF(AND('Daily Workforce'!$N82="Y",'Daily Workforce'!$B82&lt;&gt;"",COUNTIF('Daily Schedule'!$F$5:$F41,'Daily Workforce'!$B82)=0,IF('Daily Schedule'!$A42=45,'Daily Workforce'!$J82="Y",IF(OR('Daily Schedule'!$A42=4,'Daily Schedule'!$A42=8),IF(OR(WEEKDAY('Daily Schedule'!$B$2,2)=1,WEEKDAY('Daily Schedule'!$B$2,2)=4,WEEKDAY('Daily Schedule'!$B$2,2)=5,WEEKDAY('Daily Schedule'!$B$2,2)=7),IFERROR(1*'Daily Workforce'!$K82&gt;=3,FALSE()),IFERROR(1*'Daily Workforce'!$K82&gt;=2,FALSE())),IF(AND('Daily Schedule'!$A42&gt;=46,'Daily Schedule'!$A42&lt;=52),'Daily Workforce'!$M82="Y",IFERROR(1*'Daily Workforce'!$P82&gt;=2,FALSE()))))),1,0)</f>
        <v>1</v>
      </c>
      <c r="CP38" s="1" t="n">
        <f aca="false">IF(AND('Daily Workforce'!$N83="Y",'Daily Workforce'!$B83&lt;&gt;"",COUNTIF('Daily Schedule'!$F$5:$F41,'Daily Workforce'!$B83)=0,IF('Daily Schedule'!$A42=45,'Daily Workforce'!$J83="Y",IF(OR('Daily Schedule'!$A42=4,'Daily Schedule'!$A42=8),IF(OR(WEEKDAY('Daily Schedule'!$B$2,2)=1,WEEKDAY('Daily Schedule'!$B$2,2)=4,WEEKDAY('Daily Schedule'!$B$2,2)=5,WEEKDAY('Daily Schedule'!$B$2,2)=7),IFERROR(1*'Daily Workforce'!$K83&gt;=3,FALSE()),IFERROR(1*'Daily Workforce'!$K83&gt;=2,FALSE())),IF(AND('Daily Schedule'!$A42&gt;=46,'Daily Schedule'!$A42&lt;=52),'Daily Workforce'!$M83="Y",IFERROR(1*'Daily Workforce'!$P83&gt;=2,FALSE()))))),1,0)</f>
        <v>0</v>
      </c>
      <c r="CQ38" s="1" t="n">
        <f aca="false">IF(AND('Daily Workforce'!$N84="Y",'Daily Workforce'!$B84&lt;&gt;"",COUNTIF('Daily Schedule'!$F$5:$F41,'Daily Workforce'!$B84)=0,IF('Daily Schedule'!$A42=45,'Daily Workforce'!$J84="Y",IF(OR('Daily Schedule'!$A42=4,'Daily Schedule'!$A42=8),IF(OR(WEEKDAY('Daily Schedule'!$B$2,2)=1,WEEKDAY('Daily Schedule'!$B$2,2)=4,WEEKDAY('Daily Schedule'!$B$2,2)=5,WEEKDAY('Daily Schedule'!$B$2,2)=7),IFERROR(1*'Daily Workforce'!$K84&gt;=3,FALSE()),IFERROR(1*'Daily Workforce'!$K84&gt;=2,FALSE())),IF(AND('Daily Schedule'!$A42&gt;=46,'Daily Schedule'!$A42&lt;=52),'Daily Workforce'!$M84="Y",IFERROR(1*'Daily Workforce'!$P84&gt;=2,FALSE()))))),1,0)</f>
        <v>1</v>
      </c>
      <c r="CR38" s="1" t="n">
        <f aca="false">IF(AND('Daily Workforce'!$N85="Y",'Daily Workforce'!$B85&lt;&gt;"",COUNTIF('Daily Schedule'!$F$5:$F41,'Daily Workforce'!$B85)=0,IF('Daily Schedule'!$A42=45,'Daily Workforce'!$J85="Y",IF(OR('Daily Schedule'!$A42=4,'Daily Schedule'!$A42=8),IF(OR(WEEKDAY('Daily Schedule'!$B$2,2)=1,WEEKDAY('Daily Schedule'!$B$2,2)=4,WEEKDAY('Daily Schedule'!$B$2,2)=5,WEEKDAY('Daily Schedule'!$B$2,2)=7),IFERROR(1*'Daily Workforce'!$K85&gt;=3,FALSE()),IFERROR(1*'Daily Workforce'!$K85&gt;=2,FALSE())),IF(AND('Daily Schedule'!$A42&gt;=46,'Daily Schedule'!$A42&lt;=52),'Daily Workforce'!$M85="Y",IFERROR(1*'Daily Workforce'!$P85&gt;=2,FALSE()))))),1,0)</f>
        <v>0</v>
      </c>
      <c r="CS38" s="1" t="n">
        <f aca="false">IF(AND('Daily Workforce'!$N86="Y",'Daily Workforce'!$B86&lt;&gt;"",COUNTIF('Daily Schedule'!$F$5:$F41,'Daily Workforce'!$B86)=0,IF('Daily Schedule'!$A42=45,'Daily Workforce'!$J86="Y",IF(OR('Daily Schedule'!$A42=4,'Daily Schedule'!$A42=8),IF(OR(WEEKDAY('Daily Schedule'!$B$2,2)=1,WEEKDAY('Daily Schedule'!$B$2,2)=4,WEEKDAY('Daily Schedule'!$B$2,2)=5,WEEKDAY('Daily Schedule'!$B$2,2)=7),IFERROR(1*'Daily Workforce'!$K86&gt;=3,FALSE()),IFERROR(1*'Daily Workforce'!$K86&gt;=2,FALSE())),IF(AND('Daily Schedule'!$A42&gt;=46,'Daily Schedule'!$A42&lt;=52),'Daily Workforce'!$M86="Y",IFERROR(1*'Daily Workforce'!$P86&gt;=2,FALSE()))))),1,0)</f>
        <v>1</v>
      </c>
      <c r="CT38" s="1" t="n">
        <f aca="false">IF(AND('Daily Workforce'!$N87="Y",'Daily Workforce'!$B87&lt;&gt;"",COUNTIF('Daily Schedule'!$F$5:$F41,'Daily Workforce'!$B87)=0,IF('Daily Schedule'!$A42=45,'Daily Workforce'!$J87="Y",IF(OR('Daily Schedule'!$A42=4,'Daily Schedule'!$A42=8),IF(OR(WEEKDAY('Daily Schedule'!$B$2,2)=1,WEEKDAY('Daily Schedule'!$B$2,2)=4,WEEKDAY('Daily Schedule'!$B$2,2)=5,WEEKDAY('Daily Schedule'!$B$2,2)=7),IFERROR(1*'Daily Workforce'!$K87&gt;=3,FALSE()),IFERROR(1*'Daily Workforce'!$K87&gt;=2,FALSE())),IF(AND('Daily Schedule'!$A42&gt;=46,'Daily Schedule'!$A42&lt;=52),'Daily Workforce'!$M87="Y",IFERROR(1*'Daily Workforce'!$P87&gt;=2,FALSE()))))),1,0)</f>
        <v>1</v>
      </c>
      <c r="CU38" s="1" t="n">
        <f aca="false">IF(AND('Daily Workforce'!$N88="Y",'Daily Workforce'!$B88&lt;&gt;"",COUNTIF('Daily Schedule'!$F$5:$F41,'Daily Workforce'!$B88)=0,IF('Daily Schedule'!$A42=45,'Daily Workforce'!$J88="Y",IF(OR('Daily Schedule'!$A42=4,'Daily Schedule'!$A42=8),IF(OR(WEEKDAY('Daily Schedule'!$B$2,2)=1,WEEKDAY('Daily Schedule'!$B$2,2)=4,WEEKDAY('Daily Schedule'!$B$2,2)=5,WEEKDAY('Daily Schedule'!$B$2,2)=7),IFERROR(1*'Daily Workforce'!$K88&gt;=3,FALSE()),IFERROR(1*'Daily Workforce'!$K88&gt;=2,FALSE())),IF(AND('Daily Schedule'!$A42&gt;=46,'Daily Schedule'!$A42&lt;=52),'Daily Workforce'!$M88="Y",IFERROR(1*'Daily Workforce'!$P88&gt;=2,FALSE()))))),1,0)</f>
        <v>1</v>
      </c>
      <c r="CV38" s="1" t="n">
        <f aca="false">IF(AND('Daily Workforce'!$N89="Y",'Daily Workforce'!$B89&lt;&gt;"",COUNTIF('Daily Schedule'!$F$5:$F41,'Daily Workforce'!$B89)=0,IF('Daily Schedule'!$A42=45,'Daily Workforce'!$J89="Y",IF(OR('Daily Schedule'!$A42=4,'Daily Schedule'!$A42=8),IF(OR(WEEKDAY('Daily Schedule'!$B$2,2)=1,WEEKDAY('Daily Schedule'!$B$2,2)=4,WEEKDAY('Daily Schedule'!$B$2,2)=5,WEEKDAY('Daily Schedule'!$B$2,2)=7),IFERROR(1*'Daily Workforce'!$K89&gt;=3,FALSE()),IFERROR(1*'Daily Workforce'!$K89&gt;=2,FALSE())),IF(AND('Daily Schedule'!$A42&gt;=46,'Daily Schedule'!$A42&lt;=52),'Daily Workforce'!$M89="Y",IFERROR(1*'Daily Workforce'!$P89&gt;=2,FALSE()))))),1,0)</f>
        <v>1</v>
      </c>
      <c r="CW38" s="1" t="n">
        <f aca="false">IF(AND('Daily Workforce'!$N90="Y",'Daily Workforce'!$B90&lt;&gt;"",COUNTIF('Daily Schedule'!$F$5:$F41,'Daily Workforce'!$B90)=0,IF('Daily Schedule'!$A42=45,'Daily Workforce'!$J90="Y",IF(OR('Daily Schedule'!$A42=4,'Daily Schedule'!$A42=8),IF(OR(WEEKDAY('Daily Schedule'!$B$2,2)=1,WEEKDAY('Daily Schedule'!$B$2,2)=4,WEEKDAY('Daily Schedule'!$B$2,2)=5,WEEKDAY('Daily Schedule'!$B$2,2)=7),IFERROR(1*'Daily Workforce'!$K90&gt;=3,FALSE()),IFERROR(1*'Daily Workforce'!$K90&gt;=2,FALSE())),IF(AND('Daily Schedule'!$A42&gt;=46,'Daily Schedule'!$A42&lt;=52),'Daily Workforce'!$M90="Y",IFERROR(1*'Daily Workforce'!$P90&gt;=2,FALSE()))))),1,0)</f>
        <v>1</v>
      </c>
      <c r="CX38" s="1" t="n">
        <f aca="false">IF(AND('Daily Workforce'!$N91="Y",'Daily Workforce'!$B91&lt;&gt;"",COUNTIF('Daily Schedule'!$F$5:$F41,'Daily Workforce'!$B91)=0,IF('Daily Schedule'!$A42=45,'Daily Workforce'!$J91="Y",IF(OR('Daily Schedule'!$A42=4,'Daily Schedule'!$A42=8),IF(OR(WEEKDAY('Daily Schedule'!$B$2,2)=1,WEEKDAY('Daily Schedule'!$B$2,2)=4,WEEKDAY('Daily Schedule'!$B$2,2)=5,WEEKDAY('Daily Schedule'!$B$2,2)=7),IFERROR(1*'Daily Workforce'!$K91&gt;=3,FALSE()),IFERROR(1*'Daily Workforce'!$K91&gt;=2,FALSE())),IF(AND('Daily Schedule'!$A42&gt;=46,'Daily Schedule'!$A42&lt;=52),'Daily Workforce'!$M91="Y",IFERROR(1*'Daily Workforce'!$P91&gt;=2,FALSE()))))),1,0)</f>
        <v>1</v>
      </c>
      <c r="CY38" s="1" t="n">
        <f aca="false">IF(AND('Daily Workforce'!$N92="Y",'Daily Workforce'!$B92&lt;&gt;"",COUNTIF('Daily Schedule'!$F$5:$F41,'Daily Workforce'!$B92)=0,IF('Daily Schedule'!$A42=45,'Daily Workforce'!$J92="Y",IF(OR('Daily Schedule'!$A42=4,'Daily Schedule'!$A42=8),IF(OR(WEEKDAY('Daily Schedule'!$B$2,2)=1,WEEKDAY('Daily Schedule'!$B$2,2)=4,WEEKDAY('Daily Schedule'!$B$2,2)=5,WEEKDAY('Daily Schedule'!$B$2,2)=7),IFERROR(1*'Daily Workforce'!$K92&gt;=3,FALSE()),IFERROR(1*'Daily Workforce'!$K92&gt;=2,FALSE())),IF(AND('Daily Schedule'!$A42&gt;=46,'Daily Schedule'!$A42&lt;=52),'Daily Workforce'!$M92="Y",IFERROR(1*'Daily Workforce'!$P92&gt;=2,FALSE()))))),1,0)</f>
        <v>1</v>
      </c>
      <c r="CZ38" s="1" t="n">
        <f aca="false">IF(AND('Daily Workforce'!$N93="Y",'Daily Workforce'!$B93&lt;&gt;"",COUNTIF('Daily Schedule'!$F$5:$F41,'Daily Workforce'!$B93)=0,IF('Daily Schedule'!$A42=45,'Daily Workforce'!$J93="Y",IF(OR('Daily Schedule'!$A42=4,'Daily Schedule'!$A42=8),IF(OR(WEEKDAY('Daily Schedule'!$B$2,2)=1,WEEKDAY('Daily Schedule'!$B$2,2)=4,WEEKDAY('Daily Schedule'!$B$2,2)=5,WEEKDAY('Daily Schedule'!$B$2,2)=7),IFERROR(1*'Daily Workforce'!$K93&gt;=3,FALSE()),IFERROR(1*'Daily Workforce'!$K93&gt;=2,FALSE())),IF(AND('Daily Schedule'!$A42&gt;=46,'Daily Schedule'!$A42&lt;=52),'Daily Workforce'!$M93="Y",IFERROR(1*'Daily Workforce'!$P93&gt;=2,FALSE()))))),1,0)</f>
        <v>1</v>
      </c>
      <c r="DA38" s="1" t="n">
        <f aca="false">IF(AND('Daily Workforce'!$N94="Y",'Daily Workforce'!$B94&lt;&gt;"",COUNTIF('Daily Schedule'!$F$5:$F41,'Daily Workforce'!$B94)=0,IF('Daily Schedule'!$A42=45,'Daily Workforce'!$J94="Y",IF(OR('Daily Schedule'!$A42=4,'Daily Schedule'!$A42=8),IF(OR(WEEKDAY('Daily Schedule'!$B$2,2)=1,WEEKDAY('Daily Schedule'!$B$2,2)=4,WEEKDAY('Daily Schedule'!$B$2,2)=5,WEEKDAY('Daily Schedule'!$B$2,2)=7),IFERROR(1*'Daily Workforce'!$K94&gt;=3,FALSE()),IFERROR(1*'Daily Workforce'!$K94&gt;=2,FALSE())),IF(AND('Daily Schedule'!$A42&gt;=46,'Daily Schedule'!$A42&lt;=52),'Daily Workforce'!$M94="Y",IFERROR(1*'Daily Workforce'!$P94&gt;=2,FALSE()))))),1,0)</f>
        <v>1</v>
      </c>
      <c r="DB38" s="1" t="n">
        <f aca="false">IF(AND('Daily Workforce'!$N95="Y",'Daily Workforce'!$B95&lt;&gt;"",COUNTIF('Daily Schedule'!$F$5:$F41,'Daily Workforce'!$B95)=0,IF('Daily Schedule'!$A42=45,'Daily Workforce'!$J95="Y",IF(OR('Daily Schedule'!$A42=4,'Daily Schedule'!$A42=8),IF(OR(WEEKDAY('Daily Schedule'!$B$2,2)=1,WEEKDAY('Daily Schedule'!$B$2,2)=4,WEEKDAY('Daily Schedule'!$B$2,2)=5,WEEKDAY('Daily Schedule'!$B$2,2)=7),IFERROR(1*'Daily Workforce'!$K95&gt;=3,FALSE()),IFERROR(1*'Daily Workforce'!$K95&gt;=2,FALSE())),IF(AND('Daily Schedule'!$A42&gt;=46,'Daily Schedule'!$A42&lt;=52),'Daily Workforce'!$M95="Y",IFERROR(1*'Daily Workforce'!$P95&gt;=2,FALSE()))))),1,0)</f>
        <v>1</v>
      </c>
      <c r="DC38" s="1" t="n">
        <f aca="false">IF(AND('Daily Workforce'!$N96="Y",'Daily Workforce'!$B96&lt;&gt;"",COUNTIF('Daily Schedule'!$F$5:$F41,'Daily Workforce'!$B96)=0,IF('Daily Schedule'!$A42=45,'Daily Workforce'!$J96="Y",IF(OR('Daily Schedule'!$A42=4,'Daily Schedule'!$A42=8),IF(OR(WEEKDAY('Daily Schedule'!$B$2,2)=1,WEEKDAY('Daily Schedule'!$B$2,2)=4,WEEKDAY('Daily Schedule'!$B$2,2)=5,WEEKDAY('Daily Schedule'!$B$2,2)=7),IFERROR(1*'Daily Workforce'!$K96&gt;=3,FALSE()),IFERROR(1*'Daily Workforce'!$K96&gt;=2,FALSE())),IF(AND('Daily Schedule'!$A42&gt;=46,'Daily Schedule'!$A42&lt;=52),'Daily Workforce'!$M96="Y",IFERROR(1*'Daily Workforce'!$P96&gt;=2,FALSE()))))),1,0)</f>
        <v>1</v>
      </c>
      <c r="DD38" s="1" t="n">
        <f aca="false">IF(AND('Daily Workforce'!$N97="Y",'Daily Workforce'!$B97&lt;&gt;"",COUNTIF('Daily Schedule'!$F$5:$F41,'Daily Workforce'!$B97)=0,IF('Daily Schedule'!$A42=45,'Daily Workforce'!$J97="Y",IF(OR('Daily Schedule'!$A42=4,'Daily Schedule'!$A42=8),IF(OR(WEEKDAY('Daily Schedule'!$B$2,2)=1,WEEKDAY('Daily Schedule'!$B$2,2)=4,WEEKDAY('Daily Schedule'!$B$2,2)=5,WEEKDAY('Daily Schedule'!$B$2,2)=7),IFERROR(1*'Daily Workforce'!$K97&gt;=3,FALSE()),IFERROR(1*'Daily Workforce'!$K97&gt;=2,FALSE())),IF(AND('Daily Schedule'!$A42&gt;=46,'Daily Schedule'!$A42&lt;=52),'Daily Workforce'!$M97="Y",IFERROR(1*'Daily Workforce'!$P97&gt;=2,FALSE()))))),1,0)</f>
        <v>1</v>
      </c>
      <c r="DE38" s="1" t="n">
        <f aca="false">IF(AND('Daily Workforce'!$N98="Y",'Daily Workforce'!$B98&lt;&gt;"",COUNTIF('Daily Schedule'!$F$5:$F41,'Daily Workforce'!$B98)=0,IF('Daily Schedule'!$A42=45,'Daily Workforce'!$J98="Y",IF(OR('Daily Schedule'!$A42=4,'Daily Schedule'!$A42=8),IF(OR(WEEKDAY('Daily Schedule'!$B$2,2)=1,WEEKDAY('Daily Schedule'!$B$2,2)=4,WEEKDAY('Daily Schedule'!$B$2,2)=5,WEEKDAY('Daily Schedule'!$B$2,2)=7),IFERROR(1*'Daily Workforce'!$K98&gt;=3,FALSE()),IFERROR(1*'Daily Workforce'!$K98&gt;=2,FALSE())),IF(AND('Daily Schedule'!$A42&gt;=46,'Daily Schedule'!$A42&lt;=52),'Daily Workforce'!$M98="Y",IFERROR(1*'Daily Workforce'!$P98&gt;=2,FALSE()))))),1,0)</f>
        <v>1</v>
      </c>
      <c r="DF38" s="1" t="n">
        <f aca="false">IF(AND('Daily Workforce'!$N99="Y",'Daily Workforce'!$B99&lt;&gt;"",COUNTIF('Daily Schedule'!$F$5:$F41,'Daily Workforce'!$B99)=0,IF('Daily Schedule'!$A42=45,'Daily Workforce'!$J99="Y",IF(OR('Daily Schedule'!$A42=4,'Daily Schedule'!$A42=8),IF(OR(WEEKDAY('Daily Schedule'!$B$2,2)=1,WEEKDAY('Daily Schedule'!$B$2,2)=4,WEEKDAY('Daily Schedule'!$B$2,2)=5,WEEKDAY('Daily Schedule'!$B$2,2)=7),IFERROR(1*'Daily Workforce'!$K99&gt;=3,FALSE()),IFERROR(1*'Daily Workforce'!$K99&gt;=2,FALSE())),IF(AND('Daily Schedule'!$A42&gt;=46,'Daily Schedule'!$A42&lt;=52),'Daily Workforce'!$M99="Y",IFERROR(1*'Daily Workforce'!$P99&gt;=2,FALSE()))))),1,0)</f>
        <v>1</v>
      </c>
      <c r="DG38" s="1" t="n">
        <f aca="false">IF(AND('Daily Workforce'!$N100="Y",'Daily Workforce'!$B100&lt;&gt;"",COUNTIF('Daily Schedule'!$F$5:$F41,'Daily Workforce'!$B100)=0,IF('Daily Schedule'!$A42=45,'Daily Workforce'!$J100="Y",IF(OR('Daily Schedule'!$A42=4,'Daily Schedule'!$A42=8),IF(OR(WEEKDAY('Daily Schedule'!$B$2,2)=1,WEEKDAY('Daily Schedule'!$B$2,2)=4,WEEKDAY('Daily Schedule'!$B$2,2)=5,WEEKDAY('Daily Schedule'!$B$2,2)=7),IFERROR(1*'Daily Workforce'!$K100&gt;=3,FALSE()),IFERROR(1*'Daily Workforce'!$K100&gt;=2,FALSE())),IF(AND('Daily Schedule'!$A42&gt;=46,'Daily Schedule'!$A42&lt;=52),'Daily Workforce'!$M100="Y",IFERROR(1*'Daily Workforce'!$P100&gt;=2,FALSE()))))),1,0)</f>
        <v>1</v>
      </c>
      <c r="DH38" s="1" t="n">
        <f aca="false">IF(AND('Daily Workforce'!$N101="Y",'Daily Workforce'!$B101&lt;&gt;"",COUNTIF('Daily Schedule'!$F$5:$F41,'Daily Workforce'!$B101)=0,IF('Daily Schedule'!$A42=45,'Daily Workforce'!$J101="Y",IF(OR('Daily Schedule'!$A42=4,'Daily Schedule'!$A42=8),IF(OR(WEEKDAY('Daily Schedule'!$B$2,2)=1,WEEKDAY('Daily Schedule'!$B$2,2)=4,WEEKDAY('Daily Schedule'!$B$2,2)=5,WEEKDAY('Daily Schedule'!$B$2,2)=7),IFERROR(1*'Daily Workforce'!$K101&gt;=3,FALSE()),IFERROR(1*'Daily Workforce'!$K101&gt;=2,FALSE())),IF(AND('Daily Schedule'!$A42&gt;=46,'Daily Schedule'!$A42&lt;=52),'Daily Workforce'!$M101="Y",IFERROR(1*'Daily Workforce'!$P101&gt;=2,FALSE()))))),1,0)</f>
        <v>1</v>
      </c>
      <c r="DI38" s="1" t="n">
        <f aca="false">IF(AND('Daily Workforce'!$N102="Y",'Daily Workforce'!$B102&lt;&gt;"",COUNTIF('Daily Schedule'!$F$5:$F41,'Daily Workforce'!$B102)=0,IF('Daily Schedule'!$A42=45,'Daily Workforce'!$J102="Y",IF(OR('Daily Schedule'!$A42=4,'Daily Schedule'!$A42=8),IF(OR(WEEKDAY('Daily Schedule'!$B$2,2)=1,WEEKDAY('Daily Schedule'!$B$2,2)=4,WEEKDAY('Daily Schedule'!$B$2,2)=5,WEEKDAY('Daily Schedule'!$B$2,2)=7),IFERROR(1*'Daily Workforce'!$K102&gt;=3,FALSE()),IFERROR(1*'Daily Workforce'!$K102&gt;=2,FALSE())),IF(AND('Daily Schedule'!$A42&gt;=46,'Daily Schedule'!$A42&lt;=52),'Daily Workforce'!$M102="Y",IFERROR(1*'Daily Workforce'!$P102&gt;=2,FALSE()))))),1,0)</f>
        <v>1</v>
      </c>
      <c r="DJ38" s="1" t="n">
        <f aca="false">IF(AND('Daily Workforce'!$N103="Y",'Daily Workforce'!$B103&lt;&gt;"",COUNTIF('Daily Schedule'!$F$5:$F41,'Daily Workforce'!$B103)=0,IF('Daily Schedule'!$A42=45,'Daily Workforce'!$J103="Y",IF(OR('Daily Schedule'!$A42=4,'Daily Schedule'!$A42=8),IF(OR(WEEKDAY('Daily Schedule'!$B$2,2)=1,WEEKDAY('Daily Schedule'!$B$2,2)=4,WEEKDAY('Daily Schedule'!$B$2,2)=5,WEEKDAY('Daily Schedule'!$B$2,2)=7),IFERROR(1*'Daily Workforce'!$K103&gt;=3,FALSE()),IFERROR(1*'Daily Workforce'!$K103&gt;=2,FALSE())),IF(AND('Daily Schedule'!$A42&gt;=46,'Daily Schedule'!$A42&lt;=52),'Daily Workforce'!$M103="Y",IFERROR(1*'Daily Workforce'!$P103&gt;=2,FALSE()))))),1,0)</f>
        <v>1</v>
      </c>
      <c r="DK38" s="1" t="n">
        <f aca="false">IF(AND('Daily Workforce'!$N104="Y",'Daily Workforce'!$B104&lt;&gt;"",COUNTIF('Daily Schedule'!$F$5:$F41,'Daily Workforce'!$B104)=0,IF('Daily Schedule'!$A42=45,'Daily Workforce'!$J104="Y",IF(OR('Daily Schedule'!$A42=4,'Daily Schedule'!$A42=8),IF(OR(WEEKDAY('Daily Schedule'!$B$2,2)=1,WEEKDAY('Daily Schedule'!$B$2,2)=4,WEEKDAY('Daily Schedule'!$B$2,2)=5,WEEKDAY('Daily Schedule'!$B$2,2)=7),IFERROR(1*'Daily Workforce'!$K104&gt;=3,FALSE()),IFERROR(1*'Daily Workforce'!$K104&gt;=2,FALSE())),IF(AND('Daily Schedule'!$A42&gt;=46,'Daily Schedule'!$A42&lt;=52),'Daily Workforce'!$M104="Y",IFERROR(1*'Daily Workforce'!$P104&gt;=2,FALSE()))))),1,0)</f>
        <v>1</v>
      </c>
      <c r="DL38" s="1" t="n">
        <f aca="false">IF(AND('Daily Workforce'!$N105="Y",'Daily Workforce'!$B105&lt;&gt;"",COUNTIF('Daily Schedule'!$F$5:$F41,'Daily Workforce'!$B105)=0,IF('Daily Schedule'!$A42=45,'Daily Workforce'!$J105="Y",IF(OR('Daily Schedule'!$A42=4,'Daily Schedule'!$A42=8),IF(OR(WEEKDAY('Daily Schedule'!$B$2,2)=1,WEEKDAY('Daily Schedule'!$B$2,2)=4,WEEKDAY('Daily Schedule'!$B$2,2)=5,WEEKDAY('Daily Schedule'!$B$2,2)=7),IFERROR(1*'Daily Workforce'!$K105&gt;=3,FALSE()),IFERROR(1*'Daily Workforce'!$K105&gt;=2,FALSE())),IF(AND('Daily Schedule'!$A42&gt;=46,'Daily Schedule'!$A42&lt;=52),'Daily Workforce'!$M105="Y",IFERROR(1*'Daily Workforce'!$P105&gt;=2,FALSE()))))),1,0)</f>
        <v>0</v>
      </c>
      <c r="DM38" s="1" t="n">
        <f aca="false">IF(AND('Daily Workforce'!$N106="Y",'Daily Workforce'!$B106&lt;&gt;"",COUNTIF('Daily Schedule'!$F$5:$F41,'Daily Workforce'!$B106)=0,IF('Daily Schedule'!$A42=45,'Daily Workforce'!$J106="Y",IF(OR('Daily Schedule'!$A42=4,'Daily Schedule'!$A42=8),IF(OR(WEEKDAY('Daily Schedule'!$B$2,2)=1,WEEKDAY('Daily Schedule'!$B$2,2)=4,WEEKDAY('Daily Schedule'!$B$2,2)=5,WEEKDAY('Daily Schedule'!$B$2,2)=7),IFERROR(1*'Daily Workforce'!$K106&gt;=3,FALSE()),IFERROR(1*'Daily Workforce'!$K106&gt;=2,FALSE())),IF(AND('Daily Schedule'!$A42&gt;=46,'Daily Schedule'!$A42&lt;=52),'Daily Workforce'!$M106="Y",IFERROR(1*'Daily Workforce'!$P106&gt;=2,FALSE()))))),1,0)</f>
        <v>1</v>
      </c>
      <c r="DN38" s="1" t="n">
        <f aca="false">IF(AND('Daily Workforce'!$N107="Y",'Daily Workforce'!$B107&lt;&gt;"",COUNTIF('Daily Schedule'!$F$5:$F41,'Daily Workforce'!$B107)=0,IF('Daily Schedule'!$A42=45,'Daily Workforce'!$J107="Y",IF(OR('Daily Schedule'!$A42=4,'Daily Schedule'!$A42=8),IF(OR(WEEKDAY('Daily Schedule'!$B$2,2)=1,WEEKDAY('Daily Schedule'!$B$2,2)=4,WEEKDAY('Daily Schedule'!$B$2,2)=5,WEEKDAY('Daily Schedule'!$B$2,2)=7),IFERROR(1*'Daily Workforce'!$K107&gt;=3,FALSE()),IFERROR(1*'Daily Workforce'!$K107&gt;=2,FALSE())),IF(AND('Daily Schedule'!$A42&gt;=46,'Daily Schedule'!$A42&lt;=52),'Daily Workforce'!$M107="Y",IFERROR(1*'Daily Workforce'!$P107&gt;=2,FALSE()))))),1,0)</f>
        <v>1</v>
      </c>
      <c r="DO38" s="1" t="n">
        <f aca="false">IF(AND('Daily Workforce'!$N108="Y",'Daily Workforce'!$B108&lt;&gt;"",COUNTIF('Daily Schedule'!$F$5:$F41,'Daily Workforce'!$B108)=0,IF('Daily Schedule'!$A42=45,'Daily Workforce'!$J108="Y",IF(OR('Daily Schedule'!$A42=4,'Daily Schedule'!$A42=8),IF(OR(WEEKDAY('Daily Schedule'!$B$2,2)=1,WEEKDAY('Daily Schedule'!$B$2,2)=4,WEEKDAY('Daily Schedule'!$B$2,2)=5,WEEKDAY('Daily Schedule'!$B$2,2)=7),IFERROR(1*'Daily Workforce'!$K108&gt;=3,FALSE()),IFERROR(1*'Daily Workforce'!$K108&gt;=2,FALSE())),IF(AND('Daily Schedule'!$A42&gt;=46,'Daily Schedule'!$A42&lt;=52),'Daily Workforce'!$M108="Y",IFERROR(1*'Daily Workforce'!$P108&gt;=2,FALSE()))))),1,0)</f>
        <v>1</v>
      </c>
      <c r="DP38" s="1" t="n">
        <f aca="false">IF(AND('Daily Workforce'!$N109="Y",'Daily Workforce'!$B109&lt;&gt;"",COUNTIF('Daily Schedule'!$F$5:$F41,'Daily Workforce'!$B109)=0,IF('Daily Schedule'!$A42=45,'Daily Workforce'!$J109="Y",IF(OR('Daily Schedule'!$A42=4,'Daily Schedule'!$A42=8),IF(OR(WEEKDAY('Daily Schedule'!$B$2,2)=1,WEEKDAY('Daily Schedule'!$B$2,2)=4,WEEKDAY('Daily Schedule'!$B$2,2)=5,WEEKDAY('Daily Schedule'!$B$2,2)=7),IFERROR(1*'Daily Workforce'!$K109&gt;=3,FALSE()),IFERROR(1*'Daily Workforce'!$K109&gt;=2,FALSE())),IF(AND('Daily Schedule'!$A42&gt;=46,'Daily Schedule'!$A42&lt;=52),'Daily Workforce'!$M109="Y",IFERROR(1*'Daily Workforce'!$P109&gt;=2,FALSE()))))),1,0)</f>
        <v>1</v>
      </c>
      <c r="DQ38" s="1" t="n">
        <f aca="false">IF(AND('Daily Workforce'!$N110="Y",'Daily Workforce'!$B110&lt;&gt;"",COUNTIF('Daily Schedule'!$F$5:$F41,'Daily Workforce'!$B110)=0,IF('Daily Schedule'!$A42=45,'Daily Workforce'!$J110="Y",IF(OR('Daily Schedule'!$A42=4,'Daily Schedule'!$A42=8),IF(OR(WEEKDAY('Daily Schedule'!$B$2,2)=1,WEEKDAY('Daily Schedule'!$B$2,2)=4,WEEKDAY('Daily Schedule'!$B$2,2)=5,WEEKDAY('Daily Schedule'!$B$2,2)=7),IFERROR(1*'Daily Workforce'!$K110&gt;=3,FALSE()),IFERROR(1*'Daily Workforce'!$K110&gt;=2,FALSE())),IF(AND('Daily Schedule'!$A42&gt;=46,'Daily Schedule'!$A42&lt;=52),'Daily Workforce'!$M110="Y",IFERROR(1*'Daily Workforce'!$P110&gt;=2,FALSE()))))),1,0)</f>
        <v>1</v>
      </c>
      <c r="DR38" s="1" t="n">
        <f aca="false">IF(AND('Daily Workforce'!$N111="Y",'Daily Workforce'!$B111&lt;&gt;"",COUNTIF('Daily Schedule'!$F$5:$F41,'Daily Workforce'!$B111)=0,IF('Daily Schedule'!$A42=45,'Daily Workforce'!$J111="Y",IF(OR('Daily Schedule'!$A42=4,'Daily Schedule'!$A42=8),IF(OR(WEEKDAY('Daily Schedule'!$B$2,2)=1,WEEKDAY('Daily Schedule'!$B$2,2)=4,WEEKDAY('Daily Schedule'!$B$2,2)=5,WEEKDAY('Daily Schedule'!$B$2,2)=7),IFERROR(1*'Daily Workforce'!$K111&gt;=3,FALSE()),IFERROR(1*'Daily Workforce'!$K111&gt;=2,FALSE())),IF(AND('Daily Schedule'!$A42&gt;=46,'Daily Schedule'!$A42&lt;=52),'Daily Workforce'!$M111="Y",IFERROR(1*'Daily Workforce'!$P111&gt;=2,FALSE()))))),1,0)</f>
        <v>1</v>
      </c>
      <c r="DS38" s="1" t="n">
        <f aca="false">IF(AND('Daily Workforce'!$N112="Y",'Daily Workforce'!$B112&lt;&gt;"",COUNTIF('Daily Schedule'!$F$5:$F41,'Daily Workforce'!$B112)=0,IF('Daily Schedule'!$A42=45,'Daily Workforce'!$J112="Y",IF(OR('Daily Schedule'!$A42=4,'Daily Schedule'!$A42=8),IF(OR(WEEKDAY('Daily Schedule'!$B$2,2)=1,WEEKDAY('Daily Schedule'!$B$2,2)=4,WEEKDAY('Daily Schedule'!$B$2,2)=5,WEEKDAY('Daily Schedule'!$B$2,2)=7),IFERROR(1*'Daily Workforce'!$K112&gt;=3,FALSE()),IFERROR(1*'Daily Workforce'!$K112&gt;=2,FALSE())),IF(AND('Daily Schedule'!$A42&gt;=46,'Daily Schedule'!$A42&lt;=52),'Daily Workforce'!$M112="Y",IFERROR(1*'Daily Workforce'!$P112&gt;=2,FALSE()))))),1,0)</f>
        <v>1</v>
      </c>
      <c r="DT38" s="1" t="n">
        <f aca="false">IF(AND('Daily Workforce'!$N113="Y",'Daily Workforce'!$B113&lt;&gt;"",COUNTIF('Daily Schedule'!$F$5:$F41,'Daily Workforce'!$B113)=0,IF('Daily Schedule'!$A42=45,'Daily Workforce'!$J113="Y",IF(OR('Daily Schedule'!$A42=4,'Daily Schedule'!$A42=8),IF(OR(WEEKDAY('Daily Schedule'!$B$2,2)=1,WEEKDAY('Daily Schedule'!$B$2,2)=4,WEEKDAY('Daily Schedule'!$B$2,2)=5,WEEKDAY('Daily Schedule'!$B$2,2)=7),IFERROR(1*'Daily Workforce'!$K113&gt;=3,FALSE()),IFERROR(1*'Daily Workforce'!$K113&gt;=2,FALSE())),IF(AND('Daily Schedule'!$A42&gt;=46,'Daily Schedule'!$A42&lt;=52),'Daily Workforce'!$M113="Y",IFERROR(1*'Daily Workforce'!$P113&gt;=2,FALSE()))))),1,0)</f>
        <v>1</v>
      </c>
      <c r="DU38" s="1" t="n">
        <f aca="false">IF(AND('Daily Workforce'!$N114="Y",'Daily Workforce'!$B114&lt;&gt;"",COUNTIF('Daily Schedule'!$F$5:$F41,'Daily Workforce'!$B114)=0,IF('Daily Schedule'!$A42=45,'Daily Workforce'!$J114="Y",IF(OR('Daily Schedule'!$A42=4,'Daily Schedule'!$A42=8),IF(OR(WEEKDAY('Daily Schedule'!$B$2,2)=1,WEEKDAY('Daily Schedule'!$B$2,2)=4,WEEKDAY('Daily Schedule'!$B$2,2)=5,WEEKDAY('Daily Schedule'!$B$2,2)=7),IFERROR(1*'Daily Workforce'!$K114&gt;=3,FALSE()),IFERROR(1*'Daily Workforce'!$K114&gt;=2,FALSE())),IF(AND('Daily Schedule'!$A42&gt;=46,'Daily Schedule'!$A42&lt;=52),'Daily Workforce'!$M114="Y",IFERROR(1*'Daily Workforce'!$P114&gt;=2,FALSE()))))),1,0)</f>
        <v>1</v>
      </c>
      <c r="DV38" s="1" t="n">
        <f aca="false">IF(AND('Daily Workforce'!$N115="Y",'Daily Workforce'!$B115&lt;&gt;"",COUNTIF('Daily Schedule'!$F$5:$F41,'Daily Workforce'!$B115)=0,IF('Daily Schedule'!$A42=45,'Daily Workforce'!$J115="Y",IF(OR('Daily Schedule'!$A42=4,'Daily Schedule'!$A42=8),IF(OR(WEEKDAY('Daily Schedule'!$B$2,2)=1,WEEKDAY('Daily Schedule'!$B$2,2)=4,WEEKDAY('Daily Schedule'!$B$2,2)=5,WEEKDAY('Daily Schedule'!$B$2,2)=7),IFERROR(1*'Daily Workforce'!$K115&gt;=3,FALSE()),IFERROR(1*'Daily Workforce'!$K115&gt;=2,FALSE())),IF(AND('Daily Schedule'!$A42&gt;=46,'Daily Schedule'!$A42&lt;=52),'Daily Workforce'!$M115="Y",IFERROR(1*'Daily Workforce'!$P115&gt;=2,FALSE()))))),1,0)</f>
        <v>1</v>
      </c>
      <c r="DW38" s="1" t="n">
        <f aca="false">IF(AND('Daily Workforce'!$N116="Y",'Daily Workforce'!$B116&lt;&gt;"",COUNTIF('Daily Schedule'!$F$5:$F41,'Daily Workforce'!$B116)=0,IF('Daily Schedule'!$A42=45,'Daily Workforce'!$J116="Y",IF(OR('Daily Schedule'!$A42=4,'Daily Schedule'!$A42=8),IF(OR(WEEKDAY('Daily Schedule'!$B$2,2)=1,WEEKDAY('Daily Schedule'!$B$2,2)=4,WEEKDAY('Daily Schedule'!$B$2,2)=5,WEEKDAY('Daily Schedule'!$B$2,2)=7),IFERROR(1*'Daily Workforce'!$K116&gt;=3,FALSE()),IFERROR(1*'Daily Workforce'!$K116&gt;=2,FALSE())),IF(AND('Daily Schedule'!$A42&gt;=46,'Daily Schedule'!$A42&lt;=52),'Daily Workforce'!$M116="Y",IFERROR(1*'Daily Workforce'!$P116&gt;=2,FALSE()))))),1,0)</f>
        <v>1</v>
      </c>
      <c r="DX38" s="1" t="n">
        <f aca="false">IF(AND('Daily Workforce'!$N117="Y",'Daily Workforce'!$B117&lt;&gt;"",COUNTIF('Daily Schedule'!$F$5:$F41,'Daily Workforce'!$B117)=0,IF('Daily Schedule'!$A42=45,'Daily Workforce'!$J117="Y",IF(OR('Daily Schedule'!$A42=4,'Daily Schedule'!$A42=8),IF(OR(WEEKDAY('Daily Schedule'!$B$2,2)=1,WEEKDAY('Daily Schedule'!$B$2,2)=4,WEEKDAY('Daily Schedule'!$B$2,2)=5,WEEKDAY('Daily Schedule'!$B$2,2)=7),IFERROR(1*'Daily Workforce'!$K117&gt;=3,FALSE()),IFERROR(1*'Daily Workforce'!$K117&gt;=2,FALSE())),IF(AND('Daily Schedule'!$A42&gt;=46,'Daily Schedule'!$A42&lt;=52),'Daily Workforce'!$M117="Y",IFERROR(1*'Daily Workforce'!$P117&gt;=2,FALSE()))))),1,0)</f>
        <v>1</v>
      </c>
      <c r="DY38" s="1" t="n">
        <f aca="false">IF(AND('Daily Workforce'!$N118="Y",'Daily Workforce'!$B118&lt;&gt;"",COUNTIF('Daily Schedule'!$F$5:$F41,'Daily Workforce'!$B118)=0,IF('Daily Schedule'!$A42=45,'Daily Workforce'!$J118="Y",IF(OR('Daily Schedule'!$A42=4,'Daily Schedule'!$A42=8),IF(OR(WEEKDAY('Daily Schedule'!$B$2,2)=1,WEEKDAY('Daily Schedule'!$B$2,2)=4,WEEKDAY('Daily Schedule'!$B$2,2)=5,WEEKDAY('Daily Schedule'!$B$2,2)=7),IFERROR(1*'Daily Workforce'!$K118&gt;=3,FALSE()),IFERROR(1*'Daily Workforce'!$K118&gt;=2,FALSE())),IF(AND('Daily Schedule'!$A42&gt;=46,'Daily Schedule'!$A42&lt;=52),'Daily Workforce'!$M118="Y",IFERROR(1*'Daily Workforce'!$P118&gt;=2,FALSE()))))),1,0)</f>
        <v>0</v>
      </c>
      <c r="DZ38" s="1" t="n">
        <f aca="false">IF(AND('Daily Workforce'!$N119="Y",'Daily Workforce'!$B119&lt;&gt;"",COUNTIF('Daily Schedule'!$F$5:$F41,'Daily Workforce'!$B119)=0,IF('Daily Schedule'!$A42=45,'Daily Workforce'!$J119="Y",IF(OR('Daily Schedule'!$A42=4,'Daily Schedule'!$A42=8),IF(OR(WEEKDAY('Daily Schedule'!$B$2,2)=1,WEEKDAY('Daily Schedule'!$B$2,2)=4,WEEKDAY('Daily Schedule'!$B$2,2)=5,WEEKDAY('Daily Schedule'!$B$2,2)=7),IFERROR(1*'Daily Workforce'!$K119&gt;=3,FALSE()),IFERROR(1*'Daily Workforce'!$K119&gt;=2,FALSE())),IF(AND('Daily Schedule'!$A42&gt;=46,'Daily Schedule'!$A42&lt;=52),'Daily Workforce'!$M119="Y",IFERROR(1*'Daily Workforce'!$P119&gt;=2,FALSE()))))),1,0)</f>
        <v>0</v>
      </c>
      <c r="EA38" s="1" t="n">
        <f aca="false">IF(AND('Daily Workforce'!$N120="Y",'Daily Workforce'!$B120&lt;&gt;"",COUNTIF('Daily Schedule'!$F$5:$F41,'Daily Workforce'!$B120)=0,IF('Daily Schedule'!$A42=45,'Daily Workforce'!$J120="Y",IF(OR('Daily Schedule'!$A42=4,'Daily Schedule'!$A42=8),IF(OR(WEEKDAY('Daily Schedule'!$B$2,2)=1,WEEKDAY('Daily Schedule'!$B$2,2)=4,WEEKDAY('Daily Schedule'!$B$2,2)=5,WEEKDAY('Daily Schedule'!$B$2,2)=7),IFERROR(1*'Daily Workforce'!$K120&gt;=3,FALSE()),IFERROR(1*'Daily Workforce'!$K120&gt;=2,FALSE())),IF(AND('Daily Schedule'!$A42&gt;=46,'Daily Schedule'!$A42&lt;=52),'Daily Workforce'!$M120="Y",IFERROR(1*'Daily Workforce'!$P120&gt;=2,FALSE()))))),1,0)</f>
        <v>0</v>
      </c>
      <c r="EB38" s="1" t="n">
        <f aca="false">IF(AND('Daily Workforce'!$N121="Y",'Daily Workforce'!$B121&lt;&gt;"",COUNTIF('Daily Schedule'!$F$5:$F41,'Daily Workforce'!$B121)=0,IF('Daily Schedule'!$A42=45,'Daily Workforce'!$J121="Y",IF(OR('Daily Schedule'!$A42=4,'Daily Schedule'!$A42=8),IF(OR(WEEKDAY('Daily Schedule'!$B$2,2)=1,WEEKDAY('Daily Schedule'!$B$2,2)=4,WEEKDAY('Daily Schedule'!$B$2,2)=5,WEEKDAY('Daily Schedule'!$B$2,2)=7),IFERROR(1*'Daily Workforce'!$K121&gt;=3,FALSE()),IFERROR(1*'Daily Workforce'!$K121&gt;=2,FALSE())),IF(AND('Daily Schedule'!$A42&gt;=46,'Daily Schedule'!$A42&lt;=52),'Daily Workforce'!$M121="Y",IFERROR(1*'Daily Workforce'!$P121&gt;=2,FALSE()))))),1,0)</f>
        <v>0</v>
      </c>
      <c r="EC38" s="1" t="n">
        <f aca="false">IF(AND('Daily Workforce'!$N122="Y",'Daily Workforce'!$B122&lt;&gt;"",COUNTIF('Daily Schedule'!$F$5:$F41,'Daily Workforce'!$B122)=0,IF('Daily Schedule'!$A42=45,'Daily Workforce'!$J122="Y",IF(OR('Daily Schedule'!$A42=4,'Daily Schedule'!$A42=8),IF(OR(WEEKDAY('Daily Schedule'!$B$2,2)=1,WEEKDAY('Daily Schedule'!$B$2,2)=4,WEEKDAY('Daily Schedule'!$B$2,2)=5,WEEKDAY('Daily Schedule'!$B$2,2)=7),IFERROR(1*'Daily Workforce'!$K122&gt;=3,FALSE()),IFERROR(1*'Daily Workforce'!$K122&gt;=2,FALSE())),IF(AND('Daily Schedule'!$A42&gt;=46,'Daily Schedule'!$A42&lt;=52),'Daily Workforce'!$M122="Y",IFERROR(1*'Daily Workforce'!$P122&gt;=2,FALSE()))))),1,0)</f>
        <v>0</v>
      </c>
      <c r="ED38" s="1" t="n">
        <f aca="false">IF(AND('Daily Workforce'!$N123="Y",'Daily Workforce'!$B123&lt;&gt;"",COUNTIF('Daily Schedule'!$F$5:$F41,'Daily Workforce'!$B123)=0,IF('Daily Schedule'!$A42=45,'Daily Workforce'!$J123="Y",IF(OR('Daily Schedule'!$A42=4,'Daily Schedule'!$A42=8),IF(OR(WEEKDAY('Daily Schedule'!$B$2,2)=1,WEEKDAY('Daily Schedule'!$B$2,2)=4,WEEKDAY('Daily Schedule'!$B$2,2)=5,WEEKDAY('Daily Schedule'!$B$2,2)=7),IFERROR(1*'Daily Workforce'!$K123&gt;=3,FALSE()),IFERROR(1*'Daily Workforce'!$K123&gt;=2,FALSE())),IF(AND('Daily Schedule'!$A42&gt;=46,'Daily Schedule'!$A42&lt;=52),'Daily Workforce'!$M123="Y",IFERROR(1*'Daily Workforce'!$P123&gt;=2,FALSE()))))),1,0)</f>
        <v>0</v>
      </c>
      <c r="EE38" s="1" t="n">
        <f aca="false">IF(AND('Daily Workforce'!$N124="Y",'Daily Workforce'!$B124&lt;&gt;"",COUNTIF('Daily Schedule'!$F$5:$F41,'Daily Workforce'!$B124)=0,IF('Daily Schedule'!$A42=45,'Daily Workforce'!$J124="Y",IF(OR('Daily Schedule'!$A42=4,'Daily Schedule'!$A42=8),IF(OR(WEEKDAY('Daily Schedule'!$B$2,2)=1,WEEKDAY('Daily Schedule'!$B$2,2)=4,WEEKDAY('Daily Schedule'!$B$2,2)=5,WEEKDAY('Daily Schedule'!$B$2,2)=7),IFERROR(1*'Daily Workforce'!$K124&gt;=3,FALSE()),IFERROR(1*'Daily Workforce'!$K124&gt;=2,FALSE())),IF(AND('Daily Schedule'!$A42&gt;=46,'Daily Schedule'!$A42&lt;=52),'Daily Workforce'!$M124="Y",IFERROR(1*'Daily Workforce'!$P124&gt;=2,FALSE()))))),1,0)</f>
        <v>0</v>
      </c>
      <c r="EF38" s="1" t="n">
        <f aca="false">IF(AND('Daily Workforce'!$N125="Y",'Daily Workforce'!$B125&lt;&gt;"",COUNTIF('Daily Schedule'!$F$5:$F41,'Daily Workforce'!$B125)=0,IF('Daily Schedule'!$A42=45,'Daily Workforce'!$J125="Y",IF(OR('Daily Schedule'!$A42=4,'Daily Schedule'!$A42=8),IF(OR(WEEKDAY('Daily Schedule'!$B$2,2)=1,WEEKDAY('Daily Schedule'!$B$2,2)=4,WEEKDAY('Daily Schedule'!$B$2,2)=5,WEEKDAY('Daily Schedule'!$B$2,2)=7),IFERROR(1*'Daily Workforce'!$K125&gt;=3,FALSE()),IFERROR(1*'Daily Workforce'!$K125&gt;=2,FALSE())),IF(AND('Daily Schedule'!$A42&gt;=46,'Daily Schedule'!$A42&lt;=52),'Daily Workforce'!$M125="Y",IFERROR(1*'Daily Workforce'!$P125&gt;=2,FALSE()))))),1,0)</f>
        <v>0</v>
      </c>
      <c r="EG38" s="1" t="n">
        <f aca="false">IF(AND('Daily Workforce'!$N126="Y",'Daily Workforce'!$B126&lt;&gt;"",COUNTIF('Daily Schedule'!$F$5:$F41,'Daily Workforce'!$B126)=0,IF('Daily Schedule'!$A42=45,'Daily Workforce'!$J126="Y",IF(OR('Daily Schedule'!$A42=4,'Daily Schedule'!$A42=8),IF(OR(WEEKDAY('Daily Schedule'!$B$2,2)=1,WEEKDAY('Daily Schedule'!$B$2,2)=4,WEEKDAY('Daily Schedule'!$B$2,2)=5,WEEKDAY('Daily Schedule'!$B$2,2)=7),IFERROR(1*'Daily Workforce'!$K126&gt;=3,FALSE()),IFERROR(1*'Daily Workforce'!$K126&gt;=2,FALSE())),IF(AND('Daily Schedule'!$A42&gt;=46,'Daily Schedule'!$A42&lt;=52),'Daily Workforce'!$M126="Y",IFERROR(1*'Daily Workforce'!$P126&gt;=2,FALSE()))))),1,0)</f>
        <v>0</v>
      </c>
      <c r="EH38" s="1" t="n">
        <f aca="false">IF(AND('Daily Workforce'!$N127="Y",'Daily Workforce'!$B127&lt;&gt;"",COUNTIF('Daily Schedule'!$F$5:$F41,'Daily Workforce'!$B127)=0,IF('Daily Schedule'!$A42=45,'Daily Workforce'!$J127="Y",IF(OR('Daily Schedule'!$A42=4,'Daily Schedule'!$A42=8),IF(OR(WEEKDAY('Daily Schedule'!$B$2,2)=1,WEEKDAY('Daily Schedule'!$B$2,2)=4,WEEKDAY('Daily Schedule'!$B$2,2)=5,WEEKDAY('Daily Schedule'!$B$2,2)=7),IFERROR(1*'Daily Workforce'!$K127&gt;=3,FALSE()),IFERROR(1*'Daily Workforce'!$K127&gt;=2,FALSE())),IF(AND('Daily Schedule'!$A42&gt;=46,'Daily Schedule'!$A42&lt;=52),'Daily Workforce'!$M127="Y",IFERROR(1*'Daily Workforce'!$P127&gt;=2,FALSE()))))),1,0)</f>
        <v>0</v>
      </c>
      <c r="EI38" s="1" t="n">
        <f aca="false">IF(AND('Daily Workforce'!$N128="Y",'Daily Workforce'!$B128&lt;&gt;"",COUNTIF('Daily Schedule'!$F$5:$F41,'Daily Workforce'!$B128)=0,IF('Daily Schedule'!$A42=45,'Daily Workforce'!$J128="Y",IF(OR('Daily Schedule'!$A42=4,'Daily Schedule'!$A42=8),IF(OR(WEEKDAY('Daily Schedule'!$B$2,2)=1,WEEKDAY('Daily Schedule'!$B$2,2)=4,WEEKDAY('Daily Schedule'!$B$2,2)=5,WEEKDAY('Daily Schedule'!$B$2,2)=7),IFERROR(1*'Daily Workforce'!$K128&gt;=3,FALSE()),IFERROR(1*'Daily Workforce'!$K128&gt;=2,FALSE())),IF(AND('Daily Schedule'!$A42&gt;=46,'Daily Schedule'!$A42&lt;=52),'Daily Workforce'!$M128="Y",IFERROR(1*'Daily Workforce'!$P128&gt;=2,FALSE()))))),1,0)</f>
        <v>0</v>
      </c>
      <c r="EJ38" s="1" t="n">
        <f aca="false">IF(AND('Daily Workforce'!$N129="Y",'Daily Workforce'!$B129&lt;&gt;"",COUNTIF('Daily Schedule'!$F$5:$F41,'Daily Workforce'!$B129)=0,IF('Daily Schedule'!$A42=45,'Daily Workforce'!$J129="Y",IF(OR('Daily Schedule'!$A42=4,'Daily Schedule'!$A42=8),IF(OR(WEEKDAY('Daily Schedule'!$B$2,2)=1,WEEKDAY('Daily Schedule'!$B$2,2)=4,WEEKDAY('Daily Schedule'!$B$2,2)=5,WEEKDAY('Daily Schedule'!$B$2,2)=7),IFERROR(1*'Daily Workforce'!$K129&gt;=3,FALSE()),IFERROR(1*'Daily Workforce'!$K129&gt;=2,FALSE())),IF(AND('Daily Schedule'!$A42&gt;=46,'Daily Schedule'!$A42&lt;=52),'Daily Workforce'!$M129="Y",IFERROR(1*'Daily Workforce'!$P129&gt;=2,FALSE()))))),1,0)</f>
        <v>0</v>
      </c>
      <c r="EK38" s="1" t="n">
        <f aca="false">IF(AND('Daily Workforce'!$N130="Y",'Daily Workforce'!$B130&lt;&gt;"",COUNTIF('Daily Schedule'!$F$5:$F41,'Daily Workforce'!$B130)=0,IF('Daily Schedule'!$A42=45,'Daily Workforce'!$J130="Y",IF(OR('Daily Schedule'!$A42=4,'Daily Schedule'!$A42=8),IF(OR(WEEKDAY('Daily Schedule'!$B$2,2)=1,WEEKDAY('Daily Schedule'!$B$2,2)=4,WEEKDAY('Daily Schedule'!$B$2,2)=5,WEEKDAY('Daily Schedule'!$B$2,2)=7),IFERROR(1*'Daily Workforce'!$K130&gt;=3,FALSE()),IFERROR(1*'Daily Workforce'!$K130&gt;=2,FALSE())),IF(AND('Daily Schedule'!$A42&gt;=46,'Daily Schedule'!$A42&lt;=52),'Daily Workforce'!$M130="Y",IFERROR(1*'Daily Workforce'!$P130&gt;=2,FALSE()))))),1,0)</f>
        <v>0</v>
      </c>
      <c r="EL38" s="1" t="n">
        <f aca="false">IF(AND('Daily Workforce'!$N131="Y",'Daily Workforce'!$B131&lt;&gt;"",COUNTIF('Daily Schedule'!$F$5:$F41,'Daily Workforce'!$B131)=0,IF('Daily Schedule'!$A42=45,'Daily Workforce'!$J131="Y",IF(OR('Daily Schedule'!$A42=4,'Daily Schedule'!$A42=8),IF(OR(WEEKDAY('Daily Schedule'!$B$2,2)=1,WEEKDAY('Daily Schedule'!$B$2,2)=4,WEEKDAY('Daily Schedule'!$B$2,2)=5,WEEKDAY('Daily Schedule'!$B$2,2)=7),IFERROR(1*'Daily Workforce'!$K131&gt;=3,FALSE()),IFERROR(1*'Daily Workforce'!$K131&gt;=2,FALSE())),IF(AND('Daily Schedule'!$A42&gt;=46,'Daily Schedule'!$A42&lt;=52),'Daily Workforce'!$M131="Y",IFERROR(1*'Daily Workforce'!$P131&gt;=2,FALSE()))))),1,0)</f>
        <v>0</v>
      </c>
      <c r="EM38" s="1" t="n">
        <f aca="false">IF(AND('Daily Workforce'!$N132="Y",'Daily Workforce'!$B132&lt;&gt;"",COUNTIF('Daily Schedule'!$F$5:$F41,'Daily Workforce'!$B132)=0,IF('Daily Schedule'!$A42=45,'Daily Workforce'!$J132="Y",IF(OR('Daily Schedule'!$A42=4,'Daily Schedule'!$A42=8),IF(OR(WEEKDAY('Daily Schedule'!$B$2,2)=1,WEEKDAY('Daily Schedule'!$B$2,2)=4,WEEKDAY('Daily Schedule'!$B$2,2)=5,WEEKDAY('Daily Schedule'!$B$2,2)=7),IFERROR(1*'Daily Workforce'!$K132&gt;=3,FALSE()),IFERROR(1*'Daily Workforce'!$K132&gt;=2,FALSE())),IF(AND('Daily Schedule'!$A42&gt;=46,'Daily Schedule'!$A42&lt;=52),'Daily Workforce'!$M132="Y",IFERROR(1*'Daily Workforce'!$P132&gt;=2,FALSE()))))),1,0)</f>
        <v>0</v>
      </c>
      <c r="EN38" s="1" t="n">
        <f aca="false">IF(AND('Daily Workforce'!$N133="Y",'Daily Workforce'!$B133&lt;&gt;"",COUNTIF('Daily Schedule'!$F$5:$F41,'Daily Workforce'!$B133)=0,IF('Daily Schedule'!$A42=45,'Daily Workforce'!$J133="Y",IF(OR('Daily Schedule'!$A42=4,'Daily Schedule'!$A42=8),IF(OR(WEEKDAY('Daily Schedule'!$B$2,2)=1,WEEKDAY('Daily Schedule'!$B$2,2)=4,WEEKDAY('Daily Schedule'!$B$2,2)=5,WEEKDAY('Daily Schedule'!$B$2,2)=7),IFERROR(1*'Daily Workforce'!$K133&gt;=3,FALSE()),IFERROR(1*'Daily Workforce'!$K133&gt;=2,FALSE())),IF(AND('Daily Schedule'!$A42&gt;=46,'Daily Schedule'!$A42&lt;=52),'Daily Workforce'!$M133="Y",IFERROR(1*'Daily Workforce'!$P133&gt;=2,FALSE()))))),1,0)</f>
        <v>0</v>
      </c>
      <c r="EO38" s="1" t="n">
        <f aca="false">IF(AND('Daily Workforce'!$N134="Y",'Daily Workforce'!$B134&lt;&gt;"",COUNTIF('Daily Schedule'!$F$5:$F41,'Daily Workforce'!$B134)=0,IF('Daily Schedule'!$A42=45,'Daily Workforce'!$J134="Y",IF(OR('Daily Schedule'!$A42=4,'Daily Schedule'!$A42=8),IF(OR(WEEKDAY('Daily Schedule'!$B$2,2)=1,WEEKDAY('Daily Schedule'!$B$2,2)=4,WEEKDAY('Daily Schedule'!$B$2,2)=5,WEEKDAY('Daily Schedule'!$B$2,2)=7),IFERROR(1*'Daily Workforce'!$K134&gt;=3,FALSE()),IFERROR(1*'Daily Workforce'!$K134&gt;=2,FALSE())),IF(AND('Daily Schedule'!$A42&gt;=46,'Daily Schedule'!$A42&lt;=52),'Daily Workforce'!$M134="Y",IFERROR(1*'Daily Workforce'!$P134&gt;=2,FALSE()))))),1,0)</f>
        <v>0</v>
      </c>
      <c r="EP38" s="1" t="n">
        <f aca="false">IF(AND('Daily Workforce'!$N135="Y",'Daily Workforce'!$B135&lt;&gt;"",COUNTIF('Daily Schedule'!$F$5:$F41,'Daily Workforce'!$B135)=0,IF('Daily Schedule'!$A42=45,'Daily Workforce'!$J135="Y",IF(OR('Daily Schedule'!$A42=4,'Daily Schedule'!$A42=8),IF(OR(WEEKDAY('Daily Schedule'!$B$2,2)=1,WEEKDAY('Daily Schedule'!$B$2,2)=4,WEEKDAY('Daily Schedule'!$B$2,2)=5,WEEKDAY('Daily Schedule'!$B$2,2)=7),IFERROR(1*'Daily Workforce'!$K135&gt;=3,FALSE()),IFERROR(1*'Daily Workforce'!$K135&gt;=2,FALSE())),IF(AND('Daily Schedule'!$A42&gt;=46,'Daily Schedule'!$A42&lt;=52),'Daily Workforce'!$M135="Y",IFERROR(1*'Daily Workforce'!$P135&gt;=2,FALSE()))))),1,0)</f>
        <v>0</v>
      </c>
      <c r="EQ38" s="1" t="n">
        <f aca="false">IF(AND('Daily Workforce'!$N136="Y",'Daily Workforce'!$B136&lt;&gt;"",COUNTIF('Daily Schedule'!$F$5:$F41,'Daily Workforce'!$B136)=0,IF('Daily Schedule'!$A42=45,'Daily Workforce'!$J136="Y",IF(OR('Daily Schedule'!$A42=4,'Daily Schedule'!$A42=8),IF(OR(WEEKDAY('Daily Schedule'!$B$2,2)=1,WEEKDAY('Daily Schedule'!$B$2,2)=4,WEEKDAY('Daily Schedule'!$B$2,2)=5,WEEKDAY('Daily Schedule'!$B$2,2)=7),IFERROR(1*'Daily Workforce'!$K136&gt;=3,FALSE()),IFERROR(1*'Daily Workforce'!$K136&gt;=2,FALSE())),IF(AND('Daily Schedule'!$A42&gt;=46,'Daily Schedule'!$A42&lt;=52),'Daily Workforce'!$M136="Y",IFERROR(1*'Daily Workforce'!$P136&gt;=2,FALSE()))))),1,0)</f>
        <v>0</v>
      </c>
      <c r="ER38" s="1" t="n">
        <f aca="false">IF(AND('Daily Workforce'!$N137="Y",'Daily Workforce'!$B137&lt;&gt;"",COUNTIF('Daily Schedule'!$F$5:$F41,'Daily Workforce'!$B137)=0,IF('Daily Schedule'!$A42=45,'Daily Workforce'!$J137="Y",IF(OR('Daily Schedule'!$A42=4,'Daily Schedule'!$A42=8),IF(OR(WEEKDAY('Daily Schedule'!$B$2,2)=1,WEEKDAY('Daily Schedule'!$B$2,2)=4,WEEKDAY('Daily Schedule'!$B$2,2)=5,WEEKDAY('Daily Schedule'!$B$2,2)=7),IFERROR(1*'Daily Workforce'!$K137&gt;=3,FALSE()),IFERROR(1*'Daily Workforce'!$K137&gt;=2,FALSE())),IF(AND('Daily Schedule'!$A42&gt;=46,'Daily Schedule'!$A42&lt;=52),'Daily Workforce'!$M137="Y",IFERROR(1*'Daily Workforce'!$P137&gt;=2,FALSE()))))),1,0)</f>
        <v>0</v>
      </c>
      <c r="ES38" s="1" t="n">
        <f aca="false">IF(AND('Daily Workforce'!$N138="Y",'Daily Workforce'!$B138&lt;&gt;"",COUNTIF('Daily Schedule'!$F$5:$F41,'Daily Workforce'!$B138)=0,IF('Daily Schedule'!$A42=45,'Daily Workforce'!$J138="Y",IF(OR('Daily Schedule'!$A42=4,'Daily Schedule'!$A42=8),IF(OR(WEEKDAY('Daily Schedule'!$B$2,2)=1,WEEKDAY('Daily Schedule'!$B$2,2)=4,WEEKDAY('Daily Schedule'!$B$2,2)=5,WEEKDAY('Daily Schedule'!$B$2,2)=7),IFERROR(1*'Daily Workforce'!$K138&gt;=3,FALSE()),IFERROR(1*'Daily Workforce'!$K138&gt;=2,FALSE())),IF(AND('Daily Schedule'!$A42&gt;=46,'Daily Schedule'!$A42&lt;=52),'Daily Workforce'!$M138="Y",IFERROR(1*'Daily Workforce'!$P138&gt;=2,FALSE()))))),1,0)</f>
        <v>0</v>
      </c>
      <c r="ET38" s="1" t="n">
        <f aca="false">IF(AND('Daily Workforce'!$N139="Y",'Daily Workforce'!$B139&lt;&gt;"",COUNTIF('Daily Schedule'!$F$5:$F41,'Daily Workforce'!$B139)=0,IF('Daily Schedule'!$A42=45,'Daily Workforce'!$J139="Y",IF(OR('Daily Schedule'!$A42=4,'Daily Schedule'!$A42=8),IF(OR(WEEKDAY('Daily Schedule'!$B$2,2)=1,WEEKDAY('Daily Schedule'!$B$2,2)=4,WEEKDAY('Daily Schedule'!$B$2,2)=5,WEEKDAY('Daily Schedule'!$B$2,2)=7),IFERROR(1*'Daily Workforce'!$K139&gt;=3,FALSE()),IFERROR(1*'Daily Workforce'!$K139&gt;=2,FALSE())),IF(AND('Daily Schedule'!$A42&gt;=46,'Daily Schedule'!$A42&lt;=52),'Daily Workforce'!$M139="Y",IFERROR(1*'Daily Workforce'!$P139&gt;=2,FALSE()))))),1,0)</f>
        <v>0</v>
      </c>
      <c r="EU38" s="1" t="n">
        <f aca="false">IF(AND('Daily Workforce'!$N140="Y",'Daily Workforce'!$B140&lt;&gt;"",COUNTIF('Daily Schedule'!$F$5:$F41,'Daily Workforce'!$B140)=0,IF('Daily Schedule'!$A42=45,'Daily Workforce'!$J140="Y",IF(OR('Daily Schedule'!$A42=4,'Daily Schedule'!$A42=8),IF(OR(WEEKDAY('Daily Schedule'!$B$2,2)=1,WEEKDAY('Daily Schedule'!$B$2,2)=4,WEEKDAY('Daily Schedule'!$B$2,2)=5,WEEKDAY('Daily Schedule'!$B$2,2)=7),IFERROR(1*'Daily Workforce'!$K140&gt;=3,FALSE()),IFERROR(1*'Daily Workforce'!$K140&gt;=2,FALSE())),IF(AND('Daily Schedule'!$A42&gt;=46,'Daily Schedule'!$A42&lt;=52),'Daily Workforce'!$M140="Y",IFERROR(1*'Daily Workforce'!$P140&gt;=2,FALSE()))))),1,0)</f>
        <v>0</v>
      </c>
      <c r="EV38" s="1" t="n">
        <f aca="false">IF(AND('Daily Workforce'!$N141="Y",'Daily Workforce'!$B141&lt;&gt;"",COUNTIF('Daily Schedule'!$F$5:$F41,'Daily Workforce'!$B141)=0,IF('Daily Schedule'!$A42=45,'Daily Workforce'!$J141="Y",IF(OR('Daily Schedule'!$A42=4,'Daily Schedule'!$A42=8),IF(OR(WEEKDAY('Daily Schedule'!$B$2,2)=1,WEEKDAY('Daily Schedule'!$B$2,2)=4,WEEKDAY('Daily Schedule'!$B$2,2)=5,WEEKDAY('Daily Schedule'!$B$2,2)=7),IFERROR(1*'Daily Workforce'!$K141&gt;=3,FALSE()),IFERROR(1*'Daily Workforce'!$K141&gt;=2,FALSE())),IF(AND('Daily Schedule'!$A42&gt;=46,'Daily Schedule'!$A42&lt;=52),'Daily Workforce'!$M141="Y",IFERROR(1*'Daily Workforce'!$P141&gt;=2,FALSE()))))),1,0)</f>
        <v>0</v>
      </c>
      <c r="EW38" s="1" t="n">
        <f aca="false">IF(AND('Daily Workforce'!$N142="Y",'Daily Workforce'!$B142&lt;&gt;"",COUNTIF('Daily Schedule'!$F$5:$F41,'Daily Workforce'!$B142)=0,IF('Daily Schedule'!$A42=45,'Daily Workforce'!$J142="Y",IF(OR('Daily Schedule'!$A42=4,'Daily Schedule'!$A42=8),IF(OR(WEEKDAY('Daily Schedule'!$B$2,2)=1,WEEKDAY('Daily Schedule'!$B$2,2)=4,WEEKDAY('Daily Schedule'!$B$2,2)=5,WEEKDAY('Daily Schedule'!$B$2,2)=7),IFERROR(1*'Daily Workforce'!$K142&gt;=3,FALSE()),IFERROR(1*'Daily Workforce'!$K142&gt;=2,FALSE())),IF(AND('Daily Schedule'!$A42&gt;=46,'Daily Schedule'!$A42&lt;=52),'Daily Workforce'!$M142="Y",IFERROR(1*'Daily Workforce'!$P142&gt;=2,FALSE()))))),1,0)</f>
        <v>0</v>
      </c>
      <c r="EX38" s="1" t="n">
        <f aca="false">IF(AND('Daily Workforce'!$N143="Y",'Daily Workforce'!$B143&lt;&gt;"",COUNTIF('Daily Schedule'!$F$5:$F41,'Daily Workforce'!$B143)=0,IF('Daily Schedule'!$A42=45,'Daily Workforce'!$J143="Y",IF(OR('Daily Schedule'!$A42=4,'Daily Schedule'!$A42=8),IF(OR(WEEKDAY('Daily Schedule'!$B$2,2)=1,WEEKDAY('Daily Schedule'!$B$2,2)=4,WEEKDAY('Daily Schedule'!$B$2,2)=5,WEEKDAY('Daily Schedule'!$B$2,2)=7),IFERROR(1*'Daily Workforce'!$K143&gt;=3,FALSE()),IFERROR(1*'Daily Workforce'!$K143&gt;=2,FALSE())),IF(AND('Daily Schedule'!$A42&gt;=46,'Daily Schedule'!$A42&lt;=52),'Daily Workforce'!$M143="Y",IFERROR(1*'Daily Workforce'!$P143&gt;=2,FALSE()))))),1,0)</f>
        <v>0</v>
      </c>
      <c r="EY38" s="1" t="n">
        <f aca="false">IF(AND('Daily Workforce'!$N144="Y",'Daily Workforce'!$B144&lt;&gt;"",COUNTIF('Daily Schedule'!$F$5:$F41,'Daily Workforce'!$B144)=0,IF('Daily Schedule'!$A42=45,'Daily Workforce'!$J144="Y",IF(OR('Daily Schedule'!$A42=4,'Daily Schedule'!$A42=8),IF(OR(WEEKDAY('Daily Schedule'!$B$2,2)=1,WEEKDAY('Daily Schedule'!$B$2,2)=4,WEEKDAY('Daily Schedule'!$B$2,2)=5,WEEKDAY('Daily Schedule'!$B$2,2)=7),IFERROR(1*'Daily Workforce'!$K144&gt;=3,FALSE()),IFERROR(1*'Daily Workforce'!$K144&gt;=2,FALSE())),IF(AND('Daily Schedule'!$A42&gt;=46,'Daily Schedule'!$A42&lt;=52),'Daily Workforce'!$M144="Y",IFERROR(1*'Daily Workforce'!$P144&gt;=2,FALSE()))))),1,0)</f>
        <v>0</v>
      </c>
      <c r="EZ38" s="1" t="n">
        <f aca="false">IF(AND('Daily Workforce'!$N145="Y",'Daily Workforce'!$B145&lt;&gt;"",COUNTIF('Daily Schedule'!$F$5:$F41,'Daily Workforce'!$B145)=0,IF('Daily Schedule'!$A42=45,'Daily Workforce'!$J145="Y",IF(OR('Daily Schedule'!$A42=4,'Daily Schedule'!$A42=8),IF(OR(WEEKDAY('Daily Schedule'!$B$2,2)=1,WEEKDAY('Daily Schedule'!$B$2,2)=4,WEEKDAY('Daily Schedule'!$B$2,2)=5,WEEKDAY('Daily Schedule'!$B$2,2)=7),IFERROR(1*'Daily Workforce'!$K145&gt;=3,FALSE()),IFERROR(1*'Daily Workforce'!$K145&gt;=2,FALSE())),IF(AND('Daily Schedule'!$A42&gt;=46,'Daily Schedule'!$A42&lt;=52),'Daily Workforce'!$M145="Y",IFERROR(1*'Daily Workforce'!$P145&gt;=2,FALSE()))))),1,0)</f>
        <v>0</v>
      </c>
      <c r="FA38" s="1" t="n">
        <f aca="false">IF(AND('Daily Workforce'!$N146="Y",'Daily Workforce'!$B146&lt;&gt;"",COUNTIF('Daily Schedule'!$F$5:$F41,'Daily Workforce'!$B146)=0,IF('Daily Schedule'!$A42=45,'Daily Workforce'!$J146="Y",IF(OR('Daily Schedule'!$A42=4,'Daily Schedule'!$A42=8),IF(OR(WEEKDAY('Daily Schedule'!$B$2,2)=1,WEEKDAY('Daily Schedule'!$B$2,2)=4,WEEKDAY('Daily Schedule'!$B$2,2)=5,WEEKDAY('Daily Schedule'!$B$2,2)=7),IFERROR(1*'Daily Workforce'!$K146&gt;=3,FALSE()),IFERROR(1*'Daily Workforce'!$K146&gt;=2,FALSE())),IF(AND('Daily Schedule'!$A42&gt;=46,'Daily Schedule'!$A42&lt;=52),'Daily Workforce'!$M146="Y",IFERROR(1*'Daily Workforce'!$P146&gt;=2,FALSE()))))),1,0)</f>
        <v>0</v>
      </c>
      <c r="FB38" s="1" t="n">
        <f aca="false">IF(AND('Daily Workforce'!$N147="Y",'Daily Workforce'!$B147&lt;&gt;"",COUNTIF('Daily Schedule'!$F$5:$F41,'Daily Workforce'!$B147)=0,IF('Daily Schedule'!$A42=45,'Daily Workforce'!$J147="Y",IF(OR('Daily Schedule'!$A42=4,'Daily Schedule'!$A42=8),IF(OR(WEEKDAY('Daily Schedule'!$B$2,2)=1,WEEKDAY('Daily Schedule'!$B$2,2)=4,WEEKDAY('Daily Schedule'!$B$2,2)=5,WEEKDAY('Daily Schedule'!$B$2,2)=7),IFERROR(1*'Daily Workforce'!$K147&gt;=3,FALSE()),IFERROR(1*'Daily Workforce'!$K147&gt;=2,FALSE())),IF(AND('Daily Schedule'!$A42&gt;=46,'Daily Schedule'!$A42&lt;=52),'Daily Workforce'!$M147="Y",IFERROR(1*'Daily Workforce'!$P147&gt;=2,FALSE()))))),1,0)</f>
        <v>0</v>
      </c>
      <c r="FC38" s="1" t="n">
        <f aca="false">IF(AND('Daily Workforce'!$N148="Y",'Daily Workforce'!$B148&lt;&gt;"",COUNTIF('Daily Schedule'!$F$5:$F41,'Daily Workforce'!$B148)=0,IF('Daily Schedule'!$A42=45,'Daily Workforce'!$J148="Y",IF(OR('Daily Schedule'!$A42=4,'Daily Schedule'!$A42=8),IF(OR(WEEKDAY('Daily Schedule'!$B$2,2)=1,WEEKDAY('Daily Schedule'!$B$2,2)=4,WEEKDAY('Daily Schedule'!$B$2,2)=5,WEEKDAY('Daily Schedule'!$B$2,2)=7),IFERROR(1*'Daily Workforce'!$K148&gt;=3,FALSE()),IFERROR(1*'Daily Workforce'!$K148&gt;=2,FALSE())),IF(AND('Daily Schedule'!$A42&gt;=46,'Daily Schedule'!$A42&lt;=52),'Daily Workforce'!$M148="Y",IFERROR(1*'Daily Workforce'!$P148&gt;=2,FALSE()))))),1,0)</f>
        <v>0</v>
      </c>
      <c r="FD38" s="1" t="n">
        <f aca="false">IF(AND('Daily Workforce'!$N149="Y",'Daily Workforce'!$B149&lt;&gt;"",COUNTIF('Daily Schedule'!$F$5:$F41,'Daily Workforce'!$B149)=0,IF('Daily Schedule'!$A42=45,'Daily Workforce'!$J149="Y",IF(OR('Daily Schedule'!$A42=4,'Daily Schedule'!$A42=8),IF(OR(WEEKDAY('Daily Schedule'!$B$2,2)=1,WEEKDAY('Daily Schedule'!$B$2,2)=4,WEEKDAY('Daily Schedule'!$B$2,2)=5,WEEKDAY('Daily Schedule'!$B$2,2)=7),IFERROR(1*'Daily Workforce'!$K149&gt;=3,FALSE()),IFERROR(1*'Daily Workforce'!$K149&gt;=2,FALSE())),IF(AND('Daily Schedule'!$A42&gt;=46,'Daily Schedule'!$A42&lt;=52),'Daily Workforce'!$M149="Y",IFERROR(1*'Daily Workforce'!$P149&gt;=2,FALSE()))))),1,0)</f>
        <v>0</v>
      </c>
      <c r="FE38" s="1" t="n">
        <f aca="false">IF(AND('Daily Workforce'!$N150="Y",'Daily Workforce'!$B150&lt;&gt;"",COUNTIF('Daily Schedule'!$F$5:$F41,'Daily Workforce'!$B150)=0,IF('Daily Schedule'!$A42=45,'Daily Workforce'!$J150="Y",IF(OR('Daily Schedule'!$A42=4,'Daily Schedule'!$A42=8),IF(OR(WEEKDAY('Daily Schedule'!$B$2,2)=1,WEEKDAY('Daily Schedule'!$B$2,2)=4,WEEKDAY('Daily Schedule'!$B$2,2)=5,WEEKDAY('Daily Schedule'!$B$2,2)=7),IFERROR(1*'Daily Workforce'!$K150&gt;=3,FALSE()),IFERROR(1*'Daily Workforce'!$K150&gt;=2,FALSE())),IF(AND('Daily Schedule'!$A42&gt;=46,'Daily Schedule'!$A42&lt;=52),'Daily Workforce'!$M150="Y",IFERROR(1*'Daily Workforce'!$P150&gt;=2,FALSE()))))),1,0)</f>
        <v>0</v>
      </c>
      <c r="FF38" s="1" t="n">
        <f aca="false">IF(AND('Daily Workforce'!$N151="Y",'Daily Workforce'!$B151&lt;&gt;"",COUNTIF('Daily Schedule'!$F$5:$F41,'Daily Workforce'!$B151)=0,IF('Daily Schedule'!$A42=45,'Daily Workforce'!$J151="Y",IF(OR('Daily Schedule'!$A42=4,'Daily Schedule'!$A42=8),IF(OR(WEEKDAY('Daily Schedule'!$B$2,2)=1,WEEKDAY('Daily Schedule'!$B$2,2)=4,WEEKDAY('Daily Schedule'!$B$2,2)=5,WEEKDAY('Daily Schedule'!$B$2,2)=7),IFERROR(1*'Daily Workforce'!$K151&gt;=3,FALSE()),IFERROR(1*'Daily Workforce'!$K151&gt;=2,FALSE())),IF(AND('Daily Schedule'!$A42&gt;=46,'Daily Schedule'!$A42&lt;=52),'Daily Workforce'!$M151="Y",IFERROR(1*'Daily Workforce'!$P151&gt;=2,FALSE()))))),1,0)</f>
        <v>0</v>
      </c>
      <c r="FG38" s="1" t="n">
        <f aca="false">IF(AND('Daily Workforce'!$N152="Y",'Daily Workforce'!$B152&lt;&gt;"",COUNTIF('Daily Schedule'!$F$5:$F41,'Daily Workforce'!$B152)=0,IF('Daily Schedule'!$A42=45,'Daily Workforce'!$J152="Y",IF(OR('Daily Schedule'!$A42=4,'Daily Schedule'!$A42=8),IF(OR(WEEKDAY('Daily Schedule'!$B$2,2)=1,WEEKDAY('Daily Schedule'!$B$2,2)=4,WEEKDAY('Daily Schedule'!$B$2,2)=5,WEEKDAY('Daily Schedule'!$B$2,2)=7),IFERROR(1*'Daily Workforce'!$K152&gt;=3,FALSE()),IFERROR(1*'Daily Workforce'!$K152&gt;=2,FALSE())),IF(AND('Daily Schedule'!$A42&gt;=46,'Daily Schedule'!$A42&lt;=52),'Daily Workforce'!$M152="Y",IFERROR(1*'Daily Workforce'!$P152&gt;=2,FALSE()))))),1,0)</f>
        <v>0</v>
      </c>
      <c r="FH38" s="1" t="n">
        <f aca="false">IF(AND('Daily Workforce'!$N153="Y",'Daily Workforce'!$B153&lt;&gt;"",COUNTIF('Daily Schedule'!$F$5:$F41,'Daily Workforce'!$B153)=0,IF('Daily Schedule'!$A42=45,'Daily Workforce'!$J153="Y",IF(OR('Daily Schedule'!$A42=4,'Daily Schedule'!$A42=8),IF(OR(WEEKDAY('Daily Schedule'!$B$2,2)=1,WEEKDAY('Daily Schedule'!$B$2,2)=4,WEEKDAY('Daily Schedule'!$B$2,2)=5,WEEKDAY('Daily Schedule'!$B$2,2)=7),IFERROR(1*'Daily Workforce'!$K153&gt;=3,FALSE()),IFERROR(1*'Daily Workforce'!$K153&gt;=2,FALSE())),IF(AND('Daily Schedule'!$A42&gt;=46,'Daily Schedule'!$A42&lt;=52),'Daily Workforce'!$M153="Y",IFERROR(1*'Daily Workforce'!$P153&gt;=2,FALSE()))))),1,0)</f>
        <v>0</v>
      </c>
      <c r="FI38" s="1" t="n">
        <f aca="false">IF(AND('Daily Workforce'!$N154="Y",'Daily Workforce'!$B154&lt;&gt;"",COUNTIF('Daily Schedule'!$F$5:$F41,'Daily Workforce'!$B154)=0,IF('Daily Schedule'!$A42=45,'Daily Workforce'!$J154="Y",IF(OR('Daily Schedule'!$A42=4,'Daily Schedule'!$A42=8),IF(OR(WEEKDAY('Daily Schedule'!$B$2,2)=1,WEEKDAY('Daily Schedule'!$B$2,2)=4,WEEKDAY('Daily Schedule'!$B$2,2)=5,WEEKDAY('Daily Schedule'!$B$2,2)=7),IFERROR(1*'Daily Workforce'!$K154&gt;=3,FALSE()),IFERROR(1*'Daily Workforce'!$K154&gt;=2,FALSE())),IF(AND('Daily Schedule'!$A42&gt;=46,'Daily Schedule'!$A42&lt;=52),'Daily Workforce'!$M154="Y",IFERROR(1*'Daily Workforce'!$P154&gt;=2,FALSE()))))),1,0)</f>
        <v>0</v>
      </c>
      <c r="FJ38" s="1" t="n">
        <f aca="false">IF(AND('Daily Workforce'!$N155="Y",'Daily Workforce'!$B155&lt;&gt;"",COUNTIF('Daily Schedule'!$F$5:$F41,'Daily Workforce'!$B155)=0,IF('Daily Schedule'!$A42=45,'Daily Workforce'!$J155="Y",IF(OR('Daily Schedule'!$A42=4,'Daily Schedule'!$A42=8),IF(OR(WEEKDAY('Daily Schedule'!$B$2,2)=1,WEEKDAY('Daily Schedule'!$B$2,2)=4,WEEKDAY('Daily Schedule'!$B$2,2)=5,WEEKDAY('Daily Schedule'!$B$2,2)=7),IFERROR(1*'Daily Workforce'!$K155&gt;=3,FALSE()),IFERROR(1*'Daily Workforce'!$K155&gt;=2,FALSE())),IF(AND('Daily Schedule'!$A42&gt;=46,'Daily Schedule'!$A42&lt;=52),'Daily Workforce'!$M155="Y",IFERROR(1*'Daily Workforce'!$P155&gt;=2,FALSE()))))),1,0)</f>
        <v>0</v>
      </c>
      <c r="FK38" s="1" t="n">
        <f aca="false">IF(AND('Daily Workforce'!$N156="Y",'Daily Workforce'!$B156&lt;&gt;"",COUNTIF('Daily Schedule'!$F$5:$F41,'Daily Workforce'!$B156)=0,IF('Daily Schedule'!$A42=45,'Daily Workforce'!$J156="Y",IF(OR('Daily Schedule'!$A42=4,'Daily Schedule'!$A42=8),IF(OR(WEEKDAY('Daily Schedule'!$B$2,2)=1,WEEKDAY('Daily Schedule'!$B$2,2)=4,WEEKDAY('Daily Schedule'!$B$2,2)=5,WEEKDAY('Daily Schedule'!$B$2,2)=7),IFERROR(1*'Daily Workforce'!$K156&gt;=3,FALSE()),IFERROR(1*'Daily Workforce'!$K156&gt;=2,FALSE())),IF(AND('Daily Schedule'!$A42&gt;=46,'Daily Schedule'!$A42&lt;=52),'Daily Workforce'!$M156="Y",IFERROR(1*'Daily Workforce'!$P156&gt;=2,FALSE()))))),1,0)</f>
        <v>0</v>
      </c>
      <c r="FL38" s="1" t="n">
        <f aca="false">IF(AND('Daily Workforce'!$N157="Y",'Daily Workforce'!$B157&lt;&gt;"",COUNTIF('Daily Schedule'!$F$5:$F41,'Daily Workforce'!$B157)=0,IF('Daily Schedule'!$A42=45,'Daily Workforce'!$J157="Y",IF(OR('Daily Schedule'!$A42=4,'Daily Schedule'!$A42=8),IF(OR(WEEKDAY('Daily Schedule'!$B$2,2)=1,WEEKDAY('Daily Schedule'!$B$2,2)=4,WEEKDAY('Daily Schedule'!$B$2,2)=5,WEEKDAY('Daily Schedule'!$B$2,2)=7),IFERROR(1*'Daily Workforce'!$K157&gt;=3,FALSE()),IFERROR(1*'Daily Workforce'!$K157&gt;=2,FALSE())),IF(AND('Daily Schedule'!$A42&gt;=46,'Daily Schedule'!$A42&lt;=52),'Daily Workforce'!$M157="Y",IFERROR(1*'Daily Workforce'!$P157&gt;=2,FALSE()))))),1,0)</f>
        <v>0</v>
      </c>
      <c r="FM38" s="1" t="n">
        <f aca="false">IF(AND('Daily Workforce'!$N158="Y",'Daily Workforce'!$B158&lt;&gt;"",COUNTIF('Daily Schedule'!$F$5:$F41,'Daily Workforce'!$B158)=0,IF('Daily Schedule'!$A42=45,'Daily Workforce'!$J158="Y",IF(OR('Daily Schedule'!$A42=4,'Daily Schedule'!$A42=8),IF(OR(WEEKDAY('Daily Schedule'!$B$2,2)=1,WEEKDAY('Daily Schedule'!$B$2,2)=4,WEEKDAY('Daily Schedule'!$B$2,2)=5,WEEKDAY('Daily Schedule'!$B$2,2)=7),IFERROR(1*'Daily Workforce'!$K158&gt;=3,FALSE()),IFERROR(1*'Daily Workforce'!$K158&gt;=2,FALSE())),IF(AND('Daily Schedule'!$A42&gt;=46,'Daily Schedule'!$A42&lt;=52),'Daily Workforce'!$M158="Y",IFERROR(1*'Daily Workforce'!$P158&gt;=2,FALSE()))))),1,0)</f>
        <v>0</v>
      </c>
      <c r="FN38" s="1" t="n">
        <f aca="false">IF(AND('Daily Workforce'!$N159="Y",'Daily Workforce'!$B159&lt;&gt;"",COUNTIF('Daily Schedule'!$F$5:$F41,'Daily Workforce'!$B159)=0,IF('Daily Schedule'!$A42=45,'Daily Workforce'!$J159="Y",IF(OR('Daily Schedule'!$A42=4,'Daily Schedule'!$A42=8),IF(OR(WEEKDAY('Daily Schedule'!$B$2,2)=1,WEEKDAY('Daily Schedule'!$B$2,2)=4,WEEKDAY('Daily Schedule'!$B$2,2)=5,WEEKDAY('Daily Schedule'!$B$2,2)=7),IFERROR(1*'Daily Workforce'!$K159&gt;=3,FALSE()),IFERROR(1*'Daily Workforce'!$K159&gt;=2,FALSE())),IF(AND('Daily Schedule'!$A42&gt;=46,'Daily Schedule'!$A42&lt;=52),'Daily Workforce'!$M159="Y",IFERROR(1*'Daily Workforce'!$P159&gt;=2,FALSE()))))),1,0)</f>
        <v>0</v>
      </c>
      <c r="FO38" s="1" t="n">
        <f aca="false">IF(AND('Daily Workforce'!$N160="Y",'Daily Workforce'!$B160&lt;&gt;"",COUNTIF('Daily Schedule'!$F$5:$F41,'Daily Workforce'!$B160)=0,IF('Daily Schedule'!$A42=45,'Daily Workforce'!$J160="Y",IF(OR('Daily Schedule'!$A42=4,'Daily Schedule'!$A42=8),IF(OR(WEEKDAY('Daily Schedule'!$B$2,2)=1,WEEKDAY('Daily Schedule'!$B$2,2)=4,WEEKDAY('Daily Schedule'!$B$2,2)=5,WEEKDAY('Daily Schedule'!$B$2,2)=7),IFERROR(1*'Daily Workforce'!$K160&gt;=3,FALSE()),IFERROR(1*'Daily Workforce'!$K160&gt;=2,FALSE())),IF(AND('Daily Schedule'!$A42&gt;=46,'Daily Schedule'!$A42&lt;=52),'Daily Workforce'!$M160="Y",IFERROR(1*'Daily Workforce'!$P160&gt;=2,FALSE()))))),1,0)</f>
        <v>0</v>
      </c>
      <c r="FP38" s="1" t="n">
        <f aca="false">IF(AND('Daily Workforce'!$N161="Y",'Daily Workforce'!$B161&lt;&gt;"",COUNTIF('Daily Schedule'!$F$5:$F41,'Daily Workforce'!$B161)=0,IF('Daily Schedule'!$A42=45,'Daily Workforce'!$J161="Y",IF(OR('Daily Schedule'!$A42=4,'Daily Schedule'!$A42=8),IF(OR(WEEKDAY('Daily Schedule'!$B$2,2)=1,WEEKDAY('Daily Schedule'!$B$2,2)=4,WEEKDAY('Daily Schedule'!$B$2,2)=5,WEEKDAY('Daily Schedule'!$B$2,2)=7),IFERROR(1*'Daily Workforce'!$K161&gt;=3,FALSE()),IFERROR(1*'Daily Workforce'!$K161&gt;=2,FALSE())),IF(AND('Daily Schedule'!$A42&gt;=46,'Daily Schedule'!$A42&lt;=52),'Daily Workforce'!$M161="Y",IFERROR(1*'Daily Workforce'!$P161&gt;=2,FALSE()))))),1,0)</f>
        <v>0</v>
      </c>
      <c r="FQ38" s="1" t="n">
        <f aca="false">IF(AND('Daily Workforce'!$N162="Y",'Daily Workforce'!$B162&lt;&gt;"",COUNTIF('Daily Schedule'!$F$5:$F41,'Daily Workforce'!$B162)=0,IF('Daily Schedule'!$A42=45,'Daily Workforce'!$J162="Y",IF(OR('Daily Schedule'!$A42=4,'Daily Schedule'!$A42=8),IF(OR(WEEKDAY('Daily Schedule'!$B$2,2)=1,WEEKDAY('Daily Schedule'!$B$2,2)=4,WEEKDAY('Daily Schedule'!$B$2,2)=5,WEEKDAY('Daily Schedule'!$B$2,2)=7),IFERROR(1*'Daily Workforce'!$K162&gt;=3,FALSE()),IFERROR(1*'Daily Workforce'!$K162&gt;=2,FALSE())),IF(AND('Daily Schedule'!$A42&gt;=46,'Daily Schedule'!$A42&lt;=52),'Daily Workforce'!$M162="Y",IFERROR(1*'Daily Workforce'!$P162&gt;=2,FALSE()))))),1,0)</f>
        <v>0</v>
      </c>
      <c r="FR38" s="1" t="n">
        <f aca="false">IF(AND('Daily Workforce'!$N163="Y",'Daily Workforce'!$B163&lt;&gt;"",COUNTIF('Daily Schedule'!$F$5:$F41,'Daily Workforce'!$B163)=0,IF('Daily Schedule'!$A42=45,'Daily Workforce'!$J163="Y",IF(OR('Daily Schedule'!$A42=4,'Daily Schedule'!$A42=8),IF(OR(WEEKDAY('Daily Schedule'!$B$2,2)=1,WEEKDAY('Daily Schedule'!$B$2,2)=4,WEEKDAY('Daily Schedule'!$B$2,2)=5,WEEKDAY('Daily Schedule'!$B$2,2)=7),IFERROR(1*'Daily Workforce'!$K163&gt;=3,FALSE()),IFERROR(1*'Daily Workforce'!$K163&gt;=2,FALSE())),IF(AND('Daily Schedule'!$A42&gt;=46,'Daily Schedule'!$A42&lt;=52),'Daily Workforce'!$M163="Y",IFERROR(1*'Daily Workforce'!$P163&gt;=2,FALSE()))))),1,0)</f>
        <v>0</v>
      </c>
      <c r="FS38" s="1" t="n">
        <f aca="false">IF(AND('Daily Workforce'!$N164="Y",'Daily Workforce'!$B164&lt;&gt;"",COUNTIF('Daily Schedule'!$F$5:$F41,'Daily Workforce'!$B164)=0,IF('Daily Schedule'!$A42=45,'Daily Workforce'!$J164="Y",IF(OR('Daily Schedule'!$A42=4,'Daily Schedule'!$A42=8),IF(OR(WEEKDAY('Daily Schedule'!$B$2,2)=1,WEEKDAY('Daily Schedule'!$B$2,2)=4,WEEKDAY('Daily Schedule'!$B$2,2)=5,WEEKDAY('Daily Schedule'!$B$2,2)=7),IFERROR(1*'Daily Workforce'!$K164&gt;=3,FALSE()),IFERROR(1*'Daily Workforce'!$K164&gt;=2,FALSE())),IF(AND('Daily Schedule'!$A42&gt;=46,'Daily Schedule'!$A42&lt;=52),'Daily Workforce'!$M164="Y",IFERROR(1*'Daily Workforce'!$P164&gt;=2,FALSE()))))),1,0)</f>
        <v>0</v>
      </c>
      <c r="FT38" s="1" t="n">
        <f aca="false">IF(AND('Daily Workforce'!$N165="Y",'Daily Workforce'!$B165&lt;&gt;"",COUNTIF('Daily Schedule'!$F$5:$F41,'Daily Workforce'!$B165)=0,IF('Daily Schedule'!$A42=45,'Daily Workforce'!$J165="Y",IF(OR('Daily Schedule'!$A42=4,'Daily Schedule'!$A42=8),IF(OR(WEEKDAY('Daily Schedule'!$B$2,2)=1,WEEKDAY('Daily Schedule'!$B$2,2)=4,WEEKDAY('Daily Schedule'!$B$2,2)=5,WEEKDAY('Daily Schedule'!$B$2,2)=7),IFERROR(1*'Daily Workforce'!$K165&gt;=3,FALSE()),IFERROR(1*'Daily Workforce'!$K165&gt;=2,FALSE())),IF(AND('Daily Schedule'!$A42&gt;=46,'Daily Schedule'!$A42&lt;=52),'Daily Workforce'!$M165="Y",IFERROR(1*'Daily Workforce'!$P165&gt;=2,FALSE()))))),1,0)</f>
        <v>0</v>
      </c>
      <c r="FU38" s="1" t="n">
        <f aca="false">IF(AND('Daily Workforce'!$N166="Y",'Daily Workforce'!$B166&lt;&gt;"",COUNTIF('Daily Schedule'!$F$5:$F41,'Daily Workforce'!$B166)=0,IF('Daily Schedule'!$A42=45,'Daily Workforce'!$J166="Y",IF(OR('Daily Schedule'!$A42=4,'Daily Schedule'!$A42=8),IF(OR(WEEKDAY('Daily Schedule'!$B$2,2)=1,WEEKDAY('Daily Schedule'!$B$2,2)=4,WEEKDAY('Daily Schedule'!$B$2,2)=5,WEEKDAY('Daily Schedule'!$B$2,2)=7),IFERROR(1*'Daily Workforce'!$K166&gt;=3,FALSE()),IFERROR(1*'Daily Workforce'!$K166&gt;=2,FALSE())),IF(AND('Daily Schedule'!$A42&gt;=46,'Daily Schedule'!$A42&lt;=52),'Daily Workforce'!$M166="Y",IFERROR(1*'Daily Workforce'!$P166&gt;=2,FALSE()))))),1,0)</f>
        <v>0</v>
      </c>
      <c r="FV38" s="1" t="n">
        <f aca="false">IF(AND('Daily Workforce'!$N167="Y",'Daily Workforce'!$B167&lt;&gt;"",COUNTIF('Daily Schedule'!$F$5:$F41,'Daily Workforce'!$B167)=0,IF('Daily Schedule'!$A42=45,'Daily Workforce'!$J167="Y",IF(OR('Daily Schedule'!$A42=4,'Daily Schedule'!$A42=8),IF(OR(WEEKDAY('Daily Schedule'!$B$2,2)=1,WEEKDAY('Daily Schedule'!$B$2,2)=4,WEEKDAY('Daily Schedule'!$B$2,2)=5,WEEKDAY('Daily Schedule'!$B$2,2)=7),IFERROR(1*'Daily Workforce'!$K167&gt;=3,FALSE()),IFERROR(1*'Daily Workforce'!$K167&gt;=2,FALSE())),IF(AND('Daily Schedule'!$A42&gt;=46,'Daily Schedule'!$A42&lt;=52),'Daily Workforce'!$M167="Y",IFERROR(1*'Daily Workforce'!$P167&gt;=2,FALSE()))))),1,0)</f>
        <v>0</v>
      </c>
      <c r="FW38" s="1" t="n">
        <f aca="false">IF(AND('Daily Workforce'!$N168="Y",'Daily Workforce'!$B168&lt;&gt;"",COUNTIF('Daily Schedule'!$F$5:$F41,'Daily Workforce'!$B168)=0,IF('Daily Schedule'!$A42=45,'Daily Workforce'!$J168="Y",IF(OR('Daily Schedule'!$A42=4,'Daily Schedule'!$A42=8),IF(OR(WEEKDAY('Daily Schedule'!$B$2,2)=1,WEEKDAY('Daily Schedule'!$B$2,2)=4,WEEKDAY('Daily Schedule'!$B$2,2)=5,WEEKDAY('Daily Schedule'!$B$2,2)=7),IFERROR(1*'Daily Workforce'!$K168&gt;=3,FALSE()),IFERROR(1*'Daily Workforce'!$K168&gt;=2,FALSE())),IF(AND('Daily Schedule'!$A42&gt;=46,'Daily Schedule'!$A42&lt;=52),'Daily Workforce'!$M168="Y",IFERROR(1*'Daily Workforce'!$P168&gt;=2,FALSE()))))),1,0)</f>
        <v>0</v>
      </c>
      <c r="FX38" s="1" t="n">
        <f aca="false">IF(AND('Daily Workforce'!$N169="Y",'Daily Workforce'!$B169&lt;&gt;"",COUNTIF('Daily Schedule'!$F$5:$F41,'Daily Workforce'!$B169)=0,IF('Daily Schedule'!$A42=45,'Daily Workforce'!$J169="Y",IF(OR('Daily Schedule'!$A42=4,'Daily Schedule'!$A42=8),IF(OR(WEEKDAY('Daily Schedule'!$B$2,2)=1,WEEKDAY('Daily Schedule'!$B$2,2)=4,WEEKDAY('Daily Schedule'!$B$2,2)=5,WEEKDAY('Daily Schedule'!$B$2,2)=7),IFERROR(1*'Daily Workforce'!$K169&gt;=3,FALSE()),IFERROR(1*'Daily Workforce'!$K169&gt;=2,FALSE())),IF(AND('Daily Schedule'!$A42&gt;=46,'Daily Schedule'!$A42&lt;=52),'Daily Workforce'!$M169="Y",IFERROR(1*'Daily Workforce'!$P169&gt;=2,FALSE()))))),1,0)</f>
        <v>0</v>
      </c>
      <c r="FY38" s="1" t="n">
        <f aca="false">IF(AND('Daily Workforce'!$N170="Y",'Daily Workforce'!$B170&lt;&gt;"",COUNTIF('Daily Schedule'!$F$5:$F41,'Daily Workforce'!$B170)=0,IF('Daily Schedule'!$A42=45,'Daily Workforce'!$J170="Y",IF(OR('Daily Schedule'!$A42=4,'Daily Schedule'!$A42=8),IF(OR(WEEKDAY('Daily Schedule'!$B$2,2)=1,WEEKDAY('Daily Schedule'!$B$2,2)=4,WEEKDAY('Daily Schedule'!$B$2,2)=5,WEEKDAY('Daily Schedule'!$B$2,2)=7),IFERROR(1*'Daily Workforce'!$K170&gt;=3,FALSE()),IFERROR(1*'Daily Workforce'!$K170&gt;=2,FALSE())),IF(AND('Daily Schedule'!$A42&gt;=46,'Daily Schedule'!$A42&lt;=52),'Daily Workforce'!$M170="Y",IFERROR(1*'Daily Workforce'!$P170&gt;=2,FALSE()))))),1,0)</f>
        <v>0</v>
      </c>
      <c r="FZ38" s="1" t="n">
        <f aca="false">IF(AND('Daily Workforce'!$N171="Y",'Daily Workforce'!$B171&lt;&gt;"",COUNTIF('Daily Schedule'!$F$5:$F41,'Daily Workforce'!$B171)=0,IF('Daily Schedule'!$A42=45,'Daily Workforce'!$J171="Y",IF(OR('Daily Schedule'!$A42=4,'Daily Schedule'!$A42=8),IF(OR(WEEKDAY('Daily Schedule'!$B$2,2)=1,WEEKDAY('Daily Schedule'!$B$2,2)=4,WEEKDAY('Daily Schedule'!$B$2,2)=5,WEEKDAY('Daily Schedule'!$B$2,2)=7),IFERROR(1*'Daily Workforce'!$K171&gt;=3,FALSE()),IFERROR(1*'Daily Workforce'!$K171&gt;=2,FALSE())),IF(AND('Daily Schedule'!$A42&gt;=46,'Daily Schedule'!$A42&lt;=52),'Daily Workforce'!$M171="Y",IFERROR(1*'Daily Workforce'!$P171&gt;=2,FALSE()))))),1,0)</f>
        <v>0</v>
      </c>
      <c r="GA38" s="1" t="n">
        <f aca="false">IF(AND('Daily Workforce'!$N172="Y",'Daily Workforce'!$B172&lt;&gt;"",COUNTIF('Daily Schedule'!$F$5:$F41,'Daily Workforce'!$B172)=0,IF('Daily Schedule'!$A42=45,'Daily Workforce'!$J172="Y",IF(OR('Daily Schedule'!$A42=4,'Daily Schedule'!$A42=8),IF(OR(WEEKDAY('Daily Schedule'!$B$2,2)=1,WEEKDAY('Daily Schedule'!$B$2,2)=4,WEEKDAY('Daily Schedule'!$B$2,2)=5,WEEKDAY('Daily Schedule'!$B$2,2)=7),IFERROR(1*'Daily Workforce'!$K172&gt;=3,FALSE()),IFERROR(1*'Daily Workforce'!$K172&gt;=2,FALSE())),IF(AND('Daily Schedule'!$A42&gt;=46,'Daily Schedule'!$A42&lt;=52),'Daily Workforce'!$M172="Y",IFERROR(1*'Daily Workforce'!$P172&gt;=2,FALSE()))))),1,0)</f>
        <v>0</v>
      </c>
      <c r="GB38" s="1" t="n">
        <f aca="false">IF(AND('Daily Workforce'!$N173="Y",'Daily Workforce'!$B173&lt;&gt;"",COUNTIF('Daily Schedule'!$F$5:$F41,'Daily Workforce'!$B173)=0,IF('Daily Schedule'!$A42=45,'Daily Workforce'!$J173="Y",IF(OR('Daily Schedule'!$A42=4,'Daily Schedule'!$A42=8),IF(OR(WEEKDAY('Daily Schedule'!$B$2,2)=1,WEEKDAY('Daily Schedule'!$B$2,2)=4,WEEKDAY('Daily Schedule'!$B$2,2)=5,WEEKDAY('Daily Schedule'!$B$2,2)=7),IFERROR(1*'Daily Workforce'!$K173&gt;=3,FALSE()),IFERROR(1*'Daily Workforce'!$K173&gt;=2,FALSE())),IF(AND('Daily Schedule'!$A42&gt;=46,'Daily Schedule'!$A42&lt;=52),'Daily Workforce'!$M173="Y",IFERROR(1*'Daily Workforce'!$P173&gt;=2,FALSE()))))),1,0)</f>
        <v>0</v>
      </c>
      <c r="GC38" s="1" t="n">
        <f aca="false">IF(AND('Daily Workforce'!$N174="Y",'Daily Workforce'!$B174&lt;&gt;"",COUNTIF('Daily Schedule'!$F$5:$F41,'Daily Workforce'!$B174)=0,IF('Daily Schedule'!$A42=45,'Daily Workforce'!$J174="Y",IF(OR('Daily Schedule'!$A42=4,'Daily Schedule'!$A42=8),IF(OR(WEEKDAY('Daily Schedule'!$B$2,2)=1,WEEKDAY('Daily Schedule'!$B$2,2)=4,WEEKDAY('Daily Schedule'!$B$2,2)=5,WEEKDAY('Daily Schedule'!$B$2,2)=7),IFERROR(1*'Daily Workforce'!$K174&gt;=3,FALSE()),IFERROR(1*'Daily Workforce'!$K174&gt;=2,FALSE())),IF(AND('Daily Schedule'!$A42&gt;=46,'Daily Schedule'!$A42&lt;=52),'Daily Workforce'!$M174="Y",IFERROR(1*'Daily Workforce'!$P174&gt;=2,FALSE()))))),1,0)</f>
        <v>0</v>
      </c>
      <c r="GD38" s="1" t="n">
        <f aca="false">IF(AND('Daily Workforce'!$N175="Y",'Daily Workforce'!$B175&lt;&gt;"",COUNTIF('Daily Schedule'!$F$5:$F41,'Daily Workforce'!$B175)=0,IF('Daily Schedule'!$A42=45,'Daily Workforce'!$J175="Y",IF(OR('Daily Schedule'!$A42=4,'Daily Schedule'!$A42=8),IF(OR(WEEKDAY('Daily Schedule'!$B$2,2)=1,WEEKDAY('Daily Schedule'!$B$2,2)=4,WEEKDAY('Daily Schedule'!$B$2,2)=5,WEEKDAY('Daily Schedule'!$B$2,2)=7),IFERROR(1*'Daily Workforce'!$K175&gt;=3,FALSE()),IFERROR(1*'Daily Workforce'!$K175&gt;=2,FALSE())),IF(AND('Daily Schedule'!$A42&gt;=46,'Daily Schedule'!$A42&lt;=52),'Daily Workforce'!$M175="Y",IFERROR(1*'Daily Workforce'!$P175&gt;=2,FALSE()))))),1,0)</f>
        <v>0</v>
      </c>
      <c r="GE38" s="1" t="n">
        <f aca="false">IF(AND('Daily Workforce'!$N176="Y",'Daily Workforce'!$B176&lt;&gt;"",COUNTIF('Daily Schedule'!$F$5:$F41,'Daily Workforce'!$B176)=0,IF('Daily Schedule'!$A42=45,'Daily Workforce'!$J176="Y",IF(OR('Daily Schedule'!$A42=4,'Daily Schedule'!$A42=8),IF(OR(WEEKDAY('Daily Schedule'!$B$2,2)=1,WEEKDAY('Daily Schedule'!$B$2,2)=4,WEEKDAY('Daily Schedule'!$B$2,2)=5,WEEKDAY('Daily Schedule'!$B$2,2)=7),IFERROR(1*'Daily Workforce'!$K176&gt;=3,FALSE()),IFERROR(1*'Daily Workforce'!$K176&gt;=2,FALSE())),IF(AND('Daily Schedule'!$A42&gt;=46,'Daily Schedule'!$A42&lt;=52),'Daily Workforce'!$M176="Y",IFERROR(1*'Daily Workforce'!$P176&gt;=2,FALSE()))))),1,0)</f>
        <v>0</v>
      </c>
      <c r="GF38" s="1" t="n">
        <f aca="false">IF(AND('Daily Workforce'!$N177="Y",'Daily Workforce'!$B177&lt;&gt;"",COUNTIF('Daily Schedule'!$F$5:$F41,'Daily Workforce'!$B177)=0,IF('Daily Schedule'!$A42=45,'Daily Workforce'!$J177="Y",IF(OR('Daily Schedule'!$A42=4,'Daily Schedule'!$A42=8),IF(OR(WEEKDAY('Daily Schedule'!$B$2,2)=1,WEEKDAY('Daily Schedule'!$B$2,2)=4,WEEKDAY('Daily Schedule'!$B$2,2)=5,WEEKDAY('Daily Schedule'!$B$2,2)=7),IFERROR(1*'Daily Workforce'!$K177&gt;=3,FALSE()),IFERROR(1*'Daily Workforce'!$K177&gt;=2,FALSE())),IF(AND('Daily Schedule'!$A42&gt;=46,'Daily Schedule'!$A42&lt;=52),'Daily Workforce'!$M177="Y",IFERROR(1*'Daily Workforce'!$P177&gt;=2,FALSE()))))),1,0)</f>
        <v>0</v>
      </c>
      <c r="GG38" s="1" t="n">
        <f aca="false">IF(AND('Daily Workforce'!$N178="Y",'Daily Workforce'!$B178&lt;&gt;"",COUNTIF('Daily Schedule'!$F$5:$F41,'Daily Workforce'!$B178)=0,IF('Daily Schedule'!$A42=45,'Daily Workforce'!$J178="Y",IF(OR('Daily Schedule'!$A42=4,'Daily Schedule'!$A42=8),IF(OR(WEEKDAY('Daily Schedule'!$B$2,2)=1,WEEKDAY('Daily Schedule'!$B$2,2)=4,WEEKDAY('Daily Schedule'!$B$2,2)=5,WEEKDAY('Daily Schedule'!$B$2,2)=7),IFERROR(1*'Daily Workforce'!$K178&gt;=3,FALSE()),IFERROR(1*'Daily Workforce'!$K178&gt;=2,FALSE())),IF(AND('Daily Schedule'!$A42&gt;=46,'Daily Schedule'!$A42&lt;=52),'Daily Workforce'!$M178="Y",IFERROR(1*'Daily Workforce'!$P178&gt;=2,FALSE()))))),1,0)</f>
        <v>0</v>
      </c>
      <c r="GH38" s="1" t="n">
        <f aca="false">IF(AND('Daily Workforce'!$N179="Y",'Daily Workforce'!$B179&lt;&gt;"",COUNTIF('Daily Schedule'!$F$5:$F41,'Daily Workforce'!$B179)=0,IF('Daily Schedule'!$A42=45,'Daily Workforce'!$J179="Y",IF(OR('Daily Schedule'!$A42=4,'Daily Schedule'!$A42=8),IF(OR(WEEKDAY('Daily Schedule'!$B$2,2)=1,WEEKDAY('Daily Schedule'!$B$2,2)=4,WEEKDAY('Daily Schedule'!$B$2,2)=5,WEEKDAY('Daily Schedule'!$B$2,2)=7),IFERROR(1*'Daily Workforce'!$K179&gt;=3,FALSE()),IFERROR(1*'Daily Workforce'!$K179&gt;=2,FALSE())),IF(AND('Daily Schedule'!$A42&gt;=46,'Daily Schedule'!$A42&lt;=52),'Daily Workforce'!$M179="Y",IFERROR(1*'Daily Workforce'!$P179&gt;=2,FALSE()))))),1,0)</f>
        <v>0</v>
      </c>
      <c r="GI38" s="1" t="n">
        <f aca="false">IF(AND('Daily Workforce'!$N180="Y",'Daily Workforce'!$B180&lt;&gt;"",COUNTIF('Daily Schedule'!$F$5:$F41,'Daily Workforce'!$B180)=0,IF('Daily Schedule'!$A42=45,'Daily Workforce'!$J180="Y",IF(OR('Daily Schedule'!$A42=4,'Daily Schedule'!$A42=8),IF(OR(WEEKDAY('Daily Schedule'!$B$2,2)=1,WEEKDAY('Daily Schedule'!$B$2,2)=4,WEEKDAY('Daily Schedule'!$B$2,2)=5,WEEKDAY('Daily Schedule'!$B$2,2)=7),IFERROR(1*'Daily Workforce'!$K180&gt;=3,FALSE()),IFERROR(1*'Daily Workforce'!$K180&gt;=2,FALSE())),IF(AND('Daily Schedule'!$A42&gt;=46,'Daily Schedule'!$A42&lt;=52),'Daily Workforce'!$M180="Y",IFERROR(1*'Daily Workforce'!$P180&gt;=2,FALSE()))))),1,0)</f>
        <v>0</v>
      </c>
      <c r="GJ38" s="1" t="n">
        <f aca="false">IF(AND('Daily Workforce'!$N181="Y",'Daily Workforce'!$B181&lt;&gt;"",COUNTIF('Daily Schedule'!$F$5:$F41,'Daily Workforce'!$B181)=0,IF('Daily Schedule'!$A42=45,'Daily Workforce'!$J181="Y",IF(OR('Daily Schedule'!$A42=4,'Daily Schedule'!$A42=8),IF(OR(WEEKDAY('Daily Schedule'!$B$2,2)=1,WEEKDAY('Daily Schedule'!$B$2,2)=4,WEEKDAY('Daily Schedule'!$B$2,2)=5,WEEKDAY('Daily Schedule'!$B$2,2)=7),IFERROR(1*'Daily Workforce'!$K181&gt;=3,FALSE()),IFERROR(1*'Daily Workforce'!$K181&gt;=2,FALSE())),IF(AND('Daily Schedule'!$A42&gt;=46,'Daily Schedule'!$A42&lt;=52),'Daily Workforce'!$M181="Y",IFERROR(1*'Daily Workforce'!$P181&gt;=2,FALSE()))))),1,0)</f>
        <v>0</v>
      </c>
      <c r="GK38" s="1" t="n">
        <f aca="false">IF(AND('Daily Workforce'!$N182="Y",'Daily Workforce'!$B182&lt;&gt;"",COUNTIF('Daily Schedule'!$F$5:$F41,'Daily Workforce'!$B182)=0,IF('Daily Schedule'!$A42=45,'Daily Workforce'!$J182="Y",IF(OR('Daily Schedule'!$A42=4,'Daily Schedule'!$A42=8),IF(OR(WEEKDAY('Daily Schedule'!$B$2,2)=1,WEEKDAY('Daily Schedule'!$B$2,2)=4,WEEKDAY('Daily Schedule'!$B$2,2)=5,WEEKDAY('Daily Schedule'!$B$2,2)=7),IFERROR(1*'Daily Workforce'!$K182&gt;=3,FALSE()),IFERROR(1*'Daily Workforce'!$K182&gt;=2,FALSE())),IF(AND('Daily Schedule'!$A42&gt;=46,'Daily Schedule'!$A42&lt;=52),'Daily Workforce'!$M182="Y",IFERROR(1*'Daily Workforce'!$P182&gt;=2,FALSE()))))),1,0)</f>
        <v>0</v>
      </c>
      <c r="GL38" s="1" t="n">
        <f aca="false">IF(AND('Daily Workforce'!$N183="Y",'Daily Workforce'!$B183&lt;&gt;"",COUNTIF('Daily Schedule'!$F$5:$F41,'Daily Workforce'!$B183)=0,IF('Daily Schedule'!$A42=45,'Daily Workforce'!$J183="Y",IF(OR('Daily Schedule'!$A42=4,'Daily Schedule'!$A42=8),IF(OR(WEEKDAY('Daily Schedule'!$B$2,2)=1,WEEKDAY('Daily Schedule'!$B$2,2)=4,WEEKDAY('Daily Schedule'!$B$2,2)=5,WEEKDAY('Daily Schedule'!$B$2,2)=7),IFERROR(1*'Daily Workforce'!$K183&gt;=3,FALSE()),IFERROR(1*'Daily Workforce'!$K183&gt;=2,FALSE())),IF(AND('Daily Schedule'!$A42&gt;=46,'Daily Schedule'!$A42&lt;=52),'Daily Workforce'!$M183="Y",IFERROR(1*'Daily Workforce'!$P183&gt;=2,FALSE()))))),1,0)</f>
        <v>0</v>
      </c>
      <c r="GM38" s="1" t="n">
        <f aca="false">IF(AND('Daily Workforce'!$N184="Y",'Daily Workforce'!$B184&lt;&gt;"",COUNTIF('Daily Schedule'!$F$5:$F41,'Daily Workforce'!$B184)=0,IF('Daily Schedule'!$A42=45,'Daily Workforce'!$J184="Y",IF(OR('Daily Schedule'!$A42=4,'Daily Schedule'!$A42=8),IF(OR(WEEKDAY('Daily Schedule'!$B$2,2)=1,WEEKDAY('Daily Schedule'!$B$2,2)=4,WEEKDAY('Daily Schedule'!$B$2,2)=5,WEEKDAY('Daily Schedule'!$B$2,2)=7),IFERROR(1*'Daily Workforce'!$K184&gt;=3,FALSE()),IFERROR(1*'Daily Workforce'!$K184&gt;=2,FALSE())),IF(AND('Daily Schedule'!$A42&gt;=46,'Daily Schedule'!$A42&lt;=52),'Daily Workforce'!$M184="Y",IFERROR(1*'Daily Workforce'!$P184&gt;=2,FALSE()))))),1,0)</f>
        <v>0</v>
      </c>
      <c r="GN38" s="1" t="n">
        <f aca="false">IF(AND('Daily Workforce'!$N185="Y",'Daily Workforce'!$B185&lt;&gt;"",COUNTIF('Daily Schedule'!$F$5:$F41,'Daily Workforce'!$B185)=0,IF('Daily Schedule'!$A42=45,'Daily Workforce'!$J185="Y",IF(OR('Daily Schedule'!$A42=4,'Daily Schedule'!$A42=8),IF(OR(WEEKDAY('Daily Schedule'!$B$2,2)=1,WEEKDAY('Daily Schedule'!$B$2,2)=4,WEEKDAY('Daily Schedule'!$B$2,2)=5,WEEKDAY('Daily Schedule'!$B$2,2)=7),IFERROR(1*'Daily Workforce'!$K185&gt;=3,FALSE()),IFERROR(1*'Daily Workforce'!$K185&gt;=2,FALSE())),IF(AND('Daily Schedule'!$A42&gt;=46,'Daily Schedule'!$A42&lt;=52),'Daily Workforce'!$M185="Y",IFERROR(1*'Daily Workforce'!$P185&gt;=2,FALSE()))))),1,0)</f>
        <v>0</v>
      </c>
      <c r="GO38" s="1" t="n">
        <f aca="false">IF(AND('Daily Workforce'!$N186="Y",'Daily Workforce'!$B186&lt;&gt;"",COUNTIF('Daily Schedule'!$F$5:$F41,'Daily Workforce'!$B186)=0,IF('Daily Schedule'!$A42=45,'Daily Workforce'!$J186="Y",IF(OR('Daily Schedule'!$A42=4,'Daily Schedule'!$A42=8),IF(OR(WEEKDAY('Daily Schedule'!$B$2,2)=1,WEEKDAY('Daily Schedule'!$B$2,2)=4,WEEKDAY('Daily Schedule'!$B$2,2)=5,WEEKDAY('Daily Schedule'!$B$2,2)=7),IFERROR(1*'Daily Workforce'!$K186&gt;=3,FALSE()),IFERROR(1*'Daily Workforce'!$K186&gt;=2,FALSE())),IF(AND('Daily Schedule'!$A42&gt;=46,'Daily Schedule'!$A42&lt;=52),'Daily Workforce'!$M186="Y",IFERROR(1*'Daily Workforce'!$P186&gt;=2,FALSE()))))),1,0)</f>
        <v>0</v>
      </c>
      <c r="GP38" s="1" t="n">
        <f aca="false">IF(AND('Daily Workforce'!$N187="Y",'Daily Workforce'!$B187&lt;&gt;"",COUNTIF('Daily Schedule'!$F$5:$F41,'Daily Workforce'!$B187)=0,IF('Daily Schedule'!$A42=45,'Daily Workforce'!$J187="Y",IF(OR('Daily Schedule'!$A42=4,'Daily Schedule'!$A42=8),IF(OR(WEEKDAY('Daily Schedule'!$B$2,2)=1,WEEKDAY('Daily Schedule'!$B$2,2)=4,WEEKDAY('Daily Schedule'!$B$2,2)=5,WEEKDAY('Daily Schedule'!$B$2,2)=7),IFERROR(1*'Daily Workforce'!$K187&gt;=3,FALSE()),IFERROR(1*'Daily Workforce'!$K187&gt;=2,FALSE())),IF(AND('Daily Schedule'!$A42&gt;=46,'Daily Schedule'!$A42&lt;=52),'Daily Workforce'!$M187="Y",IFERROR(1*'Daily Workforce'!$P187&gt;=2,FALSE()))))),1,0)</f>
        <v>0</v>
      </c>
      <c r="GQ38" s="1" t="n">
        <f aca="false">IF(AND('Daily Workforce'!$N188="Y",'Daily Workforce'!$B188&lt;&gt;"",COUNTIF('Daily Schedule'!$F$5:$F41,'Daily Workforce'!$B188)=0,IF('Daily Schedule'!$A42=45,'Daily Workforce'!$J188="Y",IF(OR('Daily Schedule'!$A42=4,'Daily Schedule'!$A42=8),IF(OR(WEEKDAY('Daily Schedule'!$B$2,2)=1,WEEKDAY('Daily Schedule'!$B$2,2)=4,WEEKDAY('Daily Schedule'!$B$2,2)=5,WEEKDAY('Daily Schedule'!$B$2,2)=7),IFERROR(1*'Daily Workforce'!$K188&gt;=3,FALSE()),IFERROR(1*'Daily Workforce'!$K188&gt;=2,FALSE())),IF(AND('Daily Schedule'!$A42&gt;=46,'Daily Schedule'!$A42&lt;=52),'Daily Workforce'!$M188="Y",IFERROR(1*'Daily Workforce'!$P188&gt;=2,FALSE()))))),1,0)</f>
        <v>0</v>
      </c>
      <c r="GR38" s="1" t="n">
        <f aca="false">IF(AND('Daily Workforce'!$N189="Y",'Daily Workforce'!$B189&lt;&gt;"",COUNTIF('Daily Schedule'!$F$5:$F41,'Daily Workforce'!$B189)=0,IF('Daily Schedule'!$A42=45,'Daily Workforce'!$J189="Y",IF(OR('Daily Schedule'!$A42=4,'Daily Schedule'!$A42=8),IF(OR(WEEKDAY('Daily Schedule'!$B$2,2)=1,WEEKDAY('Daily Schedule'!$B$2,2)=4,WEEKDAY('Daily Schedule'!$B$2,2)=5,WEEKDAY('Daily Schedule'!$B$2,2)=7),IFERROR(1*'Daily Workforce'!$K189&gt;=3,FALSE()),IFERROR(1*'Daily Workforce'!$K189&gt;=2,FALSE())),IF(AND('Daily Schedule'!$A42&gt;=46,'Daily Schedule'!$A42&lt;=52),'Daily Workforce'!$M189="Y",IFERROR(1*'Daily Workforce'!$P189&gt;=2,FALSE()))))),1,0)</f>
        <v>0</v>
      </c>
      <c r="GS38" s="1" t="n">
        <f aca="false">IF(AND('Daily Workforce'!$N190="Y",'Daily Workforce'!$B190&lt;&gt;"",COUNTIF('Daily Schedule'!$F$5:$F41,'Daily Workforce'!$B190)=0,IF('Daily Schedule'!$A42=45,'Daily Workforce'!$J190="Y",IF(OR('Daily Schedule'!$A42=4,'Daily Schedule'!$A42=8),IF(OR(WEEKDAY('Daily Schedule'!$B$2,2)=1,WEEKDAY('Daily Schedule'!$B$2,2)=4,WEEKDAY('Daily Schedule'!$B$2,2)=5,WEEKDAY('Daily Schedule'!$B$2,2)=7),IFERROR(1*'Daily Workforce'!$K190&gt;=3,FALSE()),IFERROR(1*'Daily Workforce'!$K190&gt;=2,FALSE())),IF(AND('Daily Schedule'!$A42&gt;=46,'Daily Schedule'!$A42&lt;=52),'Daily Workforce'!$M190="Y",IFERROR(1*'Daily Workforce'!$P190&gt;=2,FALSE()))))),1,0)</f>
        <v>0</v>
      </c>
      <c r="GT38" s="1" t="n">
        <f aca="false">IF(AND('Daily Workforce'!$N191="Y",'Daily Workforce'!$B191&lt;&gt;"",COUNTIF('Daily Schedule'!$F$5:$F41,'Daily Workforce'!$B191)=0,IF('Daily Schedule'!$A42=45,'Daily Workforce'!$J191="Y",IF(OR('Daily Schedule'!$A42=4,'Daily Schedule'!$A42=8),IF(OR(WEEKDAY('Daily Schedule'!$B$2,2)=1,WEEKDAY('Daily Schedule'!$B$2,2)=4,WEEKDAY('Daily Schedule'!$B$2,2)=5,WEEKDAY('Daily Schedule'!$B$2,2)=7),IFERROR(1*'Daily Workforce'!$K191&gt;=3,FALSE()),IFERROR(1*'Daily Workforce'!$K191&gt;=2,FALSE())),IF(AND('Daily Schedule'!$A42&gt;=46,'Daily Schedule'!$A42&lt;=52),'Daily Workforce'!$M191="Y",IFERROR(1*'Daily Workforce'!$P191&gt;=2,FALSE()))))),1,0)</f>
        <v>0</v>
      </c>
      <c r="GU38" s="1" t="n">
        <f aca="false">IF(AND('Daily Workforce'!$N192="Y",'Daily Workforce'!$B192&lt;&gt;"",COUNTIF('Daily Schedule'!$F$5:$F41,'Daily Workforce'!$B192)=0,IF('Daily Schedule'!$A42=45,'Daily Workforce'!$J192="Y",IF(OR('Daily Schedule'!$A42=4,'Daily Schedule'!$A42=8),IF(OR(WEEKDAY('Daily Schedule'!$B$2,2)=1,WEEKDAY('Daily Schedule'!$B$2,2)=4,WEEKDAY('Daily Schedule'!$B$2,2)=5,WEEKDAY('Daily Schedule'!$B$2,2)=7),IFERROR(1*'Daily Workforce'!$K192&gt;=3,FALSE()),IFERROR(1*'Daily Workforce'!$K192&gt;=2,FALSE())),IF(AND('Daily Schedule'!$A42&gt;=46,'Daily Schedule'!$A42&lt;=52),'Daily Workforce'!$M192="Y",IFERROR(1*'Daily Workforce'!$P192&gt;=2,FALSE()))))),1,0)</f>
        <v>0</v>
      </c>
      <c r="GV38" s="1" t="n">
        <f aca="false">IF(AND('Daily Workforce'!$N193="Y",'Daily Workforce'!$B193&lt;&gt;"",COUNTIF('Daily Schedule'!$F$5:$F41,'Daily Workforce'!$B193)=0,IF('Daily Schedule'!$A42=45,'Daily Workforce'!$J193="Y",IF(OR('Daily Schedule'!$A42=4,'Daily Schedule'!$A42=8),IF(OR(WEEKDAY('Daily Schedule'!$B$2,2)=1,WEEKDAY('Daily Schedule'!$B$2,2)=4,WEEKDAY('Daily Schedule'!$B$2,2)=5,WEEKDAY('Daily Schedule'!$B$2,2)=7),IFERROR(1*'Daily Workforce'!$K193&gt;=3,FALSE()),IFERROR(1*'Daily Workforce'!$K193&gt;=2,FALSE())),IF(AND('Daily Schedule'!$A42&gt;=46,'Daily Schedule'!$A42&lt;=52),'Daily Workforce'!$M193="Y",IFERROR(1*'Daily Workforce'!$P193&gt;=2,FALSE()))))),1,0)</f>
        <v>0</v>
      </c>
      <c r="GW38" s="1" t="n">
        <f aca="false">IF(AND('Daily Workforce'!$N194="Y",'Daily Workforce'!$B194&lt;&gt;"",COUNTIF('Daily Schedule'!$F$5:$F41,'Daily Workforce'!$B194)=0,IF('Daily Schedule'!$A42=45,'Daily Workforce'!$J194="Y",IF(OR('Daily Schedule'!$A42=4,'Daily Schedule'!$A42=8),IF(OR(WEEKDAY('Daily Schedule'!$B$2,2)=1,WEEKDAY('Daily Schedule'!$B$2,2)=4,WEEKDAY('Daily Schedule'!$B$2,2)=5,WEEKDAY('Daily Schedule'!$B$2,2)=7),IFERROR(1*'Daily Workforce'!$K194&gt;=3,FALSE()),IFERROR(1*'Daily Workforce'!$K194&gt;=2,FALSE())),IF(AND('Daily Schedule'!$A42&gt;=46,'Daily Schedule'!$A42&lt;=52),'Daily Workforce'!$M194="Y",IFERROR(1*'Daily Workforce'!$P194&gt;=2,FALSE()))))),1,0)</f>
        <v>0</v>
      </c>
      <c r="GX38" s="1" t="n">
        <f aca="false">IF(AND('Daily Workforce'!$N195="Y",'Daily Workforce'!$B195&lt;&gt;"",COUNTIF('Daily Schedule'!$F$5:$F41,'Daily Workforce'!$B195)=0,IF('Daily Schedule'!$A42=45,'Daily Workforce'!$J195="Y",IF(OR('Daily Schedule'!$A42=4,'Daily Schedule'!$A42=8),IF(OR(WEEKDAY('Daily Schedule'!$B$2,2)=1,WEEKDAY('Daily Schedule'!$B$2,2)=4,WEEKDAY('Daily Schedule'!$B$2,2)=5,WEEKDAY('Daily Schedule'!$B$2,2)=7),IFERROR(1*'Daily Workforce'!$K195&gt;=3,FALSE()),IFERROR(1*'Daily Workforce'!$K195&gt;=2,FALSE())),IF(AND('Daily Schedule'!$A42&gt;=46,'Daily Schedule'!$A42&lt;=52),'Daily Workforce'!$M195="Y",IFERROR(1*'Daily Workforce'!$P195&gt;=2,FALSE()))))),1,0)</f>
        <v>0</v>
      </c>
      <c r="GY38" s="1" t="n">
        <f aca="false">IF(AND('Daily Workforce'!$N196="Y",'Daily Workforce'!$B196&lt;&gt;"",COUNTIF('Daily Schedule'!$F$5:$F41,'Daily Workforce'!$B196)=0,IF('Daily Schedule'!$A42=45,'Daily Workforce'!$J196="Y",IF(OR('Daily Schedule'!$A42=4,'Daily Schedule'!$A42=8),IF(OR(WEEKDAY('Daily Schedule'!$B$2,2)=1,WEEKDAY('Daily Schedule'!$B$2,2)=4,WEEKDAY('Daily Schedule'!$B$2,2)=5,WEEKDAY('Daily Schedule'!$B$2,2)=7),IFERROR(1*'Daily Workforce'!$K196&gt;=3,FALSE()),IFERROR(1*'Daily Workforce'!$K196&gt;=2,FALSE())),IF(AND('Daily Schedule'!$A42&gt;=46,'Daily Schedule'!$A42&lt;=52),'Daily Workforce'!$M196="Y",IFERROR(1*'Daily Workforce'!$P196&gt;=2,FALSE()))))),1,0)</f>
        <v>0</v>
      </c>
      <c r="GZ38" s="1" t="n">
        <f aca="false">IF(AND('Daily Workforce'!$N197="Y",'Daily Workforce'!$B197&lt;&gt;"",COUNTIF('Daily Schedule'!$F$5:$F41,'Daily Workforce'!$B197)=0,IF('Daily Schedule'!$A42=45,'Daily Workforce'!$J197="Y",IF(OR('Daily Schedule'!$A42=4,'Daily Schedule'!$A42=8),IF(OR(WEEKDAY('Daily Schedule'!$B$2,2)=1,WEEKDAY('Daily Schedule'!$B$2,2)=4,WEEKDAY('Daily Schedule'!$B$2,2)=5,WEEKDAY('Daily Schedule'!$B$2,2)=7),IFERROR(1*'Daily Workforce'!$K197&gt;=3,FALSE()),IFERROR(1*'Daily Workforce'!$K197&gt;=2,FALSE())),IF(AND('Daily Schedule'!$A42&gt;=46,'Daily Schedule'!$A42&lt;=52),'Daily Workforce'!$M197="Y",IFERROR(1*'Daily Workforce'!$P197&gt;=2,FALSE()))))),1,0)</f>
        <v>0</v>
      </c>
      <c r="HA38" s="1" t="n">
        <f aca="false">IF(AND('Daily Workforce'!$N198="Y",'Daily Workforce'!$B198&lt;&gt;"",COUNTIF('Daily Schedule'!$F$5:$F41,'Daily Workforce'!$B198)=0,IF('Daily Schedule'!$A42=45,'Daily Workforce'!$J198="Y",IF(OR('Daily Schedule'!$A42=4,'Daily Schedule'!$A42=8),IF(OR(WEEKDAY('Daily Schedule'!$B$2,2)=1,WEEKDAY('Daily Schedule'!$B$2,2)=4,WEEKDAY('Daily Schedule'!$B$2,2)=5,WEEKDAY('Daily Schedule'!$B$2,2)=7),IFERROR(1*'Daily Workforce'!$K198&gt;=3,FALSE()),IFERROR(1*'Daily Workforce'!$K198&gt;=2,FALSE())),IF(AND('Daily Schedule'!$A42&gt;=46,'Daily Schedule'!$A42&lt;=52),'Daily Workforce'!$M198="Y",IFERROR(1*'Daily Workforce'!$P198&gt;=2,FALSE()))))),1,0)</f>
        <v>0</v>
      </c>
      <c r="HB38" s="1" t="n">
        <f aca="false">IF(AND('Daily Workforce'!$N199="Y",'Daily Workforce'!$B199&lt;&gt;"",COUNTIF('Daily Schedule'!$F$5:$F41,'Daily Workforce'!$B199)=0,IF('Daily Schedule'!$A42=45,'Daily Workforce'!$J199="Y",IF(OR('Daily Schedule'!$A42=4,'Daily Schedule'!$A42=8),IF(OR(WEEKDAY('Daily Schedule'!$B$2,2)=1,WEEKDAY('Daily Schedule'!$B$2,2)=4,WEEKDAY('Daily Schedule'!$B$2,2)=5,WEEKDAY('Daily Schedule'!$B$2,2)=7),IFERROR(1*'Daily Workforce'!$K199&gt;=3,FALSE()),IFERROR(1*'Daily Workforce'!$K199&gt;=2,FALSE())),IF(AND('Daily Schedule'!$A42&gt;=46,'Daily Schedule'!$A42&lt;=52),'Daily Workforce'!$M199="Y",IFERROR(1*'Daily Workforce'!$P199&gt;=2,FALSE()))))),1,0)</f>
        <v>0</v>
      </c>
      <c r="HC38" s="1" t="n">
        <f aca="false">IF(AND('Daily Workforce'!$N200="Y",'Daily Workforce'!$B200&lt;&gt;"",COUNTIF('Daily Schedule'!$F$5:$F41,'Daily Workforce'!$B200)=0,IF('Daily Schedule'!$A42=45,'Daily Workforce'!$J200="Y",IF(OR('Daily Schedule'!$A42=4,'Daily Schedule'!$A42=8),IF(OR(WEEKDAY('Daily Schedule'!$B$2,2)=1,WEEKDAY('Daily Schedule'!$B$2,2)=4,WEEKDAY('Daily Schedule'!$B$2,2)=5,WEEKDAY('Daily Schedule'!$B$2,2)=7),IFERROR(1*'Daily Workforce'!$K200&gt;=3,FALSE()),IFERROR(1*'Daily Workforce'!$K200&gt;=2,FALSE())),IF(AND('Daily Schedule'!$A42&gt;=46,'Daily Schedule'!$A42&lt;=52),'Daily Workforce'!$M200="Y",IFERROR(1*'Daily Workforce'!$P200&gt;=2,FALSE()))))),1,0)</f>
        <v>0</v>
      </c>
      <c r="HD38" s="1" t="n">
        <f aca="false">IF(AND('Daily Workforce'!$N201="Y",'Daily Workforce'!$B201&lt;&gt;"",COUNTIF('Daily Schedule'!$F$5:$F41,'Daily Workforce'!$B201)=0,IF('Daily Schedule'!$A42=45,'Daily Workforce'!$J201="Y",IF(OR('Daily Schedule'!$A42=4,'Daily Schedule'!$A42=8),IF(OR(WEEKDAY('Daily Schedule'!$B$2,2)=1,WEEKDAY('Daily Schedule'!$B$2,2)=4,WEEKDAY('Daily Schedule'!$B$2,2)=5,WEEKDAY('Daily Schedule'!$B$2,2)=7),IFERROR(1*'Daily Workforce'!$K201&gt;=3,FALSE()),IFERROR(1*'Daily Workforce'!$K201&gt;=2,FALSE())),IF(AND('Daily Schedule'!$A42&gt;=46,'Daily Schedule'!$A42&lt;=52),'Daily Workforce'!$M201="Y",IFERROR(1*'Daily Workforce'!$P201&gt;=2,FALSE()))))),1,0)</f>
        <v>0</v>
      </c>
      <c r="HE38" s="1" t="n">
        <f aca="false">IF(AND('Daily Workforce'!$N202="Y",'Daily Workforce'!$B202&lt;&gt;"",COUNTIF('Daily Schedule'!$F$5:$F41,'Daily Workforce'!$B202)=0,IF('Daily Schedule'!$A42=45,'Daily Workforce'!$J202="Y",IF(OR('Daily Schedule'!$A42=4,'Daily Schedule'!$A42=8),IF(OR(WEEKDAY('Daily Schedule'!$B$2,2)=1,WEEKDAY('Daily Schedule'!$B$2,2)=4,WEEKDAY('Daily Schedule'!$B$2,2)=5,WEEKDAY('Daily Schedule'!$B$2,2)=7),IFERROR(1*'Daily Workforce'!$K202&gt;=3,FALSE()),IFERROR(1*'Daily Workforce'!$K202&gt;=2,FALSE())),IF(AND('Daily Schedule'!$A42&gt;=46,'Daily Schedule'!$A42&lt;=52),'Daily Workforce'!$M202="Y",IFERROR(1*'Daily Workforce'!$P202&gt;=2,FALSE()))))),1,0)</f>
        <v>0</v>
      </c>
      <c r="HF38" s="1" t="n">
        <f aca="false">IF(AND('Daily Workforce'!$N203="Y",'Daily Workforce'!$B203&lt;&gt;"",COUNTIF('Daily Schedule'!$F$5:$F41,'Daily Workforce'!$B203)=0,IF('Daily Schedule'!$A42=45,'Daily Workforce'!$J203="Y",IF(OR('Daily Schedule'!$A42=4,'Daily Schedule'!$A42=8),IF(OR(WEEKDAY('Daily Schedule'!$B$2,2)=1,WEEKDAY('Daily Schedule'!$B$2,2)=4,WEEKDAY('Daily Schedule'!$B$2,2)=5,WEEKDAY('Daily Schedule'!$B$2,2)=7),IFERROR(1*'Daily Workforce'!$K203&gt;=3,FALSE()),IFERROR(1*'Daily Workforce'!$K203&gt;=2,FALSE())),IF(AND('Daily Schedule'!$A42&gt;=46,'Daily Schedule'!$A42&lt;=52),'Daily Workforce'!$M203="Y",IFERROR(1*'Daily Workforce'!$P203&gt;=2,FALSE()))))),1,0)</f>
        <v>0</v>
      </c>
      <c r="HG38" s="1" t="n">
        <f aca="false">IF(AND('Daily Workforce'!$N204="Y",'Daily Workforce'!$B204&lt;&gt;"",COUNTIF('Daily Schedule'!$F$5:$F41,'Daily Workforce'!$B204)=0,IF('Daily Schedule'!$A42=45,'Daily Workforce'!$J204="Y",IF(OR('Daily Schedule'!$A42=4,'Daily Schedule'!$A42=8),IF(OR(WEEKDAY('Daily Schedule'!$B$2,2)=1,WEEKDAY('Daily Schedule'!$B$2,2)=4,WEEKDAY('Daily Schedule'!$B$2,2)=5,WEEKDAY('Daily Schedule'!$B$2,2)=7),IFERROR(1*'Daily Workforce'!$K204&gt;=3,FALSE()),IFERROR(1*'Daily Workforce'!$K204&gt;=2,FALSE())),IF(AND('Daily Schedule'!$A42&gt;=46,'Daily Schedule'!$A42&lt;=52),'Daily Workforce'!$M204="Y",IFERROR(1*'Daily Workforce'!$P204&gt;=2,FALSE()))))),1,0)</f>
        <v>0</v>
      </c>
      <c r="HH38" s="1" t="n">
        <f aca="false">IF(AND('Daily Workforce'!$N205="Y",'Daily Workforce'!$B205&lt;&gt;"",COUNTIF('Daily Schedule'!$F$5:$F41,'Daily Workforce'!$B205)=0,IF('Daily Schedule'!$A42=45,'Daily Workforce'!$J205="Y",IF(OR('Daily Schedule'!$A42=4,'Daily Schedule'!$A42=8),IF(OR(WEEKDAY('Daily Schedule'!$B$2,2)=1,WEEKDAY('Daily Schedule'!$B$2,2)=4,WEEKDAY('Daily Schedule'!$B$2,2)=5,WEEKDAY('Daily Schedule'!$B$2,2)=7),IFERROR(1*'Daily Workforce'!$K205&gt;=3,FALSE()),IFERROR(1*'Daily Workforce'!$K205&gt;=2,FALSE())),IF(AND('Daily Schedule'!$A42&gt;=46,'Daily Schedule'!$A42&lt;=52),'Daily Workforce'!$M205="Y",IFERROR(1*'Daily Workforce'!$P205&gt;=2,FALSE()))))),1,0)</f>
        <v>0</v>
      </c>
    </row>
    <row r="39" customFormat="false" ht="15" hidden="false" customHeight="true" outlineLevel="0" collapsed="false">
      <c r="L39" s="1" t="s">
        <v>814</v>
      </c>
      <c r="O39" s="1" t="str">
        <f aca="false">IF(AND('Employee Master'!$G39="Y",ISERROR(SEARCH(TEXT('Daily Workforce'!$B$2,"ddd"),'Employee Master'!$D39)),IF('Daily Workforce'!$E$2="",TRUE(),'Employee Master'!$I39='Daily Workforce'!$E$2)),'Employee Master'!$K39*1000+ROW()-1,"")</f>
        <v/>
      </c>
      <c r="P39" s="1" t="str">
        <f aca="false">IF($O39="","",COUNTIF($O$2:$O$159,"&lt;="&amp;$O39))</f>
        <v/>
      </c>
      <c r="Q39" s="1" t="n">
        <f aca="false">IF(AND('Daily Workforce'!$N6="Y",'Daily Workforce'!$B6&lt;&gt;"",COUNTIF('Daily Schedule'!$F$5:$F42,'Daily Workforce'!$B6)=0,IF('Daily Schedule'!$A43=45,'Daily Workforce'!$J6="Y",IF(OR('Daily Schedule'!$A43=4,'Daily Schedule'!$A43=8),IF(OR(WEEKDAY('Daily Schedule'!$B$2,2)=1,WEEKDAY('Daily Schedule'!$B$2,2)=4,WEEKDAY('Daily Schedule'!$B$2,2)=5,WEEKDAY('Daily Schedule'!$B$2,2)=7),IFERROR(1*'Daily Workforce'!$K6&gt;=3,FALSE()),IFERROR(1*'Daily Workforce'!$K6&gt;=2,FALSE())),IF(AND('Daily Schedule'!$A43&gt;=46,'Daily Schedule'!$A43&lt;=52),'Daily Workforce'!$M6="Y",IFERROR(1*'Daily Workforce'!$P6&gt;=2,FALSE()))))),1,0)</f>
        <v>0</v>
      </c>
      <c r="R39" s="1" t="n">
        <f aca="false">IF(AND('Daily Workforce'!$N7="Y",'Daily Workforce'!$B7&lt;&gt;"",COUNTIF('Daily Schedule'!$F$5:$F42,'Daily Workforce'!$B7)=0,IF('Daily Schedule'!$A43=45,'Daily Workforce'!$J7="Y",IF(OR('Daily Schedule'!$A43=4,'Daily Schedule'!$A43=8),IF(OR(WEEKDAY('Daily Schedule'!$B$2,2)=1,WEEKDAY('Daily Schedule'!$B$2,2)=4,WEEKDAY('Daily Schedule'!$B$2,2)=5,WEEKDAY('Daily Schedule'!$B$2,2)=7),IFERROR(1*'Daily Workforce'!$K7&gt;=3,FALSE()),IFERROR(1*'Daily Workforce'!$K7&gt;=2,FALSE())),IF(AND('Daily Schedule'!$A43&gt;=46,'Daily Schedule'!$A43&lt;=52),'Daily Workforce'!$M7="Y",IFERROR(1*'Daily Workforce'!$P7&gt;=2,FALSE()))))),1,0)</f>
        <v>0</v>
      </c>
      <c r="S39" s="1" t="n">
        <f aca="false">IF(AND('Daily Workforce'!$N8="Y",'Daily Workforce'!$B8&lt;&gt;"",COUNTIF('Daily Schedule'!$F$5:$F42,'Daily Workforce'!$B8)=0,IF('Daily Schedule'!$A43=45,'Daily Workforce'!$J8="Y",IF(OR('Daily Schedule'!$A43=4,'Daily Schedule'!$A43=8),IF(OR(WEEKDAY('Daily Schedule'!$B$2,2)=1,WEEKDAY('Daily Schedule'!$B$2,2)=4,WEEKDAY('Daily Schedule'!$B$2,2)=5,WEEKDAY('Daily Schedule'!$B$2,2)=7),IFERROR(1*'Daily Workforce'!$K8&gt;=3,FALSE()),IFERROR(1*'Daily Workforce'!$K8&gt;=2,FALSE())),IF(AND('Daily Schedule'!$A43&gt;=46,'Daily Schedule'!$A43&lt;=52),'Daily Workforce'!$M8="Y",IFERROR(1*'Daily Workforce'!$P8&gt;=2,FALSE()))))),1,0)</f>
        <v>0</v>
      </c>
      <c r="T39" s="1" t="n">
        <f aca="false">IF(AND('Daily Workforce'!$N9="Y",'Daily Workforce'!$B9&lt;&gt;"",COUNTIF('Daily Schedule'!$F$5:$F42,'Daily Workforce'!$B9)=0,IF('Daily Schedule'!$A43=45,'Daily Workforce'!$J9="Y",IF(OR('Daily Schedule'!$A43=4,'Daily Schedule'!$A43=8),IF(OR(WEEKDAY('Daily Schedule'!$B$2,2)=1,WEEKDAY('Daily Schedule'!$B$2,2)=4,WEEKDAY('Daily Schedule'!$B$2,2)=5,WEEKDAY('Daily Schedule'!$B$2,2)=7),IFERROR(1*'Daily Workforce'!$K9&gt;=3,FALSE()),IFERROR(1*'Daily Workforce'!$K9&gt;=2,FALSE())),IF(AND('Daily Schedule'!$A43&gt;=46,'Daily Schedule'!$A43&lt;=52),'Daily Workforce'!$M9="Y",IFERROR(1*'Daily Workforce'!$P9&gt;=2,FALSE()))))),1,0)</f>
        <v>0</v>
      </c>
      <c r="U39" s="1" t="n">
        <f aca="false">IF(AND('Daily Workforce'!$N10="Y",'Daily Workforce'!$B10&lt;&gt;"",COUNTIF('Daily Schedule'!$F$5:$F42,'Daily Workforce'!$B10)=0,IF('Daily Schedule'!$A43=45,'Daily Workforce'!$J10="Y",IF(OR('Daily Schedule'!$A43=4,'Daily Schedule'!$A43=8),IF(OR(WEEKDAY('Daily Schedule'!$B$2,2)=1,WEEKDAY('Daily Schedule'!$B$2,2)=4,WEEKDAY('Daily Schedule'!$B$2,2)=5,WEEKDAY('Daily Schedule'!$B$2,2)=7),IFERROR(1*'Daily Workforce'!$K10&gt;=3,FALSE()),IFERROR(1*'Daily Workforce'!$K10&gt;=2,FALSE())),IF(AND('Daily Schedule'!$A43&gt;=46,'Daily Schedule'!$A43&lt;=52),'Daily Workforce'!$M10="Y",IFERROR(1*'Daily Workforce'!$P10&gt;=2,FALSE()))))),1,0)</f>
        <v>0</v>
      </c>
      <c r="V39" s="1" t="n">
        <f aca="false">IF(AND('Daily Workforce'!$N11="Y",'Daily Workforce'!$B11&lt;&gt;"",COUNTIF('Daily Schedule'!$F$5:$F42,'Daily Workforce'!$B11)=0,IF('Daily Schedule'!$A43=45,'Daily Workforce'!$J11="Y",IF(OR('Daily Schedule'!$A43=4,'Daily Schedule'!$A43=8),IF(OR(WEEKDAY('Daily Schedule'!$B$2,2)=1,WEEKDAY('Daily Schedule'!$B$2,2)=4,WEEKDAY('Daily Schedule'!$B$2,2)=5,WEEKDAY('Daily Schedule'!$B$2,2)=7),IFERROR(1*'Daily Workforce'!$K11&gt;=3,FALSE()),IFERROR(1*'Daily Workforce'!$K11&gt;=2,FALSE())),IF(AND('Daily Schedule'!$A43&gt;=46,'Daily Schedule'!$A43&lt;=52),'Daily Workforce'!$M11="Y",IFERROR(1*'Daily Workforce'!$P11&gt;=2,FALSE()))))),1,0)</f>
        <v>0</v>
      </c>
      <c r="W39" s="1" t="n">
        <f aca="false">IF(AND('Daily Workforce'!$N12="Y",'Daily Workforce'!$B12&lt;&gt;"",COUNTIF('Daily Schedule'!$F$5:$F42,'Daily Workforce'!$B12)=0,IF('Daily Schedule'!$A43=45,'Daily Workforce'!$J12="Y",IF(OR('Daily Schedule'!$A43=4,'Daily Schedule'!$A43=8),IF(OR(WEEKDAY('Daily Schedule'!$B$2,2)=1,WEEKDAY('Daily Schedule'!$B$2,2)=4,WEEKDAY('Daily Schedule'!$B$2,2)=5,WEEKDAY('Daily Schedule'!$B$2,2)=7),IFERROR(1*'Daily Workforce'!$K12&gt;=3,FALSE()),IFERROR(1*'Daily Workforce'!$K12&gt;=2,FALSE())),IF(AND('Daily Schedule'!$A43&gt;=46,'Daily Schedule'!$A43&lt;=52),'Daily Workforce'!$M12="Y",IFERROR(1*'Daily Workforce'!$P12&gt;=2,FALSE()))))),1,0)</f>
        <v>0</v>
      </c>
      <c r="X39" s="1" t="n">
        <f aca="false">IF(AND('Daily Workforce'!$N13="Y",'Daily Workforce'!$B13&lt;&gt;"",COUNTIF('Daily Schedule'!$F$5:$F42,'Daily Workforce'!$B13)=0,IF('Daily Schedule'!$A43=45,'Daily Workforce'!$J13="Y",IF(OR('Daily Schedule'!$A43=4,'Daily Schedule'!$A43=8),IF(OR(WEEKDAY('Daily Schedule'!$B$2,2)=1,WEEKDAY('Daily Schedule'!$B$2,2)=4,WEEKDAY('Daily Schedule'!$B$2,2)=5,WEEKDAY('Daily Schedule'!$B$2,2)=7),IFERROR(1*'Daily Workforce'!$K13&gt;=3,FALSE()),IFERROR(1*'Daily Workforce'!$K13&gt;=2,FALSE())),IF(AND('Daily Schedule'!$A43&gt;=46,'Daily Schedule'!$A43&lt;=52),'Daily Workforce'!$M13="Y",IFERROR(1*'Daily Workforce'!$P13&gt;=2,FALSE()))))),1,0)</f>
        <v>0</v>
      </c>
      <c r="Y39" s="1" t="n">
        <f aca="false">IF(AND('Daily Workforce'!$N14="Y",'Daily Workforce'!$B14&lt;&gt;"",COUNTIF('Daily Schedule'!$F$5:$F42,'Daily Workforce'!$B14)=0,IF('Daily Schedule'!$A43=45,'Daily Workforce'!$J14="Y",IF(OR('Daily Schedule'!$A43=4,'Daily Schedule'!$A43=8),IF(OR(WEEKDAY('Daily Schedule'!$B$2,2)=1,WEEKDAY('Daily Schedule'!$B$2,2)=4,WEEKDAY('Daily Schedule'!$B$2,2)=5,WEEKDAY('Daily Schedule'!$B$2,2)=7),IFERROR(1*'Daily Workforce'!$K14&gt;=3,FALSE()),IFERROR(1*'Daily Workforce'!$K14&gt;=2,FALSE())),IF(AND('Daily Schedule'!$A43&gt;=46,'Daily Schedule'!$A43&lt;=52),'Daily Workforce'!$M14="Y",IFERROR(1*'Daily Workforce'!$P14&gt;=2,FALSE()))))),1,0)</f>
        <v>0</v>
      </c>
      <c r="Z39" s="1" t="n">
        <f aca="false">IF(AND('Daily Workforce'!$N15="Y",'Daily Workforce'!$B15&lt;&gt;"",COUNTIF('Daily Schedule'!$F$5:$F42,'Daily Workforce'!$B15)=0,IF('Daily Schedule'!$A43=45,'Daily Workforce'!$J15="Y",IF(OR('Daily Schedule'!$A43=4,'Daily Schedule'!$A43=8),IF(OR(WEEKDAY('Daily Schedule'!$B$2,2)=1,WEEKDAY('Daily Schedule'!$B$2,2)=4,WEEKDAY('Daily Schedule'!$B$2,2)=5,WEEKDAY('Daily Schedule'!$B$2,2)=7),IFERROR(1*'Daily Workforce'!$K15&gt;=3,FALSE()),IFERROR(1*'Daily Workforce'!$K15&gt;=2,FALSE())),IF(AND('Daily Schedule'!$A43&gt;=46,'Daily Schedule'!$A43&lt;=52),'Daily Workforce'!$M15="Y",IFERROR(1*'Daily Workforce'!$P15&gt;=2,FALSE()))))),1,0)</f>
        <v>0</v>
      </c>
      <c r="AA39" s="1" t="n">
        <f aca="false">IF(AND('Daily Workforce'!$N16="Y",'Daily Workforce'!$B16&lt;&gt;"",COUNTIF('Daily Schedule'!$F$5:$F42,'Daily Workforce'!$B16)=0,IF('Daily Schedule'!$A43=45,'Daily Workforce'!$J16="Y",IF(OR('Daily Schedule'!$A43=4,'Daily Schedule'!$A43=8),IF(OR(WEEKDAY('Daily Schedule'!$B$2,2)=1,WEEKDAY('Daily Schedule'!$B$2,2)=4,WEEKDAY('Daily Schedule'!$B$2,2)=5,WEEKDAY('Daily Schedule'!$B$2,2)=7),IFERROR(1*'Daily Workforce'!$K16&gt;=3,FALSE()),IFERROR(1*'Daily Workforce'!$K16&gt;=2,FALSE())),IF(AND('Daily Schedule'!$A43&gt;=46,'Daily Schedule'!$A43&lt;=52),'Daily Workforce'!$M16="Y",IFERROR(1*'Daily Workforce'!$P16&gt;=2,FALSE()))))),1,0)</f>
        <v>0</v>
      </c>
      <c r="AB39" s="1" t="n">
        <f aca="false">IF(AND('Daily Workforce'!$N17="Y",'Daily Workforce'!$B17&lt;&gt;"",COUNTIF('Daily Schedule'!$F$5:$F42,'Daily Workforce'!$B17)=0,IF('Daily Schedule'!$A43=45,'Daily Workforce'!$J17="Y",IF(OR('Daily Schedule'!$A43=4,'Daily Schedule'!$A43=8),IF(OR(WEEKDAY('Daily Schedule'!$B$2,2)=1,WEEKDAY('Daily Schedule'!$B$2,2)=4,WEEKDAY('Daily Schedule'!$B$2,2)=5,WEEKDAY('Daily Schedule'!$B$2,2)=7),IFERROR(1*'Daily Workforce'!$K17&gt;=3,FALSE()),IFERROR(1*'Daily Workforce'!$K17&gt;=2,FALSE())),IF(AND('Daily Schedule'!$A43&gt;=46,'Daily Schedule'!$A43&lt;=52),'Daily Workforce'!$M17="Y",IFERROR(1*'Daily Workforce'!$P17&gt;=2,FALSE()))))),1,0)</f>
        <v>0</v>
      </c>
      <c r="AC39" s="1" t="n">
        <f aca="false">IF(AND('Daily Workforce'!$N18="Y",'Daily Workforce'!$B18&lt;&gt;"",COUNTIF('Daily Schedule'!$F$5:$F42,'Daily Workforce'!$B18)=0,IF('Daily Schedule'!$A43=45,'Daily Workforce'!$J18="Y",IF(OR('Daily Schedule'!$A43=4,'Daily Schedule'!$A43=8),IF(OR(WEEKDAY('Daily Schedule'!$B$2,2)=1,WEEKDAY('Daily Schedule'!$B$2,2)=4,WEEKDAY('Daily Schedule'!$B$2,2)=5,WEEKDAY('Daily Schedule'!$B$2,2)=7),IFERROR(1*'Daily Workforce'!$K18&gt;=3,FALSE()),IFERROR(1*'Daily Workforce'!$K18&gt;=2,FALSE())),IF(AND('Daily Schedule'!$A43&gt;=46,'Daily Schedule'!$A43&lt;=52),'Daily Workforce'!$M18="Y",IFERROR(1*'Daily Workforce'!$P18&gt;=2,FALSE()))))),1,0)</f>
        <v>0</v>
      </c>
      <c r="AD39" s="1" t="n">
        <f aca="false">IF(AND('Daily Workforce'!$N19="Y",'Daily Workforce'!$B19&lt;&gt;"",COUNTIF('Daily Schedule'!$F$5:$F42,'Daily Workforce'!$B19)=0,IF('Daily Schedule'!$A43=45,'Daily Workforce'!$J19="Y",IF(OR('Daily Schedule'!$A43=4,'Daily Schedule'!$A43=8),IF(OR(WEEKDAY('Daily Schedule'!$B$2,2)=1,WEEKDAY('Daily Schedule'!$B$2,2)=4,WEEKDAY('Daily Schedule'!$B$2,2)=5,WEEKDAY('Daily Schedule'!$B$2,2)=7),IFERROR(1*'Daily Workforce'!$K19&gt;=3,FALSE()),IFERROR(1*'Daily Workforce'!$K19&gt;=2,FALSE())),IF(AND('Daily Schedule'!$A43&gt;=46,'Daily Schedule'!$A43&lt;=52),'Daily Workforce'!$M19="Y",IFERROR(1*'Daily Workforce'!$P19&gt;=2,FALSE()))))),1,0)</f>
        <v>0</v>
      </c>
      <c r="AE39" s="1" t="n">
        <f aca="false">IF(AND('Daily Workforce'!$N20="Y",'Daily Workforce'!$B20&lt;&gt;"",COUNTIF('Daily Schedule'!$F$5:$F42,'Daily Workforce'!$B20)=0,IF('Daily Schedule'!$A43=45,'Daily Workforce'!$J20="Y",IF(OR('Daily Schedule'!$A43=4,'Daily Schedule'!$A43=8),IF(OR(WEEKDAY('Daily Schedule'!$B$2,2)=1,WEEKDAY('Daily Schedule'!$B$2,2)=4,WEEKDAY('Daily Schedule'!$B$2,2)=5,WEEKDAY('Daily Schedule'!$B$2,2)=7),IFERROR(1*'Daily Workforce'!$K20&gt;=3,FALSE()),IFERROR(1*'Daily Workforce'!$K20&gt;=2,FALSE())),IF(AND('Daily Schedule'!$A43&gt;=46,'Daily Schedule'!$A43&lt;=52),'Daily Workforce'!$M20="Y",IFERROR(1*'Daily Workforce'!$P20&gt;=2,FALSE()))))),1,0)</f>
        <v>0</v>
      </c>
      <c r="AF39" s="1" t="n">
        <f aca="false">IF(AND('Daily Workforce'!$N21="Y",'Daily Workforce'!$B21&lt;&gt;"",COUNTIF('Daily Schedule'!$F$5:$F42,'Daily Workforce'!$B21)=0,IF('Daily Schedule'!$A43=45,'Daily Workforce'!$J21="Y",IF(OR('Daily Schedule'!$A43=4,'Daily Schedule'!$A43=8),IF(OR(WEEKDAY('Daily Schedule'!$B$2,2)=1,WEEKDAY('Daily Schedule'!$B$2,2)=4,WEEKDAY('Daily Schedule'!$B$2,2)=5,WEEKDAY('Daily Schedule'!$B$2,2)=7),IFERROR(1*'Daily Workforce'!$K21&gt;=3,FALSE()),IFERROR(1*'Daily Workforce'!$K21&gt;=2,FALSE())),IF(AND('Daily Schedule'!$A43&gt;=46,'Daily Schedule'!$A43&lt;=52),'Daily Workforce'!$M21="Y",IFERROR(1*'Daily Workforce'!$P21&gt;=2,FALSE()))))),1,0)</f>
        <v>0</v>
      </c>
      <c r="AG39" s="1" t="n">
        <f aca="false">IF(AND('Daily Workforce'!$N22="Y",'Daily Workforce'!$B22&lt;&gt;"",COUNTIF('Daily Schedule'!$F$5:$F42,'Daily Workforce'!$B22)=0,IF('Daily Schedule'!$A43=45,'Daily Workforce'!$J22="Y",IF(OR('Daily Schedule'!$A43=4,'Daily Schedule'!$A43=8),IF(OR(WEEKDAY('Daily Schedule'!$B$2,2)=1,WEEKDAY('Daily Schedule'!$B$2,2)=4,WEEKDAY('Daily Schedule'!$B$2,2)=5,WEEKDAY('Daily Schedule'!$B$2,2)=7),IFERROR(1*'Daily Workforce'!$K22&gt;=3,FALSE()),IFERROR(1*'Daily Workforce'!$K22&gt;=2,FALSE())),IF(AND('Daily Schedule'!$A43&gt;=46,'Daily Schedule'!$A43&lt;=52),'Daily Workforce'!$M22="Y",IFERROR(1*'Daily Workforce'!$P22&gt;=2,FALSE()))))),1,0)</f>
        <v>0</v>
      </c>
      <c r="AH39" s="1" t="n">
        <f aca="false">IF(AND('Daily Workforce'!$N23="Y",'Daily Workforce'!$B23&lt;&gt;"",COUNTIF('Daily Schedule'!$F$5:$F42,'Daily Workforce'!$B23)=0,IF('Daily Schedule'!$A43=45,'Daily Workforce'!$J23="Y",IF(OR('Daily Schedule'!$A43=4,'Daily Schedule'!$A43=8),IF(OR(WEEKDAY('Daily Schedule'!$B$2,2)=1,WEEKDAY('Daily Schedule'!$B$2,2)=4,WEEKDAY('Daily Schedule'!$B$2,2)=5,WEEKDAY('Daily Schedule'!$B$2,2)=7),IFERROR(1*'Daily Workforce'!$K23&gt;=3,FALSE()),IFERROR(1*'Daily Workforce'!$K23&gt;=2,FALSE())),IF(AND('Daily Schedule'!$A43&gt;=46,'Daily Schedule'!$A43&lt;=52),'Daily Workforce'!$M23="Y",IFERROR(1*'Daily Workforce'!$P23&gt;=2,FALSE()))))),1,0)</f>
        <v>0</v>
      </c>
      <c r="AI39" s="1" t="n">
        <f aca="false">IF(AND('Daily Workforce'!$N24="Y",'Daily Workforce'!$B24&lt;&gt;"",COUNTIF('Daily Schedule'!$F$5:$F42,'Daily Workforce'!$B24)=0,IF('Daily Schedule'!$A43=45,'Daily Workforce'!$J24="Y",IF(OR('Daily Schedule'!$A43=4,'Daily Schedule'!$A43=8),IF(OR(WEEKDAY('Daily Schedule'!$B$2,2)=1,WEEKDAY('Daily Schedule'!$B$2,2)=4,WEEKDAY('Daily Schedule'!$B$2,2)=5,WEEKDAY('Daily Schedule'!$B$2,2)=7),IFERROR(1*'Daily Workforce'!$K24&gt;=3,FALSE()),IFERROR(1*'Daily Workforce'!$K24&gt;=2,FALSE())),IF(AND('Daily Schedule'!$A43&gt;=46,'Daily Schedule'!$A43&lt;=52),'Daily Workforce'!$M24="Y",IFERROR(1*'Daily Workforce'!$P24&gt;=2,FALSE()))))),1,0)</f>
        <v>0</v>
      </c>
      <c r="AJ39" s="1" t="n">
        <f aca="false">IF(AND('Daily Workforce'!$N25="Y",'Daily Workforce'!$B25&lt;&gt;"",COUNTIF('Daily Schedule'!$F$5:$F42,'Daily Workforce'!$B25)=0,IF('Daily Schedule'!$A43=45,'Daily Workforce'!$J25="Y",IF(OR('Daily Schedule'!$A43=4,'Daily Schedule'!$A43=8),IF(OR(WEEKDAY('Daily Schedule'!$B$2,2)=1,WEEKDAY('Daily Schedule'!$B$2,2)=4,WEEKDAY('Daily Schedule'!$B$2,2)=5,WEEKDAY('Daily Schedule'!$B$2,2)=7),IFERROR(1*'Daily Workforce'!$K25&gt;=3,FALSE()),IFERROR(1*'Daily Workforce'!$K25&gt;=2,FALSE())),IF(AND('Daily Schedule'!$A43&gt;=46,'Daily Schedule'!$A43&lt;=52),'Daily Workforce'!$M25="Y",IFERROR(1*'Daily Workforce'!$P25&gt;=2,FALSE()))))),1,0)</f>
        <v>0</v>
      </c>
      <c r="AK39" s="1" t="n">
        <f aca="false">IF(AND('Daily Workforce'!$N26="Y",'Daily Workforce'!$B26&lt;&gt;"",COUNTIF('Daily Schedule'!$F$5:$F42,'Daily Workforce'!$B26)=0,IF('Daily Schedule'!$A43=45,'Daily Workforce'!$J26="Y",IF(OR('Daily Schedule'!$A43=4,'Daily Schedule'!$A43=8),IF(OR(WEEKDAY('Daily Schedule'!$B$2,2)=1,WEEKDAY('Daily Schedule'!$B$2,2)=4,WEEKDAY('Daily Schedule'!$B$2,2)=5,WEEKDAY('Daily Schedule'!$B$2,2)=7),IFERROR(1*'Daily Workforce'!$K26&gt;=3,FALSE()),IFERROR(1*'Daily Workforce'!$K26&gt;=2,FALSE())),IF(AND('Daily Schedule'!$A43&gt;=46,'Daily Schedule'!$A43&lt;=52),'Daily Workforce'!$M26="Y",IFERROR(1*'Daily Workforce'!$P26&gt;=2,FALSE()))))),1,0)</f>
        <v>0</v>
      </c>
      <c r="AL39" s="1" t="n">
        <f aca="false">IF(AND('Daily Workforce'!$N27="Y",'Daily Workforce'!$B27&lt;&gt;"",COUNTIF('Daily Schedule'!$F$5:$F42,'Daily Workforce'!$B27)=0,IF('Daily Schedule'!$A43=45,'Daily Workforce'!$J27="Y",IF(OR('Daily Schedule'!$A43=4,'Daily Schedule'!$A43=8),IF(OR(WEEKDAY('Daily Schedule'!$B$2,2)=1,WEEKDAY('Daily Schedule'!$B$2,2)=4,WEEKDAY('Daily Schedule'!$B$2,2)=5,WEEKDAY('Daily Schedule'!$B$2,2)=7),IFERROR(1*'Daily Workforce'!$K27&gt;=3,FALSE()),IFERROR(1*'Daily Workforce'!$K27&gt;=2,FALSE())),IF(AND('Daily Schedule'!$A43&gt;=46,'Daily Schedule'!$A43&lt;=52),'Daily Workforce'!$M27="Y",IFERROR(1*'Daily Workforce'!$P27&gt;=2,FALSE()))))),1,0)</f>
        <v>0</v>
      </c>
      <c r="AM39" s="1" t="n">
        <f aca="false">IF(AND('Daily Workforce'!$N28="Y",'Daily Workforce'!$B28&lt;&gt;"",COUNTIF('Daily Schedule'!$F$5:$F42,'Daily Workforce'!$B28)=0,IF('Daily Schedule'!$A43=45,'Daily Workforce'!$J28="Y",IF(OR('Daily Schedule'!$A43=4,'Daily Schedule'!$A43=8),IF(OR(WEEKDAY('Daily Schedule'!$B$2,2)=1,WEEKDAY('Daily Schedule'!$B$2,2)=4,WEEKDAY('Daily Schedule'!$B$2,2)=5,WEEKDAY('Daily Schedule'!$B$2,2)=7),IFERROR(1*'Daily Workforce'!$K28&gt;=3,FALSE()),IFERROR(1*'Daily Workforce'!$K28&gt;=2,FALSE())),IF(AND('Daily Schedule'!$A43&gt;=46,'Daily Schedule'!$A43&lt;=52),'Daily Workforce'!$M28="Y",IFERROR(1*'Daily Workforce'!$P28&gt;=2,FALSE()))))),1,0)</f>
        <v>0</v>
      </c>
      <c r="AN39" s="1" t="n">
        <f aca="false">IF(AND('Daily Workforce'!$N29="Y",'Daily Workforce'!$B29&lt;&gt;"",COUNTIF('Daily Schedule'!$F$5:$F42,'Daily Workforce'!$B29)=0,IF('Daily Schedule'!$A43=45,'Daily Workforce'!$J29="Y",IF(OR('Daily Schedule'!$A43=4,'Daily Schedule'!$A43=8),IF(OR(WEEKDAY('Daily Schedule'!$B$2,2)=1,WEEKDAY('Daily Schedule'!$B$2,2)=4,WEEKDAY('Daily Schedule'!$B$2,2)=5,WEEKDAY('Daily Schedule'!$B$2,2)=7),IFERROR(1*'Daily Workforce'!$K29&gt;=3,FALSE()),IFERROR(1*'Daily Workforce'!$K29&gt;=2,FALSE())),IF(AND('Daily Schedule'!$A43&gt;=46,'Daily Schedule'!$A43&lt;=52),'Daily Workforce'!$M29="Y",IFERROR(1*'Daily Workforce'!$P29&gt;=2,FALSE()))))),1,0)</f>
        <v>0</v>
      </c>
      <c r="AO39" s="1" t="n">
        <f aca="false">IF(AND('Daily Workforce'!$N30="Y",'Daily Workforce'!$B30&lt;&gt;"",COUNTIF('Daily Schedule'!$F$5:$F42,'Daily Workforce'!$B30)=0,IF('Daily Schedule'!$A43=45,'Daily Workforce'!$J30="Y",IF(OR('Daily Schedule'!$A43=4,'Daily Schedule'!$A43=8),IF(OR(WEEKDAY('Daily Schedule'!$B$2,2)=1,WEEKDAY('Daily Schedule'!$B$2,2)=4,WEEKDAY('Daily Schedule'!$B$2,2)=5,WEEKDAY('Daily Schedule'!$B$2,2)=7),IFERROR(1*'Daily Workforce'!$K30&gt;=3,FALSE()),IFERROR(1*'Daily Workforce'!$K30&gt;=2,FALSE())),IF(AND('Daily Schedule'!$A43&gt;=46,'Daily Schedule'!$A43&lt;=52),'Daily Workforce'!$M30="Y",IFERROR(1*'Daily Workforce'!$P30&gt;=2,FALSE()))))),1,0)</f>
        <v>0</v>
      </c>
      <c r="AP39" s="1" t="n">
        <f aca="false">IF(AND('Daily Workforce'!$N31="Y",'Daily Workforce'!$B31&lt;&gt;"",COUNTIF('Daily Schedule'!$F$5:$F42,'Daily Workforce'!$B31)=0,IF('Daily Schedule'!$A43=45,'Daily Workforce'!$J31="Y",IF(OR('Daily Schedule'!$A43=4,'Daily Schedule'!$A43=8),IF(OR(WEEKDAY('Daily Schedule'!$B$2,2)=1,WEEKDAY('Daily Schedule'!$B$2,2)=4,WEEKDAY('Daily Schedule'!$B$2,2)=5,WEEKDAY('Daily Schedule'!$B$2,2)=7),IFERROR(1*'Daily Workforce'!$K31&gt;=3,FALSE()),IFERROR(1*'Daily Workforce'!$K31&gt;=2,FALSE())),IF(AND('Daily Schedule'!$A43&gt;=46,'Daily Schedule'!$A43&lt;=52),'Daily Workforce'!$M31="Y",IFERROR(1*'Daily Workforce'!$P31&gt;=2,FALSE()))))),1,0)</f>
        <v>0</v>
      </c>
      <c r="AQ39" s="1" t="n">
        <f aca="false">IF(AND('Daily Workforce'!$N32="Y",'Daily Workforce'!$B32&lt;&gt;"",COUNTIF('Daily Schedule'!$F$5:$F42,'Daily Workforce'!$B32)=0,IF('Daily Schedule'!$A43=45,'Daily Workforce'!$J32="Y",IF(OR('Daily Schedule'!$A43=4,'Daily Schedule'!$A43=8),IF(OR(WEEKDAY('Daily Schedule'!$B$2,2)=1,WEEKDAY('Daily Schedule'!$B$2,2)=4,WEEKDAY('Daily Schedule'!$B$2,2)=5,WEEKDAY('Daily Schedule'!$B$2,2)=7),IFERROR(1*'Daily Workforce'!$K32&gt;=3,FALSE()),IFERROR(1*'Daily Workforce'!$K32&gt;=2,FALSE())),IF(AND('Daily Schedule'!$A43&gt;=46,'Daily Schedule'!$A43&lt;=52),'Daily Workforce'!$M32="Y",IFERROR(1*'Daily Workforce'!$P32&gt;=2,FALSE()))))),1,0)</f>
        <v>0</v>
      </c>
      <c r="AR39" s="1" t="n">
        <f aca="false">IF(AND('Daily Workforce'!$N33="Y",'Daily Workforce'!$B33&lt;&gt;"",COUNTIF('Daily Schedule'!$F$5:$F42,'Daily Workforce'!$B33)=0,IF('Daily Schedule'!$A43=45,'Daily Workforce'!$J33="Y",IF(OR('Daily Schedule'!$A43=4,'Daily Schedule'!$A43=8),IF(OR(WEEKDAY('Daily Schedule'!$B$2,2)=1,WEEKDAY('Daily Schedule'!$B$2,2)=4,WEEKDAY('Daily Schedule'!$B$2,2)=5,WEEKDAY('Daily Schedule'!$B$2,2)=7),IFERROR(1*'Daily Workforce'!$K33&gt;=3,FALSE()),IFERROR(1*'Daily Workforce'!$K33&gt;=2,FALSE())),IF(AND('Daily Schedule'!$A43&gt;=46,'Daily Schedule'!$A43&lt;=52),'Daily Workforce'!$M33="Y",IFERROR(1*'Daily Workforce'!$P33&gt;=2,FALSE()))))),1,0)</f>
        <v>0</v>
      </c>
      <c r="AS39" s="1" t="n">
        <f aca="false">IF(AND('Daily Workforce'!$N34="Y",'Daily Workforce'!$B34&lt;&gt;"",COUNTIF('Daily Schedule'!$F$5:$F42,'Daily Workforce'!$B34)=0,IF('Daily Schedule'!$A43=45,'Daily Workforce'!$J34="Y",IF(OR('Daily Schedule'!$A43=4,'Daily Schedule'!$A43=8),IF(OR(WEEKDAY('Daily Schedule'!$B$2,2)=1,WEEKDAY('Daily Schedule'!$B$2,2)=4,WEEKDAY('Daily Schedule'!$B$2,2)=5,WEEKDAY('Daily Schedule'!$B$2,2)=7),IFERROR(1*'Daily Workforce'!$K34&gt;=3,FALSE()),IFERROR(1*'Daily Workforce'!$K34&gt;=2,FALSE())),IF(AND('Daily Schedule'!$A43&gt;=46,'Daily Schedule'!$A43&lt;=52),'Daily Workforce'!$M34="Y",IFERROR(1*'Daily Workforce'!$P34&gt;=2,FALSE()))))),1,0)</f>
        <v>0</v>
      </c>
      <c r="AT39" s="1" t="n">
        <f aca="false">IF(AND('Daily Workforce'!$N35="Y",'Daily Workforce'!$B35&lt;&gt;"",COUNTIF('Daily Schedule'!$F$5:$F42,'Daily Workforce'!$B35)=0,IF('Daily Schedule'!$A43=45,'Daily Workforce'!$J35="Y",IF(OR('Daily Schedule'!$A43=4,'Daily Schedule'!$A43=8),IF(OR(WEEKDAY('Daily Schedule'!$B$2,2)=1,WEEKDAY('Daily Schedule'!$B$2,2)=4,WEEKDAY('Daily Schedule'!$B$2,2)=5,WEEKDAY('Daily Schedule'!$B$2,2)=7),IFERROR(1*'Daily Workforce'!$K35&gt;=3,FALSE()),IFERROR(1*'Daily Workforce'!$K35&gt;=2,FALSE())),IF(AND('Daily Schedule'!$A43&gt;=46,'Daily Schedule'!$A43&lt;=52),'Daily Workforce'!$M35="Y",IFERROR(1*'Daily Workforce'!$P35&gt;=2,FALSE()))))),1,0)</f>
        <v>0</v>
      </c>
      <c r="AU39" s="1" t="n">
        <f aca="false">IF(AND('Daily Workforce'!$N36="Y",'Daily Workforce'!$B36&lt;&gt;"",COUNTIF('Daily Schedule'!$F$5:$F42,'Daily Workforce'!$B36)=0,IF('Daily Schedule'!$A43=45,'Daily Workforce'!$J36="Y",IF(OR('Daily Schedule'!$A43=4,'Daily Schedule'!$A43=8),IF(OR(WEEKDAY('Daily Schedule'!$B$2,2)=1,WEEKDAY('Daily Schedule'!$B$2,2)=4,WEEKDAY('Daily Schedule'!$B$2,2)=5,WEEKDAY('Daily Schedule'!$B$2,2)=7),IFERROR(1*'Daily Workforce'!$K36&gt;=3,FALSE()),IFERROR(1*'Daily Workforce'!$K36&gt;=2,FALSE())),IF(AND('Daily Schedule'!$A43&gt;=46,'Daily Schedule'!$A43&lt;=52),'Daily Workforce'!$M36="Y",IFERROR(1*'Daily Workforce'!$P36&gt;=2,FALSE()))))),1,0)</f>
        <v>0</v>
      </c>
      <c r="AV39" s="1" t="n">
        <f aca="false">IF(AND('Daily Workforce'!$N37="Y",'Daily Workforce'!$B37&lt;&gt;"",COUNTIF('Daily Schedule'!$F$5:$F42,'Daily Workforce'!$B37)=0,IF('Daily Schedule'!$A43=45,'Daily Workforce'!$J37="Y",IF(OR('Daily Schedule'!$A43=4,'Daily Schedule'!$A43=8),IF(OR(WEEKDAY('Daily Schedule'!$B$2,2)=1,WEEKDAY('Daily Schedule'!$B$2,2)=4,WEEKDAY('Daily Schedule'!$B$2,2)=5,WEEKDAY('Daily Schedule'!$B$2,2)=7),IFERROR(1*'Daily Workforce'!$K37&gt;=3,FALSE()),IFERROR(1*'Daily Workforce'!$K37&gt;=2,FALSE())),IF(AND('Daily Schedule'!$A43&gt;=46,'Daily Schedule'!$A43&lt;=52),'Daily Workforce'!$M37="Y",IFERROR(1*'Daily Workforce'!$P37&gt;=2,FALSE()))))),1,0)</f>
        <v>0</v>
      </c>
      <c r="AW39" s="1" t="n">
        <f aca="false">IF(AND('Daily Workforce'!$N38="Y",'Daily Workforce'!$B38&lt;&gt;"",COUNTIF('Daily Schedule'!$F$5:$F42,'Daily Workforce'!$B38)=0,IF('Daily Schedule'!$A43=45,'Daily Workforce'!$J38="Y",IF(OR('Daily Schedule'!$A43=4,'Daily Schedule'!$A43=8),IF(OR(WEEKDAY('Daily Schedule'!$B$2,2)=1,WEEKDAY('Daily Schedule'!$B$2,2)=4,WEEKDAY('Daily Schedule'!$B$2,2)=5,WEEKDAY('Daily Schedule'!$B$2,2)=7),IFERROR(1*'Daily Workforce'!$K38&gt;=3,FALSE()),IFERROR(1*'Daily Workforce'!$K38&gt;=2,FALSE())),IF(AND('Daily Schedule'!$A43&gt;=46,'Daily Schedule'!$A43&lt;=52),'Daily Workforce'!$M38="Y",IFERROR(1*'Daily Workforce'!$P38&gt;=2,FALSE()))))),1,0)</f>
        <v>0</v>
      </c>
      <c r="AX39" s="1" t="n">
        <f aca="false">IF(AND('Daily Workforce'!$N39="Y",'Daily Workforce'!$B39&lt;&gt;"",COUNTIF('Daily Schedule'!$F$5:$F42,'Daily Workforce'!$B39)=0,IF('Daily Schedule'!$A43=45,'Daily Workforce'!$J39="Y",IF(OR('Daily Schedule'!$A43=4,'Daily Schedule'!$A43=8),IF(OR(WEEKDAY('Daily Schedule'!$B$2,2)=1,WEEKDAY('Daily Schedule'!$B$2,2)=4,WEEKDAY('Daily Schedule'!$B$2,2)=5,WEEKDAY('Daily Schedule'!$B$2,2)=7),IFERROR(1*'Daily Workforce'!$K39&gt;=3,FALSE()),IFERROR(1*'Daily Workforce'!$K39&gt;=2,FALSE())),IF(AND('Daily Schedule'!$A43&gt;=46,'Daily Schedule'!$A43&lt;=52),'Daily Workforce'!$M39="Y",IFERROR(1*'Daily Workforce'!$P39&gt;=2,FALSE()))))),1,0)</f>
        <v>0</v>
      </c>
      <c r="AY39" s="1" t="n">
        <f aca="false">IF(AND('Daily Workforce'!$N40="Y",'Daily Workforce'!$B40&lt;&gt;"",COUNTIF('Daily Schedule'!$F$5:$F42,'Daily Workforce'!$B40)=0,IF('Daily Schedule'!$A43=45,'Daily Workforce'!$J40="Y",IF(OR('Daily Schedule'!$A43=4,'Daily Schedule'!$A43=8),IF(OR(WEEKDAY('Daily Schedule'!$B$2,2)=1,WEEKDAY('Daily Schedule'!$B$2,2)=4,WEEKDAY('Daily Schedule'!$B$2,2)=5,WEEKDAY('Daily Schedule'!$B$2,2)=7),IFERROR(1*'Daily Workforce'!$K40&gt;=3,FALSE()),IFERROR(1*'Daily Workforce'!$K40&gt;=2,FALSE())),IF(AND('Daily Schedule'!$A43&gt;=46,'Daily Schedule'!$A43&lt;=52),'Daily Workforce'!$M40="Y",IFERROR(1*'Daily Workforce'!$P40&gt;=2,FALSE()))))),1,0)</f>
        <v>0</v>
      </c>
      <c r="AZ39" s="1" t="n">
        <f aca="false">IF(AND('Daily Workforce'!$N41="Y",'Daily Workforce'!$B41&lt;&gt;"",COUNTIF('Daily Schedule'!$F$5:$F42,'Daily Workforce'!$B41)=0,IF('Daily Schedule'!$A43=45,'Daily Workforce'!$J41="Y",IF(OR('Daily Schedule'!$A43=4,'Daily Schedule'!$A43=8),IF(OR(WEEKDAY('Daily Schedule'!$B$2,2)=1,WEEKDAY('Daily Schedule'!$B$2,2)=4,WEEKDAY('Daily Schedule'!$B$2,2)=5,WEEKDAY('Daily Schedule'!$B$2,2)=7),IFERROR(1*'Daily Workforce'!$K41&gt;=3,FALSE()),IFERROR(1*'Daily Workforce'!$K41&gt;=2,FALSE())),IF(AND('Daily Schedule'!$A43&gt;=46,'Daily Schedule'!$A43&lt;=52),'Daily Workforce'!$M41="Y",IFERROR(1*'Daily Workforce'!$P41&gt;=2,FALSE()))))),1,0)</f>
        <v>0</v>
      </c>
      <c r="BA39" s="1" t="n">
        <f aca="false">IF(AND('Daily Workforce'!$N42="Y",'Daily Workforce'!$B42&lt;&gt;"",COUNTIF('Daily Schedule'!$F$5:$F42,'Daily Workforce'!$B42)=0,IF('Daily Schedule'!$A43=45,'Daily Workforce'!$J42="Y",IF(OR('Daily Schedule'!$A43=4,'Daily Schedule'!$A43=8),IF(OR(WEEKDAY('Daily Schedule'!$B$2,2)=1,WEEKDAY('Daily Schedule'!$B$2,2)=4,WEEKDAY('Daily Schedule'!$B$2,2)=5,WEEKDAY('Daily Schedule'!$B$2,2)=7),IFERROR(1*'Daily Workforce'!$K42&gt;=3,FALSE()),IFERROR(1*'Daily Workforce'!$K42&gt;=2,FALSE())),IF(AND('Daily Schedule'!$A43&gt;=46,'Daily Schedule'!$A43&lt;=52),'Daily Workforce'!$M42="Y",IFERROR(1*'Daily Workforce'!$P42&gt;=2,FALSE()))))),1,0)</f>
        <v>1</v>
      </c>
      <c r="BB39" s="1" t="n">
        <f aca="false">IF(AND('Daily Workforce'!$N43="Y",'Daily Workforce'!$B43&lt;&gt;"",COUNTIF('Daily Schedule'!$F$5:$F42,'Daily Workforce'!$B43)=0,IF('Daily Schedule'!$A43=45,'Daily Workforce'!$J43="Y",IF(OR('Daily Schedule'!$A43=4,'Daily Schedule'!$A43=8),IF(OR(WEEKDAY('Daily Schedule'!$B$2,2)=1,WEEKDAY('Daily Schedule'!$B$2,2)=4,WEEKDAY('Daily Schedule'!$B$2,2)=5,WEEKDAY('Daily Schedule'!$B$2,2)=7),IFERROR(1*'Daily Workforce'!$K43&gt;=3,FALSE()),IFERROR(1*'Daily Workforce'!$K43&gt;=2,FALSE())),IF(AND('Daily Schedule'!$A43&gt;=46,'Daily Schedule'!$A43&lt;=52),'Daily Workforce'!$M43="Y",IFERROR(1*'Daily Workforce'!$P43&gt;=2,FALSE()))))),1,0)</f>
        <v>1</v>
      </c>
      <c r="BC39" s="1" t="n">
        <f aca="false">IF(AND('Daily Workforce'!$N44="Y",'Daily Workforce'!$B44&lt;&gt;"",COUNTIF('Daily Schedule'!$F$5:$F42,'Daily Workforce'!$B44)=0,IF('Daily Schedule'!$A43=45,'Daily Workforce'!$J44="Y",IF(OR('Daily Schedule'!$A43=4,'Daily Schedule'!$A43=8),IF(OR(WEEKDAY('Daily Schedule'!$B$2,2)=1,WEEKDAY('Daily Schedule'!$B$2,2)=4,WEEKDAY('Daily Schedule'!$B$2,2)=5,WEEKDAY('Daily Schedule'!$B$2,2)=7),IFERROR(1*'Daily Workforce'!$K44&gt;=3,FALSE()),IFERROR(1*'Daily Workforce'!$K44&gt;=2,FALSE())),IF(AND('Daily Schedule'!$A43&gt;=46,'Daily Schedule'!$A43&lt;=52),'Daily Workforce'!$M44="Y",IFERROR(1*'Daily Workforce'!$P44&gt;=2,FALSE()))))),1,0)</f>
        <v>1</v>
      </c>
      <c r="BD39" s="1" t="n">
        <f aca="false">IF(AND('Daily Workforce'!$N45="Y",'Daily Workforce'!$B45&lt;&gt;"",COUNTIF('Daily Schedule'!$F$5:$F42,'Daily Workforce'!$B45)=0,IF('Daily Schedule'!$A43=45,'Daily Workforce'!$J45="Y",IF(OR('Daily Schedule'!$A43=4,'Daily Schedule'!$A43=8),IF(OR(WEEKDAY('Daily Schedule'!$B$2,2)=1,WEEKDAY('Daily Schedule'!$B$2,2)=4,WEEKDAY('Daily Schedule'!$B$2,2)=5,WEEKDAY('Daily Schedule'!$B$2,2)=7),IFERROR(1*'Daily Workforce'!$K45&gt;=3,FALSE()),IFERROR(1*'Daily Workforce'!$K45&gt;=2,FALSE())),IF(AND('Daily Schedule'!$A43&gt;=46,'Daily Schedule'!$A43&lt;=52),'Daily Workforce'!$M45="Y",IFERROR(1*'Daily Workforce'!$P45&gt;=2,FALSE()))))),1,0)</f>
        <v>1</v>
      </c>
      <c r="BE39" s="1" t="n">
        <f aca="false">IF(AND('Daily Workforce'!$N46="Y",'Daily Workforce'!$B46&lt;&gt;"",COUNTIF('Daily Schedule'!$F$5:$F42,'Daily Workforce'!$B46)=0,IF('Daily Schedule'!$A43=45,'Daily Workforce'!$J46="Y",IF(OR('Daily Schedule'!$A43=4,'Daily Schedule'!$A43=8),IF(OR(WEEKDAY('Daily Schedule'!$B$2,2)=1,WEEKDAY('Daily Schedule'!$B$2,2)=4,WEEKDAY('Daily Schedule'!$B$2,2)=5,WEEKDAY('Daily Schedule'!$B$2,2)=7),IFERROR(1*'Daily Workforce'!$K46&gt;=3,FALSE()),IFERROR(1*'Daily Workforce'!$K46&gt;=2,FALSE())),IF(AND('Daily Schedule'!$A43&gt;=46,'Daily Schedule'!$A43&lt;=52),'Daily Workforce'!$M46="Y",IFERROR(1*'Daily Workforce'!$P46&gt;=2,FALSE()))))),1,0)</f>
        <v>1</v>
      </c>
      <c r="BF39" s="1" t="n">
        <f aca="false">IF(AND('Daily Workforce'!$N47="Y",'Daily Workforce'!$B47&lt;&gt;"",COUNTIF('Daily Schedule'!$F$5:$F42,'Daily Workforce'!$B47)=0,IF('Daily Schedule'!$A43=45,'Daily Workforce'!$J47="Y",IF(OR('Daily Schedule'!$A43=4,'Daily Schedule'!$A43=8),IF(OR(WEEKDAY('Daily Schedule'!$B$2,2)=1,WEEKDAY('Daily Schedule'!$B$2,2)=4,WEEKDAY('Daily Schedule'!$B$2,2)=5,WEEKDAY('Daily Schedule'!$B$2,2)=7),IFERROR(1*'Daily Workforce'!$K47&gt;=3,FALSE()),IFERROR(1*'Daily Workforce'!$K47&gt;=2,FALSE())),IF(AND('Daily Schedule'!$A43&gt;=46,'Daily Schedule'!$A43&lt;=52),'Daily Workforce'!$M47="Y",IFERROR(1*'Daily Workforce'!$P47&gt;=2,FALSE()))))),1,0)</f>
        <v>0</v>
      </c>
      <c r="BG39" s="1" t="n">
        <f aca="false">IF(AND('Daily Workforce'!$N48="Y",'Daily Workforce'!$B48&lt;&gt;"",COUNTIF('Daily Schedule'!$F$5:$F42,'Daily Workforce'!$B48)=0,IF('Daily Schedule'!$A43=45,'Daily Workforce'!$J48="Y",IF(OR('Daily Schedule'!$A43=4,'Daily Schedule'!$A43=8),IF(OR(WEEKDAY('Daily Schedule'!$B$2,2)=1,WEEKDAY('Daily Schedule'!$B$2,2)=4,WEEKDAY('Daily Schedule'!$B$2,2)=5,WEEKDAY('Daily Schedule'!$B$2,2)=7),IFERROR(1*'Daily Workforce'!$K48&gt;=3,FALSE()),IFERROR(1*'Daily Workforce'!$K48&gt;=2,FALSE())),IF(AND('Daily Schedule'!$A43&gt;=46,'Daily Schedule'!$A43&lt;=52),'Daily Workforce'!$M48="Y",IFERROR(1*'Daily Workforce'!$P48&gt;=2,FALSE()))))),1,0)</f>
        <v>1</v>
      </c>
      <c r="BH39" s="1" t="n">
        <f aca="false">IF(AND('Daily Workforce'!$N49="Y",'Daily Workforce'!$B49&lt;&gt;"",COUNTIF('Daily Schedule'!$F$5:$F42,'Daily Workforce'!$B49)=0,IF('Daily Schedule'!$A43=45,'Daily Workforce'!$J49="Y",IF(OR('Daily Schedule'!$A43=4,'Daily Schedule'!$A43=8),IF(OR(WEEKDAY('Daily Schedule'!$B$2,2)=1,WEEKDAY('Daily Schedule'!$B$2,2)=4,WEEKDAY('Daily Schedule'!$B$2,2)=5,WEEKDAY('Daily Schedule'!$B$2,2)=7),IFERROR(1*'Daily Workforce'!$K49&gt;=3,FALSE()),IFERROR(1*'Daily Workforce'!$K49&gt;=2,FALSE())),IF(AND('Daily Schedule'!$A43&gt;=46,'Daily Schedule'!$A43&lt;=52),'Daily Workforce'!$M49="Y",IFERROR(1*'Daily Workforce'!$P49&gt;=2,FALSE()))))),1,0)</f>
        <v>1</v>
      </c>
      <c r="BI39" s="1" t="n">
        <f aca="false">IF(AND('Daily Workforce'!$N50="Y",'Daily Workforce'!$B50&lt;&gt;"",COUNTIF('Daily Schedule'!$F$5:$F42,'Daily Workforce'!$B50)=0,IF('Daily Schedule'!$A43=45,'Daily Workforce'!$J50="Y",IF(OR('Daily Schedule'!$A43=4,'Daily Schedule'!$A43=8),IF(OR(WEEKDAY('Daily Schedule'!$B$2,2)=1,WEEKDAY('Daily Schedule'!$B$2,2)=4,WEEKDAY('Daily Schedule'!$B$2,2)=5,WEEKDAY('Daily Schedule'!$B$2,2)=7),IFERROR(1*'Daily Workforce'!$K50&gt;=3,FALSE()),IFERROR(1*'Daily Workforce'!$K50&gt;=2,FALSE())),IF(AND('Daily Schedule'!$A43&gt;=46,'Daily Schedule'!$A43&lt;=52),'Daily Workforce'!$M50="Y",IFERROR(1*'Daily Workforce'!$P50&gt;=2,FALSE()))))),1,0)</f>
        <v>0</v>
      </c>
      <c r="BJ39" s="1" t="n">
        <f aca="false">IF(AND('Daily Workforce'!$N51="Y",'Daily Workforce'!$B51&lt;&gt;"",COUNTIF('Daily Schedule'!$F$5:$F42,'Daily Workforce'!$B51)=0,IF('Daily Schedule'!$A43=45,'Daily Workforce'!$J51="Y",IF(OR('Daily Schedule'!$A43=4,'Daily Schedule'!$A43=8),IF(OR(WEEKDAY('Daily Schedule'!$B$2,2)=1,WEEKDAY('Daily Schedule'!$B$2,2)=4,WEEKDAY('Daily Schedule'!$B$2,2)=5,WEEKDAY('Daily Schedule'!$B$2,2)=7),IFERROR(1*'Daily Workforce'!$K51&gt;=3,FALSE()),IFERROR(1*'Daily Workforce'!$K51&gt;=2,FALSE())),IF(AND('Daily Schedule'!$A43&gt;=46,'Daily Schedule'!$A43&lt;=52),'Daily Workforce'!$M51="Y",IFERROR(1*'Daily Workforce'!$P51&gt;=2,FALSE()))))),1,0)</f>
        <v>1</v>
      </c>
      <c r="BK39" s="1" t="n">
        <f aca="false">IF(AND('Daily Workforce'!$N52="Y",'Daily Workforce'!$B52&lt;&gt;"",COUNTIF('Daily Schedule'!$F$5:$F42,'Daily Workforce'!$B52)=0,IF('Daily Schedule'!$A43=45,'Daily Workforce'!$J52="Y",IF(OR('Daily Schedule'!$A43=4,'Daily Schedule'!$A43=8),IF(OR(WEEKDAY('Daily Schedule'!$B$2,2)=1,WEEKDAY('Daily Schedule'!$B$2,2)=4,WEEKDAY('Daily Schedule'!$B$2,2)=5,WEEKDAY('Daily Schedule'!$B$2,2)=7),IFERROR(1*'Daily Workforce'!$K52&gt;=3,FALSE()),IFERROR(1*'Daily Workforce'!$K52&gt;=2,FALSE())),IF(AND('Daily Schedule'!$A43&gt;=46,'Daily Schedule'!$A43&lt;=52),'Daily Workforce'!$M52="Y",IFERROR(1*'Daily Workforce'!$P52&gt;=2,FALSE()))))),1,0)</f>
        <v>1</v>
      </c>
      <c r="BL39" s="1" t="n">
        <f aca="false">IF(AND('Daily Workforce'!$N53="Y",'Daily Workforce'!$B53&lt;&gt;"",COUNTIF('Daily Schedule'!$F$5:$F42,'Daily Workforce'!$B53)=0,IF('Daily Schedule'!$A43=45,'Daily Workforce'!$J53="Y",IF(OR('Daily Schedule'!$A43=4,'Daily Schedule'!$A43=8),IF(OR(WEEKDAY('Daily Schedule'!$B$2,2)=1,WEEKDAY('Daily Schedule'!$B$2,2)=4,WEEKDAY('Daily Schedule'!$B$2,2)=5,WEEKDAY('Daily Schedule'!$B$2,2)=7),IFERROR(1*'Daily Workforce'!$K53&gt;=3,FALSE()),IFERROR(1*'Daily Workforce'!$K53&gt;=2,FALSE())),IF(AND('Daily Schedule'!$A43&gt;=46,'Daily Schedule'!$A43&lt;=52),'Daily Workforce'!$M53="Y",IFERROR(1*'Daily Workforce'!$P53&gt;=2,FALSE()))))),1,0)</f>
        <v>1</v>
      </c>
      <c r="BM39" s="1" t="n">
        <f aca="false">IF(AND('Daily Workforce'!$N54="Y",'Daily Workforce'!$B54&lt;&gt;"",COUNTIF('Daily Schedule'!$F$5:$F42,'Daily Workforce'!$B54)=0,IF('Daily Schedule'!$A43=45,'Daily Workforce'!$J54="Y",IF(OR('Daily Schedule'!$A43=4,'Daily Schedule'!$A43=8),IF(OR(WEEKDAY('Daily Schedule'!$B$2,2)=1,WEEKDAY('Daily Schedule'!$B$2,2)=4,WEEKDAY('Daily Schedule'!$B$2,2)=5,WEEKDAY('Daily Schedule'!$B$2,2)=7),IFERROR(1*'Daily Workforce'!$K54&gt;=3,FALSE()),IFERROR(1*'Daily Workforce'!$K54&gt;=2,FALSE())),IF(AND('Daily Schedule'!$A43&gt;=46,'Daily Schedule'!$A43&lt;=52),'Daily Workforce'!$M54="Y",IFERROR(1*'Daily Workforce'!$P54&gt;=2,FALSE()))))),1,0)</f>
        <v>1</v>
      </c>
      <c r="BN39" s="1" t="n">
        <f aca="false">IF(AND('Daily Workforce'!$N55="Y",'Daily Workforce'!$B55&lt;&gt;"",COUNTIF('Daily Schedule'!$F$5:$F42,'Daily Workforce'!$B55)=0,IF('Daily Schedule'!$A43=45,'Daily Workforce'!$J55="Y",IF(OR('Daily Schedule'!$A43=4,'Daily Schedule'!$A43=8),IF(OR(WEEKDAY('Daily Schedule'!$B$2,2)=1,WEEKDAY('Daily Schedule'!$B$2,2)=4,WEEKDAY('Daily Schedule'!$B$2,2)=5,WEEKDAY('Daily Schedule'!$B$2,2)=7),IFERROR(1*'Daily Workforce'!$K55&gt;=3,FALSE()),IFERROR(1*'Daily Workforce'!$K55&gt;=2,FALSE())),IF(AND('Daily Schedule'!$A43&gt;=46,'Daily Schedule'!$A43&lt;=52),'Daily Workforce'!$M55="Y",IFERROR(1*'Daily Workforce'!$P55&gt;=2,FALSE()))))),1,0)</f>
        <v>1</v>
      </c>
      <c r="BO39" s="1" t="n">
        <f aca="false">IF(AND('Daily Workforce'!$N56="Y",'Daily Workforce'!$B56&lt;&gt;"",COUNTIF('Daily Schedule'!$F$5:$F42,'Daily Workforce'!$B56)=0,IF('Daily Schedule'!$A43=45,'Daily Workforce'!$J56="Y",IF(OR('Daily Schedule'!$A43=4,'Daily Schedule'!$A43=8),IF(OR(WEEKDAY('Daily Schedule'!$B$2,2)=1,WEEKDAY('Daily Schedule'!$B$2,2)=4,WEEKDAY('Daily Schedule'!$B$2,2)=5,WEEKDAY('Daily Schedule'!$B$2,2)=7),IFERROR(1*'Daily Workforce'!$K56&gt;=3,FALSE()),IFERROR(1*'Daily Workforce'!$K56&gt;=2,FALSE())),IF(AND('Daily Schedule'!$A43&gt;=46,'Daily Schedule'!$A43&lt;=52),'Daily Workforce'!$M56="Y",IFERROR(1*'Daily Workforce'!$P56&gt;=2,FALSE()))))),1,0)</f>
        <v>1</v>
      </c>
      <c r="BP39" s="1" t="n">
        <f aca="false">IF(AND('Daily Workforce'!$N57="Y",'Daily Workforce'!$B57&lt;&gt;"",COUNTIF('Daily Schedule'!$F$5:$F42,'Daily Workforce'!$B57)=0,IF('Daily Schedule'!$A43=45,'Daily Workforce'!$J57="Y",IF(OR('Daily Schedule'!$A43=4,'Daily Schedule'!$A43=8),IF(OR(WEEKDAY('Daily Schedule'!$B$2,2)=1,WEEKDAY('Daily Schedule'!$B$2,2)=4,WEEKDAY('Daily Schedule'!$B$2,2)=5,WEEKDAY('Daily Schedule'!$B$2,2)=7),IFERROR(1*'Daily Workforce'!$K57&gt;=3,FALSE()),IFERROR(1*'Daily Workforce'!$K57&gt;=2,FALSE())),IF(AND('Daily Schedule'!$A43&gt;=46,'Daily Schedule'!$A43&lt;=52),'Daily Workforce'!$M57="Y",IFERROR(1*'Daily Workforce'!$P57&gt;=2,FALSE()))))),1,0)</f>
        <v>0</v>
      </c>
      <c r="BQ39" s="1" t="n">
        <f aca="false">IF(AND('Daily Workforce'!$N58="Y",'Daily Workforce'!$B58&lt;&gt;"",COUNTIF('Daily Schedule'!$F$5:$F42,'Daily Workforce'!$B58)=0,IF('Daily Schedule'!$A43=45,'Daily Workforce'!$J58="Y",IF(OR('Daily Schedule'!$A43=4,'Daily Schedule'!$A43=8),IF(OR(WEEKDAY('Daily Schedule'!$B$2,2)=1,WEEKDAY('Daily Schedule'!$B$2,2)=4,WEEKDAY('Daily Schedule'!$B$2,2)=5,WEEKDAY('Daily Schedule'!$B$2,2)=7),IFERROR(1*'Daily Workforce'!$K58&gt;=3,FALSE()),IFERROR(1*'Daily Workforce'!$K58&gt;=2,FALSE())),IF(AND('Daily Schedule'!$A43&gt;=46,'Daily Schedule'!$A43&lt;=52),'Daily Workforce'!$M58="Y",IFERROR(1*'Daily Workforce'!$P58&gt;=2,FALSE()))))),1,0)</f>
        <v>1</v>
      </c>
      <c r="BR39" s="1" t="n">
        <f aca="false">IF(AND('Daily Workforce'!$N59="Y",'Daily Workforce'!$B59&lt;&gt;"",COUNTIF('Daily Schedule'!$F$5:$F42,'Daily Workforce'!$B59)=0,IF('Daily Schedule'!$A43=45,'Daily Workforce'!$J59="Y",IF(OR('Daily Schedule'!$A43=4,'Daily Schedule'!$A43=8),IF(OR(WEEKDAY('Daily Schedule'!$B$2,2)=1,WEEKDAY('Daily Schedule'!$B$2,2)=4,WEEKDAY('Daily Schedule'!$B$2,2)=5,WEEKDAY('Daily Schedule'!$B$2,2)=7),IFERROR(1*'Daily Workforce'!$K59&gt;=3,FALSE()),IFERROR(1*'Daily Workforce'!$K59&gt;=2,FALSE())),IF(AND('Daily Schedule'!$A43&gt;=46,'Daily Schedule'!$A43&lt;=52),'Daily Workforce'!$M59="Y",IFERROR(1*'Daily Workforce'!$P59&gt;=2,FALSE()))))),1,0)</f>
        <v>1</v>
      </c>
      <c r="BS39" s="1" t="n">
        <f aca="false">IF(AND('Daily Workforce'!$N60="Y",'Daily Workforce'!$B60&lt;&gt;"",COUNTIF('Daily Schedule'!$F$5:$F42,'Daily Workforce'!$B60)=0,IF('Daily Schedule'!$A43=45,'Daily Workforce'!$J60="Y",IF(OR('Daily Schedule'!$A43=4,'Daily Schedule'!$A43=8),IF(OR(WEEKDAY('Daily Schedule'!$B$2,2)=1,WEEKDAY('Daily Schedule'!$B$2,2)=4,WEEKDAY('Daily Schedule'!$B$2,2)=5,WEEKDAY('Daily Schedule'!$B$2,2)=7),IFERROR(1*'Daily Workforce'!$K60&gt;=3,FALSE()),IFERROR(1*'Daily Workforce'!$K60&gt;=2,FALSE())),IF(AND('Daily Schedule'!$A43&gt;=46,'Daily Schedule'!$A43&lt;=52),'Daily Workforce'!$M60="Y",IFERROR(1*'Daily Workforce'!$P60&gt;=2,FALSE()))))),1,0)</f>
        <v>1</v>
      </c>
      <c r="BT39" s="1" t="n">
        <f aca="false">IF(AND('Daily Workforce'!$N61="Y",'Daily Workforce'!$B61&lt;&gt;"",COUNTIF('Daily Schedule'!$F$5:$F42,'Daily Workforce'!$B61)=0,IF('Daily Schedule'!$A43=45,'Daily Workforce'!$J61="Y",IF(OR('Daily Schedule'!$A43=4,'Daily Schedule'!$A43=8),IF(OR(WEEKDAY('Daily Schedule'!$B$2,2)=1,WEEKDAY('Daily Schedule'!$B$2,2)=4,WEEKDAY('Daily Schedule'!$B$2,2)=5,WEEKDAY('Daily Schedule'!$B$2,2)=7),IFERROR(1*'Daily Workforce'!$K61&gt;=3,FALSE()),IFERROR(1*'Daily Workforce'!$K61&gt;=2,FALSE())),IF(AND('Daily Schedule'!$A43&gt;=46,'Daily Schedule'!$A43&lt;=52),'Daily Workforce'!$M61="Y",IFERROR(1*'Daily Workforce'!$P61&gt;=2,FALSE()))))),1,0)</f>
        <v>0</v>
      </c>
      <c r="BU39" s="1" t="n">
        <f aca="false">IF(AND('Daily Workforce'!$N62="Y",'Daily Workforce'!$B62&lt;&gt;"",COUNTIF('Daily Schedule'!$F$5:$F42,'Daily Workforce'!$B62)=0,IF('Daily Schedule'!$A43=45,'Daily Workforce'!$J62="Y",IF(OR('Daily Schedule'!$A43=4,'Daily Schedule'!$A43=8),IF(OR(WEEKDAY('Daily Schedule'!$B$2,2)=1,WEEKDAY('Daily Schedule'!$B$2,2)=4,WEEKDAY('Daily Schedule'!$B$2,2)=5,WEEKDAY('Daily Schedule'!$B$2,2)=7),IFERROR(1*'Daily Workforce'!$K62&gt;=3,FALSE()),IFERROR(1*'Daily Workforce'!$K62&gt;=2,FALSE())),IF(AND('Daily Schedule'!$A43&gt;=46,'Daily Schedule'!$A43&lt;=52),'Daily Workforce'!$M62="Y",IFERROR(1*'Daily Workforce'!$P62&gt;=2,FALSE()))))),1,0)</f>
        <v>1</v>
      </c>
      <c r="BV39" s="1" t="n">
        <f aca="false">IF(AND('Daily Workforce'!$N63="Y",'Daily Workforce'!$B63&lt;&gt;"",COUNTIF('Daily Schedule'!$F$5:$F42,'Daily Workforce'!$B63)=0,IF('Daily Schedule'!$A43=45,'Daily Workforce'!$J63="Y",IF(OR('Daily Schedule'!$A43=4,'Daily Schedule'!$A43=8),IF(OR(WEEKDAY('Daily Schedule'!$B$2,2)=1,WEEKDAY('Daily Schedule'!$B$2,2)=4,WEEKDAY('Daily Schedule'!$B$2,2)=5,WEEKDAY('Daily Schedule'!$B$2,2)=7),IFERROR(1*'Daily Workforce'!$K63&gt;=3,FALSE()),IFERROR(1*'Daily Workforce'!$K63&gt;=2,FALSE())),IF(AND('Daily Schedule'!$A43&gt;=46,'Daily Schedule'!$A43&lt;=52),'Daily Workforce'!$M63="Y",IFERROR(1*'Daily Workforce'!$P63&gt;=2,FALSE()))))),1,0)</f>
        <v>1</v>
      </c>
      <c r="BW39" s="1" t="n">
        <f aca="false">IF(AND('Daily Workforce'!$N64="Y",'Daily Workforce'!$B64&lt;&gt;"",COUNTIF('Daily Schedule'!$F$5:$F42,'Daily Workforce'!$B64)=0,IF('Daily Schedule'!$A43=45,'Daily Workforce'!$J64="Y",IF(OR('Daily Schedule'!$A43=4,'Daily Schedule'!$A43=8),IF(OR(WEEKDAY('Daily Schedule'!$B$2,2)=1,WEEKDAY('Daily Schedule'!$B$2,2)=4,WEEKDAY('Daily Schedule'!$B$2,2)=5,WEEKDAY('Daily Schedule'!$B$2,2)=7),IFERROR(1*'Daily Workforce'!$K64&gt;=3,FALSE()),IFERROR(1*'Daily Workforce'!$K64&gt;=2,FALSE())),IF(AND('Daily Schedule'!$A43&gt;=46,'Daily Schedule'!$A43&lt;=52),'Daily Workforce'!$M64="Y",IFERROR(1*'Daily Workforce'!$P64&gt;=2,FALSE()))))),1,0)</f>
        <v>1</v>
      </c>
      <c r="BX39" s="1" t="n">
        <f aca="false">IF(AND('Daily Workforce'!$N65="Y",'Daily Workforce'!$B65&lt;&gt;"",COUNTIF('Daily Schedule'!$F$5:$F42,'Daily Workforce'!$B65)=0,IF('Daily Schedule'!$A43=45,'Daily Workforce'!$J65="Y",IF(OR('Daily Schedule'!$A43=4,'Daily Schedule'!$A43=8),IF(OR(WEEKDAY('Daily Schedule'!$B$2,2)=1,WEEKDAY('Daily Schedule'!$B$2,2)=4,WEEKDAY('Daily Schedule'!$B$2,2)=5,WEEKDAY('Daily Schedule'!$B$2,2)=7),IFERROR(1*'Daily Workforce'!$K65&gt;=3,FALSE()),IFERROR(1*'Daily Workforce'!$K65&gt;=2,FALSE())),IF(AND('Daily Schedule'!$A43&gt;=46,'Daily Schedule'!$A43&lt;=52),'Daily Workforce'!$M65="Y",IFERROR(1*'Daily Workforce'!$P65&gt;=2,FALSE()))))),1,0)</f>
        <v>1</v>
      </c>
      <c r="BY39" s="1" t="n">
        <f aca="false">IF(AND('Daily Workforce'!$N66="Y",'Daily Workforce'!$B66&lt;&gt;"",COUNTIF('Daily Schedule'!$F$5:$F42,'Daily Workforce'!$B66)=0,IF('Daily Schedule'!$A43=45,'Daily Workforce'!$J66="Y",IF(OR('Daily Schedule'!$A43=4,'Daily Schedule'!$A43=8),IF(OR(WEEKDAY('Daily Schedule'!$B$2,2)=1,WEEKDAY('Daily Schedule'!$B$2,2)=4,WEEKDAY('Daily Schedule'!$B$2,2)=5,WEEKDAY('Daily Schedule'!$B$2,2)=7),IFERROR(1*'Daily Workforce'!$K66&gt;=3,FALSE()),IFERROR(1*'Daily Workforce'!$K66&gt;=2,FALSE())),IF(AND('Daily Schedule'!$A43&gt;=46,'Daily Schedule'!$A43&lt;=52),'Daily Workforce'!$M66="Y",IFERROR(1*'Daily Workforce'!$P66&gt;=2,FALSE()))))),1,0)</f>
        <v>1</v>
      </c>
      <c r="BZ39" s="1" t="n">
        <f aca="false">IF(AND('Daily Workforce'!$N67="Y",'Daily Workforce'!$B67&lt;&gt;"",COUNTIF('Daily Schedule'!$F$5:$F42,'Daily Workforce'!$B67)=0,IF('Daily Schedule'!$A43=45,'Daily Workforce'!$J67="Y",IF(OR('Daily Schedule'!$A43=4,'Daily Schedule'!$A43=8),IF(OR(WEEKDAY('Daily Schedule'!$B$2,2)=1,WEEKDAY('Daily Schedule'!$B$2,2)=4,WEEKDAY('Daily Schedule'!$B$2,2)=5,WEEKDAY('Daily Schedule'!$B$2,2)=7),IFERROR(1*'Daily Workforce'!$K67&gt;=3,FALSE()),IFERROR(1*'Daily Workforce'!$K67&gt;=2,FALSE())),IF(AND('Daily Schedule'!$A43&gt;=46,'Daily Schedule'!$A43&lt;=52),'Daily Workforce'!$M67="Y",IFERROR(1*'Daily Workforce'!$P67&gt;=2,FALSE()))))),1,0)</f>
        <v>1</v>
      </c>
      <c r="CA39" s="1" t="n">
        <f aca="false">IF(AND('Daily Workforce'!$N68="Y",'Daily Workforce'!$B68&lt;&gt;"",COUNTIF('Daily Schedule'!$F$5:$F42,'Daily Workforce'!$B68)=0,IF('Daily Schedule'!$A43=45,'Daily Workforce'!$J68="Y",IF(OR('Daily Schedule'!$A43=4,'Daily Schedule'!$A43=8),IF(OR(WEEKDAY('Daily Schedule'!$B$2,2)=1,WEEKDAY('Daily Schedule'!$B$2,2)=4,WEEKDAY('Daily Schedule'!$B$2,2)=5,WEEKDAY('Daily Schedule'!$B$2,2)=7),IFERROR(1*'Daily Workforce'!$K68&gt;=3,FALSE()),IFERROR(1*'Daily Workforce'!$K68&gt;=2,FALSE())),IF(AND('Daily Schedule'!$A43&gt;=46,'Daily Schedule'!$A43&lt;=52),'Daily Workforce'!$M68="Y",IFERROR(1*'Daily Workforce'!$P68&gt;=2,FALSE()))))),1,0)</f>
        <v>1</v>
      </c>
      <c r="CB39" s="1" t="n">
        <f aca="false">IF(AND('Daily Workforce'!$N69="Y",'Daily Workforce'!$B69&lt;&gt;"",COUNTIF('Daily Schedule'!$F$5:$F42,'Daily Workforce'!$B69)=0,IF('Daily Schedule'!$A43=45,'Daily Workforce'!$J69="Y",IF(OR('Daily Schedule'!$A43=4,'Daily Schedule'!$A43=8),IF(OR(WEEKDAY('Daily Schedule'!$B$2,2)=1,WEEKDAY('Daily Schedule'!$B$2,2)=4,WEEKDAY('Daily Schedule'!$B$2,2)=5,WEEKDAY('Daily Schedule'!$B$2,2)=7),IFERROR(1*'Daily Workforce'!$K69&gt;=3,FALSE()),IFERROR(1*'Daily Workforce'!$K69&gt;=2,FALSE())),IF(AND('Daily Schedule'!$A43&gt;=46,'Daily Schedule'!$A43&lt;=52),'Daily Workforce'!$M69="Y",IFERROR(1*'Daily Workforce'!$P69&gt;=2,FALSE()))))),1,0)</f>
        <v>1</v>
      </c>
      <c r="CC39" s="1" t="n">
        <f aca="false">IF(AND('Daily Workforce'!$N70="Y",'Daily Workforce'!$B70&lt;&gt;"",COUNTIF('Daily Schedule'!$F$5:$F42,'Daily Workforce'!$B70)=0,IF('Daily Schedule'!$A43=45,'Daily Workforce'!$J70="Y",IF(OR('Daily Schedule'!$A43=4,'Daily Schedule'!$A43=8),IF(OR(WEEKDAY('Daily Schedule'!$B$2,2)=1,WEEKDAY('Daily Schedule'!$B$2,2)=4,WEEKDAY('Daily Schedule'!$B$2,2)=5,WEEKDAY('Daily Schedule'!$B$2,2)=7),IFERROR(1*'Daily Workforce'!$K70&gt;=3,FALSE()),IFERROR(1*'Daily Workforce'!$K70&gt;=2,FALSE())),IF(AND('Daily Schedule'!$A43&gt;=46,'Daily Schedule'!$A43&lt;=52),'Daily Workforce'!$M70="Y",IFERROR(1*'Daily Workforce'!$P70&gt;=2,FALSE()))))),1,0)</f>
        <v>1</v>
      </c>
      <c r="CD39" s="1" t="n">
        <f aca="false">IF(AND('Daily Workforce'!$N71="Y",'Daily Workforce'!$B71&lt;&gt;"",COUNTIF('Daily Schedule'!$F$5:$F42,'Daily Workforce'!$B71)=0,IF('Daily Schedule'!$A43=45,'Daily Workforce'!$J71="Y",IF(OR('Daily Schedule'!$A43=4,'Daily Schedule'!$A43=8),IF(OR(WEEKDAY('Daily Schedule'!$B$2,2)=1,WEEKDAY('Daily Schedule'!$B$2,2)=4,WEEKDAY('Daily Schedule'!$B$2,2)=5,WEEKDAY('Daily Schedule'!$B$2,2)=7),IFERROR(1*'Daily Workforce'!$K71&gt;=3,FALSE()),IFERROR(1*'Daily Workforce'!$K71&gt;=2,FALSE())),IF(AND('Daily Schedule'!$A43&gt;=46,'Daily Schedule'!$A43&lt;=52),'Daily Workforce'!$M71="Y",IFERROR(1*'Daily Workforce'!$P71&gt;=2,FALSE()))))),1,0)</f>
        <v>1</v>
      </c>
      <c r="CE39" s="1" t="n">
        <f aca="false">IF(AND('Daily Workforce'!$N72="Y",'Daily Workforce'!$B72&lt;&gt;"",COUNTIF('Daily Schedule'!$F$5:$F42,'Daily Workforce'!$B72)=0,IF('Daily Schedule'!$A43=45,'Daily Workforce'!$J72="Y",IF(OR('Daily Schedule'!$A43=4,'Daily Schedule'!$A43=8),IF(OR(WEEKDAY('Daily Schedule'!$B$2,2)=1,WEEKDAY('Daily Schedule'!$B$2,2)=4,WEEKDAY('Daily Schedule'!$B$2,2)=5,WEEKDAY('Daily Schedule'!$B$2,2)=7),IFERROR(1*'Daily Workforce'!$K72&gt;=3,FALSE()),IFERROR(1*'Daily Workforce'!$K72&gt;=2,FALSE())),IF(AND('Daily Schedule'!$A43&gt;=46,'Daily Schedule'!$A43&lt;=52),'Daily Workforce'!$M72="Y",IFERROR(1*'Daily Workforce'!$P72&gt;=2,FALSE()))))),1,0)</f>
        <v>1</v>
      </c>
      <c r="CF39" s="1" t="n">
        <f aca="false">IF(AND('Daily Workforce'!$N73="Y",'Daily Workforce'!$B73&lt;&gt;"",COUNTIF('Daily Schedule'!$F$5:$F42,'Daily Workforce'!$B73)=0,IF('Daily Schedule'!$A43=45,'Daily Workforce'!$J73="Y",IF(OR('Daily Schedule'!$A43=4,'Daily Schedule'!$A43=8),IF(OR(WEEKDAY('Daily Schedule'!$B$2,2)=1,WEEKDAY('Daily Schedule'!$B$2,2)=4,WEEKDAY('Daily Schedule'!$B$2,2)=5,WEEKDAY('Daily Schedule'!$B$2,2)=7),IFERROR(1*'Daily Workforce'!$K73&gt;=3,FALSE()),IFERROR(1*'Daily Workforce'!$K73&gt;=2,FALSE())),IF(AND('Daily Schedule'!$A43&gt;=46,'Daily Schedule'!$A43&lt;=52),'Daily Workforce'!$M73="Y",IFERROR(1*'Daily Workforce'!$P73&gt;=2,FALSE()))))),1,0)</f>
        <v>1</v>
      </c>
      <c r="CG39" s="1" t="n">
        <f aca="false">IF(AND('Daily Workforce'!$N74="Y",'Daily Workforce'!$B74&lt;&gt;"",COUNTIF('Daily Schedule'!$F$5:$F42,'Daily Workforce'!$B74)=0,IF('Daily Schedule'!$A43=45,'Daily Workforce'!$J74="Y",IF(OR('Daily Schedule'!$A43=4,'Daily Schedule'!$A43=8),IF(OR(WEEKDAY('Daily Schedule'!$B$2,2)=1,WEEKDAY('Daily Schedule'!$B$2,2)=4,WEEKDAY('Daily Schedule'!$B$2,2)=5,WEEKDAY('Daily Schedule'!$B$2,2)=7),IFERROR(1*'Daily Workforce'!$K74&gt;=3,FALSE()),IFERROR(1*'Daily Workforce'!$K74&gt;=2,FALSE())),IF(AND('Daily Schedule'!$A43&gt;=46,'Daily Schedule'!$A43&lt;=52),'Daily Workforce'!$M74="Y",IFERROR(1*'Daily Workforce'!$P74&gt;=2,FALSE()))))),1,0)</f>
        <v>1</v>
      </c>
      <c r="CH39" s="1" t="n">
        <f aca="false">IF(AND('Daily Workforce'!$N75="Y",'Daily Workforce'!$B75&lt;&gt;"",COUNTIF('Daily Schedule'!$F$5:$F42,'Daily Workforce'!$B75)=0,IF('Daily Schedule'!$A43=45,'Daily Workforce'!$J75="Y",IF(OR('Daily Schedule'!$A43=4,'Daily Schedule'!$A43=8),IF(OR(WEEKDAY('Daily Schedule'!$B$2,2)=1,WEEKDAY('Daily Schedule'!$B$2,2)=4,WEEKDAY('Daily Schedule'!$B$2,2)=5,WEEKDAY('Daily Schedule'!$B$2,2)=7),IFERROR(1*'Daily Workforce'!$K75&gt;=3,FALSE()),IFERROR(1*'Daily Workforce'!$K75&gt;=2,FALSE())),IF(AND('Daily Schedule'!$A43&gt;=46,'Daily Schedule'!$A43&lt;=52),'Daily Workforce'!$M75="Y",IFERROR(1*'Daily Workforce'!$P75&gt;=2,FALSE()))))),1,0)</f>
        <v>1</v>
      </c>
      <c r="CI39" s="1" t="n">
        <f aca="false">IF(AND('Daily Workforce'!$N76="Y",'Daily Workforce'!$B76&lt;&gt;"",COUNTIF('Daily Schedule'!$F$5:$F42,'Daily Workforce'!$B76)=0,IF('Daily Schedule'!$A43=45,'Daily Workforce'!$J76="Y",IF(OR('Daily Schedule'!$A43=4,'Daily Schedule'!$A43=8),IF(OR(WEEKDAY('Daily Schedule'!$B$2,2)=1,WEEKDAY('Daily Schedule'!$B$2,2)=4,WEEKDAY('Daily Schedule'!$B$2,2)=5,WEEKDAY('Daily Schedule'!$B$2,2)=7),IFERROR(1*'Daily Workforce'!$K76&gt;=3,FALSE()),IFERROR(1*'Daily Workforce'!$K76&gt;=2,FALSE())),IF(AND('Daily Schedule'!$A43&gt;=46,'Daily Schedule'!$A43&lt;=52),'Daily Workforce'!$M76="Y",IFERROR(1*'Daily Workforce'!$P76&gt;=2,FALSE()))))),1,0)</f>
        <v>1</v>
      </c>
      <c r="CJ39" s="1" t="n">
        <f aca="false">IF(AND('Daily Workforce'!$N77="Y",'Daily Workforce'!$B77&lt;&gt;"",COUNTIF('Daily Schedule'!$F$5:$F42,'Daily Workforce'!$B77)=0,IF('Daily Schedule'!$A43=45,'Daily Workforce'!$J77="Y",IF(OR('Daily Schedule'!$A43=4,'Daily Schedule'!$A43=8),IF(OR(WEEKDAY('Daily Schedule'!$B$2,2)=1,WEEKDAY('Daily Schedule'!$B$2,2)=4,WEEKDAY('Daily Schedule'!$B$2,2)=5,WEEKDAY('Daily Schedule'!$B$2,2)=7),IFERROR(1*'Daily Workforce'!$K77&gt;=3,FALSE()),IFERROR(1*'Daily Workforce'!$K77&gt;=2,FALSE())),IF(AND('Daily Schedule'!$A43&gt;=46,'Daily Schedule'!$A43&lt;=52),'Daily Workforce'!$M77="Y",IFERROR(1*'Daily Workforce'!$P77&gt;=2,FALSE()))))),1,0)</f>
        <v>1</v>
      </c>
      <c r="CK39" s="1" t="n">
        <f aca="false">IF(AND('Daily Workforce'!$N78="Y",'Daily Workforce'!$B78&lt;&gt;"",COUNTIF('Daily Schedule'!$F$5:$F42,'Daily Workforce'!$B78)=0,IF('Daily Schedule'!$A43=45,'Daily Workforce'!$J78="Y",IF(OR('Daily Schedule'!$A43=4,'Daily Schedule'!$A43=8),IF(OR(WEEKDAY('Daily Schedule'!$B$2,2)=1,WEEKDAY('Daily Schedule'!$B$2,2)=4,WEEKDAY('Daily Schedule'!$B$2,2)=5,WEEKDAY('Daily Schedule'!$B$2,2)=7),IFERROR(1*'Daily Workforce'!$K78&gt;=3,FALSE()),IFERROR(1*'Daily Workforce'!$K78&gt;=2,FALSE())),IF(AND('Daily Schedule'!$A43&gt;=46,'Daily Schedule'!$A43&lt;=52),'Daily Workforce'!$M78="Y",IFERROR(1*'Daily Workforce'!$P78&gt;=2,FALSE()))))),1,0)</f>
        <v>1</v>
      </c>
      <c r="CL39" s="1" t="n">
        <f aca="false">IF(AND('Daily Workforce'!$N79="Y",'Daily Workforce'!$B79&lt;&gt;"",COUNTIF('Daily Schedule'!$F$5:$F42,'Daily Workforce'!$B79)=0,IF('Daily Schedule'!$A43=45,'Daily Workforce'!$J79="Y",IF(OR('Daily Schedule'!$A43=4,'Daily Schedule'!$A43=8),IF(OR(WEEKDAY('Daily Schedule'!$B$2,2)=1,WEEKDAY('Daily Schedule'!$B$2,2)=4,WEEKDAY('Daily Schedule'!$B$2,2)=5,WEEKDAY('Daily Schedule'!$B$2,2)=7),IFERROR(1*'Daily Workforce'!$K79&gt;=3,FALSE()),IFERROR(1*'Daily Workforce'!$K79&gt;=2,FALSE())),IF(AND('Daily Schedule'!$A43&gt;=46,'Daily Schedule'!$A43&lt;=52),'Daily Workforce'!$M79="Y",IFERROR(1*'Daily Workforce'!$P79&gt;=2,FALSE()))))),1,0)</f>
        <v>1</v>
      </c>
      <c r="CM39" s="1" t="n">
        <f aca="false">IF(AND('Daily Workforce'!$N80="Y",'Daily Workforce'!$B80&lt;&gt;"",COUNTIF('Daily Schedule'!$F$5:$F42,'Daily Workforce'!$B80)=0,IF('Daily Schedule'!$A43=45,'Daily Workforce'!$J80="Y",IF(OR('Daily Schedule'!$A43=4,'Daily Schedule'!$A43=8),IF(OR(WEEKDAY('Daily Schedule'!$B$2,2)=1,WEEKDAY('Daily Schedule'!$B$2,2)=4,WEEKDAY('Daily Schedule'!$B$2,2)=5,WEEKDAY('Daily Schedule'!$B$2,2)=7),IFERROR(1*'Daily Workforce'!$K80&gt;=3,FALSE()),IFERROR(1*'Daily Workforce'!$K80&gt;=2,FALSE())),IF(AND('Daily Schedule'!$A43&gt;=46,'Daily Schedule'!$A43&lt;=52),'Daily Workforce'!$M80="Y",IFERROR(1*'Daily Workforce'!$P80&gt;=2,FALSE()))))),1,0)</f>
        <v>1</v>
      </c>
      <c r="CN39" s="1" t="n">
        <f aca="false">IF(AND('Daily Workforce'!$N81="Y",'Daily Workforce'!$B81&lt;&gt;"",COUNTIF('Daily Schedule'!$F$5:$F42,'Daily Workforce'!$B81)=0,IF('Daily Schedule'!$A43=45,'Daily Workforce'!$J81="Y",IF(OR('Daily Schedule'!$A43=4,'Daily Schedule'!$A43=8),IF(OR(WEEKDAY('Daily Schedule'!$B$2,2)=1,WEEKDAY('Daily Schedule'!$B$2,2)=4,WEEKDAY('Daily Schedule'!$B$2,2)=5,WEEKDAY('Daily Schedule'!$B$2,2)=7),IFERROR(1*'Daily Workforce'!$K81&gt;=3,FALSE()),IFERROR(1*'Daily Workforce'!$K81&gt;=2,FALSE())),IF(AND('Daily Schedule'!$A43&gt;=46,'Daily Schedule'!$A43&lt;=52),'Daily Workforce'!$M81="Y",IFERROR(1*'Daily Workforce'!$P81&gt;=2,FALSE()))))),1,0)</f>
        <v>1</v>
      </c>
      <c r="CO39" s="1" t="n">
        <f aca="false">IF(AND('Daily Workforce'!$N82="Y",'Daily Workforce'!$B82&lt;&gt;"",COUNTIF('Daily Schedule'!$F$5:$F42,'Daily Workforce'!$B82)=0,IF('Daily Schedule'!$A43=45,'Daily Workforce'!$J82="Y",IF(OR('Daily Schedule'!$A43=4,'Daily Schedule'!$A43=8),IF(OR(WEEKDAY('Daily Schedule'!$B$2,2)=1,WEEKDAY('Daily Schedule'!$B$2,2)=4,WEEKDAY('Daily Schedule'!$B$2,2)=5,WEEKDAY('Daily Schedule'!$B$2,2)=7),IFERROR(1*'Daily Workforce'!$K82&gt;=3,FALSE()),IFERROR(1*'Daily Workforce'!$K82&gt;=2,FALSE())),IF(AND('Daily Schedule'!$A43&gt;=46,'Daily Schedule'!$A43&lt;=52),'Daily Workforce'!$M82="Y",IFERROR(1*'Daily Workforce'!$P82&gt;=2,FALSE()))))),1,0)</f>
        <v>1</v>
      </c>
      <c r="CP39" s="1" t="n">
        <f aca="false">IF(AND('Daily Workforce'!$N83="Y",'Daily Workforce'!$B83&lt;&gt;"",COUNTIF('Daily Schedule'!$F$5:$F42,'Daily Workforce'!$B83)=0,IF('Daily Schedule'!$A43=45,'Daily Workforce'!$J83="Y",IF(OR('Daily Schedule'!$A43=4,'Daily Schedule'!$A43=8),IF(OR(WEEKDAY('Daily Schedule'!$B$2,2)=1,WEEKDAY('Daily Schedule'!$B$2,2)=4,WEEKDAY('Daily Schedule'!$B$2,2)=5,WEEKDAY('Daily Schedule'!$B$2,2)=7),IFERROR(1*'Daily Workforce'!$K83&gt;=3,FALSE()),IFERROR(1*'Daily Workforce'!$K83&gt;=2,FALSE())),IF(AND('Daily Schedule'!$A43&gt;=46,'Daily Schedule'!$A43&lt;=52),'Daily Workforce'!$M83="Y",IFERROR(1*'Daily Workforce'!$P83&gt;=2,FALSE()))))),1,0)</f>
        <v>0</v>
      </c>
      <c r="CQ39" s="1" t="n">
        <f aca="false">IF(AND('Daily Workforce'!$N84="Y",'Daily Workforce'!$B84&lt;&gt;"",COUNTIF('Daily Schedule'!$F$5:$F42,'Daily Workforce'!$B84)=0,IF('Daily Schedule'!$A43=45,'Daily Workforce'!$J84="Y",IF(OR('Daily Schedule'!$A43=4,'Daily Schedule'!$A43=8),IF(OR(WEEKDAY('Daily Schedule'!$B$2,2)=1,WEEKDAY('Daily Schedule'!$B$2,2)=4,WEEKDAY('Daily Schedule'!$B$2,2)=5,WEEKDAY('Daily Schedule'!$B$2,2)=7),IFERROR(1*'Daily Workforce'!$K84&gt;=3,FALSE()),IFERROR(1*'Daily Workforce'!$K84&gt;=2,FALSE())),IF(AND('Daily Schedule'!$A43&gt;=46,'Daily Schedule'!$A43&lt;=52),'Daily Workforce'!$M84="Y",IFERROR(1*'Daily Workforce'!$P84&gt;=2,FALSE()))))),1,0)</f>
        <v>1</v>
      </c>
      <c r="CR39" s="1" t="n">
        <f aca="false">IF(AND('Daily Workforce'!$N85="Y",'Daily Workforce'!$B85&lt;&gt;"",COUNTIF('Daily Schedule'!$F$5:$F42,'Daily Workforce'!$B85)=0,IF('Daily Schedule'!$A43=45,'Daily Workforce'!$J85="Y",IF(OR('Daily Schedule'!$A43=4,'Daily Schedule'!$A43=8),IF(OR(WEEKDAY('Daily Schedule'!$B$2,2)=1,WEEKDAY('Daily Schedule'!$B$2,2)=4,WEEKDAY('Daily Schedule'!$B$2,2)=5,WEEKDAY('Daily Schedule'!$B$2,2)=7),IFERROR(1*'Daily Workforce'!$K85&gt;=3,FALSE()),IFERROR(1*'Daily Workforce'!$K85&gt;=2,FALSE())),IF(AND('Daily Schedule'!$A43&gt;=46,'Daily Schedule'!$A43&lt;=52),'Daily Workforce'!$M85="Y",IFERROR(1*'Daily Workforce'!$P85&gt;=2,FALSE()))))),1,0)</f>
        <v>0</v>
      </c>
      <c r="CS39" s="1" t="n">
        <f aca="false">IF(AND('Daily Workforce'!$N86="Y",'Daily Workforce'!$B86&lt;&gt;"",COUNTIF('Daily Schedule'!$F$5:$F42,'Daily Workforce'!$B86)=0,IF('Daily Schedule'!$A43=45,'Daily Workforce'!$J86="Y",IF(OR('Daily Schedule'!$A43=4,'Daily Schedule'!$A43=8),IF(OR(WEEKDAY('Daily Schedule'!$B$2,2)=1,WEEKDAY('Daily Schedule'!$B$2,2)=4,WEEKDAY('Daily Schedule'!$B$2,2)=5,WEEKDAY('Daily Schedule'!$B$2,2)=7),IFERROR(1*'Daily Workforce'!$K86&gt;=3,FALSE()),IFERROR(1*'Daily Workforce'!$K86&gt;=2,FALSE())),IF(AND('Daily Schedule'!$A43&gt;=46,'Daily Schedule'!$A43&lt;=52),'Daily Workforce'!$M86="Y",IFERROR(1*'Daily Workforce'!$P86&gt;=2,FALSE()))))),1,0)</f>
        <v>1</v>
      </c>
      <c r="CT39" s="1" t="n">
        <f aca="false">IF(AND('Daily Workforce'!$N87="Y",'Daily Workforce'!$B87&lt;&gt;"",COUNTIF('Daily Schedule'!$F$5:$F42,'Daily Workforce'!$B87)=0,IF('Daily Schedule'!$A43=45,'Daily Workforce'!$J87="Y",IF(OR('Daily Schedule'!$A43=4,'Daily Schedule'!$A43=8),IF(OR(WEEKDAY('Daily Schedule'!$B$2,2)=1,WEEKDAY('Daily Schedule'!$B$2,2)=4,WEEKDAY('Daily Schedule'!$B$2,2)=5,WEEKDAY('Daily Schedule'!$B$2,2)=7),IFERROR(1*'Daily Workforce'!$K87&gt;=3,FALSE()),IFERROR(1*'Daily Workforce'!$K87&gt;=2,FALSE())),IF(AND('Daily Schedule'!$A43&gt;=46,'Daily Schedule'!$A43&lt;=52),'Daily Workforce'!$M87="Y",IFERROR(1*'Daily Workforce'!$P87&gt;=2,FALSE()))))),1,0)</f>
        <v>1</v>
      </c>
      <c r="CU39" s="1" t="n">
        <f aca="false">IF(AND('Daily Workforce'!$N88="Y",'Daily Workforce'!$B88&lt;&gt;"",COUNTIF('Daily Schedule'!$F$5:$F42,'Daily Workforce'!$B88)=0,IF('Daily Schedule'!$A43=45,'Daily Workforce'!$J88="Y",IF(OR('Daily Schedule'!$A43=4,'Daily Schedule'!$A43=8),IF(OR(WEEKDAY('Daily Schedule'!$B$2,2)=1,WEEKDAY('Daily Schedule'!$B$2,2)=4,WEEKDAY('Daily Schedule'!$B$2,2)=5,WEEKDAY('Daily Schedule'!$B$2,2)=7),IFERROR(1*'Daily Workforce'!$K88&gt;=3,FALSE()),IFERROR(1*'Daily Workforce'!$K88&gt;=2,FALSE())),IF(AND('Daily Schedule'!$A43&gt;=46,'Daily Schedule'!$A43&lt;=52),'Daily Workforce'!$M88="Y",IFERROR(1*'Daily Workforce'!$P88&gt;=2,FALSE()))))),1,0)</f>
        <v>1</v>
      </c>
      <c r="CV39" s="1" t="n">
        <f aca="false">IF(AND('Daily Workforce'!$N89="Y",'Daily Workforce'!$B89&lt;&gt;"",COUNTIF('Daily Schedule'!$F$5:$F42,'Daily Workforce'!$B89)=0,IF('Daily Schedule'!$A43=45,'Daily Workforce'!$J89="Y",IF(OR('Daily Schedule'!$A43=4,'Daily Schedule'!$A43=8),IF(OR(WEEKDAY('Daily Schedule'!$B$2,2)=1,WEEKDAY('Daily Schedule'!$B$2,2)=4,WEEKDAY('Daily Schedule'!$B$2,2)=5,WEEKDAY('Daily Schedule'!$B$2,2)=7),IFERROR(1*'Daily Workforce'!$K89&gt;=3,FALSE()),IFERROR(1*'Daily Workforce'!$K89&gt;=2,FALSE())),IF(AND('Daily Schedule'!$A43&gt;=46,'Daily Schedule'!$A43&lt;=52),'Daily Workforce'!$M89="Y",IFERROR(1*'Daily Workforce'!$P89&gt;=2,FALSE()))))),1,0)</f>
        <v>1</v>
      </c>
      <c r="CW39" s="1" t="n">
        <f aca="false">IF(AND('Daily Workforce'!$N90="Y",'Daily Workforce'!$B90&lt;&gt;"",COUNTIF('Daily Schedule'!$F$5:$F42,'Daily Workforce'!$B90)=0,IF('Daily Schedule'!$A43=45,'Daily Workforce'!$J90="Y",IF(OR('Daily Schedule'!$A43=4,'Daily Schedule'!$A43=8),IF(OR(WEEKDAY('Daily Schedule'!$B$2,2)=1,WEEKDAY('Daily Schedule'!$B$2,2)=4,WEEKDAY('Daily Schedule'!$B$2,2)=5,WEEKDAY('Daily Schedule'!$B$2,2)=7),IFERROR(1*'Daily Workforce'!$K90&gt;=3,FALSE()),IFERROR(1*'Daily Workforce'!$K90&gt;=2,FALSE())),IF(AND('Daily Schedule'!$A43&gt;=46,'Daily Schedule'!$A43&lt;=52),'Daily Workforce'!$M90="Y",IFERROR(1*'Daily Workforce'!$P90&gt;=2,FALSE()))))),1,0)</f>
        <v>1</v>
      </c>
      <c r="CX39" s="1" t="n">
        <f aca="false">IF(AND('Daily Workforce'!$N91="Y",'Daily Workforce'!$B91&lt;&gt;"",COUNTIF('Daily Schedule'!$F$5:$F42,'Daily Workforce'!$B91)=0,IF('Daily Schedule'!$A43=45,'Daily Workforce'!$J91="Y",IF(OR('Daily Schedule'!$A43=4,'Daily Schedule'!$A43=8),IF(OR(WEEKDAY('Daily Schedule'!$B$2,2)=1,WEEKDAY('Daily Schedule'!$B$2,2)=4,WEEKDAY('Daily Schedule'!$B$2,2)=5,WEEKDAY('Daily Schedule'!$B$2,2)=7),IFERROR(1*'Daily Workforce'!$K91&gt;=3,FALSE()),IFERROR(1*'Daily Workforce'!$K91&gt;=2,FALSE())),IF(AND('Daily Schedule'!$A43&gt;=46,'Daily Schedule'!$A43&lt;=52),'Daily Workforce'!$M91="Y",IFERROR(1*'Daily Workforce'!$P91&gt;=2,FALSE()))))),1,0)</f>
        <v>1</v>
      </c>
      <c r="CY39" s="1" t="n">
        <f aca="false">IF(AND('Daily Workforce'!$N92="Y",'Daily Workforce'!$B92&lt;&gt;"",COUNTIF('Daily Schedule'!$F$5:$F42,'Daily Workforce'!$B92)=0,IF('Daily Schedule'!$A43=45,'Daily Workforce'!$J92="Y",IF(OR('Daily Schedule'!$A43=4,'Daily Schedule'!$A43=8),IF(OR(WEEKDAY('Daily Schedule'!$B$2,2)=1,WEEKDAY('Daily Schedule'!$B$2,2)=4,WEEKDAY('Daily Schedule'!$B$2,2)=5,WEEKDAY('Daily Schedule'!$B$2,2)=7),IFERROR(1*'Daily Workforce'!$K92&gt;=3,FALSE()),IFERROR(1*'Daily Workforce'!$K92&gt;=2,FALSE())),IF(AND('Daily Schedule'!$A43&gt;=46,'Daily Schedule'!$A43&lt;=52),'Daily Workforce'!$M92="Y",IFERROR(1*'Daily Workforce'!$P92&gt;=2,FALSE()))))),1,0)</f>
        <v>1</v>
      </c>
      <c r="CZ39" s="1" t="n">
        <f aca="false">IF(AND('Daily Workforce'!$N93="Y",'Daily Workforce'!$B93&lt;&gt;"",COUNTIF('Daily Schedule'!$F$5:$F42,'Daily Workforce'!$B93)=0,IF('Daily Schedule'!$A43=45,'Daily Workforce'!$J93="Y",IF(OR('Daily Schedule'!$A43=4,'Daily Schedule'!$A43=8),IF(OR(WEEKDAY('Daily Schedule'!$B$2,2)=1,WEEKDAY('Daily Schedule'!$B$2,2)=4,WEEKDAY('Daily Schedule'!$B$2,2)=5,WEEKDAY('Daily Schedule'!$B$2,2)=7),IFERROR(1*'Daily Workforce'!$K93&gt;=3,FALSE()),IFERROR(1*'Daily Workforce'!$K93&gt;=2,FALSE())),IF(AND('Daily Schedule'!$A43&gt;=46,'Daily Schedule'!$A43&lt;=52),'Daily Workforce'!$M93="Y",IFERROR(1*'Daily Workforce'!$P93&gt;=2,FALSE()))))),1,0)</f>
        <v>1</v>
      </c>
      <c r="DA39" s="1" t="n">
        <f aca="false">IF(AND('Daily Workforce'!$N94="Y",'Daily Workforce'!$B94&lt;&gt;"",COUNTIF('Daily Schedule'!$F$5:$F42,'Daily Workforce'!$B94)=0,IF('Daily Schedule'!$A43=45,'Daily Workforce'!$J94="Y",IF(OR('Daily Schedule'!$A43=4,'Daily Schedule'!$A43=8),IF(OR(WEEKDAY('Daily Schedule'!$B$2,2)=1,WEEKDAY('Daily Schedule'!$B$2,2)=4,WEEKDAY('Daily Schedule'!$B$2,2)=5,WEEKDAY('Daily Schedule'!$B$2,2)=7),IFERROR(1*'Daily Workforce'!$K94&gt;=3,FALSE()),IFERROR(1*'Daily Workforce'!$K94&gt;=2,FALSE())),IF(AND('Daily Schedule'!$A43&gt;=46,'Daily Schedule'!$A43&lt;=52),'Daily Workforce'!$M94="Y",IFERROR(1*'Daily Workforce'!$P94&gt;=2,FALSE()))))),1,0)</f>
        <v>1</v>
      </c>
      <c r="DB39" s="1" t="n">
        <f aca="false">IF(AND('Daily Workforce'!$N95="Y",'Daily Workforce'!$B95&lt;&gt;"",COUNTIF('Daily Schedule'!$F$5:$F42,'Daily Workforce'!$B95)=0,IF('Daily Schedule'!$A43=45,'Daily Workforce'!$J95="Y",IF(OR('Daily Schedule'!$A43=4,'Daily Schedule'!$A43=8),IF(OR(WEEKDAY('Daily Schedule'!$B$2,2)=1,WEEKDAY('Daily Schedule'!$B$2,2)=4,WEEKDAY('Daily Schedule'!$B$2,2)=5,WEEKDAY('Daily Schedule'!$B$2,2)=7),IFERROR(1*'Daily Workforce'!$K95&gt;=3,FALSE()),IFERROR(1*'Daily Workforce'!$K95&gt;=2,FALSE())),IF(AND('Daily Schedule'!$A43&gt;=46,'Daily Schedule'!$A43&lt;=52),'Daily Workforce'!$M95="Y",IFERROR(1*'Daily Workforce'!$P95&gt;=2,FALSE()))))),1,0)</f>
        <v>1</v>
      </c>
      <c r="DC39" s="1" t="n">
        <f aca="false">IF(AND('Daily Workforce'!$N96="Y",'Daily Workforce'!$B96&lt;&gt;"",COUNTIF('Daily Schedule'!$F$5:$F42,'Daily Workforce'!$B96)=0,IF('Daily Schedule'!$A43=45,'Daily Workforce'!$J96="Y",IF(OR('Daily Schedule'!$A43=4,'Daily Schedule'!$A43=8),IF(OR(WEEKDAY('Daily Schedule'!$B$2,2)=1,WEEKDAY('Daily Schedule'!$B$2,2)=4,WEEKDAY('Daily Schedule'!$B$2,2)=5,WEEKDAY('Daily Schedule'!$B$2,2)=7),IFERROR(1*'Daily Workforce'!$K96&gt;=3,FALSE()),IFERROR(1*'Daily Workforce'!$K96&gt;=2,FALSE())),IF(AND('Daily Schedule'!$A43&gt;=46,'Daily Schedule'!$A43&lt;=52),'Daily Workforce'!$M96="Y",IFERROR(1*'Daily Workforce'!$P96&gt;=2,FALSE()))))),1,0)</f>
        <v>1</v>
      </c>
      <c r="DD39" s="1" t="n">
        <f aca="false">IF(AND('Daily Workforce'!$N97="Y",'Daily Workforce'!$B97&lt;&gt;"",COUNTIF('Daily Schedule'!$F$5:$F42,'Daily Workforce'!$B97)=0,IF('Daily Schedule'!$A43=45,'Daily Workforce'!$J97="Y",IF(OR('Daily Schedule'!$A43=4,'Daily Schedule'!$A43=8),IF(OR(WEEKDAY('Daily Schedule'!$B$2,2)=1,WEEKDAY('Daily Schedule'!$B$2,2)=4,WEEKDAY('Daily Schedule'!$B$2,2)=5,WEEKDAY('Daily Schedule'!$B$2,2)=7),IFERROR(1*'Daily Workforce'!$K97&gt;=3,FALSE()),IFERROR(1*'Daily Workforce'!$K97&gt;=2,FALSE())),IF(AND('Daily Schedule'!$A43&gt;=46,'Daily Schedule'!$A43&lt;=52),'Daily Workforce'!$M97="Y",IFERROR(1*'Daily Workforce'!$P97&gt;=2,FALSE()))))),1,0)</f>
        <v>1</v>
      </c>
      <c r="DE39" s="1" t="n">
        <f aca="false">IF(AND('Daily Workforce'!$N98="Y",'Daily Workforce'!$B98&lt;&gt;"",COUNTIF('Daily Schedule'!$F$5:$F42,'Daily Workforce'!$B98)=0,IF('Daily Schedule'!$A43=45,'Daily Workforce'!$J98="Y",IF(OR('Daily Schedule'!$A43=4,'Daily Schedule'!$A43=8),IF(OR(WEEKDAY('Daily Schedule'!$B$2,2)=1,WEEKDAY('Daily Schedule'!$B$2,2)=4,WEEKDAY('Daily Schedule'!$B$2,2)=5,WEEKDAY('Daily Schedule'!$B$2,2)=7),IFERROR(1*'Daily Workforce'!$K98&gt;=3,FALSE()),IFERROR(1*'Daily Workforce'!$K98&gt;=2,FALSE())),IF(AND('Daily Schedule'!$A43&gt;=46,'Daily Schedule'!$A43&lt;=52),'Daily Workforce'!$M98="Y",IFERROR(1*'Daily Workforce'!$P98&gt;=2,FALSE()))))),1,0)</f>
        <v>1</v>
      </c>
      <c r="DF39" s="1" t="n">
        <f aca="false">IF(AND('Daily Workforce'!$N99="Y",'Daily Workforce'!$B99&lt;&gt;"",COUNTIF('Daily Schedule'!$F$5:$F42,'Daily Workforce'!$B99)=0,IF('Daily Schedule'!$A43=45,'Daily Workforce'!$J99="Y",IF(OR('Daily Schedule'!$A43=4,'Daily Schedule'!$A43=8),IF(OR(WEEKDAY('Daily Schedule'!$B$2,2)=1,WEEKDAY('Daily Schedule'!$B$2,2)=4,WEEKDAY('Daily Schedule'!$B$2,2)=5,WEEKDAY('Daily Schedule'!$B$2,2)=7),IFERROR(1*'Daily Workforce'!$K99&gt;=3,FALSE()),IFERROR(1*'Daily Workforce'!$K99&gt;=2,FALSE())),IF(AND('Daily Schedule'!$A43&gt;=46,'Daily Schedule'!$A43&lt;=52),'Daily Workforce'!$M99="Y",IFERROR(1*'Daily Workforce'!$P99&gt;=2,FALSE()))))),1,0)</f>
        <v>1</v>
      </c>
      <c r="DG39" s="1" t="n">
        <f aca="false">IF(AND('Daily Workforce'!$N100="Y",'Daily Workforce'!$B100&lt;&gt;"",COUNTIF('Daily Schedule'!$F$5:$F42,'Daily Workforce'!$B100)=0,IF('Daily Schedule'!$A43=45,'Daily Workforce'!$J100="Y",IF(OR('Daily Schedule'!$A43=4,'Daily Schedule'!$A43=8),IF(OR(WEEKDAY('Daily Schedule'!$B$2,2)=1,WEEKDAY('Daily Schedule'!$B$2,2)=4,WEEKDAY('Daily Schedule'!$B$2,2)=5,WEEKDAY('Daily Schedule'!$B$2,2)=7),IFERROR(1*'Daily Workforce'!$K100&gt;=3,FALSE()),IFERROR(1*'Daily Workforce'!$K100&gt;=2,FALSE())),IF(AND('Daily Schedule'!$A43&gt;=46,'Daily Schedule'!$A43&lt;=52),'Daily Workforce'!$M100="Y",IFERROR(1*'Daily Workforce'!$P100&gt;=2,FALSE()))))),1,0)</f>
        <v>1</v>
      </c>
      <c r="DH39" s="1" t="n">
        <f aca="false">IF(AND('Daily Workforce'!$N101="Y",'Daily Workforce'!$B101&lt;&gt;"",COUNTIF('Daily Schedule'!$F$5:$F42,'Daily Workforce'!$B101)=0,IF('Daily Schedule'!$A43=45,'Daily Workforce'!$J101="Y",IF(OR('Daily Schedule'!$A43=4,'Daily Schedule'!$A43=8),IF(OR(WEEKDAY('Daily Schedule'!$B$2,2)=1,WEEKDAY('Daily Schedule'!$B$2,2)=4,WEEKDAY('Daily Schedule'!$B$2,2)=5,WEEKDAY('Daily Schedule'!$B$2,2)=7),IFERROR(1*'Daily Workforce'!$K101&gt;=3,FALSE()),IFERROR(1*'Daily Workforce'!$K101&gt;=2,FALSE())),IF(AND('Daily Schedule'!$A43&gt;=46,'Daily Schedule'!$A43&lt;=52),'Daily Workforce'!$M101="Y",IFERROR(1*'Daily Workforce'!$P101&gt;=2,FALSE()))))),1,0)</f>
        <v>1</v>
      </c>
      <c r="DI39" s="1" t="n">
        <f aca="false">IF(AND('Daily Workforce'!$N102="Y",'Daily Workforce'!$B102&lt;&gt;"",COUNTIF('Daily Schedule'!$F$5:$F42,'Daily Workforce'!$B102)=0,IF('Daily Schedule'!$A43=45,'Daily Workforce'!$J102="Y",IF(OR('Daily Schedule'!$A43=4,'Daily Schedule'!$A43=8),IF(OR(WEEKDAY('Daily Schedule'!$B$2,2)=1,WEEKDAY('Daily Schedule'!$B$2,2)=4,WEEKDAY('Daily Schedule'!$B$2,2)=5,WEEKDAY('Daily Schedule'!$B$2,2)=7),IFERROR(1*'Daily Workforce'!$K102&gt;=3,FALSE()),IFERROR(1*'Daily Workforce'!$K102&gt;=2,FALSE())),IF(AND('Daily Schedule'!$A43&gt;=46,'Daily Schedule'!$A43&lt;=52),'Daily Workforce'!$M102="Y",IFERROR(1*'Daily Workforce'!$P102&gt;=2,FALSE()))))),1,0)</f>
        <v>1</v>
      </c>
      <c r="DJ39" s="1" t="n">
        <f aca="false">IF(AND('Daily Workforce'!$N103="Y",'Daily Workforce'!$B103&lt;&gt;"",COUNTIF('Daily Schedule'!$F$5:$F42,'Daily Workforce'!$B103)=0,IF('Daily Schedule'!$A43=45,'Daily Workforce'!$J103="Y",IF(OR('Daily Schedule'!$A43=4,'Daily Schedule'!$A43=8),IF(OR(WEEKDAY('Daily Schedule'!$B$2,2)=1,WEEKDAY('Daily Schedule'!$B$2,2)=4,WEEKDAY('Daily Schedule'!$B$2,2)=5,WEEKDAY('Daily Schedule'!$B$2,2)=7),IFERROR(1*'Daily Workforce'!$K103&gt;=3,FALSE()),IFERROR(1*'Daily Workforce'!$K103&gt;=2,FALSE())),IF(AND('Daily Schedule'!$A43&gt;=46,'Daily Schedule'!$A43&lt;=52),'Daily Workforce'!$M103="Y",IFERROR(1*'Daily Workforce'!$P103&gt;=2,FALSE()))))),1,0)</f>
        <v>1</v>
      </c>
      <c r="DK39" s="1" t="n">
        <f aca="false">IF(AND('Daily Workforce'!$N104="Y",'Daily Workforce'!$B104&lt;&gt;"",COUNTIF('Daily Schedule'!$F$5:$F42,'Daily Workforce'!$B104)=0,IF('Daily Schedule'!$A43=45,'Daily Workforce'!$J104="Y",IF(OR('Daily Schedule'!$A43=4,'Daily Schedule'!$A43=8),IF(OR(WEEKDAY('Daily Schedule'!$B$2,2)=1,WEEKDAY('Daily Schedule'!$B$2,2)=4,WEEKDAY('Daily Schedule'!$B$2,2)=5,WEEKDAY('Daily Schedule'!$B$2,2)=7),IFERROR(1*'Daily Workforce'!$K104&gt;=3,FALSE()),IFERROR(1*'Daily Workforce'!$K104&gt;=2,FALSE())),IF(AND('Daily Schedule'!$A43&gt;=46,'Daily Schedule'!$A43&lt;=52),'Daily Workforce'!$M104="Y",IFERROR(1*'Daily Workforce'!$P104&gt;=2,FALSE()))))),1,0)</f>
        <v>1</v>
      </c>
      <c r="DL39" s="1" t="n">
        <f aca="false">IF(AND('Daily Workforce'!$N105="Y",'Daily Workforce'!$B105&lt;&gt;"",COUNTIF('Daily Schedule'!$F$5:$F42,'Daily Workforce'!$B105)=0,IF('Daily Schedule'!$A43=45,'Daily Workforce'!$J105="Y",IF(OR('Daily Schedule'!$A43=4,'Daily Schedule'!$A43=8),IF(OR(WEEKDAY('Daily Schedule'!$B$2,2)=1,WEEKDAY('Daily Schedule'!$B$2,2)=4,WEEKDAY('Daily Schedule'!$B$2,2)=5,WEEKDAY('Daily Schedule'!$B$2,2)=7),IFERROR(1*'Daily Workforce'!$K105&gt;=3,FALSE()),IFERROR(1*'Daily Workforce'!$K105&gt;=2,FALSE())),IF(AND('Daily Schedule'!$A43&gt;=46,'Daily Schedule'!$A43&lt;=52),'Daily Workforce'!$M105="Y",IFERROR(1*'Daily Workforce'!$P105&gt;=2,FALSE()))))),1,0)</f>
        <v>0</v>
      </c>
      <c r="DM39" s="1" t="n">
        <f aca="false">IF(AND('Daily Workforce'!$N106="Y",'Daily Workforce'!$B106&lt;&gt;"",COUNTIF('Daily Schedule'!$F$5:$F42,'Daily Workforce'!$B106)=0,IF('Daily Schedule'!$A43=45,'Daily Workforce'!$J106="Y",IF(OR('Daily Schedule'!$A43=4,'Daily Schedule'!$A43=8),IF(OR(WEEKDAY('Daily Schedule'!$B$2,2)=1,WEEKDAY('Daily Schedule'!$B$2,2)=4,WEEKDAY('Daily Schedule'!$B$2,2)=5,WEEKDAY('Daily Schedule'!$B$2,2)=7),IFERROR(1*'Daily Workforce'!$K106&gt;=3,FALSE()),IFERROR(1*'Daily Workforce'!$K106&gt;=2,FALSE())),IF(AND('Daily Schedule'!$A43&gt;=46,'Daily Schedule'!$A43&lt;=52),'Daily Workforce'!$M106="Y",IFERROR(1*'Daily Workforce'!$P106&gt;=2,FALSE()))))),1,0)</f>
        <v>1</v>
      </c>
      <c r="DN39" s="1" t="n">
        <f aca="false">IF(AND('Daily Workforce'!$N107="Y",'Daily Workforce'!$B107&lt;&gt;"",COUNTIF('Daily Schedule'!$F$5:$F42,'Daily Workforce'!$B107)=0,IF('Daily Schedule'!$A43=45,'Daily Workforce'!$J107="Y",IF(OR('Daily Schedule'!$A43=4,'Daily Schedule'!$A43=8),IF(OR(WEEKDAY('Daily Schedule'!$B$2,2)=1,WEEKDAY('Daily Schedule'!$B$2,2)=4,WEEKDAY('Daily Schedule'!$B$2,2)=5,WEEKDAY('Daily Schedule'!$B$2,2)=7),IFERROR(1*'Daily Workforce'!$K107&gt;=3,FALSE()),IFERROR(1*'Daily Workforce'!$K107&gt;=2,FALSE())),IF(AND('Daily Schedule'!$A43&gt;=46,'Daily Schedule'!$A43&lt;=52),'Daily Workforce'!$M107="Y",IFERROR(1*'Daily Workforce'!$P107&gt;=2,FALSE()))))),1,0)</f>
        <v>1</v>
      </c>
      <c r="DO39" s="1" t="n">
        <f aca="false">IF(AND('Daily Workforce'!$N108="Y",'Daily Workforce'!$B108&lt;&gt;"",COUNTIF('Daily Schedule'!$F$5:$F42,'Daily Workforce'!$B108)=0,IF('Daily Schedule'!$A43=45,'Daily Workforce'!$J108="Y",IF(OR('Daily Schedule'!$A43=4,'Daily Schedule'!$A43=8),IF(OR(WEEKDAY('Daily Schedule'!$B$2,2)=1,WEEKDAY('Daily Schedule'!$B$2,2)=4,WEEKDAY('Daily Schedule'!$B$2,2)=5,WEEKDAY('Daily Schedule'!$B$2,2)=7),IFERROR(1*'Daily Workforce'!$K108&gt;=3,FALSE()),IFERROR(1*'Daily Workforce'!$K108&gt;=2,FALSE())),IF(AND('Daily Schedule'!$A43&gt;=46,'Daily Schedule'!$A43&lt;=52),'Daily Workforce'!$M108="Y",IFERROR(1*'Daily Workforce'!$P108&gt;=2,FALSE()))))),1,0)</f>
        <v>1</v>
      </c>
      <c r="DP39" s="1" t="n">
        <f aca="false">IF(AND('Daily Workforce'!$N109="Y",'Daily Workforce'!$B109&lt;&gt;"",COUNTIF('Daily Schedule'!$F$5:$F42,'Daily Workforce'!$B109)=0,IF('Daily Schedule'!$A43=45,'Daily Workforce'!$J109="Y",IF(OR('Daily Schedule'!$A43=4,'Daily Schedule'!$A43=8),IF(OR(WEEKDAY('Daily Schedule'!$B$2,2)=1,WEEKDAY('Daily Schedule'!$B$2,2)=4,WEEKDAY('Daily Schedule'!$B$2,2)=5,WEEKDAY('Daily Schedule'!$B$2,2)=7),IFERROR(1*'Daily Workforce'!$K109&gt;=3,FALSE()),IFERROR(1*'Daily Workforce'!$K109&gt;=2,FALSE())),IF(AND('Daily Schedule'!$A43&gt;=46,'Daily Schedule'!$A43&lt;=52),'Daily Workforce'!$M109="Y",IFERROR(1*'Daily Workforce'!$P109&gt;=2,FALSE()))))),1,0)</f>
        <v>1</v>
      </c>
      <c r="DQ39" s="1" t="n">
        <f aca="false">IF(AND('Daily Workforce'!$N110="Y",'Daily Workforce'!$B110&lt;&gt;"",COUNTIF('Daily Schedule'!$F$5:$F42,'Daily Workforce'!$B110)=0,IF('Daily Schedule'!$A43=45,'Daily Workforce'!$J110="Y",IF(OR('Daily Schedule'!$A43=4,'Daily Schedule'!$A43=8),IF(OR(WEEKDAY('Daily Schedule'!$B$2,2)=1,WEEKDAY('Daily Schedule'!$B$2,2)=4,WEEKDAY('Daily Schedule'!$B$2,2)=5,WEEKDAY('Daily Schedule'!$B$2,2)=7),IFERROR(1*'Daily Workforce'!$K110&gt;=3,FALSE()),IFERROR(1*'Daily Workforce'!$K110&gt;=2,FALSE())),IF(AND('Daily Schedule'!$A43&gt;=46,'Daily Schedule'!$A43&lt;=52),'Daily Workforce'!$M110="Y",IFERROR(1*'Daily Workforce'!$P110&gt;=2,FALSE()))))),1,0)</f>
        <v>1</v>
      </c>
      <c r="DR39" s="1" t="n">
        <f aca="false">IF(AND('Daily Workforce'!$N111="Y",'Daily Workforce'!$B111&lt;&gt;"",COUNTIF('Daily Schedule'!$F$5:$F42,'Daily Workforce'!$B111)=0,IF('Daily Schedule'!$A43=45,'Daily Workforce'!$J111="Y",IF(OR('Daily Schedule'!$A43=4,'Daily Schedule'!$A43=8),IF(OR(WEEKDAY('Daily Schedule'!$B$2,2)=1,WEEKDAY('Daily Schedule'!$B$2,2)=4,WEEKDAY('Daily Schedule'!$B$2,2)=5,WEEKDAY('Daily Schedule'!$B$2,2)=7),IFERROR(1*'Daily Workforce'!$K111&gt;=3,FALSE()),IFERROR(1*'Daily Workforce'!$K111&gt;=2,FALSE())),IF(AND('Daily Schedule'!$A43&gt;=46,'Daily Schedule'!$A43&lt;=52),'Daily Workforce'!$M111="Y",IFERROR(1*'Daily Workforce'!$P111&gt;=2,FALSE()))))),1,0)</f>
        <v>1</v>
      </c>
      <c r="DS39" s="1" t="n">
        <f aca="false">IF(AND('Daily Workforce'!$N112="Y",'Daily Workforce'!$B112&lt;&gt;"",COUNTIF('Daily Schedule'!$F$5:$F42,'Daily Workforce'!$B112)=0,IF('Daily Schedule'!$A43=45,'Daily Workforce'!$J112="Y",IF(OR('Daily Schedule'!$A43=4,'Daily Schedule'!$A43=8),IF(OR(WEEKDAY('Daily Schedule'!$B$2,2)=1,WEEKDAY('Daily Schedule'!$B$2,2)=4,WEEKDAY('Daily Schedule'!$B$2,2)=5,WEEKDAY('Daily Schedule'!$B$2,2)=7),IFERROR(1*'Daily Workforce'!$K112&gt;=3,FALSE()),IFERROR(1*'Daily Workforce'!$K112&gt;=2,FALSE())),IF(AND('Daily Schedule'!$A43&gt;=46,'Daily Schedule'!$A43&lt;=52),'Daily Workforce'!$M112="Y",IFERROR(1*'Daily Workforce'!$P112&gt;=2,FALSE()))))),1,0)</f>
        <v>1</v>
      </c>
      <c r="DT39" s="1" t="n">
        <f aca="false">IF(AND('Daily Workforce'!$N113="Y",'Daily Workforce'!$B113&lt;&gt;"",COUNTIF('Daily Schedule'!$F$5:$F42,'Daily Workforce'!$B113)=0,IF('Daily Schedule'!$A43=45,'Daily Workforce'!$J113="Y",IF(OR('Daily Schedule'!$A43=4,'Daily Schedule'!$A43=8),IF(OR(WEEKDAY('Daily Schedule'!$B$2,2)=1,WEEKDAY('Daily Schedule'!$B$2,2)=4,WEEKDAY('Daily Schedule'!$B$2,2)=5,WEEKDAY('Daily Schedule'!$B$2,2)=7),IFERROR(1*'Daily Workforce'!$K113&gt;=3,FALSE()),IFERROR(1*'Daily Workforce'!$K113&gt;=2,FALSE())),IF(AND('Daily Schedule'!$A43&gt;=46,'Daily Schedule'!$A43&lt;=52),'Daily Workforce'!$M113="Y",IFERROR(1*'Daily Workforce'!$P113&gt;=2,FALSE()))))),1,0)</f>
        <v>1</v>
      </c>
      <c r="DU39" s="1" t="n">
        <f aca="false">IF(AND('Daily Workforce'!$N114="Y",'Daily Workforce'!$B114&lt;&gt;"",COUNTIF('Daily Schedule'!$F$5:$F42,'Daily Workforce'!$B114)=0,IF('Daily Schedule'!$A43=45,'Daily Workforce'!$J114="Y",IF(OR('Daily Schedule'!$A43=4,'Daily Schedule'!$A43=8),IF(OR(WEEKDAY('Daily Schedule'!$B$2,2)=1,WEEKDAY('Daily Schedule'!$B$2,2)=4,WEEKDAY('Daily Schedule'!$B$2,2)=5,WEEKDAY('Daily Schedule'!$B$2,2)=7),IFERROR(1*'Daily Workforce'!$K114&gt;=3,FALSE()),IFERROR(1*'Daily Workforce'!$K114&gt;=2,FALSE())),IF(AND('Daily Schedule'!$A43&gt;=46,'Daily Schedule'!$A43&lt;=52),'Daily Workforce'!$M114="Y",IFERROR(1*'Daily Workforce'!$P114&gt;=2,FALSE()))))),1,0)</f>
        <v>1</v>
      </c>
      <c r="DV39" s="1" t="n">
        <f aca="false">IF(AND('Daily Workforce'!$N115="Y",'Daily Workforce'!$B115&lt;&gt;"",COUNTIF('Daily Schedule'!$F$5:$F42,'Daily Workforce'!$B115)=0,IF('Daily Schedule'!$A43=45,'Daily Workforce'!$J115="Y",IF(OR('Daily Schedule'!$A43=4,'Daily Schedule'!$A43=8),IF(OR(WEEKDAY('Daily Schedule'!$B$2,2)=1,WEEKDAY('Daily Schedule'!$B$2,2)=4,WEEKDAY('Daily Schedule'!$B$2,2)=5,WEEKDAY('Daily Schedule'!$B$2,2)=7),IFERROR(1*'Daily Workforce'!$K115&gt;=3,FALSE()),IFERROR(1*'Daily Workforce'!$K115&gt;=2,FALSE())),IF(AND('Daily Schedule'!$A43&gt;=46,'Daily Schedule'!$A43&lt;=52),'Daily Workforce'!$M115="Y",IFERROR(1*'Daily Workforce'!$P115&gt;=2,FALSE()))))),1,0)</f>
        <v>1</v>
      </c>
      <c r="DW39" s="1" t="n">
        <f aca="false">IF(AND('Daily Workforce'!$N116="Y",'Daily Workforce'!$B116&lt;&gt;"",COUNTIF('Daily Schedule'!$F$5:$F42,'Daily Workforce'!$B116)=0,IF('Daily Schedule'!$A43=45,'Daily Workforce'!$J116="Y",IF(OR('Daily Schedule'!$A43=4,'Daily Schedule'!$A43=8),IF(OR(WEEKDAY('Daily Schedule'!$B$2,2)=1,WEEKDAY('Daily Schedule'!$B$2,2)=4,WEEKDAY('Daily Schedule'!$B$2,2)=5,WEEKDAY('Daily Schedule'!$B$2,2)=7),IFERROR(1*'Daily Workforce'!$K116&gt;=3,FALSE()),IFERROR(1*'Daily Workforce'!$K116&gt;=2,FALSE())),IF(AND('Daily Schedule'!$A43&gt;=46,'Daily Schedule'!$A43&lt;=52),'Daily Workforce'!$M116="Y",IFERROR(1*'Daily Workforce'!$P116&gt;=2,FALSE()))))),1,0)</f>
        <v>1</v>
      </c>
      <c r="DX39" s="1" t="n">
        <f aca="false">IF(AND('Daily Workforce'!$N117="Y",'Daily Workforce'!$B117&lt;&gt;"",COUNTIF('Daily Schedule'!$F$5:$F42,'Daily Workforce'!$B117)=0,IF('Daily Schedule'!$A43=45,'Daily Workforce'!$J117="Y",IF(OR('Daily Schedule'!$A43=4,'Daily Schedule'!$A43=8),IF(OR(WEEKDAY('Daily Schedule'!$B$2,2)=1,WEEKDAY('Daily Schedule'!$B$2,2)=4,WEEKDAY('Daily Schedule'!$B$2,2)=5,WEEKDAY('Daily Schedule'!$B$2,2)=7),IFERROR(1*'Daily Workforce'!$K117&gt;=3,FALSE()),IFERROR(1*'Daily Workforce'!$K117&gt;=2,FALSE())),IF(AND('Daily Schedule'!$A43&gt;=46,'Daily Schedule'!$A43&lt;=52),'Daily Workforce'!$M117="Y",IFERROR(1*'Daily Workforce'!$P117&gt;=2,FALSE()))))),1,0)</f>
        <v>1</v>
      </c>
      <c r="DY39" s="1" t="n">
        <f aca="false">IF(AND('Daily Workforce'!$N118="Y",'Daily Workforce'!$B118&lt;&gt;"",COUNTIF('Daily Schedule'!$F$5:$F42,'Daily Workforce'!$B118)=0,IF('Daily Schedule'!$A43=45,'Daily Workforce'!$J118="Y",IF(OR('Daily Schedule'!$A43=4,'Daily Schedule'!$A43=8),IF(OR(WEEKDAY('Daily Schedule'!$B$2,2)=1,WEEKDAY('Daily Schedule'!$B$2,2)=4,WEEKDAY('Daily Schedule'!$B$2,2)=5,WEEKDAY('Daily Schedule'!$B$2,2)=7),IFERROR(1*'Daily Workforce'!$K118&gt;=3,FALSE()),IFERROR(1*'Daily Workforce'!$K118&gt;=2,FALSE())),IF(AND('Daily Schedule'!$A43&gt;=46,'Daily Schedule'!$A43&lt;=52),'Daily Workforce'!$M118="Y",IFERROR(1*'Daily Workforce'!$P118&gt;=2,FALSE()))))),1,0)</f>
        <v>0</v>
      </c>
      <c r="DZ39" s="1" t="n">
        <f aca="false">IF(AND('Daily Workforce'!$N119="Y",'Daily Workforce'!$B119&lt;&gt;"",COUNTIF('Daily Schedule'!$F$5:$F42,'Daily Workforce'!$B119)=0,IF('Daily Schedule'!$A43=45,'Daily Workforce'!$J119="Y",IF(OR('Daily Schedule'!$A43=4,'Daily Schedule'!$A43=8),IF(OR(WEEKDAY('Daily Schedule'!$B$2,2)=1,WEEKDAY('Daily Schedule'!$B$2,2)=4,WEEKDAY('Daily Schedule'!$B$2,2)=5,WEEKDAY('Daily Schedule'!$B$2,2)=7),IFERROR(1*'Daily Workforce'!$K119&gt;=3,FALSE()),IFERROR(1*'Daily Workforce'!$K119&gt;=2,FALSE())),IF(AND('Daily Schedule'!$A43&gt;=46,'Daily Schedule'!$A43&lt;=52),'Daily Workforce'!$M119="Y",IFERROR(1*'Daily Workforce'!$P119&gt;=2,FALSE()))))),1,0)</f>
        <v>0</v>
      </c>
      <c r="EA39" s="1" t="n">
        <f aca="false">IF(AND('Daily Workforce'!$N120="Y",'Daily Workforce'!$B120&lt;&gt;"",COUNTIF('Daily Schedule'!$F$5:$F42,'Daily Workforce'!$B120)=0,IF('Daily Schedule'!$A43=45,'Daily Workforce'!$J120="Y",IF(OR('Daily Schedule'!$A43=4,'Daily Schedule'!$A43=8),IF(OR(WEEKDAY('Daily Schedule'!$B$2,2)=1,WEEKDAY('Daily Schedule'!$B$2,2)=4,WEEKDAY('Daily Schedule'!$B$2,2)=5,WEEKDAY('Daily Schedule'!$B$2,2)=7),IFERROR(1*'Daily Workforce'!$K120&gt;=3,FALSE()),IFERROR(1*'Daily Workforce'!$K120&gt;=2,FALSE())),IF(AND('Daily Schedule'!$A43&gt;=46,'Daily Schedule'!$A43&lt;=52),'Daily Workforce'!$M120="Y",IFERROR(1*'Daily Workforce'!$P120&gt;=2,FALSE()))))),1,0)</f>
        <v>0</v>
      </c>
      <c r="EB39" s="1" t="n">
        <f aca="false">IF(AND('Daily Workforce'!$N121="Y",'Daily Workforce'!$B121&lt;&gt;"",COUNTIF('Daily Schedule'!$F$5:$F42,'Daily Workforce'!$B121)=0,IF('Daily Schedule'!$A43=45,'Daily Workforce'!$J121="Y",IF(OR('Daily Schedule'!$A43=4,'Daily Schedule'!$A43=8),IF(OR(WEEKDAY('Daily Schedule'!$B$2,2)=1,WEEKDAY('Daily Schedule'!$B$2,2)=4,WEEKDAY('Daily Schedule'!$B$2,2)=5,WEEKDAY('Daily Schedule'!$B$2,2)=7),IFERROR(1*'Daily Workforce'!$K121&gt;=3,FALSE()),IFERROR(1*'Daily Workforce'!$K121&gt;=2,FALSE())),IF(AND('Daily Schedule'!$A43&gt;=46,'Daily Schedule'!$A43&lt;=52),'Daily Workforce'!$M121="Y",IFERROR(1*'Daily Workforce'!$P121&gt;=2,FALSE()))))),1,0)</f>
        <v>0</v>
      </c>
      <c r="EC39" s="1" t="n">
        <f aca="false">IF(AND('Daily Workforce'!$N122="Y",'Daily Workforce'!$B122&lt;&gt;"",COUNTIF('Daily Schedule'!$F$5:$F42,'Daily Workforce'!$B122)=0,IF('Daily Schedule'!$A43=45,'Daily Workforce'!$J122="Y",IF(OR('Daily Schedule'!$A43=4,'Daily Schedule'!$A43=8),IF(OR(WEEKDAY('Daily Schedule'!$B$2,2)=1,WEEKDAY('Daily Schedule'!$B$2,2)=4,WEEKDAY('Daily Schedule'!$B$2,2)=5,WEEKDAY('Daily Schedule'!$B$2,2)=7),IFERROR(1*'Daily Workforce'!$K122&gt;=3,FALSE()),IFERROR(1*'Daily Workforce'!$K122&gt;=2,FALSE())),IF(AND('Daily Schedule'!$A43&gt;=46,'Daily Schedule'!$A43&lt;=52),'Daily Workforce'!$M122="Y",IFERROR(1*'Daily Workforce'!$P122&gt;=2,FALSE()))))),1,0)</f>
        <v>0</v>
      </c>
      <c r="ED39" s="1" t="n">
        <f aca="false">IF(AND('Daily Workforce'!$N123="Y",'Daily Workforce'!$B123&lt;&gt;"",COUNTIF('Daily Schedule'!$F$5:$F42,'Daily Workforce'!$B123)=0,IF('Daily Schedule'!$A43=45,'Daily Workforce'!$J123="Y",IF(OR('Daily Schedule'!$A43=4,'Daily Schedule'!$A43=8),IF(OR(WEEKDAY('Daily Schedule'!$B$2,2)=1,WEEKDAY('Daily Schedule'!$B$2,2)=4,WEEKDAY('Daily Schedule'!$B$2,2)=5,WEEKDAY('Daily Schedule'!$B$2,2)=7),IFERROR(1*'Daily Workforce'!$K123&gt;=3,FALSE()),IFERROR(1*'Daily Workforce'!$K123&gt;=2,FALSE())),IF(AND('Daily Schedule'!$A43&gt;=46,'Daily Schedule'!$A43&lt;=52),'Daily Workforce'!$M123="Y",IFERROR(1*'Daily Workforce'!$P123&gt;=2,FALSE()))))),1,0)</f>
        <v>0</v>
      </c>
      <c r="EE39" s="1" t="n">
        <f aca="false">IF(AND('Daily Workforce'!$N124="Y",'Daily Workforce'!$B124&lt;&gt;"",COUNTIF('Daily Schedule'!$F$5:$F42,'Daily Workforce'!$B124)=0,IF('Daily Schedule'!$A43=45,'Daily Workforce'!$J124="Y",IF(OR('Daily Schedule'!$A43=4,'Daily Schedule'!$A43=8),IF(OR(WEEKDAY('Daily Schedule'!$B$2,2)=1,WEEKDAY('Daily Schedule'!$B$2,2)=4,WEEKDAY('Daily Schedule'!$B$2,2)=5,WEEKDAY('Daily Schedule'!$B$2,2)=7),IFERROR(1*'Daily Workforce'!$K124&gt;=3,FALSE()),IFERROR(1*'Daily Workforce'!$K124&gt;=2,FALSE())),IF(AND('Daily Schedule'!$A43&gt;=46,'Daily Schedule'!$A43&lt;=52),'Daily Workforce'!$M124="Y",IFERROR(1*'Daily Workforce'!$P124&gt;=2,FALSE()))))),1,0)</f>
        <v>0</v>
      </c>
      <c r="EF39" s="1" t="n">
        <f aca="false">IF(AND('Daily Workforce'!$N125="Y",'Daily Workforce'!$B125&lt;&gt;"",COUNTIF('Daily Schedule'!$F$5:$F42,'Daily Workforce'!$B125)=0,IF('Daily Schedule'!$A43=45,'Daily Workforce'!$J125="Y",IF(OR('Daily Schedule'!$A43=4,'Daily Schedule'!$A43=8),IF(OR(WEEKDAY('Daily Schedule'!$B$2,2)=1,WEEKDAY('Daily Schedule'!$B$2,2)=4,WEEKDAY('Daily Schedule'!$B$2,2)=5,WEEKDAY('Daily Schedule'!$B$2,2)=7),IFERROR(1*'Daily Workforce'!$K125&gt;=3,FALSE()),IFERROR(1*'Daily Workforce'!$K125&gt;=2,FALSE())),IF(AND('Daily Schedule'!$A43&gt;=46,'Daily Schedule'!$A43&lt;=52),'Daily Workforce'!$M125="Y",IFERROR(1*'Daily Workforce'!$P125&gt;=2,FALSE()))))),1,0)</f>
        <v>0</v>
      </c>
      <c r="EG39" s="1" t="n">
        <f aca="false">IF(AND('Daily Workforce'!$N126="Y",'Daily Workforce'!$B126&lt;&gt;"",COUNTIF('Daily Schedule'!$F$5:$F42,'Daily Workforce'!$B126)=0,IF('Daily Schedule'!$A43=45,'Daily Workforce'!$J126="Y",IF(OR('Daily Schedule'!$A43=4,'Daily Schedule'!$A43=8),IF(OR(WEEKDAY('Daily Schedule'!$B$2,2)=1,WEEKDAY('Daily Schedule'!$B$2,2)=4,WEEKDAY('Daily Schedule'!$B$2,2)=5,WEEKDAY('Daily Schedule'!$B$2,2)=7),IFERROR(1*'Daily Workforce'!$K126&gt;=3,FALSE()),IFERROR(1*'Daily Workforce'!$K126&gt;=2,FALSE())),IF(AND('Daily Schedule'!$A43&gt;=46,'Daily Schedule'!$A43&lt;=52),'Daily Workforce'!$M126="Y",IFERROR(1*'Daily Workforce'!$P126&gt;=2,FALSE()))))),1,0)</f>
        <v>0</v>
      </c>
      <c r="EH39" s="1" t="n">
        <f aca="false">IF(AND('Daily Workforce'!$N127="Y",'Daily Workforce'!$B127&lt;&gt;"",COUNTIF('Daily Schedule'!$F$5:$F42,'Daily Workforce'!$B127)=0,IF('Daily Schedule'!$A43=45,'Daily Workforce'!$J127="Y",IF(OR('Daily Schedule'!$A43=4,'Daily Schedule'!$A43=8),IF(OR(WEEKDAY('Daily Schedule'!$B$2,2)=1,WEEKDAY('Daily Schedule'!$B$2,2)=4,WEEKDAY('Daily Schedule'!$B$2,2)=5,WEEKDAY('Daily Schedule'!$B$2,2)=7),IFERROR(1*'Daily Workforce'!$K127&gt;=3,FALSE()),IFERROR(1*'Daily Workforce'!$K127&gt;=2,FALSE())),IF(AND('Daily Schedule'!$A43&gt;=46,'Daily Schedule'!$A43&lt;=52),'Daily Workforce'!$M127="Y",IFERROR(1*'Daily Workforce'!$P127&gt;=2,FALSE()))))),1,0)</f>
        <v>0</v>
      </c>
      <c r="EI39" s="1" t="n">
        <f aca="false">IF(AND('Daily Workforce'!$N128="Y",'Daily Workforce'!$B128&lt;&gt;"",COUNTIF('Daily Schedule'!$F$5:$F42,'Daily Workforce'!$B128)=0,IF('Daily Schedule'!$A43=45,'Daily Workforce'!$J128="Y",IF(OR('Daily Schedule'!$A43=4,'Daily Schedule'!$A43=8),IF(OR(WEEKDAY('Daily Schedule'!$B$2,2)=1,WEEKDAY('Daily Schedule'!$B$2,2)=4,WEEKDAY('Daily Schedule'!$B$2,2)=5,WEEKDAY('Daily Schedule'!$B$2,2)=7),IFERROR(1*'Daily Workforce'!$K128&gt;=3,FALSE()),IFERROR(1*'Daily Workforce'!$K128&gt;=2,FALSE())),IF(AND('Daily Schedule'!$A43&gt;=46,'Daily Schedule'!$A43&lt;=52),'Daily Workforce'!$M128="Y",IFERROR(1*'Daily Workforce'!$P128&gt;=2,FALSE()))))),1,0)</f>
        <v>0</v>
      </c>
      <c r="EJ39" s="1" t="n">
        <f aca="false">IF(AND('Daily Workforce'!$N129="Y",'Daily Workforce'!$B129&lt;&gt;"",COUNTIF('Daily Schedule'!$F$5:$F42,'Daily Workforce'!$B129)=0,IF('Daily Schedule'!$A43=45,'Daily Workforce'!$J129="Y",IF(OR('Daily Schedule'!$A43=4,'Daily Schedule'!$A43=8),IF(OR(WEEKDAY('Daily Schedule'!$B$2,2)=1,WEEKDAY('Daily Schedule'!$B$2,2)=4,WEEKDAY('Daily Schedule'!$B$2,2)=5,WEEKDAY('Daily Schedule'!$B$2,2)=7),IFERROR(1*'Daily Workforce'!$K129&gt;=3,FALSE()),IFERROR(1*'Daily Workforce'!$K129&gt;=2,FALSE())),IF(AND('Daily Schedule'!$A43&gt;=46,'Daily Schedule'!$A43&lt;=52),'Daily Workforce'!$M129="Y",IFERROR(1*'Daily Workforce'!$P129&gt;=2,FALSE()))))),1,0)</f>
        <v>0</v>
      </c>
      <c r="EK39" s="1" t="n">
        <f aca="false">IF(AND('Daily Workforce'!$N130="Y",'Daily Workforce'!$B130&lt;&gt;"",COUNTIF('Daily Schedule'!$F$5:$F42,'Daily Workforce'!$B130)=0,IF('Daily Schedule'!$A43=45,'Daily Workforce'!$J130="Y",IF(OR('Daily Schedule'!$A43=4,'Daily Schedule'!$A43=8),IF(OR(WEEKDAY('Daily Schedule'!$B$2,2)=1,WEEKDAY('Daily Schedule'!$B$2,2)=4,WEEKDAY('Daily Schedule'!$B$2,2)=5,WEEKDAY('Daily Schedule'!$B$2,2)=7),IFERROR(1*'Daily Workforce'!$K130&gt;=3,FALSE()),IFERROR(1*'Daily Workforce'!$K130&gt;=2,FALSE())),IF(AND('Daily Schedule'!$A43&gt;=46,'Daily Schedule'!$A43&lt;=52),'Daily Workforce'!$M130="Y",IFERROR(1*'Daily Workforce'!$P130&gt;=2,FALSE()))))),1,0)</f>
        <v>0</v>
      </c>
      <c r="EL39" s="1" t="n">
        <f aca="false">IF(AND('Daily Workforce'!$N131="Y",'Daily Workforce'!$B131&lt;&gt;"",COUNTIF('Daily Schedule'!$F$5:$F42,'Daily Workforce'!$B131)=0,IF('Daily Schedule'!$A43=45,'Daily Workforce'!$J131="Y",IF(OR('Daily Schedule'!$A43=4,'Daily Schedule'!$A43=8),IF(OR(WEEKDAY('Daily Schedule'!$B$2,2)=1,WEEKDAY('Daily Schedule'!$B$2,2)=4,WEEKDAY('Daily Schedule'!$B$2,2)=5,WEEKDAY('Daily Schedule'!$B$2,2)=7),IFERROR(1*'Daily Workforce'!$K131&gt;=3,FALSE()),IFERROR(1*'Daily Workforce'!$K131&gt;=2,FALSE())),IF(AND('Daily Schedule'!$A43&gt;=46,'Daily Schedule'!$A43&lt;=52),'Daily Workforce'!$M131="Y",IFERROR(1*'Daily Workforce'!$P131&gt;=2,FALSE()))))),1,0)</f>
        <v>0</v>
      </c>
      <c r="EM39" s="1" t="n">
        <f aca="false">IF(AND('Daily Workforce'!$N132="Y",'Daily Workforce'!$B132&lt;&gt;"",COUNTIF('Daily Schedule'!$F$5:$F42,'Daily Workforce'!$B132)=0,IF('Daily Schedule'!$A43=45,'Daily Workforce'!$J132="Y",IF(OR('Daily Schedule'!$A43=4,'Daily Schedule'!$A43=8),IF(OR(WEEKDAY('Daily Schedule'!$B$2,2)=1,WEEKDAY('Daily Schedule'!$B$2,2)=4,WEEKDAY('Daily Schedule'!$B$2,2)=5,WEEKDAY('Daily Schedule'!$B$2,2)=7),IFERROR(1*'Daily Workforce'!$K132&gt;=3,FALSE()),IFERROR(1*'Daily Workforce'!$K132&gt;=2,FALSE())),IF(AND('Daily Schedule'!$A43&gt;=46,'Daily Schedule'!$A43&lt;=52),'Daily Workforce'!$M132="Y",IFERROR(1*'Daily Workforce'!$P132&gt;=2,FALSE()))))),1,0)</f>
        <v>0</v>
      </c>
      <c r="EN39" s="1" t="n">
        <f aca="false">IF(AND('Daily Workforce'!$N133="Y",'Daily Workforce'!$B133&lt;&gt;"",COUNTIF('Daily Schedule'!$F$5:$F42,'Daily Workforce'!$B133)=0,IF('Daily Schedule'!$A43=45,'Daily Workforce'!$J133="Y",IF(OR('Daily Schedule'!$A43=4,'Daily Schedule'!$A43=8),IF(OR(WEEKDAY('Daily Schedule'!$B$2,2)=1,WEEKDAY('Daily Schedule'!$B$2,2)=4,WEEKDAY('Daily Schedule'!$B$2,2)=5,WEEKDAY('Daily Schedule'!$B$2,2)=7),IFERROR(1*'Daily Workforce'!$K133&gt;=3,FALSE()),IFERROR(1*'Daily Workforce'!$K133&gt;=2,FALSE())),IF(AND('Daily Schedule'!$A43&gt;=46,'Daily Schedule'!$A43&lt;=52),'Daily Workforce'!$M133="Y",IFERROR(1*'Daily Workforce'!$P133&gt;=2,FALSE()))))),1,0)</f>
        <v>0</v>
      </c>
      <c r="EO39" s="1" t="n">
        <f aca="false">IF(AND('Daily Workforce'!$N134="Y",'Daily Workforce'!$B134&lt;&gt;"",COUNTIF('Daily Schedule'!$F$5:$F42,'Daily Workforce'!$B134)=0,IF('Daily Schedule'!$A43=45,'Daily Workforce'!$J134="Y",IF(OR('Daily Schedule'!$A43=4,'Daily Schedule'!$A43=8),IF(OR(WEEKDAY('Daily Schedule'!$B$2,2)=1,WEEKDAY('Daily Schedule'!$B$2,2)=4,WEEKDAY('Daily Schedule'!$B$2,2)=5,WEEKDAY('Daily Schedule'!$B$2,2)=7),IFERROR(1*'Daily Workforce'!$K134&gt;=3,FALSE()),IFERROR(1*'Daily Workforce'!$K134&gt;=2,FALSE())),IF(AND('Daily Schedule'!$A43&gt;=46,'Daily Schedule'!$A43&lt;=52),'Daily Workforce'!$M134="Y",IFERROR(1*'Daily Workforce'!$P134&gt;=2,FALSE()))))),1,0)</f>
        <v>0</v>
      </c>
      <c r="EP39" s="1" t="n">
        <f aca="false">IF(AND('Daily Workforce'!$N135="Y",'Daily Workforce'!$B135&lt;&gt;"",COUNTIF('Daily Schedule'!$F$5:$F42,'Daily Workforce'!$B135)=0,IF('Daily Schedule'!$A43=45,'Daily Workforce'!$J135="Y",IF(OR('Daily Schedule'!$A43=4,'Daily Schedule'!$A43=8),IF(OR(WEEKDAY('Daily Schedule'!$B$2,2)=1,WEEKDAY('Daily Schedule'!$B$2,2)=4,WEEKDAY('Daily Schedule'!$B$2,2)=5,WEEKDAY('Daily Schedule'!$B$2,2)=7),IFERROR(1*'Daily Workforce'!$K135&gt;=3,FALSE()),IFERROR(1*'Daily Workforce'!$K135&gt;=2,FALSE())),IF(AND('Daily Schedule'!$A43&gt;=46,'Daily Schedule'!$A43&lt;=52),'Daily Workforce'!$M135="Y",IFERROR(1*'Daily Workforce'!$P135&gt;=2,FALSE()))))),1,0)</f>
        <v>0</v>
      </c>
      <c r="EQ39" s="1" t="n">
        <f aca="false">IF(AND('Daily Workforce'!$N136="Y",'Daily Workforce'!$B136&lt;&gt;"",COUNTIF('Daily Schedule'!$F$5:$F42,'Daily Workforce'!$B136)=0,IF('Daily Schedule'!$A43=45,'Daily Workforce'!$J136="Y",IF(OR('Daily Schedule'!$A43=4,'Daily Schedule'!$A43=8),IF(OR(WEEKDAY('Daily Schedule'!$B$2,2)=1,WEEKDAY('Daily Schedule'!$B$2,2)=4,WEEKDAY('Daily Schedule'!$B$2,2)=5,WEEKDAY('Daily Schedule'!$B$2,2)=7),IFERROR(1*'Daily Workforce'!$K136&gt;=3,FALSE()),IFERROR(1*'Daily Workforce'!$K136&gt;=2,FALSE())),IF(AND('Daily Schedule'!$A43&gt;=46,'Daily Schedule'!$A43&lt;=52),'Daily Workforce'!$M136="Y",IFERROR(1*'Daily Workforce'!$P136&gt;=2,FALSE()))))),1,0)</f>
        <v>0</v>
      </c>
      <c r="ER39" s="1" t="n">
        <f aca="false">IF(AND('Daily Workforce'!$N137="Y",'Daily Workforce'!$B137&lt;&gt;"",COUNTIF('Daily Schedule'!$F$5:$F42,'Daily Workforce'!$B137)=0,IF('Daily Schedule'!$A43=45,'Daily Workforce'!$J137="Y",IF(OR('Daily Schedule'!$A43=4,'Daily Schedule'!$A43=8),IF(OR(WEEKDAY('Daily Schedule'!$B$2,2)=1,WEEKDAY('Daily Schedule'!$B$2,2)=4,WEEKDAY('Daily Schedule'!$B$2,2)=5,WEEKDAY('Daily Schedule'!$B$2,2)=7),IFERROR(1*'Daily Workforce'!$K137&gt;=3,FALSE()),IFERROR(1*'Daily Workforce'!$K137&gt;=2,FALSE())),IF(AND('Daily Schedule'!$A43&gt;=46,'Daily Schedule'!$A43&lt;=52),'Daily Workforce'!$M137="Y",IFERROR(1*'Daily Workforce'!$P137&gt;=2,FALSE()))))),1,0)</f>
        <v>0</v>
      </c>
      <c r="ES39" s="1" t="n">
        <f aca="false">IF(AND('Daily Workforce'!$N138="Y",'Daily Workforce'!$B138&lt;&gt;"",COUNTIF('Daily Schedule'!$F$5:$F42,'Daily Workforce'!$B138)=0,IF('Daily Schedule'!$A43=45,'Daily Workforce'!$J138="Y",IF(OR('Daily Schedule'!$A43=4,'Daily Schedule'!$A43=8),IF(OR(WEEKDAY('Daily Schedule'!$B$2,2)=1,WEEKDAY('Daily Schedule'!$B$2,2)=4,WEEKDAY('Daily Schedule'!$B$2,2)=5,WEEKDAY('Daily Schedule'!$B$2,2)=7),IFERROR(1*'Daily Workforce'!$K138&gt;=3,FALSE()),IFERROR(1*'Daily Workforce'!$K138&gt;=2,FALSE())),IF(AND('Daily Schedule'!$A43&gt;=46,'Daily Schedule'!$A43&lt;=52),'Daily Workforce'!$M138="Y",IFERROR(1*'Daily Workforce'!$P138&gt;=2,FALSE()))))),1,0)</f>
        <v>0</v>
      </c>
      <c r="ET39" s="1" t="n">
        <f aca="false">IF(AND('Daily Workforce'!$N139="Y",'Daily Workforce'!$B139&lt;&gt;"",COUNTIF('Daily Schedule'!$F$5:$F42,'Daily Workforce'!$B139)=0,IF('Daily Schedule'!$A43=45,'Daily Workforce'!$J139="Y",IF(OR('Daily Schedule'!$A43=4,'Daily Schedule'!$A43=8),IF(OR(WEEKDAY('Daily Schedule'!$B$2,2)=1,WEEKDAY('Daily Schedule'!$B$2,2)=4,WEEKDAY('Daily Schedule'!$B$2,2)=5,WEEKDAY('Daily Schedule'!$B$2,2)=7),IFERROR(1*'Daily Workforce'!$K139&gt;=3,FALSE()),IFERROR(1*'Daily Workforce'!$K139&gt;=2,FALSE())),IF(AND('Daily Schedule'!$A43&gt;=46,'Daily Schedule'!$A43&lt;=52),'Daily Workforce'!$M139="Y",IFERROR(1*'Daily Workforce'!$P139&gt;=2,FALSE()))))),1,0)</f>
        <v>0</v>
      </c>
      <c r="EU39" s="1" t="n">
        <f aca="false">IF(AND('Daily Workforce'!$N140="Y",'Daily Workforce'!$B140&lt;&gt;"",COUNTIF('Daily Schedule'!$F$5:$F42,'Daily Workforce'!$B140)=0,IF('Daily Schedule'!$A43=45,'Daily Workforce'!$J140="Y",IF(OR('Daily Schedule'!$A43=4,'Daily Schedule'!$A43=8),IF(OR(WEEKDAY('Daily Schedule'!$B$2,2)=1,WEEKDAY('Daily Schedule'!$B$2,2)=4,WEEKDAY('Daily Schedule'!$B$2,2)=5,WEEKDAY('Daily Schedule'!$B$2,2)=7),IFERROR(1*'Daily Workforce'!$K140&gt;=3,FALSE()),IFERROR(1*'Daily Workforce'!$K140&gt;=2,FALSE())),IF(AND('Daily Schedule'!$A43&gt;=46,'Daily Schedule'!$A43&lt;=52),'Daily Workforce'!$M140="Y",IFERROR(1*'Daily Workforce'!$P140&gt;=2,FALSE()))))),1,0)</f>
        <v>0</v>
      </c>
      <c r="EV39" s="1" t="n">
        <f aca="false">IF(AND('Daily Workforce'!$N141="Y",'Daily Workforce'!$B141&lt;&gt;"",COUNTIF('Daily Schedule'!$F$5:$F42,'Daily Workforce'!$B141)=0,IF('Daily Schedule'!$A43=45,'Daily Workforce'!$J141="Y",IF(OR('Daily Schedule'!$A43=4,'Daily Schedule'!$A43=8),IF(OR(WEEKDAY('Daily Schedule'!$B$2,2)=1,WEEKDAY('Daily Schedule'!$B$2,2)=4,WEEKDAY('Daily Schedule'!$B$2,2)=5,WEEKDAY('Daily Schedule'!$B$2,2)=7),IFERROR(1*'Daily Workforce'!$K141&gt;=3,FALSE()),IFERROR(1*'Daily Workforce'!$K141&gt;=2,FALSE())),IF(AND('Daily Schedule'!$A43&gt;=46,'Daily Schedule'!$A43&lt;=52),'Daily Workforce'!$M141="Y",IFERROR(1*'Daily Workforce'!$P141&gt;=2,FALSE()))))),1,0)</f>
        <v>0</v>
      </c>
      <c r="EW39" s="1" t="n">
        <f aca="false">IF(AND('Daily Workforce'!$N142="Y",'Daily Workforce'!$B142&lt;&gt;"",COUNTIF('Daily Schedule'!$F$5:$F42,'Daily Workforce'!$B142)=0,IF('Daily Schedule'!$A43=45,'Daily Workforce'!$J142="Y",IF(OR('Daily Schedule'!$A43=4,'Daily Schedule'!$A43=8),IF(OR(WEEKDAY('Daily Schedule'!$B$2,2)=1,WEEKDAY('Daily Schedule'!$B$2,2)=4,WEEKDAY('Daily Schedule'!$B$2,2)=5,WEEKDAY('Daily Schedule'!$B$2,2)=7),IFERROR(1*'Daily Workforce'!$K142&gt;=3,FALSE()),IFERROR(1*'Daily Workforce'!$K142&gt;=2,FALSE())),IF(AND('Daily Schedule'!$A43&gt;=46,'Daily Schedule'!$A43&lt;=52),'Daily Workforce'!$M142="Y",IFERROR(1*'Daily Workforce'!$P142&gt;=2,FALSE()))))),1,0)</f>
        <v>0</v>
      </c>
      <c r="EX39" s="1" t="n">
        <f aca="false">IF(AND('Daily Workforce'!$N143="Y",'Daily Workforce'!$B143&lt;&gt;"",COUNTIF('Daily Schedule'!$F$5:$F42,'Daily Workforce'!$B143)=0,IF('Daily Schedule'!$A43=45,'Daily Workforce'!$J143="Y",IF(OR('Daily Schedule'!$A43=4,'Daily Schedule'!$A43=8),IF(OR(WEEKDAY('Daily Schedule'!$B$2,2)=1,WEEKDAY('Daily Schedule'!$B$2,2)=4,WEEKDAY('Daily Schedule'!$B$2,2)=5,WEEKDAY('Daily Schedule'!$B$2,2)=7),IFERROR(1*'Daily Workforce'!$K143&gt;=3,FALSE()),IFERROR(1*'Daily Workforce'!$K143&gt;=2,FALSE())),IF(AND('Daily Schedule'!$A43&gt;=46,'Daily Schedule'!$A43&lt;=52),'Daily Workforce'!$M143="Y",IFERROR(1*'Daily Workforce'!$P143&gt;=2,FALSE()))))),1,0)</f>
        <v>0</v>
      </c>
      <c r="EY39" s="1" t="n">
        <f aca="false">IF(AND('Daily Workforce'!$N144="Y",'Daily Workforce'!$B144&lt;&gt;"",COUNTIF('Daily Schedule'!$F$5:$F42,'Daily Workforce'!$B144)=0,IF('Daily Schedule'!$A43=45,'Daily Workforce'!$J144="Y",IF(OR('Daily Schedule'!$A43=4,'Daily Schedule'!$A43=8),IF(OR(WEEKDAY('Daily Schedule'!$B$2,2)=1,WEEKDAY('Daily Schedule'!$B$2,2)=4,WEEKDAY('Daily Schedule'!$B$2,2)=5,WEEKDAY('Daily Schedule'!$B$2,2)=7),IFERROR(1*'Daily Workforce'!$K144&gt;=3,FALSE()),IFERROR(1*'Daily Workforce'!$K144&gt;=2,FALSE())),IF(AND('Daily Schedule'!$A43&gt;=46,'Daily Schedule'!$A43&lt;=52),'Daily Workforce'!$M144="Y",IFERROR(1*'Daily Workforce'!$P144&gt;=2,FALSE()))))),1,0)</f>
        <v>0</v>
      </c>
      <c r="EZ39" s="1" t="n">
        <f aca="false">IF(AND('Daily Workforce'!$N145="Y",'Daily Workforce'!$B145&lt;&gt;"",COUNTIF('Daily Schedule'!$F$5:$F42,'Daily Workforce'!$B145)=0,IF('Daily Schedule'!$A43=45,'Daily Workforce'!$J145="Y",IF(OR('Daily Schedule'!$A43=4,'Daily Schedule'!$A43=8),IF(OR(WEEKDAY('Daily Schedule'!$B$2,2)=1,WEEKDAY('Daily Schedule'!$B$2,2)=4,WEEKDAY('Daily Schedule'!$B$2,2)=5,WEEKDAY('Daily Schedule'!$B$2,2)=7),IFERROR(1*'Daily Workforce'!$K145&gt;=3,FALSE()),IFERROR(1*'Daily Workforce'!$K145&gt;=2,FALSE())),IF(AND('Daily Schedule'!$A43&gt;=46,'Daily Schedule'!$A43&lt;=52),'Daily Workforce'!$M145="Y",IFERROR(1*'Daily Workforce'!$P145&gt;=2,FALSE()))))),1,0)</f>
        <v>0</v>
      </c>
      <c r="FA39" s="1" t="n">
        <f aca="false">IF(AND('Daily Workforce'!$N146="Y",'Daily Workforce'!$B146&lt;&gt;"",COUNTIF('Daily Schedule'!$F$5:$F42,'Daily Workforce'!$B146)=0,IF('Daily Schedule'!$A43=45,'Daily Workforce'!$J146="Y",IF(OR('Daily Schedule'!$A43=4,'Daily Schedule'!$A43=8),IF(OR(WEEKDAY('Daily Schedule'!$B$2,2)=1,WEEKDAY('Daily Schedule'!$B$2,2)=4,WEEKDAY('Daily Schedule'!$B$2,2)=5,WEEKDAY('Daily Schedule'!$B$2,2)=7),IFERROR(1*'Daily Workforce'!$K146&gt;=3,FALSE()),IFERROR(1*'Daily Workforce'!$K146&gt;=2,FALSE())),IF(AND('Daily Schedule'!$A43&gt;=46,'Daily Schedule'!$A43&lt;=52),'Daily Workforce'!$M146="Y",IFERROR(1*'Daily Workforce'!$P146&gt;=2,FALSE()))))),1,0)</f>
        <v>0</v>
      </c>
      <c r="FB39" s="1" t="n">
        <f aca="false">IF(AND('Daily Workforce'!$N147="Y",'Daily Workforce'!$B147&lt;&gt;"",COUNTIF('Daily Schedule'!$F$5:$F42,'Daily Workforce'!$B147)=0,IF('Daily Schedule'!$A43=45,'Daily Workforce'!$J147="Y",IF(OR('Daily Schedule'!$A43=4,'Daily Schedule'!$A43=8),IF(OR(WEEKDAY('Daily Schedule'!$B$2,2)=1,WEEKDAY('Daily Schedule'!$B$2,2)=4,WEEKDAY('Daily Schedule'!$B$2,2)=5,WEEKDAY('Daily Schedule'!$B$2,2)=7),IFERROR(1*'Daily Workforce'!$K147&gt;=3,FALSE()),IFERROR(1*'Daily Workforce'!$K147&gt;=2,FALSE())),IF(AND('Daily Schedule'!$A43&gt;=46,'Daily Schedule'!$A43&lt;=52),'Daily Workforce'!$M147="Y",IFERROR(1*'Daily Workforce'!$P147&gt;=2,FALSE()))))),1,0)</f>
        <v>0</v>
      </c>
      <c r="FC39" s="1" t="n">
        <f aca="false">IF(AND('Daily Workforce'!$N148="Y",'Daily Workforce'!$B148&lt;&gt;"",COUNTIF('Daily Schedule'!$F$5:$F42,'Daily Workforce'!$B148)=0,IF('Daily Schedule'!$A43=45,'Daily Workforce'!$J148="Y",IF(OR('Daily Schedule'!$A43=4,'Daily Schedule'!$A43=8),IF(OR(WEEKDAY('Daily Schedule'!$B$2,2)=1,WEEKDAY('Daily Schedule'!$B$2,2)=4,WEEKDAY('Daily Schedule'!$B$2,2)=5,WEEKDAY('Daily Schedule'!$B$2,2)=7),IFERROR(1*'Daily Workforce'!$K148&gt;=3,FALSE()),IFERROR(1*'Daily Workforce'!$K148&gt;=2,FALSE())),IF(AND('Daily Schedule'!$A43&gt;=46,'Daily Schedule'!$A43&lt;=52),'Daily Workforce'!$M148="Y",IFERROR(1*'Daily Workforce'!$P148&gt;=2,FALSE()))))),1,0)</f>
        <v>0</v>
      </c>
      <c r="FD39" s="1" t="n">
        <f aca="false">IF(AND('Daily Workforce'!$N149="Y",'Daily Workforce'!$B149&lt;&gt;"",COUNTIF('Daily Schedule'!$F$5:$F42,'Daily Workforce'!$B149)=0,IF('Daily Schedule'!$A43=45,'Daily Workforce'!$J149="Y",IF(OR('Daily Schedule'!$A43=4,'Daily Schedule'!$A43=8),IF(OR(WEEKDAY('Daily Schedule'!$B$2,2)=1,WEEKDAY('Daily Schedule'!$B$2,2)=4,WEEKDAY('Daily Schedule'!$B$2,2)=5,WEEKDAY('Daily Schedule'!$B$2,2)=7),IFERROR(1*'Daily Workforce'!$K149&gt;=3,FALSE()),IFERROR(1*'Daily Workforce'!$K149&gt;=2,FALSE())),IF(AND('Daily Schedule'!$A43&gt;=46,'Daily Schedule'!$A43&lt;=52),'Daily Workforce'!$M149="Y",IFERROR(1*'Daily Workforce'!$P149&gt;=2,FALSE()))))),1,0)</f>
        <v>0</v>
      </c>
      <c r="FE39" s="1" t="n">
        <f aca="false">IF(AND('Daily Workforce'!$N150="Y",'Daily Workforce'!$B150&lt;&gt;"",COUNTIF('Daily Schedule'!$F$5:$F42,'Daily Workforce'!$B150)=0,IF('Daily Schedule'!$A43=45,'Daily Workforce'!$J150="Y",IF(OR('Daily Schedule'!$A43=4,'Daily Schedule'!$A43=8),IF(OR(WEEKDAY('Daily Schedule'!$B$2,2)=1,WEEKDAY('Daily Schedule'!$B$2,2)=4,WEEKDAY('Daily Schedule'!$B$2,2)=5,WEEKDAY('Daily Schedule'!$B$2,2)=7),IFERROR(1*'Daily Workforce'!$K150&gt;=3,FALSE()),IFERROR(1*'Daily Workforce'!$K150&gt;=2,FALSE())),IF(AND('Daily Schedule'!$A43&gt;=46,'Daily Schedule'!$A43&lt;=52),'Daily Workforce'!$M150="Y",IFERROR(1*'Daily Workforce'!$P150&gt;=2,FALSE()))))),1,0)</f>
        <v>0</v>
      </c>
      <c r="FF39" s="1" t="n">
        <f aca="false">IF(AND('Daily Workforce'!$N151="Y",'Daily Workforce'!$B151&lt;&gt;"",COUNTIF('Daily Schedule'!$F$5:$F42,'Daily Workforce'!$B151)=0,IF('Daily Schedule'!$A43=45,'Daily Workforce'!$J151="Y",IF(OR('Daily Schedule'!$A43=4,'Daily Schedule'!$A43=8),IF(OR(WEEKDAY('Daily Schedule'!$B$2,2)=1,WEEKDAY('Daily Schedule'!$B$2,2)=4,WEEKDAY('Daily Schedule'!$B$2,2)=5,WEEKDAY('Daily Schedule'!$B$2,2)=7),IFERROR(1*'Daily Workforce'!$K151&gt;=3,FALSE()),IFERROR(1*'Daily Workforce'!$K151&gt;=2,FALSE())),IF(AND('Daily Schedule'!$A43&gt;=46,'Daily Schedule'!$A43&lt;=52),'Daily Workforce'!$M151="Y",IFERROR(1*'Daily Workforce'!$P151&gt;=2,FALSE()))))),1,0)</f>
        <v>0</v>
      </c>
      <c r="FG39" s="1" t="n">
        <f aca="false">IF(AND('Daily Workforce'!$N152="Y",'Daily Workforce'!$B152&lt;&gt;"",COUNTIF('Daily Schedule'!$F$5:$F42,'Daily Workforce'!$B152)=0,IF('Daily Schedule'!$A43=45,'Daily Workforce'!$J152="Y",IF(OR('Daily Schedule'!$A43=4,'Daily Schedule'!$A43=8),IF(OR(WEEKDAY('Daily Schedule'!$B$2,2)=1,WEEKDAY('Daily Schedule'!$B$2,2)=4,WEEKDAY('Daily Schedule'!$B$2,2)=5,WEEKDAY('Daily Schedule'!$B$2,2)=7),IFERROR(1*'Daily Workforce'!$K152&gt;=3,FALSE()),IFERROR(1*'Daily Workforce'!$K152&gt;=2,FALSE())),IF(AND('Daily Schedule'!$A43&gt;=46,'Daily Schedule'!$A43&lt;=52),'Daily Workforce'!$M152="Y",IFERROR(1*'Daily Workforce'!$P152&gt;=2,FALSE()))))),1,0)</f>
        <v>0</v>
      </c>
      <c r="FH39" s="1" t="n">
        <f aca="false">IF(AND('Daily Workforce'!$N153="Y",'Daily Workforce'!$B153&lt;&gt;"",COUNTIF('Daily Schedule'!$F$5:$F42,'Daily Workforce'!$B153)=0,IF('Daily Schedule'!$A43=45,'Daily Workforce'!$J153="Y",IF(OR('Daily Schedule'!$A43=4,'Daily Schedule'!$A43=8),IF(OR(WEEKDAY('Daily Schedule'!$B$2,2)=1,WEEKDAY('Daily Schedule'!$B$2,2)=4,WEEKDAY('Daily Schedule'!$B$2,2)=5,WEEKDAY('Daily Schedule'!$B$2,2)=7),IFERROR(1*'Daily Workforce'!$K153&gt;=3,FALSE()),IFERROR(1*'Daily Workforce'!$K153&gt;=2,FALSE())),IF(AND('Daily Schedule'!$A43&gt;=46,'Daily Schedule'!$A43&lt;=52),'Daily Workforce'!$M153="Y",IFERROR(1*'Daily Workforce'!$P153&gt;=2,FALSE()))))),1,0)</f>
        <v>0</v>
      </c>
      <c r="FI39" s="1" t="n">
        <f aca="false">IF(AND('Daily Workforce'!$N154="Y",'Daily Workforce'!$B154&lt;&gt;"",COUNTIF('Daily Schedule'!$F$5:$F42,'Daily Workforce'!$B154)=0,IF('Daily Schedule'!$A43=45,'Daily Workforce'!$J154="Y",IF(OR('Daily Schedule'!$A43=4,'Daily Schedule'!$A43=8),IF(OR(WEEKDAY('Daily Schedule'!$B$2,2)=1,WEEKDAY('Daily Schedule'!$B$2,2)=4,WEEKDAY('Daily Schedule'!$B$2,2)=5,WEEKDAY('Daily Schedule'!$B$2,2)=7),IFERROR(1*'Daily Workforce'!$K154&gt;=3,FALSE()),IFERROR(1*'Daily Workforce'!$K154&gt;=2,FALSE())),IF(AND('Daily Schedule'!$A43&gt;=46,'Daily Schedule'!$A43&lt;=52),'Daily Workforce'!$M154="Y",IFERROR(1*'Daily Workforce'!$P154&gt;=2,FALSE()))))),1,0)</f>
        <v>0</v>
      </c>
      <c r="FJ39" s="1" t="n">
        <f aca="false">IF(AND('Daily Workforce'!$N155="Y",'Daily Workforce'!$B155&lt;&gt;"",COUNTIF('Daily Schedule'!$F$5:$F42,'Daily Workforce'!$B155)=0,IF('Daily Schedule'!$A43=45,'Daily Workforce'!$J155="Y",IF(OR('Daily Schedule'!$A43=4,'Daily Schedule'!$A43=8),IF(OR(WEEKDAY('Daily Schedule'!$B$2,2)=1,WEEKDAY('Daily Schedule'!$B$2,2)=4,WEEKDAY('Daily Schedule'!$B$2,2)=5,WEEKDAY('Daily Schedule'!$B$2,2)=7),IFERROR(1*'Daily Workforce'!$K155&gt;=3,FALSE()),IFERROR(1*'Daily Workforce'!$K155&gt;=2,FALSE())),IF(AND('Daily Schedule'!$A43&gt;=46,'Daily Schedule'!$A43&lt;=52),'Daily Workforce'!$M155="Y",IFERROR(1*'Daily Workforce'!$P155&gt;=2,FALSE()))))),1,0)</f>
        <v>0</v>
      </c>
      <c r="FK39" s="1" t="n">
        <f aca="false">IF(AND('Daily Workforce'!$N156="Y",'Daily Workforce'!$B156&lt;&gt;"",COUNTIF('Daily Schedule'!$F$5:$F42,'Daily Workforce'!$B156)=0,IF('Daily Schedule'!$A43=45,'Daily Workforce'!$J156="Y",IF(OR('Daily Schedule'!$A43=4,'Daily Schedule'!$A43=8),IF(OR(WEEKDAY('Daily Schedule'!$B$2,2)=1,WEEKDAY('Daily Schedule'!$B$2,2)=4,WEEKDAY('Daily Schedule'!$B$2,2)=5,WEEKDAY('Daily Schedule'!$B$2,2)=7),IFERROR(1*'Daily Workforce'!$K156&gt;=3,FALSE()),IFERROR(1*'Daily Workforce'!$K156&gt;=2,FALSE())),IF(AND('Daily Schedule'!$A43&gt;=46,'Daily Schedule'!$A43&lt;=52),'Daily Workforce'!$M156="Y",IFERROR(1*'Daily Workforce'!$P156&gt;=2,FALSE()))))),1,0)</f>
        <v>0</v>
      </c>
      <c r="FL39" s="1" t="n">
        <f aca="false">IF(AND('Daily Workforce'!$N157="Y",'Daily Workforce'!$B157&lt;&gt;"",COUNTIF('Daily Schedule'!$F$5:$F42,'Daily Workforce'!$B157)=0,IF('Daily Schedule'!$A43=45,'Daily Workforce'!$J157="Y",IF(OR('Daily Schedule'!$A43=4,'Daily Schedule'!$A43=8),IF(OR(WEEKDAY('Daily Schedule'!$B$2,2)=1,WEEKDAY('Daily Schedule'!$B$2,2)=4,WEEKDAY('Daily Schedule'!$B$2,2)=5,WEEKDAY('Daily Schedule'!$B$2,2)=7),IFERROR(1*'Daily Workforce'!$K157&gt;=3,FALSE()),IFERROR(1*'Daily Workforce'!$K157&gt;=2,FALSE())),IF(AND('Daily Schedule'!$A43&gt;=46,'Daily Schedule'!$A43&lt;=52),'Daily Workforce'!$M157="Y",IFERROR(1*'Daily Workforce'!$P157&gt;=2,FALSE()))))),1,0)</f>
        <v>0</v>
      </c>
      <c r="FM39" s="1" t="n">
        <f aca="false">IF(AND('Daily Workforce'!$N158="Y",'Daily Workforce'!$B158&lt;&gt;"",COUNTIF('Daily Schedule'!$F$5:$F42,'Daily Workforce'!$B158)=0,IF('Daily Schedule'!$A43=45,'Daily Workforce'!$J158="Y",IF(OR('Daily Schedule'!$A43=4,'Daily Schedule'!$A43=8),IF(OR(WEEKDAY('Daily Schedule'!$B$2,2)=1,WEEKDAY('Daily Schedule'!$B$2,2)=4,WEEKDAY('Daily Schedule'!$B$2,2)=5,WEEKDAY('Daily Schedule'!$B$2,2)=7),IFERROR(1*'Daily Workforce'!$K158&gt;=3,FALSE()),IFERROR(1*'Daily Workforce'!$K158&gt;=2,FALSE())),IF(AND('Daily Schedule'!$A43&gt;=46,'Daily Schedule'!$A43&lt;=52),'Daily Workforce'!$M158="Y",IFERROR(1*'Daily Workforce'!$P158&gt;=2,FALSE()))))),1,0)</f>
        <v>0</v>
      </c>
      <c r="FN39" s="1" t="n">
        <f aca="false">IF(AND('Daily Workforce'!$N159="Y",'Daily Workforce'!$B159&lt;&gt;"",COUNTIF('Daily Schedule'!$F$5:$F42,'Daily Workforce'!$B159)=0,IF('Daily Schedule'!$A43=45,'Daily Workforce'!$J159="Y",IF(OR('Daily Schedule'!$A43=4,'Daily Schedule'!$A43=8),IF(OR(WEEKDAY('Daily Schedule'!$B$2,2)=1,WEEKDAY('Daily Schedule'!$B$2,2)=4,WEEKDAY('Daily Schedule'!$B$2,2)=5,WEEKDAY('Daily Schedule'!$B$2,2)=7),IFERROR(1*'Daily Workforce'!$K159&gt;=3,FALSE()),IFERROR(1*'Daily Workforce'!$K159&gt;=2,FALSE())),IF(AND('Daily Schedule'!$A43&gt;=46,'Daily Schedule'!$A43&lt;=52),'Daily Workforce'!$M159="Y",IFERROR(1*'Daily Workforce'!$P159&gt;=2,FALSE()))))),1,0)</f>
        <v>0</v>
      </c>
      <c r="FO39" s="1" t="n">
        <f aca="false">IF(AND('Daily Workforce'!$N160="Y",'Daily Workforce'!$B160&lt;&gt;"",COUNTIF('Daily Schedule'!$F$5:$F42,'Daily Workforce'!$B160)=0,IF('Daily Schedule'!$A43=45,'Daily Workforce'!$J160="Y",IF(OR('Daily Schedule'!$A43=4,'Daily Schedule'!$A43=8),IF(OR(WEEKDAY('Daily Schedule'!$B$2,2)=1,WEEKDAY('Daily Schedule'!$B$2,2)=4,WEEKDAY('Daily Schedule'!$B$2,2)=5,WEEKDAY('Daily Schedule'!$B$2,2)=7),IFERROR(1*'Daily Workforce'!$K160&gt;=3,FALSE()),IFERROR(1*'Daily Workforce'!$K160&gt;=2,FALSE())),IF(AND('Daily Schedule'!$A43&gt;=46,'Daily Schedule'!$A43&lt;=52),'Daily Workforce'!$M160="Y",IFERROR(1*'Daily Workforce'!$P160&gt;=2,FALSE()))))),1,0)</f>
        <v>0</v>
      </c>
      <c r="FP39" s="1" t="n">
        <f aca="false">IF(AND('Daily Workforce'!$N161="Y",'Daily Workforce'!$B161&lt;&gt;"",COUNTIF('Daily Schedule'!$F$5:$F42,'Daily Workforce'!$B161)=0,IF('Daily Schedule'!$A43=45,'Daily Workforce'!$J161="Y",IF(OR('Daily Schedule'!$A43=4,'Daily Schedule'!$A43=8),IF(OR(WEEKDAY('Daily Schedule'!$B$2,2)=1,WEEKDAY('Daily Schedule'!$B$2,2)=4,WEEKDAY('Daily Schedule'!$B$2,2)=5,WEEKDAY('Daily Schedule'!$B$2,2)=7),IFERROR(1*'Daily Workforce'!$K161&gt;=3,FALSE()),IFERROR(1*'Daily Workforce'!$K161&gt;=2,FALSE())),IF(AND('Daily Schedule'!$A43&gt;=46,'Daily Schedule'!$A43&lt;=52),'Daily Workforce'!$M161="Y",IFERROR(1*'Daily Workforce'!$P161&gt;=2,FALSE()))))),1,0)</f>
        <v>0</v>
      </c>
      <c r="FQ39" s="1" t="n">
        <f aca="false">IF(AND('Daily Workforce'!$N162="Y",'Daily Workforce'!$B162&lt;&gt;"",COUNTIF('Daily Schedule'!$F$5:$F42,'Daily Workforce'!$B162)=0,IF('Daily Schedule'!$A43=45,'Daily Workforce'!$J162="Y",IF(OR('Daily Schedule'!$A43=4,'Daily Schedule'!$A43=8),IF(OR(WEEKDAY('Daily Schedule'!$B$2,2)=1,WEEKDAY('Daily Schedule'!$B$2,2)=4,WEEKDAY('Daily Schedule'!$B$2,2)=5,WEEKDAY('Daily Schedule'!$B$2,2)=7),IFERROR(1*'Daily Workforce'!$K162&gt;=3,FALSE()),IFERROR(1*'Daily Workforce'!$K162&gt;=2,FALSE())),IF(AND('Daily Schedule'!$A43&gt;=46,'Daily Schedule'!$A43&lt;=52),'Daily Workforce'!$M162="Y",IFERROR(1*'Daily Workforce'!$P162&gt;=2,FALSE()))))),1,0)</f>
        <v>0</v>
      </c>
      <c r="FR39" s="1" t="n">
        <f aca="false">IF(AND('Daily Workforce'!$N163="Y",'Daily Workforce'!$B163&lt;&gt;"",COUNTIF('Daily Schedule'!$F$5:$F42,'Daily Workforce'!$B163)=0,IF('Daily Schedule'!$A43=45,'Daily Workforce'!$J163="Y",IF(OR('Daily Schedule'!$A43=4,'Daily Schedule'!$A43=8),IF(OR(WEEKDAY('Daily Schedule'!$B$2,2)=1,WEEKDAY('Daily Schedule'!$B$2,2)=4,WEEKDAY('Daily Schedule'!$B$2,2)=5,WEEKDAY('Daily Schedule'!$B$2,2)=7),IFERROR(1*'Daily Workforce'!$K163&gt;=3,FALSE()),IFERROR(1*'Daily Workforce'!$K163&gt;=2,FALSE())),IF(AND('Daily Schedule'!$A43&gt;=46,'Daily Schedule'!$A43&lt;=52),'Daily Workforce'!$M163="Y",IFERROR(1*'Daily Workforce'!$P163&gt;=2,FALSE()))))),1,0)</f>
        <v>0</v>
      </c>
      <c r="FS39" s="1" t="n">
        <f aca="false">IF(AND('Daily Workforce'!$N164="Y",'Daily Workforce'!$B164&lt;&gt;"",COUNTIF('Daily Schedule'!$F$5:$F42,'Daily Workforce'!$B164)=0,IF('Daily Schedule'!$A43=45,'Daily Workforce'!$J164="Y",IF(OR('Daily Schedule'!$A43=4,'Daily Schedule'!$A43=8),IF(OR(WEEKDAY('Daily Schedule'!$B$2,2)=1,WEEKDAY('Daily Schedule'!$B$2,2)=4,WEEKDAY('Daily Schedule'!$B$2,2)=5,WEEKDAY('Daily Schedule'!$B$2,2)=7),IFERROR(1*'Daily Workforce'!$K164&gt;=3,FALSE()),IFERROR(1*'Daily Workforce'!$K164&gt;=2,FALSE())),IF(AND('Daily Schedule'!$A43&gt;=46,'Daily Schedule'!$A43&lt;=52),'Daily Workforce'!$M164="Y",IFERROR(1*'Daily Workforce'!$P164&gt;=2,FALSE()))))),1,0)</f>
        <v>0</v>
      </c>
      <c r="FT39" s="1" t="n">
        <f aca="false">IF(AND('Daily Workforce'!$N165="Y",'Daily Workforce'!$B165&lt;&gt;"",COUNTIF('Daily Schedule'!$F$5:$F42,'Daily Workforce'!$B165)=0,IF('Daily Schedule'!$A43=45,'Daily Workforce'!$J165="Y",IF(OR('Daily Schedule'!$A43=4,'Daily Schedule'!$A43=8),IF(OR(WEEKDAY('Daily Schedule'!$B$2,2)=1,WEEKDAY('Daily Schedule'!$B$2,2)=4,WEEKDAY('Daily Schedule'!$B$2,2)=5,WEEKDAY('Daily Schedule'!$B$2,2)=7),IFERROR(1*'Daily Workforce'!$K165&gt;=3,FALSE()),IFERROR(1*'Daily Workforce'!$K165&gt;=2,FALSE())),IF(AND('Daily Schedule'!$A43&gt;=46,'Daily Schedule'!$A43&lt;=52),'Daily Workforce'!$M165="Y",IFERROR(1*'Daily Workforce'!$P165&gt;=2,FALSE()))))),1,0)</f>
        <v>0</v>
      </c>
      <c r="FU39" s="1" t="n">
        <f aca="false">IF(AND('Daily Workforce'!$N166="Y",'Daily Workforce'!$B166&lt;&gt;"",COUNTIF('Daily Schedule'!$F$5:$F42,'Daily Workforce'!$B166)=0,IF('Daily Schedule'!$A43=45,'Daily Workforce'!$J166="Y",IF(OR('Daily Schedule'!$A43=4,'Daily Schedule'!$A43=8),IF(OR(WEEKDAY('Daily Schedule'!$B$2,2)=1,WEEKDAY('Daily Schedule'!$B$2,2)=4,WEEKDAY('Daily Schedule'!$B$2,2)=5,WEEKDAY('Daily Schedule'!$B$2,2)=7),IFERROR(1*'Daily Workforce'!$K166&gt;=3,FALSE()),IFERROR(1*'Daily Workforce'!$K166&gt;=2,FALSE())),IF(AND('Daily Schedule'!$A43&gt;=46,'Daily Schedule'!$A43&lt;=52),'Daily Workforce'!$M166="Y",IFERROR(1*'Daily Workforce'!$P166&gt;=2,FALSE()))))),1,0)</f>
        <v>0</v>
      </c>
      <c r="FV39" s="1" t="n">
        <f aca="false">IF(AND('Daily Workforce'!$N167="Y",'Daily Workforce'!$B167&lt;&gt;"",COUNTIF('Daily Schedule'!$F$5:$F42,'Daily Workforce'!$B167)=0,IF('Daily Schedule'!$A43=45,'Daily Workforce'!$J167="Y",IF(OR('Daily Schedule'!$A43=4,'Daily Schedule'!$A43=8),IF(OR(WEEKDAY('Daily Schedule'!$B$2,2)=1,WEEKDAY('Daily Schedule'!$B$2,2)=4,WEEKDAY('Daily Schedule'!$B$2,2)=5,WEEKDAY('Daily Schedule'!$B$2,2)=7),IFERROR(1*'Daily Workforce'!$K167&gt;=3,FALSE()),IFERROR(1*'Daily Workforce'!$K167&gt;=2,FALSE())),IF(AND('Daily Schedule'!$A43&gt;=46,'Daily Schedule'!$A43&lt;=52),'Daily Workforce'!$M167="Y",IFERROR(1*'Daily Workforce'!$P167&gt;=2,FALSE()))))),1,0)</f>
        <v>0</v>
      </c>
      <c r="FW39" s="1" t="n">
        <f aca="false">IF(AND('Daily Workforce'!$N168="Y",'Daily Workforce'!$B168&lt;&gt;"",COUNTIF('Daily Schedule'!$F$5:$F42,'Daily Workforce'!$B168)=0,IF('Daily Schedule'!$A43=45,'Daily Workforce'!$J168="Y",IF(OR('Daily Schedule'!$A43=4,'Daily Schedule'!$A43=8),IF(OR(WEEKDAY('Daily Schedule'!$B$2,2)=1,WEEKDAY('Daily Schedule'!$B$2,2)=4,WEEKDAY('Daily Schedule'!$B$2,2)=5,WEEKDAY('Daily Schedule'!$B$2,2)=7),IFERROR(1*'Daily Workforce'!$K168&gt;=3,FALSE()),IFERROR(1*'Daily Workforce'!$K168&gt;=2,FALSE())),IF(AND('Daily Schedule'!$A43&gt;=46,'Daily Schedule'!$A43&lt;=52),'Daily Workforce'!$M168="Y",IFERROR(1*'Daily Workforce'!$P168&gt;=2,FALSE()))))),1,0)</f>
        <v>0</v>
      </c>
      <c r="FX39" s="1" t="n">
        <f aca="false">IF(AND('Daily Workforce'!$N169="Y",'Daily Workforce'!$B169&lt;&gt;"",COUNTIF('Daily Schedule'!$F$5:$F42,'Daily Workforce'!$B169)=0,IF('Daily Schedule'!$A43=45,'Daily Workforce'!$J169="Y",IF(OR('Daily Schedule'!$A43=4,'Daily Schedule'!$A43=8),IF(OR(WEEKDAY('Daily Schedule'!$B$2,2)=1,WEEKDAY('Daily Schedule'!$B$2,2)=4,WEEKDAY('Daily Schedule'!$B$2,2)=5,WEEKDAY('Daily Schedule'!$B$2,2)=7),IFERROR(1*'Daily Workforce'!$K169&gt;=3,FALSE()),IFERROR(1*'Daily Workforce'!$K169&gt;=2,FALSE())),IF(AND('Daily Schedule'!$A43&gt;=46,'Daily Schedule'!$A43&lt;=52),'Daily Workforce'!$M169="Y",IFERROR(1*'Daily Workforce'!$P169&gt;=2,FALSE()))))),1,0)</f>
        <v>0</v>
      </c>
      <c r="FY39" s="1" t="n">
        <f aca="false">IF(AND('Daily Workforce'!$N170="Y",'Daily Workforce'!$B170&lt;&gt;"",COUNTIF('Daily Schedule'!$F$5:$F42,'Daily Workforce'!$B170)=0,IF('Daily Schedule'!$A43=45,'Daily Workforce'!$J170="Y",IF(OR('Daily Schedule'!$A43=4,'Daily Schedule'!$A43=8),IF(OR(WEEKDAY('Daily Schedule'!$B$2,2)=1,WEEKDAY('Daily Schedule'!$B$2,2)=4,WEEKDAY('Daily Schedule'!$B$2,2)=5,WEEKDAY('Daily Schedule'!$B$2,2)=7),IFERROR(1*'Daily Workforce'!$K170&gt;=3,FALSE()),IFERROR(1*'Daily Workforce'!$K170&gt;=2,FALSE())),IF(AND('Daily Schedule'!$A43&gt;=46,'Daily Schedule'!$A43&lt;=52),'Daily Workforce'!$M170="Y",IFERROR(1*'Daily Workforce'!$P170&gt;=2,FALSE()))))),1,0)</f>
        <v>0</v>
      </c>
      <c r="FZ39" s="1" t="n">
        <f aca="false">IF(AND('Daily Workforce'!$N171="Y",'Daily Workforce'!$B171&lt;&gt;"",COUNTIF('Daily Schedule'!$F$5:$F42,'Daily Workforce'!$B171)=0,IF('Daily Schedule'!$A43=45,'Daily Workforce'!$J171="Y",IF(OR('Daily Schedule'!$A43=4,'Daily Schedule'!$A43=8),IF(OR(WEEKDAY('Daily Schedule'!$B$2,2)=1,WEEKDAY('Daily Schedule'!$B$2,2)=4,WEEKDAY('Daily Schedule'!$B$2,2)=5,WEEKDAY('Daily Schedule'!$B$2,2)=7),IFERROR(1*'Daily Workforce'!$K171&gt;=3,FALSE()),IFERROR(1*'Daily Workforce'!$K171&gt;=2,FALSE())),IF(AND('Daily Schedule'!$A43&gt;=46,'Daily Schedule'!$A43&lt;=52),'Daily Workforce'!$M171="Y",IFERROR(1*'Daily Workforce'!$P171&gt;=2,FALSE()))))),1,0)</f>
        <v>0</v>
      </c>
      <c r="GA39" s="1" t="n">
        <f aca="false">IF(AND('Daily Workforce'!$N172="Y",'Daily Workforce'!$B172&lt;&gt;"",COUNTIF('Daily Schedule'!$F$5:$F42,'Daily Workforce'!$B172)=0,IF('Daily Schedule'!$A43=45,'Daily Workforce'!$J172="Y",IF(OR('Daily Schedule'!$A43=4,'Daily Schedule'!$A43=8),IF(OR(WEEKDAY('Daily Schedule'!$B$2,2)=1,WEEKDAY('Daily Schedule'!$B$2,2)=4,WEEKDAY('Daily Schedule'!$B$2,2)=5,WEEKDAY('Daily Schedule'!$B$2,2)=7),IFERROR(1*'Daily Workforce'!$K172&gt;=3,FALSE()),IFERROR(1*'Daily Workforce'!$K172&gt;=2,FALSE())),IF(AND('Daily Schedule'!$A43&gt;=46,'Daily Schedule'!$A43&lt;=52),'Daily Workforce'!$M172="Y",IFERROR(1*'Daily Workforce'!$P172&gt;=2,FALSE()))))),1,0)</f>
        <v>0</v>
      </c>
      <c r="GB39" s="1" t="n">
        <f aca="false">IF(AND('Daily Workforce'!$N173="Y",'Daily Workforce'!$B173&lt;&gt;"",COUNTIF('Daily Schedule'!$F$5:$F42,'Daily Workforce'!$B173)=0,IF('Daily Schedule'!$A43=45,'Daily Workforce'!$J173="Y",IF(OR('Daily Schedule'!$A43=4,'Daily Schedule'!$A43=8),IF(OR(WEEKDAY('Daily Schedule'!$B$2,2)=1,WEEKDAY('Daily Schedule'!$B$2,2)=4,WEEKDAY('Daily Schedule'!$B$2,2)=5,WEEKDAY('Daily Schedule'!$B$2,2)=7),IFERROR(1*'Daily Workforce'!$K173&gt;=3,FALSE()),IFERROR(1*'Daily Workforce'!$K173&gt;=2,FALSE())),IF(AND('Daily Schedule'!$A43&gt;=46,'Daily Schedule'!$A43&lt;=52),'Daily Workforce'!$M173="Y",IFERROR(1*'Daily Workforce'!$P173&gt;=2,FALSE()))))),1,0)</f>
        <v>0</v>
      </c>
      <c r="GC39" s="1" t="n">
        <f aca="false">IF(AND('Daily Workforce'!$N174="Y",'Daily Workforce'!$B174&lt;&gt;"",COUNTIF('Daily Schedule'!$F$5:$F42,'Daily Workforce'!$B174)=0,IF('Daily Schedule'!$A43=45,'Daily Workforce'!$J174="Y",IF(OR('Daily Schedule'!$A43=4,'Daily Schedule'!$A43=8),IF(OR(WEEKDAY('Daily Schedule'!$B$2,2)=1,WEEKDAY('Daily Schedule'!$B$2,2)=4,WEEKDAY('Daily Schedule'!$B$2,2)=5,WEEKDAY('Daily Schedule'!$B$2,2)=7),IFERROR(1*'Daily Workforce'!$K174&gt;=3,FALSE()),IFERROR(1*'Daily Workforce'!$K174&gt;=2,FALSE())),IF(AND('Daily Schedule'!$A43&gt;=46,'Daily Schedule'!$A43&lt;=52),'Daily Workforce'!$M174="Y",IFERROR(1*'Daily Workforce'!$P174&gt;=2,FALSE()))))),1,0)</f>
        <v>0</v>
      </c>
      <c r="GD39" s="1" t="n">
        <f aca="false">IF(AND('Daily Workforce'!$N175="Y",'Daily Workforce'!$B175&lt;&gt;"",COUNTIF('Daily Schedule'!$F$5:$F42,'Daily Workforce'!$B175)=0,IF('Daily Schedule'!$A43=45,'Daily Workforce'!$J175="Y",IF(OR('Daily Schedule'!$A43=4,'Daily Schedule'!$A43=8),IF(OR(WEEKDAY('Daily Schedule'!$B$2,2)=1,WEEKDAY('Daily Schedule'!$B$2,2)=4,WEEKDAY('Daily Schedule'!$B$2,2)=5,WEEKDAY('Daily Schedule'!$B$2,2)=7),IFERROR(1*'Daily Workforce'!$K175&gt;=3,FALSE()),IFERROR(1*'Daily Workforce'!$K175&gt;=2,FALSE())),IF(AND('Daily Schedule'!$A43&gt;=46,'Daily Schedule'!$A43&lt;=52),'Daily Workforce'!$M175="Y",IFERROR(1*'Daily Workforce'!$P175&gt;=2,FALSE()))))),1,0)</f>
        <v>0</v>
      </c>
      <c r="GE39" s="1" t="n">
        <f aca="false">IF(AND('Daily Workforce'!$N176="Y",'Daily Workforce'!$B176&lt;&gt;"",COUNTIF('Daily Schedule'!$F$5:$F42,'Daily Workforce'!$B176)=0,IF('Daily Schedule'!$A43=45,'Daily Workforce'!$J176="Y",IF(OR('Daily Schedule'!$A43=4,'Daily Schedule'!$A43=8),IF(OR(WEEKDAY('Daily Schedule'!$B$2,2)=1,WEEKDAY('Daily Schedule'!$B$2,2)=4,WEEKDAY('Daily Schedule'!$B$2,2)=5,WEEKDAY('Daily Schedule'!$B$2,2)=7),IFERROR(1*'Daily Workforce'!$K176&gt;=3,FALSE()),IFERROR(1*'Daily Workforce'!$K176&gt;=2,FALSE())),IF(AND('Daily Schedule'!$A43&gt;=46,'Daily Schedule'!$A43&lt;=52),'Daily Workforce'!$M176="Y",IFERROR(1*'Daily Workforce'!$P176&gt;=2,FALSE()))))),1,0)</f>
        <v>0</v>
      </c>
      <c r="GF39" s="1" t="n">
        <f aca="false">IF(AND('Daily Workforce'!$N177="Y",'Daily Workforce'!$B177&lt;&gt;"",COUNTIF('Daily Schedule'!$F$5:$F42,'Daily Workforce'!$B177)=0,IF('Daily Schedule'!$A43=45,'Daily Workforce'!$J177="Y",IF(OR('Daily Schedule'!$A43=4,'Daily Schedule'!$A43=8),IF(OR(WEEKDAY('Daily Schedule'!$B$2,2)=1,WEEKDAY('Daily Schedule'!$B$2,2)=4,WEEKDAY('Daily Schedule'!$B$2,2)=5,WEEKDAY('Daily Schedule'!$B$2,2)=7),IFERROR(1*'Daily Workforce'!$K177&gt;=3,FALSE()),IFERROR(1*'Daily Workforce'!$K177&gt;=2,FALSE())),IF(AND('Daily Schedule'!$A43&gt;=46,'Daily Schedule'!$A43&lt;=52),'Daily Workforce'!$M177="Y",IFERROR(1*'Daily Workforce'!$P177&gt;=2,FALSE()))))),1,0)</f>
        <v>0</v>
      </c>
      <c r="GG39" s="1" t="n">
        <f aca="false">IF(AND('Daily Workforce'!$N178="Y",'Daily Workforce'!$B178&lt;&gt;"",COUNTIF('Daily Schedule'!$F$5:$F42,'Daily Workforce'!$B178)=0,IF('Daily Schedule'!$A43=45,'Daily Workforce'!$J178="Y",IF(OR('Daily Schedule'!$A43=4,'Daily Schedule'!$A43=8),IF(OR(WEEKDAY('Daily Schedule'!$B$2,2)=1,WEEKDAY('Daily Schedule'!$B$2,2)=4,WEEKDAY('Daily Schedule'!$B$2,2)=5,WEEKDAY('Daily Schedule'!$B$2,2)=7),IFERROR(1*'Daily Workforce'!$K178&gt;=3,FALSE()),IFERROR(1*'Daily Workforce'!$K178&gt;=2,FALSE())),IF(AND('Daily Schedule'!$A43&gt;=46,'Daily Schedule'!$A43&lt;=52),'Daily Workforce'!$M178="Y",IFERROR(1*'Daily Workforce'!$P178&gt;=2,FALSE()))))),1,0)</f>
        <v>0</v>
      </c>
      <c r="GH39" s="1" t="n">
        <f aca="false">IF(AND('Daily Workforce'!$N179="Y",'Daily Workforce'!$B179&lt;&gt;"",COUNTIF('Daily Schedule'!$F$5:$F42,'Daily Workforce'!$B179)=0,IF('Daily Schedule'!$A43=45,'Daily Workforce'!$J179="Y",IF(OR('Daily Schedule'!$A43=4,'Daily Schedule'!$A43=8),IF(OR(WEEKDAY('Daily Schedule'!$B$2,2)=1,WEEKDAY('Daily Schedule'!$B$2,2)=4,WEEKDAY('Daily Schedule'!$B$2,2)=5,WEEKDAY('Daily Schedule'!$B$2,2)=7),IFERROR(1*'Daily Workforce'!$K179&gt;=3,FALSE()),IFERROR(1*'Daily Workforce'!$K179&gt;=2,FALSE())),IF(AND('Daily Schedule'!$A43&gt;=46,'Daily Schedule'!$A43&lt;=52),'Daily Workforce'!$M179="Y",IFERROR(1*'Daily Workforce'!$P179&gt;=2,FALSE()))))),1,0)</f>
        <v>0</v>
      </c>
      <c r="GI39" s="1" t="n">
        <f aca="false">IF(AND('Daily Workforce'!$N180="Y",'Daily Workforce'!$B180&lt;&gt;"",COUNTIF('Daily Schedule'!$F$5:$F42,'Daily Workforce'!$B180)=0,IF('Daily Schedule'!$A43=45,'Daily Workforce'!$J180="Y",IF(OR('Daily Schedule'!$A43=4,'Daily Schedule'!$A43=8),IF(OR(WEEKDAY('Daily Schedule'!$B$2,2)=1,WEEKDAY('Daily Schedule'!$B$2,2)=4,WEEKDAY('Daily Schedule'!$B$2,2)=5,WEEKDAY('Daily Schedule'!$B$2,2)=7),IFERROR(1*'Daily Workforce'!$K180&gt;=3,FALSE()),IFERROR(1*'Daily Workforce'!$K180&gt;=2,FALSE())),IF(AND('Daily Schedule'!$A43&gt;=46,'Daily Schedule'!$A43&lt;=52),'Daily Workforce'!$M180="Y",IFERROR(1*'Daily Workforce'!$P180&gt;=2,FALSE()))))),1,0)</f>
        <v>0</v>
      </c>
      <c r="GJ39" s="1" t="n">
        <f aca="false">IF(AND('Daily Workforce'!$N181="Y",'Daily Workforce'!$B181&lt;&gt;"",COUNTIF('Daily Schedule'!$F$5:$F42,'Daily Workforce'!$B181)=0,IF('Daily Schedule'!$A43=45,'Daily Workforce'!$J181="Y",IF(OR('Daily Schedule'!$A43=4,'Daily Schedule'!$A43=8),IF(OR(WEEKDAY('Daily Schedule'!$B$2,2)=1,WEEKDAY('Daily Schedule'!$B$2,2)=4,WEEKDAY('Daily Schedule'!$B$2,2)=5,WEEKDAY('Daily Schedule'!$B$2,2)=7),IFERROR(1*'Daily Workforce'!$K181&gt;=3,FALSE()),IFERROR(1*'Daily Workforce'!$K181&gt;=2,FALSE())),IF(AND('Daily Schedule'!$A43&gt;=46,'Daily Schedule'!$A43&lt;=52),'Daily Workforce'!$M181="Y",IFERROR(1*'Daily Workforce'!$P181&gt;=2,FALSE()))))),1,0)</f>
        <v>0</v>
      </c>
      <c r="GK39" s="1" t="n">
        <f aca="false">IF(AND('Daily Workforce'!$N182="Y",'Daily Workforce'!$B182&lt;&gt;"",COUNTIF('Daily Schedule'!$F$5:$F42,'Daily Workforce'!$B182)=0,IF('Daily Schedule'!$A43=45,'Daily Workforce'!$J182="Y",IF(OR('Daily Schedule'!$A43=4,'Daily Schedule'!$A43=8),IF(OR(WEEKDAY('Daily Schedule'!$B$2,2)=1,WEEKDAY('Daily Schedule'!$B$2,2)=4,WEEKDAY('Daily Schedule'!$B$2,2)=5,WEEKDAY('Daily Schedule'!$B$2,2)=7),IFERROR(1*'Daily Workforce'!$K182&gt;=3,FALSE()),IFERROR(1*'Daily Workforce'!$K182&gt;=2,FALSE())),IF(AND('Daily Schedule'!$A43&gt;=46,'Daily Schedule'!$A43&lt;=52),'Daily Workforce'!$M182="Y",IFERROR(1*'Daily Workforce'!$P182&gt;=2,FALSE()))))),1,0)</f>
        <v>0</v>
      </c>
      <c r="GL39" s="1" t="n">
        <f aca="false">IF(AND('Daily Workforce'!$N183="Y",'Daily Workforce'!$B183&lt;&gt;"",COUNTIF('Daily Schedule'!$F$5:$F42,'Daily Workforce'!$B183)=0,IF('Daily Schedule'!$A43=45,'Daily Workforce'!$J183="Y",IF(OR('Daily Schedule'!$A43=4,'Daily Schedule'!$A43=8),IF(OR(WEEKDAY('Daily Schedule'!$B$2,2)=1,WEEKDAY('Daily Schedule'!$B$2,2)=4,WEEKDAY('Daily Schedule'!$B$2,2)=5,WEEKDAY('Daily Schedule'!$B$2,2)=7),IFERROR(1*'Daily Workforce'!$K183&gt;=3,FALSE()),IFERROR(1*'Daily Workforce'!$K183&gt;=2,FALSE())),IF(AND('Daily Schedule'!$A43&gt;=46,'Daily Schedule'!$A43&lt;=52),'Daily Workforce'!$M183="Y",IFERROR(1*'Daily Workforce'!$P183&gt;=2,FALSE()))))),1,0)</f>
        <v>0</v>
      </c>
      <c r="GM39" s="1" t="n">
        <f aca="false">IF(AND('Daily Workforce'!$N184="Y",'Daily Workforce'!$B184&lt;&gt;"",COUNTIF('Daily Schedule'!$F$5:$F42,'Daily Workforce'!$B184)=0,IF('Daily Schedule'!$A43=45,'Daily Workforce'!$J184="Y",IF(OR('Daily Schedule'!$A43=4,'Daily Schedule'!$A43=8),IF(OR(WEEKDAY('Daily Schedule'!$B$2,2)=1,WEEKDAY('Daily Schedule'!$B$2,2)=4,WEEKDAY('Daily Schedule'!$B$2,2)=5,WEEKDAY('Daily Schedule'!$B$2,2)=7),IFERROR(1*'Daily Workforce'!$K184&gt;=3,FALSE()),IFERROR(1*'Daily Workforce'!$K184&gt;=2,FALSE())),IF(AND('Daily Schedule'!$A43&gt;=46,'Daily Schedule'!$A43&lt;=52),'Daily Workforce'!$M184="Y",IFERROR(1*'Daily Workforce'!$P184&gt;=2,FALSE()))))),1,0)</f>
        <v>0</v>
      </c>
      <c r="GN39" s="1" t="n">
        <f aca="false">IF(AND('Daily Workforce'!$N185="Y",'Daily Workforce'!$B185&lt;&gt;"",COUNTIF('Daily Schedule'!$F$5:$F42,'Daily Workforce'!$B185)=0,IF('Daily Schedule'!$A43=45,'Daily Workforce'!$J185="Y",IF(OR('Daily Schedule'!$A43=4,'Daily Schedule'!$A43=8),IF(OR(WEEKDAY('Daily Schedule'!$B$2,2)=1,WEEKDAY('Daily Schedule'!$B$2,2)=4,WEEKDAY('Daily Schedule'!$B$2,2)=5,WEEKDAY('Daily Schedule'!$B$2,2)=7),IFERROR(1*'Daily Workforce'!$K185&gt;=3,FALSE()),IFERROR(1*'Daily Workforce'!$K185&gt;=2,FALSE())),IF(AND('Daily Schedule'!$A43&gt;=46,'Daily Schedule'!$A43&lt;=52),'Daily Workforce'!$M185="Y",IFERROR(1*'Daily Workforce'!$P185&gt;=2,FALSE()))))),1,0)</f>
        <v>0</v>
      </c>
      <c r="GO39" s="1" t="n">
        <f aca="false">IF(AND('Daily Workforce'!$N186="Y",'Daily Workforce'!$B186&lt;&gt;"",COUNTIF('Daily Schedule'!$F$5:$F42,'Daily Workforce'!$B186)=0,IF('Daily Schedule'!$A43=45,'Daily Workforce'!$J186="Y",IF(OR('Daily Schedule'!$A43=4,'Daily Schedule'!$A43=8),IF(OR(WEEKDAY('Daily Schedule'!$B$2,2)=1,WEEKDAY('Daily Schedule'!$B$2,2)=4,WEEKDAY('Daily Schedule'!$B$2,2)=5,WEEKDAY('Daily Schedule'!$B$2,2)=7),IFERROR(1*'Daily Workforce'!$K186&gt;=3,FALSE()),IFERROR(1*'Daily Workforce'!$K186&gt;=2,FALSE())),IF(AND('Daily Schedule'!$A43&gt;=46,'Daily Schedule'!$A43&lt;=52),'Daily Workforce'!$M186="Y",IFERROR(1*'Daily Workforce'!$P186&gt;=2,FALSE()))))),1,0)</f>
        <v>0</v>
      </c>
      <c r="GP39" s="1" t="n">
        <f aca="false">IF(AND('Daily Workforce'!$N187="Y",'Daily Workforce'!$B187&lt;&gt;"",COUNTIF('Daily Schedule'!$F$5:$F42,'Daily Workforce'!$B187)=0,IF('Daily Schedule'!$A43=45,'Daily Workforce'!$J187="Y",IF(OR('Daily Schedule'!$A43=4,'Daily Schedule'!$A43=8),IF(OR(WEEKDAY('Daily Schedule'!$B$2,2)=1,WEEKDAY('Daily Schedule'!$B$2,2)=4,WEEKDAY('Daily Schedule'!$B$2,2)=5,WEEKDAY('Daily Schedule'!$B$2,2)=7),IFERROR(1*'Daily Workforce'!$K187&gt;=3,FALSE()),IFERROR(1*'Daily Workforce'!$K187&gt;=2,FALSE())),IF(AND('Daily Schedule'!$A43&gt;=46,'Daily Schedule'!$A43&lt;=52),'Daily Workforce'!$M187="Y",IFERROR(1*'Daily Workforce'!$P187&gt;=2,FALSE()))))),1,0)</f>
        <v>0</v>
      </c>
      <c r="GQ39" s="1" t="n">
        <f aca="false">IF(AND('Daily Workforce'!$N188="Y",'Daily Workforce'!$B188&lt;&gt;"",COUNTIF('Daily Schedule'!$F$5:$F42,'Daily Workforce'!$B188)=0,IF('Daily Schedule'!$A43=45,'Daily Workforce'!$J188="Y",IF(OR('Daily Schedule'!$A43=4,'Daily Schedule'!$A43=8),IF(OR(WEEKDAY('Daily Schedule'!$B$2,2)=1,WEEKDAY('Daily Schedule'!$B$2,2)=4,WEEKDAY('Daily Schedule'!$B$2,2)=5,WEEKDAY('Daily Schedule'!$B$2,2)=7),IFERROR(1*'Daily Workforce'!$K188&gt;=3,FALSE()),IFERROR(1*'Daily Workforce'!$K188&gt;=2,FALSE())),IF(AND('Daily Schedule'!$A43&gt;=46,'Daily Schedule'!$A43&lt;=52),'Daily Workforce'!$M188="Y",IFERROR(1*'Daily Workforce'!$P188&gt;=2,FALSE()))))),1,0)</f>
        <v>0</v>
      </c>
      <c r="GR39" s="1" t="n">
        <f aca="false">IF(AND('Daily Workforce'!$N189="Y",'Daily Workforce'!$B189&lt;&gt;"",COUNTIF('Daily Schedule'!$F$5:$F42,'Daily Workforce'!$B189)=0,IF('Daily Schedule'!$A43=45,'Daily Workforce'!$J189="Y",IF(OR('Daily Schedule'!$A43=4,'Daily Schedule'!$A43=8),IF(OR(WEEKDAY('Daily Schedule'!$B$2,2)=1,WEEKDAY('Daily Schedule'!$B$2,2)=4,WEEKDAY('Daily Schedule'!$B$2,2)=5,WEEKDAY('Daily Schedule'!$B$2,2)=7),IFERROR(1*'Daily Workforce'!$K189&gt;=3,FALSE()),IFERROR(1*'Daily Workforce'!$K189&gt;=2,FALSE())),IF(AND('Daily Schedule'!$A43&gt;=46,'Daily Schedule'!$A43&lt;=52),'Daily Workforce'!$M189="Y",IFERROR(1*'Daily Workforce'!$P189&gt;=2,FALSE()))))),1,0)</f>
        <v>0</v>
      </c>
      <c r="GS39" s="1" t="n">
        <f aca="false">IF(AND('Daily Workforce'!$N190="Y",'Daily Workforce'!$B190&lt;&gt;"",COUNTIF('Daily Schedule'!$F$5:$F42,'Daily Workforce'!$B190)=0,IF('Daily Schedule'!$A43=45,'Daily Workforce'!$J190="Y",IF(OR('Daily Schedule'!$A43=4,'Daily Schedule'!$A43=8),IF(OR(WEEKDAY('Daily Schedule'!$B$2,2)=1,WEEKDAY('Daily Schedule'!$B$2,2)=4,WEEKDAY('Daily Schedule'!$B$2,2)=5,WEEKDAY('Daily Schedule'!$B$2,2)=7),IFERROR(1*'Daily Workforce'!$K190&gt;=3,FALSE()),IFERROR(1*'Daily Workforce'!$K190&gt;=2,FALSE())),IF(AND('Daily Schedule'!$A43&gt;=46,'Daily Schedule'!$A43&lt;=52),'Daily Workforce'!$M190="Y",IFERROR(1*'Daily Workforce'!$P190&gt;=2,FALSE()))))),1,0)</f>
        <v>0</v>
      </c>
      <c r="GT39" s="1" t="n">
        <f aca="false">IF(AND('Daily Workforce'!$N191="Y",'Daily Workforce'!$B191&lt;&gt;"",COUNTIF('Daily Schedule'!$F$5:$F42,'Daily Workforce'!$B191)=0,IF('Daily Schedule'!$A43=45,'Daily Workforce'!$J191="Y",IF(OR('Daily Schedule'!$A43=4,'Daily Schedule'!$A43=8),IF(OR(WEEKDAY('Daily Schedule'!$B$2,2)=1,WEEKDAY('Daily Schedule'!$B$2,2)=4,WEEKDAY('Daily Schedule'!$B$2,2)=5,WEEKDAY('Daily Schedule'!$B$2,2)=7),IFERROR(1*'Daily Workforce'!$K191&gt;=3,FALSE()),IFERROR(1*'Daily Workforce'!$K191&gt;=2,FALSE())),IF(AND('Daily Schedule'!$A43&gt;=46,'Daily Schedule'!$A43&lt;=52),'Daily Workforce'!$M191="Y",IFERROR(1*'Daily Workforce'!$P191&gt;=2,FALSE()))))),1,0)</f>
        <v>0</v>
      </c>
      <c r="GU39" s="1" t="n">
        <f aca="false">IF(AND('Daily Workforce'!$N192="Y",'Daily Workforce'!$B192&lt;&gt;"",COUNTIF('Daily Schedule'!$F$5:$F42,'Daily Workforce'!$B192)=0,IF('Daily Schedule'!$A43=45,'Daily Workforce'!$J192="Y",IF(OR('Daily Schedule'!$A43=4,'Daily Schedule'!$A43=8),IF(OR(WEEKDAY('Daily Schedule'!$B$2,2)=1,WEEKDAY('Daily Schedule'!$B$2,2)=4,WEEKDAY('Daily Schedule'!$B$2,2)=5,WEEKDAY('Daily Schedule'!$B$2,2)=7),IFERROR(1*'Daily Workforce'!$K192&gt;=3,FALSE()),IFERROR(1*'Daily Workforce'!$K192&gt;=2,FALSE())),IF(AND('Daily Schedule'!$A43&gt;=46,'Daily Schedule'!$A43&lt;=52),'Daily Workforce'!$M192="Y",IFERROR(1*'Daily Workforce'!$P192&gt;=2,FALSE()))))),1,0)</f>
        <v>0</v>
      </c>
      <c r="GV39" s="1" t="n">
        <f aca="false">IF(AND('Daily Workforce'!$N193="Y",'Daily Workforce'!$B193&lt;&gt;"",COUNTIF('Daily Schedule'!$F$5:$F42,'Daily Workforce'!$B193)=0,IF('Daily Schedule'!$A43=45,'Daily Workforce'!$J193="Y",IF(OR('Daily Schedule'!$A43=4,'Daily Schedule'!$A43=8),IF(OR(WEEKDAY('Daily Schedule'!$B$2,2)=1,WEEKDAY('Daily Schedule'!$B$2,2)=4,WEEKDAY('Daily Schedule'!$B$2,2)=5,WEEKDAY('Daily Schedule'!$B$2,2)=7),IFERROR(1*'Daily Workforce'!$K193&gt;=3,FALSE()),IFERROR(1*'Daily Workforce'!$K193&gt;=2,FALSE())),IF(AND('Daily Schedule'!$A43&gt;=46,'Daily Schedule'!$A43&lt;=52),'Daily Workforce'!$M193="Y",IFERROR(1*'Daily Workforce'!$P193&gt;=2,FALSE()))))),1,0)</f>
        <v>0</v>
      </c>
      <c r="GW39" s="1" t="n">
        <f aca="false">IF(AND('Daily Workforce'!$N194="Y",'Daily Workforce'!$B194&lt;&gt;"",COUNTIF('Daily Schedule'!$F$5:$F42,'Daily Workforce'!$B194)=0,IF('Daily Schedule'!$A43=45,'Daily Workforce'!$J194="Y",IF(OR('Daily Schedule'!$A43=4,'Daily Schedule'!$A43=8),IF(OR(WEEKDAY('Daily Schedule'!$B$2,2)=1,WEEKDAY('Daily Schedule'!$B$2,2)=4,WEEKDAY('Daily Schedule'!$B$2,2)=5,WEEKDAY('Daily Schedule'!$B$2,2)=7),IFERROR(1*'Daily Workforce'!$K194&gt;=3,FALSE()),IFERROR(1*'Daily Workforce'!$K194&gt;=2,FALSE())),IF(AND('Daily Schedule'!$A43&gt;=46,'Daily Schedule'!$A43&lt;=52),'Daily Workforce'!$M194="Y",IFERROR(1*'Daily Workforce'!$P194&gt;=2,FALSE()))))),1,0)</f>
        <v>0</v>
      </c>
      <c r="GX39" s="1" t="n">
        <f aca="false">IF(AND('Daily Workforce'!$N195="Y",'Daily Workforce'!$B195&lt;&gt;"",COUNTIF('Daily Schedule'!$F$5:$F42,'Daily Workforce'!$B195)=0,IF('Daily Schedule'!$A43=45,'Daily Workforce'!$J195="Y",IF(OR('Daily Schedule'!$A43=4,'Daily Schedule'!$A43=8),IF(OR(WEEKDAY('Daily Schedule'!$B$2,2)=1,WEEKDAY('Daily Schedule'!$B$2,2)=4,WEEKDAY('Daily Schedule'!$B$2,2)=5,WEEKDAY('Daily Schedule'!$B$2,2)=7),IFERROR(1*'Daily Workforce'!$K195&gt;=3,FALSE()),IFERROR(1*'Daily Workforce'!$K195&gt;=2,FALSE())),IF(AND('Daily Schedule'!$A43&gt;=46,'Daily Schedule'!$A43&lt;=52),'Daily Workforce'!$M195="Y",IFERROR(1*'Daily Workforce'!$P195&gt;=2,FALSE()))))),1,0)</f>
        <v>0</v>
      </c>
      <c r="GY39" s="1" t="n">
        <f aca="false">IF(AND('Daily Workforce'!$N196="Y",'Daily Workforce'!$B196&lt;&gt;"",COUNTIF('Daily Schedule'!$F$5:$F42,'Daily Workforce'!$B196)=0,IF('Daily Schedule'!$A43=45,'Daily Workforce'!$J196="Y",IF(OR('Daily Schedule'!$A43=4,'Daily Schedule'!$A43=8),IF(OR(WEEKDAY('Daily Schedule'!$B$2,2)=1,WEEKDAY('Daily Schedule'!$B$2,2)=4,WEEKDAY('Daily Schedule'!$B$2,2)=5,WEEKDAY('Daily Schedule'!$B$2,2)=7),IFERROR(1*'Daily Workforce'!$K196&gt;=3,FALSE()),IFERROR(1*'Daily Workforce'!$K196&gt;=2,FALSE())),IF(AND('Daily Schedule'!$A43&gt;=46,'Daily Schedule'!$A43&lt;=52),'Daily Workforce'!$M196="Y",IFERROR(1*'Daily Workforce'!$P196&gt;=2,FALSE()))))),1,0)</f>
        <v>0</v>
      </c>
      <c r="GZ39" s="1" t="n">
        <f aca="false">IF(AND('Daily Workforce'!$N197="Y",'Daily Workforce'!$B197&lt;&gt;"",COUNTIF('Daily Schedule'!$F$5:$F42,'Daily Workforce'!$B197)=0,IF('Daily Schedule'!$A43=45,'Daily Workforce'!$J197="Y",IF(OR('Daily Schedule'!$A43=4,'Daily Schedule'!$A43=8),IF(OR(WEEKDAY('Daily Schedule'!$B$2,2)=1,WEEKDAY('Daily Schedule'!$B$2,2)=4,WEEKDAY('Daily Schedule'!$B$2,2)=5,WEEKDAY('Daily Schedule'!$B$2,2)=7),IFERROR(1*'Daily Workforce'!$K197&gt;=3,FALSE()),IFERROR(1*'Daily Workforce'!$K197&gt;=2,FALSE())),IF(AND('Daily Schedule'!$A43&gt;=46,'Daily Schedule'!$A43&lt;=52),'Daily Workforce'!$M197="Y",IFERROR(1*'Daily Workforce'!$P197&gt;=2,FALSE()))))),1,0)</f>
        <v>0</v>
      </c>
      <c r="HA39" s="1" t="n">
        <f aca="false">IF(AND('Daily Workforce'!$N198="Y",'Daily Workforce'!$B198&lt;&gt;"",COUNTIF('Daily Schedule'!$F$5:$F42,'Daily Workforce'!$B198)=0,IF('Daily Schedule'!$A43=45,'Daily Workforce'!$J198="Y",IF(OR('Daily Schedule'!$A43=4,'Daily Schedule'!$A43=8),IF(OR(WEEKDAY('Daily Schedule'!$B$2,2)=1,WEEKDAY('Daily Schedule'!$B$2,2)=4,WEEKDAY('Daily Schedule'!$B$2,2)=5,WEEKDAY('Daily Schedule'!$B$2,2)=7),IFERROR(1*'Daily Workforce'!$K198&gt;=3,FALSE()),IFERROR(1*'Daily Workforce'!$K198&gt;=2,FALSE())),IF(AND('Daily Schedule'!$A43&gt;=46,'Daily Schedule'!$A43&lt;=52),'Daily Workforce'!$M198="Y",IFERROR(1*'Daily Workforce'!$P198&gt;=2,FALSE()))))),1,0)</f>
        <v>0</v>
      </c>
      <c r="HB39" s="1" t="n">
        <f aca="false">IF(AND('Daily Workforce'!$N199="Y",'Daily Workforce'!$B199&lt;&gt;"",COUNTIF('Daily Schedule'!$F$5:$F42,'Daily Workforce'!$B199)=0,IF('Daily Schedule'!$A43=45,'Daily Workforce'!$J199="Y",IF(OR('Daily Schedule'!$A43=4,'Daily Schedule'!$A43=8),IF(OR(WEEKDAY('Daily Schedule'!$B$2,2)=1,WEEKDAY('Daily Schedule'!$B$2,2)=4,WEEKDAY('Daily Schedule'!$B$2,2)=5,WEEKDAY('Daily Schedule'!$B$2,2)=7),IFERROR(1*'Daily Workforce'!$K199&gt;=3,FALSE()),IFERROR(1*'Daily Workforce'!$K199&gt;=2,FALSE())),IF(AND('Daily Schedule'!$A43&gt;=46,'Daily Schedule'!$A43&lt;=52),'Daily Workforce'!$M199="Y",IFERROR(1*'Daily Workforce'!$P199&gt;=2,FALSE()))))),1,0)</f>
        <v>0</v>
      </c>
      <c r="HC39" s="1" t="n">
        <f aca="false">IF(AND('Daily Workforce'!$N200="Y",'Daily Workforce'!$B200&lt;&gt;"",COUNTIF('Daily Schedule'!$F$5:$F42,'Daily Workforce'!$B200)=0,IF('Daily Schedule'!$A43=45,'Daily Workforce'!$J200="Y",IF(OR('Daily Schedule'!$A43=4,'Daily Schedule'!$A43=8),IF(OR(WEEKDAY('Daily Schedule'!$B$2,2)=1,WEEKDAY('Daily Schedule'!$B$2,2)=4,WEEKDAY('Daily Schedule'!$B$2,2)=5,WEEKDAY('Daily Schedule'!$B$2,2)=7),IFERROR(1*'Daily Workforce'!$K200&gt;=3,FALSE()),IFERROR(1*'Daily Workforce'!$K200&gt;=2,FALSE())),IF(AND('Daily Schedule'!$A43&gt;=46,'Daily Schedule'!$A43&lt;=52),'Daily Workforce'!$M200="Y",IFERROR(1*'Daily Workforce'!$P200&gt;=2,FALSE()))))),1,0)</f>
        <v>0</v>
      </c>
      <c r="HD39" s="1" t="n">
        <f aca="false">IF(AND('Daily Workforce'!$N201="Y",'Daily Workforce'!$B201&lt;&gt;"",COUNTIF('Daily Schedule'!$F$5:$F42,'Daily Workforce'!$B201)=0,IF('Daily Schedule'!$A43=45,'Daily Workforce'!$J201="Y",IF(OR('Daily Schedule'!$A43=4,'Daily Schedule'!$A43=8),IF(OR(WEEKDAY('Daily Schedule'!$B$2,2)=1,WEEKDAY('Daily Schedule'!$B$2,2)=4,WEEKDAY('Daily Schedule'!$B$2,2)=5,WEEKDAY('Daily Schedule'!$B$2,2)=7),IFERROR(1*'Daily Workforce'!$K201&gt;=3,FALSE()),IFERROR(1*'Daily Workforce'!$K201&gt;=2,FALSE())),IF(AND('Daily Schedule'!$A43&gt;=46,'Daily Schedule'!$A43&lt;=52),'Daily Workforce'!$M201="Y",IFERROR(1*'Daily Workforce'!$P201&gt;=2,FALSE()))))),1,0)</f>
        <v>0</v>
      </c>
      <c r="HE39" s="1" t="n">
        <f aca="false">IF(AND('Daily Workforce'!$N202="Y",'Daily Workforce'!$B202&lt;&gt;"",COUNTIF('Daily Schedule'!$F$5:$F42,'Daily Workforce'!$B202)=0,IF('Daily Schedule'!$A43=45,'Daily Workforce'!$J202="Y",IF(OR('Daily Schedule'!$A43=4,'Daily Schedule'!$A43=8),IF(OR(WEEKDAY('Daily Schedule'!$B$2,2)=1,WEEKDAY('Daily Schedule'!$B$2,2)=4,WEEKDAY('Daily Schedule'!$B$2,2)=5,WEEKDAY('Daily Schedule'!$B$2,2)=7),IFERROR(1*'Daily Workforce'!$K202&gt;=3,FALSE()),IFERROR(1*'Daily Workforce'!$K202&gt;=2,FALSE())),IF(AND('Daily Schedule'!$A43&gt;=46,'Daily Schedule'!$A43&lt;=52),'Daily Workforce'!$M202="Y",IFERROR(1*'Daily Workforce'!$P202&gt;=2,FALSE()))))),1,0)</f>
        <v>0</v>
      </c>
      <c r="HF39" s="1" t="n">
        <f aca="false">IF(AND('Daily Workforce'!$N203="Y",'Daily Workforce'!$B203&lt;&gt;"",COUNTIF('Daily Schedule'!$F$5:$F42,'Daily Workforce'!$B203)=0,IF('Daily Schedule'!$A43=45,'Daily Workforce'!$J203="Y",IF(OR('Daily Schedule'!$A43=4,'Daily Schedule'!$A43=8),IF(OR(WEEKDAY('Daily Schedule'!$B$2,2)=1,WEEKDAY('Daily Schedule'!$B$2,2)=4,WEEKDAY('Daily Schedule'!$B$2,2)=5,WEEKDAY('Daily Schedule'!$B$2,2)=7),IFERROR(1*'Daily Workforce'!$K203&gt;=3,FALSE()),IFERROR(1*'Daily Workforce'!$K203&gt;=2,FALSE())),IF(AND('Daily Schedule'!$A43&gt;=46,'Daily Schedule'!$A43&lt;=52),'Daily Workforce'!$M203="Y",IFERROR(1*'Daily Workforce'!$P203&gt;=2,FALSE()))))),1,0)</f>
        <v>0</v>
      </c>
      <c r="HG39" s="1" t="n">
        <f aca="false">IF(AND('Daily Workforce'!$N204="Y",'Daily Workforce'!$B204&lt;&gt;"",COUNTIF('Daily Schedule'!$F$5:$F42,'Daily Workforce'!$B204)=0,IF('Daily Schedule'!$A43=45,'Daily Workforce'!$J204="Y",IF(OR('Daily Schedule'!$A43=4,'Daily Schedule'!$A43=8),IF(OR(WEEKDAY('Daily Schedule'!$B$2,2)=1,WEEKDAY('Daily Schedule'!$B$2,2)=4,WEEKDAY('Daily Schedule'!$B$2,2)=5,WEEKDAY('Daily Schedule'!$B$2,2)=7),IFERROR(1*'Daily Workforce'!$K204&gt;=3,FALSE()),IFERROR(1*'Daily Workforce'!$K204&gt;=2,FALSE())),IF(AND('Daily Schedule'!$A43&gt;=46,'Daily Schedule'!$A43&lt;=52),'Daily Workforce'!$M204="Y",IFERROR(1*'Daily Workforce'!$P204&gt;=2,FALSE()))))),1,0)</f>
        <v>0</v>
      </c>
      <c r="HH39" s="1" t="n">
        <f aca="false">IF(AND('Daily Workforce'!$N205="Y",'Daily Workforce'!$B205&lt;&gt;"",COUNTIF('Daily Schedule'!$F$5:$F42,'Daily Workforce'!$B205)=0,IF('Daily Schedule'!$A43=45,'Daily Workforce'!$J205="Y",IF(OR('Daily Schedule'!$A43=4,'Daily Schedule'!$A43=8),IF(OR(WEEKDAY('Daily Schedule'!$B$2,2)=1,WEEKDAY('Daily Schedule'!$B$2,2)=4,WEEKDAY('Daily Schedule'!$B$2,2)=5,WEEKDAY('Daily Schedule'!$B$2,2)=7),IFERROR(1*'Daily Workforce'!$K205&gt;=3,FALSE()),IFERROR(1*'Daily Workforce'!$K205&gt;=2,FALSE())),IF(AND('Daily Schedule'!$A43&gt;=46,'Daily Schedule'!$A43&lt;=52),'Daily Workforce'!$M205="Y",IFERROR(1*'Daily Workforce'!$P205&gt;=2,FALSE()))))),1,0)</f>
        <v>0</v>
      </c>
    </row>
    <row r="40" customFormat="false" ht="15" hidden="false" customHeight="true" outlineLevel="0" collapsed="false">
      <c r="L40" s="1" t="s">
        <v>490</v>
      </c>
      <c r="O40" s="1" t="n">
        <f aca="false">IF(AND('Employee Master'!$G40="Y",ISERROR(SEARCH(TEXT('Daily Workforce'!$B$2,"ddd"),'Employee Master'!$D40)),IF('Daily Workforce'!$E$2="",TRUE(),'Employee Master'!$I40='Daily Workforce'!$E$2)),'Employee Master'!$K40*1000+ROW()-1,"")</f>
        <v>4039</v>
      </c>
      <c r="P40" s="1" t="n">
        <f aca="false">IF($O40="","",COUNTIF($O$2:$O$159,"&lt;="&amp;$O40))</f>
        <v>87</v>
      </c>
      <c r="Q40" s="1" t="n">
        <f aca="false">IF(AND('Daily Workforce'!$N6="Y",'Daily Workforce'!$B6&lt;&gt;"",COUNTIF('Daily Schedule'!$F$5:$F43,'Daily Workforce'!$B6)=0,IF('Daily Schedule'!$A44=45,'Daily Workforce'!$J6="Y",IF(OR('Daily Schedule'!$A44=4,'Daily Schedule'!$A44=8),IF(OR(WEEKDAY('Daily Schedule'!$B$2,2)=1,WEEKDAY('Daily Schedule'!$B$2,2)=4,WEEKDAY('Daily Schedule'!$B$2,2)=5,WEEKDAY('Daily Schedule'!$B$2,2)=7),IFERROR(1*'Daily Workforce'!$K6&gt;=3,FALSE()),IFERROR(1*'Daily Workforce'!$K6&gt;=2,FALSE())),IF(AND('Daily Schedule'!$A44&gt;=46,'Daily Schedule'!$A44&lt;=52),'Daily Workforce'!$M6="Y",IFERROR(1*'Daily Workforce'!$P6&gt;=2,FALSE()))))),1,0)</f>
        <v>0</v>
      </c>
      <c r="R40" s="1" t="n">
        <f aca="false">IF(AND('Daily Workforce'!$N7="Y",'Daily Workforce'!$B7&lt;&gt;"",COUNTIF('Daily Schedule'!$F$5:$F43,'Daily Workforce'!$B7)=0,IF('Daily Schedule'!$A44=45,'Daily Workforce'!$J7="Y",IF(OR('Daily Schedule'!$A44=4,'Daily Schedule'!$A44=8),IF(OR(WEEKDAY('Daily Schedule'!$B$2,2)=1,WEEKDAY('Daily Schedule'!$B$2,2)=4,WEEKDAY('Daily Schedule'!$B$2,2)=5,WEEKDAY('Daily Schedule'!$B$2,2)=7),IFERROR(1*'Daily Workforce'!$K7&gt;=3,FALSE()),IFERROR(1*'Daily Workforce'!$K7&gt;=2,FALSE())),IF(AND('Daily Schedule'!$A44&gt;=46,'Daily Schedule'!$A44&lt;=52),'Daily Workforce'!$M7="Y",IFERROR(1*'Daily Workforce'!$P7&gt;=2,FALSE()))))),1,0)</f>
        <v>0</v>
      </c>
      <c r="S40" s="1" t="n">
        <f aca="false">IF(AND('Daily Workforce'!$N8="Y",'Daily Workforce'!$B8&lt;&gt;"",COUNTIF('Daily Schedule'!$F$5:$F43,'Daily Workforce'!$B8)=0,IF('Daily Schedule'!$A44=45,'Daily Workforce'!$J8="Y",IF(OR('Daily Schedule'!$A44=4,'Daily Schedule'!$A44=8),IF(OR(WEEKDAY('Daily Schedule'!$B$2,2)=1,WEEKDAY('Daily Schedule'!$B$2,2)=4,WEEKDAY('Daily Schedule'!$B$2,2)=5,WEEKDAY('Daily Schedule'!$B$2,2)=7),IFERROR(1*'Daily Workforce'!$K8&gt;=3,FALSE()),IFERROR(1*'Daily Workforce'!$K8&gt;=2,FALSE())),IF(AND('Daily Schedule'!$A44&gt;=46,'Daily Schedule'!$A44&lt;=52),'Daily Workforce'!$M8="Y",IFERROR(1*'Daily Workforce'!$P8&gt;=2,FALSE()))))),1,0)</f>
        <v>0</v>
      </c>
      <c r="T40" s="1" t="n">
        <f aca="false">IF(AND('Daily Workforce'!$N9="Y",'Daily Workforce'!$B9&lt;&gt;"",COUNTIF('Daily Schedule'!$F$5:$F43,'Daily Workforce'!$B9)=0,IF('Daily Schedule'!$A44=45,'Daily Workforce'!$J9="Y",IF(OR('Daily Schedule'!$A44=4,'Daily Schedule'!$A44=8),IF(OR(WEEKDAY('Daily Schedule'!$B$2,2)=1,WEEKDAY('Daily Schedule'!$B$2,2)=4,WEEKDAY('Daily Schedule'!$B$2,2)=5,WEEKDAY('Daily Schedule'!$B$2,2)=7),IFERROR(1*'Daily Workforce'!$K9&gt;=3,FALSE()),IFERROR(1*'Daily Workforce'!$K9&gt;=2,FALSE())),IF(AND('Daily Schedule'!$A44&gt;=46,'Daily Schedule'!$A44&lt;=52),'Daily Workforce'!$M9="Y",IFERROR(1*'Daily Workforce'!$P9&gt;=2,FALSE()))))),1,0)</f>
        <v>0</v>
      </c>
      <c r="U40" s="1" t="n">
        <f aca="false">IF(AND('Daily Workforce'!$N10="Y",'Daily Workforce'!$B10&lt;&gt;"",COUNTIF('Daily Schedule'!$F$5:$F43,'Daily Workforce'!$B10)=0,IF('Daily Schedule'!$A44=45,'Daily Workforce'!$J10="Y",IF(OR('Daily Schedule'!$A44=4,'Daily Schedule'!$A44=8),IF(OR(WEEKDAY('Daily Schedule'!$B$2,2)=1,WEEKDAY('Daily Schedule'!$B$2,2)=4,WEEKDAY('Daily Schedule'!$B$2,2)=5,WEEKDAY('Daily Schedule'!$B$2,2)=7),IFERROR(1*'Daily Workforce'!$K10&gt;=3,FALSE()),IFERROR(1*'Daily Workforce'!$K10&gt;=2,FALSE())),IF(AND('Daily Schedule'!$A44&gt;=46,'Daily Schedule'!$A44&lt;=52),'Daily Workforce'!$M10="Y",IFERROR(1*'Daily Workforce'!$P10&gt;=2,FALSE()))))),1,0)</f>
        <v>0</v>
      </c>
      <c r="V40" s="1" t="n">
        <f aca="false">IF(AND('Daily Workforce'!$N11="Y",'Daily Workforce'!$B11&lt;&gt;"",COUNTIF('Daily Schedule'!$F$5:$F43,'Daily Workforce'!$B11)=0,IF('Daily Schedule'!$A44=45,'Daily Workforce'!$J11="Y",IF(OR('Daily Schedule'!$A44=4,'Daily Schedule'!$A44=8),IF(OR(WEEKDAY('Daily Schedule'!$B$2,2)=1,WEEKDAY('Daily Schedule'!$B$2,2)=4,WEEKDAY('Daily Schedule'!$B$2,2)=5,WEEKDAY('Daily Schedule'!$B$2,2)=7),IFERROR(1*'Daily Workforce'!$K11&gt;=3,FALSE()),IFERROR(1*'Daily Workforce'!$K11&gt;=2,FALSE())),IF(AND('Daily Schedule'!$A44&gt;=46,'Daily Schedule'!$A44&lt;=52),'Daily Workforce'!$M11="Y",IFERROR(1*'Daily Workforce'!$P11&gt;=2,FALSE()))))),1,0)</f>
        <v>0</v>
      </c>
      <c r="W40" s="1" t="n">
        <f aca="false">IF(AND('Daily Workforce'!$N12="Y",'Daily Workforce'!$B12&lt;&gt;"",COUNTIF('Daily Schedule'!$F$5:$F43,'Daily Workforce'!$B12)=0,IF('Daily Schedule'!$A44=45,'Daily Workforce'!$J12="Y",IF(OR('Daily Schedule'!$A44=4,'Daily Schedule'!$A44=8),IF(OR(WEEKDAY('Daily Schedule'!$B$2,2)=1,WEEKDAY('Daily Schedule'!$B$2,2)=4,WEEKDAY('Daily Schedule'!$B$2,2)=5,WEEKDAY('Daily Schedule'!$B$2,2)=7),IFERROR(1*'Daily Workforce'!$K12&gt;=3,FALSE()),IFERROR(1*'Daily Workforce'!$K12&gt;=2,FALSE())),IF(AND('Daily Schedule'!$A44&gt;=46,'Daily Schedule'!$A44&lt;=52),'Daily Workforce'!$M12="Y",IFERROR(1*'Daily Workforce'!$P12&gt;=2,FALSE()))))),1,0)</f>
        <v>0</v>
      </c>
      <c r="X40" s="1" t="n">
        <f aca="false">IF(AND('Daily Workforce'!$N13="Y",'Daily Workforce'!$B13&lt;&gt;"",COUNTIF('Daily Schedule'!$F$5:$F43,'Daily Workforce'!$B13)=0,IF('Daily Schedule'!$A44=45,'Daily Workforce'!$J13="Y",IF(OR('Daily Schedule'!$A44=4,'Daily Schedule'!$A44=8),IF(OR(WEEKDAY('Daily Schedule'!$B$2,2)=1,WEEKDAY('Daily Schedule'!$B$2,2)=4,WEEKDAY('Daily Schedule'!$B$2,2)=5,WEEKDAY('Daily Schedule'!$B$2,2)=7),IFERROR(1*'Daily Workforce'!$K13&gt;=3,FALSE()),IFERROR(1*'Daily Workforce'!$K13&gt;=2,FALSE())),IF(AND('Daily Schedule'!$A44&gt;=46,'Daily Schedule'!$A44&lt;=52),'Daily Workforce'!$M13="Y",IFERROR(1*'Daily Workforce'!$P13&gt;=2,FALSE()))))),1,0)</f>
        <v>0</v>
      </c>
      <c r="Y40" s="1" t="n">
        <f aca="false">IF(AND('Daily Workforce'!$N14="Y",'Daily Workforce'!$B14&lt;&gt;"",COUNTIF('Daily Schedule'!$F$5:$F43,'Daily Workforce'!$B14)=0,IF('Daily Schedule'!$A44=45,'Daily Workforce'!$J14="Y",IF(OR('Daily Schedule'!$A44=4,'Daily Schedule'!$A44=8),IF(OR(WEEKDAY('Daily Schedule'!$B$2,2)=1,WEEKDAY('Daily Schedule'!$B$2,2)=4,WEEKDAY('Daily Schedule'!$B$2,2)=5,WEEKDAY('Daily Schedule'!$B$2,2)=7),IFERROR(1*'Daily Workforce'!$K14&gt;=3,FALSE()),IFERROR(1*'Daily Workforce'!$K14&gt;=2,FALSE())),IF(AND('Daily Schedule'!$A44&gt;=46,'Daily Schedule'!$A44&lt;=52),'Daily Workforce'!$M14="Y",IFERROR(1*'Daily Workforce'!$P14&gt;=2,FALSE()))))),1,0)</f>
        <v>0</v>
      </c>
      <c r="Z40" s="1" t="n">
        <f aca="false">IF(AND('Daily Workforce'!$N15="Y",'Daily Workforce'!$B15&lt;&gt;"",COUNTIF('Daily Schedule'!$F$5:$F43,'Daily Workforce'!$B15)=0,IF('Daily Schedule'!$A44=45,'Daily Workforce'!$J15="Y",IF(OR('Daily Schedule'!$A44=4,'Daily Schedule'!$A44=8),IF(OR(WEEKDAY('Daily Schedule'!$B$2,2)=1,WEEKDAY('Daily Schedule'!$B$2,2)=4,WEEKDAY('Daily Schedule'!$B$2,2)=5,WEEKDAY('Daily Schedule'!$B$2,2)=7),IFERROR(1*'Daily Workforce'!$K15&gt;=3,FALSE()),IFERROR(1*'Daily Workforce'!$K15&gt;=2,FALSE())),IF(AND('Daily Schedule'!$A44&gt;=46,'Daily Schedule'!$A44&lt;=52),'Daily Workforce'!$M15="Y",IFERROR(1*'Daily Workforce'!$P15&gt;=2,FALSE()))))),1,0)</f>
        <v>0</v>
      </c>
      <c r="AA40" s="1" t="n">
        <f aca="false">IF(AND('Daily Workforce'!$N16="Y",'Daily Workforce'!$B16&lt;&gt;"",COUNTIF('Daily Schedule'!$F$5:$F43,'Daily Workforce'!$B16)=0,IF('Daily Schedule'!$A44=45,'Daily Workforce'!$J16="Y",IF(OR('Daily Schedule'!$A44=4,'Daily Schedule'!$A44=8),IF(OR(WEEKDAY('Daily Schedule'!$B$2,2)=1,WEEKDAY('Daily Schedule'!$B$2,2)=4,WEEKDAY('Daily Schedule'!$B$2,2)=5,WEEKDAY('Daily Schedule'!$B$2,2)=7),IFERROR(1*'Daily Workforce'!$K16&gt;=3,FALSE()),IFERROR(1*'Daily Workforce'!$K16&gt;=2,FALSE())),IF(AND('Daily Schedule'!$A44&gt;=46,'Daily Schedule'!$A44&lt;=52),'Daily Workforce'!$M16="Y",IFERROR(1*'Daily Workforce'!$P16&gt;=2,FALSE()))))),1,0)</f>
        <v>0</v>
      </c>
      <c r="AB40" s="1" t="n">
        <f aca="false">IF(AND('Daily Workforce'!$N17="Y",'Daily Workforce'!$B17&lt;&gt;"",COUNTIF('Daily Schedule'!$F$5:$F43,'Daily Workforce'!$B17)=0,IF('Daily Schedule'!$A44=45,'Daily Workforce'!$J17="Y",IF(OR('Daily Schedule'!$A44=4,'Daily Schedule'!$A44=8),IF(OR(WEEKDAY('Daily Schedule'!$B$2,2)=1,WEEKDAY('Daily Schedule'!$B$2,2)=4,WEEKDAY('Daily Schedule'!$B$2,2)=5,WEEKDAY('Daily Schedule'!$B$2,2)=7),IFERROR(1*'Daily Workforce'!$K17&gt;=3,FALSE()),IFERROR(1*'Daily Workforce'!$K17&gt;=2,FALSE())),IF(AND('Daily Schedule'!$A44&gt;=46,'Daily Schedule'!$A44&lt;=52),'Daily Workforce'!$M17="Y",IFERROR(1*'Daily Workforce'!$P17&gt;=2,FALSE()))))),1,0)</f>
        <v>0</v>
      </c>
      <c r="AC40" s="1" t="n">
        <f aca="false">IF(AND('Daily Workforce'!$N18="Y",'Daily Workforce'!$B18&lt;&gt;"",COUNTIF('Daily Schedule'!$F$5:$F43,'Daily Workforce'!$B18)=0,IF('Daily Schedule'!$A44=45,'Daily Workforce'!$J18="Y",IF(OR('Daily Schedule'!$A44=4,'Daily Schedule'!$A44=8),IF(OR(WEEKDAY('Daily Schedule'!$B$2,2)=1,WEEKDAY('Daily Schedule'!$B$2,2)=4,WEEKDAY('Daily Schedule'!$B$2,2)=5,WEEKDAY('Daily Schedule'!$B$2,2)=7),IFERROR(1*'Daily Workforce'!$K18&gt;=3,FALSE()),IFERROR(1*'Daily Workforce'!$K18&gt;=2,FALSE())),IF(AND('Daily Schedule'!$A44&gt;=46,'Daily Schedule'!$A44&lt;=52),'Daily Workforce'!$M18="Y",IFERROR(1*'Daily Workforce'!$P18&gt;=2,FALSE()))))),1,0)</f>
        <v>0</v>
      </c>
      <c r="AD40" s="1" t="n">
        <f aca="false">IF(AND('Daily Workforce'!$N19="Y",'Daily Workforce'!$B19&lt;&gt;"",COUNTIF('Daily Schedule'!$F$5:$F43,'Daily Workforce'!$B19)=0,IF('Daily Schedule'!$A44=45,'Daily Workforce'!$J19="Y",IF(OR('Daily Schedule'!$A44=4,'Daily Schedule'!$A44=8),IF(OR(WEEKDAY('Daily Schedule'!$B$2,2)=1,WEEKDAY('Daily Schedule'!$B$2,2)=4,WEEKDAY('Daily Schedule'!$B$2,2)=5,WEEKDAY('Daily Schedule'!$B$2,2)=7),IFERROR(1*'Daily Workforce'!$K19&gt;=3,FALSE()),IFERROR(1*'Daily Workforce'!$K19&gt;=2,FALSE())),IF(AND('Daily Schedule'!$A44&gt;=46,'Daily Schedule'!$A44&lt;=52),'Daily Workforce'!$M19="Y",IFERROR(1*'Daily Workforce'!$P19&gt;=2,FALSE()))))),1,0)</f>
        <v>0</v>
      </c>
      <c r="AE40" s="1" t="n">
        <f aca="false">IF(AND('Daily Workforce'!$N20="Y",'Daily Workforce'!$B20&lt;&gt;"",COUNTIF('Daily Schedule'!$F$5:$F43,'Daily Workforce'!$B20)=0,IF('Daily Schedule'!$A44=45,'Daily Workforce'!$J20="Y",IF(OR('Daily Schedule'!$A44=4,'Daily Schedule'!$A44=8),IF(OR(WEEKDAY('Daily Schedule'!$B$2,2)=1,WEEKDAY('Daily Schedule'!$B$2,2)=4,WEEKDAY('Daily Schedule'!$B$2,2)=5,WEEKDAY('Daily Schedule'!$B$2,2)=7),IFERROR(1*'Daily Workforce'!$K20&gt;=3,FALSE()),IFERROR(1*'Daily Workforce'!$K20&gt;=2,FALSE())),IF(AND('Daily Schedule'!$A44&gt;=46,'Daily Schedule'!$A44&lt;=52),'Daily Workforce'!$M20="Y",IFERROR(1*'Daily Workforce'!$P20&gt;=2,FALSE()))))),1,0)</f>
        <v>0</v>
      </c>
      <c r="AF40" s="1" t="n">
        <f aca="false">IF(AND('Daily Workforce'!$N21="Y",'Daily Workforce'!$B21&lt;&gt;"",COUNTIF('Daily Schedule'!$F$5:$F43,'Daily Workforce'!$B21)=0,IF('Daily Schedule'!$A44=45,'Daily Workforce'!$J21="Y",IF(OR('Daily Schedule'!$A44=4,'Daily Schedule'!$A44=8),IF(OR(WEEKDAY('Daily Schedule'!$B$2,2)=1,WEEKDAY('Daily Schedule'!$B$2,2)=4,WEEKDAY('Daily Schedule'!$B$2,2)=5,WEEKDAY('Daily Schedule'!$B$2,2)=7),IFERROR(1*'Daily Workforce'!$K21&gt;=3,FALSE()),IFERROR(1*'Daily Workforce'!$K21&gt;=2,FALSE())),IF(AND('Daily Schedule'!$A44&gt;=46,'Daily Schedule'!$A44&lt;=52),'Daily Workforce'!$M21="Y",IFERROR(1*'Daily Workforce'!$P21&gt;=2,FALSE()))))),1,0)</f>
        <v>0</v>
      </c>
      <c r="AG40" s="1" t="n">
        <f aca="false">IF(AND('Daily Workforce'!$N22="Y",'Daily Workforce'!$B22&lt;&gt;"",COUNTIF('Daily Schedule'!$F$5:$F43,'Daily Workforce'!$B22)=0,IF('Daily Schedule'!$A44=45,'Daily Workforce'!$J22="Y",IF(OR('Daily Schedule'!$A44=4,'Daily Schedule'!$A44=8),IF(OR(WEEKDAY('Daily Schedule'!$B$2,2)=1,WEEKDAY('Daily Schedule'!$B$2,2)=4,WEEKDAY('Daily Schedule'!$B$2,2)=5,WEEKDAY('Daily Schedule'!$B$2,2)=7),IFERROR(1*'Daily Workforce'!$K22&gt;=3,FALSE()),IFERROR(1*'Daily Workforce'!$K22&gt;=2,FALSE())),IF(AND('Daily Schedule'!$A44&gt;=46,'Daily Schedule'!$A44&lt;=52),'Daily Workforce'!$M22="Y",IFERROR(1*'Daily Workforce'!$P22&gt;=2,FALSE()))))),1,0)</f>
        <v>0</v>
      </c>
      <c r="AH40" s="1" t="n">
        <f aca="false">IF(AND('Daily Workforce'!$N23="Y",'Daily Workforce'!$B23&lt;&gt;"",COUNTIF('Daily Schedule'!$F$5:$F43,'Daily Workforce'!$B23)=0,IF('Daily Schedule'!$A44=45,'Daily Workforce'!$J23="Y",IF(OR('Daily Schedule'!$A44=4,'Daily Schedule'!$A44=8),IF(OR(WEEKDAY('Daily Schedule'!$B$2,2)=1,WEEKDAY('Daily Schedule'!$B$2,2)=4,WEEKDAY('Daily Schedule'!$B$2,2)=5,WEEKDAY('Daily Schedule'!$B$2,2)=7),IFERROR(1*'Daily Workforce'!$K23&gt;=3,FALSE()),IFERROR(1*'Daily Workforce'!$K23&gt;=2,FALSE())),IF(AND('Daily Schedule'!$A44&gt;=46,'Daily Schedule'!$A44&lt;=52),'Daily Workforce'!$M23="Y",IFERROR(1*'Daily Workforce'!$P23&gt;=2,FALSE()))))),1,0)</f>
        <v>0</v>
      </c>
      <c r="AI40" s="1" t="n">
        <f aca="false">IF(AND('Daily Workforce'!$N24="Y",'Daily Workforce'!$B24&lt;&gt;"",COUNTIF('Daily Schedule'!$F$5:$F43,'Daily Workforce'!$B24)=0,IF('Daily Schedule'!$A44=45,'Daily Workforce'!$J24="Y",IF(OR('Daily Schedule'!$A44=4,'Daily Schedule'!$A44=8),IF(OR(WEEKDAY('Daily Schedule'!$B$2,2)=1,WEEKDAY('Daily Schedule'!$B$2,2)=4,WEEKDAY('Daily Schedule'!$B$2,2)=5,WEEKDAY('Daily Schedule'!$B$2,2)=7),IFERROR(1*'Daily Workforce'!$K24&gt;=3,FALSE()),IFERROR(1*'Daily Workforce'!$K24&gt;=2,FALSE())),IF(AND('Daily Schedule'!$A44&gt;=46,'Daily Schedule'!$A44&lt;=52),'Daily Workforce'!$M24="Y",IFERROR(1*'Daily Workforce'!$P24&gt;=2,FALSE()))))),1,0)</f>
        <v>0</v>
      </c>
      <c r="AJ40" s="1" t="n">
        <f aca="false">IF(AND('Daily Workforce'!$N25="Y",'Daily Workforce'!$B25&lt;&gt;"",COUNTIF('Daily Schedule'!$F$5:$F43,'Daily Workforce'!$B25)=0,IF('Daily Schedule'!$A44=45,'Daily Workforce'!$J25="Y",IF(OR('Daily Schedule'!$A44=4,'Daily Schedule'!$A44=8),IF(OR(WEEKDAY('Daily Schedule'!$B$2,2)=1,WEEKDAY('Daily Schedule'!$B$2,2)=4,WEEKDAY('Daily Schedule'!$B$2,2)=5,WEEKDAY('Daily Schedule'!$B$2,2)=7),IFERROR(1*'Daily Workforce'!$K25&gt;=3,FALSE()),IFERROR(1*'Daily Workforce'!$K25&gt;=2,FALSE())),IF(AND('Daily Schedule'!$A44&gt;=46,'Daily Schedule'!$A44&lt;=52),'Daily Workforce'!$M25="Y",IFERROR(1*'Daily Workforce'!$P25&gt;=2,FALSE()))))),1,0)</f>
        <v>0</v>
      </c>
      <c r="AK40" s="1" t="n">
        <f aca="false">IF(AND('Daily Workforce'!$N26="Y",'Daily Workforce'!$B26&lt;&gt;"",COUNTIF('Daily Schedule'!$F$5:$F43,'Daily Workforce'!$B26)=0,IF('Daily Schedule'!$A44=45,'Daily Workforce'!$J26="Y",IF(OR('Daily Schedule'!$A44=4,'Daily Schedule'!$A44=8),IF(OR(WEEKDAY('Daily Schedule'!$B$2,2)=1,WEEKDAY('Daily Schedule'!$B$2,2)=4,WEEKDAY('Daily Schedule'!$B$2,2)=5,WEEKDAY('Daily Schedule'!$B$2,2)=7),IFERROR(1*'Daily Workforce'!$K26&gt;=3,FALSE()),IFERROR(1*'Daily Workforce'!$K26&gt;=2,FALSE())),IF(AND('Daily Schedule'!$A44&gt;=46,'Daily Schedule'!$A44&lt;=52),'Daily Workforce'!$M26="Y",IFERROR(1*'Daily Workforce'!$P26&gt;=2,FALSE()))))),1,0)</f>
        <v>0</v>
      </c>
      <c r="AL40" s="1" t="n">
        <f aca="false">IF(AND('Daily Workforce'!$N27="Y",'Daily Workforce'!$B27&lt;&gt;"",COUNTIF('Daily Schedule'!$F$5:$F43,'Daily Workforce'!$B27)=0,IF('Daily Schedule'!$A44=45,'Daily Workforce'!$J27="Y",IF(OR('Daily Schedule'!$A44=4,'Daily Schedule'!$A44=8),IF(OR(WEEKDAY('Daily Schedule'!$B$2,2)=1,WEEKDAY('Daily Schedule'!$B$2,2)=4,WEEKDAY('Daily Schedule'!$B$2,2)=5,WEEKDAY('Daily Schedule'!$B$2,2)=7),IFERROR(1*'Daily Workforce'!$K27&gt;=3,FALSE()),IFERROR(1*'Daily Workforce'!$K27&gt;=2,FALSE())),IF(AND('Daily Schedule'!$A44&gt;=46,'Daily Schedule'!$A44&lt;=52),'Daily Workforce'!$M27="Y",IFERROR(1*'Daily Workforce'!$P27&gt;=2,FALSE()))))),1,0)</f>
        <v>0</v>
      </c>
      <c r="AM40" s="1" t="n">
        <f aca="false">IF(AND('Daily Workforce'!$N28="Y",'Daily Workforce'!$B28&lt;&gt;"",COUNTIF('Daily Schedule'!$F$5:$F43,'Daily Workforce'!$B28)=0,IF('Daily Schedule'!$A44=45,'Daily Workforce'!$J28="Y",IF(OR('Daily Schedule'!$A44=4,'Daily Schedule'!$A44=8),IF(OR(WEEKDAY('Daily Schedule'!$B$2,2)=1,WEEKDAY('Daily Schedule'!$B$2,2)=4,WEEKDAY('Daily Schedule'!$B$2,2)=5,WEEKDAY('Daily Schedule'!$B$2,2)=7),IFERROR(1*'Daily Workforce'!$K28&gt;=3,FALSE()),IFERROR(1*'Daily Workforce'!$K28&gt;=2,FALSE())),IF(AND('Daily Schedule'!$A44&gt;=46,'Daily Schedule'!$A44&lt;=52),'Daily Workforce'!$M28="Y",IFERROR(1*'Daily Workforce'!$P28&gt;=2,FALSE()))))),1,0)</f>
        <v>0</v>
      </c>
      <c r="AN40" s="1" t="n">
        <f aca="false">IF(AND('Daily Workforce'!$N29="Y",'Daily Workforce'!$B29&lt;&gt;"",COUNTIF('Daily Schedule'!$F$5:$F43,'Daily Workforce'!$B29)=0,IF('Daily Schedule'!$A44=45,'Daily Workforce'!$J29="Y",IF(OR('Daily Schedule'!$A44=4,'Daily Schedule'!$A44=8),IF(OR(WEEKDAY('Daily Schedule'!$B$2,2)=1,WEEKDAY('Daily Schedule'!$B$2,2)=4,WEEKDAY('Daily Schedule'!$B$2,2)=5,WEEKDAY('Daily Schedule'!$B$2,2)=7),IFERROR(1*'Daily Workforce'!$K29&gt;=3,FALSE()),IFERROR(1*'Daily Workforce'!$K29&gt;=2,FALSE())),IF(AND('Daily Schedule'!$A44&gt;=46,'Daily Schedule'!$A44&lt;=52),'Daily Workforce'!$M29="Y",IFERROR(1*'Daily Workforce'!$P29&gt;=2,FALSE()))))),1,0)</f>
        <v>0</v>
      </c>
      <c r="AO40" s="1" t="n">
        <f aca="false">IF(AND('Daily Workforce'!$N30="Y",'Daily Workforce'!$B30&lt;&gt;"",COUNTIF('Daily Schedule'!$F$5:$F43,'Daily Workforce'!$B30)=0,IF('Daily Schedule'!$A44=45,'Daily Workforce'!$J30="Y",IF(OR('Daily Schedule'!$A44=4,'Daily Schedule'!$A44=8),IF(OR(WEEKDAY('Daily Schedule'!$B$2,2)=1,WEEKDAY('Daily Schedule'!$B$2,2)=4,WEEKDAY('Daily Schedule'!$B$2,2)=5,WEEKDAY('Daily Schedule'!$B$2,2)=7),IFERROR(1*'Daily Workforce'!$K30&gt;=3,FALSE()),IFERROR(1*'Daily Workforce'!$K30&gt;=2,FALSE())),IF(AND('Daily Schedule'!$A44&gt;=46,'Daily Schedule'!$A44&lt;=52),'Daily Workforce'!$M30="Y",IFERROR(1*'Daily Workforce'!$P30&gt;=2,FALSE()))))),1,0)</f>
        <v>0</v>
      </c>
      <c r="AP40" s="1" t="n">
        <f aca="false">IF(AND('Daily Workforce'!$N31="Y",'Daily Workforce'!$B31&lt;&gt;"",COUNTIF('Daily Schedule'!$F$5:$F43,'Daily Workforce'!$B31)=0,IF('Daily Schedule'!$A44=45,'Daily Workforce'!$J31="Y",IF(OR('Daily Schedule'!$A44=4,'Daily Schedule'!$A44=8),IF(OR(WEEKDAY('Daily Schedule'!$B$2,2)=1,WEEKDAY('Daily Schedule'!$B$2,2)=4,WEEKDAY('Daily Schedule'!$B$2,2)=5,WEEKDAY('Daily Schedule'!$B$2,2)=7),IFERROR(1*'Daily Workforce'!$K31&gt;=3,FALSE()),IFERROR(1*'Daily Workforce'!$K31&gt;=2,FALSE())),IF(AND('Daily Schedule'!$A44&gt;=46,'Daily Schedule'!$A44&lt;=52),'Daily Workforce'!$M31="Y",IFERROR(1*'Daily Workforce'!$P31&gt;=2,FALSE()))))),1,0)</f>
        <v>0</v>
      </c>
      <c r="AQ40" s="1" t="n">
        <f aca="false">IF(AND('Daily Workforce'!$N32="Y",'Daily Workforce'!$B32&lt;&gt;"",COUNTIF('Daily Schedule'!$F$5:$F43,'Daily Workforce'!$B32)=0,IF('Daily Schedule'!$A44=45,'Daily Workforce'!$J32="Y",IF(OR('Daily Schedule'!$A44=4,'Daily Schedule'!$A44=8),IF(OR(WEEKDAY('Daily Schedule'!$B$2,2)=1,WEEKDAY('Daily Schedule'!$B$2,2)=4,WEEKDAY('Daily Schedule'!$B$2,2)=5,WEEKDAY('Daily Schedule'!$B$2,2)=7),IFERROR(1*'Daily Workforce'!$K32&gt;=3,FALSE()),IFERROR(1*'Daily Workforce'!$K32&gt;=2,FALSE())),IF(AND('Daily Schedule'!$A44&gt;=46,'Daily Schedule'!$A44&lt;=52),'Daily Workforce'!$M32="Y",IFERROR(1*'Daily Workforce'!$P32&gt;=2,FALSE()))))),1,0)</f>
        <v>0</v>
      </c>
      <c r="AR40" s="1" t="n">
        <f aca="false">IF(AND('Daily Workforce'!$N33="Y",'Daily Workforce'!$B33&lt;&gt;"",COUNTIF('Daily Schedule'!$F$5:$F43,'Daily Workforce'!$B33)=0,IF('Daily Schedule'!$A44=45,'Daily Workforce'!$J33="Y",IF(OR('Daily Schedule'!$A44=4,'Daily Schedule'!$A44=8),IF(OR(WEEKDAY('Daily Schedule'!$B$2,2)=1,WEEKDAY('Daily Schedule'!$B$2,2)=4,WEEKDAY('Daily Schedule'!$B$2,2)=5,WEEKDAY('Daily Schedule'!$B$2,2)=7),IFERROR(1*'Daily Workforce'!$K33&gt;=3,FALSE()),IFERROR(1*'Daily Workforce'!$K33&gt;=2,FALSE())),IF(AND('Daily Schedule'!$A44&gt;=46,'Daily Schedule'!$A44&lt;=52),'Daily Workforce'!$M33="Y",IFERROR(1*'Daily Workforce'!$P33&gt;=2,FALSE()))))),1,0)</f>
        <v>0</v>
      </c>
      <c r="AS40" s="1" t="n">
        <f aca="false">IF(AND('Daily Workforce'!$N34="Y",'Daily Workforce'!$B34&lt;&gt;"",COUNTIF('Daily Schedule'!$F$5:$F43,'Daily Workforce'!$B34)=0,IF('Daily Schedule'!$A44=45,'Daily Workforce'!$J34="Y",IF(OR('Daily Schedule'!$A44=4,'Daily Schedule'!$A44=8),IF(OR(WEEKDAY('Daily Schedule'!$B$2,2)=1,WEEKDAY('Daily Schedule'!$B$2,2)=4,WEEKDAY('Daily Schedule'!$B$2,2)=5,WEEKDAY('Daily Schedule'!$B$2,2)=7),IFERROR(1*'Daily Workforce'!$K34&gt;=3,FALSE()),IFERROR(1*'Daily Workforce'!$K34&gt;=2,FALSE())),IF(AND('Daily Schedule'!$A44&gt;=46,'Daily Schedule'!$A44&lt;=52),'Daily Workforce'!$M34="Y",IFERROR(1*'Daily Workforce'!$P34&gt;=2,FALSE()))))),1,0)</f>
        <v>0</v>
      </c>
      <c r="AT40" s="1" t="n">
        <f aca="false">IF(AND('Daily Workforce'!$N35="Y",'Daily Workforce'!$B35&lt;&gt;"",COUNTIF('Daily Schedule'!$F$5:$F43,'Daily Workforce'!$B35)=0,IF('Daily Schedule'!$A44=45,'Daily Workforce'!$J35="Y",IF(OR('Daily Schedule'!$A44=4,'Daily Schedule'!$A44=8),IF(OR(WEEKDAY('Daily Schedule'!$B$2,2)=1,WEEKDAY('Daily Schedule'!$B$2,2)=4,WEEKDAY('Daily Schedule'!$B$2,2)=5,WEEKDAY('Daily Schedule'!$B$2,2)=7),IFERROR(1*'Daily Workforce'!$K35&gt;=3,FALSE()),IFERROR(1*'Daily Workforce'!$K35&gt;=2,FALSE())),IF(AND('Daily Schedule'!$A44&gt;=46,'Daily Schedule'!$A44&lt;=52),'Daily Workforce'!$M35="Y",IFERROR(1*'Daily Workforce'!$P35&gt;=2,FALSE()))))),1,0)</f>
        <v>0</v>
      </c>
      <c r="AU40" s="1" t="n">
        <f aca="false">IF(AND('Daily Workforce'!$N36="Y",'Daily Workforce'!$B36&lt;&gt;"",COUNTIF('Daily Schedule'!$F$5:$F43,'Daily Workforce'!$B36)=0,IF('Daily Schedule'!$A44=45,'Daily Workforce'!$J36="Y",IF(OR('Daily Schedule'!$A44=4,'Daily Schedule'!$A44=8),IF(OR(WEEKDAY('Daily Schedule'!$B$2,2)=1,WEEKDAY('Daily Schedule'!$B$2,2)=4,WEEKDAY('Daily Schedule'!$B$2,2)=5,WEEKDAY('Daily Schedule'!$B$2,2)=7),IFERROR(1*'Daily Workforce'!$K36&gt;=3,FALSE()),IFERROR(1*'Daily Workforce'!$K36&gt;=2,FALSE())),IF(AND('Daily Schedule'!$A44&gt;=46,'Daily Schedule'!$A44&lt;=52),'Daily Workforce'!$M36="Y",IFERROR(1*'Daily Workforce'!$P36&gt;=2,FALSE()))))),1,0)</f>
        <v>0</v>
      </c>
      <c r="AV40" s="1" t="n">
        <f aca="false">IF(AND('Daily Workforce'!$N37="Y",'Daily Workforce'!$B37&lt;&gt;"",COUNTIF('Daily Schedule'!$F$5:$F43,'Daily Workforce'!$B37)=0,IF('Daily Schedule'!$A44=45,'Daily Workforce'!$J37="Y",IF(OR('Daily Schedule'!$A44=4,'Daily Schedule'!$A44=8),IF(OR(WEEKDAY('Daily Schedule'!$B$2,2)=1,WEEKDAY('Daily Schedule'!$B$2,2)=4,WEEKDAY('Daily Schedule'!$B$2,2)=5,WEEKDAY('Daily Schedule'!$B$2,2)=7),IFERROR(1*'Daily Workforce'!$K37&gt;=3,FALSE()),IFERROR(1*'Daily Workforce'!$K37&gt;=2,FALSE())),IF(AND('Daily Schedule'!$A44&gt;=46,'Daily Schedule'!$A44&lt;=52),'Daily Workforce'!$M37="Y",IFERROR(1*'Daily Workforce'!$P37&gt;=2,FALSE()))))),1,0)</f>
        <v>0</v>
      </c>
      <c r="AW40" s="1" t="n">
        <f aca="false">IF(AND('Daily Workforce'!$N38="Y",'Daily Workforce'!$B38&lt;&gt;"",COUNTIF('Daily Schedule'!$F$5:$F43,'Daily Workforce'!$B38)=0,IF('Daily Schedule'!$A44=45,'Daily Workforce'!$J38="Y",IF(OR('Daily Schedule'!$A44=4,'Daily Schedule'!$A44=8),IF(OR(WEEKDAY('Daily Schedule'!$B$2,2)=1,WEEKDAY('Daily Schedule'!$B$2,2)=4,WEEKDAY('Daily Schedule'!$B$2,2)=5,WEEKDAY('Daily Schedule'!$B$2,2)=7),IFERROR(1*'Daily Workforce'!$K38&gt;=3,FALSE()),IFERROR(1*'Daily Workforce'!$K38&gt;=2,FALSE())),IF(AND('Daily Schedule'!$A44&gt;=46,'Daily Schedule'!$A44&lt;=52),'Daily Workforce'!$M38="Y",IFERROR(1*'Daily Workforce'!$P38&gt;=2,FALSE()))))),1,0)</f>
        <v>0</v>
      </c>
      <c r="AX40" s="1" t="n">
        <f aca="false">IF(AND('Daily Workforce'!$N39="Y",'Daily Workforce'!$B39&lt;&gt;"",COUNTIF('Daily Schedule'!$F$5:$F43,'Daily Workforce'!$B39)=0,IF('Daily Schedule'!$A44=45,'Daily Workforce'!$J39="Y",IF(OR('Daily Schedule'!$A44=4,'Daily Schedule'!$A44=8),IF(OR(WEEKDAY('Daily Schedule'!$B$2,2)=1,WEEKDAY('Daily Schedule'!$B$2,2)=4,WEEKDAY('Daily Schedule'!$B$2,2)=5,WEEKDAY('Daily Schedule'!$B$2,2)=7),IFERROR(1*'Daily Workforce'!$K39&gt;=3,FALSE()),IFERROR(1*'Daily Workforce'!$K39&gt;=2,FALSE())),IF(AND('Daily Schedule'!$A44&gt;=46,'Daily Schedule'!$A44&lt;=52),'Daily Workforce'!$M39="Y",IFERROR(1*'Daily Workforce'!$P39&gt;=2,FALSE()))))),1,0)</f>
        <v>0</v>
      </c>
      <c r="AY40" s="1" t="n">
        <f aca="false">IF(AND('Daily Workforce'!$N40="Y",'Daily Workforce'!$B40&lt;&gt;"",COUNTIF('Daily Schedule'!$F$5:$F43,'Daily Workforce'!$B40)=0,IF('Daily Schedule'!$A44=45,'Daily Workforce'!$J40="Y",IF(OR('Daily Schedule'!$A44=4,'Daily Schedule'!$A44=8),IF(OR(WEEKDAY('Daily Schedule'!$B$2,2)=1,WEEKDAY('Daily Schedule'!$B$2,2)=4,WEEKDAY('Daily Schedule'!$B$2,2)=5,WEEKDAY('Daily Schedule'!$B$2,2)=7),IFERROR(1*'Daily Workforce'!$K40&gt;=3,FALSE()),IFERROR(1*'Daily Workforce'!$K40&gt;=2,FALSE())),IF(AND('Daily Schedule'!$A44&gt;=46,'Daily Schedule'!$A44&lt;=52),'Daily Workforce'!$M40="Y",IFERROR(1*'Daily Workforce'!$P40&gt;=2,FALSE()))))),1,0)</f>
        <v>0</v>
      </c>
      <c r="AZ40" s="1" t="n">
        <f aca="false">IF(AND('Daily Workforce'!$N41="Y",'Daily Workforce'!$B41&lt;&gt;"",COUNTIF('Daily Schedule'!$F$5:$F43,'Daily Workforce'!$B41)=0,IF('Daily Schedule'!$A44=45,'Daily Workforce'!$J41="Y",IF(OR('Daily Schedule'!$A44=4,'Daily Schedule'!$A44=8),IF(OR(WEEKDAY('Daily Schedule'!$B$2,2)=1,WEEKDAY('Daily Schedule'!$B$2,2)=4,WEEKDAY('Daily Schedule'!$B$2,2)=5,WEEKDAY('Daily Schedule'!$B$2,2)=7),IFERROR(1*'Daily Workforce'!$K41&gt;=3,FALSE()),IFERROR(1*'Daily Workforce'!$K41&gt;=2,FALSE())),IF(AND('Daily Schedule'!$A44&gt;=46,'Daily Schedule'!$A44&lt;=52),'Daily Workforce'!$M41="Y",IFERROR(1*'Daily Workforce'!$P41&gt;=2,FALSE()))))),1,0)</f>
        <v>0</v>
      </c>
      <c r="BA40" s="1" t="n">
        <f aca="false">IF(AND('Daily Workforce'!$N42="Y",'Daily Workforce'!$B42&lt;&gt;"",COUNTIF('Daily Schedule'!$F$5:$F43,'Daily Workforce'!$B42)=0,IF('Daily Schedule'!$A44=45,'Daily Workforce'!$J42="Y",IF(OR('Daily Schedule'!$A44=4,'Daily Schedule'!$A44=8),IF(OR(WEEKDAY('Daily Schedule'!$B$2,2)=1,WEEKDAY('Daily Schedule'!$B$2,2)=4,WEEKDAY('Daily Schedule'!$B$2,2)=5,WEEKDAY('Daily Schedule'!$B$2,2)=7),IFERROR(1*'Daily Workforce'!$K42&gt;=3,FALSE()),IFERROR(1*'Daily Workforce'!$K42&gt;=2,FALSE())),IF(AND('Daily Schedule'!$A44&gt;=46,'Daily Schedule'!$A44&lt;=52),'Daily Workforce'!$M42="Y",IFERROR(1*'Daily Workforce'!$P42&gt;=2,FALSE()))))),1,0)</f>
        <v>0</v>
      </c>
      <c r="BB40" s="1" t="n">
        <f aca="false">IF(AND('Daily Workforce'!$N43="Y",'Daily Workforce'!$B43&lt;&gt;"",COUNTIF('Daily Schedule'!$F$5:$F43,'Daily Workforce'!$B43)=0,IF('Daily Schedule'!$A44=45,'Daily Workforce'!$J43="Y",IF(OR('Daily Schedule'!$A44=4,'Daily Schedule'!$A44=8),IF(OR(WEEKDAY('Daily Schedule'!$B$2,2)=1,WEEKDAY('Daily Schedule'!$B$2,2)=4,WEEKDAY('Daily Schedule'!$B$2,2)=5,WEEKDAY('Daily Schedule'!$B$2,2)=7),IFERROR(1*'Daily Workforce'!$K43&gt;=3,FALSE()),IFERROR(1*'Daily Workforce'!$K43&gt;=2,FALSE())),IF(AND('Daily Schedule'!$A44&gt;=46,'Daily Schedule'!$A44&lt;=52),'Daily Workforce'!$M43="Y",IFERROR(1*'Daily Workforce'!$P43&gt;=2,FALSE()))))),1,0)</f>
        <v>1</v>
      </c>
      <c r="BC40" s="1" t="n">
        <f aca="false">IF(AND('Daily Workforce'!$N44="Y",'Daily Workforce'!$B44&lt;&gt;"",COUNTIF('Daily Schedule'!$F$5:$F43,'Daily Workforce'!$B44)=0,IF('Daily Schedule'!$A44=45,'Daily Workforce'!$J44="Y",IF(OR('Daily Schedule'!$A44=4,'Daily Schedule'!$A44=8),IF(OR(WEEKDAY('Daily Schedule'!$B$2,2)=1,WEEKDAY('Daily Schedule'!$B$2,2)=4,WEEKDAY('Daily Schedule'!$B$2,2)=5,WEEKDAY('Daily Schedule'!$B$2,2)=7),IFERROR(1*'Daily Workforce'!$K44&gt;=3,FALSE()),IFERROR(1*'Daily Workforce'!$K44&gt;=2,FALSE())),IF(AND('Daily Schedule'!$A44&gt;=46,'Daily Schedule'!$A44&lt;=52),'Daily Workforce'!$M44="Y",IFERROR(1*'Daily Workforce'!$P44&gt;=2,FALSE()))))),1,0)</f>
        <v>1</v>
      </c>
      <c r="BD40" s="1" t="n">
        <f aca="false">IF(AND('Daily Workforce'!$N45="Y",'Daily Workforce'!$B45&lt;&gt;"",COUNTIF('Daily Schedule'!$F$5:$F43,'Daily Workforce'!$B45)=0,IF('Daily Schedule'!$A44=45,'Daily Workforce'!$J45="Y",IF(OR('Daily Schedule'!$A44=4,'Daily Schedule'!$A44=8),IF(OR(WEEKDAY('Daily Schedule'!$B$2,2)=1,WEEKDAY('Daily Schedule'!$B$2,2)=4,WEEKDAY('Daily Schedule'!$B$2,2)=5,WEEKDAY('Daily Schedule'!$B$2,2)=7),IFERROR(1*'Daily Workforce'!$K45&gt;=3,FALSE()),IFERROR(1*'Daily Workforce'!$K45&gt;=2,FALSE())),IF(AND('Daily Schedule'!$A44&gt;=46,'Daily Schedule'!$A44&lt;=52),'Daily Workforce'!$M45="Y",IFERROR(1*'Daily Workforce'!$P45&gt;=2,FALSE()))))),1,0)</f>
        <v>1</v>
      </c>
      <c r="BE40" s="1" t="n">
        <f aca="false">IF(AND('Daily Workforce'!$N46="Y",'Daily Workforce'!$B46&lt;&gt;"",COUNTIF('Daily Schedule'!$F$5:$F43,'Daily Workforce'!$B46)=0,IF('Daily Schedule'!$A44=45,'Daily Workforce'!$J46="Y",IF(OR('Daily Schedule'!$A44=4,'Daily Schedule'!$A44=8),IF(OR(WEEKDAY('Daily Schedule'!$B$2,2)=1,WEEKDAY('Daily Schedule'!$B$2,2)=4,WEEKDAY('Daily Schedule'!$B$2,2)=5,WEEKDAY('Daily Schedule'!$B$2,2)=7),IFERROR(1*'Daily Workforce'!$K46&gt;=3,FALSE()),IFERROR(1*'Daily Workforce'!$K46&gt;=2,FALSE())),IF(AND('Daily Schedule'!$A44&gt;=46,'Daily Schedule'!$A44&lt;=52),'Daily Workforce'!$M46="Y",IFERROR(1*'Daily Workforce'!$P46&gt;=2,FALSE()))))),1,0)</f>
        <v>1</v>
      </c>
      <c r="BF40" s="1" t="n">
        <f aca="false">IF(AND('Daily Workforce'!$N47="Y",'Daily Workforce'!$B47&lt;&gt;"",COUNTIF('Daily Schedule'!$F$5:$F43,'Daily Workforce'!$B47)=0,IF('Daily Schedule'!$A44=45,'Daily Workforce'!$J47="Y",IF(OR('Daily Schedule'!$A44=4,'Daily Schedule'!$A44=8),IF(OR(WEEKDAY('Daily Schedule'!$B$2,2)=1,WEEKDAY('Daily Schedule'!$B$2,2)=4,WEEKDAY('Daily Schedule'!$B$2,2)=5,WEEKDAY('Daily Schedule'!$B$2,2)=7),IFERROR(1*'Daily Workforce'!$K47&gt;=3,FALSE()),IFERROR(1*'Daily Workforce'!$K47&gt;=2,FALSE())),IF(AND('Daily Schedule'!$A44&gt;=46,'Daily Schedule'!$A44&lt;=52),'Daily Workforce'!$M47="Y",IFERROR(1*'Daily Workforce'!$P47&gt;=2,FALSE()))))),1,0)</f>
        <v>0</v>
      </c>
      <c r="BG40" s="1" t="n">
        <f aca="false">IF(AND('Daily Workforce'!$N48="Y",'Daily Workforce'!$B48&lt;&gt;"",COUNTIF('Daily Schedule'!$F$5:$F43,'Daily Workforce'!$B48)=0,IF('Daily Schedule'!$A44=45,'Daily Workforce'!$J48="Y",IF(OR('Daily Schedule'!$A44=4,'Daily Schedule'!$A44=8),IF(OR(WEEKDAY('Daily Schedule'!$B$2,2)=1,WEEKDAY('Daily Schedule'!$B$2,2)=4,WEEKDAY('Daily Schedule'!$B$2,2)=5,WEEKDAY('Daily Schedule'!$B$2,2)=7),IFERROR(1*'Daily Workforce'!$K48&gt;=3,FALSE()),IFERROR(1*'Daily Workforce'!$K48&gt;=2,FALSE())),IF(AND('Daily Schedule'!$A44&gt;=46,'Daily Schedule'!$A44&lt;=52),'Daily Workforce'!$M48="Y",IFERROR(1*'Daily Workforce'!$P48&gt;=2,FALSE()))))),1,0)</f>
        <v>1</v>
      </c>
      <c r="BH40" s="1" t="n">
        <f aca="false">IF(AND('Daily Workforce'!$N49="Y",'Daily Workforce'!$B49&lt;&gt;"",COUNTIF('Daily Schedule'!$F$5:$F43,'Daily Workforce'!$B49)=0,IF('Daily Schedule'!$A44=45,'Daily Workforce'!$J49="Y",IF(OR('Daily Schedule'!$A44=4,'Daily Schedule'!$A44=8),IF(OR(WEEKDAY('Daily Schedule'!$B$2,2)=1,WEEKDAY('Daily Schedule'!$B$2,2)=4,WEEKDAY('Daily Schedule'!$B$2,2)=5,WEEKDAY('Daily Schedule'!$B$2,2)=7),IFERROR(1*'Daily Workforce'!$K49&gt;=3,FALSE()),IFERROR(1*'Daily Workforce'!$K49&gt;=2,FALSE())),IF(AND('Daily Schedule'!$A44&gt;=46,'Daily Schedule'!$A44&lt;=52),'Daily Workforce'!$M49="Y",IFERROR(1*'Daily Workforce'!$P49&gt;=2,FALSE()))))),1,0)</f>
        <v>1</v>
      </c>
      <c r="BI40" s="1" t="n">
        <f aca="false">IF(AND('Daily Workforce'!$N50="Y",'Daily Workforce'!$B50&lt;&gt;"",COUNTIF('Daily Schedule'!$F$5:$F43,'Daily Workforce'!$B50)=0,IF('Daily Schedule'!$A44=45,'Daily Workforce'!$J50="Y",IF(OR('Daily Schedule'!$A44=4,'Daily Schedule'!$A44=8),IF(OR(WEEKDAY('Daily Schedule'!$B$2,2)=1,WEEKDAY('Daily Schedule'!$B$2,2)=4,WEEKDAY('Daily Schedule'!$B$2,2)=5,WEEKDAY('Daily Schedule'!$B$2,2)=7),IFERROR(1*'Daily Workforce'!$K50&gt;=3,FALSE()),IFERROR(1*'Daily Workforce'!$K50&gt;=2,FALSE())),IF(AND('Daily Schedule'!$A44&gt;=46,'Daily Schedule'!$A44&lt;=52),'Daily Workforce'!$M50="Y",IFERROR(1*'Daily Workforce'!$P50&gt;=2,FALSE()))))),1,0)</f>
        <v>0</v>
      </c>
      <c r="BJ40" s="1" t="n">
        <f aca="false">IF(AND('Daily Workforce'!$N51="Y",'Daily Workforce'!$B51&lt;&gt;"",COUNTIF('Daily Schedule'!$F$5:$F43,'Daily Workforce'!$B51)=0,IF('Daily Schedule'!$A44=45,'Daily Workforce'!$J51="Y",IF(OR('Daily Schedule'!$A44=4,'Daily Schedule'!$A44=8),IF(OR(WEEKDAY('Daily Schedule'!$B$2,2)=1,WEEKDAY('Daily Schedule'!$B$2,2)=4,WEEKDAY('Daily Schedule'!$B$2,2)=5,WEEKDAY('Daily Schedule'!$B$2,2)=7),IFERROR(1*'Daily Workforce'!$K51&gt;=3,FALSE()),IFERROR(1*'Daily Workforce'!$K51&gt;=2,FALSE())),IF(AND('Daily Schedule'!$A44&gt;=46,'Daily Schedule'!$A44&lt;=52),'Daily Workforce'!$M51="Y",IFERROR(1*'Daily Workforce'!$P51&gt;=2,FALSE()))))),1,0)</f>
        <v>1</v>
      </c>
      <c r="BK40" s="1" t="n">
        <f aca="false">IF(AND('Daily Workforce'!$N52="Y",'Daily Workforce'!$B52&lt;&gt;"",COUNTIF('Daily Schedule'!$F$5:$F43,'Daily Workforce'!$B52)=0,IF('Daily Schedule'!$A44=45,'Daily Workforce'!$J52="Y",IF(OR('Daily Schedule'!$A44=4,'Daily Schedule'!$A44=8),IF(OR(WEEKDAY('Daily Schedule'!$B$2,2)=1,WEEKDAY('Daily Schedule'!$B$2,2)=4,WEEKDAY('Daily Schedule'!$B$2,2)=5,WEEKDAY('Daily Schedule'!$B$2,2)=7),IFERROR(1*'Daily Workforce'!$K52&gt;=3,FALSE()),IFERROR(1*'Daily Workforce'!$K52&gt;=2,FALSE())),IF(AND('Daily Schedule'!$A44&gt;=46,'Daily Schedule'!$A44&lt;=52),'Daily Workforce'!$M52="Y",IFERROR(1*'Daily Workforce'!$P52&gt;=2,FALSE()))))),1,0)</f>
        <v>1</v>
      </c>
      <c r="BL40" s="1" t="n">
        <f aca="false">IF(AND('Daily Workforce'!$N53="Y",'Daily Workforce'!$B53&lt;&gt;"",COUNTIF('Daily Schedule'!$F$5:$F43,'Daily Workforce'!$B53)=0,IF('Daily Schedule'!$A44=45,'Daily Workforce'!$J53="Y",IF(OR('Daily Schedule'!$A44=4,'Daily Schedule'!$A44=8),IF(OR(WEEKDAY('Daily Schedule'!$B$2,2)=1,WEEKDAY('Daily Schedule'!$B$2,2)=4,WEEKDAY('Daily Schedule'!$B$2,2)=5,WEEKDAY('Daily Schedule'!$B$2,2)=7),IFERROR(1*'Daily Workforce'!$K53&gt;=3,FALSE()),IFERROR(1*'Daily Workforce'!$K53&gt;=2,FALSE())),IF(AND('Daily Schedule'!$A44&gt;=46,'Daily Schedule'!$A44&lt;=52),'Daily Workforce'!$M53="Y",IFERROR(1*'Daily Workforce'!$P53&gt;=2,FALSE()))))),1,0)</f>
        <v>1</v>
      </c>
      <c r="BM40" s="1" t="n">
        <f aca="false">IF(AND('Daily Workforce'!$N54="Y",'Daily Workforce'!$B54&lt;&gt;"",COUNTIF('Daily Schedule'!$F$5:$F43,'Daily Workforce'!$B54)=0,IF('Daily Schedule'!$A44=45,'Daily Workforce'!$J54="Y",IF(OR('Daily Schedule'!$A44=4,'Daily Schedule'!$A44=8),IF(OR(WEEKDAY('Daily Schedule'!$B$2,2)=1,WEEKDAY('Daily Schedule'!$B$2,2)=4,WEEKDAY('Daily Schedule'!$B$2,2)=5,WEEKDAY('Daily Schedule'!$B$2,2)=7),IFERROR(1*'Daily Workforce'!$K54&gt;=3,FALSE()),IFERROR(1*'Daily Workforce'!$K54&gt;=2,FALSE())),IF(AND('Daily Schedule'!$A44&gt;=46,'Daily Schedule'!$A44&lt;=52),'Daily Workforce'!$M54="Y",IFERROR(1*'Daily Workforce'!$P54&gt;=2,FALSE()))))),1,0)</f>
        <v>1</v>
      </c>
      <c r="BN40" s="1" t="n">
        <f aca="false">IF(AND('Daily Workforce'!$N55="Y",'Daily Workforce'!$B55&lt;&gt;"",COUNTIF('Daily Schedule'!$F$5:$F43,'Daily Workforce'!$B55)=0,IF('Daily Schedule'!$A44=45,'Daily Workforce'!$J55="Y",IF(OR('Daily Schedule'!$A44=4,'Daily Schedule'!$A44=8),IF(OR(WEEKDAY('Daily Schedule'!$B$2,2)=1,WEEKDAY('Daily Schedule'!$B$2,2)=4,WEEKDAY('Daily Schedule'!$B$2,2)=5,WEEKDAY('Daily Schedule'!$B$2,2)=7),IFERROR(1*'Daily Workforce'!$K55&gt;=3,FALSE()),IFERROR(1*'Daily Workforce'!$K55&gt;=2,FALSE())),IF(AND('Daily Schedule'!$A44&gt;=46,'Daily Schedule'!$A44&lt;=52),'Daily Workforce'!$M55="Y",IFERROR(1*'Daily Workforce'!$P55&gt;=2,FALSE()))))),1,0)</f>
        <v>1</v>
      </c>
      <c r="BO40" s="1" t="n">
        <f aca="false">IF(AND('Daily Workforce'!$N56="Y",'Daily Workforce'!$B56&lt;&gt;"",COUNTIF('Daily Schedule'!$F$5:$F43,'Daily Workforce'!$B56)=0,IF('Daily Schedule'!$A44=45,'Daily Workforce'!$J56="Y",IF(OR('Daily Schedule'!$A44=4,'Daily Schedule'!$A44=8),IF(OR(WEEKDAY('Daily Schedule'!$B$2,2)=1,WEEKDAY('Daily Schedule'!$B$2,2)=4,WEEKDAY('Daily Schedule'!$B$2,2)=5,WEEKDAY('Daily Schedule'!$B$2,2)=7),IFERROR(1*'Daily Workforce'!$K56&gt;=3,FALSE()),IFERROR(1*'Daily Workforce'!$K56&gt;=2,FALSE())),IF(AND('Daily Schedule'!$A44&gt;=46,'Daily Schedule'!$A44&lt;=52),'Daily Workforce'!$M56="Y",IFERROR(1*'Daily Workforce'!$P56&gt;=2,FALSE()))))),1,0)</f>
        <v>1</v>
      </c>
      <c r="BP40" s="1" t="n">
        <f aca="false">IF(AND('Daily Workforce'!$N57="Y",'Daily Workforce'!$B57&lt;&gt;"",COUNTIF('Daily Schedule'!$F$5:$F43,'Daily Workforce'!$B57)=0,IF('Daily Schedule'!$A44=45,'Daily Workforce'!$J57="Y",IF(OR('Daily Schedule'!$A44=4,'Daily Schedule'!$A44=8),IF(OR(WEEKDAY('Daily Schedule'!$B$2,2)=1,WEEKDAY('Daily Schedule'!$B$2,2)=4,WEEKDAY('Daily Schedule'!$B$2,2)=5,WEEKDAY('Daily Schedule'!$B$2,2)=7),IFERROR(1*'Daily Workforce'!$K57&gt;=3,FALSE()),IFERROR(1*'Daily Workforce'!$K57&gt;=2,FALSE())),IF(AND('Daily Schedule'!$A44&gt;=46,'Daily Schedule'!$A44&lt;=52),'Daily Workforce'!$M57="Y",IFERROR(1*'Daily Workforce'!$P57&gt;=2,FALSE()))))),1,0)</f>
        <v>0</v>
      </c>
      <c r="BQ40" s="1" t="n">
        <f aca="false">IF(AND('Daily Workforce'!$N58="Y",'Daily Workforce'!$B58&lt;&gt;"",COUNTIF('Daily Schedule'!$F$5:$F43,'Daily Workforce'!$B58)=0,IF('Daily Schedule'!$A44=45,'Daily Workforce'!$J58="Y",IF(OR('Daily Schedule'!$A44=4,'Daily Schedule'!$A44=8),IF(OR(WEEKDAY('Daily Schedule'!$B$2,2)=1,WEEKDAY('Daily Schedule'!$B$2,2)=4,WEEKDAY('Daily Schedule'!$B$2,2)=5,WEEKDAY('Daily Schedule'!$B$2,2)=7),IFERROR(1*'Daily Workforce'!$K58&gt;=3,FALSE()),IFERROR(1*'Daily Workforce'!$K58&gt;=2,FALSE())),IF(AND('Daily Schedule'!$A44&gt;=46,'Daily Schedule'!$A44&lt;=52),'Daily Workforce'!$M58="Y",IFERROR(1*'Daily Workforce'!$P58&gt;=2,FALSE()))))),1,0)</f>
        <v>1</v>
      </c>
      <c r="BR40" s="1" t="n">
        <f aca="false">IF(AND('Daily Workforce'!$N59="Y",'Daily Workforce'!$B59&lt;&gt;"",COUNTIF('Daily Schedule'!$F$5:$F43,'Daily Workforce'!$B59)=0,IF('Daily Schedule'!$A44=45,'Daily Workforce'!$J59="Y",IF(OR('Daily Schedule'!$A44=4,'Daily Schedule'!$A44=8),IF(OR(WEEKDAY('Daily Schedule'!$B$2,2)=1,WEEKDAY('Daily Schedule'!$B$2,2)=4,WEEKDAY('Daily Schedule'!$B$2,2)=5,WEEKDAY('Daily Schedule'!$B$2,2)=7),IFERROR(1*'Daily Workforce'!$K59&gt;=3,FALSE()),IFERROR(1*'Daily Workforce'!$K59&gt;=2,FALSE())),IF(AND('Daily Schedule'!$A44&gt;=46,'Daily Schedule'!$A44&lt;=52),'Daily Workforce'!$M59="Y",IFERROR(1*'Daily Workforce'!$P59&gt;=2,FALSE()))))),1,0)</f>
        <v>1</v>
      </c>
      <c r="BS40" s="1" t="n">
        <f aca="false">IF(AND('Daily Workforce'!$N60="Y",'Daily Workforce'!$B60&lt;&gt;"",COUNTIF('Daily Schedule'!$F$5:$F43,'Daily Workforce'!$B60)=0,IF('Daily Schedule'!$A44=45,'Daily Workforce'!$J60="Y",IF(OR('Daily Schedule'!$A44=4,'Daily Schedule'!$A44=8),IF(OR(WEEKDAY('Daily Schedule'!$B$2,2)=1,WEEKDAY('Daily Schedule'!$B$2,2)=4,WEEKDAY('Daily Schedule'!$B$2,2)=5,WEEKDAY('Daily Schedule'!$B$2,2)=7),IFERROR(1*'Daily Workforce'!$K60&gt;=3,FALSE()),IFERROR(1*'Daily Workforce'!$K60&gt;=2,FALSE())),IF(AND('Daily Schedule'!$A44&gt;=46,'Daily Schedule'!$A44&lt;=52),'Daily Workforce'!$M60="Y",IFERROR(1*'Daily Workforce'!$P60&gt;=2,FALSE()))))),1,0)</f>
        <v>1</v>
      </c>
      <c r="BT40" s="1" t="n">
        <f aca="false">IF(AND('Daily Workforce'!$N61="Y",'Daily Workforce'!$B61&lt;&gt;"",COUNTIF('Daily Schedule'!$F$5:$F43,'Daily Workforce'!$B61)=0,IF('Daily Schedule'!$A44=45,'Daily Workforce'!$J61="Y",IF(OR('Daily Schedule'!$A44=4,'Daily Schedule'!$A44=8),IF(OR(WEEKDAY('Daily Schedule'!$B$2,2)=1,WEEKDAY('Daily Schedule'!$B$2,2)=4,WEEKDAY('Daily Schedule'!$B$2,2)=5,WEEKDAY('Daily Schedule'!$B$2,2)=7),IFERROR(1*'Daily Workforce'!$K61&gt;=3,FALSE()),IFERROR(1*'Daily Workforce'!$K61&gt;=2,FALSE())),IF(AND('Daily Schedule'!$A44&gt;=46,'Daily Schedule'!$A44&lt;=52),'Daily Workforce'!$M61="Y",IFERROR(1*'Daily Workforce'!$P61&gt;=2,FALSE()))))),1,0)</f>
        <v>0</v>
      </c>
      <c r="BU40" s="1" t="n">
        <f aca="false">IF(AND('Daily Workforce'!$N62="Y",'Daily Workforce'!$B62&lt;&gt;"",COUNTIF('Daily Schedule'!$F$5:$F43,'Daily Workforce'!$B62)=0,IF('Daily Schedule'!$A44=45,'Daily Workforce'!$J62="Y",IF(OR('Daily Schedule'!$A44=4,'Daily Schedule'!$A44=8),IF(OR(WEEKDAY('Daily Schedule'!$B$2,2)=1,WEEKDAY('Daily Schedule'!$B$2,2)=4,WEEKDAY('Daily Schedule'!$B$2,2)=5,WEEKDAY('Daily Schedule'!$B$2,2)=7),IFERROR(1*'Daily Workforce'!$K62&gt;=3,FALSE()),IFERROR(1*'Daily Workforce'!$K62&gt;=2,FALSE())),IF(AND('Daily Schedule'!$A44&gt;=46,'Daily Schedule'!$A44&lt;=52),'Daily Workforce'!$M62="Y",IFERROR(1*'Daily Workforce'!$P62&gt;=2,FALSE()))))),1,0)</f>
        <v>1</v>
      </c>
      <c r="BV40" s="1" t="n">
        <f aca="false">IF(AND('Daily Workforce'!$N63="Y",'Daily Workforce'!$B63&lt;&gt;"",COUNTIF('Daily Schedule'!$F$5:$F43,'Daily Workforce'!$B63)=0,IF('Daily Schedule'!$A44=45,'Daily Workforce'!$J63="Y",IF(OR('Daily Schedule'!$A44=4,'Daily Schedule'!$A44=8),IF(OR(WEEKDAY('Daily Schedule'!$B$2,2)=1,WEEKDAY('Daily Schedule'!$B$2,2)=4,WEEKDAY('Daily Schedule'!$B$2,2)=5,WEEKDAY('Daily Schedule'!$B$2,2)=7),IFERROR(1*'Daily Workforce'!$K63&gt;=3,FALSE()),IFERROR(1*'Daily Workforce'!$K63&gt;=2,FALSE())),IF(AND('Daily Schedule'!$A44&gt;=46,'Daily Schedule'!$A44&lt;=52),'Daily Workforce'!$M63="Y",IFERROR(1*'Daily Workforce'!$P63&gt;=2,FALSE()))))),1,0)</f>
        <v>1</v>
      </c>
      <c r="BW40" s="1" t="n">
        <f aca="false">IF(AND('Daily Workforce'!$N64="Y",'Daily Workforce'!$B64&lt;&gt;"",COUNTIF('Daily Schedule'!$F$5:$F43,'Daily Workforce'!$B64)=0,IF('Daily Schedule'!$A44=45,'Daily Workforce'!$J64="Y",IF(OR('Daily Schedule'!$A44=4,'Daily Schedule'!$A44=8),IF(OR(WEEKDAY('Daily Schedule'!$B$2,2)=1,WEEKDAY('Daily Schedule'!$B$2,2)=4,WEEKDAY('Daily Schedule'!$B$2,2)=5,WEEKDAY('Daily Schedule'!$B$2,2)=7),IFERROR(1*'Daily Workforce'!$K64&gt;=3,FALSE()),IFERROR(1*'Daily Workforce'!$K64&gt;=2,FALSE())),IF(AND('Daily Schedule'!$A44&gt;=46,'Daily Schedule'!$A44&lt;=52),'Daily Workforce'!$M64="Y",IFERROR(1*'Daily Workforce'!$P64&gt;=2,FALSE()))))),1,0)</f>
        <v>1</v>
      </c>
      <c r="BX40" s="1" t="n">
        <f aca="false">IF(AND('Daily Workforce'!$N65="Y",'Daily Workforce'!$B65&lt;&gt;"",COUNTIF('Daily Schedule'!$F$5:$F43,'Daily Workforce'!$B65)=0,IF('Daily Schedule'!$A44=45,'Daily Workforce'!$J65="Y",IF(OR('Daily Schedule'!$A44=4,'Daily Schedule'!$A44=8),IF(OR(WEEKDAY('Daily Schedule'!$B$2,2)=1,WEEKDAY('Daily Schedule'!$B$2,2)=4,WEEKDAY('Daily Schedule'!$B$2,2)=5,WEEKDAY('Daily Schedule'!$B$2,2)=7),IFERROR(1*'Daily Workforce'!$K65&gt;=3,FALSE()),IFERROR(1*'Daily Workforce'!$K65&gt;=2,FALSE())),IF(AND('Daily Schedule'!$A44&gt;=46,'Daily Schedule'!$A44&lt;=52),'Daily Workforce'!$M65="Y",IFERROR(1*'Daily Workforce'!$P65&gt;=2,FALSE()))))),1,0)</f>
        <v>1</v>
      </c>
      <c r="BY40" s="1" t="n">
        <f aca="false">IF(AND('Daily Workforce'!$N66="Y",'Daily Workforce'!$B66&lt;&gt;"",COUNTIF('Daily Schedule'!$F$5:$F43,'Daily Workforce'!$B66)=0,IF('Daily Schedule'!$A44=45,'Daily Workforce'!$J66="Y",IF(OR('Daily Schedule'!$A44=4,'Daily Schedule'!$A44=8),IF(OR(WEEKDAY('Daily Schedule'!$B$2,2)=1,WEEKDAY('Daily Schedule'!$B$2,2)=4,WEEKDAY('Daily Schedule'!$B$2,2)=5,WEEKDAY('Daily Schedule'!$B$2,2)=7),IFERROR(1*'Daily Workforce'!$K66&gt;=3,FALSE()),IFERROR(1*'Daily Workforce'!$K66&gt;=2,FALSE())),IF(AND('Daily Schedule'!$A44&gt;=46,'Daily Schedule'!$A44&lt;=52),'Daily Workforce'!$M66="Y",IFERROR(1*'Daily Workforce'!$P66&gt;=2,FALSE()))))),1,0)</f>
        <v>1</v>
      </c>
      <c r="BZ40" s="1" t="n">
        <f aca="false">IF(AND('Daily Workforce'!$N67="Y",'Daily Workforce'!$B67&lt;&gt;"",COUNTIF('Daily Schedule'!$F$5:$F43,'Daily Workforce'!$B67)=0,IF('Daily Schedule'!$A44=45,'Daily Workforce'!$J67="Y",IF(OR('Daily Schedule'!$A44=4,'Daily Schedule'!$A44=8),IF(OR(WEEKDAY('Daily Schedule'!$B$2,2)=1,WEEKDAY('Daily Schedule'!$B$2,2)=4,WEEKDAY('Daily Schedule'!$B$2,2)=5,WEEKDAY('Daily Schedule'!$B$2,2)=7),IFERROR(1*'Daily Workforce'!$K67&gt;=3,FALSE()),IFERROR(1*'Daily Workforce'!$K67&gt;=2,FALSE())),IF(AND('Daily Schedule'!$A44&gt;=46,'Daily Schedule'!$A44&lt;=52),'Daily Workforce'!$M67="Y",IFERROR(1*'Daily Workforce'!$P67&gt;=2,FALSE()))))),1,0)</f>
        <v>1</v>
      </c>
      <c r="CA40" s="1" t="n">
        <f aca="false">IF(AND('Daily Workforce'!$N68="Y",'Daily Workforce'!$B68&lt;&gt;"",COUNTIF('Daily Schedule'!$F$5:$F43,'Daily Workforce'!$B68)=0,IF('Daily Schedule'!$A44=45,'Daily Workforce'!$J68="Y",IF(OR('Daily Schedule'!$A44=4,'Daily Schedule'!$A44=8),IF(OR(WEEKDAY('Daily Schedule'!$B$2,2)=1,WEEKDAY('Daily Schedule'!$B$2,2)=4,WEEKDAY('Daily Schedule'!$B$2,2)=5,WEEKDAY('Daily Schedule'!$B$2,2)=7),IFERROR(1*'Daily Workforce'!$K68&gt;=3,FALSE()),IFERROR(1*'Daily Workforce'!$K68&gt;=2,FALSE())),IF(AND('Daily Schedule'!$A44&gt;=46,'Daily Schedule'!$A44&lt;=52),'Daily Workforce'!$M68="Y",IFERROR(1*'Daily Workforce'!$P68&gt;=2,FALSE()))))),1,0)</f>
        <v>1</v>
      </c>
      <c r="CB40" s="1" t="n">
        <f aca="false">IF(AND('Daily Workforce'!$N69="Y",'Daily Workforce'!$B69&lt;&gt;"",COUNTIF('Daily Schedule'!$F$5:$F43,'Daily Workforce'!$B69)=0,IF('Daily Schedule'!$A44=45,'Daily Workforce'!$J69="Y",IF(OR('Daily Schedule'!$A44=4,'Daily Schedule'!$A44=8),IF(OR(WEEKDAY('Daily Schedule'!$B$2,2)=1,WEEKDAY('Daily Schedule'!$B$2,2)=4,WEEKDAY('Daily Schedule'!$B$2,2)=5,WEEKDAY('Daily Schedule'!$B$2,2)=7),IFERROR(1*'Daily Workforce'!$K69&gt;=3,FALSE()),IFERROR(1*'Daily Workforce'!$K69&gt;=2,FALSE())),IF(AND('Daily Schedule'!$A44&gt;=46,'Daily Schedule'!$A44&lt;=52),'Daily Workforce'!$M69="Y",IFERROR(1*'Daily Workforce'!$P69&gt;=2,FALSE()))))),1,0)</f>
        <v>1</v>
      </c>
      <c r="CC40" s="1" t="n">
        <f aca="false">IF(AND('Daily Workforce'!$N70="Y",'Daily Workforce'!$B70&lt;&gt;"",COUNTIF('Daily Schedule'!$F$5:$F43,'Daily Workforce'!$B70)=0,IF('Daily Schedule'!$A44=45,'Daily Workforce'!$J70="Y",IF(OR('Daily Schedule'!$A44=4,'Daily Schedule'!$A44=8),IF(OR(WEEKDAY('Daily Schedule'!$B$2,2)=1,WEEKDAY('Daily Schedule'!$B$2,2)=4,WEEKDAY('Daily Schedule'!$B$2,2)=5,WEEKDAY('Daily Schedule'!$B$2,2)=7),IFERROR(1*'Daily Workforce'!$K70&gt;=3,FALSE()),IFERROR(1*'Daily Workforce'!$K70&gt;=2,FALSE())),IF(AND('Daily Schedule'!$A44&gt;=46,'Daily Schedule'!$A44&lt;=52),'Daily Workforce'!$M70="Y",IFERROR(1*'Daily Workforce'!$P70&gt;=2,FALSE()))))),1,0)</f>
        <v>1</v>
      </c>
      <c r="CD40" s="1" t="n">
        <f aca="false">IF(AND('Daily Workforce'!$N71="Y",'Daily Workforce'!$B71&lt;&gt;"",COUNTIF('Daily Schedule'!$F$5:$F43,'Daily Workforce'!$B71)=0,IF('Daily Schedule'!$A44=45,'Daily Workforce'!$J71="Y",IF(OR('Daily Schedule'!$A44=4,'Daily Schedule'!$A44=8),IF(OR(WEEKDAY('Daily Schedule'!$B$2,2)=1,WEEKDAY('Daily Schedule'!$B$2,2)=4,WEEKDAY('Daily Schedule'!$B$2,2)=5,WEEKDAY('Daily Schedule'!$B$2,2)=7),IFERROR(1*'Daily Workforce'!$K71&gt;=3,FALSE()),IFERROR(1*'Daily Workforce'!$K71&gt;=2,FALSE())),IF(AND('Daily Schedule'!$A44&gt;=46,'Daily Schedule'!$A44&lt;=52),'Daily Workforce'!$M71="Y",IFERROR(1*'Daily Workforce'!$P71&gt;=2,FALSE()))))),1,0)</f>
        <v>1</v>
      </c>
      <c r="CE40" s="1" t="n">
        <f aca="false">IF(AND('Daily Workforce'!$N72="Y",'Daily Workforce'!$B72&lt;&gt;"",COUNTIF('Daily Schedule'!$F$5:$F43,'Daily Workforce'!$B72)=0,IF('Daily Schedule'!$A44=45,'Daily Workforce'!$J72="Y",IF(OR('Daily Schedule'!$A44=4,'Daily Schedule'!$A44=8),IF(OR(WEEKDAY('Daily Schedule'!$B$2,2)=1,WEEKDAY('Daily Schedule'!$B$2,2)=4,WEEKDAY('Daily Schedule'!$B$2,2)=5,WEEKDAY('Daily Schedule'!$B$2,2)=7),IFERROR(1*'Daily Workforce'!$K72&gt;=3,FALSE()),IFERROR(1*'Daily Workforce'!$K72&gt;=2,FALSE())),IF(AND('Daily Schedule'!$A44&gt;=46,'Daily Schedule'!$A44&lt;=52),'Daily Workforce'!$M72="Y",IFERROR(1*'Daily Workforce'!$P72&gt;=2,FALSE()))))),1,0)</f>
        <v>1</v>
      </c>
      <c r="CF40" s="1" t="n">
        <f aca="false">IF(AND('Daily Workforce'!$N73="Y",'Daily Workforce'!$B73&lt;&gt;"",COUNTIF('Daily Schedule'!$F$5:$F43,'Daily Workforce'!$B73)=0,IF('Daily Schedule'!$A44=45,'Daily Workforce'!$J73="Y",IF(OR('Daily Schedule'!$A44=4,'Daily Schedule'!$A44=8),IF(OR(WEEKDAY('Daily Schedule'!$B$2,2)=1,WEEKDAY('Daily Schedule'!$B$2,2)=4,WEEKDAY('Daily Schedule'!$B$2,2)=5,WEEKDAY('Daily Schedule'!$B$2,2)=7),IFERROR(1*'Daily Workforce'!$K73&gt;=3,FALSE()),IFERROR(1*'Daily Workforce'!$K73&gt;=2,FALSE())),IF(AND('Daily Schedule'!$A44&gt;=46,'Daily Schedule'!$A44&lt;=52),'Daily Workforce'!$M73="Y",IFERROR(1*'Daily Workforce'!$P73&gt;=2,FALSE()))))),1,0)</f>
        <v>1</v>
      </c>
      <c r="CG40" s="1" t="n">
        <f aca="false">IF(AND('Daily Workforce'!$N74="Y",'Daily Workforce'!$B74&lt;&gt;"",COUNTIF('Daily Schedule'!$F$5:$F43,'Daily Workforce'!$B74)=0,IF('Daily Schedule'!$A44=45,'Daily Workforce'!$J74="Y",IF(OR('Daily Schedule'!$A44=4,'Daily Schedule'!$A44=8),IF(OR(WEEKDAY('Daily Schedule'!$B$2,2)=1,WEEKDAY('Daily Schedule'!$B$2,2)=4,WEEKDAY('Daily Schedule'!$B$2,2)=5,WEEKDAY('Daily Schedule'!$B$2,2)=7),IFERROR(1*'Daily Workforce'!$K74&gt;=3,FALSE()),IFERROR(1*'Daily Workforce'!$K74&gt;=2,FALSE())),IF(AND('Daily Schedule'!$A44&gt;=46,'Daily Schedule'!$A44&lt;=52),'Daily Workforce'!$M74="Y",IFERROR(1*'Daily Workforce'!$P74&gt;=2,FALSE()))))),1,0)</f>
        <v>1</v>
      </c>
      <c r="CH40" s="1" t="n">
        <f aca="false">IF(AND('Daily Workforce'!$N75="Y",'Daily Workforce'!$B75&lt;&gt;"",COUNTIF('Daily Schedule'!$F$5:$F43,'Daily Workforce'!$B75)=0,IF('Daily Schedule'!$A44=45,'Daily Workforce'!$J75="Y",IF(OR('Daily Schedule'!$A44=4,'Daily Schedule'!$A44=8),IF(OR(WEEKDAY('Daily Schedule'!$B$2,2)=1,WEEKDAY('Daily Schedule'!$B$2,2)=4,WEEKDAY('Daily Schedule'!$B$2,2)=5,WEEKDAY('Daily Schedule'!$B$2,2)=7),IFERROR(1*'Daily Workforce'!$K75&gt;=3,FALSE()),IFERROR(1*'Daily Workforce'!$K75&gt;=2,FALSE())),IF(AND('Daily Schedule'!$A44&gt;=46,'Daily Schedule'!$A44&lt;=52),'Daily Workforce'!$M75="Y",IFERROR(1*'Daily Workforce'!$P75&gt;=2,FALSE()))))),1,0)</f>
        <v>1</v>
      </c>
      <c r="CI40" s="1" t="n">
        <f aca="false">IF(AND('Daily Workforce'!$N76="Y",'Daily Workforce'!$B76&lt;&gt;"",COUNTIF('Daily Schedule'!$F$5:$F43,'Daily Workforce'!$B76)=0,IF('Daily Schedule'!$A44=45,'Daily Workforce'!$J76="Y",IF(OR('Daily Schedule'!$A44=4,'Daily Schedule'!$A44=8),IF(OR(WEEKDAY('Daily Schedule'!$B$2,2)=1,WEEKDAY('Daily Schedule'!$B$2,2)=4,WEEKDAY('Daily Schedule'!$B$2,2)=5,WEEKDAY('Daily Schedule'!$B$2,2)=7),IFERROR(1*'Daily Workforce'!$K76&gt;=3,FALSE()),IFERROR(1*'Daily Workforce'!$K76&gt;=2,FALSE())),IF(AND('Daily Schedule'!$A44&gt;=46,'Daily Schedule'!$A44&lt;=52),'Daily Workforce'!$M76="Y",IFERROR(1*'Daily Workforce'!$P76&gt;=2,FALSE()))))),1,0)</f>
        <v>1</v>
      </c>
      <c r="CJ40" s="1" t="n">
        <f aca="false">IF(AND('Daily Workforce'!$N77="Y",'Daily Workforce'!$B77&lt;&gt;"",COUNTIF('Daily Schedule'!$F$5:$F43,'Daily Workforce'!$B77)=0,IF('Daily Schedule'!$A44=45,'Daily Workforce'!$J77="Y",IF(OR('Daily Schedule'!$A44=4,'Daily Schedule'!$A44=8),IF(OR(WEEKDAY('Daily Schedule'!$B$2,2)=1,WEEKDAY('Daily Schedule'!$B$2,2)=4,WEEKDAY('Daily Schedule'!$B$2,2)=5,WEEKDAY('Daily Schedule'!$B$2,2)=7),IFERROR(1*'Daily Workforce'!$K77&gt;=3,FALSE()),IFERROR(1*'Daily Workforce'!$K77&gt;=2,FALSE())),IF(AND('Daily Schedule'!$A44&gt;=46,'Daily Schedule'!$A44&lt;=52),'Daily Workforce'!$M77="Y",IFERROR(1*'Daily Workforce'!$P77&gt;=2,FALSE()))))),1,0)</f>
        <v>1</v>
      </c>
      <c r="CK40" s="1" t="n">
        <f aca="false">IF(AND('Daily Workforce'!$N78="Y",'Daily Workforce'!$B78&lt;&gt;"",COUNTIF('Daily Schedule'!$F$5:$F43,'Daily Workforce'!$B78)=0,IF('Daily Schedule'!$A44=45,'Daily Workforce'!$J78="Y",IF(OR('Daily Schedule'!$A44=4,'Daily Schedule'!$A44=8),IF(OR(WEEKDAY('Daily Schedule'!$B$2,2)=1,WEEKDAY('Daily Schedule'!$B$2,2)=4,WEEKDAY('Daily Schedule'!$B$2,2)=5,WEEKDAY('Daily Schedule'!$B$2,2)=7),IFERROR(1*'Daily Workforce'!$K78&gt;=3,FALSE()),IFERROR(1*'Daily Workforce'!$K78&gt;=2,FALSE())),IF(AND('Daily Schedule'!$A44&gt;=46,'Daily Schedule'!$A44&lt;=52),'Daily Workforce'!$M78="Y",IFERROR(1*'Daily Workforce'!$P78&gt;=2,FALSE()))))),1,0)</f>
        <v>1</v>
      </c>
      <c r="CL40" s="1" t="n">
        <f aca="false">IF(AND('Daily Workforce'!$N79="Y",'Daily Workforce'!$B79&lt;&gt;"",COUNTIF('Daily Schedule'!$F$5:$F43,'Daily Workforce'!$B79)=0,IF('Daily Schedule'!$A44=45,'Daily Workforce'!$J79="Y",IF(OR('Daily Schedule'!$A44=4,'Daily Schedule'!$A44=8),IF(OR(WEEKDAY('Daily Schedule'!$B$2,2)=1,WEEKDAY('Daily Schedule'!$B$2,2)=4,WEEKDAY('Daily Schedule'!$B$2,2)=5,WEEKDAY('Daily Schedule'!$B$2,2)=7),IFERROR(1*'Daily Workforce'!$K79&gt;=3,FALSE()),IFERROR(1*'Daily Workforce'!$K79&gt;=2,FALSE())),IF(AND('Daily Schedule'!$A44&gt;=46,'Daily Schedule'!$A44&lt;=52),'Daily Workforce'!$M79="Y",IFERROR(1*'Daily Workforce'!$P79&gt;=2,FALSE()))))),1,0)</f>
        <v>1</v>
      </c>
      <c r="CM40" s="1" t="n">
        <f aca="false">IF(AND('Daily Workforce'!$N80="Y",'Daily Workforce'!$B80&lt;&gt;"",COUNTIF('Daily Schedule'!$F$5:$F43,'Daily Workforce'!$B80)=0,IF('Daily Schedule'!$A44=45,'Daily Workforce'!$J80="Y",IF(OR('Daily Schedule'!$A44=4,'Daily Schedule'!$A44=8),IF(OR(WEEKDAY('Daily Schedule'!$B$2,2)=1,WEEKDAY('Daily Schedule'!$B$2,2)=4,WEEKDAY('Daily Schedule'!$B$2,2)=5,WEEKDAY('Daily Schedule'!$B$2,2)=7),IFERROR(1*'Daily Workforce'!$K80&gt;=3,FALSE()),IFERROR(1*'Daily Workforce'!$K80&gt;=2,FALSE())),IF(AND('Daily Schedule'!$A44&gt;=46,'Daily Schedule'!$A44&lt;=52),'Daily Workforce'!$M80="Y",IFERROR(1*'Daily Workforce'!$P80&gt;=2,FALSE()))))),1,0)</f>
        <v>1</v>
      </c>
      <c r="CN40" s="1" t="n">
        <f aca="false">IF(AND('Daily Workforce'!$N81="Y",'Daily Workforce'!$B81&lt;&gt;"",COUNTIF('Daily Schedule'!$F$5:$F43,'Daily Workforce'!$B81)=0,IF('Daily Schedule'!$A44=45,'Daily Workforce'!$J81="Y",IF(OR('Daily Schedule'!$A44=4,'Daily Schedule'!$A44=8),IF(OR(WEEKDAY('Daily Schedule'!$B$2,2)=1,WEEKDAY('Daily Schedule'!$B$2,2)=4,WEEKDAY('Daily Schedule'!$B$2,2)=5,WEEKDAY('Daily Schedule'!$B$2,2)=7),IFERROR(1*'Daily Workforce'!$K81&gt;=3,FALSE()),IFERROR(1*'Daily Workforce'!$K81&gt;=2,FALSE())),IF(AND('Daily Schedule'!$A44&gt;=46,'Daily Schedule'!$A44&lt;=52),'Daily Workforce'!$M81="Y",IFERROR(1*'Daily Workforce'!$P81&gt;=2,FALSE()))))),1,0)</f>
        <v>1</v>
      </c>
      <c r="CO40" s="1" t="n">
        <f aca="false">IF(AND('Daily Workforce'!$N82="Y",'Daily Workforce'!$B82&lt;&gt;"",COUNTIF('Daily Schedule'!$F$5:$F43,'Daily Workforce'!$B82)=0,IF('Daily Schedule'!$A44=45,'Daily Workforce'!$J82="Y",IF(OR('Daily Schedule'!$A44=4,'Daily Schedule'!$A44=8),IF(OR(WEEKDAY('Daily Schedule'!$B$2,2)=1,WEEKDAY('Daily Schedule'!$B$2,2)=4,WEEKDAY('Daily Schedule'!$B$2,2)=5,WEEKDAY('Daily Schedule'!$B$2,2)=7),IFERROR(1*'Daily Workforce'!$K82&gt;=3,FALSE()),IFERROR(1*'Daily Workforce'!$K82&gt;=2,FALSE())),IF(AND('Daily Schedule'!$A44&gt;=46,'Daily Schedule'!$A44&lt;=52),'Daily Workforce'!$M82="Y",IFERROR(1*'Daily Workforce'!$P82&gt;=2,FALSE()))))),1,0)</f>
        <v>1</v>
      </c>
      <c r="CP40" s="1" t="n">
        <f aca="false">IF(AND('Daily Workforce'!$N83="Y",'Daily Workforce'!$B83&lt;&gt;"",COUNTIF('Daily Schedule'!$F$5:$F43,'Daily Workforce'!$B83)=0,IF('Daily Schedule'!$A44=45,'Daily Workforce'!$J83="Y",IF(OR('Daily Schedule'!$A44=4,'Daily Schedule'!$A44=8),IF(OR(WEEKDAY('Daily Schedule'!$B$2,2)=1,WEEKDAY('Daily Schedule'!$B$2,2)=4,WEEKDAY('Daily Schedule'!$B$2,2)=5,WEEKDAY('Daily Schedule'!$B$2,2)=7),IFERROR(1*'Daily Workforce'!$K83&gt;=3,FALSE()),IFERROR(1*'Daily Workforce'!$K83&gt;=2,FALSE())),IF(AND('Daily Schedule'!$A44&gt;=46,'Daily Schedule'!$A44&lt;=52),'Daily Workforce'!$M83="Y",IFERROR(1*'Daily Workforce'!$P83&gt;=2,FALSE()))))),1,0)</f>
        <v>0</v>
      </c>
      <c r="CQ40" s="1" t="n">
        <f aca="false">IF(AND('Daily Workforce'!$N84="Y",'Daily Workforce'!$B84&lt;&gt;"",COUNTIF('Daily Schedule'!$F$5:$F43,'Daily Workforce'!$B84)=0,IF('Daily Schedule'!$A44=45,'Daily Workforce'!$J84="Y",IF(OR('Daily Schedule'!$A44=4,'Daily Schedule'!$A44=8),IF(OR(WEEKDAY('Daily Schedule'!$B$2,2)=1,WEEKDAY('Daily Schedule'!$B$2,2)=4,WEEKDAY('Daily Schedule'!$B$2,2)=5,WEEKDAY('Daily Schedule'!$B$2,2)=7),IFERROR(1*'Daily Workforce'!$K84&gt;=3,FALSE()),IFERROR(1*'Daily Workforce'!$K84&gt;=2,FALSE())),IF(AND('Daily Schedule'!$A44&gt;=46,'Daily Schedule'!$A44&lt;=52),'Daily Workforce'!$M84="Y",IFERROR(1*'Daily Workforce'!$P84&gt;=2,FALSE()))))),1,0)</f>
        <v>1</v>
      </c>
      <c r="CR40" s="1" t="n">
        <f aca="false">IF(AND('Daily Workforce'!$N85="Y",'Daily Workforce'!$B85&lt;&gt;"",COUNTIF('Daily Schedule'!$F$5:$F43,'Daily Workforce'!$B85)=0,IF('Daily Schedule'!$A44=45,'Daily Workforce'!$J85="Y",IF(OR('Daily Schedule'!$A44=4,'Daily Schedule'!$A44=8),IF(OR(WEEKDAY('Daily Schedule'!$B$2,2)=1,WEEKDAY('Daily Schedule'!$B$2,2)=4,WEEKDAY('Daily Schedule'!$B$2,2)=5,WEEKDAY('Daily Schedule'!$B$2,2)=7),IFERROR(1*'Daily Workforce'!$K85&gt;=3,FALSE()),IFERROR(1*'Daily Workforce'!$K85&gt;=2,FALSE())),IF(AND('Daily Schedule'!$A44&gt;=46,'Daily Schedule'!$A44&lt;=52),'Daily Workforce'!$M85="Y",IFERROR(1*'Daily Workforce'!$P85&gt;=2,FALSE()))))),1,0)</f>
        <v>0</v>
      </c>
      <c r="CS40" s="1" t="n">
        <f aca="false">IF(AND('Daily Workforce'!$N86="Y",'Daily Workforce'!$B86&lt;&gt;"",COUNTIF('Daily Schedule'!$F$5:$F43,'Daily Workforce'!$B86)=0,IF('Daily Schedule'!$A44=45,'Daily Workforce'!$J86="Y",IF(OR('Daily Schedule'!$A44=4,'Daily Schedule'!$A44=8),IF(OR(WEEKDAY('Daily Schedule'!$B$2,2)=1,WEEKDAY('Daily Schedule'!$B$2,2)=4,WEEKDAY('Daily Schedule'!$B$2,2)=5,WEEKDAY('Daily Schedule'!$B$2,2)=7),IFERROR(1*'Daily Workforce'!$K86&gt;=3,FALSE()),IFERROR(1*'Daily Workforce'!$K86&gt;=2,FALSE())),IF(AND('Daily Schedule'!$A44&gt;=46,'Daily Schedule'!$A44&lt;=52),'Daily Workforce'!$M86="Y",IFERROR(1*'Daily Workforce'!$P86&gt;=2,FALSE()))))),1,0)</f>
        <v>1</v>
      </c>
      <c r="CT40" s="1" t="n">
        <f aca="false">IF(AND('Daily Workforce'!$N87="Y",'Daily Workforce'!$B87&lt;&gt;"",COUNTIF('Daily Schedule'!$F$5:$F43,'Daily Workforce'!$B87)=0,IF('Daily Schedule'!$A44=45,'Daily Workforce'!$J87="Y",IF(OR('Daily Schedule'!$A44=4,'Daily Schedule'!$A44=8),IF(OR(WEEKDAY('Daily Schedule'!$B$2,2)=1,WEEKDAY('Daily Schedule'!$B$2,2)=4,WEEKDAY('Daily Schedule'!$B$2,2)=5,WEEKDAY('Daily Schedule'!$B$2,2)=7),IFERROR(1*'Daily Workforce'!$K87&gt;=3,FALSE()),IFERROR(1*'Daily Workforce'!$K87&gt;=2,FALSE())),IF(AND('Daily Schedule'!$A44&gt;=46,'Daily Schedule'!$A44&lt;=52),'Daily Workforce'!$M87="Y",IFERROR(1*'Daily Workforce'!$P87&gt;=2,FALSE()))))),1,0)</f>
        <v>1</v>
      </c>
      <c r="CU40" s="1" t="n">
        <f aca="false">IF(AND('Daily Workforce'!$N88="Y",'Daily Workforce'!$B88&lt;&gt;"",COUNTIF('Daily Schedule'!$F$5:$F43,'Daily Workforce'!$B88)=0,IF('Daily Schedule'!$A44=45,'Daily Workforce'!$J88="Y",IF(OR('Daily Schedule'!$A44=4,'Daily Schedule'!$A44=8),IF(OR(WEEKDAY('Daily Schedule'!$B$2,2)=1,WEEKDAY('Daily Schedule'!$B$2,2)=4,WEEKDAY('Daily Schedule'!$B$2,2)=5,WEEKDAY('Daily Schedule'!$B$2,2)=7),IFERROR(1*'Daily Workforce'!$K88&gt;=3,FALSE()),IFERROR(1*'Daily Workforce'!$K88&gt;=2,FALSE())),IF(AND('Daily Schedule'!$A44&gt;=46,'Daily Schedule'!$A44&lt;=52),'Daily Workforce'!$M88="Y",IFERROR(1*'Daily Workforce'!$P88&gt;=2,FALSE()))))),1,0)</f>
        <v>1</v>
      </c>
      <c r="CV40" s="1" t="n">
        <f aca="false">IF(AND('Daily Workforce'!$N89="Y",'Daily Workforce'!$B89&lt;&gt;"",COUNTIF('Daily Schedule'!$F$5:$F43,'Daily Workforce'!$B89)=0,IF('Daily Schedule'!$A44=45,'Daily Workforce'!$J89="Y",IF(OR('Daily Schedule'!$A44=4,'Daily Schedule'!$A44=8),IF(OR(WEEKDAY('Daily Schedule'!$B$2,2)=1,WEEKDAY('Daily Schedule'!$B$2,2)=4,WEEKDAY('Daily Schedule'!$B$2,2)=5,WEEKDAY('Daily Schedule'!$B$2,2)=7),IFERROR(1*'Daily Workforce'!$K89&gt;=3,FALSE()),IFERROR(1*'Daily Workforce'!$K89&gt;=2,FALSE())),IF(AND('Daily Schedule'!$A44&gt;=46,'Daily Schedule'!$A44&lt;=52),'Daily Workforce'!$M89="Y",IFERROR(1*'Daily Workforce'!$P89&gt;=2,FALSE()))))),1,0)</f>
        <v>1</v>
      </c>
      <c r="CW40" s="1" t="n">
        <f aca="false">IF(AND('Daily Workforce'!$N90="Y",'Daily Workforce'!$B90&lt;&gt;"",COUNTIF('Daily Schedule'!$F$5:$F43,'Daily Workforce'!$B90)=0,IF('Daily Schedule'!$A44=45,'Daily Workforce'!$J90="Y",IF(OR('Daily Schedule'!$A44=4,'Daily Schedule'!$A44=8),IF(OR(WEEKDAY('Daily Schedule'!$B$2,2)=1,WEEKDAY('Daily Schedule'!$B$2,2)=4,WEEKDAY('Daily Schedule'!$B$2,2)=5,WEEKDAY('Daily Schedule'!$B$2,2)=7),IFERROR(1*'Daily Workforce'!$K90&gt;=3,FALSE()),IFERROR(1*'Daily Workforce'!$K90&gt;=2,FALSE())),IF(AND('Daily Schedule'!$A44&gt;=46,'Daily Schedule'!$A44&lt;=52),'Daily Workforce'!$M90="Y",IFERROR(1*'Daily Workforce'!$P90&gt;=2,FALSE()))))),1,0)</f>
        <v>1</v>
      </c>
      <c r="CX40" s="1" t="n">
        <f aca="false">IF(AND('Daily Workforce'!$N91="Y",'Daily Workforce'!$B91&lt;&gt;"",COUNTIF('Daily Schedule'!$F$5:$F43,'Daily Workforce'!$B91)=0,IF('Daily Schedule'!$A44=45,'Daily Workforce'!$J91="Y",IF(OR('Daily Schedule'!$A44=4,'Daily Schedule'!$A44=8),IF(OR(WEEKDAY('Daily Schedule'!$B$2,2)=1,WEEKDAY('Daily Schedule'!$B$2,2)=4,WEEKDAY('Daily Schedule'!$B$2,2)=5,WEEKDAY('Daily Schedule'!$B$2,2)=7),IFERROR(1*'Daily Workforce'!$K91&gt;=3,FALSE()),IFERROR(1*'Daily Workforce'!$K91&gt;=2,FALSE())),IF(AND('Daily Schedule'!$A44&gt;=46,'Daily Schedule'!$A44&lt;=52),'Daily Workforce'!$M91="Y",IFERROR(1*'Daily Workforce'!$P91&gt;=2,FALSE()))))),1,0)</f>
        <v>1</v>
      </c>
      <c r="CY40" s="1" t="n">
        <f aca="false">IF(AND('Daily Workforce'!$N92="Y",'Daily Workforce'!$B92&lt;&gt;"",COUNTIF('Daily Schedule'!$F$5:$F43,'Daily Workforce'!$B92)=0,IF('Daily Schedule'!$A44=45,'Daily Workforce'!$J92="Y",IF(OR('Daily Schedule'!$A44=4,'Daily Schedule'!$A44=8),IF(OR(WEEKDAY('Daily Schedule'!$B$2,2)=1,WEEKDAY('Daily Schedule'!$B$2,2)=4,WEEKDAY('Daily Schedule'!$B$2,2)=5,WEEKDAY('Daily Schedule'!$B$2,2)=7),IFERROR(1*'Daily Workforce'!$K92&gt;=3,FALSE()),IFERROR(1*'Daily Workforce'!$K92&gt;=2,FALSE())),IF(AND('Daily Schedule'!$A44&gt;=46,'Daily Schedule'!$A44&lt;=52),'Daily Workforce'!$M92="Y",IFERROR(1*'Daily Workforce'!$P92&gt;=2,FALSE()))))),1,0)</f>
        <v>1</v>
      </c>
      <c r="CZ40" s="1" t="n">
        <f aca="false">IF(AND('Daily Workforce'!$N93="Y",'Daily Workforce'!$B93&lt;&gt;"",COUNTIF('Daily Schedule'!$F$5:$F43,'Daily Workforce'!$B93)=0,IF('Daily Schedule'!$A44=45,'Daily Workforce'!$J93="Y",IF(OR('Daily Schedule'!$A44=4,'Daily Schedule'!$A44=8),IF(OR(WEEKDAY('Daily Schedule'!$B$2,2)=1,WEEKDAY('Daily Schedule'!$B$2,2)=4,WEEKDAY('Daily Schedule'!$B$2,2)=5,WEEKDAY('Daily Schedule'!$B$2,2)=7),IFERROR(1*'Daily Workforce'!$K93&gt;=3,FALSE()),IFERROR(1*'Daily Workforce'!$K93&gt;=2,FALSE())),IF(AND('Daily Schedule'!$A44&gt;=46,'Daily Schedule'!$A44&lt;=52),'Daily Workforce'!$M93="Y",IFERROR(1*'Daily Workforce'!$P93&gt;=2,FALSE()))))),1,0)</f>
        <v>1</v>
      </c>
      <c r="DA40" s="1" t="n">
        <f aca="false">IF(AND('Daily Workforce'!$N94="Y",'Daily Workforce'!$B94&lt;&gt;"",COUNTIF('Daily Schedule'!$F$5:$F43,'Daily Workforce'!$B94)=0,IF('Daily Schedule'!$A44=45,'Daily Workforce'!$J94="Y",IF(OR('Daily Schedule'!$A44=4,'Daily Schedule'!$A44=8),IF(OR(WEEKDAY('Daily Schedule'!$B$2,2)=1,WEEKDAY('Daily Schedule'!$B$2,2)=4,WEEKDAY('Daily Schedule'!$B$2,2)=5,WEEKDAY('Daily Schedule'!$B$2,2)=7),IFERROR(1*'Daily Workforce'!$K94&gt;=3,FALSE()),IFERROR(1*'Daily Workforce'!$K94&gt;=2,FALSE())),IF(AND('Daily Schedule'!$A44&gt;=46,'Daily Schedule'!$A44&lt;=52),'Daily Workforce'!$M94="Y",IFERROR(1*'Daily Workforce'!$P94&gt;=2,FALSE()))))),1,0)</f>
        <v>1</v>
      </c>
      <c r="DB40" s="1" t="n">
        <f aca="false">IF(AND('Daily Workforce'!$N95="Y",'Daily Workforce'!$B95&lt;&gt;"",COUNTIF('Daily Schedule'!$F$5:$F43,'Daily Workforce'!$B95)=0,IF('Daily Schedule'!$A44=45,'Daily Workforce'!$J95="Y",IF(OR('Daily Schedule'!$A44=4,'Daily Schedule'!$A44=8),IF(OR(WEEKDAY('Daily Schedule'!$B$2,2)=1,WEEKDAY('Daily Schedule'!$B$2,2)=4,WEEKDAY('Daily Schedule'!$B$2,2)=5,WEEKDAY('Daily Schedule'!$B$2,2)=7),IFERROR(1*'Daily Workforce'!$K95&gt;=3,FALSE()),IFERROR(1*'Daily Workforce'!$K95&gt;=2,FALSE())),IF(AND('Daily Schedule'!$A44&gt;=46,'Daily Schedule'!$A44&lt;=52),'Daily Workforce'!$M95="Y",IFERROR(1*'Daily Workforce'!$P95&gt;=2,FALSE()))))),1,0)</f>
        <v>1</v>
      </c>
      <c r="DC40" s="1" t="n">
        <f aca="false">IF(AND('Daily Workforce'!$N96="Y",'Daily Workforce'!$B96&lt;&gt;"",COUNTIF('Daily Schedule'!$F$5:$F43,'Daily Workforce'!$B96)=0,IF('Daily Schedule'!$A44=45,'Daily Workforce'!$J96="Y",IF(OR('Daily Schedule'!$A44=4,'Daily Schedule'!$A44=8),IF(OR(WEEKDAY('Daily Schedule'!$B$2,2)=1,WEEKDAY('Daily Schedule'!$B$2,2)=4,WEEKDAY('Daily Schedule'!$B$2,2)=5,WEEKDAY('Daily Schedule'!$B$2,2)=7),IFERROR(1*'Daily Workforce'!$K96&gt;=3,FALSE()),IFERROR(1*'Daily Workforce'!$K96&gt;=2,FALSE())),IF(AND('Daily Schedule'!$A44&gt;=46,'Daily Schedule'!$A44&lt;=52),'Daily Workforce'!$M96="Y",IFERROR(1*'Daily Workforce'!$P96&gt;=2,FALSE()))))),1,0)</f>
        <v>1</v>
      </c>
      <c r="DD40" s="1" t="n">
        <f aca="false">IF(AND('Daily Workforce'!$N97="Y",'Daily Workforce'!$B97&lt;&gt;"",COUNTIF('Daily Schedule'!$F$5:$F43,'Daily Workforce'!$B97)=0,IF('Daily Schedule'!$A44=45,'Daily Workforce'!$J97="Y",IF(OR('Daily Schedule'!$A44=4,'Daily Schedule'!$A44=8),IF(OR(WEEKDAY('Daily Schedule'!$B$2,2)=1,WEEKDAY('Daily Schedule'!$B$2,2)=4,WEEKDAY('Daily Schedule'!$B$2,2)=5,WEEKDAY('Daily Schedule'!$B$2,2)=7),IFERROR(1*'Daily Workforce'!$K97&gt;=3,FALSE()),IFERROR(1*'Daily Workforce'!$K97&gt;=2,FALSE())),IF(AND('Daily Schedule'!$A44&gt;=46,'Daily Schedule'!$A44&lt;=52),'Daily Workforce'!$M97="Y",IFERROR(1*'Daily Workforce'!$P97&gt;=2,FALSE()))))),1,0)</f>
        <v>1</v>
      </c>
      <c r="DE40" s="1" t="n">
        <f aca="false">IF(AND('Daily Workforce'!$N98="Y",'Daily Workforce'!$B98&lt;&gt;"",COUNTIF('Daily Schedule'!$F$5:$F43,'Daily Workforce'!$B98)=0,IF('Daily Schedule'!$A44=45,'Daily Workforce'!$J98="Y",IF(OR('Daily Schedule'!$A44=4,'Daily Schedule'!$A44=8),IF(OR(WEEKDAY('Daily Schedule'!$B$2,2)=1,WEEKDAY('Daily Schedule'!$B$2,2)=4,WEEKDAY('Daily Schedule'!$B$2,2)=5,WEEKDAY('Daily Schedule'!$B$2,2)=7),IFERROR(1*'Daily Workforce'!$K98&gt;=3,FALSE()),IFERROR(1*'Daily Workforce'!$K98&gt;=2,FALSE())),IF(AND('Daily Schedule'!$A44&gt;=46,'Daily Schedule'!$A44&lt;=52),'Daily Workforce'!$M98="Y",IFERROR(1*'Daily Workforce'!$P98&gt;=2,FALSE()))))),1,0)</f>
        <v>1</v>
      </c>
      <c r="DF40" s="1" t="n">
        <f aca="false">IF(AND('Daily Workforce'!$N99="Y",'Daily Workforce'!$B99&lt;&gt;"",COUNTIF('Daily Schedule'!$F$5:$F43,'Daily Workforce'!$B99)=0,IF('Daily Schedule'!$A44=45,'Daily Workforce'!$J99="Y",IF(OR('Daily Schedule'!$A44=4,'Daily Schedule'!$A44=8),IF(OR(WEEKDAY('Daily Schedule'!$B$2,2)=1,WEEKDAY('Daily Schedule'!$B$2,2)=4,WEEKDAY('Daily Schedule'!$B$2,2)=5,WEEKDAY('Daily Schedule'!$B$2,2)=7),IFERROR(1*'Daily Workforce'!$K99&gt;=3,FALSE()),IFERROR(1*'Daily Workforce'!$K99&gt;=2,FALSE())),IF(AND('Daily Schedule'!$A44&gt;=46,'Daily Schedule'!$A44&lt;=52),'Daily Workforce'!$M99="Y",IFERROR(1*'Daily Workforce'!$P99&gt;=2,FALSE()))))),1,0)</f>
        <v>1</v>
      </c>
      <c r="DG40" s="1" t="n">
        <f aca="false">IF(AND('Daily Workforce'!$N100="Y",'Daily Workforce'!$B100&lt;&gt;"",COUNTIF('Daily Schedule'!$F$5:$F43,'Daily Workforce'!$B100)=0,IF('Daily Schedule'!$A44=45,'Daily Workforce'!$J100="Y",IF(OR('Daily Schedule'!$A44=4,'Daily Schedule'!$A44=8),IF(OR(WEEKDAY('Daily Schedule'!$B$2,2)=1,WEEKDAY('Daily Schedule'!$B$2,2)=4,WEEKDAY('Daily Schedule'!$B$2,2)=5,WEEKDAY('Daily Schedule'!$B$2,2)=7),IFERROR(1*'Daily Workforce'!$K100&gt;=3,FALSE()),IFERROR(1*'Daily Workforce'!$K100&gt;=2,FALSE())),IF(AND('Daily Schedule'!$A44&gt;=46,'Daily Schedule'!$A44&lt;=52),'Daily Workforce'!$M100="Y",IFERROR(1*'Daily Workforce'!$P100&gt;=2,FALSE()))))),1,0)</f>
        <v>1</v>
      </c>
      <c r="DH40" s="1" t="n">
        <f aca="false">IF(AND('Daily Workforce'!$N101="Y",'Daily Workforce'!$B101&lt;&gt;"",COUNTIF('Daily Schedule'!$F$5:$F43,'Daily Workforce'!$B101)=0,IF('Daily Schedule'!$A44=45,'Daily Workforce'!$J101="Y",IF(OR('Daily Schedule'!$A44=4,'Daily Schedule'!$A44=8),IF(OR(WEEKDAY('Daily Schedule'!$B$2,2)=1,WEEKDAY('Daily Schedule'!$B$2,2)=4,WEEKDAY('Daily Schedule'!$B$2,2)=5,WEEKDAY('Daily Schedule'!$B$2,2)=7),IFERROR(1*'Daily Workforce'!$K101&gt;=3,FALSE()),IFERROR(1*'Daily Workforce'!$K101&gt;=2,FALSE())),IF(AND('Daily Schedule'!$A44&gt;=46,'Daily Schedule'!$A44&lt;=52),'Daily Workforce'!$M101="Y",IFERROR(1*'Daily Workforce'!$P101&gt;=2,FALSE()))))),1,0)</f>
        <v>1</v>
      </c>
      <c r="DI40" s="1" t="n">
        <f aca="false">IF(AND('Daily Workforce'!$N102="Y",'Daily Workforce'!$B102&lt;&gt;"",COUNTIF('Daily Schedule'!$F$5:$F43,'Daily Workforce'!$B102)=0,IF('Daily Schedule'!$A44=45,'Daily Workforce'!$J102="Y",IF(OR('Daily Schedule'!$A44=4,'Daily Schedule'!$A44=8),IF(OR(WEEKDAY('Daily Schedule'!$B$2,2)=1,WEEKDAY('Daily Schedule'!$B$2,2)=4,WEEKDAY('Daily Schedule'!$B$2,2)=5,WEEKDAY('Daily Schedule'!$B$2,2)=7),IFERROR(1*'Daily Workforce'!$K102&gt;=3,FALSE()),IFERROR(1*'Daily Workforce'!$K102&gt;=2,FALSE())),IF(AND('Daily Schedule'!$A44&gt;=46,'Daily Schedule'!$A44&lt;=52),'Daily Workforce'!$M102="Y",IFERROR(1*'Daily Workforce'!$P102&gt;=2,FALSE()))))),1,0)</f>
        <v>1</v>
      </c>
      <c r="DJ40" s="1" t="n">
        <f aca="false">IF(AND('Daily Workforce'!$N103="Y",'Daily Workforce'!$B103&lt;&gt;"",COUNTIF('Daily Schedule'!$F$5:$F43,'Daily Workforce'!$B103)=0,IF('Daily Schedule'!$A44=45,'Daily Workforce'!$J103="Y",IF(OR('Daily Schedule'!$A44=4,'Daily Schedule'!$A44=8),IF(OR(WEEKDAY('Daily Schedule'!$B$2,2)=1,WEEKDAY('Daily Schedule'!$B$2,2)=4,WEEKDAY('Daily Schedule'!$B$2,2)=5,WEEKDAY('Daily Schedule'!$B$2,2)=7),IFERROR(1*'Daily Workforce'!$K103&gt;=3,FALSE()),IFERROR(1*'Daily Workforce'!$K103&gt;=2,FALSE())),IF(AND('Daily Schedule'!$A44&gt;=46,'Daily Schedule'!$A44&lt;=52),'Daily Workforce'!$M103="Y",IFERROR(1*'Daily Workforce'!$P103&gt;=2,FALSE()))))),1,0)</f>
        <v>1</v>
      </c>
      <c r="DK40" s="1" t="n">
        <f aca="false">IF(AND('Daily Workforce'!$N104="Y",'Daily Workforce'!$B104&lt;&gt;"",COUNTIF('Daily Schedule'!$F$5:$F43,'Daily Workforce'!$B104)=0,IF('Daily Schedule'!$A44=45,'Daily Workforce'!$J104="Y",IF(OR('Daily Schedule'!$A44=4,'Daily Schedule'!$A44=8),IF(OR(WEEKDAY('Daily Schedule'!$B$2,2)=1,WEEKDAY('Daily Schedule'!$B$2,2)=4,WEEKDAY('Daily Schedule'!$B$2,2)=5,WEEKDAY('Daily Schedule'!$B$2,2)=7),IFERROR(1*'Daily Workforce'!$K104&gt;=3,FALSE()),IFERROR(1*'Daily Workforce'!$K104&gt;=2,FALSE())),IF(AND('Daily Schedule'!$A44&gt;=46,'Daily Schedule'!$A44&lt;=52),'Daily Workforce'!$M104="Y",IFERROR(1*'Daily Workforce'!$P104&gt;=2,FALSE()))))),1,0)</f>
        <v>1</v>
      </c>
      <c r="DL40" s="1" t="n">
        <f aca="false">IF(AND('Daily Workforce'!$N105="Y",'Daily Workforce'!$B105&lt;&gt;"",COUNTIF('Daily Schedule'!$F$5:$F43,'Daily Workforce'!$B105)=0,IF('Daily Schedule'!$A44=45,'Daily Workforce'!$J105="Y",IF(OR('Daily Schedule'!$A44=4,'Daily Schedule'!$A44=8),IF(OR(WEEKDAY('Daily Schedule'!$B$2,2)=1,WEEKDAY('Daily Schedule'!$B$2,2)=4,WEEKDAY('Daily Schedule'!$B$2,2)=5,WEEKDAY('Daily Schedule'!$B$2,2)=7),IFERROR(1*'Daily Workforce'!$K105&gt;=3,FALSE()),IFERROR(1*'Daily Workforce'!$K105&gt;=2,FALSE())),IF(AND('Daily Schedule'!$A44&gt;=46,'Daily Schedule'!$A44&lt;=52),'Daily Workforce'!$M105="Y",IFERROR(1*'Daily Workforce'!$P105&gt;=2,FALSE()))))),1,0)</f>
        <v>0</v>
      </c>
      <c r="DM40" s="1" t="n">
        <f aca="false">IF(AND('Daily Workforce'!$N106="Y",'Daily Workforce'!$B106&lt;&gt;"",COUNTIF('Daily Schedule'!$F$5:$F43,'Daily Workforce'!$B106)=0,IF('Daily Schedule'!$A44=45,'Daily Workforce'!$J106="Y",IF(OR('Daily Schedule'!$A44=4,'Daily Schedule'!$A44=8),IF(OR(WEEKDAY('Daily Schedule'!$B$2,2)=1,WEEKDAY('Daily Schedule'!$B$2,2)=4,WEEKDAY('Daily Schedule'!$B$2,2)=5,WEEKDAY('Daily Schedule'!$B$2,2)=7),IFERROR(1*'Daily Workforce'!$K106&gt;=3,FALSE()),IFERROR(1*'Daily Workforce'!$K106&gt;=2,FALSE())),IF(AND('Daily Schedule'!$A44&gt;=46,'Daily Schedule'!$A44&lt;=52),'Daily Workforce'!$M106="Y",IFERROR(1*'Daily Workforce'!$P106&gt;=2,FALSE()))))),1,0)</f>
        <v>1</v>
      </c>
      <c r="DN40" s="1" t="n">
        <f aca="false">IF(AND('Daily Workforce'!$N107="Y",'Daily Workforce'!$B107&lt;&gt;"",COUNTIF('Daily Schedule'!$F$5:$F43,'Daily Workforce'!$B107)=0,IF('Daily Schedule'!$A44=45,'Daily Workforce'!$J107="Y",IF(OR('Daily Schedule'!$A44=4,'Daily Schedule'!$A44=8),IF(OR(WEEKDAY('Daily Schedule'!$B$2,2)=1,WEEKDAY('Daily Schedule'!$B$2,2)=4,WEEKDAY('Daily Schedule'!$B$2,2)=5,WEEKDAY('Daily Schedule'!$B$2,2)=7),IFERROR(1*'Daily Workforce'!$K107&gt;=3,FALSE()),IFERROR(1*'Daily Workforce'!$K107&gt;=2,FALSE())),IF(AND('Daily Schedule'!$A44&gt;=46,'Daily Schedule'!$A44&lt;=52),'Daily Workforce'!$M107="Y",IFERROR(1*'Daily Workforce'!$P107&gt;=2,FALSE()))))),1,0)</f>
        <v>1</v>
      </c>
      <c r="DO40" s="1" t="n">
        <f aca="false">IF(AND('Daily Workforce'!$N108="Y",'Daily Workforce'!$B108&lt;&gt;"",COUNTIF('Daily Schedule'!$F$5:$F43,'Daily Workforce'!$B108)=0,IF('Daily Schedule'!$A44=45,'Daily Workforce'!$J108="Y",IF(OR('Daily Schedule'!$A44=4,'Daily Schedule'!$A44=8),IF(OR(WEEKDAY('Daily Schedule'!$B$2,2)=1,WEEKDAY('Daily Schedule'!$B$2,2)=4,WEEKDAY('Daily Schedule'!$B$2,2)=5,WEEKDAY('Daily Schedule'!$B$2,2)=7),IFERROR(1*'Daily Workforce'!$K108&gt;=3,FALSE()),IFERROR(1*'Daily Workforce'!$K108&gt;=2,FALSE())),IF(AND('Daily Schedule'!$A44&gt;=46,'Daily Schedule'!$A44&lt;=52),'Daily Workforce'!$M108="Y",IFERROR(1*'Daily Workforce'!$P108&gt;=2,FALSE()))))),1,0)</f>
        <v>1</v>
      </c>
      <c r="DP40" s="1" t="n">
        <f aca="false">IF(AND('Daily Workforce'!$N109="Y",'Daily Workforce'!$B109&lt;&gt;"",COUNTIF('Daily Schedule'!$F$5:$F43,'Daily Workforce'!$B109)=0,IF('Daily Schedule'!$A44=45,'Daily Workforce'!$J109="Y",IF(OR('Daily Schedule'!$A44=4,'Daily Schedule'!$A44=8),IF(OR(WEEKDAY('Daily Schedule'!$B$2,2)=1,WEEKDAY('Daily Schedule'!$B$2,2)=4,WEEKDAY('Daily Schedule'!$B$2,2)=5,WEEKDAY('Daily Schedule'!$B$2,2)=7),IFERROR(1*'Daily Workforce'!$K109&gt;=3,FALSE()),IFERROR(1*'Daily Workforce'!$K109&gt;=2,FALSE())),IF(AND('Daily Schedule'!$A44&gt;=46,'Daily Schedule'!$A44&lt;=52),'Daily Workforce'!$M109="Y",IFERROR(1*'Daily Workforce'!$P109&gt;=2,FALSE()))))),1,0)</f>
        <v>1</v>
      </c>
      <c r="DQ40" s="1" t="n">
        <f aca="false">IF(AND('Daily Workforce'!$N110="Y",'Daily Workforce'!$B110&lt;&gt;"",COUNTIF('Daily Schedule'!$F$5:$F43,'Daily Workforce'!$B110)=0,IF('Daily Schedule'!$A44=45,'Daily Workforce'!$J110="Y",IF(OR('Daily Schedule'!$A44=4,'Daily Schedule'!$A44=8),IF(OR(WEEKDAY('Daily Schedule'!$B$2,2)=1,WEEKDAY('Daily Schedule'!$B$2,2)=4,WEEKDAY('Daily Schedule'!$B$2,2)=5,WEEKDAY('Daily Schedule'!$B$2,2)=7),IFERROR(1*'Daily Workforce'!$K110&gt;=3,FALSE()),IFERROR(1*'Daily Workforce'!$K110&gt;=2,FALSE())),IF(AND('Daily Schedule'!$A44&gt;=46,'Daily Schedule'!$A44&lt;=52),'Daily Workforce'!$M110="Y",IFERROR(1*'Daily Workforce'!$P110&gt;=2,FALSE()))))),1,0)</f>
        <v>1</v>
      </c>
      <c r="DR40" s="1" t="n">
        <f aca="false">IF(AND('Daily Workforce'!$N111="Y",'Daily Workforce'!$B111&lt;&gt;"",COUNTIF('Daily Schedule'!$F$5:$F43,'Daily Workforce'!$B111)=0,IF('Daily Schedule'!$A44=45,'Daily Workforce'!$J111="Y",IF(OR('Daily Schedule'!$A44=4,'Daily Schedule'!$A44=8),IF(OR(WEEKDAY('Daily Schedule'!$B$2,2)=1,WEEKDAY('Daily Schedule'!$B$2,2)=4,WEEKDAY('Daily Schedule'!$B$2,2)=5,WEEKDAY('Daily Schedule'!$B$2,2)=7),IFERROR(1*'Daily Workforce'!$K111&gt;=3,FALSE()),IFERROR(1*'Daily Workforce'!$K111&gt;=2,FALSE())),IF(AND('Daily Schedule'!$A44&gt;=46,'Daily Schedule'!$A44&lt;=52),'Daily Workforce'!$M111="Y",IFERROR(1*'Daily Workforce'!$P111&gt;=2,FALSE()))))),1,0)</f>
        <v>1</v>
      </c>
      <c r="DS40" s="1" t="n">
        <f aca="false">IF(AND('Daily Workforce'!$N112="Y",'Daily Workforce'!$B112&lt;&gt;"",COUNTIF('Daily Schedule'!$F$5:$F43,'Daily Workforce'!$B112)=0,IF('Daily Schedule'!$A44=45,'Daily Workforce'!$J112="Y",IF(OR('Daily Schedule'!$A44=4,'Daily Schedule'!$A44=8),IF(OR(WEEKDAY('Daily Schedule'!$B$2,2)=1,WEEKDAY('Daily Schedule'!$B$2,2)=4,WEEKDAY('Daily Schedule'!$B$2,2)=5,WEEKDAY('Daily Schedule'!$B$2,2)=7),IFERROR(1*'Daily Workforce'!$K112&gt;=3,FALSE()),IFERROR(1*'Daily Workforce'!$K112&gt;=2,FALSE())),IF(AND('Daily Schedule'!$A44&gt;=46,'Daily Schedule'!$A44&lt;=52),'Daily Workforce'!$M112="Y",IFERROR(1*'Daily Workforce'!$P112&gt;=2,FALSE()))))),1,0)</f>
        <v>1</v>
      </c>
      <c r="DT40" s="1" t="n">
        <f aca="false">IF(AND('Daily Workforce'!$N113="Y",'Daily Workforce'!$B113&lt;&gt;"",COUNTIF('Daily Schedule'!$F$5:$F43,'Daily Workforce'!$B113)=0,IF('Daily Schedule'!$A44=45,'Daily Workforce'!$J113="Y",IF(OR('Daily Schedule'!$A44=4,'Daily Schedule'!$A44=8),IF(OR(WEEKDAY('Daily Schedule'!$B$2,2)=1,WEEKDAY('Daily Schedule'!$B$2,2)=4,WEEKDAY('Daily Schedule'!$B$2,2)=5,WEEKDAY('Daily Schedule'!$B$2,2)=7),IFERROR(1*'Daily Workforce'!$K113&gt;=3,FALSE()),IFERROR(1*'Daily Workforce'!$K113&gt;=2,FALSE())),IF(AND('Daily Schedule'!$A44&gt;=46,'Daily Schedule'!$A44&lt;=52),'Daily Workforce'!$M113="Y",IFERROR(1*'Daily Workforce'!$P113&gt;=2,FALSE()))))),1,0)</f>
        <v>1</v>
      </c>
      <c r="DU40" s="1" t="n">
        <f aca="false">IF(AND('Daily Workforce'!$N114="Y",'Daily Workforce'!$B114&lt;&gt;"",COUNTIF('Daily Schedule'!$F$5:$F43,'Daily Workforce'!$B114)=0,IF('Daily Schedule'!$A44=45,'Daily Workforce'!$J114="Y",IF(OR('Daily Schedule'!$A44=4,'Daily Schedule'!$A44=8),IF(OR(WEEKDAY('Daily Schedule'!$B$2,2)=1,WEEKDAY('Daily Schedule'!$B$2,2)=4,WEEKDAY('Daily Schedule'!$B$2,2)=5,WEEKDAY('Daily Schedule'!$B$2,2)=7),IFERROR(1*'Daily Workforce'!$K114&gt;=3,FALSE()),IFERROR(1*'Daily Workforce'!$K114&gt;=2,FALSE())),IF(AND('Daily Schedule'!$A44&gt;=46,'Daily Schedule'!$A44&lt;=52),'Daily Workforce'!$M114="Y",IFERROR(1*'Daily Workforce'!$P114&gt;=2,FALSE()))))),1,0)</f>
        <v>1</v>
      </c>
      <c r="DV40" s="1" t="n">
        <f aca="false">IF(AND('Daily Workforce'!$N115="Y",'Daily Workforce'!$B115&lt;&gt;"",COUNTIF('Daily Schedule'!$F$5:$F43,'Daily Workforce'!$B115)=0,IF('Daily Schedule'!$A44=45,'Daily Workforce'!$J115="Y",IF(OR('Daily Schedule'!$A44=4,'Daily Schedule'!$A44=8),IF(OR(WEEKDAY('Daily Schedule'!$B$2,2)=1,WEEKDAY('Daily Schedule'!$B$2,2)=4,WEEKDAY('Daily Schedule'!$B$2,2)=5,WEEKDAY('Daily Schedule'!$B$2,2)=7),IFERROR(1*'Daily Workforce'!$K115&gt;=3,FALSE()),IFERROR(1*'Daily Workforce'!$K115&gt;=2,FALSE())),IF(AND('Daily Schedule'!$A44&gt;=46,'Daily Schedule'!$A44&lt;=52),'Daily Workforce'!$M115="Y",IFERROR(1*'Daily Workforce'!$P115&gt;=2,FALSE()))))),1,0)</f>
        <v>1</v>
      </c>
      <c r="DW40" s="1" t="n">
        <f aca="false">IF(AND('Daily Workforce'!$N116="Y",'Daily Workforce'!$B116&lt;&gt;"",COUNTIF('Daily Schedule'!$F$5:$F43,'Daily Workforce'!$B116)=0,IF('Daily Schedule'!$A44=45,'Daily Workforce'!$J116="Y",IF(OR('Daily Schedule'!$A44=4,'Daily Schedule'!$A44=8),IF(OR(WEEKDAY('Daily Schedule'!$B$2,2)=1,WEEKDAY('Daily Schedule'!$B$2,2)=4,WEEKDAY('Daily Schedule'!$B$2,2)=5,WEEKDAY('Daily Schedule'!$B$2,2)=7),IFERROR(1*'Daily Workforce'!$K116&gt;=3,FALSE()),IFERROR(1*'Daily Workforce'!$K116&gt;=2,FALSE())),IF(AND('Daily Schedule'!$A44&gt;=46,'Daily Schedule'!$A44&lt;=52),'Daily Workforce'!$M116="Y",IFERROR(1*'Daily Workforce'!$P116&gt;=2,FALSE()))))),1,0)</f>
        <v>1</v>
      </c>
      <c r="DX40" s="1" t="n">
        <f aca="false">IF(AND('Daily Workforce'!$N117="Y",'Daily Workforce'!$B117&lt;&gt;"",COUNTIF('Daily Schedule'!$F$5:$F43,'Daily Workforce'!$B117)=0,IF('Daily Schedule'!$A44=45,'Daily Workforce'!$J117="Y",IF(OR('Daily Schedule'!$A44=4,'Daily Schedule'!$A44=8),IF(OR(WEEKDAY('Daily Schedule'!$B$2,2)=1,WEEKDAY('Daily Schedule'!$B$2,2)=4,WEEKDAY('Daily Schedule'!$B$2,2)=5,WEEKDAY('Daily Schedule'!$B$2,2)=7),IFERROR(1*'Daily Workforce'!$K117&gt;=3,FALSE()),IFERROR(1*'Daily Workforce'!$K117&gt;=2,FALSE())),IF(AND('Daily Schedule'!$A44&gt;=46,'Daily Schedule'!$A44&lt;=52),'Daily Workforce'!$M117="Y",IFERROR(1*'Daily Workforce'!$P117&gt;=2,FALSE()))))),1,0)</f>
        <v>1</v>
      </c>
      <c r="DY40" s="1" t="n">
        <f aca="false">IF(AND('Daily Workforce'!$N118="Y",'Daily Workforce'!$B118&lt;&gt;"",COUNTIF('Daily Schedule'!$F$5:$F43,'Daily Workforce'!$B118)=0,IF('Daily Schedule'!$A44=45,'Daily Workforce'!$J118="Y",IF(OR('Daily Schedule'!$A44=4,'Daily Schedule'!$A44=8),IF(OR(WEEKDAY('Daily Schedule'!$B$2,2)=1,WEEKDAY('Daily Schedule'!$B$2,2)=4,WEEKDAY('Daily Schedule'!$B$2,2)=5,WEEKDAY('Daily Schedule'!$B$2,2)=7),IFERROR(1*'Daily Workforce'!$K118&gt;=3,FALSE()),IFERROR(1*'Daily Workforce'!$K118&gt;=2,FALSE())),IF(AND('Daily Schedule'!$A44&gt;=46,'Daily Schedule'!$A44&lt;=52),'Daily Workforce'!$M118="Y",IFERROR(1*'Daily Workforce'!$P118&gt;=2,FALSE()))))),1,0)</f>
        <v>0</v>
      </c>
      <c r="DZ40" s="1" t="n">
        <f aca="false">IF(AND('Daily Workforce'!$N119="Y",'Daily Workforce'!$B119&lt;&gt;"",COUNTIF('Daily Schedule'!$F$5:$F43,'Daily Workforce'!$B119)=0,IF('Daily Schedule'!$A44=45,'Daily Workforce'!$J119="Y",IF(OR('Daily Schedule'!$A44=4,'Daily Schedule'!$A44=8),IF(OR(WEEKDAY('Daily Schedule'!$B$2,2)=1,WEEKDAY('Daily Schedule'!$B$2,2)=4,WEEKDAY('Daily Schedule'!$B$2,2)=5,WEEKDAY('Daily Schedule'!$B$2,2)=7),IFERROR(1*'Daily Workforce'!$K119&gt;=3,FALSE()),IFERROR(1*'Daily Workforce'!$K119&gt;=2,FALSE())),IF(AND('Daily Schedule'!$A44&gt;=46,'Daily Schedule'!$A44&lt;=52),'Daily Workforce'!$M119="Y",IFERROR(1*'Daily Workforce'!$P119&gt;=2,FALSE()))))),1,0)</f>
        <v>0</v>
      </c>
      <c r="EA40" s="1" t="n">
        <f aca="false">IF(AND('Daily Workforce'!$N120="Y",'Daily Workforce'!$B120&lt;&gt;"",COUNTIF('Daily Schedule'!$F$5:$F43,'Daily Workforce'!$B120)=0,IF('Daily Schedule'!$A44=45,'Daily Workforce'!$J120="Y",IF(OR('Daily Schedule'!$A44=4,'Daily Schedule'!$A44=8),IF(OR(WEEKDAY('Daily Schedule'!$B$2,2)=1,WEEKDAY('Daily Schedule'!$B$2,2)=4,WEEKDAY('Daily Schedule'!$B$2,2)=5,WEEKDAY('Daily Schedule'!$B$2,2)=7),IFERROR(1*'Daily Workforce'!$K120&gt;=3,FALSE()),IFERROR(1*'Daily Workforce'!$K120&gt;=2,FALSE())),IF(AND('Daily Schedule'!$A44&gt;=46,'Daily Schedule'!$A44&lt;=52),'Daily Workforce'!$M120="Y",IFERROR(1*'Daily Workforce'!$P120&gt;=2,FALSE()))))),1,0)</f>
        <v>0</v>
      </c>
      <c r="EB40" s="1" t="n">
        <f aca="false">IF(AND('Daily Workforce'!$N121="Y",'Daily Workforce'!$B121&lt;&gt;"",COUNTIF('Daily Schedule'!$F$5:$F43,'Daily Workforce'!$B121)=0,IF('Daily Schedule'!$A44=45,'Daily Workforce'!$J121="Y",IF(OR('Daily Schedule'!$A44=4,'Daily Schedule'!$A44=8),IF(OR(WEEKDAY('Daily Schedule'!$B$2,2)=1,WEEKDAY('Daily Schedule'!$B$2,2)=4,WEEKDAY('Daily Schedule'!$B$2,2)=5,WEEKDAY('Daily Schedule'!$B$2,2)=7),IFERROR(1*'Daily Workforce'!$K121&gt;=3,FALSE()),IFERROR(1*'Daily Workforce'!$K121&gt;=2,FALSE())),IF(AND('Daily Schedule'!$A44&gt;=46,'Daily Schedule'!$A44&lt;=52),'Daily Workforce'!$M121="Y",IFERROR(1*'Daily Workforce'!$P121&gt;=2,FALSE()))))),1,0)</f>
        <v>0</v>
      </c>
      <c r="EC40" s="1" t="n">
        <f aca="false">IF(AND('Daily Workforce'!$N122="Y",'Daily Workforce'!$B122&lt;&gt;"",COUNTIF('Daily Schedule'!$F$5:$F43,'Daily Workforce'!$B122)=0,IF('Daily Schedule'!$A44=45,'Daily Workforce'!$J122="Y",IF(OR('Daily Schedule'!$A44=4,'Daily Schedule'!$A44=8),IF(OR(WEEKDAY('Daily Schedule'!$B$2,2)=1,WEEKDAY('Daily Schedule'!$B$2,2)=4,WEEKDAY('Daily Schedule'!$B$2,2)=5,WEEKDAY('Daily Schedule'!$B$2,2)=7),IFERROR(1*'Daily Workforce'!$K122&gt;=3,FALSE()),IFERROR(1*'Daily Workforce'!$K122&gt;=2,FALSE())),IF(AND('Daily Schedule'!$A44&gt;=46,'Daily Schedule'!$A44&lt;=52),'Daily Workforce'!$M122="Y",IFERROR(1*'Daily Workforce'!$P122&gt;=2,FALSE()))))),1,0)</f>
        <v>0</v>
      </c>
      <c r="ED40" s="1" t="n">
        <f aca="false">IF(AND('Daily Workforce'!$N123="Y",'Daily Workforce'!$B123&lt;&gt;"",COUNTIF('Daily Schedule'!$F$5:$F43,'Daily Workforce'!$B123)=0,IF('Daily Schedule'!$A44=45,'Daily Workforce'!$J123="Y",IF(OR('Daily Schedule'!$A44=4,'Daily Schedule'!$A44=8),IF(OR(WEEKDAY('Daily Schedule'!$B$2,2)=1,WEEKDAY('Daily Schedule'!$B$2,2)=4,WEEKDAY('Daily Schedule'!$B$2,2)=5,WEEKDAY('Daily Schedule'!$B$2,2)=7),IFERROR(1*'Daily Workforce'!$K123&gt;=3,FALSE()),IFERROR(1*'Daily Workforce'!$K123&gt;=2,FALSE())),IF(AND('Daily Schedule'!$A44&gt;=46,'Daily Schedule'!$A44&lt;=52),'Daily Workforce'!$M123="Y",IFERROR(1*'Daily Workforce'!$P123&gt;=2,FALSE()))))),1,0)</f>
        <v>0</v>
      </c>
      <c r="EE40" s="1" t="n">
        <f aca="false">IF(AND('Daily Workforce'!$N124="Y",'Daily Workforce'!$B124&lt;&gt;"",COUNTIF('Daily Schedule'!$F$5:$F43,'Daily Workforce'!$B124)=0,IF('Daily Schedule'!$A44=45,'Daily Workforce'!$J124="Y",IF(OR('Daily Schedule'!$A44=4,'Daily Schedule'!$A44=8),IF(OR(WEEKDAY('Daily Schedule'!$B$2,2)=1,WEEKDAY('Daily Schedule'!$B$2,2)=4,WEEKDAY('Daily Schedule'!$B$2,2)=5,WEEKDAY('Daily Schedule'!$B$2,2)=7),IFERROR(1*'Daily Workforce'!$K124&gt;=3,FALSE()),IFERROR(1*'Daily Workforce'!$K124&gt;=2,FALSE())),IF(AND('Daily Schedule'!$A44&gt;=46,'Daily Schedule'!$A44&lt;=52),'Daily Workforce'!$M124="Y",IFERROR(1*'Daily Workforce'!$P124&gt;=2,FALSE()))))),1,0)</f>
        <v>0</v>
      </c>
      <c r="EF40" s="1" t="n">
        <f aca="false">IF(AND('Daily Workforce'!$N125="Y",'Daily Workforce'!$B125&lt;&gt;"",COUNTIF('Daily Schedule'!$F$5:$F43,'Daily Workforce'!$B125)=0,IF('Daily Schedule'!$A44=45,'Daily Workforce'!$J125="Y",IF(OR('Daily Schedule'!$A44=4,'Daily Schedule'!$A44=8),IF(OR(WEEKDAY('Daily Schedule'!$B$2,2)=1,WEEKDAY('Daily Schedule'!$B$2,2)=4,WEEKDAY('Daily Schedule'!$B$2,2)=5,WEEKDAY('Daily Schedule'!$B$2,2)=7),IFERROR(1*'Daily Workforce'!$K125&gt;=3,FALSE()),IFERROR(1*'Daily Workforce'!$K125&gt;=2,FALSE())),IF(AND('Daily Schedule'!$A44&gt;=46,'Daily Schedule'!$A44&lt;=52),'Daily Workforce'!$M125="Y",IFERROR(1*'Daily Workforce'!$P125&gt;=2,FALSE()))))),1,0)</f>
        <v>0</v>
      </c>
      <c r="EG40" s="1" t="n">
        <f aca="false">IF(AND('Daily Workforce'!$N126="Y",'Daily Workforce'!$B126&lt;&gt;"",COUNTIF('Daily Schedule'!$F$5:$F43,'Daily Workforce'!$B126)=0,IF('Daily Schedule'!$A44=45,'Daily Workforce'!$J126="Y",IF(OR('Daily Schedule'!$A44=4,'Daily Schedule'!$A44=8),IF(OR(WEEKDAY('Daily Schedule'!$B$2,2)=1,WEEKDAY('Daily Schedule'!$B$2,2)=4,WEEKDAY('Daily Schedule'!$B$2,2)=5,WEEKDAY('Daily Schedule'!$B$2,2)=7),IFERROR(1*'Daily Workforce'!$K126&gt;=3,FALSE()),IFERROR(1*'Daily Workforce'!$K126&gt;=2,FALSE())),IF(AND('Daily Schedule'!$A44&gt;=46,'Daily Schedule'!$A44&lt;=52),'Daily Workforce'!$M126="Y",IFERROR(1*'Daily Workforce'!$P126&gt;=2,FALSE()))))),1,0)</f>
        <v>0</v>
      </c>
      <c r="EH40" s="1" t="n">
        <f aca="false">IF(AND('Daily Workforce'!$N127="Y",'Daily Workforce'!$B127&lt;&gt;"",COUNTIF('Daily Schedule'!$F$5:$F43,'Daily Workforce'!$B127)=0,IF('Daily Schedule'!$A44=45,'Daily Workforce'!$J127="Y",IF(OR('Daily Schedule'!$A44=4,'Daily Schedule'!$A44=8),IF(OR(WEEKDAY('Daily Schedule'!$B$2,2)=1,WEEKDAY('Daily Schedule'!$B$2,2)=4,WEEKDAY('Daily Schedule'!$B$2,2)=5,WEEKDAY('Daily Schedule'!$B$2,2)=7),IFERROR(1*'Daily Workforce'!$K127&gt;=3,FALSE()),IFERROR(1*'Daily Workforce'!$K127&gt;=2,FALSE())),IF(AND('Daily Schedule'!$A44&gt;=46,'Daily Schedule'!$A44&lt;=52),'Daily Workforce'!$M127="Y",IFERROR(1*'Daily Workforce'!$P127&gt;=2,FALSE()))))),1,0)</f>
        <v>0</v>
      </c>
      <c r="EI40" s="1" t="n">
        <f aca="false">IF(AND('Daily Workforce'!$N128="Y",'Daily Workforce'!$B128&lt;&gt;"",COUNTIF('Daily Schedule'!$F$5:$F43,'Daily Workforce'!$B128)=0,IF('Daily Schedule'!$A44=45,'Daily Workforce'!$J128="Y",IF(OR('Daily Schedule'!$A44=4,'Daily Schedule'!$A44=8),IF(OR(WEEKDAY('Daily Schedule'!$B$2,2)=1,WEEKDAY('Daily Schedule'!$B$2,2)=4,WEEKDAY('Daily Schedule'!$B$2,2)=5,WEEKDAY('Daily Schedule'!$B$2,2)=7),IFERROR(1*'Daily Workforce'!$K128&gt;=3,FALSE()),IFERROR(1*'Daily Workforce'!$K128&gt;=2,FALSE())),IF(AND('Daily Schedule'!$A44&gt;=46,'Daily Schedule'!$A44&lt;=52),'Daily Workforce'!$M128="Y",IFERROR(1*'Daily Workforce'!$P128&gt;=2,FALSE()))))),1,0)</f>
        <v>0</v>
      </c>
      <c r="EJ40" s="1" t="n">
        <f aca="false">IF(AND('Daily Workforce'!$N129="Y",'Daily Workforce'!$B129&lt;&gt;"",COUNTIF('Daily Schedule'!$F$5:$F43,'Daily Workforce'!$B129)=0,IF('Daily Schedule'!$A44=45,'Daily Workforce'!$J129="Y",IF(OR('Daily Schedule'!$A44=4,'Daily Schedule'!$A44=8),IF(OR(WEEKDAY('Daily Schedule'!$B$2,2)=1,WEEKDAY('Daily Schedule'!$B$2,2)=4,WEEKDAY('Daily Schedule'!$B$2,2)=5,WEEKDAY('Daily Schedule'!$B$2,2)=7),IFERROR(1*'Daily Workforce'!$K129&gt;=3,FALSE()),IFERROR(1*'Daily Workforce'!$K129&gt;=2,FALSE())),IF(AND('Daily Schedule'!$A44&gt;=46,'Daily Schedule'!$A44&lt;=52),'Daily Workforce'!$M129="Y",IFERROR(1*'Daily Workforce'!$P129&gt;=2,FALSE()))))),1,0)</f>
        <v>0</v>
      </c>
      <c r="EK40" s="1" t="n">
        <f aca="false">IF(AND('Daily Workforce'!$N130="Y",'Daily Workforce'!$B130&lt;&gt;"",COUNTIF('Daily Schedule'!$F$5:$F43,'Daily Workforce'!$B130)=0,IF('Daily Schedule'!$A44=45,'Daily Workforce'!$J130="Y",IF(OR('Daily Schedule'!$A44=4,'Daily Schedule'!$A44=8),IF(OR(WEEKDAY('Daily Schedule'!$B$2,2)=1,WEEKDAY('Daily Schedule'!$B$2,2)=4,WEEKDAY('Daily Schedule'!$B$2,2)=5,WEEKDAY('Daily Schedule'!$B$2,2)=7),IFERROR(1*'Daily Workforce'!$K130&gt;=3,FALSE()),IFERROR(1*'Daily Workforce'!$K130&gt;=2,FALSE())),IF(AND('Daily Schedule'!$A44&gt;=46,'Daily Schedule'!$A44&lt;=52),'Daily Workforce'!$M130="Y",IFERROR(1*'Daily Workforce'!$P130&gt;=2,FALSE()))))),1,0)</f>
        <v>0</v>
      </c>
      <c r="EL40" s="1" t="n">
        <f aca="false">IF(AND('Daily Workforce'!$N131="Y",'Daily Workforce'!$B131&lt;&gt;"",COUNTIF('Daily Schedule'!$F$5:$F43,'Daily Workforce'!$B131)=0,IF('Daily Schedule'!$A44=45,'Daily Workforce'!$J131="Y",IF(OR('Daily Schedule'!$A44=4,'Daily Schedule'!$A44=8),IF(OR(WEEKDAY('Daily Schedule'!$B$2,2)=1,WEEKDAY('Daily Schedule'!$B$2,2)=4,WEEKDAY('Daily Schedule'!$B$2,2)=5,WEEKDAY('Daily Schedule'!$B$2,2)=7),IFERROR(1*'Daily Workforce'!$K131&gt;=3,FALSE()),IFERROR(1*'Daily Workforce'!$K131&gt;=2,FALSE())),IF(AND('Daily Schedule'!$A44&gt;=46,'Daily Schedule'!$A44&lt;=52),'Daily Workforce'!$M131="Y",IFERROR(1*'Daily Workforce'!$P131&gt;=2,FALSE()))))),1,0)</f>
        <v>0</v>
      </c>
      <c r="EM40" s="1" t="n">
        <f aca="false">IF(AND('Daily Workforce'!$N132="Y",'Daily Workforce'!$B132&lt;&gt;"",COUNTIF('Daily Schedule'!$F$5:$F43,'Daily Workforce'!$B132)=0,IF('Daily Schedule'!$A44=45,'Daily Workforce'!$J132="Y",IF(OR('Daily Schedule'!$A44=4,'Daily Schedule'!$A44=8),IF(OR(WEEKDAY('Daily Schedule'!$B$2,2)=1,WEEKDAY('Daily Schedule'!$B$2,2)=4,WEEKDAY('Daily Schedule'!$B$2,2)=5,WEEKDAY('Daily Schedule'!$B$2,2)=7),IFERROR(1*'Daily Workforce'!$K132&gt;=3,FALSE()),IFERROR(1*'Daily Workforce'!$K132&gt;=2,FALSE())),IF(AND('Daily Schedule'!$A44&gt;=46,'Daily Schedule'!$A44&lt;=52),'Daily Workforce'!$M132="Y",IFERROR(1*'Daily Workforce'!$P132&gt;=2,FALSE()))))),1,0)</f>
        <v>0</v>
      </c>
      <c r="EN40" s="1" t="n">
        <f aca="false">IF(AND('Daily Workforce'!$N133="Y",'Daily Workforce'!$B133&lt;&gt;"",COUNTIF('Daily Schedule'!$F$5:$F43,'Daily Workforce'!$B133)=0,IF('Daily Schedule'!$A44=45,'Daily Workforce'!$J133="Y",IF(OR('Daily Schedule'!$A44=4,'Daily Schedule'!$A44=8),IF(OR(WEEKDAY('Daily Schedule'!$B$2,2)=1,WEEKDAY('Daily Schedule'!$B$2,2)=4,WEEKDAY('Daily Schedule'!$B$2,2)=5,WEEKDAY('Daily Schedule'!$B$2,2)=7),IFERROR(1*'Daily Workforce'!$K133&gt;=3,FALSE()),IFERROR(1*'Daily Workforce'!$K133&gt;=2,FALSE())),IF(AND('Daily Schedule'!$A44&gt;=46,'Daily Schedule'!$A44&lt;=52),'Daily Workforce'!$M133="Y",IFERROR(1*'Daily Workforce'!$P133&gt;=2,FALSE()))))),1,0)</f>
        <v>0</v>
      </c>
      <c r="EO40" s="1" t="n">
        <f aca="false">IF(AND('Daily Workforce'!$N134="Y",'Daily Workforce'!$B134&lt;&gt;"",COUNTIF('Daily Schedule'!$F$5:$F43,'Daily Workforce'!$B134)=0,IF('Daily Schedule'!$A44=45,'Daily Workforce'!$J134="Y",IF(OR('Daily Schedule'!$A44=4,'Daily Schedule'!$A44=8),IF(OR(WEEKDAY('Daily Schedule'!$B$2,2)=1,WEEKDAY('Daily Schedule'!$B$2,2)=4,WEEKDAY('Daily Schedule'!$B$2,2)=5,WEEKDAY('Daily Schedule'!$B$2,2)=7),IFERROR(1*'Daily Workforce'!$K134&gt;=3,FALSE()),IFERROR(1*'Daily Workforce'!$K134&gt;=2,FALSE())),IF(AND('Daily Schedule'!$A44&gt;=46,'Daily Schedule'!$A44&lt;=52),'Daily Workforce'!$M134="Y",IFERROR(1*'Daily Workforce'!$P134&gt;=2,FALSE()))))),1,0)</f>
        <v>0</v>
      </c>
      <c r="EP40" s="1" t="n">
        <f aca="false">IF(AND('Daily Workforce'!$N135="Y",'Daily Workforce'!$B135&lt;&gt;"",COUNTIF('Daily Schedule'!$F$5:$F43,'Daily Workforce'!$B135)=0,IF('Daily Schedule'!$A44=45,'Daily Workforce'!$J135="Y",IF(OR('Daily Schedule'!$A44=4,'Daily Schedule'!$A44=8),IF(OR(WEEKDAY('Daily Schedule'!$B$2,2)=1,WEEKDAY('Daily Schedule'!$B$2,2)=4,WEEKDAY('Daily Schedule'!$B$2,2)=5,WEEKDAY('Daily Schedule'!$B$2,2)=7),IFERROR(1*'Daily Workforce'!$K135&gt;=3,FALSE()),IFERROR(1*'Daily Workforce'!$K135&gt;=2,FALSE())),IF(AND('Daily Schedule'!$A44&gt;=46,'Daily Schedule'!$A44&lt;=52),'Daily Workforce'!$M135="Y",IFERROR(1*'Daily Workforce'!$P135&gt;=2,FALSE()))))),1,0)</f>
        <v>0</v>
      </c>
      <c r="EQ40" s="1" t="n">
        <f aca="false">IF(AND('Daily Workforce'!$N136="Y",'Daily Workforce'!$B136&lt;&gt;"",COUNTIF('Daily Schedule'!$F$5:$F43,'Daily Workforce'!$B136)=0,IF('Daily Schedule'!$A44=45,'Daily Workforce'!$J136="Y",IF(OR('Daily Schedule'!$A44=4,'Daily Schedule'!$A44=8),IF(OR(WEEKDAY('Daily Schedule'!$B$2,2)=1,WEEKDAY('Daily Schedule'!$B$2,2)=4,WEEKDAY('Daily Schedule'!$B$2,2)=5,WEEKDAY('Daily Schedule'!$B$2,2)=7),IFERROR(1*'Daily Workforce'!$K136&gt;=3,FALSE()),IFERROR(1*'Daily Workforce'!$K136&gt;=2,FALSE())),IF(AND('Daily Schedule'!$A44&gt;=46,'Daily Schedule'!$A44&lt;=52),'Daily Workforce'!$M136="Y",IFERROR(1*'Daily Workforce'!$P136&gt;=2,FALSE()))))),1,0)</f>
        <v>0</v>
      </c>
      <c r="ER40" s="1" t="n">
        <f aca="false">IF(AND('Daily Workforce'!$N137="Y",'Daily Workforce'!$B137&lt;&gt;"",COUNTIF('Daily Schedule'!$F$5:$F43,'Daily Workforce'!$B137)=0,IF('Daily Schedule'!$A44=45,'Daily Workforce'!$J137="Y",IF(OR('Daily Schedule'!$A44=4,'Daily Schedule'!$A44=8),IF(OR(WEEKDAY('Daily Schedule'!$B$2,2)=1,WEEKDAY('Daily Schedule'!$B$2,2)=4,WEEKDAY('Daily Schedule'!$B$2,2)=5,WEEKDAY('Daily Schedule'!$B$2,2)=7),IFERROR(1*'Daily Workforce'!$K137&gt;=3,FALSE()),IFERROR(1*'Daily Workforce'!$K137&gt;=2,FALSE())),IF(AND('Daily Schedule'!$A44&gt;=46,'Daily Schedule'!$A44&lt;=52),'Daily Workforce'!$M137="Y",IFERROR(1*'Daily Workforce'!$P137&gt;=2,FALSE()))))),1,0)</f>
        <v>0</v>
      </c>
      <c r="ES40" s="1" t="n">
        <f aca="false">IF(AND('Daily Workforce'!$N138="Y",'Daily Workforce'!$B138&lt;&gt;"",COUNTIF('Daily Schedule'!$F$5:$F43,'Daily Workforce'!$B138)=0,IF('Daily Schedule'!$A44=45,'Daily Workforce'!$J138="Y",IF(OR('Daily Schedule'!$A44=4,'Daily Schedule'!$A44=8),IF(OR(WEEKDAY('Daily Schedule'!$B$2,2)=1,WEEKDAY('Daily Schedule'!$B$2,2)=4,WEEKDAY('Daily Schedule'!$B$2,2)=5,WEEKDAY('Daily Schedule'!$B$2,2)=7),IFERROR(1*'Daily Workforce'!$K138&gt;=3,FALSE()),IFERROR(1*'Daily Workforce'!$K138&gt;=2,FALSE())),IF(AND('Daily Schedule'!$A44&gt;=46,'Daily Schedule'!$A44&lt;=52),'Daily Workforce'!$M138="Y",IFERROR(1*'Daily Workforce'!$P138&gt;=2,FALSE()))))),1,0)</f>
        <v>0</v>
      </c>
      <c r="ET40" s="1" t="n">
        <f aca="false">IF(AND('Daily Workforce'!$N139="Y",'Daily Workforce'!$B139&lt;&gt;"",COUNTIF('Daily Schedule'!$F$5:$F43,'Daily Workforce'!$B139)=0,IF('Daily Schedule'!$A44=45,'Daily Workforce'!$J139="Y",IF(OR('Daily Schedule'!$A44=4,'Daily Schedule'!$A44=8),IF(OR(WEEKDAY('Daily Schedule'!$B$2,2)=1,WEEKDAY('Daily Schedule'!$B$2,2)=4,WEEKDAY('Daily Schedule'!$B$2,2)=5,WEEKDAY('Daily Schedule'!$B$2,2)=7),IFERROR(1*'Daily Workforce'!$K139&gt;=3,FALSE()),IFERROR(1*'Daily Workforce'!$K139&gt;=2,FALSE())),IF(AND('Daily Schedule'!$A44&gt;=46,'Daily Schedule'!$A44&lt;=52),'Daily Workforce'!$M139="Y",IFERROR(1*'Daily Workforce'!$P139&gt;=2,FALSE()))))),1,0)</f>
        <v>0</v>
      </c>
      <c r="EU40" s="1" t="n">
        <f aca="false">IF(AND('Daily Workforce'!$N140="Y",'Daily Workforce'!$B140&lt;&gt;"",COUNTIF('Daily Schedule'!$F$5:$F43,'Daily Workforce'!$B140)=0,IF('Daily Schedule'!$A44=45,'Daily Workforce'!$J140="Y",IF(OR('Daily Schedule'!$A44=4,'Daily Schedule'!$A44=8),IF(OR(WEEKDAY('Daily Schedule'!$B$2,2)=1,WEEKDAY('Daily Schedule'!$B$2,2)=4,WEEKDAY('Daily Schedule'!$B$2,2)=5,WEEKDAY('Daily Schedule'!$B$2,2)=7),IFERROR(1*'Daily Workforce'!$K140&gt;=3,FALSE()),IFERROR(1*'Daily Workforce'!$K140&gt;=2,FALSE())),IF(AND('Daily Schedule'!$A44&gt;=46,'Daily Schedule'!$A44&lt;=52),'Daily Workforce'!$M140="Y",IFERROR(1*'Daily Workforce'!$P140&gt;=2,FALSE()))))),1,0)</f>
        <v>0</v>
      </c>
      <c r="EV40" s="1" t="n">
        <f aca="false">IF(AND('Daily Workforce'!$N141="Y",'Daily Workforce'!$B141&lt;&gt;"",COUNTIF('Daily Schedule'!$F$5:$F43,'Daily Workforce'!$B141)=0,IF('Daily Schedule'!$A44=45,'Daily Workforce'!$J141="Y",IF(OR('Daily Schedule'!$A44=4,'Daily Schedule'!$A44=8),IF(OR(WEEKDAY('Daily Schedule'!$B$2,2)=1,WEEKDAY('Daily Schedule'!$B$2,2)=4,WEEKDAY('Daily Schedule'!$B$2,2)=5,WEEKDAY('Daily Schedule'!$B$2,2)=7),IFERROR(1*'Daily Workforce'!$K141&gt;=3,FALSE()),IFERROR(1*'Daily Workforce'!$K141&gt;=2,FALSE())),IF(AND('Daily Schedule'!$A44&gt;=46,'Daily Schedule'!$A44&lt;=52),'Daily Workforce'!$M141="Y",IFERROR(1*'Daily Workforce'!$P141&gt;=2,FALSE()))))),1,0)</f>
        <v>0</v>
      </c>
      <c r="EW40" s="1" t="n">
        <f aca="false">IF(AND('Daily Workforce'!$N142="Y",'Daily Workforce'!$B142&lt;&gt;"",COUNTIF('Daily Schedule'!$F$5:$F43,'Daily Workforce'!$B142)=0,IF('Daily Schedule'!$A44=45,'Daily Workforce'!$J142="Y",IF(OR('Daily Schedule'!$A44=4,'Daily Schedule'!$A44=8),IF(OR(WEEKDAY('Daily Schedule'!$B$2,2)=1,WEEKDAY('Daily Schedule'!$B$2,2)=4,WEEKDAY('Daily Schedule'!$B$2,2)=5,WEEKDAY('Daily Schedule'!$B$2,2)=7),IFERROR(1*'Daily Workforce'!$K142&gt;=3,FALSE()),IFERROR(1*'Daily Workforce'!$K142&gt;=2,FALSE())),IF(AND('Daily Schedule'!$A44&gt;=46,'Daily Schedule'!$A44&lt;=52),'Daily Workforce'!$M142="Y",IFERROR(1*'Daily Workforce'!$P142&gt;=2,FALSE()))))),1,0)</f>
        <v>0</v>
      </c>
      <c r="EX40" s="1" t="n">
        <f aca="false">IF(AND('Daily Workforce'!$N143="Y",'Daily Workforce'!$B143&lt;&gt;"",COUNTIF('Daily Schedule'!$F$5:$F43,'Daily Workforce'!$B143)=0,IF('Daily Schedule'!$A44=45,'Daily Workforce'!$J143="Y",IF(OR('Daily Schedule'!$A44=4,'Daily Schedule'!$A44=8),IF(OR(WEEKDAY('Daily Schedule'!$B$2,2)=1,WEEKDAY('Daily Schedule'!$B$2,2)=4,WEEKDAY('Daily Schedule'!$B$2,2)=5,WEEKDAY('Daily Schedule'!$B$2,2)=7),IFERROR(1*'Daily Workforce'!$K143&gt;=3,FALSE()),IFERROR(1*'Daily Workforce'!$K143&gt;=2,FALSE())),IF(AND('Daily Schedule'!$A44&gt;=46,'Daily Schedule'!$A44&lt;=52),'Daily Workforce'!$M143="Y",IFERROR(1*'Daily Workforce'!$P143&gt;=2,FALSE()))))),1,0)</f>
        <v>0</v>
      </c>
      <c r="EY40" s="1" t="n">
        <f aca="false">IF(AND('Daily Workforce'!$N144="Y",'Daily Workforce'!$B144&lt;&gt;"",COUNTIF('Daily Schedule'!$F$5:$F43,'Daily Workforce'!$B144)=0,IF('Daily Schedule'!$A44=45,'Daily Workforce'!$J144="Y",IF(OR('Daily Schedule'!$A44=4,'Daily Schedule'!$A44=8),IF(OR(WEEKDAY('Daily Schedule'!$B$2,2)=1,WEEKDAY('Daily Schedule'!$B$2,2)=4,WEEKDAY('Daily Schedule'!$B$2,2)=5,WEEKDAY('Daily Schedule'!$B$2,2)=7),IFERROR(1*'Daily Workforce'!$K144&gt;=3,FALSE()),IFERROR(1*'Daily Workforce'!$K144&gt;=2,FALSE())),IF(AND('Daily Schedule'!$A44&gt;=46,'Daily Schedule'!$A44&lt;=52),'Daily Workforce'!$M144="Y",IFERROR(1*'Daily Workforce'!$P144&gt;=2,FALSE()))))),1,0)</f>
        <v>0</v>
      </c>
      <c r="EZ40" s="1" t="n">
        <f aca="false">IF(AND('Daily Workforce'!$N145="Y",'Daily Workforce'!$B145&lt;&gt;"",COUNTIF('Daily Schedule'!$F$5:$F43,'Daily Workforce'!$B145)=0,IF('Daily Schedule'!$A44=45,'Daily Workforce'!$J145="Y",IF(OR('Daily Schedule'!$A44=4,'Daily Schedule'!$A44=8),IF(OR(WEEKDAY('Daily Schedule'!$B$2,2)=1,WEEKDAY('Daily Schedule'!$B$2,2)=4,WEEKDAY('Daily Schedule'!$B$2,2)=5,WEEKDAY('Daily Schedule'!$B$2,2)=7),IFERROR(1*'Daily Workforce'!$K145&gt;=3,FALSE()),IFERROR(1*'Daily Workforce'!$K145&gt;=2,FALSE())),IF(AND('Daily Schedule'!$A44&gt;=46,'Daily Schedule'!$A44&lt;=52),'Daily Workforce'!$M145="Y",IFERROR(1*'Daily Workforce'!$P145&gt;=2,FALSE()))))),1,0)</f>
        <v>0</v>
      </c>
      <c r="FA40" s="1" t="n">
        <f aca="false">IF(AND('Daily Workforce'!$N146="Y",'Daily Workforce'!$B146&lt;&gt;"",COUNTIF('Daily Schedule'!$F$5:$F43,'Daily Workforce'!$B146)=0,IF('Daily Schedule'!$A44=45,'Daily Workforce'!$J146="Y",IF(OR('Daily Schedule'!$A44=4,'Daily Schedule'!$A44=8),IF(OR(WEEKDAY('Daily Schedule'!$B$2,2)=1,WEEKDAY('Daily Schedule'!$B$2,2)=4,WEEKDAY('Daily Schedule'!$B$2,2)=5,WEEKDAY('Daily Schedule'!$B$2,2)=7),IFERROR(1*'Daily Workforce'!$K146&gt;=3,FALSE()),IFERROR(1*'Daily Workforce'!$K146&gt;=2,FALSE())),IF(AND('Daily Schedule'!$A44&gt;=46,'Daily Schedule'!$A44&lt;=52),'Daily Workforce'!$M146="Y",IFERROR(1*'Daily Workforce'!$P146&gt;=2,FALSE()))))),1,0)</f>
        <v>0</v>
      </c>
      <c r="FB40" s="1" t="n">
        <f aca="false">IF(AND('Daily Workforce'!$N147="Y",'Daily Workforce'!$B147&lt;&gt;"",COUNTIF('Daily Schedule'!$F$5:$F43,'Daily Workforce'!$B147)=0,IF('Daily Schedule'!$A44=45,'Daily Workforce'!$J147="Y",IF(OR('Daily Schedule'!$A44=4,'Daily Schedule'!$A44=8),IF(OR(WEEKDAY('Daily Schedule'!$B$2,2)=1,WEEKDAY('Daily Schedule'!$B$2,2)=4,WEEKDAY('Daily Schedule'!$B$2,2)=5,WEEKDAY('Daily Schedule'!$B$2,2)=7),IFERROR(1*'Daily Workforce'!$K147&gt;=3,FALSE()),IFERROR(1*'Daily Workforce'!$K147&gt;=2,FALSE())),IF(AND('Daily Schedule'!$A44&gt;=46,'Daily Schedule'!$A44&lt;=52),'Daily Workforce'!$M147="Y",IFERROR(1*'Daily Workforce'!$P147&gt;=2,FALSE()))))),1,0)</f>
        <v>0</v>
      </c>
      <c r="FC40" s="1" t="n">
        <f aca="false">IF(AND('Daily Workforce'!$N148="Y",'Daily Workforce'!$B148&lt;&gt;"",COUNTIF('Daily Schedule'!$F$5:$F43,'Daily Workforce'!$B148)=0,IF('Daily Schedule'!$A44=45,'Daily Workforce'!$J148="Y",IF(OR('Daily Schedule'!$A44=4,'Daily Schedule'!$A44=8),IF(OR(WEEKDAY('Daily Schedule'!$B$2,2)=1,WEEKDAY('Daily Schedule'!$B$2,2)=4,WEEKDAY('Daily Schedule'!$B$2,2)=5,WEEKDAY('Daily Schedule'!$B$2,2)=7),IFERROR(1*'Daily Workforce'!$K148&gt;=3,FALSE()),IFERROR(1*'Daily Workforce'!$K148&gt;=2,FALSE())),IF(AND('Daily Schedule'!$A44&gt;=46,'Daily Schedule'!$A44&lt;=52),'Daily Workforce'!$M148="Y",IFERROR(1*'Daily Workforce'!$P148&gt;=2,FALSE()))))),1,0)</f>
        <v>0</v>
      </c>
      <c r="FD40" s="1" t="n">
        <f aca="false">IF(AND('Daily Workforce'!$N149="Y",'Daily Workforce'!$B149&lt;&gt;"",COUNTIF('Daily Schedule'!$F$5:$F43,'Daily Workforce'!$B149)=0,IF('Daily Schedule'!$A44=45,'Daily Workforce'!$J149="Y",IF(OR('Daily Schedule'!$A44=4,'Daily Schedule'!$A44=8),IF(OR(WEEKDAY('Daily Schedule'!$B$2,2)=1,WEEKDAY('Daily Schedule'!$B$2,2)=4,WEEKDAY('Daily Schedule'!$B$2,2)=5,WEEKDAY('Daily Schedule'!$B$2,2)=7),IFERROR(1*'Daily Workforce'!$K149&gt;=3,FALSE()),IFERROR(1*'Daily Workforce'!$K149&gt;=2,FALSE())),IF(AND('Daily Schedule'!$A44&gt;=46,'Daily Schedule'!$A44&lt;=52),'Daily Workforce'!$M149="Y",IFERROR(1*'Daily Workforce'!$P149&gt;=2,FALSE()))))),1,0)</f>
        <v>0</v>
      </c>
      <c r="FE40" s="1" t="n">
        <f aca="false">IF(AND('Daily Workforce'!$N150="Y",'Daily Workforce'!$B150&lt;&gt;"",COUNTIF('Daily Schedule'!$F$5:$F43,'Daily Workforce'!$B150)=0,IF('Daily Schedule'!$A44=45,'Daily Workforce'!$J150="Y",IF(OR('Daily Schedule'!$A44=4,'Daily Schedule'!$A44=8),IF(OR(WEEKDAY('Daily Schedule'!$B$2,2)=1,WEEKDAY('Daily Schedule'!$B$2,2)=4,WEEKDAY('Daily Schedule'!$B$2,2)=5,WEEKDAY('Daily Schedule'!$B$2,2)=7),IFERROR(1*'Daily Workforce'!$K150&gt;=3,FALSE()),IFERROR(1*'Daily Workforce'!$K150&gt;=2,FALSE())),IF(AND('Daily Schedule'!$A44&gt;=46,'Daily Schedule'!$A44&lt;=52),'Daily Workforce'!$M150="Y",IFERROR(1*'Daily Workforce'!$P150&gt;=2,FALSE()))))),1,0)</f>
        <v>0</v>
      </c>
      <c r="FF40" s="1" t="n">
        <f aca="false">IF(AND('Daily Workforce'!$N151="Y",'Daily Workforce'!$B151&lt;&gt;"",COUNTIF('Daily Schedule'!$F$5:$F43,'Daily Workforce'!$B151)=0,IF('Daily Schedule'!$A44=45,'Daily Workforce'!$J151="Y",IF(OR('Daily Schedule'!$A44=4,'Daily Schedule'!$A44=8),IF(OR(WEEKDAY('Daily Schedule'!$B$2,2)=1,WEEKDAY('Daily Schedule'!$B$2,2)=4,WEEKDAY('Daily Schedule'!$B$2,2)=5,WEEKDAY('Daily Schedule'!$B$2,2)=7),IFERROR(1*'Daily Workforce'!$K151&gt;=3,FALSE()),IFERROR(1*'Daily Workforce'!$K151&gt;=2,FALSE())),IF(AND('Daily Schedule'!$A44&gt;=46,'Daily Schedule'!$A44&lt;=52),'Daily Workforce'!$M151="Y",IFERROR(1*'Daily Workforce'!$P151&gt;=2,FALSE()))))),1,0)</f>
        <v>0</v>
      </c>
      <c r="FG40" s="1" t="n">
        <f aca="false">IF(AND('Daily Workforce'!$N152="Y",'Daily Workforce'!$B152&lt;&gt;"",COUNTIF('Daily Schedule'!$F$5:$F43,'Daily Workforce'!$B152)=0,IF('Daily Schedule'!$A44=45,'Daily Workforce'!$J152="Y",IF(OR('Daily Schedule'!$A44=4,'Daily Schedule'!$A44=8),IF(OR(WEEKDAY('Daily Schedule'!$B$2,2)=1,WEEKDAY('Daily Schedule'!$B$2,2)=4,WEEKDAY('Daily Schedule'!$B$2,2)=5,WEEKDAY('Daily Schedule'!$B$2,2)=7),IFERROR(1*'Daily Workforce'!$K152&gt;=3,FALSE()),IFERROR(1*'Daily Workforce'!$K152&gt;=2,FALSE())),IF(AND('Daily Schedule'!$A44&gt;=46,'Daily Schedule'!$A44&lt;=52),'Daily Workforce'!$M152="Y",IFERROR(1*'Daily Workforce'!$P152&gt;=2,FALSE()))))),1,0)</f>
        <v>0</v>
      </c>
      <c r="FH40" s="1" t="n">
        <f aca="false">IF(AND('Daily Workforce'!$N153="Y",'Daily Workforce'!$B153&lt;&gt;"",COUNTIF('Daily Schedule'!$F$5:$F43,'Daily Workforce'!$B153)=0,IF('Daily Schedule'!$A44=45,'Daily Workforce'!$J153="Y",IF(OR('Daily Schedule'!$A44=4,'Daily Schedule'!$A44=8),IF(OR(WEEKDAY('Daily Schedule'!$B$2,2)=1,WEEKDAY('Daily Schedule'!$B$2,2)=4,WEEKDAY('Daily Schedule'!$B$2,2)=5,WEEKDAY('Daily Schedule'!$B$2,2)=7),IFERROR(1*'Daily Workforce'!$K153&gt;=3,FALSE()),IFERROR(1*'Daily Workforce'!$K153&gt;=2,FALSE())),IF(AND('Daily Schedule'!$A44&gt;=46,'Daily Schedule'!$A44&lt;=52),'Daily Workforce'!$M153="Y",IFERROR(1*'Daily Workforce'!$P153&gt;=2,FALSE()))))),1,0)</f>
        <v>0</v>
      </c>
      <c r="FI40" s="1" t="n">
        <f aca="false">IF(AND('Daily Workforce'!$N154="Y",'Daily Workforce'!$B154&lt;&gt;"",COUNTIF('Daily Schedule'!$F$5:$F43,'Daily Workforce'!$B154)=0,IF('Daily Schedule'!$A44=45,'Daily Workforce'!$J154="Y",IF(OR('Daily Schedule'!$A44=4,'Daily Schedule'!$A44=8),IF(OR(WEEKDAY('Daily Schedule'!$B$2,2)=1,WEEKDAY('Daily Schedule'!$B$2,2)=4,WEEKDAY('Daily Schedule'!$B$2,2)=5,WEEKDAY('Daily Schedule'!$B$2,2)=7),IFERROR(1*'Daily Workforce'!$K154&gt;=3,FALSE()),IFERROR(1*'Daily Workforce'!$K154&gt;=2,FALSE())),IF(AND('Daily Schedule'!$A44&gt;=46,'Daily Schedule'!$A44&lt;=52),'Daily Workforce'!$M154="Y",IFERROR(1*'Daily Workforce'!$P154&gt;=2,FALSE()))))),1,0)</f>
        <v>0</v>
      </c>
      <c r="FJ40" s="1" t="n">
        <f aca="false">IF(AND('Daily Workforce'!$N155="Y",'Daily Workforce'!$B155&lt;&gt;"",COUNTIF('Daily Schedule'!$F$5:$F43,'Daily Workforce'!$B155)=0,IF('Daily Schedule'!$A44=45,'Daily Workforce'!$J155="Y",IF(OR('Daily Schedule'!$A44=4,'Daily Schedule'!$A44=8),IF(OR(WEEKDAY('Daily Schedule'!$B$2,2)=1,WEEKDAY('Daily Schedule'!$B$2,2)=4,WEEKDAY('Daily Schedule'!$B$2,2)=5,WEEKDAY('Daily Schedule'!$B$2,2)=7),IFERROR(1*'Daily Workforce'!$K155&gt;=3,FALSE()),IFERROR(1*'Daily Workforce'!$K155&gt;=2,FALSE())),IF(AND('Daily Schedule'!$A44&gt;=46,'Daily Schedule'!$A44&lt;=52),'Daily Workforce'!$M155="Y",IFERROR(1*'Daily Workforce'!$P155&gt;=2,FALSE()))))),1,0)</f>
        <v>0</v>
      </c>
      <c r="FK40" s="1" t="n">
        <f aca="false">IF(AND('Daily Workforce'!$N156="Y",'Daily Workforce'!$B156&lt;&gt;"",COUNTIF('Daily Schedule'!$F$5:$F43,'Daily Workforce'!$B156)=0,IF('Daily Schedule'!$A44=45,'Daily Workforce'!$J156="Y",IF(OR('Daily Schedule'!$A44=4,'Daily Schedule'!$A44=8),IF(OR(WEEKDAY('Daily Schedule'!$B$2,2)=1,WEEKDAY('Daily Schedule'!$B$2,2)=4,WEEKDAY('Daily Schedule'!$B$2,2)=5,WEEKDAY('Daily Schedule'!$B$2,2)=7),IFERROR(1*'Daily Workforce'!$K156&gt;=3,FALSE()),IFERROR(1*'Daily Workforce'!$K156&gt;=2,FALSE())),IF(AND('Daily Schedule'!$A44&gt;=46,'Daily Schedule'!$A44&lt;=52),'Daily Workforce'!$M156="Y",IFERROR(1*'Daily Workforce'!$P156&gt;=2,FALSE()))))),1,0)</f>
        <v>0</v>
      </c>
      <c r="FL40" s="1" t="n">
        <f aca="false">IF(AND('Daily Workforce'!$N157="Y",'Daily Workforce'!$B157&lt;&gt;"",COUNTIF('Daily Schedule'!$F$5:$F43,'Daily Workforce'!$B157)=0,IF('Daily Schedule'!$A44=45,'Daily Workforce'!$J157="Y",IF(OR('Daily Schedule'!$A44=4,'Daily Schedule'!$A44=8),IF(OR(WEEKDAY('Daily Schedule'!$B$2,2)=1,WEEKDAY('Daily Schedule'!$B$2,2)=4,WEEKDAY('Daily Schedule'!$B$2,2)=5,WEEKDAY('Daily Schedule'!$B$2,2)=7),IFERROR(1*'Daily Workforce'!$K157&gt;=3,FALSE()),IFERROR(1*'Daily Workforce'!$K157&gt;=2,FALSE())),IF(AND('Daily Schedule'!$A44&gt;=46,'Daily Schedule'!$A44&lt;=52),'Daily Workforce'!$M157="Y",IFERROR(1*'Daily Workforce'!$P157&gt;=2,FALSE()))))),1,0)</f>
        <v>0</v>
      </c>
      <c r="FM40" s="1" t="n">
        <f aca="false">IF(AND('Daily Workforce'!$N158="Y",'Daily Workforce'!$B158&lt;&gt;"",COUNTIF('Daily Schedule'!$F$5:$F43,'Daily Workforce'!$B158)=0,IF('Daily Schedule'!$A44=45,'Daily Workforce'!$J158="Y",IF(OR('Daily Schedule'!$A44=4,'Daily Schedule'!$A44=8),IF(OR(WEEKDAY('Daily Schedule'!$B$2,2)=1,WEEKDAY('Daily Schedule'!$B$2,2)=4,WEEKDAY('Daily Schedule'!$B$2,2)=5,WEEKDAY('Daily Schedule'!$B$2,2)=7),IFERROR(1*'Daily Workforce'!$K158&gt;=3,FALSE()),IFERROR(1*'Daily Workforce'!$K158&gt;=2,FALSE())),IF(AND('Daily Schedule'!$A44&gt;=46,'Daily Schedule'!$A44&lt;=52),'Daily Workforce'!$M158="Y",IFERROR(1*'Daily Workforce'!$P158&gt;=2,FALSE()))))),1,0)</f>
        <v>0</v>
      </c>
      <c r="FN40" s="1" t="n">
        <f aca="false">IF(AND('Daily Workforce'!$N159="Y",'Daily Workforce'!$B159&lt;&gt;"",COUNTIF('Daily Schedule'!$F$5:$F43,'Daily Workforce'!$B159)=0,IF('Daily Schedule'!$A44=45,'Daily Workforce'!$J159="Y",IF(OR('Daily Schedule'!$A44=4,'Daily Schedule'!$A44=8),IF(OR(WEEKDAY('Daily Schedule'!$B$2,2)=1,WEEKDAY('Daily Schedule'!$B$2,2)=4,WEEKDAY('Daily Schedule'!$B$2,2)=5,WEEKDAY('Daily Schedule'!$B$2,2)=7),IFERROR(1*'Daily Workforce'!$K159&gt;=3,FALSE()),IFERROR(1*'Daily Workforce'!$K159&gt;=2,FALSE())),IF(AND('Daily Schedule'!$A44&gt;=46,'Daily Schedule'!$A44&lt;=52),'Daily Workforce'!$M159="Y",IFERROR(1*'Daily Workforce'!$P159&gt;=2,FALSE()))))),1,0)</f>
        <v>0</v>
      </c>
      <c r="FO40" s="1" t="n">
        <f aca="false">IF(AND('Daily Workforce'!$N160="Y",'Daily Workforce'!$B160&lt;&gt;"",COUNTIF('Daily Schedule'!$F$5:$F43,'Daily Workforce'!$B160)=0,IF('Daily Schedule'!$A44=45,'Daily Workforce'!$J160="Y",IF(OR('Daily Schedule'!$A44=4,'Daily Schedule'!$A44=8),IF(OR(WEEKDAY('Daily Schedule'!$B$2,2)=1,WEEKDAY('Daily Schedule'!$B$2,2)=4,WEEKDAY('Daily Schedule'!$B$2,2)=5,WEEKDAY('Daily Schedule'!$B$2,2)=7),IFERROR(1*'Daily Workforce'!$K160&gt;=3,FALSE()),IFERROR(1*'Daily Workforce'!$K160&gt;=2,FALSE())),IF(AND('Daily Schedule'!$A44&gt;=46,'Daily Schedule'!$A44&lt;=52),'Daily Workforce'!$M160="Y",IFERROR(1*'Daily Workforce'!$P160&gt;=2,FALSE()))))),1,0)</f>
        <v>0</v>
      </c>
      <c r="FP40" s="1" t="n">
        <f aca="false">IF(AND('Daily Workforce'!$N161="Y",'Daily Workforce'!$B161&lt;&gt;"",COUNTIF('Daily Schedule'!$F$5:$F43,'Daily Workforce'!$B161)=0,IF('Daily Schedule'!$A44=45,'Daily Workforce'!$J161="Y",IF(OR('Daily Schedule'!$A44=4,'Daily Schedule'!$A44=8),IF(OR(WEEKDAY('Daily Schedule'!$B$2,2)=1,WEEKDAY('Daily Schedule'!$B$2,2)=4,WEEKDAY('Daily Schedule'!$B$2,2)=5,WEEKDAY('Daily Schedule'!$B$2,2)=7),IFERROR(1*'Daily Workforce'!$K161&gt;=3,FALSE()),IFERROR(1*'Daily Workforce'!$K161&gt;=2,FALSE())),IF(AND('Daily Schedule'!$A44&gt;=46,'Daily Schedule'!$A44&lt;=52),'Daily Workforce'!$M161="Y",IFERROR(1*'Daily Workforce'!$P161&gt;=2,FALSE()))))),1,0)</f>
        <v>0</v>
      </c>
      <c r="FQ40" s="1" t="n">
        <f aca="false">IF(AND('Daily Workforce'!$N162="Y",'Daily Workforce'!$B162&lt;&gt;"",COUNTIF('Daily Schedule'!$F$5:$F43,'Daily Workforce'!$B162)=0,IF('Daily Schedule'!$A44=45,'Daily Workforce'!$J162="Y",IF(OR('Daily Schedule'!$A44=4,'Daily Schedule'!$A44=8),IF(OR(WEEKDAY('Daily Schedule'!$B$2,2)=1,WEEKDAY('Daily Schedule'!$B$2,2)=4,WEEKDAY('Daily Schedule'!$B$2,2)=5,WEEKDAY('Daily Schedule'!$B$2,2)=7),IFERROR(1*'Daily Workforce'!$K162&gt;=3,FALSE()),IFERROR(1*'Daily Workforce'!$K162&gt;=2,FALSE())),IF(AND('Daily Schedule'!$A44&gt;=46,'Daily Schedule'!$A44&lt;=52),'Daily Workforce'!$M162="Y",IFERROR(1*'Daily Workforce'!$P162&gt;=2,FALSE()))))),1,0)</f>
        <v>0</v>
      </c>
      <c r="FR40" s="1" t="n">
        <f aca="false">IF(AND('Daily Workforce'!$N163="Y",'Daily Workforce'!$B163&lt;&gt;"",COUNTIF('Daily Schedule'!$F$5:$F43,'Daily Workforce'!$B163)=0,IF('Daily Schedule'!$A44=45,'Daily Workforce'!$J163="Y",IF(OR('Daily Schedule'!$A44=4,'Daily Schedule'!$A44=8),IF(OR(WEEKDAY('Daily Schedule'!$B$2,2)=1,WEEKDAY('Daily Schedule'!$B$2,2)=4,WEEKDAY('Daily Schedule'!$B$2,2)=5,WEEKDAY('Daily Schedule'!$B$2,2)=7),IFERROR(1*'Daily Workforce'!$K163&gt;=3,FALSE()),IFERROR(1*'Daily Workforce'!$K163&gt;=2,FALSE())),IF(AND('Daily Schedule'!$A44&gt;=46,'Daily Schedule'!$A44&lt;=52),'Daily Workforce'!$M163="Y",IFERROR(1*'Daily Workforce'!$P163&gt;=2,FALSE()))))),1,0)</f>
        <v>0</v>
      </c>
      <c r="FS40" s="1" t="n">
        <f aca="false">IF(AND('Daily Workforce'!$N164="Y",'Daily Workforce'!$B164&lt;&gt;"",COUNTIF('Daily Schedule'!$F$5:$F43,'Daily Workforce'!$B164)=0,IF('Daily Schedule'!$A44=45,'Daily Workforce'!$J164="Y",IF(OR('Daily Schedule'!$A44=4,'Daily Schedule'!$A44=8),IF(OR(WEEKDAY('Daily Schedule'!$B$2,2)=1,WEEKDAY('Daily Schedule'!$B$2,2)=4,WEEKDAY('Daily Schedule'!$B$2,2)=5,WEEKDAY('Daily Schedule'!$B$2,2)=7),IFERROR(1*'Daily Workforce'!$K164&gt;=3,FALSE()),IFERROR(1*'Daily Workforce'!$K164&gt;=2,FALSE())),IF(AND('Daily Schedule'!$A44&gt;=46,'Daily Schedule'!$A44&lt;=52),'Daily Workforce'!$M164="Y",IFERROR(1*'Daily Workforce'!$P164&gt;=2,FALSE()))))),1,0)</f>
        <v>0</v>
      </c>
      <c r="FT40" s="1" t="n">
        <f aca="false">IF(AND('Daily Workforce'!$N165="Y",'Daily Workforce'!$B165&lt;&gt;"",COUNTIF('Daily Schedule'!$F$5:$F43,'Daily Workforce'!$B165)=0,IF('Daily Schedule'!$A44=45,'Daily Workforce'!$J165="Y",IF(OR('Daily Schedule'!$A44=4,'Daily Schedule'!$A44=8),IF(OR(WEEKDAY('Daily Schedule'!$B$2,2)=1,WEEKDAY('Daily Schedule'!$B$2,2)=4,WEEKDAY('Daily Schedule'!$B$2,2)=5,WEEKDAY('Daily Schedule'!$B$2,2)=7),IFERROR(1*'Daily Workforce'!$K165&gt;=3,FALSE()),IFERROR(1*'Daily Workforce'!$K165&gt;=2,FALSE())),IF(AND('Daily Schedule'!$A44&gt;=46,'Daily Schedule'!$A44&lt;=52),'Daily Workforce'!$M165="Y",IFERROR(1*'Daily Workforce'!$P165&gt;=2,FALSE()))))),1,0)</f>
        <v>0</v>
      </c>
      <c r="FU40" s="1" t="n">
        <f aca="false">IF(AND('Daily Workforce'!$N166="Y",'Daily Workforce'!$B166&lt;&gt;"",COUNTIF('Daily Schedule'!$F$5:$F43,'Daily Workforce'!$B166)=0,IF('Daily Schedule'!$A44=45,'Daily Workforce'!$J166="Y",IF(OR('Daily Schedule'!$A44=4,'Daily Schedule'!$A44=8),IF(OR(WEEKDAY('Daily Schedule'!$B$2,2)=1,WEEKDAY('Daily Schedule'!$B$2,2)=4,WEEKDAY('Daily Schedule'!$B$2,2)=5,WEEKDAY('Daily Schedule'!$B$2,2)=7),IFERROR(1*'Daily Workforce'!$K166&gt;=3,FALSE()),IFERROR(1*'Daily Workforce'!$K166&gt;=2,FALSE())),IF(AND('Daily Schedule'!$A44&gt;=46,'Daily Schedule'!$A44&lt;=52),'Daily Workforce'!$M166="Y",IFERROR(1*'Daily Workforce'!$P166&gt;=2,FALSE()))))),1,0)</f>
        <v>0</v>
      </c>
      <c r="FV40" s="1" t="n">
        <f aca="false">IF(AND('Daily Workforce'!$N167="Y",'Daily Workforce'!$B167&lt;&gt;"",COUNTIF('Daily Schedule'!$F$5:$F43,'Daily Workforce'!$B167)=0,IF('Daily Schedule'!$A44=45,'Daily Workforce'!$J167="Y",IF(OR('Daily Schedule'!$A44=4,'Daily Schedule'!$A44=8),IF(OR(WEEKDAY('Daily Schedule'!$B$2,2)=1,WEEKDAY('Daily Schedule'!$B$2,2)=4,WEEKDAY('Daily Schedule'!$B$2,2)=5,WEEKDAY('Daily Schedule'!$B$2,2)=7),IFERROR(1*'Daily Workforce'!$K167&gt;=3,FALSE()),IFERROR(1*'Daily Workforce'!$K167&gt;=2,FALSE())),IF(AND('Daily Schedule'!$A44&gt;=46,'Daily Schedule'!$A44&lt;=52),'Daily Workforce'!$M167="Y",IFERROR(1*'Daily Workforce'!$P167&gt;=2,FALSE()))))),1,0)</f>
        <v>0</v>
      </c>
      <c r="FW40" s="1" t="n">
        <f aca="false">IF(AND('Daily Workforce'!$N168="Y",'Daily Workforce'!$B168&lt;&gt;"",COUNTIF('Daily Schedule'!$F$5:$F43,'Daily Workforce'!$B168)=0,IF('Daily Schedule'!$A44=45,'Daily Workforce'!$J168="Y",IF(OR('Daily Schedule'!$A44=4,'Daily Schedule'!$A44=8),IF(OR(WEEKDAY('Daily Schedule'!$B$2,2)=1,WEEKDAY('Daily Schedule'!$B$2,2)=4,WEEKDAY('Daily Schedule'!$B$2,2)=5,WEEKDAY('Daily Schedule'!$B$2,2)=7),IFERROR(1*'Daily Workforce'!$K168&gt;=3,FALSE()),IFERROR(1*'Daily Workforce'!$K168&gt;=2,FALSE())),IF(AND('Daily Schedule'!$A44&gt;=46,'Daily Schedule'!$A44&lt;=52),'Daily Workforce'!$M168="Y",IFERROR(1*'Daily Workforce'!$P168&gt;=2,FALSE()))))),1,0)</f>
        <v>0</v>
      </c>
      <c r="FX40" s="1" t="n">
        <f aca="false">IF(AND('Daily Workforce'!$N169="Y",'Daily Workforce'!$B169&lt;&gt;"",COUNTIF('Daily Schedule'!$F$5:$F43,'Daily Workforce'!$B169)=0,IF('Daily Schedule'!$A44=45,'Daily Workforce'!$J169="Y",IF(OR('Daily Schedule'!$A44=4,'Daily Schedule'!$A44=8),IF(OR(WEEKDAY('Daily Schedule'!$B$2,2)=1,WEEKDAY('Daily Schedule'!$B$2,2)=4,WEEKDAY('Daily Schedule'!$B$2,2)=5,WEEKDAY('Daily Schedule'!$B$2,2)=7),IFERROR(1*'Daily Workforce'!$K169&gt;=3,FALSE()),IFERROR(1*'Daily Workforce'!$K169&gt;=2,FALSE())),IF(AND('Daily Schedule'!$A44&gt;=46,'Daily Schedule'!$A44&lt;=52),'Daily Workforce'!$M169="Y",IFERROR(1*'Daily Workforce'!$P169&gt;=2,FALSE()))))),1,0)</f>
        <v>0</v>
      </c>
      <c r="FY40" s="1" t="n">
        <f aca="false">IF(AND('Daily Workforce'!$N170="Y",'Daily Workforce'!$B170&lt;&gt;"",COUNTIF('Daily Schedule'!$F$5:$F43,'Daily Workforce'!$B170)=0,IF('Daily Schedule'!$A44=45,'Daily Workforce'!$J170="Y",IF(OR('Daily Schedule'!$A44=4,'Daily Schedule'!$A44=8),IF(OR(WEEKDAY('Daily Schedule'!$B$2,2)=1,WEEKDAY('Daily Schedule'!$B$2,2)=4,WEEKDAY('Daily Schedule'!$B$2,2)=5,WEEKDAY('Daily Schedule'!$B$2,2)=7),IFERROR(1*'Daily Workforce'!$K170&gt;=3,FALSE()),IFERROR(1*'Daily Workforce'!$K170&gt;=2,FALSE())),IF(AND('Daily Schedule'!$A44&gt;=46,'Daily Schedule'!$A44&lt;=52),'Daily Workforce'!$M170="Y",IFERROR(1*'Daily Workforce'!$P170&gt;=2,FALSE()))))),1,0)</f>
        <v>0</v>
      </c>
      <c r="FZ40" s="1" t="n">
        <f aca="false">IF(AND('Daily Workforce'!$N171="Y",'Daily Workforce'!$B171&lt;&gt;"",COUNTIF('Daily Schedule'!$F$5:$F43,'Daily Workforce'!$B171)=0,IF('Daily Schedule'!$A44=45,'Daily Workforce'!$J171="Y",IF(OR('Daily Schedule'!$A44=4,'Daily Schedule'!$A44=8),IF(OR(WEEKDAY('Daily Schedule'!$B$2,2)=1,WEEKDAY('Daily Schedule'!$B$2,2)=4,WEEKDAY('Daily Schedule'!$B$2,2)=5,WEEKDAY('Daily Schedule'!$B$2,2)=7),IFERROR(1*'Daily Workforce'!$K171&gt;=3,FALSE()),IFERROR(1*'Daily Workforce'!$K171&gt;=2,FALSE())),IF(AND('Daily Schedule'!$A44&gt;=46,'Daily Schedule'!$A44&lt;=52),'Daily Workforce'!$M171="Y",IFERROR(1*'Daily Workforce'!$P171&gt;=2,FALSE()))))),1,0)</f>
        <v>0</v>
      </c>
      <c r="GA40" s="1" t="n">
        <f aca="false">IF(AND('Daily Workforce'!$N172="Y",'Daily Workforce'!$B172&lt;&gt;"",COUNTIF('Daily Schedule'!$F$5:$F43,'Daily Workforce'!$B172)=0,IF('Daily Schedule'!$A44=45,'Daily Workforce'!$J172="Y",IF(OR('Daily Schedule'!$A44=4,'Daily Schedule'!$A44=8),IF(OR(WEEKDAY('Daily Schedule'!$B$2,2)=1,WEEKDAY('Daily Schedule'!$B$2,2)=4,WEEKDAY('Daily Schedule'!$B$2,2)=5,WEEKDAY('Daily Schedule'!$B$2,2)=7),IFERROR(1*'Daily Workforce'!$K172&gt;=3,FALSE()),IFERROR(1*'Daily Workforce'!$K172&gt;=2,FALSE())),IF(AND('Daily Schedule'!$A44&gt;=46,'Daily Schedule'!$A44&lt;=52),'Daily Workforce'!$M172="Y",IFERROR(1*'Daily Workforce'!$P172&gt;=2,FALSE()))))),1,0)</f>
        <v>0</v>
      </c>
      <c r="GB40" s="1" t="n">
        <f aca="false">IF(AND('Daily Workforce'!$N173="Y",'Daily Workforce'!$B173&lt;&gt;"",COUNTIF('Daily Schedule'!$F$5:$F43,'Daily Workforce'!$B173)=0,IF('Daily Schedule'!$A44=45,'Daily Workforce'!$J173="Y",IF(OR('Daily Schedule'!$A44=4,'Daily Schedule'!$A44=8),IF(OR(WEEKDAY('Daily Schedule'!$B$2,2)=1,WEEKDAY('Daily Schedule'!$B$2,2)=4,WEEKDAY('Daily Schedule'!$B$2,2)=5,WEEKDAY('Daily Schedule'!$B$2,2)=7),IFERROR(1*'Daily Workforce'!$K173&gt;=3,FALSE()),IFERROR(1*'Daily Workforce'!$K173&gt;=2,FALSE())),IF(AND('Daily Schedule'!$A44&gt;=46,'Daily Schedule'!$A44&lt;=52),'Daily Workforce'!$M173="Y",IFERROR(1*'Daily Workforce'!$P173&gt;=2,FALSE()))))),1,0)</f>
        <v>0</v>
      </c>
      <c r="GC40" s="1" t="n">
        <f aca="false">IF(AND('Daily Workforce'!$N174="Y",'Daily Workforce'!$B174&lt;&gt;"",COUNTIF('Daily Schedule'!$F$5:$F43,'Daily Workforce'!$B174)=0,IF('Daily Schedule'!$A44=45,'Daily Workforce'!$J174="Y",IF(OR('Daily Schedule'!$A44=4,'Daily Schedule'!$A44=8),IF(OR(WEEKDAY('Daily Schedule'!$B$2,2)=1,WEEKDAY('Daily Schedule'!$B$2,2)=4,WEEKDAY('Daily Schedule'!$B$2,2)=5,WEEKDAY('Daily Schedule'!$B$2,2)=7),IFERROR(1*'Daily Workforce'!$K174&gt;=3,FALSE()),IFERROR(1*'Daily Workforce'!$K174&gt;=2,FALSE())),IF(AND('Daily Schedule'!$A44&gt;=46,'Daily Schedule'!$A44&lt;=52),'Daily Workforce'!$M174="Y",IFERROR(1*'Daily Workforce'!$P174&gt;=2,FALSE()))))),1,0)</f>
        <v>0</v>
      </c>
      <c r="GD40" s="1" t="n">
        <f aca="false">IF(AND('Daily Workforce'!$N175="Y",'Daily Workforce'!$B175&lt;&gt;"",COUNTIF('Daily Schedule'!$F$5:$F43,'Daily Workforce'!$B175)=0,IF('Daily Schedule'!$A44=45,'Daily Workforce'!$J175="Y",IF(OR('Daily Schedule'!$A44=4,'Daily Schedule'!$A44=8),IF(OR(WEEKDAY('Daily Schedule'!$B$2,2)=1,WEEKDAY('Daily Schedule'!$B$2,2)=4,WEEKDAY('Daily Schedule'!$B$2,2)=5,WEEKDAY('Daily Schedule'!$B$2,2)=7),IFERROR(1*'Daily Workforce'!$K175&gt;=3,FALSE()),IFERROR(1*'Daily Workforce'!$K175&gt;=2,FALSE())),IF(AND('Daily Schedule'!$A44&gt;=46,'Daily Schedule'!$A44&lt;=52),'Daily Workforce'!$M175="Y",IFERROR(1*'Daily Workforce'!$P175&gt;=2,FALSE()))))),1,0)</f>
        <v>0</v>
      </c>
      <c r="GE40" s="1" t="n">
        <f aca="false">IF(AND('Daily Workforce'!$N176="Y",'Daily Workforce'!$B176&lt;&gt;"",COUNTIF('Daily Schedule'!$F$5:$F43,'Daily Workforce'!$B176)=0,IF('Daily Schedule'!$A44=45,'Daily Workforce'!$J176="Y",IF(OR('Daily Schedule'!$A44=4,'Daily Schedule'!$A44=8),IF(OR(WEEKDAY('Daily Schedule'!$B$2,2)=1,WEEKDAY('Daily Schedule'!$B$2,2)=4,WEEKDAY('Daily Schedule'!$B$2,2)=5,WEEKDAY('Daily Schedule'!$B$2,2)=7),IFERROR(1*'Daily Workforce'!$K176&gt;=3,FALSE()),IFERROR(1*'Daily Workforce'!$K176&gt;=2,FALSE())),IF(AND('Daily Schedule'!$A44&gt;=46,'Daily Schedule'!$A44&lt;=52),'Daily Workforce'!$M176="Y",IFERROR(1*'Daily Workforce'!$P176&gt;=2,FALSE()))))),1,0)</f>
        <v>0</v>
      </c>
      <c r="GF40" s="1" t="n">
        <f aca="false">IF(AND('Daily Workforce'!$N177="Y",'Daily Workforce'!$B177&lt;&gt;"",COUNTIF('Daily Schedule'!$F$5:$F43,'Daily Workforce'!$B177)=0,IF('Daily Schedule'!$A44=45,'Daily Workforce'!$J177="Y",IF(OR('Daily Schedule'!$A44=4,'Daily Schedule'!$A44=8),IF(OR(WEEKDAY('Daily Schedule'!$B$2,2)=1,WEEKDAY('Daily Schedule'!$B$2,2)=4,WEEKDAY('Daily Schedule'!$B$2,2)=5,WEEKDAY('Daily Schedule'!$B$2,2)=7),IFERROR(1*'Daily Workforce'!$K177&gt;=3,FALSE()),IFERROR(1*'Daily Workforce'!$K177&gt;=2,FALSE())),IF(AND('Daily Schedule'!$A44&gt;=46,'Daily Schedule'!$A44&lt;=52),'Daily Workforce'!$M177="Y",IFERROR(1*'Daily Workforce'!$P177&gt;=2,FALSE()))))),1,0)</f>
        <v>0</v>
      </c>
      <c r="GG40" s="1" t="n">
        <f aca="false">IF(AND('Daily Workforce'!$N178="Y",'Daily Workforce'!$B178&lt;&gt;"",COUNTIF('Daily Schedule'!$F$5:$F43,'Daily Workforce'!$B178)=0,IF('Daily Schedule'!$A44=45,'Daily Workforce'!$J178="Y",IF(OR('Daily Schedule'!$A44=4,'Daily Schedule'!$A44=8),IF(OR(WEEKDAY('Daily Schedule'!$B$2,2)=1,WEEKDAY('Daily Schedule'!$B$2,2)=4,WEEKDAY('Daily Schedule'!$B$2,2)=5,WEEKDAY('Daily Schedule'!$B$2,2)=7),IFERROR(1*'Daily Workforce'!$K178&gt;=3,FALSE()),IFERROR(1*'Daily Workforce'!$K178&gt;=2,FALSE())),IF(AND('Daily Schedule'!$A44&gt;=46,'Daily Schedule'!$A44&lt;=52),'Daily Workforce'!$M178="Y",IFERROR(1*'Daily Workforce'!$P178&gt;=2,FALSE()))))),1,0)</f>
        <v>0</v>
      </c>
      <c r="GH40" s="1" t="n">
        <f aca="false">IF(AND('Daily Workforce'!$N179="Y",'Daily Workforce'!$B179&lt;&gt;"",COUNTIF('Daily Schedule'!$F$5:$F43,'Daily Workforce'!$B179)=0,IF('Daily Schedule'!$A44=45,'Daily Workforce'!$J179="Y",IF(OR('Daily Schedule'!$A44=4,'Daily Schedule'!$A44=8),IF(OR(WEEKDAY('Daily Schedule'!$B$2,2)=1,WEEKDAY('Daily Schedule'!$B$2,2)=4,WEEKDAY('Daily Schedule'!$B$2,2)=5,WEEKDAY('Daily Schedule'!$B$2,2)=7),IFERROR(1*'Daily Workforce'!$K179&gt;=3,FALSE()),IFERROR(1*'Daily Workforce'!$K179&gt;=2,FALSE())),IF(AND('Daily Schedule'!$A44&gt;=46,'Daily Schedule'!$A44&lt;=52),'Daily Workforce'!$M179="Y",IFERROR(1*'Daily Workforce'!$P179&gt;=2,FALSE()))))),1,0)</f>
        <v>0</v>
      </c>
      <c r="GI40" s="1" t="n">
        <f aca="false">IF(AND('Daily Workforce'!$N180="Y",'Daily Workforce'!$B180&lt;&gt;"",COUNTIF('Daily Schedule'!$F$5:$F43,'Daily Workforce'!$B180)=0,IF('Daily Schedule'!$A44=45,'Daily Workforce'!$J180="Y",IF(OR('Daily Schedule'!$A44=4,'Daily Schedule'!$A44=8),IF(OR(WEEKDAY('Daily Schedule'!$B$2,2)=1,WEEKDAY('Daily Schedule'!$B$2,2)=4,WEEKDAY('Daily Schedule'!$B$2,2)=5,WEEKDAY('Daily Schedule'!$B$2,2)=7),IFERROR(1*'Daily Workforce'!$K180&gt;=3,FALSE()),IFERROR(1*'Daily Workforce'!$K180&gt;=2,FALSE())),IF(AND('Daily Schedule'!$A44&gt;=46,'Daily Schedule'!$A44&lt;=52),'Daily Workforce'!$M180="Y",IFERROR(1*'Daily Workforce'!$P180&gt;=2,FALSE()))))),1,0)</f>
        <v>0</v>
      </c>
      <c r="GJ40" s="1" t="n">
        <f aca="false">IF(AND('Daily Workforce'!$N181="Y",'Daily Workforce'!$B181&lt;&gt;"",COUNTIF('Daily Schedule'!$F$5:$F43,'Daily Workforce'!$B181)=0,IF('Daily Schedule'!$A44=45,'Daily Workforce'!$J181="Y",IF(OR('Daily Schedule'!$A44=4,'Daily Schedule'!$A44=8),IF(OR(WEEKDAY('Daily Schedule'!$B$2,2)=1,WEEKDAY('Daily Schedule'!$B$2,2)=4,WEEKDAY('Daily Schedule'!$B$2,2)=5,WEEKDAY('Daily Schedule'!$B$2,2)=7),IFERROR(1*'Daily Workforce'!$K181&gt;=3,FALSE()),IFERROR(1*'Daily Workforce'!$K181&gt;=2,FALSE())),IF(AND('Daily Schedule'!$A44&gt;=46,'Daily Schedule'!$A44&lt;=52),'Daily Workforce'!$M181="Y",IFERROR(1*'Daily Workforce'!$P181&gt;=2,FALSE()))))),1,0)</f>
        <v>0</v>
      </c>
      <c r="GK40" s="1" t="n">
        <f aca="false">IF(AND('Daily Workforce'!$N182="Y",'Daily Workforce'!$B182&lt;&gt;"",COUNTIF('Daily Schedule'!$F$5:$F43,'Daily Workforce'!$B182)=0,IF('Daily Schedule'!$A44=45,'Daily Workforce'!$J182="Y",IF(OR('Daily Schedule'!$A44=4,'Daily Schedule'!$A44=8),IF(OR(WEEKDAY('Daily Schedule'!$B$2,2)=1,WEEKDAY('Daily Schedule'!$B$2,2)=4,WEEKDAY('Daily Schedule'!$B$2,2)=5,WEEKDAY('Daily Schedule'!$B$2,2)=7),IFERROR(1*'Daily Workforce'!$K182&gt;=3,FALSE()),IFERROR(1*'Daily Workforce'!$K182&gt;=2,FALSE())),IF(AND('Daily Schedule'!$A44&gt;=46,'Daily Schedule'!$A44&lt;=52),'Daily Workforce'!$M182="Y",IFERROR(1*'Daily Workforce'!$P182&gt;=2,FALSE()))))),1,0)</f>
        <v>0</v>
      </c>
      <c r="GL40" s="1" t="n">
        <f aca="false">IF(AND('Daily Workforce'!$N183="Y",'Daily Workforce'!$B183&lt;&gt;"",COUNTIF('Daily Schedule'!$F$5:$F43,'Daily Workforce'!$B183)=0,IF('Daily Schedule'!$A44=45,'Daily Workforce'!$J183="Y",IF(OR('Daily Schedule'!$A44=4,'Daily Schedule'!$A44=8),IF(OR(WEEKDAY('Daily Schedule'!$B$2,2)=1,WEEKDAY('Daily Schedule'!$B$2,2)=4,WEEKDAY('Daily Schedule'!$B$2,2)=5,WEEKDAY('Daily Schedule'!$B$2,2)=7),IFERROR(1*'Daily Workforce'!$K183&gt;=3,FALSE()),IFERROR(1*'Daily Workforce'!$K183&gt;=2,FALSE())),IF(AND('Daily Schedule'!$A44&gt;=46,'Daily Schedule'!$A44&lt;=52),'Daily Workforce'!$M183="Y",IFERROR(1*'Daily Workforce'!$P183&gt;=2,FALSE()))))),1,0)</f>
        <v>0</v>
      </c>
      <c r="GM40" s="1" t="n">
        <f aca="false">IF(AND('Daily Workforce'!$N184="Y",'Daily Workforce'!$B184&lt;&gt;"",COUNTIF('Daily Schedule'!$F$5:$F43,'Daily Workforce'!$B184)=0,IF('Daily Schedule'!$A44=45,'Daily Workforce'!$J184="Y",IF(OR('Daily Schedule'!$A44=4,'Daily Schedule'!$A44=8),IF(OR(WEEKDAY('Daily Schedule'!$B$2,2)=1,WEEKDAY('Daily Schedule'!$B$2,2)=4,WEEKDAY('Daily Schedule'!$B$2,2)=5,WEEKDAY('Daily Schedule'!$B$2,2)=7),IFERROR(1*'Daily Workforce'!$K184&gt;=3,FALSE()),IFERROR(1*'Daily Workforce'!$K184&gt;=2,FALSE())),IF(AND('Daily Schedule'!$A44&gt;=46,'Daily Schedule'!$A44&lt;=52),'Daily Workforce'!$M184="Y",IFERROR(1*'Daily Workforce'!$P184&gt;=2,FALSE()))))),1,0)</f>
        <v>0</v>
      </c>
      <c r="GN40" s="1" t="n">
        <f aca="false">IF(AND('Daily Workforce'!$N185="Y",'Daily Workforce'!$B185&lt;&gt;"",COUNTIF('Daily Schedule'!$F$5:$F43,'Daily Workforce'!$B185)=0,IF('Daily Schedule'!$A44=45,'Daily Workforce'!$J185="Y",IF(OR('Daily Schedule'!$A44=4,'Daily Schedule'!$A44=8),IF(OR(WEEKDAY('Daily Schedule'!$B$2,2)=1,WEEKDAY('Daily Schedule'!$B$2,2)=4,WEEKDAY('Daily Schedule'!$B$2,2)=5,WEEKDAY('Daily Schedule'!$B$2,2)=7),IFERROR(1*'Daily Workforce'!$K185&gt;=3,FALSE()),IFERROR(1*'Daily Workforce'!$K185&gt;=2,FALSE())),IF(AND('Daily Schedule'!$A44&gt;=46,'Daily Schedule'!$A44&lt;=52),'Daily Workforce'!$M185="Y",IFERROR(1*'Daily Workforce'!$P185&gt;=2,FALSE()))))),1,0)</f>
        <v>0</v>
      </c>
      <c r="GO40" s="1" t="n">
        <f aca="false">IF(AND('Daily Workforce'!$N186="Y",'Daily Workforce'!$B186&lt;&gt;"",COUNTIF('Daily Schedule'!$F$5:$F43,'Daily Workforce'!$B186)=0,IF('Daily Schedule'!$A44=45,'Daily Workforce'!$J186="Y",IF(OR('Daily Schedule'!$A44=4,'Daily Schedule'!$A44=8),IF(OR(WEEKDAY('Daily Schedule'!$B$2,2)=1,WEEKDAY('Daily Schedule'!$B$2,2)=4,WEEKDAY('Daily Schedule'!$B$2,2)=5,WEEKDAY('Daily Schedule'!$B$2,2)=7),IFERROR(1*'Daily Workforce'!$K186&gt;=3,FALSE()),IFERROR(1*'Daily Workforce'!$K186&gt;=2,FALSE())),IF(AND('Daily Schedule'!$A44&gt;=46,'Daily Schedule'!$A44&lt;=52),'Daily Workforce'!$M186="Y",IFERROR(1*'Daily Workforce'!$P186&gt;=2,FALSE()))))),1,0)</f>
        <v>0</v>
      </c>
      <c r="GP40" s="1" t="n">
        <f aca="false">IF(AND('Daily Workforce'!$N187="Y",'Daily Workforce'!$B187&lt;&gt;"",COUNTIF('Daily Schedule'!$F$5:$F43,'Daily Workforce'!$B187)=0,IF('Daily Schedule'!$A44=45,'Daily Workforce'!$J187="Y",IF(OR('Daily Schedule'!$A44=4,'Daily Schedule'!$A44=8),IF(OR(WEEKDAY('Daily Schedule'!$B$2,2)=1,WEEKDAY('Daily Schedule'!$B$2,2)=4,WEEKDAY('Daily Schedule'!$B$2,2)=5,WEEKDAY('Daily Schedule'!$B$2,2)=7),IFERROR(1*'Daily Workforce'!$K187&gt;=3,FALSE()),IFERROR(1*'Daily Workforce'!$K187&gt;=2,FALSE())),IF(AND('Daily Schedule'!$A44&gt;=46,'Daily Schedule'!$A44&lt;=52),'Daily Workforce'!$M187="Y",IFERROR(1*'Daily Workforce'!$P187&gt;=2,FALSE()))))),1,0)</f>
        <v>0</v>
      </c>
      <c r="GQ40" s="1" t="n">
        <f aca="false">IF(AND('Daily Workforce'!$N188="Y",'Daily Workforce'!$B188&lt;&gt;"",COUNTIF('Daily Schedule'!$F$5:$F43,'Daily Workforce'!$B188)=0,IF('Daily Schedule'!$A44=45,'Daily Workforce'!$J188="Y",IF(OR('Daily Schedule'!$A44=4,'Daily Schedule'!$A44=8),IF(OR(WEEKDAY('Daily Schedule'!$B$2,2)=1,WEEKDAY('Daily Schedule'!$B$2,2)=4,WEEKDAY('Daily Schedule'!$B$2,2)=5,WEEKDAY('Daily Schedule'!$B$2,2)=7),IFERROR(1*'Daily Workforce'!$K188&gt;=3,FALSE()),IFERROR(1*'Daily Workforce'!$K188&gt;=2,FALSE())),IF(AND('Daily Schedule'!$A44&gt;=46,'Daily Schedule'!$A44&lt;=52),'Daily Workforce'!$M188="Y",IFERROR(1*'Daily Workforce'!$P188&gt;=2,FALSE()))))),1,0)</f>
        <v>0</v>
      </c>
      <c r="GR40" s="1" t="n">
        <f aca="false">IF(AND('Daily Workforce'!$N189="Y",'Daily Workforce'!$B189&lt;&gt;"",COUNTIF('Daily Schedule'!$F$5:$F43,'Daily Workforce'!$B189)=0,IF('Daily Schedule'!$A44=45,'Daily Workforce'!$J189="Y",IF(OR('Daily Schedule'!$A44=4,'Daily Schedule'!$A44=8),IF(OR(WEEKDAY('Daily Schedule'!$B$2,2)=1,WEEKDAY('Daily Schedule'!$B$2,2)=4,WEEKDAY('Daily Schedule'!$B$2,2)=5,WEEKDAY('Daily Schedule'!$B$2,2)=7),IFERROR(1*'Daily Workforce'!$K189&gt;=3,FALSE()),IFERROR(1*'Daily Workforce'!$K189&gt;=2,FALSE())),IF(AND('Daily Schedule'!$A44&gt;=46,'Daily Schedule'!$A44&lt;=52),'Daily Workforce'!$M189="Y",IFERROR(1*'Daily Workforce'!$P189&gt;=2,FALSE()))))),1,0)</f>
        <v>0</v>
      </c>
      <c r="GS40" s="1" t="n">
        <f aca="false">IF(AND('Daily Workforce'!$N190="Y",'Daily Workforce'!$B190&lt;&gt;"",COUNTIF('Daily Schedule'!$F$5:$F43,'Daily Workforce'!$B190)=0,IF('Daily Schedule'!$A44=45,'Daily Workforce'!$J190="Y",IF(OR('Daily Schedule'!$A44=4,'Daily Schedule'!$A44=8),IF(OR(WEEKDAY('Daily Schedule'!$B$2,2)=1,WEEKDAY('Daily Schedule'!$B$2,2)=4,WEEKDAY('Daily Schedule'!$B$2,2)=5,WEEKDAY('Daily Schedule'!$B$2,2)=7),IFERROR(1*'Daily Workforce'!$K190&gt;=3,FALSE()),IFERROR(1*'Daily Workforce'!$K190&gt;=2,FALSE())),IF(AND('Daily Schedule'!$A44&gt;=46,'Daily Schedule'!$A44&lt;=52),'Daily Workforce'!$M190="Y",IFERROR(1*'Daily Workforce'!$P190&gt;=2,FALSE()))))),1,0)</f>
        <v>0</v>
      </c>
      <c r="GT40" s="1" t="n">
        <f aca="false">IF(AND('Daily Workforce'!$N191="Y",'Daily Workforce'!$B191&lt;&gt;"",COUNTIF('Daily Schedule'!$F$5:$F43,'Daily Workforce'!$B191)=0,IF('Daily Schedule'!$A44=45,'Daily Workforce'!$J191="Y",IF(OR('Daily Schedule'!$A44=4,'Daily Schedule'!$A44=8),IF(OR(WEEKDAY('Daily Schedule'!$B$2,2)=1,WEEKDAY('Daily Schedule'!$B$2,2)=4,WEEKDAY('Daily Schedule'!$B$2,2)=5,WEEKDAY('Daily Schedule'!$B$2,2)=7),IFERROR(1*'Daily Workforce'!$K191&gt;=3,FALSE()),IFERROR(1*'Daily Workforce'!$K191&gt;=2,FALSE())),IF(AND('Daily Schedule'!$A44&gt;=46,'Daily Schedule'!$A44&lt;=52),'Daily Workforce'!$M191="Y",IFERROR(1*'Daily Workforce'!$P191&gt;=2,FALSE()))))),1,0)</f>
        <v>0</v>
      </c>
      <c r="GU40" s="1" t="n">
        <f aca="false">IF(AND('Daily Workforce'!$N192="Y",'Daily Workforce'!$B192&lt;&gt;"",COUNTIF('Daily Schedule'!$F$5:$F43,'Daily Workforce'!$B192)=0,IF('Daily Schedule'!$A44=45,'Daily Workforce'!$J192="Y",IF(OR('Daily Schedule'!$A44=4,'Daily Schedule'!$A44=8),IF(OR(WEEKDAY('Daily Schedule'!$B$2,2)=1,WEEKDAY('Daily Schedule'!$B$2,2)=4,WEEKDAY('Daily Schedule'!$B$2,2)=5,WEEKDAY('Daily Schedule'!$B$2,2)=7),IFERROR(1*'Daily Workforce'!$K192&gt;=3,FALSE()),IFERROR(1*'Daily Workforce'!$K192&gt;=2,FALSE())),IF(AND('Daily Schedule'!$A44&gt;=46,'Daily Schedule'!$A44&lt;=52),'Daily Workforce'!$M192="Y",IFERROR(1*'Daily Workforce'!$P192&gt;=2,FALSE()))))),1,0)</f>
        <v>0</v>
      </c>
      <c r="GV40" s="1" t="n">
        <f aca="false">IF(AND('Daily Workforce'!$N193="Y",'Daily Workforce'!$B193&lt;&gt;"",COUNTIF('Daily Schedule'!$F$5:$F43,'Daily Workforce'!$B193)=0,IF('Daily Schedule'!$A44=45,'Daily Workforce'!$J193="Y",IF(OR('Daily Schedule'!$A44=4,'Daily Schedule'!$A44=8),IF(OR(WEEKDAY('Daily Schedule'!$B$2,2)=1,WEEKDAY('Daily Schedule'!$B$2,2)=4,WEEKDAY('Daily Schedule'!$B$2,2)=5,WEEKDAY('Daily Schedule'!$B$2,2)=7),IFERROR(1*'Daily Workforce'!$K193&gt;=3,FALSE()),IFERROR(1*'Daily Workforce'!$K193&gt;=2,FALSE())),IF(AND('Daily Schedule'!$A44&gt;=46,'Daily Schedule'!$A44&lt;=52),'Daily Workforce'!$M193="Y",IFERROR(1*'Daily Workforce'!$P193&gt;=2,FALSE()))))),1,0)</f>
        <v>0</v>
      </c>
      <c r="GW40" s="1" t="n">
        <f aca="false">IF(AND('Daily Workforce'!$N194="Y",'Daily Workforce'!$B194&lt;&gt;"",COUNTIF('Daily Schedule'!$F$5:$F43,'Daily Workforce'!$B194)=0,IF('Daily Schedule'!$A44=45,'Daily Workforce'!$J194="Y",IF(OR('Daily Schedule'!$A44=4,'Daily Schedule'!$A44=8),IF(OR(WEEKDAY('Daily Schedule'!$B$2,2)=1,WEEKDAY('Daily Schedule'!$B$2,2)=4,WEEKDAY('Daily Schedule'!$B$2,2)=5,WEEKDAY('Daily Schedule'!$B$2,2)=7),IFERROR(1*'Daily Workforce'!$K194&gt;=3,FALSE()),IFERROR(1*'Daily Workforce'!$K194&gt;=2,FALSE())),IF(AND('Daily Schedule'!$A44&gt;=46,'Daily Schedule'!$A44&lt;=52),'Daily Workforce'!$M194="Y",IFERROR(1*'Daily Workforce'!$P194&gt;=2,FALSE()))))),1,0)</f>
        <v>0</v>
      </c>
      <c r="GX40" s="1" t="n">
        <f aca="false">IF(AND('Daily Workforce'!$N195="Y",'Daily Workforce'!$B195&lt;&gt;"",COUNTIF('Daily Schedule'!$F$5:$F43,'Daily Workforce'!$B195)=0,IF('Daily Schedule'!$A44=45,'Daily Workforce'!$J195="Y",IF(OR('Daily Schedule'!$A44=4,'Daily Schedule'!$A44=8),IF(OR(WEEKDAY('Daily Schedule'!$B$2,2)=1,WEEKDAY('Daily Schedule'!$B$2,2)=4,WEEKDAY('Daily Schedule'!$B$2,2)=5,WEEKDAY('Daily Schedule'!$B$2,2)=7),IFERROR(1*'Daily Workforce'!$K195&gt;=3,FALSE()),IFERROR(1*'Daily Workforce'!$K195&gt;=2,FALSE())),IF(AND('Daily Schedule'!$A44&gt;=46,'Daily Schedule'!$A44&lt;=52),'Daily Workforce'!$M195="Y",IFERROR(1*'Daily Workforce'!$P195&gt;=2,FALSE()))))),1,0)</f>
        <v>0</v>
      </c>
      <c r="GY40" s="1" t="n">
        <f aca="false">IF(AND('Daily Workforce'!$N196="Y",'Daily Workforce'!$B196&lt;&gt;"",COUNTIF('Daily Schedule'!$F$5:$F43,'Daily Workforce'!$B196)=0,IF('Daily Schedule'!$A44=45,'Daily Workforce'!$J196="Y",IF(OR('Daily Schedule'!$A44=4,'Daily Schedule'!$A44=8),IF(OR(WEEKDAY('Daily Schedule'!$B$2,2)=1,WEEKDAY('Daily Schedule'!$B$2,2)=4,WEEKDAY('Daily Schedule'!$B$2,2)=5,WEEKDAY('Daily Schedule'!$B$2,2)=7),IFERROR(1*'Daily Workforce'!$K196&gt;=3,FALSE()),IFERROR(1*'Daily Workforce'!$K196&gt;=2,FALSE())),IF(AND('Daily Schedule'!$A44&gt;=46,'Daily Schedule'!$A44&lt;=52),'Daily Workforce'!$M196="Y",IFERROR(1*'Daily Workforce'!$P196&gt;=2,FALSE()))))),1,0)</f>
        <v>0</v>
      </c>
      <c r="GZ40" s="1" t="n">
        <f aca="false">IF(AND('Daily Workforce'!$N197="Y",'Daily Workforce'!$B197&lt;&gt;"",COUNTIF('Daily Schedule'!$F$5:$F43,'Daily Workforce'!$B197)=0,IF('Daily Schedule'!$A44=45,'Daily Workforce'!$J197="Y",IF(OR('Daily Schedule'!$A44=4,'Daily Schedule'!$A44=8),IF(OR(WEEKDAY('Daily Schedule'!$B$2,2)=1,WEEKDAY('Daily Schedule'!$B$2,2)=4,WEEKDAY('Daily Schedule'!$B$2,2)=5,WEEKDAY('Daily Schedule'!$B$2,2)=7),IFERROR(1*'Daily Workforce'!$K197&gt;=3,FALSE()),IFERROR(1*'Daily Workforce'!$K197&gt;=2,FALSE())),IF(AND('Daily Schedule'!$A44&gt;=46,'Daily Schedule'!$A44&lt;=52),'Daily Workforce'!$M197="Y",IFERROR(1*'Daily Workforce'!$P197&gt;=2,FALSE()))))),1,0)</f>
        <v>0</v>
      </c>
      <c r="HA40" s="1" t="n">
        <f aca="false">IF(AND('Daily Workforce'!$N198="Y",'Daily Workforce'!$B198&lt;&gt;"",COUNTIF('Daily Schedule'!$F$5:$F43,'Daily Workforce'!$B198)=0,IF('Daily Schedule'!$A44=45,'Daily Workforce'!$J198="Y",IF(OR('Daily Schedule'!$A44=4,'Daily Schedule'!$A44=8),IF(OR(WEEKDAY('Daily Schedule'!$B$2,2)=1,WEEKDAY('Daily Schedule'!$B$2,2)=4,WEEKDAY('Daily Schedule'!$B$2,2)=5,WEEKDAY('Daily Schedule'!$B$2,2)=7),IFERROR(1*'Daily Workforce'!$K198&gt;=3,FALSE()),IFERROR(1*'Daily Workforce'!$K198&gt;=2,FALSE())),IF(AND('Daily Schedule'!$A44&gt;=46,'Daily Schedule'!$A44&lt;=52),'Daily Workforce'!$M198="Y",IFERROR(1*'Daily Workforce'!$P198&gt;=2,FALSE()))))),1,0)</f>
        <v>0</v>
      </c>
      <c r="HB40" s="1" t="n">
        <f aca="false">IF(AND('Daily Workforce'!$N199="Y",'Daily Workforce'!$B199&lt;&gt;"",COUNTIF('Daily Schedule'!$F$5:$F43,'Daily Workforce'!$B199)=0,IF('Daily Schedule'!$A44=45,'Daily Workforce'!$J199="Y",IF(OR('Daily Schedule'!$A44=4,'Daily Schedule'!$A44=8),IF(OR(WEEKDAY('Daily Schedule'!$B$2,2)=1,WEEKDAY('Daily Schedule'!$B$2,2)=4,WEEKDAY('Daily Schedule'!$B$2,2)=5,WEEKDAY('Daily Schedule'!$B$2,2)=7),IFERROR(1*'Daily Workforce'!$K199&gt;=3,FALSE()),IFERROR(1*'Daily Workforce'!$K199&gt;=2,FALSE())),IF(AND('Daily Schedule'!$A44&gt;=46,'Daily Schedule'!$A44&lt;=52),'Daily Workforce'!$M199="Y",IFERROR(1*'Daily Workforce'!$P199&gt;=2,FALSE()))))),1,0)</f>
        <v>0</v>
      </c>
      <c r="HC40" s="1" t="n">
        <f aca="false">IF(AND('Daily Workforce'!$N200="Y",'Daily Workforce'!$B200&lt;&gt;"",COUNTIF('Daily Schedule'!$F$5:$F43,'Daily Workforce'!$B200)=0,IF('Daily Schedule'!$A44=45,'Daily Workforce'!$J200="Y",IF(OR('Daily Schedule'!$A44=4,'Daily Schedule'!$A44=8),IF(OR(WEEKDAY('Daily Schedule'!$B$2,2)=1,WEEKDAY('Daily Schedule'!$B$2,2)=4,WEEKDAY('Daily Schedule'!$B$2,2)=5,WEEKDAY('Daily Schedule'!$B$2,2)=7),IFERROR(1*'Daily Workforce'!$K200&gt;=3,FALSE()),IFERROR(1*'Daily Workforce'!$K200&gt;=2,FALSE())),IF(AND('Daily Schedule'!$A44&gt;=46,'Daily Schedule'!$A44&lt;=52),'Daily Workforce'!$M200="Y",IFERROR(1*'Daily Workforce'!$P200&gt;=2,FALSE()))))),1,0)</f>
        <v>0</v>
      </c>
      <c r="HD40" s="1" t="n">
        <f aca="false">IF(AND('Daily Workforce'!$N201="Y",'Daily Workforce'!$B201&lt;&gt;"",COUNTIF('Daily Schedule'!$F$5:$F43,'Daily Workforce'!$B201)=0,IF('Daily Schedule'!$A44=45,'Daily Workforce'!$J201="Y",IF(OR('Daily Schedule'!$A44=4,'Daily Schedule'!$A44=8),IF(OR(WEEKDAY('Daily Schedule'!$B$2,2)=1,WEEKDAY('Daily Schedule'!$B$2,2)=4,WEEKDAY('Daily Schedule'!$B$2,2)=5,WEEKDAY('Daily Schedule'!$B$2,2)=7),IFERROR(1*'Daily Workforce'!$K201&gt;=3,FALSE()),IFERROR(1*'Daily Workforce'!$K201&gt;=2,FALSE())),IF(AND('Daily Schedule'!$A44&gt;=46,'Daily Schedule'!$A44&lt;=52),'Daily Workforce'!$M201="Y",IFERROR(1*'Daily Workforce'!$P201&gt;=2,FALSE()))))),1,0)</f>
        <v>0</v>
      </c>
      <c r="HE40" s="1" t="n">
        <f aca="false">IF(AND('Daily Workforce'!$N202="Y",'Daily Workforce'!$B202&lt;&gt;"",COUNTIF('Daily Schedule'!$F$5:$F43,'Daily Workforce'!$B202)=0,IF('Daily Schedule'!$A44=45,'Daily Workforce'!$J202="Y",IF(OR('Daily Schedule'!$A44=4,'Daily Schedule'!$A44=8),IF(OR(WEEKDAY('Daily Schedule'!$B$2,2)=1,WEEKDAY('Daily Schedule'!$B$2,2)=4,WEEKDAY('Daily Schedule'!$B$2,2)=5,WEEKDAY('Daily Schedule'!$B$2,2)=7),IFERROR(1*'Daily Workforce'!$K202&gt;=3,FALSE()),IFERROR(1*'Daily Workforce'!$K202&gt;=2,FALSE())),IF(AND('Daily Schedule'!$A44&gt;=46,'Daily Schedule'!$A44&lt;=52),'Daily Workforce'!$M202="Y",IFERROR(1*'Daily Workforce'!$P202&gt;=2,FALSE()))))),1,0)</f>
        <v>0</v>
      </c>
      <c r="HF40" s="1" t="n">
        <f aca="false">IF(AND('Daily Workforce'!$N203="Y",'Daily Workforce'!$B203&lt;&gt;"",COUNTIF('Daily Schedule'!$F$5:$F43,'Daily Workforce'!$B203)=0,IF('Daily Schedule'!$A44=45,'Daily Workforce'!$J203="Y",IF(OR('Daily Schedule'!$A44=4,'Daily Schedule'!$A44=8),IF(OR(WEEKDAY('Daily Schedule'!$B$2,2)=1,WEEKDAY('Daily Schedule'!$B$2,2)=4,WEEKDAY('Daily Schedule'!$B$2,2)=5,WEEKDAY('Daily Schedule'!$B$2,2)=7),IFERROR(1*'Daily Workforce'!$K203&gt;=3,FALSE()),IFERROR(1*'Daily Workforce'!$K203&gt;=2,FALSE())),IF(AND('Daily Schedule'!$A44&gt;=46,'Daily Schedule'!$A44&lt;=52),'Daily Workforce'!$M203="Y",IFERROR(1*'Daily Workforce'!$P203&gt;=2,FALSE()))))),1,0)</f>
        <v>0</v>
      </c>
      <c r="HG40" s="1" t="n">
        <f aca="false">IF(AND('Daily Workforce'!$N204="Y",'Daily Workforce'!$B204&lt;&gt;"",COUNTIF('Daily Schedule'!$F$5:$F43,'Daily Workforce'!$B204)=0,IF('Daily Schedule'!$A44=45,'Daily Workforce'!$J204="Y",IF(OR('Daily Schedule'!$A44=4,'Daily Schedule'!$A44=8),IF(OR(WEEKDAY('Daily Schedule'!$B$2,2)=1,WEEKDAY('Daily Schedule'!$B$2,2)=4,WEEKDAY('Daily Schedule'!$B$2,2)=5,WEEKDAY('Daily Schedule'!$B$2,2)=7),IFERROR(1*'Daily Workforce'!$K204&gt;=3,FALSE()),IFERROR(1*'Daily Workforce'!$K204&gt;=2,FALSE())),IF(AND('Daily Schedule'!$A44&gt;=46,'Daily Schedule'!$A44&lt;=52),'Daily Workforce'!$M204="Y",IFERROR(1*'Daily Workforce'!$P204&gt;=2,FALSE()))))),1,0)</f>
        <v>0</v>
      </c>
      <c r="HH40" s="1" t="n">
        <f aca="false">IF(AND('Daily Workforce'!$N205="Y",'Daily Workforce'!$B205&lt;&gt;"",COUNTIF('Daily Schedule'!$F$5:$F43,'Daily Workforce'!$B205)=0,IF('Daily Schedule'!$A44=45,'Daily Workforce'!$J205="Y",IF(OR('Daily Schedule'!$A44=4,'Daily Schedule'!$A44=8),IF(OR(WEEKDAY('Daily Schedule'!$B$2,2)=1,WEEKDAY('Daily Schedule'!$B$2,2)=4,WEEKDAY('Daily Schedule'!$B$2,2)=5,WEEKDAY('Daily Schedule'!$B$2,2)=7),IFERROR(1*'Daily Workforce'!$K205&gt;=3,FALSE()),IFERROR(1*'Daily Workforce'!$K205&gt;=2,FALSE())),IF(AND('Daily Schedule'!$A44&gt;=46,'Daily Schedule'!$A44&lt;=52),'Daily Workforce'!$M205="Y",IFERROR(1*'Daily Workforce'!$P205&gt;=2,FALSE()))))),1,0)</f>
        <v>0</v>
      </c>
    </row>
    <row r="41" customFormat="false" ht="15" hidden="false" customHeight="true" outlineLevel="0" collapsed="false">
      <c r="L41" s="1" t="s">
        <v>489</v>
      </c>
      <c r="O41" s="1" t="n">
        <f aca="false">IF(AND('Employee Master'!$G41="Y",ISERROR(SEARCH(TEXT('Daily Workforce'!$B$2,"ddd"),'Employee Master'!$D41)),IF('Daily Workforce'!$E$2="",TRUE(),'Employee Master'!$I41='Daily Workforce'!$E$2)),'Employee Master'!$K41*1000+ROW()-1,"")</f>
        <v>2040</v>
      </c>
      <c r="P41" s="1" t="n">
        <f aca="false">IF($O41="","",COUNTIF($O$2:$O$159,"&lt;="&amp;$O41))</f>
        <v>28</v>
      </c>
      <c r="Q41" s="1" t="n">
        <f aca="false">IF(AND('Daily Workforce'!$N6="Y",'Daily Workforce'!$B6&lt;&gt;"",COUNTIF('Daily Schedule'!$F$5:$F44,'Daily Workforce'!$B6)=0,IF('Daily Schedule'!$A45=45,'Daily Workforce'!$J6="Y",IF(OR('Daily Schedule'!$A45=4,'Daily Schedule'!$A45=8),IF(OR(WEEKDAY('Daily Schedule'!$B$2,2)=1,WEEKDAY('Daily Schedule'!$B$2,2)=4,WEEKDAY('Daily Schedule'!$B$2,2)=5,WEEKDAY('Daily Schedule'!$B$2,2)=7),IFERROR(1*'Daily Workforce'!$K6&gt;=3,FALSE()),IFERROR(1*'Daily Workforce'!$K6&gt;=2,FALSE())),IF(AND('Daily Schedule'!$A45&gt;=46,'Daily Schedule'!$A45&lt;=52),'Daily Workforce'!$M6="Y",IFERROR(1*'Daily Workforce'!$P6&gt;=2,FALSE()))))),1,0)</f>
        <v>0</v>
      </c>
      <c r="R41" s="1" t="n">
        <f aca="false">IF(AND('Daily Workforce'!$N7="Y",'Daily Workforce'!$B7&lt;&gt;"",COUNTIF('Daily Schedule'!$F$5:$F44,'Daily Workforce'!$B7)=0,IF('Daily Schedule'!$A45=45,'Daily Workforce'!$J7="Y",IF(OR('Daily Schedule'!$A45=4,'Daily Schedule'!$A45=8),IF(OR(WEEKDAY('Daily Schedule'!$B$2,2)=1,WEEKDAY('Daily Schedule'!$B$2,2)=4,WEEKDAY('Daily Schedule'!$B$2,2)=5,WEEKDAY('Daily Schedule'!$B$2,2)=7),IFERROR(1*'Daily Workforce'!$K7&gt;=3,FALSE()),IFERROR(1*'Daily Workforce'!$K7&gt;=2,FALSE())),IF(AND('Daily Schedule'!$A45&gt;=46,'Daily Schedule'!$A45&lt;=52),'Daily Workforce'!$M7="Y",IFERROR(1*'Daily Workforce'!$P7&gt;=2,FALSE()))))),1,0)</f>
        <v>0</v>
      </c>
      <c r="S41" s="1" t="n">
        <f aca="false">IF(AND('Daily Workforce'!$N8="Y",'Daily Workforce'!$B8&lt;&gt;"",COUNTIF('Daily Schedule'!$F$5:$F44,'Daily Workforce'!$B8)=0,IF('Daily Schedule'!$A45=45,'Daily Workforce'!$J8="Y",IF(OR('Daily Schedule'!$A45=4,'Daily Schedule'!$A45=8),IF(OR(WEEKDAY('Daily Schedule'!$B$2,2)=1,WEEKDAY('Daily Schedule'!$B$2,2)=4,WEEKDAY('Daily Schedule'!$B$2,2)=5,WEEKDAY('Daily Schedule'!$B$2,2)=7),IFERROR(1*'Daily Workforce'!$K8&gt;=3,FALSE()),IFERROR(1*'Daily Workforce'!$K8&gt;=2,FALSE())),IF(AND('Daily Schedule'!$A45&gt;=46,'Daily Schedule'!$A45&lt;=52),'Daily Workforce'!$M8="Y",IFERROR(1*'Daily Workforce'!$P8&gt;=2,FALSE()))))),1,0)</f>
        <v>0</v>
      </c>
      <c r="T41" s="1" t="n">
        <f aca="false">IF(AND('Daily Workforce'!$N9="Y",'Daily Workforce'!$B9&lt;&gt;"",COUNTIF('Daily Schedule'!$F$5:$F44,'Daily Workforce'!$B9)=0,IF('Daily Schedule'!$A45=45,'Daily Workforce'!$J9="Y",IF(OR('Daily Schedule'!$A45=4,'Daily Schedule'!$A45=8),IF(OR(WEEKDAY('Daily Schedule'!$B$2,2)=1,WEEKDAY('Daily Schedule'!$B$2,2)=4,WEEKDAY('Daily Schedule'!$B$2,2)=5,WEEKDAY('Daily Schedule'!$B$2,2)=7),IFERROR(1*'Daily Workforce'!$K9&gt;=3,FALSE()),IFERROR(1*'Daily Workforce'!$K9&gt;=2,FALSE())),IF(AND('Daily Schedule'!$A45&gt;=46,'Daily Schedule'!$A45&lt;=52),'Daily Workforce'!$M9="Y",IFERROR(1*'Daily Workforce'!$P9&gt;=2,FALSE()))))),1,0)</f>
        <v>0</v>
      </c>
      <c r="U41" s="1" t="n">
        <f aca="false">IF(AND('Daily Workforce'!$N10="Y",'Daily Workforce'!$B10&lt;&gt;"",COUNTIF('Daily Schedule'!$F$5:$F44,'Daily Workforce'!$B10)=0,IF('Daily Schedule'!$A45=45,'Daily Workforce'!$J10="Y",IF(OR('Daily Schedule'!$A45=4,'Daily Schedule'!$A45=8),IF(OR(WEEKDAY('Daily Schedule'!$B$2,2)=1,WEEKDAY('Daily Schedule'!$B$2,2)=4,WEEKDAY('Daily Schedule'!$B$2,2)=5,WEEKDAY('Daily Schedule'!$B$2,2)=7),IFERROR(1*'Daily Workforce'!$K10&gt;=3,FALSE()),IFERROR(1*'Daily Workforce'!$K10&gt;=2,FALSE())),IF(AND('Daily Schedule'!$A45&gt;=46,'Daily Schedule'!$A45&lt;=52),'Daily Workforce'!$M10="Y",IFERROR(1*'Daily Workforce'!$P10&gt;=2,FALSE()))))),1,0)</f>
        <v>0</v>
      </c>
      <c r="V41" s="1" t="n">
        <f aca="false">IF(AND('Daily Workforce'!$N11="Y",'Daily Workforce'!$B11&lt;&gt;"",COUNTIF('Daily Schedule'!$F$5:$F44,'Daily Workforce'!$B11)=0,IF('Daily Schedule'!$A45=45,'Daily Workforce'!$J11="Y",IF(OR('Daily Schedule'!$A45=4,'Daily Schedule'!$A45=8),IF(OR(WEEKDAY('Daily Schedule'!$B$2,2)=1,WEEKDAY('Daily Schedule'!$B$2,2)=4,WEEKDAY('Daily Schedule'!$B$2,2)=5,WEEKDAY('Daily Schedule'!$B$2,2)=7),IFERROR(1*'Daily Workforce'!$K11&gt;=3,FALSE()),IFERROR(1*'Daily Workforce'!$K11&gt;=2,FALSE())),IF(AND('Daily Schedule'!$A45&gt;=46,'Daily Schedule'!$A45&lt;=52),'Daily Workforce'!$M11="Y",IFERROR(1*'Daily Workforce'!$P11&gt;=2,FALSE()))))),1,0)</f>
        <v>0</v>
      </c>
      <c r="W41" s="1" t="n">
        <f aca="false">IF(AND('Daily Workforce'!$N12="Y",'Daily Workforce'!$B12&lt;&gt;"",COUNTIF('Daily Schedule'!$F$5:$F44,'Daily Workforce'!$B12)=0,IF('Daily Schedule'!$A45=45,'Daily Workforce'!$J12="Y",IF(OR('Daily Schedule'!$A45=4,'Daily Schedule'!$A45=8),IF(OR(WEEKDAY('Daily Schedule'!$B$2,2)=1,WEEKDAY('Daily Schedule'!$B$2,2)=4,WEEKDAY('Daily Schedule'!$B$2,2)=5,WEEKDAY('Daily Schedule'!$B$2,2)=7),IFERROR(1*'Daily Workforce'!$K12&gt;=3,FALSE()),IFERROR(1*'Daily Workforce'!$K12&gt;=2,FALSE())),IF(AND('Daily Schedule'!$A45&gt;=46,'Daily Schedule'!$A45&lt;=52),'Daily Workforce'!$M12="Y",IFERROR(1*'Daily Workforce'!$P12&gt;=2,FALSE()))))),1,0)</f>
        <v>0</v>
      </c>
      <c r="X41" s="1" t="n">
        <f aca="false">IF(AND('Daily Workforce'!$N13="Y",'Daily Workforce'!$B13&lt;&gt;"",COUNTIF('Daily Schedule'!$F$5:$F44,'Daily Workforce'!$B13)=0,IF('Daily Schedule'!$A45=45,'Daily Workforce'!$J13="Y",IF(OR('Daily Schedule'!$A45=4,'Daily Schedule'!$A45=8),IF(OR(WEEKDAY('Daily Schedule'!$B$2,2)=1,WEEKDAY('Daily Schedule'!$B$2,2)=4,WEEKDAY('Daily Schedule'!$B$2,2)=5,WEEKDAY('Daily Schedule'!$B$2,2)=7),IFERROR(1*'Daily Workforce'!$K13&gt;=3,FALSE()),IFERROR(1*'Daily Workforce'!$K13&gt;=2,FALSE())),IF(AND('Daily Schedule'!$A45&gt;=46,'Daily Schedule'!$A45&lt;=52),'Daily Workforce'!$M13="Y",IFERROR(1*'Daily Workforce'!$P13&gt;=2,FALSE()))))),1,0)</f>
        <v>0</v>
      </c>
      <c r="Y41" s="1" t="n">
        <f aca="false">IF(AND('Daily Workforce'!$N14="Y",'Daily Workforce'!$B14&lt;&gt;"",COUNTIF('Daily Schedule'!$F$5:$F44,'Daily Workforce'!$B14)=0,IF('Daily Schedule'!$A45=45,'Daily Workforce'!$J14="Y",IF(OR('Daily Schedule'!$A45=4,'Daily Schedule'!$A45=8),IF(OR(WEEKDAY('Daily Schedule'!$B$2,2)=1,WEEKDAY('Daily Schedule'!$B$2,2)=4,WEEKDAY('Daily Schedule'!$B$2,2)=5,WEEKDAY('Daily Schedule'!$B$2,2)=7),IFERROR(1*'Daily Workforce'!$K14&gt;=3,FALSE()),IFERROR(1*'Daily Workforce'!$K14&gt;=2,FALSE())),IF(AND('Daily Schedule'!$A45&gt;=46,'Daily Schedule'!$A45&lt;=52),'Daily Workforce'!$M14="Y",IFERROR(1*'Daily Workforce'!$P14&gt;=2,FALSE()))))),1,0)</f>
        <v>0</v>
      </c>
      <c r="Z41" s="1" t="n">
        <f aca="false">IF(AND('Daily Workforce'!$N15="Y",'Daily Workforce'!$B15&lt;&gt;"",COUNTIF('Daily Schedule'!$F$5:$F44,'Daily Workforce'!$B15)=0,IF('Daily Schedule'!$A45=45,'Daily Workforce'!$J15="Y",IF(OR('Daily Schedule'!$A45=4,'Daily Schedule'!$A45=8),IF(OR(WEEKDAY('Daily Schedule'!$B$2,2)=1,WEEKDAY('Daily Schedule'!$B$2,2)=4,WEEKDAY('Daily Schedule'!$B$2,2)=5,WEEKDAY('Daily Schedule'!$B$2,2)=7),IFERROR(1*'Daily Workforce'!$K15&gt;=3,FALSE()),IFERROR(1*'Daily Workforce'!$K15&gt;=2,FALSE())),IF(AND('Daily Schedule'!$A45&gt;=46,'Daily Schedule'!$A45&lt;=52),'Daily Workforce'!$M15="Y",IFERROR(1*'Daily Workforce'!$P15&gt;=2,FALSE()))))),1,0)</f>
        <v>0</v>
      </c>
      <c r="AA41" s="1" t="n">
        <f aca="false">IF(AND('Daily Workforce'!$N16="Y",'Daily Workforce'!$B16&lt;&gt;"",COUNTIF('Daily Schedule'!$F$5:$F44,'Daily Workforce'!$B16)=0,IF('Daily Schedule'!$A45=45,'Daily Workforce'!$J16="Y",IF(OR('Daily Schedule'!$A45=4,'Daily Schedule'!$A45=8),IF(OR(WEEKDAY('Daily Schedule'!$B$2,2)=1,WEEKDAY('Daily Schedule'!$B$2,2)=4,WEEKDAY('Daily Schedule'!$B$2,2)=5,WEEKDAY('Daily Schedule'!$B$2,2)=7),IFERROR(1*'Daily Workforce'!$K16&gt;=3,FALSE()),IFERROR(1*'Daily Workforce'!$K16&gt;=2,FALSE())),IF(AND('Daily Schedule'!$A45&gt;=46,'Daily Schedule'!$A45&lt;=52),'Daily Workforce'!$M16="Y",IFERROR(1*'Daily Workforce'!$P16&gt;=2,FALSE()))))),1,0)</f>
        <v>0</v>
      </c>
      <c r="AB41" s="1" t="n">
        <f aca="false">IF(AND('Daily Workforce'!$N17="Y",'Daily Workforce'!$B17&lt;&gt;"",COUNTIF('Daily Schedule'!$F$5:$F44,'Daily Workforce'!$B17)=0,IF('Daily Schedule'!$A45=45,'Daily Workforce'!$J17="Y",IF(OR('Daily Schedule'!$A45=4,'Daily Schedule'!$A45=8),IF(OR(WEEKDAY('Daily Schedule'!$B$2,2)=1,WEEKDAY('Daily Schedule'!$B$2,2)=4,WEEKDAY('Daily Schedule'!$B$2,2)=5,WEEKDAY('Daily Schedule'!$B$2,2)=7),IFERROR(1*'Daily Workforce'!$K17&gt;=3,FALSE()),IFERROR(1*'Daily Workforce'!$K17&gt;=2,FALSE())),IF(AND('Daily Schedule'!$A45&gt;=46,'Daily Schedule'!$A45&lt;=52),'Daily Workforce'!$M17="Y",IFERROR(1*'Daily Workforce'!$P17&gt;=2,FALSE()))))),1,0)</f>
        <v>0</v>
      </c>
      <c r="AC41" s="1" t="n">
        <f aca="false">IF(AND('Daily Workforce'!$N18="Y",'Daily Workforce'!$B18&lt;&gt;"",COUNTIF('Daily Schedule'!$F$5:$F44,'Daily Workforce'!$B18)=0,IF('Daily Schedule'!$A45=45,'Daily Workforce'!$J18="Y",IF(OR('Daily Schedule'!$A45=4,'Daily Schedule'!$A45=8),IF(OR(WEEKDAY('Daily Schedule'!$B$2,2)=1,WEEKDAY('Daily Schedule'!$B$2,2)=4,WEEKDAY('Daily Schedule'!$B$2,2)=5,WEEKDAY('Daily Schedule'!$B$2,2)=7),IFERROR(1*'Daily Workforce'!$K18&gt;=3,FALSE()),IFERROR(1*'Daily Workforce'!$K18&gt;=2,FALSE())),IF(AND('Daily Schedule'!$A45&gt;=46,'Daily Schedule'!$A45&lt;=52),'Daily Workforce'!$M18="Y",IFERROR(1*'Daily Workforce'!$P18&gt;=2,FALSE()))))),1,0)</f>
        <v>0</v>
      </c>
      <c r="AD41" s="1" t="n">
        <f aca="false">IF(AND('Daily Workforce'!$N19="Y",'Daily Workforce'!$B19&lt;&gt;"",COUNTIF('Daily Schedule'!$F$5:$F44,'Daily Workforce'!$B19)=0,IF('Daily Schedule'!$A45=45,'Daily Workforce'!$J19="Y",IF(OR('Daily Schedule'!$A45=4,'Daily Schedule'!$A45=8),IF(OR(WEEKDAY('Daily Schedule'!$B$2,2)=1,WEEKDAY('Daily Schedule'!$B$2,2)=4,WEEKDAY('Daily Schedule'!$B$2,2)=5,WEEKDAY('Daily Schedule'!$B$2,2)=7),IFERROR(1*'Daily Workforce'!$K19&gt;=3,FALSE()),IFERROR(1*'Daily Workforce'!$K19&gt;=2,FALSE())),IF(AND('Daily Schedule'!$A45&gt;=46,'Daily Schedule'!$A45&lt;=52),'Daily Workforce'!$M19="Y",IFERROR(1*'Daily Workforce'!$P19&gt;=2,FALSE()))))),1,0)</f>
        <v>0</v>
      </c>
      <c r="AE41" s="1" t="n">
        <f aca="false">IF(AND('Daily Workforce'!$N20="Y",'Daily Workforce'!$B20&lt;&gt;"",COUNTIF('Daily Schedule'!$F$5:$F44,'Daily Workforce'!$B20)=0,IF('Daily Schedule'!$A45=45,'Daily Workforce'!$J20="Y",IF(OR('Daily Schedule'!$A45=4,'Daily Schedule'!$A45=8),IF(OR(WEEKDAY('Daily Schedule'!$B$2,2)=1,WEEKDAY('Daily Schedule'!$B$2,2)=4,WEEKDAY('Daily Schedule'!$B$2,2)=5,WEEKDAY('Daily Schedule'!$B$2,2)=7),IFERROR(1*'Daily Workforce'!$K20&gt;=3,FALSE()),IFERROR(1*'Daily Workforce'!$K20&gt;=2,FALSE())),IF(AND('Daily Schedule'!$A45&gt;=46,'Daily Schedule'!$A45&lt;=52),'Daily Workforce'!$M20="Y",IFERROR(1*'Daily Workforce'!$P20&gt;=2,FALSE()))))),1,0)</f>
        <v>0</v>
      </c>
      <c r="AF41" s="1" t="n">
        <f aca="false">IF(AND('Daily Workforce'!$N21="Y",'Daily Workforce'!$B21&lt;&gt;"",COUNTIF('Daily Schedule'!$F$5:$F44,'Daily Workforce'!$B21)=0,IF('Daily Schedule'!$A45=45,'Daily Workforce'!$J21="Y",IF(OR('Daily Schedule'!$A45=4,'Daily Schedule'!$A45=8),IF(OR(WEEKDAY('Daily Schedule'!$B$2,2)=1,WEEKDAY('Daily Schedule'!$B$2,2)=4,WEEKDAY('Daily Schedule'!$B$2,2)=5,WEEKDAY('Daily Schedule'!$B$2,2)=7),IFERROR(1*'Daily Workforce'!$K21&gt;=3,FALSE()),IFERROR(1*'Daily Workforce'!$K21&gt;=2,FALSE())),IF(AND('Daily Schedule'!$A45&gt;=46,'Daily Schedule'!$A45&lt;=52),'Daily Workforce'!$M21="Y",IFERROR(1*'Daily Workforce'!$P21&gt;=2,FALSE()))))),1,0)</f>
        <v>0</v>
      </c>
      <c r="AG41" s="1" t="n">
        <f aca="false">IF(AND('Daily Workforce'!$N22="Y",'Daily Workforce'!$B22&lt;&gt;"",COUNTIF('Daily Schedule'!$F$5:$F44,'Daily Workforce'!$B22)=0,IF('Daily Schedule'!$A45=45,'Daily Workforce'!$J22="Y",IF(OR('Daily Schedule'!$A45=4,'Daily Schedule'!$A45=8),IF(OR(WEEKDAY('Daily Schedule'!$B$2,2)=1,WEEKDAY('Daily Schedule'!$B$2,2)=4,WEEKDAY('Daily Schedule'!$B$2,2)=5,WEEKDAY('Daily Schedule'!$B$2,2)=7),IFERROR(1*'Daily Workforce'!$K22&gt;=3,FALSE()),IFERROR(1*'Daily Workforce'!$K22&gt;=2,FALSE())),IF(AND('Daily Schedule'!$A45&gt;=46,'Daily Schedule'!$A45&lt;=52),'Daily Workforce'!$M22="Y",IFERROR(1*'Daily Workforce'!$P22&gt;=2,FALSE()))))),1,0)</f>
        <v>0</v>
      </c>
      <c r="AH41" s="1" t="n">
        <f aca="false">IF(AND('Daily Workforce'!$N23="Y",'Daily Workforce'!$B23&lt;&gt;"",COUNTIF('Daily Schedule'!$F$5:$F44,'Daily Workforce'!$B23)=0,IF('Daily Schedule'!$A45=45,'Daily Workforce'!$J23="Y",IF(OR('Daily Schedule'!$A45=4,'Daily Schedule'!$A45=8),IF(OR(WEEKDAY('Daily Schedule'!$B$2,2)=1,WEEKDAY('Daily Schedule'!$B$2,2)=4,WEEKDAY('Daily Schedule'!$B$2,2)=5,WEEKDAY('Daily Schedule'!$B$2,2)=7),IFERROR(1*'Daily Workforce'!$K23&gt;=3,FALSE()),IFERROR(1*'Daily Workforce'!$K23&gt;=2,FALSE())),IF(AND('Daily Schedule'!$A45&gt;=46,'Daily Schedule'!$A45&lt;=52),'Daily Workforce'!$M23="Y",IFERROR(1*'Daily Workforce'!$P23&gt;=2,FALSE()))))),1,0)</f>
        <v>0</v>
      </c>
      <c r="AI41" s="1" t="n">
        <f aca="false">IF(AND('Daily Workforce'!$N24="Y",'Daily Workforce'!$B24&lt;&gt;"",COUNTIF('Daily Schedule'!$F$5:$F44,'Daily Workforce'!$B24)=0,IF('Daily Schedule'!$A45=45,'Daily Workforce'!$J24="Y",IF(OR('Daily Schedule'!$A45=4,'Daily Schedule'!$A45=8),IF(OR(WEEKDAY('Daily Schedule'!$B$2,2)=1,WEEKDAY('Daily Schedule'!$B$2,2)=4,WEEKDAY('Daily Schedule'!$B$2,2)=5,WEEKDAY('Daily Schedule'!$B$2,2)=7),IFERROR(1*'Daily Workforce'!$K24&gt;=3,FALSE()),IFERROR(1*'Daily Workforce'!$K24&gt;=2,FALSE())),IF(AND('Daily Schedule'!$A45&gt;=46,'Daily Schedule'!$A45&lt;=52),'Daily Workforce'!$M24="Y",IFERROR(1*'Daily Workforce'!$P24&gt;=2,FALSE()))))),1,0)</f>
        <v>0</v>
      </c>
      <c r="AJ41" s="1" t="n">
        <f aca="false">IF(AND('Daily Workforce'!$N25="Y",'Daily Workforce'!$B25&lt;&gt;"",COUNTIF('Daily Schedule'!$F$5:$F44,'Daily Workforce'!$B25)=0,IF('Daily Schedule'!$A45=45,'Daily Workforce'!$J25="Y",IF(OR('Daily Schedule'!$A45=4,'Daily Schedule'!$A45=8),IF(OR(WEEKDAY('Daily Schedule'!$B$2,2)=1,WEEKDAY('Daily Schedule'!$B$2,2)=4,WEEKDAY('Daily Schedule'!$B$2,2)=5,WEEKDAY('Daily Schedule'!$B$2,2)=7),IFERROR(1*'Daily Workforce'!$K25&gt;=3,FALSE()),IFERROR(1*'Daily Workforce'!$K25&gt;=2,FALSE())),IF(AND('Daily Schedule'!$A45&gt;=46,'Daily Schedule'!$A45&lt;=52),'Daily Workforce'!$M25="Y",IFERROR(1*'Daily Workforce'!$P25&gt;=2,FALSE()))))),1,0)</f>
        <v>0</v>
      </c>
      <c r="AK41" s="1" t="n">
        <f aca="false">IF(AND('Daily Workforce'!$N26="Y",'Daily Workforce'!$B26&lt;&gt;"",COUNTIF('Daily Schedule'!$F$5:$F44,'Daily Workforce'!$B26)=0,IF('Daily Schedule'!$A45=45,'Daily Workforce'!$J26="Y",IF(OR('Daily Schedule'!$A45=4,'Daily Schedule'!$A45=8),IF(OR(WEEKDAY('Daily Schedule'!$B$2,2)=1,WEEKDAY('Daily Schedule'!$B$2,2)=4,WEEKDAY('Daily Schedule'!$B$2,2)=5,WEEKDAY('Daily Schedule'!$B$2,2)=7),IFERROR(1*'Daily Workforce'!$K26&gt;=3,FALSE()),IFERROR(1*'Daily Workforce'!$K26&gt;=2,FALSE())),IF(AND('Daily Schedule'!$A45&gt;=46,'Daily Schedule'!$A45&lt;=52),'Daily Workforce'!$M26="Y",IFERROR(1*'Daily Workforce'!$P26&gt;=2,FALSE()))))),1,0)</f>
        <v>0</v>
      </c>
      <c r="AL41" s="1" t="n">
        <f aca="false">IF(AND('Daily Workforce'!$N27="Y",'Daily Workforce'!$B27&lt;&gt;"",COUNTIF('Daily Schedule'!$F$5:$F44,'Daily Workforce'!$B27)=0,IF('Daily Schedule'!$A45=45,'Daily Workforce'!$J27="Y",IF(OR('Daily Schedule'!$A45=4,'Daily Schedule'!$A45=8),IF(OR(WEEKDAY('Daily Schedule'!$B$2,2)=1,WEEKDAY('Daily Schedule'!$B$2,2)=4,WEEKDAY('Daily Schedule'!$B$2,2)=5,WEEKDAY('Daily Schedule'!$B$2,2)=7),IFERROR(1*'Daily Workforce'!$K27&gt;=3,FALSE()),IFERROR(1*'Daily Workforce'!$K27&gt;=2,FALSE())),IF(AND('Daily Schedule'!$A45&gt;=46,'Daily Schedule'!$A45&lt;=52),'Daily Workforce'!$M27="Y",IFERROR(1*'Daily Workforce'!$P27&gt;=2,FALSE()))))),1,0)</f>
        <v>0</v>
      </c>
      <c r="AM41" s="1" t="n">
        <f aca="false">IF(AND('Daily Workforce'!$N28="Y",'Daily Workforce'!$B28&lt;&gt;"",COUNTIF('Daily Schedule'!$F$5:$F44,'Daily Workforce'!$B28)=0,IF('Daily Schedule'!$A45=45,'Daily Workforce'!$J28="Y",IF(OR('Daily Schedule'!$A45=4,'Daily Schedule'!$A45=8),IF(OR(WEEKDAY('Daily Schedule'!$B$2,2)=1,WEEKDAY('Daily Schedule'!$B$2,2)=4,WEEKDAY('Daily Schedule'!$B$2,2)=5,WEEKDAY('Daily Schedule'!$B$2,2)=7),IFERROR(1*'Daily Workforce'!$K28&gt;=3,FALSE()),IFERROR(1*'Daily Workforce'!$K28&gt;=2,FALSE())),IF(AND('Daily Schedule'!$A45&gt;=46,'Daily Schedule'!$A45&lt;=52),'Daily Workforce'!$M28="Y",IFERROR(1*'Daily Workforce'!$P28&gt;=2,FALSE()))))),1,0)</f>
        <v>0</v>
      </c>
      <c r="AN41" s="1" t="n">
        <f aca="false">IF(AND('Daily Workforce'!$N29="Y",'Daily Workforce'!$B29&lt;&gt;"",COUNTIF('Daily Schedule'!$F$5:$F44,'Daily Workforce'!$B29)=0,IF('Daily Schedule'!$A45=45,'Daily Workforce'!$J29="Y",IF(OR('Daily Schedule'!$A45=4,'Daily Schedule'!$A45=8),IF(OR(WEEKDAY('Daily Schedule'!$B$2,2)=1,WEEKDAY('Daily Schedule'!$B$2,2)=4,WEEKDAY('Daily Schedule'!$B$2,2)=5,WEEKDAY('Daily Schedule'!$B$2,2)=7),IFERROR(1*'Daily Workforce'!$K29&gt;=3,FALSE()),IFERROR(1*'Daily Workforce'!$K29&gt;=2,FALSE())),IF(AND('Daily Schedule'!$A45&gt;=46,'Daily Schedule'!$A45&lt;=52),'Daily Workforce'!$M29="Y",IFERROR(1*'Daily Workforce'!$P29&gt;=2,FALSE()))))),1,0)</f>
        <v>0</v>
      </c>
      <c r="AO41" s="1" t="n">
        <f aca="false">IF(AND('Daily Workforce'!$N30="Y",'Daily Workforce'!$B30&lt;&gt;"",COUNTIF('Daily Schedule'!$F$5:$F44,'Daily Workforce'!$B30)=0,IF('Daily Schedule'!$A45=45,'Daily Workforce'!$J30="Y",IF(OR('Daily Schedule'!$A45=4,'Daily Schedule'!$A45=8),IF(OR(WEEKDAY('Daily Schedule'!$B$2,2)=1,WEEKDAY('Daily Schedule'!$B$2,2)=4,WEEKDAY('Daily Schedule'!$B$2,2)=5,WEEKDAY('Daily Schedule'!$B$2,2)=7),IFERROR(1*'Daily Workforce'!$K30&gt;=3,FALSE()),IFERROR(1*'Daily Workforce'!$K30&gt;=2,FALSE())),IF(AND('Daily Schedule'!$A45&gt;=46,'Daily Schedule'!$A45&lt;=52),'Daily Workforce'!$M30="Y",IFERROR(1*'Daily Workforce'!$P30&gt;=2,FALSE()))))),1,0)</f>
        <v>0</v>
      </c>
      <c r="AP41" s="1" t="n">
        <f aca="false">IF(AND('Daily Workforce'!$N31="Y",'Daily Workforce'!$B31&lt;&gt;"",COUNTIF('Daily Schedule'!$F$5:$F44,'Daily Workforce'!$B31)=0,IF('Daily Schedule'!$A45=45,'Daily Workforce'!$J31="Y",IF(OR('Daily Schedule'!$A45=4,'Daily Schedule'!$A45=8),IF(OR(WEEKDAY('Daily Schedule'!$B$2,2)=1,WEEKDAY('Daily Schedule'!$B$2,2)=4,WEEKDAY('Daily Schedule'!$B$2,2)=5,WEEKDAY('Daily Schedule'!$B$2,2)=7),IFERROR(1*'Daily Workforce'!$K31&gt;=3,FALSE()),IFERROR(1*'Daily Workforce'!$K31&gt;=2,FALSE())),IF(AND('Daily Schedule'!$A45&gt;=46,'Daily Schedule'!$A45&lt;=52),'Daily Workforce'!$M31="Y",IFERROR(1*'Daily Workforce'!$P31&gt;=2,FALSE()))))),1,0)</f>
        <v>0</v>
      </c>
      <c r="AQ41" s="1" t="n">
        <f aca="false">IF(AND('Daily Workforce'!$N32="Y",'Daily Workforce'!$B32&lt;&gt;"",COUNTIF('Daily Schedule'!$F$5:$F44,'Daily Workforce'!$B32)=0,IF('Daily Schedule'!$A45=45,'Daily Workforce'!$J32="Y",IF(OR('Daily Schedule'!$A45=4,'Daily Schedule'!$A45=8),IF(OR(WEEKDAY('Daily Schedule'!$B$2,2)=1,WEEKDAY('Daily Schedule'!$B$2,2)=4,WEEKDAY('Daily Schedule'!$B$2,2)=5,WEEKDAY('Daily Schedule'!$B$2,2)=7),IFERROR(1*'Daily Workforce'!$K32&gt;=3,FALSE()),IFERROR(1*'Daily Workforce'!$K32&gt;=2,FALSE())),IF(AND('Daily Schedule'!$A45&gt;=46,'Daily Schedule'!$A45&lt;=52),'Daily Workforce'!$M32="Y",IFERROR(1*'Daily Workforce'!$P32&gt;=2,FALSE()))))),1,0)</f>
        <v>0</v>
      </c>
      <c r="AR41" s="1" t="n">
        <f aca="false">IF(AND('Daily Workforce'!$N33="Y",'Daily Workforce'!$B33&lt;&gt;"",COUNTIF('Daily Schedule'!$F$5:$F44,'Daily Workforce'!$B33)=0,IF('Daily Schedule'!$A45=45,'Daily Workforce'!$J33="Y",IF(OR('Daily Schedule'!$A45=4,'Daily Schedule'!$A45=8),IF(OR(WEEKDAY('Daily Schedule'!$B$2,2)=1,WEEKDAY('Daily Schedule'!$B$2,2)=4,WEEKDAY('Daily Schedule'!$B$2,2)=5,WEEKDAY('Daily Schedule'!$B$2,2)=7),IFERROR(1*'Daily Workforce'!$K33&gt;=3,FALSE()),IFERROR(1*'Daily Workforce'!$K33&gt;=2,FALSE())),IF(AND('Daily Schedule'!$A45&gt;=46,'Daily Schedule'!$A45&lt;=52),'Daily Workforce'!$M33="Y",IFERROR(1*'Daily Workforce'!$P33&gt;=2,FALSE()))))),1,0)</f>
        <v>0</v>
      </c>
      <c r="AS41" s="1" t="n">
        <f aca="false">IF(AND('Daily Workforce'!$N34="Y",'Daily Workforce'!$B34&lt;&gt;"",COUNTIF('Daily Schedule'!$F$5:$F44,'Daily Workforce'!$B34)=0,IF('Daily Schedule'!$A45=45,'Daily Workforce'!$J34="Y",IF(OR('Daily Schedule'!$A45=4,'Daily Schedule'!$A45=8),IF(OR(WEEKDAY('Daily Schedule'!$B$2,2)=1,WEEKDAY('Daily Schedule'!$B$2,2)=4,WEEKDAY('Daily Schedule'!$B$2,2)=5,WEEKDAY('Daily Schedule'!$B$2,2)=7),IFERROR(1*'Daily Workforce'!$K34&gt;=3,FALSE()),IFERROR(1*'Daily Workforce'!$K34&gt;=2,FALSE())),IF(AND('Daily Schedule'!$A45&gt;=46,'Daily Schedule'!$A45&lt;=52),'Daily Workforce'!$M34="Y",IFERROR(1*'Daily Workforce'!$P34&gt;=2,FALSE()))))),1,0)</f>
        <v>0</v>
      </c>
      <c r="AT41" s="1" t="n">
        <f aca="false">IF(AND('Daily Workforce'!$N35="Y",'Daily Workforce'!$B35&lt;&gt;"",COUNTIF('Daily Schedule'!$F$5:$F44,'Daily Workforce'!$B35)=0,IF('Daily Schedule'!$A45=45,'Daily Workforce'!$J35="Y",IF(OR('Daily Schedule'!$A45=4,'Daily Schedule'!$A45=8),IF(OR(WEEKDAY('Daily Schedule'!$B$2,2)=1,WEEKDAY('Daily Schedule'!$B$2,2)=4,WEEKDAY('Daily Schedule'!$B$2,2)=5,WEEKDAY('Daily Schedule'!$B$2,2)=7),IFERROR(1*'Daily Workforce'!$K35&gt;=3,FALSE()),IFERROR(1*'Daily Workforce'!$K35&gt;=2,FALSE())),IF(AND('Daily Schedule'!$A45&gt;=46,'Daily Schedule'!$A45&lt;=52),'Daily Workforce'!$M35="Y",IFERROR(1*'Daily Workforce'!$P35&gt;=2,FALSE()))))),1,0)</f>
        <v>0</v>
      </c>
      <c r="AU41" s="1" t="n">
        <f aca="false">IF(AND('Daily Workforce'!$N36="Y",'Daily Workforce'!$B36&lt;&gt;"",COUNTIF('Daily Schedule'!$F$5:$F44,'Daily Workforce'!$B36)=0,IF('Daily Schedule'!$A45=45,'Daily Workforce'!$J36="Y",IF(OR('Daily Schedule'!$A45=4,'Daily Schedule'!$A45=8),IF(OR(WEEKDAY('Daily Schedule'!$B$2,2)=1,WEEKDAY('Daily Schedule'!$B$2,2)=4,WEEKDAY('Daily Schedule'!$B$2,2)=5,WEEKDAY('Daily Schedule'!$B$2,2)=7),IFERROR(1*'Daily Workforce'!$K36&gt;=3,FALSE()),IFERROR(1*'Daily Workforce'!$K36&gt;=2,FALSE())),IF(AND('Daily Schedule'!$A45&gt;=46,'Daily Schedule'!$A45&lt;=52),'Daily Workforce'!$M36="Y",IFERROR(1*'Daily Workforce'!$P36&gt;=2,FALSE()))))),1,0)</f>
        <v>0</v>
      </c>
      <c r="AV41" s="1" t="n">
        <f aca="false">IF(AND('Daily Workforce'!$N37="Y",'Daily Workforce'!$B37&lt;&gt;"",COUNTIF('Daily Schedule'!$F$5:$F44,'Daily Workforce'!$B37)=0,IF('Daily Schedule'!$A45=45,'Daily Workforce'!$J37="Y",IF(OR('Daily Schedule'!$A45=4,'Daily Schedule'!$A45=8),IF(OR(WEEKDAY('Daily Schedule'!$B$2,2)=1,WEEKDAY('Daily Schedule'!$B$2,2)=4,WEEKDAY('Daily Schedule'!$B$2,2)=5,WEEKDAY('Daily Schedule'!$B$2,2)=7),IFERROR(1*'Daily Workforce'!$K37&gt;=3,FALSE()),IFERROR(1*'Daily Workforce'!$K37&gt;=2,FALSE())),IF(AND('Daily Schedule'!$A45&gt;=46,'Daily Schedule'!$A45&lt;=52),'Daily Workforce'!$M37="Y",IFERROR(1*'Daily Workforce'!$P37&gt;=2,FALSE()))))),1,0)</f>
        <v>0</v>
      </c>
      <c r="AW41" s="1" t="n">
        <f aca="false">IF(AND('Daily Workforce'!$N38="Y",'Daily Workforce'!$B38&lt;&gt;"",COUNTIF('Daily Schedule'!$F$5:$F44,'Daily Workforce'!$B38)=0,IF('Daily Schedule'!$A45=45,'Daily Workforce'!$J38="Y",IF(OR('Daily Schedule'!$A45=4,'Daily Schedule'!$A45=8),IF(OR(WEEKDAY('Daily Schedule'!$B$2,2)=1,WEEKDAY('Daily Schedule'!$B$2,2)=4,WEEKDAY('Daily Schedule'!$B$2,2)=5,WEEKDAY('Daily Schedule'!$B$2,2)=7),IFERROR(1*'Daily Workforce'!$K38&gt;=3,FALSE()),IFERROR(1*'Daily Workforce'!$K38&gt;=2,FALSE())),IF(AND('Daily Schedule'!$A45&gt;=46,'Daily Schedule'!$A45&lt;=52),'Daily Workforce'!$M38="Y",IFERROR(1*'Daily Workforce'!$P38&gt;=2,FALSE()))))),1,0)</f>
        <v>0</v>
      </c>
      <c r="AX41" s="1" t="n">
        <f aca="false">IF(AND('Daily Workforce'!$N39="Y",'Daily Workforce'!$B39&lt;&gt;"",COUNTIF('Daily Schedule'!$F$5:$F44,'Daily Workforce'!$B39)=0,IF('Daily Schedule'!$A45=45,'Daily Workforce'!$J39="Y",IF(OR('Daily Schedule'!$A45=4,'Daily Schedule'!$A45=8),IF(OR(WEEKDAY('Daily Schedule'!$B$2,2)=1,WEEKDAY('Daily Schedule'!$B$2,2)=4,WEEKDAY('Daily Schedule'!$B$2,2)=5,WEEKDAY('Daily Schedule'!$B$2,2)=7),IFERROR(1*'Daily Workforce'!$K39&gt;=3,FALSE()),IFERROR(1*'Daily Workforce'!$K39&gt;=2,FALSE())),IF(AND('Daily Schedule'!$A45&gt;=46,'Daily Schedule'!$A45&lt;=52),'Daily Workforce'!$M39="Y",IFERROR(1*'Daily Workforce'!$P39&gt;=2,FALSE()))))),1,0)</f>
        <v>0</v>
      </c>
      <c r="AY41" s="1" t="n">
        <f aca="false">IF(AND('Daily Workforce'!$N40="Y",'Daily Workforce'!$B40&lt;&gt;"",COUNTIF('Daily Schedule'!$F$5:$F44,'Daily Workforce'!$B40)=0,IF('Daily Schedule'!$A45=45,'Daily Workforce'!$J40="Y",IF(OR('Daily Schedule'!$A45=4,'Daily Schedule'!$A45=8),IF(OR(WEEKDAY('Daily Schedule'!$B$2,2)=1,WEEKDAY('Daily Schedule'!$B$2,2)=4,WEEKDAY('Daily Schedule'!$B$2,2)=5,WEEKDAY('Daily Schedule'!$B$2,2)=7),IFERROR(1*'Daily Workforce'!$K40&gt;=3,FALSE()),IFERROR(1*'Daily Workforce'!$K40&gt;=2,FALSE())),IF(AND('Daily Schedule'!$A45&gt;=46,'Daily Schedule'!$A45&lt;=52),'Daily Workforce'!$M40="Y",IFERROR(1*'Daily Workforce'!$P40&gt;=2,FALSE()))))),1,0)</f>
        <v>0</v>
      </c>
      <c r="AZ41" s="1" t="n">
        <f aca="false">IF(AND('Daily Workforce'!$N41="Y",'Daily Workforce'!$B41&lt;&gt;"",COUNTIF('Daily Schedule'!$F$5:$F44,'Daily Workforce'!$B41)=0,IF('Daily Schedule'!$A45=45,'Daily Workforce'!$J41="Y",IF(OR('Daily Schedule'!$A45=4,'Daily Schedule'!$A45=8),IF(OR(WEEKDAY('Daily Schedule'!$B$2,2)=1,WEEKDAY('Daily Schedule'!$B$2,2)=4,WEEKDAY('Daily Schedule'!$B$2,2)=5,WEEKDAY('Daily Schedule'!$B$2,2)=7),IFERROR(1*'Daily Workforce'!$K41&gt;=3,FALSE()),IFERROR(1*'Daily Workforce'!$K41&gt;=2,FALSE())),IF(AND('Daily Schedule'!$A45&gt;=46,'Daily Schedule'!$A45&lt;=52),'Daily Workforce'!$M41="Y",IFERROR(1*'Daily Workforce'!$P41&gt;=2,FALSE()))))),1,0)</f>
        <v>0</v>
      </c>
      <c r="BA41" s="1" t="n">
        <f aca="false">IF(AND('Daily Workforce'!$N42="Y",'Daily Workforce'!$B42&lt;&gt;"",COUNTIF('Daily Schedule'!$F$5:$F44,'Daily Workforce'!$B42)=0,IF('Daily Schedule'!$A45=45,'Daily Workforce'!$J42="Y",IF(OR('Daily Schedule'!$A45=4,'Daily Schedule'!$A45=8),IF(OR(WEEKDAY('Daily Schedule'!$B$2,2)=1,WEEKDAY('Daily Schedule'!$B$2,2)=4,WEEKDAY('Daily Schedule'!$B$2,2)=5,WEEKDAY('Daily Schedule'!$B$2,2)=7),IFERROR(1*'Daily Workforce'!$K42&gt;=3,FALSE()),IFERROR(1*'Daily Workforce'!$K42&gt;=2,FALSE())),IF(AND('Daily Schedule'!$A45&gt;=46,'Daily Schedule'!$A45&lt;=52),'Daily Workforce'!$M42="Y",IFERROR(1*'Daily Workforce'!$P42&gt;=2,FALSE()))))),1,0)</f>
        <v>0</v>
      </c>
      <c r="BB41" s="1" t="n">
        <f aca="false">IF(AND('Daily Workforce'!$N43="Y",'Daily Workforce'!$B43&lt;&gt;"",COUNTIF('Daily Schedule'!$F$5:$F44,'Daily Workforce'!$B43)=0,IF('Daily Schedule'!$A45=45,'Daily Workforce'!$J43="Y",IF(OR('Daily Schedule'!$A45=4,'Daily Schedule'!$A45=8),IF(OR(WEEKDAY('Daily Schedule'!$B$2,2)=1,WEEKDAY('Daily Schedule'!$B$2,2)=4,WEEKDAY('Daily Schedule'!$B$2,2)=5,WEEKDAY('Daily Schedule'!$B$2,2)=7),IFERROR(1*'Daily Workforce'!$K43&gt;=3,FALSE()),IFERROR(1*'Daily Workforce'!$K43&gt;=2,FALSE())),IF(AND('Daily Schedule'!$A45&gt;=46,'Daily Schedule'!$A45&lt;=52),'Daily Workforce'!$M43="Y",IFERROR(1*'Daily Workforce'!$P43&gt;=2,FALSE()))))),1,0)</f>
        <v>0</v>
      </c>
      <c r="BC41" s="1" t="n">
        <f aca="false">IF(AND('Daily Workforce'!$N44="Y",'Daily Workforce'!$B44&lt;&gt;"",COUNTIF('Daily Schedule'!$F$5:$F44,'Daily Workforce'!$B44)=0,IF('Daily Schedule'!$A45=45,'Daily Workforce'!$J44="Y",IF(OR('Daily Schedule'!$A45=4,'Daily Schedule'!$A45=8),IF(OR(WEEKDAY('Daily Schedule'!$B$2,2)=1,WEEKDAY('Daily Schedule'!$B$2,2)=4,WEEKDAY('Daily Schedule'!$B$2,2)=5,WEEKDAY('Daily Schedule'!$B$2,2)=7),IFERROR(1*'Daily Workforce'!$K44&gt;=3,FALSE()),IFERROR(1*'Daily Workforce'!$K44&gt;=2,FALSE())),IF(AND('Daily Schedule'!$A45&gt;=46,'Daily Schedule'!$A45&lt;=52),'Daily Workforce'!$M44="Y",IFERROR(1*'Daily Workforce'!$P44&gt;=2,FALSE()))))),1,0)</f>
        <v>1</v>
      </c>
      <c r="BD41" s="1" t="n">
        <f aca="false">IF(AND('Daily Workforce'!$N45="Y",'Daily Workforce'!$B45&lt;&gt;"",COUNTIF('Daily Schedule'!$F$5:$F44,'Daily Workforce'!$B45)=0,IF('Daily Schedule'!$A45=45,'Daily Workforce'!$J45="Y",IF(OR('Daily Schedule'!$A45=4,'Daily Schedule'!$A45=8),IF(OR(WEEKDAY('Daily Schedule'!$B$2,2)=1,WEEKDAY('Daily Schedule'!$B$2,2)=4,WEEKDAY('Daily Schedule'!$B$2,2)=5,WEEKDAY('Daily Schedule'!$B$2,2)=7),IFERROR(1*'Daily Workforce'!$K45&gt;=3,FALSE()),IFERROR(1*'Daily Workforce'!$K45&gt;=2,FALSE())),IF(AND('Daily Schedule'!$A45&gt;=46,'Daily Schedule'!$A45&lt;=52),'Daily Workforce'!$M45="Y",IFERROR(1*'Daily Workforce'!$P45&gt;=2,FALSE()))))),1,0)</f>
        <v>1</v>
      </c>
      <c r="BE41" s="1" t="n">
        <f aca="false">IF(AND('Daily Workforce'!$N46="Y",'Daily Workforce'!$B46&lt;&gt;"",COUNTIF('Daily Schedule'!$F$5:$F44,'Daily Workforce'!$B46)=0,IF('Daily Schedule'!$A45=45,'Daily Workforce'!$J46="Y",IF(OR('Daily Schedule'!$A45=4,'Daily Schedule'!$A45=8),IF(OR(WEEKDAY('Daily Schedule'!$B$2,2)=1,WEEKDAY('Daily Schedule'!$B$2,2)=4,WEEKDAY('Daily Schedule'!$B$2,2)=5,WEEKDAY('Daily Schedule'!$B$2,2)=7),IFERROR(1*'Daily Workforce'!$K46&gt;=3,FALSE()),IFERROR(1*'Daily Workforce'!$K46&gt;=2,FALSE())),IF(AND('Daily Schedule'!$A45&gt;=46,'Daily Schedule'!$A45&lt;=52),'Daily Workforce'!$M46="Y",IFERROR(1*'Daily Workforce'!$P46&gt;=2,FALSE()))))),1,0)</f>
        <v>1</v>
      </c>
      <c r="BF41" s="1" t="n">
        <f aca="false">IF(AND('Daily Workforce'!$N47="Y",'Daily Workforce'!$B47&lt;&gt;"",COUNTIF('Daily Schedule'!$F$5:$F44,'Daily Workforce'!$B47)=0,IF('Daily Schedule'!$A45=45,'Daily Workforce'!$J47="Y",IF(OR('Daily Schedule'!$A45=4,'Daily Schedule'!$A45=8),IF(OR(WEEKDAY('Daily Schedule'!$B$2,2)=1,WEEKDAY('Daily Schedule'!$B$2,2)=4,WEEKDAY('Daily Schedule'!$B$2,2)=5,WEEKDAY('Daily Schedule'!$B$2,2)=7),IFERROR(1*'Daily Workforce'!$K47&gt;=3,FALSE()),IFERROR(1*'Daily Workforce'!$K47&gt;=2,FALSE())),IF(AND('Daily Schedule'!$A45&gt;=46,'Daily Schedule'!$A45&lt;=52),'Daily Workforce'!$M47="Y",IFERROR(1*'Daily Workforce'!$P47&gt;=2,FALSE()))))),1,0)</f>
        <v>0</v>
      </c>
      <c r="BG41" s="1" t="n">
        <f aca="false">IF(AND('Daily Workforce'!$N48="Y",'Daily Workforce'!$B48&lt;&gt;"",COUNTIF('Daily Schedule'!$F$5:$F44,'Daily Workforce'!$B48)=0,IF('Daily Schedule'!$A45=45,'Daily Workforce'!$J48="Y",IF(OR('Daily Schedule'!$A45=4,'Daily Schedule'!$A45=8),IF(OR(WEEKDAY('Daily Schedule'!$B$2,2)=1,WEEKDAY('Daily Schedule'!$B$2,2)=4,WEEKDAY('Daily Schedule'!$B$2,2)=5,WEEKDAY('Daily Schedule'!$B$2,2)=7),IFERROR(1*'Daily Workforce'!$K48&gt;=3,FALSE()),IFERROR(1*'Daily Workforce'!$K48&gt;=2,FALSE())),IF(AND('Daily Schedule'!$A45&gt;=46,'Daily Schedule'!$A45&lt;=52),'Daily Workforce'!$M48="Y",IFERROR(1*'Daily Workforce'!$P48&gt;=2,FALSE()))))),1,0)</f>
        <v>1</v>
      </c>
      <c r="BH41" s="1" t="n">
        <f aca="false">IF(AND('Daily Workforce'!$N49="Y",'Daily Workforce'!$B49&lt;&gt;"",COUNTIF('Daily Schedule'!$F$5:$F44,'Daily Workforce'!$B49)=0,IF('Daily Schedule'!$A45=45,'Daily Workforce'!$J49="Y",IF(OR('Daily Schedule'!$A45=4,'Daily Schedule'!$A45=8),IF(OR(WEEKDAY('Daily Schedule'!$B$2,2)=1,WEEKDAY('Daily Schedule'!$B$2,2)=4,WEEKDAY('Daily Schedule'!$B$2,2)=5,WEEKDAY('Daily Schedule'!$B$2,2)=7),IFERROR(1*'Daily Workforce'!$K49&gt;=3,FALSE()),IFERROR(1*'Daily Workforce'!$K49&gt;=2,FALSE())),IF(AND('Daily Schedule'!$A45&gt;=46,'Daily Schedule'!$A45&lt;=52),'Daily Workforce'!$M49="Y",IFERROR(1*'Daily Workforce'!$P49&gt;=2,FALSE()))))),1,0)</f>
        <v>1</v>
      </c>
      <c r="BI41" s="1" t="n">
        <f aca="false">IF(AND('Daily Workforce'!$N50="Y",'Daily Workforce'!$B50&lt;&gt;"",COUNTIF('Daily Schedule'!$F$5:$F44,'Daily Workforce'!$B50)=0,IF('Daily Schedule'!$A45=45,'Daily Workforce'!$J50="Y",IF(OR('Daily Schedule'!$A45=4,'Daily Schedule'!$A45=8),IF(OR(WEEKDAY('Daily Schedule'!$B$2,2)=1,WEEKDAY('Daily Schedule'!$B$2,2)=4,WEEKDAY('Daily Schedule'!$B$2,2)=5,WEEKDAY('Daily Schedule'!$B$2,2)=7),IFERROR(1*'Daily Workforce'!$K50&gt;=3,FALSE()),IFERROR(1*'Daily Workforce'!$K50&gt;=2,FALSE())),IF(AND('Daily Schedule'!$A45&gt;=46,'Daily Schedule'!$A45&lt;=52),'Daily Workforce'!$M50="Y",IFERROR(1*'Daily Workforce'!$P50&gt;=2,FALSE()))))),1,0)</f>
        <v>0</v>
      </c>
      <c r="BJ41" s="1" t="n">
        <f aca="false">IF(AND('Daily Workforce'!$N51="Y",'Daily Workforce'!$B51&lt;&gt;"",COUNTIF('Daily Schedule'!$F$5:$F44,'Daily Workforce'!$B51)=0,IF('Daily Schedule'!$A45=45,'Daily Workforce'!$J51="Y",IF(OR('Daily Schedule'!$A45=4,'Daily Schedule'!$A45=8),IF(OR(WEEKDAY('Daily Schedule'!$B$2,2)=1,WEEKDAY('Daily Schedule'!$B$2,2)=4,WEEKDAY('Daily Schedule'!$B$2,2)=5,WEEKDAY('Daily Schedule'!$B$2,2)=7),IFERROR(1*'Daily Workforce'!$K51&gt;=3,FALSE()),IFERROR(1*'Daily Workforce'!$K51&gt;=2,FALSE())),IF(AND('Daily Schedule'!$A45&gt;=46,'Daily Schedule'!$A45&lt;=52),'Daily Workforce'!$M51="Y",IFERROR(1*'Daily Workforce'!$P51&gt;=2,FALSE()))))),1,0)</f>
        <v>1</v>
      </c>
      <c r="BK41" s="1" t="n">
        <f aca="false">IF(AND('Daily Workforce'!$N52="Y",'Daily Workforce'!$B52&lt;&gt;"",COUNTIF('Daily Schedule'!$F$5:$F44,'Daily Workforce'!$B52)=0,IF('Daily Schedule'!$A45=45,'Daily Workforce'!$J52="Y",IF(OR('Daily Schedule'!$A45=4,'Daily Schedule'!$A45=8),IF(OR(WEEKDAY('Daily Schedule'!$B$2,2)=1,WEEKDAY('Daily Schedule'!$B$2,2)=4,WEEKDAY('Daily Schedule'!$B$2,2)=5,WEEKDAY('Daily Schedule'!$B$2,2)=7),IFERROR(1*'Daily Workforce'!$K52&gt;=3,FALSE()),IFERROR(1*'Daily Workforce'!$K52&gt;=2,FALSE())),IF(AND('Daily Schedule'!$A45&gt;=46,'Daily Schedule'!$A45&lt;=52),'Daily Workforce'!$M52="Y",IFERROR(1*'Daily Workforce'!$P52&gt;=2,FALSE()))))),1,0)</f>
        <v>1</v>
      </c>
      <c r="BL41" s="1" t="n">
        <f aca="false">IF(AND('Daily Workforce'!$N53="Y",'Daily Workforce'!$B53&lt;&gt;"",COUNTIF('Daily Schedule'!$F$5:$F44,'Daily Workforce'!$B53)=0,IF('Daily Schedule'!$A45=45,'Daily Workforce'!$J53="Y",IF(OR('Daily Schedule'!$A45=4,'Daily Schedule'!$A45=8),IF(OR(WEEKDAY('Daily Schedule'!$B$2,2)=1,WEEKDAY('Daily Schedule'!$B$2,2)=4,WEEKDAY('Daily Schedule'!$B$2,2)=5,WEEKDAY('Daily Schedule'!$B$2,2)=7),IFERROR(1*'Daily Workforce'!$K53&gt;=3,FALSE()),IFERROR(1*'Daily Workforce'!$K53&gt;=2,FALSE())),IF(AND('Daily Schedule'!$A45&gt;=46,'Daily Schedule'!$A45&lt;=52),'Daily Workforce'!$M53="Y",IFERROR(1*'Daily Workforce'!$P53&gt;=2,FALSE()))))),1,0)</f>
        <v>1</v>
      </c>
      <c r="BM41" s="1" t="n">
        <f aca="false">IF(AND('Daily Workforce'!$N54="Y",'Daily Workforce'!$B54&lt;&gt;"",COUNTIF('Daily Schedule'!$F$5:$F44,'Daily Workforce'!$B54)=0,IF('Daily Schedule'!$A45=45,'Daily Workforce'!$J54="Y",IF(OR('Daily Schedule'!$A45=4,'Daily Schedule'!$A45=8),IF(OR(WEEKDAY('Daily Schedule'!$B$2,2)=1,WEEKDAY('Daily Schedule'!$B$2,2)=4,WEEKDAY('Daily Schedule'!$B$2,2)=5,WEEKDAY('Daily Schedule'!$B$2,2)=7),IFERROR(1*'Daily Workforce'!$K54&gt;=3,FALSE()),IFERROR(1*'Daily Workforce'!$K54&gt;=2,FALSE())),IF(AND('Daily Schedule'!$A45&gt;=46,'Daily Schedule'!$A45&lt;=52),'Daily Workforce'!$M54="Y",IFERROR(1*'Daily Workforce'!$P54&gt;=2,FALSE()))))),1,0)</f>
        <v>1</v>
      </c>
      <c r="BN41" s="1" t="n">
        <f aca="false">IF(AND('Daily Workforce'!$N55="Y",'Daily Workforce'!$B55&lt;&gt;"",COUNTIF('Daily Schedule'!$F$5:$F44,'Daily Workforce'!$B55)=0,IF('Daily Schedule'!$A45=45,'Daily Workforce'!$J55="Y",IF(OR('Daily Schedule'!$A45=4,'Daily Schedule'!$A45=8),IF(OR(WEEKDAY('Daily Schedule'!$B$2,2)=1,WEEKDAY('Daily Schedule'!$B$2,2)=4,WEEKDAY('Daily Schedule'!$B$2,2)=5,WEEKDAY('Daily Schedule'!$B$2,2)=7),IFERROR(1*'Daily Workforce'!$K55&gt;=3,FALSE()),IFERROR(1*'Daily Workforce'!$K55&gt;=2,FALSE())),IF(AND('Daily Schedule'!$A45&gt;=46,'Daily Schedule'!$A45&lt;=52),'Daily Workforce'!$M55="Y",IFERROR(1*'Daily Workforce'!$P55&gt;=2,FALSE()))))),1,0)</f>
        <v>1</v>
      </c>
      <c r="BO41" s="1" t="n">
        <f aca="false">IF(AND('Daily Workforce'!$N56="Y",'Daily Workforce'!$B56&lt;&gt;"",COUNTIF('Daily Schedule'!$F$5:$F44,'Daily Workforce'!$B56)=0,IF('Daily Schedule'!$A45=45,'Daily Workforce'!$J56="Y",IF(OR('Daily Schedule'!$A45=4,'Daily Schedule'!$A45=8),IF(OR(WEEKDAY('Daily Schedule'!$B$2,2)=1,WEEKDAY('Daily Schedule'!$B$2,2)=4,WEEKDAY('Daily Schedule'!$B$2,2)=5,WEEKDAY('Daily Schedule'!$B$2,2)=7),IFERROR(1*'Daily Workforce'!$K56&gt;=3,FALSE()),IFERROR(1*'Daily Workforce'!$K56&gt;=2,FALSE())),IF(AND('Daily Schedule'!$A45&gt;=46,'Daily Schedule'!$A45&lt;=52),'Daily Workforce'!$M56="Y",IFERROR(1*'Daily Workforce'!$P56&gt;=2,FALSE()))))),1,0)</f>
        <v>1</v>
      </c>
      <c r="BP41" s="1" t="n">
        <f aca="false">IF(AND('Daily Workforce'!$N57="Y",'Daily Workforce'!$B57&lt;&gt;"",COUNTIF('Daily Schedule'!$F$5:$F44,'Daily Workforce'!$B57)=0,IF('Daily Schedule'!$A45=45,'Daily Workforce'!$J57="Y",IF(OR('Daily Schedule'!$A45=4,'Daily Schedule'!$A45=8),IF(OR(WEEKDAY('Daily Schedule'!$B$2,2)=1,WEEKDAY('Daily Schedule'!$B$2,2)=4,WEEKDAY('Daily Schedule'!$B$2,2)=5,WEEKDAY('Daily Schedule'!$B$2,2)=7),IFERROR(1*'Daily Workforce'!$K57&gt;=3,FALSE()),IFERROR(1*'Daily Workforce'!$K57&gt;=2,FALSE())),IF(AND('Daily Schedule'!$A45&gt;=46,'Daily Schedule'!$A45&lt;=52),'Daily Workforce'!$M57="Y",IFERROR(1*'Daily Workforce'!$P57&gt;=2,FALSE()))))),1,0)</f>
        <v>0</v>
      </c>
      <c r="BQ41" s="1" t="n">
        <f aca="false">IF(AND('Daily Workforce'!$N58="Y",'Daily Workforce'!$B58&lt;&gt;"",COUNTIF('Daily Schedule'!$F$5:$F44,'Daily Workforce'!$B58)=0,IF('Daily Schedule'!$A45=45,'Daily Workforce'!$J58="Y",IF(OR('Daily Schedule'!$A45=4,'Daily Schedule'!$A45=8),IF(OR(WEEKDAY('Daily Schedule'!$B$2,2)=1,WEEKDAY('Daily Schedule'!$B$2,2)=4,WEEKDAY('Daily Schedule'!$B$2,2)=5,WEEKDAY('Daily Schedule'!$B$2,2)=7),IFERROR(1*'Daily Workforce'!$K58&gt;=3,FALSE()),IFERROR(1*'Daily Workforce'!$K58&gt;=2,FALSE())),IF(AND('Daily Schedule'!$A45&gt;=46,'Daily Schedule'!$A45&lt;=52),'Daily Workforce'!$M58="Y",IFERROR(1*'Daily Workforce'!$P58&gt;=2,FALSE()))))),1,0)</f>
        <v>1</v>
      </c>
      <c r="BR41" s="1" t="n">
        <f aca="false">IF(AND('Daily Workforce'!$N59="Y",'Daily Workforce'!$B59&lt;&gt;"",COUNTIF('Daily Schedule'!$F$5:$F44,'Daily Workforce'!$B59)=0,IF('Daily Schedule'!$A45=45,'Daily Workforce'!$J59="Y",IF(OR('Daily Schedule'!$A45=4,'Daily Schedule'!$A45=8),IF(OR(WEEKDAY('Daily Schedule'!$B$2,2)=1,WEEKDAY('Daily Schedule'!$B$2,2)=4,WEEKDAY('Daily Schedule'!$B$2,2)=5,WEEKDAY('Daily Schedule'!$B$2,2)=7),IFERROR(1*'Daily Workforce'!$K59&gt;=3,FALSE()),IFERROR(1*'Daily Workforce'!$K59&gt;=2,FALSE())),IF(AND('Daily Schedule'!$A45&gt;=46,'Daily Schedule'!$A45&lt;=52),'Daily Workforce'!$M59="Y",IFERROR(1*'Daily Workforce'!$P59&gt;=2,FALSE()))))),1,0)</f>
        <v>1</v>
      </c>
      <c r="BS41" s="1" t="n">
        <f aca="false">IF(AND('Daily Workforce'!$N60="Y",'Daily Workforce'!$B60&lt;&gt;"",COUNTIF('Daily Schedule'!$F$5:$F44,'Daily Workforce'!$B60)=0,IF('Daily Schedule'!$A45=45,'Daily Workforce'!$J60="Y",IF(OR('Daily Schedule'!$A45=4,'Daily Schedule'!$A45=8),IF(OR(WEEKDAY('Daily Schedule'!$B$2,2)=1,WEEKDAY('Daily Schedule'!$B$2,2)=4,WEEKDAY('Daily Schedule'!$B$2,2)=5,WEEKDAY('Daily Schedule'!$B$2,2)=7),IFERROR(1*'Daily Workforce'!$K60&gt;=3,FALSE()),IFERROR(1*'Daily Workforce'!$K60&gt;=2,FALSE())),IF(AND('Daily Schedule'!$A45&gt;=46,'Daily Schedule'!$A45&lt;=52),'Daily Workforce'!$M60="Y",IFERROR(1*'Daily Workforce'!$P60&gt;=2,FALSE()))))),1,0)</f>
        <v>1</v>
      </c>
      <c r="BT41" s="1" t="n">
        <f aca="false">IF(AND('Daily Workforce'!$N61="Y",'Daily Workforce'!$B61&lt;&gt;"",COUNTIF('Daily Schedule'!$F$5:$F44,'Daily Workforce'!$B61)=0,IF('Daily Schedule'!$A45=45,'Daily Workforce'!$J61="Y",IF(OR('Daily Schedule'!$A45=4,'Daily Schedule'!$A45=8),IF(OR(WEEKDAY('Daily Schedule'!$B$2,2)=1,WEEKDAY('Daily Schedule'!$B$2,2)=4,WEEKDAY('Daily Schedule'!$B$2,2)=5,WEEKDAY('Daily Schedule'!$B$2,2)=7),IFERROR(1*'Daily Workforce'!$K61&gt;=3,FALSE()),IFERROR(1*'Daily Workforce'!$K61&gt;=2,FALSE())),IF(AND('Daily Schedule'!$A45&gt;=46,'Daily Schedule'!$A45&lt;=52),'Daily Workforce'!$M61="Y",IFERROR(1*'Daily Workforce'!$P61&gt;=2,FALSE()))))),1,0)</f>
        <v>0</v>
      </c>
      <c r="BU41" s="1" t="n">
        <f aca="false">IF(AND('Daily Workforce'!$N62="Y",'Daily Workforce'!$B62&lt;&gt;"",COUNTIF('Daily Schedule'!$F$5:$F44,'Daily Workforce'!$B62)=0,IF('Daily Schedule'!$A45=45,'Daily Workforce'!$J62="Y",IF(OR('Daily Schedule'!$A45=4,'Daily Schedule'!$A45=8),IF(OR(WEEKDAY('Daily Schedule'!$B$2,2)=1,WEEKDAY('Daily Schedule'!$B$2,2)=4,WEEKDAY('Daily Schedule'!$B$2,2)=5,WEEKDAY('Daily Schedule'!$B$2,2)=7),IFERROR(1*'Daily Workforce'!$K62&gt;=3,FALSE()),IFERROR(1*'Daily Workforce'!$K62&gt;=2,FALSE())),IF(AND('Daily Schedule'!$A45&gt;=46,'Daily Schedule'!$A45&lt;=52),'Daily Workforce'!$M62="Y",IFERROR(1*'Daily Workforce'!$P62&gt;=2,FALSE()))))),1,0)</f>
        <v>1</v>
      </c>
      <c r="BV41" s="1" t="n">
        <f aca="false">IF(AND('Daily Workforce'!$N63="Y",'Daily Workforce'!$B63&lt;&gt;"",COUNTIF('Daily Schedule'!$F$5:$F44,'Daily Workforce'!$B63)=0,IF('Daily Schedule'!$A45=45,'Daily Workforce'!$J63="Y",IF(OR('Daily Schedule'!$A45=4,'Daily Schedule'!$A45=8),IF(OR(WEEKDAY('Daily Schedule'!$B$2,2)=1,WEEKDAY('Daily Schedule'!$B$2,2)=4,WEEKDAY('Daily Schedule'!$B$2,2)=5,WEEKDAY('Daily Schedule'!$B$2,2)=7),IFERROR(1*'Daily Workforce'!$K63&gt;=3,FALSE()),IFERROR(1*'Daily Workforce'!$K63&gt;=2,FALSE())),IF(AND('Daily Schedule'!$A45&gt;=46,'Daily Schedule'!$A45&lt;=52),'Daily Workforce'!$M63="Y",IFERROR(1*'Daily Workforce'!$P63&gt;=2,FALSE()))))),1,0)</f>
        <v>1</v>
      </c>
      <c r="BW41" s="1" t="n">
        <f aca="false">IF(AND('Daily Workforce'!$N64="Y",'Daily Workforce'!$B64&lt;&gt;"",COUNTIF('Daily Schedule'!$F$5:$F44,'Daily Workforce'!$B64)=0,IF('Daily Schedule'!$A45=45,'Daily Workforce'!$J64="Y",IF(OR('Daily Schedule'!$A45=4,'Daily Schedule'!$A45=8),IF(OR(WEEKDAY('Daily Schedule'!$B$2,2)=1,WEEKDAY('Daily Schedule'!$B$2,2)=4,WEEKDAY('Daily Schedule'!$B$2,2)=5,WEEKDAY('Daily Schedule'!$B$2,2)=7),IFERROR(1*'Daily Workforce'!$K64&gt;=3,FALSE()),IFERROR(1*'Daily Workforce'!$K64&gt;=2,FALSE())),IF(AND('Daily Schedule'!$A45&gt;=46,'Daily Schedule'!$A45&lt;=52),'Daily Workforce'!$M64="Y",IFERROR(1*'Daily Workforce'!$P64&gt;=2,FALSE()))))),1,0)</f>
        <v>1</v>
      </c>
      <c r="BX41" s="1" t="n">
        <f aca="false">IF(AND('Daily Workforce'!$N65="Y",'Daily Workforce'!$B65&lt;&gt;"",COUNTIF('Daily Schedule'!$F$5:$F44,'Daily Workforce'!$B65)=0,IF('Daily Schedule'!$A45=45,'Daily Workforce'!$J65="Y",IF(OR('Daily Schedule'!$A45=4,'Daily Schedule'!$A45=8),IF(OR(WEEKDAY('Daily Schedule'!$B$2,2)=1,WEEKDAY('Daily Schedule'!$B$2,2)=4,WEEKDAY('Daily Schedule'!$B$2,2)=5,WEEKDAY('Daily Schedule'!$B$2,2)=7),IFERROR(1*'Daily Workforce'!$K65&gt;=3,FALSE()),IFERROR(1*'Daily Workforce'!$K65&gt;=2,FALSE())),IF(AND('Daily Schedule'!$A45&gt;=46,'Daily Schedule'!$A45&lt;=52),'Daily Workforce'!$M65="Y",IFERROR(1*'Daily Workforce'!$P65&gt;=2,FALSE()))))),1,0)</f>
        <v>1</v>
      </c>
      <c r="BY41" s="1" t="n">
        <f aca="false">IF(AND('Daily Workforce'!$N66="Y",'Daily Workforce'!$B66&lt;&gt;"",COUNTIF('Daily Schedule'!$F$5:$F44,'Daily Workforce'!$B66)=0,IF('Daily Schedule'!$A45=45,'Daily Workforce'!$J66="Y",IF(OR('Daily Schedule'!$A45=4,'Daily Schedule'!$A45=8),IF(OR(WEEKDAY('Daily Schedule'!$B$2,2)=1,WEEKDAY('Daily Schedule'!$B$2,2)=4,WEEKDAY('Daily Schedule'!$B$2,2)=5,WEEKDAY('Daily Schedule'!$B$2,2)=7),IFERROR(1*'Daily Workforce'!$K66&gt;=3,FALSE()),IFERROR(1*'Daily Workforce'!$K66&gt;=2,FALSE())),IF(AND('Daily Schedule'!$A45&gt;=46,'Daily Schedule'!$A45&lt;=52),'Daily Workforce'!$M66="Y",IFERROR(1*'Daily Workforce'!$P66&gt;=2,FALSE()))))),1,0)</f>
        <v>1</v>
      </c>
      <c r="BZ41" s="1" t="n">
        <f aca="false">IF(AND('Daily Workforce'!$N67="Y",'Daily Workforce'!$B67&lt;&gt;"",COUNTIF('Daily Schedule'!$F$5:$F44,'Daily Workforce'!$B67)=0,IF('Daily Schedule'!$A45=45,'Daily Workforce'!$J67="Y",IF(OR('Daily Schedule'!$A45=4,'Daily Schedule'!$A45=8),IF(OR(WEEKDAY('Daily Schedule'!$B$2,2)=1,WEEKDAY('Daily Schedule'!$B$2,2)=4,WEEKDAY('Daily Schedule'!$B$2,2)=5,WEEKDAY('Daily Schedule'!$B$2,2)=7),IFERROR(1*'Daily Workforce'!$K67&gt;=3,FALSE()),IFERROR(1*'Daily Workforce'!$K67&gt;=2,FALSE())),IF(AND('Daily Schedule'!$A45&gt;=46,'Daily Schedule'!$A45&lt;=52),'Daily Workforce'!$M67="Y",IFERROR(1*'Daily Workforce'!$P67&gt;=2,FALSE()))))),1,0)</f>
        <v>1</v>
      </c>
      <c r="CA41" s="1" t="n">
        <f aca="false">IF(AND('Daily Workforce'!$N68="Y",'Daily Workforce'!$B68&lt;&gt;"",COUNTIF('Daily Schedule'!$F$5:$F44,'Daily Workforce'!$B68)=0,IF('Daily Schedule'!$A45=45,'Daily Workforce'!$J68="Y",IF(OR('Daily Schedule'!$A45=4,'Daily Schedule'!$A45=8),IF(OR(WEEKDAY('Daily Schedule'!$B$2,2)=1,WEEKDAY('Daily Schedule'!$B$2,2)=4,WEEKDAY('Daily Schedule'!$B$2,2)=5,WEEKDAY('Daily Schedule'!$B$2,2)=7),IFERROR(1*'Daily Workforce'!$K68&gt;=3,FALSE()),IFERROR(1*'Daily Workforce'!$K68&gt;=2,FALSE())),IF(AND('Daily Schedule'!$A45&gt;=46,'Daily Schedule'!$A45&lt;=52),'Daily Workforce'!$M68="Y",IFERROR(1*'Daily Workforce'!$P68&gt;=2,FALSE()))))),1,0)</f>
        <v>1</v>
      </c>
      <c r="CB41" s="1" t="n">
        <f aca="false">IF(AND('Daily Workforce'!$N69="Y",'Daily Workforce'!$B69&lt;&gt;"",COUNTIF('Daily Schedule'!$F$5:$F44,'Daily Workforce'!$B69)=0,IF('Daily Schedule'!$A45=45,'Daily Workforce'!$J69="Y",IF(OR('Daily Schedule'!$A45=4,'Daily Schedule'!$A45=8),IF(OR(WEEKDAY('Daily Schedule'!$B$2,2)=1,WEEKDAY('Daily Schedule'!$B$2,2)=4,WEEKDAY('Daily Schedule'!$B$2,2)=5,WEEKDAY('Daily Schedule'!$B$2,2)=7),IFERROR(1*'Daily Workforce'!$K69&gt;=3,FALSE()),IFERROR(1*'Daily Workforce'!$K69&gt;=2,FALSE())),IF(AND('Daily Schedule'!$A45&gt;=46,'Daily Schedule'!$A45&lt;=52),'Daily Workforce'!$M69="Y",IFERROR(1*'Daily Workforce'!$P69&gt;=2,FALSE()))))),1,0)</f>
        <v>1</v>
      </c>
      <c r="CC41" s="1" t="n">
        <f aca="false">IF(AND('Daily Workforce'!$N70="Y",'Daily Workforce'!$B70&lt;&gt;"",COUNTIF('Daily Schedule'!$F$5:$F44,'Daily Workforce'!$B70)=0,IF('Daily Schedule'!$A45=45,'Daily Workforce'!$J70="Y",IF(OR('Daily Schedule'!$A45=4,'Daily Schedule'!$A45=8),IF(OR(WEEKDAY('Daily Schedule'!$B$2,2)=1,WEEKDAY('Daily Schedule'!$B$2,2)=4,WEEKDAY('Daily Schedule'!$B$2,2)=5,WEEKDAY('Daily Schedule'!$B$2,2)=7),IFERROR(1*'Daily Workforce'!$K70&gt;=3,FALSE()),IFERROR(1*'Daily Workforce'!$K70&gt;=2,FALSE())),IF(AND('Daily Schedule'!$A45&gt;=46,'Daily Schedule'!$A45&lt;=52),'Daily Workforce'!$M70="Y",IFERROR(1*'Daily Workforce'!$P70&gt;=2,FALSE()))))),1,0)</f>
        <v>1</v>
      </c>
      <c r="CD41" s="1" t="n">
        <f aca="false">IF(AND('Daily Workforce'!$N71="Y",'Daily Workforce'!$B71&lt;&gt;"",COUNTIF('Daily Schedule'!$F$5:$F44,'Daily Workforce'!$B71)=0,IF('Daily Schedule'!$A45=45,'Daily Workforce'!$J71="Y",IF(OR('Daily Schedule'!$A45=4,'Daily Schedule'!$A45=8),IF(OR(WEEKDAY('Daily Schedule'!$B$2,2)=1,WEEKDAY('Daily Schedule'!$B$2,2)=4,WEEKDAY('Daily Schedule'!$B$2,2)=5,WEEKDAY('Daily Schedule'!$B$2,2)=7),IFERROR(1*'Daily Workforce'!$K71&gt;=3,FALSE()),IFERROR(1*'Daily Workforce'!$K71&gt;=2,FALSE())),IF(AND('Daily Schedule'!$A45&gt;=46,'Daily Schedule'!$A45&lt;=52),'Daily Workforce'!$M71="Y",IFERROR(1*'Daily Workforce'!$P71&gt;=2,FALSE()))))),1,0)</f>
        <v>1</v>
      </c>
      <c r="CE41" s="1" t="n">
        <f aca="false">IF(AND('Daily Workforce'!$N72="Y",'Daily Workforce'!$B72&lt;&gt;"",COUNTIF('Daily Schedule'!$F$5:$F44,'Daily Workforce'!$B72)=0,IF('Daily Schedule'!$A45=45,'Daily Workforce'!$J72="Y",IF(OR('Daily Schedule'!$A45=4,'Daily Schedule'!$A45=8),IF(OR(WEEKDAY('Daily Schedule'!$B$2,2)=1,WEEKDAY('Daily Schedule'!$B$2,2)=4,WEEKDAY('Daily Schedule'!$B$2,2)=5,WEEKDAY('Daily Schedule'!$B$2,2)=7),IFERROR(1*'Daily Workforce'!$K72&gt;=3,FALSE()),IFERROR(1*'Daily Workforce'!$K72&gt;=2,FALSE())),IF(AND('Daily Schedule'!$A45&gt;=46,'Daily Schedule'!$A45&lt;=52),'Daily Workforce'!$M72="Y",IFERROR(1*'Daily Workforce'!$P72&gt;=2,FALSE()))))),1,0)</f>
        <v>1</v>
      </c>
      <c r="CF41" s="1" t="n">
        <f aca="false">IF(AND('Daily Workforce'!$N73="Y",'Daily Workforce'!$B73&lt;&gt;"",COUNTIF('Daily Schedule'!$F$5:$F44,'Daily Workforce'!$B73)=0,IF('Daily Schedule'!$A45=45,'Daily Workforce'!$J73="Y",IF(OR('Daily Schedule'!$A45=4,'Daily Schedule'!$A45=8),IF(OR(WEEKDAY('Daily Schedule'!$B$2,2)=1,WEEKDAY('Daily Schedule'!$B$2,2)=4,WEEKDAY('Daily Schedule'!$B$2,2)=5,WEEKDAY('Daily Schedule'!$B$2,2)=7),IFERROR(1*'Daily Workforce'!$K73&gt;=3,FALSE()),IFERROR(1*'Daily Workforce'!$K73&gt;=2,FALSE())),IF(AND('Daily Schedule'!$A45&gt;=46,'Daily Schedule'!$A45&lt;=52),'Daily Workforce'!$M73="Y",IFERROR(1*'Daily Workforce'!$P73&gt;=2,FALSE()))))),1,0)</f>
        <v>1</v>
      </c>
      <c r="CG41" s="1" t="n">
        <f aca="false">IF(AND('Daily Workforce'!$N74="Y",'Daily Workforce'!$B74&lt;&gt;"",COUNTIF('Daily Schedule'!$F$5:$F44,'Daily Workforce'!$B74)=0,IF('Daily Schedule'!$A45=45,'Daily Workforce'!$J74="Y",IF(OR('Daily Schedule'!$A45=4,'Daily Schedule'!$A45=8),IF(OR(WEEKDAY('Daily Schedule'!$B$2,2)=1,WEEKDAY('Daily Schedule'!$B$2,2)=4,WEEKDAY('Daily Schedule'!$B$2,2)=5,WEEKDAY('Daily Schedule'!$B$2,2)=7),IFERROR(1*'Daily Workforce'!$K74&gt;=3,FALSE()),IFERROR(1*'Daily Workforce'!$K74&gt;=2,FALSE())),IF(AND('Daily Schedule'!$A45&gt;=46,'Daily Schedule'!$A45&lt;=52),'Daily Workforce'!$M74="Y",IFERROR(1*'Daily Workforce'!$P74&gt;=2,FALSE()))))),1,0)</f>
        <v>1</v>
      </c>
      <c r="CH41" s="1" t="n">
        <f aca="false">IF(AND('Daily Workforce'!$N75="Y",'Daily Workforce'!$B75&lt;&gt;"",COUNTIF('Daily Schedule'!$F$5:$F44,'Daily Workforce'!$B75)=0,IF('Daily Schedule'!$A45=45,'Daily Workforce'!$J75="Y",IF(OR('Daily Schedule'!$A45=4,'Daily Schedule'!$A45=8),IF(OR(WEEKDAY('Daily Schedule'!$B$2,2)=1,WEEKDAY('Daily Schedule'!$B$2,2)=4,WEEKDAY('Daily Schedule'!$B$2,2)=5,WEEKDAY('Daily Schedule'!$B$2,2)=7),IFERROR(1*'Daily Workforce'!$K75&gt;=3,FALSE()),IFERROR(1*'Daily Workforce'!$K75&gt;=2,FALSE())),IF(AND('Daily Schedule'!$A45&gt;=46,'Daily Schedule'!$A45&lt;=52),'Daily Workforce'!$M75="Y",IFERROR(1*'Daily Workforce'!$P75&gt;=2,FALSE()))))),1,0)</f>
        <v>1</v>
      </c>
      <c r="CI41" s="1" t="n">
        <f aca="false">IF(AND('Daily Workforce'!$N76="Y",'Daily Workforce'!$B76&lt;&gt;"",COUNTIF('Daily Schedule'!$F$5:$F44,'Daily Workforce'!$B76)=0,IF('Daily Schedule'!$A45=45,'Daily Workforce'!$J76="Y",IF(OR('Daily Schedule'!$A45=4,'Daily Schedule'!$A45=8),IF(OR(WEEKDAY('Daily Schedule'!$B$2,2)=1,WEEKDAY('Daily Schedule'!$B$2,2)=4,WEEKDAY('Daily Schedule'!$B$2,2)=5,WEEKDAY('Daily Schedule'!$B$2,2)=7),IFERROR(1*'Daily Workforce'!$K76&gt;=3,FALSE()),IFERROR(1*'Daily Workforce'!$K76&gt;=2,FALSE())),IF(AND('Daily Schedule'!$A45&gt;=46,'Daily Schedule'!$A45&lt;=52),'Daily Workforce'!$M76="Y",IFERROR(1*'Daily Workforce'!$P76&gt;=2,FALSE()))))),1,0)</f>
        <v>1</v>
      </c>
      <c r="CJ41" s="1" t="n">
        <f aca="false">IF(AND('Daily Workforce'!$N77="Y",'Daily Workforce'!$B77&lt;&gt;"",COUNTIF('Daily Schedule'!$F$5:$F44,'Daily Workforce'!$B77)=0,IF('Daily Schedule'!$A45=45,'Daily Workforce'!$J77="Y",IF(OR('Daily Schedule'!$A45=4,'Daily Schedule'!$A45=8),IF(OR(WEEKDAY('Daily Schedule'!$B$2,2)=1,WEEKDAY('Daily Schedule'!$B$2,2)=4,WEEKDAY('Daily Schedule'!$B$2,2)=5,WEEKDAY('Daily Schedule'!$B$2,2)=7),IFERROR(1*'Daily Workforce'!$K77&gt;=3,FALSE()),IFERROR(1*'Daily Workforce'!$K77&gt;=2,FALSE())),IF(AND('Daily Schedule'!$A45&gt;=46,'Daily Schedule'!$A45&lt;=52),'Daily Workforce'!$M77="Y",IFERROR(1*'Daily Workforce'!$P77&gt;=2,FALSE()))))),1,0)</f>
        <v>1</v>
      </c>
      <c r="CK41" s="1" t="n">
        <f aca="false">IF(AND('Daily Workforce'!$N78="Y",'Daily Workforce'!$B78&lt;&gt;"",COUNTIF('Daily Schedule'!$F$5:$F44,'Daily Workforce'!$B78)=0,IF('Daily Schedule'!$A45=45,'Daily Workforce'!$J78="Y",IF(OR('Daily Schedule'!$A45=4,'Daily Schedule'!$A45=8),IF(OR(WEEKDAY('Daily Schedule'!$B$2,2)=1,WEEKDAY('Daily Schedule'!$B$2,2)=4,WEEKDAY('Daily Schedule'!$B$2,2)=5,WEEKDAY('Daily Schedule'!$B$2,2)=7),IFERROR(1*'Daily Workforce'!$K78&gt;=3,FALSE()),IFERROR(1*'Daily Workforce'!$K78&gt;=2,FALSE())),IF(AND('Daily Schedule'!$A45&gt;=46,'Daily Schedule'!$A45&lt;=52),'Daily Workforce'!$M78="Y",IFERROR(1*'Daily Workforce'!$P78&gt;=2,FALSE()))))),1,0)</f>
        <v>1</v>
      </c>
      <c r="CL41" s="1" t="n">
        <f aca="false">IF(AND('Daily Workforce'!$N79="Y",'Daily Workforce'!$B79&lt;&gt;"",COUNTIF('Daily Schedule'!$F$5:$F44,'Daily Workforce'!$B79)=0,IF('Daily Schedule'!$A45=45,'Daily Workforce'!$J79="Y",IF(OR('Daily Schedule'!$A45=4,'Daily Schedule'!$A45=8),IF(OR(WEEKDAY('Daily Schedule'!$B$2,2)=1,WEEKDAY('Daily Schedule'!$B$2,2)=4,WEEKDAY('Daily Schedule'!$B$2,2)=5,WEEKDAY('Daily Schedule'!$B$2,2)=7),IFERROR(1*'Daily Workforce'!$K79&gt;=3,FALSE()),IFERROR(1*'Daily Workforce'!$K79&gt;=2,FALSE())),IF(AND('Daily Schedule'!$A45&gt;=46,'Daily Schedule'!$A45&lt;=52),'Daily Workforce'!$M79="Y",IFERROR(1*'Daily Workforce'!$P79&gt;=2,FALSE()))))),1,0)</f>
        <v>1</v>
      </c>
      <c r="CM41" s="1" t="n">
        <f aca="false">IF(AND('Daily Workforce'!$N80="Y",'Daily Workforce'!$B80&lt;&gt;"",COUNTIF('Daily Schedule'!$F$5:$F44,'Daily Workforce'!$B80)=0,IF('Daily Schedule'!$A45=45,'Daily Workforce'!$J80="Y",IF(OR('Daily Schedule'!$A45=4,'Daily Schedule'!$A45=8),IF(OR(WEEKDAY('Daily Schedule'!$B$2,2)=1,WEEKDAY('Daily Schedule'!$B$2,2)=4,WEEKDAY('Daily Schedule'!$B$2,2)=5,WEEKDAY('Daily Schedule'!$B$2,2)=7),IFERROR(1*'Daily Workforce'!$K80&gt;=3,FALSE()),IFERROR(1*'Daily Workforce'!$K80&gt;=2,FALSE())),IF(AND('Daily Schedule'!$A45&gt;=46,'Daily Schedule'!$A45&lt;=52),'Daily Workforce'!$M80="Y",IFERROR(1*'Daily Workforce'!$P80&gt;=2,FALSE()))))),1,0)</f>
        <v>1</v>
      </c>
      <c r="CN41" s="1" t="n">
        <f aca="false">IF(AND('Daily Workforce'!$N81="Y",'Daily Workforce'!$B81&lt;&gt;"",COUNTIF('Daily Schedule'!$F$5:$F44,'Daily Workforce'!$B81)=0,IF('Daily Schedule'!$A45=45,'Daily Workforce'!$J81="Y",IF(OR('Daily Schedule'!$A45=4,'Daily Schedule'!$A45=8),IF(OR(WEEKDAY('Daily Schedule'!$B$2,2)=1,WEEKDAY('Daily Schedule'!$B$2,2)=4,WEEKDAY('Daily Schedule'!$B$2,2)=5,WEEKDAY('Daily Schedule'!$B$2,2)=7),IFERROR(1*'Daily Workforce'!$K81&gt;=3,FALSE()),IFERROR(1*'Daily Workforce'!$K81&gt;=2,FALSE())),IF(AND('Daily Schedule'!$A45&gt;=46,'Daily Schedule'!$A45&lt;=52),'Daily Workforce'!$M81="Y",IFERROR(1*'Daily Workforce'!$P81&gt;=2,FALSE()))))),1,0)</f>
        <v>1</v>
      </c>
      <c r="CO41" s="1" t="n">
        <f aca="false">IF(AND('Daily Workforce'!$N82="Y",'Daily Workforce'!$B82&lt;&gt;"",COUNTIF('Daily Schedule'!$F$5:$F44,'Daily Workforce'!$B82)=0,IF('Daily Schedule'!$A45=45,'Daily Workforce'!$J82="Y",IF(OR('Daily Schedule'!$A45=4,'Daily Schedule'!$A45=8),IF(OR(WEEKDAY('Daily Schedule'!$B$2,2)=1,WEEKDAY('Daily Schedule'!$B$2,2)=4,WEEKDAY('Daily Schedule'!$B$2,2)=5,WEEKDAY('Daily Schedule'!$B$2,2)=7),IFERROR(1*'Daily Workforce'!$K82&gt;=3,FALSE()),IFERROR(1*'Daily Workforce'!$K82&gt;=2,FALSE())),IF(AND('Daily Schedule'!$A45&gt;=46,'Daily Schedule'!$A45&lt;=52),'Daily Workforce'!$M82="Y",IFERROR(1*'Daily Workforce'!$P82&gt;=2,FALSE()))))),1,0)</f>
        <v>1</v>
      </c>
      <c r="CP41" s="1" t="n">
        <f aca="false">IF(AND('Daily Workforce'!$N83="Y",'Daily Workforce'!$B83&lt;&gt;"",COUNTIF('Daily Schedule'!$F$5:$F44,'Daily Workforce'!$B83)=0,IF('Daily Schedule'!$A45=45,'Daily Workforce'!$J83="Y",IF(OR('Daily Schedule'!$A45=4,'Daily Schedule'!$A45=8),IF(OR(WEEKDAY('Daily Schedule'!$B$2,2)=1,WEEKDAY('Daily Schedule'!$B$2,2)=4,WEEKDAY('Daily Schedule'!$B$2,2)=5,WEEKDAY('Daily Schedule'!$B$2,2)=7),IFERROR(1*'Daily Workforce'!$K83&gt;=3,FALSE()),IFERROR(1*'Daily Workforce'!$K83&gt;=2,FALSE())),IF(AND('Daily Schedule'!$A45&gt;=46,'Daily Schedule'!$A45&lt;=52),'Daily Workforce'!$M83="Y",IFERROR(1*'Daily Workforce'!$P83&gt;=2,FALSE()))))),1,0)</f>
        <v>0</v>
      </c>
      <c r="CQ41" s="1" t="n">
        <f aca="false">IF(AND('Daily Workforce'!$N84="Y",'Daily Workforce'!$B84&lt;&gt;"",COUNTIF('Daily Schedule'!$F$5:$F44,'Daily Workforce'!$B84)=0,IF('Daily Schedule'!$A45=45,'Daily Workforce'!$J84="Y",IF(OR('Daily Schedule'!$A45=4,'Daily Schedule'!$A45=8),IF(OR(WEEKDAY('Daily Schedule'!$B$2,2)=1,WEEKDAY('Daily Schedule'!$B$2,2)=4,WEEKDAY('Daily Schedule'!$B$2,2)=5,WEEKDAY('Daily Schedule'!$B$2,2)=7),IFERROR(1*'Daily Workforce'!$K84&gt;=3,FALSE()),IFERROR(1*'Daily Workforce'!$K84&gt;=2,FALSE())),IF(AND('Daily Schedule'!$A45&gt;=46,'Daily Schedule'!$A45&lt;=52),'Daily Workforce'!$M84="Y",IFERROR(1*'Daily Workforce'!$P84&gt;=2,FALSE()))))),1,0)</f>
        <v>1</v>
      </c>
      <c r="CR41" s="1" t="n">
        <f aca="false">IF(AND('Daily Workforce'!$N85="Y",'Daily Workforce'!$B85&lt;&gt;"",COUNTIF('Daily Schedule'!$F$5:$F44,'Daily Workforce'!$B85)=0,IF('Daily Schedule'!$A45=45,'Daily Workforce'!$J85="Y",IF(OR('Daily Schedule'!$A45=4,'Daily Schedule'!$A45=8),IF(OR(WEEKDAY('Daily Schedule'!$B$2,2)=1,WEEKDAY('Daily Schedule'!$B$2,2)=4,WEEKDAY('Daily Schedule'!$B$2,2)=5,WEEKDAY('Daily Schedule'!$B$2,2)=7),IFERROR(1*'Daily Workforce'!$K85&gt;=3,FALSE()),IFERROR(1*'Daily Workforce'!$K85&gt;=2,FALSE())),IF(AND('Daily Schedule'!$A45&gt;=46,'Daily Schedule'!$A45&lt;=52),'Daily Workforce'!$M85="Y",IFERROR(1*'Daily Workforce'!$P85&gt;=2,FALSE()))))),1,0)</f>
        <v>0</v>
      </c>
      <c r="CS41" s="1" t="n">
        <f aca="false">IF(AND('Daily Workforce'!$N86="Y",'Daily Workforce'!$B86&lt;&gt;"",COUNTIF('Daily Schedule'!$F$5:$F44,'Daily Workforce'!$B86)=0,IF('Daily Schedule'!$A45=45,'Daily Workforce'!$J86="Y",IF(OR('Daily Schedule'!$A45=4,'Daily Schedule'!$A45=8),IF(OR(WEEKDAY('Daily Schedule'!$B$2,2)=1,WEEKDAY('Daily Schedule'!$B$2,2)=4,WEEKDAY('Daily Schedule'!$B$2,2)=5,WEEKDAY('Daily Schedule'!$B$2,2)=7),IFERROR(1*'Daily Workforce'!$K86&gt;=3,FALSE()),IFERROR(1*'Daily Workforce'!$K86&gt;=2,FALSE())),IF(AND('Daily Schedule'!$A45&gt;=46,'Daily Schedule'!$A45&lt;=52),'Daily Workforce'!$M86="Y",IFERROR(1*'Daily Workforce'!$P86&gt;=2,FALSE()))))),1,0)</f>
        <v>1</v>
      </c>
      <c r="CT41" s="1" t="n">
        <f aca="false">IF(AND('Daily Workforce'!$N87="Y",'Daily Workforce'!$B87&lt;&gt;"",COUNTIF('Daily Schedule'!$F$5:$F44,'Daily Workforce'!$B87)=0,IF('Daily Schedule'!$A45=45,'Daily Workforce'!$J87="Y",IF(OR('Daily Schedule'!$A45=4,'Daily Schedule'!$A45=8),IF(OR(WEEKDAY('Daily Schedule'!$B$2,2)=1,WEEKDAY('Daily Schedule'!$B$2,2)=4,WEEKDAY('Daily Schedule'!$B$2,2)=5,WEEKDAY('Daily Schedule'!$B$2,2)=7),IFERROR(1*'Daily Workforce'!$K87&gt;=3,FALSE()),IFERROR(1*'Daily Workforce'!$K87&gt;=2,FALSE())),IF(AND('Daily Schedule'!$A45&gt;=46,'Daily Schedule'!$A45&lt;=52),'Daily Workforce'!$M87="Y",IFERROR(1*'Daily Workforce'!$P87&gt;=2,FALSE()))))),1,0)</f>
        <v>1</v>
      </c>
      <c r="CU41" s="1" t="n">
        <f aca="false">IF(AND('Daily Workforce'!$N88="Y",'Daily Workforce'!$B88&lt;&gt;"",COUNTIF('Daily Schedule'!$F$5:$F44,'Daily Workforce'!$B88)=0,IF('Daily Schedule'!$A45=45,'Daily Workforce'!$J88="Y",IF(OR('Daily Schedule'!$A45=4,'Daily Schedule'!$A45=8),IF(OR(WEEKDAY('Daily Schedule'!$B$2,2)=1,WEEKDAY('Daily Schedule'!$B$2,2)=4,WEEKDAY('Daily Schedule'!$B$2,2)=5,WEEKDAY('Daily Schedule'!$B$2,2)=7),IFERROR(1*'Daily Workforce'!$K88&gt;=3,FALSE()),IFERROR(1*'Daily Workforce'!$K88&gt;=2,FALSE())),IF(AND('Daily Schedule'!$A45&gt;=46,'Daily Schedule'!$A45&lt;=52),'Daily Workforce'!$M88="Y",IFERROR(1*'Daily Workforce'!$P88&gt;=2,FALSE()))))),1,0)</f>
        <v>1</v>
      </c>
      <c r="CV41" s="1" t="n">
        <f aca="false">IF(AND('Daily Workforce'!$N89="Y",'Daily Workforce'!$B89&lt;&gt;"",COUNTIF('Daily Schedule'!$F$5:$F44,'Daily Workforce'!$B89)=0,IF('Daily Schedule'!$A45=45,'Daily Workforce'!$J89="Y",IF(OR('Daily Schedule'!$A45=4,'Daily Schedule'!$A45=8),IF(OR(WEEKDAY('Daily Schedule'!$B$2,2)=1,WEEKDAY('Daily Schedule'!$B$2,2)=4,WEEKDAY('Daily Schedule'!$B$2,2)=5,WEEKDAY('Daily Schedule'!$B$2,2)=7),IFERROR(1*'Daily Workforce'!$K89&gt;=3,FALSE()),IFERROR(1*'Daily Workforce'!$K89&gt;=2,FALSE())),IF(AND('Daily Schedule'!$A45&gt;=46,'Daily Schedule'!$A45&lt;=52),'Daily Workforce'!$M89="Y",IFERROR(1*'Daily Workforce'!$P89&gt;=2,FALSE()))))),1,0)</f>
        <v>1</v>
      </c>
      <c r="CW41" s="1" t="n">
        <f aca="false">IF(AND('Daily Workforce'!$N90="Y",'Daily Workforce'!$B90&lt;&gt;"",COUNTIF('Daily Schedule'!$F$5:$F44,'Daily Workforce'!$B90)=0,IF('Daily Schedule'!$A45=45,'Daily Workforce'!$J90="Y",IF(OR('Daily Schedule'!$A45=4,'Daily Schedule'!$A45=8),IF(OR(WEEKDAY('Daily Schedule'!$B$2,2)=1,WEEKDAY('Daily Schedule'!$B$2,2)=4,WEEKDAY('Daily Schedule'!$B$2,2)=5,WEEKDAY('Daily Schedule'!$B$2,2)=7),IFERROR(1*'Daily Workforce'!$K90&gt;=3,FALSE()),IFERROR(1*'Daily Workforce'!$K90&gt;=2,FALSE())),IF(AND('Daily Schedule'!$A45&gt;=46,'Daily Schedule'!$A45&lt;=52),'Daily Workforce'!$M90="Y",IFERROR(1*'Daily Workforce'!$P90&gt;=2,FALSE()))))),1,0)</f>
        <v>1</v>
      </c>
      <c r="CX41" s="1" t="n">
        <f aca="false">IF(AND('Daily Workforce'!$N91="Y",'Daily Workforce'!$B91&lt;&gt;"",COUNTIF('Daily Schedule'!$F$5:$F44,'Daily Workforce'!$B91)=0,IF('Daily Schedule'!$A45=45,'Daily Workforce'!$J91="Y",IF(OR('Daily Schedule'!$A45=4,'Daily Schedule'!$A45=8),IF(OR(WEEKDAY('Daily Schedule'!$B$2,2)=1,WEEKDAY('Daily Schedule'!$B$2,2)=4,WEEKDAY('Daily Schedule'!$B$2,2)=5,WEEKDAY('Daily Schedule'!$B$2,2)=7),IFERROR(1*'Daily Workforce'!$K91&gt;=3,FALSE()),IFERROR(1*'Daily Workforce'!$K91&gt;=2,FALSE())),IF(AND('Daily Schedule'!$A45&gt;=46,'Daily Schedule'!$A45&lt;=52),'Daily Workforce'!$M91="Y",IFERROR(1*'Daily Workforce'!$P91&gt;=2,FALSE()))))),1,0)</f>
        <v>1</v>
      </c>
      <c r="CY41" s="1" t="n">
        <f aca="false">IF(AND('Daily Workforce'!$N92="Y",'Daily Workforce'!$B92&lt;&gt;"",COUNTIF('Daily Schedule'!$F$5:$F44,'Daily Workforce'!$B92)=0,IF('Daily Schedule'!$A45=45,'Daily Workforce'!$J92="Y",IF(OR('Daily Schedule'!$A45=4,'Daily Schedule'!$A45=8),IF(OR(WEEKDAY('Daily Schedule'!$B$2,2)=1,WEEKDAY('Daily Schedule'!$B$2,2)=4,WEEKDAY('Daily Schedule'!$B$2,2)=5,WEEKDAY('Daily Schedule'!$B$2,2)=7),IFERROR(1*'Daily Workforce'!$K92&gt;=3,FALSE()),IFERROR(1*'Daily Workforce'!$K92&gt;=2,FALSE())),IF(AND('Daily Schedule'!$A45&gt;=46,'Daily Schedule'!$A45&lt;=52),'Daily Workforce'!$M92="Y",IFERROR(1*'Daily Workforce'!$P92&gt;=2,FALSE()))))),1,0)</f>
        <v>1</v>
      </c>
      <c r="CZ41" s="1" t="n">
        <f aca="false">IF(AND('Daily Workforce'!$N93="Y",'Daily Workforce'!$B93&lt;&gt;"",COUNTIF('Daily Schedule'!$F$5:$F44,'Daily Workforce'!$B93)=0,IF('Daily Schedule'!$A45=45,'Daily Workforce'!$J93="Y",IF(OR('Daily Schedule'!$A45=4,'Daily Schedule'!$A45=8),IF(OR(WEEKDAY('Daily Schedule'!$B$2,2)=1,WEEKDAY('Daily Schedule'!$B$2,2)=4,WEEKDAY('Daily Schedule'!$B$2,2)=5,WEEKDAY('Daily Schedule'!$B$2,2)=7),IFERROR(1*'Daily Workforce'!$K93&gt;=3,FALSE()),IFERROR(1*'Daily Workforce'!$K93&gt;=2,FALSE())),IF(AND('Daily Schedule'!$A45&gt;=46,'Daily Schedule'!$A45&lt;=52),'Daily Workforce'!$M93="Y",IFERROR(1*'Daily Workforce'!$P93&gt;=2,FALSE()))))),1,0)</f>
        <v>1</v>
      </c>
      <c r="DA41" s="1" t="n">
        <f aca="false">IF(AND('Daily Workforce'!$N94="Y",'Daily Workforce'!$B94&lt;&gt;"",COUNTIF('Daily Schedule'!$F$5:$F44,'Daily Workforce'!$B94)=0,IF('Daily Schedule'!$A45=45,'Daily Workforce'!$J94="Y",IF(OR('Daily Schedule'!$A45=4,'Daily Schedule'!$A45=8),IF(OR(WEEKDAY('Daily Schedule'!$B$2,2)=1,WEEKDAY('Daily Schedule'!$B$2,2)=4,WEEKDAY('Daily Schedule'!$B$2,2)=5,WEEKDAY('Daily Schedule'!$B$2,2)=7),IFERROR(1*'Daily Workforce'!$K94&gt;=3,FALSE()),IFERROR(1*'Daily Workforce'!$K94&gt;=2,FALSE())),IF(AND('Daily Schedule'!$A45&gt;=46,'Daily Schedule'!$A45&lt;=52),'Daily Workforce'!$M94="Y",IFERROR(1*'Daily Workforce'!$P94&gt;=2,FALSE()))))),1,0)</f>
        <v>1</v>
      </c>
      <c r="DB41" s="1" t="n">
        <f aca="false">IF(AND('Daily Workforce'!$N95="Y",'Daily Workforce'!$B95&lt;&gt;"",COUNTIF('Daily Schedule'!$F$5:$F44,'Daily Workforce'!$B95)=0,IF('Daily Schedule'!$A45=45,'Daily Workforce'!$J95="Y",IF(OR('Daily Schedule'!$A45=4,'Daily Schedule'!$A45=8),IF(OR(WEEKDAY('Daily Schedule'!$B$2,2)=1,WEEKDAY('Daily Schedule'!$B$2,2)=4,WEEKDAY('Daily Schedule'!$B$2,2)=5,WEEKDAY('Daily Schedule'!$B$2,2)=7),IFERROR(1*'Daily Workforce'!$K95&gt;=3,FALSE()),IFERROR(1*'Daily Workforce'!$K95&gt;=2,FALSE())),IF(AND('Daily Schedule'!$A45&gt;=46,'Daily Schedule'!$A45&lt;=52),'Daily Workforce'!$M95="Y",IFERROR(1*'Daily Workforce'!$P95&gt;=2,FALSE()))))),1,0)</f>
        <v>1</v>
      </c>
      <c r="DC41" s="1" t="n">
        <f aca="false">IF(AND('Daily Workforce'!$N96="Y",'Daily Workforce'!$B96&lt;&gt;"",COUNTIF('Daily Schedule'!$F$5:$F44,'Daily Workforce'!$B96)=0,IF('Daily Schedule'!$A45=45,'Daily Workforce'!$J96="Y",IF(OR('Daily Schedule'!$A45=4,'Daily Schedule'!$A45=8),IF(OR(WEEKDAY('Daily Schedule'!$B$2,2)=1,WEEKDAY('Daily Schedule'!$B$2,2)=4,WEEKDAY('Daily Schedule'!$B$2,2)=5,WEEKDAY('Daily Schedule'!$B$2,2)=7),IFERROR(1*'Daily Workforce'!$K96&gt;=3,FALSE()),IFERROR(1*'Daily Workforce'!$K96&gt;=2,FALSE())),IF(AND('Daily Schedule'!$A45&gt;=46,'Daily Schedule'!$A45&lt;=52),'Daily Workforce'!$M96="Y",IFERROR(1*'Daily Workforce'!$P96&gt;=2,FALSE()))))),1,0)</f>
        <v>1</v>
      </c>
      <c r="DD41" s="1" t="n">
        <f aca="false">IF(AND('Daily Workforce'!$N97="Y",'Daily Workforce'!$B97&lt;&gt;"",COUNTIF('Daily Schedule'!$F$5:$F44,'Daily Workforce'!$B97)=0,IF('Daily Schedule'!$A45=45,'Daily Workforce'!$J97="Y",IF(OR('Daily Schedule'!$A45=4,'Daily Schedule'!$A45=8),IF(OR(WEEKDAY('Daily Schedule'!$B$2,2)=1,WEEKDAY('Daily Schedule'!$B$2,2)=4,WEEKDAY('Daily Schedule'!$B$2,2)=5,WEEKDAY('Daily Schedule'!$B$2,2)=7),IFERROR(1*'Daily Workforce'!$K97&gt;=3,FALSE()),IFERROR(1*'Daily Workforce'!$K97&gt;=2,FALSE())),IF(AND('Daily Schedule'!$A45&gt;=46,'Daily Schedule'!$A45&lt;=52),'Daily Workforce'!$M97="Y",IFERROR(1*'Daily Workforce'!$P97&gt;=2,FALSE()))))),1,0)</f>
        <v>1</v>
      </c>
      <c r="DE41" s="1" t="n">
        <f aca="false">IF(AND('Daily Workforce'!$N98="Y",'Daily Workforce'!$B98&lt;&gt;"",COUNTIF('Daily Schedule'!$F$5:$F44,'Daily Workforce'!$B98)=0,IF('Daily Schedule'!$A45=45,'Daily Workforce'!$J98="Y",IF(OR('Daily Schedule'!$A45=4,'Daily Schedule'!$A45=8),IF(OR(WEEKDAY('Daily Schedule'!$B$2,2)=1,WEEKDAY('Daily Schedule'!$B$2,2)=4,WEEKDAY('Daily Schedule'!$B$2,2)=5,WEEKDAY('Daily Schedule'!$B$2,2)=7),IFERROR(1*'Daily Workforce'!$K98&gt;=3,FALSE()),IFERROR(1*'Daily Workforce'!$K98&gt;=2,FALSE())),IF(AND('Daily Schedule'!$A45&gt;=46,'Daily Schedule'!$A45&lt;=52),'Daily Workforce'!$M98="Y",IFERROR(1*'Daily Workforce'!$P98&gt;=2,FALSE()))))),1,0)</f>
        <v>1</v>
      </c>
      <c r="DF41" s="1" t="n">
        <f aca="false">IF(AND('Daily Workforce'!$N99="Y",'Daily Workforce'!$B99&lt;&gt;"",COUNTIF('Daily Schedule'!$F$5:$F44,'Daily Workforce'!$B99)=0,IF('Daily Schedule'!$A45=45,'Daily Workforce'!$J99="Y",IF(OR('Daily Schedule'!$A45=4,'Daily Schedule'!$A45=8),IF(OR(WEEKDAY('Daily Schedule'!$B$2,2)=1,WEEKDAY('Daily Schedule'!$B$2,2)=4,WEEKDAY('Daily Schedule'!$B$2,2)=5,WEEKDAY('Daily Schedule'!$B$2,2)=7),IFERROR(1*'Daily Workforce'!$K99&gt;=3,FALSE()),IFERROR(1*'Daily Workforce'!$K99&gt;=2,FALSE())),IF(AND('Daily Schedule'!$A45&gt;=46,'Daily Schedule'!$A45&lt;=52),'Daily Workforce'!$M99="Y",IFERROR(1*'Daily Workforce'!$P99&gt;=2,FALSE()))))),1,0)</f>
        <v>1</v>
      </c>
      <c r="DG41" s="1" t="n">
        <f aca="false">IF(AND('Daily Workforce'!$N100="Y",'Daily Workforce'!$B100&lt;&gt;"",COUNTIF('Daily Schedule'!$F$5:$F44,'Daily Workforce'!$B100)=0,IF('Daily Schedule'!$A45=45,'Daily Workforce'!$J100="Y",IF(OR('Daily Schedule'!$A45=4,'Daily Schedule'!$A45=8),IF(OR(WEEKDAY('Daily Schedule'!$B$2,2)=1,WEEKDAY('Daily Schedule'!$B$2,2)=4,WEEKDAY('Daily Schedule'!$B$2,2)=5,WEEKDAY('Daily Schedule'!$B$2,2)=7),IFERROR(1*'Daily Workforce'!$K100&gt;=3,FALSE()),IFERROR(1*'Daily Workforce'!$K100&gt;=2,FALSE())),IF(AND('Daily Schedule'!$A45&gt;=46,'Daily Schedule'!$A45&lt;=52),'Daily Workforce'!$M100="Y",IFERROR(1*'Daily Workforce'!$P100&gt;=2,FALSE()))))),1,0)</f>
        <v>1</v>
      </c>
      <c r="DH41" s="1" t="n">
        <f aca="false">IF(AND('Daily Workforce'!$N101="Y",'Daily Workforce'!$B101&lt;&gt;"",COUNTIF('Daily Schedule'!$F$5:$F44,'Daily Workforce'!$B101)=0,IF('Daily Schedule'!$A45=45,'Daily Workforce'!$J101="Y",IF(OR('Daily Schedule'!$A45=4,'Daily Schedule'!$A45=8),IF(OR(WEEKDAY('Daily Schedule'!$B$2,2)=1,WEEKDAY('Daily Schedule'!$B$2,2)=4,WEEKDAY('Daily Schedule'!$B$2,2)=5,WEEKDAY('Daily Schedule'!$B$2,2)=7),IFERROR(1*'Daily Workforce'!$K101&gt;=3,FALSE()),IFERROR(1*'Daily Workforce'!$K101&gt;=2,FALSE())),IF(AND('Daily Schedule'!$A45&gt;=46,'Daily Schedule'!$A45&lt;=52),'Daily Workforce'!$M101="Y",IFERROR(1*'Daily Workforce'!$P101&gt;=2,FALSE()))))),1,0)</f>
        <v>1</v>
      </c>
      <c r="DI41" s="1" t="n">
        <f aca="false">IF(AND('Daily Workforce'!$N102="Y",'Daily Workforce'!$B102&lt;&gt;"",COUNTIF('Daily Schedule'!$F$5:$F44,'Daily Workforce'!$B102)=0,IF('Daily Schedule'!$A45=45,'Daily Workforce'!$J102="Y",IF(OR('Daily Schedule'!$A45=4,'Daily Schedule'!$A45=8),IF(OR(WEEKDAY('Daily Schedule'!$B$2,2)=1,WEEKDAY('Daily Schedule'!$B$2,2)=4,WEEKDAY('Daily Schedule'!$B$2,2)=5,WEEKDAY('Daily Schedule'!$B$2,2)=7),IFERROR(1*'Daily Workforce'!$K102&gt;=3,FALSE()),IFERROR(1*'Daily Workforce'!$K102&gt;=2,FALSE())),IF(AND('Daily Schedule'!$A45&gt;=46,'Daily Schedule'!$A45&lt;=52),'Daily Workforce'!$M102="Y",IFERROR(1*'Daily Workforce'!$P102&gt;=2,FALSE()))))),1,0)</f>
        <v>1</v>
      </c>
      <c r="DJ41" s="1" t="n">
        <f aca="false">IF(AND('Daily Workforce'!$N103="Y",'Daily Workforce'!$B103&lt;&gt;"",COUNTIF('Daily Schedule'!$F$5:$F44,'Daily Workforce'!$B103)=0,IF('Daily Schedule'!$A45=45,'Daily Workforce'!$J103="Y",IF(OR('Daily Schedule'!$A45=4,'Daily Schedule'!$A45=8),IF(OR(WEEKDAY('Daily Schedule'!$B$2,2)=1,WEEKDAY('Daily Schedule'!$B$2,2)=4,WEEKDAY('Daily Schedule'!$B$2,2)=5,WEEKDAY('Daily Schedule'!$B$2,2)=7),IFERROR(1*'Daily Workforce'!$K103&gt;=3,FALSE()),IFERROR(1*'Daily Workforce'!$K103&gt;=2,FALSE())),IF(AND('Daily Schedule'!$A45&gt;=46,'Daily Schedule'!$A45&lt;=52),'Daily Workforce'!$M103="Y",IFERROR(1*'Daily Workforce'!$P103&gt;=2,FALSE()))))),1,0)</f>
        <v>1</v>
      </c>
      <c r="DK41" s="1" t="n">
        <f aca="false">IF(AND('Daily Workforce'!$N104="Y",'Daily Workforce'!$B104&lt;&gt;"",COUNTIF('Daily Schedule'!$F$5:$F44,'Daily Workforce'!$B104)=0,IF('Daily Schedule'!$A45=45,'Daily Workforce'!$J104="Y",IF(OR('Daily Schedule'!$A45=4,'Daily Schedule'!$A45=8),IF(OR(WEEKDAY('Daily Schedule'!$B$2,2)=1,WEEKDAY('Daily Schedule'!$B$2,2)=4,WEEKDAY('Daily Schedule'!$B$2,2)=5,WEEKDAY('Daily Schedule'!$B$2,2)=7),IFERROR(1*'Daily Workforce'!$K104&gt;=3,FALSE()),IFERROR(1*'Daily Workforce'!$K104&gt;=2,FALSE())),IF(AND('Daily Schedule'!$A45&gt;=46,'Daily Schedule'!$A45&lt;=52),'Daily Workforce'!$M104="Y",IFERROR(1*'Daily Workforce'!$P104&gt;=2,FALSE()))))),1,0)</f>
        <v>1</v>
      </c>
      <c r="DL41" s="1" t="n">
        <f aca="false">IF(AND('Daily Workforce'!$N105="Y",'Daily Workforce'!$B105&lt;&gt;"",COUNTIF('Daily Schedule'!$F$5:$F44,'Daily Workforce'!$B105)=0,IF('Daily Schedule'!$A45=45,'Daily Workforce'!$J105="Y",IF(OR('Daily Schedule'!$A45=4,'Daily Schedule'!$A45=8),IF(OR(WEEKDAY('Daily Schedule'!$B$2,2)=1,WEEKDAY('Daily Schedule'!$B$2,2)=4,WEEKDAY('Daily Schedule'!$B$2,2)=5,WEEKDAY('Daily Schedule'!$B$2,2)=7),IFERROR(1*'Daily Workforce'!$K105&gt;=3,FALSE()),IFERROR(1*'Daily Workforce'!$K105&gt;=2,FALSE())),IF(AND('Daily Schedule'!$A45&gt;=46,'Daily Schedule'!$A45&lt;=52),'Daily Workforce'!$M105="Y",IFERROR(1*'Daily Workforce'!$P105&gt;=2,FALSE()))))),1,0)</f>
        <v>0</v>
      </c>
      <c r="DM41" s="1" t="n">
        <f aca="false">IF(AND('Daily Workforce'!$N106="Y",'Daily Workforce'!$B106&lt;&gt;"",COUNTIF('Daily Schedule'!$F$5:$F44,'Daily Workforce'!$B106)=0,IF('Daily Schedule'!$A45=45,'Daily Workforce'!$J106="Y",IF(OR('Daily Schedule'!$A45=4,'Daily Schedule'!$A45=8),IF(OR(WEEKDAY('Daily Schedule'!$B$2,2)=1,WEEKDAY('Daily Schedule'!$B$2,2)=4,WEEKDAY('Daily Schedule'!$B$2,2)=5,WEEKDAY('Daily Schedule'!$B$2,2)=7),IFERROR(1*'Daily Workforce'!$K106&gt;=3,FALSE()),IFERROR(1*'Daily Workforce'!$K106&gt;=2,FALSE())),IF(AND('Daily Schedule'!$A45&gt;=46,'Daily Schedule'!$A45&lt;=52),'Daily Workforce'!$M106="Y",IFERROR(1*'Daily Workforce'!$P106&gt;=2,FALSE()))))),1,0)</f>
        <v>1</v>
      </c>
      <c r="DN41" s="1" t="n">
        <f aca="false">IF(AND('Daily Workforce'!$N107="Y",'Daily Workforce'!$B107&lt;&gt;"",COUNTIF('Daily Schedule'!$F$5:$F44,'Daily Workforce'!$B107)=0,IF('Daily Schedule'!$A45=45,'Daily Workforce'!$J107="Y",IF(OR('Daily Schedule'!$A45=4,'Daily Schedule'!$A45=8),IF(OR(WEEKDAY('Daily Schedule'!$B$2,2)=1,WEEKDAY('Daily Schedule'!$B$2,2)=4,WEEKDAY('Daily Schedule'!$B$2,2)=5,WEEKDAY('Daily Schedule'!$B$2,2)=7),IFERROR(1*'Daily Workforce'!$K107&gt;=3,FALSE()),IFERROR(1*'Daily Workforce'!$K107&gt;=2,FALSE())),IF(AND('Daily Schedule'!$A45&gt;=46,'Daily Schedule'!$A45&lt;=52),'Daily Workforce'!$M107="Y",IFERROR(1*'Daily Workforce'!$P107&gt;=2,FALSE()))))),1,0)</f>
        <v>1</v>
      </c>
      <c r="DO41" s="1" t="n">
        <f aca="false">IF(AND('Daily Workforce'!$N108="Y",'Daily Workforce'!$B108&lt;&gt;"",COUNTIF('Daily Schedule'!$F$5:$F44,'Daily Workforce'!$B108)=0,IF('Daily Schedule'!$A45=45,'Daily Workforce'!$J108="Y",IF(OR('Daily Schedule'!$A45=4,'Daily Schedule'!$A45=8),IF(OR(WEEKDAY('Daily Schedule'!$B$2,2)=1,WEEKDAY('Daily Schedule'!$B$2,2)=4,WEEKDAY('Daily Schedule'!$B$2,2)=5,WEEKDAY('Daily Schedule'!$B$2,2)=7),IFERROR(1*'Daily Workforce'!$K108&gt;=3,FALSE()),IFERROR(1*'Daily Workforce'!$K108&gt;=2,FALSE())),IF(AND('Daily Schedule'!$A45&gt;=46,'Daily Schedule'!$A45&lt;=52),'Daily Workforce'!$M108="Y",IFERROR(1*'Daily Workforce'!$P108&gt;=2,FALSE()))))),1,0)</f>
        <v>1</v>
      </c>
      <c r="DP41" s="1" t="n">
        <f aca="false">IF(AND('Daily Workforce'!$N109="Y",'Daily Workforce'!$B109&lt;&gt;"",COUNTIF('Daily Schedule'!$F$5:$F44,'Daily Workforce'!$B109)=0,IF('Daily Schedule'!$A45=45,'Daily Workforce'!$J109="Y",IF(OR('Daily Schedule'!$A45=4,'Daily Schedule'!$A45=8),IF(OR(WEEKDAY('Daily Schedule'!$B$2,2)=1,WEEKDAY('Daily Schedule'!$B$2,2)=4,WEEKDAY('Daily Schedule'!$B$2,2)=5,WEEKDAY('Daily Schedule'!$B$2,2)=7),IFERROR(1*'Daily Workforce'!$K109&gt;=3,FALSE()),IFERROR(1*'Daily Workforce'!$K109&gt;=2,FALSE())),IF(AND('Daily Schedule'!$A45&gt;=46,'Daily Schedule'!$A45&lt;=52),'Daily Workforce'!$M109="Y",IFERROR(1*'Daily Workforce'!$P109&gt;=2,FALSE()))))),1,0)</f>
        <v>1</v>
      </c>
      <c r="DQ41" s="1" t="n">
        <f aca="false">IF(AND('Daily Workforce'!$N110="Y",'Daily Workforce'!$B110&lt;&gt;"",COUNTIF('Daily Schedule'!$F$5:$F44,'Daily Workforce'!$B110)=0,IF('Daily Schedule'!$A45=45,'Daily Workforce'!$J110="Y",IF(OR('Daily Schedule'!$A45=4,'Daily Schedule'!$A45=8),IF(OR(WEEKDAY('Daily Schedule'!$B$2,2)=1,WEEKDAY('Daily Schedule'!$B$2,2)=4,WEEKDAY('Daily Schedule'!$B$2,2)=5,WEEKDAY('Daily Schedule'!$B$2,2)=7),IFERROR(1*'Daily Workforce'!$K110&gt;=3,FALSE()),IFERROR(1*'Daily Workforce'!$K110&gt;=2,FALSE())),IF(AND('Daily Schedule'!$A45&gt;=46,'Daily Schedule'!$A45&lt;=52),'Daily Workforce'!$M110="Y",IFERROR(1*'Daily Workforce'!$P110&gt;=2,FALSE()))))),1,0)</f>
        <v>1</v>
      </c>
      <c r="DR41" s="1" t="n">
        <f aca="false">IF(AND('Daily Workforce'!$N111="Y",'Daily Workforce'!$B111&lt;&gt;"",COUNTIF('Daily Schedule'!$F$5:$F44,'Daily Workforce'!$B111)=0,IF('Daily Schedule'!$A45=45,'Daily Workforce'!$J111="Y",IF(OR('Daily Schedule'!$A45=4,'Daily Schedule'!$A45=8),IF(OR(WEEKDAY('Daily Schedule'!$B$2,2)=1,WEEKDAY('Daily Schedule'!$B$2,2)=4,WEEKDAY('Daily Schedule'!$B$2,2)=5,WEEKDAY('Daily Schedule'!$B$2,2)=7),IFERROR(1*'Daily Workforce'!$K111&gt;=3,FALSE()),IFERROR(1*'Daily Workforce'!$K111&gt;=2,FALSE())),IF(AND('Daily Schedule'!$A45&gt;=46,'Daily Schedule'!$A45&lt;=52),'Daily Workforce'!$M111="Y",IFERROR(1*'Daily Workforce'!$P111&gt;=2,FALSE()))))),1,0)</f>
        <v>1</v>
      </c>
      <c r="DS41" s="1" t="n">
        <f aca="false">IF(AND('Daily Workforce'!$N112="Y",'Daily Workforce'!$B112&lt;&gt;"",COUNTIF('Daily Schedule'!$F$5:$F44,'Daily Workforce'!$B112)=0,IF('Daily Schedule'!$A45=45,'Daily Workforce'!$J112="Y",IF(OR('Daily Schedule'!$A45=4,'Daily Schedule'!$A45=8),IF(OR(WEEKDAY('Daily Schedule'!$B$2,2)=1,WEEKDAY('Daily Schedule'!$B$2,2)=4,WEEKDAY('Daily Schedule'!$B$2,2)=5,WEEKDAY('Daily Schedule'!$B$2,2)=7),IFERROR(1*'Daily Workforce'!$K112&gt;=3,FALSE()),IFERROR(1*'Daily Workforce'!$K112&gt;=2,FALSE())),IF(AND('Daily Schedule'!$A45&gt;=46,'Daily Schedule'!$A45&lt;=52),'Daily Workforce'!$M112="Y",IFERROR(1*'Daily Workforce'!$P112&gt;=2,FALSE()))))),1,0)</f>
        <v>1</v>
      </c>
      <c r="DT41" s="1" t="n">
        <f aca="false">IF(AND('Daily Workforce'!$N113="Y",'Daily Workforce'!$B113&lt;&gt;"",COUNTIF('Daily Schedule'!$F$5:$F44,'Daily Workforce'!$B113)=0,IF('Daily Schedule'!$A45=45,'Daily Workforce'!$J113="Y",IF(OR('Daily Schedule'!$A45=4,'Daily Schedule'!$A45=8),IF(OR(WEEKDAY('Daily Schedule'!$B$2,2)=1,WEEKDAY('Daily Schedule'!$B$2,2)=4,WEEKDAY('Daily Schedule'!$B$2,2)=5,WEEKDAY('Daily Schedule'!$B$2,2)=7),IFERROR(1*'Daily Workforce'!$K113&gt;=3,FALSE()),IFERROR(1*'Daily Workforce'!$K113&gt;=2,FALSE())),IF(AND('Daily Schedule'!$A45&gt;=46,'Daily Schedule'!$A45&lt;=52),'Daily Workforce'!$M113="Y",IFERROR(1*'Daily Workforce'!$P113&gt;=2,FALSE()))))),1,0)</f>
        <v>1</v>
      </c>
      <c r="DU41" s="1" t="n">
        <f aca="false">IF(AND('Daily Workforce'!$N114="Y",'Daily Workforce'!$B114&lt;&gt;"",COUNTIF('Daily Schedule'!$F$5:$F44,'Daily Workforce'!$B114)=0,IF('Daily Schedule'!$A45=45,'Daily Workforce'!$J114="Y",IF(OR('Daily Schedule'!$A45=4,'Daily Schedule'!$A45=8),IF(OR(WEEKDAY('Daily Schedule'!$B$2,2)=1,WEEKDAY('Daily Schedule'!$B$2,2)=4,WEEKDAY('Daily Schedule'!$B$2,2)=5,WEEKDAY('Daily Schedule'!$B$2,2)=7),IFERROR(1*'Daily Workforce'!$K114&gt;=3,FALSE()),IFERROR(1*'Daily Workforce'!$K114&gt;=2,FALSE())),IF(AND('Daily Schedule'!$A45&gt;=46,'Daily Schedule'!$A45&lt;=52),'Daily Workforce'!$M114="Y",IFERROR(1*'Daily Workforce'!$P114&gt;=2,FALSE()))))),1,0)</f>
        <v>1</v>
      </c>
      <c r="DV41" s="1" t="n">
        <f aca="false">IF(AND('Daily Workforce'!$N115="Y",'Daily Workforce'!$B115&lt;&gt;"",COUNTIF('Daily Schedule'!$F$5:$F44,'Daily Workforce'!$B115)=0,IF('Daily Schedule'!$A45=45,'Daily Workforce'!$J115="Y",IF(OR('Daily Schedule'!$A45=4,'Daily Schedule'!$A45=8),IF(OR(WEEKDAY('Daily Schedule'!$B$2,2)=1,WEEKDAY('Daily Schedule'!$B$2,2)=4,WEEKDAY('Daily Schedule'!$B$2,2)=5,WEEKDAY('Daily Schedule'!$B$2,2)=7),IFERROR(1*'Daily Workforce'!$K115&gt;=3,FALSE()),IFERROR(1*'Daily Workforce'!$K115&gt;=2,FALSE())),IF(AND('Daily Schedule'!$A45&gt;=46,'Daily Schedule'!$A45&lt;=52),'Daily Workforce'!$M115="Y",IFERROR(1*'Daily Workforce'!$P115&gt;=2,FALSE()))))),1,0)</f>
        <v>1</v>
      </c>
      <c r="DW41" s="1" t="n">
        <f aca="false">IF(AND('Daily Workforce'!$N116="Y",'Daily Workforce'!$B116&lt;&gt;"",COUNTIF('Daily Schedule'!$F$5:$F44,'Daily Workforce'!$B116)=0,IF('Daily Schedule'!$A45=45,'Daily Workforce'!$J116="Y",IF(OR('Daily Schedule'!$A45=4,'Daily Schedule'!$A45=8),IF(OR(WEEKDAY('Daily Schedule'!$B$2,2)=1,WEEKDAY('Daily Schedule'!$B$2,2)=4,WEEKDAY('Daily Schedule'!$B$2,2)=5,WEEKDAY('Daily Schedule'!$B$2,2)=7),IFERROR(1*'Daily Workforce'!$K116&gt;=3,FALSE()),IFERROR(1*'Daily Workforce'!$K116&gt;=2,FALSE())),IF(AND('Daily Schedule'!$A45&gt;=46,'Daily Schedule'!$A45&lt;=52),'Daily Workforce'!$M116="Y",IFERROR(1*'Daily Workforce'!$P116&gt;=2,FALSE()))))),1,0)</f>
        <v>1</v>
      </c>
      <c r="DX41" s="1" t="n">
        <f aca="false">IF(AND('Daily Workforce'!$N117="Y",'Daily Workforce'!$B117&lt;&gt;"",COUNTIF('Daily Schedule'!$F$5:$F44,'Daily Workforce'!$B117)=0,IF('Daily Schedule'!$A45=45,'Daily Workforce'!$J117="Y",IF(OR('Daily Schedule'!$A45=4,'Daily Schedule'!$A45=8),IF(OR(WEEKDAY('Daily Schedule'!$B$2,2)=1,WEEKDAY('Daily Schedule'!$B$2,2)=4,WEEKDAY('Daily Schedule'!$B$2,2)=5,WEEKDAY('Daily Schedule'!$B$2,2)=7),IFERROR(1*'Daily Workforce'!$K117&gt;=3,FALSE()),IFERROR(1*'Daily Workforce'!$K117&gt;=2,FALSE())),IF(AND('Daily Schedule'!$A45&gt;=46,'Daily Schedule'!$A45&lt;=52),'Daily Workforce'!$M117="Y",IFERROR(1*'Daily Workforce'!$P117&gt;=2,FALSE()))))),1,0)</f>
        <v>1</v>
      </c>
      <c r="DY41" s="1" t="n">
        <f aca="false">IF(AND('Daily Workforce'!$N118="Y",'Daily Workforce'!$B118&lt;&gt;"",COUNTIF('Daily Schedule'!$F$5:$F44,'Daily Workforce'!$B118)=0,IF('Daily Schedule'!$A45=45,'Daily Workforce'!$J118="Y",IF(OR('Daily Schedule'!$A45=4,'Daily Schedule'!$A45=8),IF(OR(WEEKDAY('Daily Schedule'!$B$2,2)=1,WEEKDAY('Daily Schedule'!$B$2,2)=4,WEEKDAY('Daily Schedule'!$B$2,2)=5,WEEKDAY('Daily Schedule'!$B$2,2)=7),IFERROR(1*'Daily Workforce'!$K118&gt;=3,FALSE()),IFERROR(1*'Daily Workforce'!$K118&gt;=2,FALSE())),IF(AND('Daily Schedule'!$A45&gt;=46,'Daily Schedule'!$A45&lt;=52),'Daily Workforce'!$M118="Y",IFERROR(1*'Daily Workforce'!$P118&gt;=2,FALSE()))))),1,0)</f>
        <v>0</v>
      </c>
      <c r="DZ41" s="1" t="n">
        <f aca="false">IF(AND('Daily Workforce'!$N119="Y",'Daily Workforce'!$B119&lt;&gt;"",COUNTIF('Daily Schedule'!$F$5:$F44,'Daily Workforce'!$B119)=0,IF('Daily Schedule'!$A45=45,'Daily Workforce'!$J119="Y",IF(OR('Daily Schedule'!$A45=4,'Daily Schedule'!$A45=8),IF(OR(WEEKDAY('Daily Schedule'!$B$2,2)=1,WEEKDAY('Daily Schedule'!$B$2,2)=4,WEEKDAY('Daily Schedule'!$B$2,2)=5,WEEKDAY('Daily Schedule'!$B$2,2)=7),IFERROR(1*'Daily Workforce'!$K119&gt;=3,FALSE()),IFERROR(1*'Daily Workforce'!$K119&gt;=2,FALSE())),IF(AND('Daily Schedule'!$A45&gt;=46,'Daily Schedule'!$A45&lt;=52),'Daily Workforce'!$M119="Y",IFERROR(1*'Daily Workforce'!$P119&gt;=2,FALSE()))))),1,0)</f>
        <v>0</v>
      </c>
      <c r="EA41" s="1" t="n">
        <f aca="false">IF(AND('Daily Workforce'!$N120="Y",'Daily Workforce'!$B120&lt;&gt;"",COUNTIF('Daily Schedule'!$F$5:$F44,'Daily Workforce'!$B120)=0,IF('Daily Schedule'!$A45=45,'Daily Workforce'!$J120="Y",IF(OR('Daily Schedule'!$A45=4,'Daily Schedule'!$A45=8),IF(OR(WEEKDAY('Daily Schedule'!$B$2,2)=1,WEEKDAY('Daily Schedule'!$B$2,2)=4,WEEKDAY('Daily Schedule'!$B$2,2)=5,WEEKDAY('Daily Schedule'!$B$2,2)=7),IFERROR(1*'Daily Workforce'!$K120&gt;=3,FALSE()),IFERROR(1*'Daily Workforce'!$K120&gt;=2,FALSE())),IF(AND('Daily Schedule'!$A45&gt;=46,'Daily Schedule'!$A45&lt;=52),'Daily Workforce'!$M120="Y",IFERROR(1*'Daily Workforce'!$P120&gt;=2,FALSE()))))),1,0)</f>
        <v>0</v>
      </c>
      <c r="EB41" s="1" t="n">
        <f aca="false">IF(AND('Daily Workforce'!$N121="Y",'Daily Workforce'!$B121&lt;&gt;"",COUNTIF('Daily Schedule'!$F$5:$F44,'Daily Workforce'!$B121)=0,IF('Daily Schedule'!$A45=45,'Daily Workforce'!$J121="Y",IF(OR('Daily Schedule'!$A45=4,'Daily Schedule'!$A45=8),IF(OR(WEEKDAY('Daily Schedule'!$B$2,2)=1,WEEKDAY('Daily Schedule'!$B$2,2)=4,WEEKDAY('Daily Schedule'!$B$2,2)=5,WEEKDAY('Daily Schedule'!$B$2,2)=7),IFERROR(1*'Daily Workforce'!$K121&gt;=3,FALSE()),IFERROR(1*'Daily Workforce'!$K121&gt;=2,FALSE())),IF(AND('Daily Schedule'!$A45&gt;=46,'Daily Schedule'!$A45&lt;=52),'Daily Workforce'!$M121="Y",IFERROR(1*'Daily Workforce'!$P121&gt;=2,FALSE()))))),1,0)</f>
        <v>0</v>
      </c>
      <c r="EC41" s="1" t="n">
        <f aca="false">IF(AND('Daily Workforce'!$N122="Y",'Daily Workforce'!$B122&lt;&gt;"",COUNTIF('Daily Schedule'!$F$5:$F44,'Daily Workforce'!$B122)=0,IF('Daily Schedule'!$A45=45,'Daily Workforce'!$J122="Y",IF(OR('Daily Schedule'!$A45=4,'Daily Schedule'!$A45=8),IF(OR(WEEKDAY('Daily Schedule'!$B$2,2)=1,WEEKDAY('Daily Schedule'!$B$2,2)=4,WEEKDAY('Daily Schedule'!$B$2,2)=5,WEEKDAY('Daily Schedule'!$B$2,2)=7),IFERROR(1*'Daily Workforce'!$K122&gt;=3,FALSE()),IFERROR(1*'Daily Workforce'!$K122&gt;=2,FALSE())),IF(AND('Daily Schedule'!$A45&gt;=46,'Daily Schedule'!$A45&lt;=52),'Daily Workforce'!$M122="Y",IFERROR(1*'Daily Workforce'!$P122&gt;=2,FALSE()))))),1,0)</f>
        <v>0</v>
      </c>
      <c r="ED41" s="1" t="n">
        <f aca="false">IF(AND('Daily Workforce'!$N123="Y",'Daily Workforce'!$B123&lt;&gt;"",COUNTIF('Daily Schedule'!$F$5:$F44,'Daily Workforce'!$B123)=0,IF('Daily Schedule'!$A45=45,'Daily Workforce'!$J123="Y",IF(OR('Daily Schedule'!$A45=4,'Daily Schedule'!$A45=8),IF(OR(WEEKDAY('Daily Schedule'!$B$2,2)=1,WEEKDAY('Daily Schedule'!$B$2,2)=4,WEEKDAY('Daily Schedule'!$B$2,2)=5,WEEKDAY('Daily Schedule'!$B$2,2)=7),IFERROR(1*'Daily Workforce'!$K123&gt;=3,FALSE()),IFERROR(1*'Daily Workforce'!$K123&gt;=2,FALSE())),IF(AND('Daily Schedule'!$A45&gt;=46,'Daily Schedule'!$A45&lt;=52),'Daily Workforce'!$M123="Y",IFERROR(1*'Daily Workforce'!$P123&gt;=2,FALSE()))))),1,0)</f>
        <v>0</v>
      </c>
      <c r="EE41" s="1" t="n">
        <f aca="false">IF(AND('Daily Workforce'!$N124="Y",'Daily Workforce'!$B124&lt;&gt;"",COUNTIF('Daily Schedule'!$F$5:$F44,'Daily Workforce'!$B124)=0,IF('Daily Schedule'!$A45=45,'Daily Workforce'!$J124="Y",IF(OR('Daily Schedule'!$A45=4,'Daily Schedule'!$A45=8),IF(OR(WEEKDAY('Daily Schedule'!$B$2,2)=1,WEEKDAY('Daily Schedule'!$B$2,2)=4,WEEKDAY('Daily Schedule'!$B$2,2)=5,WEEKDAY('Daily Schedule'!$B$2,2)=7),IFERROR(1*'Daily Workforce'!$K124&gt;=3,FALSE()),IFERROR(1*'Daily Workforce'!$K124&gt;=2,FALSE())),IF(AND('Daily Schedule'!$A45&gt;=46,'Daily Schedule'!$A45&lt;=52),'Daily Workforce'!$M124="Y",IFERROR(1*'Daily Workforce'!$P124&gt;=2,FALSE()))))),1,0)</f>
        <v>0</v>
      </c>
      <c r="EF41" s="1" t="n">
        <f aca="false">IF(AND('Daily Workforce'!$N125="Y",'Daily Workforce'!$B125&lt;&gt;"",COUNTIF('Daily Schedule'!$F$5:$F44,'Daily Workforce'!$B125)=0,IF('Daily Schedule'!$A45=45,'Daily Workforce'!$J125="Y",IF(OR('Daily Schedule'!$A45=4,'Daily Schedule'!$A45=8),IF(OR(WEEKDAY('Daily Schedule'!$B$2,2)=1,WEEKDAY('Daily Schedule'!$B$2,2)=4,WEEKDAY('Daily Schedule'!$B$2,2)=5,WEEKDAY('Daily Schedule'!$B$2,2)=7),IFERROR(1*'Daily Workforce'!$K125&gt;=3,FALSE()),IFERROR(1*'Daily Workforce'!$K125&gt;=2,FALSE())),IF(AND('Daily Schedule'!$A45&gt;=46,'Daily Schedule'!$A45&lt;=52),'Daily Workforce'!$M125="Y",IFERROR(1*'Daily Workforce'!$P125&gt;=2,FALSE()))))),1,0)</f>
        <v>0</v>
      </c>
      <c r="EG41" s="1" t="n">
        <f aca="false">IF(AND('Daily Workforce'!$N126="Y",'Daily Workforce'!$B126&lt;&gt;"",COUNTIF('Daily Schedule'!$F$5:$F44,'Daily Workforce'!$B126)=0,IF('Daily Schedule'!$A45=45,'Daily Workforce'!$J126="Y",IF(OR('Daily Schedule'!$A45=4,'Daily Schedule'!$A45=8),IF(OR(WEEKDAY('Daily Schedule'!$B$2,2)=1,WEEKDAY('Daily Schedule'!$B$2,2)=4,WEEKDAY('Daily Schedule'!$B$2,2)=5,WEEKDAY('Daily Schedule'!$B$2,2)=7),IFERROR(1*'Daily Workforce'!$K126&gt;=3,FALSE()),IFERROR(1*'Daily Workforce'!$K126&gt;=2,FALSE())),IF(AND('Daily Schedule'!$A45&gt;=46,'Daily Schedule'!$A45&lt;=52),'Daily Workforce'!$M126="Y",IFERROR(1*'Daily Workforce'!$P126&gt;=2,FALSE()))))),1,0)</f>
        <v>0</v>
      </c>
      <c r="EH41" s="1" t="n">
        <f aca="false">IF(AND('Daily Workforce'!$N127="Y",'Daily Workforce'!$B127&lt;&gt;"",COUNTIF('Daily Schedule'!$F$5:$F44,'Daily Workforce'!$B127)=0,IF('Daily Schedule'!$A45=45,'Daily Workforce'!$J127="Y",IF(OR('Daily Schedule'!$A45=4,'Daily Schedule'!$A45=8),IF(OR(WEEKDAY('Daily Schedule'!$B$2,2)=1,WEEKDAY('Daily Schedule'!$B$2,2)=4,WEEKDAY('Daily Schedule'!$B$2,2)=5,WEEKDAY('Daily Schedule'!$B$2,2)=7),IFERROR(1*'Daily Workforce'!$K127&gt;=3,FALSE()),IFERROR(1*'Daily Workforce'!$K127&gt;=2,FALSE())),IF(AND('Daily Schedule'!$A45&gt;=46,'Daily Schedule'!$A45&lt;=52),'Daily Workforce'!$M127="Y",IFERROR(1*'Daily Workforce'!$P127&gt;=2,FALSE()))))),1,0)</f>
        <v>0</v>
      </c>
      <c r="EI41" s="1" t="n">
        <f aca="false">IF(AND('Daily Workforce'!$N128="Y",'Daily Workforce'!$B128&lt;&gt;"",COUNTIF('Daily Schedule'!$F$5:$F44,'Daily Workforce'!$B128)=0,IF('Daily Schedule'!$A45=45,'Daily Workforce'!$J128="Y",IF(OR('Daily Schedule'!$A45=4,'Daily Schedule'!$A45=8),IF(OR(WEEKDAY('Daily Schedule'!$B$2,2)=1,WEEKDAY('Daily Schedule'!$B$2,2)=4,WEEKDAY('Daily Schedule'!$B$2,2)=5,WEEKDAY('Daily Schedule'!$B$2,2)=7),IFERROR(1*'Daily Workforce'!$K128&gt;=3,FALSE()),IFERROR(1*'Daily Workforce'!$K128&gt;=2,FALSE())),IF(AND('Daily Schedule'!$A45&gt;=46,'Daily Schedule'!$A45&lt;=52),'Daily Workforce'!$M128="Y",IFERROR(1*'Daily Workforce'!$P128&gt;=2,FALSE()))))),1,0)</f>
        <v>0</v>
      </c>
      <c r="EJ41" s="1" t="n">
        <f aca="false">IF(AND('Daily Workforce'!$N129="Y",'Daily Workforce'!$B129&lt;&gt;"",COUNTIF('Daily Schedule'!$F$5:$F44,'Daily Workforce'!$B129)=0,IF('Daily Schedule'!$A45=45,'Daily Workforce'!$J129="Y",IF(OR('Daily Schedule'!$A45=4,'Daily Schedule'!$A45=8),IF(OR(WEEKDAY('Daily Schedule'!$B$2,2)=1,WEEKDAY('Daily Schedule'!$B$2,2)=4,WEEKDAY('Daily Schedule'!$B$2,2)=5,WEEKDAY('Daily Schedule'!$B$2,2)=7),IFERROR(1*'Daily Workforce'!$K129&gt;=3,FALSE()),IFERROR(1*'Daily Workforce'!$K129&gt;=2,FALSE())),IF(AND('Daily Schedule'!$A45&gt;=46,'Daily Schedule'!$A45&lt;=52),'Daily Workforce'!$M129="Y",IFERROR(1*'Daily Workforce'!$P129&gt;=2,FALSE()))))),1,0)</f>
        <v>0</v>
      </c>
      <c r="EK41" s="1" t="n">
        <f aca="false">IF(AND('Daily Workforce'!$N130="Y",'Daily Workforce'!$B130&lt;&gt;"",COUNTIF('Daily Schedule'!$F$5:$F44,'Daily Workforce'!$B130)=0,IF('Daily Schedule'!$A45=45,'Daily Workforce'!$J130="Y",IF(OR('Daily Schedule'!$A45=4,'Daily Schedule'!$A45=8),IF(OR(WEEKDAY('Daily Schedule'!$B$2,2)=1,WEEKDAY('Daily Schedule'!$B$2,2)=4,WEEKDAY('Daily Schedule'!$B$2,2)=5,WEEKDAY('Daily Schedule'!$B$2,2)=7),IFERROR(1*'Daily Workforce'!$K130&gt;=3,FALSE()),IFERROR(1*'Daily Workforce'!$K130&gt;=2,FALSE())),IF(AND('Daily Schedule'!$A45&gt;=46,'Daily Schedule'!$A45&lt;=52),'Daily Workforce'!$M130="Y",IFERROR(1*'Daily Workforce'!$P130&gt;=2,FALSE()))))),1,0)</f>
        <v>0</v>
      </c>
      <c r="EL41" s="1" t="n">
        <f aca="false">IF(AND('Daily Workforce'!$N131="Y",'Daily Workforce'!$B131&lt;&gt;"",COUNTIF('Daily Schedule'!$F$5:$F44,'Daily Workforce'!$B131)=0,IF('Daily Schedule'!$A45=45,'Daily Workforce'!$J131="Y",IF(OR('Daily Schedule'!$A45=4,'Daily Schedule'!$A45=8),IF(OR(WEEKDAY('Daily Schedule'!$B$2,2)=1,WEEKDAY('Daily Schedule'!$B$2,2)=4,WEEKDAY('Daily Schedule'!$B$2,2)=5,WEEKDAY('Daily Schedule'!$B$2,2)=7),IFERROR(1*'Daily Workforce'!$K131&gt;=3,FALSE()),IFERROR(1*'Daily Workforce'!$K131&gt;=2,FALSE())),IF(AND('Daily Schedule'!$A45&gt;=46,'Daily Schedule'!$A45&lt;=52),'Daily Workforce'!$M131="Y",IFERROR(1*'Daily Workforce'!$P131&gt;=2,FALSE()))))),1,0)</f>
        <v>0</v>
      </c>
      <c r="EM41" s="1" t="n">
        <f aca="false">IF(AND('Daily Workforce'!$N132="Y",'Daily Workforce'!$B132&lt;&gt;"",COUNTIF('Daily Schedule'!$F$5:$F44,'Daily Workforce'!$B132)=0,IF('Daily Schedule'!$A45=45,'Daily Workforce'!$J132="Y",IF(OR('Daily Schedule'!$A45=4,'Daily Schedule'!$A45=8),IF(OR(WEEKDAY('Daily Schedule'!$B$2,2)=1,WEEKDAY('Daily Schedule'!$B$2,2)=4,WEEKDAY('Daily Schedule'!$B$2,2)=5,WEEKDAY('Daily Schedule'!$B$2,2)=7),IFERROR(1*'Daily Workforce'!$K132&gt;=3,FALSE()),IFERROR(1*'Daily Workforce'!$K132&gt;=2,FALSE())),IF(AND('Daily Schedule'!$A45&gt;=46,'Daily Schedule'!$A45&lt;=52),'Daily Workforce'!$M132="Y",IFERROR(1*'Daily Workforce'!$P132&gt;=2,FALSE()))))),1,0)</f>
        <v>0</v>
      </c>
      <c r="EN41" s="1" t="n">
        <f aca="false">IF(AND('Daily Workforce'!$N133="Y",'Daily Workforce'!$B133&lt;&gt;"",COUNTIF('Daily Schedule'!$F$5:$F44,'Daily Workforce'!$B133)=0,IF('Daily Schedule'!$A45=45,'Daily Workforce'!$J133="Y",IF(OR('Daily Schedule'!$A45=4,'Daily Schedule'!$A45=8),IF(OR(WEEKDAY('Daily Schedule'!$B$2,2)=1,WEEKDAY('Daily Schedule'!$B$2,2)=4,WEEKDAY('Daily Schedule'!$B$2,2)=5,WEEKDAY('Daily Schedule'!$B$2,2)=7),IFERROR(1*'Daily Workforce'!$K133&gt;=3,FALSE()),IFERROR(1*'Daily Workforce'!$K133&gt;=2,FALSE())),IF(AND('Daily Schedule'!$A45&gt;=46,'Daily Schedule'!$A45&lt;=52),'Daily Workforce'!$M133="Y",IFERROR(1*'Daily Workforce'!$P133&gt;=2,FALSE()))))),1,0)</f>
        <v>0</v>
      </c>
      <c r="EO41" s="1" t="n">
        <f aca="false">IF(AND('Daily Workforce'!$N134="Y",'Daily Workforce'!$B134&lt;&gt;"",COUNTIF('Daily Schedule'!$F$5:$F44,'Daily Workforce'!$B134)=0,IF('Daily Schedule'!$A45=45,'Daily Workforce'!$J134="Y",IF(OR('Daily Schedule'!$A45=4,'Daily Schedule'!$A45=8),IF(OR(WEEKDAY('Daily Schedule'!$B$2,2)=1,WEEKDAY('Daily Schedule'!$B$2,2)=4,WEEKDAY('Daily Schedule'!$B$2,2)=5,WEEKDAY('Daily Schedule'!$B$2,2)=7),IFERROR(1*'Daily Workforce'!$K134&gt;=3,FALSE()),IFERROR(1*'Daily Workforce'!$K134&gt;=2,FALSE())),IF(AND('Daily Schedule'!$A45&gt;=46,'Daily Schedule'!$A45&lt;=52),'Daily Workforce'!$M134="Y",IFERROR(1*'Daily Workforce'!$P134&gt;=2,FALSE()))))),1,0)</f>
        <v>0</v>
      </c>
      <c r="EP41" s="1" t="n">
        <f aca="false">IF(AND('Daily Workforce'!$N135="Y",'Daily Workforce'!$B135&lt;&gt;"",COUNTIF('Daily Schedule'!$F$5:$F44,'Daily Workforce'!$B135)=0,IF('Daily Schedule'!$A45=45,'Daily Workforce'!$J135="Y",IF(OR('Daily Schedule'!$A45=4,'Daily Schedule'!$A45=8),IF(OR(WEEKDAY('Daily Schedule'!$B$2,2)=1,WEEKDAY('Daily Schedule'!$B$2,2)=4,WEEKDAY('Daily Schedule'!$B$2,2)=5,WEEKDAY('Daily Schedule'!$B$2,2)=7),IFERROR(1*'Daily Workforce'!$K135&gt;=3,FALSE()),IFERROR(1*'Daily Workforce'!$K135&gt;=2,FALSE())),IF(AND('Daily Schedule'!$A45&gt;=46,'Daily Schedule'!$A45&lt;=52),'Daily Workforce'!$M135="Y",IFERROR(1*'Daily Workforce'!$P135&gt;=2,FALSE()))))),1,0)</f>
        <v>0</v>
      </c>
      <c r="EQ41" s="1" t="n">
        <f aca="false">IF(AND('Daily Workforce'!$N136="Y",'Daily Workforce'!$B136&lt;&gt;"",COUNTIF('Daily Schedule'!$F$5:$F44,'Daily Workforce'!$B136)=0,IF('Daily Schedule'!$A45=45,'Daily Workforce'!$J136="Y",IF(OR('Daily Schedule'!$A45=4,'Daily Schedule'!$A45=8),IF(OR(WEEKDAY('Daily Schedule'!$B$2,2)=1,WEEKDAY('Daily Schedule'!$B$2,2)=4,WEEKDAY('Daily Schedule'!$B$2,2)=5,WEEKDAY('Daily Schedule'!$B$2,2)=7),IFERROR(1*'Daily Workforce'!$K136&gt;=3,FALSE()),IFERROR(1*'Daily Workforce'!$K136&gt;=2,FALSE())),IF(AND('Daily Schedule'!$A45&gt;=46,'Daily Schedule'!$A45&lt;=52),'Daily Workforce'!$M136="Y",IFERROR(1*'Daily Workforce'!$P136&gt;=2,FALSE()))))),1,0)</f>
        <v>0</v>
      </c>
      <c r="ER41" s="1" t="n">
        <f aca="false">IF(AND('Daily Workforce'!$N137="Y",'Daily Workforce'!$B137&lt;&gt;"",COUNTIF('Daily Schedule'!$F$5:$F44,'Daily Workforce'!$B137)=0,IF('Daily Schedule'!$A45=45,'Daily Workforce'!$J137="Y",IF(OR('Daily Schedule'!$A45=4,'Daily Schedule'!$A45=8),IF(OR(WEEKDAY('Daily Schedule'!$B$2,2)=1,WEEKDAY('Daily Schedule'!$B$2,2)=4,WEEKDAY('Daily Schedule'!$B$2,2)=5,WEEKDAY('Daily Schedule'!$B$2,2)=7),IFERROR(1*'Daily Workforce'!$K137&gt;=3,FALSE()),IFERROR(1*'Daily Workforce'!$K137&gt;=2,FALSE())),IF(AND('Daily Schedule'!$A45&gt;=46,'Daily Schedule'!$A45&lt;=52),'Daily Workforce'!$M137="Y",IFERROR(1*'Daily Workforce'!$P137&gt;=2,FALSE()))))),1,0)</f>
        <v>0</v>
      </c>
      <c r="ES41" s="1" t="n">
        <f aca="false">IF(AND('Daily Workforce'!$N138="Y",'Daily Workforce'!$B138&lt;&gt;"",COUNTIF('Daily Schedule'!$F$5:$F44,'Daily Workforce'!$B138)=0,IF('Daily Schedule'!$A45=45,'Daily Workforce'!$J138="Y",IF(OR('Daily Schedule'!$A45=4,'Daily Schedule'!$A45=8),IF(OR(WEEKDAY('Daily Schedule'!$B$2,2)=1,WEEKDAY('Daily Schedule'!$B$2,2)=4,WEEKDAY('Daily Schedule'!$B$2,2)=5,WEEKDAY('Daily Schedule'!$B$2,2)=7),IFERROR(1*'Daily Workforce'!$K138&gt;=3,FALSE()),IFERROR(1*'Daily Workforce'!$K138&gt;=2,FALSE())),IF(AND('Daily Schedule'!$A45&gt;=46,'Daily Schedule'!$A45&lt;=52),'Daily Workforce'!$M138="Y",IFERROR(1*'Daily Workforce'!$P138&gt;=2,FALSE()))))),1,0)</f>
        <v>0</v>
      </c>
      <c r="ET41" s="1" t="n">
        <f aca="false">IF(AND('Daily Workforce'!$N139="Y",'Daily Workforce'!$B139&lt;&gt;"",COUNTIF('Daily Schedule'!$F$5:$F44,'Daily Workforce'!$B139)=0,IF('Daily Schedule'!$A45=45,'Daily Workforce'!$J139="Y",IF(OR('Daily Schedule'!$A45=4,'Daily Schedule'!$A45=8),IF(OR(WEEKDAY('Daily Schedule'!$B$2,2)=1,WEEKDAY('Daily Schedule'!$B$2,2)=4,WEEKDAY('Daily Schedule'!$B$2,2)=5,WEEKDAY('Daily Schedule'!$B$2,2)=7),IFERROR(1*'Daily Workforce'!$K139&gt;=3,FALSE()),IFERROR(1*'Daily Workforce'!$K139&gt;=2,FALSE())),IF(AND('Daily Schedule'!$A45&gt;=46,'Daily Schedule'!$A45&lt;=52),'Daily Workforce'!$M139="Y",IFERROR(1*'Daily Workforce'!$P139&gt;=2,FALSE()))))),1,0)</f>
        <v>0</v>
      </c>
      <c r="EU41" s="1" t="n">
        <f aca="false">IF(AND('Daily Workforce'!$N140="Y",'Daily Workforce'!$B140&lt;&gt;"",COUNTIF('Daily Schedule'!$F$5:$F44,'Daily Workforce'!$B140)=0,IF('Daily Schedule'!$A45=45,'Daily Workforce'!$J140="Y",IF(OR('Daily Schedule'!$A45=4,'Daily Schedule'!$A45=8),IF(OR(WEEKDAY('Daily Schedule'!$B$2,2)=1,WEEKDAY('Daily Schedule'!$B$2,2)=4,WEEKDAY('Daily Schedule'!$B$2,2)=5,WEEKDAY('Daily Schedule'!$B$2,2)=7),IFERROR(1*'Daily Workforce'!$K140&gt;=3,FALSE()),IFERROR(1*'Daily Workforce'!$K140&gt;=2,FALSE())),IF(AND('Daily Schedule'!$A45&gt;=46,'Daily Schedule'!$A45&lt;=52),'Daily Workforce'!$M140="Y",IFERROR(1*'Daily Workforce'!$P140&gt;=2,FALSE()))))),1,0)</f>
        <v>0</v>
      </c>
      <c r="EV41" s="1" t="n">
        <f aca="false">IF(AND('Daily Workforce'!$N141="Y",'Daily Workforce'!$B141&lt;&gt;"",COUNTIF('Daily Schedule'!$F$5:$F44,'Daily Workforce'!$B141)=0,IF('Daily Schedule'!$A45=45,'Daily Workforce'!$J141="Y",IF(OR('Daily Schedule'!$A45=4,'Daily Schedule'!$A45=8),IF(OR(WEEKDAY('Daily Schedule'!$B$2,2)=1,WEEKDAY('Daily Schedule'!$B$2,2)=4,WEEKDAY('Daily Schedule'!$B$2,2)=5,WEEKDAY('Daily Schedule'!$B$2,2)=7),IFERROR(1*'Daily Workforce'!$K141&gt;=3,FALSE()),IFERROR(1*'Daily Workforce'!$K141&gt;=2,FALSE())),IF(AND('Daily Schedule'!$A45&gt;=46,'Daily Schedule'!$A45&lt;=52),'Daily Workforce'!$M141="Y",IFERROR(1*'Daily Workforce'!$P141&gt;=2,FALSE()))))),1,0)</f>
        <v>0</v>
      </c>
      <c r="EW41" s="1" t="n">
        <f aca="false">IF(AND('Daily Workforce'!$N142="Y",'Daily Workforce'!$B142&lt;&gt;"",COUNTIF('Daily Schedule'!$F$5:$F44,'Daily Workforce'!$B142)=0,IF('Daily Schedule'!$A45=45,'Daily Workforce'!$J142="Y",IF(OR('Daily Schedule'!$A45=4,'Daily Schedule'!$A45=8),IF(OR(WEEKDAY('Daily Schedule'!$B$2,2)=1,WEEKDAY('Daily Schedule'!$B$2,2)=4,WEEKDAY('Daily Schedule'!$B$2,2)=5,WEEKDAY('Daily Schedule'!$B$2,2)=7),IFERROR(1*'Daily Workforce'!$K142&gt;=3,FALSE()),IFERROR(1*'Daily Workforce'!$K142&gt;=2,FALSE())),IF(AND('Daily Schedule'!$A45&gt;=46,'Daily Schedule'!$A45&lt;=52),'Daily Workforce'!$M142="Y",IFERROR(1*'Daily Workforce'!$P142&gt;=2,FALSE()))))),1,0)</f>
        <v>0</v>
      </c>
      <c r="EX41" s="1" t="n">
        <f aca="false">IF(AND('Daily Workforce'!$N143="Y",'Daily Workforce'!$B143&lt;&gt;"",COUNTIF('Daily Schedule'!$F$5:$F44,'Daily Workforce'!$B143)=0,IF('Daily Schedule'!$A45=45,'Daily Workforce'!$J143="Y",IF(OR('Daily Schedule'!$A45=4,'Daily Schedule'!$A45=8),IF(OR(WEEKDAY('Daily Schedule'!$B$2,2)=1,WEEKDAY('Daily Schedule'!$B$2,2)=4,WEEKDAY('Daily Schedule'!$B$2,2)=5,WEEKDAY('Daily Schedule'!$B$2,2)=7),IFERROR(1*'Daily Workforce'!$K143&gt;=3,FALSE()),IFERROR(1*'Daily Workforce'!$K143&gt;=2,FALSE())),IF(AND('Daily Schedule'!$A45&gt;=46,'Daily Schedule'!$A45&lt;=52),'Daily Workforce'!$M143="Y",IFERROR(1*'Daily Workforce'!$P143&gt;=2,FALSE()))))),1,0)</f>
        <v>0</v>
      </c>
      <c r="EY41" s="1" t="n">
        <f aca="false">IF(AND('Daily Workforce'!$N144="Y",'Daily Workforce'!$B144&lt;&gt;"",COUNTIF('Daily Schedule'!$F$5:$F44,'Daily Workforce'!$B144)=0,IF('Daily Schedule'!$A45=45,'Daily Workforce'!$J144="Y",IF(OR('Daily Schedule'!$A45=4,'Daily Schedule'!$A45=8),IF(OR(WEEKDAY('Daily Schedule'!$B$2,2)=1,WEEKDAY('Daily Schedule'!$B$2,2)=4,WEEKDAY('Daily Schedule'!$B$2,2)=5,WEEKDAY('Daily Schedule'!$B$2,2)=7),IFERROR(1*'Daily Workforce'!$K144&gt;=3,FALSE()),IFERROR(1*'Daily Workforce'!$K144&gt;=2,FALSE())),IF(AND('Daily Schedule'!$A45&gt;=46,'Daily Schedule'!$A45&lt;=52),'Daily Workforce'!$M144="Y",IFERROR(1*'Daily Workforce'!$P144&gt;=2,FALSE()))))),1,0)</f>
        <v>0</v>
      </c>
      <c r="EZ41" s="1" t="n">
        <f aca="false">IF(AND('Daily Workforce'!$N145="Y",'Daily Workforce'!$B145&lt;&gt;"",COUNTIF('Daily Schedule'!$F$5:$F44,'Daily Workforce'!$B145)=0,IF('Daily Schedule'!$A45=45,'Daily Workforce'!$J145="Y",IF(OR('Daily Schedule'!$A45=4,'Daily Schedule'!$A45=8),IF(OR(WEEKDAY('Daily Schedule'!$B$2,2)=1,WEEKDAY('Daily Schedule'!$B$2,2)=4,WEEKDAY('Daily Schedule'!$B$2,2)=5,WEEKDAY('Daily Schedule'!$B$2,2)=7),IFERROR(1*'Daily Workforce'!$K145&gt;=3,FALSE()),IFERROR(1*'Daily Workforce'!$K145&gt;=2,FALSE())),IF(AND('Daily Schedule'!$A45&gt;=46,'Daily Schedule'!$A45&lt;=52),'Daily Workforce'!$M145="Y",IFERROR(1*'Daily Workforce'!$P145&gt;=2,FALSE()))))),1,0)</f>
        <v>0</v>
      </c>
      <c r="FA41" s="1" t="n">
        <f aca="false">IF(AND('Daily Workforce'!$N146="Y",'Daily Workforce'!$B146&lt;&gt;"",COUNTIF('Daily Schedule'!$F$5:$F44,'Daily Workforce'!$B146)=0,IF('Daily Schedule'!$A45=45,'Daily Workforce'!$J146="Y",IF(OR('Daily Schedule'!$A45=4,'Daily Schedule'!$A45=8),IF(OR(WEEKDAY('Daily Schedule'!$B$2,2)=1,WEEKDAY('Daily Schedule'!$B$2,2)=4,WEEKDAY('Daily Schedule'!$B$2,2)=5,WEEKDAY('Daily Schedule'!$B$2,2)=7),IFERROR(1*'Daily Workforce'!$K146&gt;=3,FALSE()),IFERROR(1*'Daily Workforce'!$K146&gt;=2,FALSE())),IF(AND('Daily Schedule'!$A45&gt;=46,'Daily Schedule'!$A45&lt;=52),'Daily Workforce'!$M146="Y",IFERROR(1*'Daily Workforce'!$P146&gt;=2,FALSE()))))),1,0)</f>
        <v>0</v>
      </c>
      <c r="FB41" s="1" t="n">
        <f aca="false">IF(AND('Daily Workforce'!$N147="Y",'Daily Workforce'!$B147&lt;&gt;"",COUNTIF('Daily Schedule'!$F$5:$F44,'Daily Workforce'!$B147)=0,IF('Daily Schedule'!$A45=45,'Daily Workforce'!$J147="Y",IF(OR('Daily Schedule'!$A45=4,'Daily Schedule'!$A45=8),IF(OR(WEEKDAY('Daily Schedule'!$B$2,2)=1,WEEKDAY('Daily Schedule'!$B$2,2)=4,WEEKDAY('Daily Schedule'!$B$2,2)=5,WEEKDAY('Daily Schedule'!$B$2,2)=7),IFERROR(1*'Daily Workforce'!$K147&gt;=3,FALSE()),IFERROR(1*'Daily Workforce'!$K147&gt;=2,FALSE())),IF(AND('Daily Schedule'!$A45&gt;=46,'Daily Schedule'!$A45&lt;=52),'Daily Workforce'!$M147="Y",IFERROR(1*'Daily Workforce'!$P147&gt;=2,FALSE()))))),1,0)</f>
        <v>0</v>
      </c>
      <c r="FC41" s="1" t="n">
        <f aca="false">IF(AND('Daily Workforce'!$N148="Y",'Daily Workforce'!$B148&lt;&gt;"",COUNTIF('Daily Schedule'!$F$5:$F44,'Daily Workforce'!$B148)=0,IF('Daily Schedule'!$A45=45,'Daily Workforce'!$J148="Y",IF(OR('Daily Schedule'!$A45=4,'Daily Schedule'!$A45=8),IF(OR(WEEKDAY('Daily Schedule'!$B$2,2)=1,WEEKDAY('Daily Schedule'!$B$2,2)=4,WEEKDAY('Daily Schedule'!$B$2,2)=5,WEEKDAY('Daily Schedule'!$B$2,2)=7),IFERROR(1*'Daily Workforce'!$K148&gt;=3,FALSE()),IFERROR(1*'Daily Workforce'!$K148&gt;=2,FALSE())),IF(AND('Daily Schedule'!$A45&gt;=46,'Daily Schedule'!$A45&lt;=52),'Daily Workforce'!$M148="Y",IFERROR(1*'Daily Workforce'!$P148&gt;=2,FALSE()))))),1,0)</f>
        <v>0</v>
      </c>
      <c r="FD41" s="1" t="n">
        <f aca="false">IF(AND('Daily Workforce'!$N149="Y",'Daily Workforce'!$B149&lt;&gt;"",COUNTIF('Daily Schedule'!$F$5:$F44,'Daily Workforce'!$B149)=0,IF('Daily Schedule'!$A45=45,'Daily Workforce'!$J149="Y",IF(OR('Daily Schedule'!$A45=4,'Daily Schedule'!$A45=8),IF(OR(WEEKDAY('Daily Schedule'!$B$2,2)=1,WEEKDAY('Daily Schedule'!$B$2,2)=4,WEEKDAY('Daily Schedule'!$B$2,2)=5,WEEKDAY('Daily Schedule'!$B$2,2)=7),IFERROR(1*'Daily Workforce'!$K149&gt;=3,FALSE()),IFERROR(1*'Daily Workforce'!$K149&gt;=2,FALSE())),IF(AND('Daily Schedule'!$A45&gt;=46,'Daily Schedule'!$A45&lt;=52),'Daily Workforce'!$M149="Y",IFERROR(1*'Daily Workforce'!$P149&gt;=2,FALSE()))))),1,0)</f>
        <v>0</v>
      </c>
      <c r="FE41" s="1" t="n">
        <f aca="false">IF(AND('Daily Workforce'!$N150="Y",'Daily Workforce'!$B150&lt;&gt;"",COUNTIF('Daily Schedule'!$F$5:$F44,'Daily Workforce'!$B150)=0,IF('Daily Schedule'!$A45=45,'Daily Workforce'!$J150="Y",IF(OR('Daily Schedule'!$A45=4,'Daily Schedule'!$A45=8),IF(OR(WEEKDAY('Daily Schedule'!$B$2,2)=1,WEEKDAY('Daily Schedule'!$B$2,2)=4,WEEKDAY('Daily Schedule'!$B$2,2)=5,WEEKDAY('Daily Schedule'!$B$2,2)=7),IFERROR(1*'Daily Workforce'!$K150&gt;=3,FALSE()),IFERROR(1*'Daily Workforce'!$K150&gt;=2,FALSE())),IF(AND('Daily Schedule'!$A45&gt;=46,'Daily Schedule'!$A45&lt;=52),'Daily Workforce'!$M150="Y",IFERROR(1*'Daily Workforce'!$P150&gt;=2,FALSE()))))),1,0)</f>
        <v>0</v>
      </c>
      <c r="FF41" s="1" t="n">
        <f aca="false">IF(AND('Daily Workforce'!$N151="Y",'Daily Workforce'!$B151&lt;&gt;"",COUNTIF('Daily Schedule'!$F$5:$F44,'Daily Workforce'!$B151)=0,IF('Daily Schedule'!$A45=45,'Daily Workforce'!$J151="Y",IF(OR('Daily Schedule'!$A45=4,'Daily Schedule'!$A45=8),IF(OR(WEEKDAY('Daily Schedule'!$B$2,2)=1,WEEKDAY('Daily Schedule'!$B$2,2)=4,WEEKDAY('Daily Schedule'!$B$2,2)=5,WEEKDAY('Daily Schedule'!$B$2,2)=7),IFERROR(1*'Daily Workforce'!$K151&gt;=3,FALSE()),IFERROR(1*'Daily Workforce'!$K151&gt;=2,FALSE())),IF(AND('Daily Schedule'!$A45&gt;=46,'Daily Schedule'!$A45&lt;=52),'Daily Workforce'!$M151="Y",IFERROR(1*'Daily Workforce'!$P151&gt;=2,FALSE()))))),1,0)</f>
        <v>0</v>
      </c>
      <c r="FG41" s="1" t="n">
        <f aca="false">IF(AND('Daily Workforce'!$N152="Y",'Daily Workforce'!$B152&lt;&gt;"",COUNTIF('Daily Schedule'!$F$5:$F44,'Daily Workforce'!$B152)=0,IF('Daily Schedule'!$A45=45,'Daily Workforce'!$J152="Y",IF(OR('Daily Schedule'!$A45=4,'Daily Schedule'!$A45=8),IF(OR(WEEKDAY('Daily Schedule'!$B$2,2)=1,WEEKDAY('Daily Schedule'!$B$2,2)=4,WEEKDAY('Daily Schedule'!$B$2,2)=5,WEEKDAY('Daily Schedule'!$B$2,2)=7),IFERROR(1*'Daily Workforce'!$K152&gt;=3,FALSE()),IFERROR(1*'Daily Workforce'!$K152&gt;=2,FALSE())),IF(AND('Daily Schedule'!$A45&gt;=46,'Daily Schedule'!$A45&lt;=52),'Daily Workforce'!$M152="Y",IFERROR(1*'Daily Workforce'!$P152&gt;=2,FALSE()))))),1,0)</f>
        <v>0</v>
      </c>
      <c r="FH41" s="1" t="n">
        <f aca="false">IF(AND('Daily Workforce'!$N153="Y",'Daily Workforce'!$B153&lt;&gt;"",COUNTIF('Daily Schedule'!$F$5:$F44,'Daily Workforce'!$B153)=0,IF('Daily Schedule'!$A45=45,'Daily Workforce'!$J153="Y",IF(OR('Daily Schedule'!$A45=4,'Daily Schedule'!$A45=8),IF(OR(WEEKDAY('Daily Schedule'!$B$2,2)=1,WEEKDAY('Daily Schedule'!$B$2,2)=4,WEEKDAY('Daily Schedule'!$B$2,2)=5,WEEKDAY('Daily Schedule'!$B$2,2)=7),IFERROR(1*'Daily Workforce'!$K153&gt;=3,FALSE()),IFERROR(1*'Daily Workforce'!$K153&gt;=2,FALSE())),IF(AND('Daily Schedule'!$A45&gt;=46,'Daily Schedule'!$A45&lt;=52),'Daily Workforce'!$M153="Y",IFERROR(1*'Daily Workforce'!$P153&gt;=2,FALSE()))))),1,0)</f>
        <v>0</v>
      </c>
      <c r="FI41" s="1" t="n">
        <f aca="false">IF(AND('Daily Workforce'!$N154="Y",'Daily Workforce'!$B154&lt;&gt;"",COUNTIF('Daily Schedule'!$F$5:$F44,'Daily Workforce'!$B154)=0,IF('Daily Schedule'!$A45=45,'Daily Workforce'!$J154="Y",IF(OR('Daily Schedule'!$A45=4,'Daily Schedule'!$A45=8),IF(OR(WEEKDAY('Daily Schedule'!$B$2,2)=1,WEEKDAY('Daily Schedule'!$B$2,2)=4,WEEKDAY('Daily Schedule'!$B$2,2)=5,WEEKDAY('Daily Schedule'!$B$2,2)=7),IFERROR(1*'Daily Workforce'!$K154&gt;=3,FALSE()),IFERROR(1*'Daily Workforce'!$K154&gt;=2,FALSE())),IF(AND('Daily Schedule'!$A45&gt;=46,'Daily Schedule'!$A45&lt;=52),'Daily Workforce'!$M154="Y",IFERROR(1*'Daily Workforce'!$P154&gt;=2,FALSE()))))),1,0)</f>
        <v>0</v>
      </c>
      <c r="FJ41" s="1" t="n">
        <f aca="false">IF(AND('Daily Workforce'!$N155="Y",'Daily Workforce'!$B155&lt;&gt;"",COUNTIF('Daily Schedule'!$F$5:$F44,'Daily Workforce'!$B155)=0,IF('Daily Schedule'!$A45=45,'Daily Workforce'!$J155="Y",IF(OR('Daily Schedule'!$A45=4,'Daily Schedule'!$A45=8),IF(OR(WEEKDAY('Daily Schedule'!$B$2,2)=1,WEEKDAY('Daily Schedule'!$B$2,2)=4,WEEKDAY('Daily Schedule'!$B$2,2)=5,WEEKDAY('Daily Schedule'!$B$2,2)=7),IFERROR(1*'Daily Workforce'!$K155&gt;=3,FALSE()),IFERROR(1*'Daily Workforce'!$K155&gt;=2,FALSE())),IF(AND('Daily Schedule'!$A45&gt;=46,'Daily Schedule'!$A45&lt;=52),'Daily Workforce'!$M155="Y",IFERROR(1*'Daily Workforce'!$P155&gt;=2,FALSE()))))),1,0)</f>
        <v>0</v>
      </c>
      <c r="FK41" s="1" t="n">
        <f aca="false">IF(AND('Daily Workforce'!$N156="Y",'Daily Workforce'!$B156&lt;&gt;"",COUNTIF('Daily Schedule'!$F$5:$F44,'Daily Workforce'!$B156)=0,IF('Daily Schedule'!$A45=45,'Daily Workforce'!$J156="Y",IF(OR('Daily Schedule'!$A45=4,'Daily Schedule'!$A45=8),IF(OR(WEEKDAY('Daily Schedule'!$B$2,2)=1,WEEKDAY('Daily Schedule'!$B$2,2)=4,WEEKDAY('Daily Schedule'!$B$2,2)=5,WEEKDAY('Daily Schedule'!$B$2,2)=7),IFERROR(1*'Daily Workforce'!$K156&gt;=3,FALSE()),IFERROR(1*'Daily Workforce'!$K156&gt;=2,FALSE())),IF(AND('Daily Schedule'!$A45&gt;=46,'Daily Schedule'!$A45&lt;=52),'Daily Workforce'!$M156="Y",IFERROR(1*'Daily Workforce'!$P156&gt;=2,FALSE()))))),1,0)</f>
        <v>0</v>
      </c>
      <c r="FL41" s="1" t="n">
        <f aca="false">IF(AND('Daily Workforce'!$N157="Y",'Daily Workforce'!$B157&lt;&gt;"",COUNTIF('Daily Schedule'!$F$5:$F44,'Daily Workforce'!$B157)=0,IF('Daily Schedule'!$A45=45,'Daily Workforce'!$J157="Y",IF(OR('Daily Schedule'!$A45=4,'Daily Schedule'!$A45=8),IF(OR(WEEKDAY('Daily Schedule'!$B$2,2)=1,WEEKDAY('Daily Schedule'!$B$2,2)=4,WEEKDAY('Daily Schedule'!$B$2,2)=5,WEEKDAY('Daily Schedule'!$B$2,2)=7),IFERROR(1*'Daily Workforce'!$K157&gt;=3,FALSE()),IFERROR(1*'Daily Workforce'!$K157&gt;=2,FALSE())),IF(AND('Daily Schedule'!$A45&gt;=46,'Daily Schedule'!$A45&lt;=52),'Daily Workforce'!$M157="Y",IFERROR(1*'Daily Workforce'!$P157&gt;=2,FALSE()))))),1,0)</f>
        <v>0</v>
      </c>
      <c r="FM41" s="1" t="n">
        <f aca="false">IF(AND('Daily Workforce'!$N158="Y",'Daily Workforce'!$B158&lt;&gt;"",COUNTIF('Daily Schedule'!$F$5:$F44,'Daily Workforce'!$B158)=0,IF('Daily Schedule'!$A45=45,'Daily Workforce'!$J158="Y",IF(OR('Daily Schedule'!$A45=4,'Daily Schedule'!$A45=8),IF(OR(WEEKDAY('Daily Schedule'!$B$2,2)=1,WEEKDAY('Daily Schedule'!$B$2,2)=4,WEEKDAY('Daily Schedule'!$B$2,2)=5,WEEKDAY('Daily Schedule'!$B$2,2)=7),IFERROR(1*'Daily Workforce'!$K158&gt;=3,FALSE()),IFERROR(1*'Daily Workforce'!$K158&gt;=2,FALSE())),IF(AND('Daily Schedule'!$A45&gt;=46,'Daily Schedule'!$A45&lt;=52),'Daily Workforce'!$M158="Y",IFERROR(1*'Daily Workforce'!$P158&gt;=2,FALSE()))))),1,0)</f>
        <v>0</v>
      </c>
      <c r="FN41" s="1" t="n">
        <f aca="false">IF(AND('Daily Workforce'!$N159="Y",'Daily Workforce'!$B159&lt;&gt;"",COUNTIF('Daily Schedule'!$F$5:$F44,'Daily Workforce'!$B159)=0,IF('Daily Schedule'!$A45=45,'Daily Workforce'!$J159="Y",IF(OR('Daily Schedule'!$A45=4,'Daily Schedule'!$A45=8),IF(OR(WEEKDAY('Daily Schedule'!$B$2,2)=1,WEEKDAY('Daily Schedule'!$B$2,2)=4,WEEKDAY('Daily Schedule'!$B$2,2)=5,WEEKDAY('Daily Schedule'!$B$2,2)=7),IFERROR(1*'Daily Workforce'!$K159&gt;=3,FALSE()),IFERROR(1*'Daily Workforce'!$K159&gt;=2,FALSE())),IF(AND('Daily Schedule'!$A45&gt;=46,'Daily Schedule'!$A45&lt;=52),'Daily Workforce'!$M159="Y",IFERROR(1*'Daily Workforce'!$P159&gt;=2,FALSE()))))),1,0)</f>
        <v>0</v>
      </c>
      <c r="FO41" s="1" t="n">
        <f aca="false">IF(AND('Daily Workforce'!$N160="Y",'Daily Workforce'!$B160&lt;&gt;"",COUNTIF('Daily Schedule'!$F$5:$F44,'Daily Workforce'!$B160)=0,IF('Daily Schedule'!$A45=45,'Daily Workforce'!$J160="Y",IF(OR('Daily Schedule'!$A45=4,'Daily Schedule'!$A45=8),IF(OR(WEEKDAY('Daily Schedule'!$B$2,2)=1,WEEKDAY('Daily Schedule'!$B$2,2)=4,WEEKDAY('Daily Schedule'!$B$2,2)=5,WEEKDAY('Daily Schedule'!$B$2,2)=7),IFERROR(1*'Daily Workforce'!$K160&gt;=3,FALSE()),IFERROR(1*'Daily Workforce'!$K160&gt;=2,FALSE())),IF(AND('Daily Schedule'!$A45&gt;=46,'Daily Schedule'!$A45&lt;=52),'Daily Workforce'!$M160="Y",IFERROR(1*'Daily Workforce'!$P160&gt;=2,FALSE()))))),1,0)</f>
        <v>0</v>
      </c>
      <c r="FP41" s="1" t="n">
        <f aca="false">IF(AND('Daily Workforce'!$N161="Y",'Daily Workforce'!$B161&lt;&gt;"",COUNTIF('Daily Schedule'!$F$5:$F44,'Daily Workforce'!$B161)=0,IF('Daily Schedule'!$A45=45,'Daily Workforce'!$J161="Y",IF(OR('Daily Schedule'!$A45=4,'Daily Schedule'!$A45=8),IF(OR(WEEKDAY('Daily Schedule'!$B$2,2)=1,WEEKDAY('Daily Schedule'!$B$2,2)=4,WEEKDAY('Daily Schedule'!$B$2,2)=5,WEEKDAY('Daily Schedule'!$B$2,2)=7),IFERROR(1*'Daily Workforce'!$K161&gt;=3,FALSE()),IFERROR(1*'Daily Workforce'!$K161&gt;=2,FALSE())),IF(AND('Daily Schedule'!$A45&gt;=46,'Daily Schedule'!$A45&lt;=52),'Daily Workforce'!$M161="Y",IFERROR(1*'Daily Workforce'!$P161&gt;=2,FALSE()))))),1,0)</f>
        <v>0</v>
      </c>
      <c r="FQ41" s="1" t="n">
        <f aca="false">IF(AND('Daily Workforce'!$N162="Y",'Daily Workforce'!$B162&lt;&gt;"",COUNTIF('Daily Schedule'!$F$5:$F44,'Daily Workforce'!$B162)=0,IF('Daily Schedule'!$A45=45,'Daily Workforce'!$J162="Y",IF(OR('Daily Schedule'!$A45=4,'Daily Schedule'!$A45=8),IF(OR(WEEKDAY('Daily Schedule'!$B$2,2)=1,WEEKDAY('Daily Schedule'!$B$2,2)=4,WEEKDAY('Daily Schedule'!$B$2,2)=5,WEEKDAY('Daily Schedule'!$B$2,2)=7),IFERROR(1*'Daily Workforce'!$K162&gt;=3,FALSE()),IFERROR(1*'Daily Workforce'!$K162&gt;=2,FALSE())),IF(AND('Daily Schedule'!$A45&gt;=46,'Daily Schedule'!$A45&lt;=52),'Daily Workforce'!$M162="Y",IFERROR(1*'Daily Workforce'!$P162&gt;=2,FALSE()))))),1,0)</f>
        <v>0</v>
      </c>
      <c r="FR41" s="1" t="n">
        <f aca="false">IF(AND('Daily Workforce'!$N163="Y",'Daily Workforce'!$B163&lt;&gt;"",COUNTIF('Daily Schedule'!$F$5:$F44,'Daily Workforce'!$B163)=0,IF('Daily Schedule'!$A45=45,'Daily Workforce'!$J163="Y",IF(OR('Daily Schedule'!$A45=4,'Daily Schedule'!$A45=8),IF(OR(WEEKDAY('Daily Schedule'!$B$2,2)=1,WEEKDAY('Daily Schedule'!$B$2,2)=4,WEEKDAY('Daily Schedule'!$B$2,2)=5,WEEKDAY('Daily Schedule'!$B$2,2)=7),IFERROR(1*'Daily Workforce'!$K163&gt;=3,FALSE()),IFERROR(1*'Daily Workforce'!$K163&gt;=2,FALSE())),IF(AND('Daily Schedule'!$A45&gt;=46,'Daily Schedule'!$A45&lt;=52),'Daily Workforce'!$M163="Y",IFERROR(1*'Daily Workforce'!$P163&gt;=2,FALSE()))))),1,0)</f>
        <v>0</v>
      </c>
      <c r="FS41" s="1" t="n">
        <f aca="false">IF(AND('Daily Workforce'!$N164="Y",'Daily Workforce'!$B164&lt;&gt;"",COUNTIF('Daily Schedule'!$F$5:$F44,'Daily Workforce'!$B164)=0,IF('Daily Schedule'!$A45=45,'Daily Workforce'!$J164="Y",IF(OR('Daily Schedule'!$A45=4,'Daily Schedule'!$A45=8),IF(OR(WEEKDAY('Daily Schedule'!$B$2,2)=1,WEEKDAY('Daily Schedule'!$B$2,2)=4,WEEKDAY('Daily Schedule'!$B$2,2)=5,WEEKDAY('Daily Schedule'!$B$2,2)=7),IFERROR(1*'Daily Workforce'!$K164&gt;=3,FALSE()),IFERROR(1*'Daily Workforce'!$K164&gt;=2,FALSE())),IF(AND('Daily Schedule'!$A45&gt;=46,'Daily Schedule'!$A45&lt;=52),'Daily Workforce'!$M164="Y",IFERROR(1*'Daily Workforce'!$P164&gt;=2,FALSE()))))),1,0)</f>
        <v>0</v>
      </c>
      <c r="FT41" s="1" t="n">
        <f aca="false">IF(AND('Daily Workforce'!$N165="Y",'Daily Workforce'!$B165&lt;&gt;"",COUNTIF('Daily Schedule'!$F$5:$F44,'Daily Workforce'!$B165)=0,IF('Daily Schedule'!$A45=45,'Daily Workforce'!$J165="Y",IF(OR('Daily Schedule'!$A45=4,'Daily Schedule'!$A45=8),IF(OR(WEEKDAY('Daily Schedule'!$B$2,2)=1,WEEKDAY('Daily Schedule'!$B$2,2)=4,WEEKDAY('Daily Schedule'!$B$2,2)=5,WEEKDAY('Daily Schedule'!$B$2,2)=7),IFERROR(1*'Daily Workforce'!$K165&gt;=3,FALSE()),IFERROR(1*'Daily Workforce'!$K165&gt;=2,FALSE())),IF(AND('Daily Schedule'!$A45&gt;=46,'Daily Schedule'!$A45&lt;=52),'Daily Workforce'!$M165="Y",IFERROR(1*'Daily Workforce'!$P165&gt;=2,FALSE()))))),1,0)</f>
        <v>0</v>
      </c>
      <c r="FU41" s="1" t="n">
        <f aca="false">IF(AND('Daily Workforce'!$N166="Y",'Daily Workforce'!$B166&lt;&gt;"",COUNTIF('Daily Schedule'!$F$5:$F44,'Daily Workforce'!$B166)=0,IF('Daily Schedule'!$A45=45,'Daily Workforce'!$J166="Y",IF(OR('Daily Schedule'!$A45=4,'Daily Schedule'!$A45=8),IF(OR(WEEKDAY('Daily Schedule'!$B$2,2)=1,WEEKDAY('Daily Schedule'!$B$2,2)=4,WEEKDAY('Daily Schedule'!$B$2,2)=5,WEEKDAY('Daily Schedule'!$B$2,2)=7),IFERROR(1*'Daily Workforce'!$K166&gt;=3,FALSE()),IFERROR(1*'Daily Workforce'!$K166&gt;=2,FALSE())),IF(AND('Daily Schedule'!$A45&gt;=46,'Daily Schedule'!$A45&lt;=52),'Daily Workforce'!$M166="Y",IFERROR(1*'Daily Workforce'!$P166&gt;=2,FALSE()))))),1,0)</f>
        <v>0</v>
      </c>
      <c r="FV41" s="1" t="n">
        <f aca="false">IF(AND('Daily Workforce'!$N167="Y",'Daily Workforce'!$B167&lt;&gt;"",COUNTIF('Daily Schedule'!$F$5:$F44,'Daily Workforce'!$B167)=0,IF('Daily Schedule'!$A45=45,'Daily Workforce'!$J167="Y",IF(OR('Daily Schedule'!$A45=4,'Daily Schedule'!$A45=8),IF(OR(WEEKDAY('Daily Schedule'!$B$2,2)=1,WEEKDAY('Daily Schedule'!$B$2,2)=4,WEEKDAY('Daily Schedule'!$B$2,2)=5,WEEKDAY('Daily Schedule'!$B$2,2)=7),IFERROR(1*'Daily Workforce'!$K167&gt;=3,FALSE()),IFERROR(1*'Daily Workforce'!$K167&gt;=2,FALSE())),IF(AND('Daily Schedule'!$A45&gt;=46,'Daily Schedule'!$A45&lt;=52),'Daily Workforce'!$M167="Y",IFERROR(1*'Daily Workforce'!$P167&gt;=2,FALSE()))))),1,0)</f>
        <v>0</v>
      </c>
      <c r="FW41" s="1" t="n">
        <f aca="false">IF(AND('Daily Workforce'!$N168="Y",'Daily Workforce'!$B168&lt;&gt;"",COUNTIF('Daily Schedule'!$F$5:$F44,'Daily Workforce'!$B168)=0,IF('Daily Schedule'!$A45=45,'Daily Workforce'!$J168="Y",IF(OR('Daily Schedule'!$A45=4,'Daily Schedule'!$A45=8),IF(OR(WEEKDAY('Daily Schedule'!$B$2,2)=1,WEEKDAY('Daily Schedule'!$B$2,2)=4,WEEKDAY('Daily Schedule'!$B$2,2)=5,WEEKDAY('Daily Schedule'!$B$2,2)=7),IFERROR(1*'Daily Workforce'!$K168&gt;=3,FALSE()),IFERROR(1*'Daily Workforce'!$K168&gt;=2,FALSE())),IF(AND('Daily Schedule'!$A45&gt;=46,'Daily Schedule'!$A45&lt;=52),'Daily Workforce'!$M168="Y",IFERROR(1*'Daily Workforce'!$P168&gt;=2,FALSE()))))),1,0)</f>
        <v>0</v>
      </c>
      <c r="FX41" s="1" t="n">
        <f aca="false">IF(AND('Daily Workforce'!$N169="Y",'Daily Workforce'!$B169&lt;&gt;"",COUNTIF('Daily Schedule'!$F$5:$F44,'Daily Workforce'!$B169)=0,IF('Daily Schedule'!$A45=45,'Daily Workforce'!$J169="Y",IF(OR('Daily Schedule'!$A45=4,'Daily Schedule'!$A45=8),IF(OR(WEEKDAY('Daily Schedule'!$B$2,2)=1,WEEKDAY('Daily Schedule'!$B$2,2)=4,WEEKDAY('Daily Schedule'!$B$2,2)=5,WEEKDAY('Daily Schedule'!$B$2,2)=7),IFERROR(1*'Daily Workforce'!$K169&gt;=3,FALSE()),IFERROR(1*'Daily Workforce'!$K169&gt;=2,FALSE())),IF(AND('Daily Schedule'!$A45&gt;=46,'Daily Schedule'!$A45&lt;=52),'Daily Workforce'!$M169="Y",IFERROR(1*'Daily Workforce'!$P169&gt;=2,FALSE()))))),1,0)</f>
        <v>0</v>
      </c>
      <c r="FY41" s="1" t="n">
        <f aca="false">IF(AND('Daily Workforce'!$N170="Y",'Daily Workforce'!$B170&lt;&gt;"",COUNTIF('Daily Schedule'!$F$5:$F44,'Daily Workforce'!$B170)=0,IF('Daily Schedule'!$A45=45,'Daily Workforce'!$J170="Y",IF(OR('Daily Schedule'!$A45=4,'Daily Schedule'!$A45=8),IF(OR(WEEKDAY('Daily Schedule'!$B$2,2)=1,WEEKDAY('Daily Schedule'!$B$2,2)=4,WEEKDAY('Daily Schedule'!$B$2,2)=5,WEEKDAY('Daily Schedule'!$B$2,2)=7),IFERROR(1*'Daily Workforce'!$K170&gt;=3,FALSE()),IFERROR(1*'Daily Workforce'!$K170&gt;=2,FALSE())),IF(AND('Daily Schedule'!$A45&gt;=46,'Daily Schedule'!$A45&lt;=52),'Daily Workforce'!$M170="Y",IFERROR(1*'Daily Workforce'!$P170&gt;=2,FALSE()))))),1,0)</f>
        <v>0</v>
      </c>
      <c r="FZ41" s="1" t="n">
        <f aca="false">IF(AND('Daily Workforce'!$N171="Y",'Daily Workforce'!$B171&lt;&gt;"",COUNTIF('Daily Schedule'!$F$5:$F44,'Daily Workforce'!$B171)=0,IF('Daily Schedule'!$A45=45,'Daily Workforce'!$J171="Y",IF(OR('Daily Schedule'!$A45=4,'Daily Schedule'!$A45=8),IF(OR(WEEKDAY('Daily Schedule'!$B$2,2)=1,WEEKDAY('Daily Schedule'!$B$2,2)=4,WEEKDAY('Daily Schedule'!$B$2,2)=5,WEEKDAY('Daily Schedule'!$B$2,2)=7),IFERROR(1*'Daily Workforce'!$K171&gt;=3,FALSE()),IFERROR(1*'Daily Workforce'!$K171&gt;=2,FALSE())),IF(AND('Daily Schedule'!$A45&gt;=46,'Daily Schedule'!$A45&lt;=52),'Daily Workforce'!$M171="Y",IFERROR(1*'Daily Workforce'!$P171&gt;=2,FALSE()))))),1,0)</f>
        <v>0</v>
      </c>
      <c r="GA41" s="1" t="n">
        <f aca="false">IF(AND('Daily Workforce'!$N172="Y",'Daily Workforce'!$B172&lt;&gt;"",COUNTIF('Daily Schedule'!$F$5:$F44,'Daily Workforce'!$B172)=0,IF('Daily Schedule'!$A45=45,'Daily Workforce'!$J172="Y",IF(OR('Daily Schedule'!$A45=4,'Daily Schedule'!$A45=8),IF(OR(WEEKDAY('Daily Schedule'!$B$2,2)=1,WEEKDAY('Daily Schedule'!$B$2,2)=4,WEEKDAY('Daily Schedule'!$B$2,2)=5,WEEKDAY('Daily Schedule'!$B$2,2)=7),IFERROR(1*'Daily Workforce'!$K172&gt;=3,FALSE()),IFERROR(1*'Daily Workforce'!$K172&gt;=2,FALSE())),IF(AND('Daily Schedule'!$A45&gt;=46,'Daily Schedule'!$A45&lt;=52),'Daily Workforce'!$M172="Y",IFERROR(1*'Daily Workforce'!$P172&gt;=2,FALSE()))))),1,0)</f>
        <v>0</v>
      </c>
      <c r="GB41" s="1" t="n">
        <f aca="false">IF(AND('Daily Workforce'!$N173="Y",'Daily Workforce'!$B173&lt;&gt;"",COUNTIF('Daily Schedule'!$F$5:$F44,'Daily Workforce'!$B173)=0,IF('Daily Schedule'!$A45=45,'Daily Workforce'!$J173="Y",IF(OR('Daily Schedule'!$A45=4,'Daily Schedule'!$A45=8),IF(OR(WEEKDAY('Daily Schedule'!$B$2,2)=1,WEEKDAY('Daily Schedule'!$B$2,2)=4,WEEKDAY('Daily Schedule'!$B$2,2)=5,WEEKDAY('Daily Schedule'!$B$2,2)=7),IFERROR(1*'Daily Workforce'!$K173&gt;=3,FALSE()),IFERROR(1*'Daily Workforce'!$K173&gt;=2,FALSE())),IF(AND('Daily Schedule'!$A45&gt;=46,'Daily Schedule'!$A45&lt;=52),'Daily Workforce'!$M173="Y",IFERROR(1*'Daily Workforce'!$P173&gt;=2,FALSE()))))),1,0)</f>
        <v>0</v>
      </c>
      <c r="GC41" s="1" t="n">
        <f aca="false">IF(AND('Daily Workforce'!$N174="Y",'Daily Workforce'!$B174&lt;&gt;"",COUNTIF('Daily Schedule'!$F$5:$F44,'Daily Workforce'!$B174)=0,IF('Daily Schedule'!$A45=45,'Daily Workforce'!$J174="Y",IF(OR('Daily Schedule'!$A45=4,'Daily Schedule'!$A45=8),IF(OR(WEEKDAY('Daily Schedule'!$B$2,2)=1,WEEKDAY('Daily Schedule'!$B$2,2)=4,WEEKDAY('Daily Schedule'!$B$2,2)=5,WEEKDAY('Daily Schedule'!$B$2,2)=7),IFERROR(1*'Daily Workforce'!$K174&gt;=3,FALSE()),IFERROR(1*'Daily Workforce'!$K174&gt;=2,FALSE())),IF(AND('Daily Schedule'!$A45&gt;=46,'Daily Schedule'!$A45&lt;=52),'Daily Workforce'!$M174="Y",IFERROR(1*'Daily Workforce'!$P174&gt;=2,FALSE()))))),1,0)</f>
        <v>0</v>
      </c>
      <c r="GD41" s="1" t="n">
        <f aca="false">IF(AND('Daily Workforce'!$N175="Y",'Daily Workforce'!$B175&lt;&gt;"",COUNTIF('Daily Schedule'!$F$5:$F44,'Daily Workforce'!$B175)=0,IF('Daily Schedule'!$A45=45,'Daily Workforce'!$J175="Y",IF(OR('Daily Schedule'!$A45=4,'Daily Schedule'!$A45=8),IF(OR(WEEKDAY('Daily Schedule'!$B$2,2)=1,WEEKDAY('Daily Schedule'!$B$2,2)=4,WEEKDAY('Daily Schedule'!$B$2,2)=5,WEEKDAY('Daily Schedule'!$B$2,2)=7),IFERROR(1*'Daily Workforce'!$K175&gt;=3,FALSE()),IFERROR(1*'Daily Workforce'!$K175&gt;=2,FALSE())),IF(AND('Daily Schedule'!$A45&gt;=46,'Daily Schedule'!$A45&lt;=52),'Daily Workforce'!$M175="Y",IFERROR(1*'Daily Workforce'!$P175&gt;=2,FALSE()))))),1,0)</f>
        <v>0</v>
      </c>
      <c r="GE41" s="1" t="n">
        <f aca="false">IF(AND('Daily Workforce'!$N176="Y",'Daily Workforce'!$B176&lt;&gt;"",COUNTIF('Daily Schedule'!$F$5:$F44,'Daily Workforce'!$B176)=0,IF('Daily Schedule'!$A45=45,'Daily Workforce'!$J176="Y",IF(OR('Daily Schedule'!$A45=4,'Daily Schedule'!$A45=8),IF(OR(WEEKDAY('Daily Schedule'!$B$2,2)=1,WEEKDAY('Daily Schedule'!$B$2,2)=4,WEEKDAY('Daily Schedule'!$B$2,2)=5,WEEKDAY('Daily Schedule'!$B$2,2)=7),IFERROR(1*'Daily Workforce'!$K176&gt;=3,FALSE()),IFERROR(1*'Daily Workforce'!$K176&gt;=2,FALSE())),IF(AND('Daily Schedule'!$A45&gt;=46,'Daily Schedule'!$A45&lt;=52),'Daily Workforce'!$M176="Y",IFERROR(1*'Daily Workforce'!$P176&gt;=2,FALSE()))))),1,0)</f>
        <v>0</v>
      </c>
      <c r="GF41" s="1" t="n">
        <f aca="false">IF(AND('Daily Workforce'!$N177="Y",'Daily Workforce'!$B177&lt;&gt;"",COUNTIF('Daily Schedule'!$F$5:$F44,'Daily Workforce'!$B177)=0,IF('Daily Schedule'!$A45=45,'Daily Workforce'!$J177="Y",IF(OR('Daily Schedule'!$A45=4,'Daily Schedule'!$A45=8),IF(OR(WEEKDAY('Daily Schedule'!$B$2,2)=1,WEEKDAY('Daily Schedule'!$B$2,2)=4,WEEKDAY('Daily Schedule'!$B$2,2)=5,WEEKDAY('Daily Schedule'!$B$2,2)=7),IFERROR(1*'Daily Workforce'!$K177&gt;=3,FALSE()),IFERROR(1*'Daily Workforce'!$K177&gt;=2,FALSE())),IF(AND('Daily Schedule'!$A45&gt;=46,'Daily Schedule'!$A45&lt;=52),'Daily Workforce'!$M177="Y",IFERROR(1*'Daily Workforce'!$P177&gt;=2,FALSE()))))),1,0)</f>
        <v>0</v>
      </c>
      <c r="GG41" s="1" t="n">
        <f aca="false">IF(AND('Daily Workforce'!$N178="Y",'Daily Workforce'!$B178&lt;&gt;"",COUNTIF('Daily Schedule'!$F$5:$F44,'Daily Workforce'!$B178)=0,IF('Daily Schedule'!$A45=45,'Daily Workforce'!$J178="Y",IF(OR('Daily Schedule'!$A45=4,'Daily Schedule'!$A45=8),IF(OR(WEEKDAY('Daily Schedule'!$B$2,2)=1,WEEKDAY('Daily Schedule'!$B$2,2)=4,WEEKDAY('Daily Schedule'!$B$2,2)=5,WEEKDAY('Daily Schedule'!$B$2,2)=7),IFERROR(1*'Daily Workforce'!$K178&gt;=3,FALSE()),IFERROR(1*'Daily Workforce'!$K178&gt;=2,FALSE())),IF(AND('Daily Schedule'!$A45&gt;=46,'Daily Schedule'!$A45&lt;=52),'Daily Workforce'!$M178="Y",IFERROR(1*'Daily Workforce'!$P178&gt;=2,FALSE()))))),1,0)</f>
        <v>0</v>
      </c>
      <c r="GH41" s="1" t="n">
        <f aca="false">IF(AND('Daily Workforce'!$N179="Y",'Daily Workforce'!$B179&lt;&gt;"",COUNTIF('Daily Schedule'!$F$5:$F44,'Daily Workforce'!$B179)=0,IF('Daily Schedule'!$A45=45,'Daily Workforce'!$J179="Y",IF(OR('Daily Schedule'!$A45=4,'Daily Schedule'!$A45=8),IF(OR(WEEKDAY('Daily Schedule'!$B$2,2)=1,WEEKDAY('Daily Schedule'!$B$2,2)=4,WEEKDAY('Daily Schedule'!$B$2,2)=5,WEEKDAY('Daily Schedule'!$B$2,2)=7),IFERROR(1*'Daily Workforce'!$K179&gt;=3,FALSE()),IFERROR(1*'Daily Workforce'!$K179&gt;=2,FALSE())),IF(AND('Daily Schedule'!$A45&gt;=46,'Daily Schedule'!$A45&lt;=52),'Daily Workforce'!$M179="Y",IFERROR(1*'Daily Workforce'!$P179&gt;=2,FALSE()))))),1,0)</f>
        <v>0</v>
      </c>
      <c r="GI41" s="1" t="n">
        <f aca="false">IF(AND('Daily Workforce'!$N180="Y",'Daily Workforce'!$B180&lt;&gt;"",COUNTIF('Daily Schedule'!$F$5:$F44,'Daily Workforce'!$B180)=0,IF('Daily Schedule'!$A45=45,'Daily Workforce'!$J180="Y",IF(OR('Daily Schedule'!$A45=4,'Daily Schedule'!$A45=8),IF(OR(WEEKDAY('Daily Schedule'!$B$2,2)=1,WEEKDAY('Daily Schedule'!$B$2,2)=4,WEEKDAY('Daily Schedule'!$B$2,2)=5,WEEKDAY('Daily Schedule'!$B$2,2)=7),IFERROR(1*'Daily Workforce'!$K180&gt;=3,FALSE()),IFERROR(1*'Daily Workforce'!$K180&gt;=2,FALSE())),IF(AND('Daily Schedule'!$A45&gt;=46,'Daily Schedule'!$A45&lt;=52),'Daily Workforce'!$M180="Y",IFERROR(1*'Daily Workforce'!$P180&gt;=2,FALSE()))))),1,0)</f>
        <v>0</v>
      </c>
      <c r="GJ41" s="1" t="n">
        <f aca="false">IF(AND('Daily Workforce'!$N181="Y",'Daily Workforce'!$B181&lt;&gt;"",COUNTIF('Daily Schedule'!$F$5:$F44,'Daily Workforce'!$B181)=0,IF('Daily Schedule'!$A45=45,'Daily Workforce'!$J181="Y",IF(OR('Daily Schedule'!$A45=4,'Daily Schedule'!$A45=8),IF(OR(WEEKDAY('Daily Schedule'!$B$2,2)=1,WEEKDAY('Daily Schedule'!$B$2,2)=4,WEEKDAY('Daily Schedule'!$B$2,2)=5,WEEKDAY('Daily Schedule'!$B$2,2)=7),IFERROR(1*'Daily Workforce'!$K181&gt;=3,FALSE()),IFERROR(1*'Daily Workforce'!$K181&gt;=2,FALSE())),IF(AND('Daily Schedule'!$A45&gt;=46,'Daily Schedule'!$A45&lt;=52),'Daily Workforce'!$M181="Y",IFERROR(1*'Daily Workforce'!$P181&gt;=2,FALSE()))))),1,0)</f>
        <v>0</v>
      </c>
      <c r="GK41" s="1" t="n">
        <f aca="false">IF(AND('Daily Workforce'!$N182="Y",'Daily Workforce'!$B182&lt;&gt;"",COUNTIF('Daily Schedule'!$F$5:$F44,'Daily Workforce'!$B182)=0,IF('Daily Schedule'!$A45=45,'Daily Workforce'!$J182="Y",IF(OR('Daily Schedule'!$A45=4,'Daily Schedule'!$A45=8),IF(OR(WEEKDAY('Daily Schedule'!$B$2,2)=1,WEEKDAY('Daily Schedule'!$B$2,2)=4,WEEKDAY('Daily Schedule'!$B$2,2)=5,WEEKDAY('Daily Schedule'!$B$2,2)=7),IFERROR(1*'Daily Workforce'!$K182&gt;=3,FALSE()),IFERROR(1*'Daily Workforce'!$K182&gt;=2,FALSE())),IF(AND('Daily Schedule'!$A45&gt;=46,'Daily Schedule'!$A45&lt;=52),'Daily Workforce'!$M182="Y",IFERROR(1*'Daily Workforce'!$P182&gt;=2,FALSE()))))),1,0)</f>
        <v>0</v>
      </c>
      <c r="GL41" s="1" t="n">
        <f aca="false">IF(AND('Daily Workforce'!$N183="Y",'Daily Workforce'!$B183&lt;&gt;"",COUNTIF('Daily Schedule'!$F$5:$F44,'Daily Workforce'!$B183)=0,IF('Daily Schedule'!$A45=45,'Daily Workforce'!$J183="Y",IF(OR('Daily Schedule'!$A45=4,'Daily Schedule'!$A45=8),IF(OR(WEEKDAY('Daily Schedule'!$B$2,2)=1,WEEKDAY('Daily Schedule'!$B$2,2)=4,WEEKDAY('Daily Schedule'!$B$2,2)=5,WEEKDAY('Daily Schedule'!$B$2,2)=7),IFERROR(1*'Daily Workforce'!$K183&gt;=3,FALSE()),IFERROR(1*'Daily Workforce'!$K183&gt;=2,FALSE())),IF(AND('Daily Schedule'!$A45&gt;=46,'Daily Schedule'!$A45&lt;=52),'Daily Workforce'!$M183="Y",IFERROR(1*'Daily Workforce'!$P183&gt;=2,FALSE()))))),1,0)</f>
        <v>0</v>
      </c>
      <c r="GM41" s="1" t="n">
        <f aca="false">IF(AND('Daily Workforce'!$N184="Y",'Daily Workforce'!$B184&lt;&gt;"",COUNTIF('Daily Schedule'!$F$5:$F44,'Daily Workforce'!$B184)=0,IF('Daily Schedule'!$A45=45,'Daily Workforce'!$J184="Y",IF(OR('Daily Schedule'!$A45=4,'Daily Schedule'!$A45=8),IF(OR(WEEKDAY('Daily Schedule'!$B$2,2)=1,WEEKDAY('Daily Schedule'!$B$2,2)=4,WEEKDAY('Daily Schedule'!$B$2,2)=5,WEEKDAY('Daily Schedule'!$B$2,2)=7),IFERROR(1*'Daily Workforce'!$K184&gt;=3,FALSE()),IFERROR(1*'Daily Workforce'!$K184&gt;=2,FALSE())),IF(AND('Daily Schedule'!$A45&gt;=46,'Daily Schedule'!$A45&lt;=52),'Daily Workforce'!$M184="Y",IFERROR(1*'Daily Workforce'!$P184&gt;=2,FALSE()))))),1,0)</f>
        <v>0</v>
      </c>
      <c r="GN41" s="1" t="n">
        <f aca="false">IF(AND('Daily Workforce'!$N185="Y",'Daily Workforce'!$B185&lt;&gt;"",COUNTIF('Daily Schedule'!$F$5:$F44,'Daily Workforce'!$B185)=0,IF('Daily Schedule'!$A45=45,'Daily Workforce'!$J185="Y",IF(OR('Daily Schedule'!$A45=4,'Daily Schedule'!$A45=8),IF(OR(WEEKDAY('Daily Schedule'!$B$2,2)=1,WEEKDAY('Daily Schedule'!$B$2,2)=4,WEEKDAY('Daily Schedule'!$B$2,2)=5,WEEKDAY('Daily Schedule'!$B$2,2)=7),IFERROR(1*'Daily Workforce'!$K185&gt;=3,FALSE()),IFERROR(1*'Daily Workforce'!$K185&gt;=2,FALSE())),IF(AND('Daily Schedule'!$A45&gt;=46,'Daily Schedule'!$A45&lt;=52),'Daily Workforce'!$M185="Y",IFERROR(1*'Daily Workforce'!$P185&gt;=2,FALSE()))))),1,0)</f>
        <v>0</v>
      </c>
      <c r="GO41" s="1" t="n">
        <f aca="false">IF(AND('Daily Workforce'!$N186="Y",'Daily Workforce'!$B186&lt;&gt;"",COUNTIF('Daily Schedule'!$F$5:$F44,'Daily Workforce'!$B186)=0,IF('Daily Schedule'!$A45=45,'Daily Workforce'!$J186="Y",IF(OR('Daily Schedule'!$A45=4,'Daily Schedule'!$A45=8),IF(OR(WEEKDAY('Daily Schedule'!$B$2,2)=1,WEEKDAY('Daily Schedule'!$B$2,2)=4,WEEKDAY('Daily Schedule'!$B$2,2)=5,WEEKDAY('Daily Schedule'!$B$2,2)=7),IFERROR(1*'Daily Workforce'!$K186&gt;=3,FALSE()),IFERROR(1*'Daily Workforce'!$K186&gt;=2,FALSE())),IF(AND('Daily Schedule'!$A45&gt;=46,'Daily Schedule'!$A45&lt;=52),'Daily Workforce'!$M186="Y",IFERROR(1*'Daily Workforce'!$P186&gt;=2,FALSE()))))),1,0)</f>
        <v>0</v>
      </c>
      <c r="GP41" s="1" t="n">
        <f aca="false">IF(AND('Daily Workforce'!$N187="Y",'Daily Workforce'!$B187&lt;&gt;"",COUNTIF('Daily Schedule'!$F$5:$F44,'Daily Workforce'!$B187)=0,IF('Daily Schedule'!$A45=45,'Daily Workforce'!$J187="Y",IF(OR('Daily Schedule'!$A45=4,'Daily Schedule'!$A45=8),IF(OR(WEEKDAY('Daily Schedule'!$B$2,2)=1,WEEKDAY('Daily Schedule'!$B$2,2)=4,WEEKDAY('Daily Schedule'!$B$2,2)=5,WEEKDAY('Daily Schedule'!$B$2,2)=7),IFERROR(1*'Daily Workforce'!$K187&gt;=3,FALSE()),IFERROR(1*'Daily Workforce'!$K187&gt;=2,FALSE())),IF(AND('Daily Schedule'!$A45&gt;=46,'Daily Schedule'!$A45&lt;=52),'Daily Workforce'!$M187="Y",IFERROR(1*'Daily Workforce'!$P187&gt;=2,FALSE()))))),1,0)</f>
        <v>0</v>
      </c>
      <c r="GQ41" s="1" t="n">
        <f aca="false">IF(AND('Daily Workforce'!$N188="Y",'Daily Workforce'!$B188&lt;&gt;"",COUNTIF('Daily Schedule'!$F$5:$F44,'Daily Workforce'!$B188)=0,IF('Daily Schedule'!$A45=45,'Daily Workforce'!$J188="Y",IF(OR('Daily Schedule'!$A45=4,'Daily Schedule'!$A45=8),IF(OR(WEEKDAY('Daily Schedule'!$B$2,2)=1,WEEKDAY('Daily Schedule'!$B$2,2)=4,WEEKDAY('Daily Schedule'!$B$2,2)=5,WEEKDAY('Daily Schedule'!$B$2,2)=7),IFERROR(1*'Daily Workforce'!$K188&gt;=3,FALSE()),IFERROR(1*'Daily Workforce'!$K188&gt;=2,FALSE())),IF(AND('Daily Schedule'!$A45&gt;=46,'Daily Schedule'!$A45&lt;=52),'Daily Workforce'!$M188="Y",IFERROR(1*'Daily Workforce'!$P188&gt;=2,FALSE()))))),1,0)</f>
        <v>0</v>
      </c>
      <c r="GR41" s="1" t="n">
        <f aca="false">IF(AND('Daily Workforce'!$N189="Y",'Daily Workforce'!$B189&lt;&gt;"",COUNTIF('Daily Schedule'!$F$5:$F44,'Daily Workforce'!$B189)=0,IF('Daily Schedule'!$A45=45,'Daily Workforce'!$J189="Y",IF(OR('Daily Schedule'!$A45=4,'Daily Schedule'!$A45=8),IF(OR(WEEKDAY('Daily Schedule'!$B$2,2)=1,WEEKDAY('Daily Schedule'!$B$2,2)=4,WEEKDAY('Daily Schedule'!$B$2,2)=5,WEEKDAY('Daily Schedule'!$B$2,2)=7),IFERROR(1*'Daily Workforce'!$K189&gt;=3,FALSE()),IFERROR(1*'Daily Workforce'!$K189&gt;=2,FALSE())),IF(AND('Daily Schedule'!$A45&gt;=46,'Daily Schedule'!$A45&lt;=52),'Daily Workforce'!$M189="Y",IFERROR(1*'Daily Workforce'!$P189&gt;=2,FALSE()))))),1,0)</f>
        <v>0</v>
      </c>
      <c r="GS41" s="1" t="n">
        <f aca="false">IF(AND('Daily Workforce'!$N190="Y",'Daily Workforce'!$B190&lt;&gt;"",COUNTIF('Daily Schedule'!$F$5:$F44,'Daily Workforce'!$B190)=0,IF('Daily Schedule'!$A45=45,'Daily Workforce'!$J190="Y",IF(OR('Daily Schedule'!$A45=4,'Daily Schedule'!$A45=8),IF(OR(WEEKDAY('Daily Schedule'!$B$2,2)=1,WEEKDAY('Daily Schedule'!$B$2,2)=4,WEEKDAY('Daily Schedule'!$B$2,2)=5,WEEKDAY('Daily Schedule'!$B$2,2)=7),IFERROR(1*'Daily Workforce'!$K190&gt;=3,FALSE()),IFERROR(1*'Daily Workforce'!$K190&gt;=2,FALSE())),IF(AND('Daily Schedule'!$A45&gt;=46,'Daily Schedule'!$A45&lt;=52),'Daily Workforce'!$M190="Y",IFERROR(1*'Daily Workforce'!$P190&gt;=2,FALSE()))))),1,0)</f>
        <v>0</v>
      </c>
      <c r="GT41" s="1" t="n">
        <f aca="false">IF(AND('Daily Workforce'!$N191="Y",'Daily Workforce'!$B191&lt;&gt;"",COUNTIF('Daily Schedule'!$F$5:$F44,'Daily Workforce'!$B191)=0,IF('Daily Schedule'!$A45=45,'Daily Workforce'!$J191="Y",IF(OR('Daily Schedule'!$A45=4,'Daily Schedule'!$A45=8),IF(OR(WEEKDAY('Daily Schedule'!$B$2,2)=1,WEEKDAY('Daily Schedule'!$B$2,2)=4,WEEKDAY('Daily Schedule'!$B$2,2)=5,WEEKDAY('Daily Schedule'!$B$2,2)=7),IFERROR(1*'Daily Workforce'!$K191&gt;=3,FALSE()),IFERROR(1*'Daily Workforce'!$K191&gt;=2,FALSE())),IF(AND('Daily Schedule'!$A45&gt;=46,'Daily Schedule'!$A45&lt;=52),'Daily Workforce'!$M191="Y",IFERROR(1*'Daily Workforce'!$P191&gt;=2,FALSE()))))),1,0)</f>
        <v>0</v>
      </c>
      <c r="GU41" s="1" t="n">
        <f aca="false">IF(AND('Daily Workforce'!$N192="Y",'Daily Workforce'!$B192&lt;&gt;"",COUNTIF('Daily Schedule'!$F$5:$F44,'Daily Workforce'!$B192)=0,IF('Daily Schedule'!$A45=45,'Daily Workforce'!$J192="Y",IF(OR('Daily Schedule'!$A45=4,'Daily Schedule'!$A45=8),IF(OR(WEEKDAY('Daily Schedule'!$B$2,2)=1,WEEKDAY('Daily Schedule'!$B$2,2)=4,WEEKDAY('Daily Schedule'!$B$2,2)=5,WEEKDAY('Daily Schedule'!$B$2,2)=7),IFERROR(1*'Daily Workforce'!$K192&gt;=3,FALSE()),IFERROR(1*'Daily Workforce'!$K192&gt;=2,FALSE())),IF(AND('Daily Schedule'!$A45&gt;=46,'Daily Schedule'!$A45&lt;=52),'Daily Workforce'!$M192="Y",IFERROR(1*'Daily Workforce'!$P192&gt;=2,FALSE()))))),1,0)</f>
        <v>0</v>
      </c>
      <c r="GV41" s="1" t="n">
        <f aca="false">IF(AND('Daily Workforce'!$N193="Y",'Daily Workforce'!$B193&lt;&gt;"",COUNTIF('Daily Schedule'!$F$5:$F44,'Daily Workforce'!$B193)=0,IF('Daily Schedule'!$A45=45,'Daily Workforce'!$J193="Y",IF(OR('Daily Schedule'!$A45=4,'Daily Schedule'!$A45=8),IF(OR(WEEKDAY('Daily Schedule'!$B$2,2)=1,WEEKDAY('Daily Schedule'!$B$2,2)=4,WEEKDAY('Daily Schedule'!$B$2,2)=5,WEEKDAY('Daily Schedule'!$B$2,2)=7),IFERROR(1*'Daily Workforce'!$K193&gt;=3,FALSE()),IFERROR(1*'Daily Workforce'!$K193&gt;=2,FALSE())),IF(AND('Daily Schedule'!$A45&gt;=46,'Daily Schedule'!$A45&lt;=52),'Daily Workforce'!$M193="Y",IFERROR(1*'Daily Workforce'!$P193&gt;=2,FALSE()))))),1,0)</f>
        <v>0</v>
      </c>
      <c r="GW41" s="1" t="n">
        <f aca="false">IF(AND('Daily Workforce'!$N194="Y",'Daily Workforce'!$B194&lt;&gt;"",COUNTIF('Daily Schedule'!$F$5:$F44,'Daily Workforce'!$B194)=0,IF('Daily Schedule'!$A45=45,'Daily Workforce'!$J194="Y",IF(OR('Daily Schedule'!$A45=4,'Daily Schedule'!$A45=8),IF(OR(WEEKDAY('Daily Schedule'!$B$2,2)=1,WEEKDAY('Daily Schedule'!$B$2,2)=4,WEEKDAY('Daily Schedule'!$B$2,2)=5,WEEKDAY('Daily Schedule'!$B$2,2)=7),IFERROR(1*'Daily Workforce'!$K194&gt;=3,FALSE()),IFERROR(1*'Daily Workforce'!$K194&gt;=2,FALSE())),IF(AND('Daily Schedule'!$A45&gt;=46,'Daily Schedule'!$A45&lt;=52),'Daily Workforce'!$M194="Y",IFERROR(1*'Daily Workforce'!$P194&gt;=2,FALSE()))))),1,0)</f>
        <v>0</v>
      </c>
      <c r="GX41" s="1" t="n">
        <f aca="false">IF(AND('Daily Workforce'!$N195="Y",'Daily Workforce'!$B195&lt;&gt;"",COUNTIF('Daily Schedule'!$F$5:$F44,'Daily Workforce'!$B195)=0,IF('Daily Schedule'!$A45=45,'Daily Workforce'!$J195="Y",IF(OR('Daily Schedule'!$A45=4,'Daily Schedule'!$A45=8),IF(OR(WEEKDAY('Daily Schedule'!$B$2,2)=1,WEEKDAY('Daily Schedule'!$B$2,2)=4,WEEKDAY('Daily Schedule'!$B$2,2)=5,WEEKDAY('Daily Schedule'!$B$2,2)=7),IFERROR(1*'Daily Workforce'!$K195&gt;=3,FALSE()),IFERROR(1*'Daily Workforce'!$K195&gt;=2,FALSE())),IF(AND('Daily Schedule'!$A45&gt;=46,'Daily Schedule'!$A45&lt;=52),'Daily Workforce'!$M195="Y",IFERROR(1*'Daily Workforce'!$P195&gt;=2,FALSE()))))),1,0)</f>
        <v>0</v>
      </c>
      <c r="GY41" s="1" t="n">
        <f aca="false">IF(AND('Daily Workforce'!$N196="Y",'Daily Workforce'!$B196&lt;&gt;"",COUNTIF('Daily Schedule'!$F$5:$F44,'Daily Workforce'!$B196)=0,IF('Daily Schedule'!$A45=45,'Daily Workforce'!$J196="Y",IF(OR('Daily Schedule'!$A45=4,'Daily Schedule'!$A45=8),IF(OR(WEEKDAY('Daily Schedule'!$B$2,2)=1,WEEKDAY('Daily Schedule'!$B$2,2)=4,WEEKDAY('Daily Schedule'!$B$2,2)=5,WEEKDAY('Daily Schedule'!$B$2,2)=7),IFERROR(1*'Daily Workforce'!$K196&gt;=3,FALSE()),IFERROR(1*'Daily Workforce'!$K196&gt;=2,FALSE())),IF(AND('Daily Schedule'!$A45&gt;=46,'Daily Schedule'!$A45&lt;=52),'Daily Workforce'!$M196="Y",IFERROR(1*'Daily Workforce'!$P196&gt;=2,FALSE()))))),1,0)</f>
        <v>0</v>
      </c>
      <c r="GZ41" s="1" t="n">
        <f aca="false">IF(AND('Daily Workforce'!$N197="Y",'Daily Workforce'!$B197&lt;&gt;"",COUNTIF('Daily Schedule'!$F$5:$F44,'Daily Workforce'!$B197)=0,IF('Daily Schedule'!$A45=45,'Daily Workforce'!$J197="Y",IF(OR('Daily Schedule'!$A45=4,'Daily Schedule'!$A45=8),IF(OR(WEEKDAY('Daily Schedule'!$B$2,2)=1,WEEKDAY('Daily Schedule'!$B$2,2)=4,WEEKDAY('Daily Schedule'!$B$2,2)=5,WEEKDAY('Daily Schedule'!$B$2,2)=7),IFERROR(1*'Daily Workforce'!$K197&gt;=3,FALSE()),IFERROR(1*'Daily Workforce'!$K197&gt;=2,FALSE())),IF(AND('Daily Schedule'!$A45&gt;=46,'Daily Schedule'!$A45&lt;=52),'Daily Workforce'!$M197="Y",IFERROR(1*'Daily Workforce'!$P197&gt;=2,FALSE()))))),1,0)</f>
        <v>0</v>
      </c>
      <c r="HA41" s="1" t="n">
        <f aca="false">IF(AND('Daily Workforce'!$N198="Y",'Daily Workforce'!$B198&lt;&gt;"",COUNTIF('Daily Schedule'!$F$5:$F44,'Daily Workforce'!$B198)=0,IF('Daily Schedule'!$A45=45,'Daily Workforce'!$J198="Y",IF(OR('Daily Schedule'!$A45=4,'Daily Schedule'!$A45=8),IF(OR(WEEKDAY('Daily Schedule'!$B$2,2)=1,WEEKDAY('Daily Schedule'!$B$2,2)=4,WEEKDAY('Daily Schedule'!$B$2,2)=5,WEEKDAY('Daily Schedule'!$B$2,2)=7),IFERROR(1*'Daily Workforce'!$K198&gt;=3,FALSE()),IFERROR(1*'Daily Workforce'!$K198&gt;=2,FALSE())),IF(AND('Daily Schedule'!$A45&gt;=46,'Daily Schedule'!$A45&lt;=52),'Daily Workforce'!$M198="Y",IFERROR(1*'Daily Workforce'!$P198&gt;=2,FALSE()))))),1,0)</f>
        <v>0</v>
      </c>
      <c r="HB41" s="1" t="n">
        <f aca="false">IF(AND('Daily Workforce'!$N199="Y",'Daily Workforce'!$B199&lt;&gt;"",COUNTIF('Daily Schedule'!$F$5:$F44,'Daily Workforce'!$B199)=0,IF('Daily Schedule'!$A45=45,'Daily Workforce'!$J199="Y",IF(OR('Daily Schedule'!$A45=4,'Daily Schedule'!$A45=8),IF(OR(WEEKDAY('Daily Schedule'!$B$2,2)=1,WEEKDAY('Daily Schedule'!$B$2,2)=4,WEEKDAY('Daily Schedule'!$B$2,2)=5,WEEKDAY('Daily Schedule'!$B$2,2)=7),IFERROR(1*'Daily Workforce'!$K199&gt;=3,FALSE()),IFERROR(1*'Daily Workforce'!$K199&gt;=2,FALSE())),IF(AND('Daily Schedule'!$A45&gt;=46,'Daily Schedule'!$A45&lt;=52),'Daily Workforce'!$M199="Y",IFERROR(1*'Daily Workforce'!$P199&gt;=2,FALSE()))))),1,0)</f>
        <v>0</v>
      </c>
      <c r="HC41" s="1" t="n">
        <f aca="false">IF(AND('Daily Workforce'!$N200="Y",'Daily Workforce'!$B200&lt;&gt;"",COUNTIF('Daily Schedule'!$F$5:$F44,'Daily Workforce'!$B200)=0,IF('Daily Schedule'!$A45=45,'Daily Workforce'!$J200="Y",IF(OR('Daily Schedule'!$A45=4,'Daily Schedule'!$A45=8),IF(OR(WEEKDAY('Daily Schedule'!$B$2,2)=1,WEEKDAY('Daily Schedule'!$B$2,2)=4,WEEKDAY('Daily Schedule'!$B$2,2)=5,WEEKDAY('Daily Schedule'!$B$2,2)=7),IFERROR(1*'Daily Workforce'!$K200&gt;=3,FALSE()),IFERROR(1*'Daily Workforce'!$K200&gt;=2,FALSE())),IF(AND('Daily Schedule'!$A45&gt;=46,'Daily Schedule'!$A45&lt;=52),'Daily Workforce'!$M200="Y",IFERROR(1*'Daily Workforce'!$P200&gt;=2,FALSE()))))),1,0)</f>
        <v>0</v>
      </c>
      <c r="HD41" s="1" t="n">
        <f aca="false">IF(AND('Daily Workforce'!$N201="Y",'Daily Workforce'!$B201&lt;&gt;"",COUNTIF('Daily Schedule'!$F$5:$F44,'Daily Workforce'!$B201)=0,IF('Daily Schedule'!$A45=45,'Daily Workforce'!$J201="Y",IF(OR('Daily Schedule'!$A45=4,'Daily Schedule'!$A45=8),IF(OR(WEEKDAY('Daily Schedule'!$B$2,2)=1,WEEKDAY('Daily Schedule'!$B$2,2)=4,WEEKDAY('Daily Schedule'!$B$2,2)=5,WEEKDAY('Daily Schedule'!$B$2,2)=7),IFERROR(1*'Daily Workforce'!$K201&gt;=3,FALSE()),IFERROR(1*'Daily Workforce'!$K201&gt;=2,FALSE())),IF(AND('Daily Schedule'!$A45&gt;=46,'Daily Schedule'!$A45&lt;=52),'Daily Workforce'!$M201="Y",IFERROR(1*'Daily Workforce'!$P201&gt;=2,FALSE()))))),1,0)</f>
        <v>0</v>
      </c>
      <c r="HE41" s="1" t="n">
        <f aca="false">IF(AND('Daily Workforce'!$N202="Y",'Daily Workforce'!$B202&lt;&gt;"",COUNTIF('Daily Schedule'!$F$5:$F44,'Daily Workforce'!$B202)=0,IF('Daily Schedule'!$A45=45,'Daily Workforce'!$J202="Y",IF(OR('Daily Schedule'!$A45=4,'Daily Schedule'!$A45=8),IF(OR(WEEKDAY('Daily Schedule'!$B$2,2)=1,WEEKDAY('Daily Schedule'!$B$2,2)=4,WEEKDAY('Daily Schedule'!$B$2,2)=5,WEEKDAY('Daily Schedule'!$B$2,2)=7),IFERROR(1*'Daily Workforce'!$K202&gt;=3,FALSE()),IFERROR(1*'Daily Workforce'!$K202&gt;=2,FALSE())),IF(AND('Daily Schedule'!$A45&gt;=46,'Daily Schedule'!$A45&lt;=52),'Daily Workforce'!$M202="Y",IFERROR(1*'Daily Workforce'!$P202&gt;=2,FALSE()))))),1,0)</f>
        <v>0</v>
      </c>
      <c r="HF41" s="1" t="n">
        <f aca="false">IF(AND('Daily Workforce'!$N203="Y",'Daily Workforce'!$B203&lt;&gt;"",COUNTIF('Daily Schedule'!$F$5:$F44,'Daily Workforce'!$B203)=0,IF('Daily Schedule'!$A45=45,'Daily Workforce'!$J203="Y",IF(OR('Daily Schedule'!$A45=4,'Daily Schedule'!$A45=8),IF(OR(WEEKDAY('Daily Schedule'!$B$2,2)=1,WEEKDAY('Daily Schedule'!$B$2,2)=4,WEEKDAY('Daily Schedule'!$B$2,2)=5,WEEKDAY('Daily Schedule'!$B$2,2)=7),IFERROR(1*'Daily Workforce'!$K203&gt;=3,FALSE()),IFERROR(1*'Daily Workforce'!$K203&gt;=2,FALSE())),IF(AND('Daily Schedule'!$A45&gt;=46,'Daily Schedule'!$A45&lt;=52),'Daily Workforce'!$M203="Y",IFERROR(1*'Daily Workforce'!$P203&gt;=2,FALSE()))))),1,0)</f>
        <v>0</v>
      </c>
      <c r="HG41" s="1" t="n">
        <f aca="false">IF(AND('Daily Workforce'!$N204="Y",'Daily Workforce'!$B204&lt;&gt;"",COUNTIF('Daily Schedule'!$F$5:$F44,'Daily Workforce'!$B204)=0,IF('Daily Schedule'!$A45=45,'Daily Workforce'!$J204="Y",IF(OR('Daily Schedule'!$A45=4,'Daily Schedule'!$A45=8),IF(OR(WEEKDAY('Daily Schedule'!$B$2,2)=1,WEEKDAY('Daily Schedule'!$B$2,2)=4,WEEKDAY('Daily Schedule'!$B$2,2)=5,WEEKDAY('Daily Schedule'!$B$2,2)=7),IFERROR(1*'Daily Workforce'!$K204&gt;=3,FALSE()),IFERROR(1*'Daily Workforce'!$K204&gt;=2,FALSE())),IF(AND('Daily Schedule'!$A45&gt;=46,'Daily Schedule'!$A45&lt;=52),'Daily Workforce'!$M204="Y",IFERROR(1*'Daily Workforce'!$P204&gt;=2,FALSE()))))),1,0)</f>
        <v>0</v>
      </c>
      <c r="HH41" s="1" t="n">
        <f aca="false">IF(AND('Daily Workforce'!$N205="Y",'Daily Workforce'!$B205&lt;&gt;"",COUNTIF('Daily Schedule'!$F$5:$F44,'Daily Workforce'!$B205)=0,IF('Daily Schedule'!$A45=45,'Daily Workforce'!$J205="Y",IF(OR('Daily Schedule'!$A45=4,'Daily Schedule'!$A45=8),IF(OR(WEEKDAY('Daily Schedule'!$B$2,2)=1,WEEKDAY('Daily Schedule'!$B$2,2)=4,WEEKDAY('Daily Schedule'!$B$2,2)=5,WEEKDAY('Daily Schedule'!$B$2,2)=7),IFERROR(1*'Daily Workforce'!$K205&gt;=3,FALSE()),IFERROR(1*'Daily Workforce'!$K205&gt;=2,FALSE())),IF(AND('Daily Schedule'!$A45&gt;=46,'Daily Schedule'!$A45&lt;=52),'Daily Workforce'!$M205="Y",IFERROR(1*'Daily Workforce'!$P205&gt;=2,FALSE()))))),1,0)</f>
        <v>0</v>
      </c>
    </row>
    <row r="42" customFormat="false" ht="15" hidden="false" customHeight="true" outlineLevel="0" collapsed="false">
      <c r="L42" s="1" t="s">
        <v>815</v>
      </c>
      <c r="O42" s="1" t="n">
        <f aca="false">IF(AND('Employee Master'!$G42="Y",ISERROR(SEARCH(TEXT('Daily Workforce'!$B$2,"ddd"),'Employee Master'!$D42)),IF('Daily Workforce'!$E$2="",TRUE(),'Employee Master'!$I42='Daily Workforce'!$E$2)),'Employee Master'!$K42*1000+ROW()-1,"")</f>
        <v>2041</v>
      </c>
      <c r="P42" s="1" t="n">
        <f aca="false">IF($O42="","",COUNTIF($O$2:$O$159,"&lt;="&amp;$O42))</f>
        <v>29</v>
      </c>
      <c r="Q42" s="1" t="n">
        <f aca="false">IF(AND('Daily Workforce'!$N6="Y",'Daily Workforce'!$B6&lt;&gt;"",COUNTIF('Daily Schedule'!$F$5:$F45,'Daily Workforce'!$B6)=0,IF('Daily Schedule'!$A46=45,'Daily Workforce'!$J6="Y",IF(OR('Daily Schedule'!$A46=4,'Daily Schedule'!$A46=8),IF(OR(WEEKDAY('Daily Schedule'!$B$2,2)=1,WEEKDAY('Daily Schedule'!$B$2,2)=4,WEEKDAY('Daily Schedule'!$B$2,2)=5,WEEKDAY('Daily Schedule'!$B$2,2)=7),IFERROR(1*'Daily Workforce'!$K6&gt;=3,FALSE()),IFERROR(1*'Daily Workforce'!$K6&gt;=2,FALSE())),IF(AND('Daily Schedule'!$A46&gt;=46,'Daily Schedule'!$A46&lt;=52),'Daily Workforce'!$M6="Y",IFERROR(1*'Daily Workforce'!$P6&gt;=2,FALSE()))))),1,0)</f>
        <v>0</v>
      </c>
      <c r="R42" s="1" t="n">
        <f aca="false">IF(AND('Daily Workforce'!$N7="Y",'Daily Workforce'!$B7&lt;&gt;"",COUNTIF('Daily Schedule'!$F$5:$F45,'Daily Workforce'!$B7)=0,IF('Daily Schedule'!$A46=45,'Daily Workforce'!$J7="Y",IF(OR('Daily Schedule'!$A46=4,'Daily Schedule'!$A46=8),IF(OR(WEEKDAY('Daily Schedule'!$B$2,2)=1,WEEKDAY('Daily Schedule'!$B$2,2)=4,WEEKDAY('Daily Schedule'!$B$2,2)=5,WEEKDAY('Daily Schedule'!$B$2,2)=7),IFERROR(1*'Daily Workforce'!$K7&gt;=3,FALSE()),IFERROR(1*'Daily Workforce'!$K7&gt;=2,FALSE())),IF(AND('Daily Schedule'!$A46&gt;=46,'Daily Schedule'!$A46&lt;=52),'Daily Workforce'!$M7="Y",IFERROR(1*'Daily Workforce'!$P7&gt;=2,FALSE()))))),1,0)</f>
        <v>0</v>
      </c>
      <c r="S42" s="1" t="n">
        <f aca="false">IF(AND('Daily Workforce'!$N8="Y",'Daily Workforce'!$B8&lt;&gt;"",COUNTIF('Daily Schedule'!$F$5:$F45,'Daily Workforce'!$B8)=0,IF('Daily Schedule'!$A46=45,'Daily Workforce'!$J8="Y",IF(OR('Daily Schedule'!$A46=4,'Daily Schedule'!$A46=8),IF(OR(WEEKDAY('Daily Schedule'!$B$2,2)=1,WEEKDAY('Daily Schedule'!$B$2,2)=4,WEEKDAY('Daily Schedule'!$B$2,2)=5,WEEKDAY('Daily Schedule'!$B$2,2)=7),IFERROR(1*'Daily Workforce'!$K8&gt;=3,FALSE()),IFERROR(1*'Daily Workforce'!$K8&gt;=2,FALSE())),IF(AND('Daily Schedule'!$A46&gt;=46,'Daily Schedule'!$A46&lt;=52),'Daily Workforce'!$M8="Y",IFERROR(1*'Daily Workforce'!$P8&gt;=2,FALSE()))))),1,0)</f>
        <v>0</v>
      </c>
      <c r="T42" s="1" t="n">
        <f aca="false">IF(AND('Daily Workforce'!$N9="Y",'Daily Workforce'!$B9&lt;&gt;"",COUNTIF('Daily Schedule'!$F$5:$F45,'Daily Workforce'!$B9)=0,IF('Daily Schedule'!$A46=45,'Daily Workforce'!$J9="Y",IF(OR('Daily Schedule'!$A46=4,'Daily Schedule'!$A46=8),IF(OR(WEEKDAY('Daily Schedule'!$B$2,2)=1,WEEKDAY('Daily Schedule'!$B$2,2)=4,WEEKDAY('Daily Schedule'!$B$2,2)=5,WEEKDAY('Daily Schedule'!$B$2,2)=7),IFERROR(1*'Daily Workforce'!$K9&gt;=3,FALSE()),IFERROR(1*'Daily Workforce'!$K9&gt;=2,FALSE())),IF(AND('Daily Schedule'!$A46&gt;=46,'Daily Schedule'!$A46&lt;=52),'Daily Workforce'!$M9="Y",IFERROR(1*'Daily Workforce'!$P9&gt;=2,FALSE()))))),1,0)</f>
        <v>0</v>
      </c>
      <c r="U42" s="1" t="n">
        <f aca="false">IF(AND('Daily Workforce'!$N10="Y",'Daily Workforce'!$B10&lt;&gt;"",COUNTIF('Daily Schedule'!$F$5:$F45,'Daily Workforce'!$B10)=0,IF('Daily Schedule'!$A46=45,'Daily Workforce'!$J10="Y",IF(OR('Daily Schedule'!$A46=4,'Daily Schedule'!$A46=8),IF(OR(WEEKDAY('Daily Schedule'!$B$2,2)=1,WEEKDAY('Daily Schedule'!$B$2,2)=4,WEEKDAY('Daily Schedule'!$B$2,2)=5,WEEKDAY('Daily Schedule'!$B$2,2)=7),IFERROR(1*'Daily Workforce'!$K10&gt;=3,FALSE()),IFERROR(1*'Daily Workforce'!$K10&gt;=2,FALSE())),IF(AND('Daily Schedule'!$A46&gt;=46,'Daily Schedule'!$A46&lt;=52),'Daily Workforce'!$M10="Y",IFERROR(1*'Daily Workforce'!$P10&gt;=2,FALSE()))))),1,0)</f>
        <v>0</v>
      </c>
      <c r="V42" s="1" t="n">
        <f aca="false">IF(AND('Daily Workforce'!$N11="Y",'Daily Workforce'!$B11&lt;&gt;"",COUNTIF('Daily Schedule'!$F$5:$F45,'Daily Workforce'!$B11)=0,IF('Daily Schedule'!$A46=45,'Daily Workforce'!$J11="Y",IF(OR('Daily Schedule'!$A46=4,'Daily Schedule'!$A46=8),IF(OR(WEEKDAY('Daily Schedule'!$B$2,2)=1,WEEKDAY('Daily Schedule'!$B$2,2)=4,WEEKDAY('Daily Schedule'!$B$2,2)=5,WEEKDAY('Daily Schedule'!$B$2,2)=7),IFERROR(1*'Daily Workforce'!$K11&gt;=3,FALSE()),IFERROR(1*'Daily Workforce'!$K11&gt;=2,FALSE())),IF(AND('Daily Schedule'!$A46&gt;=46,'Daily Schedule'!$A46&lt;=52),'Daily Workforce'!$M11="Y",IFERROR(1*'Daily Workforce'!$P11&gt;=2,FALSE()))))),1,0)</f>
        <v>0</v>
      </c>
      <c r="W42" s="1" t="n">
        <f aca="false">IF(AND('Daily Workforce'!$N12="Y",'Daily Workforce'!$B12&lt;&gt;"",COUNTIF('Daily Schedule'!$F$5:$F45,'Daily Workforce'!$B12)=0,IF('Daily Schedule'!$A46=45,'Daily Workforce'!$J12="Y",IF(OR('Daily Schedule'!$A46=4,'Daily Schedule'!$A46=8),IF(OR(WEEKDAY('Daily Schedule'!$B$2,2)=1,WEEKDAY('Daily Schedule'!$B$2,2)=4,WEEKDAY('Daily Schedule'!$B$2,2)=5,WEEKDAY('Daily Schedule'!$B$2,2)=7),IFERROR(1*'Daily Workforce'!$K12&gt;=3,FALSE()),IFERROR(1*'Daily Workforce'!$K12&gt;=2,FALSE())),IF(AND('Daily Schedule'!$A46&gt;=46,'Daily Schedule'!$A46&lt;=52),'Daily Workforce'!$M12="Y",IFERROR(1*'Daily Workforce'!$P12&gt;=2,FALSE()))))),1,0)</f>
        <v>0</v>
      </c>
      <c r="X42" s="1" t="n">
        <f aca="false">IF(AND('Daily Workforce'!$N13="Y",'Daily Workforce'!$B13&lt;&gt;"",COUNTIF('Daily Schedule'!$F$5:$F45,'Daily Workforce'!$B13)=0,IF('Daily Schedule'!$A46=45,'Daily Workforce'!$J13="Y",IF(OR('Daily Schedule'!$A46=4,'Daily Schedule'!$A46=8),IF(OR(WEEKDAY('Daily Schedule'!$B$2,2)=1,WEEKDAY('Daily Schedule'!$B$2,2)=4,WEEKDAY('Daily Schedule'!$B$2,2)=5,WEEKDAY('Daily Schedule'!$B$2,2)=7),IFERROR(1*'Daily Workforce'!$K13&gt;=3,FALSE()),IFERROR(1*'Daily Workforce'!$K13&gt;=2,FALSE())),IF(AND('Daily Schedule'!$A46&gt;=46,'Daily Schedule'!$A46&lt;=52),'Daily Workforce'!$M13="Y",IFERROR(1*'Daily Workforce'!$P13&gt;=2,FALSE()))))),1,0)</f>
        <v>0</v>
      </c>
      <c r="Y42" s="1" t="n">
        <f aca="false">IF(AND('Daily Workforce'!$N14="Y",'Daily Workforce'!$B14&lt;&gt;"",COUNTIF('Daily Schedule'!$F$5:$F45,'Daily Workforce'!$B14)=0,IF('Daily Schedule'!$A46=45,'Daily Workforce'!$J14="Y",IF(OR('Daily Schedule'!$A46=4,'Daily Schedule'!$A46=8),IF(OR(WEEKDAY('Daily Schedule'!$B$2,2)=1,WEEKDAY('Daily Schedule'!$B$2,2)=4,WEEKDAY('Daily Schedule'!$B$2,2)=5,WEEKDAY('Daily Schedule'!$B$2,2)=7),IFERROR(1*'Daily Workforce'!$K14&gt;=3,FALSE()),IFERROR(1*'Daily Workforce'!$K14&gt;=2,FALSE())),IF(AND('Daily Schedule'!$A46&gt;=46,'Daily Schedule'!$A46&lt;=52),'Daily Workforce'!$M14="Y",IFERROR(1*'Daily Workforce'!$P14&gt;=2,FALSE()))))),1,0)</f>
        <v>0</v>
      </c>
      <c r="Z42" s="1" t="n">
        <f aca="false">IF(AND('Daily Workforce'!$N15="Y",'Daily Workforce'!$B15&lt;&gt;"",COUNTIF('Daily Schedule'!$F$5:$F45,'Daily Workforce'!$B15)=0,IF('Daily Schedule'!$A46=45,'Daily Workforce'!$J15="Y",IF(OR('Daily Schedule'!$A46=4,'Daily Schedule'!$A46=8),IF(OR(WEEKDAY('Daily Schedule'!$B$2,2)=1,WEEKDAY('Daily Schedule'!$B$2,2)=4,WEEKDAY('Daily Schedule'!$B$2,2)=5,WEEKDAY('Daily Schedule'!$B$2,2)=7),IFERROR(1*'Daily Workforce'!$K15&gt;=3,FALSE()),IFERROR(1*'Daily Workforce'!$K15&gt;=2,FALSE())),IF(AND('Daily Schedule'!$A46&gt;=46,'Daily Schedule'!$A46&lt;=52),'Daily Workforce'!$M15="Y",IFERROR(1*'Daily Workforce'!$P15&gt;=2,FALSE()))))),1,0)</f>
        <v>0</v>
      </c>
      <c r="AA42" s="1" t="n">
        <f aca="false">IF(AND('Daily Workforce'!$N16="Y",'Daily Workforce'!$B16&lt;&gt;"",COUNTIF('Daily Schedule'!$F$5:$F45,'Daily Workforce'!$B16)=0,IF('Daily Schedule'!$A46=45,'Daily Workforce'!$J16="Y",IF(OR('Daily Schedule'!$A46=4,'Daily Schedule'!$A46=8),IF(OR(WEEKDAY('Daily Schedule'!$B$2,2)=1,WEEKDAY('Daily Schedule'!$B$2,2)=4,WEEKDAY('Daily Schedule'!$B$2,2)=5,WEEKDAY('Daily Schedule'!$B$2,2)=7),IFERROR(1*'Daily Workforce'!$K16&gt;=3,FALSE()),IFERROR(1*'Daily Workforce'!$K16&gt;=2,FALSE())),IF(AND('Daily Schedule'!$A46&gt;=46,'Daily Schedule'!$A46&lt;=52),'Daily Workforce'!$M16="Y",IFERROR(1*'Daily Workforce'!$P16&gt;=2,FALSE()))))),1,0)</f>
        <v>0</v>
      </c>
      <c r="AB42" s="1" t="n">
        <f aca="false">IF(AND('Daily Workforce'!$N17="Y",'Daily Workforce'!$B17&lt;&gt;"",COUNTIF('Daily Schedule'!$F$5:$F45,'Daily Workforce'!$B17)=0,IF('Daily Schedule'!$A46=45,'Daily Workforce'!$J17="Y",IF(OR('Daily Schedule'!$A46=4,'Daily Schedule'!$A46=8),IF(OR(WEEKDAY('Daily Schedule'!$B$2,2)=1,WEEKDAY('Daily Schedule'!$B$2,2)=4,WEEKDAY('Daily Schedule'!$B$2,2)=5,WEEKDAY('Daily Schedule'!$B$2,2)=7),IFERROR(1*'Daily Workforce'!$K17&gt;=3,FALSE()),IFERROR(1*'Daily Workforce'!$K17&gt;=2,FALSE())),IF(AND('Daily Schedule'!$A46&gt;=46,'Daily Schedule'!$A46&lt;=52),'Daily Workforce'!$M17="Y",IFERROR(1*'Daily Workforce'!$P17&gt;=2,FALSE()))))),1,0)</f>
        <v>0</v>
      </c>
      <c r="AC42" s="1" t="n">
        <f aca="false">IF(AND('Daily Workforce'!$N18="Y",'Daily Workforce'!$B18&lt;&gt;"",COUNTIF('Daily Schedule'!$F$5:$F45,'Daily Workforce'!$B18)=0,IF('Daily Schedule'!$A46=45,'Daily Workforce'!$J18="Y",IF(OR('Daily Schedule'!$A46=4,'Daily Schedule'!$A46=8),IF(OR(WEEKDAY('Daily Schedule'!$B$2,2)=1,WEEKDAY('Daily Schedule'!$B$2,2)=4,WEEKDAY('Daily Schedule'!$B$2,2)=5,WEEKDAY('Daily Schedule'!$B$2,2)=7),IFERROR(1*'Daily Workforce'!$K18&gt;=3,FALSE()),IFERROR(1*'Daily Workforce'!$K18&gt;=2,FALSE())),IF(AND('Daily Schedule'!$A46&gt;=46,'Daily Schedule'!$A46&lt;=52),'Daily Workforce'!$M18="Y",IFERROR(1*'Daily Workforce'!$P18&gt;=2,FALSE()))))),1,0)</f>
        <v>0</v>
      </c>
      <c r="AD42" s="1" t="n">
        <f aca="false">IF(AND('Daily Workforce'!$N19="Y",'Daily Workforce'!$B19&lt;&gt;"",COUNTIF('Daily Schedule'!$F$5:$F45,'Daily Workforce'!$B19)=0,IF('Daily Schedule'!$A46=45,'Daily Workforce'!$J19="Y",IF(OR('Daily Schedule'!$A46=4,'Daily Schedule'!$A46=8),IF(OR(WEEKDAY('Daily Schedule'!$B$2,2)=1,WEEKDAY('Daily Schedule'!$B$2,2)=4,WEEKDAY('Daily Schedule'!$B$2,2)=5,WEEKDAY('Daily Schedule'!$B$2,2)=7),IFERROR(1*'Daily Workforce'!$K19&gt;=3,FALSE()),IFERROR(1*'Daily Workforce'!$K19&gt;=2,FALSE())),IF(AND('Daily Schedule'!$A46&gt;=46,'Daily Schedule'!$A46&lt;=52),'Daily Workforce'!$M19="Y",IFERROR(1*'Daily Workforce'!$P19&gt;=2,FALSE()))))),1,0)</f>
        <v>0</v>
      </c>
      <c r="AE42" s="1" t="n">
        <f aca="false">IF(AND('Daily Workforce'!$N20="Y",'Daily Workforce'!$B20&lt;&gt;"",COUNTIF('Daily Schedule'!$F$5:$F45,'Daily Workforce'!$B20)=0,IF('Daily Schedule'!$A46=45,'Daily Workforce'!$J20="Y",IF(OR('Daily Schedule'!$A46=4,'Daily Schedule'!$A46=8),IF(OR(WEEKDAY('Daily Schedule'!$B$2,2)=1,WEEKDAY('Daily Schedule'!$B$2,2)=4,WEEKDAY('Daily Schedule'!$B$2,2)=5,WEEKDAY('Daily Schedule'!$B$2,2)=7),IFERROR(1*'Daily Workforce'!$K20&gt;=3,FALSE()),IFERROR(1*'Daily Workforce'!$K20&gt;=2,FALSE())),IF(AND('Daily Schedule'!$A46&gt;=46,'Daily Schedule'!$A46&lt;=52),'Daily Workforce'!$M20="Y",IFERROR(1*'Daily Workforce'!$P20&gt;=2,FALSE()))))),1,0)</f>
        <v>0</v>
      </c>
      <c r="AF42" s="1" t="n">
        <f aca="false">IF(AND('Daily Workforce'!$N21="Y",'Daily Workforce'!$B21&lt;&gt;"",COUNTIF('Daily Schedule'!$F$5:$F45,'Daily Workforce'!$B21)=0,IF('Daily Schedule'!$A46=45,'Daily Workforce'!$J21="Y",IF(OR('Daily Schedule'!$A46=4,'Daily Schedule'!$A46=8),IF(OR(WEEKDAY('Daily Schedule'!$B$2,2)=1,WEEKDAY('Daily Schedule'!$B$2,2)=4,WEEKDAY('Daily Schedule'!$B$2,2)=5,WEEKDAY('Daily Schedule'!$B$2,2)=7),IFERROR(1*'Daily Workforce'!$K21&gt;=3,FALSE()),IFERROR(1*'Daily Workforce'!$K21&gt;=2,FALSE())),IF(AND('Daily Schedule'!$A46&gt;=46,'Daily Schedule'!$A46&lt;=52),'Daily Workforce'!$M21="Y",IFERROR(1*'Daily Workforce'!$P21&gt;=2,FALSE()))))),1,0)</f>
        <v>0</v>
      </c>
      <c r="AG42" s="1" t="n">
        <f aca="false">IF(AND('Daily Workforce'!$N22="Y",'Daily Workforce'!$B22&lt;&gt;"",COUNTIF('Daily Schedule'!$F$5:$F45,'Daily Workforce'!$B22)=0,IF('Daily Schedule'!$A46=45,'Daily Workforce'!$J22="Y",IF(OR('Daily Schedule'!$A46=4,'Daily Schedule'!$A46=8),IF(OR(WEEKDAY('Daily Schedule'!$B$2,2)=1,WEEKDAY('Daily Schedule'!$B$2,2)=4,WEEKDAY('Daily Schedule'!$B$2,2)=5,WEEKDAY('Daily Schedule'!$B$2,2)=7),IFERROR(1*'Daily Workforce'!$K22&gt;=3,FALSE()),IFERROR(1*'Daily Workforce'!$K22&gt;=2,FALSE())),IF(AND('Daily Schedule'!$A46&gt;=46,'Daily Schedule'!$A46&lt;=52),'Daily Workforce'!$M22="Y",IFERROR(1*'Daily Workforce'!$P22&gt;=2,FALSE()))))),1,0)</f>
        <v>0</v>
      </c>
      <c r="AH42" s="1" t="n">
        <f aca="false">IF(AND('Daily Workforce'!$N23="Y",'Daily Workforce'!$B23&lt;&gt;"",COUNTIF('Daily Schedule'!$F$5:$F45,'Daily Workforce'!$B23)=0,IF('Daily Schedule'!$A46=45,'Daily Workforce'!$J23="Y",IF(OR('Daily Schedule'!$A46=4,'Daily Schedule'!$A46=8),IF(OR(WEEKDAY('Daily Schedule'!$B$2,2)=1,WEEKDAY('Daily Schedule'!$B$2,2)=4,WEEKDAY('Daily Schedule'!$B$2,2)=5,WEEKDAY('Daily Schedule'!$B$2,2)=7),IFERROR(1*'Daily Workforce'!$K23&gt;=3,FALSE()),IFERROR(1*'Daily Workforce'!$K23&gt;=2,FALSE())),IF(AND('Daily Schedule'!$A46&gt;=46,'Daily Schedule'!$A46&lt;=52),'Daily Workforce'!$M23="Y",IFERROR(1*'Daily Workforce'!$P23&gt;=2,FALSE()))))),1,0)</f>
        <v>0</v>
      </c>
      <c r="AI42" s="1" t="n">
        <f aca="false">IF(AND('Daily Workforce'!$N24="Y",'Daily Workforce'!$B24&lt;&gt;"",COUNTIF('Daily Schedule'!$F$5:$F45,'Daily Workforce'!$B24)=0,IF('Daily Schedule'!$A46=45,'Daily Workforce'!$J24="Y",IF(OR('Daily Schedule'!$A46=4,'Daily Schedule'!$A46=8),IF(OR(WEEKDAY('Daily Schedule'!$B$2,2)=1,WEEKDAY('Daily Schedule'!$B$2,2)=4,WEEKDAY('Daily Schedule'!$B$2,2)=5,WEEKDAY('Daily Schedule'!$B$2,2)=7),IFERROR(1*'Daily Workforce'!$K24&gt;=3,FALSE()),IFERROR(1*'Daily Workforce'!$K24&gt;=2,FALSE())),IF(AND('Daily Schedule'!$A46&gt;=46,'Daily Schedule'!$A46&lt;=52),'Daily Workforce'!$M24="Y",IFERROR(1*'Daily Workforce'!$P24&gt;=2,FALSE()))))),1,0)</f>
        <v>0</v>
      </c>
      <c r="AJ42" s="1" t="n">
        <f aca="false">IF(AND('Daily Workforce'!$N25="Y",'Daily Workforce'!$B25&lt;&gt;"",COUNTIF('Daily Schedule'!$F$5:$F45,'Daily Workforce'!$B25)=0,IF('Daily Schedule'!$A46=45,'Daily Workforce'!$J25="Y",IF(OR('Daily Schedule'!$A46=4,'Daily Schedule'!$A46=8),IF(OR(WEEKDAY('Daily Schedule'!$B$2,2)=1,WEEKDAY('Daily Schedule'!$B$2,2)=4,WEEKDAY('Daily Schedule'!$B$2,2)=5,WEEKDAY('Daily Schedule'!$B$2,2)=7),IFERROR(1*'Daily Workforce'!$K25&gt;=3,FALSE()),IFERROR(1*'Daily Workforce'!$K25&gt;=2,FALSE())),IF(AND('Daily Schedule'!$A46&gt;=46,'Daily Schedule'!$A46&lt;=52),'Daily Workforce'!$M25="Y",IFERROR(1*'Daily Workforce'!$P25&gt;=2,FALSE()))))),1,0)</f>
        <v>0</v>
      </c>
      <c r="AK42" s="1" t="n">
        <f aca="false">IF(AND('Daily Workforce'!$N26="Y",'Daily Workforce'!$B26&lt;&gt;"",COUNTIF('Daily Schedule'!$F$5:$F45,'Daily Workforce'!$B26)=0,IF('Daily Schedule'!$A46=45,'Daily Workforce'!$J26="Y",IF(OR('Daily Schedule'!$A46=4,'Daily Schedule'!$A46=8),IF(OR(WEEKDAY('Daily Schedule'!$B$2,2)=1,WEEKDAY('Daily Schedule'!$B$2,2)=4,WEEKDAY('Daily Schedule'!$B$2,2)=5,WEEKDAY('Daily Schedule'!$B$2,2)=7),IFERROR(1*'Daily Workforce'!$K26&gt;=3,FALSE()),IFERROR(1*'Daily Workforce'!$K26&gt;=2,FALSE())),IF(AND('Daily Schedule'!$A46&gt;=46,'Daily Schedule'!$A46&lt;=52),'Daily Workforce'!$M26="Y",IFERROR(1*'Daily Workforce'!$P26&gt;=2,FALSE()))))),1,0)</f>
        <v>0</v>
      </c>
      <c r="AL42" s="1" t="n">
        <f aca="false">IF(AND('Daily Workforce'!$N27="Y",'Daily Workforce'!$B27&lt;&gt;"",COUNTIF('Daily Schedule'!$F$5:$F45,'Daily Workforce'!$B27)=0,IF('Daily Schedule'!$A46=45,'Daily Workforce'!$J27="Y",IF(OR('Daily Schedule'!$A46=4,'Daily Schedule'!$A46=8),IF(OR(WEEKDAY('Daily Schedule'!$B$2,2)=1,WEEKDAY('Daily Schedule'!$B$2,2)=4,WEEKDAY('Daily Schedule'!$B$2,2)=5,WEEKDAY('Daily Schedule'!$B$2,2)=7),IFERROR(1*'Daily Workforce'!$K27&gt;=3,FALSE()),IFERROR(1*'Daily Workforce'!$K27&gt;=2,FALSE())),IF(AND('Daily Schedule'!$A46&gt;=46,'Daily Schedule'!$A46&lt;=52),'Daily Workforce'!$M27="Y",IFERROR(1*'Daily Workforce'!$P27&gt;=2,FALSE()))))),1,0)</f>
        <v>0</v>
      </c>
      <c r="AM42" s="1" t="n">
        <f aca="false">IF(AND('Daily Workforce'!$N28="Y",'Daily Workforce'!$B28&lt;&gt;"",COUNTIF('Daily Schedule'!$F$5:$F45,'Daily Workforce'!$B28)=0,IF('Daily Schedule'!$A46=45,'Daily Workforce'!$J28="Y",IF(OR('Daily Schedule'!$A46=4,'Daily Schedule'!$A46=8),IF(OR(WEEKDAY('Daily Schedule'!$B$2,2)=1,WEEKDAY('Daily Schedule'!$B$2,2)=4,WEEKDAY('Daily Schedule'!$B$2,2)=5,WEEKDAY('Daily Schedule'!$B$2,2)=7),IFERROR(1*'Daily Workforce'!$K28&gt;=3,FALSE()),IFERROR(1*'Daily Workforce'!$K28&gt;=2,FALSE())),IF(AND('Daily Schedule'!$A46&gt;=46,'Daily Schedule'!$A46&lt;=52),'Daily Workforce'!$M28="Y",IFERROR(1*'Daily Workforce'!$P28&gt;=2,FALSE()))))),1,0)</f>
        <v>0</v>
      </c>
      <c r="AN42" s="1" t="n">
        <f aca="false">IF(AND('Daily Workforce'!$N29="Y",'Daily Workforce'!$B29&lt;&gt;"",COUNTIF('Daily Schedule'!$F$5:$F45,'Daily Workforce'!$B29)=0,IF('Daily Schedule'!$A46=45,'Daily Workforce'!$J29="Y",IF(OR('Daily Schedule'!$A46=4,'Daily Schedule'!$A46=8),IF(OR(WEEKDAY('Daily Schedule'!$B$2,2)=1,WEEKDAY('Daily Schedule'!$B$2,2)=4,WEEKDAY('Daily Schedule'!$B$2,2)=5,WEEKDAY('Daily Schedule'!$B$2,2)=7),IFERROR(1*'Daily Workforce'!$K29&gt;=3,FALSE()),IFERROR(1*'Daily Workforce'!$K29&gt;=2,FALSE())),IF(AND('Daily Schedule'!$A46&gt;=46,'Daily Schedule'!$A46&lt;=52),'Daily Workforce'!$M29="Y",IFERROR(1*'Daily Workforce'!$P29&gt;=2,FALSE()))))),1,0)</f>
        <v>0</v>
      </c>
      <c r="AO42" s="1" t="n">
        <f aca="false">IF(AND('Daily Workforce'!$N30="Y",'Daily Workforce'!$B30&lt;&gt;"",COUNTIF('Daily Schedule'!$F$5:$F45,'Daily Workforce'!$B30)=0,IF('Daily Schedule'!$A46=45,'Daily Workforce'!$J30="Y",IF(OR('Daily Schedule'!$A46=4,'Daily Schedule'!$A46=8),IF(OR(WEEKDAY('Daily Schedule'!$B$2,2)=1,WEEKDAY('Daily Schedule'!$B$2,2)=4,WEEKDAY('Daily Schedule'!$B$2,2)=5,WEEKDAY('Daily Schedule'!$B$2,2)=7),IFERROR(1*'Daily Workforce'!$K30&gt;=3,FALSE()),IFERROR(1*'Daily Workforce'!$K30&gt;=2,FALSE())),IF(AND('Daily Schedule'!$A46&gt;=46,'Daily Schedule'!$A46&lt;=52),'Daily Workforce'!$M30="Y",IFERROR(1*'Daily Workforce'!$P30&gt;=2,FALSE()))))),1,0)</f>
        <v>0</v>
      </c>
      <c r="AP42" s="1" t="n">
        <f aca="false">IF(AND('Daily Workforce'!$N31="Y",'Daily Workforce'!$B31&lt;&gt;"",COUNTIF('Daily Schedule'!$F$5:$F45,'Daily Workforce'!$B31)=0,IF('Daily Schedule'!$A46=45,'Daily Workforce'!$J31="Y",IF(OR('Daily Schedule'!$A46=4,'Daily Schedule'!$A46=8),IF(OR(WEEKDAY('Daily Schedule'!$B$2,2)=1,WEEKDAY('Daily Schedule'!$B$2,2)=4,WEEKDAY('Daily Schedule'!$B$2,2)=5,WEEKDAY('Daily Schedule'!$B$2,2)=7),IFERROR(1*'Daily Workforce'!$K31&gt;=3,FALSE()),IFERROR(1*'Daily Workforce'!$K31&gt;=2,FALSE())),IF(AND('Daily Schedule'!$A46&gt;=46,'Daily Schedule'!$A46&lt;=52),'Daily Workforce'!$M31="Y",IFERROR(1*'Daily Workforce'!$P31&gt;=2,FALSE()))))),1,0)</f>
        <v>0</v>
      </c>
      <c r="AQ42" s="1" t="n">
        <f aca="false">IF(AND('Daily Workforce'!$N32="Y",'Daily Workforce'!$B32&lt;&gt;"",COUNTIF('Daily Schedule'!$F$5:$F45,'Daily Workforce'!$B32)=0,IF('Daily Schedule'!$A46=45,'Daily Workforce'!$J32="Y",IF(OR('Daily Schedule'!$A46=4,'Daily Schedule'!$A46=8),IF(OR(WEEKDAY('Daily Schedule'!$B$2,2)=1,WEEKDAY('Daily Schedule'!$B$2,2)=4,WEEKDAY('Daily Schedule'!$B$2,2)=5,WEEKDAY('Daily Schedule'!$B$2,2)=7),IFERROR(1*'Daily Workforce'!$K32&gt;=3,FALSE()),IFERROR(1*'Daily Workforce'!$K32&gt;=2,FALSE())),IF(AND('Daily Schedule'!$A46&gt;=46,'Daily Schedule'!$A46&lt;=52),'Daily Workforce'!$M32="Y",IFERROR(1*'Daily Workforce'!$P32&gt;=2,FALSE()))))),1,0)</f>
        <v>0</v>
      </c>
      <c r="AR42" s="1" t="n">
        <f aca="false">IF(AND('Daily Workforce'!$N33="Y",'Daily Workforce'!$B33&lt;&gt;"",COUNTIF('Daily Schedule'!$F$5:$F45,'Daily Workforce'!$B33)=0,IF('Daily Schedule'!$A46=45,'Daily Workforce'!$J33="Y",IF(OR('Daily Schedule'!$A46=4,'Daily Schedule'!$A46=8),IF(OR(WEEKDAY('Daily Schedule'!$B$2,2)=1,WEEKDAY('Daily Schedule'!$B$2,2)=4,WEEKDAY('Daily Schedule'!$B$2,2)=5,WEEKDAY('Daily Schedule'!$B$2,2)=7),IFERROR(1*'Daily Workforce'!$K33&gt;=3,FALSE()),IFERROR(1*'Daily Workforce'!$K33&gt;=2,FALSE())),IF(AND('Daily Schedule'!$A46&gt;=46,'Daily Schedule'!$A46&lt;=52),'Daily Workforce'!$M33="Y",IFERROR(1*'Daily Workforce'!$P33&gt;=2,FALSE()))))),1,0)</f>
        <v>0</v>
      </c>
      <c r="AS42" s="1" t="n">
        <f aca="false">IF(AND('Daily Workforce'!$N34="Y",'Daily Workforce'!$B34&lt;&gt;"",COUNTIF('Daily Schedule'!$F$5:$F45,'Daily Workforce'!$B34)=0,IF('Daily Schedule'!$A46=45,'Daily Workforce'!$J34="Y",IF(OR('Daily Schedule'!$A46=4,'Daily Schedule'!$A46=8),IF(OR(WEEKDAY('Daily Schedule'!$B$2,2)=1,WEEKDAY('Daily Schedule'!$B$2,2)=4,WEEKDAY('Daily Schedule'!$B$2,2)=5,WEEKDAY('Daily Schedule'!$B$2,2)=7),IFERROR(1*'Daily Workforce'!$K34&gt;=3,FALSE()),IFERROR(1*'Daily Workforce'!$K34&gt;=2,FALSE())),IF(AND('Daily Schedule'!$A46&gt;=46,'Daily Schedule'!$A46&lt;=52),'Daily Workforce'!$M34="Y",IFERROR(1*'Daily Workforce'!$P34&gt;=2,FALSE()))))),1,0)</f>
        <v>0</v>
      </c>
      <c r="AT42" s="1" t="n">
        <f aca="false">IF(AND('Daily Workforce'!$N35="Y",'Daily Workforce'!$B35&lt;&gt;"",COUNTIF('Daily Schedule'!$F$5:$F45,'Daily Workforce'!$B35)=0,IF('Daily Schedule'!$A46=45,'Daily Workforce'!$J35="Y",IF(OR('Daily Schedule'!$A46=4,'Daily Schedule'!$A46=8),IF(OR(WEEKDAY('Daily Schedule'!$B$2,2)=1,WEEKDAY('Daily Schedule'!$B$2,2)=4,WEEKDAY('Daily Schedule'!$B$2,2)=5,WEEKDAY('Daily Schedule'!$B$2,2)=7),IFERROR(1*'Daily Workforce'!$K35&gt;=3,FALSE()),IFERROR(1*'Daily Workforce'!$K35&gt;=2,FALSE())),IF(AND('Daily Schedule'!$A46&gt;=46,'Daily Schedule'!$A46&lt;=52),'Daily Workforce'!$M35="Y",IFERROR(1*'Daily Workforce'!$P35&gt;=2,FALSE()))))),1,0)</f>
        <v>0</v>
      </c>
      <c r="AU42" s="1" t="n">
        <f aca="false">IF(AND('Daily Workforce'!$N36="Y",'Daily Workforce'!$B36&lt;&gt;"",COUNTIF('Daily Schedule'!$F$5:$F45,'Daily Workforce'!$B36)=0,IF('Daily Schedule'!$A46=45,'Daily Workforce'!$J36="Y",IF(OR('Daily Schedule'!$A46=4,'Daily Schedule'!$A46=8),IF(OR(WEEKDAY('Daily Schedule'!$B$2,2)=1,WEEKDAY('Daily Schedule'!$B$2,2)=4,WEEKDAY('Daily Schedule'!$B$2,2)=5,WEEKDAY('Daily Schedule'!$B$2,2)=7),IFERROR(1*'Daily Workforce'!$K36&gt;=3,FALSE()),IFERROR(1*'Daily Workforce'!$K36&gt;=2,FALSE())),IF(AND('Daily Schedule'!$A46&gt;=46,'Daily Schedule'!$A46&lt;=52),'Daily Workforce'!$M36="Y",IFERROR(1*'Daily Workforce'!$P36&gt;=2,FALSE()))))),1,0)</f>
        <v>0</v>
      </c>
      <c r="AV42" s="1" t="n">
        <f aca="false">IF(AND('Daily Workforce'!$N37="Y",'Daily Workforce'!$B37&lt;&gt;"",COUNTIF('Daily Schedule'!$F$5:$F45,'Daily Workforce'!$B37)=0,IF('Daily Schedule'!$A46=45,'Daily Workforce'!$J37="Y",IF(OR('Daily Schedule'!$A46=4,'Daily Schedule'!$A46=8),IF(OR(WEEKDAY('Daily Schedule'!$B$2,2)=1,WEEKDAY('Daily Schedule'!$B$2,2)=4,WEEKDAY('Daily Schedule'!$B$2,2)=5,WEEKDAY('Daily Schedule'!$B$2,2)=7),IFERROR(1*'Daily Workforce'!$K37&gt;=3,FALSE()),IFERROR(1*'Daily Workforce'!$K37&gt;=2,FALSE())),IF(AND('Daily Schedule'!$A46&gt;=46,'Daily Schedule'!$A46&lt;=52),'Daily Workforce'!$M37="Y",IFERROR(1*'Daily Workforce'!$P37&gt;=2,FALSE()))))),1,0)</f>
        <v>0</v>
      </c>
      <c r="AW42" s="1" t="n">
        <f aca="false">IF(AND('Daily Workforce'!$N38="Y",'Daily Workforce'!$B38&lt;&gt;"",COUNTIF('Daily Schedule'!$F$5:$F45,'Daily Workforce'!$B38)=0,IF('Daily Schedule'!$A46=45,'Daily Workforce'!$J38="Y",IF(OR('Daily Schedule'!$A46=4,'Daily Schedule'!$A46=8),IF(OR(WEEKDAY('Daily Schedule'!$B$2,2)=1,WEEKDAY('Daily Schedule'!$B$2,2)=4,WEEKDAY('Daily Schedule'!$B$2,2)=5,WEEKDAY('Daily Schedule'!$B$2,2)=7),IFERROR(1*'Daily Workforce'!$K38&gt;=3,FALSE()),IFERROR(1*'Daily Workforce'!$K38&gt;=2,FALSE())),IF(AND('Daily Schedule'!$A46&gt;=46,'Daily Schedule'!$A46&lt;=52),'Daily Workforce'!$M38="Y",IFERROR(1*'Daily Workforce'!$P38&gt;=2,FALSE()))))),1,0)</f>
        <v>0</v>
      </c>
      <c r="AX42" s="1" t="n">
        <f aca="false">IF(AND('Daily Workforce'!$N39="Y",'Daily Workforce'!$B39&lt;&gt;"",COUNTIF('Daily Schedule'!$F$5:$F45,'Daily Workforce'!$B39)=0,IF('Daily Schedule'!$A46=45,'Daily Workforce'!$J39="Y",IF(OR('Daily Schedule'!$A46=4,'Daily Schedule'!$A46=8),IF(OR(WEEKDAY('Daily Schedule'!$B$2,2)=1,WEEKDAY('Daily Schedule'!$B$2,2)=4,WEEKDAY('Daily Schedule'!$B$2,2)=5,WEEKDAY('Daily Schedule'!$B$2,2)=7),IFERROR(1*'Daily Workforce'!$K39&gt;=3,FALSE()),IFERROR(1*'Daily Workforce'!$K39&gt;=2,FALSE())),IF(AND('Daily Schedule'!$A46&gt;=46,'Daily Schedule'!$A46&lt;=52),'Daily Workforce'!$M39="Y",IFERROR(1*'Daily Workforce'!$P39&gt;=2,FALSE()))))),1,0)</f>
        <v>0</v>
      </c>
      <c r="AY42" s="1" t="n">
        <f aca="false">IF(AND('Daily Workforce'!$N40="Y",'Daily Workforce'!$B40&lt;&gt;"",COUNTIF('Daily Schedule'!$F$5:$F45,'Daily Workforce'!$B40)=0,IF('Daily Schedule'!$A46=45,'Daily Workforce'!$J40="Y",IF(OR('Daily Schedule'!$A46=4,'Daily Schedule'!$A46=8),IF(OR(WEEKDAY('Daily Schedule'!$B$2,2)=1,WEEKDAY('Daily Schedule'!$B$2,2)=4,WEEKDAY('Daily Schedule'!$B$2,2)=5,WEEKDAY('Daily Schedule'!$B$2,2)=7),IFERROR(1*'Daily Workforce'!$K40&gt;=3,FALSE()),IFERROR(1*'Daily Workforce'!$K40&gt;=2,FALSE())),IF(AND('Daily Schedule'!$A46&gt;=46,'Daily Schedule'!$A46&lt;=52),'Daily Workforce'!$M40="Y",IFERROR(1*'Daily Workforce'!$P40&gt;=2,FALSE()))))),1,0)</f>
        <v>0</v>
      </c>
      <c r="AZ42" s="1" t="n">
        <f aca="false">IF(AND('Daily Workforce'!$N41="Y",'Daily Workforce'!$B41&lt;&gt;"",COUNTIF('Daily Schedule'!$F$5:$F45,'Daily Workforce'!$B41)=0,IF('Daily Schedule'!$A46=45,'Daily Workforce'!$J41="Y",IF(OR('Daily Schedule'!$A46=4,'Daily Schedule'!$A46=8),IF(OR(WEEKDAY('Daily Schedule'!$B$2,2)=1,WEEKDAY('Daily Schedule'!$B$2,2)=4,WEEKDAY('Daily Schedule'!$B$2,2)=5,WEEKDAY('Daily Schedule'!$B$2,2)=7),IFERROR(1*'Daily Workforce'!$K41&gt;=3,FALSE()),IFERROR(1*'Daily Workforce'!$K41&gt;=2,FALSE())),IF(AND('Daily Schedule'!$A46&gt;=46,'Daily Schedule'!$A46&lt;=52),'Daily Workforce'!$M41="Y",IFERROR(1*'Daily Workforce'!$P41&gt;=2,FALSE()))))),1,0)</f>
        <v>0</v>
      </c>
      <c r="BA42" s="1" t="n">
        <f aca="false">IF(AND('Daily Workforce'!$N42="Y",'Daily Workforce'!$B42&lt;&gt;"",COUNTIF('Daily Schedule'!$F$5:$F45,'Daily Workforce'!$B42)=0,IF('Daily Schedule'!$A46=45,'Daily Workforce'!$J42="Y",IF(OR('Daily Schedule'!$A46=4,'Daily Schedule'!$A46=8),IF(OR(WEEKDAY('Daily Schedule'!$B$2,2)=1,WEEKDAY('Daily Schedule'!$B$2,2)=4,WEEKDAY('Daily Schedule'!$B$2,2)=5,WEEKDAY('Daily Schedule'!$B$2,2)=7),IFERROR(1*'Daily Workforce'!$K42&gt;=3,FALSE()),IFERROR(1*'Daily Workforce'!$K42&gt;=2,FALSE())),IF(AND('Daily Schedule'!$A46&gt;=46,'Daily Schedule'!$A46&lt;=52),'Daily Workforce'!$M42="Y",IFERROR(1*'Daily Workforce'!$P42&gt;=2,FALSE()))))),1,0)</f>
        <v>0</v>
      </c>
      <c r="BB42" s="1" t="n">
        <f aca="false">IF(AND('Daily Workforce'!$N43="Y",'Daily Workforce'!$B43&lt;&gt;"",COUNTIF('Daily Schedule'!$F$5:$F45,'Daily Workforce'!$B43)=0,IF('Daily Schedule'!$A46=45,'Daily Workforce'!$J43="Y",IF(OR('Daily Schedule'!$A46=4,'Daily Schedule'!$A46=8),IF(OR(WEEKDAY('Daily Schedule'!$B$2,2)=1,WEEKDAY('Daily Schedule'!$B$2,2)=4,WEEKDAY('Daily Schedule'!$B$2,2)=5,WEEKDAY('Daily Schedule'!$B$2,2)=7),IFERROR(1*'Daily Workforce'!$K43&gt;=3,FALSE()),IFERROR(1*'Daily Workforce'!$K43&gt;=2,FALSE())),IF(AND('Daily Schedule'!$A46&gt;=46,'Daily Schedule'!$A46&lt;=52),'Daily Workforce'!$M43="Y",IFERROR(1*'Daily Workforce'!$P43&gt;=2,FALSE()))))),1,0)</f>
        <v>0</v>
      </c>
      <c r="BC42" s="1" t="n">
        <f aca="false">IF(AND('Daily Workforce'!$N44="Y",'Daily Workforce'!$B44&lt;&gt;"",COUNTIF('Daily Schedule'!$F$5:$F45,'Daily Workforce'!$B44)=0,IF('Daily Schedule'!$A46=45,'Daily Workforce'!$J44="Y",IF(OR('Daily Schedule'!$A46=4,'Daily Schedule'!$A46=8),IF(OR(WEEKDAY('Daily Schedule'!$B$2,2)=1,WEEKDAY('Daily Schedule'!$B$2,2)=4,WEEKDAY('Daily Schedule'!$B$2,2)=5,WEEKDAY('Daily Schedule'!$B$2,2)=7),IFERROR(1*'Daily Workforce'!$K44&gt;=3,FALSE()),IFERROR(1*'Daily Workforce'!$K44&gt;=2,FALSE())),IF(AND('Daily Schedule'!$A46&gt;=46,'Daily Schedule'!$A46&lt;=52),'Daily Workforce'!$M44="Y",IFERROR(1*'Daily Workforce'!$P44&gt;=2,FALSE()))))),1,0)</f>
        <v>0</v>
      </c>
      <c r="BD42" s="1" t="n">
        <f aca="false">IF(AND('Daily Workforce'!$N45="Y",'Daily Workforce'!$B45&lt;&gt;"",COUNTIF('Daily Schedule'!$F$5:$F45,'Daily Workforce'!$B45)=0,IF('Daily Schedule'!$A46=45,'Daily Workforce'!$J45="Y",IF(OR('Daily Schedule'!$A46=4,'Daily Schedule'!$A46=8),IF(OR(WEEKDAY('Daily Schedule'!$B$2,2)=1,WEEKDAY('Daily Schedule'!$B$2,2)=4,WEEKDAY('Daily Schedule'!$B$2,2)=5,WEEKDAY('Daily Schedule'!$B$2,2)=7),IFERROR(1*'Daily Workforce'!$K45&gt;=3,FALSE()),IFERROR(1*'Daily Workforce'!$K45&gt;=2,FALSE())),IF(AND('Daily Schedule'!$A46&gt;=46,'Daily Schedule'!$A46&lt;=52),'Daily Workforce'!$M45="Y",IFERROR(1*'Daily Workforce'!$P45&gt;=2,FALSE()))))),1,0)</f>
        <v>1</v>
      </c>
      <c r="BE42" s="1" t="n">
        <f aca="false">IF(AND('Daily Workforce'!$N46="Y",'Daily Workforce'!$B46&lt;&gt;"",COUNTIF('Daily Schedule'!$F$5:$F45,'Daily Workforce'!$B46)=0,IF('Daily Schedule'!$A46=45,'Daily Workforce'!$J46="Y",IF(OR('Daily Schedule'!$A46=4,'Daily Schedule'!$A46=8),IF(OR(WEEKDAY('Daily Schedule'!$B$2,2)=1,WEEKDAY('Daily Schedule'!$B$2,2)=4,WEEKDAY('Daily Schedule'!$B$2,2)=5,WEEKDAY('Daily Schedule'!$B$2,2)=7),IFERROR(1*'Daily Workforce'!$K46&gt;=3,FALSE()),IFERROR(1*'Daily Workforce'!$K46&gt;=2,FALSE())),IF(AND('Daily Schedule'!$A46&gt;=46,'Daily Schedule'!$A46&lt;=52),'Daily Workforce'!$M46="Y",IFERROR(1*'Daily Workforce'!$P46&gt;=2,FALSE()))))),1,0)</f>
        <v>1</v>
      </c>
      <c r="BF42" s="1" t="n">
        <f aca="false">IF(AND('Daily Workforce'!$N47="Y",'Daily Workforce'!$B47&lt;&gt;"",COUNTIF('Daily Schedule'!$F$5:$F45,'Daily Workforce'!$B47)=0,IF('Daily Schedule'!$A46=45,'Daily Workforce'!$J47="Y",IF(OR('Daily Schedule'!$A46=4,'Daily Schedule'!$A46=8),IF(OR(WEEKDAY('Daily Schedule'!$B$2,2)=1,WEEKDAY('Daily Schedule'!$B$2,2)=4,WEEKDAY('Daily Schedule'!$B$2,2)=5,WEEKDAY('Daily Schedule'!$B$2,2)=7),IFERROR(1*'Daily Workforce'!$K47&gt;=3,FALSE()),IFERROR(1*'Daily Workforce'!$K47&gt;=2,FALSE())),IF(AND('Daily Schedule'!$A46&gt;=46,'Daily Schedule'!$A46&lt;=52),'Daily Workforce'!$M47="Y",IFERROR(1*'Daily Workforce'!$P47&gt;=2,FALSE()))))),1,0)</f>
        <v>0</v>
      </c>
      <c r="BG42" s="1" t="n">
        <f aca="false">IF(AND('Daily Workforce'!$N48="Y",'Daily Workforce'!$B48&lt;&gt;"",COUNTIF('Daily Schedule'!$F$5:$F45,'Daily Workforce'!$B48)=0,IF('Daily Schedule'!$A46=45,'Daily Workforce'!$J48="Y",IF(OR('Daily Schedule'!$A46=4,'Daily Schedule'!$A46=8),IF(OR(WEEKDAY('Daily Schedule'!$B$2,2)=1,WEEKDAY('Daily Schedule'!$B$2,2)=4,WEEKDAY('Daily Schedule'!$B$2,2)=5,WEEKDAY('Daily Schedule'!$B$2,2)=7),IFERROR(1*'Daily Workforce'!$K48&gt;=3,FALSE()),IFERROR(1*'Daily Workforce'!$K48&gt;=2,FALSE())),IF(AND('Daily Schedule'!$A46&gt;=46,'Daily Schedule'!$A46&lt;=52),'Daily Workforce'!$M48="Y",IFERROR(1*'Daily Workforce'!$P48&gt;=2,FALSE()))))),1,0)</f>
        <v>1</v>
      </c>
      <c r="BH42" s="1" t="n">
        <f aca="false">IF(AND('Daily Workforce'!$N49="Y",'Daily Workforce'!$B49&lt;&gt;"",COUNTIF('Daily Schedule'!$F$5:$F45,'Daily Workforce'!$B49)=0,IF('Daily Schedule'!$A46=45,'Daily Workforce'!$J49="Y",IF(OR('Daily Schedule'!$A46=4,'Daily Schedule'!$A46=8),IF(OR(WEEKDAY('Daily Schedule'!$B$2,2)=1,WEEKDAY('Daily Schedule'!$B$2,2)=4,WEEKDAY('Daily Schedule'!$B$2,2)=5,WEEKDAY('Daily Schedule'!$B$2,2)=7),IFERROR(1*'Daily Workforce'!$K49&gt;=3,FALSE()),IFERROR(1*'Daily Workforce'!$K49&gt;=2,FALSE())),IF(AND('Daily Schedule'!$A46&gt;=46,'Daily Schedule'!$A46&lt;=52),'Daily Workforce'!$M49="Y",IFERROR(1*'Daily Workforce'!$P49&gt;=2,FALSE()))))),1,0)</f>
        <v>1</v>
      </c>
      <c r="BI42" s="1" t="n">
        <f aca="false">IF(AND('Daily Workforce'!$N50="Y",'Daily Workforce'!$B50&lt;&gt;"",COUNTIF('Daily Schedule'!$F$5:$F45,'Daily Workforce'!$B50)=0,IF('Daily Schedule'!$A46=45,'Daily Workforce'!$J50="Y",IF(OR('Daily Schedule'!$A46=4,'Daily Schedule'!$A46=8),IF(OR(WEEKDAY('Daily Schedule'!$B$2,2)=1,WEEKDAY('Daily Schedule'!$B$2,2)=4,WEEKDAY('Daily Schedule'!$B$2,2)=5,WEEKDAY('Daily Schedule'!$B$2,2)=7),IFERROR(1*'Daily Workforce'!$K50&gt;=3,FALSE()),IFERROR(1*'Daily Workforce'!$K50&gt;=2,FALSE())),IF(AND('Daily Schedule'!$A46&gt;=46,'Daily Schedule'!$A46&lt;=52),'Daily Workforce'!$M50="Y",IFERROR(1*'Daily Workforce'!$P50&gt;=2,FALSE()))))),1,0)</f>
        <v>0</v>
      </c>
      <c r="BJ42" s="1" t="n">
        <f aca="false">IF(AND('Daily Workforce'!$N51="Y",'Daily Workforce'!$B51&lt;&gt;"",COUNTIF('Daily Schedule'!$F$5:$F45,'Daily Workforce'!$B51)=0,IF('Daily Schedule'!$A46=45,'Daily Workforce'!$J51="Y",IF(OR('Daily Schedule'!$A46=4,'Daily Schedule'!$A46=8),IF(OR(WEEKDAY('Daily Schedule'!$B$2,2)=1,WEEKDAY('Daily Schedule'!$B$2,2)=4,WEEKDAY('Daily Schedule'!$B$2,2)=5,WEEKDAY('Daily Schedule'!$B$2,2)=7),IFERROR(1*'Daily Workforce'!$K51&gt;=3,FALSE()),IFERROR(1*'Daily Workforce'!$K51&gt;=2,FALSE())),IF(AND('Daily Schedule'!$A46&gt;=46,'Daily Schedule'!$A46&lt;=52),'Daily Workforce'!$M51="Y",IFERROR(1*'Daily Workforce'!$P51&gt;=2,FALSE()))))),1,0)</f>
        <v>1</v>
      </c>
      <c r="BK42" s="1" t="n">
        <f aca="false">IF(AND('Daily Workforce'!$N52="Y",'Daily Workforce'!$B52&lt;&gt;"",COUNTIF('Daily Schedule'!$F$5:$F45,'Daily Workforce'!$B52)=0,IF('Daily Schedule'!$A46=45,'Daily Workforce'!$J52="Y",IF(OR('Daily Schedule'!$A46=4,'Daily Schedule'!$A46=8),IF(OR(WEEKDAY('Daily Schedule'!$B$2,2)=1,WEEKDAY('Daily Schedule'!$B$2,2)=4,WEEKDAY('Daily Schedule'!$B$2,2)=5,WEEKDAY('Daily Schedule'!$B$2,2)=7),IFERROR(1*'Daily Workforce'!$K52&gt;=3,FALSE()),IFERROR(1*'Daily Workforce'!$K52&gt;=2,FALSE())),IF(AND('Daily Schedule'!$A46&gt;=46,'Daily Schedule'!$A46&lt;=52),'Daily Workforce'!$M52="Y",IFERROR(1*'Daily Workforce'!$P52&gt;=2,FALSE()))))),1,0)</f>
        <v>1</v>
      </c>
      <c r="BL42" s="1" t="n">
        <f aca="false">IF(AND('Daily Workforce'!$N53="Y",'Daily Workforce'!$B53&lt;&gt;"",COUNTIF('Daily Schedule'!$F$5:$F45,'Daily Workforce'!$B53)=0,IF('Daily Schedule'!$A46=45,'Daily Workforce'!$J53="Y",IF(OR('Daily Schedule'!$A46=4,'Daily Schedule'!$A46=8),IF(OR(WEEKDAY('Daily Schedule'!$B$2,2)=1,WEEKDAY('Daily Schedule'!$B$2,2)=4,WEEKDAY('Daily Schedule'!$B$2,2)=5,WEEKDAY('Daily Schedule'!$B$2,2)=7),IFERROR(1*'Daily Workforce'!$K53&gt;=3,FALSE()),IFERROR(1*'Daily Workforce'!$K53&gt;=2,FALSE())),IF(AND('Daily Schedule'!$A46&gt;=46,'Daily Schedule'!$A46&lt;=52),'Daily Workforce'!$M53="Y",IFERROR(1*'Daily Workforce'!$P53&gt;=2,FALSE()))))),1,0)</f>
        <v>1</v>
      </c>
      <c r="BM42" s="1" t="n">
        <f aca="false">IF(AND('Daily Workforce'!$N54="Y",'Daily Workforce'!$B54&lt;&gt;"",COUNTIF('Daily Schedule'!$F$5:$F45,'Daily Workforce'!$B54)=0,IF('Daily Schedule'!$A46=45,'Daily Workforce'!$J54="Y",IF(OR('Daily Schedule'!$A46=4,'Daily Schedule'!$A46=8),IF(OR(WEEKDAY('Daily Schedule'!$B$2,2)=1,WEEKDAY('Daily Schedule'!$B$2,2)=4,WEEKDAY('Daily Schedule'!$B$2,2)=5,WEEKDAY('Daily Schedule'!$B$2,2)=7),IFERROR(1*'Daily Workforce'!$K54&gt;=3,FALSE()),IFERROR(1*'Daily Workforce'!$K54&gt;=2,FALSE())),IF(AND('Daily Schedule'!$A46&gt;=46,'Daily Schedule'!$A46&lt;=52),'Daily Workforce'!$M54="Y",IFERROR(1*'Daily Workforce'!$P54&gt;=2,FALSE()))))),1,0)</f>
        <v>1</v>
      </c>
      <c r="BN42" s="1" t="n">
        <f aca="false">IF(AND('Daily Workforce'!$N55="Y",'Daily Workforce'!$B55&lt;&gt;"",COUNTIF('Daily Schedule'!$F$5:$F45,'Daily Workforce'!$B55)=0,IF('Daily Schedule'!$A46=45,'Daily Workforce'!$J55="Y",IF(OR('Daily Schedule'!$A46=4,'Daily Schedule'!$A46=8),IF(OR(WEEKDAY('Daily Schedule'!$B$2,2)=1,WEEKDAY('Daily Schedule'!$B$2,2)=4,WEEKDAY('Daily Schedule'!$B$2,2)=5,WEEKDAY('Daily Schedule'!$B$2,2)=7),IFERROR(1*'Daily Workforce'!$K55&gt;=3,FALSE()),IFERROR(1*'Daily Workforce'!$K55&gt;=2,FALSE())),IF(AND('Daily Schedule'!$A46&gt;=46,'Daily Schedule'!$A46&lt;=52),'Daily Workforce'!$M55="Y",IFERROR(1*'Daily Workforce'!$P55&gt;=2,FALSE()))))),1,0)</f>
        <v>1</v>
      </c>
      <c r="BO42" s="1" t="n">
        <f aca="false">IF(AND('Daily Workforce'!$N56="Y",'Daily Workforce'!$B56&lt;&gt;"",COUNTIF('Daily Schedule'!$F$5:$F45,'Daily Workforce'!$B56)=0,IF('Daily Schedule'!$A46=45,'Daily Workforce'!$J56="Y",IF(OR('Daily Schedule'!$A46=4,'Daily Schedule'!$A46=8),IF(OR(WEEKDAY('Daily Schedule'!$B$2,2)=1,WEEKDAY('Daily Schedule'!$B$2,2)=4,WEEKDAY('Daily Schedule'!$B$2,2)=5,WEEKDAY('Daily Schedule'!$B$2,2)=7),IFERROR(1*'Daily Workforce'!$K56&gt;=3,FALSE()),IFERROR(1*'Daily Workforce'!$K56&gt;=2,FALSE())),IF(AND('Daily Schedule'!$A46&gt;=46,'Daily Schedule'!$A46&lt;=52),'Daily Workforce'!$M56="Y",IFERROR(1*'Daily Workforce'!$P56&gt;=2,FALSE()))))),1,0)</f>
        <v>1</v>
      </c>
      <c r="BP42" s="1" t="n">
        <f aca="false">IF(AND('Daily Workforce'!$N57="Y",'Daily Workforce'!$B57&lt;&gt;"",COUNTIF('Daily Schedule'!$F$5:$F45,'Daily Workforce'!$B57)=0,IF('Daily Schedule'!$A46=45,'Daily Workforce'!$J57="Y",IF(OR('Daily Schedule'!$A46=4,'Daily Schedule'!$A46=8),IF(OR(WEEKDAY('Daily Schedule'!$B$2,2)=1,WEEKDAY('Daily Schedule'!$B$2,2)=4,WEEKDAY('Daily Schedule'!$B$2,2)=5,WEEKDAY('Daily Schedule'!$B$2,2)=7),IFERROR(1*'Daily Workforce'!$K57&gt;=3,FALSE()),IFERROR(1*'Daily Workforce'!$K57&gt;=2,FALSE())),IF(AND('Daily Schedule'!$A46&gt;=46,'Daily Schedule'!$A46&lt;=52),'Daily Workforce'!$M57="Y",IFERROR(1*'Daily Workforce'!$P57&gt;=2,FALSE()))))),1,0)</f>
        <v>0</v>
      </c>
      <c r="BQ42" s="1" t="n">
        <f aca="false">IF(AND('Daily Workforce'!$N58="Y",'Daily Workforce'!$B58&lt;&gt;"",COUNTIF('Daily Schedule'!$F$5:$F45,'Daily Workforce'!$B58)=0,IF('Daily Schedule'!$A46=45,'Daily Workforce'!$J58="Y",IF(OR('Daily Schedule'!$A46=4,'Daily Schedule'!$A46=8),IF(OR(WEEKDAY('Daily Schedule'!$B$2,2)=1,WEEKDAY('Daily Schedule'!$B$2,2)=4,WEEKDAY('Daily Schedule'!$B$2,2)=5,WEEKDAY('Daily Schedule'!$B$2,2)=7),IFERROR(1*'Daily Workforce'!$K58&gt;=3,FALSE()),IFERROR(1*'Daily Workforce'!$K58&gt;=2,FALSE())),IF(AND('Daily Schedule'!$A46&gt;=46,'Daily Schedule'!$A46&lt;=52),'Daily Workforce'!$M58="Y",IFERROR(1*'Daily Workforce'!$P58&gt;=2,FALSE()))))),1,0)</f>
        <v>1</v>
      </c>
      <c r="BR42" s="1" t="n">
        <f aca="false">IF(AND('Daily Workforce'!$N59="Y",'Daily Workforce'!$B59&lt;&gt;"",COUNTIF('Daily Schedule'!$F$5:$F45,'Daily Workforce'!$B59)=0,IF('Daily Schedule'!$A46=45,'Daily Workforce'!$J59="Y",IF(OR('Daily Schedule'!$A46=4,'Daily Schedule'!$A46=8),IF(OR(WEEKDAY('Daily Schedule'!$B$2,2)=1,WEEKDAY('Daily Schedule'!$B$2,2)=4,WEEKDAY('Daily Schedule'!$B$2,2)=5,WEEKDAY('Daily Schedule'!$B$2,2)=7),IFERROR(1*'Daily Workforce'!$K59&gt;=3,FALSE()),IFERROR(1*'Daily Workforce'!$K59&gt;=2,FALSE())),IF(AND('Daily Schedule'!$A46&gt;=46,'Daily Schedule'!$A46&lt;=52),'Daily Workforce'!$M59="Y",IFERROR(1*'Daily Workforce'!$P59&gt;=2,FALSE()))))),1,0)</f>
        <v>1</v>
      </c>
      <c r="BS42" s="1" t="n">
        <f aca="false">IF(AND('Daily Workforce'!$N60="Y",'Daily Workforce'!$B60&lt;&gt;"",COUNTIF('Daily Schedule'!$F$5:$F45,'Daily Workforce'!$B60)=0,IF('Daily Schedule'!$A46=45,'Daily Workforce'!$J60="Y",IF(OR('Daily Schedule'!$A46=4,'Daily Schedule'!$A46=8),IF(OR(WEEKDAY('Daily Schedule'!$B$2,2)=1,WEEKDAY('Daily Schedule'!$B$2,2)=4,WEEKDAY('Daily Schedule'!$B$2,2)=5,WEEKDAY('Daily Schedule'!$B$2,2)=7),IFERROR(1*'Daily Workforce'!$K60&gt;=3,FALSE()),IFERROR(1*'Daily Workforce'!$K60&gt;=2,FALSE())),IF(AND('Daily Schedule'!$A46&gt;=46,'Daily Schedule'!$A46&lt;=52),'Daily Workforce'!$M60="Y",IFERROR(1*'Daily Workforce'!$P60&gt;=2,FALSE()))))),1,0)</f>
        <v>1</v>
      </c>
      <c r="BT42" s="1" t="n">
        <f aca="false">IF(AND('Daily Workforce'!$N61="Y",'Daily Workforce'!$B61&lt;&gt;"",COUNTIF('Daily Schedule'!$F$5:$F45,'Daily Workforce'!$B61)=0,IF('Daily Schedule'!$A46=45,'Daily Workforce'!$J61="Y",IF(OR('Daily Schedule'!$A46=4,'Daily Schedule'!$A46=8),IF(OR(WEEKDAY('Daily Schedule'!$B$2,2)=1,WEEKDAY('Daily Schedule'!$B$2,2)=4,WEEKDAY('Daily Schedule'!$B$2,2)=5,WEEKDAY('Daily Schedule'!$B$2,2)=7),IFERROR(1*'Daily Workforce'!$K61&gt;=3,FALSE()),IFERROR(1*'Daily Workforce'!$K61&gt;=2,FALSE())),IF(AND('Daily Schedule'!$A46&gt;=46,'Daily Schedule'!$A46&lt;=52),'Daily Workforce'!$M61="Y",IFERROR(1*'Daily Workforce'!$P61&gt;=2,FALSE()))))),1,0)</f>
        <v>0</v>
      </c>
      <c r="BU42" s="1" t="n">
        <f aca="false">IF(AND('Daily Workforce'!$N62="Y",'Daily Workforce'!$B62&lt;&gt;"",COUNTIF('Daily Schedule'!$F$5:$F45,'Daily Workforce'!$B62)=0,IF('Daily Schedule'!$A46=45,'Daily Workforce'!$J62="Y",IF(OR('Daily Schedule'!$A46=4,'Daily Schedule'!$A46=8),IF(OR(WEEKDAY('Daily Schedule'!$B$2,2)=1,WEEKDAY('Daily Schedule'!$B$2,2)=4,WEEKDAY('Daily Schedule'!$B$2,2)=5,WEEKDAY('Daily Schedule'!$B$2,2)=7),IFERROR(1*'Daily Workforce'!$K62&gt;=3,FALSE()),IFERROR(1*'Daily Workforce'!$K62&gt;=2,FALSE())),IF(AND('Daily Schedule'!$A46&gt;=46,'Daily Schedule'!$A46&lt;=52),'Daily Workforce'!$M62="Y",IFERROR(1*'Daily Workforce'!$P62&gt;=2,FALSE()))))),1,0)</f>
        <v>1</v>
      </c>
      <c r="BV42" s="1" t="n">
        <f aca="false">IF(AND('Daily Workforce'!$N63="Y",'Daily Workforce'!$B63&lt;&gt;"",COUNTIF('Daily Schedule'!$F$5:$F45,'Daily Workforce'!$B63)=0,IF('Daily Schedule'!$A46=45,'Daily Workforce'!$J63="Y",IF(OR('Daily Schedule'!$A46=4,'Daily Schedule'!$A46=8),IF(OR(WEEKDAY('Daily Schedule'!$B$2,2)=1,WEEKDAY('Daily Schedule'!$B$2,2)=4,WEEKDAY('Daily Schedule'!$B$2,2)=5,WEEKDAY('Daily Schedule'!$B$2,2)=7),IFERROR(1*'Daily Workforce'!$K63&gt;=3,FALSE()),IFERROR(1*'Daily Workforce'!$K63&gt;=2,FALSE())),IF(AND('Daily Schedule'!$A46&gt;=46,'Daily Schedule'!$A46&lt;=52),'Daily Workforce'!$M63="Y",IFERROR(1*'Daily Workforce'!$P63&gt;=2,FALSE()))))),1,0)</f>
        <v>1</v>
      </c>
      <c r="BW42" s="1" t="n">
        <f aca="false">IF(AND('Daily Workforce'!$N64="Y",'Daily Workforce'!$B64&lt;&gt;"",COUNTIF('Daily Schedule'!$F$5:$F45,'Daily Workforce'!$B64)=0,IF('Daily Schedule'!$A46=45,'Daily Workforce'!$J64="Y",IF(OR('Daily Schedule'!$A46=4,'Daily Schedule'!$A46=8),IF(OR(WEEKDAY('Daily Schedule'!$B$2,2)=1,WEEKDAY('Daily Schedule'!$B$2,2)=4,WEEKDAY('Daily Schedule'!$B$2,2)=5,WEEKDAY('Daily Schedule'!$B$2,2)=7),IFERROR(1*'Daily Workforce'!$K64&gt;=3,FALSE()),IFERROR(1*'Daily Workforce'!$K64&gt;=2,FALSE())),IF(AND('Daily Schedule'!$A46&gt;=46,'Daily Schedule'!$A46&lt;=52),'Daily Workforce'!$M64="Y",IFERROR(1*'Daily Workforce'!$P64&gt;=2,FALSE()))))),1,0)</f>
        <v>1</v>
      </c>
      <c r="BX42" s="1" t="n">
        <f aca="false">IF(AND('Daily Workforce'!$N65="Y",'Daily Workforce'!$B65&lt;&gt;"",COUNTIF('Daily Schedule'!$F$5:$F45,'Daily Workforce'!$B65)=0,IF('Daily Schedule'!$A46=45,'Daily Workforce'!$J65="Y",IF(OR('Daily Schedule'!$A46=4,'Daily Schedule'!$A46=8),IF(OR(WEEKDAY('Daily Schedule'!$B$2,2)=1,WEEKDAY('Daily Schedule'!$B$2,2)=4,WEEKDAY('Daily Schedule'!$B$2,2)=5,WEEKDAY('Daily Schedule'!$B$2,2)=7),IFERROR(1*'Daily Workforce'!$K65&gt;=3,FALSE()),IFERROR(1*'Daily Workforce'!$K65&gt;=2,FALSE())),IF(AND('Daily Schedule'!$A46&gt;=46,'Daily Schedule'!$A46&lt;=52),'Daily Workforce'!$M65="Y",IFERROR(1*'Daily Workforce'!$P65&gt;=2,FALSE()))))),1,0)</f>
        <v>1</v>
      </c>
      <c r="BY42" s="1" t="n">
        <f aca="false">IF(AND('Daily Workforce'!$N66="Y",'Daily Workforce'!$B66&lt;&gt;"",COUNTIF('Daily Schedule'!$F$5:$F45,'Daily Workforce'!$B66)=0,IF('Daily Schedule'!$A46=45,'Daily Workforce'!$J66="Y",IF(OR('Daily Schedule'!$A46=4,'Daily Schedule'!$A46=8),IF(OR(WEEKDAY('Daily Schedule'!$B$2,2)=1,WEEKDAY('Daily Schedule'!$B$2,2)=4,WEEKDAY('Daily Schedule'!$B$2,2)=5,WEEKDAY('Daily Schedule'!$B$2,2)=7),IFERROR(1*'Daily Workforce'!$K66&gt;=3,FALSE()),IFERROR(1*'Daily Workforce'!$K66&gt;=2,FALSE())),IF(AND('Daily Schedule'!$A46&gt;=46,'Daily Schedule'!$A46&lt;=52),'Daily Workforce'!$M66="Y",IFERROR(1*'Daily Workforce'!$P66&gt;=2,FALSE()))))),1,0)</f>
        <v>1</v>
      </c>
      <c r="BZ42" s="1" t="n">
        <f aca="false">IF(AND('Daily Workforce'!$N67="Y",'Daily Workforce'!$B67&lt;&gt;"",COUNTIF('Daily Schedule'!$F$5:$F45,'Daily Workforce'!$B67)=0,IF('Daily Schedule'!$A46=45,'Daily Workforce'!$J67="Y",IF(OR('Daily Schedule'!$A46=4,'Daily Schedule'!$A46=8),IF(OR(WEEKDAY('Daily Schedule'!$B$2,2)=1,WEEKDAY('Daily Schedule'!$B$2,2)=4,WEEKDAY('Daily Schedule'!$B$2,2)=5,WEEKDAY('Daily Schedule'!$B$2,2)=7),IFERROR(1*'Daily Workforce'!$K67&gt;=3,FALSE()),IFERROR(1*'Daily Workforce'!$K67&gt;=2,FALSE())),IF(AND('Daily Schedule'!$A46&gt;=46,'Daily Schedule'!$A46&lt;=52),'Daily Workforce'!$M67="Y",IFERROR(1*'Daily Workforce'!$P67&gt;=2,FALSE()))))),1,0)</f>
        <v>1</v>
      </c>
      <c r="CA42" s="1" t="n">
        <f aca="false">IF(AND('Daily Workforce'!$N68="Y",'Daily Workforce'!$B68&lt;&gt;"",COUNTIF('Daily Schedule'!$F$5:$F45,'Daily Workforce'!$B68)=0,IF('Daily Schedule'!$A46=45,'Daily Workforce'!$J68="Y",IF(OR('Daily Schedule'!$A46=4,'Daily Schedule'!$A46=8),IF(OR(WEEKDAY('Daily Schedule'!$B$2,2)=1,WEEKDAY('Daily Schedule'!$B$2,2)=4,WEEKDAY('Daily Schedule'!$B$2,2)=5,WEEKDAY('Daily Schedule'!$B$2,2)=7),IFERROR(1*'Daily Workforce'!$K68&gt;=3,FALSE()),IFERROR(1*'Daily Workforce'!$K68&gt;=2,FALSE())),IF(AND('Daily Schedule'!$A46&gt;=46,'Daily Schedule'!$A46&lt;=52),'Daily Workforce'!$M68="Y",IFERROR(1*'Daily Workforce'!$P68&gt;=2,FALSE()))))),1,0)</f>
        <v>1</v>
      </c>
      <c r="CB42" s="1" t="n">
        <f aca="false">IF(AND('Daily Workforce'!$N69="Y",'Daily Workforce'!$B69&lt;&gt;"",COUNTIF('Daily Schedule'!$F$5:$F45,'Daily Workforce'!$B69)=0,IF('Daily Schedule'!$A46=45,'Daily Workforce'!$J69="Y",IF(OR('Daily Schedule'!$A46=4,'Daily Schedule'!$A46=8),IF(OR(WEEKDAY('Daily Schedule'!$B$2,2)=1,WEEKDAY('Daily Schedule'!$B$2,2)=4,WEEKDAY('Daily Schedule'!$B$2,2)=5,WEEKDAY('Daily Schedule'!$B$2,2)=7),IFERROR(1*'Daily Workforce'!$K69&gt;=3,FALSE()),IFERROR(1*'Daily Workforce'!$K69&gt;=2,FALSE())),IF(AND('Daily Schedule'!$A46&gt;=46,'Daily Schedule'!$A46&lt;=52),'Daily Workforce'!$M69="Y",IFERROR(1*'Daily Workforce'!$P69&gt;=2,FALSE()))))),1,0)</f>
        <v>1</v>
      </c>
      <c r="CC42" s="1" t="n">
        <f aca="false">IF(AND('Daily Workforce'!$N70="Y",'Daily Workforce'!$B70&lt;&gt;"",COUNTIF('Daily Schedule'!$F$5:$F45,'Daily Workforce'!$B70)=0,IF('Daily Schedule'!$A46=45,'Daily Workforce'!$J70="Y",IF(OR('Daily Schedule'!$A46=4,'Daily Schedule'!$A46=8),IF(OR(WEEKDAY('Daily Schedule'!$B$2,2)=1,WEEKDAY('Daily Schedule'!$B$2,2)=4,WEEKDAY('Daily Schedule'!$B$2,2)=5,WEEKDAY('Daily Schedule'!$B$2,2)=7),IFERROR(1*'Daily Workforce'!$K70&gt;=3,FALSE()),IFERROR(1*'Daily Workforce'!$K70&gt;=2,FALSE())),IF(AND('Daily Schedule'!$A46&gt;=46,'Daily Schedule'!$A46&lt;=52),'Daily Workforce'!$M70="Y",IFERROR(1*'Daily Workforce'!$P70&gt;=2,FALSE()))))),1,0)</f>
        <v>1</v>
      </c>
      <c r="CD42" s="1" t="n">
        <f aca="false">IF(AND('Daily Workforce'!$N71="Y",'Daily Workforce'!$B71&lt;&gt;"",COUNTIF('Daily Schedule'!$F$5:$F45,'Daily Workforce'!$B71)=0,IF('Daily Schedule'!$A46=45,'Daily Workforce'!$J71="Y",IF(OR('Daily Schedule'!$A46=4,'Daily Schedule'!$A46=8),IF(OR(WEEKDAY('Daily Schedule'!$B$2,2)=1,WEEKDAY('Daily Schedule'!$B$2,2)=4,WEEKDAY('Daily Schedule'!$B$2,2)=5,WEEKDAY('Daily Schedule'!$B$2,2)=7),IFERROR(1*'Daily Workforce'!$K71&gt;=3,FALSE()),IFERROR(1*'Daily Workforce'!$K71&gt;=2,FALSE())),IF(AND('Daily Schedule'!$A46&gt;=46,'Daily Schedule'!$A46&lt;=52),'Daily Workforce'!$M71="Y",IFERROR(1*'Daily Workforce'!$P71&gt;=2,FALSE()))))),1,0)</f>
        <v>1</v>
      </c>
      <c r="CE42" s="1" t="n">
        <f aca="false">IF(AND('Daily Workforce'!$N72="Y",'Daily Workforce'!$B72&lt;&gt;"",COUNTIF('Daily Schedule'!$F$5:$F45,'Daily Workforce'!$B72)=0,IF('Daily Schedule'!$A46=45,'Daily Workforce'!$J72="Y",IF(OR('Daily Schedule'!$A46=4,'Daily Schedule'!$A46=8),IF(OR(WEEKDAY('Daily Schedule'!$B$2,2)=1,WEEKDAY('Daily Schedule'!$B$2,2)=4,WEEKDAY('Daily Schedule'!$B$2,2)=5,WEEKDAY('Daily Schedule'!$B$2,2)=7),IFERROR(1*'Daily Workforce'!$K72&gt;=3,FALSE()),IFERROR(1*'Daily Workforce'!$K72&gt;=2,FALSE())),IF(AND('Daily Schedule'!$A46&gt;=46,'Daily Schedule'!$A46&lt;=52),'Daily Workforce'!$M72="Y",IFERROR(1*'Daily Workforce'!$P72&gt;=2,FALSE()))))),1,0)</f>
        <v>1</v>
      </c>
      <c r="CF42" s="1" t="n">
        <f aca="false">IF(AND('Daily Workforce'!$N73="Y",'Daily Workforce'!$B73&lt;&gt;"",COUNTIF('Daily Schedule'!$F$5:$F45,'Daily Workforce'!$B73)=0,IF('Daily Schedule'!$A46=45,'Daily Workforce'!$J73="Y",IF(OR('Daily Schedule'!$A46=4,'Daily Schedule'!$A46=8),IF(OR(WEEKDAY('Daily Schedule'!$B$2,2)=1,WEEKDAY('Daily Schedule'!$B$2,2)=4,WEEKDAY('Daily Schedule'!$B$2,2)=5,WEEKDAY('Daily Schedule'!$B$2,2)=7),IFERROR(1*'Daily Workforce'!$K73&gt;=3,FALSE()),IFERROR(1*'Daily Workforce'!$K73&gt;=2,FALSE())),IF(AND('Daily Schedule'!$A46&gt;=46,'Daily Schedule'!$A46&lt;=52),'Daily Workforce'!$M73="Y",IFERROR(1*'Daily Workforce'!$P73&gt;=2,FALSE()))))),1,0)</f>
        <v>1</v>
      </c>
      <c r="CG42" s="1" t="n">
        <f aca="false">IF(AND('Daily Workforce'!$N74="Y",'Daily Workforce'!$B74&lt;&gt;"",COUNTIF('Daily Schedule'!$F$5:$F45,'Daily Workforce'!$B74)=0,IF('Daily Schedule'!$A46=45,'Daily Workforce'!$J74="Y",IF(OR('Daily Schedule'!$A46=4,'Daily Schedule'!$A46=8),IF(OR(WEEKDAY('Daily Schedule'!$B$2,2)=1,WEEKDAY('Daily Schedule'!$B$2,2)=4,WEEKDAY('Daily Schedule'!$B$2,2)=5,WEEKDAY('Daily Schedule'!$B$2,2)=7),IFERROR(1*'Daily Workforce'!$K74&gt;=3,FALSE()),IFERROR(1*'Daily Workforce'!$K74&gt;=2,FALSE())),IF(AND('Daily Schedule'!$A46&gt;=46,'Daily Schedule'!$A46&lt;=52),'Daily Workforce'!$M74="Y",IFERROR(1*'Daily Workforce'!$P74&gt;=2,FALSE()))))),1,0)</f>
        <v>1</v>
      </c>
      <c r="CH42" s="1" t="n">
        <f aca="false">IF(AND('Daily Workforce'!$N75="Y",'Daily Workforce'!$B75&lt;&gt;"",COUNTIF('Daily Schedule'!$F$5:$F45,'Daily Workforce'!$B75)=0,IF('Daily Schedule'!$A46=45,'Daily Workforce'!$J75="Y",IF(OR('Daily Schedule'!$A46=4,'Daily Schedule'!$A46=8),IF(OR(WEEKDAY('Daily Schedule'!$B$2,2)=1,WEEKDAY('Daily Schedule'!$B$2,2)=4,WEEKDAY('Daily Schedule'!$B$2,2)=5,WEEKDAY('Daily Schedule'!$B$2,2)=7),IFERROR(1*'Daily Workforce'!$K75&gt;=3,FALSE()),IFERROR(1*'Daily Workforce'!$K75&gt;=2,FALSE())),IF(AND('Daily Schedule'!$A46&gt;=46,'Daily Schedule'!$A46&lt;=52),'Daily Workforce'!$M75="Y",IFERROR(1*'Daily Workforce'!$P75&gt;=2,FALSE()))))),1,0)</f>
        <v>1</v>
      </c>
      <c r="CI42" s="1" t="n">
        <f aca="false">IF(AND('Daily Workforce'!$N76="Y",'Daily Workforce'!$B76&lt;&gt;"",COUNTIF('Daily Schedule'!$F$5:$F45,'Daily Workforce'!$B76)=0,IF('Daily Schedule'!$A46=45,'Daily Workforce'!$J76="Y",IF(OR('Daily Schedule'!$A46=4,'Daily Schedule'!$A46=8),IF(OR(WEEKDAY('Daily Schedule'!$B$2,2)=1,WEEKDAY('Daily Schedule'!$B$2,2)=4,WEEKDAY('Daily Schedule'!$B$2,2)=5,WEEKDAY('Daily Schedule'!$B$2,2)=7),IFERROR(1*'Daily Workforce'!$K76&gt;=3,FALSE()),IFERROR(1*'Daily Workforce'!$K76&gt;=2,FALSE())),IF(AND('Daily Schedule'!$A46&gt;=46,'Daily Schedule'!$A46&lt;=52),'Daily Workforce'!$M76="Y",IFERROR(1*'Daily Workforce'!$P76&gt;=2,FALSE()))))),1,0)</f>
        <v>1</v>
      </c>
      <c r="CJ42" s="1" t="n">
        <f aca="false">IF(AND('Daily Workforce'!$N77="Y",'Daily Workforce'!$B77&lt;&gt;"",COUNTIF('Daily Schedule'!$F$5:$F45,'Daily Workforce'!$B77)=0,IF('Daily Schedule'!$A46=45,'Daily Workforce'!$J77="Y",IF(OR('Daily Schedule'!$A46=4,'Daily Schedule'!$A46=8),IF(OR(WEEKDAY('Daily Schedule'!$B$2,2)=1,WEEKDAY('Daily Schedule'!$B$2,2)=4,WEEKDAY('Daily Schedule'!$B$2,2)=5,WEEKDAY('Daily Schedule'!$B$2,2)=7),IFERROR(1*'Daily Workforce'!$K77&gt;=3,FALSE()),IFERROR(1*'Daily Workforce'!$K77&gt;=2,FALSE())),IF(AND('Daily Schedule'!$A46&gt;=46,'Daily Schedule'!$A46&lt;=52),'Daily Workforce'!$M77="Y",IFERROR(1*'Daily Workforce'!$P77&gt;=2,FALSE()))))),1,0)</f>
        <v>1</v>
      </c>
      <c r="CK42" s="1" t="n">
        <f aca="false">IF(AND('Daily Workforce'!$N78="Y",'Daily Workforce'!$B78&lt;&gt;"",COUNTIF('Daily Schedule'!$F$5:$F45,'Daily Workforce'!$B78)=0,IF('Daily Schedule'!$A46=45,'Daily Workforce'!$J78="Y",IF(OR('Daily Schedule'!$A46=4,'Daily Schedule'!$A46=8),IF(OR(WEEKDAY('Daily Schedule'!$B$2,2)=1,WEEKDAY('Daily Schedule'!$B$2,2)=4,WEEKDAY('Daily Schedule'!$B$2,2)=5,WEEKDAY('Daily Schedule'!$B$2,2)=7),IFERROR(1*'Daily Workforce'!$K78&gt;=3,FALSE()),IFERROR(1*'Daily Workforce'!$K78&gt;=2,FALSE())),IF(AND('Daily Schedule'!$A46&gt;=46,'Daily Schedule'!$A46&lt;=52),'Daily Workforce'!$M78="Y",IFERROR(1*'Daily Workforce'!$P78&gt;=2,FALSE()))))),1,0)</f>
        <v>1</v>
      </c>
      <c r="CL42" s="1" t="n">
        <f aca="false">IF(AND('Daily Workforce'!$N79="Y",'Daily Workforce'!$B79&lt;&gt;"",COUNTIF('Daily Schedule'!$F$5:$F45,'Daily Workforce'!$B79)=0,IF('Daily Schedule'!$A46=45,'Daily Workforce'!$J79="Y",IF(OR('Daily Schedule'!$A46=4,'Daily Schedule'!$A46=8),IF(OR(WEEKDAY('Daily Schedule'!$B$2,2)=1,WEEKDAY('Daily Schedule'!$B$2,2)=4,WEEKDAY('Daily Schedule'!$B$2,2)=5,WEEKDAY('Daily Schedule'!$B$2,2)=7),IFERROR(1*'Daily Workforce'!$K79&gt;=3,FALSE()),IFERROR(1*'Daily Workforce'!$K79&gt;=2,FALSE())),IF(AND('Daily Schedule'!$A46&gt;=46,'Daily Schedule'!$A46&lt;=52),'Daily Workforce'!$M79="Y",IFERROR(1*'Daily Workforce'!$P79&gt;=2,FALSE()))))),1,0)</f>
        <v>1</v>
      </c>
      <c r="CM42" s="1" t="n">
        <f aca="false">IF(AND('Daily Workforce'!$N80="Y",'Daily Workforce'!$B80&lt;&gt;"",COUNTIF('Daily Schedule'!$F$5:$F45,'Daily Workforce'!$B80)=0,IF('Daily Schedule'!$A46=45,'Daily Workforce'!$J80="Y",IF(OR('Daily Schedule'!$A46=4,'Daily Schedule'!$A46=8),IF(OR(WEEKDAY('Daily Schedule'!$B$2,2)=1,WEEKDAY('Daily Schedule'!$B$2,2)=4,WEEKDAY('Daily Schedule'!$B$2,2)=5,WEEKDAY('Daily Schedule'!$B$2,2)=7),IFERROR(1*'Daily Workforce'!$K80&gt;=3,FALSE()),IFERROR(1*'Daily Workforce'!$K80&gt;=2,FALSE())),IF(AND('Daily Schedule'!$A46&gt;=46,'Daily Schedule'!$A46&lt;=52),'Daily Workforce'!$M80="Y",IFERROR(1*'Daily Workforce'!$P80&gt;=2,FALSE()))))),1,0)</f>
        <v>1</v>
      </c>
      <c r="CN42" s="1" t="n">
        <f aca="false">IF(AND('Daily Workforce'!$N81="Y",'Daily Workforce'!$B81&lt;&gt;"",COUNTIF('Daily Schedule'!$F$5:$F45,'Daily Workforce'!$B81)=0,IF('Daily Schedule'!$A46=45,'Daily Workforce'!$J81="Y",IF(OR('Daily Schedule'!$A46=4,'Daily Schedule'!$A46=8),IF(OR(WEEKDAY('Daily Schedule'!$B$2,2)=1,WEEKDAY('Daily Schedule'!$B$2,2)=4,WEEKDAY('Daily Schedule'!$B$2,2)=5,WEEKDAY('Daily Schedule'!$B$2,2)=7),IFERROR(1*'Daily Workforce'!$K81&gt;=3,FALSE()),IFERROR(1*'Daily Workforce'!$K81&gt;=2,FALSE())),IF(AND('Daily Schedule'!$A46&gt;=46,'Daily Schedule'!$A46&lt;=52),'Daily Workforce'!$M81="Y",IFERROR(1*'Daily Workforce'!$P81&gt;=2,FALSE()))))),1,0)</f>
        <v>1</v>
      </c>
      <c r="CO42" s="1" t="n">
        <f aca="false">IF(AND('Daily Workforce'!$N82="Y",'Daily Workforce'!$B82&lt;&gt;"",COUNTIF('Daily Schedule'!$F$5:$F45,'Daily Workforce'!$B82)=0,IF('Daily Schedule'!$A46=45,'Daily Workforce'!$J82="Y",IF(OR('Daily Schedule'!$A46=4,'Daily Schedule'!$A46=8),IF(OR(WEEKDAY('Daily Schedule'!$B$2,2)=1,WEEKDAY('Daily Schedule'!$B$2,2)=4,WEEKDAY('Daily Schedule'!$B$2,2)=5,WEEKDAY('Daily Schedule'!$B$2,2)=7),IFERROR(1*'Daily Workforce'!$K82&gt;=3,FALSE()),IFERROR(1*'Daily Workforce'!$K82&gt;=2,FALSE())),IF(AND('Daily Schedule'!$A46&gt;=46,'Daily Schedule'!$A46&lt;=52),'Daily Workforce'!$M82="Y",IFERROR(1*'Daily Workforce'!$P82&gt;=2,FALSE()))))),1,0)</f>
        <v>1</v>
      </c>
      <c r="CP42" s="1" t="n">
        <f aca="false">IF(AND('Daily Workforce'!$N83="Y",'Daily Workforce'!$B83&lt;&gt;"",COUNTIF('Daily Schedule'!$F$5:$F45,'Daily Workforce'!$B83)=0,IF('Daily Schedule'!$A46=45,'Daily Workforce'!$J83="Y",IF(OR('Daily Schedule'!$A46=4,'Daily Schedule'!$A46=8),IF(OR(WEEKDAY('Daily Schedule'!$B$2,2)=1,WEEKDAY('Daily Schedule'!$B$2,2)=4,WEEKDAY('Daily Schedule'!$B$2,2)=5,WEEKDAY('Daily Schedule'!$B$2,2)=7),IFERROR(1*'Daily Workforce'!$K83&gt;=3,FALSE()),IFERROR(1*'Daily Workforce'!$K83&gt;=2,FALSE())),IF(AND('Daily Schedule'!$A46&gt;=46,'Daily Schedule'!$A46&lt;=52),'Daily Workforce'!$M83="Y",IFERROR(1*'Daily Workforce'!$P83&gt;=2,FALSE()))))),1,0)</f>
        <v>0</v>
      </c>
      <c r="CQ42" s="1" t="n">
        <f aca="false">IF(AND('Daily Workforce'!$N84="Y",'Daily Workforce'!$B84&lt;&gt;"",COUNTIF('Daily Schedule'!$F$5:$F45,'Daily Workforce'!$B84)=0,IF('Daily Schedule'!$A46=45,'Daily Workforce'!$J84="Y",IF(OR('Daily Schedule'!$A46=4,'Daily Schedule'!$A46=8),IF(OR(WEEKDAY('Daily Schedule'!$B$2,2)=1,WEEKDAY('Daily Schedule'!$B$2,2)=4,WEEKDAY('Daily Schedule'!$B$2,2)=5,WEEKDAY('Daily Schedule'!$B$2,2)=7),IFERROR(1*'Daily Workforce'!$K84&gt;=3,FALSE()),IFERROR(1*'Daily Workforce'!$K84&gt;=2,FALSE())),IF(AND('Daily Schedule'!$A46&gt;=46,'Daily Schedule'!$A46&lt;=52),'Daily Workforce'!$M84="Y",IFERROR(1*'Daily Workforce'!$P84&gt;=2,FALSE()))))),1,0)</f>
        <v>1</v>
      </c>
      <c r="CR42" s="1" t="n">
        <f aca="false">IF(AND('Daily Workforce'!$N85="Y",'Daily Workforce'!$B85&lt;&gt;"",COUNTIF('Daily Schedule'!$F$5:$F45,'Daily Workforce'!$B85)=0,IF('Daily Schedule'!$A46=45,'Daily Workforce'!$J85="Y",IF(OR('Daily Schedule'!$A46=4,'Daily Schedule'!$A46=8),IF(OR(WEEKDAY('Daily Schedule'!$B$2,2)=1,WEEKDAY('Daily Schedule'!$B$2,2)=4,WEEKDAY('Daily Schedule'!$B$2,2)=5,WEEKDAY('Daily Schedule'!$B$2,2)=7),IFERROR(1*'Daily Workforce'!$K85&gt;=3,FALSE()),IFERROR(1*'Daily Workforce'!$K85&gt;=2,FALSE())),IF(AND('Daily Schedule'!$A46&gt;=46,'Daily Schedule'!$A46&lt;=52),'Daily Workforce'!$M85="Y",IFERROR(1*'Daily Workforce'!$P85&gt;=2,FALSE()))))),1,0)</f>
        <v>0</v>
      </c>
      <c r="CS42" s="1" t="n">
        <f aca="false">IF(AND('Daily Workforce'!$N86="Y",'Daily Workforce'!$B86&lt;&gt;"",COUNTIF('Daily Schedule'!$F$5:$F45,'Daily Workforce'!$B86)=0,IF('Daily Schedule'!$A46=45,'Daily Workforce'!$J86="Y",IF(OR('Daily Schedule'!$A46=4,'Daily Schedule'!$A46=8),IF(OR(WEEKDAY('Daily Schedule'!$B$2,2)=1,WEEKDAY('Daily Schedule'!$B$2,2)=4,WEEKDAY('Daily Schedule'!$B$2,2)=5,WEEKDAY('Daily Schedule'!$B$2,2)=7),IFERROR(1*'Daily Workforce'!$K86&gt;=3,FALSE()),IFERROR(1*'Daily Workforce'!$K86&gt;=2,FALSE())),IF(AND('Daily Schedule'!$A46&gt;=46,'Daily Schedule'!$A46&lt;=52),'Daily Workforce'!$M86="Y",IFERROR(1*'Daily Workforce'!$P86&gt;=2,FALSE()))))),1,0)</f>
        <v>1</v>
      </c>
      <c r="CT42" s="1" t="n">
        <f aca="false">IF(AND('Daily Workforce'!$N87="Y",'Daily Workforce'!$B87&lt;&gt;"",COUNTIF('Daily Schedule'!$F$5:$F45,'Daily Workforce'!$B87)=0,IF('Daily Schedule'!$A46=45,'Daily Workforce'!$J87="Y",IF(OR('Daily Schedule'!$A46=4,'Daily Schedule'!$A46=8),IF(OR(WEEKDAY('Daily Schedule'!$B$2,2)=1,WEEKDAY('Daily Schedule'!$B$2,2)=4,WEEKDAY('Daily Schedule'!$B$2,2)=5,WEEKDAY('Daily Schedule'!$B$2,2)=7),IFERROR(1*'Daily Workforce'!$K87&gt;=3,FALSE()),IFERROR(1*'Daily Workforce'!$K87&gt;=2,FALSE())),IF(AND('Daily Schedule'!$A46&gt;=46,'Daily Schedule'!$A46&lt;=52),'Daily Workforce'!$M87="Y",IFERROR(1*'Daily Workforce'!$P87&gt;=2,FALSE()))))),1,0)</f>
        <v>1</v>
      </c>
      <c r="CU42" s="1" t="n">
        <f aca="false">IF(AND('Daily Workforce'!$N88="Y",'Daily Workforce'!$B88&lt;&gt;"",COUNTIF('Daily Schedule'!$F$5:$F45,'Daily Workforce'!$B88)=0,IF('Daily Schedule'!$A46=45,'Daily Workforce'!$J88="Y",IF(OR('Daily Schedule'!$A46=4,'Daily Schedule'!$A46=8),IF(OR(WEEKDAY('Daily Schedule'!$B$2,2)=1,WEEKDAY('Daily Schedule'!$B$2,2)=4,WEEKDAY('Daily Schedule'!$B$2,2)=5,WEEKDAY('Daily Schedule'!$B$2,2)=7),IFERROR(1*'Daily Workforce'!$K88&gt;=3,FALSE()),IFERROR(1*'Daily Workforce'!$K88&gt;=2,FALSE())),IF(AND('Daily Schedule'!$A46&gt;=46,'Daily Schedule'!$A46&lt;=52),'Daily Workforce'!$M88="Y",IFERROR(1*'Daily Workforce'!$P88&gt;=2,FALSE()))))),1,0)</f>
        <v>1</v>
      </c>
      <c r="CV42" s="1" t="n">
        <f aca="false">IF(AND('Daily Workforce'!$N89="Y",'Daily Workforce'!$B89&lt;&gt;"",COUNTIF('Daily Schedule'!$F$5:$F45,'Daily Workforce'!$B89)=0,IF('Daily Schedule'!$A46=45,'Daily Workforce'!$J89="Y",IF(OR('Daily Schedule'!$A46=4,'Daily Schedule'!$A46=8),IF(OR(WEEKDAY('Daily Schedule'!$B$2,2)=1,WEEKDAY('Daily Schedule'!$B$2,2)=4,WEEKDAY('Daily Schedule'!$B$2,2)=5,WEEKDAY('Daily Schedule'!$B$2,2)=7),IFERROR(1*'Daily Workforce'!$K89&gt;=3,FALSE()),IFERROR(1*'Daily Workforce'!$K89&gt;=2,FALSE())),IF(AND('Daily Schedule'!$A46&gt;=46,'Daily Schedule'!$A46&lt;=52),'Daily Workforce'!$M89="Y",IFERROR(1*'Daily Workforce'!$P89&gt;=2,FALSE()))))),1,0)</f>
        <v>1</v>
      </c>
      <c r="CW42" s="1" t="n">
        <f aca="false">IF(AND('Daily Workforce'!$N90="Y",'Daily Workforce'!$B90&lt;&gt;"",COUNTIF('Daily Schedule'!$F$5:$F45,'Daily Workforce'!$B90)=0,IF('Daily Schedule'!$A46=45,'Daily Workforce'!$J90="Y",IF(OR('Daily Schedule'!$A46=4,'Daily Schedule'!$A46=8),IF(OR(WEEKDAY('Daily Schedule'!$B$2,2)=1,WEEKDAY('Daily Schedule'!$B$2,2)=4,WEEKDAY('Daily Schedule'!$B$2,2)=5,WEEKDAY('Daily Schedule'!$B$2,2)=7),IFERROR(1*'Daily Workforce'!$K90&gt;=3,FALSE()),IFERROR(1*'Daily Workforce'!$K90&gt;=2,FALSE())),IF(AND('Daily Schedule'!$A46&gt;=46,'Daily Schedule'!$A46&lt;=52),'Daily Workforce'!$M90="Y",IFERROR(1*'Daily Workforce'!$P90&gt;=2,FALSE()))))),1,0)</f>
        <v>1</v>
      </c>
      <c r="CX42" s="1" t="n">
        <f aca="false">IF(AND('Daily Workforce'!$N91="Y",'Daily Workforce'!$B91&lt;&gt;"",COUNTIF('Daily Schedule'!$F$5:$F45,'Daily Workforce'!$B91)=0,IF('Daily Schedule'!$A46=45,'Daily Workforce'!$J91="Y",IF(OR('Daily Schedule'!$A46=4,'Daily Schedule'!$A46=8),IF(OR(WEEKDAY('Daily Schedule'!$B$2,2)=1,WEEKDAY('Daily Schedule'!$B$2,2)=4,WEEKDAY('Daily Schedule'!$B$2,2)=5,WEEKDAY('Daily Schedule'!$B$2,2)=7),IFERROR(1*'Daily Workforce'!$K91&gt;=3,FALSE()),IFERROR(1*'Daily Workforce'!$K91&gt;=2,FALSE())),IF(AND('Daily Schedule'!$A46&gt;=46,'Daily Schedule'!$A46&lt;=52),'Daily Workforce'!$M91="Y",IFERROR(1*'Daily Workforce'!$P91&gt;=2,FALSE()))))),1,0)</f>
        <v>1</v>
      </c>
      <c r="CY42" s="1" t="n">
        <f aca="false">IF(AND('Daily Workforce'!$N92="Y",'Daily Workforce'!$B92&lt;&gt;"",COUNTIF('Daily Schedule'!$F$5:$F45,'Daily Workforce'!$B92)=0,IF('Daily Schedule'!$A46=45,'Daily Workforce'!$J92="Y",IF(OR('Daily Schedule'!$A46=4,'Daily Schedule'!$A46=8),IF(OR(WEEKDAY('Daily Schedule'!$B$2,2)=1,WEEKDAY('Daily Schedule'!$B$2,2)=4,WEEKDAY('Daily Schedule'!$B$2,2)=5,WEEKDAY('Daily Schedule'!$B$2,2)=7),IFERROR(1*'Daily Workforce'!$K92&gt;=3,FALSE()),IFERROR(1*'Daily Workforce'!$K92&gt;=2,FALSE())),IF(AND('Daily Schedule'!$A46&gt;=46,'Daily Schedule'!$A46&lt;=52),'Daily Workforce'!$M92="Y",IFERROR(1*'Daily Workforce'!$P92&gt;=2,FALSE()))))),1,0)</f>
        <v>1</v>
      </c>
      <c r="CZ42" s="1" t="n">
        <f aca="false">IF(AND('Daily Workforce'!$N93="Y",'Daily Workforce'!$B93&lt;&gt;"",COUNTIF('Daily Schedule'!$F$5:$F45,'Daily Workforce'!$B93)=0,IF('Daily Schedule'!$A46=45,'Daily Workforce'!$J93="Y",IF(OR('Daily Schedule'!$A46=4,'Daily Schedule'!$A46=8),IF(OR(WEEKDAY('Daily Schedule'!$B$2,2)=1,WEEKDAY('Daily Schedule'!$B$2,2)=4,WEEKDAY('Daily Schedule'!$B$2,2)=5,WEEKDAY('Daily Schedule'!$B$2,2)=7),IFERROR(1*'Daily Workforce'!$K93&gt;=3,FALSE()),IFERROR(1*'Daily Workforce'!$K93&gt;=2,FALSE())),IF(AND('Daily Schedule'!$A46&gt;=46,'Daily Schedule'!$A46&lt;=52),'Daily Workforce'!$M93="Y",IFERROR(1*'Daily Workforce'!$P93&gt;=2,FALSE()))))),1,0)</f>
        <v>1</v>
      </c>
      <c r="DA42" s="1" t="n">
        <f aca="false">IF(AND('Daily Workforce'!$N94="Y",'Daily Workforce'!$B94&lt;&gt;"",COUNTIF('Daily Schedule'!$F$5:$F45,'Daily Workforce'!$B94)=0,IF('Daily Schedule'!$A46=45,'Daily Workforce'!$J94="Y",IF(OR('Daily Schedule'!$A46=4,'Daily Schedule'!$A46=8),IF(OR(WEEKDAY('Daily Schedule'!$B$2,2)=1,WEEKDAY('Daily Schedule'!$B$2,2)=4,WEEKDAY('Daily Schedule'!$B$2,2)=5,WEEKDAY('Daily Schedule'!$B$2,2)=7),IFERROR(1*'Daily Workforce'!$K94&gt;=3,FALSE()),IFERROR(1*'Daily Workforce'!$K94&gt;=2,FALSE())),IF(AND('Daily Schedule'!$A46&gt;=46,'Daily Schedule'!$A46&lt;=52),'Daily Workforce'!$M94="Y",IFERROR(1*'Daily Workforce'!$P94&gt;=2,FALSE()))))),1,0)</f>
        <v>1</v>
      </c>
      <c r="DB42" s="1" t="n">
        <f aca="false">IF(AND('Daily Workforce'!$N95="Y",'Daily Workforce'!$B95&lt;&gt;"",COUNTIF('Daily Schedule'!$F$5:$F45,'Daily Workforce'!$B95)=0,IF('Daily Schedule'!$A46=45,'Daily Workforce'!$J95="Y",IF(OR('Daily Schedule'!$A46=4,'Daily Schedule'!$A46=8),IF(OR(WEEKDAY('Daily Schedule'!$B$2,2)=1,WEEKDAY('Daily Schedule'!$B$2,2)=4,WEEKDAY('Daily Schedule'!$B$2,2)=5,WEEKDAY('Daily Schedule'!$B$2,2)=7),IFERROR(1*'Daily Workforce'!$K95&gt;=3,FALSE()),IFERROR(1*'Daily Workforce'!$K95&gt;=2,FALSE())),IF(AND('Daily Schedule'!$A46&gt;=46,'Daily Schedule'!$A46&lt;=52),'Daily Workforce'!$M95="Y",IFERROR(1*'Daily Workforce'!$P95&gt;=2,FALSE()))))),1,0)</f>
        <v>1</v>
      </c>
      <c r="DC42" s="1" t="n">
        <f aca="false">IF(AND('Daily Workforce'!$N96="Y",'Daily Workforce'!$B96&lt;&gt;"",COUNTIF('Daily Schedule'!$F$5:$F45,'Daily Workforce'!$B96)=0,IF('Daily Schedule'!$A46=45,'Daily Workforce'!$J96="Y",IF(OR('Daily Schedule'!$A46=4,'Daily Schedule'!$A46=8),IF(OR(WEEKDAY('Daily Schedule'!$B$2,2)=1,WEEKDAY('Daily Schedule'!$B$2,2)=4,WEEKDAY('Daily Schedule'!$B$2,2)=5,WEEKDAY('Daily Schedule'!$B$2,2)=7),IFERROR(1*'Daily Workforce'!$K96&gt;=3,FALSE()),IFERROR(1*'Daily Workforce'!$K96&gt;=2,FALSE())),IF(AND('Daily Schedule'!$A46&gt;=46,'Daily Schedule'!$A46&lt;=52),'Daily Workforce'!$M96="Y",IFERROR(1*'Daily Workforce'!$P96&gt;=2,FALSE()))))),1,0)</f>
        <v>1</v>
      </c>
      <c r="DD42" s="1" t="n">
        <f aca="false">IF(AND('Daily Workforce'!$N97="Y",'Daily Workforce'!$B97&lt;&gt;"",COUNTIF('Daily Schedule'!$F$5:$F45,'Daily Workforce'!$B97)=0,IF('Daily Schedule'!$A46=45,'Daily Workforce'!$J97="Y",IF(OR('Daily Schedule'!$A46=4,'Daily Schedule'!$A46=8),IF(OR(WEEKDAY('Daily Schedule'!$B$2,2)=1,WEEKDAY('Daily Schedule'!$B$2,2)=4,WEEKDAY('Daily Schedule'!$B$2,2)=5,WEEKDAY('Daily Schedule'!$B$2,2)=7),IFERROR(1*'Daily Workforce'!$K97&gt;=3,FALSE()),IFERROR(1*'Daily Workforce'!$K97&gt;=2,FALSE())),IF(AND('Daily Schedule'!$A46&gt;=46,'Daily Schedule'!$A46&lt;=52),'Daily Workforce'!$M97="Y",IFERROR(1*'Daily Workforce'!$P97&gt;=2,FALSE()))))),1,0)</f>
        <v>1</v>
      </c>
      <c r="DE42" s="1" t="n">
        <f aca="false">IF(AND('Daily Workforce'!$N98="Y",'Daily Workforce'!$B98&lt;&gt;"",COUNTIF('Daily Schedule'!$F$5:$F45,'Daily Workforce'!$B98)=0,IF('Daily Schedule'!$A46=45,'Daily Workforce'!$J98="Y",IF(OR('Daily Schedule'!$A46=4,'Daily Schedule'!$A46=8),IF(OR(WEEKDAY('Daily Schedule'!$B$2,2)=1,WEEKDAY('Daily Schedule'!$B$2,2)=4,WEEKDAY('Daily Schedule'!$B$2,2)=5,WEEKDAY('Daily Schedule'!$B$2,2)=7),IFERROR(1*'Daily Workforce'!$K98&gt;=3,FALSE()),IFERROR(1*'Daily Workforce'!$K98&gt;=2,FALSE())),IF(AND('Daily Schedule'!$A46&gt;=46,'Daily Schedule'!$A46&lt;=52),'Daily Workforce'!$M98="Y",IFERROR(1*'Daily Workforce'!$P98&gt;=2,FALSE()))))),1,0)</f>
        <v>1</v>
      </c>
      <c r="DF42" s="1" t="n">
        <f aca="false">IF(AND('Daily Workforce'!$N99="Y",'Daily Workforce'!$B99&lt;&gt;"",COUNTIF('Daily Schedule'!$F$5:$F45,'Daily Workforce'!$B99)=0,IF('Daily Schedule'!$A46=45,'Daily Workforce'!$J99="Y",IF(OR('Daily Schedule'!$A46=4,'Daily Schedule'!$A46=8),IF(OR(WEEKDAY('Daily Schedule'!$B$2,2)=1,WEEKDAY('Daily Schedule'!$B$2,2)=4,WEEKDAY('Daily Schedule'!$B$2,2)=5,WEEKDAY('Daily Schedule'!$B$2,2)=7),IFERROR(1*'Daily Workforce'!$K99&gt;=3,FALSE()),IFERROR(1*'Daily Workforce'!$K99&gt;=2,FALSE())),IF(AND('Daily Schedule'!$A46&gt;=46,'Daily Schedule'!$A46&lt;=52),'Daily Workforce'!$M99="Y",IFERROR(1*'Daily Workforce'!$P99&gt;=2,FALSE()))))),1,0)</f>
        <v>1</v>
      </c>
      <c r="DG42" s="1" t="n">
        <f aca="false">IF(AND('Daily Workforce'!$N100="Y",'Daily Workforce'!$B100&lt;&gt;"",COUNTIF('Daily Schedule'!$F$5:$F45,'Daily Workforce'!$B100)=0,IF('Daily Schedule'!$A46=45,'Daily Workforce'!$J100="Y",IF(OR('Daily Schedule'!$A46=4,'Daily Schedule'!$A46=8),IF(OR(WEEKDAY('Daily Schedule'!$B$2,2)=1,WEEKDAY('Daily Schedule'!$B$2,2)=4,WEEKDAY('Daily Schedule'!$B$2,2)=5,WEEKDAY('Daily Schedule'!$B$2,2)=7),IFERROR(1*'Daily Workforce'!$K100&gt;=3,FALSE()),IFERROR(1*'Daily Workforce'!$K100&gt;=2,FALSE())),IF(AND('Daily Schedule'!$A46&gt;=46,'Daily Schedule'!$A46&lt;=52),'Daily Workforce'!$M100="Y",IFERROR(1*'Daily Workforce'!$P100&gt;=2,FALSE()))))),1,0)</f>
        <v>1</v>
      </c>
      <c r="DH42" s="1" t="n">
        <f aca="false">IF(AND('Daily Workforce'!$N101="Y",'Daily Workforce'!$B101&lt;&gt;"",COUNTIF('Daily Schedule'!$F$5:$F45,'Daily Workforce'!$B101)=0,IF('Daily Schedule'!$A46=45,'Daily Workforce'!$J101="Y",IF(OR('Daily Schedule'!$A46=4,'Daily Schedule'!$A46=8),IF(OR(WEEKDAY('Daily Schedule'!$B$2,2)=1,WEEKDAY('Daily Schedule'!$B$2,2)=4,WEEKDAY('Daily Schedule'!$B$2,2)=5,WEEKDAY('Daily Schedule'!$B$2,2)=7),IFERROR(1*'Daily Workforce'!$K101&gt;=3,FALSE()),IFERROR(1*'Daily Workforce'!$K101&gt;=2,FALSE())),IF(AND('Daily Schedule'!$A46&gt;=46,'Daily Schedule'!$A46&lt;=52),'Daily Workforce'!$M101="Y",IFERROR(1*'Daily Workforce'!$P101&gt;=2,FALSE()))))),1,0)</f>
        <v>1</v>
      </c>
      <c r="DI42" s="1" t="n">
        <f aca="false">IF(AND('Daily Workforce'!$N102="Y",'Daily Workforce'!$B102&lt;&gt;"",COUNTIF('Daily Schedule'!$F$5:$F45,'Daily Workforce'!$B102)=0,IF('Daily Schedule'!$A46=45,'Daily Workforce'!$J102="Y",IF(OR('Daily Schedule'!$A46=4,'Daily Schedule'!$A46=8),IF(OR(WEEKDAY('Daily Schedule'!$B$2,2)=1,WEEKDAY('Daily Schedule'!$B$2,2)=4,WEEKDAY('Daily Schedule'!$B$2,2)=5,WEEKDAY('Daily Schedule'!$B$2,2)=7),IFERROR(1*'Daily Workforce'!$K102&gt;=3,FALSE()),IFERROR(1*'Daily Workforce'!$K102&gt;=2,FALSE())),IF(AND('Daily Schedule'!$A46&gt;=46,'Daily Schedule'!$A46&lt;=52),'Daily Workforce'!$M102="Y",IFERROR(1*'Daily Workforce'!$P102&gt;=2,FALSE()))))),1,0)</f>
        <v>1</v>
      </c>
      <c r="DJ42" s="1" t="n">
        <f aca="false">IF(AND('Daily Workforce'!$N103="Y",'Daily Workforce'!$B103&lt;&gt;"",COUNTIF('Daily Schedule'!$F$5:$F45,'Daily Workforce'!$B103)=0,IF('Daily Schedule'!$A46=45,'Daily Workforce'!$J103="Y",IF(OR('Daily Schedule'!$A46=4,'Daily Schedule'!$A46=8),IF(OR(WEEKDAY('Daily Schedule'!$B$2,2)=1,WEEKDAY('Daily Schedule'!$B$2,2)=4,WEEKDAY('Daily Schedule'!$B$2,2)=5,WEEKDAY('Daily Schedule'!$B$2,2)=7),IFERROR(1*'Daily Workforce'!$K103&gt;=3,FALSE()),IFERROR(1*'Daily Workforce'!$K103&gt;=2,FALSE())),IF(AND('Daily Schedule'!$A46&gt;=46,'Daily Schedule'!$A46&lt;=52),'Daily Workforce'!$M103="Y",IFERROR(1*'Daily Workforce'!$P103&gt;=2,FALSE()))))),1,0)</f>
        <v>1</v>
      </c>
      <c r="DK42" s="1" t="n">
        <f aca="false">IF(AND('Daily Workforce'!$N104="Y",'Daily Workforce'!$B104&lt;&gt;"",COUNTIF('Daily Schedule'!$F$5:$F45,'Daily Workforce'!$B104)=0,IF('Daily Schedule'!$A46=45,'Daily Workforce'!$J104="Y",IF(OR('Daily Schedule'!$A46=4,'Daily Schedule'!$A46=8),IF(OR(WEEKDAY('Daily Schedule'!$B$2,2)=1,WEEKDAY('Daily Schedule'!$B$2,2)=4,WEEKDAY('Daily Schedule'!$B$2,2)=5,WEEKDAY('Daily Schedule'!$B$2,2)=7),IFERROR(1*'Daily Workforce'!$K104&gt;=3,FALSE()),IFERROR(1*'Daily Workforce'!$K104&gt;=2,FALSE())),IF(AND('Daily Schedule'!$A46&gt;=46,'Daily Schedule'!$A46&lt;=52),'Daily Workforce'!$M104="Y",IFERROR(1*'Daily Workforce'!$P104&gt;=2,FALSE()))))),1,0)</f>
        <v>1</v>
      </c>
      <c r="DL42" s="1" t="n">
        <f aca="false">IF(AND('Daily Workforce'!$N105="Y",'Daily Workforce'!$B105&lt;&gt;"",COUNTIF('Daily Schedule'!$F$5:$F45,'Daily Workforce'!$B105)=0,IF('Daily Schedule'!$A46=45,'Daily Workforce'!$J105="Y",IF(OR('Daily Schedule'!$A46=4,'Daily Schedule'!$A46=8),IF(OR(WEEKDAY('Daily Schedule'!$B$2,2)=1,WEEKDAY('Daily Schedule'!$B$2,2)=4,WEEKDAY('Daily Schedule'!$B$2,2)=5,WEEKDAY('Daily Schedule'!$B$2,2)=7),IFERROR(1*'Daily Workforce'!$K105&gt;=3,FALSE()),IFERROR(1*'Daily Workforce'!$K105&gt;=2,FALSE())),IF(AND('Daily Schedule'!$A46&gt;=46,'Daily Schedule'!$A46&lt;=52),'Daily Workforce'!$M105="Y",IFERROR(1*'Daily Workforce'!$P105&gt;=2,FALSE()))))),1,0)</f>
        <v>0</v>
      </c>
      <c r="DM42" s="1" t="n">
        <f aca="false">IF(AND('Daily Workforce'!$N106="Y",'Daily Workforce'!$B106&lt;&gt;"",COUNTIF('Daily Schedule'!$F$5:$F45,'Daily Workforce'!$B106)=0,IF('Daily Schedule'!$A46=45,'Daily Workforce'!$J106="Y",IF(OR('Daily Schedule'!$A46=4,'Daily Schedule'!$A46=8),IF(OR(WEEKDAY('Daily Schedule'!$B$2,2)=1,WEEKDAY('Daily Schedule'!$B$2,2)=4,WEEKDAY('Daily Schedule'!$B$2,2)=5,WEEKDAY('Daily Schedule'!$B$2,2)=7),IFERROR(1*'Daily Workforce'!$K106&gt;=3,FALSE()),IFERROR(1*'Daily Workforce'!$K106&gt;=2,FALSE())),IF(AND('Daily Schedule'!$A46&gt;=46,'Daily Schedule'!$A46&lt;=52),'Daily Workforce'!$M106="Y",IFERROR(1*'Daily Workforce'!$P106&gt;=2,FALSE()))))),1,0)</f>
        <v>1</v>
      </c>
      <c r="DN42" s="1" t="n">
        <f aca="false">IF(AND('Daily Workforce'!$N107="Y",'Daily Workforce'!$B107&lt;&gt;"",COUNTIF('Daily Schedule'!$F$5:$F45,'Daily Workforce'!$B107)=0,IF('Daily Schedule'!$A46=45,'Daily Workforce'!$J107="Y",IF(OR('Daily Schedule'!$A46=4,'Daily Schedule'!$A46=8),IF(OR(WEEKDAY('Daily Schedule'!$B$2,2)=1,WEEKDAY('Daily Schedule'!$B$2,2)=4,WEEKDAY('Daily Schedule'!$B$2,2)=5,WEEKDAY('Daily Schedule'!$B$2,2)=7),IFERROR(1*'Daily Workforce'!$K107&gt;=3,FALSE()),IFERROR(1*'Daily Workforce'!$K107&gt;=2,FALSE())),IF(AND('Daily Schedule'!$A46&gt;=46,'Daily Schedule'!$A46&lt;=52),'Daily Workforce'!$M107="Y",IFERROR(1*'Daily Workforce'!$P107&gt;=2,FALSE()))))),1,0)</f>
        <v>1</v>
      </c>
      <c r="DO42" s="1" t="n">
        <f aca="false">IF(AND('Daily Workforce'!$N108="Y",'Daily Workforce'!$B108&lt;&gt;"",COUNTIF('Daily Schedule'!$F$5:$F45,'Daily Workforce'!$B108)=0,IF('Daily Schedule'!$A46=45,'Daily Workforce'!$J108="Y",IF(OR('Daily Schedule'!$A46=4,'Daily Schedule'!$A46=8),IF(OR(WEEKDAY('Daily Schedule'!$B$2,2)=1,WEEKDAY('Daily Schedule'!$B$2,2)=4,WEEKDAY('Daily Schedule'!$B$2,2)=5,WEEKDAY('Daily Schedule'!$B$2,2)=7),IFERROR(1*'Daily Workforce'!$K108&gt;=3,FALSE()),IFERROR(1*'Daily Workforce'!$K108&gt;=2,FALSE())),IF(AND('Daily Schedule'!$A46&gt;=46,'Daily Schedule'!$A46&lt;=52),'Daily Workforce'!$M108="Y",IFERROR(1*'Daily Workforce'!$P108&gt;=2,FALSE()))))),1,0)</f>
        <v>1</v>
      </c>
      <c r="DP42" s="1" t="n">
        <f aca="false">IF(AND('Daily Workforce'!$N109="Y",'Daily Workforce'!$B109&lt;&gt;"",COUNTIF('Daily Schedule'!$F$5:$F45,'Daily Workforce'!$B109)=0,IF('Daily Schedule'!$A46=45,'Daily Workforce'!$J109="Y",IF(OR('Daily Schedule'!$A46=4,'Daily Schedule'!$A46=8),IF(OR(WEEKDAY('Daily Schedule'!$B$2,2)=1,WEEKDAY('Daily Schedule'!$B$2,2)=4,WEEKDAY('Daily Schedule'!$B$2,2)=5,WEEKDAY('Daily Schedule'!$B$2,2)=7),IFERROR(1*'Daily Workforce'!$K109&gt;=3,FALSE()),IFERROR(1*'Daily Workforce'!$K109&gt;=2,FALSE())),IF(AND('Daily Schedule'!$A46&gt;=46,'Daily Schedule'!$A46&lt;=52),'Daily Workforce'!$M109="Y",IFERROR(1*'Daily Workforce'!$P109&gt;=2,FALSE()))))),1,0)</f>
        <v>1</v>
      </c>
      <c r="DQ42" s="1" t="n">
        <f aca="false">IF(AND('Daily Workforce'!$N110="Y",'Daily Workforce'!$B110&lt;&gt;"",COUNTIF('Daily Schedule'!$F$5:$F45,'Daily Workforce'!$B110)=0,IF('Daily Schedule'!$A46=45,'Daily Workforce'!$J110="Y",IF(OR('Daily Schedule'!$A46=4,'Daily Schedule'!$A46=8),IF(OR(WEEKDAY('Daily Schedule'!$B$2,2)=1,WEEKDAY('Daily Schedule'!$B$2,2)=4,WEEKDAY('Daily Schedule'!$B$2,2)=5,WEEKDAY('Daily Schedule'!$B$2,2)=7),IFERROR(1*'Daily Workforce'!$K110&gt;=3,FALSE()),IFERROR(1*'Daily Workforce'!$K110&gt;=2,FALSE())),IF(AND('Daily Schedule'!$A46&gt;=46,'Daily Schedule'!$A46&lt;=52),'Daily Workforce'!$M110="Y",IFERROR(1*'Daily Workforce'!$P110&gt;=2,FALSE()))))),1,0)</f>
        <v>1</v>
      </c>
      <c r="DR42" s="1" t="n">
        <f aca="false">IF(AND('Daily Workforce'!$N111="Y",'Daily Workforce'!$B111&lt;&gt;"",COUNTIF('Daily Schedule'!$F$5:$F45,'Daily Workforce'!$B111)=0,IF('Daily Schedule'!$A46=45,'Daily Workforce'!$J111="Y",IF(OR('Daily Schedule'!$A46=4,'Daily Schedule'!$A46=8),IF(OR(WEEKDAY('Daily Schedule'!$B$2,2)=1,WEEKDAY('Daily Schedule'!$B$2,2)=4,WEEKDAY('Daily Schedule'!$B$2,2)=5,WEEKDAY('Daily Schedule'!$B$2,2)=7),IFERROR(1*'Daily Workforce'!$K111&gt;=3,FALSE()),IFERROR(1*'Daily Workforce'!$K111&gt;=2,FALSE())),IF(AND('Daily Schedule'!$A46&gt;=46,'Daily Schedule'!$A46&lt;=52),'Daily Workforce'!$M111="Y",IFERROR(1*'Daily Workforce'!$P111&gt;=2,FALSE()))))),1,0)</f>
        <v>1</v>
      </c>
      <c r="DS42" s="1" t="n">
        <f aca="false">IF(AND('Daily Workforce'!$N112="Y",'Daily Workforce'!$B112&lt;&gt;"",COUNTIF('Daily Schedule'!$F$5:$F45,'Daily Workforce'!$B112)=0,IF('Daily Schedule'!$A46=45,'Daily Workforce'!$J112="Y",IF(OR('Daily Schedule'!$A46=4,'Daily Schedule'!$A46=8),IF(OR(WEEKDAY('Daily Schedule'!$B$2,2)=1,WEEKDAY('Daily Schedule'!$B$2,2)=4,WEEKDAY('Daily Schedule'!$B$2,2)=5,WEEKDAY('Daily Schedule'!$B$2,2)=7),IFERROR(1*'Daily Workforce'!$K112&gt;=3,FALSE()),IFERROR(1*'Daily Workforce'!$K112&gt;=2,FALSE())),IF(AND('Daily Schedule'!$A46&gt;=46,'Daily Schedule'!$A46&lt;=52),'Daily Workforce'!$M112="Y",IFERROR(1*'Daily Workforce'!$P112&gt;=2,FALSE()))))),1,0)</f>
        <v>1</v>
      </c>
      <c r="DT42" s="1" t="n">
        <f aca="false">IF(AND('Daily Workforce'!$N113="Y",'Daily Workforce'!$B113&lt;&gt;"",COUNTIF('Daily Schedule'!$F$5:$F45,'Daily Workforce'!$B113)=0,IF('Daily Schedule'!$A46=45,'Daily Workforce'!$J113="Y",IF(OR('Daily Schedule'!$A46=4,'Daily Schedule'!$A46=8),IF(OR(WEEKDAY('Daily Schedule'!$B$2,2)=1,WEEKDAY('Daily Schedule'!$B$2,2)=4,WEEKDAY('Daily Schedule'!$B$2,2)=5,WEEKDAY('Daily Schedule'!$B$2,2)=7),IFERROR(1*'Daily Workforce'!$K113&gt;=3,FALSE()),IFERROR(1*'Daily Workforce'!$K113&gt;=2,FALSE())),IF(AND('Daily Schedule'!$A46&gt;=46,'Daily Schedule'!$A46&lt;=52),'Daily Workforce'!$M113="Y",IFERROR(1*'Daily Workforce'!$P113&gt;=2,FALSE()))))),1,0)</f>
        <v>1</v>
      </c>
      <c r="DU42" s="1" t="n">
        <f aca="false">IF(AND('Daily Workforce'!$N114="Y",'Daily Workforce'!$B114&lt;&gt;"",COUNTIF('Daily Schedule'!$F$5:$F45,'Daily Workforce'!$B114)=0,IF('Daily Schedule'!$A46=45,'Daily Workforce'!$J114="Y",IF(OR('Daily Schedule'!$A46=4,'Daily Schedule'!$A46=8),IF(OR(WEEKDAY('Daily Schedule'!$B$2,2)=1,WEEKDAY('Daily Schedule'!$B$2,2)=4,WEEKDAY('Daily Schedule'!$B$2,2)=5,WEEKDAY('Daily Schedule'!$B$2,2)=7),IFERROR(1*'Daily Workforce'!$K114&gt;=3,FALSE()),IFERROR(1*'Daily Workforce'!$K114&gt;=2,FALSE())),IF(AND('Daily Schedule'!$A46&gt;=46,'Daily Schedule'!$A46&lt;=52),'Daily Workforce'!$M114="Y",IFERROR(1*'Daily Workforce'!$P114&gt;=2,FALSE()))))),1,0)</f>
        <v>1</v>
      </c>
      <c r="DV42" s="1" t="n">
        <f aca="false">IF(AND('Daily Workforce'!$N115="Y",'Daily Workforce'!$B115&lt;&gt;"",COUNTIF('Daily Schedule'!$F$5:$F45,'Daily Workforce'!$B115)=0,IF('Daily Schedule'!$A46=45,'Daily Workforce'!$J115="Y",IF(OR('Daily Schedule'!$A46=4,'Daily Schedule'!$A46=8),IF(OR(WEEKDAY('Daily Schedule'!$B$2,2)=1,WEEKDAY('Daily Schedule'!$B$2,2)=4,WEEKDAY('Daily Schedule'!$B$2,2)=5,WEEKDAY('Daily Schedule'!$B$2,2)=7),IFERROR(1*'Daily Workforce'!$K115&gt;=3,FALSE()),IFERROR(1*'Daily Workforce'!$K115&gt;=2,FALSE())),IF(AND('Daily Schedule'!$A46&gt;=46,'Daily Schedule'!$A46&lt;=52),'Daily Workforce'!$M115="Y",IFERROR(1*'Daily Workforce'!$P115&gt;=2,FALSE()))))),1,0)</f>
        <v>1</v>
      </c>
      <c r="DW42" s="1" t="n">
        <f aca="false">IF(AND('Daily Workforce'!$N116="Y",'Daily Workforce'!$B116&lt;&gt;"",COUNTIF('Daily Schedule'!$F$5:$F45,'Daily Workforce'!$B116)=0,IF('Daily Schedule'!$A46=45,'Daily Workforce'!$J116="Y",IF(OR('Daily Schedule'!$A46=4,'Daily Schedule'!$A46=8),IF(OR(WEEKDAY('Daily Schedule'!$B$2,2)=1,WEEKDAY('Daily Schedule'!$B$2,2)=4,WEEKDAY('Daily Schedule'!$B$2,2)=5,WEEKDAY('Daily Schedule'!$B$2,2)=7),IFERROR(1*'Daily Workforce'!$K116&gt;=3,FALSE()),IFERROR(1*'Daily Workforce'!$K116&gt;=2,FALSE())),IF(AND('Daily Schedule'!$A46&gt;=46,'Daily Schedule'!$A46&lt;=52),'Daily Workforce'!$M116="Y",IFERROR(1*'Daily Workforce'!$P116&gt;=2,FALSE()))))),1,0)</f>
        <v>1</v>
      </c>
      <c r="DX42" s="1" t="n">
        <f aca="false">IF(AND('Daily Workforce'!$N117="Y",'Daily Workforce'!$B117&lt;&gt;"",COUNTIF('Daily Schedule'!$F$5:$F45,'Daily Workforce'!$B117)=0,IF('Daily Schedule'!$A46=45,'Daily Workforce'!$J117="Y",IF(OR('Daily Schedule'!$A46=4,'Daily Schedule'!$A46=8),IF(OR(WEEKDAY('Daily Schedule'!$B$2,2)=1,WEEKDAY('Daily Schedule'!$B$2,2)=4,WEEKDAY('Daily Schedule'!$B$2,2)=5,WEEKDAY('Daily Schedule'!$B$2,2)=7),IFERROR(1*'Daily Workforce'!$K117&gt;=3,FALSE()),IFERROR(1*'Daily Workforce'!$K117&gt;=2,FALSE())),IF(AND('Daily Schedule'!$A46&gt;=46,'Daily Schedule'!$A46&lt;=52),'Daily Workforce'!$M117="Y",IFERROR(1*'Daily Workforce'!$P117&gt;=2,FALSE()))))),1,0)</f>
        <v>1</v>
      </c>
      <c r="DY42" s="1" t="n">
        <f aca="false">IF(AND('Daily Workforce'!$N118="Y",'Daily Workforce'!$B118&lt;&gt;"",COUNTIF('Daily Schedule'!$F$5:$F45,'Daily Workforce'!$B118)=0,IF('Daily Schedule'!$A46=45,'Daily Workforce'!$J118="Y",IF(OR('Daily Schedule'!$A46=4,'Daily Schedule'!$A46=8),IF(OR(WEEKDAY('Daily Schedule'!$B$2,2)=1,WEEKDAY('Daily Schedule'!$B$2,2)=4,WEEKDAY('Daily Schedule'!$B$2,2)=5,WEEKDAY('Daily Schedule'!$B$2,2)=7),IFERROR(1*'Daily Workforce'!$K118&gt;=3,FALSE()),IFERROR(1*'Daily Workforce'!$K118&gt;=2,FALSE())),IF(AND('Daily Schedule'!$A46&gt;=46,'Daily Schedule'!$A46&lt;=52),'Daily Workforce'!$M118="Y",IFERROR(1*'Daily Workforce'!$P118&gt;=2,FALSE()))))),1,0)</f>
        <v>0</v>
      </c>
      <c r="DZ42" s="1" t="n">
        <f aca="false">IF(AND('Daily Workforce'!$N119="Y",'Daily Workforce'!$B119&lt;&gt;"",COUNTIF('Daily Schedule'!$F$5:$F45,'Daily Workforce'!$B119)=0,IF('Daily Schedule'!$A46=45,'Daily Workforce'!$J119="Y",IF(OR('Daily Schedule'!$A46=4,'Daily Schedule'!$A46=8),IF(OR(WEEKDAY('Daily Schedule'!$B$2,2)=1,WEEKDAY('Daily Schedule'!$B$2,2)=4,WEEKDAY('Daily Schedule'!$B$2,2)=5,WEEKDAY('Daily Schedule'!$B$2,2)=7),IFERROR(1*'Daily Workforce'!$K119&gt;=3,FALSE()),IFERROR(1*'Daily Workforce'!$K119&gt;=2,FALSE())),IF(AND('Daily Schedule'!$A46&gt;=46,'Daily Schedule'!$A46&lt;=52),'Daily Workforce'!$M119="Y",IFERROR(1*'Daily Workforce'!$P119&gt;=2,FALSE()))))),1,0)</f>
        <v>0</v>
      </c>
      <c r="EA42" s="1" t="n">
        <f aca="false">IF(AND('Daily Workforce'!$N120="Y",'Daily Workforce'!$B120&lt;&gt;"",COUNTIF('Daily Schedule'!$F$5:$F45,'Daily Workforce'!$B120)=0,IF('Daily Schedule'!$A46=45,'Daily Workforce'!$J120="Y",IF(OR('Daily Schedule'!$A46=4,'Daily Schedule'!$A46=8),IF(OR(WEEKDAY('Daily Schedule'!$B$2,2)=1,WEEKDAY('Daily Schedule'!$B$2,2)=4,WEEKDAY('Daily Schedule'!$B$2,2)=5,WEEKDAY('Daily Schedule'!$B$2,2)=7),IFERROR(1*'Daily Workforce'!$K120&gt;=3,FALSE()),IFERROR(1*'Daily Workforce'!$K120&gt;=2,FALSE())),IF(AND('Daily Schedule'!$A46&gt;=46,'Daily Schedule'!$A46&lt;=52),'Daily Workforce'!$M120="Y",IFERROR(1*'Daily Workforce'!$P120&gt;=2,FALSE()))))),1,0)</f>
        <v>0</v>
      </c>
      <c r="EB42" s="1" t="n">
        <f aca="false">IF(AND('Daily Workforce'!$N121="Y",'Daily Workforce'!$B121&lt;&gt;"",COUNTIF('Daily Schedule'!$F$5:$F45,'Daily Workforce'!$B121)=0,IF('Daily Schedule'!$A46=45,'Daily Workforce'!$J121="Y",IF(OR('Daily Schedule'!$A46=4,'Daily Schedule'!$A46=8),IF(OR(WEEKDAY('Daily Schedule'!$B$2,2)=1,WEEKDAY('Daily Schedule'!$B$2,2)=4,WEEKDAY('Daily Schedule'!$B$2,2)=5,WEEKDAY('Daily Schedule'!$B$2,2)=7),IFERROR(1*'Daily Workforce'!$K121&gt;=3,FALSE()),IFERROR(1*'Daily Workforce'!$K121&gt;=2,FALSE())),IF(AND('Daily Schedule'!$A46&gt;=46,'Daily Schedule'!$A46&lt;=52),'Daily Workforce'!$M121="Y",IFERROR(1*'Daily Workforce'!$P121&gt;=2,FALSE()))))),1,0)</f>
        <v>0</v>
      </c>
      <c r="EC42" s="1" t="n">
        <f aca="false">IF(AND('Daily Workforce'!$N122="Y",'Daily Workforce'!$B122&lt;&gt;"",COUNTIF('Daily Schedule'!$F$5:$F45,'Daily Workforce'!$B122)=0,IF('Daily Schedule'!$A46=45,'Daily Workforce'!$J122="Y",IF(OR('Daily Schedule'!$A46=4,'Daily Schedule'!$A46=8),IF(OR(WEEKDAY('Daily Schedule'!$B$2,2)=1,WEEKDAY('Daily Schedule'!$B$2,2)=4,WEEKDAY('Daily Schedule'!$B$2,2)=5,WEEKDAY('Daily Schedule'!$B$2,2)=7),IFERROR(1*'Daily Workforce'!$K122&gt;=3,FALSE()),IFERROR(1*'Daily Workforce'!$K122&gt;=2,FALSE())),IF(AND('Daily Schedule'!$A46&gt;=46,'Daily Schedule'!$A46&lt;=52),'Daily Workforce'!$M122="Y",IFERROR(1*'Daily Workforce'!$P122&gt;=2,FALSE()))))),1,0)</f>
        <v>0</v>
      </c>
      <c r="ED42" s="1" t="n">
        <f aca="false">IF(AND('Daily Workforce'!$N123="Y",'Daily Workforce'!$B123&lt;&gt;"",COUNTIF('Daily Schedule'!$F$5:$F45,'Daily Workforce'!$B123)=0,IF('Daily Schedule'!$A46=45,'Daily Workforce'!$J123="Y",IF(OR('Daily Schedule'!$A46=4,'Daily Schedule'!$A46=8),IF(OR(WEEKDAY('Daily Schedule'!$B$2,2)=1,WEEKDAY('Daily Schedule'!$B$2,2)=4,WEEKDAY('Daily Schedule'!$B$2,2)=5,WEEKDAY('Daily Schedule'!$B$2,2)=7),IFERROR(1*'Daily Workforce'!$K123&gt;=3,FALSE()),IFERROR(1*'Daily Workforce'!$K123&gt;=2,FALSE())),IF(AND('Daily Schedule'!$A46&gt;=46,'Daily Schedule'!$A46&lt;=52),'Daily Workforce'!$M123="Y",IFERROR(1*'Daily Workforce'!$P123&gt;=2,FALSE()))))),1,0)</f>
        <v>0</v>
      </c>
      <c r="EE42" s="1" t="n">
        <f aca="false">IF(AND('Daily Workforce'!$N124="Y",'Daily Workforce'!$B124&lt;&gt;"",COUNTIF('Daily Schedule'!$F$5:$F45,'Daily Workforce'!$B124)=0,IF('Daily Schedule'!$A46=45,'Daily Workforce'!$J124="Y",IF(OR('Daily Schedule'!$A46=4,'Daily Schedule'!$A46=8),IF(OR(WEEKDAY('Daily Schedule'!$B$2,2)=1,WEEKDAY('Daily Schedule'!$B$2,2)=4,WEEKDAY('Daily Schedule'!$B$2,2)=5,WEEKDAY('Daily Schedule'!$B$2,2)=7),IFERROR(1*'Daily Workforce'!$K124&gt;=3,FALSE()),IFERROR(1*'Daily Workforce'!$K124&gt;=2,FALSE())),IF(AND('Daily Schedule'!$A46&gt;=46,'Daily Schedule'!$A46&lt;=52),'Daily Workforce'!$M124="Y",IFERROR(1*'Daily Workforce'!$P124&gt;=2,FALSE()))))),1,0)</f>
        <v>0</v>
      </c>
      <c r="EF42" s="1" t="n">
        <f aca="false">IF(AND('Daily Workforce'!$N125="Y",'Daily Workforce'!$B125&lt;&gt;"",COUNTIF('Daily Schedule'!$F$5:$F45,'Daily Workforce'!$B125)=0,IF('Daily Schedule'!$A46=45,'Daily Workforce'!$J125="Y",IF(OR('Daily Schedule'!$A46=4,'Daily Schedule'!$A46=8),IF(OR(WEEKDAY('Daily Schedule'!$B$2,2)=1,WEEKDAY('Daily Schedule'!$B$2,2)=4,WEEKDAY('Daily Schedule'!$B$2,2)=5,WEEKDAY('Daily Schedule'!$B$2,2)=7),IFERROR(1*'Daily Workforce'!$K125&gt;=3,FALSE()),IFERROR(1*'Daily Workforce'!$K125&gt;=2,FALSE())),IF(AND('Daily Schedule'!$A46&gt;=46,'Daily Schedule'!$A46&lt;=52),'Daily Workforce'!$M125="Y",IFERROR(1*'Daily Workforce'!$P125&gt;=2,FALSE()))))),1,0)</f>
        <v>0</v>
      </c>
      <c r="EG42" s="1" t="n">
        <f aca="false">IF(AND('Daily Workforce'!$N126="Y",'Daily Workforce'!$B126&lt;&gt;"",COUNTIF('Daily Schedule'!$F$5:$F45,'Daily Workforce'!$B126)=0,IF('Daily Schedule'!$A46=45,'Daily Workforce'!$J126="Y",IF(OR('Daily Schedule'!$A46=4,'Daily Schedule'!$A46=8),IF(OR(WEEKDAY('Daily Schedule'!$B$2,2)=1,WEEKDAY('Daily Schedule'!$B$2,2)=4,WEEKDAY('Daily Schedule'!$B$2,2)=5,WEEKDAY('Daily Schedule'!$B$2,2)=7),IFERROR(1*'Daily Workforce'!$K126&gt;=3,FALSE()),IFERROR(1*'Daily Workforce'!$K126&gt;=2,FALSE())),IF(AND('Daily Schedule'!$A46&gt;=46,'Daily Schedule'!$A46&lt;=52),'Daily Workforce'!$M126="Y",IFERROR(1*'Daily Workforce'!$P126&gt;=2,FALSE()))))),1,0)</f>
        <v>0</v>
      </c>
      <c r="EH42" s="1" t="n">
        <f aca="false">IF(AND('Daily Workforce'!$N127="Y",'Daily Workforce'!$B127&lt;&gt;"",COUNTIF('Daily Schedule'!$F$5:$F45,'Daily Workforce'!$B127)=0,IF('Daily Schedule'!$A46=45,'Daily Workforce'!$J127="Y",IF(OR('Daily Schedule'!$A46=4,'Daily Schedule'!$A46=8),IF(OR(WEEKDAY('Daily Schedule'!$B$2,2)=1,WEEKDAY('Daily Schedule'!$B$2,2)=4,WEEKDAY('Daily Schedule'!$B$2,2)=5,WEEKDAY('Daily Schedule'!$B$2,2)=7),IFERROR(1*'Daily Workforce'!$K127&gt;=3,FALSE()),IFERROR(1*'Daily Workforce'!$K127&gt;=2,FALSE())),IF(AND('Daily Schedule'!$A46&gt;=46,'Daily Schedule'!$A46&lt;=52),'Daily Workforce'!$M127="Y",IFERROR(1*'Daily Workforce'!$P127&gt;=2,FALSE()))))),1,0)</f>
        <v>0</v>
      </c>
      <c r="EI42" s="1" t="n">
        <f aca="false">IF(AND('Daily Workforce'!$N128="Y",'Daily Workforce'!$B128&lt;&gt;"",COUNTIF('Daily Schedule'!$F$5:$F45,'Daily Workforce'!$B128)=0,IF('Daily Schedule'!$A46=45,'Daily Workforce'!$J128="Y",IF(OR('Daily Schedule'!$A46=4,'Daily Schedule'!$A46=8),IF(OR(WEEKDAY('Daily Schedule'!$B$2,2)=1,WEEKDAY('Daily Schedule'!$B$2,2)=4,WEEKDAY('Daily Schedule'!$B$2,2)=5,WEEKDAY('Daily Schedule'!$B$2,2)=7),IFERROR(1*'Daily Workforce'!$K128&gt;=3,FALSE()),IFERROR(1*'Daily Workforce'!$K128&gt;=2,FALSE())),IF(AND('Daily Schedule'!$A46&gt;=46,'Daily Schedule'!$A46&lt;=52),'Daily Workforce'!$M128="Y",IFERROR(1*'Daily Workforce'!$P128&gt;=2,FALSE()))))),1,0)</f>
        <v>0</v>
      </c>
      <c r="EJ42" s="1" t="n">
        <f aca="false">IF(AND('Daily Workforce'!$N129="Y",'Daily Workforce'!$B129&lt;&gt;"",COUNTIF('Daily Schedule'!$F$5:$F45,'Daily Workforce'!$B129)=0,IF('Daily Schedule'!$A46=45,'Daily Workforce'!$J129="Y",IF(OR('Daily Schedule'!$A46=4,'Daily Schedule'!$A46=8),IF(OR(WEEKDAY('Daily Schedule'!$B$2,2)=1,WEEKDAY('Daily Schedule'!$B$2,2)=4,WEEKDAY('Daily Schedule'!$B$2,2)=5,WEEKDAY('Daily Schedule'!$B$2,2)=7),IFERROR(1*'Daily Workforce'!$K129&gt;=3,FALSE()),IFERROR(1*'Daily Workforce'!$K129&gt;=2,FALSE())),IF(AND('Daily Schedule'!$A46&gt;=46,'Daily Schedule'!$A46&lt;=52),'Daily Workforce'!$M129="Y",IFERROR(1*'Daily Workforce'!$P129&gt;=2,FALSE()))))),1,0)</f>
        <v>0</v>
      </c>
      <c r="EK42" s="1" t="n">
        <f aca="false">IF(AND('Daily Workforce'!$N130="Y",'Daily Workforce'!$B130&lt;&gt;"",COUNTIF('Daily Schedule'!$F$5:$F45,'Daily Workforce'!$B130)=0,IF('Daily Schedule'!$A46=45,'Daily Workforce'!$J130="Y",IF(OR('Daily Schedule'!$A46=4,'Daily Schedule'!$A46=8),IF(OR(WEEKDAY('Daily Schedule'!$B$2,2)=1,WEEKDAY('Daily Schedule'!$B$2,2)=4,WEEKDAY('Daily Schedule'!$B$2,2)=5,WEEKDAY('Daily Schedule'!$B$2,2)=7),IFERROR(1*'Daily Workforce'!$K130&gt;=3,FALSE()),IFERROR(1*'Daily Workforce'!$K130&gt;=2,FALSE())),IF(AND('Daily Schedule'!$A46&gt;=46,'Daily Schedule'!$A46&lt;=52),'Daily Workforce'!$M130="Y",IFERROR(1*'Daily Workforce'!$P130&gt;=2,FALSE()))))),1,0)</f>
        <v>0</v>
      </c>
      <c r="EL42" s="1" t="n">
        <f aca="false">IF(AND('Daily Workforce'!$N131="Y",'Daily Workforce'!$B131&lt;&gt;"",COUNTIF('Daily Schedule'!$F$5:$F45,'Daily Workforce'!$B131)=0,IF('Daily Schedule'!$A46=45,'Daily Workforce'!$J131="Y",IF(OR('Daily Schedule'!$A46=4,'Daily Schedule'!$A46=8),IF(OR(WEEKDAY('Daily Schedule'!$B$2,2)=1,WEEKDAY('Daily Schedule'!$B$2,2)=4,WEEKDAY('Daily Schedule'!$B$2,2)=5,WEEKDAY('Daily Schedule'!$B$2,2)=7),IFERROR(1*'Daily Workforce'!$K131&gt;=3,FALSE()),IFERROR(1*'Daily Workforce'!$K131&gt;=2,FALSE())),IF(AND('Daily Schedule'!$A46&gt;=46,'Daily Schedule'!$A46&lt;=52),'Daily Workforce'!$M131="Y",IFERROR(1*'Daily Workforce'!$P131&gt;=2,FALSE()))))),1,0)</f>
        <v>0</v>
      </c>
      <c r="EM42" s="1" t="n">
        <f aca="false">IF(AND('Daily Workforce'!$N132="Y",'Daily Workforce'!$B132&lt;&gt;"",COUNTIF('Daily Schedule'!$F$5:$F45,'Daily Workforce'!$B132)=0,IF('Daily Schedule'!$A46=45,'Daily Workforce'!$J132="Y",IF(OR('Daily Schedule'!$A46=4,'Daily Schedule'!$A46=8),IF(OR(WEEKDAY('Daily Schedule'!$B$2,2)=1,WEEKDAY('Daily Schedule'!$B$2,2)=4,WEEKDAY('Daily Schedule'!$B$2,2)=5,WEEKDAY('Daily Schedule'!$B$2,2)=7),IFERROR(1*'Daily Workforce'!$K132&gt;=3,FALSE()),IFERROR(1*'Daily Workforce'!$K132&gt;=2,FALSE())),IF(AND('Daily Schedule'!$A46&gt;=46,'Daily Schedule'!$A46&lt;=52),'Daily Workforce'!$M132="Y",IFERROR(1*'Daily Workforce'!$P132&gt;=2,FALSE()))))),1,0)</f>
        <v>0</v>
      </c>
      <c r="EN42" s="1" t="n">
        <f aca="false">IF(AND('Daily Workforce'!$N133="Y",'Daily Workforce'!$B133&lt;&gt;"",COUNTIF('Daily Schedule'!$F$5:$F45,'Daily Workforce'!$B133)=0,IF('Daily Schedule'!$A46=45,'Daily Workforce'!$J133="Y",IF(OR('Daily Schedule'!$A46=4,'Daily Schedule'!$A46=8),IF(OR(WEEKDAY('Daily Schedule'!$B$2,2)=1,WEEKDAY('Daily Schedule'!$B$2,2)=4,WEEKDAY('Daily Schedule'!$B$2,2)=5,WEEKDAY('Daily Schedule'!$B$2,2)=7),IFERROR(1*'Daily Workforce'!$K133&gt;=3,FALSE()),IFERROR(1*'Daily Workforce'!$K133&gt;=2,FALSE())),IF(AND('Daily Schedule'!$A46&gt;=46,'Daily Schedule'!$A46&lt;=52),'Daily Workforce'!$M133="Y",IFERROR(1*'Daily Workforce'!$P133&gt;=2,FALSE()))))),1,0)</f>
        <v>0</v>
      </c>
      <c r="EO42" s="1" t="n">
        <f aca="false">IF(AND('Daily Workforce'!$N134="Y",'Daily Workforce'!$B134&lt;&gt;"",COUNTIF('Daily Schedule'!$F$5:$F45,'Daily Workforce'!$B134)=0,IF('Daily Schedule'!$A46=45,'Daily Workforce'!$J134="Y",IF(OR('Daily Schedule'!$A46=4,'Daily Schedule'!$A46=8),IF(OR(WEEKDAY('Daily Schedule'!$B$2,2)=1,WEEKDAY('Daily Schedule'!$B$2,2)=4,WEEKDAY('Daily Schedule'!$B$2,2)=5,WEEKDAY('Daily Schedule'!$B$2,2)=7),IFERROR(1*'Daily Workforce'!$K134&gt;=3,FALSE()),IFERROR(1*'Daily Workforce'!$K134&gt;=2,FALSE())),IF(AND('Daily Schedule'!$A46&gt;=46,'Daily Schedule'!$A46&lt;=52),'Daily Workforce'!$M134="Y",IFERROR(1*'Daily Workforce'!$P134&gt;=2,FALSE()))))),1,0)</f>
        <v>0</v>
      </c>
      <c r="EP42" s="1" t="n">
        <f aca="false">IF(AND('Daily Workforce'!$N135="Y",'Daily Workforce'!$B135&lt;&gt;"",COUNTIF('Daily Schedule'!$F$5:$F45,'Daily Workforce'!$B135)=0,IF('Daily Schedule'!$A46=45,'Daily Workforce'!$J135="Y",IF(OR('Daily Schedule'!$A46=4,'Daily Schedule'!$A46=8),IF(OR(WEEKDAY('Daily Schedule'!$B$2,2)=1,WEEKDAY('Daily Schedule'!$B$2,2)=4,WEEKDAY('Daily Schedule'!$B$2,2)=5,WEEKDAY('Daily Schedule'!$B$2,2)=7),IFERROR(1*'Daily Workforce'!$K135&gt;=3,FALSE()),IFERROR(1*'Daily Workforce'!$K135&gt;=2,FALSE())),IF(AND('Daily Schedule'!$A46&gt;=46,'Daily Schedule'!$A46&lt;=52),'Daily Workforce'!$M135="Y",IFERROR(1*'Daily Workforce'!$P135&gt;=2,FALSE()))))),1,0)</f>
        <v>0</v>
      </c>
      <c r="EQ42" s="1" t="n">
        <f aca="false">IF(AND('Daily Workforce'!$N136="Y",'Daily Workforce'!$B136&lt;&gt;"",COUNTIF('Daily Schedule'!$F$5:$F45,'Daily Workforce'!$B136)=0,IF('Daily Schedule'!$A46=45,'Daily Workforce'!$J136="Y",IF(OR('Daily Schedule'!$A46=4,'Daily Schedule'!$A46=8),IF(OR(WEEKDAY('Daily Schedule'!$B$2,2)=1,WEEKDAY('Daily Schedule'!$B$2,2)=4,WEEKDAY('Daily Schedule'!$B$2,2)=5,WEEKDAY('Daily Schedule'!$B$2,2)=7),IFERROR(1*'Daily Workforce'!$K136&gt;=3,FALSE()),IFERROR(1*'Daily Workforce'!$K136&gt;=2,FALSE())),IF(AND('Daily Schedule'!$A46&gt;=46,'Daily Schedule'!$A46&lt;=52),'Daily Workforce'!$M136="Y",IFERROR(1*'Daily Workforce'!$P136&gt;=2,FALSE()))))),1,0)</f>
        <v>0</v>
      </c>
      <c r="ER42" s="1" t="n">
        <f aca="false">IF(AND('Daily Workforce'!$N137="Y",'Daily Workforce'!$B137&lt;&gt;"",COUNTIF('Daily Schedule'!$F$5:$F45,'Daily Workforce'!$B137)=0,IF('Daily Schedule'!$A46=45,'Daily Workforce'!$J137="Y",IF(OR('Daily Schedule'!$A46=4,'Daily Schedule'!$A46=8),IF(OR(WEEKDAY('Daily Schedule'!$B$2,2)=1,WEEKDAY('Daily Schedule'!$B$2,2)=4,WEEKDAY('Daily Schedule'!$B$2,2)=5,WEEKDAY('Daily Schedule'!$B$2,2)=7),IFERROR(1*'Daily Workforce'!$K137&gt;=3,FALSE()),IFERROR(1*'Daily Workforce'!$K137&gt;=2,FALSE())),IF(AND('Daily Schedule'!$A46&gt;=46,'Daily Schedule'!$A46&lt;=52),'Daily Workforce'!$M137="Y",IFERROR(1*'Daily Workforce'!$P137&gt;=2,FALSE()))))),1,0)</f>
        <v>0</v>
      </c>
      <c r="ES42" s="1" t="n">
        <f aca="false">IF(AND('Daily Workforce'!$N138="Y",'Daily Workforce'!$B138&lt;&gt;"",COUNTIF('Daily Schedule'!$F$5:$F45,'Daily Workforce'!$B138)=0,IF('Daily Schedule'!$A46=45,'Daily Workforce'!$J138="Y",IF(OR('Daily Schedule'!$A46=4,'Daily Schedule'!$A46=8),IF(OR(WEEKDAY('Daily Schedule'!$B$2,2)=1,WEEKDAY('Daily Schedule'!$B$2,2)=4,WEEKDAY('Daily Schedule'!$B$2,2)=5,WEEKDAY('Daily Schedule'!$B$2,2)=7),IFERROR(1*'Daily Workforce'!$K138&gt;=3,FALSE()),IFERROR(1*'Daily Workforce'!$K138&gt;=2,FALSE())),IF(AND('Daily Schedule'!$A46&gt;=46,'Daily Schedule'!$A46&lt;=52),'Daily Workforce'!$M138="Y",IFERROR(1*'Daily Workforce'!$P138&gt;=2,FALSE()))))),1,0)</f>
        <v>0</v>
      </c>
      <c r="ET42" s="1" t="n">
        <f aca="false">IF(AND('Daily Workforce'!$N139="Y",'Daily Workforce'!$B139&lt;&gt;"",COUNTIF('Daily Schedule'!$F$5:$F45,'Daily Workforce'!$B139)=0,IF('Daily Schedule'!$A46=45,'Daily Workforce'!$J139="Y",IF(OR('Daily Schedule'!$A46=4,'Daily Schedule'!$A46=8),IF(OR(WEEKDAY('Daily Schedule'!$B$2,2)=1,WEEKDAY('Daily Schedule'!$B$2,2)=4,WEEKDAY('Daily Schedule'!$B$2,2)=5,WEEKDAY('Daily Schedule'!$B$2,2)=7),IFERROR(1*'Daily Workforce'!$K139&gt;=3,FALSE()),IFERROR(1*'Daily Workforce'!$K139&gt;=2,FALSE())),IF(AND('Daily Schedule'!$A46&gt;=46,'Daily Schedule'!$A46&lt;=52),'Daily Workforce'!$M139="Y",IFERROR(1*'Daily Workforce'!$P139&gt;=2,FALSE()))))),1,0)</f>
        <v>0</v>
      </c>
      <c r="EU42" s="1" t="n">
        <f aca="false">IF(AND('Daily Workforce'!$N140="Y",'Daily Workforce'!$B140&lt;&gt;"",COUNTIF('Daily Schedule'!$F$5:$F45,'Daily Workforce'!$B140)=0,IF('Daily Schedule'!$A46=45,'Daily Workforce'!$J140="Y",IF(OR('Daily Schedule'!$A46=4,'Daily Schedule'!$A46=8),IF(OR(WEEKDAY('Daily Schedule'!$B$2,2)=1,WEEKDAY('Daily Schedule'!$B$2,2)=4,WEEKDAY('Daily Schedule'!$B$2,2)=5,WEEKDAY('Daily Schedule'!$B$2,2)=7),IFERROR(1*'Daily Workforce'!$K140&gt;=3,FALSE()),IFERROR(1*'Daily Workforce'!$K140&gt;=2,FALSE())),IF(AND('Daily Schedule'!$A46&gt;=46,'Daily Schedule'!$A46&lt;=52),'Daily Workforce'!$M140="Y",IFERROR(1*'Daily Workforce'!$P140&gt;=2,FALSE()))))),1,0)</f>
        <v>0</v>
      </c>
      <c r="EV42" s="1" t="n">
        <f aca="false">IF(AND('Daily Workforce'!$N141="Y",'Daily Workforce'!$B141&lt;&gt;"",COUNTIF('Daily Schedule'!$F$5:$F45,'Daily Workforce'!$B141)=0,IF('Daily Schedule'!$A46=45,'Daily Workforce'!$J141="Y",IF(OR('Daily Schedule'!$A46=4,'Daily Schedule'!$A46=8),IF(OR(WEEKDAY('Daily Schedule'!$B$2,2)=1,WEEKDAY('Daily Schedule'!$B$2,2)=4,WEEKDAY('Daily Schedule'!$B$2,2)=5,WEEKDAY('Daily Schedule'!$B$2,2)=7),IFERROR(1*'Daily Workforce'!$K141&gt;=3,FALSE()),IFERROR(1*'Daily Workforce'!$K141&gt;=2,FALSE())),IF(AND('Daily Schedule'!$A46&gt;=46,'Daily Schedule'!$A46&lt;=52),'Daily Workforce'!$M141="Y",IFERROR(1*'Daily Workforce'!$P141&gt;=2,FALSE()))))),1,0)</f>
        <v>0</v>
      </c>
      <c r="EW42" s="1" t="n">
        <f aca="false">IF(AND('Daily Workforce'!$N142="Y",'Daily Workforce'!$B142&lt;&gt;"",COUNTIF('Daily Schedule'!$F$5:$F45,'Daily Workforce'!$B142)=0,IF('Daily Schedule'!$A46=45,'Daily Workforce'!$J142="Y",IF(OR('Daily Schedule'!$A46=4,'Daily Schedule'!$A46=8),IF(OR(WEEKDAY('Daily Schedule'!$B$2,2)=1,WEEKDAY('Daily Schedule'!$B$2,2)=4,WEEKDAY('Daily Schedule'!$B$2,2)=5,WEEKDAY('Daily Schedule'!$B$2,2)=7),IFERROR(1*'Daily Workforce'!$K142&gt;=3,FALSE()),IFERROR(1*'Daily Workforce'!$K142&gt;=2,FALSE())),IF(AND('Daily Schedule'!$A46&gt;=46,'Daily Schedule'!$A46&lt;=52),'Daily Workforce'!$M142="Y",IFERROR(1*'Daily Workforce'!$P142&gt;=2,FALSE()))))),1,0)</f>
        <v>0</v>
      </c>
      <c r="EX42" s="1" t="n">
        <f aca="false">IF(AND('Daily Workforce'!$N143="Y",'Daily Workforce'!$B143&lt;&gt;"",COUNTIF('Daily Schedule'!$F$5:$F45,'Daily Workforce'!$B143)=0,IF('Daily Schedule'!$A46=45,'Daily Workforce'!$J143="Y",IF(OR('Daily Schedule'!$A46=4,'Daily Schedule'!$A46=8),IF(OR(WEEKDAY('Daily Schedule'!$B$2,2)=1,WEEKDAY('Daily Schedule'!$B$2,2)=4,WEEKDAY('Daily Schedule'!$B$2,2)=5,WEEKDAY('Daily Schedule'!$B$2,2)=7),IFERROR(1*'Daily Workforce'!$K143&gt;=3,FALSE()),IFERROR(1*'Daily Workforce'!$K143&gt;=2,FALSE())),IF(AND('Daily Schedule'!$A46&gt;=46,'Daily Schedule'!$A46&lt;=52),'Daily Workforce'!$M143="Y",IFERROR(1*'Daily Workforce'!$P143&gt;=2,FALSE()))))),1,0)</f>
        <v>0</v>
      </c>
      <c r="EY42" s="1" t="n">
        <f aca="false">IF(AND('Daily Workforce'!$N144="Y",'Daily Workforce'!$B144&lt;&gt;"",COUNTIF('Daily Schedule'!$F$5:$F45,'Daily Workforce'!$B144)=0,IF('Daily Schedule'!$A46=45,'Daily Workforce'!$J144="Y",IF(OR('Daily Schedule'!$A46=4,'Daily Schedule'!$A46=8),IF(OR(WEEKDAY('Daily Schedule'!$B$2,2)=1,WEEKDAY('Daily Schedule'!$B$2,2)=4,WEEKDAY('Daily Schedule'!$B$2,2)=5,WEEKDAY('Daily Schedule'!$B$2,2)=7),IFERROR(1*'Daily Workforce'!$K144&gt;=3,FALSE()),IFERROR(1*'Daily Workforce'!$K144&gt;=2,FALSE())),IF(AND('Daily Schedule'!$A46&gt;=46,'Daily Schedule'!$A46&lt;=52),'Daily Workforce'!$M144="Y",IFERROR(1*'Daily Workforce'!$P144&gt;=2,FALSE()))))),1,0)</f>
        <v>0</v>
      </c>
      <c r="EZ42" s="1" t="n">
        <f aca="false">IF(AND('Daily Workforce'!$N145="Y",'Daily Workforce'!$B145&lt;&gt;"",COUNTIF('Daily Schedule'!$F$5:$F45,'Daily Workforce'!$B145)=0,IF('Daily Schedule'!$A46=45,'Daily Workforce'!$J145="Y",IF(OR('Daily Schedule'!$A46=4,'Daily Schedule'!$A46=8),IF(OR(WEEKDAY('Daily Schedule'!$B$2,2)=1,WEEKDAY('Daily Schedule'!$B$2,2)=4,WEEKDAY('Daily Schedule'!$B$2,2)=5,WEEKDAY('Daily Schedule'!$B$2,2)=7),IFERROR(1*'Daily Workforce'!$K145&gt;=3,FALSE()),IFERROR(1*'Daily Workforce'!$K145&gt;=2,FALSE())),IF(AND('Daily Schedule'!$A46&gt;=46,'Daily Schedule'!$A46&lt;=52),'Daily Workforce'!$M145="Y",IFERROR(1*'Daily Workforce'!$P145&gt;=2,FALSE()))))),1,0)</f>
        <v>0</v>
      </c>
      <c r="FA42" s="1" t="n">
        <f aca="false">IF(AND('Daily Workforce'!$N146="Y",'Daily Workforce'!$B146&lt;&gt;"",COUNTIF('Daily Schedule'!$F$5:$F45,'Daily Workforce'!$B146)=0,IF('Daily Schedule'!$A46=45,'Daily Workforce'!$J146="Y",IF(OR('Daily Schedule'!$A46=4,'Daily Schedule'!$A46=8),IF(OR(WEEKDAY('Daily Schedule'!$B$2,2)=1,WEEKDAY('Daily Schedule'!$B$2,2)=4,WEEKDAY('Daily Schedule'!$B$2,2)=5,WEEKDAY('Daily Schedule'!$B$2,2)=7),IFERROR(1*'Daily Workforce'!$K146&gt;=3,FALSE()),IFERROR(1*'Daily Workforce'!$K146&gt;=2,FALSE())),IF(AND('Daily Schedule'!$A46&gt;=46,'Daily Schedule'!$A46&lt;=52),'Daily Workforce'!$M146="Y",IFERROR(1*'Daily Workforce'!$P146&gt;=2,FALSE()))))),1,0)</f>
        <v>0</v>
      </c>
      <c r="FB42" s="1" t="n">
        <f aca="false">IF(AND('Daily Workforce'!$N147="Y",'Daily Workforce'!$B147&lt;&gt;"",COUNTIF('Daily Schedule'!$F$5:$F45,'Daily Workforce'!$B147)=0,IF('Daily Schedule'!$A46=45,'Daily Workforce'!$J147="Y",IF(OR('Daily Schedule'!$A46=4,'Daily Schedule'!$A46=8),IF(OR(WEEKDAY('Daily Schedule'!$B$2,2)=1,WEEKDAY('Daily Schedule'!$B$2,2)=4,WEEKDAY('Daily Schedule'!$B$2,2)=5,WEEKDAY('Daily Schedule'!$B$2,2)=7),IFERROR(1*'Daily Workforce'!$K147&gt;=3,FALSE()),IFERROR(1*'Daily Workforce'!$K147&gt;=2,FALSE())),IF(AND('Daily Schedule'!$A46&gt;=46,'Daily Schedule'!$A46&lt;=52),'Daily Workforce'!$M147="Y",IFERROR(1*'Daily Workforce'!$P147&gt;=2,FALSE()))))),1,0)</f>
        <v>0</v>
      </c>
      <c r="FC42" s="1" t="n">
        <f aca="false">IF(AND('Daily Workforce'!$N148="Y",'Daily Workforce'!$B148&lt;&gt;"",COUNTIF('Daily Schedule'!$F$5:$F45,'Daily Workforce'!$B148)=0,IF('Daily Schedule'!$A46=45,'Daily Workforce'!$J148="Y",IF(OR('Daily Schedule'!$A46=4,'Daily Schedule'!$A46=8),IF(OR(WEEKDAY('Daily Schedule'!$B$2,2)=1,WEEKDAY('Daily Schedule'!$B$2,2)=4,WEEKDAY('Daily Schedule'!$B$2,2)=5,WEEKDAY('Daily Schedule'!$B$2,2)=7),IFERROR(1*'Daily Workforce'!$K148&gt;=3,FALSE()),IFERROR(1*'Daily Workforce'!$K148&gt;=2,FALSE())),IF(AND('Daily Schedule'!$A46&gt;=46,'Daily Schedule'!$A46&lt;=52),'Daily Workforce'!$M148="Y",IFERROR(1*'Daily Workforce'!$P148&gt;=2,FALSE()))))),1,0)</f>
        <v>0</v>
      </c>
      <c r="FD42" s="1" t="n">
        <f aca="false">IF(AND('Daily Workforce'!$N149="Y",'Daily Workforce'!$B149&lt;&gt;"",COUNTIF('Daily Schedule'!$F$5:$F45,'Daily Workforce'!$B149)=0,IF('Daily Schedule'!$A46=45,'Daily Workforce'!$J149="Y",IF(OR('Daily Schedule'!$A46=4,'Daily Schedule'!$A46=8),IF(OR(WEEKDAY('Daily Schedule'!$B$2,2)=1,WEEKDAY('Daily Schedule'!$B$2,2)=4,WEEKDAY('Daily Schedule'!$B$2,2)=5,WEEKDAY('Daily Schedule'!$B$2,2)=7),IFERROR(1*'Daily Workforce'!$K149&gt;=3,FALSE()),IFERROR(1*'Daily Workforce'!$K149&gt;=2,FALSE())),IF(AND('Daily Schedule'!$A46&gt;=46,'Daily Schedule'!$A46&lt;=52),'Daily Workforce'!$M149="Y",IFERROR(1*'Daily Workforce'!$P149&gt;=2,FALSE()))))),1,0)</f>
        <v>0</v>
      </c>
      <c r="FE42" s="1" t="n">
        <f aca="false">IF(AND('Daily Workforce'!$N150="Y",'Daily Workforce'!$B150&lt;&gt;"",COUNTIF('Daily Schedule'!$F$5:$F45,'Daily Workforce'!$B150)=0,IF('Daily Schedule'!$A46=45,'Daily Workforce'!$J150="Y",IF(OR('Daily Schedule'!$A46=4,'Daily Schedule'!$A46=8),IF(OR(WEEKDAY('Daily Schedule'!$B$2,2)=1,WEEKDAY('Daily Schedule'!$B$2,2)=4,WEEKDAY('Daily Schedule'!$B$2,2)=5,WEEKDAY('Daily Schedule'!$B$2,2)=7),IFERROR(1*'Daily Workforce'!$K150&gt;=3,FALSE()),IFERROR(1*'Daily Workforce'!$K150&gt;=2,FALSE())),IF(AND('Daily Schedule'!$A46&gt;=46,'Daily Schedule'!$A46&lt;=52),'Daily Workforce'!$M150="Y",IFERROR(1*'Daily Workforce'!$P150&gt;=2,FALSE()))))),1,0)</f>
        <v>0</v>
      </c>
      <c r="FF42" s="1" t="n">
        <f aca="false">IF(AND('Daily Workforce'!$N151="Y",'Daily Workforce'!$B151&lt;&gt;"",COUNTIF('Daily Schedule'!$F$5:$F45,'Daily Workforce'!$B151)=0,IF('Daily Schedule'!$A46=45,'Daily Workforce'!$J151="Y",IF(OR('Daily Schedule'!$A46=4,'Daily Schedule'!$A46=8),IF(OR(WEEKDAY('Daily Schedule'!$B$2,2)=1,WEEKDAY('Daily Schedule'!$B$2,2)=4,WEEKDAY('Daily Schedule'!$B$2,2)=5,WEEKDAY('Daily Schedule'!$B$2,2)=7),IFERROR(1*'Daily Workforce'!$K151&gt;=3,FALSE()),IFERROR(1*'Daily Workforce'!$K151&gt;=2,FALSE())),IF(AND('Daily Schedule'!$A46&gt;=46,'Daily Schedule'!$A46&lt;=52),'Daily Workforce'!$M151="Y",IFERROR(1*'Daily Workforce'!$P151&gt;=2,FALSE()))))),1,0)</f>
        <v>0</v>
      </c>
      <c r="FG42" s="1" t="n">
        <f aca="false">IF(AND('Daily Workforce'!$N152="Y",'Daily Workforce'!$B152&lt;&gt;"",COUNTIF('Daily Schedule'!$F$5:$F45,'Daily Workforce'!$B152)=0,IF('Daily Schedule'!$A46=45,'Daily Workforce'!$J152="Y",IF(OR('Daily Schedule'!$A46=4,'Daily Schedule'!$A46=8),IF(OR(WEEKDAY('Daily Schedule'!$B$2,2)=1,WEEKDAY('Daily Schedule'!$B$2,2)=4,WEEKDAY('Daily Schedule'!$B$2,2)=5,WEEKDAY('Daily Schedule'!$B$2,2)=7),IFERROR(1*'Daily Workforce'!$K152&gt;=3,FALSE()),IFERROR(1*'Daily Workforce'!$K152&gt;=2,FALSE())),IF(AND('Daily Schedule'!$A46&gt;=46,'Daily Schedule'!$A46&lt;=52),'Daily Workforce'!$M152="Y",IFERROR(1*'Daily Workforce'!$P152&gt;=2,FALSE()))))),1,0)</f>
        <v>0</v>
      </c>
      <c r="FH42" s="1" t="n">
        <f aca="false">IF(AND('Daily Workforce'!$N153="Y",'Daily Workforce'!$B153&lt;&gt;"",COUNTIF('Daily Schedule'!$F$5:$F45,'Daily Workforce'!$B153)=0,IF('Daily Schedule'!$A46=45,'Daily Workforce'!$J153="Y",IF(OR('Daily Schedule'!$A46=4,'Daily Schedule'!$A46=8),IF(OR(WEEKDAY('Daily Schedule'!$B$2,2)=1,WEEKDAY('Daily Schedule'!$B$2,2)=4,WEEKDAY('Daily Schedule'!$B$2,2)=5,WEEKDAY('Daily Schedule'!$B$2,2)=7),IFERROR(1*'Daily Workforce'!$K153&gt;=3,FALSE()),IFERROR(1*'Daily Workforce'!$K153&gt;=2,FALSE())),IF(AND('Daily Schedule'!$A46&gt;=46,'Daily Schedule'!$A46&lt;=52),'Daily Workforce'!$M153="Y",IFERROR(1*'Daily Workforce'!$P153&gt;=2,FALSE()))))),1,0)</f>
        <v>0</v>
      </c>
      <c r="FI42" s="1" t="n">
        <f aca="false">IF(AND('Daily Workforce'!$N154="Y",'Daily Workforce'!$B154&lt;&gt;"",COUNTIF('Daily Schedule'!$F$5:$F45,'Daily Workforce'!$B154)=0,IF('Daily Schedule'!$A46=45,'Daily Workforce'!$J154="Y",IF(OR('Daily Schedule'!$A46=4,'Daily Schedule'!$A46=8),IF(OR(WEEKDAY('Daily Schedule'!$B$2,2)=1,WEEKDAY('Daily Schedule'!$B$2,2)=4,WEEKDAY('Daily Schedule'!$B$2,2)=5,WEEKDAY('Daily Schedule'!$B$2,2)=7),IFERROR(1*'Daily Workforce'!$K154&gt;=3,FALSE()),IFERROR(1*'Daily Workforce'!$K154&gt;=2,FALSE())),IF(AND('Daily Schedule'!$A46&gt;=46,'Daily Schedule'!$A46&lt;=52),'Daily Workforce'!$M154="Y",IFERROR(1*'Daily Workforce'!$P154&gt;=2,FALSE()))))),1,0)</f>
        <v>0</v>
      </c>
      <c r="FJ42" s="1" t="n">
        <f aca="false">IF(AND('Daily Workforce'!$N155="Y",'Daily Workforce'!$B155&lt;&gt;"",COUNTIF('Daily Schedule'!$F$5:$F45,'Daily Workforce'!$B155)=0,IF('Daily Schedule'!$A46=45,'Daily Workforce'!$J155="Y",IF(OR('Daily Schedule'!$A46=4,'Daily Schedule'!$A46=8),IF(OR(WEEKDAY('Daily Schedule'!$B$2,2)=1,WEEKDAY('Daily Schedule'!$B$2,2)=4,WEEKDAY('Daily Schedule'!$B$2,2)=5,WEEKDAY('Daily Schedule'!$B$2,2)=7),IFERROR(1*'Daily Workforce'!$K155&gt;=3,FALSE()),IFERROR(1*'Daily Workforce'!$K155&gt;=2,FALSE())),IF(AND('Daily Schedule'!$A46&gt;=46,'Daily Schedule'!$A46&lt;=52),'Daily Workforce'!$M155="Y",IFERROR(1*'Daily Workforce'!$P155&gt;=2,FALSE()))))),1,0)</f>
        <v>0</v>
      </c>
      <c r="FK42" s="1" t="n">
        <f aca="false">IF(AND('Daily Workforce'!$N156="Y",'Daily Workforce'!$B156&lt;&gt;"",COUNTIF('Daily Schedule'!$F$5:$F45,'Daily Workforce'!$B156)=0,IF('Daily Schedule'!$A46=45,'Daily Workforce'!$J156="Y",IF(OR('Daily Schedule'!$A46=4,'Daily Schedule'!$A46=8),IF(OR(WEEKDAY('Daily Schedule'!$B$2,2)=1,WEEKDAY('Daily Schedule'!$B$2,2)=4,WEEKDAY('Daily Schedule'!$B$2,2)=5,WEEKDAY('Daily Schedule'!$B$2,2)=7),IFERROR(1*'Daily Workforce'!$K156&gt;=3,FALSE()),IFERROR(1*'Daily Workforce'!$K156&gt;=2,FALSE())),IF(AND('Daily Schedule'!$A46&gt;=46,'Daily Schedule'!$A46&lt;=52),'Daily Workforce'!$M156="Y",IFERROR(1*'Daily Workforce'!$P156&gt;=2,FALSE()))))),1,0)</f>
        <v>0</v>
      </c>
      <c r="FL42" s="1" t="n">
        <f aca="false">IF(AND('Daily Workforce'!$N157="Y",'Daily Workforce'!$B157&lt;&gt;"",COUNTIF('Daily Schedule'!$F$5:$F45,'Daily Workforce'!$B157)=0,IF('Daily Schedule'!$A46=45,'Daily Workforce'!$J157="Y",IF(OR('Daily Schedule'!$A46=4,'Daily Schedule'!$A46=8),IF(OR(WEEKDAY('Daily Schedule'!$B$2,2)=1,WEEKDAY('Daily Schedule'!$B$2,2)=4,WEEKDAY('Daily Schedule'!$B$2,2)=5,WEEKDAY('Daily Schedule'!$B$2,2)=7),IFERROR(1*'Daily Workforce'!$K157&gt;=3,FALSE()),IFERROR(1*'Daily Workforce'!$K157&gt;=2,FALSE())),IF(AND('Daily Schedule'!$A46&gt;=46,'Daily Schedule'!$A46&lt;=52),'Daily Workforce'!$M157="Y",IFERROR(1*'Daily Workforce'!$P157&gt;=2,FALSE()))))),1,0)</f>
        <v>0</v>
      </c>
      <c r="FM42" s="1" t="n">
        <f aca="false">IF(AND('Daily Workforce'!$N158="Y",'Daily Workforce'!$B158&lt;&gt;"",COUNTIF('Daily Schedule'!$F$5:$F45,'Daily Workforce'!$B158)=0,IF('Daily Schedule'!$A46=45,'Daily Workforce'!$J158="Y",IF(OR('Daily Schedule'!$A46=4,'Daily Schedule'!$A46=8),IF(OR(WEEKDAY('Daily Schedule'!$B$2,2)=1,WEEKDAY('Daily Schedule'!$B$2,2)=4,WEEKDAY('Daily Schedule'!$B$2,2)=5,WEEKDAY('Daily Schedule'!$B$2,2)=7),IFERROR(1*'Daily Workforce'!$K158&gt;=3,FALSE()),IFERROR(1*'Daily Workforce'!$K158&gt;=2,FALSE())),IF(AND('Daily Schedule'!$A46&gt;=46,'Daily Schedule'!$A46&lt;=52),'Daily Workforce'!$M158="Y",IFERROR(1*'Daily Workforce'!$P158&gt;=2,FALSE()))))),1,0)</f>
        <v>0</v>
      </c>
      <c r="FN42" s="1" t="n">
        <f aca="false">IF(AND('Daily Workforce'!$N159="Y",'Daily Workforce'!$B159&lt;&gt;"",COUNTIF('Daily Schedule'!$F$5:$F45,'Daily Workforce'!$B159)=0,IF('Daily Schedule'!$A46=45,'Daily Workforce'!$J159="Y",IF(OR('Daily Schedule'!$A46=4,'Daily Schedule'!$A46=8),IF(OR(WEEKDAY('Daily Schedule'!$B$2,2)=1,WEEKDAY('Daily Schedule'!$B$2,2)=4,WEEKDAY('Daily Schedule'!$B$2,2)=5,WEEKDAY('Daily Schedule'!$B$2,2)=7),IFERROR(1*'Daily Workforce'!$K159&gt;=3,FALSE()),IFERROR(1*'Daily Workforce'!$K159&gt;=2,FALSE())),IF(AND('Daily Schedule'!$A46&gt;=46,'Daily Schedule'!$A46&lt;=52),'Daily Workforce'!$M159="Y",IFERROR(1*'Daily Workforce'!$P159&gt;=2,FALSE()))))),1,0)</f>
        <v>0</v>
      </c>
      <c r="FO42" s="1" t="n">
        <f aca="false">IF(AND('Daily Workforce'!$N160="Y",'Daily Workforce'!$B160&lt;&gt;"",COUNTIF('Daily Schedule'!$F$5:$F45,'Daily Workforce'!$B160)=0,IF('Daily Schedule'!$A46=45,'Daily Workforce'!$J160="Y",IF(OR('Daily Schedule'!$A46=4,'Daily Schedule'!$A46=8),IF(OR(WEEKDAY('Daily Schedule'!$B$2,2)=1,WEEKDAY('Daily Schedule'!$B$2,2)=4,WEEKDAY('Daily Schedule'!$B$2,2)=5,WEEKDAY('Daily Schedule'!$B$2,2)=7),IFERROR(1*'Daily Workforce'!$K160&gt;=3,FALSE()),IFERROR(1*'Daily Workforce'!$K160&gt;=2,FALSE())),IF(AND('Daily Schedule'!$A46&gt;=46,'Daily Schedule'!$A46&lt;=52),'Daily Workforce'!$M160="Y",IFERROR(1*'Daily Workforce'!$P160&gt;=2,FALSE()))))),1,0)</f>
        <v>0</v>
      </c>
      <c r="FP42" s="1" t="n">
        <f aca="false">IF(AND('Daily Workforce'!$N161="Y",'Daily Workforce'!$B161&lt;&gt;"",COUNTIF('Daily Schedule'!$F$5:$F45,'Daily Workforce'!$B161)=0,IF('Daily Schedule'!$A46=45,'Daily Workforce'!$J161="Y",IF(OR('Daily Schedule'!$A46=4,'Daily Schedule'!$A46=8),IF(OR(WEEKDAY('Daily Schedule'!$B$2,2)=1,WEEKDAY('Daily Schedule'!$B$2,2)=4,WEEKDAY('Daily Schedule'!$B$2,2)=5,WEEKDAY('Daily Schedule'!$B$2,2)=7),IFERROR(1*'Daily Workforce'!$K161&gt;=3,FALSE()),IFERROR(1*'Daily Workforce'!$K161&gt;=2,FALSE())),IF(AND('Daily Schedule'!$A46&gt;=46,'Daily Schedule'!$A46&lt;=52),'Daily Workforce'!$M161="Y",IFERROR(1*'Daily Workforce'!$P161&gt;=2,FALSE()))))),1,0)</f>
        <v>0</v>
      </c>
      <c r="FQ42" s="1" t="n">
        <f aca="false">IF(AND('Daily Workforce'!$N162="Y",'Daily Workforce'!$B162&lt;&gt;"",COUNTIF('Daily Schedule'!$F$5:$F45,'Daily Workforce'!$B162)=0,IF('Daily Schedule'!$A46=45,'Daily Workforce'!$J162="Y",IF(OR('Daily Schedule'!$A46=4,'Daily Schedule'!$A46=8),IF(OR(WEEKDAY('Daily Schedule'!$B$2,2)=1,WEEKDAY('Daily Schedule'!$B$2,2)=4,WEEKDAY('Daily Schedule'!$B$2,2)=5,WEEKDAY('Daily Schedule'!$B$2,2)=7),IFERROR(1*'Daily Workforce'!$K162&gt;=3,FALSE()),IFERROR(1*'Daily Workforce'!$K162&gt;=2,FALSE())),IF(AND('Daily Schedule'!$A46&gt;=46,'Daily Schedule'!$A46&lt;=52),'Daily Workforce'!$M162="Y",IFERROR(1*'Daily Workforce'!$P162&gt;=2,FALSE()))))),1,0)</f>
        <v>0</v>
      </c>
      <c r="FR42" s="1" t="n">
        <f aca="false">IF(AND('Daily Workforce'!$N163="Y",'Daily Workforce'!$B163&lt;&gt;"",COUNTIF('Daily Schedule'!$F$5:$F45,'Daily Workforce'!$B163)=0,IF('Daily Schedule'!$A46=45,'Daily Workforce'!$J163="Y",IF(OR('Daily Schedule'!$A46=4,'Daily Schedule'!$A46=8),IF(OR(WEEKDAY('Daily Schedule'!$B$2,2)=1,WEEKDAY('Daily Schedule'!$B$2,2)=4,WEEKDAY('Daily Schedule'!$B$2,2)=5,WEEKDAY('Daily Schedule'!$B$2,2)=7),IFERROR(1*'Daily Workforce'!$K163&gt;=3,FALSE()),IFERROR(1*'Daily Workforce'!$K163&gt;=2,FALSE())),IF(AND('Daily Schedule'!$A46&gt;=46,'Daily Schedule'!$A46&lt;=52),'Daily Workforce'!$M163="Y",IFERROR(1*'Daily Workforce'!$P163&gt;=2,FALSE()))))),1,0)</f>
        <v>0</v>
      </c>
      <c r="FS42" s="1" t="n">
        <f aca="false">IF(AND('Daily Workforce'!$N164="Y",'Daily Workforce'!$B164&lt;&gt;"",COUNTIF('Daily Schedule'!$F$5:$F45,'Daily Workforce'!$B164)=0,IF('Daily Schedule'!$A46=45,'Daily Workforce'!$J164="Y",IF(OR('Daily Schedule'!$A46=4,'Daily Schedule'!$A46=8),IF(OR(WEEKDAY('Daily Schedule'!$B$2,2)=1,WEEKDAY('Daily Schedule'!$B$2,2)=4,WEEKDAY('Daily Schedule'!$B$2,2)=5,WEEKDAY('Daily Schedule'!$B$2,2)=7),IFERROR(1*'Daily Workforce'!$K164&gt;=3,FALSE()),IFERROR(1*'Daily Workforce'!$K164&gt;=2,FALSE())),IF(AND('Daily Schedule'!$A46&gt;=46,'Daily Schedule'!$A46&lt;=52),'Daily Workforce'!$M164="Y",IFERROR(1*'Daily Workforce'!$P164&gt;=2,FALSE()))))),1,0)</f>
        <v>0</v>
      </c>
      <c r="FT42" s="1" t="n">
        <f aca="false">IF(AND('Daily Workforce'!$N165="Y",'Daily Workforce'!$B165&lt;&gt;"",COUNTIF('Daily Schedule'!$F$5:$F45,'Daily Workforce'!$B165)=0,IF('Daily Schedule'!$A46=45,'Daily Workforce'!$J165="Y",IF(OR('Daily Schedule'!$A46=4,'Daily Schedule'!$A46=8),IF(OR(WEEKDAY('Daily Schedule'!$B$2,2)=1,WEEKDAY('Daily Schedule'!$B$2,2)=4,WEEKDAY('Daily Schedule'!$B$2,2)=5,WEEKDAY('Daily Schedule'!$B$2,2)=7),IFERROR(1*'Daily Workforce'!$K165&gt;=3,FALSE()),IFERROR(1*'Daily Workforce'!$K165&gt;=2,FALSE())),IF(AND('Daily Schedule'!$A46&gt;=46,'Daily Schedule'!$A46&lt;=52),'Daily Workforce'!$M165="Y",IFERROR(1*'Daily Workforce'!$P165&gt;=2,FALSE()))))),1,0)</f>
        <v>0</v>
      </c>
      <c r="FU42" s="1" t="n">
        <f aca="false">IF(AND('Daily Workforce'!$N166="Y",'Daily Workforce'!$B166&lt;&gt;"",COUNTIF('Daily Schedule'!$F$5:$F45,'Daily Workforce'!$B166)=0,IF('Daily Schedule'!$A46=45,'Daily Workforce'!$J166="Y",IF(OR('Daily Schedule'!$A46=4,'Daily Schedule'!$A46=8),IF(OR(WEEKDAY('Daily Schedule'!$B$2,2)=1,WEEKDAY('Daily Schedule'!$B$2,2)=4,WEEKDAY('Daily Schedule'!$B$2,2)=5,WEEKDAY('Daily Schedule'!$B$2,2)=7),IFERROR(1*'Daily Workforce'!$K166&gt;=3,FALSE()),IFERROR(1*'Daily Workforce'!$K166&gt;=2,FALSE())),IF(AND('Daily Schedule'!$A46&gt;=46,'Daily Schedule'!$A46&lt;=52),'Daily Workforce'!$M166="Y",IFERROR(1*'Daily Workforce'!$P166&gt;=2,FALSE()))))),1,0)</f>
        <v>0</v>
      </c>
      <c r="FV42" s="1" t="n">
        <f aca="false">IF(AND('Daily Workforce'!$N167="Y",'Daily Workforce'!$B167&lt;&gt;"",COUNTIF('Daily Schedule'!$F$5:$F45,'Daily Workforce'!$B167)=0,IF('Daily Schedule'!$A46=45,'Daily Workforce'!$J167="Y",IF(OR('Daily Schedule'!$A46=4,'Daily Schedule'!$A46=8),IF(OR(WEEKDAY('Daily Schedule'!$B$2,2)=1,WEEKDAY('Daily Schedule'!$B$2,2)=4,WEEKDAY('Daily Schedule'!$B$2,2)=5,WEEKDAY('Daily Schedule'!$B$2,2)=7),IFERROR(1*'Daily Workforce'!$K167&gt;=3,FALSE()),IFERROR(1*'Daily Workforce'!$K167&gt;=2,FALSE())),IF(AND('Daily Schedule'!$A46&gt;=46,'Daily Schedule'!$A46&lt;=52),'Daily Workforce'!$M167="Y",IFERROR(1*'Daily Workforce'!$P167&gt;=2,FALSE()))))),1,0)</f>
        <v>0</v>
      </c>
      <c r="FW42" s="1" t="n">
        <f aca="false">IF(AND('Daily Workforce'!$N168="Y",'Daily Workforce'!$B168&lt;&gt;"",COUNTIF('Daily Schedule'!$F$5:$F45,'Daily Workforce'!$B168)=0,IF('Daily Schedule'!$A46=45,'Daily Workforce'!$J168="Y",IF(OR('Daily Schedule'!$A46=4,'Daily Schedule'!$A46=8),IF(OR(WEEKDAY('Daily Schedule'!$B$2,2)=1,WEEKDAY('Daily Schedule'!$B$2,2)=4,WEEKDAY('Daily Schedule'!$B$2,2)=5,WEEKDAY('Daily Schedule'!$B$2,2)=7),IFERROR(1*'Daily Workforce'!$K168&gt;=3,FALSE()),IFERROR(1*'Daily Workforce'!$K168&gt;=2,FALSE())),IF(AND('Daily Schedule'!$A46&gt;=46,'Daily Schedule'!$A46&lt;=52),'Daily Workforce'!$M168="Y",IFERROR(1*'Daily Workforce'!$P168&gt;=2,FALSE()))))),1,0)</f>
        <v>0</v>
      </c>
      <c r="FX42" s="1" t="n">
        <f aca="false">IF(AND('Daily Workforce'!$N169="Y",'Daily Workforce'!$B169&lt;&gt;"",COUNTIF('Daily Schedule'!$F$5:$F45,'Daily Workforce'!$B169)=0,IF('Daily Schedule'!$A46=45,'Daily Workforce'!$J169="Y",IF(OR('Daily Schedule'!$A46=4,'Daily Schedule'!$A46=8),IF(OR(WEEKDAY('Daily Schedule'!$B$2,2)=1,WEEKDAY('Daily Schedule'!$B$2,2)=4,WEEKDAY('Daily Schedule'!$B$2,2)=5,WEEKDAY('Daily Schedule'!$B$2,2)=7),IFERROR(1*'Daily Workforce'!$K169&gt;=3,FALSE()),IFERROR(1*'Daily Workforce'!$K169&gt;=2,FALSE())),IF(AND('Daily Schedule'!$A46&gt;=46,'Daily Schedule'!$A46&lt;=52),'Daily Workforce'!$M169="Y",IFERROR(1*'Daily Workforce'!$P169&gt;=2,FALSE()))))),1,0)</f>
        <v>0</v>
      </c>
      <c r="FY42" s="1" t="n">
        <f aca="false">IF(AND('Daily Workforce'!$N170="Y",'Daily Workforce'!$B170&lt;&gt;"",COUNTIF('Daily Schedule'!$F$5:$F45,'Daily Workforce'!$B170)=0,IF('Daily Schedule'!$A46=45,'Daily Workforce'!$J170="Y",IF(OR('Daily Schedule'!$A46=4,'Daily Schedule'!$A46=8),IF(OR(WEEKDAY('Daily Schedule'!$B$2,2)=1,WEEKDAY('Daily Schedule'!$B$2,2)=4,WEEKDAY('Daily Schedule'!$B$2,2)=5,WEEKDAY('Daily Schedule'!$B$2,2)=7),IFERROR(1*'Daily Workforce'!$K170&gt;=3,FALSE()),IFERROR(1*'Daily Workforce'!$K170&gt;=2,FALSE())),IF(AND('Daily Schedule'!$A46&gt;=46,'Daily Schedule'!$A46&lt;=52),'Daily Workforce'!$M170="Y",IFERROR(1*'Daily Workforce'!$P170&gt;=2,FALSE()))))),1,0)</f>
        <v>0</v>
      </c>
      <c r="FZ42" s="1" t="n">
        <f aca="false">IF(AND('Daily Workforce'!$N171="Y",'Daily Workforce'!$B171&lt;&gt;"",COUNTIF('Daily Schedule'!$F$5:$F45,'Daily Workforce'!$B171)=0,IF('Daily Schedule'!$A46=45,'Daily Workforce'!$J171="Y",IF(OR('Daily Schedule'!$A46=4,'Daily Schedule'!$A46=8),IF(OR(WEEKDAY('Daily Schedule'!$B$2,2)=1,WEEKDAY('Daily Schedule'!$B$2,2)=4,WEEKDAY('Daily Schedule'!$B$2,2)=5,WEEKDAY('Daily Schedule'!$B$2,2)=7),IFERROR(1*'Daily Workforce'!$K171&gt;=3,FALSE()),IFERROR(1*'Daily Workforce'!$K171&gt;=2,FALSE())),IF(AND('Daily Schedule'!$A46&gt;=46,'Daily Schedule'!$A46&lt;=52),'Daily Workforce'!$M171="Y",IFERROR(1*'Daily Workforce'!$P171&gt;=2,FALSE()))))),1,0)</f>
        <v>0</v>
      </c>
      <c r="GA42" s="1" t="n">
        <f aca="false">IF(AND('Daily Workforce'!$N172="Y",'Daily Workforce'!$B172&lt;&gt;"",COUNTIF('Daily Schedule'!$F$5:$F45,'Daily Workforce'!$B172)=0,IF('Daily Schedule'!$A46=45,'Daily Workforce'!$J172="Y",IF(OR('Daily Schedule'!$A46=4,'Daily Schedule'!$A46=8),IF(OR(WEEKDAY('Daily Schedule'!$B$2,2)=1,WEEKDAY('Daily Schedule'!$B$2,2)=4,WEEKDAY('Daily Schedule'!$B$2,2)=5,WEEKDAY('Daily Schedule'!$B$2,2)=7),IFERROR(1*'Daily Workforce'!$K172&gt;=3,FALSE()),IFERROR(1*'Daily Workforce'!$K172&gt;=2,FALSE())),IF(AND('Daily Schedule'!$A46&gt;=46,'Daily Schedule'!$A46&lt;=52),'Daily Workforce'!$M172="Y",IFERROR(1*'Daily Workforce'!$P172&gt;=2,FALSE()))))),1,0)</f>
        <v>0</v>
      </c>
      <c r="GB42" s="1" t="n">
        <f aca="false">IF(AND('Daily Workforce'!$N173="Y",'Daily Workforce'!$B173&lt;&gt;"",COUNTIF('Daily Schedule'!$F$5:$F45,'Daily Workforce'!$B173)=0,IF('Daily Schedule'!$A46=45,'Daily Workforce'!$J173="Y",IF(OR('Daily Schedule'!$A46=4,'Daily Schedule'!$A46=8),IF(OR(WEEKDAY('Daily Schedule'!$B$2,2)=1,WEEKDAY('Daily Schedule'!$B$2,2)=4,WEEKDAY('Daily Schedule'!$B$2,2)=5,WEEKDAY('Daily Schedule'!$B$2,2)=7),IFERROR(1*'Daily Workforce'!$K173&gt;=3,FALSE()),IFERROR(1*'Daily Workforce'!$K173&gt;=2,FALSE())),IF(AND('Daily Schedule'!$A46&gt;=46,'Daily Schedule'!$A46&lt;=52),'Daily Workforce'!$M173="Y",IFERROR(1*'Daily Workforce'!$P173&gt;=2,FALSE()))))),1,0)</f>
        <v>0</v>
      </c>
      <c r="GC42" s="1" t="n">
        <f aca="false">IF(AND('Daily Workforce'!$N174="Y",'Daily Workforce'!$B174&lt;&gt;"",COUNTIF('Daily Schedule'!$F$5:$F45,'Daily Workforce'!$B174)=0,IF('Daily Schedule'!$A46=45,'Daily Workforce'!$J174="Y",IF(OR('Daily Schedule'!$A46=4,'Daily Schedule'!$A46=8),IF(OR(WEEKDAY('Daily Schedule'!$B$2,2)=1,WEEKDAY('Daily Schedule'!$B$2,2)=4,WEEKDAY('Daily Schedule'!$B$2,2)=5,WEEKDAY('Daily Schedule'!$B$2,2)=7),IFERROR(1*'Daily Workforce'!$K174&gt;=3,FALSE()),IFERROR(1*'Daily Workforce'!$K174&gt;=2,FALSE())),IF(AND('Daily Schedule'!$A46&gt;=46,'Daily Schedule'!$A46&lt;=52),'Daily Workforce'!$M174="Y",IFERROR(1*'Daily Workforce'!$P174&gt;=2,FALSE()))))),1,0)</f>
        <v>0</v>
      </c>
      <c r="GD42" s="1" t="n">
        <f aca="false">IF(AND('Daily Workforce'!$N175="Y",'Daily Workforce'!$B175&lt;&gt;"",COUNTIF('Daily Schedule'!$F$5:$F45,'Daily Workforce'!$B175)=0,IF('Daily Schedule'!$A46=45,'Daily Workforce'!$J175="Y",IF(OR('Daily Schedule'!$A46=4,'Daily Schedule'!$A46=8),IF(OR(WEEKDAY('Daily Schedule'!$B$2,2)=1,WEEKDAY('Daily Schedule'!$B$2,2)=4,WEEKDAY('Daily Schedule'!$B$2,2)=5,WEEKDAY('Daily Schedule'!$B$2,2)=7),IFERROR(1*'Daily Workforce'!$K175&gt;=3,FALSE()),IFERROR(1*'Daily Workforce'!$K175&gt;=2,FALSE())),IF(AND('Daily Schedule'!$A46&gt;=46,'Daily Schedule'!$A46&lt;=52),'Daily Workforce'!$M175="Y",IFERROR(1*'Daily Workforce'!$P175&gt;=2,FALSE()))))),1,0)</f>
        <v>0</v>
      </c>
      <c r="GE42" s="1" t="n">
        <f aca="false">IF(AND('Daily Workforce'!$N176="Y",'Daily Workforce'!$B176&lt;&gt;"",COUNTIF('Daily Schedule'!$F$5:$F45,'Daily Workforce'!$B176)=0,IF('Daily Schedule'!$A46=45,'Daily Workforce'!$J176="Y",IF(OR('Daily Schedule'!$A46=4,'Daily Schedule'!$A46=8),IF(OR(WEEKDAY('Daily Schedule'!$B$2,2)=1,WEEKDAY('Daily Schedule'!$B$2,2)=4,WEEKDAY('Daily Schedule'!$B$2,2)=5,WEEKDAY('Daily Schedule'!$B$2,2)=7),IFERROR(1*'Daily Workforce'!$K176&gt;=3,FALSE()),IFERROR(1*'Daily Workforce'!$K176&gt;=2,FALSE())),IF(AND('Daily Schedule'!$A46&gt;=46,'Daily Schedule'!$A46&lt;=52),'Daily Workforce'!$M176="Y",IFERROR(1*'Daily Workforce'!$P176&gt;=2,FALSE()))))),1,0)</f>
        <v>0</v>
      </c>
      <c r="GF42" s="1" t="n">
        <f aca="false">IF(AND('Daily Workforce'!$N177="Y",'Daily Workforce'!$B177&lt;&gt;"",COUNTIF('Daily Schedule'!$F$5:$F45,'Daily Workforce'!$B177)=0,IF('Daily Schedule'!$A46=45,'Daily Workforce'!$J177="Y",IF(OR('Daily Schedule'!$A46=4,'Daily Schedule'!$A46=8),IF(OR(WEEKDAY('Daily Schedule'!$B$2,2)=1,WEEKDAY('Daily Schedule'!$B$2,2)=4,WEEKDAY('Daily Schedule'!$B$2,2)=5,WEEKDAY('Daily Schedule'!$B$2,2)=7),IFERROR(1*'Daily Workforce'!$K177&gt;=3,FALSE()),IFERROR(1*'Daily Workforce'!$K177&gt;=2,FALSE())),IF(AND('Daily Schedule'!$A46&gt;=46,'Daily Schedule'!$A46&lt;=52),'Daily Workforce'!$M177="Y",IFERROR(1*'Daily Workforce'!$P177&gt;=2,FALSE()))))),1,0)</f>
        <v>0</v>
      </c>
      <c r="GG42" s="1" t="n">
        <f aca="false">IF(AND('Daily Workforce'!$N178="Y",'Daily Workforce'!$B178&lt;&gt;"",COUNTIF('Daily Schedule'!$F$5:$F45,'Daily Workforce'!$B178)=0,IF('Daily Schedule'!$A46=45,'Daily Workforce'!$J178="Y",IF(OR('Daily Schedule'!$A46=4,'Daily Schedule'!$A46=8),IF(OR(WEEKDAY('Daily Schedule'!$B$2,2)=1,WEEKDAY('Daily Schedule'!$B$2,2)=4,WEEKDAY('Daily Schedule'!$B$2,2)=5,WEEKDAY('Daily Schedule'!$B$2,2)=7),IFERROR(1*'Daily Workforce'!$K178&gt;=3,FALSE()),IFERROR(1*'Daily Workforce'!$K178&gt;=2,FALSE())),IF(AND('Daily Schedule'!$A46&gt;=46,'Daily Schedule'!$A46&lt;=52),'Daily Workforce'!$M178="Y",IFERROR(1*'Daily Workforce'!$P178&gt;=2,FALSE()))))),1,0)</f>
        <v>0</v>
      </c>
      <c r="GH42" s="1" t="n">
        <f aca="false">IF(AND('Daily Workforce'!$N179="Y",'Daily Workforce'!$B179&lt;&gt;"",COUNTIF('Daily Schedule'!$F$5:$F45,'Daily Workforce'!$B179)=0,IF('Daily Schedule'!$A46=45,'Daily Workforce'!$J179="Y",IF(OR('Daily Schedule'!$A46=4,'Daily Schedule'!$A46=8),IF(OR(WEEKDAY('Daily Schedule'!$B$2,2)=1,WEEKDAY('Daily Schedule'!$B$2,2)=4,WEEKDAY('Daily Schedule'!$B$2,2)=5,WEEKDAY('Daily Schedule'!$B$2,2)=7),IFERROR(1*'Daily Workforce'!$K179&gt;=3,FALSE()),IFERROR(1*'Daily Workforce'!$K179&gt;=2,FALSE())),IF(AND('Daily Schedule'!$A46&gt;=46,'Daily Schedule'!$A46&lt;=52),'Daily Workforce'!$M179="Y",IFERROR(1*'Daily Workforce'!$P179&gt;=2,FALSE()))))),1,0)</f>
        <v>0</v>
      </c>
      <c r="GI42" s="1" t="n">
        <f aca="false">IF(AND('Daily Workforce'!$N180="Y",'Daily Workforce'!$B180&lt;&gt;"",COUNTIF('Daily Schedule'!$F$5:$F45,'Daily Workforce'!$B180)=0,IF('Daily Schedule'!$A46=45,'Daily Workforce'!$J180="Y",IF(OR('Daily Schedule'!$A46=4,'Daily Schedule'!$A46=8),IF(OR(WEEKDAY('Daily Schedule'!$B$2,2)=1,WEEKDAY('Daily Schedule'!$B$2,2)=4,WEEKDAY('Daily Schedule'!$B$2,2)=5,WEEKDAY('Daily Schedule'!$B$2,2)=7),IFERROR(1*'Daily Workforce'!$K180&gt;=3,FALSE()),IFERROR(1*'Daily Workforce'!$K180&gt;=2,FALSE())),IF(AND('Daily Schedule'!$A46&gt;=46,'Daily Schedule'!$A46&lt;=52),'Daily Workforce'!$M180="Y",IFERROR(1*'Daily Workforce'!$P180&gt;=2,FALSE()))))),1,0)</f>
        <v>0</v>
      </c>
      <c r="GJ42" s="1" t="n">
        <f aca="false">IF(AND('Daily Workforce'!$N181="Y",'Daily Workforce'!$B181&lt;&gt;"",COUNTIF('Daily Schedule'!$F$5:$F45,'Daily Workforce'!$B181)=0,IF('Daily Schedule'!$A46=45,'Daily Workforce'!$J181="Y",IF(OR('Daily Schedule'!$A46=4,'Daily Schedule'!$A46=8),IF(OR(WEEKDAY('Daily Schedule'!$B$2,2)=1,WEEKDAY('Daily Schedule'!$B$2,2)=4,WEEKDAY('Daily Schedule'!$B$2,2)=5,WEEKDAY('Daily Schedule'!$B$2,2)=7),IFERROR(1*'Daily Workforce'!$K181&gt;=3,FALSE()),IFERROR(1*'Daily Workforce'!$K181&gt;=2,FALSE())),IF(AND('Daily Schedule'!$A46&gt;=46,'Daily Schedule'!$A46&lt;=52),'Daily Workforce'!$M181="Y",IFERROR(1*'Daily Workforce'!$P181&gt;=2,FALSE()))))),1,0)</f>
        <v>0</v>
      </c>
      <c r="GK42" s="1" t="n">
        <f aca="false">IF(AND('Daily Workforce'!$N182="Y",'Daily Workforce'!$B182&lt;&gt;"",COUNTIF('Daily Schedule'!$F$5:$F45,'Daily Workforce'!$B182)=0,IF('Daily Schedule'!$A46=45,'Daily Workforce'!$J182="Y",IF(OR('Daily Schedule'!$A46=4,'Daily Schedule'!$A46=8),IF(OR(WEEKDAY('Daily Schedule'!$B$2,2)=1,WEEKDAY('Daily Schedule'!$B$2,2)=4,WEEKDAY('Daily Schedule'!$B$2,2)=5,WEEKDAY('Daily Schedule'!$B$2,2)=7),IFERROR(1*'Daily Workforce'!$K182&gt;=3,FALSE()),IFERROR(1*'Daily Workforce'!$K182&gt;=2,FALSE())),IF(AND('Daily Schedule'!$A46&gt;=46,'Daily Schedule'!$A46&lt;=52),'Daily Workforce'!$M182="Y",IFERROR(1*'Daily Workforce'!$P182&gt;=2,FALSE()))))),1,0)</f>
        <v>0</v>
      </c>
      <c r="GL42" s="1" t="n">
        <f aca="false">IF(AND('Daily Workforce'!$N183="Y",'Daily Workforce'!$B183&lt;&gt;"",COUNTIF('Daily Schedule'!$F$5:$F45,'Daily Workforce'!$B183)=0,IF('Daily Schedule'!$A46=45,'Daily Workforce'!$J183="Y",IF(OR('Daily Schedule'!$A46=4,'Daily Schedule'!$A46=8),IF(OR(WEEKDAY('Daily Schedule'!$B$2,2)=1,WEEKDAY('Daily Schedule'!$B$2,2)=4,WEEKDAY('Daily Schedule'!$B$2,2)=5,WEEKDAY('Daily Schedule'!$B$2,2)=7),IFERROR(1*'Daily Workforce'!$K183&gt;=3,FALSE()),IFERROR(1*'Daily Workforce'!$K183&gt;=2,FALSE())),IF(AND('Daily Schedule'!$A46&gt;=46,'Daily Schedule'!$A46&lt;=52),'Daily Workforce'!$M183="Y",IFERROR(1*'Daily Workforce'!$P183&gt;=2,FALSE()))))),1,0)</f>
        <v>0</v>
      </c>
      <c r="GM42" s="1" t="n">
        <f aca="false">IF(AND('Daily Workforce'!$N184="Y",'Daily Workforce'!$B184&lt;&gt;"",COUNTIF('Daily Schedule'!$F$5:$F45,'Daily Workforce'!$B184)=0,IF('Daily Schedule'!$A46=45,'Daily Workforce'!$J184="Y",IF(OR('Daily Schedule'!$A46=4,'Daily Schedule'!$A46=8),IF(OR(WEEKDAY('Daily Schedule'!$B$2,2)=1,WEEKDAY('Daily Schedule'!$B$2,2)=4,WEEKDAY('Daily Schedule'!$B$2,2)=5,WEEKDAY('Daily Schedule'!$B$2,2)=7),IFERROR(1*'Daily Workforce'!$K184&gt;=3,FALSE()),IFERROR(1*'Daily Workforce'!$K184&gt;=2,FALSE())),IF(AND('Daily Schedule'!$A46&gt;=46,'Daily Schedule'!$A46&lt;=52),'Daily Workforce'!$M184="Y",IFERROR(1*'Daily Workforce'!$P184&gt;=2,FALSE()))))),1,0)</f>
        <v>0</v>
      </c>
      <c r="GN42" s="1" t="n">
        <f aca="false">IF(AND('Daily Workforce'!$N185="Y",'Daily Workforce'!$B185&lt;&gt;"",COUNTIF('Daily Schedule'!$F$5:$F45,'Daily Workforce'!$B185)=0,IF('Daily Schedule'!$A46=45,'Daily Workforce'!$J185="Y",IF(OR('Daily Schedule'!$A46=4,'Daily Schedule'!$A46=8),IF(OR(WEEKDAY('Daily Schedule'!$B$2,2)=1,WEEKDAY('Daily Schedule'!$B$2,2)=4,WEEKDAY('Daily Schedule'!$B$2,2)=5,WEEKDAY('Daily Schedule'!$B$2,2)=7),IFERROR(1*'Daily Workforce'!$K185&gt;=3,FALSE()),IFERROR(1*'Daily Workforce'!$K185&gt;=2,FALSE())),IF(AND('Daily Schedule'!$A46&gt;=46,'Daily Schedule'!$A46&lt;=52),'Daily Workforce'!$M185="Y",IFERROR(1*'Daily Workforce'!$P185&gt;=2,FALSE()))))),1,0)</f>
        <v>0</v>
      </c>
      <c r="GO42" s="1" t="n">
        <f aca="false">IF(AND('Daily Workforce'!$N186="Y",'Daily Workforce'!$B186&lt;&gt;"",COUNTIF('Daily Schedule'!$F$5:$F45,'Daily Workforce'!$B186)=0,IF('Daily Schedule'!$A46=45,'Daily Workforce'!$J186="Y",IF(OR('Daily Schedule'!$A46=4,'Daily Schedule'!$A46=8),IF(OR(WEEKDAY('Daily Schedule'!$B$2,2)=1,WEEKDAY('Daily Schedule'!$B$2,2)=4,WEEKDAY('Daily Schedule'!$B$2,2)=5,WEEKDAY('Daily Schedule'!$B$2,2)=7),IFERROR(1*'Daily Workforce'!$K186&gt;=3,FALSE()),IFERROR(1*'Daily Workforce'!$K186&gt;=2,FALSE())),IF(AND('Daily Schedule'!$A46&gt;=46,'Daily Schedule'!$A46&lt;=52),'Daily Workforce'!$M186="Y",IFERROR(1*'Daily Workforce'!$P186&gt;=2,FALSE()))))),1,0)</f>
        <v>0</v>
      </c>
      <c r="GP42" s="1" t="n">
        <f aca="false">IF(AND('Daily Workforce'!$N187="Y",'Daily Workforce'!$B187&lt;&gt;"",COUNTIF('Daily Schedule'!$F$5:$F45,'Daily Workforce'!$B187)=0,IF('Daily Schedule'!$A46=45,'Daily Workforce'!$J187="Y",IF(OR('Daily Schedule'!$A46=4,'Daily Schedule'!$A46=8),IF(OR(WEEKDAY('Daily Schedule'!$B$2,2)=1,WEEKDAY('Daily Schedule'!$B$2,2)=4,WEEKDAY('Daily Schedule'!$B$2,2)=5,WEEKDAY('Daily Schedule'!$B$2,2)=7),IFERROR(1*'Daily Workforce'!$K187&gt;=3,FALSE()),IFERROR(1*'Daily Workforce'!$K187&gt;=2,FALSE())),IF(AND('Daily Schedule'!$A46&gt;=46,'Daily Schedule'!$A46&lt;=52),'Daily Workforce'!$M187="Y",IFERROR(1*'Daily Workforce'!$P187&gt;=2,FALSE()))))),1,0)</f>
        <v>0</v>
      </c>
      <c r="GQ42" s="1" t="n">
        <f aca="false">IF(AND('Daily Workforce'!$N188="Y",'Daily Workforce'!$B188&lt;&gt;"",COUNTIF('Daily Schedule'!$F$5:$F45,'Daily Workforce'!$B188)=0,IF('Daily Schedule'!$A46=45,'Daily Workforce'!$J188="Y",IF(OR('Daily Schedule'!$A46=4,'Daily Schedule'!$A46=8),IF(OR(WEEKDAY('Daily Schedule'!$B$2,2)=1,WEEKDAY('Daily Schedule'!$B$2,2)=4,WEEKDAY('Daily Schedule'!$B$2,2)=5,WEEKDAY('Daily Schedule'!$B$2,2)=7),IFERROR(1*'Daily Workforce'!$K188&gt;=3,FALSE()),IFERROR(1*'Daily Workforce'!$K188&gt;=2,FALSE())),IF(AND('Daily Schedule'!$A46&gt;=46,'Daily Schedule'!$A46&lt;=52),'Daily Workforce'!$M188="Y",IFERROR(1*'Daily Workforce'!$P188&gt;=2,FALSE()))))),1,0)</f>
        <v>0</v>
      </c>
      <c r="GR42" s="1" t="n">
        <f aca="false">IF(AND('Daily Workforce'!$N189="Y",'Daily Workforce'!$B189&lt;&gt;"",COUNTIF('Daily Schedule'!$F$5:$F45,'Daily Workforce'!$B189)=0,IF('Daily Schedule'!$A46=45,'Daily Workforce'!$J189="Y",IF(OR('Daily Schedule'!$A46=4,'Daily Schedule'!$A46=8),IF(OR(WEEKDAY('Daily Schedule'!$B$2,2)=1,WEEKDAY('Daily Schedule'!$B$2,2)=4,WEEKDAY('Daily Schedule'!$B$2,2)=5,WEEKDAY('Daily Schedule'!$B$2,2)=7),IFERROR(1*'Daily Workforce'!$K189&gt;=3,FALSE()),IFERROR(1*'Daily Workforce'!$K189&gt;=2,FALSE())),IF(AND('Daily Schedule'!$A46&gt;=46,'Daily Schedule'!$A46&lt;=52),'Daily Workforce'!$M189="Y",IFERROR(1*'Daily Workforce'!$P189&gt;=2,FALSE()))))),1,0)</f>
        <v>0</v>
      </c>
      <c r="GS42" s="1" t="n">
        <f aca="false">IF(AND('Daily Workforce'!$N190="Y",'Daily Workforce'!$B190&lt;&gt;"",COUNTIF('Daily Schedule'!$F$5:$F45,'Daily Workforce'!$B190)=0,IF('Daily Schedule'!$A46=45,'Daily Workforce'!$J190="Y",IF(OR('Daily Schedule'!$A46=4,'Daily Schedule'!$A46=8),IF(OR(WEEKDAY('Daily Schedule'!$B$2,2)=1,WEEKDAY('Daily Schedule'!$B$2,2)=4,WEEKDAY('Daily Schedule'!$B$2,2)=5,WEEKDAY('Daily Schedule'!$B$2,2)=7),IFERROR(1*'Daily Workforce'!$K190&gt;=3,FALSE()),IFERROR(1*'Daily Workforce'!$K190&gt;=2,FALSE())),IF(AND('Daily Schedule'!$A46&gt;=46,'Daily Schedule'!$A46&lt;=52),'Daily Workforce'!$M190="Y",IFERROR(1*'Daily Workforce'!$P190&gt;=2,FALSE()))))),1,0)</f>
        <v>0</v>
      </c>
      <c r="GT42" s="1" t="n">
        <f aca="false">IF(AND('Daily Workforce'!$N191="Y",'Daily Workforce'!$B191&lt;&gt;"",COUNTIF('Daily Schedule'!$F$5:$F45,'Daily Workforce'!$B191)=0,IF('Daily Schedule'!$A46=45,'Daily Workforce'!$J191="Y",IF(OR('Daily Schedule'!$A46=4,'Daily Schedule'!$A46=8),IF(OR(WEEKDAY('Daily Schedule'!$B$2,2)=1,WEEKDAY('Daily Schedule'!$B$2,2)=4,WEEKDAY('Daily Schedule'!$B$2,2)=5,WEEKDAY('Daily Schedule'!$B$2,2)=7),IFERROR(1*'Daily Workforce'!$K191&gt;=3,FALSE()),IFERROR(1*'Daily Workforce'!$K191&gt;=2,FALSE())),IF(AND('Daily Schedule'!$A46&gt;=46,'Daily Schedule'!$A46&lt;=52),'Daily Workforce'!$M191="Y",IFERROR(1*'Daily Workforce'!$P191&gt;=2,FALSE()))))),1,0)</f>
        <v>0</v>
      </c>
      <c r="GU42" s="1" t="n">
        <f aca="false">IF(AND('Daily Workforce'!$N192="Y",'Daily Workforce'!$B192&lt;&gt;"",COUNTIF('Daily Schedule'!$F$5:$F45,'Daily Workforce'!$B192)=0,IF('Daily Schedule'!$A46=45,'Daily Workforce'!$J192="Y",IF(OR('Daily Schedule'!$A46=4,'Daily Schedule'!$A46=8),IF(OR(WEEKDAY('Daily Schedule'!$B$2,2)=1,WEEKDAY('Daily Schedule'!$B$2,2)=4,WEEKDAY('Daily Schedule'!$B$2,2)=5,WEEKDAY('Daily Schedule'!$B$2,2)=7),IFERROR(1*'Daily Workforce'!$K192&gt;=3,FALSE()),IFERROR(1*'Daily Workforce'!$K192&gt;=2,FALSE())),IF(AND('Daily Schedule'!$A46&gt;=46,'Daily Schedule'!$A46&lt;=52),'Daily Workforce'!$M192="Y",IFERROR(1*'Daily Workforce'!$P192&gt;=2,FALSE()))))),1,0)</f>
        <v>0</v>
      </c>
      <c r="GV42" s="1" t="n">
        <f aca="false">IF(AND('Daily Workforce'!$N193="Y",'Daily Workforce'!$B193&lt;&gt;"",COUNTIF('Daily Schedule'!$F$5:$F45,'Daily Workforce'!$B193)=0,IF('Daily Schedule'!$A46=45,'Daily Workforce'!$J193="Y",IF(OR('Daily Schedule'!$A46=4,'Daily Schedule'!$A46=8),IF(OR(WEEKDAY('Daily Schedule'!$B$2,2)=1,WEEKDAY('Daily Schedule'!$B$2,2)=4,WEEKDAY('Daily Schedule'!$B$2,2)=5,WEEKDAY('Daily Schedule'!$B$2,2)=7),IFERROR(1*'Daily Workforce'!$K193&gt;=3,FALSE()),IFERROR(1*'Daily Workforce'!$K193&gt;=2,FALSE())),IF(AND('Daily Schedule'!$A46&gt;=46,'Daily Schedule'!$A46&lt;=52),'Daily Workforce'!$M193="Y",IFERROR(1*'Daily Workforce'!$P193&gt;=2,FALSE()))))),1,0)</f>
        <v>0</v>
      </c>
      <c r="GW42" s="1" t="n">
        <f aca="false">IF(AND('Daily Workforce'!$N194="Y",'Daily Workforce'!$B194&lt;&gt;"",COUNTIF('Daily Schedule'!$F$5:$F45,'Daily Workforce'!$B194)=0,IF('Daily Schedule'!$A46=45,'Daily Workforce'!$J194="Y",IF(OR('Daily Schedule'!$A46=4,'Daily Schedule'!$A46=8),IF(OR(WEEKDAY('Daily Schedule'!$B$2,2)=1,WEEKDAY('Daily Schedule'!$B$2,2)=4,WEEKDAY('Daily Schedule'!$B$2,2)=5,WEEKDAY('Daily Schedule'!$B$2,2)=7),IFERROR(1*'Daily Workforce'!$K194&gt;=3,FALSE()),IFERROR(1*'Daily Workforce'!$K194&gt;=2,FALSE())),IF(AND('Daily Schedule'!$A46&gt;=46,'Daily Schedule'!$A46&lt;=52),'Daily Workforce'!$M194="Y",IFERROR(1*'Daily Workforce'!$P194&gt;=2,FALSE()))))),1,0)</f>
        <v>0</v>
      </c>
      <c r="GX42" s="1" t="n">
        <f aca="false">IF(AND('Daily Workforce'!$N195="Y",'Daily Workforce'!$B195&lt;&gt;"",COUNTIF('Daily Schedule'!$F$5:$F45,'Daily Workforce'!$B195)=0,IF('Daily Schedule'!$A46=45,'Daily Workforce'!$J195="Y",IF(OR('Daily Schedule'!$A46=4,'Daily Schedule'!$A46=8),IF(OR(WEEKDAY('Daily Schedule'!$B$2,2)=1,WEEKDAY('Daily Schedule'!$B$2,2)=4,WEEKDAY('Daily Schedule'!$B$2,2)=5,WEEKDAY('Daily Schedule'!$B$2,2)=7),IFERROR(1*'Daily Workforce'!$K195&gt;=3,FALSE()),IFERROR(1*'Daily Workforce'!$K195&gt;=2,FALSE())),IF(AND('Daily Schedule'!$A46&gt;=46,'Daily Schedule'!$A46&lt;=52),'Daily Workforce'!$M195="Y",IFERROR(1*'Daily Workforce'!$P195&gt;=2,FALSE()))))),1,0)</f>
        <v>0</v>
      </c>
      <c r="GY42" s="1" t="n">
        <f aca="false">IF(AND('Daily Workforce'!$N196="Y",'Daily Workforce'!$B196&lt;&gt;"",COUNTIF('Daily Schedule'!$F$5:$F45,'Daily Workforce'!$B196)=0,IF('Daily Schedule'!$A46=45,'Daily Workforce'!$J196="Y",IF(OR('Daily Schedule'!$A46=4,'Daily Schedule'!$A46=8),IF(OR(WEEKDAY('Daily Schedule'!$B$2,2)=1,WEEKDAY('Daily Schedule'!$B$2,2)=4,WEEKDAY('Daily Schedule'!$B$2,2)=5,WEEKDAY('Daily Schedule'!$B$2,2)=7),IFERROR(1*'Daily Workforce'!$K196&gt;=3,FALSE()),IFERROR(1*'Daily Workforce'!$K196&gt;=2,FALSE())),IF(AND('Daily Schedule'!$A46&gt;=46,'Daily Schedule'!$A46&lt;=52),'Daily Workforce'!$M196="Y",IFERROR(1*'Daily Workforce'!$P196&gt;=2,FALSE()))))),1,0)</f>
        <v>0</v>
      </c>
      <c r="GZ42" s="1" t="n">
        <f aca="false">IF(AND('Daily Workforce'!$N197="Y",'Daily Workforce'!$B197&lt;&gt;"",COUNTIF('Daily Schedule'!$F$5:$F45,'Daily Workforce'!$B197)=0,IF('Daily Schedule'!$A46=45,'Daily Workforce'!$J197="Y",IF(OR('Daily Schedule'!$A46=4,'Daily Schedule'!$A46=8),IF(OR(WEEKDAY('Daily Schedule'!$B$2,2)=1,WEEKDAY('Daily Schedule'!$B$2,2)=4,WEEKDAY('Daily Schedule'!$B$2,2)=5,WEEKDAY('Daily Schedule'!$B$2,2)=7),IFERROR(1*'Daily Workforce'!$K197&gt;=3,FALSE()),IFERROR(1*'Daily Workforce'!$K197&gt;=2,FALSE())),IF(AND('Daily Schedule'!$A46&gt;=46,'Daily Schedule'!$A46&lt;=52),'Daily Workforce'!$M197="Y",IFERROR(1*'Daily Workforce'!$P197&gt;=2,FALSE()))))),1,0)</f>
        <v>0</v>
      </c>
      <c r="HA42" s="1" t="n">
        <f aca="false">IF(AND('Daily Workforce'!$N198="Y",'Daily Workforce'!$B198&lt;&gt;"",COUNTIF('Daily Schedule'!$F$5:$F45,'Daily Workforce'!$B198)=0,IF('Daily Schedule'!$A46=45,'Daily Workforce'!$J198="Y",IF(OR('Daily Schedule'!$A46=4,'Daily Schedule'!$A46=8),IF(OR(WEEKDAY('Daily Schedule'!$B$2,2)=1,WEEKDAY('Daily Schedule'!$B$2,2)=4,WEEKDAY('Daily Schedule'!$B$2,2)=5,WEEKDAY('Daily Schedule'!$B$2,2)=7),IFERROR(1*'Daily Workforce'!$K198&gt;=3,FALSE()),IFERROR(1*'Daily Workforce'!$K198&gt;=2,FALSE())),IF(AND('Daily Schedule'!$A46&gt;=46,'Daily Schedule'!$A46&lt;=52),'Daily Workforce'!$M198="Y",IFERROR(1*'Daily Workforce'!$P198&gt;=2,FALSE()))))),1,0)</f>
        <v>0</v>
      </c>
      <c r="HB42" s="1" t="n">
        <f aca="false">IF(AND('Daily Workforce'!$N199="Y",'Daily Workforce'!$B199&lt;&gt;"",COUNTIF('Daily Schedule'!$F$5:$F45,'Daily Workforce'!$B199)=0,IF('Daily Schedule'!$A46=45,'Daily Workforce'!$J199="Y",IF(OR('Daily Schedule'!$A46=4,'Daily Schedule'!$A46=8),IF(OR(WEEKDAY('Daily Schedule'!$B$2,2)=1,WEEKDAY('Daily Schedule'!$B$2,2)=4,WEEKDAY('Daily Schedule'!$B$2,2)=5,WEEKDAY('Daily Schedule'!$B$2,2)=7),IFERROR(1*'Daily Workforce'!$K199&gt;=3,FALSE()),IFERROR(1*'Daily Workforce'!$K199&gt;=2,FALSE())),IF(AND('Daily Schedule'!$A46&gt;=46,'Daily Schedule'!$A46&lt;=52),'Daily Workforce'!$M199="Y",IFERROR(1*'Daily Workforce'!$P199&gt;=2,FALSE()))))),1,0)</f>
        <v>0</v>
      </c>
      <c r="HC42" s="1" t="n">
        <f aca="false">IF(AND('Daily Workforce'!$N200="Y",'Daily Workforce'!$B200&lt;&gt;"",COUNTIF('Daily Schedule'!$F$5:$F45,'Daily Workforce'!$B200)=0,IF('Daily Schedule'!$A46=45,'Daily Workforce'!$J200="Y",IF(OR('Daily Schedule'!$A46=4,'Daily Schedule'!$A46=8),IF(OR(WEEKDAY('Daily Schedule'!$B$2,2)=1,WEEKDAY('Daily Schedule'!$B$2,2)=4,WEEKDAY('Daily Schedule'!$B$2,2)=5,WEEKDAY('Daily Schedule'!$B$2,2)=7),IFERROR(1*'Daily Workforce'!$K200&gt;=3,FALSE()),IFERROR(1*'Daily Workforce'!$K200&gt;=2,FALSE())),IF(AND('Daily Schedule'!$A46&gt;=46,'Daily Schedule'!$A46&lt;=52),'Daily Workforce'!$M200="Y",IFERROR(1*'Daily Workforce'!$P200&gt;=2,FALSE()))))),1,0)</f>
        <v>0</v>
      </c>
      <c r="HD42" s="1" t="n">
        <f aca="false">IF(AND('Daily Workforce'!$N201="Y",'Daily Workforce'!$B201&lt;&gt;"",COUNTIF('Daily Schedule'!$F$5:$F45,'Daily Workforce'!$B201)=0,IF('Daily Schedule'!$A46=45,'Daily Workforce'!$J201="Y",IF(OR('Daily Schedule'!$A46=4,'Daily Schedule'!$A46=8),IF(OR(WEEKDAY('Daily Schedule'!$B$2,2)=1,WEEKDAY('Daily Schedule'!$B$2,2)=4,WEEKDAY('Daily Schedule'!$B$2,2)=5,WEEKDAY('Daily Schedule'!$B$2,2)=7),IFERROR(1*'Daily Workforce'!$K201&gt;=3,FALSE()),IFERROR(1*'Daily Workforce'!$K201&gt;=2,FALSE())),IF(AND('Daily Schedule'!$A46&gt;=46,'Daily Schedule'!$A46&lt;=52),'Daily Workforce'!$M201="Y",IFERROR(1*'Daily Workforce'!$P201&gt;=2,FALSE()))))),1,0)</f>
        <v>0</v>
      </c>
      <c r="HE42" s="1" t="n">
        <f aca="false">IF(AND('Daily Workforce'!$N202="Y",'Daily Workforce'!$B202&lt;&gt;"",COUNTIF('Daily Schedule'!$F$5:$F45,'Daily Workforce'!$B202)=0,IF('Daily Schedule'!$A46=45,'Daily Workforce'!$J202="Y",IF(OR('Daily Schedule'!$A46=4,'Daily Schedule'!$A46=8),IF(OR(WEEKDAY('Daily Schedule'!$B$2,2)=1,WEEKDAY('Daily Schedule'!$B$2,2)=4,WEEKDAY('Daily Schedule'!$B$2,2)=5,WEEKDAY('Daily Schedule'!$B$2,2)=7),IFERROR(1*'Daily Workforce'!$K202&gt;=3,FALSE()),IFERROR(1*'Daily Workforce'!$K202&gt;=2,FALSE())),IF(AND('Daily Schedule'!$A46&gt;=46,'Daily Schedule'!$A46&lt;=52),'Daily Workforce'!$M202="Y",IFERROR(1*'Daily Workforce'!$P202&gt;=2,FALSE()))))),1,0)</f>
        <v>0</v>
      </c>
      <c r="HF42" s="1" t="n">
        <f aca="false">IF(AND('Daily Workforce'!$N203="Y",'Daily Workforce'!$B203&lt;&gt;"",COUNTIF('Daily Schedule'!$F$5:$F45,'Daily Workforce'!$B203)=0,IF('Daily Schedule'!$A46=45,'Daily Workforce'!$J203="Y",IF(OR('Daily Schedule'!$A46=4,'Daily Schedule'!$A46=8),IF(OR(WEEKDAY('Daily Schedule'!$B$2,2)=1,WEEKDAY('Daily Schedule'!$B$2,2)=4,WEEKDAY('Daily Schedule'!$B$2,2)=5,WEEKDAY('Daily Schedule'!$B$2,2)=7),IFERROR(1*'Daily Workforce'!$K203&gt;=3,FALSE()),IFERROR(1*'Daily Workforce'!$K203&gt;=2,FALSE())),IF(AND('Daily Schedule'!$A46&gt;=46,'Daily Schedule'!$A46&lt;=52),'Daily Workforce'!$M203="Y",IFERROR(1*'Daily Workforce'!$P203&gt;=2,FALSE()))))),1,0)</f>
        <v>0</v>
      </c>
      <c r="HG42" s="1" t="n">
        <f aca="false">IF(AND('Daily Workforce'!$N204="Y",'Daily Workforce'!$B204&lt;&gt;"",COUNTIF('Daily Schedule'!$F$5:$F45,'Daily Workforce'!$B204)=0,IF('Daily Schedule'!$A46=45,'Daily Workforce'!$J204="Y",IF(OR('Daily Schedule'!$A46=4,'Daily Schedule'!$A46=8),IF(OR(WEEKDAY('Daily Schedule'!$B$2,2)=1,WEEKDAY('Daily Schedule'!$B$2,2)=4,WEEKDAY('Daily Schedule'!$B$2,2)=5,WEEKDAY('Daily Schedule'!$B$2,2)=7),IFERROR(1*'Daily Workforce'!$K204&gt;=3,FALSE()),IFERROR(1*'Daily Workforce'!$K204&gt;=2,FALSE())),IF(AND('Daily Schedule'!$A46&gt;=46,'Daily Schedule'!$A46&lt;=52),'Daily Workforce'!$M204="Y",IFERROR(1*'Daily Workforce'!$P204&gt;=2,FALSE()))))),1,0)</f>
        <v>0</v>
      </c>
      <c r="HH42" s="1" t="n">
        <f aca="false">IF(AND('Daily Workforce'!$N205="Y",'Daily Workforce'!$B205&lt;&gt;"",COUNTIF('Daily Schedule'!$F$5:$F45,'Daily Workforce'!$B205)=0,IF('Daily Schedule'!$A46=45,'Daily Workforce'!$J205="Y",IF(OR('Daily Schedule'!$A46=4,'Daily Schedule'!$A46=8),IF(OR(WEEKDAY('Daily Schedule'!$B$2,2)=1,WEEKDAY('Daily Schedule'!$B$2,2)=4,WEEKDAY('Daily Schedule'!$B$2,2)=5,WEEKDAY('Daily Schedule'!$B$2,2)=7),IFERROR(1*'Daily Workforce'!$K205&gt;=3,FALSE()),IFERROR(1*'Daily Workforce'!$K205&gt;=2,FALSE())),IF(AND('Daily Schedule'!$A46&gt;=46,'Daily Schedule'!$A46&lt;=52),'Daily Workforce'!$M205="Y",IFERROR(1*'Daily Workforce'!$P205&gt;=2,FALSE()))))),1,0)</f>
        <v>0</v>
      </c>
    </row>
    <row r="43" customFormat="false" ht="15" hidden="false" customHeight="true" outlineLevel="0" collapsed="false">
      <c r="L43" s="1" t="s">
        <v>816</v>
      </c>
      <c r="O43" s="1" t="n">
        <f aca="false">IF(AND('Employee Master'!$G43="Y",ISERROR(SEARCH(TEXT('Daily Workforce'!$B$2,"ddd"),'Employee Master'!$D43)),IF('Daily Workforce'!$E$2="",TRUE(),'Employee Master'!$I43='Daily Workforce'!$E$2)),'Employee Master'!$K43*1000+ROW()-1,"")</f>
        <v>1042</v>
      </c>
      <c r="P43" s="1" t="n">
        <f aca="false">IF($O43="","",COUNTIF($O$2:$O$159,"&lt;="&amp;$O43))</f>
        <v>4</v>
      </c>
      <c r="Q43" s="1" t="n">
        <f aca="false">IF(AND('Daily Workforce'!$N6="Y",'Daily Workforce'!$B6&lt;&gt;"",COUNTIF('Daily Schedule'!$F$5:$F46,'Daily Workforce'!$B6)=0,IF('Daily Schedule'!$A47=45,'Daily Workforce'!$J6="Y",IF(OR('Daily Schedule'!$A47=4,'Daily Schedule'!$A47=8),IF(OR(WEEKDAY('Daily Schedule'!$B$2,2)=1,WEEKDAY('Daily Schedule'!$B$2,2)=4,WEEKDAY('Daily Schedule'!$B$2,2)=5,WEEKDAY('Daily Schedule'!$B$2,2)=7),IFERROR(1*'Daily Workforce'!$K6&gt;=3,FALSE()),IFERROR(1*'Daily Workforce'!$K6&gt;=2,FALSE())),IF(AND('Daily Schedule'!$A47&gt;=46,'Daily Schedule'!$A47&lt;=52),'Daily Workforce'!$M6="Y",IFERROR(1*'Daily Workforce'!$P6&gt;=2,FALSE()))))),1,0)</f>
        <v>0</v>
      </c>
      <c r="R43" s="1" t="n">
        <f aca="false">IF(AND('Daily Workforce'!$N7="Y",'Daily Workforce'!$B7&lt;&gt;"",COUNTIF('Daily Schedule'!$F$5:$F46,'Daily Workforce'!$B7)=0,IF('Daily Schedule'!$A47=45,'Daily Workforce'!$J7="Y",IF(OR('Daily Schedule'!$A47=4,'Daily Schedule'!$A47=8),IF(OR(WEEKDAY('Daily Schedule'!$B$2,2)=1,WEEKDAY('Daily Schedule'!$B$2,2)=4,WEEKDAY('Daily Schedule'!$B$2,2)=5,WEEKDAY('Daily Schedule'!$B$2,2)=7),IFERROR(1*'Daily Workforce'!$K7&gt;=3,FALSE()),IFERROR(1*'Daily Workforce'!$K7&gt;=2,FALSE())),IF(AND('Daily Schedule'!$A47&gt;=46,'Daily Schedule'!$A47&lt;=52),'Daily Workforce'!$M7="Y",IFERROR(1*'Daily Workforce'!$P7&gt;=2,FALSE()))))),1,0)</f>
        <v>0</v>
      </c>
      <c r="S43" s="1" t="n">
        <f aca="false">IF(AND('Daily Workforce'!$N8="Y",'Daily Workforce'!$B8&lt;&gt;"",COUNTIF('Daily Schedule'!$F$5:$F46,'Daily Workforce'!$B8)=0,IF('Daily Schedule'!$A47=45,'Daily Workforce'!$J8="Y",IF(OR('Daily Schedule'!$A47=4,'Daily Schedule'!$A47=8),IF(OR(WEEKDAY('Daily Schedule'!$B$2,2)=1,WEEKDAY('Daily Schedule'!$B$2,2)=4,WEEKDAY('Daily Schedule'!$B$2,2)=5,WEEKDAY('Daily Schedule'!$B$2,2)=7),IFERROR(1*'Daily Workforce'!$K8&gt;=3,FALSE()),IFERROR(1*'Daily Workforce'!$K8&gt;=2,FALSE())),IF(AND('Daily Schedule'!$A47&gt;=46,'Daily Schedule'!$A47&lt;=52),'Daily Workforce'!$M8="Y",IFERROR(1*'Daily Workforce'!$P8&gt;=2,FALSE()))))),1,0)</f>
        <v>0</v>
      </c>
      <c r="T43" s="1" t="n">
        <f aca="false">IF(AND('Daily Workforce'!$N9="Y",'Daily Workforce'!$B9&lt;&gt;"",COUNTIF('Daily Schedule'!$F$5:$F46,'Daily Workforce'!$B9)=0,IF('Daily Schedule'!$A47=45,'Daily Workforce'!$J9="Y",IF(OR('Daily Schedule'!$A47=4,'Daily Schedule'!$A47=8),IF(OR(WEEKDAY('Daily Schedule'!$B$2,2)=1,WEEKDAY('Daily Schedule'!$B$2,2)=4,WEEKDAY('Daily Schedule'!$B$2,2)=5,WEEKDAY('Daily Schedule'!$B$2,2)=7),IFERROR(1*'Daily Workforce'!$K9&gt;=3,FALSE()),IFERROR(1*'Daily Workforce'!$K9&gt;=2,FALSE())),IF(AND('Daily Schedule'!$A47&gt;=46,'Daily Schedule'!$A47&lt;=52),'Daily Workforce'!$M9="Y",IFERROR(1*'Daily Workforce'!$P9&gt;=2,FALSE()))))),1,0)</f>
        <v>0</v>
      </c>
      <c r="U43" s="1" t="n">
        <f aca="false">IF(AND('Daily Workforce'!$N10="Y",'Daily Workforce'!$B10&lt;&gt;"",COUNTIF('Daily Schedule'!$F$5:$F46,'Daily Workforce'!$B10)=0,IF('Daily Schedule'!$A47=45,'Daily Workforce'!$J10="Y",IF(OR('Daily Schedule'!$A47=4,'Daily Schedule'!$A47=8),IF(OR(WEEKDAY('Daily Schedule'!$B$2,2)=1,WEEKDAY('Daily Schedule'!$B$2,2)=4,WEEKDAY('Daily Schedule'!$B$2,2)=5,WEEKDAY('Daily Schedule'!$B$2,2)=7),IFERROR(1*'Daily Workforce'!$K10&gt;=3,FALSE()),IFERROR(1*'Daily Workforce'!$K10&gt;=2,FALSE())),IF(AND('Daily Schedule'!$A47&gt;=46,'Daily Schedule'!$A47&lt;=52),'Daily Workforce'!$M10="Y",IFERROR(1*'Daily Workforce'!$P10&gt;=2,FALSE()))))),1,0)</f>
        <v>0</v>
      </c>
      <c r="V43" s="1" t="n">
        <f aca="false">IF(AND('Daily Workforce'!$N11="Y",'Daily Workforce'!$B11&lt;&gt;"",COUNTIF('Daily Schedule'!$F$5:$F46,'Daily Workforce'!$B11)=0,IF('Daily Schedule'!$A47=45,'Daily Workforce'!$J11="Y",IF(OR('Daily Schedule'!$A47=4,'Daily Schedule'!$A47=8),IF(OR(WEEKDAY('Daily Schedule'!$B$2,2)=1,WEEKDAY('Daily Schedule'!$B$2,2)=4,WEEKDAY('Daily Schedule'!$B$2,2)=5,WEEKDAY('Daily Schedule'!$B$2,2)=7),IFERROR(1*'Daily Workforce'!$K11&gt;=3,FALSE()),IFERROR(1*'Daily Workforce'!$K11&gt;=2,FALSE())),IF(AND('Daily Schedule'!$A47&gt;=46,'Daily Schedule'!$A47&lt;=52),'Daily Workforce'!$M11="Y",IFERROR(1*'Daily Workforce'!$P11&gt;=2,FALSE()))))),1,0)</f>
        <v>0</v>
      </c>
      <c r="W43" s="1" t="n">
        <f aca="false">IF(AND('Daily Workforce'!$N12="Y",'Daily Workforce'!$B12&lt;&gt;"",COUNTIF('Daily Schedule'!$F$5:$F46,'Daily Workforce'!$B12)=0,IF('Daily Schedule'!$A47=45,'Daily Workforce'!$J12="Y",IF(OR('Daily Schedule'!$A47=4,'Daily Schedule'!$A47=8),IF(OR(WEEKDAY('Daily Schedule'!$B$2,2)=1,WEEKDAY('Daily Schedule'!$B$2,2)=4,WEEKDAY('Daily Schedule'!$B$2,2)=5,WEEKDAY('Daily Schedule'!$B$2,2)=7),IFERROR(1*'Daily Workforce'!$K12&gt;=3,FALSE()),IFERROR(1*'Daily Workforce'!$K12&gt;=2,FALSE())),IF(AND('Daily Schedule'!$A47&gt;=46,'Daily Schedule'!$A47&lt;=52),'Daily Workforce'!$M12="Y",IFERROR(1*'Daily Workforce'!$P12&gt;=2,FALSE()))))),1,0)</f>
        <v>0</v>
      </c>
      <c r="X43" s="1" t="n">
        <f aca="false">IF(AND('Daily Workforce'!$N13="Y",'Daily Workforce'!$B13&lt;&gt;"",COUNTIF('Daily Schedule'!$F$5:$F46,'Daily Workforce'!$B13)=0,IF('Daily Schedule'!$A47=45,'Daily Workforce'!$J13="Y",IF(OR('Daily Schedule'!$A47=4,'Daily Schedule'!$A47=8),IF(OR(WEEKDAY('Daily Schedule'!$B$2,2)=1,WEEKDAY('Daily Schedule'!$B$2,2)=4,WEEKDAY('Daily Schedule'!$B$2,2)=5,WEEKDAY('Daily Schedule'!$B$2,2)=7),IFERROR(1*'Daily Workforce'!$K13&gt;=3,FALSE()),IFERROR(1*'Daily Workforce'!$K13&gt;=2,FALSE())),IF(AND('Daily Schedule'!$A47&gt;=46,'Daily Schedule'!$A47&lt;=52),'Daily Workforce'!$M13="Y",IFERROR(1*'Daily Workforce'!$P13&gt;=2,FALSE()))))),1,0)</f>
        <v>0</v>
      </c>
      <c r="Y43" s="1" t="n">
        <f aca="false">IF(AND('Daily Workforce'!$N14="Y",'Daily Workforce'!$B14&lt;&gt;"",COUNTIF('Daily Schedule'!$F$5:$F46,'Daily Workforce'!$B14)=0,IF('Daily Schedule'!$A47=45,'Daily Workforce'!$J14="Y",IF(OR('Daily Schedule'!$A47=4,'Daily Schedule'!$A47=8),IF(OR(WEEKDAY('Daily Schedule'!$B$2,2)=1,WEEKDAY('Daily Schedule'!$B$2,2)=4,WEEKDAY('Daily Schedule'!$B$2,2)=5,WEEKDAY('Daily Schedule'!$B$2,2)=7),IFERROR(1*'Daily Workforce'!$K14&gt;=3,FALSE()),IFERROR(1*'Daily Workforce'!$K14&gt;=2,FALSE())),IF(AND('Daily Schedule'!$A47&gt;=46,'Daily Schedule'!$A47&lt;=52),'Daily Workforce'!$M14="Y",IFERROR(1*'Daily Workforce'!$P14&gt;=2,FALSE()))))),1,0)</f>
        <v>0</v>
      </c>
      <c r="Z43" s="1" t="n">
        <f aca="false">IF(AND('Daily Workforce'!$N15="Y",'Daily Workforce'!$B15&lt;&gt;"",COUNTIF('Daily Schedule'!$F$5:$F46,'Daily Workforce'!$B15)=0,IF('Daily Schedule'!$A47=45,'Daily Workforce'!$J15="Y",IF(OR('Daily Schedule'!$A47=4,'Daily Schedule'!$A47=8),IF(OR(WEEKDAY('Daily Schedule'!$B$2,2)=1,WEEKDAY('Daily Schedule'!$B$2,2)=4,WEEKDAY('Daily Schedule'!$B$2,2)=5,WEEKDAY('Daily Schedule'!$B$2,2)=7),IFERROR(1*'Daily Workforce'!$K15&gt;=3,FALSE()),IFERROR(1*'Daily Workforce'!$K15&gt;=2,FALSE())),IF(AND('Daily Schedule'!$A47&gt;=46,'Daily Schedule'!$A47&lt;=52),'Daily Workforce'!$M15="Y",IFERROR(1*'Daily Workforce'!$P15&gt;=2,FALSE()))))),1,0)</f>
        <v>0</v>
      </c>
      <c r="AA43" s="1" t="n">
        <f aca="false">IF(AND('Daily Workforce'!$N16="Y",'Daily Workforce'!$B16&lt;&gt;"",COUNTIF('Daily Schedule'!$F$5:$F46,'Daily Workforce'!$B16)=0,IF('Daily Schedule'!$A47=45,'Daily Workforce'!$J16="Y",IF(OR('Daily Schedule'!$A47=4,'Daily Schedule'!$A47=8),IF(OR(WEEKDAY('Daily Schedule'!$B$2,2)=1,WEEKDAY('Daily Schedule'!$B$2,2)=4,WEEKDAY('Daily Schedule'!$B$2,2)=5,WEEKDAY('Daily Schedule'!$B$2,2)=7),IFERROR(1*'Daily Workforce'!$K16&gt;=3,FALSE()),IFERROR(1*'Daily Workforce'!$K16&gt;=2,FALSE())),IF(AND('Daily Schedule'!$A47&gt;=46,'Daily Schedule'!$A47&lt;=52),'Daily Workforce'!$M16="Y",IFERROR(1*'Daily Workforce'!$P16&gt;=2,FALSE()))))),1,0)</f>
        <v>0</v>
      </c>
      <c r="AB43" s="1" t="n">
        <f aca="false">IF(AND('Daily Workforce'!$N17="Y",'Daily Workforce'!$B17&lt;&gt;"",COUNTIF('Daily Schedule'!$F$5:$F46,'Daily Workforce'!$B17)=0,IF('Daily Schedule'!$A47=45,'Daily Workforce'!$J17="Y",IF(OR('Daily Schedule'!$A47=4,'Daily Schedule'!$A47=8),IF(OR(WEEKDAY('Daily Schedule'!$B$2,2)=1,WEEKDAY('Daily Schedule'!$B$2,2)=4,WEEKDAY('Daily Schedule'!$B$2,2)=5,WEEKDAY('Daily Schedule'!$B$2,2)=7),IFERROR(1*'Daily Workforce'!$K17&gt;=3,FALSE()),IFERROR(1*'Daily Workforce'!$K17&gt;=2,FALSE())),IF(AND('Daily Schedule'!$A47&gt;=46,'Daily Schedule'!$A47&lt;=52),'Daily Workforce'!$M17="Y",IFERROR(1*'Daily Workforce'!$P17&gt;=2,FALSE()))))),1,0)</f>
        <v>0</v>
      </c>
      <c r="AC43" s="1" t="n">
        <f aca="false">IF(AND('Daily Workforce'!$N18="Y",'Daily Workforce'!$B18&lt;&gt;"",COUNTIF('Daily Schedule'!$F$5:$F46,'Daily Workforce'!$B18)=0,IF('Daily Schedule'!$A47=45,'Daily Workforce'!$J18="Y",IF(OR('Daily Schedule'!$A47=4,'Daily Schedule'!$A47=8),IF(OR(WEEKDAY('Daily Schedule'!$B$2,2)=1,WEEKDAY('Daily Schedule'!$B$2,2)=4,WEEKDAY('Daily Schedule'!$B$2,2)=5,WEEKDAY('Daily Schedule'!$B$2,2)=7),IFERROR(1*'Daily Workforce'!$K18&gt;=3,FALSE()),IFERROR(1*'Daily Workforce'!$K18&gt;=2,FALSE())),IF(AND('Daily Schedule'!$A47&gt;=46,'Daily Schedule'!$A47&lt;=52),'Daily Workforce'!$M18="Y",IFERROR(1*'Daily Workforce'!$P18&gt;=2,FALSE()))))),1,0)</f>
        <v>0</v>
      </c>
      <c r="AD43" s="1" t="n">
        <f aca="false">IF(AND('Daily Workforce'!$N19="Y",'Daily Workforce'!$B19&lt;&gt;"",COUNTIF('Daily Schedule'!$F$5:$F46,'Daily Workforce'!$B19)=0,IF('Daily Schedule'!$A47=45,'Daily Workforce'!$J19="Y",IF(OR('Daily Schedule'!$A47=4,'Daily Schedule'!$A47=8),IF(OR(WEEKDAY('Daily Schedule'!$B$2,2)=1,WEEKDAY('Daily Schedule'!$B$2,2)=4,WEEKDAY('Daily Schedule'!$B$2,2)=5,WEEKDAY('Daily Schedule'!$B$2,2)=7),IFERROR(1*'Daily Workforce'!$K19&gt;=3,FALSE()),IFERROR(1*'Daily Workforce'!$K19&gt;=2,FALSE())),IF(AND('Daily Schedule'!$A47&gt;=46,'Daily Schedule'!$A47&lt;=52),'Daily Workforce'!$M19="Y",IFERROR(1*'Daily Workforce'!$P19&gt;=2,FALSE()))))),1,0)</f>
        <v>0</v>
      </c>
      <c r="AE43" s="1" t="n">
        <f aca="false">IF(AND('Daily Workforce'!$N20="Y",'Daily Workforce'!$B20&lt;&gt;"",COUNTIF('Daily Schedule'!$F$5:$F46,'Daily Workforce'!$B20)=0,IF('Daily Schedule'!$A47=45,'Daily Workforce'!$J20="Y",IF(OR('Daily Schedule'!$A47=4,'Daily Schedule'!$A47=8),IF(OR(WEEKDAY('Daily Schedule'!$B$2,2)=1,WEEKDAY('Daily Schedule'!$B$2,2)=4,WEEKDAY('Daily Schedule'!$B$2,2)=5,WEEKDAY('Daily Schedule'!$B$2,2)=7),IFERROR(1*'Daily Workforce'!$K20&gt;=3,FALSE()),IFERROR(1*'Daily Workforce'!$K20&gt;=2,FALSE())),IF(AND('Daily Schedule'!$A47&gt;=46,'Daily Schedule'!$A47&lt;=52),'Daily Workforce'!$M20="Y",IFERROR(1*'Daily Workforce'!$P20&gt;=2,FALSE()))))),1,0)</f>
        <v>0</v>
      </c>
      <c r="AF43" s="1" t="n">
        <f aca="false">IF(AND('Daily Workforce'!$N21="Y",'Daily Workforce'!$B21&lt;&gt;"",COUNTIF('Daily Schedule'!$F$5:$F46,'Daily Workforce'!$B21)=0,IF('Daily Schedule'!$A47=45,'Daily Workforce'!$J21="Y",IF(OR('Daily Schedule'!$A47=4,'Daily Schedule'!$A47=8),IF(OR(WEEKDAY('Daily Schedule'!$B$2,2)=1,WEEKDAY('Daily Schedule'!$B$2,2)=4,WEEKDAY('Daily Schedule'!$B$2,2)=5,WEEKDAY('Daily Schedule'!$B$2,2)=7),IFERROR(1*'Daily Workforce'!$K21&gt;=3,FALSE()),IFERROR(1*'Daily Workforce'!$K21&gt;=2,FALSE())),IF(AND('Daily Schedule'!$A47&gt;=46,'Daily Schedule'!$A47&lt;=52),'Daily Workforce'!$M21="Y",IFERROR(1*'Daily Workforce'!$P21&gt;=2,FALSE()))))),1,0)</f>
        <v>0</v>
      </c>
      <c r="AG43" s="1" t="n">
        <f aca="false">IF(AND('Daily Workforce'!$N22="Y",'Daily Workforce'!$B22&lt;&gt;"",COUNTIF('Daily Schedule'!$F$5:$F46,'Daily Workforce'!$B22)=0,IF('Daily Schedule'!$A47=45,'Daily Workforce'!$J22="Y",IF(OR('Daily Schedule'!$A47=4,'Daily Schedule'!$A47=8),IF(OR(WEEKDAY('Daily Schedule'!$B$2,2)=1,WEEKDAY('Daily Schedule'!$B$2,2)=4,WEEKDAY('Daily Schedule'!$B$2,2)=5,WEEKDAY('Daily Schedule'!$B$2,2)=7),IFERROR(1*'Daily Workforce'!$K22&gt;=3,FALSE()),IFERROR(1*'Daily Workforce'!$K22&gt;=2,FALSE())),IF(AND('Daily Schedule'!$A47&gt;=46,'Daily Schedule'!$A47&lt;=52),'Daily Workforce'!$M22="Y",IFERROR(1*'Daily Workforce'!$P22&gt;=2,FALSE()))))),1,0)</f>
        <v>0</v>
      </c>
      <c r="AH43" s="1" t="n">
        <f aca="false">IF(AND('Daily Workforce'!$N23="Y",'Daily Workforce'!$B23&lt;&gt;"",COUNTIF('Daily Schedule'!$F$5:$F46,'Daily Workforce'!$B23)=0,IF('Daily Schedule'!$A47=45,'Daily Workforce'!$J23="Y",IF(OR('Daily Schedule'!$A47=4,'Daily Schedule'!$A47=8),IF(OR(WEEKDAY('Daily Schedule'!$B$2,2)=1,WEEKDAY('Daily Schedule'!$B$2,2)=4,WEEKDAY('Daily Schedule'!$B$2,2)=5,WEEKDAY('Daily Schedule'!$B$2,2)=7),IFERROR(1*'Daily Workforce'!$K23&gt;=3,FALSE()),IFERROR(1*'Daily Workforce'!$K23&gt;=2,FALSE())),IF(AND('Daily Schedule'!$A47&gt;=46,'Daily Schedule'!$A47&lt;=52),'Daily Workforce'!$M23="Y",IFERROR(1*'Daily Workforce'!$P23&gt;=2,FALSE()))))),1,0)</f>
        <v>0</v>
      </c>
      <c r="AI43" s="1" t="n">
        <f aca="false">IF(AND('Daily Workforce'!$N24="Y",'Daily Workforce'!$B24&lt;&gt;"",COUNTIF('Daily Schedule'!$F$5:$F46,'Daily Workforce'!$B24)=0,IF('Daily Schedule'!$A47=45,'Daily Workforce'!$J24="Y",IF(OR('Daily Schedule'!$A47=4,'Daily Schedule'!$A47=8),IF(OR(WEEKDAY('Daily Schedule'!$B$2,2)=1,WEEKDAY('Daily Schedule'!$B$2,2)=4,WEEKDAY('Daily Schedule'!$B$2,2)=5,WEEKDAY('Daily Schedule'!$B$2,2)=7),IFERROR(1*'Daily Workforce'!$K24&gt;=3,FALSE()),IFERROR(1*'Daily Workforce'!$K24&gt;=2,FALSE())),IF(AND('Daily Schedule'!$A47&gt;=46,'Daily Schedule'!$A47&lt;=52),'Daily Workforce'!$M24="Y",IFERROR(1*'Daily Workforce'!$P24&gt;=2,FALSE()))))),1,0)</f>
        <v>0</v>
      </c>
      <c r="AJ43" s="1" t="n">
        <f aca="false">IF(AND('Daily Workforce'!$N25="Y",'Daily Workforce'!$B25&lt;&gt;"",COUNTIF('Daily Schedule'!$F$5:$F46,'Daily Workforce'!$B25)=0,IF('Daily Schedule'!$A47=45,'Daily Workforce'!$J25="Y",IF(OR('Daily Schedule'!$A47=4,'Daily Schedule'!$A47=8),IF(OR(WEEKDAY('Daily Schedule'!$B$2,2)=1,WEEKDAY('Daily Schedule'!$B$2,2)=4,WEEKDAY('Daily Schedule'!$B$2,2)=5,WEEKDAY('Daily Schedule'!$B$2,2)=7),IFERROR(1*'Daily Workforce'!$K25&gt;=3,FALSE()),IFERROR(1*'Daily Workforce'!$K25&gt;=2,FALSE())),IF(AND('Daily Schedule'!$A47&gt;=46,'Daily Schedule'!$A47&lt;=52),'Daily Workforce'!$M25="Y",IFERROR(1*'Daily Workforce'!$P25&gt;=2,FALSE()))))),1,0)</f>
        <v>0</v>
      </c>
      <c r="AK43" s="1" t="n">
        <f aca="false">IF(AND('Daily Workforce'!$N26="Y",'Daily Workforce'!$B26&lt;&gt;"",COUNTIF('Daily Schedule'!$F$5:$F46,'Daily Workforce'!$B26)=0,IF('Daily Schedule'!$A47=45,'Daily Workforce'!$J26="Y",IF(OR('Daily Schedule'!$A47=4,'Daily Schedule'!$A47=8),IF(OR(WEEKDAY('Daily Schedule'!$B$2,2)=1,WEEKDAY('Daily Schedule'!$B$2,2)=4,WEEKDAY('Daily Schedule'!$B$2,2)=5,WEEKDAY('Daily Schedule'!$B$2,2)=7),IFERROR(1*'Daily Workforce'!$K26&gt;=3,FALSE()),IFERROR(1*'Daily Workforce'!$K26&gt;=2,FALSE())),IF(AND('Daily Schedule'!$A47&gt;=46,'Daily Schedule'!$A47&lt;=52),'Daily Workforce'!$M26="Y",IFERROR(1*'Daily Workforce'!$P26&gt;=2,FALSE()))))),1,0)</f>
        <v>0</v>
      </c>
      <c r="AL43" s="1" t="n">
        <f aca="false">IF(AND('Daily Workforce'!$N27="Y",'Daily Workforce'!$B27&lt;&gt;"",COUNTIF('Daily Schedule'!$F$5:$F46,'Daily Workforce'!$B27)=0,IF('Daily Schedule'!$A47=45,'Daily Workforce'!$J27="Y",IF(OR('Daily Schedule'!$A47=4,'Daily Schedule'!$A47=8),IF(OR(WEEKDAY('Daily Schedule'!$B$2,2)=1,WEEKDAY('Daily Schedule'!$B$2,2)=4,WEEKDAY('Daily Schedule'!$B$2,2)=5,WEEKDAY('Daily Schedule'!$B$2,2)=7),IFERROR(1*'Daily Workforce'!$K27&gt;=3,FALSE()),IFERROR(1*'Daily Workforce'!$K27&gt;=2,FALSE())),IF(AND('Daily Schedule'!$A47&gt;=46,'Daily Schedule'!$A47&lt;=52),'Daily Workforce'!$M27="Y",IFERROR(1*'Daily Workforce'!$P27&gt;=2,FALSE()))))),1,0)</f>
        <v>0</v>
      </c>
      <c r="AM43" s="1" t="n">
        <f aca="false">IF(AND('Daily Workforce'!$N28="Y",'Daily Workforce'!$B28&lt;&gt;"",COUNTIF('Daily Schedule'!$F$5:$F46,'Daily Workforce'!$B28)=0,IF('Daily Schedule'!$A47=45,'Daily Workforce'!$J28="Y",IF(OR('Daily Schedule'!$A47=4,'Daily Schedule'!$A47=8),IF(OR(WEEKDAY('Daily Schedule'!$B$2,2)=1,WEEKDAY('Daily Schedule'!$B$2,2)=4,WEEKDAY('Daily Schedule'!$B$2,2)=5,WEEKDAY('Daily Schedule'!$B$2,2)=7),IFERROR(1*'Daily Workforce'!$K28&gt;=3,FALSE()),IFERROR(1*'Daily Workforce'!$K28&gt;=2,FALSE())),IF(AND('Daily Schedule'!$A47&gt;=46,'Daily Schedule'!$A47&lt;=52),'Daily Workforce'!$M28="Y",IFERROR(1*'Daily Workforce'!$P28&gt;=2,FALSE()))))),1,0)</f>
        <v>0</v>
      </c>
      <c r="AN43" s="1" t="n">
        <f aca="false">IF(AND('Daily Workforce'!$N29="Y",'Daily Workforce'!$B29&lt;&gt;"",COUNTIF('Daily Schedule'!$F$5:$F46,'Daily Workforce'!$B29)=0,IF('Daily Schedule'!$A47=45,'Daily Workforce'!$J29="Y",IF(OR('Daily Schedule'!$A47=4,'Daily Schedule'!$A47=8),IF(OR(WEEKDAY('Daily Schedule'!$B$2,2)=1,WEEKDAY('Daily Schedule'!$B$2,2)=4,WEEKDAY('Daily Schedule'!$B$2,2)=5,WEEKDAY('Daily Schedule'!$B$2,2)=7),IFERROR(1*'Daily Workforce'!$K29&gt;=3,FALSE()),IFERROR(1*'Daily Workforce'!$K29&gt;=2,FALSE())),IF(AND('Daily Schedule'!$A47&gt;=46,'Daily Schedule'!$A47&lt;=52),'Daily Workforce'!$M29="Y",IFERROR(1*'Daily Workforce'!$P29&gt;=2,FALSE()))))),1,0)</f>
        <v>0</v>
      </c>
      <c r="AO43" s="1" t="n">
        <f aca="false">IF(AND('Daily Workforce'!$N30="Y",'Daily Workforce'!$B30&lt;&gt;"",COUNTIF('Daily Schedule'!$F$5:$F46,'Daily Workforce'!$B30)=0,IF('Daily Schedule'!$A47=45,'Daily Workforce'!$J30="Y",IF(OR('Daily Schedule'!$A47=4,'Daily Schedule'!$A47=8),IF(OR(WEEKDAY('Daily Schedule'!$B$2,2)=1,WEEKDAY('Daily Schedule'!$B$2,2)=4,WEEKDAY('Daily Schedule'!$B$2,2)=5,WEEKDAY('Daily Schedule'!$B$2,2)=7),IFERROR(1*'Daily Workforce'!$K30&gt;=3,FALSE()),IFERROR(1*'Daily Workforce'!$K30&gt;=2,FALSE())),IF(AND('Daily Schedule'!$A47&gt;=46,'Daily Schedule'!$A47&lt;=52),'Daily Workforce'!$M30="Y",IFERROR(1*'Daily Workforce'!$P30&gt;=2,FALSE()))))),1,0)</f>
        <v>0</v>
      </c>
      <c r="AP43" s="1" t="n">
        <f aca="false">IF(AND('Daily Workforce'!$N31="Y",'Daily Workforce'!$B31&lt;&gt;"",COUNTIF('Daily Schedule'!$F$5:$F46,'Daily Workforce'!$B31)=0,IF('Daily Schedule'!$A47=45,'Daily Workforce'!$J31="Y",IF(OR('Daily Schedule'!$A47=4,'Daily Schedule'!$A47=8),IF(OR(WEEKDAY('Daily Schedule'!$B$2,2)=1,WEEKDAY('Daily Schedule'!$B$2,2)=4,WEEKDAY('Daily Schedule'!$B$2,2)=5,WEEKDAY('Daily Schedule'!$B$2,2)=7),IFERROR(1*'Daily Workforce'!$K31&gt;=3,FALSE()),IFERROR(1*'Daily Workforce'!$K31&gt;=2,FALSE())),IF(AND('Daily Schedule'!$A47&gt;=46,'Daily Schedule'!$A47&lt;=52),'Daily Workforce'!$M31="Y",IFERROR(1*'Daily Workforce'!$P31&gt;=2,FALSE()))))),1,0)</f>
        <v>0</v>
      </c>
      <c r="AQ43" s="1" t="n">
        <f aca="false">IF(AND('Daily Workforce'!$N32="Y",'Daily Workforce'!$B32&lt;&gt;"",COUNTIF('Daily Schedule'!$F$5:$F46,'Daily Workforce'!$B32)=0,IF('Daily Schedule'!$A47=45,'Daily Workforce'!$J32="Y",IF(OR('Daily Schedule'!$A47=4,'Daily Schedule'!$A47=8),IF(OR(WEEKDAY('Daily Schedule'!$B$2,2)=1,WEEKDAY('Daily Schedule'!$B$2,2)=4,WEEKDAY('Daily Schedule'!$B$2,2)=5,WEEKDAY('Daily Schedule'!$B$2,2)=7),IFERROR(1*'Daily Workforce'!$K32&gt;=3,FALSE()),IFERROR(1*'Daily Workforce'!$K32&gt;=2,FALSE())),IF(AND('Daily Schedule'!$A47&gt;=46,'Daily Schedule'!$A47&lt;=52),'Daily Workforce'!$M32="Y",IFERROR(1*'Daily Workforce'!$P32&gt;=2,FALSE()))))),1,0)</f>
        <v>0</v>
      </c>
      <c r="AR43" s="1" t="n">
        <f aca="false">IF(AND('Daily Workforce'!$N33="Y",'Daily Workforce'!$B33&lt;&gt;"",COUNTIF('Daily Schedule'!$F$5:$F46,'Daily Workforce'!$B33)=0,IF('Daily Schedule'!$A47=45,'Daily Workforce'!$J33="Y",IF(OR('Daily Schedule'!$A47=4,'Daily Schedule'!$A47=8),IF(OR(WEEKDAY('Daily Schedule'!$B$2,2)=1,WEEKDAY('Daily Schedule'!$B$2,2)=4,WEEKDAY('Daily Schedule'!$B$2,2)=5,WEEKDAY('Daily Schedule'!$B$2,2)=7),IFERROR(1*'Daily Workforce'!$K33&gt;=3,FALSE()),IFERROR(1*'Daily Workforce'!$K33&gt;=2,FALSE())),IF(AND('Daily Schedule'!$A47&gt;=46,'Daily Schedule'!$A47&lt;=52),'Daily Workforce'!$M33="Y",IFERROR(1*'Daily Workforce'!$P33&gt;=2,FALSE()))))),1,0)</f>
        <v>0</v>
      </c>
      <c r="AS43" s="1" t="n">
        <f aca="false">IF(AND('Daily Workforce'!$N34="Y",'Daily Workforce'!$B34&lt;&gt;"",COUNTIF('Daily Schedule'!$F$5:$F46,'Daily Workforce'!$B34)=0,IF('Daily Schedule'!$A47=45,'Daily Workforce'!$J34="Y",IF(OR('Daily Schedule'!$A47=4,'Daily Schedule'!$A47=8),IF(OR(WEEKDAY('Daily Schedule'!$B$2,2)=1,WEEKDAY('Daily Schedule'!$B$2,2)=4,WEEKDAY('Daily Schedule'!$B$2,2)=5,WEEKDAY('Daily Schedule'!$B$2,2)=7),IFERROR(1*'Daily Workforce'!$K34&gt;=3,FALSE()),IFERROR(1*'Daily Workforce'!$K34&gt;=2,FALSE())),IF(AND('Daily Schedule'!$A47&gt;=46,'Daily Schedule'!$A47&lt;=52),'Daily Workforce'!$M34="Y",IFERROR(1*'Daily Workforce'!$P34&gt;=2,FALSE()))))),1,0)</f>
        <v>0</v>
      </c>
      <c r="AT43" s="1" t="n">
        <f aca="false">IF(AND('Daily Workforce'!$N35="Y",'Daily Workforce'!$B35&lt;&gt;"",COUNTIF('Daily Schedule'!$F$5:$F46,'Daily Workforce'!$B35)=0,IF('Daily Schedule'!$A47=45,'Daily Workforce'!$J35="Y",IF(OR('Daily Schedule'!$A47=4,'Daily Schedule'!$A47=8),IF(OR(WEEKDAY('Daily Schedule'!$B$2,2)=1,WEEKDAY('Daily Schedule'!$B$2,2)=4,WEEKDAY('Daily Schedule'!$B$2,2)=5,WEEKDAY('Daily Schedule'!$B$2,2)=7),IFERROR(1*'Daily Workforce'!$K35&gt;=3,FALSE()),IFERROR(1*'Daily Workforce'!$K35&gt;=2,FALSE())),IF(AND('Daily Schedule'!$A47&gt;=46,'Daily Schedule'!$A47&lt;=52),'Daily Workforce'!$M35="Y",IFERROR(1*'Daily Workforce'!$P35&gt;=2,FALSE()))))),1,0)</f>
        <v>0</v>
      </c>
      <c r="AU43" s="1" t="n">
        <f aca="false">IF(AND('Daily Workforce'!$N36="Y",'Daily Workforce'!$B36&lt;&gt;"",COUNTIF('Daily Schedule'!$F$5:$F46,'Daily Workforce'!$B36)=0,IF('Daily Schedule'!$A47=45,'Daily Workforce'!$J36="Y",IF(OR('Daily Schedule'!$A47=4,'Daily Schedule'!$A47=8),IF(OR(WEEKDAY('Daily Schedule'!$B$2,2)=1,WEEKDAY('Daily Schedule'!$B$2,2)=4,WEEKDAY('Daily Schedule'!$B$2,2)=5,WEEKDAY('Daily Schedule'!$B$2,2)=7),IFERROR(1*'Daily Workforce'!$K36&gt;=3,FALSE()),IFERROR(1*'Daily Workforce'!$K36&gt;=2,FALSE())),IF(AND('Daily Schedule'!$A47&gt;=46,'Daily Schedule'!$A47&lt;=52),'Daily Workforce'!$M36="Y",IFERROR(1*'Daily Workforce'!$P36&gt;=2,FALSE()))))),1,0)</f>
        <v>0</v>
      </c>
      <c r="AV43" s="1" t="n">
        <f aca="false">IF(AND('Daily Workforce'!$N37="Y",'Daily Workforce'!$B37&lt;&gt;"",COUNTIF('Daily Schedule'!$F$5:$F46,'Daily Workforce'!$B37)=0,IF('Daily Schedule'!$A47=45,'Daily Workforce'!$J37="Y",IF(OR('Daily Schedule'!$A47=4,'Daily Schedule'!$A47=8),IF(OR(WEEKDAY('Daily Schedule'!$B$2,2)=1,WEEKDAY('Daily Schedule'!$B$2,2)=4,WEEKDAY('Daily Schedule'!$B$2,2)=5,WEEKDAY('Daily Schedule'!$B$2,2)=7),IFERROR(1*'Daily Workforce'!$K37&gt;=3,FALSE()),IFERROR(1*'Daily Workforce'!$K37&gt;=2,FALSE())),IF(AND('Daily Schedule'!$A47&gt;=46,'Daily Schedule'!$A47&lt;=52),'Daily Workforce'!$M37="Y",IFERROR(1*'Daily Workforce'!$P37&gt;=2,FALSE()))))),1,0)</f>
        <v>0</v>
      </c>
      <c r="AW43" s="1" t="n">
        <f aca="false">IF(AND('Daily Workforce'!$N38="Y",'Daily Workforce'!$B38&lt;&gt;"",COUNTIF('Daily Schedule'!$F$5:$F46,'Daily Workforce'!$B38)=0,IF('Daily Schedule'!$A47=45,'Daily Workforce'!$J38="Y",IF(OR('Daily Schedule'!$A47=4,'Daily Schedule'!$A47=8),IF(OR(WEEKDAY('Daily Schedule'!$B$2,2)=1,WEEKDAY('Daily Schedule'!$B$2,2)=4,WEEKDAY('Daily Schedule'!$B$2,2)=5,WEEKDAY('Daily Schedule'!$B$2,2)=7),IFERROR(1*'Daily Workforce'!$K38&gt;=3,FALSE()),IFERROR(1*'Daily Workforce'!$K38&gt;=2,FALSE())),IF(AND('Daily Schedule'!$A47&gt;=46,'Daily Schedule'!$A47&lt;=52),'Daily Workforce'!$M38="Y",IFERROR(1*'Daily Workforce'!$P38&gt;=2,FALSE()))))),1,0)</f>
        <v>0</v>
      </c>
      <c r="AX43" s="1" t="n">
        <f aca="false">IF(AND('Daily Workforce'!$N39="Y",'Daily Workforce'!$B39&lt;&gt;"",COUNTIF('Daily Schedule'!$F$5:$F46,'Daily Workforce'!$B39)=0,IF('Daily Schedule'!$A47=45,'Daily Workforce'!$J39="Y",IF(OR('Daily Schedule'!$A47=4,'Daily Schedule'!$A47=8),IF(OR(WEEKDAY('Daily Schedule'!$B$2,2)=1,WEEKDAY('Daily Schedule'!$B$2,2)=4,WEEKDAY('Daily Schedule'!$B$2,2)=5,WEEKDAY('Daily Schedule'!$B$2,2)=7),IFERROR(1*'Daily Workforce'!$K39&gt;=3,FALSE()),IFERROR(1*'Daily Workforce'!$K39&gt;=2,FALSE())),IF(AND('Daily Schedule'!$A47&gt;=46,'Daily Schedule'!$A47&lt;=52),'Daily Workforce'!$M39="Y",IFERROR(1*'Daily Workforce'!$P39&gt;=2,FALSE()))))),1,0)</f>
        <v>0</v>
      </c>
      <c r="AY43" s="1" t="n">
        <f aca="false">IF(AND('Daily Workforce'!$N40="Y",'Daily Workforce'!$B40&lt;&gt;"",COUNTIF('Daily Schedule'!$F$5:$F46,'Daily Workforce'!$B40)=0,IF('Daily Schedule'!$A47=45,'Daily Workforce'!$J40="Y",IF(OR('Daily Schedule'!$A47=4,'Daily Schedule'!$A47=8),IF(OR(WEEKDAY('Daily Schedule'!$B$2,2)=1,WEEKDAY('Daily Schedule'!$B$2,2)=4,WEEKDAY('Daily Schedule'!$B$2,2)=5,WEEKDAY('Daily Schedule'!$B$2,2)=7),IFERROR(1*'Daily Workforce'!$K40&gt;=3,FALSE()),IFERROR(1*'Daily Workforce'!$K40&gt;=2,FALSE())),IF(AND('Daily Schedule'!$A47&gt;=46,'Daily Schedule'!$A47&lt;=52),'Daily Workforce'!$M40="Y",IFERROR(1*'Daily Workforce'!$P40&gt;=2,FALSE()))))),1,0)</f>
        <v>0</v>
      </c>
      <c r="AZ43" s="1" t="n">
        <f aca="false">IF(AND('Daily Workforce'!$N41="Y",'Daily Workforce'!$B41&lt;&gt;"",COUNTIF('Daily Schedule'!$F$5:$F46,'Daily Workforce'!$B41)=0,IF('Daily Schedule'!$A47=45,'Daily Workforce'!$J41="Y",IF(OR('Daily Schedule'!$A47=4,'Daily Schedule'!$A47=8),IF(OR(WEEKDAY('Daily Schedule'!$B$2,2)=1,WEEKDAY('Daily Schedule'!$B$2,2)=4,WEEKDAY('Daily Schedule'!$B$2,2)=5,WEEKDAY('Daily Schedule'!$B$2,2)=7),IFERROR(1*'Daily Workforce'!$K41&gt;=3,FALSE()),IFERROR(1*'Daily Workforce'!$K41&gt;=2,FALSE())),IF(AND('Daily Schedule'!$A47&gt;=46,'Daily Schedule'!$A47&lt;=52),'Daily Workforce'!$M41="Y",IFERROR(1*'Daily Workforce'!$P41&gt;=2,FALSE()))))),1,0)</f>
        <v>0</v>
      </c>
      <c r="BA43" s="1" t="n">
        <f aca="false">IF(AND('Daily Workforce'!$N42="Y",'Daily Workforce'!$B42&lt;&gt;"",COUNTIF('Daily Schedule'!$F$5:$F46,'Daily Workforce'!$B42)=0,IF('Daily Schedule'!$A47=45,'Daily Workforce'!$J42="Y",IF(OR('Daily Schedule'!$A47=4,'Daily Schedule'!$A47=8),IF(OR(WEEKDAY('Daily Schedule'!$B$2,2)=1,WEEKDAY('Daily Schedule'!$B$2,2)=4,WEEKDAY('Daily Schedule'!$B$2,2)=5,WEEKDAY('Daily Schedule'!$B$2,2)=7),IFERROR(1*'Daily Workforce'!$K42&gt;=3,FALSE()),IFERROR(1*'Daily Workforce'!$K42&gt;=2,FALSE())),IF(AND('Daily Schedule'!$A47&gt;=46,'Daily Schedule'!$A47&lt;=52),'Daily Workforce'!$M42="Y",IFERROR(1*'Daily Workforce'!$P42&gt;=2,FALSE()))))),1,0)</f>
        <v>0</v>
      </c>
      <c r="BB43" s="1" t="n">
        <f aca="false">IF(AND('Daily Workforce'!$N43="Y",'Daily Workforce'!$B43&lt;&gt;"",COUNTIF('Daily Schedule'!$F$5:$F46,'Daily Workforce'!$B43)=0,IF('Daily Schedule'!$A47=45,'Daily Workforce'!$J43="Y",IF(OR('Daily Schedule'!$A47=4,'Daily Schedule'!$A47=8),IF(OR(WEEKDAY('Daily Schedule'!$B$2,2)=1,WEEKDAY('Daily Schedule'!$B$2,2)=4,WEEKDAY('Daily Schedule'!$B$2,2)=5,WEEKDAY('Daily Schedule'!$B$2,2)=7),IFERROR(1*'Daily Workforce'!$K43&gt;=3,FALSE()),IFERROR(1*'Daily Workforce'!$K43&gt;=2,FALSE())),IF(AND('Daily Schedule'!$A47&gt;=46,'Daily Schedule'!$A47&lt;=52),'Daily Workforce'!$M43="Y",IFERROR(1*'Daily Workforce'!$P43&gt;=2,FALSE()))))),1,0)</f>
        <v>0</v>
      </c>
      <c r="BC43" s="1" t="n">
        <f aca="false">IF(AND('Daily Workforce'!$N44="Y",'Daily Workforce'!$B44&lt;&gt;"",COUNTIF('Daily Schedule'!$F$5:$F46,'Daily Workforce'!$B44)=0,IF('Daily Schedule'!$A47=45,'Daily Workforce'!$J44="Y",IF(OR('Daily Schedule'!$A47=4,'Daily Schedule'!$A47=8),IF(OR(WEEKDAY('Daily Schedule'!$B$2,2)=1,WEEKDAY('Daily Schedule'!$B$2,2)=4,WEEKDAY('Daily Schedule'!$B$2,2)=5,WEEKDAY('Daily Schedule'!$B$2,2)=7),IFERROR(1*'Daily Workforce'!$K44&gt;=3,FALSE()),IFERROR(1*'Daily Workforce'!$K44&gt;=2,FALSE())),IF(AND('Daily Schedule'!$A47&gt;=46,'Daily Schedule'!$A47&lt;=52),'Daily Workforce'!$M44="Y",IFERROR(1*'Daily Workforce'!$P44&gt;=2,FALSE()))))),1,0)</f>
        <v>0</v>
      </c>
      <c r="BD43" s="1" t="n">
        <f aca="false">IF(AND('Daily Workforce'!$N45="Y",'Daily Workforce'!$B45&lt;&gt;"",COUNTIF('Daily Schedule'!$F$5:$F46,'Daily Workforce'!$B45)=0,IF('Daily Schedule'!$A47=45,'Daily Workforce'!$J45="Y",IF(OR('Daily Schedule'!$A47=4,'Daily Schedule'!$A47=8),IF(OR(WEEKDAY('Daily Schedule'!$B$2,2)=1,WEEKDAY('Daily Schedule'!$B$2,2)=4,WEEKDAY('Daily Schedule'!$B$2,2)=5,WEEKDAY('Daily Schedule'!$B$2,2)=7),IFERROR(1*'Daily Workforce'!$K45&gt;=3,FALSE()),IFERROR(1*'Daily Workforce'!$K45&gt;=2,FALSE())),IF(AND('Daily Schedule'!$A47&gt;=46,'Daily Schedule'!$A47&lt;=52),'Daily Workforce'!$M45="Y",IFERROR(1*'Daily Workforce'!$P45&gt;=2,FALSE()))))),1,0)</f>
        <v>0</v>
      </c>
      <c r="BE43" s="1" t="n">
        <f aca="false">IF(AND('Daily Workforce'!$N46="Y",'Daily Workforce'!$B46&lt;&gt;"",COUNTIF('Daily Schedule'!$F$5:$F46,'Daily Workforce'!$B46)=0,IF('Daily Schedule'!$A47=45,'Daily Workforce'!$J46="Y",IF(OR('Daily Schedule'!$A47=4,'Daily Schedule'!$A47=8),IF(OR(WEEKDAY('Daily Schedule'!$B$2,2)=1,WEEKDAY('Daily Schedule'!$B$2,2)=4,WEEKDAY('Daily Schedule'!$B$2,2)=5,WEEKDAY('Daily Schedule'!$B$2,2)=7),IFERROR(1*'Daily Workforce'!$K46&gt;=3,FALSE()),IFERROR(1*'Daily Workforce'!$K46&gt;=2,FALSE())),IF(AND('Daily Schedule'!$A47&gt;=46,'Daily Schedule'!$A47&lt;=52),'Daily Workforce'!$M46="Y",IFERROR(1*'Daily Workforce'!$P46&gt;=2,FALSE()))))),1,0)</f>
        <v>1</v>
      </c>
      <c r="BF43" s="1" t="n">
        <f aca="false">IF(AND('Daily Workforce'!$N47="Y",'Daily Workforce'!$B47&lt;&gt;"",COUNTIF('Daily Schedule'!$F$5:$F46,'Daily Workforce'!$B47)=0,IF('Daily Schedule'!$A47=45,'Daily Workforce'!$J47="Y",IF(OR('Daily Schedule'!$A47=4,'Daily Schedule'!$A47=8),IF(OR(WEEKDAY('Daily Schedule'!$B$2,2)=1,WEEKDAY('Daily Schedule'!$B$2,2)=4,WEEKDAY('Daily Schedule'!$B$2,2)=5,WEEKDAY('Daily Schedule'!$B$2,2)=7),IFERROR(1*'Daily Workforce'!$K47&gt;=3,FALSE()),IFERROR(1*'Daily Workforce'!$K47&gt;=2,FALSE())),IF(AND('Daily Schedule'!$A47&gt;=46,'Daily Schedule'!$A47&lt;=52),'Daily Workforce'!$M47="Y",IFERROR(1*'Daily Workforce'!$P47&gt;=2,FALSE()))))),1,0)</f>
        <v>0</v>
      </c>
      <c r="BG43" s="1" t="n">
        <f aca="false">IF(AND('Daily Workforce'!$N48="Y",'Daily Workforce'!$B48&lt;&gt;"",COUNTIF('Daily Schedule'!$F$5:$F46,'Daily Workforce'!$B48)=0,IF('Daily Schedule'!$A47=45,'Daily Workforce'!$J48="Y",IF(OR('Daily Schedule'!$A47=4,'Daily Schedule'!$A47=8),IF(OR(WEEKDAY('Daily Schedule'!$B$2,2)=1,WEEKDAY('Daily Schedule'!$B$2,2)=4,WEEKDAY('Daily Schedule'!$B$2,2)=5,WEEKDAY('Daily Schedule'!$B$2,2)=7),IFERROR(1*'Daily Workforce'!$K48&gt;=3,FALSE()),IFERROR(1*'Daily Workforce'!$K48&gt;=2,FALSE())),IF(AND('Daily Schedule'!$A47&gt;=46,'Daily Schedule'!$A47&lt;=52),'Daily Workforce'!$M48="Y",IFERROR(1*'Daily Workforce'!$P48&gt;=2,FALSE()))))),1,0)</f>
        <v>1</v>
      </c>
      <c r="BH43" s="1" t="n">
        <f aca="false">IF(AND('Daily Workforce'!$N49="Y",'Daily Workforce'!$B49&lt;&gt;"",COUNTIF('Daily Schedule'!$F$5:$F46,'Daily Workforce'!$B49)=0,IF('Daily Schedule'!$A47=45,'Daily Workforce'!$J49="Y",IF(OR('Daily Schedule'!$A47=4,'Daily Schedule'!$A47=8),IF(OR(WEEKDAY('Daily Schedule'!$B$2,2)=1,WEEKDAY('Daily Schedule'!$B$2,2)=4,WEEKDAY('Daily Schedule'!$B$2,2)=5,WEEKDAY('Daily Schedule'!$B$2,2)=7),IFERROR(1*'Daily Workforce'!$K49&gt;=3,FALSE()),IFERROR(1*'Daily Workforce'!$K49&gt;=2,FALSE())),IF(AND('Daily Schedule'!$A47&gt;=46,'Daily Schedule'!$A47&lt;=52),'Daily Workforce'!$M49="Y",IFERROR(1*'Daily Workforce'!$P49&gt;=2,FALSE()))))),1,0)</f>
        <v>1</v>
      </c>
      <c r="BI43" s="1" t="n">
        <f aca="false">IF(AND('Daily Workforce'!$N50="Y",'Daily Workforce'!$B50&lt;&gt;"",COUNTIF('Daily Schedule'!$F$5:$F46,'Daily Workforce'!$B50)=0,IF('Daily Schedule'!$A47=45,'Daily Workforce'!$J50="Y",IF(OR('Daily Schedule'!$A47=4,'Daily Schedule'!$A47=8),IF(OR(WEEKDAY('Daily Schedule'!$B$2,2)=1,WEEKDAY('Daily Schedule'!$B$2,2)=4,WEEKDAY('Daily Schedule'!$B$2,2)=5,WEEKDAY('Daily Schedule'!$B$2,2)=7),IFERROR(1*'Daily Workforce'!$K50&gt;=3,FALSE()),IFERROR(1*'Daily Workforce'!$K50&gt;=2,FALSE())),IF(AND('Daily Schedule'!$A47&gt;=46,'Daily Schedule'!$A47&lt;=52),'Daily Workforce'!$M50="Y",IFERROR(1*'Daily Workforce'!$P50&gt;=2,FALSE()))))),1,0)</f>
        <v>0</v>
      </c>
      <c r="BJ43" s="1" t="n">
        <f aca="false">IF(AND('Daily Workforce'!$N51="Y",'Daily Workforce'!$B51&lt;&gt;"",COUNTIF('Daily Schedule'!$F$5:$F46,'Daily Workforce'!$B51)=0,IF('Daily Schedule'!$A47=45,'Daily Workforce'!$J51="Y",IF(OR('Daily Schedule'!$A47=4,'Daily Schedule'!$A47=8),IF(OR(WEEKDAY('Daily Schedule'!$B$2,2)=1,WEEKDAY('Daily Schedule'!$B$2,2)=4,WEEKDAY('Daily Schedule'!$B$2,2)=5,WEEKDAY('Daily Schedule'!$B$2,2)=7),IFERROR(1*'Daily Workforce'!$K51&gt;=3,FALSE()),IFERROR(1*'Daily Workforce'!$K51&gt;=2,FALSE())),IF(AND('Daily Schedule'!$A47&gt;=46,'Daily Schedule'!$A47&lt;=52),'Daily Workforce'!$M51="Y",IFERROR(1*'Daily Workforce'!$P51&gt;=2,FALSE()))))),1,0)</f>
        <v>1</v>
      </c>
      <c r="BK43" s="1" t="n">
        <f aca="false">IF(AND('Daily Workforce'!$N52="Y",'Daily Workforce'!$B52&lt;&gt;"",COUNTIF('Daily Schedule'!$F$5:$F46,'Daily Workforce'!$B52)=0,IF('Daily Schedule'!$A47=45,'Daily Workforce'!$J52="Y",IF(OR('Daily Schedule'!$A47=4,'Daily Schedule'!$A47=8),IF(OR(WEEKDAY('Daily Schedule'!$B$2,2)=1,WEEKDAY('Daily Schedule'!$B$2,2)=4,WEEKDAY('Daily Schedule'!$B$2,2)=5,WEEKDAY('Daily Schedule'!$B$2,2)=7),IFERROR(1*'Daily Workforce'!$K52&gt;=3,FALSE()),IFERROR(1*'Daily Workforce'!$K52&gt;=2,FALSE())),IF(AND('Daily Schedule'!$A47&gt;=46,'Daily Schedule'!$A47&lt;=52),'Daily Workforce'!$M52="Y",IFERROR(1*'Daily Workforce'!$P52&gt;=2,FALSE()))))),1,0)</f>
        <v>1</v>
      </c>
      <c r="BL43" s="1" t="n">
        <f aca="false">IF(AND('Daily Workforce'!$N53="Y",'Daily Workforce'!$B53&lt;&gt;"",COUNTIF('Daily Schedule'!$F$5:$F46,'Daily Workforce'!$B53)=0,IF('Daily Schedule'!$A47=45,'Daily Workforce'!$J53="Y",IF(OR('Daily Schedule'!$A47=4,'Daily Schedule'!$A47=8),IF(OR(WEEKDAY('Daily Schedule'!$B$2,2)=1,WEEKDAY('Daily Schedule'!$B$2,2)=4,WEEKDAY('Daily Schedule'!$B$2,2)=5,WEEKDAY('Daily Schedule'!$B$2,2)=7),IFERROR(1*'Daily Workforce'!$K53&gt;=3,FALSE()),IFERROR(1*'Daily Workforce'!$K53&gt;=2,FALSE())),IF(AND('Daily Schedule'!$A47&gt;=46,'Daily Schedule'!$A47&lt;=52),'Daily Workforce'!$M53="Y",IFERROR(1*'Daily Workforce'!$P53&gt;=2,FALSE()))))),1,0)</f>
        <v>1</v>
      </c>
      <c r="BM43" s="1" t="n">
        <f aca="false">IF(AND('Daily Workforce'!$N54="Y",'Daily Workforce'!$B54&lt;&gt;"",COUNTIF('Daily Schedule'!$F$5:$F46,'Daily Workforce'!$B54)=0,IF('Daily Schedule'!$A47=45,'Daily Workforce'!$J54="Y",IF(OR('Daily Schedule'!$A47=4,'Daily Schedule'!$A47=8),IF(OR(WEEKDAY('Daily Schedule'!$B$2,2)=1,WEEKDAY('Daily Schedule'!$B$2,2)=4,WEEKDAY('Daily Schedule'!$B$2,2)=5,WEEKDAY('Daily Schedule'!$B$2,2)=7),IFERROR(1*'Daily Workforce'!$K54&gt;=3,FALSE()),IFERROR(1*'Daily Workforce'!$K54&gt;=2,FALSE())),IF(AND('Daily Schedule'!$A47&gt;=46,'Daily Schedule'!$A47&lt;=52),'Daily Workforce'!$M54="Y",IFERROR(1*'Daily Workforce'!$P54&gt;=2,FALSE()))))),1,0)</f>
        <v>1</v>
      </c>
      <c r="BN43" s="1" t="n">
        <f aca="false">IF(AND('Daily Workforce'!$N55="Y",'Daily Workforce'!$B55&lt;&gt;"",COUNTIF('Daily Schedule'!$F$5:$F46,'Daily Workforce'!$B55)=0,IF('Daily Schedule'!$A47=45,'Daily Workforce'!$J55="Y",IF(OR('Daily Schedule'!$A47=4,'Daily Schedule'!$A47=8),IF(OR(WEEKDAY('Daily Schedule'!$B$2,2)=1,WEEKDAY('Daily Schedule'!$B$2,2)=4,WEEKDAY('Daily Schedule'!$B$2,2)=5,WEEKDAY('Daily Schedule'!$B$2,2)=7),IFERROR(1*'Daily Workforce'!$K55&gt;=3,FALSE()),IFERROR(1*'Daily Workforce'!$K55&gt;=2,FALSE())),IF(AND('Daily Schedule'!$A47&gt;=46,'Daily Schedule'!$A47&lt;=52),'Daily Workforce'!$M55="Y",IFERROR(1*'Daily Workforce'!$P55&gt;=2,FALSE()))))),1,0)</f>
        <v>1</v>
      </c>
      <c r="BO43" s="1" t="n">
        <f aca="false">IF(AND('Daily Workforce'!$N56="Y",'Daily Workforce'!$B56&lt;&gt;"",COUNTIF('Daily Schedule'!$F$5:$F46,'Daily Workforce'!$B56)=0,IF('Daily Schedule'!$A47=45,'Daily Workforce'!$J56="Y",IF(OR('Daily Schedule'!$A47=4,'Daily Schedule'!$A47=8),IF(OR(WEEKDAY('Daily Schedule'!$B$2,2)=1,WEEKDAY('Daily Schedule'!$B$2,2)=4,WEEKDAY('Daily Schedule'!$B$2,2)=5,WEEKDAY('Daily Schedule'!$B$2,2)=7),IFERROR(1*'Daily Workforce'!$K56&gt;=3,FALSE()),IFERROR(1*'Daily Workforce'!$K56&gt;=2,FALSE())),IF(AND('Daily Schedule'!$A47&gt;=46,'Daily Schedule'!$A47&lt;=52),'Daily Workforce'!$M56="Y",IFERROR(1*'Daily Workforce'!$P56&gt;=2,FALSE()))))),1,0)</f>
        <v>1</v>
      </c>
      <c r="BP43" s="1" t="n">
        <f aca="false">IF(AND('Daily Workforce'!$N57="Y",'Daily Workforce'!$B57&lt;&gt;"",COUNTIF('Daily Schedule'!$F$5:$F46,'Daily Workforce'!$B57)=0,IF('Daily Schedule'!$A47=45,'Daily Workforce'!$J57="Y",IF(OR('Daily Schedule'!$A47=4,'Daily Schedule'!$A47=8),IF(OR(WEEKDAY('Daily Schedule'!$B$2,2)=1,WEEKDAY('Daily Schedule'!$B$2,2)=4,WEEKDAY('Daily Schedule'!$B$2,2)=5,WEEKDAY('Daily Schedule'!$B$2,2)=7),IFERROR(1*'Daily Workforce'!$K57&gt;=3,FALSE()),IFERROR(1*'Daily Workforce'!$K57&gt;=2,FALSE())),IF(AND('Daily Schedule'!$A47&gt;=46,'Daily Schedule'!$A47&lt;=52),'Daily Workforce'!$M57="Y",IFERROR(1*'Daily Workforce'!$P57&gt;=2,FALSE()))))),1,0)</f>
        <v>0</v>
      </c>
      <c r="BQ43" s="1" t="n">
        <f aca="false">IF(AND('Daily Workforce'!$N58="Y",'Daily Workforce'!$B58&lt;&gt;"",COUNTIF('Daily Schedule'!$F$5:$F46,'Daily Workforce'!$B58)=0,IF('Daily Schedule'!$A47=45,'Daily Workforce'!$J58="Y",IF(OR('Daily Schedule'!$A47=4,'Daily Schedule'!$A47=8),IF(OR(WEEKDAY('Daily Schedule'!$B$2,2)=1,WEEKDAY('Daily Schedule'!$B$2,2)=4,WEEKDAY('Daily Schedule'!$B$2,2)=5,WEEKDAY('Daily Schedule'!$B$2,2)=7),IFERROR(1*'Daily Workforce'!$K58&gt;=3,FALSE()),IFERROR(1*'Daily Workforce'!$K58&gt;=2,FALSE())),IF(AND('Daily Schedule'!$A47&gt;=46,'Daily Schedule'!$A47&lt;=52),'Daily Workforce'!$M58="Y",IFERROR(1*'Daily Workforce'!$P58&gt;=2,FALSE()))))),1,0)</f>
        <v>1</v>
      </c>
      <c r="BR43" s="1" t="n">
        <f aca="false">IF(AND('Daily Workforce'!$N59="Y",'Daily Workforce'!$B59&lt;&gt;"",COUNTIF('Daily Schedule'!$F$5:$F46,'Daily Workforce'!$B59)=0,IF('Daily Schedule'!$A47=45,'Daily Workforce'!$J59="Y",IF(OR('Daily Schedule'!$A47=4,'Daily Schedule'!$A47=8),IF(OR(WEEKDAY('Daily Schedule'!$B$2,2)=1,WEEKDAY('Daily Schedule'!$B$2,2)=4,WEEKDAY('Daily Schedule'!$B$2,2)=5,WEEKDAY('Daily Schedule'!$B$2,2)=7),IFERROR(1*'Daily Workforce'!$K59&gt;=3,FALSE()),IFERROR(1*'Daily Workforce'!$K59&gt;=2,FALSE())),IF(AND('Daily Schedule'!$A47&gt;=46,'Daily Schedule'!$A47&lt;=52),'Daily Workforce'!$M59="Y",IFERROR(1*'Daily Workforce'!$P59&gt;=2,FALSE()))))),1,0)</f>
        <v>1</v>
      </c>
      <c r="BS43" s="1" t="n">
        <f aca="false">IF(AND('Daily Workforce'!$N60="Y",'Daily Workforce'!$B60&lt;&gt;"",COUNTIF('Daily Schedule'!$F$5:$F46,'Daily Workforce'!$B60)=0,IF('Daily Schedule'!$A47=45,'Daily Workforce'!$J60="Y",IF(OR('Daily Schedule'!$A47=4,'Daily Schedule'!$A47=8),IF(OR(WEEKDAY('Daily Schedule'!$B$2,2)=1,WEEKDAY('Daily Schedule'!$B$2,2)=4,WEEKDAY('Daily Schedule'!$B$2,2)=5,WEEKDAY('Daily Schedule'!$B$2,2)=7),IFERROR(1*'Daily Workforce'!$K60&gt;=3,FALSE()),IFERROR(1*'Daily Workforce'!$K60&gt;=2,FALSE())),IF(AND('Daily Schedule'!$A47&gt;=46,'Daily Schedule'!$A47&lt;=52),'Daily Workforce'!$M60="Y",IFERROR(1*'Daily Workforce'!$P60&gt;=2,FALSE()))))),1,0)</f>
        <v>1</v>
      </c>
      <c r="BT43" s="1" t="n">
        <f aca="false">IF(AND('Daily Workforce'!$N61="Y",'Daily Workforce'!$B61&lt;&gt;"",COUNTIF('Daily Schedule'!$F$5:$F46,'Daily Workforce'!$B61)=0,IF('Daily Schedule'!$A47=45,'Daily Workforce'!$J61="Y",IF(OR('Daily Schedule'!$A47=4,'Daily Schedule'!$A47=8),IF(OR(WEEKDAY('Daily Schedule'!$B$2,2)=1,WEEKDAY('Daily Schedule'!$B$2,2)=4,WEEKDAY('Daily Schedule'!$B$2,2)=5,WEEKDAY('Daily Schedule'!$B$2,2)=7),IFERROR(1*'Daily Workforce'!$K61&gt;=3,FALSE()),IFERROR(1*'Daily Workforce'!$K61&gt;=2,FALSE())),IF(AND('Daily Schedule'!$A47&gt;=46,'Daily Schedule'!$A47&lt;=52),'Daily Workforce'!$M61="Y",IFERROR(1*'Daily Workforce'!$P61&gt;=2,FALSE()))))),1,0)</f>
        <v>0</v>
      </c>
      <c r="BU43" s="1" t="n">
        <f aca="false">IF(AND('Daily Workforce'!$N62="Y",'Daily Workforce'!$B62&lt;&gt;"",COUNTIF('Daily Schedule'!$F$5:$F46,'Daily Workforce'!$B62)=0,IF('Daily Schedule'!$A47=45,'Daily Workforce'!$J62="Y",IF(OR('Daily Schedule'!$A47=4,'Daily Schedule'!$A47=8),IF(OR(WEEKDAY('Daily Schedule'!$B$2,2)=1,WEEKDAY('Daily Schedule'!$B$2,2)=4,WEEKDAY('Daily Schedule'!$B$2,2)=5,WEEKDAY('Daily Schedule'!$B$2,2)=7),IFERROR(1*'Daily Workforce'!$K62&gt;=3,FALSE()),IFERROR(1*'Daily Workforce'!$K62&gt;=2,FALSE())),IF(AND('Daily Schedule'!$A47&gt;=46,'Daily Schedule'!$A47&lt;=52),'Daily Workforce'!$M62="Y",IFERROR(1*'Daily Workforce'!$P62&gt;=2,FALSE()))))),1,0)</f>
        <v>1</v>
      </c>
      <c r="BV43" s="1" t="n">
        <f aca="false">IF(AND('Daily Workforce'!$N63="Y",'Daily Workforce'!$B63&lt;&gt;"",COUNTIF('Daily Schedule'!$F$5:$F46,'Daily Workforce'!$B63)=0,IF('Daily Schedule'!$A47=45,'Daily Workforce'!$J63="Y",IF(OR('Daily Schedule'!$A47=4,'Daily Schedule'!$A47=8),IF(OR(WEEKDAY('Daily Schedule'!$B$2,2)=1,WEEKDAY('Daily Schedule'!$B$2,2)=4,WEEKDAY('Daily Schedule'!$B$2,2)=5,WEEKDAY('Daily Schedule'!$B$2,2)=7),IFERROR(1*'Daily Workforce'!$K63&gt;=3,FALSE()),IFERROR(1*'Daily Workforce'!$K63&gt;=2,FALSE())),IF(AND('Daily Schedule'!$A47&gt;=46,'Daily Schedule'!$A47&lt;=52),'Daily Workforce'!$M63="Y",IFERROR(1*'Daily Workforce'!$P63&gt;=2,FALSE()))))),1,0)</f>
        <v>1</v>
      </c>
      <c r="BW43" s="1" t="n">
        <f aca="false">IF(AND('Daily Workforce'!$N64="Y",'Daily Workforce'!$B64&lt;&gt;"",COUNTIF('Daily Schedule'!$F$5:$F46,'Daily Workforce'!$B64)=0,IF('Daily Schedule'!$A47=45,'Daily Workforce'!$J64="Y",IF(OR('Daily Schedule'!$A47=4,'Daily Schedule'!$A47=8),IF(OR(WEEKDAY('Daily Schedule'!$B$2,2)=1,WEEKDAY('Daily Schedule'!$B$2,2)=4,WEEKDAY('Daily Schedule'!$B$2,2)=5,WEEKDAY('Daily Schedule'!$B$2,2)=7),IFERROR(1*'Daily Workforce'!$K64&gt;=3,FALSE()),IFERROR(1*'Daily Workforce'!$K64&gt;=2,FALSE())),IF(AND('Daily Schedule'!$A47&gt;=46,'Daily Schedule'!$A47&lt;=52),'Daily Workforce'!$M64="Y",IFERROR(1*'Daily Workforce'!$P64&gt;=2,FALSE()))))),1,0)</f>
        <v>1</v>
      </c>
      <c r="BX43" s="1" t="n">
        <f aca="false">IF(AND('Daily Workforce'!$N65="Y",'Daily Workforce'!$B65&lt;&gt;"",COUNTIF('Daily Schedule'!$F$5:$F46,'Daily Workforce'!$B65)=0,IF('Daily Schedule'!$A47=45,'Daily Workforce'!$J65="Y",IF(OR('Daily Schedule'!$A47=4,'Daily Schedule'!$A47=8),IF(OR(WEEKDAY('Daily Schedule'!$B$2,2)=1,WEEKDAY('Daily Schedule'!$B$2,2)=4,WEEKDAY('Daily Schedule'!$B$2,2)=5,WEEKDAY('Daily Schedule'!$B$2,2)=7),IFERROR(1*'Daily Workforce'!$K65&gt;=3,FALSE()),IFERROR(1*'Daily Workforce'!$K65&gt;=2,FALSE())),IF(AND('Daily Schedule'!$A47&gt;=46,'Daily Schedule'!$A47&lt;=52),'Daily Workforce'!$M65="Y",IFERROR(1*'Daily Workforce'!$P65&gt;=2,FALSE()))))),1,0)</f>
        <v>1</v>
      </c>
      <c r="BY43" s="1" t="n">
        <f aca="false">IF(AND('Daily Workforce'!$N66="Y",'Daily Workforce'!$B66&lt;&gt;"",COUNTIF('Daily Schedule'!$F$5:$F46,'Daily Workforce'!$B66)=0,IF('Daily Schedule'!$A47=45,'Daily Workforce'!$J66="Y",IF(OR('Daily Schedule'!$A47=4,'Daily Schedule'!$A47=8),IF(OR(WEEKDAY('Daily Schedule'!$B$2,2)=1,WEEKDAY('Daily Schedule'!$B$2,2)=4,WEEKDAY('Daily Schedule'!$B$2,2)=5,WEEKDAY('Daily Schedule'!$B$2,2)=7),IFERROR(1*'Daily Workforce'!$K66&gt;=3,FALSE()),IFERROR(1*'Daily Workforce'!$K66&gt;=2,FALSE())),IF(AND('Daily Schedule'!$A47&gt;=46,'Daily Schedule'!$A47&lt;=52),'Daily Workforce'!$M66="Y",IFERROR(1*'Daily Workforce'!$P66&gt;=2,FALSE()))))),1,0)</f>
        <v>1</v>
      </c>
      <c r="BZ43" s="1" t="n">
        <f aca="false">IF(AND('Daily Workforce'!$N67="Y",'Daily Workforce'!$B67&lt;&gt;"",COUNTIF('Daily Schedule'!$F$5:$F46,'Daily Workforce'!$B67)=0,IF('Daily Schedule'!$A47=45,'Daily Workforce'!$J67="Y",IF(OR('Daily Schedule'!$A47=4,'Daily Schedule'!$A47=8),IF(OR(WEEKDAY('Daily Schedule'!$B$2,2)=1,WEEKDAY('Daily Schedule'!$B$2,2)=4,WEEKDAY('Daily Schedule'!$B$2,2)=5,WEEKDAY('Daily Schedule'!$B$2,2)=7),IFERROR(1*'Daily Workforce'!$K67&gt;=3,FALSE()),IFERROR(1*'Daily Workforce'!$K67&gt;=2,FALSE())),IF(AND('Daily Schedule'!$A47&gt;=46,'Daily Schedule'!$A47&lt;=52),'Daily Workforce'!$M67="Y",IFERROR(1*'Daily Workforce'!$P67&gt;=2,FALSE()))))),1,0)</f>
        <v>1</v>
      </c>
      <c r="CA43" s="1" t="n">
        <f aca="false">IF(AND('Daily Workforce'!$N68="Y",'Daily Workforce'!$B68&lt;&gt;"",COUNTIF('Daily Schedule'!$F$5:$F46,'Daily Workforce'!$B68)=0,IF('Daily Schedule'!$A47=45,'Daily Workforce'!$J68="Y",IF(OR('Daily Schedule'!$A47=4,'Daily Schedule'!$A47=8),IF(OR(WEEKDAY('Daily Schedule'!$B$2,2)=1,WEEKDAY('Daily Schedule'!$B$2,2)=4,WEEKDAY('Daily Schedule'!$B$2,2)=5,WEEKDAY('Daily Schedule'!$B$2,2)=7),IFERROR(1*'Daily Workforce'!$K68&gt;=3,FALSE()),IFERROR(1*'Daily Workforce'!$K68&gt;=2,FALSE())),IF(AND('Daily Schedule'!$A47&gt;=46,'Daily Schedule'!$A47&lt;=52),'Daily Workforce'!$M68="Y",IFERROR(1*'Daily Workforce'!$P68&gt;=2,FALSE()))))),1,0)</f>
        <v>1</v>
      </c>
      <c r="CB43" s="1" t="n">
        <f aca="false">IF(AND('Daily Workforce'!$N69="Y",'Daily Workforce'!$B69&lt;&gt;"",COUNTIF('Daily Schedule'!$F$5:$F46,'Daily Workforce'!$B69)=0,IF('Daily Schedule'!$A47=45,'Daily Workforce'!$J69="Y",IF(OR('Daily Schedule'!$A47=4,'Daily Schedule'!$A47=8),IF(OR(WEEKDAY('Daily Schedule'!$B$2,2)=1,WEEKDAY('Daily Schedule'!$B$2,2)=4,WEEKDAY('Daily Schedule'!$B$2,2)=5,WEEKDAY('Daily Schedule'!$B$2,2)=7),IFERROR(1*'Daily Workforce'!$K69&gt;=3,FALSE()),IFERROR(1*'Daily Workforce'!$K69&gt;=2,FALSE())),IF(AND('Daily Schedule'!$A47&gt;=46,'Daily Schedule'!$A47&lt;=52),'Daily Workforce'!$M69="Y",IFERROR(1*'Daily Workforce'!$P69&gt;=2,FALSE()))))),1,0)</f>
        <v>1</v>
      </c>
      <c r="CC43" s="1" t="n">
        <f aca="false">IF(AND('Daily Workforce'!$N70="Y",'Daily Workforce'!$B70&lt;&gt;"",COUNTIF('Daily Schedule'!$F$5:$F46,'Daily Workforce'!$B70)=0,IF('Daily Schedule'!$A47=45,'Daily Workforce'!$J70="Y",IF(OR('Daily Schedule'!$A47=4,'Daily Schedule'!$A47=8),IF(OR(WEEKDAY('Daily Schedule'!$B$2,2)=1,WEEKDAY('Daily Schedule'!$B$2,2)=4,WEEKDAY('Daily Schedule'!$B$2,2)=5,WEEKDAY('Daily Schedule'!$B$2,2)=7),IFERROR(1*'Daily Workforce'!$K70&gt;=3,FALSE()),IFERROR(1*'Daily Workforce'!$K70&gt;=2,FALSE())),IF(AND('Daily Schedule'!$A47&gt;=46,'Daily Schedule'!$A47&lt;=52),'Daily Workforce'!$M70="Y",IFERROR(1*'Daily Workforce'!$P70&gt;=2,FALSE()))))),1,0)</f>
        <v>1</v>
      </c>
      <c r="CD43" s="1" t="n">
        <f aca="false">IF(AND('Daily Workforce'!$N71="Y",'Daily Workforce'!$B71&lt;&gt;"",COUNTIF('Daily Schedule'!$F$5:$F46,'Daily Workforce'!$B71)=0,IF('Daily Schedule'!$A47=45,'Daily Workforce'!$J71="Y",IF(OR('Daily Schedule'!$A47=4,'Daily Schedule'!$A47=8),IF(OR(WEEKDAY('Daily Schedule'!$B$2,2)=1,WEEKDAY('Daily Schedule'!$B$2,2)=4,WEEKDAY('Daily Schedule'!$B$2,2)=5,WEEKDAY('Daily Schedule'!$B$2,2)=7),IFERROR(1*'Daily Workforce'!$K71&gt;=3,FALSE()),IFERROR(1*'Daily Workforce'!$K71&gt;=2,FALSE())),IF(AND('Daily Schedule'!$A47&gt;=46,'Daily Schedule'!$A47&lt;=52),'Daily Workforce'!$M71="Y",IFERROR(1*'Daily Workforce'!$P71&gt;=2,FALSE()))))),1,0)</f>
        <v>1</v>
      </c>
      <c r="CE43" s="1" t="n">
        <f aca="false">IF(AND('Daily Workforce'!$N72="Y",'Daily Workforce'!$B72&lt;&gt;"",COUNTIF('Daily Schedule'!$F$5:$F46,'Daily Workforce'!$B72)=0,IF('Daily Schedule'!$A47=45,'Daily Workforce'!$J72="Y",IF(OR('Daily Schedule'!$A47=4,'Daily Schedule'!$A47=8),IF(OR(WEEKDAY('Daily Schedule'!$B$2,2)=1,WEEKDAY('Daily Schedule'!$B$2,2)=4,WEEKDAY('Daily Schedule'!$B$2,2)=5,WEEKDAY('Daily Schedule'!$B$2,2)=7),IFERROR(1*'Daily Workforce'!$K72&gt;=3,FALSE()),IFERROR(1*'Daily Workforce'!$K72&gt;=2,FALSE())),IF(AND('Daily Schedule'!$A47&gt;=46,'Daily Schedule'!$A47&lt;=52),'Daily Workforce'!$M72="Y",IFERROR(1*'Daily Workforce'!$P72&gt;=2,FALSE()))))),1,0)</f>
        <v>1</v>
      </c>
      <c r="CF43" s="1" t="n">
        <f aca="false">IF(AND('Daily Workforce'!$N73="Y",'Daily Workforce'!$B73&lt;&gt;"",COUNTIF('Daily Schedule'!$F$5:$F46,'Daily Workforce'!$B73)=0,IF('Daily Schedule'!$A47=45,'Daily Workforce'!$J73="Y",IF(OR('Daily Schedule'!$A47=4,'Daily Schedule'!$A47=8),IF(OR(WEEKDAY('Daily Schedule'!$B$2,2)=1,WEEKDAY('Daily Schedule'!$B$2,2)=4,WEEKDAY('Daily Schedule'!$B$2,2)=5,WEEKDAY('Daily Schedule'!$B$2,2)=7),IFERROR(1*'Daily Workforce'!$K73&gt;=3,FALSE()),IFERROR(1*'Daily Workforce'!$K73&gt;=2,FALSE())),IF(AND('Daily Schedule'!$A47&gt;=46,'Daily Schedule'!$A47&lt;=52),'Daily Workforce'!$M73="Y",IFERROR(1*'Daily Workforce'!$P73&gt;=2,FALSE()))))),1,0)</f>
        <v>1</v>
      </c>
      <c r="CG43" s="1" t="n">
        <f aca="false">IF(AND('Daily Workforce'!$N74="Y",'Daily Workforce'!$B74&lt;&gt;"",COUNTIF('Daily Schedule'!$F$5:$F46,'Daily Workforce'!$B74)=0,IF('Daily Schedule'!$A47=45,'Daily Workforce'!$J74="Y",IF(OR('Daily Schedule'!$A47=4,'Daily Schedule'!$A47=8),IF(OR(WEEKDAY('Daily Schedule'!$B$2,2)=1,WEEKDAY('Daily Schedule'!$B$2,2)=4,WEEKDAY('Daily Schedule'!$B$2,2)=5,WEEKDAY('Daily Schedule'!$B$2,2)=7),IFERROR(1*'Daily Workforce'!$K74&gt;=3,FALSE()),IFERROR(1*'Daily Workforce'!$K74&gt;=2,FALSE())),IF(AND('Daily Schedule'!$A47&gt;=46,'Daily Schedule'!$A47&lt;=52),'Daily Workforce'!$M74="Y",IFERROR(1*'Daily Workforce'!$P74&gt;=2,FALSE()))))),1,0)</f>
        <v>1</v>
      </c>
      <c r="CH43" s="1" t="n">
        <f aca="false">IF(AND('Daily Workforce'!$N75="Y",'Daily Workforce'!$B75&lt;&gt;"",COUNTIF('Daily Schedule'!$F$5:$F46,'Daily Workforce'!$B75)=0,IF('Daily Schedule'!$A47=45,'Daily Workforce'!$J75="Y",IF(OR('Daily Schedule'!$A47=4,'Daily Schedule'!$A47=8),IF(OR(WEEKDAY('Daily Schedule'!$B$2,2)=1,WEEKDAY('Daily Schedule'!$B$2,2)=4,WEEKDAY('Daily Schedule'!$B$2,2)=5,WEEKDAY('Daily Schedule'!$B$2,2)=7),IFERROR(1*'Daily Workforce'!$K75&gt;=3,FALSE()),IFERROR(1*'Daily Workforce'!$K75&gt;=2,FALSE())),IF(AND('Daily Schedule'!$A47&gt;=46,'Daily Schedule'!$A47&lt;=52),'Daily Workforce'!$M75="Y",IFERROR(1*'Daily Workforce'!$P75&gt;=2,FALSE()))))),1,0)</f>
        <v>1</v>
      </c>
      <c r="CI43" s="1" t="n">
        <f aca="false">IF(AND('Daily Workforce'!$N76="Y",'Daily Workforce'!$B76&lt;&gt;"",COUNTIF('Daily Schedule'!$F$5:$F46,'Daily Workforce'!$B76)=0,IF('Daily Schedule'!$A47=45,'Daily Workforce'!$J76="Y",IF(OR('Daily Schedule'!$A47=4,'Daily Schedule'!$A47=8),IF(OR(WEEKDAY('Daily Schedule'!$B$2,2)=1,WEEKDAY('Daily Schedule'!$B$2,2)=4,WEEKDAY('Daily Schedule'!$B$2,2)=5,WEEKDAY('Daily Schedule'!$B$2,2)=7),IFERROR(1*'Daily Workforce'!$K76&gt;=3,FALSE()),IFERROR(1*'Daily Workforce'!$K76&gt;=2,FALSE())),IF(AND('Daily Schedule'!$A47&gt;=46,'Daily Schedule'!$A47&lt;=52),'Daily Workforce'!$M76="Y",IFERROR(1*'Daily Workforce'!$P76&gt;=2,FALSE()))))),1,0)</f>
        <v>1</v>
      </c>
      <c r="CJ43" s="1" t="n">
        <f aca="false">IF(AND('Daily Workforce'!$N77="Y",'Daily Workforce'!$B77&lt;&gt;"",COUNTIF('Daily Schedule'!$F$5:$F46,'Daily Workforce'!$B77)=0,IF('Daily Schedule'!$A47=45,'Daily Workforce'!$J77="Y",IF(OR('Daily Schedule'!$A47=4,'Daily Schedule'!$A47=8),IF(OR(WEEKDAY('Daily Schedule'!$B$2,2)=1,WEEKDAY('Daily Schedule'!$B$2,2)=4,WEEKDAY('Daily Schedule'!$B$2,2)=5,WEEKDAY('Daily Schedule'!$B$2,2)=7),IFERROR(1*'Daily Workforce'!$K77&gt;=3,FALSE()),IFERROR(1*'Daily Workforce'!$K77&gt;=2,FALSE())),IF(AND('Daily Schedule'!$A47&gt;=46,'Daily Schedule'!$A47&lt;=52),'Daily Workforce'!$M77="Y",IFERROR(1*'Daily Workforce'!$P77&gt;=2,FALSE()))))),1,0)</f>
        <v>1</v>
      </c>
      <c r="CK43" s="1" t="n">
        <f aca="false">IF(AND('Daily Workforce'!$N78="Y",'Daily Workforce'!$B78&lt;&gt;"",COUNTIF('Daily Schedule'!$F$5:$F46,'Daily Workforce'!$B78)=0,IF('Daily Schedule'!$A47=45,'Daily Workforce'!$J78="Y",IF(OR('Daily Schedule'!$A47=4,'Daily Schedule'!$A47=8),IF(OR(WEEKDAY('Daily Schedule'!$B$2,2)=1,WEEKDAY('Daily Schedule'!$B$2,2)=4,WEEKDAY('Daily Schedule'!$B$2,2)=5,WEEKDAY('Daily Schedule'!$B$2,2)=7),IFERROR(1*'Daily Workforce'!$K78&gt;=3,FALSE()),IFERROR(1*'Daily Workforce'!$K78&gt;=2,FALSE())),IF(AND('Daily Schedule'!$A47&gt;=46,'Daily Schedule'!$A47&lt;=52),'Daily Workforce'!$M78="Y",IFERROR(1*'Daily Workforce'!$P78&gt;=2,FALSE()))))),1,0)</f>
        <v>1</v>
      </c>
      <c r="CL43" s="1" t="n">
        <f aca="false">IF(AND('Daily Workforce'!$N79="Y",'Daily Workforce'!$B79&lt;&gt;"",COUNTIF('Daily Schedule'!$F$5:$F46,'Daily Workforce'!$B79)=0,IF('Daily Schedule'!$A47=45,'Daily Workforce'!$J79="Y",IF(OR('Daily Schedule'!$A47=4,'Daily Schedule'!$A47=8),IF(OR(WEEKDAY('Daily Schedule'!$B$2,2)=1,WEEKDAY('Daily Schedule'!$B$2,2)=4,WEEKDAY('Daily Schedule'!$B$2,2)=5,WEEKDAY('Daily Schedule'!$B$2,2)=7),IFERROR(1*'Daily Workforce'!$K79&gt;=3,FALSE()),IFERROR(1*'Daily Workforce'!$K79&gt;=2,FALSE())),IF(AND('Daily Schedule'!$A47&gt;=46,'Daily Schedule'!$A47&lt;=52),'Daily Workforce'!$M79="Y",IFERROR(1*'Daily Workforce'!$P79&gt;=2,FALSE()))))),1,0)</f>
        <v>1</v>
      </c>
      <c r="CM43" s="1" t="n">
        <f aca="false">IF(AND('Daily Workforce'!$N80="Y",'Daily Workforce'!$B80&lt;&gt;"",COUNTIF('Daily Schedule'!$F$5:$F46,'Daily Workforce'!$B80)=0,IF('Daily Schedule'!$A47=45,'Daily Workforce'!$J80="Y",IF(OR('Daily Schedule'!$A47=4,'Daily Schedule'!$A47=8),IF(OR(WEEKDAY('Daily Schedule'!$B$2,2)=1,WEEKDAY('Daily Schedule'!$B$2,2)=4,WEEKDAY('Daily Schedule'!$B$2,2)=5,WEEKDAY('Daily Schedule'!$B$2,2)=7),IFERROR(1*'Daily Workforce'!$K80&gt;=3,FALSE()),IFERROR(1*'Daily Workforce'!$K80&gt;=2,FALSE())),IF(AND('Daily Schedule'!$A47&gt;=46,'Daily Schedule'!$A47&lt;=52),'Daily Workforce'!$M80="Y",IFERROR(1*'Daily Workforce'!$P80&gt;=2,FALSE()))))),1,0)</f>
        <v>1</v>
      </c>
      <c r="CN43" s="1" t="n">
        <f aca="false">IF(AND('Daily Workforce'!$N81="Y",'Daily Workforce'!$B81&lt;&gt;"",COUNTIF('Daily Schedule'!$F$5:$F46,'Daily Workforce'!$B81)=0,IF('Daily Schedule'!$A47=45,'Daily Workforce'!$J81="Y",IF(OR('Daily Schedule'!$A47=4,'Daily Schedule'!$A47=8),IF(OR(WEEKDAY('Daily Schedule'!$B$2,2)=1,WEEKDAY('Daily Schedule'!$B$2,2)=4,WEEKDAY('Daily Schedule'!$B$2,2)=5,WEEKDAY('Daily Schedule'!$B$2,2)=7),IFERROR(1*'Daily Workforce'!$K81&gt;=3,FALSE()),IFERROR(1*'Daily Workforce'!$K81&gt;=2,FALSE())),IF(AND('Daily Schedule'!$A47&gt;=46,'Daily Schedule'!$A47&lt;=52),'Daily Workforce'!$M81="Y",IFERROR(1*'Daily Workforce'!$P81&gt;=2,FALSE()))))),1,0)</f>
        <v>1</v>
      </c>
      <c r="CO43" s="1" t="n">
        <f aca="false">IF(AND('Daily Workforce'!$N82="Y",'Daily Workforce'!$B82&lt;&gt;"",COUNTIF('Daily Schedule'!$F$5:$F46,'Daily Workforce'!$B82)=0,IF('Daily Schedule'!$A47=45,'Daily Workforce'!$J82="Y",IF(OR('Daily Schedule'!$A47=4,'Daily Schedule'!$A47=8),IF(OR(WEEKDAY('Daily Schedule'!$B$2,2)=1,WEEKDAY('Daily Schedule'!$B$2,2)=4,WEEKDAY('Daily Schedule'!$B$2,2)=5,WEEKDAY('Daily Schedule'!$B$2,2)=7),IFERROR(1*'Daily Workforce'!$K82&gt;=3,FALSE()),IFERROR(1*'Daily Workforce'!$K82&gt;=2,FALSE())),IF(AND('Daily Schedule'!$A47&gt;=46,'Daily Schedule'!$A47&lt;=52),'Daily Workforce'!$M82="Y",IFERROR(1*'Daily Workforce'!$P82&gt;=2,FALSE()))))),1,0)</f>
        <v>1</v>
      </c>
      <c r="CP43" s="1" t="n">
        <f aca="false">IF(AND('Daily Workforce'!$N83="Y",'Daily Workforce'!$B83&lt;&gt;"",COUNTIF('Daily Schedule'!$F$5:$F46,'Daily Workforce'!$B83)=0,IF('Daily Schedule'!$A47=45,'Daily Workforce'!$J83="Y",IF(OR('Daily Schedule'!$A47=4,'Daily Schedule'!$A47=8),IF(OR(WEEKDAY('Daily Schedule'!$B$2,2)=1,WEEKDAY('Daily Schedule'!$B$2,2)=4,WEEKDAY('Daily Schedule'!$B$2,2)=5,WEEKDAY('Daily Schedule'!$B$2,2)=7),IFERROR(1*'Daily Workforce'!$K83&gt;=3,FALSE()),IFERROR(1*'Daily Workforce'!$K83&gt;=2,FALSE())),IF(AND('Daily Schedule'!$A47&gt;=46,'Daily Schedule'!$A47&lt;=52),'Daily Workforce'!$M83="Y",IFERROR(1*'Daily Workforce'!$P83&gt;=2,FALSE()))))),1,0)</f>
        <v>0</v>
      </c>
      <c r="CQ43" s="1" t="n">
        <f aca="false">IF(AND('Daily Workforce'!$N84="Y",'Daily Workforce'!$B84&lt;&gt;"",COUNTIF('Daily Schedule'!$F$5:$F46,'Daily Workforce'!$B84)=0,IF('Daily Schedule'!$A47=45,'Daily Workforce'!$J84="Y",IF(OR('Daily Schedule'!$A47=4,'Daily Schedule'!$A47=8),IF(OR(WEEKDAY('Daily Schedule'!$B$2,2)=1,WEEKDAY('Daily Schedule'!$B$2,2)=4,WEEKDAY('Daily Schedule'!$B$2,2)=5,WEEKDAY('Daily Schedule'!$B$2,2)=7),IFERROR(1*'Daily Workforce'!$K84&gt;=3,FALSE()),IFERROR(1*'Daily Workforce'!$K84&gt;=2,FALSE())),IF(AND('Daily Schedule'!$A47&gt;=46,'Daily Schedule'!$A47&lt;=52),'Daily Workforce'!$M84="Y",IFERROR(1*'Daily Workforce'!$P84&gt;=2,FALSE()))))),1,0)</f>
        <v>1</v>
      </c>
      <c r="CR43" s="1" t="n">
        <f aca="false">IF(AND('Daily Workforce'!$N85="Y",'Daily Workforce'!$B85&lt;&gt;"",COUNTIF('Daily Schedule'!$F$5:$F46,'Daily Workforce'!$B85)=0,IF('Daily Schedule'!$A47=45,'Daily Workforce'!$J85="Y",IF(OR('Daily Schedule'!$A47=4,'Daily Schedule'!$A47=8),IF(OR(WEEKDAY('Daily Schedule'!$B$2,2)=1,WEEKDAY('Daily Schedule'!$B$2,2)=4,WEEKDAY('Daily Schedule'!$B$2,2)=5,WEEKDAY('Daily Schedule'!$B$2,2)=7),IFERROR(1*'Daily Workforce'!$K85&gt;=3,FALSE()),IFERROR(1*'Daily Workforce'!$K85&gt;=2,FALSE())),IF(AND('Daily Schedule'!$A47&gt;=46,'Daily Schedule'!$A47&lt;=52),'Daily Workforce'!$M85="Y",IFERROR(1*'Daily Workforce'!$P85&gt;=2,FALSE()))))),1,0)</f>
        <v>0</v>
      </c>
      <c r="CS43" s="1" t="n">
        <f aca="false">IF(AND('Daily Workforce'!$N86="Y",'Daily Workforce'!$B86&lt;&gt;"",COUNTIF('Daily Schedule'!$F$5:$F46,'Daily Workforce'!$B86)=0,IF('Daily Schedule'!$A47=45,'Daily Workforce'!$J86="Y",IF(OR('Daily Schedule'!$A47=4,'Daily Schedule'!$A47=8),IF(OR(WEEKDAY('Daily Schedule'!$B$2,2)=1,WEEKDAY('Daily Schedule'!$B$2,2)=4,WEEKDAY('Daily Schedule'!$B$2,2)=5,WEEKDAY('Daily Schedule'!$B$2,2)=7),IFERROR(1*'Daily Workforce'!$K86&gt;=3,FALSE()),IFERROR(1*'Daily Workforce'!$K86&gt;=2,FALSE())),IF(AND('Daily Schedule'!$A47&gt;=46,'Daily Schedule'!$A47&lt;=52),'Daily Workforce'!$M86="Y",IFERROR(1*'Daily Workforce'!$P86&gt;=2,FALSE()))))),1,0)</f>
        <v>1</v>
      </c>
      <c r="CT43" s="1" t="n">
        <f aca="false">IF(AND('Daily Workforce'!$N87="Y",'Daily Workforce'!$B87&lt;&gt;"",COUNTIF('Daily Schedule'!$F$5:$F46,'Daily Workforce'!$B87)=0,IF('Daily Schedule'!$A47=45,'Daily Workforce'!$J87="Y",IF(OR('Daily Schedule'!$A47=4,'Daily Schedule'!$A47=8),IF(OR(WEEKDAY('Daily Schedule'!$B$2,2)=1,WEEKDAY('Daily Schedule'!$B$2,2)=4,WEEKDAY('Daily Schedule'!$B$2,2)=5,WEEKDAY('Daily Schedule'!$B$2,2)=7),IFERROR(1*'Daily Workforce'!$K87&gt;=3,FALSE()),IFERROR(1*'Daily Workforce'!$K87&gt;=2,FALSE())),IF(AND('Daily Schedule'!$A47&gt;=46,'Daily Schedule'!$A47&lt;=52),'Daily Workforce'!$M87="Y",IFERROR(1*'Daily Workforce'!$P87&gt;=2,FALSE()))))),1,0)</f>
        <v>1</v>
      </c>
      <c r="CU43" s="1" t="n">
        <f aca="false">IF(AND('Daily Workforce'!$N88="Y",'Daily Workforce'!$B88&lt;&gt;"",COUNTIF('Daily Schedule'!$F$5:$F46,'Daily Workforce'!$B88)=0,IF('Daily Schedule'!$A47=45,'Daily Workforce'!$J88="Y",IF(OR('Daily Schedule'!$A47=4,'Daily Schedule'!$A47=8),IF(OR(WEEKDAY('Daily Schedule'!$B$2,2)=1,WEEKDAY('Daily Schedule'!$B$2,2)=4,WEEKDAY('Daily Schedule'!$B$2,2)=5,WEEKDAY('Daily Schedule'!$B$2,2)=7),IFERROR(1*'Daily Workforce'!$K88&gt;=3,FALSE()),IFERROR(1*'Daily Workforce'!$K88&gt;=2,FALSE())),IF(AND('Daily Schedule'!$A47&gt;=46,'Daily Schedule'!$A47&lt;=52),'Daily Workforce'!$M88="Y",IFERROR(1*'Daily Workforce'!$P88&gt;=2,FALSE()))))),1,0)</f>
        <v>1</v>
      </c>
      <c r="CV43" s="1" t="n">
        <f aca="false">IF(AND('Daily Workforce'!$N89="Y",'Daily Workforce'!$B89&lt;&gt;"",COUNTIF('Daily Schedule'!$F$5:$F46,'Daily Workforce'!$B89)=0,IF('Daily Schedule'!$A47=45,'Daily Workforce'!$J89="Y",IF(OR('Daily Schedule'!$A47=4,'Daily Schedule'!$A47=8),IF(OR(WEEKDAY('Daily Schedule'!$B$2,2)=1,WEEKDAY('Daily Schedule'!$B$2,2)=4,WEEKDAY('Daily Schedule'!$B$2,2)=5,WEEKDAY('Daily Schedule'!$B$2,2)=7),IFERROR(1*'Daily Workforce'!$K89&gt;=3,FALSE()),IFERROR(1*'Daily Workforce'!$K89&gt;=2,FALSE())),IF(AND('Daily Schedule'!$A47&gt;=46,'Daily Schedule'!$A47&lt;=52),'Daily Workforce'!$M89="Y",IFERROR(1*'Daily Workforce'!$P89&gt;=2,FALSE()))))),1,0)</f>
        <v>1</v>
      </c>
      <c r="CW43" s="1" t="n">
        <f aca="false">IF(AND('Daily Workforce'!$N90="Y",'Daily Workforce'!$B90&lt;&gt;"",COUNTIF('Daily Schedule'!$F$5:$F46,'Daily Workforce'!$B90)=0,IF('Daily Schedule'!$A47=45,'Daily Workforce'!$J90="Y",IF(OR('Daily Schedule'!$A47=4,'Daily Schedule'!$A47=8),IF(OR(WEEKDAY('Daily Schedule'!$B$2,2)=1,WEEKDAY('Daily Schedule'!$B$2,2)=4,WEEKDAY('Daily Schedule'!$B$2,2)=5,WEEKDAY('Daily Schedule'!$B$2,2)=7),IFERROR(1*'Daily Workforce'!$K90&gt;=3,FALSE()),IFERROR(1*'Daily Workforce'!$K90&gt;=2,FALSE())),IF(AND('Daily Schedule'!$A47&gt;=46,'Daily Schedule'!$A47&lt;=52),'Daily Workforce'!$M90="Y",IFERROR(1*'Daily Workforce'!$P90&gt;=2,FALSE()))))),1,0)</f>
        <v>1</v>
      </c>
      <c r="CX43" s="1" t="n">
        <f aca="false">IF(AND('Daily Workforce'!$N91="Y",'Daily Workforce'!$B91&lt;&gt;"",COUNTIF('Daily Schedule'!$F$5:$F46,'Daily Workforce'!$B91)=0,IF('Daily Schedule'!$A47=45,'Daily Workforce'!$J91="Y",IF(OR('Daily Schedule'!$A47=4,'Daily Schedule'!$A47=8),IF(OR(WEEKDAY('Daily Schedule'!$B$2,2)=1,WEEKDAY('Daily Schedule'!$B$2,2)=4,WEEKDAY('Daily Schedule'!$B$2,2)=5,WEEKDAY('Daily Schedule'!$B$2,2)=7),IFERROR(1*'Daily Workforce'!$K91&gt;=3,FALSE()),IFERROR(1*'Daily Workforce'!$K91&gt;=2,FALSE())),IF(AND('Daily Schedule'!$A47&gt;=46,'Daily Schedule'!$A47&lt;=52),'Daily Workforce'!$M91="Y",IFERROR(1*'Daily Workforce'!$P91&gt;=2,FALSE()))))),1,0)</f>
        <v>1</v>
      </c>
      <c r="CY43" s="1" t="n">
        <f aca="false">IF(AND('Daily Workforce'!$N92="Y",'Daily Workforce'!$B92&lt;&gt;"",COUNTIF('Daily Schedule'!$F$5:$F46,'Daily Workforce'!$B92)=0,IF('Daily Schedule'!$A47=45,'Daily Workforce'!$J92="Y",IF(OR('Daily Schedule'!$A47=4,'Daily Schedule'!$A47=8),IF(OR(WEEKDAY('Daily Schedule'!$B$2,2)=1,WEEKDAY('Daily Schedule'!$B$2,2)=4,WEEKDAY('Daily Schedule'!$B$2,2)=5,WEEKDAY('Daily Schedule'!$B$2,2)=7),IFERROR(1*'Daily Workforce'!$K92&gt;=3,FALSE()),IFERROR(1*'Daily Workforce'!$K92&gt;=2,FALSE())),IF(AND('Daily Schedule'!$A47&gt;=46,'Daily Schedule'!$A47&lt;=52),'Daily Workforce'!$M92="Y",IFERROR(1*'Daily Workforce'!$P92&gt;=2,FALSE()))))),1,0)</f>
        <v>1</v>
      </c>
      <c r="CZ43" s="1" t="n">
        <f aca="false">IF(AND('Daily Workforce'!$N93="Y",'Daily Workforce'!$B93&lt;&gt;"",COUNTIF('Daily Schedule'!$F$5:$F46,'Daily Workforce'!$B93)=0,IF('Daily Schedule'!$A47=45,'Daily Workforce'!$J93="Y",IF(OR('Daily Schedule'!$A47=4,'Daily Schedule'!$A47=8),IF(OR(WEEKDAY('Daily Schedule'!$B$2,2)=1,WEEKDAY('Daily Schedule'!$B$2,2)=4,WEEKDAY('Daily Schedule'!$B$2,2)=5,WEEKDAY('Daily Schedule'!$B$2,2)=7),IFERROR(1*'Daily Workforce'!$K93&gt;=3,FALSE()),IFERROR(1*'Daily Workforce'!$K93&gt;=2,FALSE())),IF(AND('Daily Schedule'!$A47&gt;=46,'Daily Schedule'!$A47&lt;=52),'Daily Workforce'!$M93="Y",IFERROR(1*'Daily Workforce'!$P93&gt;=2,FALSE()))))),1,0)</f>
        <v>1</v>
      </c>
      <c r="DA43" s="1" t="n">
        <f aca="false">IF(AND('Daily Workforce'!$N94="Y",'Daily Workforce'!$B94&lt;&gt;"",COUNTIF('Daily Schedule'!$F$5:$F46,'Daily Workforce'!$B94)=0,IF('Daily Schedule'!$A47=45,'Daily Workforce'!$J94="Y",IF(OR('Daily Schedule'!$A47=4,'Daily Schedule'!$A47=8),IF(OR(WEEKDAY('Daily Schedule'!$B$2,2)=1,WEEKDAY('Daily Schedule'!$B$2,2)=4,WEEKDAY('Daily Schedule'!$B$2,2)=5,WEEKDAY('Daily Schedule'!$B$2,2)=7),IFERROR(1*'Daily Workforce'!$K94&gt;=3,FALSE()),IFERROR(1*'Daily Workforce'!$K94&gt;=2,FALSE())),IF(AND('Daily Schedule'!$A47&gt;=46,'Daily Schedule'!$A47&lt;=52),'Daily Workforce'!$M94="Y",IFERROR(1*'Daily Workforce'!$P94&gt;=2,FALSE()))))),1,0)</f>
        <v>1</v>
      </c>
      <c r="DB43" s="1" t="n">
        <f aca="false">IF(AND('Daily Workforce'!$N95="Y",'Daily Workforce'!$B95&lt;&gt;"",COUNTIF('Daily Schedule'!$F$5:$F46,'Daily Workforce'!$B95)=0,IF('Daily Schedule'!$A47=45,'Daily Workforce'!$J95="Y",IF(OR('Daily Schedule'!$A47=4,'Daily Schedule'!$A47=8),IF(OR(WEEKDAY('Daily Schedule'!$B$2,2)=1,WEEKDAY('Daily Schedule'!$B$2,2)=4,WEEKDAY('Daily Schedule'!$B$2,2)=5,WEEKDAY('Daily Schedule'!$B$2,2)=7),IFERROR(1*'Daily Workforce'!$K95&gt;=3,FALSE()),IFERROR(1*'Daily Workforce'!$K95&gt;=2,FALSE())),IF(AND('Daily Schedule'!$A47&gt;=46,'Daily Schedule'!$A47&lt;=52),'Daily Workforce'!$M95="Y",IFERROR(1*'Daily Workforce'!$P95&gt;=2,FALSE()))))),1,0)</f>
        <v>1</v>
      </c>
      <c r="DC43" s="1" t="n">
        <f aca="false">IF(AND('Daily Workforce'!$N96="Y",'Daily Workforce'!$B96&lt;&gt;"",COUNTIF('Daily Schedule'!$F$5:$F46,'Daily Workforce'!$B96)=0,IF('Daily Schedule'!$A47=45,'Daily Workforce'!$J96="Y",IF(OR('Daily Schedule'!$A47=4,'Daily Schedule'!$A47=8),IF(OR(WEEKDAY('Daily Schedule'!$B$2,2)=1,WEEKDAY('Daily Schedule'!$B$2,2)=4,WEEKDAY('Daily Schedule'!$B$2,2)=5,WEEKDAY('Daily Schedule'!$B$2,2)=7),IFERROR(1*'Daily Workforce'!$K96&gt;=3,FALSE()),IFERROR(1*'Daily Workforce'!$K96&gt;=2,FALSE())),IF(AND('Daily Schedule'!$A47&gt;=46,'Daily Schedule'!$A47&lt;=52),'Daily Workforce'!$M96="Y",IFERROR(1*'Daily Workforce'!$P96&gt;=2,FALSE()))))),1,0)</f>
        <v>1</v>
      </c>
      <c r="DD43" s="1" t="n">
        <f aca="false">IF(AND('Daily Workforce'!$N97="Y",'Daily Workforce'!$B97&lt;&gt;"",COUNTIF('Daily Schedule'!$F$5:$F46,'Daily Workforce'!$B97)=0,IF('Daily Schedule'!$A47=45,'Daily Workforce'!$J97="Y",IF(OR('Daily Schedule'!$A47=4,'Daily Schedule'!$A47=8),IF(OR(WEEKDAY('Daily Schedule'!$B$2,2)=1,WEEKDAY('Daily Schedule'!$B$2,2)=4,WEEKDAY('Daily Schedule'!$B$2,2)=5,WEEKDAY('Daily Schedule'!$B$2,2)=7),IFERROR(1*'Daily Workforce'!$K97&gt;=3,FALSE()),IFERROR(1*'Daily Workforce'!$K97&gt;=2,FALSE())),IF(AND('Daily Schedule'!$A47&gt;=46,'Daily Schedule'!$A47&lt;=52),'Daily Workforce'!$M97="Y",IFERROR(1*'Daily Workforce'!$P97&gt;=2,FALSE()))))),1,0)</f>
        <v>1</v>
      </c>
      <c r="DE43" s="1" t="n">
        <f aca="false">IF(AND('Daily Workforce'!$N98="Y",'Daily Workforce'!$B98&lt;&gt;"",COUNTIF('Daily Schedule'!$F$5:$F46,'Daily Workforce'!$B98)=0,IF('Daily Schedule'!$A47=45,'Daily Workforce'!$J98="Y",IF(OR('Daily Schedule'!$A47=4,'Daily Schedule'!$A47=8),IF(OR(WEEKDAY('Daily Schedule'!$B$2,2)=1,WEEKDAY('Daily Schedule'!$B$2,2)=4,WEEKDAY('Daily Schedule'!$B$2,2)=5,WEEKDAY('Daily Schedule'!$B$2,2)=7),IFERROR(1*'Daily Workforce'!$K98&gt;=3,FALSE()),IFERROR(1*'Daily Workforce'!$K98&gt;=2,FALSE())),IF(AND('Daily Schedule'!$A47&gt;=46,'Daily Schedule'!$A47&lt;=52),'Daily Workforce'!$M98="Y",IFERROR(1*'Daily Workforce'!$P98&gt;=2,FALSE()))))),1,0)</f>
        <v>1</v>
      </c>
      <c r="DF43" s="1" t="n">
        <f aca="false">IF(AND('Daily Workforce'!$N99="Y",'Daily Workforce'!$B99&lt;&gt;"",COUNTIF('Daily Schedule'!$F$5:$F46,'Daily Workforce'!$B99)=0,IF('Daily Schedule'!$A47=45,'Daily Workforce'!$J99="Y",IF(OR('Daily Schedule'!$A47=4,'Daily Schedule'!$A47=8),IF(OR(WEEKDAY('Daily Schedule'!$B$2,2)=1,WEEKDAY('Daily Schedule'!$B$2,2)=4,WEEKDAY('Daily Schedule'!$B$2,2)=5,WEEKDAY('Daily Schedule'!$B$2,2)=7),IFERROR(1*'Daily Workforce'!$K99&gt;=3,FALSE()),IFERROR(1*'Daily Workforce'!$K99&gt;=2,FALSE())),IF(AND('Daily Schedule'!$A47&gt;=46,'Daily Schedule'!$A47&lt;=52),'Daily Workforce'!$M99="Y",IFERROR(1*'Daily Workforce'!$P99&gt;=2,FALSE()))))),1,0)</f>
        <v>1</v>
      </c>
      <c r="DG43" s="1" t="n">
        <f aca="false">IF(AND('Daily Workforce'!$N100="Y",'Daily Workforce'!$B100&lt;&gt;"",COUNTIF('Daily Schedule'!$F$5:$F46,'Daily Workforce'!$B100)=0,IF('Daily Schedule'!$A47=45,'Daily Workforce'!$J100="Y",IF(OR('Daily Schedule'!$A47=4,'Daily Schedule'!$A47=8),IF(OR(WEEKDAY('Daily Schedule'!$B$2,2)=1,WEEKDAY('Daily Schedule'!$B$2,2)=4,WEEKDAY('Daily Schedule'!$B$2,2)=5,WEEKDAY('Daily Schedule'!$B$2,2)=7),IFERROR(1*'Daily Workforce'!$K100&gt;=3,FALSE()),IFERROR(1*'Daily Workforce'!$K100&gt;=2,FALSE())),IF(AND('Daily Schedule'!$A47&gt;=46,'Daily Schedule'!$A47&lt;=52),'Daily Workforce'!$M100="Y",IFERROR(1*'Daily Workforce'!$P100&gt;=2,FALSE()))))),1,0)</f>
        <v>1</v>
      </c>
      <c r="DH43" s="1" t="n">
        <f aca="false">IF(AND('Daily Workforce'!$N101="Y",'Daily Workforce'!$B101&lt;&gt;"",COUNTIF('Daily Schedule'!$F$5:$F46,'Daily Workforce'!$B101)=0,IF('Daily Schedule'!$A47=45,'Daily Workforce'!$J101="Y",IF(OR('Daily Schedule'!$A47=4,'Daily Schedule'!$A47=8),IF(OR(WEEKDAY('Daily Schedule'!$B$2,2)=1,WEEKDAY('Daily Schedule'!$B$2,2)=4,WEEKDAY('Daily Schedule'!$B$2,2)=5,WEEKDAY('Daily Schedule'!$B$2,2)=7),IFERROR(1*'Daily Workforce'!$K101&gt;=3,FALSE()),IFERROR(1*'Daily Workforce'!$K101&gt;=2,FALSE())),IF(AND('Daily Schedule'!$A47&gt;=46,'Daily Schedule'!$A47&lt;=52),'Daily Workforce'!$M101="Y",IFERROR(1*'Daily Workforce'!$P101&gt;=2,FALSE()))))),1,0)</f>
        <v>1</v>
      </c>
      <c r="DI43" s="1" t="n">
        <f aca="false">IF(AND('Daily Workforce'!$N102="Y",'Daily Workforce'!$B102&lt;&gt;"",COUNTIF('Daily Schedule'!$F$5:$F46,'Daily Workforce'!$B102)=0,IF('Daily Schedule'!$A47=45,'Daily Workforce'!$J102="Y",IF(OR('Daily Schedule'!$A47=4,'Daily Schedule'!$A47=8),IF(OR(WEEKDAY('Daily Schedule'!$B$2,2)=1,WEEKDAY('Daily Schedule'!$B$2,2)=4,WEEKDAY('Daily Schedule'!$B$2,2)=5,WEEKDAY('Daily Schedule'!$B$2,2)=7),IFERROR(1*'Daily Workforce'!$K102&gt;=3,FALSE()),IFERROR(1*'Daily Workforce'!$K102&gt;=2,FALSE())),IF(AND('Daily Schedule'!$A47&gt;=46,'Daily Schedule'!$A47&lt;=52),'Daily Workforce'!$M102="Y",IFERROR(1*'Daily Workforce'!$P102&gt;=2,FALSE()))))),1,0)</f>
        <v>1</v>
      </c>
      <c r="DJ43" s="1" t="n">
        <f aca="false">IF(AND('Daily Workforce'!$N103="Y",'Daily Workforce'!$B103&lt;&gt;"",COUNTIF('Daily Schedule'!$F$5:$F46,'Daily Workforce'!$B103)=0,IF('Daily Schedule'!$A47=45,'Daily Workforce'!$J103="Y",IF(OR('Daily Schedule'!$A47=4,'Daily Schedule'!$A47=8),IF(OR(WEEKDAY('Daily Schedule'!$B$2,2)=1,WEEKDAY('Daily Schedule'!$B$2,2)=4,WEEKDAY('Daily Schedule'!$B$2,2)=5,WEEKDAY('Daily Schedule'!$B$2,2)=7),IFERROR(1*'Daily Workforce'!$K103&gt;=3,FALSE()),IFERROR(1*'Daily Workforce'!$K103&gt;=2,FALSE())),IF(AND('Daily Schedule'!$A47&gt;=46,'Daily Schedule'!$A47&lt;=52),'Daily Workforce'!$M103="Y",IFERROR(1*'Daily Workforce'!$P103&gt;=2,FALSE()))))),1,0)</f>
        <v>1</v>
      </c>
      <c r="DK43" s="1" t="n">
        <f aca="false">IF(AND('Daily Workforce'!$N104="Y",'Daily Workforce'!$B104&lt;&gt;"",COUNTIF('Daily Schedule'!$F$5:$F46,'Daily Workforce'!$B104)=0,IF('Daily Schedule'!$A47=45,'Daily Workforce'!$J104="Y",IF(OR('Daily Schedule'!$A47=4,'Daily Schedule'!$A47=8),IF(OR(WEEKDAY('Daily Schedule'!$B$2,2)=1,WEEKDAY('Daily Schedule'!$B$2,2)=4,WEEKDAY('Daily Schedule'!$B$2,2)=5,WEEKDAY('Daily Schedule'!$B$2,2)=7),IFERROR(1*'Daily Workforce'!$K104&gt;=3,FALSE()),IFERROR(1*'Daily Workforce'!$K104&gt;=2,FALSE())),IF(AND('Daily Schedule'!$A47&gt;=46,'Daily Schedule'!$A47&lt;=52),'Daily Workforce'!$M104="Y",IFERROR(1*'Daily Workforce'!$P104&gt;=2,FALSE()))))),1,0)</f>
        <v>1</v>
      </c>
      <c r="DL43" s="1" t="n">
        <f aca="false">IF(AND('Daily Workforce'!$N105="Y",'Daily Workforce'!$B105&lt;&gt;"",COUNTIF('Daily Schedule'!$F$5:$F46,'Daily Workforce'!$B105)=0,IF('Daily Schedule'!$A47=45,'Daily Workforce'!$J105="Y",IF(OR('Daily Schedule'!$A47=4,'Daily Schedule'!$A47=8),IF(OR(WEEKDAY('Daily Schedule'!$B$2,2)=1,WEEKDAY('Daily Schedule'!$B$2,2)=4,WEEKDAY('Daily Schedule'!$B$2,2)=5,WEEKDAY('Daily Schedule'!$B$2,2)=7),IFERROR(1*'Daily Workforce'!$K105&gt;=3,FALSE()),IFERROR(1*'Daily Workforce'!$K105&gt;=2,FALSE())),IF(AND('Daily Schedule'!$A47&gt;=46,'Daily Schedule'!$A47&lt;=52),'Daily Workforce'!$M105="Y",IFERROR(1*'Daily Workforce'!$P105&gt;=2,FALSE()))))),1,0)</f>
        <v>0</v>
      </c>
      <c r="DM43" s="1" t="n">
        <f aca="false">IF(AND('Daily Workforce'!$N106="Y",'Daily Workforce'!$B106&lt;&gt;"",COUNTIF('Daily Schedule'!$F$5:$F46,'Daily Workforce'!$B106)=0,IF('Daily Schedule'!$A47=45,'Daily Workforce'!$J106="Y",IF(OR('Daily Schedule'!$A47=4,'Daily Schedule'!$A47=8),IF(OR(WEEKDAY('Daily Schedule'!$B$2,2)=1,WEEKDAY('Daily Schedule'!$B$2,2)=4,WEEKDAY('Daily Schedule'!$B$2,2)=5,WEEKDAY('Daily Schedule'!$B$2,2)=7),IFERROR(1*'Daily Workforce'!$K106&gt;=3,FALSE()),IFERROR(1*'Daily Workforce'!$K106&gt;=2,FALSE())),IF(AND('Daily Schedule'!$A47&gt;=46,'Daily Schedule'!$A47&lt;=52),'Daily Workforce'!$M106="Y",IFERROR(1*'Daily Workforce'!$P106&gt;=2,FALSE()))))),1,0)</f>
        <v>1</v>
      </c>
      <c r="DN43" s="1" t="n">
        <f aca="false">IF(AND('Daily Workforce'!$N107="Y",'Daily Workforce'!$B107&lt;&gt;"",COUNTIF('Daily Schedule'!$F$5:$F46,'Daily Workforce'!$B107)=0,IF('Daily Schedule'!$A47=45,'Daily Workforce'!$J107="Y",IF(OR('Daily Schedule'!$A47=4,'Daily Schedule'!$A47=8),IF(OR(WEEKDAY('Daily Schedule'!$B$2,2)=1,WEEKDAY('Daily Schedule'!$B$2,2)=4,WEEKDAY('Daily Schedule'!$B$2,2)=5,WEEKDAY('Daily Schedule'!$B$2,2)=7),IFERROR(1*'Daily Workforce'!$K107&gt;=3,FALSE()),IFERROR(1*'Daily Workforce'!$K107&gt;=2,FALSE())),IF(AND('Daily Schedule'!$A47&gt;=46,'Daily Schedule'!$A47&lt;=52),'Daily Workforce'!$M107="Y",IFERROR(1*'Daily Workforce'!$P107&gt;=2,FALSE()))))),1,0)</f>
        <v>1</v>
      </c>
      <c r="DO43" s="1" t="n">
        <f aca="false">IF(AND('Daily Workforce'!$N108="Y",'Daily Workforce'!$B108&lt;&gt;"",COUNTIF('Daily Schedule'!$F$5:$F46,'Daily Workforce'!$B108)=0,IF('Daily Schedule'!$A47=45,'Daily Workforce'!$J108="Y",IF(OR('Daily Schedule'!$A47=4,'Daily Schedule'!$A47=8),IF(OR(WEEKDAY('Daily Schedule'!$B$2,2)=1,WEEKDAY('Daily Schedule'!$B$2,2)=4,WEEKDAY('Daily Schedule'!$B$2,2)=5,WEEKDAY('Daily Schedule'!$B$2,2)=7),IFERROR(1*'Daily Workforce'!$K108&gt;=3,FALSE()),IFERROR(1*'Daily Workforce'!$K108&gt;=2,FALSE())),IF(AND('Daily Schedule'!$A47&gt;=46,'Daily Schedule'!$A47&lt;=52),'Daily Workforce'!$M108="Y",IFERROR(1*'Daily Workforce'!$P108&gt;=2,FALSE()))))),1,0)</f>
        <v>1</v>
      </c>
      <c r="DP43" s="1" t="n">
        <f aca="false">IF(AND('Daily Workforce'!$N109="Y",'Daily Workforce'!$B109&lt;&gt;"",COUNTIF('Daily Schedule'!$F$5:$F46,'Daily Workforce'!$B109)=0,IF('Daily Schedule'!$A47=45,'Daily Workforce'!$J109="Y",IF(OR('Daily Schedule'!$A47=4,'Daily Schedule'!$A47=8),IF(OR(WEEKDAY('Daily Schedule'!$B$2,2)=1,WEEKDAY('Daily Schedule'!$B$2,2)=4,WEEKDAY('Daily Schedule'!$B$2,2)=5,WEEKDAY('Daily Schedule'!$B$2,2)=7),IFERROR(1*'Daily Workforce'!$K109&gt;=3,FALSE()),IFERROR(1*'Daily Workforce'!$K109&gt;=2,FALSE())),IF(AND('Daily Schedule'!$A47&gt;=46,'Daily Schedule'!$A47&lt;=52),'Daily Workforce'!$M109="Y",IFERROR(1*'Daily Workforce'!$P109&gt;=2,FALSE()))))),1,0)</f>
        <v>1</v>
      </c>
      <c r="DQ43" s="1" t="n">
        <f aca="false">IF(AND('Daily Workforce'!$N110="Y",'Daily Workforce'!$B110&lt;&gt;"",COUNTIF('Daily Schedule'!$F$5:$F46,'Daily Workforce'!$B110)=0,IF('Daily Schedule'!$A47=45,'Daily Workforce'!$J110="Y",IF(OR('Daily Schedule'!$A47=4,'Daily Schedule'!$A47=8),IF(OR(WEEKDAY('Daily Schedule'!$B$2,2)=1,WEEKDAY('Daily Schedule'!$B$2,2)=4,WEEKDAY('Daily Schedule'!$B$2,2)=5,WEEKDAY('Daily Schedule'!$B$2,2)=7),IFERROR(1*'Daily Workforce'!$K110&gt;=3,FALSE()),IFERROR(1*'Daily Workforce'!$K110&gt;=2,FALSE())),IF(AND('Daily Schedule'!$A47&gt;=46,'Daily Schedule'!$A47&lt;=52),'Daily Workforce'!$M110="Y",IFERROR(1*'Daily Workforce'!$P110&gt;=2,FALSE()))))),1,0)</f>
        <v>1</v>
      </c>
      <c r="DR43" s="1" t="n">
        <f aca="false">IF(AND('Daily Workforce'!$N111="Y",'Daily Workforce'!$B111&lt;&gt;"",COUNTIF('Daily Schedule'!$F$5:$F46,'Daily Workforce'!$B111)=0,IF('Daily Schedule'!$A47=45,'Daily Workforce'!$J111="Y",IF(OR('Daily Schedule'!$A47=4,'Daily Schedule'!$A47=8),IF(OR(WEEKDAY('Daily Schedule'!$B$2,2)=1,WEEKDAY('Daily Schedule'!$B$2,2)=4,WEEKDAY('Daily Schedule'!$B$2,2)=5,WEEKDAY('Daily Schedule'!$B$2,2)=7),IFERROR(1*'Daily Workforce'!$K111&gt;=3,FALSE()),IFERROR(1*'Daily Workforce'!$K111&gt;=2,FALSE())),IF(AND('Daily Schedule'!$A47&gt;=46,'Daily Schedule'!$A47&lt;=52),'Daily Workforce'!$M111="Y",IFERROR(1*'Daily Workforce'!$P111&gt;=2,FALSE()))))),1,0)</f>
        <v>1</v>
      </c>
      <c r="DS43" s="1" t="n">
        <f aca="false">IF(AND('Daily Workforce'!$N112="Y",'Daily Workforce'!$B112&lt;&gt;"",COUNTIF('Daily Schedule'!$F$5:$F46,'Daily Workforce'!$B112)=0,IF('Daily Schedule'!$A47=45,'Daily Workforce'!$J112="Y",IF(OR('Daily Schedule'!$A47=4,'Daily Schedule'!$A47=8),IF(OR(WEEKDAY('Daily Schedule'!$B$2,2)=1,WEEKDAY('Daily Schedule'!$B$2,2)=4,WEEKDAY('Daily Schedule'!$B$2,2)=5,WEEKDAY('Daily Schedule'!$B$2,2)=7),IFERROR(1*'Daily Workforce'!$K112&gt;=3,FALSE()),IFERROR(1*'Daily Workforce'!$K112&gt;=2,FALSE())),IF(AND('Daily Schedule'!$A47&gt;=46,'Daily Schedule'!$A47&lt;=52),'Daily Workforce'!$M112="Y",IFERROR(1*'Daily Workforce'!$P112&gt;=2,FALSE()))))),1,0)</f>
        <v>1</v>
      </c>
      <c r="DT43" s="1" t="n">
        <f aca="false">IF(AND('Daily Workforce'!$N113="Y",'Daily Workforce'!$B113&lt;&gt;"",COUNTIF('Daily Schedule'!$F$5:$F46,'Daily Workforce'!$B113)=0,IF('Daily Schedule'!$A47=45,'Daily Workforce'!$J113="Y",IF(OR('Daily Schedule'!$A47=4,'Daily Schedule'!$A47=8),IF(OR(WEEKDAY('Daily Schedule'!$B$2,2)=1,WEEKDAY('Daily Schedule'!$B$2,2)=4,WEEKDAY('Daily Schedule'!$B$2,2)=5,WEEKDAY('Daily Schedule'!$B$2,2)=7),IFERROR(1*'Daily Workforce'!$K113&gt;=3,FALSE()),IFERROR(1*'Daily Workforce'!$K113&gt;=2,FALSE())),IF(AND('Daily Schedule'!$A47&gt;=46,'Daily Schedule'!$A47&lt;=52),'Daily Workforce'!$M113="Y",IFERROR(1*'Daily Workforce'!$P113&gt;=2,FALSE()))))),1,0)</f>
        <v>1</v>
      </c>
      <c r="DU43" s="1" t="n">
        <f aca="false">IF(AND('Daily Workforce'!$N114="Y",'Daily Workforce'!$B114&lt;&gt;"",COUNTIF('Daily Schedule'!$F$5:$F46,'Daily Workforce'!$B114)=0,IF('Daily Schedule'!$A47=45,'Daily Workforce'!$J114="Y",IF(OR('Daily Schedule'!$A47=4,'Daily Schedule'!$A47=8),IF(OR(WEEKDAY('Daily Schedule'!$B$2,2)=1,WEEKDAY('Daily Schedule'!$B$2,2)=4,WEEKDAY('Daily Schedule'!$B$2,2)=5,WEEKDAY('Daily Schedule'!$B$2,2)=7),IFERROR(1*'Daily Workforce'!$K114&gt;=3,FALSE()),IFERROR(1*'Daily Workforce'!$K114&gt;=2,FALSE())),IF(AND('Daily Schedule'!$A47&gt;=46,'Daily Schedule'!$A47&lt;=52),'Daily Workforce'!$M114="Y",IFERROR(1*'Daily Workforce'!$P114&gt;=2,FALSE()))))),1,0)</f>
        <v>1</v>
      </c>
      <c r="DV43" s="1" t="n">
        <f aca="false">IF(AND('Daily Workforce'!$N115="Y",'Daily Workforce'!$B115&lt;&gt;"",COUNTIF('Daily Schedule'!$F$5:$F46,'Daily Workforce'!$B115)=0,IF('Daily Schedule'!$A47=45,'Daily Workforce'!$J115="Y",IF(OR('Daily Schedule'!$A47=4,'Daily Schedule'!$A47=8),IF(OR(WEEKDAY('Daily Schedule'!$B$2,2)=1,WEEKDAY('Daily Schedule'!$B$2,2)=4,WEEKDAY('Daily Schedule'!$B$2,2)=5,WEEKDAY('Daily Schedule'!$B$2,2)=7),IFERROR(1*'Daily Workforce'!$K115&gt;=3,FALSE()),IFERROR(1*'Daily Workforce'!$K115&gt;=2,FALSE())),IF(AND('Daily Schedule'!$A47&gt;=46,'Daily Schedule'!$A47&lt;=52),'Daily Workforce'!$M115="Y",IFERROR(1*'Daily Workforce'!$P115&gt;=2,FALSE()))))),1,0)</f>
        <v>1</v>
      </c>
      <c r="DW43" s="1" t="n">
        <f aca="false">IF(AND('Daily Workforce'!$N116="Y",'Daily Workforce'!$B116&lt;&gt;"",COUNTIF('Daily Schedule'!$F$5:$F46,'Daily Workforce'!$B116)=0,IF('Daily Schedule'!$A47=45,'Daily Workforce'!$J116="Y",IF(OR('Daily Schedule'!$A47=4,'Daily Schedule'!$A47=8),IF(OR(WEEKDAY('Daily Schedule'!$B$2,2)=1,WEEKDAY('Daily Schedule'!$B$2,2)=4,WEEKDAY('Daily Schedule'!$B$2,2)=5,WEEKDAY('Daily Schedule'!$B$2,2)=7),IFERROR(1*'Daily Workforce'!$K116&gt;=3,FALSE()),IFERROR(1*'Daily Workforce'!$K116&gt;=2,FALSE())),IF(AND('Daily Schedule'!$A47&gt;=46,'Daily Schedule'!$A47&lt;=52),'Daily Workforce'!$M116="Y",IFERROR(1*'Daily Workforce'!$P116&gt;=2,FALSE()))))),1,0)</f>
        <v>1</v>
      </c>
      <c r="DX43" s="1" t="n">
        <f aca="false">IF(AND('Daily Workforce'!$N117="Y",'Daily Workforce'!$B117&lt;&gt;"",COUNTIF('Daily Schedule'!$F$5:$F46,'Daily Workforce'!$B117)=0,IF('Daily Schedule'!$A47=45,'Daily Workforce'!$J117="Y",IF(OR('Daily Schedule'!$A47=4,'Daily Schedule'!$A47=8),IF(OR(WEEKDAY('Daily Schedule'!$B$2,2)=1,WEEKDAY('Daily Schedule'!$B$2,2)=4,WEEKDAY('Daily Schedule'!$B$2,2)=5,WEEKDAY('Daily Schedule'!$B$2,2)=7),IFERROR(1*'Daily Workforce'!$K117&gt;=3,FALSE()),IFERROR(1*'Daily Workforce'!$K117&gt;=2,FALSE())),IF(AND('Daily Schedule'!$A47&gt;=46,'Daily Schedule'!$A47&lt;=52),'Daily Workforce'!$M117="Y",IFERROR(1*'Daily Workforce'!$P117&gt;=2,FALSE()))))),1,0)</f>
        <v>1</v>
      </c>
      <c r="DY43" s="1" t="n">
        <f aca="false">IF(AND('Daily Workforce'!$N118="Y",'Daily Workforce'!$B118&lt;&gt;"",COUNTIF('Daily Schedule'!$F$5:$F46,'Daily Workforce'!$B118)=0,IF('Daily Schedule'!$A47=45,'Daily Workforce'!$J118="Y",IF(OR('Daily Schedule'!$A47=4,'Daily Schedule'!$A47=8),IF(OR(WEEKDAY('Daily Schedule'!$B$2,2)=1,WEEKDAY('Daily Schedule'!$B$2,2)=4,WEEKDAY('Daily Schedule'!$B$2,2)=5,WEEKDAY('Daily Schedule'!$B$2,2)=7),IFERROR(1*'Daily Workforce'!$K118&gt;=3,FALSE()),IFERROR(1*'Daily Workforce'!$K118&gt;=2,FALSE())),IF(AND('Daily Schedule'!$A47&gt;=46,'Daily Schedule'!$A47&lt;=52),'Daily Workforce'!$M118="Y",IFERROR(1*'Daily Workforce'!$P118&gt;=2,FALSE()))))),1,0)</f>
        <v>0</v>
      </c>
      <c r="DZ43" s="1" t="n">
        <f aca="false">IF(AND('Daily Workforce'!$N119="Y",'Daily Workforce'!$B119&lt;&gt;"",COUNTIF('Daily Schedule'!$F$5:$F46,'Daily Workforce'!$B119)=0,IF('Daily Schedule'!$A47=45,'Daily Workforce'!$J119="Y",IF(OR('Daily Schedule'!$A47=4,'Daily Schedule'!$A47=8),IF(OR(WEEKDAY('Daily Schedule'!$B$2,2)=1,WEEKDAY('Daily Schedule'!$B$2,2)=4,WEEKDAY('Daily Schedule'!$B$2,2)=5,WEEKDAY('Daily Schedule'!$B$2,2)=7),IFERROR(1*'Daily Workforce'!$K119&gt;=3,FALSE()),IFERROR(1*'Daily Workforce'!$K119&gt;=2,FALSE())),IF(AND('Daily Schedule'!$A47&gt;=46,'Daily Schedule'!$A47&lt;=52),'Daily Workforce'!$M119="Y",IFERROR(1*'Daily Workforce'!$P119&gt;=2,FALSE()))))),1,0)</f>
        <v>0</v>
      </c>
      <c r="EA43" s="1" t="n">
        <f aca="false">IF(AND('Daily Workforce'!$N120="Y",'Daily Workforce'!$B120&lt;&gt;"",COUNTIF('Daily Schedule'!$F$5:$F46,'Daily Workforce'!$B120)=0,IF('Daily Schedule'!$A47=45,'Daily Workforce'!$J120="Y",IF(OR('Daily Schedule'!$A47=4,'Daily Schedule'!$A47=8),IF(OR(WEEKDAY('Daily Schedule'!$B$2,2)=1,WEEKDAY('Daily Schedule'!$B$2,2)=4,WEEKDAY('Daily Schedule'!$B$2,2)=5,WEEKDAY('Daily Schedule'!$B$2,2)=7),IFERROR(1*'Daily Workforce'!$K120&gt;=3,FALSE()),IFERROR(1*'Daily Workforce'!$K120&gt;=2,FALSE())),IF(AND('Daily Schedule'!$A47&gt;=46,'Daily Schedule'!$A47&lt;=52),'Daily Workforce'!$M120="Y",IFERROR(1*'Daily Workforce'!$P120&gt;=2,FALSE()))))),1,0)</f>
        <v>0</v>
      </c>
      <c r="EB43" s="1" t="n">
        <f aca="false">IF(AND('Daily Workforce'!$N121="Y",'Daily Workforce'!$B121&lt;&gt;"",COUNTIF('Daily Schedule'!$F$5:$F46,'Daily Workforce'!$B121)=0,IF('Daily Schedule'!$A47=45,'Daily Workforce'!$J121="Y",IF(OR('Daily Schedule'!$A47=4,'Daily Schedule'!$A47=8),IF(OR(WEEKDAY('Daily Schedule'!$B$2,2)=1,WEEKDAY('Daily Schedule'!$B$2,2)=4,WEEKDAY('Daily Schedule'!$B$2,2)=5,WEEKDAY('Daily Schedule'!$B$2,2)=7),IFERROR(1*'Daily Workforce'!$K121&gt;=3,FALSE()),IFERROR(1*'Daily Workforce'!$K121&gt;=2,FALSE())),IF(AND('Daily Schedule'!$A47&gt;=46,'Daily Schedule'!$A47&lt;=52),'Daily Workforce'!$M121="Y",IFERROR(1*'Daily Workforce'!$P121&gt;=2,FALSE()))))),1,0)</f>
        <v>0</v>
      </c>
      <c r="EC43" s="1" t="n">
        <f aca="false">IF(AND('Daily Workforce'!$N122="Y",'Daily Workforce'!$B122&lt;&gt;"",COUNTIF('Daily Schedule'!$F$5:$F46,'Daily Workforce'!$B122)=0,IF('Daily Schedule'!$A47=45,'Daily Workforce'!$J122="Y",IF(OR('Daily Schedule'!$A47=4,'Daily Schedule'!$A47=8),IF(OR(WEEKDAY('Daily Schedule'!$B$2,2)=1,WEEKDAY('Daily Schedule'!$B$2,2)=4,WEEKDAY('Daily Schedule'!$B$2,2)=5,WEEKDAY('Daily Schedule'!$B$2,2)=7),IFERROR(1*'Daily Workforce'!$K122&gt;=3,FALSE()),IFERROR(1*'Daily Workforce'!$K122&gt;=2,FALSE())),IF(AND('Daily Schedule'!$A47&gt;=46,'Daily Schedule'!$A47&lt;=52),'Daily Workforce'!$M122="Y",IFERROR(1*'Daily Workforce'!$P122&gt;=2,FALSE()))))),1,0)</f>
        <v>0</v>
      </c>
      <c r="ED43" s="1" t="n">
        <f aca="false">IF(AND('Daily Workforce'!$N123="Y",'Daily Workforce'!$B123&lt;&gt;"",COUNTIF('Daily Schedule'!$F$5:$F46,'Daily Workforce'!$B123)=0,IF('Daily Schedule'!$A47=45,'Daily Workforce'!$J123="Y",IF(OR('Daily Schedule'!$A47=4,'Daily Schedule'!$A47=8),IF(OR(WEEKDAY('Daily Schedule'!$B$2,2)=1,WEEKDAY('Daily Schedule'!$B$2,2)=4,WEEKDAY('Daily Schedule'!$B$2,2)=5,WEEKDAY('Daily Schedule'!$B$2,2)=7),IFERROR(1*'Daily Workforce'!$K123&gt;=3,FALSE()),IFERROR(1*'Daily Workforce'!$K123&gt;=2,FALSE())),IF(AND('Daily Schedule'!$A47&gt;=46,'Daily Schedule'!$A47&lt;=52),'Daily Workforce'!$M123="Y",IFERROR(1*'Daily Workforce'!$P123&gt;=2,FALSE()))))),1,0)</f>
        <v>0</v>
      </c>
      <c r="EE43" s="1" t="n">
        <f aca="false">IF(AND('Daily Workforce'!$N124="Y",'Daily Workforce'!$B124&lt;&gt;"",COUNTIF('Daily Schedule'!$F$5:$F46,'Daily Workforce'!$B124)=0,IF('Daily Schedule'!$A47=45,'Daily Workforce'!$J124="Y",IF(OR('Daily Schedule'!$A47=4,'Daily Schedule'!$A47=8),IF(OR(WEEKDAY('Daily Schedule'!$B$2,2)=1,WEEKDAY('Daily Schedule'!$B$2,2)=4,WEEKDAY('Daily Schedule'!$B$2,2)=5,WEEKDAY('Daily Schedule'!$B$2,2)=7),IFERROR(1*'Daily Workforce'!$K124&gt;=3,FALSE()),IFERROR(1*'Daily Workforce'!$K124&gt;=2,FALSE())),IF(AND('Daily Schedule'!$A47&gt;=46,'Daily Schedule'!$A47&lt;=52),'Daily Workforce'!$M124="Y",IFERROR(1*'Daily Workforce'!$P124&gt;=2,FALSE()))))),1,0)</f>
        <v>0</v>
      </c>
      <c r="EF43" s="1" t="n">
        <f aca="false">IF(AND('Daily Workforce'!$N125="Y",'Daily Workforce'!$B125&lt;&gt;"",COUNTIF('Daily Schedule'!$F$5:$F46,'Daily Workforce'!$B125)=0,IF('Daily Schedule'!$A47=45,'Daily Workforce'!$J125="Y",IF(OR('Daily Schedule'!$A47=4,'Daily Schedule'!$A47=8),IF(OR(WEEKDAY('Daily Schedule'!$B$2,2)=1,WEEKDAY('Daily Schedule'!$B$2,2)=4,WEEKDAY('Daily Schedule'!$B$2,2)=5,WEEKDAY('Daily Schedule'!$B$2,2)=7),IFERROR(1*'Daily Workforce'!$K125&gt;=3,FALSE()),IFERROR(1*'Daily Workforce'!$K125&gt;=2,FALSE())),IF(AND('Daily Schedule'!$A47&gt;=46,'Daily Schedule'!$A47&lt;=52),'Daily Workforce'!$M125="Y",IFERROR(1*'Daily Workforce'!$P125&gt;=2,FALSE()))))),1,0)</f>
        <v>0</v>
      </c>
      <c r="EG43" s="1" t="n">
        <f aca="false">IF(AND('Daily Workforce'!$N126="Y",'Daily Workforce'!$B126&lt;&gt;"",COUNTIF('Daily Schedule'!$F$5:$F46,'Daily Workforce'!$B126)=0,IF('Daily Schedule'!$A47=45,'Daily Workforce'!$J126="Y",IF(OR('Daily Schedule'!$A47=4,'Daily Schedule'!$A47=8),IF(OR(WEEKDAY('Daily Schedule'!$B$2,2)=1,WEEKDAY('Daily Schedule'!$B$2,2)=4,WEEKDAY('Daily Schedule'!$B$2,2)=5,WEEKDAY('Daily Schedule'!$B$2,2)=7),IFERROR(1*'Daily Workforce'!$K126&gt;=3,FALSE()),IFERROR(1*'Daily Workforce'!$K126&gt;=2,FALSE())),IF(AND('Daily Schedule'!$A47&gt;=46,'Daily Schedule'!$A47&lt;=52),'Daily Workforce'!$M126="Y",IFERROR(1*'Daily Workforce'!$P126&gt;=2,FALSE()))))),1,0)</f>
        <v>0</v>
      </c>
      <c r="EH43" s="1" t="n">
        <f aca="false">IF(AND('Daily Workforce'!$N127="Y",'Daily Workforce'!$B127&lt;&gt;"",COUNTIF('Daily Schedule'!$F$5:$F46,'Daily Workforce'!$B127)=0,IF('Daily Schedule'!$A47=45,'Daily Workforce'!$J127="Y",IF(OR('Daily Schedule'!$A47=4,'Daily Schedule'!$A47=8),IF(OR(WEEKDAY('Daily Schedule'!$B$2,2)=1,WEEKDAY('Daily Schedule'!$B$2,2)=4,WEEKDAY('Daily Schedule'!$B$2,2)=5,WEEKDAY('Daily Schedule'!$B$2,2)=7),IFERROR(1*'Daily Workforce'!$K127&gt;=3,FALSE()),IFERROR(1*'Daily Workforce'!$K127&gt;=2,FALSE())),IF(AND('Daily Schedule'!$A47&gt;=46,'Daily Schedule'!$A47&lt;=52),'Daily Workforce'!$M127="Y",IFERROR(1*'Daily Workforce'!$P127&gt;=2,FALSE()))))),1,0)</f>
        <v>0</v>
      </c>
      <c r="EI43" s="1" t="n">
        <f aca="false">IF(AND('Daily Workforce'!$N128="Y",'Daily Workforce'!$B128&lt;&gt;"",COUNTIF('Daily Schedule'!$F$5:$F46,'Daily Workforce'!$B128)=0,IF('Daily Schedule'!$A47=45,'Daily Workforce'!$J128="Y",IF(OR('Daily Schedule'!$A47=4,'Daily Schedule'!$A47=8),IF(OR(WEEKDAY('Daily Schedule'!$B$2,2)=1,WEEKDAY('Daily Schedule'!$B$2,2)=4,WEEKDAY('Daily Schedule'!$B$2,2)=5,WEEKDAY('Daily Schedule'!$B$2,2)=7),IFERROR(1*'Daily Workforce'!$K128&gt;=3,FALSE()),IFERROR(1*'Daily Workforce'!$K128&gt;=2,FALSE())),IF(AND('Daily Schedule'!$A47&gt;=46,'Daily Schedule'!$A47&lt;=52),'Daily Workforce'!$M128="Y",IFERROR(1*'Daily Workforce'!$P128&gt;=2,FALSE()))))),1,0)</f>
        <v>0</v>
      </c>
      <c r="EJ43" s="1" t="n">
        <f aca="false">IF(AND('Daily Workforce'!$N129="Y",'Daily Workforce'!$B129&lt;&gt;"",COUNTIF('Daily Schedule'!$F$5:$F46,'Daily Workforce'!$B129)=0,IF('Daily Schedule'!$A47=45,'Daily Workforce'!$J129="Y",IF(OR('Daily Schedule'!$A47=4,'Daily Schedule'!$A47=8),IF(OR(WEEKDAY('Daily Schedule'!$B$2,2)=1,WEEKDAY('Daily Schedule'!$B$2,2)=4,WEEKDAY('Daily Schedule'!$B$2,2)=5,WEEKDAY('Daily Schedule'!$B$2,2)=7),IFERROR(1*'Daily Workforce'!$K129&gt;=3,FALSE()),IFERROR(1*'Daily Workforce'!$K129&gt;=2,FALSE())),IF(AND('Daily Schedule'!$A47&gt;=46,'Daily Schedule'!$A47&lt;=52),'Daily Workforce'!$M129="Y",IFERROR(1*'Daily Workforce'!$P129&gt;=2,FALSE()))))),1,0)</f>
        <v>0</v>
      </c>
      <c r="EK43" s="1" t="n">
        <f aca="false">IF(AND('Daily Workforce'!$N130="Y",'Daily Workforce'!$B130&lt;&gt;"",COUNTIF('Daily Schedule'!$F$5:$F46,'Daily Workforce'!$B130)=0,IF('Daily Schedule'!$A47=45,'Daily Workforce'!$J130="Y",IF(OR('Daily Schedule'!$A47=4,'Daily Schedule'!$A47=8),IF(OR(WEEKDAY('Daily Schedule'!$B$2,2)=1,WEEKDAY('Daily Schedule'!$B$2,2)=4,WEEKDAY('Daily Schedule'!$B$2,2)=5,WEEKDAY('Daily Schedule'!$B$2,2)=7),IFERROR(1*'Daily Workforce'!$K130&gt;=3,FALSE()),IFERROR(1*'Daily Workforce'!$K130&gt;=2,FALSE())),IF(AND('Daily Schedule'!$A47&gt;=46,'Daily Schedule'!$A47&lt;=52),'Daily Workforce'!$M130="Y",IFERROR(1*'Daily Workforce'!$P130&gt;=2,FALSE()))))),1,0)</f>
        <v>0</v>
      </c>
      <c r="EL43" s="1" t="n">
        <f aca="false">IF(AND('Daily Workforce'!$N131="Y",'Daily Workforce'!$B131&lt;&gt;"",COUNTIF('Daily Schedule'!$F$5:$F46,'Daily Workforce'!$B131)=0,IF('Daily Schedule'!$A47=45,'Daily Workforce'!$J131="Y",IF(OR('Daily Schedule'!$A47=4,'Daily Schedule'!$A47=8),IF(OR(WEEKDAY('Daily Schedule'!$B$2,2)=1,WEEKDAY('Daily Schedule'!$B$2,2)=4,WEEKDAY('Daily Schedule'!$B$2,2)=5,WEEKDAY('Daily Schedule'!$B$2,2)=7),IFERROR(1*'Daily Workforce'!$K131&gt;=3,FALSE()),IFERROR(1*'Daily Workforce'!$K131&gt;=2,FALSE())),IF(AND('Daily Schedule'!$A47&gt;=46,'Daily Schedule'!$A47&lt;=52),'Daily Workforce'!$M131="Y",IFERROR(1*'Daily Workforce'!$P131&gt;=2,FALSE()))))),1,0)</f>
        <v>0</v>
      </c>
      <c r="EM43" s="1" t="n">
        <f aca="false">IF(AND('Daily Workforce'!$N132="Y",'Daily Workforce'!$B132&lt;&gt;"",COUNTIF('Daily Schedule'!$F$5:$F46,'Daily Workforce'!$B132)=0,IF('Daily Schedule'!$A47=45,'Daily Workforce'!$J132="Y",IF(OR('Daily Schedule'!$A47=4,'Daily Schedule'!$A47=8),IF(OR(WEEKDAY('Daily Schedule'!$B$2,2)=1,WEEKDAY('Daily Schedule'!$B$2,2)=4,WEEKDAY('Daily Schedule'!$B$2,2)=5,WEEKDAY('Daily Schedule'!$B$2,2)=7),IFERROR(1*'Daily Workforce'!$K132&gt;=3,FALSE()),IFERROR(1*'Daily Workforce'!$K132&gt;=2,FALSE())),IF(AND('Daily Schedule'!$A47&gt;=46,'Daily Schedule'!$A47&lt;=52),'Daily Workforce'!$M132="Y",IFERROR(1*'Daily Workforce'!$P132&gt;=2,FALSE()))))),1,0)</f>
        <v>0</v>
      </c>
      <c r="EN43" s="1" t="n">
        <f aca="false">IF(AND('Daily Workforce'!$N133="Y",'Daily Workforce'!$B133&lt;&gt;"",COUNTIF('Daily Schedule'!$F$5:$F46,'Daily Workforce'!$B133)=0,IF('Daily Schedule'!$A47=45,'Daily Workforce'!$J133="Y",IF(OR('Daily Schedule'!$A47=4,'Daily Schedule'!$A47=8),IF(OR(WEEKDAY('Daily Schedule'!$B$2,2)=1,WEEKDAY('Daily Schedule'!$B$2,2)=4,WEEKDAY('Daily Schedule'!$B$2,2)=5,WEEKDAY('Daily Schedule'!$B$2,2)=7),IFERROR(1*'Daily Workforce'!$K133&gt;=3,FALSE()),IFERROR(1*'Daily Workforce'!$K133&gt;=2,FALSE())),IF(AND('Daily Schedule'!$A47&gt;=46,'Daily Schedule'!$A47&lt;=52),'Daily Workforce'!$M133="Y",IFERROR(1*'Daily Workforce'!$P133&gt;=2,FALSE()))))),1,0)</f>
        <v>0</v>
      </c>
      <c r="EO43" s="1" t="n">
        <f aca="false">IF(AND('Daily Workforce'!$N134="Y",'Daily Workforce'!$B134&lt;&gt;"",COUNTIF('Daily Schedule'!$F$5:$F46,'Daily Workforce'!$B134)=0,IF('Daily Schedule'!$A47=45,'Daily Workforce'!$J134="Y",IF(OR('Daily Schedule'!$A47=4,'Daily Schedule'!$A47=8),IF(OR(WEEKDAY('Daily Schedule'!$B$2,2)=1,WEEKDAY('Daily Schedule'!$B$2,2)=4,WEEKDAY('Daily Schedule'!$B$2,2)=5,WEEKDAY('Daily Schedule'!$B$2,2)=7),IFERROR(1*'Daily Workforce'!$K134&gt;=3,FALSE()),IFERROR(1*'Daily Workforce'!$K134&gt;=2,FALSE())),IF(AND('Daily Schedule'!$A47&gt;=46,'Daily Schedule'!$A47&lt;=52),'Daily Workforce'!$M134="Y",IFERROR(1*'Daily Workforce'!$P134&gt;=2,FALSE()))))),1,0)</f>
        <v>0</v>
      </c>
      <c r="EP43" s="1" t="n">
        <f aca="false">IF(AND('Daily Workforce'!$N135="Y",'Daily Workforce'!$B135&lt;&gt;"",COUNTIF('Daily Schedule'!$F$5:$F46,'Daily Workforce'!$B135)=0,IF('Daily Schedule'!$A47=45,'Daily Workforce'!$J135="Y",IF(OR('Daily Schedule'!$A47=4,'Daily Schedule'!$A47=8),IF(OR(WEEKDAY('Daily Schedule'!$B$2,2)=1,WEEKDAY('Daily Schedule'!$B$2,2)=4,WEEKDAY('Daily Schedule'!$B$2,2)=5,WEEKDAY('Daily Schedule'!$B$2,2)=7),IFERROR(1*'Daily Workforce'!$K135&gt;=3,FALSE()),IFERROR(1*'Daily Workforce'!$K135&gt;=2,FALSE())),IF(AND('Daily Schedule'!$A47&gt;=46,'Daily Schedule'!$A47&lt;=52),'Daily Workforce'!$M135="Y",IFERROR(1*'Daily Workforce'!$P135&gt;=2,FALSE()))))),1,0)</f>
        <v>0</v>
      </c>
      <c r="EQ43" s="1" t="n">
        <f aca="false">IF(AND('Daily Workforce'!$N136="Y",'Daily Workforce'!$B136&lt;&gt;"",COUNTIF('Daily Schedule'!$F$5:$F46,'Daily Workforce'!$B136)=0,IF('Daily Schedule'!$A47=45,'Daily Workforce'!$J136="Y",IF(OR('Daily Schedule'!$A47=4,'Daily Schedule'!$A47=8),IF(OR(WEEKDAY('Daily Schedule'!$B$2,2)=1,WEEKDAY('Daily Schedule'!$B$2,2)=4,WEEKDAY('Daily Schedule'!$B$2,2)=5,WEEKDAY('Daily Schedule'!$B$2,2)=7),IFERROR(1*'Daily Workforce'!$K136&gt;=3,FALSE()),IFERROR(1*'Daily Workforce'!$K136&gt;=2,FALSE())),IF(AND('Daily Schedule'!$A47&gt;=46,'Daily Schedule'!$A47&lt;=52),'Daily Workforce'!$M136="Y",IFERROR(1*'Daily Workforce'!$P136&gt;=2,FALSE()))))),1,0)</f>
        <v>0</v>
      </c>
      <c r="ER43" s="1" t="n">
        <f aca="false">IF(AND('Daily Workforce'!$N137="Y",'Daily Workforce'!$B137&lt;&gt;"",COUNTIF('Daily Schedule'!$F$5:$F46,'Daily Workforce'!$B137)=0,IF('Daily Schedule'!$A47=45,'Daily Workforce'!$J137="Y",IF(OR('Daily Schedule'!$A47=4,'Daily Schedule'!$A47=8),IF(OR(WEEKDAY('Daily Schedule'!$B$2,2)=1,WEEKDAY('Daily Schedule'!$B$2,2)=4,WEEKDAY('Daily Schedule'!$B$2,2)=5,WEEKDAY('Daily Schedule'!$B$2,2)=7),IFERROR(1*'Daily Workforce'!$K137&gt;=3,FALSE()),IFERROR(1*'Daily Workforce'!$K137&gt;=2,FALSE())),IF(AND('Daily Schedule'!$A47&gt;=46,'Daily Schedule'!$A47&lt;=52),'Daily Workforce'!$M137="Y",IFERROR(1*'Daily Workforce'!$P137&gt;=2,FALSE()))))),1,0)</f>
        <v>0</v>
      </c>
      <c r="ES43" s="1" t="n">
        <f aca="false">IF(AND('Daily Workforce'!$N138="Y",'Daily Workforce'!$B138&lt;&gt;"",COUNTIF('Daily Schedule'!$F$5:$F46,'Daily Workforce'!$B138)=0,IF('Daily Schedule'!$A47=45,'Daily Workforce'!$J138="Y",IF(OR('Daily Schedule'!$A47=4,'Daily Schedule'!$A47=8),IF(OR(WEEKDAY('Daily Schedule'!$B$2,2)=1,WEEKDAY('Daily Schedule'!$B$2,2)=4,WEEKDAY('Daily Schedule'!$B$2,2)=5,WEEKDAY('Daily Schedule'!$B$2,2)=7),IFERROR(1*'Daily Workforce'!$K138&gt;=3,FALSE()),IFERROR(1*'Daily Workforce'!$K138&gt;=2,FALSE())),IF(AND('Daily Schedule'!$A47&gt;=46,'Daily Schedule'!$A47&lt;=52),'Daily Workforce'!$M138="Y",IFERROR(1*'Daily Workforce'!$P138&gt;=2,FALSE()))))),1,0)</f>
        <v>0</v>
      </c>
      <c r="ET43" s="1" t="n">
        <f aca="false">IF(AND('Daily Workforce'!$N139="Y",'Daily Workforce'!$B139&lt;&gt;"",COUNTIF('Daily Schedule'!$F$5:$F46,'Daily Workforce'!$B139)=0,IF('Daily Schedule'!$A47=45,'Daily Workforce'!$J139="Y",IF(OR('Daily Schedule'!$A47=4,'Daily Schedule'!$A47=8),IF(OR(WEEKDAY('Daily Schedule'!$B$2,2)=1,WEEKDAY('Daily Schedule'!$B$2,2)=4,WEEKDAY('Daily Schedule'!$B$2,2)=5,WEEKDAY('Daily Schedule'!$B$2,2)=7),IFERROR(1*'Daily Workforce'!$K139&gt;=3,FALSE()),IFERROR(1*'Daily Workforce'!$K139&gt;=2,FALSE())),IF(AND('Daily Schedule'!$A47&gt;=46,'Daily Schedule'!$A47&lt;=52),'Daily Workforce'!$M139="Y",IFERROR(1*'Daily Workforce'!$P139&gt;=2,FALSE()))))),1,0)</f>
        <v>0</v>
      </c>
      <c r="EU43" s="1" t="n">
        <f aca="false">IF(AND('Daily Workforce'!$N140="Y",'Daily Workforce'!$B140&lt;&gt;"",COUNTIF('Daily Schedule'!$F$5:$F46,'Daily Workforce'!$B140)=0,IF('Daily Schedule'!$A47=45,'Daily Workforce'!$J140="Y",IF(OR('Daily Schedule'!$A47=4,'Daily Schedule'!$A47=8),IF(OR(WEEKDAY('Daily Schedule'!$B$2,2)=1,WEEKDAY('Daily Schedule'!$B$2,2)=4,WEEKDAY('Daily Schedule'!$B$2,2)=5,WEEKDAY('Daily Schedule'!$B$2,2)=7),IFERROR(1*'Daily Workforce'!$K140&gt;=3,FALSE()),IFERROR(1*'Daily Workforce'!$K140&gt;=2,FALSE())),IF(AND('Daily Schedule'!$A47&gt;=46,'Daily Schedule'!$A47&lt;=52),'Daily Workforce'!$M140="Y",IFERROR(1*'Daily Workforce'!$P140&gt;=2,FALSE()))))),1,0)</f>
        <v>0</v>
      </c>
      <c r="EV43" s="1" t="n">
        <f aca="false">IF(AND('Daily Workforce'!$N141="Y",'Daily Workforce'!$B141&lt;&gt;"",COUNTIF('Daily Schedule'!$F$5:$F46,'Daily Workforce'!$B141)=0,IF('Daily Schedule'!$A47=45,'Daily Workforce'!$J141="Y",IF(OR('Daily Schedule'!$A47=4,'Daily Schedule'!$A47=8),IF(OR(WEEKDAY('Daily Schedule'!$B$2,2)=1,WEEKDAY('Daily Schedule'!$B$2,2)=4,WEEKDAY('Daily Schedule'!$B$2,2)=5,WEEKDAY('Daily Schedule'!$B$2,2)=7),IFERROR(1*'Daily Workforce'!$K141&gt;=3,FALSE()),IFERROR(1*'Daily Workforce'!$K141&gt;=2,FALSE())),IF(AND('Daily Schedule'!$A47&gt;=46,'Daily Schedule'!$A47&lt;=52),'Daily Workforce'!$M141="Y",IFERROR(1*'Daily Workforce'!$P141&gt;=2,FALSE()))))),1,0)</f>
        <v>0</v>
      </c>
      <c r="EW43" s="1" t="n">
        <f aca="false">IF(AND('Daily Workforce'!$N142="Y",'Daily Workforce'!$B142&lt;&gt;"",COUNTIF('Daily Schedule'!$F$5:$F46,'Daily Workforce'!$B142)=0,IF('Daily Schedule'!$A47=45,'Daily Workforce'!$J142="Y",IF(OR('Daily Schedule'!$A47=4,'Daily Schedule'!$A47=8),IF(OR(WEEKDAY('Daily Schedule'!$B$2,2)=1,WEEKDAY('Daily Schedule'!$B$2,2)=4,WEEKDAY('Daily Schedule'!$B$2,2)=5,WEEKDAY('Daily Schedule'!$B$2,2)=7),IFERROR(1*'Daily Workforce'!$K142&gt;=3,FALSE()),IFERROR(1*'Daily Workforce'!$K142&gt;=2,FALSE())),IF(AND('Daily Schedule'!$A47&gt;=46,'Daily Schedule'!$A47&lt;=52),'Daily Workforce'!$M142="Y",IFERROR(1*'Daily Workforce'!$P142&gt;=2,FALSE()))))),1,0)</f>
        <v>0</v>
      </c>
      <c r="EX43" s="1" t="n">
        <f aca="false">IF(AND('Daily Workforce'!$N143="Y",'Daily Workforce'!$B143&lt;&gt;"",COUNTIF('Daily Schedule'!$F$5:$F46,'Daily Workforce'!$B143)=0,IF('Daily Schedule'!$A47=45,'Daily Workforce'!$J143="Y",IF(OR('Daily Schedule'!$A47=4,'Daily Schedule'!$A47=8),IF(OR(WEEKDAY('Daily Schedule'!$B$2,2)=1,WEEKDAY('Daily Schedule'!$B$2,2)=4,WEEKDAY('Daily Schedule'!$B$2,2)=5,WEEKDAY('Daily Schedule'!$B$2,2)=7),IFERROR(1*'Daily Workforce'!$K143&gt;=3,FALSE()),IFERROR(1*'Daily Workforce'!$K143&gt;=2,FALSE())),IF(AND('Daily Schedule'!$A47&gt;=46,'Daily Schedule'!$A47&lt;=52),'Daily Workforce'!$M143="Y",IFERROR(1*'Daily Workforce'!$P143&gt;=2,FALSE()))))),1,0)</f>
        <v>0</v>
      </c>
      <c r="EY43" s="1" t="n">
        <f aca="false">IF(AND('Daily Workforce'!$N144="Y",'Daily Workforce'!$B144&lt;&gt;"",COUNTIF('Daily Schedule'!$F$5:$F46,'Daily Workforce'!$B144)=0,IF('Daily Schedule'!$A47=45,'Daily Workforce'!$J144="Y",IF(OR('Daily Schedule'!$A47=4,'Daily Schedule'!$A47=8),IF(OR(WEEKDAY('Daily Schedule'!$B$2,2)=1,WEEKDAY('Daily Schedule'!$B$2,2)=4,WEEKDAY('Daily Schedule'!$B$2,2)=5,WEEKDAY('Daily Schedule'!$B$2,2)=7),IFERROR(1*'Daily Workforce'!$K144&gt;=3,FALSE()),IFERROR(1*'Daily Workforce'!$K144&gt;=2,FALSE())),IF(AND('Daily Schedule'!$A47&gt;=46,'Daily Schedule'!$A47&lt;=52),'Daily Workforce'!$M144="Y",IFERROR(1*'Daily Workforce'!$P144&gt;=2,FALSE()))))),1,0)</f>
        <v>0</v>
      </c>
      <c r="EZ43" s="1" t="n">
        <f aca="false">IF(AND('Daily Workforce'!$N145="Y",'Daily Workforce'!$B145&lt;&gt;"",COUNTIF('Daily Schedule'!$F$5:$F46,'Daily Workforce'!$B145)=0,IF('Daily Schedule'!$A47=45,'Daily Workforce'!$J145="Y",IF(OR('Daily Schedule'!$A47=4,'Daily Schedule'!$A47=8),IF(OR(WEEKDAY('Daily Schedule'!$B$2,2)=1,WEEKDAY('Daily Schedule'!$B$2,2)=4,WEEKDAY('Daily Schedule'!$B$2,2)=5,WEEKDAY('Daily Schedule'!$B$2,2)=7),IFERROR(1*'Daily Workforce'!$K145&gt;=3,FALSE()),IFERROR(1*'Daily Workforce'!$K145&gt;=2,FALSE())),IF(AND('Daily Schedule'!$A47&gt;=46,'Daily Schedule'!$A47&lt;=52),'Daily Workforce'!$M145="Y",IFERROR(1*'Daily Workforce'!$P145&gt;=2,FALSE()))))),1,0)</f>
        <v>0</v>
      </c>
      <c r="FA43" s="1" t="n">
        <f aca="false">IF(AND('Daily Workforce'!$N146="Y",'Daily Workforce'!$B146&lt;&gt;"",COUNTIF('Daily Schedule'!$F$5:$F46,'Daily Workforce'!$B146)=0,IF('Daily Schedule'!$A47=45,'Daily Workforce'!$J146="Y",IF(OR('Daily Schedule'!$A47=4,'Daily Schedule'!$A47=8),IF(OR(WEEKDAY('Daily Schedule'!$B$2,2)=1,WEEKDAY('Daily Schedule'!$B$2,2)=4,WEEKDAY('Daily Schedule'!$B$2,2)=5,WEEKDAY('Daily Schedule'!$B$2,2)=7),IFERROR(1*'Daily Workforce'!$K146&gt;=3,FALSE()),IFERROR(1*'Daily Workforce'!$K146&gt;=2,FALSE())),IF(AND('Daily Schedule'!$A47&gt;=46,'Daily Schedule'!$A47&lt;=52),'Daily Workforce'!$M146="Y",IFERROR(1*'Daily Workforce'!$P146&gt;=2,FALSE()))))),1,0)</f>
        <v>0</v>
      </c>
      <c r="FB43" s="1" t="n">
        <f aca="false">IF(AND('Daily Workforce'!$N147="Y",'Daily Workforce'!$B147&lt;&gt;"",COUNTIF('Daily Schedule'!$F$5:$F46,'Daily Workforce'!$B147)=0,IF('Daily Schedule'!$A47=45,'Daily Workforce'!$J147="Y",IF(OR('Daily Schedule'!$A47=4,'Daily Schedule'!$A47=8),IF(OR(WEEKDAY('Daily Schedule'!$B$2,2)=1,WEEKDAY('Daily Schedule'!$B$2,2)=4,WEEKDAY('Daily Schedule'!$B$2,2)=5,WEEKDAY('Daily Schedule'!$B$2,2)=7),IFERROR(1*'Daily Workforce'!$K147&gt;=3,FALSE()),IFERROR(1*'Daily Workforce'!$K147&gt;=2,FALSE())),IF(AND('Daily Schedule'!$A47&gt;=46,'Daily Schedule'!$A47&lt;=52),'Daily Workforce'!$M147="Y",IFERROR(1*'Daily Workforce'!$P147&gt;=2,FALSE()))))),1,0)</f>
        <v>0</v>
      </c>
      <c r="FC43" s="1" t="n">
        <f aca="false">IF(AND('Daily Workforce'!$N148="Y",'Daily Workforce'!$B148&lt;&gt;"",COUNTIF('Daily Schedule'!$F$5:$F46,'Daily Workforce'!$B148)=0,IF('Daily Schedule'!$A47=45,'Daily Workforce'!$J148="Y",IF(OR('Daily Schedule'!$A47=4,'Daily Schedule'!$A47=8),IF(OR(WEEKDAY('Daily Schedule'!$B$2,2)=1,WEEKDAY('Daily Schedule'!$B$2,2)=4,WEEKDAY('Daily Schedule'!$B$2,2)=5,WEEKDAY('Daily Schedule'!$B$2,2)=7),IFERROR(1*'Daily Workforce'!$K148&gt;=3,FALSE()),IFERROR(1*'Daily Workforce'!$K148&gt;=2,FALSE())),IF(AND('Daily Schedule'!$A47&gt;=46,'Daily Schedule'!$A47&lt;=52),'Daily Workforce'!$M148="Y",IFERROR(1*'Daily Workforce'!$P148&gt;=2,FALSE()))))),1,0)</f>
        <v>0</v>
      </c>
      <c r="FD43" s="1" t="n">
        <f aca="false">IF(AND('Daily Workforce'!$N149="Y",'Daily Workforce'!$B149&lt;&gt;"",COUNTIF('Daily Schedule'!$F$5:$F46,'Daily Workforce'!$B149)=0,IF('Daily Schedule'!$A47=45,'Daily Workforce'!$J149="Y",IF(OR('Daily Schedule'!$A47=4,'Daily Schedule'!$A47=8),IF(OR(WEEKDAY('Daily Schedule'!$B$2,2)=1,WEEKDAY('Daily Schedule'!$B$2,2)=4,WEEKDAY('Daily Schedule'!$B$2,2)=5,WEEKDAY('Daily Schedule'!$B$2,2)=7),IFERROR(1*'Daily Workforce'!$K149&gt;=3,FALSE()),IFERROR(1*'Daily Workforce'!$K149&gt;=2,FALSE())),IF(AND('Daily Schedule'!$A47&gt;=46,'Daily Schedule'!$A47&lt;=52),'Daily Workforce'!$M149="Y",IFERROR(1*'Daily Workforce'!$P149&gt;=2,FALSE()))))),1,0)</f>
        <v>0</v>
      </c>
      <c r="FE43" s="1" t="n">
        <f aca="false">IF(AND('Daily Workforce'!$N150="Y",'Daily Workforce'!$B150&lt;&gt;"",COUNTIF('Daily Schedule'!$F$5:$F46,'Daily Workforce'!$B150)=0,IF('Daily Schedule'!$A47=45,'Daily Workforce'!$J150="Y",IF(OR('Daily Schedule'!$A47=4,'Daily Schedule'!$A47=8),IF(OR(WEEKDAY('Daily Schedule'!$B$2,2)=1,WEEKDAY('Daily Schedule'!$B$2,2)=4,WEEKDAY('Daily Schedule'!$B$2,2)=5,WEEKDAY('Daily Schedule'!$B$2,2)=7),IFERROR(1*'Daily Workforce'!$K150&gt;=3,FALSE()),IFERROR(1*'Daily Workforce'!$K150&gt;=2,FALSE())),IF(AND('Daily Schedule'!$A47&gt;=46,'Daily Schedule'!$A47&lt;=52),'Daily Workforce'!$M150="Y",IFERROR(1*'Daily Workforce'!$P150&gt;=2,FALSE()))))),1,0)</f>
        <v>0</v>
      </c>
      <c r="FF43" s="1" t="n">
        <f aca="false">IF(AND('Daily Workforce'!$N151="Y",'Daily Workforce'!$B151&lt;&gt;"",COUNTIF('Daily Schedule'!$F$5:$F46,'Daily Workforce'!$B151)=0,IF('Daily Schedule'!$A47=45,'Daily Workforce'!$J151="Y",IF(OR('Daily Schedule'!$A47=4,'Daily Schedule'!$A47=8),IF(OR(WEEKDAY('Daily Schedule'!$B$2,2)=1,WEEKDAY('Daily Schedule'!$B$2,2)=4,WEEKDAY('Daily Schedule'!$B$2,2)=5,WEEKDAY('Daily Schedule'!$B$2,2)=7),IFERROR(1*'Daily Workforce'!$K151&gt;=3,FALSE()),IFERROR(1*'Daily Workforce'!$K151&gt;=2,FALSE())),IF(AND('Daily Schedule'!$A47&gt;=46,'Daily Schedule'!$A47&lt;=52),'Daily Workforce'!$M151="Y",IFERROR(1*'Daily Workforce'!$P151&gt;=2,FALSE()))))),1,0)</f>
        <v>0</v>
      </c>
      <c r="FG43" s="1" t="n">
        <f aca="false">IF(AND('Daily Workforce'!$N152="Y",'Daily Workforce'!$B152&lt;&gt;"",COUNTIF('Daily Schedule'!$F$5:$F46,'Daily Workforce'!$B152)=0,IF('Daily Schedule'!$A47=45,'Daily Workforce'!$J152="Y",IF(OR('Daily Schedule'!$A47=4,'Daily Schedule'!$A47=8),IF(OR(WEEKDAY('Daily Schedule'!$B$2,2)=1,WEEKDAY('Daily Schedule'!$B$2,2)=4,WEEKDAY('Daily Schedule'!$B$2,2)=5,WEEKDAY('Daily Schedule'!$B$2,2)=7),IFERROR(1*'Daily Workforce'!$K152&gt;=3,FALSE()),IFERROR(1*'Daily Workforce'!$K152&gt;=2,FALSE())),IF(AND('Daily Schedule'!$A47&gt;=46,'Daily Schedule'!$A47&lt;=52),'Daily Workforce'!$M152="Y",IFERROR(1*'Daily Workforce'!$P152&gt;=2,FALSE()))))),1,0)</f>
        <v>0</v>
      </c>
      <c r="FH43" s="1" t="n">
        <f aca="false">IF(AND('Daily Workforce'!$N153="Y",'Daily Workforce'!$B153&lt;&gt;"",COUNTIF('Daily Schedule'!$F$5:$F46,'Daily Workforce'!$B153)=0,IF('Daily Schedule'!$A47=45,'Daily Workforce'!$J153="Y",IF(OR('Daily Schedule'!$A47=4,'Daily Schedule'!$A47=8),IF(OR(WEEKDAY('Daily Schedule'!$B$2,2)=1,WEEKDAY('Daily Schedule'!$B$2,2)=4,WEEKDAY('Daily Schedule'!$B$2,2)=5,WEEKDAY('Daily Schedule'!$B$2,2)=7),IFERROR(1*'Daily Workforce'!$K153&gt;=3,FALSE()),IFERROR(1*'Daily Workforce'!$K153&gt;=2,FALSE())),IF(AND('Daily Schedule'!$A47&gt;=46,'Daily Schedule'!$A47&lt;=52),'Daily Workforce'!$M153="Y",IFERROR(1*'Daily Workforce'!$P153&gt;=2,FALSE()))))),1,0)</f>
        <v>0</v>
      </c>
      <c r="FI43" s="1" t="n">
        <f aca="false">IF(AND('Daily Workforce'!$N154="Y",'Daily Workforce'!$B154&lt;&gt;"",COUNTIF('Daily Schedule'!$F$5:$F46,'Daily Workforce'!$B154)=0,IF('Daily Schedule'!$A47=45,'Daily Workforce'!$J154="Y",IF(OR('Daily Schedule'!$A47=4,'Daily Schedule'!$A47=8),IF(OR(WEEKDAY('Daily Schedule'!$B$2,2)=1,WEEKDAY('Daily Schedule'!$B$2,2)=4,WEEKDAY('Daily Schedule'!$B$2,2)=5,WEEKDAY('Daily Schedule'!$B$2,2)=7),IFERROR(1*'Daily Workforce'!$K154&gt;=3,FALSE()),IFERROR(1*'Daily Workforce'!$K154&gt;=2,FALSE())),IF(AND('Daily Schedule'!$A47&gt;=46,'Daily Schedule'!$A47&lt;=52),'Daily Workforce'!$M154="Y",IFERROR(1*'Daily Workforce'!$P154&gt;=2,FALSE()))))),1,0)</f>
        <v>0</v>
      </c>
      <c r="FJ43" s="1" t="n">
        <f aca="false">IF(AND('Daily Workforce'!$N155="Y",'Daily Workforce'!$B155&lt;&gt;"",COUNTIF('Daily Schedule'!$F$5:$F46,'Daily Workforce'!$B155)=0,IF('Daily Schedule'!$A47=45,'Daily Workforce'!$J155="Y",IF(OR('Daily Schedule'!$A47=4,'Daily Schedule'!$A47=8),IF(OR(WEEKDAY('Daily Schedule'!$B$2,2)=1,WEEKDAY('Daily Schedule'!$B$2,2)=4,WEEKDAY('Daily Schedule'!$B$2,2)=5,WEEKDAY('Daily Schedule'!$B$2,2)=7),IFERROR(1*'Daily Workforce'!$K155&gt;=3,FALSE()),IFERROR(1*'Daily Workforce'!$K155&gt;=2,FALSE())),IF(AND('Daily Schedule'!$A47&gt;=46,'Daily Schedule'!$A47&lt;=52),'Daily Workforce'!$M155="Y",IFERROR(1*'Daily Workforce'!$P155&gt;=2,FALSE()))))),1,0)</f>
        <v>0</v>
      </c>
      <c r="FK43" s="1" t="n">
        <f aca="false">IF(AND('Daily Workforce'!$N156="Y",'Daily Workforce'!$B156&lt;&gt;"",COUNTIF('Daily Schedule'!$F$5:$F46,'Daily Workforce'!$B156)=0,IF('Daily Schedule'!$A47=45,'Daily Workforce'!$J156="Y",IF(OR('Daily Schedule'!$A47=4,'Daily Schedule'!$A47=8),IF(OR(WEEKDAY('Daily Schedule'!$B$2,2)=1,WEEKDAY('Daily Schedule'!$B$2,2)=4,WEEKDAY('Daily Schedule'!$B$2,2)=5,WEEKDAY('Daily Schedule'!$B$2,2)=7),IFERROR(1*'Daily Workforce'!$K156&gt;=3,FALSE()),IFERROR(1*'Daily Workforce'!$K156&gt;=2,FALSE())),IF(AND('Daily Schedule'!$A47&gt;=46,'Daily Schedule'!$A47&lt;=52),'Daily Workforce'!$M156="Y",IFERROR(1*'Daily Workforce'!$P156&gt;=2,FALSE()))))),1,0)</f>
        <v>0</v>
      </c>
      <c r="FL43" s="1" t="n">
        <f aca="false">IF(AND('Daily Workforce'!$N157="Y",'Daily Workforce'!$B157&lt;&gt;"",COUNTIF('Daily Schedule'!$F$5:$F46,'Daily Workforce'!$B157)=0,IF('Daily Schedule'!$A47=45,'Daily Workforce'!$J157="Y",IF(OR('Daily Schedule'!$A47=4,'Daily Schedule'!$A47=8),IF(OR(WEEKDAY('Daily Schedule'!$B$2,2)=1,WEEKDAY('Daily Schedule'!$B$2,2)=4,WEEKDAY('Daily Schedule'!$B$2,2)=5,WEEKDAY('Daily Schedule'!$B$2,2)=7),IFERROR(1*'Daily Workforce'!$K157&gt;=3,FALSE()),IFERROR(1*'Daily Workforce'!$K157&gt;=2,FALSE())),IF(AND('Daily Schedule'!$A47&gt;=46,'Daily Schedule'!$A47&lt;=52),'Daily Workforce'!$M157="Y",IFERROR(1*'Daily Workforce'!$P157&gt;=2,FALSE()))))),1,0)</f>
        <v>0</v>
      </c>
      <c r="FM43" s="1" t="n">
        <f aca="false">IF(AND('Daily Workforce'!$N158="Y",'Daily Workforce'!$B158&lt;&gt;"",COUNTIF('Daily Schedule'!$F$5:$F46,'Daily Workforce'!$B158)=0,IF('Daily Schedule'!$A47=45,'Daily Workforce'!$J158="Y",IF(OR('Daily Schedule'!$A47=4,'Daily Schedule'!$A47=8),IF(OR(WEEKDAY('Daily Schedule'!$B$2,2)=1,WEEKDAY('Daily Schedule'!$B$2,2)=4,WEEKDAY('Daily Schedule'!$B$2,2)=5,WEEKDAY('Daily Schedule'!$B$2,2)=7),IFERROR(1*'Daily Workforce'!$K158&gt;=3,FALSE()),IFERROR(1*'Daily Workforce'!$K158&gt;=2,FALSE())),IF(AND('Daily Schedule'!$A47&gt;=46,'Daily Schedule'!$A47&lt;=52),'Daily Workforce'!$M158="Y",IFERROR(1*'Daily Workforce'!$P158&gt;=2,FALSE()))))),1,0)</f>
        <v>0</v>
      </c>
      <c r="FN43" s="1" t="n">
        <f aca="false">IF(AND('Daily Workforce'!$N159="Y",'Daily Workforce'!$B159&lt;&gt;"",COUNTIF('Daily Schedule'!$F$5:$F46,'Daily Workforce'!$B159)=0,IF('Daily Schedule'!$A47=45,'Daily Workforce'!$J159="Y",IF(OR('Daily Schedule'!$A47=4,'Daily Schedule'!$A47=8),IF(OR(WEEKDAY('Daily Schedule'!$B$2,2)=1,WEEKDAY('Daily Schedule'!$B$2,2)=4,WEEKDAY('Daily Schedule'!$B$2,2)=5,WEEKDAY('Daily Schedule'!$B$2,2)=7),IFERROR(1*'Daily Workforce'!$K159&gt;=3,FALSE()),IFERROR(1*'Daily Workforce'!$K159&gt;=2,FALSE())),IF(AND('Daily Schedule'!$A47&gt;=46,'Daily Schedule'!$A47&lt;=52),'Daily Workforce'!$M159="Y",IFERROR(1*'Daily Workforce'!$P159&gt;=2,FALSE()))))),1,0)</f>
        <v>0</v>
      </c>
      <c r="FO43" s="1" t="n">
        <f aca="false">IF(AND('Daily Workforce'!$N160="Y",'Daily Workforce'!$B160&lt;&gt;"",COUNTIF('Daily Schedule'!$F$5:$F46,'Daily Workforce'!$B160)=0,IF('Daily Schedule'!$A47=45,'Daily Workforce'!$J160="Y",IF(OR('Daily Schedule'!$A47=4,'Daily Schedule'!$A47=8),IF(OR(WEEKDAY('Daily Schedule'!$B$2,2)=1,WEEKDAY('Daily Schedule'!$B$2,2)=4,WEEKDAY('Daily Schedule'!$B$2,2)=5,WEEKDAY('Daily Schedule'!$B$2,2)=7),IFERROR(1*'Daily Workforce'!$K160&gt;=3,FALSE()),IFERROR(1*'Daily Workforce'!$K160&gt;=2,FALSE())),IF(AND('Daily Schedule'!$A47&gt;=46,'Daily Schedule'!$A47&lt;=52),'Daily Workforce'!$M160="Y",IFERROR(1*'Daily Workforce'!$P160&gt;=2,FALSE()))))),1,0)</f>
        <v>0</v>
      </c>
      <c r="FP43" s="1" t="n">
        <f aca="false">IF(AND('Daily Workforce'!$N161="Y",'Daily Workforce'!$B161&lt;&gt;"",COUNTIF('Daily Schedule'!$F$5:$F46,'Daily Workforce'!$B161)=0,IF('Daily Schedule'!$A47=45,'Daily Workforce'!$J161="Y",IF(OR('Daily Schedule'!$A47=4,'Daily Schedule'!$A47=8),IF(OR(WEEKDAY('Daily Schedule'!$B$2,2)=1,WEEKDAY('Daily Schedule'!$B$2,2)=4,WEEKDAY('Daily Schedule'!$B$2,2)=5,WEEKDAY('Daily Schedule'!$B$2,2)=7),IFERROR(1*'Daily Workforce'!$K161&gt;=3,FALSE()),IFERROR(1*'Daily Workforce'!$K161&gt;=2,FALSE())),IF(AND('Daily Schedule'!$A47&gt;=46,'Daily Schedule'!$A47&lt;=52),'Daily Workforce'!$M161="Y",IFERROR(1*'Daily Workforce'!$P161&gt;=2,FALSE()))))),1,0)</f>
        <v>0</v>
      </c>
      <c r="FQ43" s="1" t="n">
        <f aca="false">IF(AND('Daily Workforce'!$N162="Y",'Daily Workforce'!$B162&lt;&gt;"",COUNTIF('Daily Schedule'!$F$5:$F46,'Daily Workforce'!$B162)=0,IF('Daily Schedule'!$A47=45,'Daily Workforce'!$J162="Y",IF(OR('Daily Schedule'!$A47=4,'Daily Schedule'!$A47=8),IF(OR(WEEKDAY('Daily Schedule'!$B$2,2)=1,WEEKDAY('Daily Schedule'!$B$2,2)=4,WEEKDAY('Daily Schedule'!$B$2,2)=5,WEEKDAY('Daily Schedule'!$B$2,2)=7),IFERROR(1*'Daily Workforce'!$K162&gt;=3,FALSE()),IFERROR(1*'Daily Workforce'!$K162&gt;=2,FALSE())),IF(AND('Daily Schedule'!$A47&gt;=46,'Daily Schedule'!$A47&lt;=52),'Daily Workforce'!$M162="Y",IFERROR(1*'Daily Workforce'!$P162&gt;=2,FALSE()))))),1,0)</f>
        <v>0</v>
      </c>
      <c r="FR43" s="1" t="n">
        <f aca="false">IF(AND('Daily Workforce'!$N163="Y",'Daily Workforce'!$B163&lt;&gt;"",COUNTIF('Daily Schedule'!$F$5:$F46,'Daily Workforce'!$B163)=0,IF('Daily Schedule'!$A47=45,'Daily Workforce'!$J163="Y",IF(OR('Daily Schedule'!$A47=4,'Daily Schedule'!$A47=8),IF(OR(WEEKDAY('Daily Schedule'!$B$2,2)=1,WEEKDAY('Daily Schedule'!$B$2,2)=4,WEEKDAY('Daily Schedule'!$B$2,2)=5,WEEKDAY('Daily Schedule'!$B$2,2)=7),IFERROR(1*'Daily Workforce'!$K163&gt;=3,FALSE()),IFERROR(1*'Daily Workforce'!$K163&gt;=2,FALSE())),IF(AND('Daily Schedule'!$A47&gt;=46,'Daily Schedule'!$A47&lt;=52),'Daily Workforce'!$M163="Y",IFERROR(1*'Daily Workforce'!$P163&gt;=2,FALSE()))))),1,0)</f>
        <v>0</v>
      </c>
      <c r="FS43" s="1" t="n">
        <f aca="false">IF(AND('Daily Workforce'!$N164="Y",'Daily Workforce'!$B164&lt;&gt;"",COUNTIF('Daily Schedule'!$F$5:$F46,'Daily Workforce'!$B164)=0,IF('Daily Schedule'!$A47=45,'Daily Workforce'!$J164="Y",IF(OR('Daily Schedule'!$A47=4,'Daily Schedule'!$A47=8),IF(OR(WEEKDAY('Daily Schedule'!$B$2,2)=1,WEEKDAY('Daily Schedule'!$B$2,2)=4,WEEKDAY('Daily Schedule'!$B$2,2)=5,WEEKDAY('Daily Schedule'!$B$2,2)=7),IFERROR(1*'Daily Workforce'!$K164&gt;=3,FALSE()),IFERROR(1*'Daily Workforce'!$K164&gt;=2,FALSE())),IF(AND('Daily Schedule'!$A47&gt;=46,'Daily Schedule'!$A47&lt;=52),'Daily Workforce'!$M164="Y",IFERROR(1*'Daily Workforce'!$P164&gt;=2,FALSE()))))),1,0)</f>
        <v>0</v>
      </c>
      <c r="FT43" s="1" t="n">
        <f aca="false">IF(AND('Daily Workforce'!$N165="Y",'Daily Workforce'!$B165&lt;&gt;"",COUNTIF('Daily Schedule'!$F$5:$F46,'Daily Workforce'!$B165)=0,IF('Daily Schedule'!$A47=45,'Daily Workforce'!$J165="Y",IF(OR('Daily Schedule'!$A47=4,'Daily Schedule'!$A47=8),IF(OR(WEEKDAY('Daily Schedule'!$B$2,2)=1,WEEKDAY('Daily Schedule'!$B$2,2)=4,WEEKDAY('Daily Schedule'!$B$2,2)=5,WEEKDAY('Daily Schedule'!$B$2,2)=7),IFERROR(1*'Daily Workforce'!$K165&gt;=3,FALSE()),IFERROR(1*'Daily Workforce'!$K165&gt;=2,FALSE())),IF(AND('Daily Schedule'!$A47&gt;=46,'Daily Schedule'!$A47&lt;=52),'Daily Workforce'!$M165="Y",IFERROR(1*'Daily Workforce'!$P165&gt;=2,FALSE()))))),1,0)</f>
        <v>0</v>
      </c>
      <c r="FU43" s="1" t="n">
        <f aca="false">IF(AND('Daily Workforce'!$N166="Y",'Daily Workforce'!$B166&lt;&gt;"",COUNTIF('Daily Schedule'!$F$5:$F46,'Daily Workforce'!$B166)=0,IF('Daily Schedule'!$A47=45,'Daily Workforce'!$J166="Y",IF(OR('Daily Schedule'!$A47=4,'Daily Schedule'!$A47=8),IF(OR(WEEKDAY('Daily Schedule'!$B$2,2)=1,WEEKDAY('Daily Schedule'!$B$2,2)=4,WEEKDAY('Daily Schedule'!$B$2,2)=5,WEEKDAY('Daily Schedule'!$B$2,2)=7),IFERROR(1*'Daily Workforce'!$K166&gt;=3,FALSE()),IFERROR(1*'Daily Workforce'!$K166&gt;=2,FALSE())),IF(AND('Daily Schedule'!$A47&gt;=46,'Daily Schedule'!$A47&lt;=52),'Daily Workforce'!$M166="Y",IFERROR(1*'Daily Workforce'!$P166&gt;=2,FALSE()))))),1,0)</f>
        <v>0</v>
      </c>
      <c r="FV43" s="1" t="n">
        <f aca="false">IF(AND('Daily Workforce'!$N167="Y",'Daily Workforce'!$B167&lt;&gt;"",COUNTIF('Daily Schedule'!$F$5:$F46,'Daily Workforce'!$B167)=0,IF('Daily Schedule'!$A47=45,'Daily Workforce'!$J167="Y",IF(OR('Daily Schedule'!$A47=4,'Daily Schedule'!$A47=8),IF(OR(WEEKDAY('Daily Schedule'!$B$2,2)=1,WEEKDAY('Daily Schedule'!$B$2,2)=4,WEEKDAY('Daily Schedule'!$B$2,2)=5,WEEKDAY('Daily Schedule'!$B$2,2)=7),IFERROR(1*'Daily Workforce'!$K167&gt;=3,FALSE()),IFERROR(1*'Daily Workforce'!$K167&gt;=2,FALSE())),IF(AND('Daily Schedule'!$A47&gt;=46,'Daily Schedule'!$A47&lt;=52),'Daily Workforce'!$M167="Y",IFERROR(1*'Daily Workforce'!$P167&gt;=2,FALSE()))))),1,0)</f>
        <v>0</v>
      </c>
      <c r="FW43" s="1" t="n">
        <f aca="false">IF(AND('Daily Workforce'!$N168="Y",'Daily Workforce'!$B168&lt;&gt;"",COUNTIF('Daily Schedule'!$F$5:$F46,'Daily Workforce'!$B168)=0,IF('Daily Schedule'!$A47=45,'Daily Workforce'!$J168="Y",IF(OR('Daily Schedule'!$A47=4,'Daily Schedule'!$A47=8),IF(OR(WEEKDAY('Daily Schedule'!$B$2,2)=1,WEEKDAY('Daily Schedule'!$B$2,2)=4,WEEKDAY('Daily Schedule'!$B$2,2)=5,WEEKDAY('Daily Schedule'!$B$2,2)=7),IFERROR(1*'Daily Workforce'!$K168&gt;=3,FALSE()),IFERROR(1*'Daily Workforce'!$K168&gt;=2,FALSE())),IF(AND('Daily Schedule'!$A47&gt;=46,'Daily Schedule'!$A47&lt;=52),'Daily Workforce'!$M168="Y",IFERROR(1*'Daily Workforce'!$P168&gt;=2,FALSE()))))),1,0)</f>
        <v>0</v>
      </c>
      <c r="FX43" s="1" t="n">
        <f aca="false">IF(AND('Daily Workforce'!$N169="Y",'Daily Workforce'!$B169&lt;&gt;"",COUNTIF('Daily Schedule'!$F$5:$F46,'Daily Workforce'!$B169)=0,IF('Daily Schedule'!$A47=45,'Daily Workforce'!$J169="Y",IF(OR('Daily Schedule'!$A47=4,'Daily Schedule'!$A47=8),IF(OR(WEEKDAY('Daily Schedule'!$B$2,2)=1,WEEKDAY('Daily Schedule'!$B$2,2)=4,WEEKDAY('Daily Schedule'!$B$2,2)=5,WEEKDAY('Daily Schedule'!$B$2,2)=7),IFERROR(1*'Daily Workforce'!$K169&gt;=3,FALSE()),IFERROR(1*'Daily Workforce'!$K169&gt;=2,FALSE())),IF(AND('Daily Schedule'!$A47&gt;=46,'Daily Schedule'!$A47&lt;=52),'Daily Workforce'!$M169="Y",IFERROR(1*'Daily Workforce'!$P169&gt;=2,FALSE()))))),1,0)</f>
        <v>0</v>
      </c>
      <c r="FY43" s="1" t="n">
        <f aca="false">IF(AND('Daily Workforce'!$N170="Y",'Daily Workforce'!$B170&lt;&gt;"",COUNTIF('Daily Schedule'!$F$5:$F46,'Daily Workforce'!$B170)=0,IF('Daily Schedule'!$A47=45,'Daily Workforce'!$J170="Y",IF(OR('Daily Schedule'!$A47=4,'Daily Schedule'!$A47=8),IF(OR(WEEKDAY('Daily Schedule'!$B$2,2)=1,WEEKDAY('Daily Schedule'!$B$2,2)=4,WEEKDAY('Daily Schedule'!$B$2,2)=5,WEEKDAY('Daily Schedule'!$B$2,2)=7),IFERROR(1*'Daily Workforce'!$K170&gt;=3,FALSE()),IFERROR(1*'Daily Workforce'!$K170&gt;=2,FALSE())),IF(AND('Daily Schedule'!$A47&gt;=46,'Daily Schedule'!$A47&lt;=52),'Daily Workforce'!$M170="Y",IFERROR(1*'Daily Workforce'!$P170&gt;=2,FALSE()))))),1,0)</f>
        <v>0</v>
      </c>
      <c r="FZ43" s="1" t="n">
        <f aca="false">IF(AND('Daily Workforce'!$N171="Y",'Daily Workforce'!$B171&lt;&gt;"",COUNTIF('Daily Schedule'!$F$5:$F46,'Daily Workforce'!$B171)=0,IF('Daily Schedule'!$A47=45,'Daily Workforce'!$J171="Y",IF(OR('Daily Schedule'!$A47=4,'Daily Schedule'!$A47=8),IF(OR(WEEKDAY('Daily Schedule'!$B$2,2)=1,WEEKDAY('Daily Schedule'!$B$2,2)=4,WEEKDAY('Daily Schedule'!$B$2,2)=5,WEEKDAY('Daily Schedule'!$B$2,2)=7),IFERROR(1*'Daily Workforce'!$K171&gt;=3,FALSE()),IFERROR(1*'Daily Workforce'!$K171&gt;=2,FALSE())),IF(AND('Daily Schedule'!$A47&gt;=46,'Daily Schedule'!$A47&lt;=52),'Daily Workforce'!$M171="Y",IFERROR(1*'Daily Workforce'!$P171&gt;=2,FALSE()))))),1,0)</f>
        <v>0</v>
      </c>
      <c r="GA43" s="1" t="n">
        <f aca="false">IF(AND('Daily Workforce'!$N172="Y",'Daily Workforce'!$B172&lt;&gt;"",COUNTIF('Daily Schedule'!$F$5:$F46,'Daily Workforce'!$B172)=0,IF('Daily Schedule'!$A47=45,'Daily Workforce'!$J172="Y",IF(OR('Daily Schedule'!$A47=4,'Daily Schedule'!$A47=8),IF(OR(WEEKDAY('Daily Schedule'!$B$2,2)=1,WEEKDAY('Daily Schedule'!$B$2,2)=4,WEEKDAY('Daily Schedule'!$B$2,2)=5,WEEKDAY('Daily Schedule'!$B$2,2)=7),IFERROR(1*'Daily Workforce'!$K172&gt;=3,FALSE()),IFERROR(1*'Daily Workforce'!$K172&gt;=2,FALSE())),IF(AND('Daily Schedule'!$A47&gt;=46,'Daily Schedule'!$A47&lt;=52),'Daily Workforce'!$M172="Y",IFERROR(1*'Daily Workforce'!$P172&gt;=2,FALSE()))))),1,0)</f>
        <v>0</v>
      </c>
      <c r="GB43" s="1" t="n">
        <f aca="false">IF(AND('Daily Workforce'!$N173="Y",'Daily Workforce'!$B173&lt;&gt;"",COUNTIF('Daily Schedule'!$F$5:$F46,'Daily Workforce'!$B173)=0,IF('Daily Schedule'!$A47=45,'Daily Workforce'!$J173="Y",IF(OR('Daily Schedule'!$A47=4,'Daily Schedule'!$A47=8),IF(OR(WEEKDAY('Daily Schedule'!$B$2,2)=1,WEEKDAY('Daily Schedule'!$B$2,2)=4,WEEKDAY('Daily Schedule'!$B$2,2)=5,WEEKDAY('Daily Schedule'!$B$2,2)=7),IFERROR(1*'Daily Workforce'!$K173&gt;=3,FALSE()),IFERROR(1*'Daily Workforce'!$K173&gt;=2,FALSE())),IF(AND('Daily Schedule'!$A47&gt;=46,'Daily Schedule'!$A47&lt;=52),'Daily Workforce'!$M173="Y",IFERROR(1*'Daily Workforce'!$P173&gt;=2,FALSE()))))),1,0)</f>
        <v>0</v>
      </c>
      <c r="GC43" s="1" t="n">
        <f aca="false">IF(AND('Daily Workforce'!$N174="Y",'Daily Workforce'!$B174&lt;&gt;"",COUNTIF('Daily Schedule'!$F$5:$F46,'Daily Workforce'!$B174)=0,IF('Daily Schedule'!$A47=45,'Daily Workforce'!$J174="Y",IF(OR('Daily Schedule'!$A47=4,'Daily Schedule'!$A47=8),IF(OR(WEEKDAY('Daily Schedule'!$B$2,2)=1,WEEKDAY('Daily Schedule'!$B$2,2)=4,WEEKDAY('Daily Schedule'!$B$2,2)=5,WEEKDAY('Daily Schedule'!$B$2,2)=7),IFERROR(1*'Daily Workforce'!$K174&gt;=3,FALSE()),IFERROR(1*'Daily Workforce'!$K174&gt;=2,FALSE())),IF(AND('Daily Schedule'!$A47&gt;=46,'Daily Schedule'!$A47&lt;=52),'Daily Workforce'!$M174="Y",IFERROR(1*'Daily Workforce'!$P174&gt;=2,FALSE()))))),1,0)</f>
        <v>0</v>
      </c>
      <c r="GD43" s="1" t="n">
        <f aca="false">IF(AND('Daily Workforce'!$N175="Y",'Daily Workforce'!$B175&lt;&gt;"",COUNTIF('Daily Schedule'!$F$5:$F46,'Daily Workforce'!$B175)=0,IF('Daily Schedule'!$A47=45,'Daily Workforce'!$J175="Y",IF(OR('Daily Schedule'!$A47=4,'Daily Schedule'!$A47=8),IF(OR(WEEKDAY('Daily Schedule'!$B$2,2)=1,WEEKDAY('Daily Schedule'!$B$2,2)=4,WEEKDAY('Daily Schedule'!$B$2,2)=5,WEEKDAY('Daily Schedule'!$B$2,2)=7),IFERROR(1*'Daily Workforce'!$K175&gt;=3,FALSE()),IFERROR(1*'Daily Workforce'!$K175&gt;=2,FALSE())),IF(AND('Daily Schedule'!$A47&gt;=46,'Daily Schedule'!$A47&lt;=52),'Daily Workforce'!$M175="Y",IFERROR(1*'Daily Workforce'!$P175&gt;=2,FALSE()))))),1,0)</f>
        <v>0</v>
      </c>
      <c r="GE43" s="1" t="n">
        <f aca="false">IF(AND('Daily Workforce'!$N176="Y",'Daily Workforce'!$B176&lt;&gt;"",COUNTIF('Daily Schedule'!$F$5:$F46,'Daily Workforce'!$B176)=0,IF('Daily Schedule'!$A47=45,'Daily Workforce'!$J176="Y",IF(OR('Daily Schedule'!$A47=4,'Daily Schedule'!$A47=8),IF(OR(WEEKDAY('Daily Schedule'!$B$2,2)=1,WEEKDAY('Daily Schedule'!$B$2,2)=4,WEEKDAY('Daily Schedule'!$B$2,2)=5,WEEKDAY('Daily Schedule'!$B$2,2)=7),IFERROR(1*'Daily Workforce'!$K176&gt;=3,FALSE()),IFERROR(1*'Daily Workforce'!$K176&gt;=2,FALSE())),IF(AND('Daily Schedule'!$A47&gt;=46,'Daily Schedule'!$A47&lt;=52),'Daily Workforce'!$M176="Y",IFERROR(1*'Daily Workforce'!$P176&gt;=2,FALSE()))))),1,0)</f>
        <v>0</v>
      </c>
      <c r="GF43" s="1" t="n">
        <f aca="false">IF(AND('Daily Workforce'!$N177="Y",'Daily Workforce'!$B177&lt;&gt;"",COUNTIF('Daily Schedule'!$F$5:$F46,'Daily Workforce'!$B177)=0,IF('Daily Schedule'!$A47=45,'Daily Workforce'!$J177="Y",IF(OR('Daily Schedule'!$A47=4,'Daily Schedule'!$A47=8),IF(OR(WEEKDAY('Daily Schedule'!$B$2,2)=1,WEEKDAY('Daily Schedule'!$B$2,2)=4,WEEKDAY('Daily Schedule'!$B$2,2)=5,WEEKDAY('Daily Schedule'!$B$2,2)=7),IFERROR(1*'Daily Workforce'!$K177&gt;=3,FALSE()),IFERROR(1*'Daily Workforce'!$K177&gt;=2,FALSE())),IF(AND('Daily Schedule'!$A47&gt;=46,'Daily Schedule'!$A47&lt;=52),'Daily Workforce'!$M177="Y",IFERROR(1*'Daily Workforce'!$P177&gt;=2,FALSE()))))),1,0)</f>
        <v>0</v>
      </c>
      <c r="GG43" s="1" t="n">
        <f aca="false">IF(AND('Daily Workforce'!$N178="Y",'Daily Workforce'!$B178&lt;&gt;"",COUNTIF('Daily Schedule'!$F$5:$F46,'Daily Workforce'!$B178)=0,IF('Daily Schedule'!$A47=45,'Daily Workforce'!$J178="Y",IF(OR('Daily Schedule'!$A47=4,'Daily Schedule'!$A47=8),IF(OR(WEEKDAY('Daily Schedule'!$B$2,2)=1,WEEKDAY('Daily Schedule'!$B$2,2)=4,WEEKDAY('Daily Schedule'!$B$2,2)=5,WEEKDAY('Daily Schedule'!$B$2,2)=7),IFERROR(1*'Daily Workforce'!$K178&gt;=3,FALSE()),IFERROR(1*'Daily Workforce'!$K178&gt;=2,FALSE())),IF(AND('Daily Schedule'!$A47&gt;=46,'Daily Schedule'!$A47&lt;=52),'Daily Workforce'!$M178="Y",IFERROR(1*'Daily Workforce'!$P178&gt;=2,FALSE()))))),1,0)</f>
        <v>0</v>
      </c>
      <c r="GH43" s="1" t="n">
        <f aca="false">IF(AND('Daily Workforce'!$N179="Y",'Daily Workforce'!$B179&lt;&gt;"",COUNTIF('Daily Schedule'!$F$5:$F46,'Daily Workforce'!$B179)=0,IF('Daily Schedule'!$A47=45,'Daily Workforce'!$J179="Y",IF(OR('Daily Schedule'!$A47=4,'Daily Schedule'!$A47=8),IF(OR(WEEKDAY('Daily Schedule'!$B$2,2)=1,WEEKDAY('Daily Schedule'!$B$2,2)=4,WEEKDAY('Daily Schedule'!$B$2,2)=5,WEEKDAY('Daily Schedule'!$B$2,2)=7),IFERROR(1*'Daily Workforce'!$K179&gt;=3,FALSE()),IFERROR(1*'Daily Workforce'!$K179&gt;=2,FALSE())),IF(AND('Daily Schedule'!$A47&gt;=46,'Daily Schedule'!$A47&lt;=52),'Daily Workforce'!$M179="Y",IFERROR(1*'Daily Workforce'!$P179&gt;=2,FALSE()))))),1,0)</f>
        <v>0</v>
      </c>
      <c r="GI43" s="1" t="n">
        <f aca="false">IF(AND('Daily Workforce'!$N180="Y",'Daily Workforce'!$B180&lt;&gt;"",COUNTIF('Daily Schedule'!$F$5:$F46,'Daily Workforce'!$B180)=0,IF('Daily Schedule'!$A47=45,'Daily Workforce'!$J180="Y",IF(OR('Daily Schedule'!$A47=4,'Daily Schedule'!$A47=8),IF(OR(WEEKDAY('Daily Schedule'!$B$2,2)=1,WEEKDAY('Daily Schedule'!$B$2,2)=4,WEEKDAY('Daily Schedule'!$B$2,2)=5,WEEKDAY('Daily Schedule'!$B$2,2)=7),IFERROR(1*'Daily Workforce'!$K180&gt;=3,FALSE()),IFERROR(1*'Daily Workforce'!$K180&gt;=2,FALSE())),IF(AND('Daily Schedule'!$A47&gt;=46,'Daily Schedule'!$A47&lt;=52),'Daily Workforce'!$M180="Y",IFERROR(1*'Daily Workforce'!$P180&gt;=2,FALSE()))))),1,0)</f>
        <v>0</v>
      </c>
      <c r="GJ43" s="1" t="n">
        <f aca="false">IF(AND('Daily Workforce'!$N181="Y",'Daily Workforce'!$B181&lt;&gt;"",COUNTIF('Daily Schedule'!$F$5:$F46,'Daily Workforce'!$B181)=0,IF('Daily Schedule'!$A47=45,'Daily Workforce'!$J181="Y",IF(OR('Daily Schedule'!$A47=4,'Daily Schedule'!$A47=8),IF(OR(WEEKDAY('Daily Schedule'!$B$2,2)=1,WEEKDAY('Daily Schedule'!$B$2,2)=4,WEEKDAY('Daily Schedule'!$B$2,2)=5,WEEKDAY('Daily Schedule'!$B$2,2)=7),IFERROR(1*'Daily Workforce'!$K181&gt;=3,FALSE()),IFERROR(1*'Daily Workforce'!$K181&gt;=2,FALSE())),IF(AND('Daily Schedule'!$A47&gt;=46,'Daily Schedule'!$A47&lt;=52),'Daily Workforce'!$M181="Y",IFERROR(1*'Daily Workforce'!$P181&gt;=2,FALSE()))))),1,0)</f>
        <v>0</v>
      </c>
      <c r="GK43" s="1" t="n">
        <f aca="false">IF(AND('Daily Workforce'!$N182="Y",'Daily Workforce'!$B182&lt;&gt;"",COUNTIF('Daily Schedule'!$F$5:$F46,'Daily Workforce'!$B182)=0,IF('Daily Schedule'!$A47=45,'Daily Workforce'!$J182="Y",IF(OR('Daily Schedule'!$A47=4,'Daily Schedule'!$A47=8),IF(OR(WEEKDAY('Daily Schedule'!$B$2,2)=1,WEEKDAY('Daily Schedule'!$B$2,2)=4,WEEKDAY('Daily Schedule'!$B$2,2)=5,WEEKDAY('Daily Schedule'!$B$2,2)=7),IFERROR(1*'Daily Workforce'!$K182&gt;=3,FALSE()),IFERROR(1*'Daily Workforce'!$K182&gt;=2,FALSE())),IF(AND('Daily Schedule'!$A47&gt;=46,'Daily Schedule'!$A47&lt;=52),'Daily Workforce'!$M182="Y",IFERROR(1*'Daily Workforce'!$P182&gt;=2,FALSE()))))),1,0)</f>
        <v>0</v>
      </c>
      <c r="GL43" s="1" t="n">
        <f aca="false">IF(AND('Daily Workforce'!$N183="Y",'Daily Workforce'!$B183&lt;&gt;"",COUNTIF('Daily Schedule'!$F$5:$F46,'Daily Workforce'!$B183)=0,IF('Daily Schedule'!$A47=45,'Daily Workforce'!$J183="Y",IF(OR('Daily Schedule'!$A47=4,'Daily Schedule'!$A47=8),IF(OR(WEEKDAY('Daily Schedule'!$B$2,2)=1,WEEKDAY('Daily Schedule'!$B$2,2)=4,WEEKDAY('Daily Schedule'!$B$2,2)=5,WEEKDAY('Daily Schedule'!$B$2,2)=7),IFERROR(1*'Daily Workforce'!$K183&gt;=3,FALSE()),IFERROR(1*'Daily Workforce'!$K183&gt;=2,FALSE())),IF(AND('Daily Schedule'!$A47&gt;=46,'Daily Schedule'!$A47&lt;=52),'Daily Workforce'!$M183="Y",IFERROR(1*'Daily Workforce'!$P183&gt;=2,FALSE()))))),1,0)</f>
        <v>0</v>
      </c>
      <c r="GM43" s="1" t="n">
        <f aca="false">IF(AND('Daily Workforce'!$N184="Y",'Daily Workforce'!$B184&lt;&gt;"",COUNTIF('Daily Schedule'!$F$5:$F46,'Daily Workforce'!$B184)=0,IF('Daily Schedule'!$A47=45,'Daily Workforce'!$J184="Y",IF(OR('Daily Schedule'!$A47=4,'Daily Schedule'!$A47=8),IF(OR(WEEKDAY('Daily Schedule'!$B$2,2)=1,WEEKDAY('Daily Schedule'!$B$2,2)=4,WEEKDAY('Daily Schedule'!$B$2,2)=5,WEEKDAY('Daily Schedule'!$B$2,2)=7),IFERROR(1*'Daily Workforce'!$K184&gt;=3,FALSE()),IFERROR(1*'Daily Workforce'!$K184&gt;=2,FALSE())),IF(AND('Daily Schedule'!$A47&gt;=46,'Daily Schedule'!$A47&lt;=52),'Daily Workforce'!$M184="Y",IFERROR(1*'Daily Workforce'!$P184&gt;=2,FALSE()))))),1,0)</f>
        <v>0</v>
      </c>
      <c r="GN43" s="1" t="n">
        <f aca="false">IF(AND('Daily Workforce'!$N185="Y",'Daily Workforce'!$B185&lt;&gt;"",COUNTIF('Daily Schedule'!$F$5:$F46,'Daily Workforce'!$B185)=0,IF('Daily Schedule'!$A47=45,'Daily Workforce'!$J185="Y",IF(OR('Daily Schedule'!$A47=4,'Daily Schedule'!$A47=8),IF(OR(WEEKDAY('Daily Schedule'!$B$2,2)=1,WEEKDAY('Daily Schedule'!$B$2,2)=4,WEEKDAY('Daily Schedule'!$B$2,2)=5,WEEKDAY('Daily Schedule'!$B$2,2)=7),IFERROR(1*'Daily Workforce'!$K185&gt;=3,FALSE()),IFERROR(1*'Daily Workforce'!$K185&gt;=2,FALSE())),IF(AND('Daily Schedule'!$A47&gt;=46,'Daily Schedule'!$A47&lt;=52),'Daily Workforce'!$M185="Y",IFERROR(1*'Daily Workforce'!$P185&gt;=2,FALSE()))))),1,0)</f>
        <v>0</v>
      </c>
      <c r="GO43" s="1" t="n">
        <f aca="false">IF(AND('Daily Workforce'!$N186="Y",'Daily Workforce'!$B186&lt;&gt;"",COUNTIF('Daily Schedule'!$F$5:$F46,'Daily Workforce'!$B186)=0,IF('Daily Schedule'!$A47=45,'Daily Workforce'!$J186="Y",IF(OR('Daily Schedule'!$A47=4,'Daily Schedule'!$A47=8),IF(OR(WEEKDAY('Daily Schedule'!$B$2,2)=1,WEEKDAY('Daily Schedule'!$B$2,2)=4,WEEKDAY('Daily Schedule'!$B$2,2)=5,WEEKDAY('Daily Schedule'!$B$2,2)=7),IFERROR(1*'Daily Workforce'!$K186&gt;=3,FALSE()),IFERROR(1*'Daily Workforce'!$K186&gt;=2,FALSE())),IF(AND('Daily Schedule'!$A47&gt;=46,'Daily Schedule'!$A47&lt;=52),'Daily Workforce'!$M186="Y",IFERROR(1*'Daily Workforce'!$P186&gt;=2,FALSE()))))),1,0)</f>
        <v>0</v>
      </c>
      <c r="GP43" s="1" t="n">
        <f aca="false">IF(AND('Daily Workforce'!$N187="Y",'Daily Workforce'!$B187&lt;&gt;"",COUNTIF('Daily Schedule'!$F$5:$F46,'Daily Workforce'!$B187)=0,IF('Daily Schedule'!$A47=45,'Daily Workforce'!$J187="Y",IF(OR('Daily Schedule'!$A47=4,'Daily Schedule'!$A47=8),IF(OR(WEEKDAY('Daily Schedule'!$B$2,2)=1,WEEKDAY('Daily Schedule'!$B$2,2)=4,WEEKDAY('Daily Schedule'!$B$2,2)=5,WEEKDAY('Daily Schedule'!$B$2,2)=7),IFERROR(1*'Daily Workforce'!$K187&gt;=3,FALSE()),IFERROR(1*'Daily Workforce'!$K187&gt;=2,FALSE())),IF(AND('Daily Schedule'!$A47&gt;=46,'Daily Schedule'!$A47&lt;=52),'Daily Workforce'!$M187="Y",IFERROR(1*'Daily Workforce'!$P187&gt;=2,FALSE()))))),1,0)</f>
        <v>0</v>
      </c>
      <c r="GQ43" s="1" t="n">
        <f aca="false">IF(AND('Daily Workforce'!$N188="Y",'Daily Workforce'!$B188&lt;&gt;"",COUNTIF('Daily Schedule'!$F$5:$F46,'Daily Workforce'!$B188)=0,IF('Daily Schedule'!$A47=45,'Daily Workforce'!$J188="Y",IF(OR('Daily Schedule'!$A47=4,'Daily Schedule'!$A47=8),IF(OR(WEEKDAY('Daily Schedule'!$B$2,2)=1,WEEKDAY('Daily Schedule'!$B$2,2)=4,WEEKDAY('Daily Schedule'!$B$2,2)=5,WEEKDAY('Daily Schedule'!$B$2,2)=7),IFERROR(1*'Daily Workforce'!$K188&gt;=3,FALSE()),IFERROR(1*'Daily Workforce'!$K188&gt;=2,FALSE())),IF(AND('Daily Schedule'!$A47&gt;=46,'Daily Schedule'!$A47&lt;=52),'Daily Workforce'!$M188="Y",IFERROR(1*'Daily Workforce'!$P188&gt;=2,FALSE()))))),1,0)</f>
        <v>0</v>
      </c>
      <c r="GR43" s="1" t="n">
        <f aca="false">IF(AND('Daily Workforce'!$N189="Y",'Daily Workforce'!$B189&lt;&gt;"",COUNTIF('Daily Schedule'!$F$5:$F46,'Daily Workforce'!$B189)=0,IF('Daily Schedule'!$A47=45,'Daily Workforce'!$J189="Y",IF(OR('Daily Schedule'!$A47=4,'Daily Schedule'!$A47=8),IF(OR(WEEKDAY('Daily Schedule'!$B$2,2)=1,WEEKDAY('Daily Schedule'!$B$2,2)=4,WEEKDAY('Daily Schedule'!$B$2,2)=5,WEEKDAY('Daily Schedule'!$B$2,2)=7),IFERROR(1*'Daily Workforce'!$K189&gt;=3,FALSE()),IFERROR(1*'Daily Workforce'!$K189&gt;=2,FALSE())),IF(AND('Daily Schedule'!$A47&gt;=46,'Daily Schedule'!$A47&lt;=52),'Daily Workforce'!$M189="Y",IFERROR(1*'Daily Workforce'!$P189&gt;=2,FALSE()))))),1,0)</f>
        <v>0</v>
      </c>
      <c r="GS43" s="1" t="n">
        <f aca="false">IF(AND('Daily Workforce'!$N190="Y",'Daily Workforce'!$B190&lt;&gt;"",COUNTIF('Daily Schedule'!$F$5:$F46,'Daily Workforce'!$B190)=0,IF('Daily Schedule'!$A47=45,'Daily Workforce'!$J190="Y",IF(OR('Daily Schedule'!$A47=4,'Daily Schedule'!$A47=8),IF(OR(WEEKDAY('Daily Schedule'!$B$2,2)=1,WEEKDAY('Daily Schedule'!$B$2,2)=4,WEEKDAY('Daily Schedule'!$B$2,2)=5,WEEKDAY('Daily Schedule'!$B$2,2)=7),IFERROR(1*'Daily Workforce'!$K190&gt;=3,FALSE()),IFERROR(1*'Daily Workforce'!$K190&gt;=2,FALSE())),IF(AND('Daily Schedule'!$A47&gt;=46,'Daily Schedule'!$A47&lt;=52),'Daily Workforce'!$M190="Y",IFERROR(1*'Daily Workforce'!$P190&gt;=2,FALSE()))))),1,0)</f>
        <v>0</v>
      </c>
      <c r="GT43" s="1" t="n">
        <f aca="false">IF(AND('Daily Workforce'!$N191="Y",'Daily Workforce'!$B191&lt;&gt;"",COUNTIF('Daily Schedule'!$F$5:$F46,'Daily Workforce'!$B191)=0,IF('Daily Schedule'!$A47=45,'Daily Workforce'!$J191="Y",IF(OR('Daily Schedule'!$A47=4,'Daily Schedule'!$A47=8),IF(OR(WEEKDAY('Daily Schedule'!$B$2,2)=1,WEEKDAY('Daily Schedule'!$B$2,2)=4,WEEKDAY('Daily Schedule'!$B$2,2)=5,WEEKDAY('Daily Schedule'!$B$2,2)=7),IFERROR(1*'Daily Workforce'!$K191&gt;=3,FALSE()),IFERROR(1*'Daily Workforce'!$K191&gt;=2,FALSE())),IF(AND('Daily Schedule'!$A47&gt;=46,'Daily Schedule'!$A47&lt;=52),'Daily Workforce'!$M191="Y",IFERROR(1*'Daily Workforce'!$P191&gt;=2,FALSE()))))),1,0)</f>
        <v>0</v>
      </c>
      <c r="GU43" s="1" t="n">
        <f aca="false">IF(AND('Daily Workforce'!$N192="Y",'Daily Workforce'!$B192&lt;&gt;"",COUNTIF('Daily Schedule'!$F$5:$F46,'Daily Workforce'!$B192)=0,IF('Daily Schedule'!$A47=45,'Daily Workforce'!$J192="Y",IF(OR('Daily Schedule'!$A47=4,'Daily Schedule'!$A47=8),IF(OR(WEEKDAY('Daily Schedule'!$B$2,2)=1,WEEKDAY('Daily Schedule'!$B$2,2)=4,WEEKDAY('Daily Schedule'!$B$2,2)=5,WEEKDAY('Daily Schedule'!$B$2,2)=7),IFERROR(1*'Daily Workforce'!$K192&gt;=3,FALSE()),IFERROR(1*'Daily Workforce'!$K192&gt;=2,FALSE())),IF(AND('Daily Schedule'!$A47&gt;=46,'Daily Schedule'!$A47&lt;=52),'Daily Workforce'!$M192="Y",IFERROR(1*'Daily Workforce'!$P192&gt;=2,FALSE()))))),1,0)</f>
        <v>0</v>
      </c>
      <c r="GV43" s="1" t="n">
        <f aca="false">IF(AND('Daily Workforce'!$N193="Y",'Daily Workforce'!$B193&lt;&gt;"",COUNTIF('Daily Schedule'!$F$5:$F46,'Daily Workforce'!$B193)=0,IF('Daily Schedule'!$A47=45,'Daily Workforce'!$J193="Y",IF(OR('Daily Schedule'!$A47=4,'Daily Schedule'!$A47=8),IF(OR(WEEKDAY('Daily Schedule'!$B$2,2)=1,WEEKDAY('Daily Schedule'!$B$2,2)=4,WEEKDAY('Daily Schedule'!$B$2,2)=5,WEEKDAY('Daily Schedule'!$B$2,2)=7),IFERROR(1*'Daily Workforce'!$K193&gt;=3,FALSE()),IFERROR(1*'Daily Workforce'!$K193&gt;=2,FALSE())),IF(AND('Daily Schedule'!$A47&gt;=46,'Daily Schedule'!$A47&lt;=52),'Daily Workforce'!$M193="Y",IFERROR(1*'Daily Workforce'!$P193&gt;=2,FALSE()))))),1,0)</f>
        <v>0</v>
      </c>
      <c r="GW43" s="1" t="n">
        <f aca="false">IF(AND('Daily Workforce'!$N194="Y",'Daily Workforce'!$B194&lt;&gt;"",COUNTIF('Daily Schedule'!$F$5:$F46,'Daily Workforce'!$B194)=0,IF('Daily Schedule'!$A47=45,'Daily Workforce'!$J194="Y",IF(OR('Daily Schedule'!$A47=4,'Daily Schedule'!$A47=8),IF(OR(WEEKDAY('Daily Schedule'!$B$2,2)=1,WEEKDAY('Daily Schedule'!$B$2,2)=4,WEEKDAY('Daily Schedule'!$B$2,2)=5,WEEKDAY('Daily Schedule'!$B$2,2)=7),IFERROR(1*'Daily Workforce'!$K194&gt;=3,FALSE()),IFERROR(1*'Daily Workforce'!$K194&gt;=2,FALSE())),IF(AND('Daily Schedule'!$A47&gt;=46,'Daily Schedule'!$A47&lt;=52),'Daily Workforce'!$M194="Y",IFERROR(1*'Daily Workforce'!$P194&gt;=2,FALSE()))))),1,0)</f>
        <v>0</v>
      </c>
      <c r="GX43" s="1" t="n">
        <f aca="false">IF(AND('Daily Workforce'!$N195="Y",'Daily Workforce'!$B195&lt;&gt;"",COUNTIF('Daily Schedule'!$F$5:$F46,'Daily Workforce'!$B195)=0,IF('Daily Schedule'!$A47=45,'Daily Workforce'!$J195="Y",IF(OR('Daily Schedule'!$A47=4,'Daily Schedule'!$A47=8),IF(OR(WEEKDAY('Daily Schedule'!$B$2,2)=1,WEEKDAY('Daily Schedule'!$B$2,2)=4,WEEKDAY('Daily Schedule'!$B$2,2)=5,WEEKDAY('Daily Schedule'!$B$2,2)=7),IFERROR(1*'Daily Workforce'!$K195&gt;=3,FALSE()),IFERROR(1*'Daily Workforce'!$K195&gt;=2,FALSE())),IF(AND('Daily Schedule'!$A47&gt;=46,'Daily Schedule'!$A47&lt;=52),'Daily Workforce'!$M195="Y",IFERROR(1*'Daily Workforce'!$P195&gt;=2,FALSE()))))),1,0)</f>
        <v>0</v>
      </c>
      <c r="GY43" s="1" t="n">
        <f aca="false">IF(AND('Daily Workforce'!$N196="Y",'Daily Workforce'!$B196&lt;&gt;"",COUNTIF('Daily Schedule'!$F$5:$F46,'Daily Workforce'!$B196)=0,IF('Daily Schedule'!$A47=45,'Daily Workforce'!$J196="Y",IF(OR('Daily Schedule'!$A47=4,'Daily Schedule'!$A47=8),IF(OR(WEEKDAY('Daily Schedule'!$B$2,2)=1,WEEKDAY('Daily Schedule'!$B$2,2)=4,WEEKDAY('Daily Schedule'!$B$2,2)=5,WEEKDAY('Daily Schedule'!$B$2,2)=7),IFERROR(1*'Daily Workforce'!$K196&gt;=3,FALSE()),IFERROR(1*'Daily Workforce'!$K196&gt;=2,FALSE())),IF(AND('Daily Schedule'!$A47&gt;=46,'Daily Schedule'!$A47&lt;=52),'Daily Workforce'!$M196="Y",IFERROR(1*'Daily Workforce'!$P196&gt;=2,FALSE()))))),1,0)</f>
        <v>0</v>
      </c>
      <c r="GZ43" s="1" t="n">
        <f aca="false">IF(AND('Daily Workforce'!$N197="Y",'Daily Workforce'!$B197&lt;&gt;"",COUNTIF('Daily Schedule'!$F$5:$F46,'Daily Workforce'!$B197)=0,IF('Daily Schedule'!$A47=45,'Daily Workforce'!$J197="Y",IF(OR('Daily Schedule'!$A47=4,'Daily Schedule'!$A47=8),IF(OR(WEEKDAY('Daily Schedule'!$B$2,2)=1,WEEKDAY('Daily Schedule'!$B$2,2)=4,WEEKDAY('Daily Schedule'!$B$2,2)=5,WEEKDAY('Daily Schedule'!$B$2,2)=7),IFERROR(1*'Daily Workforce'!$K197&gt;=3,FALSE()),IFERROR(1*'Daily Workforce'!$K197&gt;=2,FALSE())),IF(AND('Daily Schedule'!$A47&gt;=46,'Daily Schedule'!$A47&lt;=52),'Daily Workforce'!$M197="Y",IFERROR(1*'Daily Workforce'!$P197&gt;=2,FALSE()))))),1,0)</f>
        <v>0</v>
      </c>
      <c r="HA43" s="1" t="n">
        <f aca="false">IF(AND('Daily Workforce'!$N198="Y",'Daily Workforce'!$B198&lt;&gt;"",COUNTIF('Daily Schedule'!$F$5:$F46,'Daily Workforce'!$B198)=0,IF('Daily Schedule'!$A47=45,'Daily Workforce'!$J198="Y",IF(OR('Daily Schedule'!$A47=4,'Daily Schedule'!$A47=8),IF(OR(WEEKDAY('Daily Schedule'!$B$2,2)=1,WEEKDAY('Daily Schedule'!$B$2,2)=4,WEEKDAY('Daily Schedule'!$B$2,2)=5,WEEKDAY('Daily Schedule'!$B$2,2)=7),IFERROR(1*'Daily Workforce'!$K198&gt;=3,FALSE()),IFERROR(1*'Daily Workforce'!$K198&gt;=2,FALSE())),IF(AND('Daily Schedule'!$A47&gt;=46,'Daily Schedule'!$A47&lt;=52),'Daily Workforce'!$M198="Y",IFERROR(1*'Daily Workforce'!$P198&gt;=2,FALSE()))))),1,0)</f>
        <v>0</v>
      </c>
      <c r="HB43" s="1" t="n">
        <f aca="false">IF(AND('Daily Workforce'!$N199="Y",'Daily Workforce'!$B199&lt;&gt;"",COUNTIF('Daily Schedule'!$F$5:$F46,'Daily Workforce'!$B199)=0,IF('Daily Schedule'!$A47=45,'Daily Workforce'!$J199="Y",IF(OR('Daily Schedule'!$A47=4,'Daily Schedule'!$A47=8),IF(OR(WEEKDAY('Daily Schedule'!$B$2,2)=1,WEEKDAY('Daily Schedule'!$B$2,2)=4,WEEKDAY('Daily Schedule'!$B$2,2)=5,WEEKDAY('Daily Schedule'!$B$2,2)=7),IFERROR(1*'Daily Workforce'!$K199&gt;=3,FALSE()),IFERROR(1*'Daily Workforce'!$K199&gt;=2,FALSE())),IF(AND('Daily Schedule'!$A47&gt;=46,'Daily Schedule'!$A47&lt;=52),'Daily Workforce'!$M199="Y",IFERROR(1*'Daily Workforce'!$P199&gt;=2,FALSE()))))),1,0)</f>
        <v>0</v>
      </c>
      <c r="HC43" s="1" t="n">
        <f aca="false">IF(AND('Daily Workforce'!$N200="Y",'Daily Workforce'!$B200&lt;&gt;"",COUNTIF('Daily Schedule'!$F$5:$F46,'Daily Workforce'!$B200)=0,IF('Daily Schedule'!$A47=45,'Daily Workforce'!$J200="Y",IF(OR('Daily Schedule'!$A47=4,'Daily Schedule'!$A47=8),IF(OR(WEEKDAY('Daily Schedule'!$B$2,2)=1,WEEKDAY('Daily Schedule'!$B$2,2)=4,WEEKDAY('Daily Schedule'!$B$2,2)=5,WEEKDAY('Daily Schedule'!$B$2,2)=7),IFERROR(1*'Daily Workforce'!$K200&gt;=3,FALSE()),IFERROR(1*'Daily Workforce'!$K200&gt;=2,FALSE())),IF(AND('Daily Schedule'!$A47&gt;=46,'Daily Schedule'!$A47&lt;=52),'Daily Workforce'!$M200="Y",IFERROR(1*'Daily Workforce'!$P200&gt;=2,FALSE()))))),1,0)</f>
        <v>0</v>
      </c>
      <c r="HD43" s="1" t="n">
        <f aca="false">IF(AND('Daily Workforce'!$N201="Y",'Daily Workforce'!$B201&lt;&gt;"",COUNTIF('Daily Schedule'!$F$5:$F46,'Daily Workforce'!$B201)=0,IF('Daily Schedule'!$A47=45,'Daily Workforce'!$J201="Y",IF(OR('Daily Schedule'!$A47=4,'Daily Schedule'!$A47=8),IF(OR(WEEKDAY('Daily Schedule'!$B$2,2)=1,WEEKDAY('Daily Schedule'!$B$2,2)=4,WEEKDAY('Daily Schedule'!$B$2,2)=5,WEEKDAY('Daily Schedule'!$B$2,2)=7),IFERROR(1*'Daily Workforce'!$K201&gt;=3,FALSE()),IFERROR(1*'Daily Workforce'!$K201&gt;=2,FALSE())),IF(AND('Daily Schedule'!$A47&gt;=46,'Daily Schedule'!$A47&lt;=52),'Daily Workforce'!$M201="Y",IFERROR(1*'Daily Workforce'!$P201&gt;=2,FALSE()))))),1,0)</f>
        <v>0</v>
      </c>
      <c r="HE43" s="1" t="n">
        <f aca="false">IF(AND('Daily Workforce'!$N202="Y",'Daily Workforce'!$B202&lt;&gt;"",COUNTIF('Daily Schedule'!$F$5:$F46,'Daily Workforce'!$B202)=0,IF('Daily Schedule'!$A47=45,'Daily Workforce'!$J202="Y",IF(OR('Daily Schedule'!$A47=4,'Daily Schedule'!$A47=8),IF(OR(WEEKDAY('Daily Schedule'!$B$2,2)=1,WEEKDAY('Daily Schedule'!$B$2,2)=4,WEEKDAY('Daily Schedule'!$B$2,2)=5,WEEKDAY('Daily Schedule'!$B$2,2)=7),IFERROR(1*'Daily Workforce'!$K202&gt;=3,FALSE()),IFERROR(1*'Daily Workforce'!$K202&gt;=2,FALSE())),IF(AND('Daily Schedule'!$A47&gt;=46,'Daily Schedule'!$A47&lt;=52),'Daily Workforce'!$M202="Y",IFERROR(1*'Daily Workforce'!$P202&gt;=2,FALSE()))))),1,0)</f>
        <v>0</v>
      </c>
      <c r="HF43" s="1" t="n">
        <f aca="false">IF(AND('Daily Workforce'!$N203="Y",'Daily Workforce'!$B203&lt;&gt;"",COUNTIF('Daily Schedule'!$F$5:$F46,'Daily Workforce'!$B203)=0,IF('Daily Schedule'!$A47=45,'Daily Workforce'!$J203="Y",IF(OR('Daily Schedule'!$A47=4,'Daily Schedule'!$A47=8),IF(OR(WEEKDAY('Daily Schedule'!$B$2,2)=1,WEEKDAY('Daily Schedule'!$B$2,2)=4,WEEKDAY('Daily Schedule'!$B$2,2)=5,WEEKDAY('Daily Schedule'!$B$2,2)=7),IFERROR(1*'Daily Workforce'!$K203&gt;=3,FALSE()),IFERROR(1*'Daily Workforce'!$K203&gt;=2,FALSE())),IF(AND('Daily Schedule'!$A47&gt;=46,'Daily Schedule'!$A47&lt;=52),'Daily Workforce'!$M203="Y",IFERROR(1*'Daily Workforce'!$P203&gt;=2,FALSE()))))),1,0)</f>
        <v>0</v>
      </c>
      <c r="HG43" s="1" t="n">
        <f aca="false">IF(AND('Daily Workforce'!$N204="Y",'Daily Workforce'!$B204&lt;&gt;"",COUNTIF('Daily Schedule'!$F$5:$F46,'Daily Workforce'!$B204)=0,IF('Daily Schedule'!$A47=45,'Daily Workforce'!$J204="Y",IF(OR('Daily Schedule'!$A47=4,'Daily Schedule'!$A47=8),IF(OR(WEEKDAY('Daily Schedule'!$B$2,2)=1,WEEKDAY('Daily Schedule'!$B$2,2)=4,WEEKDAY('Daily Schedule'!$B$2,2)=5,WEEKDAY('Daily Schedule'!$B$2,2)=7),IFERROR(1*'Daily Workforce'!$K204&gt;=3,FALSE()),IFERROR(1*'Daily Workforce'!$K204&gt;=2,FALSE())),IF(AND('Daily Schedule'!$A47&gt;=46,'Daily Schedule'!$A47&lt;=52),'Daily Workforce'!$M204="Y",IFERROR(1*'Daily Workforce'!$P204&gt;=2,FALSE()))))),1,0)</f>
        <v>0</v>
      </c>
      <c r="HH43" s="1" t="n">
        <f aca="false">IF(AND('Daily Workforce'!$N205="Y",'Daily Workforce'!$B205&lt;&gt;"",COUNTIF('Daily Schedule'!$F$5:$F46,'Daily Workforce'!$B205)=0,IF('Daily Schedule'!$A47=45,'Daily Workforce'!$J205="Y",IF(OR('Daily Schedule'!$A47=4,'Daily Schedule'!$A47=8),IF(OR(WEEKDAY('Daily Schedule'!$B$2,2)=1,WEEKDAY('Daily Schedule'!$B$2,2)=4,WEEKDAY('Daily Schedule'!$B$2,2)=5,WEEKDAY('Daily Schedule'!$B$2,2)=7),IFERROR(1*'Daily Workforce'!$K205&gt;=3,FALSE()),IFERROR(1*'Daily Workforce'!$K205&gt;=2,FALSE())),IF(AND('Daily Schedule'!$A47&gt;=46,'Daily Schedule'!$A47&lt;=52),'Daily Workforce'!$M205="Y",IFERROR(1*'Daily Workforce'!$P205&gt;=2,FALSE()))))),1,0)</f>
        <v>0</v>
      </c>
    </row>
    <row r="44" customFormat="false" ht="15" hidden="false" customHeight="true" outlineLevel="0" collapsed="false">
      <c r="L44" s="1" t="s">
        <v>817</v>
      </c>
      <c r="O44" s="1" t="str">
        <f aca="false">IF(AND('Employee Master'!$G44="Y",ISERROR(SEARCH(TEXT('Daily Workforce'!$B$2,"ddd"),'Employee Master'!$D44)),IF('Daily Workforce'!$E$2="",TRUE(),'Employee Master'!$I44='Daily Workforce'!$E$2)),'Employee Master'!$K44*1000+ROW()-1,"")</f>
        <v/>
      </c>
      <c r="P44" s="1" t="str">
        <f aca="false">IF($O44="","",COUNTIF($O$2:$O$159,"&lt;="&amp;$O44))</f>
        <v/>
      </c>
      <c r="Q44" s="1" t="n">
        <f aca="false">IF(AND('Daily Workforce'!$N6="Y",'Daily Workforce'!$B6&lt;&gt;"",COUNTIF('Daily Schedule'!$F$5:$F47,'Daily Workforce'!$B6)=0,IF('Daily Schedule'!$A48=45,'Daily Workforce'!$J6="Y",IF(OR('Daily Schedule'!$A48=4,'Daily Schedule'!$A48=8),IF(OR(WEEKDAY('Daily Schedule'!$B$2,2)=1,WEEKDAY('Daily Schedule'!$B$2,2)=4,WEEKDAY('Daily Schedule'!$B$2,2)=5,WEEKDAY('Daily Schedule'!$B$2,2)=7),IFERROR(1*'Daily Workforce'!$K6&gt;=3,FALSE()),IFERROR(1*'Daily Workforce'!$K6&gt;=2,FALSE())),IF(AND('Daily Schedule'!$A48&gt;=46,'Daily Schedule'!$A48&lt;=52),'Daily Workforce'!$M6="Y",IFERROR(1*'Daily Workforce'!$P6&gt;=2,FALSE()))))),1,0)</f>
        <v>0</v>
      </c>
      <c r="R44" s="1" t="n">
        <f aca="false">IF(AND('Daily Workforce'!$N7="Y",'Daily Workforce'!$B7&lt;&gt;"",COUNTIF('Daily Schedule'!$F$5:$F47,'Daily Workforce'!$B7)=0,IF('Daily Schedule'!$A48=45,'Daily Workforce'!$J7="Y",IF(OR('Daily Schedule'!$A48=4,'Daily Schedule'!$A48=8),IF(OR(WEEKDAY('Daily Schedule'!$B$2,2)=1,WEEKDAY('Daily Schedule'!$B$2,2)=4,WEEKDAY('Daily Schedule'!$B$2,2)=5,WEEKDAY('Daily Schedule'!$B$2,2)=7),IFERROR(1*'Daily Workforce'!$K7&gt;=3,FALSE()),IFERROR(1*'Daily Workforce'!$K7&gt;=2,FALSE())),IF(AND('Daily Schedule'!$A48&gt;=46,'Daily Schedule'!$A48&lt;=52),'Daily Workforce'!$M7="Y",IFERROR(1*'Daily Workforce'!$P7&gt;=2,FALSE()))))),1,0)</f>
        <v>0</v>
      </c>
      <c r="S44" s="1" t="n">
        <f aca="false">IF(AND('Daily Workforce'!$N8="Y",'Daily Workforce'!$B8&lt;&gt;"",COUNTIF('Daily Schedule'!$F$5:$F47,'Daily Workforce'!$B8)=0,IF('Daily Schedule'!$A48=45,'Daily Workforce'!$J8="Y",IF(OR('Daily Schedule'!$A48=4,'Daily Schedule'!$A48=8),IF(OR(WEEKDAY('Daily Schedule'!$B$2,2)=1,WEEKDAY('Daily Schedule'!$B$2,2)=4,WEEKDAY('Daily Schedule'!$B$2,2)=5,WEEKDAY('Daily Schedule'!$B$2,2)=7),IFERROR(1*'Daily Workforce'!$K8&gt;=3,FALSE()),IFERROR(1*'Daily Workforce'!$K8&gt;=2,FALSE())),IF(AND('Daily Schedule'!$A48&gt;=46,'Daily Schedule'!$A48&lt;=52),'Daily Workforce'!$M8="Y",IFERROR(1*'Daily Workforce'!$P8&gt;=2,FALSE()))))),1,0)</f>
        <v>0</v>
      </c>
      <c r="T44" s="1" t="n">
        <f aca="false">IF(AND('Daily Workforce'!$N9="Y",'Daily Workforce'!$B9&lt;&gt;"",COUNTIF('Daily Schedule'!$F$5:$F47,'Daily Workforce'!$B9)=0,IF('Daily Schedule'!$A48=45,'Daily Workforce'!$J9="Y",IF(OR('Daily Schedule'!$A48=4,'Daily Schedule'!$A48=8),IF(OR(WEEKDAY('Daily Schedule'!$B$2,2)=1,WEEKDAY('Daily Schedule'!$B$2,2)=4,WEEKDAY('Daily Schedule'!$B$2,2)=5,WEEKDAY('Daily Schedule'!$B$2,2)=7),IFERROR(1*'Daily Workforce'!$K9&gt;=3,FALSE()),IFERROR(1*'Daily Workforce'!$K9&gt;=2,FALSE())),IF(AND('Daily Schedule'!$A48&gt;=46,'Daily Schedule'!$A48&lt;=52),'Daily Workforce'!$M9="Y",IFERROR(1*'Daily Workforce'!$P9&gt;=2,FALSE()))))),1,0)</f>
        <v>0</v>
      </c>
      <c r="U44" s="1" t="n">
        <f aca="false">IF(AND('Daily Workforce'!$N10="Y",'Daily Workforce'!$B10&lt;&gt;"",COUNTIF('Daily Schedule'!$F$5:$F47,'Daily Workforce'!$B10)=0,IF('Daily Schedule'!$A48=45,'Daily Workforce'!$J10="Y",IF(OR('Daily Schedule'!$A48=4,'Daily Schedule'!$A48=8),IF(OR(WEEKDAY('Daily Schedule'!$B$2,2)=1,WEEKDAY('Daily Schedule'!$B$2,2)=4,WEEKDAY('Daily Schedule'!$B$2,2)=5,WEEKDAY('Daily Schedule'!$B$2,2)=7),IFERROR(1*'Daily Workforce'!$K10&gt;=3,FALSE()),IFERROR(1*'Daily Workforce'!$K10&gt;=2,FALSE())),IF(AND('Daily Schedule'!$A48&gt;=46,'Daily Schedule'!$A48&lt;=52),'Daily Workforce'!$M10="Y",IFERROR(1*'Daily Workforce'!$P10&gt;=2,FALSE()))))),1,0)</f>
        <v>0</v>
      </c>
      <c r="V44" s="1" t="n">
        <f aca="false">IF(AND('Daily Workforce'!$N11="Y",'Daily Workforce'!$B11&lt;&gt;"",COUNTIF('Daily Schedule'!$F$5:$F47,'Daily Workforce'!$B11)=0,IF('Daily Schedule'!$A48=45,'Daily Workforce'!$J11="Y",IF(OR('Daily Schedule'!$A48=4,'Daily Schedule'!$A48=8),IF(OR(WEEKDAY('Daily Schedule'!$B$2,2)=1,WEEKDAY('Daily Schedule'!$B$2,2)=4,WEEKDAY('Daily Schedule'!$B$2,2)=5,WEEKDAY('Daily Schedule'!$B$2,2)=7),IFERROR(1*'Daily Workforce'!$K11&gt;=3,FALSE()),IFERROR(1*'Daily Workforce'!$K11&gt;=2,FALSE())),IF(AND('Daily Schedule'!$A48&gt;=46,'Daily Schedule'!$A48&lt;=52),'Daily Workforce'!$M11="Y",IFERROR(1*'Daily Workforce'!$P11&gt;=2,FALSE()))))),1,0)</f>
        <v>0</v>
      </c>
      <c r="W44" s="1" t="n">
        <f aca="false">IF(AND('Daily Workforce'!$N12="Y",'Daily Workforce'!$B12&lt;&gt;"",COUNTIF('Daily Schedule'!$F$5:$F47,'Daily Workforce'!$B12)=0,IF('Daily Schedule'!$A48=45,'Daily Workforce'!$J12="Y",IF(OR('Daily Schedule'!$A48=4,'Daily Schedule'!$A48=8),IF(OR(WEEKDAY('Daily Schedule'!$B$2,2)=1,WEEKDAY('Daily Schedule'!$B$2,2)=4,WEEKDAY('Daily Schedule'!$B$2,2)=5,WEEKDAY('Daily Schedule'!$B$2,2)=7),IFERROR(1*'Daily Workforce'!$K12&gt;=3,FALSE()),IFERROR(1*'Daily Workforce'!$K12&gt;=2,FALSE())),IF(AND('Daily Schedule'!$A48&gt;=46,'Daily Schedule'!$A48&lt;=52),'Daily Workforce'!$M12="Y",IFERROR(1*'Daily Workforce'!$P12&gt;=2,FALSE()))))),1,0)</f>
        <v>0</v>
      </c>
      <c r="X44" s="1" t="n">
        <f aca="false">IF(AND('Daily Workforce'!$N13="Y",'Daily Workforce'!$B13&lt;&gt;"",COUNTIF('Daily Schedule'!$F$5:$F47,'Daily Workforce'!$B13)=0,IF('Daily Schedule'!$A48=45,'Daily Workforce'!$J13="Y",IF(OR('Daily Schedule'!$A48=4,'Daily Schedule'!$A48=8),IF(OR(WEEKDAY('Daily Schedule'!$B$2,2)=1,WEEKDAY('Daily Schedule'!$B$2,2)=4,WEEKDAY('Daily Schedule'!$B$2,2)=5,WEEKDAY('Daily Schedule'!$B$2,2)=7),IFERROR(1*'Daily Workforce'!$K13&gt;=3,FALSE()),IFERROR(1*'Daily Workforce'!$K13&gt;=2,FALSE())),IF(AND('Daily Schedule'!$A48&gt;=46,'Daily Schedule'!$A48&lt;=52),'Daily Workforce'!$M13="Y",IFERROR(1*'Daily Workforce'!$P13&gt;=2,FALSE()))))),1,0)</f>
        <v>0</v>
      </c>
      <c r="Y44" s="1" t="n">
        <f aca="false">IF(AND('Daily Workforce'!$N14="Y",'Daily Workforce'!$B14&lt;&gt;"",COUNTIF('Daily Schedule'!$F$5:$F47,'Daily Workforce'!$B14)=0,IF('Daily Schedule'!$A48=45,'Daily Workforce'!$J14="Y",IF(OR('Daily Schedule'!$A48=4,'Daily Schedule'!$A48=8),IF(OR(WEEKDAY('Daily Schedule'!$B$2,2)=1,WEEKDAY('Daily Schedule'!$B$2,2)=4,WEEKDAY('Daily Schedule'!$B$2,2)=5,WEEKDAY('Daily Schedule'!$B$2,2)=7),IFERROR(1*'Daily Workforce'!$K14&gt;=3,FALSE()),IFERROR(1*'Daily Workforce'!$K14&gt;=2,FALSE())),IF(AND('Daily Schedule'!$A48&gt;=46,'Daily Schedule'!$A48&lt;=52),'Daily Workforce'!$M14="Y",IFERROR(1*'Daily Workforce'!$P14&gt;=2,FALSE()))))),1,0)</f>
        <v>0</v>
      </c>
      <c r="Z44" s="1" t="n">
        <f aca="false">IF(AND('Daily Workforce'!$N15="Y",'Daily Workforce'!$B15&lt;&gt;"",COUNTIF('Daily Schedule'!$F$5:$F47,'Daily Workforce'!$B15)=0,IF('Daily Schedule'!$A48=45,'Daily Workforce'!$J15="Y",IF(OR('Daily Schedule'!$A48=4,'Daily Schedule'!$A48=8),IF(OR(WEEKDAY('Daily Schedule'!$B$2,2)=1,WEEKDAY('Daily Schedule'!$B$2,2)=4,WEEKDAY('Daily Schedule'!$B$2,2)=5,WEEKDAY('Daily Schedule'!$B$2,2)=7),IFERROR(1*'Daily Workforce'!$K15&gt;=3,FALSE()),IFERROR(1*'Daily Workforce'!$K15&gt;=2,FALSE())),IF(AND('Daily Schedule'!$A48&gt;=46,'Daily Schedule'!$A48&lt;=52),'Daily Workforce'!$M15="Y",IFERROR(1*'Daily Workforce'!$P15&gt;=2,FALSE()))))),1,0)</f>
        <v>0</v>
      </c>
      <c r="AA44" s="1" t="n">
        <f aca="false">IF(AND('Daily Workforce'!$N16="Y",'Daily Workforce'!$B16&lt;&gt;"",COUNTIF('Daily Schedule'!$F$5:$F47,'Daily Workforce'!$B16)=0,IF('Daily Schedule'!$A48=45,'Daily Workforce'!$J16="Y",IF(OR('Daily Schedule'!$A48=4,'Daily Schedule'!$A48=8),IF(OR(WEEKDAY('Daily Schedule'!$B$2,2)=1,WEEKDAY('Daily Schedule'!$B$2,2)=4,WEEKDAY('Daily Schedule'!$B$2,2)=5,WEEKDAY('Daily Schedule'!$B$2,2)=7),IFERROR(1*'Daily Workforce'!$K16&gt;=3,FALSE()),IFERROR(1*'Daily Workforce'!$K16&gt;=2,FALSE())),IF(AND('Daily Schedule'!$A48&gt;=46,'Daily Schedule'!$A48&lt;=52),'Daily Workforce'!$M16="Y",IFERROR(1*'Daily Workforce'!$P16&gt;=2,FALSE()))))),1,0)</f>
        <v>0</v>
      </c>
      <c r="AB44" s="1" t="n">
        <f aca="false">IF(AND('Daily Workforce'!$N17="Y",'Daily Workforce'!$B17&lt;&gt;"",COUNTIF('Daily Schedule'!$F$5:$F47,'Daily Workforce'!$B17)=0,IF('Daily Schedule'!$A48=45,'Daily Workforce'!$J17="Y",IF(OR('Daily Schedule'!$A48=4,'Daily Schedule'!$A48=8),IF(OR(WEEKDAY('Daily Schedule'!$B$2,2)=1,WEEKDAY('Daily Schedule'!$B$2,2)=4,WEEKDAY('Daily Schedule'!$B$2,2)=5,WEEKDAY('Daily Schedule'!$B$2,2)=7),IFERROR(1*'Daily Workforce'!$K17&gt;=3,FALSE()),IFERROR(1*'Daily Workforce'!$K17&gt;=2,FALSE())),IF(AND('Daily Schedule'!$A48&gt;=46,'Daily Schedule'!$A48&lt;=52),'Daily Workforce'!$M17="Y",IFERROR(1*'Daily Workforce'!$P17&gt;=2,FALSE()))))),1,0)</f>
        <v>0</v>
      </c>
      <c r="AC44" s="1" t="n">
        <f aca="false">IF(AND('Daily Workforce'!$N18="Y",'Daily Workforce'!$B18&lt;&gt;"",COUNTIF('Daily Schedule'!$F$5:$F47,'Daily Workforce'!$B18)=0,IF('Daily Schedule'!$A48=45,'Daily Workforce'!$J18="Y",IF(OR('Daily Schedule'!$A48=4,'Daily Schedule'!$A48=8),IF(OR(WEEKDAY('Daily Schedule'!$B$2,2)=1,WEEKDAY('Daily Schedule'!$B$2,2)=4,WEEKDAY('Daily Schedule'!$B$2,2)=5,WEEKDAY('Daily Schedule'!$B$2,2)=7),IFERROR(1*'Daily Workforce'!$K18&gt;=3,FALSE()),IFERROR(1*'Daily Workforce'!$K18&gt;=2,FALSE())),IF(AND('Daily Schedule'!$A48&gt;=46,'Daily Schedule'!$A48&lt;=52),'Daily Workforce'!$M18="Y",IFERROR(1*'Daily Workforce'!$P18&gt;=2,FALSE()))))),1,0)</f>
        <v>0</v>
      </c>
      <c r="AD44" s="1" t="n">
        <f aca="false">IF(AND('Daily Workforce'!$N19="Y",'Daily Workforce'!$B19&lt;&gt;"",COUNTIF('Daily Schedule'!$F$5:$F47,'Daily Workforce'!$B19)=0,IF('Daily Schedule'!$A48=45,'Daily Workforce'!$J19="Y",IF(OR('Daily Schedule'!$A48=4,'Daily Schedule'!$A48=8),IF(OR(WEEKDAY('Daily Schedule'!$B$2,2)=1,WEEKDAY('Daily Schedule'!$B$2,2)=4,WEEKDAY('Daily Schedule'!$B$2,2)=5,WEEKDAY('Daily Schedule'!$B$2,2)=7),IFERROR(1*'Daily Workforce'!$K19&gt;=3,FALSE()),IFERROR(1*'Daily Workforce'!$K19&gt;=2,FALSE())),IF(AND('Daily Schedule'!$A48&gt;=46,'Daily Schedule'!$A48&lt;=52),'Daily Workforce'!$M19="Y",IFERROR(1*'Daily Workforce'!$P19&gt;=2,FALSE()))))),1,0)</f>
        <v>0</v>
      </c>
      <c r="AE44" s="1" t="n">
        <f aca="false">IF(AND('Daily Workforce'!$N20="Y",'Daily Workforce'!$B20&lt;&gt;"",COUNTIF('Daily Schedule'!$F$5:$F47,'Daily Workforce'!$B20)=0,IF('Daily Schedule'!$A48=45,'Daily Workforce'!$J20="Y",IF(OR('Daily Schedule'!$A48=4,'Daily Schedule'!$A48=8),IF(OR(WEEKDAY('Daily Schedule'!$B$2,2)=1,WEEKDAY('Daily Schedule'!$B$2,2)=4,WEEKDAY('Daily Schedule'!$B$2,2)=5,WEEKDAY('Daily Schedule'!$B$2,2)=7),IFERROR(1*'Daily Workforce'!$K20&gt;=3,FALSE()),IFERROR(1*'Daily Workforce'!$K20&gt;=2,FALSE())),IF(AND('Daily Schedule'!$A48&gt;=46,'Daily Schedule'!$A48&lt;=52),'Daily Workforce'!$M20="Y",IFERROR(1*'Daily Workforce'!$P20&gt;=2,FALSE()))))),1,0)</f>
        <v>0</v>
      </c>
      <c r="AF44" s="1" t="n">
        <f aca="false">IF(AND('Daily Workforce'!$N21="Y",'Daily Workforce'!$B21&lt;&gt;"",COUNTIF('Daily Schedule'!$F$5:$F47,'Daily Workforce'!$B21)=0,IF('Daily Schedule'!$A48=45,'Daily Workforce'!$J21="Y",IF(OR('Daily Schedule'!$A48=4,'Daily Schedule'!$A48=8),IF(OR(WEEKDAY('Daily Schedule'!$B$2,2)=1,WEEKDAY('Daily Schedule'!$B$2,2)=4,WEEKDAY('Daily Schedule'!$B$2,2)=5,WEEKDAY('Daily Schedule'!$B$2,2)=7),IFERROR(1*'Daily Workforce'!$K21&gt;=3,FALSE()),IFERROR(1*'Daily Workforce'!$K21&gt;=2,FALSE())),IF(AND('Daily Schedule'!$A48&gt;=46,'Daily Schedule'!$A48&lt;=52),'Daily Workforce'!$M21="Y",IFERROR(1*'Daily Workforce'!$P21&gt;=2,FALSE()))))),1,0)</f>
        <v>0</v>
      </c>
      <c r="AG44" s="1" t="n">
        <f aca="false">IF(AND('Daily Workforce'!$N22="Y",'Daily Workforce'!$B22&lt;&gt;"",COUNTIF('Daily Schedule'!$F$5:$F47,'Daily Workforce'!$B22)=0,IF('Daily Schedule'!$A48=45,'Daily Workforce'!$J22="Y",IF(OR('Daily Schedule'!$A48=4,'Daily Schedule'!$A48=8),IF(OR(WEEKDAY('Daily Schedule'!$B$2,2)=1,WEEKDAY('Daily Schedule'!$B$2,2)=4,WEEKDAY('Daily Schedule'!$B$2,2)=5,WEEKDAY('Daily Schedule'!$B$2,2)=7),IFERROR(1*'Daily Workforce'!$K22&gt;=3,FALSE()),IFERROR(1*'Daily Workforce'!$K22&gt;=2,FALSE())),IF(AND('Daily Schedule'!$A48&gt;=46,'Daily Schedule'!$A48&lt;=52),'Daily Workforce'!$M22="Y",IFERROR(1*'Daily Workforce'!$P22&gt;=2,FALSE()))))),1,0)</f>
        <v>0</v>
      </c>
      <c r="AH44" s="1" t="n">
        <f aca="false">IF(AND('Daily Workforce'!$N23="Y",'Daily Workforce'!$B23&lt;&gt;"",COUNTIF('Daily Schedule'!$F$5:$F47,'Daily Workforce'!$B23)=0,IF('Daily Schedule'!$A48=45,'Daily Workforce'!$J23="Y",IF(OR('Daily Schedule'!$A48=4,'Daily Schedule'!$A48=8),IF(OR(WEEKDAY('Daily Schedule'!$B$2,2)=1,WEEKDAY('Daily Schedule'!$B$2,2)=4,WEEKDAY('Daily Schedule'!$B$2,2)=5,WEEKDAY('Daily Schedule'!$B$2,2)=7),IFERROR(1*'Daily Workforce'!$K23&gt;=3,FALSE()),IFERROR(1*'Daily Workforce'!$K23&gt;=2,FALSE())),IF(AND('Daily Schedule'!$A48&gt;=46,'Daily Schedule'!$A48&lt;=52),'Daily Workforce'!$M23="Y",IFERROR(1*'Daily Workforce'!$P23&gt;=2,FALSE()))))),1,0)</f>
        <v>0</v>
      </c>
      <c r="AI44" s="1" t="n">
        <f aca="false">IF(AND('Daily Workforce'!$N24="Y",'Daily Workforce'!$B24&lt;&gt;"",COUNTIF('Daily Schedule'!$F$5:$F47,'Daily Workforce'!$B24)=0,IF('Daily Schedule'!$A48=45,'Daily Workforce'!$J24="Y",IF(OR('Daily Schedule'!$A48=4,'Daily Schedule'!$A48=8),IF(OR(WEEKDAY('Daily Schedule'!$B$2,2)=1,WEEKDAY('Daily Schedule'!$B$2,2)=4,WEEKDAY('Daily Schedule'!$B$2,2)=5,WEEKDAY('Daily Schedule'!$B$2,2)=7),IFERROR(1*'Daily Workforce'!$K24&gt;=3,FALSE()),IFERROR(1*'Daily Workforce'!$K24&gt;=2,FALSE())),IF(AND('Daily Schedule'!$A48&gt;=46,'Daily Schedule'!$A48&lt;=52),'Daily Workforce'!$M24="Y",IFERROR(1*'Daily Workforce'!$P24&gt;=2,FALSE()))))),1,0)</f>
        <v>0</v>
      </c>
      <c r="AJ44" s="1" t="n">
        <f aca="false">IF(AND('Daily Workforce'!$N25="Y",'Daily Workforce'!$B25&lt;&gt;"",COUNTIF('Daily Schedule'!$F$5:$F47,'Daily Workforce'!$B25)=0,IF('Daily Schedule'!$A48=45,'Daily Workforce'!$J25="Y",IF(OR('Daily Schedule'!$A48=4,'Daily Schedule'!$A48=8),IF(OR(WEEKDAY('Daily Schedule'!$B$2,2)=1,WEEKDAY('Daily Schedule'!$B$2,2)=4,WEEKDAY('Daily Schedule'!$B$2,2)=5,WEEKDAY('Daily Schedule'!$B$2,2)=7),IFERROR(1*'Daily Workforce'!$K25&gt;=3,FALSE()),IFERROR(1*'Daily Workforce'!$K25&gt;=2,FALSE())),IF(AND('Daily Schedule'!$A48&gt;=46,'Daily Schedule'!$A48&lt;=52),'Daily Workforce'!$M25="Y",IFERROR(1*'Daily Workforce'!$P25&gt;=2,FALSE()))))),1,0)</f>
        <v>0</v>
      </c>
      <c r="AK44" s="1" t="n">
        <f aca="false">IF(AND('Daily Workforce'!$N26="Y",'Daily Workforce'!$B26&lt;&gt;"",COUNTIF('Daily Schedule'!$F$5:$F47,'Daily Workforce'!$B26)=0,IF('Daily Schedule'!$A48=45,'Daily Workforce'!$J26="Y",IF(OR('Daily Schedule'!$A48=4,'Daily Schedule'!$A48=8),IF(OR(WEEKDAY('Daily Schedule'!$B$2,2)=1,WEEKDAY('Daily Schedule'!$B$2,2)=4,WEEKDAY('Daily Schedule'!$B$2,2)=5,WEEKDAY('Daily Schedule'!$B$2,2)=7),IFERROR(1*'Daily Workforce'!$K26&gt;=3,FALSE()),IFERROR(1*'Daily Workforce'!$K26&gt;=2,FALSE())),IF(AND('Daily Schedule'!$A48&gt;=46,'Daily Schedule'!$A48&lt;=52),'Daily Workforce'!$M26="Y",IFERROR(1*'Daily Workforce'!$P26&gt;=2,FALSE()))))),1,0)</f>
        <v>0</v>
      </c>
      <c r="AL44" s="1" t="n">
        <f aca="false">IF(AND('Daily Workforce'!$N27="Y",'Daily Workforce'!$B27&lt;&gt;"",COUNTIF('Daily Schedule'!$F$5:$F47,'Daily Workforce'!$B27)=0,IF('Daily Schedule'!$A48=45,'Daily Workforce'!$J27="Y",IF(OR('Daily Schedule'!$A48=4,'Daily Schedule'!$A48=8),IF(OR(WEEKDAY('Daily Schedule'!$B$2,2)=1,WEEKDAY('Daily Schedule'!$B$2,2)=4,WEEKDAY('Daily Schedule'!$B$2,2)=5,WEEKDAY('Daily Schedule'!$B$2,2)=7),IFERROR(1*'Daily Workforce'!$K27&gt;=3,FALSE()),IFERROR(1*'Daily Workforce'!$K27&gt;=2,FALSE())),IF(AND('Daily Schedule'!$A48&gt;=46,'Daily Schedule'!$A48&lt;=52),'Daily Workforce'!$M27="Y",IFERROR(1*'Daily Workforce'!$P27&gt;=2,FALSE()))))),1,0)</f>
        <v>0</v>
      </c>
      <c r="AM44" s="1" t="n">
        <f aca="false">IF(AND('Daily Workforce'!$N28="Y",'Daily Workforce'!$B28&lt;&gt;"",COUNTIF('Daily Schedule'!$F$5:$F47,'Daily Workforce'!$B28)=0,IF('Daily Schedule'!$A48=45,'Daily Workforce'!$J28="Y",IF(OR('Daily Schedule'!$A48=4,'Daily Schedule'!$A48=8),IF(OR(WEEKDAY('Daily Schedule'!$B$2,2)=1,WEEKDAY('Daily Schedule'!$B$2,2)=4,WEEKDAY('Daily Schedule'!$B$2,2)=5,WEEKDAY('Daily Schedule'!$B$2,2)=7),IFERROR(1*'Daily Workforce'!$K28&gt;=3,FALSE()),IFERROR(1*'Daily Workforce'!$K28&gt;=2,FALSE())),IF(AND('Daily Schedule'!$A48&gt;=46,'Daily Schedule'!$A48&lt;=52),'Daily Workforce'!$M28="Y",IFERROR(1*'Daily Workforce'!$P28&gt;=2,FALSE()))))),1,0)</f>
        <v>0</v>
      </c>
      <c r="AN44" s="1" t="n">
        <f aca="false">IF(AND('Daily Workforce'!$N29="Y",'Daily Workforce'!$B29&lt;&gt;"",COUNTIF('Daily Schedule'!$F$5:$F47,'Daily Workforce'!$B29)=0,IF('Daily Schedule'!$A48=45,'Daily Workforce'!$J29="Y",IF(OR('Daily Schedule'!$A48=4,'Daily Schedule'!$A48=8),IF(OR(WEEKDAY('Daily Schedule'!$B$2,2)=1,WEEKDAY('Daily Schedule'!$B$2,2)=4,WEEKDAY('Daily Schedule'!$B$2,2)=5,WEEKDAY('Daily Schedule'!$B$2,2)=7),IFERROR(1*'Daily Workforce'!$K29&gt;=3,FALSE()),IFERROR(1*'Daily Workforce'!$K29&gt;=2,FALSE())),IF(AND('Daily Schedule'!$A48&gt;=46,'Daily Schedule'!$A48&lt;=52),'Daily Workforce'!$M29="Y",IFERROR(1*'Daily Workforce'!$P29&gt;=2,FALSE()))))),1,0)</f>
        <v>0</v>
      </c>
      <c r="AO44" s="1" t="n">
        <f aca="false">IF(AND('Daily Workforce'!$N30="Y",'Daily Workforce'!$B30&lt;&gt;"",COUNTIF('Daily Schedule'!$F$5:$F47,'Daily Workforce'!$B30)=0,IF('Daily Schedule'!$A48=45,'Daily Workforce'!$J30="Y",IF(OR('Daily Schedule'!$A48=4,'Daily Schedule'!$A48=8),IF(OR(WEEKDAY('Daily Schedule'!$B$2,2)=1,WEEKDAY('Daily Schedule'!$B$2,2)=4,WEEKDAY('Daily Schedule'!$B$2,2)=5,WEEKDAY('Daily Schedule'!$B$2,2)=7),IFERROR(1*'Daily Workforce'!$K30&gt;=3,FALSE()),IFERROR(1*'Daily Workforce'!$K30&gt;=2,FALSE())),IF(AND('Daily Schedule'!$A48&gt;=46,'Daily Schedule'!$A48&lt;=52),'Daily Workforce'!$M30="Y",IFERROR(1*'Daily Workforce'!$P30&gt;=2,FALSE()))))),1,0)</f>
        <v>0</v>
      </c>
      <c r="AP44" s="1" t="n">
        <f aca="false">IF(AND('Daily Workforce'!$N31="Y",'Daily Workforce'!$B31&lt;&gt;"",COUNTIF('Daily Schedule'!$F$5:$F47,'Daily Workforce'!$B31)=0,IF('Daily Schedule'!$A48=45,'Daily Workforce'!$J31="Y",IF(OR('Daily Schedule'!$A48=4,'Daily Schedule'!$A48=8),IF(OR(WEEKDAY('Daily Schedule'!$B$2,2)=1,WEEKDAY('Daily Schedule'!$B$2,2)=4,WEEKDAY('Daily Schedule'!$B$2,2)=5,WEEKDAY('Daily Schedule'!$B$2,2)=7),IFERROR(1*'Daily Workforce'!$K31&gt;=3,FALSE()),IFERROR(1*'Daily Workforce'!$K31&gt;=2,FALSE())),IF(AND('Daily Schedule'!$A48&gt;=46,'Daily Schedule'!$A48&lt;=52),'Daily Workforce'!$M31="Y",IFERROR(1*'Daily Workforce'!$P31&gt;=2,FALSE()))))),1,0)</f>
        <v>0</v>
      </c>
      <c r="AQ44" s="1" t="n">
        <f aca="false">IF(AND('Daily Workforce'!$N32="Y",'Daily Workforce'!$B32&lt;&gt;"",COUNTIF('Daily Schedule'!$F$5:$F47,'Daily Workforce'!$B32)=0,IF('Daily Schedule'!$A48=45,'Daily Workforce'!$J32="Y",IF(OR('Daily Schedule'!$A48=4,'Daily Schedule'!$A48=8),IF(OR(WEEKDAY('Daily Schedule'!$B$2,2)=1,WEEKDAY('Daily Schedule'!$B$2,2)=4,WEEKDAY('Daily Schedule'!$B$2,2)=5,WEEKDAY('Daily Schedule'!$B$2,2)=7),IFERROR(1*'Daily Workforce'!$K32&gt;=3,FALSE()),IFERROR(1*'Daily Workforce'!$K32&gt;=2,FALSE())),IF(AND('Daily Schedule'!$A48&gt;=46,'Daily Schedule'!$A48&lt;=52),'Daily Workforce'!$M32="Y",IFERROR(1*'Daily Workforce'!$P32&gt;=2,FALSE()))))),1,0)</f>
        <v>0</v>
      </c>
      <c r="AR44" s="1" t="n">
        <f aca="false">IF(AND('Daily Workforce'!$N33="Y",'Daily Workforce'!$B33&lt;&gt;"",COUNTIF('Daily Schedule'!$F$5:$F47,'Daily Workforce'!$B33)=0,IF('Daily Schedule'!$A48=45,'Daily Workforce'!$J33="Y",IF(OR('Daily Schedule'!$A48=4,'Daily Schedule'!$A48=8),IF(OR(WEEKDAY('Daily Schedule'!$B$2,2)=1,WEEKDAY('Daily Schedule'!$B$2,2)=4,WEEKDAY('Daily Schedule'!$B$2,2)=5,WEEKDAY('Daily Schedule'!$B$2,2)=7),IFERROR(1*'Daily Workforce'!$K33&gt;=3,FALSE()),IFERROR(1*'Daily Workforce'!$K33&gt;=2,FALSE())),IF(AND('Daily Schedule'!$A48&gt;=46,'Daily Schedule'!$A48&lt;=52),'Daily Workforce'!$M33="Y",IFERROR(1*'Daily Workforce'!$P33&gt;=2,FALSE()))))),1,0)</f>
        <v>0</v>
      </c>
      <c r="AS44" s="1" t="n">
        <f aca="false">IF(AND('Daily Workforce'!$N34="Y",'Daily Workforce'!$B34&lt;&gt;"",COUNTIF('Daily Schedule'!$F$5:$F47,'Daily Workforce'!$B34)=0,IF('Daily Schedule'!$A48=45,'Daily Workforce'!$J34="Y",IF(OR('Daily Schedule'!$A48=4,'Daily Schedule'!$A48=8),IF(OR(WEEKDAY('Daily Schedule'!$B$2,2)=1,WEEKDAY('Daily Schedule'!$B$2,2)=4,WEEKDAY('Daily Schedule'!$B$2,2)=5,WEEKDAY('Daily Schedule'!$B$2,2)=7),IFERROR(1*'Daily Workforce'!$K34&gt;=3,FALSE()),IFERROR(1*'Daily Workforce'!$K34&gt;=2,FALSE())),IF(AND('Daily Schedule'!$A48&gt;=46,'Daily Schedule'!$A48&lt;=52),'Daily Workforce'!$M34="Y",IFERROR(1*'Daily Workforce'!$P34&gt;=2,FALSE()))))),1,0)</f>
        <v>0</v>
      </c>
      <c r="AT44" s="1" t="n">
        <f aca="false">IF(AND('Daily Workforce'!$N35="Y",'Daily Workforce'!$B35&lt;&gt;"",COUNTIF('Daily Schedule'!$F$5:$F47,'Daily Workforce'!$B35)=0,IF('Daily Schedule'!$A48=45,'Daily Workforce'!$J35="Y",IF(OR('Daily Schedule'!$A48=4,'Daily Schedule'!$A48=8),IF(OR(WEEKDAY('Daily Schedule'!$B$2,2)=1,WEEKDAY('Daily Schedule'!$B$2,2)=4,WEEKDAY('Daily Schedule'!$B$2,2)=5,WEEKDAY('Daily Schedule'!$B$2,2)=7),IFERROR(1*'Daily Workforce'!$K35&gt;=3,FALSE()),IFERROR(1*'Daily Workforce'!$K35&gt;=2,FALSE())),IF(AND('Daily Schedule'!$A48&gt;=46,'Daily Schedule'!$A48&lt;=52),'Daily Workforce'!$M35="Y",IFERROR(1*'Daily Workforce'!$P35&gt;=2,FALSE()))))),1,0)</f>
        <v>0</v>
      </c>
      <c r="AU44" s="1" t="n">
        <f aca="false">IF(AND('Daily Workforce'!$N36="Y",'Daily Workforce'!$B36&lt;&gt;"",COUNTIF('Daily Schedule'!$F$5:$F47,'Daily Workforce'!$B36)=0,IF('Daily Schedule'!$A48=45,'Daily Workforce'!$J36="Y",IF(OR('Daily Schedule'!$A48=4,'Daily Schedule'!$A48=8),IF(OR(WEEKDAY('Daily Schedule'!$B$2,2)=1,WEEKDAY('Daily Schedule'!$B$2,2)=4,WEEKDAY('Daily Schedule'!$B$2,2)=5,WEEKDAY('Daily Schedule'!$B$2,2)=7),IFERROR(1*'Daily Workforce'!$K36&gt;=3,FALSE()),IFERROR(1*'Daily Workforce'!$K36&gt;=2,FALSE())),IF(AND('Daily Schedule'!$A48&gt;=46,'Daily Schedule'!$A48&lt;=52),'Daily Workforce'!$M36="Y",IFERROR(1*'Daily Workforce'!$P36&gt;=2,FALSE()))))),1,0)</f>
        <v>0</v>
      </c>
      <c r="AV44" s="1" t="n">
        <f aca="false">IF(AND('Daily Workforce'!$N37="Y",'Daily Workforce'!$B37&lt;&gt;"",COUNTIF('Daily Schedule'!$F$5:$F47,'Daily Workforce'!$B37)=0,IF('Daily Schedule'!$A48=45,'Daily Workforce'!$J37="Y",IF(OR('Daily Schedule'!$A48=4,'Daily Schedule'!$A48=8),IF(OR(WEEKDAY('Daily Schedule'!$B$2,2)=1,WEEKDAY('Daily Schedule'!$B$2,2)=4,WEEKDAY('Daily Schedule'!$B$2,2)=5,WEEKDAY('Daily Schedule'!$B$2,2)=7),IFERROR(1*'Daily Workforce'!$K37&gt;=3,FALSE()),IFERROR(1*'Daily Workforce'!$K37&gt;=2,FALSE())),IF(AND('Daily Schedule'!$A48&gt;=46,'Daily Schedule'!$A48&lt;=52),'Daily Workforce'!$M37="Y",IFERROR(1*'Daily Workforce'!$P37&gt;=2,FALSE()))))),1,0)</f>
        <v>0</v>
      </c>
      <c r="AW44" s="1" t="n">
        <f aca="false">IF(AND('Daily Workforce'!$N38="Y",'Daily Workforce'!$B38&lt;&gt;"",COUNTIF('Daily Schedule'!$F$5:$F47,'Daily Workforce'!$B38)=0,IF('Daily Schedule'!$A48=45,'Daily Workforce'!$J38="Y",IF(OR('Daily Schedule'!$A48=4,'Daily Schedule'!$A48=8),IF(OR(WEEKDAY('Daily Schedule'!$B$2,2)=1,WEEKDAY('Daily Schedule'!$B$2,2)=4,WEEKDAY('Daily Schedule'!$B$2,2)=5,WEEKDAY('Daily Schedule'!$B$2,2)=7),IFERROR(1*'Daily Workforce'!$K38&gt;=3,FALSE()),IFERROR(1*'Daily Workforce'!$K38&gt;=2,FALSE())),IF(AND('Daily Schedule'!$A48&gt;=46,'Daily Schedule'!$A48&lt;=52),'Daily Workforce'!$M38="Y",IFERROR(1*'Daily Workforce'!$P38&gt;=2,FALSE()))))),1,0)</f>
        <v>0</v>
      </c>
      <c r="AX44" s="1" t="n">
        <f aca="false">IF(AND('Daily Workforce'!$N39="Y",'Daily Workforce'!$B39&lt;&gt;"",COUNTIF('Daily Schedule'!$F$5:$F47,'Daily Workforce'!$B39)=0,IF('Daily Schedule'!$A48=45,'Daily Workforce'!$J39="Y",IF(OR('Daily Schedule'!$A48=4,'Daily Schedule'!$A48=8),IF(OR(WEEKDAY('Daily Schedule'!$B$2,2)=1,WEEKDAY('Daily Schedule'!$B$2,2)=4,WEEKDAY('Daily Schedule'!$B$2,2)=5,WEEKDAY('Daily Schedule'!$B$2,2)=7),IFERROR(1*'Daily Workforce'!$K39&gt;=3,FALSE()),IFERROR(1*'Daily Workforce'!$K39&gt;=2,FALSE())),IF(AND('Daily Schedule'!$A48&gt;=46,'Daily Schedule'!$A48&lt;=52),'Daily Workforce'!$M39="Y",IFERROR(1*'Daily Workforce'!$P39&gt;=2,FALSE()))))),1,0)</f>
        <v>0</v>
      </c>
      <c r="AY44" s="1" t="n">
        <f aca="false">IF(AND('Daily Workforce'!$N40="Y",'Daily Workforce'!$B40&lt;&gt;"",COUNTIF('Daily Schedule'!$F$5:$F47,'Daily Workforce'!$B40)=0,IF('Daily Schedule'!$A48=45,'Daily Workforce'!$J40="Y",IF(OR('Daily Schedule'!$A48=4,'Daily Schedule'!$A48=8),IF(OR(WEEKDAY('Daily Schedule'!$B$2,2)=1,WEEKDAY('Daily Schedule'!$B$2,2)=4,WEEKDAY('Daily Schedule'!$B$2,2)=5,WEEKDAY('Daily Schedule'!$B$2,2)=7),IFERROR(1*'Daily Workforce'!$K40&gt;=3,FALSE()),IFERROR(1*'Daily Workforce'!$K40&gt;=2,FALSE())),IF(AND('Daily Schedule'!$A48&gt;=46,'Daily Schedule'!$A48&lt;=52),'Daily Workforce'!$M40="Y",IFERROR(1*'Daily Workforce'!$P40&gt;=2,FALSE()))))),1,0)</f>
        <v>0</v>
      </c>
      <c r="AZ44" s="1" t="n">
        <f aca="false">IF(AND('Daily Workforce'!$N41="Y",'Daily Workforce'!$B41&lt;&gt;"",COUNTIF('Daily Schedule'!$F$5:$F47,'Daily Workforce'!$B41)=0,IF('Daily Schedule'!$A48=45,'Daily Workforce'!$J41="Y",IF(OR('Daily Schedule'!$A48=4,'Daily Schedule'!$A48=8),IF(OR(WEEKDAY('Daily Schedule'!$B$2,2)=1,WEEKDAY('Daily Schedule'!$B$2,2)=4,WEEKDAY('Daily Schedule'!$B$2,2)=5,WEEKDAY('Daily Schedule'!$B$2,2)=7),IFERROR(1*'Daily Workforce'!$K41&gt;=3,FALSE()),IFERROR(1*'Daily Workforce'!$K41&gt;=2,FALSE())),IF(AND('Daily Schedule'!$A48&gt;=46,'Daily Schedule'!$A48&lt;=52),'Daily Workforce'!$M41="Y",IFERROR(1*'Daily Workforce'!$P41&gt;=2,FALSE()))))),1,0)</f>
        <v>0</v>
      </c>
      <c r="BA44" s="1" t="n">
        <f aca="false">IF(AND('Daily Workforce'!$N42="Y",'Daily Workforce'!$B42&lt;&gt;"",COUNTIF('Daily Schedule'!$F$5:$F47,'Daily Workforce'!$B42)=0,IF('Daily Schedule'!$A48=45,'Daily Workforce'!$J42="Y",IF(OR('Daily Schedule'!$A48=4,'Daily Schedule'!$A48=8),IF(OR(WEEKDAY('Daily Schedule'!$B$2,2)=1,WEEKDAY('Daily Schedule'!$B$2,2)=4,WEEKDAY('Daily Schedule'!$B$2,2)=5,WEEKDAY('Daily Schedule'!$B$2,2)=7),IFERROR(1*'Daily Workforce'!$K42&gt;=3,FALSE()),IFERROR(1*'Daily Workforce'!$K42&gt;=2,FALSE())),IF(AND('Daily Schedule'!$A48&gt;=46,'Daily Schedule'!$A48&lt;=52),'Daily Workforce'!$M42="Y",IFERROR(1*'Daily Workforce'!$P42&gt;=2,FALSE()))))),1,0)</f>
        <v>0</v>
      </c>
      <c r="BB44" s="1" t="n">
        <f aca="false">IF(AND('Daily Workforce'!$N43="Y",'Daily Workforce'!$B43&lt;&gt;"",COUNTIF('Daily Schedule'!$F$5:$F47,'Daily Workforce'!$B43)=0,IF('Daily Schedule'!$A48=45,'Daily Workforce'!$J43="Y",IF(OR('Daily Schedule'!$A48=4,'Daily Schedule'!$A48=8),IF(OR(WEEKDAY('Daily Schedule'!$B$2,2)=1,WEEKDAY('Daily Schedule'!$B$2,2)=4,WEEKDAY('Daily Schedule'!$B$2,2)=5,WEEKDAY('Daily Schedule'!$B$2,2)=7),IFERROR(1*'Daily Workforce'!$K43&gt;=3,FALSE()),IFERROR(1*'Daily Workforce'!$K43&gt;=2,FALSE())),IF(AND('Daily Schedule'!$A48&gt;=46,'Daily Schedule'!$A48&lt;=52),'Daily Workforce'!$M43="Y",IFERROR(1*'Daily Workforce'!$P43&gt;=2,FALSE()))))),1,0)</f>
        <v>0</v>
      </c>
      <c r="BC44" s="1" t="n">
        <f aca="false">IF(AND('Daily Workforce'!$N44="Y",'Daily Workforce'!$B44&lt;&gt;"",COUNTIF('Daily Schedule'!$F$5:$F47,'Daily Workforce'!$B44)=0,IF('Daily Schedule'!$A48=45,'Daily Workforce'!$J44="Y",IF(OR('Daily Schedule'!$A48=4,'Daily Schedule'!$A48=8),IF(OR(WEEKDAY('Daily Schedule'!$B$2,2)=1,WEEKDAY('Daily Schedule'!$B$2,2)=4,WEEKDAY('Daily Schedule'!$B$2,2)=5,WEEKDAY('Daily Schedule'!$B$2,2)=7),IFERROR(1*'Daily Workforce'!$K44&gt;=3,FALSE()),IFERROR(1*'Daily Workforce'!$K44&gt;=2,FALSE())),IF(AND('Daily Schedule'!$A48&gt;=46,'Daily Schedule'!$A48&lt;=52),'Daily Workforce'!$M44="Y",IFERROR(1*'Daily Workforce'!$P44&gt;=2,FALSE()))))),1,0)</f>
        <v>0</v>
      </c>
      <c r="BD44" s="1" t="n">
        <f aca="false">IF(AND('Daily Workforce'!$N45="Y",'Daily Workforce'!$B45&lt;&gt;"",COUNTIF('Daily Schedule'!$F$5:$F47,'Daily Workforce'!$B45)=0,IF('Daily Schedule'!$A48=45,'Daily Workforce'!$J45="Y",IF(OR('Daily Schedule'!$A48=4,'Daily Schedule'!$A48=8),IF(OR(WEEKDAY('Daily Schedule'!$B$2,2)=1,WEEKDAY('Daily Schedule'!$B$2,2)=4,WEEKDAY('Daily Schedule'!$B$2,2)=5,WEEKDAY('Daily Schedule'!$B$2,2)=7),IFERROR(1*'Daily Workforce'!$K45&gt;=3,FALSE()),IFERROR(1*'Daily Workforce'!$K45&gt;=2,FALSE())),IF(AND('Daily Schedule'!$A48&gt;=46,'Daily Schedule'!$A48&lt;=52),'Daily Workforce'!$M45="Y",IFERROR(1*'Daily Workforce'!$P45&gt;=2,FALSE()))))),1,0)</f>
        <v>0</v>
      </c>
      <c r="BE44" s="1" t="n">
        <f aca="false">IF(AND('Daily Workforce'!$N46="Y",'Daily Workforce'!$B46&lt;&gt;"",COUNTIF('Daily Schedule'!$F$5:$F47,'Daily Workforce'!$B46)=0,IF('Daily Schedule'!$A48=45,'Daily Workforce'!$J46="Y",IF(OR('Daily Schedule'!$A48=4,'Daily Schedule'!$A48=8),IF(OR(WEEKDAY('Daily Schedule'!$B$2,2)=1,WEEKDAY('Daily Schedule'!$B$2,2)=4,WEEKDAY('Daily Schedule'!$B$2,2)=5,WEEKDAY('Daily Schedule'!$B$2,2)=7),IFERROR(1*'Daily Workforce'!$K46&gt;=3,FALSE()),IFERROR(1*'Daily Workforce'!$K46&gt;=2,FALSE())),IF(AND('Daily Schedule'!$A48&gt;=46,'Daily Schedule'!$A48&lt;=52),'Daily Workforce'!$M46="Y",IFERROR(1*'Daily Workforce'!$P46&gt;=2,FALSE()))))),1,0)</f>
        <v>0</v>
      </c>
      <c r="BF44" s="1" t="n">
        <f aca="false">IF(AND('Daily Workforce'!$N47="Y",'Daily Workforce'!$B47&lt;&gt;"",COUNTIF('Daily Schedule'!$F$5:$F47,'Daily Workforce'!$B47)=0,IF('Daily Schedule'!$A48=45,'Daily Workforce'!$J47="Y",IF(OR('Daily Schedule'!$A48=4,'Daily Schedule'!$A48=8),IF(OR(WEEKDAY('Daily Schedule'!$B$2,2)=1,WEEKDAY('Daily Schedule'!$B$2,2)=4,WEEKDAY('Daily Schedule'!$B$2,2)=5,WEEKDAY('Daily Schedule'!$B$2,2)=7),IFERROR(1*'Daily Workforce'!$K47&gt;=3,FALSE()),IFERROR(1*'Daily Workforce'!$K47&gt;=2,FALSE())),IF(AND('Daily Schedule'!$A48&gt;=46,'Daily Schedule'!$A48&lt;=52),'Daily Workforce'!$M47="Y",IFERROR(1*'Daily Workforce'!$P47&gt;=2,FALSE()))))),1,0)</f>
        <v>0</v>
      </c>
      <c r="BG44" s="1" t="n">
        <f aca="false">IF(AND('Daily Workforce'!$N48="Y",'Daily Workforce'!$B48&lt;&gt;"",COUNTIF('Daily Schedule'!$F$5:$F47,'Daily Workforce'!$B48)=0,IF('Daily Schedule'!$A48=45,'Daily Workforce'!$J48="Y",IF(OR('Daily Schedule'!$A48=4,'Daily Schedule'!$A48=8),IF(OR(WEEKDAY('Daily Schedule'!$B$2,2)=1,WEEKDAY('Daily Schedule'!$B$2,2)=4,WEEKDAY('Daily Schedule'!$B$2,2)=5,WEEKDAY('Daily Schedule'!$B$2,2)=7),IFERROR(1*'Daily Workforce'!$K48&gt;=3,FALSE()),IFERROR(1*'Daily Workforce'!$K48&gt;=2,FALSE())),IF(AND('Daily Schedule'!$A48&gt;=46,'Daily Schedule'!$A48&lt;=52),'Daily Workforce'!$M48="Y",IFERROR(1*'Daily Workforce'!$P48&gt;=2,FALSE()))))),1,0)</f>
        <v>1</v>
      </c>
      <c r="BH44" s="1" t="n">
        <f aca="false">IF(AND('Daily Workforce'!$N49="Y",'Daily Workforce'!$B49&lt;&gt;"",COUNTIF('Daily Schedule'!$F$5:$F47,'Daily Workforce'!$B49)=0,IF('Daily Schedule'!$A48=45,'Daily Workforce'!$J49="Y",IF(OR('Daily Schedule'!$A48=4,'Daily Schedule'!$A48=8),IF(OR(WEEKDAY('Daily Schedule'!$B$2,2)=1,WEEKDAY('Daily Schedule'!$B$2,2)=4,WEEKDAY('Daily Schedule'!$B$2,2)=5,WEEKDAY('Daily Schedule'!$B$2,2)=7),IFERROR(1*'Daily Workforce'!$K49&gt;=3,FALSE()),IFERROR(1*'Daily Workforce'!$K49&gt;=2,FALSE())),IF(AND('Daily Schedule'!$A48&gt;=46,'Daily Schedule'!$A48&lt;=52),'Daily Workforce'!$M49="Y",IFERROR(1*'Daily Workforce'!$P49&gt;=2,FALSE()))))),1,0)</f>
        <v>1</v>
      </c>
      <c r="BI44" s="1" t="n">
        <f aca="false">IF(AND('Daily Workforce'!$N50="Y",'Daily Workforce'!$B50&lt;&gt;"",COUNTIF('Daily Schedule'!$F$5:$F47,'Daily Workforce'!$B50)=0,IF('Daily Schedule'!$A48=45,'Daily Workforce'!$J50="Y",IF(OR('Daily Schedule'!$A48=4,'Daily Schedule'!$A48=8),IF(OR(WEEKDAY('Daily Schedule'!$B$2,2)=1,WEEKDAY('Daily Schedule'!$B$2,2)=4,WEEKDAY('Daily Schedule'!$B$2,2)=5,WEEKDAY('Daily Schedule'!$B$2,2)=7),IFERROR(1*'Daily Workforce'!$K50&gt;=3,FALSE()),IFERROR(1*'Daily Workforce'!$K50&gt;=2,FALSE())),IF(AND('Daily Schedule'!$A48&gt;=46,'Daily Schedule'!$A48&lt;=52),'Daily Workforce'!$M50="Y",IFERROR(1*'Daily Workforce'!$P50&gt;=2,FALSE()))))),1,0)</f>
        <v>0</v>
      </c>
      <c r="BJ44" s="1" t="n">
        <f aca="false">IF(AND('Daily Workforce'!$N51="Y",'Daily Workforce'!$B51&lt;&gt;"",COUNTIF('Daily Schedule'!$F$5:$F47,'Daily Workforce'!$B51)=0,IF('Daily Schedule'!$A48=45,'Daily Workforce'!$J51="Y",IF(OR('Daily Schedule'!$A48=4,'Daily Schedule'!$A48=8),IF(OR(WEEKDAY('Daily Schedule'!$B$2,2)=1,WEEKDAY('Daily Schedule'!$B$2,2)=4,WEEKDAY('Daily Schedule'!$B$2,2)=5,WEEKDAY('Daily Schedule'!$B$2,2)=7),IFERROR(1*'Daily Workforce'!$K51&gt;=3,FALSE()),IFERROR(1*'Daily Workforce'!$K51&gt;=2,FALSE())),IF(AND('Daily Schedule'!$A48&gt;=46,'Daily Schedule'!$A48&lt;=52),'Daily Workforce'!$M51="Y",IFERROR(1*'Daily Workforce'!$P51&gt;=2,FALSE()))))),1,0)</f>
        <v>1</v>
      </c>
      <c r="BK44" s="1" t="n">
        <f aca="false">IF(AND('Daily Workforce'!$N52="Y",'Daily Workforce'!$B52&lt;&gt;"",COUNTIF('Daily Schedule'!$F$5:$F47,'Daily Workforce'!$B52)=0,IF('Daily Schedule'!$A48=45,'Daily Workforce'!$J52="Y",IF(OR('Daily Schedule'!$A48=4,'Daily Schedule'!$A48=8),IF(OR(WEEKDAY('Daily Schedule'!$B$2,2)=1,WEEKDAY('Daily Schedule'!$B$2,2)=4,WEEKDAY('Daily Schedule'!$B$2,2)=5,WEEKDAY('Daily Schedule'!$B$2,2)=7),IFERROR(1*'Daily Workforce'!$K52&gt;=3,FALSE()),IFERROR(1*'Daily Workforce'!$K52&gt;=2,FALSE())),IF(AND('Daily Schedule'!$A48&gt;=46,'Daily Schedule'!$A48&lt;=52),'Daily Workforce'!$M52="Y",IFERROR(1*'Daily Workforce'!$P52&gt;=2,FALSE()))))),1,0)</f>
        <v>1</v>
      </c>
      <c r="BL44" s="1" t="n">
        <f aca="false">IF(AND('Daily Workforce'!$N53="Y",'Daily Workforce'!$B53&lt;&gt;"",COUNTIF('Daily Schedule'!$F$5:$F47,'Daily Workforce'!$B53)=0,IF('Daily Schedule'!$A48=45,'Daily Workforce'!$J53="Y",IF(OR('Daily Schedule'!$A48=4,'Daily Schedule'!$A48=8),IF(OR(WEEKDAY('Daily Schedule'!$B$2,2)=1,WEEKDAY('Daily Schedule'!$B$2,2)=4,WEEKDAY('Daily Schedule'!$B$2,2)=5,WEEKDAY('Daily Schedule'!$B$2,2)=7),IFERROR(1*'Daily Workforce'!$K53&gt;=3,FALSE()),IFERROR(1*'Daily Workforce'!$K53&gt;=2,FALSE())),IF(AND('Daily Schedule'!$A48&gt;=46,'Daily Schedule'!$A48&lt;=52),'Daily Workforce'!$M53="Y",IFERROR(1*'Daily Workforce'!$P53&gt;=2,FALSE()))))),1,0)</f>
        <v>1</v>
      </c>
      <c r="BM44" s="1" t="n">
        <f aca="false">IF(AND('Daily Workforce'!$N54="Y",'Daily Workforce'!$B54&lt;&gt;"",COUNTIF('Daily Schedule'!$F$5:$F47,'Daily Workforce'!$B54)=0,IF('Daily Schedule'!$A48=45,'Daily Workforce'!$J54="Y",IF(OR('Daily Schedule'!$A48=4,'Daily Schedule'!$A48=8),IF(OR(WEEKDAY('Daily Schedule'!$B$2,2)=1,WEEKDAY('Daily Schedule'!$B$2,2)=4,WEEKDAY('Daily Schedule'!$B$2,2)=5,WEEKDAY('Daily Schedule'!$B$2,2)=7),IFERROR(1*'Daily Workforce'!$K54&gt;=3,FALSE()),IFERROR(1*'Daily Workforce'!$K54&gt;=2,FALSE())),IF(AND('Daily Schedule'!$A48&gt;=46,'Daily Schedule'!$A48&lt;=52),'Daily Workforce'!$M54="Y",IFERROR(1*'Daily Workforce'!$P54&gt;=2,FALSE()))))),1,0)</f>
        <v>1</v>
      </c>
      <c r="BN44" s="1" t="n">
        <f aca="false">IF(AND('Daily Workforce'!$N55="Y",'Daily Workforce'!$B55&lt;&gt;"",COUNTIF('Daily Schedule'!$F$5:$F47,'Daily Workforce'!$B55)=0,IF('Daily Schedule'!$A48=45,'Daily Workforce'!$J55="Y",IF(OR('Daily Schedule'!$A48=4,'Daily Schedule'!$A48=8),IF(OR(WEEKDAY('Daily Schedule'!$B$2,2)=1,WEEKDAY('Daily Schedule'!$B$2,2)=4,WEEKDAY('Daily Schedule'!$B$2,2)=5,WEEKDAY('Daily Schedule'!$B$2,2)=7),IFERROR(1*'Daily Workforce'!$K55&gt;=3,FALSE()),IFERROR(1*'Daily Workforce'!$K55&gt;=2,FALSE())),IF(AND('Daily Schedule'!$A48&gt;=46,'Daily Schedule'!$A48&lt;=52),'Daily Workforce'!$M55="Y",IFERROR(1*'Daily Workforce'!$P55&gt;=2,FALSE()))))),1,0)</f>
        <v>1</v>
      </c>
      <c r="BO44" s="1" t="n">
        <f aca="false">IF(AND('Daily Workforce'!$N56="Y",'Daily Workforce'!$B56&lt;&gt;"",COUNTIF('Daily Schedule'!$F$5:$F47,'Daily Workforce'!$B56)=0,IF('Daily Schedule'!$A48=45,'Daily Workforce'!$J56="Y",IF(OR('Daily Schedule'!$A48=4,'Daily Schedule'!$A48=8),IF(OR(WEEKDAY('Daily Schedule'!$B$2,2)=1,WEEKDAY('Daily Schedule'!$B$2,2)=4,WEEKDAY('Daily Schedule'!$B$2,2)=5,WEEKDAY('Daily Schedule'!$B$2,2)=7),IFERROR(1*'Daily Workforce'!$K56&gt;=3,FALSE()),IFERROR(1*'Daily Workforce'!$K56&gt;=2,FALSE())),IF(AND('Daily Schedule'!$A48&gt;=46,'Daily Schedule'!$A48&lt;=52),'Daily Workforce'!$M56="Y",IFERROR(1*'Daily Workforce'!$P56&gt;=2,FALSE()))))),1,0)</f>
        <v>1</v>
      </c>
      <c r="BP44" s="1" t="n">
        <f aca="false">IF(AND('Daily Workforce'!$N57="Y",'Daily Workforce'!$B57&lt;&gt;"",COUNTIF('Daily Schedule'!$F$5:$F47,'Daily Workforce'!$B57)=0,IF('Daily Schedule'!$A48=45,'Daily Workforce'!$J57="Y",IF(OR('Daily Schedule'!$A48=4,'Daily Schedule'!$A48=8),IF(OR(WEEKDAY('Daily Schedule'!$B$2,2)=1,WEEKDAY('Daily Schedule'!$B$2,2)=4,WEEKDAY('Daily Schedule'!$B$2,2)=5,WEEKDAY('Daily Schedule'!$B$2,2)=7),IFERROR(1*'Daily Workforce'!$K57&gt;=3,FALSE()),IFERROR(1*'Daily Workforce'!$K57&gt;=2,FALSE())),IF(AND('Daily Schedule'!$A48&gt;=46,'Daily Schedule'!$A48&lt;=52),'Daily Workforce'!$M57="Y",IFERROR(1*'Daily Workforce'!$P57&gt;=2,FALSE()))))),1,0)</f>
        <v>0</v>
      </c>
      <c r="BQ44" s="1" t="n">
        <f aca="false">IF(AND('Daily Workforce'!$N58="Y",'Daily Workforce'!$B58&lt;&gt;"",COUNTIF('Daily Schedule'!$F$5:$F47,'Daily Workforce'!$B58)=0,IF('Daily Schedule'!$A48=45,'Daily Workforce'!$J58="Y",IF(OR('Daily Schedule'!$A48=4,'Daily Schedule'!$A48=8),IF(OR(WEEKDAY('Daily Schedule'!$B$2,2)=1,WEEKDAY('Daily Schedule'!$B$2,2)=4,WEEKDAY('Daily Schedule'!$B$2,2)=5,WEEKDAY('Daily Schedule'!$B$2,2)=7),IFERROR(1*'Daily Workforce'!$K58&gt;=3,FALSE()),IFERROR(1*'Daily Workforce'!$K58&gt;=2,FALSE())),IF(AND('Daily Schedule'!$A48&gt;=46,'Daily Schedule'!$A48&lt;=52),'Daily Workforce'!$M58="Y",IFERROR(1*'Daily Workforce'!$P58&gt;=2,FALSE()))))),1,0)</f>
        <v>1</v>
      </c>
      <c r="BR44" s="1" t="n">
        <f aca="false">IF(AND('Daily Workforce'!$N59="Y",'Daily Workforce'!$B59&lt;&gt;"",COUNTIF('Daily Schedule'!$F$5:$F47,'Daily Workforce'!$B59)=0,IF('Daily Schedule'!$A48=45,'Daily Workforce'!$J59="Y",IF(OR('Daily Schedule'!$A48=4,'Daily Schedule'!$A48=8),IF(OR(WEEKDAY('Daily Schedule'!$B$2,2)=1,WEEKDAY('Daily Schedule'!$B$2,2)=4,WEEKDAY('Daily Schedule'!$B$2,2)=5,WEEKDAY('Daily Schedule'!$B$2,2)=7),IFERROR(1*'Daily Workforce'!$K59&gt;=3,FALSE()),IFERROR(1*'Daily Workforce'!$K59&gt;=2,FALSE())),IF(AND('Daily Schedule'!$A48&gt;=46,'Daily Schedule'!$A48&lt;=52),'Daily Workforce'!$M59="Y",IFERROR(1*'Daily Workforce'!$P59&gt;=2,FALSE()))))),1,0)</f>
        <v>1</v>
      </c>
      <c r="BS44" s="1" t="n">
        <f aca="false">IF(AND('Daily Workforce'!$N60="Y",'Daily Workforce'!$B60&lt;&gt;"",COUNTIF('Daily Schedule'!$F$5:$F47,'Daily Workforce'!$B60)=0,IF('Daily Schedule'!$A48=45,'Daily Workforce'!$J60="Y",IF(OR('Daily Schedule'!$A48=4,'Daily Schedule'!$A48=8),IF(OR(WEEKDAY('Daily Schedule'!$B$2,2)=1,WEEKDAY('Daily Schedule'!$B$2,2)=4,WEEKDAY('Daily Schedule'!$B$2,2)=5,WEEKDAY('Daily Schedule'!$B$2,2)=7),IFERROR(1*'Daily Workforce'!$K60&gt;=3,FALSE()),IFERROR(1*'Daily Workforce'!$K60&gt;=2,FALSE())),IF(AND('Daily Schedule'!$A48&gt;=46,'Daily Schedule'!$A48&lt;=52),'Daily Workforce'!$M60="Y",IFERROR(1*'Daily Workforce'!$P60&gt;=2,FALSE()))))),1,0)</f>
        <v>1</v>
      </c>
      <c r="BT44" s="1" t="n">
        <f aca="false">IF(AND('Daily Workforce'!$N61="Y",'Daily Workforce'!$B61&lt;&gt;"",COUNTIF('Daily Schedule'!$F$5:$F47,'Daily Workforce'!$B61)=0,IF('Daily Schedule'!$A48=45,'Daily Workforce'!$J61="Y",IF(OR('Daily Schedule'!$A48=4,'Daily Schedule'!$A48=8),IF(OR(WEEKDAY('Daily Schedule'!$B$2,2)=1,WEEKDAY('Daily Schedule'!$B$2,2)=4,WEEKDAY('Daily Schedule'!$B$2,2)=5,WEEKDAY('Daily Schedule'!$B$2,2)=7),IFERROR(1*'Daily Workforce'!$K61&gt;=3,FALSE()),IFERROR(1*'Daily Workforce'!$K61&gt;=2,FALSE())),IF(AND('Daily Schedule'!$A48&gt;=46,'Daily Schedule'!$A48&lt;=52),'Daily Workforce'!$M61="Y",IFERROR(1*'Daily Workforce'!$P61&gt;=2,FALSE()))))),1,0)</f>
        <v>0</v>
      </c>
      <c r="BU44" s="1" t="n">
        <f aca="false">IF(AND('Daily Workforce'!$N62="Y",'Daily Workforce'!$B62&lt;&gt;"",COUNTIF('Daily Schedule'!$F$5:$F47,'Daily Workforce'!$B62)=0,IF('Daily Schedule'!$A48=45,'Daily Workforce'!$J62="Y",IF(OR('Daily Schedule'!$A48=4,'Daily Schedule'!$A48=8),IF(OR(WEEKDAY('Daily Schedule'!$B$2,2)=1,WEEKDAY('Daily Schedule'!$B$2,2)=4,WEEKDAY('Daily Schedule'!$B$2,2)=5,WEEKDAY('Daily Schedule'!$B$2,2)=7),IFERROR(1*'Daily Workforce'!$K62&gt;=3,FALSE()),IFERROR(1*'Daily Workforce'!$K62&gt;=2,FALSE())),IF(AND('Daily Schedule'!$A48&gt;=46,'Daily Schedule'!$A48&lt;=52),'Daily Workforce'!$M62="Y",IFERROR(1*'Daily Workforce'!$P62&gt;=2,FALSE()))))),1,0)</f>
        <v>1</v>
      </c>
      <c r="BV44" s="1" t="n">
        <f aca="false">IF(AND('Daily Workforce'!$N63="Y",'Daily Workforce'!$B63&lt;&gt;"",COUNTIF('Daily Schedule'!$F$5:$F47,'Daily Workforce'!$B63)=0,IF('Daily Schedule'!$A48=45,'Daily Workforce'!$J63="Y",IF(OR('Daily Schedule'!$A48=4,'Daily Schedule'!$A48=8),IF(OR(WEEKDAY('Daily Schedule'!$B$2,2)=1,WEEKDAY('Daily Schedule'!$B$2,2)=4,WEEKDAY('Daily Schedule'!$B$2,2)=5,WEEKDAY('Daily Schedule'!$B$2,2)=7),IFERROR(1*'Daily Workforce'!$K63&gt;=3,FALSE()),IFERROR(1*'Daily Workforce'!$K63&gt;=2,FALSE())),IF(AND('Daily Schedule'!$A48&gt;=46,'Daily Schedule'!$A48&lt;=52),'Daily Workforce'!$M63="Y",IFERROR(1*'Daily Workforce'!$P63&gt;=2,FALSE()))))),1,0)</f>
        <v>1</v>
      </c>
      <c r="BW44" s="1" t="n">
        <f aca="false">IF(AND('Daily Workforce'!$N64="Y",'Daily Workforce'!$B64&lt;&gt;"",COUNTIF('Daily Schedule'!$F$5:$F47,'Daily Workforce'!$B64)=0,IF('Daily Schedule'!$A48=45,'Daily Workforce'!$J64="Y",IF(OR('Daily Schedule'!$A48=4,'Daily Schedule'!$A48=8),IF(OR(WEEKDAY('Daily Schedule'!$B$2,2)=1,WEEKDAY('Daily Schedule'!$B$2,2)=4,WEEKDAY('Daily Schedule'!$B$2,2)=5,WEEKDAY('Daily Schedule'!$B$2,2)=7),IFERROR(1*'Daily Workforce'!$K64&gt;=3,FALSE()),IFERROR(1*'Daily Workforce'!$K64&gt;=2,FALSE())),IF(AND('Daily Schedule'!$A48&gt;=46,'Daily Schedule'!$A48&lt;=52),'Daily Workforce'!$M64="Y",IFERROR(1*'Daily Workforce'!$P64&gt;=2,FALSE()))))),1,0)</f>
        <v>1</v>
      </c>
      <c r="BX44" s="1" t="n">
        <f aca="false">IF(AND('Daily Workforce'!$N65="Y",'Daily Workforce'!$B65&lt;&gt;"",COUNTIF('Daily Schedule'!$F$5:$F47,'Daily Workforce'!$B65)=0,IF('Daily Schedule'!$A48=45,'Daily Workforce'!$J65="Y",IF(OR('Daily Schedule'!$A48=4,'Daily Schedule'!$A48=8),IF(OR(WEEKDAY('Daily Schedule'!$B$2,2)=1,WEEKDAY('Daily Schedule'!$B$2,2)=4,WEEKDAY('Daily Schedule'!$B$2,2)=5,WEEKDAY('Daily Schedule'!$B$2,2)=7),IFERROR(1*'Daily Workforce'!$K65&gt;=3,FALSE()),IFERROR(1*'Daily Workforce'!$K65&gt;=2,FALSE())),IF(AND('Daily Schedule'!$A48&gt;=46,'Daily Schedule'!$A48&lt;=52),'Daily Workforce'!$M65="Y",IFERROR(1*'Daily Workforce'!$P65&gt;=2,FALSE()))))),1,0)</f>
        <v>1</v>
      </c>
      <c r="BY44" s="1" t="n">
        <f aca="false">IF(AND('Daily Workforce'!$N66="Y",'Daily Workforce'!$B66&lt;&gt;"",COUNTIF('Daily Schedule'!$F$5:$F47,'Daily Workforce'!$B66)=0,IF('Daily Schedule'!$A48=45,'Daily Workforce'!$J66="Y",IF(OR('Daily Schedule'!$A48=4,'Daily Schedule'!$A48=8),IF(OR(WEEKDAY('Daily Schedule'!$B$2,2)=1,WEEKDAY('Daily Schedule'!$B$2,2)=4,WEEKDAY('Daily Schedule'!$B$2,2)=5,WEEKDAY('Daily Schedule'!$B$2,2)=7),IFERROR(1*'Daily Workforce'!$K66&gt;=3,FALSE()),IFERROR(1*'Daily Workforce'!$K66&gt;=2,FALSE())),IF(AND('Daily Schedule'!$A48&gt;=46,'Daily Schedule'!$A48&lt;=52),'Daily Workforce'!$M66="Y",IFERROR(1*'Daily Workforce'!$P66&gt;=2,FALSE()))))),1,0)</f>
        <v>1</v>
      </c>
      <c r="BZ44" s="1" t="n">
        <f aca="false">IF(AND('Daily Workforce'!$N67="Y",'Daily Workforce'!$B67&lt;&gt;"",COUNTIF('Daily Schedule'!$F$5:$F47,'Daily Workforce'!$B67)=0,IF('Daily Schedule'!$A48=45,'Daily Workforce'!$J67="Y",IF(OR('Daily Schedule'!$A48=4,'Daily Schedule'!$A48=8),IF(OR(WEEKDAY('Daily Schedule'!$B$2,2)=1,WEEKDAY('Daily Schedule'!$B$2,2)=4,WEEKDAY('Daily Schedule'!$B$2,2)=5,WEEKDAY('Daily Schedule'!$B$2,2)=7),IFERROR(1*'Daily Workforce'!$K67&gt;=3,FALSE()),IFERROR(1*'Daily Workforce'!$K67&gt;=2,FALSE())),IF(AND('Daily Schedule'!$A48&gt;=46,'Daily Schedule'!$A48&lt;=52),'Daily Workforce'!$M67="Y",IFERROR(1*'Daily Workforce'!$P67&gt;=2,FALSE()))))),1,0)</f>
        <v>1</v>
      </c>
      <c r="CA44" s="1" t="n">
        <f aca="false">IF(AND('Daily Workforce'!$N68="Y",'Daily Workforce'!$B68&lt;&gt;"",COUNTIF('Daily Schedule'!$F$5:$F47,'Daily Workforce'!$B68)=0,IF('Daily Schedule'!$A48=45,'Daily Workforce'!$J68="Y",IF(OR('Daily Schedule'!$A48=4,'Daily Schedule'!$A48=8),IF(OR(WEEKDAY('Daily Schedule'!$B$2,2)=1,WEEKDAY('Daily Schedule'!$B$2,2)=4,WEEKDAY('Daily Schedule'!$B$2,2)=5,WEEKDAY('Daily Schedule'!$B$2,2)=7),IFERROR(1*'Daily Workforce'!$K68&gt;=3,FALSE()),IFERROR(1*'Daily Workforce'!$K68&gt;=2,FALSE())),IF(AND('Daily Schedule'!$A48&gt;=46,'Daily Schedule'!$A48&lt;=52),'Daily Workforce'!$M68="Y",IFERROR(1*'Daily Workforce'!$P68&gt;=2,FALSE()))))),1,0)</f>
        <v>1</v>
      </c>
      <c r="CB44" s="1" t="n">
        <f aca="false">IF(AND('Daily Workforce'!$N69="Y",'Daily Workforce'!$B69&lt;&gt;"",COUNTIF('Daily Schedule'!$F$5:$F47,'Daily Workforce'!$B69)=0,IF('Daily Schedule'!$A48=45,'Daily Workforce'!$J69="Y",IF(OR('Daily Schedule'!$A48=4,'Daily Schedule'!$A48=8),IF(OR(WEEKDAY('Daily Schedule'!$B$2,2)=1,WEEKDAY('Daily Schedule'!$B$2,2)=4,WEEKDAY('Daily Schedule'!$B$2,2)=5,WEEKDAY('Daily Schedule'!$B$2,2)=7),IFERROR(1*'Daily Workforce'!$K69&gt;=3,FALSE()),IFERROR(1*'Daily Workforce'!$K69&gt;=2,FALSE())),IF(AND('Daily Schedule'!$A48&gt;=46,'Daily Schedule'!$A48&lt;=52),'Daily Workforce'!$M69="Y",IFERROR(1*'Daily Workforce'!$P69&gt;=2,FALSE()))))),1,0)</f>
        <v>1</v>
      </c>
      <c r="CC44" s="1" t="n">
        <f aca="false">IF(AND('Daily Workforce'!$N70="Y",'Daily Workforce'!$B70&lt;&gt;"",COUNTIF('Daily Schedule'!$F$5:$F47,'Daily Workforce'!$B70)=0,IF('Daily Schedule'!$A48=45,'Daily Workforce'!$J70="Y",IF(OR('Daily Schedule'!$A48=4,'Daily Schedule'!$A48=8),IF(OR(WEEKDAY('Daily Schedule'!$B$2,2)=1,WEEKDAY('Daily Schedule'!$B$2,2)=4,WEEKDAY('Daily Schedule'!$B$2,2)=5,WEEKDAY('Daily Schedule'!$B$2,2)=7),IFERROR(1*'Daily Workforce'!$K70&gt;=3,FALSE()),IFERROR(1*'Daily Workforce'!$K70&gt;=2,FALSE())),IF(AND('Daily Schedule'!$A48&gt;=46,'Daily Schedule'!$A48&lt;=52),'Daily Workforce'!$M70="Y",IFERROR(1*'Daily Workforce'!$P70&gt;=2,FALSE()))))),1,0)</f>
        <v>1</v>
      </c>
      <c r="CD44" s="1" t="n">
        <f aca="false">IF(AND('Daily Workforce'!$N71="Y",'Daily Workforce'!$B71&lt;&gt;"",COUNTIF('Daily Schedule'!$F$5:$F47,'Daily Workforce'!$B71)=0,IF('Daily Schedule'!$A48=45,'Daily Workforce'!$J71="Y",IF(OR('Daily Schedule'!$A48=4,'Daily Schedule'!$A48=8),IF(OR(WEEKDAY('Daily Schedule'!$B$2,2)=1,WEEKDAY('Daily Schedule'!$B$2,2)=4,WEEKDAY('Daily Schedule'!$B$2,2)=5,WEEKDAY('Daily Schedule'!$B$2,2)=7),IFERROR(1*'Daily Workforce'!$K71&gt;=3,FALSE()),IFERROR(1*'Daily Workforce'!$K71&gt;=2,FALSE())),IF(AND('Daily Schedule'!$A48&gt;=46,'Daily Schedule'!$A48&lt;=52),'Daily Workforce'!$M71="Y",IFERROR(1*'Daily Workforce'!$P71&gt;=2,FALSE()))))),1,0)</f>
        <v>1</v>
      </c>
      <c r="CE44" s="1" t="n">
        <f aca="false">IF(AND('Daily Workforce'!$N72="Y",'Daily Workforce'!$B72&lt;&gt;"",COUNTIF('Daily Schedule'!$F$5:$F47,'Daily Workforce'!$B72)=0,IF('Daily Schedule'!$A48=45,'Daily Workforce'!$J72="Y",IF(OR('Daily Schedule'!$A48=4,'Daily Schedule'!$A48=8),IF(OR(WEEKDAY('Daily Schedule'!$B$2,2)=1,WEEKDAY('Daily Schedule'!$B$2,2)=4,WEEKDAY('Daily Schedule'!$B$2,2)=5,WEEKDAY('Daily Schedule'!$B$2,2)=7),IFERROR(1*'Daily Workforce'!$K72&gt;=3,FALSE()),IFERROR(1*'Daily Workforce'!$K72&gt;=2,FALSE())),IF(AND('Daily Schedule'!$A48&gt;=46,'Daily Schedule'!$A48&lt;=52),'Daily Workforce'!$M72="Y",IFERROR(1*'Daily Workforce'!$P72&gt;=2,FALSE()))))),1,0)</f>
        <v>1</v>
      </c>
      <c r="CF44" s="1" t="n">
        <f aca="false">IF(AND('Daily Workforce'!$N73="Y",'Daily Workforce'!$B73&lt;&gt;"",COUNTIF('Daily Schedule'!$F$5:$F47,'Daily Workforce'!$B73)=0,IF('Daily Schedule'!$A48=45,'Daily Workforce'!$J73="Y",IF(OR('Daily Schedule'!$A48=4,'Daily Schedule'!$A48=8),IF(OR(WEEKDAY('Daily Schedule'!$B$2,2)=1,WEEKDAY('Daily Schedule'!$B$2,2)=4,WEEKDAY('Daily Schedule'!$B$2,2)=5,WEEKDAY('Daily Schedule'!$B$2,2)=7),IFERROR(1*'Daily Workforce'!$K73&gt;=3,FALSE()),IFERROR(1*'Daily Workforce'!$K73&gt;=2,FALSE())),IF(AND('Daily Schedule'!$A48&gt;=46,'Daily Schedule'!$A48&lt;=52),'Daily Workforce'!$M73="Y",IFERROR(1*'Daily Workforce'!$P73&gt;=2,FALSE()))))),1,0)</f>
        <v>1</v>
      </c>
      <c r="CG44" s="1" t="n">
        <f aca="false">IF(AND('Daily Workforce'!$N74="Y",'Daily Workforce'!$B74&lt;&gt;"",COUNTIF('Daily Schedule'!$F$5:$F47,'Daily Workforce'!$B74)=0,IF('Daily Schedule'!$A48=45,'Daily Workforce'!$J74="Y",IF(OR('Daily Schedule'!$A48=4,'Daily Schedule'!$A48=8),IF(OR(WEEKDAY('Daily Schedule'!$B$2,2)=1,WEEKDAY('Daily Schedule'!$B$2,2)=4,WEEKDAY('Daily Schedule'!$B$2,2)=5,WEEKDAY('Daily Schedule'!$B$2,2)=7),IFERROR(1*'Daily Workforce'!$K74&gt;=3,FALSE()),IFERROR(1*'Daily Workforce'!$K74&gt;=2,FALSE())),IF(AND('Daily Schedule'!$A48&gt;=46,'Daily Schedule'!$A48&lt;=52),'Daily Workforce'!$M74="Y",IFERROR(1*'Daily Workforce'!$P74&gt;=2,FALSE()))))),1,0)</f>
        <v>1</v>
      </c>
      <c r="CH44" s="1" t="n">
        <f aca="false">IF(AND('Daily Workforce'!$N75="Y",'Daily Workforce'!$B75&lt;&gt;"",COUNTIF('Daily Schedule'!$F$5:$F47,'Daily Workforce'!$B75)=0,IF('Daily Schedule'!$A48=45,'Daily Workforce'!$J75="Y",IF(OR('Daily Schedule'!$A48=4,'Daily Schedule'!$A48=8),IF(OR(WEEKDAY('Daily Schedule'!$B$2,2)=1,WEEKDAY('Daily Schedule'!$B$2,2)=4,WEEKDAY('Daily Schedule'!$B$2,2)=5,WEEKDAY('Daily Schedule'!$B$2,2)=7),IFERROR(1*'Daily Workforce'!$K75&gt;=3,FALSE()),IFERROR(1*'Daily Workforce'!$K75&gt;=2,FALSE())),IF(AND('Daily Schedule'!$A48&gt;=46,'Daily Schedule'!$A48&lt;=52),'Daily Workforce'!$M75="Y",IFERROR(1*'Daily Workforce'!$P75&gt;=2,FALSE()))))),1,0)</f>
        <v>1</v>
      </c>
      <c r="CI44" s="1" t="n">
        <f aca="false">IF(AND('Daily Workforce'!$N76="Y",'Daily Workforce'!$B76&lt;&gt;"",COUNTIF('Daily Schedule'!$F$5:$F47,'Daily Workforce'!$B76)=0,IF('Daily Schedule'!$A48=45,'Daily Workforce'!$J76="Y",IF(OR('Daily Schedule'!$A48=4,'Daily Schedule'!$A48=8),IF(OR(WEEKDAY('Daily Schedule'!$B$2,2)=1,WEEKDAY('Daily Schedule'!$B$2,2)=4,WEEKDAY('Daily Schedule'!$B$2,2)=5,WEEKDAY('Daily Schedule'!$B$2,2)=7),IFERROR(1*'Daily Workforce'!$K76&gt;=3,FALSE()),IFERROR(1*'Daily Workforce'!$K76&gt;=2,FALSE())),IF(AND('Daily Schedule'!$A48&gt;=46,'Daily Schedule'!$A48&lt;=52),'Daily Workforce'!$M76="Y",IFERROR(1*'Daily Workforce'!$P76&gt;=2,FALSE()))))),1,0)</f>
        <v>1</v>
      </c>
      <c r="CJ44" s="1" t="n">
        <f aca="false">IF(AND('Daily Workforce'!$N77="Y",'Daily Workforce'!$B77&lt;&gt;"",COUNTIF('Daily Schedule'!$F$5:$F47,'Daily Workforce'!$B77)=0,IF('Daily Schedule'!$A48=45,'Daily Workforce'!$J77="Y",IF(OR('Daily Schedule'!$A48=4,'Daily Schedule'!$A48=8),IF(OR(WEEKDAY('Daily Schedule'!$B$2,2)=1,WEEKDAY('Daily Schedule'!$B$2,2)=4,WEEKDAY('Daily Schedule'!$B$2,2)=5,WEEKDAY('Daily Schedule'!$B$2,2)=7),IFERROR(1*'Daily Workforce'!$K77&gt;=3,FALSE()),IFERROR(1*'Daily Workforce'!$K77&gt;=2,FALSE())),IF(AND('Daily Schedule'!$A48&gt;=46,'Daily Schedule'!$A48&lt;=52),'Daily Workforce'!$M77="Y",IFERROR(1*'Daily Workforce'!$P77&gt;=2,FALSE()))))),1,0)</f>
        <v>1</v>
      </c>
      <c r="CK44" s="1" t="n">
        <f aca="false">IF(AND('Daily Workforce'!$N78="Y",'Daily Workforce'!$B78&lt;&gt;"",COUNTIF('Daily Schedule'!$F$5:$F47,'Daily Workforce'!$B78)=0,IF('Daily Schedule'!$A48=45,'Daily Workforce'!$J78="Y",IF(OR('Daily Schedule'!$A48=4,'Daily Schedule'!$A48=8),IF(OR(WEEKDAY('Daily Schedule'!$B$2,2)=1,WEEKDAY('Daily Schedule'!$B$2,2)=4,WEEKDAY('Daily Schedule'!$B$2,2)=5,WEEKDAY('Daily Schedule'!$B$2,2)=7),IFERROR(1*'Daily Workforce'!$K78&gt;=3,FALSE()),IFERROR(1*'Daily Workforce'!$K78&gt;=2,FALSE())),IF(AND('Daily Schedule'!$A48&gt;=46,'Daily Schedule'!$A48&lt;=52),'Daily Workforce'!$M78="Y",IFERROR(1*'Daily Workforce'!$P78&gt;=2,FALSE()))))),1,0)</f>
        <v>1</v>
      </c>
      <c r="CL44" s="1" t="n">
        <f aca="false">IF(AND('Daily Workforce'!$N79="Y",'Daily Workforce'!$B79&lt;&gt;"",COUNTIF('Daily Schedule'!$F$5:$F47,'Daily Workforce'!$B79)=0,IF('Daily Schedule'!$A48=45,'Daily Workforce'!$J79="Y",IF(OR('Daily Schedule'!$A48=4,'Daily Schedule'!$A48=8),IF(OR(WEEKDAY('Daily Schedule'!$B$2,2)=1,WEEKDAY('Daily Schedule'!$B$2,2)=4,WEEKDAY('Daily Schedule'!$B$2,2)=5,WEEKDAY('Daily Schedule'!$B$2,2)=7),IFERROR(1*'Daily Workforce'!$K79&gt;=3,FALSE()),IFERROR(1*'Daily Workforce'!$K79&gt;=2,FALSE())),IF(AND('Daily Schedule'!$A48&gt;=46,'Daily Schedule'!$A48&lt;=52),'Daily Workforce'!$M79="Y",IFERROR(1*'Daily Workforce'!$P79&gt;=2,FALSE()))))),1,0)</f>
        <v>1</v>
      </c>
      <c r="CM44" s="1" t="n">
        <f aca="false">IF(AND('Daily Workforce'!$N80="Y",'Daily Workforce'!$B80&lt;&gt;"",COUNTIF('Daily Schedule'!$F$5:$F47,'Daily Workforce'!$B80)=0,IF('Daily Schedule'!$A48=45,'Daily Workforce'!$J80="Y",IF(OR('Daily Schedule'!$A48=4,'Daily Schedule'!$A48=8),IF(OR(WEEKDAY('Daily Schedule'!$B$2,2)=1,WEEKDAY('Daily Schedule'!$B$2,2)=4,WEEKDAY('Daily Schedule'!$B$2,2)=5,WEEKDAY('Daily Schedule'!$B$2,2)=7),IFERROR(1*'Daily Workforce'!$K80&gt;=3,FALSE()),IFERROR(1*'Daily Workforce'!$K80&gt;=2,FALSE())),IF(AND('Daily Schedule'!$A48&gt;=46,'Daily Schedule'!$A48&lt;=52),'Daily Workforce'!$M80="Y",IFERROR(1*'Daily Workforce'!$P80&gt;=2,FALSE()))))),1,0)</f>
        <v>1</v>
      </c>
      <c r="CN44" s="1" t="n">
        <f aca="false">IF(AND('Daily Workforce'!$N81="Y",'Daily Workforce'!$B81&lt;&gt;"",COUNTIF('Daily Schedule'!$F$5:$F47,'Daily Workforce'!$B81)=0,IF('Daily Schedule'!$A48=45,'Daily Workforce'!$J81="Y",IF(OR('Daily Schedule'!$A48=4,'Daily Schedule'!$A48=8),IF(OR(WEEKDAY('Daily Schedule'!$B$2,2)=1,WEEKDAY('Daily Schedule'!$B$2,2)=4,WEEKDAY('Daily Schedule'!$B$2,2)=5,WEEKDAY('Daily Schedule'!$B$2,2)=7),IFERROR(1*'Daily Workforce'!$K81&gt;=3,FALSE()),IFERROR(1*'Daily Workforce'!$K81&gt;=2,FALSE())),IF(AND('Daily Schedule'!$A48&gt;=46,'Daily Schedule'!$A48&lt;=52),'Daily Workforce'!$M81="Y",IFERROR(1*'Daily Workforce'!$P81&gt;=2,FALSE()))))),1,0)</f>
        <v>1</v>
      </c>
      <c r="CO44" s="1" t="n">
        <f aca="false">IF(AND('Daily Workforce'!$N82="Y",'Daily Workforce'!$B82&lt;&gt;"",COUNTIF('Daily Schedule'!$F$5:$F47,'Daily Workforce'!$B82)=0,IF('Daily Schedule'!$A48=45,'Daily Workforce'!$J82="Y",IF(OR('Daily Schedule'!$A48=4,'Daily Schedule'!$A48=8),IF(OR(WEEKDAY('Daily Schedule'!$B$2,2)=1,WEEKDAY('Daily Schedule'!$B$2,2)=4,WEEKDAY('Daily Schedule'!$B$2,2)=5,WEEKDAY('Daily Schedule'!$B$2,2)=7),IFERROR(1*'Daily Workforce'!$K82&gt;=3,FALSE()),IFERROR(1*'Daily Workforce'!$K82&gt;=2,FALSE())),IF(AND('Daily Schedule'!$A48&gt;=46,'Daily Schedule'!$A48&lt;=52),'Daily Workforce'!$M82="Y",IFERROR(1*'Daily Workforce'!$P82&gt;=2,FALSE()))))),1,0)</f>
        <v>1</v>
      </c>
      <c r="CP44" s="1" t="n">
        <f aca="false">IF(AND('Daily Workforce'!$N83="Y",'Daily Workforce'!$B83&lt;&gt;"",COUNTIF('Daily Schedule'!$F$5:$F47,'Daily Workforce'!$B83)=0,IF('Daily Schedule'!$A48=45,'Daily Workforce'!$J83="Y",IF(OR('Daily Schedule'!$A48=4,'Daily Schedule'!$A48=8),IF(OR(WEEKDAY('Daily Schedule'!$B$2,2)=1,WEEKDAY('Daily Schedule'!$B$2,2)=4,WEEKDAY('Daily Schedule'!$B$2,2)=5,WEEKDAY('Daily Schedule'!$B$2,2)=7),IFERROR(1*'Daily Workforce'!$K83&gt;=3,FALSE()),IFERROR(1*'Daily Workforce'!$K83&gt;=2,FALSE())),IF(AND('Daily Schedule'!$A48&gt;=46,'Daily Schedule'!$A48&lt;=52),'Daily Workforce'!$M83="Y",IFERROR(1*'Daily Workforce'!$P83&gt;=2,FALSE()))))),1,0)</f>
        <v>0</v>
      </c>
      <c r="CQ44" s="1" t="n">
        <f aca="false">IF(AND('Daily Workforce'!$N84="Y",'Daily Workforce'!$B84&lt;&gt;"",COUNTIF('Daily Schedule'!$F$5:$F47,'Daily Workforce'!$B84)=0,IF('Daily Schedule'!$A48=45,'Daily Workforce'!$J84="Y",IF(OR('Daily Schedule'!$A48=4,'Daily Schedule'!$A48=8),IF(OR(WEEKDAY('Daily Schedule'!$B$2,2)=1,WEEKDAY('Daily Schedule'!$B$2,2)=4,WEEKDAY('Daily Schedule'!$B$2,2)=5,WEEKDAY('Daily Schedule'!$B$2,2)=7),IFERROR(1*'Daily Workforce'!$K84&gt;=3,FALSE()),IFERROR(1*'Daily Workforce'!$K84&gt;=2,FALSE())),IF(AND('Daily Schedule'!$A48&gt;=46,'Daily Schedule'!$A48&lt;=52),'Daily Workforce'!$M84="Y",IFERROR(1*'Daily Workforce'!$P84&gt;=2,FALSE()))))),1,0)</f>
        <v>1</v>
      </c>
      <c r="CR44" s="1" t="n">
        <f aca="false">IF(AND('Daily Workforce'!$N85="Y",'Daily Workforce'!$B85&lt;&gt;"",COUNTIF('Daily Schedule'!$F$5:$F47,'Daily Workforce'!$B85)=0,IF('Daily Schedule'!$A48=45,'Daily Workforce'!$J85="Y",IF(OR('Daily Schedule'!$A48=4,'Daily Schedule'!$A48=8),IF(OR(WEEKDAY('Daily Schedule'!$B$2,2)=1,WEEKDAY('Daily Schedule'!$B$2,2)=4,WEEKDAY('Daily Schedule'!$B$2,2)=5,WEEKDAY('Daily Schedule'!$B$2,2)=7),IFERROR(1*'Daily Workforce'!$K85&gt;=3,FALSE()),IFERROR(1*'Daily Workforce'!$K85&gt;=2,FALSE())),IF(AND('Daily Schedule'!$A48&gt;=46,'Daily Schedule'!$A48&lt;=52),'Daily Workforce'!$M85="Y",IFERROR(1*'Daily Workforce'!$P85&gt;=2,FALSE()))))),1,0)</f>
        <v>0</v>
      </c>
      <c r="CS44" s="1" t="n">
        <f aca="false">IF(AND('Daily Workforce'!$N86="Y",'Daily Workforce'!$B86&lt;&gt;"",COUNTIF('Daily Schedule'!$F$5:$F47,'Daily Workforce'!$B86)=0,IF('Daily Schedule'!$A48=45,'Daily Workforce'!$J86="Y",IF(OR('Daily Schedule'!$A48=4,'Daily Schedule'!$A48=8),IF(OR(WEEKDAY('Daily Schedule'!$B$2,2)=1,WEEKDAY('Daily Schedule'!$B$2,2)=4,WEEKDAY('Daily Schedule'!$B$2,2)=5,WEEKDAY('Daily Schedule'!$B$2,2)=7),IFERROR(1*'Daily Workforce'!$K86&gt;=3,FALSE()),IFERROR(1*'Daily Workforce'!$K86&gt;=2,FALSE())),IF(AND('Daily Schedule'!$A48&gt;=46,'Daily Schedule'!$A48&lt;=52),'Daily Workforce'!$M86="Y",IFERROR(1*'Daily Workforce'!$P86&gt;=2,FALSE()))))),1,0)</f>
        <v>1</v>
      </c>
      <c r="CT44" s="1" t="n">
        <f aca="false">IF(AND('Daily Workforce'!$N87="Y",'Daily Workforce'!$B87&lt;&gt;"",COUNTIF('Daily Schedule'!$F$5:$F47,'Daily Workforce'!$B87)=0,IF('Daily Schedule'!$A48=45,'Daily Workforce'!$J87="Y",IF(OR('Daily Schedule'!$A48=4,'Daily Schedule'!$A48=8),IF(OR(WEEKDAY('Daily Schedule'!$B$2,2)=1,WEEKDAY('Daily Schedule'!$B$2,2)=4,WEEKDAY('Daily Schedule'!$B$2,2)=5,WEEKDAY('Daily Schedule'!$B$2,2)=7),IFERROR(1*'Daily Workforce'!$K87&gt;=3,FALSE()),IFERROR(1*'Daily Workforce'!$K87&gt;=2,FALSE())),IF(AND('Daily Schedule'!$A48&gt;=46,'Daily Schedule'!$A48&lt;=52),'Daily Workforce'!$M87="Y",IFERROR(1*'Daily Workforce'!$P87&gt;=2,FALSE()))))),1,0)</f>
        <v>1</v>
      </c>
      <c r="CU44" s="1" t="n">
        <f aca="false">IF(AND('Daily Workforce'!$N88="Y",'Daily Workforce'!$B88&lt;&gt;"",COUNTIF('Daily Schedule'!$F$5:$F47,'Daily Workforce'!$B88)=0,IF('Daily Schedule'!$A48=45,'Daily Workforce'!$J88="Y",IF(OR('Daily Schedule'!$A48=4,'Daily Schedule'!$A48=8),IF(OR(WEEKDAY('Daily Schedule'!$B$2,2)=1,WEEKDAY('Daily Schedule'!$B$2,2)=4,WEEKDAY('Daily Schedule'!$B$2,2)=5,WEEKDAY('Daily Schedule'!$B$2,2)=7),IFERROR(1*'Daily Workforce'!$K88&gt;=3,FALSE()),IFERROR(1*'Daily Workforce'!$K88&gt;=2,FALSE())),IF(AND('Daily Schedule'!$A48&gt;=46,'Daily Schedule'!$A48&lt;=52),'Daily Workforce'!$M88="Y",IFERROR(1*'Daily Workforce'!$P88&gt;=2,FALSE()))))),1,0)</f>
        <v>1</v>
      </c>
      <c r="CV44" s="1" t="n">
        <f aca="false">IF(AND('Daily Workforce'!$N89="Y",'Daily Workforce'!$B89&lt;&gt;"",COUNTIF('Daily Schedule'!$F$5:$F47,'Daily Workforce'!$B89)=0,IF('Daily Schedule'!$A48=45,'Daily Workforce'!$J89="Y",IF(OR('Daily Schedule'!$A48=4,'Daily Schedule'!$A48=8),IF(OR(WEEKDAY('Daily Schedule'!$B$2,2)=1,WEEKDAY('Daily Schedule'!$B$2,2)=4,WEEKDAY('Daily Schedule'!$B$2,2)=5,WEEKDAY('Daily Schedule'!$B$2,2)=7),IFERROR(1*'Daily Workforce'!$K89&gt;=3,FALSE()),IFERROR(1*'Daily Workforce'!$K89&gt;=2,FALSE())),IF(AND('Daily Schedule'!$A48&gt;=46,'Daily Schedule'!$A48&lt;=52),'Daily Workforce'!$M89="Y",IFERROR(1*'Daily Workforce'!$P89&gt;=2,FALSE()))))),1,0)</f>
        <v>1</v>
      </c>
      <c r="CW44" s="1" t="n">
        <f aca="false">IF(AND('Daily Workforce'!$N90="Y",'Daily Workforce'!$B90&lt;&gt;"",COUNTIF('Daily Schedule'!$F$5:$F47,'Daily Workforce'!$B90)=0,IF('Daily Schedule'!$A48=45,'Daily Workforce'!$J90="Y",IF(OR('Daily Schedule'!$A48=4,'Daily Schedule'!$A48=8),IF(OR(WEEKDAY('Daily Schedule'!$B$2,2)=1,WEEKDAY('Daily Schedule'!$B$2,2)=4,WEEKDAY('Daily Schedule'!$B$2,2)=5,WEEKDAY('Daily Schedule'!$B$2,2)=7),IFERROR(1*'Daily Workforce'!$K90&gt;=3,FALSE()),IFERROR(1*'Daily Workforce'!$K90&gt;=2,FALSE())),IF(AND('Daily Schedule'!$A48&gt;=46,'Daily Schedule'!$A48&lt;=52),'Daily Workforce'!$M90="Y",IFERROR(1*'Daily Workforce'!$P90&gt;=2,FALSE()))))),1,0)</f>
        <v>1</v>
      </c>
      <c r="CX44" s="1" t="n">
        <f aca="false">IF(AND('Daily Workforce'!$N91="Y",'Daily Workforce'!$B91&lt;&gt;"",COUNTIF('Daily Schedule'!$F$5:$F47,'Daily Workforce'!$B91)=0,IF('Daily Schedule'!$A48=45,'Daily Workforce'!$J91="Y",IF(OR('Daily Schedule'!$A48=4,'Daily Schedule'!$A48=8),IF(OR(WEEKDAY('Daily Schedule'!$B$2,2)=1,WEEKDAY('Daily Schedule'!$B$2,2)=4,WEEKDAY('Daily Schedule'!$B$2,2)=5,WEEKDAY('Daily Schedule'!$B$2,2)=7),IFERROR(1*'Daily Workforce'!$K91&gt;=3,FALSE()),IFERROR(1*'Daily Workforce'!$K91&gt;=2,FALSE())),IF(AND('Daily Schedule'!$A48&gt;=46,'Daily Schedule'!$A48&lt;=52),'Daily Workforce'!$M91="Y",IFERROR(1*'Daily Workforce'!$P91&gt;=2,FALSE()))))),1,0)</f>
        <v>1</v>
      </c>
      <c r="CY44" s="1" t="n">
        <f aca="false">IF(AND('Daily Workforce'!$N92="Y",'Daily Workforce'!$B92&lt;&gt;"",COUNTIF('Daily Schedule'!$F$5:$F47,'Daily Workforce'!$B92)=0,IF('Daily Schedule'!$A48=45,'Daily Workforce'!$J92="Y",IF(OR('Daily Schedule'!$A48=4,'Daily Schedule'!$A48=8),IF(OR(WEEKDAY('Daily Schedule'!$B$2,2)=1,WEEKDAY('Daily Schedule'!$B$2,2)=4,WEEKDAY('Daily Schedule'!$B$2,2)=5,WEEKDAY('Daily Schedule'!$B$2,2)=7),IFERROR(1*'Daily Workforce'!$K92&gt;=3,FALSE()),IFERROR(1*'Daily Workforce'!$K92&gt;=2,FALSE())),IF(AND('Daily Schedule'!$A48&gt;=46,'Daily Schedule'!$A48&lt;=52),'Daily Workforce'!$M92="Y",IFERROR(1*'Daily Workforce'!$P92&gt;=2,FALSE()))))),1,0)</f>
        <v>1</v>
      </c>
      <c r="CZ44" s="1" t="n">
        <f aca="false">IF(AND('Daily Workforce'!$N93="Y",'Daily Workforce'!$B93&lt;&gt;"",COUNTIF('Daily Schedule'!$F$5:$F47,'Daily Workforce'!$B93)=0,IF('Daily Schedule'!$A48=45,'Daily Workforce'!$J93="Y",IF(OR('Daily Schedule'!$A48=4,'Daily Schedule'!$A48=8),IF(OR(WEEKDAY('Daily Schedule'!$B$2,2)=1,WEEKDAY('Daily Schedule'!$B$2,2)=4,WEEKDAY('Daily Schedule'!$B$2,2)=5,WEEKDAY('Daily Schedule'!$B$2,2)=7),IFERROR(1*'Daily Workforce'!$K93&gt;=3,FALSE()),IFERROR(1*'Daily Workforce'!$K93&gt;=2,FALSE())),IF(AND('Daily Schedule'!$A48&gt;=46,'Daily Schedule'!$A48&lt;=52),'Daily Workforce'!$M93="Y",IFERROR(1*'Daily Workforce'!$P93&gt;=2,FALSE()))))),1,0)</f>
        <v>1</v>
      </c>
      <c r="DA44" s="1" t="n">
        <f aca="false">IF(AND('Daily Workforce'!$N94="Y",'Daily Workforce'!$B94&lt;&gt;"",COUNTIF('Daily Schedule'!$F$5:$F47,'Daily Workforce'!$B94)=0,IF('Daily Schedule'!$A48=45,'Daily Workforce'!$J94="Y",IF(OR('Daily Schedule'!$A48=4,'Daily Schedule'!$A48=8),IF(OR(WEEKDAY('Daily Schedule'!$B$2,2)=1,WEEKDAY('Daily Schedule'!$B$2,2)=4,WEEKDAY('Daily Schedule'!$B$2,2)=5,WEEKDAY('Daily Schedule'!$B$2,2)=7),IFERROR(1*'Daily Workforce'!$K94&gt;=3,FALSE()),IFERROR(1*'Daily Workforce'!$K94&gt;=2,FALSE())),IF(AND('Daily Schedule'!$A48&gt;=46,'Daily Schedule'!$A48&lt;=52),'Daily Workforce'!$M94="Y",IFERROR(1*'Daily Workforce'!$P94&gt;=2,FALSE()))))),1,0)</f>
        <v>1</v>
      </c>
      <c r="DB44" s="1" t="n">
        <f aca="false">IF(AND('Daily Workforce'!$N95="Y",'Daily Workforce'!$B95&lt;&gt;"",COUNTIF('Daily Schedule'!$F$5:$F47,'Daily Workforce'!$B95)=0,IF('Daily Schedule'!$A48=45,'Daily Workforce'!$J95="Y",IF(OR('Daily Schedule'!$A48=4,'Daily Schedule'!$A48=8),IF(OR(WEEKDAY('Daily Schedule'!$B$2,2)=1,WEEKDAY('Daily Schedule'!$B$2,2)=4,WEEKDAY('Daily Schedule'!$B$2,2)=5,WEEKDAY('Daily Schedule'!$B$2,2)=7),IFERROR(1*'Daily Workforce'!$K95&gt;=3,FALSE()),IFERROR(1*'Daily Workforce'!$K95&gt;=2,FALSE())),IF(AND('Daily Schedule'!$A48&gt;=46,'Daily Schedule'!$A48&lt;=52),'Daily Workforce'!$M95="Y",IFERROR(1*'Daily Workforce'!$P95&gt;=2,FALSE()))))),1,0)</f>
        <v>1</v>
      </c>
      <c r="DC44" s="1" t="n">
        <f aca="false">IF(AND('Daily Workforce'!$N96="Y",'Daily Workforce'!$B96&lt;&gt;"",COUNTIF('Daily Schedule'!$F$5:$F47,'Daily Workforce'!$B96)=0,IF('Daily Schedule'!$A48=45,'Daily Workforce'!$J96="Y",IF(OR('Daily Schedule'!$A48=4,'Daily Schedule'!$A48=8),IF(OR(WEEKDAY('Daily Schedule'!$B$2,2)=1,WEEKDAY('Daily Schedule'!$B$2,2)=4,WEEKDAY('Daily Schedule'!$B$2,2)=5,WEEKDAY('Daily Schedule'!$B$2,2)=7),IFERROR(1*'Daily Workforce'!$K96&gt;=3,FALSE()),IFERROR(1*'Daily Workforce'!$K96&gt;=2,FALSE())),IF(AND('Daily Schedule'!$A48&gt;=46,'Daily Schedule'!$A48&lt;=52),'Daily Workforce'!$M96="Y",IFERROR(1*'Daily Workforce'!$P96&gt;=2,FALSE()))))),1,0)</f>
        <v>1</v>
      </c>
      <c r="DD44" s="1" t="n">
        <f aca="false">IF(AND('Daily Workforce'!$N97="Y",'Daily Workforce'!$B97&lt;&gt;"",COUNTIF('Daily Schedule'!$F$5:$F47,'Daily Workforce'!$B97)=0,IF('Daily Schedule'!$A48=45,'Daily Workforce'!$J97="Y",IF(OR('Daily Schedule'!$A48=4,'Daily Schedule'!$A48=8),IF(OR(WEEKDAY('Daily Schedule'!$B$2,2)=1,WEEKDAY('Daily Schedule'!$B$2,2)=4,WEEKDAY('Daily Schedule'!$B$2,2)=5,WEEKDAY('Daily Schedule'!$B$2,2)=7),IFERROR(1*'Daily Workforce'!$K97&gt;=3,FALSE()),IFERROR(1*'Daily Workforce'!$K97&gt;=2,FALSE())),IF(AND('Daily Schedule'!$A48&gt;=46,'Daily Schedule'!$A48&lt;=52),'Daily Workforce'!$M97="Y",IFERROR(1*'Daily Workforce'!$P97&gt;=2,FALSE()))))),1,0)</f>
        <v>1</v>
      </c>
      <c r="DE44" s="1" t="n">
        <f aca="false">IF(AND('Daily Workforce'!$N98="Y",'Daily Workforce'!$B98&lt;&gt;"",COUNTIF('Daily Schedule'!$F$5:$F47,'Daily Workforce'!$B98)=0,IF('Daily Schedule'!$A48=45,'Daily Workforce'!$J98="Y",IF(OR('Daily Schedule'!$A48=4,'Daily Schedule'!$A48=8),IF(OR(WEEKDAY('Daily Schedule'!$B$2,2)=1,WEEKDAY('Daily Schedule'!$B$2,2)=4,WEEKDAY('Daily Schedule'!$B$2,2)=5,WEEKDAY('Daily Schedule'!$B$2,2)=7),IFERROR(1*'Daily Workforce'!$K98&gt;=3,FALSE()),IFERROR(1*'Daily Workforce'!$K98&gt;=2,FALSE())),IF(AND('Daily Schedule'!$A48&gt;=46,'Daily Schedule'!$A48&lt;=52),'Daily Workforce'!$M98="Y",IFERROR(1*'Daily Workforce'!$P98&gt;=2,FALSE()))))),1,0)</f>
        <v>1</v>
      </c>
      <c r="DF44" s="1" t="n">
        <f aca="false">IF(AND('Daily Workforce'!$N99="Y",'Daily Workforce'!$B99&lt;&gt;"",COUNTIF('Daily Schedule'!$F$5:$F47,'Daily Workforce'!$B99)=0,IF('Daily Schedule'!$A48=45,'Daily Workforce'!$J99="Y",IF(OR('Daily Schedule'!$A48=4,'Daily Schedule'!$A48=8),IF(OR(WEEKDAY('Daily Schedule'!$B$2,2)=1,WEEKDAY('Daily Schedule'!$B$2,2)=4,WEEKDAY('Daily Schedule'!$B$2,2)=5,WEEKDAY('Daily Schedule'!$B$2,2)=7),IFERROR(1*'Daily Workforce'!$K99&gt;=3,FALSE()),IFERROR(1*'Daily Workforce'!$K99&gt;=2,FALSE())),IF(AND('Daily Schedule'!$A48&gt;=46,'Daily Schedule'!$A48&lt;=52),'Daily Workforce'!$M99="Y",IFERROR(1*'Daily Workforce'!$P99&gt;=2,FALSE()))))),1,0)</f>
        <v>1</v>
      </c>
      <c r="DG44" s="1" t="n">
        <f aca="false">IF(AND('Daily Workforce'!$N100="Y",'Daily Workforce'!$B100&lt;&gt;"",COUNTIF('Daily Schedule'!$F$5:$F47,'Daily Workforce'!$B100)=0,IF('Daily Schedule'!$A48=45,'Daily Workforce'!$J100="Y",IF(OR('Daily Schedule'!$A48=4,'Daily Schedule'!$A48=8),IF(OR(WEEKDAY('Daily Schedule'!$B$2,2)=1,WEEKDAY('Daily Schedule'!$B$2,2)=4,WEEKDAY('Daily Schedule'!$B$2,2)=5,WEEKDAY('Daily Schedule'!$B$2,2)=7),IFERROR(1*'Daily Workforce'!$K100&gt;=3,FALSE()),IFERROR(1*'Daily Workforce'!$K100&gt;=2,FALSE())),IF(AND('Daily Schedule'!$A48&gt;=46,'Daily Schedule'!$A48&lt;=52),'Daily Workforce'!$M100="Y",IFERROR(1*'Daily Workforce'!$P100&gt;=2,FALSE()))))),1,0)</f>
        <v>1</v>
      </c>
      <c r="DH44" s="1" t="n">
        <f aca="false">IF(AND('Daily Workforce'!$N101="Y",'Daily Workforce'!$B101&lt;&gt;"",COUNTIF('Daily Schedule'!$F$5:$F47,'Daily Workforce'!$B101)=0,IF('Daily Schedule'!$A48=45,'Daily Workforce'!$J101="Y",IF(OR('Daily Schedule'!$A48=4,'Daily Schedule'!$A48=8),IF(OR(WEEKDAY('Daily Schedule'!$B$2,2)=1,WEEKDAY('Daily Schedule'!$B$2,2)=4,WEEKDAY('Daily Schedule'!$B$2,2)=5,WEEKDAY('Daily Schedule'!$B$2,2)=7),IFERROR(1*'Daily Workforce'!$K101&gt;=3,FALSE()),IFERROR(1*'Daily Workforce'!$K101&gt;=2,FALSE())),IF(AND('Daily Schedule'!$A48&gt;=46,'Daily Schedule'!$A48&lt;=52),'Daily Workforce'!$M101="Y",IFERROR(1*'Daily Workforce'!$P101&gt;=2,FALSE()))))),1,0)</f>
        <v>1</v>
      </c>
      <c r="DI44" s="1" t="n">
        <f aca="false">IF(AND('Daily Workforce'!$N102="Y",'Daily Workforce'!$B102&lt;&gt;"",COUNTIF('Daily Schedule'!$F$5:$F47,'Daily Workforce'!$B102)=0,IF('Daily Schedule'!$A48=45,'Daily Workforce'!$J102="Y",IF(OR('Daily Schedule'!$A48=4,'Daily Schedule'!$A48=8),IF(OR(WEEKDAY('Daily Schedule'!$B$2,2)=1,WEEKDAY('Daily Schedule'!$B$2,2)=4,WEEKDAY('Daily Schedule'!$B$2,2)=5,WEEKDAY('Daily Schedule'!$B$2,2)=7),IFERROR(1*'Daily Workforce'!$K102&gt;=3,FALSE()),IFERROR(1*'Daily Workforce'!$K102&gt;=2,FALSE())),IF(AND('Daily Schedule'!$A48&gt;=46,'Daily Schedule'!$A48&lt;=52),'Daily Workforce'!$M102="Y",IFERROR(1*'Daily Workforce'!$P102&gt;=2,FALSE()))))),1,0)</f>
        <v>1</v>
      </c>
      <c r="DJ44" s="1" t="n">
        <f aca="false">IF(AND('Daily Workforce'!$N103="Y",'Daily Workforce'!$B103&lt;&gt;"",COUNTIF('Daily Schedule'!$F$5:$F47,'Daily Workforce'!$B103)=0,IF('Daily Schedule'!$A48=45,'Daily Workforce'!$J103="Y",IF(OR('Daily Schedule'!$A48=4,'Daily Schedule'!$A48=8),IF(OR(WEEKDAY('Daily Schedule'!$B$2,2)=1,WEEKDAY('Daily Schedule'!$B$2,2)=4,WEEKDAY('Daily Schedule'!$B$2,2)=5,WEEKDAY('Daily Schedule'!$B$2,2)=7),IFERROR(1*'Daily Workforce'!$K103&gt;=3,FALSE()),IFERROR(1*'Daily Workforce'!$K103&gt;=2,FALSE())),IF(AND('Daily Schedule'!$A48&gt;=46,'Daily Schedule'!$A48&lt;=52),'Daily Workforce'!$M103="Y",IFERROR(1*'Daily Workforce'!$P103&gt;=2,FALSE()))))),1,0)</f>
        <v>1</v>
      </c>
      <c r="DK44" s="1" t="n">
        <f aca="false">IF(AND('Daily Workforce'!$N104="Y",'Daily Workforce'!$B104&lt;&gt;"",COUNTIF('Daily Schedule'!$F$5:$F47,'Daily Workforce'!$B104)=0,IF('Daily Schedule'!$A48=45,'Daily Workforce'!$J104="Y",IF(OR('Daily Schedule'!$A48=4,'Daily Schedule'!$A48=8),IF(OR(WEEKDAY('Daily Schedule'!$B$2,2)=1,WEEKDAY('Daily Schedule'!$B$2,2)=4,WEEKDAY('Daily Schedule'!$B$2,2)=5,WEEKDAY('Daily Schedule'!$B$2,2)=7),IFERROR(1*'Daily Workforce'!$K104&gt;=3,FALSE()),IFERROR(1*'Daily Workforce'!$K104&gt;=2,FALSE())),IF(AND('Daily Schedule'!$A48&gt;=46,'Daily Schedule'!$A48&lt;=52),'Daily Workforce'!$M104="Y",IFERROR(1*'Daily Workforce'!$P104&gt;=2,FALSE()))))),1,0)</f>
        <v>1</v>
      </c>
      <c r="DL44" s="1" t="n">
        <f aca="false">IF(AND('Daily Workforce'!$N105="Y",'Daily Workforce'!$B105&lt;&gt;"",COUNTIF('Daily Schedule'!$F$5:$F47,'Daily Workforce'!$B105)=0,IF('Daily Schedule'!$A48=45,'Daily Workforce'!$J105="Y",IF(OR('Daily Schedule'!$A48=4,'Daily Schedule'!$A48=8),IF(OR(WEEKDAY('Daily Schedule'!$B$2,2)=1,WEEKDAY('Daily Schedule'!$B$2,2)=4,WEEKDAY('Daily Schedule'!$B$2,2)=5,WEEKDAY('Daily Schedule'!$B$2,2)=7),IFERROR(1*'Daily Workforce'!$K105&gt;=3,FALSE()),IFERROR(1*'Daily Workforce'!$K105&gt;=2,FALSE())),IF(AND('Daily Schedule'!$A48&gt;=46,'Daily Schedule'!$A48&lt;=52),'Daily Workforce'!$M105="Y",IFERROR(1*'Daily Workforce'!$P105&gt;=2,FALSE()))))),1,0)</f>
        <v>0</v>
      </c>
      <c r="DM44" s="1" t="n">
        <f aca="false">IF(AND('Daily Workforce'!$N106="Y",'Daily Workforce'!$B106&lt;&gt;"",COUNTIF('Daily Schedule'!$F$5:$F47,'Daily Workforce'!$B106)=0,IF('Daily Schedule'!$A48=45,'Daily Workforce'!$J106="Y",IF(OR('Daily Schedule'!$A48=4,'Daily Schedule'!$A48=8),IF(OR(WEEKDAY('Daily Schedule'!$B$2,2)=1,WEEKDAY('Daily Schedule'!$B$2,2)=4,WEEKDAY('Daily Schedule'!$B$2,2)=5,WEEKDAY('Daily Schedule'!$B$2,2)=7),IFERROR(1*'Daily Workforce'!$K106&gt;=3,FALSE()),IFERROR(1*'Daily Workforce'!$K106&gt;=2,FALSE())),IF(AND('Daily Schedule'!$A48&gt;=46,'Daily Schedule'!$A48&lt;=52),'Daily Workforce'!$M106="Y",IFERROR(1*'Daily Workforce'!$P106&gt;=2,FALSE()))))),1,0)</f>
        <v>1</v>
      </c>
      <c r="DN44" s="1" t="n">
        <f aca="false">IF(AND('Daily Workforce'!$N107="Y",'Daily Workforce'!$B107&lt;&gt;"",COUNTIF('Daily Schedule'!$F$5:$F47,'Daily Workforce'!$B107)=0,IF('Daily Schedule'!$A48=45,'Daily Workforce'!$J107="Y",IF(OR('Daily Schedule'!$A48=4,'Daily Schedule'!$A48=8),IF(OR(WEEKDAY('Daily Schedule'!$B$2,2)=1,WEEKDAY('Daily Schedule'!$B$2,2)=4,WEEKDAY('Daily Schedule'!$B$2,2)=5,WEEKDAY('Daily Schedule'!$B$2,2)=7),IFERROR(1*'Daily Workforce'!$K107&gt;=3,FALSE()),IFERROR(1*'Daily Workforce'!$K107&gt;=2,FALSE())),IF(AND('Daily Schedule'!$A48&gt;=46,'Daily Schedule'!$A48&lt;=52),'Daily Workforce'!$M107="Y",IFERROR(1*'Daily Workforce'!$P107&gt;=2,FALSE()))))),1,0)</f>
        <v>1</v>
      </c>
      <c r="DO44" s="1" t="n">
        <f aca="false">IF(AND('Daily Workforce'!$N108="Y",'Daily Workforce'!$B108&lt;&gt;"",COUNTIF('Daily Schedule'!$F$5:$F47,'Daily Workforce'!$B108)=0,IF('Daily Schedule'!$A48=45,'Daily Workforce'!$J108="Y",IF(OR('Daily Schedule'!$A48=4,'Daily Schedule'!$A48=8),IF(OR(WEEKDAY('Daily Schedule'!$B$2,2)=1,WEEKDAY('Daily Schedule'!$B$2,2)=4,WEEKDAY('Daily Schedule'!$B$2,2)=5,WEEKDAY('Daily Schedule'!$B$2,2)=7),IFERROR(1*'Daily Workforce'!$K108&gt;=3,FALSE()),IFERROR(1*'Daily Workforce'!$K108&gt;=2,FALSE())),IF(AND('Daily Schedule'!$A48&gt;=46,'Daily Schedule'!$A48&lt;=52),'Daily Workforce'!$M108="Y",IFERROR(1*'Daily Workforce'!$P108&gt;=2,FALSE()))))),1,0)</f>
        <v>1</v>
      </c>
      <c r="DP44" s="1" t="n">
        <f aca="false">IF(AND('Daily Workforce'!$N109="Y",'Daily Workforce'!$B109&lt;&gt;"",COUNTIF('Daily Schedule'!$F$5:$F47,'Daily Workforce'!$B109)=0,IF('Daily Schedule'!$A48=45,'Daily Workforce'!$J109="Y",IF(OR('Daily Schedule'!$A48=4,'Daily Schedule'!$A48=8),IF(OR(WEEKDAY('Daily Schedule'!$B$2,2)=1,WEEKDAY('Daily Schedule'!$B$2,2)=4,WEEKDAY('Daily Schedule'!$B$2,2)=5,WEEKDAY('Daily Schedule'!$B$2,2)=7),IFERROR(1*'Daily Workforce'!$K109&gt;=3,FALSE()),IFERROR(1*'Daily Workforce'!$K109&gt;=2,FALSE())),IF(AND('Daily Schedule'!$A48&gt;=46,'Daily Schedule'!$A48&lt;=52),'Daily Workforce'!$M109="Y",IFERROR(1*'Daily Workforce'!$P109&gt;=2,FALSE()))))),1,0)</f>
        <v>1</v>
      </c>
      <c r="DQ44" s="1" t="n">
        <f aca="false">IF(AND('Daily Workforce'!$N110="Y",'Daily Workforce'!$B110&lt;&gt;"",COUNTIF('Daily Schedule'!$F$5:$F47,'Daily Workforce'!$B110)=0,IF('Daily Schedule'!$A48=45,'Daily Workforce'!$J110="Y",IF(OR('Daily Schedule'!$A48=4,'Daily Schedule'!$A48=8),IF(OR(WEEKDAY('Daily Schedule'!$B$2,2)=1,WEEKDAY('Daily Schedule'!$B$2,2)=4,WEEKDAY('Daily Schedule'!$B$2,2)=5,WEEKDAY('Daily Schedule'!$B$2,2)=7),IFERROR(1*'Daily Workforce'!$K110&gt;=3,FALSE()),IFERROR(1*'Daily Workforce'!$K110&gt;=2,FALSE())),IF(AND('Daily Schedule'!$A48&gt;=46,'Daily Schedule'!$A48&lt;=52),'Daily Workforce'!$M110="Y",IFERROR(1*'Daily Workforce'!$P110&gt;=2,FALSE()))))),1,0)</f>
        <v>1</v>
      </c>
      <c r="DR44" s="1" t="n">
        <f aca="false">IF(AND('Daily Workforce'!$N111="Y",'Daily Workforce'!$B111&lt;&gt;"",COUNTIF('Daily Schedule'!$F$5:$F47,'Daily Workforce'!$B111)=0,IF('Daily Schedule'!$A48=45,'Daily Workforce'!$J111="Y",IF(OR('Daily Schedule'!$A48=4,'Daily Schedule'!$A48=8),IF(OR(WEEKDAY('Daily Schedule'!$B$2,2)=1,WEEKDAY('Daily Schedule'!$B$2,2)=4,WEEKDAY('Daily Schedule'!$B$2,2)=5,WEEKDAY('Daily Schedule'!$B$2,2)=7),IFERROR(1*'Daily Workforce'!$K111&gt;=3,FALSE()),IFERROR(1*'Daily Workforce'!$K111&gt;=2,FALSE())),IF(AND('Daily Schedule'!$A48&gt;=46,'Daily Schedule'!$A48&lt;=52),'Daily Workforce'!$M111="Y",IFERROR(1*'Daily Workforce'!$P111&gt;=2,FALSE()))))),1,0)</f>
        <v>1</v>
      </c>
      <c r="DS44" s="1" t="n">
        <f aca="false">IF(AND('Daily Workforce'!$N112="Y",'Daily Workforce'!$B112&lt;&gt;"",COUNTIF('Daily Schedule'!$F$5:$F47,'Daily Workforce'!$B112)=0,IF('Daily Schedule'!$A48=45,'Daily Workforce'!$J112="Y",IF(OR('Daily Schedule'!$A48=4,'Daily Schedule'!$A48=8),IF(OR(WEEKDAY('Daily Schedule'!$B$2,2)=1,WEEKDAY('Daily Schedule'!$B$2,2)=4,WEEKDAY('Daily Schedule'!$B$2,2)=5,WEEKDAY('Daily Schedule'!$B$2,2)=7),IFERROR(1*'Daily Workforce'!$K112&gt;=3,FALSE()),IFERROR(1*'Daily Workforce'!$K112&gt;=2,FALSE())),IF(AND('Daily Schedule'!$A48&gt;=46,'Daily Schedule'!$A48&lt;=52),'Daily Workforce'!$M112="Y",IFERROR(1*'Daily Workforce'!$P112&gt;=2,FALSE()))))),1,0)</f>
        <v>1</v>
      </c>
      <c r="DT44" s="1" t="n">
        <f aca="false">IF(AND('Daily Workforce'!$N113="Y",'Daily Workforce'!$B113&lt;&gt;"",COUNTIF('Daily Schedule'!$F$5:$F47,'Daily Workforce'!$B113)=0,IF('Daily Schedule'!$A48=45,'Daily Workforce'!$J113="Y",IF(OR('Daily Schedule'!$A48=4,'Daily Schedule'!$A48=8),IF(OR(WEEKDAY('Daily Schedule'!$B$2,2)=1,WEEKDAY('Daily Schedule'!$B$2,2)=4,WEEKDAY('Daily Schedule'!$B$2,2)=5,WEEKDAY('Daily Schedule'!$B$2,2)=7),IFERROR(1*'Daily Workforce'!$K113&gt;=3,FALSE()),IFERROR(1*'Daily Workforce'!$K113&gt;=2,FALSE())),IF(AND('Daily Schedule'!$A48&gt;=46,'Daily Schedule'!$A48&lt;=52),'Daily Workforce'!$M113="Y",IFERROR(1*'Daily Workforce'!$P113&gt;=2,FALSE()))))),1,0)</f>
        <v>1</v>
      </c>
      <c r="DU44" s="1" t="n">
        <f aca="false">IF(AND('Daily Workforce'!$N114="Y",'Daily Workforce'!$B114&lt;&gt;"",COUNTIF('Daily Schedule'!$F$5:$F47,'Daily Workforce'!$B114)=0,IF('Daily Schedule'!$A48=45,'Daily Workforce'!$J114="Y",IF(OR('Daily Schedule'!$A48=4,'Daily Schedule'!$A48=8),IF(OR(WEEKDAY('Daily Schedule'!$B$2,2)=1,WEEKDAY('Daily Schedule'!$B$2,2)=4,WEEKDAY('Daily Schedule'!$B$2,2)=5,WEEKDAY('Daily Schedule'!$B$2,2)=7),IFERROR(1*'Daily Workforce'!$K114&gt;=3,FALSE()),IFERROR(1*'Daily Workforce'!$K114&gt;=2,FALSE())),IF(AND('Daily Schedule'!$A48&gt;=46,'Daily Schedule'!$A48&lt;=52),'Daily Workforce'!$M114="Y",IFERROR(1*'Daily Workforce'!$P114&gt;=2,FALSE()))))),1,0)</f>
        <v>1</v>
      </c>
      <c r="DV44" s="1" t="n">
        <f aca="false">IF(AND('Daily Workforce'!$N115="Y",'Daily Workforce'!$B115&lt;&gt;"",COUNTIF('Daily Schedule'!$F$5:$F47,'Daily Workforce'!$B115)=0,IF('Daily Schedule'!$A48=45,'Daily Workforce'!$J115="Y",IF(OR('Daily Schedule'!$A48=4,'Daily Schedule'!$A48=8),IF(OR(WEEKDAY('Daily Schedule'!$B$2,2)=1,WEEKDAY('Daily Schedule'!$B$2,2)=4,WEEKDAY('Daily Schedule'!$B$2,2)=5,WEEKDAY('Daily Schedule'!$B$2,2)=7),IFERROR(1*'Daily Workforce'!$K115&gt;=3,FALSE()),IFERROR(1*'Daily Workforce'!$K115&gt;=2,FALSE())),IF(AND('Daily Schedule'!$A48&gt;=46,'Daily Schedule'!$A48&lt;=52),'Daily Workforce'!$M115="Y",IFERROR(1*'Daily Workforce'!$P115&gt;=2,FALSE()))))),1,0)</f>
        <v>1</v>
      </c>
      <c r="DW44" s="1" t="n">
        <f aca="false">IF(AND('Daily Workforce'!$N116="Y",'Daily Workforce'!$B116&lt;&gt;"",COUNTIF('Daily Schedule'!$F$5:$F47,'Daily Workforce'!$B116)=0,IF('Daily Schedule'!$A48=45,'Daily Workforce'!$J116="Y",IF(OR('Daily Schedule'!$A48=4,'Daily Schedule'!$A48=8),IF(OR(WEEKDAY('Daily Schedule'!$B$2,2)=1,WEEKDAY('Daily Schedule'!$B$2,2)=4,WEEKDAY('Daily Schedule'!$B$2,2)=5,WEEKDAY('Daily Schedule'!$B$2,2)=7),IFERROR(1*'Daily Workforce'!$K116&gt;=3,FALSE()),IFERROR(1*'Daily Workforce'!$K116&gt;=2,FALSE())),IF(AND('Daily Schedule'!$A48&gt;=46,'Daily Schedule'!$A48&lt;=52),'Daily Workforce'!$M116="Y",IFERROR(1*'Daily Workforce'!$P116&gt;=2,FALSE()))))),1,0)</f>
        <v>1</v>
      </c>
      <c r="DX44" s="1" t="n">
        <f aca="false">IF(AND('Daily Workforce'!$N117="Y",'Daily Workforce'!$B117&lt;&gt;"",COUNTIF('Daily Schedule'!$F$5:$F47,'Daily Workforce'!$B117)=0,IF('Daily Schedule'!$A48=45,'Daily Workforce'!$J117="Y",IF(OR('Daily Schedule'!$A48=4,'Daily Schedule'!$A48=8),IF(OR(WEEKDAY('Daily Schedule'!$B$2,2)=1,WEEKDAY('Daily Schedule'!$B$2,2)=4,WEEKDAY('Daily Schedule'!$B$2,2)=5,WEEKDAY('Daily Schedule'!$B$2,2)=7),IFERROR(1*'Daily Workforce'!$K117&gt;=3,FALSE()),IFERROR(1*'Daily Workforce'!$K117&gt;=2,FALSE())),IF(AND('Daily Schedule'!$A48&gt;=46,'Daily Schedule'!$A48&lt;=52),'Daily Workforce'!$M117="Y",IFERROR(1*'Daily Workforce'!$P117&gt;=2,FALSE()))))),1,0)</f>
        <v>1</v>
      </c>
      <c r="DY44" s="1" t="n">
        <f aca="false">IF(AND('Daily Workforce'!$N118="Y",'Daily Workforce'!$B118&lt;&gt;"",COUNTIF('Daily Schedule'!$F$5:$F47,'Daily Workforce'!$B118)=0,IF('Daily Schedule'!$A48=45,'Daily Workforce'!$J118="Y",IF(OR('Daily Schedule'!$A48=4,'Daily Schedule'!$A48=8),IF(OR(WEEKDAY('Daily Schedule'!$B$2,2)=1,WEEKDAY('Daily Schedule'!$B$2,2)=4,WEEKDAY('Daily Schedule'!$B$2,2)=5,WEEKDAY('Daily Schedule'!$B$2,2)=7),IFERROR(1*'Daily Workforce'!$K118&gt;=3,FALSE()),IFERROR(1*'Daily Workforce'!$K118&gt;=2,FALSE())),IF(AND('Daily Schedule'!$A48&gt;=46,'Daily Schedule'!$A48&lt;=52),'Daily Workforce'!$M118="Y",IFERROR(1*'Daily Workforce'!$P118&gt;=2,FALSE()))))),1,0)</f>
        <v>0</v>
      </c>
      <c r="DZ44" s="1" t="n">
        <f aca="false">IF(AND('Daily Workforce'!$N119="Y",'Daily Workforce'!$B119&lt;&gt;"",COUNTIF('Daily Schedule'!$F$5:$F47,'Daily Workforce'!$B119)=0,IF('Daily Schedule'!$A48=45,'Daily Workforce'!$J119="Y",IF(OR('Daily Schedule'!$A48=4,'Daily Schedule'!$A48=8),IF(OR(WEEKDAY('Daily Schedule'!$B$2,2)=1,WEEKDAY('Daily Schedule'!$B$2,2)=4,WEEKDAY('Daily Schedule'!$B$2,2)=5,WEEKDAY('Daily Schedule'!$B$2,2)=7),IFERROR(1*'Daily Workforce'!$K119&gt;=3,FALSE()),IFERROR(1*'Daily Workforce'!$K119&gt;=2,FALSE())),IF(AND('Daily Schedule'!$A48&gt;=46,'Daily Schedule'!$A48&lt;=52),'Daily Workforce'!$M119="Y",IFERROR(1*'Daily Workforce'!$P119&gt;=2,FALSE()))))),1,0)</f>
        <v>0</v>
      </c>
      <c r="EA44" s="1" t="n">
        <f aca="false">IF(AND('Daily Workforce'!$N120="Y",'Daily Workforce'!$B120&lt;&gt;"",COUNTIF('Daily Schedule'!$F$5:$F47,'Daily Workforce'!$B120)=0,IF('Daily Schedule'!$A48=45,'Daily Workforce'!$J120="Y",IF(OR('Daily Schedule'!$A48=4,'Daily Schedule'!$A48=8),IF(OR(WEEKDAY('Daily Schedule'!$B$2,2)=1,WEEKDAY('Daily Schedule'!$B$2,2)=4,WEEKDAY('Daily Schedule'!$B$2,2)=5,WEEKDAY('Daily Schedule'!$B$2,2)=7),IFERROR(1*'Daily Workforce'!$K120&gt;=3,FALSE()),IFERROR(1*'Daily Workforce'!$K120&gt;=2,FALSE())),IF(AND('Daily Schedule'!$A48&gt;=46,'Daily Schedule'!$A48&lt;=52),'Daily Workforce'!$M120="Y",IFERROR(1*'Daily Workforce'!$P120&gt;=2,FALSE()))))),1,0)</f>
        <v>0</v>
      </c>
      <c r="EB44" s="1" t="n">
        <f aca="false">IF(AND('Daily Workforce'!$N121="Y",'Daily Workforce'!$B121&lt;&gt;"",COUNTIF('Daily Schedule'!$F$5:$F47,'Daily Workforce'!$B121)=0,IF('Daily Schedule'!$A48=45,'Daily Workforce'!$J121="Y",IF(OR('Daily Schedule'!$A48=4,'Daily Schedule'!$A48=8),IF(OR(WEEKDAY('Daily Schedule'!$B$2,2)=1,WEEKDAY('Daily Schedule'!$B$2,2)=4,WEEKDAY('Daily Schedule'!$B$2,2)=5,WEEKDAY('Daily Schedule'!$B$2,2)=7),IFERROR(1*'Daily Workforce'!$K121&gt;=3,FALSE()),IFERROR(1*'Daily Workforce'!$K121&gt;=2,FALSE())),IF(AND('Daily Schedule'!$A48&gt;=46,'Daily Schedule'!$A48&lt;=52),'Daily Workforce'!$M121="Y",IFERROR(1*'Daily Workforce'!$P121&gt;=2,FALSE()))))),1,0)</f>
        <v>0</v>
      </c>
      <c r="EC44" s="1" t="n">
        <f aca="false">IF(AND('Daily Workforce'!$N122="Y",'Daily Workforce'!$B122&lt;&gt;"",COUNTIF('Daily Schedule'!$F$5:$F47,'Daily Workforce'!$B122)=0,IF('Daily Schedule'!$A48=45,'Daily Workforce'!$J122="Y",IF(OR('Daily Schedule'!$A48=4,'Daily Schedule'!$A48=8),IF(OR(WEEKDAY('Daily Schedule'!$B$2,2)=1,WEEKDAY('Daily Schedule'!$B$2,2)=4,WEEKDAY('Daily Schedule'!$B$2,2)=5,WEEKDAY('Daily Schedule'!$B$2,2)=7),IFERROR(1*'Daily Workforce'!$K122&gt;=3,FALSE()),IFERROR(1*'Daily Workforce'!$K122&gt;=2,FALSE())),IF(AND('Daily Schedule'!$A48&gt;=46,'Daily Schedule'!$A48&lt;=52),'Daily Workforce'!$M122="Y",IFERROR(1*'Daily Workforce'!$P122&gt;=2,FALSE()))))),1,0)</f>
        <v>0</v>
      </c>
      <c r="ED44" s="1" t="n">
        <f aca="false">IF(AND('Daily Workforce'!$N123="Y",'Daily Workforce'!$B123&lt;&gt;"",COUNTIF('Daily Schedule'!$F$5:$F47,'Daily Workforce'!$B123)=0,IF('Daily Schedule'!$A48=45,'Daily Workforce'!$J123="Y",IF(OR('Daily Schedule'!$A48=4,'Daily Schedule'!$A48=8),IF(OR(WEEKDAY('Daily Schedule'!$B$2,2)=1,WEEKDAY('Daily Schedule'!$B$2,2)=4,WEEKDAY('Daily Schedule'!$B$2,2)=5,WEEKDAY('Daily Schedule'!$B$2,2)=7),IFERROR(1*'Daily Workforce'!$K123&gt;=3,FALSE()),IFERROR(1*'Daily Workforce'!$K123&gt;=2,FALSE())),IF(AND('Daily Schedule'!$A48&gt;=46,'Daily Schedule'!$A48&lt;=52),'Daily Workforce'!$M123="Y",IFERROR(1*'Daily Workforce'!$P123&gt;=2,FALSE()))))),1,0)</f>
        <v>0</v>
      </c>
      <c r="EE44" s="1" t="n">
        <f aca="false">IF(AND('Daily Workforce'!$N124="Y",'Daily Workforce'!$B124&lt;&gt;"",COUNTIF('Daily Schedule'!$F$5:$F47,'Daily Workforce'!$B124)=0,IF('Daily Schedule'!$A48=45,'Daily Workforce'!$J124="Y",IF(OR('Daily Schedule'!$A48=4,'Daily Schedule'!$A48=8),IF(OR(WEEKDAY('Daily Schedule'!$B$2,2)=1,WEEKDAY('Daily Schedule'!$B$2,2)=4,WEEKDAY('Daily Schedule'!$B$2,2)=5,WEEKDAY('Daily Schedule'!$B$2,2)=7),IFERROR(1*'Daily Workforce'!$K124&gt;=3,FALSE()),IFERROR(1*'Daily Workforce'!$K124&gt;=2,FALSE())),IF(AND('Daily Schedule'!$A48&gt;=46,'Daily Schedule'!$A48&lt;=52),'Daily Workforce'!$M124="Y",IFERROR(1*'Daily Workforce'!$P124&gt;=2,FALSE()))))),1,0)</f>
        <v>0</v>
      </c>
      <c r="EF44" s="1" t="n">
        <f aca="false">IF(AND('Daily Workforce'!$N125="Y",'Daily Workforce'!$B125&lt;&gt;"",COUNTIF('Daily Schedule'!$F$5:$F47,'Daily Workforce'!$B125)=0,IF('Daily Schedule'!$A48=45,'Daily Workforce'!$J125="Y",IF(OR('Daily Schedule'!$A48=4,'Daily Schedule'!$A48=8),IF(OR(WEEKDAY('Daily Schedule'!$B$2,2)=1,WEEKDAY('Daily Schedule'!$B$2,2)=4,WEEKDAY('Daily Schedule'!$B$2,2)=5,WEEKDAY('Daily Schedule'!$B$2,2)=7),IFERROR(1*'Daily Workforce'!$K125&gt;=3,FALSE()),IFERROR(1*'Daily Workforce'!$K125&gt;=2,FALSE())),IF(AND('Daily Schedule'!$A48&gt;=46,'Daily Schedule'!$A48&lt;=52),'Daily Workforce'!$M125="Y",IFERROR(1*'Daily Workforce'!$P125&gt;=2,FALSE()))))),1,0)</f>
        <v>0</v>
      </c>
      <c r="EG44" s="1" t="n">
        <f aca="false">IF(AND('Daily Workforce'!$N126="Y",'Daily Workforce'!$B126&lt;&gt;"",COUNTIF('Daily Schedule'!$F$5:$F47,'Daily Workforce'!$B126)=0,IF('Daily Schedule'!$A48=45,'Daily Workforce'!$J126="Y",IF(OR('Daily Schedule'!$A48=4,'Daily Schedule'!$A48=8),IF(OR(WEEKDAY('Daily Schedule'!$B$2,2)=1,WEEKDAY('Daily Schedule'!$B$2,2)=4,WEEKDAY('Daily Schedule'!$B$2,2)=5,WEEKDAY('Daily Schedule'!$B$2,2)=7),IFERROR(1*'Daily Workforce'!$K126&gt;=3,FALSE()),IFERROR(1*'Daily Workforce'!$K126&gt;=2,FALSE())),IF(AND('Daily Schedule'!$A48&gt;=46,'Daily Schedule'!$A48&lt;=52),'Daily Workforce'!$M126="Y",IFERROR(1*'Daily Workforce'!$P126&gt;=2,FALSE()))))),1,0)</f>
        <v>0</v>
      </c>
      <c r="EH44" s="1" t="n">
        <f aca="false">IF(AND('Daily Workforce'!$N127="Y",'Daily Workforce'!$B127&lt;&gt;"",COUNTIF('Daily Schedule'!$F$5:$F47,'Daily Workforce'!$B127)=0,IF('Daily Schedule'!$A48=45,'Daily Workforce'!$J127="Y",IF(OR('Daily Schedule'!$A48=4,'Daily Schedule'!$A48=8),IF(OR(WEEKDAY('Daily Schedule'!$B$2,2)=1,WEEKDAY('Daily Schedule'!$B$2,2)=4,WEEKDAY('Daily Schedule'!$B$2,2)=5,WEEKDAY('Daily Schedule'!$B$2,2)=7),IFERROR(1*'Daily Workforce'!$K127&gt;=3,FALSE()),IFERROR(1*'Daily Workforce'!$K127&gt;=2,FALSE())),IF(AND('Daily Schedule'!$A48&gt;=46,'Daily Schedule'!$A48&lt;=52),'Daily Workforce'!$M127="Y",IFERROR(1*'Daily Workforce'!$P127&gt;=2,FALSE()))))),1,0)</f>
        <v>0</v>
      </c>
      <c r="EI44" s="1" t="n">
        <f aca="false">IF(AND('Daily Workforce'!$N128="Y",'Daily Workforce'!$B128&lt;&gt;"",COUNTIF('Daily Schedule'!$F$5:$F47,'Daily Workforce'!$B128)=0,IF('Daily Schedule'!$A48=45,'Daily Workforce'!$J128="Y",IF(OR('Daily Schedule'!$A48=4,'Daily Schedule'!$A48=8),IF(OR(WEEKDAY('Daily Schedule'!$B$2,2)=1,WEEKDAY('Daily Schedule'!$B$2,2)=4,WEEKDAY('Daily Schedule'!$B$2,2)=5,WEEKDAY('Daily Schedule'!$B$2,2)=7),IFERROR(1*'Daily Workforce'!$K128&gt;=3,FALSE()),IFERROR(1*'Daily Workforce'!$K128&gt;=2,FALSE())),IF(AND('Daily Schedule'!$A48&gt;=46,'Daily Schedule'!$A48&lt;=52),'Daily Workforce'!$M128="Y",IFERROR(1*'Daily Workforce'!$P128&gt;=2,FALSE()))))),1,0)</f>
        <v>0</v>
      </c>
      <c r="EJ44" s="1" t="n">
        <f aca="false">IF(AND('Daily Workforce'!$N129="Y",'Daily Workforce'!$B129&lt;&gt;"",COUNTIF('Daily Schedule'!$F$5:$F47,'Daily Workforce'!$B129)=0,IF('Daily Schedule'!$A48=45,'Daily Workforce'!$J129="Y",IF(OR('Daily Schedule'!$A48=4,'Daily Schedule'!$A48=8),IF(OR(WEEKDAY('Daily Schedule'!$B$2,2)=1,WEEKDAY('Daily Schedule'!$B$2,2)=4,WEEKDAY('Daily Schedule'!$B$2,2)=5,WEEKDAY('Daily Schedule'!$B$2,2)=7),IFERROR(1*'Daily Workforce'!$K129&gt;=3,FALSE()),IFERROR(1*'Daily Workforce'!$K129&gt;=2,FALSE())),IF(AND('Daily Schedule'!$A48&gt;=46,'Daily Schedule'!$A48&lt;=52),'Daily Workforce'!$M129="Y",IFERROR(1*'Daily Workforce'!$P129&gt;=2,FALSE()))))),1,0)</f>
        <v>0</v>
      </c>
      <c r="EK44" s="1" t="n">
        <f aca="false">IF(AND('Daily Workforce'!$N130="Y",'Daily Workforce'!$B130&lt;&gt;"",COUNTIF('Daily Schedule'!$F$5:$F47,'Daily Workforce'!$B130)=0,IF('Daily Schedule'!$A48=45,'Daily Workforce'!$J130="Y",IF(OR('Daily Schedule'!$A48=4,'Daily Schedule'!$A48=8),IF(OR(WEEKDAY('Daily Schedule'!$B$2,2)=1,WEEKDAY('Daily Schedule'!$B$2,2)=4,WEEKDAY('Daily Schedule'!$B$2,2)=5,WEEKDAY('Daily Schedule'!$B$2,2)=7),IFERROR(1*'Daily Workforce'!$K130&gt;=3,FALSE()),IFERROR(1*'Daily Workforce'!$K130&gt;=2,FALSE())),IF(AND('Daily Schedule'!$A48&gt;=46,'Daily Schedule'!$A48&lt;=52),'Daily Workforce'!$M130="Y",IFERROR(1*'Daily Workforce'!$P130&gt;=2,FALSE()))))),1,0)</f>
        <v>0</v>
      </c>
      <c r="EL44" s="1" t="n">
        <f aca="false">IF(AND('Daily Workforce'!$N131="Y",'Daily Workforce'!$B131&lt;&gt;"",COUNTIF('Daily Schedule'!$F$5:$F47,'Daily Workforce'!$B131)=0,IF('Daily Schedule'!$A48=45,'Daily Workforce'!$J131="Y",IF(OR('Daily Schedule'!$A48=4,'Daily Schedule'!$A48=8),IF(OR(WEEKDAY('Daily Schedule'!$B$2,2)=1,WEEKDAY('Daily Schedule'!$B$2,2)=4,WEEKDAY('Daily Schedule'!$B$2,2)=5,WEEKDAY('Daily Schedule'!$B$2,2)=7),IFERROR(1*'Daily Workforce'!$K131&gt;=3,FALSE()),IFERROR(1*'Daily Workforce'!$K131&gt;=2,FALSE())),IF(AND('Daily Schedule'!$A48&gt;=46,'Daily Schedule'!$A48&lt;=52),'Daily Workforce'!$M131="Y",IFERROR(1*'Daily Workforce'!$P131&gt;=2,FALSE()))))),1,0)</f>
        <v>0</v>
      </c>
      <c r="EM44" s="1" t="n">
        <f aca="false">IF(AND('Daily Workforce'!$N132="Y",'Daily Workforce'!$B132&lt;&gt;"",COUNTIF('Daily Schedule'!$F$5:$F47,'Daily Workforce'!$B132)=0,IF('Daily Schedule'!$A48=45,'Daily Workforce'!$J132="Y",IF(OR('Daily Schedule'!$A48=4,'Daily Schedule'!$A48=8),IF(OR(WEEKDAY('Daily Schedule'!$B$2,2)=1,WEEKDAY('Daily Schedule'!$B$2,2)=4,WEEKDAY('Daily Schedule'!$B$2,2)=5,WEEKDAY('Daily Schedule'!$B$2,2)=7),IFERROR(1*'Daily Workforce'!$K132&gt;=3,FALSE()),IFERROR(1*'Daily Workforce'!$K132&gt;=2,FALSE())),IF(AND('Daily Schedule'!$A48&gt;=46,'Daily Schedule'!$A48&lt;=52),'Daily Workforce'!$M132="Y",IFERROR(1*'Daily Workforce'!$P132&gt;=2,FALSE()))))),1,0)</f>
        <v>0</v>
      </c>
      <c r="EN44" s="1" t="n">
        <f aca="false">IF(AND('Daily Workforce'!$N133="Y",'Daily Workforce'!$B133&lt;&gt;"",COUNTIF('Daily Schedule'!$F$5:$F47,'Daily Workforce'!$B133)=0,IF('Daily Schedule'!$A48=45,'Daily Workforce'!$J133="Y",IF(OR('Daily Schedule'!$A48=4,'Daily Schedule'!$A48=8),IF(OR(WEEKDAY('Daily Schedule'!$B$2,2)=1,WEEKDAY('Daily Schedule'!$B$2,2)=4,WEEKDAY('Daily Schedule'!$B$2,2)=5,WEEKDAY('Daily Schedule'!$B$2,2)=7),IFERROR(1*'Daily Workforce'!$K133&gt;=3,FALSE()),IFERROR(1*'Daily Workforce'!$K133&gt;=2,FALSE())),IF(AND('Daily Schedule'!$A48&gt;=46,'Daily Schedule'!$A48&lt;=52),'Daily Workforce'!$M133="Y",IFERROR(1*'Daily Workforce'!$P133&gt;=2,FALSE()))))),1,0)</f>
        <v>0</v>
      </c>
      <c r="EO44" s="1" t="n">
        <f aca="false">IF(AND('Daily Workforce'!$N134="Y",'Daily Workforce'!$B134&lt;&gt;"",COUNTIF('Daily Schedule'!$F$5:$F47,'Daily Workforce'!$B134)=0,IF('Daily Schedule'!$A48=45,'Daily Workforce'!$J134="Y",IF(OR('Daily Schedule'!$A48=4,'Daily Schedule'!$A48=8),IF(OR(WEEKDAY('Daily Schedule'!$B$2,2)=1,WEEKDAY('Daily Schedule'!$B$2,2)=4,WEEKDAY('Daily Schedule'!$B$2,2)=5,WEEKDAY('Daily Schedule'!$B$2,2)=7),IFERROR(1*'Daily Workforce'!$K134&gt;=3,FALSE()),IFERROR(1*'Daily Workforce'!$K134&gt;=2,FALSE())),IF(AND('Daily Schedule'!$A48&gt;=46,'Daily Schedule'!$A48&lt;=52),'Daily Workforce'!$M134="Y",IFERROR(1*'Daily Workforce'!$P134&gt;=2,FALSE()))))),1,0)</f>
        <v>0</v>
      </c>
      <c r="EP44" s="1" t="n">
        <f aca="false">IF(AND('Daily Workforce'!$N135="Y",'Daily Workforce'!$B135&lt;&gt;"",COUNTIF('Daily Schedule'!$F$5:$F47,'Daily Workforce'!$B135)=0,IF('Daily Schedule'!$A48=45,'Daily Workforce'!$J135="Y",IF(OR('Daily Schedule'!$A48=4,'Daily Schedule'!$A48=8),IF(OR(WEEKDAY('Daily Schedule'!$B$2,2)=1,WEEKDAY('Daily Schedule'!$B$2,2)=4,WEEKDAY('Daily Schedule'!$B$2,2)=5,WEEKDAY('Daily Schedule'!$B$2,2)=7),IFERROR(1*'Daily Workforce'!$K135&gt;=3,FALSE()),IFERROR(1*'Daily Workforce'!$K135&gt;=2,FALSE())),IF(AND('Daily Schedule'!$A48&gt;=46,'Daily Schedule'!$A48&lt;=52),'Daily Workforce'!$M135="Y",IFERROR(1*'Daily Workforce'!$P135&gt;=2,FALSE()))))),1,0)</f>
        <v>0</v>
      </c>
      <c r="EQ44" s="1" t="n">
        <f aca="false">IF(AND('Daily Workforce'!$N136="Y",'Daily Workforce'!$B136&lt;&gt;"",COUNTIF('Daily Schedule'!$F$5:$F47,'Daily Workforce'!$B136)=0,IF('Daily Schedule'!$A48=45,'Daily Workforce'!$J136="Y",IF(OR('Daily Schedule'!$A48=4,'Daily Schedule'!$A48=8),IF(OR(WEEKDAY('Daily Schedule'!$B$2,2)=1,WEEKDAY('Daily Schedule'!$B$2,2)=4,WEEKDAY('Daily Schedule'!$B$2,2)=5,WEEKDAY('Daily Schedule'!$B$2,2)=7),IFERROR(1*'Daily Workforce'!$K136&gt;=3,FALSE()),IFERROR(1*'Daily Workforce'!$K136&gt;=2,FALSE())),IF(AND('Daily Schedule'!$A48&gt;=46,'Daily Schedule'!$A48&lt;=52),'Daily Workforce'!$M136="Y",IFERROR(1*'Daily Workforce'!$P136&gt;=2,FALSE()))))),1,0)</f>
        <v>0</v>
      </c>
      <c r="ER44" s="1" t="n">
        <f aca="false">IF(AND('Daily Workforce'!$N137="Y",'Daily Workforce'!$B137&lt;&gt;"",COUNTIF('Daily Schedule'!$F$5:$F47,'Daily Workforce'!$B137)=0,IF('Daily Schedule'!$A48=45,'Daily Workforce'!$J137="Y",IF(OR('Daily Schedule'!$A48=4,'Daily Schedule'!$A48=8),IF(OR(WEEKDAY('Daily Schedule'!$B$2,2)=1,WEEKDAY('Daily Schedule'!$B$2,2)=4,WEEKDAY('Daily Schedule'!$B$2,2)=5,WEEKDAY('Daily Schedule'!$B$2,2)=7),IFERROR(1*'Daily Workforce'!$K137&gt;=3,FALSE()),IFERROR(1*'Daily Workforce'!$K137&gt;=2,FALSE())),IF(AND('Daily Schedule'!$A48&gt;=46,'Daily Schedule'!$A48&lt;=52),'Daily Workforce'!$M137="Y",IFERROR(1*'Daily Workforce'!$P137&gt;=2,FALSE()))))),1,0)</f>
        <v>0</v>
      </c>
      <c r="ES44" s="1" t="n">
        <f aca="false">IF(AND('Daily Workforce'!$N138="Y",'Daily Workforce'!$B138&lt;&gt;"",COUNTIF('Daily Schedule'!$F$5:$F47,'Daily Workforce'!$B138)=0,IF('Daily Schedule'!$A48=45,'Daily Workforce'!$J138="Y",IF(OR('Daily Schedule'!$A48=4,'Daily Schedule'!$A48=8),IF(OR(WEEKDAY('Daily Schedule'!$B$2,2)=1,WEEKDAY('Daily Schedule'!$B$2,2)=4,WEEKDAY('Daily Schedule'!$B$2,2)=5,WEEKDAY('Daily Schedule'!$B$2,2)=7),IFERROR(1*'Daily Workforce'!$K138&gt;=3,FALSE()),IFERROR(1*'Daily Workforce'!$K138&gt;=2,FALSE())),IF(AND('Daily Schedule'!$A48&gt;=46,'Daily Schedule'!$A48&lt;=52),'Daily Workforce'!$M138="Y",IFERROR(1*'Daily Workforce'!$P138&gt;=2,FALSE()))))),1,0)</f>
        <v>0</v>
      </c>
      <c r="ET44" s="1" t="n">
        <f aca="false">IF(AND('Daily Workforce'!$N139="Y",'Daily Workforce'!$B139&lt;&gt;"",COUNTIF('Daily Schedule'!$F$5:$F47,'Daily Workforce'!$B139)=0,IF('Daily Schedule'!$A48=45,'Daily Workforce'!$J139="Y",IF(OR('Daily Schedule'!$A48=4,'Daily Schedule'!$A48=8),IF(OR(WEEKDAY('Daily Schedule'!$B$2,2)=1,WEEKDAY('Daily Schedule'!$B$2,2)=4,WEEKDAY('Daily Schedule'!$B$2,2)=5,WEEKDAY('Daily Schedule'!$B$2,2)=7),IFERROR(1*'Daily Workforce'!$K139&gt;=3,FALSE()),IFERROR(1*'Daily Workforce'!$K139&gt;=2,FALSE())),IF(AND('Daily Schedule'!$A48&gt;=46,'Daily Schedule'!$A48&lt;=52),'Daily Workforce'!$M139="Y",IFERROR(1*'Daily Workforce'!$P139&gt;=2,FALSE()))))),1,0)</f>
        <v>0</v>
      </c>
      <c r="EU44" s="1" t="n">
        <f aca="false">IF(AND('Daily Workforce'!$N140="Y",'Daily Workforce'!$B140&lt;&gt;"",COUNTIF('Daily Schedule'!$F$5:$F47,'Daily Workforce'!$B140)=0,IF('Daily Schedule'!$A48=45,'Daily Workforce'!$J140="Y",IF(OR('Daily Schedule'!$A48=4,'Daily Schedule'!$A48=8),IF(OR(WEEKDAY('Daily Schedule'!$B$2,2)=1,WEEKDAY('Daily Schedule'!$B$2,2)=4,WEEKDAY('Daily Schedule'!$B$2,2)=5,WEEKDAY('Daily Schedule'!$B$2,2)=7),IFERROR(1*'Daily Workforce'!$K140&gt;=3,FALSE()),IFERROR(1*'Daily Workforce'!$K140&gt;=2,FALSE())),IF(AND('Daily Schedule'!$A48&gt;=46,'Daily Schedule'!$A48&lt;=52),'Daily Workforce'!$M140="Y",IFERROR(1*'Daily Workforce'!$P140&gt;=2,FALSE()))))),1,0)</f>
        <v>0</v>
      </c>
      <c r="EV44" s="1" t="n">
        <f aca="false">IF(AND('Daily Workforce'!$N141="Y",'Daily Workforce'!$B141&lt;&gt;"",COUNTIF('Daily Schedule'!$F$5:$F47,'Daily Workforce'!$B141)=0,IF('Daily Schedule'!$A48=45,'Daily Workforce'!$J141="Y",IF(OR('Daily Schedule'!$A48=4,'Daily Schedule'!$A48=8),IF(OR(WEEKDAY('Daily Schedule'!$B$2,2)=1,WEEKDAY('Daily Schedule'!$B$2,2)=4,WEEKDAY('Daily Schedule'!$B$2,2)=5,WEEKDAY('Daily Schedule'!$B$2,2)=7),IFERROR(1*'Daily Workforce'!$K141&gt;=3,FALSE()),IFERROR(1*'Daily Workforce'!$K141&gt;=2,FALSE())),IF(AND('Daily Schedule'!$A48&gt;=46,'Daily Schedule'!$A48&lt;=52),'Daily Workforce'!$M141="Y",IFERROR(1*'Daily Workforce'!$P141&gt;=2,FALSE()))))),1,0)</f>
        <v>0</v>
      </c>
      <c r="EW44" s="1" t="n">
        <f aca="false">IF(AND('Daily Workforce'!$N142="Y",'Daily Workforce'!$B142&lt;&gt;"",COUNTIF('Daily Schedule'!$F$5:$F47,'Daily Workforce'!$B142)=0,IF('Daily Schedule'!$A48=45,'Daily Workforce'!$J142="Y",IF(OR('Daily Schedule'!$A48=4,'Daily Schedule'!$A48=8),IF(OR(WEEKDAY('Daily Schedule'!$B$2,2)=1,WEEKDAY('Daily Schedule'!$B$2,2)=4,WEEKDAY('Daily Schedule'!$B$2,2)=5,WEEKDAY('Daily Schedule'!$B$2,2)=7),IFERROR(1*'Daily Workforce'!$K142&gt;=3,FALSE()),IFERROR(1*'Daily Workforce'!$K142&gt;=2,FALSE())),IF(AND('Daily Schedule'!$A48&gt;=46,'Daily Schedule'!$A48&lt;=52),'Daily Workforce'!$M142="Y",IFERROR(1*'Daily Workforce'!$P142&gt;=2,FALSE()))))),1,0)</f>
        <v>0</v>
      </c>
      <c r="EX44" s="1" t="n">
        <f aca="false">IF(AND('Daily Workforce'!$N143="Y",'Daily Workforce'!$B143&lt;&gt;"",COUNTIF('Daily Schedule'!$F$5:$F47,'Daily Workforce'!$B143)=0,IF('Daily Schedule'!$A48=45,'Daily Workforce'!$J143="Y",IF(OR('Daily Schedule'!$A48=4,'Daily Schedule'!$A48=8),IF(OR(WEEKDAY('Daily Schedule'!$B$2,2)=1,WEEKDAY('Daily Schedule'!$B$2,2)=4,WEEKDAY('Daily Schedule'!$B$2,2)=5,WEEKDAY('Daily Schedule'!$B$2,2)=7),IFERROR(1*'Daily Workforce'!$K143&gt;=3,FALSE()),IFERROR(1*'Daily Workforce'!$K143&gt;=2,FALSE())),IF(AND('Daily Schedule'!$A48&gt;=46,'Daily Schedule'!$A48&lt;=52),'Daily Workforce'!$M143="Y",IFERROR(1*'Daily Workforce'!$P143&gt;=2,FALSE()))))),1,0)</f>
        <v>0</v>
      </c>
      <c r="EY44" s="1" t="n">
        <f aca="false">IF(AND('Daily Workforce'!$N144="Y",'Daily Workforce'!$B144&lt;&gt;"",COUNTIF('Daily Schedule'!$F$5:$F47,'Daily Workforce'!$B144)=0,IF('Daily Schedule'!$A48=45,'Daily Workforce'!$J144="Y",IF(OR('Daily Schedule'!$A48=4,'Daily Schedule'!$A48=8),IF(OR(WEEKDAY('Daily Schedule'!$B$2,2)=1,WEEKDAY('Daily Schedule'!$B$2,2)=4,WEEKDAY('Daily Schedule'!$B$2,2)=5,WEEKDAY('Daily Schedule'!$B$2,2)=7),IFERROR(1*'Daily Workforce'!$K144&gt;=3,FALSE()),IFERROR(1*'Daily Workforce'!$K144&gt;=2,FALSE())),IF(AND('Daily Schedule'!$A48&gt;=46,'Daily Schedule'!$A48&lt;=52),'Daily Workforce'!$M144="Y",IFERROR(1*'Daily Workforce'!$P144&gt;=2,FALSE()))))),1,0)</f>
        <v>0</v>
      </c>
      <c r="EZ44" s="1" t="n">
        <f aca="false">IF(AND('Daily Workforce'!$N145="Y",'Daily Workforce'!$B145&lt;&gt;"",COUNTIF('Daily Schedule'!$F$5:$F47,'Daily Workforce'!$B145)=0,IF('Daily Schedule'!$A48=45,'Daily Workforce'!$J145="Y",IF(OR('Daily Schedule'!$A48=4,'Daily Schedule'!$A48=8),IF(OR(WEEKDAY('Daily Schedule'!$B$2,2)=1,WEEKDAY('Daily Schedule'!$B$2,2)=4,WEEKDAY('Daily Schedule'!$B$2,2)=5,WEEKDAY('Daily Schedule'!$B$2,2)=7),IFERROR(1*'Daily Workforce'!$K145&gt;=3,FALSE()),IFERROR(1*'Daily Workforce'!$K145&gt;=2,FALSE())),IF(AND('Daily Schedule'!$A48&gt;=46,'Daily Schedule'!$A48&lt;=52),'Daily Workforce'!$M145="Y",IFERROR(1*'Daily Workforce'!$P145&gt;=2,FALSE()))))),1,0)</f>
        <v>0</v>
      </c>
      <c r="FA44" s="1" t="n">
        <f aca="false">IF(AND('Daily Workforce'!$N146="Y",'Daily Workforce'!$B146&lt;&gt;"",COUNTIF('Daily Schedule'!$F$5:$F47,'Daily Workforce'!$B146)=0,IF('Daily Schedule'!$A48=45,'Daily Workforce'!$J146="Y",IF(OR('Daily Schedule'!$A48=4,'Daily Schedule'!$A48=8),IF(OR(WEEKDAY('Daily Schedule'!$B$2,2)=1,WEEKDAY('Daily Schedule'!$B$2,2)=4,WEEKDAY('Daily Schedule'!$B$2,2)=5,WEEKDAY('Daily Schedule'!$B$2,2)=7),IFERROR(1*'Daily Workforce'!$K146&gt;=3,FALSE()),IFERROR(1*'Daily Workforce'!$K146&gt;=2,FALSE())),IF(AND('Daily Schedule'!$A48&gt;=46,'Daily Schedule'!$A48&lt;=52),'Daily Workforce'!$M146="Y",IFERROR(1*'Daily Workforce'!$P146&gt;=2,FALSE()))))),1,0)</f>
        <v>0</v>
      </c>
      <c r="FB44" s="1" t="n">
        <f aca="false">IF(AND('Daily Workforce'!$N147="Y",'Daily Workforce'!$B147&lt;&gt;"",COUNTIF('Daily Schedule'!$F$5:$F47,'Daily Workforce'!$B147)=0,IF('Daily Schedule'!$A48=45,'Daily Workforce'!$J147="Y",IF(OR('Daily Schedule'!$A48=4,'Daily Schedule'!$A48=8),IF(OR(WEEKDAY('Daily Schedule'!$B$2,2)=1,WEEKDAY('Daily Schedule'!$B$2,2)=4,WEEKDAY('Daily Schedule'!$B$2,2)=5,WEEKDAY('Daily Schedule'!$B$2,2)=7),IFERROR(1*'Daily Workforce'!$K147&gt;=3,FALSE()),IFERROR(1*'Daily Workforce'!$K147&gt;=2,FALSE())),IF(AND('Daily Schedule'!$A48&gt;=46,'Daily Schedule'!$A48&lt;=52),'Daily Workforce'!$M147="Y",IFERROR(1*'Daily Workforce'!$P147&gt;=2,FALSE()))))),1,0)</f>
        <v>0</v>
      </c>
      <c r="FC44" s="1" t="n">
        <f aca="false">IF(AND('Daily Workforce'!$N148="Y",'Daily Workforce'!$B148&lt;&gt;"",COUNTIF('Daily Schedule'!$F$5:$F47,'Daily Workforce'!$B148)=0,IF('Daily Schedule'!$A48=45,'Daily Workforce'!$J148="Y",IF(OR('Daily Schedule'!$A48=4,'Daily Schedule'!$A48=8),IF(OR(WEEKDAY('Daily Schedule'!$B$2,2)=1,WEEKDAY('Daily Schedule'!$B$2,2)=4,WEEKDAY('Daily Schedule'!$B$2,2)=5,WEEKDAY('Daily Schedule'!$B$2,2)=7),IFERROR(1*'Daily Workforce'!$K148&gt;=3,FALSE()),IFERROR(1*'Daily Workforce'!$K148&gt;=2,FALSE())),IF(AND('Daily Schedule'!$A48&gt;=46,'Daily Schedule'!$A48&lt;=52),'Daily Workforce'!$M148="Y",IFERROR(1*'Daily Workforce'!$P148&gt;=2,FALSE()))))),1,0)</f>
        <v>0</v>
      </c>
      <c r="FD44" s="1" t="n">
        <f aca="false">IF(AND('Daily Workforce'!$N149="Y",'Daily Workforce'!$B149&lt;&gt;"",COUNTIF('Daily Schedule'!$F$5:$F47,'Daily Workforce'!$B149)=0,IF('Daily Schedule'!$A48=45,'Daily Workforce'!$J149="Y",IF(OR('Daily Schedule'!$A48=4,'Daily Schedule'!$A48=8),IF(OR(WEEKDAY('Daily Schedule'!$B$2,2)=1,WEEKDAY('Daily Schedule'!$B$2,2)=4,WEEKDAY('Daily Schedule'!$B$2,2)=5,WEEKDAY('Daily Schedule'!$B$2,2)=7),IFERROR(1*'Daily Workforce'!$K149&gt;=3,FALSE()),IFERROR(1*'Daily Workforce'!$K149&gt;=2,FALSE())),IF(AND('Daily Schedule'!$A48&gt;=46,'Daily Schedule'!$A48&lt;=52),'Daily Workforce'!$M149="Y",IFERROR(1*'Daily Workforce'!$P149&gt;=2,FALSE()))))),1,0)</f>
        <v>0</v>
      </c>
      <c r="FE44" s="1" t="n">
        <f aca="false">IF(AND('Daily Workforce'!$N150="Y",'Daily Workforce'!$B150&lt;&gt;"",COUNTIF('Daily Schedule'!$F$5:$F47,'Daily Workforce'!$B150)=0,IF('Daily Schedule'!$A48=45,'Daily Workforce'!$J150="Y",IF(OR('Daily Schedule'!$A48=4,'Daily Schedule'!$A48=8),IF(OR(WEEKDAY('Daily Schedule'!$B$2,2)=1,WEEKDAY('Daily Schedule'!$B$2,2)=4,WEEKDAY('Daily Schedule'!$B$2,2)=5,WEEKDAY('Daily Schedule'!$B$2,2)=7),IFERROR(1*'Daily Workforce'!$K150&gt;=3,FALSE()),IFERROR(1*'Daily Workforce'!$K150&gt;=2,FALSE())),IF(AND('Daily Schedule'!$A48&gt;=46,'Daily Schedule'!$A48&lt;=52),'Daily Workforce'!$M150="Y",IFERROR(1*'Daily Workforce'!$P150&gt;=2,FALSE()))))),1,0)</f>
        <v>0</v>
      </c>
      <c r="FF44" s="1" t="n">
        <f aca="false">IF(AND('Daily Workforce'!$N151="Y",'Daily Workforce'!$B151&lt;&gt;"",COUNTIF('Daily Schedule'!$F$5:$F47,'Daily Workforce'!$B151)=0,IF('Daily Schedule'!$A48=45,'Daily Workforce'!$J151="Y",IF(OR('Daily Schedule'!$A48=4,'Daily Schedule'!$A48=8),IF(OR(WEEKDAY('Daily Schedule'!$B$2,2)=1,WEEKDAY('Daily Schedule'!$B$2,2)=4,WEEKDAY('Daily Schedule'!$B$2,2)=5,WEEKDAY('Daily Schedule'!$B$2,2)=7),IFERROR(1*'Daily Workforce'!$K151&gt;=3,FALSE()),IFERROR(1*'Daily Workforce'!$K151&gt;=2,FALSE())),IF(AND('Daily Schedule'!$A48&gt;=46,'Daily Schedule'!$A48&lt;=52),'Daily Workforce'!$M151="Y",IFERROR(1*'Daily Workforce'!$P151&gt;=2,FALSE()))))),1,0)</f>
        <v>0</v>
      </c>
      <c r="FG44" s="1" t="n">
        <f aca="false">IF(AND('Daily Workforce'!$N152="Y",'Daily Workforce'!$B152&lt;&gt;"",COUNTIF('Daily Schedule'!$F$5:$F47,'Daily Workforce'!$B152)=0,IF('Daily Schedule'!$A48=45,'Daily Workforce'!$J152="Y",IF(OR('Daily Schedule'!$A48=4,'Daily Schedule'!$A48=8),IF(OR(WEEKDAY('Daily Schedule'!$B$2,2)=1,WEEKDAY('Daily Schedule'!$B$2,2)=4,WEEKDAY('Daily Schedule'!$B$2,2)=5,WEEKDAY('Daily Schedule'!$B$2,2)=7),IFERROR(1*'Daily Workforce'!$K152&gt;=3,FALSE()),IFERROR(1*'Daily Workforce'!$K152&gt;=2,FALSE())),IF(AND('Daily Schedule'!$A48&gt;=46,'Daily Schedule'!$A48&lt;=52),'Daily Workforce'!$M152="Y",IFERROR(1*'Daily Workforce'!$P152&gt;=2,FALSE()))))),1,0)</f>
        <v>0</v>
      </c>
      <c r="FH44" s="1" t="n">
        <f aca="false">IF(AND('Daily Workforce'!$N153="Y",'Daily Workforce'!$B153&lt;&gt;"",COUNTIF('Daily Schedule'!$F$5:$F47,'Daily Workforce'!$B153)=0,IF('Daily Schedule'!$A48=45,'Daily Workforce'!$J153="Y",IF(OR('Daily Schedule'!$A48=4,'Daily Schedule'!$A48=8),IF(OR(WEEKDAY('Daily Schedule'!$B$2,2)=1,WEEKDAY('Daily Schedule'!$B$2,2)=4,WEEKDAY('Daily Schedule'!$B$2,2)=5,WEEKDAY('Daily Schedule'!$B$2,2)=7),IFERROR(1*'Daily Workforce'!$K153&gt;=3,FALSE()),IFERROR(1*'Daily Workforce'!$K153&gt;=2,FALSE())),IF(AND('Daily Schedule'!$A48&gt;=46,'Daily Schedule'!$A48&lt;=52),'Daily Workforce'!$M153="Y",IFERROR(1*'Daily Workforce'!$P153&gt;=2,FALSE()))))),1,0)</f>
        <v>0</v>
      </c>
      <c r="FI44" s="1" t="n">
        <f aca="false">IF(AND('Daily Workforce'!$N154="Y",'Daily Workforce'!$B154&lt;&gt;"",COUNTIF('Daily Schedule'!$F$5:$F47,'Daily Workforce'!$B154)=0,IF('Daily Schedule'!$A48=45,'Daily Workforce'!$J154="Y",IF(OR('Daily Schedule'!$A48=4,'Daily Schedule'!$A48=8),IF(OR(WEEKDAY('Daily Schedule'!$B$2,2)=1,WEEKDAY('Daily Schedule'!$B$2,2)=4,WEEKDAY('Daily Schedule'!$B$2,2)=5,WEEKDAY('Daily Schedule'!$B$2,2)=7),IFERROR(1*'Daily Workforce'!$K154&gt;=3,FALSE()),IFERROR(1*'Daily Workforce'!$K154&gt;=2,FALSE())),IF(AND('Daily Schedule'!$A48&gt;=46,'Daily Schedule'!$A48&lt;=52),'Daily Workforce'!$M154="Y",IFERROR(1*'Daily Workforce'!$P154&gt;=2,FALSE()))))),1,0)</f>
        <v>0</v>
      </c>
      <c r="FJ44" s="1" t="n">
        <f aca="false">IF(AND('Daily Workforce'!$N155="Y",'Daily Workforce'!$B155&lt;&gt;"",COUNTIF('Daily Schedule'!$F$5:$F47,'Daily Workforce'!$B155)=0,IF('Daily Schedule'!$A48=45,'Daily Workforce'!$J155="Y",IF(OR('Daily Schedule'!$A48=4,'Daily Schedule'!$A48=8),IF(OR(WEEKDAY('Daily Schedule'!$B$2,2)=1,WEEKDAY('Daily Schedule'!$B$2,2)=4,WEEKDAY('Daily Schedule'!$B$2,2)=5,WEEKDAY('Daily Schedule'!$B$2,2)=7),IFERROR(1*'Daily Workforce'!$K155&gt;=3,FALSE()),IFERROR(1*'Daily Workforce'!$K155&gt;=2,FALSE())),IF(AND('Daily Schedule'!$A48&gt;=46,'Daily Schedule'!$A48&lt;=52),'Daily Workforce'!$M155="Y",IFERROR(1*'Daily Workforce'!$P155&gt;=2,FALSE()))))),1,0)</f>
        <v>0</v>
      </c>
      <c r="FK44" s="1" t="n">
        <f aca="false">IF(AND('Daily Workforce'!$N156="Y",'Daily Workforce'!$B156&lt;&gt;"",COUNTIF('Daily Schedule'!$F$5:$F47,'Daily Workforce'!$B156)=0,IF('Daily Schedule'!$A48=45,'Daily Workforce'!$J156="Y",IF(OR('Daily Schedule'!$A48=4,'Daily Schedule'!$A48=8),IF(OR(WEEKDAY('Daily Schedule'!$B$2,2)=1,WEEKDAY('Daily Schedule'!$B$2,2)=4,WEEKDAY('Daily Schedule'!$B$2,2)=5,WEEKDAY('Daily Schedule'!$B$2,2)=7),IFERROR(1*'Daily Workforce'!$K156&gt;=3,FALSE()),IFERROR(1*'Daily Workforce'!$K156&gt;=2,FALSE())),IF(AND('Daily Schedule'!$A48&gt;=46,'Daily Schedule'!$A48&lt;=52),'Daily Workforce'!$M156="Y",IFERROR(1*'Daily Workforce'!$P156&gt;=2,FALSE()))))),1,0)</f>
        <v>0</v>
      </c>
      <c r="FL44" s="1" t="n">
        <f aca="false">IF(AND('Daily Workforce'!$N157="Y",'Daily Workforce'!$B157&lt;&gt;"",COUNTIF('Daily Schedule'!$F$5:$F47,'Daily Workforce'!$B157)=0,IF('Daily Schedule'!$A48=45,'Daily Workforce'!$J157="Y",IF(OR('Daily Schedule'!$A48=4,'Daily Schedule'!$A48=8),IF(OR(WEEKDAY('Daily Schedule'!$B$2,2)=1,WEEKDAY('Daily Schedule'!$B$2,2)=4,WEEKDAY('Daily Schedule'!$B$2,2)=5,WEEKDAY('Daily Schedule'!$B$2,2)=7),IFERROR(1*'Daily Workforce'!$K157&gt;=3,FALSE()),IFERROR(1*'Daily Workforce'!$K157&gt;=2,FALSE())),IF(AND('Daily Schedule'!$A48&gt;=46,'Daily Schedule'!$A48&lt;=52),'Daily Workforce'!$M157="Y",IFERROR(1*'Daily Workforce'!$P157&gt;=2,FALSE()))))),1,0)</f>
        <v>0</v>
      </c>
      <c r="FM44" s="1" t="n">
        <f aca="false">IF(AND('Daily Workforce'!$N158="Y",'Daily Workforce'!$B158&lt;&gt;"",COUNTIF('Daily Schedule'!$F$5:$F47,'Daily Workforce'!$B158)=0,IF('Daily Schedule'!$A48=45,'Daily Workforce'!$J158="Y",IF(OR('Daily Schedule'!$A48=4,'Daily Schedule'!$A48=8),IF(OR(WEEKDAY('Daily Schedule'!$B$2,2)=1,WEEKDAY('Daily Schedule'!$B$2,2)=4,WEEKDAY('Daily Schedule'!$B$2,2)=5,WEEKDAY('Daily Schedule'!$B$2,2)=7),IFERROR(1*'Daily Workforce'!$K158&gt;=3,FALSE()),IFERROR(1*'Daily Workforce'!$K158&gt;=2,FALSE())),IF(AND('Daily Schedule'!$A48&gt;=46,'Daily Schedule'!$A48&lt;=52),'Daily Workforce'!$M158="Y",IFERROR(1*'Daily Workforce'!$P158&gt;=2,FALSE()))))),1,0)</f>
        <v>0</v>
      </c>
      <c r="FN44" s="1" t="n">
        <f aca="false">IF(AND('Daily Workforce'!$N159="Y",'Daily Workforce'!$B159&lt;&gt;"",COUNTIF('Daily Schedule'!$F$5:$F47,'Daily Workforce'!$B159)=0,IF('Daily Schedule'!$A48=45,'Daily Workforce'!$J159="Y",IF(OR('Daily Schedule'!$A48=4,'Daily Schedule'!$A48=8),IF(OR(WEEKDAY('Daily Schedule'!$B$2,2)=1,WEEKDAY('Daily Schedule'!$B$2,2)=4,WEEKDAY('Daily Schedule'!$B$2,2)=5,WEEKDAY('Daily Schedule'!$B$2,2)=7),IFERROR(1*'Daily Workforce'!$K159&gt;=3,FALSE()),IFERROR(1*'Daily Workforce'!$K159&gt;=2,FALSE())),IF(AND('Daily Schedule'!$A48&gt;=46,'Daily Schedule'!$A48&lt;=52),'Daily Workforce'!$M159="Y",IFERROR(1*'Daily Workforce'!$P159&gt;=2,FALSE()))))),1,0)</f>
        <v>0</v>
      </c>
      <c r="FO44" s="1" t="n">
        <f aca="false">IF(AND('Daily Workforce'!$N160="Y",'Daily Workforce'!$B160&lt;&gt;"",COUNTIF('Daily Schedule'!$F$5:$F47,'Daily Workforce'!$B160)=0,IF('Daily Schedule'!$A48=45,'Daily Workforce'!$J160="Y",IF(OR('Daily Schedule'!$A48=4,'Daily Schedule'!$A48=8),IF(OR(WEEKDAY('Daily Schedule'!$B$2,2)=1,WEEKDAY('Daily Schedule'!$B$2,2)=4,WEEKDAY('Daily Schedule'!$B$2,2)=5,WEEKDAY('Daily Schedule'!$B$2,2)=7),IFERROR(1*'Daily Workforce'!$K160&gt;=3,FALSE()),IFERROR(1*'Daily Workforce'!$K160&gt;=2,FALSE())),IF(AND('Daily Schedule'!$A48&gt;=46,'Daily Schedule'!$A48&lt;=52),'Daily Workforce'!$M160="Y",IFERROR(1*'Daily Workforce'!$P160&gt;=2,FALSE()))))),1,0)</f>
        <v>0</v>
      </c>
      <c r="FP44" s="1" t="n">
        <f aca="false">IF(AND('Daily Workforce'!$N161="Y",'Daily Workforce'!$B161&lt;&gt;"",COUNTIF('Daily Schedule'!$F$5:$F47,'Daily Workforce'!$B161)=0,IF('Daily Schedule'!$A48=45,'Daily Workforce'!$J161="Y",IF(OR('Daily Schedule'!$A48=4,'Daily Schedule'!$A48=8),IF(OR(WEEKDAY('Daily Schedule'!$B$2,2)=1,WEEKDAY('Daily Schedule'!$B$2,2)=4,WEEKDAY('Daily Schedule'!$B$2,2)=5,WEEKDAY('Daily Schedule'!$B$2,2)=7),IFERROR(1*'Daily Workforce'!$K161&gt;=3,FALSE()),IFERROR(1*'Daily Workforce'!$K161&gt;=2,FALSE())),IF(AND('Daily Schedule'!$A48&gt;=46,'Daily Schedule'!$A48&lt;=52),'Daily Workforce'!$M161="Y",IFERROR(1*'Daily Workforce'!$P161&gt;=2,FALSE()))))),1,0)</f>
        <v>0</v>
      </c>
      <c r="FQ44" s="1" t="n">
        <f aca="false">IF(AND('Daily Workforce'!$N162="Y",'Daily Workforce'!$B162&lt;&gt;"",COUNTIF('Daily Schedule'!$F$5:$F47,'Daily Workforce'!$B162)=0,IF('Daily Schedule'!$A48=45,'Daily Workforce'!$J162="Y",IF(OR('Daily Schedule'!$A48=4,'Daily Schedule'!$A48=8),IF(OR(WEEKDAY('Daily Schedule'!$B$2,2)=1,WEEKDAY('Daily Schedule'!$B$2,2)=4,WEEKDAY('Daily Schedule'!$B$2,2)=5,WEEKDAY('Daily Schedule'!$B$2,2)=7),IFERROR(1*'Daily Workforce'!$K162&gt;=3,FALSE()),IFERROR(1*'Daily Workforce'!$K162&gt;=2,FALSE())),IF(AND('Daily Schedule'!$A48&gt;=46,'Daily Schedule'!$A48&lt;=52),'Daily Workforce'!$M162="Y",IFERROR(1*'Daily Workforce'!$P162&gt;=2,FALSE()))))),1,0)</f>
        <v>0</v>
      </c>
      <c r="FR44" s="1" t="n">
        <f aca="false">IF(AND('Daily Workforce'!$N163="Y",'Daily Workforce'!$B163&lt;&gt;"",COUNTIF('Daily Schedule'!$F$5:$F47,'Daily Workforce'!$B163)=0,IF('Daily Schedule'!$A48=45,'Daily Workforce'!$J163="Y",IF(OR('Daily Schedule'!$A48=4,'Daily Schedule'!$A48=8),IF(OR(WEEKDAY('Daily Schedule'!$B$2,2)=1,WEEKDAY('Daily Schedule'!$B$2,2)=4,WEEKDAY('Daily Schedule'!$B$2,2)=5,WEEKDAY('Daily Schedule'!$B$2,2)=7),IFERROR(1*'Daily Workforce'!$K163&gt;=3,FALSE()),IFERROR(1*'Daily Workforce'!$K163&gt;=2,FALSE())),IF(AND('Daily Schedule'!$A48&gt;=46,'Daily Schedule'!$A48&lt;=52),'Daily Workforce'!$M163="Y",IFERROR(1*'Daily Workforce'!$P163&gt;=2,FALSE()))))),1,0)</f>
        <v>0</v>
      </c>
      <c r="FS44" s="1" t="n">
        <f aca="false">IF(AND('Daily Workforce'!$N164="Y",'Daily Workforce'!$B164&lt;&gt;"",COUNTIF('Daily Schedule'!$F$5:$F47,'Daily Workforce'!$B164)=0,IF('Daily Schedule'!$A48=45,'Daily Workforce'!$J164="Y",IF(OR('Daily Schedule'!$A48=4,'Daily Schedule'!$A48=8),IF(OR(WEEKDAY('Daily Schedule'!$B$2,2)=1,WEEKDAY('Daily Schedule'!$B$2,2)=4,WEEKDAY('Daily Schedule'!$B$2,2)=5,WEEKDAY('Daily Schedule'!$B$2,2)=7),IFERROR(1*'Daily Workforce'!$K164&gt;=3,FALSE()),IFERROR(1*'Daily Workforce'!$K164&gt;=2,FALSE())),IF(AND('Daily Schedule'!$A48&gt;=46,'Daily Schedule'!$A48&lt;=52),'Daily Workforce'!$M164="Y",IFERROR(1*'Daily Workforce'!$P164&gt;=2,FALSE()))))),1,0)</f>
        <v>0</v>
      </c>
      <c r="FT44" s="1" t="n">
        <f aca="false">IF(AND('Daily Workforce'!$N165="Y",'Daily Workforce'!$B165&lt;&gt;"",COUNTIF('Daily Schedule'!$F$5:$F47,'Daily Workforce'!$B165)=0,IF('Daily Schedule'!$A48=45,'Daily Workforce'!$J165="Y",IF(OR('Daily Schedule'!$A48=4,'Daily Schedule'!$A48=8),IF(OR(WEEKDAY('Daily Schedule'!$B$2,2)=1,WEEKDAY('Daily Schedule'!$B$2,2)=4,WEEKDAY('Daily Schedule'!$B$2,2)=5,WEEKDAY('Daily Schedule'!$B$2,2)=7),IFERROR(1*'Daily Workforce'!$K165&gt;=3,FALSE()),IFERROR(1*'Daily Workforce'!$K165&gt;=2,FALSE())),IF(AND('Daily Schedule'!$A48&gt;=46,'Daily Schedule'!$A48&lt;=52),'Daily Workforce'!$M165="Y",IFERROR(1*'Daily Workforce'!$P165&gt;=2,FALSE()))))),1,0)</f>
        <v>0</v>
      </c>
      <c r="FU44" s="1" t="n">
        <f aca="false">IF(AND('Daily Workforce'!$N166="Y",'Daily Workforce'!$B166&lt;&gt;"",COUNTIF('Daily Schedule'!$F$5:$F47,'Daily Workforce'!$B166)=0,IF('Daily Schedule'!$A48=45,'Daily Workforce'!$J166="Y",IF(OR('Daily Schedule'!$A48=4,'Daily Schedule'!$A48=8),IF(OR(WEEKDAY('Daily Schedule'!$B$2,2)=1,WEEKDAY('Daily Schedule'!$B$2,2)=4,WEEKDAY('Daily Schedule'!$B$2,2)=5,WEEKDAY('Daily Schedule'!$B$2,2)=7),IFERROR(1*'Daily Workforce'!$K166&gt;=3,FALSE()),IFERROR(1*'Daily Workforce'!$K166&gt;=2,FALSE())),IF(AND('Daily Schedule'!$A48&gt;=46,'Daily Schedule'!$A48&lt;=52),'Daily Workforce'!$M166="Y",IFERROR(1*'Daily Workforce'!$P166&gt;=2,FALSE()))))),1,0)</f>
        <v>0</v>
      </c>
      <c r="FV44" s="1" t="n">
        <f aca="false">IF(AND('Daily Workforce'!$N167="Y",'Daily Workforce'!$B167&lt;&gt;"",COUNTIF('Daily Schedule'!$F$5:$F47,'Daily Workforce'!$B167)=0,IF('Daily Schedule'!$A48=45,'Daily Workforce'!$J167="Y",IF(OR('Daily Schedule'!$A48=4,'Daily Schedule'!$A48=8),IF(OR(WEEKDAY('Daily Schedule'!$B$2,2)=1,WEEKDAY('Daily Schedule'!$B$2,2)=4,WEEKDAY('Daily Schedule'!$B$2,2)=5,WEEKDAY('Daily Schedule'!$B$2,2)=7),IFERROR(1*'Daily Workforce'!$K167&gt;=3,FALSE()),IFERROR(1*'Daily Workforce'!$K167&gt;=2,FALSE())),IF(AND('Daily Schedule'!$A48&gt;=46,'Daily Schedule'!$A48&lt;=52),'Daily Workforce'!$M167="Y",IFERROR(1*'Daily Workforce'!$P167&gt;=2,FALSE()))))),1,0)</f>
        <v>0</v>
      </c>
      <c r="FW44" s="1" t="n">
        <f aca="false">IF(AND('Daily Workforce'!$N168="Y",'Daily Workforce'!$B168&lt;&gt;"",COUNTIF('Daily Schedule'!$F$5:$F47,'Daily Workforce'!$B168)=0,IF('Daily Schedule'!$A48=45,'Daily Workforce'!$J168="Y",IF(OR('Daily Schedule'!$A48=4,'Daily Schedule'!$A48=8),IF(OR(WEEKDAY('Daily Schedule'!$B$2,2)=1,WEEKDAY('Daily Schedule'!$B$2,2)=4,WEEKDAY('Daily Schedule'!$B$2,2)=5,WEEKDAY('Daily Schedule'!$B$2,2)=7),IFERROR(1*'Daily Workforce'!$K168&gt;=3,FALSE()),IFERROR(1*'Daily Workforce'!$K168&gt;=2,FALSE())),IF(AND('Daily Schedule'!$A48&gt;=46,'Daily Schedule'!$A48&lt;=52),'Daily Workforce'!$M168="Y",IFERROR(1*'Daily Workforce'!$P168&gt;=2,FALSE()))))),1,0)</f>
        <v>0</v>
      </c>
      <c r="FX44" s="1" t="n">
        <f aca="false">IF(AND('Daily Workforce'!$N169="Y",'Daily Workforce'!$B169&lt;&gt;"",COUNTIF('Daily Schedule'!$F$5:$F47,'Daily Workforce'!$B169)=0,IF('Daily Schedule'!$A48=45,'Daily Workforce'!$J169="Y",IF(OR('Daily Schedule'!$A48=4,'Daily Schedule'!$A48=8),IF(OR(WEEKDAY('Daily Schedule'!$B$2,2)=1,WEEKDAY('Daily Schedule'!$B$2,2)=4,WEEKDAY('Daily Schedule'!$B$2,2)=5,WEEKDAY('Daily Schedule'!$B$2,2)=7),IFERROR(1*'Daily Workforce'!$K169&gt;=3,FALSE()),IFERROR(1*'Daily Workforce'!$K169&gt;=2,FALSE())),IF(AND('Daily Schedule'!$A48&gt;=46,'Daily Schedule'!$A48&lt;=52),'Daily Workforce'!$M169="Y",IFERROR(1*'Daily Workforce'!$P169&gt;=2,FALSE()))))),1,0)</f>
        <v>0</v>
      </c>
      <c r="FY44" s="1" t="n">
        <f aca="false">IF(AND('Daily Workforce'!$N170="Y",'Daily Workforce'!$B170&lt;&gt;"",COUNTIF('Daily Schedule'!$F$5:$F47,'Daily Workforce'!$B170)=0,IF('Daily Schedule'!$A48=45,'Daily Workforce'!$J170="Y",IF(OR('Daily Schedule'!$A48=4,'Daily Schedule'!$A48=8),IF(OR(WEEKDAY('Daily Schedule'!$B$2,2)=1,WEEKDAY('Daily Schedule'!$B$2,2)=4,WEEKDAY('Daily Schedule'!$B$2,2)=5,WEEKDAY('Daily Schedule'!$B$2,2)=7),IFERROR(1*'Daily Workforce'!$K170&gt;=3,FALSE()),IFERROR(1*'Daily Workforce'!$K170&gt;=2,FALSE())),IF(AND('Daily Schedule'!$A48&gt;=46,'Daily Schedule'!$A48&lt;=52),'Daily Workforce'!$M170="Y",IFERROR(1*'Daily Workforce'!$P170&gt;=2,FALSE()))))),1,0)</f>
        <v>0</v>
      </c>
      <c r="FZ44" s="1" t="n">
        <f aca="false">IF(AND('Daily Workforce'!$N171="Y",'Daily Workforce'!$B171&lt;&gt;"",COUNTIF('Daily Schedule'!$F$5:$F47,'Daily Workforce'!$B171)=0,IF('Daily Schedule'!$A48=45,'Daily Workforce'!$J171="Y",IF(OR('Daily Schedule'!$A48=4,'Daily Schedule'!$A48=8),IF(OR(WEEKDAY('Daily Schedule'!$B$2,2)=1,WEEKDAY('Daily Schedule'!$B$2,2)=4,WEEKDAY('Daily Schedule'!$B$2,2)=5,WEEKDAY('Daily Schedule'!$B$2,2)=7),IFERROR(1*'Daily Workforce'!$K171&gt;=3,FALSE()),IFERROR(1*'Daily Workforce'!$K171&gt;=2,FALSE())),IF(AND('Daily Schedule'!$A48&gt;=46,'Daily Schedule'!$A48&lt;=52),'Daily Workforce'!$M171="Y",IFERROR(1*'Daily Workforce'!$P171&gt;=2,FALSE()))))),1,0)</f>
        <v>0</v>
      </c>
      <c r="GA44" s="1" t="n">
        <f aca="false">IF(AND('Daily Workforce'!$N172="Y",'Daily Workforce'!$B172&lt;&gt;"",COUNTIF('Daily Schedule'!$F$5:$F47,'Daily Workforce'!$B172)=0,IF('Daily Schedule'!$A48=45,'Daily Workforce'!$J172="Y",IF(OR('Daily Schedule'!$A48=4,'Daily Schedule'!$A48=8),IF(OR(WEEKDAY('Daily Schedule'!$B$2,2)=1,WEEKDAY('Daily Schedule'!$B$2,2)=4,WEEKDAY('Daily Schedule'!$B$2,2)=5,WEEKDAY('Daily Schedule'!$B$2,2)=7),IFERROR(1*'Daily Workforce'!$K172&gt;=3,FALSE()),IFERROR(1*'Daily Workforce'!$K172&gt;=2,FALSE())),IF(AND('Daily Schedule'!$A48&gt;=46,'Daily Schedule'!$A48&lt;=52),'Daily Workforce'!$M172="Y",IFERROR(1*'Daily Workforce'!$P172&gt;=2,FALSE()))))),1,0)</f>
        <v>0</v>
      </c>
      <c r="GB44" s="1" t="n">
        <f aca="false">IF(AND('Daily Workforce'!$N173="Y",'Daily Workforce'!$B173&lt;&gt;"",COUNTIF('Daily Schedule'!$F$5:$F47,'Daily Workforce'!$B173)=0,IF('Daily Schedule'!$A48=45,'Daily Workforce'!$J173="Y",IF(OR('Daily Schedule'!$A48=4,'Daily Schedule'!$A48=8),IF(OR(WEEKDAY('Daily Schedule'!$B$2,2)=1,WEEKDAY('Daily Schedule'!$B$2,2)=4,WEEKDAY('Daily Schedule'!$B$2,2)=5,WEEKDAY('Daily Schedule'!$B$2,2)=7),IFERROR(1*'Daily Workforce'!$K173&gt;=3,FALSE()),IFERROR(1*'Daily Workforce'!$K173&gt;=2,FALSE())),IF(AND('Daily Schedule'!$A48&gt;=46,'Daily Schedule'!$A48&lt;=52),'Daily Workforce'!$M173="Y",IFERROR(1*'Daily Workforce'!$P173&gt;=2,FALSE()))))),1,0)</f>
        <v>0</v>
      </c>
      <c r="GC44" s="1" t="n">
        <f aca="false">IF(AND('Daily Workforce'!$N174="Y",'Daily Workforce'!$B174&lt;&gt;"",COUNTIF('Daily Schedule'!$F$5:$F47,'Daily Workforce'!$B174)=0,IF('Daily Schedule'!$A48=45,'Daily Workforce'!$J174="Y",IF(OR('Daily Schedule'!$A48=4,'Daily Schedule'!$A48=8),IF(OR(WEEKDAY('Daily Schedule'!$B$2,2)=1,WEEKDAY('Daily Schedule'!$B$2,2)=4,WEEKDAY('Daily Schedule'!$B$2,2)=5,WEEKDAY('Daily Schedule'!$B$2,2)=7),IFERROR(1*'Daily Workforce'!$K174&gt;=3,FALSE()),IFERROR(1*'Daily Workforce'!$K174&gt;=2,FALSE())),IF(AND('Daily Schedule'!$A48&gt;=46,'Daily Schedule'!$A48&lt;=52),'Daily Workforce'!$M174="Y",IFERROR(1*'Daily Workforce'!$P174&gt;=2,FALSE()))))),1,0)</f>
        <v>0</v>
      </c>
      <c r="GD44" s="1" t="n">
        <f aca="false">IF(AND('Daily Workforce'!$N175="Y",'Daily Workforce'!$B175&lt;&gt;"",COUNTIF('Daily Schedule'!$F$5:$F47,'Daily Workforce'!$B175)=0,IF('Daily Schedule'!$A48=45,'Daily Workforce'!$J175="Y",IF(OR('Daily Schedule'!$A48=4,'Daily Schedule'!$A48=8),IF(OR(WEEKDAY('Daily Schedule'!$B$2,2)=1,WEEKDAY('Daily Schedule'!$B$2,2)=4,WEEKDAY('Daily Schedule'!$B$2,2)=5,WEEKDAY('Daily Schedule'!$B$2,2)=7),IFERROR(1*'Daily Workforce'!$K175&gt;=3,FALSE()),IFERROR(1*'Daily Workforce'!$K175&gt;=2,FALSE())),IF(AND('Daily Schedule'!$A48&gt;=46,'Daily Schedule'!$A48&lt;=52),'Daily Workforce'!$M175="Y",IFERROR(1*'Daily Workforce'!$P175&gt;=2,FALSE()))))),1,0)</f>
        <v>0</v>
      </c>
      <c r="GE44" s="1" t="n">
        <f aca="false">IF(AND('Daily Workforce'!$N176="Y",'Daily Workforce'!$B176&lt;&gt;"",COUNTIF('Daily Schedule'!$F$5:$F47,'Daily Workforce'!$B176)=0,IF('Daily Schedule'!$A48=45,'Daily Workforce'!$J176="Y",IF(OR('Daily Schedule'!$A48=4,'Daily Schedule'!$A48=8),IF(OR(WEEKDAY('Daily Schedule'!$B$2,2)=1,WEEKDAY('Daily Schedule'!$B$2,2)=4,WEEKDAY('Daily Schedule'!$B$2,2)=5,WEEKDAY('Daily Schedule'!$B$2,2)=7),IFERROR(1*'Daily Workforce'!$K176&gt;=3,FALSE()),IFERROR(1*'Daily Workforce'!$K176&gt;=2,FALSE())),IF(AND('Daily Schedule'!$A48&gt;=46,'Daily Schedule'!$A48&lt;=52),'Daily Workforce'!$M176="Y",IFERROR(1*'Daily Workforce'!$P176&gt;=2,FALSE()))))),1,0)</f>
        <v>0</v>
      </c>
      <c r="GF44" s="1" t="n">
        <f aca="false">IF(AND('Daily Workforce'!$N177="Y",'Daily Workforce'!$B177&lt;&gt;"",COUNTIF('Daily Schedule'!$F$5:$F47,'Daily Workforce'!$B177)=0,IF('Daily Schedule'!$A48=45,'Daily Workforce'!$J177="Y",IF(OR('Daily Schedule'!$A48=4,'Daily Schedule'!$A48=8),IF(OR(WEEKDAY('Daily Schedule'!$B$2,2)=1,WEEKDAY('Daily Schedule'!$B$2,2)=4,WEEKDAY('Daily Schedule'!$B$2,2)=5,WEEKDAY('Daily Schedule'!$B$2,2)=7),IFERROR(1*'Daily Workforce'!$K177&gt;=3,FALSE()),IFERROR(1*'Daily Workforce'!$K177&gt;=2,FALSE())),IF(AND('Daily Schedule'!$A48&gt;=46,'Daily Schedule'!$A48&lt;=52),'Daily Workforce'!$M177="Y",IFERROR(1*'Daily Workforce'!$P177&gt;=2,FALSE()))))),1,0)</f>
        <v>0</v>
      </c>
      <c r="GG44" s="1" t="n">
        <f aca="false">IF(AND('Daily Workforce'!$N178="Y",'Daily Workforce'!$B178&lt;&gt;"",COUNTIF('Daily Schedule'!$F$5:$F47,'Daily Workforce'!$B178)=0,IF('Daily Schedule'!$A48=45,'Daily Workforce'!$J178="Y",IF(OR('Daily Schedule'!$A48=4,'Daily Schedule'!$A48=8),IF(OR(WEEKDAY('Daily Schedule'!$B$2,2)=1,WEEKDAY('Daily Schedule'!$B$2,2)=4,WEEKDAY('Daily Schedule'!$B$2,2)=5,WEEKDAY('Daily Schedule'!$B$2,2)=7),IFERROR(1*'Daily Workforce'!$K178&gt;=3,FALSE()),IFERROR(1*'Daily Workforce'!$K178&gt;=2,FALSE())),IF(AND('Daily Schedule'!$A48&gt;=46,'Daily Schedule'!$A48&lt;=52),'Daily Workforce'!$M178="Y",IFERROR(1*'Daily Workforce'!$P178&gt;=2,FALSE()))))),1,0)</f>
        <v>0</v>
      </c>
      <c r="GH44" s="1" t="n">
        <f aca="false">IF(AND('Daily Workforce'!$N179="Y",'Daily Workforce'!$B179&lt;&gt;"",COUNTIF('Daily Schedule'!$F$5:$F47,'Daily Workforce'!$B179)=0,IF('Daily Schedule'!$A48=45,'Daily Workforce'!$J179="Y",IF(OR('Daily Schedule'!$A48=4,'Daily Schedule'!$A48=8),IF(OR(WEEKDAY('Daily Schedule'!$B$2,2)=1,WEEKDAY('Daily Schedule'!$B$2,2)=4,WEEKDAY('Daily Schedule'!$B$2,2)=5,WEEKDAY('Daily Schedule'!$B$2,2)=7),IFERROR(1*'Daily Workforce'!$K179&gt;=3,FALSE()),IFERROR(1*'Daily Workforce'!$K179&gt;=2,FALSE())),IF(AND('Daily Schedule'!$A48&gt;=46,'Daily Schedule'!$A48&lt;=52),'Daily Workforce'!$M179="Y",IFERROR(1*'Daily Workforce'!$P179&gt;=2,FALSE()))))),1,0)</f>
        <v>0</v>
      </c>
      <c r="GI44" s="1" t="n">
        <f aca="false">IF(AND('Daily Workforce'!$N180="Y",'Daily Workforce'!$B180&lt;&gt;"",COUNTIF('Daily Schedule'!$F$5:$F47,'Daily Workforce'!$B180)=0,IF('Daily Schedule'!$A48=45,'Daily Workforce'!$J180="Y",IF(OR('Daily Schedule'!$A48=4,'Daily Schedule'!$A48=8),IF(OR(WEEKDAY('Daily Schedule'!$B$2,2)=1,WEEKDAY('Daily Schedule'!$B$2,2)=4,WEEKDAY('Daily Schedule'!$B$2,2)=5,WEEKDAY('Daily Schedule'!$B$2,2)=7),IFERROR(1*'Daily Workforce'!$K180&gt;=3,FALSE()),IFERROR(1*'Daily Workforce'!$K180&gt;=2,FALSE())),IF(AND('Daily Schedule'!$A48&gt;=46,'Daily Schedule'!$A48&lt;=52),'Daily Workforce'!$M180="Y",IFERROR(1*'Daily Workforce'!$P180&gt;=2,FALSE()))))),1,0)</f>
        <v>0</v>
      </c>
      <c r="GJ44" s="1" t="n">
        <f aca="false">IF(AND('Daily Workforce'!$N181="Y",'Daily Workforce'!$B181&lt;&gt;"",COUNTIF('Daily Schedule'!$F$5:$F47,'Daily Workforce'!$B181)=0,IF('Daily Schedule'!$A48=45,'Daily Workforce'!$J181="Y",IF(OR('Daily Schedule'!$A48=4,'Daily Schedule'!$A48=8),IF(OR(WEEKDAY('Daily Schedule'!$B$2,2)=1,WEEKDAY('Daily Schedule'!$B$2,2)=4,WEEKDAY('Daily Schedule'!$B$2,2)=5,WEEKDAY('Daily Schedule'!$B$2,2)=7),IFERROR(1*'Daily Workforce'!$K181&gt;=3,FALSE()),IFERROR(1*'Daily Workforce'!$K181&gt;=2,FALSE())),IF(AND('Daily Schedule'!$A48&gt;=46,'Daily Schedule'!$A48&lt;=52),'Daily Workforce'!$M181="Y",IFERROR(1*'Daily Workforce'!$P181&gt;=2,FALSE()))))),1,0)</f>
        <v>0</v>
      </c>
      <c r="GK44" s="1" t="n">
        <f aca="false">IF(AND('Daily Workforce'!$N182="Y",'Daily Workforce'!$B182&lt;&gt;"",COUNTIF('Daily Schedule'!$F$5:$F47,'Daily Workforce'!$B182)=0,IF('Daily Schedule'!$A48=45,'Daily Workforce'!$J182="Y",IF(OR('Daily Schedule'!$A48=4,'Daily Schedule'!$A48=8),IF(OR(WEEKDAY('Daily Schedule'!$B$2,2)=1,WEEKDAY('Daily Schedule'!$B$2,2)=4,WEEKDAY('Daily Schedule'!$B$2,2)=5,WEEKDAY('Daily Schedule'!$B$2,2)=7),IFERROR(1*'Daily Workforce'!$K182&gt;=3,FALSE()),IFERROR(1*'Daily Workforce'!$K182&gt;=2,FALSE())),IF(AND('Daily Schedule'!$A48&gt;=46,'Daily Schedule'!$A48&lt;=52),'Daily Workforce'!$M182="Y",IFERROR(1*'Daily Workforce'!$P182&gt;=2,FALSE()))))),1,0)</f>
        <v>0</v>
      </c>
      <c r="GL44" s="1" t="n">
        <f aca="false">IF(AND('Daily Workforce'!$N183="Y",'Daily Workforce'!$B183&lt;&gt;"",COUNTIF('Daily Schedule'!$F$5:$F47,'Daily Workforce'!$B183)=0,IF('Daily Schedule'!$A48=45,'Daily Workforce'!$J183="Y",IF(OR('Daily Schedule'!$A48=4,'Daily Schedule'!$A48=8),IF(OR(WEEKDAY('Daily Schedule'!$B$2,2)=1,WEEKDAY('Daily Schedule'!$B$2,2)=4,WEEKDAY('Daily Schedule'!$B$2,2)=5,WEEKDAY('Daily Schedule'!$B$2,2)=7),IFERROR(1*'Daily Workforce'!$K183&gt;=3,FALSE()),IFERROR(1*'Daily Workforce'!$K183&gt;=2,FALSE())),IF(AND('Daily Schedule'!$A48&gt;=46,'Daily Schedule'!$A48&lt;=52),'Daily Workforce'!$M183="Y",IFERROR(1*'Daily Workforce'!$P183&gt;=2,FALSE()))))),1,0)</f>
        <v>0</v>
      </c>
      <c r="GM44" s="1" t="n">
        <f aca="false">IF(AND('Daily Workforce'!$N184="Y",'Daily Workforce'!$B184&lt;&gt;"",COUNTIF('Daily Schedule'!$F$5:$F47,'Daily Workforce'!$B184)=0,IF('Daily Schedule'!$A48=45,'Daily Workforce'!$J184="Y",IF(OR('Daily Schedule'!$A48=4,'Daily Schedule'!$A48=8),IF(OR(WEEKDAY('Daily Schedule'!$B$2,2)=1,WEEKDAY('Daily Schedule'!$B$2,2)=4,WEEKDAY('Daily Schedule'!$B$2,2)=5,WEEKDAY('Daily Schedule'!$B$2,2)=7),IFERROR(1*'Daily Workforce'!$K184&gt;=3,FALSE()),IFERROR(1*'Daily Workforce'!$K184&gt;=2,FALSE())),IF(AND('Daily Schedule'!$A48&gt;=46,'Daily Schedule'!$A48&lt;=52),'Daily Workforce'!$M184="Y",IFERROR(1*'Daily Workforce'!$P184&gt;=2,FALSE()))))),1,0)</f>
        <v>0</v>
      </c>
      <c r="GN44" s="1" t="n">
        <f aca="false">IF(AND('Daily Workforce'!$N185="Y",'Daily Workforce'!$B185&lt;&gt;"",COUNTIF('Daily Schedule'!$F$5:$F47,'Daily Workforce'!$B185)=0,IF('Daily Schedule'!$A48=45,'Daily Workforce'!$J185="Y",IF(OR('Daily Schedule'!$A48=4,'Daily Schedule'!$A48=8),IF(OR(WEEKDAY('Daily Schedule'!$B$2,2)=1,WEEKDAY('Daily Schedule'!$B$2,2)=4,WEEKDAY('Daily Schedule'!$B$2,2)=5,WEEKDAY('Daily Schedule'!$B$2,2)=7),IFERROR(1*'Daily Workforce'!$K185&gt;=3,FALSE()),IFERROR(1*'Daily Workforce'!$K185&gt;=2,FALSE())),IF(AND('Daily Schedule'!$A48&gt;=46,'Daily Schedule'!$A48&lt;=52),'Daily Workforce'!$M185="Y",IFERROR(1*'Daily Workforce'!$P185&gt;=2,FALSE()))))),1,0)</f>
        <v>0</v>
      </c>
      <c r="GO44" s="1" t="n">
        <f aca="false">IF(AND('Daily Workforce'!$N186="Y",'Daily Workforce'!$B186&lt;&gt;"",COUNTIF('Daily Schedule'!$F$5:$F47,'Daily Workforce'!$B186)=0,IF('Daily Schedule'!$A48=45,'Daily Workforce'!$J186="Y",IF(OR('Daily Schedule'!$A48=4,'Daily Schedule'!$A48=8),IF(OR(WEEKDAY('Daily Schedule'!$B$2,2)=1,WEEKDAY('Daily Schedule'!$B$2,2)=4,WEEKDAY('Daily Schedule'!$B$2,2)=5,WEEKDAY('Daily Schedule'!$B$2,2)=7),IFERROR(1*'Daily Workforce'!$K186&gt;=3,FALSE()),IFERROR(1*'Daily Workforce'!$K186&gt;=2,FALSE())),IF(AND('Daily Schedule'!$A48&gt;=46,'Daily Schedule'!$A48&lt;=52),'Daily Workforce'!$M186="Y",IFERROR(1*'Daily Workforce'!$P186&gt;=2,FALSE()))))),1,0)</f>
        <v>0</v>
      </c>
      <c r="GP44" s="1" t="n">
        <f aca="false">IF(AND('Daily Workforce'!$N187="Y",'Daily Workforce'!$B187&lt;&gt;"",COUNTIF('Daily Schedule'!$F$5:$F47,'Daily Workforce'!$B187)=0,IF('Daily Schedule'!$A48=45,'Daily Workforce'!$J187="Y",IF(OR('Daily Schedule'!$A48=4,'Daily Schedule'!$A48=8),IF(OR(WEEKDAY('Daily Schedule'!$B$2,2)=1,WEEKDAY('Daily Schedule'!$B$2,2)=4,WEEKDAY('Daily Schedule'!$B$2,2)=5,WEEKDAY('Daily Schedule'!$B$2,2)=7),IFERROR(1*'Daily Workforce'!$K187&gt;=3,FALSE()),IFERROR(1*'Daily Workforce'!$K187&gt;=2,FALSE())),IF(AND('Daily Schedule'!$A48&gt;=46,'Daily Schedule'!$A48&lt;=52),'Daily Workforce'!$M187="Y",IFERROR(1*'Daily Workforce'!$P187&gt;=2,FALSE()))))),1,0)</f>
        <v>0</v>
      </c>
      <c r="GQ44" s="1" t="n">
        <f aca="false">IF(AND('Daily Workforce'!$N188="Y",'Daily Workforce'!$B188&lt;&gt;"",COUNTIF('Daily Schedule'!$F$5:$F47,'Daily Workforce'!$B188)=0,IF('Daily Schedule'!$A48=45,'Daily Workforce'!$J188="Y",IF(OR('Daily Schedule'!$A48=4,'Daily Schedule'!$A48=8),IF(OR(WEEKDAY('Daily Schedule'!$B$2,2)=1,WEEKDAY('Daily Schedule'!$B$2,2)=4,WEEKDAY('Daily Schedule'!$B$2,2)=5,WEEKDAY('Daily Schedule'!$B$2,2)=7),IFERROR(1*'Daily Workforce'!$K188&gt;=3,FALSE()),IFERROR(1*'Daily Workforce'!$K188&gt;=2,FALSE())),IF(AND('Daily Schedule'!$A48&gt;=46,'Daily Schedule'!$A48&lt;=52),'Daily Workforce'!$M188="Y",IFERROR(1*'Daily Workforce'!$P188&gt;=2,FALSE()))))),1,0)</f>
        <v>0</v>
      </c>
      <c r="GR44" s="1" t="n">
        <f aca="false">IF(AND('Daily Workforce'!$N189="Y",'Daily Workforce'!$B189&lt;&gt;"",COUNTIF('Daily Schedule'!$F$5:$F47,'Daily Workforce'!$B189)=0,IF('Daily Schedule'!$A48=45,'Daily Workforce'!$J189="Y",IF(OR('Daily Schedule'!$A48=4,'Daily Schedule'!$A48=8),IF(OR(WEEKDAY('Daily Schedule'!$B$2,2)=1,WEEKDAY('Daily Schedule'!$B$2,2)=4,WEEKDAY('Daily Schedule'!$B$2,2)=5,WEEKDAY('Daily Schedule'!$B$2,2)=7),IFERROR(1*'Daily Workforce'!$K189&gt;=3,FALSE()),IFERROR(1*'Daily Workforce'!$K189&gt;=2,FALSE())),IF(AND('Daily Schedule'!$A48&gt;=46,'Daily Schedule'!$A48&lt;=52),'Daily Workforce'!$M189="Y",IFERROR(1*'Daily Workforce'!$P189&gt;=2,FALSE()))))),1,0)</f>
        <v>0</v>
      </c>
      <c r="GS44" s="1" t="n">
        <f aca="false">IF(AND('Daily Workforce'!$N190="Y",'Daily Workforce'!$B190&lt;&gt;"",COUNTIF('Daily Schedule'!$F$5:$F47,'Daily Workforce'!$B190)=0,IF('Daily Schedule'!$A48=45,'Daily Workforce'!$J190="Y",IF(OR('Daily Schedule'!$A48=4,'Daily Schedule'!$A48=8),IF(OR(WEEKDAY('Daily Schedule'!$B$2,2)=1,WEEKDAY('Daily Schedule'!$B$2,2)=4,WEEKDAY('Daily Schedule'!$B$2,2)=5,WEEKDAY('Daily Schedule'!$B$2,2)=7),IFERROR(1*'Daily Workforce'!$K190&gt;=3,FALSE()),IFERROR(1*'Daily Workforce'!$K190&gt;=2,FALSE())),IF(AND('Daily Schedule'!$A48&gt;=46,'Daily Schedule'!$A48&lt;=52),'Daily Workforce'!$M190="Y",IFERROR(1*'Daily Workforce'!$P190&gt;=2,FALSE()))))),1,0)</f>
        <v>0</v>
      </c>
      <c r="GT44" s="1" t="n">
        <f aca="false">IF(AND('Daily Workforce'!$N191="Y",'Daily Workforce'!$B191&lt;&gt;"",COUNTIF('Daily Schedule'!$F$5:$F47,'Daily Workforce'!$B191)=0,IF('Daily Schedule'!$A48=45,'Daily Workforce'!$J191="Y",IF(OR('Daily Schedule'!$A48=4,'Daily Schedule'!$A48=8),IF(OR(WEEKDAY('Daily Schedule'!$B$2,2)=1,WEEKDAY('Daily Schedule'!$B$2,2)=4,WEEKDAY('Daily Schedule'!$B$2,2)=5,WEEKDAY('Daily Schedule'!$B$2,2)=7),IFERROR(1*'Daily Workforce'!$K191&gt;=3,FALSE()),IFERROR(1*'Daily Workforce'!$K191&gt;=2,FALSE())),IF(AND('Daily Schedule'!$A48&gt;=46,'Daily Schedule'!$A48&lt;=52),'Daily Workforce'!$M191="Y",IFERROR(1*'Daily Workforce'!$P191&gt;=2,FALSE()))))),1,0)</f>
        <v>0</v>
      </c>
      <c r="GU44" s="1" t="n">
        <f aca="false">IF(AND('Daily Workforce'!$N192="Y",'Daily Workforce'!$B192&lt;&gt;"",COUNTIF('Daily Schedule'!$F$5:$F47,'Daily Workforce'!$B192)=0,IF('Daily Schedule'!$A48=45,'Daily Workforce'!$J192="Y",IF(OR('Daily Schedule'!$A48=4,'Daily Schedule'!$A48=8),IF(OR(WEEKDAY('Daily Schedule'!$B$2,2)=1,WEEKDAY('Daily Schedule'!$B$2,2)=4,WEEKDAY('Daily Schedule'!$B$2,2)=5,WEEKDAY('Daily Schedule'!$B$2,2)=7),IFERROR(1*'Daily Workforce'!$K192&gt;=3,FALSE()),IFERROR(1*'Daily Workforce'!$K192&gt;=2,FALSE())),IF(AND('Daily Schedule'!$A48&gt;=46,'Daily Schedule'!$A48&lt;=52),'Daily Workforce'!$M192="Y",IFERROR(1*'Daily Workforce'!$P192&gt;=2,FALSE()))))),1,0)</f>
        <v>0</v>
      </c>
      <c r="GV44" s="1" t="n">
        <f aca="false">IF(AND('Daily Workforce'!$N193="Y",'Daily Workforce'!$B193&lt;&gt;"",COUNTIF('Daily Schedule'!$F$5:$F47,'Daily Workforce'!$B193)=0,IF('Daily Schedule'!$A48=45,'Daily Workforce'!$J193="Y",IF(OR('Daily Schedule'!$A48=4,'Daily Schedule'!$A48=8),IF(OR(WEEKDAY('Daily Schedule'!$B$2,2)=1,WEEKDAY('Daily Schedule'!$B$2,2)=4,WEEKDAY('Daily Schedule'!$B$2,2)=5,WEEKDAY('Daily Schedule'!$B$2,2)=7),IFERROR(1*'Daily Workforce'!$K193&gt;=3,FALSE()),IFERROR(1*'Daily Workforce'!$K193&gt;=2,FALSE())),IF(AND('Daily Schedule'!$A48&gt;=46,'Daily Schedule'!$A48&lt;=52),'Daily Workforce'!$M193="Y",IFERROR(1*'Daily Workforce'!$P193&gt;=2,FALSE()))))),1,0)</f>
        <v>0</v>
      </c>
      <c r="GW44" s="1" t="n">
        <f aca="false">IF(AND('Daily Workforce'!$N194="Y",'Daily Workforce'!$B194&lt;&gt;"",COUNTIF('Daily Schedule'!$F$5:$F47,'Daily Workforce'!$B194)=0,IF('Daily Schedule'!$A48=45,'Daily Workforce'!$J194="Y",IF(OR('Daily Schedule'!$A48=4,'Daily Schedule'!$A48=8),IF(OR(WEEKDAY('Daily Schedule'!$B$2,2)=1,WEEKDAY('Daily Schedule'!$B$2,2)=4,WEEKDAY('Daily Schedule'!$B$2,2)=5,WEEKDAY('Daily Schedule'!$B$2,2)=7),IFERROR(1*'Daily Workforce'!$K194&gt;=3,FALSE()),IFERROR(1*'Daily Workforce'!$K194&gt;=2,FALSE())),IF(AND('Daily Schedule'!$A48&gt;=46,'Daily Schedule'!$A48&lt;=52),'Daily Workforce'!$M194="Y",IFERROR(1*'Daily Workforce'!$P194&gt;=2,FALSE()))))),1,0)</f>
        <v>0</v>
      </c>
      <c r="GX44" s="1" t="n">
        <f aca="false">IF(AND('Daily Workforce'!$N195="Y",'Daily Workforce'!$B195&lt;&gt;"",COUNTIF('Daily Schedule'!$F$5:$F47,'Daily Workforce'!$B195)=0,IF('Daily Schedule'!$A48=45,'Daily Workforce'!$J195="Y",IF(OR('Daily Schedule'!$A48=4,'Daily Schedule'!$A48=8),IF(OR(WEEKDAY('Daily Schedule'!$B$2,2)=1,WEEKDAY('Daily Schedule'!$B$2,2)=4,WEEKDAY('Daily Schedule'!$B$2,2)=5,WEEKDAY('Daily Schedule'!$B$2,2)=7),IFERROR(1*'Daily Workforce'!$K195&gt;=3,FALSE()),IFERROR(1*'Daily Workforce'!$K195&gt;=2,FALSE())),IF(AND('Daily Schedule'!$A48&gt;=46,'Daily Schedule'!$A48&lt;=52),'Daily Workforce'!$M195="Y",IFERROR(1*'Daily Workforce'!$P195&gt;=2,FALSE()))))),1,0)</f>
        <v>0</v>
      </c>
      <c r="GY44" s="1" t="n">
        <f aca="false">IF(AND('Daily Workforce'!$N196="Y",'Daily Workforce'!$B196&lt;&gt;"",COUNTIF('Daily Schedule'!$F$5:$F47,'Daily Workforce'!$B196)=0,IF('Daily Schedule'!$A48=45,'Daily Workforce'!$J196="Y",IF(OR('Daily Schedule'!$A48=4,'Daily Schedule'!$A48=8),IF(OR(WEEKDAY('Daily Schedule'!$B$2,2)=1,WEEKDAY('Daily Schedule'!$B$2,2)=4,WEEKDAY('Daily Schedule'!$B$2,2)=5,WEEKDAY('Daily Schedule'!$B$2,2)=7),IFERROR(1*'Daily Workforce'!$K196&gt;=3,FALSE()),IFERROR(1*'Daily Workforce'!$K196&gt;=2,FALSE())),IF(AND('Daily Schedule'!$A48&gt;=46,'Daily Schedule'!$A48&lt;=52),'Daily Workforce'!$M196="Y",IFERROR(1*'Daily Workforce'!$P196&gt;=2,FALSE()))))),1,0)</f>
        <v>0</v>
      </c>
      <c r="GZ44" s="1" t="n">
        <f aca="false">IF(AND('Daily Workforce'!$N197="Y",'Daily Workforce'!$B197&lt;&gt;"",COUNTIF('Daily Schedule'!$F$5:$F47,'Daily Workforce'!$B197)=0,IF('Daily Schedule'!$A48=45,'Daily Workforce'!$J197="Y",IF(OR('Daily Schedule'!$A48=4,'Daily Schedule'!$A48=8),IF(OR(WEEKDAY('Daily Schedule'!$B$2,2)=1,WEEKDAY('Daily Schedule'!$B$2,2)=4,WEEKDAY('Daily Schedule'!$B$2,2)=5,WEEKDAY('Daily Schedule'!$B$2,2)=7),IFERROR(1*'Daily Workforce'!$K197&gt;=3,FALSE()),IFERROR(1*'Daily Workforce'!$K197&gt;=2,FALSE())),IF(AND('Daily Schedule'!$A48&gt;=46,'Daily Schedule'!$A48&lt;=52),'Daily Workforce'!$M197="Y",IFERROR(1*'Daily Workforce'!$P197&gt;=2,FALSE()))))),1,0)</f>
        <v>0</v>
      </c>
      <c r="HA44" s="1" t="n">
        <f aca="false">IF(AND('Daily Workforce'!$N198="Y",'Daily Workforce'!$B198&lt;&gt;"",COUNTIF('Daily Schedule'!$F$5:$F47,'Daily Workforce'!$B198)=0,IF('Daily Schedule'!$A48=45,'Daily Workforce'!$J198="Y",IF(OR('Daily Schedule'!$A48=4,'Daily Schedule'!$A48=8),IF(OR(WEEKDAY('Daily Schedule'!$B$2,2)=1,WEEKDAY('Daily Schedule'!$B$2,2)=4,WEEKDAY('Daily Schedule'!$B$2,2)=5,WEEKDAY('Daily Schedule'!$B$2,2)=7),IFERROR(1*'Daily Workforce'!$K198&gt;=3,FALSE()),IFERROR(1*'Daily Workforce'!$K198&gt;=2,FALSE())),IF(AND('Daily Schedule'!$A48&gt;=46,'Daily Schedule'!$A48&lt;=52),'Daily Workforce'!$M198="Y",IFERROR(1*'Daily Workforce'!$P198&gt;=2,FALSE()))))),1,0)</f>
        <v>0</v>
      </c>
      <c r="HB44" s="1" t="n">
        <f aca="false">IF(AND('Daily Workforce'!$N199="Y",'Daily Workforce'!$B199&lt;&gt;"",COUNTIF('Daily Schedule'!$F$5:$F47,'Daily Workforce'!$B199)=0,IF('Daily Schedule'!$A48=45,'Daily Workforce'!$J199="Y",IF(OR('Daily Schedule'!$A48=4,'Daily Schedule'!$A48=8),IF(OR(WEEKDAY('Daily Schedule'!$B$2,2)=1,WEEKDAY('Daily Schedule'!$B$2,2)=4,WEEKDAY('Daily Schedule'!$B$2,2)=5,WEEKDAY('Daily Schedule'!$B$2,2)=7),IFERROR(1*'Daily Workforce'!$K199&gt;=3,FALSE()),IFERROR(1*'Daily Workforce'!$K199&gt;=2,FALSE())),IF(AND('Daily Schedule'!$A48&gt;=46,'Daily Schedule'!$A48&lt;=52),'Daily Workforce'!$M199="Y",IFERROR(1*'Daily Workforce'!$P199&gt;=2,FALSE()))))),1,0)</f>
        <v>0</v>
      </c>
      <c r="HC44" s="1" t="n">
        <f aca="false">IF(AND('Daily Workforce'!$N200="Y",'Daily Workforce'!$B200&lt;&gt;"",COUNTIF('Daily Schedule'!$F$5:$F47,'Daily Workforce'!$B200)=0,IF('Daily Schedule'!$A48=45,'Daily Workforce'!$J200="Y",IF(OR('Daily Schedule'!$A48=4,'Daily Schedule'!$A48=8),IF(OR(WEEKDAY('Daily Schedule'!$B$2,2)=1,WEEKDAY('Daily Schedule'!$B$2,2)=4,WEEKDAY('Daily Schedule'!$B$2,2)=5,WEEKDAY('Daily Schedule'!$B$2,2)=7),IFERROR(1*'Daily Workforce'!$K200&gt;=3,FALSE()),IFERROR(1*'Daily Workforce'!$K200&gt;=2,FALSE())),IF(AND('Daily Schedule'!$A48&gt;=46,'Daily Schedule'!$A48&lt;=52),'Daily Workforce'!$M200="Y",IFERROR(1*'Daily Workforce'!$P200&gt;=2,FALSE()))))),1,0)</f>
        <v>0</v>
      </c>
      <c r="HD44" s="1" t="n">
        <f aca="false">IF(AND('Daily Workforce'!$N201="Y",'Daily Workforce'!$B201&lt;&gt;"",COUNTIF('Daily Schedule'!$F$5:$F47,'Daily Workforce'!$B201)=0,IF('Daily Schedule'!$A48=45,'Daily Workforce'!$J201="Y",IF(OR('Daily Schedule'!$A48=4,'Daily Schedule'!$A48=8),IF(OR(WEEKDAY('Daily Schedule'!$B$2,2)=1,WEEKDAY('Daily Schedule'!$B$2,2)=4,WEEKDAY('Daily Schedule'!$B$2,2)=5,WEEKDAY('Daily Schedule'!$B$2,2)=7),IFERROR(1*'Daily Workforce'!$K201&gt;=3,FALSE()),IFERROR(1*'Daily Workforce'!$K201&gt;=2,FALSE())),IF(AND('Daily Schedule'!$A48&gt;=46,'Daily Schedule'!$A48&lt;=52),'Daily Workforce'!$M201="Y",IFERROR(1*'Daily Workforce'!$P201&gt;=2,FALSE()))))),1,0)</f>
        <v>0</v>
      </c>
      <c r="HE44" s="1" t="n">
        <f aca="false">IF(AND('Daily Workforce'!$N202="Y",'Daily Workforce'!$B202&lt;&gt;"",COUNTIF('Daily Schedule'!$F$5:$F47,'Daily Workforce'!$B202)=0,IF('Daily Schedule'!$A48=45,'Daily Workforce'!$J202="Y",IF(OR('Daily Schedule'!$A48=4,'Daily Schedule'!$A48=8),IF(OR(WEEKDAY('Daily Schedule'!$B$2,2)=1,WEEKDAY('Daily Schedule'!$B$2,2)=4,WEEKDAY('Daily Schedule'!$B$2,2)=5,WEEKDAY('Daily Schedule'!$B$2,2)=7),IFERROR(1*'Daily Workforce'!$K202&gt;=3,FALSE()),IFERROR(1*'Daily Workforce'!$K202&gt;=2,FALSE())),IF(AND('Daily Schedule'!$A48&gt;=46,'Daily Schedule'!$A48&lt;=52),'Daily Workforce'!$M202="Y",IFERROR(1*'Daily Workforce'!$P202&gt;=2,FALSE()))))),1,0)</f>
        <v>0</v>
      </c>
      <c r="HF44" s="1" t="n">
        <f aca="false">IF(AND('Daily Workforce'!$N203="Y",'Daily Workforce'!$B203&lt;&gt;"",COUNTIF('Daily Schedule'!$F$5:$F47,'Daily Workforce'!$B203)=0,IF('Daily Schedule'!$A48=45,'Daily Workforce'!$J203="Y",IF(OR('Daily Schedule'!$A48=4,'Daily Schedule'!$A48=8),IF(OR(WEEKDAY('Daily Schedule'!$B$2,2)=1,WEEKDAY('Daily Schedule'!$B$2,2)=4,WEEKDAY('Daily Schedule'!$B$2,2)=5,WEEKDAY('Daily Schedule'!$B$2,2)=7),IFERROR(1*'Daily Workforce'!$K203&gt;=3,FALSE()),IFERROR(1*'Daily Workforce'!$K203&gt;=2,FALSE())),IF(AND('Daily Schedule'!$A48&gt;=46,'Daily Schedule'!$A48&lt;=52),'Daily Workforce'!$M203="Y",IFERROR(1*'Daily Workforce'!$P203&gt;=2,FALSE()))))),1,0)</f>
        <v>0</v>
      </c>
      <c r="HG44" s="1" t="n">
        <f aca="false">IF(AND('Daily Workforce'!$N204="Y",'Daily Workforce'!$B204&lt;&gt;"",COUNTIF('Daily Schedule'!$F$5:$F47,'Daily Workforce'!$B204)=0,IF('Daily Schedule'!$A48=45,'Daily Workforce'!$J204="Y",IF(OR('Daily Schedule'!$A48=4,'Daily Schedule'!$A48=8),IF(OR(WEEKDAY('Daily Schedule'!$B$2,2)=1,WEEKDAY('Daily Schedule'!$B$2,2)=4,WEEKDAY('Daily Schedule'!$B$2,2)=5,WEEKDAY('Daily Schedule'!$B$2,2)=7),IFERROR(1*'Daily Workforce'!$K204&gt;=3,FALSE()),IFERROR(1*'Daily Workforce'!$K204&gt;=2,FALSE())),IF(AND('Daily Schedule'!$A48&gt;=46,'Daily Schedule'!$A48&lt;=52),'Daily Workforce'!$M204="Y",IFERROR(1*'Daily Workforce'!$P204&gt;=2,FALSE()))))),1,0)</f>
        <v>0</v>
      </c>
      <c r="HH44" s="1" t="n">
        <f aca="false">IF(AND('Daily Workforce'!$N205="Y",'Daily Workforce'!$B205&lt;&gt;"",COUNTIF('Daily Schedule'!$F$5:$F47,'Daily Workforce'!$B205)=0,IF('Daily Schedule'!$A48=45,'Daily Workforce'!$J205="Y",IF(OR('Daily Schedule'!$A48=4,'Daily Schedule'!$A48=8),IF(OR(WEEKDAY('Daily Schedule'!$B$2,2)=1,WEEKDAY('Daily Schedule'!$B$2,2)=4,WEEKDAY('Daily Schedule'!$B$2,2)=5,WEEKDAY('Daily Schedule'!$B$2,2)=7),IFERROR(1*'Daily Workforce'!$K205&gt;=3,FALSE()),IFERROR(1*'Daily Workforce'!$K205&gt;=2,FALSE())),IF(AND('Daily Schedule'!$A48&gt;=46,'Daily Schedule'!$A48&lt;=52),'Daily Workforce'!$M205="Y",IFERROR(1*'Daily Workforce'!$P205&gt;=2,FALSE()))))),1,0)</f>
        <v>0</v>
      </c>
    </row>
    <row r="45" customFormat="false" ht="15" hidden="false" customHeight="true" outlineLevel="0" collapsed="false">
      <c r="L45" s="1" t="s">
        <v>818</v>
      </c>
      <c r="O45" s="1" t="n">
        <f aca="false">IF(AND('Employee Master'!$G45="Y",ISERROR(SEARCH(TEXT('Daily Workforce'!$B$2,"ddd"),'Employee Master'!$D45)),IF('Daily Workforce'!$E$2="",TRUE(),'Employee Master'!$I45='Daily Workforce'!$E$2)),'Employee Master'!$K45*1000+ROW()-1,"")</f>
        <v>1044</v>
      </c>
      <c r="P45" s="1" t="n">
        <f aca="false">IF($O45="","",COUNTIF($O$2:$O$159,"&lt;="&amp;$O45))</f>
        <v>5</v>
      </c>
      <c r="Q45" s="1" t="n">
        <f aca="false">IF(AND('Daily Workforce'!$N6="Y",'Daily Workforce'!$B6&lt;&gt;"",COUNTIF('Daily Schedule'!$F$5:$F48,'Daily Workforce'!$B6)=0,IF('Daily Schedule'!$A49=45,'Daily Workforce'!$J6="Y",IF(OR('Daily Schedule'!$A49=4,'Daily Schedule'!$A49=8),IF(OR(WEEKDAY('Daily Schedule'!$B$2,2)=1,WEEKDAY('Daily Schedule'!$B$2,2)=4,WEEKDAY('Daily Schedule'!$B$2,2)=5,WEEKDAY('Daily Schedule'!$B$2,2)=7),IFERROR(1*'Daily Workforce'!$K6&gt;=3,FALSE()),IFERROR(1*'Daily Workforce'!$K6&gt;=2,FALSE())),IF(AND('Daily Schedule'!$A49&gt;=46,'Daily Schedule'!$A49&lt;=52),'Daily Workforce'!$M6="Y",IFERROR(1*'Daily Workforce'!$P6&gt;=2,FALSE()))))),1,0)</f>
        <v>0</v>
      </c>
      <c r="R45" s="1" t="n">
        <f aca="false">IF(AND('Daily Workforce'!$N7="Y",'Daily Workforce'!$B7&lt;&gt;"",COUNTIF('Daily Schedule'!$F$5:$F48,'Daily Workforce'!$B7)=0,IF('Daily Schedule'!$A49=45,'Daily Workforce'!$J7="Y",IF(OR('Daily Schedule'!$A49=4,'Daily Schedule'!$A49=8),IF(OR(WEEKDAY('Daily Schedule'!$B$2,2)=1,WEEKDAY('Daily Schedule'!$B$2,2)=4,WEEKDAY('Daily Schedule'!$B$2,2)=5,WEEKDAY('Daily Schedule'!$B$2,2)=7),IFERROR(1*'Daily Workforce'!$K7&gt;=3,FALSE()),IFERROR(1*'Daily Workforce'!$K7&gt;=2,FALSE())),IF(AND('Daily Schedule'!$A49&gt;=46,'Daily Schedule'!$A49&lt;=52),'Daily Workforce'!$M7="Y",IFERROR(1*'Daily Workforce'!$P7&gt;=2,FALSE()))))),1,0)</f>
        <v>0</v>
      </c>
      <c r="S45" s="1" t="n">
        <f aca="false">IF(AND('Daily Workforce'!$N8="Y",'Daily Workforce'!$B8&lt;&gt;"",COUNTIF('Daily Schedule'!$F$5:$F48,'Daily Workforce'!$B8)=0,IF('Daily Schedule'!$A49=45,'Daily Workforce'!$J8="Y",IF(OR('Daily Schedule'!$A49=4,'Daily Schedule'!$A49=8),IF(OR(WEEKDAY('Daily Schedule'!$B$2,2)=1,WEEKDAY('Daily Schedule'!$B$2,2)=4,WEEKDAY('Daily Schedule'!$B$2,2)=5,WEEKDAY('Daily Schedule'!$B$2,2)=7),IFERROR(1*'Daily Workforce'!$K8&gt;=3,FALSE()),IFERROR(1*'Daily Workforce'!$K8&gt;=2,FALSE())),IF(AND('Daily Schedule'!$A49&gt;=46,'Daily Schedule'!$A49&lt;=52),'Daily Workforce'!$M8="Y",IFERROR(1*'Daily Workforce'!$P8&gt;=2,FALSE()))))),1,0)</f>
        <v>0</v>
      </c>
      <c r="T45" s="1" t="n">
        <f aca="false">IF(AND('Daily Workforce'!$N9="Y",'Daily Workforce'!$B9&lt;&gt;"",COUNTIF('Daily Schedule'!$F$5:$F48,'Daily Workforce'!$B9)=0,IF('Daily Schedule'!$A49=45,'Daily Workforce'!$J9="Y",IF(OR('Daily Schedule'!$A49=4,'Daily Schedule'!$A49=8),IF(OR(WEEKDAY('Daily Schedule'!$B$2,2)=1,WEEKDAY('Daily Schedule'!$B$2,2)=4,WEEKDAY('Daily Schedule'!$B$2,2)=5,WEEKDAY('Daily Schedule'!$B$2,2)=7),IFERROR(1*'Daily Workforce'!$K9&gt;=3,FALSE()),IFERROR(1*'Daily Workforce'!$K9&gt;=2,FALSE())),IF(AND('Daily Schedule'!$A49&gt;=46,'Daily Schedule'!$A49&lt;=52),'Daily Workforce'!$M9="Y",IFERROR(1*'Daily Workforce'!$P9&gt;=2,FALSE()))))),1,0)</f>
        <v>0</v>
      </c>
      <c r="U45" s="1" t="n">
        <f aca="false">IF(AND('Daily Workforce'!$N10="Y",'Daily Workforce'!$B10&lt;&gt;"",COUNTIF('Daily Schedule'!$F$5:$F48,'Daily Workforce'!$B10)=0,IF('Daily Schedule'!$A49=45,'Daily Workforce'!$J10="Y",IF(OR('Daily Schedule'!$A49=4,'Daily Schedule'!$A49=8),IF(OR(WEEKDAY('Daily Schedule'!$B$2,2)=1,WEEKDAY('Daily Schedule'!$B$2,2)=4,WEEKDAY('Daily Schedule'!$B$2,2)=5,WEEKDAY('Daily Schedule'!$B$2,2)=7),IFERROR(1*'Daily Workforce'!$K10&gt;=3,FALSE()),IFERROR(1*'Daily Workforce'!$K10&gt;=2,FALSE())),IF(AND('Daily Schedule'!$A49&gt;=46,'Daily Schedule'!$A49&lt;=52),'Daily Workforce'!$M10="Y",IFERROR(1*'Daily Workforce'!$P10&gt;=2,FALSE()))))),1,0)</f>
        <v>0</v>
      </c>
      <c r="V45" s="1" t="n">
        <f aca="false">IF(AND('Daily Workforce'!$N11="Y",'Daily Workforce'!$B11&lt;&gt;"",COUNTIF('Daily Schedule'!$F$5:$F48,'Daily Workforce'!$B11)=0,IF('Daily Schedule'!$A49=45,'Daily Workforce'!$J11="Y",IF(OR('Daily Schedule'!$A49=4,'Daily Schedule'!$A49=8),IF(OR(WEEKDAY('Daily Schedule'!$B$2,2)=1,WEEKDAY('Daily Schedule'!$B$2,2)=4,WEEKDAY('Daily Schedule'!$B$2,2)=5,WEEKDAY('Daily Schedule'!$B$2,2)=7),IFERROR(1*'Daily Workforce'!$K11&gt;=3,FALSE()),IFERROR(1*'Daily Workforce'!$K11&gt;=2,FALSE())),IF(AND('Daily Schedule'!$A49&gt;=46,'Daily Schedule'!$A49&lt;=52),'Daily Workforce'!$M11="Y",IFERROR(1*'Daily Workforce'!$P11&gt;=2,FALSE()))))),1,0)</f>
        <v>0</v>
      </c>
      <c r="W45" s="1" t="n">
        <f aca="false">IF(AND('Daily Workforce'!$N12="Y",'Daily Workforce'!$B12&lt;&gt;"",COUNTIF('Daily Schedule'!$F$5:$F48,'Daily Workforce'!$B12)=0,IF('Daily Schedule'!$A49=45,'Daily Workforce'!$J12="Y",IF(OR('Daily Schedule'!$A49=4,'Daily Schedule'!$A49=8),IF(OR(WEEKDAY('Daily Schedule'!$B$2,2)=1,WEEKDAY('Daily Schedule'!$B$2,2)=4,WEEKDAY('Daily Schedule'!$B$2,2)=5,WEEKDAY('Daily Schedule'!$B$2,2)=7),IFERROR(1*'Daily Workforce'!$K12&gt;=3,FALSE()),IFERROR(1*'Daily Workforce'!$K12&gt;=2,FALSE())),IF(AND('Daily Schedule'!$A49&gt;=46,'Daily Schedule'!$A49&lt;=52),'Daily Workforce'!$M12="Y",IFERROR(1*'Daily Workforce'!$P12&gt;=2,FALSE()))))),1,0)</f>
        <v>0</v>
      </c>
      <c r="X45" s="1" t="n">
        <f aca="false">IF(AND('Daily Workforce'!$N13="Y",'Daily Workforce'!$B13&lt;&gt;"",COUNTIF('Daily Schedule'!$F$5:$F48,'Daily Workforce'!$B13)=0,IF('Daily Schedule'!$A49=45,'Daily Workforce'!$J13="Y",IF(OR('Daily Schedule'!$A49=4,'Daily Schedule'!$A49=8),IF(OR(WEEKDAY('Daily Schedule'!$B$2,2)=1,WEEKDAY('Daily Schedule'!$B$2,2)=4,WEEKDAY('Daily Schedule'!$B$2,2)=5,WEEKDAY('Daily Schedule'!$B$2,2)=7),IFERROR(1*'Daily Workforce'!$K13&gt;=3,FALSE()),IFERROR(1*'Daily Workforce'!$K13&gt;=2,FALSE())),IF(AND('Daily Schedule'!$A49&gt;=46,'Daily Schedule'!$A49&lt;=52),'Daily Workforce'!$M13="Y",IFERROR(1*'Daily Workforce'!$P13&gt;=2,FALSE()))))),1,0)</f>
        <v>0</v>
      </c>
      <c r="Y45" s="1" t="n">
        <f aca="false">IF(AND('Daily Workforce'!$N14="Y",'Daily Workforce'!$B14&lt;&gt;"",COUNTIF('Daily Schedule'!$F$5:$F48,'Daily Workforce'!$B14)=0,IF('Daily Schedule'!$A49=45,'Daily Workforce'!$J14="Y",IF(OR('Daily Schedule'!$A49=4,'Daily Schedule'!$A49=8),IF(OR(WEEKDAY('Daily Schedule'!$B$2,2)=1,WEEKDAY('Daily Schedule'!$B$2,2)=4,WEEKDAY('Daily Schedule'!$B$2,2)=5,WEEKDAY('Daily Schedule'!$B$2,2)=7),IFERROR(1*'Daily Workforce'!$K14&gt;=3,FALSE()),IFERROR(1*'Daily Workforce'!$K14&gt;=2,FALSE())),IF(AND('Daily Schedule'!$A49&gt;=46,'Daily Schedule'!$A49&lt;=52),'Daily Workforce'!$M14="Y",IFERROR(1*'Daily Workforce'!$P14&gt;=2,FALSE()))))),1,0)</f>
        <v>0</v>
      </c>
      <c r="Z45" s="1" t="n">
        <f aca="false">IF(AND('Daily Workforce'!$N15="Y",'Daily Workforce'!$B15&lt;&gt;"",COUNTIF('Daily Schedule'!$F$5:$F48,'Daily Workforce'!$B15)=0,IF('Daily Schedule'!$A49=45,'Daily Workforce'!$J15="Y",IF(OR('Daily Schedule'!$A49=4,'Daily Schedule'!$A49=8),IF(OR(WEEKDAY('Daily Schedule'!$B$2,2)=1,WEEKDAY('Daily Schedule'!$B$2,2)=4,WEEKDAY('Daily Schedule'!$B$2,2)=5,WEEKDAY('Daily Schedule'!$B$2,2)=7),IFERROR(1*'Daily Workforce'!$K15&gt;=3,FALSE()),IFERROR(1*'Daily Workforce'!$K15&gt;=2,FALSE())),IF(AND('Daily Schedule'!$A49&gt;=46,'Daily Schedule'!$A49&lt;=52),'Daily Workforce'!$M15="Y",IFERROR(1*'Daily Workforce'!$P15&gt;=2,FALSE()))))),1,0)</f>
        <v>0</v>
      </c>
      <c r="AA45" s="1" t="n">
        <f aca="false">IF(AND('Daily Workforce'!$N16="Y",'Daily Workforce'!$B16&lt;&gt;"",COUNTIF('Daily Schedule'!$F$5:$F48,'Daily Workforce'!$B16)=0,IF('Daily Schedule'!$A49=45,'Daily Workforce'!$J16="Y",IF(OR('Daily Schedule'!$A49=4,'Daily Schedule'!$A49=8),IF(OR(WEEKDAY('Daily Schedule'!$B$2,2)=1,WEEKDAY('Daily Schedule'!$B$2,2)=4,WEEKDAY('Daily Schedule'!$B$2,2)=5,WEEKDAY('Daily Schedule'!$B$2,2)=7),IFERROR(1*'Daily Workforce'!$K16&gt;=3,FALSE()),IFERROR(1*'Daily Workforce'!$K16&gt;=2,FALSE())),IF(AND('Daily Schedule'!$A49&gt;=46,'Daily Schedule'!$A49&lt;=52),'Daily Workforce'!$M16="Y",IFERROR(1*'Daily Workforce'!$P16&gt;=2,FALSE()))))),1,0)</f>
        <v>0</v>
      </c>
      <c r="AB45" s="1" t="n">
        <f aca="false">IF(AND('Daily Workforce'!$N17="Y",'Daily Workforce'!$B17&lt;&gt;"",COUNTIF('Daily Schedule'!$F$5:$F48,'Daily Workforce'!$B17)=0,IF('Daily Schedule'!$A49=45,'Daily Workforce'!$J17="Y",IF(OR('Daily Schedule'!$A49=4,'Daily Schedule'!$A49=8),IF(OR(WEEKDAY('Daily Schedule'!$B$2,2)=1,WEEKDAY('Daily Schedule'!$B$2,2)=4,WEEKDAY('Daily Schedule'!$B$2,2)=5,WEEKDAY('Daily Schedule'!$B$2,2)=7),IFERROR(1*'Daily Workforce'!$K17&gt;=3,FALSE()),IFERROR(1*'Daily Workforce'!$K17&gt;=2,FALSE())),IF(AND('Daily Schedule'!$A49&gt;=46,'Daily Schedule'!$A49&lt;=52),'Daily Workforce'!$M17="Y",IFERROR(1*'Daily Workforce'!$P17&gt;=2,FALSE()))))),1,0)</f>
        <v>0</v>
      </c>
      <c r="AC45" s="1" t="n">
        <f aca="false">IF(AND('Daily Workforce'!$N18="Y",'Daily Workforce'!$B18&lt;&gt;"",COUNTIF('Daily Schedule'!$F$5:$F48,'Daily Workforce'!$B18)=0,IF('Daily Schedule'!$A49=45,'Daily Workforce'!$J18="Y",IF(OR('Daily Schedule'!$A49=4,'Daily Schedule'!$A49=8),IF(OR(WEEKDAY('Daily Schedule'!$B$2,2)=1,WEEKDAY('Daily Schedule'!$B$2,2)=4,WEEKDAY('Daily Schedule'!$B$2,2)=5,WEEKDAY('Daily Schedule'!$B$2,2)=7),IFERROR(1*'Daily Workforce'!$K18&gt;=3,FALSE()),IFERROR(1*'Daily Workforce'!$K18&gt;=2,FALSE())),IF(AND('Daily Schedule'!$A49&gt;=46,'Daily Schedule'!$A49&lt;=52),'Daily Workforce'!$M18="Y",IFERROR(1*'Daily Workforce'!$P18&gt;=2,FALSE()))))),1,0)</f>
        <v>0</v>
      </c>
      <c r="AD45" s="1" t="n">
        <f aca="false">IF(AND('Daily Workforce'!$N19="Y",'Daily Workforce'!$B19&lt;&gt;"",COUNTIF('Daily Schedule'!$F$5:$F48,'Daily Workforce'!$B19)=0,IF('Daily Schedule'!$A49=45,'Daily Workforce'!$J19="Y",IF(OR('Daily Schedule'!$A49=4,'Daily Schedule'!$A49=8),IF(OR(WEEKDAY('Daily Schedule'!$B$2,2)=1,WEEKDAY('Daily Schedule'!$B$2,2)=4,WEEKDAY('Daily Schedule'!$B$2,2)=5,WEEKDAY('Daily Schedule'!$B$2,2)=7),IFERROR(1*'Daily Workforce'!$K19&gt;=3,FALSE()),IFERROR(1*'Daily Workforce'!$K19&gt;=2,FALSE())),IF(AND('Daily Schedule'!$A49&gt;=46,'Daily Schedule'!$A49&lt;=52),'Daily Workforce'!$M19="Y",IFERROR(1*'Daily Workforce'!$P19&gt;=2,FALSE()))))),1,0)</f>
        <v>0</v>
      </c>
      <c r="AE45" s="1" t="n">
        <f aca="false">IF(AND('Daily Workforce'!$N20="Y",'Daily Workforce'!$B20&lt;&gt;"",COUNTIF('Daily Schedule'!$F$5:$F48,'Daily Workforce'!$B20)=0,IF('Daily Schedule'!$A49=45,'Daily Workforce'!$J20="Y",IF(OR('Daily Schedule'!$A49=4,'Daily Schedule'!$A49=8),IF(OR(WEEKDAY('Daily Schedule'!$B$2,2)=1,WEEKDAY('Daily Schedule'!$B$2,2)=4,WEEKDAY('Daily Schedule'!$B$2,2)=5,WEEKDAY('Daily Schedule'!$B$2,2)=7),IFERROR(1*'Daily Workforce'!$K20&gt;=3,FALSE()),IFERROR(1*'Daily Workforce'!$K20&gt;=2,FALSE())),IF(AND('Daily Schedule'!$A49&gt;=46,'Daily Schedule'!$A49&lt;=52),'Daily Workforce'!$M20="Y",IFERROR(1*'Daily Workforce'!$P20&gt;=2,FALSE()))))),1,0)</f>
        <v>0</v>
      </c>
      <c r="AF45" s="1" t="n">
        <f aca="false">IF(AND('Daily Workforce'!$N21="Y",'Daily Workforce'!$B21&lt;&gt;"",COUNTIF('Daily Schedule'!$F$5:$F48,'Daily Workforce'!$B21)=0,IF('Daily Schedule'!$A49=45,'Daily Workforce'!$J21="Y",IF(OR('Daily Schedule'!$A49=4,'Daily Schedule'!$A49=8),IF(OR(WEEKDAY('Daily Schedule'!$B$2,2)=1,WEEKDAY('Daily Schedule'!$B$2,2)=4,WEEKDAY('Daily Schedule'!$B$2,2)=5,WEEKDAY('Daily Schedule'!$B$2,2)=7),IFERROR(1*'Daily Workforce'!$K21&gt;=3,FALSE()),IFERROR(1*'Daily Workforce'!$K21&gt;=2,FALSE())),IF(AND('Daily Schedule'!$A49&gt;=46,'Daily Schedule'!$A49&lt;=52),'Daily Workforce'!$M21="Y",IFERROR(1*'Daily Workforce'!$P21&gt;=2,FALSE()))))),1,0)</f>
        <v>0</v>
      </c>
      <c r="AG45" s="1" t="n">
        <f aca="false">IF(AND('Daily Workforce'!$N22="Y",'Daily Workforce'!$B22&lt;&gt;"",COUNTIF('Daily Schedule'!$F$5:$F48,'Daily Workforce'!$B22)=0,IF('Daily Schedule'!$A49=45,'Daily Workforce'!$J22="Y",IF(OR('Daily Schedule'!$A49=4,'Daily Schedule'!$A49=8),IF(OR(WEEKDAY('Daily Schedule'!$B$2,2)=1,WEEKDAY('Daily Schedule'!$B$2,2)=4,WEEKDAY('Daily Schedule'!$B$2,2)=5,WEEKDAY('Daily Schedule'!$B$2,2)=7),IFERROR(1*'Daily Workforce'!$K22&gt;=3,FALSE()),IFERROR(1*'Daily Workforce'!$K22&gt;=2,FALSE())),IF(AND('Daily Schedule'!$A49&gt;=46,'Daily Schedule'!$A49&lt;=52),'Daily Workforce'!$M22="Y",IFERROR(1*'Daily Workforce'!$P22&gt;=2,FALSE()))))),1,0)</f>
        <v>0</v>
      </c>
      <c r="AH45" s="1" t="n">
        <f aca="false">IF(AND('Daily Workforce'!$N23="Y",'Daily Workforce'!$B23&lt;&gt;"",COUNTIF('Daily Schedule'!$F$5:$F48,'Daily Workforce'!$B23)=0,IF('Daily Schedule'!$A49=45,'Daily Workforce'!$J23="Y",IF(OR('Daily Schedule'!$A49=4,'Daily Schedule'!$A49=8),IF(OR(WEEKDAY('Daily Schedule'!$B$2,2)=1,WEEKDAY('Daily Schedule'!$B$2,2)=4,WEEKDAY('Daily Schedule'!$B$2,2)=5,WEEKDAY('Daily Schedule'!$B$2,2)=7),IFERROR(1*'Daily Workforce'!$K23&gt;=3,FALSE()),IFERROR(1*'Daily Workforce'!$K23&gt;=2,FALSE())),IF(AND('Daily Schedule'!$A49&gt;=46,'Daily Schedule'!$A49&lt;=52),'Daily Workforce'!$M23="Y",IFERROR(1*'Daily Workforce'!$P23&gt;=2,FALSE()))))),1,0)</f>
        <v>0</v>
      </c>
      <c r="AI45" s="1" t="n">
        <f aca="false">IF(AND('Daily Workforce'!$N24="Y",'Daily Workforce'!$B24&lt;&gt;"",COUNTIF('Daily Schedule'!$F$5:$F48,'Daily Workforce'!$B24)=0,IF('Daily Schedule'!$A49=45,'Daily Workforce'!$J24="Y",IF(OR('Daily Schedule'!$A49=4,'Daily Schedule'!$A49=8),IF(OR(WEEKDAY('Daily Schedule'!$B$2,2)=1,WEEKDAY('Daily Schedule'!$B$2,2)=4,WEEKDAY('Daily Schedule'!$B$2,2)=5,WEEKDAY('Daily Schedule'!$B$2,2)=7),IFERROR(1*'Daily Workforce'!$K24&gt;=3,FALSE()),IFERROR(1*'Daily Workforce'!$K24&gt;=2,FALSE())),IF(AND('Daily Schedule'!$A49&gt;=46,'Daily Schedule'!$A49&lt;=52),'Daily Workforce'!$M24="Y",IFERROR(1*'Daily Workforce'!$P24&gt;=2,FALSE()))))),1,0)</f>
        <v>0</v>
      </c>
      <c r="AJ45" s="1" t="n">
        <f aca="false">IF(AND('Daily Workforce'!$N25="Y",'Daily Workforce'!$B25&lt;&gt;"",COUNTIF('Daily Schedule'!$F$5:$F48,'Daily Workforce'!$B25)=0,IF('Daily Schedule'!$A49=45,'Daily Workforce'!$J25="Y",IF(OR('Daily Schedule'!$A49=4,'Daily Schedule'!$A49=8),IF(OR(WEEKDAY('Daily Schedule'!$B$2,2)=1,WEEKDAY('Daily Schedule'!$B$2,2)=4,WEEKDAY('Daily Schedule'!$B$2,2)=5,WEEKDAY('Daily Schedule'!$B$2,2)=7),IFERROR(1*'Daily Workforce'!$K25&gt;=3,FALSE()),IFERROR(1*'Daily Workforce'!$K25&gt;=2,FALSE())),IF(AND('Daily Schedule'!$A49&gt;=46,'Daily Schedule'!$A49&lt;=52),'Daily Workforce'!$M25="Y",IFERROR(1*'Daily Workforce'!$P25&gt;=2,FALSE()))))),1,0)</f>
        <v>0</v>
      </c>
      <c r="AK45" s="1" t="n">
        <f aca="false">IF(AND('Daily Workforce'!$N26="Y",'Daily Workforce'!$B26&lt;&gt;"",COUNTIF('Daily Schedule'!$F$5:$F48,'Daily Workforce'!$B26)=0,IF('Daily Schedule'!$A49=45,'Daily Workforce'!$J26="Y",IF(OR('Daily Schedule'!$A49=4,'Daily Schedule'!$A49=8),IF(OR(WEEKDAY('Daily Schedule'!$B$2,2)=1,WEEKDAY('Daily Schedule'!$B$2,2)=4,WEEKDAY('Daily Schedule'!$B$2,2)=5,WEEKDAY('Daily Schedule'!$B$2,2)=7),IFERROR(1*'Daily Workforce'!$K26&gt;=3,FALSE()),IFERROR(1*'Daily Workforce'!$K26&gt;=2,FALSE())),IF(AND('Daily Schedule'!$A49&gt;=46,'Daily Schedule'!$A49&lt;=52),'Daily Workforce'!$M26="Y",IFERROR(1*'Daily Workforce'!$P26&gt;=2,FALSE()))))),1,0)</f>
        <v>0</v>
      </c>
      <c r="AL45" s="1" t="n">
        <f aca="false">IF(AND('Daily Workforce'!$N27="Y",'Daily Workforce'!$B27&lt;&gt;"",COUNTIF('Daily Schedule'!$F$5:$F48,'Daily Workforce'!$B27)=0,IF('Daily Schedule'!$A49=45,'Daily Workforce'!$J27="Y",IF(OR('Daily Schedule'!$A49=4,'Daily Schedule'!$A49=8),IF(OR(WEEKDAY('Daily Schedule'!$B$2,2)=1,WEEKDAY('Daily Schedule'!$B$2,2)=4,WEEKDAY('Daily Schedule'!$B$2,2)=5,WEEKDAY('Daily Schedule'!$B$2,2)=7),IFERROR(1*'Daily Workforce'!$K27&gt;=3,FALSE()),IFERROR(1*'Daily Workforce'!$K27&gt;=2,FALSE())),IF(AND('Daily Schedule'!$A49&gt;=46,'Daily Schedule'!$A49&lt;=52),'Daily Workforce'!$M27="Y",IFERROR(1*'Daily Workforce'!$P27&gt;=2,FALSE()))))),1,0)</f>
        <v>0</v>
      </c>
      <c r="AM45" s="1" t="n">
        <f aca="false">IF(AND('Daily Workforce'!$N28="Y",'Daily Workforce'!$B28&lt;&gt;"",COUNTIF('Daily Schedule'!$F$5:$F48,'Daily Workforce'!$B28)=0,IF('Daily Schedule'!$A49=45,'Daily Workforce'!$J28="Y",IF(OR('Daily Schedule'!$A49=4,'Daily Schedule'!$A49=8),IF(OR(WEEKDAY('Daily Schedule'!$B$2,2)=1,WEEKDAY('Daily Schedule'!$B$2,2)=4,WEEKDAY('Daily Schedule'!$B$2,2)=5,WEEKDAY('Daily Schedule'!$B$2,2)=7),IFERROR(1*'Daily Workforce'!$K28&gt;=3,FALSE()),IFERROR(1*'Daily Workforce'!$K28&gt;=2,FALSE())),IF(AND('Daily Schedule'!$A49&gt;=46,'Daily Schedule'!$A49&lt;=52),'Daily Workforce'!$M28="Y",IFERROR(1*'Daily Workforce'!$P28&gt;=2,FALSE()))))),1,0)</f>
        <v>0</v>
      </c>
      <c r="AN45" s="1" t="n">
        <f aca="false">IF(AND('Daily Workforce'!$N29="Y",'Daily Workforce'!$B29&lt;&gt;"",COUNTIF('Daily Schedule'!$F$5:$F48,'Daily Workforce'!$B29)=0,IF('Daily Schedule'!$A49=45,'Daily Workforce'!$J29="Y",IF(OR('Daily Schedule'!$A49=4,'Daily Schedule'!$A49=8),IF(OR(WEEKDAY('Daily Schedule'!$B$2,2)=1,WEEKDAY('Daily Schedule'!$B$2,2)=4,WEEKDAY('Daily Schedule'!$B$2,2)=5,WEEKDAY('Daily Schedule'!$B$2,2)=7),IFERROR(1*'Daily Workforce'!$K29&gt;=3,FALSE()),IFERROR(1*'Daily Workforce'!$K29&gt;=2,FALSE())),IF(AND('Daily Schedule'!$A49&gt;=46,'Daily Schedule'!$A49&lt;=52),'Daily Workforce'!$M29="Y",IFERROR(1*'Daily Workforce'!$P29&gt;=2,FALSE()))))),1,0)</f>
        <v>0</v>
      </c>
      <c r="AO45" s="1" t="n">
        <f aca="false">IF(AND('Daily Workforce'!$N30="Y",'Daily Workforce'!$B30&lt;&gt;"",COUNTIF('Daily Schedule'!$F$5:$F48,'Daily Workforce'!$B30)=0,IF('Daily Schedule'!$A49=45,'Daily Workforce'!$J30="Y",IF(OR('Daily Schedule'!$A49=4,'Daily Schedule'!$A49=8),IF(OR(WEEKDAY('Daily Schedule'!$B$2,2)=1,WEEKDAY('Daily Schedule'!$B$2,2)=4,WEEKDAY('Daily Schedule'!$B$2,2)=5,WEEKDAY('Daily Schedule'!$B$2,2)=7),IFERROR(1*'Daily Workforce'!$K30&gt;=3,FALSE()),IFERROR(1*'Daily Workforce'!$K30&gt;=2,FALSE())),IF(AND('Daily Schedule'!$A49&gt;=46,'Daily Schedule'!$A49&lt;=52),'Daily Workforce'!$M30="Y",IFERROR(1*'Daily Workforce'!$P30&gt;=2,FALSE()))))),1,0)</f>
        <v>0</v>
      </c>
      <c r="AP45" s="1" t="n">
        <f aca="false">IF(AND('Daily Workforce'!$N31="Y",'Daily Workforce'!$B31&lt;&gt;"",COUNTIF('Daily Schedule'!$F$5:$F48,'Daily Workforce'!$B31)=0,IF('Daily Schedule'!$A49=45,'Daily Workforce'!$J31="Y",IF(OR('Daily Schedule'!$A49=4,'Daily Schedule'!$A49=8),IF(OR(WEEKDAY('Daily Schedule'!$B$2,2)=1,WEEKDAY('Daily Schedule'!$B$2,2)=4,WEEKDAY('Daily Schedule'!$B$2,2)=5,WEEKDAY('Daily Schedule'!$B$2,2)=7),IFERROR(1*'Daily Workforce'!$K31&gt;=3,FALSE()),IFERROR(1*'Daily Workforce'!$K31&gt;=2,FALSE())),IF(AND('Daily Schedule'!$A49&gt;=46,'Daily Schedule'!$A49&lt;=52),'Daily Workforce'!$M31="Y",IFERROR(1*'Daily Workforce'!$P31&gt;=2,FALSE()))))),1,0)</f>
        <v>0</v>
      </c>
      <c r="AQ45" s="1" t="n">
        <f aca="false">IF(AND('Daily Workforce'!$N32="Y",'Daily Workforce'!$B32&lt;&gt;"",COUNTIF('Daily Schedule'!$F$5:$F48,'Daily Workforce'!$B32)=0,IF('Daily Schedule'!$A49=45,'Daily Workforce'!$J32="Y",IF(OR('Daily Schedule'!$A49=4,'Daily Schedule'!$A49=8),IF(OR(WEEKDAY('Daily Schedule'!$B$2,2)=1,WEEKDAY('Daily Schedule'!$B$2,2)=4,WEEKDAY('Daily Schedule'!$B$2,2)=5,WEEKDAY('Daily Schedule'!$B$2,2)=7),IFERROR(1*'Daily Workforce'!$K32&gt;=3,FALSE()),IFERROR(1*'Daily Workforce'!$K32&gt;=2,FALSE())),IF(AND('Daily Schedule'!$A49&gt;=46,'Daily Schedule'!$A49&lt;=52),'Daily Workforce'!$M32="Y",IFERROR(1*'Daily Workforce'!$P32&gt;=2,FALSE()))))),1,0)</f>
        <v>0</v>
      </c>
      <c r="AR45" s="1" t="n">
        <f aca="false">IF(AND('Daily Workforce'!$N33="Y",'Daily Workforce'!$B33&lt;&gt;"",COUNTIF('Daily Schedule'!$F$5:$F48,'Daily Workforce'!$B33)=0,IF('Daily Schedule'!$A49=45,'Daily Workforce'!$J33="Y",IF(OR('Daily Schedule'!$A49=4,'Daily Schedule'!$A49=8),IF(OR(WEEKDAY('Daily Schedule'!$B$2,2)=1,WEEKDAY('Daily Schedule'!$B$2,2)=4,WEEKDAY('Daily Schedule'!$B$2,2)=5,WEEKDAY('Daily Schedule'!$B$2,2)=7),IFERROR(1*'Daily Workforce'!$K33&gt;=3,FALSE()),IFERROR(1*'Daily Workforce'!$K33&gt;=2,FALSE())),IF(AND('Daily Schedule'!$A49&gt;=46,'Daily Schedule'!$A49&lt;=52),'Daily Workforce'!$M33="Y",IFERROR(1*'Daily Workforce'!$P33&gt;=2,FALSE()))))),1,0)</f>
        <v>0</v>
      </c>
      <c r="AS45" s="1" t="n">
        <f aca="false">IF(AND('Daily Workforce'!$N34="Y",'Daily Workforce'!$B34&lt;&gt;"",COUNTIF('Daily Schedule'!$F$5:$F48,'Daily Workforce'!$B34)=0,IF('Daily Schedule'!$A49=45,'Daily Workforce'!$J34="Y",IF(OR('Daily Schedule'!$A49=4,'Daily Schedule'!$A49=8),IF(OR(WEEKDAY('Daily Schedule'!$B$2,2)=1,WEEKDAY('Daily Schedule'!$B$2,2)=4,WEEKDAY('Daily Schedule'!$B$2,2)=5,WEEKDAY('Daily Schedule'!$B$2,2)=7),IFERROR(1*'Daily Workforce'!$K34&gt;=3,FALSE()),IFERROR(1*'Daily Workforce'!$K34&gt;=2,FALSE())),IF(AND('Daily Schedule'!$A49&gt;=46,'Daily Schedule'!$A49&lt;=52),'Daily Workforce'!$M34="Y",IFERROR(1*'Daily Workforce'!$P34&gt;=2,FALSE()))))),1,0)</f>
        <v>0</v>
      </c>
      <c r="AT45" s="1" t="n">
        <f aca="false">IF(AND('Daily Workforce'!$N35="Y",'Daily Workforce'!$B35&lt;&gt;"",COUNTIF('Daily Schedule'!$F$5:$F48,'Daily Workforce'!$B35)=0,IF('Daily Schedule'!$A49=45,'Daily Workforce'!$J35="Y",IF(OR('Daily Schedule'!$A49=4,'Daily Schedule'!$A49=8),IF(OR(WEEKDAY('Daily Schedule'!$B$2,2)=1,WEEKDAY('Daily Schedule'!$B$2,2)=4,WEEKDAY('Daily Schedule'!$B$2,2)=5,WEEKDAY('Daily Schedule'!$B$2,2)=7),IFERROR(1*'Daily Workforce'!$K35&gt;=3,FALSE()),IFERROR(1*'Daily Workforce'!$K35&gt;=2,FALSE())),IF(AND('Daily Schedule'!$A49&gt;=46,'Daily Schedule'!$A49&lt;=52),'Daily Workforce'!$M35="Y",IFERROR(1*'Daily Workforce'!$P35&gt;=2,FALSE()))))),1,0)</f>
        <v>0</v>
      </c>
      <c r="AU45" s="1" t="n">
        <f aca="false">IF(AND('Daily Workforce'!$N36="Y",'Daily Workforce'!$B36&lt;&gt;"",COUNTIF('Daily Schedule'!$F$5:$F48,'Daily Workforce'!$B36)=0,IF('Daily Schedule'!$A49=45,'Daily Workforce'!$J36="Y",IF(OR('Daily Schedule'!$A49=4,'Daily Schedule'!$A49=8),IF(OR(WEEKDAY('Daily Schedule'!$B$2,2)=1,WEEKDAY('Daily Schedule'!$B$2,2)=4,WEEKDAY('Daily Schedule'!$B$2,2)=5,WEEKDAY('Daily Schedule'!$B$2,2)=7),IFERROR(1*'Daily Workforce'!$K36&gt;=3,FALSE()),IFERROR(1*'Daily Workforce'!$K36&gt;=2,FALSE())),IF(AND('Daily Schedule'!$A49&gt;=46,'Daily Schedule'!$A49&lt;=52),'Daily Workforce'!$M36="Y",IFERROR(1*'Daily Workforce'!$P36&gt;=2,FALSE()))))),1,0)</f>
        <v>0</v>
      </c>
      <c r="AV45" s="1" t="n">
        <f aca="false">IF(AND('Daily Workforce'!$N37="Y",'Daily Workforce'!$B37&lt;&gt;"",COUNTIF('Daily Schedule'!$F$5:$F48,'Daily Workforce'!$B37)=0,IF('Daily Schedule'!$A49=45,'Daily Workforce'!$J37="Y",IF(OR('Daily Schedule'!$A49=4,'Daily Schedule'!$A49=8),IF(OR(WEEKDAY('Daily Schedule'!$B$2,2)=1,WEEKDAY('Daily Schedule'!$B$2,2)=4,WEEKDAY('Daily Schedule'!$B$2,2)=5,WEEKDAY('Daily Schedule'!$B$2,2)=7),IFERROR(1*'Daily Workforce'!$K37&gt;=3,FALSE()),IFERROR(1*'Daily Workforce'!$K37&gt;=2,FALSE())),IF(AND('Daily Schedule'!$A49&gt;=46,'Daily Schedule'!$A49&lt;=52),'Daily Workforce'!$M37="Y",IFERROR(1*'Daily Workforce'!$P37&gt;=2,FALSE()))))),1,0)</f>
        <v>0</v>
      </c>
      <c r="AW45" s="1" t="n">
        <f aca="false">IF(AND('Daily Workforce'!$N38="Y",'Daily Workforce'!$B38&lt;&gt;"",COUNTIF('Daily Schedule'!$F$5:$F48,'Daily Workforce'!$B38)=0,IF('Daily Schedule'!$A49=45,'Daily Workforce'!$J38="Y",IF(OR('Daily Schedule'!$A49=4,'Daily Schedule'!$A49=8),IF(OR(WEEKDAY('Daily Schedule'!$B$2,2)=1,WEEKDAY('Daily Schedule'!$B$2,2)=4,WEEKDAY('Daily Schedule'!$B$2,2)=5,WEEKDAY('Daily Schedule'!$B$2,2)=7),IFERROR(1*'Daily Workforce'!$K38&gt;=3,FALSE()),IFERROR(1*'Daily Workforce'!$K38&gt;=2,FALSE())),IF(AND('Daily Schedule'!$A49&gt;=46,'Daily Schedule'!$A49&lt;=52),'Daily Workforce'!$M38="Y",IFERROR(1*'Daily Workforce'!$P38&gt;=2,FALSE()))))),1,0)</f>
        <v>0</v>
      </c>
      <c r="AX45" s="1" t="n">
        <f aca="false">IF(AND('Daily Workforce'!$N39="Y",'Daily Workforce'!$B39&lt;&gt;"",COUNTIF('Daily Schedule'!$F$5:$F48,'Daily Workforce'!$B39)=0,IF('Daily Schedule'!$A49=45,'Daily Workforce'!$J39="Y",IF(OR('Daily Schedule'!$A49=4,'Daily Schedule'!$A49=8),IF(OR(WEEKDAY('Daily Schedule'!$B$2,2)=1,WEEKDAY('Daily Schedule'!$B$2,2)=4,WEEKDAY('Daily Schedule'!$B$2,2)=5,WEEKDAY('Daily Schedule'!$B$2,2)=7),IFERROR(1*'Daily Workforce'!$K39&gt;=3,FALSE()),IFERROR(1*'Daily Workforce'!$K39&gt;=2,FALSE())),IF(AND('Daily Schedule'!$A49&gt;=46,'Daily Schedule'!$A49&lt;=52),'Daily Workforce'!$M39="Y",IFERROR(1*'Daily Workforce'!$P39&gt;=2,FALSE()))))),1,0)</f>
        <v>0</v>
      </c>
      <c r="AY45" s="1" t="n">
        <f aca="false">IF(AND('Daily Workforce'!$N40="Y",'Daily Workforce'!$B40&lt;&gt;"",COUNTIF('Daily Schedule'!$F$5:$F48,'Daily Workforce'!$B40)=0,IF('Daily Schedule'!$A49=45,'Daily Workforce'!$J40="Y",IF(OR('Daily Schedule'!$A49=4,'Daily Schedule'!$A49=8),IF(OR(WEEKDAY('Daily Schedule'!$B$2,2)=1,WEEKDAY('Daily Schedule'!$B$2,2)=4,WEEKDAY('Daily Schedule'!$B$2,2)=5,WEEKDAY('Daily Schedule'!$B$2,2)=7),IFERROR(1*'Daily Workforce'!$K40&gt;=3,FALSE()),IFERROR(1*'Daily Workforce'!$K40&gt;=2,FALSE())),IF(AND('Daily Schedule'!$A49&gt;=46,'Daily Schedule'!$A49&lt;=52),'Daily Workforce'!$M40="Y",IFERROR(1*'Daily Workforce'!$P40&gt;=2,FALSE()))))),1,0)</f>
        <v>0</v>
      </c>
      <c r="AZ45" s="1" t="n">
        <f aca="false">IF(AND('Daily Workforce'!$N41="Y",'Daily Workforce'!$B41&lt;&gt;"",COUNTIF('Daily Schedule'!$F$5:$F48,'Daily Workforce'!$B41)=0,IF('Daily Schedule'!$A49=45,'Daily Workforce'!$J41="Y",IF(OR('Daily Schedule'!$A49=4,'Daily Schedule'!$A49=8),IF(OR(WEEKDAY('Daily Schedule'!$B$2,2)=1,WEEKDAY('Daily Schedule'!$B$2,2)=4,WEEKDAY('Daily Schedule'!$B$2,2)=5,WEEKDAY('Daily Schedule'!$B$2,2)=7),IFERROR(1*'Daily Workforce'!$K41&gt;=3,FALSE()),IFERROR(1*'Daily Workforce'!$K41&gt;=2,FALSE())),IF(AND('Daily Schedule'!$A49&gt;=46,'Daily Schedule'!$A49&lt;=52),'Daily Workforce'!$M41="Y",IFERROR(1*'Daily Workforce'!$P41&gt;=2,FALSE()))))),1,0)</f>
        <v>0</v>
      </c>
      <c r="BA45" s="1" t="n">
        <f aca="false">IF(AND('Daily Workforce'!$N42="Y",'Daily Workforce'!$B42&lt;&gt;"",COUNTIF('Daily Schedule'!$F$5:$F48,'Daily Workforce'!$B42)=0,IF('Daily Schedule'!$A49=45,'Daily Workforce'!$J42="Y",IF(OR('Daily Schedule'!$A49=4,'Daily Schedule'!$A49=8),IF(OR(WEEKDAY('Daily Schedule'!$B$2,2)=1,WEEKDAY('Daily Schedule'!$B$2,2)=4,WEEKDAY('Daily Schedule'!$B$2,2)=5,WEEKDAY('Daily Schedule'!$B$2,2)=7),IFERROR(1*'Daily Workforce'!$K42&gt;=3,FALSE()),IFERROR(1*'Daily Workforce'!$K42&gt;=2,FALSE())),IF(AND('Daily Schedule'!$A49&gt;=46,'Daily Schedule'!$A49&lt;=52),'Daily Workforce'!$M42="Y",IFERROR(1*'Daily Workforce'!$P42&gt;=2,FALSE()))))),1,0)</f>
        <v>0</v>
      </c>
      <c r="BB45" s="1" t="n">
        <f aca="false">IF(AND('Daily Workforce'!$N43="Y",'Daily Workforce'!$B43&lt;&gt;"",COUNTIF('Daily Schedule'!$F$5:$F48,'Daily Workforce'!$B43)=0,IF('Daily Schedule'!$A49=45,'Daily Workforce'!$J43="Y",IF(OR('Daily Schedule'!$A49=4,'Daily Schedule'!$A49=8),IF(OR(WEEKDAY('Daily Schedule'!$B$2,2)=1,WEEKDAY('Daily Schedule'!$B$2,2)=4,WEEKDAY('Daily Schedule'!$B$2,2)=5,WEEKDAY('Daily Schedule'!$B$2,2)=7),IFERROR(1*'Daily Workforce'!$K43&gt;=3,FALSE()),IFERROR(1*'Daily Workforce'!$K43&gt;=2,FALSE())),IF(AND('Daily Schedule'!$A49&gt;=46,'Daily Schedule'!$A49&lt;=52),'Daily Workforce'!$M43="Y",IFERROR(1*'Daily Workforce'!$P43&gt;=2,FALSE()))))),1,0)</f>
        <v>0</v>
      </c>
      <c r="BC45" s="1" t="n">
        <f aca="false">IF(AND('Daily Workforce'!$N44="Y",'Daily Workforce'!$B44&lt;&gt;"",COUNTIF('Daily Schedule'!$F$5:$F48,'Daily Workforce'!$B44)=0,IF('Daily Schedule'!$A49=45,'Daily Workforce'!$J44="Y",IF(OR('Daily Schedule'!$A49=4,'Daily Schedule'!$A49=8),IF(OR(WEEKDAY('Daily Schedule'!$B$2,2)=1,WEEKDAY('Daily Schedule'!$B$2,2)=4,WEEKDAY('Daily Schedule'!$B$2,2)=5,WEEKDAY('Daily Schedule'!$B$2,2)=7),IFERROR(1*'Daily Workforce'!$K44&gt;=3,FALSE()),IFERROR(1*'Daily Workforce'!$K44&gt;=2,FALSE())),IF(AND('Daily Schedule'!$A49&gt;=46,'Daily Schedule'!$A49&lt;=52),'Daily Workforce'!$M44="Y",IFERROR(1*'Daily Workforce'!$P44&gt;=2,FALSE()))))),1,0)</f>
        <v>0</v>
      </c>
      <c r="BD45" s="1" t="n">
        <f aca="false">IF(AND('Daily Workforce'!$N45="Y",'Daily Workforce'!$B45&lt;&gt;"",COUNTIF('Daily Schedule'!$F$5:$F48,'Daily Workforce'!$B45)=0,IF('Daily Schedule'!$A49=45,'Daily Workforce'!$J45="Y",IF(OR('Daily Schedule'!$A49=4,'Daily Schedule'!$A49=8),IF(OR(WEEKDAY('Daily Schedule'!$B$2,2)=1,WEEKDAY('Daily Schedule'!$B$2,2)=4,WEEKDAY('Daily Schedule'!$B$2,2)=5,WEEKDAY('Daily Schedule'!$B$2,2)=7),IFERROR(1*'Daily Workforce'!$K45&gt;=3,FALSE()),IFERROR(1*'Daily Workforce'!$K45&gt;=2,FALSE())),IF(AND('Daily Schedule'!$A49&gt;=46,'Daily Schedule'!$A49&lt;=52),'Daily Workforce'!$M45="Y",IFERROR(1*'Daily Workforce'!$P45&gt;=2,FALSE()))))),1,0)</f>
        <v>0</v>
      </c>
      <c r="BE45" s="1" t="n">
        <f aca="false">IF(AND('Daily Workforce'!$N46="Y",'Daily Workforce'!$B46&lt;&gt;"",COUNTIF('Daily Schedule'!$F$5:$F48,'Daily Workforce'!$B46)=0,IF('Daily Schedule'!$A49=45,'Daily Workforce'!$J46="Y",IF(OR('Daily Schedule'!$A49=4,'Daily Schedule'!$A49=8),IF(OR(WEEKDAY('Daily Schedule'!$B$2,2)=1,WEEKDAY('Daily Schedule'!$B$2,2)=4,WEEKDAY('Daily Schedule'!$B$2,2)=5,WEEKDAY('Daily Schedule'!$B$2,2)=7),IFERROR(1*'Daily Workforce'!$K46&gt;=3,FALSE()),IFERROR(1*'Daily Workforce'!$K46&gt;=2,FALSE())),IF(AND('Daily Schedule'!$A49&gt;=46,'Daily Schedule'!$A49&lt;=52),'Daily Workforce'!$M46="Y",IFERROR(1*'Daily Workforce'!$P46&gt;=2,FALSE()))))),1,0)</f>
        <v>0</v>
      </c>
      <c r="BF45" s="1" t="n">
        <f aca="false">IF(AND('Daily Workforce'!$N47="Y",'Daily Workforce'!$B47&lt;&gt;"",COUNTIF('Daily Schedule'!$F$5:$F48,'Daily Workforce'!$B47)=0,IF('Daily Schedule'!$A49=45,'Daily Workforce'!$J47="Y",IF(OR('Daily Schedule'!$A49=4,'Daily Schedule'!$A49=8),IF(OR(WEEKDAY('Daily Schedule'!$B$2,2)=1,WEEKDAY('Daily Schedule'!$B$2,2)=4,WEEKDAY('Daily Schedule'!$B$2,2)=5,WEEKDAY('Daily Schedule'!$B$2,2)=7),IFERROR(1*'Daily Workforce'!$K47&gt;=3,FALSE()),IFERROR(1*'Daily Workforce'!$K47&gt;=2,FALSE())),IF(AND('Daily Schedule'!$A49&gt;=46,'Daily Schedule'!$A49&lt;=52),'Daily Workforce'!$M47="Y",IFERROR(1*'Daily Workforce'!$P47&gt;=2,FALSE()))))),1,0)</f>
        <v>0</v>
      </c>
      <c r="BG45" s="1" t="n">
        <f aca="false">IF(AND('Daily Workforce'!$N48="Y",'Daily Workforce'!$B48&lt;&gt;"",COUNTIF('Daily Schedule'!$F$5:$F48,'Daily Workforce'!$B48)=0,IF('Daily Schedule'!$A49=45,'Daily Workforce'!$J48="Y",IF(OR('Daily Schedule'!$A49=4,'Daily Schedule'!$A49=8),IF(OR(WEEKDAY('Daily Schedule'!$B$2,2)=1,WEEKDAY('Daily Schedule'!$B$2,2)=4,WEEKDAY('Daily Schedule'!$B$2,2)=5,WEEKDAY('Daily Schedule'!$B$2,2)=7),IFERROR(1*'Daily Workforce'!$K48&gt;=3,FALSE()),IFERROR(1*'Daily Workforce'!$K48&gt;=2,FALSE())),IF(AND('Daily Schedule'!$A49&gt;=46,'Daily Schedule'!$A49&lt;=52),'Daily Workforce'!$M48="Y",IFERROR(1*'Daily Workforce'!$P48&gt;=2,FALSE()))))),1,0)</f>
        <v>0</v>
      </c>
      <c r="BH45" s="1" t="n">
        <f aca="false">IF(AND('Daily Workforce'!$N49="Y",'Daily Workforce'!$B49&lt;&gt;"",COUNTIF('Daily Schedule'!$F$5:$F48,'Daily Workforce'!$B49)=0,IF('Daily Schedule'!$A49=45,'Daily Workforce'!$J49="Y",IF(OR('Daily Schedule'!$A49=4,'Daily Schedule'!$A49=8),IF(OR(WEEKDAY('Daily Schedule'!$B$2,2)=1,WEEKDAY('Daily Schedule'!$B$2,2)=4,WEEKDAY('Daily Schedule'!$B$2,2)=5,WEEKDAY('Daily Schedule'!$B$2,2)=7),IFERROR(1*'Daily Workforce'!$K49&gt;=3,FALSE()),IFERROR(1*'Daily Workforce'!$K49&gt;=2,FALSE())),IF(AND('Daily Schedule'!$A49&gt;=46,'Daily Schedule'!$A49&lt;=52),'Daily Workforce'!$M49="Y",IFERROR(1*'Daily Workforce'!$P49&gt;=2,FALSE()))))),1,0)</f>
        <v>1</v>
      </c>
      <c r="BI45" s="1" t="n">
        <f aca="false">IF(AND('Daily Workforce'!$N50="Y",'Daily Workforce'!$B50&lt;&gt;"",COUNTIF('Daily Schedule'!$F$5:$F48,'Daily Workforce'!$B50)=0,IF('Daily Schedule'!$A49=45,'Daily Workforce'!$J50="Y",IF(OR('Daily Schedule'!$A49=4,'Daily Schedule'!$A49=8),IF(OR(WEEKDAY('Daily Schedule'!$B$2,2)=1,WEEKDAY('Daily Schedule'!$B$2,2)=4,WEEKDAY('Daily Schedule'!$B$2,2)=5,WEEKDAY('Daily Schedule'!$B$2,2)=7),IFERROR(1*'Daily Workforce'!$K50&gt;=3,FALSE()),IFERROR(1*'Daily Workforce'!$K50&gt;=2,FALSE())),IF(AND('Daily Schedule'!$A49&gt;=46,'Daily Schedule'!$A49&lt;=52),'Daily Workforce'!$M50="Y",IFERROR(1*'Daily Workforce'!$P50&gt;=2,FALSE()))))),1,0)</f>
        <v>0</v>
      </c>
      <c r="BJ45" s="1" t="n">
        <f aca="false">IF(AND('Daily Workforce'!$N51="Y",'Daily Workforce'!$B51&lt;&gt;"",COUNTIF('Daily Schedule'!$F$5:$F48,'Daily Workforce'!$B51)=0,IF('Daily Schedule'!$A49=45,'Daily Workforce'!$J51="Y",IF(OR('Daily Schedule'!$A49=4,'Daily Schedule'!$A49=8),IF(OR(WEEKDAY('Daily Schedule'!$B$2,2)=1,WEEKDAY('Daily Schedule'!$B$2,2)=4,WEEKDAY('Daily Schedule'!$B$2,2)=5,WEEKDAY('Daily Schedule'!$B$2,2)=7),IFERROR(1*'Daily Workforce'!$K51&gt;=3,FALSE()),IFERROR(1*'Daily Workforce'!$K51&gt;=2,FALSE())),IF(AND('Daily Schedule'!$A49&gt;=46,'Daily Schedule'!$A49&lt;=52),'Daily Workforce'!$M51="Y",IFERROR(1*'Daily Workforce'!$P51&gt;=2,FALSE()))))),1,0)</f>
        <v>1</v>
      </c>
      <c r="BK45" s="1" t="n">
        <f aca="false">IF(AND('Daily Workforce'!$N52="Y",'Daily Workforce'!$B52&lt;&gt;"",COUNTIF('Daily Schedule'!$F$5:$F48,'Daily Workforce'!$B52)=0,IF('Daily Schedule'!$A49=45,'Daily Workforce'!$J52="Y",IF(OR('Daily Schedule'!$A49=4,'Daily Schedule'!$A49=8),IF(OR(WEEKDAY('Daily Schedule'!$B$2,2)=1,WEEKDAY('Daily Schedule'!$B$2,2)=4,WEEKDAY('Daily Schedule'!$B$2,2)=5,WEEKDAY('Daily Schedule'!$B$2,2)=7),IFERROR(1*'Daily Workforce'!$K52&gt;=3,FALSE()),IFERROR(1*'Daily Workforce'!$K52&gt;=2,FALSE())),IF(AND('Daily Schedule'!$A49&gt;=46,'Daily Schedule'!$A49&lt;=52),'Daily Workforce'!$M52="Y",IFERROR(1*'Daily Workforce'!$P52&gt;=2,FALSE()))))),1,0)</f>
        <v>1</v>
      </c>
      <c r="BL45" s="1" t="n">
        <f aca="false">IF(AND('Daily Workforce'!$N53="Y",'Daily Workforce'!$B53&lt;&gt;"",COUNTIF('Daily Schedule'!$F$5:$F48,'Daily Workforce'!$B53)=0,IF('Daily Schedule'!$A49=45,'Daily Workforce'!$J53="Y",IF(OR('Daily Schedule'!$A49=4,'Daily Schedule'!$A49=8),IF(OR(WEEKDAY('Daily Schedule'!$B$2,2)=1,WEEKDAY('Daily Schedule'!$B$2,2)=4,WEEKDAY('Daily Schedule'!$B$2,2)=5,WEEKDAY('Daily Schedule'!$B$2,2)=7),IFERROR(1*'Daily Workforce'!$K53&gt;=3,FALSE()),IFERROR(1*'Daily Workforce'!$K53&gt;=2,FALSE())),IF(AND('Daily Schedule'!$A49&gt;=46,'Daily Schedule'!$A49&lt;=52),'Daily Workforce'!$M53="Y",IFERROR(1*'Daily Workforce'!$P53&gt;=2,FALSE()))))),1,0)</f>
        <v>1</v>
      </c>
      <c r="BM45" s="1" t="n">
        <f aca="false">IF(AND('Daily Workforce'!$N54="Y",'Daily Workforce'!$B54&lt;&gt;"",COUNTIF('Daily Schedule'!$F$5:$F48,'Daily Workforce'!$B54)=0,IF('Daily Schedule'!$A49=45,'Daily Workforce'!$J54="Y",IF(OR('Daily Schedule'!$A49=4,'Daily Schedule'!$A49=8),IF(OR(WEEKDAY('Daily Schedule'!$B$2,2)=1,WEEKDAY('Daily Schedule'!$B$2,2)=4,WEEKDAY('Daily Schedule'!$B$2,2)=5,WEEKDAY('Daily Schedule'!$B$2,2)=7),IFERROR(1*'Daily Workforce'!$K54&gt;=3,FALSE()),IFERROR(1*'Daily Workforce'!$K54&gt;=2,FALSE())),IF(AND('Daily Schedule'!$A49&gt;=46,'Daily Schedule'!$A49&lt;=52),'Daily Workforce'!$M54="Y",IFERROR(1*'Daily Workforce'!$P54&gt;=2,FALSE()))))),1,0)</f>
        <v>1</v>
      </c>
      <c r="BN45" s="1" t="n">
        <f aca="false">IF(AND('Daily Workforce'!$N55="Y",'Daily Workforce'!$B55&lt;&gt;"",COUNTIF('Daily Schedule'!$F$5:$F48,'Daily Workforce'!$B55)=0,IF('Daily Schedule'!$A49=45,'Daily Workforce'!$J55="Y",IF(OR('Daily Schedule'!$A49=4,'Daily Schedule'!$A49=8),IF(OR(WEEKDAY('Daily Schedule'!$B$2,2)=1,WEEKDAY('Daily Schedule'!$B$2,2)=4,WEEKDAY('Daily Schedule'!$B$2,2)=5,WEEKDAY('Daily Schedule'!$B$2,2)=7),IFERROR(1*'Daily Workforce'!$K55&gt;=3,FALSE()),IFERROR(1*'Daily Workforce'!$K55&gt;=2,FALSE())),IF(AND('Daily Schedule'!$A49&gt;=46,'Daily Schedule'!$A49&lt;=52),'Daily Workforce'!$M55="Y",IFERROR(1*'Daily Workforce'!$P55&gt;=2,FALSE()))))),1,0)</f>
        <v>1</v>
      </c>
      <c r="BO45" s="1" t="n">
        <f aca="false">IF(AND('Daily Workforce'!$N56="Y",'Daily Workforce'!$B56&lt;&gt;"",COUNTIF('Daily Schedule'!$F$5:$F48,'Daily Workforce'!$B56)=0,IF('Daily Schedule'!$A49=45,'Daily Workforce'!$J56="Y",IF(OR('Daily Schedule'!$A49=4,'Daily Schedule'!$A49=8),IF(OR(WEEKDAY('Daily Schedule'!$B$2,2)=1,WEEKDAY('Daily Schedule'!$B$2,2)=4,WEEKDAY('Daily Schedule'!$B$2,2)=5,WEEKDAY('Daily Schedule'!$B$2,2)=7),IFERROR(1*'Daily Workforce'!$K56&gt;=3,FALSE()),IFERROR(1*'Daily Workforce'!$K56&gt;=2,FALSE())),IF(AND('Daily Schedule'!$A49&gt;=46,'Daily Schedule'!$A49&lt;=52),'Daily Workforce'!$M56="Y",IFERROR(1*'Daily Workforce'!$P56&gt;=2,FALSE()))))),1,0)</f>
        <v>1</v>
      </c>
      <c r="BP45" s="1" t="n">
        <f aca="false">IF(AND('Daily Workforce'!$N57="Y",'Daily Workforce'!$B57&lt;&gt;"",COUNTIF('Daily Schedule'!$F$5:$F48,'Daily Workforce'!$B57)=0,IF('Daily Schedule'!$A49=45,'Daily Workforce'!$J57="Y",IF(OR('Daily Schedule'!$A49=4,'Daily Schedule'!$A49=8),IF(OR(WEEKDAY('Daily Schedule'!$B$2,2)=1,WEEKDAY('Daily Schedule'!$B$2,2)=4,WEEKDAY('Daily Schedule'!$B$2,2)=5,WEEKDAY('Daily Schedule'!$B$2,2)=7),IFERROR(1*'Daily Workforce'!$K57&gt;=3,FALSE()),IFERROR(1*'Daily Workforce'!$K57&gt;=2,FALSE())),IF(AND('Daily Schedule'!$A49&gt;=46,'Daily Schedule'!$A49&lt;=52),'Daily Workforce'!$M57="Y",IFERROR(1*'Daily Workforce'!$P57&gt;=2,FALSE()))))),1,0)</f>
        <v>0</v>
      </c>
      <c r="BQ45" s="1" t="n">
        <f aca="false">IF(AND('Daily Workforce'!$N58="Y",'Daily Workforce'!$B58&lt;&gt;"",COUNTIF('Daily Schedule'!$F$5:$F48,'Daily Workforce'!$B58)=0,IF('Daily Schedule'!$A49=45,'Daily Workforce'!$J58="Y",IF(OR('Daily Schedule'!$A49=4,'Daily Schedule'!$A49=8),IF(OR(WEEKDAY('Daily Schedule'!$B$2,2)=1,WEEKDAY('Daily Schedule'!$B$2,2)=4,WEEKDAY('Daily Schedule'!$B$2,2)=5,WEEKDAY('Daily Schedule'!$B$2,2)=7),IFERROR(1*'Daily Workforce'!$K58&gt;=3,FALSE()),IFERROR(1*'Daily Workforce'!$K58&gt;=2,FALSE())),IF(AND('Daily Schedule'!$A49&gt;=46,'Daily Schedule'!$A49&lt;=52),'Daily Workforce'!$M58="Y",IFERROR(1*'Daily Workforce'!$P58&gt;=2,FALSE()))))),1,0)</f>
        <v>1</v>
      </c>
      <c r="BR45" s="1" t="n">
        <f aca="false">IF(AND('Daily Workforce'!$N59="Y",'Daily Workforce'!$B59&lt;&gt;"",COUNTIF('Daily Schedule'!$F$5:$F48,'Daily Workforce'!$B59)=0,IF('Daily Schedule'!$A49=45,'Daily Workforce'!$J59="Y",IF(OR('Daily Schedule'!$A49=4,'Daily Schedule'!$A49=8),IF(OR(WEEKDAY('Daily Schedule'!$B$2,2)=1,WEEKDAY('Daily Schedule'!$B$2,2)=4,WEEKDAY('Daily Schedule'!$B$2,2)=5,WEEKDAY('Daily Schedule'!$B$2,2)=7),IFERROR(1*'Daily Workforce'!$K59&gt;=3,FALSE()),IFERROR(1*'Daily Workforce'!$K59&gt;=2,FALSE())),IF(AND('Daily Schedule'!$A49&gt;=46,'Daily Schedule'!$A49&lt;=52),'Daily Workforce'!$M59="Y",IFERROR(1*'Daily Workforce'!$P59&gt;=2,FALSE()))))),1,0)</f>
        <v>1</v>
      </c>
      <c r="BS45" s="1" t="n">
        <f aca="false">IF(AND('Daily Workforce'!$N60="Y",'Daily Workforce'!$B60&lt;&gt;"",COUNTIF('Daily Schedule'!$F$5:$F48,'Daily Workforce'!$B60)=0,IF('Daily Schedule'!$A49=45,'Daily Workforce'!$J60="Y",IF(OR('Daily Schedule'!$A49=4,'Daily Schedule'!$A49=8),IF(OR(WEEKDAY('Daily Schedule'!$B$2,2)=1,WEEKDAY('Daily Schedule'!$B$2,2)=4,WEEKDAY('Daily Schedule'!$B$2,2)=5,WEEKDAY('Daily Schedule'!$B$2,2)=7),IFERROR(1*'Daily Workforce'!$K60&gt;=3,FALSE()),IFERROR(1*'Daily Workforce'!$K60&gt;=2,FALSE())),IF(AND('Daily Schedule'!$A49&gt;=46,'Daily Schedule'!$A49&lt;=52),'Daily Workforce'!$M60="Y",IFERROR(1*'Daily Workforce'!$P60&gt;=2,FALSE()))))),1,0)</f>
        <v>1</v>
      </c>
      <c r="BT45" s="1" t="n">
        <f aca="false">IF(AND('Daily Workforce'!$N61="Y",'Daily Workforce'!$B61&lt;&gt;"",COUNTIF('Daily Schedule'!$F$5:$F48,'Daily Workforce'!$B61)=0,IF('Daily Schedule'!$A49=45,'Daily Workforce'!$J61="Y",IF(OR('Daily Schedule'!$A49=4,'Daily Schedule'!$A49=8),IF(OR(WEEKDAY('Daily Schedule'!$B$2,2)=1,WEEKDAY('Daily Schedule'!$B$2,2)=4,WEEKDAY('Daily Schedule'!$B$2,2)=5,WEEKDAY('Daily Schedule'!$B$2,2)=7),IFERROR(1*'Daily Workforce'!$K61&gt;=3,FALSE()),IFERROR(1*'Daily Workforce'!$K61&gt;=2,FALSE())),IF(AND('Daily Schedule'!$A49&gt;=46,'Daily Schedule'!$A49&lt;=52),'Daily Workforce'!$M61="Y",IFERROR(1*'Daily Workforce'!$P61&gt;=2,FALSE()))))),1,0)</f>
        <v>0</v>
      </c>
      <c r="BU45" s="1" t="n">
        <f aca="false">IF(AND('Daily Workforce'!$N62="Y",'Daily Workforce'!$B62&lt;&gt;"",COUNTIF('Daily Schedule'!$F$5:$F48,'Daily Workforce'!$B62)=0,IF('Daily Schedule'!$A49=45,'Daily Workforce'!$J62="Y",IF(OR('Daily Schedule'!$A49=4,'Daily Schedule'!$A49=8),IF(OR(WEEKDAY('Daily Schedule'!$B$2,2)=1,WEEKDAY('Daily Schedule'!$B$2,2)=4,WEEKDAY('Daily Schedule'!$B$2,2)=5,WEEKDAY('Daily Schedule'!$B$2,2)=7),IFERROR(1*'Daily Workforce'!$K62&gt;=3,FALSE()),IFERROR(1*'Daily Workforce'!$K62&gt;=2,FALSE())),IF(AND('Daily Schedule'!$A49&gt;=46,'Daily Schedule'!$A49&lt;=52),'Daily Workforce'!$M62="Y",IFERROR(1*'Daily Workforce'!$P62&gt;=2,FALSE()))))),1,0)</f>
        <v>1</v>
      </c>
      <c r="BV45" s="1" t="n">
        <f aca="false">IF(AND('Daily Workforce'!$N63="Y",'Daily Workforce'!$B63&lt;&gt;"",COUNTIF('Daily Schedule'!$F$5:$F48,'Daily Workforce'!$B63)=0,IF('Daily Schedule'!$A49=45,'Daily Workforce'!$J63="Y",IF(OR('Daily Schedule'!$A49=4,'Daily Schedule'!$A49=8),IF(OR(WEEKDAY('Daily Schedule'!$B$2,2)=1,WEEKDAY('Daily Schedule'!$B$2,2)=4,WEEKDAY('Daily Schedule'!$B$2,2)=5,WEEKDAY('Daily Schedule'!$B$2,2)=7),IFERROR(1*'Daily Workforce'!$K63&gt;=3,FALSE()),IFERROR(1*'Daily Workforce'!$K63&gt;=2,FALSE())),IF(AND('Daily Schedule'!$A49&gt;=46,'Daily Schedule'!$A49&lt;=52),'Daily Workforce'!$M63="Y",IFERROR(1*'Daily Workforce'!$P63&gt;=2,FALSE()))))),1,0)</f>
        <v>1</v>
      </c>
      <c r="BW45" s="1" t="n">
        <f aca="false">IF(AND('Daily Workforce'!$N64="Y",'Daily Workforce'!$B64&lt;&gt;"",COUNTIF('Daily Schedule'!$F$5:$F48,'Daily Workforce'!$B64)=0,IF('Daily Schedule'!$A49=45,'Daily Workforce'!$J64="Y",IF(OR('Daily Schedule'!$A49=4,'Daily Schedule'!$A49=8),IF(OR(WEEKDAY('Daily Schedule'!$B$2,2)=1,WEEKDAY('Daily Schedule'!$B$2,2)=4,WEEKDAY('Daily Schedule'!$B$2,2)=5,WEEKDAY('Daily Schedule'!$B$2,2)=7),IFERROR(1*'Daily Workforce'!$K64&gt;=3,FALSE()),IFERROR(1*'Daily Workforce'!$K64&gt;=2,FALSE())),IF(AND('Daily Schedule'!$A49&gt;=46,'Daily Schedule'!$A49&lt;=52),'Daily Workforce'!$M64="Y",IFERROR(1*'Daily Workforce'!$P64&gt;=2,FALSE()))))),1,0)</f>
        <v>1</v>
      </c>
      <c r="BX45" s="1" t="n">
        <f aca="false">IF(AND('Daily Workforce'!$N65="Y",'Daily Workforce'!$B65&lt;&gt;"",COUNTIF('Daily Schedule'!$F$5:$F48,'Daily Workforce'!$B65)=0,IF('Daily Schedule'!$A49=45,'Daily Workforce'!$J65="Y",IF(OR('Daily Schedule'!$A49=4,'Daily Schedule'!$A49=8),IF(OR(WEEKDAY('Daily Schedule'!$B$2,2)=1,WEEKDAY('Daily Schedule'!$B$2,2)=4,WEEKDAY('Daily Schedule'!$B$2,2)=5,WEEKDAY('Daily Schedule'!$B$2,2)=7),IFERROR(1*'Daily Workforce'!$K65&gt;=3,FALSE()),IFERROR(1*'Daily Workforce'!$K65&gt;=2,FALSE())),IF(AND('Daily Schedule'!$A49&gt;=46,'Daily Schedule'!$A49&lt;=52),'Daily Workforce'!$M65="Y",IFERROR(1*'Daily Workforce'!$P65&gt;=2,FALSE()))))),1,0)</f>
        <v>1</v>
      </c>
      <c r="BY45" s="1" t="n">
        <f aca="false">IF(AND('Daily Workforce'!$N66="Y",'Daily Workforce'!$B66&lt;&gt;"",COUNTIF('Daily Schedule'!$F$5:$F48,'Daily Workforce'!$B66)=0,IF('Daily Schedule'!$A49=45,'Daily Workforce'!$J66="Y",IF(OR('Daily Schedule'!$A49=4,'Daily Schedule'!$A49=8),IF(OR(WEEKDAY('Daily Schedule'!$B$2,2)=1,WEEKDAY('Daily Schedule'!$B$2,2)=4,WEEKDAY('Daily Schedule'!$B$2,2)=5,WEEKDAY('Daily Schedule'!$B$2,2)=7),IFERROR(1*'Daily Workforce'!$K66&gt;=3,FALSE()),IFERROR(1*'Daily Workforce'!$K66&gt;=2,FALSE())),IF(AND('Daily Schedule'!$A49&gt;=46,'Daily Schedule'!$A49&lt;=52),'Daily Workforce'!$M66="Y",IFERROR(1*'Daily Workforce'!$P66&gt;=2,FALSE()))))),1,0)</f>
        <v>1</v>
      </c>
      <c r="BZ45" s="1" t="n">
        <f aca="false">IF(AND('Daily Workforce'!$N67="Y",'Daily Workforce'!$B67&lt;&gt;"",COUNTIF('Daily Schedule'!$F$5:$F48,'Daily Workforce'!$B67)=0,IF('Daily Schedule'!$A49=45,'Daily Workforce'!$J67="Y",IF(OR('Daily Schedule'!$A49=4,'Daily Schedule'!$A49=8),IF(OR(WEEKDAY('Daily Schedule'!$B$2,2)=1,WEEKDAY('Daily Schedule'!$B$2,2)=4,WEEKDAY('Daily Schedule'!$B$2,2)=5,WEEKDAY('Daily Schedule'!$B$2,2)=7),IFERROR(1*'Daily Workforce'!$K67&gt;=3,FALSE()),IFERROR(1*'Daily Workforce'!$K67&gt;=2,FALSE())),IF(AND('Daily Schedule'!$A49&gt;=46,'Daily Schedule'!$A49&lt;=52),'Daily Workforce'!$M67="Y",IFERROR(1*'Daily Workforce'!$P67&gt;=2,FALSE()))))),1,0)</f>
        <v>1</v>
      </c>
      <c r="CA45" s="1" t="n">
        <f aca="false">IF(AND('Daily Workforce'!$N68="Y",'Daily Workforce'!$B68&lt;&gt;"",COUNTIF('Daily Schedule'!$F$5:$F48,'Daily Workforce'!$B68)=0,IF('Daily Schedule'!$A49=45,'Daily Workforce'!$J68="Y",IF(OR('Daily Schedule'!$A49=4,'Daily Schedule'!$A49=8),IF(OR(WEEKDAY('Daily Schedule'!$B$2,2)=1,WEEKDAY('Daily Schedule'!$B$2,2)=4,WEEKDAY('Daily Schedule'!$B$2,2)=5,WEEKDAY('Daily Schedule'!$B$2,2)=7),IFERROR(1*'Daily Workforce'!$K68&gt;=3,FALSE()),IFERROR(1*'Daily Workforce'!$K68&gt;=2,FALSE())),IF(AND('Daily Schedule'!$A49&gt;=46,'Daily Schedule'!$A49&lt;=52),'Daily Workforce'!$M68="Y",IFERROR(1*'Daily Workforce'!$P68&gt;=2,FALSE()))))),1,0)</f>
        <v>1</v>
      </c>
      <c r="CB45" s="1" t="n">
        <f aca="false">IF(AND('Daily Workforce'!$N69="Y",'Daily Workforce'!$B69&lt;&gt;"",COUNTIF('Daily Schedule'!$F$5:$F48,'Daily Workforce'!$B69)=0,IF('Daily Schedule'!$A49=45,'Daily Workforce'!$J69="Y",IF(OR('Daily Schedule'!$A49=4,'Daily Schedule'!$A49=8),IF(OR(WEEKDAY('Daily Schedule'!$B$2,2)=1,WEEKDAY('Daily Schedule'!$B$2,2)=4,WEEKDAY('Daily Schedule'!$B$2,2)=5,WEEKDAY('Daily Schedule'!$B$2,2)=7),IFERROR(1*'Daily Workforce'!$K69&gt;=3,FALSE()),IFERROR(1*'Daily Workforce'!$K69&gt;=2,FALSE())),IF(AND('Daily Schedule'!$A49&gt;=46,'Daily Schedule'!$A49&lt;=52),'Daily Workforce'!$M69="Y",IFERROR(1*'Daily Workforce'!$P69&gt;=2,FALSE()))))),1,0)</f>
        <v>1</v>
      </c>
      <c r="CC45" s="1" t="n">
        <f aca="false">IF(AND('Daily Workforce'!$N70="Y",'Daily Workforce'!$B70&lt;&gt;"",COUNTIF('Daily Schedule'!$F$5:$F48,'Daily Workforce'!$B70)=0,IF('Daily Schedule'!$A49=45,'Daily Workforce'!$J70="Y",IF(OR('Daily Schedule'!$A49=4,'Daily Schedule'!$A49=8),IF(OR(WEEKDAY('Daily Schedule'!$B$2,2)=1,WEEKDAY('Daily Schedule'!$B$2,2)=4,WEEKDAY('Daily Schedule'!$B$2,2)=5,WEEKDAY('Daily Schedule'!$B$2,2)=7),IFERROR(1*'Daily Workforce'!$K70&gt;=3,FALSE()),IFERROR(1*'Daily Workforce'!$K70&gt;=2,FALSE())),IF(AND('Daily Schedule'!$A49&gt;=46,'Daily Schedule'!$A49&lt;=52),'Daily Workforce'!$M70="Y",IFERROR(1*'Daily Workforce'!$P70&gt;=2,FALSE()))))),1,0)</f>
        <v>1</v>
      </c>
      <c r="CD45" s="1" t="n">
        <f aca="false">IF(AND('Daily Workforce'!$N71="Y",'Daily Workforce'!$B71&lt;&gt;"",COUNTIF('Daily Schedule'!$F$5:$F48,'Daily Workforce'!$B71)=0,IF('Daily Schedule'!$A49=45,'Daily Workforce'!$J71="Y",IF(OR('Daily Schedule'!$A49=4,'Daily Schedule'!$A49=8),IF(OR(WEEKDAY('Daily Schedule'!$B$2,2)=1,WEEKDAY('Daily Schedule'!$B$2,2)=4,WEEKDAY('Daily Schedule'!$B$2,2)=5,WEEKDAY('Daily Schedule'!$B$2,2)=7),IFERROR(1*'Daily Workforce'!$K71&gt;=3,FALSE()),IFERROR(1*'Daily Workforce'!$K71&gt;=2,FALSE())),IF(AND('Daily Schedule'!$A49&gt;=46,'Daily Schedule'!$A49&lt;=52),'Daily Workforce'!$M71="Y",IFERROR(1*'Daily Workforce'!$P71&gt;=2,FALSE()))))),1,0)</f>
        <v>1</v>
      </c>
      <c r="CE45" s="1" t="n">
        <f aca="false">IF(AND('Daily Workforce'!$N72="Y",'Daily Workforce'!$B72&lt;&gt;"",COUNTIF('Daily Schedule'!$F$5:$F48,'Daily Workforce'!$B72)=0,IF('Daily Schedule'!$A49=45,'Daily Workforce'!$J72="Y",IF(OR('Daily Schedule'!$A49=4,'Daily Schedule'!$A49=8),IF(OR(WEEKDAY('Daily Schedule'!$B$2,2)=1,WEEKDAY('Daily Schedule'!$B$2,2)=4,WEEKDAY('Daily Schedule'!$B$2,2)=5,WEEKDAY('Daily Schedule'!$B$2,2)=7),IFERROR(1*'Daily Workforce'!$K72&gt;=3,FALSE()),IFERROR(1*'Daily Workforce'!$K72&gt;=2,FALSE())),IF(AND('Daily Schedule'!$A49&gt;=46,'Daily Schedule'!$A49&lt;=52),'Daily Workforce'!$M72="Y",IFERROR(1*'Daily Workforce'!$P72&gt;=2,FALSE()))))),1,0)</f>
        <v>1</v>
      </c>
      <c r="CF45" s="1" t="n">
        <f aca="false">IF(AND('Daily Workforce'!$N73="Y",'Daily Workforce'!$B73&lt;&gt;"",COUNTIF('Daily Schedule'!$F$5:$F48,'Daily Workforce'!$B73)=0,IF('Daily Schedule'!$A49=45,'Daily Workforce'!$J73="Y",IF(OR('Daily Schedule'!$A49=4,'Daily Schedule'!$A49=8),IF(OR(WEEKDAY('Daily Schedule'!$B$2,2)=1,WEEKDAY('Daily Schedule'!$B$2,2)=4,WEEKDAY('Daily Schedule'!$B$2,2)=5,WEEKDAY('Daily Schedule'!$B$2,2)=7),IFERROR(1*'Daily Workforce'!$K73&gt;=3,FALSE()),IFERROR(1*'Daily Workforce'!$K73&gt;=2,FALSE())),IF(AND('Daily Schedule'!$A49&gt;=46,'Daily Schedule'!$A49&lt;=52),'Daily Workforce'!$M73="Y",IFERROR(1*'Daily Workforce'!$P73&gt;=2,FALSE()))))),1,0)</f>
        <v>1</v>
      </c>
      <c r="CG45" s="1" t="n">
        <f aca="false">IF(AND('Daily Workforce'!$N74="Y",'Daily Workforce'!$B74&lt;&gt;"",COUNTIF('Daily Schedule'!$F$5:$F48,'Daily Workforce'!$B74)=0,IF('Daily Schedule'!$A49=45,'Daily Workforce'!$J74="Y",IF(OR('Daily Schedule'!$A49=4,'Daily Schedule'!$A49=8),IF(OR(WEEKDAY('Daily Schedule'!$B$2,2)=1,WEEKDAY('Daily Schedule'!$B$2,2)=4,WEEKDAY('Daily Schedule'!$B$2,2)=5,WEEKDAY('Daily Schedule'!$B$2,2)=7),IFERROR(1*'Daily Workforce'!$K74&gt;=3,FALSE()),IFERROR(1*'Daily Workforce'!$K74&gt;=2,FALSE())),IF(AND('Daily Schedule'!$A49&gt;=46,'Daily Schedule'!$A49&lt;=52),'Daily Workforce'!$M74="Y",IFERROR(1*'Daily Workforce'!$P74&gt;=2,FALSE()))))),1,0)</f>
        <v>1</v>
      </c>
      <c r="CH45" s="1" t="n">
        <f aca="false">IF(AND('Daily Workforce'!$N75="Y",'Daily Workforce'!$B75&lt;&gt;"",COUNTIF('Daily Schedule'!$F$5:$F48,'Daily Workforce'!$B75)=0,IF('Daily Schedule'!$A49=45,'Daily Workforce'!$J75="Y",IF(OR('Daily Schedule'!$A49=4,'Daily Schedule'!$A49=8),IF(OR(WEEKDAY('Daily Schedule'!$B$2,2)=1,WEEKDAY('Daily Schedule'!$B$2,2)=4,WEEKDAY('Daily Schedule'!$B$2,2)=5,WEEKDAY('Daily Schedule'!$B$2,2)=7),IFERROR(1*'Daily Workforce'!$K75&gt;=3,FALSE()),IFERROR(1*'Daily Workforce'!$K75&gt;=2,FALSE())),IF(AND('Daily Schedule'!$A49&gt;=46,'Daily Schedule'!$A49&lt;=52),'Daily Workforce'!$M75="Y",IFERROR(1*'Daily Workforce'!$P75&gt;=2,FALSE()))))),1,0)</f>
        <v>1</v>
      </c>
      <c r="CI45" s="1" t="n">
        <f aca="false">IF(AND('Daily Workforce'!$N76="Y",'Daily Workforce'!$B76&lt;&gt;"",COUNTIF('Daily Schedule'!$F$5:$F48,'Daily Workforce'!$B76)=0,IF('Daily Schedule'!$A49=45,'Daily Workforce'!$J76="Y",IF(OR('Daily Schedule'!$A49=4,'Daily Schedule'!$A49=8),IF(OR(WEEKDAY('Daily Schedule'!$B$2,2)=1,WEEKDAY('Daily Schedule'!$B$2,2)=4,WEEKDAY('Daily Schedule'!$B$2,2)=5,WEEKDAY('Daily Schedule'!$B$2,2)=7),IFERROR(1*'Daily Workforce'!$K76&gt;=3,FALSE()),IFERROR(1*'Daily Workforce'!$K76&gt;=2,FALSE())),IF(AND('Daily Schedule'!$A49&gt;=46,'Daily Schedule'!$A49&lt;=52),'Daily Workforce'!$M76="Y",IFERROR(1*'Daily Workforce'!$P76&gt;=2,FALSE()))))),1,0)</f>
        <v>1</v>
      </c>
      <c r="CJ45" s="1" t="n">
        <f aca="false">IF(AND('Daily Workforce'!$N77="Y",'Daily Workforce'!$B77&lt;&gt;"",COUNTIF('Daily Schedule'!$F$5:$F48,'Daily Workforce'!$B77)=0,IF('Daily Schedule'!$A49=45,'Daily Workforce'!$J77="Y",IF(OR('Daily Schedule'!$A49=4,'Daily Schedule'!$A49=8),IF(OR(WEEKDAY('Daily Schedule'!$B$2,2)=1,WEEKDAY('Daily Schedule'!$B$2,2)=4,WEEKDAY('Daily Schedule'!$B$2,2)=5,WEEKDAY('Daily Schedule'!$B$2,2)=7),IFERROR(1*'Daily Workforce'!$K77&gt;=3,FALSE()),IFERROR(1*'Daily Workforce'!$K77&gt;=2,FALSE())),IF(AND('Daily Schedule'!$A49&gt;=46,'Daily Schedule'!$A49&lt;=52),'Daily Workforce'!$M77="Y",IFERROR(1*'Daily Workforce'!$P77&gt;=2,FALSE()))))),1,0)</f>
        <v>1</v>
      </c>
      <c r="CK45" s="1" t="n">
        <f aca="false">IF(AND('Daily Workforce'!$N78="Y",'Daily Workforce'!$B78&lt;&gt;"",COUNTIF('Daily Schedule'!$F$5:$F48,'Daily Workforce'!$B78)=0,IF('Daily Schedule'!$A49=45,'Daily Workforce'!$J78="Y",IF(OR('Daily Schedule'!$A49=4,'Daily Schedule'!$A49=8),IF(OR(WEEKDAY('Daily Schedule'!$B$2,2)=1,WEEKDAY('Daily Schedule'!$B$2,2)=4,WEEKDAY('Daily Schedule'!$B$2,2)=5,WEEKDAY('Daily Schedule'!$B$2,2)=7),IFERROR(1*'Daily Workforce'!$K78&gt;=3,FALSE()),IFERROR(1*'Daily Workforce'!$K78&gt;=2,FALSE())),IF(AND('Daily Schedule'!$A49&gt;=46,'Daily Schedule'!$A49&lt;=52),'Daily Workforce'!$M78="Y",IFERROR(1*'Daily Workforce'!$P78&gt;=2,FALSE()))))),1,0)</f>
        <v>1</v>
      </c>
      <c r="CL45" s="1" t="n">
        <f aca="false">IF(AND('Daily Workforce'!$N79="Y",'Daily Workforce'!$B79&lt;&gt;"",COUNTIF('Daily Schedule'!$F$5:$F48,'Daily Workforce'!$B79)=0,IF('Daily Schedule'!$A49=45,'Daily Workforce'!$J79="Y",IF(OR('Daily Schedule'!$A49=4,'Daily Schedule'!$A49=8),IF(OR(WEEKDAY('Daily Schedule'!$B$2,2)=1,WEEKDAY('Daily Schedule'!$B$2,2)=4,WEEKDAY('Daily Schedule'!$B$2,2)=5,WEEKDAY('Daily Schedule'!$B$2,2)=7),IFERROR(1*'Daily Workforce'!$K79&gt;=3,FALSE()),IFERROR(1*'Daily Workforce'!$K79&gt;=2,FALSE())),IF(AND('Daily Schedule'!$A49&gt;=46,'Daily Schedule'!$A49&lt;=52),'Daily Workforce'!$M79="Y",IFERROR(1*'Daily Workforce'!$P79&gt;=2,FALSE()))))),1,0)</f>
        <v>1</v>
      </c>
      <c r="CM45" s="1" t="n">
        <f aca="false">IF(AND('Daily Workforce'!$N80="Y",'Daily Workforce'!$B80&lt;&gt;"",COUNTIF('Daily Schedule'!$F$5:$F48,'Daily Workforce'!$B80)=0,IF('Daily Schedule'!$A49=45,'Daily Workforce'!$J80="Y",IF(OR('Daily Schedule'!$A49=4,'Daily Schedule'!$A49=8),IF(OR(WEEKDAY('Daily Schedule'!$B$2,2)=1,WEEKDAY('Daily Schedule'!$B$2,2)=4,WEEKDAY('Daily Schedule'!$B$2,2)=5,WEEKDAY('Daily Schedule'!$B$2,2)=7),IFERROR(1*'Daily Workforce'!$K80&gt;=3,FALSE()),IFERROR(1*'Daily Workforce'!$K80&gt;=2,FALSE())),IF(AND('Daily Schedule'!$A49&gt;=46,'Daily Schedule'!$A49&lt;=52),'Daily Workforce'!$M80="Y",IFERROR(1*'Daily Workforce'!$P80&gt;=2,FALSE()))))),1,0)</f>
        <v>1</v>
      </c>
      <c r="CN45" s="1" t="n">
        <f aca="false">IF(AND('Daily Workforce'!$N81="Y",'Daily Workforce'!$B81&lt;&gt;"",COUNTIF('Daily Schedule'!$F$5:$F48,'Daily Workforce'!$B81)=0,IF('Daily Schedule'!$A49=45,'Daily Workforce'!$J81="Y",IF(OR('Daily Schedule'!$A49=4,'Daily Schedule'!$A49=8),IF(OR(WEEKDAY('Daily Schedule'!$B$2,2)=1,WEEKDAY('Daily Schedule'!$B$2,2)=4,WEEKDAY('Daily Schedule'!$B$2,2)=5,WEEKDAY('Daily Schedule'!$B$2,2)=7),IFERROR(1*'Daily Workforce'!$K81&gt;=3,FALSE()),IFERROR(1*'Daily Workforce'!$K81&gt;=2,FALSE())),IF(AND('Daily Schedule'!$A49&gt;=46,'Daily Schedule'!$A49&lt;=52),'Daily Workforce'!$M81="Y",IFERROR(1*'Daily Workforce'!$P81&gt;=2,FALSE()))))),1,0)</f>
        <v>1</v>
      </c>
      <c r="CO45" s="1" t="n">
        <f aca="false">IF(AND('Daily Workforce'!$N82="Y",'Daily Workforce'!$B82&lt;&gt;"",COUNTIF('Daily Schedule'!$F$5:$F48,'Daily Workforce'!$B82)=0,IF('Daily Schedule'!$A49=45,'Daily Workforce'!$J82="Y",IF(OR('Daily Schedule'!$A49=4,'Daily Schedule'!$A49=8),IF(OR(WEEKDAY('Daily Schedule'!$B$2,2)=1,WEEKDAY('Daily Schedule'!$B$2,2)=4,WEEKDAY('Daily Schedule'!$B$2,2)=5,WEEKDAY('Daily Schedule'!$B$2,2)=7),IFERROR(1*'Daily Workforce'!$K82&gt;=3,FALSE()),IFERROR(1*'Daily Workforce'!$K82&gt;=2,FALSE())),IF(AND('Daily Schedule'!$A49&gt;=46,'Daily Schedule'!$A49&lt;=52),'Daily Workforce'!$M82="Y",IFERROR(1*'Daily Workforce'!$P82&gt;=2,FALSE()))))),1,0)</f>
        <v>1</v>
      </c>
      <c r="CP45" s="1" t="n">
        <f aca="false">IF(AND('Daily Workforce'!$N83="Y",'Daily Workforce'!$B83&lt;&gt;"",COUNTIF('Daily Schedule'!$F$5:$F48,'Daily Workforce'!$B83)=0,IF('Daily Schedule'!$A49=45,'Daily Workforce'!$J83="Y",IF(OR('Daily Schedule'!$A49=4,'Daily Schedule'!$A49=8),IF(OR(WEEKDAY('Daily Schedule'!$B$2,2)=1,WEEKDAY('Daily Schedule'!$B$2,2)=4,WEEKDAY('Daily Schedule'!$B$2,2)=5,WEEKDAY('Daily Schedule'!$B$2,2)=7),IFERROR(1*'Daily Workforce'!$K83&gt;=3,FALSE()),IFERROR(1*'Daily Workforce'!$K83&gt;=2,FALSE())),IF(AND('Daily Schedule'!$A49&gt;=46,'Daily Schedule'!$A49&lt;=52),'Daily Workforce'!$M83="Y",IFERROR(1*'Daily Workforce'!$P83&gt;=2,FALSE()))))),1,0)</f>
        <v>0</v>
      </c>
      <c r="CQ45" s="1" t="n">
        <f aca="false">IF(AND('Daily Workforce'!$N84="Y",'Daily Workforce'!$B84&lt;&gt;"",COUNTIF('Daily Schedule'!$F$5:$F48,'Daily Workforce'!$B84)=0,IF('Daily Schedule'!$A49=45,'Daily Workforce'!$J84="Y",IF(OR('Daily Schedule'!$A49=4,'Daily Schedule'!$A49=8),IF(OR(WEEKDAY('Daily Schedule'!$B$2,2)=1,WEEKDAY('Daily Schedule'!$B$2,2)=4,WEEKDAY('Daily Schedule'!$B$2,2)=5,WEEKDAY('Daily Schedule'!$B$2,2)=7),IFERROR(1*'Daily Workforce'!$K84&gt;=3,FALSE()),IFERROR(1*'Daily Workforce'!$K84&gt;=2,FALSE())),IF(AND('Daily Schedule'!$A49&gt;=46,'Daily Schedule'!$A49&lt;=52),'Daily Workforce'!$M84="Y",IFERROR(1*'Daily Workforce'!$P84&gt;=2,FALSE()))))),1,0)</f>
        <v>1</v>
      </c>
      <c r="CR45" s="1" t="n">
        <f aca="false">IF(AND('Daily Workforce'!$N85="Y",'Daily Workforce'!$B85&lt;&gt;"",COUNTIF('Daily Schedule'!$F$5:$F48,'Daily Workforce'!$B85)=0,IF('Daily Schedule'!$A49=45,'Daily Workforce'!$J85="Y",IF(OR('Daily Schedule'!$A49=4,'Daily Schedule'!$A49=8),IF(OR(WEEKDAY('Daily Schedule'!$B$2,2)=1,WEEKDAY('Daily Schedule'!$B$2,2)=4,WEEKDAY('Daily Schedule'!$B$2,2)=5,WEEKDAY('Daily Schedule'!$B$2,2)=7),IFERROR(1*'Daily Workforce'!$K85&gt;=3,FALSE()),IFERROR(1*'Daily Workforce'!$K85&gt;=2,FALSE())),IF(AND('Daily Schedule'!$A49&gt;=46,'Daily Schedule'!$A49&lt;=52),'Daily Workforce'!$M85="Y",IFERROR(1*'Daily Workforce'!$P85&gt;=2,FALSE()))))),1,0)</f>
        <v>0</v>
      </c>
      <c r="CS45" s="1" t="n">
        <f aca="false">IF(AND('Daily Workforce'!$N86="Y",'Daily Workforce'!$B86&lt;&gt;"",COUNTIF('Daily Schedule'!$F$5:$F48,'Daily Workforce'!$B86)=0,IF('Daily Schedule'!$A49=45,'Daily Workforce'!$J86="Y",IF(OR('Daily Schedule'!$A49=4,'Daily Schedule'!$A49=8),IF(OR(WEEKDAY('Daily Schedule'!$B$2,2)=1,WEEKDAY('Daily Schedule'!$B$2,2)=4,WEEKDAY('Daily Schedule'!$B$2,2)=5,WEEKDAY('Daily Schedule'!$B$2,2)=7),IFERROR(1*'Daily Workforce'!$K86&gt;=3,FALSE()),IFERROR(1*'Daily Workforce'!$K86&gt;=2,FALSE())),IF(AND('Daily Schedule'!$A49&gt;=46,'Daily Schedule'!$A49&lt;=52),'Daily Workforce'!$M86="Y",IFERROR(1*'Daily Workforce'!$P86&gt;=2,FALSE()))))),1,0)</f>
        <v>1</v>
      </c>
      <c r="CT45" s="1" t="n">
        <f aca="false">IF(AND('Daily Workforce'!$N87="Y",'Daily Workforce'!$B87&lt;&gt;"",COUNTIF('Daily Schedule'!$F$5:$F48,'Daily Workforce'!$B87)=0,IF('Daily Schedule'!$A49=45,'Daily Workforce'!$J87="Y",IF(OR('Daily Schedule'!$A49=4,'Daily Schedule'!$A49=8),IF(OR(WEEKDAY('Daily Schedule'!$B$2,2)=1,WEEKDAY('Daily Schedule'!$B$2,2)=4,WEEKDAY('Daily Schedule'!$B$2,2)=5,WEEKDAY('Daily Schedule'!$B$2,2)=7),IFERROR(1*'Daily Workforce'!$K87&gt;=3,FALSE()),IFERROR(1*'Daily Workforce'!$K87&gt;=2,FALSE())),IF(AND('Daily Schedule'!$A49&gt;=46,'Daily Schedule'!$A49&lt;=52),'Daily Workforce'!$M87="Y",IFERROR(1*'Daily Workforce'!$P87&gt;=2,FALSE()))))),1,0)</f>
        <v>1</v>
      </c>
      <c r="CU45" s="1" t="n">
        <f aca="false">IF(AND('Daily Workforce'!$N88="Y",'Daily Workforce'!$B88&lt;&gt;"",COUNTIF('Daily Schedule'!$F$5:$F48,'Daily Workforce'!$B88)=0,IF('Daily Schedule'!$A49=45,'Daily Workforce'!$J88="Y",IF(OR('Daily Schedule'!$A49=4,'Daily Schedule'!$A49=8),IF(OR(WEEKDAY('Daily Schedule'!$B$2,2)=1,WEEKDAY('Daily Schedule'!$B$2,2)=4,WEEKDAY('Daily Schedule'!$B$2,2)=5,WEEKDAY('Daily Schedule'!$B$2,2)=7),IFERROR(1*'Daily Workforce'!$K88&gt;=3,FALSE()),IFERROR(1*'Daily Workforce'!$K88&gt;=2,FALSE())),IF(AND('Daily Schedule'!$A49&gt;=46,'Daily Schedule'!$A49&lt;=52),'Daily Workforce'!$M88="Y",IFERROR(1*'Daily Workforce'!$P88&gt;=2,FALSE()))))),1,0)</f>
        <v>1</v>
      </c>
      <c r="CV45" s="1" t="n">
        <f aca="false">IF(AND('Daily Workforce'!$N89="Y",'Daily Workforce'!$B89&lt;&gt;"",COUNTIF('Daily Schedule'!$F$5:$F48,'Daily Workforce'!$B89)=0,IF('Daily Schedule'!$A49=45,'Daily Workforce'!$J89="Y",IF(OR('Daily Schedule'!$A49=4,'Daily Schedule'!$A49=8),IF(OR(WEEKDAY('Daily Schedule'!$B$2,2)=1,WEEKDAY('Daily Schedule'!$B$2,2)=4,WEEKDAY('Daily Schedule'!$B$2,2)=5,WEEKDAY('Daily Schedule'!$B$2,2)=7),IFERROR(1*'Daily Workforce'!$K89&gt;=3,FALSE()),IFERROR(1*'Daily Workforce'!$K89&gt;=2,FALSE())),IF(AND('Daily Schedule'!$A49&gt;=46,'Daily Schedule'!$A49&lt;=52),'Daily Workforce'!$M89="Y",IFERROR(1*'Daily Workforce'!$P89&gt;=2,FALSE()))))),1,0)</f>
        <v>1</v>
      </c>
      <c r="CW45" s="1" t="n">
        <f aca="false">IF(AND('Daily Workforce'!$N90="Y",'Daily Workforce'!$B90&lt;&gt;"",COUNTIF('Daily Schedule'!$F$5:$F48,'Daily Workforce'!$B90)=0,IF('Daily Schedule'!$A49=45,'Daily Workforce'!$J90="Y",IF(OR('Daily Schedule'!$A49=4,'Daily Schedule'!$A49=8),IF(OR(WEEKDAY('Daily Schedule'!$B$2,2)=1,WEEKDAY('Daily Schedule'!$B$2,2)=4,WEEKDAY('Daily Schedule'!$B$2,2)=5,WEEKDAY('Daily Schedule'!$B$2,2)=7),IFERROR(1*'Daily Workforce'!$K90&gt;=3,FALSE()),IFERROR(1*'Daily Workforce'!$K90&gt;=2,FALSE())),IF(AND('Daily Schedule'!$A49&gt;=46,'Daily Schedule'!$A49&lt;=52),'Daily Workforce'!$M90="Y",IFERROR(1*'Daily Workforce'!$P90&gt;=2,FALSE()))))),1,0)</f>
        <v>1</v>
      </c>
      <c r="CX45" s="1" t="n">
        <f aca="false">IF(AND('Daily Workforce'!$N91="Y",'Daily Workforce'!$B91&lt;&gt;"",COUNTIF('Daily Schedule'!$F$5:$F48,'Daily Workforce'!$B91)=0,IF('Daily Schedule'!$A49=45,'Daily Workforce'!$J91="Y",IF(OR('Daily Schedule'!$A49=4,'Daily Schedule'!$A49=8),IF(OR(WEEKDAY('Daily Schedule'!$B$2,2)=1,WEEKDAY('Daily Schedule'!$B$2,2)=4,WEEKDAY('Daily Schedule'!$B$2,2)=5,WEEKDAY('Daily Schedule'!$B$2,2)=7),IFERROR(1*'Daily Workforce'!$K91&gt;=3,FALSE()),IFERROR(1*'Daily Workforce'!$K91&gt;=2,FALSE())),IF(AND('Daily Schedule'!$A49&gt;=46,'Daily Schedule'!$A49&lt;=52),'Daily Workforce'!$M91="Y",IFERROR(1*'Daily Workforce'!$P91&gt;=2,FALSE()))))),1,0)</f>
        <v>1</v>
      </c>
      <c r="CY45" s="1" t="n">
        <f aca="false">IF(AND('Daily Workforce'!$N92="Y",'Daily Workforce'!$B92&lt;&gt;"",COUNTIF('Daily Schedule'!$F$5:$F48,'Daily Workforce'!$B92)=0,IF('Daily Schedule'!$A49=45,'Daily Workforce'!$J92="Y",IF(OR('Daily Schedule'!$A49=4,'Daily Schedule'!$A49=8),IF(OR(WEEKDAY('Daily Schedule'!$B$2,2)=1,WEEKDAY('Daily Schedule'!$B$2,2)=4,WEEKDAY('Daily Schedule'!$B$2,2)=5,WEEKDAY('Daily Schedule'!$B$2,2)=7),IFERROR(1*'Daily Workforce'!$K92&gt;=3,FALSE()),IFERROR(1*'Daily Workforce'!$K92&gt;=2,FALSE())),IF(AND('Daily Schedule'!$A49&gt;=46,'Daily Schedule'!$A49&lt;=52),'Daily Workforce'!$M92="Y",IFERROR(1*'Daily Workforce'!$P92&gt;=2,FALSE()))))),1,0)</f>
        <v>1</v>
      </c>
      <c r="CZ45" s="1" t="n">
        <f aca="false">IF(AND('Daily Workforce'!$N93="Y",'Daily Workforce'!$B93&lt;&gt;"",COUNTIF('Daily Schedule'!$F$5:$F48,'Daily Workforce'!$B93)=0,IF('Daily Schedule'!$A49=45,'Daily Workforce'!$J93="Y",IF(OR('Daily Schedule'!$A49=4,'Daily Schedule'!$A49=8),IF(OR(WEEKDAY('Daily Schedule'!$B$2,2)=1,WEEKDAY('Daily Schedule'!$B$2,2)=4,WEEKDAY('Daily Schedule'!$B$2,2)=5,WEEKDAY('Daily Schedule'!$B$2,2)=7),IFERROR(1*'Daily Workforce'!$K93&gt;=3,FALSE()),IFERROR(1*'Daily Workforce'!$K93&gt;=2,FALSE())),IF(AND('Daily Schedule'!$A49&gt;=46,'Daily Schedule'!$A49&lt;=52),'Daily Workforce'!$M93="Y",IFERROR(1*'Daily Workforce'!$P93&gt;=2,FALSE()))))),1,0)</f>
        <v>1</v>
      </c>
      <c r="DA45" s="1" t="n">
        <f aca="false">IF(AND('Daily Workforce'!$N94="Y",'Daily Workforce'!$B94&lt;&gt;"",COUNTIF('Daily Schedule'!$F$5:$F48,'Daily Workforce'!$B94)=0,IF('Daily Schedule'!$A49=45,'Daily Workforce'!$J94="Y",IF(OR('Daily Schedule'!$A49=4,'Daily Schedule'!$A49=8),IF(OR(WEEKDAY('Daily Schedule'!$B$2,2)=1,WEEKDAY('Daily Schedule'!$B$2,2)=4,WEEKDAY('Daily Schedule'!$B$2,2)=5,WEEKDAY('Daily Schedule'!$B$2,2)=7),IFERROR(1*'Daily Workforce'!$K94&gt;=3,FALSE()),IFERROR(1*'Daily Workforce'!$K94&gt;=2,FALSE())),IF(AND('Daily Schedule'!$A49&gt;=46,'Daily Schedule'!$A49&lt;=52),'Daily Workforce'!$M94="Y",IFERROR(1*'Daily Workforce'!$P94&gt;=2,FALSE()))))),1,0)</f>
        <v>1</v>
      </c>
      <c r="DB45" s="1" t="n">
        <f aca="false">IF(AND('Daily Workforce'!$N95="Y",'Daily Workforce'!$B95&lt;&gt;"",COUNTIF('Daily Schedule'!$F$5:$F48,'Daily Workforce'!$B95)=0,IF('Daily Schedule'!$A49=45,'Daily Workforce'!$J95="Y",IF(OR('Daily Schedule'!$A49=4,'Daily Schedule'!$A49=8),IF(OR(WEEKDAY('Daily Schedule'!$B$2,2)=1,WEEKDAY('Daily Schedule'!$B$2,2)=4,WEEKDAY('Daily Schedule'!$B$2,2)=5,WEEKDAY('Daily Schedule'!$B$2,2)=7),IFERROR(1*'Daily Workforce'!$K95&gt;=3,FALSE()),IFERROR(1*'Daily Workforce'!$K95&gt;=2,FALSE())),IF(AND('Daily Schedule'!$A49&gt;=46,'Daily Schedule'!$A49&lt;=52),'Daily Workforce'!$M95="Y",IFERROR(1*'Daily Workforce'!$P95&gt;=2,FALSE()))))),1,0)</f>
        <v>1</v>
      </c>
      <c r="DC45" s="1" t="n">
        <f aca="false">IF(AND('Daily Workforce'!$N96="Y",'Daily Workforce'!$B96&lt;&gt;"",COUNTIF('Daily Schedule'!$F$5:$F48,'Daily Workforce'!$B96)=0,IF('Daily Schedule'!$A49=45,'Daily Workforce'!$J96="Y",IF(OR('Daily Schedule'!$A49=4,'Daily Schedule'!$A49=8),IF(OR(WEEKDAY('Daily Schedule'!$B$2,2)=1,WEEKDAY('Daily Schedule'!$B$2,2)=4,WEEKDAY('Daily Schedule'!$B$2,2)=5,WEEKDAY('Daily Schedule'!$B$2,2)=7),IFERROR(1*'Daily Workforce'!$K96&gt;=3,FALSE()),IFERROR(1*'Daily Workforce'!$K96&gt;=2,FALSE())),IF(AND('Daily Schedule'!$A49&gt;=46,'Daily Schedule'!$A49&lt;=52),'Daily Workforce'!$M96="Y",IFERROR(1*'Daily Workforce'!$P96&gt;=2,FALSE()))))),1,0)</f>
        <v>1</v>
      </c>
      <c r="DD45" s="1" t="n">
        <f aca="false">IF(AND('Daily Workforce'!$N97="Y",'Daily Workforce'!$B97&lt;&gt;"",COUNTIF('Daily Schedule'!$F$5:$F48,'Daily Workforce'!$B97)=0,IF('Daily Schedule'!$A49=45,'Daily Workforce'!$J97="Y",IF(OR('Daily Schedule'!$A49=4,'Daily Schedule'!$A49=8),IF(OR(WEEKDAY('Daily Schedule'!$B$2,2)=1,WEEKDAY('Daily Schedule'!$B$2,2)=4,WEEKDAY('Daily Schedule'!$B$2,2)=5,WEEKDAY('Daily Schedule'!$B$2,2)=7),IFERROR(1*'Daily Workforce'!$K97&gt;=3,FALSE()),IFERROR(1*'Daily Workforce'!$K97&gt;=2,FALSE())),IF(AND('Daily Schedule'!$A49&gt;=46,'Daily Schedule'!$A49&lt;=52),'Daily Workforce'!$M97="Y",IFERROR(1*'Daily Workforce'!$P97&gt;=2,FALSE()))))),1,0)</f>
        <v>1</v>
      </c>
      <c r="DE45" s="1" t="n">
        <f aca="false">IF(AND('Daily Workforce'!$N98="Y",'Daily Workforce'!$B98&lt;&gt;"",COUNTIF('Daily Schedule'!$F$5:$F48,'Daily Workforce'!$B98)=0,IF('Daily Schedule'!$A49=45,'Daily Workforce'!$J98="Y",IF(OR('Daily Schedule'!$A49=4,'Daily Schedule'!$A49=8),IF(OR(WEEKDAY('Daily Schedule'!$B$2,2)=1,WEEKDAY('Daily Schedule'!$B$2,2)=4,WEEKDAY('Daily Schedule'!$B$2,2)=5,WEEKDAY('Daily Schedule'!$B$2,2)=7),IFERROR(1*'Daily Workforce'!$K98&gt;=3,FALSE()),IFERROR(1*'Daily Workforce'!$K98&gt;=2,FALSE())),IF(AND('Daily Schedule'!$A49&gt;=46,'Daily Schedule'!$A49&lt;=52),'Daily Workforce'!$M98="Y",IFERROR(1*'Daily Workforce'!$P98&gt;=2,FALSE()))))),1,0)</f>
        <v>1</v>
      </c>
      <c r="DF45" s="1" t="n">
        <f aca="false">IF(AND('Daily Workforce'!$N99="Y",'Daily Workforce'!$B99&lt;&gt;"",COUNTIF('Daily Schedule'!$F$5:$F48,'Daily Workforce'!$B99)=0,IF('Daily Schedule'!$A49=45,'Daily Workforce'!$J99="Y",IF(OR('Daily Schedule'!$A49=4,'Daily Schedule'!$A49=8),IF(OR(WEEKDAY('Daily Schedule'!$B$2,2)=1,WEEKDAY('Daily Schedule'!$B$2,2)=4,WEEKDAY('Daily Schedule'!$B$2,2)=5,WEEKDAY('Daily Schedule'!$B$2,2)=7),IFERROR(1*'Daily Workforce'!$K99&gt;=3,FALSE()),IFERROR(1*'Daily Workforce'!$K99&gt;=2,FALSE())),IF(AND('Daily Schedule'!$A49&gt;=46,'Daily Schedule'!$A49&lt;=52),'Daily Workforce'!$M99="Y",IFERROR(1*'Daily Workforce'!$P99&gt;=2,FALSE()))))),1,0)</f>
        <v>1</v>
      </c>
      <c r="DG45" s="1" t="n">
        <f aca="false">IF(AND('Daily Workforce'!$N100="Y",'Daily Workforce'!$B100&lt;&gt;"",COUNTIF('Daily Schedule'!$F$5:$F48,'Daily Workforce'!$B100)=0,IF('Daily Schedule'!$A49=45,'Daily Workforce'!$J100="Y",IF(OR('Daily Schedule'!$A49=4,'Daily Schedule'!$A49=8),IF(OR(WEEKDAY('Daily Schedule'!$B$2,2)=1,WEEKDAY('Daily Schedule'!$B$2,2)=4,WEEKDAY('Daily Schedule'!$B$2,2)=5,WEEKDAY('Daily Schedule'!$B$2,2)=7),IFERROR(1*'Daily Workforce'!$K100&gt;=3,FALSE()),IFERROR(1*'Daily Workforce'!$K100&gt;=2,FALSE())),IF(AND('Daily Schedule'!$A49&gt;=46,'Daily Schedule'!$A49&lt;=52),'Daily Workforce'!$M100="Y",IFERROR(1*'Daily Workforce'!$P100&gt;=2,FALSE()))))),1,0)</f>
        <v>1</v>
      </c>
      <c r="DH45" s="1" t="n">
        <f aca="false">IF(AND('Daily Workforce'!$N101="Y",'Daily Workforce'!$B101&lt;&gt;"",COUNTIF('Daily Schedule'!$F$5:$F48,'Daily Workforce'!$B101)=0,IF('Daily Schedule'!$A49=45,'Daily Workforce'!$J101="Y",IF(OR('Daily Schedule'!$A49=4,'Daily Schedule'!$A49=8),IF(OR(WEEKDAY('Daily Schedule'!$B$2,2)=1,WEEKDAY('Daily Schedule'!$B$2,2)=4,WEEKDAY('Daily Schedule'!$B$2,2)=5,WEEKDAY('Daily Schedule'!$B$2,2)=7),IFERROR(1*'Daily Workforce'!$K101&gt;=3,FALSE()),IFERROR(1*'Daily Workforce'!$K101&gt;=2,FALSE())),IF(AND('Daily Schedule'!$A49&gt;=46,'Daily Schedule'!$A49&lt;=52),'Daily Workforce'!$M101="Y",IFERROR(1*'Daily Workforce'!$P101&gt;=2,FALSE()))))),1,0)</f>
        <v>1</v>
      </c>
      <c r="DI45" s="1" t="n">
        <f aca="false">IF(AND('Daily Workforce'!$N102="Y",'Daily Workforce'!$B102&lt;&gt;"",COUNTIF('Daily Schedule'!$F$5:$F48,'Daily Workforce'!$B102)=0,IF('Daily Schedule'!$A49=45,'Daily Workforce'!$J102="Y",IF(OR('Daily Schedule'!$A49=4,'Daily Schedule'!$A49=8),IF(OR(WEEKDAY('Daily Schedule'!$B$2,2)=1,WEEKDAY('Daily Schedule'!$B$2,2)=4,WEEKDAY('Daily Schedule'!$B$2,2)=5,WEEKDAY('Daily Schedule'!$B$2,2)=7),IFERROR(1*'Daily Workforce'!$K102&gt;=3,FALSE()),IFERROR(1*'Daily Workforce'!$K102&gt;=2,FALSE())),IF(AND('Daily Schedule'!$A49&gt;=46,'Daily Schedule'!$A49&lt;=52),'Daily Workforce'!$M102="Y",IFERROR(1*'Daily Workforce'!$P102&gt;=2,FALSE()))))),1,0)</f>
        <v>1</v>
      </c>
      <c r="DJ45" s="1" t="n">
        <f aca="false">IF(AND('Daily Workforce'!$N103="Y",'Daily Workforce'!$B103&lt;&gt;"",COUNTIF('Daily Schedule'!$F$5:$F48,'Daily Workforce'!$B103)=0,IF('Daily Schedule'!$A49=45,'Daily Workforce'!$J103="Y",IF(OR('Daily Schedule'!$A49=4,'Daily Schedule'!$A49=8),IF(OR(WEEKDAY('Daily Schedule'!$B$2,2)=1,WEEKDAY('Daily Schedule'!$B$2,2)=4,WEEKDAY('Daily Schedule'!$B$2,2)=5,WEEKDAY('Daily Schedule'!$B$2,2)=7),IFERROR(1*'Daily Workforce'!$K103&gt;=3,FALSE()),IFERROR(1*'Daily Workforce'!$K103&gt;=2,FALSE())),IF(AND('Daily Schedule'!$A49&gt;=46,'Daily Schedule'!$A49&lt;=52),'Daily Workforce'!$M103="Y",IFERROR(1*'Daily Workforce'!$P103&gt;=2,FALSE()))))),1,0)</f>
        <v>1</v>
      </c>
      <c r="DK45" s="1" t="n">
        <f aca="false">IF(AND('Daily Workforce'!$N104="Y",'Daily Workforce'!$B104&lt;&gt;"",COUNTIF('Daily Schedule'!$F$5:$F48,'Daily Workforce'!$B104)=0,IF('Daily Schedule'!$A49=45,'Daily Workforce'!$J104="Y",IF(OR('Daily Schedule'!$A49=4,'Daily Schedule'!$A49=8),IF(OR(WEEKDAY('Daily Schedule'!$B$2,2)=1,WEEKDAY('Daily Schedule'!$B$2,2)=4,WEEKDAY('Daily Schedule'!$B$2,2)=5,WEEKDAY('Daily Schedule'!$B$2,2)=7),IFERROR(1*'Daily Workforce'!$K104&gt;=3,FALSE()),IFERROR(1*'Daily Workforce'!$K104&gt;=2,FALSE())),IF(AND('Daily Schedule'!$A49&gt;=46,'Daily Schedule'!$A49&lt;=52),'Daily Workforce'!$M104="Y",IFERROR(1*'Daily Workforce'!$P104&gt;=2,FALSE()))))),1,0)</f>
        <v>1</v>
      </c>
      <c r="DL45" s="1" t="n">
        <f aca="false">IF(AND('Daily Workforce'!$N105="Y",'Daily Workforce'!$B105&lt;&gt;"",COUNTIF('Daily Schedule'!$F$5:$F48,'Daily Workforce'!$B105)=0,IF('Daily Schedule'!$A49=45,'Daily Workforce'!$J105="Y",IF(OR('Daily Schedule'!$A49=4,'Daily Schedule'!$A49=8),IF(OR(WEEKDAY('Daily Schedule'!$B$2,2)=1,WEEKDAY('Daily Schedule'!$B$2,2)=4,WEEKDAY('Daily Schedule'!$B$2,2)=5,WEEKDAY('Daily Schedule'!$B$2,2)=7),IFERROR(1*'Daily Workforce'!$K105&gt;=3,FALSE()),IFERROR(1*'Daily Workforce'!$K105&gt;=2,FALSE())),IF(AND('Daily Schedule'!$A49&gt;=46,'Daily Schedule'!$A49&lt;=52),'Daily Workforce'!$M105="Y",IFERROR(1*'Daily Workforce'!$P105&gt;=2,FALSE()))))),1,0)</f>
        <v>0</v>
      </c>
      <c r="DM45" s="1" t="n">
        <f aca="false">IF(AND('Daily Workforce'!$N106="Y",'Daily Workforce'!$B106&lt;&gt;"",COUNTIF('Daily Schedule'!$F$5:$F48,'Daily Workforce'!$B106)=0,IF('Daily Schedule'!$A49=45,'Daily Workforce'!$J106="Y",IF(OR('Daily Schedule'!$A49=4,'Daily Schedule'!$A49=8),IF(OR(WEEKDAY('Daily Schedule'!$B$2,2)=1,WEEKDAY('Daily Schedule'!$B$2,2)=4,WEEKDAY('Daily Schedule'!$B$2,2)=5,WEEKDAY('Daily Schedule'!$B$2,2)=7),IFERROR(1*'Daily Workforce'!$K106&gt;=3,FALSE()),IFERROR(1*'Daily Workforce'!$K106&gt;=2,FALSE())),IF(AND('Daily Schedule'!$A49&gt;=46,'Daily Schedule'!$A49&lt;=52),'Daily Workforce'!$M106="Y",IFERROR(1*'Daily Workforce'!$P106&gt;=2,FALSE()))))),1,0)</f>
        <v>1</v>
      </c>
      <c r="DN45" s="1" t="n">
        <f aca="false">IF(AND('Daily Workforce'!$N107="Y",'Daily Workforce'!$B107&lt;&gt;"",COUNTIF('Daily Schedule'!$F$5:$F48,'Daily Workforce'!$B107)=0,IF('Daily Schedule'!$A49=45,'Daily Workforce'!$J107="Y",IF(OR('Daily Schedule'!$A49=4,'Daily Schedule'!$A49=8),IF(OR(WEEKDAY('Daily Schedule'!$B$2,2)=1,WEEKDAY('Daily Schedule'!$B$2,2)=4,WEEKDAY('Daily Schedule'!$B$2,2)=5,WEEKDAY('Daily Schedule'!$B$2,2)=7),IFERROR(1*'Daily Workforce'!$K107&gt;=3,FALSE()),IFERROR(1*'Daily Workforce'!$K107&gt;=2,FALSE())),IF(AND('Daily Schedule'!$A49&gt;=46,'Daily Schedule'!$A49&lt;=52),'Daily Workforce'!$M107="Y",IFERROR(1*'Daily Workforce'!$P107&gt;=2,FALSE()))))),1,0)</f>
        <v>1</v>
      </c>
      <c r="DO45" s="1" t="n">
        <f aca="false">IF(AND('Daily Workforce'!$N108="Y",'Daily Workforce'!$B108&lt;&gt;"",COUNTIF('Daily Schedule'!$F$5:$F48,'Daily Workforce'!$B108)=0,IF('Daily Schedule'!$A49=45,'Daily Workforce'!$J108="Y",IF(OR('Daily Schedule'!$A49=4,'Daily Schedule'!$A49=8),IF(OR(WEEKDAY('Daily Schedule'!$B$2,2)=1,WEEKDAY('Daily Schedule'!$B$2,2)=4,WEEKDAY('Daily Schedule'!$B$2,2)=5,WEEKDAY('Daily Schedule'!$B$2,2)=7),IFERROR(1*'Daily Workforce'!$K108&gt;=3,FALSE()),IFERROR(1*'Daily Workforce'!$K108&gt;=2,FALSE())),IF(AND('Daily Schedule'!$A49&gt;=46,'Daily Schedule'!$A49&lt;=52),'Daily Workforce'!$M108="Y",IFERROR(1*'Daily Workforce'!$P108&gt;=2,FALSE()))))),1,0)</f>
        <v>1</v>
      </c>
      <c r="DP45" s="1" t="n">
        <f aca="false">IF(AND('Daily Workforce'!$N109="Y",'Daily Workforce'!$B109&lt;&gt;"",COUNTIF('Daily Schedule'!$F$5:$F48,'Daily Workforce'!$B109)=0,IF('Daily Schedule'!$A49=45,'Daily Workforce'!$J109="Y",IF(OR('Daily Schedule'!$A49=4,'Daily Schedule'!$A49=8),IF(OR(WEEKDAY('Daily Schedule'!$B$2,2)=1,WEEKDAY('Daily Schedule'!$B$2,2)=4,WEEKDAY('Daily Schedule'!$B$2,2)=5,WEEKDAY('Daily Schedule'!$B$2,2)=7),IFERROR(1*'Daily Workforce'!$K109&gt;=3,FALSE()),IFERROR(1*'Daily Workforce'!$K109&gt;=2,FALSE())),IF(AND('Daily Schedule'!$A49&gt;=46,'Daily Schedule'!$A49&lt;=52),'Daily Workforce'!$M109="Y",IFERROR(1*'Daily Workforce'!$P109&gt;=2,FALSE()))))),1,0)</f>
        <v>1</v>
      </c>
      <c r="DQ45" s="1" t="n">
        <f aca="false">IF(AND('Daily Workforce'!$N110="Y",'Daily Workforce'!$B110&lt;&gt;"",COUNTIF('Daily Schedule'!$F$5:$F48,'Daily Workforce'!$B110)=0,IF('Daily Schedule'!$A49=45,'Daily Workforce'!$J110="Y",IF(OR('Daily Schedule'!$A49=4,'Daily Schedule'!$A49=8),IF(OR(WEEKDAY('Daily Schedule'!$B$2,2)=1,WEEKDAY('Daily Schedule'!$B$2,2)=4,WEEKDAY('Daily Schedule'!$B$2,2)=5,WEEKDAY('Daily Schedule'!$B$2,2)=7),IFERROR(1*'Daily Workforce'!$K110&gt;=3,FALSE()),IFERROR(1*'Daily Workforce'!$K110&gt;=2,FALSE())),IF(AND('Daily Schedule'!$A49&gt;=46,'Daily Schedule'!$A49&lt;=52),'Daily Workforce'!$M110="Y",IFERROR(1*'Daily Workforce'!$P110&gt;=2,FALSE()))))),1,0)</f>
        <v>1</v>
      </c>
      <c r="DR45" s="1" t="n">
        <f aca="false">IF(AND('Daily Workforce'!$N111="Y",'Daily Workforce'!$B111&lt;&gt;"",COUNTIF('Daily Schedule'!$F$5:$F48,'Daily Workforce'!$B111)=0,IF('Daily Schedule'!$A49=45,'Daily Workforce'!$J111="Y",IF(OR('Daily Schedule'!$A49=4,'Daily Schedule'!$A49=8),IF(OR(WEEKDAY('Daily Schedule'!$B$2,2)=1,WEEKDAY('Daily Schedule'!$B$2,2)=4,WEEKDAY('Daily Schedule'!$B$2,2)=5,WEEKDAY('Daily Schedule'!$B$2,2)=7),IFERROR(1*'Daily Workforce'!$K111&gt;=3,FALSE()),IFERROR(1*'Daily Workforce'!$K111&gt;=2,FALSE())),IF(AND('Daily Schedule'!$A49&gt;=46,'Daily Schedule'!$A49&lt;=52),'Daily Workforce'!$M111="Y",IFERROR(1*'Daily Workforce'!$P111&gt;=2,FALSE()))))),1,0)</f>
        <v>1</v>
      </c>
      <c r="DS45" s="1" t="n">
        <f aca="false">IF(AND('Daily Workforce'!$N112="Y",'Daily Workforce'!$B112&lt;&gt;"",COUNTIF('Daily Schedule'!$F$5:$F48,'Daily Workforce'!$B112)=0,IF('Daily Schedule'!$A49=45,'Daily Workforce'!$J112="Y",IF(OR('Daily Schedule'!$A49=4,'Daily Schedule'!$A49=8),IF(OR(WEEKDAY('Daily Schedule'!$B$2,2)=1,WEEKDAY('Daily Schedule'!$B$2,2)=4,WEEKDAY('Daily Schedule'!$B$2,2)=5,WEEKDAY('Daily Schedule'!$B$2,2)=7),IFERROR(1*'Daily Workforce'!$K112&gt;=3,FALSE()),IFERROR(1*'Daily Workforce'!$K112&gt;=2,FALSE())),IF(AND('Daily Schedule'!$A49&gt;=46,'Daily Schedule'!$A49&lt;=52),'Daily Workforce'!$M112="Y",IFERROR(1*'Daily Workforce'!$P112&gt;=2,FALSE()))))),1,0)</f>
        <v>1</v>
      </c>
      <c r="DT45" s="1" t="n">
        <f aca="false">IF(AND('Daily Workforce'!$N113="Y",'Daily Workforce'!$B113&lt;&gt;"",COUNTIF('Daily Schedule'!$F$5:$F48,'Daily Workforce'!$B113)=0,IF('Daily Schedule'!$A49=45,'Daily Workforce'!$J113="Y",IF(OR('Daily Schedule'!$A49=4,'Daily Schedule'!$A49=8),IF(OR(WEEKDAY('Daily Schedule'!$B$2,2)=1,WEEKDAY('Daily Schedule'!$B$2,2)=4,WEEKDAY('Daily Schedule'!$B$2,2)=5,WEEKDAY('Daily Schedule'!$B$2,2)=7),IFERROR(1*'Daily Workforce'!$K113&gt;=3,FALSE()),IFERROR(1*'Daily Workforce'!$K113&gt;=2,FALSE())),IF(AND('Daily Schedule'!$A49&gt;=46,'Daily Schedule'!$A49&lt;=52),'Daily Workforce'!$M113="Y",IFERROR(1*'Daily Workforce'!$P113&gt;=2,FALSE()))))),1,0)</f>
        <v>1</v>
      </c>
      <c r="DU45" s="1" t="n">
        <f aca="false">IF(AND('Daily Workforce'!$N114="Y",'Daily Workforce'!$B114&lt;&gt;"",COUNTIF('Daily Schedule'!$F$5:$F48,'Daily Workforce'!$B114)=0,IF('Daily Schedule'!$A49=45,'Daily Workforce'!$J114="Y",IF(OR('Daily Schedule'!$A49=4,'Daily Schedule'!$A49=8),IF(OR(WEEKDAY('Daily Schedule'!$B$2,2)=1,WEEKDAY('Daily Schedule'!$B$2,2)=4,WEEKDAY('Daily Schedule'!$B$2,2)=5,WEEKDAY('Daily Schedule'!$B$2,2)=7),IFERROR(1*'Daily Workforce'!$K114&gt;=3,FALSE()),IFERROR(1*'Daily Workforce'!$K114&gt;=2,FALSE())),IF(AND('Daily Schedule'!$A49&gt;=46,'Daily Schedule'!$A49&lt;=52),'Daily Workforce'!$M114="Y",IFERROR(1*'Daily Workforce'!$P114&gt;=2,FALSE()))))),1,0)</f>
        <v>1</v>
      </c>
      <c r="DV45" s="1" t="n">
        <f aca="false">IF(AND('Daily Workforce'!$N115="Y",'Daily Workforce'!$B115&lt;&gt;"",COUNTIF('Daily Schedule'!$F$5:$F48,'Daily Workforce'!$B115)=0,IF('Daily Schedule'!$A49=45,'Daily Workforce'!$J115="Y",IF(OR('Daily Schedule'!$A49=4,'Daily Schedule'!$A49=8),IF(OR(WEEKDAY('Daily Schedule'!$B$2,2)=1,WEEKDAY('Daily Schedule'!$B$2,2)=4,WEEKDAY('Daily Schedule'!$B$2,2)=5,WEEKDAY('Daily Schedule'!$B$2,2)=7),IFERROR(1*'Daily Workforce'!$K115&gt;=3,FALSE()),IFERROR(1*'Daily Workforce'!$K115&gt;=2,FALSE())),IF(AND('Daily Schedule'!$A49&gt;=46,'Daily Schedule'!$A49&lt;=52),'Daily Workforce'!$M115="Y",IFERROR(1*'Daily Workforce'!$P115&gt;=2,FALSE()))))),1,0)</f>
        <v>1</v>
      </c>
      <c r="DW45" s="1" t="n">
        <f aca="false">IF(AND('Daily Workforce'!$N116="Y",'Daily Workforce'!$B116&lt;&gt;"",COUNTIF('Daily Schedule'!$F$5:$F48,'Daily Workforce'!$B116)=0,IF('Daily Schedule'!$A49=45,'Daily Workforce'!$J116="Y",IF(OR('Daily Schedule'!$A49=4,'Daily Schedule'!$A49=8),IF(OR(WEEKDAY('Daily Schedule'!$B$2,2)=1,WEEKDAY('Daily Schedule'!$B$2,2)=4,WEEKDAY('Daily Schedule'!$B$2,2)=5,WEEKDAY('Daily Schedule'!$B$2,2)=7),IFERROR(1*'Daily Workforce'!$K116&gt;=3,FALSE()),IFERROR(1*'Daily Workforce'!$K116&gt;=2,FALSE())),IF(AND('Daily Schedule'!$A49&gt;=46,'Daily Schedule'!$A49&lt;=52),'Daily Workforce'!$M116="Y",IFERROR(1*'Daily Workforce'!$P116&gt;=2,FALSE()))))),1,0)</f>
        <v>1</v>
      </c>
      <c r="DX45" s="1" t="n">
        <f aca="false">IF(AND('Daily Workforce'!$N117="Y",'Daily Workforce'!$B117&lt;&gt;"",COUNTIF('Daily Schedule'!$F$5:$F48,'Daily Workforce'!$B117)=0,IF('Daily Schedule'!$A49=45,'Daily Workforce'!$J117="Y",IF(OR('Daily Schedule'!$A49=4,'Daily Schedule'!$A49=8),IF(OR(WEEKDAY('Daily Schedule'!$B$2,2)=1,WEEKDAY('Daily Schedule'!$B$2,2)=4,WEEKDAY('Daily Schedule'!$B$2,2)=5,WEEKDAY('Daily Schedule'!$B$2,2)=7),IFERROR(1*'Daily Workforce'!$K117&gt;=3,FALSE()),IFERROR(1*'Daily Workforce'!$K117&gt;=2,FALSE())),IF(AND('Daily Schedule'!$A49&gt;=46,'Daily Schedule'!$A49&lt;=52),'Daily Workforce'!$M117="Y",IFERROR(1*'Daily Workforce'!$P117&gt;=2,FALSE()))))),1,0)</f>
        <v>1</v>
      </c>
      <c r="DY45" s="1" t="n">
        <f aca="false">IF(AND('Daily Workforce'!$N118="Y",'Daily Workforce'!$B118&lt;&gt;"",COUNTIF('Daily Schedule'!$F$5:$F48,'Daily Workforce'!$B118)=0,IF('Daily Schedule'!$A49=45,'Daily Workforce'!$J118="Y",IF(OR('Daily Schedule'!$A49=4,'Daily Schedule'!$A49=8),IF(OR(WEEKDAY('Daily Schedule'!$B$2,2)=1,WEEKDAY('Daily Schedule'!$B$2,2)=4,WEEKDAY('Daily Schedule'!$B$2,2)=5,WEEKDAY('Daily Schedule'!$B$2,2)=7),IFERROR(1*'Daily Workforce'!$K118&gt;=3,FALSE()),IFERROR(1*'Daily Workforce'!$K118&gt;=2,FALSE())),IF(AND('Daily Schedule'!$A49&gt;=46,'Daily Schedule'!$A49&lt;=52),'Daily Workforce'!$M118="Y",IFERROR(1*'Daily Workforce'!$P118&gt;=2,FALSE()))))),1,0)</f>
        <v>0</v>
      </c>
      <c r="DZ45" s="1" t="n">
        <f aca="false">IF(AND('Daily Workforce'!$N119="Y",'Daily Workforce'!$B119&lt;&gt;"",COUNTIF('Daily Schedule'!$F$5:$F48,'Daily Workforce'!$B119)=0,IF('Daily Schedule'!$A49=45,'Daily Workforce'!$J119="Y",IF(OR('Daily Schedule'!$A49=4,'Daily Schedule'!$A49=8),IF(OR(WEEKDAY('Daily Schedule'!$B$2,2)=1,WEEKDAY('Daily Schedule'!$B$2,2)=4,WEEKDAY('Daily Schedule'!$B$2,2)=5,WEEKDAY('Daily Schedule'!$B$2,2)=7),IFERROR(1*'Daily Workforce'!$K119&gt;=3,FALSE()),IFERROR(1*'Daily Workforce'!$K119&gt;=2,FALSE())),IF(AND('Daily Schedule'!$A49&gt;=46,'Daily Schedule'!$A49&lt;=52),'Daily Workforce'!$M119="Y",IFERROR(1*'Daily Workforce'!$P119&gt;=2,FALSE()))))),1,0)</f>
        <v>0</v>
      </c>
      <c r="EA45" s="1" t="n">
        <f aca="false">IF(AND('Daily Workforce'!$N120="Y",'Daily Workforce'!$B120&lt;&gt;"",COUNTIF('Daily Schedule'!$F$5:$F48,'Daily Workforce'!$B120)=0,IF('Daily Schedule'!$A49=45,'Daily Workforce'!$J120="Y",IF(OR('Daily Schedule'!$A49=4,'Daily Schedule'!$A49=8),IF(OR(WEEKDAY('Daily Schedule'!$B$2,2)=1,WEEKDAY('Daily Schedule'!$B$2,2)=4,WEEKDAY('Daily Schedule'!$B$2,2)=5,WEEKDAY('Daily Schedule'!$B$2,2)=7),IFERROR(1*'Daily Workforce'!$K120&gt;=3,FALSE()),IFERROR(1*'Daily Workforce'!$K120&gt;=2,FALSE())),IF(AND('Daily Schedule'!$A49&gt;=46,'Daily Schedule'!$A49&lt;=52),'Daily Workforce'!$M120="Y",IFERROR(1*'Daily Workforce'!$P120&gt;=2,FALSE()))))),1,0)</f>
        <v>0</v>
      </c>
      <c r="EB45" s="1" t="n">
        <f aca="false">IF(AND('Daily Workforce'!$N121="Y",'Daily Workforce'!$B121&lt;&gt;"",COUNTIF('Daily Schedule'!$F$5:$F48,'Daily Workforce'!$B121)=0,IF('Daily Schedule'!$A49=45,'Daily Workforce'!$J121="Y",IF(OR('Daily Schedule'!$A49=4,'Daily Schedule'!$A49=8),IF(OR(WEEKDAY('Daily Schedule'!$B$2,2)=1,WEEKDAY('Daily Schedule'!$B$2,2)=4,WEEKDAY('Daily Schedule'!$B$2,2)=5,WEEKDAY('Daily Schedule'!$B$2,2)=7),IFERROR(1*'Daily Workforce'!$K121&gt;=3,FALSE()),IFERROR(1*'Daily Workforce'!$K121&gt;=2,FALSE())),IF(AND('Daily Schedule'!$A49&gt;=46,'Daily Schedule'!$A49&lt;=52),'Daily Workforce'!$M121="Y",IFERROR(1*'Daily Workforce'!$P121&gt;=2,FALSE()))))),1,0)</f>
        <v>0</v>
      </c>
      <c r="EC45" s="1" t="n">
        <f aca="false">IF(AND('Daily Workforce'!$N122="Y",'Daily Workforce'!$B122&lt;&gt;"",COUNTIF('Daily Schedule'!$F$5:$F48,'Daily Workforce'!$B122)=0,IF('Daily Schedule'!$A49=45,'Daily Workforce'!$J122="Y",IF(OR('Daily Schedule'!$A49=4,'Daily Schedule'!$A49=8),IF(OR(WEEKDAY('Daily Schedule'!$B$2,2)=1,WEEKDAY('Daily Schedule'!$B$2,2)=4,WEEKDAY('Daily Schedule'!$B$2,2)=5,WEEKDAY('Daily Schedule'!$B$2,2)=7),IFERROR(1*'Daily Workforce'!$K122&gt;=3,FALSE()),IFERROR(1*'Daily Workforce'!$K122&gt;=2,FALSE())),IF(AND('Daily Schedule'!$A49&gt;=46,'Daily Schedule'!$A49&lt;=52),'Daily Workforce'!$M122="Y",IFERROR(1*'Daily Workforce'!$P122&gt;=2,FALSE()))))),1,0)</f>
        <v>0</v>
      </c>
      <c r="ED45" s="1" t="n">
        <f aca="false">IF(AND('Daily Workforce'!$N123="Y",'Daily Workforce'!$B123&lt;&gt;"",COUNTIF('Daily Schedule'!$F$5:$F48,'Daily Workforce'!$B123)=0,IF('Daily Schedule'!$A49=45,'Daily Workforce'!$J123="Y",IF(OR('Daily Schedule'!$A49=4,'Daily Schedule'!$A49=8),IF(OR(WEEKDAY('Daily Schedule'!$B$2,2)=1,WEEKDAY('Daily Schedule'!$B$2,2)=4,WEEKDAY('Daily Schedule'!$B$2,2)=5,WEEKDAY('Daily Schedule'!$B$2,2)=7),IFERROR(1*'Daily Workforce'!$K123&gt;=3,FALSE()),IFERROR(1*'Daily Workforce'!$K123&gt;=2,FALSE())),IF(AND('Daily Schedule'!$A49&gt;=46,'Daily Schedule'!$A49&lt;=52),'Daily Workforce'!$M123="Y",IFERROR(1*'Daily Workforce'!$P123&gt;=2,FALSE()))))),1,0)</f>
        <v>0</v>
      </c>
      <c r="EE45" s="1" t="n">
        <f aca="false">IF(AND('Daily Workforce'!$N124="Y",'Daily Workforce'!$B124&lt;&gt;"",COUNTIF('Daily Schedule'!$F$5:$F48,'Daily Workforce'!$B124)=0,IF('Daily Schedule'!$A49=45,'Daily Workforce'!$J124="Y",IF(OR('Daily Schedule'!$A49=4,'Daily Schedule'!$A49=8),IF(OR(WEEKDAY('Daily Schedule'!$B$2,2)=1,WEEKDAY('Daily Schedule'!$B$2,2)=4,WEEKDAY('Daily Schedule'!$B$2,2)=5,WEEKDAY('Daily Schedule'!$B$2,2)=7),IFERROR(1*'Daily Workforce'!$K124&gt;=3,FALSE()),IFERROR(1*'Daily Workforce'!$K124&gt;=2,FALSE())),IF(AND('Daily Schedule'!$A49&gt;=46,'Daily Schedule'!$A49&lt;=52),'Daily Workforce'!$M124="Y",IFERROR(1*'Daily Workforce'!$P124&gt;=2,FALSE()))))),1,0)</f>
        <v>0</v>
      </c>
      <c r="EF45" s="1" t="n">
        <f aca="false">IF(AND('Daily Workforce'!$N125="Y",'Daily Workforce'!$B125&lt;&gt;"",COUNTIF('Daily Schedule'!$F$5:$F48,'Daily Workforce'!$B125)=0,IF('Daily Schedule'!$A49=45,'Daily Workforce'!$J125="Y",IF(OR('Daily Schedule'!$A49=4,'Daily Schedule'!$A49=8),IF(OR(WEEKDAY('Daily Schedule'!$B$2,2)=1,WEEKDAY('Daily Schedule'!$B$2,2)=4,WEEKDAY('Daily Schedule'!$B$2,2)=5,WEEKDAY('Daily Schedule'!$B$2,2)=7),IFERROR(1*'Daily Workforce'!$K125&gt;=3,FALSE()),IFERROR(1*'Daily Workforce'!$K125&gt;=2,FALSE())),IF(AND('Daily Schedule'!$A49&gt;=46,'Daily Schedule'!$A49&lt;=52),'Daily Workforce'!$M125="Y",IFERROR(1*'Daily Workforce'!$P125&gt;=2,FALSE()))))),1,0)</f>
        <v>0</v>
      </c>
      <c r="EG45" s="1" t="n">
        <f aca="false">IF(AND('Daily Workforce'!$N126="Y",'Daily Workforce'!$B126&lt;&gt;"",COUNTIF('Daily Schedule'!$F$5:$F48,'Daily Workforce'!$B126)=0,IF('Daily Schedule'!$A49=45,'Daily Workforce'!$J126="Y",IF(OR('Daily Schedule'!$A49=4,'Daily Schedule'!$A49=8),IF(OR(WEEKDAY('Daily Schedule'!$B$2,2)=1,WEEKDAY('Daily Schedule'!$B$2,2)=4,WEEKDAY('Daily Schedule'!$B$2,2)=5,WEEKDAY('Daily Schedule'!$B$2,2)=7),IFERROR(1*'Daily Workforce'!$K126&gt;=3,FALSE()),IFERROR(1*'Daily Workforce'!$K126&gt;=2,FALSE())),IF(AND('Daily Schedule'!$A49&gt;=46,'Daily Schedule'!$A49&lt;=52),'Daily Workforce'!$M126="Y",IFERROR(1*'Daily Workforce'!$P126&gt;=2,FALSE()))))),1,0)</f>
        <v>0</v>
      </c>
      <c r="EH45" s="1" t="n">
        <f aca="false">IF(AND('Daily Workforce'!$N127="Y",'Daily Workforce'!$B127&lt;&gt;"",COUNTIF('Daily Schedule'!$F$5:$F48,'Daily Workforce'!$B127)=0,IF('Daily Schedule'!$A49=45,'Daily Workforce'!$J127="Y",IF(OR('Daily Schedule'!$A49=4,'Daily Schedule'!$A49=8),IF(OR(WEEKDAY('Daily Schedule'!$B$2,2)=1,WEEKDAY('Daily Schedule'!$B$2,2)=4,WEEKDAY('Daily Schedule'!$B$2,2)=5,WEEKDAY('Daily Schedule'!$B$2,2)=7),IFERROR(1*'Daily Workforce'!$K127&gt;=3,FALSE()),IFERROR(1*'Daily Workforce'!$K127&gt;=2,FALSE())),IF(AND('Daily Schedule'!$A49&gt;=46,'Daily Schedule'!$A49&lt;=52),'Daily Workforce'!$M127="Y",IFERROR(1*'Daily Workforce'!$P127&gt;=2,FALSE()))))),1,0)</f>
        <v>0</v>
      </c>
      <c r="EI45" s="1" t="n">
        <f aca="false">IF(AND('Daily Workforce'!$N128="Y",'Daily Workforce'!$B128&lt;&gt;"",COUNTIF('Daily Schedule'!$F$5:$F48,'Daily Workforce'!$B128)=0,IF('Daily Schedule'!$A49=45,'Daily Workforce'!$J128="Y",IF(OR('Daily Schedule'!$A49=4,'Daily Schedule'!$A49=8),IF(OR(WEEKDAY('Daily Schedule'!$B$2,2)=1,WEEKDAY('Daily Schedule'!$B$2,2)=4,WEEKDAY('Daily Schedule'!$B$2,2)=5,WEEKDAY('Daily Schedule'!$B$2,2)=7),IFERROR(1*'Daily Workforce'!$K128&gt;=3,FALSE()),IFERROR(1*'Daily Workforce'!$K128&gt;=2,FALSE())),IF(AND('Daily Schedule'!$A49&gt;=46,'Daily Schedule'!$A49&lt;=52),'Daily Workforce'!$M128="Y",IFERROR(1*'Daily Workforce'!$P128&gt;=2,FALSE()))))),1,0)</f>
        <v>0</v>
      </c>
      <c r="EJ45" s="1" t="n">
        <f aca="false">IF(AND('Daily Workforce'!$N129="Y",'Daily Workforce'!$B129&lt;&gt;"",COUNTIF('Daily Schedule'!$F$5:$F48,'Daily Workforce'!$B129)=0,IF('Daily Schedule'!$A49=45,'Daily Workforce'!$J129="Y",IF(OR('Daily Schedule'!$A49=4,'Daily Schedule'!$A49=8),IF(OR(WEEKDAY('Daily Schedule'!$B$2,2)=1,WEEKDAY('Daily Schedule'!$B$2,2)=4,WEEKDAY('Daily Schedule'!$B$2,2)=5,WEEKDAY('Daily Schedule'!$B$2,2)=7),IFERROR(1*'Daily Workforce'!$K129&gt;=3,FALSE()),IFERROR(1*'Daily Workforce'!$K129&gt;=2,FALSE())),IF(AND('Daily Schedule'!$A49&gt;=46,'Daily Schedule'!$A49&lt;=52),'Daily Workforce'!$M129="Y",IFERROR(1*'Daily Workforce'!$P129&gt;=2,FALSE()))))),1,0)</f>
        <v>0</v>
      </c>
      <c r="EK45" s="1" t="n">
        <f aca="false">IF(AND('Daily Workforce'!$N130="Y",'Daily Workforce'!$B130&lt;&gt;"",COUNTIF('Daily Schedule'!$F$5:$F48,'Daily Workforce'!$B130)=0,IF('Daily Schedule'!$A49=45,'Daily Workforce'!$J130="Y",IF(OR('Daily Schedule'!$A49=4,'Daily Schedule'!$A49=8),IF(OR(WEEKDAY('Daily Schedule'!$B$2,2)=1,WEEKDAY('Daily Schedule'!$B$2,2)=4,WEEKDAY('Daily Schedule'!$B$2,2)=5,WEEKDAY('Daily Schedule'!$B$2,2)=7),IFERROR(1*'Daily Workforce'!$K130&gt;=3,FALSE()),IFERROR(1*'Daily Workforce'!$K130&gt;=2,FALSE())),IF(AND('Daily Schedule'!$A49&gt;=46,'Daily Schedule'!$A49&lt;=52),'Daily Workforce'!$M130="Y",IFERROR(1*'Daily Workforce'!$P130&gt;=2,FALSE()))))),1,0)</f>
        <v>0</v>
      </c>
      <c r="EL45" s="1" t="n">
        <f aca="false">IF(AND('Daily Workforce'!$N131="Y",'Daily Workforce'!$B131&lt;&gt;"",COUNTIF('Daily Schedule'!$F$5:$F48,'Daily Workforce'!$B131)=0,IF('Daily Schedule'!$A49=45,'Daily Workforce'!$J131="Y",IF(OR('Daily Schedule'!$A49=4,'Daily Schedule'!$A49=8),IF(OR(WEEKDAY('Daily Schedule'!$B$2,2)=1,WEEKDAY('Daily Schedule'!$B$2,2)=4,WEEKDAY('Daily Schedule'!$B$2,2)=5,WEEKDAY('Daily Schedule'!$B$2,2)=7),IFERROR(1*'Daily Workforce'!$K131&gt;=3,FALSE()),IFERROR(1*'Daily Workforce'!$K131&gt;=2,FALSE())),IF(AND('Daily Schedule'!$A49&gt;=46,'Daily Schedule'!$A49&lt;=52),'Daily Workforce'!$M131="Y",IFERROR(1*'Daily Workforce'!$P131&gt;=2,FALSE()))))),1,0)</f>
        <v>0</v>
      </c>
      <c r="EM45" s="1" t="n">
        <f aca="false">IF(AND('Daily Workforce'!$N132="Y",'Daily Workforce'!$B132&lt;&gt;"",COUNTIF('Daily Schedule'!$F$5:$F48,'Daily Workforce'!$B132)=0,IF('Daily Schedule'!$A49=45,'Daily Workforce'!$J132="Y",IF(OR('Daily Schedule'!$A49=4,'Daily Schedule'!$A49=8),IF(OR(WEEKDAY('Daily Schedule'!$B$2,2)=1,WEEKDAY('Daily Schedule'!$B$2,2)=4,WEEKDAY('Daily Schedule'!$B$2,2)=5,WEEKDAY('Daily Schedule'!$B$2,2)=7),IFERROR(1*'Daily Workforce'!$K132&gt;=3,FALSE()),IFERROR(1*'Daily Workforce'!$K132&gt;=2,FALSE())),IF(AND('Daily Schedule'!$A49&gt;=46,'Daily Schedule'!$A49&lt;=52),'Daily Workforce'!$M132="Y",IFERROR(1*'Daily Workforce'!$P132&gt;=2,FALSE()))))),1,0)</f>
        <v>0</v>
      </c>
      <c r="EN45" s="1" t="n">
        <f aca="false">IF(AND('Daily Workforce'!$N133="Y",'Daily Workforce'!$B133&lt;&gt;"",COUNTIF('Daily Schedule'!$F$5:$F48,'Daily Workforce'!$B133)=0,IF('Daily Schedule'!$A49=45,'Daily Workforce'!$J133="Y",IF(OR('Daily Schedule'!$A49=4,'Daily Schedule'!$A49=8),IF(OR(WEEKDAY('Daily Schedule'!$B$2,2)=1,WEEKDAY('Daily Schedule'!$B$2,2)=4,WEEKDAY('Daily Schedule'!$B$2,2)=5,WEEKDAY('Daily Schedule'!$B$2,2)=7),IFERROR(1*'Daily Workforce'!$K133&gt;=3,FALSE()),IFERROR(1*'Daily Workforce'!$K133&gt;=2,FALSE())),IF(AND('Daily Schedule'!$A49&gt;=46,'Daily Schedule'!$A49&lt;=52),'Daily Workforce'!$M133="Y",IFERROR(1*'Daily Workforce'!$P133&gt;=2,FALSE()))))),1,0)</f>
        <v>0</v>
      </c>
      <c r="EO45" s="1" t="n">
        <f aca="false">IF(AND('Daily Workforce'!$N134="Y",'Daily Workforce'!$B134&lt;&gt;"",COUNTIF('Daily Schedule'!$F$5:$F48,'Daily Workforce'!$B134)=0,IF('Daily Schedule'!$A49=45,'Daily Workforce'!$J134="Y",IF(OR('Daily Schedule'!$A49=4,'Daily Schedule'!$A49=8),IF(OR(WEEKDAY('Daily Schedule'!$B$2,2)=1,WEEKDAY('Daily Schedule'!$B$2,2)=4,WEEKDAY('Daily Schedule'!$B$2,2)=5,WEEKDAY('Daily Schedule'!$B$2,2)=7),IFERROR(1*'Daily Workforce'!$K134&gt;=3,FALSE()),IFERROR(1*'Daily Workforce'!$K134&gt;=2,FALSE())),IF(AND('Daily Schedule'!$A49&gt;=46,'Daily Schedule'!$A49&lt;=52),'Daily Workforce'!$M134="Y",IFERROR(1*'Daily Workforce'!$P134&gt;=2,FALSE()))))),1,0)</f>
        <v>0</v>
      </c>
      <c r="EP45" s="1" t="n">
        <f aca="false">IF(AND('Daily Workforce'!$N135="Y",'Daily Workforce'!$B135&lt;&gt;"",COUNTIF('Daily Schedule'!$F$5:$F48,'Daily Workforce'!$B135)=0,IF('Daily Schedule'!$A49=45,'Daily Workforce'!$J135="Y",IF(OR('Daily Schedule'!$A49=4,'Daily Schedule'!$A49=8),IF(OR(WEEKDAY('Daily Schedule'!$B$2,2)=1,WEEKDAY('Daily Schedule'!$B$2,2)=4,WEEKDAY('Daily Schedule'!$B$2,2)=5,WEEKDAY('Daily Schedule'!$B$2,2)=7),IFERROR(1*'Daily Workforce'!$K135&gt;=3,FALSE()),IFERROR(1*'Daily Workforce'!$K135&gt;=2,FALSE())),IF(AND('Daily Schedule'!$A49&gt;=46,'Daily Schedule'!$A49&lt;=52),'Daily Workforce'!$M135="Y",IFERROR(1*'Daily Workforce'!$P135&gt;=2,FALSE()))))),1,0)</f>
        <v>0</v>
      </c>
      <c r="EQ45" s="1" t="n">
        <f aca="false">IF(AND('Daily Workforce'!$N136="Y",'Daily Workforce'!$B136&lt;&gt;"",COUNTIF('Daily Schedule'!$F$5:$F48,'Daily Workforce'!$B136)=0,IF('Daily Schedule'!$A49=45,'Daily Workforce'!$J136="Y",IF(OR('Daily Schedule'!$A49=4,'Daily Schedule'!$A49=8),IF(OR(WEEKDAY('Daily Schedule'!$B$2,2)=1,WEEKDAY('Daily Schedule'!$B$2,2)=4,WEEKDAY('Daily Schedule'!$B$2,2)=5,WEEKDAY('Daily Schedule'!$B$2,2)=7),IFERROR(1*'Daily Workforce'!$K136&gt;=3,FALSE()),IFERROR(1*'Daily Workforce'!$K136&gt;=2,FALSE())),IF(AND('Daily Schedule'!$A49&gt;=46,'Daily Schedule'!$A49&lt;=52),'Daily Workforce'!$M136="Y",IFERROR(1*'Daily Workforce'!$P136&gt;=2,FALSE()))))),1,0)</f>
        <v>0</v>
      </c>
      <c r="ER45" s="1" t="n">
        <f aca="false">IF(AND('Daily Workforce'!$N137="Y",'Daily Workforce'!$B137&lt;&gt;"",COUNTIF('Daily Schedule'!$F$5:$F48,'Daily Workforce'!$B137)=0,IF('Daily Schedule'!$A49=45,'Daily Workforce'!$J137="Y",IF(OR('Daily Schedule'!$A49=4,'Daily Schedule'!$A49=8),IF(OR(WEEKDAY('Daily Schedule'!$B$2,2)=1,WEEKDAY('Daily Schedule'!$B$2,2)=4,WEEKDAY('Daily Schedule'!$B$2,2)=5,WEEKDAY('Daily Schedule'!$B$2,2)=7),IFERROR(1*'Daily Workforce'!$K137&gt;=3,FALSE()),IFERROR(1*'Daily Workforce'!$K137&gt;=2,FALSE())),IF(AND('Daily Schedule'!$A49&gt;=46,'Daily Schedule'!$A49&lt;=52),'Daily Workforce'!$M137="Y",IFERROR(1*'Daily Workforce'!$P137&gt;=2,FALSE()))))),1,0)</f>
        <v>0</v>
      </c>
      <c r="ES45" s="1" t="n">
        <f aca="false">IF(AND('Daily Workforce'!$N138="Y",'Daily Workforce'!$B138&lt;&gt;"",COUNTIF('Daily Schedule'!$F$5:$F48,'Daily Workforce'!$B138)=0,IF('Daily Schedule'!$A49=45,'Daily Workforce'!$J138="Y",IF(OR('Daily Schedule'!$A49=4,'Daily Schedule'!$A49=8),IF(OR(WEEKDAY('Daily Schedule'!$B$2,2)=1,WEEKDAY('Daily Schedule'!$B$2,2)=4,WEEKDAY('Daily Schedule'!$B$2,2)=5,WEEKDAY('Daily Schedule'!$B$2,2)=7),IFERROR(1*'Daily Workforce'!$K138&gt;=3,FALSE()),IFERROR(1*'Daily Workforce'!$K138&gt;=2,FALSE())),IF(AND('Daily Schedule'!$A49&gt;=46,'Daily Schedule'!$A49&lt;=52),'Daily Workforce'!$M138="Y",IFERROR(1*'Daily Workforce'!$P138&gt;=2,FALSE()))))),1,0)</f>
        <v>0</v>
      </c>
      <c r="ET45" s="1" t="n">
        <f aca="false">IF(AND('Daily Workforce'!$N139="Y",'Daily Workforce'!$B139&lt;&gt;"",COUNTIF('Daily Schedule'!$F$5:$F48,'Daily Workforce'!$B139)=0,IF('Daily Schedule'!$A49=45,'Daily Workforce'!$J139="Y",IF(OR('Daily Schedule'!$A49=4,'Daily Schedule'!$A49=8),IF(OR(WEEKDAY('Daily Schedule'!$B$2,2)=1,WEEKDAY('Daily Schedule'!$B$2,2)=4,WEEKDAY('Daily Schedule'!$B$2,2)=5,WEEKDAY('Daily Schedule'!$B$2,2)=7),IFERROR(1*'Daily Workforce'!$K139&gt;=3,FALSE()),IFERROR(1*'Daily Workforce'!$K139&gt;=2,FALSE())),IF(AND('Daily Schedule'!$A49&gt;=46,'Daily Schedule'!$A49&lt;=52),'Daily Workforce'!$M139="Y",IFERROR(1*'Daily Workforce'!$P139&gt;=2,FALSE()))))),1,0)</f>
        <v>0</v>
      </c>
      <c r="EU45" s="1" t="n">
        <f aca="false">IF(AND('Daily Workforce'!$N140="Y",'Daily Workforce'!$B140&lt;&gt;"",COUNTIF('Daily Schedule'!$F$5:$F48,'Daily Workforce'!$B140)=0,IF('Daily Schedule'!$A49=45,'Daily Workforce'!$J140="Y",IF(OR('Daily Schedule'!$A49=4,'Daily Schedule'!$A49=8),IF(OR(WEEKDAY('Daily Schedule'!$B$2,2)=1,WEEKDAY('Daily Schedule'!$B$2,2)=4,WEEKDAY('Daily Schedule'!$B$2,2)=5,WEEKDAY('Daily Schedule'!$B$2,2)=7),IFERROR(1*'Daily Workforce'!$K140&gt;=3,FALSE()),IFERROR(1*'Daily Workforce'!$K140&gt;=2,FALSE())),IF(AND('Daily Schedule'!$A49&gt;=46,'Daily Schedule'!$A49&lt;=52),'Daily Workforce'!$M140="Y",IFERROR(1*'Daily Workforce'!$P140&gt;=2,FALSE()))))),1,0)</f>
        <v>0</v>
      </c>
      <c r="EV45" s="1" t="n">
        <f aca="false">IF(AND('Daily Workforce'!$N141="Y",'Daily Workforce'!$B141&lt;&gt;"",COUNTIF('Daily Schedule'!$F$5:$F48,'Daily Workforce'!$B141)=0,IF('Daily Schedule'!$A49=45,'Daily Workforce'!$J141="Y",IF(OR('Daily Schedule'!$A49=4,'Daily Schedule'!$A49=8),IF(OR(WEEKDAY('Daily Schedule'!$B$2,2)=1,WEEKDAY('Daily Schedule'!$B$2,2)=4,WEEKDAY('Daily Schedule'!$B$2,2)=5,WEEKDAY('Daily Schedule'!$B$2,2)=7),IFERROR(1*'Daily Workforce'!$K141&gt;=3,FALSE()),IFERROR(1*'Daily Workforce'!$K141&gt;=2,FALSE())),IF(AND('Daily Schedule'!$A49&gt;=46,'Daily Schedule'!$A49&lt;=52),'Daily Workforce'!$M141="Y",IFERROR(1*'Daily Workforce'!$P141&gt;=2,FALSE()))))),1,0)</f>
        <v>0</v>
      </c>
      <c r="EW45" s="1" t="n">
        <f aca="false">IF(AND('Daily Workforce'!$N142="Y",'Daily Workforce'!$B142&lt;&gt;"",COUNTIF('Daily Schedule'!$F$5:$F48,'Daily Workforce'!$B142)=0,IF('Daily Schedule'!$A49=45,'Daily Workforce'!$J142="Y",IF(OR('Daily Schedule'!$A49=4,'Daily Schedule'!$A49=8),IF(OR(WEEKDAY('Daily Schedule'!$B$2,2)=1,WEEKDAY('Daily Schedule'!$B$2,2)=4,WEEKDAY('Daily Schedule'!$B$2,2)=5,WEEKDAY('Daily Schedule'!$B$2,2)=7),IFERROR(1*'Daily Workforce'!$K142&gt;=3,FALSE()),IFERROR(1*'Daily Workforce'!$K142&gt;=2,FALSE())),IF(AND('Daily Schedule'!$A49&gt;=46,'Daily Schedule'!$A49&lt;=52),'Daily Workforce'!$M142="Y",IFERROR(1*'Daily Workforce'!$P142&gt;=2,FALSE()))))),1,0)</f>
        <v>0</v>
      </c>
      <c r="EX45" s="1" t="n">
        <f aca="false">IF(AND('Daily Workforce'!$N143="Y",'Daily Workforce'!$B143&lt;&gt;"",COUNTIF('Daily Schedule'!$F$5:$F48,'Daily Workforce'!$B143)=0,IF('Daily Schedule'!$A49=45,'Daily Workforce'!$J143="Y",IF(OR('Daily Schedule'!$A49=4,'Daily Schedule'!$A49=8),IF(OR(WEEKDAY('Daily Schedule'!$B$2,2)=1,WEEKDAY('Daily Schedule'!$B$2,2)=4,WEEKDAY('Daily Schedule'!$B$2,2)=5,WEEKDAY('Daily Schedule'!$B$2,2)=7),IFERROR(1*'Daily Workforce'!$K143&gt;=3,FALSE()),IFERROR(1*'Daily Workforce'!$K143&gt;=2,FALSE())),IF(AND('Daily Schedule'!$A49&gt;=46,'Daily Schedule'!$A49&lt;=52),'Daily Workforce'!$M143="Y",IFERROR(1*'Daily Workforce'!$P143&gt;=2,FALSE()))))),1,0)</f>
        <v>0</v>
      </c>
      <c r="EY45" s="1" t="n">
        <f aca="false">IF(AND('Daily Workforce'!$N144="Y",'Daily Workforce'!$B144&lt;&gt;"",COUNTIF('Daily Schedule'!$F$5:$F48,'Daily Workforce'!$B144)=0,IF('Daily Schedule'!$A49=45,'Daily Workforce'!$J144="Y",IF(OR('Daily Schedule'!$A49=4,'Daily Schedule'!$A49=8),IF(OR(WEEKDAY('Daily Schedule'!$B$2,2)=1,WEEKDAY('Daily Schedule'!$B$2,2)=4,WEEKDAY('Daily Schedule'!$B$2,2)=5,WEEKDAY('Daily Schedule'!$B$2,2)=7),IFERROR(1*'Daily Workforce'!$K144&gt;=3,FALSE()),IFERROR(1*'Daily Workforce'!$K144&gt;=2,FALSE())),IF(AND('Daily Schedule'!$A49&gt;=46,'Daily Schedule'!$A49&lt;=52),'Daily Workforce'!$M144="Y",IFERROR(1*'Daily Workforce'!$P144&gt;=2,FALSE()))))),1,0)</f>
        <v>0</v>
      </c>
      <c r="EZ45" s="1" t="n">
        <f aca="false">IF(AND('Daily Workforce'!$N145="Y",'Daily Workforce'!$B145&lt;&gt;"",COUNTIF('Daily Schedule'!$F$5:$F48,'Daily Workforce'!$B145)=0,IF('Daily Schedule'!$A49=45,'Daily Workforce'!$J145="Y",IF(OR('Daily Schedule'!$A49=4,'Daily Schedule'!$A49=8),IF(OR(WEEKDAY('Daily Schedule'!$B$2,2)=1,WEEKDAY('Daily Schedule'!$B$2,2)=4,WEEKDAY('Daily Schedule'!$B$2,2)=5,WEEKDAY('Daily Schedule'!$B$2,2)=7),IFERROR(1*'Daily Workforce'!$K145&gt;=3,FALSE()),IFERROR(1*'Daily Workforce'!$K145&gt;=2,FALSE())),IF(AND('Daily Schedule'!$A49&gt;=46,'Daily Schedule'!$A49&lt;=52),'Daily Workforce'!$M145="Y",IFERROR(1*'Daily Workforce'!$P145&gt;=2,FALSE()))))),1,0)</f>
        <v>0</v>
      </c>
      <c r="FA45" s="1" t="n">
        <f aca="false">IF(AND('Daily Workforce'!$N146="Y",'Daily Workforce'!$B146&lt;&gt;"",COUNTIF('Daily Schedule'!$F$5:$F48,'Daily Workforce'!$B146)=0,IF('Daily Schedule'!$A49=45,'Daily Workforce'!$J146="Y",IF(OR('Daily Schedule'!$A49=4,'Daily Schedule'!$A49=8),IF(OR(WEEKDAY('Daily Schedule'!$B$2,2)=1,WEEKDAY('Daily Schedule'!$B$2,2)=4,WEEKDAY('Daily Schedule'!$B$2,2)=5,WEEKDAY('Daily Schedule'!$B$2,2)=7),IFERROR(1*'Daily Workforce'!$K146&gt;=3,FALSE()),IFERROR(1*'Daily Workforce'!$K146&gt;=2,FALSE())),IF(AND('Daily Schedule'!$A49&gt;=46,'Daily Schedule'!$A49&lt;=52),'Daily Workforce'!$M146="Y",IFERROR(1*'Daily Workforce'!$P146&gt;=2,FALSE()))))),1,0)</f>
        <v>0</v>
      </c>
      <c r="FB45" s="1" t="n">
        <f aca="false">IF(AND('Daily Workforce'!$N147="Y",'Daily Workforce'!$B147&lt;&gt;"",COUNTIF('Daily Schedule'!$F$5:$F48,'Daily Workforce'!$B147)=0,IF('Daily Schedule'!$A49=45,'Daily Workforce'!$J147="Y",IF(OR('Daily Schedule'!$A49=4,'Daily Schedule'!$A49=8),IF(OR(WEEKDAY('Daily Schedule'!$B$2,2)=1,WEEKDAY('Daily Schedule'!$B$2,2)=4,WEEKDAY('Daily Schedule'!$B$2,2)=5,WEEKDAY('Daily Schedule'!$B$2,2)=7),IFERROR(1*'Daily Workforce'!$K147&gt;=3,FALSE()),IFERROR(1*'Daily Workforce'!$K147&gt;=2,FALSE())),IF(AND('Daily Schedule'!$A49&gt;=46,'Daily Schedule'!$A49&lt;=52),'Daily Workforce'!$M147="Y",IFERROR(1*'Daily Workforce'!$P147&gt;=2,FALSE()))))),1,0)</f>
        <v>0</v>
      </c>
      <c r="FC45" s="1" t="n">
        <f aca="false">IF(AND('Daily Workforce'!$N148="Y",'Daily Workforce'!$B148&lt;&gt;"",COUNTIF('Daily Schedule'!$F$5:$F48,'Daily Workforce'!$B148)=0,IF('Daily Schedule'!$A49=45,'Daily Workforce'!$J148="Y",IF(OR('Daily Schedule'!$A49=4,'Daily Schedule'!$A49=8),IF(OR(WEEKDAY('Daily Schedule'!$B$2,2)=1,WEEKDAY('Daily Schedule'!$B$2,2)=4,WEEKDAY('Daily Schedule'!$B$2,2)=5,WEEKDAY('Daily Schedule'!$B$2,2)=7),IFERROR(1*'Daily Workforce'!$K148&gt;=3,FALSE()),IFERROR(1*'Daily Workforce'!$K148&gt;=2,FALSE())),IF(AND('Daily Schedule'!$A49&gt;=46,'Daily Schedule'!$A49&lt;=52),'Daily Workforce'!$M148="Y",IFERROR(1*'Daily Workforce'!$P148&gt;=2,FALSE()))))),1,0)</f>
        <v>0</v>
      </c>
      <c r="FD45" s="1" t="n">
        <f aca="false">IF(AND('Daily Workforce'!$N149="Y",'Daily Workforce'!$B149&lt;&gt;"",COUNTIF('Daily Schedule'!$F$5:$F48,'Daily Workforce'!$B149)=0,IF('Daily Schedule'!$A49=45,'Daily Workforce'!$J149="Y",IF(OR('Daily Schedule'!$A49=4,'Daily Schedule'!$A49=8),IF(OR(WEEKDAY('Daily Schedule'!$B$2,2)=1,WEEKDAY('Daily Schedule'!$B$2,2)=4,WEEKDAY('Daily Schedule'!$B$2,2)=5,WEEKDAY('Daily Schedule'!$B$2,2)=7),IFERROR(1*'Daily Workforce'!$K149&gt;=3,FALSE()),IFERROR(1*'Daily Workforce'!$K149&gt;=2,FALSE())),IF(AND('Daily Schedule'!$A49&gt;=46,'Daily Schedule'!$A49&lt;=52),'Daily Workforce'!$M149="Y",IFERROR(1*'Daily Workforce'!$P149&gt;=2,FALSE()))))),1,0)</f>
        <v>0</v>
      </c>
      <c r="FE45" s="1" t="n">
        <f aca="false">IF(AND('Daily Workforce'!$N150="Y",'Daily Workforce'!$B150&lt;&gt;"",COUNTIF('Daily Schedule'!$F$5:$F48,'Daily Workforce'!$B150)=0,IF('Daily Schedule'!$A49=45,'Daily Workforce'!$J150="Y",IF(OR('Daily Schedule'!$A49=4,'Daily Schedule'!$A49=8),IF(OR(WEEKDAY('Daily Schedule'!$B$2,2)=1,WEEKDAY('Daily Schedule'!$B$2,2)=4,WEEKDAY('Daily Schedule'!$B$2,2)=5,WEEKDAY('Daily Schedule'!$B$2,2)=7),IFERROR(1*'Daily Workforce'!$K150&gt;=3,FALSE()),IFERROR(1*'Daily Workforce'!$K150&gt;=2,FALSE())),IF(AND('Daily Schedule'!$A49&gt;=46,'Daily Schedule'!$A49&lt;=52),'Daily Workforce'!$M150="Y",IFERROR(1*'Daily Workforce'!$P150&gt;=2,FALSE()))))),1,0)</f>
        <v>0</v>
      </c>
      <c r="FF45" s="1" t="n">
        <f aca="false">IF(AND('Daily Workforce'!$N151="Y",'Daily Workforce'!$B151&lt;&gt;"",COUNTIF('Daily Schedule'!$F$5:$F48,'Daily Workforce'!$B151)=0,IF('Daily Schedule'!$A49=45,'Daily Workforce'!$J151="Y",IF(OR('Daily Schedule'!$A49=4,'Daily Schedule'!$A49=8),IF(OR(WEEKDAY('Daily Schedule'!$B$2,2)=1,WEEKDAY('Daily Schedule'!$B$2,2)=4,WEEKDAY('Daily Schedule'!$B$2,2)=5,WEEKDAY('Daily Schedule'!$B$2,2)=7),IFERROR(1*'Daily Workforce'!$K151&gt;=3,FALSE()),IFERROR(1*'Daily Workforce'!$K151&gt;=2,FALSE())),IF(AND('Daily Schedule'!$A49&gt;=46,'Daily Schedule'!$A49&lt;=52),'Daily Workforce'!$M151="Y",IFERROR(1*'Daily Workforce'!$P151&gt;=2,FALSE()))))),1,0)</f>
        <v>0</v>
      </c>
      <c r="FG45" s="1" t="n">
        <f aca="false">IF(AND('Daily Workforce'!$N152="Y",'Daily Workforce'!$B152&lt;&gt;"",COUNTIF('Daily Schedule'!$F$5:$F48,'Daily Workforce'!$B152)=0,IF('Daily Schedule'!$A49=45,'Daily Workforce'!$J152="Y",IF(OR('Daily Schedule'!$A49=4,'Daily Schedule'!$A49=8),IF(OR(WEEKDAY('Daily Schedule'!$B$2,2)=1,WEEKDAY('Daily Schedule'!$B$2,2)=4,WEEKDAY('Daily Schedule'!$B$2,2)=5,WEEKDAY('Daily Schedule'!$B$2,2)=7),IFERROR(1*'Daily Workforce'!$K152&gt;=3,FALSE()),IFERROR(1*'Daily Workforce'!$K152&gt;=2,FALSE())),IF(AND('Daily Schedule'!$A49&gt;=46,'Daily Schedule'!$A49&lt;=52),'Daily Workforce'!$M152="Y",IFERROR(1*'Daily Workforce'!$P152&gt;=2,FALSE()))))),1,0)</f>
        <v>0</v>
      </c>
      <c r="FH45" s="1" t="n">
        <f aca="false">IF(AND('Daily Workforce'!$N153="Y",'Daily Workforce'!$B153&lt;&gt;"",COUNTIF('Daily Schedule'!$F$5:$F48,'Daily Workforce'!$B153)=0,IF('Daily Schedule'!$A49=45,'Daily Workforce'!$J153="Y",IF(OR('Daily Schedule'!$A49=4,'Daily Schedule'!$A49=8),IF(OR(WEEKDAY('Daily Schedule'!$B$2,2)=1,WEEKDAY('Daily Schedule'!$B$2,2)=4,WEEKDAY('Daily Schedule'!$B$2,2)=5,WEEKDAY('Daily Schedule'!$B$2,2)=7),IFERROR(1*'Daily Workforce'!$K153&gt;=3,FALSE()),IFERROR(1*'Daily Workforce'!$K153&gt;=2,FALSE())),IF(AND('Daily Schedule'!$A49&gt;=46,'Daily Schedule'!$A49&lt;=52),'Daily Workforce'!$M153="Y",IFERROR(1*'Daily Workforce'!$P153&gt;=2,FALSE()))))),1,0)</f>
        <v>0</v>
      </c>
      <c r="FI45" s="1" t="n">
        <f aca="false">IF(AND('Daily Workforce'!$N154="Y",'Daily Workforce'!$B154&lt;&gt;"",COUNTIF('Daily Schedule'!$F$5:$F48,'Daily Workforce'!$B154)=0,IF('Daily Schedule'!$A49=45,'Daily Workforce'!$J154="Y",IF(OR('Daily Schedule'!$A49=4,'Daily Schedule'!$A49=8),IF(OR(WEEKDAY('Daily Schedule'!$B$2,2)=1,WEEKDAY('Daily Schedule'!$B$2,2)=4,WEEKDAY('Daily Schedule'!$B$2,2)=5,WEEKDAY('Daily Schedule'!$B$2,2)=7),IFERROR(1*'Daily Workforce'!$K154&gt;=3,FALSE()),IFERROR(1*'Daily Workforce'!$K154&gt;=2,FALSE())),IF(AND('Daily Schedule'!$A49&gt;=46,'Daily Schedule'!$A49&lt;=52),'Daily Workforce'!$M154="Y",IFERROR(1*'Daily Workforce'!$P154&gt;=2,FALSE()))))),1,0)</f>
        <v>0</v>
      </c>
      <c r="FJ45" s="1" t="n">
        <f aca="false">IF(AND('Daily Workforce'!$N155="Y",'Daily Workforce'!$B155&lt;&gt;"",COUNTIF('Daily Schedule'!$F$5:$F48,'Daily Workforce'!$B155)=0,IF('Daily Schedule'!$A49=45,'Daily Workforce'!$J155="Y",IF(OR('Daily Schedule'!$A49=4,'Daily Schedule'!$A49=8),IF(OR(WEEKDAY('Daily Schedule'!$B$2,2)=1,WEEKDAY('Daily Schedule'!$B$2,2)=4,WEEKDAY('Daily Schedule'!$B$2,2)=5,WEEKDAY('Daily Schedule'!$B$2,2)=7),IFERROR(1*'Daily Workforce'!$K155&gt;=3,FALSE()),IFERROR(1*'Daily Workforce'!$K155&gt;=2,FALSE())),IF(AND('Daily Schedule'!$A49&gt;=46,'Daily Schedule'!$A49&lt;=52),'Daily Workforce'!$M155="Y",IFERROR(1*'Daily Workforce'!$P155&gt;=2,FALSE()))))),1,0)</f>
        <v>0</v>
      </c>
      <c r="FK45" s="1" t="n">
        <f aca="false">IF(AND('Daily Workforce'!$N156="Y",'Daily Workforce'!$B156&lt;&gt;"",COUNTIF('Daily Schedule'!$F$5:$F48,'Daily Workforce'!$B156)=0,IF('Daily Schedule'!$A49=45,'Daily Workforce'!$J156="Y",IF(OR('Daily Schedule'!$A49=4,'Daily Schedule'!$A49=8),IF(OR(WEEKDAY('Daily Schedule'!$B$2,2)=1,WEEKDAY('Daily Schedule'!$B$2,2)=4,WEEKDAY('Daily Schedule'!$B$2,2)=5,WEEKDAY('Daily Schedule'!$B$2,2)=7),IFERROR(1*'Daily Workforce'!$K156&gt;=3,FALSE()),IFERROR(1*'Daily Workforce'!$K156&gt;=2,FALSE())),IF(AND('Daily Schedule'!$A49&gt;=46,'Daily Schedule'!$A49&lt;=52),'Daily Workforce'!$M156="Y",IFERROR(1*'Daily Workforce'!$P156&gt;=2,FALSE()))))),1,0)</f>
        <v>0</v>
      </c>
      <c r="FL45" s="1" t="n">
        <f aca="false">IF(AND('Daily Workforce'!$N157="Y",'Daily Workforce'!$B157&lt;&gt;"",COUNTIF('Daily Schedule'!$F$5:$F48,'Daily Workforce'!$B157)=0,IF('Daily Schedule'!$A49=45,'Daily Workforce'!$J157="Y",IF(OR('Daily Schedule'!$A49=4,'Daily Schedule'!$A49=8),IF(OR(WEEKDAY('Daily Schedule'!$B$2,2)=1,WEEKDAY('Daily Schedule'!$B$2,2)=4,WEEKDAY('Daily Schedule'!$B$2,2)=5,WEEKDAY('Daily Schedule'!$B$2,2)=7),IFERROR(1*'Daily Workforce'!$K157&gt;=3,FALSE()),IFERROR(1*'Daily Workforce'!$K157&gt;=2,FALSE())),IF(AND('Daily Schedule'!$A49&gt;=46,'Daily Schedule'!$A49&lt;=52),'Daily Workforce'!$M157="Y",IFERROR(1*'Daily Workforce'!$P157&gt;=2,FALSE()))))),1,0)</f>
        <v>0</v>
      </c>
      <c r="FM45" s="1" t="n">
        <f aca="false">IF(AND('Daily Workforce'!$N158="Y",'Daily Workforce'!$B158&lt;&gt;"",COUNTIF('Daily Schedule'!$F$5:$F48,'Daily Workforce'!$B158)=0,IF('Daily Schedule'!$A49=45,'Daily Workforce'!$J158="Y",IF(OR('Daily Schedule'!$A49=4,'Daily Schedule'!$A49=8),IF(OR(WEEKDAY('Daily Schedule'!$B$2,2)=1,WEEKDAY('Daily Schedule'!$B$2,2)=4,WEEKDAY('Daily Schedule'!$B$2,2)=5,WEEKDAY('Daily Schedule'!$B$2,2)=7),IFERROR(1*'Daily Workforce'!$K158&gt;=3,FALSE()),IFERROR(1*'Daily Workforce'!$K158&gt;=2,FALSE())),IF(AND('Daily Schedule'!$A49&gt;=46,'Daily Schedule'!$A49&lt;=52),'Daily Workforce'!$M158="Y",IFERROR(1*'Daily Workforce'!$P158&gt;=2,FALSE()))))),1,0)</f>
        <v>0</v>
      </c>
      <c r="FN45" s="1" t="n">
        <f aca="false">IF(AND('Daily Workforce'!$N159="Y",'Daily Workforce'!$B159&lt;&gt;"",COUNTIF('Daily Schedule'!$F$5:$F48,'Daily Workforce'!$B159)=0,IF('Daily Schedule'!$A49=45,'Daily Workforce'!$J159="Y",IF(OR('Daily Schedule'!$A49=4,'Daily Schedule'!$A49=8),IF(OR(WEEKDAY('Daily Schedule'!$B$2,2)=1,WEEKDAY('Daily Schedule'!$B$2,2)=4,WEEKDAY('Daily Schedule'!$B$2,2)=5,WEEKDAY('Daily Schedule'!$B$2,2)=7),IFERROR(1*'Daily Workforce'!$K159&gt;=3,FALSE()),IFERROR(1*'Daily Workforce'!$K159&gt;=2,FALSE())),IF(AND('Daily Schedule'!$A49&gt;=46,'Daily Schedule'!$A49&lt;=52),'Daily Workforce'!$M159="Y",IFERROR(1*'Daily Workforce'!$P159&gt;=2,FALSE()))))),1,0)</f>
        <v>0</v>
      </c>
      <c r="FO45" s="1" t="n">
        <f aca="false">IF(AND('Daily Workforce'!$N160="Y",'Daily Workforce'!$B160&lt;&gt;"",COUNTIF('Daily Schedule'!$F$5:$F48,'Daily Workforce'!$B160)=0,IF('Daily Schedule'!$A49=45,'Daily Workforce'!$J160="Y",IF(OR('Daily Schedule'!$A49=4,'Daily Schedule'!$A49=8),IF(OR(WEEKDAY('Daily Schedule'!$B$2,2)=1,WEEKDAY('Daily Schedule'!$B$2,2)=4,WEEKDAY('Daily Schedule'!$B$2,2)=5,WEEKDAY('Daily Schedule'!$B$2,2)=7),IFERROR(1*'Daily Workforce'!$K160&gt;=3,FALSE()),IFERROR(1*'Daily Workforce'!$K160&gt;=2,FALSE())),IF(AND('Daily Schedule'!$A49&gt;=46,'Daily Schedule'!$A49&lt;=52),'Daily Workforce'!$M160="Y",IFERROR(1*'Daily Workforce'!$P160&gt;=2,FALSE()))))),1,0)</f>
        <v>0</v>
      </c>
      <c r="FP45" s="1" t="n">
        <f aca="false">IF(AND('Daily Workforce'!$N161="Y",'Daily Workforce'!$B161&lt;&gt;"",COUNTIF('Daily Schedule'!$F$5:$F48,'Daily Workforce'!$B161)=0,IF('Daily Schedule'!$A49=45,'Daily Workforce'!$J161="Y",IF(OR('Daily Schedule'!$A49=4,'Daily Schedule'!$A49=8),IF(OR(WEEKDAY('Daily Schedule'!$B$2,2)=1,WEEKDAY('Daily Schedule'!$B$2,2)=4,WEEKDAY('Daily Schedule'!$B$2,2)=5,WEEKDAY('Daily Schedule'!$B$2,2)=7),IFERROR(1*'Daily Workforce'!$K161&gt;=3,FALSE()),IFERROR(1*'Daily Workforce'!$K161&gt;=2,FALSE())),IF(AND('Daily Schedule'!$A49&gt;=46,'Daily Schedule'!$A49&lt;=52),'Daily Workforce'!$M161="Y",IFERROR(1*'Daily Workforce'!$P161&gt;=2,FALSE()))))),1,0)</f>
        <v>0</v>
      </c>
      <c r="FQ45" s="1" t="n">
        <f aca="false">IF(AND('Daily Workforce'!$N162="Y",'Daily Workforce'!$B162&lt;&gt;"",COUNTIF('Daily Schedule'!$F$5:$F48,'Daily Workforce'!$B162)=0,IF('Daily Schedule'!$A49=45,'Daily Workforce'!$J162="Y",IF(OR('Daily Schedule'!$A49=4,'Daily Schedule'!$A49=8),IF(OR(WEEKDAY('Daily Schedule'!$B$2,2)=1,WEEKDAY('Daily Schedule'!$B$2,2)=4,WEEKDAY('Daily Schedule'!$B$2,2)=5,WEEKDAY('Daily Schedule'!$B$2,2)=7),IFERROR(1*'Daily Workforce'!$K162&gt;=3,FALSE()),IFERROR(1*'Daily Workforce'!$K162&gt;=2,FALSE())),IF(AND('Daily Schedule'!$A49&gt;=46,'Daily Schedule'!$A49&lt;=52),'Daily Workforce'!$M162="Y",IFERROR(1*'Daily Workforce'!$P162&gt;=2,FALSE()))))),1,0)</f>
        <v>0</v>
      </c>
      <c r="FR45" s="1" t="n">
        <f aca="false">IF(AND('Daily Workforce'!$N163="Y",'Daily Workforce'!$B163&lt;&gt;"",COUNTIF('Daily Schedule'!$F$5:$F48,'Daily Workforce'!$B163)=0,IF('Daily Schedule'!$A49=45,'Daily Workforce'!$J163="Y",IF(OR('Daily Schedule'!$A49=4,'Daily Schedule'!$A49=8),IF(OR(WEEKDAY('Daily Schedule'!$B$2,2)=1,WEEKDAY('Daily Schedule'!$B$2,2)=4,WEEKDAY('Daily Schedule'!$B$2,2)=5,WEEKDAY('Daily Schedule'!$B$2,2)=7),IFERROR(1*'Daily Workforce'!$K163&gt;=3,FALSE()),IFERROR(1*'Daily Workforce'!$K163&gt;=2,FALSE())),IF(AND('Daily Schedule'!$A49&gt;=46,'Daily Schedule'!$A49&lt;=52),'Daily Workforce'!$M163="Y",IFERROR(1*'Daily Workforce'!$P163&gt;=2,FALSE()))))),1,0)</f>
        <v>0</v>
      </c>
      <c r="FS45" s="1" t="n">
        <f aca="false">IF(AND('Daily Workforce'!$N164="Y",'Daily Workforce'!$B164&lt;&gt;"",COUNTIF('Daily Schedule'!$F$5:$F48,'Daily Workforce'!$B164)=0,IF('Daily Schedule'!$A49=45,'Daily Workforce'!$J164="Y",IF(OR('Daily Schedule'!$A49=4,'Daily Schedule'!$A49=8),IF(OR(WEEKDAY('Daily Schedule'!$B$2,2)=1,WEEKDAY('Daily Schedule'!$B$2,2)=4,WEEKDAY('Daily Schedule'!$B$2,2)=5,WEEKDAY('Daily Schedule'!$B$2,2)=7),IFERROR(1*'Daily Workforce'!$K164&gt;=3,FALSE()),IFERROR(1*'Daily Workforce'!$K164&gt;=2,FALSE())),IF(AND('Daily Schedule'!$A49&gt;=46,'Daily Schedule'!$A49&lt;=52),'Daily Workforce'!$M164="Y",IFERROR(1*'Daily Workforce'!$P164&gt;=2,FALSE()))))),1,0)</f>
        <v>0</v>
      </c>
      <c r="FT45" s="1" t="n">
        <f aca="false">IF(AND('Daily Workforce'!$N165="Y",'Daily Workforce'!$B165&lt;&gt;"",COUNTIF('Daily Schedule'!$F$5:$F48,'Daily Workforce'!$B165)=0,IF('Daily Schedule'!$A49=45,'Daily Workforce'!$J165="Y",IF(OR('Daily Schedule'!$A49=4,'Daily Schedule'!$A49=8),IF(OR(WEEKDAY('Daily Schedule'!$B$2,2)=1,WEEKDAY('Daily Schedule'!$B$2,2)=4,WEEKDAY('Daily Schedule'!$B$2,2)=5,WEEKDAY('Daily Schedule'!$B$2,2)=7),IFERROR(1*'Daily Workforce'!$K165&gt;=3,FALSE()),IFERROR(1*'Daily Workforce'!$K165&gt;=2,FALSE())),IF(AND('Daily Schedule'!$A49&gt;=46,'Daily Schedule'!$A49&lt;=52),'Daily Workforce'!$M165="Y",IFERROR(1*'Daily Workforce'!$P165&gt;=2,FALSE()))))),1,0)</f>
        <v>0</v>
      </c>
      <c r="FU45" s="1" t="n">
        <f aca="false">IF(AND('Daily Workforce'!$N166="Y",'Daily Workforce'!$B166&lt;&gt;"",COUNTIF('Daily Schedule'!$F$5:$F48,'Daily Workforce'!$B166)=0,IF('Daily Schedule'!$A49=45,'Daily Workforce'!$J166="Y",IF(OR('Daily Schedule'!$A49=4,'Daily Schedule'!$A49=8),IF(OR(WEEKDAY('Daily Schedule'!$B$2,2)=1,WEEKDAY('Daily Schedule'!$B$2,2)=4,WEEKDAY('Daily Schedule'!$B$2,2)=5,WEEKDAY('Daily Schedule'!$B$2,2)=7),IFERROR(1*'Daily Workforce'!$K166&gt;=3,FALSE()),IFERROR(1*'Daily Workforce'!$K166&gt;=2,FALSE())),IF(AND('Daily Schedule'!$A49&gt;=46,'Daily Schedule'!$A49&lt;=52),'Daily Workforce'!$M166="Y",IFERROR(1*'Daily Workforce'!$P166&gt;=2,FALSE()))))),1,0)</f>
        <v>0</v>
      </c>
      <c r="FV45" s="1" t="n">
        <f aca="false">IF(AND('Daily Workforce'!$N167="Y",'Daily Workforce'!$B167&lt;&gt;"",COUNTIF('Daily Schedule'!$F$5:$F48,'Daily Workforce'!$B167)=0,IF('Daily Schedule'!$A49=45,'Daily Workforce'!$J167="Y",IF(OR('Daily Schedule'!$A49=4,'Daily Schedule'!$A49=8),IF(OR(WEEKDAY('Daily Schedule'!$B$2,2)=1,WEEKDAY('Daily Schedule'!$B$2,2)=4,WEEKDAY('Daily Schedule'!$B$2,2)=5,WEEKDAY('Daily Schedule'!$B$2,2)=7),IFERROR(1*'Daily Workforce'!$K167&gt;=3,FALSE()),IFERROR(1*'Daily Workforce'!$K167&gt;=2,FALSE())),IF(AND('Daily Schedule'!$A49&gt;=46,'Daily Schedule'!$A49&lt;=52),'Daily Workforce'!$M167="Y",IFERROR(1*'Daily Workforce'!$P167&gt;=2,FALSE()))))),1,0)</f>
        <v>0</v>
      </c>
      <c r="FW45" s="1" t="n">
        <f aca="false">IF(AND('Daily Workforce'!$N168="Y",'Daily Workforce'!$B168&lt;&gt;"",COUNTIF('Daily Schedule'!$F$5:$F48,'Daily Workforce'!$B168)=0,IF('Daily Schedule'!$A49=45,'Daily Workforce'!$J168="Y",IF(OR('Daily Schedule'!$A49=4,'Daily Schedule'!$A49=8),IF(OR(WEEKDAY('Daily Schedule'!$B$2,2)=1,WEEKDAY('Daily Schedule'!$B$2,2)=4,WEEKDAY('Daily Schedule'!$B$2,2)=5,WEEKDAY('Daily Schedule'!$B$2,2)=7),IFERROR(1*'Daily Workforce'!$K168&gt;=3,FALSE()),IFERROR(1*'Daily Workforce'!$K168&gt;=2,FALSE())),IF(AND('Daily Schedule'!$A49&gt;=46,'Daily Schedule'!$A49&lt;=52),'Daily Workforce'!$M168="Y",IFERROR(1*'Daily Workforce'!$P168&gt;=2,FALSE()))))),1,0)</f>
        <v>0</v>
      </c>
      <c r="FX45" s="1" t="n">
        <f aca="false">IF(AND('Daily Workforce'!$N169="Y",'Daily Workforce'!$B169&lt;&gt;"",COUNTIF('Daily Schedule'!$F$5:$F48,'Daily Workforce'!$B169)=0,IF('Daily Schedule'!$A49=45,'Daily Workforce'!$J169="Y",IF(OR('Daily Schedule'!$A49=4,'Daily Schedule'!$A49=8),IF(OR(WEEKDAY('Daily Schedule'!$B$2,2)=1,WEEKDAY('Daily Schedule'!$B$2,2)=4,WEEKDAY('Daily Schedule'!$B$2,2)=5,WEEKDAY('Daily Schedule'!$B$2,2)=7),IFERROR(1*'Daily Workforce'!$K169&gt;=3,FALSE()),IFERROR(1*'Daily Workforce'!$K169&gt;=2,FALSE())),IF(AND('Daily Schedule'!$A49&gt;=46,'Daily Schedule'!$A49&lt;=52),'Daily Workforce'!$M169="Y",IFERROR(1*'Daily Workforce'!$P169&gt;=2,FALSE()))))),1,0)</f>
        <v>0</v>
      </c>
      <c r="FY45" s="1" t="n">
        <f aca="false">IF(AND('Daily Workforce'!$N170="Y",'Daily Workforce'!$B170&lt;&gt;"",COUNTIF('Daily Schedule'!$F$5:$F48,'Daily Workforce'!$B170)=0,IF('Daily Schedule'!$A49=45,'Daily Workforce'!$J170="Y",IF(OR('Daily Schedule'!$A49=4,'Daily Schedule'!$A49=8),IF(OR(WEEKDAY('Daily Schedule'!$B$2,2)=1,WEEKDAY('Daily Schedule'!$B$2,2)=4,WEEKDAY('Daily Schedule'!$B$2,2)=5,WEEKDAY('Daily Schedule'!$B$2,2)=7),IFERROR(1*'Daily Workforce'!$K170&gt;=3,FALSE()),IFERROR(1*'Daily Workforce'!$K170&gt;=2,FALSE())),IF(AND('Daily Schedule'!$A49&gt;=46,'Daily Schedule'!$A49&lt;=52),'Daily Workforce'!$M170="Y",IFERROR(1*'Daily Workforce'!$P170&gt;=2,FALSE()))))),1,0)</f>
        <v>0</v>
      </c>
      <c r="FZ45" s="1" t="n">
        <f aca="false">IF(AND('Daily Workforce'!$N171="Y",'Daily Workforce'!$B171&lt;&gt;"",COUNTIF('Daily Schedule'!$F$5:$F48,'Daily Workforce'!$B171)=0,IF('Daily Schedule'!$A49=45,'Daily Workforce'!$J171="Y",IF(OR('Daily Schedule'!$A49=4,'Daily Schedule'!$A49=8),IF(OR(WEEKDAY('Daily Schedule'!$B$2,2)=1,WEEKDAY('Daily Schedule'!$B$2,2)=4,WEEKDAY('Daily Schedule'!$B$2,2)=5,WEEKDAY('Daily Schedule'!$B$2,2)=7),IFERROR(1*'Daily Workforce'!$K171&gt;=3,FALSE()),IFERROR(1*'Daily Workforce'!$K171&gt;=2,FALSE())),IF(AND('Daily Schedule'!$A49&gt;=46,'Daily Schedule'!$A49&lt;=52),'Daily Workforce'!$M171="Y",IFERROR(1*'Daily Workforce'!$P171&gt;=2,FALSE()))))),1,0)</f>
        <v>0</v>
      </c>
      <c r="GA45" s="1" t="n">
        <f aca="false">IF(AND('Daily Workforce'!$N172="Y",'Daily Workforce'!$B172&lt;&gt;"",COUNTIF('Daily Schedule'!$F$5:$F48,'Daily Workforce'!$B172)=0,IF('Daily Schedule'!$A49=45,'Daily Workforce'!$J172="Y",IF(OR('Daily Schedule'!$A49=4,'Daily Schedule'!$A49=8),IF(OR(WEEKDAY('Daily Schedule'!$B$2,2)=1,WEEKDAY('Daily Schedule'!$B$2,2)=4,WEEKDAY('Daily Schedule'!$B$2,2)=5,WEEKDAY('Daily Schedule'!$B$2,2)=7),IFERROR(1*'Daily Workforce'!$K172&gt;=3,FALSE()),IFERROR(1*'Daily Workforce'!$K172&gt;=2,FALSE())),IF(AND('Daily Schedule'!$A49&gt;=46,'Daily Schedule'!$A49&lt;=52),'Daily Workforce'!$M172="Y",IFERROR(1*'Daily Workforce'!$P172&gt;=2,FALSE()))))),1,0)</f>
        <v>0</v>
      </c>
      <c r="GB45" s="1" t="n">
        <f aca="false">IF(AND('Daily Workforce'!$N173="Y",'Daily Workforce'!$B173&lt;&gt;"",COUNTIF('Daily Schedule'!$F$5:$F48,'Daily Workforce'!$B173)=0,IF('Daily Schedule'!$A49=45,'Daily Workforce'!$J173="Y",IF(OR('Daily Schedule'!$A49=4,'Daily Schedule'!$A49=8),IF(OR(WEEKDAY('Daily Schedule'!$B$2,2)=1,WEEKDAY('Daily Schedule'!$B$2,2)=4,WEEKDAY('Daily Schedule'!$B$2,2)=5,WEEKDAY('Daily Schedule'!$B$2,2)=7),IFERROR(1*'Daily Workforce'!$K173&gt;=3,FALSE()),IFERROR(1*'Daily Workforce'!$K173&gt;=2,FALSE())),IF(AND('Daily Schedule'!$A49&gt;=46,'Daily Schedule'!$A49&lt;=52),'Daily Workforce'!$M173="Y",IFERROR(1*'Daily Workforce'!$P173&gt;=2,FALSE()))))),1,0)</f>
        <v>0</v>
      </c>
      <c r="GC45" s="1" t="n">
        <f aca="false">IF(AND('Daily Workforce'!$N174="Y",'Daily Workforce'!$B174&lt;&gt;"",COUNTIF('Daily Schedule'!$F$5:$F48,'Daily Workforce'!$B174)=0,IF('Daily Schedule'!$A49=45,'Daily Workforce'!$J174="Y",IF(OR('Daily Schedule'!$A49=4,'Daily Schedule'!$A49=8),IF(OR(WEEKDAY('Daily Schedule'!$B$2,2)=1,WEEKDAY('Daily Schedule'!$B$2,2)=4,WEEKDAY('Daily Schedule'!$B$2,2)=5,WEEKDAY('Daily Schedule'!$B$2,2)=7),IFERROR(1*'Daily Workforce'!$K174&gt;=3,FALSE()),IFERROR(1*'Daily Workforce'!$K174&gt;=2,FALSE())),IF(AND('Daily Schedule'!$A49&gt;=46,'Daily Schedule'!$A49&lt;=52),'Daily Workforce'!$M174="Y",IFERROR(1*'Daily Workforce'!$P174&gt;=2,FALSE()))))),1,0)</f>
        <v>0</v>
      </c>
      <c r="GD45" s="1" t="n">
        <f aca="false">IF(AND('Daily Workforce'!$N175="Y",'Daily Workforce'!$B175&lt;&gt;"",COUNTIF('Daily Schedule'!$F$5:$F48,'Daily Workforce'!$B175)=0,IF('Daily Schedule'!$A49=45,'Daily Workforce'!$J175="Y",IF(OR('Daily Schedule'!$A49=4,'Daily Schedule'!$A49=8),IF(OR(WEEKDAY('Daily Schedule'!$B$2,2)=1,WEEKDAY('Daily Schedule'!$B$2,2)=4,WEEKDAY('Daily Schedule'!$B$2,2)=5,WEEKDAY('Daily Schedule'!$B$2,2)=7),IFERROR(1*'Daily Workforce'!$K175&gt;=3,FALSE()),IFERROR(1*'Daily Workforce'!$K175&gt;=2,FALSE())),IF(AND('Daily Schedule'!$A49&gt;=46,'Daily Schedule'!$A49&lt;=52),'Daily Workforce'!$M175="Y",IFERROR(1*'Daily Workforce'!$P175&gt;=2,FALSE()))))),1,0)</f>
        <v>0</v>
      </c>
      <c r="GE45" s="1" t="n">
        <f aca="false">IF(AND('Daily Workforce'!$N176="Y",'Daily Workforce'!$B176&lt;&gt;"",COUNTIF('Daily Schedule'!$F$5:$F48,'Daily Workforce'!$B176)=0,IF('Daily Schedule'!$A49=45,'Daily Workforce'!$J176="Y",IF(OR('Daily Schedule'!$A49=4,'Daily Schedule'!$A49=8),IF(OR(WEEKDAY('Daily Schedule'!$B$2,2)=1,WEEKDAY('Daily Schedule'!$B$2,2)=4,WEEKDAY('Daily Schedule'!$B$2,2)=5,WEEKDAY('Daily Schedule'!$B$2,2)=7),IFERROR(1*'Daily Workforce'!$K176&gt;=3,FALSE()),IFERROR(1*'Daily Workforce'!$K176&gt;=2,FALSE())),IF(AND('Daily Schedule'!$A49&gt;=46,'Daily Schedule'!$A49&lt;=52),'Daily Workforce'!$M176="Y",IFERROR(1*'Daily Workforce'!$P176&gt;=2,FALSE()))))),1,0)</f>
        <v>0</v>
      </c>
      <c r="GF45" s="1" t="n">
        <f aca="false">IF(AND('Daily Workforce'!$N177="Y",'Daily Workforce'!$B177&lt;&gt;"",COUNTIF('Daily Schedule'!$F$5:$F48,'Daily Workforce'!$B177)=0,IF('Daily Schedule'!$A49=45,'Daily Workforce'!$J177="Y",IF(OR('Daily Schedule'!$A49=4,'Daily Schedule'!$A49=8),IF(OR(WEEKDAY('Daily Schedule'!$B$2,2)=1,WEEKDAY('Daily Schedule'!$B$2,2)=4,WEEKDAY('Daily Schedule'!$B$2,2)=5,WEEKDAY('Daily Schedule'!$B$2,2)=7),IFERROR(1*'Daily Workforce'!$K177&gt;=3,FALSE()),IFERROR(1*'Daily Workforce'!$K177&gt;=2,FALSE())),IF(AND('Daily Schedule'!$A49&gt;=46,'Daily Schedule'!$A49&lt;=52),'Daily Workforce'!$M177="Y",IFERROR(1*'Daily Workforce'!$P177&gt;=2,FALSE()))))),1,0)</f>
        <v>0</v>
      </c>
      <c r="GG45" s="1" t="n">
        <f aca="false">IF(AND('Daily Workforce'!$N178="Y",'Daily Workforce'!$B178&lt;&gt;"",COUNTIF('Daily Schedule'!$F$5:$F48,'Daily Workforce'!$B178)=0,IF('Daily Schedule'!$A49=45,'Daily Workforce'!$J178="Y",IF(OR('Daily Schedule'!$A49=4,'Daily Schedule'!$A49=8),IF(OR(WEEKDAY('Daily Schedule'!$B$2,2)=1,WEEKDAY('Daily Schedule'!$B$2,2)=4,WEEKDAY('Daily Schedule'!$B$2,2)=5,WEEKDAY('Daily Schedule'!$B$2,2)=7),IFERROR(1*'Daily Workforce'!$K178&gt;=3,FALSE()),IFERROR(1*'Daily Workforce'!$K178&gt;=2,FALSE())),IF(AND('Daily Schedule'!$A49&gt;=46,'Daily Schedule'!$A49&lt;=52),'Daily Workforce'!$M178="Y",IFERROR(1*'Daily Workforce'!$P178&gt;=2,FALSE()))))),1,0)</f>
        <v>0</v>
      </c>
      <c r="GH45" s="1" t="n">
        <f aca="false">IF(AND('Daily Workforce'!$N179="Y",'Daily Workforce'!$B179&lt;&gt;"",COUNTIF('Daily Schedule'!$F$5:$F48,'Daily Workforce'!$B179)=0,IF('Daily Schedule'!$A49=45,'Daily Workforce'!$J179="Y",IF(OR('Daily Schedule'!$A49=4,'Daily Schedule'!$A49=8),IF(OR(WEEKDAY('Daily Schedule'!$B$2,2)=1,WEEKDAY('Daily Schedule'!$B$2,2)=4,WEEKDAY('Daily Schedule'!$B$2,2)=5,WEEKDAY('Daily Schedule'!$B$2,2)=7),IFERROR(1*'Daily Workforce'!$K179&gt;=3,FALSE()),IFERROR(1*'Daily Workforce'!$K179&gt;=2,FALSE())),IF(AND('Daily Schedule'!$A49&gt;=46,'Daily Schedule'!$A49&lt;=52),'Daily Workforce'!$M179="Y",IFERROR(1*'Daily Workforce'!$P179&gt;=2,FALSE()))))),1,0)</f>
        <v>0</v>
      </c>
      <c r="GI45" s="1" t="n">
        <f aca="false">IF(AND('Daily Workforce'!$N180="Y",'Daily Workforce'!$B180&lt;&gt;"",COUNTIF('Daily Schedule'!$F$5:$F48,'Daily Workforce'!$B180)=0,IF('Daily Schedule'!$A49=45,'Daily Workforce'!$J180="Y",IF(OR('Daily Schedule'!$A49=4,'Daily Schedule'!$A49=8),IF(OR(WEEKDAY('Daily Schedule'!$B$2,2)=1,WEEKDAY('Daily Schedule'!$B$2,2)=4,WEEKDAY('Daily Schedule'!$B$2,2)=5,WEEKDAY('Daily Schedule'!$B$2,2)=7),IFERROR(1*'Daily Workforce'!$K180&gt;=3,FALSE()),IFERROR(1*'Daily Workforce'!$K180&gt;=2,FALSE())),IF(AND('Daily Schedule'!$A49&gt;=46,'Daily Schedule'!$A49&lt;=52),'Daily Workforce'!$M180="Y",IFERROR(1*'Daily Workforce'!$P180&gt;=2,FALSE()))))),1,0)</f>
        <v>0</v>
      </c>
      <c r="GJ45" s="1" t="n">
        <f aca="false">IF(AND('Daily Workforce'!$N181="Y",'Daily Workforce'!$B181&lt;&gt;"",COUNTIF('Daily Schedule'!$F$5:$F48,'Daily Workforce'!$B181)=0,IF('Daily Schedule'!$A49=45,'Daily Workforce'!$J181="Y",IF(OR('Daily Schedule'!$A49=4,'Daily Schedule'!$A49=8),IF(OR(WEEKDAY('Daily Schedule'!$B$2,2)=1,WEEKDAY('Daily Schedule'!$B$2,2)=4,WEEKDAY('Daily Schedule'!$B$2,2)=5,WEEKDAY('Daily Schedule'!$B$2,2)=7),IFERROR(1*'Daily Workforce'!$K181&gt;=3,FALSE()),IFERROR(1*'Daily Workforce'!$K181&gt;=2,FALSE())),IF(AND('Daily Schedule'!$A49&gt;=46,'Daily Schedule'!$A49&lt;=52),'Daily Workforce'!$M181="Y",IFERROR(1*'Daily Workforce'!$P181&gt;=2,FALSE()))))),1,0)</f>
        <v>0</v>
      </c>
      <c r="GK45" s="1" t="n">
        <f aca="false">IF(AND('Daily Workforce'!$N182="Y",'Daily Workforce'!$B182&lt;&gt;"",COUNTIF('Daily Schedule'!$F$5:$F48,'Daily Workforce'!$B182)=0,IF('Daily Schedule'!$A49=45,'Daily Workforce'!$J182="Y",IF(OR('Daily Schedule'!$A49=4,'Daily Schedule'!$A49=8),IF(OR(WEEKDAY('Daily Schedule'!$B$2,2)=1,WEEKDAY('Daily Schedule'!$B$2,2)=4,WEEKDAY('Daily Schedule'!$B$2,2)=5,WEEKDAY('Daily Schedule'!$B$2,2)=7),IFERROR(1*'Daily Workforce'!$K182&gt;=3,FALSE()),IFERROR(1*'Daily Workforce'!$K182&gt;=2,FALSE())),IF(AND('Daily Schedule'!$A49&gt;=46,'Daily Schedule'!$A49&lt;=52),'Daily Workforce'!$M182="Y",IFERROR(1*'Daily Workforce'!$P182&gt;=2,FALSE()))))),1,0)</f>
        <v>0</v>
      </c>
      <c r="GL45" s="1" t="n">
        <f aca="false">IF(AND('Daily Workforce'!$N183="Y",'Daily Workforce'!$B183&lt;&gt;"",COUNTIF('Daily Schedule'!$F$5:$F48,'Daily Workforce'!$B183)=0,IF('Daily Schedule'!$A49=45,'Daily Workforce'!$J183="Y",IF(OR('Daily Schedule'!$A49=4,'Daily Schedule'!$A49=8),IF(OR(WEEKDAY('Daily Schedule'!$B$2,2)=1,WEEKDAY('Daily Schedule'!$B$2,2)=4,WEEKDAY('Daily Schedule'!$B$2,2)=5,WEEKDAY('Daily Schedule'!$B$2,2)=7),IFERROR(1*'Daily Workforce'!$K183&gt;=3,FALSE()),IFERROR(1*'Daily Workforce'!$K183&gt;=2,FALSE())),IF(AND('Daily Schedule'!$A49&gt;=46,'Daily Schedule'!$A49&lt;=52),'Daily Workforce'!$M183="Y",IFERROR(1*'Daily Workforce'!$P183&gt;=2,FALSE()))))),1,0)</f>
        <v>0</v>
      </c>
      <c r="GM45" s="1" t="n">
        <f aca="false">IF(AND('Daily Workforce'!$N184="Y",'Daily Workforce'!$B184&lt;&gt;"",COUNTIF('Daily Schedule'!$F$5:$F48,'Daily Workforce'!$B184)=0,IF('Daily Schedule'!$A49=45,'Daily Workforce'!$J184="Y",IF(OR('Daily Schedule'!$A49=4,'Daily Schedule'!$A49=8),IF(OR(WEEKDAY('Daily Schedule'!$B$2,2)=1,WEEKDAY('Daily Schedule'!$B$2,2)=4,WEEKDAY('Daily Schedule'!$B$2,2)=5,WEEKDAY('Daily Schedule'!$B$2,2)=7),IFERROR(1*'Daily Workforce'!$K184&gt;=3,FALSE()),IFERROR(1*'Daily Workforce'!$K184&gt;=2,FALSE())),IF(AND('Daily Schedule'!$A49&gt;=46,'Daily Schedule'!$A49&lt;=52),'Daily Workforce'!$M184="Y",IFERROR(1*'Daily Workforce'!$P184&gt;=2,FALSE()))))),1,0)</f>
        <v>0</v>
      </c>
      <c r="GN45" s="1" t="n">
        <f aca="false">IF(AND('Daily Workforce'!$N185="Y",'Daily Workforce'!$B185&lt;&gt;"",COUNTIF('Daily Schedule'!$F$5:$F48,'Daily Workforce'!$B185)=0,IF('Daily Schedule'!$A49=45,'Daily Workforce'!$J185="Y",IF(OR('Daily Schedule'!$A49=4,'Daily Schedule'!$A49=8),IF(OR(WEEKDAY('Daily Schedule'!$B$2,2)=1,WEEKDAY('Daily Schedule'!$B$2,2)=4,WEEKDAY('Daily Schedule'!$B$2,2)=5,WEEKDAY('Daily Schedule'!$B$2,2)=7),IFERROR(1*'Daily Workforce'!$K185&gt;=3,FALSE()),IFERROR(1*'Daily Workforce'!$K185&gt;=2,FALSE())),IF(AND('Daily Schedule'!$A49&gt;=46,'Daily Schedule'!$A49&lt;=52),'Daily Workforce'!$M185="Y",IFERROR(1*'Daily Workforce'!$P185&gt;=2,FALSE()))))),1,0)</f>
        <v>0</v>
      </c>
      <c r="GO45" s="1" t="n">
        <f aca="false">IF(AND('Daily Workforce'!$N186="Y",'Daily Workforce'!$B186&lt;&gt;"",COUNTIF('Daily Schedule'!$F$5:$F48,'Daily Workforce'!$B186)=0,IF('Daily Schedule'!$A49=45,'Daily Workforce'!$J186="Y",IF(OR('Daily Schedule'!$A49=4,'Daily Schedule'!$A49=8),IF(OR(WEEKDAY('Daily Schedule'!$B$2,2)=1,WEEKDAY('Daily Schedule'!$B$2,2)=4,WEEKDAY('Daily Schedule'!$B$2,2)=5,WEEKDAY('Daily Schedule'!$B$2,2)=7),IFERROR(1*'Daily Workforce'!$K186&gt;=3,FALSE()),IFERROR(1*'Daily Workforce'!$K186&gt;=2,FALSE())),IF(AND('Daily Schedule'!$A49&gt;=46,'Daily Schedule'!$A49&lt;=52),'Daily Workforce'!$M186="Y",IFERROR(1*'Daily Workforce'!$P186&gt;=2,FALSE()))))),1,0)</f>
        <v>0</v>
      </c>
      <c r="GP45" s="1" t="n">
        <f aca="false">IF(AND('Daily Workforce'!$N187="Y",'Daily Workforce'!$B187&lt;&gt;"",COUNTIF('Daily Schedule'!$F$5:$F48,'Daily Workforce'!$B187)=0,IF('Daily Schedule'!$A49=45,'Daily Workforce'!$J187="Y",IF(OR('Daily Schedule'!$A49=4,'Daily Schedule'!$A49=8),IF(OR(WEEKDAY('Daily Schedule'!$B$2,2)=1,WEEKDAY('Daily Schedule'!$B$2,2)=4,WEEKDAY('Daily Schedule'!$B$2,2)=5,WEEKDAY('Daily Schedule'!$B$2,2)=7),IFERROR(1*'Daily Workforce'!$K187&gt;=3,FALSE()),IFERROR(1*'Daily Workforce'!$K187&gt;=2,FALSE())),IF(AND('Daily Schedule'!$A49&gt;=46,'Daily Schedule'!$A49&lt;=52),'Daily Workforce'!$M187="Y",IFERROR(1*'Daily Workforce'!$P187&gt;=2,FALSE()))))),1,0)</f>
        <v>0</v>
      </c>
      <c r="GQ45" s="1" t="n">
        <f aca="false">IF(AND('Daily Workforce'!$N188="Y",'Daily Workforce'!$B188&lt;&gt;"",COUNTIF('Daily Schedule'!$F$5:$F48,'Daily Workforce'!$B188)=0,IF('Daily Schedule'!$A49=45,'Daily Workforce'!$J188="Y",IF(OR('Daily Schedule'!$A49=4,'Daily Schedule'!$A49=8),IF(OR(WEEKDAY('Daily Schedule'!$B$2,2)=1,WEEKDAY('Daily Schedule'!$B$2,2)=4,WEEKDAY('Daily Schedule'!$B$2,2)=5,WEEKDAY('Daily Schedule'!$B$2,2)=7),IFERROR(1*'Daily Workforce'!$K188&gt;=3,FALSE()),IFERROR(1*'Daily Workforce'!$K188&gt;=2,FALSE())),IF(AND('Daily Schedule'!$A49&gt;=46,'Daily Schedule'!$A49&lt;=52),'Daily Workforce'!$M188="Y",IFERROR(1*'Daily Workforce'!$P188&gt;=2,FALSE()))))),1,0)</f>
        <v>0</v>
      </c>
      <c r="GR45" s="1" t="n">
        <f aca="false">IF(AND('Daily Workforce'!$N189="Y",'Daily Workforce'!$B189&lt;&gt;"",COUNTIF('Daily Schedule'!$F$5:$F48,'Daily Workforce'!$B189)=0,IF('Daily Schedule'!$A49=45,'Daily Workforce'!$J189="Y",IF(OR('Daily Schedule'!$A49=4,'Daily Schedule'!$A49=8),IF(OR(WEEKDAY('Daily Schedule'!$B$2,2)=1,WEEKDAY('Daily Schedule'!$B$2,2)=4,WEEKDAY('Daily Schedule'!$B$2,2)=5,WEEKDAY('Daily Schedule'!$B$2,2)=7),IFERROR(1*'Daily Workforce'!$K189&gt;=3,FALSE()),IFERROR(1*'Daily Workforce'!$K189&gt;=2,FALSE())),IF(AND('Daily Schedule'!$A49&gt;=46,'Daily Schedule'!$A49&lt;=52),'Daily Workforce'!$M189="Y",IFERROR(1*'Daily Workforce'!$P189&gt;=2,FALSE()))))),1,0)</f>
        <v>0</v>
      </c>
      <c r="GS45" s="1" t="n">
        <f aca="false">IF(AND('Daily Workforce'!$N190="Y",'Daily Workforce'!$B190&lt;&gt;"",COUNTIF('Daily Schedule'!$F$5:$F48,'Daily Workforce'!$B190)=0,IF('Daily Schedule'!$A49=45,'Daily Workforce'!$J190="Y",IF(OR('Daily Schedule'!$A49=4,'Daily Schedule'!$A49=8),IF(OR(WEEKDAY('Daily Schedule'!$B$2,2)=1,WEEKDAY('Daily Schedule'!$B$2,2)=4,WEEKDAY('Daily Schedule'!$B$2,2)=5,WEEKDAY('Daily Schedule'!$B$2,2)=7),IFERROR(1*'Daily Workforce'!$K190&gt;=3,FALSE()),IFERROR(1*'Daily Workforce'!$K190&gt;=2,FALSE())),IF(AND('Daily Schedule'!$A49&gt;=46,'Daily Schedule'!$A49&lt;=52),'Daily Workforce'!$M190="Y",IFERROR(1*'Daily Workforce'!$P190&gt;=2,FALSE()))))),1,0)</f>
        <v>0</v>
      </c>
      <c r="GT45" s="1" t="n">
        <f aca="false">IF(AND('Daily Workforce'!$N191="Y",'Daily Workforce'!$B191&lt;&gt;"",COUNTIF('Daily Schedule'!$F$5:$F48,'Daily Workforce'!$B191)=0,IF('Daily Schedule'!$A49=45,'Daily Workforce'!$J191="Y",IF(OR('Daily Schedule'!$A49=4,'Daily Schedule'!$A49=8),IF(OR(WEEKDAY('Daily Schedule'!$B$2,2)=1,WEEKDAY('Daily Schedule'!$B$2,2)=4,WEEKDAY('Daily Schedule'!$B$2,2)=5,WEEKDAY('Daily Schedule'!$B$2,2)=7),IFERROR(1*'Daily Workforce'!$K191&gt;=3,FALSE()),IFERROR(1*'Daily Workforce'!$K191&gt;=2,FALSE())),IF(AND('Daily Schedule'!$A49&gt;=46,'Daily Schedule'!$A49&lt;=52),'Daily Workforce'!$M191="Y",IFERROR(1*'Daily Workforce'!$P191&gt;=2,FALSE()))))),1,0)</f>
        <v>0</v>
      </c>
      <c r="GU45" s="1" t="n">
        <f aca="false">IF(AND('Daily Workforce'!$N192="Y",'Daily Workforce'!$B192&lt;&gt;"",COUNTIF('Daily Schedule'!$F$5:$F48,'Daily Workforce'!$B192)=0,IF('Daily Schedule'!$A49=45,'Daily Workforce'!$J192="Y",IF(OR('Daily Schedule'!$A49=4,'Daily Schedule'!$A49=8),IF(OR(WEEKDAY('Daily Schedule'!$B$2,2)=1,WEEKDAY('Daily Schedule'!$B$2,2)=4,WEEKDAY('Daily Schedule'!$B$2,2)=5,WEEKDAY('Daily Schedule'!$B$2,2)=7),IFERROR(1*'Daily Workforce'!$K192&gt;=3,FALSE()),IFERROR(1*'Daily Workforce'!$K192&gt;=2,FALSE())),IF(AND('Daily Schedule'!$A49&gt;=46,'Daily Schedule'!$A49&lt;=52),'Daily Workforce'!$M192="Y",IFERROR(1*'Daily Workforce'!$P192&gt;=2,FALSE()))))),1,0)</f>
        <v>0</v>
      </c>
      <c r="GV45" s="1" t="n">
        <f aca="false">IF(AND('Daily Workforce'!$N193="Y",'Daily Workforce'!$B193&lt;&gt;"",COUNTIF('Daily Schedule'!$F$5:$F48,'Daily Workforce'!$B193)=0,IF('Daily Schedule'!$A49=45,'Daily Workforce'!$J193="Y",IF(OR('Daily Schedule'!$A49=4,'Daily Schedule'!$A49=8),IF(OR(WEEKDAY('Daily Schedule'!$B$2,2)=1,WEEKDAY('Daily Schedule'!$B$2,2)=4,WEEKDAY('Daily Schedule'!$B$2,2)=5,WEEKDAY('Daily Schedule'!$B$2,2)=7),IFERROR(1*'Daily Workforce'!$K193&gt;=3,FALSE()),IFERROR(1*'Daily Workforce'!$K193&gt;=2,FALSE())),IF(AND('Daily Schedule'!$A49&gt;=46,'Daily Schedule'!$A49&lt;=52),'Daily Workforce'!$M193="Y",IFERROR(1*'Daily Workforce'!$P193&gt;=2,FALSE()))))),1,0)</f>
        <v>0</v>
      </c>
      <c r="GW45" s="1" t="n">
        <f aca="false">IF(AND('Daily Workforce'!$N194="Y",'Daily Workforce'!$B194&lt;&gt;"",COUNTIF('Daily Schedule'!$F$5:$F48,'Daily Workforce'!$B194)=0,IF('Daily Schedule'!$A49=45,'Daily Workforce'!$J194="Y",IF(OR('Daily Schedule'!$A49=4,'Daily Schedule'!$A49=8),IF(OR(WEEKDAY('Daily Schedule'!$B$2,2)=1,WEEKDAY('Daily Schedule'!$B$2,2)=4,WEEKDAY('Daily Schedule'!$B$2,2)=5,WEEKDAY('Daily Schedule'!$B$2,2)=7),IFERROR(1*'Daily Workforce'!$K194&gt;=3,FALSE()),IFERROR(1*'Daily Workforce'!$K194&gt;=2,FALSE())),IF(AND('Daily Schedule'!$A49&gt;=46,'Daily Schedule'!$A49&lt;=52),'Daily Workforce'!$M194="Y",IFERROR(1*'Daily Workforce'!$P194&gt;=2,FALSE()))))),1,0)</f>
        <v>0</v>
      </c>
      <c r="GX45" s="1" t="n">
        <f aca="false">IF(AND('Daily Workforce'!$N195="Y",'Daily Workforce'!$B195&lt;&gt;"",COUNTIF('Daily Schedule'!$F$5:$F48,'Daily Workforce'!$B195)=0,IF('Daily Schedule'!$A49=45,'Daily Workforce'!$J195="Y",IF(OR('Daily Schedule'!$A49=4,'Daily Schedule'!$A49=8),IF(OR(WEEKDAY('Daily Schedule'!$B$2,2)=1,WEEKDAY('Daily Schedule'!$B$2,2)=4,WEEKDAY('Daily Schedule'!$B$2,2)=5,WEEKDAY('Daily Schedule'!$B$2,2)=7),IFERROR(1*'Daily Workforce'!$K195&gt;=3,FALSE()),IFERROR(1*'Daily Workforce'!$K195&gt;=2,FALSE())),IF(AND('Daily Schedule'!$A49&gt;=46,'Daily Schedule'!$A49&lt;=52),'Daily Workforce'!$M195="Y",IFERROR(1*'Daily Workforce'!$P195&gt;=2,FALSE()))))),1,0)</f>
        <v>0</v>
      </c>
      <c r="GY45" s="1" t="n">
        <f aca="false">IF(AND('Daily Workforce'!$N196="Y",'Daily Workforce'!$B196&lt;&gt;"",COUNTIF('Daily Schedule'!$F$5:$F48,'Daily Workforce'!$B196)=0,IF('Daily Schedule'!$A49=45,'Daily Workforce'!$J196="Y",IF(OR('Daily Schedule'!$A49=4,'Daily Schedule'!$A49=8),IF(OR(WEEKDAY('Daily Schedule'!$B$2,2)=1,WEEKDAY('Daily Schedule'!$B$2,2)=4,WEEKDAY('Daily Schedule'!$B$2,2)=5,WEEKDAY('Daily Schedule'!$B$2,2)=7),IFERROR(1*'Daily Workforce'!$K196&gt;=3,FALSE()),IFERROR(1*'Daily Workforce'!$K196&gt;=2,FALSE())),IF(AND('Daily Schedule'!$A49&gt;=46,'Daily Schedule'!$A49&lt;=52),'Daily Workforce'!$M196="Y",IFERROR(1*'Daily Workforce'!$P196&gt;=2,FALSE()))))),1,0)</f>
        <v>0</v>
      </c>
      <c r="GZ45" s="1" t="n">
        <f aca="false">IF(AND('Daily Workforce'!$N197="Y",'Daily Workforce'!$B197&lt;&gt;"",COUNTIF('Daily Schedule'!$F$5:$F48,'Daily Workforce'!$B197)=0,IF('Daily Schedule'!$A49=45,'Daily Workforce'!$J197="Y",IF(OR('Daily Schedule'!$A49=4,'Daily Schedule'!$A49=8),IF(OR(WEEKDAY('Daily Schedule'!$B$2,2)=1,WEEKDAY('Daily Schedule'!$B$2,2)=4,WEEKDAY('Daily Schedule'!$B$2,2)=5,WEEKDAY('Daily Schedule'!$B$2,2)=7),IFERROR(1*'Daily Workforce'!$K197&gt;=3,FALSE()),IFERROR(1*'Daily Workforce'!$K197&gt;=2,FALSE())),IF(AND('Daily Schedule'!$A49&gt;=46,'Daily Schedule'!$A49&lt;=52),'Daily Workforce'!$M197="Y",IFERROR(1*'Daily Workforce'!$P197&gt;=2,FALSE()))))),1,0)</f>
        <v>0</v>
      </c>
      <c r="HA45" s="1" t="n">
        <f aca="false">IF(AND('Daily Workforce'!$N198="Y",'Daily Workforce'!$B198&lt;&gt;"",COUNTIF('Daily Schedule'!$F$5:$F48,'Daily Workforce'!$B198)=0,IF('Daily Schedule'!$A49=45,'Daily Workforce'!$J198="Y",IF(OR('Daily Schedule'!$A49=4,'Daily Schedule'!$A49=8),IF(OR(WEEKDAY('Daily Schedule'!$B$2,2)=1,WEEKDAY('Daily Schedule'!$B$2,2)=4,WEEKDAY('Daily Schedule'!$B$2,2)=5,WEEKDAY('Daily Schedule'!$B$2,2)=7),IFERROR(1*'Daily Workforce'!$K198&gt;=3,FALSE()),IFERROR(1*'Daily Workforce'!$K198&gt;=2,FALSE())),IF(AND('Daily Schedule'!$A49&gt;=46,'Daily Schedule'!$A49&lt;=52),'Daily Workforce'!$M198="Y",IFERROR(1*'Daily Workforce'!$P198&gt;=2,FALSE()))))),1,0)</f>
        <v>0</v>
      </c>
      <c r="HB45" s="1" t="n">
        <f aca="false">IF(AND('Daily Workforce'!$N199="Y",'Daily Workforce'!$B199&lt;&gt;"",COUNTIF('Daily Schedule'!$F$5:$F48,'Daily Workforce'!$B199)=0,IF('Daily Schedule'!$A49=45,'Daily Workforce'!$J199="Y",IF(OR('Daily Schedule'!$A49=4,'Daily Schedule'!$A49=8),IF(OR(WEEKDAY('Daily Schedule'!$B$2,2)=1,WEEKDAY('Daily Schedule'!$B$2,2)=4,WEEKDAY('Daily Schedule'!$B$2,2)=5,WEEKDAY('Daily Schedule'!$B$2,2)=7),IFERROR(1*'Daily Workforce'!$K199&gt;=3,FALSE()),IFERROR(1*'Daily Workforce'!$K199&gt;=2,FALSE())),IF(AND('Daily Schedule'!$A49&gt;=46,'Daily Schedule'!$A49&lt;=52),'Daily Workforce'!$M199="Y",IFERROR(1*'Daily Workforce'!$P199&gt;=2,FALSE()))))),1,0)</f>
        <v>0</v>
      </c>
      <c r="HC45" s="1" t="n">
        <f aca="false">IF(AND('Daily Workforce'!$N200="Y",'Daily Workforce'!$B200&lt;&gt;"",COUNTIF('Daily Schedule'!$F$5:$F48,'Daily Workforce'!$B200)=0,IF('Daily Schedule'!$A49=45,'Daily Workforce'!$J200="Y",IF(OR('Daily Schedule'!$A49=4,'Daily Schedule'!$A49=8),IF(OR(WEEKDAY('Daily Schedule'!$B$2,2)=1,WEEKDAY('Daily Schedule'!$B$2,2)=4,WEEKDAY('Daily Schedule'!$B$2,2)=5,WEEKDAY('Daily Schedule'!$B$2,2)=7),IFERROR(1*'Daily Workforce'!$K200&gt;=3,FALSE()),IFERROR(1*'Daily Workforce'!$K200&gt;=2,FALSE())),IF(AND('Daily Schedule'!$A49&gt;=46,'Daily Schedule'!$A49&lt;=52),'Daily Workforce'!$M200="Y",IFERROR(1*'Daily Workforce'!$P200&gt;=2,FALSE()))))),1,0)</f>
        <v>0</v>
      </c>
      <c r="HD45" s="1" t="n">
        <f aca="false">IF(AND('Daily Workforce'!$N201="Y",'Daily Workforce'!$B201&lt;&gt;"",COUNTIF('Daily Schedule'!$F$5:$F48,'Daily Workforce'!$B201)=0,IF('Daily Schedule'!$A49=45,'Daily Workforce'!$J201="Y",IF(OR('Daily Schedule'!$A49=4,'Daily Schedule'!$A49=8),IF(OR(WEEKDAY('Daily Schedule'!$B$2,2)=1,WEEKDAY('Daily Schedule'!$B$2,2)=4,WEEKDAY('Daily Schedule'!$B$2,2)=5,WEEKDAY('Daily Schedule'!$B$2,2)=7),IFERROR(1*'Daily Workforce'!$K201&gt;=3,FALSE()),IFERROR(1*'Daily Workforce'!$K201&gt;=2,FALSE())),IF(AND('Daily Schedule'!$A49&gt;=46,'Daily Schedule'!$A49&lt;=52),'Daily Workforce'!$M201="Y",IFERROR(1*'Daily Workforce'!$P201&gt;=2,FALSE()))))),1,0)</f>
        <v>0</v>
      </c>
      <c r="HE45" s="1" t="n">
        <f aca="false">IF(AND('Daily Workforce'!$N202="Y",'Daily Workforce'!$B202&lt;&gt;"",COUNTIF('Daily Schedule'!$F$5:$F48,'Daily Workforce'!$B202)=0,IF('Daily Schedule'!$A49=45,'Daily Workforce'!$J202="Y",IF(OR('Daily Schedule'!$A49=4,'Daily Schedule'!$A49=8),IF(OR(WEEKDAY('Daily Schedule'!$B$2,2)=1,WEEKDAY('Daily Schedule'!$B$2,2)=4,WEEKDAY('Daily Schedule'!$B$2,2)=5,WEEKDAY('Daily Schedule'!$B$2,2)=7),IFERROR(1*'Daily Workforce'!$K202&gt;=3,FALSE()),IFERROR(1*'Daily Workforce'!$K202&gt;=2,FALSE())),IF(AND('Daily Schedule'!$A49&gt;=46,'Daily Schedule'!$A49&lt;=52),'Daily Workforce'!$M202="Y",IFERROR(1*'Daily Workforce'!$P202&gt;=2,FALSE()))))),1,0)</f>
        <v>0</v>
      </c>
      <c r="HF45" s="1" t="n">
        <f aca="false">IF(AND('Daily Workforce'!$N203="Y",'Daily Workforce'!$B203&lt;&gt;"",COUNTIF('Daily Schedule'!$F$5:$F48,'Daily Workforce'!$B203)=0,IF('Daily Schedule'!$A49=45,'Daily Workforce'!$J203="Y",IF(OR('Daily Schedule'!$A49=4,'Daily Schedule'!$A49=8),IF(OR(WEEKDAY('Daily Schedule'!$B$2,2)=1,WEEKDAY('Daily Schedule'!$B$2,2)=4,WEEKDAY('Daily Schedule'!$B$2,2)=5,WEEKDAY('Daily Schedule'!$B$2,2)=7),IFERROR(1*'Daily Workforce'!$K203&gt;=3,FALSE()),IFERROR(1*'Daily Workforce'!$K203&gt;=2,FALSE())),IF(AND('Daily Schedule'!$A49&gt;=46,'Daily Schedule'!$A49&lt;=52),'Daily Workforce'!$M203="Y",IFERROR(1*'Daily Workforce'!$P203&gt;=2,FALSE()))))),1,0)</f>
        <v>0</v>
      </c>
      <c r="HG45" s="1" t="n">
        <f aca="false">IF(AND('Daily Workforce'!$N204="Y",'Daily Workforce'!$B204&lt;&gt;"",COUNTIF('Daily Schedule'!$F$5:$F48,'Daily Workforce'!$B204)=0,IF('Daily Schedule'!$A49=45,'Daily Workforce'!$J204="Y",IF(OR('Daily Schedule'!$A49=4,'Daily Schedule'!$A49=8),IF(OR(WEEKDAY('Daily Schedule'!$B$2,2)=1,WEEKDAY('Daily Schedule'!$B$2,2)=4,WEEKDAY('Daily Schedule'!$B$2,2)=5,WEEKDAY('Daily Schedule'!$B$2,2)=7),IFERROR(1*'Daily Workforce'!$K204&gt;=3,FALSE()),IFERROR(1*'Daily Workforce'!$K204&gt;=2,FALSE())),IF(AND('Daily Schedule'!$A49&gt;=46,'Daily Schedule'!$A49&lt;=52),'Daily Workforce'!$M204="Y",IFERROR(1*'Daily Workforce'!$P204&gt;=2,FALSE()))))),1,0)</f>
        <v>0</v>
      </c>
      <c r="HH45" s="1" t="n">
        <f aca="false">IF(AND('Daily Workforce'!$N205="Y",'Daily Workforce'!$B205&lt;&gt;"",COUNTIF('Daily Schedule'!$F$5:$F48,'Daily Workforce'!$B205)=0,IF('Daily Schedule'!$A49=45,'Daily Workforce'!$J205="Y",IF(OR('Daily Schedule'!$A49=4,'Daily Schedule'!$A49=8),IF(OR(WEEKDAY('Daily Schedule'!$B$2,2)=1,WEEKDAY('Daily Schedule'!$B$2,2)=4,WEEKDAY('Daily Schedule'!$B$2,2)=5,WEEKDAY('Daily Schedule'!$B$2,2)=7),IFERROR(1*'Daily Workforce'!$K205&gt;=3,FALSE()),IFERROR(1*'Daily Workforce'!$K205&gt;=2,FALSE())),IF(AND('Daily Schedule'!$A49&gt;=46,'Daily Schedule'!$A49&lt;=52),'Daily Workforce'!$M205="Y",IFERROR(1*'Daily Workforce'!$P205&gt;=2,FALSE()))))),1,0)</f>
        <v>0</v>
      </c>
    </row>
    <row r="46" customFormat="false" ht="15" hidden="false" customHeight="true" outlineLevel="0" collapsed="false">
      <c r="L46" s="1" t="s">
        <v>819</v>
      </c>
      <c r="O46" s="1" t="n">
        <f aca="false">IF(AND('Employee Master'!$G46="Y",ISERROR(SEARCH(TEXT('Daily Workforce'!$B$2,"ddd"),'Employee Master'!$D46)),IF('Daily Workforce'!$E$2="",TRUE(),'Employee Master'!$I46='Daily Workforce'!$E$2)),'Employee Master'!$K46*1000+ROW()-1,"")</f>
        <v>3045</v>
      </c>
      <c r="P46" s="1" t="n">
        <f aca="false">IF($O46="","",COUNTIF($O$2:$O$159,"&lt;="&amp;$O46))</f>
        <v>66</v>
      </c>
      <c r="Q46" s="1" t="n">
        <f aca="false">IF(AND('Daily Workforce'!$N6="Y",'Daily Workforce'!$B6&lt;&gt;"",COUNTIF('Daily Schedule'!$F$5:$F49,'Daily Workforce'!$B6)=0,IF('Daily Schedule'!$A50=45,'Daily Workforce'!$J6="Y",IF(OR('Daily Schedule'!$A50=4,'Daily Schedule'!$A50=8),IF(OR(WEEKDAY('Daily Schedule'!$B$2,2)=1,WEEKDAY('Daily Schedule'!$B$2,2)=4,WEEKDAY('Daily Schedule'!$B$2,2)=5,WEEKDAY('Daily Schedule'!$B$2,2)=7),IFERROR(1*'Daily Workforce'!$K6&gt;=3,FALSE()),IFERROR(1*'Daily Workforce'!$K6&gt;=2,FALSE())),IF(AND('Daily Schedule'!$A50&gt;=46,'Daily Schedule'!$A50&lt;=52),'Daily Workforce'!$M6="Y",IFERROR(1*'Daily Workforce'!$P6&gt;=2,FALSE()))))),1,0)</f>
        <v>0</v>
      </c>
      <c r="R46" s="1" t="n">
        <f aca="false">IF(AND('Daily Workforce'!$N7="Y",'Daily Workforce'!$B7&lt;&gt;"",COUNTIF('Daily Schedule'!$F$5:$F49,'Daily Workforce'!$B7)=0,IF('Daily Schedule'!$A50=45,'Daily Workforce'!$J7="Y",IF(OR('Daily Schedule'!$A50=4,'Daily Schedule'!$A50=8),IF(OR(WEEKDAY('Daily Schedule'!$B$2,2)=1,WEEKDAY('Daily Schedule'!$B$2,2)=4,WEEKDAY('Daily Schedule'!$B$2,2)=5,WEEKDAY('Daily Schedule'!$B$2,2)=7),IFERROR(1*'Daily Workforce'!$K7&gt;=3,FALSE()),IFERROR(1*'Daily Workforce'!$K7&gt;=2,FALSE())),IF(AND('Daily Schedule'!$A50&gt;=46,'Daily Schedule'!$A50&lt;=52),'Daily Workforce'!$M7="Y",IFERROR(1*'Daily Workforce'!$P7&gt;=2,FALSE()))))),1,0)</f>
        <v>0</v>
      </c>
      <c r="S46" s="1" t="n">
        <f aca="false">IF(AND('Daily Workforce'!$N8="Y",'Daily Workforce'!$B8&lt;&gt;"",COUNTIF('Daily Schedule'!$F$5:$F49,'Daily Workforce'!$B8)=0,IF('Daily Schedule'!$A50=45,'Daily Workforce'!$J8="Y",IF(OR('Daily Schedule'!$A50=4,'Daily Schedule'!$A50=8),IF(OR(WEEKDAY('Daily Schedule'!$B$2,2)=1,WEEKDAY('Daily Schedule'!$B$2,2)=4,WEEKDAY('Daily Schedule'!$B$2,2)=5,WEEKDAY('Daily Schedule'!$B$2,2)=7),IFERROR(1*'Daily Workforce'!$K8&gt;=3,FALSE()),IFERROR(1*'Daily Workforce'!$K8&gt;=2,FALSE())),IF(AND('Daily Schedule'!$A50&gt;=46,'Daily Schedule'!$A50&lt;=52),'Daily Workforce'!$M8="Y",IFERROR(1*'Daily Workforce'!$P8&gt;=2,FALSE()))))),1,0)</f>
        <v>0</v>
      </c>
      <c r="T46" s="1" t="n">
        <f aca="false">IF(AND('Daily Workforce'!$N9="Y",'Daily Workforce'!$B9&lt;&gt;"",COUNTIF('Daily Schedule'!$F$5:$F49,'Daily Workforce'!$B9)=0,IF('Daily Schedule'!$A50=45,'Daily Workforce'!$J9="Y",IF(OR('Daily Schedule'!$A50=4,'Daily Schedule'!$A50=8),IF(OR(WEEKDAY('Daily Schedule'!$B$2,2)=1,WEEKDAY('Daily Schedule'!$B$2,2)=4,WEEKDAY('Daily Schedule'!$B$2,2)=5,WEEKDAY('Daily Schedule'!$B$2,2)=7),IFERROR(1*'Daily Workforce'!$K9&gt;=3,FALSE()),IFERROR(1*'Daily Workforce'!$K9&gt;=2,FALSE())),IF(AND('Daily Schedule'!$A50&gt;=46,'Daily Schedule'!$A50&lt;=52),'Daily Workforce'!$M9="Y",IFERROR(1*'Daily Workforce'!$P9&gt;=2,FALSE()))))),1,0)</f>
        <v>0</v>
      </c>
      <c r="U46" s="1" t="n">
        <f aca="false">IF(AND('Daily Workforce'!$N10="Y",'Daily Workforce'!$B10&lt;&gt;"",COUNTIF('Daily Schedule'!$F$5:$F49,'Daily Workforce'!$B10)=0,IF('Daily Schedule'!$A50=45,'Daily Workforce'!$J10="Y",IF(OR('Daily Schedule'!$A50=4,'Daily Schedule'!$A50=8),IF(OR(WEEKDAY('Daily Schedule'!$B$2,2)=1,WEEKDAY('Daily Schedule'!$B$2,2)=4,WEEKDAY('Daily Schedule'!$B$2,2)=5,WEEKDAY('Daily Schedule'!$B$2,2)=7),IFERROR(1*'Daily Workforce'!$K10&gt;=3,FALSE()),IFERROR(1*'Daily Workforce'!$K10&gt;=2,FALSE())),IF(AND('Daily Schedule'!$A50&gt;=46,'Daily Schedule'!$A50&lt;=52),'Daily Workforce'!$M10="Y",IFERROR(1*'Daily Workforce'!$P10&gt;=2,FALSE()))))),1,0)</f>
        <v>0</v>
      </c>
      <c r="V46" s="1" t="n">
        <f aca="false">IF(AND('Daily Workforce'!$N11="Y",'Daily Workforce'!$B11&lt;&gt;"",COUNTIF('Daily Schedule'!$F$5:$F49,'Daily Workforce'!$B11)=0,IF('Daily Schedule'!$A50=45,'Daily Workforce'!$J11="Y",IF(OR('Daily Schedule'!$A50=4,'Daily Schedule'!$A50=8),IF(OR(WEEKDAY('Daily Schedule'!$B$2,2)=1,WEEKDAY('Daily Schedule'!$B$2,2)=4,WEEKDAY('Daily Schedule'!$B$2,2)=5,WEEKDAY('Daily Schedule'!$B$2,2)=7),IFERROR(1*'Daily Workforce'!$K11&gt;=3,FALSE()),IFERROR(1*'Daily Workforce'!$K11&gt;=2,FALSE())),IF(AND('Daily Schedule'!$A50&gt;=46,'Daily Schedule'!$A50&lt;=52),'Daily Workforce'!$M11="Y",IFERROR(1*'Daily Workforce'!$P11&gt;=2,FALSE()))))),1,0)</f>
        <v>0</v>
      </c>
      <c r="W46" s="1" t="n">
        <f aca="false">IF(AND('Daily Workforce'!$N12="Y",'Daily Workforce'!$B12&lt;&gt;"",COUNTIF('Daily Schedule'!$F$5:$F49,'Daily Workforce'!$B12)=0,IF('Daily Schedule'!$A50=45,'Daily Workforce'!$J12="Y",IF(OR('Daily Schedule'!$A50=4,'Daily Schedule'!$A50=8),IF(OR(WEEKDAY('Daily Schedule'!$B$2,2)=1,WEEKDAY('Daily Schedule'!$B$2,2)=4,WEEKDAY('Daily Schedule'!$B$2,2)=5,WEEKDAY('Daily Schedule'!$B$2,2)=7),IFERROR(1*'Daily Workforce'!$K12&gt;=3,FALSE()),IFERROR(1*'Daily Workforce'!$K12&gt;=2,FALSE())),IF(AND('Daily Schedule'!$A50&gt;=46,'Daily Schedule'!$A50&lt;=52),'Daily Workforce'!$M12="Y",IFERROR(1*'Daily Workforce'!$P12&gt;=2,FALSE()))))),1,0)</f>
        <v>0</v>
      </c>
      <c r="X46" s="1" t="n">
        <f aca="false">IF(AND('Daily Workforce'!$N13="Y",'Daily Workforce'!$B13&lt;&gt;"",COUNTIF('Daily Schedule'!$F$5:$F49,'Daily Workforce'!$B13)=0,IF('Daily Schedule'!$A50=45,'Daily Workforce'!$J13="Y",IF(OR('Daily Schedule'!$A50=4,'Daily Schedule'!$A50=8),IF(OR(WEEKDAY('Daily Schedule'!$B$2,2)=1,WEEKDAY('Daily Schedule'!$B$2,2)=4,WEEKDAY('Daily Schedule'!$B$2,2)=5,WEEKDAY('Daily Schedule'!$B$2,2)=7),IFERROR(1*'Daily Workforce'!$K13&gt;=3,FALSE()),IFERROR(1*'Daily Workforce'!$K13&gt;=2,FALSE())),IF(AND('Daily Schedule'!$A50&gt;=46,'Daily Schedule'!$A50&lt;=52),'Daily Workforce'!$M13="Y",IFERROR(1*'Daily Workforce'!$P13&gt;=2,FALSE()))))),1,0)</f>
        <v>0</v>
      </c>
      <c r="Y46" s="1" t="n">
        <f aca="false">IF(AND('Daily Workforce'!$N14="Y",'Daily Workforce'!$B14&lt;&gt;"",COUNTIF('Daily Schedule'!$F$5:$F49,'Daily Workforce'!$B14)=0,IF('Daily Schedule'!$A50=45,'Daily Workforce'!$J14="Y",IF(OR('Daily Schedule'!$A50=4,'Daily Schedule'!$A50=8),IF(OR(WEEKDAY('Daily Schedule'!$B$2,2)=1,WEEKDAY('Daily Schedule'!$B$2,2)=4,WEEKDAY('Daily Schedule'!$B$2,2)=5,WEEKDAY('Daily Schedule'!$B$2,2)=7),IFERROR(1*'Daily Workforce'!$K14&gt;=3,FALSE()),IFERROR(1*'Daily Workforce'!$K14&gt;=2,FALSE())),IF(AND('Daily Schedule'!$A50&gt;=46,'Daily Schedule'!$A50&lt;=52),'Daily Workforce'!$M14="Y",IFERROR(1*'Daily Workforce'!$P14&gt;=2,FALSE()))))),1,0)</f>
        <v>0</v>
      </c>
      <c r="Z46" s="1" t="n">
        <f aca="false">IF(AND('Daily Workforce'!$N15="Y",'Daily Workforce'!$B15&lt;&gt;"",COUNTIF('Daily Schedule'!$F$5:$F49,'Daily Workforce'!$B15)=0,IF('Daily Schedule'!$A50=45,'Daily Workforce'!$J15="Y",IF(OR('Daily Schedule'!$A50=4,'Daily Schedule'!$A50=8),IF(OR(WEEKDAY('Daily Schedule'!$B$2,2)=1,WEEKDAY('Daily Schedule'!$B$2,2)=4,WEEKDAY('Daily Schedule'!$B$2,2)=5,WEEKDAY('Daily Schedule'!$B$2,2)=7),IFERROR(1*'Daily Workforce'!$K15&gt;=3,FALSE()),IFERROR(1*'Daily Workforce'!$K15&gt;=2,FALSE())),IF(AND('Daily Schedule'!$A50&gt;=46,'Daily Schedule'!$A50&lt;=52),'Daily Workforce'!$M15="Y",IFERROR(1*'Daily Workforce'!$P15&gt;=2,FALSE()))))),1,0)</f>
        <v>0</v>
      </c>
      <c r="AA46" s="1" t="n">
        <f aca="false">IF(AND('Daily Workforce'!$N16="Y",'Daily Workforce'!$B16&lt;&gt;"",COUNTIF('Daily Schedule'!$F$5:$F49,'Daily Workforce'!$B16)=0,IF('Daily Schedule'!$A50=45,'Daily Workforce'!$J16="Y",IF(OR('Daily Schedule'!$A50=4,'Daily Schedule'!$A50=8),IF(OR(WEEKDAY('Daily Schedule'!$B$2,2)=1,WEEKDAY('Daily Schedule'!$B$2,2)=4,WEEKDAY('Daily Schedule'!$B$2,2)=5,WEEKDAY('Daily Schedule'!$B$2,2)=7),IFERROR(1*'Daily Workforce'!$K16&gt;=3,FALSE()),IFERROR(1*'Daily Workforce'!$K16&gt;=2,FALSE())),IF(AND('Daily Schedule'!$A50&gt;=46,'Daily Schedule'!$A50&lt;=52),'Daily Workforce'!$M16="Y",IFERROR(1*'Daily Workforce'!$P16&gt;=2,FALSE()))))),1,0)</f>
        <v>0</v>
      </c>
      <c r="AB46" s="1" t="n">
        <f aca="false">IF(AND('Daily Workforce'!$N17="Y",'Daily Workforce'!$B17&lt;&gt;"",COUNTIF('Daily Schedule'!$F$5:$F49,'Daily Workforce'!$B17)=0,IF('Daily Schedule'!$A50=45,'Daily Workforce'!$J17="Y",IF(OR('Daily Schedule'!$A50=4,'Daily Schedule'!$A50=8),IF(OR(WEEKDAY('Daily Schedule'!$B$2,2)=1,WEEKDAY('Daily Schedule'!$B$2,2)=4,WEEKDAY('Daily Schedule'!$B$2,2)=5,WEEKDAY('Daily Schedule'!$B$2,2)=7),IFERROR(1*'Daily Workforce'!$K17&gt;=3,FALSE()),IFERROR(1*'Daily Workforce'!$K17&gt;=2,FALSE())),IF(AND('Daily Schedule'!$A50&gt;=46,'Daily Schedule'!$A50&lt;=52),'Daily Workforce'!$M17="Y",IFERROR(1*'Daily Workforce'!$P17&gt;=2,FALSE()))))),1,0)</f>
        <v>0</v>
      </c>
      <c r="AC46" s="1" t="n">
        <f aca="false">IF(AND('Daily Workforce'!$N18="Y",'Daily Workforce'!$B18&lt;&gt;"",COUNTIF('Daily Schedule'!$F$5:$F49,'Daily Workforce'!$B18)=0,IF('Daily Schedule'!$A50=45,'Daily Workforce'!$J18="Y",IF(OR('Daily Schedule'!$A50=4,'Daily Schedule'!$A50=8),IF(OR(WEEKDAY('Daily Schedule'!$B$2,2)=1,WEEKDAY('Daily Schedule'!$B$2,2)=4,WEEKDAY('Daily Schedule'!$B$2,2)=5,WEEKDAY('Daily Schedule'!$B$2,2)=7),IFERROR(1*'Daily Workforce'!$K18&gt;=3,FALSE()),IFERROR(1*'Daily Workforce'!$K18&gt;=2,FALSE())),IF(AND('Daily Schedule'!$A50&gt;=46,'Daily Schedule'!$A50&lt;=52),'Daily Workforce'!$M18="Y",IFERROR(1*'Daily Workforce'!$P18&gt;=2,FALSE()))))),1,0)</f>
        <v>0</v>
      </c>
      <c r="AD46" s="1" t="n">
        <f aca="false">IF(AND('Daily Workforce'!$N19="Y",'Daily Workforce'!$B19&lt;&gt;"",COUNTIF('Daily Schedule'!$F$5:$F49,'Daily Workforce'!$B19)=0,IF('Daily Schedule'!$A50=45,'Daily Workforce'!$J19="Y",IF(OR('Daily Schedule'!$A50=4,'Daily Schedule'!$A50=8),IF(OR(WEEKDAY('Daily Schedule'!$B$2,2)=1,WEEKDAY('Daily Schedule'!$B$2,2)=4,WEEKDAY('Daily Schedule'!$B$2,2)=5,WEEKDAY('Daily Schedule'!$B$2,2)=7),IFERROR(1*'Daily Workforce'!$K19&gt;=3,FALSE()),IFERROR(1*'Daily Workforce'!$K19&gt;=2,FALSE())),IF(AND('Daily Schedule'!$A50&gt;=46,'Daily Schedule'!$A50&lt;=52),'Daily Workforce'!$M19="Y",IFERROR(1*'Daily Workforce'!$P19&gt;=2,FALSE()))))),1,0)</f>
        <v>0</v>
      </c>
      <c r="AE46" s="1" t="n">
        <f aca="false">IF(AND('Daily Workforce'!$N20="Y",'Daily Workforce'!$B20&lt;&gt;"",COUNTIF('Daily Schedule'!$F$5:$F49,'Daily Workforce'!$B20)=0,IF('Daily Schedule'!$A50=45,'Daily Workforce'!$J20="Y",IF(OR('Daily Schedule'!$A50=4,'Daily Schedule'!$A50=8),IF(OR(WEEKDAY('Daily Schedule'!$B$2,2)=1,WEEKDAY('Daily Schedule'!$B$2,2)=4,WEEKDAY('Daily Schedule'!$B$2,2)=5,WEEKDAY('Daily Schedule'!$B$2,2)=7),IFERROR(1*'Daily Workforce'!$K20&gt;=3,FALSE()),IFERROR(1*'Daily Workforce'!$K20&gt;=2,FALSE())),IF(AND('Daily Schedule'!$A50&gt;=46,'Daily Schedule'!$A50&lt;=52),'Daily Workforce'!$M20="Y",IFERROR(1*'Daily Workforce'!$P20&gt;=2,FALSE()))))),1,0)</f>
        <v>0</v>
      </c>
      <c r="AF46" s="1" t="n">
        <f aca="false">IF(AND('Daily Workforce'!$N21="Y",'Daily Workforce'!$B21&lt;&gt;"",COUNTIF('Daily Schedule'!$F$5:$F49,'Daily Workforce'!$B21)=0,IF('Daily Schedule'!$A50=45,'Daily Workforce'!$J21="Y",IF(OR('Daily Schedule'!$A50=4,'Daily Schedule'!$A50=8),IF(OR(WEEKDAY('Daily Schedule'!$B$2,2)=1,WEEKDAY('Daily Schedule'!$B$2,2)=4,WEEKDAY('Daily Schedule'!$B$2,2)=5,WEEKDAY('Daily Schedule'!$B$2,2)=7),IFERROR(1*'Daily Workforce'!$K21&gt;=3,FALSE()),IFERROR(1*'Daily Workforce'!$K21&gt;=2,FALSE())),IF(AND('Daily Schedule'!$A50&gt;=46,'Daily Schedule'!$A50&lt;=52),'Daily Workforce'!$M21="Y",IFERROR(1*'Daily Workforce'!$P21&gt;=2,FALSE()))))),1,0)</f>
        <v>0</v>
      </c>
      <c r="AG46" s="1" t="n">
        <f aca="false">IF(AND('Daily Workforce'!$N22="Y",'Daily Workforce'!$B22&lt;&gt;"",COUNTIF('Daily Schedule'!$F$5:$F49,'Daily Workforce'!$B22)=0,IF('Daily Schedule'!$A50=45,'Daily Workforce'!$J22="Y",IF(OR('Daily Schedule'!$A50=4,'Daily Schedule'!$A50=8),IF(OR(WEEKDAY('Daily Schedule'!$B$2,2)=1,WEEKDAY('Daily Schedule'!$B$2,2)=4,WEEKDAY('Daily Schedule'!$B$2,2)=5,WEEKDAY('Daily Schedule'!$B$2,2)=7),IFERROR(1*'Daily Workforce'!$K22&gt;=3,FALSE()),IFERROR(1*'Daily Workforce'!$K22&gt;=2,FALSE())),IF(AND('Daily Schedule'!$A50&gt;=46,'Daily Schedule'!$A50&lt;=52),'Daily Workforce'!$M22="Y",IFERROR(1*'Daily Workforce'!$P22&gt;=2,FALSE()))))),1,0)</f>
        <v>0</v>
      </c>
      <c r="AH46" s="1" t="n">
        <f aca="false">IF(AND('Daily Workforce'!$N23="Y",'Daily Workforce'!$B23&lt;&gt;"",COUNTIF('Daily Schedule'!$F$5:$F49,'Daily Workforce'!$B23)=0,IF('Daily Schedule'!$A50=45,'Daily Workforce'!$J23="Y",IF(OR('Daily Schedule'!$A50=4,'Daily Schedule'!$A50=8),IF(OR(WEEKDAY('Daily Schedule'!$B$2,2)=1,WEEKDAY('Daily Schedule'!$B$2,2)=4,WEEKDAY('Daily Schedule'!$B$2,2)=5,WEEKDAY('Daily Schedule'!$B$2,2)=7),IFERROR(1*'Daily Workforce'!$K23&gt;=3,FALSE()),IFERROR(1*'Daily Workforce'!$K23&gt;=2,FALSE())),IF(AND('Daily Schedule'!$A50&gt;=46,'Daily Schedule'!$A50&lt;=52),'Daily Workforce'!$M23="Y",IFERROR(1*'Daily Workforce'!$P23&gt;=2,FALSE()))))),1,0)</f>
        <v>0</v>
      </c>
      <c r="AI46" s="1" t="n">
        <f aca="false">IF(AND('Daily Workforce'!$N24="Y",'Daily Workforce'!$B24&lt;&gt;"",COUNTIF('Daily Schedule'!$F$5:$F49,'Daily Workforce'!$B24)=0,IF('Daily Schedule'!$A50=45,'Daily Workforce'!$J24="Y",IF(OR('Daily Schedule'!$A50=4,'Daily Schedule'!$A50=8),IF(OR(WEEKDAY('Daily Schedule'!$B$2,2)=1,WEEKDAY('Daily Schedule'!$B$2,2)=4,WEEKDAY('Daily Schedule'!$B$2,2)=5,WEEKDAY('Daily Schedule'!$B$2,2)=7),IFERROR(1*'Daily Workforce'!$K24&gt;=3,FALSE()),IFERROR(1*'Daily Workforce'!$K24&gt;=2,FALSE())),IF(AND('Daily Schedule'!$A50&gt;=46,'Daily Schedule'!$A50&lt;=52),'Daily Workforce'!$M24="Y",IFERROR(1*'Daily Workforce'!$P24&gt;=2,FALSE()))))),1,0)</f>
        <v>0</v>
      </c>
      <c r="AJ46" s="1" t="n">
        <f aca="false">IF(AND('Daily Workforce'!$N25="Y",'Daily Workforce'!$B25&lt;&gt;"",COUNTIF('Daily Schedule'!$F$5:$F49,'Daily Workforce'!$B25)=0,IF('Daily Schedule'!$A50=45,'Daily Workforce'!$J25="Y",IF(OR('Daily Schedule'!$A50=4,'Daily Schedule'!$A50=8),IF(OR(WEEKDAY('Daily Schedule'!$B$2,2)=1,WEEKDAY('Daily Schedule'!$B$2,2)=4,WEEKDAY('Daily Schedule'!$B$2,2)=5,WEEKDAY('Daily Schedule'!$B$2,2)=7),IFERROR(1*'Daily Workforce'!$K25&gt;=3,FALSE()),IFERROR(1*'Daily Workforce'!$K25&gt;=2,FALSE())),IF(AND('Daily Schedule'!$A50&gt;=46,'Daily Schedule'!$A50&lt;=52),'Daily Workforce'!$M25="Y",IFERROR(1*'Daily Workforce'!$P25&gt;=2,FALSE()))))),1,0)</f>
        <v>0</v>
      </c>
      <c r="AK46" s="1" t="n">
        <f aca="false">IF(AND('Daily Workforce'!$N26="Y",'Daily Workforce'!$B26&lt;&gt;"",COUNTIF('Daily Schedule'!$F$5:$F49,'Daily Workforce'!$B26)=0,IF('Daily Schedule'!$A50=45,'Daily Workforce'!$J26="Y",IF(OR('Daily Schedule'!$A50=4,'Daily Schedule'!$A50=8),IF(OR(WEEKDAY('Daily Schedule'!$B$2,2)=1,WEEKDAY('Daily Schedule'!$B$2,2)=4,WEEKDAY('Daily Schedule'!$B$2,2)=5,WEEKDAY('Daily Schedule'!$B$2,2)=7),IFERROR(1*'Daily Workforce'!$K26&gt;=3,FALSE()),IFERROR(1*'Daily Workforce'!$K26&gt;=2,FALSE())),IF(AND('Daily Schedule'!$A50&gt;=46,'Daily Schedule'!$A50&lt;=52),'Daily Workforce'!$M26="Y",IFERROR(1*'Daily Workforce'!$P26&gt;=2,FALSE()))))),1,0)</f>
        <v>0</v>
      </c>
      <c r="AL46" s="1" t="n">
        <f aca="false">IF(AND('Daily Workforce'!$N27="Y",'Daily Workforce'!$B27&lt;&gt;"",COUNTIF('Daily Schedule'!$F$5:$F49,'Daily Workforce'!$B27)=0,IF('Daily Schedule'!$A50=45,'Daily Workforce'!$J27="Y",IF(OR('Daily Schedule'!$A50=4,'Daily Schedule'!$A50=8),IF(OR(WEEKDAY('Daily Schedule'!$B$2,2)=1,WEEKDAY('Daily Schedule'!$B$2,2)=4,WEEKDAY('Daily Schedule'!$B$2,2)=5,WEEKDAY('Daily Schedule'!$B$2,2)=7),IFERROR(1*'Daily Workforce'!$K27&gt;=3,FALSE()),IFERROR(1*'Daily Workforce'!$K27&gt;=2,FALSE())),IF(AND('Daily Schedule'!$A50&gt;=46,'Daily Schedule'!$A50&lt;=52),'Daily Workforce'!$M27="Y",IFERROR(1*'Daily Workforce'!$P27&gt;=2,FALSE()))))),1,0)</f>
        <v>0</v>
      </c>
      <c r="AM46" s="1" t="n">
        <f aca="false">IF(AND('Daily Workforce'!$N28="Y",'Daily Workforce'!$B28&lt;&gt;"",COUNTIF('Daily Schedule'!$F$5:$F49,'Daily Workforce'!$B28)=0,IF('Daily Schedule'!$A50=45,'Daily Workforce'!$J28="Y",IF(OR('Daily Schedule'!$A50=4,'Daily Schedule'!$A50=8),IF(OR(WEEKDAY('Daily Schedule'!$B$2,2)=1,WEEKDAY('Daily Schedule'!$B$2,2)=4,WEEKDAY('Daily Schedule'!$B$2,2)=5,WEEKDAY('Daily Schedule'!$B$2,2)=7),IFERROR(1*'Daily Workforce'!$K28&gt;=3,FALSE()),IFERROR(1*'Daily Workforce'!$K28&gt;=2,FALSE())),IF(AND('Daily Schedule'!$A50&gt;=46,'Daily Schedule'!$A50&lt;=52),'Daily Workforce'!$M28="Y",IFERROR(1*'Daily Workforce'!$P28&gt;=2,FALSE()))))),1,0)</f>
        <v>0</v>
      </c>
      <c r="AN46" s="1" t="n">
        <f aca="false">IF(AND('Daily Workforce'!$N29="Y",'Daily Workforce'!$B29&lt;&gt;"",COUNTIF('Daily Schedule'!$F$5:$F49,'Daily Workforce'!$B29)=0,IF('Daily Schedule'!$A50=45,'Daily Workforce'!$J29="Y",IF(OR('Daily Schedule'!$A50=4,'Daily Schedule'!$A50=8),IF(OR(WEEKDAY('Daily Schedule'!$B$2,2)=1,WEEKDAY('Daily Schedule'!$B$2,2)=4,WEEKDAY('Daily Schedule'!$B$2,2)=5,WEEKDAY('Daily Schedule'!$B$2,2)=7),IFERROR(1*'Daily Workforce'!$K29&gt;=3,FALSE()),IFERROR(1*'Daily Workforce'!$K29&gt;=2,FALSE())),IF(AND('Daily Schedule'!$A50&gt;=46,'Daily Schedule'!$A50&lt;=52),'Daily Workforce'!$M29="Y",IFERROR(1*'Daily Workforce'!$P29&gt;=2,FALSE()))))),1,0)</f>
        <v>0</v>
      </c>
      <c r="AO46" s="1" t="n">
        <f aca="false">IF(AND('Daily Workforce'!$N30="Y",'Daily Workforce'!$B30&lt;&gt;"",COUNTIF('Daily Schedule'!$F$5:$F49,'Daily Workforce'!$B30)=0,IF('Daily Schedule'!$A50=45,'Daily Workforce'!$J30="Y",IF(OR('Daily Schedule'!$A50=4,'Daily Schedule'!$A50=8),IF(OR(WEEKDAY('Daily Schedule'!$B$2,2)=1,WEEKDAY('Daily Schedule'!$B$2,2)=4,WEEKDAY('Daily Schedule'!$B$2,2)=5,WEEKDAY('Daily Schedule'!$B$2,2)=7),IFERROR(1*'Daily Workforce'!$K30&gt;=3,FALSE()),IFERROR(1*'Daily Workforce'!$K30&gt;=2,FALSE())),IF(AND('Daily Schedule'!$A50&gt;=46,'Daily Schedule'!$A50&lt;=52),'Daily Workforce'!$M30="Y",IFERROR(1*'Daily Workforce'!$P30&gt;=2,FALSE()))))),1,0)</f>
        <v>0</v>
      </c>
      <c r="AP46" s="1" t="n">
        <f aca="false">IF(AND('Daily Workforce'!$N31="Y",'Daily Workforce'!$B31&lt;&gt;"",COUNTIF('Daily Schedule'!$F$5:$F49,'Daily Workforce'!$B31)=0,IF('Daily Schedule'!$A50=45,'Daily Workforce'!$J31="Y",IF(OR('Daily Schedule'!$A50=4,'Daily Schedule'!$A50=8),IF(OR(WEEKDAY('Daily Schedule'!$B$2,2)=1,WEEKDAY('Daily Schedule'!$B$2,2)=4,WEEKDAY('Daily Schedule'!$B$2,2)=5,WEEKDAY('Daily Schedule'!$B$2,2)=7),IFERROR(1*'Daily Workforce'!$K31&gt;=3,FALSE()),IFERROR(1*'Daily Workforce'!$K31&gt;=2,FALSE())),IF(AND('Daily Schedule'!$A50&gt;=46,'Daily Schedule'!$A50&lt;=52),'Daily Workforce'!$M31="Y",IFERROR(1*'Daily Workforce'!$P31&gt;=2,FALSE()))))),1,0)</f>
        <v>0</v>
      </c>
      <c r="AQ46" s="1" t="n">
        <f aca="false">IF(AND('Daily Workforce'!$N32="Y",'Daily Workforce'!$B32&lt;&gt;"",COUNTIF('Daily Schedule'!$F$5:$F49,'Daily Workforce'!$B32)=0,IF('Daily Schedule'!$A50=45,'Daily Workforce'!$J32="Y",IF(OR('Daily Schedule'!$A50=4,'Daily Schedule'!$A50=8),IF(OR(WEEKDAY('Daily Schedule'!$B$2,2)=1,WEEKDAY('Daily Schedule'!$B$2,2)=4,WEEKDAY('Daily Schedule'!$B$2,2)=5,WEEKDAY('Daily Schedule'!$B$2,2)=7),IFERROR(1*'Daily Workforce'!$K32&gt;=3,FALSE()),IFERROR(1*'Daily Workforce'!$K32&gt;=2,FALSE())),IF(AND('Daily Schedule'!$A50&gt;=46,'Daily Schedule'!$A50&lt;=52),'Daily Workforce'!$M32="Y",IFERROR(1*'Daily Workforce'!$P32&gt;=2,FALSE()))))),1,0)</f>
        <v>0</v>
      </c>
      <c r="AR46" s="1" t="n">
        <f aca="false">IF(AND('Daily Workforce'!$N33="Y",'Daily Workforce'!$B33&lt;&gt;"",COUNTIF('Daily Schedule'!$F$5:$F49,'Daily Workforce'!$B33)=0,IF('Daily Schedule'!$A50=45,'Daily Workforce'!$J33="Y",IF(OR('Daily Schedule'!$A50=4,'Daily Schedule'!$A50=8),IF(OR(WEEKDAY('Daily Schedule'!$B$2,2)=1,WEEKDAY('Daily Schedule'!$B$2,2)=4,WEEKDAY('Daily Schedule'!$B$2,2)=5,WEEKDAY('Daily Schedule'!$B$2,2)=7),IFERROR(1*'Daily Workforce'!$K33&gt;=3,FALSE()),IFERROR(1*'Daily Workforce'!$K33&gt;=2,FALSE())),IF(AND('Daily Schedule'!$A50&gt;=46,'Daily Schedule'!$A50&lt;=52),'Daily Workforce'!$M33="Y",IFERROR(1*'Daily Workforce'!$P33&gt;=2,FALSE()))))),1,0)</f>
        <v>0</v>
      </c>
      <c r="AS46" s="1" t="n">
        <f aca="false">IF(AND('Daily Workforce'!$N34="Y",'Daily Workforce'!$B34&lt;&gt;"",COUNTIF('Daily Schedule'!$F$5:$F49,'Daily Workforce'!$B34)=0,IF('Daily Schedule'!$A50=45,'Daily Workforce'!$J34="Y",IF(OR('Daily Schedule'!$A50=4,'Daily Schedule'!$A50=8),IF(OR(WEEKDAY('Daily Schedule'!$B$2,2)=1,WEEKDAY('Daily Schedule'!$B$2,2)=4,WEEKDAY('Daily Schedule'!$B$2,2)=5,WEEKDAY('Daily Schedule'!$B$2,2)=7),IFERROR(1*'Daily Workforce'!$K34&gt;=3,FALSE()),IFERROR(1*'Daily Workforce'!$K34&gt;=2,FALSE())),IF(AND('Daily Schedule'!$A50&gt;=46,'Daily Schedule'!$A50&lt;=52),'Daily Workforce'!$M34="Y",IFERROR(1*'Daily Workforce'!$P34&gt;=2,FALSE()))))),1,0)</f>
        <v>0</v>
      </c>
      <c r="AT46" s="1" t="n">
        <f aca="false">IF(AND('Daily Workforce'!$N35="Y",'Daily Workforce'!$B35&lt;&gt;"",COUNTIF('Daily Schedule'!$F$5:$F49,'Daily Workforce'!$B35)=0,IF('Daily Schedule'!$A50=45,'Daily Workforce'!$J35="Y",IF(OR('Daily Schedule'!$A50=4,'Daily Schedule'!$A50=8),IF(OR(WEEKDAY('Daily Schedule'!$B$2,2)=1,WEEKDAY('Daily Schedule'!$B$2,2)=4,WEEKDAY('Daily Schedule'!$B$2,2)=5,WEEKDAY('Daily Schedule'!$B$2,2)=7),IFERROR(1*'Daily Workforce'!$K35&gt;=3,FALSE()),IFERROR(1*'Daily Workforce'!$K35&gt;=2,FALSE())),IF(AND('Daily Schedule'!$A50&gt;=46,'Daily Schedule'!$A50&lt;=52),'Daily Workforce'!$M35="Y",IFERROR(1*'Daily Workforce'!$P35&gt;=2,FALSE()))))),1,0)</f>
        <v>0</v>
      </c>
      <c r="AU46" s="1" t="n">
        <f aca="false">IF(AND('Daily Workforce'!$N36="Y",'Daily Workforce'!$B36&lt;&gt;"",COUNTIF('Daily Schedule'!$F$5:$F49,'Daily Workforce'!$B36)=0,IF('Daily Schedule'!$A50=45,'Daily Workforce'!$J36="Y",IF(OR('Daily Schedule'!$A50=4,'Daily Schedule'!$A50=8),IF(OR(WEEKDAY('Daily Schedule'!$B$2,2)=1,WEEKDAY('Daily Schedule'!$B$2,2)=4,WEEKDAY('Daily Schedule'!$B$2,2)=5,WEEKDAY('Daily Schedule'!$B$2,2)=7),IFERROR(1*'Daily Workforce'!$K36&gt;=3,FALSE()),IFERROR(1*'Daily Workforce'!$K36&gt;=2,FALSE())),IF(AND('Daily Schedule'!$A50&gt;=46,'Daily Schedule'!$A50&lt;=52),'Daily Workforce'!$M36="Y",IFERROR(1*'Daily Workforce'!$P36&gt;=2,FALSE()))))),1,0)</f>
        <v>0</v>
      </c>
      <c r="AV46" s="1" t="n">
        <f aca="false">IF(AND('Daily Workforce'!$N37="Y",'Daily Workforce'!$B37&lt;&gt;"",COUNTIF('Daily Schedule'!$F$5:$F49,'Daily Workforce'!$B37)=0,IF('Daily Schedule'!$A50=45,'Daily Workforce'!$J37="Y",IF(OR('Daily Schedule'!$A50=4,'Daily Schedule'!$A50=8),IF(OR(WEEKDAY('Daily Schedule'!$B$2,2)=1,WEEKDAY('Daily Schedule'!$B$2,2)=4,WEEKDAY('Daily Schedule'!$B$2,2)=5,WEEKDAY('Daily Schedule'!$B$2,2)=7),IFERROR(1*'Daily Workforce'!$K37&gt;=3,FALSE()),IFERROR(1*'Daily Workforce'!$K37&gt;=2,FALSE())),IF(AND('Daily Schedule'!$A50&gt;=46,'Daily Schedule'!$A50&lt;=52),'Daily Workforce'!$M37="Y",IFERROR(1*'Daily Workforce'!$P37&gt;=2,FALSE()))))),1,0)</f>
        <v>0</v>
      </c>
      <c r="AW46" s="1" t="n">
        <f aca="false">IF(AND('Daily Workforce'!$N38="Y",'Daily Workforce'!$B38&lt;&gt;"",COUNTIF('Daily Schedule'!$F$5:$F49,'Daily Workforce'!$B38)=0,IF('Daily Schedule'!$A50=45,'Daily Workforce'!$J38="Y",IF(OR('Daily Schedule'!$A50=4,'Daily Schedule'!$A50=8),IF(OR(WEEKDAY('Daily Schedule'!$B$2,2)=1,WEEKDAY('Daily Schedule'!$B$2,2)=4,WEEKDAY('Daily Schedule'!$B$2,2)=5,WEEKDAY('Daily Schedule'!$B$2,2)=7),IFERROR(1*'Daily Workforce'!$K38&gt;=3,FALSE()),IFERROR(1*'Daily Workforce'!$K38&gt;=2,FALSE())),IF(AND('Daily Schedule'!$A50&gt;=46,'Daily Schedule'!$A50&lt;=52),'Daily Workforce'!$M38="Y",IFERROR(1*'Daily Workforce'!$P38&gt;=2,FALSE()))))),1,0)</f>
        <v>0</v>
      </c>
      <c r="AX46" s="1" t="n">
        <f aca="false">IF(AND('Daily Workforce'!$N39="Y",'Daily Workforce'!$B39&lt;&gt;"",COUNTIF('Daily Schedule'!$F$5:$F49,'Daily Workforce'!$B39)=0,IF('Daily Schedule'!$A50=45,'Daily Workforce'!$J39="Y",IF(OR('Daily Schedule'!$A50=4,'Daily Schedule'!$A50=8),IF(OR(WEEKDAY('Daily Schedule'!$B$2,2)=1,WEEKDAY('Daily Schedule'!$B$2,2)=4,WEEKDAY('Daily Schedule'!$B$2,2)=5,WEEKDAY('Daily Schedule'!$B$2,2)=7),IFERROR(1*'Daily Workforce'!$K39&gt;=3,FALSE()),IFERROR(1*'Daily Workforce'!$K39&gt;=2,FALSE())),IF(AND('Daily Schedule'!$A50&gt;=46,'Daily Schedule'!$A50&lt;=52),'Daily Workforce'!$M39="Y",IFERROR(1*'Daily Workforce'!$P39&gt;=2,FALSE()))))),1,0)</f>
        <v>0</v>
      </c>
      <c r="AY46" s="1" t="n">
        <f aca="false">IF(AND('Daily Workforce'!$N40="Y",'Daily Workforce'!$B40&lt;&gt;"",COUNTIF('Daily Schedule'!$F$5:$F49,'Daily Workforce'!$B40)=0,IF('Daily Schedule'!$A50=45,'Daily Workforce'!$J40="Y",IF(OR('Daily Schedule'!$A50=4,'Daily Schedule'!$A50=8),IF(OR(WEEKDAY('Daily Schedule'!$B$2,2)=1,WEEKDAY('Daily Schedule'!$B$2,2)=4,WEEKDAY('Daily Schedule'!$B$2,2)=5,WEEKDAY('Daily Schedule'!$B$2,2)=7),IFERROR(1*'Daily Workforce'!$K40&gt;=3,FALSE()),IFERROR(1*'Daily Workforce'!$K40&gt;=2,FALSE())),IF(AND('Daily Schedule'!$A50&gt;=46,'Daily Schedule'!$A50&lt;=52),'Daily Workforce'!$M40="Y",IFERROR(1*'Daily Workforce'!$P40&gt;=2,FALSE()))))),1,0)</f>
        <v>0</v>
      </c>
      <c r="AZ46" s="1" t="n">
        <f aca="false">IF(AND('Daily Workforce'!$N41="Y",'Daily Workforce'!$B41&lt;&gt;"",COUNTIF('Daily Schedule'!$F$5:$F49,'Daily Workforce'!$B41)=0,IF('Daily Schedule'!$A50=45,'Daily Workforce'!$J41="Y",IF(OR('Daily Schedule'!$A50=4,'Daily Schedule'!$A50=8),IF(OR(WEEKDAY('Daily Schedule'!$B$2,2)=1,WEEKDAY('Daily Schedule'!$B$2,2)=4,WEEKDAY('Daily Schedule'!$B$2,2)=5,WEEKDAY('Daily Schedule'!$B$2,2)=7),IFERROR(1*'Daily Workforce'!$K41&gt;=3,FALSE()),IFERROR(1*'Daily Workforce'!$K41&gt;=2,FALSE())),IF(AND('Daily Schedule'!$A50&gt;=46,'Daily Schedule'!$A50&lt;=52),'Daily Workforce'!$M41="Y",IFERROR(1*'Daily Workforce'!$P41&gt;=2,FALSE()))))),1,0)</f>
        <v>0</v>
      </c>
      <c r="BA46" s="1" t="n">
        <f aca="false">IF(AND('Daily Workforce'!$N42="Y",'Daily Workforce'!$B42&lt;&gt;"",COUNTIF('Daily Schedule'!$F$5:$F49,'Daily Workforce'!$B42)=0,IF('Daily Schedule'!$A50=45,'Daily Workforce'!$J42="Y",IF(OR('Daily Schedule'!$A50=4,'Daily Schedule'!$A50=8),IF(OR(WEEKDAY('Daily Schedule'!$B$2,2)=1,WEEKDAY('Daily Schedule'!$B$2,2)=4,WEEKDAY('Daily Schedule'!$B$2,2)=5,WEEKDAY('Daily Schedule'!$B$2,2)=7),IFERROR(1*'Daily Workforce'!$K42&gt;=3,FALSE()),IFERROR(1*'Daily Workforce'!$K42&gt;=2,FALSE())),IF(AND('Daily Schedule'!$A50&gt;=46,'Daily Schedule'!$A50&lt;=52),'Daily Workforce'!$M42="Y",IFERROR(1*'Daily Workforce'!$P42&gt;=2,FALSE()))))),1,0)</f>
        <v>0</v>
      </c>
      <c r="BB46" s="1" t="n">
        <f aca="false">IF(AND('Daily Workforce'!$N43="Y",'Daily Workforce'!$B43&lt;&gt;"",COUNTIF('Daily Schedule'!$F$5:$F49,'Daily Workforce'!$B43)=0,IF('Daily Schedule'!$A50=45,'Daily Workforce'!$J43="Y",IF(OR('Daily Schedule'!$A50=4,'Daily Schedule'!$A50=8),IF(OR(WEEKDAY('Daily Schedule'!$B$2,2)=1,WEEKDAY('Daily Schedule'!$B$2,2)=4,WEEKDAY('Daily Schedule'!$B$2,2)=5,WEEKDAY('Daily Schedule'!$B$2,2)=7),IFERROR(1*'Daily Workforce'!$K43&gt;=3,FALSE()),IFERROR(1*'Daily Workforce'!$K43&gt;=2,FALSE())),IF(AND('Daily Schedule'!$A50&gt;=46,'Daily Schedule'!$A50&lt;=52),'Daily Workforce'!$M43="Y",IFERROR(1*'Daily Workforce'!$P43&gt;=2,FALSE()))))),1,0)</f>
        <v>0</v>
      </c>
      <c r="BC46" s="1" t="n">
        <f aca="false">IF(AND('Daily Workforce'!$N44="Y",'Daily Workforce'!$B44&lt;&gt;"",COUNTIF('Daily Schedule'!$F$5:$F49,'Daily Workforce'!$B44)=0,IF('Daily Schedule'!$A50=45,'Daily Workforce'!$J44="Y",IF(OR('Daily Schedule'!$A50=4,'Daily Schedule'!$A50=8),IF(OR(WEEKDAY('Daily Schedule'!$B$2,2)=1,WEEKDAY('Daily Schedule'!$B$2,2)=4,WEEKDAY('Daily Schedule'!$B$2,2)=5,WEEKDAY('Daily Schedule'!$B$2,2)=7),IFERROR(1*'Daily Workforce'!$K44&gt;=3,FALSE()),IFERROR(1*'Daily Workforce'!$K44&gt;=2,FALSE())),IF(AND('Daily Schedule'!$A50&gt;=46,'Daily Schedule'!$A50&lt;=52),'Daily Workforce'!$M44="Y",IFERROR(1*'Daily Workforce'!$P44&gt;=2,FALSE()))))),1,0)</f>
        <v>0</v>
      </c>
      <c r="BD46" s="1" t="n">
        <f aca="false">IF(AND('Daily Workforce'!$N45="Y",'Daily Workforce'!$B45&lt;&gt;"",COUNTIF('Daily Schedule'!$F$5:$F49,'Daily Workforce'!$B45)=0,IF('Daily Schedule'!$A50=45,'Daily Workforce'!$J45="Y",IF(OR('Daily Schedule'!$A50=4,'Daily Schedule'!$A50=8),IF(OR(WEEKDAY('Daily Schedule'!$B$2,2)=1,WEEKDAY('Daily Schedule'!$B$2,2)=4,WEEKDAY('Daily Schedule'!$B$2,2)=5,WEEKDAY('Daily Schedule'!$B$2,2)=7),IFERROR(1*'Daily Workforce'!$K45&gt;=3,FALSE()),IFERROR(1*'Daily Workforce'!$K45&gt;=2,FALSE())),IF(AND('Daily Schedule'!$A50&gt;=46,'Daily Schedule'!$A50&lt;=52),'Daily Workforce'!$M45="Y",IFERROR(1*'Daily Workforce'!$P45&gt;=2,FALSE()))))),1,0)</f>
        <v>0</v>
      </c>
      <c r="BE46" s="1" t="n">
        <f aca="false">IF(AND('Daily Workforce'!$N46="Y",'Daily Workforce'!$B46&lt;&gt;"",COUNTIF('Daily Schedule'!$F$5:$F49,'Daily Workforce'!$B46)=0,IF('Daily Schedule'!$A50=45,'Daily Workforce'!$J46="Y",IF(OR('Daily Schedule'!$A50=4,'Daily Schedule'!$A50=8),IF(OR(WEEKDAY('Daily Schedule'!$B$2,2)=1,WEEKDAY('Daily Schedule'!$B$2,2)=4,WEEKDAY('Daily Schedule'!$B$2,2)=5,WEEKDAY('Daily Schedule'!$B$2,2)=7),IFERROR(1*'Daily Workforce'!$K46&gt;=3,FALSE()),IFERROR(1*'Daily Workforce'!$K46&gt;=2,FALSE())),IF(AND('Daily Schedule'!$A50&gt;=46,'Daily Schedule'!$A50&lt;=52),'Daily Workforce'!$M46="Y",IFERROR(1*'Daily Workforce'!$P46&gt;=2,FALSE()))))),1,0)</f>
        <v>0</v>
      </c>
      <c r="BF46" s="1" t="n">
        <f aca="false">IF(AND('Daily Workforce'!$N47="Y",'Daily Workforce'!$B47&lt;&gt;"",COUNTIF('Daily Schedule'!$F$5:$F49,'Daily Workforce'!$B47)=0,IF('Daily Schedule'!$A50=45,'Daily Workforce'!$J47="Y",IF(OR('Daily Schedule'!$A50=4,'Daily Schedule'!$A50=8),IF(OR(WEEKDAY('Daily Schedule'!$B$2,2)=1,WEEKDAY('Daily Schedule'!$B$2,2)=4,WEEKDAY('Daily Schedule'!$B$2,2)=5,WEEKDAY('Daily Schedule'!$B$2,2)=7),IFERROR(1*'Daily Workforce'!$K47&gt;=3,FALSE()),IFERROR(1*'Daily Workforce'!$K47&gt;=2,FALSE())),IF(AND('Daily Schedule'!$A50&gt;=46,'Daily Schedule'!$A50&lt;=52),'Daily Workforce'!$M47="Y",IFERROR(1*'Daily Workforce'!$P47&gt;=2,FALSE()))))),1,0)</f>
        <v>0</v>
      </c>
      <c r="BG46" s="1" t="n">
        <f aca="false">IF(AND('Daily Workforce'!$N48="Y",'Daily Workforce'!$B48&lt;&gt;"",COUNTIF('Daily Schedule'!$F$5:$F49,'Daily Workforce'!$B48)=0,IF('Daily Schedule'!$A50=45,'Daily Workforce'!$J48="Y",IF(OR('Daily Schedule'!$A50=4,'Daily Schedule'!$A50=8),IF(OR(WEEKDAY('Daily Schedule'!$B$2,2)=1,WEEKDAY('Daily Schedule'!$B$2,2)=4,WEEKDAY('Daily Schedule'!$B$2,2)=5,WEEKDAY('Daily Schedule'!$B$2,2)=7),IFERROR(1*'Daily Workforce'!$K48&gt;=3,FALSE()),IFERROR(1*'Daily Workforce'!$K48&gt;=2,FALSE())),IF(AND('Daily Schedule'!$A50&gt;=46,'Daily Schedule'!$A50&lt;=52),'Daily Workforce'!$M48="Y",IFERROR(1*'Daily Workforce'!$P48&gt;=2,FALSE()))))),1,0)</f>
        <v>0</v>
      </c>
      <c r="BH46" s="1" t="n">
        <f aca="false">IF(AND('Daily Workforce'!$N49="Y",'Daily Workforce'!$B49&lt;&gt;"",COUNTIF('Daily Schedule'!$F$5:$F49,'Daily Workforce'!$B49)=0,IF('Daily Schedule'!$A50=45,'Daily Workforce'!$J49="Y",IF(OR('Daily Schedule'!$A50=4,'Daily Schedule'!$A50=8),IF(OR(WEEKDAY('Daily Schedule'!$B$2,2)=1,WEEKDAY('Daily Schedule'!$B$2,2)=4,WEEKDAY('Daily Schedule'!$B$2,2)=5,WEEKDAY('Daily Schedule'!$B$2,2)=7),IFERROR(1*'Daily Workforce'!$K49&gt;=3,FALSE()),IFERROR(1*'Daily Workforce'!$K49&gt;=2,FALSE())),IF(AND('Daily Schedule'!$A50&gt;=46,'Daily Schedule'!$A50&lt;=52),'Daily Workforce'!$M49="Y",IFERROR(1*'Daily Workforce'!$P49&gt;=2,FALSE()))))),1,0)</f>
        <v>0</v>
      </c>
      <c r="BI46" s="1" t="n">
        <f aca="false">IF(AND('Daily Workforce'!$N50="Y",'Daily Workforce'!$B50&lt;&gt;"",COUNTIF('Daily Schedule'!$F$5:$F49,'Daily Workforce'!$B50)=0,IF('Daily Schedule'!$A50=45,'Daily Workforce'!$J50="Y",IF(OR('Daily Schedule'!$A50=4,'Daily Schedule'!$A50=8),IF(OR(WEEKDAY('Daily Schedule'!$B$2,2)=1,WEEKDAY('Daily Schedule'!$B$2,2)=4,WEEKDAY('Daily Schedule'!$B$2,2)=5,WEEKDAY('Daily Schedule'!$B$2,2)=7),IFERROR(1*'Daily Workforce'!$K50&gt;=3,FALSE()),IFERROR(1*'Daily Workforce'!$K50&gt;=2,FALSE())),IF(AND('Daily Schedule'!$A50&gt;=46,'Daily Schedule'!$A50&lt;=52),'Daily Workforce'!$M50="Y",IFERROR(1*'Daily Workforce'!$P50&gt;=2,FALSE()))))),1,0)</f>
        <v>0</v>
      </c>
      <c r="BJ46" s="1" t="n">
        <f aca="false">IF(AND('Daily Workforce'!$N51="Y",'Daily Workforce'!$B51&lt;&gt;"",COUNTIF('Daily Schedule'!$F$5:$F49,'Daily Workforce'!$B51)=0,IF('Daily Schedule'!$A50=45,'Daily Workforce'!$J51="Y",IF(OR('Daily Schedule'!$A50=4,'Daily Schedule'!$A50=8),IF(OR(WEEKDAY('Daily Schedule'!$B$2,2)=1,WEEKDAY('Daily Schedule'!$B$2,2)=4,WEEKDAY('Daily Schedule'!$B$2,2)=5,WEEKDAY('Daily Schedule'!$B$2,2)=7),IFERROR(1*'Daily Workforce'!$K51&gt;=3,FALSE()),IFERROR(1*'Daily Workforce'!$K51&gt;=2,FALSE())),IF(AND('Daily Schedule'!$A50&gt;=46,'Daily Schedule'!$A50&lt;=52),'Daily Workforce'!$M51="Y",IFERROR(1*'Daily Workforce'!$P51&gt;=2,FALSE()))))),1,0)</f>
        <v>1</v>
      </c>
      <c r="BK46" s="1" t="n">
        <f aca="false">IF(AND('Daily Workforce'!$N52="Y",'Daily Workforce'!$B52&lt;&gt;"",COUNTIF('Daily Schedule'!$F$5:$F49,'Daily Workforce'!$B52)=0,IF('Daily Schedule'!$A50=45,'Daily Workforce'!$J52="Y",IF(OR('Daily Schedule'!$A50=4,'Daily Schedule'!$A50=8),IF(OR(WEEKDAY('Daily Schedule'!$B$2,2)=1,WEEKDAY('Daily Schedule'!$B$2,2)=4,WEEKDAY('Daily Schedule'!$B$2,2)=5,WEEKDAY('Daily Schedule'!$B$2,2)=7),IFERROR(1*'Daily Workforce'!$K52&gt;=3,FALSE()),IFERROR(1*'Daily Workforce'!$K52&gt;=2,FALSE())),IF(AND('Daily Schedule'!$A50&gt;=46,'Daily Schedule'!$A50&lt;=52),'Daily Workforce'!$M52="Y",IFERROR(1*'Daily Workforce'!$P52&gt;=2,FALSE()))))),1,0)</f>
        <v>1</v>
      </c>
      <c r="BL46" s="1" t="n">
        <f aca="false">IF(AND('Daily Workforce'!$N53="Y",'Daily Workforce'!$B53&lt;&gt;"",COUNTIF('Daily Schedule'!$F$5:$F49,'Daily Workforce'!$B53)=0,IF('Daily Schedule'!$A50=45,'Daily Workforce'!$J53="Y",IF(OR('Daily Schedule'!$A50=4,'Daily Schedule'!$A50=8),IF(OR(WEEKDAY('Daily Schedule'!$B$2,2)=1,WEEKDAY('Daily Schedule'!$B$2,2)=4,WEEKDAY('Daily Schedule'!$B$2,2)=5,WEEKDAY('Daily Schedule'!$B$2,2)=7),IFERROR(1*'Daily Workforce'!$K53&gt;=3,FALSE()),IFERROR(1*'Daily Workforce'!$K53&gt;=2,FALSE())),IF(AND('Daily Schedule'!$A50&gt;=46,'Daily Schedule'!$A50&lt;=52),'Daily Workforce'!$M53="Y",IFERROR(1*'Daily Workforce'!$P53&gt;=2,FALSE()))))),1,0)</f>
        <v>1</v>
      </c>
      <c r="BM46" s="1" t="n">
        <f aca="false">IF(AND('Daily Workforce'!$N54="Y",'Daily Workforce'!$B54&lt;&gt;"",COUNTIF('Daily Schedule'!$F$5:$F49,'Daily Workforce'!$B54)=0,IF('Daily Schedule'!$A50=45,'Daily Workforce'!$J54="Y",IF(OR('Daily Schedule'!$A50=4,'Daily Schedule'!$A50=8),IF(OR(WEEKDAY('Daily Schedule'!$B$2,2)=1,WEEKDAY('Daily Schedule'!$B$2,2)=4,WEEKDAY('Daily Schedule'!$B$2,2)=5,WEEKDAY('Daily Schedule'!$B$2,2)=7),IFERROR(1*'Daily Workforce'!$K54&gt;=3,FALSE()),IFERROR(1*'Daily Workforce'!$K54&gt;=2,FALSE())),IF(AND('Daily Schedule'!$A50&gt;=46,'Daily Schedule'!$A50&lt;=52),'Daily Workforce'!$M54="Y",IFERROR(1*'Daily Workforce'!$P54&gt;=2,FALSE()))))),1,0)</f>
        <v>1</v>
      </c>
      <c r="BN46" s="1" t="n">
        <f aca="false">IF(AND('Daily Workforce'!$N55="Y",'Daily Workforce'!$B55&lt;&gt;"",COUNTIF('Daily Schedule'!$F$5:$F49,'Daily Workforce'!$B55)=0,IF('Daily Schedule'!$A50=45,'Daily Workforce'!$J55="Y",IF(OR('Daily Schedule'!$A50=4,'Daily Schedule'!$A50=8),IF(OR(WEEKDAY('Daily Schedule'!$B$2,2)=1,WEEKDAY('Daily Schedule'!$B$2,2)=4,WEEKDAY('Daily Schedule'!$B$2,2)=5,WEEKDAY('Daily Schedule'!$B$2,2)=7),IFERROR(1*'Daily Workforce'!$K55&gt;=3,FALSE()),IFERROR(1*'Daily Workforce'!$K55&gt;=2,FALSE())),IF(AND('Daily Schedule'!$A50&gt;=46,'Daily Schedule'!$A50&lt;=52),'Daily Workforce'!$M55="Y",IFERROR(1*'Daily Workforce'!$P55&gt;=2,FALSE()))))),1,0)</f>
        <v>1</v>
      </c>
      <c r="BO46" s="1" t="n">
        <f aca="false">IF(AND('Daily Workforce'!$N56="Y",'Daily Workforce'!$B56&lt;&gt;"",COUNTIF('Daily Schedule'!$F$5:$F49,'Daily Workforce'!$B56)=0,IF('Daily Schedule'!$A50=45,'Daily Workforce'!$J56="Y",IF(OR('Daily Schedule'!$A50=4,'Daily Schedule'!$A50=8),IF(OR(WEEKDAY('Daily Schedule'!$B$2,2)=1,WEEKDAY('Daily Schedule'!$B$2,2)=4,WEEKDAY('Daily Schedule'!$B$2,2)=5,WEEKDAY('Daily Schedule'!$B$2,2)=7),IFERROR(1*'Daily Workforce'!$K56&gt;=3,FALSE()),IFERROR(1*'Daily Workforce'!$K56&gt;=2,FALSE())),IF(AND('Daily Schedule'!$A50&gt;=46,'Daily Schedule'!$A50&lt;=52),'Daily Workforce'!$M56="Y",IFERROR(1*'Daily Workforce'!$P56&gt;=2,FALSE()))))),1,0)</f>
        <v>1</v>
      </c>
      <c r="BP46" s="1" t="n">
        <f aca="false">IF(AND('Daily Workforce'!$N57="Y",'Daily Workforce'!$B57&lt;&gt;"",COUNTIF('Daily Schedule'!$F$5:$F49,'Daily Workforce'!$B57)=0,IF('Daily Schedule'!$A50=45,'Daily Workforce'!$J57="Y",IF(OR('Daily Schedule'!$A50=4,'Daily Schedule'!$A50=8),IF(OR(WEEKDAY('Daily Schedule'!$B$2,2)=1,WEEKDAY('Daily Schedule'!$B$2,2)=4,WEEKDAY('Daily Schedule'!$B$2,2)=5,WEEKDAY('Daily Schedule'!$B$2,2)=7),IFERROR(1*'Daily Workforce'!$K57&gt;=3,FALSE()),IFERROR(1*'Daily Workforce'!$K57&gt;=2,FALSE())),IF(AND('Daily Schedule'!$A50&gt;=46,'Daily Schedule'!$A50&lt;=52),'Daily Workforce'!$M57="Y",IFERROR(1*'Daily Workforce'!$P57&gt;=2,FALSE()))))),1,0)</f>
        <v>0</v>
      </c>
      <c r="BQ46" s="1" t="n">
        <f aca="false">IF(AND('Daily Workforce'!$N58="Y",'Daily Workforce'!$B58&lt;&gt;"",COUNTIF('Daily Schedule'!$F$5:$F49,'Daily Workforce'!$B58)=0,IF('Daily Schedule'!$A50=45,'Daily Workforce'!$J58="Y",IF(OR('Daily Schedule'!$A50=4,'Daily Schedule'!$A50=8),IF(OR(WEEKDAY('Daily Schedule'!$B$2,2)=1,WEEKDAY('Daily Schedule'!$B$2,2)=4,WEEKDAY('Daily Schedule'!$B$2,2)=5,WEEKDAY('Daily Schedule'!$B$2,2)=7),IFERROR(1*'Daily Workforce'!$K58&gt;=3,FALSE()),IFERROR(1*'Daily Workforce'!$K58&gt;=2,FALSE())),IF(AND('Daily Schedule'!$A50&gt;=46,'Daily Schedule'!$A50&lt;=52),'Daily Workforce'!$M58="Y",IFERROR(1*'Daily Workforce'!$P58&gt;=2,FALSE()))))),1,0)</f>
        <v>1</v>
      </c>
      <c r="BR46" s="1" t="n">
        <f aca="false">IF(AND('Daily Workforce'!$N59="Y",'Daily Workforce'!$B59&lt;&gt;"",COUNTIF('Daily Schedule'!$F$5:$F49,'Daily Workforce'!$B59)=0,IF('Daily Schedule'!$A50=45,'Daily Workforce'!$J59="Y",IF(OR('Daily Schedule'!$A50=4,'Daily Schedule'!$A50=8),IF(OR(WEEKDAY('Daily Schedule'!$B$2,2)=1,WEEKDAY('Daily Schedule'!$B$2,2)=4,WEEKDAY('Daily Schedule'!$B$2,2)=5,WEEKDAY('Daily Schedule'!$B$2,2)=7),IFERROR(1*'Daily Workforce'!$K59&gt;=3,FALSE()),IFERROR(1*'Daily Workforce'!$K59&gt;=2,FALSE())),IF(AND('Daily Schedule'!$A50&gt;=46,'Daily Schedule'!$A50&lt;=52),'Daily Workforce'!$M59="Y",IFERROR(1*'Daily Workforce'!$P59&gt;=2,FALSE()))))),1,0)</f>
        <v>1</v>
      </c>
      <c r="BS46" s="1" t="n">
        <f aca="false">IF(AND('Daily Workforce'!$N60="Y",'Daily Workforce'!$B60&lt;&gt;"",COUNTIF('Daily Schedule'!$F$5:$F49,'Daily Workforce'!$B60)=0,IF('Daily Schedule'!$A50=45,'Daily Workforce'!$J60="Y",IF(OR('Daily Schedule'!$A50=4,'Daily Schedule'!$A50=8),IF(OR(WEEKDAY('Daily Schedule'!$B$2,2)=1,WEEKDAY('Daily Schedule'!$B$2,2)=4,WEEKDAY('Daily Schedule'!$B$2,2)=5,WEEKDAY('Daily Schedule'!$B$2,2)=7),IFERROR(1*'Daily Workforce'!$K60&gt;=3,FALSE()),IFERROR(1*'Daily Workforce'!$K60&gt;=2,FALSE())),IF(AND('Daily Schedule'!$A50&gt;=46,'Daily Schedule'!$A50&lt;=52),'Daily Workforce'!$M60="Y",IFERROR(1*'Daily Workforce'!$P60&gt;=2,FALSE()))))),1,0)</f>
        <v>1</v>
      </c>
      <c r="BT46" s="1" t="n">
        <f aca="false">IF(AND('Daily Workforce'!$N61="Y",'Daily Workforce'!$B61&lt;&gt;"",COUNTIF('Daily Schedule'!$F$5:$F49,'Daily Workforce'!$B61)=0,IF('Daily Schedule'!$A50=45,'Daily Workforce'!$J61="Y",IF(OR('Daily Schedule'!$A50=4,'Daily Schedule'!$A50=8),IF(OR(WEEKDAY('Daily Schedule'!$B$2,2)=1,WEEKDAY('Daily Schedule'!$B$2,2)=4,WEEKDAY('Daily Schedule'!$B$2,2)=5,WEEKDAY('Daily Schedule'!$B$2,2)=7),IFERROR(1*'Daily Workforce'!$K61&gt;=3,FALSE()),IFERROR(1*'Daily Workforce'!$K61&gt;=2,FALSE())),IF(AND('Daily Schedule'!$A50&gt;=46,'Daily Schedule'!$A50&lt;=52),'Daily Workforce'!$M61="Y",IFERROR(1*'Daily Workforce'!$P61&gt;=2,FALSE()))))),1,0)</f>
        <v>0</v>
      </c>
      <c r="BU46" s="1" t="n">
        <f aca="false">IF(AND('Daily Workforce'!$N62="Y",'Daily Workforce'!$B62&lt;&gt;"",COUNTIF('Daily Schedule'!$F$5:$F49,'Daily Workforce'!$B62)=0,IF('Daily Schedule'!$A50=45,'Daily Workforce'!$J62="Y",IF(OR('Daily Schedule'!$A50=4,'Daily Schedule'!$A50=8),IF(OR(WEEKDAY('Daily Schedule'!$B$2,2)=1,WEEKDAY('Daily Schedule'!$B$2,2)=4,WEEKDAY('Daily Schedule'!$B$2,2)=5,WEEKDAY('Daily Schedule'!$B$2,2)=7),IFERROR(1*'Daily Workforce'!$K62&gt;=3,FALSE()),IFERROR(1*'Daily Workforce'!$K62&gt;=2,FALSE())),IF(AND('Daily Schedule'!$A50&gt;=46,'Daily Schedule'!$A50&lt;=52),'Daily Workforce'!$M62="Y",IFERROR(1*'Daily Workforce'!$P62&gt;=2,FALSE()))))),1,0)</f>
        <v>1</v>
      </c>
      <c r="BV46" s="1" t="n">
        <f aca="false">IF(AND('Daily Workforce'!$N63="Y",'Daily Workforce'!$B63&lt;&gt;"",COUNTIF('Daily Schedule'!$F$5:$F49,'Daily Workforce'!$B63)=0,IF('Daily Schedule'!$A50=45,'Daily Workforce'!$J63="Y",IF(OR('Daily Schedule'!$A50=4,'Daily Schedule'!$A50=8),IF(OR(WEEKDAY('Daily Schedule'!$B$2,2)=1,WEEKDAY('Daily Schedule'!$B$2,2)=4,WEEKDAY('Daily Schedule'!$B$2,2)=5,WEEKDAY('Daily Schedule'!$B$2,2)=7),IFERROR(1*'Daily Workforce'!$K63&gt;=3,FALSE()),IFERROR(1*'Daily Workforce'!$K63&gt;=2,FALSE())),IF(AND('Daily Schedule'!$A50&gt;=46,'Daily Schedule'!$A50&lt;=52),'Daily Workforce'!$M63="Y",IFERROR(1*'Daily Workforce'!$P63&gt;=2,FALSE()))))),1,0)</f>
        <v>1</v>
      </c>
      <c r="BW46" s="1" t="n">
        <f aca="false">IF(AND('Daily Workforce'!$N64="Y",'Daily Workforce'!$B64&lt;&gt;"",COUNTIF('Daily Schedule'!$F$5:$F49,'Daily Workforce'!$B64)=0,IF('Daily Schedule'!$A50=45,'Daily Workforce'!$J64="Y",IF(OR('Daily Schedule'!$A50=4,'Daily Schedule'!$A50=8),IF(OR(WEEKDAY('Daily Schedule'!$B$2,2)=1,WEEKDAY('Daily Schedule'!$B$2,2)=4,WEEKDAY('Daily Schedule'!$B$2,2)=5,WEEKDAY('Daily Schedule'!$B$2,2)=7),IFERROR(1*'Daily Workforce'!$K64&gt;=3,FALSE()),IFERROR(1*'Daily Workforce'!$K64&gt;=2,FALSE())),IF(AND('Daily Schedule'!$A50&gt;=46,'Daily Schedule'!$A50&lt;=52),'Daily Workforce'!$M64="Y",IFERROR(1*'Daily Workforce'!$P64&gt;=2,FALSE()))))),1,0)</f>
        <v>1</v>
      </c>
      <c r="BX46" s="1" t="n">
        <f aca="false">IF(AND('Daily Workforce'!$N65="Y",'Daily Workforce'!$B65&lt;&gt;"",COUNTIF('Daily Schedule'!$F$5:$F49,'Daily Workforce'!$B65)=0,IF('Daily Schedule'!$A50=45,'Daily Workforce'!$J65="Y",IF(OR('Daily Schedule'!$A50=4,'Daily Schedule'!$A50=8),IF(OR(WEEKDAY('Daily Schedule'!$B$2,2)=1,WEEKDAY('Daily Schedule'!$B$2,2)=4,WEEKDAY('Daily Schedule'!$B$2,2)=5,WEEKDAY('Daily Schedule'!$B$2,2)=7),IFERROR(1*'Daily Workforce'!$K65&gt;=3,FALSE()),IFERROR(1*'Daily Workforce'!$K65&gt;=2,FALSE())),IF(AND('Daily Schedule'!$A50&gt;=46,'Daily Schedule'!$A50&lt;=52),'Daily Workforce'!$M65="Y",IFERROR(1*'Daily Workforce'!$P65&gt;=2,FALSE()))))),1,0)</f>
        <v>1</v>
      </c>
      <c r="BY46" s="1" t="n">
        <f aca="false">IF(AND('Daily Workforce'!$N66="Y",'Daily Workforce'!$B66&lt;&gt;"",COUNTIF('Daily Schedule'!$F$5:$F49,'Daily Workforce'!$B66)=0,IF('Daily Schedule'!$A50=45,'Daily Workforce'!$J66="Y",IF(OR('Daily Schedule'!$A50=4,'Daily Schedule'!$A50=8),IF(OR(WEEKDAY('Daily Schedule'!$B$2,2)=1,WEEKDAY('Daily Schedule'!$B$2,2)=4,WEEKDAY('Daily Schedule'!$B$2,2)=5,WEEKDAY('Daily Schedule'!$B$2,2)=7),IFERROR(1*'Daily Workforce'!$K66&gt;=3,FALSE()),IFERROR(1*'Daily Workforce'!$K66&gt;=2,FALSE())),IF(AND('Daily Schedule'!$A50&gt;=46,'Daily Schedule'!$A50&lt;=52),'Daily Workforce'!$M66="Y",IFERROR(1*'Daily Workforce'!$P66&gt;=2,FALSE()))))),1,0)</f>
        <v>1</v>
      </c>
      <c r="BZ46" s="1" t="n">
        <f aca="false">IF(AND('Daily Workforce'!$N67="Y",'Daily Workforce'!$B67&lt;&gt;"",COUNTIF('Daily Schedule'!$F$5:$F49,'Daily Workforce'!$B67)=0,IF('Daily Schedule'!$A50=45,'Daily Workforce'!$J67="Y",IF(OR('Daily Schedule'!$A50=4,'Daily Schedule'!$A50=8),IF(OR(WEEKDAY('Daily Schedule'!$B$2,2)=1,WEEKDAY('Daily Schedule'!$B$2,2)=4,WEEKDAY('Daily Schedule'!$B$2,2)=5,WEEKDAY('Daily Schedule'!$B$2,2)=7),IFERROR(1*'Daily Workforce'!$K67&gt;=3,FALSE()),IFERROR(1*'Daily Workforce'!$K67&gt;=2,FALSE())),IF(AND('Daily Schedule'!$A50&gt;=46,'Daily Schedule'!$A50&lt;=52),'Daily Workforce'!$M67="Y",IFERROR(1*'Daily Workforce'!$P67&gt;=2,FALSE()))))),1,0)</f>
        <v>1</v>
      </c>
      <c r="CA46" s="1" t="n">
        <f aca="false">IF(AND('Daily Workforce'!$N68="Y",'Daily Workforce'!$B68&lt;&gt;"",COUNTIF('Daily Schedule'!$F$5:$F49,'Daily Workforce'!$B68)=0,IF('Daily Schedule'!$A50=45,'Daily Workforce'!$J68="Y",IF(OR('Daily Schedule'!$A50=4,'Daily Schedule'!$A50=8),IF(OR(WEEKDAY('Daily Schedule'!$B$2,2)=1,WEEKDAY('Daily Schedule'!$B$2,2)=4,WEEKDAY('Daily Schedule'!$B$2,2)=5,WEEKDAY('Daily Schedule'!$B$2,2)=7),IFERROR(1*'Daily Workforce'!$K68&gt;=3,FALSE()),IFERROR(1*'Daily Workforce'!$K68&gt;=2,FALSE())),IF(AND('Daily Schedule'!$A50&gt;=46,'Daily Schedule'!$A50&lt;=52),'Daily Workforce'!$M68="Y",IFERROR(1*'Daily Workforce'!$P68&gt;=2,FALSE()))))),1,0)</f>
        <v>1</v>
      </c>
      <c r="CB46" s="1" t="n">
        <f aca="false">IF(AND('Daily Workforce'!$N69="Y",'Daily Workforce'!$B69&lt;&gt;"",COUNTIF('Daily Schedule'!$F$5:$F49,'Daily Workforce'!$B69)=0,IF('Daily Schedule'!$A50=45,'Daily Workforce'!$J69="Y",IF(OR('Daily Schedule'!$A50=4,'Daily Schedule'!$A50=8),IF(OR(WEEKDAY('Daily Schedule'!$B$2,2)=1,WEEKDAY('Daily Schedule'!$B$2,2)=4,WEEKDAY('Daily Schedule'!$B$2,2)=5,WEEKDAY('Daily Schedule'!$B$2,2)=7),IFERROR(1*'Daily Workforce'!$K69&gt;=3,FALSE()),IFERROR(1*'Daily Workforce'!$K69&gt;=2,FALSE())),IF(AND('Daily Schedule'!$A50&gt;=46,'Daily Schedule'!$A50&lt;=52),'Daily Workforce'!$M69="Y",IFERROR(1*'Daily Workforce'!$P69&gt;=2,FALSE()))))),1,0)</f>
        <v>1</v>
      </c>
      <c r="CC46" s="1" t="n">
        <f aca="false">IF(AND('Daily Workforce'!$N70="Y",'Daily Workforce'!$B70&lt;&gt;"",COUNTIF('Daily Schedule'!$F$5:$F49,'Daily Workforce'!$B70)=0,IF('Daily Schedule'!$A50=45,'Daily Workforce'!$J70="Y",IF(OR('Daily Schedule'!$A50=4,'Daily Schedule'!$A50=8),IF(OR(WEEKDAY('Daily Schedule'!$B$2,2)=1,WEEKDAY('Daily Schedule'!$B$2,2)=4,WEEKDAY('Daily Schedule'!$B$2,2)=5,WEEKDAY('Daily Schedule'!$B$2,2)=7),IFERROR(1*'Daily Workforce'!$K70&gt;=3,FALSE()),IFERROR(1*'Daily Workforce'!$K70&gt;=2,FALSE())),IF(AND('Daily Schedule'!$A50&gt;=46,'Daily Schedule'!$A50&lt;=52),'Daily Workforce'!$M70="Y",IFERROR(1*'Daily Workforce'!$P70&gt;=2,FALSE()))))),1,0)</f>
        <v>1</v>
      </c>
      <c r="CD46" s="1" t="n">
        <f aca="false">IF(AND('Daily Workforce'!$N71="Y",'Daily Workforce'!$B71&lt;&gt;"",COUNTIF('Daily Schedule'!$F$5:$F49,'Daily Workforce'!$B71)=0,IF('Daily Schedule'!$A50=45,'Daily Workforce'!$J71="Y",IF(OR('Daily Schedule'!$A50=4,'Daily Schedule'!$A50=8),IF(OR(WEEKDAY('Daily Schedule'!$B$2,2)=1,WEEKDAY('Daily Schedule'!$B$2,2)=4,WEEKDAY('Daily Schedule'!$B$2,2)=5,WEEKDAY('Daily Schedule'!$B$2,2)=7),IFERROR(1*'Daily Workforce'!$K71&gt;=3,FALSE()),IFERROR(1*'Daily Workforce'!$K71&gt;=2,FALSE())),IF(AND('Daily Schedule'!$A50&gt;=46,'Daily Schedule'!$A50&lt;=52),'Daily Workforce'!$M71="Y",IFERROR(1*'Daily Workforce'!$P71&gt;=2,FALSE()))))),1,0)</f>
        <v>1</v>
      </c>
      <c r="CE46" s="1" t="n">
        <f aca="false">IF(AND('Daily Workforce'!$N72="Y",'Daily Workforce'!$B72&lt;&gt;"",COUNTIF('Daily Schedule'!$F$5:$F49,'Daily Workforce'!$B72)=0,IF('Daily Schedule'!$A50=45,'Daily Workforce'!$J72="Y",IF(OR('Daily Schedule'!$A50=4,'Daily Schedule'!$A50=8),IF(OR(WEEKDAY('Daily Schedule'!$B$2,2)=1,WEEKDAY('Daily Schedule'!$B$2,2)=4,WEEKDAY('Daily Schedule'!$B$2,2)=5,WEEKDAY('Daily Schedule'!$B$2,2)=7),IFERROR(1*'Daily Workforce'!$K72&gt;=3,FALSE()),IFERROR(1*'Daily Workforce'!$K72&gt;=2,FALSE())),IF(AND('Daily Schedule'!$A50&gt;=46,'Daily Schedule'!$A50&lt;=52),'Daily Workforce'!$M72="Y",IFERROR(1*'Daily Workforce'!$P72&gt;=2,FALSE()))))),1,0)</f>
        <v>1</v>
      </c>
      <c r="CF46" s="1" t="n">
        <f aca="false">IF(AND('Daily Workforce'!$N73="Y",'Daily Workforce'!$B73&lt;&gt;"",COUNTIF('Daily Schedule'!$F$5:$F49,'Daily Workforce'!$B73)=0,IF('Daily Schedule'!$A50=45,'Daily Workforce'!$J73="Y",IF(OR('Daily Schedule'!$A50=4,'Daily Schedule'!$A50=8),IF(OR(WEEKDAY('Daily Schedule'!$B$2,2)=1,WEEKDAY('Daily Schedule'!$B$2,2)=4,WEEKDAY('Daily Schedule'!$B$2,2)=5,WEEKDAY('Daily Schedule'!$B$2,2)=7),IFERROR(1*'Daily Workforce'!$K73&gt;=3,FALSE()),IFERROR(1*'Daily Workforce'!$K73&gt;=2,FALSE())),IF(AND('Daily Schedule'!$A50&gt;=46,'Daily Schedule'!$A50&lt;=52),'Daily Workforce'!$M73="Y",IFERROR(1*'Daily Workforce'!$P73&gt;=2,FALSE()))))),1,0)</f>
        <v>1</v>
      </c>
      <c r="CG46" s="1" t="n">
        <f aca="false">IF(AND('Daily Workforce'!$N74="Y",'Daily Workforce'!$B74&lt;&gt;"",COUNTIF('Daily Schedule'!$F$5:$F49,'Daily Workforce'!$B74)=0,IF('Daily Schedule'!$A50=45,'Daily Workforce'!$J74="Y",IF(OR('Daily Schedule'!$A50=4,'Daily Schedule'!$A50=8),IF(OR(WEEKDAY('Daily Schedule'!$B$2,2)=1,WEEKDAY('Daily Schedule'!$B$2,2)=4,WEEKDAY('Daily Schedule'!$B$2,2)=5,WEEKDAY('Daily Schedule'!$B$2,2)=7),IFERROR(1*'Daily Workforce'!$K74&gt;=3,FALSE()),IFERROR(1*'Daily Workforce'!$K74&gt;=2,FALSE())),IF(AND('Daily Schedule'!$A50&gt;=46,'Daily Schedule'!$A50&lt;=52),'Daily Workforce'!$M74="Y",IFERROR(1*'Daily Workforce'!$P74&gt;=2,FALSE()))))),1,0)</f>
        <v>1</v>
      </c>
      <c r="CH46" s="1" t="n">
        <f aca="false">IF(AND('Daily Workforce'!$N75="Y",'Daily Workforce'!$B75&lt;&gt;"",COUNTIF('Daily Schedule'!$F$5:$F49,'Daily Workforce'!$B75)=0,IF('Daily Schedule'!$A50=45,'Daily Workforce'!$J75="Y",IF(OR('Daily Schedule'!$A50=4,'Daily Schedule'!$A50=8),IF(OR(WEEKDAY('Daily Schedule'!$B$2,2)=1,WEEKDAY('Daily Schedule'!$B$2,2)=4,WEEKDAY('Daily Schedule'!$B$2,2)=5,WEEKDAY('Daily Schedule'!$B$2,2)=7),IFERROR(1*'Daily Workforce'!$K75&gt;=3,FALSE()),IFERROR(1*'Daily Workforce'!$K75&gt;=2,FALSE())),IF(AND('Daily Schedule'!$A50&gt;=46,'Daily Schedule'!$A50&lt;=52),'Daily Workforce'!$M75="Y",IFERROR(1*'Daily Workforce'!$P75&gt;=2,FALSE()))))),1,0)</f>
        <v>1</v>
      </c>
      <c r="CI46" s="1" t="n">
        <f aca="false">IF(AND('Daily Workforce'!$N76="Y",'Daily Workforce'!$B76&lt;&gt;"",COUNTIF('Daily Schedule'!$F$5:$F49,'Daily Workforce'!$B76)=0,IF('Daily Schedule'!$A50=45,'Daily Workforce'!$J76="Y",IF(OR('Daily Schedule'!$A50=4,'Daily Schedule'!$A50=8),IF(OR(WEEKDAY('Daily Schedule'!$B$2,2)=1,WEEKDAY('Daily Schedule'!$B$2,2)=4,WEEKDAY('Daily Schedule'!$B$2,2)=5,WEEKDAY('Daily Schedule'!$B$2,2)=7),IFERROR(1*'Daily Workforce'!$K76&gt;=3,FALSE()),IFERROR(1*'Daily Workforce'!$K76&gt;=2,FALSE())),IF(AND('Daily Schedule'!$A50&gt;=46,'Daily Schedule'!$A50&lt;=52),'Daily Workforce'!$M76="Y",IFERROR(1*'Daily Workforce'!$P76&gt;=2,FALSE()))))),1,0)</f>
        <v>1</v>
      </c>
      <c r="CJ46" s="1" t="n">
        <f aca="false">IF(AND('Daily Workforce'!$N77="Y",'Daily Workforce'!$B77&lt;&gt;"",COUNTIF('Daily Schedule'!$F$5:$F49,'Daily Workforce'!$B77)=0,IF('Daily Schedule'!$A50=45,'Daily Workforce'!$J77="Y",IF(OR('Daily Schedule'!$A50=4,'Daily Schedule'!$A50=8),IF(OR(WEEKDAY('Daily Schedule'!$B$2,2)=1,WEEKDAY('Daily Schedule'!$B$2,2)=4,WEEKDAY('Daily Schedule'!$B$2,2)=5,WEEKDAY('Daily Schedule'!$B$2,2)=7),IFERROR(1*'Daily Workforce'!$K77&gt;=3,FALSE()),IFERROR(1*'Daily Workforce'!$K77&gt;=2,FALSE())),IF(AND('Daily Schedule'!$A50&gt;=46,'Daily Schedule'!$A50&lt;=52),'Daily Workforce'!$M77="Y",IFERROR(1*'Daily Workforce'!$P77&gt;=2,FALSE()))))),1,0)</f>
        <v>1</v>
      </c>
      <c r="CK46" s="1" t="n">
        <f aca="false">IF(AND('Daily Workforce'!$N78="Y",'Daily Workforce'!$B78&lt;&gt;"",COUNTIF('Daily Schedule'!$F$5:$F49,'Daily Workforce'!$B78)=0,IF('Daily Schedule'!$A50=45,'Daily Workforce'!$J78="Y",IF(OR('Daily Schedule'!$A50=4,'Daily Schedule'!$A50=8),IF(OR(WEEKDAY('Daily Schedule'!$B$2,2)=1,WEEKDAY('Daily Schedule'!$B$2,2)=4,WEEKDAY('Daily Schedule'!$B$2,2)=5,WEEKDAY('Daily Schedule'!$B$2,2)=7),IFERROR(1*'Daily Workforce'!$K78&gt;=3,FALSE()),IFERROR(1*'Daily Workforce'!$K78&gt;=2,FALSE())),IF(AND('Daily Schedule'!$A50&gt;=46,'Daily Schedule'!$A50&lt;=52),'Daily Workforce'!$M78="Y",IFERROR(1*'Daily Workforce'!$P78&gt;=2,FALSE()))))),1,0)</f>
        <v>1</v>
      </c>
      <c r="CL46" s="1" t="n">
        <f aca="false">IF(AND('Daily Workforce'!$N79="Y",'Daily Workforce'!$B79&lt;&gt;"",COUNTIF('Daily Schedule'!$F$5:$F49,'Daily Workforce'!$B79)=0,IF('Daily Schedule'!$A50=45,'Daily Workforce'!$J79="Y",IF(OR('Daily Schedule'!$A50=4,'Daily Schedule'!$A50=8),IF(OR(WEEKDAY('Daily Schedule'!$B$2,2)=1,WEEKDAY('Daily Schedule'!$B$2,2)=4,WEEKDAY('Daily Schedule'!$B$2,2)=5,WEEKDAY('Daily Schedule'!$B$2,2)=7),IFERROR(1*'Daily Workforce'!$K79&gt;=3,FALSE()),IFERROR(1*'Daily Workforce'!$K79&gt;=2,FALSE())),IF(AND('Daily Schedule'!$A50&gt;=46,'Daily Schedule'!$A50&lt;=52),'Daily Workforce'!$M79="Y",IFERROR(1*'Daily Workforce'!$P79&gt;=2,FALSE()))))),1,0)</f>
        <v>1</v>
      </c>
      <c r="CM46" s="1" t="n">
        <f aca="false">IF(AND('Daily Workforce'!$N80="Y",'Daily Workforce'!$B80&lt;&gt;"",COUNTIF('Daily Schedule'!$F$5:$F49,'Daily Workforce'!$B80)=0,IF('Daily Schedule'!$A50=45,'Daily Workforce'!$J80="Y",IF(OR('Daily Schedule'!$A50=4,'Daily Schedule'!$A50=8),IF(OR(WEEKDAY('Daily Schedule'!$B$2,2)=1,WEEKDAY('Daily Schedule'!$B$2,2)=4,WEEKDAY('Daily Schedule'!$B$2,2)=5,WEEKDAY('Daily Schedule'!$B$2,2)=7),IFERROR(1*'Daily Workforce'!$K80&gt;=3,FALSE()),IFERROR(1*'Daily Workforce'!$K80&gt;=2,FALSE())),IF(AND('Daily Schedule'!$A50&gt;=46,'Daily Schedule'!$A50&lt;=52),'Daily Workforce'!$M80="Y",IFERROR(1*'Daily Workforce'!$P80&gt;=2,FALSE()))))),1,0)</f>
        <v>1</v>
      </c>
      <c r="CN46" s="1" t="n">
        <f aca="false">IF(AND('Daily Workforce'!$N81="Y",'Daily Workforce'!$B81&lt;&gt;"",COUNTIF('Daily Schedule'!$F$5:$F49,'Daily Workforce'!$B81)=0,IF('Daily Schedule'!$A50=45,'Daily Workforce'!$J81="Y",IF(OR('Daily Schedule'!$A50=4,'Daily Schedule'!$A50=8),IF(OR(WEEKDAY('Daily Schedule'!$B$2,2)=1,WEEKDAY('Daily Schedule'!$B$2,2)=4,WEEKDAY('Daily Schedule'!$B$2,2)=5,WEEKDAY('Daily Schedule'!$B$2,2)=7),IFERROR(1*'Daily Workforce'!$K81&gt;=3,FALSE()),IFERROR(1*'Daily Workforce'!$K81&gt;=2,FALSE())),IF(AND('Daily Schedule'!$A50&gt;=46,'Daily Schedule'!$A50&lt;=52),'Daily Workforce'!$M81="Y",IFERROR(1*'Daily Workforce'!$P81&gt;=2,FALSE()))))),1,0)</f>
        <v>1</v>
      </c>
      <c r="CO46" s="1" t="n">
        <f aca="false">IF(AND('Daily Workforce'!$N82="Y",'Daily Workforce'!$B82&lt;&gt;"",COUNTIF('Daily Schedule'!$F$5:$F49,'Daily Workforce'!$B82)=0,IF('Daily Schedule'!$A50=45,'Daily Workforce'!$J82="Y",IF(OR('Daily Schedule'!$A50=4,'Daily Schedule'!$A50=8),IF(OR(WEEKDAY('Daily Schedule'!$B$2,2)=1,WEEKDAY('Daily Schedule'!$B$2,2)=4,WEEKDAY('Daily Schedule'!$B$2,2)=5,WEEKDAY('Daily Schedule'!$B$2,2)=7),IFERROR(1*'Daily Workforce'!$K82&gt;=3,FALSE()),IFERROR(1*'Daily Workforce'!$K82&gt;=2,FALSE())),IF(AND('Daily Schedule'!$A50&gt;=46,'Daily Schedule'!$A50&lt;=52),'Daily Workforce'!$M82="Y",IFERROR(1*'Daily Workforce'!$P82&gt;=2,FALSE()))))),1,0)</f>
        <v>1</v>
      </c>
      <c r="CP46" s="1" t="n">
        <f aca="false">IF(AND('Daily Workforce'!$N83="Y",'Daily Workforce'!$B83&lt;&gt;"",COUNTIF('Daily Schedule'!$F$5:$F49,'Daily Workforce'!$B83)=0,IF('Daily Schedule'!$A50=45,'Daily Workforce'!$J83="Y",IF(OR('Daily Schedule'!$A50=4,'Daily Schedule'!$A50=8),IF(OR(WEEKDAY('Daily Schedule'!$B$2,2)=1,WEEKDAY('Daily Schedule'!$B$2,2)=4,WEEKDAY('Daily Schedule'!$B$2,2)=5,WEEKDAY('Daily Schedule'!$B$2,2)=7),IFERROR(1*'Daily Workforce'!$K83&gt;=3,FALSE()),IFERROR(1*'Daily Workforce'!$K83&gt;=2,FALSE())),IF(AND('Daily Schedule'!$A50&gt;=46,'Daily Schedule'!$A50&lt;=52),'Daily Workforce'!$M83="Y",IFERROR(1*'Daily Workforce'!$P83&gt;=2,FALSE()))))),1,0)</f>
        <v>0</v>
      </c>
      <c r="CQ46" s="1" t="n">
        <f aca="false">IF(AND('Daily Workforce'!$N84="Y",'Daily Workforce'!$B84&lt;&gt;"",COUNTIF('Daily Schedule'!$F$5:$F49,'Daily Workforce'!$B84)=0,IF('Daily Schedule'!$A50=45,'Daily Workforce'!$J84="Y",IF(OR('Daily Schedule'!$A50=4,'Daily Schedule'!$A50=8),IF(OR(WEEKDAY('Daily Schedule'!$B$2,2)=1,WEEKDAY('Daily Schedule'!$B$2,2)=4,WEEKDAY('Daily Schedule'!$B$2,2)=5,WEEKDAY('Daily Schedule'!$B$2,2)=7),IFERROR(1*'Daily Workforce'!$K84&gt;=3,FALSE()),IFERROR(1*'Daily Workforce'!$K84&gt;=2,FALSE())),IF(AND('Daily Schedule'!$A50&gt;=46,'Daily Schedule'!$A50&lt;=52),'Daily Workforce'!$M84="Y",IFERROR(1*'Daily Workforce'!$P84&gt;=2,FALSE()))))),1,0)</f>
        <v>1</v>
      </c>
      <c r="CR46" s="1" t="n">
        <f aca="false">IF(AND('Daily Workforce'!$N85="Y",'Daily Workforce'!$B85&lt;&gt;"",COUNTIF('Daily Schedule'!$F$5:$F49,'Daily Workforce'!$B85)=0,IF('Daily Schedule'!$A50=45,'Daily Workforce'!$J85="Y",IF(OR('Daily Schedule'!$A50=4,'Daily Schedule'!$A50=8),IF(OR(WEEKDAY('Daily Schedule'!$B$2,2)=1,WEEKDAY('Daily Schedule'!$B$2,2)=4,WEEKDAY('Daily Schedule'!$B$2,2)=5,WEEKDAY('Daily Schedule'!$B$2,2)=7),IFERROR(1*'Daily Workforce'!$K85&gt;=3,FALSE()),IFERROR(1*'Daily Workforce'!$K85&gt;=2,FALSE())),IF(AND('Daily Schedule'!$A50&gt;=46,'Daily Schedule'!$A50&lt;=52),'Daily Workforce'!$M85="Y",IFERROR(1*'Daily Workforce'!$P85&gt;=2,FALSE()))))),1,0)</f>
        <v>0</v>
      </c>
      <c r="CS46" s="1" t="n">
        <f aca="false">IF(AND('Daily Workforce'!$N86="Y",'Daily Workforce'!$B86&lt;&gt;"",COUNTIF('Daily Schedule'!$F$5:$F49,'Daily Workforce'!$B86)=0,IF('Daily Schedule'!$A50=45,'Daily Workforce'!$J86="Y",IF(OR('Daily Schedule'!$A50=4,'Daily Schedule'!$A50=8),IF(OR(WEEKDAY('Daily Schedule'!$B$2,2)=1,WEEKDAY('Daily Schedule'!$B$2,2)=4,WEEKDAY('Daily Schedule'!$B$2,2)=5,WEEKDAY('Daily Schedule'!$B$2,2)=7),IFERROR(1*'Daily Workforce'!$K86&gt;=3,FALSE()),IFERROR(1*'Daily Workforce'!$K86&gt;=2,FALSE())),IF(AND('Daily Schedule'!$A50&gt;=46,'Daily Schedule'!$A50&lt;=52),'Daily Workforce'!$M86="Y",IFERROR(1*'Daily Workforce'!$P86&gt;=2,FALSE()))))),1,0)</f>
        <v>1</v>
      </c>
      <c r="CT46" s="1" t="n">
        <f aca="false">IF(AND('Daily Workforce'!$N87="Y",'Daily Workforce'!$B87&lt;&gt;"",COUNTIF('Daily Schedule'!$F$5:$F49,'Daily Workforce'!$B87)=0,IF('Daily Schedule'!$A50=45,'Daily Workforce'!$J87="Y",IF(OR('Daily Schedule'!$A50=4,'Daily Schedule'!$A50=8),IF(OR(WEEKDAY('Daily Schedule'!$B$2,2)=1,WEEKDAY('Daily Schedule'!$B$2,2)=4,WEEKDAY('Daily Schedule'!$B$2,2)=5,WEEKDAY('Daily Schedule'!$B$2,2)=7),IFERROR(1*'Daily Workforce'!$K87&gt;=3,FALSE()),IFERROR(1*'Daily Workforce'!$K87&gt;=2,FALSE())),IF(AND('Daily Schedule'!$A50&gt;=46,'Daily Schedule'!$A50&lt;=52),'Daily Workforce'!$M87="Y",IFERROR(1*'Daily Workforce'!$P87&gt;=2,FALSE()))))),1,0)</f>
        <v>1</v>
      </c>
      <c r="CU46" s="1" t="n">
        <f aca="false">IF(AND('Daily Workforce'!$N88="Y",'Daily Workforce'!$B88&lt;&gt;"",COUNTIF('Daily Schedule'!$F$5:$F49,'Daily Workforce'!$B88)=0,IF('Daily Schedule'!$A50=45,'Daily Workforce'!$J88="Y",IF(OR('Daily Schedule'!$A50=4,'Daily Schedule'!$A50=8),IF(OR(WEEKDAY('Daily Schedule'!$B$2,2)=1,WEEKDAY('Daily Schedule'!$B$2,2)=4,WEEKDAY('Daily Schedule'!$B$2,2)=5,WEEKDAY('Daily Schedule'!$B$2,2)=7),IFERROR(1*'Daily Workforce'!$K88&gt;=3,FALSE()),IFERROR(1*'Daily Workforce'!$K88&gt;=2,FALSE())),IF(AND('Daily Schedule'!$A50&gt;=46,'Daily Schedule'!$A50&lt;=52),'Daily Workforce'!$M88="Y",IFERROR(1*'Daily Workforce'!$P88&gt;=2,FALSE()))))),1,0)</f>
        <v>1</v>
      </c>
      <c r="CV46" s="1" t="n">
        <f aca="false">IF(AND('Daily Workforce'!$N89="Y",'Daily Workforce'!$B89&lt;&gt;"",COUNTIF('Daily Schedule'!$F$5:$F49,'Daily Workforce'!$B89)=0,IF('Daily Schedule'!$A50=45,'Daily Workforce'!$J89="Y",IF(OR('Daily Schedule'!$A50=4,'Daily Schedule'!$A50=8),IF(OR(WEEKDAY('Daily Schedule'!$B$2,2)=1,WEEKDAY('Daily Schedule'!$B$2,2)=4,WEEKDAY('Daily Schedule'!$B$2,2)=5,WEEKDAY('Daily Schedule'!$B$2,2)=7),IFERROR(1*'Daily Workforce'!$K89&gt;=3,FALSE()),IFERROR(1*'Daily Workforce'!$K89&gt;=2,FALSE())),IF(AND('Daily Schedule'!$A50&gt;=46,'Daily Schedule'!$A50&lt;=52),'Daily Workforce'!$M89="Y",IFERROR(1*'Daily Workforce'!$P89&gt;=2,FALSE()))))),1,0)</f>
        <v>1</v>
      </c>
      <c r="CW46" s="1" t="n">
        <f aca="false">IF(AND('Daily Workforce'!$N90="Y",'Daily Workforce'!$B90&lt;&gt;"",COUNTIF('Daily Schedule'!$F$5:$F49,'Daily Workforce'!$B90)=0,IF('Daily Schedule'!$A50=45,'Daily Workforce'!$J90="Y",IF(OR('Daily Schedule'!$A50=4,'Daily Schedule'!$A50=8),IF(OR(WEEKDAY('Daily Schedule'!$B$2,2)=1,WEEKDAY('Daily Schedule'!$B$2,2)=4,WEEKDAY('Daily Schedule'!$B$2,2)=5,WEEKDAY('Daily Schedule'!$B$2,2)=7),IFERROR(1*'Daily Workforce'!$K90&gt;=3,FALSE()),IFERROR(1*'Daily Workforce'!$K90&gt;=2,FALSE())),IF(AND('Daily Schedule'!$A50&gt;=46,'Daily Schedule'!$A50&lt;=52),'Daily Workforce'!$M90="Y",IFERROR(1*'Daily Workforce'!$P90&gt;=2,FALSE()))))),1,0)</f>
        <v>1</v>
      </c>
      <c r="CX46" s="1" t="n">
        <f aca="false">IF(AND('Daily Workforce'!$N91="Y",'Daily Workforce'!$B91&lt;&gt;"",COUNTIF('Daily Schedule'!$F$5:$F49,'Daily Workforce'!$B91)=0,IF('Daily Schedule'!$A50=45,'Daily Workforce'!$J91="Y",IF(OR('Daily Schedule'!$A50=4,'Daily Schedule'!$A50=8),IF(OR(WEEKDAY('Daily Schedule'!$B$2,2)=1,WEEKDAY('Daily Schedule'!$B$2,2)=4,WEEKDAY('Daily Schedule'!$B$2,2)=5,WEEKDAY('Daily Schedule'!$B$2,2)=7),IFERROR(1*'Daily Workforce'!$K91&gt;=3,FALSE()),IFERROR(1*'Daily Workforce'!$K91&gt;=2,FALSE())),IF(AND('Daily Schedule'!$A50&gt;=46,'Daily Schedule'!$A50&lt;=52),'Daily Workforce'!$M91="Y",IFERROR(1*'Daily Workforce'!$P91&gt;=2,FALSE()))))),1,0)</f>
        <v>1</v>
      </c>
      <c r="CY46" s="1" t="n">
        <f aca="false">IF(AND('Daily Workforce'!$N92="Y",'Daily Workforce'!$B92&lt;&gt;"",COUNTIF('Daily Schedule'!$F$5:$F49,'Daily Workforce'!$B92)=0,IF('Daily Schedule'!$A50=45,'Daily Workforce'!$J92="Y",IF(OR('Daily Schedule'!$A50=4,'Daily Schedule'!$A50=8),IF(OR(WEEKDAY('Daily Schedule'!$B$2,2)=1,WEEKDAY('Daily Schedule'!$B$2,2)=4,WEEKDAY('Daily Schedule'!$B$2,2)=5,WEEKDAY('Daily Schedule'!$B$2,2)=7),IFERROR(1*'Daily Workforce'!$K92&gt;=3,FALSE()),IFERROR(1*'Daily Workforce'!$K92&gt;=2,FALSE())),IF(AND('Daily Schedule'!$A50&gt;=46,'Daily Schedule'!$A50&lt;=52),'Daily Workforce'!$M92="Y",IFERROR(1*'Daily Workforce'!$P92&gt;=2,FALSE()))))),1,0)</f>
        <v>1</v>
      </c>
      <c r="CZ46" s="1" t="n">
        <f aca="false">IF(AND('Daily Workforce'!$N93="Y",'Daily Workforce'!$B93&lt;&gt;"",COUNTIF('Daily Schedule'!$F$5:$F49,'Daily Workforce'!$B93)=0,IF('Daily Schedule'!$A50=45,'Daily Workforce'!$J93="Y",IF(OR('Daily Schedule'!$A50=4,'Daily Schedule'!$A50=8),IF(OR(WEEKDAY('Daily Schedule'!$B$2,2)=1,WEEKDAY('Daily Schedule'!$B$2,2)=4,WEEKDAY('Daily Schedule'!$B$2,2)=5,WEEKDAY('Daily Schedule'!$B$2,2)=7),IFERROR(1*'Daily Workforce'!$K93&gt;=3,FALSE()),IFERROR(1*'Daily Workforce'!$K93&gt;=2,FALSE())),IF(AND('Daily Schedule'!$A50&gt;=46,'Daily Schedule'!$A50&lt;=52),'Daily Workforce'!$M93="Y",IFERROR(1*'Daily Workforce'!$P93&gt;=2,FALSE()))))),1,0)</f>
        <v>1</v>
      </c>
      <c r="DA46" s="1" t="n">
        <f aca="false">IF(AND('Daily Workforce'!$N94="Y",'Daily Workforce'!$B94&lt;&gt;"",COUNTIF('Daily Schedule'!$F$5:$F49,'Daily Workforce'!$B94)=0,IF('Daily Schedule'!$A50=45,'Daily Workforce'!$J94="Y",IF(OR('Daily Schedule'!$A50=4,'Daily Schedule'!$A50=8),IF(OR(WEEKDAY('Daily Schedule'!$B$2,2)=1,WEEKDAY('Daily Schedule'!$B$2,2)=4,WEEKDAY('Daily Schedule'!$B$2,2)=5,WEEKDAY('Daily Schedule'!$B$2,2)=7),IFERROR(1*'Daily Workforce'!$K94&gt;=3,FALSE()),IFERROR(1*'Daily Workforce'!$K94&gt;=2,FALSE())),IF(AND('Daily Schedule'!$A50&gt;=46,'Daily Schedule'!$A50&lt;=52),'Daily Workforce'!$M94="Y",IFERROR(1*'Daily Workforce'!$P94&gt;=2,FALSE()))))),1,0)</f>
        <v>1</v>
      </c>
      <c r="DB46" s="1" t="n">
        <f aca="false">IF(AND('Daily Workforce'!$N95="Y",'Daily Workforce'!$B95&lt;&gt;"",COUNTIF('Daily Schedule'!$F$5:$F49,'Daily Workforce'!$B95)=0,IF('Daily Schedule'!$A50=45,'Daily Workforce'!$J95="Y",IF(OR('Daily Schedule'!$A50=4,'Daily Schedule'!$A50=8),IF(OR(WEEKDAY('Daily Schedule'!$B$2,2)=1,WEEKDAY('Daily Schedule'!$B$2,2)=4,WEEKDAY('Daily Schedule'!$B$2,2)=5,WEEKDAY('Daily Schedule'!$B$2,2)=7),IFERROR(1*'Daily Workforce'!$K95&gt;=3,FALSE()),IFERROR(1*'Daily Workforce'!$K95&gt;=2,FALSE())),IF(AND('Daily Schedule'!$A50&gt;=46,'Daily Schedule'!$A50&lt;=52),'Daily Workforce'!$M95="Y",IFERROR(1*'Daily Workforce'!$P95&gt;=2,FALSE()))))),1,0)</f>
        <v>1</v>
      </c>
      <c r="DC46" s="1" t="n">
        <f aca="false">IF(AND('Daily Workforce'!$N96="Y",'Daily Workforce'!$B96&lt;&gt;"",COUNTIF('Daily Schedule'!$F$5:$F49,'Daily Workforce'!$B96)=0,IF('Daily Schedule'!$A50=45,'Daily Workforce'!$J96="Y",IF(OR('Daily Schedule'!$A50=4,'Daily Schedule'!$A50=8),IF(OR(WEEKDAY('Daily Schedule'!$B$2,2)=1,WEEKDAY('Daily Schedule'!$B$2,2)=4,WEEKDAY('Daily Schedule'!$B$2,2)=5,WEEKDAY('Daily Schedule'!$B$2,2)=7),IFERROR(1*'Daily Workforce'!$K96&gt;=3,FALSE()),IFERROR(1*'Daily Workforce'!$K96&gt;=2,FALSE())),IF(AND('Daily Schedule'!$A50&gt;=46,'Daily Schedule'!$A50&lt;=52),'Daily Workforce'!$M96="Y",IFERROR(1*'Daily Workforce'!$P96&gt;=2,FALSE()))))),1,0)</f>
        <v>1</v>
      </c>
      <c r="DD46" s="1" t="n">
        <f aca="false">IF(AND('Daily Workforce'!$N97="Y",'Daily Workforce'!$B97&lt;&gt;"",COUNTIF('Daily Schedule'!$F$5:$F49,'Daily Workforce'!$B97)=0,IF('Daily Schedule'!$A50=45,'Daily Workforce'!$J97="Y",IF(OR('Daily Schedule'!$A50=4,'Daily Schedule'!$A50=8),IF(OR(WEEKDAY('Daily Schedule'!$B$2,2)=1,WEEKDAY('Daily Schedule'!$B$2,2)=4,WEEKDAY('Daily Schedule'!$B$2,2)=5,WEEKDAY('Daily Schedule'!$B$2,2)=7),IFERROR(1*'Daily Workforce'!$K97&gt;=3,FALSE()),IFERROR(1*'Daily Workforce'!$K97&gt;=2,FALSE())),IF(AND('Daily Schedule'!$A50&gt;=46,'Daily Schedule'!$A50&lt;=52),'Daily Workforce'!$M97="Y",IFERROR(1*'Daily Workforce'!$P97&gt;=2,FALSE()))))),1,0)</f>
        <v>1</v>
      </c>
      <c r="DE46" s="1" t="n">
        <f aca="false">IF(AND('Daily Workforce'!$N98="Y",'Daily Workforce'!$B98&lt;&gt;"",COUNTIF('Daily Schedule'!$F$5:$F49,'Daily Workforce'!$B98)=0,IF('Daily Schedule'!$A50=45,'Daily Workforce'!$J98="Y",IF(OR('Daily Schedule'!$A50=4,'Daily Schedule'!$A50=8),IF(OR(WEEKDAY('Daily Schedule'!$B$2,2)=1,WEEKDAY('Daily Schedule'!$B$2,2)=4,WEEKDAY('Daily Schedule'!$B$2,2)=5,WEEKDAY('Daily Schedule'!$B$2,2)=7),IFERROR(1*'Daily Workforce'!$K98&gt;=3,FALSE()),IFERROR(1*'Daily Workforce'!$K98&gt;=2,FALSE())),IF(AND('Daily Schedule'!$A50&gt;=46,'Daily Schedule'!$A50&lt;=52),'Daily Workforce'!$M98="Y",IFERROR(1*'Daily Workforce'!$P98&gt;=2,FALSE()))))),1,0)</f>
        <v>1</v>
      </c>
      <c r="DF46" s="1" t="n">
        <f aca="false">IF(AND('Daily Workforce'!$N99="Y",'Daily Workforce'!$B99&lt;&gt;"",COUNTIF('Daily Schedule'!$F$5:$F49,'Daily Workforce'!$B99)=0,IF('Daily Schedule'!$A50=45,'Daily Workforce'!$J99="Y",IF(OR('Daily Schedule'!$A50=4,'Daily Schedule'!$A50=8),IF(OR(WEEKDAY('Daily Schedule'!$B$2,2)=1,WEEKDAY('Daily Schedule'!$B$2,2)=4,WEEKDAY('Daily Schedule'!$B$2,2)=5,WEEKDAY('Daily Schedule'!$B$2,2)=7),IFERROR(1*'Daily Workforce'!$K99&gt;=3,FALSE()),IFERROR(1*'Daily Workforce'!$K99&gt;=2,FALSE())),IF(AND('Daily Schedule'!$A50&gt;=46,'Daily Schedule'!$A50&lt;=52),'Daily Workforce'!$M99="Y",IFERROR(1*'Daily Workforce'!$P99&gt;=2,FALSE()))))),1,0)</f>
        <v>1</v>
      </c>
      <c r="DG46" s="1" t="n">
        <f aca="false">IF(AND('Daily Workforce'!$N100="Y",'Daily Workforce'!$B100&lt;&gt;"",COUNTIF('Daily Schedule'!$F$5:$F49,'Daily Workforce'!$B100)=0,IF('Daily Schedule'!$A50=45,'Daily Workforce'!$J100="Y",IF(OR('Daily Schedule'!$A50=4,'Daily Schedule'!$A50=8),IF(OR(WEEKDAY('Daily Schedule'!$B$2,2)=1,WEEKDAY('Daily Schedule'!$B$2,2)=4,WEEKDAY('Daily Schedule'!$B$2,2)=5,WEEKDAY('Daily Schedule'!$B$2,2)=7),IFERROR(1*'Daily Workforce'!$K100&gt;=3,FALSE()),IFERROR(1*'Daily Workforce'!$K100&gt;=2,FALSE())),IF(AND('Daily Schedule'!$A50&gt;=46,'Daily Schedule'!$A50&lt;=52),'Daily Workforce'!$M100="Y",IFERROR(1*'Daily Workforce'!$P100&gt;=2,FALSE()))))),1,0)</f>
        <v>1</v>
      </c>
      <c r="DH46" s="1" t="n">
        <f aca="false">IF(AND('Daily Workforce'!$N101="Y",'Daily Workforce'!$B101&lt;&gt;"",COUNTIF('Daily Schedule'!$F$5:$F49,'Daily Workforce'!$B101)=0,IF('Daily Schedule'!$A50=45,'Daily Workforce'!$J101="Y",IF(OR('Daily Schedule'!$A50=4,'Daily Schedule'!$A50=8),IF(OR(WEEKDAY('Daily Schedule'!$B$2,2)=1,WEEKDAY('Daily Schedule'!$B$2,2)=4,WEEKDAY('Daily Schedule'!$B$2,2)=5,WEEKDAY('Daily Schedule'!$B$2,2)=7),IFERROR(1*'Daily Workforce'!$K101&gt;=3,FALSE()),IFERROR(1*'Daily Workforce'!$K101&gt;=2,FALSE())),IF(AND('Daily Schedule'!$A50&gt;=46,'Daily Schedule'!$A50&lt;=52),'Daily Workforce'!$M101="Y",IFERROR(1*'Daily Workforce'!$P101&gt;=2,FALSE()))))),1,0)</f>
        <v>1</v>
      </c>
      <c r="DI46" s="1" t="n">
        <f aca="false">IF(AND('Daily Workforce'!$N102="Y",'Daily Workforce'!$B102&lt;&gt;"",COUNTIF('Daily Schedule'!$F$5:$F49,'Daily Workforce'!$B102)=0,IF('Daily Schedule'!$A50=45,'Daily Workforce'!$J102="Y",IF(OR('Daily Schedule'!$A50=4,'Daily Schedule'!$A50=8),IF(OR(WEEKDAY('Daily Schedule'!$B$2,2)=1,WEEKDAY('Daily Schedule'!$B$2,2)=4,WEEKDAY('Daily Schedule'!$B$2,2)=5,WEEKDAY('Daily Schedule'!$B$2,2)=7),IFERROR(1*'Daily Workforce'!$K102&gt;=3,FALSE()),IFERROR(1*'Daily Workforce'!$K102&gt;=2,FALSE())),IF(AND('Daily Schedule'!$A50&gt;=46,'Daily Schedule'!$A50&lt;=52),'Daily Workforce'!$M102="Y",IFERROR(1*'Daily Workforce'!$P102&gt;=2,FALSE()))))),1,0)</f>
        <v>1</v>
      </c>
      <c r="DJ46" s="1" t="n">
        <f aca="false">IF(AND('Daily Workforce'!$N103="Y",'Daily Workforce'!$B103&lt;&gt;"",COUNTIF('Daily Schedule'!$F$5:$F49,'Daily Workforce'!$B103)=0,IF('Daily Schedule'!$A50=45,'Daily Workforce'!$J103="Y",IF(OR('Daily Schedule'!$A50=4,'Daily Schedule'!$A50=8),IF(OR(WEEKDAY('Daily Schedule'!$B$2,2)=1,WEEKDAY('Daily Schedule'!$B$2,2)=4,WEEKDAY('Daily Schedule'!$B$2,2)=5,WEEKDAY('Daily Schedule'!$B$2,2)=7),IFERROR(1*'Daily Workforce'!$K103&gt;=3,FALSE()),IFERROR(1*'Daily Workforce'!$K103&gt;=2,FALSE())),IF(AND('Daily Schedule'!$A50&gt;=46,'Daily Schedule'!$A50&lt;=52),'Daily Workforce'!$M103="Y",IFERROR(1*'Daily Workforce'!$P103&gt;=2,FALSE()))))),1,0)</f>
        <v>1</v>
      </c>
      <c r="DK46" s="1" t="n">
        <f aca="false">IF(AND('Daily Workforce'!$N104="Y",'Daily Workforce'!$B104&lt;&gt;"",COUNTIF('Daily Schedule'!$F$5:$F49,'Daily Workforce'!$B104)=0,IF('Daily Schedule'!$A50=45,'Daily Workforce'!$J104="Y",IF(OR('Daily Schedule'!$A50=4,'Daily Schedule'!$A50=8),IF(OR(WEEKDAY('Daily Schedule'!$B$2,2)=1,WEEKDAY('Daily Schedule'!$B$2,2)=4,WEEKDAY('Daily Schedule'!$B$2,2)=5,WEEKDAY('Daily Schedule'!$B$2,2)=7),IFERROR(1*'Daily Workforce'!$K104&gt;=3,FALSE()),IFERROR(1*'Daily Workforce'!$K104&gt;=2,FALSE())),IF(AND('Daily Schedule'!$A50&gt;=46,'Daily Schedule'!$A50&lt;=52),'Daily Workforce'!$M104="Y",IFERROR(1*'Daily Workforce'!$P104&gt;=2,FALSE()))))),1,0)</f>
        <v>1</v>
      </c>
      <c r="DL46" s="1" t="n">
        <f aca="false">IF(AND('Daily Workforce'!$N105="Y",'Daily Workforce'!$B105&lt;&gt;"",COUNTIF('Daily Schedule'!$F$5:$F49,'Daily Workforce'!$B105)=0,IF('Daily Schedule'!$A50=45,'Daily Workforce'!$J105="Y",IF(OR('Daily Schedule'!$A50=4,'Daily Schedule'!$A50=8),IF(OR(WEEKDAY('Daily Schedule'!$B$2,2)=1,WEEKDAY('Daily Schedule'!$B$2,2)=4,WEEKDAY('Daily Schedule'!$B$2,2)=5,WEEKDAY('Daily Schedule'!$B$2,2)=7),IFERROR(1*'Daily Workforce'!$K105&gt;=3,FALSE()),IFERROR(1*'Daily Workforce'!$K105&gt;=2,FALSE())),IF(AND('Daily Schedule'!$A50&gt;=46,'Daily Schedule'!$A50&lt;=52),'Daily Workforce'!$M105="Y",IFERROR(1*'Daily Workforce'!$P105&gt;=2,FALSE()))))),1,0)</f>
        <v>0</v>
      </c>
      <c r="DM46" s="1" t="n">
        <f aca="false">IF(AND('Daily Workforce'!$N106="Y",'Daily Workforce'!$B106&lt;&gt;"",COUNTIF('Daily Schedule'!$F$5:$F49,'Daily Workforce'!$B106)=0,IF('Daily Schedule'!$A50=45,'Daily Workforce'!$J106="Y",IF(OR('Daily Schedule'!$A50=4,'Daily Schedule'!$A50=8),IF(OR(WEEKDAY('Daily Schedule'!$B$2,2)=1,WEEKDAY('Daily Schedule'!$B$2,2)=4,WEEKDAY('Daily Schedule'!$B$2,2)=5,WEEKDAY('Daily Schedule'!$B$2,2)=7),IFERROR(1*'Daily Workforce'!$K106&gt;=3,FALSE()),IFERROR(1*'Daily Workforce'!$K106&gt;=2,FALSE())),IF(AND('Daily Schedule'!$A50&gt;=46,'Daily Schedule'!$A50&lt;=52),'Daily Workforce'!$M106="Y",IFERROR(1*'Daily Workforce'!$P106&gt;=2,FALSE()))))),1,0)</f>
        <v>1</v>
      </c>
      <c r="DN46" s="1" t="n">
        <f aca="false">IF(AND('Daily Workforce'!$N107="Y",'Daily Workforce'!$B107&lt;&gt;"",COUNTIF('Daily Schedule'!$F$5:$F49,'Daily Workforce'!$B107)=0,IF('Daily Schedule'!$A50=45,'Daily Workforce'!$J107="Y",IF(OR('Daily Schedule'!$A50=4,'Daily Schedule'!$A50=8),IF(OR(WEEKDAY('Daily Schedule'!$B$2,2)=1,WEEKDAY('Daily Schedule'!$B$2,2)=4,WEEKDAY('Daily Schedule'!$B$2,2)=5,WEEKDAY('Daily Schedule'!$B$2,2)=7),IFERROR(1*'Daily Workforce'!$K107&gt;=3,FALSE()),IFERROR(1*'Daily Workforce'!$K107&gt;=2,FALSE())),IF(AND('Daily Schedule'!$A50&gt;=46,'Daily Schedule'!$A50&lt;=52),'Daily Workforce'!$M107="Y",IFERROR(1*'Daily Workforce'!$P107&gt;=2,FALSE()))))),1,0)</f>
        <v>1</v>
      </c>
      <c r="DO46" s="1" t="n">
        <f aca="false">IF(AND('Daily Workforce'!$N108="Y",'Daily Workforce'!$B108&lt;&gt;"",COUNTIF('Daily Schedule'!$F$5:$F49,'Daily Workforce'!$B108)=0,IF('Daily Schedule'!$A50=45,'Daily Workforce'!$J108="Y",IF(OR('Daily Schedule'!$A50=4,'Daily Schedule'!$A50=8),IF(OR(WEEKDAY('Daily Schedule'!$B$2,2)=1,WEEKDAY('Daily Schedule'!$B$2,2)=4,WEEKDAY('Daily Schedule'!$B$2,2)=5,WEEKDAY('Daily Schedule'!$B$2,2)=7),IFERROR(1*'Daily Workforce'!$K108&gt;=3,FALSE()),IFERROR(1*'Daily Workforce'!$K108&gt;=2,FALSE())),IF(AND('Daily Schedule'!$A50&gt;=46,'Daily Schedule'!$A50&lt;=52),'Daily Workforce'!$M108="Y",IFERROR(1*'Daily Workforce'!$P108&gt;=2,FALSE()))))),1,0)</f>
        <v>1</v>
      </c>
      <c r="DP46" s="1" t="n">
        <f aca="false">IF(AND('Daily Workforce'!$N109="Y",'Daily Workforce'!$B109&lt;&gt;"",COUNTIF('Daily Schedule'!$F$5:$F49,'Daily Workforce'!$B109)=0,IF('Daily Schedule'!$A50=45,'Daily Workforce'!$J109="Y",IF(OR('Daily Schedule'!$A50=4,'Daily Schedule'!$A50=8),IF(OR(WEEKDAY('Daily Schedule'!$B$2,2)=1,WEEKDAY('Daily Schedule'!$B$2,2)=4,WEEKDAY('Daily Schedule'!$B$2,2)=5,WEEKDAY('Daily Schedule'!$B$2,2)=7),IFERROR(1*'Daily Workforce'!$K109&gt;=3,FALSE()),IFERROR(1*'Daily Workforce'!$K109&gt;=2,FALSE())),IF(AND('Daily Schedule'!$A50&gt;=46,'Daily Schedule'!$A50&lt;=52),'Daily Workforce'!$M109="Y",IFERROR(1*'Daily Workforce'!$P109&gt;=2,FALSE()))))),1,0)</f>
        <v>1</v>
      </c>
      <c r="DQ46" s="1" t="n">
        <f aca="false">IF(AND('Daily Workforce'!$N110="Y",'Daily Workforce'!$B110&lt;&gt;"",COUNTIF('Daily Schedule'!$F$5:$F49,'Daily Workforce'!$B110)=0,IF('Daily Schedule'!$A50=45,'Daily Workforce'!$J110="Y",IF(OR('Daily Schedule'!$A50=4,'Daily Schedule'!$A50=8),IF(OR(WEEKDAY('Daily Schedule'!$B$2,2)=1,WEEKDAY('Daily Schedule'!$B$2,2)=4,WEEKDAY('Daily Schedule'!$B$2,2)=5,WEEKDAY('Daily Schedule'!$B$2,2)=7),IFERROR(1*'Daily Workforce'!$K110&gt;=3,FALSE()),IFERROR(1*'Daily Workforce'!$K110&gt;=2,FALSE())),IF(AND('Daily Schedule'!$A50&gt;=46,'Daily Schedule'!$A50&lt;=52),'Daily Workforce'!$M110="Y",IFERROR(1*'Daily Workforce'!$P110&gt;=2,FALSE()))))),1,0)</f>
        <v>1</v>
      </c>
      <c r="DR46" s="1" t="n">
        <f aca="false">IF(AND('Daily Workforce'!$N111="Y",'Daily Workforce'!$B111&lt;&gt;"",COUNTIF('Daily Schedule'!$F$5:$F49,'Daily Workforce'!$B111)=0,IF('Daily Schedule'!$A50=45,'Daily Workforce'!$J111="Y",IF(OR('Daily Schedule'!$A50=4,'Daily Schedule'!$A50=8),IF(OR(WEEKDAY('Daily Schedule'!$B$2,2)=1,WEEKDAY('Daily Schedule'!$B$2,2)=4,WEEKDAY('Daily Schedule'!$B$2,2)=5,WEEKDAY('Daily Schedule'!$B$2,2)=7),IFERROR(1*'Daily Workforce'!$K111&gt;=3,FALSE()),IFERROR(1*'Daily Workforce'!$K111&gt;=2,FALSE())),IF(AND('Daily Schedule'!$A50&gt;=46,'Daily Schedule'!$A50&lt;=52),'Daily Workforce'!$M111="Y",IFERROR(1*'Daily Workforce'!$P111&gt;=2,FALSE()))))),1,0)</f>
        <v>1</v>
      </c>
      <c r="DS46" s="1" t="n">
        <f aca="false">IF(AND('Daily Workforce'!$N112="Y",'Daily Workforce'!$B112&lt;&gt;"",COUNTIF('Daily Schedule'!$F$5:$F49,'Daily Workforce'!$B112)=0,IF('Daily Schedule'!$A50=45,'Daily Workforce'!$J112="Y",IF(OR('Daily Schedule'!$A50=4,'Daily Schedule'!$A50=8),IF(OR(WEEKDAY('Daily Schedule'!$B$2,2)=1,WEEKDAY('Daily Schedule'!$B$2,2)=4,WEEKDAY('Daily Schedule'!$B$2,2)=5,WEEKDAY('Daily Schedule'!$B$2,2)=7),IFERROR(1*'Daily Workforce'!$K112&gt;=3,FALSE()),IFERROR(1*'Daily Workforce'!$K112&gt;=2,FALSE())),IF(AND('Daily Schedule'!$A50&gt;=46,'Daily Schedule'!$A50&lt;=52),'Daily Workforce'!$M112="Y",IFERROR(1*'Daily Workforce'!$P112&gt;=2,FALSE()))))),1,0)</f>
        <v>1</v>
      </c>
      <c r="DT46" s="1" t="n">
        <f aca="false">IF(AND('Daily Workforce'!$N113="Y",'Daily Workforce'!$B113&lt;&gt;"",COUNTIF('Daily Schedule'!$F$5:$F49,'Daily Workforce'!$B113)=0,IF('Daily Schedule'!$A50=45,'Daily Workforce'!$J113="Y",IF(OR('Daily Schedule'!$A50=4,'Daily Schedule'!$A50=8),IF(OR(WEEKDAY('Daily Schedule'!$B$2,2)=1,WEEKDAY('Daily Schedule'!$B$2,2)=4,WEEKDAY('Daily Schedule'!$B$2,2)=5,WEEKDAY('Daily Schedule'!$B$2,2)=7),IFERROR(1*'Daily Workforce'!$K113&gt;=3,FALSE()),IFERROR(1*'Daily Workforce'!$K113&gt;=2,FALSE())),IF(AND('Daily Schedule'!$A50&gt;=46,'Daily Schedule'!$A50&lt;=52),'Daily Workforce'!$M113="Y",IFERROR(1*'Daily Workforce'!$P113&gt;=2,FALSE()))))),1,0)</f>
        <v>1</v>
      </c>
      <c r="DU46" s="1" t="n">
        <f aca="false">IF(AND('Daily Workforce'!$N114="Y",'Daily Workforce'!$B114&lt;&gt;"",COUNTIF('Daily Schedule'!$F$5:$F49,'Daily Workforce'!$B114)=0,IF('Daily Schedule'!$A50=45,'Daily Workforce'!$J114="Y",IF(OR('Daily Schedule'!$A50=4,'Daily Schedule'!$A50=8),IF(OR(WEEKDAY('Daily Schedule'!$B$2,2)=1,WEEKDAY('Daily Schedule'!$B$2,2)=4,WEEKDAY('Daily Schedule'!$B$2,2)=5,WEEKDAY('Daily Schedule'!$B$2,2)=7),IFERROR(1*'Daily Workforce'!$K114&gt;=3,FALSE()),IFERROR(1*'Daily Workforce'!$K114&gt;=2,FALSE())),IF(AND('Daily Schedule'!$A50&gt;=46,'Daily Schedule'!$A50&lt;=52),'Daily Workforce'!$M114="Y",IFERROR(1*'Daily Workforce'!$P114&gt;=2,FALSE()))))),1,0)</f>
        <v>1</v>
      </c>
      <c r="DV46" s="1" t="n">
        <f aca="false">IF(AND('Daily Workforce'!$N115="Y",'Daily Workforce'!$B115&lt;&gt;"",COUNTIF('Daily Schedule'!$F$5:$F49,'Daily Workforce'!$B115)=0,IF('Daily Schedule'!$A50=45,'Daily Workforce'!$J115="Y",IF(OR('Daily Schedule'!$A50=4,'Daily Schedule'!$A50=8),IF(OR(WEEKDAY('Daily Schedule'!$B$2,2)=1,WEEKDAY('Daily Schedule'!$B$2,2)=4,WEEKDAY('Daily Schedule'!$B$2,2)=5,WEEKDAY('Daily Schedule'!$B$2,2)=7),IFERROR(1*'Daily Workforce'!$K115&gt;=3,FALSE()),IFERROR(1*'Daily Workforce'!$K115&gt;=2,FALSE())),IF(AND('Daily Schedule'!$A50&gt;=46,'Daily Schedule'!$A50&lt;=52),'Daily Workforce'!$M115="Y",IFERROR(1*'Daily Workforce'!$P115&gt;=2,FALSE()))))),1,0)</f>
        <v>1</v>
      </c>
      <c r="DW46" s="1" t="n">
        <f aca="false">IF(AND('Daily Workforce'!$N116="Y",'Daily Workforce'!$B116&lt;&gt;"",COUNTIF('Daily Schedule'!$F$5:$F49,'Daily Workforce'!$B116)=0,IF('Daily Schedule'!$A50=45,'Daily Workforce'!$J116="Y",IF(OR('Daily Schedule'!$A50=4,'Daily Schedule'!$A50=8),IF(OR(WEEKDAY('Daily Schedule'!$B$2,2)=1,WEEKDAY('Daily Schedule'!$B$2,2)=4,WEEKDAY('Daily Schedule'!$B$2,2)=5,WEEKDAY('Daily Schedule'!$B$2,2)=7),IFERROR(1*'Daily Workforce'!$K116&gt;=3,FALSE()),IFERROR(1*'Daily Workforce'!$K116&gt;=2,FALSE())),IF(AND('Daily Schedule'!$A50&gt;=46,'Daily Schedule'!$A50&lt;=52),'Daily Workforce'!$M116="Y",IFERROR(1*'Daily Workforce'!$P116&gt;=2,FALSE()))))),1,0)</f>
        <v>1</v>
      </c>
      <c r="DX46" s="1" t="n">
        <f aca="false">IF(AND('Daily Workforce'!$N117="Y",'Daily Workforce'!$B117&lt;&gt;"",COUNTIF('Daily Schedule'!$F$5:$F49,'Daily Workforce'!$B117)=0,IF('Daily Schedule'!$A50=45,'Daily Workforce'!$J117="Y",IF(OR('Daily Schedule'!$A50=4,'Daily Schedule'!$A50=8),IF(OR(WEEKDAY('Daily Schedule'!$B$2,2)=1,WEEKDAY('Daily Schedule'!$B$2,2)=4,WEEKDAY('Daily Schedule'!$B$2,2)=5,WEEKDAY('Daily Schedule'!$B$2,2)=7),IFERROR(1*'Daily Workforce'!$K117&gt;=3,FALSE()),IFERROR(1*'Daily Workforce'!$K117&gt;=2,FALSE())),IF(AND('Daily Schedule'!$A50&gt;=46,'Daily Schedule'!$A50&lt;=52),'Daily Workforce'!$M117="Y",IFERROR(1*'Daily Workforce'!$P117&gt;=2,FALSE()))))),1,0)</f>
        <v>1</v>
      </c>
      <c r="DY46" s="1" t="n">
        <f aca="false">IF(AND('Daily Workforce'!$N118="Y",'Daily Workforce'!$B118&lt;&gt;"",COUNTIF('Daily Schedule'!$F$5:$F49,'Daily Workforce'!$B118)=0,IF('Daily Schedule'!$A50=45,'Daily Workforce'!$J118="Y",IF(OR('Daily Schedule'!$A50=4,'Daily Schedule'!$A50=8),IF(OR(WEEKDAY('Daily Schedule'!$B$2,2)=1,WEEKDAY('Daily Schedule'!$B$2,2)=4,WEEKDAY('Daily Schedule'!$B$2,2)=5,WEEKDAY('Daily Schedule'!$B$2,2)=7),IFERROR(1*'Daily Workforce'!$K118&gt;=3,FALSE()),IFERROR(1*'Daily Workforce'!$K118&gt;=2,FALSE())),IF(AND('Daily Schedule'!$A50&gt;=46,'Daily Schedule'!$A50&lt;=52),'Daily Workforce'!$M118="Y",IFERROR(1*'Daily Workforce'!$P118&gt;=2,FALSE()))))),1,0)</f>
        <v>0</v>
      </c>
      <c r="DZ46" s="1" t="n">
        <f aca="false">IF(AND('Daily Workforce'!$N119="Y",'Daily Workforce'!$B119&lt;&gt;"",COUNTIF('Daily Schedule'!$F$5:$F49,'Daily Workforce'!$B119)=0,IF('Daily Schedule'!$A50=45,'Daily Workforce'!$J119="Y",IF(OR('Daily Schedule'!$A50=4,'Daily Schedule'!$A50=8),IF(OR(WEEKDAY('Daily Schedule'!$B$2,2)=1,WEEKDAY('Daily Schedule'!$B$2,2)=4,WEEKDAY('Daily Schedule'!$B$2,2)=5,WEEKDAY('Daily Schedule'!$B$2,2)=7),IFERROR(1*'Daily Workforce'!$K119&gt;=3,FALSE()),IFERROR(1*'Daily Workforce'!$K119&gt;=2,FALSE())),IF(AND('Daily Schedule'!$A50&gt;=46,'Daily Schedule'!$A50&lt;=52),'Daily Workforce'!$M119="Y",IFERROR(1*'Daily Workforce'!$P119&gt;=2,FALSE()))))),1,0)</f>
        <v>0</v>
      </c>
      <c r="EA46" s="1" t="n">
        <f aca="false">IF(AND('Daily Workforce'!$N120="Y",'Daily Workforce'!$B120&lt;&gt;"",COUNTIF('Daily Schedule'!$F$5:$F49,'Daily Workforce'!$B120)=0,IF('Daily Schedule'!$A50=45,'Daily Workforce'!$J120="Y",IF(OR('Daily Schedule'!$A50=4,'Daily Schedule'!$A50=8),IF(OR(WEEKDAY('Daily Schedule'!$B$2,2)=1,WEEKDAY('Daily Schedule'!$B$2,2)=4,WEEKDAY('Daily Schedule'!$B$2,2)=5,WEEKDAY('Daily Schedule'!$B$2,2)=7),IFERROR(1*'Daily Workforce'!$K120&gt;=3,FALSE()),IFERROR(1*'Daily Workforce'!$K120&gt;=2,FALSE())),IF(AND('Daily Schedule'!$A50&gt;=46,'Daily Schedule'!$A50&lt;=52),'Daily Workforce'!$M120="Y",IFERROR(1*'Daily Workforce'!$P120&gt;=2,FALSE()))))),1,0)</f>
        <v>0</v>
      </c>
      <c r="EB46" s="1" t="n">
        <f aca="false">IF(AND('Daily Workforce'!$N121="Y",'Daily Workforce'!$B121&lt;&gt;"",COUNTIF('Daily Schedule'!$F$5:$F49,'Daily Workforce'!$B121)=0,IF('Daily Schedule'!$A50=45,'Daily Workforce'!$J121="Y",IF(OR('Daily Schedule'!$A50=4,'Daily Schedule'!$A50=8),IF(OR(WEEKDAY('Daily Schedule'!$B$2,2)=1,WEEKDAY('Daily Schedule'!$B$2,2)=4,WEEKDAY('Daily Schedule'!$B$2,2)=5,WEEKDAY('Daily Schedule'!$B$2,2)=7),IFERROR(1*'Daily Workforce'!$K121&gt;=3,FALSE()),IFERROR(1*'Daily Workforce'!$K121&gt;=2,FALSE())),IF(AND('Daily Schedule'!$A50&gt;=46,'Daily Schedule'!$A50&lt;=52),'Daily Workforce'!$M121="Y",IFERROR(1*'Daily Workforce'!$P121&gt;=2,FALSE()))))),1,0)</f>
        <v>0</v>
      </c>
      <c r="EC46" s="1" t="n">
        <f aca="false">IF(AND('Daily Workforce'!$N122="Y",'Daily Workforce'!$B122&lt;&gt;"",COUNTIF('Daily Schedule'!$F$5:$F49,'Daily Workforce'!$B122)=0,IF('Daily Schedule'!$A50=45,'Daily Workforce'!$J122="Y",IF(OR('Daily Schedule'!$A50=4,'Daily Schedule'!$A50=8),IF(OR(WEEKDAY('Daily Schedule'!$B$2,2)=1,WEEKDAY('Daily Schedule'!$B$2,2)=4,WEEKDAY('Daily Schedule'!$B$2,2)=5,WEEKDAY('Daily Schedule'!$B$2,2)=7),IFERROR(1*'Daily Workforce'!$K122&gt;=3,FALSE()),IFERROR(1*'Daily Workforce'!$K122&gt;=2,FALSE())),IF(AND('Daily Schedule'!$A50&gt;=46,'Daily Schedule'!$A50&lt;=52),'Daily Workforce'!$M122="Y",IFERROR(1*'Daily Workforce'!$P122&gt;=2,FALSE()))))),1,0)</f>
        <v>0</v>
      </c>
      <c r="ED46" s="1" t="n">
        <f aca="false">IF(AND('Daily Workforce'!$N123="Y",'Daily Workforce'!$B123&lt;&gt;"",COUNTIF('Daily Schedule'!$F$5:$F49,'Daily Workforce'!$B123)=0,IF('Daily Schedule'!$A50=45,'Daily Workforce'!$J123="Y",IF(OR('Daily Schedule'!$A50=4,'Daily Schedule'!$A50=8),IF(OR(WEEKDAY('Daily Schedule'!$B$2,2)=1,WEEKDAY('Daily Schedule'!$B$2,2)=4,WEEKDAY('Daily Schedule'!$B$2,2)=5,WEEKDAY('Daily Schedule'!$B$2,2)=7),IFERROR(1*'Daily Workforce'!$K123&gt;=3,FALSE()),IFERROR(1*'Daily Workforce'!$K123&gt;=2,FALSE())),IF(AND('Daily Schedule'!$A50&gt;=46,'Daily Schedule'!$A50&lt;=52),'Daily Workforce'!$M123="Y",IFERROR(1*'Daily Workforce'!$P123&gt;=2,FALSE()))))),1,0)</f>
        <v>0</v>
      </c>
      <c r="EE46" s="1" t="n">
        <f aca="false">IF(AND('Daily Workforce'!$N124="Y",'Daily Workforce'!$B124&lt;&gt;"",COUNTIF('Daily Schedule'!$F$5:$F49,'Daily Workforce'!$B124)=0,IF('Daily Schedule'!$A50=45,'Daily Workforce'!$J124="Y",IF(OR('Daily Schedule'!$A50=4,'Daily Schedule'!$A50=8),IF(OR(WEEKDAY('Daily Schedule'!$B$2,2)=1,WEEKDAY('Daily Schedule'!$B$2,2)=4,WEEKDAY('Daily Schedule'!$B$2,2)=5,WEEKDAY('Daily Schedule'!$B$2,2)=7),IFERROR(1*'Daily Workforce'!$K124&gt;=3,FALSE()),IFERROR(1*'Daily Workforce'!$K124&gt;=2,FALSE())),IF(AND('Daily Schedule'!$A50&gt;=46,'Daily Schedule'!$A50&lt;=52),'Daily Workforce'!$M124="Y",IFERROR(1*'Daily Workforce'!$P124&gt;=2,FALSE()))))),1,0)</f>
        <v>0</v>
      </c>
      <c r="EF46" s="1" t="n">
        <f aca="false">IF(AND('Daily Workforce'!$N125="Y",'Daily Workforce'!$B125&lt;&gt;"",COUNTIF('Daily Schedule'!$F$5:$F49,'Daily Workforce'!$B125)=0,IF('Daily Schedule'!$A50=45,'Daily Workforce'!$J125="Y",IF(OR('Daily Schedule'!$A50=4,'Daily Schedule'!$A50=8),IF(OR(WEEKDAY('Daily Schedule'!$B$2,2)=1,WEEKDAY('Daily Schedule'!$B$2,2)=4,WEEKDAY('Daily Schedule'!$B$2,2)=5,WEEKDAY('Daily Schedule'!$B$2,2)=7),IFERROR(1*'Daily Workforce'!$K125&gt;=3,FALSE()),IFERROR(1*'Daily Workforce'!$K125&gt;=2,FALSE())),IF(AND('Daily Schedule'!$A50&gt;=46,'Daily Schedule'!$A50&lt;=52),'Daily Workforce'!$M125="Y",IFERROR(1*'Daily Workforce'!$P125&gt;=2,FALSE()))))),1,0)</f>
        <v>0</v>
      </c>
      <c r="EG46" s="1" t="n">
        <f aca="false">IF(AND('Daily Workforce'!$N126="Y",'Daily Workforce'!$B126&lt;&gt;"",COUNTIF('Daily Schedule'!$F$5:$F49,'Daily Workforce'!$B126)=0,IF('Daily Schedule'!$A50=45,'Daily Workforce'!$J126="Y",IF(OR('Daily Schedule'!$A50=4,'Daily Schedule'!$A50=8),IF(OR(WEEKDAY('Daily Schedule'!$B$2,2)=1,WEEKDAY('Daily Schedule'!$B$2,2)=4,WEEKDAY('Daily Schedule'!$B$2,2)=5,WEEKDAY('Daily Schedule'!$B$2,2)=7),IFERROR(1*'Daily Workforce'!$K126&gt;=3,FALSE()),IFERROR(1*'Daily Workforce'!$K126&gt;=2,FALSE())),IF(AND('Daily Schedule'!$A50&gt;=46,'Daily Schedule'!$A50&lt;=52),'Daily Workforce'!$M126="Y",IFERROR(1*'Daily Workforce'!$P126&gt;=2,FALSE()))))),1,0)</f>
        <v>0</v>
      </c>
      <c r="EH46" s="1" t="n">
        <f aca="false">IF(AND('Daily Workforce'!$N127="Y",'Daily Workforce'!$B127&lt;&gt;"",COUNTIF('Daily Schedule'!$F$5:$F49,'Daily Workforce'!$B127)=0,IF('Daily Schedule'!$A50=45,'Daily Workforce'!$J127="Y",IF(OR('Daily Schedule'!$A50=4,'Daily Schedule'!$A50=8),IF(OR(WEEKDAY('Daily Schedule'!$B$2,2)=1,WEEKDAY('Daily Schedule'!$B$2,2)=4,WEEKDAY('Daily Schedule'!$B$2,2)=5,WEEKDAY('Daily Schedule'!$B$2,2)=7),IFERROR(1*'Daily Workforce'!$K127&gt;=3,FALSE()),IFERROR(1*'Daily Workforce'!$K127&gt;=2,FALSE())),IF(AND('Daily Schedule'!$A50&gt;=46,'Daily Schedule'!$A50&lt;=52),'Daily Workforce'!$M127="Y",IFERROR(1*'Daily Workforce'!$P127&gt;=2,FALSE()))))),1,0)</f>
        <v>0</v>
      </c>
      <c r="EI46" s="1" t="n">
        <f aca="false">IF(AND('Daily Workforce'!$N128="Y",'Daily Workforce'!$B128&lt;&gt;"",COUNTIF('Daily Schedule'!$F$5:$F49,'Daily Workforce'!$B128)=0,IF('Daily Schedule'!$A50=45,'Daily Workforce'!$J128="Y",IF(OR('Daily Schedule'!$A50=4,'Daily Schedule'!$A50=8),IF(OR(WEEKDAY('Daily Schedule'!$B$2,2)=1,WEEKDAY('Daily Schedule'!$B$2,2)=4,WEEKDAY('Daily Schedule'!$B$2,2)=5,WEEKDAY('Daily Schedule'!$B$2,2)=7),IFERROR(1*'Daily Workforce'!$K128&gt;=3,FALSE()),IFERROR(1*'Daily Workforce'!$K128&gt;=2,FALSE())),IF(AND('Daily Schedule'!$A50&gt;=46,'Daily Schedule'!$A50&lt;=52),'Daily Workforce'!$M128="Y",IFERROR(1*'Daily Workforce'!$P128&gt;=2,FALSE()))))),1,0)</f>
        <v>0</v>
      </c>
      <c r="EJ46" s="1" t="n">
        <f aca="false">IF(AND('Daily Workforce'!$N129="Y",'Daily Workforce'!$B129&lt;&gt;"",COUNTIF('Daily Schedule'!$F$5:$F49,'Daily Workforce'!$B129)=0,IF('Daily Schedule'!$A50=45,'Daily Workforce'!$J129="Y",IF(OR('Daily Schedule'!$A50=4,'Daily Schedule'!$A50=8),IF(OR(WEEKDAY('Daily Schedule'!$B$2,2)=1,WEEKDAY('Daily Schedule'!$B$2,2)=4,WEEKDAY('Daily Schedule'!$B$2,2)=5,WEEKDAY('Daily Schedule'!$B$2,2)=7),IFERROR(1*'Daily Workforce'!$K129&gt;=3,FALSE()),IFERROR(1*'Daily Workforce'!$K129&gt;=2,FALSE())),IF(AND('Daily Schedule'!$A50&gt;=46,'Daily Schedule'!$A50&lt;=52),'Daily Workforce'!$M129="Y",IFERROR(1*'Daily Workforce'!$P129&gt;=2,FALSE()))))),1,0)</f>
        <v>0</v>
      </c>
      <c r="EK46" s="1" t="n">
        <f aca="false">IF(AND('Daily Workforce'!$N130="Y",'Daily Workforce'!$B130&lt;&gt;"",COUNTIF('Daily Schedule'!$F$5:$F49,'Daily Workforce'!$B130)=0,IF('Daily Schedule'!$A50=45,'Daily Workforce'!$J130="Y",IF(OR('Daily Schedule'!$A50=4,'Daily Schedule'!$A50=8),IF(OR(WEEKDAY('Daily Schedule'!$B$2,2)=1,WEEKDAY('Daily Schedule'!$B$2,2)=4,WEEKDAY('Daily Schedule'!$B$2,2)=5,WEEKDAY('Daily Schedule'!$B$2,2)=7),IFERROR(1*'Daily Workforce'!$K130&gt;=3,FALSE()),IFERROR(1*'Daily Workforce'!$K130&gt;=2,FALSE())),IF(AND('Daily Schedule'!$A50&gt;=46,'Daily Schedule'!$A50&lt;=52),'Daily Workforce'!$M130="Y",IFERROR(1*'Daily Workforce'!$P130&gt;=2,FALSE()))))),1,0)</f>
        <v>0</v>
      </c>
      <c r="EL46" s="1" t="n">
        <f aca="false">IF(AND('Daily Workforce'!$N131="Y",'Daily Workforce'!$B131&lt;&gt;"",COUNTIF('Daily Schedule'!$F$5:$F49,'Daily Workforce'!$B131)=0,IF('Daily Schedule'!$A50=45,'Daily Workforce'!$J131="Y",IF(OR('Daily Schedule'!$A50=4,'Daily Schedule'!$A50=8),IF(OR(WEEKDAY('Daily Schedule'!$B$2,2)=1,WEEKDAY('Daily Schedule'!$B$2,2)=4,WEEKDAY('Daily Schedule'!$B$2,2)=5,WEEKDAY('Daily Schedule'!$B$2,2)=7),IFERROR(1*'Daily Workforce'!$K131&gt;=3,FALSE()),IFERROR(1*'Daily Workforce'!$K131&gt;=2,FALSE())),IF(AND('Daily Schedule'!$A50&gt;=46,'Daily Schedule'!$A50&lt;=52),'Daily Workforce'!$M131="Y",IFERROR(1*'Daily Workforce'!$P131&gt;=2,FALSE()))))),1,0)</f>
        <v>0</v>
      </c>
      <c r="EM46" s="1" t="n">
        <f aca="false">IF(AND('Daily Workforce'!$N132="Y",'Daily Workforce'!$B132&lt;&gt;"",COUNTIF('Daily Schedule'!$F$5:$F49,'Daily Workforce'!$B132)=0,IF('Daily Schedule'!$A50=45,'Daily Workforce'!$J132="Y",IF(OR('Daily Schedule'!$A50=4,'Daily Schedule'!$A50=8),IF(OR(WEEKDAY('Daily Schedule'!$B$2,2)=1,WEEKDAY('Daily Schedule'!$B$2,2)=4,WEEKDAY('Daily Schedule'!$B$2,2)=5,WEEKDAY('Daily Schedule'!$B$2,2)=7),IFERROR(1*'Daily Workforce'!$K132&gt;=3,FALSE()),IFERROR(1*'Daily Workforce'!$K132&gt;=2,FALSE())),IF(AND('Daily Schedule'!$A50&gt;=46,'Daily Schedule'!$A50&lt;=52),'Daily Workforce'!$M132="Y",IFERROR(1*'Daily Workforce'!$P132&gt;=2,FALSE()))))),1,0)</f>
        <v>0</v>
      </c>
      <c r="EN46" s="1" t="n">
        <f aca="false">IF(AND('Daily Workforce'!$N133="Y",'Daily Workforce'!$B133&lt;&gt;"",COUNTIF('Daily Schedule'!$F$5:$F49,'Daily Workforce'!$B133)=0,IF('Daily Schedule'!$A50=45,'Daily Workforce'!$J133="Y",IF(OR('Daily Schedule'!$A50=4,'Daily Schedule'!$A50=8),IF(OR(WEEKDAY('Daily Schedule'!$B$2,2)=1,WEEKDAY('Daily Schedule'!$B$2,2)=4,WEEKDAY('Daily Schedule'!$B$2,2)=5,WEEKDAY('Daily Schedule'!$B$2,2)=7),IFERROR(1*'Daily Workforce'!$K133&gt;=3,FALSE()),IFERROR(1*'Daily Workforce'!$K133&gt;=2,FALSE())),IF(AND('Daily Schedule'!$A50&gt;=46,'Daily Schedule'!$A50&lt;=52),'Daily Workforce'!$M133="Y",IFERROR(1*'Daily Workforce'!$P133&gt;=2,FALSE()))))),1,0)</f>
        <v>0</v>
      </c>
      <c r="EO46" s="1" t="n">
        <f aca="false">IF(AND('Daily Workforce'!$N134="Y",'Daily Workforce'!$B134&lt;&gt;"",COUNTIF('Daily Schedule'!$F$5:$F49,'Daily Workforce'!$B134)=0,IF('Daily Schedule'!$A50=45,'Daily Workforce'!$J134="Y",IF(OR('Daily Schedule'!$A50=4,'Daily Schedule'!$A50=8),IF(OR(WEEKDAY('Daily Schedule'!$B$2,2)=1,WEEKDAY('Daily Schedule'!$B$2,2)=4,WEEKDAY('Daily Schedule'!$B$2,2)=5,WEEKDAY('Daily Schedule'!$B$2,2)=7),IFERROR(1*'Daily Workforce'!$K134&gt;=3,FALSE()),IFERROR(1*'Daily Workforce'!$K134&gt;=2,FALSE())),IF(AND('Daily Schedule'!$A50&gt;=46,'Daily Schedule'!$A50&lt;=52),'Daily Workforce'!$M134="Y",IFERROR(1*'Daily Workforce'!$P134&gt;=2,FALSE()))))),1,0)</f>
        <v>0</v>
      </c>
      <c r="EP46" s="1" t="n">
        <f aca="false">IF(AND('Daily Workforce'!$N135="Y",'Daily Workforce'!$B135&lt;&gt;"",COUNTIF('Daily Schedule'!$F$5:$F49,'Daily Workforce'!$B135)=0,IF('Daily Schedule'!$A50=45,'Daily Workforce'!$J135="Y",IF(OR('Daily Schedule'!$A50=4,'Daily Schedule'!$A50=8),IF(OR(WEEKDAY('Daily Schedule'!$B$2,2)=1,WEEKDAY('Daily Schedule'!$B$2,2)=4,WEEKDAY('Daily Schedule'!$B$2,2)=5,WEEKDAY('Daily Schedule'!$B$2,2)=7),IFERROR(1*'Daily Workforce'!$K135&gt;=3,FALSE()),IFERROR(1*'Daily Workforce'!$K135&gt;=2,FALSE())),IF(AND('Daily Schedule'!$A50&gt;=46,'Daily Schedule'!$A50&lt;=52),'Daily Workforce'!$M135="Y",IFERROR(1*'Daily Workforce'!$P135&gt;=2,FALSE()))))),1,0)</f>
        <v>0</v>
      </c>
      <c r="EQ46" s="1" t="n">
        <f aca="false">IF(AND('Daily Workforce'!$N136="Y",'Daily Workforce'!$B136&lt;&gt;"",COUNTIF('Daily Schedule'!$F$5:$F49,'Daily Workforce'!$B136)=0,IF('Daily Schedule'!$A50=45,'Daily Workforce'!$J136="Y",IF(OR('Daily Schedule'!$A50=4,'Daily Schedule'!$A50=8),IF(OR(WEEKDAY('Daily Schedule'!$B$2,2)=1,WEEKDAY('Daily Schedule'!$B$2,2)=4,WEEKDAY('Daily Schedule'!$B$2,2)=5,WEEKDAY('Daily Schedule'!$B$2,2)=7),IFERROR(1*'Daily Workforce'!$K136&gt;=3,FALSE()),IFERROR(1*'Daily Workforce'!$K136&gt;=2,FALSE())),IF(AND('Daily Schedule'!$A50&gt;=46,'Daily Schedule'!$A50&lt;=52),'Daily Workforce'!$M136="Y",IFERROR(1*'Daily Workforce'!$P136&gt;=2,FALSE()))))),1,0)</f>
        <v>0</v>
      </c>
      <c r="ER46" s="1" t="n">
        <f aca="false">IF(AND('Daily Workforce'!$N137="Y",'Daily Workforce'!$B137&lt;&gt;"",COUNTIF('Daily Schedule'!$F$5:$F49,'Daily Workforce'!$B137)=0,IF('Daily Schedule'!$A50=45,'Daily Workforce'!$J137="Y",IF(OR('Daily Schedule'!$A50=4,'Daily Schedule'!$A50=8),IF(OR(WEEKDAY('Daily Schedule'!$B$2,2)=1,WEEKDAY('Daily Schedule'!$B$2,2)=4,WEEKDAY('Daily Schedule'!$B$2,2)=5,WEEKDAY('Daily Schedule'!$B$2,2)=7),IFERROR(1*'Daily Workforce'!$K137&gt;=3,FALSE()),IFERROR(1*'Daily Workforce'!$K137&gt;=2,FALSE())),IF(AND('Daily Schedule'!$A50&gt;=46,'Daily Schedule'!$A50&lt;=52),'Daily Workforce'!$M137="Y",IFERROR(1*'Daily Workforce'!$P137&gt;=2,FALSE()))))),1,0)</f>
        <v>0</v>
      </c>
      <c r="ES46" s="1" t="n">
        <f aca="false">IF(AND('Daily Workforce'!$N138="Y",'Daily Workforce'!$B138&lt;&gt;"",COUNTIF('Daily Schedule'!$F$5:$F49,'Daily Workforce'!$B138)=0,IF('Daily Schedule'!$A50=45,'Daily Workforce'!$J138="Y",IF(OR('Daily Schedule'!$A50=4,'Daily Schedule'!$A50=8),IF(OR(WEEKDAY('Daily Schedule'!$B$2,2)=1,WEEKDAY('Daily Schedule'!$B$2,2)=4,WEEKDAY('Daily Schedule'!$B$2,2)=5,WEEKDAY('Daily Schedule'!$B$2,2)=7),IFERROR(1*'Daily Workforce'!$K138&gt;=3,FALSE()),IFERROR(1*'Daily Workforce'!$K138&gt;=2,FALSE())),IF(AND('Daily Schedule'!$A50&gt;=46,'Daily Schedule'!$A50&lt;=52),'Daily Workforce'!$M138="Y",IFERROR(1*'Daily Workforce'!$P138&gt;=2,FALSE()))))),1,0)</f>
        <v>0</v>
      </c>
      <c r="ET46" s="1" t="n">
        <f aca="false">IF(AND('Daily Workforce'!$N139="Y",'Daily Workforce'!$B139&lt;&gt;"",COUNTIF('Daily Schedule'!$F$5:$F49,'Daily Workforce'!$B139)=0,IF('Daily Schedule'!$A50=45,'Daily Workforce'!$J139="Y",IF(OR('Daily Schedule'!$A50=4,'Daily Schedule'!$A50=8),IF(OR(WEEKDAY('Daily Schedule'!$B$2,2)=1,WEEKDAY('Daily Schedule'!$B$2,2)=4,WEEKDAY('Daily Schedule'!$B$2,2)=5,WEEKDAY('Daily Schedule'!$B$2,2)=7),IFERROR(1*'Daily Workforce'!$K139&gt;=3,FALSE()),IFERROR(1*'Daily Workforce'!$K139&gt;=2,FALSE())),IF(AND('Daily Schedule'!$A50&gt;=46,'Daily Schedule'!$A50&lt;=52),'Daily Workforce'!$M139="Y",IFERROR(1*'Daily Workforce'!$P139&gt;=2,FALSE()))))),1,0)</f>
        <v>0</v>
      </c>
      <c r="EU46" s="1" t="n">
        <f aca="false">IF(AND('Daily Workforce'!$N140="Y",'Daily Workforce'!$B140&lt;&gt;"",COUNTIF('Daily Schedule'!$F$5:$F49,'Daily Workforce'!$B140)=0,IF('Daily Schedule'!$A50=45,'Daily Workforce'!$J140="Y",IF(OR('Daily Schedule'!$A50=4,'Daily Schedule'!$A50=8),IF(OR(WEEKDAY('Daily Schedule'!$B$2,2)=1,WEEKDAY('Daily Schedule'!$B$2,2)=4,WEEKDAY('Daily Schedule'!$B$2,2)=5,WEEKDAY('Daily Schedule'!$B$2,2)=7),IFERROR(1*'Daily Workforce'!$K140&gt;=3,FALSE()),IFERROR(1*'Daily Workforce'!$K140&gt;=2,FALSE())),IF(AND('Daily Schedule'!$A50&gt;=46,'Daily Schedule'!$A50&lt;=52),'Daily Workforce'!$M140="Y",IFERROR(1*'Daily Workforce'!$P140&gt;=2,FALSE()))))),1,0)</f>
        <v>0</v>
      </c>
      <c r="EV46" s="1" t="n">
        <f aca="false">IF(AND('Daily Workforce'!$N141="Y",'Daily Workforce'!$B141&lt;&gt;"",COUNTIF('Daily Schedule'!$F$5:$F49,'Daily Workforce'!$B141)=0,IF('Daily Schedule'!$A50=45,'Daily Workforce'!$J141="Y",IF(OR('Daily Schedule'!$A50=4,'Daily Schedule'!$A50=8),IF(OR(WEEKDAY('Daily Schedule'!$B$2,2)=1,WEEKDAY('Daily Schedule'!$B$2,2)=4,WEEKDAY('Daily Schedule'!$B$2,2)=5,WEEKDAY('Daily Schedule'!$B$2,2)=7),IFERROR(1*'Daily Workforce'!$K141&gt;=3,FALSE()),IFERROR(1*'Daily Workforce'!$K141&gt;=2,FALSE())),IF(AND('Daily Schedule'!$A50&gt;=46,'Daily Schedule'!$A50&lt;=52),'Daily Workforce'!$M141="Y",IFERROR(1*'Daily Workforce'!$P141&gt;=2,FALSE()))))),1,0)</f>
        <v>0</v>
      </c>
      <c r="EW46" s="1" t="n">
        <f aca="false">IF(AND('Daily Workforce'!$N142="Y",'Daily Workforce'!$B142&lt;&gt;"",COUNTIF('Daily Schedule'!$F$5:$F49,'Daily Workforce'!$B142)=0,IF('Daily Schedule'!$A50=45,'Daily Workforce'!$J142="Y",IF(OR('Daily Schedule'!$A50=4,'Daily Schedule'!$A50=8),IF(OR(WEEKDAY('Daily Schedule'!$B$2,2)=1,WEEKDAY('Daily Schedule'!$B$2,2)=4,WEEKDAY('Daily Schedule'!$B$2,2)=5,WEEKDAY('Daily Schedule'!$B$2,2)=7),IFERROR(1*'Daily Workforce'!$K142&gt;=3,FALSE()),IFERROR(1*'Daily Workforce'!$K142&gt;=2,FALSE())),IF(AND('Daily Schedule'!$A50&gt;=46,'Daily Schedule'!$A50&lt;=52),'Daily Workforce'!$M142="Y",IFERROR(1*'Daily Workforce'!$P142&gt;=2,FALSE()))))),1,0)</f>
        <v>0</v>
      </c>
      <c r="EX46" s="1" t="n">
        <f aca="false">IF(AND('Daily Workforce'!$N143="Y",'Daily Workforce'!$B143&lt;&gt;"",COUNTIF('Daily Schedule'!$F$5:$F49,'Daily Workforce'!$B143)=0,IF('Daily Schedule'!$A50=45,'Daily Workforce'!$J143="Y",IF(OR('Daily Schedule'!$A50=4,'Daily Schedule'!$A50=8),IF(OR(WEEKDAY('Daily Schedule'!$B$2,2)=1,WEEKDAY('Daily Schedule'!$B$2,2)=4,WEEKDAY('Daily Schedule'!$B$2,2)=5,WEEKDAY('Daily Schedule'!$B$2,2)=7),IFERROR(1*'Daily Workforce'!$K143&gt;=3,FALSE()),IFERROR(1*'Daily Workforce'!$K143&gt;=2,FALSE())),IF(AND('Daily Schedule'!$A50&gt;=46,'Daily Schedule'!$A50&lt;=52),'Daily Workforce'!$M143="Y",IFERROR(1*'Daily Workforce'!$P143&gt;=2,FALSE()))))),1,0)</f>
        <v>0</v>
      </c>
      <c r="EY46" s="1" t="n">
        <f aca="false">IF(AND('Daily Workforce'!$N144="Y",'Daily Workforce'!$B144&lt;&gt;"",COUNTIF('Daily Schedule'!$F$5:$F49,'Daily Workforce'!$B144)=0,IF('Daily Schedule'!$A50=45,'Daily Workforce'!$J144="Y",IF(OR('Daily Schedule'!$A50=4,'Daily Schedule'!$A50=8),IF(OR(WEEKDAY('Daily Schedule'!$B$2,2)=1,WEEKDAY('Daily Schedule'!$B$2,2)=4,WEEKDAY('Daily Schedule'!$B$2,2)=5,WEEKDAY('Daily Schedule'!$B$2,2)=7),IFERROR(1*'Daily Workforce'!$K144&gt;=3,FALSE()),IFERROR(1*'Daily Workforce'!$K144&gt;=2,FALSE())),IF(AND('Daily Schedule'!$A50&gt;=46,'Daily Schedule'!$A50&lt;=52),'Daily Workforce'!$M144="Y",IFERROR(1*'Daily Workforce'!$P144&gt;=2,FALSE()))))),1,0)</f>
        <v>0</v>
      </c>
      <c r="EZ46" s="1" t="n">
        <f aca="false">IF(AND('Daily Workforce'!$N145="Y",'Daily Workforce'!$B145&lt;&gt;"",COUNTIF('Daily Schedule'!$F$5:$F49,'Daily Workforce'!$B145)=0,IF('Daily Schedule'!$A50=45,'Daily Workforce'!$J145="Y",IF(OR('Daily Schedule'!$A50=4,'Daily Schedule'!$A50=8),IF(OR(WEEKDAY('Daily Schedule'!$B$2,2)=1,WEEKDAY('Daily Schedule'!$B$2,2)=4,WEEKDAY('Daily Schedule'!$B$2,2)=5,WEEKDAY('Daily Schedule'!$B$2,2)=7),IFERROR(1*'Daily Workforce'!$K145&gt;=3,FALSE()),IFERROR(1*'Daily Workforce'!$K145&gt;=2,FALSE())),IF(AND('Daily Schedule'!$A50&gt;=46,'Daily Schedule'!$A50&lt;=52),'Daily Workforce'!$M145="Y",IFERROR(1*'Daily Workforce'!$P145&gt;=2,FALSE()))))),1,0)</f>
        <v>0</v>
      </c>
      <c r="FA46" s="1" t="n">
        <f aca="false">IF(AND('Daily Workforce'!$N146="Y",'Daily Workforce'!$B146&lt;&gt;"",COUNTIF('Daily Schedule'!$F$5:$F49,'Daily Workforce'!$B146)=0,IF('Daily Schedule'!$A50=45,'Daily Workforce'!$J146="Y",IF(OR('Daily Schedule'!$A50=4,'Daily Schedule'!$A50=8),IF(OR(WEEKDAY('Daily Schedule'!$B$2,2)=1,WEEKDAY('Daily Schedule'!$B$2,2)=4,WEEKDAY('Daily Schedule'!$B$2,2)=5,WEEKDAY('Daily Schedule'!$B$2,2)=7),IFERROR(1*'Daily Workforce'!$K146&gt;=3,FALSE()),IFERROR(1*'Daily Workforce'!$K146&gt;=2,FALSE())),IF(AND('Daily Schedule'!$A50&gt;=46,'Daily Schedule'!$A50&lt;=52),'Daily Workforce'!$M146="Y",IFERROR(1*'Daily Workforce'!$P146&gt;=2,FALSE()))))),1,0)</f>
        <v>0</v>
      </c>
      <c r="FB46" s="1" t="n">
        <f aca="false">IF(AND('Daily Workforce'!$N147="Y",'Daily Workforce'!$B147&lt;&gt;"",COUNTIF('Daily Schedule'!$F$5:$F49,'Daily Workforce'!$B147)=0,IF('Daily Schedule'!$A50=45,'Daily Workforce'!$J147="Y",IF(OR('Daily Schedule'!$A50=4,'Daily Schedule'!$A50=8),IF(OR(WEEKDAY('Daily Schedule'!$B$2,2)=1,WEEKDAY('Daily Schedule'!$B$2,2)=4,WEEKDAY('Daily Schedule'!$B$2,2)=5,WEEKDAY('Daily Schedule'!$B$2,2)=7),IFERROR(1*'Daily Workforce'!$K147&gt;=3,FALSE()),IFERROR(1*'Daily Workforce'!$K147&gt;=2,FALSE())),IF(AND('Daily Schedule'!$A50&gt;=46,'Daily Schedule'!$A50&lt;=52),'Daily Workforce'!$M147="Y",IFERROR(1*'Daily Workforce'!$P147&gt;=2,FALSE()))))),1,0)</f>
        <v>0</v>
      </c>
      <c r="FC46" s="1" t="n">
        <f aca="false">IF(AND('Daily Workforce'!$N148="Y",'Daily Workforce'!$B148&lt;&gt;"",COUNTIF('Daily Schedule'!$F$5:$F49,'Daily Workforce'!$B148)=0,IF('Daily Schedule'!$A50=45,'Daily Workforce'!$J148="Y",IF(OR('Daily Schedule'!$A50=4,'Daily Schedule'!$A50=8),IF(OR(WEEKDAY('Daily Schedule'!$B$2,2)=1,WEEKDAY('Daily Schedule'!$B$2,2)=4,WEEKDAY('Daily Schedule'!$B$2,2)=5,WEEKDAY('Daily Schedule'!$B$2,2)=7),IFERROR(1*'Daily Workforce'!$K148&gt;=3,FALSE()),IFERROR(1*'Daily Workforce'!$K148&gt;=2,FALSE())),IF(AND('Daily Schedule'!$A50&gt;=46,'Daily Schedule'!$A50&lt;=52),'Daily Workforce'!$M148="Y",IFERROR(1*'Daily Workforce'!$P148&gt;=2,FALSE()))))),1,0)</f>
        <v>0</v>
      </c>
      <c r="FD46" s="1" t="n">
        <f aca="false">IF(AND('Daily Workforce'!$N149="Y",'Daily Workforce'!$B149&lt;&gt;"",COUNTIF('Daily Schedule'!$F$5:$F49,'Daily Workforce'!$B149)=0,IF('Daily Schedule'!$A50=45,'Daily Workforce'!$J149="Y",IF(OR('Daily Schedule'!$A50=4,'Daily Schedule'!$A50=8),IF(OR(WEEKDAY('Daily Schedule'!$B$2,2)=1,WEEKDAY('Daily Schedule'!$B$2,2)=4,WEEKDAY('Daily Schedule'!$B$2,2)=5,WEEKDAY('Daily Schedule'!$B$2,2)=7),IFERROR(1*'Daily Workforce'!$K149&gt;=3,FALSE()),IFERROR(1*'Daily Workforce'!$K149&gt;=2,FALSE())),IF(AND('Daily Schedule'!$A50&gt;=46,'Daily Schedule'!$A50&lt;=52),'Daily Workforce'!$M149="Y",IFERROR(1*'Daily Workforce'!$P149&gt;=2,FALSE()))))),1,0)</f>
        <v>0</v>
      </c>
      <c r="FE46" s="1" t="n">
        <f aca="false">IF(AND('Daily Workforce'!$N150="Y",'Daily Workforce'!$B150&lt;&gt;"",COUNTIF('Daily Schedule'!$F$5:$F49,'Daily Workforce'!$B150)=0,IF('Daily Schedule'!$A50=45,'Daily Workforce'!$J150="Y",IF(OR('Daily Schedule'!$A50=4,'Daily Schedule'!$A50=8),IF(OR(WEEKDAY('Daily Schedule'!$B$2,2)=1,WEEKDAY('Daily Schedule'!$B$2,2)=4,WEEKDAY('Daily Schedule'!$B$2,2)=5,WEEKDAY('Daily Schedule'!$B$2,2)=7),IFERROR(1*'Daily Workforce'!$K150&gt;=3,FALSE()),IFERROR(1*'Daily Workforce'!$K150&gt;=2,FALSE())),IF(AND('Daily Schedule'!$A50&gt;=46,'Daily Schedule'!$A50&lt;=52),'Daily Workforce'!$M150="Y",IFERROR(1*'Daily Workforce'!$P150&gt;=2,FALSE()))))),1,0)</f>
        <v>0</v>
      </c>
      <c r="FF46" s="1" t="n">
        <f aca="false">IF(AND('Daily Workforce'!$N151="Y",'Daily Workforce'!$B151&lt;&gt;"",COUNTIF('Daily Schedule'!$F$5:$F49,'Daily Workforce'!$B151)=0,IF('Daily Schedule'!$A50=45,'Daily Workforce'!$J151="Y",IF(OR('Daily Schedule'!$A50=4,'Daily Schedule'!$A50=8),IF(OR(WEEKDAY('Daily Schedule'!$B$2,2)=1,WEEKDAY('Daily Schedule'!$B$2,2)=4,WEEKDAY('Daily Schedule'!$B$2,2)=5,WEEKDAY('Daily Schedule'!$B$2,2)=7),IFERROR(1*'Daily Workforce'!$K151&gt;=3,FALSE()),IFERROR(1*'Daily Workforce'!$K151&gt;=2,FALSE())),IF(AND('Daily Schedule'!$A50&gt;=46,'Daily Schedule'!$A50&lt;=52),'Daily Workforce'!$M151="Y",IFERROR(1*'Daily Workforce'!$P151&gt;=2,FALSE()))))),1,0)</f>
        <v>0</v>
      </c>
      <c r="FG46" s="1" t="n">
        <f aca="false">IF(AND('Daily Workforce'!$N152="Y",'Daily Workforce'!$B152&lt;&gt;"",COUNTIF('Daily Schedule'!$F$5:$F49,'Daily Workforce'!$B152)=0,IF('Daily Schedule'!$A50=45,'Daily Workforce'!$J152="Y",IF(OR('Daily Schedule'!$A50=4,'Daily Schedule'!$A50=8),IF(OR(WEEKDAY('Daily Schedule'!$B$2,2)=1,WEEKDAY('Daily Schedule'!$B$2,2)=4,WEEKDAY('Daily Schedule'!$B$2,2)=5,WEEKDAY('Daily Schedule'!$B$2,2)=7),IFERROR(1*'Daily Workforce'!$K152&gt;=3,FALSE()),IFERROR(1*'Daily Workforce'!$K152&gt;=2,FALSE())),IF(AND('Daily Schedule'!$A50&gt;=46,'Daily Schedule'!$A50&lt;=52),'Daily Workforce'!$M152="Y",IFERROR(1*'Daily Workforce'!$P152&gt;=2,FALSE()))))),1,0)</f>
        <v>0</v>
      </c>
      <c r="FH46" s="1" t="n">
        <f aca="false">IF(AND('Daily Workforce'!$N153="Y",'Daily Workforce'!$B153&lt;&gt;"",COUNTIF('Daily Schedule'!$F$5:$F49,'Daily Workforce'!$B153)=0,IF('Daily Schedule'!$A50=45,'Daily Workforce'!$J153="Y",IF(OR('Daily Schedule'!$A50=4,'Daily Schedule'!$A50=8),IF(OR(WEEKDAY('Daily Schedule'!$B$2,2)=1,WEEKDAY('Daily Schedule'!$B$2,2)=4,WEEKDAY('Daily Schedule'!$B$2,2)=5,WEEKDAY('Daily Schedule'!$B$2,2)=7),IFERROR(1*'Daily Workforce'!$K153&gt;=3,FALSE()),IFERROR(1*'Daily Workforce'!$K153&gt;=2,FALSE())),IF(AND('Daily Schedule'!$A50&gt;=46,'Daily Schedule'!$A50&lt;=52),'Daily Workforce'!$M153="Y",IFERROR(1*'Daily Workforce'!$P153&gt;=2,FALSE()))))),1,0)</f>
        <v>0</v>
      </c>
      <c r="FI46" s="1" t="n">
        <f aca="false">IF(AND('Daily Workforce'!$N154="Y",'Daily Workforce'!$B154&lt;&gt;"",COUNTIF('Daily Schedule'!$F$5:$F49,'Daily Workforce'!$B154)=0,IF('Daily Schedule'!$A50=45,'Daily Workforce'!$J154="Y",IF(OR('Daily Schedule'!$A50=4,'Daily Schedule'!$A50=8),IF(OR(WEEKDAY('Daily Schedule'!$B$2,2)=1,WEEKDAY('Daily Schedule'!$B$2,2)=4,WEEKDAY('Daily Schedule'!$B$2,2)=5,WEEKDAY('Daily Schedule'!$B$2,2)=7),IFERROR(1*'Daily Workforce'!$K154&gt;=3,FALSE()),IFERROR(1*'Daily Workforce'!$K154&gt;=2,FALSE())),IF(AND('Daily Schedule'!$A50&gt;=46,'Daily Schedule'!$A50&lt;=52),'Daily Workforce'!$M154="Y",IFERROR(1*'Daily Workforce'!$P154&gt;=2,FALSE()))))),1,0)</f>
        <v>0</v>
      </c>
      <c r="FJ46" s="1" t="n">
        <f aca="false">IF(AND('Daily Workforce'!$N155="Y",'Daily Workforce'!$B155&lt;&gt;"",COUNTIF('Daily Schedule'!$F$5:$F49,'Daily Workforce'!$B155)=0,IF('Daily Schedule'!$A50=45,'Daily Workforce'!$J155="Y",IF(OR('Daily Schedule'!$A50=4,'Daily Schedule'!$A50=8),IF(OR(WEEKDAY('Daily Schedule'!$B$2,2)=1,WEEKDAY('Daily Schedule'!$B$2,2)=4,WEEKDAY('Daily Schedule'!$B$2,2)=5,WEEKDAY('Daily Schedule'!$B$2,2)=7),IFERROR(1*'Daily Workforce'!$K155&gt;=3,FALSE()),IFERROR(1*'Daily Workforce'!$K155&gt;=2,FALSE())),IF(AND('Daily Schedule'!$A50&gt;=46,'Daily Schedule'!$A50&lt;=52),'Daily Workforce'!$M155="Y",IFERROR(1*'Daily Workforce'!$P155&gt;=2,FALSE()))))),1,0)</f>
        <v>0</v>
      </c>
      <c r="FK46" s="1" t="n">
        <f aca="false">IF(AND('Daily Workforce'!$N156="Y",'Daily Workforce'!$B156&lt;&gt;"",COUNTIF('Daily Schedule'!$F$5:$F49,'Daily Workforce'!$B156)=0,IF('Daily Schedule'!$A50=45,'Daily Workforce'!$J156="Y",IF(OR('Daily Schedule'!$A50=4,'Daily Schedule'!$A50=8),IF(OR(WEEKDAY('Daily Schedule'!$B$2,2)=1,WEEKDAY('Daily Schedule'!$B$2,2)=4,WEEKDAY('Daily Schedule'!$B$2,2)=5,WEEKDAY('Daily Schedule'!$B$2,2)=7),IFERROR(1*'Daily Workforce'!$K156&gt;=3,FALSE()),IFERROR(1*'Daily Workforce'!$K156&gt;=2,FALSE())),IF(AND('Daily Schedule'!$A50&gt;=46,'Daily Schedule'!$A50&lt;=52),'Daily Workforce'!$M156="Y",IFERROR(1*'Daily Workforce'!$P156&gt;=2,FALSE()))))),1,0)</f>
        <v>0</v>
      </c>
      <c r="FL46" s="1" t="n">
        <f aca="false">IF(AND('Daily Workforce'!$N157="Y",'Daily Workforce'!$B157&lt;&gt;"",COUNTIF('Daily Schedule'!$F$5:$F49,'Daily Workforce'!$B157)=0,IF('Daily Schedule'!$A50=45,'Daily Workforce'!$J157="Y",IF(OR('Daily Schedule'!$A50=4,'Daily Schedule'!$A50=8),IF(OR(WEEKDAY('Daily Schedule'!$B$2,2)=1,WEEKDAY('Daily Schedule'!$B$2,2)=4,WEEKDAY('Daily Schedule'!$B$2,2)=5,WEEKDAY('Daily Schedule'!$B$2,2)=7),IFERROR(1*'Daily Workforce'!$K157&gt;=3,FALSE()),IFERROR(1*'Daily Workforce'!$K157&gt;=2,FALSE())),IF(AND('Daily Schedule'!$A50&gt;=46,'Daily Schedule'!$A50&lt;=52),'Daily Workforce'!$M157="Y",IFERROR(1*'Daily Workforce'!$P157&gt;=2,FALSE()))))),1,0)</f>
        <v>0</v>
      </c>
      <c r="FM46" s="1" t="n">
        <f aca="false">IF(AND('Daily Workforce'!$N158="Y",'Daily Workforce'!$B158&lt;&gt;"",COUNTIF('Daily Schedule'!$F$5:$F49,'Daily Workforce'!$B158)=0,IF('Daily Schedule'!$A50=45,'Daily Workforce'!$J158="Y",IF(OR('Daily Schedule'!$A50=4,'Daily Schedule'!$A50=8),IF(OR(WEEKDAY('Daily Schedule'!$B$2,2)=1,WEEKDAY('Daily Schedule'!$B$2,2)=4,WEEKDAY('Daily Schedule'!$B$2,2)=5,WEEKDAY('Daily Schedule'!$B$2,2)=7),IFERROR(1*'Daily Workforce'!$K158&gt;=3,FALSE()),IFERROR(1*'Daily Workforce'!$K158&gt;=2,FALSE())),IF(AND('Daily Schedule'!$A50&gt;=46,'Daily Schedule'!$A50&lt;=52),'Daily Workforce'!$M158="Y",IFERROR(1*'Daily Workforce'!$P158&gt;=2,FALSE()))))),1,0)</f>
        <v>0</v>
      </c>
      <c r="FN46" s="1" t="n">
        <f aca="false">IF(AND('Daily Workforce'!$N159="Y",'Daily Workforce'!$B159&lt;&gt;"",COUNTIF('Daily Schedule'!$F$5:$F49,'Daily Workforce'!$B159)=0,IF('Daily Schedule'!$A50=45,'Daily Workforce'!$J159="Y",IF(OR('Daily Schedule'!$A50=4,'Daily Schedule'!$A50=8),IF(OR(WEEKDAY('Daily Schedule'!$B$2,2)=1,WEEKDAY('Daily Schedule'!$B$2,2)=4,WEEKDAY('Daily Schedule'!$B$2,2)=5,WEEKDAY('Daily Schedule'!$B$2,2)=7),IFERROR(1*'Daily Workforce'!$K159&gt;=3,FALSE()),IFERROR(1*'Daily Workforce'!$K159&gt;=2,FALSE())),IF(AND('Daily Schedule'!$A50&gt;=46,'Daily Schedule'!$A50&lt;=52),'Daily Workforce'!$M159="Y",IFERROR(1*'Daily Workforce'!$P159&gt;=2,FALSE()))))),1,0)</f>
        <v>0</v>
      </c>
      <c r="FO46" s="1" t="n">
        <f aca="false">IF(AND('Daily Workforce'!$N160="Y",'Daily Workforce'!$B160&lt;&gt;"",COUNTIF('Daily Schedule'!$F$5:$F49,'Daily Workforce'!$B160)=0,IF('Daily Schedule'!$A50=45,'Daily Workforce'!$J160="Y",IF(OR('Daily Schedule'!$A50=4,'Daily Schedule'!$A50=8),IF(OR(WEEKDAY('Daily Schedule'!$B$2,2)=1,WEEKDAY('Daily Schedule'!$B$2,2)=4,WEEKDAY('Daily Schedule'!$B$2,2)=5,WEEKDAY('Daily Schedule'!$B$2,2)=7),IFERROR(1*'Daily Workforce'!$K160&gt;=3,FALSE()),IFERROR(1*'Daily Workforce'!$K160&gt;=2,FALSE())),IF(AND('Daily Schedule'!$A50&gt;=46,'Daily Schedule'!$A50&lt;=52),'Daily Workforce'!$M160="Y",IFERROR(1*'Daily Workforce'!$P160&gt;=2,FALSE()))))),1,0)</f>
        <v>0</v>
      </c>
      <c r="FP46" s="1" t="n">
        <f aca="false">IF(AND('Daily Workforce'!$N161="Y",'Daily Workforce'!$B161&lt;&gt;"",COUNTIF('Daily Schedule'!$F$5:$F49,'Daily Workforce'!$B161)=0,IF('Daily Schedule'!$A50=45,'Daily Workforce'!$J161="Y",IF(OR('Daily Schedule'!$A50=4,'Daily Schedule'!$A50=8),IF(OR(WEEKDAY('Daily Schedule'!$B$2,2)=1,WEEKDAY('Daily Schedule'!$B$2,2)=4,WEEKDAY('Daily Schedule'!$B$2,2)=5,WEEKDAY('Daily Schedule'!$B$2,2)=7),IFERROR(1*'Daily Workforce'!$K161&gt;=3,FALSE()),IFERROR(1*'Daily Workforce'!$K161&gt;=2,FALSE())),IF(AND('Daily Schedule'!$A50&gt;=46,'Daily Schedule'!$A50&lt;=52),'Daily Workforce'!$M161="Y",IFERROR(1*'Daily Workforce'!$P161&gt;=2,FALSE()))))),1,0)</f>
        <v>0</v>
      </c>
      <c r="FQ46" s="1" t="n">
        <f aca="false">IF(AND('Daily Workforce'!$N162="Y",'Daily Workforce'!$B162&lt;&gt;"",COUNTIF('Daily Schedule'!$F$5:$F49,'Daily Workforce'!$B162)=0,IF('Daily Schedule'!$A50=45,'Daily Workforce'!$J162="Y",IF(OR('Daily Schedule'!$A50=4,'Daily Schedule'!$A50=8),IF(OR(WEEKDAY('Daily Schedule'!$B$2,2)=1,WEEKDAY('Daily Schedule'!$B$2,2)=4,WEEKDAY('Daily Schedule'!$B$2,2)=5,WEEKDAY('Daily Schedule'!$B$2,2)=7),IFERROR(1*'Daily Workforce'!$K162&gt;=3,FALSE()),IFERROR(1*'Daily Workforce'!$K162&gt;=2,FALSE())),IF(AND('Daily Schedule'!$A50&gt;=46,'Daily Schedule'!$A50&lt;=52),'Daily Workforce'!$M162="Y",IFERROR(1*'Daily Workforce'!$P162&gt;=2,FALSE()))))),1,0)</f>
        <v>0</v>
      </c>
      <c r="FR46" s="1" t="n">
        <f aca="false">IF(AND('Daily Workforce'!$N163="Y",'Daily Workforce'!$B163&lt;&gt;"",COUNTIF('Daily Schedule'!$F$5:$F49,'Daily Workforce'!$B163)=0,IF('Daily Schedule'!$A50=45,'Daily Workforce'!$J163="Y",IF(OR('Daily Schedule'!$A50=4,'Daily Schedule'!$A50=8),IF(OR(WEEKDAY('Daily Schedule'!$B$2,2)=1,WEEKDAY('Daily Schedule'!$B$2,2)=4,WEEKDAY('Daily Schedule'!$B$2,2)=5,WEEKDAY('Daily Schedule'!$B$2,2)=7),IFERROR(1*'Daily Workforce'!$K163&gt;=3,FALSE()),IFERROR(1*'Daily Workforce'!$K163&gt;=2,FALSE())),IF(AND('Daily Schedule'!$A50&gt;=46,'Daily Schedule'!$A50&lt;=52),'Daily Workforce'!$M163="Y",IFERROR(1*'Daily Workforce'!$P163&gt;=2,FALSE()))))),1,0)</f>
        <v>0</v>
      </c>
      <c r="FS46" s="1" t="n">
        <f aca="false">IF(AND('Daily Workforce'!$N164="Y",'Daily Workforce'!$B164&lt;&gt;"",COUNTIF('Daily Schedule'!$F$5:$F49,'Daily Workforce'!$B164)=0,IF('Daily Schedule'!$A50=45,'Daily Workforce'!$J164="Y",IF(OR('Daily Schedule'!$A50=4,'Daily Schedule'!$A50=8),IF(OR(WEEKDAY('Daily Schedule'!$B$2,2)=1,WEEKDAY('Daily Schedule'!$B$2,2)=4,WEEKDAY('Daily Schedule'!$B$2,2)=5,WEEKDAY('Daily Schedule'!$B$2,2)=7),IFERROR(1*'Daily Workforce'!$K164&gt;=3,FALSE()),IFERROR(1*'Daily Workforce'!$K164&gt;=2,FALSE())),IF(AND('Daily Schedule'!$A50&gt;=46,'Daily Schedule'!$A50&lt;=52),'Daily Workforce'!$M164="Y",IFERROR(1*'Daily Workforce'!$P164&gt;=2,FALSE()))))),1,0)</f>
        <v>0</v>
      </c>
      <c r="FT46" s="1" t="n">
        <f aca="false">IF(AND('Daily Workforce'!$N165="Y",'Daily Workforce'!$B165&lt;&gt;"",COUNTIF('Daily Schedule'!$F$5:$F49,'Daily Workforce'!$B165)=0,IF('Daily Schedule'!$A50=45,'Daily Workforce'!$J165="Y",IF(OR('Daily Schedule'!$A50=4,'Daily Schedule'!$A50=8),IF(OR(WEEKDAY('Daily Schedule'!$B$2,2)=1,WEEKDAY('Daily Schedule'!$B$2,2)=4,WEEKDAY('Daily Schedule'!$B$2,2)=5,WEEKDAY('Daily Schedule'!$B$2,2)=7),IFERROR(1*'Daily Workforce'!$K165&gt;=3,FALSE()),IFERROR(1*'Daily Workforce'!$K165&gt;=2,FALSE())),IF(AND('Daily Schedule'!$A50&gt;=46,'Daily Schedule'!$A50&lt;=52),'Daily Workforce'!$M165="Y",IFERROR(1*'Daily Workforce'!$P165&gt;=2,FALSE()))))),1,0)</f>
        <v>0</v>
      </c>
      <c r="FU46" s="1" t="n">
        <f aca="false">IF(AND('Daily Workforce'!$N166="Y",'Daily Workforce'!$B166&lt;&gt;"",COUNTIF('Daily Schedule'!$F$5:$F49,'Daily Workforce'!$B166)=0,IF('Daily Schedule'!$A50=45,'Daily Workforce'!$J166="Y",IF(OR('Daily Schedule'!$A50=4,'Daily Schedule'!$A50=8),IF(OR(WEEKDAY('Daily Schedule'!$B$2,2)=1,WEEKDAY('Daily Schedule'!$B$2,2)=4,WEEKDAY('Daily Schedule'!$B$2,2)=5,WEEKDAY('Daily Schedule'!$B$2,2)=7),IFERROR(1*'Daily Workforce'!$K166&gt;=3,FALSE()),IFERROR(1*'Daily Workforce'!$K166&gt;=2,FALSE())),IF(AND('Daily Schedule'!$A50&gt;=46,'Daily Schedule'!$A50&lt;=52),'Daily Workforce'!$M166="Y",IFERROR(1*'Daily Workforce'!$P166&gt;=2,FALSE()))))),1,0)</f>
        <v>0</v>
      </c>
      <c r="FV46" s="1" t="n">
        <f aca="false">IF(AND('Daily Workforce'!$N167="Y",'Daily Workforce'!$B167&lt;&gt;"",COUNTIF('Daily Schedule'!$F$5:$F49,'Daily Workforce'!$B167)=0,IF('Daily Schedule'!$A50=45,'Daily Workforce'!$J167="Y",IF(OR('Daily Schedule'!$A50=4,'Daily Schedule'!$A50=8),IF(OR(WEEKDAY('Daily Schedule'!$B$2,2)=1,WEEKDAY('Daily Schedule'!$B$2,2)=4,WEEKDAY('Daily Schedule'!$B$2,2)=5,WEEKDAY('Daily Schedule'!$B$2,2)=7),IFERROR(1*'Daily Workforce'!$K167&gt;=3,FALSE()),IFERROR(1*'Daily Workforce'!$K167&gt;=2,FALSE())),IF(AND('Daily Schedule'!$A50&gt;=46,'Daily Schedule'!$A50&lt;=52),'Daily Workforce'!$M167="Y",IFERROR(1*'Daily Workforce'!$P167&gt;=2,FALSE()))))),1,0)</f>
        <v>0</v>
      </c>
      <c r="FW46" s="1" t="n">
        <f aca="false">IF(AND('Daily Workforce'!$N168="Y",'Daily Workforce'!$B168&lt;&gt;"",COUNTIF('Daily Schedule'!$F$5:$F49,'Daily Workforce'!$B168)=0,IF('Daily Schedule'!$A50=45,'Daily Workforce'!$J168="Y",IF(OR('Daily Schedule'!$A50=4,'Daily Schedule'!$A50=8),IF(OR(WEEKDAY('Daily Schedule'!$B$2,2)=1,WEEKDAY('Daily Schedule'!$B$2,2)=4,WEEKDAY('Daily Schedule'!$B$2,2)=5,WEEKDAY('Daily Schedule'!$B$2,2)=7),IFERROR(1*'Daily Workforce'!$K168&gt;=3,FALSE()),IFERROR(1*'Daily Workforce'!$K168&gt;=2,FALSE())),IF(AND('Daily Schedule'!$A50&gt;=46,'Daily Schedule'!$A50&lt;=52),'Daily Workforce'!$M168="Y",IFERROR(1*'Daily Workforce'!$P168&gt;=2,FALSE()))))),1,0)</f>
        <v>0</v>
      </c>
      <c r="FX46" s="1" t="n">
        <f aca="false">IF(AND('Daily Workforce'!$N169="Y",'Daily Workforce'!$B169&lt;&gt;"",COUNTIF('Daily Schedule'!$F$5:$F49,'Daily Workforce'!$B169)=0,IF('Daily Schedule'!$A50=45,'Daily Workforce'!$J169="Y",IF(OR('Daily Schedule'!$A50=4,'Daily Schedule'!$A50=8),IF(OR(WEEKDAY('Daily Schedule'!$B$2,2)=1,WEEKDAY('Daily Schedule'!$B$2,2)=4,WEEKDAY('Daily Schedule'!$B$2,2)=5,WEEKDAY('Daily Schedule'!$B$2,2)=7),IFERROR(1*'Daily Workforce'!$K169&gt;=3,FALSE()),IFERROR(1*'Daily Workforce'!$K169&gt;=2,FALSE())),IF(AND('Daily Schedule'!$A50&gt;=46,'Daily Schedule'!$A50&lt;=52),'Daily Workforce'!$M169="Y",IFERROR(1*'Daily Workforce'!$P169&gt;=2,FALSE()))))),1,0)</f>
        <v>0</v>
      </c>
      <c r="FY46" s="1" t="n">
        <f aca="false">IF(AND('Daily Workforce'!$N170="Y",'Daily Workforce'!$B170&lt;&gt;"",COUNTIF('Daily Schedule'!$F$5:$F49,'Daily Workforce'!$B170)=0,IF('Daily Schedule'!$A50=45,'Daily Workforce'!$J170="Y",IF(OR('Daily Schedule'!$A50=4,'Daily Schedule'!$A50=8),IF(OR(WEEKDAY('Daily Schedule'!$B$2,2)=1,WEEKDAY('Daily Schedule'!$B$2,2)=4,WEEKDAY('Daily Schedule'!$B$2,2)=5,WEEKDAY('Daily Schedule'!$B$2,2)=7),IFERROR(1*'Daily Workforce'!$K170&gt;=3,FALSE()),IFERROR(1*'Daily Workforce'!$K170&gt;=2,FALSE())),IF(AND('Daily Schedule'!$A50&gt;=46,'Daily Schedule'!$A50&lt;=52),'Daily Workforce'!$M170="Y",IFERROR(1*'Daily Workforce'!$P170&gt;=2,FALSE()))))),1,0)</f>
        <v>0</v>
      </c>
      <c r="FZ46" s="1" t="n">
        <f aca="false">IF(AND('Daily Workforce'!$N171="Y",'Daily Workforce'!$B171&lt;&gt;"",COUNTIF('Daily Schedule'!$F$5:$F49,'Daily Workforce'!$B171)=0,IF('Daily Schedule'!$A50=45,'Daily Workforce'!$J171="Y",IF(OR('Daily Schedule'!$A50=4,'Daily Schedule'!$A50=8),IF(OR(WEEKDAY('Daily Schedule'!$B$2,2)=1,WEEKDAY('Daily Schedule'!$B$2,2)=4,WEEKDAY('Daily Schedule'!$B$2,2)=5,WEEKDAY('Daily Schedule'!$B$2,2)=7),IFERROR(1*'Daily Workforce'!$K171&gt;=3,FALSE()),IFERROR(1*'Daily Workforce'!$K171&gt;=2,FALSE())),IF(AND('Daily Schedule'!$A50&gt;=46,'Daily Schedule'!$A50&lt;=52),'Daily Workforce'!$M171="Y",IFERROR(1*'Daily Workforce'!$P171&gt;=2,FALSE()))))),1,0)</f>
        <v>0</v>
      </c>
      <c r="GA46" s="1" t="n">
        <f aca="false">IF(AND('Daily Workforce'!$N172="Y",'Daily Workforce'!$B172&lt;&gt;"",COUNTIF('Daily Schedule'!$F$5:$F49,'Daily Workforce'!$B172)=0,IF('Daily Schedule'!$A50=45,'Daily Workforce'!$J172="Y",IF(OR('Daily Schedule'!$A50=4,'Daily Schedule'!$A50=8),IF(OR(WEEKDAY('Daily Schedule'!$B$2,2)=1,WEEKDAY('Daily Schedule'!$B$2,2)=4,WEEKDAY('Daily Schedule'!$B$2,2)=5,WEEKDAY('Daily Schedule'!$B$2,2)=7),IFERROR(1*'Daily Workforce'!$K172&gt;=3,FALSE()),IFERROR(1*'Daily Workforce'!$K172&gt;=2,FALSE())),IF(AND('Daily Schedule'!$A50&gt;=46,'Daily Schedule'!$A50&lt;=52),'Daily Workforce'!$M172="Y",IFERROR(1*'Daily Workforce'!$P172&gt;=2,FALSE()))))),1,0)</f>
        <v>0</v>
      </c>
      <c r="GB46" s="1" t="n">
        <f aca="false">IF(AND('Daily Workforce'!$N173="Y",'Daily Workforce'!$B173&lt;&gt;"",COUNTIF('Daily Schedule'!$F$5:$F49,'Daily Workforce'!$B173)=0,IF('Daily Schedule'!$A50=45,'Daily Workforce'!$J173="Y",IF(OR('Daily Schedule'!$A50=4,'Daily Schedule'!$A50=8),IF(OR(WEEKDAY('Daily Schedule'!$B$2,2)=1,WEEKDAY('Daily Schedule'!$B$2,2)=4,WEEKDAY('Daily Schedule'!$B$2,2)=5,WEEKDAY('Daily Schedule'!$B$2,2)=7),IFERROR(1*'Daily Workforce'!$K173&gt;=3,FALSE()),IFERROR(1*'Daily Workforce'!$K173&gt;=2,FALSE())),IF(AND('Daily Schedule'!$A50&gt;=46,'Daily Schedule'!$A50&lt;=52),'Daily Workforce'!$M173="Y",IFERROR(1*'Daily Workforce'!$P173&gt;=2,FALSE()))))),1,0)</f>
        <v>0</v>
      </c>
      <c r="GC46" s="1" t="n">
        <f aca="false">IF(AND('Daily Workforce'!$N174="Y",'Daily Workforce'!$B174&lt;&gt;"",COUNTIF('Daily Schedule'!$F$5:$F49,'Daily Workforce'!$B174)=0,IF('Daily Schedule'!$A50=45,'Daily Workforce'!$J174="Y",IF(OR('Daily Schedule'!$A50=4,'Daily Schedule'!$A50=8),IF(OR(WEEKDAY('Daily Schedule'!$B$2,2)=1,WEEKDAY('Daily Schedule'!$B$2,2)=4,WEEKDAY('Daily Schedule'!$B$2,2)=5,WEEKDAY('Daily Schedule'!$B$2,2)=7),IFERROR(1*'Daily Workforce'!$K174&gt;=3,FALSE()),IFERROR(1*'Daily Workforce'!$K174&gt;=2,FALSE())),IF(AND('Daily Schedule'!$A50&gt;=46,'Daily Schedule'!$A50&lt;=52),'Daily Workforce'!$M174="Y",IFERROR(1*'Daily Workforce'!$P174&gt;=2,FALSE()))))),1,0)</f>
        <v>0</v>
      </c>
      <c r="GD46" s="1" t="n">
        <f aca="false">IF(AND('Daily Workforce'!$N175="Y",'Daily Workforce'!$B175&lt;&gt;"",COUNTIF('Daily Schedule'!$F$5:$F49,'Daily Workforce'!$B175)=0,IF('Daily Schedule'!$A50=45,'Daily Workforce'!$J175="Y",IF(OR('Daily Schedule'!$A50=4,'Daily Schedule'!$A50=8),IF(OR(WEEKDAY('Daily Schedule'!$B$2,2)=1,WEEKDAY('Daily Schedule'!$B$2,2)=4,WEEKDAY('Daily Schedule'!$B$2,2)=5,WEEKDAY('Daily Schedule'!$B$2,2)=7),IFERROR(1*'Daily Workforce'!$K175&gt;=3,FALSE()),IFERROR(1*'Daily Workforce'!$K175&gt;=2,FALSE())),IF(AND('Daily Schedule'!$A50&gt;=46,'Daily Schedule'!$A50&lt;=52),'Daily Workforce'!$M175="Y",IFERROR(1*'Daily Workforce'!$P175&gt;=2,FALSE()))))),1,0)</f>
        <v>0</v>
      </c>
      <c r="GE46" s="1" t="n">
        <f aca="false">IF(AND('Daily Workforce'!$N176="Y",'Daily Workforce'!$B176&lt;&gt;"",COUNTIF('Daily Schedule'!$F$5:$F49,'Daily Workforce'!$B176)=0,IF('Daily Schedule'!$A50=45,'Daily Workforce'!$J176="Y",IF(OR('Daily Schedule'!$A50=4,'Daily Schedule'!$A50=8),IF(OR(WEEKDAY('Daily Schedule'!$B$2,2)=1,WEEKDAY('Daily Schedule'!$B$2,2)=4,WEEKDAY('Daily Schedule'!$B$2,2)=5,WEEKDAY('Daily Schedule'!$B$2,2)=7),IFERROR(1*'Daily Workforce'!$K176&gt;=3,FALSE()),IFERROR(1*'Daily Workforce'!$K176&gt;=2,FALSE())),IF(AND('Daily Schedule'!$A50&gt;=46,'Daily Schedule'!$A50&lt;=52),'Daily Workforce'!$M176="Y",IFERROR(1*'Daily Workforce'!$P176&gt;=2,FALSE()))))),1,0)</f>
        <v>0</v>
      </c>
      <c r="GF46" s="1" t="n">
        <f aca="false">IF(AND('Daily Workforce'!$N177="Y",'Daily Workforce'!$B177&lt;&gt;"",COUNTIF('Daily Schedule'!$F$5:$F49,'Daily Workforce'!$B177)=0,IF('Daily Schedule'!$A50=45,'Daily Workforce'!$J177="Y",IF(OR('Daily Schedule'!$A50=4,'Daily Schedule'!$A50=8),IF(OR(WEEKDAY('Daily Schedule'!$B$2,2)=1,WEEKDAY('Daily Schedule'!$B$2,2)=4,WEEKDAY('Daily Schedule'!$B$2,2)=5,WEEKDAY('Daily Schedule'!$B$2,2)=7),IFERROR(1*'Daily Workforce'!$K177&gt;=3,FALSE()),IFERROR(1*'Daily Workforce'!$K177&gt;=2,FALSE())),IF(AND('Daily Schedule'!$A50&gt;=46,'Daily Schedule'!$A50&lt;=52),'Daily Workforce'!$M177="Y",IFERROR(1*'Daily Workforce'!$P177&gt;=2,FALSE()))))),1,0)</f>
        <v>0</v>
      </c>
      <c r="GG46" s="1" t="n">
        <f aca="false">IF(AND('Daily Workforce'!$N178="Y",'Daily Workforce'!$B178&lt;&gt;"",COUNTIF('Daily Schedule'!$F$5:$F49,'Daily Workforce'!$B178)=0,IF('Daily Schedule'!$A50=45,'Daily Workforce'!$J178="Y",IF(OR('Daily Schedule'!$A50=4,'Daily Schedule'!$A50=8),IF(OR(WEEKDAY('Daily Schedule'!$B$2,2)=1,WEEKDAY('Daily Schedule'!$B$2,2)=4,WEEKDAY('Daily Schedule'!$B$2,2)=5,WEEKDAY('Daily Schedule'!$B$2,2)=7),IFERROR(1*'Daily Workforce'!$K178&gt;=3,FALSE()),IFERROR(1*'Daily Workforce'!$K178&gt;=2,FALSE())),IF(AND('Daily Schedule'!$A50&gt;=46,'Daily Schedule'!$A50&lt;=52),'Daily Workforce'!$M178="Y",IFERROR(1*'Daily Workforce'!$P178&gt;=2,FALSE()))))),1,0)</f>
        <v>0</v>
      </c>
      <c r="GH46" s="1" t="n">
        <f aca="false">IF(AND('Daily Workforce'!$N179="Y",'Daily Workforce'!$B179&lt;&gt;"",COUNTIF('Daily Schedule'!$F$5:$F49,'Daily Workforce'!$B179)=0,IF('Daily Schedule'!$A50=45,'Daily Workforce'!$J179="Y",IF(OR('Daily Schedule'!$A50=4,'Daily Schedule'!$A50=8),IF(OR(WEEKDAY('Daily Schedule'!$B$2,2)=1,WEEKDAY('Daily Schedule'!$B$2,2)=4,WEEKDAY('Daily Schedule'!$B$2,2)=5,WEEKDAY('Daily Schedule'!$B$2,2)=7),IFERROR(1*'Daily Workforce'!$K179&gt;=3,FALSE()),IFERROR(1*'Daily Workforce'!$K179&gt;=2,FALSE())),IF(AND('Daily Schedule'!$A50&gt;=46,'Daily Schedule'!$A50&lt;=52),'Daily Workforce'!$M179="Y",IFERROR(1*'Daily Workforce'!$P179&gt;=2,FALSE()))))),1,0)</f>
        <v>0</v>
      </c>
      <c r="GI46" s="1" t="n">
        <f aca="false">IF(AND('Daily Workforce'!$N180="Y",'Daily Workforce'!$B180&lt;&gt;"",COUNTIF('Daily Schedule'!$F$5:$F49,'Daily Workforce'!$B180)=0,IF('Daily Schedule'!$A50=45,'Daily Workforce'!$J180="Y",IF(OR('Daily Schedule'!$A50=4,'Daily Schedule'!$A50=8),IF(OR(WEEKDAY('Daily Schedule'!$B$2,2)=1,WEEKDAY('Daily Schedule'!$B$2,2)=4,WEEKDAY('Daily Schedule'!$B$2,2)=5,WEEKDAY('Daily Schedule'!$B$2,2)=7),IFERROR(1*'Daily Workforce'!$K180&gt;=3,FALSE()),IFERROR(1*'Daily Workforce'!$K180&gt;=2,FALSE())),IF(AND('Daily Schedule'!$A50&gt;=46,'Daily Schedule'!$A50&lt;=52),'Daily Workforce'!$M180="Y",IFERROR(1*'Daily Workforce'!$P180&gt;=2,FALSE()))))),1,0)</f>
        <v>0</v>
      </c>
      <c r="GJ46" s="1" t="n">
        <f aca="false">IF(AND('Daily Workforce'!$N181="Y",'Daily Workforce'!$B181&lt;&gt;"",COUNTIF('Daily Schedule'!$F$5:$F49,'Daily Workforce'!$B181)=0,IF('Daily Schedule'!$A50=45,'Daily Workforce'!$J181="Y",IF(OR('Daily Schedule'!$A50=4,'Daily Schedule'!$A50=8),IF(OR(WEEKDAY('Daily Schedule'!$B$2,2)=1,WEEKDAY('Daily Schedule'!$B$2,2)=4,WEEKDAY('Daily Schedule'!$B$2,2)=5,WEEKDAY('Daily Schedule'!$B$2,2)=7),IFERROR(1*'Daily Workforce'!$K181&gt;=3,FALSE()),IFERROR(1*'Daily Workforce'!$K181&gt;=2,FALSE())),IF(AND('Daily Schedule'!$A50&gt;=46,'Daily Schedule'!$A50&lt;=52),'Daily Workforce'!$M181="Y",IFERROR(1*'Daily Workforce'!$P181&gt;=2,FALSE()))))),1,0)</f>
        <v>0</v>
      </c>
      <c r="GK46" s="1" t="n">
        <f aca="false">IF(AND('Daily Workforce'!$N182="Y",'Daily Workforce'!$B182&lt;&gt;"",COUNTIF('Daily Schedule'!$F$5:$F49,'Daily Workforce'!$B182)=0,IF('Daily Schedule'!$A50=45,'Daily Workforce'!$J182="Y",IF(OR('Daily Schedule'!$A50=4,'Daily Schedule'!$A50=8),IF(OR(WEEKDAY('Daily Schedule'!$B$2,2)=1,WEEKDAY('Daily Schedule'!$B$2,2)=4,WEEKDAY('Daily Schedule'!$B$2,2)=5,WEEKDAY('Daily Schedule'!$B$2,2)=7),IFERROR(1*'Daily Workforce'!$K182&gt;=3,FALSE()),IFERROR(1*'Daily Workforce'!$K182&gt;=2,FALSE())),IF(AND('Daily Schedule'!$A50&gt;=46,'Daily Schedule'!$A50&lt;=52),'Daily Workforce'!$M182="Y",IFERROR(1*'Daily Workforce'!$P182&gt;=2,FALSE()))))),1,0)</f>
        <v>0</v>
      </c>
      <c r="GL46" s="1" t="n">
        <f aca="false">IF(AND('Daily Workforce'!$N183="Y",'Daily Workforce'!$B183&lt;&gt;"",COUNTIF('Daily Schedule'!$F$5:$F49,'Daily Workforce'!$B183)=0,IF('Daily Schedule'!$A50=45,'Daily Workforce'!$J183="Y",IF(OR('Daily Schedule'!$A50=4,'Daily Schedule'!$A50=8),IF(OR(WEEKDAY('Daily Schedule'!$B$2,2)=1,WEEKDAY('Daily Schedule'!$B$2,2)=4,WEEKDAY('Daily Schedule'!$B$2,2)=5,WEEKDAY('Daily Schedule'!$B$2,2)=7),IFERROR(1*'Daily Workforce'!$K183&gt;=3,FALSE()),IFERROR(1*'Daily Workforce'!$K183&gt;=2,FALSE())),IF(AND('Daily Schedule'!$A50&gt;=46,'Daily Schedule'!$A50&lt;=52),'Daily Workforce'!$M183="Y",IFERROR(1*'Daily Workforce'!$P183&gt;=2,FALSE()))))),1,0)</f>
        <v>0</v>
      </c>
      <c r="GM46" s="1" t="n">
        <f aca="false">IF(AND('Daily Workforce'!$N184="Y",'Daily Workforce'!$B184&lt;&gt;"",COUNTIF('Daily Schedule'!$F$5:$F49,'Daily Workforce'!$B184)=0,IF('Daily Schedule'!$A50=45,'Daily Workforce'!$J184="Y",IF(OR('Daily Schedule'!$A50=4,'Daily Schedule'!$A50=8),IF(OR(WEEKDAY('Daily Schedule'!$B$2,2)=1,WEEKDAY('Daily Schedule'!$B$2,2)=4,WEEKDAY('Daily Schedule'!$B$2,2)=5,WEEKDAY('Daily Schedule'!$B$2,2)=7),IFERROR(1*'Daily Workforce'!$K184&gt;=3,FALSE()),IFERROR(1*'Daily Workforce'!$K184&gt;=2,FALSE())),IF(AND('Daily Schedule'!$A50&gt;=46,'Daily Schedule'!$A50&lt;=52),'Daily Workforce'!$M184="Y",IFERROR(1*'Daily Workforce'!$P184&gt;=2,FALSE()))))),1,0)</f>
        <v>0</v>
      </c>
      <c r="GN46" s="1" t="n">
        <f aca="false">IF(AND('Daily Workforce'!$N185="Y",'Daily Workforce'!$B185&lt;&gt;"",COUNTIF('Daily Schedule'!$F$5:$F49,'Daily Workforce'!$B185)=0,IF('Daily Schedule'!$A50=45,'Daily Workforce'!$J185="Y",IF(OR('Daily Schedule'!$A50=4,'Daily Schedule'!$A50=8),IF(OR(WEEKDAY('Daily Schedule'!$B$2,2)=1,WEEKDAY('Daily Schedule'!$B$2,2)=4,WEEKDAY('Daily Schedule'!$B$2,2)=5,WEEKDAY('Daily Schedule'!$B$2,2)=7),IFERROR(1*'Daily Workforce'!$K185&gt;=3,FALSE()),IFERROR(1*'Daily Workforce'!$K185&gt;=2,FALSE())),IF(AND('Daily Schedule'!$A50&gt;=46,'Daily Schedule'!$A50&lt;=52),'Daily Workforce'!$M185="Y",IFERROR(1*'Daily Workforce'!$P185&gt;=2,FALSE()))))),1,0)</f>
        <v>0</v>
      </c>
      <c r="GO46" s="1" t="n">
        <f aca="false">IF(AND('Daily Workforce'!$N186="Y",'Daily Workforce'!$B186&lt;&gt;"",COUNTIF('Daily Schedule'!$F$5:$F49,'Daily Workforce'!$B186)=0,IF('Daily Schedule'!$A50=45,'Daily Workforce'!$J186="Y",IF(OR('Daily Schedule'!$A50=4,'Daily Schedule'!$A50=8),IF(OR(WEEKDAY('Daily Schedule'!$B$2,2)=1,WEEKDAY('Daily Schedule'!$B$2,2)=4,WEEKDAY('Daily Schedule'!$B$2,2)=5,WEEKDAY('Daily Schedule'!$B$2,2)=7),IFERROR(1*'Daily Workforce'!$K186&gt;=3,FALSE()),IFERROR(1*'Daily Workforce'!$K186&gt;=2,FALSE())),IF(AND('Daily Schedule'!$A50&gt;=46,'Daily Schedule'!$A50&lt;=52),'Daily Workforce'!$M186="Y",IFERROR(1*'Daily Workforce'!$P186&gt;=2,FALSE()))))),1,0)</f>
        <v>0</v>
      </c>
      <c r="GP46" s="1" t="n">
        <f aca="false">IF(AND('Daily Workforce'!$N187="Y",'Daily Workforce'!$B187&lt;&gt;"",COUNTIF('Daily Schedule'!$F$5:$F49,'Daily Workforce'!$B187)=0,IF('Daily Schedule'!$A50=45,'Daily Workforce'!$J187="Y",IF(OR('Daily Schedule'!$A50=4,'Daily Schedule'!$A50=8),IF(OR(WEEKDAY('Daily Schedule'!$B$2,2)=1,WEEKDAY('Daily Schedule'!$B$2,2)=4,WEEKDAY('Daily Schedule'!$B$2,2)=5,WEEKDAY('Daily Schedule'!$B$2,2)=7),IFERROR(1*'Daily Workforce'!$K187&gt;=3,FALSE()),IFERROR(1*'Daily Workforce'!$K187&gt;=2,FALSE())),IF(AND('Daily Schedule'!$A50&gt;=46,'Daily Schedule'!$A50&lt;=52),'Daily Workforce'!$M187="Y",IFERROR(1*'Daily Workforce'!$P187&gt;=2,FALSE()))))),1,0)</f>
        <v>0</v>
      </c>
      <c r="GQ46" s="1" t="n">
        <f aca="false">IF(AND('Daily Workforce'!$N188="Y",'Daily Workforce'!$B188&lt;&gt;"",COUNTIF('Daily Schedule'!$F$5:$F49,'Daily Workforce'!$B188)=0,IF('Daily Schedule'!$A50=45,'Daily Workforce'!$J188="Y",IF(OR('Daily Schedule'!$A50=4,'Daily Schedule'!$A50=8),IF(OR(WEEKDAY('Daily Schedule'!$B$2,2)=1,WEEKDAY('Daily Schedule'!$B$2,2)=4,WEEKDAY('Daily Schedule'!$B$2,2)=5,WEEKDAY('Daily Schedule'!$B$2,2)=7),IFERROR(1*'Daily Workforce'!$K188&gt;=3,FALSE()),IFERROR(1*'Daily Workforce'!$K188&gt;=2,FALSE())),IF(AND('Daily Schedule'!$A50&gt;=46,'Daily Schedule'!$A50&lt;=52),'Daily Workforce'!$M188="Y",IFERROR(1*'Daily Workforce'!$P188&gt;=2,FALSE()))))),1,0)</f>
        <v>0</v>
      </c>
      <c r="GR46" s="1" t="n">
        <f aca="false">IF(AND('Daily Workforce'!$N189="Y",'Daily Workforce'!$B189&lt;&gt;"",COUNTIF('Daily Schedule'!$F$5:$F49,'Daily Workforce'!$B189)=0,IF('Daily Schedule'!$A50=45,'Daily Workforce'!$J189="Y",IF(OR('Daily Schedule'!$A50=4,'Daily Schedule'!$A50=8),IF(OR(WEEKDAY('Daily Schedule'!$B$2,2)=1,WEEKDAY('Daily Schedule'!$B$2,2)=4,WEEKDAY('Daily Schedule'!$B$2,2)=5,WEEKDAY('Daily Schedule'!$B$2,2)=7),IFERROR(1*'Daily Workforce'!$K189&gt;=3,FALSE()),IFERROR(1*'Daily Workforce'!$K189&gt;=2,FALSE())),IF(AND('Daily Schedule'!$A50&gt;=46,'Daily Schedule'!$A50&lt;=52),'Daily Workforce'!$M189="Y",IFERROR(1*'Daily Workforce'!$P189&gt;=2,FALSE()))))),1,0)</f>
        <v>0</v>
      </c>
      <c r="GS46" s="1" t="n">
        <f aca="false">IF(AND('Daily Workforce'!$N190="Y",'Daily Workforce'!$B190&lt;&gt;"",COUNTIF('Daily Schedule'!$F$5:$F49,'Daily Workforce'!$B190)=0,IF('Daily Schedule'!$A50=45,'Daily Workforce'!$J190="Y",IF(OR('Daily Schedule'!$A50=4,'Daily Schedule'!$A50=8),IF(OR(WEEKDAY('Daily Schedule'!$B$2,2)=1,WEEKDAY('Daily Schedule'!$B$2,2)=4,WEEKDAY('Daily Schedule'!$B$2,2)=5,WEEKDAY('Daily Schedule'!$B$2,2)=7),IFERROR(1*'Daily Workforce'!$K190&gt;=3,FALSE()),IFERROR(1*'Daily Workforce'!$K190&gt;=2,FALSE())),IF(AND('Daily Schedule'!$A50&gt;=46,'Daily Schedule'!$A50&lt;=52),'Daily Workforce'!$M190="Y",IFERROR(1*'Daily Workforce'!$P190&gt;=2,FALSE()))))),1,0)</f>
        <v>0</v>
      </c>
      <c r="GT46" s="1" t="n">
        <f aca="false">IF(AND('Daily Workforce'!$N191="Y",'Daily Workforce'!$B191&lt;&gt;"",COUNTIF('Daily Schedule'!$F$5:$F49,'Daily Workforce'!$B191)=0,IF('Daily Schedule'!$A50=45,'Daily Workforce'!$J191="Y",IF(OR('Daily Schedule'!$A50=4,'Daily Schedule'!$A50=8),IF(OR(WEEKDAY('Daily Schedule'!$B$2,2)=1,WEEKDAY('Daily Schedule'!$B$2,2)=4,WEEKDAY('Daily Schedule'!$B$2,2)=5,WEEKDAY('Daily Schedule'!$B$2,2)=7),IFERROR(1*'Daily Workforce'!$K191&gt;=3,FALSE()),IFERROR(1*'Daily Workforce'!$K191&gt;=2,FALSE())),IF(AND('Daily Schedule'!$A50&gt;=46,'Daily Schedule'!$A50&lt;=52),'Daily Workforce'!$M191="Y",IFERROR(1*'Daily Workforce'!$P191&gt;=2,FALSE()))))),1,0)</f>
        <v>0</v>
      </c>
      <c r="GU46" s="1" t="n">
        <f aca="false">IF(AND('Daily Workforce'!$N192="Y",'Daily Workforce'!$B192&lt;&gt;"",COUNTIF('Daily Schedule'!$F$5:$F49,'Daily Workforce'!$B192)=0,IF('Daily Schedule'!$A50=45,'Daily Workforce'!$J192="Y",IF(OR('Daily Schedule'!$A50=4,'Daily Schedule'!$A50=8),IF(OR(WEEKDAY('Daily Schedule'!$B$2,2)=1,WEEKDAY('Daily Schedule'!$B$2,2)=4,WEEKDAY('Daily Schedule'!$B$2,2)=5,WEEKDAY('Daily Schedule'!$B$2,2)=7),IFERROR(1*'Daily Workforce'!$K192&gt;=3,FALSE()),IFERROR(1*'Daily Workforce'!$K192&gt;=2,FALSE())),IF(AND('Daily Schedule'!$A50&gt;=46,'Daily Schedule'!$A50&lt;=52),'Daily Workforce'!$M192="Y",IFERROR(1*'Daily Workforce'!$P192&gt;=2,FALSE()))))),1,0)</f>
        <v>0</v>
      </c>
      <c r="GV46" s="1" t="n">
        <f aca="false">IF(AND('Daily Workforce'!$N193="Y",'Daily Workforce'!$B193&lt;&gt;"",COUNTIF('Daily Schedule'!$F$5:$F49,'Daily Workforce'!$B193)=0,IF('Daily Schedule'!$A50=45,'Daily Workforce'!$J193="Y",IF(OR('Daily Schedule'!$A50=4,'Daily Schedule'!$A50=8),IF(OR(WEEKDAY('Daily Schedule'!$B$2,2)=1,WEEKDAY('Daily Schedule'!$B$2,2)=4,WEEKDAY('Daily Schedule'!$B$2,2)=5,WEEKDAY('Daily Schedule'!$B$2,2)=7),IFERROR(1*'Daily Workforce'!$K193&gt;=3,FALSE()),IFERROR(1*'Daily Workforce'!$K193&gt;=2,FALSE())),IF(AND('Daily Schedule'!$A50&gt;=46,'Daily Schedule'!$A50&lt;=52),'Daily Workforce'!$M193="Y",IFERROR(1*'Daily Workforce'!$P193&gt;=2,FALSE()))))),1,0)</f>
        <v>0</v>
      </c>
      <c r="GW46" s="1" t="n">
        <f aca="false">IF(AND('Daily Workforce'!$N194="Y",'Daily Workforce'!$B194&lt;&gt;"",COUNTIF('Daily Schedule'!$F$5:$F49,'Daily Workforce'!$B194)=0,IF('Daily Schedule'!$A50=45,'Daily Workforce'!$J194="Y",IF(OR('Daily Schedule'!$A50=4,'Daily Schedule'!$A50=8),IF(OR(WEEKDAY('Daily Schedule'!$B$2,2)=1,WEEKDAY('Daily Schedule'!$B$2,2)=4,WEEKDAY('Daily Schedule'!$B$2,2)=5,WEEKDAY('Daily Schedule'!$B$2,2)=7),IFERROR(1*'Daily Workforce'!$K194&gt;=3,FALSE()),IFERROR(1*'Daily Workforce'!$K194&gt;=2,FALSE())),IF(AND('Daily Schedule'!$A50&gt;=46,'Daily Schedule'!$A50&lt;=52),'Daily Workforce'!$M194="Y",IFERROR(1*'Daily Workforce'!$P194&gt;=2,FALSE()))))),1,0)</f>
        <v>0</v>
      </c>
      <c r="GX46" s="1" t="n">
        <f aca="false">IF(AND('Daily Workforce'!$N195="Y",'Daily Workforce'!$B195&lt;&gt;"",COUNTIF('Daily Schedule'!$F$5:$F49,'Daily Workforce'!$B195)=0,IF('Daily Schedule'!$A50=45,'Daily Workforce'!$J195="Y",IF(OR('Daily Schedule'!$A50=4,'Daily Schedule'!$A50=8),IF(OR(WEEKDAY('Daily Schedule'!$B$2,2)=1,WEEKDAY('Daily Schedule'!$B$2,2)=4,WEEKDAY('Daily Schedule'!$B$2,2)=5,WEEKDAY('Daily Schedule'!$B$2,2)=7),IFERROR(1*'Daily Workforce'!$K195&gt;=3,FALSE()),IFERROR(1*'Daily Workforce'!$K195&gt;=2,FALSE())),IF(AND('Daily Schedule'!$A50&gt;=46,'Daily Schedule'!$A50&lt;=52),'Daily Workforce'!$M195="Y",IFERROR(1*'Daily Workforce'!$P195&gt;=2,FALSE()))))),1,0)</f>
        <v>0</v>
      </c>
      <c r="GY46" s="1" t="n">
        <f aca="false">IF(AND('Daily Workforce'!$N196="Y",'Daily Workforce'!$B196&lt;&gt;"",COUNTIF('Daily Schedule'!$F$5:$F49,'Daily Workforce'!$B196)=0,IF('Daily Schedule'!$A50=45,'Daily Workforce'!$J196="Y",IF(OR('Daily Schedule'!$A50=4,'Daily Schedule'!$A50=8),IF(OR(WEEKDAY('Daily Schedule'!$B$2,2)=1,WEEKDAY('Daily Schedule'!$B$2,2)=4,WEEKDAY('Daily Schedule'!$B$2,2)=5,WEEKDAY('Daily Schedule'!$B$2,2)=7),IFERROR(1*'Daily Workforce'!$K196&gt;=3,FALSE()),IFERROR(1*'Daily Workforce'!$K196&gt;=2,FALSE())),IF(AND('Daily Schedule'!$A50&gt;=46,'Daily Schedule'!$A50&lt;=52),'Daily Workforce'!$M196="Y",IFERROR(1*'Daily Workforce'!$P196&gt;=2,FALSE()))))),1,0)</f>
        <v>0</v>
      </c>
      <c r="GZ46" s="1" t="n">
        <f aca="false">IF(AND('Daily Workforce'!$N197="Y",'Daily Workforce'!$B197&lt;&gt;"",COUNTIF('Daily Schedule'!$F$5:$F49,'Daily Workforce'!$B197)=0,IF('Daily Schedule'!$A50=45,'Daily Workforce'!$J197="Y",IF(OR('Daily Schedule'!$A50=4,'Daily Schedule'!$A50=8),IF(OR(WEEKDAY('Daily Schedule'!$B$2,2)=1,WEEKDAY('Daily Schedule'!$B$2,2)=4,WEEKDAY('Daily Schedule'!$B$2,2)=5,WEEKDAY('Daily Schedule'!$B$2,2)=7),IFERROR(1*'Daily Workforce'!$K197&gt;=3,FALSE()),IFERROR(1*'Daily Workforce'!$K197&gt;=2,FALSE())),IF(AND('Daily Schedule'!$A50&gt;=46,'Daily Schedule'!$A50&lt;=52),'Daily Workforce'!$M197="Y",IFERROR(1*'Daily Workforce'!$P197&gt;=2,FALSE()))))),1,0)</f>
        <v>0</v>
      </c>
      <c r="HA46" s="1" t="n">
        <f aca="false">IF(AND('Daily Workforce'!$N198="Y",'Daily Workforce'!$B198&lt;&gt;"",COUNTIF('Daily Schedule'!$F$5:$F49,'Daily Workforce'!$B198)=0,IF('Daily Schedule'!$A50=45,'Daily Workforce'!$J198="Y",IF(OR('Daily Schedule'!$A50=4,'Daily Schedule'!$A50=8),IF(OR(WEEKDAY('Daily Schedule'!$B$2,2)=1,WEEKDAY('Daily Schedule'!$B$2,2)=4,WEEKDAY('Daily Schedule'!$B$2,2)=5,WEEKDAY('Daily Schedule'!$B$2,2)=7),IFERROR(1*'Daily Workforce'!$K198&gt;=3,FALSE()),IFERROR(1*'Daily Workforce'!$K198&gt;=2,FALSE())),IF(AND('Daily Schedule'!$A50&gt;=46,'Daily Schedule'!$A50&lt;=52),'Daily Workforce'!$M198="Y",IFERROR(1*'Daily Workforce'!$P198&gt;=2,FALSE()))))),1,0)</f>
        <v>0</v>
      </c>
      <c r="HB46" s="1" t="n">
        <f aca="false">IF(AND('Daily Workforce'!$N199="Y",'Daily Workforce'!$B199&lt;&gt;"",COUNTIF('Daily Schedule'!$F$5:$F49,'Daily Workforce'!$B199)=0,IF('Daily Schedule'!$A50=45,'Daily Workforce'!$J199="Y",IF(OR('Daily Schedule'!$A50=4,'Daily Schedule'!$A50=8),IF(OR(WEEKDAY('Daily Schedule'!$B$2,2)=1,WEEKDAY('Daily Schedule'!$B$2,2)=4,WEEKDAY('Daily Schedule'!$B$2,2)=5,WEEKDAY('Daily Schedule'!$B$2,2)=7),IFERROR(1*'Daily Workforce'!$K199&gt;=3,FALSE()),IFERROR(1*'Daily Workforce'!$K199&gt;=2,FALSE())),IF(AND('Daily Schedule'!$A50&gt;=46,'Daily Schedule'!$A50&lt;=52),'Daily Workforce'!$M199="Y",IFERROR(1*'Daily Workforce'!$P199&gt;=2,FALSE()))))),1,0)</f>
        <v>0</v>
      </c>
      <c r="HC46" s="1" t="n">
        <f aca="false">IF(AND('Daily Workforce'!$N200="Y",'Daily Workforce'!$B200&lt;&gt;"",COUNTIF('Daily Schedule'!$F$5:$F49,'Daily Workforce'!$B200)=0,IF('Daily Schedule'!$A50=45,'Daily Workforce'!$J200="Y",IF(OR('Daily Schedule'!$A50=4,'Daily Schedule'!$A50=8),IF(OR(WEEKDAY('Daily Schedule'!$B$2,2)=1,WEEKDAY('Daily Schedule'!$B$2,2)=4,WEEKDAY('Daily Schedule'!$B$2,2)=5,WEEKDAY('Daily Schedule'!$B$2,2)=7),IFERROR(1*'Daily Workforce'!$K200&gt;=3,FALSE()),IFERROR(1*'Daily Workforce'!$K200&gt;=2,FALSE())),IF(AND('Daily Schedule'!$A50&gt;=46,'Daily Schedule'!$A50&lt;=52),'Daily Workforce'!$M200="Y",IFERROR(1*'Daily Workforce'!$P200&gt;=2,FALSE()))))),1,0)</f>
        <v>0</v>
      </c>
      <c r="HD46" s="1" t="n">
        <f aca="false">IF(AND('Daily Workforce'!$N201="Y",'Daily Workforce'!$B201&lt;&gt;"",COUNTIF('Daily Schedule'!$F$5:$F49,'Daily Workforce'!$B201)=0,IF('Daily Schedule'!$A50=45,'Daily Workforce'!$J201="Y",IF(OR('Daily Schedule'!$A50=4,'Daily Schedule'!$A50=8),IF(OR(WEEKDAY('Daily Schedule'!$B$2,2)=1,WEEKDAY('Daily Schedule'!$B$2,2)=4,WEEKDAY('Daily Schedule'!$B$2,2)=5,WEEKDAY('Daily Schedule'!$B$2,2)=7),IFERROR(1*'Daily Workforce'!$K201&gt;=3,FALSE()),IFERROR(1*'Daily Workforce'!$K201&gt;=2,FALSE())),IF(AND('Daily Schedule'!$A50&gt;=46,'Daily Schedule'!$A50&lt;=52),'Daily Workforce'!$M201="Y",IFERROR(1*'Daily Workforce'!$P201&gt;=2,FALSE()))))),1,0)</f>
        <v>0</v>
      </c>
      <c r="HE46" s="1" t="n">
        <f aca="false">IF(AND('Daily Workforce'!$N202="Y",'Daily Workforce'!$B202&lt;&gt;"",COUNTIF('Daily Schedule'!$F$5:$F49,'Daily Workforce'!$B202)=0,IF('Daily Schedule'!$A50=45,'Daily Workforce'!$J202="Y",IF(OR('Daily Schedule'!$A50=4,'Daily Schedule'!$A50=8),IF(OR(WEEKDAY('Daily Schedule'!$B$2,2)=1,WEEKDAY('Daily Schedule'!$B$2,2)=4,WEEKDAY('Daily Schedule'!$B$2,2)=5,WEEKDAY('Daily Schedule'!$B$2,2)=7),IFERROR(1*'Daily Workforce'!$K202&gt;=3,FALSE()),IFERROR(1*'Daily Workforce'!$K202&gt;=2,FALSE())),IF(AND('Daily Schedule'!$A50&gt;=46,'Daily Schedule'!$A50&lt;=52),'Daily Workforce'!$M202="Y",IFERROR(1*'Daily Workforce'!$P202&gt;=2,FALSE()))))),1,0)</f>
        <v>0</v>
      </c>
      <c r="HF46" s="1" t="n">
        <f aca="false">IF(AND('Daily Workforce'!$N203="Y",'Daily Workforce'!$B203&lt;&gt;"",COUNTIF('Daily Schedule'!$F$5:$F49,'Daily Workforce'!$B203)=0,IF('Daily Schedule'!$A50=45,'Daily Workforce'!$J203="Y",IF(OR('Daily Schedule'!$A50=4,'Daily Schedule'!$A50=8),IF(OR(WEEKDAY('Daily Schedule'!$B$2,2)=1,WEEKDAY('Daily Schedule'!$B$2,2)=4,WEEKDAY('Daily Schedule'!$B$2,2)=5,WEEKDAY('Daily Schedule'!$B$2,2)=7),IFERROR(1*'Daily Workforce'!$K203&gt;=3,FALSE()),IFERROR(1*'Daily Workforce'!$K203&gt;=2,FALSE())),IF(AND('Daily Schedule'!$A50&gt;=46,'Daily Schedule'!$A50&lt;=52),'Daily Workforce'!$M203="Y",IFERROR(1*'Daily Workforce'!$P203&gt;=2,FALSE()))))),1,0)</f>
        <v>0</v>
      </c>
      <c r="HG46" s="1" t="n">
        <f aca="false">IF(AND('Daily Workforce'!$N204="Y",'Daily Workforce'!$B204&lt;&gt;"",COUNTIF('Daily Schedule'!$F$5:$F49,'Daily Workforce'!$B204)=0,IF('Daily Schedule'!$A50=45,'Daily Workforce'!$J204="Y",IF(OR('Daily Schedule'!$A50=4,'Daily Schedule'!$A50=8),IF(OR(WEEKDAY('Daily Schedule'!$B$2,2)=1,WEEKDAY('Daily Schedule'!$B$2,2)=4,WEEKDAY('Daily Schedule'!$B$2,2)=5,WEEKDAY('Daily Schedule'!$B$2,2)=7),IFERROR(1*'Daily Workforce'!$K204&gt;=3,FALSE()),IFERROR(1*'Daily Workforce'!$K204&gt;=2,FALSE())),IF(AND('Daily Schedule'!$A50&gt;=46,'Daily Schedule'!$A50&lt;=52),'Daily Workforce'!$M204="Y",IFERROR(1*'Daily Workforce'!$P204&gt;=2,FALSE()))))),1,0)</f>
        <v>0</v>
      </c>
      <c r="HH46" s="1" t="n">
        <f aca="false">IF(AND('Daily Workforce'!$N205="Y",'Daily Workforce'!$B205&lt;&gt;"",COUNTIF('Daily Schedule'!$F$5:$F49,'Daily Workforce'!$B205)=0,IF('Daily Schedule'!$A50=45,'Daily Workforce'!$J205="Y",IF(OR('Daily Schedule'!$A50=4,'Daily Schedule'!$A50=8),IF(OR(WEEKDAY('Daily Schedule'!$B$2,2)=1,WEEKDAY('Daily Schedule'!$B$2,2)=4,WEEKDAY('Daily Schedule'!$B$2,2)=5,WEEKDAY('Daily Schedule'!$B$2,2)=7),IFERROR(1*'Daily Workforce'!$K205&gt;=3,FALSE()),IFERROR(1*'Daily Workforce'!$K205&gt;=2,FALSE())),IF(AND('Daily Schedule'!$A50&gt;=46,'Daily Schedule'!$A50&lt;=52),'Daily Workforce'!$M205="Y",IFERROR(1*'Daily Workforce'!$P205&gt;=2,FALSE()))))),1,0)</f>
        <v>0</v>
      </c>
    </row>
    <row r="47" customFormat="false" ht="15" hidden="false" customHeight="true" outlineLevel="0" collapsed="false">
      <c r="L47" s="1" t="s">
        <v>493</v>
      </c>
      <c r="O47" s="1" t="n">
        <f aca="false">IF(AND('Employee Master'!$G47="Y",ISERROR(SEARCH(TEXT('Daily Workforce'!$B$2,"ddd"),'Employee Master'!$D47)),IF('Daily Workforce'!$E$2="",TRUE(),'Employee Master'!$I47='Daily Workforce'!$E$2)),'Employee Master'!$K47*1000+ROW()-1,"")</f>
        <v>3046</v>
      </c>
      <c r="P47" s="1" t="n">
        <f aca="false">IF($O47="","",COUNTIF($O$2:$O$159,"&lt;="&amp;$O47))</f>
        <v>67</v>
      </c>
      <c r="Q47" s="1" t="n">
        <f aca="false">IF(AND('Daily Workforce'!$N6="Y",'Daily Workforce'!$B6&lt;&gt;"",COUNTIF('Daily Schedule'!$F$5:$F50,'Daily Workforce'!$B6)=0,IF('Daily Schedule'!$A51=45,'Daily Workforce'!$J6="Y",IF(OR('Daily Schedule'!$A51=4,'Daily Schedule'!$A51=8),IF(OR(WEEKDAY('Daily Schedule'!$B$2,2)=1,WEEKDAY('Daily Schedule'!$B$2,2)=4,WEEKDAY('Daily Schedule'!$B$2,2)=5,WEEKDAY('Daily Schedule'!$B$2,2)=7),IFERROR(1*'Daily Workforce'!$K6&gt;=3,FALSE()),IFERROR(1*'Daily Workforce'!$K6&gt;=2,FALSE())),IF(AND('Daily Schedule'!$A51&gt;=46,'Daily Schedule'!$A51&lt;=52),'Daily Workforce'!$M6="Y",IFERROR(1*'Daily Workforce'!$P6&gt;=2,FALSE()))))),1,0)</f>
        <v>0</v>
      </c>
      <c r="R47" s="1" t="n">
        <f aca="false">IF(AND('Daily Workforce'!$N7="Y",'Daily Workforce'!$B7&lt;&gt;"",COUNTIF('Daily Schedule'!$F$5:$F50,'Daily Workforce'!$B7)=0,IF('Daily Schedule'!$A51=45,'Daily Workforce'!$J7="Y",IF(OR('Daily Schedule'!$A51=4,'Daily Schedule'!$A51=8),IF(OR(WEEKDAY('Daily Schedule'!$B$2,2)=1,WEEKDAY('Daily Schedule'!$B$2,2)=4,WEEKDAY('Daily Schedule'!$B$2,2)=5,WEEKDAY('Daily Schedule'!$B$2,2)=7),IFERROR(1*'Daily Workforce'!$K7&gt;=3,FALSE()),IFERROR(1*'Daily Workforce'!$K7&gt;=2,FALSE())),IF(AND('Daily Schedule'!$A51&gt;=46,'Daily Schedule'!$A51&lt;=52),'Daily Workforce'!$M7="Y",IFERROR(1*'Daily Workforce'!$P7&gt;=2,FALSE()))))),1,0)</f>
        <v>0</v>
      </c>
      <c r="S47" s="1" t="n">
        <f aca="false">IF(AND('Daily Workforce'!$N8="Y",'Daily Workforce'!$B8&lt;&gt;"",COUNTIF('Daily Schedule'!$F$5:$F50,'Daily Workforce'!$B8)=0,IF('Daily Schedule'!$A51=45,'Daily Workforce'!$J8="Y",IF(OR('Daily Schedule'!$A51=4,'Daily Schedule'!$A51=8),IF(OR(WEEKDAY('Daily Schedule'!$B$2,2)=1,WEEKDAY('Daily Schedule'!$B$2,2)=4,WEEKDAY('Daily Schedule'!$B$2,2)=5,WEEKDAY('Daily Schedule'!$B$2,2)=7),IFERROR(1*'Daily Workforce'!$K8&gt;=3,FALSE()),IFERROR(1*'Daily Workforce'!$K8&gt;=2,FALSE())),IF(AND('Daily Schedule'!$A51&gt;=46,'Daily Schedule'!$A51&lt;=52),'Daily Workforce'!$M8="Y",IFERROR(1*'Daily Workforce'!$P8&gt;=2,FALSE()))))),1,0)</f>
        <v>0</v>
      </c>
      <c r="T47" s="1" t="n">
        <f aca="false">IF(AND('Daily Workforce'!$N9="Y",'Daily Workforce'!$B9&lt;&gt;"",COUNTIF('Daily Schedule'!$F$5:$F50,'Daily Workforce'!$B9)=0,IF('Daily Schedule'!$A51=45,'Daily Workforce'!$J9="Y",IF(OR('Daily Schedule'!$A51=4,'Daily Schedule'!$A51=8),IF(OR(WEEKDAY('Daily Schedule'!$B$2,2)=1,WEEKDAY('Daily Schedule'!$B$2,2)=4,WEEKDAY('Daily Schedule'!$B$2,2)=5,WEEKDAY('Daily Schedule'!$B$2,2)=7),IFERROR(1*'Daily Workforce'!$K9&gt;=3,FALSE()),IFERROR(1*'Daily Workforce'!$K9&gt;=2,FALSE())),IF(AND('Daily Schedule'!$A51&gt;=46,'Daily Schedule'!$A51&lt;=52),'Daily Workforce'!$M9="Y",IFERROR(1*'Daily Workforce'!$P9&gt;=2,FALSE()))))),1,0)</f>
        <v>0</v>
      </c>
      <c r="U47" s="1" t="n">
        <f aca="false">IF(AND('Daily Workforce'!$N10="Y",'Daily Workforce'!$B10&lt;&gt;"",COUNTIF('Daily Schedule'!$F$5:$F50,'Daily Workforce'!$B10)=0,IF('Daily Schedule'!$A51=45,'Daily Workforce'!$J10="Y",IF(OR('Daily Schedule'!$A51=4,'Daily Schedule'!$A51=8),IF(OR(WEEKDAY('Daily Schedule'!$B$2,2)=1,WEEKDAY('Daily Schedule'!$B$2,2)=4,WEEKDAY('Daily Schedule'!$B$2,2)=5,WEEKDAY('Daily Schedule'!$B$2,2)=7),IFERROR(1*'Daily Workforce'!$K10&gt;=3,FALSE()),IFERROR(1*'Daily Workforce'!$K10&gt;=2,FALSE())),IF(AND('Daily Schedule'!$A51&gt;=46,'Daily Schedule'!$A51&lt;=52),'Daily Workforce'!$M10="Y",IFERROR(1*'Daily Workforce'!$P10&gt;=2,FALSE()))))),1,0)</f>
        <v>0</v>
      </c>
      <c r="V47" s="1" t="n">
        <f aca="false">IF(AND('Daily Workforce'!$N11="Y",'Daily Workforce'!$B11&lt;&gt;"",COUNTIF('Daily Schedule'!$F$5:$F50,'Daily Workforce'!$B11)=0,IF('Daily Schedule'!$A51=45,'Daily Workforce'!$J11="Y",IF(OR('Daily Schedule'!$A51=4,'Daily Schedule'!$A51=8),IF(OR(WEEKDAY('Daily Schedule'!$B$2,2)=1,WEEKDAY('Daily Schedule'!$B$2,2)=4,WEEKDAY('Daily Schedule'!$B$2,2)=5,WEEKDAY('Daily Schedule'!$B$2,2)=7),IFERROR(1*'Daily Workforce'!$K11&gt;=3,FALSE()),IFERROR(1*'Daily Workforce'!$K11&gt;=2,FALSE())),IF(AND('Daily Schedule'!$A51&gt;=46,'Daily Schedule'!$A51&lt;=52),'Daily Workforce'!$M11="Y",IFERROR(1*'Daily Workforce'!$P11&gt;=2,FALSE()))))),1,0)</f>
        <v>0</v>
      </c>
      <c r="W47" s="1" t="n">
        <f aca="false">IF(AND('Daily Workforce'!$N12="Y",'Daily Workforce'!$B12&lt;&gt;"",COUNTIF('Daily Schedule'!$F$5:$F50,'Daily Workforce'!$B12)=0,IF('Daily Schedule'!$A51=45,'Daily Workforce'!$J12="Y",IF(OR('Daily Schedule'!$A51=4,'Daily Schedule'!$A51=8),IF(OR(WEEKDAY('Daily Schedule'!$B$2,2)=1,WEEKDAY('Daily Schedule'!$B$2,2)=4,WEEKDAY('Daily Schedule'!$B$2,2)=5,WEEKDAY('Daily Schedule'!$B$2,2)=7),IFERROR(1*'Daily Workforce'!$K12&gt;=3,FALSE()),IFERROR(1*'Daily Workforce'!$K12&gt;=2,FALSE())),IF(AND('Daily Schedule'!$A51&gt;=46,'Daily Schedule'!$A51&lt;=52),'Daily Workforce'!$M12="Y",IFERROR(1*'Daily Workforce'!$P12&gt;=2,FALSE()))))),1,0)</f>
        <v>0</v>
      </c>
      <c r="X47" s="1" t="n">
        <f aca="false">IF(AND('Daily Workforce'!$N13="Y",'Daily Workforce'!$B13&lt;&gt;"",COUNTIF('Daily Schedule'!$F$5:$F50,'Daily Workforce'!$B13)=0,IF('Daily Schedule'!$A51=45,'Daily Workforce'!$J13="Y",IF(OR('Daily Schedule'!$A51=4,'Daily Schedule'!$A51=8),IF(OR(WEEKDAY('Daily Schedule'!$B$2,2)=1,WEEKDAY('Daily Schedule'!$B$2,2)=4,WEEKDAY('Daily Schedule'!$B$2,2)=5,WEEKDAY('Daily Schedule'!$B$2,2)=7),IFERROR(1*'Daily Workforce'!$K13&gt;=3,FALSE()),IFERROR(1*'Daily Workforce'!$K13&gt;=2,FALSE())),IF(AND('Daily Schedule'!$A51&gt;=46,'Daily Schedule'!$A51&lt;=52),'Daily Workforce'!$M13="Y",IFERROR(1*'Daily Workforce'!$P13&gt;=2,FALSE()))))),1,0)</f>
        <v>0</v>
      </c>
      <c r="Y47" s="1" t="n">
        <f aca="false">IF(AND('Daily Workforce'!$N14="Y",'Daily Workforce'!$B14&lt;&gt;"",COUNTIF('Daily Schedule'!$F$5:$F50,'Daily Workforce'!$B14)=0,IF('Daily Schedule'!$A51=45,'Daily Workforce'!$J14="Y",IF(OR('Daily Schedule'!$A51=4,'Daily Schedule'!$A51=8),IF(OR(WEEKDAY('Daily Schedule'!$B$2,2)=1,WEEKDAY('Daily Schedule'!$B$2,2)=4,WEEKDAY('Daily Schedule'!$B$2,2)=5,WEEKDAY('Daily Schedule'!$B$2,2)=7),IFERROR(1*'Daily Workforce'!$K14&gt;=3,FALSE()),IFERROR(1*'Daily Workforce'!$K14&gt;=2,FALSE())),IF(AND('Daily Schedule'!$A51&gt;=46,'Daily Schedule'!$A51&lt;=52),'Daily Workforce'!$M14="Y",IFERROR(1*'Daily Workforce'!$P14&gt;=2,FALSE()))))),1,0)</f>
        <v>0</v>
      </c>
      <c r="Z47" s="1" t="n">
        <f aca="false">IF(AND('Daily Workforce'!$N15="Y",'Daily Workforce'!$B15&lt;&gt;"",COUNTIF('Daily Schedule'!$F$5:$F50,'Daily Workforce'!$B15)=0,IF('Daily Schedule'!$A51=45,'Daily Workforce'!$J15="Y",IF(OR('Daily Schedule'!$A51=4,'Daily Schedule'!$A51=8),IF(OR(WEEKDAY('Daily Schedule'!$B$2,2)=1,WEEKDAY('Daily Schedule'!$B$2,2)=4,WEEKDAY('Daily Schedule'!$B$2,2)=5,WEEKDAY('Daily Schedule'!$B$2,2)=7),IFERROR(1*'Daily Workforce'!$K15&gt;=3,FALSE()),IFERROR(1*'Daily Workforce'!$K15&gt;=2,FALSE())),IF(AND('Daily Schedule'!$A51&gt;=46,'Daily Schedule'!$A51&lt;=52),'Daily Workforce'!$M15="Y",IFERROR(1*'Daily Workforce'!$P15&gt;=2,FALSE()))))),1,0)</f>
        <v>0</v>
      </c>
      <c r="AA47" s="1" t="n">
        <f aca="false">IF(AND('Daily Workforce'!$N16="Y",'Daily Workforce'!$B16&lt;&gt;"",COUNTIF('Daily Schedule'!$F$5:$F50,'Daily Workforce'!$B16)=0,IF('Daily Schedule'!$A51=45,'Daily Workforce'!$J16="Y",IF(OR('Daily Schedule'!$A51=4,'Daily Schedule'!$A51=8),IF(OR(WEEKDAY('Daily Schedule'!$B$2,2)=1,WEEKDAY('Daily Schedule'!$B$2,2)=4,WEEKDAY('Daily Schedule'!$B$2,2)=5,WEEKDAY('Daily Schedule'!$B$2,2)=7),IFERROR(1*'Daily Workforce'!$K16&gt;=3,FALSE()),IFERROR(1*'Daily Workforce'!$K16&gt;=2,FALSE())),IF(AND('Daily Schedule'!$A51&gt;=46,'Daily Schedule'!$A51&lt;=52),'Daily Workforce'!$M16="Y",IFERROR(1*'Daily Workforce'!$P16&gt;=2,FALSE()))))),1,0)</f>
        <v>0</v>
      </c>
      <c r="AB47" s="1" t="n">
        <f aca="false">IF(AND('Daily Workforce'!$N17="Y",'Daily Workforce'!$B17&lt;&gt;"",COUNTIF('Daily Schedule'!$F$5:$F50,'Daily Workforce'!$B17)=0,IF('Daily Schedule'!$A51=45,'Daily Workforce'!$J17="Y",IF(OR('Daily Schedule'!$A51=4,'Daily Schedule'!$A51=8),IF(OR(WEEKDAY('Daily Schedule'!$B$2,2)=1,WEEKDAY('Daily Schedule'!$B$2,2)=4,WEEKDAY('Daily Schedule'!$B$2,2)=5,WEEKDAY('Daily Schedule'!$B$2,2)=7),IFERROR(1*'Daily Workforce'!$K17&gt;=3,FALSE()),IFERROR(1*'Daily Workforce'!$K17&gt;=2,FALSE())),IF(AND('Daily Schedule'!$A51&gt;=46,'Daily Schedule'!$A51&lt;=52),'Daily Workforce'!$M17="Y",IFERROR(1*'Daily Workforce'!$P17&gt;=2,FALSE()))))),1,0)</f>
        <v>0</v>
      </c>
      <c r="AC47" s="1" t="n">
        <f aca="false">IF(AND('Daily Workforce'!$N18="Y",'Daily Workforce'!$B18&lt;&gt;"",COUNTIF('Daily Schedule'!$F$5:$F50,'Daily Workforce'!$B18)=0,IF('Daily Schedule'!$A51=45,'Daily Workforce'!$J18="Y",IF(OR('Daily Schedule'!$A51=4,'Daily Schedule'!$A51=8),IF(OR(WEEKDAY('Daily Schedule'!$B$2,2)=1,WEEKDAY('Daily Schedule'!$B$2,2)=4,WEEKDAY('Daily Schedule'!$B$2,2)=5,WEEKDAY('Daily Schedule'!$B$2,2)=7),IFERROR(1*'Daily Workforce'!$K18&gt;=3,FALSE()),IFERROR(1*'Daily Workforce'!$K18&gt;=2,FALSE())),IF(AND('Daily Schedule'!$A51&gt;=46,'Daily Schedule'!$A51&lt;=52),'Daily Workforce'!$M18="Y",IFERROR(1*'Daily Workforce'!$P18&gt;=2,FALSE()))))),1,0)</f>
        <v>0</v>
      </c>
      <c r="AD47" s="1" t="n">
        <f aca="false">IF(AND('Daily Workforce'!$N19="Y",'Daily Workforce'!$B19&lt;&gt;"",COUNTIF('Daily Schedule'!$F$5:$F50,'Daily Workforce'!$B19)=0,IF('Daily Schedule'!$A51=45,'Daily Workforce'!$J19="Y",IF(OR('Daily Schedule'!$A51=4,'Daily Schedule'!$A51=8),IF(OR(WEEKDAY('Daily Schedule'!$B$2,2)=1,WEEKDAY('Daily Schedule'!$B$2,2)=4,WEEKDAY('Daily Schedule'!$B$2,2)=5,WEEKDAY('Daily Schedule'!$B$2,2)=7),IFERROR(1*'Daily Workforce'!$K19&gt;=3,FALSE()),IFERROR(1*'Daily Workforce'!$K19&gt;=2,FALSE())),IF(AND('Daily Schedule'!$A51&gt;=46,'Daily Schedule'!$A51&lt;=52),'Daily Workforce'!$M19="Y",IFERROR(1*'Daily Workforce'!$P19&gt;=2,FALSE()))))),1,0)</f>
        <v>0</v>
      </c>
      <c r="AE47" s="1" t="n">
        <f aca="false">IF(AND('Daily Workforce'!$N20="Y",'Daily Workforce'!$B20&lt;&gt;"",COUNTIF('Daily Schedule'!$F$5:$F50,'Daily Workforce'!$B20)=0,IF('Daily Schedule'!$A51=45,'Daily Workforce'!$J20="Y",IF(OR('Daily Schedule'!$A51=4,'Daily Schedule'!$A51=8),IF(OR(WEEKDAY('Daily Schedule'!$B$2,2)=1,WEEKDAY('Daily Schedule'!$B$2,2)=4,WEEKDAY('Daily Schedule'!$B$2,2)=5,WEEKDAY('Daily Schedule'!$B$2,2)=7),IFERROR(1*'Daily Workforce'!$K20&gt;=3,FALSE()),IFERROR(1*'Daily Workforce'!$K20&gt;=2,FALSE())),IF(AND('Daily Schedule'!$A51&gt;=46,'Daily Schedule'!$A51&lt;=52),'Daily Workforce'!$M20="Y",IFERROR(1*'Daily Workforce'!$P20&gt;=2,FALSE()))))),1,0)</f>
        <v>0</v>
      </c>
      <c r="AF47" s="1" t="n">
        <f aca="false">IF(AND('Daily Workforce'!$N21="Y",'Daily Workforce'!$B21&lt;&gt;"",COUNTIF('Daily Schedule'!$F$5:$F50,'Daily Workforce'!$B21)=0,IF('Daily Schedule'!$A51=45,'Daily Workforce'!$J21="Y",IF(OR('Daily Schedule'!$A51=4,'Daily Schedule'!$A51=8),IF(OR(WEEKDAY('Daily Schedule'!$B$2,2)=1,WEEKDAY('Daily Schedule'!$B$2,2)=4,WEEKDAY('Daily Schedule'!$B$2,2)=5,WEEKDAY('Daily Schedule'!$B$2,2)=7),IFERROR(1*'Daily Workforce'!$K21&gt;=3,FALSE()),IFERROR(1*'Daily Workforce'!$K21&gt;=2,FALSE())),IF(AND('Daily Schedule'!$A51&gt;=46,'Daily Schedule'!$A51&lt;=52),'Daily Workforce'!$M21="Y",IFERROR(1*'Daily Workforce'!$P21&gt;=2,FALSE()))))),1,0)</f>
        <v>0</v>
      </c>
      <c r="AG47" s="1" t="n">
        <f aca="false">IF(AND('Daily Workforce'!$N22="Y",'Daily Workforce'!$B22&lt;&gt;"",COUNTIF('Daily Schedule'!$F$5:$F50,'Daily Workforce'!$B22)=0,IF('Daily Schedule'!$A51=45,'Daily Workforce'!$J22="Y",IF(OR('Daily Schedule'!$A51=4,'Daily Schedule'!$A51=8),IF(OR(WEEKDAY('Daily Schedule'!$B$2,2)=1,WEEKDAY('Daily Schedule'!$B$2,2)=4,WEEKDAY('Daily Schedule'!$B$2,2)=5,WEEKDAY('Daily Schedule'!$B$2,2)=7),IFERROR(1*'Daily Workforce'!$K22&gt;=3,FALSE()),IFERROR(1*'Daily Workforce'!$K22&gt;=2,FALSE())),IF(AND('Daily Schedule'!$A51&gt;=46,'Daily Schedule'!$A51&lt;=52),'Daily Workforce'!$M22="Y",IFERROR(1*'Daily Workforce'!$P22&gt;=2,FALSE()))))),1,0)</f>
        <v>0</v>
      </c>
      <c r="AH47" s="1" t="n">
        <f aca="false">IF(AND('Daily Workforce'!$N23="Y",'Daily Workforce'!$B23&lt;&gt;"",COUNTIF('Daily Schedule'!$F$5:$F50,'Daily Workforce'!$B23)=0,IF('Daily Schedule'!$A51=45,'Daily Workforce'!$J23="Y",IF(OR('Daily Schedule'!$A51=4,'Daily Schedule'!$A51=8),IF(OR(WEEKDAY('Daily Schedule'!$B$2,2)=1,WEEKDAY('Daily Schedule'!$B$2,2)=4,WEEKDAY('Daily Schedule'!$B$2,2)=5,WEEKDAY('Daily Schedule'!$B$2,2)=7),IFERROR(1*'Daily Workforce'!$K23&gt;=3,FALSE()),IFERROR(1*'Daily Workforce'!$K23&gt;=2,FALSE())),IF(AND('Daily Schedule'!$A51&gt;=46,'Daily Schedule'!$A51&lt;=52),'Daily Workforce'!$M23="Y",IFERROR(1*'Daily Workforce'!$P23&gt;=2,FALSE()))))),1,0)</f>
        <v>0</v>
      </c>
      <c r="AI47" s="1" t="n">
        <f aca="false">IF(AND('Daily Workforce'!$N24="Y",'Daily Workforce'!$B24&lt;&gt;"",COUNTIF('Daily Schedule'!$F$5:$F50,'Daily Workforce'!$B24)=0,IF('Daily Schedule'!$A51=45,'Daily Workforce'!$J24="Y",IF(OR('Daily Schedule'!$A51=4,'Daily Schedule'!$A51=8),IF(OR(WEEKDAY('Daily Schedule'!$B$2,2)=1,WEEKDAY('Daily Schedule'!$B$2,2)=4,WEEKDAY('Daily Schedule'!$B$2,2)=5,WEEKDAY('Daily Schedule'!$B$2,2)=7),IFERROR(1*'Daily Workforce'!$K24&gt;=3,FALSE()),IFERROR(1*'Daily Workforce'!$K24&gt;=2,FALSE())),IF(AND('Daily Schedule'!$A51&gt;=46,'Daily Schedule'!$A51&lt;=52),'Daily Workforce'!$M24="Y",IFERROR(1*'Daily Workforce'!$P24&gt;=2,FALSE()))))),1,0)</f>
        <v>0</v>
      </c>
      <c r="AJ47" s="1" t="n">
        <f aca="false">IF(AND('Daily Workforce'!$N25="Y",'Daily Workforce'!$B25&lt;&gt;"",COUNTIF('Daily Schedule'!$F$5:$F50,'Daily Workforce'!$B25)=0,IF('Daily Schedule'!$A51=45,'Daily Workforce'!$J25="Y",IF(OR('Daily Schedule'!$A51=4,'Daily Schedule'!$A51=8),IF(OR(WEEKDAY('Daily Schedule'!$B$2,2)=1,WEEKDAY('Daily Schedule'!$B$2,2)=4,WEEKDAY('Daily Schedule'!$B$2,2)=5,WEEKDAY('Daily Schedule'!$B$2,2)=7),IFERROR(1*'Daily Workforce'!$K25&gt;=3,FALSE()),IFERROR(1*'Daily Workforce'!$K25&gt;=2,FALSE())),IF(AND('Daily Schedule'!$A51&gt;=46,'Daily Schedule'!$A51&lt;=52),'Daily Workforce'!$M25="Y",IFERROR(1*'Daily Workforce'!$P25&gt;=2,FALSE()))))),1,0)</f>
        <v>0</v>
      </c>
      <c r="AK47" s="1" t="n">
        <f aca="false">IF(AND('Daily Workforce'!$N26="Y",'Daily Workforce'!$B26&lt;&gt;"",COUNTIF('Daily Schedule'!$F$5:$F50,'Daily Workforce'!$B26)=0,IF('Daily Schedule'!$A51=45,'Daily Workforce'!$J26="Y",IF(OR('Daily Schedule'!$A51=4,'Daily Schedule'!$A51=8),IF(OR(WEEKDAY('Daily Schedule'!$B$2,2)=1,WEEKDAY('Daily Schedule'!$B$2,2)=4,WEEKDAY('Daily Schedule'!$B$2,2)=5,WEEKDAY('Daily Schedule'!$B$2,2)=7),IFERROR(1*'Daily Workforce'!$K26&gt;=3,FALSE()),IFERROR(1*'Daily Workforce'!$K26&gt;=2,FALSE())),IF(AND('Daily Schedule'!$A51&gt;=46,'Daily Schedule'!$A51&lt;=52),'Daily Workforce'!$M26="Y",IFERROR(1*'Daily Workforce'!$P26&gt;=2,FALSE()))))),1,0)</f>
        <v>0</v>
      </c>
      <c r="AL47" s="1" t="n">
        <f aca="false">IF(AND('Daily Workforce'!$N27="Y",'Daily Workforce'!$B27&lt;&gt;"",COUNTIF('Daily Schedule'!$F$5:$F50,'Daily Workforce'!$B27)=0,IF('Daily Schedule'!$A51=45,'Daily Workforce'!$J27="Y",IF(OR('Daily Schedule'!$A51=4,'Daily Schedule'!$A51=8),IF(OR(WEEKDAY('Daily Schedule'!$B$2,2)=1,WEEKDAY('Daily Schedule'!$B$2,2)=4,WEEKDAY('Daily Schedule'!$B$2,2)=5,WEEKDAY('Daily Schedule'!$B$2,2)=7),IFERROR(1*'Daily Workforce'!$K27&gt;=3,FALSE()),IFERROR(1*'Daily Workforce'!$K27&gt;=2,FALSE())),IF(AND('Daily Schedule'!$A51&gt;=46,'Daily Schedule'!$A51&lt;=52),'Daily Workforce'!$M27="Y",IFERROR(1*'Daily Workforce'!$P27&gt;=2,FALSE()))))),1,0)</f>
        <v>0</v>
      </c>
      <c r="AM47" s="1" t="n">
        <f aca="false">IF(AND('Daily Workforce'!$N28="Y",'Daily Workforce'!$B28&lt;&gt;"",COUNTIF('Daily Schedule'!$F$5:$F50,'Daily Workforce'!$B28)=0,IF('Daily Schedule'!$A51=45,'Daily Workforce'!$J28="Y",IF(OR('Daily Schedule'!$A51=4,'Daily Schedule'!$A51=8),IF(OR(WEEKDAY('Daily Schedule'!$B$2,2)=1,WEEKDAY('Daily Schedule'!$B$2,2)=4,WEEKDAY('Daily Schedule'!$B$2,2)=5,WEEKDAY('Daily Schedule'!$B$2,2)=7),IFERROR(1*'Daily Workforce'!$K28&gt;=3,FALSE()),IFERROR(1*'Daily Workforce'!$K28&gt;=2,FALSE())),IF(AND('Daily Schedule'!$A51&gt;=46,'Daily Schedule'!$A51&lt;=52),'Daily Workforce'!$M28="Y",IFERROR(1*'Daily Workforce'!$P28&gt;=2,FALSE()))))),1,0)</f>
        <v>0</v>
      </c>
      <c r="AN47" s="1" t="n">
        <f aca="false">IF(AND('Daily Workforce'!$N29="Y",'Daily Workforce'!$B29&lt;&gt;"",COUNTIF('Daily Schedule'!$F$5:$F50,'Daily Workforce'!$B29)=0,IF('Daily Schedule'!$A51=45,'Daily Workforce'!$J29="Y",IF(OR('Daily Schedule'!$A51=4,'Daily Schedule'!$A51=8),IF(OR(WEEKDAY('Daily Schedule'!$B$2,2)=1,WEEKDAY('Daily Schedule'!$B$2,2)=4,WEEKDAY('Daily Schedule'!$B$2,2)=5,WEEKDAY('Daily Schedule'!$B$2,2)=7),IFERROR(1*'Daily Workforce'!$K29&gt;=3,FALSE()),IFERROR(1*'Daily Workforce'!$K29&gt;=2,FALSE())),IF(AND('Daily Schedule'!$A51&gt;=46,'Daily Schedule'!$A51&lt;=52),'Daily Workforce'!$M29="Y",IFERROR(1*'Daily Workforce'!$P29&gt;=2,FALSE()))))),1,0)</f>
        <v>0</v>
      </c>
      <c r="AO47" s="1" t="n">
        <f aca="false">IF(AND('Daily Workforce'!$N30="Y",'Daily Workforce'!$B30&lt;&gt;"",COUNTIF('Daily Schedule'!$F$5:$F50,'Daily Workforce'!$B30)=0,IF('Daily Schedule'!$A51=45,'Daily Workforce'!$J30="Y",IF(OR('Daily Schedule'!$A51=4,'Daily Schedule'!$A51=8),IF(OR(WEEKDAY('Daily Schedule'!$B$2,2)=1,WEEKDAY('Daily Schedule'!$B$2,2)=4,WEEKDAY('Daily Schedule'!$B$2,2)=5,WEEKDAY('Daily Schedule'!$B$2,2)=7),IFERROR(1*'Daily Workforce'!$K30&gt;=3,FALSE()),IFERROR(1*'Daily Workforce'!$K30&gt;=2,FALSE())),IF(AND('Daily Schedule'!$A51&gt;=46,'Daily Schedule'!$A51&lt;=52),'Daily Workforce'!$M30="Y",IFERROR(1*'Daily Workforce'!$P30&gt;=2,FALSE()))))),1,0)</f>
        <v>0</v>
      </c>
      <c r="AP47" s="1" t="n">
        <f aca="false">IF(AND('Daily Workforce'!$N31="Y",'Daily Workforce'!$B31&lt;&gt;"",COUNTIF('Daily Schedule'!$F$5:$F50,'Daily Workforce'!$B31)=0,IF('Daily Schedule'!$A51=45,'Daily Workforce'!$J31="Y",IF(OR('Daily Schedule'!$A51=4,'Daily Schedule'!$A51=8),IF(OR(WEEKDAY('Daily Schedule'!$B$2,2)=1,WEEKDAY('Daily Schedule'!$B$2,2)=4,WEEKDAY('Daily Schedule'!$B$2,2)=5,WEEKDAY('Daily Schedule'!$B$2,2)=7),IFERROR(1*'Daily Workforce'!$K31&gt;=3,FALSE()),IFERROR(1*'Daily Workforce'!$K31&gt;=2,FALSE())),IF(AND('Daily Schedule'!$A51&gt;=46,'Daily Schedule'!$A51&lt;=52),'Daily Workforce'!$M31="Y",IFERROR(1*'Daily Workforce'!$P31&gt;=2,FALSE()))))),1,0)</f>
        <v>0</v>
      </c>
      <c r="AQ47" s="1" t="n">
        <f aca="false">IF(AND('Daily Workforce'!$N32="Y",'Daily Workforce'!$B32&lt;&gt;"",COUNTIF('Daily Schedule'!$F$5:$F50,'Daily Workforce'!$B32)=0,IF('Daily Schedule'!$A51=45,'Daily Workforce'!$J32="Y",IF(OR('Daily Schedule'!$A51=4,'Daily Schedule'!$A51=8),IF(OR(WEEKDAY('Daily Schedule'!$B$2,2)=1,WEEKDAY('Daily Schedule'!$B$2,2)=4,WEEKDAY('Daily Schedule'!$B$2,2)=5,WEEKDAY('Daily Schedule'!$B$2,2)=7),IFERROR(1*'Daily Workforce'!$K32&gt;=3,FALSE()),IFERROR(1*'Daily Workforce'!$K32&gt;=2,FALSE())),IF(AND('Daily Schedule'!$A51&gt;=46,'Daily Schedule'!$A51&lt;=52),'Daily Workforce'!$M32="Y",IFERROR(1*'Daily Workforce'!$P32&gt;=2,FALSE()))))),1,0)</f>
        <v>0</v>
      </c>
      <c r="AR47" s="1" t="n">
        <f aca="false">IF(AND('Daily Workforce'!$N33="Y",'Daily Workforce'!$B33&lt;&gt;"",COUNTIF('Daily Schedule'!$F$5:$F50,'Daily Workforce'!$B33)=0,IF('Daily Schedule'!$A51=45,'Daily Workforce'!$J33="Y",IF(OR('Daily Schedule'!$A51=4,'Daily Schedule'!$A51=8),IF(OR(WEEKDAY('Daily Schedule'!$B$2,2)=1,WEEKDAY('Daily Schedule'!$B$2,2)=4,WEEKDAY('Daily Schedule'!$B$2,2)=5,WEEKDAY('Daily Schedule'!$B$2,2)=7),IFERROR(1*'Daily Workforce'!$K33&gt;=3,FALSE()),IFERROR(1*'Daily Workforce'!$K33&gt;=2,FALSE())),IF(AND('Daily Schedule'!$A51&gt;=46,'Daily Schedule'!$A51&lt;=52),'Daily Workforce'!$M33="Y",IFERROR(1*'Daily Workforce'!$P33&gt;=2,FALSE()))))),1,0)</f>
        <v>0</v>
      </c>
      <c r="AS47" s="1" t="n">
        <f aca="false">IF(AND('Daily Workforce'!$N34="Y",'Daily Workforce'!$B34&lt;&gt;"",COUNTIF('Daily Schedule'!$F$5:$F50,'Daily Workforce'!$B34)=0,IF('Daily Schedule'!$A51=45,'Daily Workforce'!$J34="Y",IF(OR('Daily Schedule'!$A51=4,'Daily Schedule'!$A51=8),IF(OR(WEEKDAY('Daily Schedule'!$B$2,2)=1,WEEKDAY('Daily Schedule'!$B$2,2)=4,WEEKDAY('Daily Schedule'!$B$2,2)=5,WEEKDAY('Daily Schedule'!$B$2,2)=7),IFERROR(1*'Daily Workforce'!$K34&gt;=3,FALSE()),IFERROR(1*'Daily Workforce'!$K34&gt;=2,FALSE())),IF(AND('Daily Schedule'!$A51&gt;=46,'Daily Schedule'!$A51&lt;=52),'Daily Workforce'!$M34="Y",IFERROR(1*'Daily Workforce'!$P34&gt;=2,FALSE()))))),1,0)</f>
        <v>0</v>
      </c>
      <c r="AT47" s="1" t="n">
        <f aca="false">IF(AND('Daily Workforce'!$N35="Y",'Daily Workforce'!$B35&lt;&gt;"",COUNTIF('Daily Schedule'!$F$5:$F50,'Daily Workforce'!$B35)=0,IF('Daily Schedule'!$A51=45,'Daily Workforce'!$J35="Y",IF(OR('Daily Schedule'!$A51=4,'Daily Schedule'!$A51=8),IF(OR(WEEKDAY('Daily Schedule'!$B$2,2)=1,WEEKDAY('Daily Schedule'!$B$2,2)=4,WEEKDAY('Daily Schedule'!$B$2,2)=5,WEEKDAY('Daily Schedule'!$B$2,2)=7),IFERROR(1*'Daily Workforce'!$K35&gt;=3,FALSE()),IFERROR(1*'Daily Workforce'!$K35&gt;=2,FALSE())),IF(AND('Daily Schedule'!$A51&gt;=46,'Daily Schedule'!$A51&lt;=52),'Daily Workforce'!$M35="Y",IFERROR(1*'Daily Workforce'!$P35&gt;=2,FALSE()))))),1,0)</f>
        <v>0</v>
      </c>
      <c r="AU47" s="1" t="n">
        <f aca="false">IF(AND('Daily Workforce'!$N36="Y",'Daily Workforce'!$B36&lt;&gt;"",COUNTIF('Daily Schedule'!$F$5:$F50,'Daily Workforce'!$B36)=0,IF('Daily Schedule'!$A51=45,'Daily Workforce'!$J36="Y",IF(OR('Daily Schedule'!$A51=4,'Daily Schedule'!$A51=8),IF(OR(WEEKDAY('Daily Schedule'!$B$2,2)=1,WEEKDAY('Daily Schedule'!$B$2,2)=4,WEEKDAY('Daily Schedule'!$B$2,2)=5,WEEKDAY('Daily Schedule'!$B$2,2)=7),IFERROR(1*'Daily Workforce'!$K36&gt;=3,FALSE()),IFERROR(1*'Daily Workforce'!$K36&gt;=2,FALSE())),IF(AND('Daily Schedule'!$A51&gt;=46,'Daily Schedule'!$A51&lt;=52),'Daily Workforce'!$M36="Y",IFERROR(1*'Daily Workforce'!$P36&gt;=2,FALSE()))))),1,0)</f>
        <v>0</v>
      </c>
      <c r="AV47" s="1" t="n">
        <f aca="false">IF(AND('Daily Workforce'!$N37="Y",'Daily Workforce'!$B37&lt;&gt;"",COUNTIF('Daily Schedule'!$F$5:$F50,'Daily Workforce'!$B37)=0,IF('Daily Schedule'!$A51=45,'Daily Workforce'!$J37="Y",IF(OR('Daily Schedule'!$A51=4,'Daily Schedule'!$A51=8),IF(OR(WEEKDAY('Daily Schedule'!$B$2,2)=1,WEEKDAY('Daily Schedule'!$B$2,2)=4,WEEKDAY('Daily Schedule'!$B$2,2)=5,WEEKDAY('Daily Schedule'!$B$2,2)=7),IFERROR(1*'Daily Workforce'!$K37&gt;=3,FALSE()),IFERROR(1*'Daily Workforce'!$K37&gt;=2,FALSE())),IF(AND('Daily Schedule'!$A51&gt;=46,'Daily Schedule'!$A51&lt;=52),'Daily Workforce'!$M37="Y",IFERROR(1*'Daily Workforce'!$P37&gt;=2,FALSE()))))),1,0)</f>
        <v>0</v>
      </c>
      <c r="AW47" s="1" t="n">
        <f aca="false">IF(AND('Daily Workforce'!$N38="Y",'Daily Workforce'!$B38&lt;&gt;"",COUNTIF('Daily Schedule'!$F$5:$F50,'Daily Workforce'!$B38)=0,IF('Daily Schedule'!$A51=45,'Daily Workforce'!$J38="Y",IF(OR('Daily Schedule'!$A51=4,'Daily Schedule'!$A51=8),IF(OR(WEEKDAY('Daily Schedule'!$B$2,2)=1,WEEKDAY('Daily Schedule'!$B$2,2)=4,WEEKDAY('Daily Schedule'!$B$2,2)=5,WEEKDAY('Daily Schedule'!$B$2,2)=7),IFERROR(1*'Daily Workforce'!$K38&gt;=3,FALSE()),IFERROR(1*'Daily Workforce'!$K38&gt;=2,FALSE())),IF(AND('Daily Schedule'!$A51&gt;=46,'Daily Schedule'!$A51&lt;=52),'Daily Workforce'!$M38="Y",IFERROR(1*'Daily Workforce'!$P38&gt;=2,FALSE()))))),1,0)</f>
        <v>0</v>
      </c>
      <c r="AX47" s="1" t="n">
        <f aca="false">IF(AND('Daily Workforce'!$N39="Y",'Daily Workforce'!$B39&lt;&gt;"",COUNTIF('Daily Schedule'!$F$5:$F50,'Daily Workforce'!$B39)=0,IF('Daily Schedule'!$A51=45,'Daily Workforce'!$J39="Y",IF(OR('Daily Schedule'!$A51=4,'Daily Schedule'!$A51=8),IF(OR(WEEKDAY('Daily Schedule'!$B$2,2)=1,WEEKDAY('Daily Schedule'!$B$2,2)=4,WEEKDAY('Daily Schedule'!$B$2,2)=5,WEEKDAY('Daily Schedule'!$B$2,2)=7),IFERROR(1*'Daily Workforce'!$K39&gt;=3,FALSE()),IFERROR(1*'Daily Workforce'!$K39&gt;=2,FALSE())),IF(AND('Daily Schedule'!$A51&gt;=46,'Daily Schedule'!$A51&lt;=52),'Daily Workforce'!$M39="Y",IFERROR(1*'Daily Workforce'!$P39&gt;=2,FALSE()))))),1,0)</f>
        <v>0</v>
      </c>
      <c r="AY47" s="1" t="n">
        <f aca="false">IF(AND('Daily Workforce'!$N40="Y",'Daily Workforce'!$B40&lt;&gt;"",COUNTIF('Daily Schedule'!$F$5:$F50,'Daily Workforce'!$B40)=0,IF('Daily Schedule'!$A51=45,'Daily Workforce'!$J40="Y",IF(OR('Daily Schedule'!$A51=4,'Daily Schedule'!$A51=8),IF(OR(WEEKDAY('Daily Schedule'!$B$2,2)=1,WEEKDAY('Daily Schedule'!$B$2,2)=4,WEEKDAY('Daily Schedule'!$B$2,2)=5,WEEKDAY('Daily Schedule'!$B$2,2)=7),IFERROR(1*'Daily Workforce'!$K40&gt;=3,FALSE()),IFERROR(1*'Daily Workforce'!$K40&gt;=2,FALSE())),IF(AND('Daily Schedule'!$A51&gt;=46,'Daily Schedule'!$A51&lt;=52),'Daily Workforce'!$M40="Y",IFERROR(1*'Daily Workforce'!$P40&gt;=2,FALSE()))))),1,0)</f>
        <v>0</v>
      </c>
      <c r="AZ47" s="1" t="n">
        <f aca="false">IF(AND('Daily Workforce'!$N41="Y",'Daily Workforce'!$B41&lt;&gt;"",COUNTIF('Daily Schedule'!$F$5:$F50,'Daily Workforce'!$B41)=0,IF('Daily Schedule'!$A51=45,'Daily Workforce'!$J41="Y",IF(OR('Daily Schedule'!$A51=4,'Daily Schedule'!$A51=8),IF(OR(WEEKDAY('Daily Schedule'!$B$2,2)=1,WEEKDAY('Daily Schedule'!$B$2,2)=4,WEEKDAY('Daily Schedule'!$B$2,2)=5,WEEKDAY('Daily Schedule'!$B$2,2)=7),IFERROR(1*'Daily Workforce'!$K41&gt;=3,FALSE()),IFERROR(1*'Daily Workforce'!$K41&gt;=2,FALSE())),IF(AND('Daily Schedule'!$A51&gt;=46,'Daily Schedule'!$A51&lt;=52),'Daily Workforce'!$M41="Y",IFERROR(1*'Daily Workforce'!$P41&gt;=2,FALSE()))))),1,0)</f>
        <v>0</v>
      </c>
      <c r="BA47" s="1" t="n">
        <f aca="false">IF(AND('Daily Workforce'!$N42="Y",'Daily Workforce'!$B42&lt;&gt;"",COUNTIF('Daily Schedule'!$F$5:$F50,'Daily Workforce'!$B42)=0,IF('Daily Schedule'!$A51=45,'Daily Workforce'!$J42="Y",IF(OR('Daily Schedule'!$A51=4,'Daily Schedule'!$A51=8),IF(OR(WEEKDAY('Daily Schedule'!$B$2,2)=1,WEEKDAY('Daily Schedule'!$B$2,2)=4,WEEKDAY('Daily Schedule'!$B$2,2)=5,WEEKDAY('Daily Schedule'!$B$2,2)=7),IFERROR(1*'Daily Workforce'!$K42&gt;=3,FALSE()),IFERROR(1*'Daily Workforce'!$K42&gt;=2,FALSE())),IF(AND('Daily Schedule'!$A51&gt;=46,'Daily Schedule'!$A51&lt;=52),'Daily Workforce'!$M42="Y",IFERROR(1*'Daily Workforce'!$P42&gt;=2,FALSE()))))),1,0)</f>
        <v>0</v>
      </c>
      <c r="BB47" s="1" t="n">
        <f aca="false">IF(AND('Daily Workforce'!$N43="Y",'Daily Workforce'!$B43&lt;&gt;"",COUNTIF('Daily Schedule'!$F$5:$F50,'Daily Workforce'!$B43)=0,IF('Daily Schedule'!$A51=45,'Daily Workforce'!$J43="Y",IF(OR('Daily Schedule'!$A51=4,'Daily Schedule'!$A51=8),IF(OR(WEEKDAY('Daily Schedule'!$B$2,2)=1,WEEKDAY('Daily Schedule'!$B$2,2)=4,WEEKDAY('Daily Schedule'!$B$2,2)=5,WEEKDAY('Daily Schedule'!$B$2,2)=7),IFERROR(1*'Daily Workforce'!$K43&gt;=3,FALSE()),IFERROR(1*'Daily Workforce'!$K43&gt;=2,FALSE())),IF(AND('Daily Schedule'!$A51&gt;=46,'Daily Schedule'!$A51&lt;=52),'Daily Workforce'!$M43="Y",IFERROR(1*'Daily Workforce'!$P43&gt;=2,FALSE()))))),1,0)</f>
        <v>0</v>
      </c>
      <c r="BC47" s="1" t="n">
        <f aca="false">IF(AND('Daily Workforce'!$N44="Y",'Daily Workforce'!$B44&lt;&gt;"",COUNTIF('Daily Schedule'!$F$5:$F50,'Daily Workforce'!$B44)=0,IF('Daily Schedule'!$A51=45,'Daily Workforce'!$J44="Y",IF(OR('Daily Schedule'!$A51=4,'Daily Schedule'!$A51=8),IF(OR(WEEKDAY('Daily Schedule'!$B$2,2)=1,WEEKDAY('Daily Schedule'!$B$2,2)=4,WEEKDAY('Daily Schedule'!$B$2,2)=5,WEEKDAY('Daily Schedule'!$B$2,2)=7),IFERROR(1*'Daily Workforce'!$K44&gt;=3,FALSE()),IFERROR(1*'Daily Workforce'!$K44&gt;=2,FALSE())),IF(AND('Daily Schedule'!$A51&gt;=46,'Daily Schedule'!$A51&lt;=52),'Daily Workforce'!$M44="Y",IFERROR(1*'Daily Workforce'!$P44&gt;=2,FALSE()))))),1,0)</f>
        <v>0</v>
      </c>
      <c r="BD47" s="1" t="n">
        <f aca="false">IF(AND('Daily Workforce'!$N45="Y",'Daily Workforce'!$B45&lt;&gt;"",COUNTIF('Daily Schedule'!$F$5:$F50,'Daily Workforce'!$B45)=0,IF('Daily Schedule'!$A51=45,'Daily Workforce'!$J45="Y",IF(OR('Daily Schedule'!$A51=4,'Daily Schedule'!$A51=8),IF(OR(WEEKDAY('Daily Schedule'!$B$2,2)=1,WEEKDAY('Daily Schedule'!$B$2,2)=4,WEEKDAY('Daily Schedule'!$B$2,2)=5,WEEKDAY('Daily Schedule'!$B$2,2)=7),IFERROR(1*'Daily Workforce'!$K45&gt;=3,FALSE()),IFERROR(1*'Daily Workforce'!$K45&gt;=2,FALSE())),IF(AND('Daily Schedule'!$A51&gt;=46,'Daily Schedule'!$A51&lt;=52),'Daily Workforce'!$M45="Y",IFERROR(1*'Daily Workforce'!$P45&gt;=2,FALSE()))))),1,0)</f>
        <v>0</v>
      </c>
      <c r="BE47" s="1" t="n">
        <f aca="false">IF(AND('Daily Workforce'!$N46="Y",'Daily Workforce'!$B46&lt;&gt;"",COUNTIF('Daily Schedule'!$F$5:$F50,'Daily Workforce'!$B46)=0,IF('Daily Schedule'!$A51=45,'Daily Workforce'!$J46="Y",IF(OR('Daily Schedule'!$A51=4,'Daily Schedule'!$A51=8),IF(OR(WEEKDAY('Daily Schedule'!$B$2,2)=1,WEEKDAY('Daily Schedule'!$B$2,2)=4,WEEKDAY('Daily Schedule'!$B$2,2)=5,WEEKDAY('Daily Schedule'!$B$2,2)=7),IFERROR(1*'Daily Workforce'!$K46&gt;=3,FALSE()),IFERROR(1*'Daily Workforce'!$K46&gt;=2,FALSE())),IF(AND('Daily Schedule'!$A51&gt;=46,'Daily Schedule'!$A51&lt;=52),'Daily Workforce'!$M46="Y",IFERROR(1*'Daily Workforce'!$P46&gt;=2,FALSE()))))),1,0)</f>
        <v>0</v>
      </c>
      <c r="BF47" s="1" t="n">
        <f aca="false">IF(AND('Daily Workforce'!$N47="Y",'Daily Workforce'!$B47&lt;&gt;"",COUNTIF('Daily Schedule'!$F$5:$F50,'Daily Workforce'!$B47)=0,IF('Daily Schedule'!$A51=45,'Daily Workforce'!$J47="Y",IF(OR('Daily Schedule'!$A51=4,'Daily Schedule'!$A51=8),IF(OR(WEEKDAY('Daily Schedule'!$B$2,2)=1,WEEKDAY('Daily Schedule'!$B$2,2)=4,WEEKDAY('Daily Schedule'!$B$2,2)=5,WEEKDAY('Daily Schedule'!$B$2,2)=7),IFERROR(1*'Daily Workforce'!$K47&gt;=3,FALSE()),IFERROR(1*'Daily Workforce'!$K47&gt;=2,FALSE())),IF(AND('Daily Schedule'!$A51&gt;=46,'Daily Schedule'!$A51&lt;=52),'Daily Workforce'!$M47="Y",IFERROR(1*'Daily Workforce'!$P47&gt;=2,FALSE()))))),1,0)</f>
        <v>0</v>
      </c>
      <c r="BG47" s="1" t="n">
        <f aca="false">IF(AND('Daily Workforce'!$N48="Y",'Daily Workforce'!$B48&lt;&gt;"",COUNTIF('Daily Schedule'!$F$5:$F50,'Daily Workforce'!$B48)=0,IF('Daily Schedule'!$A51=45,'Daily Workforce'!$J48="Y",IF(OR('Daily Schedule'!$A51=4,'Daily Schedule'!$A51=8),IF(OR(WEEKDAY('Daily Schedule'!$B$2,2)=1,WEEKDAY('Daily Schedule'!$B$2,2)=4,WEEKDAY('Daily Schedule'!$B$2,2)=5,WEEKDAY('Daily Schedule'!$B$2,2)=7),IFERROR(1*'Daily Workforce'!$K48&gt;=3,FALSE()),IFERROR(1*'Daily Workforce'!$K48&gt;=2,FALSE())),IF(AND('Daily Schedule'!$A51&gt;=46,'Daily Schedule'!$A51&lt;=52),'Daily Workforce'!$M48="Y",IFERROR(1*'Daily Workforce'!$P48&gt;=2,FALSE()))))),1,0)</f>
        <v>0</v>
      </c>
      <c r="BH47" s="1" t="n">
        <f aca="false">IF(AND('Daily Workforce'!$N49="Y",'Daily Workforce'!$B49&lt;&gt;"",COUNTIF('Daily Schedule'!$F$5:$F50,'Daily Workforce'!$B49)=0,IF('Daily Schedule'!$A51=45,'Daily Workforce'!$J49="Y",IF(OR('Daily Schedule'!$A51=4,'Daily Schedule'!$A51=8),IF(OR(WEEKDAY('Daily Schedule'!$B$2,2)=1,WEEKDAY('Daily Schedule'!$B$2,2)=4,WEEKDAY('Daily Schedule'!$B$2,2)=5,WEEKDAY('Daily Schedule'!$B$2,2)=7),IFERROR(1*'Daily Workforce'!$K49&gt;=3,FALSE()),IFERROR(1*'Daily Workforce'!$K49&gt;=2,FALSE())),IF(AND('Daily Schedule'!$A51&gt;=46,'Daily Schedule'!$A51&lt;=52),'Daily Workforce'!$M49="Y",IFERROR(1*'Daily Workforce'!$P49&gt;=2,FALSE()))))),1,0)</f>
        <v>0</v>
      </c>
      <c r="BI47" s="1" t="n">
        <f aca="false">IF(AND('Daily Workforce'!$N50="Y",'Daily Workforce'!$B50&lt;&gt;"",COUNTIF('Daily Schedule'!$F$5:$F50,'Daily Workforce'!$B50)=0,IF('Daily Schedule'!$A51=45,'Daily Workforce'!$J50="Y",IF(OR('Daily Schedule'!$A51=4,'Daily Schedule'!$A51=8),IF(OR(WEEKDAY('Daily Schedule'!$B$2,2)=1,WEEKDAY('Daily Schedule'!$B$2,2)=4,WEEKDAY('Daily Schedule'!$B$2,2)=5,WEEKDAY('Daily Schedule'!$B$2,2)=7),IFERROR(1*'Daily Workforce'!$K50&gt;=3,FALSE()),IFERROR(1*'Daily Workforce'!$K50&gt;=2,FALSE())),IF(AND('Daily Schedule'!$A51&gt;=46,'Daily Schedule'!$A51&lt;=52),'Daily Workforce'!$M50="Y",IFERROR(1*'Daily Workforce'!$P50&gt;=2,FALSE()))))),1,0)</f>
        <v>0</v>
      </c>
      <c r="BJ47" s="1" t="n">
        <f aca="false">IF(AND('Daily Workforce'!$N51="Y",'Daily Workforce'!$B51&lt;&gt;"",COUNTIF('Daily Schedule'!$F$5:$F50,'Daily Workforce'!$B51)=0,IF('Daily Schedule'!$A51=45,'Daily Workforce'!$J51="Y",IF(OR('Daily Schedule'!$A51=4,'Daily Schedule'!$A51=8),IF(OR(WEEKDAY('Daily Schedule'!$B$2,2)=1,WEEKDAY('Daily Schedule'!$B$2,2)=4,WEEKDAY('Daily Schedule'!$B$2,2)=5,WEEKDAY('Daily Schedule'!$B$2,2)=7),IFERROR(1*'Daily Workforce'!$K51&gt;=3,FALSE()),IFERROR(1*'Daily Workforce'!$K51&gt;=2,FALSE())),IF(AND('Daily Schedule'!$A51&gt;=46,'Daily Schedule'!$A51&lt;=52),'Daily Workforce'!$M51="Y",IFERROR(1*'Daily Workforce'!$P51&gt;=2,FALSE()))))),1,0)</f>
        <v>0</v>
      </c>
      <c r="BK47" s="1" t="n">
        <f aca="false">IF(AND('Daily Workforce'!$N52="Y",'Daily Workforce'!$B52&lt;&gt;"",COUNTIF('Daily Schedule'!$F$5:$F50,'Daily Workforce'!$B52)=0,IF('Daily Schedule'!$A51=45,'Daily Workforce'!$J52="Y",IF(OR('Daily Schedule'!$A51=4,'Daily Schedule'!$A51=8),IF(OR(WEEKDAY('Daily Schedule'!$B$2,2)=1,WEEKDAY('Daily Schedule'!$B$2,2)=4,WEEKDAY('Daily Schedule'!$B$2,2)=5,WEEKDAY('Daily Schedule'!$B$2,2)=7),IFERROR(1*'Daily Workforce'!$K52&gt;=3,FALSE()),IFERROR(1*'Daily Workforce'!$K52&gt;=2,FALSE())),IF(AND('Daily Schedule'!$A51&gt;=46,'Daily Schedule'!$A51&lt;=52),'Daily Workforce'!$M52="Y",IFERROR(1*'Daily Workforce'!$P52&gt;=2,FALSE()))))),1,0)</f>
        <v>1</v>
      </c>
      <c r="BL47" s="1" t="n">
        <f aca="false">IF(AND('Daily Workforce'!$N53="Y",'Daily Workforce'!$B53&lt;&gt;"",COUNTIF('Daily Schedule'!$F$5:$F50,'Daily Workforce'!$B53)=0,IF('Daily Schedule'!$A51=45,'Daily Workforce'!$J53="Y",IF(OR('Daily Schedule'!$A51=4,'Daily Schedule'!$A51=8),IF(OR(WEEKDAY('Daily Schedule'!$B$2,2)=1,WEEKDAY('Daily Schedule'!$B$2,2)=4,WEEKDAY('Daily Schedule'!$B$2,2)=5,WEEKDAY('Daily Schedule'!$B$2,2)=7),IFERROR(1*'Daily Workforce'!$K53&gt;=3,FALSE()),IFERROR(1*'Daily Workforce'!$K53&gt;=2,FALSE())),IF(AND('Daily Schedule'!$A51&gt;=46,'Daily Schedule'!$A51&lt;=52),'Daily Workforce'!$M53="Y",IFERROR(1*'Daily Workforce'!$P53&gt;=2,FALSE()))))),1,0)</f>
        <v>1</v>
      </c>
      <c r="BM47" s="1" t="n">
        <f aca="false">IF(AND('Daily Workforce'!$N54="Y",'Daily Workforce'!$B54&lt;&gt;"",COUNTIF('Daily Schedule'!$F$5:$F50,'Daily Workforce'!$B54)=0,IF('Daily Schedule'!$A51=45,'Daily Workforce'!$J54="Y",IF(OR('Daily Schedule'!$A51=4,'Daily Schedule'!$A51=8),IF(OR(WEEKDAY('Daily Schedule'!$B$2,2)=1,WEEKDAY('Daily Schedule'!$B$2,2)=4,WEEKDAY('Daily Schedule'!$B$2,2)=5,WEEKDAY('Daily Schedule'!$B$2,2)=7),IFERROR(1*'Daily Workforce'!$K54&gt;=3,FALSE()),IFERROR(1*'Daily Workforce'!$K54&gt;=2,FALSE())),IF(AND('Daily Schedule'!$A51&gt;=46,'Daily Schedule'!$A51&lt;=52),'Daily Workforce'!$M54="Y",IFERROR(1*'Daily Workforce'!$P54&gt;=2,FALSE()))))),1,0)</f>
        <v>1</v>
      </c>
      <c r="BN47" s="1" t="n">
        <f aca="false">IF(AND('Daily Workforce'!$N55="Y",'Daily Workforce'!$B55&lt;&gt;"",COUNTIF('Daily Schedule'!$F$5:$F50,'Daily Workforce'!$B55)=0,IF('Daily Schedule'!$A51=45,'Daily Workforce'!$J55="Y",IF(OR('Daily Schedule'!$A51=4,'Daily Schedule'!$A51=8),IF(OR(WEEKDAY('Daily Schedule'!$B$2,2)=1,WEEKDAY('Daily Schedule'!$B$2,2)=4,WEEKDAY('Daily Schedule'!$B$2,2)=5,WEEKDAY('Daily Schedule'!$B$2,2)=7),IFERROR(1*'Daily Workforce'!$K55&gt;=3,FALSE()),IFERROR(1*'Daily Workforce'!$K55&gt;=2,FALSE())),IF(AND('Daily Schedule'!$A51&gt;=46,'Daily Schedule'!$A51&lt;=52),'Daily Workforce'!$M55="Y",IFERROR(1*'Daily Workforce'!$P55&gt;=2,FALSE()))))),1,0)</f>
        <v>1</v>
      </c>
      <c r="BO47" s="1" t="n">
        <f aca="false">IF(AND('Daily Workforce'!$N56="Y",'Daily Workforce'!$B56&lt;&gt;"",COUNTIF('Daily Schedule'!$F$5:$F50,'Daily Workforce'!$B56)=0,IF('Daily Schedule'!$A51=45,'Daily Workforce'!$J56="Y",IF(OR('Daily Schedule'!$A51=4,'Daily Schedule'!$A51=8),IF(OR(WEEKDAY('Daily Schedule'!$B$2,2)=1,WEEKDAY('Daily Schedule'!$B$2,2)=4,WEEKDAY('Daily Schedule'!$B$2,2)=5,WEEKDAY('Daily Schedule'!$B$2,2)=7),IFERROR(1*'Daily Workforce'!$K56&gt;=3,FALSE()),IFERROR(1*'Daily Workforce'!$K56&gt;=2,FALSE())),IF(AND('Daily Schedule'!$A51&gt;=46,'Daily Schedule'!$A51&lt;=52),'Daily Workforce'!$M56="Y",IFERROR(1*'Daily Workforce'!$P56&gt;=2,FALSE()))))),1,0)</f>
        <v>1</v>
      </c>
      <c r="BP47" s="1" t="n">
        <f aca="false">IF(AND('Daily Workforce'!$N57="Y",'Daily Workforce'!$B57&lt;&gt;"",COUNTIF('Daily Schedule'!$F$5:$F50,'Daily Workforce'!$B57)=0,IF('Daily Schedule'!$A51=45,'Daily Workforce'!$J57="Y",IF(OR('Daily Schedule'!$A51=4,'Daily Schedule'!$A51=8),IF(OR(WEEKDAY('Daily Schedule'!$B$2,2)=1,WEEKDAY('Daily Schedule'!$B$2,2)=4,WEEKDAY('Daily Schedule'!$B$2,2)=5,WEEKDAY('Daily Schedule'!$B$2,2)=7),IFERROR(1*'Daily Workforce'!$K57&gt;=3,FALSE()),IFERROR(1*'Daily Workforce'!$K57&gt;=2,FALSE())),IF(AND('Daily Schedule'!$A51&gt;=46,'Daily Schedule'!$A51&lt;=52),'Daily Workforce'!$M57="Y",IFERROR(1*'Daily Workforce'!$P57&gt;=2,FALSE()))))),1,0)</f>
        <v>0</v>
      </c>
      <c r="BQ47" s="1" t="n">
        <f aca="false">IF(AND('Daily Workforce'!$N58="Y",'Daily Workforce'!$B58&lt;&gt;"",COUNTIF('Daily Schedule'!$F$5:$F50,'Daily Workforce'!$B58)=0,IF('Daily Schedule'!$A51=45,'Daily Workforce'!$J58="Y",IF(OR('Daily Schedule'!$A51=4,'Daily Schedule'!$A51=8),IF(OR(WEEKDAY('Daily Schedule'!$B$2,2)=1,WEEKDAY('Daily Schedule'!$B$2,2)=4,WEEKDAY('Daily Schedule'!$B$2,2)=5,WEEKDAY('Daily Schedule'!$B$2,2)=7),IFERROR(1*'Daily Workforce'!$K58&gt;=3,FALSE()),IFERROR(1*'Daily Workforce'!$K58&gt;=2,FALSE())),IF(AND('Daily Schedule'!$A51&gt;=46,'Daily Schedule'!$A51&lt;=52),'Daily Workforce'!$M58="Y",IFERROR(1*'Daily Workforce'!$P58&gt;=2,FALSE()))))),1,0)</f>
        <v>1</v>
      </c>
      <c r="BR47" s="1" t="n">
        <f aca="false">IF(AND('Daily Workforce'!$N59="Y",'Daily Workforce'!$B59&lt;&gt;"",COUNTIF('Daily Schedule'!$F$5:$F50,'Daily Workforce'!$B59)=0,IF('Daily Schedule'!$A51=45,'Daily Workforce'!$J59="Y",IF(OR('Daily Schedule'!$A51=4,'Daily Schedule'!$A51=8),IF(OR(WEEKDAY('Daily Schedule'!$B$2,2)=1,WEEKDAY('Daily Schedule'!$B$2,2)=4,WEEKDAY('Daily Schedule'!$B$2,2)=5,WEEKDAY('Daily Schedule'!$B$2,2)=7),IFERROR(1*'Daily Workforce'!$K59&gt;=3,FALSE()),IFERROR(1*'Daily Workforce'!$K59&gt;=2,FALSE())),IF(AND('Daily Schedule'!$A51&gt;=46,'Daily Schedule'!$A51&lt;=52),'Daily Workforce'!$M59="Y",IFERROR(1*'Daily Workforce'!$P59&gt;=2,FALSE()))))),1,0)</f>
        <v>1</v>
      </c>
      <c r="BS47" s="1" t="n">
        <f aca="false">IF(AND('Daily Workforce'!$N60="Y",'Daily Workforce'!$B60&lt;&gt;"",COUNTIF('Daily Schedule'!$F$5:$F50,'Daily Workforce'!$B60)=0,IF('Daily Schedule'!$A51=45,'Daily Workforce'!$J60="Y",IF(OR('Daily Schedule'!$A51=4,'Daily Schedule'!$A51=8),IF(OR(WEEKDAY('Daily Schedule'!$B$2,2)=1,WEEKDAY('Daily Schedule'!$B$2,2)=4,WEEKDAY('Daily Schedule'!$B$2,2)=5,WEEKDAY('Daily Schedule'!$B$2,2)=7),IFERROR(1*'Daily Workforce'!$K60&gt;=3,FALSE()),IFERROR(1*'Daily Workforce'!$K60&gt;=2,FALSE())),IF(AND('Daily Schedule'!$A51&gt;=46,'Daily Schedule'!$A51&lt;=52),'Daily Workforce'!$M60="Y",IFERROR(1*'Daily Workforce'!$P60&gt;=2,FALSE()))))),1,0)</f>
        <v>1</v>
      </c>
      <c r="BT47" s="1" t="n">
        <f aca="false">IF(AND('Daily Workforce'!$N61="Y",'Daily Workforce'!$B61&lt;&gt;"",COUNTIF('Daily Schedule'!$F$5:$F50,'Daily Workforce'!$B61)=0,IF('Daily Schedule'!$A51=45,'Daily Workforce'!$J61="Y",IF(OR('Daily Schedule'!$A51=4,'Daily Schedule'!$A51=8),IF(OR(WEEKDAY('Daily Schedule'!$B$2,2)=1,WEEKDAY('Daily Schedule'!$B$2,2)=4,WEEKDAY('Daily Schedule'!$B$2,2)=5,WEEKDAY('Daily Schedule'!$B$2,2)=7),IFERROR(1*'Daily Workforce'!$K61&gt;=3,FALSE()),IFERROR(1*'Daily Workforce'!$K61&gt;=2,FALSE())),IF(AND('Daily Schedule'!$A51&gt;=46,'Daily Schedule'!$A51&lt;=52),'Daily Workforce'!$M61="Y",IFERROR(1*'Daily Workforce'!$P61&gt;=2,FALSE()))))),1,0)</f>
        <v>0</v>
      </c>
      <c r="BU47" s="1" t="n">
        <f aca="false">IF(AND('Daily Workforce'!$N62="Y",'Daily Workforce'!$B62&lt;&gt;"",COUNTIF('Daily Schedule'!$F$5:$F50,'Daily Workforce'!$B62)=0,IF('Daily Schedule'!$A51=45,'Daily Workforce'!$J62="Y",IF(OR('Daily Schedule'!$A51=4,'Daily Schedule'!$A51=8),IF(OR(WEEKDAY('Daily Schedule'!$B$2,2)=1,WEEKDAY('Daily Schedule'!$B$2,2)=4,WEEKDAY('Daily Schedule'!$B$2,2)=5,WEEKDAY('Daily Schedule'!$B$2,2)=7),IFERROR(1*'Daily Workforce'!$K62&gt;=3,FALSE()),IFERROR(1*'Daily Workforce'!$K62&gt;=2,FALSE())),IF(AND('Daily Schedule'!$A51&gt;=46,'Daily Schedule'!$A51&lt;=52),'Daily Workforce'!$M62="Y",IFERROR(1*'Daily Workforce'!$P62&gt;=2,FALSE()))))),1,0)</f>
        <v>1</v>
      </c>
      <c r="BV47" s="1" t="n">
        <f aca="false">IF(AND('Daily Workforce'!$N63="Y",'Daily Workforce'!$B63&lt;&gt;"",COUNTIF('Daily Schedule'!$F$5:$F50,'Daily Workforce'!$B63)=0,IF('Daily Schedule'!$A51=45,'Daily Workforce'!$J63="Y",IF(OR('Daily Schedule'!$A51=4,'Daily Schedule'!$A51=8),IF(OR(WEEKDAY('Daily Schedule'!$B$2,2)=1,WEEKDAY('Daily Schedule'!$B$2,2)=4,WEEKDAY('Daily Schedule'!$B$2,2)=5,WEEKDAY('Daily Schedule'!$B$2,2)=7),IFERROR(1*'Daily Workforce'!$K63&gt;=3,FALSE()),IFERROR(1*'Daily Workforce'!$K63&gt;=2,FALSE())),IF(AND('Daily Schedule'!$A51&gt;=46,'Daily Schedule'!$A51&lt;=52),'Daily Workforce'!$M63="Y",IFERROR(1*'Daily Workforce'!$P63&gt;=2,FALSE()))))),1,0)</f>
        <v>1</v>
      </c>
      <c r="BW47" s="1" t="n">
        <f aca="false">IF(AND('Daily Workforce'!$N64="Y",'Daily Workforce'!$B64&lt;&gt;"",COUNTIF('Daily Schedule'!$F$5:$F50,'Daily Workforce'!$B64)=0,IF('Daily Schedule'!$A51=45,'Daily Workforce'!$J64="Y",IF(OR('Daily Schedule'!$A51=4,'Daily Schedule'!$A51=8),IF(OR(WEEKDAY('Daily Schedule'!$B$2,2)=1,WEEKDAY('Daily Schedule'!$B$2,2)=4,WEEKDAY('Daily Schedule'!$B$2,2)=5,WEEKDAY('Daily Schedule'!$B$2,2)=7),IFERROR(1*'Daily Workforce'!$K64&gt;=3,FALSE()),IFERROR(1*'Daily Workforce'!$K64&gt;=2,FALSE())),IF(AND('Daily Schedule'!$A51&gt;=46,'Daily Schedule'!$A51&lt;=52),'Daily Workforce'!$M64="Y",IFERROR(1*'Daily Workforce'!$P64&gt;=2,FALSE()))))),1,0)</f>
        <v>1</v>
      </c>
      <c r="BX47" s="1" t="n">
        <f aca="false">IF(AND('Daily Workforce'!$N65="Y",'Daily Workforce'!$B65&lt;&gt;"",COUNTIF('Daily Schedule'!$F$5:$F50,'Daily Workforce'!$B65)=0,IF('Daily Schedule'!$A51=45,'Daily Workforce'!$J65="Y",IF(OR('Daily Schedule'!$A51=4,'Daily Schedule'!$A51=8),IF(OR(WEEKDAY('Daily Schedule'!$B$2,2)=1,WEEKDAY('Daily Schedule'!$B$2,2)=4,WEEKDAY('Daily Schedule'!$B$2,2)=5,WEEKDAY('Daily Schedule'!$B$2,2)=7),IFERROR(1*'Daily Workforce'!$K65&gt;=3,FALSE()),IFERROR(1*'Daily Workforce'!$K65&gt;=2,FALSE())),IF(AND('Daily Schedule'!$A51&gt;=46,'Daily Schedule'!$A51&lt;=52),'Daily Workforce'!$M65="Y",IFERROR(1*'Daily Workforce'!$P65&gt;=2,FALSE()))))),1,0)</f>
        <v>1</v>
      </c>
      <c r="BY47" s="1" t="n">
        <f aca="false">IF(AND('Daily Workforce'!$N66="Y",'Daily Workforce'!$B66&lt;&gt;"",COUNTIF('Daily Schedule'!$F$5:$F50,'Daily Workforce'!$B66)=0,IF('Daily Schedule'!$A51=45,'Daily Workforce'!$J66="Y",IF(OR('Daily Schedule'!$A51=4,'Daily Schedule'!$A51=8),IF(OR(WEEKDAY('Daily Schedule'!$B$2,2)=1,WEEKDAY('Daily Schedule'!$B$2,2)=4,WEEKDAY('Daily Schedule'!$B$2,2)=5,WEEKDAY('Daily Schedule'!$B$2,2)=7),IFERROR(1*'Daily Workforce'!$K66&gt;=3,FALSE()),IFERROR(1*'Daily Workforce'!$K66&gt;=2,FALSE())),IF(AND('Daily Schedule'!$A51&gt;=46,'Daily Schedule'!$A51&lt;=52),'Daily Workforce'!$M66="Y",IFERROR(1*'Daily Workforce'!$P66&gt;=2,FALSE()))))),1,0)</f>
        <v>1</v>
      </c>
      <c r="BZ47" s="1" t="n">
        <f aca="false">IF(AND('Daily Workforce'!$N67="Y",'Daily Workforce'!$B67&lt;&gt;"",COUNTIF('Daily Schedule'!$F$5:$F50,'Daily Workforce'!$B67)=0,IF('Daily Schedule'!$A51=45,'Daily Workforce'!$J67="Y",IF(OR('Daily Schedule'!$A51=4,'Daily Schedule'!$A51=8),IF(OR(WEEKDAY('Daily Schedule'!$B$2,2)=1,WEEKDAY('Daily Schedule'!$B$2,2)=4,WEEKDAY('Daily Schedule'!$B$2,2)=5,WEEKDAY('Daily Schedule'!$B$2,2)=7),IFERROR(1*'Daily Workforce'!$K67&gt;=3,FALSE()),IFERROR(1*'Daily Workforce'!$K67&gt;=2,FALSE())),IF(AND('Daily Schedule'!$A51&gt;=46,'Daily Schedule'!$A51&lt;=52),'Daily Workforce'!$M67="Y",IFERROR(1*'Daily Workforce'!$P67&gt;=2,FALSE()))))),1,0)</f>
        <v>1</v>
      </c>
      <c r="CA47" s="1" t="n">
        <f aca="false">IF(AND('Daily Workforce'!$N68="Y",'Daily Workforce'!$B68&lt;&gt;"",COUNTIF('Daily Schedule'!$F$5:$F50,'Daily Workforce'!$B68)=0,IF('Daily Schedule'!$A51=45,'Daily Workforce'!$J68="Y",IF(OR('Daily Schedule'!$A51=4,'Daily Schedule'!$A51=8),IF(OR(WEEKDAY('Daily Schedule'!$B$2,2)=1,WEEKDAY('Daily Schedule'!$B$2,2)=4,WEEKDAY('Daily Schedule'!$B$2,2)=5,WEEKDAY('Daily Schedule'!$B$2,2)=7),IFERROR(1*'Daily Workforce'!$K68&gt;=3,FALSE()),IFERROR(1*'Daily Workforce'!$K68&gt;=2,FALSE())),IF(AND('Daily Schedule'!$A51&gt;=46,'Daily Schedule'!$A51&lt;=52),'Daily Workforce'!$M68="Y",IFERROR(1*'Daily Workforce'!$P68&gt;=2,FALSE()))))),1,0)</f>
        <v>1</v>
      </c>
      <c r="CB47" s="1" t="n">
        <f aca="false">IF(AND('Daily Workforce'!$N69="Y",'Daily Workforce'!$B69&lt;&gt;"",COUNTIF('Daily Schedule'!$F$5:$F50,'Daily Workforce'!$B69)=0,IF('Daily Schedule'!$A51=45,'Daily Workforce'!$J69="Y",IF(OR('Daily Schedule'!$A51=4,'Daily Schedule'!$A51=8),IF(OR(WEEKDAY('Daily Schedule'!$B$2,2)=1,WEEKDAY('Daily Schedule'!$B$2,2)=4,WEEKDAY('Daily Schedule'!$B$2,2)=5,WEEKDAY('Daily Schedule'!$B$2,2)=7),IFERROR(1*'Daily Workforce'!$K69&gt;=3,FALSE()),IFERROR(1*'Daily Workforce'!$K69&gt;=2,FALSE())),IF(AND('Daily Schedule'!$A51&gt;=46,'Daily Schedule'!$A51&lt;=52),'Daily Workforce'!$M69="Y",IFERROR(1*'Daily Workforce'!$P69&gt;=2,FALSE()))))),1,0)</f>
        <v>1</v>
      </c>
      <c r="CC47" s="1" t="n">
        <f aca="false">IF(AND('Daily Workforce'!$N70="Y",'Daily Workforce'!$B70&lt;&gt;"",COUNTIF('Daily Schedule'!$F$5:$F50,'Daily Workforce'!$B70)=0,IF('Daily Schedule'!$A51=45,'Daily Workforce'!$J70="Y",IF(OR('Daily Schedule'!$A51=4,'Daily Schedule'!$A51=8),IF(OR(WEEKDAY('Daily Schedule'!$B$2,2)=1,WEEKDAY('Daily Schedule'!$B$2,2)=4,WEEKDAY('Daily Schedule'!$B$2,2)=5,WEEKDAY('Daily Schedule'!$B$2,2)=7),IFERROR(1*'Daily Workforce'!$K70&gt;=3,FALSE()),IFERROR(1*'Daily Workforce'!$K70&gt;=2,FALSE())),IF(AND('Daily Schedule'!$A51&gt;=46,'Daily Schedule'!$A51&lt;=52),'Daily Workforce'!$M70="Y",IFERROR(1*'Daily Workforce'!$P70&gt;=2,FALSE()))))),1,0)</f>
        <v>1</v>
      </c>
      <c r="CD47" s="1" t="n">
        <f aca="false">IF(AND('Daily Workforce'!$N71="Y",'Daily Workforce'!$B71&lt;&gt;"",COUNTIF('Daily Schedule'!$F$5:$F50,'Daily Workforce'!$B71)=0,IF('Daily Schedule'!$A51=45,'Daily Workforce'!$J71="Y",IF(OR('Daily Schedule'!$A51=4,'Daily Schedule'!$A51=8),IF(OR(WEEKDAY('Daily Schedule'!$B$2,2)=1,WEEKDAY('Daily Schedule'!$B$2,2)=4,WEEKDAY('Daily Schedule'!$B$2,2)=5,WEEKDAY('Daily Schedule'!$B$2,2)=7),IFERROR(1*'Daily Workforce'!$K71&gt;=3,FALSE()),IFERROR(1*'Daily Workforce'!$K71&gt;=2,FALSE())),IF(AND('Daily Schedule'!$A51&gt;=46,'Daily Schedule'!$A51&lt;=52),'Daily Workforce'!$M71="Y",IFERROR(1*'Daily Workforce'!$P71&gt;=2,FALSE()))))),1,0)</f>
        <v>1</v>
      </c>
      <c r="CE47" s="1" t="n">
        <f aca="false">IF(AND('Daily Workforce'!$N72="Y",'Daily Workforce'!$B72&lt;&gt;"",COUNTIF('Daily Schedule'!$F$5:$F50,'Daily Workforce'!$B72)=0,IF('Daily Schedule'!$A51=45,'Daily Workforce'!$J72="Y",IF(OR('Daily Schedule'!$A51=4,'Daily Schedule'!$A51=8),IF(OR(WEEKDAY('Daily Schedule'!$B$2,2)=1,WEEKDAY('Daily Schedule'!$B$2,2)=4,WEEKDAY('Daily Schedule'!$B$2,2)=5,WEEKDAY('Daily Schedule'!$B$2,2)=7),IFERROR(1*'Daily Workforce'!$K72&gt;=3,FALSE()),IFERROR(1*'Daily Workforce'!$K72&gt;=2,FALSE())),IF(AND('Daily Schedule'!$A51&gt;=46,'Daily Schedule'!$A51&lt;=52),'Daily Workforce'!$M72="Y",IFERROR(1*'Daily Workforce'!$P72&gt;=2,FALSE()))))),1,0)</f>
        <v>1</v>
      </c>
      <c r="CF47" s="1" t="n">
        <f aca="false">IF(AND('Daily Workforce'!$N73="Y",'Daily Workforce'!$B73&lt;&gt;"",COUNTIF('Daily Schedule'!$F$5:$F50,'Daily Workforce'!$B73)=0,IF('Daily Schedule'!$A51=45,'Daily Workforce'!$J73="Y",IF(OR('Daily Schedule'!$A51=4,'Daily Schedule'!$A51=8),IF(OR(WEEKDAY('Daily Schedule'!$B$2,2)=1,WEEKDAY('Daily Schedule'!$B$2,2)=4,WEEKDAY('Daily Schedule'!$B$2,2)=5,WEEKDAY('Daily Schedule'!$B$2,2)=7),IFERROR(1*'Daily Workforce'!$K73&gt;=3,FALSE()),IFERROR(1*'Daily Workforce'!$K73&gt;=2,FALSE())),IF(AND('Daily Schedule'!$A51&gt;=46,'Daily Schedule'!$A51&lt;=52),'Daily Workforce'!$M73="Y",IFERROR(1*'Daily Workforce'!$P73&gt;=2,FALSE()))))),1,0)</f>
        <v>1</v>
      </c>
      <c r="CG47" s="1" t="n">
        <f aca="false">IF(AND('Daily Workforce'!$N74="Y",'Daily Workforce'!$B74&lt;&gt;"",COUNTIF('Daily Schedule'!$F$5:$F50,'Daily Workforce'!$B74)=0,IF('Daily Schedule'!$A51=45,'Daily Workforce'!$J74="Y",IF(OR('Daily Schedule'!$A51=4,'Daily Schedule'!$A51=8),IF(OR(WEEKDAY('Daily Schedule'!$B$2,2)=1,WEEKDAY('Daily Schedule'!$B$2,2)=4,WEEKDAY('Daily Schedule'!$B$2,2)=5,WEEKDAY('Daily Schedule'!$B$2,2)=7),IFERROR(1*'Daily Workforce'!$K74&gt;=3,FALSE()),IFERROR(1*'Daily Workforce'!$K74&gt;=2,FALSE())),IF(AND('Daily Schedule'!$A51&gt;=46,'Daily Schedule'!$A51&lt;=52),'Daily Workforce'!$M74="Y",IFERROR(1*'Daily Workforce'!$P74&gt;=2,FALSE()))))),1,0)</f>
        <v>1</v>
      </c>
      <c r="CH47" s="1" t="n">
        <f aca="false">IF(AND('Daily Workforce'!$N75="Y",'Daily Workforce'!$B75&lt;&gt;"",COUNTIF('Daily Schedule'!$F$5:$F50,'Daily Workforce'!$B75)=0,IF('Daily Schedule'!$A51=45,'Daily Workforce'!$J75="Y",IF(OR('Daily Schedule'!$A51=4,'Daily Schedule'!$A51=8),IF(OR(WEEKDAY('Daily Schedule'!$B$2,2)=1,WEEKDAY('Daily Schedule'!$B$2,2)=4,WEEKDAY('Daily Schedule'!$B$2,2)=5,WEEKDAY('Daily Schedule'!$B$2,2)=7),IFERROR(1*'Daily Workforce'!$K75&gt;=3,FALSE()),IFERROR(1*'Daily Workforce'!$K75&gt;=2,FALSE())),IF(AND('Daily Schedule'!$A51&gt;=46,'Daily Schedule'!$A51&lt;=52),'Daily Workforce'!$M75="Y",IFERROR(1*'Daily Workforce'!$P75&gt;=2,FALSE()))))),1,0)</f>
        <v>1</v>
      </c>
      <c r="CI47" s="1" t="n">
        <f aca="false">IF(AND('Daily Workforce'!$N76="Y",'Daily Workforce'!$B76&lt;&gt;"",COUNTIF('Daily Schedule'!$F$5:$F50,'Daily Workforce'!$B76)=0,IF('Daily Schedule'!$A51=45,'Daily Workforce'!$J76="Y",IF(OR('Daily Schedule'!$A51=4,'Daily Schedule'!$A51=8),IF(OR(WEEKDAY('Daily Schedule'!$B$2,2)=1,WEEKDAY('Daily Schedule'!$B$2,2)=4,WEEKDAY('Daily Schedule'!$B$2,2)=5,WEEKDAY('Daily Schedule'!$B$2,2)=7),IFERROR(1*'Daily Workforce'!$K76&gt;=3,FALSE()),IFERROR(1*'Daily Workforce'!$K76&gt;=2,FALSE())),IF(AND('Daily Schedule'!$A51&gt;=46,'Daily Schedule'!$A51&lt;=52),'Daily Workforce'!$M76="Y",IFERROR(1*'Daily Workforce'!$P76&gt;=2,FALSE()))))),1,0)</f>
        <v>1</v>
      </c>
      <c r="CJ47" s="1" t="n">
        <f aca="false">IF(AND('Daily Workforce'!$N77="Y",'Daily Workforce'!$B77&lt;&gt;"",COUNTIF('Daily Schedule'!$F$5:$F50,'Daily Workforce'!$B77)=0,IF('Daily Schedule'!$A51=45,'Daily Workforce'!$J77="Y",IF(OR('Daily Schedule'!$A51=4,'Daily Schedule'!$A51=8),IF(OR(WEEKDAY('Daily Schedule'!$B$2,2)=1,WEEKDAY('Daily Schedule'!$B$2,2)=4,WEEKDAY('Daily Schedule'!$B$2,2)=5,WEEKDAY('Daily Schedule'!$B$2,2)=7),IFERROR(1*'Daily Workforce'!$K77&gt;=3,FALSE()),IFERROR(1*'Daily Workforce'!$K77&gt;=2,FALSE())),IF(AND('Daily Schedule'!$A51&gt;=46,'Daily Schedule'!$A51&lt;=52),'Daily Workforce'!$M77="Y",IFERROR(1*'Daily Workforce'!$P77&gt;=2,FALSE()))))),1,0)</f>
        <v>1</v>
      </c>
      <c r="CK47" s="1" t="n">
        <f aca="false">IF(AND('Daily Workforce'!$N78="Y",'Daily Workforce'!$B78&lt;&gt;"",COUNTIF('Daily Schedule'!$F$5:$F50,'Daily Workforce'!$B78)=0,IF('Daily Schedule'!$A51=45,'Daily Workforce'!$J78="Y",IF(OR('Daily Schedule'!$A51=4,'Daily Schedule'!$A51=8),IF(OR(WEEKDAY('Daily Schedule'!$B$2,2)=1,WEEKDAY('Daily Schedule'!$B$2,2)=4,WEEKDAY('Daily Schedule'!$B$2,2)=5,WEEKDAY('Daily Schedule'!$B$2,2)=7),IFERROR(1*'Daily Workforce'!$K78&gt;=3,FALSE()),IFERROR(1*'Daily Workforce'!$K78&gt;=2,FALSE())),IF(AND('Daily Schedule'!$A51&gt;=46,'Daily Schedule'!$A51&lt;=52),'Daily Workforce'!$M78="Y",IFERROR(1*'Daily Workforce'!$P78&gt;=2,FALSE()))))),1,0)</f>
        <v>1</v>
      </c>
      <c r="CL47" s="1" t="n">
        <f aca="false">IF(AND('Daily Workforce'!$N79="Y",'Daily Workforce'!$B79&lt;&gt;"",COUNTIF('Daily Schedule'!$F$5:$F50,'Daily Workforce'!$B79)=0,IF('Daily Schedule'!$A51=45,'Daily Workforce'!$J79="Y",IF(OR('Daily Schedule'!$A51=4,'Daily Schedule'!$A51=8),IF(OR(WEEKDAY('Daily Schedule'!$B$2,2)=1,WEEKDAY('Daily Schedule'!$B$2,2)=4,WEEKDAY('Daily Schedule'!$B$2,2)=5,WEEKDAY('Daily Schedule'!$B$2,2)=7),IFERROR(1*'Daily Workforce'!$K79&gt;=3,FALSE()),IFERROR(1*'Daily Workforce'!$K79&gt;=2,FALSE())),IF(AND('Daily Schedule'!$A51&gt;=46,'Daily Schedule'!$A51&lt;=52),'Daily Workforce'!$M79="Y",IFERROR(1*'Daily Workforce'!$P79&gt;=2,FALSE()))))),1,0)</f>
        <v>1</v>
      </c>
      <c r="CM47" s="1" t="n">
        <f aca="false">IF(AND('Daily Workforce'!$N80="Y",'Daily Workforce'!$B80&lt;&gt;"",COUNTIF('Daily Schedule'!$F$5:$F50,'Daily Workforce'!$B80)=0,IF('Daily Schedule'!$A51=45,'Daily Workforce'!$J80="Y",IF(OR('Daily Schedule'!$A51=4,'Daily Schedule'!$A51=8),IF(OR(WEEKDAY('Daily Schedule'!$B$2,2)=1,WEEKDAY('Daily Schedule'!$B$2,2)=4,WEEKDAY('Daily Schedule'!$B$2,2)=5,WEEKDAY('Daily Schedule'!$B$2,2)=7),IFERROR(1*'Daily Workforce'!$K80&gt;=3,FALSE()),IFERROR(1*'Daily Workforce'!$K80&gt;=2,FALSE())),IF(AND('Daily Schedule'!$A51&gt;=46,'Daily Schedule'!$A51&lt;=52),'Daily Workforce'!$M80="Y",IFERROR(1*'Daily Workforce'!$P80&gt;=2,FALSE()))))),1,0)</f>
        <v>1</v>
      </c>
      <c r="CN47" s="1" t="n">
        <f aca="false">IF(AND('Daily Workforce'!$N81="Y",'Daily Workforce'!$B81&lt;&gt;"",COUNTIF('Daily Schedule'!$F$5:$F50,'Daily Workforce'!$B81)=0,IF('Daily Schedule'!$A51=45,'Daily Workforce'!$J81="Y",IF(OR('Daily Schedule'!$A51=4,'Daily Schedule'!$A51=8),IF(OR(WEEKDAY('Daily Schedule'!$B$2,2)=1,WEEKDAY('Daily Schedule'!$B$2,2)=4,WEEKDAY('Daily Schedule'!$B$2,2)=5,WEEKDAY('Daily Schedule'!$B$2,2)=7),IFERROR(1*'Daily Workforce'!$K81&gt;=3,FALSE()),IFERROR(1*'Daily Workforce'!$K81&gt;=2,FALSE())),IF(AND('Daily Schedule'!$A51&gt;=46,'Daily Schedule'!$A51&lt;=52),'Daily Workforce'!$M81="Y",IFERROR(1*'Daily Workforce'!$P81&gt;=2,FALSE()))))),1,0)</f>
        <v>1</v>
      </c>
      <c r="CO47" s="1" t="n">
        <f aca="false">IF(AND('Daily Workforce'!$N82="Y",'Daily Workforce'!$B82&lt;&gt;"",COUNTIF('Daily Schedule'!$F$5:$F50,'Daily Workforce'!$B82)=0,IF('Daily Schedule'!$A51=45,'Daily Workforce'!$J82="Y",IF(OR('Daily Schedule'!$A51=4,'Daily Schedule'!$A51=8),IF(OR(WEEKDAY('Daily Schedule'!$B$2,2)=1,WEEKDAY('Daily Schedule'!$B$2,2)=4,WEEKDAY('Daily Schedule'!$B$2,2)=5,WEEKDAY('Daily Schedule'!$B$2,2)=7),IFERROR(1*'Daily Workforce'!$K82&gt;=3,FALSE()),IFERROR(1*'Daily Workforce'!$K82&gt;=2,FALSE())),IF(AND('Daily Schedule'!$A51&gt;=46,'Daily Schedule'!$A51&lt;=52),'Daily Workforce'!$M82="Y",IFERROR(1*'Daily Workforce'!$P82&gt;=2,FALSE()))))),1,0)</f>
        <v>1</v>
      </c>
      <c r="CP47" s="1" t="n">
        <f aca="false">IF(AND('Daily Workforce'!$N83="Y",'Daily Workforce'!$B83&lt;&gt;"",COUNTIF('Daily Schedule'!$F$5:$F50,'Daily Workforce'!$B83)=0,IF('Daily Schedule'!$A51=45,'Daily Workforce'!$J83="Y",IF(OR('Daily Schedule'!$A51=4,'Daily Schedule'!$A51=8),IF(OR(WEEKDAY('Daily Schedule'!$B$2,2)=1,WEEKDAY('Daily Schedule'!$B$2,2)=4,WEEKDAY('Daily Schedule'!$B$2,2)=5,WEEKDAY('Daily Schedule'!$B$2,2)=7),IFERROR(1*'Daily Workforce'!$K83&gt;=3,FALSE()),IFERROR(1*'Daily Workforce'!$K83&gt;=2,FALSE())),IF(AND('Daily Schedule'!$A51&gt;=46,'Daily Schedule'!$A51&lt;=52),'Daily Workforce'!$M83="Y",IFERROR(1*'Daily Workforce'!$P83&gt;=2,FALSE()))))),1,0)</f>
        <v>0</v>
      </c>
      <c r="CQ47" s="1" t="n">
        <f aca="false">IF(AND('Daily Workforce'!$N84="Y",'Daily Workforce'!$B84&lt;&gt;"",COUNTIF('Daily Schedule'!$F$5:$F50,'Daily Workforce'!$B84)=0,IF('Daily Schedule'!$A51=45,'Daily Workforce'!$J84="Y",IF(OR('Daily Schedule'!$A51=4,'Daily Schedule'!$A51=8),IF(OR(WEEKDAY('Daily Schedule'!$B$2,2)=1,WEEKDAY('Daily Schedule'!$B$2,2)=4,WEEKDAY('Daily Schedule'!$B$2,2)=5,WEEKDAY('Daily Schedule'!$B$2,2)=7),IFERROR(1*'Daily Workforce'!$K84&gt;=3,FALSE()),IFERROR(1*'Daily Workforce'!$K84&gt;=2,FALSE())),IF(AND('Daily Schedule'!$A51&gt;=46,'Daily Schedule'!$A51&lt;=52),'Daily Workforce'!$M84="Y",IFERROR(1*'Daily Workforce'!$P84&gt;=2,FALSE()))))),1,0)</f>
        <v>1</v>
      </c>
      <c r="CR47" s="1" t="n">
        <f aca="false">IF(AND('Daily Workforce'!$N85="Y",'Daily Workforce'!$B85&lt;&gt;"",COUNTIF('Daily Schedule'!$F$5:$F50,'Daily Workforce'!$B85)=0,IF('Daily Schedule'!$A51=45,'Daily Workforce'!$J85="Y",IF(OR('Daily Schedule'!$A51=4,'Daily Schedule'!$A51=8),IF(OR(WEEKDAY('Daily Schedule'!$B$2,2)=1,WEEKDAY('Daily Schedule'!$B$2,2)=4,WEEKDAY('Daily Schedule'!$B$2,2)=5,WEEKDAY('Daily Schedule'!$B$2,2)=7),IFERROR(1*'Daily Workforce'!$K85&gt;=3,FALSE()),IFERROR(1*'Daily Workforce'!$K85&gt;=2,FALSE())),IF(AND('Daily Schedule'!$A51&gt;=46,'Daily Schedule'!$A51&lt;=52),'Daily Workforce'!$M85="Y",IFERROR(1*'Daily Workforce'!$P85&gt;=2,FALSE()))))),1,0)</f>
        <v>0</v>
      </c>
      <c r="CS47" s="1" t="n">
        <f aca="false">IF(AND('Daily Workforce'!$N86="Y",'Daily Workforce'!$B86&lt;&gt;"",COUNTIF('Daily Schedule'!$F$5:$F50,'Daily Workforce'!$B86)=0,IF('Daily Schedule'!$A51=45,'Daily Workforce'!$J86="Y",IF(OR('Daily Schedule'!$A51=4,'Daily Schedule'!$A51=8),IF(OR(WEEKDAY('Daily Schedule'!$B$2,2)=1,WEEKDAY('Daily Schedule'!$B$2,2)=4,WEEKDAY('Daily Schedule'!$B$2,2)=5,WEEKDAY('Daily Schedule'!$B$2,2)=7),IFERROR(1*'Daily Workforce'!$K86&gt;=3,FALSE()),IFERROR(1*'Daily Workforce'!$K86&gt;=2,FALSE())),IF(AND('Daily Schedule'!$A51&gt;=46,'Daily Schedule'!$A51&lt;=52),'Daily Workforce'!$M86="Y",IFERROR(1*'Daily Workforce'!$P86&gt;=2,FALSE()))))),1,0)</f>
        <v>1</v>
      </c>
      <c r="CT47" s="1" t="n">
        <f aca="false">IF(AND('Daily Workforce'!$N87="Y",'Daily Workforce'!$B87&lt;&gt;"",COUNTIF('Daily Schedule'!$F$5:$F50,'Daily Workforce'!$B87)=0,IF('Daily Schedule'!$A51=45,'Daily Workforce'!$J87="Y",IF(OR('Daily Schedule'!$A51=4,'Daily Schedule'!$A51=8),IF(OR(WEEKDAY('Daily Schedule'!$B$2,2)=1,WEEKDAY('Daily Schedule'!$B$2,2)=4,WEEKDAY('Daily Schedule'!$B$2,2)=5,WEEKDAY('Daily Schedule'!$B$2,2)=7),IFERROR(1*'Daily Workforce'!$K87&gt;=3,FALSE()),IFERROR(1*'Daily Workforce'!$K87&gt;=2,FALSE())),IF(AND('Daily Schedule'!$A51&gt;=46,'Daily Schedule'!$A51&lt;=52),'Daily Workforce'!$M87="Y",IFERROR(1*'Daily Workforce'!$P87&gt;=2,FALSE()))))),1,0)</f>
        <v>1</v>
      </c>
      <c r="CU47" s="1" t="n">
        <f aca="false">IF(AND('Daily Workforce'!$N88="Y",'Daily Workforce'!$B88&lt;&gt;"",COUNTIF('Daily Schedule'!$F$5:$F50,'Daily Workforce'!$B88)=0,IF('Daily Schedule'!$A51=45,'Daily Workforce'!$J88="Y",IF(OR('Daily Schedule'!$A51=4,'Daily Schedule'!$A51=8),IF(OR(WEEKDAY('Daily Schedule'!$B$2,2)=1,WEEKDAY('Daily Schedule'!$B$2,2)=4,WEEKDAY('Daily Schedule'!$B$2,2)=5,WEEKDAY('Daily Schedule'!$B$2,2)=7),IFERROR(1*'Daily Workforce'!$K88&gt;=3,FALSE()),IFERROR(1*'Daily Workforce'!$K88&gt;=2,FALSE())),IF(AND('Daily Schedule'!$A51&gt;=46,'Daily Schedule'!$A51&lt;=52),'Daily Workforce'!$M88="Y",IFERROR(1*'Daily Workforce'!$P88&gt;=2,FALSE()))))),1,0)</f>
        <v>1</v>
      </c>
      <c r="CV47" s="1" t="n">
        <f aca="false">IF(AND('Daily Workforce'!$N89="Y",'Daily Workforce'!$B89&lt;&gt;"",COUNTIF('Daily Schedule'!$F$5:$F50,'Daily Workforce'!$B89)=0,IF('Daily Schedule'!$A51=45,'Daily Workforce'!$J89="Y",IF(OR('Daily Schedule'!$A51=4,'Daily Schedule'!$A51=8),IF(OR(WEEKDAY('Daily Schedule'!$B$2,2)=1,WEEKDAY('Daily Schedule'!$B$2,2)=4,WEEKDAY('Daily Schedule'!$B$2,2)=5,WEEKDAY('Daily Schedule'!$B$2,2)=7),IFERROR(1*'Daily Workforce'!$K89&gt;=3,FALSE()),IFERROR(1*'Daily Workforce'!$K89&gt;=2,FALSE())),IF(AND('Daily Schedule'!$A51&gt;=46,'Daily Schedule'!$A51&lt;=52),'Daily Workforce'!$M89="Y",IFERROR(1*'Daily Workforce'!$P89&gt;=2,FALSE()))))),1,0)</f>
        <v>1</v>
      </c>
      <c r="CW47" s="1" t="n">
        <f aca="false">IF(AND('Daily Workforce'!$N90="Y",'Daily Workforce'!$B90&lt;&gt;"",COUNTIF('Daily Schedule'!$F$5:$F50,'Daily Workforce'!$B90)=0,IF('Daily Schedule'!$A51=45,'Daily Workforce'!$J90="Y",IF(OR('Daily Schedule'!$A51=4,'Daily Schedule'!$A51=8),IF(OR(WEEKDAY('Daily Schedule'!$B$2,2)=1,WEEKDAY('Daily Schedule'!$B$2,2)=4,WEEKDAY('Daily Schedule'!$B$2,2)=5,WEEKDAY('Daily Schedule'!$B$2,2)=7),IFERROR(1*'Daily Workforce'!$K90&gt;=3,FALSE()),IFERROR(1*'Daily Workforce'!$K90&gt;=2,FALSE())),IF(AND('Daily Schedule'!$A51&gt;=46,'Daily Schedule'!$A51&lt;=52),'Daily Workforce'!$M90="Y",IFERROR(1*'Daily Workforce'!$P90&gt;=2,FALSE()))))),1,0)</f>
        <v>1</v>
      </c>
      <c r="CX47" s="1" t="n">
        <f aca="false">IF(AND('Daily Workforce'!$N91="Y",'Daily Workforce'!$B91&lt;&gt;"",COUNTIF('Daily Schedule'!$F$5:$F50,'Daily Workforce'!$B91)=0,IF('Daily Schedule'!$A51=45,'Daily Workforce'!$J91="Y",IF(OR('Daily Schedule'!$A51=4,'Daily Schedule'!$A51=8),IF(OR(WEEKDAY('Daily Schedule'!$B$2,2)=1,WEEKDAY('Daily Schedule'!$B$2,2)=4,WEEKDAY('Daily Schedule'!$B$2,2)=5,WEEKDAY('Daily Schedule'!$B$2,2)=7),IFERROR(1*'Daily Workforce'!$K91&gt;=3,FALSE()),IFERROR(1*'Daily Workforce'!$K91&gt;=2,FALSE())),IF(AND('Daily Schedule'!$A51&gt;=46,'Daily Schedule'!$A51&lt;=52),'Daily Workforce'!$M91="Y",IFERROR(1*'Daily Workforce'!$P91&gt;=2,FALSE()))))),1,0)</f>
        <v>1</v>
      </c>
      <c r="CY47" s="1" t="n">
        <f aca="false">IF(AND('Daily Workforce'!$N92="Y",'Daily Workforce'!$B92&lt;&gt;"",COUNTIF('Daily Schedule'!$F$5:$F50,'Daily Workforce'!$B92)=0,IF('Daily Schedule'!$A51=45,'Daily Workforce'!$J92="Y",IF(OR('Daily Schedule'!$A51=4,'Daily Schedule'!$A51=8),IF(OR(WEEKDAY('Daily Schedule'!$B$2,2)=1,WEEKDAY('Daily Schedule'!$B$2,2)=4,WEEKDAY('Daily Schedule'!$B$2,2)=5,WEEKDAY('Daily Schedule'!$B$2,2)=7),IFERROR(1*'Daily Workforce'!$K92&gt;=3,FALSE()),IFERROR(1*'Daily Workforce'!$K92&gt;=2,FALSE())),IF(AND('Daily Schedule'!$A51&gt;=46,'Daily Schedule'!$A51&lt;=52),'Daily Workforce'!$M92="Y",IFERROR(1*'Daily Workforce'!$P92&gt;=2,FALSE()))))),1,0)</f>
        <v>1</v>
      </c>
      <c r="CZ47" s="1" t="n">
        <f aca="false">IF(AND('Daily Workforce'!$N93="Y",'Daily Workforce'!$B93&lt;&gt;"",COUNTIF('Daily Schedule'!$F$5:$F50,'Daily Workforce'!$B93)=0,IF('Daily Schedule'!$A51=45,'Daily Workforce'!$J93="Y",IF(OR('Daily Schedule'!$A51=4,'Daily Schedule'!$A51=8),IF(OR(WEEKDAY('Daily Schedule'!$B$2,2)=1,WEEKDAY('Daily Schedule'!$B$2,2)=4,WEEKDAY('Daily Schedule'!$B$2,2)=5,WEEKDAY('Daily Schedule'!$B$2,2)=7),IFERROR(1*'Daily Workforce'!$K93&gt;=3,FALSE()),IFERROR(1*'Daily Workforce'!$K93&gt;=2,FALSE())),IF(AND('Daily Schedule'!$A51&gt;=46,'Daily Schedule'!$A51&lt;=52),'Daily Workforce'!$M93="Y",IFERROR(1*'Daily Workforce'!$P93&gt;=2,FALSE()))))),1,0)</f>
        <v>1</v>
      </c>
      <c r="DA47" s="1" t="n">
        <f aca="false">IF(AND('Daily Workforce'!$N94="Y",'Daily Workforce'!$B94&lt;&gt;"",COUNTIF('Daily Schedule'!$F$5:$F50,'Daily Workforce'!$B94)=0,IF('Daily Schedule'!$A51=45,'Daily Workforce'!$J94="Y",IF(OR('Daily Schedule'!$A51=4,'Daily Schedule'!$A51=8),IF(OR(WEEKDAY('Daily Schedule'!$B$2,2)=1,WEEKDAY('Daily Schedule'!$B$2,2)=4,WEEKDAY('Daily Schedule'!$B$2,2)=5,WEEKDAY('Daily Schedule'!$B$2,2)=7),IFERROR(1*'Daily Workforce'!$K94&gt;=3,FALSE()),IFERROR(1*'Daily Workforce'!$K94&gt;=2,FALSE())),IF(AND('Daily Schedule'!$A51&gt;=46,'Daily Schedule'!$A51&lt;=52),'Daily Workforce'!$M94="Y",IFERROR(1*'Daily Workforce'!$P94&gt;=2,FALSE()))))),1,0)</f>
        <v>1</v>
      </c>
      <c r="DB47" s="1" t="n">
        <f aca="false">IF(AND('Daily Workforce'!$N95="Y",'Daily Workforce'!$B95&lt;&gt;"",COUNTIF('Daily Schedule'!$F$5:$F50,'Daily Workforce'!$B95)=0,IF('Daily Schedule'!$A51=45,'Daily Workforce'!$J95="Y",IF(OR('Daily Schedule'!$A51=4,'Daily Schedule'!$A51=8),IF(OR(WEEKDAY('Daily Schedule'!$B$2,2)=1,WEEKDAY('Daily Schedule'!$B$2,2)=4,WEEKDAY('Daily Schedule'!$B$2,2)=5,WEEKDAY('Daily Schedule'!$B$2,2)=7),IFERROR(1*'Daily Workforce'!$K95&gt;=3,FALSE()),IFERROR(1*'Daily Workforce'!$K95&gt;=2,FALSE())),IF(AND('Daily Schedule'!$A51&gt;=46,'Daily Schedule'!$A51&lt;=52),'Daily Workforce'!$M95="Y",IFERROR(1*'Daily Workforce'!$P95&gt;=2,FALSE()))))),1,0)</f>
        <v>1</v>
      </c>
      <c r="DC47" s="1" t="n">
        <f aca="false">IF(AND('Daily Workforce'!$N96="Y",'Daily Workforce'!$B96&lt;&gt;"",COUNTIF('Daily Schedule'!$F$5:$F50,'Daily Workforce'!$B96)=0,IF('Daily Schedule'!$A51=45,'Daily Workforce'!$J96="Y",IF(OR('Daily Schedule'!$A51=4,'Daily Schedule'!$A51=8),IF(OR(WEEKDAY('Daily Schedule'!$B$2,2)=1,WEEKDAY('Daily Schedule'!$B$2,2)=4,WEEKDAY('Daily Schedule'!$B$2,2)=5,WEEKDAY('Daily Schedule'!$B$2,2)=7),IFERROR(1*'Daily Workforce'!$K96&gt;=3,FALSE()),IFERROR(1*'Daily Workforce'!$K96&gt;=2,FALSE())),IF(AND('Daily Schedule'!$A51&gt;=46,'Daily Schedule'!$A51&lt;=52),'Daily Workforce'!$M96="Y",IFERROR(1*'Daily Workforce'!$P96&gt;=2,FALSE()))))),1,0)</f>
        <v>1</v>
      </c>
      <c r="DD47" s="1" t="n">
        <f aca="false">IF(AND('Daily Workforce'!$N97="Y",'Daily Workforce'!$B97&lt;&gt;"",COUNTIF('Daily Schedule'!$F$5:$F50,'Daily Workforce'!$B97)=0,IF('Daily Schedule'!$A51=45,'Daily Workforce'!$J97="Y",IF(OR('Daily Schedule'!$A51=4,'Daily Schedule'!$A51=8),IF(OR(WEEKDAY('Daily Schedule'!$B$2,2)=1,WEEKDAY('Daily Schedule'!$B$2,2)=4,WEEKDAY('Daily Schedule'!$B$2,2)=5,WEEKDAY('Daily Schedule'!$B$2,2)=7),IFERROR(1*'Daily Workforce'!$K97&gt;=3,FALSE()),IFERROR(1*'Daily Workforce'!$K97&gt;=2,FALSE())),IF(AND('Daily Schedule'!$A51&gt;=46,'Daily Schedule'!$A51&lt;=52),'Daily Workforce'!$M97="Y",IFERROR(1*'Daily Workforce'!$P97&gt;=2,FALSE()))))),1,0)</f>
        <v>1</v>
      </c>
      <c r="DE47" s="1" t="n">
        <f aca="false">IF(AND('Daily Workforce'!$N98="Y",'Daily Workforce'!$B98&lt;&gt;"",COUNTIF('Daily Schedule'!$F$5:$F50,'Daily Workforce'!$B98)=0,IF('Daily Schedule'!$A51=45,'Daily Workforce'!$J98="Y",IF(OR('Daily Schedule'!$A51=4,'Daily Schedule'!$A51=8),IF(OR(WEEKDAY('Daily Schedule'!$B$2,2)=1,WEEKDAY('Daily Schedule'!$B$2,2)=4,WEEKDAY('Daily Schedule'!$B$2,2)=5,WEEKDAY('Daily Schedule'!$B$2,2)=7),IFERROR(1*'Daily Workforce'!$K98&gt;=3,FALSE()),IFERROR(1*'Daily Workforce'!$K98&gt;=2,FALSE())),IF(AND('Daily Schedule'!$A51&gt;=46,'Daily Schedule'!$A51&lt;=52),'Daily Workforce'!$M98="Y",IFERROR(1*'Daily Workforce'!$P98&gt;=2,FALSE()))))),1,0)</f>
        <v>1</v>
      </c>
      <c r="DF47" s="1" t="n">
        <f aca="false">IF(AND('Daily Workforce'!$N99="Y",'Daily Workforce'!$B99&lt;&gt;"",COUNTIF('Daily Schedule'!$F$5:$F50,'Daily Workforce'!$B99)=0,IF('Daily Schedule'!$A51=45,'Daily Workforce'!$J99="Y",IF(OR('Daily Schedule'!$A51=4,'Daily Schedule'!$A51=8),IF(OR(WEEKDAY('Daily Schedule'!$B$2,2)=1,WEEKDAY('Daily Schedule'!$B$2,2)=4,WEEKDAY('Daily Schedule'!$B$2,2)=5,WEEKDAY('Daily Schedule'!$B$2,2)=7),IFERROR(1*'Daily Workforce'!$K99&gt;=3,FALSE()),IFERROR(1*'Daily Workforce'!$K99&gt;=2,FALSE())),IF(AND('Daily Schedule'!$A51&gt;=46,'Daily Schedule'!$A51&lt;=52),'Daily Workforce'!$M99="Y",IFERROR(1*'Daily Workforce'!$P99&gt;=2,FALSE()))))),1,0)</f>
        <v>1</v>
      </c>
      <c r="DG47" s="1" t="n">
        <f aca="false">IF(AND('Daily Workforce'!$N100="Y",'Daily Workforce'!$B100&lt;&gt;"",COUNTIF('Daily Schedule'!$F$5:$F50,'Daily Workforce'!$B100)=0,IF('Daily Schedule'!$A51=45,'Daily Workforce'!$J100="Y",IF(OR('Daily Schedule'!$A51=4,'Daily Schedule'!$A51=8),IF(OR(WEEKDAY('Daily Schedule'!$B$2,2)=1,WEEKDAY('Daily Schedule'!$B$2,2)=4,WEEKDAY('Daily Schedule'!$B$2,2)=5,WEEKDAY('Daily Schedule'!$B$2,2)=7),IFERROR(1*'Daily Workforce'!$K100&gt;=3,FALSE()),IFERROR(1*'Daily Workforce'!$K100&gt;=2,FALSE())),IF(AND('Daily Schedule'!$A51&gt;=46,'Daily Schedule'!$A51&lt;=52),'Daily Workforce'!$M100="Y",IFERROR(1*'Daily Workforce'!$P100&gt;=2,FALSE()))))),1,0)</f>
        <v>1</v>
      </c>
      <c r="DH47" s="1" t="n">
        <f aca="false">IF(AND('Daily Workforce'!$N101="Y",'Daily Workforce'!$B101&lt;&gt;"",COUNTIF('Daily Schedule'!$F$5:$F50,'Daily Workforce'!$B101)=0,IF('Daily Schedule'!$A51=45,'Daily Workforce'!$J101="Y",IF(OR('Daily Schedule'!$A51=4,'Daily Schedule'!$A51=8),IF(OR(WEEKDAY('Daily Schedule'!$B$2,2)=1,WEEKDAY('Daily Schedule'!$B$2,2)=4,WEEKDAY('Daily Schedule'!$B$2,2)=5,WEEKDAY('Daily Schedule'!$B$2,2)=7),IFERROR(1*'Daily Workforce'!$K101&gt;=3,FALSE()),IFERROR(1*'Daily Workforce'!$K101&gt;=2,FALSE())),IF(AND('Daily Schedule'!$A51&gt;=46,'Daily Schedule'!$A51&lt;=52),'Daily Workforce'!$M101="Y",IFERROR(1*'Daily Workforce'!$P101&gt;=2,FALSE()))))),1,0)</f>
        <v>1</v>
      </c>
      <c r="DI47" s="1" t="n">
        <f aca="false">IF(AND('Daily Workforce'!$N102="Y",'Daily Workforce'!$B102&lt;&gt;"",COUNTIF('Daily Schedule'!$F$5:$F50,'Daily Workforce'!$B102)=0,IF('Daily Schedule'!$A51=45,'Daily Workforce'!$J102="Y",IF(OR('Daily Schedule'!$A51=4,'Daily Schedule'!$A51=8),IF(OR(WEEKDAY('Daily Schedule'!$B$2,2)=1,WEEKDAY('Daily Schedule'!$B$2,2)=4,WEEKDAY('Daily Schedule'!$B$2,2)=5,WEEKDAY('Daily Schedule'!$B$2,2)=7),IFERROR(1*'Daily Workforce'!$K102&gt;=3,FALSE()),IFERROR(1*'Daily Workforce'!$K102&gt;=2,FALSE())),IF(AND('Daily Schedule'!$A51&gt;=46,'Daily Schedule'!$A51&lt;=52),'Daily Workforce'!$M102="Y",IFERROR(1*'Daily Workforce'!$P102&gt;=2,FALSE()))))),1,0)</f>
        <v>1</v>
      </c>
      <c r="DJ47" s="1" t="n">
        <f aca="false">IF(AND('Daily Workforce'!$N103="Y",'Daily Workforce'!$B103&lt;&gt;"",COUNTIF('Daily Schedule'!$F$5:$F50,'Daily Workforce'!$B103)=0,IF('Daily Schedule'!$A51=45,'Daily Workforce'!$J103="Y",IF(OR('Daily Schedule'!$A51=4,'Daily Schedule'!$A51=8),IF(OR(WEEKDAY('Daily Schedule'!$B$2,2)=1,WEEKDAY('Daily Schedule'!$B$2,2)=4,WEEKDAY('Daily Schedule'!$B$2,2)=5,WEEKDAY('Daily Schedule'!$B$2,2)=7),IFERROR(1*'Daily Workforce'!$K103&gt;=3,FALSE()),IFERROR(1*'Daily Workforce'!$K103&gt;=2,FALSE())),IF(AND('Daily Schedule'!$A51&gt;=46,'Daily Schedule'!$A51&lt;=52),'Daily Workforce'!$M103="Y",IFERROR(1*'Daily Workforce'!$P103&gt;=2,FALSE()))))),1,0)</f>
        <v>1</v>
      </c>
      <c r="DK47" s="1" t="n">
        <f aca="false">IF(AND('Daily Workforce'!$N104="Y",'Daily Workforce'!$B104&lt;&gt;"",COUNTIF('Daily Schedule'!$F$5:$F50,'Daily Workforce'!$B104)=0,IF('Daily Schedule'!$A51=45,'Daily Workforce'!$J104="Y",IF(OR('Daily Schedule'!$A51=4,'Daily Schedule'!$A51=8),IF(OR(WEEKDAY('Daily Schedule'!$B$2,2)=1,WEEKDAY('Daily Schedule'!$B$2,2)=4,WEEKDAY('Daily Schedule'!$B$2,2)=5,WEEKDAY('Daily Schedule'!$B$2,2)=7),IFERROR(1*'Daily Workforce'!$K104&gt;=3,FALSE()),IFERROR(1*'Daily Workforce'!$K104&gt;=2,FALSE())),IF(AND('Daily Schedule'!$A51&gt;=46,'Daily Schedule'!$A51&lt;=52),'Daily Workforce'!$M104="Y",IFERROR(1*'Daily Workforce'!$P104&gt;=2,FALSE()))))),1,0)</f>
        <v>1</v>
      </c>
      <c r="DL47" s="1" t="n">
        <f aca="false">IF(AND('Daily Workforce'!$N105="Y",'Daily Workforce'!$B105&lt;&gt;"",COUNTIF('Daily Schedule'!$F$5:$F50,'Daily Workforce'!$B105)=0,IF('Daily Schedule'!$A51=45,'Daily Workforce'!$J105="Y",IF(OR('Daily Schedule'!$A51=4,'Daily Schedule'!$A51=8),IF(OR(WEEKDAY('Daily Schedule'!$B$2,2)=1,WEEKDAY('Daily Schedule'!$B$2,2)=4,WEEKDAY('Daily Schedule'!$B$2,2)=5,WEEKDAY('Daily Schedule'!$B$2,2)=7),IFERROR(1*'Daily Workforce'!$K105&gt;=3,FALSE()),IFERROR(1*'Daily Workforce'!$K105&gt;=2,FALSE())),IF(AND('Daily Schedule'!$A51&gt;=46,'Daily Schedule'!$A51&lt;=52),'Daily Workforce'!$M105="Y",IFERROR(1*'Daily Workforce'!$P105&gt;=2,FALSE()))))),1,0)</f>
        <v>0</v>
      </c>
      <c r="DM47" s="1" t="n">
        <f aca="false">IF(AND('Daily Workforce'!$N106="Y",'Daily Workforce'!$B106&lt;&gt;"",COUNTIF('Daily Schedule'!$F$5:$F50,'Daily Workforce'!$B106)=0,IF('Daily Schedule'!$A51=45,'Daily Workforce'!$J106="Y",IF(OR('Daily Schedule'!$A51=4,'Daily Schedule'!$A51=8),IF(OR(WEEKDAY('Daily Schedule'!$B$2,2)=1,WEEKDAY('Daily Schedule'!$B$2,2)=4,WEEKDAY('Daily Schedule'!$B$2,2)=5,WEEKDAY('Daily Schedule'!$B$2,2)=7),IFERROR(1*'Daily Workforce'!$K106&gt;=3,FALSE()),IFERROR(1*'Daily Workforce'!$K106&gt;=2,FALSE())),IF(AND('Daily Schedule'!$A51&gt;=46,'Daily Schedule'!$A51&lt;=52),'Daily Workforce'!$M106="Y",IFERROR(1*'Daily Workforce'!$P106&gt;=2,FALSE()))))),1,0)</f>
        <v>1</v>
      </c>
      <c r="DN47" s="1" t="n">
        <f aca="false">IF(AND('Daily Workforce'!$N107="Y",'Daily Workforce'!$B107&lt;&gt;"",COUNTIF('Daily Schedule'!$F$5:$F50,'Daily Workforce'!$B107)=0,IF('Daily Schedule'!$A51=45,'Daily Workforce'!$J107="Y",IF(OR('Daily Schedule'!$A51=4,'Daily Schedule'!$A51=8),IF(OR(WEEKDAY('Daily Schedule'!$B$2,2)=1,WEEKDAY('Daily Schedule'!$B$2,2)=4,WEEKDAY('Daily Schedule'!$B$2,2)=5,WEEKDAY('Daily Schedule'!$B$2,2)=7),IFERROR(1*'Daily Workforce'!$K107&gt;=3,FALSE()),IFERROR(1*'Daily Workforce'!$K107&gt;=2,FALSE())),IF(AND('Daily Schedule'!$A51&gt;=46,'Daily Schedule'!$A51&lt;=52),'Daily Workforce'!$M107="Y",IFERROR(1*'Daily Workforce'!$P107&gt;=2,FALSE()))))),1,0)</f>
        <v>1</v>
      </c>
      <c r="DO47" s="1" t="n">
        <f aca="false">IF(AND('Daily Workforce'!$N108="Y",'Daily Workforce'!$B108&lt;&gt;"",COUNTIF('Daily Schedule'!$F$5:$F50,'Daily Workforce'!$B108)=0,IF('Daily Schedule'!$A51=45,'Daily Workforce'!$J108="Y",IF(OR('Daily Schedule'!$A51=4,'Daily Schedule'!$A51=8),IF(OR(WEEKDAY('Daily Schedule'!$B$2,2)=1,WEEKDAY('Daily Schedule'!$B$2,2)=4,WEEKDAY('Daily Schedule'!$B$2,2)=5,WEEKDAY('Daily Schedule'!$B$2,2)=7),IFERROR(1*'Daily Workforce'!$K108&gt;=3,FALSE()),IFERROR(1*'Daily Workforce'!$K108&gt;=2,FALSE())),IF(AND('Daily Schedule'!$A51&gt;=46,'Daily Schedule'!$A51&lt;=52),'Daily Workforce'!$M108="Y",IFERROR(1*'Daily Workforce'!$P108&gt;=2,FALSE()))))),1,0)</f>
        <v>1</v>
      </c>
      <c r="DP47" s="1" t="n">
        <f aca="false">IF(AND('Daily Workforce'!$N109="Y",'Daily Workforce'!$B109&lt;&gt;"",COUNTIF('Daily Schedule'!$F$5:$F50,'Daily Workforce'!$B109)=0,IF('Daily Schedule'!$A51=45,'Daily Workforce'!$J109="Y",IF(OR('Daily Schedule'!$A51=4,'Daily Schedule'!$A51=8),IF(OR(WEEKDAY('Daily Schedule'!$B$2,2)=1,WEEKDAY('Daily Schedule'!$B$2,2)=4,WEEKDAY('Daily Schedule'!$B$2,2)=5,WEEKDAY('Daily Schedule'!$B$2,2)=7),IFERROR(1*'Daily Workforce'!$K109&gt;=3,FALSE()),IFERROR(1*'Daily Workforce'!$K109&gt;=2,FALSE())),IF(AND('Daily Schedule'!$A51&gt;=46,'Daily Schedule'!$A51&lt;=52),'Daily Workforce'!$M109="Y",IFERROR(1*'Daily Workforce'!$P109&gt;=2,FALSE()))))),1,0)</f>
        <v>1</v>
      </c>
      <c r="DQ47" s="1" t="n">
        <f aca="false">IF(AND('Daily Workforce'!$N110="Y",'Daily Workforce'!$B110&lt;&gt;"",COUNTIF('Daily Schedule'!$F$5:$F50,'Daily Workforce'!$B110)=0,IF('Daily Schedule'!$A51=45,'Daily Workforce'!$J110="Y",IF(OR('Daily Schedule'!$A51=4,'Daily Schedule'!$A51=8),IF(OR(WEEKDAY('Daily Schedule'!$B$2,2)=1,WEEKDAY('Daily Schedule'!$B$2,2)=4,WEEKDAY('Daily Schedule'!$B$2,2)=5,WEEKDAY('Daily Schedule'!$B$2,2)=7),IFERROR(1*'Daily Workforce'!$K110&gt;=3,FALSE()),IFERROR(1*'Daily Workforce'!$K110&gt;=2,FALSE())),IF(AND('Daily Schedule'!$A51&gt;=46,'Daily Schedule'!$A51&lt;=52),'Daily Workforce'!$M110="Y",IFERROR(1*'Daily Workforce'!$P110&gt;=2,FALSE()))))),1,0)</f>
        <v>1</v>
      </c>
      <c r="DR47" s="1" t="n">
        <f aca="false">IF(AND('Daily Workforce'!$N111="Y",'Daily Workforce'!$B111&lt;&gt;"",COUNTIF('Daily Schedule'!$F$5:$F50,'Daily Workforce'!$B111)=0,IF('Daily Schedule'!$A51=45,'Daily Workforce'!$J111="Y",IF(OR('Daily Schedule'!$A51=4,'Daily Schedule'!$A51=8),IF(OR(WEEKDAY('Daily Schedule'!$B$2,2)=1,WEEKDAY('Daily Schedule'!$B$2,2)=4,WEEKDAY('Daily Schedule'!$B$2,2)=5,WEEKDAY('Daily Schedule'!$B$2,2)=7),IFERROR(1*'Daily Workforce'!$K111&gt;=3,FALSE()),IFERROR(1*'Daily Workforce'!$K111&gt;=2,FALSE())),IF(AND('Daily Schedule'!$A51&gt;=46,'Daily Schedule'!$A51&lt;=52),'Daily Workforce'!$M111="Y",IFERROR(1*'Daily Workforce'!$P111&gt;=2,FALSE()))))),1,0)</f>
        <v>1</v>
      </c>
      <c r="DS47" s="1" t="n">
        <f aca="false">IF(AND('Daily Workforce'!$N112="Y",'Daily Workforce'!$B112&lt;&gt;"",COUNTIF('Daily Schedule'!$F$5:$F50,'Daily Workforce'!$B112)=0,IF('Daily Schedule'!$A51=45,'Daily Workforce'!$J112="Y",IF(OR('Daily Schedule'!$A51=4,'Daily Schedule'!$A51=8),IF(OR(WEEKDAY('Daily Schedule'!$B$2,2)=1,WEEKDAY('Daily Schedule'!$B$2,2)=4,WEEKDAY('Daily Schedule'!$B$2,2)=5,WEEKDAY('Daily Schedule'!$B$2,2)=7),IFERROR(1*'Daily Workforce'!$K112&gt;=3,FALSE()),IFERROR(1*'Daily Workforce'!$K112&gt;=2,FALSE())),IF(AND('Daily Schedule'!$A51&gt;=46,'Daily Schedule'!$A51&lt;=52),'Daily Workforce'!$M112="Y",IFERROR(1*'Daily Workforce'!$P112&gt;=2,FALSE()))))),1,0)</f>
        <v>1</v>
      </c>
      <c r="DT47" s="1" t="n">
        <f aca="false">IF(AND('Daily Workforce'!$N113="Y",'Daily Workforce'!$B113&lt;&gt;"",COUNTIF('Daily Schedule'!$F$5:$F50,'Daily Workforce'!$B113)=0,IF('Daily Schedule'!$A51=45,'Daily Workforce'!$J113="Y",IF(OR('Daily Schedule'!$A51=4,'Daily Schedule'!$A51=8),IF(OR(WEEKDAY('Daily Schedule'!$B$2,2)=1,WEEKDAY('Daily Schedule'!$B$2,2)=4,WEEKDAY('Daily Schedule'!$B$2,2)=5,WEEKDAY('Daily Schedule'!$B$2,2)=7),IFERROR(1*'Daily Workforce'!$K113&gt;=3,FALSE()),IFERROR(1*'Daily Workforce'!$K113&gt;=2,FALSE())),IF(AND('Daily Schedule'!$A51&gt;=46,'Daily Schedule'!$A51&lt;=52),'Daily Workforce'!$M113="Y",IFERROR(1*'Daily Workforce'!$P113&gt;=2,FALSE()))))),1,0)</f>
        <v>1</v>
      </c>
      <c r="DU47" s="1" t="n">
        <f aca="false">IF(AND('Daily Workforce'!$N114="Y",'Daily Workforce'!$B114&lt;&gt;"",COUNTIF('Daily Schedule'!$F$5:$F50,'Daily Workforce'!$B114)=0,IF('Daily Schedule'!$A51=45,'Daily Workforce'!$J114="Y",IF(OR('Daily Schedule'!$A51=4,'Daily Schedule'!$A51=8),IF(OR(WEEKDAY('Daily Schedule'!$B$2,2)=1,WEEKDAY('Daily Schedule'!$B$2,2)=4,WEEKDAY('Daily Schedule'!$B$2,2)=5,WEEKDAY('Daily Schedule'!$B$2,2)=7),IFERROR(1*'Daily Workforce'!$K114&gt;=3,FALSE()),IFERROR(1*'Daily Workforce'!$K114&gt;=2,FALSE())),IF(AND('Daily Schedule'!$A51&gt;=46,'Daily Schedule'!$A51&lt;=52),'Daily Workforce'!$M114="Y",IFERROR(1*'Daily Workforce'!$P114&gt;=2,FALSE()))))),1,0)</f>
        <v>1</v>
      </c>
      <c r="DV47" s="1" t="n">
        <f aca="false">IF(AND('Daily Workforce'!$N115="Y",'Daily Workforce'!$B115&lt;&gt;"",COUNTIF('Daily Schedule'!$F$5:$F50,'Daily Workforce'!$B115)=0,IF('Daily Schedule'!$A51=45,'Daily Workforce'!$J115="Y",IF(OR('Daily Schedule'!$A51=4,'Daily Schedule'!$A51=8),IF(OR(WEEKDAY('Daily Schedule'!$B$2,2)=1,WEEKDAY('Daily Schedule'!$B$2,2)=4,WEEKDAY('Daily Schedule'!$B$2,2)=5,WEEKDAY('Daily Schedule'!$B$2,2)=7),IFERROR(1*'Daily Workforce'!$K115&gt;=3,FALSE()),IFERROR(1*'Daily Workforce'!$K115&gt;=2,FALSE())),IF(AND('Daily Schedule'!$A51&gt;=46,'Daily Schedule'!$A51&lt;=52),'Daily Workforce'!$M115="Y",IFERROR(1*'Daily Workforce'!$P115&gt;=2,FALSE()))))),1,0)</f>
        <v>1</v>
      </c>
      <c r="DW47" s="1" t="n">
        <f aca="false">IF(AND('Daily Workforce'!$N116="Y",'Daily Workforce'!$B116&lt;&gt;"",COUNTIF('Daily Schedule'!$F$5:$F50,'Daily Workforce'!$B116)=0,IF('Daily Schedule'!$A51=45,'Daily Workforce'!$J116="Y",IF(OR('Daily Schedule'!$A51=4,'Daily Schedule'!$A51=8),IF(OR(WEEKDAY('Daily Schedule'!$B$2,2)=1,WEEKDAY('Daily Schedule'!$B$2,2)=4,WEEKDAY('Daily Schedule'!$B$2,2)=5,WEEKDAY('Daily Schedule'!$B$2,2)=7),IFERROR(1*'Daily Workforce'!$K116&gt;=3,FALSE()),IFERROR(1*'Daily Workforce'!$K116&gt;=2,FALSE())),IF(AND('Daily Schedule'!$A51&gt;=46,'Daily Schedule'!$A51&lt;=52),'Daily Workforce'!$M116="Y",IFERROR(1*'Daily Workforce'!$P116&gt;=2,FALSE()))))),1,0)</f>
        <v>1</v>
      </c>
      <c r="DX47" s="1" t="n">
        <f aca="false">IF(AND('Daily Workforce'!$N117="Y",'Daily Workforce'!$B117&lt;&gt;"",COUNTIF('Daily Schedule'!$F$5:$F50,'Daily Workforce'!$B117)=0,IF('Daily Schedule'!$A51=45,'Daily Workforce'!$J117="Y",IF(OR('Daily Schedule'!$A51=4,'Daily Schedule'!$A51=8),IF(OR(WEEKDAY('Daily Schedule'!$B$2,2)=1,WEEKDAY('Daily Schedule'!$B$2,2)=4,WEEKDAY('Daily Schedule'!$B$2,2)=5,WEEKDAY('Daily Schedule'!$B$2,2)=7),IFERROR(1*'Daily Workforce'!$K117&gt;=3,FALSE()),IFERROR(1*'Daily Workforce'!$K117&gt;=2,FALSE())),IF(AND('Daily Schedule'!$A51&gt;=46,'Daily Schedule'!$A51&lt;=52),'Daily Workforce'!$M117="Y",IFERROR(1*'Daily Workforce'!$P117&gt;=2,FALSE()))))),1,0)</f>
        <v>1</v>
      </c>
      <c r="DY47" s="1" t="n">
        <f aca="false">IF(AND('Daily Workforce'!$N118="Y",'Daily Workforce'!$B118&lt;&gt;"",COUNTIF('Daily Schedule'!$F$5:$F50,'Daily Workforce'!$B118)=0,IF('Daily Schedule'!$A51=45,'Daily Workforce'!$J118="Y",IF(OR('Daily Schedule'!$A51=4,'Daily Schedule'!$A51=8),IF(OR(WEEKDAY('Daily Schedule'!$B$2,2)=1,WEEKDAY('Daily Schedule'!$B$2,2)=4,WEEKDAY('Daily Schedule'!$B$2,2)=5,WEEKDAY('Daily Schedule'!$B$2,2)=7),IFERROR(1*'Daily Workforce'!$K118&gt;=3,FALSE()),IFERROR(1*'Daily Workforce'!$K118&gt;=2,FALSE())),IF(AND('Daily Schedule'!$A51&gt;=46,'Daily Schedule'!$A51&lt;=52),'Daily Workforce'!$M118="Y",IFERROR(1*'Daily Workforce'!$P118&gt;=2,FALSE()))))),1,0)</f>
        <v>0</v>
      </c>
      <c r="DZ47" s="1" t="n">
        <f aca="false">IF(AND('Daily Workforce'!$N119="Y",'Daily Workforce'!$B119&lt;&gt;"",COUNTIF('Daily Schedule'!$F$5:$F50,'Daily Workforce'!$B119)=0,IF('Daily Schedule'!$A51=45,'Daily Workforce'!$J119="Y",IF(OR('Daily Schedule'!$A51=4,'Daily Schedule'!$A51=8),IF(OR(WEEKDAY('Daily Schedule'!$B$2,2)=1,WEEKDAY('Daily Schedule'!$B$2,2)=4,WEEKDAY('Daily Schedule'!$B$2,2)=5,WEEKDAY('Daily Schedule'!$B$2,2)=7),IFERROR(1*'Daily Workforce'!$K119&gt;=3,FALSE()),IFERROR(1*'Daily Workforce'!$K119&gt;=2,FALSE())),IF(AND('Daily Schedule'!$A51&gt;=46,'Daily Schedule'!$A51&lt;=52),'Daily Workforce'!$M119="Y",IFERROR(1*'Daily Workforce'!$P119&gt;=2,FALSE()))))),1,0)</f>
        <v>0</v>
      </c>
      <c r="EA47" s="1" t="n">
        <f aca="false">IF(AND('Daily Workforce'!$N120="Y",'Daily Workforce'!$B120&lt;&gt;"",COUNTIF('Daily Schedule'!$F$5:$F50,'Daily Workforce'!$B120)=0,IF('Daily Schedule'!$A51=45,'Daily Workforce'!$J120="Y",IF(OR('Daily Schedule'!$A51=4,'Daily Schedule'!$A51=8),IF(OR(WEEKDAY('Daily Schedule'!$B$2,2)=1,WEEKDAY('Daily Schedule'!$B$2,2)=4,WEEKDAY('Daily Schedule'!$B$2,2)=5,WEEKDAY('Daily Schedule'!$B$2,2)=7),IFERROR(1*'Daily Workforce'!$K120&gt;=3,FALSE()),IFERROR(1*'Daily Workforce'!$K120&gt;=2,FALSE())),IF(AND('Daily Schedule'!$A51&gt;=46,'Daily Schedule'!$A51&lt;=52),'Daily Workforce'!$M120="Y",IFERROR(1*'Daily Workforce'!$P120&gt;=2,FALSE()))))),1,0)</f>
        <v>0</v>
      </c>
      <c r="EB47" s="1" t="n">
        <f aca="false">IF(AND('Daily Workforce'!$N121="Y",'Daily Workforce'!$B121&lt;&gt;"",COUNTIF('Daily Schedule'!$F$5:$F50,'Daily Workforce'!$B121)=0,IF('Daily Schedule'!$A51=45,'Daily Workforce'!$J121="Y",IF(OR('Daily Schedule'!$A51=4,'Daily Schedule'!$A51=8),IF(OR(WEEKDAY('Daily Schedule'!$B$2,2)=1,WEEKDAY('Daily Schedule'!$B$2,2)=4,WEEKDAY('Daily Schedule'!$B$2,2)=5,WEEKDAY('Daily Schedule'!$B$2,2)=7),IFERROR(1*'Daily Workforce'!$K121&gt;=3,FALSE()),IFERROR(1*'Daily Workforce'!$K121&gt;=2,FALSE())),IF(AND('Daily Schedule'!$A51&gt;=46,'Daily Schedule'!$A51&lt;=52),'Daily Workforce'!$M121="Y",IFERROR(1*'Daily Workforce'!$P121&gt;=2,FALSE()))))),1,0)</f>
        <v>0</v>
      </c>
      <c r="EC47" s="1" t="n">
        <f aca="false">IF(AND('Daily Workforce'!$N122="Y",'Daily Workforce'!$B122&lt;&gt;"",COUNTIF('Daily Schedule'!$F$5:$F50,'Daily Workforce'!$B122)=0,IF('Daily Schedule'!$A51=45,'Daily Workforce'!$J122="Y",IF(OR('Daily Schedule'!$A51=4,'Daily Schedule'!$A51=8),IF(OR(WEEKDAY('Daily Schedule'!$B$2,2)=1,WEEKDAY('Daily Schedule'!$B$2,2)=4,WEEKDAY('Daily Schedule'!$B$2,2)=5,WEEKDAY('Daily Schedule'!$B$2,2)=7),IFERROR(1*'Daily Workforce'!$K122&gt;=3,FALSE()),IFERROR(1*'Daily Workforce'!$K122&gt;=2,FALSE())),IF(AND('Daily Schedule'!$A51&gt;=46,'Daily Schedule'!$A51&lt;=52),'Daily Workforce'!$M122="Y",IFERROR(1*'Daily Workforce'!$P122&gt;=2,FALSE()))))),1,0)</f>
        <v>0</v>
      </c>
      <c r="ED47" s="1" t="n">
        <f aca="false">IF(AND('Daily Workforce'!$N123="Y",'Daily Workforce'!$B123&lt;&gt;"",COUNTIF('Daily Schedule'!$F$5:$F50,'Daily Workforce'!$B123)=0,IF('Daily Schedule'!$A51=45,'Daily Workforce'!$J123="Y",IF(OR('Daily Schedule'!$A51=4,'Daily Schedule'!$A51=8),IF(OR(WEEKDAY('Daily Schedule'!$B$2,2)=1,WEEKDAY('Daily Schedule'!$B$2,2)=4,WEEKDAY('Daily Schedule'!$B$2,2)=5,WEEKDAY('Daily Schedule'!$B$2,2)=7),IFERROR(1*'Daily Workforce'!$K123&gt;=3,FALSE()),IFERROR(1*'Daily Workforce'!$K123&gt;=2,FALSE())),IF(AND('Daily Schedule'!$A51&gt;=46,'Daily Schedule'!$A51&lt;=52),'Daily Workforce'!$M123="Y",IFERROR(1*'Daily Workforce'!$P123&gt;=2,FALSE()))))),1,0)</f>
        <v>0</v>
      </c>
      <c r="EE47" s="1" t="n">
        <f aca="false">IF(AND('Daily Workforce'!$N124="Y",'Daily Workforce'!$B124&lt;&gt;"",COUNTIF('Daily Schedule'!$F$5:$F50,'Daily Workforce'!$B124)=0,IF('Daily Schedule'!$A51=45,'Daily Workforce'!$J124="Y",IF(OR('Daily Schedule'!$A51=4,'Daily Schedule'!$A51=8),IF(OR(WEEKDAY('Daily Schedule'!$B$2,2)=1,WEEKDAY('Daily Schedule'!$B$2,2)=4,WEEKDAY('Daily Schedule'!$B$2,2)=5,WEEKDAY('Daily Schedule'!$B$2,2)=7),IFERROR(1*'Daily Workforce'!$K124&gt;=3,FALSE()),IFERROR(1*'Daily Workforce'!$K124&gt;=2,FALSE())),IF(AND('Daily Schedule'!$A51&gt;=46,'Daily Schedule'!$A51&lt;=52),'Daily Workforce'!$M124="Y",IFERROR(1*'Daily Workforce'!$P124&gt;=2,FALSE()))))),1,0)</f>
        <v>0</v>
      </c>
      <c r="EF47" s="1" t="n">
        <f aca="false">IF(AND('Daily Workforce'!$N125="Y",'Daily Workforce'!$B125&lt;&gt;"",COUNTIF('Daily Schedule'!$F$5:$F50,'Daily Workforce'!$B125)=0,IF('Daily Schedule'!$A51=45,'Daily Workforce'!$J125="Y",IF(OR('Daily Schedule'!$A51=4,'Daily Schedule'!$A51=8),IF(OR(WEEKDAY('Daily Schedule'!$B$2,2)=1,WEEKDAY('Daily Schedule'!$B$2,2)=4,WEEKDAY('Daily Schedule'!$B$2,2)=5,WEEKDAY('Daily Schedule'!$B$2,2)=7),IFERROR(1*'Daily Workforce'!$K125&gt;=3,FALSE()),IFERROR(1*'Daily Workforce'!$K125&gt;=2,FALSE())),IF(AND('Daily Schedule'!$A51&gt;=46,'Daily Schedule'!$A51&lt;=52),'Daily Workforce'!$M125="Y",IFERROR(1*'Daily Workforce'!$P125&gt;=2,FALSE()))))),1,0)</f>
        <v>0</v>
      </c>
      <c r="EG47" s="1" t="n">
        <f aca="false">IF(AND('Daily Workforce'!$N126="Y",'Daily Workforce'!$B126&lt;&gt;"",COUNTIF('Daily Schedule'!$F$5:$F50,'Daily Workforce'!$B126)=0,IF('Daily Schedule'!$A51=45,'Daily Workforce'!$J126="Y",IF(OR('Daily Schedule'!$A51=4,'Daily Schedule'!$A51=8),IF(OR(WEEKDAY('Daily Schedule'!$B$2,2)=1,WEEKDAY('Daily Schedule'!$B$2,2)=4,WEEKDAY('Daily Schedule'!$B$2,2)=5,WEEKDAY('Daily Schedule'!$B$2,2)=7),IFERROR(1*'Daily Workforce'!$K126&gt;=3,FALSE()),IFERROR(1*'Daily Workforce'!$K126&gt;=2,FALSE())),IF(AND('Daily Schedule'!$A51&gt;=46,'Daily Schedule'!$A51&lt;=52),'Daily Workforce'!$M126="Y",IFERROR(1*'Daily Workforce'!$P126&gt;=2,FALSE()))))),1,0)</f>
        <v>0</v>
      </c>
      <c r="EH47" s="1" t="n">
        <f aca="false">IF(AND('Daily Workforce'!$N127="Y",'Daily Workforce'!$B127&lt;&gt;"",COUNTIF('Daily Schedule'!$F$5:$F50,'Daily Workforce'!$B127)=0,IF('Daily Schedule'!$A51=45,'Daily Workforce'!$J127="Y",IF(OR('Daily Schedule'!$A51=4,'Daily Schedule'!$A51=8),IF(OR(WEEKDAY('Daily Schedule'!$B$2,2)=1,WEEKDAY('Daily Schedule'!$B$2,2)=4,WEEKDAY('Daily Schedule'!$B$2,2)=5,WEEKDAY('Daily Schedule'!$B$2,2)=7),IFERROR(1*'Daily Workforce'!$K127&gt;=3,FALSE()),IFERROR(1*'Daily Workforce'!$K127&gt;=2,FALSE())),IF(AND('Daily Schedule'!$A51&gt;=46,'Daily Schedule'!$A51&lt;=52),'Daily Workforce'!$M127="Y",IFERROR(1*'Daily Workforce'!$P127&gt;=2,FALSE()))))),1,0)</f>
        <v>0</v>
      </c>
      <c r="EI47" s="1" t="n">
        <f aca="false">IF(AND('Daily Workforce'!$N128="Y",'Daily Workforce'!$B128&lt;&gt;"",COUNTIF('Daily Schedule'!$F$5:$F50,'Daily Workforce'!$B128)=0,IF('Daily Schedule'!$A51=45,'Daily Workforce'!$J128="Y",IF(OR('Daily Schedule'!$A51=4,'Daily Schedule'!$A51=8),IF(OR(WEEKDAY('Daily Schedule'!$B$2,2)=1,WEEKDAY('Daily Schedule'!$B$2,2)=4,WEEKDAY('Daily Schedule'!$B$2,2)=5,WEEKDAY('Daily Schedule'!$B$2,2)=7),IFERROR(1*'Daily Workforce'!$K128&gt;=3,FALSE()),IFERROR(1*'Daily Workforce'!$K128&gt;=2,FALSE())),IF(AND('Daily Schedule'!$A51&gt;=46,'Daily Schedule'!$A51&lt;=52),'Daily Workforce'!$M128="Y",IFERROR(1*'Daily Workforce'!$P128&gt;=2,FALSE()))))),1,0)</f>
        <v>0</v>
      </c>
      <c r="EJ47" s="1" t="n">
        <f aca="false">IF(AND('Daily Workforce'!$N129="Y",'Daily Workforce'!$B129&lt;&gt;"",COUNTIF('Daily Schedule'!$F$5:$F50,'Daily Workforce'!$B129)=0,IF('Daily Schedule'!$A51=45,'Daily Workforce'!$J129="Y",IF(OR('Daily Schedule'!$A51=4,'Daily Schedule'!$A51=8),IF(OR(WEEKDAY('Daily Schedule'!$B$2,2)=1,WEEKDAY('Daily Schedule'!$B$2,2)=4,WEEKDAY('Daily Schedule'!$B$2,2)=5,WEEKDAY('Daily Schedule'!$B$2,2)=7),IFERROR(1*'Daily Workforce'!$K129&gt;=3,FALSE()),IFERROR(1*'Daily Workforce'!$K129&gt;=2,FALSE())),IF(AND('Daily Schedule'!$A51&gt;=46,'Daily Schedule'!$A51&lt;=52),'Daily Workforce'!$M129="Y",IFERROR(1*'Daily Workforce'!$P129&gt;=2,FALSE()))))),1,0)</f>
        <v>0</v>
      </c>
      <c r="EK47" s="1" t="n">
        <f aca="false">IF(AND('Daily Workforce'!$N130="Y",'Daily Workforce'!$B130&lt;&gt;"",COUNTIF('Daily Schedule'!$F$5:$F50,'Daily Workforce'!$B130)=0,IF('Daily Schedule'!$A51=45,'Daily Workforce'!$J130="Y",IF(OR('Daily Schedule'!$A51=4,'Daily Schedule'!$A51=8),IF(OR(WEEKDAY('Daily Schedule'!$B$2,2)=1,WEEKDAY('Daily Schedule'!$B$2,2)=4,WEEKDAY('Daily Schedule'!$B$2,2)=5,WEEKDAY('Daily Schedule'!$B$2,2)=7),IFERROR(1*'Daily Workforce'!$K130&gt;=3,FALSE()),IFERROR(1*'Daily Workforce'!$K130&gt;=2,FALSE())),IF(AND('Daily Schedule'!$A51&gt;=46,'Daily Schedule'!$A51&lt;=52),'Daily Workforce'!$M130="Y",IFERROR(1*'Daily Workforce'!$P130&gt;=2,FALSE()))))),1,0)</f>
        <v>0</v>
      </c>
      <c r="EL47" s="1" t="n">
        <f aca="false">IF(AND('Daily Workforce'!$N131="Y",'Daily Workforce'!$B131&lt;&gt;"",COUNTIF('Daily Schedule'!$F$5:$F50,'Daily Workforce'!$B131)=0,IF('Daily Schedule'!$A51=45,'Daily Workforce'!$J131="Y",IF(OR('Daily Schedule'!$A51=4,'Daily Schedule'!$A51=8),IF(OR(WEEKDAY('Daily Schedule'!$B$2,2)=1,WEEKDAY('Daily Schedule'!$B$2,2)=4,WEEKDAY('Daily Schedule'!$B$2,2)=5,WEEKDAY('Daily Schedule'!$B$2,2)=7),IFERROR(1*'Daily Workforce'!$K131&gt;=3,FALSE()),IFERROR(1*'Daily Workforce'!$K131&gt;=2,FALSE())),IF(AND('Daily Schedule'!$A51&gt;=46,'Daily Schedule'!$A51&lt;=52),'Daily Workforce'!$M131="Y",IFERROR(1*'Daily Workforce'!$P131&gt;=2,FALSE()))))),1,0)</f>
        <v>0</v>
      </c>
      <c r="EM47" s="1" t="n">
        <f aca="false">IF(AND('Daily Workforce'!$N132="Y",'Daily Workforce'!$B132&lt;&gt;"",COUNTIF('Daily Schedule'!$F$5:$F50,'Daily Workforce'!$B132)=0,IF('Daily Schedule'!$A51=45,'Daily Workforce'!$J132="Y",IF(OR('Daily Schedule'!$A51=4,'Daily Schedule'!$A51=8),IF(OR(WEEKDAY('Daily Schedule'!$B$2,2)=1,WEEKDAY('Daily Schedule'!$B$2,2)=4,WEEKDAY('Daily Schedule'!$B$2,2)=5,WEEKDAY('Daily Schedule'!$B$2,2)=7),IFERROR(1*'Daily Workforce'!$K132&gt;=3,FALSE()),IFERROR(1*'Daily Workforce'!$K132&gt;=2,FALSE())),IF(AND('Daily Schedule'!$A51&gt;=46,'Daily Schedule'!$A51&lt;=52),'Daily Workforce'!$M132="Y",IFERROR(1*'Daily Workforce'!$P132&gt;=2,FALSE()))))),1,0)</f>
        <v>0</v>
      </c>
      <c r="EN47" s="1" t="n">
        <f aca="false">IF(AND('Daily Workforce'!$N133="Y",'Daily Workforce'!$B133&lt;&gt;"",COUNTIF('Daily Schedule'!$F$5:$F50,'Daily Workforce'!$B133)=0,IF('Daily Schedule'!$A51=45,'Daily Workforce'!$J133="Y",IF(OR('Daily Schedule'!$A51=4,'Daily Schedule'!$A51=8),IF(OR(WEEKDAY('Daily Schedule'!$B$2,2)=1,WEEKDAY('Daily Schedule'!$B$2,2)=4,WEEKDAY('Daily Schedule'!$B$2,2)=5,WEEKDAY('Daily Schedule'!$B$2,2)=7),IFERROR(1*'Daily Workforce'!$K133&gt;=3,FALSE()),IFERROR(1*'Daily Workforce'!$K133&gt;=2,FALSE())),IF(AND('Daily Schedule'!$A51&gt;=46,'Daily Schedule'!$A51&lt;=52),'Daily Workforce'!$M133="Y",IFERROR(1*'Daily Workforce'!$P133&gt;=2,FALSE()))))),1,0)</f>
        <v>0</v>
      </c>
      <c r="EO47" s="1" t="n">
        <f aca="false">IF(AND('Daily Workforce'!$N134="Y",'Daily Workforce'!$B134&lt;&gt;"",COUNTIF('Daily Schedule'!$F$5:$F50,'Daily Workforce'!$B134)=0,IF('Daily Schedule'!$A51=45,'Daily Workforce'!$J134="Y",IF(OR('Daily Schedule'!$A51=4,'Daily Schedule'!$A51=8),IF(OR(WEEKDAY('Daily Schedule'!$B$2,2)=1,WEEKDAY('Daily Schedule'!$B$2,2)=4,WEEKDAY('Daily Schedule'!$B$2,2)=5,WEEKDAY('Daily Schedule'!$B$2,2)=7),IFERROR(1*'Daily Workforce'!$K134&gt;=3,FALSE()),IFERROR(1*'Daily Workforce'!$K134&gt;=2,FALSE())),IF(AND('Daily Schedule'!$A51&gt;=46,'Daily Schedule'!$A51&lt;=52),'Daily Workforce'!$M134="Y",IFERROR(1*'Daily Workforce'!$P134&gt;=2,FALSE()))))),1,0)</f>
        <v>0</v>
      </c>
      <c r="EP47" s="1" t="n">
        <f aca="false">IF(AND('Daily Workforce'!$N135="Y",'Daily Workforce'!$B135&lt;&gt;"",COUNTIF('Daily Schedule'!$F$5:$F50,'Daily Workforce'!$B135)=0,IF('Daily Schedule'!$A51=45,'Daily Workforce'!$J135="Y",IF(OR('Daily Schedule'!$A51=4,'Daily Schedule'!$A51=8),IF(OR(WEEKDAY('Daily Schedule'!$B$2,2)=1,WEEKDAY('Daily Schedule'!$B$2,2)=4,WEEKDAY('Daily Schedule'!$B$2,2)=5,WEEKDAY('Daily Schedule'!$B$2,2)=7),IFERROR(1*'Daily Workforce'!$K135&gt;=3,FALSE()),IFERROR(1*'Daily Workforce'!$K135&gt;=2,FALSE())),IF(AND('Daily Schedule'!$A51&gt;=46,'Daily Schedule'!$A51&lt;=52),'Daily Workforce'!$M135="Y",IFERROR(1*'Daily Workforce'!$P135&gt;=2,FALSE()))))),1,0)</f>
        <v>0</v>
      </c>
      <c r="EQ47" s="1" t="n">
        <f aca="false">IF(AND('Daily Workforce'!$N136="Y",'Daily Workforce'!$B136&lt;&gt;"",COUNTIF('Daily Schedule'!$F$5:$F50,'Daily Workforce'!$B136)=0,IF('Daily Schedule'!$A51=45,'Daily Workforce'!$J136="Y",IF(OR('Daily Schedule'!$A51=4,'Daily Schedule'!$A51=8),IF(OR(WEEKDAY('Daily Schedule'!$B$2,2)=1,WEEKDAY('Daily Schedule'!$B$2,2)=4,WEEKDAY('Daily Schedule'!$B$2,2)=5,WEEKDAY('Daily Schedule'!$B$2,2)=7),IFERROR(1*'Daily Workforce'!$K136&gt;=3,FALSE()),IFERROR(1*'Daily Workforce'!$K136&gt;=2,FALSE())),IF(AND('Daily Schedule'!$A51&gt;=46,'Daily Schedule'!$A51&lt;=52),'Daily Workforce'!$M136="Y",IFERROR(1*'Daily Workforce'!$P136&gt;=2,FALSE()))))),1,0)</f>
        <v>0</v>
      </c>
      <c r="ER47" s="1" t="n">
        <f aca="false">IF(AND('Daily Workforce'!$N137="Y",'Daily Workforce'!$B137&lt;&gt;"",COUNTIF('Daily Schedule'!$F$5:$F50,'Daily Workforce'!$B137)=0,IF('Daily Schedule'!$A51=45,'Daily Workforce'!$J137="Y",IF(OR('Daily Schedule'!$A51=4,'Daily Schedule'!$A51=8),IF(OR(WEEKDAY('Daily Schedule'!$B$2,2)=1,WEEKDAY('Daily Schedule'!$B$2,2)=4,WEEKDAY('Daily Schedule'!$B$2,2)=5,WEEKDAY('Daily Schedule'!$B$2,2)=7),IFERROR(1*'Daily Workforce'!$K137&gt;=3,FALSE()),IFERROR(1*'Daily Workforce'!$K137&gt;=2,FALSE())),IF(AND('Daily Schedule'!$A51&gt;=46,'Daily Schedule'!$A51&lt;=52),'Daily Workforce'!$M137="Y",IFERROR(1*'Daily Workforce'!$P137&gt;=2,FALSE()))))),1,0)</f>
        <v>0</v>
      </c>
      <c r="ES47" s="1" t="n">
        <f aca="false">IF(AND('Daily Workforce'!$N138="Y",'Daily Workforce'!$B138&lt;&gt;"",COUNTIF('Daily Schedule'!$F$5:$F50,'Daily Workforce'!$B138)=0,IF('Daily Schedule'!$A51=45,'Daily Workforce'!$J138="Y",IF(OR('Daily Schedule'!$A51=4,'Daily Schedule'!$A51=8),IF(OR(WEEKDAY('Daily Schedule'!$B$2,2)=1,WEEKDAY('Daily Schedule'!$B$2,2)=4,WEEKDAY('Daily Schedule'!$B$2,2)=5,WEEKDAY('Daily Schedule'!$B$2,2)=7),IFERROR(1*'Daily Workforce'!$K138&gt;=3,FALSE()),IFERROR(1*'Daily Workforce'!$K138&gt;=2,FALSE())),IF(AND('Daily Schedule'!$A51&gt;=46,'Daily Schedule'!$A51&lt;=52),'Daily Workforce'!$M138="Y",IFERROR(1*'Daily Workforce'!$P138&gt;=2,FALSE()))))),1,0)</f>
        <v>0</v>
      </c>
      <c r="ET47" s="1" t="n">
        <f aca="false">IF(AND('Daily Workforce'!$N139="Y",'Daily Workforce'!$B139&lt;&gt;"",COUNTIF('Daily Schedule'!$F$5:$F50,'Daily Workforce'!$B139)=0,IF('Daily Schedule'!$A51=45,'Daily Workforce'!$J139="Y",IF(OR('Daily Schedule'!$A51=4,'Daily Schedule'!$A51=8),IF(OR(WEEKDAY('Daily Schedule'!$B$2,2)=1,WEEKDAY('Daily Schedule'!$B$2,2)=4,WEEKDAY('Daily Schedule'!$B$2,2)=5,WEEKDAY('Daily Schedule'!$B$2,2)=7),IFERROR(1*'Daily Workforce'!$K139&gt;=3,FALSE()),IFERROR(1*'Daily Workforce'!$K139&gt;=2,FALSE())),IF(AND('Daily Schedule'!$A51&gt;=46,'Daily Schedule'!$A51&lt;=52),'Daily Workforce'!$M139="Y",IFERROR(1*'Daily Workforce'!$P139&gt;=2,FALSE()))))),1,0)</f>
        <v>0</v>
      </c>
      <c r="EU47" s="1" t="n">
        <f aca="false">IF(AND('Daily Workforce'!$N140="Y",'Daily Workforce'!$B140&lt;&gt;"",COUNTIF('Daily Schedule'!$F$5:$F50,'Daily Workforce'!$B140)=0,IF('Daily Schedule'!$A51=45,'Daily Workforce'!$J140="Y",IF(OR('Daily Schedule'!$A51=4,'Daily Schedule'!$A51=8),IF(OR(WEEKDAY('Daily Schedule'!$B$2,2)=1,WEEKDAY('Daily Schedule'!$B$2,2)=4,WEEKDAY('Daily Schedule'!$B$2,2)=5,WEEKDAY('Daily Schedule'!$B$2,2)=7),IFERROR(1*'Daily Workforce'!$K140&gt;=3,FALSE()),IFERROR(1*'Daily Workforce'!$K140&gt;=2,FALSE())),IF(AND('Daily Schedule'!$A51&gt;=46,'Daily Schedule'!$A51&lt;=52),'Daily Workforce'!$M140="Y",IFERROR(1*'Daily Workforce'!$P140&gt;=2,FALSE()))))),1,0)</f>
        <v>0</v>
      </c>
      <c r="EV47" s="1" t="n">
        <f aca="false">IF(AND('Daily Workforce'!$N141="Y",'Daily Workforce'!$B141&lt;&gt;"",COUNTIF('Daily Schedule'!$F$5:$F50,'Daily Workforce'!$B141)=0,IF('Daily Schedule'!$A51=45,'Daily Workforce'!$J141="Y",IF(OR('Daily Schedule'!$A51=4,'Daily Schedule'!$A51=8),IF(OR(WEEKDAY('Daily Schedule'!$B$2,2)=1,WEEKDAY('Daily Schedule'!$B$2,2)=4,WEEKDAY('Daily Schedule'!$B$2,2)=5,WEEKDAY('Daily Schedule'!$B$2,2)=7),IFERROR(1*'Daily Workforce'!$K141&gt;=3,FALSE()),IFERROR(1*'Daily Workforce'!$K141&gt;=2,FALSE())),IF(AND('Daily Schedule'!$A51&gt;=46,'Daily Schedule'!$A51&lt;=52),'Daily Workforce'!$M141="Y",IFERROR(1*'Daily Workforce'!$P141&gt;=2,FALSE()))))),1,0)</f>
        <v>0</v>
      </c>
      <c r="EW47" s="1" t="n">
        <f aca="false">IF(AND('Daily Workforce'!$N142="Y",'Daily Workforce'!$B142&lt;&gt;"",COUNTIF('Daily Schedule'!$F$5:$F50,'Daily Workforce'!$B142)=0,IF('Daily Schedule'!$A51=45,'Daily Workforce'!$J142="Y",IF(OR('Daily Schedule'!$A51=4,'Daily Schedule'!$A51=8),IF(OR(WEEKDAY('Daily Schedule'!$B$2,2)=1,WEEKDAY('Daily Schedule'!$B$2,2)=4,WEEKDAY('Daily Schedule'!$B$2,2)=5,WEEKDAY('Daily Schedule'!$B$2,2)=7),IFERROR(1*'Daily Workforce'!$K142&gt;=3,FALSE()),IFERROR(1*'Daily Workforce'!$K142&gt;=2,FALSE())),IF(AND('Daily Schedule'!$A51&gt;=46,'Daily Schedule'!$A51&lt;=52),'Daily Workforce'!$M142="Y",IFERROR(1*'Daily Workforce'!$P142&gt;=2,FALSE()))))),1,0)</f>
        <v>0</v>
      </c>
      <c r="EX47" s="1" t="n">
        <f aca="false">IF(AND('Daily Workforce'!$N143="Y",'Daily Workforce'!$B143&lt;&gt;"",COUNTIF('Daily Schedule'!$F$5:$F50,'Daily Workforce'!$B143)=0,IF('Daily Schedule'!$A51=45,'Daily Workforce'!$J143="Y",IF(OR('Daily Schedule'!$A51=4,'Daily Schedule'!$A51=8),IF(OR(WEEKDAY('Daily Schedule'!$B$2,2)=1,WEEKDAY('Daily Schedule'!$B$2,2)=4,WEEKDAY('Daily Schedule'!$B$2,2)=5,WEEKDAY('Daily Schedule'!$B$2,2)=7),IFERROR(1*'Daily Workforce'!$K143&gt;=3,FALSE()),IFERROR(1*'Daily Workforce'!$K143&gt;=2,FALSE())),IF(AND('Daily Schedule'!$A51&gt;=46,'Daily Schedule'!$A51&lt;=52),'Daily Workforce'!$M143="Y",IFERROR(1*'Daily Workforce'!$P143&gt;=2,FALSE()))))),1,0)</f>
        <v>0</v>
      </c>
      <c r="EY47" s="1" t="n">
        <f aca="false">IF(AND('Daily Workforce'!$N144="Y",'Daily Workforce'!$B144&lt;&gt;"",COUNTIF('Daily Schedule'!$F$5:$F50,'Daily Workforce'!$B144)=0,IF('Daily Schedule'!$A51=45,'Daily Workforce'!$J144="Y",IF(OR('Daily Schedule'!$A51=4,'Daily Schedule'!$A51=8),IF(OR(WEEKDAY('Daily Schedule'!$B$2,2)=1,WEEKDAY('Daily Schedule'!$B$2,2)=4,WEEKDAY('Daily Schedule'!$B$2,2)=5,WEEKDAY('Daily Schedule'!$B$2,2)=7),IFERROR(1*'Daily Workforce'!$K144&gt;=3,FALSE()),IFERROR(1*'Daily Workforce'!$K144&gt;=2,FALSE())),IF(AND('Daily Schedule'!$A51&gt;=46,'Daily Schedule'!$A51&lt;=52),'Daily Workforce'!$M144="Y",IFERROR(1*'Daily Workforce'!$P144&gt;=2,FALSE()))))),1,0)</f>
        <v>0</v>
      </c>
      <c r="EZ47" s="1" t="n">
        <f aca="false">IF(AND('Daily Workforce'!$N145="Y",'Daily Workforce'!$B145&lt;&gt;"",COUNTIF('Daily Schedule'!$F$5:$F50,'Daily Workforce'!$B145)=0,IF('Daily Schedule'!$A51=45,'Daily Workforce'!$J145="Y",IF(OR('Daily Schedule'!$A51=4,'Daily Schedule'!$A51=8),IF(OR(WEEKDAY('Daily Schedule'!$B$2,2)=1,WEEKDAY('Daily Schedule'!$B$2,2)=4,WEEKDAY('Daily Schedule'!$B$2,2)=5,WEEKDAY('Daily Schedule'!$B$2,2)=7),IFERROR(1*'Daily Workforce'!$K145&gt;=3,FALSE()),IFERROR(1*'Daily Workforce'!$K145&gt;=2,FALSE())),IF(AND('Daily Schedule'!$A51&gt;=46,'Daily Schedule'!$A51&lt;=52),'Daily Workforce'!$M145="Y",IFERROR(1*'Daily Workforce'!$P145&gt;=2,FALSE()))))),1,0)</f>
        <v>0</v>
      </c>
      <c r="FA47" s="1" t="n">
        <f aca="false">IF(AND('Daily Workforce'!$N146="Y",'Daily Workforce'!$B146&lt;&gt;"",COUNTIF('Daily Schedule'!$F$5:$F50,'Daily Workforce'!$B146)=0,IF('Daily Schedule'!$A51=45,'Daily Workforce'!$J146="Y",IF(OR('Daily Schedule'!$A51=4,'Daily Schedule'!$A51=8),IF(OR(WEEKDAY('Daily Schedule'!$B$2,2)=1,WEEKDAY('Daily Schedule'!$B$2,2)=4,WEEKDAY('Daily Schedule'!$B$2,2)=5,WEEKDAY('Daily Schedule'!$B$2,2)=7),IFERROR(1*'Daily Workforce'!$K146&gt;=3,FALSE()),IFERROR(1*'Daily Workforce'!$K146&gt;=2,FALSE())),IF(AND('Daily Schedule'!$A51&gt;=46,'Daily Schedule'!$A51&lt;=52),'Daily Workforce'!$M146="Y",IFERROR(1*'Daily Workforce'!$P146&gt;=2,FALSE()))))),1,0)</f>
        <v>0</v>
      </c>
      <c r="FB47" s="1" t="n">
        <f aca="false">IF(AND('Daily Workforce'!$N147="Y",'Daily Workforce'!$B147&lt;&gt;"",COUNTIF('Daily Schedule'!$F$5:$F50,'Daily Workforce'!$B147)=0,IF('Daily Schedule'!$A51=45,'Daily Workforce'!$J147="Y",IF(OR('Daily Schedule'!$A51=4,'Daily Schedule'!$A51=8),IF(OR(WEEKDAY('Daily Schedule'!$B$2,2)=1,WEEKDAY('Daily Schedule'!$B$2,2)=4,WEEKDAY('Daily Schedule'!$B$2,2)=5,WEEKDAY('Daily Schedule'!$B$2,2)=7),IFERROR(1*'Daily Workforce'!$K147&gt;=3,FALSE()),IFERROR(1*'Daily Workforce'!$K147&gt;=2,FALSE())),IF(AND('Daily Schedule'!$A51&gt;=46,'Daily Schedule'!$A51&lt;=52),'Daily Workforce'!$M147="Y",IFERROR(1*'Daily Workforce'!$P147&gt;=2,FALSE()))))),1,0)</f>
        <v>0</v>
      </c>
      <c r="FC47" s="1" t="n">
        <f aca="false">IF(AND('Daily Workforce'!$N148="Y",'Daily Workforce'!$B148&lt;&gt;"",COUNTIF('Daily Schedule'!$F$5:$F50,'Daily Workforce'!$B148)=0,IF('Daily Schedule'!$A51=45,'Daily Workforce'!$J148="Y",IF(OR('Daily Schedule'!$A51=4,'Daily Schedule'!$A51=8),IF(OR(WEEKDAY('Daily Schedule'!$B$2,2)=1,WEEKDAY('Daily Schedule'!$B$2,2)=4,WEEKDAY('Daily Schedule'!$B$2,2)=5,WEEKDAY('Daily Schedule'!$B$2,2)=7),IFERROR(1*'Daily Workforce'!$K148&gt;=3,FALSE()),IFERROR(1*'Daily Workforce'!$K148&gt;=2,FALSE())),IF(AND('Daily Schedule'!$A51&gt;=46,'Daily Schedule'!$A51&lt;=52),'Daily Workforce'!$M148="Y",IFERROR(1*'Daily Workforce'!$P148&gt;=2,FALSE()))))),1,0)</f>
        <v>0</v>
      </c>
      <c r="FD47" s="1" t="n">
        <f aca="false">IF(AND('Daily Workforce'!$N149="Y",'Daily Workforce'!$B149&lt;&gt;"",COUNTIF('Daily Schedule'!$F$5:$F50,'Daily Workforce'!$B149)=0,IF('Daily Schedule'!$A51=45,'Daily Workforce'!$J149="Y",IF(OR('Daily Schedule'!$A51=4,'Daily Schedule'!$A51=8),IF(OR(WEEKDAY('Daily Schedule'!$B$2,2)=1,WEEKDAY('Daily Schedule'!$B$2,2)=4,WEEKDAY('Daily Schedule'!$B$2,2)=5,WEEKDAY('Daily Schedule'!$B$2,2)=7),IFERROR(1*'Daily Workforce'!$K149&gt;=3,FALSE()),IFERROR(1*'Daily Workforce'!$K149&gt;=2,FALSE())),IF(AND('Daily Schedule'!$A51&gt;=46,'Daily Schedule'!$A51&lt;=52),'Daily Workforce'!$M149="Y",IFERROR(1*'Daily Workforce'!$P149&gt;=2,FALSE()))))),1,0)</f>
        <v>0</v>
      </c>
      <c r="FE47" s="1" t="n">
        <f aca="false">IF(AND('Daily Workforce'!$N150="Y",'Daily Workforce'!$B150&lt;&gt;"",COUNTIF('Daily Schedule'!$F$5:$F50,'Daily Workforce'!$B150)=0,IF('Daily Schedule'!$A51=45,'Daily Workforce'!$J150="Y",IF(OR('Daily Schedule'!$A51=4,'Daily Schedule'!$A51=8),IF(OR(WEEKDAY('Daily Schedule'!$B$2,2)=1,WEEKDAY('Daily Schedule'!$B$2,2)=4,WEEKDAY('Daily Schedule'!$B$2,2)=5,WEEKDAY('Daily Schedule'!$B$2,2)=7),IFERROR(1*'Daily Workforce'!$K150&gt;=3,FALSE()),IFERROR(1*'Daily Workforce'!$K150&gt;=2,FALSE())),IF(AND('Daily Schedule'!$A51&gt;=46,'Daily Schedule'!$A51&lt;=52),'Daily Workforce'!$M150="Y",IFERROR(1*'Daily Workforce'!$P150&gt;=2,FALSE()))))),1,0)</f>
        <v>0</v>
      </c>
      <c r="FF47" s="1" t="n">
        <f aca="false">IF(AND('Daily Workforce'!$N151="Y",'Daily Workforce'!$B151&lt;&gt;"",COUNTIF('Daily Schedule'!$F$5:$F50,'Daily Workforce'!$B151)=0,IF('Daily Schedule'!$A51=45,'Daily Workforce'!$J151="Y",IF(OR('Daily Schedule'!$A51=4,'Daily Schedule'!$A51=8),IF(OR(WEEKDAY('Daily Schedule'!$B$2,2)=1,WEEKDAY('Daily Schedule'!$B$2,2)=4,WEEKDAY('Daily Schedule'!$B$2,2)=5,WEEKDAY('Daily Schedule'!$B$2,2)=7),IFERROR(1*'Daily Workforce'!$K151&gt;=3,FALSE()),IFERROR(1*'Daily Workforce'!$K151&gt;=2,FALSE())),IF(AND('Daily Schedule'!$A51&gt;=46,'Daily Schedule'!$A51&lt;=52),'Daily Workforce'!$M151="Y",IFERROR(1*'Daily Workforce'!$P151&gt;=2,FALSE()))))),1,0)</f>
        <v>0</v>
      </c>
      <c r="FG47" s="1" t="n">
        <f aca="false">IF(AND('Daily Workforce'!$N152="Y",'Daily Workforce'!$B152&lt;&gt;"",COUNTIF('Daily Schedule'!$F$5:$F50,'Daily Workforce'!$B152)=0,IF('Daily Schedule'!$A51=45,'Daily Workforce'!$J152="Y",IF(OR('Daily Schedule'!$A51=4,'Daily Schedule'!$A51=8),IF(OR(WEEKDAY('Daily Schedule'!$B$2,2)=1,WEEKDAY('Daily Schedule'!$B$2,2)=4,WEEKDAY('Daily Schedule'!$B$2,2)=5,WEEKDAY('Daily Schedule'!$B$2,2)=7),IFERROR(1*'Daily Workforce'!$K152&gt;=3,FALSE()),IFERROR(1*'Daily Workforce'!$K152&gt;=2,FALSE())),IF(AND('Daily Schedule'!$A51&gt;=46,'Daily Schedule'!$A51&lt;=52),'Daily Workforce'!$M152="Y",IFERROR(1*'Daily Workforce'!$P152&gt;=2,FALSE()))))),1,0)</f>
        <v>0</v>
      </c>
      <c r="FH47" s="1" t="n">
        <f aca="false">IF(AND('Daily Workforce'!$N153="Y",'Daily Workforce'!$B153&lt;&gt;"",COUNTIF('Daily Schedule'!$F$5:$F50,'Daily Workforce'!$B153)=0,IF('Daily Schedule'!$A51=45,'Daily Workforce'!$J153="Y",IF(OR('Daily Schedule'!$A51=4,'Daily Schedule'!$A51=8),IF(OR(WEEKDAY('Daily Schedule'!$B$2,2)=1,WEEKDAY('Daily Schedule'!$B$2,2)=4,WEEKDAY('Daily Schedule'!$B$2,2)=5,WEEKDAY('Daily Schedule'!$B$2,2)=7),IFERROR(1*'Daily Workforce'!$K153&gt;=3,FALSE()),IFERROR(1*'Daily Workforce'!$K153&gt;=2,FALSE())),IF(AND('Daily Schedule'!$A51&gt;=46,'Daily Schedule'!$A51&lt;=52),'Daily Workforce'!$M153="Y",IFERROR(1*'Daily Workforce'!$P153&gt;=2,FALSE()))))),1,0)</f>
        <v>0</v>
      </c>
      <c r="FI47" s="1" t="n">
        <f aca="false">IF(AND('Daily Workforce'!$N154="Y",'Daily Workforce'!$B154&lt;&gt;"",COUNTIF('Daily Schedule'!$F$5:$F50,'Daily Workforce'!$B154)=0,IF('Daily Schedule'!$A51=45,'Daily Workforce'!$J154="Y",IF(OR('Daily Schedule'!$A51=4,'Daily Schedule'!$A51=8),IF(OR(WEEKDAY('Daily Schedule'!$B$2,2)=1,WEEKDAY('Daily Schedule'!$B$2,2)=4,WEEKDAY('Daily Schedule'!$B$2,2)=5,WEEKDAY('Daily Schedule'!$B$2,2)=7),IFERROR(1*'Daily Workforce'!$K154&gt;=3,FALSE()),IFERROR(1*'Daily Workforce'!$K154&gt;=2,FALSE())),IF(AND('Daily Schedule'!$A51&gt;=46,'Daily Schedule'!$A51&lt;=52),'Daily Workforce'!$M154="Y",IFERROR(1*'Daily Workforce'!$P154&gt;=2,FALSE()))))),1,0)</f>
        <v>0</v>
      </c>
      <c r="FJ47" s="1" t="n">
        <f aca="false">IF(AND('Daily Workforce'!$N155="Y",'Daily Workforce'!$B155&lt;&gt;"",COUNTIF('Daily Schedule'!$F$5:$F50,'Daily Workforce'!$B155)=0,IF('Daily Schedule'!$A51=45,'Daily Workforce'!$J155="Y",IF(OR('Daily Schedule'!$A51=4,'Daily Schedule'!$A51=8),IF(OR(WEEKDAY('Daily Schedule'!$B$2,2)=1,WEEKDAY('Daily Schedule'!$B$2,2)=4,WEEKDAY('Daily Schedule'!$B$2,2)=5,WEEKDAY('Daily Schedule'!$B$2,2)=7),IFERROR(1*'Daily Workforce'!$K155&gt;=3,FALSE()),IFERROR(1*'Daily Workforce'!$K155&gt;=2,FALSE())),IF(AND('Daily Schedule'!$A51&gt;=46,'Daily Schedule'!$A51&lt;=52),'Daily Workforce'!$M155="Y",IFERROR(1*'Daily Workforce'!$P155&gt;=2,FALSE()))))),1,0)</f>
        <v>0</v>
      </c>
      <c r="FK47" s="1" t="n">
        <f aca="false">IF(AND('Daily Workforce'!$N156="Y",'Daily Workforce'!$B156&lt;&gt;"",COUNTIF('Daily Schedule'!$F$5:$F50,'Daily Workforce'!$B156)=0,IF('Daily Schedule'!$A51=45,'Daily Workforce'!$J156="Y",IF(OR('Daily Schedule'!$A51=4,'Daily Schedule'!$A51=8),IF(OR(WEEKDAY('Daily Schedule'!$B$2,2)=1,WEEKDAY('Daily Schedule'!$B$2,2)=4,WEEKDAY('Daily Schedule'!$B$2,2)=5,WEEKDAY('Daily Schedule'!$B$2,2)=7),IFERROR(1*'Daily Workforce'!$K156&gt;=3,FALSE()),IFERROR(1*'Daily Workforce'!$K156&gt;=2,FALSE())),IF(AND('Daily Schedule'!$A51&gt;=46,'Daily Schedule'!$A51&lt;=52),'Daily Workforce'!$M156="Y",IFERROR(1*'Daily Workforce'!$P156&gt;=2,FALSE()))))),1,0)</f>
        <v>0</v>
      </c>
      <c r="FL47" s="1" t="n">
        <f aca="false">IF(AND('Daily Workforce'!$N157="Y",'Daily Workforce'!$B157&lt;&gt;"",COUNTIF('Daily Schedule'!$F$5:$F50,'Daily Workforce'!$B157)=0,IF('Daily Schedule'!$A51=45,'Daily Workforce'!$J157="Y",IF(OR('Daily Schedule'!$A51=4,'Daily Schedule'!$A51=8),IF(OR(WEEKDAY('Daily Schedule'!$B$2,2)=1,WEEKDAY('Daily Schedule'!$B$2,2)=4,WEEKDAY('Daily Schedule'!$B$2,2)=5,WEEKDAY('Daily Schedule'!$B$2,2)=7),IFERROR(1*'Daily Workforce'!$K157&gt;=3,FALSE()),IFERROR(1*'Daily Workforce'!$K157&gt;=2,FALSE())),IF(AND('Daily Schedule'!$A51&gt;=46,'Daily Schedule'!$A51&lt;=52),'Daily Workforce'!$M157="Y",IFERROR(1*'Daily Workforce'!$P157&gt;=2,FALSE()))))),1,0)</f>
        <v>0</v>
      </c>
      <c r="FM47" s="1" t="n">
        <f aca="false">IF(AND('Daily Workforce'!$N158="Y",'Daily Workforce'!$B158&lt;&gt;"",COUNTIF('Daily Schedule'!$F$5:$F50,'Daily Workforce'!$B158)=0,IF('Daily Schedule'!$A51=45,'Daily Workforce'!$J158="Y",IF(OR('Daily Schedule'!$A51=4,'Daily Schedule'!$A51=8),IF(OR(WEEKDAY('Daily Schedule'!$B$2,2)=1,WEEKDAY('Daily Schedule'!$B$2,2)=4,WEEKDAY('Daily Schedule'!$B$2,2)=5,WEEKDAY('Daily Schedule'!$B$2,2)=7),IFERROR(1*'Daily Workforce'!$K158&gt;=3,FALSE()),IFERROR(1*'Daily Workforce'!$K158&gt;=2,FALSE())),IF(AND('Daily Schedule'!$A51&gt;=46,'Daily Schedule'!$A51&lt;=52),'Daily Workforce'!$M158="Y",IFERROR(1*'Daily Workforce'!$P158&gt;=2,FALSE()))))),1,0)</f>
        <v>0</v>
      </c>
      <c r="FN47" s="1" t="n">
        <f aca="false">IF(AND('Daily Workforce'!$N159="Y",'Daily Workforce'!$B159&lt;&gt;"",COUNTIF('Daily Schedule'!$F$5:$F50,'Daily Workforce'!$B159)=0,IF('Daily Schedule'!$A51=45,'Daily Workforce'!$J159="Y",IF(OR('Daily Schedule'!$A51=4,'Daily Schedule'!$A51=8),IF(OR(WEEKDAY('Daily Schedule'!$B$2,2)=1,WEEKDAY('Daily Schedule'!$B$2,2)=4,WEEKDAY('Daily Schedule'!$B$2,2)=5,WEEKDAY('Daily Schedule'!$B$2,2)=7),IFERROR(1*'Daily Workforce'!$K159&gt;=3,FALSE()),IFERROR(1*'Daily Workforce'!$K159&gt;=2,FALSE())),IF(AND('Daily Schedule'!$A51&gt;=46,'Daily Schedule'!$A51&lt;=52),'Daily Workforce'!$M159="Y",IFERROR(1*'Daily Workforce'!$P159&gt;=2,FALSE()))))),1,0)</f>
        <v>0</v>
      </c>
      <c r="FO47" s="1" t="n">
        <f aca="false">IF(AND('Daily Workforce'!$N160="Y",'Daily Workforce'!$B160&lt;&gt;"",COUNTIF('Daily Schedule'!$F$5:$F50,'Daily Workforce'!$B160)=0,IF('Daily Schedule'!$A51=45,'Daily Workforce'!$J160="Y",IF(OR('Daily Schedule'!$A51=4,'Daily Schedule'!$A51=8),IF(OR(WEEKDAY('Daily Schedule'!$B$2,2)=1,WEEKDAY('Daily Schedule'!$B$2,2)=4,WEEKDAY('Daily Schedule'!$B$2,2)=5,WEEKDAY('Daily Schedule'!$B$2,2)=7),IFERROR(1*'Daily Workforce'!$K160&gt;=3,FALSE()),IFERROR(1*'Daily Workforce'!$K160&gt;=2,FALSE())),IF(AND('Daily Schedule'!$A51&gt;=46,'Daily Schedule'!$A51&lt;=52),'Daily Workforce'!$M160="Y",IFERROR(1*'Daily Workforce'!$P160&gt;=2,FALSE()))))),1,0)</f>
        <v>0</v>
      </c>
      <c r="FP47" s="1" t="n">
        <f aca="false">IF(AND('Daily Workforce'!$N161="Y",'Daily Workforce'!$B161&lt;&gt;"",COUNTIF('Daily Schedule'!$F$5:$F50,'Daily Workforce'!$B161)=0,IF('Daily Schedule'!$A51=45,'Daily Workforce'!$J161="Y",IF(OR('Daily Schedule'!$A51=4,'Daily Schedule'!$A51=8),IF(OR(WEEKDAY('Daily Schedule'!$B$2,2)=1,WEEKDAY('Daily Schedule'!$B$2,2)=4,WEEKDAY('Daily Schedule'!$B$2,2)=5,WEEKDAY('Daily Schedule'!$B$2,2)=7),IFERROR(1*'Daily Workforce'!$K161&gt;=3,FALSE()),IFERROR(1*'Daily Workforce'!$K161&gt;=2,FALSE())),IF(AND('Daily Schedule'!$A51&gt;=46,'Daily Schedule'!$A51&lt;=52),'Daily Workforce'!$M161="Y",IFERROR(1*'Daily Workforce'!$P161&gt;=2,FALSE()))))),1,0)</f>
        <v>0</v>
      </c>
      <c r="FQ47" s="1" t="n">
        <f aca="false">IF(AND('Daily Workforce'!$N162="Y",'Daily Workforce'!$B162&lt;&gt;"",COUNTIF('Daily Schedule'!$F$5:$F50,'Daily Workforce'!$B162)=0,IF('Daily Schedule'!$A51=45,'Daily Workforce'!$J162="Y",IF(OR('Daily Schedule'!$A51=4,'Daily Schedule'!$A51=8),IF(OR(WEEKDAY('Daily Schedule'!$B$2,2)=1,WEEKDAY('Daily Schedule'!$B$2,2)=4,WEEKDAY('Daily Schedule'!$B$2,2)=5,WEEKDAY('Daily Schedule'!$B$2,2)=7),IFERROR(1*'Daily Workforce'!$K162&gt;=3,FALSE()),IFERROR(1*'Daily Workforce'!$K162&gt;=2,FALSE())),IF(AND('Daily Schedule'!$A51&gt;=46,'Daily Schedule'!$A51&lt;=52),'Daily Workforce'!$M162="Y",IFERROR(1*'Daily Workforce'!$P162&gt;=2,FALSE()))))),1,0)</f>
        <v>0</v>
      </c>
      <c r="FR47" s="1" t="n">
        <f aca="false">IF(AND('Daily Workforce'!$N163="Y",'Daily Workforce'!$B163&lt;&gt;"",COUNTIF('Daily Schedule'!$F$5:$F50,'Daily Workforce'!$B163)=0,IF('Daily Schedule'!$A51=45,'Daily Workforce'!$J163="Y",IF(OR('Daily Schedule'!$A51=4,'Daily Schedule'!$A51=8),IF(OR(WEEKDAY('Daily Schedule'!$B$2,2)=1,WEEKDAY('Daily Schedule'!$B$2,2)=4,WEEKDAY('Daily Schedule'!$B$2,2)=5,WEEKDAY('Daily Schedule'!$B$2,2)=7),IFERROR(1*'Daily Workforce'!$K163&gt;=3,FALSE()),IFERROR(1*'Daily Workforce'!$K163&gt;=2,FALSE())),IF(AND('Daily Schedule'!$A51&gt;=46,'Daily Schedule'!$A51&lt;=52),'Daily Workforce'!$M163="Y",IFERROR(1*'Daily Workforce'!$P163&gt;=2,FALSE()))))),1,0)</f>
        <v>0</v>
      </c>
      <c r="FS47" s="1" t="n">
        <f aca="false">IF(AND('Daily Workforce'!$N164="Y",'Daily Workforce'!$B164&lt;&gt;"",COUNTIF('Daily Schedule'!$F$5:$F50,'Daily Workforce'!$B164)=0,IF('Daily Schedule'!$A51=45,'Daily Workforce'!$J164="Y",IF(OR('Daily Schedule'!$A51=4,'Daily Schedule'!$A51=8),IF(OR(WEEKDAY('Daily Schedule'!$B$2,2)=1,WEEKDAY('Daily Schedule'!$B$2,2)=4,WEEKDAY('Daily Schedule'!$B$2,2)=5,WEEKDAY('Daily Schedule'!$B$2,2)=7),IFERROR(1*'Daily Workforce'!$K164&gt;=3,FALSE()),IFERROR(1*'Daily Workforce'!$K164&gt;=2,FALSE())),IF(AND('Daily Schedule'!$A51&gt;=46,'Daily Schedule'!$A51&lt;=52),'Daily Workforce'!$M164="Y",IFERROR(1*'Daily Workforce'!$P164&gt;=2,FALSE()))))),1,0)</f>
        <v>0</v>
      </c>
      <c r="FT47" s="1" t="n">
        <f aca="false">IF(AND('Daily Workforce'!$N165="Y",'Daily Workforce'!$B165&lt;&gt;"",COUNTIF('Daily Schedule'!$F$5:$F50,'Daily Workforce'!$B165)=0,IF('Daily Schedule'!$A51=45,'Daily Workforce'!$J165="Y",IF(OR('Daily Schedule'!$A51=4,'Daily Schedule'!$A51=8),IF(OR(WEEKDAY('Daily Schedule'!$B$2,2)=1,WEEKDAY('Daily Schedule'!$B$2,2)=4,WEEKDAY('Daily Schedule'!$B$2,2)=5,WEEKDAY('Daily Schedule'!$B$2,2)=7),IFERROR(1*'Daily Workforce'!$K165&gt;=3,FALSE()),IFERROR(1*'Daily Workforce'!$K165&gt;=2,FALSE())),IF(AND('Daily Schedule'!$A51&gt;=46,'Daily Schedule'!$A51&lt;=52),'Daily Workforce'!$M165="Y",IFERROR(1*'Daily Workforce'!$P165&gt;=2,FALSE()))))),1,0)</f>
        <v>0</v>
      </c>
      <c r="FU47" s="1" t="n">
        <f aca="false">IF(AND('Daily Workforce'!$N166="Y",'Daily Workforce'!$B166&lt;&gt;"",COUNTIF('Daily Schedule'!$F$5:$F50,'Daily Workforce'!$B166)=0,IF('Daily Schedule'!$A51=45,'Daily Workforce'!$J166="Y",IF(OR('Daily Schedule'!$A51=4,'Daily Schedule'!$A51=8),IF(OR(WEEKDAY('Daily Schedule'!$B$2,2)=1,WEEKDAY('Daily Schedule'!$B$2,2)=4,WEEKDAY('Daily Schedule'!$B$2,2)=5,WEEKDAY('Daily Schedule'!$B$2,2)=7),IFERROR(1*'Daily Workforce'!$K166&gt;=3,FALSE()),IFERROR(1*'Daily Workforce'!$K166&gt;=2,FALSE())),IF(AND('Daily Schedule'!$A51&gt;=46,'Daily Schedule'!$A51&lt;=52),'Daily Workforce'!$M166="Y",IFERROR(1*'Daily Workforce'!$P166&gt;=2,FALSE()))))),1,0)</f>
        <v>0</v>
      </c>
      <c r="FV47" s="1" t="n">
        <f aca="false">IF(AND('Daily Workforce'!$N167="Y",'Daily Workforce'!$B167&lt;&gt;"",COUNTIF('Daily Schedule'!$F$5:$F50,'Daily Workforce'!$B167)=0,IF('Daily Schedule'!$A51=45,'Daily Workforce'!$J167="Y",IF(OR('Daily Schedule'!$A51=4,'Daily Schedule'!$A51=8),IF(OR(WEEKDAY('Daily Schedule'!$B$2,2)=1,WEEKDAY('Daily Schedule'!$B$2,2)=4,WEEKDAY('Daily Schedule'!$B$2,2)=5,WEEKDAY('Daily Schedule'!$B$2,2)=7),IFERROR(1*'Daily Workforce'!$K167&gt;=3,FALSE()),IFERROR(1*'Daily Workforce'!$K167&gt;=2,FALSE())),IF(AND('Daily Schedule'!$A51&gt;=46,'Daily Schedule'!$A51&lt;=52),'Daily Workforce'!$M167="Y",IFERROR(1*'Daily Workforce'!$P167&gt;=2,FALSE()))))),1,0)</f>
        <v>0</v>
      </c>
      <c r="FW47" s="1" t="n">
        <f aca="false">IF(AND('Daily Workforce'!$N168="Y",'Daily Workforce'!$B168&lt;&gt;"",COUNTIF('Daily Schedule'!$F$5:$F50,'Daily Workforce'!$B168)=0,IF('Daily Schedule'!$A51=45,'Daily Workforce'!$J168="Y",IF(OR('Daily Schedule'!$A51=4,'Daily Schedule'!$A51=8),IF(OR(WEEKDAY('Daily Schedule'!$B$2,2)=1,WEEKDAY('Daily Schedule'!$B$2,2)=4,WEEKDAY('Daily Schedule'!$B$2,2)=5,WEEKDAY('Daily Schedule'!$B$2,2)=7),IFERROR(1*'Daily Workforce'!$K168&gt;=3,FALSE()),IFERROR(1*'Daily Workforce'!$K168&gt;=2,FALSE())),IF(AND('Daily Schedule'!$A51&gt;=46,'Daily Schedule'!$A51&lt;=52),'Daily Workforce'!$M168="Y",IFERROR(1*'Daily Workforce'!$P168&gt;=2,FALSE()))))),1,0)</f>
        <v>0</v>
      </c>
      <c r="FX47" s="1" t="n">
        <f aca="false">IF(AND('Daily Workforce'!$N169="Y",'Daily Workforce'!$B169&lt;&gt;"",COUNTIF('Daily Schedule'!$F$5:$F50,'Daily Workforce'!$B169)=0,IF('Daily Schedule'!$A51=45,'Daily Workforce'!$J169="Y",IF(OR('Daily Schedule'!$A51=4,'Daily Schedule'!$A51=8),IF(OR(WEEKDAY('Daily Schedule'!$B$2,2)=1,WEEKDAY('Daily Schedule'!$B$2,2)=4,WEEKDAY('Daily Schedule'!$B$2,2)=5,WEEKDAY('Daily Schedule'!$B$2,2)=7),IFERROR(1*'Daily Workforce'!$K169&gt;=3,FALSE()),IFERROR(1*'Daily Workforce'!$K169&gt;=2,FALSE())),IF(AND('Daily Schedule'!$A51&gt;=46,'Daily Schedule'!$A51&lt;=52),'Daily Workforce'!$M169="Y",IFERROR(1*'Daily Workforce'!$P169&gt;=2,FALSE()))))),1,0)</f>
        <v>0</v>
      </c>
      <c r="FY47" s="1" t="n">
        <f aca="false">IF(AND('Daily Workforce'!$N170="Y",'Daily Workforce'!$B170&lt;&gt;"",COUNTIF('Daily Schedule'!$F$5:$F50,'Daily Workforce'!$B170)=0,IF('Daily Schedule'!$A51=45,'Daily Workforce'!$J170="Y",IF(OR('Daily Schedule'!$A51=4,'Daily Schedule'!$A51=8),IF(OR(WEEKDAY('Daily Schedule'!$B$2,2)=1,WEEKDAY('Daily Schedule'!$B$2,2)=4,WEEKDAY('Daily Schedule'!$B$2,2)=5,WEEKDAY('Daily Schedule'!$B$2,2)=7),IFERROR(1*'Daily Workforce'!$K170&gt;=3,FALSE()),IFERROR(1*'Daily Workforce'!$K170&gt;=2,FALSE())),IF(AND('Daily Schedule'!$A51&gt;=46,'Daily Schedule'!$A51&lt;=52),'Daily Workforce'!$M170="Y",IFERROR(1*'Daily Workforce'!$P170&gt;=2,FALSE()))))),1,0)</f>
        <v>0</v>
      </c>
      <c r="FZ47" s="1" t="n">
        <f aca="false">IF(AND('Daily Workforce'!$N171="Y",'Daily Workforce'!$B171&lt;&gt;"",COUNTIF('Daily Schedule'!$F$5:$F50,'Daily Workforce'!$B171)=0,IF('Daily Schedule'!$A51=45,'Daily Workforce'!$J171="Y",IF(OR('Daily Schedule'!$A51=4,'Daily Schedule'!$A51=8),IF(OR(WEEKDAY('Daily Schedule'!$B$2,2)=1,WEEKDAY('Daily Schedule'!$B$2,2)=4,WEEKDAY('Daily Schedule'!$B$2,2)=5,WEEKDAY('Daily Schedule'!$B$2,2)=7),IFERROR(1*'Daily Workforce'!$K171&gt;=3,FALSE()),IFERROR(1*'Daily Workforce'!$K171&gt;=2,FALSE())),IF(AND('Daily Schedule'!$A51&gt;=46,'Daily Schedule'!$A51&lt;=52),'Daily Workforce'!$M171="Y",IFERROR(1*'Daily Workforce'!$P171&gt;=2,FALSE()))))),1,0)</f>
        <v>0</v>
      </c>
      <c r="GA47" s="1" t="n">
        <f aca="false">IF(AND('Daily Workforce'!$N172="Y",'Daily Workforce'!$B172&lt;&gt;"",COUNTIF('Daily Schedule'!$F$5:$F50,'Daily Workforce'!$B172)=0,IF('Daily Schedule'!$A51=45,'Daily Workforce'!$J172="Y",IF(OR('Daily Schedule'!$A51=4,'Daily Schedule'!$A51=8),IF(OR(WEEKDAY('Daily Schedule'!$B$2,2)=1,WEEKDAY('Daily Schedule'!$B$2,2)=4,WEEKDAY('Daily Schedule'!$B$2,2)=5,WEEKDAY('Daily Schedule'!$B$2,2)=7),IFERROR(1*'Daily Workforce'!$K172&gt;=3,FALSE()),IFERROR(1*'Daily Workforce'!$K172&gt;=2,FALSE())),IF(AND('Daily Schedule'!$A51&gt;=46,'Daily Schedule'!$A51&lt;=52),'Daily Workforce'!$M172="Y",IFERROR(1*'Daily Workforce'!$P172&gt;=2,FALSE()))))),1,0)</f>
        <v>0</v>
      </c>
      <c r="GB47" s="1" t="n">
        <f aca="false">IF(AND('Daily Workforce'!$N173="Y",'Daily Workforce'!$B173&lt;&gt;"",COUNTIF('Daily Schedule'!$F$5:$F50,'Daily Workforce'!$B173)=0,IF('Daily Schedule'!$A51=45,'Daily Workforce'!$J173="Y",IF(OR('Daily Schedule'!$A51=4,'Daily Schedule'!$A51=8),IF(OR(WEEKDAY('Daily Schedule'!$B$2,2)=1,WEEKDAY('Daily Schedule'!$B$2,2)=4,WEEKDAY('Daily Schedule'!$B$2,2)=5,WEEKDAY('Daily Schedule'!$B$2,2)=7),IFERROR(1*'Daily Workforce'!$K173&gt;=3,FALSE()),IFERROR(1*'Daily Workforce'!$K173&gt;=2,FALSE())),IF(AND('Daily Schedule'!$A51&gt;=46,'Daily Schedule'!$A51&lt;=52),'Daily Workforce'!$M173="Y",IFERROR(1*'Daily Workforce'!$P173&gt;=2,FALSE()))))),1,0)</f>
        <v>0</v>
      </c>
      <c r="GC47" s="1" t="n">
        <f aca="false">IF(AND('Daily Workforce'!$N174="Y",'Daily Workforce'!$B174&lt;&gt;"",COUNTIF('Daily Schedule'!$F$5:$F50,'Daily Workforce'!$B174)=0,IF('Daily Schedule'!$A51=45,'Daily Workforce'!$J174="Y",IF(OR('Daily Schedule'!$A51=4,'Daily Schedule'!$A51=8),IF(OR(WEEKDAY('Daily Schedule'!$B$2,2)=1,WEEKDAY('Daily Schedule'!$B$2,2)=4,WEEKDAY('Daily Schedule'!$B$2,2)=5,WEEKDAY('Daily Schedule'!$B$2,2)=7),IFERROR(1*'Daily Workforce'!$K174&gt;=3,FALSE()),IFERROR(1*'Daily Workforce'!$K174&gt;=2,FALSE())),IF(AND('Daily Schedule'!$A51&gt;=46,'Daily Schedule'!$A51&lt;=52),'Daily Workforce'!$M174="Y",IFERROR(1*'Daily Workforce'!$P174&gt;=2,FALSE()))))),1,0)</f>
        <v>0</v>
      </c>
      <c r="GD47" s="1" t="n">
        <f aca="false">IF(AND('Daily Workforce'!$N175="Y",'Daily Workforce'!$B175&lt;&gt;"",COUNTIF('Daily Schedule'!$F$5:$F50,'Daily Workforce'!$B175)=0,IF('Daily Schedule'!$A51=45,'Daily Workforce'!$J175="Y",IF(OR('Daily Schedule'!$A51=4,'Daily Schedule'!$A51=8),IF(OR(WEEKDAY('Daily Schedule'!$B$2,2)=1,WEEKDAY('Daily Schedule'!$B$2,2)=4,WEEKDAY('Daily Schedule'!$B$2,2)=5,WEEKDAY('Daily Schedule'!$B$2,2)=7),IFERROR(1*'Daily Workforce'!$K175&gt;=3,FALSE()),IFERROR(1*'Daily Workforce'!$K175&gt;=2,FALSE())),IF(AND('Daily Schedule'!$A51&gt;=46,'Daily Schedule'!$A51&lt;=52),'Daily Workforce'!$M175="Y",IFERROR(1*'Daily Workforce'!$P175&gt;=2,FALSE()))))),1,0)</f>
        <v>0</v>
      </c>
      <c r="GE47" s="1" t="n">
        <f aca="false">IF(AND('Daily Workforce'!$N176="Y",'Daily Workforce'!$B176&lt;&gt;"",COUNTIF('Daily Schedule'!$F$5:$F50,'Daily Workforce'!$B176)=0,IF('Daily Schedule'!$A51=45,'Daily Workforce'!$J176="Y",IF(OR('Daily Schedule'!$A51=4,'Daily Schedule'!$A51=8),IF(OR(WEEKDAY('Daily Schedule'!$B$2,2)=1,WEEKDAY('Daily Schedule'!$B$2,2)=4,WEEKDAY('Daily Schedule'!$B$2,2)=5,WEEKDAY('Daily Schedule'!$B$2,2)=7),IFERROR(1*'Daily Workforce'!$K176&gt;=3,FALSE()),IFERROR(1*'Daily Workforce'!$K176&gt;=2,FALSE())),IF(AND('Daily Schedule'!$A51&gt;=46,'Daily Schedule'!$A51&lt;=52),'Daily Workforce'!$M176="Y",IFERROR(1*'Daily Workforce'!$P176&gt;=2,FALSE()))))),1,0)</f>
        <v>0</v>
      </c>
      <c r="GF47" s="1" t="n">
        <f aca="false">IF(AND('Daily Workforce'!$N177="Y",'Daily Workforce'!$B177&lt;&gt;"",COUNTIF('Daily Schedule'!$F$5:$F50,'Daily Workforce'!$B177)=0,IF('Daily Schedule'!$A51=45,'Daily Workforce'!$J177="Y",IF(OR('Daily Schedule'!$A51=4,'Daily Schedule'!$A51=8),IF(OR(WEEKDAY('Daily Schedule'!$B$2,2)=1,WEEKDAY('Daily Schedule'!$B$2,2)=4,WEEKDAY('Daily Schedule'!$B$2,2)=5,WEEKDAY('Daily Schedule'!$B$2,2)=7),IFERROR(1*'Daily Workforce'!$K177&gt;=3,FALSE()),IFERROR(1*'Daily Workforce'!$K177&gt;=2,FALSE())),IF(AND('Daily Schedule'!$A51&gt;=46,'Daily Schedule'!$A51&lt;=52),'Daily Workforce'!$M177="Y",IFERROR(1*'Daily Workforce'!$P177&gt;=2,FALSE()))))),1,0)</f>
        <v>0</v>
      </c>
      <c r="GG47" s="1" t="n">
        <f aca="false">IF(AND('Daily Workforce'!$N178="Y",'Daily Workforce'!$B178&lt;&gt;"",COUNTIF('Daily Schedule'!$F$5:$F50,'Daily Workforce'!$B178)=0,IF('Daily Schedule'!$A51=45,'Daily Workforce'!$J178="Y",IF(OR('Daily Schedule'!$A51=4,'Daily Schedule'!$A51=8),IF(OR(WEEKDAY('Daily Schedule'!$B$2,2)=1,WEEKDAY('Daily Schedule'!$B$2,2)=4,WEEKDAY('Daily Schedule'!$B$2,2)=5,WEEKDAY('Daily Schedule'!$B$2,2)=7),IFERROR(1*'Daily Workforce'!$K178&gt;=3,FALSE()),IFERROR(1*'Daily Workforce'!$K178&gt;=2,FALSE())),IF(AND('Daily Schedule'!$A51&gt;=46,'Daily Schedule'!$A51&lt;=52),'Daily Workforce'!$M178="Y",IFERROR(1*'Daily Workforce'!$P178&gt;=2,FALSE()))))),1,0)</f>
        <v>0</v>
      </c>
      <c r="GH47" s="1" t="n">
        <f aca="false">IF(AND('Daily Workforce'!$N179="Y",'Daily Workforce'!$B179&lt;&gt;"",COUNTIF('Daily Schedule'!$F$5:$F50,'Daily Workforce'!$B179)=0,IF('Daily Schedule'!$A51=45,'Daily Workforce'!$J179="Y",IF(OR('Daily Schedule'!$A51=4,'Daily Schedule'!$A51=8),IF(OR(WEEKDAY('Daily Schedule'!$B$2,2)=1,WEEKDAY('Daily Schedule'!$B$2,2)=4,WEEKDAY('Daily Schedule'!$B$2,2)=5,WEEKDAY('Daily Schedule'!$B$2,2)=7),IFERROR(1*'Daily Workforce'!$K179&gt;=3,FALSE()),IFERROR(1*'Daily Workforce'!$K179&gt;=2,FALSE())),IF(AND('Daily Schedule'!$A51&gt;=46,'Daily Schedule'!$A51&lt;=52),'Daily Workforce'!$M179="Y",IFERROR(1*'Daily Workforce'!$P179&gt;=2,FALSE()))))),1,0)</f>
        <v>0</v>
      </c>
      <c r="GI47" s="1" t="n">
        <f aca="false">IF(AND('Daily Workforce'!$N180="Y",'Daily Workforce'!$B180&lt;&gt;"",COUNTIF('Daily Schedule'!$F$5:$F50,'Daily Workforce'!$B180)=0,IF('Daily Schedule'!$A51=45,'Daily Workforce'!$J180="Y",IF(OR('Daily Schedule'!$A51=4,'Daily Schedule'!$A51=8),IF(OR(WEEKDAY('Daily Schedule'!$B$2,2)=1,WEEKDAY('Daily Schedule'!$B$2,2)=4,WEEKDAY('Daily Schedule'!$B$2,2)=5,WEEKDAY('Daily Schedule'!$B$2,2)=7),IFERROR(1*'Daily Workforce'!$K180&gt;=3,FALSE()),IFERROR(1*'Daily Workforce'!$K180&gt;=2,FALSE())),IF(AND('Daily Schedule'!$A51&gt;=46,'Daily Schedule'!$A51&lt;=52),'Daily Workforce'!$M180="Y",IFERROR(1*'Daily Workforce'!$P180&gt;=2,FALSE()))))),1,0)</f>
        <v>0</v>
      </c>
      <c r="GJ47" s="1" t="n">
        <f aca="false">IF(AND('Daily Workforce'!$N181="Y",'Daily Workforce'!$B181&lt;&gt;"",COUNTIF('Daily Schedule'!$F$5:$F50,'Daily Workforce'!$B181)=0,IF('Daily Schedule'!$A51=45,'Daily Workforce'!$J181="Y",IF(OR('Daily Schedule'!$A51=4,'Daily Schedule'!$A51=8),IF(OR(WEEKDAY('Daily Schedule'!$B$2,2)=1,WEEKDAY('Daily Schedule'!$B$2,2)=4,WEEKDAY('Daily Schedule'!$B$2,2)=5,WEEKDAY('Daily Schedule'!$B$2,2)=7),IFERROR(1*'Daily Workforce'!$K181&gt;=3,FALSE()),IFERROR(1*'Daily Workforce'!$K181&gt;=2,FALSE())),IF(AND('Daily Schedule'!$A51&gt;=46,'Daily Schedule'!$A51&lt;=52),'Daily Workforce'!$M181="Y",IFERROR(1*'Daily Workforce'!$P181&gt;=2,FALSE()))))),1,0)</f>
        <v>0</v>
      </c>
      <c r="GK47" s="1" t="n">
        <f aca="false">IF(AND('Daily Workforce'!$N182="Y",'Daily Workforce'!$B182&lt;&gt;"",COUNTIF('Daily Schedule'!$F$5:$F50,'Daily Workforce'!$B182)=0,IF('Daily Schedule'!$A51=45,'Daily Workforce'!$J182="Y",IF(OR('Daily Schedule'!$A51=4,'Daily Schedule'!$A51=8),IF(OR(WEEKDAY('Daily Schedule'!$B$2,2)=1,WEEKDAY('Daily Schedule'!$B$2,2)=4,WEEKDAY('Daily Schedule'!$B$2,2)=5,WEEKDAY('Daily Schedule'!$B$2,2)=7),IFERROR(1*'Daily Workforce'!$K182&gt;=3,FALSE()),IFERROR(1*'Daily Workforce'!$K182&gt;=2,FALSE())),IF(AND('Daily Schedule'!$A51&gt;=46,'Daily Schedule'!$A51&lt;=52),'Daily Workforce'!$M182="Y",IFERROR(1*'Daily Workforce'!$P182&gt;=2,FALSE()))))),1,0)</f>
        <v>0</v>
      </c>
      <c r="GL47" s="1" t="n">
        <f aca="false">IF(AND('Daily Workforce'!$N183="Y",'Daily Workforce'!$B183&lt;&gt;"",COUNTIF('Daily Schedule'!$F$5:$F50,'Daily Workforce'!$B183)=0,IF('Daily Schedule'!$A51=45,'Daily Workforce'!$J183="Y",IF(OR('Daily Schedule'!$A51=4,'Daily Schedule'!$A51=8),IF(OR(WEEKDAY('Daily Schedule'!$B$2,2)=1,WEEKDAY('Daily Schedule'!$B$2,2)=4,WEEKDAY('Daily Schedule'!$B$2,2)=5,WEEKDAY('Daily Schedule'!$B$2,2)=7),IFERROR(1*'Daily Workforce'!$K183&gt;=3,FALSE()),IFERROR(1*'Daily Workforce'!$K183&gt;=2,FALSE())),IF(AND('Daily Schedule'!$A51&gt;=46,'Daily Schedule'!$A51&lt;=52),'Daily Workforce'!$M183="Y",IFERROR(1*'Daily Workforce'!$P183&gt;=2,FALSE()))))),1,0)</f>
        <v>0</v>
      </c>
      <c r="GM47" s="1" t="n">
        <f aca="false">IF(AND('Daily Workforce'!$N184="Y",'Daily Workforce'!$B184&lt;&gt;"",COUNTIF('Daily Schedule'!$F$5:$F50,'Daily Workforce'!$B184)=0,IF('Daily Schedule'!$A51=45,'Daily Workforce'!$J184="Y",IF(OR('Daily Schedule'!$A51=4,'Daily Schedule'!$A51=8),IF(OR(WEEKDAY('Daily Schedule'!$B$2,2)=1,WEEKDAY('Daily Schedule'!$B$2,2)=4,WEEKDAY('Daily Schedule'!$B$2,2)=5,WEEKDAY('Daily Schedule'!$B$2,2)=7),IFERROR(1*'Daily Workforce'!$K184&gt;=3,FALSE()),IFERROR(1*'Daily Workforce'!$K184&gt;=2,FALSE())),IF(AND('Daily Schedule'!$A51&gt;=46,'Daily Schedule'!$A51&lt;=52),'Daily Workforce'!$M184="Y",IFERROR(1*'Daily Workforce'!$P184&gt;=2,FALSE()))))),1,0)</f>
        <v>0</v>
      </c>
      <c r="GN47" s="1" t="n">
        <f aca="false">IF(AND('Daily Workforce'!$N185="Y",'Daily Workforce'!$B185&lt;&gt;"",COUNTIF('Daily Schedule'!$F$5:$F50,'Daily Workforce'!$B185)=0,IF('Daily Schedule'!$A51=45,'Daily Workforce'!$J185="Y",IF(OR('Daily Schedule'!$A51=4,'Daily Schedule'!$A51=8),IF(OR(WEEKDAY('Daily Schedule'!$B$2,2)=1,WEEKDAY('Daily Schedule'!$B$2,2)=4,WEEKDAY('Daily Schedule'!$B$2,2)=5,WEEKDAY('Daily Schedule'!$B$2,2)=7),IFERROR(1*'Daily Workforce'!$K185&gt;=3,FALSE()),IFERROR(1*'Daily Workforce'!$K185&gt;=2,FALSE())),IF(AND('Daily Schedule'!$A51&gt;=46,'Daily Schedule'!$A51&lt;=52),'Daily Workforce'!$M185="Y",IFERROR(1*'Daily Workforce'!$P185&gt;=2,FALSE()))))),1,0)</f>
        <v>0</v>
      </c>
      <c r="GO47" s="1" t="n">
        <f aca="false">IF(AND('Daily Workforce'!$N186="Y",'Daily Workforce'!$B186&lt;&gt;"",COUNTIF('Daily Schedule'!$F$5:$F50,'Daily Workforce'!$B186)=0,IF('Daily Schedule'!$A51=45,'Daily Workforce'!$J186="Y",IF(OR('Daily Schedule'!$A51=4,'Daily Schedule'!$A51=8),IF(OR(WEEKDAY('Daily Schedule'!$B$2,2)=1,WEEKDAY('Daily Schedule'!$B$2,2)=4,WEEKDAY('Daily Schedule'!$B$2,2)=5,WEEKDAY('Daily Schedule'!$B$2,2)=7),IFERROR(1*'Daily Workforce'!$K186&gt;=3,FALSE()),IFERROR(1*'Daily Workforce'!$K186&gt;=2,FALSE())),IF(AND('Daily Schedule'!$A51&gt;=46,'Daily Schedule'!$A51&lt;=52),'Daily Workforce'!$M186="Y",IFERROR(1*'Daily Workforce'!$P186&gt;=2,FALSE()))))),1,0)</f>
        <v>0</v>
      </c>
      <c r="GP47" s="1" t="n">
        <f aca="false">IF(AND('Daily Workforce'!$N187="Y",'Daily Workforce'!$B187&lt;&gt;"",COUNTIF('Daily Schedule'!$F$5:$F50,'Daily Workforce'!$B187)=0,IF('Daily Schedule'!$A51=45,'Daily Workforce'!$J187="Y",IF(OR('Daily Schedule'!$A51=4,'Daily Schedule'!$A51=8),IF(OR(WEEKDAY('Daily Schedule'!$B$2,2)=1,WEEKDAY('Daily Schedule'!$B$2,2)=4,WEEKDAY('Daily Schedule'!$B$2,2)=5,WEEKDAY('Daily Schedule'!$B$2,2)=7),IFERROR(1*'Daily Workforce'!$K187&gt;=3,FALSE()),IFERROR(1*'Daily Workforce'!$K187&gt;=2,FALSE())),IF(AND('Daily Schedule'!$A51&gt;=46,'Daily Schedule'!$A51&lt;=52),'Daily Workforce'!$M187="Y",IFERROR(1*'Daily Workforce'!$P187&gt;=2,FALSE()))))),1,0)</f>
        <v>0</v>
      </c>
      <c r="GQ47" s="1" t="n">
        <f aca="false">IF(AND('Daily Workforce'!$N188="Y",'Daily Workforce'!$B188&lt;&gt;"",COUNTIF('Daily Schedule'!$F$5:$F50,'Daily Workforce'!$B188)=0,IF('Daily Schedule'!$A51=45,'Daily Workforce'!$J188="Y",IF(OR('Daily Schedule'!$A51=4,'Daily Schedule'!$A51=8),IF(OR(WEEKDAY('Daily Schedule'!$B$2,2)=1,WEEKDAY('Daily Schedule'!$B$2,2)=4,WEEKDAY('Daily Schedule'!$B$2,2)=5,WEEKDAY('Daily Schedule'!$B$2,2)=7),IFERROR(1*'Daily Workforce'!$K188&gt;=3,FALSE()),IFERROR(1*'Daily Workforce'!$K188&gt;=2,FALSE())),IF(AND('Daily Schedule'!$A51&gt;=46,'Daily Schedule'!$A51&lt;=52),'Daily Workforce'!$M188="Y",IFERROR(1*'Daily Workforce'!$P188&gt;=2,FALSE()))))),1,0)</f>
        <v>0</v>
      </c>
      <c r="GR47" s="1" t="n">
        <f aca="false">IF(AND('Daily Workforce'!$N189="Y",'Daily Workforce'!$B189&lt;&gt;"",COUNTIF('Daily Schedule'!$F$5:$F50,'Daily Workforce'!$B189)=0,IF('Daily Schedule'!$A51=45,'Daily Workforce'!$J189="Y",IF(OR('Daily Schedule'!$A51=4,'Daily Schedule'!$A51=8),IF(OR(WEEKDAY('Daily Schedule'!$B$2,2)=1,WEEKDAY('Daily Schedule'!$B$2,2)=4,WEEKDAY('Daily Schedule'!$B$2,2)=5,WEEKDAY('Daily Schedule'!$B$2,2)=7),IFERROR(1*'Daily Workforce'!$K189&gt;=3,FALSE()),IFERROR(1*'Daily Workforce'!$K189&gt;=2,FALSE())),IF(AND('Daily Schedule'!$A51&gt;=46,'Daily Schedule'!$A51&lt;=52),'Daily Workforce'!$M189="Y",IFERROR(1*'Daily Workforce'!$P189&gt;=2,FALSE()))))),1,0)</f>
        <v>0</v>
      </c>
      <c r="GS47" s="1" t="n">
        <f aca="false">IF(AND('Daily Workforce'!$N190="Y",'Daily Workforce'!$B190&lt;&gt;"",COUNTIF('Daily Schedule'!$F$5:$F50,'Daily Workforce'!$B190)=0,IF('Daily Schedule'!$A51=45,'Daily Workforce'!$J190="Y",IF(OR('Daily Schedule'!$A51=4,'Daily Schedule'!$A51=8),IF(OR(WEEKDAY('Daily Schedule'!$B$2,2)=1,WEEKDAY('Daily Schedule'!$B$2,2)=4,WEEKDAY('Daily Schedule'!$B$2,2)=5,WEEKDAY('Daily Schedule'!$B$2,2)=7),IFERROR(1*'Daily Workforce'!$K190&gt;=3,FALSE()),IFERROR(1*'Daily Workforce'!$K190&gt;=2,FALSE())),IF(AND('Daily Schedule'!$A51&gt;=46,'Daily Schedule'!$A51&lt;=52),'Daily Workforce'!$M190="Y",IFERROR(1*'Daily Workforce'!$P190&gt;=2,FALSE()))))),1,0)</f>
        <v>0</v>
      </c>
      <c r="GT47" s="1" t="n">
        <f aca="false">IF(AND('Daily Workforce'!$N191="Y",'Daily Workforce'!$B191&lt;&gt;"",COUNTIF('Daily Schedule'!$F$5:$F50,'Daily Workforce'!$B191)=0,IF('Daily Schedule'!$A51=45,'Daily Workforce'!$J191="Y",IF(OR('Daily Schedule'!$A51=4,'Daily Schedule'!$A51=8),IF(OR(WEEKDAY('Daily Schedule'!$B$2,2)=1,WEEKDAY('Daily Schedule'!$B$2,2)=4,WEEKDAY('Daily Schedule'!$B$2,2)=5,WEEKDAY('Daily Schedule'!$B$2,2)=7),IFERROR(1*'Daily Workforce'!$K191&gt;=3,FALSE()),IFERROR(1*'Daily Workforce'!$K191&gt;=2,FALSE())),IF(AND('Daily Schedule'!$A51&gt;=46,'Daily Schedule'!$A51&lt;=52),'Daily Workforce'!$M191="Y",IFERROR(1*'Daily Workforce'!$P191&gt;=2,FALSE()))))),1,0)</f>
        <v>0</v>
      </c>
      <c r="GU47" s="1" t="n">
        <f aca="false">IF(AND('Daily Workforce'!$N192="Y",'Daily Workforce'!$B192&lt;&gt;"",COUNTIF('Daily Schedule'!$F$5:$F50,'Daily Workforce'!$B192)=0,IF('Daily Schedule'!$A51=45,'Daily Workforce'!$J192="Y",IF(OR('Daily Schedule'!$A51=4,'Daily Schedule'!$A51=8),IF(OR(WEEKDAY('Daily Schedule'!$B$2,2)=1,WEEKDAY('Daily Schedule'!$B$2,2)=4,WEEKDAY('Daily Schedule'!$B$2,2)=5,WEEKDAY('Daily Schedule'!$B$2,2)=7),IFERROR(1*'Daily Workforce'!$K192&gt;=3,FALSE()),IFERROR(1*'Daily Workforce'!$K192&gt;=2,FALSE())),IF(AND('Daily Schedule'!$A51&gt;=46,'Daily Schedule'!$A51&lt;=52),'Daily Workforce'!$M192="Y",IFERROR(1*'Daily Workforce'!$P192&gt;=2,FALSE()))))),1,0)</f>
        <v>0</v>
      </c>
      <c r="GV47" s="1" t="n">
        <f aca="false">IF(AND('Daily Workforce'!$N193="Y",'Daily Workforce'!$B193&lt;&gt;"",COUNTIF('Daily Schedule'!$F$5:$F50,'Daily Workforce'!$B193)=0,IF('Daily Schedule'!$A51=45,'Daily Workforce'!$J193="Y",IF(OR('Daily Schedule'!$A51=4,'Daily Schedule'!$A51=8),IF(OR(WEEKDAY('Daily Schedule'!$B$2,2)=1,WEEKDAY('Daily Schedule'!$B$2,2)=4,WEEKDAY('Daily Schedule'!$B$2,2)=5,WEEKDAY('Daily Schedule'!$B$2,2)=7),IFERROR(1*'Daily Workforce'!$K193&gt;=3,FALSE()),IFERROR(1*'Daily Workforce'!$K193&gt;=2,FALSE())),IF(AND('Daily Schedule'!$A51&gt;=46,'Daily Schedule'!$A51&lt;=52),'Daily Workforce'!$M193="Y",IFERROR(1*'Daily Workforce'!$P193&gt;=2,FALSE()))))),1,0)</f>
        <v>0</v>
      </c>
      <c r="GW47" s="1" t="n">
        <f aca="false">IF(AND('Daily Workforce'!$N194="Y",'Daily Workforce'!$B194&lt;&gt;"",COUNTIF('Daily Schedule'!$F$5:$F50,'Daily Workforce'!$B194)=0,IF('Daily Schedule'!$A51=45,'Daily Workforce'!$J194="Y",IF(OR('Daily Schedule'!$A51=4,'Daily Schedule'!$A51=8),IF(OR(WEEKDAY('Daily Schedule'!$B$2,2)=1,WEEKDAY('Daily Schedule'!$B$2,2)=4,WEEKDAY('Daily Schedule'!$B$2,2)=5,WEEKDAY('Daily Schedule'!$B$2,2)=7),IFERROR(1*'Daily Workforce'!$K194&gt;=3,FALSE()),IFERROR(1*'Daily Workforce'!$K194&gt;=2,FALSE())),IF(AND('Daily Schedule'!$A51&gt;=46,'Daily Schedule'!$A51&lt;=52),'Daily Workforce'!$M194="Y",IFERROR(1*'Daily Workforce'!$P194&gt;=2,FALSE()))))),1,0)</f>
        <v>0</v>
      </c>
      <c r="GX47" s="1" t="n">
        <f aca="false">IF(AND('Daily Workforce'!$N195="Y",'Daily Workforce'!$B195&lt;&gt;"",COUNTIF('Daily Schedule'!$F$5:$F50,'Daily Workforce'!$B195)=0,IF('Daily Schedule'!$A51=45,'Daily Workforce'!$J195="Y",IF(OR('Daily Schedule'!$A51=4,'Daily Schedule'!$A51=8),IF(OR(WEEKDAY('Daily Schedule'!$B$2,2)=1,WEEKDAY('Daily Schedule'!$B$2,2)=4,WEEKDAY('Daily Schedule'!$B$2,2)=5,WEEKDAY('Daily Schedule'!$B$2,2)=7),IFERROR(1*'Daily Workforce'!$K195&gt;=3,FALSE()),IFERROR(1*'Daily Workforce'!$K195&gt;=2,FALSE())),IF(AND('Daily Schedule'!$A51&gt;=46,'Daily Schedule'!$A51&lt;=52),'Daily Workforce'!$M195="Y",IFERROR(1*'Daily Workforce'!$P195&gt;=2,FALSE()))))),1,0)</f>
        <v>0</v>
      </c>
      <c r="GY47" s="1" t="n">
        <f aca="false">IF(AND('Daily Workforce'!$N196="Y",'Daily Workforce'!$B196&lt;&gt;"",COUNTIF('Daily Schedule'!$F$5:$F50,'Daily Workforce'!$B196)=0,IF('Daily Schedule'!$A51=45,'Daily Workforce'!$J196="Y",IF(OR('Daily Schedule'!$A51=4,'Daily Schedule'!$A51=8),IF(OR(WEEKDAY('Daily Schedule'!$B$2,2)=1,WEEKDAY('Daily Schedule'!$B$2,2)=4,WEEKDAY('Daily Schedule'!$B$2,2)=5,WEEKDAY('Daily Schedule'!$B$2,2)=7),IFERROR(1*'Daily Workforce'!$K196&gt;=3,FALSE()),IFERROR(1*'Daily Workforce'!$K196&gt;=2,FALSE())),IF(AND('Daily Schedule'!$A51&gt;=46,'Daily Schedule'!$A51&lt;=52),'Daily Workforce'!$M196="Y",IFERROR(1*'Daily Workforce'!$P196&gt;=2,FALSE()))))),1,0)</f>
        <v>0</v>
      </c>
      <c r="GZ47" s="1" t="n">
        <f aca="false">IF(AND('Daily Workforce'!$N197="Y",'Daily Workforce'!$B197&lt;&gt;"",COUNTIF('Daily Schedule'!$F$5:$F50,'Daily Workforce'!$B197)=0,IF('Daily Schedule'!$A51=45,'Daily Workforce'!$J197="Y",IF(OR('Daily Schedule'!$A51=4,'Daily Schedule'!$A51=8),IF(OR(WEEKDAY('Daily Schedule'!$B$2,2)=1,WEEKDAY('Daily Schedule'!$B$2,2)=4,WEEKDAY('Daily Schedule'!$B$2,2)=5,WEEKDAY('Daily Schedule'!$B$2,2)=7),IFERROR(1*'Daily Workforce'!$K197&gt;=3,FALSE()),IFERROR(1*'Daily Workforce'!$K197&gt;=2,FALSE())),IF(AND('Daily Schedule'!$A51&gt;=46,'Daily Schedule'!$A51&lt;=52),'Daily Workforce'!$M197="Y",IFERROR(1*'Daily Workforce'!$P197&gt;=2,FALSE()))))),1,0)</f>
        <v>0</v>
      </c>
      <c r="HA47" s="1" t="n">
        <f aca="false">IF(AND('Daily Workforce'!$N198="Y",'Daily Workforce'!$B198&lt;&gt;"",COUNTIF('Daily Schedule'!$F$5:$F50,'Daily Workforce'!$B198)=0,IF('Daily Schedule'!$A51=45,'Daily Workforce'!$J198="Y",IF(OR('Daily Schedule'!$A51=4,'Daily Schedule'!$A51=8),IF(OR(WEEKDAY('Daily Schedule'!$B$2,2)=1,WEEKDAY('Daily Schedule'!$B$2,2)=4,WEEKDAY('Daily Schedule'!$B$2,2)=5,WEEKDAY('Daily Schedule'!$B$2,2)=7),IFERROR(1*'Daily Workforce'!$K198&gt;=3,FALSE()),IFERROR(1*'Daily Workforce'!$K198&gt;=2,FALSE())),IF(AND('Daily Schedule'!$A51&gt;=46,'Daily Schedule'!$A51&lt;=52),'Daily Workforce'!$M198="Y",IFERROR(1*'Daily Workforce'!$P198&gt;=2,FALSE()))))),1,0)</f>
        <v>0</v>
      </c>
      <c r="HB47" s="1" t="n">
        <f aca="false">IF(AND('Daily Workforce'!$N199="Y",'Daily Workforce'!$B199&lt;&gt;"",COUNTIF('Daily Schedule'!$F$5:$F50,'Daily Workforce'!$B199)=0,IF('Daily Schedule'!$A51=45,'Daily Workforce'!$J199="Y",IF(OR('Daily Schedule'!$A51=4,'Daily Schedule'!$A51=8),IF(OR(WEEKDAY('Daily Schedule'!$B$2,2)=1,WEEKDAY('Daily Schedule'!$B$2,2)=4,WEEKDAY('Daily Schedule'!$B$2,2)=5,WEEKDAY('Daily Schedule'!$B$2,2)=7),IFERROR(1*'Daily Workforce'!$K199&gt;=3,FALSE()),IFERROR(1*'Daily Workforce'!$K199&gt;=2,FALSE())),IF(AND('Daily Schedule'!$A51&gt;=46,'Daily Schedule'!$A51&lt;=52),'Daily Workforce'!$M199="Y",IFERROR(1*'Daily Workforce'!$P199&gt;=2,FALSE()))))),1,0)</f>
        <v>0</v>
      </c>
      <c r="HC47" s="1" t="n">
        <f aca="false">IF(AND('Daily Workforce'!$N200="Y",'Daily Workforce'!$B200&lt;&gt;"",COUNTIF('Daily Schedule'!$F$5:$F50,'Daily Workforce'!$B200)=0,IF('Daily Schedule'!$A51=45,'Daily Workforce'!$J200="Y",IF(OR('Daily Schedule'!$A51=4,'Daily Schedule'!$A51=8),IF(OR(WEEKDAY('Daily Schedule'!$B$2,2)=1,WEEKDAY('Daily Schedule'!$B$2,2)=4,WEEKDAY('Daily Schedule'!$B$2,2)=5,WEEKDAY('Daily Schedule'!$B$2,2)=7),IFERROR(1*'Daily Workforce'!$K200&gt;=3,FALSE()),IFERROR(1*'Daily Workforce'!$K200&gt;=2,FALSE())),IF(AND('Daily Schedule'!$A51&gt;=46,'Daily Schedule'!$A51&lt;=52),'Daily Workforce'!$M200="Y",IFERROR(1*'Daily Workforce'!$P200&gt;=2,FALSE()))))),1,0)</f>
        <v>0</v>
      </c>
      <c r="HD47" s="1" t="n">
        <f aca="false">IF(AND('Daily Workforce'!$N201="Y",'Daily Workforce'!$B201&lt;&gt;"",COUNTIF('Daily Schedule'!$F$5:$F50,'Daily Workforce'!$B201)=0,IF('Daily Schedule'!$A51=45,'Daily Workforce'!$J201="Y",IF(OR('Daily Schedule'!$A51=4,'Daily Schedule'!$A51=8),IF(OR(WEEKDAY('Daily Schedule'!$B$2,2)=1,WEEKDAY('Daily Schedule'!$B$2,2)=4,WEEKDAY('Daily Schedule'!$B$2,2)=5,WEEKDAY('Daily Schedule'!$B$2,2)=7),IFERROR(1*'Daily Workforce'!$K201&gt;=3,FALSE()),IFERROR(1*'Daily Workforce'!$K201&gt;=2,FALSE())),IF(AND('Daily Schedule'!$A51&gt;=46,'Daily Schedule'!$A51&lt;=52),'Daily Workforce'!$M201="Y",IFERROR(1*'Daily Workforce'!$P201&gt;=2,FALSE()))))),1,0)</f>
        <v>0</v>
      </c>
      <c r="HE47" s="1" t="n">
        <f aca="false">IF(AND('Daily Workforce'!$N202="Y",'Daily Workforce'!$B202&lt;&gt;"",COUNTIF('Daily Schedule'!$F$5:$F50,'Daily Workforce'!$B202)=0,IF('Daily Schedule'!$A51=45,'Daily Workforce'!$J202="Y",IF(OR('Daily Schedule'!$A51=4,'Daily Schedule'!$A51=8),IF(OR(WEEKDAY('Daily Schedule'!$B$2,2)=1,WEEKDAY('Daily Schedule'!$B$2,2)=4,WEEKDAY('Daily Schedule'!$B$2,2)=5,WEEKDAY('Daily Schedule'!$B$2,2)=7),IFERROR(1*'Daily Workforce'!$K202&gt;=3,FALSE()),IFERROR(1*'Daily Workforce'!$K202&gt;=2,FALSE())),IF(AND('Daily Schedule'!$A51&gt;=46,'Daily Schedule'!$A51&lt;=52),'Daily Workforce'!$M202="Y",IFERROR(1*'Daily Workforce'!$P202&gt;=2,FALSE()))))),1,0)</f>
        <v>0</v>
      </c>
      <c r="HF47" s="1" t="n">
        <f aca="false">IF(AND('Daily Workforce'!$N203="Y",'Daily Workforce'!$B203&lt;&gt;"",COUNTIF('Daily Schedule'!$F$5:$F50,'Daily Workforce'!$B203)=0,IF('Daily Schedule'!$A51=45,'Daily Workforce'!$J203="Y",IF(OR('Daily Schedule'!$A51=4,'Daily Schedule'!$A51=8),IF(OR(WEEKDAY('Daily Schedule'!$B$2,2)=1,WEEKDAY('Daily Schedule'!$B$2,2)=4,WEEKDAY('Daily Schedule'!$B$2,2)=5,WEEKDAY('Daily Schedule'!$B$2,2)=7),IFERROR(1*'Daily Workforce'!$K203&gt;=3,FALSE()),IFERROR(1*'Daily Workforce'!$K203&gt;=2,FALSE())),IF(AND('Daily Schedule'!$A51&gt;=46,'Daily Schedule'!$A51&lt;=52),'Daily Workforce'!$M203="Y",IFERROR(1*'Daily Workforce'!$P203&gt;=2,FALSE()))))),1,0)</f>
        <v>0</v>
      </c>
      <c r="HG47" s="1" t="n">
        <f aca="false">IF(AND('Daily Workforce'!$N204="Y",'Daily Workforce'!$B204&lt;&gt;"",COUNTIF('Daily Schedule'!$F$5:$F50,'Daily Workforce'!$B204)=0,IF('Daily Schedule'!$A51=45,'Daily Workforce'!$J204="Y",IF(OR('Daily Schedule'!$A51=4,'Daily Schedule'!$A51=8),IF(OR(WEEKDAY('Daily Schedule'!$B$2,2)=1,WEEKDAY('Daily Schedule'!$B$2,2)=4,WEEKDAY('Daily Schedule'!$B$2,2)=5,WEEKDAY('Daily Schedule'!$B$2,2)=7),IFERROR(1*'Daily Workforce'!$K204&gt;=3,FALSE()),IFERROR(1*'Daily Workforce'!$K204&gt;=2,FALSE())),IF(AND('Daily Schedule'!$A51&gt;=46,'Daily Schedule'!$A51&lt;=52),'Daily Workforce'!$M204="Y",IFERROR(1*'Daily Workforce'!$P204&gt;=2,FALSE()))))),1,0)</f>
        <v>0</v>
      </c>
      <c r="HH47" s="1" t="n">
        <f aca="false">IF(AND('Daily Workforce'!$N205="Y",'Daily Workforce'!$B205&lt;&gt;"",COUNTIF('Daily Schedule'!$F$5:$F50,'Daily Workforce'!$B205)=0,IF('Daily Schedule'!$A51=45,'Daily Workforce'!$J205="Y",IF(OR('Daily Schedule'!$A51=4,'Daily Schedule'!$A51=8),IF(OR(WEEKDAY('Daily Schedule'!$B$2,2)=1,WEEKDAY('Daily Schedule'!$B$2,2)=4,WEEKDAY('Daily Schedule'!$B$2,2)=5,WEEKDAY('Daily Schedule'!$B$2,2)=7),IFERROR(1*'Daily Workforce'!$K205&gt;=3,FALSE()),IFERROR(1*'Daily Workforce'!$K205&gt;=2,FALSE())),IF(AND('Daily Schedule'!$A51&gt;=46,'Daily Schedule'!$A51&lt;=52),'Daily Workforce'!$M205="Y",IFERROR(1*'Daily Workforce'!$P205&gt;=2,FALSE()))))),1,0)</f>
        <v>0</v>
      </c>
    </row>
    <row r="48" customFormat="false" ht="15" hidden="false" customHeight="true" outlineLevel="0" collapsed="false">
      <c r="L48" s="1" t="s">
        <v>491</v>
      </c>
      <c r="O48" s="1" t="str">
        <f aca="false">IF(AND('Employee Master'!$G48="Y",ISERROR(SEARCH(TEXT('Daily Workforce'!$B$2,"ddd"),'Employee Master'!$D48)),IF('Daily Workforce'!$E$2="",TRUE(),'Employee Master'!$I48='Daily Workforce'!$E$2)),'Employee Master'!$K48*1000+ROW()-1,"")</f>
        <v/>
      </c>
      <c r="P48" s="1" t="str">
        <f aca="false">IF($O48="","",COUNTIF($O$2:$O$159,"&lt;="&amp;$O48))</f>
        <v/>
      </c>
      <c r="Q48" s="1" t="n">
        <f aca="false">IF(AND('Daily Workforce'!$N6="Y",'Daily Workforce'!$B6&lt;&gt;"",COUNTIF('Daily Schedule'!$F$5:$F51,'Daily Workforce'!$B6)=0,IF('Daily Schedule'!$A52=45,'Daily Workforce'!$J6="Y",IF(OR('Daily Schedule'!$A52=4,'Daily Schedule'!$A52=8),IF(OR(WEEKDAY('Daily Schedule'!$B$2,2)=1,WEEKDAY('Daily Schedule'!$B$2,2)=4,WEEKDAY('Daily Schedule'!$B$2,2)=5,WEEKDAY('Daily Schedule'!$B$2,2)=7),IFERROR(1*'Daily Workforce'!$K6&gt;=3,FALSE()),IFERROR(1*'Daily Workforce'!$K6&gt;=2,FALSE())),IF(AND('Daily Schedule'!$A52&gt;=46,'Daily Schedule'!$A52&lt;=52),'Daily Workforce'!$M6="Y",IFERROR(1*'Daily Workforce'!$P6&gt;=2,FALSE()))))),1,0)</f>
        <v>0</v>
      </c>
      <c r="R48" s="1" t="n">
        <f aca="false">IF(AND('Daily Workforce'!$N7="Y",'Daily Workforce'!$B7&lt;&gt;"",COUNTIF('Daily Schedule'!$F$5:$F51,'Daily Workforce'!$B7)=0,IF('Daily Schedule'!$A52=45,'Daily Workforce'!$J7="Y",IF(OR('Daily Schedule'!$A52=4,'Daily Schedule'!$A52=8),IF(OR(WEEKDAY('Daily Schedule'!$B$2,2)=1,WEEKDAY('Daily Schedule'!$B$2,2)=4,WEEKDAY('Daily Schedule'!$B$2,2)=5,WEEKDAY('Daily Schedule'!$B$2,2)=7),IFERROR(1*'Daily Workforce'!$K7&gt;=3,FALSE()),IFERROR(1*'Daily Workforce'!$K7&gt;=2,FALSE())),IF(AND('Daily Schedule'!$A52&gt;=46,'Daily Schedule'!$A52&lt;=52),'Daily Workforce'!$M7="Y",IFERROR(1*'Daily Workforce'!$P7&gt;=2,FALSE()))))),1,0)</f>
        <v>0</v>
      </c>
      <c r="S48" s="1" t="n">
        <f aca="false">IF(AND('Daily Workforce'!$N8="Y",'Daily Workforce'!$B8&lt;&gt;"",COUNTIF('Daily Schedule'!$F$5:$F51,'Daily Workforce'!$B8)=0,IF('Daily Schedule'!$A52=45,'Daily Workforce'!$J8="Y",IF(OR('Daily Schedule'!$A52=4,'Daily Schedule'!$A52=8),IF(OR(WEEKDAY('Daily Schedule'!$B$2,2)=1,WEEKDAY('Daily Schedule'!$B$2,2)=4,WEEKDAY('Daily Schedule'!$B$2,2)=5,WEEKDAY('Daily Schedule'!$B$2,2)=7),IFERROR(1*'Daily Workforce'!$K8&gt;=3,FALSE()),IFERROR(1*'Daily Workforce'!$K8&gt;=2,FALSE())),IF(AND('Daily Schedule'!$A52&gt;=46,'Daily Schedule'!$A52&lt;=52),'Daily Workforce'!$M8="Y",IFERROR(1*'Daily Workforce'!$P8&gt;=2,FALSE()))))),1,0)</f>
        <v>0</v>
      </c>
      <c r="T48" s="1" t="n">
        <f aca="false">IF(AND('Daily Workforce'!$N9="Y",'Daily Workforce'!$B9&lt;&gt;"",COUNTIF('Daily Schedule'!$F$5:$F51,'Daily Workforce'!$B9)=0,IF('Daily Schedule'!$A52=45,'Daily Workforce'!$J9="Y",IF(OR('Daily Schedule'!$A52=4,'Daily Schedule'!$A52=8),IF(OR(WEEKDAY('Daily Schedule'!$B$2,2)=1,WEEKDAY('Daily Schedule'!$B$2,2)=4,WEEKDAY('Daily Schedule'!$B$2,2)=5,WEEKDAY('Daily Schedule'!$B$2,2)=7),IFERROR(1*'Daily Workforce'!$K9&gt;=3,FALSE()),IFERROR(1*'Daily Workforce'!$K9&gt;=2,FALSE())),IF(AND('Daily Schedule'!$A52&gt;=46,'Daily Schedule'!$A52&lt;=52),'Daily Workforce'!$M9="Y",IFERROR(1*'Daily Workforce'!$P9&gt;=2,FALSE()))))),1,0)</f>
        <v>0</v>
      </c>
      <c r="U48" s="1" t="n">
        <f aca="false">IF(AND('Daily Workforce'!$N10="Y",'Daily Workforce'!$B10&lt;&gt;"",COUNTIF('Daily Schedule'!$F$5:$F51,'Daily Workforce'!$B10)=0,IF('Daily Schedule'!$A52=45,'Daily Workforce'!$J10="Y",IF(OR('Daily Schedule'!$A52=4,'Daily Schedule'!$A52=8),IF(OR(WEEKDAY('Daily Schedule'!$B$2,2)=1,WEEKDAY('Daily Schedule'!$B$2,2)=4,WEEKDAY('Daily Schedule'!$B$2,2)=5,WEEKDAY('Daily Schedule'!$B$2,2)=7),IFERROR(1*'Daily Workforce'!$K10&gt;=3,FALSE()),IFERROR(1*'Daily Workforce'!$K10&gt;=2,FALSE())),IF(AND('Daily Schedule'!$A52&gt;=46,'Daily Schedule'!$A52&lt;=52),'Daily Workforce'!$M10="Y",IFERROR(1*'Daily Workforce'!$P10&gt;=2,FALSE()))))),1,0)</f>
        <v>0</v>
      </c>
      <c r="V48" s="1" t="n">
        <f aca="false">IF(AND('Daily Workforce'!$N11="Y",'Daily Workforce'!$B11&lt;&gt;"",COUNTIF('Daily Schedule'!$F$5:$F51,'Daily Workforce'!$B11)=0,IF('Daily Schedule'!$A52=45,'Daily Workforce'!$J11="Y",IF(OR('Daily Schedule'!$A52=4,'Daily Schedule'!$A52=8),IF(OR(WEEKDAY('Daily Schedule'!$B$2,2)=1,WEEKDAY('Daily Schedule'!$B$2,2)=4,WEEKDAY('Daily Schedule'!$B$2,2)=5,WEEKDAY('Daily Schedule'!$B$2,2)=7),IFERROR(1*'Daily Workforce'!$K11&gt;=3,FALSE()),IFERROR(1*'Daily Workforce'!$K11&gt;=2,FALSE())),IF(AND('Daily Schedule'!$A52&gt;=46,'Daily Schedule'!$A52&lt;=52),'Daily Workforce'!$M11="Y",IFERROR(1*'Daily Workforce'!$P11&gt;=2,FALSE()))))),1,0)</f>
        <v>0</v>
      </c>
      <c r="W48" s="1" t="n">
        <f aca="false">IF(AND('Daily Workforce'!$N12="Y",'Daily Workforce'!$B12&lt;&gt;"",COUNTIF('Daily Schedule'!$F$5:$F51,'Daily Workforce'!$B12)=0,IF('Daily Schedule'!$A52=45,'Daily Workforce'!$J12="Y",IF(OR('Daily Schedule'!$A52=4,'Daily Schedule'!$A52=8),IF(OR(WEEKDAY('Daily Schedule'!$B$2,2)=1,WEEKDAY('Daily Schedule'!$B$2,2)=4,WEEKDAY('Daily Schedule'!$B$2,2)=5,WEEKDAY('Daily Schedule'!$B$2,2)=7),IFERROR(1*'Daily Workforce'!$K12&gt;=3,FALSE()),IFERROR(1*'Daily Workforce'!$K12&gt;=2,FALSE())),IF(AND('Daily Schedule'!$A52&gt;=46,'Daily Schedule'!$A52&lt;=52),'Daily Workforce'!$M12="Y",IFERROR(1*'Daily Workforce'!$P12&gt;=2,FALSE()))))),1,0)</f>
        <v>0</v>
      </c>
      <c r="X48" s="1" t="n">
        <f aca="false">IF(AND('Daily Workforce'!$N13="Y",'Daily Workforce'!$B13&lt;&gt;"",COUNTIF('Daily Schedule'!$F$5:$F51,'Daily Workforce'!$B13)=0,IF('Daily Schedule'!$A52=45,'Daily Workforce'!$J13="Y",IF(OR('Daily Schedule'!$A52=4,'Daily Schedule'!$A52=8),IF(OR(WEEKDAY('Daily Schedule'!$B$2,2)=1,WEEKDAY('Daily Schedule'!$B$2,2)=4,WEEKDAY('Daily Schedule'!$B$2,2)=5,WEEKDAY('Daily Schedule'!$B$2,2)=7),IFERROR(1*'Daily Workforce'!$K13&gt;=3,FALSE()),IFERROR(1*'Daily Workforce'!$K13&gt;=2,FALSE())),IF(AND('Daily Schedule'!$A52&gt;=46,'Daily Schedule'!$A52&lt;=52),'Daily Workforce'!$M13="Y",IFERROR(1*'Daily Workforce'!$P13&gt;=2,FALSE()))))),1,0)</f>
        <v>0</v>
      </c>
      <c r="Y48" s="1" t="n">
        <f aca="false">IF(AND('Daily Workforce'!$N14="Y",'Daily Workforce'!$B14&lt;&gt;"",COUNTIF('Daily Schedule'!$F$5:$F51,'Daily Workforce'!$B14)=0,IF('Daily Schedule'!$A52=45,'Daily Workforce'!$J14="Y",IF(OR('Daily Schedule'!$A52=4,'Daily Schedule'!$A52=8),IF(OR(WEEKDAY('Daily Schedule'!$B$2,2)=1,WEEKDAY('Daily Schedule'!$B$2,2)=4,WEEKDAY('Daily Schedule'!$B$2,2)=5,WEEKDAY('Daily Schedule'!$B$2,2)=7),IFERROR(1*'Daily Workforce'!$K14&gt;=3,FALSE()),IFERROR(1*'Daily Workforce'!$K14&gt;=2,FALSE())),IF(AND('Daily Schedule'!$A52&gt;=46,'Daily Schedule'!$A52&lt;=52),'Daily Workforce'!$M14="Y",IFERROR(1*'Daily Workforce'!$P14&gt;=2,FALSE()))))),1,0)</f>
        <v>0</v>
      </c>
      <c r="Z48" s="1" t="n">
        <f aca="false">IF(AND('Daily Workforce'!$N15="Y",'Daily Workforce'!$B15&lt;&gt;"",COUNTIF('Daily Schedule'!$F$5:$F51,'Daily Workforce'!$B15)=0,IF('Daily Schedule'!$A52=45,'Daily Workforce'!$J15="Y",IF(OR('Daily Schedule'!$A52=4,'Daily Schedule'!$A52=8),IF(OR(WEEKDAY('Daily Schedule'!$B$2,2)=1,WEEKDAY('Daily Schedule'!$B$2,2)=4,WEEKDAY('Daily Schedule'!$B$2,2)=5,WEEKDAY('Daily Schedule'!$B$2,2)=7),IFERROR(1*'Daily Workforce'!$K15&gt;=3,FALSE()),IFERROR(1*'Daily Workforce'!$K15&gt;=2,FALSE())),IF(AND('Daily Schedule'!$A52&gt;=46,'Daily Schedule'!$A52&lt;=52),'Daily Workforce'!$M15="Y",IFERROR(1*'Daily Workforce'!$P15&gt;=2,FALSE()))))),1,0)</f>
        <v>0</v>
      </c>
      <c r="AA48" s="1" t="n">
        <f aca="false">IF(AND('Daily Workforce'!$N16="Y",'Daily Workforce'!$B16&lt;&gt;"",COUNTIF('Daily Schedule'!$F$5:$F51,'Daily Workforce'!$B16)=0,IF('Daily Schedule'!$A52=45,'Daily Workforce'!$J16="Y",IF(OR('Daily Schedule'!$A52=4,'Daily Schedule'!$A52=8),IF(OR(WEEKDAY('Daily Schedule'!$B$2,2)=1,WEEKDAY('Daily Schedule'!$B$2,2)=4,WEEKDAY('Daily Schedule'!$B$2,2)=5,WEEKDAY('Daily Schedule'!$B$2,2)=7),IFERROR(1*'Daily Workforce'!$K16&gt;=3,FALSE()),IFERROR(1*'Daily Workforce'!$K16&gt;=2,FALSE())),IF(AND('Daily Schedule'!$A52&gt;=46,'Daily Schedule'!$A52&lt;=52),'Daily Workforce'!$M16="Y",IFERROR(1*'Daily Workforce'!$P16&gt;=2,FALSE()))))),1,0)</f>
        <v>0</v>
      </c>
      <c r="AB48" s="1" t="n">
        <f aca="false">IF(AND('Daily Workforce'!$N17="Y",'Daily Workforce'!$B17&lt;&gt;"",COUNTIF('Daily Schedule'!$F$5:$F51,'Daily Workforce'!$B17)=0,IF('Daily Schedule'!$A52=45,'Daily Workforce'!$J17="Y",IF(OR('Daily Schedule'!$A52=4,'Daily Schedule'!$A52=8),IF(OR(WEEKDAY('Daily Schedule'!$B$2,2)=1,WEEKDAY('Daily Schedule'!$B$2,2)=4,WEEKDAY('Daily Schedule'!$B$2,2)=5,WEEKDAY('Daily Schedule'!$B$2,2)=7),IFERROR(1*'Daily Workforce'!$K17&gt;=3,FALSE()),IFERROR(1*'Daily Workforce'!$K17&gt;=2,FALSE())),IF(AND('Daily Schedule'!$A52&gt;=46,'Daily Schedule'!$A52&lt;=52),'Daily Workforce'!$M17="Y",IFERROR(1*'Daily Workforce'!$P17&gt;=2,FALSE()))))),1,0)</f>
        <v>0</v>
      </c>
      <c r="AC48" s="1" t="n">
        <f aca="false">IF(AND('Daily Workforce'!$N18="Y",'Daily Workforce'!$B18&lt;&gt;"",COUNTIF('Daily Schedule'!$F$5:$F51,'Daily Workforce'!$B18)=0,IF('Daily Schedule'!$A52=45,'Daily Workforce'!$J18="Y",IF(OR('Daily Schedule'!$A52=4,'Daily Schedule'!$A52=8),IF(OR(WEEKDAY('Daily Schedule'!$B$2,2)=1,WEEKDAY('Daily Schedule'!$B$2,2)=4,WEEKDAY('Daily Schedule'!$B$2,2)=5,WEEKDAY('Daily Schedule'!$B$2,2)=7),IFERROR(1*'Daily Workforce'!$K18&gt;=3,FALSE()),IFERROR(1*'Daily Workforce'!$K18&gt;=2,FALSE())),IF(AND('Daily Schedule'!$A52&gt;=46,'Daily Schedule'!$A52&lt;=52),'Daily Workforce'!$M18="Y",IFERROR(1*'Daily Workforce'!$P18&gt;=2,FALSE()))))),1,0)</f>
        <v>0</v>
      </c>
      <c r="AD48" s="1" t="n">
        <f aca="false">IF(AND('Daily Workforce'!$N19="Y",'Daily Workforce'!$B19&lt;&gt;"",COUNTIF('Daily Schedule'!$F$5:$F51,'Daily Workforce'!$B19)=0,IF('Daily Schedule'!$A52=45,'Daily Workforce'!$J19="Y",IF(OR('Daily Schedule'!$A52=4,'Daily Schedule'!$A52=8),IF(OR(WEEKDAY('Daily Schedule'!$B$2,2)=1,WEEKDAY('Daily Schedule'!$B$2,2)=4,WEEKDAY('Daily Schedule'!$B$2,2)=5,WEEKDAY('Daily Schedule'!$B$2,2)=7),IFERROR(1*'Daily Workforce'!$K19&gt;=3,FALSE()),IFERROR(1*'Daily Workforce'!$K19&gt;=2,FALSE())),IF(AND('Daily Schedule'!$A52&gt;=46,'Daily Schedule'!$A52&lt;=52),'Daily Workforce'!$M19="Y",IFERROR(1*'Daily Workforce'!$P19&gt;=2,FALSE()))))),1,0)</f>
        <v>0</v>
      </c>
      <c r="AE48" s="1" t="n">
        <f aca="false">IF(AND('Daily Workforce'!$N20="Y",'Daily Workforce'!$B20&lt;&gt;"",COUNTIF('Daily Schedule'!$F$5:$F51,'Daily Workforce'!$B20)=0,IF('Daily Schedule'!$A52=45,'Daily Workforce'!$J20="Y",IF(OR('Daily Schedule'!$A52=4,'Daily Schedule'!$A52=8),IF(OR(WEEKDAY('Daily Schedule'!$B$2,2)=1,WEEKDAY('Daily Schedule'!$B$2,2)=4,WEEKDAY('Daily Schedule'!$B$2,2)=5,WEEKDAY('Daily Schedule'!$B$2,2)=7),IFERROR(1*'Daily Workforce'!$K20&gt;=3,FALSE()),IFERROR(1*'Daily Workforce'!$K20&gt;=2,FALSE())),IF(AND('Daily Schedule'!$A52&gt;=46,'Daily Schedule'!$A52&lt;=52),'Daily Workforce'!$M20="Y",IFERROR(1*'Daily Workforce'!$P20&gt;=2,FALSE()))))),1,0)</f>
        <v>0</v>
      </c>
      <c r="AF48" s="1" t="n">
        <f aca="false">IF(AND('Daily Workforce'!$N21="Y",'Daily Workforce'!$B21&lt;&gt;"",COUNTIF('Daily Schedule'!$F$5:$F51,'Daily Workforce'!$B21)=0,IF('Daily Schedule'!$A52=45,'Daily Workforce'!$J21="Y",IF(OR('Daily Schedule'!$A52=4,'Daily Schedule'!$A52=8),IF(OR(WEEKDAY('Daily Schedule'!$B$2,2)=1,WEEKDAY('Daily Schedule'!$B$2,2)=4,WEEKDAY('Daily Schedule'!$B$2,2)=5,WEEKDAY('Daily Schedule'!$B$2,2)=7),IFERROR(1*'Daily Workforce'!$K21&gt;=3,FALSE()),IFERROR(1*'Daily Workforce'!$K21&gt;=2,FALSE())),IF(AND('Daily Schedule'!$A52&gt;=46,'Daily Schedule'!$A52&lt;=52),'Daily Workforce'!$M21="Y",IFERROR(1*'Daily Workforce'!$P21&gt;=2,FALSE()))))),1,0)</f>
        <v>0</v>
      </c>
      <c r="AG48" s="1" t="n">
        <f aca="false">IF(AND('Daily Workforce'!$N22="Y",'Daily Workforce'!$B22&lt;&gt;"",COUNTIF('Daily Schedule'!$F$5:$F51,'Daily Workforce'!$B22)=0,IF('Daily Schedule'!$A52=45,'Daily Workforce'!$J22="Y",IF(OR('Daily Schedule'!$A52=4,'Daily Schedule'!$A52=8),IF(OR(WEEKDAY('Daily Schedule'!$B$2,2)=1,WEEKDAY('Daily Schedule'!$B$2,2)=4,WEEKDAY('Daily Schedule'!$B$2,2)=5,WEEKDAY('Daily Schedule'!$B$2,2)=7),IFERROR(1*'Daily Workforce'!$K22&gt;=3,FALSE()),IFERROR(1*'Daily Workforce'!$K22&gt;=2,FALSE())),IF(AND('Daily Schedule'!$A52&gt;=46,'Daily Schedule'!$A52&lt;=52),'Daily Workforce'!$M22="Y",IFERROR(1*'Daily Workforce'!$P22&gt;=2,FALSE()))))),1,0)</f>
        <v>0</v>
      </c>
      <c r="AH48" s="1" t="n">
        <f aca="false">IF(AND('Daily Workforce'!$N23="Y",'Daily Workforce'!$B23&lt;&gt;"",COUNTIF('Daily Schedule'!$F$5:$F51,'Daily Workforce'!$B23)=0,IF('Daily Schedule'!$A52=45,'Daily Workforce'!$J23="Y",IF(OR('Daily Schedule'!$A52=4,'Daily Schedule'!$A52=8),IF(OR(WEEKDAY('Daily Schedule'!$B$2,2)=1,WEEKDAY('Daily Schedule'!$B$2,2)=4,WEEKDAY('Daily Schedule'!$B$2,2)=5,WEEKDAY('Daily Schedule'!$B$2,2)=7),IFERROR(1*'Daily Workforce'!$K23&gt;=3,FALSE()),IFERROR(1*'Daily Workforce'!$K23&gt;=2,FALSE())),IF(AND('Daily Schedule'!$A52&gt;=46,'Daily Schedule'!$A52&lt;=52),'Daily Workforce'!$M23="Y",IFERROR(1*'Daily Workforce'!$P23&gt;=2,FALSE()))))),1,0)</f>
        <v>0</v>
      </c>
      <c r="AI48" s="1" t="n">
        <f aca="false">IF(AND('Daily Workforce'!$N24="Y",'Daily Workforce'!$B24&lt;&gt;"",COUNTIF('Daily Schedule'!$F$5:$F51,'Daily Workforce'!$B24)=0,IF('Daily Schedule'!$A52=45,'Daily Workforce'!$J24="Y",IF(OR('Daily Schedule'!$A52=4,'Daily Schedule'!$A52=8),IF(OR(WEEKDAY('Daily Schedule'!$B$2,2)=1,WEEKDAY('Daily Schedule'!$B$2,2)=4,WEEKDAY('Daily Schedule'!$B$2,2)=5,WEEKDAY('Daily Schedule'!$B$2,2)=7),IFERROR(1*'Daily Workforce'!$K24&gt;=3,FALSE()),IFERROR(1*'Daily Workforce'!$K24&gt;=2,FALSE())),IF(AND('Daily Schedule'!$A52&gt;=46,'Daily Schedule'!$A52&lt;=52),'Daily Workforce'!$M24="Y",IFERROR(1*'Daily Workforce'!$P24&gt;=2,FALSE()))))),1,0)</f>
        <v>0</v>
      </c>
      <c r="AJ48" s="1" t="n">
        <f aca="false">IF(AND('Daily Workforce'!$N25="Y",'Daily Workforce'!$B25&lt;&gt;"",COUNTIF('Daily Schedule'!$F$5:$F51,'Daily Workforce'!$B25)=0,IF('Daily Schedule'!$A52=45,'Daily Workforce'!$J25="Y",IF(OR('Daily Schedule'!$A52=4,'Daily Schedule'!$A52=8),IF(OR(WEEKDAY('Daily Schedule'!$B$2,2)=1,WEEKDAY('Daily Schedule'!$B$2,2)=4,WEEKDAY('Daily Schedule'!$B$2,2)=5,WEEKDAY('Daily Schedule'!$B$2,2)=7),IFERROR(1*'Daily Workforce'!$K25&gt;=3,FALSE()),IFERROR(1*'Daily Workforce'!$K25&gt;=2,FALSE())),IF(AND('Daily Schedule'!$A52&gt;=46,'Daily Schedule'!$A52&lt;=52),'Daily Workforce'!$M25="Y",IFERROR(1*'Daily Workforce'!$P25&gt;=2,FALSE()))))),1,0)</f>
        <v>0</v>
      </c>
      <c r="AK48" s="1" t="n">
        <f aca="false">IF(AND('Daily Workforce'!$N26="Y",'Daily Workforce'!$B26&lt;&gt;"",COUNTIF('Daily Schedule'!$F$5:$F51,'Daily Workforce'!$B26)=0,IF('Daily Schedule'!$A52=45,'Daily Workforce'!$J26="Y",IF(OR('Daily Schedule'!$A52=4,'Daily Schedule'!$A52=8),IF(OR(WEEKDAY('Daily Schedule'!$B$2,2)=1,WEEKDAY('Daily Schedule'!$B$2,2)=4,WEEKDAY('Daily Schedule'!$B$2,2)=5,WEEKDAY('Daily Schedule'!$B$2,2)=7),IFERROR(1*'Daily Workforce'!$K26&gt;=3,FALSE()),IFERROR(1*'Daily Workforce'!$K26&gt;=2,FALSE())),IF(AND('Daily Schedule'!$A52&gt;=46,'Daily Schedule'!$A52&lt;=52),'Daily Workforce'!$M26="Y",IFERROR(1*'Daily Workforce'!$P26&gt;=2,FALSE()))))),1,0)</f>
        <v>0</v>
      </c>
      <c r="AL48" s="1" t="n">
        <f aca="false">IF(AND('Daily Workforce'!$N27="Y",'Daily Workforce'!$B27&lt;&gt;"",COUNTIF('Daily Schedule'!$F$5:$F51,'Daily Workforce'!$B27)=0,IF('Daily Schedule'!$A52=45,'Daily Workforce'!$J27="Y",IF(OR('Daily Schedule'!$A52=4,'Daily Schedule'!$A52=8),IF(OR(WEEKDAY('Daily Schedule'!$B$2,2)=1,WEEKDAY('Daily Schedule'!$B$2,2)=4,WEEKDAY('Daily Schedule'!$B$2,2)=5,WEEKDAY('Daily Schedule'!$B$2,2)=7),IFERROR(1*'Daily Workforce'!$K27&gt;=3,FALSE()),IFERROR(1*'Daily Workforce'!$K27&gt;=2,FALSE())),IF(AND('Daily Schedule'!$A52&gt;=46,'Daily Schedule'!$A52&lt;=52),'Daily Workforce'!$M27="Y",IFERROR(1*'Daily Workforce'!$P27&gt;=2,FALSE()))))),1,0)</f>
        <v>0</v>
      </c>
      <c r="AM48" s="1" t="n">
        <f aca="false">IF(AND('Daily Workforce'!$N28="Y",'Daily Workforce'!$B28&lt;&gt;"",COUNTIF('Daily Schedule'!$F$5:$F51,'Daily Workforce'!$B28)=0,IF('Daily Schedule'!$A52=45,'Daily Workforce'!$J28="Y",IF(OR('Daily Schedule'!$A52=4,'Daily Schedule'!$A52=8),IF(OR(WEEKDAY('Daily Schedule'!$B$2,2)=1,WEEKDAY('Daily Schedule'!$B$2,2)=4,WEEKDAY('Daily Schedule'!$B$2,2)=5,WEEKDAY('Daily Schedule'!$B$2,2)=7),IFERROR(1*'Daily Workforce'!$K28&gt;=3,FALSE()),IFERROR(1*'Daily Workforce'!$K28&gt;=2,FALSE())),IF(AND('Daily Schedule'!$A52&gt;=46,'Daily Schedule'!$A52&lt;=52),'Daily Workforce'!$M28="Y",IFERROR(1*'Daily Workforce'!$P28&gt;=2,FALSE()))))),1,0)</f>
        <v>0</v>
      </c>
      <c r="AN48" s="1" t="n">
        <f aca="false">IF(AND('Daily Workforce'!$N29="Y",'Daily Workforce'!$B29&lt;&gt;"",COUNTIF('Daily Schedule'!$F$5:$F51,'Daily Workforce'!$B29)=0,IF('Daily Schedule'!$A52=45,'Daily Workforce'!$J29="Y",IF(OR('Daily Schedule'!$A52=4,'Daily Schedule'!$A52=8),IF(OR(WEEKDAY('Daily Schedule'!$B$2,2)=1,WEEKDAY('Daily Schedule'!$B$2,2)=4,WEEKDAY('Daily Schedule'!$B$2,2)=5,WEEKDAY('Daily Schedule'!$B$2,2)=7),IFERROR(1*'Daily Workforce'!$K29&gt;=3,FALSE()),IFERROR(1*'Daily Workforce'!$K29&gt;=2,FALSE())),IF(AND('Daily Schedule'!$A52&gt;=46,'Daily Schedule'!$A52&lt;=52),'Daily Workforce'!$M29="Y",IFERROR(1*'Daily Workforce'!$P29&gt;=2,FALSE()))))),1,0)</f>
        <v>0</v>
      </c>
      <c r="AO48" s="1" t="n">
        <f aca="false">IF(AND('Daily Workforce'!$N30="Y",'Daily Workforce'!$B30&lt;&gt;"",COUNTIF('Daily Schedule'!$F$5:$F51,'Daily Workforce'!$B30)=0,IF('Daily Schedule'!$A52=45,'Daily Workforce'!$J30="Y",IF(OR('Daily Schedule'!$A52=4,'Daily Schedule'!$A52=8),IF(OR(WEEKDAY('Daily Schedule'!$B$2,2)=1,WEEKDAY('Daily Schedule'!$B$2,2)=4,WEEKDAY('Daily Schedule'!$B$2,2)=5,WEEKDAY('Daily Schedule'!$B$2,2)=7),IFERROR(1*'Daily Workforce'!$K30&gt;=3,FALSE()),IFERROR(1*'Daily Workforce'!$K30&gt;=2,FALSE())),IF(AND('Daily Schedule'!$A52&gt;=46,'Daily Schedule'!$A52&lt;=52),'Daily Workforce'!$M30="Y",IFERROR(1*'Daily Workforce'!$P30&gt;=2,FALSE()))))),1,0)</f>
        <v>0</v>
      </c>
      <c r="AP48" s="1" t="n">
        <f aca="false">IF(AND('Daily Workforce'!$N31="Y",'Daily Workforce'!$B31&lt;&gt;"",COUNTIF('Daily Schedule'!$F$5:$F51,'Daily Workforce'!$B31)=0,IF('Daily Schedule'!$A52=45,'Daily Workforce'!$J31="Y",IF(OR('Daily Schedule'!$A52=4,'Daily Schedule'!$A52=8),IF(OR(WEEKDAY('Daily Schedule'!$B$2,2)=1,WEEKDAY('Daily Schedule'!$B$2,2)=4,WEEKDAY('Daily Schedule'!$B$2,2)=5,WEEKDAY('Daily Schedule'!$B$2,2)=7),IFERROR(1*'Daily Workforce'!$K31&gt;=3,FALSE()),IFERROR(1*'Daily Workforce'!$K31&gt;=2,FALSE())),IF(AND('Daily Schedule'!$A52&gt;=46,'Daily Schedule'!$A52&lt;=52),'Daily Workforce'!$M31="Y",IFERROR(1*'Daily Workforce'!$P31&gt;=2,FALSE()))))),1,0)</f>
        <v>0</v>
      </c>
      <c r="AQ48" s="1" t="n">
        <f aca="false">IF(AND('Daily Workforce'!$N32="Y",'Daily Workforce'!$B32&lt;&gt;"",COUNTIF('Daily Schedule'!$F$5:$F51,'Daily Workforce'!$B32)=0,IF('Daily Schedule'!$A52=45,'Daily Workforce'!$J32="Y",IF(OR('Daily Schedule'!$A52=4,'Daily Schedule'!$A52=8),IF(OR(WEEKDAY('Daily Schedule'!$B$2,2)=1,WEEKDAY('Daily Schedule'!$B$2,2)=4,WEEKDAY('Daily Schedule'!$B$2,2)=5,WEEKDAY('Daily Schedule'!$B$2,2)=7),IFERROR(1*'Daily Workforce'!$K32&gt;=3,FALSE()),IFERROR(1*'Daily Workforce'!$K32&gt;=2,FALSE())),IF(AND('Daily Schedule'!$A52&gt;=46,'Daily Schedule'!$A52&lt;=52),'Daily Workforce'!$M32="Y",IFERROR(1*'Daily Workforce'!$P32&gt;=2,FALSE()))))),1,0)</f>
        <v>0</v>
      </c>
      <c r="AR48" s="1" t="n">
        <f aca="false">IF(AND('Daily Workforce'!$N33="Y",'Daily Workforce'!$B33&lt;&gt;"",COUNTIF('Daily Schedule'!$F$5:$F51,'Daily Workforce'!$B33)=0,IF('Daily Schedule'!$A52=45,'Daily Workforce'!$J33="Y",IF(OR('Daily Schedule'!$A52=4,'Daily Schedule'!$A52=8),IF(OR(WEEKDAY('Daily Schedule'!$B$2,2)=1,WEEKDAY('Daily Schedule'!$B$2,2)=4,WEEKDAY('Daily Schedule'!$B$2,2)=5,WEEKDAY('Daily Schedule'!$B$2,2)=7),IFERROR(1*'Daily Workforce'!$K33&gt;=3,FALSE()),IFERROR(1*'Daily Workforce'!$K33&gt;=2,FALSE())),IF(AND('Daily Schedule'!$A52&gt;=46,'Daily Schedule'!$A52&lt;=52),'Daily Workforce'!$M33="Y",IFERROR(1*'Daily Workforce'!$P33&gt;=2,FALSE()))))),1,0)</f>
        <v>0</v>
      </c>
      <c r="AS48" s="1" t="n">
        <f aca="false">IF(AND('Daily Workforce'!$N34="Y",'Daily Workforce'!$B34&lt;&gt;"",COUNTIF('Daily Schedule'!$F$5:$F51,'Daily Workforce'!$B34)=0,IF('Daily Schedule'!$A52=45,'Daily Workforce'!$J34="Y",IF(OR('Daily Schedule'!$A52=4,'Daily Schedule'!$A52=8),IF(OR(WEEKDAY('Daily Schedule'!$B$2,2)=1,WEEKDAY('Daily Schedule'!$B$2,2)=4,WEEKDAY('Daily Schedule'!$B$2,2)=5,WEEKDAY('Daily Schedule'!$B$2,2)=7),IFERROR(1*'Daily Workforce'!$K34&gt;=3,FALSE()),IFERROR(1*'Daily Workforce'!$K34&gt;=2,FALSE())),IF(AND('Daily Schedule'!$A52&gt;=46,'Daily Schedule'!$A52&lt;=52),'Daily Workforce'!$M34="Y",IFERROR(1*'Daily Workforce'!$P34&gt;=2,FALSE()))))),1,0)</f>
        <v>0</v>
      </c>
      <c r="AT48" s="1" t="n">
        <f aca="false">IF(AND('Daily Workforce'!$N35="Y",'Daily Workforce'!$B35&lt;&gt;"",COUNTIF('Daily Schedule'!$F$5:$F51,'Daily Workforce'!$B35)=0,IF('Daily Schedule'!$A52=45,'Daily Workforce'!$J35="Y",IF(OR('Daily Schedule'!$A52=4,'Daily Schedule'!$A52=8),IF(OR(WEEKDAY('Daily Schedule'!$B$2,2)=1,WEEKDAY('Daily Schedule'!$B$2,2)=4,WEEKDAY('Daily Schedule'!$B$2,2)=5,WEEKDAY('Daily Schedule'!$B$2,2)=7),IFERROR(1*'Daily Workforce'!$K35&gt;=3,FALSE()),IFERROR(1*'Daily Workforce'!$K35&gt;=2,FALSE())),IF(AND('Daily Schedule'!$A52&gt;=46,'Daily Schedule'!$A52&lt;=52),'Daily Workforce'!$M35="Y",IFERROR(1*'Daily Workforce'!$P35&gt;=2,FALSE()))))),1,0)</f>
        <v>0</v>
      </c>
      <c r="AU48" s="1" t="n">
        <f aca="false">IF(AND('Daily Workforce'!$N36="Y",'Daily Workforce'!$B36&lt;&gt;"",COUNTIF('Daily Schedule'!$F$5:$F51,'Daily Workforce'!$B36)=0,IF('Daily Schedule'!$A52=45,'Daily Workforce'!$J36="Y",IF(OR('Daily Schedule'!$A52=4,'Daily Schedule'!$A52=8),IF(OR(WEEKDAY('Daily Schedule'!$B$2,2)=1,WEEKDAY('Daily Schedule'!$B$2,2)=4,WEEKDAY('Daily Schedule'!$B$2,2)=5,WEEKDAY('Daily Schedule'!$B$2,2)=7),IFERROR(1*'Daily Workforce'!$K36&gt;=3,FALSE()),IFERROR(1*'Daily Workforce'!$K36&gt;=2,FALSE())),IF(AND('Daily Schedule'!$A52&gt;=46,'Daily Schedule'!$A52&lt;=52),'Daily Workforce'!$M36="Y",IFERROR(1*'Daily Workforce'!$P36&gt;=2,FALSE()))))),1,0)</f>
        <v>0</v>
      </c>
      <c r="AV48" s="1" t="n">
        <f aca="false">IF(AND('Daily Workforce'!$N37="Y",'Daily Workforce'!$B37&lt;&gt;"",COUNTIF('Daily Schedule'!$F$5:$F51,'Daily Workforce'!$B37)=0,IF('Daily Schedule'!$A52=45,'Daily Workforce'!$J37="Y",IF(OR('Daily Schedule'!$A52=4,'Daily Schedule'!$A52=8),IF(OR(WEEKDAY('Daily Schedule'!$B$2,2)=1,WEEKDAY('Daily Schedule'!$B$2,2)=4,WEEKDAY('Daily Schedule'!$B$2,2)=5,WEEKDAY('Daily Schedule'!$B$2,2)=7),IFERROR(1*'Daily Workforce'!$K37&gt;=3,FALSE()),IFERROR(1*'Daily Workforce'!$K37&gt;=2,FALSE())),IF(AND('Daily Schedule'!$A52&gt;=46,'Daily Schedule'!$A52&lt;=52),'Daily Workforce'!$M37="Y",IFERROR(1*'Daily Workforce'!$P37&gt;=2,FALSE()))))),1,0)</f>
        <v>0</v>
      </c>
      <c r="AW48" s="1" t="n">
        <f aca="false">IF(AND('Daily Workforce'!$N38="Y",'Daily Workforce'!$B38&lt;&gt;"",COUNTIF('Daily Schedule'!$F$5:$F51,'Daily Workforce'!$B38)=0,IF('Daily Schedule'!$A52=45,'Daily Workforce'!$J38="Y",IF(OR('Daily Schedule'!$A52=4,'Daily Schedule'!$A52=8),IF(OR(WEEKDAY('Daily Schedule'!$B$2,2)=1,WEEKDAY('Daily Schedule'!$B$2,2)=4,WEEKDAY('Daily Schedule'!$B$2,2)=5,WEEKDAY('Daily Schedule'!$B$2,2)=7),IFERROR(1*'Daily Workforce'!$K38&gt;=3,FALSE()),IFERROR(1*'Daily Workforce'!$K38&gt;=2,FALSE())),IF(AND('Daily Schedule'!$A52&gt;=46,'Daily Schedule'!$A52&lt;=52),'Daily Workforce'!$M38="Y",IFERROR(1*'Daily Workforce'!$P38&gt;=2,FALSE()))))),1,0)</f>
        <v>0</v>
      </c>
      <c r="AX48" s="1" t="n">
        <f aca="false">IF(AND('Daily Workforce'!$N39="Y",'Daily Workforce'!$B39&lt;&gt;"",COUNTIF('Daily Schedule'!$F$5:$F51,'Daily Workforce'!$B39)=0,IF('Daily Schedule'!$A52=45,'Daily Workforce'!$J39="Y",IF(OR('Daily Schedule'!$A52=4,'Daily Schedule'!$A52=8),IF(OR(WEEKDAY('Daily Schedule'!$B$2,2)=1,WEEKDAY('Daily Schedule'!$B$2,2)=4,WEEKDAY('Daily Schedule'!$B$2,2)=5,WEEKDAY('Daily Schedule'!$B$2,2)=7),IFERROR(1*'Daily Workforce'!$K39&gt;=3,FALSE()),IFERROR(1*'Daily Workforce'!$K39&gt;=2,FALSE())),IF(AND('Daily Schedule'!$A52&gt;=46,'Daily Schedule'!$A52&lt;=52),'Daily Workforce'!$M39="Y",IFERROR(1*'Daily Workforce'!$P39&gt;=2,FALSE()))))),1,0)</f>
        <v>0</v>
      </c>
      <c r="AY48" s="1" t="n">
        <f aca="false">IF(AND('Daily Workforce'!$N40="Y",'Daily Workforce'!$B40&lt;&gt;"",COUNTIF('Daily Schedule'!$F$5:$F51,'Daily Workforce'!$B40)=0,IF('Daily Schedule'!$A52=45,'Daily Workforce'!$J40="Y",IF(OR('Daily Schedule'!$A52=4,'Daily Schedule'!$A52=8),IF(OR(WEEKDAY('Daily Schedule'!$B$2,2)=1,WEEKDAY('Daily Schedule'!$B$2,2)=4,WEEKDAY('Daily Schedule'!$B$2,2)=5,WEEKDAY('Daily Schedule'!$B$2,2)=7),IFERROR(1*'Daily Workforce'!$K40&gt;=3,FALSE()),IFERROR(1*'Daily Workforce'!$K40&gt;=2,FALSE())),IF(AND('Daily Schedule'!$A52&gt;=46,'Daily Schedule'!$A52&lt;=52),'Daily Workforce'!$M40="Y",IFERROR(1*'Daily Workforce'!$P40&gt;=2,FALSE()))))),1,0)</f>
        <v>0</v>
      </c>
      <c r="AZ48" s="1" t="n">
        <f aca="false">IF(AND('Daily Workforce'!$N41="Y",'Daily Workforce'!$B41&lt;&gt;"",COUNTIF('Daily Schedule'!$F$5:$F51,'Daily Workforce'!$B41)=0,IF('Daily Schedule'!$A52=45,'Daily Workforce'!$J41="Y",IF(OR('Daily Schedule'!$A52=4,'Daily Schedule'!$A52=8),IF(OR(WEEKDAY('Daily Schedule'!$B$2,2)=1,WEEKDAY('Daily Schedule'!$B$2,2)=4,WEEKDAY('Daily Schedule'!$B$2,2)=5,WEEKDAY('Daily Schedule'!$B$2,2)=7),IFERROR(1*'Daily Workforce'!$K41&gt;=3,FALSE()),IFERROR(1*'Daily Workforce'!$K41&gt;=2,FALSE())),IF(AND('Daily Schedule'!$A52&gt;=46,'Daily Schedule'!$A52&lt;=52),'Daily Workforce'!$M41="Y",IFERROR(1*'Daily Workforce'!$P41&gt;=2,FALSE()))))),1,0)</f>
        <v>0</v>
      </c>
      <c r="BA48" s="1" t="n">
        <f aca="false">IF(AND('Daily Workforce'!$N42="Y",'Daily Workforce'!$B42&lt;&gt;"",COUNTIF('Daily Schedule'!$F$5:$F51,'Daily Workforce'!$B42)=0,IF('Daily Schedule'!$A52=45,'Daily Workforce'!$J42="Y",IF(OR('Daily Schedule'!$A52=4,'Daily Schedule'!$A52=8),IF(OR(WEEKDAY('Daily Schedule'!$B$2,2)=1,WEEKDAY('Daily Schedule'!$B$2,2)=4,WEEKDAY('Daily Schedule'!$B$2,2)=5,WEEKDAY('Daily Schedule'!$B$2,2)=7),IFERROR(1*'Daily Workforce'!$K42&gt;=3,FALSE()),IFERROR(1*'Daily Workforce'!$K42&gt;=2,FALSE())),IF(AND('Daily Schedule'!$A52&gt;=46,'Daily Schedule'!$A52&lt;=52),'Daily Workforce'!$M42="Y",IFERROR(1*'Daily Workforce'!$P42&gt;=2,FALSE()))))),1,0)</f>
        <v>0</v>
      </c>
      <c r="BB48" s="1" t="n">
        <f aca="false">IF(AND('Daily Workforce'!$N43="Y",'Daily Workforce'!$B43&lt;&gt;"",COUNTIF('Daily Schedule'!$F$5:$F51,'Daily Workforce'!$B43)=0,IF('Daily Schedule'!$A52=45,'Daily Workforce'!$J43="Y",IF(OR('Daily Schedule'!$A52=4,'Daily Schedule'!$A52=8),IF(OR(WEEKDAY('Daily Schedule'!$B$2,2)=1,WEEKDAY('Daily Schedule'!$B$2,2)=4,WEEKDAY('Daily Schedule'!$B$2,2)=5,WEEKDAY('Daily Schedule'!$B$2,2)=7),IFERROR(1*'Daily Workforce'!$K43&gt;=3,FALSE()),IFERROR(1*'Daily Workforce'!$K43&gt;=2,FALSE())),IF(AND('Daily Schedule'!$A52&gt;=46,'Daily Schedule'!$A52&lt;=52),'Daily Workforce'!$M43="Y",IFERROR(1*'Daily Workforce'!$P43&gt;=2,FALSE()))))),1,0)</f>
        <v>0</v>
      </c>
      <c r="BC48" s="1" t="n">
        <f aca="false">IF(AND('Daily Workforce'!$N44="Y",'Daily Workforce'!$B44&lt;&gt;"",COUNTIF('Daily Schedule'!$F$5:$F51,'Daily Workforce'!$B44)=0,IF('Daily Schedule'!$A52=45,'Daily Workforce'!$J44="Y",IF(OR('Daily Schedule'!$A52=4,'Daily Schedule'!$A52=8),IF(OR(WEEKDAY('Daily Schedule'!$B$2,2)=1,WEEKDAY('Daily Schedule'!$B$2,2)=4,WEEKDAY('Daily Schedule'!$B$2,2)=5,WEEKDAY('Daily Schedule'!$B$2,2)=7),IFERROR(1*'Daily Workforce'!$K44&gt;=3,FALSE()),IFERROR(1*'Daily Workforce'!$K44&gt;=2,FALSE())),IF(AND('Daily Schedule'!$A52&gt;=46,'Daily Schedule'!$A52&lt;=52),'Daily Workforce'!$M44="Y",IFERROR(1*'Daily Workforce'!$P44&gt;=2,FALSE()))))),1,0)</f>
        <v>0</v>
      </c>
      <c r="BD48" s="1" t="n">
        <f aca="false">IF(AND('Daily Workforce'!$N45="Y",'Daily Workforce'!$B45&lt;&gt;"",COUNTIF('Daily Schedule'!$F$5:$F51,'Daily Workforce'!$B45)=0,IF('Daily Schedule'!$A52=45,'Daily Workforce'!$J45="Y",IF(OR('Daily Schedule'!$A52=4,'Daily Schedule'!$A52=8),IF(OR(WEEKDAY('Daily Schedule'!$B$2,2)=1,WEEKDAY('Daily Schedule'!$B$2,2)=4,WEEKDAY('Daily Schedule'!$B$2,2)=5,WEEKDAY('Daily Schedule'!$B$2,2)=7),IFERROR(1*'Daily Workforce'!$K45&gt;=3,FALSE()),IFERROR(1*'Daily Workforce'!$K45&gt;=2,FALSE())),IF(AND('Daily Schedule'!$A52&gt;=46,'Daily Schedule'!$A52&lt;=52),'Daily Workforce'!$M45="Y",IFERROR(1*'Daily Workforce'!$P45&gt;=2,FALSE()))))),1,0)</f>
        <v>0</v>
      </c>
      <c r="BE48" s="1" t="n">
        <f aca="false">IF(AND('Daily Workforce'!$N46="Y",'Daily Workforce'!$B46&lt;&gt;"",COUNTIF('Daily Schedule'!$F$5:$F51,'Daily Workforce'!$B46)=0,IF('Daily Schedule'!$A52=45,'Daily Workforce'!$J46="Y",IF(OR('Daily Schedule'!$A52=4,'Daily Schedule'!$A52=8),IF(OR(WEEKDAY('Daily Schedule'!$B$2,2)=1,WEEKDAY('Daily Schedule'!$B$2,2)=4,WEEKDAY('Daily Schedule'!$B$2,2)=5,WEEKDAY('Daily Schedule'!$B$2,2)=7),IFERROR(1*'Daily Workforce'!$K46&gt;=3,FALSE()),IFERROR(1*'Daily Workforce'!$K46&gt;=2,FALSE())),IF(AND('Daily Schedule'!$A52&gt;=46,'Daily Schedule'!$A52&lt;=52),'Daily Workforce'!$M46="Y",IFERROR(1*'Daily Workforce'!$P46&gt;=2,FALSE()))))),1,0)</f>
        <v>0</v>
      </c>
      <c r="BF48" s="1" t="n">
        <f aca="false">IF(AND('Daily Workforce'!$N47="Y",'Daily Workforce'!$B47&lt;&gt;"",COUNTIF('Daily Schedule'!$F$5:$F51,'Daily Workforce'!$B47)=0,IF('Daily Schedule'!$A52=45,'Daily Workforce'!$J47="Y",IF(OR('Daily Schedule'!$A52=4,'Daily Schedule'!$A52=8),IF(OR(WEEKDAY('Daily Schedule'!$B$2,2)=1,WEEKDAY('Daily Schedule'!$B$2,2)=4,WEEKDAY('Daily Schedule'!$B$2,2)=5,WEEKDAY('Daily Schedule'!$B$2,2)=7),IFERROR(1*'Daily Workforce'!$K47&gt;=3,FALSE()),IFERROR(1*'Daily Workforce'!$K47&gt;=2,FALSE())),IF(AND('Daily Schedule'!$A52&gt;=46,'Daily Schedule'!$A52&lt;=52),'Daily Workforce'!$M47="Y",IFERROR(1*'Daily Workforce'!$P47&gt;=2,FALSE()))))),1,0)</f>
        <v>0</v>
      </c>
      <c r="BG48" s="1" t="n">
        <f aca="false">IF(AND('Daily Workforce'!$N48="Y",'Daily Workforce'!$B48&lt;&gt;"",COUNTIF('Daily Schedule'!$F$5:$F51,'Daily Workforce'!$B48)=0,IF('Daily Schedule'!$A52=45,'Daily Workforce'!$J48="Y",IF(OR('Daily Schedule'!$A52=4,'Daily Schedule'!$A52=8),IF(OR(WEEKDAY('Daily Schedule'!$B$2,2)=1,WEEKDAY('Daily Schedule'!$B$2,2)=4,WEEKDAY('Daily Schedule'!$B$2,2)=5,WEEKDAY('Daily Schedule'!$B$2,2)=7),IFERROR(1*'Daily Workforce'!$K48&gt;=3,FALSE()),IFERROR(1*'Daily Workforce'!$K48&gt;=2,FALSE())),IF(AND('Daily Schedule'!$A52&gt;=46,'Daily Schedule'!$A52&lt;=52),'Daily Workforce'!$M48="Y",IFERROR(1*'Daily Workforce'!$P48&gt;=2,FALSE()))))),1,0)</f>
        <v>0</v>
      </c>
      <c r="BH48" s="1" t="n">
        <f aca="false">IF(AND('Daily Workforce'!$N49="Y",'Daily Workforce'!$B49&lt;&gt;"",COUNTIF('Daily Schedule'!$F$5:$F51,'Daily Workforce'!$B49)=0,IF('Daily Schedule'!$A52=45,'Daily Workforce'!$J49="Y",IF(OR('Daily Schedule'!$A52=4,'Daily Schedule'!$A52=8),IF(OR(WEEKDAY('Daily Schedule'!$B$2,2)=1,WEEKDAY('Daily Schedule'!$B$2,2)=4,WEEKDAY('Daily Schedule'!$B$2,2)=5,WEEKDAY('Daily Schedule'!$B$2,2)=7),IFERROR(1*'Daily Workforce'!$K49&gt;=3,FALSE()),IFERROR(1*'Daily Workforce'!$K49&gt;=2,FALSE())),IF(AND('Daily Schedule'!$A52&gt;=46,'Daily Schedule'!$A52&lt;=52),'Daily Workforce'!$M49="Y",IFERROR(1*'Daily Workforce'!$P49&gt;=2,FALSE()))))),1,0)</f>
        <v>0</v>
      </c>
      <c r="BI48" s="1" t="n">
        <f aca="false">IF(AND('Daily Workforce'!$N50="Y",'Daily Workforce'!$B50&lt;&gt;"",COUNTIF('Daily Schedule'!$F$5:$F51,'Daily Workforce'!$B50)=0,IF('Daily Schedule'!$A52=45,'Daily Workforce'!$J50="Y",IF(OR('Daily Schedule'!$A52=4,'Daily Schedule'!$A52=8),IF(OR(WEEKDAY('Daily Schedule'!$B$2,2)=1,WEEKDAY('Daily Schedule'!$B$2,2)=4,WEEKDAY('Daily Schedule'!$B$2,2)=5,WEEKDAY('Daily Schedule'!$B$2,2)=7),IFERROR(1*'Daily Workforce'!$K50&gt;=3,FALSE()),IFERROR(1*'Daily Workforce'!$K50&gt;=2,FALSE())),IF(AND('Daily Schedule'!$A52&gt;=46,'Daily Schedule'!$A52&lt;=52),'Daily Workforce'!$M50="Y",IFERROR(1*'Daily Workforce'!$P50&gt;=2,FALSE()))))),1,0)</f>
        <v>0</v>
      </c>
      <c r="BJ48" s="1" t="n">
        <f aca="false">IF(AND('Daily Workforce'!$N51="Y",'Daily Workforce'!$B51&lt;&gt;"",COUNTIF('Daily Schedule'!$F$5:$F51,'Daily Workforce'!$B51)=0,IF('Daily Schedule'!$A52=45,'Daily Workforce'!$J51="Y",IF(OR('Daily Schedule'!$A52=4,'Daily Schedule'!$A52=8),IF(OR(WEEKDAY('Daily Schedule'!$B$2,2)=1,WEEKDAY('Daily Schedule'!$B$2,2)=4,WEEKDAY('Daily Schedule'!$B$2,2)=5,WEEKDAY('Daily Schedule'!$B$2,2)=7),IFERROR(1*'Daily Workforce'!$K51&gt;=3,FALSE()),IFERROR(1*'Daily Workforce'!$K51&gt;=2,FALSE())),IF(AND('Daily Schedule'!$A52&gt;=46,'Daily Schedule'!$A52&lt;=52),'Daily Workforce'!$M51="Y",IFERROR(1*'Daily Workforce'!$P51&gt;=2,FALSE()))))),1,0)</f>
        <v>0</v>
      </c>
      <c r="BK48" s="1" t="n">
        <f aca="false">IF(AND('Daily Workforce'!$N52="Y",'Daily Workforce'!$B52&lt;&gt;"",COUNTIF('Daily Schedule'!$F$5:$F51,'Daily Workforce'!$B52)=0,IF('Daily Schedule'!$A52=45,'Daily Workforce'!$J52="Y",IF(OR('Daily Schedule'!$A52=4,'Daily Schedule'!$A52=8),IF(OR(WEEKDAY('Daily Schedule'!$B$2,2)=1,WEEKDAY('Daily Schedule'!$B$2,2)=4,WEEKDAY('Daily Schedule'!$B$2,2)=5,WEEKDAY('Daily Schedule'!$B$2,2)=7),IFERROR(1*'Daily Workforce'!$K52&gt;=3,FALSE()),IFERROR(1*'Daily Workforce'!$K52&gt;=2,FALSE())),IF(AND('Daily Schedule'!$A52&gt;=46,'Daily Schedule'!$A52&lt;=52),'Daily Workforce'!$M52="Y",IFERROR(1*'Daily Workforce'!$P52&gt;=2,FALSE()))))),1,0)</f>
        <v>0</v>
      </c>
      <c r="BL48" s="1" t="n">
        <f aca="false">IF(AND('Daily Workforce'!$N53="Y",'Daily Workforce'!$B53&lt;&gt;"",COUNTIF('Daily Schedule'!$F$5:$F51,'Daily Workforce'!$B53)=0,IF('Daily Schedule'!$A52=45,'Daily Workforce'!$J53="Y",IF(OR('Daily Schedule'!$A52=4,'Daily Schedule'!$A52=8),IF(OR(WEEKDAY('Daily Schedule'!$B$2,2)=1,WEEKDAY('Daily Schedule'!$B$2,2)=4,WEEKDAY('Daily Schedule'!$B$2,2)=5,WEEKDAY('Daily Schedule'!$B$2,2)=7),IFERROR(1*'Daily Workforce'!$K53&gt;=3,FALSE()),IFERROR(1*'Daily Workforce'!$K53&gt;=2,FALSE())),IF(AND('Daily Schedule'!$A52&gt;=46,'Daily Schedule'!$A52&lt;=52),'Daily Workforce'!$M53="Y",IFERROR(1*'Daily Workforce'!$P53&gt;=2,FALSE()))))),1,0)</f>
        <v>1</v>
      </c>
      <c r="BM48" s="1" t="n">
        <f aca="false">IF(AND('Daily Workforce'!$N54="Y",'Daily Workforce'!$B54&lt;&gt;"",COUNTIF('Daily Schedule'!$F$5:$F51,'Daily Workforce'!$B54)=0,IF('Daily Schedule'!$A52=45,'Daily Workforce'!$J54="Y",IF(OR('Daily Schedule'!$A52=4,'Daily Schedule'!$A52=8),IF(OR(WEEKDAY('Daily Schedule'!$B$2,2)=1,WEEKDAY('Daily Schedule'!$B$2,2)=4,WEEKDAY('Daily Schedule'!$B$2,2)=5,WEEKDAY('Daily Schedule'!$B$2,2)=7),IFERROR(1*'Daily Workforce'!$K54&gt;=3,FALSE()),IFERROR(1*'Daily Workforce'!$K54&gt;=2,FALSE())),IF(AND('Daily Schedule'!$A52&gt;=46,'Daily Schedule'!$A52&lt;=52),'Daily Workforce'!$M54="Y",IFERROR(1*'Daily Workforce'!$P54&gt;=2,FALSE()))))),1,0)</f>
        <v>1</v>
      </c>
      <c r="BN48" s="1" t="n">
        <f aca="false">IF(AND('Daily Workforce'!$N55="Y",'Daily Workforce'!$B55&lt;&gt;"",COUNTIF('Daily Schedule'!$F$5:$F51,'Daily Workforce'!$B55)=0,IF('Daily Schedule'!$A52=45,'Daily Workforce'!$J55="Y",IF(OR('Daily Schedule'!$A52=4,'Daily Schedule'!$A52=8),IF(OR(WEEKDAY('Daily Schedule'!$B$2,2)=1,WEEKDAY('Daily Schedule'!$B$2,2)=4,WEEKDAY('Daily Schedule'!$B$2,2)=5,WEEKDAY('Daily Schedule'!$B$2,2)=7),IFERROR(1*'Daily Workforce'!$K55&gt;=3,FALSE()),IFERROR(1*'Daily Workforce'!$K55&gt;=2,FALSE())),IF(AND('Daily Schedule'!$A52&gt;=46,'Daily Schedule'!$A52&lt;=52),'Daily Workforce'!$M55="Y",IFERROR(1*'Daily Workforce'!$P55&gt;=2,FALSE()))))),1,0)</f>
        <v>1</v>
      </c>
      <c r="BO48" s="1" t="n">
        <f aca="false">IF(AND('Daily Workforce'!$N56="Y",'Daily Workforce'!$B56&lt;&gt;"",COUNTIF('Daily Schedule'!$F$5:$F51,'Daily Workforce'!$B56)=0,IF('Daily Schedule'!$A52=45,'Daily Workforce'!$J56="Y",IF(OR('Daily Schedule'!$A52=4,'Daily Schedule'!$A52=8),IF(OR(WEEKDAY('Daily Schedule'!$B$2,2)=1,WEEKDAY('Daily Schedule'!$B$2,2)=4,WEEKDAY('Daily Schedule'!$B$2,2)=5,WEEKDAY('Daily Schedule'!$B$2,2)=7),IFERROR(1*'Daily Workforce'!$K56&gt;=3,FALSE()),IFERROR(1*'Daily Workforce'!$K56&gt;=2,FALSE())),IF(AND('Daily Schedule'!$A52&gt;=46,'Daily Schedule'!$A52&lt;=52),'Daily Workforce'!$M56="Y",IFERROR(1*'Daily Workforce'!$P56&gt;=2,FALSE()))))),1,0)</f>
        <v>1</v>
      </c>
      <c r="BP48" s="1" t="n">
        <f aca="false">IF(AND('Daily Workforce'!$N57="Y",'Daily Workforce'!$B57&lt;&gt;"",COUNTIF('Daily Schedule'!$F$5:$F51,'Daily Workforce'!$B57)=0,IF('Daily Schedule'!$A52=45,'Daily Workforce'!$J57="Y",IF(OR('Daily Schedule'!$A52=4,'Daily Schedule'!$A52=8),IF(OR(WEEKDAY('Daily Schedule'!$B$2,2)=1,WEEKDAY('Daily Schedule'!$B$2,2)=4,WEEKDAY('Daily Schedule'!$B$2,2)=5,WEEKDAY('Daily Schedule'!$B$2,2)=7),IFERROR(1*'Daily Workforce'!$K57&gt;=3,FALSE()),IFERROR(1*'Daily Workforce'!$K57&gt;=2,FALSE())),IF(AND('Daily Schedule'!$A52&gt;=46,'Daily Schedule'!$A52&lt;=52),'Daily Workforce'!$M57="Y",IFERROR(1*'Daily Workforce'!$P57&gt;=2,FALSE()))))),1,0)</f>
        <v>0</v>
      </c>
      <c r="BQ48" s="1" t="n">
        <f aca="false">IF(AND('Daily Workforce'!$N58="Y",'Daily Workforce'!$B58&lt;&gt;"",COUNTIF('Daily Schedule'!$F$5:$F51,'Daily Workforce'!$B58)=0,IF('Daily Schedule'!$A52=45,'Daily Workforce'!$J58="Y",IF(OR('Daily Schedule'!$A52=4,'Daily Schedule'!$A52=8),IF(OR(WEEKDAY('Daily Schedule'!$B$2,2)=1,WEEKDAY('Daily Schedule'!$B$2,2)=4,WEEKDAY('Daily Schedule'!$B$2,2)=5,WEEKDAY('Daily Schedule'!$B$2,2)=7),IFERROR(1*'Daily Workforce'!$K58&gt;=3,FALSE()),IFERROR(1*'Daily Workforce'!$K58&gt;=2,FALSE())),IF(AND('Daily Schedule'!$A52&gt;=46,'Daily Schedule'!$A52&lt;=52),'Daily Workforce'!$M58="Y",IFERROR(1*'Daily Workforce'!$P58&gt;=2,FALSE()))))),1,0)</f>
        <v>1</v>
      </c>
      <c r="BR48" s="1" t="n">
        <f aca="false">IF(AND('Daily Workforce'!$N59="Y",'Daily Workforce'!$B59&lt;&gt;"",COUNTIF('Daily Schedule'!$F$5:$F51,'Daily Workforce'!$B59)=0,IF('Daily Schedule'!$A52=45,'Daily Workforce'!$J59="Y",IF(OR('Daily Schedule'!$A52=4,'Daily Schedule'!$A52=8),IF(OR(WEEKDAY('Daily Schedule'!$B$2,2)=1,WEEKDAY('Daily Schedule'!$B$2,2)=4,WEEKDAY('Daily Schedule'!$B$2,2)=5,WEEKDAY('Daily Schedule'!$B$2,2)=7),IFERROR(1*'Daily Workforce'!$K59&gt;=3,FALSE()),IFERROR(1*'Daily Workforce'!$K59&gt;=2,FALSE())),IF(AND('Daily Schedule'!$A52&gt;=46,'Daily Schedule'!$A52&lt;=52),'Daily Workforce'!$M59="Y",IFERROR(1*'Daily Workforce'!$P59&gt;=2,FALSE()))))),1,0)</f>
        <v>1</v>
      </c>
      <c r="BS48" s="1" t="n">
        <f aca="false">IF(AND('Daily Workforce'!$N60="Y",'Daily Workforce'!$B60&lt;&gt;"",COUNTIF('Daily Schedule'!$F$5:$F51,'Daily Workforce'!$B60)=0,IF('Daily Schedule'!$A52=45,'Daily Workforce'!$J60="Y",IF(OR('Daily Schedule'!$A52=4,'Daily Schedule'!$A52=8),IF(OR(WEEKDAY('Daily Schedule'!$B$2,2)=1,WEEKDAY('Daily Schedule'!$B$2,2)=4,WEEKDAY('Daily Schedule'!$B$2,2)=5,WEEKDAY('Daily Schedule'!$B$2,2)=7),IFERROR(1*'Daily Workforce'!$K60&gt;=3,FALSE()),IFERROR(1*'Daily Workforce'!$K60&gt;=2,FALSE())),IF(AND('Daily Schedule'!$A52&gt;=46,'Daily Schedule'!$A52&lt;=52),'Daily Workforce'!$M60="Y",IFERROR(1*'Daily Workforce'!$P60&gt;=2,FALSE()))))),1,0)</f>
        <v>1</v>
      </c>
      <c r="BT48" s="1" t="n">
        <f aca="false">IF(AND('Daily Workforce'!$N61="Y",'Daily Workforce'!$B61&lt;&gt;"",COUNTIF('Daily Schedule'!$F$5:$F51,'Daily Workforce'!$B61)=0,IF('Daily Schedule'!$A52=45,'Daily Workforce'!$J61="Y",IF(OR('Daily Schedule'!$A52=4,'Daily Schedule'!$A52=8),IF(OR(WEEKDAY('Daily Schedule'!$B$2,2)=1,WEEKDAY('Daily Schedule'!$B$2,2)=4,WEEKDAY('Daily Schedule'!$B$2,2)=5,WEEKDAY('Daily Schedule'!$B$2,2)=7),IFERROR(1*'Daily Workforce'!$K61&gt;=3,FALSE()),IFERROR(1*'Daily Workforce'!$K61&gt;=2,FALSE())),IF(AND('Daily Schedule'!$A52&gt;=46,'Daily Schedule'!$A52&lt;=52),'Daily Workforce'!$M61="Y",IFERROR(1*'Daily Workforce'!$P61&gt;=2,FALSE()))))),1,0)</f>
        <v>0</v>
      </c>
      <c r="BU48" s="1" t="n">
        <f aca="false">IF(AND('Daily Workforce'!$N62="Y",'Daily Workforce'!$B62&lt;&gt;"",COUNTIF('Daily Schedule'!$F$5:$F51,'Daily Workforce'!$B62)=0,IF('Daily Schedule'!$A52=45,'Daily Workforce'!$J62="Y",IF(OR('Daily Schedule'!$A52=4,'Daily Schedule'!$A52=8),IF(OR(WEEKDAY('Daily Schedule'!$B$2,2)=1,WEEKDAY('Daily Schedule'!$B$2,2)=4,WEEKDAY('Daily Schedule'!$B$2,2)=5,WEEKDAY('Daily Schedule'!$B$2,2)=7),IFERROR(1*'Daily Workforce'!$K62&gt;=3,FALSE()),IFERROR(1*'Daily Workforce'!$K62&gt;=2,FALSE())),IF(AND('Daily Schedule'!$A52&gt;=46,'Daily Schedule'!$A52&lt;=52),'Daily Workforce'!$M62="Y",IFERROR(1*'Daily Workforce'!$P62&gt;=2,FALSE()))))),1,0)</f>
        <v>1</v>
      </c>
      <c r="BV48" s="1" t="n">
        <f aca="false">IF(AND('Daily Workforce'!$N63="Y",'Daily Workforce'!$B63&lt;&gt;"",COUNTIF('Daily Schedule'!$F$5:$F51,'Daily Workforce'!$B63)=0,IF('Daily Schedule'!$A52=45,'Daily Workforce'!$J63="Y",IF(OR('Daily Schedule'!$A52=4,'Daily Schedule'!$A52=8),IF(OR(WEEKDAY('Daily Schedule'!$B$2,2)=1,WEEKDAY('Daily Schedule'!$B$2,2)=4,WEEKDAY('Daily Schedule'!$B$2,2)=5,WEEKDAY('Daily Schedule'!$B$2,2)=7),IFERROR(1*'Daily Workforce'!$K63&gt;=3,FALSE()),IFERROR(1*'Daily Workforce'!$K63&gt;=2,FALSE())),IF(AND('Daily Schedule'!$A52&gt;=46,'Daily Schedule'!$A52&lt;=52),'Daily Workforce'!$M63="Y",IFERROR(1*'Daily Workforce'!$P63&gt;=2,FALSE()))))),1,0)</f>
        <v>1</v>
      </c>
      <c r="BW48" s="1" t="n">
        <f aca="false">IF(AND('Daily Workforce'!$N64="Y",'Daily Workforce'!$B64&lt;&gt;"",COUNTIF('Daily Schedule'!$F$5:$F51,'Daily Workforce'!$B64)=0,IF('Daily Schedule'!$A52=45,'Daily Workforce'!$J64="Y",IF(OR('Daily Schedule'!$A52=4,'Daily Schedule'!$A52=8),IF(OR(WEEKDAY('Daily Schedule'!$B$2,2)=1,WEEKDAY('Daily Schedule'!$B$2,2)=4,WEEKDAY('Daily Schedule'!$B$2,2)=5,WEEKDAY('Daily Schedule'!$B$2,2)=7),IFERROR(1*'Daily Workforce'!$K64&gt;=3,FALSE()),IFERROR(1*'Daily Workforce'!$K64&gt;=2,FALSE())),IF(AND('Daily Schedule'!$A52&gt;=46,'Daily Schedule'!$A52&lt;=52),'Daily Workforce'!$M64="Y",IFERROR(1*'Daily Workforce'!$P64&gt;=2,FALSE()))))),1,0)</f>
        <v>1</v>
      </c>
      <c r="BX48" s="1" t="n">
        <f aca="false">IF(AND('Daily Workforce'!$N65="Y",'Daily Workforce'!$B65&lt;&gt;"",COUNTIF('Daily Schedule'!$F$5:$F51,'Daily Workforce'!$B65)=0,IF('Daily Schedule'!$A52=45,'Daily Workforce'!$J65="Y",IF(OR('Daily Schedule'!$A52=4,'Daily Schedule'!$A52=8),IF(OR(WEEKDAY('Daily Schedule'!$B$2,2)=1,WEEKDAY('Daily Schedule'!$B$2,2)=4,WEEKDAY('Daily Schedule'!$B$2,2)=5,WEEKDAY('Daily Schedule'!$B$2,2)=7),IFERROR(1*'Daily Workforce'!$K65&gt;=3,FALSE()),IFERROR(1*'Daily Workforce'!$K65&gt;=2,FALSE())),IF(AND('Daily Schedule'!$A52&gt;=46,'Daily Schedule'!$A52&lt;=52),'Daily Workforce'!$M65="Y",IFERROR(1*'Daily Workforce'!$P65&gt;=2,FALSE()))))),1,0)</f>
        <v>1</v>
      </c>
      <c r="BY48" s="1" t="n">
        <f aca="false">IF(AND('Daily Workforce'!$N66="Y",'Daily Workforce'!$B66&lt;&gt;"",COUNTIF('Daily Schedule'!$F$5:$F51,'Daily Workforce'!$B66)=0,IF('Daily Schedule'!$A52=45,'Daily Workforce'!$J66="Y",IF(OR('Daily Schedule'!$A52=4,'Daily Schedule'!$A52=8),IF(OR(WEEKDAY('Daily Schedule'!$B$2,2)=1,WEEKDAY('Daily Schedule'!$B$2,2)=4,WEEKDAY('Daily Schedule'!$B$2,2)=5,WEEKDAY('Daily Schedule'!$B$2,2)=7),IFERROR(1*'Daily Workforce'!$K66&gt;=3,FALSE()),IFERROR(1*'Daily Workforce'!$K66&gt;=2,FALSE())),IF(AND('Daily Schedule'!$A52&gt;=46,'Daily Schedule'!$A52&lt;=52),'Daily Workforce'!$M66="Y",IFERROR(1*'Daily Workforce'!$P66&gt;=2,FALSE()))))),1,0)</f>
        <v>1</v>
      </c>
      <c r="BZ48" s="1" t="n">
        <f aca="false">IF(AND('Daily Workforce'!$N67="Y",'Daily Workforce'!$B67&lt;&gt;"",COUNTIF('Daily Schedule'!$F$5:$F51,'Daily Workforce'!$B67)=0,IF('Daily Schedule'!$A52=45,'Daily Workforce'!$J67="Y",IF(OR('Daily Schedule'!$A52=4,'Daily Schedule'!$A52=8),IF(OR(WEEKDAY('Daily Schedule'!$B$2,2)=1,WEEKDAY('Daily Schedule'!$B$2,2)=4,WEEKDAY('Daily Schedule'!$B$2,2)=5,WEEKDAY('Daily Schedule'!$B$2,2)=7),IFERROR(1*'Daily Workforce'!$K67&gt;=3,FALSE()),IFERROR(1*'Daily Workforce'!$K67&gt;=2,FALSE())),IF(AND('Daily Schedule'!$A52&gt;=46,'Daily Schedule'!$A52&lt;=52),'Daily Workforce'!$M67="Y",IFERROR(1*'Daily Workforce'!$P67&gt;=2,FALSE()))))),1,0)</f>
        <v>1</v>
      </c>
      <c r="CA48" s="1" t="n">
        <f aca="false">IF(AND('Daily Workforce'!$N68="Y",'Daily Workforce'!$B68&lt;&gt;"",COUNTIF('Daily Schedule'!$F$5:$F51,'Daily Workforce'!$B68)=0,IF('Daily Schedule'!$A52=45,'Daily Workforce'!$J68="Y",IF(OR('Daily Schedule'!$A52=4,'Daily Schedule'!$A52=8),IF(OR(WEEKDAY('Daily Schedule'!$B$2,2)=1,WEEKDAY('Daily Schedule'!$B$2,2)=4,WEEKDAY('Daily Schedule'!$B$2,2)=5,WEEKDAY('Daily Schedule'!$B$2,2)=7),IFERROR(1*'Daily Workforce'!$K68&gt;=3,FALSE()),IFERROR(1*'Daily Workforce'!$K68&gt;=2,FALSE())),IF(AND('Daily Schedule'!$A52&gt;=46,'Daily Schedule'!$A52&lt;=52),'Daily Workforce'!$M68="Y",IFERROR(1*'Daily Workforce'!$P68&gt;=2,FALSE()))))),1,0)</f>
        <v>1</v>
      </c>
      <c r="CB48" s="1" t="n">
        <f aca="false">IF(AND('Daily Workforce'!$N69="Y",'Daily Workforce'!$B69&lt;&gt;"",COUNTIF('Daily Schedule'!$F$5:$F51,'Daily Workforce'!$B69)=0,IF('Daily Schedule'!$A52=45,'Daily Workforce'!$J69="Y",IF(OR('Daily Schedule'!$A52=4,'Daily Schedule'!$A52=8),IF(OR(WEEKDAY('Daily Schedule'!$B$2,2)=1,WEEKDAY('Daily Schedule'!$B$2,2)=4,WEEKDAY('Daily Schedule'!$B$2,2)=5,WEEKDAY('Daily Schedule'!$B$2,2)=7),IFERROR(1*'Daily Workforce'!$K69&gt;=3,FALSE()),IFERROR(1*'Daily Workforce'!$K69&gt;=2,FALSE())),IF(AND('Daily Schedule'!$A52&gt;=46,'Daily Schedule'!$A52&lt;=52),'Daily Workforce'!$M69="Y",IFERROR(1*'Daily Workforce'!$P69&gt;=2,FALSE()))))),1,0)</f>
        <v>1</v>
      </c>
      <c r="CC48" s="1" t="n">
        <f aca="false">IF(AND('Daily Workforce'!$N70="Y",'Daily Workforce'!$B70&lt;&gt;"",COUNTIF('Daily Schedule'!$F$5:$F51,'Daily Workforce'!$B70)=0,IF('Daily Schedule'!$A52=45,'Daily Workforce'!$J70="Y",IF(OR('Daily Schedule'!$A52=4,'Daily Schedule'!$A52=8),IF(OR(WEEKDAY('Daily Schedule'!$B$2,2)=1,WEEKDAY('Daily Schedule'!$B$2,2)=4,WEEKDAY('Daily Schedule'!$B$2,2)=5,WEEKDAY('Daily Schedule'!$B$2,2)=7),IFERROR(1*'Daily Workforce'!$K70&gt;=3,FALSE()),IFERROR(1*'Daily Workforce'!$K70&gt;=2,FALSE())),IF(AND('Daily Schedule'!$A52&gt;=46,'Daily Schedule'!$A52&lt;=52),'Daily Workforce'!$M70="Y",IFERROR(1*'Daily Workforce'!$P70&gt;=2,FALSE()))))),1,0)</f>
        <v>1</v>
      </c>
      <c r="CD48" s="1" t="n">
        <f aca="false">IF(AND('Daily Workforce'!$N71="Y",'Daily Workforce'!$B71&lt;&gt;"",COUNTIF('Daily Schedule'!$F$5:$F51,'Daily Workforce'!$B71)=0,IF('Daily Schedule'!$A52=45,'Daily Workforce'!$J71="Y",IF(OR('Daily Schedule'!$A52=4,'Daily Schedule'!$A52=8),IF(OR(WEEKDAY('Daily Schedule'!$B$2,2)=1,WEEKDAY('Daily Schedule'!$B$2,2)=4,WEEKDAY('Daily Schedule'!$B$2,2)=5,WEEKDAY('Daily Schedule'!$B$2,2)=7),IFERROR(1*'Daily Workforce'!$K71&gt;=3,FALSE()),IFERROR(1*'Daily Workforce'!$K71&gt;=2,FALSE())),IF(AND('Daily Schedule'!$A52&gt;=46,'Daily Schedule'!$A52&lt;=52),'Daily Workforce'!$M71="Y",IFERROR(1*'Daily Workforce'!$P71&gt;=2,FALSE()))))),1,0)</f>
        <v>1</v>
      </c>
      <c r="CE48" s="1" t="n">
        <f aca="false">IF(AND('Daily Workforce'!$N72="Y",'Daily Workforce'!$B72&lt;&gt;"",COUNTIF('Daily Schedule'!$F$5:$F51,'Daily Workforce'!$B72)=0,IF('Daily Schedule'!$A52=45,'Daily Workforce'!$J72="Y",IF(OR('Daily Schedule'!$A52=4,'Daily Schedule'!$A52=8),IF(OR(WEEKDAY('Daily Schedule'!$B$2,2)=1,WEEKDAY('Daily Schedule'!$B$2,2)=4,WEEKDAY('Daily Schedule'!$B$2,2)=5,WEEKDAY('Daily Schedule'!$B$2,2)=7),IFERROR(1*'Daily Workforce'!$K72&gt;=3,FALSE()),IFERROR(1*'Daily Workforce'!$K72&gt;=2,FALSE())),IF(AND('Daily Schedule'!$A52&gt;=46,'Daily Schedule'!$A52&lt;=52),'Daily Workforce'!$M72="Y",IFERROR(1*'Daily Workforce'!$P72&gt;=2,FALSE()))))),1,0)</f>
        <v>1</v>
      </c>
      <c r="CF48" s="1" t="n">
        <f aca="false">IF(AND('Daily Workforce'!$N73="Y",'Daily Workforce'!$B73&lt;&gt;"",COUNTIF('Daily Schedule'!$F$5:$F51,'Daily Workforce'!$B73)=0,IF('Daily Schedule'!$A52=45,'Daily Workforce'!$J73="Y",IF(OR('Daily Schedule'!$A52=4,'Daily Schedule'!$A52=8),IF(OR(WEEKDAY('Daily Schedule'!$B$2,2)=1,WEEKDAY('Daily Schedule'!$B$2,2)=4,WEEKDAY('Daily Schedule'!$B$2,2)=5,WEEKDAY('Daily Schedule'!$B$2,2)=7),IFERROR(1*'Daily Workforce'!$K73&gt;=3,FALSE()),IFERROR(1*'Daily Workforce'!$K73&gt;=2,FALSE())),IF(AND('Daily Schedule'!$A52&gt;=46,'Daily Schedule'!$A52&lt;=52),'Daily Workforce'!$M73="Y",IFERROR(1*'Daily Workforce'!$P73&gt;=2,FALSE()))))),1,0)</f>
        <v>1</v>
      </c>
      <c r="CG48" s="1" t="n">
        <f aca="false">IF(AND('Daily Workforce'!$N74="Y",'Daily Workforce'!$B74&lt;&gt;"",COUNTIF('Daily Schedule'!$F$5:$F51,'Daily Workforce'!$B74)=0,IF('Daily Schedule'!$A52=45,'Daily Workforce'!$J74="Y",IF(OR('Daily Schedule'!$A52=4,'Daily Schedule'!$A52=8),IF(OR(WEEKDAY('Daily Schedule'!$B$2,2)=1,WEEKDAY('Daily Schedule'!$B$2,2)=4,WEEKDAY('Daily Schedule'!$B$2,2)=5,WEEKDAY('Daily Schedule'!$B$2,2)=7),IFERROR(1*'Daily Workforce'!$K74&gt;=3,FALSE()),IFERROR(1*'Daily Workforce'!$K74&gt;=2,FALSE())),IF(AND('Daily Schedule'!$A52&gt;=46,'Daily Schedule'!$A52&lt;=52),'Daily Workforce'!$M74="Y",IFERROR(1*'Daily Workforce'!$P74&gt;=2,FALSE()))))),1,0)</f>
        <v>1</v>
      </c>
      <c r="CH48" s="1" t="n">
        <f aca="false">IF(AND('Daily Workforce'!$N75="Y",'Daily Workforce'!$B75&lt;&gt;"",COUNTIF('Daily Schedule'!$F$5:$F51,'Daily Workforce'!$B75)=0,IF('Daily Schedule'!$A52=45,'Daily Workforce'!$J75="Y",IF(OR('Daily Schedule'!$A52=4,'Daily Schedule'!$A52=8),IF(OR(WEEKDAY('Daily Schedule'!$B$2,2)=1,WEEKDAY('Daily Schedule'!$B$2,2)=4,WEEKDAY('Daily Schedule'!$B$2,2)=5,WEEKDAY('Daily Schedule'!$B$2,2)=7),IFERROR(1*'Daily Workforce'!$K75&gt;=3,FALSE()),IFERROR(1*'Daily Workforce'!$K75&gt;=2,FALSE())),IF(AND('Daily Schedule'!$A52&gt;=46,'Daily Schedule'!$A52&lt;=52),'Daily Workforce'!$M75="Y",IFERROR(1*'Daily Workforce'!$P75&gt;=2,FALSE()))))),1,0)</f>
        <v>1</v>
      </c>
      <c r="CI48" s="1" t="n">
        <f aca="false">IF(AND('Daily Workforce'!$N76="Y",'Daily Workforce'!$B76&lt;&gt;"",COUNTIF('Daily Schedule'!$F$5:$F51,'Daily Workforce'!$B76)=0,IF('Daily Schedule'!$A52=45,'Daily Workforce'!$J76="Y",IF(OR('Daily Schedule'!$A52=4,'Daily Schedule'!$A52=8),IF(OR(WEEKDAY('Daily Schedule'!$B$2,2)=1,WEEKDAY('Daily Schedule'!$B$2,2)=4,WEEKDAY('Daily Schedule'!$B$2,2)=5,WEEKDAY('Daily Schedule'!$B$2,2)=7),IFERROR(1*'Daily Workforce'!$K76&gt;=3,FALSE()),IFERROR(1*'Daily Workforce'!$K76&gt;=2,FALSE())),IF(AND('Daily Schedule'!$A52&gt;=46,'Daily Schedule'!$A52&lt;=52),'Daily Workforce'!$M76="Y",IFERROR(1*'Daily Workforce'!$P76&gt;=2,FALSE()))))),1,0)</f>
        <v>1</v>
      </c>
      <c r="CJ48" s="1" t="n">
        <f aca="false">IF(AND('Daily Workforce'!$N77="Y",'Daily Workforce'!$B77&lt;&gt;"",COUNTIF('Daily Schedule'!$F$5:$F51,'Daily Workforce'!$B77)=0,IF('Daily Schedule'!$A52=45,'Daily Workforce'!$J77="Y",IF(OR('Daily Schedule'!$A52=4,'Daily Schedule'!$A52=8),IF(OR(WEEKDAY('Daily Schedule'!$B$2,2)=1,WEEKDAY('Daily Schedule'!$B$2,2)=4,WEEKDAY('Daily Schedule'!$B$2,2)=5,WEEKDAY('Daily Schedule'!$B$2,2)=7),IFERROR(1*'Daily Workforce'!$K77&gt;=3,FALSE()),IFERROR(1*'Daily Workforce'!$K77&gt;=2,FALSE())),IF(AND('Daily Schedule'!$A52&gt;=46,'Daily Schedule'!$A52&lt;=52),'Daily Workforce'!$M77="Y",IFERROR(1*'Daily Workforce'!$P77&gt;=2,FALSE()))))),1,0)</f>
        <v>1</v>
      </c>
      <c r="CK48" s="1" t="n">
        <f aca="false">IF(AND('Daily Workforce'!$N78="Y",'Daily Workforce'!$B78&lt;&gt;"",COUNTIF('Daily Schedule'!$F$5:$F51,'Daily Workforce'!$B78)=0,IF('Daily Schedule'!$A52=45,'Daily Workforce'!$J78="Y",IF(OR('Daily Schedule'!$A52=4,'Daily Schedule'!$A52=8),IF(OR(WEEKDAY('Daily Schedule'!$B$2,2)=1,WEEKDAY('Daily Schedule'!$B$2,2)=4,WEEKDAY('Daily Schedule'!$B$2,2)=5,WEEKDAY('Daily Schedule'!$B$2,2)=7),IFERROR(1*'Daily Workforce'!$K78&gt;=3,FALSE()),IFERROR(1*'Daily Workforce'!$K78&gt;=2,FALSE())),IF(AND('Daily Schedule'!$A52&gt;=46,'Daily Schedule'!$A52&lt;=52),'Daily Workforce'!$M78="Y",IFERROR(1*'Daily Workforce'!$P78&gt;=2,FALSE()))))),1,0)</f>
        <v>1</v>
      </c>
      <c r="CL48" s="1" t="n">
        <f aca="false">IF(AND('Daily Workforce'!$N79="Y",'Daily Workforce'!$B79&lt;&gt;"",COUNTIF('Daily Schedule'!$F$5:$F51,'Daily Workforce'!$B79)=0,IF('Daily Schedule'!$A52=45,'Daily Workforce'!$J79="Y",IF(OR('Daily Schedule'!$A52=4,'Daily Schedule'!$A52=8),IF(OR(WEEKDAY('Daily Schedule'!$B$2,2)=1,WEEKDAY('Daily Schedule'!$B$2,2)=4,WEEKDAY('Daily Schedule'!$B$2,2)=5,WEEKDAY('Daily Schedule'!$B$2,2)=7),IFERROR(1*'Daily Workforce'!$K79&gt;=3,FALSE()),IFERROR(1*'Daily Workforce'!$K79&gt;=2,FALSE())),IF(AND('Daily Schedule'!$A52&gt;=46,'Daily Schedule'!$A52&lt;=52),'Daily Workforce'!$M79="Y",IFERROR(1*'Daily Workforce'!$P79&gt;=2,FALSE()))))),1,0)</f>
        <v>1</v>
      </c>
      <c r="CM48" s="1" t="n">
        <f aca="false">IF(AND('Daily Workforce'!$N80="Y",'Daily Workforce'!$B80&lt;&gt;"",COUNTIF('Daily Schedule'!$F$5:$F51,'Daily Workforce'!$B80)=0,IF('Daily Schedule'!$A52=45,'Daily Workforce'!$J80="Y",IF(OR('Daily Schedule'!$A52=4,'Daily Schedule'!$A52=8),IF(OR(WEEKDAY('Daily Schedule'!$B$2,2)=1,WEEKDAY('Daily Schedule'!$B$2,2)=4,WEEKDAY('Daily Schedule'!$B$2,2)=5,WEEKDAY('Daily Schedule'!$B$2,2)=7),IFERROR(1*'Daily Workforce'!$K80&gt;=3,FALSE()),IFERROR(1*'Daily Workforce'!$K80&gt;=2,FALSE())),IF(AND('Daily Schedule'!$A52&gt;=46,'Daily Schedule'!$A52&lt;=52),'Daily Workforce'!$M80="Y",IFERROR(1*'Daily Workforce'!$P80&gt;=2,FALSE()))))),1,0)</f>
        <v>1</v>
      </c>
      <c r="CN48" s="1" t="n">
        <f aca="false">IF(AND('Daily Workforce'!$N81="Y",'Daily Workforce'!$B81&lt;&gt;"",COUNTIF('Daily Schedule'!$F$5:$F51,'Daily Workforce'!$B81)=0,IF('Daily Schedule'!$A52=45,'Daily Workforce'!$J81="Y",IF(OR('Daily Schedule'!$A52=4,'Daily Schedule'!$A52=8),IF(OR(WEEKDAY('Daily Schedule'!$B$2,2)=1,WEEKDAY('Daily Schedule'!$B$2,2)=4,WEEKDAY('Daily Schedule'!$B$2,2)=5,WEEKDAY('Daily Schedule'!$B$2,2)=7),IFERROR(1*'Daily Workforce'!$K81&gt;=3,FALSE()),IFERROR(1*'Daily Workforce'!$K81&gt;=2,FALSE())),IF(AND('Daily Schedule'!$A52&gt;=46,'Daily Schedule'!$A52&lt;=52),'Daily Workforce'!$M81="Y",IFERROR(1*'Daily Workforce'!$P81&gt;=2,FALSE()))))),1,0)</f>
        <v>1</v>
      </c>
      <c r="CO48" s="1" t="n">
        <f aca="false">IF(AND('Daily Workforce'!$N82="Y",'Daily Workforce'!$B82&lt;&gt;"",COUNTIF('Daily Schedule'!$F$5:$F51,'Daily Workforce'!$B82)=0,IF('Daily Schedule'!$A52=45,'Daily Workforce'!$J82="Y",IF(OR('Daily Schedule'!$A52=4,'Daily Schedule'!$A52=8),IF(OR(WEEKDAY('Daily Schedule'!$B$2,2)=1,WEEKDAY('Daily Schedule'!$B$2,2)=4,WEEKDAY('Daily Schedule'!$B$2,2)=5,WEEKDAY('Daily Schedule'!$B$2,2)=7),IFERROR(1*'Daily Workforce'!$K82&gt;=3,FALSE()),IFERROR(1*'Daily Workforce'!$K82&gt;=2,FALSE())),IF(AND('Daily Schedule'!$A52&gt;=46,'Daily Schedule'!$A52&lt;=52),'Daily Workforce'!$M82="Y",IFERROR(1*'Daily Workforce'!$P82&gt;=2,FALSE()))))),1,0)</f>
        <v>1</v>
      </c>
      <c r="CP48" s="1" t="n">
        <f aca="false">IF(AND('Daily Workforce'!$N83="Y",'Daily Workforce'!$B83&lt;&gt;"",COUNTIF('Daily Schedule'!$F$5:$F51,'Daily Workforce'!$B83)=0,IF('Daily Schedule'!$A52=45,'Daily Workforce'!$J83="Y",IF(OR('Daily Schedule'!$A52=4,'Daily Schedule'!$A52=8),IF(OR(WEEKDAY('Daily Schedule'!$B$2,2)=1,WEEKDAY('Daily Schedule'!$B$2,2)=4,WEEKDAY('Daily Schedule'!$B$2,2)=5,WEEKDAY('Daily Schedule'!$B$2,2)=7),IFERROR(1*'Daily Workforce'!$K83&gt;=3,FALSE()),IFERROR(1*'Daily Workforce'!$K83&gt;=2,FALSE())),IF(AND('Daily Schedule'!$A52&gt;=46,'Daily Schedule'!$A52&lt;=52),'Daily Workforce'!$M83="Y",IFERROR(1*'Daily Workforce'!$P83&gt;=2,FALSE()))))),1,0)</f>
        <v>0</v>
      </c>
      <c r="CQ48" s="1" t="n">
        <f aca="false">IF(AND('Daily Workforce'!$N84="Y",'Daily Workforce'!$B84&lt;&gt;"",COUNTIF('Daily Schedule'!$F$5:$F51,'Daily Workforce'!$B84)=0,IF('Daily Schedule'!$A52=45,'Daily Workforce'!$J84="Y",IF(OR('Daily Schedule'!$A52=4,'Daily Schedule'!$A52=8),IF(OR(WEEKDAY('Daily Schedule'!$B$2,2)=1,WEEKDAY('Daily Schedule'!$B$2,2)=4,WEEKDAY('Daily Schedule'!$B$2,2)=5,WEEKDAY('Daily Schedule'!$B$2,2)=7),IFERROR(1*'Daily Workforce'!$K84&gt;=3,FALSE()),IFERROR(1*'Daily Workforce'!$K84&gt;=2,FALSE())),IF(AND('Daily Schedule'!$A52&gt;=46,'Daily Schedule'!$A52&lt;=52),'Daily Workforce'!$M84="Y",IFERROR(1*'Daily Workforce'!$P84&gt;=2,FALSE()))))),1,0)</f>
        <v>1</v>
      </c>
      <c r="CR48" s="1" t="n">
        <f aca="false">IF(AND('Daily Workforce'!$N85="Y",'Daily Workforce'!$B85&lt;&gt;"",COUNTIF('Daily Schedule'!$F$5:$F51,'Daily Workforce'!$B85)=0,IF('Daily Schedule'!$A52=45,'Daily Workforce'!$J85="Y",IF(OR('Daily Schedule'!$A52=4,'Daily Schedule'!$A52=8),IF(OR(WEEKDAY('Daily Schedule'!$B$2,2)=1,WEEKDAY('Daily Schedule'!$B$2,2)=4,WEEKDAY('Daily Schedule'!$B$2,2)=5,WEEKDAY('Daily Schedule'!$B$2,2)=7),IFERROR(1*'Daily Workforce'!$K85&gt;=3,FALSE()),IFERROR(1*'Daily Workforce'!$K85&gt;=2,FALSE())),IF(AND('Daily Schedule'!$A52&gt;=46,'Daily Schedule'!$A52&lt;=52),'Daily Workforce'!$M85="Y",IFERROR(1*'Daily Workforce'!$P85&gt;=2,FALSE()))))),1,0)</f>
        <v>0</v>
      </c>
      <c r="CS48" s="1" t="n">
        <f aca="false">IF(AND('Daily Workforce'!$N86="Y",'Daily Workforce'!$B86&lt;&gt;"",COUNTIF('Daily Schedule'!$F$5:$F51,'Daily Workforce'!$B86)=0,IF('Daily Schedule'!$A52=45,'Daily Workforce'!$J86="Y",IF(OR('Daily Schedule'!$A52=4,'Daily Schedule'!$A52=8),IF(OR(WEEKDAY('Daily Schedule'!$B$2,2)=1,WEEKDAY('Daily Schedule'!$B$2,2)=4,WEEKDAY('Daily Schedule'!$B$2,2)=5,WEEKDAY('Daily Schedule'!$B$2,2)=7),IFERROR(1*'Daily Workforce'!$K86&gt;=3,FALSE()),IFERROR(1*'Daily Workforce'!$K86&gt;=2,FALSE())),IF(AND('Daily Schedule'!$A52&gt;=46,'Daily Schedule'!$A52&lt;=52),'Daily Workforce'!$M86="Y",IFERROR(1*'Daily Workforce'!$P86&gt;=2,FALSE()))))),1,0)</f>
        <v>1</v>
      </c>
      <c r="CT48" s="1" t="n">
        <f aca="false">IF(AND('Daily Workforce'!$N87="Y",'Daily Workforce'!$B87&lt;&gt;"",COUNTIF('Daily Schedule'!$F$5:$F51,'Daily Workforce'!$B87)=0,IF('Daily Schedule'!$A52=45,'Daily Workforce'!$J87="Y",IF(OR('Daily Schedule'!$A52=4,'Daily Schedule'!$A52=8),IF(OR(WEEKDAY('Daily Schedule'!$B$2,2)=1,WEEKDAY('Daily Schedule'!$B$2,2)=4,WEEKDAY('Daily Schedule'!$B$2,2)=5,WEEKDAY('Daily Schedule'!$B$2,2)=7),IFERROR(1*'Daily Workforce'!$K87&gt;=3,FALSE()),IFERROR(1*'Daily Workforce'!$K87&gt;=2,FALSE())),IF(AND('Daily Schedule'!$A52&gt;=46,'Daily Schedule'!$A52&lt;=52),'Daily Workforce'!$M87="Y",IFERROR(1*'Daily Workforce'!$P87&gt;=2,FALSE()))))),1,0)</f>
        <v>1</v>
      </c>
      <c r="CU48" s="1" t="n">
        <f aca="false">IF(AND('Daily Workforce'!$N88="Y",'Daily Workforce'!$B88&lt;&gt;"",COUNTIF('Daily Schedule'!$F$5:$F51,'Daily Workforce'!$B88)=0,IF('Daily Schedule'!$A52=45,'Daily Workforce'!$J88="Y",IF(OR('Daily Schedule'!$A52=4,'Daily Schedule'!$A52=8),IF(OR(WEEKDAY('Daily Schedule'!$B$2,2)=1,WEEKDAY('Daily Schedule'!$B$2,2)=4,WEEKDAY('Daily Schedule'!$B$2,2)=5,WEEKDAY('Daily Schedule'!$B$2,2)=7),IFERROR(1*'Daily Workforce'!$K88&gt;=3,FALSE()),IFERROR(1*'Daily Workforce'!$K88&gt;=2,FALSE())),IF(AND('Daily Schedule'!$A52&gt;=46,'Daily Schedule'!$A52&lt;=52),'Daily Workforce'!$M88="Y",IFERROR(1*'Daily Workforce'!$P88&gt;=2,FALSE()))))),1,0)</f>
        <v>1</v>
      </c>
      <c r="CV48" s="1" t="n">
        <f aca="false">IF(AND('Daily Workforce'!$N89="Y",'Daily Workforce'!$B89&lt;&gt;"",COUNTIF('Daily Schedule'!$F$5:$F51,'Daily Workforce'!$B89)=0,IF('Daily Schedule'!$A52=45,'Daily Workforce'!$J89="Y",IF(OR('Daily Schedule'!$A52=4,'Daily Schedule'!$A52=8),IF(OR(WEEKDAY('Daily Schedule'!$B$2,2)=1,WEEKDAY('Daily Schedule'!$B$2,2)=4,WEEKDAY('Daily Schedule'!$B$2,2)=5,WEEKDAY('Daily Schedule'!$B$2,2)=7),IFERROR(1*'Daily Workforce'!$K89&gt;=3,FALSE()),IFERROR(1*'Daily Workforce'!$K89&gt;=2,FALSE())),IF(AND('Daily Schedule'!$A52&gt;=46,'Daily Schedule'!$A52&lt;=52),'Daily Workforce'!$M89="Y",IFERROR(1*'Daily Workforce'!$P89&gt;=2,FALSE()))))),1,0)</f>
        <v>1</v>
      </c>
      <c r="CW48" s="1" t="n">
        <f aca="false">IF(AND('Daily Workforce'!$N90="Y",'Daily Workforce'!$B90&lt;&gt;"",COUNTIF('Daily Schedule'!$F$5:$F51,'Daily Workforce'!$B90)=0,IF('Daily Schedule'!$A52=45,'Daily Workforce'!$J90="Y",IF(OR('Daily Schedule'!$A52=4,'Daily Schedule'!$A52=8),IF(OR(WEEKDAY('Daily Schedule'!$B$2,2)=1,WEEKDAY('Daily Schedule'!$B$2,2)=4,WEEKDAY('Daily Schedule'!$B$2,2)=5,WEEKDAY('Daily Schedule'!$B$2,2)=7),IFERROR(1*'Daily Workforce'!$K90&gt;=3,FALSE()),IFERROR(1*'Daily Workforce'!$K90&gt;=2,FALSE())),IF(AND('Daily Schedule'!$A52&gt;=46,'Daily Schedule'!$A52&lt;=52),'Daily Workforce'!$M90="Y",IFERROR(1*'Daily Workforce'!$P90&gt;=2,FALSE()))))),1,0)</f>
        <v>1</v>
      </c>
      <c r="CX48" s="1" t="n">
        <f aca="false">IF(AND('Daily Workforce'!$N91="Y",'Daily Workforce'!$B91&lt;&gt;"",COUNTIF('Daily Schedule'!$F$5:$F51,'Daily Workforce'!$B91)=0,IF('Daily Schedule'!$A52=45,'Daily Workforce'!$J91="Y",IF(OR('Daily Schedule'!$A52=4,'Daily Schedule'!$A52=8),IF(OR(WEEKDAY('Daily Schedule'!$B$2,2)=1,WEEKDAY('Daily Schedule'!$B$2,2)=4,WEEKDAY('Daily Schedule'!$B$2,2)=5,WEEKDAY('Daily Schedule'!$B$2,2)=7),IFERROR(1*'Daily Workforce'!$K91&gt;=3,FALSE()),IFERROR(1*'Daily Workforce'!$K91&gt;=2,FALSE())),IF(AND('Daily Schedule'!$A52&gt;=46,'Daily Schedule'!$A52&lt;=52),'Daily Workforce'!$M91="Y",IFERROR(1*'Daily Workforce'!$P91&gt;=2,FALSE()))))),1,0)</f>
        <v>1</v>
      </c>
      <c r="CY48" s="1" t="n">
        <f aca="false">IF(AND('Daily Workforce'!$N92="Y",'Daily Workforce'!$B92&lt;&gt;"",COUNTIF('Daily Schedule'!$F$5:$F51,'Daily Workforce'!$B92)=0,IF('Daily Schedule'!$A52=45,'Daily Workforce'!$J92="Y",IF(OR('Daily Schedule'!$A52=4,'Daily Schedule'!$A52=8),IF(OR(WEEKDAY('Daily Schedule'!$B$2,2)=1,WEEKDAY('Daily Schedule'!$B$2,2)=4,WEEKDAY('Daily Schedule'!$B$2,2)=5,WEEKDAY('Daily Schedule'!$B$2,2)=7),IFERROR(1*'Daily Workforce'!$K92&gt;=3,FALSE()),IFERROR(1*'Daily Workforce'!$K92&gt;=2,FALSE())),IF(AND('Daily Schedule'!$A52&gt;=46,'Daily Schedule'!$A52&lt;=52),'Daily Workforce'!$M92="Y",IFERROR(1*'Daily Workforce'!$P92&gt;=2,FALSE()))))),1,0)</f>
        <v>1</v>
      </c>
      <c r="CZ48" s="1" t="n">
        <f aca="false">IF(AND('Daily Workforce'!$N93="Y",'Daily Workforce'!$B93&lt;&gt;"",COUNTIF('Daily Schedule'!$F$5:$F51,'Daily Workforce'!$B93)=0,IF('Daily Schedule'!$A52=45,'Daily Workforce'!$J93="Y",IF(OR('Daily Schedule'!$A52=4,'Daily Schedule'!$A52=8),IF(OR(WEEKDAY('Daily Schedule'!$B$2,2)=1,WEEKDAY('Daily Schedule'!$B$2,2)=4,WEEKDAY('Daily Schedule'!$B$2,2)=5,WEEKDAY('Daily Schedule'!$B$2,2)=7),IFERROR(1*'Daily Workforce'!$K93&gt;=3,FALSE()),IFERROR(1*'Daily Workforce'!$K93&gt;=2,FALSE())),IF(AND('Daily Schedule'!$A52&gt;=46,'Daily Schedule'!$A52&lt;=52),'Daily Workforce'!$M93="Y",IFERROR(1*'Daily Workforce'!$P93&gt;=2,FALSE()))))),1,0)</f>
        <v>1</v>
      </c>
      <c r="DA48" s="1" t="n">
        <f aca="false">IF(AND('Daily Workforce'!$N94="Y",'Daily Workforce'!$B94&lt;&gt;"",COUNTIF('Daily Schedule'!$F$5:$F51,'Daily Workforce'!$B94)=0,IF('Daily Schedule'!$A52=45,'Daily Workforce'!$J94="Y",IF(OR('Daily Schedule'!$A52=4,'Daily Schedule'!$A52=8),IF(OR(WEEKDAY('Daily Schedule'!$B$2,2)=1,WEEKDAY('Daily Schedule'!$B$2,2)=4,WEEKDAY('Daily Schedule'!$B$2,2)=5,WEEKDAY('Daily Schedule'!$B$2,2)=7),IFERROR(1*'Daily Workforce'!$K94&gt;=3,FALSE()),IFERROR(1*'Daily Workforce'!$K94&gt;=2,FALSE())),IF(AND('Daily Schedule'!$A52&gt;=46,'Daily Schedule'!$A52&lt;=52),'Daily Workforce'!$M94="Y",IFERROR(1*'Daily Workforce'!$P94&gt;=2,FALSE()))))),1,0)</f>
        <v>1</v>
      </c>
      <c r="DB48" s="1" t="n">
        <f aca="false">IF(AND('Daily Workforce'!$N95="Y",'Daily Workforce'!$B95&lt;&gt;"",COUNTIF('Daily Schedule'!$F$5:$F51,'Daily Workforce'!$B95)=0,IF('Daily Schedule'!$A52=45,'Daily Workforce'!$J95="Y",IF(OR('Daily Schedule'!$A52=4,'Daily Schedule'!$A52=8),IF(OR(WEEKDAY('Daily Schedule'!$B$2,2)=1,WEEKDAY('Daily Schedule'!$B$2,2)=4,WEEKDAY('Daily Schedule'!$B$2,2)=5,WEEKDAY('Daily Schedule'!$B$2,2)=7),IFERROR(1*'Daily Workforce'!$K95&gt;=3,FALSE()),IFERROR(1*'Daily Workforce'!$K95&gt;=2,FALSE())),IF(AND('Daily Schedule'!$A52&gt;=46,'Daily Schedule'!$A52&lt;=52),'Daily Workforce'!$M95="Y",IFERROR(1*'Daily Workforce'!$P95&gt;=2,FALSE()))))),1,0)</f>
        <v>1</v>
      </c>
      <c r="DC48" s="1" t="n">
        <f aca="false">IF(AND('Daily Workforce'!$N96="Y",'Daily Workforce'!$B96&lt;&gt;"",COUNTIF('Daily Schedule'!$F$5:$F51,'Daily Workforce'!$B96)=0,IF('Daily Schedule'!$A52=45,'Daily Workforce'!$J96="Y",IF(OR('Daily Schedule'!$A52=4,'Daily Schedule'!$A52=8),IF(OR(WEEKDAY('Daily Schedule'!$B$2,2)=1,WEEKDAY('Daily Schedule'!$B$2,2)=4,WEEKDAY('Daily Schedule'!$B$2,2)=5,WEEKDAY('Daily Schedule'!$B$2,2)=7),IFERROR(1*'Daily Workforce'!$K96&gt;=3,FALSE()),IFERROR(1*'Daily Workforce'!$K96&gt;=2,FALSE())),IF(AND('Daily Schedule'!$A52&gt;=46,'Daily Schedule'!$A52&lt;=52),'Daily Workforce'!$M96="Y",IFERROR(1*'Daily Workforce'!$P96&gt;=2,FALSE()))))),1,0)</f>
        <v>1</v>
      </c>
      <c r="DD48" s="1" t="n">
        <f aca="false">IF(AND('Daily Workforce'!$N97="Y",'Daily Workforce'!$B97&lt;&gt;"",COUNTIF('Daily Schedule'!$F$5:$F51,'Daily Workforce'!$B97)=0,IF('Daily Schedule'!$A52=45,'Daily Workforce'!$J97="Y",IF(OR('Daily Schedule'!$A52=4,'Daily Schedule'!$A52=8),IF(OR(WEEKDAY('Daily Schedule'!$B$2,2)=1,WEEKDAY('Daily Schedule'!$B$2,2)=4,WEEKDAY('Daily Schedule'!$B$2,2)=5,WEEKDAY('Daily Schedule'!$B$2,2)=7),IFERROR(1*'Daily Workforce'!$K97&gt;=3,FALSE()),IFERROR(1*'Daily Workforce'!$K97&gt;=2,FALSE())),IF(AND('Daily Schedule'!$A52&gt;=46,'Daily Schedule'!$A52&lt;=52),'Daily Workforce'!$M97="Y",IFERROR(1*'Daily Workforce'!$P97&gt;=2,FALSE()))))),1,0)</f>
        <v>1</v>
      </c>
      <c r="DE48" s="1" t="n">
        <f aca="false">IF(AND('Daily Workforce'!$N98="Y",'Daily Workforce'!$B98&lt;&gt;"",COUNTIF('Daily Schedule'!$F$5:$F51,'Daily Workforce'!$B98)=0,IF('Daily Schedule'!$A52=45,'Daily Workforce'!$J98="Y",IF(OR('Daily Schedule'!$A52=4,'Daily Schedule'!$A52=8),IF(OR(WEEKDAY('Daily Schedule'!$B$2,2)=1,WEEKDAY('Daily Schedule'!$B$2,2)=4,WEEKDAY('Daily Schedule'!$B$2,2)=5,WEEKDAY('Daily Schedule'!$B$2,2)=7),IFERROR(1*'Daily Workforce'!$K98&gt;=3,FALSE()),IFERROR(1*'Daily Workforce'!$K98&gt;=2,FALSE())),IF(AND('Daily Schedule'!$A52&gt;=46,'Daily Schedule'!$A52&lt;=52),'Daily Workforce'!$M98="Y",IFERROR(1*'Daily Workforce'!$P98&gt;=2,FALSE()))))),1,0)</f>
        <v>1</v>
      </c>
      <c r="DF48" s="1" t="n">
        <f aca="false">IF(AND('Daily Workforce'!$N99="Y",'Daily Workforce'!$B99&lt;&gt;"",COUNTIF('Daily Schedule'!$F$5:$F51,'Daily Workforce'!$B99)=0,IF('Daily Schedule'!$A52=45,'Daily Workforce'!$J99="Y",IF(OR('Daily Schedule'!$A52=4,'Daily Schedule'!$A52=8),IF(OR(WEEKDAY('Daily Schedule'!$B$2,2)=1,WEEKDAY('Daily Schedule'!$B$2,2)=4,WEEKDAY('Daily Schedule'!$B$2,2)=5,WEEKDAY('Daily Schedule'!$B$2,2)=7),IFERROR(1*'Daily Workforce'!$K99&gt;=3,FALSE()),IFERROR(1*'Daily Workforce'!$K99&gt;=2,FALSE())),IF(AND('Daily Schedule'!$A52&gt;=46,'Daily Schedule'!$A52&lt;=52),'Daily Workforce'!$M99="Y",IFERROR(1*'Daily Workforce'!$P99&gt;=2,FALSE()))))),1,0)</f>
        <v>1</v>
      </c>
      <c r="DG48" s="1" t="n">
        <f aca="false">IF(AND('Daily Workforce'!$N100="Y",'Daily Workforce'!$B100&lt;&gt;"",COUNTIF('Daily Schedule'!$F$5:$F51,'Daily Workforce'!$B100)=0,IF('Daily Schedule'!$A52=45,'Daily Workforce'!$J100="Y",IF(OR('Daily Schedule'!$A52=4,'Daily Schedule'!$A52=8),IF(OR(WEEKDAY('Daily Schedule'!$B$2,2)=1,WEEKDAY('Daily Schedule'!$B$2,2)=4,WEEKDAY('Daily Schedule'!$B$2,2)=5,WEEKDAY('Daily Schedule'!$B$2,2)=7),IFERROR(1*'Daily Workforce'!$K100&gt;=3,FALSE()),IFERROR(1*'Daily Workforce'!$K100&gt;=2,FALSE())),IF(AND('Daily Schedule'!$A52&gt;=46,'Daily Schedule'!$A52&lt;=52),'Daily Workforce'!$M100="Y",IFERROR(1*'Daily Workforce'!$P100&gt;=2,FALSE()))))),1,0)</f>
        <v>1</v>
      </c>
      <c r="DH48" s="1" t="n">
        <f aca="false">IF(AND('Daily Workforce'!$N101="Y",'Daily Workforce'!$B101&lt;&gt;"",COUNTIF('Daily Schedule'!$F$5:$F51,'Daily Workforce'!$B101)=0,IF('Daily Schedule'!$A52=45,'Daily Workforce'!$J101="Y",IF(OR('Daily Schedule'!$A52=4,'Daily Schedule'!$A52=8),IF(OR(WEEKDAY('Daily Schedule'!$B$2,2)=1,WEEKDAY('Daily Schedule'!$B$2,2)=4,WEEKDAY('Daily Schedule'!$B$2,2)=5,WEEKDAY('Daily Schedule'!$B$2,2)=7),IFERROR(1*'Daily Workforce'!$K101&gt;=3,FALSE()),IFERROR(1*'Daily Workforce'!$K101&gt;=2,FALSE())),IF(AND('Daily Schedule'!$A52&gt;=46,'Daily Schedule'!$A52&lt;=52),'Daily Workforce'!$M101="Y",IFERROR(1*'Daily Workforce'!$P101&gt;=2,FALSE()))))),1,0)</f>
        <v>1</v>
      </c>
      <c r="DI48" s="1" t="n">
        <f aca="false">IF(AND('Daily Workforce'!$N102="Y",'Daily Workforce'!$B102&lt;&gt;"",COUNTIF('Daily Schedule'!$F$5:$F51,'Daily Workforce'!$B102)=0,IF('Daily Schedule'!$A52=45,'Daily Workforce'!$J102="Y",IF(OR('Daily Schedule'!$A52=4,'Daily Schedule'!$A52=8),IF(OR(WEEKDAY('Daily Schedule'!$B$2,2)=1,WEEKDAY('Daily Schedule'!$B$2,2)=4,WEEKDAY('Daily Schedule'!$B$2,2)=5,WEEKDAY('Daily Schedule'!$B$2,2)=7),IFERROR(1*'Daily Workforce'!$K102&gt;=3,FALSE()),IFERROR(1*'Daily Workforce'!$K102&gt;=2,FALSE())),IF(AND('Daily Schedule'!$A52&gt;=46,'Daily Schedule'!$A52&lt;=52),'Daily Workforce'!$M102="Y",IFERROR(1*'Daily Workforce'!$P102&gt;=2,FALSE()))))),1,0)</f>
        <v>1</v>
      </c>
      <c r="DJ48" s="1" t="n">
        <f aca="false">IF(AND('Daily Workforce'!$N103="Y",'Daily Workforce'!$B103&lt;&gt;"",COUNTIF('Daily Schedule'!$F$5:$F51,'Daily Workforce'!$B103)=0,IF('Daily Schedule'!$A52=45,'Daily Workforce'!$J103="Y",IF(OR('Daily Schedule'!$A52=4,'Daily Schedule'!$A52=8),IF(OR(WEEKDAY('Daily Schedule'!$B$2,2)=1,WEEKDAY('Daily Schedule'!$B$2,2)=4,WEEKDAY('Daily Schedule'!$B$2,2)=5,WEEKDAY('Daily Schedule'!$B$2,2)=7),IFERROR(1*'Daily Workforce'!$K103&gt;=3,FALSE()),IFERROR(1*'Daily Workforce'!$K103&gt;=2,FALSE())),IF(AND('Daily Schedule'!$A52&gt;=46,'Daily Schedule'!$A52&lt;=52),'Daily Workforce'!$M103="Y",IFERROR(1*'Daily Workforce'!$P103&gt;=2,FALSE()))))),1,0)</f>
        <v>1</v>
      </c>
      <c r="DK48" s="1" t="n">
        <f aca="false">IF(AND('Daily Workforce'!$N104="Y",'Daily Workforce'!$B104&lt;&gt;"",COUNTIF('Daily Schedule'!$F$5:$F51,'Daily Workforce'!$B104)=0,IF('Daily Schedule'!$A52=45,'Daily Workforce'!$J104="Y",IF(OR('Daily Schedule'!$A52=4,'Daily Schedule'!$A52=8),IF(OR(WEEKDAY('Daily Schedule'!$B$2,2)=1,WEEKDAY('Daily Schedule'!$B$2,2)=4,WEEKDAY('Daily Schedule'!$B$2,2)=5,WEEKDAY('Daily Schedule'!$B$2,2)=7),IFERROR(1*'Daily Workforce'!$K104&gt;=3,FALSE()),IFERROR(1*'Daily Workforce'!$K104&gt;=2,FALSE())),IF(AND('Daily Schedule'!$A52&gt;=46,'Daily Schedule'!$A52&lt;=52),'Daily Workforce'!$M104="Y",IFERROR(1*'Daily Workforce'!$P104&gt;=2,FALSE()))))),1,0)</f>
        <v>1</v>
      </c>
      <c r="DL48" s="1" t="n">
        <f aca="false">IF(AND('Daily Workforce'!$N105="Y",'Daily Workforce'!$B105&lt;&gt;"",COUNTIF('Daily Schedule'!$F$5:$F51,'Daily Workforce'!$B105)=0,IF('Daily Schedule'!$A52=45,'Daily Workforce'!$J105="Y",IF(OR('Daily Schedule'!$A52=4,'Daily Schedule'!$A52=8),IF(OR(WEEKDAY('Daily Schedule'!$B$2,2)=1,WEEKDAY('Daily Schedule'!$B$2,2)=4,WEEKDAY('Daily Schedule'!$B$2,2)=5,WEEKDAY('Daily Schedule'!$B$2,2)=7),IFERROR(1*'Daily Workforce'!$K105&gt;=3,FALSE()),IFERROR(1*'Daily Workforce'!$K105&gt;=2,FALSE())),IF(AND('Daily Schedule'!$A52&gt;=46,'Daily Schedule'!$A52&lt;=52),'Daily Workforce'!$M105="Y",IFERROR(1*'Daily Workforce'!$P105&gt;=2,FALSE()))))),1,0)</f>
        <v>0</v>
      </c>
      <c r="DM48" s="1" t="n">
        <f aca="false">IF(AND('Daily Workforce'!$N106="Y",'Daily Workforce'!$B106&lt;&gt;"",COUNTIF('Daily Schedule'!$F$5:$F51,'Daily Workforce'!$B106)=0,IF('Daily Schedule'!$A52=45,'Daily Workforce'!$J106="Y",IF(OR('Daily Schedule'!$A52=4,'Daily Schedule'!$A52=8),IF(OR(WEEKDAY('Daily Schedule'!$B$2,2)=1,WEEKDAY('Daily Schedule'!$B$2,2)=4,WEEKDAY('Daily Schedule'!$B$2,2)=5,WEEKDAY('Daily Schedule'!$B$2,2)=7),IFERROR(1*'Daily Workforce'!$K106&gt;=3,FALSE()),IFERROR(1*'Daily Workforce'!$K106&gt;=2,FALSE())),IF(AND('Daily Schedule'!$A52&gt;=46,'Daily Schedule'!$A52&lt;=52),'Daily Workforce'!$M106="Y",IFERROR(1*'Daily Workforce'!$P106&gt;=2,FALSE()))))),1,0)</f>
        <v>1</v>
      </c>
      <c r="DN48" s="1" t="n">
        <f aca="false">IF(AND('Daily Workforce'!$N107="Y",'Daily Workforce'!$B107&lt;&gt;"",COUNTIF('Daily Schedule'!$F$5:$F51,'Daily Workforce'!$B107)=0,IF('Daily Schedule'!$A52=45,'Daily Workforce'!$J107="Y",IF(OR('Daily Schedule'!$A52=4,'Daily Schedule'!$A52=8),IF(OR(WEEKDAY('Daily Schedule'!$B$2,2)=1,WEEKDAY('Daily Schedule'!$B$2,2)=4,WEEKDAY('Daily Schedule'!$B$2,2)=5,WEEKDAY('Daily Schedule'!$B$2,2)=7),IFERROR(1*'Daily Workforce'!$K107&gt;=3,FALSE()),IFERROR(1*'Daily Workforce'!$K107&gt;=2,FALSE())),IF(AND('Daily Schedule'!$A52&gt;=46,'Daily Schedule'!$A52&lt;=52),'Daily Workforce'!$M107="Y",IFERROR(1*'Daily Workforce'!$P107&gt;=2,FALSE()))))),1,0)</f>
        <v>1</v>
      </c>
      <c r="DO48" s="1" t="n">
        <f aca="false">IF(AND('Daily Workforce'!$N108="Y",'Daily Workforce'!$B108&lt;&gt;"",COUNTIF('Daily Schedule'!$F$5:$F51,'Daily Workforce'!$B108)=0,IF('Daily Schedule'!$A52=45,'Daily Workforce'!$J108="Y",IF(OR('Daily Schedule'!$A52=4,'Daily Schedule'!$A52=8),IF(OR(WEEKDAY('Daily Schedule'!$B$2,2)=1,WEEKDAY('Daily Schedule'!$B$2,2)=4,WEEKDAY('Daily Schedule'!$B$2,2)=5,WEEKDAY('Daily Schedule'!$B$2,2)=7),IFERROR(1*'Daily Workforce'!$K108&gt;=3,FALSE()),IFERROR(1*'Daily Workforce'!$K108&gt;=2,FALSE())),IF(AND('Daily Schedule'!$A52&gt;=46,'Daily Schedule'!$A52&lt;=52),'Daily Workforce'!$M108="Y",IFERROR(1*'Daily Workforce'!$P108&gt;=2,FALSE()))))),1,0)</f>
        <v>1</v>
      </c>
      <c r="DP48" s="1" t="n">
        <f aca="false">IF(AND('Daily Workforce'!$N109="Y",'Daily Workforce'!$B109&lt;&gt;"",COUNTIF('Daily Schedule'!$F$5:$F51,'Daily Workforce'!$B109)=0,IF('Daily Schedule'!$A52=45,'Daily Workforce'!$J109="Y",IF(OR('Daily Schedule'!$A52=4,'Daily Schedule'!$A52=8),IF(OR(WEEKDAY('Daily Schedule'!$B$2,2)=1,WEEKDAY('Daily Schedule'!$B$2,2)=4,WEEKDAY('Daily Schedule'!$B$2,2)=5,WEEKDAY('Daily Schedule'!$B$2,2)=7),IFERROR(1*'Daily Workforce'!$K109&gt;=3,FALSE()),IFERROR(1*'Daily Workforce'!$K109&gt;=2,FALSE())),IF(AND('Daily Schedule'!$A52&gt;=46,'Daily Schedule'!$A52&lt;=52),'Daily Workforce'!$M109="Y",IFERROR(1*'Daily Workforce'!$P109&gt;=2,FALSE()))))),1,0)</f>
        <v>1</v>
      </c>
      <c r="DQ48" s="1" t="n">
        <f aca="false">IF(AND('Daily Workforce'!$N110="Y",'Daily Workforce'!$B110&lt;&gt;"",COUNTIF('Daily Schedule'!$F$5:$F51,'Daily Workforce'!$B110)=0,IF('Daily Schedule'!$A52=45,'Daily Workforce'!$J110="Y",IF(OR('Daily Schedule'!$A52=4,'Daily Schedule'!$A52=8),IF(OR(WEEKDAY('Daily Schedule'!$B$2,2)=1,WEEKDAY('Daily Schedule'!$B$2,2)=4,WEEKDAY('Daily Schedule'!$B$2,2)=5,WEEKDAY('Daily Schedule'!$B$2,2)=7),IFERROR(1*'Daily Workforce'!$K110&gt;=3,FALSE()),IFERROR(1*'Daily Workforce'!$K110&gt;=2,FALSE())),IF(AND('Daily Schedule'!$A52&gt;=46,'Daily Schedule'!$A52&lt;=52),'Daily Workforce'!$M110="Y",IFERROR(1*'Daily Workforce'!$P110&gt;=2,FALSE()))))),1,0)</f>
        <v>1</v>
      </c>
      <c r="DR48" s="1" t="n">
        <f aca="false">IF(AND('Daily Workforce'!$N111="Y",'Daily Workforce'!$B111&lt;&gt;"",COUNTIF('Daily Schedule'!$F$5:$F51,'Daily Workforce'!$B111)=0,IF('Daily Schedule'!$A52=45,'Daily Workforce'!$J111="Y",IF(OR('Daily Schedule'!$A52=4,'Daily Schedule'!$A52=8),IF(OR(WEEKDAY('Daily Schedule'!$B$2,2)=1,WEEKDAY('Daily Schedule'!$B$2,2)=4,WEEKDAY('Daily Schedule'!$B$2,2)=5,WEEKDAY('Daily Schedule'!$B$2,2)=7),IFERROR(1*'Daily Workforce'!$K111&gt;=3,FALSE()),IFERROR(1*'Daily Workforce'!$K111&gt;=2,FALSE())),IF(AND('Daily Schedule'!$A52&gt;=46,'Daily Schedule'!$A52&lt;=52),'Daily Workforce'!$M111="Y",IFERROR(1*'Daily Workforce'!$P111&gt;=2,FALSE()))))),1,0)</f>
        <v>1</v>
      </c>
      <c r="DS48" s="1" t="n">
        <f aca="false">IF(AND('Daily Workforce'!$N112="Y",'Daily Workforce'!$B112&lt;&gt;"",COUNTIF('Daily Schedule'!$F$5:$F51,'Daily Workforce'!$B112)=0,IF('Daily Schedule'!$A52=45,'Daily Workforce'!$J112="Y",IF(OR('Daily Schedule'!$A52=4,'Daily Schedule'!$A52=8),IF(OR(WEEKDAY('Daily Schedule'!$B$2,2)=1,WEEKDAY('Daily Schedule'!$B$2,2)=4,WEEKDAY('Daily Schedule'!$B$2,2)=5,WEEKDAY('Daily Schedule'!$B$2,2)=7),IFERROR(1*'Daily Workforce'!$K112&gt;=3,FALSE()),IFERROR(1*'Daily Workforce'!$K112&gt;=2,FALSE())),IF(AND('Daily Schedule'!$A52&gt;=46,'Daily Schedule'!$A52&lt;=52),'Daily Workforce'!$M112="Y",IFERROR(1*'Daily Workforce'!$P112&gt;=2,FALSE()))))),1,0)</f>
        <v>1</v>
      </c>
      <c r="DT48" s="1" t="n">
        <f aca="false">IF(AND('Daily Workforce'!$N113="Y",'Daily Workforce'!$B113&lt;&gt;"",COUNTIF('Daily Schedule'!$F$5:$F51,'Daily Workforce'!$B113)=0,IF('Daily Schedule'!$A52=45,'Daily Workforce'!$J113="Y",IF(OR('Daily Schedule'!$A52=4,'Daily Schedule'!$A52=8),IF(OR(WEEKDAY('Daily Schedule'!$B$2,2)=1,WEEKDAY('Daily Schedule'!$B$2,2)=4,WEEKDAY('Daily Schedule'!$B$2,2)=5,WEEKDAY('Daily Schedule'!$B$2,2)=7),IFERROR(1*'Daily Workforce'!$K113&gt;=3,FALSE()),IFERROR(1*'Daily Workforce'!$K113&gt;=2,FALSE())),IF(AND('Daily Schedule'!$A52&gt;=46,'Daily Schedule'!$A52&lt;=52),'Daily Workforce'!$M113="Y",IFERROR(1*'Daily Workforce'!$P113&gt;=2,FALSE()))))),1,0)</f>
        <v>1</v>
      </c>
      <c r="DU48" s="1" t="n">
        <f aca="false">IF(AND('Daily Workforce'!$N114="Y",'Daily Workforce'!$B114&lt;&gt;"",COUNTIF('Daily Schedule'!$F$5:$F51,'Daily Workforce'!$B114)=0,IF('Daily Schedule'!$A52=45,'Daily Workforce'!$J114="Y",IF(OR('Daily Schedule'!$A52=4,'Daily Schedule'!$A52=8),IF(OR(WEEKDAY('Daily Schedule'!$B$2,2)=1,WEEKDAY('Daily Schedule'!$B$2,2)=4,WEEKDAY('Daily Schedule'!$B$2,2)=5,WEEKDAY('Daily Schedule'!$B$2,2)=7),IFERROR(1*'Daily Workforce'!$K114&gt;=3,FALSE()),IFERROR(1*'Daily Workforce'!$K114&gt;=2,FALSE())),IF(AND('Daily Schedule'!$A52&gt;=46,'Daily Schedule'!$A52&lt;=52),'Daily Workforce'!$M114="Y",IFERROR(1*'Daily Workforce'!$P114&gt;=2,FALSE()))))),1,0)</f>
        <v>1</v>
      </c>
      <c r="DV48" s="1" t="n">
        <f aca="false">IF(AND('Daily Workforce'!$N115="Y",'Daily Workforce'!$B115&lt;&gt;"",COUNTIF('Daily Schedule'!$F$5:$F51,'Daily Workforce'!$B115)=0,IF('Daily Schedule'!$A52=45,'Daily Workforce'!$J115="Y",IF(OR('Daily Schedule'!$A52=4,'Daily Schedule'!$A52=8),IF(OR(WEEKDAY('Daily Schedule'!$B$2,2)=1,WEEKDAY('Daily Schedule'!$B$2,2)=4,WEEKDAY('Daily Schedule'!$B$2,2)=5,WEEKDAY('Daily Schedule'!$B$2,2)=7),IFERROR(1*'Daily Workforce'!$K115&gt;=3,FALSE()),IFERROR(1*'Daily Workforce'!$K115&gt;=2,FALSE())),IF(AND('Daily Schedule'!$A52&gt;=46,'Daily Schedule'!$A52&lt;=52),'Daily Workforce'!$M115="Y",IFERROR(1*'Daily Workforce'!$P115&gt;=2,FALSE()))))),1,0)</f>
        <v>1</v>
      </c>
      <c r="DW48" s="1" t="n">
        <f aca="false">IF(AND('Daily Workforce'!$N116="Y",'Daily Workforce'!$B116&lt;&gt;"",COUNTIF('Daily Schedule'!$F$5:$F51,'Daily Workforce'!$B116)=0,IF('Daily Schedule'!$A52=45,'Daily Workforce'!$J116="Y",IF(OR('Daily Schedule'!$A52=4,'Daily Schedule'!$A52=8),IF(OR(WEEKDAY('Daily Schedule'!$B$2,2)=1,WEEKDAY('Daily Schedule'!$B$2,2)=4,WEEKDAY('Daily Schedule'!$B$2,2)=5,WEEKDAY('Daily Schedule'!$B$2,2)=7),IFERROR(1*'Daily Workforce'!$K116&gt;=3,FALSE()),IFERROR(1*'Daily Workforce'!$K116&gt;=2,FALSE())),IF(AND('Daily Schedule'!$A52&gt;=46,'Daily Schedule'!$A52&lt;=52),'Daily Workforce'!$M116="Y",IFERROR(1*'Daily Workforce'!$P116&gt;=2,FALSE()))))),1,0)</f>
        <v>1</v>
      </c>
      <c r="DX48" s="1" t="n">
        <f aca="false">IF(AND('Daily Workforce'!$N117="Y",'Daily Workforce'!$B117&lt;&gt;"",COUNTIF('Daily Schedule'!$F$5:$F51,'Daily Workforce'!$B117)=0,IF('Daily Schedule'!$A52=45,'Daily Workforce'!$J117="Y",IF(OR('Daily Schedule'!$A52=4,'Daily Schedule'!$A52=8),IF(OR(WEEKDAY('Daily Schedule'!$B$2,2)=1,WEEKDAY('Daily Schedule'!$B$2,2)=4,WEEKDAY('Daily Schedule'!$B$2,2)=5,WEEKDAY('Daily Schedule'!$B$2,2)=7),IFERROR(1*'Daily Workforce'!$K117&gt;=3,FALSE()),IFERROR(1*'Daily Workforce'!$K117&gt;=2,FALSE())),IF(AND('Daily Schedule'!$A52&gt;=46,'Daily Schedule'!$A52&lt;=52),'Daily Workforce'!$M117="Y",IFERROR(1*'Daily Workforce'!$P117&gt;=2,FALSE()))))),1,0)</f>
        <v>1</v>
      </c>
      <c r="DY48" s="1" t="n">
        <f aca="false">IF(AND('Daily Workforce'!$N118="Y",'Daily Workforce'!$B118&lt;&gt;"",COUNTIF('Daily Schedule'!$F$5:$F51,'Daily Workforce'!$B118)=0,IF('Daily Schedule'!$A52=45,'Daily Workforce'!$J118="Y",IF(OR('Daily Schedule'!$A52=4,'Daily Schedule'!$A52=8),IF(OR(WEEKDAY('Daily Schedule'!$B$2,2)=1,WEEKDAY('Daily Schedule'!$B$2,2)=4,WEEKDAY('Daily Schedule'!$B$2,2)=5,WEEKDAY('Daily Schedule'!$B$2,2)=7),IFERROR(1*'Daily Workforce'!$K118&gt;=3,FALSE()),IFERROR(1*'Daily Workforce'!$K118&gt;=2,FALSE())),IF(AND('Daily Schedule'!$A52&gt;=46,'Daily Schedule'!$A52&lt;=52),'Daily Workforce'!$M118="Y",IFERROR(1*'Daily Workforce'!$P118&gt;=2,FALSE()))))),1,0)</f>
        <v>0</v>
      </c>
      <c r="DZ48" s="1" t="n">
        <f aca="false">IF(AND('Daily Workforce'!$N119="Y",'Daily Workforce'!$B119&lt;&gt;"",COUNTIF('Daily Schedule'!$F$5:$F51,'Daily Workforce'!$B119)=0,IF('Daily Schedule'!$A52=45,'Daily Workforce'!$J119="Y",IF(OR('Daily Schedule'!$A52=4,'Daily Schedule'!$A52=8),IF(OR(WEEKDAY('Daily Schedule'!$B$2,2)=1,WEEKDAY('Daily Schedule'!$B$2,2)=4,WEEKDAY('Daily Schedule'!$B$2,2)=5,WEEKDAY('Daily Schedule'!$B$2,2)=7),IFERROR(1*'Daily Workforce'!$K119&gt;=3,FALSE()),IFERROR(1*'Daily Workforce'!$K119&gt;=2,FALSE())),IF(AND('Daily Schedule'!$A52&gt;=46,'Daily Schedule'!$A52&lt;=52),'Daily Workforce'!$M119="Y",IFERROR(1*'Daily Workforce'!$P119&gt;=2,FALSE()))))),1,0)</f>
        <v>0</v>
      </c>
      <c r="EA48" s="1" t="n">
        <f aca="false">IF(AND('Daily Workforce'!$N120="Y",'Daily Workforce'!$B120&lt;&gt;"",COUNTIF('Daily Schedule'!$F$5:$F51,'Daily Workforce'!$B120)=0,IF('Daily Schedule'!$A52=45,'Daily Workforce'!$J120="Y",IF(OR('Daily Schedule'!$A52=4,'Daily Schedule'!$A52=8),IF(OR(WEEKDAY('Daily Schedule'!$B$2,2)=1,WEEKDAY('Daily Schedule'!$B$2,2)=4,WEEKDAY('Daily Schedule'!$B$2,2)=5,WEEKDAY('Daily Schedule'!$B$2,2)=7),IFERROR(1*'Daily Workforce'!$K120&gt;=3,FALSE()),IFERROR(1*'Daily Workforce'!$K120&gt;=2,FALSE())),IF(AND('Daily Schedule'!$A52&gt;=46,'Daily Schedule'!$A52&lt;=52),'Daily Workforce'!$M120="Y",IFERROR(1*'Daily Workforce'!$P120&gt;=2,FALSE()))))),1,0)</f>
        <v>0</v>
      </c>
      <c r="EB48" s="1" t="n">
        <f aca="false">IF(AND('Daily Workforce'!$N121="Y",'Daily Workforce'!$B121&lt;&gt;"",COUNTIF('Daily Schedule'!$F$5:$F51,'Daily Workforce'!$B121)=0,IF('Daily Schedule'!$A52=45,'Daily Workforce'!$J121="Y",IF(OR('Daily Schedule'!$A52=4,'Daily Schedule'!$A52=8),IF(OR(WEEKDAY('Daily Schedule'!$B$2,2)=1,WEEKDAY('Daily Schedule'!$B$2,2)=4,WEEKDAY('Daily Schedule'!$B$2,2)=5,WEEKDAY('Daily Schedule'!$B$2,2)=7),IFERROR(1*'Daily Workforce'!$K121&gt;=3,FALSE()),IFERROR(1*'Daily Workforce'!$K121&gt;=2,FALSE())),IF(AND('Daily Schedule'!$A52&gt;=46,'Daily Schedule'!$A52&lt;=52),'Daily Workforce'!$M121="Y",IFERROR(1*'Daily Workforce'!$P121&gt;=2,FALSE()))))),1,0)</f>
        <v>0</v>
      </c>
      <c r="EC48" s="1" t="n">
        <f aca="false">IF(AND('Daily Workforce'!$N122="Y",'Daily Workforce'!$B122&lt;&gt;"",COUNTIF('Daily Schedule'!$F$5:$F51,'Daily Workforce'!$B122)=0,IF('Daily Schedule'!$A52=45,'Daily Workforce'!$J122="Y",IF(OR('Daily Schedule'!$A52=4,'Daily Schedule'!$A52=8),IF(OR(WEEKDAY('Daily Schedule'!$B$2,2)=1,WEEKDAY('Daily Schedule'!$B$2,2)=4,WEEKDAY('Daily Schedule'!$B$2,2)=5,WEEKDAY('Daily Schedule'!$B$2,2)=7),IFERROR(1*'Daily Workforce'!$K122&gt;=3,FALSE()),IFERROR(1*'Daily Workforce'!$K122&gt;=2,FALSE())),IF(AND('Daily Schedule'!$A52&gt;=46,'Daily Schedule'!$A52&lt;=52),'Daily Workforce'!$M122="Y",IFERROR(1*'Daily Workforce'!$P122&gt;=2,FALSE()))))),1,0)</f>
        <v>0</v>
      </c>
      <c r="ED48" s="1" t="n">
        <f aca="false">IF(AND('Daily Workforce'!$N123="Y",'Daily Workforce'!$B123&lt;&gt;"",COUNTIF('Daily Schedule'!$F$5:$F51,'Daily Workforce'!$B123)=0,IF('Daily Schedule'!$A52=45,'Daily Workforce'!$J123="Y",IF(OR('Daily Schedule'!$A52=4,'Daily Schedule'!$A52=8),IF(OR(WEEKDAY('Daily Schedule'!$B$2,2)=1,WEEKDAY('Daily Schedule'!$B$2,2)=4,WEEKDAY('Daily Schedule'!$B$2,2)=5,WEEKDAY('Daily Schedule'!$B$2,2)=7),IFERROR(1*'Daily Workforce'!$K123&gt;=3,FALSE()),IFERROR(1*'Daily Workforce'!$K123&gt;=2,FALSE())),IF(AND('Daily Schedule'!$A52&gt;=46,'Daily Schedule'!$A52&lt;=52),'Daily Workforce'!$M123="Y",IFERROR(1*'Daily Workforce'!$P123&gt;=2,FALSE()))))),1,0)</f>
        <v>0</v>
      </c>
      <c r="EE48" s="1" t="n">
        <f aca="false">IF(AND('Daily Workforce'!$N124="Y",'Daily Workforce'!$B124&lt;&gt;"",COUNTIF('Daily Schedule'!$F$5:$F51,'Daily Workforce'!$B124)=0,IF('Daily Schedule'!$A52=45,'Daily Workforce'!$J124="Y",IF(OR('Daily Schedule'!$A52=4,'Daily Schedule'!$A52=8),IF(OR(WEEKDAY('Daily Schedule'!$B$2,2)=1,WEEKDAY('Daily Schedule'!$B$2,2)=4,WEEKDAY('Daily Schedule'!$B$2,2)=5,WEEKDAY('Daily Schedule'!$B$2,2)=7),IFERROR(1*'Daily Workforce'!$K124&gt;=3,FALSE()),IFERROR(1*'Daily Workforce'!$K124&gt;=2,FALSE())),IF(AND('Daily Schedule'!$A52&gt;=46,'Daily Schedule'!$A52&lt;=52),'Daily Workforce'!$M124="Y",IFERROR(1*'Daily Workforce'!$P124&gt;=2,FALSE()))))),1,0)</f>
        <v>0</v>
      </c>
      <c r="EF48" s="1" t="n">
        <f aca="false">IF(AND('Daily Workforce'!$N125="Y",'Daily Workforce'!$B125&lt;&gt;"",COUNTIF('Daily Schedule'!$F$5:$F51,'Daily Workforce'!$B125)=0,IF('Daily Schedule'!$A52=45,'Daily Workforce'!$J125="Y",IF(OR('Daily Schedule'!$A52=4,'Daily Schedule'!$A52=8),IF(OR(WEEKDAY('Daily Schedule'!$B$2,2)=1,WEEKDAY('Daily Schedule'!$B$2,2)=4,WEEKDAY('Daily Schedule'!$B$2,2)=5,WEEKDAY('Daily Schedule'!$B$2,2)=7),IFERROR(1*'Daily Workforce'!$K125&gt;=3,FALSE()),IFERROR(1*'Daily Workforce'!$K125&gt;=2,FALSE())),IF(AND('Daily Schedule'!$A52&gt;=46,'Daily Schedule'!$A52&lt;=52),'Daily Workforce'!$M125="Y",IFERROR(1*'Daily Workforce'!$P125&gt;=2,FALSE()))))),1,0)</f>
        <v>0</v>
      </c>
      <c r="EG48" s="1" t="n">
        <f aca="false">IF(AND('Daily Workforce'!$N126="Y",'Daily Workforce'!$B126&lt;&gt;"",COUNTIF('Daily Schedule'!$F$5:$F51,'Daily Workforce'!$B126)=0,IF('Daily Schedule'!$A52=45,'Daily Workforce'!$J126="Y",IF(OR('Daily Schedule'!$A52=4,'Daily Schedule'!$A52=8),IF(OR(WEEKDAY('Daily Schedule'!$B$2,2)=1,WEEKDAY('Daily Schedule'!$B$2,2)=4,WEEKDAY('Daily Schedule'!$B$2,2)=5,WEEKDAY('Daily Schedule'!$B$2,2)=7),IFERROR(1*'Daily Workforce'!$K126&gt;=3,FALSE()),IFERROR(1*'Daily Workforce'!$K126&gt;=2,FALSE())),IF(AND('Daily Schedule'!$A52&gt;=46,'Daily Schedule'!$A52&lt;=52),'Daily Workforce'!$M126="Y",IFERROR(1*'Daily Workforce'!$P126&gt;=2,FALSE()))))),1,0)</f>
        <v>0</v>
      </c>
      <c r="EH48" s="1" t="n">
        <f aca="false">IF(AND('Daily Workforce'!$N127="Y",'Daily Workforce'!$B127&lt;&gt;"",COUNTIF('Daily Schedule'!$F$5:$F51,'Daily Workforce'!$B127)=0,IF('Daily Schedule'!$A52=45,'Daily Workforce'!$J127="Y",IF(OR('Daily Schedule'!$A52=4,'Daily Schedule'!$A52=8),IF(OR(WEEKDAY('Daily Schedule'!$B$2,2)=1,WEEKDAY('Daily Schedule'!$B$2,2)=4,WEEKDAY('Daily Schedule'!$B$2,2)=5,WEEKDAY('Daily Schedule'!$B$2,2)=7),IFERROR(1*'Daily Workforce'!$K127&gt;=3,FALSE()),IFERROR(1*'Daily Workforce'!$K127&gt;=2,FALSE())),IF(AND('Daily Schedule'!$A52&gt;=46,'Daily Schedule'!$A52&lt;=52),'Daily Workforce'!$M127="Y",IFERROR(1*'Daily Workforce'!$P127&gt;=2,FALSE()))))),1,0)</f>
        <v>0</v>
      </c>
      <c r="EI48" s="1" t="n">
        <f aca="false">IF(AND('Daily Workforce'!$N128="Y",'Daily Workforce'!$B128&lt;&gt;"",COUNTIF('Daily Schedule'!$F$5:$F51,'Daily Workforce'!$B128)=0,IF('Daily Schedule'!$A52=45,'Daily Workforce'!$J128="Y",IF(OR('Daily Schedule'!$A52=4,'Daily Schedule'!$A52=8),IF(OR(WEEKDAY('Daily Schedule'!$B$2,2)=1,WEEKDAY('Daily Schedule'!$B$2,2)=4,WEEKDAY('Daily Schedule'!$B$2,2)=5,WEEKDAY('Daily Schedule'!$B$2,2)=7),IFERROR(1*'Daily Workforce'!$K128&gt;=3,FALSE()),IFERROR(1*'Daily Workforce'!$K128&gt;=2,FALSE())),IF(AND('Daily Schedule'!$A52&gt;=46,'Daily Schedule'!$A52&lt;=52),'Daily Workforce'!$M128="Y",IFERROR(1*'Daily Workforce'!$P128&gt;=2,FALSE()))))),1,0)</f>
        <v>0</v>
      </c>
      <c r="EJ48" s="1" t="n">
        <f aca="false">IF(AND('Daily Workforce'!$N129="Y",'Daily Workforce'!$B129&lt;&gt;"",COUNTIF('Daily Schedule'!$F$5:$F51,'Daily Workforce'!$B129)=0,IF('Daily Schedule'!$A52=45,'Daily Workforce'!$J129="Y",IF(OR('Daily Schedule'!$A52=4,'Daily Schedule'!$A52=8),IF(OR(WEEKDAY('Daily Schedule'!$B$2,2)=1,WEEKDAY('Daily Schedule'!$B$2,2)=4,WEEKDAY('Daily Schedule'!$B$2,2)=5,WEEKDAY('Daily Schedule'!$B$2,2)=7),IFERROR(1*'Daily Workforce'!$K129&gt;=3,FALSE()),IFERROR(1*'Daily Workforce'!$K129&gt;=2,FALSE())),IF(AND('Daily Schedule'!$A52&gt;=46,'Daily Schedule'!$A52&lt;=52),'Daily Workforce'!$M129="Y",IFERROR(1*'Daily Workforce'!$P129&gt;=2,FALSE()))))),1,0)</f>
        <v>0</v>
      </c>
      <c r="EK48" s="1" t="n">
        <f aca="false">IF(AND('Daily Workforce'!$N130="Y",'Daily Workforce'!$B130&lt;&gt;"",COUNTIF('Daily Schedule'!$F$5:$F51,'Daily Workforce'!$B130)=0,IF('Daily Schedule'!$A52=45,'Daily Workforce'!$J130="Y",IF(OR('Daily Schedule'!$A52=4,'Daily Schedule'!$A52=8),IF(OR(WEEKDAY('Daily Schedule'!$B$2,2)=1,WEEKDAY('Daily Schedule'!$B$2,2)=4,WEEKDAY('Daily Schedule'!$B$2,2)=5,WEEKDAY('Daily Schedule'!$B$2,2)=7),IFERROR(1*'Daily Workforce'!$K130&gt;=3,FALSE()),IFERROR(1*'Daily Workforce'!$K130&gt;=2,FALSE())),IF(AND('Daily Schedule'!$A52&gt;=46,'Daily Schedule'!$A52&lt;=52),'Daily Workforce'!$M130="Y",IFERROR(1*'Daily Workforce'!$P130&gt;=2,FALSE()))))),1,0)</f>
        <v>0</v>
      </c>
      <c r="EL48" s="1" t="n">
        <f aca="false">IF(AND('Daily Workforce'!$N131="Y",'Daily Workforce'!$B131&lt;&gt;"",COUNTIF('Daily Schedule'!$F$5:$F51,'Daily Workforce'!$B131)=0,IF('Daily Schedule'!$A52=45,'Daily Workforce'!$J131="Y",IF(OR('Daily Schedule'!$A52=4,'Daily Schedule'!$A52=8),IF(OR(WEEKDAY('Daily Schedule'!$B$2,2)=1,WEEKDAY('Daily Schedule'!$B$2,2)=4,WEEKDAY('Daily Schedule'!$B$2,2)=5,WEEKDAY('Daily Schedule'!$B$2,2)=7),IFERROR(1*'Daily Workforce'!$K131&gt;=3,FALSE()),IFERROR(1*'Daily Workforce'!$K131&gt;=2,FALSE())),IF(AND('Daily Schedule'!$A52&gt;=46,'Daily Schedule'!$A52&lt;=52),'Daily Workforce'!$M131="Y",IFERROR(1*'Daily Workforce'!$P131&gt;=2,FALSE()))))),1,0)</f>
        <v>0</v>
      </c>
      <c r="EM48" s="1" t="n">
        <f aca="false">IF(AND('Daily Workforce'!$N132="Y",'Daily Workforce'!$B132&lt;&gt;"",COUNTIF('Daily Schedule'!$F$5:$F51,'Daily Workforce'!$B132)=0,IF('Daily Schedule'!$A52=45,'Daily Workforce'!$J132="Y",IF(OR('Daily Schedule'!$A52=4,'Daily Schedule'!$A52=8),IF(OR(WEEKDAY('Daily Schedule'!$B$2,2)=1,WEEKDAY('Daily Schedule'!$B$2,2)=4,WEEKDAY('Daily Schedule'!$B$2,2)=5,WEEKDAY('Daily Schedule'!$B$2,2)=7),IFERROR(1*'Daily Workforce'!$K132&gt;=3,FALSE()),IFERROR(1*'Daily Workforce'!$K132&gt;=2,FALSE())),IF(AND('Daily Schedule'!$A52&gt;=46,'Daily Schedule'!$A52&lt;=52),'Daily Workforce'!$M132="Y",IFERROR(1*'Daily Workforce'!$P132&gt;=2,FALSE()))))),1,0)</f>
        <v>0</v>
      </c>
      <c r="EN48" s="1" t="n">
        <f aca="false">IF(AND('Daily Workforce'!$N133="Y",'Daily Workforce'!$B133&lt;&gt;"",COUNTIF('Daily Schedule'!$F$5:$F51,'Daily Workforce'!$B133)=0,IF('Daily Schedule'!$A52=45,'Daily Workforce'!$J133="Y",IF(OR('Daily Schedule'!$A52=4,'Daily Schedule'!$A52=8),IF(OR(WEEKDAY('Daily Schedule'!$B$2,2)=1,WEEKDAY('Daily Schedule'!$B$2,2)=4,WEEKDAY('Daily Schedule'!$B$2,2)=5,WEEKDAY('Daily Schedule'!$B$2,2)=7),IFERROR(1*'Daily Workforce'!$K133&gt;=3,FALSE()),IFERROR(1*'Daily Workforce'!$K133&gt;=2,FALSE())),IF(AND('Daily Schedule'!$A52&gt;=46,'Daily Schedule'!$A52&lt;=52),'Daily Workforce'!$M133="Y",IFERROR(1*'Daily Workforce'!$P133&gt;=2,FALSE()))))),1,0)</f>
        <v>0</v>
      </c>
      <c r="EO48" s="1" t="n">
        <f aca="false">IF(AND('Daily Workforce'!$N134="Y",'Daily Workforce'!$B134&lt;&gt;"",COUNTIF('Daily Schedule'!$F$5:$F51,'Daily Workforce'!$B134)=0,IF('Daily Schedule'!$A52=45,'Daily Workforce'!$J134="Y",IF(OR('Daily Schedule'!$A52=4,'Daily Schedule'!$A52=8),IF(OR(WEEKDAY('Daily Schedule'!$B$2,2)=1,WEEKDAY('Daily Schedule'!$B$2,2)=4,WEEKDAY('Daily Schedule'!$B$2,2)=5,WEEKDAY('Daily Schedule'!$B$2,2)=7),IFERROR(1*'Daily Workforce'!$K134&gt;=3,FALSE()),IFERROR(1*'Daily Workforce'!$K134&gt;=2,FALSE())),IF(AND('Daily Schedule'!$A52&gt;=46,'Daily Schedule'!$A52&lt;=52),'Daily Workforce'!$M134="Y",IFERROR(1*'Daily Workforce'!$P134&gt;=2,FALSE()))))),1,0)</f>
        <v>0</v>
      </c>
      <c r="EP48" s="1" t="n">
        <f aca="false">IF(AND('Daily Workforce'!$N135="Y",'Daily Workforce'!$B135&lt;&gt;"",COUNTIF('Daily Schedule'!$F$5:$F51,'Daily Workforce'!$B135)=0,IF('Daily Schedule'!$A52=45,'Daily Workforce'!$J135="Y",IF(OR('Daily Schedule'!$A52=4,'Daily Schedule'!$A52=8),IF(OR(WEEKDAY('Daily Schedule'!$B$2,2)=1,WEEKDAY('Daily Schedule'!$B$2,2)=4,WEEKDAY('Daily Schedule'!$B$2,2)=5,WEEKDAY('Daily Schedule'!$B$2,2)=7),IFERROR(1*'Daily Workforce'!$K135&gt;=3,FALSE()),IFERROR(1*'Daily Workforce'!$K135&gt;=2,FALSE())),IF(AND('Daily Schedule'!$A52&gt;=46,'Daily Schedule'!$A52&lt;=52),'Daily Workforce'!$M135="Y",IFERROR(1*'Daily Workforce'!$P135&gt;=2,FALSE()))))),1,0)</f>
        <v>0</v>
      </c>
      <c r="EQ48" s="1" t="n">
        <f aca="false">IF(AND('Daily Workforce'!$N136="Y",'Daily Workforce'!$B136&lt;&gt;"",COUNTIF('Daily Schedule'!$F$5:$F51,'Daily Workforce'!$B136)=0,IF('Daily Schedule'!$A52=45,'Daily Workforce'!$J136="Y",IF(OR('Daily Schedule'!$A52=4,'Daily Schedule'!$A52=8),IF(OR(WEEKDAY('Daily Schedule'!$B$2,2)=1,WEEKDAY('Daily Schedule'!$B$2,2)=4,WEEKDAY('Daily Schedule'!$B$2,2)=5,WEEKDAY('Daily Schedule'!$B$2,2)=7),IFERROR(1*'Daily Workforce'!$K136&gt;=3,FALSE()),IFERROR(1*'Daily Workforce'!$K136&gt;=2,FALSE())),IF(AND('Daily Schedule'!$A52&gt;=46,'Daily Schedule'!$A52&lt;=52),'Daily Workforce'!$M136="Y",IFERROR(1*'Daily Workforce'!$P136&gt;=2,FALSE()))))),1,0)</f>
        <v>0</v>
      </c>
      <c r="ER48" s="1" t="n">
        <f aca="false">IF(AND('Daily Workforce'!$N137="Y",'Daily Workforce'!$B137&lt;&gt;"",COUNTIF('Daily Schedule'!$F$5:$F51,'Daily Workforce'!$B137)=0,IF('Daily Schedule'!$A52=45,'Daily Workforce'!$J137="Y",IF(OR('Daily Schedule'!$A52=4,'Daily Schedule'!$A52=8),IF(OR(WEEKDAY('Daily Schedule'!$B$2,2)=1,WEEKDAY('Daily Schedule'!$B$2,2)=4,WEEKDAY('Daily Schedule'!$B$2,2)=5,WEEKDAY('Daily Schedule'!$B$2,2)=7),IFERROR(1*'Daily Workforce'!$K137&gt;=3,FALSE()),IFERROR(1*'Daily Workforce'!$K137&gt;=2,FALSE())),IF(AND('Daily Schedule'!$A52&gt;=46,'Daily Schedule'!$A52&lt;=52),'Daily Workforce'!$M137="Y",IFERROR(1*'Daily Workforce'!$P137&gt;=2,FALSE()))))),1,0)</f>
        <v>0</v>
      </c>
      <c r="ES48" s="1" t="n">
        <f aca="false">IF(AND('Daily Workforce'!$N138="Y",'Daily Workforce'!$B138&lt;&gt;"",COUNTIF('Daily Schedule'!$F$5:$F51,'Daily Workforce'!$B138)=0,IF('Daily Schedule'!$A52=45,'Daily Workforce'!$J138="Y",IF(OR('Daily Schedule'!$A52=4,'Daily Schedule'!$A52=8),IF(OR(WEEKDAY('Daily Schedule'!$B$2,2)=1,WEEKDAY('Daily Schedule'!$B$2,2)=4,WEEKDAY('Daily Schedule'!$B$2,2)=5,WEEKDAY('Daily Schedule'!$B$2,2)=7),IFERROR(1*'Daily Workforce'!$K138&gt;=3,FALSE()),IFERROR(1*'Daily Workforce'!$K138&gt;=2,FALSE())),IF(AND('Daily Schedule'!$A52&gt;=46,'Daily Schedule'!$A52&lt;=52),'Daily Workforce'!$M138="Y",IFERROR(1*'Daily Workforce'!$P138&gt;=2,FALSE()))))),1,0)</f>
        <v>0</v>
      </c>
      <c r="ET48" s="1" t="n">
        <f aca="false">IF(AND('Daily Workforce'!$N139="Y",'Daily Workforce'!$B139&lt;&gt;"",COUNTIF('Daily Schedule'!$F$5:$F51,'Daily Workforce'!$B139)=0,IF('Daily Schedule'!$A52=45,'Daily Workforce'!$J139="Y",IF(OR('Daily Schedule'!$A52=4,'Daily Schedule'!$A52=8),IF(OR(WEEKDAY('Daily Schedule'!$B$2,2)=1,WEEKDAY('Daily Schedule'!$B$2,2)=4,WEEKDAY('Daily Schedule'!$B$2,2)=5,WEEKDAY('Daily Schedule'!$B$2,2)=7),IFERROR(1*'Daily Workforce'!$K139&gt;=3,FALSE()),IFERROR(1*'Daily Workforce'!$K139&gt;=2,FALSE())),IF(AND('Daily Schedule'!$A52&gt;=46,'Daily Schedule'!$A52&lt;=52),'Daily Workforce'!$M139="Y",IFERROR(1*'Daily Workforce'!$P139&gt;=2,FALSE()))))),1,0)</f>
        <v>0</v>
      </c>
      <c r="EU48" s="1" t="n">
        <f aca="false">IF(AND('Daily Workforce'!$N140="Y",'Daily Workforce'!$B140&lt;&gt;"",COUNTIF('Daily Schedule'!$F$5:$F51,'Daily Workforce'!$B140)=0,IF('Daily Schedule'!$A52=45,'Daily Workforce'!$J140="Y",IF(OR('Daily Schedule'!$A52=4,'Daily Schedule'!$A52=8),IF(OR(WEEKDAY('Daily Schedule'!$B$2,2)=1,WEEKDAY('Daily Schedule'!$B$2,2)=4,WEEKDAY('Daily Schedule'!$B$2,2)=5,WEEKDAY('Daily Schedule'!$B$2,2)=7),IFERROR(1*'Daily Workforce'!$K140&gt;=3,FALSE()),IFERROR(1*'Daily Workforce'!$K140&gt;=2,FALSE())),IF(AND('Daily Schedule'!$A52&gt;=46,'Daily Schedule'!$A52&lt;=52),'Daily Workforce'!$M140="Y",IFERROR(1*'Daily Workforce'!$P140&gt;=2,FALSE()))))),1,0)</f>
        <v>0</v>
      </c>
      <c r="EV48" s="1" t="n">
        <f aca="false">IF(AND('Daily Workforce'!$N141="Y",'Daily Workforce'!$B141&lt;&gt;"",COUNTIF('Daily Schedule'!$F$5:$F51,'Daily Workforce'!$B141)=0,IF('Daily Schedule'!$A52=45,'Daily Workforce'!$J141="Y",IF(OR('Daily Schedule'!$A52=4,'Daily Schedule'!$A52=8),IF(OR(WEEKDAY('Daily Schedule'!$B$2,2)=1,WEEKDAY('Daily Schedule'!$B$2,2)=4,WEEKDAY('Daily Schedule'!$B$2,2)=5,WEEKDAY('Daily Schedule'!$B$2,2)=7),IFERROR(1*'Daily Workforce'!$K141&gt;=3,FALSE()),IFERROR(1*'Daily Workforce'!$K141&gt;=2,FALSE())),IF(AND('Daily Schedule'!$A52&gt;=46,'Daily Schedule'!$A52&lt;=52),'Daily Workforce'!$M141="Y",IFERROR(1*'Daily Workforce'!$P141&gt;=2,FALSE()))))),1,0)</f>
        <v>0</v>
      </c>
      <c r="EW48" s="1" t="n">
        <f aca="false">IF(AND('Daily Workforce'!$N142="Y",'Daily Workforce'!$B142&lt;&gt;"",COUNTIF('Daily Schedule'!$F$5:$F51,'Daily Workforce'!$B142)=0,IF('Daily Schedule'!$A52=45,'Daily Workforce'!$J142="Y",IF(OR('Daily Schedule'!$A52=4,'Daily Schedule'!$A52=8),IF(OR(WEEKDAY('Daily Schedule'!$B$2,2)=1,WEEKDAY('Daily Schedule'!$B$2,2)=4,WEEKDAY('Daily Schedule'!$B$2,2)=5,WEEKDAY('Daily Schedule'!$B$2,2)=7),IFERROR(1*'Daily Workforce'!$K142&gt;=3,FALSE()),IFERROR(1*'Daily Workforce'!$K142&gt;=2,FALSE())),IF(AND('Daily Schedule'!$A52&gt;=46,'Daily Schedule'!$A52&lt;=52),'Daily Workforce'!$M142="Y",IFERROR(1*'Daily Workforce'!$P142&gt;=2,FALSE()))))),1,0)</f>
        <v>0</v>
      </c>
      <c r="EX48" s="1" t="n">
        <f aca="false">IF(AND('Daily Workforce'!$N143="Y",'Daily Workforce'!$B143&lt;&gt;"",COUNTIF('Daily Schedule'!$F$5:$F51,'Daily Workforce'!$B143)=0,IF('Daily Schedule'!$A52=45,'Daily Workforce'!$J143="Y",IF(OR('Daily Schedule'!$A52=4,'Daily Schedule'!$A52=8),IF(OR(WEEKDAY('Daily Schedule'!$B$2,2)=1,WEEKDAY('Daily Schedule'!$B$2,2)=4,WEEKDAY('Daily Schedule'!$B$2,2)=5,WEEKDAY('Daily Schedule'!$B$2,2)=7),IFERROR(1*'Daily Workforce'!$K143&gt;=3,FALSE()),IFERROR(1*'Daily Workforce'!$K143&gt;=2,FALSE())),IF(AND('Daily Schedule'!$A52&gt;=46,'Daily Schedule'!$A52&lt;=52),'Daily Workforce'!$M143="Y",IFERROR(1*'Daily Workforce'!$P143&gt;=2,FALSE()))))),1,0)</f>
        <v>0</v>
      </c>
      <c r="EY48" s="1" t="n">
        <f aca="false">IF(AND('Daily Workforce'!$N144="Y",'Daily Workforce'!$B144&lt;&gt;"",COUNTIF('Daily Schedule'!$F$5:$F51,'Daily Workforce'!$B144)=0,IF('Daily Schedule'!$A52=45,'Daily Workforce'!$J144="Y",IF(OR('Daily Schedule'!$A52=4,'Daily Schedule'!$A52=8),IF(OR(WEEKDAY('Daily Schedule'!$B$2,2)=1,WEEKDAY('Daily Schedule'!$B$2,2)=4,WEEKDAY('Daily Schedule'!$B$2,2)=5,WEEKDAY('Daily Schedule'!$B$2,2)=7),IFERROR(1*'Daily Workforce'!$K144&gt;=3,FALSE()),IFERROR(1*'Daily Workforce'!$K144&gt;=2,FALSE())),IF(AND('Daily Schedule'!$A52&gt;=46,'Daily Schedule'!$A52&lt;=52),'Daily Workforce'!$M144="Y",IFERROR(1*'Daily Workforce'!$P144&gt;=2,FALSE()))))),1,0)</f>
        <v>0</v>
      </c>
      <c r="EZ48" s="1" t="n">
        <f aca="false">IF(AND('Daily Workforce'!$N145="Y",'Daily Workforce'!$B145&lt;&gt;"",COUNTIF('Daily Schedule'!$F$5:$F51,'Daily Workforce'!$B145)=0,IF('Daily Schedule'!$A52=45,'Daily Workforce'!$J145="Y",IF(OR('Daily Schedule'!$A52=4,'Daily Schedule'!$A52=8),IF(OR(WEEKDAY('Daily Schedule'!$B$2,2)=1,WEEKDAY('Daily Schedule'!$B$2,2)=4,WEEKDAY('Daily Schedule'!$B$2,2)=5,WEEKDAY('Daily Schedule'!$B$2,2)=7),IFERROR(1*'Daily Workforce'!$K145&gt;=3,FALSE()),IFERROR(1*'Daily Workforce'!$K145&gt;=2,FALSE())),IF(AND('Daily Schedule'!$A52&gt;=46,'Daily Schedule'!$A52&lt;=52),'Daily Workforce'!$M145="Y",IFERROR(1*'Daily Workforce'!$P145&gt;=2,FALSE()))))),1,0)</f>
        <v>0</v>
      </c>
      <c r="FA48" s="1" t="n">
        <f aca="false">IF(AND('Daily Workforce'!$N146="Y",'Daily Workforce'!$B146&lt;&gt;"",COUNTIF('Daily Schedule'!$F$5:$F51,'Daily Workforce'!$B146)=0,IF('Daily Schedule'!$A52=45,'Daily Workforce'!$J146="Y",IF(OR('Daily Schedule'!$A52=4,'Daily Schedule'!$A52=8),IF(OR(WEEKDAY('Daily Schedule'!$B$2,2)=1,WEEKDAY('Daily Schedule'!$B$2,2)=4,WEEKDAY('Daily Schedule'!$B$2,2)=5,WEEKDAY('Daily Schedule'!$B$2,2)=7),IFERROR(1*'Daily Workforce'!$K146&gt;=3,FALSE()),IFERROR(1*'Daily Workforce'!$K146&gt;=2,FALSE())),IF(AND('Daily Schedule'!$A52&gt;=46,'Daily Schedule'!$A52&lt;=52),'Daily Workforce'!$M146="Y",IFERROR(1*'Daily Workforce'!$P146&gt;=2,FALSE()))))),1,0)</f>
        <v>0</v>
      </c>
      <c r="FB48" s="1" t="n">
        <f aca="false">IF(AND('Daily Workforce'!$N147="Y",'Daily Workforce'!$B147&lt;&gt;"",COUNTIF('Daily Schedule'!$F$5:$F51,'Daily Workforce'!$B147)=0,IF('Daily Schedule'!$A52=45,'Daily Workforce'!$J147="Y",IF(OR('Daily Schedule'!$A52=4,'Daily Schedule'!$A52=8),IF(OR(WEEKDAY('Daily Schedule'!$B$2,2)=1,WEEKDAY('Daily Schedule'!$B$2,2)=4,WEEKDAY('Daily Schedule'!$B$2,2)=5,WEEKDAY('Daily Schedule'!$B$2,2)=7),IFERROR(1*'Daily Workforce'!$K147&gt;=3,FALSE()),IFERROR(1*'Daily Workforce'!$K147&gt;=2,FALSE())),IF(AND('Daily Schedule'!$A52&gt;=46,'Daily Schedule'!$A52&lt;=52),'Daily Workforce'!$M147="Y",IFERROR(1*'Daily Workforce'!$P147&gt;=2,FALSE()))))),1,0)</f>
        <v>0</v>
      </c>
      <c r="FC48" s="1" t="n">
        <f aca="false">IF(AND('Daily Workforce'!$N148="Y",'Daily Workforce'!$B148&lt;&gt;"",COUNTIF('Daily Schedule'!$F$5:$F51,'Daily Workforce'!$B148)=0,IF('Daily Schedule'!$A52=45,'Daily Workforce'!$J148="Y",IF(OR('Daily Schedule'!$A52=4,'Daily Schedule'!$A52=8),IF(OR(WEEKDAY('Daily Schedule'!$B$2,2)=1,WEEKDAY('Daily Schedule'!$B$2,2)=4,WEEKDAY('Daily Schedule'!$B$2,2)=5,WEEKDAY('Daily Schedule'!$B$2,2)=7),IFERROR(1*'Daily Workforce'!$K148&gt;=3,FALSE()),IFERROR(1*'Daily Workforce'!$K148&gt;=2,FALSE())),IF(AND('Daily Schedule'!$A52&gt;=46,'Daily Schedule'!$A52&lt;=52),'Daily Workforce'!$M148="Y",IFERROR(1*'Daily Workforce'!$P148&gt;=2,FALSE()))))),1,0)</f>
        <v>0</v>
      </c>
      <c r="FD48" s="1" t="n">
        <f aca="false">IF(AND('Daily Workforce'!$N149="Y",'Daily Workforce'!$B149&lt;&gt;"",COUNTIF('Daily Schedule'!$F$5:$F51,'Daily Workforce'!$B149)=0,IF('Daily Schedule'!$A52=45,'Daily Workforce'!$J149="Y",IF(OR('Daily Schedule'!$A52=4,'Daily Schedule'!$A52=8),IF(OR(WEEKDAY('Daily Schedule'!$B$2,2)=1,WEEKDAY('Daily Schedule'!$B$2,2)=4,WEEKDAY('Daily Schedule'!$B$2,2)=5,WEEKDAY('Daily Schedule'!$B$2,2)=7),IFERROR(1*'Daily Workforce'!$K149&gt;=3,FALSE()),IFERROR(1*'Daily Workforce'!$K149&gt;=2,FALSE())),IF(AND('Daily Schedule'!$A52&gt;=46,'Daily Schedule'!$A52&lt;=52),'Daily Workforce'!$M149="Y",IFERROR(1*'Daily Workforce'!$P149&gt;=2,FALSE()))))),1,0)</f>
        <v>0</v>
      </c>
      <c r="FE48" s="1" t="n">
        <f aca="false">IF(AND('Daily Workforce'!$N150="Y",'Daily Workforce'!$B150&lt;&gt;"",COUNTIF('Daily Schedule'!$F$5:$F51,'Daily Workforce'!$B150)=0,IF('Daily Schedule'!$A52=45,'Daily Workforce'!$J150="Y",IF(OR('Daily Schedule'!$A52=4,'Daily Schedule'!$A52=8),IF(OR(WEEKDAY('Daily Schedule'!$B$2,2)=1,WEEKDAY('Daily Schedule'!$B$2,2)=4,WEEKDAY('Daily Schedule'!$B$2,2)=5,WEEKDAY('Daily Schedule'!$B$2,2)=7),IFERROR(1*'Daily Workforce'!$K150&gt;=3,FALSE()),IFERROR(1*'Daily Workforce'!$K150&gt;=2,FALSE())),IF(AND('Daily Schedule'!$A52&gt;=46,'Daily Schedule'!$A52&lt;=52),'Daily Workforce'!$M150="Y",IFERROR(1*'Daily Workforce'!$P150&gt;=2,FALSE()))))),1,0)</f>
        <v>0</v>
      </c>
      <c r="FF48" s="1" t="n">
        <f aca="false">IF(AND('Daily Workforce'!$N151="Y",'Daily Workforce'!$B151&lt;&gt;"",COUNTIF('Daily Schedule'!$F$5:$F51,'Daily Workforce'!$B151)=0,IF('Daily Schedule'!$A52=45,'Daily Workforce'!$J151="Y",IF(OR('Daily Schedule'!$A52=4,'Daily Schedule'!$A52=8),IF(OR(WEEKDAY('Daily Schedule'!$B$2,2)=1,WEEKDAY('Daily Schedule'!$B$2,2)=4,WEEKDAY('Daily Schedule'!$B$2,2)=5,WEEKDAY('Daily Schedule'!$B$2,2)=7),IFERROR(1*'Daily Workforce'!$K151&gt;=3,FALSE()),IFERROR(1*'Daily Workforce'!$K151&gt;=2,FALSE())),IF(AND('Daily Schedule'!$A52&gt;=46,'Daily Schedule'!$A52&lt;=52),'Daily Workforce'!$M151="Y",IFERROR(1*'Daily Workforce'!$P151&gt;=2,FALSE()))))),1,0)</f>
        <v>0</v>
      </c>
      <c r="FG48" s="1" t="n">
        <f aca="false">IF(AND('Daily Workforce'!$N152="Y",'Daily Workforce'!$B152&lt;&gt;"",COUNTIF('Daily Schedule'!$F$5:$F51,'Daily Workforce'!$B152)=0,IF('Daily Schedule'!$A52=45,'Daily Workforce'!$J152="Y",IF(OR('Daily Schedule'!$A52=4,'Daily Schedule'!$A52=8),IF(OR(WEEKDAY('Daily Schedule'!$B$2,2)=1,WEEKDAY('Daily Schedule'!$B$2,2)=4,WEEKDAY('Daily Schedule'!$B$2,2)=5,WEEKDAY('Daily Schedule'!$B$2,2)=7),IFERROR(1*'Daily Workforce'!$K152&gt;=3,FALSE()),IFERROR(1*'Daily Workforce'!$K152&gt;=2,FALSE())),IF(AND('Daily Schedule'!$A52&gt;=46,'Daily Schedule'!$A52&lt;=52),'Daily Workforce'!$M152="Y",IFERROR(1*'Daily Workforce'!$P152&gt;=2,FALSE()))))),1,0)</f>
        <v>0</v>
      </c>
      <c r="FH48" s="1" t="n">
        <f aca="false">IF(AND('Daily Workforce'!$N153="Y",'Daily Workforce'!$B153&lt;&gt;"",COUNTIF('Daily Schedule'!$F$5:$F51,'Daily Workforce'!$B153)=0,IF('Daily Schedule'!$A52=45,'Daily Workforce'!$J153="Y",IF(OR('Daily Schedule'!$A52=4,'Daily Schedule'!$A52=8),IF(OR(WEEKDAY('Daily Schedule'!$B$2,2)=1,WEEKDAY('Daily Schedule'!$B$2,2)=4,WEEKDAY('Daily Schedule'!$B$2,2)=5,WEEKDAY('Daily Schedule'!$B$2,2)=7),IFERROR(1*'Daily Workforce'!$K153&gt;=3,FALSE()),IFERROR(1*'Daily Workforce'!$K153&gt;=2,FALSE())),IF(AND('Daily Schedule'!$A52&gt;=46,'Daily Schedule'!$A52&lt;=52),'Daily Workforce'!$M153="Y",IFERROR(1*'Daily Workforce'!$P153&gt;=2,FALSE()))))),1,0)</f>
        <v>0</v>
      </c>
      <c r="FI48" s="1" t="n">
        <f aca="false">IF(AND('Daily Workforce'!$N154="Y",'Daily Workforce'!$B154&lt;&gt;"",COUNTIF('Daily Schedule'!$F$5:$F51,'Daily Workforce'!$B154)=0,IF('Daily Schedule'!$A52=45,'Daily Workforce'!$J154="Y",IF(OR('Daily Schedule'!$A52=4,'Daily Schedule'!$A52=8),IF(OR(WEEKDAY('Daily Schedule'!$B$2,2)=1,WEEKDAY('Daily Schedule'!$B$2,2)=4,WEEKDAY('Daily Schedule'!$B$2,2)=5,WEEKDAY('Daily Schedule'!$B$2,2)=7),IFERROR(1*'Daily Workforce'!$K154&gt;=3,FALSE()),IFERROR(1*'Daily Workforce'!$K154&gt;=2,FALSE())),IF(AND('Daily Schedule'!$A52&gt;=46,'Daily Schedule'!$A52&lt;=52),'Daily Workforce'!$M154="Y",IFERROR(1*'Daily Workforce'!$P154&gt;=2,FALSE()))))),1,0)</f>
        <v>0</v>
      </c>
      <c r="FJ48" s="1" t="n">
        <f aca="false">IF(AND('Daily Workforce'!$N155="Y",'Daily Workforce'!$B155&lt;&gt;"",COUNTIF('Daily Schedule'!$F$5:$F51,'Daily Workforce'!$B155)=0,IF('Daily Schedule'!$A52=45,'Daily Workforce'!$J155="Y",IF(OR('Daily Schedule'!$A52=4,'Daily Schedule'!$A52=8),IF(OR(WEEKDAY('Daily Schedule'!$B$2,2)=1,WEEKDAY('Daily Schedule'!$B$2,2)=4,WEEKDAY('Daily Schedule'!$B$2,2)=5,WEEKDAY('Daily Schedule'!$B$2,2)=7),IFERROR(1*'Daily Workforce'!$K155&gt;=3,FALSE()),IFERROR(1*'Daily Workforce'!$K155&gt;=2,FALSE())),IF(AND('Daily Schedule'!$A52&gt;=46,'Daily Schedule'!$A52&lt;=52),'Daily Workforce'!$M155="Y",IFERROR(1*'Daily Workforce'!$P155&gt;=2,FALSE()))))),1,0)</f>
        <v>0</v>
      </c>
      <c r="FK48" s="1" t="n">
        <f aca="false">IF(AND('Daily Workforce'!$N156="Y",'Daily Workforce'!$B156&lt;&gt;"",COUNTIF('Daily Schedule'!$F$5:$F51,'Daily Workforce'!$B156)=0,IF('Daily Schedule'!$A52=45,'Daily Workforce'!$J156="Y",IF(OR('Daily Schedule'!$A52=4,'Daily Schedule'!$A52=8),IF(OR(WEEKDAY('Daily Schedule'!$B$2,2)=1,WEEKDAY('Daily Schedule'!$B$2,2)=4,WEEKDAY('Daily Schedule'!$B$2,2)=5,WEEKDAY('Daily Schedule'!$B$2,2)=7),IFERROR(1*'Daily Workforce'!$K156&gt;=3,FALSE()),IFERROR(1*'Daily Workforce'!$K156&gt;=2,FALSE())),IF(AND('Daily Schedule'!$A52&gt;=46,'Daily Schedule'!$A52&lt;=52),'Daily Workforce'!$M156="Y",IFERROR(1*'Daily Workforce'!$P156&gt;=2,FALSE()))))),1,0)</f>
        <v>0</v>
      </c>
      <c r="FL48" s="1" t="n">
        <f aca="false">IF(AND('Daily Workforce'!$N157="Y",'Daily Workforce'!$B157&lt;&gt;"",COUNTIF('Daily Schedule'!$F$5:$F51,'Daily Workforce'!$B157)=0,IF('Daily Schedule'!$A52=45,'Daily Workforce'!$J157="Y",IF(OR('Daily Schedule'!$A52=4,'Daily Schedule'!$A52=8),IF(OR(WEEKDAY('Daily Schedule'!$B$2,2)=1,WEEKDAY('Daily Schedule'!$B$2,2)=4,WEEKDAY('Daily Schedule'!$B$2,2)=5,WEEKDAY('Daily Schedule'!$B$2,2)=7),IFERROR(1*'Daily Workforce'!$K157&gt;=3,FALSE()),IFERROR(1*'Daily Workforce'!$K157&gt;=2,FALSE())),IF(AND('Daily Schedule'!$A52&gt;=46,'Daily Schedule'!$A52&lt;=52),'Daily Workforce'!$M157="Y",IFERROR(1*'Daily Workforce'!$P157&gt;=2,FALSE()))))),1,0)</f>
        <v>0</v>
      </c>
      <c r="FM48" s="1" t="n">
        <f aca="false">IF(AND('Daily Workforce'!$N158="Y",'Daily Workforce'!$B158&lt;&gt;"",COUNTIF('Daily Schedule'!$F$5:$F51,'Daily Workforce'!$B158)=0,IF('Daily Schedule'!$A52=45,'Daily Workforce'!$J158="Y",IF(OR('Daily Schedule'!$A52=4,'Daily Schedule'!$A52=8),IF(OR(WEEKDAY('Daily Schedule'!$B$2,2)=1,WEEKDAY('Daily Schedule'!$B$2,2)=4,WEEKDAY('Daily Schedule'!$B$2,2)=5,WEEKDAY('Daily Schedule'!$B$2,2)=7),IFERROR(1*'Daily Workforce'!$K158&gt;=3,FALSE()),IFERROR(1*'Daily Workforce'!$K158&gt;=2,FALSE())),IF(AND('Daily Schedule'!$A52&gt;=46,'Daily Schedule'!$A52&lt;=52),'Daily Workforce'!$M158="Y",IFERROR(1*'Daily Workforce'!$P158&gt;=2,FALSE()))))),1,0)</f>
        <v>0</v>
      </c>
      <c r="FN48" s="1" t="n">
        <f aca="false">IF(AND('Daily Workforce'!$N159="Y",'Daily Workforce'!$B159&lt;&gt;"",COUNTIF('Daily Schedule'!$F$5:$F51,'Daily Workforce'!$B159)=0,IF('Daily Schedule'!$A52=45,'Daily Workforce'!$J159="Y",IF(OR('Daily Schedule'!$A52=4,'Daily Schedule'!$A52=8),IF(OR(WEEKDAY('Daily Schedule'!$B$2,2)=1,WEEKDAY('Daily Schedule'!$B$2,2)=4,WEEKDAY('Daily Schedule'!$B$2,2)=5,WEEKDAY('Daily Schedule'!$B$2,2)=7),IFERROR(1*'Daily Workforce'!$K159&gt;=3,FALSE()),IFERROR(1*'Daily Workforce'!$K159&gt;=2,FALSE())),IF(AND('Daily Schedule'!$A52&gt;=46,'Daily Schedule'!$A52&lt;=52),'Daily Workforce'!$M159="Y",IFERROR(1*'Daily Workforce'!$P159&gt;=2,FALSE()))))),1,0)</f>
        <v>0</v>
      </c>
      <c r="FO48" s="1" t="n">
        <f aca="false">IF(AND('Daily Workforce'!$N160="Y",'Daily Workforce'!$B160&lt;&gt;"",COUNTIF('Daily Schedule'!$F$5:$F51,'Daily Workforce'!$B160)=0,IF('Daily Schedule'!$A52=45,'Daily Workforce'!$J160="Y",IF(OR('Daily Schedule'!$A52=4,'Daily Schedule'!$A52=8),IF(OR(WEEKDAY('Daily Schedule'!$B$2,2)=1,WEEKDAY('Daily Schedule'!$B$2,2)=4,WEEKDAY('Daily Schedule'!$B$2,2)=5,WEEKDAY('Daily Schedule'!$B$2,2)=7),IFERROR(1*'Daily Workforce'!$K160&gt;=3,FALSE()),IFERROR(1*'Daily Workforce'!$K160&gt;=2,FALSE())),IF(AND('Daily Schedule'!$A52&gt;=46,'Daily Schedule'!$A52&lt;=52),'Daily Workforce'!$M160="Y",IFERROR(1*'Daily Workforce'!$P160&gt;=2,FALSE()))))),1,0)</f>
        <v>0</v>
      </c>
      <c r="FP48" s="1" t="n">
        <f aca="false">IF(AND('Daily Workforce'!$N161="Y",'Daily Workforce'!$B161&lt;&gt;"",COUNTIF('Daily Schedule'!$F$5:$F51,'Daily Workforce'!$B161)=0,IF('Daily Schedule'!$A52=45,'Daily Workforce'!$J161="Y",IF(OR('Daily Schedule'!$A52=4,'Daily Schedule'!$A52=8),IF(OR(WEEKDAY('Daily Schedule'!$B$2,2)=1,WEEKDAY('Daily Schedule'!$B$2,2)=4,WEEKDAY('Daily Schedule'!$B$2,2)=5,WEEKDAY('Daily Schedule'!$B$2,2)=7),IFERROR(1*'Daily Workforce'!$K161&gt;=3,FALSE()),IFERROR(1*'Daily Workforce'!$K161&gt;=2,FALSE())),IF(AND('Daily Schedule'!$A52&gt;=46,'Daily Schedule'!$A52&lt;=52),'Daily Workforce'!$M161="Y",IFERROR(1*'Daily Workforce'!$P161&gt;=2,FALSE()))))),1,0)</f>
        <v>0</v>
      </c>
      <c r="FQ48" s="1" t="n">
        <f aca="false">IF(AND('Daily Workforce'!$N162="Y",'Daily Workforce'!$B162&lt;&gt;"",COUNTIF('Daily Schedule'!$F$5:$F51,'Daily Workforce'!$B162)=0,IF('Daily Schedule'!$A52=45,'Daily Workforce'!$J162="Y",IF(OR('Daily Schedule'!$A52=4,'Daily Schedule'!$A52=8),IF(OR(WEEKDAY('Daily Schedule'!$B$2,2)=1,WEEKDAY('Daily Schedule'!$B$2,2)=4,WEEKDAY('Daily Schedule'!$B$2,2)=5,WEEKDAY('Daily Schedule'!$B$2,2)=7),IFERROR(1*'Daily Workforce'!$K162&gt;=3,FALSE()),IFERROR(1*'Daily Workforce'!$K162&gt;=2,FALSE())),IF(AND('Daily Schedule'!$A52&gt;=46,'Daily Schedule'!$A52&lt;=52),'Daily Workforce'!$M162="Y",IFERROR(1*'Daily Workforce'!$P162&gt;=2,FALSE()))))),1,0)</f>
        <v>0</v>
      </c>
      <c r="FR48" s="1" t="n">
        <f aca="false">IF(AND('Daily Workforce'!$N163="Y",'Daily Workforce'!$B163&lt;&gt;"",COUNTIF('Daily Schedule'!$F$5:$F51,'Daily Workforce'!$B163)=0,IF('Daily Schedule'!$A52=45,'Daily Workforce'!$J163="Y",IF(OR('Daily Schedule'!$A52=4,'Daily Schedule'!$A52=8),IF(OR(WEEKDAY('Daily Schedule'!$B$2,2)=1,WEEKDAY('Daily Schedule'!$B$2,2)=4,WEEKDAY('Daily Schedule'!$B$2,2)=5,WEEKDAY('Daily Schedule'!$B$2,2)=7),IFERROR(1*'Daily Workforce'!$K163&gt;=3,FALSE()),IFERROR(1*'Daily Workforce'!$K163&gt;=2,FALSE())),IF(AND('Daily Schedule'!$A52&gt;=46,'Daily Schedule'!$A52&lt;=52),'Daily Workforce'!$M163="Y",IFERROR(1*'Daily Workforce'!$P163&gt;=2,FALSE()))))),1,0)</f>
        <v>0</v>
      </c>
      <c r="FS48" s="1" t="n">
        <f aca="false">IF(AND('Daily Workforce'!$N164="Y",'Daily Workforce'!$B164&lt;&gt;"",COUNTIF('Daily Schedule'!$F$5:$F51,'Daily Workforce'!$B164)=0,IF('Daily Schedule'!$A52=45,'Daily Workforce'!$J164="Y",IF(OR('Daily Schedule'!$A52=4,'Daily Schedule'!$A52=8),IF(OR(WEEKDAY('Daily Schedule'!$B$2,2)=1,WEEKDAY('Daily Schedule'!$B$2,2)=4,WEEKDAY('Daily Schedule'!$B$2,2)=5,WEEKDAY('Daily Schedule'!$B$2,2)=7),IFERROR(1*'Daily Workforce'!$K164&gt;=3,FALSE()),IFERROR(1*'Daily Workforce'!$K164&gt;=2,FALSE())),IF(AND('Daily Schedule'!$A52&gt;=46,'Daily Schedule'!$A52&lt;=52),'Daily Workforce'!$M164="Y",IFERROR(1*'Daily Workforce'!$P164&gt;=2,FALSE()))))),1,0)</f>
        <v>0</v>
      </c>
      <c r="FT48" s="1" t="n">
        <f aca="false">IF(AND('Daily Workforce'!$N165="Y",'Daily Workforce'!$B165&lt;&gt;"",COUNTIF('Daily Schedule'!$F$5:$F51,'Daily Workforce'!$B165)=0,IF('Daily Schedule'!$A52=45,'Daily Workforce'!$J165="Y",IF(OR('Daily Schedule'!$A52=4,'Daily Schedule'!$A52=8),IF(OR(WEEKDAY('Daily Schedule'!$B$2,2)=1,WEEKDAY('Daily Schedule'!$B$2,2)=4,WEEKDAY('Daily Schedule'!$B$2,2)=5,WEEKDAY('Daily Schedule'!$B$2,2)=7),IFERROR(1*'Daily Workforce'!$K165&gt;=3,FALSE()),IFERROR(1*'Daily Workforce'!$K165&gt;=2,FALSE())),IF(AND('Daily Schedule'!$A52&gt;=46,'Daily Schedule'!$A52&lt;=52),'Daily Workforce'!$M165="Y",IFERROR(1*'Daily Workforce'!$P165&gt;=2,FALSE()))))),1,0)</f>
        <v>0</v>
      </c>
      <c r="FU48" s="1" t="n">
        <f aca="false">IF(AND('Daily Workforce'!$N166="Y",'Daily Workforce'!$B166&lt;&gt;"",COUNTIF('Daily Schedule'!$F$5:$F51,'Daily Workforce'!$B166)=0,IF('Daily Schedule'!$A52=45,'Daily Workforce'!$J166="Y",IF(OR('Daily Schedule'!$A52=4,'Daily Schedule'!$A52=8),IF(OR(WEEKDAY('Daily Schedule'!$B$2,2)=1,WEEKDAY('Daily Schedule'!$B$2,2)=4,WEEKDAY('Daily Schedule'!$B$2,2)=5,WEEKDAY('Daily Schedule'!$B$2,2)=7),IFERROR(1*'Daily Workforce'!$K166&gt;=3,FALSE()),IFERROR(1*'Daily Workforce'!$K166&gt;=2,FALSE())),IF(AND('Daily Schedule'!$A52&gt;=46,'Daily Schedule'!$A52&lt;=52),'Daily Workforce'!$M166="Y",IFERROR(1*'Daily Workforce'!$P166&gt;=2,FALSE()))))),1,0)</f>
        <v>0</v>
      </c>
      <c r="FV48" s="1" t="n">
        <f aca="false">IF(AND('Daily Workforce'!$N167="Y",'Daily Workforce'!$B167&lt;&gt;"",COUNTIF('Daily Schedule'!$F$5:$F51,'Daily Workforce'!$B167)=0,IF('Daily Schedule'!$A52=45,'Daily Workforce'!$J167="Y",IF(OR('Daily Schedule'!$A52=4,'Daily Schedule'!$A52=8),IF(OR(WEEKDAY('Daily Schedule'!$B$2,2)=1,WEEKDAY('Daily Schedule'!$B$2,2)=4,WEEKDAY('Daily Schedule'!$B$2,2)=5,WEEKDAY('Daily Schedule'!$B$2,2)=7),IFERROR(1*'Daily Workforce'!$K167&gt;=3,FALSE()),IFERROR(1*'Daily Workforce'!$K167&gt;=2,FALSE())),IF(AND('Daily Schedule'!$A52&gt;=46,'Daily Schedule'!$A52&lt;=52),'Daily Workforce'!$M167="Y",IFERROR(1*'Daily Workforce'!$P167&gt;=2,FALSE()))))),1,0)</f>
        <v>0</v>
      </c>
      <c r="FW48" s="1" t="n">
        <f aca="false">IF(AND('Daily Workforce'!$N168="Y",'Daily Workforce'!$B168&lt;&gt;"",COUNTIF('Daily Schedule'!$F$5:$F51,'Daily Workforce'!$B168)=0,IF('Daily Schedule'!$A52=45,'Daily Workforce'!$J168="Y",IF(OR('Daily Schedule'!$A52=4,'Daily Schedule'!$A52=8),IF(OR(WEEKDAY('Daily Schedule'!$B$2,2)=1,WEEKDAY('Daily Schedule'!$B$2,2)=4,WEEKDAY('Daily Schedule'!$B$2,2)=5,WEEKDAY('Daily Schedule'!$B$2,2)=7),IFERROR(1*'Daily Workforce'!$K168&gt;=3,FALSE()),IFERROR(1*'Daily Workforce'!$K168&gt;=2,FALSE())),IF(AND('Daily Schedule'!$A52&gt;=46,'Daily Schedule'!$A52&lt;=52),'Daily Workforce'!$M168="Y",IFERROR(1*'Daily Workforce'!$P168&gt;=2,FALSE()))))),1,0)</f>
        <v>0</v>
      </c>
      <c r="FX48" s="1" t="n">
        <f aca="false">IF(AND('Daily Workforce'!$N169="Y",'Daily Workforce'!$B169&lt;&gt;"",COUNTIF('Daily Schedule'!$F$5:$F51,'Daily Workforce'!$B169)=0,IF('Daily Schedule'!$A52=45,'Daily Workforce'!$J169="Y",IF(OR('Daily Schedule'!$A52=4,'Daily Schedule'!$A52=8),IF(OR(WEEKDAY('Daily Schedule'!$B$2,2)=1,WEEKDAY('Daily Schedule'!$B$2,2)=4,WEEKDAY('Daily Schedule'!$B$2,2)=5,WEEKDAY('Daily Schedule'!$B$2,2)=7),IFERROR(1*'Daily Workforce'!$K169&gt;=3,FALSE()),IFERROR(1*'Daily Workforce'!$K169&gt;=2,FALSE())),IF(AND('Daily Schedule'!$A52&gt;=46,'Daily Schedule'!$A52&lt;=52),'Daily Workforce'!$M169="Y",IFERROR(1*'Daily Workforce'!$P169&gt;=2,FALSE()))))),1,0)</f>
        <v>0</v>
      </c>
      <c r="FY48" s="1" t="n">
        <f aca="false">IF(AND('Daily Workforce'!$N170="Y",'Daily Workforce'!$B170&lt;&gt;"",COUNTIF('Daily Schedule'!$F$5:$F51,'Daily Workforce'!$B170)=0,IF('Daily Schedule'!$A52=45,'Daily Workforce'!$J170="Y",IF(OR('Daily Schedule'!$A52=4,'Daily Schedule'!$A52=8),IF(OR(WEEKDAY('Daily Schedule'!$B$2,2)=1,WEEKDAY('Daily Schedule'!$B$2,2)=4,WEEKDAY('Daily Schedule'!$B$2,2)=5,WEEKDAY('Daily Schedule'!$B$2,2)=7),IFERROR(1*'Daily Workforce'!$K170&gt;=3,FALSE()),IFERROR(1*'Daily Workforce'!$K170&gt;=2,FALSE())),IF(AND('Daily Schedule'!$A52&gt;=46,'Daily Schedule'!$A52&lt;=52),'Daily Workforce'!$M170="Y",IFERROR(1*'Daily Workforce'!$P170&gt;=2,FALSE()))))),1,0)</f>
        <v>0</v>
      </c>
      <c r="FZ48" s="1" t="n">
        <f aca="false">IF(AND('Daily Workforce'!$N171="Y",'Daily Workforce'!$B171&lt;&gt;"",COUNTIF('Daily Schedule'!$F$5:$F51,'Daily Workforce'!$B171)=0,IF('Daily Schedule'!$A52=45,'Daily Workforce'!$J171="Y",IF(OR('Daily Schedule'!$A52=4,'Daily Schedule'!$A52=8),IF(OR(WEEKDAY('Daily Schedule'!$B$2,2)=1,WEEKDAY('Daily Schedule'!$B$2,2)=4,WEEKDAY('Daily Schedule'!$B$2,2)=5,WEEKDAY('Daily Schedule'!$B$2,2)=7),IFERROR(1*'Daily Workforce'!$K171&gt;=3,FALSE()),IFERROR(1*'Daily Workforce'!$K171&gt;=2,FALSE())),IF(AND('Daily Schedule'!$A52&gt;=46,'Daily Schedule'!$A52&lt;=52),'Daily Workforce'!$M171="Y",IFERROR(1*'Daily Workforce'!$P171&gt;=2,FALSE()))))),1,0)</f>
        <v>0</v>
      </c>
      <c r="GA48" s="1" t="n">
        <f aca="false">IF(AND('Daily Workforce'!$N172="Y",'Daily Workforce'!$B172&lt;&gt;"",COUNTIF('Daily Schedule'!$F$5:$F51,'Daily Workforce'!$B172)=0,IF('Daily Schedule'!$A52=45,'Daily Workforce'!$J172="Y",IF(OR('Daily Schedule'!$A52=4,'Daily Schedule'!$A52=8),IF(OR(WEEKDAY('Daily Schedule'!$B$2,2)=1,WEEKDAY('Daily Schedule'!$B$2,2)=4,WEEKDAY('Daily Schedule'!$B$2,2)=5,WEEKDAY('Daily Schedule'!$B$2,2)=7),IFERROR(1*'Daily Workforce'!$K172&gt;=3,FALSE()),IFERROR(1*'Daily Workforce'!$K172&gt;=2,FALSE())),IF(AND('Daily Schedule'!$A52&gt;=46,'Daily Schedule'!$A52&lt;=52),'Daily Workforce'!$M172="Y",IFERROR(1*'Daily Workforce'!$P172&gt;=2,FALSE()))))),1,0)</f>
        <v>0</v>
      </c>
      <c r="GB48" s="1" t="n">
        <f aca="false">IF(AND('Daily Workforce'!$N173="Y",'Daily Workforce'!$B173&lt;&gt;"",COUNTIF('Daily Schedule'!$F$5:$F51,'Daily Workforce'!$B173)=0,IF('Daily Schedule'!$A52=45,'Daily Workforce'!$J173="Y",IF(OR('Daily Schedule'!$A52=4,'Daily Schedule'!$A52=8),IF(OR(WEEKDAY('Daily Schedule'!$B$2,2)=1,WEEKDAY('Daily Schedule'!$B$2,2)=4,WEEKDAY('Daily Schedule'!$B$2,2)=5,WEEKDAY('Daily Schedule'!$B$2,2)=7),IFERROR(1*'Daily Workforce'!$K173&gt;=3,FALSE()),IFERROR(1*'Daily Workforce'!$K173&gt;=2,FALSE())),IF(AND('Daily Schedule'!$A52&gt;=46,'Daily Schedule'!$A52&lt;=52),'Daily Workforce'!$M173="Y",IFERROR(1*'Daily Workforce'!$P173&gt;=2,FALSE()))))),1,0)</f>
        <v>0</v>
      </c>
      <c r="GC48" s="1" t="n">
        <f aca="false">IF(AND('Daily Workforce'!$N174="Y",'Daily Workforce'!$B174&lt;&gt;"",COUNTIF('Daily Schedule'!$F$5:$F51,'Daily Workforce'!$B174)=0,IF('Daily Schedule'!$A52=45,'Daily Workforce'!$J174="Y",IF(OR('Daily Schedule'!$A52=4,'Daily Schedule'!$A52=8),IF(OR(WEEKDAY('Daily Schedule'!$B$2,2)=1,WEEKDAY('Daily Schedule'!$B$2,2)=4,WEEKDAY('Daily Schedule'!$B$2,2)=5,WEEKDAY('Daily Schedule'!$B$2,2)=7),IFERROR(1*'Daily Workforce'!$K174&gt;=3,FALSE()),IFERROR(1*'Daily Workforce'!$K174&gt;=2,FALSE())),IF(AND('Daily Schedule'!$A52&gt;=46,'Daily Schedule'!$A52&lt;=52),'Daily Workforce'!$M174="Y",IFERROR(1*'Daily Workforce'!$P174&gt;=2,FALSE()))))),1,0)</f>
        <v>0</v>
      </c>
      <c r="GD48" s="1" t="n">
        <f aca="false">IF(AND('Daily Workforce'!$N175="Y",'Daily Workforce'!$B175&lt;&gt;"",COUNTIF('Daily Schedule'!$F$5:$F51,'Daily Workforce'!$B175)=0,IF('Daily Schedule'!$A52=45,'Daily Workforce'!$J175="Y",IF(OR('Daily Schedule'!$A52=4,'Daily Schedule'!$A52=8),IF(OR(WEEKDAY('Daily Schedule'!$B$2,2)=1,WEEKDAY('Daily Schedule'!$B$2,2)=4,WEEKDAY('Daily Schedule'!$B$2,2)=5,WEEKDAY('Daily Schedule'!$B$2,2)=7),IFERROR(1*'Daily Workforce'!$K175&gt;=3,FALSE()),IFERROR(1*'Daily Workforce'!$K175&gt;=2,FALSE())),IF(AND('Daily Schedule'!$A52&gt;=46,'Daily Schedule'!$A52&lt;=52),'Daily Workforce'!$M175="Y",IFERROR(1*'Daily Workforce'!$P175&gt;=2,FALSE()))))),1,0)</f>
        <v>0</v>
      </c>
      <c r="GE48" s="1" t="n">
        <f aca="false">IF(AND('Daily Workforce'!$N176="Y",'Daily Workforce'!$B176&lt;&gt;"",COUNTIF('Daily Schedule'!$F$5:$F51,'Daily Workforce'!$B176)=0,IF('Daily Schedule'!$A52=45,'Daily Workforce'!$J176="Y",IF(OR('Daily Schedule'!$A52=4,'Daily Schedule'!$A52=8),IF(OR(WEEKDAY('Daily Schedule'!$B$2,2)=1,WEEKDAY('Daily Schedule'!$B$2,2)=4,WEEKDAY('Daily Schedule'!$B$2,2)=5,WEEKDAY('Daily Schedule'!$B$2,2)=7),IFERROR(1*'Daily Workforce'!$K176&gt;=3,FALSE()),IFERROR(1*'Daily Workforce'!$K176&gt;=2,FALSE())),IF(AND('Daily Schedule'!$A52&gt;=46,'Daily Schedule'!$A52&lt;=52),'Daily Workforce'!$M176="Y",IFERROR(1*'Daily Workforce'!$P176&gt;=2,FALSE()))))),1,0)</f>
        <v>0</v>
      </c>
      <c r="GF48" s="1" t="n">
        <f aca="false">IF(AND('Daily Workforce'!$N177="Y",'Daily Workforce'!$B177&lt;&gt;"",COUNTIF('Daily Schedule'!$F$5:$F51,'Daily Workforce'!$B177)=0,IF('Daily Schedule'!$A52=45,'Daily Workforce'!$J177="Y",IF(OR('Daily Schedule'!$A52=4,'Daily Schedule'!$A52=8),IF(OR(WEEKDAY('Daily Schedule'!$B$2,2)=1,WEEKDAY('Daily Schedule'!$B$2,2)=4,WEEKDAY('Daily Schedule'!$B$2,2)=5,WEEKDAY('Daily Schedule'!$B$2,2)=7),IFERROR(1*'Daily Workforce'!$K177&gt;=3,FALSE()),IFERROR(1*'Daily Workforce'!$K177&gt;=2,FALSE())),IF(AND('Daily Schedule'!$A52&gt;=46,'Daily Schedule'!$A52&lt;=52),'Daily Workforce'!$M177="Y",IFERROR(1*'Daily Workforce'!$P177&gt;=2,FALSE()))))),1,0)</f>
        <v>0</v>
      </c>
      <c r="GG48" s="1" t="n">
        <f aca="false">IF(AND('Daily Workforce'!$N178="Y",'Daily Workforce'!$B178&lt;&gt;"",COUNTIF('Daily Schedule'!$F$5:$F51,'Daily Workforce'!$B178)=0,IF('Daily Schedule'!$A52=45,'Daily Workforce'!$J178="Y",IF(OR('Daily Schedule'!$A52=4,'Daily Schedule'!$A52=8),IF(OR(WEEKDAY('Daily Schedule'!$B$2,2)=1,WEEKDAY('Daily Schedule'!$B$2,2)=4,WEEKDAY('Daily Schedule'!$B$2,2)=5,WEEKDAY('Daily Schedule'!$B$2,2)=7),IFERROR(1*'Daily Workforce'!$K178&gt;=3,FALSE()),IFERROR(1*'Daily Workforce'!$K178&gt;=2,FALSE())),IF(AND('Daily Schedule'!$A52&gt;=46,'Daily Schedule'!$A52&lt;=52),'Daily Workforce'!$M178="Y",IFERROR(1*'Daily Workforce'!$P178&gt;=2,FALSE()))))),1,0)</f>
        <v>0</v>
      </c>
      <c r="GH48" s="1" t="n">
        <f aca="false">IF(AND('Daily Workforce'!$N179="Y",'Daily Workforce'!$B179&lt;&gt;"",COUNTIF('Daily Schedule'!$F$5:$F51,'Daily Workforce'!$B179)=0,IF('Daily Schedule'!$A52=45,'Daily Workforce'!$J179="Y",IF(OR('Daily Schedule'!$A52=4,'Daily Schedule'!$A52=8),IF(OR(WEEKDAY('Daily Schedule'!$B$2,2)=1,WEEKDAY('Daily Schedule'!$B$2,2)=4,WEEKDAY('Daily Schedule'!$B$2,2)=5,WEEKDAY('Daily Schedule'!$B$2,2)=7),IFERROR(1*'Daily Workforce'!$K179&gt;=3,FALSE()),IFERROR(1*'Daily Workforce'!$K179&gt;=2,FALSE())),IF(AND('Daily Schedule'!$A52&gt;=46,'Daily Schedule'!$A52&lt;=52),'Daily Workforce'!$M179="Y",IFERROR(1*'Daily Workforce'!$P179&gt;=2,FALSE()))))),1,0)</f>
        <v>0</v>
      </c>
      <c r="GI48" s="1" t="n">
        <f aca="false">IF(AND('Daily Workforce'!$N180="Y",'Daily Workforce'!$B180&lt;&gt;"",COUNTIF('Daily Schedule'!$F$5:$F51,'Daily Workforce'!$B180)=0,IF('Daily Schedule'!$A52=45,'Daily Workforce'!$J180="Y",IF(OR('Daily Schedule'!$A52=4,'Daily Schedule'!$A52=8),IF(OR(WEEKDAY('Daily Schedule'!$B$2,2)=1,WEEKDAY('Daily Schedule'!$B$2,2)=4,WEEKDAY('Daily Schedule'!$B$2,2)=5,WEEKDAY('Daily Schedule'!$B$2,2)=7),IFERROR(1*'Daily Workforce'!$K180&gt;=3,FALSE()),IFERROR(1*'Daily Workforce'!$K180&gt;=2,FALSE())),IF(AND('Daily Schedule'!$A52&gt;=46,'Daily Schedule'!$A52&lt;=52),'Daily Workforce'!$M180="Y",IFERROR(1*'Daily Workforce'!$P180&gt;=2,FALSE()))))),1,0)</f>
        <v>0</v>
      </c>
      <c r="GJ48" s="1" t="n">
        <f aca="false">IF(AND('Daily Workforce'!$N181="Y",'Daily Workforce'!$B181&lt;&gt;"",COUNTIF('Daily Schedule'!$F$5:$F51,'Daily Workforce'!$B181)=0,IF('Daily Schedule'!$A52=45,'Daily Workforce'!$J181="Y",IF(OR('Daily Schedule'!$A52=4,'Daily Schedule'!$A52=8),IF(OR(WEEKDAY('Daily Schedule'!$B$2,2)=1,WEEKDAY('Daily Schedule'!$B$2,2)=4,WEEKDAY('Daily Schedule'!$B$2,2)=5,WEEKDAY('Daily Schedule'!$B$2,2)=7),IFERROR(1*'Daily Workforce'!$K181&gt;=3,FALSE()),IFERROR(1*'Daily Workforce'!$K181&gt;=2,FALSE())),IF(AND('Daily Schedule'!$A52&gt;=46,'Daily Schedule'!$A52&lt;=52),'Daily Workforce'!$M181="Y",IFERROR(1*'Daily Workforce'!$P181&gt;=2,FALSE()))))),1,0)</f>
        <v>0</v>
      </c>
      <c r="GK48" s="1" t="n">
        <f aca="false">IF(AND('Daily Workforce'!$N182="Y",'Daily Workforce'!$B182&lt;&gt;"",COUNTIF('Daily Schedule'!$F$5:$F51,'Daily Workforce'!$B182)=0,IF('Daily Schedule'!$A52=45,'Daily Workforce'!$J182="Y",IF(OR('Daily Schedule'!$A52=4,'Daily Schedule'!$A52=8),IF(OR(WEEKDAY('Daily Schedule'!$B$2,2)=1,WEEKDAY('Daily Schedule'!$B$2,2)=4,WEEKDAY('Daily Schedule'!$B$2,2)=5,WEEKDAY('Daily Schedule'!$B$2,2)=7),IFERROR(1*'Daily Workforce'!$K182&gt;=3,FALSE()),IFERROR(1*'Daily Workforce'!$K182&gt;=2,FALSE())),IF(AND('Daily Schedule'!$A52&gt;=46,'Daily Schedule'!$A52&lt;=52),'Daily Workforce'!$M182="Y",IFERROR(1*'Daily Workforce'!$P182&gt;=2,FALSE()))))),1,0)</f>
        <v>0</v>
      </c>
      <c r="GL48" s="1" t="n">
        <f aca="false">IF(AND('Daily Workforce'!$N183="Y",'Daily Workforce'!$B183&lt;&gt;"",COUNTIF('Daily Schedule'!$F$5:$F51,'Daily Workforce'!$B183)=0,IF('Daily Schedule'!$A52=45,'Daily Workforce'!$J183="Y",IF(OR('Daily Schedule'!$A52=4,'Daily Schedule'!$A52=8),IF(OR(WEEKDAY('Daily Schedule'!$B$2,2)=1,WEEKDAY('Daily Schedule'!$B$2,2)=4,WEEKDAY('Daily Schedule'!$B$2,2)=5,WEEKDAY('Daily Schedule'!$B$2,2)=7),IFERROR(1*'Daily Workforce'!$K183&gt;=3,FALSE()),IFERROR(1*'Daily Workforce'!$K183&gt;=2,FALSE())),IF(AND('Daily Schedule'!$A52&gt;=46,'Daily Schedule'!$A52&lt;=52),'Daily Workforce'!$M183="Y",IFERROR(1*'Daily Workforce'!$P183&gt;=2,FALSE()))))),1,0)</f>
        <v>0</v>
      </c>
      <c r="GM48" s="1" t="n">
        <f aca="false">IF(AND('Daily Workforce'!$N184="Y",'Daily Workforce'!$B184&lt;&gt;"",COUNTIF('Daily Schedule'!$F$5:$F51,'Daily Workforce'!$B184)=0,IF('Daily Schedule'!$A52=45,'Daily Workforce'!$J184="Y",IF(OR('Daily Schedule'!$A52=4,'Daily Schedule'!$A52=8),IF(OR(WEEKDAY('Daily Schedule'!$B$2,2)=1,WEEKDAY('Daily Schedule'!$B$2,2)=4,WEEKDAY('Daily Schedule'!$B$2,2)=5,WEEKDAY('Daily Schedule'!$B$2,2)=7),IFERROR(1*'Daily Workforce'!$K184&gt;=3,FALSE()),IFERROR(1*'Daily Workforce'!$K184&gt;=2,FALSE())),IF(AND('Daily Schedule'!$A52&gt;=46,'Daily Schedule'!$A52&lt;=52),'Daily Workforce'!$M184="Y",IFERROR(1*'Daily Workforce'!$P184&gt;=2,FALSE()))))),1,0)</f>
        <v>0</v>
      </c>
      <c r="GN48" s="1" t="n">
        <f aca="false">IF(AND('Daily Workforce'!$N185="Y",'Daily Workforce'!$B185&lt;&gt;"",COUNTIF('Daily Schedule'!$F$5:$F51,'Daily Workforce'!$B185)=0,IF('Daily Schedule'!$A52=45,'Daily Workforce'!$J185="Y",IF(OR('Daily Schedule'!$A52=4,'Daily Schedule'!$A52=8),IF(OR(WEEKDAY('Daily Schedule'!$B$2,2)=1,WEEKDAY('Daily Schedule'!$B$2,2)=4,WEEKDAY('Daily Schedule'!$B$2,2)=5,WEEKDAY('Daily Schedule'!$B$2,2)=7),IFERROR(1*'Daily Workforce'!$K185&gt;=3,FALSE()),IFERROR(1*'Daily Workforce'!$K185&gt;=2,FALSE())),IF(AND('Daily Schedule'!$A52&gt;=46,'Daily Schedule'!$A52&lt;=52),'Daily Workforce'!$M185="Y",IFERROR(1*'Daily Workforce'!$P185&gt;=2,FALSE()))))),1,0)</f>
        <v>0</v>
      </c>
      <c r="GO48" s="1" t="n">
        <f aca="false">IF(AND('Daily Workforce'!$N186="Y",'Daily Workforce'!$B186&lt;&gt;"",COUNTIF('Daily Schedule'!$F$5:$F51,'Daily Workforce'!$B186)=0,IF('Daily Schedule'!$A52=45,'Daily Workforce'!$J186="Y",IF(OR('Daily Schedule'!$A52=4,'Daily Schedule'!$A52=8),IF(OR(WEEKDAY('Daily Schedule'!$B$2,2)=1,WEEKDAY('Daily Schedule'!$B$2,2)=4,WEEKDAY('Daily Schedule'!$B$2,2)=5,WEEKDAY('Daily Schedule'!$B$2,2)=7),IFERROR(1*'Daily Workforce'!$K186&gt;=3,FALSE()),IFERROR(1*'Daily Workforce'!$K186&gt;=2,FALSE())),IF(AND('Daily Schedule'!$A52&gt;=46,'Daily Schedule'!$A52&lt;=52),'Daily Workforce'!$M186="Y",IFERROR(1*'Daily Workforce'!$P186&gt;=2,FALSE()))))),1,0)</f>
        <v>0</v>
      </c>
      <c r="GP48" s="1" t="n">
        <f aca="false">IF(AND('Daily Workforce'!$N187="Y",'Daily Workforce'!$B187&lt;&gt;"",COUNTIF('Daily Schedule'!$F$5:$F51,'Daily Workforce'!$B187)=0,IF('Daily Schedule'!$A52=45,'Daily Workforce'!$J187="Y",IF(OR('Daily Schedule'!$A52=4,'Daily Schedule'!$A52=8),IF(OR(WEEKDAY('Daily Schedule'!$B$2,2)=1,WEEKDAY('Daily Schedule'!$B$2,2)=4,WEEKDAY('Daily Schedule'!$B$2,2)=5,WEEKDAY('Daily Schedule'!$B$2,2)=7),IFERROR(1*'Daily Workforce'!$K187&gt;=3,FALSE()),IFERROR(1*'Daily Workforce'!$K187&gt;=2,FALSE())),IF(AND('Daily Schedule'!$A52&gt;=46,'Daily Schedule'!$A52&lt;=52),'Daily Workforce'!$M187="Y",IFERROR(1*'Daily Workforce'!$P187&gt;=2,FALSE()))))),1,0)</f>
        <v>0</v>
      </c>
      <c r="GQ48" s="1" t="n">
        <f aca="false">IF(AND('Daily Workforce'!$N188="Y",'Daily Workforce'!$B188&lt;&gt;"",COUNTIF('Daily Schedule'!$F$5:$F51,'Daily Workforce'!$B188)=0,IF('Daily Schedule'!$A52=45,'Daily Workforce'!$J188="Y",IF(OR('Daily Schedule'!$A52=4,'Daily Schedule'!$A52=8),IF(OR(WEEKDAY('Daily Schedule'!$B$2,2)=1,WEEKDAY('Daily Schedule'!$B$2,2)=4,WEEKDAY('Daily Schedule'!$B$2,2)=5,WEEKDAY('Daily Schedule'!$B$2,2)=7),IFERROR(1*'Daily Workforce'!$K188&gt;=3,FALSE()),IFERROR(1*'Daily Workforce'!$K188&gt;=2,FALSE())),IF(AND('Daily Schedule'!$A52&gt;=46,'Daily Schedule'!$A52&lt;=52),'Daily Workforce'!$M188="Y",IFERROR(1*'Daily Workforce'!$P188&gt;=2,FALSE()))))),1,0)</f>
        <v>0</v>
      </c>
      <c r="GR48" s="1" t="n">
        <f aca="false">IF(AND('Daily Workforce'!$N189="Y",'Daily Workforce'!$B189&lt;&gt;"",COUNTIF('Daily Schedule'!$F$5:$F51,'Daily Workforce'!$B189)=0,IF('Daily Schedule'!$A52=45,'Daily Workforce'!$J189="Y",IF(OR('Daily Schedule'!$A52=4,'Daily Schedule'!$A52=8),IF(OR(WEEKDAY('Daily Schedule'!$B$2,2)=1,WEEKDAY('Daily Schedule'!$B$2,2)=4,WEEKDAY('Daily Schedule'!$B$2,2)=5,WEEKDAY('Daily Schedule'!$B$2,2)=7),IFERROR(1*'Daily Workforce'!$K189&gt;=3,FALSE()),IFERROR(1*'Daily Workforce'!$K189&gt;=2,FALSE())),IF(AND('Daily Schedule'!$A52&gt;=46,'Daily Schedule'!$A52&lt;=52),'Daily Workforce'!$M189="Y",IFERROR(1*'Daily Workforce'!$P189&gt;=2,FALSE()))))),1,0)</f>
        <v>0</v>
      </c>
      <c r="GS48" s="1" t="n">
        <f aca="false">IF(AND('Daily Workforce'!$N190="Y",'Daily Workforce'!$B190&lt;&gt;"",COUNTIF('Daily Schedule'!$F$5:$F51,'Daily Workforce'!$B190)=0,IF('Daily Schedule'!$A52=45,'Daily Workforce'!$J190="Y",IF(OR('Daily Schedule'!$A52=4,'Daily Schedule'!$A52=8),IF(OR(WEEKDAY('Daily Schedule'!$B$2,2)=1,WEEKDAY('Daily Schedule'!$B$2,2)=4,WEEKDAY('Daily Schedule'!$B$2,2)=5,WEEKDAY('Daily Schedule'!$B$2,2)=7),IFERROR(1*'Daily Workforce'!$K190&gt;=3,FALSE()),IFERROR(1*'Daily Workforce'!$K190&gt;=2,FALSE())),IF(AND('Daily Schedule'!$A52&gt;=46,'Daily Schedule'!$A52&lt;=52),'Daily Workforce'!$M190="Y",IFERROR(1*'Daily Workforce'!$P190&gt;=2,FALSE()))))),1,0)</f>
        <v>0</v>
      </c>
      <c r="GT48" s="1" t="n">
        <f aca="false">IF(AND('Daily Workforce'!$N191="Y",'Daily Workforce'!$B191&lt;&gt;"",COUNTIF('Daily Schedule'!$F$5:$F51,'Daily Workforce'!$B191)=0,IF('Daily Schedule'!$A52=45,'Daily Workforce'!$J191="Y",IF(OR('Daily Schedule'!$A52=4,'Daily Schedule'!$A52=8),IF(OR(WEEKDAY('Daily Schedule'!$B$2,2)=1,WEEKDAY('Daily Schedule'!$B$2,2)=4,WEEKDAY('Daily Schedule'!$B$2,2)=5,WEEKDAY('Daily Schedule'!$B$2,2)=7),IFERROR(1*'Daily Workforce'!$K191&gt;=3,FALSE()),IFERROR(1*'Daily Workforce'!$K191&gt;=2,FALSE())),IF(AND('Daily Schedule'!$A52&gt;=46,'Daily Schedule'!$A52&lt;=52),'Daily Workforce'!$M191="Y",IFERROR(1*'Daily Workforce'!$P191&gt;=2,FALSE()))))),1,0)</f>
        <v>0</v>
      </c>
      <c r="GU48" s="1" t="n">
        <f aca="false">IF(AND('Daily Workforce'!$N192="Y",'Daily Workforce'!$B192&lt;&gt;"",COUNTIF('Daily Schedule'!$F$5:$F51,'Daily Workforce'!$B192)=0,IF('Daily Schedule'!$A52=45,'Daily Workforce'!$J192="Y",IF(OR('Daily Schedule'!$A52=4,'Daily Schedule'!$A52=8),IF(OR(WEEKDAY('Daily Schedule'!$B$2,2)=1,WEEKDAY('Daily Schedule'!$B$2,2)=4,WEEKDAY('Daily Schedule'!$B$2,2)=5,WEEKDAY('Daily Schedule'!$B$2,2)=7),IFERROR(1*'Daily Workforce'!$K192&gt;=3,FALSE()),IFERROR(1*'Daily Workforce'!$K192&gt;=2,FALSE())),IF(AND('Daily Schedule'!$A52&gt;=46,'Daily Schedule'!$A52&lt;=52),'Daily Workforce'!$M192="Y",IFERROR(1*'Daily Workforce'!$P192&gt;=2,FALSE()))))),1,0)</f>
        <v>0</v>
      </c>
      <c r="GV48" s="1" t="n">
        <f aca="false">IF(AND('Daily Workforce'!$N193="Y",'Daily Workforce'!$B193&lt;&gt;"",COUNTIF('Daily Schedule'!$F$5:$F51,'Daily Workforce'!$B193)=0,IF('Daily Schedule'!$A52=45,'Daily Workforce'!$J193="Y",IF(OR('Daily Schedule'!$A52=4,'Daily Schedule'!$A52=8),IF(OR(WEEKDAY('Daily Schedule'!$B$2,2)=1,WEEKDAY('Daily Schedule'!$B$2,2)=4,WEEKDAY('Daily Schedule'!$B$2,2)=5,WEEKDAY('Daily Schedule'!$B$2,2)=7),IFERROR(1*'Daily Workforce'!$K193&gt;=3,FALSE()),IFERROR(1*'Daily Workforce'!$K193&gt;=2,FALSE())),IF(AND('Daily Schedule'!$A52&gt;=46,'Daily Schedule'!$A52&lt;=52),'Daily Workforce'!$M193="Y",IFERROR(1*'Daily Workforce'!$P193&gt;=2,FALSE()))))),1,0)</f>
        <v>0</v>
      </c>
      <c r="GW48" s="1" t="n">
        <f aca="false">IF(AND('Daily Workforce'!$N194="Y",'Daily Workforce'!$B194&lt;&gt;"",COUNTIF('Daily Schedule'!$F$5:$F51,'Daily Workforce'!$B194)=0,IF('Daily Schedule'!$A52=45,'Daily Workforce'!$J194="Y",IF(OR('Daily Schedule'!$A52=4,'Daily Schedule'!$A52=8),IF(OR(WEEKDAY('Daily Schedule'!$B$2,2)=1,WEEKDAY('Daily Schedule'!$B$2,2)=4,WEEKDAY('Daily Schedule'!$B$2,2)=5,WEEKDAY('Daily Schedule'!$B$2,2)=7),IFERROR(1*'Daily Workforce'!$K194&gt;=3,FALSE()),IFERROR(1*'Daily Workforce'!$K194&gt;=2,FALSE())),IF(AND('Daily Schedule'!$A52&gt;=46,'Daily Schedule'!$A52&lt;=52),'Daily Workforce'!$M194="Y",IFERROR(1*'Daily Workforce'!$P194&gt;=2,FALSE()))))),1,0)</f>
        <v>0</v>
      </c>
      <c r="GX48" s="1" t="n">
        <f aca="false">IF(AND('Daily Workforce'!$N195="Y",'Daily Workforce'!$B195&lt;&gt;"",COUNTIF('Daily Schedule'!$F$5:$F51,'Daily Workforce'!$B195)=0,IF('Daily Schedule'!$A52=45,'Daily Workforce'!$J195="Y",IF(OR('Daily Schedule'!$A52=4,'Daily Schedule'!$A52=8),IF(OR(WEEKDAY('Daily Schedule'!$B$2,2)=1,WEEKDAY('Daily Schedule'!$B$2,2)=4,WEEKDAY('Daily Schedule'!$B$2,2)=5,WEEKDAY('Daily Schedule'!$B$2,2)=7),IFERROR(1*'Daily Workforce'!$K195&gt;=3,FALSE()),IFERROR(1*'Daily Workforce'!$K195&gt;=2,FALSE())),IF(AND('Daily Schedule'!$A52&gt;=46,'Daily Schedule'!$A52&lt;=52),'Daily Workforce'!$M195="Y",IFERROR(1*'Daily Workforce'!$P195&gt;=2,FALSE()))))),1,0)</f>
        <v>0</v>
      </c>
      <c r="GY48" s="1" t="n">
        <f aca="false">IF(AND('Daily Workforce'!$N196="Y",'Daily Workforce'!$B196&lt;&gt;"",COUNTIF('Daily Schedule'!$F$5:$F51,'Daily Workforce'!$B196)=0,IF('Daily Schedule'!$A52=45,'Daily Workforce'!$J196="Y",IF(OR('Daily Schedule'!$A52=4,'Daily Schedule'!$A52=8),IF(OR(WEEKDAY('Daily Schedule'!$B$2,2)=1,WEEKDAY('Daily Schedule'!$B$2,2)=4,WEEKDAY('Daily Schedule'!$B$2,2)=5,WEEKDAY('Daily Schedule'!$B$2,2)=7),IFERROR(1*'Daily Workforce'!$K196&gt;=3,FALSE()),IFERROR(1*'Daily Workforce'!$K196&gt;=2,FALSE())),IF(AND('Daily Schedule'!$A52&gt;=46,'Daily Schedule'!$A52&lt;=52),'Daily Workforce'!$M196="Y",IFERROR(1*'Daily Workforce'!$P196&gt;=2,FALSE()))))),1,0)</f>
        <v>0</v>
      </c>
      <c r="GZ48" s="1" t="n">
        <f aca="false">IF(AND('Daily Workforce'!$N197="Y",'Daily Workforce'!$B197&lt;&gt;"",COUNTIF('Daily Schedule'!$F$5:$F51,'Daily Workforce'!$B197)=0,IF('Daily Schedule'!$A52=45,'Daily Workforce'!$J197="Y",IF(OR('Daily Schedule'!$A52=4,'Daily Schedule'!$A52=8),IF(OR(WEEKDAY('Daily Schedule'!$B$2,2)=1,WEEKDAY('Daily Schedule'!$B$2,2)=4,WEEKDAY('Daily Schedule'!$B$2,2)=5,WEEKDAY('Daily Schedule'!$B$2,2)=7),IFERROR(1*'Daily Workforce'!$K197&gt;=3,FALSE()),IFERROR(1*'Daily Workforce'!$K197&gt;=2,FALSE())),IF(AND('Daily Schedule'!$A52&gt;=46,'Daily Schedule'!$A52&lt;=52),'Daily Workforce'!$M197="Y",IFERROR(1*'Daily Workforce'!$P197&gt;=2,FALSE()))))),1,0)</f>
        <v>0</v>
      </c>
      <c r="HA48" s="1" t="n">
        <f aca="false">IF(AND('Daily Workforce'!$N198="Y",'Daily Workforce'!$B198&lt;&gt;"",COUNTIF('Daily Schedule'!$F$5:$F51,'Daily Workforce'!$B198)=0,IF('Daily Schedule'!$A52=45,'Daily Workforce'!$J198="Y",IF(OR('Daily Schedule'!$A52=4,'Daily Schedule'!$A52=8),IF(OR(WEEKDAY('Daily Schedule'!$B$2,2)=1,WEEKDAY('Daily Schedule'!$B$2,2)=4,WEEKDAY('Daily Schedule'!$B$2,2)=5,WEEKDAY('Daily Schedule'!$B$2,2)=7),IFERROR(1*'Daily Workforce'!$K198&gt;=3,FALSE()),IFERROR(1*'Daily Workforce'!$K198&gt;=2,FALSE())),IF(AND('Daily Schedule'!$A52&gt;=46,'Daily Schedule'!$A52&lt;=52),'Daily Workforce'!$M198="Y",IFERROR(1*'Daily Workforce'!$P198&gt;=2,FALSE()))))),1,0)</f>
        <v>0</v>
      </c>
      <c r="HB48" s="1" t="n">
        <f aca="false">IF(AND('Daily Workforce'!$N199="Y",'Daily Workforce'!$B199&lt;&gt;"",COUNTIF('Daily Schedule'!$F$5:$F51,'Daily Workforce'!$B199)=0,IF('Daily Schedule'!$A52=45,'Daily Workforce'!$J199="Y",IF(OR('Daily Schedule'!$A52=4,'Daily Schedule'!$A52=8),IF(OR(WEEKDAY('Daily Schedule'!$B$2,2)=1,WEEKDAY('Daily Schedule'!$B$2,2)=4,WEEKDAY('Daily Schedule'!$B$2,2)=5,WEEKDAY('Daily Schedule'!$B$2,2)=7),IFERROR(1*'Daily Workforce'!$K199&gt;=3,FALSE()),IFERROR(1*'Daily Workforce'!$K199&gt;=2,FALSE())),IF(AND('Daily Schedule'!$A52&gt;=46,'Daily Schedule'!$A52&lt;=52),'Daily Workforce'!$M199="Y",IFERROR(1*'Daily Workforce'!$P199&gt;=2,FALSE()))))),1,0)</f>
        <v>0</v>
      </c>
      <c r="HC48" s="1" t="n">
        <f aca="false">IF(AND('Daily Workforce'!$N200="Y",'Daily Workforce'!$B200&lt;&gt;"",COUNTIF('Daily Schedule'!$F$5:$F51,'Daily Workforce'!$B200)=0,IF('Daily Schedule'!$A52=45,'Daily Workforce'!$J200="Y",IF(OR('Daily Schedule'!$A52=4,'Daily Schedule'!$A52=8),IF(OR(WEEKDAY('Daily Schedule'!$B$2,2)=1,WEEKDAY('Daily Schedule'!$B$2,2)=4,WEEKDAY('Daily Schedule'!$B$2,2)=5,WEEKDAY('Daily Schedule'!$B$2,2)=7),IFERROR(1*'Daily Workforce'!$K200&gt;=3,FALSE()),IFERROR(1*'Daily Workforce'!$K200&gt;=2,FALSE())),IF(AND('Daily Schedule'!$A52&gt;=46,'Daily Schedule'!$A52&lt;=52),'Daily Workforce'!$M200="Y",IFERROR(1*'Daily Workforce'!$P200&gt;=2,FALSE()))))),1,0)</f>
        <v>0</v>
      </c>
      <c r="HD48" s="1" t="n">
        <f aca="false">IF(AND('Daily Workforce'!$N201="Y",'Daily Workforce'!$B201&lt;&gt;"",COUNTIF('Daily Schedule'!$F$5:$F51,'Daily Workforce'!$B201)=0,IF('Daily Schedule'!$A52=45,'Daily Workforce'!$J201="Y",IF(OR('Daily Schedule'!$A52=4,'Daily Schedule'!$A52=8),IF(OR(WEEKDAY('Daily Schedule'!$B$2,2)=1,WEEKDAY('Daily Schedule'!$B$2,2)=4,WEEKDAY('Daily Schedule'!$B$2,2)=5,WEEKDAY('Daily Schedule'!$B$2,2)=7),IFERROR(1*'Daily Workforce'!$K201&gt;=3,FALSE()),IFERROR(1*'Daily Workforce'!$K201&gt;=2,FALSE())),IF(AND('Daily Schedule'!$A52&gt;=46,'Daily Schedule'!$A52&lt;=52),'Daily Workforce'!$M201="Y",IFERROR(1*'Daily Workforce'!$P201&gt;=2,FALSE()))))),1,0)</f>
        <v>0</v>
      </c>
      <c r="HE48" s="1" t="n">
        <f aca="false">IF(AND('Daily Workforce'!$N202="Y",'Daily Workforce'!$B202&lt;&gt;"",COUNTIF('Daily Schedule'!$F$5:$F51,'Daily Workforce'!$B202)=0,IF('Daily Schedule'!$A52=45,'Daily Workforce'!$J202="Y",IF(OR('Daily Schedule'!$A52=4,'Daily Schedule'!$A52=8),IF(OR(WEEKDAY('Daily Schedule'!$B$2,2)=1,WEEKDAY('Daily Schedule'!$B$2,2)=4,WEEKDAY('Daily Schedule'!$B$2,2)=5,WEEKDAY('Daily Schedule'!$B$2,2)=7),IFERROR(1*'Daily Workforce'!$K202&gt;=3,FALSE()),IFERROR(1*'Daily Workforce'!$K202&gt;=2,FALSE())),IF(AND('Daily Schedule'!$A52&gt;=46,'Daily Schedule'!$A52&lt;=52),'Daily Workforce'!$M202="Y",IFERROR(1*'Daily Workforce'!$P202&gt;=2,FALSE()))))),1,0)</f>
        <v>0</v>
      </c>
      <c r="HF48" s="1" t="n">
        <f aca="false">IF(AND('Daily Workforce'!$N203="Y",'Daily Workforce'!$B203&lt;&gt;"",COUNTIF('Daily Schedule'!$F$5:$F51,'Daily Workforce'!$B203)=0,IF('Daily Schedule'!$A52=45,'Daily Workforce'!$J203="Y",IF(OR('Daily Schedule'!$A52=4,'Daily Schedule'!$A52=8),IF(OR(WEEKDAY('Daily Schedule'!$B$2,2)=1,WEEKDAY('Daily Schedule'!$B$2,2)=4,WEEKDAY('Daily Schedule'!$B$2,2)=5,WEEKDAY('Daily Schedule'!$B$2,2)=7),IFERROR(1*'Daily Workforce'!$K203&gt;=3,FALSE()),IFERROR(1*'Daily Workforce'!$K203&gt;=2,FALSE())),IF(AND('Daily Schedule'!$A52&gt;=46,'Daily Schedule'!$A52&lt;=52),'Daily Workforce'!$M203="Y",IFERROR(1*'Daily Workforce'!$P203&gt;=2,FALSE()))))),1,0)</f>
        <v>0</v>
      </c>
      <c r="HG48" s="1" t="n">
        <f aca="false">IF(AND('Daily Workforce'!$N204="Y",'Daily Workforce'!$B204&lt;&gt;"",COUNTIF('Daily Schedule'!$F$5:$F51,'Daily Workforce'!$B204)=0,IF('Daily Schedule'!$A52=45,'Daily Workforce'!$J204="Y",IF(OR('Daily Schedule'!$A52=4,'Daily Schedule'!$A52=8),IF(OR(WEEKDAY('Daily Schedule'!$B$2,2)=1,WEEKDAY('Daily Schedule'!$B$2,2)=4,WEEKDAY('Daily Schedule'!$B$2,2)=5,WEEKDAY('Daily Schedule'!$B$2,2)=7),IFERROR(1*'Daily Workforce'!$K204&gt;=3,FALSE()),IFERROR(1*'Daily Workforce'!$K204&gt;=2,FALSE())),IF(AND('Daily Schedule'!$A52&gt;=46,'Daily Schedule'!$A52&lt;=52),'Daily Workforce'!$M204="Y",IFERROR(1*'Daily Workforce'!$P204&gt;=2,FALSE()))))),1,0)</f>
        <v>0</v>
      </c>
      <c r="HH48" s="1" t="n">
        <f aca="false">IF(AND('Daily Workforce'!$N205="Y",'Daily Workforce'!$B205&lt;&gt;"",COUNTIF('Daily Schedule'!$F$5:$F51,'Daily Workforce'!$B205)=0,IF('Daily Schedule'!$A52=45,'Daily Workforce'!$J205="Y",IF(OR('Daily Schedule'!$A52=4,'Daily Schedule'!$A52=8),IF(OR(WEEKDAY('Daily Schedule'!$B$2,2)=1,WEEKDAY('Daily Schedule'!$B$2,2)=4,WEEKDAY('Daily Schedule'!$B$2,2)=5,WEEKDAY('Daily Schedule'!$B$2,2)=7),IFERROR(1*'Daily Workforce'!$K205&gt;=3,FALSE()),IFERROR(1*'Daily Workforce'!$K205&gt;=2,FALSE())),IF(AND('Daily Schedule'!$A52&gt;=46,'Daily Schedule'!$A52&lt;=52),'Daily Workforce'!$M205="Y",IFERROR(1*'Daily Workforce'!$P205&gt;=2,FALSE()))))),1,0)</f>
        <v>0</v>
      </c>
    </row>
    <row r="49" customFormat="false" ht="15" hidden="false" customHeight="true" outlineLevel="0" collapsed="false">
      <c r="L49" s="1" t="s">
        <v>492</v>
      </c>
      <c r="O49" s="1" t="n">
        <f aca="false">IF(AND('Employee Master'!$G49="Y",ISERROR(SEARCH(TEXT('Daily Workforce'!$B$2,"ddd"),'Employee Master'!$D49)),IF('Daily Workforce'!$E$2="",TRUE(),'Employee Master'!$I49='Daily Workforce'!$E$2)),'Employee Master'!$K49*1000+ROW()-1,"")</f>
        <v>4048</v>
      </c>
      <c r="P49" s="1" t="n">
        <f aca="false">IF($O49="","",COUNTIF($O$2:$O$159,"&lt;="&amp;$O49))</f>
        <v>88</v>
      </c>
      <c r="Q49" s="1" t="n">
        <f aca="false">IF(AND('Daily Workforce'!$N6="Y",'Daily Workforce'!$B6&lt;&gt;"",COUNTIF('Daily Schedule'!$F$5:$F52,'Daily Workforce'!$B6)=0,IF('Daily Schedule'!$A53=45,'Daily Workforce'!$J6="Y",IF(OR('Daily Schedule'!$A53=4,'Daily Schedule'!$A53=8),IF(OR(WEEKDAY('Daily Schedule'!$B$2,2)=1,WEEKDAY('Daily Schedule'!$B$2,2)=4,WEEKDAY('Daily Schedule'!$B$2,2)=5,WEEKDAY('Daily Schedule'!$B$2,2)=7),IFERROR(1*'Daily Workforce'!$K6&gt;=3,FALSE()),IFERROR(1*'Daily Workforce'!$K6&gt;=2,FALSE())),IF(AND('Daily Schedule'!$A53&gt;=46,'Daily Schedule'!$A53&lt;=52),'Daily Workforce'!$M6="Y",IFERROR(1*'Daily Workforce'!$P6&gt;=2,FALSE()))))),1,0)</f>
        <v>0</v>
      </c>
      <c r="R49" s="1" t="n">
        <f aca="false">IF(AND('Daily Workforce'!$N7="Y",'Daily Workforce'!$B7&lt;&gt;"",COUNTIF('Daily Schedule'!$F$5:$F52,'Daily Workforce'!$B7)=0,IF('Daily Schedule'!$A53=45,'Daily Workforce'!$J7="Y",IF(OR('Daily Schedule'!$A53=4,'Daily Schedule'!$A53=8),IF(OR(WEEKDAY('Daily Schedule'!$B$2,2)=1,WEEKDAY('Daily Schedule'!$B$2,2)=4,WEEKDAY('Daily Schedule'!$B$2,2)=5,WEEKDAY('Daily Schedule'!$B$2,2)=7),IFERROR(1*'Daily Workforce'!$K7&gt;=3,FALSE()),IFERROR(1*'Daily Workforce'!$K7&gt;=2,FALSE())),IF(AND('Daily Schedule'!$A53&gt;=46,'Daily Schedule'!$A53&lt;=52),'Daily Workforce'!$M7="Y",IFERROR(1*'Daily Workforce'!$P7&gt;=2,FALSE()))))),1,0)</f>
        <v>0</v>
      </c>
      <c r="S49" s="1" t="n">
        <f aca="false">IF(AND('Daily Workforce'!$N8="Y",'Daily Workforce'!$B8&lt;&gt;"",COUNTIF('Daily Schedule'!$F$5:$F52,'Daily Workforce'!$B8)=0,IF('Daily Schedule'!$A53=45,'Daily Workforce'!$J8="Y",IF(OR('Daily Schedule'!$A53=4,'Daily Schedule'!$A53=8),IF(OR(WEEKDAY('Daily Schedule'!$B$2,2)=1,WEEKDAY('Daily Schedule'!$B$2,2)=4,WEEKDAY('Daily Schedule'!$B$2,2)=5,WEEKDAY('Daily Schedule'!$B$2,2)=7),IFERROR(1*'Daily Workforce'!$K8&gt;=3,FALSE()),IFERROR(1*'Daily Workforce'!$K8&gt;=2,FALSE())),IF(AND('Daily Schedule'!$A53&gt;=46,'Daily Schedule'!$A53&lt;=52),'Daily Workforce'!$M8="Y",IFERROR(1*'Daily Workforce'!$P8&gt;=2,FALSE()))))),1,0)</f>
        <v>0</v>
      </c>
      <c r="T49" s="1" t="n">
        <f aca="false">IF(AND('Daily Workforce'!$N9="Y",'Daily Workforce'!$B9&lt;&gt;"",COUNTIF('Daily Schedule'!$F$5:$F52,'Daily Workforce'!$B9)=0,IF('Daily Schedule'!$A53=45,'Daily Workforce'!$J9="Y",IF(OR('Daily Schedule'!$A53=4,'Daily Schedule'!$A53=8),IF(OR(WEEKDAY('Daily Schedule'!$B$2,2)=1,WEEKDAY('Daily Schedule'!$B$2,2)=4,WEEKDAY('Daily Schedule'!$B$2,2)=5,WEEKDAY('Daily Schedule'!$B$2,2)=7),IFERROR(1*'Daily Workforce'!$K9&gt;=3,FALSE()),IFERROR(1*'Daily Workforce'!$K9&gt;=2,FALSE())),IF(AND('Daily Schedule'!$A53&gt;=46,'Daily Schedule'!$A53&lt;=52),'Daily Workforce'!$M9="Y",IFERROR(1*'Daily Workforce'!$P9&gt;=2,FALSE()))))),1,0)</f>
        <v>0</v>
      </c>
      <c r="U49" s="1" t="n">
        <f aca="false">IF(AND('Daily Workforce'!$N10="Y",'Daily Workforce'!$B10&lt;&gt;"",COUNTIF('Daily Schedule'!$F$5:$F52,'Daily Workforce'!$B10)=0,IF('Daily Schedule'!$A53=45,'Daily Workforce'!$J10="Y",IF(OR('Daily Schedule'!$A53=4,'Daily Schedule'!$A53=8),IF(OR(WEEKDAY('Daily Schedule'!$B$2,2)=1,WEEKDAY('Daily Schedule'!$B$2,2)=4,WEEKDAY('Daily Schedule'!$B$2,2)=5,WEEKDAY('Daily Schedule'!$B$2,2)=7),IFERROR(1*'Daily Workforce'!$K10&gt;=3,FALSE()),IFERROR(1*'Daily Workforce'!$K10&gt;=2,FALSE())),IF(AND('Daily Schedule'!$A53&gt;=46,'Daily Schedule'!$A53&lt;=52),'Daily Workforce'!$M10="Y",IFERROR(1*'Daily Workforce'!$P10&gt;=2,FALSE()))))),1,0)</f>
        <v>0</v>
      </c>
      <c r="V49" s="1" t="n">
        <f aca="false">IF(AND('Daily Workforce'!$N11="Y",'Daily Workforce'!$B11&lt;&gt;"",COUNTIF('Daily Schedule'!$F$5:$F52,'Daily Workforce'!$B11)=0,IF('Daily Schedule'!$A53=45,'Daily Workforce'!$J11="Y",IF(OR('Daily Schedule'!$A53=4,'Daily Schedule'!$A53=8),IF(OR(WEEKDAY('Daily Schedule'!$B$2,2)=1,WEEKDAY('Daily Schedule'!$B$2,2)=4,WEEKDAY('Daily Schedule'!$B$2,2)=5,WEEKDAY('Daily Schedule'!$B$2,2)=7),IFERROR(1*'Daily Workforce'!$K11&gt;=3,FALSE()),IFERROR(1*'Daily Workforce'!$K11&gt;=2,FALSE())),IF(AND('Daily Schedule'!$A53&gt;=46,'Daily Schedule'!$A53&lt;=52),'Daily Workforce'!$M11="Y",IFERROR(1*'Daily Workforce'!$P11&gt;=2,FALSE()))))),1,0)</f>
        <v>0</v>
      </c>
      <c r="W49" s="1" t="n">
        <f aca="false">IF(AND('Daily Workforce'!$N12="Y",'Daily Workforce'!$B12&lt;&gt;"",COUNTIF('Daily Schedule'!$F$5:$F52,'Daily Workforce'!$B12)=0,IF('Daily Schedule'!$A53=45,'Daily Workforce'!$J12="Y",IF(OR('Daily Schedule'!$A53=4,'Daily Schedule'!$A53=8),IF(OR(WEEKDAY('Daily Schedule'!$B$2,2)=1,WEEKDAY('Daily Schedule'!$B$2,2)=4,WEEKDAY('Daily Schedule'!$B$2,2)=5,WEEKDAY('Daily Schedule'!$B$2,2)=7),IFERROR(1*'Daily Workforce'!$K12&gt;=3,FALSE()),IFERROR(1*'Daily Workforce'!$K12&gt;=2,FALSE())),IF(AND('Daily Schedule'!$A53&gt;=46,'Daily Schedule'!$A53&lt;=52),'Daily Workforce'!$M12="Y",IFERROR(1*'Daily Workforce'!$P12&gt;=2,FALSE()))))),1,0)</f>
        <v>0</v>
      </c>
      <c r="X49" s="1" t="n">
        <f aca="false">IF(AND('Daily Workforce'!$N13="Y",'Daily Workforce'!$B13&lt;&gt;"",COUNTIF('Daily Schedule'!$F$5:$F52,'Daily Workforce'!$B13)=0,IF('Daily Schedule'!$A53=45,'Daily Workforce'!$J13="Y",IF(OR('Daily Schedule'!$A53=4,'Daily Schedule'!$A53=8),IF(OR(WEEKDAY('Daily Schedule'!$B$2,2)=1,WEEKDAY('Daily Schedule'!$B$2,2)=4,WEEKDAY('Daily Schedule'!$B$2,2)=5,WEEKDAY('Daily Schedule'!$B$2,2)=7),IFERROR(1*'Daily Workforce'!$K13&gt;=3,FALSE()),IFERROR(1*'Daily Workforce'!$K13&gt;=2,FALSE())),IF(AND('Daily Schedule'!$A53&gt;=46,'Daily Schedule'!$A53&lt;=52),'Daily Workforce'!$M13="Y",IFERROR(1*'Daily Workforce'!$P13&gt;=2,FALSE()))))),1,0)</f>
        <v>0</v>
      </c>
      <c r="Y49" s="1" t="n">
        <f aca="false">IF(AND('Daily Workforce'!$N14="Y",'Daily Workforce'!$B14&lt;&gt;"",COUNTIF('Daily Schedule'!$F$5:$F52,'Daily Workforce'!$B14)=0,IF('Daily Schedule'!$A53=45,'Daily Workforce'!$J14="Y",IF(OR('Daily Schedule'!$A53=4,'Daily Schedule'!$A53=8),IF(OR(WEEKDAY('Daily Schedule'!$B$2,2)=1,WEEKDAY('Daily Schedule'!$B$2,2)=4,WEEKDAY('Daily Schedule'!$B$2,2)=5,WEEKDAY('Daily Schedule'!$B$2,2)=7),IFERROR(1*'Daily Workforce'!$K14&gt;=3,FALSE()),IFERROR(1*'Daily Workforce'!$K14&gt;=2,FALSE())),IF(AND('Daily Schedule'!$A53&gt;=46,'Daily Schedule'!$A53&lt;=52),'Daily Workforce'!$M14="Y",IFERROR(1*'Daily Workforce'!$P14&gt;=2,FALSE()))))),1,0)</f>
        <v>0</v>
      </c>
      <c r="Z49" s="1" t="n">
        <f aca="false">IF(AND('Daily Workforce'!$N15="Y",'Daily Workforce'!$B15&lt;&gt;"",COUNTIF('Daily Schedule'!$F$5:$F52,'Daily Workforce'!$B15)=0,IF('Daily Schedule'!$A53=45,'Daily Workforce'!$J15="Y",IF(OR('Daily Schedule'!$A53=4,'Daily Schedule'!$A53=8),IF(OR(WEEKDAY('Daily Schedule'!$B$2,2)=1,WEEKDAY('Daily Schedule'!$B$2,2)=4,WEEKDAY('Daily Schedule'!$B$2,2)=5,WEEKDAY('Daily Schedule'!$B$2,2)=7),IFERROR(1*'Daily Workforce'!$K15&gt;=3,FALSE()),IFERROR(1*'Daily Workforce'!$K15&gt;=2,FALSE())),IF(AND('Daily Schedule'!$A53&gt;=46,'Daily Schedule'!$A53&lt;=52),'Daily Workforce'!$M15="Y",IFERROR(1*'Daily Workforce'!$P15&gt;=2,FALSE()))))),1,0)</f>
        <v>0</v>
      </c>
      <c r="AA49" s="1" t="n">
        <f aca="false">IF(AND('Daily Workforce'!$N16="Y",'Daily Workforce'!$B16&lt;&gt;"",COUNTIF('Daily Schedule'!$F$5:$F52,'Daily Workforce'!$B16)=0,IF('Daily Schedule'!$A53=45,'Daily Workforce'!$J16="Y",IF(OR('Daily Schedule'!$A53=4,'Daily Schedule'!$A53=8),IF(OR(WEEKDAY('Daily Schedule'!$B$2,2)=1,WEEKDAY('Daily Schedule'!$B$2,2)=4,WEEKDAY('Daily Schedule'!$B$2,2)=5,WEEKDAY('Daily Schedule'!$B$2,2)=7),IFERROR(1*'Daily Workforce'!$K16&gt;=3,FALSE()),IFERROR(1*'Daily Workforce'!$K16&gt;=2,FALSE())),IF(AND('Daily Schedule'!$A53&gt;=46,'Daily Schedule'!$A53&lt;=52),'Daily Workforce'!$M16="Y",IFERROR(1*'Daily Workforce'!$P16&gt;=2,FALSE()))))),1,0)</f>
        <v>0</v>
      </c>
      <c r="AB49" s="1" t="n">
        <f aca="false">IF(AND('Daily Workforce'!$N17="Y",'Daily Workforce'!$B17&lt;&gt;"",COUNTIF('Daily Schedule'!$F$5:$F52,'Daily Workforce'!$B17)=0,IF('Daily Schedule'!$A53=45,'Daily Workforce'!$J17="Y",IF(OR('Daily Schedule'!$A53=4,'Daily Schedule'!$A53=8),IF(OR(WEEKDAY('Daily Schedule'!$B$2,2)=1,WEEKDAY('Daily Schedule'!$B$2,2)=4,WEEKDAY('Daily Schedule'!$B$2,2)=5,WEEKDAY('Daily Schedule'!$B$2,2)=7),IFERROR(1*'Daily Workforce'!$K17&gt;=3,FALSE()),IFERROR(1*'Daily Workforce'!$K17&gt;=2,FALSE())),IF(AND('Daily Schedule'!$A53&gt;=46,'Daily Schedule'!$A53&lt;=52),'Daily Workforce'!$M17="Y",IFERROR(1*'Daily Workforce'!$P17&gt;=2,FALSE()))))),1,0)</f>
        <v>0</v>
      </c>
      <c r="AC49" s="1" t="n">
        <f aca="false">IF(AND('Daily Workforce'!$N18="Y",'Daily Workforce'!$B18&lt;&gt;"",COUNTIF('Daily Schedule'!$F$5:$F52,'Daily Workforce'!$B18)=0,IF('Daily Schedule'!$A53=45,'Daily Workforce'!$J18="Y",IF(OR('Daily Schedule'!$A53=4,'Daily Schedule'!$A53=8),IF(OR(WEEKDAY('Daily Schedule'!$B$2,2)=1,WEEKDAY('Daily Schedule'!$B$2,2)=4,WEEKDAY('Daily Schedule'!$B$2,2)=5,WEEKDAY('Daily Schedule'!$B$2,2)=7),IFERROR(1*'Daily Workforce'!$K18&gt;=3,FALSE()),IFERROR(1*'Daily Workforce'!$K18&gt;=2,FALSE())),IF(AND('Daily Schedule'!$A53&gt;=46,'Daily Schedule'!$A53&lt;=52),'Daily Workforce'!$M18="Y",IFERROR(1*'Daily Workforce'!$P18&gt;=2,FALSE()))))),1,0)</f>
        <v>0</v>
      </c>
      <c r="AD49" s="1" t="n">
        <f aca="false">IF(AND('Daily Workforce'!$N19="Y",'Daily Workforce'!$B19&lt;&gt;"",COUNTIF('Daily Schedule'!$F$5:$F52,'Daily Workforce'!$B19)=0,IF('Daily Schedule'!$A53=45,'Daily Workforce'!$J19="Y",IF(OR('Daily Schedule'!$A53=4,'Daily Schedule'!$A53=8),IF(OR(WEEKDAY('Daily Schedule'!$B$2,2)=1,WEEKDAY('Daily Schedule'!$B$2,2)=4,WEEKDAY('Daily Schedule'!$B$2,2)=5,WEEKDAY('Daily Schedule'!$B$2,2)=7),IFERROR(1*'Daily Workforce'!$K19&gt;=3,FALSE()),IFERROR(1*'Daily Workforce'!$K19&gt;=2,FALSE())),IF(AND('Daily Schedule'!$A53&gt;=46,'Daily Schedule'!$A53&lt;=52),'Daily Workforce'!$M19="Y",IFERROR(1*'Daily Workforce'!$P19&gt;=2,FALSE()))))),1,0)</f>
        <v>0</v>
      </c>
      <c r="AE49" s="1" t="n">
        <f aca="false">IF(AND('Daily Workforce'!$N20="Y",'Daily Workforce'!$B20&lt;&gt;"",COUNTIF('Daily Schedule'!$F$5:$F52,'Daily Workforce'!$B20)=0,IF('Daily Schedule'!$A53=45,'Daily Workforce'!$J20="Y",IF(OR('Daily Schedule'!$A53=4,'Daily Schedule'!$A53=8),IF(OR(WEEKDAY('Daily Schedule'!$B$2,2)=1,WEEKDAY('Daily Schedule'!$B$2,2)=4,WEEKDAY('Daily Schedule'!$B$2,2)=5,WEEKDAY('Daily Schedule'!$B$2,2)=7),IFERROR(1*'Daily Workforce'!$K20&gt;=3,FALSE()),IFERROR(1*'Daily Workforce'!$K20&gt;=2,FALSE())),IF(AND('Daily Schedule'!$A53&gt;=46,'Daily Schedule'!$A53&lt;=52),'Daily Workforce'!$M20="Y",IFERROR(1*'Daily Workforce'!$P20&gt;=2,FALSE()))))),1,0)</f>
        <v>0</v>
      </c>
      <c r="AF49" s="1" t="n">
        <f aca="false">IF(AND('Daily Workforce'!$N21="Y",'Daily Workforce'!$B21&lt;&gt;"",COUNTIF('Daily Schedule'!$F$5:$F52,'Daily Workforce'!$B21)=0,IF('Daily Schedule'!$A53=45,'Daily Workforce'!$J21="Y",IF(OR('Daily Schedule'!$A53=4,'Daily Schedule'!$A53=8),IF(OR(WEEKDAY('Daily Schedule'!$B$2,2)=1,WEEKDAY('Daily Schedule'!$B$2,2)=4,WEEKDAY('Daily Schedule'!$B$2,2)=5,WEEKDAY('Daily Schedule'!$B$2,2)=7),IFERROR(1*'Daily Workforce'!$K21&gt;=3,FALSE()),IFERROR(1*'Daily Workforce'!$K21&gt;=2,FALSE())),IF(AND('Daily Schedule'!$A53&gt;=46,'Daily Schedule'!$A53&lt;=52),'Daily Workforce'!$M21="Y",IFERROR(1*'Daily Workforce'!$P21&gt;=2,FALSE()))))),1,0)</f>
        <v>0</v>
      </c>
      <c r="AG49" s="1" t="n">
        <f aca="false">IF(AND('Daily Workforce'!$N22="Y",'Daily Workforce'!$B22&lt;&gt;"",COUNTIF('Daily Schedule'!$F$5:$F52,'Daily Workforce'!$B22)=0,IF('Daily Schedule'!$A53=45,'Daily Workforce'!$J22="Y",IF(OR('Daily Schedule'!$A53=4,'Daily Schedule'!$A53=8),IF(OR(WEEKDAY('Daily Schedule'!$B$2,2)=1,WEEKDAY('Daily Schedule'!$B$2,2)=4,WEEKDAY('Daily Schedule'!$B$2,2)=5,WEEKDAY('Daily Schedule'!$B$2,2)=7),IFERROR(1*'Daily Workforce'!$K22&gt;=3,FALSE()),IFERROR(1*'Daily Workforce'!$K22&gt;=2,FALSE())),IF(AND('Daily Schedule'!$A53&gt;=46,'Daily Schedule'!$A53&lt;=52),'Daily Workforce'!$M22="Y",IFERROR(1*'Daily Workforce'!$P22&gt;=2,FALSE()))))),1,0)</f>
        <v>0</v>
      </c>
      <c r="AH49" s="1" t="n">
        <f aca="false">IF(AND('Daily Workforce'!$N23="Y",'Daily Workforce'!$B23&lt;&gt;"",COUNTIF('Daily Schedule'!$F$5:$F52,'Daily Workforce'!$B23)=0,IF('Daily Schedule'!$A53=45,'Daily Workforce'!$J23="Y",IF(OR('Daily Schedule'!$A53=4,'Daily Schedule'!$A53=8),IF(OR(WEEKDAY('Daily Schedule'!$B$2,2)=1,WEEKDAY('Daily Schedule'!$B$2,2)=4,WEEKDAY('Daily Schedule'!$B$2,2)=5,WEEKDAY('Daily Schedule'!$B$2,2)=7),IFERROR(1*'Daily Workforce'!$K23&gt;=3,FALSE()),IFERROR(1*'Daily Workforce'!$K23&gt;=2,FALSE())),IF(AND('Daily Schedule'!$A53&gt;=46,'Daily Schedule'!$A53&lt;=52),'Daily Workforce'!$M23="Y",IFERROR(1*'Daily Workforce'!$P23&gt;=2,FALSE()))))),1,0)</f>
        <v>0</v>
      </c>
      <c r="AI49" s="1" t="n">
        <f aca="false">IF(AND('Daily Workforce'!$N24="Y",'Daily Workforce'!$B24&lt;&gt;"",COUNTIF('Daily Schedule'!$F$5:$F52,'Daily Workforce'!$B24)=0,IF('Daily Schedule'!$A53=45,'Daily Workforce'!$J24="Y",IF(OR('Daily Schedule'!$A53=4,'Daily Schedule'!$A53=8),IF(OR(WEEKDAY('Daily Schedule'!$B$2,2)=1,WEEKDAY('Daily Schedule'!$B$2,2)=4,WEEKDAY('Daily Schedule'!$B$2,2)=5,WEEKDAY('Daily Schedule'!$B$2,2)=7),IFERROR(1*'Daily Workforce'!$K24&gt;=3,FALSE()),IFERROR(1*'Daily Workforce'!$K24&gt;=2,FALSE())),IF(AND('Daily Schedule'!$A53&gt;=46,'Daily Schedule'!$A53&lt;=52),'Daily Workforce'!$M24="Y",IFERROR(1*'Daily Workforce'!$P24&gt;=2,FALSE()))))),1,0)</f>
        <v>0</v>
      </c>
      <c r="AJ49" s="1" t="n">
        <f aca="false">IF(AND('Daily Workforce'!$N25="Y",'Daily Workforce'!$B25&lt;&gt;"",COUNTIF('Daily Schedule'!$F$5:$F52,'Daily Workforce'!$B25)=0,IF('Daily Schedule'!$A53=45,'Daily Workforce'!$J25="Y",IF(OR('Daily Schedule'!$A53=4,'Daily Schedule'!$A53=8),IF(OR(WEEKDAY('Daily Schedule'!$B$2,2)=1,WEEKDAY('Daily Schedule'!$B$2,2)=4,WEEKDAY('Daily Schedule'!$B$2,2)=5,WEEKDAY('Daily Schedule'!$B$2,2)=7),IFERROR(1*'Daily Workforce'!$K25&gt;=3,FALSE()),IFERROR(1*'Daily Workforce'!$K25&gt;=2,FALSE())),IF(AND('Daily Schedule'!$A53&gt;=46,'Daily Schedule'!$A53&lt;=52),'Daily Workforce'!$M25="Y",IFERROR(1*'Daily Workforce'!$P25&gt;=2,FALSE()))))),1,0)</f>
        <v>0</v>
      </c>
      <c r="AK49" s="1" t="n">
        <f aca="false">IF(AND('Daily Workforce'!$N26="Y",'Daily Workforce'!$B26&lt;&gt;"",COUNTIF('Daily Schedule'!$F$5:$F52,'Daily Workforce'!$B26)=0,IF('Daily Schedule'!$A53=45,'Daily Workforce'!$J26="Y",IF(OR('Daily Schedule'!$A53=4,'Daily Schedule'!$A53=8),IF(OR(WEEKDAY('Daily Schedule'!$B$2,2)=1,WEEKDAY('Daily Schedule'!$B$2,2)=4,WEEKDAY('Daily Schedule'!$B$2,2)=5,WEEKDAY('Daily Schedule'!$B$2,2)=7),IFERROR(1*'Daily Workforce'!$K26&gt;=3,FALSE()),IFERROR(1*'Daily Workforce'!$K26&gt;=2,FALSE())),IF(AND('Daily Schedule'!$A53&gt;=46,'Daily Schedule'!$A53&lt;=52),'Daily Workforce'!$M26="Y",IFERROR(1*'Daily Workforce'!$P26&gt;=2,FALSE()))))),1,0)</f>
        <v>0</v>
      </c>
      <c r="AL49" s="1" t="n">
        <f aca="false">IF(AND('Daily Workforce'!$N27="Y",'Daily Workforce'!$B27&lt;&gt;"",COUNTIF('Daily Schedule'!$F$5:$F52,'Daily Workforce'!$B27)=0,IF('Daily Schedule'!$A53=45,'Daily Workforce'!$J27="Y",IF(OR('Daily Schedule'!$A53=4,'Daily Schedule'!$A53=8),IF(OR(WEEKDAY('Daily Schedule'!$B$2,2)=1,WEEKDAY('Daily Schedule'!$B$2,2)=4,WEEKDAY('Daily Schedule'!$B$2,2)=5,WEEKDAY('Daily Schedule'!$B$2,2)=7),IFERROR(1*'Daily Workforce'!$K27&gt;=3,FALSE()),IFERROR(1*'Daily Workforce'!$K27&gt;=2,FALSE())),IF(AND('Daily Schedule'!$A53&gt;=46,'Daily Schedule'!$A53&lt;=52),'Daily Workforce'!$M27="Y",IFERROR(1*'Daily Workforce'!$P27&gt;=2,FALSE()))))),1,0)</f>
        <v>0</v>
      </c>
      <c r="AM49" s="1" t="n">
        <f aca="false">IF(AND('Daily Workforce'!$N28="Y",'Daily Workforce'!$B28&lt;&gt;"",COUNTIF('Daily Schedule'!$F$5:$F52,'Daily Workforce'!$B28)=0,IF('Daily Schedule'!$A53=45,'Daily Workforce'!$J28="Y",IF(OR('Daily Schedule'!$A53=4,'Daily Schedule'!$A53=8),IF(OR(WEEKDAY('Daily Schedule'!$B$2,2)=1,WEEKDAY('Daily Schedule'!$B$2,2)=4,WEEKDAY('Daily Schedule'!$B$2,2)=5,WEEKDAY('Daily Schedule'!$B$2,2)=7),IFERROR(1*'Daily Workforce'!$K28&gt;=3,FALSE()),IFERROR(1*'Daily Workforce'!$K28&gt;=2,FALSE())),IF(AND('Daily Schedule'!$A53&gt;=46,'Daily Schedule'!$A53&lt;=52),'Daily Workforce'!$M28="Y",IFERROR(1*'Daily Workforce'!$P28&gt;=2,FALSE()))))),1,0)</f>
        <v>0</v>
      </c>
      <c r="AN49" s="1" t="n">
        <f aca="false">IF(AND('Daily Workforce'!$N29="Y",'Daily Workforce'!$B29&lt;&gt;"",COUNTIF('Daily Schedule'!$F$5:$F52,'Daily Workforce'!$B29)=0,IF('Daily Schedule'!$A53=45,'Daily Workforce'!$J29="Y",IF(OR('Daily Schedule'!$A53=4,'Daily Schedule'!$A53=8),IF(OR(WEEKDAY('Daily Schedule'!$B$2,2)=1,WEEKDAY('Daily Schedule'!$B$2,2)=4,WEEKDAY('Daily Schedule'!$B$2,2)=5,WEEKDAY('Daily Schedule'!$B$2,2)=7),IFERROR(1*'Daily Workforce'!$K29&gt;=3,FALSE()),IFERROR(1*'Daily Workforce'!$K29&gt;=2,FALSE())),IF(AND('Daily Schedule'!$A53&gt;=46,'Daily Schedule'!$A53&lt;=52),'Daily Workforce'!$M29="Y",IFERROR(1*'Daily Workforce'!$P29&gt;=2,FALSE()))))),1,0)</f>
        <v>0</v>
      </c>
      <c r="AO49" s="1" t="n">
        <f aca="false">IF(AND('Daily Workforce'!$N30="Y",'Daily Workforce'!$B30&lt;&gt;"",COUNTIF('Daily Schedule'!$F$5:$F52,'Daily Workforce'!$B30)=0,IF('Daily Schedule'!$A53=45,'Daily Workforce'!$J30="Y",IF(OR('Daily Schedule'!$A53=4,'Daily Schedule'!$A53=8),IF(OR(WEEKDAY('Daily Schedule'!$B$2,2)=1,WEEKDAY('Daily Schedule'!$B$2,2)=4,WEEKDAY('Daily Schedule'!$B$2,2)=5,WEEKDAY('Daily Schedule'!$B$2,2)=7),IFERROR(1*'Daily Workforce'!$K30&gt;=3,FALSE()),IFERROR(1*'Daily Workforce'!$K30&gt;=2,FALSE())),IF(AND('Daily Schedule'!$A53&gt;=46,'Daily Schedule'!$A53&lt;=52),'Daily Workforce'!$M30="Y",IFERROR(1*'Daily Workforce'!$P30&gt;=2,FALSE()))))),1,0)</f>
        <v>0</v>
      </c>
      <c r="AP49" s="1" t="n">
        <f aca="false">IF(AND('Daily Workforce'!$N31="Y",'Daily Workforce'!$B31&lt;&gt;"",COUNTIF('Daily Schedule'!$F$5:$F52,'Daily Workforce'!$B31)=0,IF('Daily Schedule'!$A53=45,'Daily Workforce'!$J31="Y",IF(OR('Daily Schedule'!$A53=4,'Daily Schedule'!$A53=8),IF(OR(WEEKDAY('Daily Schedule'!$B$2,2)=1,WEEKDAY('Daily Schedule'!$B$2,2)=4,WEEKDAY('Daily Schedule'!$B$2,2)=5,WEEKDAY('Daily Schedule'!$B$2,2)=7),IFERROR(1*'Daily Workforce'!$K31&gt;=3,FALSE()),IFERROR(1*'Daily Workforce'!$K31&gt;=2,FALSE())),IF(AND('Daily Schedule'!$A53&gt;=46,'Daily Schedule'!$A53&lt;=52),'Daily Workforce'!$M31="Y",IFERROR(1*'Daily Workforce'!$P31&gt;=2,FALSE()))))),1,0)</f>
        <v>0</v>
      </c>
      <c r="AQ49" s="1" t="n">
        <f aca="false">IF(AND('Daily Workforce'!$N32="Y",'Daily Workforce'!$B32&lt;&gt;"",COUNTIF('Daily Schedule'!$F$5:$F52,'Daily Workforce'!$B32)=0,IF('Daily Schedule'!$A53=45,'Daily Workforce'!$J32="Y",IF(OR('Daily Schedule'!$A53=4,'Daily Schedule'!$A53=8),IF(OR(WEEKDAY('Daily Schedule'!$B$2,2)=1,WEEKDAY('Daily Schedule'!$B$2,2)=4,WEEKDAY('Daily Schedule'!$B$2,2)=5,WEEKDAY('Daily Schedule'!$B$2,2)=7),IFERROR(1*'Daily Workforce'!$K32&gt;=3,FALSE()),IFERROR(1*'Daily Workforce'!$K32&gt;=2,FALSE())),IF(AND('Daily Schedule'!$A53&gt;=46,'Daily Schedule'!$A53&lt;=52),'Daily Workforce'!$M32="Y",IFERROR(1*'Daily Workforce'!$P32&gt;=2,FALSE()))))),1,0)</f>
        <v>0</v>
      </c>
      <c r="AR49" s="1" t="n">
        <f aca="false">IF(AND('Daily Workforce'!$N33="Y",'Daily Workforce'!$B33&lt;&gt;"",COUNTIF('Daily Schedule'!$F$5:$F52,'Daily Workforce'!$B33)=0,IF('Daily Schedule'!$A53=45,'Daily Workforce'!$J33="Y",IF(OR('Daily Schedule'!$A53=4,'Daily Schedule'!$A53=8),IF(OR(WEEKDAY('Daily Schedule'!$B$2,2)=1,WEEKDAY('Daily Schedule'!$B$2,2)=4,WEEKDAY('Daily Schedule'!$B$2,2)=5,WEEKDAY('Daily Schedule'!$B$2,2)=7),IFERROR(1*'Daily Workforce'!$K33&gt;=3,FALSE()),IFERROR(1*'Daily Workforce'!$K33&gt;=2,FALSE())),IF(AND('Daily Schedule'!$A53&gt;=46,'Daily Schedule'!$A53&lt;=52),'Daily Workforce'!$M33="Y",IFERROR(1*'Daily Workforce'!$P33&gt;=2,FALSE()))))),1,0)</f>
        <v>0</v>
      </c>
      <c r="AS49" s="1" t="n">
        <f aca="false">IF(AND('Daily Workforce'!$N34="Y",'Daily Workforce'!$B34&lt;&gt;"",COUNTIF('Daily Schedule'!$F$5:$F52,'Daily Workforce'!$B34)=0,IF('Daily Schedule'!$A53=45,'Daily Workforce'!$J34="Y",IF(OR('Daily Schedule'!$A53=4,'Daily Schedule'!$A53=8),IF(OR(WEEKDAY('Daily Schedule'!$B$2,2)=1,WEEKDAY('Daily Schedule'!$B$2,2)=4,WEEKDAY('Daily Schedule'!$B$2,2)=5,WEEKDAY('Daily Schedule'!$B$2,2)=7),IFERROR(1*'Daily Workforce'!$K34&gt;=3,FALSE()),IFERROR(1*'Daily Workforce'!$K34&gt;=2,FALSE())),IF(AND('Daily Schedule'!$A53&gt;=46,'Daily Schedule'!$A53&lt;=52),'Daily Workforce'!$M34="Y",IFERROR(1*'Daily Workforce'!$P34&gt;=2,FALSE()))))),1,0)</f>
        <v>0</v>
      </c>
      <c r="AT49" s="1" t="n">
        <f aca="false">IF(AND('Daily Workforce'!$N35="Y",'Daily Workforce'!$B35&lt;&gt;"",COUNTIF('Daily Schedule'!$F$5:$F52,'Daily Workforce'!$B35)=0,IF('Daily Schedule'!$A53=45,'Daily Workforce'!$J35="Y",IF(OR('Daily Schedule'!$A53=4,'Daily Schedule'!$A53=8),IF(OR(WEEKDAY('Daily Schedule'!$B$2,2)=1,WEEKDAY('Daily Schedule'!$B$2,2)=4,WEEKDAY('Daily Schedule'!$B$2,2)=5,WEEKDAY('Daily Schedule'!$B$2,2)=7),IFERROR(1*'Daily Workforce'!$K35&gt;=3,FALSE()),IFERROR(1*'Daily Workforce'!$K35&gt;=2,FALSE())),IF(AND('Daily Schedule'!$A53&gt;=46,'Daily Schedule'!$A53&lt;=52),'Daily Workforce'!$M35="Y",IFERROR(1*'Daily Workforce'!$P35&gt;=2,FALSE()))))),1,0)</f>
        <v>0</v>
      </c>
      <c r="AU49" s="1" t="n">
        <f aca="false">IF(AND('Daily Workforce'!$N36="Y",'Daily Workforce'!$B36&lt;&gt;"",COUNTIF('Daily Schedule'!$F$5:$F52,'Daily Workforce'!$B36)=0,IF('Daily Schedule'!$A53=45,'Daily Workforce'!$J36="Y",IF(OR('Daily Schedule'!$A53=4,'Daily Schedule'!$A53=8),IF(OR(WEEKDAY('Daily Schedule'!$B$2,2)=1,WEEKDAY('Daily Schedule'!$B$2,2)=4,WEEKDAY('Daily Schedule'!$B$2,2)=5,WEEKDAY('Daily Schedule'!$B$2,2)=7),IFERROR(1*'Daily Workforce'!$K36&gt;=3,FALSE()),IFERROR(1*'Daily Workforce'!$K36&gt;=2,FALSE())),IF(AND('Daily Schedule'!$A53&gt;=46,'Daily Schedule'!$A53&lt;=52),'Daily Workforce'!$M36="Y",IFERROR(1*'Daily Workforce'!$P36&gt;=2,FALSE()))))),1,0)</f>
        <v>0</v>
      </c>
      <c r="AV49" s="1" t="n">
        <f aca="false">IF(AND('Daily Workforce'!$N37="Y",'Daily Workforce'!$B37&lt;&gt;"",COUNTIF('Daily Schedule'!$F$5:$F52,'Daily Workforce'!$B37)=0,IF('Daily Schedule'!$A53=45,'Daily Workforce'!$J37="Y",IF(OR('Daily Schedule'!$A53=4,'Daily Schedule'!$A53=8),IF(OR(WEEKDAY('Daily Schedule'!$B$2,2)=1,WEEKDAY('Daily Schedule'!$B$2,2)=4,WEEKDAY('Daily Schedule'!$B$2,2)=5,WEEKDAY('Daily Schedule'!$B$2,2)=7),IFERROR(1*'Daily Workforce'!$K37&gt;=3,FALSE()),IFERROR(1*'Daily Workforce'!$K37&gt;=2,FALSE())),IF(AND('Daily Schedule'!$A53&gt;=46,'Daily Schedule'!$A53&lt;=52),'Daily Workforce'!$M37="Y",IFERROR(1*'Daily Workforce'!$P37&gt;=2,FALSE()))))),1,0)</f>
        <v>0</v>
      </c>
      <c r="AW49" s="1" t="n">
        <f aca="false">IF(AND('Daily Workforce'!$N38="Y",'Daily Workforce'!$B38&lt;&gt;"",COUNTIF('Daily Schedule'!$F$5:$F52,'Daily Workforce'!$B38)=0,IF('Daily Schedule'!$A53=45,'Daily Workforce'!$J38="Y",IF(OR('Daily Schedule'!$A53=4,'Daily Schedule'!$A53=8),IF(OR(WEEKDAY('Daily Schedule'!$B$2,2)=1,WEEKDAY('Daily Schedule'!$B$2,2)=4,WEEKDAY('Daily Schedule'!$B$2,2)=5,WEEKDAY('Daily Schedule'!$B$2,2)=7),IFERROR(1*'Daily Workforce'!$K38&gt;=3,FALSE()),IFERROR(1*'Daily Workforce'!$K38&gt;=2,FALSE())),IF(AND('Daily Schedule'!$A53&gt;=46,'Daily Schedule'!$A53&lt;=52),'Daily Workforce'!$M38="Y",IFERROR(1*'Daily Workforce'!$P38&gt;=2,FALSE()))))),1,0)</f>
        <v>0</v>
      </c>
      <c r="AX49" s="1" t="n">
        <f aca="false">IF(AND('Daily Workforce'!$N39="Y",'Daily Workforce'!$B39&lt;&gt;"",COUNTIF('Daily Schedule'!$F$5:$F52,'Daily Workforce'!$B39)=0,IF('Daily Schedule'!$A53=45,'Daily Workforce'!$J39="Y",IF(OR('Daily Schedule'!$A53=4,'Daily Schedule'!$A53=8),IF(OR(WEEKDAY('Daily Schedule'!$B$2,2)=1,WEEKDAY('Daily Schedule'!$B$2,2)=4,WEEKDAY('Daily Schedule'!$B$2,2)=5,WEEKDAY('Daily Schedule'!$B$2,2)=7),IFERROR(1*'Daily Workforce'!$K39&gt;=3,FALSE()),IFERROR(1*'Daily Workforce'!$K39&gt;=2,FALSE())),IF(AND('Daily Schedule'!$A53&gt;=46,'Daily Schedule'!$A53&lt;=52),'Daily Workforce'!$M39="Y",IFERROR(1*'Daily Workforce'!$P39&gt;=2,FALSE()))))),1,0)</f>
        <v>0</v>
      </c>
      <c r="AY49" s="1" t="n">
        <f aca="false">IF(AND('Daily Workforce'!$N40="Y",'Daily Workforce'!$B40&lt;&gt;"",COUNTIF('Daily Schedule'!$F$5:$F52,'Daily Workforce'!$B40)=0,IF('Daily Schedule'!$A53=45,'Daily Workforce'!$J40="Y",IF(OR('Daily Schedule'!$A53=4,'Daily Schedule'!$A53=8),IF(OR(WEEKDAY('Daily Schedule'!$B$2,2)=1,WEEKDAY('Daily Schedule'!$B$2,2)=4,WEEKDAY('Daily Schedule'!$B$2,2)=5,WEEKDAY('Daily Schedule'!$B$2,2)=7),IFERROR(1*'Daily Workforce'!$K40&gt;=3,FALSE()),IFERROR(1*'Daily Workforce'!$K40&gt;=2,FALSE())),IF(AND('Daily Schedule'!$A53&gt;=46,'Daily Schedule'!$A53&lt;=52),'Daily Workforce'!$M40="Y",IFERROR(1*'Daily Workforce'!$P40&gt;=2,FALSE()))))),1,0)</f>
        <v>0</v>
      </c>
      <c r="AZ49" s="1" t="n">
        <f aca="false">IF(AND('Daily Workforce'!$N41="Y",'Daily Workforce'!$B41&lt;&gt;"",COUNTIF('Daily Schedule'!$F$5:$F52,'Daily Workforce'!$B41)=0,IF('Daily Schedule'!$A53=45,'Daily Workforce'!$J41="Y",IF(OR('Daily Schedule'!$A53=4,'Daily Schedule'!$A53=8),IF(OR(WEEKDAY('Daily Schedule'!$B$2,2)=1,WEEKDAY('Daily Schedule'!$B$2,2)=4,WEEKDAY('Daily Schedule'!$B$2,2)=5,WEEKDAY('Daily Schedule'!$B$2,2)=7),IFERROR(1*'Daily Workforce'!$K41&gt;=3,FALSE()),IFERROR(1*'Daily Workforce'!$K41&gt;=2,FALSE())),IF(AND('Daily Schedule'!$A53&gt;=46,'Daily Schedule'!$A53&lt;=52),'Daily Workforce'!$M41="Y",IFERROR(1*'Daily Workforce'!$P41&gt;=2,FALSE()))))),1,0)</f>
        <v>0</v>
      </c>
      <c r="BA49" s="1" t="n">
        <f aca="false">IF(AND('Daily Workforce'!$N42="Y",'Daily Workforce'!$B42&lt;&gt;"",COUNTIF('Daily Schedule'!$F$5:$F52,'Daily Workforce'!$B42)=0,IF('Daily Schedule'!$A53=45,'Daily Workforce'!$J42="Y",IF(OR('Daily Schedule'!$A53=4,'Daily Schedule'!$A53=8),IF(OR(WEEKDAY('Daily Schedule'!$B$2,2)=1,WEEKDAY('Daily Schedule'!$B$2,2)=4,WEEKDAY('Daily Schedule'!$B$2,2)=5,WEEKDAY('Daily Schedule'!$B$2,2)=7),IFERROR(1*'Daily Workforce'!$K42&gt;=3,FALSE()),IFERROR(1*'Daily Workforce'!$K42&gt;=2,FALSE())),IF(AND('Daily Schedule'!$A53&gt;=46,'Daily Schedule'!$A53&lt;=52),'Daily Workforce'!$M42="Y",IFERROR(1*'Daily Workforce'!$P42&gt;=2,FALSE()))))),1,0)</f>
        <v>0</v>
      </c>
      <c r="BB49" s="1" t="n">
        <f aca="false">IF(AND('Daily Workforce'!$N43="Y",'Daily Workforce'!$B43&lt;&gt;"",COUNTIF('Daily Schedule'!$F$5:$F52,'Daily Workforce'!$B43)=0,IF('Daily Schedule'!$A53=45,'Daily Workforce'!$J43="Y",IF(OR('Daily Schedule'!$A53=4,'Daily Schedule'!$A53=8),IF(OR(WEEKDAY('Daily Schedule'!$B$2,2)=1,WEEKDAY('Daily Schedule'!$B$2,2)=4,WEEKDAY('Daily Schedule'!$B$2,2)=5,WEEKDAY('Daily Schedule'!$B$2,2)=7),IFERROR(1*'Daily Workforce'!$K43&gt;=3,FALSE()),IFERROR(1*'Daily Workforce'!$K43&gt;=2,FALSE())),IF(AND('Daily Schedule'!$A53&gt;=46,'Daily Schedule'!$A53&lt;=52),'Daily Workforce'!$M43="Y",IFERROR(1*'Daily Workforce'!$P43&gt;=2,FALSE()))))),1,0)</f>
        <v>0</v>
      </c>
      <c r="BC49" s="1" t="n">
        <f aca="false">IF(AND('Daily Workforce'!$N44="Y",'Daily Workforce'!$B44&lt;&gt;"",COUNTIF('Daily Schedule'!$F$5:$F52,'Daily Workforce'!$B44)=0,IF('Daily Schedule'!$A53=45,'Daily Workforce'!$J44="Y",IF(OR('Daily Schedule'!$A53=4,'Daily Schedule'!$A53=8),IF(OR(WEEKDAY('Daily Schedule'!$B$2,2)=1,WEEKDAY('Daily Schedule'!$B$2,2)=4,WEEKDAY('Daily Schedule'!$B$2,2)=5,WEEKDAY('Daily Schedule'!$B$2,2)=7),IFERROR(1*'Daily Workforce'!$K44&gt;=3,FALSE()),IFERROR(1*'Daily Workforce'!$K44&gt;=2,FALSE())),IF(AND('Daily Schedule'!$A53&gt;=46,'Daily Schedule'!$A53&lt;=52),'Daily Workforce'!$M44="Y",IFERROR(1*'Daily Workforce'!$P44&gt;=2,FALSE()))))),1,0)</f>
        <v>0</v>
      </c>
      <c r="BD49" s="1" t="n">
        <f aca="false">IF(AND('Daily Workforce'!$N45="Y",'Daily Workforce'!$B45&lt;&gt;"",COUNTIF('Daily Schedule'!$F$5:$F52,'Daily Workforce'!$B45)=0,IF('Daily Schedule'!$A53=45,'Daily Workforce'!$J45="Y",IF(OR('Daily Schedule'!$A53=4,'Daily Schedule'!$A53=8),IF(OR(WEEKDAY('Daily Schedule'!$B$2,2)=1,WEEKDAY('Daily Schedule'!$B$2,2)=4,WEEKDAY('Daily Schedule'!$B$2,2)=5,WEEKDAY('Daily Schedule'!$B$2,2)=7),IFERROR(1*'Daily Workforce'!$K45&gt;=3,FALSE()),IFERROR(1*'Daily Workforce'!$K45&gt;=2,FALSE())),IF(AND('Daily Schedule'!$A53&gt;=46,'Daily Schedule'!$A53&lt;=52),'Daily Workforce'!$M45="Y",IFERROR(1*'Daily Workforce'!$P45&gt;=2,FALSE()))))),1,0)</f>
        <v>0</v>
      </c>
      <c r="BE49" s="1" t="n">
        <f aca="false">IF(AND('Daily Workforce'!$N46="Y",'Daily Workforce'!$B46&lt;&gt;"",COUNTIF('Daily Schedule'!$F$5:$F52,'Daily Workforce'!$B46)=0,IF('Daily Schedule'!$A53=45,'Daily Workforce'!$J46="Y",IF(OR('Daily Schedule'!$A53=4,'Daily Schedule'!$A53=8),IF(OR(WEEKDAY('Daily Schedule'!$B$2,2)=1,WEEKDAY('Daily Schedule'!$B$2,2)=4,WEEKDAY('Daily Schedule'!$B$2,2)=5,WEEKDAY('Daily Schedule'!$B$2,2)=7),IFERROR(1*'Daily Workforce'!$K46&gt;=3,FALSE()),IFERROR(1*'Daily Workforce'!$K46&gt;=2,FALSE())),IF(AND('Daily Schedule'!$A53&gt;=46,'Daily Schedule'!$A53&lt;=52),'Daily Workforce'!$M46="Y",IFERROR(1*'Daily Workforce'!$P46&gt;=2,FALSE()))))),1,0)</f>
        <v>0</v>
      </c>
      <c r="BF49" s="1" t="n">
        <f aca="false">IF(AND('Daily Workforce'!$N47="Y",'Daily Workforce'!$B47&lt;&gt;"",COUNTIF('Daily Schedule'!$F$5:$F52,'Daily Workforce'!$B47)=0,IF('Daily Schedule'!$A53=45,'Daily Workforce'!$J47="Y",IF(OR('Daily Schedule'!$A53=4,'Daily Schedule'!$A53=8),IF(OR(WEEKDAY('Daily Schedule'!$B$2,2)=1,WEEKDAY('Daily Schedule'!$B$2,2)=4,WEEKDAY('Daily Schedule'!$B$2,2)=5,WEEKDAY('Daily Schedule'!$B$2,2)=7),IFERROR(1*'Daily Workforce'!$K47&gt;=3,FALSE()),IFERROR(1*'Daily Workforce'!$K47&gt;=2,FALSE())),IF(AND('Daily Schedule'!$A53&gt;=46,'Daily Schedule'!$A53&lt;=52),'Daily Workforce'!$M47="Y",IFERROR(1*'Daily Workforce'!$P47&gt;=2,FALSE()))))),1,0)</f>
        <v>0</v>
      </c>
      <c r="BG49" s="1" t="n">
        <f aca="false">IF(AND('Daily Workforce'!$N48="Y",'Daily Workforce'!$B48&lt;&gt;"",COUNTIF('Daily Schedule'!$F$5:$F52,'Daily Workforce'!$B48)=0,IF('Daily Schedule'!$A53=45,'Daily Workforce'!$J48="Y",IF(OR('Daily Schedule'!$A53=4,'Daily Schedule'!$A53=8),IF(OR(WEEKDAY('Daily Schedule'!$B$2,2)=1,WEEKDAY('Daily Schedule'!$B$2,2)=4,WEEKDAY('Daily Schedule'!$B$2,2)=5,WEEKDAY('Daily Schedule'!$B$2,2)=7),IFERROR(1*'Daily Workforce'!$K48&gt;=3,FALSE()),IFERROR(1*'Daily Workforce'!$K48&gt;=2,FALSE())),IF(AND('Daily Schedule'!$A53&gt;=46,'Daily Schedule'!$A53&lt;=52),'Daily Workforce'!$M48="Y",IFERROR(1*'Daily Workforce'!$P48&gt;=2,FALSE()))))),1,0)</f>
        <v>0</v>
      </c>
      <c r="BH49" s="1" t="n">
        <f aca="false">IF(AND('Daily Workforce'!$N49="Y",'Daily Workforce'!$B49&lt;&gt;"",COUNTIF('Daily Schedule'!$F$5:$F52,'Daily Workforce'!$B49)=0,IF('Daily Schedule'!$A53=45,'Daily Workforce'!$J49="Y",IF(OR('Daily Schedule'!$A53=4,'Daily Schedule'!$A53=8),IF(OR(WEEKDAY('Daily Schedule'!$B$2,2)=1,WEEKDAY('Daily Schedule'!$B$2,2)=4,WEEKDAY('Daily Schedule'!$B$2,2)=5,WEEKDAY('Daily Schedule'!$B$2,2)=7),IFERROR(1*'Daily Workforce'!$K49&gt;=3,FALSE()),IFERROR(1*'Daily Workforce'!$K49&gt;=2,FALSE())),IF(AND('Daily Schedule'!$A53&gt;=46,'Daily Schedule'!$A53&lt;=52),'Daily Workforce'!$M49="Y",IFERROR(1*'Daily Workforce'!$P49&gt;=2,FALSE()))))),1,0)</f>
        <v>0</v>
      </c>
      <c r="BI49" s="1" t="n">
        <f aca="false">IF(AND('Daily Workforce'!$N50="Y",'Daily Workforce'!$B50&lt;&gt;"",COUNTIF('Daily Schedule'!$F$5:$F52,'Daily Workforce'!$B50)=0,IF('Daily Schedule'!$A53=45,'Daily Workforce'!$J50="Y",IF(OR('Daily Schedule'!$A53=4,'Daily Schedule'!$A53=8),IF(OR(WEEKDAY('Daily Schedule'!$B$2,2)=1,WEEKDAY('Daily Schedule'!$B$2,2)=4,WEEKDAY('Daily Schedule'!$B$2,2)=5,WEEKDAY('Daily Schedule'!$B$2,2)=7),IFERROR(1*'Daily Workforce'!$K50&gt;=3,FALSE()),IFERROR(1*'Daily Workforce'!$K50&gt;=2,FALSE())),IF(AND('Daily Schedule'!$A53&gt;=46,'Daily Schedule'!$A53&lt;=52),'Daily Workforce'!$M50="Y",IFERROR(1*'Daily Workforce'!$P50&gt;=2,FALSE()))))),1,0)</f>
        <v>0</v>
      </c>
      <c r="BJ49" s="1" t="n">
        <f aca="false">IF(AND('Daily Workforce'!$N51="Y",'Daily Workforce'!$B51&lt;&gt;"",COUNTIF('Daily Schedule'!$F$5:$F52,'Daily Workforce'!$B51)=0,IF('Daily Schedule'!$A53=45,'Daily Workforce'!$J51="Y",IF(OR('Daily Schedule'!$A53=4,'Daily Schedule'!$A53=8),IF(OR(WEEKDAY('Daily Schedule'!$B$2,2)=1,WEEKDAY('Daily Schedule'!$B$2,2)=4,WEEKDAY('Daily Schedule'!$B$2,2)=5,WEEKDAY('Daily Schedule'!$B$2,2)=7),IFERROR(1*'Daily Workforce'!$K51&gt;=3,FALSE()),IFERROR(1*'Daily Workforce'!$K51&gt;=2,FALSE())),IF(AND('Daily Schedule'!$A53&gt;=46,'Daily Schedule'!$A53&lt;=52),'Daily Workforce'!$M51="Y",IFERROR(1*'Daily Workforce'!$P51&gt;=2,FALSE()))))),1,0)</f>
        <v>0</v>
      </c>
      <c r="BK49" s="1" t="n">
        <f aca="false">IF(AND('Daily Workforce'!$N52="Y",'Daily Workforce'!$B52&lt;&gt;"",COUNTIF('Daily Schedule'!$F$5:$F52,'Daily Workforce'!$B52)=0,IF('Daily Schedule'!$A53=45,'Daily Workforce'!$J52="Y",IF(OR('Daily Schedule'!$A53=4,'Daily Schedule'!$A53=8),IF(OR(WEEKDAY('Daily Schedule'!$B$2,2)=1,WEEKDAY('Daily Schedule'!$B$2,2)=4,WEEKDAY('Daily Schedule'!$B$2,2)=5,WEEKDAY('Daily Schedule'!$B$2,2)=7),IFERROR(1*'Daily Workforce'!$K52&gt;=3,FALSE()),IFERROR(1*'Daily Workforce'!$K52&gt;=2,FALSE())),IF(AND('Daily Schedule'!$A53&gt;=46,'Daily Schedule'!$A53&lt;=52),'Daily Workforce'!$M52="Y",IFERROR(1*'Daily Workforce'!$P52&gt;=2,FALSE()))))),1,0)</f>
        <v>0</v>
      </c>
      <c r="BL49" s="1" t="n">
        <f aca="false">IF(AND('Daily Workforce'!$N53="Y",'Daily Workforce'!$B53&lt;&gt;"",COUNTIF('Daily Schedule'!$F$5:$F52,'Daily Workforce'!$B53)=0,IF('Daily Schedule'!$A53=45,'Daily Workforce'!$J53="Y",IF(OR('Daily Schedule'!$A53=4,'Daily Schedule'!$A53=8),IF(OR(WEEKDAY('Daily Schedule'!$B$2,2)=1,WEEKDAY('Daily Schedule'!$B$2,2)=4,WEEKDAY('Daily Schedule'!$B$2,2)=5,WEEKDAY('Daily Schedule'!$B$2,2)=7),IFERROR(1*'Daily Workforce'!$K53&gt;=3,FALSE()),IFERROR(1*'Daily Workforce'!$K53&gt;=2,FALSE())),IF(AND('Daily Schedule'!$A53&gt;=46,'Daily Schedule'!$A53&lt;=52),'Daily Workforce'!$M53="Y",IFERROR(1*'Daily Workforce'!$P53&gt;=2,FALSE()))))),1,0)</f>
        <v>0</v>
      </c>
      <c r="BM49" s="1" t="n">
        <f aca="false">IF(AND('Daily Workforce'!$N54="Y",'Daily Workforce'!$B54&lt;&gt;"",COUNTIF('Daily Schedule'!$F$5:$F52,'Daily Workforce'!$B54)=0,IF('Daily Schedule'!$A53=45,'Daily Workforce'!$J54="Y",IF(OR('Daily Schedule'!$A53=4,'Daily Schedule'!$A53=8),IF(OR(WEEKDAY('Daily Schedule'!$B$2,2)=1,WEEKDAY('Daily Schedule'!$B$2,2)=4,WEEKDAY('Daily Schedule'!$B$2,2)=5,WEEKDAY('Daily Schedule'!$B$2,2)=7),IFERROR(1*'Daily Workforce'!$K54&gt;=3,FALSE()),IFERROR(1*'Daily Workforce'!$K54&gt;=2,FALSE())),IF(AND('Daily Schedule'!$A53&gt;=46,'Daily Schedule'!$A53&lt;=52),'Daily Workforce'!$M54="Y",IFERROR(1*'Daily Workforce'!$P54&gt;=2,FALSE()))))),1,0)</f>
        <v>1</v>
      </c>
      <c r="BN49" s="1" t="n">
        <f aca="false">IF(AND('Daily Workforce'!$N55="Y",'Daily Workforce'!$B55&lt;&gt;"",COUNTIF('Daily Schedule'!$F$5:$F52,'Daily Workforce'!$B55)=0,IF('Daily Schedule'!$A53=45,'Daily Workforce'!$J55="Y",IF(OR('Daily Schedule'!$A53=4,'Daily Schedule'!$A53=8),IF(OR(WEEKDAY('Daily Schedule'!$B$2,2)=1,WEEKDAY('Daily Schedule'!$B$2,2)=4,WEEKDAY('Daily Schedule'!$B$2,2)=5,WEEKDAY('Daily Schedule'!$B$2,2)=7),IFERROR(1*'Daily Workforce'!$K55&gt;=3,FALSE()),IFERROR(1*'Daily Workforce'!$K55&gt;=2,FALSE())),IF(AND('Daily Schedule'!$A53&gt;=46,'Daily Schedule'!$A53&lt;=52),'Daily Workforce'!$M55="Y",IFERROR(1*'Daily Workforce'!$P55&gt;=2,FALSE()))))),1,0)</f>
        <v>1</v>
      </c>
      <c r="BO49" s="1" t="n">
        <f aca="false">IF(AND('Daily Workforce'!$N56="Y",'Daily Workforce'!$B56&lt;&gt;"",COUNTIF('Daily Schedule'!$F$5:$F52,'Daily Workforce'!$B56)=0,IF('Daily Schedule'!$A53=45,'Daily Workforce'!$J56="Y",IF(OR('Daily Schedule'!$A53=4,'Daily Schedule'!$A53=8),IF(OR(WEEKDAY('Daily Schedule'!$B$2,2)=1,WEEKDAY('Daily Schedule'!$B$2,2)=4,WEEKDAY('Daily Schedule'!$B$2,2)=5,WEEKDAY('Daily Schedule'!$B$2,2)=7),IFERROR(1*'Daily Workforce'!$K56&gt;=3,FALSE()),IFERROR(1*'Daily Workforce'!$K56&gt;=2,FALSE())),IF(AND('Daily Schedule'!$A53&gt;=46,'Daily Schedule'!$A53&lt;=52),'Daily Workforce'!$M56="Y",IFERROR(1*'Daily Workforce'!$P56&gt;=2,FALSE()))))),1,0)</f>
        <v>1</v>
      </c>
      <c r="BP49" s="1" t="n">
        <f aca="false">IF(AND('Daily Workforce'!$N57="Y",'Daily Workforce'!$B57&lt;&gt;"",COUNTIF('Daily Schedule'!$F$5:$F52,'Daily Workforce'!$B57)=0,IF('Daily Schedule'!$A53=45,'Daily Workforce'!$J57="Y",IF(OR('Daily Schedule'!$A53=4,'Daily Schedule'!$A53=8),IF(OR(WEEKDAY('Daily Schedule'!$B$2,2)=1,WEEKDAY('Daily Schedule'!$B$2,2)=4,WEEKDAY('Daily Schedule'!$B$2,2)=5,WEEKDAY('Daily Schedule'!$B$2,2)=7),IFERROR(1*'Daily Workforce'!$K57&gt;=3,FALSE()),IFERROR(1*'Daily Workforce'!$K57&gt;=2,FALSE())),IF(AND('Daily Schedule'!$A53&gt;=46,'Daily Schedule'!$A53&lt;=52),'Daily Workforce'!$M57="Y",IFERROR(1*'Daily Workforce'!$P57&gt;=2,FALSE()))))),1,0)</f>
        <v>0</v>
      </c>
      <c r="BQ49" s="1" t="n">
        <f aca="false">IF(AND('Daily Workforce'!$N58="Y",'Daily Workforce'!$B58&lt;&gt;"",COUNTIF('Daily Schedule'!$F$5:$F52,'Daily Workforce'!$B58)=0,IF('Daily Schedule'!$A53=45,'Daily Workforce'!$J58="Y",IF(OR('Daily Schedule'!$A53=4,'Daily Schedule'!$A53=8),IF(OR(WEEKDAY('Daily Schedule'!$B$2,2)=1,WEEKDAY('Daily Schedule'!$B$2,2)=4,WEEKDAY('Daily Schedule'!$B$2,2)=5,WEEKDAY('Daily Schedule'!$B$2,2)=7),IFERROR(1*'Daily Workforce'!$K58&gt;=3,FALSE()),IFERROR(1*'Daily Workforce'!$K58&gt;=2,FALSE())),IF(AND('Daily Schedule'!$A53&gt;=46,'Daily Schedule'!$A53&lt;=52),'Daily Workforce'!$M58="Y",IFERROR(1*'Daily Workforce'!$P58&gt;=2,FALSE()))))),1,0)</f>
        <v>1</v>
      </c>
      <c r="BR49" s="1" t="n">
        <f aca="false">IF(AND('Daily Workforce'!$N59="Y",'Daily Workforce'!$B59&lt;&gt;"",COUNTIF('Daily Schedule'!$F$5:$F52,'Daily Workforce'!$B59)=0,IF('Daily Schedule'!$A53=45,'Daily Workforce'!$J59="Y",IF(OR('Daily Schedule'!$A53=4,'Daily Schedule'!$A53=8),IF(OR(WEEKDAY('Daily Schedule'!$B$2,2)=1,WEEKDAY('Daily Schedule'!$B$2,2)=4,WEEKDAY('Daily Schedule'!$B$2,2)=5,WEEKDAY('Daily Schedule'!$B$2,2)=7),IFERROR(1*'Daily Workforce'!$K59&gt;=3,FALSE()),IFERROR(1*'Daily Workforce'!$K59&gt;=2,FALSE())),IF(AND('Daily Schedule'!$A53&gt;=46,'Daily Schedule'!$A53&lt;=52),'Daily Workforce'!$M59="Y",IFERROR(1*'Daily Workforce'!$P59&gt;=2,FALSE()))))),1,0)</f>
        <v>1</v>
      </c>
      <c r="BS49" s="1" t="n">
        <f aca="false">IF(AND('Daily Workforce'!$N60="Y",'Daily Workforce'!$B60&lt;&gt;"",COUNTIF('Daily Schedule'!$F$5:$F52,'Daily Workforce'!$B60)=0,IF('Daily Schedule'!$A53=45,'Daily Workforce'!$J60="Y",IF(OR('Daily Schedule'!$A53=4,'Daily Schedule'!$A53=8),IF(OR(WEEKDAY('Daily Schedule'!$B$2,2)=1,WEEKDAY('Daily Schedule'!$B$2,2)=4,WEEKDAY('Daily Schedule'!$B$2,2)=5,WEEKDAY('Daily Schedule'!$B$2,2)=7),IFERROR(1*'Daily Workforce'!$K60&gt;=3,FALSE()),IFERROR(1*'Daily Workforce'!$K60&gt;=2,FALSE())),IF(AND('Daily Schedule'!$A53&gt;=46,'Daily Schedule'!$A53&lt;=52),'Daily Workforce'!$M60="Y",IFERROR(1*'Daily Workforce'!$P60&gt;=2,FALSE()))))),1,0)</f>
        <v>1</v>
      </c>
      <c r="BT49" s="1" t="n">
        <f aca="false">IF(AND('Daily Workforce'!$N61="Y",'Daily Workforce'!$B61&lt;&gt;"",COUNTIF('Daily Schedule'!$F$5:$F52,'Daily Workforce'!$B61)=0,IF('Daily Schedule'!$A53=45,'Daily Workforce'!$J61="Y",IF(OR('Daily Schedule'!$A53=4,'Daily Schedule'!$A53=8),IF(OR(WEEKDAY('Daily Schedule'!$B$2,2)=1,WEEKDAY('Daily Schedule'!$B$2,2)=4,WEEKDAY('Daily Schedule'!$B$2,2)=5,WEEKDAY('Daily Schedule'!$B$2,2)=7),IFERROR(1*'Daily Workforce'!$K61&gt;=3,FALSE()),IFERROR(1*'Daily Workforce'!$K61&gt;=2,FALSE())),IF(AND('Daily Schedule'!$A53&gt;=46,'Daily Schedule'!$A53&lt;=52),'Daily Workforce'!$M61="Y",IFERROR(1*'Daily Workforce'!$P61&gt;=2,FALSE()))))),1,0)</f>
        <v>0</v>
      </c>
      <c r="BU49" s="1" t="n">
        <f aca="false">IF(AND('Daily Workforce'!$N62="Y",'Daily Workforce'!$B62&lt;&gt;"",COUNTIF('Daily Schedule'!$F$5:$F52,'Daily Workforce'!$B62)=0,IF('Daily Schedule'!$A53=45,'Daily Workforce'!$J62="Y",IF(OR('Daily Schedule'!$A53=4,'Daily Schedule'!$A53=8),IF(OR(WEEKDAY('Daily Schedule'!$B$2,2)=1,WEEKDAY('Daily Schedule'!$B$2,2)=4,WEEKDAY('Daily Schedule'!$B$2,2)=5,WEEKDAY('Daily Schedule'!$B$2,2)=7),IFERROR(1*'Daily Workforce'!$K62&gt;=3,FALSE()),IFERROR(1*'Daily Workforce'!$K62&gt;=2,FALSE())),IF(AND('Daily Schedule'!$A53&gt;=46,'Daily Schedule'!$A53&lt;=52),'Daily Workforce'!$M62="Y",IFERROR(1*'Daily Workforce'!$P62&gt;=2,FALSE()))))),1,0)</f>
        <v>1</v>
      </c>
      <c r="BV49" s="1" t="n">
        <f aca="false">IF(AND('Daily Workforce'!$N63="Y",'Daily Workforce'!$B63&lt;&gt;"",COUNTIF('Daily Schedule'!$F$5:$F52,'Daily Workforce'!$B63)=0,IF('Daily Schedule'!$A53=45,'Daily Workforce'!$J63="Y",IF(OR('Daily Schedule'!$A53=4,'Daily Schedule'!$A53=8),IF(OR(WEEKDAY('Daily Schedule'!$B$2,2)=1,WEEKDAY('Daily Schedule'!$B$2,2)=4,WEEKDAY('Daily Schedule'!$B$2,2)=5,WEEKDAY('Daily Schedule'!$B$2,2)=7),IFERROR(1*'Daily Workforce'!$K63&gt;=3,FALSE()),IFERROR(1*'Daily Workforce'!$K63&gt;=2,FALSE())),IF(AND('Daily Schedule'!$A53&gt;=46,'Daily Schedule'!$A53&lt;=52),'Daily Workforce'!$M63="Y",IFERROR(1*'Daily Workforce'!$P63&gt;=2,FALSE()))))),1,0)</f>
        <v>1</v>
      </c>
      <c r="BW49" s="1" t="n">
        <f aca="false">IF(AND('Daily Workforce'!$N64="Y",'Daily Workforce'!$B64&lt;&gt;"",COUNTIF('Daily Schedule'!$F$5:$F52,'Daily Workforce'!$B64)=0,IF('Daily Schedule'!$A53=45,'Daily Workforce'!$J64="Y",IF(OR('Daily Schedule'!$A53=4,'Daily Schedule'!$A53=8),IF(OR(WEEKDAY('Daily Schedule'!$B$2,2)=1,WEEKDAY('Daily Schedule'!$B$2,2)=4,WEEKDAY('Daily Schedule'!$B$2,2)=5,WEEKDAY('Daily Schedule'!$B$2,2)=7),IFERROR(1*'Daily Workforce'!$K64&gt;=3,FALSE()),IFERROR(1*'Daily Workforce'!$K64&gt;=2,FALSE())),IF(AND('Daily Schedule'!$A53&gt;=46,'Daily Schedule'!$A53&lt;=52),'Daily Workforce'!$M64="Y",IFERROR(1*'Daily Workforce'!$P64&gt;=2,FALSE()))))),1,0)</f>
        <v>1</v>
      </c>
      <c r="BX49" s="1" t="n">
        <f aca="false">IF(AND('Daily Workforce'!$N65="Y",'Daily Workforce'!$B65&lt;&gt;"",COUNTIF('Daily Schedule'!$F$5:$F52,'Daily Workforce'!$B65)=0,IF('Daily Schedule'!$A53=45,'Daily Workforce'!$J65="Y",IF(OR('Daily Schedule'!$A53=4,'Daily Schedule'!$A53=8),IF(OR(WEEKDAY('Daily Schedule'!$B$2,2)=1,WEEKDAY('Daily Schedule'!$B$2,2)=4,WEEKDAY('Daily Schedule'!$B$2,2)=5,WEEKDAY('Daily Schedule'!$B$2,2)=7),IFERROR(1*'Daily Workforce'!$K65&gt;=3,FALSE()),IFERROR(1*'Daily Workforce'!$K65&gt;=2,FALSE())),IF(AND('Daily Schedule'!$A53&gt;=46,'Daily Schedule'!$A53&lt;=52),'Daily Workforce'!$M65="Y",IFERROR(1*'Daily Workforce'!$P65&gt;=2,FALSE()))))),1,0)</f>
        <v>1</v>
      </c>
      <c r="BY49" s="1" t="n">
        <f aca="false">IF(AND('Daily Workforce'!$N66="Y",'Daily Workforce'!$B66&lt;&gt;"",COUNTIF('Daily Schedule'!$F$5:$F52,'Daily Workforce'!$B66)=0,IF('Daily Schedule'!$A53=45,'Daily Workforce'!$J66="Y",IF(OR('Daily Schedule'!$A53=4,'Daily Schedule'!$A53=8),IF(OR(WEEKDAY('Daily Schedule'!$B$2,2)=1,WEEKDAY('Daily Schedule'!$B$2,2)=4,WEEKDAY('Daily Schedule'!$B$2,2)=5,WEEKDAY('Daily Schedule'!$B$2,2)=7),IFERROR(1*'Daily Workforce'!$K66&gt;=3,FALSE()),IFERROR(1*'Daily Workforce'!$K66&gt;=2,FALSE())),IF(AND('Daily Schedule'!$A53&gt;=46,'Daily Schedule'!$A53&lt;=52),'Daily Workforce'!$M66="Y",IFERROR(1*'Daily Workforce'!$P66&gt;=2,FALSE()))))),1,0)</f>
        <v>1</v>
      </c>
      <c r="BZ49" s="1" t="n">
        <f aca="false">IF(AND('Daily Workforce'!$N67="Y",'Daily Workforce'!$B67&lt;&gt;"",COUNTIF('Daily Schedule'!$F$5:$F52,'Daily Workforce'!$B67)=0,IF('Daily Schedule'!$A53=45,'Daily Workforce'!$J67="Y",IF(OR('Daily Schedule'!$A53=4,'Daily Schedule'!$A53=8),IF(OR(WEEKDAY('Daily Schedule'!$B$2,2)=1,WEEKDAY('Daily Schedule'!$B$2,2)=4,WEEKDAY('Daily Schedule'!$B$2,2)=5,WEEKDAY('Daily Schedule'!$B$2,2)=7),IFERROR(1*'Daily Workforce'!$K67&gt;=3,FALSE()),IFERROR(1*'Daily Workforce'!$K67&gt;=2,FALSE())),IF(AND('Daily Schedule'!$A53&gt;=46,'Daily Schedule'!$A53&lt;=52),'Daily Workforce'!$M67="Y",IFERROR(1*'Daily Workforce'!$P67&gt;=2,FALSE()))))),1,0)</f>
        <v>1</v>
      </c>
      <c r="CA49" s="1" t="n">
        <f aca="false">IF(AND('Daily Workforce'!$N68="Y",'Daily Workforce'!$B68&lt;&gt;"",COUNTIF('Daily Schedule'!$F$5:$F52,'Daily Workforce'!$B68)=0,IF('Daily Schedule'!$A53=45,'Daily Workforce'!$J68="Y",IF(OR('Daily Schedule'!$A53=4,'Daily Schedule'!$A53=8),IF(OR(WEEKDAY('Daily Schedule'!$B$2,2)=1,WEEKDAY('Daily Schedule'!$B$2,2)=4,WEEKDAY('Daily Schedule'!$B$2,2)=5,WEEKDAY('Daily Schedule'!$B$2,2)=7),IFERROR(1*'Daily Workforce'!$K68&gt;=3,FALSE()),IFERROR(1*'Daily Workforce'!$K68&gt;=2,FALSE())),IF(AND('Daily Schedule'!$A53&gt;=46,'Daily Schedule'!$A53&lt;=52),'Daily Workforce'!$M68="Y",IFERROR(1*'Daily Workforce'!$P68&gt;=2,FALSE()))))),1,0)</f>
        <v>1</v>
      </c>
      <c r="CB49" s="1" t="n">
        <f aca="false">IF(AND('Daily Workforce'!$N69="Y",'Daily Workforce'!$B69&lt;&gt;"",COUNTIF('Daily Schedule'!$F$5:$F52,'Daily Workforce'!$B69)=0,IF('Daily Schedule'!$A53=45,'Daily Workforce'!$J69="Y",IF(OR('Daily Schedule'!$A53=4,'Daily Schedule'!$A53=8),IF(OR(WEEKDAY('Daily Schedule'!$B$2,2)=1,WEEKDAY('Daily Schedule'!$B$2,2)=4,WEEKDAY('Daily Schedule'!$B$2,2)=5,WEEKDAY('Daily Schedule'!$B$2,2)=7),IFERROR(1*'Daily Workforce'!$K69&gt;=3,FALSE()),IFERROR(1*'Daily Workforce'!$K69&gt;=2,FALSE())),IF(AND('Daily Schedule'!$A53&gt;=46,'Daily Schedule'!$A53&lt;=52),'Daily Workforce'!$M69="Y",IFERROR(1*'Daily Workforce'!$P69&gt;=2,FALSE()))))),1,0)</f>
        <v>1</v>
      </c>
      <c r="CC49" s="1" t="n">
        <f aca="false">IF(AND('Daily Workforce'!$N70="Y",'Daily Workforce'!$B70&lt;&gt;"",COUNTIF('Daily Schedule'!$F$5:$F52,'Daily Workforce'!$B70)=0,IF('Daily Schedule'!$A53=45,'Daily Workforce'!$J70="Y",IF(OR('Daily Schedule'!$A53=4,'Daily Schedule'!$A53=8),IF(OR(WEEKDAY('Daily Schedule'!$B$2,2)=1,WEEKDAY('Daily Schedule'!$B$2,2)=4,WEEKDAY('Daily Schedule'!$B$2,2)=5,WEEKDAY('Daily Schedule'!$B$2,2)=7),IFERROR(1*'Daily Workforce'!$K70&gt;=3,FALSE()),IFERROR(1*'Daily Workforce'!$K70&gt;=2,FALSE())),IF(AND('Daily Schedule'!$A53&gt;=46,'Daily Schedule'!$A53&lt;=52),'Daily Workforce'!$M70="Y",IFERROR(1*'Daily Workforce'!$P70&gt;=2,FALSE()))))),1,0)</f>
        <v>1</v>
      </c>
      <c r="CD49" s="1" t="n">
        <f aca="false">IF(AND('Daily Workforce'!$N71="Y",'Daily Workforce'!$B71&lt;&gt;"",COUNTIF('Daily Schedule'!$F$5:$F52,'Daily Workforce'!$B71)=0,IF('Daily Schedule'!$A53=45,'Daily Workforce'!$J71="Y",IF(OR('Daily Schedule'!$A53=4,'Daily Schedule'!$A53=8),IF(OR(WEEKDAY('Daily Schedule'!$B$2,2)=1,WEEKDAY('Daily Schedule'!$B$2,2)=4,WEEKDAY('Daily Schedule'!$B$2,2)=5,WEEKDAY('Daily Schedule'!$B$2,2)=7),IFERROR(1*'Daily Workforce'!$K71&gt;=3,FALSE()),IFERROR(1*'Daily Workforce'!$K71&gt;=2,FALSE())),IF(AND('Daily Schedule'!$A53&gt;=46,'Daily Schedule'!$A53&lt;=52),'Daily Workforce'!$M71="Y",IFERROR(1*'Daily Workforce'!$P71&gt;=2,FALSE()))))),1,0)</f>
        <v>1</v>
      </c>
      <c r="CE49" s="1" t="n">
        <f aca="false">IF(AND('Daily Workforce'!$N72="Y",'Daily Workforce'!$B72&lt;&gt;"",COUNTIF('Daily Schedule'!$F$5:$F52,'Daily Workforce'!$B72)=0,IF('Daily Schedule'!$A53=45,'Daily Workforce'!$J72="Y",IF(OR('Daily Schedule'!$A53=4,'Daily Schedule'!$A53=8),IF(OR(WEEKDAY('Daily Schedule'!$B$2,2)=1,WEEKDAY('Daily Schedule'!$B$2,2)=4,WEEKDAY('Daily Schedule'!$B$2,2)=5,WEEKDAY('Daily Schedule'!$B$2,2)=7),IFERROR(1*'Daily Workforce'!$K72&gt;=3,FALSE()),IFERROR(1*'Daily Workforce'!$K72&gt;=2,FALSE())),IF(AND('Daily Schedule'!$A53&gt;=46,'Daily Schedule'!$A53&lt;=52),'Daily Workforce'!$M72="Y",IFERROR(1*'Daily Workforce'!$P72&gt;=2,FALSE()))))),1,0)</f>
        <v>1</v>
      </c>
      <c r="CF49" s="1" t="n">
        <f aca="false">IF(AND('Daily Workforce'!$N73="Y",'Daily Workforce'!$B73&lt;&gt;"",COUNTIF('Daily Schedule'!$F$5:$F52,'Daily Workforce'!$B73)=0,IF('Daily Schedule'!$A53=45,'Daily Workforce'!$J73="Y",IF(OR('Daily Schedule'!$A53=4,'Daily Schedule'!$A53=8),IF(OR(WEEKDAY('Daily Schedule'!$B$2,2)=1,WEEKDAY('Daily Schedule'!$B$2,2)=4,WEEKDAY('Daily Schedule'!$B$2,2)=5,WEEKDAY('Daily Schedule'!$B$2,2)=7),IFERROR(1*'Daily Workforce'!$K73&gt;=3,FALSE()),IFERROR(1*'Daily Workforce'!$K73&gt;=2,FALSE())),IF(AND('Daily Schedule'!$A53&gt;=46,'Daily Schedule'!$A53&lt;=52),'Daily Workforce'!$M73="Y",IFERROR(1*'Daily Workforce'!$P73&gt;=2,FALSE()))))),1,0)</f>
        <v>1</v>
      </c>
      <c r="CG49" s="1" t="n">
        <f aca="false">IF(AND('Daily Workforce'!$N74="Y",'Daily Workforce'!$B74&lt;&gt;"",COUNTIF('Daily Schedule'!$F$5:$F52,'Daily Workforce'!$B74)=0,IF('Daily Schedule'!$A53=45,'Daily Workforce'!$J74="Y",IF(OR('Daily Schedule'!$A53=4,'Daily Schedule'!$A53=8),IF(OR(WEEKDAY('Daily Schedule'!$B$2,2)=1,WEEKDAY('Daily Schedule'!$B$2,2)=4,WEEKDAY('Daily Schedule'!$B$2,2)=5,WEEKDAY('Daily Schedule'!$B$2,2)=7),IFERROR(1*'Daily Workforce'!$K74&gt;=3,FALSE()),IFERROR(1*'Daily Workforce'!$K74&gt;=2,FALSE())),IF(AND('Daily Schedule'!$A53&gt;=46,'Daily Schedule'!$A53&lt;=52),'Daily Workforce'!$M74="Y",IFERROR(1*'Daily Workforce'!$P74&gt;=2,FALSE()))))),1,0)</f>
        <v>1</v>
      </c>
      <c r="CH49" s="1" t="n">
        <f aca="false">IF(AND('Daily Workforce'!$N75="Y",'Daily Workforce'!$B75&lt;&gt;"",COUNTIF('Daily Schedule'!$F$5:$F52,'Daily Workforce'!$B75)=0,IF('Daily Schedule'!$A53=45,'Daily Workforce'!$J75="Y",IF(OR('Daily Schedule'!$A53=4,'Daily Schedule'!$A53=8),IF(OR(WEEKDAY('Daily Schedule'!$B$2,2)=1,WEEKDAY('Daily Schedule'!$B$2,2)=4,WEEKDAY('Daily Schedule'!$B$2,2)=5,WEEKDAY('Daily Schedule'!$B$2,2)=7),IFERROR(1*'Daily Workforce'!$K75&gt;=3,FALSE()),IFERROR(1*'Daily Workforce'!$K75&gt;=2,FALSE())),IF(AND('Daily Schedule'!$A53&gt;=46,'Daily Schedule'!$A53&lt;=52),'Daily Workforce'!$M75="Y",IFERROR(1*'Daily Workforce'!$P75&gt;=2,FALSE()))))),1,0)</f>
        <v>1</v>
      </c>
      <c r="CI49" s="1" t="n">
        <f aca="false">IF(AND('Daily Workforce'!$N76="Y",'Daily Workforce'!$B76&lt;&gt;"",COUNTIF('Daily Schedule'!$F$5:$F52,'Daily Workforce'!$B76)=0,IF('Daily Schedule'!$A53=45,'Daily Workforce'!$J76="Y",IF(OR('Daily Schedule'!$A53=4,'Daily Schedule'!$A53=8),IF(OR(WEEKDAY('Daily Schedule'!$B$2,2)=1,WEEKDAY('Daily Schedule'!$B$2,2)=4,WEEKDAY('Daily Schedule'!$B$2,2)=5,WEEKDAY('Daily Schedule'!$B$2,2)=7),IFERROR(1*'Daily Workforce'!$K76&gt;=3,FALSE()),IFERROR(1*'Daily Workforce'!$K76&gt;=2,FALSE())),IF(AND('Daily Schedule'!$A53&gt;=46,'Daily Schedule'!$A53&lt;=52),'Daily Workforce'!$M76="Y",IFERROR(1*'Daily Workforce'!$P76&gt;=2,FALSE()))))),1,0)</f>
        <v>1</v>
      </c>
      <c r="CJ49" s="1" t="n">
        <f aca="false">IF(AND('Daily Workforce'!$N77="Y",'Daily Workforce'!$B77&lt;&gt;"",COUNTIF('Daily Schedule'!$F$5:$F52,'Daily Workforce'!$B77)=0,IF('Daily Schedule'!$A53=45,'Daily Workforce'!$J77="Y",IF(OR('Daily Schedule'!$A53=4,'Daily Schedule'!$A53=8),IF(OR(WEEKDAY('Daily Schedule'!$B$2,2)=1,WEEKDAY('Daily Schedule'!$B$2,2)=4,WEEKDAY('Daily Schedule'!$B$2,2)=5,WEEKDAY('Daily Schedule'!$B$2,2)=7),IFERROR(1*'Daily Workforce'!$K77&gt;=3,FALSE()),IFERROR(1*'Daily Workforce'!$K77&gt;=2,FALSE())),IF(AND('Daily Schedule'!$A53&gt;=46,'Daily Schedule'!$A53&lt;=52),'Daily Workforce'!$M77="Y",IFERROR(1*'Daily Workforce'!$P77&gt;=2,FALSE()))))),1,0)</f>
        <v>1</v>
      </c>
      <c r="CK49" s="1" t="n">
        <f aca="false">IF(AND('Daily Workforce'!$N78="Y",'Daily Workforce'!$B78&lt;&gt;"",COUNTIF('Daily Schedule'!$F$5:$F52,'Daily Workforce'!$B78)=0,IF('Daily Schedule'!$A53=45,'Daily Workforce'!$J78="Y",IF(OR('Daily Schedule'!$A53=4,'Daily Schedule'!$A53=8),IF(OR(WEEKDAY('Daily Schedule'!$B$2,2)=1,WEEKDAY('Daily Schedule'!$B$2,2)=4,WEEKDAY('Daily Schedule'!$B$2,2)=5,WEEKDAY('Daily Schedule'!$B$2,2)=7),IFERROR(1*'Daily Workforce'!$K78&gt;=3,FALSE()),IFERROR(1*'Daily Workforce'!$K78&gt;=2,FALSE())),IF(AND('Daily Schedule'!$A53&gt;=46,'Daily Schedule'!$A53&lt;=52),'Daily Workforce'!$M78="Y",IFERROR(1*'Daily Workforce'!$P78&gt;=2,FALSE()))))),1,0)</f>
        <v>1</v>
      </c>
      <c r="CL49" s="1" t="n">
        <f aca="false">IF(AND('Daily Workforce'!$N79="Y",'Daily Workforce'!$B79&lt;&gt;"",COUNTIF('Daily Schedule'!$F$5:$F52,'Daily Workforce'!$B79)=0,IF('Daily Schedule'!$A53=45,'Daily Workforce'!$J79="Y",IF(OR('Daily Schedule'!$A53=4,'Daily Schedule'!$A53=8),IF(OR(WEEKDAY('Daily Schedule'!$B$2,2)=1,WEEKDAY('Daily Schedule'!$B$2,2)=4,WEEKDAY('Daily Schedule'!$B$2,2)=5,WEEKDAY('Daily Schedule'!$B$2,2)=7),IFERROR(1*'Daily Workforce'!$K79&gt;=3,FALSE()),IFERROR(1*'Daily Workforce'!$K79&gt;=2,FALSE())),IF(AND('Daily Schedule'!$A53&gt;=46,'Daily Schedule'!$A53&lt;=52),'Daily Workforce'!$M79="Y",IFERROR(1*'Daily Workforce'!$P79&gt;=2,FALSE()))))),1,0)</f>
        <v>1</v>
      </c>
      <c r="CM49" s="1" t="n">
        <f aca="false">IF(AND('Daily Workforce'!$N80="Y",'Daily Workforce'!$B80&lt;&gt;"",COUNTIF('Daily Schedule'!$F$5:$F52,'Daily Workforce'!$B80)=0,IF('Daily Schedule'!$A53=45,'Daily Workforce'!$J80="Y",IF(OR('Daily Schedule'!$A53=4,'Daily Schedule'!$A53=8),IF(OR(WEEKDAY('Daily Schedule'!$B$2,2)=1,WEEKDAY('Daily Schedule'!$B$2,2)=4,WEEKDAY('Daily Schedule'!$B$2,2)=5,WEEKDAY('Daily Schedule'!$B$2,2)=7),IFERROR(1*'Daily Workforce'!$K80&gt;=3,FALSE()),IFERROR(1*'Daily Workforce'!$K80&gt;=2,FALSE())),IF(AND('Daily Schedule'!$A53&gt;=46,'Daily Schedule'!$A53&lt;=52),'Daily Workforce'!$M80="Y",IFERROR(1*'Daily Workforce'!$P80&gt;=2,FALSE()))))),1,0)</f>
        <v>1</v>
      </c>
      <c r="CN49" s="1" t="n">
        <f aca="false">IF(AND('Daily Workforce'!$N81="Y",'Daily Workforce'!$B81&lt;&gt;"",COUNTIF('Daily Schedule'!$F$5:$F52,'Daily Workforce'!$B81)=0,IF('Daily Schedule'!$A53=45,'Daily Workforce'!$J81="Y",IF(OR('Daily Schedule'!$A53=4,'Daily Schedule'!$A53=8),IF(OR(WEEKDAY('Daily Schedule'!$B$2,2)=1,WEEKDAY('Daily Schedule'!$B$2,2)=4,WEEKDAY('Daily Schedule'!$B$2,2)=5,WEEKDAY('Daily Schedule'!$B$2,2)=7),IFERROR(1*'Daily Workforce'!$K81&gt;=3,FALSE()),IFERROR(1*'Daily Workforce'!$K81&gt;=2,FALSE())),IF(AND('Daily Schedule'!$A53&gt;=46,'Daily Schedule'!$A53&lt;=52),'Daily Workforce'!$M81="Y",IFERROR(1*'Daily Workforce'!$P81&gt;=2,FALSE()))))),1,0)</f>
        <v>1</v>
      </c>
      <c r="CO49" s="1" t="n">
        <f aca="false">IF(AND('Daily Workforce'!$N82="Y",'Daily Workforce'!$B82&lt;&gt;"",COUNTIF('Daily Schedule'!$F$5:$F52,'Daily Workforce'!$B82)=0,IF('Daily Schedule'!$A53=45,'Daily Workforce'!$J82="Y",IF(OR('Daily Schedule'!$A53=4,'Daily Schedule'!$A53=8),IF(OR(WEEKDAY('Daily Schedule'!$B$2,2)=1,WEEKDAY('Daily Schedule'!$B$2,2)=4,WEEKDAY('Daily Schedule'!$B$2,2)=5,WEEKDAY('Daily Schedule'!$B$2,2)=7),IFERROR(1*'Daily Workforce'!$K82&gt;=3,FALSE()),IFERROR(1*'Daily Workforce'!$K82&gt;=2,FALSE())),IF(AND('Daily Schedule'!$A53&gt;=46,'Daily Schedule'!$A53&lt;=52),'Daily Workforce'!$M82="Y",IFERROR(1*'Daily Workforce'!$P82&gt;=2,FALSE()))))),1,0)</f>
        <v>1</v>
      </c>
      <c r="CP49" s="1" t="n">
        <f aca="false">IF(AND('Daily Workforce'!$N83="Y",'Daily Workforce'!$B83&lt;&gt;"",COUNTIF('Daily Schedule'!$F$5:$F52,'Daily Workforce'!$B83)=0,IF('Daily Schedule'!$A53=45,'Daily Workforce'!$J83="Y",IF(OR('Daily Schedule'!$A53=4,'Daily Schedule'!$A53=8),IF(OR(WEEKDAY('Daily Schedule'!$B$2,2)=1,WEEKDAY('Daily Schedule'!$B$2,2)=4,WEEKDAY('Daily Schedule'!$B$2,2)=5,WEEKDAY('Daily Schedule'!$B$2,2)=7),IFERROR(1*'Daily Workforce'!$K83&gt;=3,FALSE()),IFERROR(1*'Daily Workforce'!$K83&gt;=2,FALSE())),IF(AND('Daily Schedule'!$A53&gt;=46,'Daily Schedule'!$A53&lt;=52),'Daily Workforce'!$M83="Y",IFERROR(1*'Daily Workforce'!$P83&gt;=2,FALSE()))))),1,0)</f>
        <v>0</v>
      </c>
      <c r="CQ49" s="1" t="n">
        <f aca="false">IF(AND('Daily Workforce'!$N84="Y",'Daily Workforce'!$B84&lt;&gt;"",COUNTIF('Daily Schedule'!$F$5:$F52,'Daily Workforce'!$B84)=0,IF('Daily Schedule'!$A53=45,'Daily Workforce'!$J84="Y",IF(OR('Daily Schedule'!$A53=4,'Daily Schedule'!$A53=8),IF(OR(WEEKDAY('Daily Schedule'!$B$2,2)=1,WEEKDAY('Daily Schedule'!$B$2,2)=4,WEEKDAY('Daily Schedule'!$B$2,2)=5,WEEKDAY('Daily Schedule'!$B$2,2)=7),IFERROR(1*'Daily Workforce'!$K84&gt;=3,FALSE()),IFERROR(1*'Daily Workforce'!$K84&gt;=2,FALSE())),IF(AND('Daily Schedule'!$A53&gt;=46,'Daily Schedule'!$A53&lt;=52),'Daily Workforce'!$M84="Y",IFERROR(1*'Daily Workforce'!$P84&gt;=2,FALSE()))))),1,0)</f>
        <v>1</v>
      </c>
      <c r="CR49" s="1" t="n">
        <f aca="false">IF(AND('Daily Workforce'!$N85="Y",'Daily Workforce'!$B85&lt;&gt;"",COUNTIF('Daily Schedule'!$F$5:$F52,'Daily Workforce'!$B85)=0,IF('Daily Schedule'!$A53=45,'Daily Workforce'!$J85="Y",IF(OR('Daily Schedule'!$A53=4,'Daily Schedule'!$A53=8),IF(OR(WEEKDAY('Daily Schedule'!$B$2,2)=1,WEEKDAY('Daily Schedule'!$B$2,2)=4,WEEKDAY('Daily Schedule'!$B$2,2)=5,WEEKDAY('Daily Schedule'!$B$2,2)=7),IFERROR(1*'Daily Workforce'!$K85&gt;=3,FALSE()),IFERROR(1*'Daily Workforce'!$K85&gt;=2,FALSE())),IF(AND('Daily Schedule'!$A53&gt;=46,'Daily Schedule'!$A53&lt;=52),'Daily Workforce'!$M85="Y",IFERROR(1*'Daily Workforce'!$P85&gt;=2,FALSE()))))),1,0)</f>
        <v>0</v>
      </c>
      <c r="CS49" s="1" t="n">
        <f aca="false">IF(AND('Daily Workforce'!$N86="Y",'Daily Workforce'!$B86&lt;&gt;"",COUNTIF('Daily Schedule'!$F$5:$F52,'Daily Workforce'!$B86)=0,IF('Daily Schedule'!$A53=45,'Daily Workforce'!$J86="Y",IF(OR('Daily Schedule'!$A53=4,'Daily Schedule'!$A53=8),IF(OR(WEEKDAY('Daily Schedule'!$B$2,2)=1,WEEKDAY('Daily Schedule'!$B$2,2)=4,WEEKDAY('Daily Schedule'!$B$2,2)=5,WEEKDAY('Daily Schedule'!$B$2,2)=7),IFERROR(1*'Daily Workforce'!$K86&gt;=3,FALSE()),IFERROR(1*'Daily Workforce'!$K86&gt;=2,FALSE())),IF(AND('Daily Schedule'!$A53&gt;=46,'Daily Schedule'!$A53&lt;=52),'Daily Workforce'!$M86="Y",IFERROR(1*'Daily Workforce'!$P86&gt;=2,FALSE()))))),1,0)</f>
        <v>1</v>
      </c>
      <c r="CT49" s="1" t="n">
        <f aca="false">IF(AND('Daily Workforce'!$N87="Y",'Daily Workforce'!$B87&lt;&gt;"",COUNTIF('Daily Schedule'!$F$5:$F52,'Daily Workforce'!$B87)=0,IF('Daily Schedule'!$A53=45,'Daily Workforce'!$J87="Y",IF(OR('Daily Schedule'!$A53=4,'Daily Schedule'!$A53=8),IF(OR(WEEKDAY('Daily Schedule'!$B$2,2)=1,WEEKDAY('Daily Schedule'!$B$2,2)=4,WEEKDAY('Daily Schedule'!$B$2,2)=5,WEEKDAY('Daily Schedule'!$B$2,2)=7),IFERROR(1*'Daily Workforce'!$K87&gt;=3,FALSE()),IFERROR(1*'Daily Workforce'!$K87&gt;=2,FALSE())),IF(AND('Daily Schedule'!$A53&gt;=46,'Daily Schedule'!$A53&lt;=52),'Daily Workforce'!$M87="Y",IFERROR(1*'Daily Workforce'!$P87&gt;=2,FALSE()))))),1,0)</f>
        <v>1</v>
      </c>
      <c r="CU49" s="1" t="n">
        <f aca="false">IF(AND('Daily Workforce'!$N88="Y",'Daily Workforce'!$B88&lt;&gt;"",COUNTIF('Daily Schedule'!$F$5:$F52,'Daily Workforce'!$B88)=0,IF('Daily Schedule'!$A53=45,'Daily Workforce'!$J88="Y",IF(OR('Daily Schedule'!$A53=4,'Daily Schedule'!$A53=8),IF(OR(WEEKDAY('Daily Schedule'!$B$2,2)=1,WEEKDAY('Daily Schedule'!$B$2,2)=4,WEEKDAY('Daily Schedule'!$B$2,2)=5,WEEKDAY('Daily Schedule'!$B$2,2)=7),IFERROR(1*'Daily Workforce'!$K88&gt;=3,FALSE()),IFERROR(1*'Daily Workforce'!$K88&gt;=2,FALSE())),IF(AND('Daily Schedule'!$A53&gt;=46,'Daily Schedule'!$A53&lt;=52),'Daily Workforce'!$M88="Y",IFERROR(1*'Daily Workforce'!$P88&gt;=2,FALSE()))))),1,0)</f>
        <v>1</v>
      </c>
      <c r="CV49" s="1" t="n">
        <f aca="false">IF(AND('Daily Workforce'!$N89="Y",'Daily Workforce'!$B89&lt;&gt;"",COUNTIF('Daily Schedule'!$F$5:$F52,'Daily Workforce'!$B89)=0,IF('Daily Schedule'!$A53=45,'Daily Workforce'!$J89="Y",IF(OR('Daily Schedule'!$A53=4,'Daily Schedule'!$A53=8),IF(OR(WEEKDAY('Daily Schedule'!$B$2,2)=1,WEEKDAY('Daily Schedule'!$B$2,2)=4,WEEKDAY('Daily Schedule'!$B$2,2)=5,WEEKDAY('Daily Schedule'!$B$2,2)=7),IFERROR(1*'Daily Workforce'!$K89&gt;=3,FALSE()),IFERROR(1*'Daily Workforce'!$K89&gt;=2,FALSE())),IF(AND('Daily Schedule'!$A53&gt;=46,'Daily Schedule'!$A53&lt;=52),'Daily Workforce'!$M89="Y",IFERROR(1*'Daily Workforce'!$P89&gt;=2,FALSE()))))),1,0)</f>
        <v>1</v>
      </c>
      <c r="CW49" s="1" t="n">
        <f aca="false">IF(AND('Daily Workforce'!$N90="Y",'Daily Workforce'!$B90&lt;&gt;"",COUNTIF('Daily Schedule'!$F$5:$F52,'Daily Workforce'!$B90)=0,IF('Daily Schedule'!$A53=45,'Daily Workforce'!$J90="Y",IF(OR('Daily Schedule'!$A53=4,'Daily Schedule'!$A53=8),IF(OR(WEEKDAY('Daily Schedule'!$B$2,2)=1,WEEKDAY('Daily Schedule'!$B$2,2)=4,WEEKDAY('Daily Schedule'!$B$2,2)=5,WEEKDAY('Daily Schedule'!$B$2,2)=7),IFERROR(1*'Daily Workforce'!$K90&gt;=3,FALSE()),IFERROR(1*'Daily Workforce'!$K90&gt;=2,FALSE())),IF(AND('Daily Schedule'!$A53&gt;=46,'Daily Schedule'!$A53&lt;=52),'Daily Workforce'!$M90="Y",IFERROR(1*'Daily Workforce'!$P90&gt;=2,FALSE()))))),1,0)</f>
        <v>1</v>
      </c>
      <c r="CX49" s="1" t="n">
        <f aca="false">IF(AND('Daily Workforce'!$N91="Y",'Daily Workforce'!$B91&lt;&gt;"",COUNTIF('Daily Schedule'!$F$5:$F52,'Daily Workforce'!$B91)=0,IF('Daily Schedule'!$A53=45,'Daily Workforce'!$J91="Y",IF(OR('Daily Schedule'!$A53=4,'Daily Schedule'!$A53=8),IF(OR(WEEKDAY('Daily Schedule'!$B$2,2)=1,WEEKDAY('Daily Schedule'!$B$2,2)=4,WEEKDAY('Daily Schedule'!$B$2,2)=5,WEEKDAY('Daily Schedule'!$B$2,2)=7),IFERROR(1*'Daily Workforce'!$K91&gt;=3,FALSE()),IFERROR(1*'Daily Workforce'!$K91&gt;=2,FALSE())),IF(AND('Daily Schedule'!$A53&gt;=46,'Daily Schedule'!$A53&lt;=52),'Daily Workforce'!$M91="Y",IFERROR(1*'Daily Workforce'!$P91&gt;=2,FALSE()))))),1,0)</f>
        <v>1</v>
      </c>
      <c r="CY49" s="1" t="n">
        <f aca="false">IF(AND('Daily Workforce'!$N92="Y",'Daily Workforce'!$B92&lt;&gt;"",COUNTIF('Daily Schedule'!$F$5:$F52,'Daily Workforce'!$B92)=0,IF('Daily Schedule'!$A53=45,'Daily Workforce'!$J92="Y",IF(OR('Daily Schedule'!$A53=4,'Daily Schedule'!$A53=8),IF(OR(WEEKDAY('Daily Schedule'!$B$2,2)=1,WEEKDAY('Daily Schedule'!$B$2,2)=4,WEEKDAY('Daily Schedule'!$B$2,2)=5,WEEKDAY('Daily Schedule'!$B$2,2)=7),IFERROR(1*'Daily Workforce'!$K92&gt;=3,FALSE()),IFERROR(1*'Daily Workforce'!$K92&gt;=2,FALSE())),IF(AND('Daily Schedule'!$A53&gt;=46,'Daily Schedule'!$A53&lt;=52),'Daily Workforce'!$M92="Y",IFERROR(1*'Daily Workforce'!$P92&gt;=2,FALSE()))))),1,0)</f>
        <v>1</v>
      </c>
      <c r="CZ49" s="1" t="n">
        <f aca="false">IF(AND('Daily Workforce'!$N93="Y",'Daily Workforce'!$B93&lt;&gt;"",COUNTIF('Daily Schedule'!$F$5:$F52,'Daily Workforce'!$B93)=0,IF('Daily Schedule'!$A53=45,'Daily Workforce'!$J93="Y",IF(OR('Daily Schedule'!$A53=4,'Daily Schedule'!$A53=8),IF(OR(WEEKDAY('Daily Schedule'!$B$2,2)=1,WEEKDAY('Daily Schedule'!$B$2,2)=4,WEEKDAY('Daily Schedule'!$B$2,2)=5,WEEKDAY('Daily Schedule'!$B$2,2)=7),IFERROR(1*'Daily Workforce'!$K93&gt;=3,FALSE()),IFERROR(1*'Daily Workforce'!$K93&gt;=2,FALSE())),IF(AND('Daily Schedule'!$A53&gt;=46,'Daily Schedule'!$A53&lt;=52),'Daily Workforce'!$M93="Y",IFERROR(1*'Daily Workforce'!$P93&gt;=2,FALSE()))))),1,0)</f>
        <v>1</v>
      </c>
      <c r="DA49" s="1" t="n">
        <f aca="false">IF(AND('Daily Workforce'!$N94="Y",'Daily Workforce'!$B94&lt;&gt;"",COUNTIF('Daily Schedule'!$F$5:$F52,'Daily Workforce'!$B94)=0,IF('Daily Schedule'!$A53=45,'Daily Workforce'!$J94="Y",IF(OR('Daily Schedule'!$A53=4,'Daily Schedule'!$A53=8),IF(OR(WEEKDAY('Daily Schedule'!$B$2,2)=1,WEEKDAY('Daily Schedule'!$B$2,2)=4,WEEKDAY('Daily Schedule'!$B$2,2)=5,WEEKDAY('Daily Schedule'!$B$2,2)=7),IFERROR(1*'Daily Workforce'!$K94&gt;=3,FALSE()),IFERROR(1*'Daily Workforce'!$K94&gt;=2,FALSE())),IF(AND('Daily Schedule'!$A53&gt;=46,'Daily Schedule'!$A53&lt;=52),'Daily Workforce'!$M94="Y",IFERROR(1*'Daily Workforce'!$P94&gt;=2,FALSE()))))),1,0)</f>
        <v>1</v>
      </c>
      <c r="DB49" s="1" t="n">
        <f aca="false">IF(AND('Daily Workforce'!$N95="Y",'Daily Workforce'!$B95&lt;&gt;"",COUNTIF('Daily Schedule'!$F$5:$F52,'Daily Workforce'!$B95)=0,IF('Daily Schedule'!$A53=45,'Daily Workforce'!$J95="Y",IF(OR('Daily Schedule'!$A53=4,'Daily Schedule'!$A53=8),IF(OR(WEEKDAY('Daily Schedule'!$B$2,2)=1,WEEKDAY('Daily Schedule'!$B$2,2)=4,WEEKDAY('Daily Schedule'!$B$2,2)=5,WEEKDAY('Daily Schedule'!$B$2,2)=7),IFERROR(1*'Daily Workforce'!$K95&gt;=3,FALSE()),IFERROR(1*'Daily Workforce'!$K95&gt;=2,FALSE())),IF(AND('Daily Schedule'!$A53&gt;=46,'Daily Schedule'!$A53&lt;=52),'Daily Workforce'!$M95="Y",IFERROR(1*'Daily Workforce'!$P95&gt;=2,FALSE()))))),1,0)</f>
        <v>1</v>
      </c>
      <c r="DC49" s="1" t="n">
        <f aca="false">IF(AND('Daily Workforce'!$N96="Y",'Daily Workforce'!$B96&lt;&gt;"",COUNTIF('Daily Schedule'!$F$5:$F52,'Daily Workforce'!$B96)=0,IF('Daily Schedule'!$A53=45,'Daily Workforce'!$J96="Y",IF(OR('Daily Schedule'!$A53=4,'Daily Schedule'!$A53=8),IF(OR(WEEKDAY('Daily Schedule'!$B$2,2)=1,WEEKDAY('Daily Schedule'!$B$2,2)=4,WEEKDAY('Daily Schedule'!$B$2,2)=5,WEEKDAY('Daily Schedule'!$B$2,2)=7),IFERROR(1*'Daily Workforce'!$K96&gt;=3,FALSE()),IFERROR(1*'Daily Workforce'!$K96&gt;=2,FALSE())),IF(AND('Daily Schedule'!$A53&gt;=46,'Daily Schedule'!$A53&lt;=52),'Daily Workforce'!$M96="Y",IFERROR(1*'Daily Workforce'!$P96&gt;=2,FALSE()))))),1,0)</f>
        <v>1</v>
      </c>
      <c r="DD49" s="1" t="n">
        <f aca="false">IF(AND('Daily Workforce'!$N97="Y",'Daily Workforce'!$B97&lt;&gt;"",COUNTIF('Daily Schedule'!$F$5:$F52,'Daily Workforce'!$B97)=0,IF('Daily Schedule'!$A53=45,'Daily Workforce'!$J97="Y",IF(OR('Daily Schedule'!$A53=4,'Daily Schedule'!$A53=8),IF(OR(WEEKDAY('Daily Schedule'!$B$2,2)=1,WEEKDAY('Daily Schedule'!$B$2,2)=4,WEEKDAY('Daily Schedule'!$B$2,2)=5,WEEKDAY('Daily Schedule'!$B$2,2)=7),IFERROR(1*'Daily Workforce'!$K97&gt;=3,FALSE()),IFERROR(1*'Daily Workforce'!$K97&gt;=2,FALSE())),IF(AND('Daily Schedule'!$A53&gt;=46,'Daily Schedule'!$A53&lt;=52),'Daily Workforce'!$M97="Y",IFERROR(1*'Daily Workforce'!$P97&gt;=2,FALSE()))))),1,0)</f>
        <v>1</v>
      </c>
      <c r="DE49" s="1" t="n">
        <f aca="false">IF(AND('Daily Workforce'!$N98="Y",'Daily Workforce'!$B98&lt;&gt;"",COUNTIF('Daily Schedule'!$F$5:$F52,'Daily Workforce'!$B98)=0,IF('Daily Schedule'!$A53=45,'Daily Workforce'!$J98="Y",IF(OR('Daily Schedule'!$A53=4,'Daily Schedule'!$A53=8),IF(OR(WEEKDAY('Daily Schedule'!$B$2,2)=1,WEEKDAY('Daily Schedule'!$B$2,2)=4,WEEKDAY('Daily Schedule'!$B$2,2)=5,WEEKDAY('Daily Schedule'!$B$2,2)=7),IFERROR(1*'Daily Workforce'!$K98&gt;=3,FALSE()),IFERROR(1*'Daily Workforce'!$K98&gt;=2,FALSE())),IF(AND('Daily Schedule'!$A53&gt;=46,'Daily Schedule'!$A53&lt;=52),'Daily Workforce'!$M98="Y",IFERROR(1*'Daily Workforce'!$P98&gt;=2,FALSE()))))),1,0)</f>
        <v>1</v>
      </c>
      <c r="DF49" s="1" t="n">
        <f aca="false">IF(AND('Daily Workforce'!$N99="Y",'Daily Workforce'!$B99&lt;&gt;"",COUNTIF('Daily Schedule'!$F$5:$F52,'Daily Workforce'!$B99)=0,IF('Daily Schedule'!$A53=45,'Daily Workforce'!$J99="Y",IF(OR('Daily Schedule'!$A53=4,'Daily Schedule'!$A53=8),IF(OR(WEEKDAY('Daily Schedule'!$B$2,2)=1,WEEKDAY('Daily Schedule'!$B$2,2)=4,WEEKDAY('Daily Schedule'!$B$2,2)=5,WEEKDAY('Daily Schedule'!$B$2,2)=7),IFERROR(1*'Daily Workforce'!$K99&gt;=3,FALSE()),IFERROR(1*'Daily Workforce'!$K99&gt;=2,FALSE())),IF(AND('Daily Schedule'!$A53&gt;=46,'Daily Schedule'!$A53&lt;=52),'Daily Workforce'!$M99="Y",IFERROR(1*'Daily Workforce'!$P99&gt;=2,FALSE()))))),1,0)</f>
        <v>1</v>
      </c>
      <c r="DG49" s="1" t="n">
        <f aca="false">IF(AND('Daily Workforce'!$N100="Y",'Daily Workforce'!$B100&lt;&gt;"",COUNTIF('Daily Schedule'!$F$5:$F52,'Daily Workforce'!$B100)=0,IF('Daily Schedule'!$A53=45,'Daily Workforce'!$J100="Y",IF(OR('Daily Schedule'!$A53=4,'Daily Schedule'!$A53=8),IF(OR(WEEKDAY('Daily Schedule'!$B$2,2)=1,WEEKDAY('Daily Schedule'!$B$2,2)=4,WEEKDAY('Daily Schedule'!$B$2,2)=5,WEEKDAY('Daily Schedule'!$B$2,2)=7),IFERROR(1*'Daily Workforce'!$K100&gt;=3,FALSE()),IFERROR(1*'Daily Workforce'!$K100&gt;=2,FALSE())),IF(AND('Daily Schedule'!$A53&gt;=46,'Daily Schedule'!$A53&lt;=52),'Daily Workforce'!$M100="Y",IFERROR(1*'Daily Workforce'!$P100&gt;=2,FALSE()))))),1,0)</f>
        <v>1</v>
      </c>
      <c r="DH49" s="1" t="n">
        <f aca="false">IF(AND('Daily Workforce'!$N101="Y",'Daily Workforce'!$B101&lt;&gt;"",COUNTIF('Daily Schedule'!$F$5:$F52,'Daily Workforce'!$B101)=0,IF('Daily Schedule'!$A53=45,'Daily Workforce'!$J101="Y",IF(OR('Daily Schedule'!$A53=4,'Daily Schedule'!$A53=8),IF(OR(WEEKDAY('Daily Schedule'!$B$2,2)=1,WEEKDAY('Daily Schedule'!$B$2,2)=4,WEEKDAY('Daily Schedule'!$B$2,2)=5,WEEKDAY('Daily Schedule'!$B$2,2)=7),IFERROR(1*'Daily Workforce'!$K101&gt;=3,FALSE()),IFERROR(1*'Daily Workforce'!$K101&gt;=2,FALSE())),IF(AND('Daily Schedule'!$A53&gt;=46,'Daily Schedule'!$A53&lt;=52),'Daily Workforce'!$M101="Y",IFERROR(1*'Daily Workforce'!$P101&gt;=2,FALSE()))))),1,0)</f>
        <v>1</v>
      </c>
      <c r="DI49" s="1" t="n">
        <f aca="false">IF(AND('Daily Workforce'!$N102="Y",'Daily Workforce'!$B102&lt;&gt;"",COUNTIF('Daily Schedule'!$F$5:$F52,'Daily Workforce'!$B102)=0,IF('Daily Schedule'!$A53=45,'Daily Workforce'!$J102="Y",IF(OR('Daily Schedule'!$A53=4,'Daily Schedule'!$A53=8),IF(OR(WEEKDAY('Daily Schedule'!$B$2,2)=1,WEEKDAY('Daily Schedule'!$B$2,2)=4,WEEKDAY('Daily Schedule'!$B$2,2)=5,WEEKDAY('Daily Schedule'!$B$2,2)=7),IFERROR(1*'Daily Workforce'!$K102&gt;=3,FALSE()),IFERROR(1*'Daily Workforce'!$K102&gt;=2,FALSE())),IF(AND('Daily Schedule'!$A53&gt;=46,'Daily Schedule'!$A53&lt;=52),'Daily Workforce'!$M102="Y",IFERROR(1*'Daily Workforce'!$P102&gt;=2,FALSE()))))),1,0)</f>
        <v>1</v>
      </c>
      <c r="DJ49" s="1" t="n">
        <f aca="false">IF(AND('Daily Workforce'!$N103="Y",'Daily Workforce'!$B103&lt;&gt;"",COUNTIF('Daily Schedule'!$F$5:$F52,'Daily Workforce'!$B103)=0,IF('Daily Schedule'!$A53=45,'Daily Workforce'!$J103="Y",IF(OR('Daily Schedule'!$A53=4,'Daily Schedule'!$A53=8),IF(OR(WEEKDAY('Daily Schedule'!$B$2,2)=1,WEEKDAY('Daily Schedule'!$B$2,2)=4,WEEKDAY('Daily Schedule'!$B$2,2)=5,WEEKDAY('Daily Schedule'!$B$2,2)=7),IFERROR(1*'Daily Workforce'!$K103&gt;=3,FALSE()),IFERROR(1*'Daily Workforce'!$K103&gt;=2,FALSE())),IF(AND('Daily Schedule'!$A53&gt;=46,'Daily Schedule'!$A53&lt;=52),'Daily Workforce'!$M103="Y",IFERROR(1*'Daily Workforce'!$P103&gt;=2,FALSE()))))),1,0)</f>
        <v>1</v>
      </c>
      <c r="DK49" s="1" t="n">
        <f aca="false">IF(AND('Daily Workforce'!$N104="Y",'Daily Workforce'!$B104&lt;&gt;"",COUNTIF('Daily Schedule'!$F$5:$F52,'Daily Workforce'!$B104)=0,IF('Daily Schedule'!$A53=45,'Daily Workforce'!$J104="Y",IF(OR('Daily Schedule'!$A53=4,'Daily Schedule'!$A53=8),IF(OR(WEEKDAY('Daily Schedule'!$B$2,2)=1,WEEKDAY('Daily Schedule'!$B$2,2)=4,WEEKDAY('Daily Schedule'!$B$2,2)=5,WEEKDAY('Daily Schedule'!$B$2,2)=7),IFERROR(1*'Daily Workforce'!$K104&gt;=3,FALSE()),IFERROR(1*'Daily Workforce'!$K104&gt;=2,FALSE())),IF(AND('Daily Schedule'!$A53&gt;=46,'Daily Schedule'!$A53&lt;=52),'Daily Workforce'!$M104="Y",IFERROR(1*'Daily Workforce'!$P104&gt;=2,FALSE()))))),1,0)</f>
        <v>1</v>
      </c>
      <c r="DL49" s="1" t="n">
        <f aca="false">IF(AND('Daily Workforce'!$N105="Y",'Daily Workforce'!$B105&lt;&gt;"",COUNTIF('Daily Schedule'!$F$5:$F52,'Daily Workforce'!$B105)=0,IF('Daily Schedule'!$A53=45,'Daily Workforce'!$J105="Y",IF(OR('Daily Schedule'!$A53=4,'Daily Schedule'!$A53=8),IF(OR(WEEKDAY('Daily Schedule'!$B$2,2)=1,WEEKDAY('Daily Schedule'!$B$2,2)=4,WEEKDAY('Daily Schedule'!$B$2,2)=5,WEEKDAY('Daily Schedule'!$B$2,2)=7),IFERROR(1*'Daily Workforce'!$K105&gt;=3,FALSE()),IFERROR(1*'Daily Workforce'!$K105&gt;=2,FALSE())),IF(AND('Daily Schedule'!$A53&gt;=46,'Daily Schedule'!$A53&lt;=52),'Daily Workforce'!$M105="Y",IFERROR(1*'Daily Workforce'!$P105&gt;=2,FALSE()))))),1,0)</f>
        <v>0</v>
      </c>
      <c r="DM49" s="1" t="n">
        <f aca="false">IF(AND('Daily Workforce'!$N106="Y",'Daily Workforce'!$B106&lt;&gt;"",COUNTIF('Daily Schedule'!$F$5:$F52,'Daily Workforce'!$B106)=0,IF('Daily Schedule'!$A53=45,'Daily Workforce'!$J106="Y",IF(OR('Daily Schedule'!$A53=4,'Daily Schedule'!$A53=8),IF(OR(WEEKDAY('Daily Schedule'!$B$2,2)=1,WEEKDAY('Daily Schedule'!$B$2,2)=4,WEEKDAY('Daily Schedule'!$B$2,2)=5,WEEKDAY('Daily Schedule'!$B$2,2)=7),IFERROR(1*'Daily Workforce'!$K106&gt;=3,FALSE()),IFERROR(1*'Daily Workforce'!$K106&gt;=2,FALSE())),IF(AND('Daily Schedule'!$A53&gt;=46,'Daily Schedule'!$A53&lt;=52),'Daily Workforce'!$M106="Y",IFERROR(1*'Daily Workforce'!$P106&gt;=2,FALSE()))))),1,0)</f>
        <v>1</v>
      </c>
      <c r="DN49" s="1" t="n">
        <f aca="false">IF(AND('Daily Workforce'!$N107="Y",'Daily Workforce'!$B107&lt;&gt;"",COUNTIF('Daily Schedule'!$F$5:$F52,'Daily Workforce'!$B107)=0,IF('Daily Schedule'!$A53=45,'Daily Workforce'!$J107="Y",IF(OR('Daily Schedule'!$A53=4,'Daily Schedule'!$A53=8),IF(OR(WEEKDAY('Daily Schedule'!$B$2,2)=1,WEEKDAY('Daily Schedule'!$B$2,2)=4,WEEKDAY('Daily Schedule'!$B$2,2)=5,WEEKDAY('Daily Schedule'!$B$2,2)=7),IFERROR(1*'Daily Workforce'!$K107&gt;=3,FALSE()),IFERROR(1*'Daily Workforce'!$K107&gt;=2,FALSE())),IF(AND('Daily Schedule'!$A53&gt;=46,'Daily Schedule'!$A53&lt;=52),'Daily Workforce'!$M107="Y",IFERROR(1*'Daily Workforce'!$P107&gt;=2,FALSE()))))),1,0)</f>
        <v>1</v>
      </c>
      <c r="DO49" s="1" t="n">
        <f aca="false">IF(AND('Daily Workforce'!$N108="Y",'Daily Workforce'!$B108&lt;&gt;"",COUNTIF('Daily Schedule'!$F$5:$F52,'Daily Workforce'!$B108)=0,IF('Daily Schedule'!$A53=45,'Daily Workforce'!$J108="Y",IF(OR('Daily Schedule'!$A53=4,'Daily Schedule'!$A53=8),IF(OR(WEEKDAY('Daily Schedule'!$B$2,2)=1,WEEKDAY('Daily Schedule'!$B$2,2)=4,WEEKDAY('Daily Schedule'!$B$2,2)=5,WEEKDAY('Daily Schedule'!$B$2,2)=7),IFERROR(1*'Daily Workforce'!$K108&gt;=3,FALSE()),IFERROR(1*'Daily Workforce'!$K108&gt;=2,FALSE())),IF(AND('Daily Schedule'!$A53&gt;=46,'Daily Schedule'!$A53&lt;=52),'Daily Workforce'!$M108="Y",IFERROR(1*'Daily Workforce'!$P108&gt;=2,FALSE()))))),1,0)</f>
        <v>1</v>
      </c>
      <c r="DP49" s="1" t="n">
        <f aca="false">IF(AND('Daily Workforce'!$N109="Y",'Daily Workforce'!$B109&lt;&gt;"",COUNTIF('Daily Schedule'!$F$5:$F52,'Daily Workforce'!$B109)=0,IF('Daily Schedule'!$A53=45,'Daily Workforce'!$J109="Y",IF(OR('Daily Schedule'!$A53=4,'Daily Schedule'!$A53=8),IF(OR(WEEKDAY('Daily Schedule'!$B$2,2)=1,WEEKDAY('Daily Schedule'!$B$2,2)=4,WEEKDAY('Daily Schedule'!$B$2,2)=5,WEEKDAY('Daily Schedule'!$B$2,2)=7),IFERROR(1*'Daily Workforce'!$K109&gt;=3,FALSE()),IFERROR(1*'Daily Workforce'!$K109&gt;=2,FALSE())),IF(AND('Daily Schedule'!$A53&gt;=46,'Daily Schedule'!$A53&lt;=52),'Daily Workforce'!$M109="Y",IFERROR(1*'Daily Workforce'!$P109&gt;=2,FALSE()))))),1,0)</f>
        <v>1</v>
      </c>
      <c r="DQ49" s="1" t="n">
        <f aca="false">IF(AND('Daily Workforce'!$N110="Y",'Daily Workforce'!$B110&lt;&gt;"",COUNTIF('Daily Schedule'!$F$5:$F52,'Daily Workforce'!$B110)=0,IF('Daily Schedule'!$A53=45,'Daily Workforce'!$J110="Y",IF(OR('Daily Schedule'!$A53=4,'Daily Schedule'!$A53=8),IF(OR(WEEKDAY('Daily Schedule'!$B$2,2)=1,WEEKDAY('Daily Schedule'!$B$2,2)=4,WEEKDAY('Daily Schedule'!$B$2,2)=5,WEEKDAY('Daily Schedule'!$B$2,2)=7),IFERROR(1*'Daily Workforce'!$K110&gt;=3,FALSE()),IFERROR(1*'Daily Workforce'!$K110&gt;=2,FALSE())),IF(AND('Daily Schedule'!$A53&gt;=46,'Daily Schedule'!$A53&lt;=52),'Daily Workforce'!$M110="Y",IFERROR(1*'Daily Workforce'!$P110&gt;=2,FALSE()))))),1,0)</f>
        <v>1</v>
      </c>
      <c r="DR49" s="1" t="n">
        <f aca="false">IF(AND('Daily Workforce'!$N111="Y",'Daily Workforce'!$B111&lt;&gt;"",COUNTIF('Daily Schedule'!$F$5:$F52,'Daily Workforce'!$B111)=0,IF('Daily Schedule'!$A53=45,'Daily Workforce'!$J111="Y",IF(OR('Daily Schedule'!$A53=4,'Daily Schedule'!$A53=8),IF(OR(WEEKDAY('Daily Schedule'!$B$2,2)=1,WEEKDAY('Daily Schedule'!$B$2,2)=4,WEEKDAY('Daily Schedule'!$B$2,2)=5,WEEKDAY('Daily Schedule'!$B$2,2)=7),IFERROR(1*'Daily Workforce'!$K111&gt;=3,FALSE()),IFERROR(1*'Daily Workforce'!$K111&gt;=2,FALSE())),IF(AND('Daily Schedule'!$A53&gt;=46,'Daily Schedule'!$A53&lt;=52),'Daily Workforce'!$M111="Y",IFERROR(1*'Daily Workforce'!$P111&gt;=2,FALSE()))))),1,0)</f>
        <v>1</v>
      </c>
      <c r="DS49" s="1" t="n">
        <f aca="false">IF(AND('Daily Workforce'!$N112="Y",'Daily Workforce'!$B112&lt;&gt;"",COUNTIF('Daily Schedule'!$F$5:$F52,'Daily Workforce'!$B112)=0,IF('Daily Schedule'!$A53=45,'Daily Workforce'!$J112="Y",IF(OR('Daily Schedule'!$A53=4,'Daily Schedule'!$A53=8),IF(OR(WEEKDAY('Daily Schedule'!$B$2,2)=1,WEEKDAY('Daily Schedule'!$B$2,2)=4,WEEKDAY('Daily Schedule'!$B$2,2)=5,WEEKDAY('Daily Schedule'!$B$2,2)=7),IFERROR(1*'Daily Workforce'!$K112&gt;=3,FALSE()),IFERROR(1*'Daily Workforce'!$K112&gt;=2,FALSE())),IF(AND('Daily Schedule'!$A53&gt;=46,'Daily Schedule'!$A53&lt;=52),'Daily Workforce'!$M112="Y",IFERROR(1*'Daily Workforce'!$P112&gt;=2,FALSE()))))),1,0)</f>
        <v>1</v>
      </c>
      <c r="DT49" s="1" t="n">
        <f aca="false">IF(AND('Daily Workforce'!$N113="Y",'Daily Workforce'!$B113&lt;&gt;"",COUNTIF('Daily Schedule'!$F$5:$F52,'Daily Workforce'!$B113)=0,IF('Daily Schedule'!$A53=45,'Daily Workforce'!$J113="Y",IF(OR('Daily Schedule'!$A53=4,'Daily Schedule'!$A53=8),IF(OR(WEEKDAY('Daily Schedule'!$B$2,2)=1,WEEKDAY('Daily Schedule'!$B$2,2)=4,WEEKDAY('Daily Schedule'!$B$2,2)=5,WEEKDAY('Daily Schedule'!$B$2,2)=7),IFERROR(1*'Daily Workforce'!$K113&gt;=3,FALSE()),IFERROR(1*'Daily Workforce'!$K113&gt;=2,FALSE())),IF(AND('Daily Schedule'!$A53&gt;=46,'Daily Schedule'!$A53&lt;=52),'Daily Workforce'!$M113="Y",IFERROR(1*'Daily Workforce'!$P113&gt;=2,FALSE()))))),1,0)</f>
        <v>1</v>
      </c>
      <c r="DU49" s="1" t="n">
        <f aca="false">IF(AND('Daily Workforce'!$N114="Y",'Daily Workforce'!$B114&lt;&gt;"",COUNTIF('Daily Schedule'!$F$5:$F52,'Daily Workforce'!$B114)=0,IF('Daily Schedule'!$A53=45,'Daily Workforce'!$J114="Y",IF(OR('Daily Schedule'!$A53=4,'Daily Schedule'!$A53=8),IF(OR(WEEKDAY('Daily Schedule'!$B$2,2)=1,WEEKDAY('Daily Schedule'!$B$2,2)=4,WEEKDAY('Daily Schedule'!$B$2,2)=5,WEEKDAY('Daily Schedule'!$B$2,2)=7),IFERROR(1*'Daily Workforce'!$K114&gt;=3,FALSE()),IFERROR(1*'Daily Workforce'!$K114&gt;=2,FALSE())),IF(AND('Daily Schedule'!$A53&gt;=46,'Daily Schedule'!$A53&lt;=52),'Daily Workforce'!$M114="Y",IFERROR(1*'Daily Workforce'!$P114&gt;=2,FALSE()))))),1,0)</f>
        <v>1</v>
      </c>
      <c r="DV49" s="1" t="n">
        <f aca="false">IF(AND('Daily Workforce'!$N115="Y",'Daily Workforce'!$B115&lt;&gt;"",COUNTIF('Daily Schedule'!$F$5:$F52,'Daily Workforce'!$B115)=0,IF('Daily Schedule'!$A53=45,'Daily Workforce'!$J115="Y",IF(OR('Daily Schedule'!$A53=4,'Daily Schedule'!$A53=8),IF(OR(WEEKDAY('Daily Schedule'!$B$2,2)=1,WEEKDAY('Daily Schedule'!$B$2,2)=4,WEEKDAY('Daily Schedule'!$B$2,2)=5,WEEKDAY('Daily Schedule'!$B$2,2)=7),IFERROR(1*'Daily Workforce'!$K115&gt;=3,FALSE()),IFERROR(1*'Daily Workforce'!$K115&gt;=2,FALSE())),IF(AND('Daily Schedule'!$A53&gt;=46,'Daily Schedule'!$A53&lt;=52),'Daily Workforce'!$M115="Y",IFERROR(1*'Daily Workforce'!$P115&gt;=2,FALSE()))))),1,0)</f>
        <v>1</v>
      </c>
      <c r="DW49" s="1" t="n">
        <f aca="false">IF(AND('Daily Workforce'!$N116="Y",'Daily Workforce'!$B116&lt;&gt;"",COUNTIF('Daily Schedule'!$F$5:$F52,'Daily Workforce'!$B116)=0,IF('Daily Schedule'!$A53=45,'Daily Workforce'!$J116="Y",IF(OR('Daily Schedule'!$A53=4,'Daily Schedule'!$A53=8),IF(OR(WEEKDAY('Daily Schedule'!$B$2,2)=1,WEEKDAY('Daily Schedule'!$B$2,2)=4,WEEKDAY('Daily Schedule'!$B$2,2)=5,WEEKDAY('Daily Schedule'!$B$2,2)=7),IFERROR(1*'Daily Workforce'!$K116&gt;=3,FALSE()),IFERROR(1*'Daily Workforce'!$K116&gt;=2,FALSE())),IF(AND('Daily Schedule'!$A53&gt;=46,'Daily Schedule'!$A53&lt;=52),'Daily Workforce'!$M116="Y",IFERROR(1*'Daily Workforce'!$P116&gt;=2,FALSE()))))),1,0)</f>
        <v>1</v>
      </c>
      <c r="DX49" s="1" t="n">
        <f aca="false">IF(AND('Daily Workforce'!$N117="Y",'Daily Workforce'!$B117&lt;&gt;"",COUNTIF('Daily Schedule'!$F$5:$F52,'Daily Workforce'!$B117)=0,IF('Daily Schedule'!$A53=45,'Daily Workforce'!$J117="Y",IF(OR('Daily Schedule'!$A53=4,'Daily Schedule'!$A53=8),IF(OR(WEEKDAY('Daily Schedule'!$B$2,2)=1,WEEKDAY('Daily Schedule'!$B$2,2)=4,WEEKDAY('Daily Schedule'!$B$2,2)=5,WEEKDAY('Daily Schedule'!$B$2,2)=7),IFERROR(1*'Daily Workforce'!$K117&gt;=3,FALSE()),IFERROR(1*'Daily Workforce'!$K117&gt;=2,FALSE())),IF(AND('Daily Schedule'!$A53&gt;=46,'Daily Schedule'!$A53&lt;=52),'Daily Workforce'!$M117="Y",IFERROR(1*'Daily Workforce'!$P117&gt;=2,FALSE()))))),1,0)</f>
        <v>1</v>
      </c>
      <c r="DY49" s="1" t="n">
        <f aca="false">IF(AND('Daily Workforce'!$N118="Y",'Daily Workforce'!$B118&lt;&gt;"",COUNTIF('Daily Schedule'!$F$5:$F52,'Daily Workforce'!$B118)=0,IF('Daily Schedule'!$A53=45,'Daily Workforce'!$J118="Y",IF(OR('Daily Schedule'!$A53=4,'Daily Schedule'!$A53=8),IF(OR(WEEKDAY('Daily Schedule'!$B$2,2)=1,WEEKDAY('Daily Schedule'!$B$2,2)=4,WEEKDAY('Daily Schedule'!$B$2,2)=5,WEEKDAY('Daily Schedule'!$B$2,2)=7),IFERROR(1*'Daily Workforce'!$K118&gt;=3,FALSE()),IFERROR(1*'Daily Workforce'!$K118&gt;=2,FALSE())),IF(AND('Daily Schedule'!$A53&gt;=46,'Daily Schedule'!$A53&lt;=52),'Daily Workforce'!$M118="Y",IFERROR(1*'Daily Workforce'!$P118&gt;=2,FALSE()))))),1,0)</f>
        <v>0</v>
      </c>
      <c r="DZ49" s="1" t="n">
        <f aca="false">IF(AND('Daily Workforce'!$N119="Y",'Daily Workforce'!$B119&lt;&gt;"",COUNTIF('Daily Schedule'!$F$5:$F52,'Daily Workforce'!$B119)=0,IF('Daily Schedule'!$A53=45,'Daily Workforce'!$J119="Y",IF(OR('Daily Schedule'!$A53=4,'Daily Schedule'!$A53=8),IF(OR(WEEKDAY('Daily Schedule'!$B$2,2)=1,WEEKDAY('Daily Schedule'!$B$2,2)=4,WEEKDAY('Daily Schedule'!$B$2,2)=5,WEEKDAY('Daily Schedule'!$B$2,2)=7),IFERROR(1*'Daily Workforce'!$K119&gt;=3,FALSE()),IFERROR(1*'Daily Workforce'!$K119&gt;=2,FALSE())),IF(AND('Daily Schedule'!$A53&gt;=46,'Daily Schedule'!$A53&lt;=52),'Daily Workforce'!$M119="Y",IFERROR(1*'Daily Workforce'!$P119&gt;=2,FALSE()))))),1,0)</f>
        <v>0</v>
      </c>
      <c r="EA49" s="1" t="n">
        <f aca="false">IF(AND('Daily Workforce'!$N120="Y",'Daily Workforce'!$B120&lt;&gt;"",COUNTIF('Daily Schedule'!$F$5:$F52,'Daily Workforce'!$B120)=0,IF('Daily Schedule'!$A53=45,'Daily Workforce'!$J120="Y",IF(OR('Daily Schedule'!$A53=4,'Daily Schedule'!$A53=8),IF(OR(WEEKDAY('Daily Schedule'!$B$2,2)=1,WEEKDAY('Daily Schedule'!$B$2,2)=4,WEEKDAY('Daily Schedule'!$B$2,2)=5,WEEKDAY('Daily Schedule'!$B$2,2)=7),IFERROR(1*'Daily Workforce'!$K120&gt;=3,FALSE()),IFERROR(1*'Daily Workforce'!$K120&gt;=2,FALSE())),IF(AND('Daily Schedule'!$A53&gt;=46,'Daily Schedule'!$A53&lt;=52),'Daily Workforce'!$M120="Y",IFERROR(1*'Daily Workforce'!$P120&gt;=2,FALSE()))))),1,0)</f>
        <v>0</v>
      </c>
      <c r="EB49" s="1" t="n">
        <f aca="false">IF(AND('Daily Workforce'!$N121="Y",'Daily Workforce'!$B121&lt;&gt;"",COUNTIF('Daily Schedule'!$F$5:$F52,'Daily Workforce'!$B121)=0,IF('Daily Schedule'!$A53=45,'Daily Workforce'!$J121="Y",IF(OR('Daily Schedule'!$A53=4,'Daily Schedule'!$A53=8),IF(OR(WEEKDAY('Daily Schedule'!$B$2,2)=1,WEEKDAY('Daily Schedule'!$B$2,2)=4,WEEKDAY('Daily Schedule'!$B$2,2)=5,WEEKDAY('Daily Schedule'!$B$2,2)=7),IFERROR(1*'Daily Workforce'!$K121&gt;=3,FALSE()),IFERROR(1*'Daily Workforce'!$K121&gt;=2,FALSE())),IF(AND('Daily Schedule'!$A53&gt;=46,'Daily Schedule'!$A53&lt;=52),'Daily Workforce'!$M121="Y",IFERROR(1*'Daily Workforce'!$P121&gt;=2,FALSE()))))),1,0)</f>
        <v>0</v>
      </c>
      <c r="EC49" s="1" t="n">
        <f aca="false">IF(AND('Daily Workforce'!$N122="Y",'Daily Workforce'!$B122&lt;&gt;"",COUNTIF('Daily Schedule'!$F$5:$F52,'Daily Workforce'!$B122)=0,IF('Daily Schedule'!$A53=45,'Daily Workforce'!$J122="Y",IF(OR('Daily Schedule'!$A53=4,'Daily Schedule'!$A53=8),IF(OR(WEEKDAY('Daily Schedule'!$B$2,2)=1,WEEKDAY('Daily Schedule'!$B$2,2)=4,WEEKDAY('Daily Schedule'!$B$2,2)=5,WEEKDAY('Daily Schedule'!$B$2,2)=7),IFERROR(1*'Daily Workforce'!$K122&gt;=3,FALSE()),IFERROR(1*'Daily Workforce'!$K122&gt;=2,FALSE())),IF(AND('Daily Schedule'!$A53&gt;=46,'Daily Schedule'!$A53&lt;=52),'Daily Workforce'!$M122="Y",IFERROR(1*'Daily Workforce'!$P122&gt;=2,FALSE()))))),1,0)</f>
        <v>0</v>
      </c>
      <c r="ED49" s="1" t="n">
        <f aca="false">IF(AND('Daily Workforce'!$N123="Y",'Daily Workforce'!$B123&lt;&gt;"",COUNTIF('Daily Schedule'!$F$5:$F52,'Daily Workforce'!$B123)=0,IF('Daily Schedule'!$A53=45,'Daily Workforce'!$J123="Y",IF(OR('Daily Schedule'!$A53=4,'Daily Schedule'!$A53=8),IF(OR(WEEKDAY('Daily Schedule'!$B$2,2)=1,WEEKDAY('Daily Schedule'!$B$2,2)=4,WEEKDAY('Daily Schedule'!$B$2,2)=5,WEEKDAY('Daily Schedule'!$B$2,2)=7),IFERROR(1*'Daily Workforce'!$K123&gt;=3,FALSE()),IFERROR(1*'Daily Workforce'!$K123&gt;=2,FALSE())),IF(AND('Daily Schedule'!$A53&gt;=46,'Daily Schedule'!$A53&lt;=52),'Daily Workforce'!$M123="Y",IFERROR(1*'Daily Workforce'!$P123&gt;=2,FALSE()))))),1,0)</f>
        <v>0</v>
      </c>
      <c r="EE49" s="1" t="n">
        <f aca="false">IF(AND('Daily Workforce'!$N124="Y",'Daily Workforce'!$B124&lt;&gt;"",COUNTIF('Daily Schedule'!$F$5:$F52,'Daily Workforce'!$B124)=0,IF('Daily Schedule'!$A53=45,'Daily Workforce'!$J124="Y",IF(OR('Daily Schedule'!$A53=4,'Daily Schedule'!$A53=8),IF(OR(WEEKDAY('Daily Schedule'!$B$2,2)=1,WEEKDAY('Daily Schedule'!$B$2,2)=4,WEEKDAY('Daily Schedule'!$B$2,2)=5,WEEKDAY('Daily Schedule'!$B$2,2)=7),IFERROR(1*'Daily Workforce'!$K124&gt;=3,FALSE()),IFERROR(1*'Daily Workforce'!$K124&gt;=2,FALSE())),IF(AND('Daily Schedule'!$A53&gt;=46,'Daily Schedule'!$A53&lt;=52),'Daily Workforce'!$M124="Y",IFERROR(1*'Daily Workforce'!$P124&gt;=2,FALSE()))))),1,0)</f>
        <v>0</v>
      </c>
      <c r="EF49" s="1" t="n">
        <f aca="false">IF(AND('Daily Workforce'!$N125="Y",'Daily Workforce'!$B125&lt;&gt;"",COUNTIF('Daily Schedule'!$F$5:$F52,'Daily Workforce'!$B125)=0,IF('Daily Schedule'!$A53=45,'Daily Workforce'!$J125="Y",IF(OR('Daily Schedule'!$A53=4,'Daily Schedule'!$A53=8),IF(OR(WEEKDAY('Daily Schedule'!$B$2,2)=1,WEEKDAY('Daily Schedule'!$B$2,2)=4,WEEKDAY('Daily Schedule'!$B$2,2)=5,WEEKDAY('Daily Schedule'!$B$2,2)=7),IFERROR(1*'Daily Workforce'!$K125&gt;=3,FALSE()),IFERROR(1*'Daily Workforce'!$K125&gt;=2,FALSE())),IF(AND('Daily Schedule'!$A53&gt;=46,'Daily Schedule'!$A53&lt;=52),'Daily Workforce'!$M125="Y",IFERROR(1*'Daily Workforce'!$P125&gt;=2,FALSE()))))),1,0)</f>
        <v>0</v>
      </c>
      <c r="EG49" s="1" t="n">
        <f aca="false">IF(AND('Daily Workforce'!$N126="Y",'Daily Workforce'!$B126&lt;&gt;"",COUNTIF('Daily Schedule'!$F$5:$F52,'Daily Workforce'!$B126)=0,IF('Daily Schedule'!$A53=45,'Daily Workforce'!$J126="Y",IF(OR('Daily Schedule'!$A53=4,'Daily Schedule'!$A53=8),IF(OR(WEEKDAY('Daily Schedule'!$B$2,2)=1,WEEKDAY('Daily Schedule'!$B$2,2)=4,WEEKDAY('Daily Schedule'!$B$2,2)=5,WEEKDAY('Daily Schedule'!$B$2,2)=7),IFERROR(1*'Daily Workforce'!$K126&gt;=3,FALSE()),IFERROR(1*'Daily Workforce'!$K126&gt;=2,FALSE())),IF(AND('Daily Schedule'!$A53&gt;=46,'Daily Schedule'!$A53&lt;=52),'Daily Workforce'!$M126="Y",IFERROR(1*'Daily Workforce'!$P126&gt;=2,FALSE()))))),1,0)</f>
        <v>0</v>
      </c>
      <c r="EH49" s="1" t="n">
        <f aca="false">IF(AND('Daily Workforce'!$N127="Y",'Daily Workforce'!$B127&lt;&gt;"",COUNTIF('Daily Schedule'!$F$5:$F52,'Daily Workforce'!$B127)=0,IF('Daily Schedule'!$A53=45,'Daily Workforce'!$J127="Y",IF(OR('Daily Schedule'!$A53=4,'Daily Schedule'!$A53=8),IF(OR(WEEKDAY('Daily Schedule'!$B$2,2)=1,WEEKDAY('Daily Schedule'!$B$2,2)=4,WEEKDAY('Daily Schedule'!$B$2,2)=5,WEEKDAY('Daily Schedule'!$B$2,2)=7),IFERROR(1*'Daily Workforce'!$K127&gt;=3,FALSE()),IFERROR(1*'Daily Workforce'!$K127&gt;=2,FALSE())),IF(AND('Daily Schedule'!$A53&gt;=46,'Daily Schedule'!$A53&lt;=52),'Daily Workforce'!$M127="Y",IFERROR(1*'Daily Workforce'!$P127&gt;=2,FALSE()))))),1,0)</f>
        <v>0</v>
      </c>
      <c r="EI49" s="1" t="n">
        <f aca="false">IF(AND('Daily Workforce'!$N128="Y",'Daily Workforce'!$B128&lt;&gt;"",COUNTIF('Daily Schedule'!$F$5:$F52,'Daily Workforce'!$B128)=0,IF('Daily Schedule'!$A53=45,'Daily Workforce'!$J128="Y",IF(OR('Daily Schedule'!$A53=4,'Daily Schedule'!$A53=8),IF(OR(WEEKDAY('Daily Schedule'!$B$2,2)=1,WEEKDAY('Daily Schedule'!$B$2,2)=4,WEEKDAY('Daily Schedule'!$B$2,2)=5,WEEKDAY('Daily Schedule'!$B$2,2)=7),IFERROR(1*'Daily Workforce'!$K128&gt;=3,FALSE()),IFERROR(1*'Daily Workforce'!$K128&gt;=2,FALSE())),IF(AND('Daily Schedule'!$A53&gt;=46,'Daily Schedule'!$A53&lt;=52),'Daily Workforce'!$M128="Y",IFERROR(1*'Daily Workforce'!$P128&gt;=2,FALSE()))))),1,0)</f>
        <v>0</v>
      </c>
      <c r="EJ49" s="1" t="n">
        <f aca="false">IF(AND('Daily Workforce'!$N129="Y",'Daily Workforce'!$B129&lt;&gt;"",COUNTIF('Daily Schedule'!$F$5:$F52,'Daily Workforce'!$B129)=0,IF('Daily Schedule'!$A53=45,'Daily Workforce'!$J129="Y",IF(OR('Daily Schedule'!$A53=4,'Daily Schedule'!$A53=8),IF(OR(WEEKDAY('Daily Schedule'!$B$2,2)=1,WEEKDAY('Daily Schedule'!$B$2,2)=4,WEEKDAY('Daily Schedule'!$B$2,2)=5,WEEKDAY('Daily Schedule'!$B$2,2)=7),IFERROR(1*'Daily Workforce'!$K129&gt;=3,FALSE()),IFERROR(1*'Daily Workforce'!$K129&gt;=2,FALSE())),IF(AND('Daily Schedule'!$A53&gt;=46,'Daily Schedule'!$A53&lt;=52),'Daily Workforce'!$M129="Y",IFERROR(1*'Daily Workforce'!$P129&gt;=2,FALSE()))))),1,0)</f>
        <v>0</v>
      </c>
      <c r="EK49" s="1" t="n">
        <f aca="false">IF(AND('Daily Workforce'!$N130="Y",'Daily Workforce'!$B130&lt;&gt;"",COUNTIF('Daily Schedule'!$F$5:$F52,'Daily Workforce'!$B130)=0,IF('Daily Schedule'!$A53=45,'Daily Workforce'!$J130="Y",IF(OR('Daily Schedule'!$A53=4,'Daily Schedule'!$A53=8),IF(OR(WEEKDAY('Daily Schedule'!$B$2,2)=1,WEEKDAY('Daily Schedule'!$B$2,2)=4,WEEKDAY('Daily Schedule'!$B$2,2)=5,WEEKDAY('Daily Schedule'!$B$2,2)=7),IFERROR(1*'Daily Workforce'!$K130&gt;=3,FALSE()),IFERROR(1*'Daily Workforce'!$K130&gt;=2,FALSE())),IF(AND('Daily Schedule'!$A53&gt;=46,'Daily Schedule'!$A53&lt;=52),'Daily Workforce'!$M130="Y",IFERROR(1*'Daily Workforce'!$P130&gt;=2,FALSE()))))),1,0)</f>
        <v>0</v>
      </c>
      <c r="EL49" s="1" t="n">
        <f aca="false">IF(AND('Daily Workforce'!$N131="Y",'Daily Workforce'!$B131&lt;&gt;"",COUNTIF('Daily Schedule'!$F$5:$F52,'Daily Workforce'!$B131)=0,IF('Daily Schedule'!$A53=45,'Daily Workforce'!$J131="Y",IF(OR('Daily Schedule'!$A53=4,'Daily Schedule'!$A53=8),IF(OR(WEEKDAY('Daily Schedule'!$B$2,2)=1,WEEKDAY('Daily Schedule'!$B$2,2)=4,WEEKDAY('Daily Schedule'!$B$2,2)=5,WEEKDAY('Daily Schedule'!$B$2,2)=7),IFERROR(1*'Daily Workforce'!$K131&gt;=3,FALSE()),IFERROR(1*'Daily Workforce'!$K131&gt;=2,FALSE())),IF(AND('Daily Schedule'!$A53&gt;=46,'Daily Schedule'!$A53&lt;=52),'Daily Workforce'!$M131="Y",IFERROR(1*'Daily Workforce'!$P131&gt;=2,FALSE()))))),1,0)</f>
        <v>0</v>
      </c>
      <c r="EM49" s="1" t="n">
        <f aca="false">IF(AND('Daily Workforce'!$N132="Y",'Daily Workforce'!$B132&lt;&gt;"",COUNTIF('Daily Schedule'!$F$5:$F52,'Daily Workforce'!$B132)=0,IF('Daily Schedule'!$A53=45,'Daily Workforce'!$J132="Y",IF(OR('Daily Schedule'!$A53=4,'Daily Schedule'!$A53=8),IF(OR(WEEKDAY('Daily Schedule'!$B$2,2)=1,WEEKDAY('Daily Schedule'!$B$2,2)=4,WEEKDAY('Daily Schedule'!$B$2,2)=5,WEEKDAY('Daily Schedule'!$B$2,2)=7),IFERROR(1*'Daily Workforce'!$K132&gt;=3,FALSE()),IFERROR(1*'Daily Workforce'!$K132&gt;=2,FALSE())),IF(AND('Daily Schedule'!$A53&gt;=46,'Daily Schedule'!$A53&lt;=52),'Daily Workforce'!$M132="Y",IFERROR(1*'Daily Workforce'!$P132&gt;=2,FALSE()))))),1,0)</f>
        <v>0</v>
      </c>
      <c r="EN49" s="1" t="n">
        <f aca="false">IF(AND('Daily Workforce'!$N133="Y",'Daily Workforce'!$B133&lt;&gt;"",COUNTIF('Daily Schedule'!$F$5:$F52,'Daily Workforce'!$B133)=0,IF('Daily Schedule'!$A53=45,'Daily Workforce'!$J133="Y",IF(OR('Daily Schedule'!$A53=4,'Daily Schedule'!$A53=8),IF(OR(WEEKDAY('Daily Schedule'!$B$2,2)=1,WEEKDAY('Daily Schedule'!$B$2,2)=4,WEEKDAY('Daily Schedule'!$B$2,2)=5,WEEKDAY('Daily Schedule'!$B$2,2)=7),IFERROR(1*'Daily Workforce'!$K133&gt;=3,FALSE()),IFERROR(1*'Daily Workforce'!$K133&gt;=2,FALSE())),IF(AND('Daily Schedule'!$A53&gt;=46,'Daily Schedule'!$A53&lt;=52),'Daily Workforce'!$M133="Y",IFERROR(1*'Daily Workforce'!$P133&gt;=2,FALSE()))))),1,0)</f>
        <v>0</v>
      </c>
      <c r="EO49" s="1" t="n">
        <f aca="false">IF(AND('Daily Workforce'!$N134="Y",'Daily Workforce'!$B134&lt;&gt;"",COUNTIF('Daily Schedule'!$F$5:$F52,'Daily Workforce'!$B134)=0,IF('Daily Schedule'!$A53=45,'Daily Workforce'!$J134="Y",IF(OR('Daily Schedule'!$A53=4,'Daily Schedule'!$A53=8),IF(OR(WEEKDAY('Daily Schedule'!$B$2,2)=1,WEEKDAY('Daily Schedule'!$B$2,2)=4,WEEKDAY('Daily Schedule'!$B$2,2)=5,WEEKDAY('Daily Schedule'!$B$2,2)=7),IFERROR(1*'Daily Workforce'!$K134&gt;=3,FALSE()),IFERROR(1*'Daily Workforce'!$K134&gt;=2,FALSE())),IF(AND('Daily Schedule'!$A53&gt;=46,'Daily Schedule'!$A53&lt;=52),'Daily Workforce'!$M134="Y",IFERROR(1*'Daily Workforce'!$P134&gt;=2,FALSE()))))),1,0)</f>
        <v>0</v>
      </c>
      <c r="EP49" s="1" t="n">
        <f aca="false">IF(AND('Daily Workforce'!$N135="Y",'Daily Workforce'!$B135&lt;&gt;"",COUNTIF('Daily Schedule'!$F$5:$F52,'Daily Workforce'!$B135)=0,IF('Daily Schedule'!$A53=45,'Daily Workforce'!$J135="Y",IF(OR('Daily Schedule'!$A53=4,'Daily Schedule'!$A53=8),IF(OR(WEEKDAY('Daily Schedule'!$B$2,2)=1,WEEKDAY('Daily Schedule'!$B$2,2)=4,WEEKDAY('Daily Schedule'!$B$2,2)=5,WEEKDAY('Daily Schedule'!$B$2,2)=7),IFERROR(1*'Daily Workforce'!$K135&gt;=3,FALSE()),IFERROR(1*'Daily Workforce'!$K135&gt;=2,FALSE())),IF(AND('Daily Schedule'!$A53&gt;=46,'Daily Schedule'!$A53&lt;=52),'Daily Workforce'!$M135="Y",IFERROR(1*'Daily Workforce'!$P135&gt;=2,FALSE()))))),1,0)</f>
        <v>0</v>
      </c>
      <c r="EQ49" s="1" t="n">
        <f aca="false">IF(AND('Daily Workforce'!$N136="Y",'Daily Workforce'!$B136&lt;&gt;"",COUNTIF('Daily Schedule'!$F$5:$F52,'Daily Workforce'!$B136)=0,IF('Daily Schedule'!$A53=45,'Daily Workforce'!$J136="Y",IF(OR('Daily Schedule'!$A53=4,'Daily Schedule'!$A53=8),IF(OR(WEEKDAY('Daily Schedule'!$B$2,2)=1,WEEKDAY('Daily Schedule'!$B$2,2)=4,WEEKDAY('Daily Schedule'!$B$2,2)=5,WEEKDAY('Daily Schedule'!$B$2,2)=7),IFERROR(1*'Daily Workforce'!$K136&gt;=3,FALSE()),IFERROR(1*'Daily Workforce'!$K136&gt;=2,FALSE())),IF(AND('Daily Schedule'!$A53&gt;=46,'Daily Schedule'!$A53&lt;=52),'Daily Workforce'!$M136="Y",IFERROR(1*'Daily Workforce'!$P136&gt;=2,FALSE()))))),1,0)</f>
        <v>0</v>
      </c>
      <c r="ER49" s="1" t="n">
        <f aca="false">IF(AND('Daily Workforce'!$N137="Y",'Daily Workforce'!$B137&lt;&gt;"",COUNTIF('Daily Schedule'!$F$5:$F52,'Daily Workforce'!$B137)=0,IF('Daily Schedule'!$A53=45,'Daily Workforce'!$J137="Y",IF(OR('Daily Schedule'!$A53=4,'Daily Schedule'!$A53=8),IF(OR(WEEKDAY('Daily Schedule'!$B$2,2)=1,WEEKDAY('Daily Schedule'!$B$2,2)=4,WEEKDAY('Daily Schedule'!$B$2,2)=5,WEEKDAY('Daily Schedule'!$B$2,2)=7),IFERROR(1*'Daily Workforce'!$K137&gt;=3,FALSE()),IFERROR(1*'Daily Workforce'!$K137&gt;=2,FALSE())),IF(AND('Daily Schedule'!$A53&gt;=46,'Daily Schedule'!$A53&lt;=52),'Daily Workforce'!$M137="Y",IFERROR(1*'Daily Workforce'!$P137&gt;=2,FALSE()))))),1,0)</f>
        <v>0</v>
      </c>
      <c r="ES49" s="1" t="n">
        <f aca="false">IF(AND('Daily Workforce'!$N138="Y",'Daily Workforce'!$B138&lt;&gt;"",COUNTIF('Daily Schedule'!$F$5:$F52,'Daily Workforce'!$B138)=0,IF('Daily Schedule'!$A53=45,'Daily Workforce'!$J138="Y",IF(OR('Daily Schedule'!$A53=4,'Daily Schedule'!$A53=8),IF(OR(WEEKDAY('Daily Schedule'!$B$2,2)=1,WEEKDAY('Daily Schedule'!$B$2,2)=4,WEEKDAY('Daily Schedule'!$B$2,2)=5,WEEKDAY('Daily Schedule'!$B$2,2)=7),IFERROR(1*'Daily Workforce'!$K138&gt;=3,FALSE()),IFERROR(1*'Daily Workforce'!$K138&gt;=2,FALSE())),IF(AND('Daily Schedule'!$A53&gt;=46,'Daily Schedule'!$A53&lt;=52),'Daily Workforce'!$M138="Y",IFERROR(1*'Daily Workforce'!$P138&gt;=2,FALSE()))))),1,0)</f>
        <v>0</v>
      </c>
      <c r="ET49" s="1" t="n">
        <f aca="false">IF(AND('Daily Workforce'!$N139="Y",'Daily Workforce'!$B139&lt;&gt;"",COUNTIF('Daily Schedule'!$F$5:$F52,'Daily Workforce'!$B139)=0,IF('Daily Schedule'!$A53=45,'Daily Workforce'!$J139="Y",IF(OR('Daily Schedule'!$A53=4,'Daily Schedule'!$A53=8),IF(OR(WEEKDAY('Daily Schedule'!$B$2,2)=1,WEEKDAY('Daily Schedule'!$B$2,2)=4,WEEKDAY('Daily Schedule'!$B$2,2)=5,WEEKDAY('Daily Schedule'!$B$2,2)=7),IFERROR(1*'Daily Workforce'!$K139&gt;=3,FALSE()),IFERROR(1*'Daily Workforce'!$K139&gt;=2,FALSE())),IF(AND('Daily Schedule'!$A53&gt;=46,'Daily Schedule'!$A53&lt;=52),'Daily Workforce'!$M139="Y",IFERROR(1*'Daily Workforce'!$P139&gt;=2,FALSE()))))),1,0)</f>
        <v>0</v>
      </c>
      <c r="EU49" s="1" t="n">
        <f aca="false">IF(AND('Daily Workforce'!$N140="Y",'Daily Workforce'!$B140&lt;&gt;"",COUNTIF('Daily Schedule'!$F$5:$F52,'Daily Workforce'!$B140)=0,IF('Daily Schedule'!$A53=45,'Daily Workforce'!$J140="Y",IF(OR('Daily Schedule'!$A53=4,'Daily Schedule'!$A53=8),IF(OR(WEEKDAY('Daily Schedule'!$B$2,2)=1,WEEKDAY('Daily Schedule'!$B$2,2)=4,WEEKDAY('Daily Schedule'!$B$2,2)=5,WEEKDAY('Daily Schedule'!$B$2,2)=7),IFERROR(1*'Daily Workforce'!$K140&gt;=3,FALSE()),IFERROR(1*'Daily Workforce'!$K140&gt;=2,FALSE())),IF(AND('Daily Schedule'!$A53&gt;=46,'Daily Schedule'!$A53&lt;=52),'Daily Workforce'!$M140="Y",IFERROR(1*'Daily Workforce'!$P140&gt;=2,FALSE()))))),1,0)</f>
        <v>0</v>
      </c>
      <c r="EV49" s="1" t="n">
        <f aca="false">IF(AND('Daily Workforce'!$N141="Y",'Daily Workforce'!$B141&lt;&gt;"",COUNTIF('Daily Schedule'!$F$5:$F52,'Daily Workforce'!$B141)=0,IF('Daily Schedule'!$A53=45,'Daily Workforce'!$J141="Y",IF(OR('Daily Schedule'!$A53=4,'Daily Schedule'!$A53=8),IF(OR(WEEKDAY('Daily Schedule'!$B$2,2)=1,WEEKDAY('Daily Schedule'!$B$2,2)=4,WEEKDAY('Daily Schedule'!$B$2,2)=5,WEEKDAY('Daily Schedule'!$B$2,2)=7),IFERROR(1*'Daily Workforce'!$K141&gt;=3,FALSE()),IFERROR(1*'Daily Workforce'!$K141&gt;=2,FALSE())),IF(AND('Daily Schedule'!$A53&gt;=46,'Daily Schedule'!$A53&lt;=52),'Daily Workforce'!$M141="Y",IFERROR(1*'Daily Workforce'!$P141&gt;=2,FALSE()))))),1,0)</f>
        <v>0</v>
      </c>
      <c r="EW49" s="1" t="n">
        <f aca="false">IF(AND('Daily Workforce'!$N142="Y",'Daily Workforce'!$B142&lt;&gt;"",COUNTIF('Daily Schedule'!$F$5:$F52,'Daily Workforce'!$B142)=0,IF('Daily Schedule'!$A53=45,'Daily Workforce'!$J142="Y",IF(OR('Daily Schedule'!$A53=4,'Daily Schedule'!$A53=8),IF(OR(WEEKDAY('Daily Schedule'!$B$2,2)=1,WEEKDAY('Daily Schedule'!$B$2,2)=4,WEEKDAY('Daily Schedule'!$B$2,2)=5,WEEKDAY('Daily Schedule'!$B$2,2)=7),IFERROR(1*'Daily Workforce'!$K142&gt;=3,FALSE()),IFERROR(1*'Daily Workforce'!$K142&gt;=2,FALSE())),IF(AND('Daily Schedule'!$A53&gt;=46,'Daily Schedule'!$A53&lt;=52),'Daily Workforce'!$M142="Y",IFERROR(1*'Daily Workforce'!$P142&gt;=2,FALSE()))))),1,0)</f>
        <v>0</v>
      </c>
      <c r="EX49" s="1" t="n">
        <f aca="false">IF(AND('Daily Workforce'!$N143="Y",'Daily Workforce'!$B143&lt;&gt;"",COUNTIF('Daily Schedule'!$F$5:$F52,'Daily Workforce'!$B143)=0,IF('Daily Schedule'!$A53=45,'Daily Workforce'!$J143="Y",IF(OR('Daily Schedule'!$A53=4,'Daily Schedule'!$A53=8),IF(OR(WEEKDAY('Daily Schedule'!$B$2,2)=1,WEEKDAY('Daily Schedule'!$B$2,2)=4,WEEKDAY('Daily Schedule'!$B$2,2)=5,WEEKDAY('Daily Schedule'!$B$2,2)=7),IFERROR(1*'Daily Workforce'!$K143&gt;=3,FALSE()),IFERROR(1*'Daily Workforce'!$K143&gt;=2,FALSE())),IF(AND('Daily Schedule'!$A53&gt;=46,'Daily Schedule'!$A53&lt;=52),'Daily Workforce'!$M143="Y",IFERROR(1*'Daily Workforce'!$P143&gt;=2,FALSE()))))),1,0)</f>
        <v>0</v>
      </c>
      <c r="EY49" s="1" t="n">
        <f aca="false">IF(AND('Daily Workforce'!$N144="Y",'Daily Workforce'!$B144&lt;&gt;"",COUNTIF('Daily Schedule'!$F$5:$F52,'Daily Workforce'!$B144)=0,IF('Daily Schedule'!$A53=45,'Daily Workforce'!$J144="Y",IF(OR('Daily Schedule'!$A53=4,'Daily Schedule'!$A53=8),IF(OR(WEEKDAY('Daily Schedule'!$B$2,2)=1,WEEKDAY('Daily Schedule'!$B$2,2)=4,WEEKDAY('Daily Schedule'!$B$2,2)=5,WEEKDAY('Daily Schedule'!$B$2,2)=7),IFERROR(1*'Daily Workforce'!$K144&gt;=3,FALSE()),IFERROR(1*'Daily Workforce'!$K144&gt;=2,FALSE())),IF(AND('Daily Schedule'!$A53&gt;=46,'Daily Schedule'!$A53&lt;=52),'Daily Workforce'!$M144="Y",IFERROR(1*'Daily Workforce'!$P144&gt;=2,FALSE()))))),1,0)</f>
        <v>0</v>
      </c>
      <c r="EZ49" s="1" t="n">
        <f aca="false">IF(AND('Daily Workforce'!$N145="Y",'Daily Workforce'!$B145&lt;&gt;"",COUNTIF('Daily Schedule'!$F$5:$F52,'Daily Workforce'!$B145)=0,IF('Daily Schedule'!$A53=45,'Daily Workforce'!$J145="Y",IF(OR('Daily Schedule'!$A53=4,'Daily Schedule'!$A53=8),IF(OR(WEEKDAY('Daily Schedule'!$B$2,2)=1,WEEKDAY('Daily Schedule'!$B$2,2)=4,WEEKDAY('Daily Schedule'!$B$2,2)=5,WEEKDAY('Daily Schedule'!$B$2,2)=7),IFERROR(1*'Daily Workforce'!$K145&gt;=3,FALSE()),IFERROR(1*'Daily Workforce'!$K145&gt;=2,FALSE())),IF(AND('Daily Schedule'!$A53&gt;=46,'Daily Schedule'!$A53&lt;=52),'Daily Workforce'!$M145="Y",IFERROR(1*'Daily Workforce'!$P145&gt;=2,FALSE()))))),1,0)</f>
        <v>0</v>
      </c>
      <c r="FA49" s="1" t="n">
        <f aca="false">IF(AND('Daily Workforce'!$N146="Y",'Daily Workforce'!$B146&lt;&gt;"",COUNTIF('Daily Schedule'!$F$5:$F52,'Daily Workforce'!$B146)=0,IF('Daily Schedule'!$A53=45,'Daily Workforce'!$J146="Y",IF(OR('Daily Schedule'!$A53=4,'Daily Schedule'!$A53=8),IF(OR(WEEKDAY('Daily Schedule'!$B$2,2)=1,WEEKDAY('Daily Schedule'!$B$2,2)=4,WEEKDAY('Daily Schedule'!$B$2,2)=5,WEEKDAY('Daily Schedule'!$B$2,2)=7),IFERROR(1*'Daily Workforce'!$K146&gt;=3,FALSE()),IFERROR(1*'Daily Workforce'!$K146&gt;=2,FALSE())),IF(AND('Daily Schedule'!$A53&gt;=46,'Daily Schedule'!$A53&lt;=52),'Daily Workforce'!$M146="Y",IFERROR(1*'Daily Workforce'!$P146&gt;=2,FALSE()))))),1,0)</f>
        <v>0</v>
      </c>
      <c r="FB49" s="1" t="n">
        <f aca="false">IF(AND('Daily Workforce'!$N147="Y",'Daily Workforce'!$B147&lt;&gt;"",COUNTIF('Daily Schedule'!$F$5:$F52,'Daily Workforce'!$B147)=0,IF('Daily Schedule'!$A53=45,'Daily Workforce'!$J147="Y",IF(OR('Daily Schedule'!$A53=4,'Daily Schedule'!$A53=8),IF(OR(WEEKDAY('Daily Schedule'!$B$2,2)=1,WEEKDAY('Daily Schedule'!$B$2,2)=4,WEEKDAY('Daily Schedule'!$B$2,2)=5,WEEKDAY('Daily Schedule'!$B$2,2)=7),IFERROR(1*'Daily Workforce'!$K147&gt;=3,FALSE()),IFERROR(1*'Daily Workforce'!$K147&gt;=2,FALSE())),IF(AND('Daily Schedule'!$A53&gt;=46,'Daily Schedule'!$A53&lt;=52),'Daily Workforce'!$M147="Y",IFERROR(1*'Daily Workforce'!$P147&gt;=2,FALSE()))))),1,0)</f>
        <v>0</v>
      </c>
      <c r="FC49" s="1" t="n">
        <f aca="false">IF(AND('Daily Workforce'!$N148="Y",'Daily Workforce'!$B148&lt;&gt;"",COUNTIF('Daily Schedule'!$F$5:$F52,'Daily Workforce'!$B148)=0,IF('Daily Schedule'!$A53=45,'Daily Workforce'!$J148="Y",IF(OR('Daily Schedule'!$A53=4,'Daily Schedule'!$A53=8),IF(OR(WEEKDAY('Daily Schedule'!$B$2,2)=1,WEEKDAY('Daily Schedule'!$B$2,2)=4,WEEKDAY('Daily Schedule'!$B$2,2)=5,WEEKDAY('Daily Schedule'!$B$2,2)=7),IFERROR(1*'Daily Workforce'!$K148&gt;=3,FALSE()),IFERROR(1*'Daily Workforce'!$K148&gt;=2,FALSE())),IF(AND('Daily Schedule'!$A53&gt;=46,'Daily Schedule'!$A53&lt;=52),'Daily Workforce'!$M148="Y",IFERROR(1*'Daily Workforce'!$P148&gt;=2,FALSE()))))),1,0)</f>
        <v>0</v>
      </c>
      <c r="FD49" s="1" t="n">
        <f aca="false">IF(AND('Daily Workforce'!$N149="Y",'Daily Workforce'!$B149&lt;&gt;"",COUNTIF('Daily Schedule'!$F$5:$F52,'Daily Workforce'!$B149)=0,IF('Daily Schedule'!$A53=45,'Daily Workforce'!$J149="Y",IF(OR('Daily Schedule'!$A53=4,'Daily Schedule'!$A53=8),IF(OR(WEEKDAY('Daily Schedule'!$B$2,2)=1,WEEKDAY('Daily Schedule'!$B$2,2)=4,WEEKDAY('Daily Schedule'!$B$2,2)=5,WEEKDAY('Daily Schedule'!$B$2,2)=7),IFERROR(1*'Daily Workforce'!$K149&gt;=3,FALSE()),IFERROR(1*'Daily Workforce'!$K149&gt;=2,FALSE())),IF(AND('Daily Schedule'!$A53&gt;=46,'Daily Schedule'!$A53&lt;=52),'Daily Workforce'!$M149="Y",IFERROR(1*'Daily Workforce'!$P149&gt;=2,FALSE()))))),1,0)</f>
        <v>0</v>
      </c>
      <c r="FE49" s="1" t="n">
        <f aca="false">IF(AND('Daily Workforce'!$N150="Y",'Daily Workforce'!$B150&lt;&gt;"",COUNTIF('Daily Schedule'!$F$5:$F52,'Daily Workforce'!$B150)=0,IF('Daily Schedule'!$A53=45,'Daily Workforce'!$J150="Y",IF(OR('Daily Schedule'!$A53=4,'Daily Schedule'!$A53=8),IF(OR(WEEKDAY('Daily Schedule'!$B$2,2)=1,WEEKDAY('Daily Schedule'!$B$2,2)=4,WEEKDAY('Daily Schedule'!$B$2,2)=5,WEEKDAY('Daily Schedule'!$B$2,2)=7),IFERROR(1*'Daily Workforce'!$K150&gt;=3,FALSE()),IFERROR(1*'Daily Workforce'!$K150&gt;=2,FALSE())),IF(AND('Daily Schedule'!$A53&gt;=46,'Daily Schedule'!$A53&lt;=52),'Daily Workforce'!$M150="Y",IFERROR(1*'Daily Workforce'!$P150&gt;=2,FALSE()))))),1,0)</f>
        <v>0</v>
      </c>
      <c r="FF49" s="1" t="n">
        <f aca="false">IF(AND('Daily Workforce'!$N151="Y",'Daily Workforce'!$B151&lt;&gt;"",COUNTIF('Daily Schedule'!$F$5:$F52,'Daily Workforce'!$B151)=0,IF('Daily Schedule'!$A53=45,'Daily Workforce'!$J151="Y",IF(OR('Daily Schedule'!$A53=4,'Daily Schedule'!$A53=8),IF(OR(WEEKDAY('Daily Schedule'!$B$2,2)=1,WEEKDAY('Daily Schedule'!$B$2,2)=4,WEEKDAY('Daily Schedule'!$B$2,2)=5,WEEKDAY('Daily Schedule'!$B$2,2)=7),IFERROR(1*'Daily Workforce'!$K151&gt;=3,FALSE()),IFERROR(1*'Daily Workforce'!$K151&gt;=2,FALSE())),IF(AND('Daily Schedule'!$A53&gt;=46,'Daily Schedule'!$A53&lt;=52),'Daily Workforce'!$M151="Y",IFERROR(1*'Daily Workforce'!$P151&gt;=2,FALSE()))))),1,0)</f>
        <v>0</v>
      </c>
      <c r="FG49" s="1" t="n">
        <f aca="false">IF(AND('Daily Workforce'!$N152="Y",'Daily Workforce'!$B152&lt;&gt;"",COUNTIF('Daily Schedule'!$F$5:$F52,'Daily Workforce'!$B152)=0,IF('Daily Schedule'!$A53=45,'Daily Workforce'!$J152="Y",IF(OR('Daily Schedule'!$A53=4,'Daily Schedule'!$A53=8),IF(OR(WEEKDAY('Daily Schedule'!$B$2,2)=1,WEEKDAY('Daily Schedule'!$B$2,2)=4,WEEKDAY('Daily Schedule'!$B$2,2)=5,WEEKDAY('Daily Schedule'!$B$2,2)=7),IFERROR(1*'Daily Workforce'!$K152&gt;=3,FALSE()),IFERROR(1*'Daily Workforce'!$K152&gt;=2,FALSE())),IF(AND('Daily Schedule'!$A53&gt;=46,'Daily Schedule'!$A53&lt;=52),'Daily Workforce'!$M152="Y",IFERROR(1*'Daily Workforce'!$P152&gt;=2,FALSE()))))),1,0)</f>
        <v>0</v>
      </c>
      <c r="FH49" s="1" t="n">
        <f aca="false">IF(AND('Daily Workforce'!$N153="Y",'Daily Workforce'!$B153&lt;&gt;"",COUNTIF('Daily Schedule'!$F$5:$F52,'Daily Workforce'!$B153)=0,IF('Daily Schedule'!$A53=45,'Daily Workforce'!$J153="Y",IF(OR('Daily Schedule'!$A53=4,'Daily Schedule'!$A53=8),IF(OR(WEEKDAY('Daily Schedule'!$B$2,2)=1,WEEKDAY('Daily Schedule'!$B$2,2)=4,WEEKDAY('Daily Schedule'!$B$2,2)=5,WEEKDAY('Daily Schedule'!$B$2,2)=7),IFERROR(1*'Daily Workforce'!$K153&gt;=3,FALSE()),IFERROR(1*'Daily Workforce'!$K153&gt;=2,FALSE())),IF(AND('Daily Schedule'!$A53&gt;=46,'Daily Schedule'!$A53&lt;=52),'Daily Workforce'!$M153="Y",IFERROR(1*'Daily Workforce'!$P153&gt;=2,FALSE()))))),1,0)</f>
        <v>0</v>
      </c>
      <c r="FI49" s="1" t="n">
        <f aca="false">IF(AND('Daily Workforce'!$N154="Y",'Daily Workforce'!$B154&lt;&gt;"",COUNTIF('Daily Schedule'!$F$5:$F52,'Daily Workforce'!$B154)=0,IF('Daily Schedule'!$A53=45,'Daily Workforce'!$J154="Y",IF(OR('Daily Schedule'!$A53=4,'Daily Schedule'!$A53=8),IF(OR(WEEKDAY('Daily Schedule'!$B$2,2)=1,WEEKDAY('Daily Schedule'!$B$2,2)=4,WEEKDAY('Daily Schedule'!$B$2,2)=5,WEEKDAY('Daily Schedule'!$B$2,2)=7),IFERROR(1*'Daily Workforce'!$K154&gt;=3,FALSE()),IFERROR(1*'Daily Workforce'!$K154&gt;=2,FALSE())),IF(AND('Daily Schedule'!$A53&gt;=46,'Daily Schedule'!$A53&lt;=52),'Daily Workforce'!$M154="Y",IFERROR(1*'Daily Workforce'!$P154&gt;=2,FALSE()))))),1,0)</f>
        <v>0</v>
      </c>
      <c r="FJ49" s="1" t="n">
        <f aca="false">IF(AND('Daily Workforce'!$N155="Y",'Daily Workforce'!$B155&lt;&gt;"",COUNTIF('Daily Schedule'!$F$5:$F52,'Daily Workforce'!$B155)=0,IF('Daily Schedule'!$A53=45,'Daily Workforce'!$J155="Y",IF(OR('Daily Schedule'!$A53=4,'Daily Schedule'!$A53=8),IF(OR(WEEKDAY('Daily Schedule'!$B$2,2)=1,WEEKDAY('Daily Schedule'!$B$2,2)=4,WEEKDAY('Daily Schedule'!$B$2,2)=5,WEEKDAY('Daily Schedule'!$B$2,2)=7),IFERROR(1*'Daily Workforce'!$K155&gt;=3,FALSE()),IFERROR(1*'Daily Workforce'!$K155&gt;=2,FALSE())),IF(AND('Daily Schedule'!$A53&gt;=46,'Daily Schedule'!$A53&lt;=52),'Daily Workforce'!$M155="Y",IFERROR(1*'Daily Workforce'!$P155&gt;=2,FALSE()))))),1,0)</f>
        <v>0</v>
      </c>
      <c r="FK49" s="1" t="n">
        <f aca="false">IF(AND('Daily Workforce'!$N156="Y",'Daily Workforce'!$B156&lt;&gt;"",COUNTIF('Daily Schedule'!$F$5:$F52,'Daily Workforce'!$B156)=0,IF('Daily Schedule'!$A53=45,'Daily Workforce'!$J156="Y",IF(OR('Daily Schedule'!$A53=4,'Daily Schedule'!$A53=8),IF(OR(WEEKDAY('Daily Schedule'!$B$2,2)=1,WEEKDAY('Daily Schedule'!$B$2,2)=4,WEEKDAY('Daily Schedule'!$B$2,2)=5,WEEKDAY('Daily Schedule'!$B$2,2)=7),IFERROR(1*'Daily Workforce'!$K156&gt;=3,FALSE()),IFERROR(1*'Daily Workforce'!$K156&gt;=2,FALSE())),IF(AND('Daily Schedule'!$A53&gt;=46,'Daily Schedule'!$A53&lt;=52),'Daily Workforce'!$M156="Y",IFERROR(1*'Daily Workforce'!$P156&gt;=2,FALSE()))))),1,0)</f>
        <v>0</v>
      </c>
      <c r="FL49" s="1" t="n">
        <f aca="false">IF(AND('Daily Workforce'!$N157="Y",'Daily Workforce'!$B157&lt;&gt;"",COUNTIF('Daily Schedule'!$F$5:$F52,'Daily Workforce'!$B157)=0,IF('Daily Schedule'!$A53=45,'Daily Workforce'!$J157="Y",IF(OR('Daily Schedule'!$A53=4,'Daily Schedule'!$A53=8),IF(OR(WEEKDAY('Daily Schedule'!$B$2,2)=1,WEEKDAY('Daily Schedule'!$B$2,2)=4,WEEKDAY('Daily Schedule'!$B$2,2)=5,WEEKDAY('Daily Schedule'!$B$2,2)=7),IFERROR(1*'Daily Workforce'!$K157&gt;=3,FALSE()),IFERROR(1*'Daily Workforce'!$K157&gt;=2,FALSE())),IF(AND('Daily Schedule'!$A53&gt;=46,'Daily Schedule'!$A53&lt;=52),'Daily Workforce'!$M157="Y",IFERROR(1*'Daily Workforce'!$P157&gt;=2,FALSE()))))),1,0)</f>
        <v>0</v>
      </c>
      <c r="FM49" s="1" t="n">
        <f aca="false">IF(AND('Daily Workforce'!$N158="Y",'Daily Workforce'!$B158&lt;&gt;"",COUNTIF('Daily Schedule'!$F$5:$F52,'Daily Workforce'!$B158)=0,IF('Daily Schedule'!$A53=45,'Daily Workforce'!$J158="Y",IF(OR('Daily Schedule'!$A53=4,'Daily Schedule'!$A53=8),IF(OR(WEEKDAY('Daily Schedule'!$B$2,2)=1,WEEKDAY('Daily Schedule'!$B$2,2)=4,WEEKDAY('Daily Schedule'!$B$2,2)=5,WEEKDAY('Daily Schedule'!$B$2,2)=7),IFERROR(1*'Daily Workforce'!$K158&gt;=3,FALSE()),IFERROR(1*'Daily Workforce'!$K158&gt;=2,FALSE())),IF(AND('Daily Schedule'!$A53&gt;=46,'Daily Schedule'!$A53&lt;=52),'Daily Workforce'!$M158="Y",IFERROR(1*'Daily Workforce'!$P158&gt;=2,FALSE()))))),1,0)</f>
        <v>0</v>
      </c>
      <c r="FN49" s="1" t="n">
        <f aca="false">IF(AND('Daily Workforce'!$N159="Y",'Daily Workforce'!$B159&lt;&gt;"",COUNTIF('Daily Schedule'!$F$5:$F52,'Daily Workforce'!$B159)=0,IF('Daily Schedule'!$A53=45,'Daily Workforce'!$J159="Y",IF(OR('Daily Schedule'!$A53=4,'Daily Schedule'!$A53=8),IF(OR(WEEKDAY('Daily Schedule'!$B$2,2)=1,WEEKDAY('Daily Schedule'!$B$2,2)=4,WEEKDAY('Daily Schedule'!$B$2,2)=5,WEEKDAY('Daily Schedule'!$B$2,2)=7),IFERROR(1*'Daily Workforce'!$K159&gt;=3,FALSE()),IFERROR(1*'Daily Workforce'!$K159&gt;=2,FALSE())),IF(AND('Daily Schedule'!$A53&gt;=46,'Daily Schedule'!$A53&lt;=52),'Daily Workforce'!$M159="Y",IFERROR(1*'Daily Workforce'!$P159&gt;=2,FALSE()))))),1,0)</f>
        <v>0</v>
      </c>
      <c r="FO49" s="1" t="n">
        <f aca="false">IF(AND('Daily Workforce'!$N160="Y",'Daily Workforce'!$B160&lt;&gt;"",COUNTIF('Daily Schedule'!$F$5:$F52,'Daily Workforce'!$B160)=0,IF('Daily Schedule'!$A53=45,'Daily Workforce'!$J160="Y",IF(OR('Daily Schedule'!$A53=4,'Daily Schedule'!$A53=8),IF(OR(WEEKDAY('Daily Schedule'!$B$2,2)=1,WEEKDAY('Daily Schedule'!$B$2,2)=4,WEEKDAY('Daily Schedule'!$B$2,2)=5,WEEKDAY('Daily Schedule'!$B$2,2)=7),IFERROR(1*'Daily Workforce'!$K160&gt;=3,FALSE()),IFERROR(1*'Daily Workforce'!$K160&gt;=2,FALSE())),IF(AND('Daily Schedule'!$A53&gt;=46,'Daily Schedule'!$A53&lt;=52),'Daily Workforce'!$M160="Y",IFERROR(1*'Daily Workforce'!$P160&gt;=2,FALSE()))))),1,0)</f>
        <v>0</v>
      </c>
      <c r="FP49" s="1" t="n">
        <f aca="false">IF(AND('Daily Workforce'!$N161="Y",'Daily Workforce'!$B161&lt;&gt;"",COUNTIF('Daily Schedule'!$F$5:$F52,'Daily Workforce'!$B161)=0,IF('Daily Schedule'!$A53=45,'Daily Workforce'!$J161="Y",IF(OR('Daily Schedule'!$A53=4,'Daily Schedule'!$A53=8),IF(OR(WEEKDAY('Daily Schedule'!$B$2,2)=1,WEEKDAY('Daily Schedule'!$B$2,2)=4,WEEKDAY('Daily Schedule'!$B$2,2)=5,WEEKDAY('Daily Schedule'!$B$2,2)=7),IFERROR(1*'Daily Workforce'!$K161&gt;=3,FALSE()),IFERROR(1*'Daily Workforce'!$K161&gt;=2,FALSE())),IF(AND('Daily Schedule'!$A53&gt;=46,'Daily Schedule'!$A53&lt;=52),'Daily Workforce'!$M161="Y",IFERROR(1*'Daily Workforce'!$P161&gt;=2,FALSE()))))),1,0)</f>
        <v>0</v>
      </c>
      <c r="FQ49" s="1" t="n">
        <f aca="false">IF(AND('Daily Workforce'!$N162="Y",'Daily Workforce'!$B162&lt;&gt;"",COUNTIF('Daily Schedule'!$F$5:$F52,'Daily Workforce'!$B162)=0,IF('Daily Schedule'!$A53=45,'Daily Workforce'!$J162="Y",IF(OR('Daily Schedule'!$A53=4,'Daily Schedule'!$A53=8),IF(OR(WEEKDAY('Daily Schedule'!$B$2,2)=1,WEEKDAY('Daily Schedule'!$B$2,2)=4,WEEKDAY('Daily Schedule'!$B$2,2)=5,WEEKDAY('Daily Schedule'!$B$2,2)=7),IFERROR(1*'Daily Workforce'!$K162&gt;=3,FALSE()),IFERROR(1*'Daily Workforce'!$K162&gt;=2,FALSE())),IF(AND('Daily Schedule'!$A53&gt;=46,'Daily Schedule'!$A53&lt;=52),'Daily Workforce'!$M162="Y",IFERROR(1*'Daily Workforce'!$P162&gt;=2,FALSE()))))),1,0)</f>
        <v>0</v>
      </c>
      <c r="FR49" s="1" t="n">
        <f aca="false">IF(AND('Daily Workforce'!$N163="Y",'Daily Workforce'!$B163&lt;&gt;"",COUNTIF('Daily Schedule'!$F$5:$F52,'Daily Workforce'!$B163)=0,IF('Daily Schedule'!$A53=45,'Daily Workforce'!$J163="Y",IF(OR('Daily Schedule'!$A53=4,'Daily Schedule'!$A53=8),IF(OR(WEEKDAY('Daily Schedule'!$B$2,2)=1,WEEKDAY('Daily Schedule'!$B$2,2)=4,WEEKDAY('Daily Schedule'!$B$2,2)=5,WEEKDAY('Daily Schedule'!$B$2,2)=7),IFERROR(1*'Daily Workforce'!$K163&gt;=3,FALSE()),IFERROR(1*'Daily Workforce'!$K163&gt;=2,FALSE())),IF(AND('Daily Schedule'!$A53&gt;=46,'Daily Schedule'!$A53&lt;=52),'Daily Workforce'!$M163="Y",IFERROR(1*'Daily Workforce'!$P163&gt;=2,FALSE()))))),1,0)</f>
        <v>0</v>
      </c>
      <c r="FS49" s="1" t="n">
        <f aca="false">IF(AND('Daily Workforce'!$N164="Y",'Daily Workforce'!$B164&lt;&gt;"",COUNTIF('Daily Schedule'!$F$5:$F52,'Daily Workforce'!$B164)=0,IF('Daily Schedule'!$A53=45,'Daily Workforce'!$J164="Y",IF(OR('Daily Schedule'!$A53=4,'Daily Schedule'!$A53=8),IF(OR(WEEKDAY('Daily Schedule'!$B$2,2)=1,WEEKDAY('Daily Schedule'!$B$2,2)=4,WEEKDAY('Daily Schedule'!$B$2,2)=5,WEEKDAY('Daily Schedule'!$B$2,2)=7),IFERROR(1*'Daily Workforce'!$K164&gt;=3,FALSE()),IFERROR(1*'Daily Workforce'!$K164&gt;=2,FALSE())),IF(AND('Daily Schedule'!$A53&gt;=46,'Daily Schedule'!$A53&lt;=52),'Daily Workforce'!$M164="Y",IFERROR(1*'Daily Workforce'!$P164&gt;=2,FALSE()))))),1,0)</f>
        <v>0</v>
      </c>
      <c r="FT49" s="1" t="n">
        <f aca="false">IF(AND('Daily Workforce'!$N165="Y",'Daily Workforce'!$B165&lt;&gt;"",COUNTIF('Daily Schedule'!$F$5:$F52,'Daily Workforce'!$B165)=0,IF('Daily Schedule'!$A53=45,'Daily Workforce'!$J165="Y",IF(OR('Daily Schedule'!$A53=4,'Daily Schedule'!$A53=8),IF(OR(WEEKDAY('Daily Schedule'!$B$2,2)=1,WEEKDAY('Daily Schedule'!$B$2,2)=4,WEEKDAY('Daily Schedule'!$B$2,2)=5,WEEKDAY('Daily Schedule'!$B$2,2)=7),IFERROR(1*'Daily Workforce'!$K165&gt;=3,FALSE()),IFERROR(1*'Daily Workforce'!$K165&gt;=2,FALSE())),IF(AND('Daily Schedule'!$A53&gt;=46,'Daily Schedule'!$A53&lt;=52),'Daily Workforce'!$M165="Y",IFERROR(1*'Daily Workforce'!$P165&gt;=2,FALSE()))))),1,0)</f>
        <v>0</v>
      </c>
      <c r="FU49" s="1" t="n">
        <f aca="false">IF(AND('Daily Workforce'!$N166="Y",'Daily Workforce'!$B166&lt;&gt;"",COUNTIF('Daily Schedule'!$F$5:$F52,'Daily Workforce'!$B166)=0,IF('Daily Schedule'!$A53=45,'Daily Workforce'!$J166="Y",IF(OR('Daily Schedule'!$A53=4,'Daily Schedule'!$A53=8),IF(OR(WEEKDAY('Daily Schedule'!$B$2,2)=1,WEEKDAY('Daily Schedule'!$B$2,2)=4,WEEKDAY('Daily Schedule'!$B$2,2)=5,WEEKDAY('Daily Schedule'!$B$2,2)=7),IFERROR(1*'Daily Workforce'!$K166&gt;=3,FALSE()),IFERROR(1*'Daily Workforce'!$K166&gt;=2,FALSE())),IF(AND('Daily Schedule'!$A53&gt;=46,'Daily Schedule'!$A53&lt;=52),'Daily Workforce'!$M166="Y",IFERROR(1*'Daily Workforce'!$P166&gt;=2,FALSE()))))),1,0)</f>
        <v>0</v>
      </c>
      <c r="FV49" s="1" t="n">
        <f aca="false">IF(AND('Daily Workforce'!$N167="Y",'Daily Workforce'!$B167&lt;&gt;"",COUNTIF('Daily Schedule'!$F$5:$F52,'Daily Workforce'!$B167)=0,IF('Daily Schedule'!$A53=45,'Daily Workforce'!$J167="Y",IF(OR('Daily Schedule'!$A53=4,'Daily Schedule'!$A53=8),IF(OR(WEEKDAY('Daily Schedule'!$B$2,2)=1,WEEKDAY('Daily Schedule'!$B$2,2)=4,WEEKDAY('Daily Schedule'!$B$2,2)=5,WEEKDAY('Daily Schedule'!$B$2,2)=7),IFERROR(1*'Daily Workforce'!$K167&gt;=3,FALSE()),IFERROR(1*'Daily Workforce'!$K167&gt;=2,FALSE())),IF(AND('Daily Schedule'!$A53&gt;=46,'Daily Schedule'!$A53&lt;=52),'Daily Workforce'!$M167="Y",IFERROR(1*'Daily Workforce'!$P167&gt;=2,FALSE()))))),1,0)</f>
        <v>0</v>
      </c>
      <c r="FW49" s="1" t="n">
        <f aca="false">IF(AND('Daily Workforce'!$N168="Y",'Daily Workforce'!$B168&lt;&gt;"",COUNTIF('Daily Schedule'!$F$5:$F52,'Daily Workforce'!$B168)=0,IF('Daily Schedule'!$A53=45,'Daily Workforce'!$J168="Y",IF(OR('Daily Schedule'!$A53=4,'Daily Schedule'!$A53=8),IF(OR(WEEKDAY('Daily Schedule'!$B$2,2)=1,WEEKDAY('Daily Schedule'!$B$2,2)=4,WEEKDAY('Daily Schedule'!$B$2,2)=5,WEEKDAY('Daily Schedule'!$B$2,2)=7),IFERROR(1*'Daily Workforce'!$K168&gt;=3,FALSE()),IFERROR(1*'Daily Workforce'!$K168&gt;=2,FALSE())),IF(AND('Daily Schedule'!$A53&gt;=46,'Daily Schedule'!$A53&lt;=52),'Daily Workforce'!$M168="Y",IFERROR(1*'Daily Workforce'!$P168&gt;=2,FALSE()))))),1,0)</f>
        <v>0</v>
      </c>
      <c r="FX49" s="1" t="n">
        <f aca="false">IF(AND('Daily Workforce'!$N169="Y",'Daily Workforce'!$B169&lt;&gt;"",COUNTIF('Daily Schedule'!$F$5:$F52,'Daily Workforce'!$B169)=0,IF('Daily Schedule'!$A53=45,'Daily Workforce'!$J169="Y",IF(OR('Daily Schedule'!$A53=4,'Daily Schedule'!$A53=8),IF(OR(WEEKDAY('Daily Schedule'!$B$2,2)=1,WEEKDAY('Daily Schedule'!$B$2,2)=4,WEEKDAY('Daily Schedule'!$B$2,2)=5,WEEKDAY('Daily Schedule'!$B$2,2)=7),IFERROR(1*'Daily Workforce'!$K169&gt;=3,FALSE()),IFERROR(1*'Daily Workforce'!$K169&gt;=2,FALSE())),IF(AND('Daily Schedule'!$A53&gt;=46,'Daily Schedule'!$A53&lt;=52),'Daily Workforce'!$M169="Y",IFERROR(1*'Daily Workforce'!$P169&gt;=2,FALSE()))))),1,0)</f>
        <v>0</v>
      </c>
      <c r="FY49" s="1" t="n">
        <f aca="false">IF(AND('Daily Workforce'!$N170="Y",'Daily Workforce'!$B170&lt;&gt;"",COUNTIF('Daily Schedule'!$F$5:$F52,'Daily Workforce'!$B170)=0,IF('Daily Schedule'!$A53=45,'Daily Workforce'!$J170="Y",IF(OR('Daily Schedule'!$A53=4,'Daily Schedule'!$A53=8),IF(OR(WEEKDAY('Daily Schedule'!$B$2,2)=1,WEEKDAY('Daily Schedule'!$B$2,2)=4,WEEKDAY('Daily Schedule'!$B$2,2)=5,WEEKDAY('Daily Schedule'!$B$2,2)=7),IFERROR(1*'Daily Workforce'!$K170&gt;=3,FALSE()),IFERROR(1*'Daily Workforce'!$K170&gt;=2,FALSE())),IF(AND('Daily Schedule'!$A53&gt;=46,'Daily Schedule'!$A53&lt;=52),'Daily Workforce'!$M170="Y",IFERROR(1*'Daily Workforce'!$P170&gt;=2,FALSE()))))),1,0)</f>
        <v>0</v>
      </c>
      <c r="FZ49" s="1" t="n">
        <f aca="false">IF(AND('Daily Workforce'!$N171="Y",'Daily Workforce'!$B171&lt;&gt;"",COUNTIF('Daily Schedule'!$F$5:$F52,'Daily Workforce'!$B171)=0,IF('Daily Schedule'!$A53=45,'Daily Workforce'!$J171="Y",IF(OR('Daily Schedule'!$A53=4,'Daily Schedule'!$A53=8),IF(OR(WEEKDAY('Daily Schedule'!$B$2,2)=1,WEEKDAY('Daily Schedule'!$B$2,2)=4,WEEKDAY('Daily Schedule'!$B$2,2)=5,WEEKDAY('Daily Schedule'!$B$2,2)=7),IFERROR(1*'Daily Workforce'!$K171&gt;=3,FALSE()),IFERROR(1*'Daily Workforce'!$K171&gt;=2,FALSE())),IF(AND('Daily Schedule'!$A53&gt;=46,'Daily Schedule'!$A53&lt;=52),'Daily Workforce'!$M171="Y",IFERROR(1*'Daily Workforce'!$P171&gt;=2,FALSE()))))),1,0)</f>
        <v>0</v>
      </c>
      <c r="GA49" s="1" t="n">
        <f aca="false">IF(AND('Daily Workforce'!$N172="Y",'Daily Workforce'!$B172&lt;&gt;"",COUNTIF('Daily Schedule'!$F$5:$F52,'Daily Workforce'!$B172)=0,IF('Daily Schedule'!$A53=45,'Daily Workforce'!$J172="Y",IF(OR('Daily Schedule'!$A53=4,'Daily Schedule'!$A53=8),IF(OR(WEEKDAY('Daily Schedule'!$B$2,2)=1,WEEKDAY('Daily Schedule'!$B$2,2)=4,WEEKDAY('Daily Schedule'!$B$2,2)=5,WEEKDAY('Daily Schedule'!$B$2,2)=7),IFERROR(1*'Daily Workforce'!$K172&gt;=3,FALSE()),IFERROR(1*'Daily Workforce'!$K172&gt;=2,FALSE())),IF(AND('Daily Schedule'!$A53&gt;=46,'Daily Schedule'!$A53&lt;=52),'Daily Workforce'!$M172="Y",IFERROR(1*'Daily Workforce'!$P172&gt;=2,FALSE()))))),1,0)</f>
        <v>0</v>
      </c>
      <c r="GB49" s="1" t="n">
        <f aca="false">IF(AND('Daily Workforce'!$N173="Y",'Daily Workforce'!$B173&lt;&gt;"",COUNTIF('Daily Schedule'!$F$5:$F52,'Daily Workforce'!$B173)=0,IF('Daily Schedule'!$A53=45,'Daily Workforce'!$J173="Y",IF(OR('Daily Schedule'!$A53=4,'Daily Schedule'!$A53=8),IF(OR(WEEKDAY('Daily Schedule'!$B$2,2)=1,WEEKDAY('Daily Schedule'!$B$2,2)=4,WEEKDAY('Daily Schedule'!$B$2,2)=5,WEEKDAY('Daily Schedule'!$B$2,2)=7),IFERROR(1*'Daily Workforce'!$K173&gt;=3,FALSE()),IFERROR(1*'Daily Workforce'!$K173&gt;=2,FALSE())),IF(AND('Daily Schedule'!$A53&gt;=46,'Daily Schedule'!$A53&lt;=52),'Daily Workforce'!$M173="Y",IFERROR(1*'Daily Workforce'!$P173&gt;=2,FALSE()))))),1,0)</f>
        <v>0</v>
      </c>
      <c r="GC49" s="1" t="n">
        <f aca="false">IF(AND('Daily Workforce'!$N174="Y",'Daily Workforce'!$B174&lt;&gt;"",COUNTIF('Daily Schedule'!$F$5:$F52,'Daily Workforce'!$B174)=0,IF('Daily Schedule'!$A53=45,'Daily Workforce'!$J174="Y",IF(OR('Daily Schedule'!$A53=4,'Daily Schedule'!$A53=8),IF(OR(WEEKDAY('Daily Schedule'!$B$2,2)=1,WEEKDAY('Daily Schedule'!$B$2,2)=4,WEEKDAY('Daily Schedule'!$B$2,2)=5,WEEKDAY('Daily Schedule'!$B$2,2)=7),IFERROR(1*'Daily Workforce'!$K174&gt;=3,FALSE()),IFERROR(1*'Daily Workforce'!$K174&gt;=2,FALSE())),IF(AND('Daily Schedule'!$A53&gt;=46,'Daily Schedule'!$A53&lt;=52),'Daily Workforce'!$M174="Y",IFERROR(1*'Daily Workforce'!$P174&gt;=2,FALSE()))))),1,0)</f>
        <v>0</v>
      </c>
      <c r="GD49" s="1" t="n">
        <f aca="false">IF(AND('Daily Workforce'!$N175="Y",'Daily Workforce'!$B175&lt;&gt;"",COUNTIF('Daily Schedule'!$F$5:$F52,'Daily Workforce'!$B175)=0,IF('Daily Schedule'!$A53=45,'Daily Workforce'!$J175="Y",IF(OR('Daily Schedule'!$A53=4,'Daily Schedule'!$A53=8),IF(OR(WEEKDAY('Daily Schedule'!$B$2,2)=1,WEEKDAY('Daily Schedule'!$B$2,2)=4,WEEKDAY('Daily Schedule'!$B$2,2)=5,WEEKDAY('Daily Schedule'!$B$2,2)=7),IFERROR(1*'Daily Workforce'!$K175&gt;=3,FALSE()),IFERROR(1*'Daily Workforce'!$K175&gt;=2,FALSE())),IF(AND('Daily Schedule'!$A53&gt;=46,'Daily Schedule'!$A53&lt;=52),'Daily Workforce'!$M175="Y",IFERROR(1*'Daily Workforce'!$P175&gt;=2,FALSE()))))),1,0)</f>
        <v>0</v>
      </c>
      <c r="GE49" s="1" t="n">
        <f aca="false">IF(AND('Daily Workforce'!$N176="Y",'Daily Workforce'!$B176&lt;&gt;"",COUNTIF('Daily Schedule'!$F$5:$F52,'Daily Workforce'!$B176)=0,IF('Daily Schedule'!$A53=45,'Daily Workforce'!$J176="Y",IF(OR('Daily Schedule'!$A53=4,'Daily Schedule'!$A53=8),IF(OR(WEEKDAY('Daily Schedule'!$B$2,2)=1,WEEKDAY('Daily Schedule'!$B$2,2)=4,WEEKDAY('Daily Schedule'!$B$2,2)=5,WEEKDAY('Daily Schedule'!$B$2,2)=7),IFERROR(1*'Daily Workforce'!$K176&gt;=3,FALSE()),IFERROR(1*'Daily Workforce'!$K176&gt;=2,FALSE())),IF(AND('Daily Schedule'!$A53&gt;=46,'Daily Schedule'!$A53&lt;=52),'Daily Workforce'!$M176="Y",IFERROR(1*'Daily Workforce'!$P176&gt;=2,FALSE()))))),1,0)</f>
        <v>0</v>
      </c>
      <c r="GF49" s="1" t="n">
        <f aca="false">IF(AND('Daily Workforce'!$N177="Y",'Daily Workforce'!$B177&lt;&gt;"",COUNTIF('Daily Schedule'!$F$5:$F52,'Daily Workforce'!$B177)=0,IF('Daily Schedule'!$A53=45,'Daily Workforce'!$J177="Y",IF(OR('Daily Schedule'!$A53=4,'Daily Schedule'!$A53=8),IF(OR(WEEKDAY('Daily Schedule'!$B$2,2)=1,WEEKDAY('Daily Schedule'!$B$2,2)=4,WEEKDAY('Daily Schedule'!$B$2,2)=5,WEEKDAY('Daily Schedule'!$B$2,2)=7),IFERROR(1*'Daily Workforce'!$K177&gt;=3,FALSE()),IFERROR(1*'Daily Workforce'!$K177&gt;=2,FALSE())),IF(AND('Daily Schedule'!$A53&gt;=46,'Daily Schedule'!$A53&lt;=52),'Daily Workforce'!$M177="Y",IFERROR(1*'Daily Workforce'!$P177&gt;=2,FALSE()))))),1,0)</f>
        <v>0</v>
      </c>
      <c r="GG49" s="1" t="n">
        <f aca="false">IF(AND('Daily Workforce'!$N178="Y",'Daily Workforce'!$B178&lt;&gt;"",COUNTIF('Daily Schedule'!$F$5:$F52,'Daily Workforce'!$B178)=0,IF('Daily Schedule'!$A53=45,'Daily Workforce'!$J178="Y",IF(OR('Daily Schedule'!$A53=4,'Daily Schedule'!$A53=8),IF(OR(WEEKDAY('Daily Schedule'!$B$2,2)=1,WEEKDAY('Daily Schedule'!$B$2,2)=4,WEEKDAY('Daily Schedule'!$B$2,2)=5,WEEKDAY('Daily Schedule'!$B$2,2)=7),IFERROR(1*'Daily Workforce'!$K178&gt;=3,FALSE()),IFERROR(1*'Daily Workforce'!$K178&gt;=2,FALSE())),IF(AND('Daily Schedule'!$A53&gt;=46,'Daily Schedule'!$A53&lt;=52),'Daily Workforce'!$M178="Y",IFERROR(1*'Daily Workforce'!$P178&gt;=2,FALSE()))))),1,0)</f>
        <v>0</v>
      </c>
      <c r="GH49" s="1" t="n">
        <f aca="false">IF(AND('Daily Workforce'!$N179="Y",'Daily Workforce'!$B179&lt;&gt;"",COUNTIF('Daily Schedule'!$F$5:$F52,'Daily Workforce'!$B179)=0,IF('Daily Schedule'!$A53=45,'Daily Workforce'!$J179="Y",IF(OR('Daily Schedule'!$A53=4,'Daily Schedule'!$A53=8),IF(OR(WEEKDAY('Daily Schedule'!$B$2,2)=1,WEEKDAY('Daily Schedule'!$B$2,2)=4,WEEKDAY('Daily Schedule'!$B$2,2)=5,WEEKDAY('Daily Schedule'!$B$2,2)=7),IFERROR(1*'Daily Workforce'!$K179&gt;=3,FALSE()),IFERROR(1*'Daily Workforce'!$K179&gt;=2,FALSE())),IF(AND('Daily Schedule'!$A53&gt;=46,'Daily Schedule'!$A53&lt;=52),'Daily Workforce'!$M179="Y",IFERROR(1*'Daily Workforce'!$P179&gt;=2,FALSE()))))),1,0)</f>
        <v>0</v>
      </c>
      <c r="GI49" s="1" t="n">
        <f aca="false">IF(AND('Daily Workforce'!$N180="Y",'Daily Workforce'!$B180&lt;&gt;"",COUNTIF('Daily Schedule'!$F$5:$F52,'Daily Workforce'!$B180)=0,IF('Daily Schedule'!$A53=45,'Daily Workforce'!$J180="Y",IF(OR('Daily Schedule'!$A53=4,'Daily Schedule'!$A53=8),IF(OR(WEEKDAY('Daily Schedule'!$B$2,2)=1,WEEKDAY('Daily Schedule'!$B$2,2)=4,WEEKDAY('Daily Schedule'!$B$2,2)=5,WEEKDAY('Daily Schedule'!$B$2,2)=7),IFERROR(1*'Daily Workforce'!$K180&gt;=3,FALSE()),IFERROR(1*'Daily Workforce'!$K180&gt;=2,FALSE())),IF(AND('Daily Schedule'!$A53&gt;=46,'Daily Schedule'!$A53&lt;=52),'Daily Workforce'!$M180="Y",IFERROR(1*'Daily Workforce'!$P180&gt;=2,FALSE()))))),1,0)</f>
        <v>0</v>
      </c>
      <c r="GJ49" s="1" t="n">
        <f aca="false">IF(AND('Daily Workforce'!$N181="Y",'Daily Workforce'!$B181&lt;&gt;"",COUNTIF('Daily Schedule'!$F$5:$F52,'Daily Workforce'!$B181)=0,IF('Daily Schedule'!$A53=45,'Daily Workforce'!$J181="Y",IF(OR('Daily Schedule'!$A53=4,'Daily Schedule'!$A53=8),IF(OR(WEEKDAY('Daily Schedule'!$B$2,2)=1,WEEKDAY('Daily Schedule'!$B$2,2)=4,WEEKDAY('Daily Schedule'!$B$2,2)=5,WEEKDAY('Daily Schedule'!$B$2,2)=7),IFERROR(1*'Daily Workforce'!$K181&gt;=3,FALSE()),IFERROR(1*'Daily Workforce'!$K181&gt;=2,FALSE())),IF(AND('Daily Schedule'!$A53&gt;=46,'Daily Schedule'!$A53&lt;=52),'Daily Workforce'!$M181="Y",IFERROR(1*'Daily Workforce'!$P181&gt;=2,FALSE()))))),1,0)</f>
        <v>0</v>
      </c>
      <c r="GK49" s="1" t="n">
        <f aca="false">IF(AND('Daily Workforce'!$N182="Y",'Daily Workforce'!$B182&lt;&gt;"",COUNTIF('Daily Schedule'!$F$5:$F52,'Daily Workforce'!$B182)=0,IF('Daily Schedule'!$A53=45,'Daily Workforce'!$J182="Y",IF(OR('Daily Schedule'!$A53=4,'Daily Schedule'!$A53=8),IF(OR(WEEKDAY('Daily Schedule'!$B$2,2)=1,WEEKDAY('Daily Schedule'!$B$2,2)=4,WEEKDAY('Daily Schedule'!$B$2,2)=5,WEEKDAY('Daily Schedule'!$B$2,2)=7),IFERROR(1*'Daily Workforce'!$K182&gt;=3,FALSE()),IFERROR(1*'Daily Workforce'!$K182&gt;=2,FALSE())),IF(AND('Daily Schedule'!$A53&gt;=46,'Daily Schedule'!$A53&lt;=52),'Daily Workforce'!$M182="Y",IFERROR(1*'Daily Workforce'!$P182&gt;=2,FALSE()))))),1,0)</f>
        <v>0</v>
      </c>
      <c r="GL49" s="1" t="n">
        <f aca="false">IF(AND('Daily Workforce'!$N183="Y",'Daily Workforce'!$B183&lt;&gt;"",COUNTIF('Daily Schedule'!$F$5:$F52,'Daily Workforce'!$B183)=0,IF('Daily Schedule'!$A53=45,'Daily Workforce'!$J183="Y",IF(OR('Daily Schedule'!$A53=4,'Daily Schedule'!$A53=8),IF(OR(WEEKDAY('Daily Schedule'!$B$2,2)=1,WEEKDAY('Daily Schedule'!$B$2,2)=4,WEEKDAY('Daily Schedule'!$B$2,2)=5,WEEKDAY('Daily Schedule'!$B$2,2)=7),IFERROR(1*'Daily Workforce'!$K183&gt;=3,FALSE()),IFERROR(1*'Daily Workforce'!$K183&gt;=2,FALSE())),IF(AND('Daily Schedule'!$A53&gt;=46,'Daily Schedule'!$A53&lt;=52),'Daily Workforce'!$M183="Y",IFERROR(1*'Daily Workforce'!$P183&gt;=2,FALSE()))))),1,0)</f>
        <v>0</v>
      </c>
      <c r="GM49" s="1" t="n">
        <f aca="false">IF(AND('Daily Workforce'!$N184="Y",'Daily Workforce'!$B184&lt;&gt;"",COUNTIF('Daily Schedule'!$F$5:$F52,'Daily Workforce'!$B184)=0,IF('Daily Schedule'!$A53=45,'Daily Workforce'!$J184="Y",IF(OR('Daily Schedule'!$A53=4,'Daily Schedule'!$A53=8),IF(OR(WEEKDAY('Daily Schedule'!$B$2,2)=1,WEEKDAY('Daily Schedule'!$B$2,2)=4,WEEKDAY('Daily Schedule'!$B$2,2)=5,WEEKDAY('Daily Schedule'!$B$2,2)=7),IFERROR(1*'Daily Workforce'!$K184&gt;=3,FALSE()),IFERROR(1*'Daily Workforce'!$K184&gt;=2,FALSE())),IF(AND('Daily Schedule'!$A53&gt;=46,'Daily Schedule'!$A53&lt;=52),'Daily Workforce'!$M184="Y",IFERROR(1*'Daily Workforce'!$P184&gt;=2,FALSE()))))),1,0)</f>
        <v>0</v>
      </c>
      <c r="GN49" s="1" t="n">
        <f aca="false">IF(AND('Daily Workforce'!$N185="Y",'Daily Workforce'!$B185&lt;&gt;"",COUNTIF('Daily Schedule'!$F$5:$F52,'Daily Workforce'!$B185)=0,IF('Daily Schedule'!$A53=45,'Daily Workforce'!$J185="Y",IF(OR('Daily Schedule'!$A53=4,'Daily Schedule'!$A53=8),IF(OR(WEEKDAY('Daily Schedule'!$B$2,2)=1,WEEKDAY('Daily Schedule'!$B$2,2)=4,WEEKDAY('Daily Schedule'!$B$2,2)=5,WEEKDAY('Daily Schedule'!$B$2,2)=7),IFERROR(1*'Daily Workforce'!$K185&gt;=3,FALSE()),IFERROR(1*'Daily Workforce'!$K185&gt;=2,FALSE())),IF(AND('Daily Schedule'!$A53&gt;=46,'Daily Schedule'!$A53&lt;=52),'Daily Workforce'!$M185="Y",IFERROR(1*'Daily Workforce'!$P185&gt;=2,FALSE()))))),1,0)</f>
        <v>0</v>
      </c>
      <c r="GO49" s="1" t="n">
        <f aca="false">IF(AND('Daily Workforce'!$N186="Y",'Daily Workforce'!$B186&lt;&gt;"",COUNTIF('Daily Schedule'!$F$5:$F52,'Daily Workforce'!$B186)=0,IF('Daily Schedule'!$A53=45,'Daily Workforce'!$J186="Y",IF(OR('Daily Schedule'!$A53=4,'Daily Schedule'!$A53=8),IF(OR(WEEKDAY('Daily Schedule'!$B$2,2)=1,WEEKDAY('Daily Schedule'!$B$2,2)=4,WEEKDAY('Daily Schedule'!$B$2,2)=5,WEEKDAY('Daily Schedule'!$B$2,2)=7),IFERROR(1*'Daily Workforce'!$K186&gt;=3,FALSE()),IFERROR(1*'Daily Workforce'!$K186&gt;=2,FALSE())),IF(AND('Daily Schedule'!$A53&gt;=46,'Daily Schedule'!$A53&lt;=52),'Daily Workforce'!$M186="Y",IFERROR(1*'Daily Workforce'!$P186&gt;=2,FALSE()))))),1,0)</f>
        <v>0</v>
      </c>
      <c r="GP49" s="1" t="n">
        <f aca="false">IF(AND('Daily Workforce'!$N187="Y",'Daily Workforce'!$B187&lt;&gt;"",COUNTIF('Daily Schedule'!$F$5:$F52,'Daily Workforce'!$B187)=0,IF('Daily Schedule'!$A53=45,'Daily Workforce'!$J187="Y",IF(OR('Daily Schedule'!$A53=4,'Daily Schedule'!$A53=8),IF(OR(WEEKDAY('Daily Schedule'!$B$2,2)=1,WEEKDAY('Daily Schedule'!$B$2,2)=4,WEEKDAY('Daily Schedule'!$B$2,2)=5,WEEKDAY('Daily Schedule'!$B$2,2)=7),IFERROR(1*'Daily Workforce'!$K187&gt;=3,FALSE()),IFERROR(1*'Daily Workforce'!$K187&gt;=2,FALSE())),IF(AND('Daily Schedule'!$A53&gt;=46,'Daily Schedule'!$A53&lt;=52),'Daily Workforce'!$M187="Y",IFERROR(1*'Daily Workforce'!$P187&gt;=2,FALSE()))))),1,0)</f>
        <v>0</v>
      </c>
      <c r="GQ49" s="1" t="n">
        <f aca="false">IF(AND('Daily Workforce'!$N188="Y",'Daily Workforce'!$B188&lt;&gt;"",COUNTIF('Daily Schedule'!$F$5:$F52,'Daily Workforce'!$B188)=0,IF('Daily Schedule'!$A53=45,'Daily Workforce'!$J188="Y",IF(OR('Daily Schedule'!$A53=4,'Daily Schedule'!$A53=8),IF(OR(WEEKDAY('Daily Schedule'!$B$2,2)=1,WEEKDAY('Daily Schedule'!$B$2,2)=4,WEEKDAY('Daily Schedule'!$B$2,2)=5,WEEKDAY('Daily Schedule'!$B$2,2)=7),IFERROR(1*'Daily Workforce'!$K188&gt;=3,FALSE()),IFERROR(1*'Daily Workforce'!$K188&gt;=2,FALSE())),IF(AND('Daily Schedule'!$A53&gt;=46,'Daily Schedule'!$A53&lt;=52),'Daily Workforce'!$M188="Y",IFERROR(1*'Daily Workforce'!$P188&gt;=2,FALSE()))))),1,0)</f>
        <v>0</v>
      </c>
      <c r="GR49" s="1" t="n">
        <f aca="false">IF(AND('Daily Workforce'!$N189="Y",'Daily Workforce'!$B189&lt;&gt;"",COUNTIF('Daily Schedule'!$F$5:$F52,'Daily Workforce'!$B189)=0,IF('Daily Schedule'!$A53=45,'Daily Workforce'!$J189="Y",IF(OR('Daily Schedule'!$A53=4,'Daily Schedule'!$A53=8),IF(OR(WEEKDAY('Daily Schedule'!$B$2,2)=1,WEEKDAY('Daily Schedule'!$B$2,2)=4,WEEKDAY('Daily Schedule'!$B$2,2)=5,WEEKDAY('Daily Schedule'!$B$2,2)=7),IFERROR(1*'Daily Workforce'!$K189&gt;=3,FALSE()),IFERROR(1*'Daily Workforce'!$K189&gt;=2,FALSE())),IF(AND('Daily Schedule'!$A53&gt;=46,'Daily Schedule'!$A53&lt;=52),'Daily Workforce'!$M189="Y",IFERROR(1*'Daily Workforce'!$P189&gt;=2,FALSE()))))),1,0)</f>
        <v>0</v>
      </c>
      <c r="GS49" s="1" t="n">
        <f aca="false">IF(AND('Daily Workforce'!$N190="Y",'Daily Workforce'!$B190&lt;&gt;"",COUNTIF('Daily Schedule'!$F$5:$F52,'Daily Workforce'!$B190)=0,IF('Daily Schedule'!$A53=45,'Daily Workforce'!$J190="Y",IF(OR('Daily Schedule'!$A53=4,'Daily Schedule'!$A53=8),IF(OR(WEEKDAY('Daily Schedule'!$B$2,2)=1,WEEKDAY('Daily Schedule'!$B$2,2)=4,WEEKDAY('Daily Schedule'!$B$2,2)=5,WEEKDAY('Daily Schedule'!$B$2,2)=7),IFERROR(1*'Daily Workforce'!$K190&gt;=3,FALSE()),IFERROR(1*'Daily Workforce'!$K190&gt;=2,FALSE())),IF(AND('Daily Schedule'!$A53&gt;=46,'Daily Schedule'!$A53&lt;=52),'Daily Workforce'!$M190="Y",IFERROR(1*'Daily Workforce'!$P190&gt;=2,FALSE()))))),1,0)</f>
        <v>0</v>
      </c>
      <c r="GT49" s="1" t="n">
        <f aca="false">IF(AND('Daily Workforce'!$N191="Y",'Daily Workforce'!$B191&lt;&gt;"",COUNTIF('Daily Schedule'!$F$5:$F52,'Daily Workforce'!$B191)=0,IF('Daily Schedule'!$A53=45,'Daily Workforce'!$J191="Y",IF(OR('Daily Schedule'!$A53=4,'Daily Schedule'!$A53=8),IF(OR(WEEKDAY('Daily Schedule'!$B$2,2)=1,WEEKDAY('Daily Schedule'!$B$2,2)=4,WEEKDAY('Daily Schedule'!$B$2,2)=5,WEEKDAY('Daily Schedule'!$B$2,2)=7),IFERROR(1*'Daily Workforce'!$K191&gt;=3,FALSE()),IFERROR(1*'Daily Workforce'!$K191&gt;=2,FALSE())),IF(AND('Daily Schedule'!$A53&gt;=46,'Daily Schedule'!$A53&lt;=52),'Daily Workforce'!$M191="Y",IFERROR(1*'Daily Workforce'!$P191&gt;=2,FALSE()))))),1,0)</f>
        <v>0</v>
      </c>
      <c r="GU49" s="1" t="n">
        <f aca="false">IF(AND('Daily Workforce'!$N192="Y",'Daily Workforce'!$B192&lt;&gt;"",COUNTIF('Daily Schedule'!$F$5:$F52,'Daily Workforce'!$B192)=0,IF('Daily Schedule'!$A53=45,'Daily Workforce'!$J192="Y",IF(OR('Daily Schedule'!$A53=4,'Daily Schedule'!$A53=8),IF(OR(WEEKDAY('Daily Schedule'!$B$2,2)=1,WEEKDAY('Daily Schedule'!$B$2,2)=4,WEEKDAY('Daily Schedule'!$B$2,2)=5,WEEKDAY('Daily Schedule'!$B$2,2)=7),IFERROR(1*'Daily Workforce'!$K192&gt;=3,FALSE()),IFERROR(1*'Daily Workforce'!$K192&gt;=2,FALSE())),IF(AND('Daily Schedule'!$A53&gt;=46,'Daily Schedule'!$A53&lt;=52),'Daily Workforce'!$M192="Y",IFERROR(1*'Daily Workforce'!$P192&gt;=2,FALSE()))))),1,0)</f>
        <v>0</v>
      </c>
      <c r="GV49" s="1" t="n">
        <f aca="false">IF(AND('Daily Workforce'!$N193="Y",'Daily Workforce'!$B193&lt;&gt;"",COUNTIF('Daily Schedule'!$F$5:$F52,'Daily Workforce'!$B193)=0,IF('Daily Schedule'!$A53=45,'Daily Workforce'!$J193="Y",IF(OR('Daily Schedule'!$A53=4,'Daily Schedule'!$A53=8),IF(OR(WEEKDAY('Daily Schedule'!$B$2,2)=1,WEEKDAY('Daily Schedule'!$B$2,2)=4,WEEKDAY('Daily Schedule'!$B$2,2)=5,WEEKDAY('Daily Schedule'!$B$2,2)=7),IFERROR(1*'Daily Workforce'!$K193&gt;=3,FALSE()),IFERROR(1*'Daily Workforce'!$K193&gt;=2,FALSE())),IF(AND('Daily Schedule'!$A53&gt;=46,'Daily Schedule'!$A53&lt;=52),'Daily Workforce'!$M193="Y",IFERROR(1*'Daily Workforce'!$P193&gt;=2,FALSE()))))),1,0)</f>
        <v>0</v>
      </c>
      <c r="GW49" s="1" t="n">
        <f aca="false">IF(AND('Daily Workforce'!$N194="Y",'Daily Workforce'!$B194&lt;&gt;"",COUNTIF('Daily Schedule'!$F$5:$F52,'Daily Workforce'!$B194)=0,IF('Daily Schedule'!$A53=45,'Daily Workforce'!$J194="Y",IF(OR('Daily Schedule'!$A53=4,'Daily Schedule'!$A53=8),IF(OR(WEEKDAY('Daily Schedule'!$B$2,2)=1,WEEKDAY('Daily Schedule'!$B$2,2)=4,WEEKDAY('Daily Schedule'!$B$2,2)=5,WEEKDAY('Daily Schedule'!$B$2,2)=7),IFERROR(1*'Daily Workforce'!$K194&gt;=3,FALSE()),IFERROR(1*'Daily Workforce'!$K194&gt;=2,FALSE())),IF(AND('Daily Schedule'!$A53&gt;=46,'Daily Schedule'!$A53&lt;=52),'Daily Workforce'!$M194="Y",IFERROR(1*'Daily Workforce'!$P194&gt;=2,FALSE()))))),1,0)</f>
        <v>0</v>
      </c>
      <c r="GX49" s="1" t="n">
        <f aca="false">IF(AND('Daily Workforce'!$N195="Y",'Daily Workforce'!$B195&lt;&gt;"",COUNTIF('Daily Schedule'!$F$5:$F52,'Daily Workforce'!$B195)=0,IF('Daily Schedule'!$A53=45,'Daily Workforce'!$J195="Y",IF(OR('Daily Schedule'!$A53=4,'Daily Schedule'!$A53=8),IF(OR(WEEKDAY('Daily Schedule'!$B$2,2)=1,WEEKDAY('Daily Schedule'!$B$2,2)=4,WEEKDAY('Daily Schedule'!$B$2,2)=5,WEEKDAY('Daily Schedule'!$B$2,2)=7),IFERROR(1*'Daily Workforce'!$K195&gt;=3,FALSE()),IFERROR(1*'Daily Workforce'!$K195&gt;=2,FALSE())),IF(AND('Daily Schedule'!$A53&gt;=46,'Daily Schedule'!$A53&lt;=52),'Daily Workforce'!$M195="Y",IFERROR(1*'Daily Workforce'!$P195&gt;=2,FALSE()))))),1,0)</f>
        <v>0</v>
      </c>
      <c r="GY49" s="1" t="n">
        <f aca="false">IF(AND('Daily Workforce'!$N196="Y",'Daily Workforce'!$B196&lt;&gt;"",COUNTIF('Daily Schedule'!$F$5:$F52,'Daily Workforce'!$B196)=0,IF('Daily Schedule'!$A53=45,'Daily Workforce'!$J196="Y",IF(OR('Daily Schedule'!$A53=4,'Daily Schedule'!$A53=8),IF(OR(WEEKDAY('Daily Schedule'!$B$2,2)=1,WEEKDAY('Daily Schedule'!$B$2,2)=4,WEEKDAY('Daily Schedule'!$B$2,2)=5,WEEKDAY('Daily Schedule'!$B$2,2)=7),IFERROR(1*'Daily Workforce'!$K196&gt;=3,FALSE()),IFERROR(1*'Daily Workforce'!$K196&gt;=2,FALSE())),IF(AND('Daily Schedule'!$A53&gt;=46,'Daily Schedule'!$A53&lt;=52),'Daily Workforce'!$M196="Y",IFERROR(1*'Daily Workforce'!$P196&gt;=2,FALSE()))))),1,0)</f>
        <v>0</v>
      </c>
      <c r="GZ49" s="1" t="n">
        <f aca="false">IF(AND('Daily Workforce'!$N197="Y",'Daily Workforce'!$B197&lt;&gt;"",COUNTIF('Daily Schedule'!$F$5:$F52,'Daily Workforce'!$B197)=0,IF('Daily Schedule'!$A53=45,'Daily Workforce'!$J197="Y",IF(OR('Daily Schedule'!$A53=4,'Daily Schedule'!$A53=8),IF(OR(WEEKDAY('Daily Schedule'!$B$2,2)=1,WEEKDAY('Daily Schedule'!$B$2,2)=4,WEEKDAY('Daily Schedule'!$B$2,2)=5,WEEKDAY('Daily Schedule'!$B$2,2)=7),IFERROR(1*'Daily Workforce'!$K197&gt;=3,FALSE()),IFERROR(1*'Daily Workforce'!$K197&gt;=2,FALSE())),IF(AND('Daily Schedule'!$A53&gt;=46,'Daily Schedule'!$A53&lt;=52),'Daily Workforce'!$M197="Y",IFERROR(1*'Daily Workforce'!$P197&gt;=2,FALSE()))))),1,0)</f>
        <v>0</v>
      </c>
      <c r="HA49" s="1" t="n">
        <f aca="false">IF(AND('Daily Workforce'!$N198="Y",'Daily Workforce'!$B198&lt;&gt;"",COUNTIF('Daily Schedule'!$F$5:$F52,'Daily Workforce'!$B198)=0,IF('Daily Schedule'!$A53=45,'Daily Workforce'!$J198="Y",IF(OR('Daily Schedule'!$A53=4,'Daily Schedule'!$A53=8),IF(OR(WEEKDAY('Daily Schedule'!$B$2,2)=1,WEEKDAY('Daily Schedule'!$B$2,2)=4,WEEKDAY('Daily Schedule'!$B$2,2)=5,WEEKDAY('Daily Schedule'!$B$2,2)=7),IFERROR(1*'Daily Workforce'!$K198&gt;=3,FALSE()),IFERROR(1*'Daily Workforce'!$K198&gt;=2,FALSE())),IF(AND('Daily Schedule'!$A53&gt;=46,'Daily Schedule'!$A53&lt;=52),'Daily Workforce'!$M198="Y",IFERROR(1*'Daily Workforce'!$P198&gt;=2,FALSE()))))),1,0)</f>
        <v>0</v>
      </c>
      <c r="HB49" s="1" t="n">
        <f aca="false">IF(AND('Daily Workforce'!$N199="Y",'Daily Workforce'!$B199&lt;&gt;"",COUNTIF('Daily Schedule'!$F$5:$F52,'Daily Workforce'!$B199)=0,IF('Daily Schedule'!$A53=45,'Daily Workforce'!$J199="Y",IF(OR('Daily Schedule'!$A53=4,'Daily Schedule'!$A53=8),IF(OR(WEEKDAY('Daily Schedule'!$B$2,2)=1,WEEKDAY('Daily Schedule'!$B$2,2)=4,WEEKDAY('Daily Schedule'!$B$2,2)=5,WEEKDAY('Daily Schedule'!$B$2,2)=7),IFERROR(1*'Daily Workforce'!$K199&gt;=3,FALSE()),IFERROR(1*'Daily Workforce'!$K199&gt;=2,FALSE())),IF(AND('Daily Schedule'!$A53&gt;=46,'Daily Schedule'!$A53&lt;=52),'Daily Workforce'!$M199="Y",IFERROR(1*'Daily Workforce'!$P199&gt;=2,FALSE()))))),1,0)</f>
        <v>0</v>
      </c>
      <c r="HC49" s="1" t="n">
        <f aca="false">IF(AND('Daily Workforce'!$N200="Y",'Daily Workforce'!$B200&lt;&gt;"",COUNTIF('Daily Schedule'!$F$5:$F52,'Daily Workforce'!$B200)=0,IF('Daily Schedule'!$A53=45,'Daily Workforce'!$J200="Y",IF(OR('Daily Schedule'!$A53=4,'Daily Schedule'!$A53=8),IF(OR(WEEKDAY('Daily Schedule'!$B$2,2)=1,WEEKDAY('Daily Schedule'!$B$2,2)=4,WEEKDAY('Daily Schedule'!$B$2,2)=5,WEEKDAY('Daily Schedule'!$B$2,2)=7),IFERROR(1*'Daily Workforce'!$K200&gt;=3,FALSE()),IFERROR(1*'Daily Workforce'!$K200&gt;=2,FALSE())),IF(AND('Daily Schedule'!$A53&gt;=46,'Daily Schedule'!$A53&lt;=52),'Daily Workforce'!$M200="Y",IFERROR(1*'Daily Workforce'!$P200&gt;=2,FALSE()))))),1,0)</f>
        <v>0</v>
      </c>
      <c r="HD49" s="1" t="n">
        <f aca="false">IF(AND('Daily Workforce'!$N201="Y",'Daily Workforce'!$B201&lt;&gt;"",COUNTIF('Daily Schedule'!$F$5:$F52,'Daily Workforce'!$B201)=0,IF('Daily Schedule'!$A53=45,'Daily Workforce'!$J201="Y",IF(OR('Daily Schedule'!$A53=4,'Daily Schedule'!$A53=8),IF(OR(WEEKDAY('Daily Schedule'!$B$2,2)=1,WEEKDAY('Daily Schedule'!$B$2,2)=4,WEEKDAY('Daily Schedule'!$B$2,2)=5,WEEKDAY('Daily Schedule'!$B$2,2)=7),IFERROR(1*'Daily Workforce'!$K201&gt;=3,FALSE()),IFERROR(1*'Daily Workforce'!$K201&gt;=2,FALSE())),IF(AND('Daily Schedule'!$A53&gt;=46,'Daily Schedule'!$A53&lt;=52),'Daily Workforce'!$M201="Y",IFERROR(1*'Daily Workforce'!$P201&gt;=2,FALSE()))))),1,0)</f>
        <v>0</v>
      </c>
      <c r="HE49" s="1" t="n">
        <f aca="false">IF(AND('Daily Workforce'!$N202="Y",'Daily Workforce'!$B202&lt;&gt;"",COUNTIF('Daily Schedule'!$F$5:$F52,'Daily Workforce'!$B202)=0,IF('Daily Schedule'!$A53=45,'Daily Workforce'!$J202="Y",IF(OR('Daily Schedule'!$A53=4,'Daily Schedule'!$A53=8),IF(OR(WEEKDAY('Daily Schedule'!$B$2,2)=1,WEEKDAY('Daily Schedule'!$B$2,2)=4,WEEKDAY('Daily Schedule'!$B$2,2)=5,WEEKDAY('Daily Schedule'!$B$2,2)=7),IFERROR(1*'Daily Workforce'!$K202&gt;=3,FALSE()),IFERROR(1*'Daily Workforce'!$K202&gt;=2,FALSE())),IF(AND('Daily Schedule'!$A53&gt;=46,'Daily Schedule'!$A53&lt;=52),'Daily Workforce'!$M202="Y",IFERROR(1*'Daily Workforce'!$P202&gt;=2,FALSE()))))),1,0)</f>
        <v>0</v>
      </c>
      <c r="HF49" s="1" t="n">
        <f aca="false">IF(AND('Daily Workforce'!$N203="Y",'Daily Workforce'!$B203&lt;&gt;"",COUNTIF('Daily Schedule'!$F$5:$F52,'Daily Workforce'!$B203)=0,IF('Daily Schedule'!$A53=45,'Daily Workforce'!$J203="Y",IF(OR('Daily Schedule'!$A53=4,'Daily Schedule'!$A53=8),IF(OR(WEEKDAY('Daily Schedule'!$B$2,2)=1,WEEKDAY('Daily Schedule'!$B$2,2)=4,WEEKDAY('Daily Schedule'!$B$2,2)=5,WEEKDAY('Daily Schedule'!$B$2,2)=7),IFERROR(1*'Daily Workforce'!$K203&gt;=3,FALSE()),IFERROR(1*'Daily Workforce'!$K203&gt;=2,FALSE())),IF(AND('Daily Schedule'!$A53&gt;=46,'Daily Schedule'!$A53&lt;=52),'Daily Workforce'!$M203="Y",IFERROR(1*'Daily Workforce'!$P203&gt;=2,FALSE()))))),1,0)</f>
        <v>0</v>
      </c>
      <c r="HG49" s="1" t="n">
        <f aca="false">IF(AND('Daily Workforce'!$N204="Y",'Daily Workforce'!$B204&lt;&gt;"",COUNTIF('Daily Schedule'!$F$5:$F52,'Daily Workforce'!$B204)=0,IF('Daily Schedule'!$A53=45,'Daily Workforce'!$J204="Y",IF(OR('Daily Schedule'!$A53=4,'Daily Schedule'!$A53=8),IF(OR(WEEKDAY('Daily Schedule'!$B$2,2)=1,WEEKDAY('Daily Schedule'!$B$2,2)=4,WEEKDAY('Daily Schedule'!$B$2,2)=5,WEEKDAY('Daily Schedule'!$B$2,2)=7),IFERROR(1*'Daily Workforce'!$K204&gt;=3,FALSE()),IFERROR(1*'Daily Workforce'!$K204&gt;=2,FALSE())),IF(AND('Daily Schedule'!$A53&gt;=46,'Daily Schedule'!$A53&lt;=52),'Daily Workforce'!$M204="Y",IFERROR(1*'Daily Workforce'!$P204&gt;=2,FALSE()))))),1,0)</f>
        <v>0</v>
      </c>
      <c r="HH49" s="1" t="n">
        <f aca="false">IF(AND('Daily Workforce'!$N205="Y",'Daily Workforce'!$B205&lt;&gt;"",COUNTIF('Daily Schedule'!$F$5:$F52,'Daily Workforce'!$B205)=0,IF('Daily Schedule'!$A53=45,'Daily Workforce'!$J205="Y",IF(OR('Daily Schedule'!$A53=4,'Daily Schedule'!$A53=8),IF(OR(WEEKDAY('Daily Schedule'!$B$2,2)=1,WEEKDAY('Daily Schedule'!$B$2,2)=4,WEEKDAY('Daily Schedule'!$B$2,2)=5,WEEKDAY('Daily Schedule'!$B$2,2)=7),IFERROR(1*'Daily Workforce'!$K205&gt;=3,FALSE()),IFERROR(1*'Daily Workforce'!$K205&gt;=2,FALSE())),IF(AND('Daily Schedule'!$A53&gt;=46,'Daily Schedule'!$A53&lt;=52),'Daily Workforce'!$M205="Y",IFERROR(1*'Daily Workforce'!$P205&gt;=2,FALSE()))))),1,0)</f>
        <v>0</v>
      </c>
    </row>
    <row r="50" customFormat="false" ht="15" hidden="false" customHeight="true" outlineLevel="0" collapsed="false">
      <c r="L50" s="1" t="s">
        <v>477</v>
      </c>
      <c r="O50" s="1" t="n">
        <f aca="false">IF(AND('Employee Master'!$G50="Y",ISERROR(SEARCH(TEXT('Daily Workforce'!$B$2,"ddd"),'Employee Master'!$D50)),IF('Daily Workforce'!$E$2="",TRUE(),'Employee Master'!$I50='Daily Workforce'!$E$2)),'Employee Master'!$K50*1000+ROW()-1,"")</f>
        <v>1049</v>
      </c>
      <c r="P50" s="1" t="n">
        <f aca="false">IF($O50="","",COUNTIF($O$2:$O$159,"&lt;="&amp;$O50))</f>
        <v>6</v>
      </c>
      <c r="Q50" s="1" t="n">
        <f aca="false">IF(AND('Daily Workforce'!$N6="Y",'Daily Workforce'!$B6&lt;&gt;"",COUNTIF('Daily Schedule'!$F$5:$F53,'Daily Workforce'!$B6)=0,IF('Daily Schedule'!$A54=45,'Daily Workforce'!$J6="Y",IF(OR('Daily Schedule'!$A54=4,'Daily Schedule'!$A54=8),IF(OR(WEEKDAY('Daily Schedule'!$B$2,2)=1,WEEKDAY('Daily Schedule'!$B$2,2)=4,WEEKDAY('Daily Schedule'!$B$2,2)=5,WEEKDAY('Daily Schedule'!$B$2,2)=7),IFERROR(1*'Daily Workforce'!$K6&gt;=3,FALSE()),IFERROR(1*'Daily Workforce'!$K6&gt;=2,FALSE())),IF(AND('Daily Schedule'!$A54&gt;=46,'Daily Schedule'!$A54&lt;=52),'Daily Workforce'!$M6="Y",IFERROR(1*'Daily Workforce'!$P6&gt;=2,FALSE()))))),1,0)</f>
        <v>0</v>
      </c>
      <c r="R50" s="1" t="n">
        <f aca="false">IF(AND('Daily Workforce'!$N7="Y",'Daily Workforce'!$B7&lt;&gt;"",COUNTIF('Daily Schedule'!$F$5:$F53,'Daily Workforce'!$B7)=0,IF('Daily Schedule'!$A54=45,'Daily Workforce'!$J7="Y",IF(OR('Daily Schedule'!$A54=4,'Daily Schedule'!$A54=8),IF(OR(WEEKDAY('Daily Schedule'!$B$2,2)=1,WEEKDAY('Daily Schedule'!$B$2,2)=4,WEEKDAY('Daily Schedule'!$B$2,2)=5,WEEKDAY('Daily Schedule'!$B$2,2)=7),IFERROR(1*'Daily Workforce'!$K7&gt;=3,FALSE()),IFERROR(1*'Daily Workforce'!$K7&gt;=2,FALSE())),IF(AND('Daily Schedule'!$A54&gt;=46,'Daily Schedule'!$A54&lt;=52),'Daily Workforce'!$M7="Y",IFERROR(1*'Daily Workforce'!$P7&gt;=2,FALSE()))))),1,0)</f>
        <v>0</v>
      </c>
      <c r="S50" s="1" t="n">
        <f aca="false">IF(AND('Daily Workforce'!$N8="Y",'Daily Workforce'!$B8&lt;&gt;"",COUNTIF('Daily Schedule'!$F$5:$F53,'Daily Workforce'!$B8)=0,IF('Daily Schedule'!$A54=45,'Daily Workforce'!$J8="Y",IF(OR('Daily Schedule'!$A54=4,'Daily Schedule'!$A54=8),IF(OR(WEEKDAY('Daily Schedule'!$B$2,2)=1,WEEKDAY('Daily Schedule'!$B$2,2)=4,WEEKDAY('Daily Schedule'!$B$2,2)=5,WEEKDAY('Daily Schedule'!$B$2,2)=7),IFERROR(1*'Daily Workforce'!$K8&gt;=3,FALSE()),IFERROR(1*'Daily Workforce'!$K8&gt;=2,FALSE())),IF(AND('Daily Schedule'!$A54&gt;=46,'Daily Schedule'!$A54&lt;=52),'Daily Workforce'!$M8="Y",IFERROR(1*'Daily Workforce'!$P8&gt;=2,FALSE()))))),1,0)</f>
        <v>0</v>
      </c>
      <c r="T50" s="1" t="n">
        <f aca="false">IF(AND('Daily Workforce'!$N9="Y",'Daily Workforce'!$B9&lt;&gt;"",COUNTIF('Daily Schedule'!$F$5:$F53,'Daily Workforce'!$B9)=0,IF('Daily Schedule'!$A54=45,'Daily Workforce'!$J9="Y",IF(OR('Daily Schedule'!$A54=4,'Daily Schedule'!$A54=8),IF(OR(WEEKDAY('Daily Schedule'!$B$2,2)=1,WEEKDAY('Daily Schedule'!$B$2,2)=4,WEEKDAY('Daily Schedule'!$B$2,2)=5,WEEKDAY('Daily Schedule'!$B$2,2)=7),IFERROR(1*'Daily Workforce'!$K9&gt;=3,FALSE()),IFERROR(1*'Daily Workforce'!$K9&gt;=2,FALSE())),IF(AND('Daily Schedule'!$A54&gt;=46,'Daily Schedule'!$A54&lt;=52),'Daily Workforce'!$M9="Y",IFERROR(1*'Daily Workforce'!$P9&gt;=2,FALSE()))))),1,0)</f>
        <v>0</v>
      </c>
      <c r="U50" s="1" t="n">
        <f aca="false">IF(AND('Daily Workforce'!$N10="Y",'Daily Workforce'!$B10&lt;&gt;"",COUNTIF('Daily Schedule'!$F$5:$F53,'Daily Workforce'!$B10)=0,IF('Daily Schedule'!$A54=45,'Daily Workforce'!$J10="Y",IF(OR('Daily Schedule'!$A54=4,'Daily Schedule'!$A54=8),IF(OR(WEEKDAY('Daily Schedule'!$B$2,2)=1,WEEKDAY('Daily Schedule'!$B$2,2)=4,WEEKDAY('Daily Schedule'!$B$2,2)=5,WEEKDAY('Daily Schedule'!$B$2,2)=7),IFERROR(1*'Daily Workforce'!$K10&gt;=3,FALSE()),IFERROR(1*'Daily Workforce'!$K10&gt;=2,FALSE())),IF(AND('Daily Schedule'!$A54&gt;=46,'Daily Schedule'!$A54&lt;=52),'Daily Workforce'!$M10="Y",IFERROR(1*'Daily Workforce'!$P10&gt;=2,FALSE()))))),1,0)</f>
        <v>0</v>
      </c>
      <c r="V50" s="1" t="n">
        <f aca="false">IF(AND('Daily Workforce'!$N11="Y",'Daily Workforce'!$B11&lt;&gt;"",COUNTIF('Daily Schedule'!$F$5:$F53,'Daily Workforce'!$B11)=0,IF('Daily Schedule'!$A54=45,'Daily Workforce'!$J11="Y",IF(OR('Daily Schedule'!$A54=4,'Daily Schedule'!$A54=8),IF(OR(WEEKDAY('Daily Schedule'!$B$2,2)=1,WEEKDAY('Daily Schedule'!$B$2,2)=4,WEEKDAY('Daily Schedule'!$B$2,2)=5,WEEKDAY('Daily Schedule'!$B$2,2)=7),IFERROR(1*'Daily Workforce'!$K11&gt;=3,FALSE()),IFERROR(1*'Daily Workforce'!$K11&gt;=2,FALSE())),IF(AND('Daily Schedule'!$A54&gt;=46,'Daily Schedule'!$A54&lt;=52),'Daily Workforce'!$M11="Y",IFERROR(1*'Daily Workforce'!$P11&gt;=2,FALSE()))))),1,0)</f>
        <v>0</v>
      </c>
      <c r="W50" s="1" t="n">
        <f aca="false">IF(AND('Daily Workforce'!$N12="Y",'Daily Workforce'!$B12&lt;&gt;"",COUNTIF('Daily Schedule'!$F$5:$F53,'Daily Workforce'!$B12)=0,IF('Daily Schedule'!$A54=45,'Daily Workforce'!$J12="Y",IF(OR('Daily Schedule'!$A54=4,'Daily Schedule'!$A54=8),IF(OR(WEEKDAY('Daily Schedule'!$B$2,2)=1,WEEKDAY('Daily Schedule'!$B$2,2)=4,WEEKDAY('Daily Schedule'!$B$2,2)=5,WEEKDAY('Daily Schedule'!$B$2,2)=7),IFERROR(1*'Daily Workforce'!$K12&gt;=3,FALSE()),IFERROR(1*'Daily Workforce'!$K12&gt;=2,FALSE())),IF(AND('Daily Schedule'!$A54&gt;=46,'Daily Schedule'!$A54&lt;=52),'Daily Workforce'!$M12="Y",IFERROR(1*'Daily Workforce'!$P12&gt;=2,FALSE()))))),1,0)</f>
        <v>0</v>
      </c>
      <c r="X50" s="1" t="n">
        <f aca="false">IF(AND('Daily Workforce'!$N13="Y",'Daily Workforce'!$B13&lt;&gt;"",COUNTIF('Daily Schedule'!$F$5:$F53,'Daily Workforce'!$B13)=0,IF('Daily Schedule'!$A54=45,'Daily Workforce'!$J13="Y",IF(OR('Daily Schedule'!$A54=4,'Daily Schedule'!$A54=8),IF(OR(WEEKDAY('Daily Schedule'!$B$2,2)=1,WEEKDAY('Daily Schedule'!$B$2,2)=4,WEEKDAY('Daily Schedule'!$B$2,2)=5,WEEKDAY('Daily Schedule'!$B$2,2)=7),IFERROR(1*'Daily Workforce'!$K13&gt;=3,FALSE()),IFERROR(1*'Daily Workforce'!$K13&gt;=2,FALSE())),IF(AND('Daily Schedule'!$A54&gt;=46,'Daily Schedule'!$A54&lt;=52),'Daily Workforce'!$M13="Y",IFERROR(1*'Daily Workforce'!$P13&gt;=2,FALSE()))))),1,0)</f>
        <v>0</v>
      </c>
      <c r="Y50" s="1" t="n">
        <f aca="false">IF(AND('Daily Workforce'!$N14="Y",'Daily Workforce'!$B14&lt;&gt;"",COUNTIF('Daily Schedule'!$F$5:$F53,'Daily Workforce'!$B14)=0,IF('Daily Schedule'!$A54=45,'Daily Workforce'!$J14="Y",IF(OR('Daily Schedule'!$A54=4,'Daily Schedule'!$A54=8),IF(OR(WEEKDAY('Daily Schedule'!$B$2,2)=1,WEEKDAY('Daily Schedule'!$B$2,2)=4,WEEKDAY('Daily Schedule'!$B$2,2)=5,WEEKDAY('Daily Schedule'!$B$2,2)=7),IFERROR(1*'Daily Workforce'!$K14&gt;=3,FALSE()),IFERROR(1*'Daily Workforce'!$K14&gt;=2,FALSE())),IF(AND('Daily Schedule'!$A54&gt;=46,'Daily Schedule'!$A54&lt;=52),'Daily Workforce'!$M14="Y",IFERROR(1*'Daily Workforce'!$P14&gt;=2,FALSE()))))),1,0)</f>
        <v>0</v>
      </c>
      <c r="Z50" s="1" t="n">
        <f aca="false">IF(AND('Daily Workforce'!$N15="Y",'Daily Workforce'!$B15&lt;&gt;"",COUNTIF('Daily Schedule'!$F$5:$F53,'Daily Workforce'!$B15)=0,IF('Daily Schedule'!$A54=45,'Daily Workforce'!$J15="Y",IF(OR('Daily Schedule'!$A54=4,'Daily Schedule'!$A54=8),IF(OR(WEEKDAY('Daily Schedule'!$B$2,2)=1,WEEKDAY('Daily Schedule'!$B$2,2)=4,WEEKDAY('Daily Schedule'!$B$2,2)=5,WEEKDAY('Daily Schedule'!$B$2,2)=7),IFERROR(1*'Daily Workforce'!$K15&gt;=3,FALSE()),IFERROR(1*'Daily Workforce'!$K15&gt;=2,FALSE())),IF(AND('Daily Schedule'!$A54&gt;=46,'Daily Schedule'!$A54&lt;=52),'Daily Workforce'!$M15="Y",IFERROR(1*'Daily Workforce'!$P15&gt;=2,FALSE()))))),1,0)</f>
        <v>0</v>
      </c>
      <c r="AA50" s="1" t="n">
        <f aca="false">IF(AND('Daily Workforce'!$N16="Y",'Daily Workforce'!$B16&lt;&gt;"",COUNTIF('Daily Schedule'!$F$5:$F53,'Daily Workforce'!$B16)=0,IF('Daily Schedule'!$A54=45,'Daily Workforce'!$J16="Y",IF(OR('Daily Schedule'!$A54=4,'Daily Schedule'!$A54=8),IF(OR(WEEKDAY('Daily Schedule'!$B$2,2)=1,WEEKDAY('Daily Schedule'!$B$2,2)=4,WEEKDAY('Daily Schedule'!$B$2,2)=5,WEEKDAY('Daily Schedule'!$B$2,2)=7),IFERROR(1*'Daily Workforce'!$K16&gt;=3,FALSE()),IFERROR(1*'Daily Workforce'!$K16&gt;=2,FALSE())),IF(AND('Daily Schedule'!$A54&gt;=46,'Daily Schedule'!$A54&lt;=52),'Daily Workforce'!$M16="Y",IFERROR(1*'Daily Workforce'!$P16&gt;=2,FALSE()))))),1,0)</f>
        <v>0</v>
      </c>
      <c r="AB50" s="1" t="n">
        <f aca="false">IF(AND('Daily Workforce'!$N17="Y",'Daily Workforce'!$B17&lt;&gt;"",COUNTIF('Daily Schedule'!$F$5:$F53,'Daily Workforce'!$B17)=0,IF('Daily Schedule'!$A54=45,'Daily Workforce'!$J17="Y",IF(OR('Daily Schedule'!$A54=4,'Daily Schedule'!$A54=8),IF(OR(WEEKDAY('Daily Schedule'!$B$2,2)=1,WEEKDAY('Daily Schedule'!$B$2,2)=4,WEEKDAY('Daily Schedule'!$B$2,2)=5,WEEKDAY('Daily Schedule'!$B$2,2)=7),IFERROR(1*'Daily Workforce'!$K17&gt;=3,FALSE()),IFERROR(1*'Daily Workforce'!$K17&gt;=2,FALSE())),IF(AND('Daily Schedule'!$A54&gt;=46,'Daily Schedule'!$A54&lt;=52),'Daily Workforce'!$M17="Y",IFERROR(1*'Daily Workforce'!$P17&gt;=2,FALSE()))))),1,0)</f>
        <v>0</v>
      </c>
      <c r="AC50" s="1" t="n">
        <f aca="false">IF(AND('Daily Workforce'!$N18="Y",'Daily Workforce'!$B18&lt;&gt;"",COUNTIF('Daily Schedule'!$F$5:$F53,'Daily Workforce'!$B18)=0,IF('Daily Schedule'!$A54=45,'Daily Workforce'!$J18="Y",IF(OR('Daily Schedule'!$A54=4,'Daily Schedule'!$A54=8),IF(OR(WEEKDAY('Daily Schedule'!$B$2,2)=1,WEEKDAY('Daily Schedule'!$B$2,2)=4,WEEKDAY('Daily Schedule'!$B$2,2)=5,WEEKDAY('Daily Schedule'!$B$2,2)=7),IFERROR(1*'Daily Workforce'!$K18&gt;=3,FALSE()),IFERROR(1*'Daily Workforce'!$K18&gt;=2,FALSE())),IF(AND('Daily Schedule'!$A54&gt;=46,'Daily Schedule'!$A54&lt;=52),'Daily Workforce'!$M18="Y",IFERROR(1*'Daily Workforce'!$P18&gt;=2,FALSE()))))),1,0)</f>
        <v>0</v>
      </c>
      <c r="AD50" s="1" t="n">
        <f aca="false">IF(AND('Daily Workforce'!$N19="Y",'Daily Workforce'!$B19&lt;&gt;"",COUNTIF('Daily Schedule'!$F$5:$F53,'Daily Workforce'!$B19)=0,IF('Daily Schedule'!$A54=45,'Daily Workforce'!$J19="Y",IF(OR('Daily Schedule'!$A54=4,'Daily Schedule'!$A54=8),IF(OR(WEEKDAY('Daily Schedule'!$B$2,2)=1,WEEKDAY('Daily Schedule'!$B$2,2)=4,WEEKDAY('Daily Schedule'!$B$2,2)=5,WEEKDAY('Daily Schedule'!$B$2,2)=7),IFERROR(1*'Daily Workforce'!$K19&gt;=3,FALSE()),IFERROR(1*'Daily Workforce'!$K19&gt;=2,FALSE())),IF(AND('Daily Schedule'!$A54&gt;=46,'Daily Schedule'!$A54&lt;=52),'Daily Workforce'!$M19="Y",IFERROR(1*'Daily Workforce'!$P19&gt;=2,FALSE()))))),1,0)</f>
        <v>0</v>
      </c>
      <c r="AE50" s="1" t="n">
        <f aca="false">IF(AND('Daily Workforce'!$N20="Y",'Daily Workforce'!$B20&lt;&gt;"",COUNTIF('Daily Schedule'!$F$5:$F53,'Daily Workforce'!$B20)=0,IF('Daily Schedule'!$A54=45,'Daily Workforce'!$J20="Y",IF(OR('Daily Schedule'!$A54=4,'Daily Schedule'!$A54=8),IF(OR(WEEKDAY('Daily Schedule'!$B$2,2)=1,WEEKDAY('Daily Schedule'!$B$2,2)=4,WEEKDAY('Daily Schedule'!$B$2,2)=5,WEEKDAY('Daily Schedule'!$B$2,2)=7),IFERROR(1*'Daily Workforce'!$K20&gt;=3,FALSE()),IFERROR(1*'Daily Workforce'!$K20&gt;=2,FALSE())),IF(AND('Daily Schedule'!$A54&gt;=46,'Daily Schedule'!$A54&lt;=52),'Daily Workforce'!$M20="Y",IFERROR(1*'Daily Workforce'!$P20&gt;=2,FALSE()))))),1,0)</f>
        <v>0</v>
      </c>
      <c r="AF50" s="1" t="n">
        <f aca="false">IF(AND('Daily Workforce'!$N21="Y",'Daily Workforce'!$B21&lt;&gt;"",COUNTIF('Daily Schedule'!$F$5:$F53,'Daily Workforce'!$B21)=0,IF('Daily Schedule'!$A54=45,'Daily Workforce'!$J21="Y",IF(OR('Daily Schedule'!$A54=4,'Daily Schedule'!$A54=8),IF(OR(WEEKDAY('Daily Schedule'!$B$2,2)=1,WEEKDAY('Daily Schedule'!$B$2,2)=4,WEEKDAY('Daily Schedule'!$B$2,2)=5,WEEKDAY('Daily Schedule'!$B$2,2)=7),IFERROR(1*'Daily Workforce'!$K21&gt;=3,FALSE()),IFERROR(1*'Daily Workforce'!$K21&gt;=2,FALSE())),IF(AND('Daily Schedule'!$A54&gt;=46,'Daily Schedule'!$A54&lt;=52),'Daily Workforce'!$M21="Y",IFERROR(1*'Daily Workforce'!$P21&gt;=2,FALSE()))))),1,0)</f>
        <v>0</v>
      </c>
      <c r="AG50" s="1" t="n">
        <f aca="false">IF(AND('Daily Workforce'!$N22="Y",'Daily Workforce'!$B22&lt;&gt;"",COUNTIF('Daily Schedule'!$F$5:$F53,'Daily Workforce'!$B22)=0,IF('Daily Schedule'!$A54=45,'Daily Workforce'!$J22="Y",IF(OR('Daily Schedule'!$A54=4,'Daily Schedule'!$A54=8),IF(OR(WEEKDAY('Daily Schedule'!$B$2,2)=1,WEEKDAY('Daily Schedule'!$B$2,2)=4,WEEKDAY('Daily Schedule'!$B$2,2)=5,WEEKDAY('Daily Schedule'!$B$2,2)=7),IFERROR(1*'Daily Workforce'!$K22&gt;=3,FALSE()),IFERROR(1*'Daily Workforce'!$K22&gt;=2,FALSE())),IF(AND('Daily Schedule'!$A54&gt;=46,'Daily Schedule'!$A54&lt;=52),'Daily Workforce'!$M22="Y",IFERROR(1*'Daily Workforce'!$P22&gt;=2,FALSE()))))),1,0)</f>
        <v>0</v>
      </c>
      <c r="AH50" s="1" t="n">
        <f aca="false">IF(AND('Daily Workforce'!$N23="Y",'Daily Workforce'!$B23&lt;&gt;"",COUNTIF('Daily Schedule'!$F$5:$F53,'Daily Workforce'!$B23)=0,IF('Daily Schedule'!$A54=45,'Daily Workforce'!$J23="Y",IF(OR('Daily Schedule'!$A54=4,'Daily Schedule'!$A54=8),IF(OR(WEEKDAY('Daily Schedule'!$B$2,2)=1,WEEKDAY('Daily Schedule'!$B$2,2)=4,WEEKDAY('Daily Schedule'!$B$2,2)=5,WEEKDAY('Daily Schedule'!$B$2,2)=7),IFERROR(1*'Daily Workforce'!$K23&gt;=3,FALSE()),IFERROR(1*'Daily Workforce'!$K23&gt;=2,FALSE())),IF(AND('Daily Schedule'!$A54&gt;=46,'Daily Schedule'!$A54&lt;=52),'Daily Workforce'!$M23="Y",IFERROR(1*'Daily Workforce'!$P23&gt;=2,FALSE()))))),1,0)</f>
        <v>0</v>
      </c>
      <c r="AI50" s="1" t="n">
        <f aca="false">IF(AND('Daily Workforce'!$N24="Y",'Daily Workforce'!$B24&lt;&gt;"",COUNTIF('Daily Schedule'!$F$5:$F53,'Daily Workforce'!$B24)=0,IF('Daily Schedule'!$A54=45,'Daily Workforce'!$J24="Y",IF(OR('Daily Schedule'!$A54=4,'Daily Schedule'!$A54=8),IF(OR(WEEKDAY('Daily Schedule'!$B$2,2)=1,WEEKDAY('Daily Schedule'!$B$2,2)=4,WEEKDAY('Daily Schedule'!$B$2,2)=5,WEEKDAY('Daily Schedule'!$B$2,2)=7),IFERROR(1*'Daily Workforce'!$K24&gt;=3,FALSE()),IFERROR(1*'Daily Workforce'!$K24&gt;=2,FALSE())),IF(AND('Daily Schedule'!$A54&gt;=46,'Daily Schedule'!$A54&lt;=52),'Daily Workforce'!$M24="Y",IFERROR(1*'Daily Workforce'!$P24&gt;=2,FALSE()))))),1,0)</f>
        <v>0</v>
      </c>
      <c r="AJ50" s="1" t="n">
        <f aca="false">IF(AND('Daily Workforce'!$N25="Y",'Daily Workforce'!$B25&lt;&gt;"",COUNTIF('Daily Schedule'!$F$5:$F53,'Daily Workforce'!$B25)=0,IF('Daily Schedule'!$A54=45,'Daily Workforce'!$J25="Y",IF(OR('Daily Schedule'!$A54=4,'Daily Schedule'!$A54=8),IF(OR(WEEKDAY('Daily Schedule'!$B$2,2)=1,WEEKDAY('Daily Schedule'!$B$2,2)=4,WEEKDAY('Daily Schedule'!$B$2,2)=5,WEEKDAY('Daily Schedule'!$B$2,2)=7),IFERROR(1*'Daily Workforce'!$K25&gt;=3,FALSE()),IFERROR(1*'Daily Workforce'!$K25&gt;=2,FALSE())),IF(AND('Daily Schedule'!$A54&gt;=46,'Daily Schedule'!$A54&lt;=52),'Daily Workforce'!$M25="Y",IFERROR(1*'Daily Workforce'!$P25&gt;=2,FALSE()))))),1,0)</f>
        <v>0</v>
      </c>
      <c r="AK50" s="1" t="n">
        <f aca="false">IF(AND('Daily Workforce'!$N26="Y",'Daily Workforce'!$B26&lt;&gt;"",COUNTIF('Daily Schedule'!$F$5:$F53,'Daily Workforce'!$B26)=0,IF('Daily Schedule'!$A54=45,'Daily Workforce'!$J26="Y",IF(OR('Daily Schedule'!$A54=4,'Daily Schedule'!$A54=8),IF(OR(WEEKDAY('Daily Schedule'!$B$2,2)=1,WEEKDAY('Daily Schedule'!$B$2,2)=4,WEEKDAY('Daily Schedule'!$B$2,2)=5,WEEKDAY('Daily Schedule'!$B$2,2)=7),IFERROR(1*'Daily Workforce'!$K26&gt;=3,FALSE()),IFERROR(1*'Daily Workforce'!$K26&gt;=2,FALSE())),IF(AND('Daily Schedule'!$A54&gt;=46,'Daily Schedule'!$A54&lt;=52),'Daily Workforce'!$M26="Y",IFERROR(1*'Daily Workforce'!$P26&gt;=2,FALSE()))))),1,0)</f>
        <v>0</v>
      </c>
      <c r="AL50" s="1" t="n">
        <f aca="false">IF(AND('Daily Workforce'!$N27="Y",'Daily Workforce'!$B27&lt;&gt;"",COUNTIF('Daily Schedule'!$F$5:$F53,'Daily Workforce'!$B27)=0,IF('Daily Schedule'!$A54=45,'Daily Workforce'!$J27="Y",IF(OR('Daily Schedule'!$A54=4,'Daily Schedule'!$A54=8),IF(OR(WEEKDAY('Daily Schedule'!$B$2,2)=1,WEEKDAY('Daily Schedule'!$B$2,2)=4,WEEKDAY('Daily Schedule'!$B$2,2)=5,WEEKDAY('Daily Schedule'!$B$2,2)=7),IFERROR(1*'Daily Workforce'!$K27&gt;=3,FALSE()),IFERROR(1*'Daily Workforce'!$K27&gt;=2,FALSE())),IF(AND('Daily Schedule'!$A54&gt;=46,'Daily Schedule'!$A54&lt;=52),'Daily Workforce'!$M27="Y",IFERROR(1*'Daily Workforce'!$P27&gt;=2,FALSE()))))),1,0)</f>
        <v>0</v>
      </c>
      <c r="AM50" s="1" t="n">
        <f aca="false">IF(AND('Daily Workforce'!$N28="Y",'Daily Workforce'!$B28&lt;&gt;"",COUNTIF('Daily Schedule'!$F$5:$F53,'Daily Workforce'!$B28)=0,IF('Daily Schedule'!$A54=45,'Daily Workforce'!$J28="Y",IF(OR('Daily Schedule'!$A54=4,'Daily Schedule'!$A54=8),IF(OR(WEEKDAY('Daily Schedule'!$B$2,2)=1,WEEKDAY('Daily Schedule'!$B$2,2)=4,WEEKDAY('Daily Schedule'!$B$2,2)=5,WEEKDAY('Daily Schedule'!$B$2,2)=7),IFERROR(1*'Daily Workforce'!$K28&gt;=3,FALSE()),IFERROR(1*'Daily Workforce'!$K28&gt;=2,FALSE())),IF(AND('Daily Schedule'!$A54&gt;=46,'Daily Schedule'!$A54&lt;=52),'Daily Workforce'!$M28="Y",IFERROR(1*'Daily Workforce'!$P28&gt;=2,FALSE()))))),1,0)</f>
        <v>0</v>
      </c>
      <c r="AN50" s="1" t="n">
        <f aca="false">IF(AND('Daily Workforce'!$N29="Y",'Daily Workforce'!$B29&lt;&gt;"",COUNTIF('Daily Schedule'!$F$5:$F53,'Daily Workforce'!$B29)=0,IF('Daily Schedule'!$A54=45,'Daily Workforce'!$J29="Y",IF(OR('Daily Schedule'!$A54=4,'Daily Schedule'!$A54=8),IF(OR(WEEKDAY('Daily Schedule'!$B$2,2)=1,WEEKDAY('Daily Schedule'!$B$2,2)=4,WEEKDAY('Daily Schedule'!$B$2,2)=5,WEEKDAY('Daily Schedule'!$B$2,2)=7),IFERROR(1*'Daily Workforce'!$K29&gt;=3,FALSE()),IFERROR(1*'Daily Workforce'!$K29&gt;=2,FALSE())),IF(AND('Daily Schedule'!$A54&gt;=46,'Daily Schedule'!$A54&lt;=52),'Daily Workforce'!$M29="Y",IFERROR(1*'Daily Workforce'!$P29&gt;=2,FALSE()))))),1,0)</f>
        <v>0</v>
      </c>
      <c r="AO50" s="1" t="n">
        <f aca="false">IF(AND('Daily Workforce'!$N30="Y",'Daily Workforce'!$B30&lt;&gt;"",COUNTIF('Daily Schedule'!$F$5:$F53,'Daily Workforce'!$B30)=0,IF('Daily Schedule'!$A54=45,'Daily Workforce'!$J30="Y",IF(OR('Daily Schedule'!$A54=4,'Daily Schedule'!$A54=8),IF(OR(WEEKDAY('Daily Schedule'!$B$2,2)=1,WEEKDAY('Daily Schedule'!$B$2,2)=4,WEEKDAY('Daily Schedule'!$B$2,2)=5,WEEKDAY('Daily Schedule'!$B$2,2)=7),IFERROR(1*'Daily Workforce'!$K30&gt;=3,FALSE()),IFERROR(1*'Daily Workforce'!$K30&gt;=2,FALSE())),IF(AND('Daily Schedule'!$A54&gt;=46,'Daily Schedule'!$A54&lt;=52),'Daily Workforce'!$M30="Y",IFERROR(1*'Daily Workforce'!$P30&gt;=2,FALSE()))))),1,0)</f>
        <v>0</v>
      </c>
      <c r="AP50" s="1" t="n">
        <f aca="false">IF(AND('Daily Workforce'!$N31="Y",'Daily Workforce'!$B31&lt;&gt;"",COUNTIF('Daily Schedule'!$F$5:$F53,'Daily Workforce'!$B31)=0,IF('Daily Schedule'!$A54=45,'Daily Workforce'!$J31="Y",IF(OR('Daily Schedule'!$A54=4,'Daily Schedule'!$A54=8),IF(OR(WEEKDAY('Daily Schedule'!$B$2,2)=1,WEEKDAY('Daily Schedule'!$B$2,2)=4,WEEKDAY('Daily Schedule'!$B$2,2)=5,WEEKDAY('Daily Schedule'!$B$2,2)=7),IFERROR(1*'Daily Workforce'!$K31&gt;=3,FALSE()),IFERROR(1*'Daily Workforce'!$K31&gt;=2,FALSE())),IF(AND('Daily Schedule'!$A54&gt;=46,'Daily Schedule'!$A54&lt;=52),'Daily Workforce'!$M31="Y",IFERROR(1*'Daily Workforce'!$P31&gt;=2,FALSE()))))),1,0)</f>
        <v>0</v>
      </c>
      <c r="AQ50" s="1" t="n">
        <f aca="false">IF(AND('Daily Workforce'!$N32="Y",'Daily Workforce'!$B32&lt;&gt;"",COUNTIF('Daily Schedule'!$F$5:$F53,'Daily Workforce'!$B32)=0,IF('Daily Schedule'!$A54=45,'Daily Workforce'!$J32="Y",IF(OR('Daily Schedule'!$A54=4,'Daily Schedule'!$A54=8),IF(OR(WEEKDAY('Daily Schedule'!$B$2,2)=1,WEEKDAY('Daily Schedule'!$B$2,2)=4,WEEKDAY('Daily Schedule'!$B$2,2)=5,WEEKDAY('Daily Schedule'!$B$2,2)=7),IFERROR(1*'Daily Workforce'!$K32&gt;=3,FALSE()),IFERROR(1*'Daily Workforce'!$K32&gt;=2,FALSE())),IF(AND('Daily Schedule'!$A54&gt;=46,'Daily Schedule'!$A54&lt;=52),'Daily Workforce'!$M32="Y",IFERROR(1*'Daily Workforce'!$P32&gt;=2,FALSE()))))),1,0)</f>
        <v>0</v>
      </c>
      <c r="AR50" s="1" t="n">
        <f aca="false">IF(AND('Daily Workforce'!$N33="Y",'Daily Workforce'!$B33&lt;&gt;"",COUNTIF('Daily Schedule'!$F$5:$F53,'Daily Workforce'!$B33)=0,IF('Daily Schedule'!$A54=45,'Daily Workforce'!$J33="Y",IF(OR('Daily Schedule'!$A54=4,'Daily Schedule'!$A54=8),IF(OR(WEEKDAY('Daily Schedule'!$B$2,2)=1,WEEKDAY('Daily Schedule'!$B$2,2)=4,WEEKDAY('Daily Schedule'!$B$2,2)=5,WEEKDAY('Daily Schedule'!$B$2,2)=7),IFERROR(1*'Daily Workforce'!$K33&gt;=3,FALSE()),IFERROR(1*'Daily Workforce'!$K33&gt;=2,FALSE())),IF(AND('Daily Schedule'!$A54&gt;=46,'Daily Schedule'!$A54&lt;=52),'Daily Workforce'!$M33="Y",IFERROR(1*'Daily Workforce'!$P33&gt;=2,FALSE()))))),1,0)</f>
        <v>0</v>
      </c>
      <c r="AS50" s="1" t="n">
        <f aca="false">IF(AND('Daily Workforce'!$N34="Y",'Daily Workforce'!$B34&lt;&gt;"",COUNTIF('Daily Schedule'!$F$5:$F53,'Daily Workforce'!$B34)=0,IF('Daily Schedule'!$A54=45,'Daily Workforce'!$J34="Y",IF(OR('Daily Schedule'!$A54=4,'Daily Schedule'!$A54=8),IF(OR(WEEKDAY('Daily Schedule'!$B$2,2)=1,WEEKDAY('Daily Schedule'!$B$2,2)=4,WEEKDAY('Daily Schedule'!$B$2,2)=5,WEEKDAY('Daily Schedule'!$B$2,2)=7),IFERROR(1*'Daily Workforce'!$K34&gt;=3,FALSE()),IFERROR(1*'Daily Workforce'!$K34&gt;=2,FALSE())),IF(AND('Daily Schedule'!$A54&gt;=46,'Daily Schedule'!$A54&lt;=52),'Daily Workforce'!$M34="Y",IFERROR(1*'Daily Workforce'!$P34&gt;=2,FALSE()))))),1,0)</f>
        <v>0</v>
      </c>
      <c r="AT50" s="1" t="n">
        <f aca="false">IF(AND('Daily Workforce'!$N35="Y",'Daily Workforce'!$B35&lt;&gt;"",COUNTIF('Daily Schedule'!$F$5:$F53,'Daily Workforce'!$B35)=0,IF('Daily Schedule'!$A54=45,'Daily Workforce'!$J35="Y",IF(OR('Daily Schedule'!$A54=4,'Daily Schedule'!$A54=8),IF(OR(WEEKDAY('Daily Schedule'!$B$2,2)=1,WEEKDAY('Daily Schedule'!$B$2,2)=4,WEEKDAY('Daily Schedule'!$B$2,2)=5,WEEKDAY('Daily Schedule'!$B$2,2)=7),IFERROR(1*'Daily Workforce'!$K35&gt;=3,FALSE()),IFERROR(1*'Daily Workforce'!$K35&gt;=2,FALSE())),IF(AND('Daily Schedule'!$A54&gt;=46,'Daily Schedule'!$A54&lt;=52),'Daily Workforce'!$M35="Y",IFERROR(1*'Daily Workforce'!$P35&gt;=2,FALSE()))))),1,0)</f>
        <v>0</v>
      </c>
      <c r="AU50" s="1" t="n">
        <f aca="false">IF(AND('Daily Workforce'!$N36="Y",'Daily Workforce'!$B36&lt;&gt;"",COUNTIF('Daily Schedule'!$F$5:$F53,'Daily Workforce'!$B36)=0,IF('Daily Schedule'!$A54=45,'Daily Workforce'!$J36="Y",IF(OR('Daily Schedule'!$A54=4,'Daily Schedule'!$A54=8),IF(OR(WEEKDAY('Daily Schedule'!$B$2,2)=1,WEEKDAY('Daily Schedule'!$B$2,2)=4,WEEKDAY('Daily Schedule'!$B$2,2)=5,WEEKDAY('Daily Schedule'!$B$2,2)=7),IFERROR(1*'Daily Workforce'!$K36&gt;=3,FALSE()),IFERROR(1*'Daily Workforce'!$K36&gt;=2,FALSE())),IF(AND('Daily Schedule'!$A54&gt;=46,'Daily Schedule'!$A54&lt;=52),'Daily Workforce'!$M36="Y",IFERROR(1*'Daily Workforce'!$P36&gt;=2,FALSE()))))),1,0)</f>
        <v>0</v>
      </c>
      <c r="AV50" s="1" t="n">
        <f aca="false">IF(AND('Daily Workforce'!$N37="Y",'Daily Workforce'!$B37&lt;&gt;"",COUNTIF('Daily Schedule'!$F$5:$F53,'Daily Workforce'!$B37)=0,IF('Daily Schedule'!$A54=45,'Daily Workforce'!$J37="Y",IF(OR('Daily Schedule'!$A54=4,'Daily Schedule'!$A54=8),IF(OR(WEEKDAY('Daily Schedule'!$B$2,2)=1,WEEKDAY('Daily Schedule'!$B$2,2)=4,WEEKDAY('Daily Schedule'!$B$2,2)=5,WEEKDAY('Daily Schedule'!$B$2,2)=7),IFERROR(1*'Daily Workforce'!$K37&gt;=3,FALSE()),IFERROR(1*'Daily Workforce'!$K37&gt;=2,FALSE())),IF(AND('Daily Schedule'!$A54&gt;=46,'Daily Schedule'!$A54&lt;=52),'Daily Workforce'!$M37="Y",IFERROR(1*'Daily Workforce'!$P37&gt;=2,FALSE()))))),1,0)</f>
        <v>0</v>
      </c>
      <c r="AW50" s="1" t="n">
        <f aca="false">IF(AND('Daily Workforce'!$N38="Y",'Daily Workforce'!$B38&lt;&gt;"",COUNTIF('Daily Schedule'!$F$5:$F53,'Daily Workforce'!$B38)=0,IF('Daily Schedule'!$A54=45,'Daily Workforce'!$J38="Y",IF(OR('Daily Schedule'!$A54=4,'Daily Schedule'!$A54=8),IF(OR(WEEKDAY('Daily Schedule'!$B$2,2)=1,WEEKDAY('Daily Schedule'!$B$2,2)=4,WEEKDAY('Daily Schedule'!$B$2,2)=5,WEEKDAY('Daily Schedule'!$B$2,2)=7),IFERROR(1*'Daily Workforce'!$K38&gt;=3,FALSE()),IFERROR(1*'Daily Workforce'!$K38&gt;=2,FALSE())),IF(AND('Daily Schedule'!$A54&gt;=46,'Daily Schedule'!$A54&lt;=52),'Daily Workforce'!$M38="Y",IFERROR(1*'Daily Workforce'!$P38&gt;=2,FALSE()))))),1,0)</f>
        <v>0</v>
      </c>
      <c r="AX50" s="1" t="n">
        <f aca="false">IF(AND('Daily Workforce'!$N39="Y",'Daily Workforce'!$B39&lt;&gt;"",COUNTIF('Daily Schedule'!$F$5:$F53,'Daily Workforce'!$B39)=0,IF('Daily Schedule'!$A54=45,'Daily Workforce'!$J39="Y",IF(OR('Daily Schedule'!$A54=4,'Daily Schedule'!$A54=8),IF(OR(WEEKDAY('Daily Schedule'!$B$2,2)=1,WEEKDAY('Daily Schedule'!$B$2,2)=4,WEEKDAY('Daily Schedule'!$B$2,2)=5,WEEKDAY('Daily Schedule'!$B$2,2)=7),IFERROR(1*'Daily Workforce'!$K39&gt;=3,FALSE()),IFERROR(1*'Daily Workforce'!$K39&gt;=2,FALSE())),IF(AND('Daily Schedule'!$A54&gt;=46,'Daily Schedule'!$A54&lt;=52),'Daily Workforce'!$M39="Y",IFERROR(1*'Daily Workforce'!$P39&gt;=2,FALSE()))))),1,0)</f>
        <v>0</v>
      </c>
      <c r="AY50" s="1" t="n">
        <f aca="false">IF(AND('Daily Workforce'!$N40="Y",'Daily Workforce'!$B40&lt;&gt;"",COUNTIF('Daily Schedule'!$F$5:$F53,'Daily Workforce'!$B40)=0,IF('Daily Schedule'!$A54=45,'Daily Workforce'!$J40="Y",IF(OR('Daily Schedule'!$A54=4,'Daily Schedule'!$A54=8),IF(OR(WEEKDAY('Daily Schedule'!$B$2,2)=1,WEEKDAY('Daily Schedule'!$B$2,2)=4,WEEKDAY('Daily Schedule'!$B$2,2)=5,WEEKDAY('Daily Schedule'!$B$2,2)=7),IFERROR(1*'Daily Workforce'!$K40&gt;=3,FALSE()),IFERROR(1*'Daily Workforce'!$K40&gt;=2,FALSE())),IF(AND('Daily Schedule'!$A54&gt;=46,'Daily Schedule'!$A54&lt;=52),'Daily Workforce'!$M40="Y",IFERROR(1*'Daily Workforce'!$P40&gt;=2,FALSE()))))),1,0)</f>
        <v>0</v>
      </c>
      <c r="AZ50" s="1" t="n">
        <f aca="false">IF(AND('Daily Workforce'!$N41="Y",'Daily Workforce'!$B41&lt;&gt;"",COUNTIF('Daily Schedule'!$F$5:$F53,'Daily Workforce'!$B41)=0,IF('Daily Schedule'!$A54=45,'Daily Workforce'!$J41="Y",IF(OR('Daily Schedule'!$A54=4,'Daily Schedule'!$A54=8),IF(OR(WEEKDAY('Daily Schedule'!$B$2,2)=1,WEEKDAY('Daily Schedule'!$B$2,2)=4,WEEKDAY('Daily Schedule'!$B$2,2)=5,WEEKDAY('Daily Schedule'!$B$2,2)=7),IFERROR(1*'Daily Workforce'!$K41&gt;=3,FALSE()),IFERROR(1*'Daily Workforce'!$K41&gt;=2,FALSE())),IF(AND('Daily Schedule'!$A54&gt;=46,'Daily Schedule'!$A54&lt;=52),'Daily Workforce'!$M41="Y",IFERROR(1*'Daily Workforce'!$P41&gt;=2,FALSE()))))),1,0)</f>
        <v>0</v>
      </c>
      <c r="BA50" s="1" t="n">
        <f aca="false">IF(AND('Daily Workforce'!$N42="Y",'Daily Workforce'!$B42&lt;&gt;"",COUNTIF('Daily Schedule'!$F$5:$F53,'Daily Workforce'!$B42)=0,IF('Daily Schedule'!$A54=45,'Daily Workforce'!$J42="Y",IF(OR('Daily Schedule'!$A54=4,'Daily Schedule'!$A54=8),IF(OR(WEEKDAY('Daily Schedule'!$B$2,2)=1,WEEKDAY('Daily Schedule'!$B$2,2)=4,WEEKDAY('Daily Schedule'!$B$2,2)=5,WEEKDAY('Daily Schedule'!$B$2,2)=7),IFERROR(1*'Daily Workforce'!$K42&gt;=3,FALSE()),IFERROR(1*'Daily Workforce'!$K42&gt;=2,FALSE())),IF(AND('Daily Schedule'!$A54&gt;=46,'Daily Schedule'!$A54&lt;=52),'Daily Workforce'!$M42="Y",IFERROR(1*'Daily Workforce'!$P42&gt;=2,FALSE()))))),1,0)</f>
        <v>0</v>
      </c>
      <c r="BB50" s="1" t="n">
        <f aca="false">IF(AND('Daily Workforce'!$N43="Y",'Daily Workforce'!$B43&lt;&gt;"",COUNTIF('Daily Schedule'!$F$5:$F53,'Daily Workforce'!$B43)=0,IF('Daily Schedule'!$A54=45,'Daily Workforce'!$J43="Y",IF(OR('Daily Schedule'!$A54=4,'Daily Schedule'!$A54=8),IF(OR(WEEKDAY('Daily Schedule'!$B$2,2)=1,WEEKDAY('Daily Schedule'!$B$2,2)=4,WEEKDAY('Daily Schedule'!$B$2,2)=5,WEEKDAY('Daily Schedule'!$B$2,2)=7),IFERROR(1*'Daily Workforce'!$K43&gt;=3,FALSE()),IFERROR(1*'Daily Workforce'!$K43&gt;=2,FALSE())),IF(AND('Daily Schedule'!$A54&gt;=46,'Daily Schedule'!$A54&lt;=52),'Daily Workforce'!$M43="Y",IFERROR(1*'Daily Workforce'!$P43&gt;=2,FALSE()))))),1,0)</f>
        <v>0</v>
      </c>
      <c r="BC50" s="1" t="n">
        <f aca="false">IF(AND('Daily Workforce'!$N44="Y",'Daily Workforce'!$B44&lt;&gt;"",COUNTIF('Daily Schedule'!$F$5:$F53,'Daily Workforce'!$B44)=0,IF('Daily Schedule'!$A54=45,'Daily Workforce'!$J44="Y",IF(OR('Daily Schedule'!$A54=4,'Daily Schedule'!$A54=8),IF(OR(WEEKDAY('Daily Schedule'!$B$2,2)=1,WEEKDAY('Daily Schedule'!$B$2,2)=4,WEEKDAY('Daily Schedule'!$B$2,2)=5,WEEKDAY('Daily Schedule'!$B$2,2)=7),IFERROR(1*'Daily Workforce'!$K44&gt;=3,FALSE()),IFERROR(1*'Daily Workforce'!$K44&gt;=2,FALSE())),IF(AND('Daily Schedule'!$A54&gt;=46,'Daily Schedule'!$A54&lt;=52),'Daily Workforce'!$M44="Y",IFERROR(1*'Daily Workforce'!$P44&gt;=2,FALSE()))))),1,0)</f>
        <v>0</v>
      </c>
      <c r="BD50" s="1" t="n">
        <f aca="false">IF(AND('Daily Workforce'!$N45="Y",'Daily Workforce'!$B45&lt;&gt;"",COUNTIF('Daily Schedule'!$F$5:$F53,'Daily Workforce'!$B45)=0,IF('Daily Schedule'!$A54=45,'Daily Workforce'!$J45="Y",IF(OR('Daily Schedule'!$A54=4,'Daily Schedule'!$A54=8),IF(OR(WEEKDAY('Daily Schedule'!$B$2,2)=1,WEEKDAY('Daily Schedule'!$B$2,2)=4,WEEKDAY('Daily Schedule'!$B$2,2)=5,WEEKDAY('Daily Schedule'!$B$2,2)=7),IFERROR(1*'Daily Workforce'!$K45&gt;=3,FALSE()),IFERROR(1*'Daily Workforce'!$K45&gt;=2,FALSE())),IF(AND('Daily Schedule'!$A54&gt;=46,'Daily Schedule'!$A54&lt;=52),'Daily Workforce'!$M45="Y",IFERROR(1*'Daily Workforce'!$P45&gt;=2,FALSE()))))),1,0)</f>
        <v>0</v>
      </c>
      <c r="BE50" s="1" t="n">
        <f aca="false">IF(AND('Daily Workforce'!$N46="Y",'Daily Workforce'!$B46&lt;&gt;"",COUNTIF('Daily Schedule'!$F$5:$F53,'Daily Workforce'!$B46)=0,IF('Daily Schedule'!$A54=45,'Daily Workforce'!$J46="Y",IF(OR('Daily Schedule'!$A54=4,'Daily Schedule'!$A54=8),IF(OR(WEEKDAY('Daily Schedule'!$B$2,2)=1,WEEKDAY('Daily Schedule'!$B$2,2)=4,WEEKDAY('Daily Schedule'!$B$2,2)=5,WEEKDAY('Daily Schedule'!$B$2,2)=7),IFERROR(1*'Daily Workforce'!$K46&gt;=3,FALSE()),IFERROR(1*'Daily Workforce'!$K46&gt;=2,FALSE())),IF(AND('Daily Schedule'!$A54&gt;=46,'Daily Schedule'!$A54&lt;=52),'Daily Workforce'!$M46="Y",IFERROR(1*'Daily Workforce'!$P46&gt;=2,FALSE()))))),1,0)</f>
        <v>0</v>
      </c>
      <c r="BF50" s="1" t="n">
        <f aca="false">IF(AND('Daily Workforce'!$N47="Y",'Daily Workforce'!$B47&lt;&gt;"",COUNTIF('Daily Schedule'!$F$5:$F53,'Daily Workforce'!$B47)=0,IF('Daily Schedule'!$A54=45,'Daily Workforce'!$J47="Y",IF(OR('Daily Schedule'!$A54=4,'Daily Schedule'!$A54=8),IF(OR(WEEKDAY('Daily Schedule'!$B$2,2)=1,WEEKDAY('Daily Schedule'!$B$2,2)=4,WEEKDAY('Daily Schedule'!$B$2,2)=5,WEEKDAY('Daily Schedule'!$B$2,2)=7),IFERROR(1*'Daily Workforce'!$K47&gt;=3,FALSE()),IFERROR(1*'Daily Workforce'!$K47&gt;=2,FALSE())),IF(AND('Daily Schedule'!$A54&gt;=46,'Daily Schedule'!$A54&lt;=52),'Daily Workforce'!$M47="Y",IFERROR(1*'Daily Workforce'!$P47&gt;=2,FALSE()))))),1,0)</f>
        <v>0</v>
      </c>
      <c r="BG50" s="1" t="n">
        <f aca="false">IF(AND('Daily Workforce'!$N48="Y",'Daily Workforce'!$B48&lt;&gt;"",COUNTIF('Daily Schedule'!$F$5:$F53,'Daily Workforce'!$B48)=0,IF('Daily Schedule'!$A54=45,'Daily Workforce'!$J48="Y",IF(OR('Daily Schedule'!$A54=4,'Daily Schedule'!$A54=8),IF(OR(WEEKDAY('Daily Schedule'!$B$2,2)=1,WEEKDAY('Daily Schedule'!$B$2,2)=4,WEEKDAY('Daily Schedule'!$B$2,2)=5,WEEKDAY('Daily Schedule'!$B$2,2)=7),IFERROR(1*'Daily Workforce'!$K48&gt;=3,FALSE()),IFERROR(1*'Daily Workforce'!$K48&gt;=2,FALSE())),IF(AND('Daily Schedule'!$A54&gt;=46,'Daily Schedule'!$A54&lt;=52),'Daily Workforce'!$M48="Y",IFERROR(1*'Daily Workforce'!$P48&gt;=2,FALSE()))))),1,0)</f>
        <v>0</v>
      </c>
      <c r="BH50" s="1" t="n">
        <f aca="false">IF(AND('Daily Workforce'!$N49="Y",'Daily Workforce'!$B49&lt;&gt;"",COUNTIF('Daily Schedule'!$F$5:$F53,'Daily Workforce'!$B49)=0,IF('Daily Schedule'!$A54=45,'Daily Workforce'!$J49="Y",IF(OR('Daily Schedule'!$A54=4,'Daily Schedule'!$A54=8),IF(OR(WEEKDAY('Daily Schedule'!$B$2,2)=1,WEEKDAY('Daily Schedule'!$B$2,2)=4,WEEKDAY('Daily Schedule'!$B$2,2)=5,WEEKDAY('Daily Schedule'!$B$2,2)=7),IFERROR(1*'Daily Workforce'!$K49&gt;=3,FALSE()),IFERROR(1*'Daily Workforce'!$K49&gt;=2,FALSE())),IF(AND('Daily Schedule'!$A54&gt;=46,'Daily Schedule'!$A54&lt;=52),'Daily Workforce'!$M49="Y",IFERROR(1*'Daily Workforce'!$P49&gt;=2,FALSE()))))),1,0)</f>
        <v>0</v>
      </c>
      <c r="BI50" s="1" t="n">
        <f aca="false">IF(AND('Daily Workforce'!$N50="Y",'Daily Workforce'!$B50&lt;&gt;"",COUNTIF('Daily Schedule'!$F$5:$F53,'Daily Workforce'!$B50)=0,IF('Daily Schedule'!$A54=45,'Daily Workforce'!$J50="Y",IF(OR('Daily Schedule'!$A54=4,'Daily Schedule'!$A54=8),IF(OR(WEEKDAY('Daily Schedule'!$B$2,2)=1,WEEKDAY('Daily Schedule'!$B$2,2)=4,WEEKDAY('Daily Schedule'!$B$2,2)=5,WEEKDAY('Daily Schedule'!$B$2,2)=7),IFERROR(1*'Daily Workforce'!$K50&gt;=3,FALSE()),IFERROR(1*'Daily Workforce'!$K50&gt;=2,FALSE())),IF(AND('Daily Schedule'!$A54&gt;=46,'Daily Schedule'!$A54&lt;=52),'Daily Workforce'!$M50="Y",IFERROR(1*'Daily Workforce'!$P50&gt;=2,FALSE()))))),1,0)</f>
        <v>0</v>
      </c>
      <c r="BJ50" s="1" t="n">
        <f aca="false">IF(AND('Daily Workforce'!$N51="Y",'Daily Workforce'!$B51&lt;&gt;"",COUNTIF('Daily Schedule'!$F$5:$F53,'Daily Workforce'!$B51)=0,IF('Daily Schedule'!$A54=45,'Daily Workforce'!$J51="Y",IF(OR('Daily Schedule'!$A54=4,'Daily Schedule'!$A54=8),IF(OR(WEEKDAY('Daily Schedule'!$B$2,2)=1,WEEKDAY('Daily Schedule'!$B$2,2)=4,WEEKDAY('Daily Schedule'!$B$2,2)=5,WEEKDAY('Daily Schedule'!$B$2,2)=7),IFERROR(1*'Daily Workforce'!$K51&gt;=3,FALSE()),IFERROR(1*'Daily Workforce'!$K51&gt;=2,FALSE())),IF(AND('Daily Schedule'!$A54&gt;=46,'Daily Schedule'!$A54&lt;=52),'Daily Workforce'!$M51="Y",IFERROR(1*'Daily Workforce'!$P51&gt;=2,FALSE()))))),1,0)</f>
        <v>0</v>
      </c>
      <c r="BK50" s="1" t="n">
        <f aca="false">IF(AND('Daily Workforce'!$N52="Y",'Daily Workforce'!$B52&lt;&gt;"",COUNTIF('Daily Schedule'!$F$5:$F53,'Daily Workforce'!$B52)=0,IF('Daily Schedule'!$A54=45,'Daily Workforce'!$J52="Y",IF(OR('Daily Schedule'!$A54=4,'Daily Schedule'!$A54=8),IF(OR(WEEKDAY('Daily Schedule'!$B$2,2)=1,WEEKDAY('Daily Schedule'!$B$2,2)=4,WEEKDAY('Daily Schedule'!$B$2,2)=5,WEEKDAY('Daily Schedule'!$B$2,2)=7),IFERROR(1*'Daily Workforce'!$K52&gt;=3,FALSE()),IFERROR(1*'Daily Workforce'!$K52&gt;=2,FALSE())),IF(AND('Daily Schedule'!$A54&gt;=46,'Daily Schedule'!$A54&lt;=52),'Daily Workforce'!$M52="Y",IFERROR(1*'Daily Workforce'!$P52&gt;=2,FALSE()))))),1,0)</f>
        <v>0</v>
      </c>
      <c r="BL50" s="1" t="n">
        <f aca="false">IF(AND('Daily Workforce'!$N53="Y",'Daily Workforce'!$B53&lt;&gt;"",COUNTIF('Daily Schedule'!$F$5:$F53,'Daily Workforce'!$B53)=0,IF('Daily Schedule'!$A54=45,'Daily Workforce'!$J53="Y",IF(OR('Daily Schedule'!$A54=4,'Daily Schedule'!$A54=8),IF(OR(WEEKDAY('Daily Schedule'!$B$2,2)=1,WEEKDAY('Daily Schedule'!$B$2,2)=4,WEEKDAY('Daily Schedule'!$B$2,2)=5,WEEKDAY('Daily Schedule'!$B$2,2)=7),IFERROR(1*'Daily Workforce'!$K53&gt;=3,FALSE()),IFERROR(1*'Daily Workforce'!$K53&gt;=2,FALSE())),IF(AND('Daily Schedule'!$A54&gt;=46,'Daily Schedule'!$A54&lt;=52),'Daily Workforce'!$M53="Y",IFERROR(1*'Daily Workforce'!$P53&gt;=2,FALSE()))))),1,0)</f>
        <v>0</v>
      </c>
      <c r="BM50" s="1" t="n">
        <f aca="false">IF(AND('Daily Workforce'!$N54="Y",'Daily Workforce'!$B54&lt;&gt;"",COUNTIF('Daily Schedule'!$F$5:$F53,'Daily Workforce'!$B54)=0,IF('Daily Schedule'!$A54=45,'Daily Workforce'!$J54="Y",IF(OR('Daily Schedule'!$A54=4,'Daily Schedule'!$A54=8),IF(OR(WEEKDAY('Daily Schedule'!$B$2,2)=1,WEEKDAY('Daily Schedule'!$B$2,2)=4,WEEKDAY('Daily Schedule'!$B$2,2)=5,WEEKDAY('Daily Schedule'!$B$2,2)=7),IFERROR(1*'Daily Workforce'!$K54&gt;=3,FALSE()),IFERROR(1*'Daily Workforce'!$K54&gt;=2,FALSE())),IF(AND('Daily Schedule'!$A54&gt;=46,'Daily Schedule'!$A54&lt;=52),'Daily Workforce'!$M54="Y",IFERROR(1*'Daily Workforce'!$P54&gt;=2,FALSE()))))),1,0)</f>
        <v>0</v>
      </c>
      <c r="BN50" s="1" t="n">
        <f aca="false">IF(AND('Daily Workforce'!$N55="Y",'Daily Workforce'!$B55&lt;&gt;"",COUNTIF('Daily Schedule'!$F$5:$F53,'Daily Workforce'!$B55)=0,IF('Daily Schedule'!$A54=45,'Daily Workforce'!$J55="Y",IF(OR('Daily Schedule'!$A54=4,'Daily Schedule'!$A54=8),IF(OR(WEEKDAY('Daily Schedule'!$B$2,2)=1,WEEKDAY('Daily Schedule'!$B$2,2)=4,WEEKDAY('Daily Schedule'!$B$2,2)=5,WEEKDAY('Daily Schedule'!$B$2,2)=7),IFERROR(1*'Daily Workforce'!$K55&gt;=3,FALSE()),IFERROR(1*'Daily Workforce'!$K55&gt;=2,FALSE())),IF(AND('Daily Schedule'!$A54&gt;=46,'Daily Schedule'!$A54&lt;=52),'Daily Workforce'!$M55="Y",IFERROR(1*'Daily Workforce'!$P55&gt;=2,FALSE()))))),1,0)</f>
        <v>1</v>
      </c>
      <c r="BO50" s="1" t="n">
        <f aca="false">IF(AND('Daily Workforce'!$N56="Y",'Daily Workforce'!$B56&lt;&gt;"",COUNTIF('Daily Schedule'!$F$5:$F53,'Daily Workforce'!$B56)=0,IF('Daily Schedule'!$A54=45,'Daily Workforce'!$J56="Y",IF(OR('Daily Schedule'!$A54=4,'Daily Schedule'!$A54=8),IF(OR(WEEKDAY('Daily Schedule'!$B$2,2)=1,WEEKDAY('Daily Schedule'!$B$2,2)=4,WEEKDAY('Daily Schedule'!$B$2,2)=5,WEEKDAY('Daily Schedule'!$B$2,2)=7),IFERROR(1*'Daily Workforce'!$K56&gt;=3,FALSE()),IFERROR(1*'Daily Workforce'!$K56&gt;=2,FALSE())),IF(AND('Daily Schedule'!$A54&gt;=46,'Daily Schedule'!$A54&lt;=52),'Daily Workforce'!$M56="Y",IFERROR(1*'Daily Workforce'!$P56&gt;=2,FALSE()))))),1,0)</f>
        <v>1</v>
      </c>
      <c r="BP50" s="1" t="n">
        <f aca="false">IF(AND('Daily Workforce'!$N57="Y",'Daily Workforce'!$B57&lt;&gt;"",COUNTIF('Daily Schedule'!$F$5:$F53,'Daily Workforce'!$B57)=0,IF('Daily Schedule'!$A54=45,'Daily Workforce'!$J57="Y",IF(OR('Daily Schedule'!$A54=4,'Daily Schedule'!$A54=8),IF(OR(WEEKDAY('Daily Schedule'!$B$2,2)=1,WEEKDAY('Daily Schedule'!$B$2,2)=4,WEEKDAY('Daily Schedule'!$B$2,2)=5,WEEKDAY('Daily Schedule'!$B$2,2)=7),IFERROR(1*'Daily Workforce'!$K57&gt;=3,FALSE()),IFERROR(1*'Daily Workforce'!$K57&gt;=2,FALSE())),IF(AND('Daily Schedule'!$A54&gt;=46,'Daily Schedule'!$A54&lt;=52),'Daily Workforce'!$M57="Y",IFERROR(1*'Daily Workforce'!$P57&gt;=2,FALSE()))))),1,0)</f>
        <v>0</v>
      </c>
      <c r="BQ50" s="1" t="n">
        <f aca="false">IF(AND('Daily Workforce'!$N58="Y",'Daily Workforce'!$B58&lt;&gt;"",COUNTIF('Daily Schedule'!$F$5:$F53,'Daily Workforce'!$B58)=0,IF('Daily Schedule'!$A54=45,'Daily Workforce'!$J58="Y",IF(OR('Daily Schedule'!$A54=4,'Daily Schedule'!$A54=8),IF(OR(WEEKDAY('Daily Schedule'!$B$2,2)=1,WEEKDAY('Daily Schedule'!$B$2,2)=4,WEEKDAY('Daily Schedule'!$B$2,2)=5,WEEKDAY('Daily Schedule'!$B$2,2)=7),IFERROR(1*'Daily Workforce'!$K58&gt;=3,FALSE()),IFERROR(1*'Daily Workforce'!$K58&gt;=2,FALSE())),IF(AND('Daily Schedule'!$A54&gt;=46,'Daily Schedule'!$A54&lt;=52),'Daily Workforce'!$M58="Y",IFERROR(1*'Daily Workforce'!$P58&gt;=2,FALSE()))))),1,0)</f>
        <v>1</v>
      </c>
      <c r="BR50" s="1" t="n">
        <f aca="false">IF(AND('Daily Workforce'!$N59="Y",'Daily Workforce'!$B59&lt;&gt;"",COUNTIF('Daily Schedule'!$F$5:$F53,'Daily Workforce'!$B59)=0,IF('Daily Schedule'!$A54=45,'Daily Workforce'!$J59="Y",IF(OR('Daily Schedule'!$A54=4,'Daily Schedule'!$A54=8),IF(OR(WEEKDAY('Daily Schedule'!$B$2,2)=1,WEEKDAY('Daily Schedule'!$B$2,2)=4,WEEKDAY('Daily Schedule'!$B$2,2)=5,WEEKDAY('Daily Schedule'!$B$2,2)=7),IFERROR(1*'Daily Workforce'!$K59&gt;=3,FALSE()),IFERROR(1*'Daily Workforce'!$K59&gt;=2,FALSE())),IF(AND('Daily Schedule'!$A54&gt;=46,'Daily Schedule'!$A54&lt;=52),'Daily Workforce'!$M59="Y",IFERROR(1*'Daily Workforce'!$P59&gt;=2,FALSE()))))),1,0)</f>
        <v>1</v>
      </c>
      <c r="BS50" s="1" t="n">
        <f aca="false">IF(AND('Daily Workforce'!$N60="Y",'Daily Workforce'!$B60&lt;&gt;"",COUNTIF('Daily Schedule'!$F$5:$F53,'Daily Workforce'!$B60)=0,IF('Daily Schedule'!$A54=45,'Daily Workforce'!$J60="Y",IF(OR('Daily Schedule'!$A54=4,'Daily Schedule'!$A54=8),IF(OR(WEEKDAY('Daily Schedule'!$B$2,2)=1,WEEKDAY('Daily Schedule'!$B$2,2)=4,WEEKDAY('Daily Schedule'!$B$2,2)=5,WEEKDAY('Daily Schedule'!$B$2,2)=7),IFERROR(1*'Daily Workforce'!$K60&gt;=3,FALSE()),IFERROR(1*'Daily Workforce'!$K60&gt;=2,FALSE())),IF(AND('Daily Schedule'!$A54&gt;=46,'Daily Schedule'!$A54&lt;=52),'Daily Workforce'!$M60="Y",IFERROR(1*'Daily Workforce'!$P60&gt;=2,FALSE()))))),1,0)</f>
        <v>1</v>
      </c>
      <c r="BT50" s="1" t="n">
        <f aca="false">IF(AND('Daily Workforce'!$N61="Y",'Daily Workforce'!$B61&lt;&gt;"",COUNTIF('Daily Schedule'!$F$5:$F53,'Daily Workforce'!$B61)=0,IF('Daily Schedule'!$A54=45,'Daily Workforce'!$J61="Y",IF(OR('Daily Schedule'!$A54=4,'Daily Schedule'!$A54=8),IF(OR(WEEKDAY('Daily Schedule'!$B$2,2)=1,WEEKDAY('Daily Schedule'!$B$2,2)=4,WEEKDAY('Daily Schedule'!$B$2,2)=5,WEEKDAY('Daily Schedule'!$B$2,2)=7),IFERROR(1*'Daily Workforce'!$K61&gt;=3,FALSE()),IFERROR(1*'Daily Workforce'!$K61&gt;=2,FALSE())),IF(AND('Daily Schedule'!$A54&gt;=46,'Daily Schedule'!$A54&lt;=52),'Daily Workforce'!$M61="Y",IFERROR(1*'Daily Workforce'!$P61&gt;=2,FALSE()))))),1,0)</f>
        <v>0</v>
      </c>
      <c r="BU50" s="1" t="n">
        <f aca="false">IF(AND('Daily Workforce'!$N62="Y",'Daily Workforce'!$B62&lt;&gt;"",COUNTIF('Daily Schedule'!$F$5:$F53,'Daily Workforce'!$B62)=0,IF('Daily Schedule'!$A54=45,'Daily Workforce'!$J62="Y",IF(OR('Daily Schedule'!$A54=4,'Daily Schedule'!$A54=8),IF(OR(WEEKDAY('Daily Schedule'!$B$2,2)=1,WEEKDAY('Daily Schedule'!$B$2,2)=4,WEEKDAY('Daily Schedule'!$B$2,2)=5,WEEKDAY('Daily Schedule'!$B$2,2)=7),IFERROR(1*'Daily Workforce'!$K62&gt;=3,FALSE()),IFERROR(1*'Daily Workforce'!$K62&gt;=2,FALSE())),IF(AND('Daily Schedule'!$A54&gt;=46,'Daily Schedule'!$A54&lt;=52),'Daily Workforce'!$M62="Y",IFERROR(1*'Daily Workforce'!$P62&gt;=2,FALSE()))))),1,0)</f>
        <v>1</v>
      </c>
      <c r="BV50" s="1" t="n">
        <f aca="false">IF(AND('Daily Workforce'!$N63="Y",'Daily Workforce'!$B63&lt;&gt;"",COUNTIF('Daily Schedule'!$F$5:$F53,'Daily Workforce'!$B63)=0,IF('Daily Schedule'!$A54=45,'Daily Workforce'!$J63="Y",IF(OR('Daily Schedule'!$A54=4,'Daily Schedule'!$A54=8),IF(OR(WEEKDAY('Daily Schedule'!$B$2,2)=1,WEEKDAY('Daily Schedule'!$B$2,2)=4,WEEKDAY('Daily Schedule'!$B$2,2)=5,WEEKDAY('Daily Schedule'!$B$2,2)=7),IFERROR(1*'Daily Workforce'!$K63&gt;=3,FALSE()),IFERROR(1*'Daily Workforce'!$K63&gt;=2,FALSE())),IF(AND('Daily Schedule'!$A54&gt;=46,'Daily Schedule'!$A54&lt;=52),'Daily Workforce'!$M63="Y",IFERROR(1*'Daily Workforce'!$P63&gt;=2,FALSE()))))),1,0)</f>
        <v>1</v>
      </c>
      <c r="BW50" s="1" t="n">
        <f aca="false">IF(AND('Daily Workforce'!$N64="Y",'Daily Workforce'!$B64&lt;&gt;"",COUNTIF('Daily Schedule'!$F$5:$F53,'Daily Workforce'!$B64)=0,IF('Daily Schedule'!$A54=45,'Daily Workforce'!$J64="Y",IF(OR('Daily Schedule'!$A54=4,'Daily Schedule'!$A54=8),IF(OR(WEEKDAY('Daily Schedule'!$B$2,2)=1,WEEKDAY('Daily Schedule'!$B$2,2)=4,WEEKDAY('Daily Schedule'!$B$2,2)=5,WEEKDAY('Daily Schedule'!$B$2,2)=7),IFERROR(1*'Daily Workforce'!$K64&gt;=3,FALSE()),IFERROR(1*'Daily Workforce'!$K64&gt;=2,FALSE())),IF(AND('Daily Schedule'!$A54&gt;=46,'Daily Schedule'!$A54&lt;=52),'Daily Workforce'!$M64="Y",IFERROR(1*'Daily Workforce'!$P64&gt;=2,FALSE()))))),1,0)</f>
        <v>1</v>
      </c>
      <c r="BX50" s="1" t="n">
        <f aca="false">IF(AND('Daily Workforce'!$N65="Y",'Daily Workforce'!$B65&lt;&gt;"",COUNTIF('Daily Schedule'!$F$5:$F53,'Daily Workforce'!$B65)=0,IF('Daily Schedule'!$A54=45,'Daily Workforce'!$J65="Y",IF(OR('Daily Schedule'!$A54=4,'Daily Schedule'!$A54=8),IF(OR(WEEKDAY('Daily Schedule'!$B$2,2)=1,WEEKDAY('Daily Schedule'!$B$2,2)=4,WEEKDAY('Daily Schedule'!$B$2,2)=5,WEEKDAY('Daily Schedule'!$B$2,2)=7),IFERROR(1*'Daily Workforce'!$K65&gt;=3,FALSE()),IFERROR(1*'Daily Workforce'!$K65&gt;=2,FALSE())),IF(AND('Daily Schedule'!$A54&gt;=46,'Daily Schedule'!$A54&lt;=52),'Daily Workforce'!$M65="Y",IFERROR(1*'Daily Workforce'!$P65&gt;=2,FALSE()))))),1,0)</f>
        <v>1</v>
      </c>
      <c r="BY50" s="1" t="n">
        <f aca="false">IF(AND('Daily Workforce'!$N66="Y",'Daily Workforce'!$B66&lt;&gt;"",COUNTIF('Daily Schedule'!$F$5:$F53,'Daily Workforce'!$B66)=0,IF('Daily Schedule'!$A54=45,'Daily Workforce'!$J66="Y",IF(OR('Daily Schedule'!$A54=4,'Daily Schedule'!$A54=8),IF(OR(WEEKDAY('Daily Schedule'!$B$2,2)=1,WEEKDAY('Daily Schedule'!$B$2,2)=4,WEEKDAY('Daily Schedule'!$B$2,2)=5,WEEKDAY('Daily Schedule'!$B$2,2)=7),IFERROR(1*'Daily Workforce'!$K66&gt;=3,FALSE()),IFERROR(1*'Daily Workforce'!$K66&gt;=2,FALSE())),IF(AND('Daily Schedule'!$A54&gt;=46,'Daily Schedule'!$A54&lt;=52),'Daily Workforce'!$M66="Y",IFERROR(1*'Daily Workforce'!$P66&gt;=2,FALSE()))))),1,0)</f>
        <v>1</v>
      </c>
      <c r="BZ50" s="1" t="n">
        <f aca="false">IF(AND('Daily Workforce'!$N67="Y",'Daily Workforce'!$B67&lt;&gt;"",COUNTIF('Daily Schedule'!$F$5:$F53,'Daily Workforce'!$B67)=0,IF('Daily Schedule'!$A54=45,'Daily Workforce'!$J67="Y",IF(OR('Daily Schedule'!$A54=4,'Daily Schedule'!$A54=8),IF(OR(WEEKDAY('Daily Schedule'!$B$2,2)=1,WEEKDAY('Daily Schedule'!$B$2,2)=4,WEEKDAY('Daily Schedule'!$B$2,2)=5,WEEKDAY('Daily Schedule'!$B$2,2)=7),IFERROR(1*'Daily Workforce'!$K67&gt;=3,FALSE()),IFERROR(1*'Daily Workforce'!$K67&gt;=2,FALSE())),IF(AND('Daily Schedule'!$A54&gt;=46,'Daily Schedule'!$A54&lt;=52),'Daily Workforce'!$M67="Y",IFERROR(1*'Daily Workforce'!$P67&gt;=2,FALSE()))))),1,0)</f>
        <v>1</v>
      </c>
      <c r="CA50" s="1" t="n">
        <f aca="false">IF(AND('Daily Workforce'!$N68="Y",'Daily Workforce'!$B68&lt;&gt;"",COUNTIF('Daily Schedule'!$F$5:$F53,'Daily Workforce'!$B68)=0,IF('Daily Schedule'!$A54=45,'Daily Workforce'!$J68="Y",IF(OR('Daily Schedule'!$A54=4,'Daily Schedule'!$A54=8),IF(OR(WEEKDAY('Daily Schedule'!$B$2,2)=1,WEEKDAY('Daily Schedule'!$B$2,2)=4,WEEKDAY('Daily Schedule'!$B$2,2)=5,WEEKDAY('Daily Schedule'!$B$2,2)=7),IFERROR(1*'Daily Workforce'!$K68&gt;=3,FALSE()),IFERROR(1*'Daily Workforce'!$K68&gt;=2,FALSE())),IF(AND('Daily Schedule'!$A54&gt;=46,'Daily Schedule'!$A54&lt;=52),'Daily Workforce'!$M68="Y",IFERROR(1*'Daily Workforce'!$P68&gt;=2,FALSE()))))),1,0)</f>
        <v>1</v>
      </c>
      <c r="CB50" s="1" t="n">
        <f aca="false">IF(AND('Daily Workforce'!$N69="Y",'Daily Workforce'!$B69&lt;&gt;"",COUNTIF('Daily Schedule'!$F$5:$F53,'Daily Workforce'!$B69)=0,IF('Daily Schedule'!$A54=45,'Daily Workforce'!$J69="Y",IF(OR('Daily Schedule'!$A54=4,'Daily Schedule'!$A54=8),IF(OR(WEEKDAY('Daily Schedule'!$B$2,2)=1,WEEKDAY('Daily Schedule'!$B$2,2)=4,WEEKDAY('Daily Schedule'!$B$2,2)=5,WEEKDAY('Daily Schedule'!$B$2,2)=7),IFERROR(1*'Daily Workforce'!$K69&gt;=3,FALSE()),IFERROR(1*'Daily Workforce'!$K69&gt;=2,FALSE())),IF(AND('Daily Schedule'!$A54&gt;=46,'Daily Schedule'!$A54&lt;=52),'Daily Workforce'!$M69="Y",IFERROR(1*'Daily Workforce'!$P69&gt;=2,FALSE()))))),1,0)</f>
        <v>1</v>
      </c>
      <c r="CC50" s="1" t="n">
        <f aca="false">IF(AND('Daily Workforce'!$N70="Y",'Daily Workforce'!$B70&lt;&gt;"",COUNTIF('Daily Schedule'!$F$5:$F53,'Daily Workforce'!$B70)=0,IF('Daily Schedule'!$A54=45,'Daily Workforce'!$J70="Y",IF(OR('Daily Schedule'!$A54=4,'Daily Schedule'!$A54=8),IF(OR(WEEKDAY('Daily Schedule'!$B$2,2)=1,WEEKDAY('Daily Schedule'!$B$2,2)=4,WEEKDAY('Daily Schedule'!$B$2,2)=5,WEEKDAY('Daily Schedule'!$B$2,2)=7),IFERROR(1*'Daily Workforce'!$K70&gt;=3,FALSE()),IFERROR(1*'Daily Workforce'!$K70&gt;=2,FALSE())),IF(AND('Daily Schedule'!$A54&gt;=46,'Daily Schedule'!$A54&lt;=52),'Daily Workforce'!$M70="Y",IFERROR(1*'Daily Workforce'!$P70&gt;=2,FALSE()))))),1,0)</f>
        <v>1</v>
      </c>
      <c r="CD50" s="1" t="n">
        <f aca="false">IF(AND('Daily Workforce'!$N71="Y",'Daily Workforce'!$B71&lt;&gt;"",COUNTIF('Daily Schedule'!$F$5:$F53,'Daily Workforce'!$B71)=0,IF('Daily Schedule'!$A54=45,'Daily Workforce'!$J71="Y",IF(OR('Daily Schedule'!$A54=4,'Daily Schedule'!$A54=8),IF(OR(WEEKDAY('Daily Schedule'!$B$2,2)=1,WEEKDAY('Daily Schedule'!$B$2,2)=4,WEEKDAY('Daily Schedule'!$B$2,2)=5,WEEKDAY('Daily Schedule'!$B$2,2)=7),IFERROR(1*'Daily Workforce'!$K71&gt;=3,FALSE()),IFERROR(1*'Daily Workforce'!$K71&gt;=2,FALSE())),IF(AND('Daily Schedule'!$A54&gt;=46,'Daily Schedule'!$A54&lt;=52),'Daily Workforce'!$M71="Y",IFERROR(1*'Daily Workforce'!$P71&gt;=2,FALSE()))))),1,0)</f>
        <v>1</v>
      </c>
      <c r="CE50" s="1" t="n">
        <f aca="false">IF(AND('Daily Workforce'!$N72="Y",'Daily Workforce'!$B72&lt;&gt;"",COUNTIF('Daily Schedule'!$F$5:$F53,'Daily Workforce'!$B72)=0,IF('Daily Schedule'!$A54=45,'Daily Workforce'!$J72="Y",IF(OR('Daily Schedule'!$A54=4,'Daily Schedule'!$A54=8),IF(OR(WEEKDAY('Daily Schedule'!$B$2,2)=1,WEEKDAY('Daily Schedule'!$B$2,2)=4,WEEKDAY('Daily Schedule'!$B$2,2)=5,WEEKDAY('Daily Schedule'!$B$2,2)=7),IFERROR(1*'Daily Workforce'!$K72&gt;=3,FALSE()),IFERROR(1*'Daily Workforce'!$K72&gt;=2,FALSE())),IF(AND('Daily Schedule'!$A54&gt;=46,'Daily Schedule'!$A54&lt;=52),'Daily Workforce'!$M72="Y",IFERROR(1*'Daily Workforce'!$P72&gt;=2,FALSE()))))),1,0)</f>
        <v>1</v>
      </c>
      <c r="CF50" s="1" t="n">
        <f aca="false">IF(AND('Daily Workforce'!$N73="Y",'Daily Workforce'!$B73&lt;&gt;"",COUNTIF('Daily Schedule'!$F$5:$F53,'Daily Workforce'!$B73)=0,IF('Daily Schedule'!$A54=45,'Daily Workforce'!$J73="Y",IF(OR('Daily Schedule'!$A54=4,'Daily Schedule'!$A54=8),IF(OR(WEEKDAY('Daily Schedule'!$B$2,2)=1,WEEKDAY('Daily Schedule'!$B$2,2)=4,WEEKDAY('Daily Schedule'!$B$2,2)=5,WEEKDAY('Daily Schedule'!$B$2,2)=7),IFERROR(1*'Daily Workforce'!$K73&gt;=3,FALSE()),IFERROR(1*'Daily Workforce'!$K73&gt;=2,FALSE())),IF(AND('Daily Schedule'!$A54&gt;=46,'Daily Schedule'!$A54&lt;=52),'Daily Workforce'!$M73="Y",IFERROR(1*'Daily Workforce'!$P73&gt;=2,FALSE()))))),1,0)</f>
        <v>1</v>
      </c>
      <c r="CG50" s="1" t="n">
        <f aca="false">IF(AND('Daily Workforce'!$N74="Y",'Daily Workforce'!$B74&lt;&gt;"",COUNTIF('Daily Schedule'!$F$5:$F53,'Daily Workforce'!$B74)=0,IF('Daily Schedule'!$A54=45,'Daily Workforce'!$J74="Y",IF(OR('Daily Schedule'!$A54=4,'Daily Schedule'!$A54=8),IF(OR(WEEKDAY('Daily Schedule'!$B$2,2)=1,WEEKDAY('Daily Schedule'!$B$2,2)=4,WEEKDAY('Daily Schedule'!$B$2,2)=5,WEEKDAY('Daily Schedule'!$B$2,2)=7),IFERROR(1*'Daily Workforce'!$K74&gt;=3,FALSE()),IFERROR(1*'Daily Workforce'!$K74&gt;=2,FALSE())),IF(AND('Daily Schedule'!$A54&gt;=46,'Daily Schedule'!$A54&lt;=52),'Daily Workforce'!$M74="Y",IFERROR(1*'Daily Workforce'!$P74&gt;=2,FALSE()))))),1,0)</f>
        <v>1</v>
      </c>
      <c r="CH50" s="1" t="n">
        <f aca="false">IF(AND('Daily Workforce'!$N75="Y",'Daily Workforce'!$B75&lt;&gt;"",COUNTIF('Daily Schedule'!$F$5:$F53,'Daily Workforce'!$B75)=0,IF('Daily Schedule'!$A54=45,'Daily Workforce'!$J75="Y",IF(OR('Daily Schedule'!$A54=4,'Daily Schedule'!$A54=8),IF(OR(WEEKDAY('Daily Schedule'!$B$2,2)=1,WEEKDAY('Daily Schedule'!$B$2,2)=4,WEEKDAY('Daily Schedule'!$B$2,2)=5,WEEKDAY('Daily Schedule'!$B$2,2)=7),IFERROR(1*'Daily Workforce'!$K75&gt;=3,FALSE()),IFERROR(1*'Daily Workforce'!$K75&gt;=2,FALSE())),IF(AND('Daily Schedule'!$A54&gt;=46,'Daily Schedule'!$A54&lt;=52),'Daily Workforce'!$M75="Y",IFERROR(1*'Daily Workforce'!$P75&gt;=2,FALSE()))))),1,0)</f>
        <v>1</v>
      </c>
      <c r="CI50" s="1" t="n">
        <f aca="false">IF(AND('Daily Workforce'!$N76="Y",'Daily Workforce'!$B76&lt;&gt;"",COUNTIF('Daily Schedule'!$F$5:$F53,'Daily Workforce'!$B76)=0,IF('Daily Schedule'!$A54=45,'Daily Workforce'!$J76="Y",IF(OR('Daily Schedule'!$A54=4,'Daily Schedule'!$A54=8),IF(OR(WEEKDAY('Daily Schedule'!$B$2,2)=1,WEEKDAY('Daily Schedule'!$B$2,2)=4,WEEKDAY('Daily Schedule'!$B$2,2)=5,WEEKDAY('Daily Schedule'!$B$2,2)=7),IFERROR(1*'Daily Workforce'!$K76&gt;=3,FALSE()),IFERROR(1*'Daily Workforce'!$K76&gt;=2,FALSE())),IF(AND('Daily Schedule'!$A54&gt;=46,'Daily Schedule'!$A54&lt;=52),'Daily Workforce'!$M76="Y",IFERROR(1*'Daily Workforce'!$P76&gt;=2,FALSE()))))),1,0)</f>
        <v>1</v>
      </c>
      <c r="CJ50" s="1" t="n">
        <f aca="false">IF(AND('Daily Workforce'!$N77="Y",'Daily Workforce'!$B77&lt;&gt;"",COUNTIF('Daily Schedule'!$F$5:$F53,'Daily Workforce'!$B77)=0,IF('Daily Schedule'!$A54=45,'Daily Workforce'!$J77="Y",IF(OR('Daily Schedule'!$A54=4,'Daily Schedule'!$A54=8),IF(OR(WEEKDAY('Daily Schedule'!$B$2,2)=1,WEEKDAY('Daily Schedule'!$B$2,2)=4,WEEKDAY('Daily Schedule'!$B$2,2)=5,WEEKDAY('Daily Schedule'!$B$2,2)=7),IFERROR(1*'Daily Workforce'!$K77&gt;=3,FALSE()),IFERROR(1*'Daily Workforce'!$K77&gt;=2,FALSE())),IF(AND('Daily Schedule'!$A54&gt;=46,'Daily Schedule'!$A54&lt;=52),'Daily Workforce'!$M77="Y",IFERROR(1*'Daily Workforce'!$P77&gt;=2,FALSE()))))),1,0)</f>
        <v>1</v>
      </c>
      <c r="CK50" s="1" t="n">
        <f aca="false">IF(AND('Daily Workforce'!$N78="Y",'Daily Workforce'!$B78&lt;&gt;"",COUNTIF('Daily Schedule'!$F$5:$F53,'Daily Workforce'!$B78)=0,IF('Daily Schedule'!$A54=45,'Daily Workforce'!$J78="Y",IF(OR('Daily Schedule'!$A54=4,'Daily Schedule'!$A54=8),IF(OR(WEEKDAY('Daily Schedule'!$B$2,2)=1,WEEKDAY('Daily Schedule'!$B$2,2)=4,WEEKDAY('Daily Schedule'!$B$2,2)=5,WEEKDAY('Daily Schedule'!$B$2,2)=7),IFERROR(1*'Daily Workforce'!$K78&gt;=3,FALSE()),IFERROR(1*'Daily Workforce'!$K78&gt;=2,FALSE())),IF(AND('Daily Schedule'!$A54&gt;=46,'Daily Schedule'!$A54&lt;=52),'Daily Workforce'!$M78="Y",IFERROR(1*'Daily Workforce'!$P78&gt;=2,FALSE()))))),1,0)</f>
        <v>1</v>
      </c>
      <c r="CL50" s="1" t="n">
        <f aca="false">IF(AND('Daily Workforce'!$N79="Y",'Daily Workforce'!$B79&lt;&gt;"",COUNTIF('Daily Schedule'!$F$5:$F53,'Daily Workforce'!$B79)=0,IF('Daily Schedule'!$A54=45,'Daily Workforce'!$J79="Y",IF(OR('Daily Schedule'!$A54=4,'Daily Schedule'!$A54=8),IF(OR(WEEKDAY('Daily Schedule'!$B$2,2)=1,WEEKDAY('Daily Schedule'!$B$2,2)=4,WEEKDAY('Daily Schedule'!$B$2,2)=5,WEEKDAY('Daily Schedule'!$B$2,2)=7),IFERROR(1*'Daily Workforce'!$K79&gt;=3,FALSE()),IFERROR(1*'Daily Workforce'!$K79&gt;=2,FALSE())),IF(AND('Daily Schedule'!$A54&gt;=46,'Daily Schedule'!$A54&lt;=52),'Daily Workforce'!$M79="Y",IFERROR(1*'Daily Workforce'!$P79&gt;=2,FALSE()))))),1,0)</f>
        <v>1</v>
      </c>
      <c r="CM50" s="1" t="n">
        <f aca="false">IF(AND('Daily Workforce'!$N80="Y",'Daily Workforce'!$B80&lt;&gt;"",COUNTIF('Daily Schedule'!$F$5:$F53,'Daily Workforce'!$B80)=0,IF('Daily Schedule'!$A54=45,'Daily Workforce'!$J80="Y",IF(OR('Daily Schedule'!$A54=4,'Daily Schedule'!$A54=8),IF(OR(WEEKDAY('Daily Schedule'!$B$2,2)=1,WEEKDAY('Daily Schedule'!$B$2,2)=4,WEEKDAY('Daily Schedule'!$B$2,2)=5,WEEKDAY('Daily Schedule'!$B$2,2)=7),IFERROR(1*'Daily Workforce'!$K80&gt;=3,FALSE()),IFERROR(1*'Daily Workforce'!$K80&gt;=2,FALSE())),IF(AND('Daily Schedule'!$A54&gt;=46,'Daily Schedule'!$A54&lt;=52),'Daily Workforce'!$M80="Y",IFERROR(1*'Daily Workforce'!$P80&gt;=2,FALSE()))))),1,0)</f>
        <v>1</v>
      </c>
      <c r="CN50" s="1" t="n">
        <f aca="false">IF(AND('Daily Workforce'!$N81="Y",'Daily Workforce'!$B81&lt;&gt;"",COUNTIF('Daily Schedule'!$F$5:$F53,'Daily Workforce'!$B81)=0,IF('Daily Schedule'!$A54=45,'Daily Workforce'!$J81="Y",IF(OR('Daily Schedule'!$A54=4,'Daily Schedule'!$A54=8),IF(OR(WEEKDAY('Daily Schedule'!$B$2,2)=1,WEEKDAY('Daily Schedule'!$B$2,2)=4,WEEKDAY('Daily Schedule'!$B$2,2)=5,WEEKDAY('Daily Schedule'!$B$2,2)=7),IFERROR(1*'Daily Workforce'!$K81&gt;=3,FALSE()),IFERROR(1*'Daily Workforce'!$K81&gt;=2,FALSE())),IF(AND('Daily Schedule'!$A54&gt;=46,'Daily Schedule'!$A54&lt;=52),'Daily Workforce'!$M81="Y",IFERROR(1*'Daily Workforce'!$P81&gt;=2,FALSE()))))),1,0)</f>
        <v>1</v>
      </c>
      <c r="CO50" s="1" t="n">
        <f aca="false">IF(AND('Daily Workforce'!$N82="Y",'Daily Workforce'!$B82&lt;&gt;"",COUNTIF('Daily Schedule'!$F$5:$F53,'Daily Workforce'!$B82)=0,IF('Daily Schedule'!$A54=45,'Daily Workforce'!$J82="Y",IF(OR('Daily Schedule'!$A54=4,'Daily Schedule'!$A54=8),IF(OR(WEEKDAY('Daily Schedule'!$B$2,2)=1,WEEKDAY('Daily Schedule'!$B$2,2)=4,WEEKDAY('Daily Schedule'!$B$2,2)=5,WEEKDAY('Daily Schedule'!$B$2,2)=7),IFERROR(1*'Daily Workforce'!$K82&gt;=3,FALSE()),IFERROR(1*'Daily Workforce'!$K82&gt;=2,FALSE())),IF(AND('Daily Schedule'!$A54&gt;=46,'Daily Schedule'!$A54&lt;=52),'Daily Workforce'!$M82="Y",IFERROR(1*'Daily Workforce'!$P82&gt;=2,FALSE()))))),1,0)</f>
        <v>1</v>
      </c>
      <c r="CP50" s="1" t="n">
        <f aca="false">IF(AND('Daily Workforce'!$N83="Y",'Daily Workforce'!$B83&lt;&gt;"",COUNTIF('Daily Schedule'!$F$5:$F53,'Daily Workforce'!$B83)=0,IF('Daily Schedule'!$A54=45,'Daily Workforce'!$J83="Y",IF(OR('Daily Schedule'!$A54=4,'Daily Schedule'!$A54=8),IF(OR(WEEKDAY('Daily Schedule'!$B$2,2)=1,WEEKDAY('Daily Schedule'!$B$2,2)=4,WEEKDAY('Daily Schedule'!$B$2,2)=5,WEEKDAY('Daily Schedule'!$B$2,2)=7),IFERROR(1*'Daily Workforce'!$K83&gt;=3,FALSE()),IFERROR(1*'Daily Workforce'!$K83&gt;=2,FALSE())),IF(AND('Daily Schedule'!$A54&gt;=46,'Daily Schedule'!$A54&lt;=52),'Daily Workforce'!$M83="Y",IFERROR(1*'Daily Workforce'!$P83&gt;=2,FALSE()))))),1,0)</f>
        <v>0</v>
      </c>
      <c r="CQ50" s="1" t="n">
        <f aca="false">IF(AND('Daily Workforce'!$N84="Y",'Daily Workforce'!$B84&lt;&gt;"",COUNTIF('Daily Schedule'!$F$5:$F53,'Daily Workforce'!$B84)=0,IF('Daily Schedule'!$A54=45,'Daily Workforce'!$J84="Y",IF(OR('Daily Schedule'!$A54=4,'Daily Schedule'!$A54=8),IF(OR(WEEKDAY('Daily Schedule'!$B$2,2)=1,WEEKDAY('Daily Schedule'!$B$2,2)=4,WEEKDAY('Daily Schedule'!$B$2,2)=5,WEEKDAY('Daily Schedule'!$B$2,2)=7),IFERROR(1*'Daily Workforce'!$K84&gt;=3,FALSE()),IFERROR(1*'Daily Workforce'!$K84&gt;=2,FALSE())),IF(AND('Daily Schedule'!$A54&gt;=46,'Daily Schedule'!$A54&lt;=52),'Daily Workforce'!$M84="Y",IFERROR(1*'Daily Workforce'!$P84&gt;=2,FALSE()))))),1,0)</f>
        <v>1</v>
      </c>
      <c r="CR50" s="1" t="n">
        <f aca="false">IF(AND('Daily Workforce'!$N85="Y",'Daily Workforce'!$B85&lt;&gt;"",COUNTIF('Daily Schedule'!$F$5:$F53,'Daily Workforce'!$B85)=0,IF('Daily Schedule'!$A54=45,'Daily Workforce'!$J85="Y",IF(OR('Daily Schedule'!$A54=4,'Daily Schedule'!$A54=8),IF(OR(WEEKDAY('Daily Schedule'!$B$2,2)=1,WEEKDAY('Daily Schedule'!$B$2,2)=4,WEEKDAY('Daily Schedule'!$B$2,2)=5,WEEKDAY('Daily Schedule'!$B$2,2)=7),IFERROR(1*'Daily Workforce'!$K85&gt;=3,FALSE()),IFERROR(1*'Daily Workforce'!$K85&gt;=2,FALSE())),IF(AND('Daily Schedule'!$A54&gt;=46,'Daily Schedule'!$A54&lt;=52),'Daily Workforce'!$M85="Y",IFERROR(1*'Daily Workforce'!$P85&gt;=2,FALSE()))))),1,0)</f>
        <v>0</v>
      </c>
      <c r="CS50" s="1" t="n">
        <f aca="false">IF(AND('Daily Workforce'!$N86="Y",'Daily Workforce'!$B86&lt;&gt;"",COUNTIF('Daily Schedule'!$F$5:$F53,'Daily Workforce'!$B86)=0,IF('Daily Schedule'!$A54=45,'Daily Workforce'!$J86="Y",IF(OR('Daily Schedule'!$A54=4,'Daily Schedule'!$A54=8),IF(OR(WEEKDAY('Daily Schedule'!$B$2,2)=1,WEEKDAY('Daily Schedule'!$B$2,2)=4,WEEKDAY('Daily Schedule'!$B$2,2)=5,WEEKDAY('Daily Schedule'!$B$2,2)=7),IFERROR(1*'Daily Workforce'!$K86&gt;=3,FALSE()),IFERROR(1*'Daily Workforce'!$K86&gt;=2,FALSE())),IF(AND('Daily Schedule'!$A54&gt;=46,'Daily Schedule'!$A54&lt;=52),'Daily Workforce'!$M86="Y",IFERROR(1*'Daily Workforce'!$P86&gt;=2,FALSE()))))),1,0)</f>
        <v>1</v>
      </c>
      <c r="CT50" s="1" t="n">
        <f aca="false">IF(AND('Daily Workforce'!$N87="Y",'Daily Workforce'!$B87&lt;&gt;"",COUNTIF('Daily Schedule'!$F$5:$F53,'Daily Workforce'!$B87)=0,IF('Daily Schedule'!$A54=45,'Daily Workforce'!$J87="Y",IF(OR('Daily Schedule'!$A54=4,'Daily Schedule'!$A54=8),IF(OR(WEEKDAY('Daily Schedule'!$B$2,2)=1,WEEKDAY('Daily Schedule'!$B$2,2)=4,WEEKDAY('Daily Schedule'!$B$2,2)=5,WEEKDAY('Daily Schedule'!$B$2,2)=7),IFERROR(1*'Daily Workforce'!$K87&gt;=3,FALSE()),IFERROR(1*'Daily Workforce'!$K87&gt;=2,FALSE())),IF(AND('Daily Schedule'!$A54&gt;=46,'Daily Schedule'!$A54&lt;=52),'Daily Workforce'!$M87="Y",IFERROR(1*'Daily Workforce'!$P87&gt;=2,FALSE()))))),1,0)</f>
        <v>1</v>
      </c>
      <c r="CU50" s="1" t="n">
        <f aca="false">IF(AND('Daily Workforce'!$N88="Y",'Daily Workforce'!$B88&lt;&gt;"",COUNTIF('Daily Schedule'!$F$5:$F53,'Daily Workforce'!$B88)=0,IF('Daily Schedule'!$A54=45,'Daily Workforce'!$J88="Y",IF(OR('Daily Schedule'!$A54=4,'Daily Schedule'!$A54=8),IF(OR(WEEKDAY('Daily Schedule'!$B$2,2)=1,WEEKDAY('Daily Schedule'!$B$2,2)=4,WEEKDAY('Daily Schedule'!$B$2,2)=5,WEEKDAY('Daily Schedule'!$B$2,2)=7),IFERROR(1*'Daily Workforce'!$K88&gt;=3,FALSE()),IFERROR(1*'Daily Workforce'!$K88&gt;=2,FALSE())),IF(AND('Daily Schedule'!$A54&gt;=46,'Daily Schedule'!$A54&lt;=52),'Daily Workforce'!$M88="Y",IFERROR(1*'Daily Workforce'!$P88&gt;=2,FALSE()))))),1,0)</f>
        <v>1</v>
      </c>
      <c r="CV50" s="1" t="n">
        <f aca="false">IF(AND('Daily Workforce'!$N89="Y",'Daily Workforce'!$B89&lt;&gt;"",COUNTIF('Daily Schedule'!$F$5:$F53,'Daily Workforce'!$B89)=0,IF('Daily Schedule'!$A54=45,'Daily Workforce'!$J89="Y",IF(OR('Daily Schedule'!$A54=4,'Daily Schedule'!$A54=8),IF(OR(WEEKDAY('Daily Schedule'!$B$2,2)=1,WEEKDAY('Daily Schedule'!$B$2,2)=4,WEEKDAY('Daily Schedule'!$B$2,2)=5,WEEKDAY('Daily Schedule'!$B$2,2)=7),IFERROR(1*'Daily Workforce'!$K89&gt;=3,FALSE()),IFERROR(1*'Daily Workforce'!$K89&gt;=2,FALSE())),IF(AND('Daily Schedule'!$A54&gt;=46,'Daily Schedule'!$A54&lt;=52),'Daily Workforce'!$M89="Y",IFERROR(1*'Daily Workforce'!$P89&gt;=2,FALSE()))))),1,0)</f>
        <v>1</v>
      </c>
      <c r="CW50" s="1" t="n">
        <f aca="false">IF(AND('Daily Workforce'!$N90="Y",'Daily Workforce'!$B90&lt;&gt;"",COUNTIF('Daily Schedule'!$F$5:$F53,'Daily Workforce'!$B90)=0,IF('Daily Schedule'!$A54=45,'Daily Workforce'!$J90="Y",IF(OR('Daily Schedule'!$A54=4,'Daily Schedule'!$A54=8),IF(OR(WEEKDAY('Daily Schedule'!$B$2,2)=1,WEEKDAY('Daily Schedule'!$B$2,2)=4,WEEKDAY('Daily Schedule'!$B$2,2)=5,WEEKDAY('Daily Schedule'!$B$2,2)=7),IFERROR(1*'Daily Workforce'!$K90&gt;=3,FALSE()),IFERROR(1*'Daily Workforce'!$K90&gt;=2,FALSE())),IF(AND('Daily Schedule'!$A54&gt;=46,'Daily Schedule'!$A54&lt;=52),'Daily Workforce'!$M90="Y",IFERROR(1*'Daily Workforce'!$P90&gt;=2,FALSE()))))),1,0)</f>
        <v>1</v>
      </c>
      <c r="CX50" s="1" t="n">
        <f aca="false">IF(AND('Daily Workforce'!$N91="Y",'Daily Workforce'!$B91&lt;&gt;"",COUNTIF('Daily Schedule'!$F$5:$F53,'Daily Workforce'!$B91)=0,IF('Daily Schedule'!$A54=45,'Daily Workforce'!$J91="Y",IF(OR('Daily Schedule'!$A54=4,'Daily Schedule'!$A54=8),IF(OR(WEEKDAY('Daily Schedule'!$B$2,2)=1,WEEKDAY('Daily Schedule'!$B$2,2)=4,WEEKDAY('Daily Schedule'!$B$2,2)=5,WEEKDAY('Daily Schedule'!$B$2,2)=7),IFERROR(1*'Daily Workforce'!$K91&gt;=3,FALSE()),IFERROR(1*'Daily Workforce'!$K91&gt;=2,FALSE())),IF(AND('Daily Schedule'!$A54&gt;=46,'Daily Schedule'!$A54&lt;=52),'Daily Workforce'!$M91="Y",IFERROR(1*'Daily Workforce'!$P91&gt;=2,FALSE()))))),1,0)</f>
        <v>1</v>
      </c>
      <c r="CY50" s="1" t="n">
        <f aca="false">IF(AND('Daily Workforce'!$N92="Y",'Daily Workforce'!$B92&lt;&gt;"",COUNTIF('Daily Schedule'!$F$5:$F53,'Daily Workforce'!$B92)=0,IF('Daily Schedule'!$A54=45,'Daily Workforce'!$J92="Y",IF(OR('Daily Schedule'!$A54=4,'Daily Schedule'!$A54=8),IF(OR(WEEKDAY('Daily Schedule'!$B$2,2)=1,WEEKDAY('Daily Schedule'!$B$2,2)=4,WEEKDAY('Daily Schedule'!$B$2,2)=5,WEEKDAY('Daily Schedule'!$B$2,2)=7),IFERROR(1*'Daily Workforce'!$K92&gt;=3,FALSE()),IFERROR(1*'Daily Workforce'!$K92&gt;=2,FALSE())),IF(AND('Daily Schedule'!$A54&gt;=46,'Daily Schedule'!$A54&lt;=52),'Daily Workforce'!$M92="Y",IFERROR(1*'Daily Workforce'!$P92&gt;=2,FALSE()))))),1,0)</f>
        <v>1</v>
      </c>
      <c r="CZ50" s="1" t="n">
        <f aca="false">IF(AND('Daily Workforce'!$N93="Y",'Daily Workforce'!$B93&lt;&gt;"",COUNTIF('Daily Schedule'!$F$5:$F53,'Daily Workforce'!$B93)=0,IF('Daily Schedule'!$A54=45,'Daily Workforce'!$J93="Y",IF(OR('Daily Schedule'!$A54=4,'Daily Schedule'!$A54=8),IF(OR(WEEKDAY('Daily Schedule'!$B$2,2)=1,WEEKDAY('Daily Schedule'!$B$2,2)=4,WEEKDAY('Daily Schedule'!$B$2,2)=5,WEEKDAY('Daily Schedule'!$B$2,2)=7),IFERROR(1*'Daily Workforce'!$K93&gt;=3,FALSE()),IFERROR(1*'Daily Workforce'!$K93&gt;=2,FALSE())),IF(AND('Daily Schedule'!$A54&gt;=46,'Daily Schedule'!$A54&lt;=52),'Daily Workforce'!$M93="Y",IFERROR(1*'Daily Workforce'!$P93&gt;=2,FALSE()))))),1,0)</f>
        <v>1</v>
      </c>
      <c r="DA50" s="1" t="n">
        <f aca="false">IF(AND('Daily Workforce'!$N94="Y",'Daily Workforce'!$B94&lt;&gt;"",COUNTIF('Daily Schedule'!$F$5:$F53,'Daily Workforce'!$B94)=0,IF('Daily Schedule'!$A54=45,'Daily Workforce'!$J94="Y",IF(OR('Daily Schedule'!$A54=4,'Daily Schedule'!$A54=8),IF(OR(WEEKDAY('Daily Schedule'!$B$2,2)=1,WEEKDAY('Daily Schedule'!$B$2,2)=4,WEEKDAY('Daily Schedule'!$B$2,2)=5,WEEKDAY('Daily Schedule'!$B$2,2)=7),IFERROR(1*'Daily Workforce'!$K94&gt;=3,FALSE()),IFERROR(1*'Daily Workforce'!$K94&gt;=2,FALSE())),IF(AND('Daily Schedule'!$A54&gt;=46,'Daily Schedule'!$A54&lt;=52),'Daily Workforce'!$M94="Y",IFERROR(1*'Daily Workforce'!$P94&gt;=2,FALSE()))))),1,0)</f>
        <v>1</v>
      </c>
      <c r="DB50" s="1" t="n">
        <f aca="false">IF(AND('Daily Workforce'!$N95="Y",'Daily Workforce'!$B95&lt;&gt;"",COUNTIF('Daily Schedule'!$F$5:$F53,'Daily Workforce'!$B95)=0,IF('Daily Schedule'!$A54=45,'Daily Workforce'!$J95="Y",IF(OR('Daily Schedule'!$A54=4,'Daily Schedule'!$A54=8),IF(OR(WEEKDAY('Daily Schedule'!$B$2,2)=1,WEEKDAY('Daily Schedule'!$B$2,2)=4,WEEKDAY('Daily Schedule'!$B$2,2)=5,WEEKDAY('Daily Schedule'!$B$2,2)=7),IFERROR(1*'Daily Workforce'!$K95&gt;=3,FALSE()),IFERROR(1*'Daily Workforce'!$K95&gt;=2,FALSE())),IF(AND('Daily Schedule'!$A54&gt;=46,'Daily Schedule'!$A54&lt;=52),'Daily Workforce'!$M95="Y",IFERROR(1*'Daily Workforce'!$P95&gt;=2,FALSE()))))),1,0)</f>
        <v>1</v>
      </c>
      <c r="DC50" s="1" t="n">
        <f aca="false">IF(AND('Daily Workforce'!$N96="Y",'Daily Workforce'!$B96&lt;&gt;"",COUNTIF('Daily Schedule'!$F$5:$F53,'Daily Workforce'!$B96)=0,IF('Daily Schedule'!$A54=45,'Daily Workforce'!$J96="Y",IF(OR('Daily Schedule'!$A54=4,'Daily Schedule'!$A54=8),IF(OR(WEEKDAY('Daily Schedule'!$B$2,2)=1,WEEKDAY('Daily Schedule'!$B$2,2)=4,WEEKDAY('Daily Schedule'!$B$2,2)=5,WEEKDAY('Daily Schedule'!$B$2,2)=7),IFERROR(1*'Daily Workforce'!$K96&gt;=3,FALSE()),IFERROR(1*'Daily Workforce'!$K96&gt;=2,FALSE())),IF(AND('Daily Schedule'!$A54&gt;=46,'Daily Schedule'!$A54&lt;=52),'Daily Workforce'!$M96="Y",IFERROR(1*'Daily Workforce'!$P96&gt;=2,FALSE()))))),1,0)</f>
        <v>1</v>
      </c>
      <c r="DD50" s="1" t="n">
        <f aca="false">IF(AND('Daily Workforce'!$N97="Y",'Daily Workforce'!$B97&lt;&gt;"",COUNTIF('Daily Schedule'!$F$5:$F53,'Daily Workforce'!$B97)=0,IF('Daily Schedule'!$A54=45,'Daily Workforce'!$J97="Y",IF(OR('Daily Schedule'!$A54=4,'Daily Schedule'!$A54=8),IF(OR(WEEKDAY('Daily Schedule'!$B$2,2)=1,WEEKDAY('Daily Schedule'!$B$2,2)=4,WEEKDAY('Daily Schedule'!$B$2,2)=5,WEEKDAY('Daily Schedule'!$B$2,2)=7),IFERROR(1*'Daily Workforce'!$K97&gt;=3,FALSE()),IFERROR(1*'Daily Workforce'!$K97&gt;=2,FALSE())),IF(AND('Daily Schedule'!$A54&gt;=46,'Daily Schedule'!$A54&lt;=52),'Daily Workforce'!$M97="Y",IFERROR(1*'Daily Workforce'!$P97&gt;=2,FALSE()))))),1,0)</f>
        <v>1</v>
      </c>
      <c r="DE50" s="1" t="n">
        <f aca="false">IF(AND('Daily Workforce'!$N98="Y",'Daily Workforce'!$B98&lt;&gt;"",COUNTIF('Daily Schedule'!$F$5:$F53,'Daily Workforce'!$B98)=0,IF('Daily Schedule'!$A54=45,'Daily Workforce'!$J98="Y",IF(OR('Daily Schedule'!$A54=4,'Daily Schedule'!$A54=8),IF(OR(WEEKDAY('Daily Schedule'!$B$2,2)=1,WEEKDAY('Daily Schedule'!$B$2,2)=4,WEEKDAY('Daily Schedule'!$B$2,2)=5,WEEKDAY('Daily Schedule'!$B$2,2)=7),IFERROR(1*'Daily Workforce'!$K98&gt;=3,FALSE()),IFERROR(1*'Daily Workforce'!$K98&gt;=2,FALSE())),IF(AND('Daily Schedule'!$A54&gt;=46,'Daily Schedule'!$A54&lt;=52),'Daily Workforce'!$M98="Y",IFERROR(1*'Daily Workforce'!$P98&gt;=2,FALSE()))))),1,0)</f>
        <v>1</v>
      </c>
      <c r="DF50" s="1" t="n">
        <f aca="false">IF(AND('Daily Workforce'!$N99="Y",'Daily Workforce'!$B99&lt;&gt;"",COUNTIF('Daily Schedule'!$F$5:$F53,'Daily Workforce'!$B99)=0,IF('Daily Schedule'!$A54=45,'Daily Workforce'!$J99="Y",IF(OR('Daily Schedule'!$A54=4,'Daily Schedule'!$A54=8),IF(OR(WEEKDAY('Daily Schedule'!$B$2,2)=1,WEEKDAY('Daily Schedule'!$B$2,2)=4,WEEKDAY('Daily Schedule'!$B$2,2)=5,WEEKDAY('Daily Schedule'!$B$2,2)=7),IFERROR(1*'Daily Workforce'!$K99&gt;=3,FALSE()),IFERROR(1*'Daily Workforce'!$K99&gt;=2,FALSE())),IF(AND('Daily Schedule'!$A54&gt;=46,'Daily Schedule'!$A54&lt;=52),'Daily Workforce'!$M99="Y",IFERROR(1*'Daily Workforce'!$P99&gt;=2,FALSE()))))),1,0)</f>
        <v>1</v>
      </c>
      <c r="DG50" s="1" t="n">
        <f aca="false">IF(AND('Daily Workforce'!$N100="Y",'Daily Workforce'!$B100&lt;&gt;"",COUNTIF('Daily Schedule'!$F$5:$F53,'Daily Workforce'!$B100)=0,IF('Daily Schedule'!$A54=45,'Daily Workforce'!$J100="Y",IF(OR('Daily Schedule'!$A54=4,'Daily Schedule'!$A54=8),IF(OR(WEEKDAY('Daily Schedule'!$B$2,2)=1,WEEKDAY('Daily Schedule'!$B$2,2)=4,WEEKDAY('Daily Schedule'!$B$2,2)=5,WEEKDAY('Daily Schedule'!$B$2,2)=7),IFERROR(1*'Daily Workforce'!$K100&gt;=3,FALSE()),IFERROR(1*'Daily Workforce'!$K100&gt;=2,FALSE())),IF(AND('Daily Schedule'!$A54&gt;=46,'Daily Schedule'!$A54&lt;=52),'Daily Workforce'!$M100="Y",IFERROR(1*'Daily Workforce'!$P100&gt;=2,FALSE()))))),1,0)</f>
        <v>1</v>
      </c>
      <c r="DH50" s="1" t="n">
        <f aca="false">IF(AND('Daily Workforce'!$N101="Y",'Daily Workforce'!$B101&lt;&gt;"",COUNTIF('Daily Schedule'!$F$5:$F53,'Daily Workforce'!$B101)=0,IF('Daily Schedule'!$A54=45,'Daily Workforce'!$J101="Y",IF(OR('Daily Schedule'!$A54=4,'Daily Schedule'!$A54=8),IF(OR(WEEKDAY('Daily Schedule'!$B$2,2)=1,WEEKDAY('Daily Schedule'!$B$2,2)=4,WEEKDAY('Daily Schedule'!$B$2,2)=5,WEEKDAY('Daily Schedule'!$B$2,2)=7),IFERROR(1*'Daily Workforce'!$K101&gt;=3,FALSE()),IFERROR(1*'Daily Workforce'!$K101&gt;=2,FALSE())),IF(AND('Daily Schedule'!$A54&gt;=46,'Daily Schedule'!$A54&lt;=52),'Daily Workforce'!$M101="Y",IFERROR(1*'Daily Workforce'!$P101&gt;=2,FALSE()))))),1,0)</f>
        <v>1</v>
      </c>
      <c r="DI50" s="1" t="n">
        <f aca="false">IF(AND('Daily Workforce'!$N102="Y",'Daily Workforce'!$B102&lt;&gt;"",COUNTIF('Daily Schedule'!$F$5:$F53,'Daily Workforce'!$B102)=0,IF('Daily Schedule'!$A54=45,'Daily Workforce'!$J102="Y",IF(OR('Daily Schedule'!$A54=4,'Daily Schedule'!$A54=8),IF(OR(WEEKDAY('Daily Schedule'!$B$2,2)=1,WEEKDAY('Daily Schedule'!$B$2,2)=4,WEEKDAY('Daily Schedule'!$B$2,2)=5,WEEKDAY('Daily Schedule'!$B$2,2)=7),IFERROR(1*'Daily Workforce'!$K102&gt;=3,FALSE()),IFERROR(1*'Daily Workforce'!$K102&gt;=2,FALSE())),IF(AND('Daily Schedule'!$A54&gt;=46,'Daily Schedule'!$A54&lt;=52),'Daily Workforce'!$M102="Y",IFERROR(1*'Daily Workforce'!$P102&gt;=2,FALSE()))))),1,0)</f>
        <v>1</v>
      </c>
      <c r="DJ50" s="1" t="n">
        <f aca="false">IF(AND('Daily Workforce'!$N103="Y",'Daily Workforce'!$B103&lt;&gt;"",COUNTIF('Daily Schedule'!$F$5:$F53,'Daily Workforce'!$B103)=0,IF('Daily Schedule'!$A54=45,'Daily Workforce'!$J103="Y",IF(OR('Daily Schedule'!$A54=4,'Daily Schedule'!$A54=8),IF(OR(WEEKDAY('Daily Schedule'!$B$2,2)=1,WEEKDAY('Daily Schedule'!$B$2,2)=4,WEEKDAY('Daily Schedule'!$B$2,2)=5,WEEKDAY('Daily Schedule'!$B$2,2)=7),IFERROR(1*'Daily Workforce'!$K103&gt;=3,FALSE()),IFERROR(1*'Daily Workforce'!$K103&gt;=2,FALSE())),IF(AND('Daily Schedule'!$A54&gt;=46,'Daily Schedule'!$A54&lt;=52),'Daily Workforce'!$M103="Y",IFERROR(1*'Daily Workforce'!$P103&gt;=2,FALSE()))))),1,0)</f>
        <v>1</v>
      </c>
      <c r="DK50" s="1" t="n">
        <f aca="false">IF(AND('Daily Workforce'!$N104="Y",'Daily Workforce'!$B104&lt;&gt;"",COUNTIF('Daily Schedule'!$F$5:$F53,'Daily Workforce'!$B104)=0,IF('Daily Schedule'!$A54=45,'Daily Workforce'!$J104="Y",IF(OR('Daily Schedule'!$A54=4,'Daily Schedule'!$A54=8),IF(OR(WEEKDAY('Daily Schedule'!$B$2,2)=1,WEEKDAY('Daily Schedule'!$B$2,2)=4,WEEKDAY('Daily Schedule'!$B$2,2)=5,WEEKDAY('Daily Schedule'!$B$2,2)=7),IFERROR(1*'Daily Workforce'!$K104&gt;=3,FALSE()),IFERROR(1*'Daily Workforce'!$K104&gt;=2,FALSE())),IF(AND('Daily Schedule'!$A54&gt;=46,'Daily Schedule'!$A54&lt;=52),'Daily Workforce'!$M104="Y",IFERROR(1*'Daily Workforce'!$P104&gt;=2,FALSE()))))),1,0)</f>
        <v>1</v>
      </c>
      <c r="DL50" s="1" t="n">
        <f aca="false">IF(AND('Daily Workforce'!$N105="Y",'Daily Workforce'!$B105&lt;&gt;"",COUNTIF('Daily Schedule'!$F$5:$F53,'Daily Workforce'!$B105)=0,IF('Daily Schedule'!$A54=45,'Daily Workforce'!$J105="Y",IF(OR('Daily Schedule'!$A54=4,'Daily Schedule'!$A54=8),IF(OR(WEEKDAY('Daily Schedule'!$B$2,2)=1,WEEKDAY('Daily Schedule'!$B$2,2)=4,WEEKDAY('Daily Schedule'!$B$2,2)=5,WEEKDAY('Daily Schedule'!$B$2,2)=7),IFERROR(1*'Daily Workforce'!$K105&gt;=3,FALSE()),IFERROR(1*'Daily Workforce'!$K105&gt;=2,FALSE())),IF(AND('Daily Schedule'!$A54&gt;=46,'Daily Schedule'!$A54&lt;=52),'Daily Workforce'!$M105="Y",IFERROR(1*'Daily Workforce'!$P105&gt;=2,FALSE()))))),1,0)</f>
        <v>0</v>
      </c>
      <c r="DM50" s="1" t="n">
        <f aca="false">IF(AND('Daily Workforce'!$N106="Y",'Daily Workforce'!$B106&lt;&gt;"",COUNTIF('Daily Schedule'!$F$5:$F53,'Daily Workforce'!$B106)=0,IF('Daily Schedule'!$A54=45,'Daily Workforce'!$J106="Y",IF(OR('Daily Schedule'!$A54=4,'Daily Schedule'!$A54=8),IF(OR(WEEKDAY('Daily Schedule'!$B$2,2)=1,WEEKDAY('Daily Schedule'!$B$2,2)=4,WEEKDAY('Daily Schedule'!$B$2,2)=5,WEEKDAY('Daily Schedule'!$B$2,2)=7),IFERROR(1*'Daily Workforce'!$K106&gt;=3,FALSE()),IFERROR(1*'Daily Workforce'!$K106&gt;=2,FALSE())),IF(AND('Daily Schedule'!$A54&gt;=46,'Daily Schedule'!$A54&lt;=52),'Daily Workforce'!$M106="Y",IFERROR(1*'Daily Workforce'!$P106&gt;=2,FALSE()))))),1,0)</f>
        <v>1</v>
      </c>
      <c r="DN50" s="1" t="n">
        <f aca="false">IF(AND('Daily Workforce'!$N107="Y",'Daily Workforce'!$B107&lt;&gt;"",COUNTIF('Daily Schedule'!$F$5:$F53,'Daily Workforce'!$B107)=0,IF('Daily Schedule'!$A54=45,'Daily Workforce'!$J107="Y",IF(OR('Daily Schedule'!$A54=4,'Daily Schedule'!$A54=8),IF(OR(WEEKDAY('Daily Schedule'!$B$2,2)=1,WEEKDAY('Daily Schedule'!$B$2,2)=4,WEEKDAY('Daily Schedule'!$B$2,2)=5,WEEKDAY('Daily Schedule'!$B$2,2)=7),IFERROR(1*'Daily Workforce'!$K107&gt;=3,FALSE()),IFERROR(1*'Daily Workforce'!$K107&gt;=2,FALSE())),IF(AND('Daily Schedule'!$A54&gt;=46,'Daily Schedule'!$A54&lt;=52),'Daily Workforce'!$M107="Y",IFERROR(1*'Daily Workforce'!$P107&gt;=2,FALSE()))))),1,0)</f>
        <v>1</v>
      </c>
      <c r="DO50" s="1" t="n">
        <f aca="false">IF(AND('Daily Workforce'!$N108="Y",'Daily Workforce'!$B108&lt;&gt;"",COUNTIF('Daily Schedule'!$F$5:$F53,'Daily Workforce'!$B108)=0,IF('Daily Schedule'!$A54=45,'Daily Workforce'!$J108="Y",IF(OR('Daily Schedule'!$A54=4,'Daily Schedule'!$A54=8),IF(OR(WEEKDAY('Daily Schedule'!$B$2,2)=1,WEEKDAY('Daily Schedule'!$B$2,2)=4,WEEKDAY('Daily Schedule'!$B$2,2)=5,WEEKDAY('Daily Schedule'!$B$2,2)=7),IFERROR(1*'Daily Workforce'!$K108&gt;=3,FALSE()),IFERROR(1*'Daily Workforce'!$K108&gt;=2,FALSE())),IF(AND('Daily Schedule'!$A54&gt;=46,'Daily Schedule'!$A54&lt;=52),'Daily Workforce'!$M108="Y",IFERROR(1*'Daily Workforce'!$P108&gt;=2,FALSE()))))),1,0)</f>
        <v>1</v>
      </c>
      <c r="DP50" s="1" t="n">
        <f aca="false">IF(AND('Daily Workforce'!$N109="Y",'Daily Workforce'!$B109&lt;&gt;"",COUNTIF('Daily Schedule'!$F$5:$F53,'Daily Workforce'!$B109)=0,IF('Daily Schedule'!$A54=45,'Daily Workforce'!$J109="Y",IF(OR('Daily Schedule'!$A54=4,'Daily Schedule'!$A54=8),IF(OR(WEEKDAY('Daily Schedule'!$B$2,2)=1,WEEKDAY('Daily Schedule'!$B$2,2)=4,WEEKDAY('Daily Schedule'!$B$2,2)=5,WEEKDAY('Daily Schedule'!$B$2,2)=7),IFERROR(1*'Daily Workforce'!$K109&gt;=3,FALSE()),IFERROR(1*'Daily Workforce'!$K109&gt;=2,FALSE())),IF(AND('Daily Schedule'!$A54&gt;=46,'Daily Schedule'!$A54&lt;=52),'Daily Workforce'!$M109="Y",IFERROR(1*'Daily Workforce'!$P109&gt;=2,FALSE()))))),1,0)</f>
        <v>1</v>
      </c>
      <c r="DQ50" s="1" t="n">
        <f aca="false">IF(AND('Daily Workforce'!$N110="Y",'Daily Workforce'!$B110&lt;&gt;"",COUNTIF('Daily Schedule'!$F$5:$F53,'Daily Workforce'!$B110)=0,IF('Daily Schedule'!$A54=45,'Daily Workforce'!$J110="Y",IF(OR('Daily Schedule'!$A54=4,'Daily Schedule'!$A54=8),IF(OR(WEEKDAY('Daily Schedule'!$B$2,2)=1,WEEKDAY('Daily Schedule'!$B$2,2)=4,WEEKDAY('Daily Schedule'!$B$2,2)=5,WEEKDAY('Daily Schedule'!$B$2,2)=7),IFERROR(1*'Daily Workforce'!$K110&gt;=3,FALSE()),IFERROR(1*'Daily Workforce'!$K110&gt;=2,FALSE())),IF(AND('Daily Schedule'!$A54&gt;=46,'Daily Schedule'!$A54&lt;=52),'Daily Workforce'!$M110="Y",IFERROR(1*'Daily Workforce'!$P110&gt;=2,FALSE()))))),1,0)</f>
        <v>1</v>
      </c>
      <c r="DR50" s="1" t="n">
        <f aca="false">IF(AND('Daily Workforce'!$N111="Y",'Daily Workforce'!$B111&lt;&gt;"",COUNTIF('Daily Schedule'!$F$5:$F53,'Daily Workforce'!$B111)=0,IF('Daily Schedule'!$A54=45,'Daily Workforce'!$J111="Y",IF(OR('Daily Schedule'!$A54=4,'Daily Schedule'!$A54=8),IF(OR(WEEKDAY('Daily Schedule'!$B$2,2)=1,WEEKDAY('Daily Schedule'!$B$2,2)=4,WEEKDAY('Daily Schedule'!$B$2,2)=5,WEEKDAY('Daily Schedule'!$B$2,2)=7),IFERROR(1*'Daily Workforce'!$K111&gt;=3,FALSE()),IFERROR(1*'Daily Workforce'!$K111&gt;=2,FALSE())),IF(AND('Daily Schedule'!$A54&gt;=46,'Daily Schedule'!$A54&lt;=52),'Daily Workforce'!$M111="Y",IFERROR(1*'Daily Workforce'!$P111&gt;=2,FALSE()))))),1,0)</f>
        <v>1</v>
      </c>
      <c r="DS50" s="1" t="n">
        <f aca="false">IF(AND('Daily Workforce'!$N112="Y",'Daily Workforce'!$B112&lt;&gt;"",COUNTIF('Daily Schedule'!$F$5:$F53,'Daily Workforce'!$B112)=0,IF('Daily Schedule'!$A54=45,'Daily Workforce'!$J112="Y",IF(OR('Daily Schedule'!$A54=4,'Daily Schedule'!$A54=8),IF(OR(WEEKDAY('Daily Schedule'!$B$2,2)=1,WEEKDAY('Daily Schedule'!$B$2,2)=4,WEEKDAY('Daily Schedule'!$B$2,2)=5,WEEKDAY('Daily Schedule'!$B$2,2)=7),IFERROR(1*'Daily Workforce'!$K112&gt;=3,FALSE()),IFERROR(1*'Daily Workforce'!$K112&gt;=2,FALSE())),IF(AND('Daily Schedule'!$A54&gt;=46,'Daily Schedule'!$A54&lt;=52),'Daily Workforce'!$M112="Y",IFERROR(1*'Daily Workforce'!$P112&gt;=2,FALSE()))))),1,0)</f>
        <v>1</v>
      </c>
      <c r="DT50" s="1" t="n">
        <f aca="false">IF(AND('Daily Workforce'!$N113="Y",'Daily Workforce'!$B113&lt;&gt;"",COUNTIF('Daily Schedule'!$F$5:$F53,'Daily Workforce'!$B113)=0,IF('Daily Schedule'!$A54=45,'Daily Workforce'!$J113="Y",IF(OR('Daily Schedule'!$A54=4,'Daily Schedule'!$A54=8),IF(OR(WEEKDAY('Daily Schedule'!$B$2,2)=1,WEEKDAY('Daily Schedule'!$B$2,2)=4,WEEKDAY('Daily Schedule'!$B$2,2)=5,WEEKDAY('Daily Schedule'!$B$2,2)=7),IFERROR(1*'Daily Workforce'!$K113&gt;=3,FALSE()),IFERROR(1*'Daily Workforce'!$K113&gt;=2,FALSE())),IF(AND('Daily Schedule'!$A54&gt;=46,'Daily Schedule'!$A54&lt;=52),'Daily Workforce'!$M113="Y",IFERROR(1*'Daily Workforce'!$P113&gt;=2,FALSE()))))),1,0)</f>
        <v>1</v>
      </c>
      <c r="DU50" s="1" t="n">
        <f aca="false">IF(AND('Daily Workforce'!$N114="Y",'Daily Workforce'!$B114&lt;&gt;"",COUNTIF('Daily Schedule'!$F$5:$F53,'Daily Workforce'!$B114)=0,IF('Daily Schedule'!$A54=45,'Daily Workforce'!$J114="Y",IF(OR('Daily Schedule'!$A54=4,'Daily Schedule'!$A54=8),IF(OR(WEEKDAY('Daily Schedule'!$B$2,2)=1,WEEKDAY('Daily Schedule'!$B$2,2)=4,WEEKDAY('Daily Schedule'!$B$2,2)=5,WEEKDAY('Daily Schedule'!$B$2,2)=7),IFERROR(1*'Daily Workforce'!$K114&gt;=3,FALSE()),IFERROR(1*'Daily Workforce'!$K114&gt;=2,FALSE())),IF(AND('Daily Schedule'!$A54&gt;=46,'Daily Schedule'!$A54&lt;=52),'Daily Workforce'!$M114="Y",IFERROR(1*'Daily Workforce'!$P114&gt;=2,FALSE()))))),1,0)</f>
        <v>1</v>
      </c>
      <c r="DV50" s="1" t="n">
        <f aca="false">IF(AND('Daily Workforce'!$N115="Y",'Daily Workforce'!$B115&lt;&gt;"",COUNTIF('Daily Schedule'!$F$5:$F53,'Daily Workforce'!$B115)=0,IF('Daily Schedule'!$A54=45,'Daily Workforce'!$J115="Y",IF(OR('Daily Schedule'!$A54=4,'Daily Schedule'!$A54=8),IF(OR(WEEKDAY('Daily Schedule'!$B$2,2)=1,WEEKDAY('Daily Schedule'!$B$2,2)=4,WEEKDAY('Daily Schedule'!$B$2,2)=5,WEEKDAY('Daily Schedule'!$B$2,2)=7),IFERROR(1*'Daily Workforce'!$K115&gt;=3,FALSE()),IFERROR(1*'Daily Workforce'!$K115&gt;=2,FALSE())),IF(AND('Daily Schedule'!$A54&gt;=46,'Daily Schedule'!$A54&lt;=52),'Daily Workforce'!$M115="Y",IFERROR(1*'Daily Workforce'!$P115&gt;=2,FALSE()))))),1,0)</f>
        <v>1</v>
      </c>
      <c r="DW50" s="1" t="n">
        <f aca="false">IF(AND('Daily Workforce'!$N116="Y",'Daily Workforce'!$B116&lt;&gt;"",COUNTIF('Daily Schedule'!$F$5:$F53,'Daily Workforce'!$B116)=0,IF('Daily Schedule'!$A54=45,'Daily Workforce'!$J116="Y",IF(OR('Daily Schedule'!$A54=4,'Daily Schedule'!$A54=8),IF(OR(WEEKDAY('Daily Schedule'!$B$2,2)=1,WEEKDAY('Daily Schedule'!$B$2,2)=4,WEEKDAY('Daily Schedule'!$B$2,2)=5,WEEKDAY('Daily Schedule'!$B$2,2)=7),IFERROR(1*'Daily Workforce'!$K116&gt;=3,FALSE()),IFERROR(1*'Daily Workforce'!$K116&gt;=2,FALSE())),IF(AND('Daily Schedule'!$A54&gt;=46,'Daily Schedule'!$A54&lt;=52),'Daily Workforce'!$M116="Y",IFERROR(1*'Daily Workforce'!$P116&gt;=2,FALSE()))))),1,0)</f>
        <v>1</v>
      </c>
      <c r="DX50" s="1" t="n">
        <f aca="false">IF(AND('Daily Workforce'!$N117="Y",'Daily Workforce'!$B117&lt;&gt;"",COUNTIF('Daily Schedule'!$F$5:$F53,'Daily Workforce'!$B117)=0,IF('Daily Schedule'!$A54=45,'Daily Workforce'!$J117="Y",IF(OR('Daily Schedule'!$A54=4,'Daily Schedule'!$A54=8),IF(OR(WEEKDAY('Daily Schedule'!$B$2,2)=1,WEEKDAY('Daily Schedule'!$B$2,2)=4,WEEKDAY('Daily Schedule'!$B$2,2)=5,WEEKDAY('Daily Schedule'!$B$2,2)=7),IFERROR(1*'Daily Workforce'!$K117&gt;=3,FALSE()),IFERROR(1*'Daily Workforce'!$K117&gt;=2,FALSE())),IF(AND('Daily Schedule'!$A54&gt;=46,'Daily Schedule'!$A54&lt;=52),'Daily Workforce'!$M117="Y",IFERROR(1*'Daily Workforce'!$P117&gt;=2,FALSE()))))),1,0)</f>
        <v>1</v>
      </c>
      <c r="DY50" s="1" t="n">
        <f aca="false">IF(AND('Daily Workforce'!$N118="Y",'Daily Workforce'!$B118&lt;&gt;"",COUNTIF('Daily Schedule'!$F$5:$F53,'Daily Workforce'!$B118)=0,IF('Daily Schedule'!$A54=45,'Daily Workforce'!$J118="Y",IF(OR('Daily Schedule'!$A54=4,'Daily Schedule'!$A54=8),IF(OR(WEEKDAY('Daily Schedule'!$B$2,2)=1,WEEKDAY('Daily Schedule'!$B$2,2)=4,WEEKDAY('Daily Schedule'!$B$2,2)=5,WEEKDAY('Daily Schedule'!$B$2,2)=7),IFERROR(1*'Daily Workforce'!$K118&gt;=3,FALSE()),IFERROR(1*'Daily Workforce'!$K118&gt;=2,FALSE())),IF(AND('Daily Schedule'!$A54&gt;=46,'Daily Schedule'!$A54&lt;=52),'Daily Workforce'!$M118="Y",IFERROR(1*'Daily Workforce'!$P118&gt;=2,FALSE()))))),1,0)</f>
        <v>0</v>
      </c>
      <c r="DZ50" s="1" t="n">
        <f aca="false">IF(AND('Daily Workforce'!$N119="Y",'Daily Workforce'!$B119&lt;&gt;"",COUNTIF('Daily Schedule'!$F$5:$F53,'Daily Workforce'!$B119)=0,IF('Daily Schedule'!$A54=45,'Daily Workforce'!$J119="Y",IF(OR('Daily Schedule'!$A54=4,'Daily Schedule'!$A54=8),IF(OR(WEEKDAY('Daily Schedule'!$B$2,2)=1,WEEKDAY('Daily Schedule'!$B$2,2)=4,WEEKDAY('Daily Schedule'!$B$2,2)=5,WEEKDAY('Daily Schedule'!$B$2,2)=7),IFERROR(1*'Daily Workforce'!$K119&gt;=3,FALSE()),IFERROR(1*'Daily Workforce'!$K119&gt;=2,FALSE())),IF(AND('Daily Schedule'!$A54&gt;=46,'Daily Schedule'!$A54&lt;=52),'Daily Workforce'!$M119="Y",IFERROR(1*'Daily Workforce'!$P119&gt;=2,FALSE()))))),1,0)</f>
        <v>0</v>
      </c>
      <c r="EA50" s="1" t="n">
        <f aca="false">IF(AND('Daily Workforce'!$N120="Y",'Daily Workforce'!$B120&lt;&gt;"",COUNTIF('Daily Schedule'!$F$5:$F53,'Daily Workforce'!$B120)=0,IF('Daily Schedule'!$A54=45,'Daily Workforce'!$J120="Y",IF(OR('Daily Schedule'!$A54=4,'Daily Schedule'!$A54=8),IF(OR(WEEKDAY('Daily Schedule'!$B$2,2)=1,WEEKDAY('Daily Schedule'!$B$2,2)=4,WEEKDAY('Daily Schedule'!$B$2,2)=5,WEEKDAY('Daily Schedule'!$B$2,2)=7),IFERROR(1*'Daily Workforce'!$K120&gt;=3,FALSE()),IFERROR(1*'Daily Workforce'!$K120&gt;=2,FALSE())),IF(AND('Daily Schedule'!$A54&gt;=46,'Daily Schedule'!$A54&lt;=52),'Daily Workforce'!$M120="Y",IFERROR(1*'Daily Workforce'!$P120&gt;=2,FALSE()))))),1,0)</f>
        <v>0</v>
      </c>
      <c r="EB50" s="1" t="n">
        <f aca="false">IF(AND('Daily Workforce'!$N121="Y",'Daily Workforce'!$B121&lt;&gt;"",COUNTIF('Daily Schedule'!$F$5:$F53,'Daily Workforce'!$B121)=0,IF('Daily Schedule'!$A54=45,'Daily Workforce'!$J121="Y",IF(OR('Daily Schedule'!$A54=4,'Daily Schedule'!$A54=8),IF(OR(WEEKDAY('Daily Schedule'!$B$2,2)=1,WEEKDAY('Daily Schedule'!$B$2,2)=4,WEEKDAY('Daily Schedule'!$B$2,2)=5,WEEKDAY('Daily Schedule'!$B$2,2)=7),IFERROR(1*'Daily Workforce'!$K121&gt;=3,FALSE()),IFERROR(1*'Daily Workforce'!$K121&gt;=2,FALSE())),IF(AND('Daily Schedule'!$A54&gt;=46,'Daily Schedule'!$A54&lt;=52),'Daily Workforce'!$M121="Y",IFERROR(1*'Daily Workforce'!$P121&gt;=2,FALSE()))))),1,0)</f>
        <v>0</v>
      </c>
      <c r="EC50" s="1" t="n">
        <f aca="false">IF(AND('Daily Workforce'!$N122="Y",'Daily Workforce'!$B122&lt;&gt;"",COUNTIF('Daily Schedule'!$F$5:$F53,'Daily Workforce'!$B122)=0,IF('Daily Schedule'!$A54=45,'Daily Workforce'!$J122="Y",IF(OR('Daily Schedule'!$A54=4,'Daily Schedule'!$A54=8),IF(OR(WEEKDAY('Daily Schedule'!$B$2,2)=1,WEEKDAY('Daily Schedule'!$B$2,2)=4,WEEKDAY('Daily Schedule'!$B$2,2)=5,WEEKDAY('Daily Schedule'!$B$2,2)=7),IFERROR(1*'Daily Workforce'!$K122&gt;=3,FALSE()),IFERROR(1*'Daily Workforce'!$K122&gt;=2,FALSE())),IF(AND('Daily Schedule'!$A54&gt;=46,'Daily Schedule'!$A54&lt;=52),'Daily Workforce'!$M122="Y",IFERROR(1*'Daily Workforce'!$P122&gt;=2,FALSE()))))),1,0)</f>
        <v>0</v>
      </c>
      <c r="ED50" s="1" t="n">
        <f aca="false">IF(AND('Daily Workforce'!$N123="Y",'Daily Workforce'!$B123&lt;&gt;"",COUNTIF('Daily Schedule'!$F$5:$F53,'Daily Workforce'!$B123)=0,IF('Daily Schedule'!$A54=45,'Daily Workforce'!$J123="Y",IF(OR('Daily Schedule'!$A54=4,'Daily Schedule'!$A54=8),IF(OR(WEEKDAY('Daily Schedule'!$B$2,2)=1,WEEKDAY('Daily Schedule'!$B$2,2)=4,WEEKDAY('Daily Schedule'!$B$2,2)=5,WEEKDAY('Daily Schedule'!$B$2,2)=7),IFERROR(1*'Daily Workforce'!$K123&gt;=3,FALSE()),IFERROR(1*'Daily Workforce'!$K123&gt;=2,FALSE())),IF(AND('Daily Schedule'!$A54&gt;=46,'Daily Schedule'!$A54&lt;=52),'Daily Workforce'!$M123="Y",IFERROR(1*'Daily Workforce'!$P123&gt;=2,FALSE()))))),1,0)</f>
        <v>0</v>
      </c>
      <c r="EE50" s="1" t="n">
        <f aca="false">IF(AND('Daily Workforce'!$N124="Y",'Daily Workforce'!$B124&lt;&gt;"",COUNTIF('Daily Schedule'!$F$5:$F53,'Daily Workforce'!$B124)=0,IF('Daily Schedule'!$A54=45,'Daily Workforce'!$J124="Y",IF(OR('Daily Schedule'!$A54=4,'Daily Schedule'!$A54=8),IF(OR(WEEKDAY('Daily Schedule'!$B$2,2)=1,WEEKDAY('Daily Schedule'!$B$2,2)=4,WEEKDAY('Daily Schedule'!$B$2,2)=5,WEEKDAY('Daily Schedule'!$B$2,2)=7),IFERROR(1*'Daily Workforce'!$K124&gt;=3,FALSE()),IFERROR(1*'Daily Workforce'!$K124&gt;=2,FALSE())),IF(AND('Daily Schedule'!$A54&gt;=46,'Daily Schedule'!$A54&lt;=52),'Daily Workforce'!$M124="Y",IFERROR(1*'Daily Workforce'!$P124&gt;=2,FALSE()))))),1,0)</f>
        <v>0</v>
      </c>
      <c r="EF50" s="1" t="n">
        <f aca="false">IF(AND('Daily Workforce'!$N125="Y",'Daily Workforce'!$B125&lt;&gt;"",COUNTIF('Daily Schedule'!$F$5:$F53,'Daily Workforce'!$B125)=0,IF('Daily Schedule'!$A54=45,'Daily Workforce'!$J125="Y",IF(OR('Daily Schedule'!$A54=4,'Daily Schedule'!$A54=8),IF(OR(WEEKDAY('Daily Schedule'!$B$2,2)=1,WEEKDAY('Daily Schedule'!$B$2,2)=4,WEEKDAY('Daily Schedule'!$B$2,2)=5,WEEKDAY('Daily Schedule'!$B$2,2)=7),IFERROR(1*'Daily Workforce'!$K125&gt;=3,FALSE()),IFERROR(1*'Daily Workforce'!$K125&gt;=2,FALSE())),IF(AND('Daily Schedule'!$A54&gt;=46,'Daily Schedule'!$A54&lt;=52),'Daily Workforce'!$M125="Y",IFERROR(1*'Daily Workforce'!$P125&gt;=2,FALSE()))))),1,0)</f>
        <v>0</v>
      </c>
      <c r="EG50" s="1" t="n">
        <f aca="false">IF(AND('Daily Workforce'!$N126="Y",'Daily Workforce'!$B126&lt;&gt;"",COUNTIF('Daily Schedule'!$F$5:$F53,'Daily Workforce'!$B126)=0,IF('Daily Schedule'!$A54=45,'Daily Workforce'!$J126="Y",IF(OR('Daily Schedule'!$A54=4,'Daily Schedule'!$A54=8),IF(OR(WEEKDAY('Daily Schedule'!$B$2,2)=1,WEEKDAY('Daily Schedule'!$B$2,2)=4,WEEKDAY('Daily Schedule'!$B$2,2)=5,WEEKDAY('Daily Schedule'!$B$2,2)=7),IFERROR(1*'Daily Workforce'!$K126&gt;=3,FALSE()),IFERROR(1*'Daily Workforce'!$K126&gt;=2,FALSE())),IF(AND('Daily Schedule'!$A54&gt;=46,'Daily Schedule'!$A54&lt;=52),'Daily Workforce'!$M126="Y",IFERROR(1*'Daily Workforce'!$P126&gt;=2,FALSE()))))),1,0)</f>
        <v>0</v>
      </c>
      <c r="EH50" s="1" t="n">
        <f aca="false">IF(AND('Daily Workforce'!$N127="Y",'Daily Workforce'!$B127&lt;&gt;"",COUNTIF('Daily Schedule'!$F$5:$F53,'Daily Workforce'!$B127)=0,IF('Daily Schedule'!$A54=45,'Daily Workforce'!$J127="Y",IF(OR('Daily Schedule'!$A54=4,'Daily Schedule'!$A54=8),IF(OR(WEEKDAY('Daily Schedule'!$B$2,2)=1,WEEKDAY('Daily Schedule'!$B$2,2)=4,WEEKDAY('Daily Schedule'!$B$2,2)=5,WEEKDAY('Daily Schedule'!$B$2,2)=7),IFERROR(1*'Daily Workforce'!$K127&gt;=3,FALSE()),IFERROR(1*'Daily Workforce'!$K127&gt;=2,FALSE())),IF(AND('Daily Schedule'!$A54&gt;=46,'Daily Schedule'!$A54&lt;=52),'Daily Workforce'!$M127="Y",IFERROR(1*'Daily Workforce'!$P127&gt;=2,FALSE()))))),1,0)</f>
        <v>0</v>
      </c>
      <c r="EI50" s="1" t="n">
        <f aca="false">IF(AND('Daily Workforce'!$N128="Y",'Daily Workforce'!$B128&lt;&gt;"",COUNTIF('Daily Schedule'!$F$5:$F53,'Daily Workforce'!$B128)=0,IF('Daily Schedule'!$A54=45,'Daily Workforce'!$J128="Y",IF(OR('Daily Schedule'!$A54=4,'Daily Schedule'!$A54=8),IF(OR(WEEKDAY('Daily Schedule'!$B$2,2)=1,WEEKDAY('Daily Schedule'!$B$2,2)=4,WEEKDAY('Daily Schedule'!$B$2,2)=5,WEEKDAY('Daily Schedule'!$B$2,2)=7),IFERROR(1*'Daily Workforce'!$K128&gt;=3,FALSE()),IFERROR(1*'Daily Workforce'!$K128&gt;=2,FALSE())),IF(AND('Daily Schedule'!$A54&gt;=46,'Daily Schedule'!$A54&lt;=52),'Daily Workforce'!$M128="Y",IFERROR(1*'Daily Workforce'!$P128&gt;=2,FALSE()))))),1,0)</f>
        <v>0</v>
      </c>
      <c r="EJ50" s="1" t="n">
        <f aca="false">IF(AND('Daily Workforce'!$N129="Y",'Daily Workforce'!$B129&lt;&gt;"",COUNTIF('Daily Schedule'!$F$5:$F53,'Daily Workforce'!$B129)=0,IF('Daily Schedule'!$A54=45,'Daily Workforce'!$J129="Y",IF(OR('Daily Schedule'!$A54=4,'Daily Schedule'!$A54=8),IF(OR(WEEKDAY('Daily Schedule'!$B$2,2)=1,WEEKDAY('Daily Schedule'!$B$2,2)=4,WEEKDAY('Daily Schedule'!$B$2,2)=5,WEEKDAY('Daily Schedule'!$B$2,2)=7),IFERROR(1*'Daily Workforce'!$K129&gt;=3,FALSE()),IFERROR(1*'Daily Workforce'!$K129&gt;=2,FALSE())),IF(AND('Daily Schedule'!$A54&gt;=46,'Daily Schedule'!$A54&lt;=52),'Daily Workforce'!$M129="Y",IFERROR(1*'Daily Workforce'!$P129&gt;=2,FALSE()))))),1,0)</f>
        <v>0</v>
      </c>
      <c r="EK50" s="1" t="n">
        <f aca="false">IF(AND('Daily Workforce'!$N130="Y",'Daily Workforce'!$B130&lt;&gt;"",COUNTIF('Daily Schedule'!$F$5:$F53,'Daily Workforce'!$B130)=0,IF('Daily Schedule'!$A54=45,'Daily Workforce'!$J130="Y",IF(OR('Daily Schedule'!$A54=4,'Daily Schedule'!$A54=8),IF(OR(WEEKDAY('Daily Schedule'!$B$2,2)=1,WEEKDAY('Daily Schedule'!$B$2,2)=4,WEEKDAY('Daily Schedule'!$B$2,2)=5,WEEKDAY('Daily Schedule'!$B$2,2)=7),IFERROR(1*'Daily Workforce'!$K130&gt;=3,FALSE()),IFERROR(1*'Daily Workforce'!$K130&gt;=2,FALSE())),IF(AND('Daily Schedule'!$A54&gt;=46,'Daily Schedule'!$A54&lt;=52),'Daily Workforce'!$M130="Y",IFERROR(1*'Daily Workforce'!$P130&gt;=2,FALSE()))))),1,0)</f>
        <v>0</v>
      </c>
      <c r="EL50" s="1" t="n">
        <f aca="false">IF(AND('Daily Workforce'!$N131="Y",'Daily Workforce'!$B131&lt;&gt;"",COUNTIF('Daily Schedule'!$F$5:$F53,'Daily Workforce'!$B131)=0,IF('Daily Schedule'!$A54=45,'Daily Workforce'!$J131="Y",IF(OR('Daily Schedule'!$A54=4,'Daily Schedule'!$A54=8),IF(OR(WEEKDAY('Daily Schedule'!$B$2,2)=1,WEEKDAY('Daily Schedule'!$B$2,2)=4,WEEKDAY('Daily Schedule'!$B$2,2)=5,WEEKDAY('Daily Schedule'!$B$2,2)=7),IFERROR(1*'Daily Workforce'!$K131&gt;=3,FALSE()),IFERROR(1*'Daily Workforce'!$K131&gt;=2,FALSE())),IF(AND('Daily Schedule'!$A54&gt;=46,'Daily Schedule'!$A54&lt;=52),'Daily Workforce'!$M131="Y",IFERROR(1*'Daily Workforce'!$P131&gt;=2,FALSE()))))),1,0)</f>
        <v>0</v>
      </c>
      <c r="EM50" s="1" t="n">
        <f aca="false">IF(AND('Daily Workforce'!$N132="Y",'Daily Workforce'!$B132&lt;&gt;"",COUNTIF('Daily Schedule'!$F$5:$F53,'Daily Workforce'!$B132)=0,IF('Daily Schedule'!$A54=45,'Daily Workforce'!$J132="Y",IF(OR('Daily Schedule'!$A54=4,'Daily Schedule'!$A54=8),IF(OR(WEEKDAY('Daily Schedule'!$B$2,2)=1,WEEKDAY('Daily Schedule'!$B$2,2)=4,WEEKDAY('Daily Schedule'!$B$2,2)=5,WEEKDAY('Daily Schedule'!$B$2,2)=7),IFERROR(1*'Daily Workforce'!$K132&gt;=3,FALSE()),IFERROR(1*'Daily Workforce'!$K132&gt;=2,FALSE())),IF(AND('Daily Schedule'!$A54&gt;=46,'Daily Schedule'!$A54&lt;=52),'Daily Workforce'!$M132="Y",IFERROR(1*'Daily Workforce'!$P132&gt;=2,FALSE()))))),1,0)</f>
        <v>0</v>
      </c>
      <c r="EN50" s="1" t="n">
        <f aca="false">IF(AND('Daily Workforce'!$N133="Y",'Daily Workforce'!$B133&lt;&gt;"",COUNTIF('Daily Schedule'!$F$5:$F53,'Daily Workforce'!$B133)=0,IF('Daily Schedule'!$A54=45,'Daily Workforce'!$J133="Y",IF(OR('Daily Schedule'!$A54=4,'Daily Schedule'!$A54=8),IF(OR(WEEKDAY('Daily Schedule'!$B$2,2)=1,WEEKDAY('Daily Schedule'!$B$2,2)=4,WEEKDAY('Daily Schedule'!$B$2,2)=5,WEEKDAY('Daily Schedule'!$B$2,2)=7),IFERROR(1*'Daily Workforce'!$K133&gt;=3,FALSE()),IFERROR(1*'Daily Workforce'!$K133&gt;=2,FALSE())),IF(AND('Daily Schedule'!$A54&gt;=46,'Daily Schedule'!$A54&lt;=52),'Daily Workforce'!$M133="Y",IFERROR(1*'Daily Workforce'!$P133&gt;=2,FALSE()))))),1,0)</f>
        <v>0</v>
      </c>
      <c r="EO50" s="1" t="n">
        <f aca="false">IF(AND('Daily Workforce'!$N134="Y",'Daily Workforce'!$B134&lt;&gt;"",COUNTIF('Daily Schedule'!$F$5:$F53,'Daily Workforce'!$B134)=0,IF('Daily Schedule'!$A54=45,'Daily Workforce'!$J134="Y",IF(OR('Daily Schedule'!$A54=4,'Daily Schedule'!$A54=8),IF(OR(WEEKDAY('Daily Schedule'!$B$2,2)=1,WEEKDAY('Daily Schedule'!$B$2,2)=4,WEEKDAY('Daily Schedule'!$B$2,2)=5,WEEKDAY('Daily Schedule'!$B$2,2)=7),IFERROR(1*'Daily Workforce'!$K134&gt;=3,FALSE()),IFERROR(1*'Daily Workforce'!$K134&gt;=2,FALSE())),IF(AND('Daily Schedule'!$A54&gt;=46,'Daily Schedule'!$A54&lt;=52),'Daily Workforce'!$M134="Y",IFERROR(1*'Daily Workforce'!$P134&gt;=2,FALSE()))))),1,0)</f>
        <v>0</v>
      </c>
      <c r="EP50" s="1" t="n">
        <f aca="false">IF(AND('Daily Workforce'!$N135="Y",'Daily Workforce'!$B135&lt;&gt;"",COUNTIF('Daily Schedule'!$F$5:$F53,'Daily Workforce'!$B135)=0,IF('Daily Schedule'!$A54=45,'Daily Workforce'!$J135="Y",IF(OR('Daily Schedule'!$A54=4,'Daily Schedule'!$A54=8),IF(OR(WEEKDAY('Daily Schedule'!$B$2,2)=1,WEEKDAY('Daily Schedule'!$B$2,2)=4,WEEKDAY('Daily Schedule'!$B$2,2)=5,WEEKDAY('Daily Schedule'!$B$2,2)=7),IFERROR(1*'Daily Workforce'!$K135&gt;=3,FALSE()),IFERROR(1*'Daily Workforce'!$K135&gt;=2,FALSE())),IF(AND('Daily Schedule'!$A54&gt;=46,'Daily Schedule'!$A54&lt;=52),'Daily Workforce'!$M135="Y",IFERROR(1*'Daily Workforce'!$P135&gt;=2,FALSE()))))),1,0)</f>
        <v>0</v>
      </c>
      <c r="EQ50" s="1" t="n">
        <f aca="false">IF(AND('Daily Workforce'!$N136="Y",'Daily Workforce'!$B136&lt;&gt;"",COUNTIF('Daily Schedule'!$F$5:$F53,'Daily Workforce'!$B136)=0,IF('Daily Schedule'!$A54=45,'Daily Workforce'!$J136="Y",IF(OR('Daily Schedule'!$A54=4,'Daily Schedule'!$A54=8),IF(OR(WEEKDAY('Daily Schedule'!$B$2,2)=1,WEEKDAY('Daily Schedule'!$B$2,2)=4,WEEKDAY('Daily Schedule'!$B$2,2)=5,WEEKDAY('Daily Schedule'!$B$2,2)=7),IFERROR(1*'Daily Workforce'!$K136&gt;=3,FALSE()),IFERROR(1*'Daily Workforce'!$K136&gt;=2,FALSE())),IF(AND('Daily Schedule'!$A54&gt;=46,'Daily Schedule'!$A54&lt;=52),'Daily Workforce'!$M136="Y",IFERROR(1*'Daily Workforce'!$P136&gt;=2,FALSE()))))),1,0)</f>
        <v>0</v>
      </c>
      <c r="ER50" s="1" t="n">
        <f aca="false">IF(AND('Daily Workforce'!$N137="Y",'Daily Workforce'!$B137&lt;&gt;"",COUNTIF('Daily Schedule'!$F$5:$F53,'Daily Workforce'!$B137)=0,IF('Daily Schedule'!$A54=45,'Daily Workforce'!$J137="Y",IF(OR('Daily Schedule'!$A54=4,'Daily Schedule'!$A54=8),IF(OR(WEEKDAY('Daily Schedule'!$B$2,2)=1,WEEKDAY('Daily Schedule'!$B$2,2)=4,WEEKDAY('Daily Schedule'!$B$2,2)=5,WEEKDAY('Daily Schedule'!$B$2,2)=7),IFERROR(1*'Daily Workforce'!$K137&gt;=3,FALSE()),IFERROR(1*'Daily Workforce'!$K137&gt;=2,FALSE())),IF(AND('Daily Schedule'!$A54&gt;=46,'Daily Schedule'!$A54&lt;=52),'Daily Workforce'!$M137="Y",IFERROR(1*'Daily Workforce'!$P137&gt;=2,FALSE()))))),1,0)</f>
        <v>0</v>
      </c>
      <c r="ES50" s="1" t="n">
        <f aca="false">IF(AND('Daily Workforce'!$N138="Y",'Daily Workforce'!$B138&lt;&gt;"",COUNTIF('Daily Schedule'!$F$5:$F53,'Daily Workforce'!$B138)=0,IF('Daily Schedule'!$A54=45,'Daily Workforce'!$J138="Y",IF(OR('Daily Schedule'!$A54=4,'Daily Schedule'!$A54=8),IF(OR(WEEKDAY('Daily Schedule'!$B$2,2)=1,WEEKDAY('Daily Schedule'!$B$2,2)=4,WEEKDAY('Daily Schedule'!$B$2,2)=5,WEEKDAY('Daily Schedule'!$B$2,2)=7),IFERROR(1*'Daily Workforce'!$K138&gt;=3,FALSE()),IFERROR(1*'Daily Workforce'!$K138&gt;=2,FALSE())),IF(AND('Daily Schedule'!$A54&gt;=46,'Daily Schedule'!$A54&lt;=52),'Daily Workforce'!$M138="Y",IFERROR(1*'Daily Workforce'!$P138&gt;=2,FALSE()))))),1,0)</f>
        <v>0</v>
      </c>
      <c r="ET50" s="1" t="n">
        <f aca="false">IF(AND('Daily Workforce'!$N139="Y",'Daily Workforce'!$B139&lt;&gt;"",COUNTIF('Daily Schedule'!$F$5:$F53,'Daily Workforce'!$B139)=0,IF('Daily Schedule'!$A54=45,'Daily Workforce'!$J139="Y",IF(OR('Daily Schedule'!$A54=4,'Daily Schedule'!$A54=8),IF(OR(WEEKDAY('Daily Schedule'!$B$2,2)=1,WEEKDAY('Daily Schedule'!$B$2,2)=4,WEEKDAY('Daily Schedule'!$B$2,2)=5,WEEKDAY('Daily Schedule'!$B$2,2)=7),IFERROR(1*'Daily Workforce'!$K139&gt;=3,FALSE()),IFERROR(1*'Daily Workforce'!$K139&gt;=2,FALSE())),IF(AND('Daily Schedule'!$A54&gt;=46,'Daily Schedule'!$A54&lt;=52),'Daily Workforce'!$M139="Y",IFERROR(1*'Daily Workforce'!$P139&gt;=2,FALSE()))))),1,0)</f>
        <v>0</v>
      </c>
      <c r="EU50" s="1" t="n">
        <f aca="false">IF(AND('Daily Workforce'!$N140="Y",'Daily Workforce'!$B140&lt;&gt;"",COUNTIF('Daily Schedule'!$F$5:$F53,'Daily Workforce'!$B140)=0,IF('Daily Schedule'!$A54=45,'Daily Workforce'!$J140="Y",IF(OR('Daily Schedule'!$A54=4,'Daily Schedule'!$A54=8),IF(OR(WEEKDAY('Daily Schedule'!$B$2,2)=1,WEEKDAY('Daily Schedule'!$B$2,2)=4,WEEKDAY('Daily Schedule'!$B$2,2)=5,WEEKDAY('Daily Schedule'!$B$2,2)=7),IFERROR(1*'Daily Workforce'!$K140&gt;=3,FALSE()),IFERROR(1*'Daily Workforce'!$K140&gt;=2,FALSE())),IF(AND('Daily Schedule'!$A54&gt;=46,'Daily Schedule'!$A54&lt;=52),'Daily Workforce'!$M140="Y",IFERROR(1*'Daily Workforce'!$P140&gt;=2,FALSE()))))),1,0)</f>
        <v>0</v>
      </c>
      <c r="EV50" s="1" t="n">
        <f aca="false">IF(AND('Daily Workforce'!$N141="Y",'Daily Workforce'!$B141&lt;&gt;"",COUNTIF('Daily Schedule'!$F$5:$F53,'Daily Workforce'!$B141)=0,IF('Daily Schedule'!$A54=45,'Daily Workforce'!$J141="Y",IF(OR('Daily Schedule'!$A54=4,'Daily Schedule'!$A54=8),IF(OR(WEEKDAY('Daily Schedule'!$B$2,2)=1,WEEKDAY('Daily Schedule'!$B$2,2)=4,WEEKDAY('Daily Schedule'!$B$2,2)=5,WEEKDAY('Daily Schedule'!$B$2,2)=7),IFERROR(1*'Daily Workforce'!$K141&gt;=3,FALSE()),IFERROR(1*'Daily Workforce'!$K141&gt;=2,FALSE())),IF(AND('Daily Schedule'!$A54&gt;=46,'Daily Schedule'!$A54&lt;=52),'Daily Workforce'!$M141="Y",IFERROR(1*'Daily Workforce'!$P141&gt;=2,FALSE()))))),1,0)</f>
        <v>0</v>
      </c>
      <c r="EW50" s="1" t="n">
        <f aca="false">IF(AND('Daily Workforce'!$N142="Y",'Daily Workforce'!$B142&lt;&gt;"",COUNTIF('Daily Schedule'!$F$5:$F53,'Daily Workforce'!$B142)=0,IF('Daily Schedule'!$A54=45,'Daily Workforce'!$J142="Y",IF(OR('Daily Schedule'!$A54=4,'Daily Schedule'!$A54=8),IF(OR(WEEKDAY('Daily Schedule'!$B$2,2)=1,WEEKDAY('Daily Schedule'!$B$2,2)=4,WEEKDAY('Daily Schedule'!$B$2,2)=5,WEEKDAY('Daily Schedule'!$B$2,2)=7),IFERROR(1*'Daily Workforce'!$K142&gt;=3,FALSE()),IFERROR(1*'Daily Workforce'!$K142&gt;=2,FALSE())),IF(AND('Daily Schedule'!$A54&gt;=46,'Daily Schedule'!$A54&lt;=52),'Daily Workforce'!$M142="Y",IFERROR(1*'Daily Workforce'!$P142&gt;=2,FALSE()))))),1,0)</f>
        <v>0</v>
      </c>
      <c r="EX50" s="1" t="n">
        <f aca="false">IF(AND('Daily Workforce'!$N143="Y",'Daily Workforce'!$B143&lt;&gt;"",COUNTIF('Daily Schedule'!$F$5:$F53,'Daily Workforce'!$B143)=0,IF('Daily Schedule'!$A54=45,'Daily Workforce'!$J143="Y",IF(OR('Daily Schedule'!$A54=4,'Daily Schedule'!$A54=8),IF(OR(WEEKDAY('Daily Schedule'!$B$2,2)=1,WEEKDAY('Daily Schedule'!$B$2,2)=4,WEEKDAY('Daily Schedule'!$B$2,2)=5,WEEKDAY('Daily Schedule'!$B$2,2)=7),IFERROR(1*'Daily Workforce'!$K143&gt;=3,FALSE()),IFERROR(1*'Daily Workforce'!$K143&gt;=2,FALSE())),IF(AND('Daily Schedule'!$A54&gt;=46,'Daily Schedule'!$A54&lt;=52),'Daily Workforce'!$M143="Y",IFERROR(1*'Daily Workforce'!$P143&gt;=2,FALSE()))))),1,0)</f>
        <v>0</v>
      </c>
      <c r="EY50" s="1" t="n">
        <f aca="false">IF(AND('Daily Workforce'!$N144="Y",'Daily Workforce'!$B144&lt;&gt;"",COUNTIF('Daily Schedule'!$F$5:$F53,'Daily Workforce'!$B144)=0,IF('Daily Schedule'!$A54=45,'Daily Workforce'!$J144="Y",IF(OR('Daily Schedule'!$A54=4,'Daily Schedule'!$A54=8),IF(OR(WEEKDAY('Daily Schedule'!$B$2,2)=1,WEEKDAY('Daily Schedule'!$B$2,2)=4,WEEKDAY('Daily Schedule'!$B$2,2)=5,WEEKDAY('Daily Schedule'!$B$2,2)=7),IFERROR(1*'Daily Workforce'!$K144&gt;=3,FALSE()),IFERROR(1*'Daily Workforce'!$K144&gt;=2,FALSE())),IF(AND('Daily Schedule'!$A54&gt;=46,'Daily Schedule'!$A54&lt;=52),'Daily Workforce'!$M144="Y",IFERROR(1*'Daily Workforce'!$P144&gt;=2,FALSE()))))),1,0)</f>
        <v>0</v>
      </c>
      <c r="EZ50" s="1" t="n">
        <f aca="false">IF(AND('Daily Workforce'!$N145="Y",'Daily Workforce'!$B145&lt;&gt;"",COUNTIF('Daily Schedule'!$F$5:$F53,'Daily Workforce'!$B145)=0,IF('Daily Schedule'!$A54=45,'Daily Workforce'!$J145="Y",IF(OR('Daily Schedule'!$A54=4,'Daily Schedule'!$A54=8),IF(OR(WEEKDAY('Daily Schedule'!$B$2,2)=1,WEEKDAY('Daily Schedule'!$B$2,2)=4,WEEKDAY('Daily Schedule'!$B$2,2)=5,WEEKDAY('Daily Schedule'!$B$2,2)=7),IFERROR(1*'Daily Workforce'!$K145&gt;=3,FALSE()),IFERROR(1*'Daily Workforce'!$K145&gt;=2,FALSE())),IF(AND('Daily Schedule'!$A54&gt;=46,'Daily Schedule'!$A54&lt;=52),'Daily Workforce'!$M145="Y",IFERROR(1*'Daily Workforce'!$P145&gt;=2,FALSE()))))),1,0)</f>
        <v>0</v>
      </c>
      <c r="FA50" s="1" t="n">
        <f aca="false">IF(AND('Daily Workforce'!$N146="Y",'Daily Workforce'!$B146&lt;&gt;"",COUNTIF('Daily Schedule'!$F$5:$F53,'Daily Workforce'!$B146)=0,IF('Daily Schedule'!$A54=45,'Daily Workforce'!$J146="Y",IF(OR('Daily Schedule'!$A54=4,'Daily Schedule'!$A54=8),IF(OR(WEEKDAY('Daily Schedule'!$B$2,2)=1,WEEKDAY('Daily Schedule'!$B$2,2)=4,WEEKDAY('Daily Schedule'!$B$2,2)=5,WEEKDAY('Daily Schedule'!$B$2,2)=7),IFERROR(1*'Daily Workforce'!$K146&gt;=3,FALSE()),IFERROR(1*'Daily Workforce'!$K146&gt;=2,FALSE())),IF(AND('Daily Schedule'!$A54&gt;=46,'Daily Schedule'!$A54&lt;=52),'Daily Workforce'!$M146="Y",IFERROR(1*'Daily Workforce'!$P146&gt;=2,FALSE()))))),1,0)</f>
        <v>0</v>
      </c>
      <c r="FB50" s="1" t="n">
        <f aca="false">IF(AND('Daily Workforce'!$N147="Y",'Daily Workforce'!$B147&lt;&gt;"",COUNTIF('Daily Schedule'!$F$5:$F53,'Daily Workforce'!$B147)=0,IF('Daily Schedule'!$A54=45,'Daily Workforce'!$J147="Y",IF(OR('Daily Schedule'!$A54=4,'Daily Schedule'!$A54=8),IF(OR(WEEKDAY('Daily Schedule'!$B$2,2)=1,WEEKDAY('Daily Schedule'!$B$2,2)=4,WEEKDAY('Daily Schedule'!$B$2,2)=5,WEEKDAY('Daily Schedule'!$B$2,2)=7),IFERROR(1*'Daily Workforce'!$K147&gt;=3,FALSE()),IFERROR(1*'Daily Workforce'!$K147&gt;=2,FALSE())),IF(AND('Daily Schedule'!$A54&gt;=46,'Daily Schedule'!$A54&lt;=52),'Daily Workforce'!$M147="Y",IFERROR(1*'Daily Workforce'!$P147&gt;=2,FALSE()))))),1,0)</f>
        <v>0</v>
      </c>
      <c r="FC50" s="1" t="n">
        <f aca="false">IF(AND('Daily Workforce'!$N148="Y",'Daily Workforce'!$B148&lt;&gt;"",COUNTIF('Daily Schedule'!$F$5:$F53,'Daily Workforce'!$B148)=0,IF('Daily Schedule'!$A54=45,'Daily Workforce'!$J148="Y",IF(OR('Daily Schedule'!$A54=4,'Daily Schedule'!$A54=8),IF(OR(WEEKDAY('Daily Schedule'!$B$2,2)=1,WEEKDAY('Daily Schedule'!$B$2,2)=4,WEEKDAY('Daily Schedule'!$B$2,2)=5,WEEKDAY('Daily Schedule'!$B$2,2)=7),IFERROR(1*'Daily Workforce'!$K148&gt;=3,FALSE()),IFERROR(1*'Daily Workforce'!$K148&gt;=2,FALSE())),IF(AND('Daily Schedule'!$A54&gt;=46,'Daily Schedule'!$A54&lt;=52),'Daily Workforce'!$M148="Y",IFERROR(1*'Daily Workforce'!$P148&gt;=2,FALSE()))))),1,0)</f>
        <v>0</v>
      </c>
      <c r="FD50" s="1" t="n">
        <f aca="false">IF(AND('Daily Workforce'!$N149="Y",'Daily Workforce'!$B149&lt;&gt;"",COUNTIF('Daily Schedule'!$F$5:$F53,'Daily Workforce'!$B149)=0,IF('Daily Schedule'!$A54=45,'Daily Workforce'!$J149="Y",IF(OR('Daily Schedule'!$A54=4,'Daily Schedule'!$A54=8),IF(OR(WEEKDAY('Daily Schedule'!$B$2,2)=1,WEEKDAY('Daily Schedule'!$B$2,2)=4,WEEKDAY('Daily Schedule'!$B$2,2)=5,WEEKDAY('Daily Schedule'!$B$2,2)=7),IFERROR(1*'Daily Workforce'!$K149&gt;=3,FALSE()),IFERROR(1*'Daily Workforce'!$K149&gt;=2,FALSE())),IF(AND('Daily Schedule'!$A54&gt;=46,'Daily Schedule'!$A54&lt;=52),'Daily Workforce'!$M149="Y",IFERROR(1*'Daily Workforce'!$P149&gt;=2,FALSE()))))),1,0)</f>
        <v>0</v>
      </c>
      <c r="FE50" s="1" t="n">
        <f aca="false">IF(AND('Daily Workforce'!$N150="Y",'Daily Workforce'!$B150&lt;&gt;"",COUNTIF('Daily Schedule'!$F$5:$F53,'Daily Workforce'!$B150)=0,IF('Daily Schedule'!$A54=45,'Daily Workforce'!$J150="Y",IF(OR('Daily Schedule'!$A54=4,'Daily Schedule'!$A54=8),IF(OR(WEEKDAY('Daily Schedule'!$B$2,2)=1,WEEKDAY('Daily Schedule'!$B$2,2)=4,WEEKDAY('Daily Schedule'!$B$2,2)=5,WEEKDAY('Daily Schedule'!$B$2,2)=7),IFERROR(1*'Daily Workforce'!$K150&gt;=3,FALSE()),IFERROR(1*'Daily Workforce'!$K150&gt;=2,FALSE())),IF(AND('Daily Schedule'!$A54&gt;=46,'Daily Schedule'!$A54&lt;=52),'Daily Workforce'!$M150="Y",IFERROR(1*'Daily Workforce'!$P150&gt;=2,FALSE()))))),1,0)</f>
        <v>0</v>
      </c>
      <c r="FF50" s="1" t="n">
        <f aca="false">IF(AND('Daily Workforce'!$N151="Y",'Daily Workforce'!$B151&lt;&gt;"",COUNTIF('Daily Schedule'!$F$5:$F53,'Daily Workforce'!$B151)=0,IF('Daily Schedule'!$A54=45,'Daily Workforce'!$J151="Y",IF(OR('Daily Schedule'!$A54=4,'Daily Schedule'!$A54=8),IF(OR(WEEKDAY('Daily Schedule'!$B$2,2)=1,WEEKDAY('Daily Schedule'!$B$2,2)=4,WEEKDAY('Daily Schedule'!$B$2,2)=5,WEEKDAY('Daily Schedule'!$B$2,2)=7),IFERROR(1*'Daily Workforce'!$K151&gt;=3,FALSE()),IFERROR(1*'Daily Workforce'!$K151&gt;=2,FALSE())),IF(AND('Daily Schedule'!$A54&gt;=46,'Daily Schedule'!$A54&lt;=52),'Daily Workforce'!$M151="Y",IFERROR(1*'Daily Workforce'!$P151&gt;=2,FALSE()))))),1,0)</f>
        <v>0</v>
      </c>
      <c r="FG50" s="1" t="n">
        <f aca="false">IF(AND('Daily Workforce'!$N152="Y",'Daily Workforce'!$B152&lt;&gt;"",COUNTIF('Daily Schedule'!$F$5:$F53,'Daily Workforce'!$B152)=0,IF('Daily Schedule'!$A54=45,'Daily Workforce'!$J152="Y",IF(OR('Daily Schedule'!$A54=4,'Daily Schedule'!$A54=8),IF(OR(WEEKDAY('Daily Schedule'!$B$2,2)=1,WEEKDAY('Daily Schedule'!$B$2,2)=4,WEEKDAY('Daily Schedule'!$B$2,2)=5,WEEKDAY('Daily Schedule'!$B$2,2)=7),IFERROR(1*'Daily Workforce'!$K152&gt;=3,FALSE()),IFERROR(1*'Daily Workforce'!$K152&gt;=2,FALSE())),IF(AND('Daily Schedule'!$A54&gt;=46,'Daily Schedule'!$A54&lt;=52),'Daily Workforce'!$M152="Y",IFERROR(1*'Daily Workforce'!$P152&gt;=2,FALSE()))))),1,0)</f>
        <v>0</v>
      </c>
      <c r="FH50" s="1" t="n">
        <f aca="false">IF(AND('Daily Workforce'!$N153="Y",'Daily Workforce'!$B153&lt;&gt;"",COUNTIF('Daily Schedule'!$F$5:$F53,'Daily Workforce'!$B153)=0,IF('Daily Schedule'!$A54=45,'Daily Workforce'!$J153="Y",IF(OR('Daily Schedule'!$A54=4,'Daily Schedule'!$A54=8),IF(OR(WEEKDAY('Daily Schedule'!$B$2,2)=1,WEEKDAY('Daily Schedule'!$B$2,2)=4,WEEKDAY('Daily Schedule'!$B$2,2)=5,WEEKDAY('Daily Schedule'!$B$2,2)=7),IFERROR(1*'Daily Workforce'!$K153&gt;=3,FALSE()),IFERROR(1*'Daily Workforce'!$K153&gt;=2,FALSE())),IF(AND('Daily Schedule'!$A54&gt;=46,'Daily Schedule'!$A54&lt;=52),'Daily Workforce'!$M153="Y",IFERROR(1*'Daily Workforce'!$P153&gt;=2,FALSE()))))),1,0)</f>
        <v>0</v>
      </c>
      <c r="FI50" s="1" t="n">
        <f aca="false">IF(AND('Daily Workforce'!$N154="Y",'Daily Workforce'!$B154&lt;&gt;"",COUNTIF('Daily Schedule'!$F$5:$F53,'Daily Workforce'!$B154)=0,IF('Daily Schedule'!$A54=45,'Daily Workforce'!$J154="Y",IF(OR('Daily Schedule'!$A54=4,'Daily Schedule'!$A54=8),IF(OR(WEEKDAY('Daily Schedule'!$B$2,2)=1,WEEKDAY('Daily Schedule'!$B$2,2)=4,WEEKDAY('Daily Schedule'!$B$2,2)=5,WEEKDAY('Daily Schedule'!$B$2,2)=7),IFERROR(1*'Daily Workforce'!$K154&gt;=3,FALSE()),IFERROR(1*'Daily Workforce'!$K154&gt;=2,FALSE())),IF(AND('Daily Schedule'!$A54&gt;=46,'Daily Schedule'!$A54&lt;=52),'Daily Workforce'!$M154="Y",IFERROR(1*'Daily Workforce'!$P154&gt;=2,FALSE()))))),1,0)</f>
        <v>0</v>
      </c>
      <c r="FJ50" s="1" t="n">
        <f aca="false">IF(AND('Daily Workforce'!$N155="Y",'Daily Workforce'!$B155&lt;&gt;"",COUNTIF('Daily Schedule'!$F$5:$F53,'Daily Workforce'!$B155)=0,IF('Daily Schedule'!$A54=45,'Daily Workforce'!$J155="Y",IF(OR('Daily Schedule'!$A54=4,'Daily Schedule'!$A54=8),IF(OR(WEEKDAY('Daily Schedule'!$B$2,2)=1,WEEKDAY('Daily Schedule'!$B$2,2)=4,WEEKDAY('Daily Schedule'!$B$2,2)=5,WEEKDAY('Daily Schedule'!$B$2,2)=7),IFERROR(1*'Daily Workforce'!$K155&gt;=3,FALSE()),IFERROR(1*'Daily Workforce'!$K155&gt;=2,FALSE())),IF(AND('Daily Schedule'!$A54&gt;=46,'Daily Schedule'!$A54&lt;=52),'Daily Workforce'!$M155="Y",IFERROR(1*'Daily Workforce'!$P155&gt;=2,FALSE()))))),1,0)</f>
        <v>0</v>
      </c>
      <c r="FK50" s="1" t="n">
        <f aca="false">IF(AND('Daily Workforce'!$N156="Y",'Daily Workforce'!$B156&lt;&gt;"",COUNTIF('Daily Schedule'!$F$5:$F53,'Daily Workforce'!$B156)=0,IF('Daily Schedule'!$A54=45,'Daily Workforce'!$J156="Y",IF(OR('Daily Schedule'!$A54=4,'Daily Schedule'!$A54=8),IF(OR(WEEKDAY('Daily Schedule'!$B$2,2)=1,WEEKDAY('Daily Schedule'!$B$2,2)=4,WEEKDAY('Daily Schedule'!$B$2,2)=5,WEEKDAY('Daily Schedule'!$B$2,2)=7),IFERROR(1*'Daily Workforce'!$K156&gt;=3,FALSE()),IFERROR(1*'Daily Workforce'!$K156&gt;=2,FALSE())),IF(AND('Daily Schedule'!$A54&gt;=46,'Daily Schedule'!$A54&lt;=52),'Daily Workforce'!$M156="Y",IFERROR(1*'Daily Workforce'!$P156&gt;=2,FALSE()))))),1,0)</f>
        <v>0</v>
      </c>
      <c r="FL50" s="1" t="n">
        <f aca="false">IF(AND('Daily Workforce'!$N157="Y",'Daily Workforce'!$B157&lt;&gt;"",COUNTIF('Daily Schedule'!$F$5:$F53,'Daily Workforce'!$B157)=0,IF('Daily Schedule'!$A54=45,'Daily Workforce'!$J157="Y",IF(OR('Daily Schedule'!$A54=4,'Daily Schedule'!$A54=8),IF(OR(WEEKDAY('Daily Schedule'!$B$2,2)=1,WEEKDAY('Daily Schedule'!$B$2,2)=4,WEEKDAY('Daily Schedule'!$B$2,2)=5,WEEKDAY('Daily Schedule'!$B$2,2)=7),IFERROR(1*'Daily Workforce'!$K157&gt;=3,FALSE()),IFERROR(1*'Daily Workforce'!$K157&gt;=2,FALSE())),IF(AND('Daily Schedule'!$A54&gt;=46,'Daily Schedule'!$A54&lt;=52),'Daily Workforce'!$M157="Y",IFERROR(1*'Daily Workforce'!$P157&gt;=2,FALSE()))))),1,0)</f>
        <v>0</v>
      </c>
      <c r="FM50" s="1" t="n">
        <f aca="false">IF(AND('Daily Workforce'!$N158="Y",'Daily Workforce'!$B158&lt;&gt;"",COUNTIF('Daily Schedule'!$F$5:$F53,'Daily Workforce'!$B158)=0,IF('Daily Schedule'!$A54=45,'Daily Workforce'!$J158="Y",IF(OR('Daily Schedule'!$A54=4,'Daily Schedule'!$A54=8),IF(OR(WEEKDAY('Daily Schedule'!$B$2,2)=1,WEEKDAY('Daily Schedule'!$B$2,2)=4,WEEKDAY('Daily Schedule'!$B$2,2)=5,WEEKDAY('Daily Schedule'!$B$2,2)=7),IFERROR(1*'Daily Workforce'!$K158&gt;=3,FALSE()),IFERROR(1*'Daily Workforce'!$K158&gt;=2,FALSE())),IF(AND('Daily Schedule'!$A54&gt;=46,'Daily Schedule'!$A54&lt;=52),'Daily Workforce'!$M158="Y",IFERROR(1*'Daily Workforce'!$P158&gt;=2,FALSE()))))),1,0)</f>
        <v>0</v>
      </c>
      <c r="FN50" s="1" t="n">
        <f aca="false">IF(AND('Daily Workforce'!$N159="Y",'Daily Workforce'!$B159&lt;&gt;"",COUNTIF('Daily Schedule'!$F$5:$F53,'Daily Workforce'!$B159)=0,IF('Daily Schedule'!$A54=45,'Daily Workforce'!$J159="Y",IF(OR('Daily Schedule'!$A54=4,'Daily Schedule'!$A54=8),IF(OR(WEEKDAY('Daily Schedule'!$B$2,2)=1,WEEKDAY('Daily Schedule'!$B$2,2)=4,WEEKDAY('Daily Schedule'!$B$2,2)=5,WEEKDAY('Daily Schedule'!$B$2,2)=7),IFERROR(1*'Daily Workforce'!$K159&gt;=3,FALSE()),IFERROR(1*'Daily Workforce'!$K159&gt;=2,FALSE())),IF(AND('Daily Schedule'!$A54&gt;=46,'Daily Schedule'!$A54&lt;=52),'Daily Workforce'!$M159="Y",IFERROR(1*'Daily Workforce'!$P159&gt;=2,FALSE()))))),1,0)</f>
        <v>0</v>
      </c>
      <c r="FO50" s="1" t="n">
        <f aca="false">IF(AND('Daily Workforce'!$N160="Y",'Daily Workforce'!$B160&lt;&gt;"",COUNTIF('Daily Schedule'!$F$5:$F53,'Daily Workforce'!$B160)=0,IF('Daily Schedule'!$A54=45,'Daily Workforce'!$J160="Y",IF(OR('Daily Schedule'!$A54=4,'Daily Schedule'!$A54=8),IF(OR(WEEKDAY('Daily Schedule'!$B$2,2)=1,WEEKDAY('Daily Schedule'!$B$2,2)=4,WEEKDAY('Daily Schedule'!$B$2,2)=5,WEEKDAY('Daily Schedule'!$B$2,2)=7),IFERROR(1*'Daily Workforce'!$K160&gt;=3,FALSE()),IFERROR(1*'Daily Workforce'!$K160&gt;=2,FALSE())),IF(AND('Daily Schedule'!$A54&gt;=46,'Daily Schedule'!$A54&lt;=52),'Daily Workforce'!$M160="Y",IFERROR(1*'Daily Workforce'!$P160&gt;=2,FALSE()))))),1,0)</f>
        <v>0</v>
      </c>
      <c r="FP50" s="1" t="n">
        <f aca="false">IF(AND('Daily Workforce'!$N161="Y",'Daily Workforce'!$B161&lt;&gt;"",COUNTIF('Daily Schedule'!$F$5:$F53,'Daily Workforce'!$B161)=0,IF('Daily Schedule'!$A54=45,'Daily Workforce'!$J161="Y",IF(OR('Daily Schedule'!$A54=4,'Daily Schedule'!$A54=8),IF(OR(WEEKDAY('Daily Schedule'!$B$2,2)=1,WEEKDAY('Daily Schedule'!$B$2,2)=4,WEEKDAY('Daily Schedule'!$B$2,2)=5,WEEKDAY('Daily Schedule'!$B$2,2)=7),IFERROR(1*'Daily Workforce'!$K161&gt;=3,FALSE()),IFERROR(1*'Daily Workforce'!$K161&gt;=2,FALSE())),IF(AND('Daily Schedule'!$A54&gt;=46,'Daily Schedule'!$A54&lt;=52),'Daily Workforce'!$M161="Y",IFERROR(1*'Daily Workforce'!$P161&gt;=2,FALSE()))))),1,0)</f>
        <v>0</v>
      </c>
      <c r="FQ50" s="1" t="n">
        <f aca="false">IF(AND('Daily Workforce'!$N162="Y",'Daily Workforce'!$B162&lt;&gt;"",COUNTIF('Daily Schedule'!$F$5:$F53,'Daily Workforce'!$B162)=0,IF('Daily Schedule'!$A54=45,'Daily Workforce'!$J162="Y",IF(OR('Daily Schedule'!$A54=4,'Daily Schedule'!$A54=8),IF(OR(WEEKDAY('Daily Schedule'!$B$2,2)=1,WEEKDAY('Daily Schedule'!$B$2,2)=4,WEEKDAY('Daily Schedule'!$B$2,2)=5,WEEKDAY('Daily Schedule'!$B$2,2)=7),IFERROR(1*'Daily Workforce'!$K162&gt;=3,FALSE()),IFERROR(1*'Daily Workforce'!$K162&gt;=2,FALSE())),IF(AND('Daily Schedule'!$A54&gt;=46,'Daily Schedule'!$A54&lt;=52),'Daily Workforce'!$M162="Y",IFERROR(1*'Daily Workforce'!$P162&gt;=2,FALSE()))))),1,0)</f>
        <v>0</v>
      </c>
      <c r="FR50" s="1" t="n">
        <f aca="false">IF(AND('Daily Workforce'!$N163="Y",'Daily Workforce'!$B163&lt;&gt;"",COUNTIF('Daily Schedule'!$F$5:$F53,'Daily Workforce'!$B163)=0,IF('Daily Schedule'!$A54=45,'Daily Workforce'!$J163="Y",IF(OR('Daily Schedule'!$A54=4,'Daily Schedule'!$A54=8),IF(OR(WEEKDAY('Daily Schedule'!$B$2,2)=1,WEEKDAY('Daily Schedule'!$B$2,2)=4,WEEKDAY('Daily Schedule'!$B$2,2)=5,WEEKDAY('Daily Schedule'!$B$2,2)=7),IFERROR(1*'Daily Workforce'!$K163&gt;=3,FALSE()),IFERROR(1*'Daily Workforce'!$K163&gt;=2,FALSE())),IF(AND('Daily Schedule'!$A54&gt;=46,'Daily Schedule'!$A54&lt;=52),'Daily Workforce'!$M163="Y",IFERROR(1*'Daily Workforce'!$P163&gt;=2,FALSE()))))),1,0)</f>
        <v>0</v>
      </c>
      <c r="FS50" s="1" t="n">
        <f aca="false">IF(AND('Daily Workforce'!$N164="Y",'Daily Workforce'!$B164&lt;&gt;"",COUNTIF('Daily Schedule'!$F$5:$F53,'Daily Workforce'!$B164)=0,IF('Daily Schedule'!$A54=45,'Daily Workforce'!$J164="Y",IF(OR('Daily Schedule'!$A54=4,'Daily Schedule'!$A54=8),IF(OR(WEEKDAY('Daily Schedule'!$B$2,2)=1,WEEKDAY('Daily Schedule'!$B$2,2)=4,WEEKDAY('Daily Schedule'!$B$2,2)=5,WEEKDAY('Daily Schedule'!$B$2,2)=7),IFERROR(1*'Daily Workforce'!$K164&gt;=3,FALSE()),IFERROR(1*'Daily Workforce'!$K164&gt;=2,FALSE())),IF(AND('Daily Schedule'!$A54&gt;=46,'Daily Schedule'!$A54&lt;=52),'Daily Workforce'!$M164="Y",IFERROR(1*'Daily Workforce'!$P164&gt;=2,FALSE()))))),1,0)</f>
        <v>0</v>
      </c>
      <c r="FT50" s="1" t="n">
        <f aca="false">IF(AND('Daily Workforce'!$N165="Y",'Daily Workforce'!$B165&lt;&gt;"",COUNTIF('Daily Schedule'!$F$5:$F53,'Daily Workforce'!$B165)=0,IF('Daily Schedule'!$A54=45,'Daily Workforce'!$J165="Y",IF(OR('Daily Schedule'!$A54=4,'Daily Schedule'!$A54=8),IF(OR(WEEKDAY('Daily Schedule'!$B$2,2)=1,WEEKDAY('Daily Schedule'!$B$2,2)=4,WEEKDAY('Daily Schedule'!$B$2,2)=5,WEEKDAY('Daily Schedule'!$B$2,2)=7),IFERROR(1*'Daily Workforce'!$K165&gt;=3,FALSE()),IFERROR(1*'Daily Workforce'!$K165&gt;=2,FALSE())),IF(AND('Daily Schedule'!$A54&gt;=46,'Daily Schedule'!$A54&lt;=52),'Daily Workforce'!$M165="Y",IFERROR(1*'Daily Workforce'!$P165&gt;=2,FALSE()))))),1,0)</f>
        <v>0</v>
      </c>
      <c r="FU50" s="1" t="n">
        <f aca="false">IF(AND('Daily Workforce'!$N166="Y",'Daily Workforce'!$B166&lt;&gt;"",COUNTIF('Daily Schedule'!$F$5:$F53,'Daily Workforce'!$B166)=0,IF('Daily Schedule'!$A54=45,'Daily Workforce'!$J166="Y",IF(OR('Daily Schedule'!$A54=4,'Daily Schedule'!$A54=8),IF(OR(WEEKDAY('Daily Schedule'!$B$2,2)=1,WEEKDAY('Daily Schedule'!$B$2,2)=4,WEEKDAY('Daily Schedule'!$B$2,2)=5,WEEKDAY('Daily Schedule'!$B$2,2)=7),IFERROR(1*'Daily Workforce'!$K166&gt;=3,FALSE()),IFERROR(1*'Daily Workforce'!$K166&gt;=2,FALSE())),IF(AND('Daily Schedule'!$A54&gt;=46,'Daily Schedule'!$A54&lt;=52),'Daily Workforce'!$M166="Y",IFERROR(1*'Daily Workforce'!$P166&gt;=2,FALSE()))))),1,0)</f>
        <v>0</v>
      </c>
      <c r="FV50" s="1" t="n">
        <f aca="false">IF(AND('Daily Workforce'!$N167="Y",'Daily Workforce'!$B167&lt;&gt;"",COUNTIF('Daily Schedule'!$F$5:$F53,'Daily Workforce'!$B167)=0,IF('Daily Schedule'!$A54=45,'Daily Workforce'!$J167="Y",IF(OR('Daily Schedule'!$A54=4,'Daily Schedule'!$A54=8),IF(OR(WEEKDAY('Daily Schedule'!$B$2,2)=1,WEEKDAY('Daily Schedule'!$B$2,2)=4,WEEKDAY('Daily Schedule'!$B$2,2)=5,WEEKDAY('Daily Schedule'!$B$2,2)=7),IFERROR(1*'Daily Workforce'!$K167&gt;=3,FALSE()),IFERROR(1*'Daily Workforce'!$K167&gt;=2,FALSE())),IF(AND('Daily Schedule'!$A54&gt;=46,'Daily Schedule'!$A54&lt;=52),'Daily Workforce'!$M167="Y",IFERROR(1*'Daily Workforce'!$P167&gt;=2,FALSE()))))),1,0)</f>
        <v>0</v>
      </c>
      <c r="FW50" s="1" t="n">
        <f aca="false">IF(AND('Daily Workforce'!$N168="Y",'Daily Workforce'!$B168&lt;&gt;"",COUNTIF('Daily Schedule'!$F$5:$F53,'Daily Workforce'!$B168)=0,IF('Daily Schedule'!$A54=45,'Daily Workforce'!$J168="Y",IF(OR('Daily Schedule'!$A54=4,'Daily Schedule'!$A54=8),IF(OR(WEEKDAY('Daily Schedule'!$B$2,2)=1,WEEKDAY('Daily Schedule'!$B$2,2)=4,WEEKDAY('Daily Schedule'!$B$2,2)=5,WEEKDAY('Daily Schedule'!$B$2,2)=7),IFERROR(1*'Daily Workforce'!$K168&gt;=3,FALSE()),IFERROR(1*'Daily Workforce'!$K168&gt;=2,FALSE())),IF(AND('Daily Schedule'!$A54&gt;=46,'Daily Schedule'!$A54&lt;=52),'Daily Workforce'!$M168="Y",IFERROR(1*'Daily Workforce'!$P168&gt;=2,FALSE()))))),1,0)</f>
        <v>0</v>
      </c>
      <c r="FX50" s="1" t="n">
        <f aca="false">IF(AND('Daily Workforce'!$N169="Y",'Daily Workforce'!$B169&lt;&gt;"",COUNTIF('Daily Schedule'!$F$5:$F53,'Daily Workforce'!$B169)=0,IF('Daily Schedule'!$A54=45,'Daily Workforce'!$J169="Y",IF(OR('Daily Schedule'!$A54=4,'Daily Schedule'!$A54=8),IF(OR(WEEKDAY('Daily Schedule'!$B$2,2)=1,WEEKDAY('Daily Schedule'!$B$2,2)=4,WEEKDAY('Daily Schedule'!$B$2,2)=5,WEEKDAY('Daily Schedule'!$B$2,2)=7),IFERROR(1*'Daily Workforce'!$K169&gt;=3,FALSE()),IFERROR(1*'Daily Workforce'!$K169&gt;=2,FALSE())),IF(AND('Daily Schedule'!$A54&gt;=46,'Daily Schedule'!$A54&lt;=52),'Daily Workforce'!$M169="Y",IFERROR(1*'Daily Workforce'!$P169&gt;=2,FALSE()))))),1,0)</f>
        <v>0</v>
      </c>
      <c r="FY50" s="1" t="n">
        <f aca="false">IF(AND('Daily Workforce'!$N170="Y",'Daily Workforce'!$B170&lt;&gt;"",COUNTIF('Daily Schedule'!$F$5:$F53,'Daily Workforce'!$B170)=0,IF('Daily Schedule'!$A54=45,'Daily Workforce'!$J170="Y",IF(OR('Daily Schedule'!$A54=4,'Daily Schedule'!$A54=8),IF(OR(WEEKDAY('Daily Schedule'!$B$2,2)=1,WEEKDAY('Daily Schedule'!$B$2,2)=4,WEEKDAY('Daily Schedule'!$B$2,2)=5,WEEKDAY('Daily Schedule'!$B$2,2)=7),IFERROR(1*'Daily Workforce'!$K170&gt;=3,FALSE()),IFERROR(1*'Daily Workforce'!$K170&gt;=2,FALSE())),IF(AND('Daily Schedule'!$A54&gt;=46,'Daily Schedule'!$A54&lt;=52),'Daily Workforce'!$M170="Y",IFERROR(1*'Daily Workforce'!$P170&gt;=2,FALSE()))))),1,0)</f>
        <v>0</v>
      </c>
      <c r="FZ50" s="1" t="n">
        <f aca="false">IF(AND('Daily Workforce'!$N171="Y",'Daily Workforce'!$B171&lt;&gt;"",COUNTIF('Daily Schedule'!$F$5:$F53,'Daily Workforce'!$B171)=0,IF('Daily Schedule'!$A54=45,'Daily Workforce'!$J171="Y",IF(OR('Daily Schedule'!$A54=4,'Daily Schedule'!$A54=8),IF(OR(WEEKDAY('Daily Schedule'!$B$2,2)=1,WEEKDAY('Daily Schedule'!$B$2,2)=4,WEEKDAY('Daily Schedule'!$B$2,2)=5,WEEKDAY('Daily Schedule'!$B$2,2)=7),IFERROR(1*'Daily Workforce'!$K171&gt;=3,FALSE()),IFERROR(1*'Daily Workforce'!$K171&gt;=2,FALSE())),IF(AND('Daily Schedule'!$A54&gt;=46,'Daily Schedule'!$A54&lt;=52),'Daily Workforce'!$M171="Y",IFERROR(1*'Daily Workforce'!$P171&gt;=2,FALSE()))))),1,0)</f>
        <v>0</v>
      </c>
      <c r="GA50" s="1" t="n">
        <f aca="false">IF(AND('Daily Workforce'!$N172="Y",'Daily Workforce'!$B172&lt;&gt;"",COUNTIF('Daily Schedule'!$F$5:$F53,'Daily Workforce'!$B172)=0,IF('Daily Schedule'!$A54=45,'Daily Workforce'!$J172="Y",IF(OR('Daily Schedule'!$A54=4,'Daily Schedule'!$A54=8),IF(OR(WEEKDAY('Daily Schedule'!$B$2,2)=1,WEEKDAY('Daily Schedule'!$B$2,2)=4,WEEKDAY('Daily Schedule'!$B$2,2)=5,WEEKDAY('Daily Schedule'!$B$2,2)=7),IFERROR(1*'Daily Workforce'!$K172&gt;=3,FALSE()),IFERROR(1*'Daily Workforce'!$K172&gt;=2,FALSE())),IF(AND('Daily Schedule'!$A54&gt;=46,'Daily Schedule'!$A54&lt;=52),'Daily Workforce'!$M172="Y",IFERROR(1*'Daily Workforce'!$P172&gt;=2,FALSE()))))),1,0)</f>
        <v>0</v>
      </c>
      <c r="GB50" s="1" t="n">
        <f aca="false">IF(AND('Daily Workforce'!$N173="Y",'Daily Workforce'!$B173&lt;&gt;"",COUNTIF('Daily Schedule'!$F$5:$F53,'Daily Workforce'!$B173)=0,IF('Daily Schedule'!$A54=45,'Daily Workforce'!$J173="Y",IF(OR('Daily Schedule'!$A54=4,'Daily Schedule'!$A54=8),IF(OR(WEEKDAY('Daily Schedule'!$B$2,2)=1,WEEKDAY('Daily Schedule'!$B$2,2)=4,WEEKDAY('Daily Schedule'!$B$2,2)=5,WEEKDAY('Daily Schedule'!$B$2,2)=7),IFERROR(1*'Daily Workforce'!$K173&gt;=3,FALSE()),IFERROR(1*'Daily Workforce'!$K173&gt;=2,FALSE())),IF(AND('Daily Schedule'!$A54&gt;=46,'Daily Schedule'!$A54&lt;=52),'Daily Workforce'!$M173="Y",IFERROR(1*'Daily Workforce'!$P173&gt;=2,FALSE()))))),1,0)</f>
        <v>0</v>
      </c>
      <c r="GC50" s="1" t="n">
        <f aca="false">IF(AND('Daily Workforce'!$N174="Y",'Daily Workforce'!$B174&lt;&gt;"",COUNTIF('Daily Schedule'!$F$5:$F53,'Daily Workforce'!$B174)=0,IF('Daily Schedule'!$A54=45,'Daily Workforce'!$J174="Y",IF(OR('Daily Schedule'!$A54=4,'Daily Schedule'!$A54=8),IF(OR(WEEKDAY('Daily Schedule'!$B$2,2)=1,WEEKDAY('Daily Schedule'!$B$2,2)=4,WEEKDAY('Daily Schedule'!$B$2,2)=5,WEEKDAY('Daily Schedule'!$B$2,2)=7),IFERROR(1*'Daily Workforce'!$K174&gt;=3,FALSE()),IFERROR(1*'Daily Workforce'!$K174&gt;=2,FALSE())),IF(AND('Daily Schedule'!$A54&gt;=46,'Daily Schedule'!$A54&lt;=52),'Daily Workforce'!$M174="Y",IFERROR(1*'Daily Workforce'!$P174&gt;=2,FALSE()))))),1,0)</f>
        <v>0</v>
      </c>
      <c r="GD50" s="1" t="n">
        <f aca="false">IF(AND('Daily Workforce'!$N175="Y",'Daily Workforce'!$B175&lt;&gt;"",COUNTIF('Daily Schedule'!$F$5:$F53,'Daily Workforce'!$B175)=0,IF('Daily Schedule'!$A54=45,'Daily Workforce'!$J175="Y",IF(OR('Daily Schedule'!$A54=4,'Daily Schedule'!$A54=8),IF(OR(WEEKDAY('Daily Schedule'!$B$2,2)=1,WEEKDAY('Daily Schedule'!$B$2,2)=4,WEEKDAY('Daily Schedule'!$B$2,2)=5,WEEKDAY('Daily Schedule'!$B$2,2)=7),IFERROR(1*'Daily Workforce'!$K175&gt;=3,FALSE()),IFERROR(1*'Daily Workforce'!$K175&gt;=2,FALSE())),IF(AND('Daily Schedule'!$A54&gt;=46,'Daily Schedule'!$A54&lt;=52),'Daily Workforce'!$M175="Y",IFERROR(1*'Daily Workforce'!$P175&gt;=2,FALSE()))))),1,0)</f>
        <v>0</v>
      </c>
      <c r="GE50" s="1" t="n">
        <f aca="false">IF(AND('Daily Workforce'!$N176="Y",'Daily Workforce'!$B176&lt;&gt;"",COUNTIF('Daily Schedule'!$F$5:$F53,'Daily Workforce'!$B176)=0,IF('Daily Schedule'!$A54=45,'Daily Workforce'!$J176="Y",IF(OR('Daily Schedule'!$A54=4,'Daily Schedule'!$A54=8),IF(OR(WEEKDAY('Daily Schedule'!$B$2,2)=1,WEEKDAY('Daily Schedule'!$B$2,2)=4,WEEKDAY('Daily Schedule'!$B$2,2)=5,WEEKDAY('Daily Schedule'!$B$2,2)=7),IFERROR(1*'Daily Workforce'!$K176&gt;=3,FALSE()),IFERROR(1*'Daily Workforce'!$K176&gt;=2,FALSE())),IF(AND('Daily Schedule'!$A54&gt;=46,'Daily Schedule'!$A54&lt;=52),'Daily Workforce'!$M176="Y",IFERROR(1*'Daily Workforce'!$P176&gt;=2,FALSE()))))),1,0)</f>
        <v>0</v>
      </c>
      <c r="GF50" s="1" t="n">
        <f aca="false">IF(AND('Daily Workforce'!$N177="Y",'Daily Workforce'!$B177&lt;&gt;"",COUNTIF('Daily Schedule'!$F$5:$F53,'Daily Workforce'!$B177)=0,IF('Daily Schedule'!$A54=45,'Daily Workforce'!$J177="Y",IF(OR('Daily Schedule'!$A54=4,'Daily Schedule'!$A54=8),IF(OR(WEEKDAY('Daily Schedule'!$B$2,2)=1,WEEKDAY('Daily Schedule'!$B$2,2)=4,WEEKDAY('Daily Schedule'!$B$2,2)=5,WEEKDAY('Daily Schedule'!$B$2,2)=7),IFERROR(1*'Daily Workforce'!$K177&gt;=3,FALSE()),IFERROR(1*'Daily Workforce'!$K177&gt;=2,FALSE())),IF(AND('Daily Schedule'!$A54&gt;=46,'Daily Schedule'!$A54&lt;=52),'Daily Workforce'!$M177="Y",IFERROR(1*'Daily Workforce'!$P177&gt;=2,FALSE()))))),1,0)</f>
        <v>0</v>
      </c>
      <c r="GG50" s="1" t="n">
        <f aca="false">IF(AND('Daily Workforce'!$N178="Y",'Daily Workforce'!$B178&lt;&gt;"",COUNTIF('Daily Schedule'!$F$5:$F53,'Daily Workforce'!$B178)=0,IF('Daily Schedule'!$A54=45,'Daily Workforce'!$J178="Y",IF(OR('Daily Schedule'!$A54=4,'Daily Schedule'!$A54=8),IF(OR(WEEKDAY('Daily Schedule'!$B$2,2)=1,WEEKDAY('Daily Schedule'!$B$2,2)=4,WEEKDAY('Daily Schedule'!$B$2,2)=5,WEEKDAY('Daily Schedule'!$B$2,2)=7),IFERROR(1*'Daily Workforce'!$K178&gt;=3,FALSE()),IFERROR(1*'Daily Workforce'!$K178&gt;=2,FALSE())),IF(AND('Daily Schedule'!$A54&gt;=46,'Daily Schedule'!$A54&lt;=52),'Daily Workforce'!$M178="Y",IFERROR(1*'Daily Workforce'!$P178&gt;=2,FALSE()))))),1,0)</f>
        <v>0</v>
      </c>
      <c r="GH50" s="1" t="n">
        <f aca="false">IF(AND('Daily Workforce'!$N179="Y",'Daily Workforce'!$B179&lt;&gt;"",COUNTIF('Daily Schedule'!$F$5:$F53,'Daily Workforce'!$B179)=0,IF('Daily Schedule'!$A54=45,'Daily Workforce'!$J179="Y",IF(OR('Daily Schedule'!$A54=4,'Daily Schedule'!$A54=8),IF(OR(WEEKDAY('Daily Schedule'!$B$2,2)=1,WEEKDAY('Daily Schedule'!$B$2,2)=4,WEEKDAY('Daily Schedule'!$B$2,2)=5,WEEKDAY('Daily Schedule'!$B$2,2)=7),IFERROR(1*'Daily Workforce'!$K179&gt;=3,FALSE()),IFERROR(1*'Daily Workforce'!$K179&gt;=2,FALSE())),IF(AND('Daily Schedule'!$A54&gt;=46,'Daily Schedule'!$A54&lt;=52),'Daily Workforce'!$M179="Y",IFERROR(1*'Daily Workforce'!$P179&gt;=2,FALSE()))))),1,0)</f>
        <v>0</v>
      </c>
      <c r="GI50" s="1" t="n">
        <f aca="false">IF(AND('Daily Workforce'!$N180="Y",'Daily Workforce'!$B180&lt;&gt;"",COUNTIF('Daily Schedule'!$F$5:$F53,'Daily Workforce'!$B180)=0,IF('Daily Schedule'!$A54=45,'Daily Workforce'!$J180="Y",IF(OR('Daily Schedule'!$A54=4,'Daily Schedule'!$A54=8),IF(OR(WEEKDAY('Daily Schedule'!$B$2,2)=1,WEEKDAY('Daily Schedule'!$B$2,2)=4,WEEKDAY('Daily Schedule'!$B$2,2)=5,WEEKDAY('Daily Schedule'!$B$2,2)=7),IFERROR(1*'Daily Workforce'!$K180&gt;=3,FALSE()),IFERROR(1*'Daily Workforce'!$K180&gt;=2,FALSE())),IF(AND('Daily Schedule'!$A54&gt;=46,'Daily Schedule'!$A54&lt;=52),'Daily Workforce'!$M180="Y",IFERROR(1*'Daily Workforce'!$P180&gt;=2,FALSE()))))),1,0)</f>
        <v>0</v>
      </c>
      <c r="GJ50" s="1" t="n">
        <f aca="false">IF(AND('Daily Workforce'!$N181="Y",'Daily Workforce'!$B181&lt;&gt;"",COUNTIF('Daily Schedule'!$F$5:$F53,'Daily Workforce'!$B181)=0,IF('Daily Schedule'!$A54=45,'Daily Workforce'!$J181="Y",IF(OR('Daily Schedule'!$A54=4,'Daily Schedule'!$A54=8),IF(OR(WEEKDAY('Daily Schedule'!$B$2,2)=1,WEEKDAY('Daily Schedule'!$B$2,2)=4,WEEKDAY('Daily Schedule'!$B$2,2)=5,WEEKDAY('Daily Schedule'!$B$2,2)=7),IFERROR(1*'Daily Workforce'!$K181&gt;=3,FALSE()),IFERROR(1*'Daily Workforce'!$K181&gt;=2,FALSE())),IF(AND('Daily Schedule'!$A54&gt;=46,'Daily Schedule'!$A54&lt;=52),'Daily Workforce'!$M181="Y",IFERROR(1*'Daily Workforce'!$P181&gt;=2,FALSE()))))),1,0)</f>
        <v>0</v>
      </c>
      <c r="GK50" s="1" t="n">
        <f aca="false">IF(AND('Daily Workforce'!$N182="Y",'Daily Workforce'!$B182&lt;&gt;"",COUNTIF('Daily Schedule'!$F$5:$F53,'Daily Workforce'!$B182)=0,IF('Daily Schedule'!$A54=45,'Daily Workforce'!$J182="Y",IF(OR('Daily Schedule'!$A54=4,'Daily Schedule'!$A54=8),IF(OR(WEEKDAY('Daily Schedule'!$B$2,2)=1,WEEKDAY('Daily Schedule'!$B$2,2)=4,WEEKDAY('Daily Schedule'!$B$2,2)=5,WEEKDAY('Daily Schedule'!$B$2,2)=7),IFERROR(1*'Daily Workforce'!$K182&gt;=3,FALSE()),IFERROR(1*'Daily Workforce'!$K182&gt;=2,FALSE())),IF(AND('Daily Schedule'!$A54&gt;=46,'Daily Schedule'!$A54&lt;=52),'Daily Workforce'!$M182="Y",IFERROR(1*'Daily Workforce'!$P182&gt;=2,FALSE()))))),1,0)</f>
        <v>0</v>
      </c>
      <c r="GL50" s="1" t="n">
        <f aca="false">IF(AND('Daily Workforce'!$N183="Y",'Daily Workforce'!$B183&lt;&gt;"",COUNTIF('Daily Schedule'!$F$5:$F53,'Daily Workforce'!$B183)=0,IF('Daily Schedule'!$A54=45,'Daily Workforce'!$J183="Y",IF(OR('Daily Schedule'!$A54=4,'Daily Schedule'!$A54=8),IF(OR(WEEKDAY('Daily Schedule'!$B$2,2)=1,WEEKDAY('Daily Schedule'!$B$2,2)=4,WEEKDAY('Daily Schedule'!$B$2,2)=5,WEEKDAY('Daily Schedule'!$B$2,2)=7),IFERROR(1*'Daily Workforce'!$K183&gt;=3,FALSE()),IFERROR(1*'Daily Workforce'!$K183&gt;=2,FALSE())),IF(AND('Daily Schedule'!$A54&gt;=46,'Daily Schedule'!$A54&lt;=52),'Daily Workforce'!$M183="Y",IFERROR(1*'Daily Workforce'!$P183&gt;=2,FALSE()))))),1,0)</f>
        <v>0</v>
      </c>
      <c r="GM50" s="1" t="n">
        <f aca="false">IF(AND('Daily Workforce'!$N184="Y",'Daily Workforce'!$B184&lt;&gt;"",COUNTIF('Daily Schedule'!$F$5:$F53,'Daily Workforce'!$B184)=0,IF('Daily Schedule'!$A54=45,'Daily Workforce'!$J184="Y",IF(OR('Daily Schedule'!$A54=4,'Daily Schedule'!$A54=8),IF(OR(WEEKDAY('Daily Schedule'!$B$2,2)=1,WEEKDAY('Daily Schedule'!$B$2,2)=4,WEEKDAY('Daily Schedule'!$B$2,2)=5,WEEKDAY('Daily Schedule'!$B$2,2)=7),IFERROR(1*'Daily Workforce'!$K184&gt;=3,FALSE()),IFERROR(1*'Daily Workforce'!$K184&gt;=2,FALSE())),IF(AND('Daily Schedule'!$A54&gt;=46,'Daily Schedule'!$A54&lt;=52),'Daily Workforce'!$M184="Y",IFERROR(1*'Daily Workforce'!$P184&gt;=2,FALSE()))))),1,0)</f>
        <v>0</v>
      </c>
      <c r="GN50" s="1" t="n">
        <f aca="false">IF(AND('Daily Workforce'!$N185="Y",'Daily Workforce'!$B185&lt;&gt;"",COUNTIF('Daily Schedule'!$F$5:$F53,'Daily Workforce'!$B185)=0,IF('Daily Schedule'!$A54=45,'Daily Workforce'!$J185="Y",IF(OR('Daily Schedule'!$A54=4,'Daily Schedule'!$A54=8),IF(OR(WEEKDAY('Daily Schedule'!$B$2,2)=1,WEEKDAY('Daily Schedule'!$B$2,2)=4,WEEKDAY('Daily Schedule'!$B$2,2)=5,WEEKDAY('Daily Schedule'!$B$2,2)=7),IFERROR(1*'Daily Workforce'!$K185&gt;=3,FALSE()),IFERROR(1*'Daily Workforce'!$K185&gt;=2,FALSE())),IF(AND('Daily Schedule'!$A54&gt;=46,'Daily Schedule'!$A54&lt;=52),'Daily Workforce'!$M185="Y",IFERROR(1*'Daily Workforce'!$P185&gt;=2,FALSE()))))),1,0)</f>
        <v>0</v>
      </c>
      <c r="GO50" s="1" t="n">
        <f aca="false">IF(AND('Daily Workforce'!$N186="Y",'Daily Workforce'!$B186&lt;&gt;"",COUNTIF('Daily Schedule'!$F$5:$F53,'Daily Workforce'!$B186)=0,IF('Daily Schedule'!$A54=45,'Daily Workforce'!$J186="Y",IF(OR('Daily Schedule'!$A54=4,'Daily Schedule'!$A54=8),IF(OR(WEEKDAY('Daily Schedule'!$B$2,2)=1,WEEKDAY('Daily Schedule'!$B$2,2)=4,WEEKDAY('Daily Schedule'!$B$2,2)=5,WEEKDAY('Daily Schedule'!$B$2,2)=7),IFERROR(1*'Daily Workforce'!$K186&gt;=3,FALSE()),IFERROR(1*'Daily Workforce'!$K186&gt;=2,FALSE())),IF(AND('Daily Schedule'!$A54&gt;=46,'Daily Schedule'!$A54&lt;=52),'Daily Workforce'!$M186="Y",IFERROR(1*'Daily Workforce'!$P186&gt;=2,FALSE()))))),1,0)</f>
        <v>0</v>
      </c>
      <c r="GP50" s="1" t="n">
        <f aca="false">IF(AND('Daily Workforce'!$N187="Y",'Daily Workforce'!$B187&lt;&gt;"",COUNTIF('Daily Schedule'!$F$5:$F53,'Daily Workforce'!$B187)=0,IF('Daily Schedule'!$A54=45,'Daily Workforce'!$J187="Y",IF(OR('Daily Schedule'!$A54=4,'Daily Schedule'!$A54=8),IF(OR(WEEKDAY('Daily Schedule'!$B$2,2)=1,WEEKDAY('Daily Schedule'!$B$2,2)=4,WEEKDAY('Daily Schedule'!$B$2,2)=5,WEEKDAY('Daily Schedule'!$B$2,2)=7),IFERROR(1*'Daily Workforce'!$K187&gt;=3,FALSE()),IFERROR(1*'Daily Workforce'!$K187&gt;=2,FALSE())),IF(AND('Daily Schedule'!$A54&gt;=46,'Daily Schedule'!$A54&lt;=52),'Daily Workforce'!$M187="Y",IFERROR(1*'Daily Workforce'!$P187&gt;=2,FALSE()))))),1,0)</f>
        <v>0</v>
      </c>
      <c r="GQ50" s="1" t="n">
        <f aca="false">IF(AND('Daily Workforce'!$N188="Y",'Daily Workforce'!$B188&lt;&gt;"",COUNTIF('Daily Schedule'!$F$5:$F53,'Daily Workforce'!$B188)=0,IF('Daily Schedule'!$A54=45,'Daily Workforce'!$J188="Y",IF(OR('Daily Schedule'!$A54=4,'Daily Schedule'!$A54=8),IF(OR(WEEKDAY('Daily Schedule'!$B$2,2)=1,WEEKDAY('Daily Schedule'!$B$2,2)=4,WEEKDAY('Daily Schedule'!$B$2,2)=5,WEEKDAY('Daily Schedule'!$B$2,2)=7),IFERROR(1*'Daily Workforce'!$K188&gt;=3,FALSE()),IFERROR(1*'Daily Workforce'!$K188&gt;=2,FALSE())),IF(AND('Daily Schedule'!$A54&gt;=46,'Daily Schedule'!$A54&lt;=52),'Daily Workforce'!$M188="Y",IFERROR(1*'Daily Workforce'!$P188&gt;=2,FALSE()))))),1,0)</f>
        <v>0</v>
      </c>
      <c r="GR50" s="1" t="n">
        <f aca="false">IF(AND('Daily Workforce'!$N189="Y",'Daily Workforce'!$B189&lt;&gt;"",COUNTIF('Daily Schedule'!$F$5:$F53,'Daily Workforce'!$B189)=0,IF('Daily Schedule'!$A54=45,'Daily Workforce'!$J189="Y",IF(OR('Daily Schedule'!$A54=4,'Daily Schedule'!$A54=8),IF(OR(WEEKDAY('Daily Schedule'!$B$2,2)=1,WEEKDAY('Daily Schedule'!$B$2,2)=4,WEEKDAY('Daily Schedule'!$B$2,2)=5,WEEKDAY('Daily Schedule'!$B$2,2)=7),IFERROR(1*'Daily Workforce'!$K189&gt;=3,FALSE()),IFERROR(1*'Daily Workforce'!$K189&gt;=2,FALSE())),IF(AND('Daily Schedule'!$A54&gt;=46,'Daily Schedule'!$A54&lt;=52),'Daily Workforce'!$M189="Y",IFERROR(1*'Daily Workforce'!$P189&gt;=2,FALSE()))))),1,0)</f>
        <v>0</v>
      </c>
      <c r="GS50" s="1" t="n">
        <f aca="false">IF(AND('Daily Workforce'!$N190="Y",'Daily Workforce'!$B190&lt;&gt;"",COUNTIF('Daily Schedule'!$F$5:$F53,'Daily Workforce'!$B190)=0,IF('Daily Schedule'!$A54=45,'Daily Workforce'!$J190="Y",IF(OR('Daily Schedule'!$A54=4,'Daily Schedule'!$A54=8),IF(OR(WEEKDAY('Daily Schedule'!$B$2,2)=1,WEEKDAY('Daily Schedule'!$B$2,2)=4,WEEKDAY('Daily Schedule'!$B$2,2)=5,WEEKDAY('Daily Schedule'!$B$2,2)=7),IFERROR(1*'Daily Workforce'!$K190&gt;=3,FALSE()),IFERROR(1*'Daily Workforce'!$K190&gt;=2,FALSE())),IF(AND('Daily Schedule'!$A54&gt;=46,'Daily Schedule'!$A54&lt;=52),'Daily Workforce'!$M190="Y",IFERROR(1*'Daily Workforce'!$P190&gt;=2,FALSE()))))),1,0)</f>
        <v>0</v>
      </c>
      <c r="GT50" s="1" t="n">
        <f aca="false">IF(AND('Daily Workforce'!$N191="Y",'Daily Workforce'!$B191&lt;&gt;"",COUNTIF('Daily Schedule'!$F$5:$F53,'Daily Workforce'!$B191)=0,IF('Daily Schedule'!$A54=45,'Daily Workforce'!$J191="Y",IF(OR('Daily Schedule'!$A54=4,'Daily Schedule'!$A54=8),IF(OR(WEEKDAY('Daily Schedule'!$B$2,2)=1,WEEKDAY('Daily Schedule'!$B$2,2)=4,WEEKDAY('Daily Schedule'!$B$2,2)=5,WEEKDAY('Daily Schedule'!$B$2,2)=7),IFERROR(1*'Daily Workforce'!$K191&gt;=3,FALSE()),IFERROR(1*'Daily Workforce'!$K191&gt;=2,FALSE())),IF(AND('Daily Schedule'!$A54&gt;=46,'Daily Schedule'!$A54&lt;=52),'Daily Workforce'!$M191="Y",IFERROR(1*'Daily Workforce'!$P191&gt;=2,FALSE()))))),1,0)</f>
        <v>0</v>
      </c>
      <c r="GU50" s="1" t="n">
        <f aca="false">IF(AND('Daily Workforce'!$N192="Y",'Daily Workforce'!$B192&lt;&gt;"",COUNTIF('Daily Schedule'!$F$5:$F53,'Daily Workforce'!$B192)=0,IF('Daily Schedule'!$A54=45,'Daily Workforce'!$J192="Y",IF(OR('Daily Schedule'!$A54=4,'Daily Schedule'!$A54=8),IF(OR(WEEKDAY('Daily Schedule'!$B$2,2)=1,WEEKDAY('Daily Schedule'!$B$2,2)=4,WEEKDAY('Daily Schedule'!$B$2,2)=5,WEEKDAY('Daily Schedule'!$B$2,2)=7),IFERROR(1*'Daily Workforce'!$K192&gt;=3,FALSE()),IFERROR(1*'Daily Workforce'!$K192&gt;=2,FALSE())),IF(AND('Daily Schedule'!$A54&gt;=46,'Daily Schedule'!$A54&lt;=52),'Daily Workforce'!$M192="Y",IFERROR(1*'Daily Workforce'!$P192&gt;=2,FALSE()))))),1,0)</f>
        <v>0</v>
      </c>
      <c r="GV50" s="1" t="n">
        <f aca="false">IF(AND('Daily Workforce'!$N193="Y",'Daily Workforce'!$B193&lt;&gt;"",COUNTIF('Daily Schedule'!$F$5:$F53,'Daily Workforce'!$B193)=0,IF('Daily Schedule'!$A54=45,'Daily Workforce'!$J193="Y",IF(OR('Daily Schedule'!$A54=4,'Daily Schedule'!$A54=8),IF(OR(WEEKDAY('Daily Schedule'!$B$2,2)=1,WEEKDAY('Daily Schedule'!$B$2,2)=4,WEEKDAY('Daily Schedule'!$B$2,2)=5,WEEKDAY('Daily Schedule'!$B$2,2)=7),IFERROR(1*'Daily Workforce'!$K193&gt;=3,FALSE()),IFERROR(1*'Daily Workforce'!$K193&gt;=2,FALSE())),IF(AND('Daily Schedule'!$A54&gt;=46,'Daily Schedule'!$A54&lt;=52),'Daily Workforce'!$M193="Y",IFERROR(1*'Daily Workforce'!$P193&gt;=2,FALSE()))))),1,0)</f>
        <v>0</v>
      </c>
      <c r="GW50" s="1" t="n">
        <f aca="false">IF(AND('Daily Workforce'!$N194="Y",'Daily Workforce'!$B194&lt;&gt;"",COUNTIF('Daily Schedule'!$F$5:$F53,'Daily Workforce'!$B194)=0,IF('Daily Schedule'!$A54=45,'Daily Workforce'!$J194="Y",IF(OR('Daily Schedule'!$A54=4,'Daily Schedule'!$A54=8),IF(OR(WEEKDAY('Daily Schedule'!$B$2,2)=1,WEEKDAY('Daily Schedule'!$B$2,2)=4,WEEKDAY('Daily Schedule'!$B$2,2)=5,WEEKDAY('Daily Schedule'!$B$2,2)=7),IFERROR(1*'Daily Workforce'!$K194&gt;=3,FALSE()),IFERROR(1*'Daily Workforce'!$K194&gt;=2,FALSE())),IF(AND('Daily Schedule'!$A54&gt;=46,'Daily Schedule'!$A54&lt;=52),'Daily Workforce'!$M194="Y",IFERROR(1*'Daily Workforce'!$P194&gt;=2,FALSE()))))),1,0)</f>
        <v>0</v>
      </c>
      <c r="GX50" s="1" t="n">
        <f aca="false">IF(AND('Daily Workforce'!$N195="Y",'Daily Workforce'!$B195&lt;&gt;"",COUNTIF('Daily Schedule'!$F$5:$F53,'Daily Workforce'!$B195)=0,IF('Daily Schedule'!$A54=45,'Daily Workforce'!$J195="Y",IF(OR('Daily Schedule'!$A54=4,'Daily Schedule'!$A54=8),IF(OR(WEEKDAY('Daily Schedule'!$B$2,2)=1,WEEKDAY('Daily Schedule'!$B$2,2)=4,WEEKDAY('Daily Schedule'!$B$2,2)=5,WEEKDAY('Daily Schedule'!$B$2,2)=7),IFERROR(1*'Daily Workforce'!$K195&gt;=3,FALSE()),IFERROR(1*'Daily Workforce'!$K195&gt;=2,FALSE())),IF(AND('Daily Schedule'!$A54&gt;=46,'Daily Schedule'!$A54&lt;=52),'Daily Workforce'!$M195="Y",IFERROR(1*'Daily Workforce'!$P195&gt;=2,FALSE()))))),1,0)</f>
        <v>0</v>
      </c>
      <c r="GY50" s="1" t="n">
        <f aca="false">IF(AND('Daily Workforce'!$N196="Y",'Daily Workforce'!$B196&lt;&gt;"",COUNTIF('Daily Schedule'!$F$5:$F53,'Daily Workforce'!$B196)=0,IF('Daily Schedule'!$A54=45,'Daily Workforce'!$J196="Y",IF(OR('Daily Schedule'!$A54=4,'Daily Schedule'!$A54=8),IF(OR(WEEKDAY('Daily Schedule'!$B$2,2)=1,WEEKDAY('Daily Schedule'!$B$2,2)=4,WEEKDAY('Daily Schedule'!$B$2,2)=5,WEEKDAY('Daily Schedule'!$B$2,2)=7),IFERROR(1*'Daily Workforce'!$K196&gt;=3,FALSE()),IFERROR(1*'Daily Workforce'!$K196&gt;=2,FALSE())),IF(AND('Daily Schedule'!$A54&gt;=46,'Daily Schedule'!$A54&lt;=52),'Daily Workforce'!$M196="Y",IFERROR(1*'Daily Workforce'!$P196&gt;=2,FALSE()))))),1,0)</f>
        <v>0</v>
      </c>
      <c r="GZ50" s="1" t="n">
        <f aca="false">IF(AND('Daily Workforce'!$N197="Y",'Daily Workforce'!$B197&lt;&gt;"",COUNTIF('Daily Schedule'!$F$5:$F53,'Daily Workforce'!$B197)=0,IF('Daily Schedule'!$A54=45,'Daily Workforce'!$J197="Y",IF(OR('Daily Schedule'!$A54=4,'Daily Schedule'!$A54=8),IF(OR(WEEKDAY('Daily Schedule'!$B$2,2)=1,WEEKDAY('Daily Schedule'!$B$2,2)=4,WEEKDAY('Daily Schedule'!$B$2,2)=5,WEEKDAY('Daily Schedule'!$B$2,2)=7),IFERROR(1*'Daily Workforce'!$K197&gt;=3,FALSE()),IFERROR(1*'Daily Workforce'!$K197&gt;=2,FALSE())),IF(AND('Daily Schedule'!$A54&gt;=46,'Daily Schedule'!$A54&lt;=52),'Daily Workforce'!$M197="Y",IFERROR(1*'Daily Workforce'!$P197&gt;=2,FALSE()))))),1,0)</f>
        <v>0</v>
      </c>
      <c r="HA50" s="1" t="n">
        <f aca="false">IF(AND('Daily Workforce'!$N198="Y",'Daily Workforce'!$B198&lt;&gt;"",COUNTIF('Daily Schedule'!$F$5:$F53,'Daily Workforce'!$B198)=0,IF('Daily Schedule'!$A54=45,'Daily Workforce'!$J198="Y",IF(OR('Daily Schedule'!$A54=4,'Daily Schedule'!$A54=8),IF(OR(WEEKDAY('Daily Schedule'!$B$2,2)=1,WEEKDAY('Daily Schedule'!$B$2,2)=4,WEEKDAY('Daily Schedule'!$B$2,2)=5,WEEKDAY('Daily Schedule'!$B$2,2)=7),IFERROR(1*'Daily Workforce'!$K198&gt;=3,FALSE()),IFERROR(1*'Daily Workforce'!$K198&gt;=2,FALSE())),IF(AND('Daily Schedule'!$A54&gt;=46,'Daily Schedule'!$A54&lt;=52),'Daily Workforce'!$M198="Y",IFERROR(1*'Daily Workforce'!$P198&gt;=2,FALSE()))))),1,0)</f>
        <v>0</v>
      </c>
      <c r="HB50" s="1" t="n">
        <f aca="false">IF(AND('Daily Workforce'!$N199="Y",'Daily Workforce'!$B199&lt;&gt;"",COUNTIF('Daily Schedule'!$F$5:$F53,'Daily Workforce'!$B199)=0,IF('Daily Schedule'!$A54=45,'Daily Workforce'!$J199="Y",IF(OR('Daily Schedule'!$A54=4,'Daily Schedule'!$A54=8),IF(OR(WEEKDAY('Daily Schedule'!$B$2,2)=1,WEEKDAY('Daily Schedule'!$B$2,2)=4,WEEKDAY('Daily Schedule'!$B$2,2)=5,WEEKDAY('Daily Schedule'!$B$2,2)=7),IFERROR(1*'Daily Workforce'!$K199&gt;=3,FALSE()),IFERROR(1*'Daily Workforce'!$K199&gt;=2,FALSE())),IF(AND('Daily Schedule'!$A54&gt;=46,'Daily Schedule'!$A54&lt;=52),'Daily Workforce'!$M199="Y",IFERROR(1*'Daily Workforce'!$P199&gt;=2,FALSE()))))),1,0)</f>
        <v>0</v>
      </c>
      <c r="HC50" s="1" t="n">
        <f aca="false">IF(AND('Daily Workforce'!$N200="Y",'Daily Workforce'!$B200&lt;&gt;"",COUNTIF('Daily Schedule'!$F$5:$F53,'Daily Workforce'!$B200)=0,IF('Daily Schedule'!$A54=45,'Daily Workforce'!$J200="Y",IF(OR('Daily Schedule'!$A54=4,'Daily Schedule'!$A54=8),IF(OR(WEEKDAY('Daily Schedule'!$B$2,2)=1,WEEKDAY('Daily Schedule'!$B$2,2)=4,WEEKDAY('Daily Schedule'!$B$2,2)=5,WEEKDAY('Daily Schedule'!$B$2,2)=7),IFERROR(1*'Daily Workforce'!$K200&gt;=3,FALSE()),IFERROR(1*'Daily Workforce'!$K200&gt;=2,FALSE())),IF(AND('Daily Schedule'!$A54&gt;=46,'Daily Schedule'!$A54&lt;=52),'Daily Workforce'!$M200="Y",IFERROR(1*'Daily Workforce'!$P200&gt;=2,FALSE()))))),1,0)</f>
        <v>0</v>
      </c>
      <c r="HD50" s="1" t="n">
        <f aca="false">IF(AND('Daily Workforce'!$N201="Y",'Daily Workforce'!$B201&lt;&gt;"",COUNTIF('Daily Schedule'!$F$5:$F53,'Daily Workforce'!$B201)=0,IF('Daily Schedule'!$A54=45,'Daily Workforce'!$J201="Y",IF(OR('Daily Schedule'!$A54=4,'Daily Schedule'!$A54=8),IF(OR(WEEKDAY('Daily Schedule'!$B$2,2)=1,WEEKDAY('Daily Schedule'!$B$2,2)=4,WEEKDAY('Daily Schedule'!$B$2,2)=5,WEEKDAY('Daily Schedule'!$B$2,2)=7),IFERROR(1*'Daily Workforce'!$K201&gt;=3,FALSE()),IFERROR(1*'Daily Workforce'!$K201&gt;=2,FALSE())),IF(AND('Daily Schedule'!$A54&gt;=46,'Daily Schedule'!$A54&lt;=52),'Daily Workforce'!$M201="Y",IFERROR(1*'Daily Workforce'!$P201&gt;=2,FALSE()))))),1,0)</f>
        <v>0</v>
      </c>
      <c r="HE50" s="1" t="n">
        <f aca="false">IF(AND('Daily Workforce'!$N202="Y",'Daily Workforce'!$B202&lt;&gt;"",COUNTIF('Daily Schedule'!$F$5:$F53,'Daily Workforce'!$B202)=0,IF('Daily Schedule'!$A54=45,'Daily Workforce'!$J202="Y",IF(OR('Daily Schedule'!$A54=4,'Daily Schedule'!$A54=8),IF(OR(WEEKDAY('Daily Schedule'!$B$2,2)=1,WEEKDAY('Daily Schedule'!$B$2,2)=4,WEEKDAY('Daily Schedule'!$B$2,2)=5,WEEKDAY('Daily Schedule'!$B$2,2)=7),IFERROR(1*'Daily Workforce'!$K202&gt;=3,FALSE()),IFERROR(1*'Daily Workforce'!$K202&gt;=2,FALSE())),IF(AND('Daily Schedule'!$A54&gt;=46,'Daily Schedule'!$A54&lt;=52),'Daily Workforce'!$M202="Y",IFERROR(1*'Daily Workforce'!$P202&gt;=2,FALSE()))))),1,0)</f>
        <v>0</v>
      </c>
      <c r="HF50" s="1" t="n">
        <f aca="false">IF(AND('Daily Workforce'!$N203="Y",'Daily Workforce'!$B203&lt;&gt;"",COUNTIF('Daily Schedule'!$F$5:$F53,'Daily Workforce'!$B203)=0,IF('Daily Schedule'!$A54=45,'Daily Workforce'!$J203="Y",IF(OR('Daily Schedule'!$A54=4,'Daily Schedule'!$A54=8),IF(OR(WEEKDAY('Daily Schedule'!$B$2,2)=1,WEEKDAY('Daily Schedule'!$B$2,2)=4,WEEKDAY('Daily Schedule'!$B$2,2)=5,WEEKDAY('Daily Schedule'!$B$2,2)=7),IFERROR(1*'Daily Workforce'!$K203&gt;=3,FALSE()),IFERROR(1*'Daily Workforce'!$K203&gt;=2,FALSE())),IF(AND('Daily Schedule'!$A54&gt;=46,'Daily Schedule'!$A54&lt;=52),'Daily Workforce'!$M203="Y",IFERROR(1*'Daily Workforce'!$P203&gt;=2,FALSE()))))),1,0)</f>
        <v>0</v>
      </c>
      <c r="HG50" s="1" t="n">
        <f aca="false">IF(AND('Daily Workforce'!$N204="Y",'Daily Workforce'!$B204&lt;&gt;"",COUNTIF('Daily Schedule'!$F$5:$F53,'Daily Workforce'!$B204)=0,IF('Daily Schedule'!$A54=45,'Daily Workforce'!$J204="Y",IF(OR('Daily Schedule'!$A54=4,'Daily Schedule'!$A54=8),IF(OR(WEEKDAY('Daily Schedule'!$B$2,2)=1,WEEKDAY('Daily Schedule'!$B$2,2)=4,WEEKDAY('Daily Schedule'!$B$2,2)=5,WEEKDAY('Daily Schedule'!$B$2,2)=7),IFERROR(1*'Daily Workforce'!$K204&gt;=3,FALSE()),IFERROR(1*'Daily Workforce'!$K204&gt;=2,FALSE())),IF(AND('Daily Schedule'!$A54&gt;=46,'Daily Schedule'!$A54&lt;=52),'Daily Workforce'!$M204="Y",IFERROR(1*'Daily Workforce'!$P204&gt;=2,FALSE()))))),1,0)</f>
        <v>0</v>
      </c>
      <c r="HH50" s="1" t="n">
        <f aca="false">IF(AND('Daily Workforce'!$N205="Y",'Daily Workforce'!$B205&lt;&gt;"",COUNTIF('Daily Schedule'!$F$5:$F53,'Daily Workforce'!$B205)=0,IF('Daily Schedule'!$A54=45,'Daily Workforce'!$J205="Y",IF(OR('Daily Schedule'!$A54=4,'Daily Schedule'!$A54=8),IF(OR(WEEKDAY('Daily Schedule'!$B$2,2)=1,WEEKDAY('Daily Schedule'!$B$2,2)=4,WEEKDAY('Daily Schedule'!$B$2,2)=5,WEEKDAY('Daily Schedule'!$B$2,2)=7),IFERROR(1*'Daily Workforce'!$K205&gt;=3,FALSE()),IFERROR(1*'Daily Workforce'!$K205&gt;=2,FALSE())),IF(AND('Daily Schedule'!$A54&gt;=46,'Daily Schedule'!$A54&lt;=52),'Daily Workforce'!$M205="Y",IFERROR(1*'Daily Workforce'!$P205&gt;=2,FALSE()))))),1,0)</f>
        <v>0</v>
      </c>
    </row>
    <row r="51" customFormat="false" ht="15" hidden="false" customHeight="true" outlineLevel="0" collapsed="false">
      <c r="L51" s="1" t="s">
        <v>478</v>
      </c>
      <c r="O51" s="1" t="str">
        <f aca="false">IF(AND('Employee Master'!$G51="Y",ISERROR(SEARCH(TEXT('Daily Workforce'!$B$2,"ddd"),'Employee Master'!$D51)),IF('Daily Workforce'!$E$2="",TRUE(),'Employee Master'!$I51='Daily Workforce'!$E$2)),'Employee Master'!$K51*1000+ROW()-1,"")</f>
        <v/>
      </c>
      <c r="P51" s="1" t="str">
        <f aca="false">IF($O51="","",COUNTIF($O$2:$O$159,"&lt;="&amp;$O51))</f>
        <v/>
      </c>
      <c r="Q51" s="1" t="n">
        <f aca="false">IF(AND('Daily Workforce'!$N6="Y",'Daily Workforce'!$B6&lt;&gt;"",COUNTIF('Daily Schedule'!$F$5:$F54,'Daily Workforce'!$B6)=0,IF('Daily Schedule'!$A55=45,'Daily Workforce'!$J6="Y",IF(OR('Daily Schedule'!$A55=4,'Daily Schedule'!$A55=8),IF(OR(WEEKDAY('Daily Schedule'!$B$2,2)=1,WEEKDAY('Daily Schedule'!$B$2,2)=4,WEEKDAY('Daily Schedule'!$B$2,2)=5,WEEKDAY('Daily Schedule'!$B$2,2)=7),IFERROR(1*'Daily Workforce'!$K6&gt;=3,FALSE()),IFERROR(1*'Daily Workforce'!$K6&gt;=2,FALSE())),IF(AND('Daily Schedule'!$A55&gt;=46,'Daily Schedule'!$A55&lt;=52),'Daily Workforce'!$M6="Y",IFERROR(1*'Daily Workforce'!$P6&gt;=2,FALSE()))))),1,0)</f>
        <v>0</v>
      </c>
      <c r="R51" s="1" t="n">
        <f aca="false">IF(AND('Daily Workforce'!$N7="Y",'Daily Workforce'!$B7&lt;&gt;"",COUNTIF('Daily Schedule'!$F$5:$F54,'Daily Workforce'!$B7)=0,IF('Daily Schedule'!$A55=45,'Daily Workforce'!$J7="Y",IF(OR('Daily Schedule'!$A55=4,'Daily Schedule'!$A55=8),IF(OR(WEEKDAY('Daily Schedule'!$B$2,2)=1,WEEKDAY('Daily Schedule'!$B$2,2)=4,WEEKDAY('Daily Schedule'!$B$2,2)=5,WEEKDAY('Daily Schedule'!$B$2,2)=7),IFERROR(1*'Daily Workforce'!$K7&gt;=3,FALSE()),IFERROR(1*'Daily Workforce'!$K7&gt;=2,FALSE())),IF(AND('Daily Schedule'!$A55&gt;=46,'Daily Schedule'!$A55&lt;=52),'Daily Workforce'!$M7="Y",IFERROR(1*'Daily Workforce'!$P7&gt;=2,FALSE()))))),1,0)</f>
        <v>0</v>
      </c>
      <c r="S51" s="1" t="n">
        <f aca="false">IF(AND('Daily Workforce'!$N8="Y",'Daily Workforce'!$B8&lt;&gt;"",COUNTIF('Daily Schedule'!$F$5:$F54,'Daily Workforce'!$B8)=0,IF('Daily Schedule'!$A55=45,'Daily Workforce'!$J8="Y",IF(OR('Daily Schedule'!$A55=4,'Daily Schedule'!$A55=8),IF(OR(WEEKDAY('Daily Schedule'!$B$2,2)=1,WEEKDAY('Daily Schedule'!$B$2,2)=4,WEEKDAY('Daily Schedule'!$B$2,2)=5,WEEKDAY('Daily Schedule'!$B$2,2)=7),IFERROR(1*'Daily Workforce'!$K8&gt;=3,FALSE()),IFERROR(1*'Daily Workforce'!$K8&gt;=2,FALSE())),IF(AND('Daily Schedule'!$A55&gt;=46,'Daily Schedule'!$A55&lt;=52),'Daily Workforce'!$M8="Y",IFERROR(1*'Daily Workforce'!$P8&gt;=2,FALSE()))))),1,0)</f>
        <v>0</v>
      </c>
      <c r="T51" s="1" t="n">
        <f aca="false">IF(AND('Daily Workforce'!$N9="Y",'Daily Workforce'!$B9&lt;&gt;"",COUNTIF('Daily Schedule'!$F$5:$F54,'Daily Workforce'!$B9)=0,IF('Daily Schedule'!$A55=45,'Daily Workforce'!$J9="Y",IF(OR('Daily Schedule'!$A55=4,'Daily Schedule'!$A55=8),IF(OR(WEEKDAY('Daily Schedule'!$B$2,2)=1,WEEKDAY('Daily Schedule'!$B$2,2)=4,WEEKDAY('Daily Schedule'!$B$2,2)=5,WEEKDAY('Daily Schedule'!$B$2,2)=7),IFERROR(1*'Daily Workforce'!$K9&gt;=3,FALSE()),IFERROR(1*'Daily Workforce'!$K9&gt;=2,FALSE())),IF(AND('Daily Schedule'!$A55&gt;=46,'Daily Schedule'!$A55&lt;=52),'Daily Workforce'!$M9="Y",IFERROR(1*'Daily Workforce'!$P9&gt;=2,FALSE()))))),1,0)</f>
        <v>0</v>
      </c>
      <c r="U51" s="1" t="n">
        <f aca="false">IF(AND('Daily Workforce'!$N10="Y",'Daily Workforce'!$B10&lt;&gt;"",COUNTIF('Daily Schedule'!$F$5:$F54,'Daily Workforce'!$B10)=0,IF('Daily Schedule'!$A55=45,'Daily Workforce'!$J10="Y",IF(OR('Daily Schedule'!$A55=4,'Daily Schedule'!$A55=8),IF(OR(WEEKDAY('Daily Schedule'!$B$2,2)=1,WEEKDAY('Daily Schedule'!$B$2,2)=4,WEEKDAY('Daily Schedule'!$B$2,2)=5,WEEKDAY('Daily Schedule'!$B$2,2)=7),IFERROR(1*'Daily Workforce'!$K10&gt;=3,FALSE()),IFERROR(1*'Daily Workforce'!$K10&gt;=2,FALSE())),IF(AND('Daily Schedule'!$A55&gt;=46,'Daily Schedule'!$A55&lt;=52),'Daily Workforce'!$M10="Y",IFERROR(1*'Daily Workforce'!$P10&gt;=2,FALSE()))))),1,0)</f>
        <v>0</v>
      </c>
      <c r="V51" s="1" t="n">
        <f aca="false">IF(AND('Daily Workforce'!$N11="Y",'Daily Workforce'!$B11&lt;&gt;"",COUNTIF('Daily Schedule'!$F$5:$F54,'Daily Workforce'!$B11)=0,IF('Daily Schedule'!$A55=45,'Daily Workforce'!$J11="Y",IF(OR('Daily Schedule'!$A55=4,'Daily Schedule'!$A55=8),IF(OR(WEEKDAY('Daily Schedule'!$B$2,2)=1,WEEKDAY('Daily Schedule'!$B$2,2)=4,WEEKDAY('Daily Schedule'!$B$2,2)=5,WEEKDAY('Daily Schedule'!$B$2,2)=7),IFERROR(1*'Daily Workforce'!$K11&gt;=3,FALSE()),IFERROR(1*'Daily Workforce'!$K11&gt;=2,FALSE())),IF(AND('Daily Schedule'!$A55&gt;=46,'Daily Schedule'!$A55&lt;=52),'Daily Workforce'!$M11="Y",IFERROR(1*'Daily Workforce'!$P11&gt;=2,FALSE()))))),1,0)</f>
        <v>0</v>
      </c>
      <c r="W51" s="1" t="n">
        <f aca="false">IF(AND('Daily Workforce'!$N12="Y",'Daily Workforce'!$B12&lt;&gt;"",COUNTIF('Daily Schedule'!$F$5:$F54,'Daily Workforce'!$B12)=0,IF('Daily Schedule'!$A55=45,'Daily Workforce'!$J12="Y",IF(OR('Daily Schedule'!$A55=4,'Daily Schedule'!$A55=8),IF(OR(WEEKDAY('Daily Schedule'!$B$2,2)=1,WEEKDAY('Daily Schedule'!$B$2,2)=4,WEEKDAY('Daily Schedule'!$B$2,2)=5,WEEKDAY('Daily Schedule'!$B$2,2)=7),IFERROR(1*'Daily Workforce'!$K12&gt;=3,FALSE()),IFERROR(1*'Daily Workforce'!$K12&gt;=2,FALSE())),IF(AND('Daily Schedule'!$A55&gt;=46,'Daily Schedule'!$A55&lt;=52),'Daily Workforce'!$M12="Y",IFERROR(1*'Daily Workforce'!$P12&gt;=2,FALSE()))))),1,0)</f>
        <v>0</v>
      </c>
      <c r="X51" s="1" t="n">
        <f aca="false">IF(AND('Daily Workforce'!$N13="Y",'Daily Workforce'!$B13&lt;&gt;"",COUNTIF('Daily Schedule'!$F$5:$F54,'Daily Workforce'!$B13)=0,IF('Daily Schedule'!$A55=45,'Daily Workforce'!$J13="Y",IF(OR('Daily Schedule'!$A55=4,'Daily Schedule'!$A55=8),IF(OR(WEEKDAY('Daily Schedule'!$B$2,2)=1,WEEKDAY('Daily Schedule'!$B$2,2)=4,WEEKDAY('Daily Schedule'!$B$2,2)=5,WEEKDAY('Daily Schedule'!$B$2,2)=7),IFERROR(1*'Daily Workforce'!$K13&gt;=3,FALSE()),IFERROR(1*'Daily Workforce'!$K13&gt;=2,FALSE())),IF(AND('Daily Schedule'!$A55&gt;=46,'Daily Schedule'!$A55&lt;=52),'Daily Workforce'!$M13="Y",IFERROR(1*'Daily Workforce'!$P13&gt;=2,FALSE()))))),1,0)</f>
        <v>0</v>
      </c>
      <c r="Y51" s="1" t="n">
        <f aca="false">IF(AND('Daily Workforce'!$N14="Y",'Daily Workforce'!$B14&lt;&gt;"",COUNTIF('Daily Schedule'!$F$5:$F54,'Daily Workforce'!$B14)=0,IF('Daily Schedule'!$A55=45,'Daily Workforce'!$J14="Y",IF(OR('Daily Schedule'!$A55=4,'Daily Schedule'!$A55=8),IF(OR(WEEKDAY('Daily Schedule'!$B$2,2)=1,WEEKDAY('Daily Schedule'!$B$2,2)=4,WEEKDAY('Daily Schedule'!$B$2,2)=5,WEEKDAY('Daily Schedule'!$B$2,2)=7),IFERROR(1*'Daily Workforce'!$K14&gt;=3,FALSE()),IFERROR(1*'Daily Workforce'!$K14&gt;=2,FALSE())),IF(AND('Daily Schedule'!$A55&gt;=46,'Daily Schedule'!$A55&lt;=52),'Daily Workforce'!$M14="Y",IFERROR(1*'Daily Workforce'!$P14&gt;=2,FALSE()))))),1,0)</f>
        <v>0</v>
      </c>
      <c r="Z51" s="1" t="n">
        <f aca="false">IF(AND('Daily Workforce'!$N15="Y",'Daily Workforce'!$B15&lt;&gt;"",COUNTIF('Daily Schedule'!$F$5:$F54,'Daily Workforce'!$B15)=0,IF('Daily Schedule'!$A55=45,'Daily Workforce'!$J15="Y",IF(OR('Daily Schedule'!$A55=4,'Daily Schedule'!$A55=8),IF(OR(WEEKDAY('Daily Schedule'!$B$2,2)=1,WEEKDAY('Daily Schedule'!$B$2,2)=4,WEEKDAY('Daily Schedule'!$B$2,2)=5,WEEKDAY('Daily Schedule'!$B$2,2)=7),IFERROR(1*'Daily Workforce'!$K15&gt;=3,FALSE()),IFERROR(1*'Daily Workforce'!$K15&gt;=2,FALSE())),IF(AND('Daily Schedule'!$A55&gt;=46,'Daily Schedule'!$A55&lt;=52),'Daily Workforce'!$M15="Y",IFERROR(1*'Daily Workforce'!$P15&gt;=2,FALSE()))))),1,0)</f>
        <v>0</v>
      </c>
      <c r="AA51" s="1" t="n">
        <f aca="false">IF(AND('Daily Workforce'!$N16="Y",'Daily Workforce'!$B16&lt;&gt;"",COUNTIF('Daily Schedule'!$F$5:$F54,'Daily Workforce'!$B16)=0,IF('Daily Schedule'!$A55=45,'Daily Workforce'!$J16="Y",IF(OR('Daily Schedule'!$A55=4,'Daily Schedule'!$A55=8),IF(OR(WEEKDAY('Daily Schedule'!$B$2,2)=1,WEEKDAY('Daily Schedule'!$B$2,2)=4,WEEKDAY('Daily Schedule'!$B$2,2)=5,WEEKDAY('Daily Schedule'!$B$2,2)=7),IFERROR(1*'Daily Workforce'!$K16&gt;=3,FALSE()),IFERROR(1*'Daily Workforce'!$K16&gt;=2,FALSE())),IF(AND('Daily Schedule'!$A55&gt;=46,'Daily Schedule'!$A55&lt;=52),'Daily Workforce'!$M16="Y",IFERROR(1*'Daily Workforce'!$P16&gt;=2,FALSE()))))),1,0)</f>
        <v>0</v>
      </c>
      <c r="AB51" s="1" t="n">
        <f aca="false">IF(AND('Daily Workforce'!$N17="Y",'Daily Workforce'!$B17&lt;&gt;"",COUNTIF('Daily Schedule'!$F$5:$F54,'Daily Workforce'!$B17)=0,IF('Daily Schedule'!$A55=45,'Daily Workforce'!$J17="Y",IF(OR('Daily Schedule'!$A55=4,'Daily Schedule'!$A55=8),IF(OR(WEEKDAY('Daily Schedule'!$B$2,2)=1,WEEKDAY('Daily Schedule'!$B$2,2)=4,WEEKDAY('Daily Schedule'!$B$2,2)=5,WEEKDAY('Daily Schedule'!$B$2,2)=7),IFERROR(1*'Daily Workforce'!$K17&gt;=3,FALSE()),IFERROR(1*'Daily Workforce'!$K17&gt;=2,FALSE())),IF(AND('Daily Schedule'!$A55&gt;=46,'Daily Schedule'!$A55&lt;=52),'Daily Workforce'!$M17="Y",IFERROR(1*'Daily Workforce'!$P17&gt;=2,FALSE()))))),1,0)</f>
        <v>0</v>
      </c>
      <c r="AC51" s="1" t="n">
        <f aca="false">IF(AND('Daily Workforce'!$N18="Y",'Daily Workforce'!$B18&lt;&gt;"",COUNTIF('Daily Schedule'!$F$5:$F54,'Daily Workforce'!$B18)=0,IF('Daily Schedule'!$A55=45,'Daily Workforce'!$J18="Y",IF(OR('Daily Schedule'!$A55=4,'Daily Schedule'!$A55=8),IF(OR(WEEKDAY('Daily Schedule'!$B$2,2)=1,WEEKDAY('Daily Schedule'!$B$2,2)=4,WEEKDAY('Daily Schedule'!$B$2,2)=5,WEEKDAY('Daily Schedule'!$B$2,2)=7),IFERROR(1*'Daily Workforce'!$K18&gt;=3,FALSE()),IFERROR(1*'Daily Workforce'!$K18&gt;=2,FALSE())),IF(AND('Daily Schedule'!$A55&gt;=46,'Daily Schedule'!$A55&lt;=52),'Daily Workforce'!$M18="Y",IFERROR(1*'Daily Workforce'!$P18&gt;=2,FALSE()))))),1,0)</f>
        <v>0</v>
      </c>
      <c r="AD51" s="1" t="n">
        <f aca="false">IF(AND('Daily Workforce'!$N19="Y",'Daily Workforce'!$B19&lt;&gt;"",COUNTIF('Daily Schedule'!$F$5:$F54,'Daily Workforce'!$B19)=0,IF('Daily Schedule'!$A55=45,'Daily Workforce'!$J19="Y",IF(OR('Daily Schedule'!$A55=4,'Daily Schedule'!$A55=8),IF(OR(WEEKDAY('Daily Schedule'!$B$2,2)=1,WEEKDAY('Daily Schedule'!$B$2,2)=4,WEEKDAY('Daily Schedule'!$B$2,2)=5,WEEKDAY('Daily Schedule'!$B$2,2)=7),IFERROR(1*'Daily Workforce'!$K19&gt;=3,FALSE()),IFERROR(1*'Daily Workforce'!$K19&gt;=2,FALSE())),IF(AND('Daily Schedule'!$A55&gt;=46,'Daily Schedule'!$A55&lt;=52),'Daily Workforce'!$M19="Y",IFERROR(1*'Daily Workforce'!$P19&gt;=2,FALSE()))))),1,0)</f>
        <v>0</v>
      </c>
      <c r="AE51" s="1" t="n">
        <f aca="false">IF(AND('Daily Workforce'!$N20="Y",'Daily Workforce'!$B20&lt;&gt;"",COUNTIF('Daily Schedule'!$F$5:$F54,'Daily Workforce'!$B20)=0,IF('Daily Schedule'!$A55=45,'Daily Workforce'!$J20="Y",IF(OR('Daily Schedule'!$A55=4,'Daily Schedule'!$A55=8),IF(OR(WEEKDAY('Daily Schedule'!$B$2,2)=1,WEEKDAY('Daily Schedule'!$B$2,2)=4,WEEKDAY('Daily Schedule'!$B$2,2)=5,WEEKDAY('Daily Schedule'!$B$2,2)=7),IFERROR(1*'Daily Workforce'!$K20&gt;=3,FALSE()),IFERROR(1*'Daily Workforce'!$K20&gt;=2,FALSE())),IF(AND('Daily Schedule'!$A55&gt;=46,'Daily Schedule'!$A55&lt;=52),'Daily Workforce'!$M20="Y",IFERROR(1*'Daily Workforce'!$P20&gt;=2,FALSE()))))),1,0)</f>
        <v>0</v>
      </c>
      <c r="AF51" s="1" t="n">
        <f aca="false">IF(AND('Daily Workforce'!$N21="Y",'Daily Workforce'!$B21&lt;&gt;"",COUNTIF('Daily Schedule'!$F$5:$F54,'Daily Workforce'!$B21)=0,IF('Daily Schedule'!$A55=45,'Daily Workforce'!$J21="Y",IF(OR('Daily Schedule'!$A55=4,'Daily Schedule'!$A55=8),IF(OR(WEEKDAY('Daily Schedule'!$B$2,2)=1,WEEKDAY('Daily Schedule'!$B$2,2)=4,WEEKDAY('Daily Schedule'!$B$2,2)=5,WEEKDAY('Daily Schedule'!$B$2,2)=7),IFERROR(1*'Daily Workforce'!$K21&gt;=3,FALSE()),IFERROR(1*'Daily Workforce'!$K21&gt;=2,FALSE())),IF(AND('Daily Schedule'!$A55&gt;=46,'Daily Schedule'!$A55&lt;=52),'Daily Workforce'!$M21="Y",IFERROR(1*'Daily Workforce'!$P21&gt;=2,FALSE()))))),1,0)</f>
        <v>0</v>
      </c>
      <c r="AG51" s="1" t="n">
        <f aca="false">IF(AND('Daily Workforce'!$N22="Y",'Daily Workforce'!$B22&lt;&gt;"",COUNTIF('Daily Schedule'!$F$5:$F54,'Daily Workforce'!$B22)=0,IF('Daily Schedule'!$A55=45,'Daily Workforce'!$J22="Y",IF(OR('Daily Schedule'!$A55=4,'Daily Schedule'!$A55=8),IF(OR(WEEKDAY('Daily Schedule'!$B$2,2)=1,WEEKDAY('Daily Schedule'!$B$2,2)=4,WEEKDAY('Daily Schedule'!$B$2,2)=5,WEEKDAY('Daily Schedule'!$B$2,2)=7),IFERROR(1*'Daily Workforce'!$K22&gt;=3,FALSE()),IFERROR(1*'Daily Workforce'!$K22&gt;=2,FALSE())),IF(AND('Daily Schedule'!$A55&gt;=46,'Daily Schedule'!$A55&lt;=52),'Daily Workforce'!$M22="Y",IFERROR(1*'Daily Workforce'!$P22&gt;=2,FALSE()))))),1,0)</f>
        <v>0</v>
      </c>
      <c r="AH51" s="1" t="n">
        <f aca="false">IF(AND('Daily Workforce'!$N23="Y",'Daily Workforce'!$B23&lt;&gt;"",COUNTIF('Daily Schedule'!$F$5:$F54,'Daily Workforce'!$B23)=0,IF('Daily Schedule'!$A55=45,'Daily Workforce'!$J23="Y",IF(OR('Daily Schedule'!$A55=4,'Daily Schedule'!$A55=8),IF(OR(WEEKDAY('Daily Schedule'!$B$2,2)=1,WEEKDAY('Daily Schedule'!$B$2,2)=4,WEEKDAY('Daily Schedule'!$B$2,2)=5,WEEKDAY('Daily Schedule'!$B$2,2)=7),IFERROR(1*'Daily Workforce'!$K23&gt;=3,FALSE()),IFERROR(1*'Daily Workforce'!$K23&gt;=2,FALSE())),IF(AND('Daily Schedule'!$A55&gt;=46,'Daily Schedule'!$A55&lt;=52),'Daily Workforce'!$M23="Y",IFERROR(1*'Daily Workforce'!$P23&gt;=2,FALSE()))))),1,0)</f>
        <v>0</v>
      </c>
      <c r="AI51" s="1" t="n">
        <f aca="false">IF(AND('Daily Workforce'!$N24="Y",'Daily Workforce'!$B24&lt;&gt;"",COUNTIF('Daily Schedule'!$F$5:$F54,'Daily Workforce'!$B24)=0,IF('Daily Schedule'!$A55=45,'Daily Workforce'!$J24="Y",IF(OR('Daily Schedule'!$A55=4,'Daily Schedule'!$A55=8),IF(OR(WEEKDAY('Daily Schedule'!$B$2,2)=1,WEEKDAY('Daily Schedule'!$B$2,2)=4,WEEKDAY('Daily Schedule'!$B$2,2)=5,WEEKDAY('Daily Schedule'!$B$2,2)=7),IFERROR(1*'Daily Workforce'!$K24&gt;=3,FALSE()),IFERROR(1*'Daily Workforce'!$K24&gt;=2,FALSE())),IF(AND('Daily Schedule'!$A55&gt;=46,'Daily Schedule'!$A55&lt;=52),'Daily Workforce'!$M24="Y",IFERROR(1*'Daily Workforce'!$P24&gt;=2,FALSE()))))),1,0)</f>
        <v>0</v>
      </c>
      <c r="AJ51" s="1" t="n">
        <f aca="false">IF(AND('Daily Workforce'!$N25="Y",'Daily Workforce'!$B25&lt;&gt;"",COUNTIF('Daily Schedule'!$F$5:$F54,'Daily Workforce'!$B25)=0,IF('Daily Schedule'!$A55=45,'Daily Workforce'!$J25="Y",IF(OR('Daily Schedule'!$A55=4,'Daily Schedule'!$A55=8),IF(OR(WEEKDAY('Daily Schedule'!$B$2,2)=1,WEEKDAY('Daily Schedule'!$B$2,2)=4,WEEKDAY('Daily Schedule'!$B$2,2)=5,WEEKDAY('Daily Schedule'!$B$2,2)=7),IFERROR(1*'Daily Workforce'!$K25&gt;=3,FALSE()),IFERROR(1*'Daily Workforce'!$K25&gt;=2,FALSE())),IF(AND('Daily Schedule'!$A55&gt;=46,'Daily Schedule'!$A55&lt;=52),'Daily Workforce'!$M25="Y",IFERROR(1*'Daily Workforce'!$P25&gt;=2,FALSE()))))),1,0)</f>
        <v>0</v>
      </c>
      <c r="AK51" s="1" t="n">
        <f aca="false">IF(AND('Daily Workforce'!$N26="Y",'Daily Workforce'!$B26&lt;&gt;"",COUNTIF('Daily Schedule'!$F$5:$F54,'Daily Workforce'!$B26)=0,IF('Daily Schedule'!$A55=45,'Daily Workforce'!$J26="Y",IF(OR('Daily Schedule'!$A55=4,'Daily Schedule'!$A55=8),IF(OR(WEEKDAY('Daily Schedule'!$B$2,2)=1,WEEKDAY('Daily Schedule'!$B$2,2)=4,WEEKDAY('Daily Schedule'!$B$2,2)=5,WEEKDAY('Daily Schedule'!$B$2,2)=7),IFERROR(1*'Daily Workforce'!$K26&gt;=3,FALSE()),IFERROR(1*'Daily Workforce'!$K26&gt;=2,FALSE())),IF(AND('Daily Schedule'!$A55&gt;=46,'Daily Schedule'!$A55&lt;=52),'Daily Workforce'!$M26="Y",IFERROR(1*'Daily Workforce'!$P26&gt;=2,FALSE()))))),1,0)</f>
        <v>0</v>
      </c>
      <c r="AL51" s="1" t="n">
        <f aca="false">IF(AND('Daily Workforce'!$N27="Y",'Daily Workforce'!$B27&lt;&gt;"",COUNTIF('Daily Schedule'!$F$5:$F54,'Daily Workforce'!$B27)=0,IF('Daily Schedule'!$A55=45,'Daily Workforce'!$J27="Y",IF(OR('Daily Schedule'!$A55=4,'Daily Schedule'!$A55=8),IF(OR(WEEKDAY('Daily Schedule'!$B$2,2)=1,WEEKDAY('Daily Schedule'!$B$2,2)=4,WEEKDAY('Daily Schedule'!$B$2,2)=5,WEEKDAY('Daily Schedule'!$B$2,2)=7),IFERROR(1*'Daily Workforce'!$K27&gt;=3,FALSE()),IFERROR(1*'Daily Workforce'!$K27&gt;=2,FALSE())),IF(AND('Daily Schedule'!$A55&gt;=46,'Daily Schedule'!$A55&lt;=52),'Daily Workforce'!$M27="Y",IFERROR(1*'Daily Workforce'!$P27&gt;=2,FALSE()))))),1,0)</f>
        <v>0</v>
      </c>
      <c r="AM51" s="1" t="n">
        <f aca="false">IF(AND('Daily Workforce'!$N28="Y",'Daily Workforce'!$B28&lt;&gt;"",COUNTIF('Daily Schedule'!$F$5:$F54,'Daily Workforce'!$B28)=0,IF('Daily Schedule'!$A55=45,'Daily Workforce'!$J28="Y",IF(OR('Daily Schedule'!$A55=4,'Daily Schedule'!$A55=8),IF(OR(WEEKDAY('Daily Schedule'!$B$2,2)=1,WEEKDAY('Daily Schedule'!$B$2,2)=4,WEEKDAY('Daily Schedule'!$B$2,2)=5,WEEKDAY('Daily Schedule'!$B$2,2)=7),IFERROR(1*'Daily Workforce'!$K28&gt;=3,FALSE()),IFERROR(1*'Daily Workforce'!$K28&gt;=2,FALSE())),IF(AND('Daily Schedule'!$A55&gt;=46,'Daily Schedule'!$A55&lt;=52),'Daily Workforce'!$M28="Y",IFERROR(1*'Daily Workforce'!$P28&gt;=2,FALSE()))))),1,0)</f>
        <v>0</v>
      </c>
      <c r="AN51" s="1" t="n">
        <f aca="false">IF(AND('Daily Workforce'!$N29="Y",'Daily Workforce'!$B29&lt;&gt;"",COUNTIF('Daily Schedule'!$F$5:$F54,'Daily Workforce'!$B29)=0,IF('Daily Schedule'!$A55=45,'Daily Workforce'!$J29="Y",IF(OR('Daily Schedule'!$A55=4,'Daily Schedule'!$A55=8),IF(OR(WEEKDAY('Daily Schedule'!$B$2,2)=1,WEEKDAY('Daily Schedule'!$B$2,2)=4,WEEKDAY('Daily Schedule'!$B$2,2)=5,WEEKDAY('Daily Schedule'!$B$2,2)=7),IFERROR(1*'Daily Workforce'!$K29&gt;=3,FALSE()),IFERROR(1*'Daily Workforce'!$K29&gt;=2,FALSE())),IF(AND('Daily Schedule'!$A55&gt;=46,'Daily Schedule'!$A55&lt;=52),'Daily Workforce'!$M29="Y",IFERROR(1*'Daily Workforce'!$P29&gt;=2,FALSE()))))),1,0)</f>
        <v>0</v>
      </c>
      <c r="AO51" s="1" t="n">
        <f aca="false">IF(AND('Daily Workforce'!$N30="Y",'Daily Workforce'!$B30&lt;&gt;"",COUNTIF('Daily Schedule'!$F$5:$F54,'Daily Workforce'!$B30)=0,IF('Daily Schedule'!$A55=45,'Daily Workforce'!$J30="Y",IF(OR('Daily Schedule'!$A55=4,'Daily Schedule'!$A55=8),IF(OR(WEEKDAY('Daily Schedule'!$B$2,2)=1,WEEKDAY('Daily Schedule'!$B$2,2)=4,WEEKDAY('Daily Schedule'!$B$2,2)=5,WEEKDAY('Daily Schedule'!$B$2,2)=7),IFERROR(1*'Daily Workforce'!$K30&gt;=3,FALSE()),IFERROR(1*'Daily Workforce'!$K30&gt;=2,FALSE())),IF(AND('Daily Schedule'!$A55&gt;=46,'Daily Schedule'!$A55&lt;=52),'Daily Workforce'!$M30="Y",IFERROR(1*'Daily Workforce'!$P30&gt;=2,FALSE()))))),1,0)</f>
        <v>0</v>
      </c>
      <c r="AP51" s="1" t="n">
        <f aca="false">IF(AND('Daily Workforce'!$N31="Y",'Daily Workforce'!$B31&lt;&gt;"",COUNTIF('Daily Schedule'!$F$5:$F54,'Daily Workforce'!$B31)=0,IF('Daily Schedule'!$A55=45,'Daily Workforce'!$J31="Y",IF(OR('Daily Schedule'!$A55=4,'Daily Schedule'!$A55=8),IF(OR(WEEKDAY('Daily Schedule'!$B$2,2)=1,WEEKDAY('Daily Schedule'!$B$2,2)=4,WEEKDAY('Daily Schedule'!$B$2,2)=5,WEEKDAY('Daily Schedule'!$B$2,2)=7),IFERROR(1*'Daily Workforce'!$K31&gt;=3,FALSE()),IFERROR(1*'Daily Workforce'!$K31&gt;=2,FALSE())),IF(AND('Daily Schedule'!$A55&gt;=46,'Daily Schedule'!$A55&lt;=52),'Daily Workforce'!$M31="Y",IFERROR(1*'Daily Workforce'!$P31&gt;=2,FALSE()))))),1,0)</f>
        <v>0</v>
      </c>
      <c r="AQ51" s="1" t="n">
        <f aca="false">IF(AND('Daily Workforce'!$N32="Y",'Daily Workforce'!$B32&lt;&gt;"",COUNTIF('Daily Schedule'!$F$5:$F54,'Daily Workforce'!$B32)=0,IF('Daily Schedule'!$A55=45,'Daily Workforce'!$J32="Y",IF(OR('Daily Schedule'!$A55=4,'Daily Schedule'!$A55=8),IF(OR(WEEKDAY('Daily Schedule'!$B$2,2)=1,WEEKDAY('Daily Schedule'!$B$2,2)=4,WEEKDAY('Daily Schedule'!$B$2,2)=5,WEEKDAY('Daily Schedule'!$B$2,2)=7),IFERROR(1*'Daily Workforce'!$K32&gt;=3,FALSE()),IFERROR(1*'Daily Workforce'!$K32&gt;=2,FALSE())),IF(AND('Daily Schedule'!$A55&gt;=46,'Daily Schedule'!$A55&lt;=52),'Daily Workforce'!$M32="Y",IFERROR(1*'Daily Workforce'!$P32&gt;=2,FALSE()))))),1,0)</f>
        <v>0</v>
      </c>
      <c r="AR51" s="1" t="n">
        <f aca="false">IF(AND('Daily Workforce'!$N33="Y",'Daily Workforce'!$B33&lt;&gt;"",COUNTIF('Daily Schedule'!$F$5:$F54,'Daily Workforce'!$B33)=0,IF('Daily Schedule'!$A55=45,'Daily Workforce'!$J33="Y",IF(OR('Daily Schedule'!$A55=4,'Daily Schedule'!$A55=8),IF(OR(WEEKDAY('Daily Schedule'!$B$2,2)=1,WEEKDAY('Daily Schedule'!$B$2,2)=4,WEEKDAY('Daily Schedule'!$B$2,2)=5,WEEKDAY('Daily Schedule'!$B$2,2)=7),IFERROR(1*'Daily Workforce'!$K33&gt;=3,FALSE()),IFERROR(1*'Daily Workforce'!$K33&gt;=2,FALSE())),IF(AND('Daily Schedule'!$A55&gt;=46,'Daily Schedule'!$A55&lt;=52),'Daily Workforce'!$M33="Y",IFERROR(1*'Daily Workforce'!$P33&gt;=2,FALSE()))))),1,0)</f>
        <v>0</v>
      </c>
      <c r="AS51" s="1" t="n">
        <f aca="false">IF(AND('Daily Workforce'!$N34="Y",'Daily Workforce'!$B34&lt;&gt;"",COUNTIF('Daily Schedule'!$F$5:$F54,'Daily Workforce'!$B34)=0,IF('Daily Schedule'!$A55=45,'Daily Workforce'!$J34="Y",IF(OR('Daily Schedule'!$A55=4,'Daily Schedule'!$A55=8),IF(OR(WEEKDAY('Daily Schedule'!$B$2,2)=1,WEEKDAY('Daily Schedule'!$B$2,2)=4,WEEKDAY('Daily Schedule'!$B$2,2)=5,WEEKDAY('Daily Schedule'!$B$2,2)=7),IFERROR(1*'Daily Workforce'!$K34&gt;=3,FALSE()),IFERROR(1*'Daily Workforce'!$K34&gt;=2,FALSE())),IF(AND('Daily Schedule'!$A55&gt;=46,'Daily Schedule'!$A55&lt;=52),'Daily Workforce'!$M34="Y",IFERROR(1*'Daily Workforce'!$P34&gt;=2,FALSE()))))),1,0)</f>
        <v>0</v>
      </c>
      <c r="AT51" s="1" t="n">
        <f aca="false">IF(AND('Daily Workforce'!$N35="Y",'Daily Workforce'!$B35&lt;&gt;"",COUNTIF('Daily Schedule'!$F$5:$F54,'Daily Workforce'!$B35)=0,IF('Daily Schedule'!$A55=45,'Daily Workforce'!$J35="Y",IF(OR('Daily Schedule'!$A55=4,'Daily Schedule'!$A55=8),IF(OR(WEEKDAY('Daily Schedule'!$B$2,2)=1,WEEKDAY('Daily Schedule'!$B$2,2)=4,WEEKDAY('Daily Schedule'!$B$2,2)=5,WEEKDAY('Daily Schedule'!$B$2,2)=7),IFERROR(1*'Daily Workforce'!$K35&gt;=3,FALSE()),IFERROR(1*'Daily Workforce'!$K35&gt;=2,FALSE())),IF(AND('Daily Schedule'!$A55&gt;=46,'Daily Schedule'!$A55&lt;=52),'Daily Workforce'!$M35="Y",IFERROR(1*'Daily Workforce'!$P35&gt;=2,FALSE()))))),1,0)</f>
        <v>0</v>
      </c>
      <c r="AU51" s="1" t="n">
        <f aca="false">IF(AND('Daily Workforce'!$N36="Y",'Daily Workforce'!$B36&lt;&gt;"",COUNTIF('Daily Schedule'!$F$5:$F54,'Daily Workforce'!$B36)=0,IF('Daily Schedule'!$A55=45,'Daily Workforce'!$J36="Y",IF(OR('Daily Schedule'!$A55=4,'Daily Schedule'!$A55=8),IF(OR(WEEKDAY('Daily Schedule'!$B$2,2)=1,WEEKDAY('Daily Schedule'!$B$2,2)=4,WEEKDAY('Daily Schedule'!$B$2,2)=5,WEEKDAY('Daily Schedule'!$B$2,2)=7),IFERROR(1*'Daily Workforce'!$K36&gt;=3,FALSE()),IFERROR(1*'Daily Workforce'!$K36&gt;=2,FALSE())),IF(AND('Daily Schedule'!$A55&gt;=46,'Daily Schedule'!$A55&lt;=52),'Daily Workforce'!$M36="Y",IFERROR(1*'Daily Workforce'!$P36&gt;=2,FALSE()))))),1,0)</f>
        <v>0</v>
      </c>
      <c r="AV51" s="1" t="n">
        <f aca="false">IF(AND('Daily Workforce'!$N37="Y",'Daily Workforce'!$B37&lt;&gt;"",COUNTIF('Daily Schedule'!$F$5:$F54,'Daily Workforce'!$B37)=0,IF('Daily Schedule'!$A55=45,'Daily Workforce'!$J37="Y",IF(OR('Daily Schedule'!$A55=4,'Daily Schedule'!$A55=8),IF(OR(WEEKDAY('Daily Schedule'!$B$2,2)=1,WEEKDAY('Daily Schedule'!$B$2,2)=4,WEEKDAY('Daily Schedule'!$B$2,2)=5,WEEKDAY('Daily Schedule'!$B$2,2)=7),IFERROR(1*'Daily Workforce'!$K37&gt;=3,FALSE()),IFERROR(1*'Daily Workforce'!$K37&gt;=2,FALSE())),IF(AND('Daily Schedule'!$A55&gt;=46,'Daily Schedule'!$A55&lt;=52),'Daily Workforce'!$M37="Y",IFERROR(1*'Daily Workforce'!$P37&gt;=2,FALSE()))))),1,0)</f>
        <v>0</v>
      </c>
      <c r="AW51" s="1" t="n">
        <f aca="false">IF(AND('Daily Workforce'!$N38="Y",'Daily Workforce'!$B38&lt;&gt;"",COUNTIF('Daily Schedule'!$F$5:$F54,'Daily Workforce'!$B38)=0,IF('Daily Schedule'!$A55=45,'Daily Workforce'!$J38="Y",IF(OR('Daily Schedule'!$A55=4,'Daily Schedule'!$A55=8),IF(OR(WEEKDAY('Daily Schedule'!$B$2,2)=1,WEEKDAY('Daily Schedule'!$B$2,2)=4,WEEKDAY('Daily Schedule'!$B$2,2)=5,WEEKDAY('Daily Schedule'!$B$2,2)=7),IFERROR(1*'Daily Workforce'!$K38&gt;=3,FALSE()),IFERROR(1*'Daily Workforce'!$K38&gt;=2,FALSE())),IF(AND('Daily Schedule'!$A55&gt;=46,'Daily Schedule'!$A55&lt;=52),'Daily Workforce'!$M38="Y",IFERROR(1*'Daily Workforce'!$P38&gt;=2,FALSE()))))),1,0)</f>
        <v>0</v>
      </c>
      <c r="AX51" s="1" t="n">
        <f aca="false">IF(AND('Daily Workforce'!$N39="Y",'Daily Workforce'!$B39&lt;&gt;"",COUNTIF('Daily Schedule'!$F$5:$F54,'Daily Workforce'!$B39)=0,IF('Daily Schedule'!$A55=45,'Daily Workforce'!$J39="Y",IF(OR('Daily Schedule'!$A55=4,'Daily Schedule'!$A55=8),IF(OR(WEEKDAY('Daily Schedule'!$B$2,2)=1,WEEKDAY('Daily Schedule'!$B$2,2)=4,WEEKDAY('Daily Schedule'!$B$2,2)=5,WEEKDAY('Daily Schedule'!$B$2,2)=7),IFERROR(1*'Daily Workforce'!$K39&gt;=3,FALSE()),IFERROR(1*'Daily Workforce'!$K39&gt;=2,FALSE())),IF(AND('Daily Schedule'!$A55&gt;=46,'Daily Schedule'!$A55&lt;=52),'Daily Workforce'!$M39="Y",IFERROR(1*'Daily Workforce'!$P39&gt;=2,FALSE()))))),1,0)</f>
        <v>0</v>
      </c>
      <c r="AY51" s="1" t="n">
        <f aca="false">IF(AND('Daily Workforce'!$N40="Y",'Daily Workforce'!$B40&lt;&gt;"",COUNTIF('Daily Schedule'!$F$5:$F54,'Daily Workforce'!$B40)=0,IF('Daily Schedule'!$A55=45,'Daily Workforce'!$J40="Y",IF(OR('Daily Schedule'!$A55=4,'Daily Schedule'!$A55=8),IF(OR(WEEKDAY('Daily Schedule'!$B$2,2)=1,WEEKDAY('Daily Schedule'!$B$2,2)=4,WEEKDAY('Daily Schedule'!$B$2,2)=5,WEEKDAY('Daily Schedule'!$B$2,2)=7),IFERROR(1*'Daily Workforce'!$K40&gt;=3,FALSE()),IFERROR(1*'Daily Workforce'!$K40&gt;=2,FALSE())),IF(AND('Daily Schedule'!$A55&gt;=46,'Daily Schedule'!$A55&lt;=52),'Daily Workforce'!$M40="Y",IFERROR(1*'Daily Workforce'!$P40&gt;=2,FALSE()))))),1,0)</f>
        <v>0</v>
      </c>
      <c r="AZ51" s="1" t="n">
        <f aca="false">IF(AND('Daily Workforce'!$N41="Y",'Daily Workforce'!$B41&lt;&gt;"",COUNTIF('Daily Schedule'!$F$5:$F54,'Daily Workforce'!$B41)=0,IF('Daily Schedule'!$A55=45,'Daily Workforce'!$J41="Y",IF(OR('Daily Schedule'!$A55=4,'Daily Schedule'!$A55=8),IF(OR(WEEKDAY('Daily Schedule'!$B$2,2)=1,WEEKDAY('Daily Schedule'!$B$2,2)=4,WEEKDAY('Daily Schedule'!$B$2,2)=5,WEEKDAY('Daily Schedule'!$B$2,2)=7),IFERROR(1*'Daily Workforce'!$K41&gt;=3,FALSE()),IFERROR(1*'Daily Workforce'!$K41&gt;=2,FALSE())),IF(AND('Daily Schedule'!$A55&gt;=46,'Daily Schedule'!$A55&lt;=52),'Daily Workforce'!$M41="Y",IFERROR(1*'Daily Workforce'!$P41&gt;=2,FALSE()))))),1,0)</f>
        <v>0</v>
      </c>
      <c r="BA51" s="1" t="n">
        <f aca="false">IF(AND('Daily Workforce'!$N42="Y",'Daily Workforce'!$B42&lt;&gt;"",COUNTIF('Daily Schedule'!$F$5:$F54,'Daily Workforce'!$B42)=0,IF('Daily Schedule'!$A55=45,'Daily Workforce'!$J42="Y",IF(OR('Daily Schedule'!$A55=4,'Daily Schedule'!$A55=8),IF(OR(WEEKDAY('Daily Schedule'!$B$2,2)=1,WEEKDAY('Daily Schedule'!$B$2,2)=4,WEEKDAY('Daily Schedule'!$B$2,2)=5,WEEKDAY('Daily Schedule'!$B$2,2)=7),IFERROR(1*'Daily Workforce'!$K42&gt;=3,FALSE()),IFERROR(1*'Daily Workforce'!$K42&gt;=2,FALSE())),IF(AND('Daily Schedule'!$A55&gt;=46,'Daily Schedule'!$A55&lt;=52),'Daily Workforce'!$M42="Y",IFERROR(1*'Daily Workforce'!$P42&gt;=2,FALSE()))))),1,0)</f>
        <v>0</v>
      </c>
      <c r="BB51" s="1" t="n">
        <f aca="false">IF(AND('Daily Workforce'!$N43="Y",'Daily Workforce'!$B43&lt;&gt;"",COUNTIF('Daily Schedule'!$F$5:$F54,'Daily Workforce'!$B43)=0,IF('Daily Schedule'!$A55=45,'Daily Workforce'!$J43="Y",IF(OR('Daily Schedule'!$A55=4,'Daily Schedule'!$A55=8),IF(OR(WEEKDAY('Daily Schedule'!$B$2,2)=1,WEEKDAY('Daily Schedule'!$B$2,2)=4,WEEKDAY('Daily Schedule'!$B$2,2)=5,WEEKDAY('Daily Schedule'!$B$2,2)=7),IFERROR(1*'Daily Workforce'!$K43&gt;=3,FALSE()),IFERROR(1*'Daily Workforce'!$K43&gt;=2,FALSE())),IF(AND('Daily Schedule'!$A55&gt;=46,'Daily Schedule'!$A55&lt;=52),'Daily Workforce'!$M43="Y",IFERROR(1*'Daily Workforce'!$P43&gt;=2,FALSE()))))),1,0)</f>
        <v>0</v>
      </c>
      <c r="BC51" s="1" t="n">
        <f aca="false">IF(AND('Daily Workforce'!$N44="Y",'Daily Workforce'!$B44&lt;&gt;"",COUNTIF('Daily Schedule'!$F$5:$F54,'Daily Workforce'!$B44)=0,IF('Daily Schedule'!$A55=45,'Daily Workforce'!$J44="Y",IF(OR('Daily Schedule'!$A55=4,'Daily Schedule'!$A55=8),IF(OR(WEEKDAY('Daily Schedule'!$B$2,2)=1,WEEKDAY('Daily Schedule'!$B$2,2)=4,WEEKDAY('Daily Schedule'!$B$2,2)=5,WEEKDAY('Daily Schedule'!$B$2,2)=7),IFERROR(1*'Daily Workforce'!$K44&gt;=3,FALSE()),IFERROR(1*'Daily Workforce'!$K44&gt;=2,FALSE())),IF(AND('Daily Schedule'!$A55&gt;=46,'Daily Schedule'!$A55&lt;=52),'Daily Workforce'!$M44="Y",IFERROR(1*'Daily Workforce'!$P44&gt;=2,FALSE()))))),1,0)</f>
        <v>0</v>
      </c>
      <c r="BD51" s="1" t="n">
        <f aca="false">IF(AND('Daily Workforce'!$N45="Y",'Daily Workforce'!$B45&lt;&gt;"",COUNTIF('Daily Schedule'!$F$5:$F54,'Daily Workforce'!$B45)=0,IF('Daily Schedule'!$A55=45,'Daily Workforce'!$J45="Y",IF(OR('Daily Schedule'!$A55=4,'Daily Schedule'!$A55=8),IF(OR(WEEKDAY('Daily Schedule'!$B$2,2)=1,WEEKDAY('Daily Schedule'!$B$2,2)=4,WEEKDAY('Daily Schedule'!$B$2,2)=5,WEEKDAY('Daily Schedule'!$B$2,2)=7),IFERROR(1*'Daily Workforce'!$K45&gt;=3,FALSE()),IFERROR(1*'Daily Workforce'!$K45&gt;=2,FALSE())),IF(AND('Daily Schedule'!$A55&gt;=46,'Daily Schedule'!$A55&lt;=52),'Daily Workforce'!$M45="Y",IFERROR(1*'Daily Workforce'!$P45&gt;=2,FALSE()))))),1,0)</f>
        <v>0</v>
      </c>
      <c r="BE51" s="1" t="n">
        <f aca="false">IF(AND('Daily Workforce'!$N46="Y",'Daily Workforce'!$B46&lt;&gt;"",COUNTIF('Daily Schedule'!$F$5:$F54,'Daily Workforce'!$B46)=0,IF('Daily Schedule'!$A55=45,'Daily Workforce'!$J46="Y",IF(OR('Daily Schedule'!$A55=4,'Daily Schedule'!$A55=8),IF(OR(WEEKDAY('Daily Schedule'!$B$2,2)=1,WEEKDAY('Daily Schedule'!$B$2,2)=4,WEEKDAY('Daily Schedule'!$B$2,2)=5,WEEKDAY('Daily Schedule'!$B$2,2)=7),IFERROR(1*'Daily Workforce'!$K46&gt;=3,FALSE()),IFERROR(1*'Daily Workforce'!$K46&gt;=2,FALSE())),IF(AND('Daily Schedule'!$A55&gt;=46,'Daily Schedule'!$A55&lt;=52),'Daily Workforce'!$M46="Y",IFERROR(1*'Daily Workforce'!$P46&gt;=2,FALSE()))))),1,0)</f>
        <v>0</v>
      </c>
      <c r="BF51" s="1" t="n">
        <f aca="false">IF(AND('Daily Workforce'!$N47="Y",'Daily Workforce'!$B47&lt;&gt;"",COUNTIF('Daily Schedule'!$F$5:$F54,'Daily Workforce'!$B47)=0,IF('Daily Schedule'!$A55=45,'Daily Workforce'!$J47="Y",IF(OR('Daily Schedule'!$A55=4,'Daily Schedule'!$A55=8),IF(OR(WEEKDAY('Daily Schedule'!$B$2,2)=1,WEEKDAY('Daily Schedule'!$B$2,2)=4,WEEKDAY('Daily Schedule'!$B$2,2)=5,WEEKDAY('Daily Schedule'!$B$2,2)=7),IFERROR(1*'Daily Workforce'!$K47&gt;=3,FALSE()),IFERROR(1*'Daily Workforce'!$K47&gt;=2,FALSE())),IF(AND('Daily Schedule'!$A55&gt;=46,'Daily Schedule'!$A55&lt;=52),'Daily Workforce'!$M47="Y",IFERROR(1*'Daily Workforce'!$P47&gt;=2,FALSE()))))),1,0)</f>
        <v>0</v>
      </c>
      <c r="BG51" s="1" t="n">
        <f aca="false">IF(AND('Daily Workforce'!$N48="Y",'Daily Workforce'!$B48&lt;&gt;"",COUNTIF('Daily Schedule'!$F$5:$F54,'Daily Workforce'!$B48)=0,IF('Daily Schedule'!$A55=45,'Daily Workforce'!$J48="Y",IF(OR('Daily Schedule'!$A55=4,'Daily Schedule'!$A55=8),IF(OR(WEEKDAY('Daily Schedule'!$B$2,2)=1,WEEKDAY('Daily Schedule'!$B$2,2)=4,WEEKDAY('Daily Schedule'!$B$2,2)=5,WEEKDAY('Daily Schedule'!$B$2,2)=7),IFERROR(1*'Daily Workforce'!$K48&gt;=3,FALSE()),IFERROR(1*'Daily Workforce'!$K48&gt;=2,FALSE())),IF(AND('Daily Schedule'!$A55&gt;=46,'Daily Schedule'!$A55&lt;=52),'Daily Workforce'!$M48="Y",IFERROR(1*'Daily Workforce'!$P48&gt;=2,FALSE()))))),1,0)</f>
        <v>0</v>
      </c>
      <c r="BH51" s="1" t="n">
        <f aca="false">IF(AND('Daily Workforce'!$N49="Y",'Daily Workforce'!$B49&lt;&gt;"",COUNTIF('Daily Schedule'!$F$5:$F54,'Daily Workforce'!$B49)=0,IF('Daily Schedule'!$A55=45,'Daily Workforce'!$J49="Y",IF(OR('Daily Schedule'!$A55=4,'Daily Schedule'!$A55=8),IF(OR(WEEKDAY('Daily Schedule'!$B$2,2)=1,WEEKDAY('Daily Schedule'!$B$2,2)=4,WEEKDAY('Daily Schedule'!$B$2,2)=5,WEEKDAY('Daily Schedule'!$B$2,2)=7),IFERROR(1*'Daily Workforce'!$K49&gt;=3,FALSE()),IFERROR(1*'Daily Workforce'!$K49&gt;=2,FALSE())),IF(AND('Daily Schedule'!$A55&gt;=46,'Daily Schedule'!$A55&lt;=52),'Daily Workforce'!$M49="Y",IFERROR(1*'Daily Workforce'!$P49&gt;=2,FALSE()))))),1,0)</f>
        <v>0</v>
      </c>
      <c r="BI51" s="1" t="n">
        <f aca="false">IF(AND('Daily Workforce'!$N50="Y",'Daily Workforce'!$B50&lt;&gt;"",COUNTIF('Daily Schedule'!$F$5:$F54,'Daily Workforce'!$B50)=0,IF('Daily Schedule'!$A55=45,'Daily Workforce'!$J50="Y",IF(OR('Daily Schedule'!$A55=4,'Daily Schedule'!$A55=8),IF(OR(WEEKDAY('Daily Schedule'!$B$2,2)=1,WEEKDAY('Daily Schedule'!$B$2,2)=4,WEEKDAY('Daily Schedule'!$B$2,2)=5,WEEKDAY('Daily Schedule'!$B$2,2)=7),IFERROR(1*'Daily Workforce'!$K50&gt;=3,FALSE()),IFERROR(1*'Daily Workforce'!$K50&gt;=2,FALSE())),IF(AND('Daily Schedule'!$A55&gt;=46,'Daily Schedule'!$A55&lt;=52),'Daily Workforce'!$M50="Y",IFERROR(1*'Daily Workforce'!$P50&gt;=2,FALSE()))))),1,0)</f>
        <v>0</v>
      </c>
      <c r="BJ51" s="1" t="n">
        <f aca="false">IF(AND('Daily Workforce'!$N51="Y",'Daily Workforce'!$B51&lt;&gt;"",COUNTIF('Daily Schedule'!$F$5:$F54,'Daily Workforce'!$B51)=0,IF('Daily Schedule'!$A55=45,'Daily Workforce'!$J51="Y",IF(OR('Daily Schedule'!$A55=4,'Daily Schedule'!$A55=8),IF(OR(WEEKDAY('Daily Schedule'!$B$2,2)=1,WEEKDAY('Daily Schedule'!$B$2,2)=4,WEEKDAY('Daily Schedule'!$B$2,2)=5,WEEKDAY('Daily Schedule'!$B$2,2)=7),IFERROR(1*'Daily Workforce'!$K51&gt;=3,FALSE()),IFERROR(1*'Daily Workforce'!$K51&gt;=2,FALSE())),IF(AND('Daily Schedule'!$A55&gt;=46,'Daily Schedule'!$A55&lt;=52),'Daily Workforce'!$M51="Y",IFERROR(1*'Daily Workforce'!$P51&gt;=2,FALSE()))))),1,0)</f>
        <v>0</v>
      </c>
      <c r="BK51" s="1" t="n">
        <f aca="false">IF(AND('Daily Workforce'!$N52="Y",'Daily Workforce'!$B52&lt;&gt;"",COUNTIF('Daily Schedule'!$F$5:$F54,'Daily Workforce'!$B52)=0,IF('Daily Schedule'!$A55=45,'Daily Workforce'!$J52="Y",IF(OR('Daily Schedule'!$A55=4,'Daily Schedule'!$A55=8),IF(OR(WEEKDAY('Daily Schedule'!$B$2,2)=1,WEEKDAY('Daily Schedule'!$B$2,2)=4,WEEKDAY('Daily Schedule'!$B$2,2)=5,WEEKDAY('Daily Schedule'!$B$2,2)=7),IFERROR(1*'Daily Workforce'!$K52&gt;=3,FALSE()),IFERROR(1*'Daily Workforce'!$K52&gt;=2,FALSE())),IF(AND('Daily Schedule'!$A55&gt;=46,'Daily Schedule'!$A55&lt;=52),'Daily Workforce'!$M52="Y",IFERROR(1*'Daily Workforce'!$P52&gt;=2,FALSE()))))),1,0)</f>
        <v>0</v>
      </c>
      <c r="BL51" s="1" t="n">
        <f aca="false">IF(AND('Daily Workforce'!$N53="Y",'Daily Workforce'!$B53&lt;&gt;"",COUNTIF('Daily Schedule'!$F$5:$F54,'Daily Workforce'!$B53)=0,IF('Daily Schedule'!$A55=45,'Daily Workforce'!$J53="Y",IF(OR('Daily Schedule'!$A55=4,'Daily Schedule'!$A55=8),IF(OR(WEEKDAY('Daily Schedule'!$B$2,2)=1,WEEKDAY('Daily Schedule'!$B$2,2)=4,WEEKDAY('Daily Schedule'!$B$2,2)=5,WEEKDAY('Daily Schedule'!$B$2,2)=7),IFERROR(1*'Daily Workforce'!$K53&gt;=3,FALSE()),IFERROR(1*'Daily Workforce'!$K53&gt;=2,FALSE())),IF(AND('Daily Schedule'!$A55&gt;=46,'Daily Schedule'!$A55&lt;=52),'Daily Workforce'!$M53="Y",IFERROR(1*'Daily Workforce'!$P53&gt;=2,FALSE()))))),1,0)</f>
        <v>0</v>
      </c>
      <c r="BM51" s="1" t="n">
        <f aca="false">IF(AND('Daily Workforce'!$N54="Y",'Daily Workforce'!$B54&lt;&gt;"",COUNTIF('Daily Schedule'!$F$5:$F54,'Daily Workforce'!$B54)=0,IF('Daily Schedule'!$A55=45,'Daily Workforce'!$J54="Y",IF(OR('Daily Schedule'!$A55=4,'Daily Schedule'!$A55=8),IF(OR(WEEKDAY('Daily Schedule'!$B$2,2)=1,WEEKDAY('Daily Schedule'!$B$2,2)=4,WEEKDAY('Daily Schedule'!$B$2,2)=5,WEEKDAY('Daily Schedule'!$B$2,2)=7),IFERROR(1*'Daily Workforce'!$K54&gt;=3,FALSE()),IFERROR(1*'Daily Workforce'!$K54&gt;=2,FALSE())),IF(AND('Daily Schedule'!$A55&gt;=46,'Daily Schedule'!$A55&lt;=52),'Daily Workforce'!$M54="Y",IFERROR(1*'Daily Workforce'!$P54&gt;=2,FALSE()))))),1,0)</f>
        <v>0</v>
      </c>
      <c r="BN51" s="1" t="n">
        <f aca="false">IF(AND('Daily Workforce'!$N55="Y",'Daily Workforce'!$B55&lt;&gt;"",COUNTIF('Daily Schedule'!$F$5:$F54,'Daily Workforce'!$B55)=0,IF('Daily Schedule'!$A55=45,'Daily Workforce'!$J55="Y",IF(OR('Daily Schedule'!$A55=4,'Daily Schedule'!$A55=8),IF(OR(WEEKDAY('Daily Schedule'!$B$2,2)=1,WEEKDAY('Daily Schedule'!$B$2,2)=4,WEEKDAY('Daily Schedule'!$B$2,2)=5,WEEKDAY('Daily Schedule'!$B$2,2)=7),IFERROR(1*'Daily Workforce'!$K55&gt;=3,FALSE()),IFERROR(1*'Daily Workforce'!$K55&gt;=2,FALSE())),IF(AND('Daily Schedule'!$A55&gt;=46,'Daily Schedule'!$A55&lt;=52),'Daily Workforce'!$M55="Y",IFERROR(1*'Daily Workforce'!$P55&gt;=2,FALSE()))))),1,0)</f>
        <v>0</v>
      </c>
      <c r="BO51" s="1" t="n">
        <f aca="false">IF(AND('Daily Workforce'!$N56="Y",'Daily Workforce'!$B56&lt;&gt;"",COUNTIF('Daily Schedule'!$F$5:$F54,'Daily Workforce'!$B56)=0,IF('Daily Schedule'!$A55=45,'Daily Workforce'!$J56="Y",IF(OR('Daily Schedule'!$A55=4,'Daily Schedule'!$A55=8),IF(OR(WEEKDAY('Daily Schedule'!$B$2,2)=1,WEEKDAY('Daily Schedule'!$B$2,2)=4,WEEKDAY('Daily Schedule'!$B$2,2)=5,WEEKDAY('Daily Schedule'!$B$2,2)=7),IFERROR(1*'Daily Workforce'!$K56&gt;=3,FALSE()),IFERROR(1*'Daily Workforce'!$K56&gt;=2,FALSE())),IF(AND('Daily Schedule'!$A55&gt;=46,'Daily Schedule'!$A55&lt;=52),'Daily Workforce'!$M56="Y",IFERROR(1*'Daily Workforce'!$P56&gt;=2,FALSE()))))),1,0)</f>
        <v>1</v>
      </c>
      <c r="BP51" s="1" t="n">
        <f aca="false">IF(AND('Daily Workforce'!$N57="Y",'Daily Workforce'!$B57&lt;&gt;"",COUNTIF('Daily Schedule'!$F$5:$F54,'Daily Workforce'!$B57)=0,IF('Daily Schedule'!$A55=45,'Daily Workforce'!$J57="Y",IF(OR('Daily Schedule'!$A55=4,'Daily Schedule'!$A55=8),IF(OR(WEEKDAY('Daily Schedule'!$B$2,2)=1,WEEKDAY('Daily Schedule'!$B$2,2)=4,WEEKDAY('Daily Schedule'!$B$2,2)=5,WEEKDAY('Daily Schedule'!$B$2,2)=7),IFERROR(1*'Daily Workforce'!$K57&gt;=3,FALSE()),IFERROR(1*'Daily Workforce'!$K57&gt;=2,FALSE())),IF(AND('Daily Schedule'!$A55&gt;=46,'Daily Schedule'!$A55&lt;=52),'Daily Workforce'!$M57="Y",IFERROR(1*'Daily Workforce'!$P57&gt;=2,FALSE()))))),1,0)</f>
        <v>0</v>
      </c>
      <c r="BQ51" s="1" t="n">
        <f aca="false">IF(AND('Daily Workforce'!$N58="Y",'Daily Workforce'!$B58&lt;&gt;"",COUNTIF('Daily Schedule'!$F$5:$F54,'Daily Workforce'!$B58)=0,IF('Daily Schedule'!$A55=45,'Daily Workforce'!$J58="Y",IF(OR('Daily Schedule'!$A55=4,'Daily Schedule'!$A55=8),IF(OR(WEEKDAY('Daily Schedule'!$B$2,2)=1,WEEKDAY('Daily Schedule'!$B$2,2)=4,WEEKDAY('Daily Schedule'!$B$2,2)=5,WEEKDAY('Daily Schedule'!$B$2,2)=7),IFERROR(1*'Daily Workforce'!$K58&gt;=3,FALSE()),IFERROR(1*'Daily Workforce'!$K58&gt;=2,FALSE())),IF(AND('Daily Schedule'!$A55&gt;=46,'Daily Schedule'!$A55&lt;=52),'Daily Workforce'!$M58="Y",IFERROR(1*'Daily Workforce'!$P58&gt;=2,FALSE()))))),1,0)</f>
        <v>1</v>
      </c>
      <c r="BR51" s="1" t="n">
        <f aca="false">IF(AND('Daily Workforce'!$N59="Y",'Daily Workforce'!$B59&lt;&gt;"",COUNTIF('Daily Schedule'!$F$5:$F54,'Daily Workforce'!$B59)=0,IF('Daily Schedule'!$A55=45,'Daily Workforce'!$J59="Y",IF(OR('Daily Schedule'!$A55=4,'Daily Schedule'!$A55=8),IF(OR(WEEKDAY('Daily Schedule'!$B$2,2)=1,WEEKDAY('Daily Schedule'!$B$2,2)=4,WEEKDAY('Daily Schedule'!$B$2,2)=5,WEEKDAY('Daily Schedule'!$B$2,2)=7),IFERROR(1*'Daily Workforce'!$K59&gt;=3,FALSE()),IFERROR(1*'Daily Workforce'!$K59&gt;=2,FALSE())),IF(AND('Daily Schedule'!$A55&gt;=46,'Daily Schedule'!$A55&lt;=52),'Daily Workforce'!$M59="Y",IFERROR(1*'Daily Workforce'!$P59&gt;=2,FALSE()))))),1,0)</f>
        <v>1</v>
      </c>
      <c r="BS51" s="1" t="n">
        <f aca="false">IF(AND('Daily Workforce'!$N60="Y",'Daily Workforce'!$B60&lt;&gt;"",COUNTIF('Daily Schedule'!$F$5:$F54,'Daily Workforce'!$B60)=0,IF('Daily Schedule'!$A55=45,'Daily Workforce'!$J60="Y",IF(OR('Daily Schedule'!$A55=4,'Daily Schedule'!$A55=8),IF(OR(WEEKDAY('Daily Schedule'!$B$2,2)=1,WEEKDAY('Daily Schedule'!$B$2,2)=4,WEEKDAY('Daily Schedule'!$B$2,2)=5,WEEKDAY('Daily Schedule'!$B$2,2)=7),IFERROR(1*'Daily Workforce'!$K60&gt;=3,FALSE()),IFERROR(1*'Daily Workforce'!$K60&gt;=2,FALSE())),IF(AND('Daily Schedule'!$A55&gt;=46,'Daily Schedule'!$A55&lt;=52),'Daily Workforce'!$M60="Y",IFERROR(1*'Daily Workforce'!$P60&gt;=2,FALSE()))))),1,0)</f>
        <v>1</v>
      </c>
      <c r="BT51" s="1" t="n">
        <f aca="false">IF(AND('Daily Workforce'!$N61="Y",'Daily Workforce'!$B61&lt;&gt;"",COUNTIF('Daily Schedule'!$F$5:$F54,'Daily Workforce'!$B61)=0,IF('Daily Schedule'!$A55=45,'Daily Workforce'!$J61="Y",IF(OR('Daily Schedule'!$A55=4,'Daily Schedule'!$A55=8),IF(OR(WEEKDAY('Daily Schedule'!$B$2,2)=1,WEEKDAY('Daily Schedule'!$B$2,2)=4,WEEKDAY('Daily Schedule'!$B$2,2)=5,WEEKDAY('Daily Schedule'!$B$2,2)=7),IFERROR(1*'Daily Workforce'!$K61&gt;=3,FALSE()),IFERROR(1*'Daily Workforce'!$K61&gt;=2,FALSE())),IF(AND('Daily Schedule'!$A55&gt;=46,'Daily Schedule'!$A55&lt;=52),'Daily Workforce'!$M61="Y",IFERROR(1*'Daily Workforce'!$P61&gt;=2,FALSE()))))),1,0)</f>
        <v>0</v>
      </c>
      <c r="BU51" s="1" t="n">
        <f aca="false">IF(AND('Daily Workforce'!$N62="Y",'Daily Workforce'!$B62&lt;&gt;"",COUNTIF('Daily Schedule'!$F$5:$F54,'Daily Workforce'!$B62)=0,IF('Daily Schedule'!$A55=45,'Daily Workforce'!$J62="Y",IF(OR('Daily Schedule'!$A55=4,'Daily Schedule'!$A55=8),IF(OR(WEEKDAY('Daily Schedule'!$B$2,2)=1,WEEKDAY('Daily Schedule'!$B$2,2)=4,WEEKDAY('Daily Schedule'!$B$2,2)=5,WEEKDAY('Daily Schedule'!$B$2,2)=7),IFERROR(1*'Daily Workforce'!$K62&gt;=3,FALSE()),IFERROR(1*'Daily Workforce'!$K62&gt;=2,FALSE())),IF(AND('Daily Schedule'!$A55&gt;=46,'Daily Schedule'!$A55&lt;=52),'Daily Workforce'!$M62="Y",IFERROR(1*'Daily Workforce'!$P62&gt;=2,FALSE()))))),1,0)</f>
        <v>1</v>
      </c>
      <c r="BV51" s="1" t="n">
        <f aca="false">IF(AND('Daily Workforce'!$N63="Y",'Daily Workforce'!$B63&lt;&gt;"",COUNTIF('Daily Schedule'!$F$5:$F54,'Daily Workforce'!$B63)=0,IF('Daily Schedule'!$A55=45,'Daily Workforce'!$J63="Y",IF(OR('Daily Schedule'!$A55=4,'Daily Schedule'!$A55=8),IF(OR(WEEKDAY('Daily Schedule'!$B$2,2)=1,WEEKDAY('Daily Schedule'!$B$2,2)=4,WEEKDAY('Daily Schedule'!$B$2,2)=5,WEEKDAY('Daily Schedule'!$B$2,2)=7),IFERROR(1*'Daily Workforce'!$K63&gt;=3,FALSE()),IFERROR(1*'Daily Workforce'!$K63&gt;=2,FALSE())),IF(AND('Daily Schedule'!$A55&gt;=46,'Daily Schedule'!$A55&lt;=52),'Daily Workforce'!$M63="Y",IFERROR(1*'Daily Workforce'!$P63&gt;=2,FALSE()))))),1,0)</f>
        <v>1</v>
      </c>
      <c r="BW51" s="1" t="n">
        <f aca="false">IF(AND('Daily Workforce'!$N64="Y",'Daily Workforce'!$B64&lt;&gt;"",COUNTIF('Daily Schedule'!$F$5:$F54,'Daily Workforce'!$B64)=0,IF('Daily Schedule'!$A55=45,'Daily Workforce'!$J64="Y",IF(OR('Daily Schedule'!$A55=4,'Daily Schedule'!$A55=8),IF(OR(WEEKDAY('Daily Schedule'!$B$2,2)=1,WEEKDAY('Daily Schedule'!$B$2,2)=4,WEEKDAY('Daily Schedule'!$B$2,2)=5,WEEKDAY('Daily Schedule'!$B$2,2)=7),IFERROR(1*'Daily Workforce'!$K64&gt;=3,FALSE()),IFERROR(1*'Daily Workforce'!$K64&gt;=2,FALSE())),IF(AND('Daily Schedule'!$A55&gt;=46,'Daily Schedule'!$A55&lt;=52),'Daily Workforce'!$M64="Y",IFERROR(1*'Daily Workforce'!$P64&gt;=2,FALSE()))))),1,0)</f>
        <v>1</v>
      </c>
      <c r="BX51" s="1" t="n">
        <f aca="false">IF(AND('Daily Workforce'!$N65="Y",'Daily Workforce'!$B65&lt;&gt;"",COUNTIF('Daily Schedule'!$F$5:$F54,'Daily Workforce'!$B65)=0,IF('Daily Schedule'!$A55=45,'Daily Workforce'!$J65="Y",IF(OR('Daily Schedule'!$A55=4,'Daily Schedule'!$A55=8),IF(OR(WEEKDAY('Daily Schedule'!$B$2,2)=1,WEEKDAY('Daily Schedule'!$B$2,2)=4,WEEKDAY('Daily Schedule'!$B$2,2)=5,WEEKDAY('Daily Schedule'!$B$2,2)=7),IFERROR(1*'Daily Workforce'!$K65&gt;=3,FALSE()),IFERROR(1*'Daily Workforce'!$K65&gt;=2,FALSE())),IF(AND('Daily Schedule'!$A55&gt;=46,'Daily Schedule'!$A55&lt;=52),'Daily Workforce'!$M65="Y",IFERROR(1*'Daily Workforce'!$P65&gt;=2,FALSE()))))),1,0)</f>
        <v>1</v>
      </c>
      <c r="BY51" s="1" t="n">
        <f aca="false">IF(AND('Daily Workforce'!$N66="Y",'Daily Workforce'!$B66&lt;&gt;"",COUNTIF('Daily Schedule'!$F$5:$F54,'Daily Workforce'!$B66)=0,IF('Daily Schedule'!$A55=45,'Daily Workforce'!$J66="Y",IF(OR('Daily Schedule'!$A55=4,'Daily Schedule'!$A55=8),IF(OR(WEEKDAY('Daily Schedule'!$B$2,2)=1,WEEKDAY('Daily Schedule'!$B$2,2)=4,WEEKDAY('Daily Schedule'!$B$2,2)=5,WEEKDAY('Daily Schedule'!$B$2,2)=7),IFERROR(1*'Daily Workforce'!$K66&gt;=3,FALSE()),IFERROR(1*'Daily Workforce'!$K66&gt;=2,FALSE())),IF(AND('Daily Schedule'!$A55&gt;=46,'Daily Schedule'!$A55&lt;=52),'Daily Workforce'!$M66="Y",IFERROR(1*'Daily Workforce'!$P66&gt;=2,FALSE()))))),1,0)</f>
        <v>1</v>
      </c>
      <c r="BZ51" s="1" t="n">
        <f aca="false">IF(AND('Daily Workforce'!$N67="Y",'Daily Workforce'!$B67&lt;&gt;"",COUNTIF('Daily Schedule'!$F$5:$F54,'Daily Workforce'!$B67)=0,IF('Daily Schedule'!$A55=45,'Daily Workforce'!$J67="Y",IF(OR('Daily Schedule'!$A55=4,'Daily Schedule'!$A55=8),IF(OR(WEEKDAY('Daily Schedule'!$B$2,2)=1,WEEKDAY('Daily Schedule'!$B$2,2)=4,WEEKDAY('Daily Schedule'!$B$2,2)=5,WEEKDAY('Daily Schedule'!$B$2,2)=7),IFERROR(1*'Daily Workforce'!$K67&gt;=3,FALSE()),IFERROR(1*'Daily Workforce'!$K67&gt;=2,FALSE())),IF(AND('Daily Schedule'!$A55&gt;=46,'Daily Schedule'!$A55&lt;=52),'Daily Workforce'!$M67="Y",IFERROR(1*'Daily Workforce'!$P67&gt;=2,FALSE()))))),1,0)</f>
        <v>1</v>
      </c>
      <c r="CA51" s="1" t="n">
        <f aca="false">IF(AND('Daily Workforce'!$N68="Y",'Daily Workforce'!$B68&lt;&gt;"",COUNTIF('Daily Schedule'!$F$5:$F54,'Daily Workforce'!$B68)=0,IF('Daily Schedule'!$A55=45,'Daily Workforce'!$J68="Y",IF(OR('Daily Schedule'!$A55=4,'Daily Schedule'!$A55=8),IF(OR(WEEKDAY('Daily Schedule'!$B$2,2)=1,WEEKDAY('Daily Schedule'!$B$2,2)=4,WEEKDAY('Daily Schedule'!$B$2,2)=5,WEEKDAY('Daily Schedule'!$B$2,2)=7),IFERROR(1*'Daily Workforce'!$K68&gt;=3,FALSE()),IFERROR(1*'Daily Workforce'!$K68&gt;=2,FALSE())),IF(AND('Daily Schedule'!$A55&gt;=46,'Daily Schedule'!$A55&lt;=52),'Daily Workforce'!$M68="Y",IFERROR(1*'Daily Workforce'!$P68&gt;=2,FALSE()))))),1,0)</f>
        <v>1</v>
      </c>
      <c r="CB51" s="1" t="n">
        <f aca="false">IF(AND('Daily Workforce'!$N69="Y",'Daily Workforce'!$B69&lt;&gt;"",COUNTIF('Daily Schedule'!$F$5:$F54,'Daily Workforce'!$B69)=0,IF('Daily Schedule'!$A55=45,'Daily Workforce'!$J69="Y",IF(OR('Daily Schedule'!$A55=4,'Daily Schedule'!$A55=8),IF(OR(WEEKDAY('Daily Schedule'!$B$2,2)=1,WEEKDAY('Daily Schedule'!$B$2,2)=4,WEEKDAY('Daily Schedule'!$B$2,2)=5,WEEKDAY('Daily Schedule'!$B$2,2)=7),IFERROR(1*'Daily Workforce'!$K69&gt;=3,FALSE()),IFERROR(1*'Daily Workforce'!$K69&gt;=2,FALSE())),IF(AND('Daily Schedule'!$A55&gt;=46,'Daily Schedule'!$A55&lt;=52),'Daily Workforce'!$M69="Y",IFERROR(1*'Daily Workforce'!$P69&gt;=2,FALSE()))))),1,0)</f>
        <v>1</v>
      </c>
      <c r="CC51" s="1" t="n">
        <f aca="false">IF(AND('Daily Workforce'!$N70="Y",'Daily Workforce'!$B70&lt;&gt;"",COUNTIF('Daily Schedule'!$F$5:$F54,'Daily Workforce'!$B70)=0,IF('Daily Schedule'!$A55=45,'Daily Workforce'!$J70="Y",IF(OR('Daily Schedule'!$A55=4,'Daily Schedule'!$A55=8),IF(OR(WEEKDAY('Daily Schedule'!$B$2,2)=1,WEEKDAY('Daily Schedule'!$B$2,2)=4,WEEKDAY('Daily Schedule'!$B$2,2)=5,WEEKDAY('Daily Schedule'!$B$2,2)=7),IFERROR(1*'Daily Workforce'!$K70&gt;=3,FALSE()),IFERROR(1*'Daily Workforce'!$K70&gt;=2,FALSE())),IF(AND('Daily Schedule'!$A55&gt;=46,'Daily Schedule'!$A55&lt;=52),'Daily Workforce'!$M70="Y",IFERROR(1*'Daily Workforce'!$P70&gt;=2,FALSE()))))),1,0)</f>
        <v>1</v>
      </c>
      <c r="CD51" s="1" t="n">
        <f aca="false">IF(AND('Daily Workforce'!$N71="Y",'Daily Workforce'!$B71&lt;&gt;"",COUNTIF('Daily Schedule'!$F$5:$F54,'Daily Workforce'!$B71)=0,IF('Daily Schedule'!$A55=45,'Daily Workforce'!$J71="Y",IF(OR('Daily Schedule'!$A55=4,'Daily Schedule'!$A55=8),IF(OR(WEEKDAY('Daily Schedule'!$B$2,2)=1,WEEKDAY('Daily Schedule'!$B$2,2)=4,WEEKDAY('Daily Schedule'!$B$2,2)=5,WEEKDAY('Daily Schedule'!$B$2,2)=7),IFERROR(1*'Daily Workforce'!$K71&gt;=3,FALSE()),IFERROR(1*'Daily Workforce'!$K71&gt;=2,FALSE())),IF(AND('Daily Schedule'!$A55&gt;=46,'Daily Schedule'!$A55&lt;=52),'Daily Workforce'!$M71="Y",IFERROR(1*'Daily Workforce'!$P71&gt;=2,FALSE()))))),1,0)</f>
        <v>1</v>
      </c>
      <c r="CE51" s="1" t="n">
        <f aca="false">IF(AND('Daily Workforce'!$N72="Y",'Daily Workforce'!$B72&lt;&gt;"",COUNTIF('Daily Schedule'!$F$5:$F54,'Daily Workforce'!$B72)=0,IF('Daily Schedule'!$A55=45,'Daily Workforce'!$J72="Y",IF(OR('Daily Schedule'!$A55=4,'Daily Schedule'!$A55=8),IF(OR(WEEKDAY('Daily Schedule'!$B$2,2)=1,WEEKDAY('Daily Schedule'!$B$2,2)=4,WEEKDAY('Daily Schedule'!$B$2,2)=5,WEEKDAY('Daily Schedule'!$B$2,2)=7),IFERROR(1*'Daily Workforce'!$K72&gt;=3,FALSE()),IFERROR(1*'Daily Workforce'!$K72&gt;=2,FALSE())),IF(AND('Daily Schedule'!$A55&gt;=46,'Daily Schedule'!$A55&lt;=52),'Daily Workforce'!$M72="Y",IFERROR(1*'Daily Workforce'!$P72&gt;=2,FALSE()))))),1,0)</f>
        <v>1</v>
      </c>
      <c r="CF51" s="1" t="n">
        <f aca="false">IF(AND('Daily Workforce'!$N73="Y",'Daily Workforce'!$B73&lt;&gt;"",COUNTIF('Daily Schedule'!$F$5:$F54,'Daily Workforce'!$B73)=0,IF('Daily Schedule'!$A55=45,'Daily Workforce'!$J73="Y",IF(OR('Daily Schedule'!$A55=4,'Daily Schedule'!$A55=8),IF(OR(WEEKDAY('Daily Schedule'!$B$2,2)=1,WEEKDAY('Daily Schedule'!$B$2,2)=4,WEEKDAY('Daily Schedule'!$B$2,2)=5,WEEKDAY('Daily Schedule'!$B$2,2)=7),IFERROR(1*'Daily Workforce'!$K73&gt;=3,FALSE()),IFERROR(1*'Daily Workforce'!$K73&gt;=2,FALSE())),IF(AND('Daily Schedule'!$A55&gt;=46,'Daily Schedule'!$A55&lt;=52),'Daily Workforce'!$M73="Y",IFERROR(1*'Daily Workforce'!$P73&gt;=2,FALSE()))))),1,0)</f>
        <v>1</v>
      </c>
      <c r="CG51" s="1" t="n">
        <f aca="false">IF(AND('Daily Workforce'!$N74="Y",'Daily Workforce'!$B74&lt;&gt;"",COUNTIF('Daily Schedule'!$F$5:$F54,'Daily Workforce'!$B74)=0,IF('Daily Schedule'!$A55=45,'Daily Workforce'!$J74="Y",IF(OR('Daily Schedule'!$A55=4,'Daily Schedule'!$A55=8),IF(OR(WEEKDAY('Daily Schedule'!$B$2,2)=1,WEEKDAY('Daily Schedule'!$B$2,2)=4,WEEKDAY('Daily Schedule'!$B$2,2)=5,WEEKDAY('Daily Schedule'!$B$2,2)=7),IFERROR(1*'Daily Workforce'!$K74&gt;=3,FALSE()),IFERROR(1*'Daily Workforce'!$K74&gt;=2,FALSE())),IF(AND('Daily Schedule'!$A55&gt;=46,'Daily Schedule'!$A55&lt;=52),'Daily Workforce'!$M74="Y",IFERROR(1*'Daily Workforce'!$P74&gt;=2,FALSE()))))),1,0)</f>
        <v>1</v>
      </c>
      <c r="CH51" s="1" t="n">
        <f aca="false">IF(AND('Daily Workforce'!$N75="Y",'Daily Workforce'!$B75&lt;&gt;"",COUNTIF('Daily Schedule'!$F$5:$F54,'Daily Workforce'!$B75)=0,IF('Daily Schedule'!$A55=45,'Daily Workforce'!$J75="Y",IF(OR('Daily Schedule'!$A55=4,'Daily Schedule'!$A55=8),IF(OR(WEEKDAY('Daily Schedule'!$B$2,2)=1,WEEKDAY('Daily Schedule'!$B$2,2)=4,WEEKDAY('Daily Schedule'!$B$2,2)=5,WEEKDAY('Daily Schedule'!$B$2,2)=7),IFERROR(1*'Daily Workforce'!$K75&gt;=3,FALSE()),IFERROR(1*'Daily Workforce'!$K75&gt;=2,FALSE())),IF(AND('Daily Schedule'!$A55&gt;=46,'Daily Schedule'!$A55&lt;=52),'Daily Workforce'!$M75="Y",IFERROR(1*'Daily Workforce'!$P75&gt;=2,FALSE()))))),1,0)</f>
        <v>1</v>
      </c>
      <c r="CI51" s="1" t="n">
        <f aca="false">IF(AND('Daily Workforce'!$N76="Y",'Daily Workforce'!$B76&lt;&gt;"",COUNTIF('Daily Schedule'!$F$5:$F54,'Daily Workforce'!$B76)=0,IF('Daily Schedule'!$A55=45,'Daily Workforce'!$J76="Y",IF(OR('Daily Schedule'!$A55=4,'Daily Schedule'!$A55=8),IF(OR(WEEKDAY('Daily Schedule'!$B$2,2)=1,WEEKDAY('Daily Schedule'!$B$2,2)=4,WEEKDAY('Daily Schedule'!$B$2,2)=5,WEEKDAY('Daily Schedule'!$B$2,2)=7),IFERROR(1*'Daily Workforce'!$K76&gt;=3,FALSE()),IFERROR(1*'Daily Workforce'!$K76&gt;=2,FALSE())),IF(AND('Daily Schedule'!$A55&gt;=46,'Daily Schedule'!$A55&lt;=52),'Daily Workforce'!$M76="Y",IFERROR(1*'Daily Workforce'!$P76&gt;=2,FALSE()))))),1,0)</f>
        <v>1</v>
      </c>
      <c r="CJ51" s="1" t="n">
        <f aca="false">IF(AND('Daily Workforce'!$N77="Y",'Daily Workforce'!$B77&lt;&gt;"",COUNTIF('Daily Schedule'!$F$5:$F54,'Daily Workforce'!$B77)=0,IF('Daily Schedule'!$A55=45,'Daily Workforce'!$J77="Y",IF(OR('Daily Schedule'!$A55=4,'Daily Schedule'!$A55=8),IF(OR(WEEKDAY('Daily Schedule'!$B$2,2)=1,WEEKDAY('Daily Schedule'!$B$2,2)=4,WEEKDAY('Daily Schedule'!$B$2,2)=5,WEEKDAY('Daily Schedule'!$B$2,2)=7),IFERROR(1*'Daily Workforce'!$K77&gt;=3,FALSE()),IFERROR(1*'Daily Workforce'!$K77&gt;=2,FALSE())),IF(AND('Daily Schedule'!$A55&gt;=46,'Daily Schedule'!$A55&lt;=52),'Daily Workforce'!$M77="Y",IFERROR(1*'Daily Workforce'!$P77&gt;=2,FALSE()))))),1,0)</f>
        <v>1</v>
      </c>
      <c r="CK51" s="1" t="n">
        <f aca="false">IF(AND('Daily Workforce'!$N78="Y",'Daily Workforce'!$B78&lt;&gt;"",COUNTIF('Daily Schedule'!$F$5:$F54,'Daily Workforce'!$B78)=0,IF('Daily Schedule'!$A55=45,'Daily Workforce'!$J78="Y",IF(OR('Daily Schedule'!$A55=4,'Daily Schedule'!$A55=8),IF(OR(WEEKDAY('Daily Schedule'!$B$2,2)=1,WEEKDAY('Daily Schedule'!$B$2,2)=4,WEEKDAY('Daily Schedule'!$B$2,2)=5,WEEKDAY('Daily Schedule'!$B$2,2)=7),IFERROR(1*'Daily Workforce'!$K78&gt;=3,FALSE()),IFERROR(1*'Daily Workforce'!$K78&gt;=2,FALSE())),IF(AND('Daily Schedule'!$A55&gt;=46,'Daily Schedule'!$A55&lt;=52),'Daily Workforce'!$M78="Y",IFERROR(1*'Daily Workforce'!$P78&gt;=2,FALSE()))))),1,0)</f>
        <v>1</v>
      </c>
      <c r="CL51" s="1" t="n">
        <f aca="false">IF(AND('Daily Workforce'!$N79="Y",'Daily Workforce'!$B79&lt;&gt;"",COUNTIF('Daily Schedule'!$F$5:$F54,'Daily Workforce'!$B79)=0,IF('Daily Schedule'!$A55=45,'Daily Workforce'!$J79="Y",IF(OR('Daily Schedule'!$A55=4,'Daily Schedule'!$A55=8),IF(OR(WEEKDAY('Daily Schedule'!$B$2,2)=1,WEEKDAY('Daily Schedule'!$B$2,2)=4,WEEKDAY('Daily Schedule'!$B$2,2)=5,WEEKDAY('Daily Schedule'!$B$2,2)=7),IFERROR(1*'Daily Workforce'!$K79&gt;=3,FALSE()),IFERROR(1*'Daily Workforce'!$K79&gt;=2,FALSE())),IF(AND('Daily Schedule'!$A55&gt;=46,'Daily Schedule'!$A55&lt;=52),'Daily Workforce'!$M79="Y",IFERROR(1*'Daily Workforce'!$P79&gt;=2,FALSE()))))),1,0)</f>
        <v>1</v>
      </c>
      <c r="CM51" s="1" t="n">
        <f aca="false">IF(AND('Daily Workforce'!$N80="Y",'Daily Workforce'!$B80&lt;&gt;"",COUNTIF('Daily Schedule'!$F$5:$F54,'Daily Workforce'!$B80)=0,IF('Daily Schedule'!$A55=45,'Daily Workforce'!$J80="Y",IF(OR('Daily Schedule'!$A55=4,'Daily Schedule'!$A55=8),IF(OR(WEEKDAY('Daily Schedule'!$B$2,2)=1,WEEKDAY('Daily Schedule'!$B$2,2)=4,WEEKDAY('Daily Schedule'!$B$2,2)=5,WEEKDAY('Daily Schedule'!$B$2,2)=7),IFERROR(1*'Daily Workforce'!$K80&gt;=3,FALSE()),IFERROR(1*'Daily Workforce'!$K80&gt;=2,FALSE())),IF(AND('Daily Schedule'!$A55&gt;=46,'Daily Schedule'!$A55&lt;=52),'Daily Workforce'!$M80="Y",IFERROR(1*'Daily Workforce'!$P80&gt;=2,FALSE()))))),1,0)</f>
        <v>1</v>
      </c>
      <c r="CN51" s="1" t="n">
        <f aca="false">IF(AND('Daily Workforce'!$N81="Y",'Daily Workforce'!$B81&lt;&gt;"",COUNTIF('Daily Schedule'!$F$5:$F54,'Daily Workforce'!$B81)=0,IF('Daily Schedule'!$A55=45,'Daily Workforce'!$J81="Y",IF(OR('Daily Schedule'!$A55=4,'Daily Schedule'!$A55=8),IF(OR(WEEKDAY('Daily Schedule'!$B$2,2)=1,WEEKDAY('Daily Schedule'!$B$2,2)=4,WEEKDAY('Daily Schedule'!$B$2,2)=5,WEEKDAY('Daily Schedule'!$B$2,2)=7),IFERROR(1*'Daily Workforce'!$K81&gt;=3,FALSE()),IFERROR(1*'Daily Workforce'!$K81&gt;=2,FALSE())),IF(AND('Daily Schedule'!$A55&gt;=46,'Daily Schedule'!$A55&lt;=52),'Daily Workforce'!$M81="Y",IFERROR(1*'Daily Workforce'!$P81&gt;=2,FALSE()))))),1,0)</f>
        <v>1</v>
      </c>
      <c r="CO51" s="1" t="n">
        <f aca="false">IF(AND('Daily Workforce'!$N82="Y",'Daily Workforce'!$B82&lt;&gt;"",COUNTIF('Daily Schedule'!$F$5:$F54,'Daily Workforce'!$B82)=0,IF('Daily Schedule'!$A55=45,'Daily Workforce'!$J82="Y",IF(OR('Daily Schedule'!$A55=4,'Daily Schedule'!$A55=8),IF(OR(WEEKDAY('Daily Schedule'!$B$2,2)=1,WEEKDAY('Daily Schedule'!$B$2,2)=4,WEEKDAY('Daily Schedule'!$B$2,2)=5,WEEKDAY('Daily Schedule'!$B$2,2)=7),IFERROR(1*'Daily Workforce'!$K82&gt;=3,FALSE()),IFERROR(1*'Daily Workforce'!$K82&gt;=2,FALSE())),IF(AND('Daily Schedule'!$A55&gt;=46,'Daily Schedule'!$A55&lt;=52),'Daily Workforce'!$M82="Y",IFERROR(1*'Daily Workforce'!$P82&gt;=2,FALSE()))))),1,0)</f>
        <v>1</v>
      </c>
      <c r="CP51" s="1" t="n">
        <f aca="false">IF(AND('Daily Workforce'!$N83="Y",'Daily Workforce'!$B83&lt;&gt;"",COUNTIF('Daily Schedule'!$F$5:$F54,'Daily Workforce'!$B83)=0,IF('Daily Schedule'!$A55=45,'Daily Workforce'!$J83="Y",IF(OR('Daily Schedule'!$A55=4,'Daily Schedule'!$A55=8),IF(OR(WEEKDAY('Daily Schedule'!$B$2,2)=1,WEEKDAY('Daily Schedule'!$B$2,2)=4,WEEKDAY('Daily Schedule'!$B$2,2)=5,WEEKDAY('Daily Schedule'!$B$2,2)=7),IFERROR(1*'Daily Workforce'!$K83&gt;=3,FALSE()),IFERROR(1*'Daily Workforce'!$K83&gt;=2,FALSE())),IF(AND('Daily Schedule'!$A55&gt;=46,'Daily Schedule'!$A55&lt;=52),'Daily Workforce'!$M83="Y",IFERROR(1*'Daily Workforce'!$P83&gt;=2,FALSE()))))),1,0)</f>
        <v>0</v>
      </c>
      <c r="CQ51" s="1" t="n">
        <f aca="false">IF(AND('Daily Workforce'!$N84="Y",'Daily Workforce'!$B84&lt;&gt;"",COUNTIF('Daily Schedule'!$F$5:$F54,'Daily Workforce'!$B84)=0,IF('Daily Schedule'!$A55=45,'Daily Workforce'!$J84="Y",IF(OR('Daily Schedule'!$A55=4,'Daily Schedule'!$A55=8),IF(OR(WEEKDAY('Daily Schedule'!$B$2,2)=1,WEEKDAY('Daily Schedule'!$B$2,2)=4,WEEKDAY('Daily Schedule'!$B$2,2)=5,WEEKDAY('Daily Schedule'!$B$2,2)=7),IFERROR(1*'Daily Workforce'!$K84&gt;=3,FALSE()),IFERROR(1*'Daily Workforce'!$K84&gt;=2,FALSE())),IF(AND('Daily Schedule'!$A55&gt;=46,'Daily Schedule'!$A55&lt;=52),'Daily Workforce'!$M84="Y",IFERROR(1*'Daily Workforce'!$P84&gt;=2,FALSE()))))),1,0)</f>
        <v>1</v>
      </c>
      <c r="CR51" s="1" t="n">
        <f aca="false">IF(AND('Daily Workforce'!$N85="Y",'Daily Workforce'!$B85&lt;&gt;"",COUNTIF('Daily Schedule'!$F$5:$F54,'Daily Workforce'!$B85)=0,IF('Daily Schedule'!$A55=45,'Daily Workforce'!$J85="Y",IF(OR('Daily Schedule'!$A55=4,'Daily Schedule'!$A55=8),IF(OR(WEEKDAY('Daily Schedule'!$B$2,2)=1,WEEKDAY('Daily Schedule'!$B$2,2)=4,WEEKDAY('Daily Schedule'!$B$2,2)=5,WEEKDAY('Daily Schedule'!$B$2,2)=7),IFERROR(1*'Daily Workforce'!$K85&gt;=3,FALSE()),IFERROR(1*'Daily Workforce'!$K85&gt;=2,FALSE())),IF(AND('Daily Schedule'!$A55&gt;=46,'Daily Schedule'!$A55&lt;=52),'Daily Workforce'!$M85="Y",IFERROR(1*'Daily Workforce'!$P85&gt;=2,FALSE()))))),1,0)</f>
        <v>0</v>
      </c>
      <c r="CS51" s="1" t="n">
        <f aca="false">IF(AND('Daily Workforce'!$N86="Y",'Daily Workforce'!$B86&lt;&gt;"",COUNTIF('Daily Schedule'!$F$5:$F54,'Daily Workforce'!$B86)=0,IF('Daily Schedule'!$A55=45,'Daily Workforce'!$J86="Y",IF(OR('Daily Schedule'!$A55=4,'Daily Schedule'!$A55=8),IF(OR(WEEKDAY('Daily Schedule'!$B$2,2)=1,WEEKDAY('Daily Schedule'!$B$2,2)=4,WEEKDAY('Daily Schedule'!$B$2,2)=5,WEEKDAY('Daily Schedule'!$B$2,2)=7),IFERROR(1*'Daily Workforce'!$K86&gt;=3,FALSE()),IFERROR(1*'Daily Workforce'!$K86&gt;=2,FALSE())),IF(AND('Daily Schedule'!$A55&gt;=46,'Daily Schedule'!$A55&lt;=52),'Daily Workforce'!$M86="Y",IFERROR(1*'Daily Workforce'!$P86&gt;=2,FALSE()))))),1,0)</f>
        <v>1</v>
      </c>
      <c r="CT51" s="1" t="n">
        <f aca="false">IF(AND('Daily Workforce'!$N87="Y",'Daily Workforce'!$B87&lt;&gt;"",COUNTIF('Daily Schedule'!$F$5:$F54,'Daily Workforce'!$B87)=0,IF('Daily Schedule'!$A55=45,'Daily Workforce'!$J87="Y",IF(OR('Daily Schedule'!$A55=4,'Daily Schedule'!$A55=8),IF(OR(WEEKDAY('Daily Schedule'!$B$2,2)=1,WEEKDAY('Daily Schedule'!$B$2,2)=4,WEEKDAY('Daily Schedule'!$B$2,2)=5,WEEKDAY('Daily Schedule'!$B$2,2)=7),IFERROR(1*'Daily Workforce'!$K87&gt;=3,FALSE()),IFERROR(1*'Daily Workforce'!$K87&gt;=2,FALSE())),IF(AND('Daily Schedule'!$A55&gt;=46,'Daily Schedule'!$A55&lt;=52),'Daily Workforce'!$M87="Y",IFERROR(1*'Daily Workforce'!$P87&gt;=2,FALSE()))))),1,0)</f>
        <v>1</v>
      </c>
      <c r="CU51" s="1" t="n">
        <f aca="false">IF(AND('Daily Workforce'!$N88="Y",'Daily Workforce'!$B88&lt;&gt;"",COUNTIF('Daily Schedule'!$F$5:$F54,'Daily Workforce'!$B88)=0,IF('Daily Schedule'!$A55=45,'Daily Workforce'!$J88="Y",IF(OR('Daily Schedule'!$A55=4,'Daily Schedule'!$A55=8),IF(OR(WEEKDAY('Daily Schedule'!$B$2,2)=1,WEEKDAY('Daily Schedule'!$B$2,2)=4,WEEKDAY('Daily Schedule'!$B$2,2)=5,WEEKDAY('Daily Schedule'!$B$2,2)=7),IFERROR(1*'Daily Workforce'!$K88&gt;=3,FALSE()),IFERROR(1*'Daily Workforce'!$K88&gt;=2,FALSE())),IF(AND('Daily Schedule'!$A55&gt;=46,'Daily Schedule'!$A55&lt;=52),'Daily Workforce'!$M88="Y",IFERROR(1*'Daily Workforce'!$P88&gt;=2,FALSE()))))),1,0)</f>
        <v>1</v>
      </c>
      <c r="CV51" s="1" t="n">
        <f aca="false">IF(AND('Daily Workforce'!$N89="Y",'Daily Workforce'!$B89&lt;&gt;"",COUNTIF('Daily Schedule'!$F$5:$F54,'Daily Workforce'!$B89)=0,IF('Daily Schedule'!$A55=45,'Daily Workforce'!$J89="Y",IF(OR('Daily Schedule'!$A55=4,'Daily Schedule'!$A55=8),IF(OR(WEEKDAY('Daily Schedule'!$B$2,2)=1,WEEKDAY('Daily Schedule'!$B$2,2)=4,WEEKDAY('Daily Schedule'!$B$2,2)=5,WEEKDAY('Daily Schedule'!$B$2,2)=7),IFERROR(1*'Daily Workforce'!$K89&gt;=3,FALSE()),IFERROR(1*'Daily Workforce'!$K89&gt;=2,FALSE())),IF(AND('Daily Schedule'!$A55&gt;=46,'Daily Schedule'!$A55&lt;=52),'Daily Workforce'!$M89="Y",IFERROR(1*'Daily Workforce'!$P89&gt;=2,FALSE()))))),1,0)</f>
        <v>1</v>
      </c>
      <c r="CW51" s="1" t="n">
        <f aca="false">IF(AND('Daily Workforce'!$N90="Y",'Daily Workforce'!$B90&lt;&gt;"",COUNTIF('Daily Schedule'!$F$5:$F54,'Daily Workforce'!$B90)=0,IF('Daily Schedule'!$A55=45,'Daily Workforce'!$J90="Y",IF(OR('Daily Schedule'!$A55=4,'Daily Schedule'!$A55=8),IF(OR(WEEKDAY('Daily Schedule'!$B$2,2)=1,WEEKDAY('Daily Schedule'!$B$2,2)=4,WEEKDAY('Daily Schedule'!$B$2,2)=5,WEEKDAY('Daily Schedule'!$B$2,2)=7),IFERROR(1*'Daily Workforce'!$K90&gt;=3,FALSE()),IFERROR(1*'Daily Workforce'!$K90&gt;=2,FALSE())),IF(AND('Daily Schedule'!$A55&gt;=46,'Daily Schedule'!$A55&lt;=52),'Daily Workforce'!$M90="Y",IFERROR(1*'Daily Workforce'!$P90&gt;=2,FALSE()))))),1,0)</f>
        <v>1</v>
      </c>
      <c r="CX51" s="1" t="n">
        <f aca="false">IF(AND('Daily Workforce'!$N91="Y",'Daily Workforce'!$B91&lt;&gt;"",COUNTIF('Daily Schedule'!$F$5:$F54,'Daily Workforce'!$B91)=0,IF('Daily Schedule'!$A55=45,'Daily Workforce'!$J91="Y",IF(OR('Daily Schedule'!$A55=4,'Daily Schedule'!$A55=8),IF(OR(WEEKDAY('Daily Schedule'!$B$2,2)=1,WEEKDAY('Daily Schedule'!$B$2,2)=4,WEEKDAY('Daily Schedule'!$B$2,2)=5,WEEKDAY('Daily Schedule'!$B$2,2)=7),IFERROR(1*'Daily Workforce'!$K91&gt;=3,FALSE()),IFERROR(1*'Daily Workforce'!$K91&gt;=2,FALSE())),IF(AND('Daily Schedule'!$A55&gt;=46,'Daily Schedule'!$A55&lt;=52),'Daily Workforce'!$M91="Y",IFERROR(1*'Daily Workforce'!$P91&gt;=2,FALSE()))))),1,0)</f>
        <v>1</v>
      </c>
      <c r="CY51" s="1" t="n">
        <f aca="false">IF(AND('Daily Workforce'!$N92="Y",'Daily Workforce'!$B92&lt;&gt;"",COUNTIF('Daily Schedule'!$F$5:$F54,'Daily Workforce'!$B92)=0,IF('Daily Schedule'!$A55=45,'Daily Workforce'!$J92="Y",IF(OR('Daily Schedule'!$A55=4,'Daily Schedule'!$A55=8),IF(OR(WEEKDAY('Daily Schedule'!$B$2,2)=1,WEEKDAY('Daily Schedule'!$B$2,2)=4,WEEKDAY('Daily Schedule'!$B$2,2)=5,WEEKDAY('Daily Schedule'!$B$2,2)=7),IFERROR(1*'Daily Workforce'!$K92&gt;=3,FALSE()),IFERROR(1*'Daily Workforce'!$K92&gt;=2,FALSE())),IF(AND('Daily Schedule'!$A55&gt;=46,'Daily Schedule'!$A55&lt;=52),'Daily Workforce'!$M92="Y",IFERROR(1*'Daily Workforce'!$P92&gt;=2,FALSE()))))),1,0)</f>
        <v>1</v>
      </c>
      <c r="CZ51" s="1" t="n">
        <f aca="false">IF(AND('Daily Workforce'!$N93="Y",'Daily Workforce'!$B93&lt;&gt;"",COUNTIF('Daily Schedule'!$F$5:$F54,'Daily Workforce'!$B93)=0,IF('Daily Schedule'!$A55=45,'Daily Workforce'!$J93="Y",IF(OR('Daily Schedule'!$A55=4,'Daily Schedule'!$A55=8),IF(OR(WEEKDAY('Daily Schedule'!$B$2,2)=1,WEEKDAY('Daily Schedule'!$B$2,2)=4,WEEKDAY('Daily Schedule'!$B$2,2)=5,WEEKDAY('Daily Schedule'!$B$2,2)=7),IFERROR(1*'Daily Workforce'!$K93&gt;=3,FALSE()),IFERROR(1*'Daily Workforce'!$K93&gt;=2,FALSE())),IF(AND('Daily Schedule'!$A55&gt;=46,'Daily Schedule'!$A55&lt;=52),'Daily Workforce'!$M93="Y",IFERROR(1*'Daily Workforce'!$P93&gt;=2,FALSE()))))),1,0)</f>
        <v>1</v>
      </c>
      <c r="DA51" s="1" t="n">
        <f aca="false">IF(AND('Daily Workforce'!$N94="Y",'Daily Workforce'!$B94&lt;&gt;"",COUNTIF('Daily Schedule'!$F$5:$F54,'Daily Workforce'!$B94)=0,IF('Daily Schedule'!$A55=45,'Daily Workforce'!$J94="Y",IF(OR('Daily Schedule'!$A55=4,'Daily Schedule'!$A55=8),IF(OR(WEEKDAY('Daily Schedule'!$B$2,2)=1,WEEKDAY('Daily Schedule'!$B$2,2)=4,WEEKDAY('Daily Schedule'!$B$2,2)=5,WEEKDAY('Daily Schedule'!$B$2,2)=7),IFERROR(1*'Daily Workforce'!$K94&gt;=3,FALSE()),IFERROR(1*'Daily Workforce'!$K94&gt;=2,FALSE())),IF(AND('Daily Schedule'!$A55&gt;=46,'Daily Schedule'!$A55&lt;=52),'Daily Workforce'!$M94="Y",IFERROR(1*'Daily Workforce'!$P94&gt;=2,FALSE()))))),1,0)</f>
        <v>1</v>
      </c>
      <c r="DB51" s="1" t="n">
        <f aca="false">IF(AND('Daily Workforce'!$N95="Y",'Daily Workforce'!$B95&lt;&gt;"",COUNTIF('Daily Schedule'!$F$5:$F54,'Daily Workforce'!$B95)=0,IF('Daily Schedule'!$A55=45,'Daily Workforce'!$J95="Y",IF(OR('Daily Schedule'!$A55=4,'Daily Schedule'!$A55=8),IF(OR(WEEKDAY('Daily Schedule'!$B$2,2)=1,WEEKDAY('Daily Schedule'!$B$2,2)=4,WEEKDAY('Daily Schedule'!$B$2,2)=5,WEEKDAY('Daily Schedule'!$B$2,2)=7),IFERROR(1*'Daily Workforce'!$K95&gt;=3,FALSE()),IFERROR(1*'Daily Workforce'!$K95&gt;=2,FALSE())),IF(AND('Daily Schedule'!$A55&gt;=46,'Daily Schedule'!$A55&lt;=52),'Daily Workforce'!$M95="Y",IFERROR(1*'Daily Workforce'!$P95&gt;=2,FALSE()))))),1,0)</f>
        <v>1</v>
      </c>
      <c r="DC51" s="1" t="n">
        <f aca="false">IF(AND('Daily Workforce'!$N96="Y",'Daily Workforce'!$B96&lt;&gt;"",COUNTIF('Daily Schedule'!$F$5:$F54,'Daily Workforce'!$B96)=0,IF('Daily Schedule'!$A55=45,'Daily Workforce'!$J96="Y",IF(OR('Daily Schedule'!$A55=4,'Daily Schedule'!$A55=8),IF(OR(WEEKDAY('Daily Schedule'!$B$2,2)=1,WEEKDAY('Daily Schedule'!$B$2,2)=4,WEEKDAY('Daily Schedule'!$B$2,2)=5,WEEKDAY('Daily Schedule'!$B$2,2)=7),IFERROR(1*'Daily Workforce'!$K96&gt;=3,FALSE()),IFERROR(1*'Daily Workforce'!$K96&gt;=2,FALSE())),IF(AND('Daily Schedule'!$A55&gt;=46,'Daily Schedule'!$A55&lt;=52),'Daily Workforce'!$M96="Y",IFERROR(1*'Daily Workforce'!$P96&gt;=2,FALSE()))))),1,0)</f>
        <v>1</v>
      </c>
      <c r="DD51" s="1" t="n">
        <f aca="false">IF(AND('Daily Workforce'!$N97="Y",'Daily Workforce'!$B97&lt;&gt;"",COUNTIF('Daily Schedule'!$F$5:$F54,'Daily Workforce'!$B97)=0,IF('Daily Schedule'!$A55=45,'Daily Workforce'!$J97="Y",IF(OR('Daily Schedule'!$A55=4,'Daily Schedule'!$A55=8),IF(OR(WEEKDAY('Daily Schedule'!$B$2,2)=1,WEEKDAY('Daily Schedule'!$B$2,2)=4,WEEKDAY('Daily Schedule'!$B$2,2)=5,WEEKDAY('Daily Schedule'!$B$2,2)=7),IFERROR(1*'Daily Workforce'!$K97&gt;=3,FALSE()),IFERROR(1*'Daily Workforce'!$K97&gt;=2,FALSE())),IF(AND('Daily Schedule'!$A55&gt;=46,'Daily Schedule'!$A55&lt;=52),'Daily Workforce'!$M97="Y",IFERROR(1*'Daily Workforce'!$P97&gt;=2,FALSE()))))),1,0)</f>
        <v>1</v>
      </c>
      <c r="DE51" s="1" t="n">
        <f aca="false">IF(AND('Daily Workforce'!$N98="Y",'Daily Workforce'!$B98&lt;&gt;"",COUNTIF('Daily Schedule'!$F$5:$F54,'Daily Workforce'!$B98)=0,IF('Daily Schedule'!$A55=45,'Daily Workforce'!$J98="Y",IF(OR('Daily Schedule'!$A55=4,'Daily Schedule'!$A55=8),IF(OR(WEEKDAY('Daily Schedule'!$B$2,2)=1,WEEKDAY('Daily Schedule'!$B$2,2)=4,WEEKDAY('Daily Schedule'!$B$2,2)=5,WEEKDAY('Daily Schedule'!$B$2,2)=7),IFERROR(1*'Daily Workforce'!$K98&gt;=3,FALSE()),IFERROR(1*'Daily Workforce'!$K98&gt;=2,FALSE())),IF(AND('Daily Schedule'!$A55&gt;=46,'Daily Schedule'!$A55&lt;=52),'Daily Workforce'!$M98="Y",IFERROR(1*'Daily Workforce'!$P98&gt;=2,FALSE()))))),1,0)</f>
        <v>1</v>
      </c>
      <c r="DF51" s="1" t="n">
        <f aca="false">IF(AND('Daily Workforce'!$N99="Y",'Daily Workforce'!$B99&lt;&gt;"",COUNTIF('Daily Schedule'!$F$5:$F54,'Daily Workforce'!$B99)=0,IF('Daily Schedule'!$A55=45,'Daily Workforce'!$J99="Y",IF(OR('Daily Schedule'!$A55=4,'Daily Schedule'!$A55=8),IF(OR(WEEKDAY('Daily Schedule'!$B$2,2)=1,WEEKDAY('Daily Schedule'!$B$2,2)=4,WEEKDAY('Daily Schedule'!$B$2,2)=5,WEEKDAY('Daily Schedule'!$B$2,2)=7),IFERROR(1*'Daily Workforce'!$K99&gt;=3,FALSE()),IFERROR(1*'Daily Workforce'!$K99&gt;=2,FALSE())),IF(AND('Daily Schedule'!$A55&gt;=46,'Daily Schedule'!$A55&lt;=52),'Daily Workforce'!$M99="Y",IFERROR(1*'Daily Workforce'!$P99&gt;=2,FALSE()))))),1,0)</f>
        <v>1</v>
      </c>
      <c r="DG51" s="1" t="n">
        <f aca="false">IF(AND('Daily Workforce'!$N100="Y",'Daily Workforce'!$B100&lt;&gt;"",COUNTIF('Daily Schedule'!$F$5:$F54,'Daily Workforce'!$B100)=0,IF('Daily Schedule'!$A55=45,'Daily Workforce'!$J100="Y",IF(OR('Daily Schedule'!$A55=4,'Daily Schedule'!$A55=8),IF(OR(WEEKDAY('Daily Schedule'!$B$2,2)=1,WEEKDAY('Daily Schedule'!$B$2,2)=4,WEEKDAY('Daily Schedule'!$B$2,2)=5,WEEKDAY('Daily Schedule'!$B$2,2)=7),IFERROR(1*'Daily Workforce'!$K100&gt;=3,FALSE()),IFERROR(1*'Daily Workforce'!$K100&gt;=2,FALSE())),IF(AND('Daily Schedule'!$A55&gt;=46,'Daily Schedule'!$A55&lt;=52),'Daily Workforce'!$M100="Y",IFERROR(1*'Daily Workforce'!$P100&gt;=2,FALSE()))))),1,0)</f>
        <v>1</v>
      </c>
      <c r="DH51" s="1" t="n">
        <f aca="false">IF(AND('Daily Workforce'!$N101="Y",'Daily Workforce'!$B101&lt;&gt;"",COUNTIF('Daily Schedule'!$F$5:$F54,'Daily Workforce'!$B101)=0,IF('Daily Schedule'!$A55=45,'Daily Workforce'!$J101="Y",IF(OR('Daily Schedule'!$A55=4,'Daily Schedule'!$A55=8),IF(OR(WEEKDAY('Daily Schedule'!$B$2,2)=1,WEEKDAY('Daily Schedule'!$B$2,2)=4,WEEKDAY('Daily Schedule'!$B$2,2)=5,WEEKDAY('Daily Schedule'!$B$2,2)=7),IFERROR(1*'Daily Workforce'!$K101&gt;=3,FALSE()),IFERROR(1*'Daily Workforce'!$K101&gt;=2,FALSE())),IF(AND('Daily Schedule'!$A55&gt;=46,'Daily Schedule'!$A55&lt;=52),'Daily Workforce'!$M101="Y",IFERROR(1*'Daily Workforce'!$P101&gt;=2,FALSE()))))),1,0)</f>
        <v>1</v>
      </c>
      <c r="DI51" s="1" t="n">
        <f aca="false">IF(AND('Daily Workforce'!$N102="Y",'Daily Workforce'!$B102&lt;&gt;"",COUNTIF('Daily Schedule'!$F$5:$F54,'Daily Workforce'!$B102)=0,IF('Daily Schedule'!$A55=45,'Daily Workforce'!$J102="Y",IF(OR('Daily Schedule'!$A55=4,'Daily Schedule'!$A55=8),IF(OR(WEEKDAY('Daily Schedule'!$B$2,2)=1,WEEKDAY('Daily Schedule'!$B$2,2)=4,WEEKDAY('Daily Schedule'!$B$2,2)=5,WEEKDAY('Daily Schedule'!$B$2,2)=7),IFERROR(1*'Daily Workforce'!$K102&gt;=3,FALSE()),IFERROR(1*'Daily Workforce'!$K102&gt;=2,FALSE())),IF(AND('Daily Schedule'!$A55&gt;=46,'Daily Schedule'!$A55&lt;=52),'Daily Workforce'!$M102="Y",IFERROR(1*'Daily Workforce'!$P102&gt;=2,FALSE()))))),1,0)</f>
        <v>1</v>
      </c>
      <c r="DJ51" s="1" t="n">
        <f aca="false">IF(AND('Daily Workforce'!$N103="Y",'Daily Workforce'!$B103&lt;&gt;"",COUNTIF('Daily Schedule'!$F$5:$F54,'Daily Workforce'!$B103)=0,IF('Daily Schedule'!$A55=45,'Daily Workforce'!$J103="Y",IF(OR('Daily Schedule'!$A55=4,'Daily Schedule'!$A55=8),IF(OR(WEEKDAY('Daily Schedule'!$B$2,2)=1,WEEKDAY('Daily Schedule'!$B$2,2)=4,WEEKDAY('Daily Schedule'!$B$2,2)=5,WEEKDAY('Daily Schedule'!$B$2,2)=7),IFERROR(1*'Daily Workforce'!$K103&gt;=3,FALSE()),IFERROR(1*'Daily Workforce'!$K103&gt;=2,FALSE())),IF(AND('Daily Schedule'!$A55&gt;=46,'Daily Schedule'!$A55&lt;=52),'Daily Workforce'!$M103="Y",IFERROR(1*'Daily Workforce'!$P103&gt;=2,FALSE()))))),1,0)</f>
        <v>1</v>
      </c>
      <c r="DK51" s="1" t="n">
        <f aca="false">IF(AND('Daily Workforce'!$N104="Y",'Daily Workforce'!$B104&lt;&gt;"",COUNTIF('Daily Schedule'!$F$5:$F54,'Daily Workforce'!$B104)=0,IF('Daily Schedule'!$A55=45,'Daily Workforce'!$J104="Y",IF(OR('Daily Schedule'!$A55=4,'Daily Schedule'!$A55=8),IF(OR(WEEKDAY('Daily Schedule'!$B$2,2)=1,WEEKDAY('Daily Schedule'!$B$2,2)=4,WEEKDAY('Daily Schedule'!$B$2,2)=5,WEEKDAY('Daily Schedule'!$B$2,2)=7),IFERROR(1*'Daily Workforce'!$K104&gt;=3,FALSE()),IFERROR(1*'Daily Workforce'!$K104&gt;=2,FALSE())),IF(AND('Daily Schedule'!$A55&gt;=46,'Daily Schedule'!$A55&lt;=52),'Daily Workforce'!$M104="Y",IFERROR(1*'Daily Workforce'!$P104&gt;=2,FALSE()))))),1,0)</f>
        <v>1</v>
      </c>
      <c r="DL51" s="1" t="n">
        <f aca="false">IF(AND('Daily Workforce'!$N105="Y",'Daily Workforce'!$B105&lt;&gt;"",COUNTIF('Daily Schedule'!$F$5:$F54,'Daily Workforce'!$B105)=0,IF('Daily Schedule'!$A55=45,'Daily Workforce'!$J105="Y",IF(OR('Daily Schedule'!$A55=4,'Daily Schedule'!$A55=8),IF(OR(WEEKDAY('Daily Schedule'!$B$2,2)=1,WEEKDAY('Daily Schedule'!$B$2,2)=4,WEEKDAY('Daily Schedule'!$B$2,2)=5,WEEKDAY('Daily Schedule'!$B$2,2)=7),IFERROR(1*'Daily Workforce'!$K105&gt;=3,FALSE()),IFERROR(1*'Daily Workforce'!$K105&gt;=2,FALSE())),IF(AND('Daily Schedule'!$A55&gt;=46,'Daily Schedule'!$A55&lt;=52),'Daily Workforce'!$M105="Y",IFERROR(1*'Daily Workforce'!$P105&gt;=2,FALSE()))))),1,0)</f>
        <v>0</v>
      </c>
      <c r="DM51" s="1" t="n">
        <f aca="false">IF(AND('Daily Workforce'!$N106="Y",'Daily Workforce'!$B106&lt;&gt;"",COUNTIF('Daily Schedule'!$F$5:$F54,'Daily Workforce'!$B106)=0,IF('Daily Schedule'!$A55=45,'Daily Workforce'!$J106="Y",IF(OR('Daily Schedule'!$A55=4,'Daily Schedule'!$A55=8),IF(OR(WEEKDAY('Daily Schedule'!$B$2,2)=1,WEEKDAY('Daily Schedule'!$B$2,2)=4,WEEKDAY('Daily Schedule'!$B$2,2)=5,WEEKDAY('Daily Schedule'!$B$2,2)=7),IFERROR(1*'Daily Workforce'!$K106&gt;=3,FALSE()),IFERROR(1*'Daily Workforce'!$K106&gt;=2,FALSE())),IF(AND('Daily Schedule'!$A55&gt;=46,'Daily Schedule'!$A55&lt;=52),'Daily Workforce'!$M106="Y",IFERROR(1*'Daily Workforce'!$P106&gt;=2,FALSE()))))),1,0)</f>
        <v>1</v>
      </c>
      <c r="DN51" s="1" t="n">
        <f aca="false">IF(AND('Daily Workforce'!$N107="Y",'Daily Workforce'!$B107&lt;&gt;"",COUNTIF('Daily Schedule'!$F$5:$F54,'Daily Workforce'!$B107)=0,IF('Daily Schedule'!$A55=45,'Daily Workforce'!$J107="Y",IF(OR('Daily Schedule'!$A55=4,'Daily Schedule'!$A55=8),IF(OR(WEEKDAY('Daily Schedule'!$B$2,2)=1,WEEKDAY('Daily Schedule'!$B$2,2)=4,WEEKDAY('Daily Schedule'!$B$2,2)=5,WEEKDAY('Daily Schedule'!$B$2,2)=7),IFERROR(1*'Daily Workforce'!$K107&gt;=3,FALSE()),IFERROR(1*'Daily Workforce'!$K107&gt;=2,FALSE())),IF(AND('Daily Schedule'!$A55&gt;=46,'Daily Schedule'!$A55&lt;=52),'Daily Workforce'!$M107="Y",IFERROR(1*'Daily Workforce'!$P107&gt;=2,FALSE()))))),1,0)</f>
        <v>1</v>
      </c>
      <c r="DO51" s="1" t="n">
        <f aca="false">IF(AND('Daily Workforce'!$N108="Y",'Daily Workforce'!$B108&lt;&gt;"",COUNTIF('Daily Schedule'!$F$5:$F54,'Daily Workforce'!$B108)=0,IF('Daily Schedule'!$A55=45,'Daily Workforce'!$J108="Y",IF(OR('Daily Schedule'!$A55=4,'Daily Schedule'!$A55=8),IF(OR(WEEKDAY('Daily Schedule'!$B$2,2)=1,WEEKDAY('Daily Schedule'!$B$2,2)=4,WEEKDAY('Daily Schedule'!$B$2,2)=5,WEEKDAY('Daily Schedule'!$B$2,2)=7),IFERROR(1*'Daily Workforce'!$K108&gt;=3,FALSE()),IFERROR(1*'Daily Workforce'!$K108&gt;=2,FALSE())),IF(AND('Daily Schedule'!$A55&gt;=46,'Daily Schedule'!$A55&lt;=52),'Daily Workforce'!$M108="Y",IFERROR(1*'Daily Workforce'!$P108&gt;=2,FALSE()))))),1,0)</f>
        <v>1</v>
      </c>
      <c r="DP51" s="1" t="n">
        <f aca="false">IF(AND('Daily Workforce'!$N109="Y",'Daily Workforce'!$B109&lt;&gt;"",COUNTIF('Daily Schedule'!$F$5:$F54,'Daily Workforce'!$B109)=0,IF('Daily Schedule'!$A55=45,'Daily Workforce'!$J109="Y",IF(OR('Daily Schedule'!$A55=4,'Daily Schedule'!$A55=8),IF(OR(WEEKDAY('Daily Schedule'!$B$2,2)=1,WEEKDAY('Daily Schedule'!$B$2,2)=4,WEEKDAY('Daily Schedule'!$B$2,2)=5,WEEKDAY('Daily Schedule'!$B$2,2)=7),IFERROR(1*'Daily Workforce'!$K109&gt;=3,FALSE()),IFERROR(1*'Daily Workforce'!$K109&gt;=2,FALSE())),IF(AND('Daily Schedule'!$A55&gt;=46,'Daily Schedule'!$A55&lt;=52),'Daily Workforce'!$M109="Y",IFERROR(1*'Daily Workforce'!$P109&gt;=2,FALSE()))))),1,0)</f>
        <v>1</v>
      </c>
      <c r="DQ51" s="1" t="n">
        <f aca="false">IF(AND('Daily Workforce'!$N110="Y",'Daily Workforce'!$B110&lt;&gt;"",COUNTIF('Daily Schedule'!$F$5:$F54,'Daily Workforce'!$B110)=0,IF('Daily Schedule'!$A55=45,'Daily Workforce'!$J110="Y",IF(OR('Daily Schedule'!$A55=4,'Daily Schedule'!$A55=8),IF(OR(WEEKDAY('Daily Schedule'!$B$2,2)=1,WEEKDAY('Daily Schedule'!$B$2,2)=4,WEEKDAY('Daily Schedule'!$B$2,2)=5,WEEKDAY('Daily Schedule'!$B$2,2)=7),IFERROR(1*'Daily Workforce'!$K110&gt;=3,FALSE()),IFERROR(1*'Daily Workforce'!$K110&gt;=2,FALSE())),IF(AND('Daily Schedule'!$A55&gt;=46,'Daily Schedule'!$A55&lt;=52),'Daily Workforce'!$M110="Y",IFERROR(1*'Daily Workforce'!$P110&gt;=2,FALSE()))))),1,0)</f>
        <v>1</v>
      </c>
      <c r="DR51" s="1" t="n">
        <f aca="false">IF(AND('Daily Workforce'!$N111="Y",'Daily Workforce'!$B111&lt;&gt;"",COUNTIF('Daily Schedule'!$F$5:$F54,'Daily Workforce'!$B111)=0,IF('Daily Schedule'!$A55=45,'Daily Workforce'!$J111="Y",IF(OR('Daily Schedule'!$A55=4,'Daily Schedule'!$A55=8),IF(OR(WEEKDAY('Daily Schedule'!$B$2,2)=1,WEEKDAY('Daily Schedule'!$B$2,2)=4,WEEKDAY('Daily Schedule'!$B$2,2)=5,WEEKDAY('Daily Schedule'!$B$2,2)=7),IFERROR(1*'Daily Workforce'!$K111&gt;=3,FALSE()),IFERROR(1*'Daily Workforce'!$K111&gt;=2,FALSE())),IF(AND('Daily Schedule'!$A55&gt;=46,'Daily Schedule'!$A55&lt;=52),'Daily Workforce'!$M111="Y",IFERROR(1*'Daily Workforce'!$P111&gt;=2,FALSE()))))),1,0)</f>
        <v>1</v>
      </c>
      <c r="DS51" s="1" t="n">
        <f aca="false">IF(AND('Daily Workforce'!$N112="Y",'Daily Workforce'!$B112&lt;&gt;"",COUNTIF('Daily Schedule'!$F$5:$F54,'Daily Workforce'!$B112)=0,IF('Daily Schedule'!$A55=45,'Daily Workforce'!$J112="Y",IF(OR('Daily Schedule'!$A55=4,'Daily Schedule'!$A55=8),IF(OR(WEEKDAY('Daily Schedule'!$B$2,2)=1,WEEKDAY('Daily Schedule'!$B$2,2)=4,WEEKDAY('Daily Schedule'!$B$2,2)=5,WEEKDAY('Daily Schedule'!$B$2,2)=7),IFERROR(1*'Daily Workforce'!$K112&gt;=3,FALSE()),IFERROR(1*'Daily Workforce'!$K112&gt;=2,FALSE())),IF(AND('Daily Schedule'!$A55&gt;=46,'Daily Schedule'!$A55&lt;=52),'Daily Workforce'!$M112="Y",IFERROR(1*'Daily Workforce'!$P112&gt;=2,FALSE()))))),1,0)</f>
        <v>1</v>
      </c>
      <c r="DT51" s="1" t="n">
        <f aca="false">IF(AND('Daily Workforce'!$N113="Y",'Daily Workforce'!$B113&lt;&gt;"",COUNTIF('Daily Schedule'!$F$5:$F54,'Daily Workforce'!$B113)=0,IF('Daily Schedule'!$A55=45,'Daily Workforce'!$J113="Y",IF(OR('Daily Schedule'!$A55=4,'Daily Schedule'!$A55=8),IF(OR(WEEKDAY('Daily Schedule'!$B$2,2)=1,WEEKDAY('Daily Schedule'!$B$2,2)=4,WEEKDAY('Daily Schedule'!$B$2,2)=5,WEEKDAY('Daily Schedule'!$B$2,2)=7),IFERROR(1*'Daily Workforce'!$K113&gt;=3,FALSE()),IFERROR(1*'Daily Workforce'!$K113&gt;=2,FALSE())),IF(AND('Daily Schedule'!$A55&gt;=46,'Daily Schedule'!$A55&lt;=52),'Daily Workforce'!$M113="Y",IFERROR(1*'Daily Workforce'!$P113&gt;=2,FALSE()))))),1,0)</f>
        <v>1</v>
      </c>
      <c r="DU51" s="1" t="n">
        <f aca="false">IF(AND('Daily Workforce'!$N114="Y",'Daily Workforce'!$B114&lt;&gt;"",COUNTIF('Daily Schedule'!$F$5:$F54,'Daily Workforce'!$B114)=0,IF('Daily Schedule'!$A55=45,'Daily Workforce'!$J114="Y",IF(OR('Daily Schedule'!$A55=4,'Daily Schedule'!$A55=8),IF(OR(WEEKDAY('Daily Schedule'!$B$2,2)=1,WEEKDAY('Daily Schedule'!$B$2,2)=4,WEEKDAY('Daily Schedule'!$B$2,2)=5,WEEKDAY('Daily Schedule'!$B$2,2)=7),IFERROR(1*'Daily Workforce'!$K114&gt;=3,FALSE()),IFERROR(1*'Daily Workforce'!$K114&gt;=2,FALSE())),IF(AND('Daily Schedule'!$A55&gt;=46,'Daily Schedule'!$A55&lt;=52),'Daily Workforce'!$M114="Y",IFERROR(1*'Daily Workforce'!$P114&gt;=2,FALSE()))))),1,0)</f>
        <v>1</v>
      </c>
      <c r="DV51" s="1" t="n">
        <f aca="false">IF(AND('Daily Workforce'!$N115="Y",'Daily Workforce'!$B115&lt;&gt;"",COUNTIF('Daily Schedule'!$F$5:$F54,'Daily Workforce'!$B115)=0,IF('Daily Schedule'!$A55=45,'Daily Workforce'!$J115="Y",IF(OR('Daily Schedule'!$A55=4,'Daily Schedule'!$A55=8),IF(OR(WEEKDAY('Daily Schedule'!$B$2,2)=1,WEEKDAY('Daily Schedule'!$B$2,2)=4,WEEKDAY('Daily Schedule'!$B$2,2)=5,WEEKDAY('Daily Schedule'!$B$2,2)=7),IFERROR(1*'Daily Workforce'!$K115&gt;=3,FALSE()),IFERROR(1*'Daily Workforce'!$K115&gt;=2,FALSE())),IF(AND('Daily Schedule'!$A55&gt;=46,'Daily Schedule'!$A55&lt;=52),'Daily Workforce'!$M115="Y",IFERROR(1*'Daily Workforce'!$P115&gt;=2,FALSE()))))),1,0)</f>
        <v>1</v>
      </c>
      <c r="DW51" s="1" t="n">
        <f aca="false">IF(AND('Daily Workforce'!$N116="Y",'Daily Workforce'!$B116&lt;&gt;"",COUNTIF('Daily Schedule'!$F$5:$F54,'Daily Workforce'!$B116)=0,IF('Daily Schedule'!$A55=45,'Daily Workforce'!$J116="Y",IF(OR('Daily Schedule'!$A55=4,'Daily Schedule'!$A55=8),IF(OR(WEEKDAY('Daily Schedule'!$B$2,2)=1,WEEKDAY('Daily Schedule'!$B$2,2)=4,WEEKDAY('Daily Schedule'!$B$2,2)=5,WEEKDAY('Daily Schedule'!$B$2,2)=7),IFERROR(1*'Daily Workforce'!$K116&gt;=3,FALSE()),IFERROR(1*'Daily Workforce'!$K116&gt;=2,FALSE())),IF(AND('Daily Schedule'!$A55&gt;=46,'Daily Schedule'!$A55&lt;=52),'Daily Workforce'!$M116="Y",IFERROR(1*'Daily Workforce'!$P116&gt;=2,FALSE()))))),1,0)</f>
        <v>1</v>
      </c>
      <c r="DX51" s="1" t="n">
        <f aca="false">IF(AND('Daily Workforce'!$N117="Y",'Daily Workforce'!$B117&lt;&gt;"",COUNTIF('Daily Schedule'!$F$5:$F54,'Daily Workforce'!$B117)=0,IF('Daily Schedule'!$A55=45,'Daily Workforce'!$J117="Y",IF(OR('Daily Schedule'!$A55=4,'Daily Schedule'!$A55=8),IF(OR(WEEKDAY('Daily Schedule'!$B$2,2)=1,WEEKDAY('Daily Schedule'!$B$2,2)=4,WEEKDAY('Daily Schedule'!$B$2,2)=5,WEEKDAY('Daily Schedule'!$B$2,2)=7),IFERROR(1*'Daily Workforce'!$K117&gt;=3,FALSE()),IFERROR(1*'Daily Workforce'!$K117&gt;=2,FALSE())),IF(AND('Daily Schedule'!$A55&gt;=46,'Daily Schedule'!$A55&lt;=52),'Daily Workforce'!$M117="Y",IFERROR(1*'Daily Workforce'!$P117&gt;=2,FALSE()))))),1,0)</f>
        <v>1</v>
      </c>
      <c r="DY51" s="1" t="n">
        <f aca="false">IF(AND('Daily Workforce'!$N118="Y",'Daily Workforce'!$B118&lt;&gt;"",COUNTIF('Daily Schedule'!$F$5:$F54,'Daily Workforce'!$B118)=0,IF('Daily Schedule'!$A55=45,'Daily Workforce'!$J118="Y",IF(OR('Daily Schedule'!$A55=4,'Daily Schedule'!$A55=8),IF(OR(WEEKDAY('Daily Schedule'!$B$2,2)=1,WEEKDAY('Daily Schedule'!$B$2,2)=4,WEEKDAY('Daily Schedule'!$B$2,2)=5,WEEKDAY('Daily Schedule'!$B$2,2)=7),IFERROR(1*'Daily Workforce'!$K118&gt;=3,FALSE()),IFERROR(1*'Daily Workforce'!$K118&gt;=2,FALSE())),IF(AND('Daily Schedule'!$A55&gt;=46,'Daily Schedule'!$A55&lt;=52),'Daily Workforce'!$M118="Y",IFERROR(1*'Daily Workforce'!$P118&gt;=2,FALSE()))))),1,0)</f>
        <v>0</v>
      </c>
      <c r="DZ51" s="1" t="n">
        <f aca="false">IF(AND('Daily Workforce'!$N119="Y",'Daily Workforce'!$B119&lt;&gt;"",COUNTIF('Daily Schedule'!$F$5:$F54,'Daily Workforce'!$B119)=0,IF('Daily Schedule'!$A55=45,'Daily Workforce'!$J119="Y",IF(OR('Daily Schedule'!$A55=4,'Daily Schedule'!$A55=8),IF(OR(WEEKDAY('Daily Schedule'!$B$2,2)=1,WEEKDAY('Daily Schedule'!$B$2,2)=4,WEEKDAY('Daily Schedule'!$B$2,2)=5,WEEKDAY('Daily Schedule'!$B$2,2)=7),IFERROR(1*'Daily Workforce'!$K119&gt;=3,FALSE()),IFERROR(1*'Daily Workforce'!$K119&gt;=2,FALSE())),IF(AND('Daily Schedule'!$A55&gt;=46,'Daily Schedule'!$A55&lt;=52),'Daily Workforce'!$M119="Y",IFERROR(1*'Daily Workforce'!$P119&gt;=2,FALSE()))))),1,0)</f>
        <v>0</v>
      </c>
      <c r="EA51" s="1" t="n">
        <f aca="false">IF(AND('Daily Workforce'!$N120="Y",'Daily Workforce'!$B120&lt;&gt;"",COUNTIF('Daily Schedule'!$F$5:$F54,'Daily Workforce'!$B120)=0,IF('Daily Schedule'!$A55=45,'Daily Workforce'!$J120="Y",IF(OR('Daily Schedule'!$A55=4,'Daily Schedule'!$A55=8),IF(OR(WEEKDAY('Daily Schedule'!$B$2,2)=1,WEEKDAY('Daily Schedule'!$B$2,2)=4,WEEKDAY('Daily Schedule'!$B$2,2)=5,WEEKDAY('Daily Schedule'!$B$2,2)=7),IFERROR(1*'Daily Workforce'!$K120&gt;=3,FALSE()),IFERROR(1*'Daily Workforce'!$K120&gt;=2,FALSE())),IF(AND('Daily Schedule'!$A55&gt;=46,'Daily Schedule'!$A55&lt;=52),'Daily Workforce'!$M120="Y",IFERROR(1*'Daily Workforce'!$P120&gt;=2,FALSE()))))),1,0)</f>
        <v>0</v>
      </c>
      <c r="EB51" s="1" t="n">
        <f aca="false">IF(AND('Daily Workforce'!$N121="Y",'Daily Workforce'!$B121&lt;&gt;"",COUNTIF('Daily Schedule'!$F$5:$F54,'Daily Workforce'!$B121)=0,IF('Daily Schedule'!$A55=45,'Daily Workforce'!$J121="Y",IF(OR('Daily Schedule'!$A55=4,'Daily Schedule'!$A55=8),IF(OR(WEEKDAY('Daily Schedule'!$B$2,2)=1,WEEKDAY('Daily Schedule'!$B$2,2)=4,WEEKDAY('Daily Schedule'!$B$2,2)=5,WEEKDAY('Daily Schedule'!$B$2,2)=7),IFERROR(1*'Daily Workforce'!$K121&gt;=3,FALSE()),IFERROR(1*'Daily Workforce'!$K121&gt;=2,FALSE())),IF(AND('Daily Schedule'!$A55&gt;=46,'Daily Schedule'!$A55&lt;=52),'Daily Workforce'!$M121="Y",IFERROR(1*'Daily Workforce'!$P121&gt;=2,FALSE()))))),1,0)</f>
        <v>0</v>
      </c>
      <c r="EC51" s="1" t="n">
        <f aca="false">IF(AND('Daily Workforce'!$N122="Y",'Daily Workforce'!$B122&lt;&gt;"",COUNTIF('Daily Schedule'!$F$5:$F54,'Daily Workforce'!$B122)=0,IF('Daily Schedule'!$A55=45,'Daily Workforce'!$J122="Y",IF(OR('Daily Schedule'!$A55=4,'Daily Schedule'!$A55=8),IF(OR(WEEKDAY('Daily Schedule'!$B$2,2)=1,WEEKDAY('Daily Schedule'!$B$2,2)=4,WEEKDAY('Daily Schedule'!$B$2,2)=5,WEEKDAY('Daily Schedule'!$B$2,2)=7),IFERROR(1*'Daily Workforce'!$K122&gt;=3,FALSE()),IFERROR(1*'Daily Workforce'!$K122&gt;=2,FALSE())),IF(AND('Daily Schedule'!$A55&gt;=46,'Daily Schedule'!$A55&lt;=52),'Daily Workforce'!$M122="Y",IFERROR(1*'Daily Workforce'!$P122&gt;=2,FALSE()))))),1,0)</f>
        <v>0</v>
      </c>
      <c r="ED51" s="1" t="n">
        <f aca="false">IF(AND('Daily Workforce'!$N123="Y",'Daily Workforce'!$B123&lt;&gt;"",COUNTIF('Daily Schedule'!$F$5:$F54,'Daily Workforce'!$B123)=0,IF('Daily Schedule'!$A55=45,'Daily Workforce'!$J123="Y",IF(OR('Daily Schedule'!$A55=4,'Daily Schedule'!$A55=8),IF(OR(WEEKDAY('Daily Schedule'!$B$2,2)=1,WEEKDAY('Daily Schedule'!$B$2,2)=4,WEEKDAY('Daily Schedule'!$B$2,2)=5,WEEKDAY('Daily Schedule'!$B$2,2)=7),IFERROR(1*'Daily Workforce'!$K123&gt;=3,FALSE()),IFERROR(1*'Daily Workforce'!$K123&gt;=2,FALSE())),IF(AND('Daily Schedule'!$A55&gt;=46,'Daily Schedule'!$A55&lt;=52),'Daily Workforce'!$M123="Y",IFERROR(1*'Daily Workforce'!$P123&gt;=2,FALSE()))))),1,0)</f>
        <v>0</v>
      </c>
      <c r="EE51" s="1" t="n">
        <f aca="false">IF(AND('Daily Workforce'!$N124="Y",'Daily Workforce'!$B124&lt;&gt;"",COUNTIF('Daily Schedule'!$F$5:$F54,'Daily Workforce'!$B124)=0,IF('Daily Schedule'!$A55=45,'Daily Workforce'!$J124="Y",IF(OR('Daily Schedule'!$A55=4,'Daily Schedule'!$A55=8),IF(OR(WEEKDAY('Daily Schedule'!$B$2,2)=1,WEEKDAY('Daily Schedule'!$B$2,2)=4,WEEKDAY('Daily Schedule'!$B$2,2)=5,WEEKDAY('Daily Schedule'!$B$2,2)=7),IFERROR(1*'Daily Workforce'!$K124&gt;=3,FALSE()),IFERROR(1*'Daily Workforce'!$K124&gt;=2,FALSE())),IF(AND('Daily Schedule'!$A55&gt;=46,'Daily Schedule'!$A55&lt;=52),'Daily Workforce'!$M124="Y",IFERROR(1*'Daily Workforce'!$P124&gt;=2,FALSE()))))),1,0)</f>
        <v>0</v>
      </c>
      <c r="EF51" s="1" t="n">
        <f aca="false">IF(AND('Daily Workforce'!$N125="Y",'Daily Workforce'!$B125&lt;&gt;"",COUNTIF('Daily Schedule'!$F$5:$F54,'Daily Workforce'!$B125)=0,IF('Daily Schedule'!$A55=45,'Daily Workforce'!$J125="Y",IF(OR('Daily Schedule'!$A55=4,'Daily Schedule'!$A55=8),IF(OR(WEEKDAY('Daily Schedule'!$B$2,2)=1,WEEKDAY('Daily Schedule'!$B$2,2)=4,WEEKDAY('Daily Schedule'!$B$2,2)=5,WEEKDAY('Daily Schedule'!$B$2,2)=7),IFERROR(1*'Daily Workforce'!$K125&gt;=3,FALSE()),IFERROR(1*'Daily Workforce'!$K125&gt;=2,FALSE())),IF(AND('Daily Schedule'!$A55&gt;=46,'Daily Schedule'!$A55&lt;=52),'Daily Workforce'!$M125="Y",IFERROR(1*'Daily Workforce'!$P125&gt;=2,FALSE()))))),1,0)</f>
        <v>0</v>
      </c>
      <c r="EG51" s="1" t="n">
        <f aca="false">IF(AND('Daily Workforce'!$N126="Y",'Daily Workforce'!$B126&lt;&gt;"",COUNTIF('Daily Schedule'!$F$5:$F54,'Daily Workforce'!$B126)=0,IF('Daily Schedule'!$A55=45,'Daily Workforce'!$J126="Y",IF(OR('Daily Schedule'!$A55=4,'Daily Schedule'!$A55=8),IF(OR(WEEKDAY('Daily Schedule'!$B$2,2)=1,WEEKDAY('Daily Schedule'!$B$2,2)=4,WEEKDAY('Daily Schedule'!$B$2,2)=5,WEEKDAY('Daily Schedule'!$B$2,2)=7),IFERROR(1*'Daily Workforce'!$K126&gt;=3,FALSE()),IFERROR(1*'Daily Workforce'!$K126&gt;=2,FALSE())),IF(AND('Daily Schedule'!$A55&gt;=46,'Daily Schedule'!$A55&lt;=52),'Daily Workforce'!$M126="Y",IFERROR(1*'Daily Workforce'!$P126&gt;=2,FALSE()))))),1,0)</f>
        <v>0</v>
      </c>
      <c r="EH51" s="1" t="n">
        <f aca="false">IF(AND('Daily Workforce'!$N127="Y",'Daily Workforce'!$B127&lt;&gt;"",COUNTIF('Daily Schedule'!$F$5:$F54,'Daily Workforce'!$B127)=0,IF('Daily Schedule'!$A55=45,'Daily Workforce'!$J127="Y",IF(OR('Daily Schedule'!$A55=4,'Daily Schedule'!$A55=8),IF(OR(WEEKDAY('Daily Schedule'!$B$2,2)=1,WEEKDAY('Daily Schedule'!$B$2,2)=4,WEEKDAY('Daily Schedule'!$B$2,2)=5,WEEKDAY('Daily Schedule'!$B$2,2)=7),IFERROR(1*'Daily Workforce'!$K127&gt;=3,FALSE()),IFERROR(1*'Daily Workforce'!$K127&gt;=2,FALSE())),IF(AND('Daily Schedule'!$A55&gt;=46,'Daily Schedule'!$A55&lt;=52),'Daily Workforce'!$M127="Y",IFERROR(1*'Daily Workforce'!$P127&gt;=2,FALSE()))))),1,0)</f>
        <v>0</v>
      </c>
      <c r="EI51" s="1" t="n">
        <f aca="false">IF(AND('Daily Workforce'!$N128="Y",'Daily Workforce'!$B128&lt;&gt;"",COUNTIF('Daily Schedule'!$F$5:$F54,'Daily Workforce'!$B128)=0,IF('Daily Schedule'!$A55=45,'Daily Workforce'!$J128="Y",IF(OR('Daily Schedule'!$A55=4,'Daily Schedule'!$A55=8),IF(OR(WEEKDAY('Daily Schedule'!$B$2,2)=1,WEEKDAY('Daily Schedule'!$B$2,2)=4,WEEKDAY('Daily Schedule'!$B$2,2)=5,WEEKDAY('Daily Schedule'!$B$2,2)=7),IFERROR(1*'Daily Workforce'!$K128&gt;=3,FALSE()),IFERROR(1*'Daily Workforce'!$K128&gt;=2,FALSE())),IF(AND('Daily Schedule'!$A55&gt;=46,'Daily Schedule'!$A55&lt;=52),'Daily Workforce'!$M128="Y",IFERROR(1*'Daily Workforce'!$P128&gt;=2,FALSE()))))),1,0)</f>
        <v>0</v>
      </c>
      <c r="EJ51" s="1" t="n">
        <f aca="false">IF(AND('Daily Workforce'!$N129="Y",'Daily Workforce'!$B129&lt;&gt;"",COUNTIF('Daily Schedule'!$F$5:$F54,'Daily Workforce'!$B129)=0,IF('Daily Schedule'!$A55=45,'Daily Workforce'!$J129="Y",IF(OR('Daily Schedule'!$A55=4,'Daily Schedule'!$A55=8),IF(OR(WEEKDAY('Daily Schedule'!$B$2,2)=1,WEEKDAY('Daily Schedule'!$B$2,2)=4,WEEKDAY('Daily Schedule'!$B$2,2)=5,WEEKDAY('Daily Schedule'!$B$2,2)=7),IFERROR(1*'Daily Workforce'!$K129&gt;=3,FALSE()),IFERROR(1*'Daily Workforce'!$K129&gt;=2,FALSE())),IF(AND('Daily Schedule'!$A55&gt;=46,'Daily Schedule'!$A55&lt;=52),'Daily Workforce'!$M129="Y",IFERROR(1*'Daily Workforce'!$P129&gt;=2,FALSE()))))),1,0)</f>
        <v>0</v>
      </c>
      <c r="EK51" s="1" t="n">
        <f aca="false">IF(AND('Daily Workforce'!$N130="Y",'Daily Workforce'!$B130&lt;&gt;"",COUNTIF('Daily Schedule'!$F$5:$F54,'Daily Workforce'!$B130)=0,IF('Daily Schedule'!$A55=45,'Daily Workforce'!$J130="Y",IF(OR('Daily Schedule'!$A55=4,'Daily Schedule'!$A55=8),IF(OR(WEEKDAY('Daily Schedule'!$B$2,2)=1,WEEKDAY('Daily Schedule'!$B$2,2)=4,WEEKDAY('Daily Schedule'!$B$2,2)=5,WEEKDAY('Daily Schedule'!$B$2,2)=7),IFERROR(1*'Daily Workforce'!$K130&gt;=3,FALSE()),IFERROR(1*'Daily Workforce'!$K130&gt;=2,FALSE())),IF(AND('Daily Schedule'!$A55&gt;=46,'Daily Schedule'!$A55&lt;=52),'Daily Workforce'!$M130="Y",IFERROR(1*'Daily Workforce'!$P130&gt;=2,FALSE()))))),1,0)</f>
        <v>0</v>
      </c>
      <c r="EL51" s="1" t="n">
        <f aca="false">IF(AND('Daily Workforce'!$N131="Y",'Daily Workforce'!$B131&lt;&gt;"",COUNTIF('Daily Schedule'!$F$5:$F54,'Daily Workforce'!$B131)=0,IF('Daily Schedule'!$A55=45,'Daily Workforce'!$J131="Y",IF(OR('Daily Schedule'!$A55=4,'Daily Schedule'!$A55=8),IF(OR(WEEKDAY('Daily Schedule'!$B$2,2)=1,WEEKDAY('Daily Schedule'!$B$2,2)=4,WEEKDAY('Daily Schedule'!$B$2,2)=5,WEEKDAY('Daily Schedule'!$B$2,2)=7),IFERROR(1*'Daily Workforce'!$K131&gt;=3,FALSE()),IFERROR(1*'Daily Workforce'!$K131&gt;=2,FALSE())),IF(AND('Daily Schedule'!$A55&gt;=46,'Daily Schedule'!$A55&lt;=52),'Daily Workforce'!$M131="Y",IFERROR(1*'Daily Workforce'!$P131&gt;=2,FALSE()))))),1,0)</f>
        <v>0</v>
      </c>
      <c r="EM51" s="1" t="n">
        <f aca="false">IF(AND('Daily Workforce'!$N132="Y",'Daily Workforce'!$B132&lt;&gt;"",COUNTIF('Daily Schedule'!$F$5:$F54,'Daily Workforce'!$B132)=0,IF('Daily Schedule'!$A55=45,'Daily Workforce'!$J132="Y",IF(OR('Daily Schedule'!$A55=4,'Daily Schedule'!$A55=8),IF(OR(WEEKDAY('Daily Schedule'!$B$2,2)=1,WEEKDAY('Daily Schedule'!$B$2,2)=4,WEEKDAY('Daily Schedule'!$B$2,2)=5,WEEKDAY('Daily Schedule'!$B$2,2)=7),IFERROR(1*'Daily Workforce'!$K132&gt;=3,FALSE()),IFERROR(1*'Daily Workforce'!$K132&gt;=2,FALSE())),IF(AND('Daily Schedule'!$A55&gt;=46,'Daily Schedule'!$A55&lt;=52),'Daily Workforce'!$M132="Y",IFERROR(1*'Daily Workforce'!$P132&gt;=2,FALSE()))))),1,0)</f>
        <v>0</v>
      </c>
      <c r="EN51" s="1" t="n">
        <f aca="false">IF(AND('Daily Workforce'!$N133="Y",'Daily Workforce'!$B133&lt;&gt;"",COUNTIF('Daily Schedule'!$F$5:$F54,'Daily Workforce'!$B133)=0,IF('Daily Schedule'!$A55=45,'Daily Workforce'!$J133="Y",IF(OR('Daily Schedule'!$A55=4,'Daily Schedule'!$A55=8),IF(OR(WEEKDAY('Daily Schedule'!$B$2,2)=1,WEEKDAY('Daily Schedule'!$B$2,2)=4,WEEKDAY('Daily Schedule'!$B$2,2)=5,WEEKDAY('Daily Schedule'!$B$2,2)=7),IFERROR(1*'Daily Workforce'!$K133&gt;=3,FALSE()),IFERROR(1*'Daily Workforce'!$K133&gt;=2,FALSE())),IF(AND('Daily Schedule'!$A55&gt;=46,'Daily Schedule'!$A55&lt;=52),'Daily Workforce'!$M133="Y",IFERROR(1*'Daily Workforce'!$P133&gt;=2,FALSE()))))),1,0)</f>
        <v>0</v>
      </c>
      <c r="EO51" s="1" t="n">
        <f aca="false">IF(AND('Daily Workforce'!$N134="Y",'Daily Workforce'!$B134&lt;&gt;"",COUNTIF('Daily Schedule'!$F$5:$F54,'Daily Workforce'!$B134)=0,IF('Daily Schedule'!$A55=45,'Daily Workforce'!$J134="Y",IF(OR('Daily Schedule'!$A55=4,'Daily Schedule'!$A55=8),IF(OR(WEEKDAY('Daily Schedule'!$B$2,2)=1,WEEKDAY('Daily Schedule'!$B$2,2)=4,WEEKDAY('Daily Schedule'!$B$2,2)=5,WEEKDAY('Daily Schedule'!$B$2,2)=7),IFERROR(1*'Daily Workforce'!$K134&gt;=3,FALSE()),IFERROR(1*'Daily Workforce'!$K134&gt;=2,FALSE())),IF(AND('Daily Schedule'!$A55&gt;=46,'Daily Schedule'!$A55&lt;=52),'Daily Workforce'!$M134="Y",IFERROR(1*'Daily Workforce'!$P134&gt;=2,FALSE()))))),1,0)</f>
        <v>0</v>
      </c>
      <c r="EP51" s="1" t="n">
        <f aca="false">IF(AND('Daily Workforce'!$N135="Y",'Daily Workforce'!$B135&lt;&gt;"",COUNTIF('Daily Schedule'!$F$5:$F54,'Daily Workforce'!$B135)=0,IF('Daily Schedule'!$A55=45,'Daily Workforce'!$J135="Y",IF(OR('Daily Schedule'!$A55=4,'Daily Schedule'!$A55=8),IF(OR(WEEKDAY('Daily Schedule'!$B$2,2)=1,WEEKDAY('Daily Schedule'!$B$2,2)=4,WEEKDAY('Daily Schedule'!$B$2,2)=5,WEEKDAY('Daily Schedule'!$B$2,2)=7),IFERROR(1*'Daily Workforce'!$K135&gt;=3,FALSE()),IFERROR(1*'Daily Workforce'!$K135&gt;=2,FALSE())),IF(AND('Daily Schedule'!$A55&gt;=46,'Daily Schedule'!$A55&lt;=52),'Daily Workforce'!$M135="Y",IFERROR(1*'Daily Workforce'!$P135&gt;=2,FALSE()))))),1,0)</f>
        <v>0</v>
      </c>
      <c r="EQ51" s="1" t="n">
        <f aca="false">IF(AND('Daily Workforce'!$N136="Y",'Daily Workforce'!$B136&lt;&gt;"",COUNTIF('Daily Schedule'!$F$5:$F54,'Daily Workforce'!$B136)=0,IF('Daily Schedule'!$A55=45,'Daily Workforce'!$J136="Y",IF(OR('Daily Schedule'!$A55=4,'Daily Schedule'!$A55=8),IF(OR(WEEKDAY('Daily Schedule'!$B$2,2)=1,WEEKDAY('Daily Schedule'!$B$2,2)=4,WEEKDAY('Daily Schedule'!$B$2,2)=5,WEEKDAY('Daily Schedule'!$B$2,2)=7),IFERROR(1*'Daily Workforce'!$K136&gt;=3,FALSE()),IFERROR(1*'Daily Workforce'!$K136&gt;=2,FALSE())),IF(AND('Daily Schedule'!$A55&gt;=46,'Daily Schedule'!$A55&lt;=52),'Daily Workforce'!$M136="Y",IFERROR(1*'Daily Workforce'!$P136&gt;=2,FALSE()))))),1,0)</f>
        <v>0</v>
      </c>
      <c r="ER51" s="1" t="n">
        <f aca="false">IF(AND('Daily Workforce'!$N137="Y",'Daily Workforce'!$B137&lt;&gt;"",COUNTIF('Daily Schedule'!$F$5:$F54,'Daily Workforce'!$B137)=0,IF('Daily Schedule'!$A55=45,'Daily Workforce'!$J137="Y",IF(OR('Daily Schedule'!$A55=4,'Daily Schedule'!$A55=8),IF(OR(WEEKDAY('Daily Schedule'!$B$2,2)=1,WEEKDAY('Daily Schedule'!$B$2,2)=4,WEEKDAY('Daily Schedule'!$B$2,2)=5,WEEKDAY('Daily Schedule'!$B$2,2)=7),IFERROR(1*'Daily Workforce'!$K137&gt;=3,FALSE()),IFERROR(1*'Daily Workforce'!$K137&gt;=2,FALSE())),IF(AND('Daily Schedule'!$A55&gt;=46,'Daily Schedule'!$A55&lt;=52),'Daily Workforce'!$M137="Y",IFERROR(1*'Daily Workforce'!$P137&gt;=2,FALSE()))))),1,0)</f>
        <v>0</v>
      </c>
      <c r="ES51" s="1" t="n">
        <f aca="false">IF(AND('Daily Workforce'!$N138="Y",'Daily Workforce'!$B138&lt;&gt;"",COUNTIF('Daily Schedule'!$F$5:$F54,'Daily Workforce'!$B138)=0,IF('Daily Schedule'!$A55=45,'Daily Workforce'!$J138="Y",IF(OR('Daily Schedule'!$A55=4,'Daily Schedule'!$A55=8),IF(OR(WEEKDAY('Daily Schedule'!$B$2,2)=1,WEEKDAY('Daily Schedule'!$B$2,2)=4,WEEKDAY('Daily Schedule'!$B$2,2)=5,WEEKDAY('Daily Schedule'!$B$2,2)=7),IFERROR(1*'Daily Workforce'!$K138&gt;=3,FALSE()),IFERROR(1*'Daily Workforce'!$K138&gt;=2,FALSE())),IF(AND('Daily Schedule'!$A55&gt;=46,'Daily Schedule'!$A55&lt;=52),'Daily Workforce'!$M138="Y",IFERROR(1*'Daily Workforce'!$P138&gt;=2,FALSE()))))),1,0)</f>
        <v>0</v>
      </c>
      <c r="ET51" s="1" t="n">
        <f aca="false">IF(AND('Daily Workforce'!$N139="Y",'Daily Workforce'!$B139&lt;&gt;"",COUNTIF('Daily Schedule'!$F$5:$F54,'Daily Workforce'!$B139)=0,IF('Daily Schedule'!$A55=45,'Daily Workforce'!$J139="Y",IF(OR('Daily Schedule'!$A55=4,'Daily Schedule'!$A55=8),IF(OR(WEEKDAY('Daily Schedule'!$B$2,2)=1,WEEKDAY('Daily Schedule'!$B$2,2)=4,WEEKDAY('Daily Schedule'!$B$2,2)=5,WEEKDAY('Daily Schedule'!$B$2,2)=7),IFERROR(1*'Daily Workforce'!$K139&gt;=3,FALSE()),IFERROR(1*'Daily Workforce'!$K139&gt;=2,FALSE())),IF(AND('Daily Schedule'!$A55&gt;=46,'Daily Schedule'!$A55&lt;=52),'Daily Workforce'!$M139="Y",IFERROR(1*'Daily Workforce'!$P139&gt;=2,FALSE()))))),1,0)</f>
        <v>0</v>
      </c>
      <c r="EU51" s="1" t="n">
        <f aca="false">IF(AND('Daily Workforce'!$N140="Y",'Daily Workforce'!$B140&lt;&gt;"",COUNTIF('Daily Schedule'!$F$5:$F54,'Daily Workforce'!$B140)=0,IF('Daily Schedule'!$A55=45,'Daily Workforce'!$J140="Y",IF(OR('Daily Schedule'!$A55=4,'Daily Schedule'!$A55=8),IF(OR(WEEKDAY('Daily Schedule'!$B$2,2)=1,WEEKDAY('Daily Schedule'!$B$2,2)=4,WEEKDAY('Daily Schedule'!$B$2,2)=5,WEEKDAY('Daily Schedule'!$B$2,2)=7),IFERROR(1*'Daily Workforce'!$K140&gt;=3,FALSE()),IFERROR(1*'Daily Workforce'!$K140&gt;=2,FALSE())),IF(AND('Daily Schedule'!$A55&gt;=46,'Daily Schedule'!$A55&lt;=52),'Daily Workforce'!$M140="Y",IFERROR(1*'Daily Workforce'!$P140&gt;=2,FALSE()))))),1,0)</f>
        <v>0</v>
      </c>
      <c r="EV51" s="1" t="n">
        <f aca="false">IF(AND('Daily Workforce'!$N141="Y",'Daily Workforce'!$B141&lt;&gt;"",COUNTIF('Daily Schedule'!$F$5:$F54,'Daily Workforce'!$B141)=0,IF('Daily Schedule'!$A55=45,'Daily Workforce'!$J141="Y",IF(OR('Daily Schedule'!$A55=4,'Daily Schedule'!$A55=8),IF(OR(WEEKDAY('Daily Schedule'!$B$2,2)=1,WEEKDAY('Daily Schedule'!$B$2,2)=4,WEEKDAY('Daily Schedule'!$B$2,2)=5,WEEKDAY('Daily Schedule'!$B$2,2)=7),IFERROR(1*'Daily Workforce'!$K141&gt;=3,FALSE()),IFERROR(1*'Daily Workforce'!$K141&gt;=2,FALSE())),IF(AND('Daily Schedule'!$A55&gt;=46,'Daily Schedule'!$A55&lt;=52),'Daily Workforce'!$M141="Y",IFERROR(1*'Daily Workforce'!$P141&gt;=2,FALSE()))))),1,0)</f>
        <v>0</v>
      </c>
      <c r="EW51" s="1" t="n">
        <f aca="false">IF(AND('Daily Workforce'!$N142="Y",'Daily Workforce'!$B142&lt;&gt;"",COUNTIF('Daily Schedule'!$F$5:$F54,'Daily Workforce'!$B142)=0,IF('Daily Schedule'!$A55=45,'Daily Workforce'!$J142="Y",IF(OR('Daily Schedule'!$A55=4,'Daily Schedule'!$A55=8),IF(OR(WEEKDAY('Daily Schedule'!$B$2,2)=1,WEEKDAY('Daily Schedule'!$B$2,2)=4,WEEKDAY('Daily Schedule'!$B$2,2)=5,WEEKDAY('Daily Schedule'!$B$2,2)=7),IFERROR(1*'Daily Workforce'!$K142&gt;=3,FALSE()),IFERROR(1*'Daily Workforce'!$K142&gt;=2,FALSE())),IF(AND('Daily Schedule'!$A55&gt;=46,'Daily Schedule'!$A55&lt;=52),'Daily Workforce'!$M142="Y",IFERROR(1*'Daily Workforce'!$P142&gt;=2,FALSE()))))),1,0)</f>
        <v>0</v>
      </c>
      <c r="EX51" s="1" t="n">
        <f aca="false">IF(AND('Daily Workforce'!$N143="Y",'Daily Workforce'!$B143&lt;&gt;"",COUNTIF('Daily Schedule'!$F$5:$F54,'Daily Workforce'!$B143)=0,IF('Daily Schedule'!$A55=45,'Daily Workforce'!$J143="Y",IF(OR('Daily Schedule'!$A55=4,'Daily Schedule'!$A55=8),IF(OR(WEEKDAY('Daily Schedule'!$B$2,2)=1,WEEKDAY('Daily Schedule'!$B$2,2)=4,WEEKDAY('Daily Schedule'!$B$2,2)=5,WEEKDAY('Daily Schedule'!$B$2,2)=7),IFERROR(1*'Daily Workforce'!$K143&gt;=3,FALSE()),IFERROR(1*'Daily Workforce'!$K143&gt;=2,FALSE())),IF(AND('Daily Schedule'!$A55&gt;=46,'Daily Schedule'!$A55&lt;=52),'Daily Workforce'!$M143="Y",IFERROR(1*'Daily Workforce'!$P143&gt;=2,FALSE()))))),1,0)</f>
        <v>0</v>
      </c>
      <c r="EY51" s="1" t="n">
        <f aca="false">IF(AND('Daily Workforce'!$N144="Y",'Daily Workforce'!$B144&lt;&gt;"",COUNTIF('Daily Schedule'!$F$5:$F54,'Daily Workforce'!$B144)=0,IF('Daily Schedule'!$A55=45,'Daily Workforce'!$J144="Y",IF(OR('Daily Schedule'!$A55=4,'Daily Schedule'!$A55=8),IF(OR(WEEKDAY('Daily Schedule'!$B$2,2)=1,WEEKDAY('Daily Schedule'!$B$2,2)=4,WEEKDAY('Daily Schedule'!$B$2,2)=5,WEEKDAY('Daily Schedule'!$B$2,2)=7),IFERROR(1*'Daily Workforce'!$K144&gt;=3,FALSE()),IFERROR(1*'Daily Workforce'!$K144&gt;=2,FALSE())),IF(AND('Daily Schedule'!$A55&gt;=46,'Daily Schedule'!$A55&lt;=52),'Daily Workforce'!$M144="Y",IFERROR(1*'Daily Workforce'!$P144&gt;=2,FALSE()))))),1,0)</f>
        <v>0</v>
      </c>
      <c r="EZ51" s="1" t="n">
        <f aca="false">IF(AND('Daily Workforce'!$N145="Y",'Daily Workforce'!$B145&lt;&gt;"",COUNTIF('Daily Schedule'!$F$5:$F54,'Daily Workforce'!$B145)=0,IF('Daily Schedule'!$A55=45,'Daily Workforce'!$J145="Y",IF(OR('Daily Schedule'!$A55=4,'Daily Schedule'!$A55=8),IF(OR(WEEKDAY('Daily Schedule'!$B$2,2)=1,WEEKDAY('Daily Schedule'!$B$2,2)=4,WEEKDAY('Daily Schedule'!$B$2,2)=5,WEEKDAY('Daily Schedule'!$B$2,2)=7),IFERROR(1*'Daily Workforce'!$K145&gt;=3,FALSE()),IFERROR(1*'Daily Workforce'!$K145&gt;=2,FALSE())),IF(AND('Daily Schedule'!$A55&gt;=46,'Daily Schedule'!$A55&lt;=52),'Daily Workforce'!$M145="Y",IFERROR(1*'Daily Workforce'!$P145&gt;=2,FALSE()))))),1,0)</f>
        <v>0</v>
      </c>
      <c r="FA51" s="1" t="n">
        <f aca="false">IF(AND('Daily Workforce'!$N146="Y",'Daily Workforce'!$B146&lt;&gt;"",COUNTIF('Daily Schedule'!$F$5:$F54,'Daily Workforce'!$B146)=0,IF('Daily Schedule'!$A55=45,'Daily Workforce'!$J146="Y",IF(OR('Daily Schedule'!$A55=4,'Daily Schedule'!$A55=8),IF(OR(WEEKDAY('Daily Schedule'!$B$2,2)=1,WEEKDAY('Daily Schedule'!$B$2,2)=4,WEEKDAY('Daily Schedule'!$B$2,2)=5,WEEKDAY('Daily Schedule'!$B$2,2)=7),IFERROR(1*'Daily Workforce'!$K146&gt;=3,FALSE()),IFERROR(1*'Daily Workforce'!$K146&gt;=2,FALSE())),IF(AND('Daily Schedule'!$A55&gt;=46,'Daily Schedule'!$A55&lt;=52),'Daily Workforce'!$M146="Y",IFERROR(1*'Daily Workforce'!$P146&gt;=2,FALSE()))))),1,0)</f>
        <v>0</v>
      </c>
      <c r="FB51" s="1" t="n">
        <f aca="false">IF(AND('Daily Workforce'!$N147="Y",'Daily Workforce'!$B147&lt;&gt;"",COUNTIF('Daily Schedule'!$F$5:$F54,'Daily Workforce'!$B147)=0,IF('Daily Schedule'!$A55=45,'Daily Workforce'!$J147="Y",IF(OR('Daily Schedule'!$A55=4,'Daily Schedule'!$A55=8),IF(OR(WEEKDAY('Daily Schedule'!$B$2,2)=1,WEEKDAY('Daily Schedule'!$B$2,2)=4,WEEKDAY('Daily Schedule'!$B$2,2)=5,WEEKDAY('Daily Schedule'!$B$2,2)=7),IFERROR(1*'Daily Workforce'!$K147&gt;=3,FALSE()),IFERROR(1*'Daily Workforce'!$K147&gt;=2,FALSE())),IF(AND('Daily Schedule'!$A55&gt;=46,'Daily Schedule'!$A55&lt;=52),'Daily Workforce'!$M147="Y",IFERROR(1*'Daily Workforce'!$P147&gt;=2,FALSE()))))),1,0)</f>
        <v>0</v>
      </c>
      <c r="FC51" s="1" t="n">
        <f aca="false">IF(AND('Daily Workforce'!$N148="Y",'Daily Workforce'!$B148&lt;&gt;"",COUNTIF('Daily Schedule'!$F$5:$F54,'Daily Workforce'!$B148)=0,IF('Daily Schedule'!$A55=45,'Daily Workforce'!$J148="Y",IF(OR('Daily Schedule'!$A55=4,'Daily Schedule'!$A55=8),IF(OR(WEEKDAY('Daily Schedule'!$B$2,2)=1,WEEKDAY('Daily Schedule'!$B$2,2)=4,WEEKDAY('Daily Schedule'!$B$2,2)=5,WEEKDAY('Daily Schedule'!$B$2,2)=7),IFERROR(1*'Daily Workforce'!$K148&gt;=3,FALSE()),IFERROR(1*'Daily Workforce'!$K148&gt;=2,FALSE())),IF(AND('Daily Schedule'!$A55&gt;=46,'Daily Schedule'!$A55&lt;=52),'Daily Workforce'!$M148="Y",IFERROR(1*'Daily Workforce'!$P148&gt;=2,FALSE()))))),1,0)</f>
        <v>0</v>
      </c>
      <c r="FD51" s="1" t="n">
        <f aca="false">IF(AND('Daily Workforce'!$N149="Y",'Daily Workforce'!$B149&lt;&gt;"",COUNTIF('Daily Schedule'!$F$5:$F54,'Daily Workforce'!$B149)=0,IF('Daily Schedule'!$A55=45,'Daily Workforce'!$J149="Y",IF(OR('Daily Schedule'!$A55=4,'Daily Schedule'!$A55=8),IF(OR(WEEKDAY('Daily Schedule'!$B$2,2)=1,WEEKDAY('Daily Schedule'!$B$2,2)=4,WEEKDAY('Daily Schedule'!$B$2,2)=5,WEEKDAY('Daily Schedule'!$B$2,2)=7),IFERROR(1*'Daily Workforce'!$K149&gt;=3,FALSE()),IFERROR(1*'Daily Workforce'!$K149&gt;=2,FALSE())),IF(AND('Daily Schedule'!$A55&gt;=46,'Daily Schedule'!$A55&lt;=52),'Daily Workforce'!$M149="Y",IFERROR(1*'Daily Workforce'!$P149&gt;=2,FALSE()))))),1,0)</f>
        <v>0</v>
      </c>
      <c r="FE51" s="1" t="n">
        <f aca="false">IF(AND('Daily Workforce'!$N150="Y",'Daily Workforce'!$B150&lt;&gt;"",COUNTIF('Daily Schedule'!$F$5:$F54,'Daily Workforce'!$B150)=0,IF('Daily Schedule'!$A55=45,'Daily Workforce'!$J150="Y",IF(OR('Daily Schedule'!$A55=4,'Daily Schedule'!$A55=8),IF(OR(WEEKDAY('Daily Schedule'!$B$2,2)=1,WEEKDAY('Daily Schedule'!$B$2,2)=4,WEEKDAY('Daily Schedule'!$B$2,2)=5,WEEKDAY('Daily Schedule'!$B$2,2)=7),IFERROR(1*'Daily Workforce'!$K150&gt;=3,FALSE()),IFERROR(1*'Daily Workforce'!$K150&gt;=2,FALSE())),IF(AND('Daily Schedule'!$A55&gt;=46,'Daily Schedule'!$A55&lt;=52),'Daily Workforce'!$M150="Y",IFERROR(1*'Daily Workforce'!$P150&gt;=2,FALSE()))))),1,0)</f>
        <v>0</v>
      </c>
      <c r="FF51" s="1" t="n">
        <f aca="false">IF(AND('Daily Workforce'!$N151="Y",'Daily Workforce'!$B151&lt;&gt;"",COUNTIF('Daily Schedule'!$F$5:$F54,'Daily Workforce'!$B151)=0,IF('Daily Schedule'!$A55=45,'Daily Workforce'!$J151="Y",IF(OR('Daily Schedule'!$A55=4,'Daily Schedule'!$A55=8),IF(OR(WEEKDAY('Daily Schedule'!$B$2,2)=1,WEEKDAY('Daily Schedule'!$B$2,2)=4,WEEKDAY('Daily Schedule'!$B$2,2)=5,WEEKDAY('Daily Schedule'!$B$2,2)=7),IFERROR(1*'Daily Workforce'!$K151&gt;=3,FALSE()),IFERROR(1*'Daily Workforce'!$K151&gt;=2,FALSE())),IF(AND('Daily Schedule'!$A55&gt;=46,'Daily Schedule'!$A55&lt;=52),'Daily Workforce'!$M151="Y",IFERROR(1*'Daily Workforce'!$P151&gt;=2,FALSE()))))),1,0)</f>
        <v>0</v>
      </c>
      <c r="FG51" s="1" t="n">
        <f aca="false">IF(AND('Daily Workforce'!$N152="Y",'Daily Workforce'!$B152&lt;&gt;"",COUNTIF('Daily Schedule'!$F$5:$F54,'Daily Workforce'!$B152)=0,IF('Daily Schedule'!$A55=45,'Daily Workforce'!$J152="Y",IF(OR('Daily Schedule'!$A55=4,'Daily Schedule'!$A55=8),IF(OR(WEEKDAY('Daily Schedule'!$B$2,2)=1,WEEKDAY('Daily Schedule'!$B$2,2)=4,WEEKDAY('Daily Schedule'!$B$2,2)=5,WEEKDAY('Daily Schedule'!$B$2,2)=7),IFERROR(1*'Daily Workforce'!$K152&gt;=3,FALSE()),IFERROR(1*'Daily Workforce'!$K152&gt;=2,FALSE())),IF(AND('Daily Schedule'!$A55&gt;=46,'Daily Schedule'!$A55&lt;=52),'Daily Workforce'!$M152="Y",IFERROR(1*'Daily Workforce'!$P152&gt;=2,FALSE()))))),1,0)</f>
        <v>0</v>
      </c>
      <c r="FH51" s="1" t="n">
        <f aca="false">IF(AND('Daily Workforce'!$N153="Y",'Daily Workforce'!$B153&lt;&gt;"",COUNTIF('Daily Schedule'!$F$5:$F54,'Daily Workforce'!$B153)=0,IF('Daily Schedule'!$A55=45,'Daily Workforce'!$J153="Y",IF(OR('Daily Schedule'!$A55=4,'Daily Schedule'!$A55=8),IF(OR(WEEKDAY('Daily Schedule'!$B$2,2)=1,WEEKDAY('Daily Schedule'!$B$2,2)=4,WEEKDAY('Daily Schedule'!$B$2,2)=5,WEEKDAY('Daily Schedule'!$B$2,2)=7),IFERROR(1*'Daily Workforce'!$K153&gt;=3,FALSE()),IFERROR(1*'Daily Workforce'!$K153&gt;=2,FALSE())),IF(AND('Daily Schedule'!$A55&gt;=46,'Daily Schedule'!$A55&lt;=52),'Daily Workforce'!$M153="Y",IFERROR(1*'Daily Workforce'!$P153&gt;=2,FALSE()))))),1,0)</f>
        <v>0</v>
      </c>
      <c r="FI51" s="1" t="n">
        <f aca="false">IF(AND('Daily Workforce'!$N154="Y",'Daily Workforce'!$B154&lt;&gt;"",COUNTIF('Daily Schedule'!$F$5:$F54,'Daily Workforce'!$B154)=0,IF('Daily Schedule'!$A55=45,'Daily Workforce'!$J154="Y",IF(OR('Daily Schedule'!$A55=4,'Daily Schedule'!$A55=8),IF(OR(WEEKDAY('Daily Schedule'!$B$2,2)=1,WEEKDAY('Daily Schedule'!$B$2,2)=4,WEEKDAY('Daily Schedule'!$B$2,2)=5,WEEKDAY('Daily Schedule'!$B$2,2)=7),IFERROR(1*'Daily Workforce'!$K154&gt;=3,FALSE()),IFERROR(1*'Daily Workforce'!$K154&gt;=2,FALSE())),IF(AND('Daily Schedule'!$A55&gt;=46,'Daily Schedule'!$A55&lt;=52),'Daily Workforce'!$M154="Y",IFERROR(1*'Daily Workforce'!$P154&gt;=2,FALSE()))))),1,0)</f>
        <v>0</v>
      </c>
      <c r="FJ51" s="1" t="n">
        <f aca="false">IF(AND('Daily Workforce'!$N155="Y",'Daily Workforce'!$B155&lt;&gt;"",COUNTIF('Daily Schedule'!$F$5:$F54,'Daily Workforce'!$B155)=0,IF('Daily Schedule'!$A55=45,'Daily Workforce'!$J155="Y",IF(OR('Daily Schedule'!$A55=4,'Daily Schedule'!$A55=8),IF(OR(WEEKDAY('Daily Schedule'!$B$2,2)=1,WEEKDAY('Daily Schedule'!$B$2,2)=4,WEEKDAY('Daily Schedule'!$B$2,2)=5,WEEKDAY('Daily Schedule'!$B$2,2)=7),IFERROR(1*'Daily Workforce'!$K155&gt;=3,FALSE()),IFERROR(1*'Daily Workforce'!$K155&gt;=2,FALSE())),IF(AND('Daily Schedule'!$A55&gt;=46,'Daily Schedule'!$A55&lt;=52),'Daily Workforce'!$M155="Y",IFERROR(1*'Daily Workforce'!$P155&gt;=2,FALSE()))))),1,0)</f>
        <v>0</v>
      </c>
      <c r="FK51" s="1" t="n">
        <f aca="false">IF(AND('Daily Workforce'!$N156="Y",'Daily Workforce'!$B156&lt;&gt;"",COUNTIF('Daily Schedule'!$F$5:$F54,'Daily Workforce'!$B156)=0,IF('Daily Schedule'!$A55=45,'Daily Workforce'!$J156="Y",IF(OR('Daily Schedule'!$A55=4,'Daily Schedule'!$A55=8),IF(OR(WEEKDAY('Daily Schedule'!$B$2,2)=1,WEEKDAY('Daily Schedule'!$B$2,2)=4,WEEKDAY('Daily Schedule'!$B$2,2)=5,WEEKDAY('Daily Schedule'!$B$2,2)=7),IFERROR(1*'Daily Workforce'!$K156&gt;=3,FALSE()),IFERROR(1*'Daily Workforce'!$K156&gt;=2,FALSE())),IF(AND('Daily Schedule'!$A55&gt;=46,'Daily Schedule'!$A55&lt;=52),'Daily Workforce'!$M156="Y",IFERROR(1*'Daily Workforce'!$P156&gt;=2,FALSE()))))),1,0)</f>
        <v>0</v>
      </c>
      <c r="FL51" s="1" t="n">
        <f aca="false">IF(AND('Daily Workforce'!$N157="Y",'Daily Workforce'!$B157&lt;&gt;"",COUNTIF('Daily Schedule'!$F$5:$F54,'Daily Workforce'!$B157)=0,IF('Daily Schedule'!$A55=45,'Daily Workforce'!$J157="Y",IF(OR('Daily Schedule'!$A55=4,'Daily Schedule'!$A55=8),IF(OR(WEEKDAY('Daily Schedule'!$B$2,2)=1,WEEKDAY('Daily Schedule'!$B$2,2)=4,WEEKDAY('Daily Schedule'!$B$2,2)=5,WEEKDAY('Daily Schedule'!$B$2,2)=7),IFERROR(1*'Daily Workforce'!$K157&gt;=3,FALSE()),IFERROR(1*'Daily Workforce'!$K157&gt;=2,FALSE())),IF(AND('Daily Schedule'!$A55&gt;=46,'Daily Schedule'!$A55&lt;=52),'Daily Workforce'!$M157="Y",IFERROR(1*'Daily Workforce'!$P157&gt;=2,FALSE()))))),1,0)</f>
        <v>0</v>
      </c>
      <c r="FM51" s="1" t="n">
        <f aca="false">IF(AND('Daily Workforce'!$N158="Y",'Daily Workforce'!$B158&lt;&gt;"",COUNTIF('Daily Schedule'!$F$5:$F54,'Daily Workforce'!$B158)=0,IF('Daily Schedule'!$A55=45,'Daily Workforce'!$J158="Y",IF(OR('Daily Schedule'!$A55=4,'Daily Schedule'!$A55=8),IF(OR(WEEKDAY('Daily Schedule'!$B$2,2)=1,WEEKDAY('Daily Schedule'!$B$2,2)=4,WEEKDAY('Daily Schedule'!$B$2,2)=5,WEEKDAY('Daily Schedule'!$B$2,2)=7),IFERROR(1*'Daily Workforce'!$K158&gt;=3,FALSE()),IFERROR(1*'Daily Workforce'!$K158&gt;=2,FALSE())),IF(AND('Daily Schedule'!$A55&gt;=46,'Daily Schedule'!$A55&lt;=52),'Daily Workforce'!$M158="Y",IFERROR(1*'Daily Workforce'!$P158&gt;=2,FALSE()))))),1,0)</f>
        <v>0</v>
      </c>
      <c r="FN51" s="1" t="n">
        <f aca="false">IF(AND('Daily Workforce'!$N159="Y",'Daily Workforce'!$B159&lt;&gt;"",COUNTIF('Daily Schedule'!$F$5:$F54,'Daily Workforce'!$B159)=0,IF('Daily Schedule'!$A55=45,'Daily Workforce'!$J159="Y",IF(OR('Daily Schedule'!$A55=4,'Daily Schedule'!$A55=8),IF(OR(WEEKDAY('Daily Schedule'!$B$2,2)=1,WEEKDAY('Daily Schedule'!$B$2,2)=4,WEEKDAY('Daily Schedule'!$B$2,2)=5,WEEKDAY('Daily Schedule'!$B$2,2)=7),IFERROR(1*'Daily Workforce'!$K159&gt;=3,FALSE()),IFERROR(1*'Daily Workforce'!$K159&gt;=2,FALSE())),IF(AND('Daily Schedule'!$A55&gt;=46,'Daily Schedule'!$A55&lt;=52),'Daily Workforce'!$M159="Y",IFERROR(1*'Daily Workforce'!$P159&gt;=2,FALSE()))))),1,0)</f>
        <v>0</v>
      </c>
      <c r="FO51" s="1" t="n">
        <f aca="false">IF(AND('Daily Workforce'!$N160="Y",'Daily Workforce'!$B160&lt;&gt;"",COUNTIF('Daily Schedule'!$F$5:$F54,'Daily Workforce'!$B160)=0,IF('Daily Schedule'!$A55=45,'Daily Workforce'!$J160="Y",IF(OR('Daily Schedule'!$A55=4,'Daily Schedule'!$A55=8),IF(OR(WEEKDAY('Daily Schedule'!$B$2,2)=1,WEEKDAY('Daily Schedule'!$B$2,2)=4,WEEKDAY('Daily Schedule'!$B$2,2)=5,WEEKDAY('Daily Schedule'!$B$2,2)=7),IFERROR(1*'Daily Workforce'!$K160&gt;=3,FALSE()),IFERROR(1*'Daily Workforce'!$K160&gt;=2,FALSE())),IF(AND('Daily Schedule'!$A55&gt;=46,'Daily Schedule'!$A55&lt;=52),'Daily Workforce'!$M160="Y",IFERROR(1*'Daily Workforce'!$P160&gt;=2,FALSE()))))),1,0)</f>
        <v>0</v>
      </c>
      <c r="FP51" s="1" t="n">
        <f aca="false">IF(AND('Daily Workforce'!$N161="Y",'Daily Workforce'!$B161&lt;&gt;"",COUNTIF('Daily Schedule'!$F$5:$F54,'Daily Workforce'!$B161)=0,IF('Daily Schedule'!$A55=45,'Daily Workforce'!$J161="Y",IF(OR('Daily Schedule'!$A55=4,'Daily Schedule'!$A55=8),IF(OR(WEEKDAY('Daily Schedule'!$B$2,2)=1,WEEKDAY('Daily Schedule'!$B$2,2)=4,WEEKDAY('Daily Schedule'!$B$2,2)=5,WEEKDAY('Daily Schedule'!$B$2,2)=7),IFERROR(1*'Daily Workforce'!$K161&gt;=3,FALSE()),IFERROR(1*'Daily Workforce'!$K161&gt;=2,FALSE())),IF(AND('Daily Schedule'!$A55&gt;=46,'Daily Schedule'!$A55&lt;=52),'Daily Workforce'!$M161="Y",IFERROR(1*'Daily Workforce'!$P161&gt;=2,FALSE()))))),1,0)</f>
        <v>0</v>
      </c>
      <c r="FQ51" s="1" t="n">
        <f aca="false">IF(AND('Daily Workforce'!$N162="Y",'Daily Workforce'!$B162&lt;&gt;"",COUNTIF('Daily Schedule'!$F$5:$F54,'Daily Workforce'!$B162)=0,IF('Daily Schedule'!$A55=45,'Daily Workforce'!$J162="Y",IF(OR('Daily Schedule'!$A55=4,'Daily Schedule'!$A55=8),IF(OR(WEEKDAY('Daily Schedule'!$B$2,2)=1,WEEKDAY('Daily Schedule'!$B$2,2)=4,WEEKDAY('Daily Schedule'!$B$2,2)=5,WEEKDAY('Daily Schedule'!$B$2,2)=7),IFERROR(1*'Daily Workforce'!$K162&gt;=3,FALSE()),IFERROR(1*'Daily Workforce'!$K162&gt;=2,FALSE())),IF(AND('Daily Schedule'!$A55&gt;=46,'Daily Schedule'!$A55&lt;=52),'Daily Workforce'!$M162="Y",IFERROR(1*'Daily Workforce'!$P162&gt;=2,FALSE()))))),1,0)</f>
        <v>0</v>
      </c>
      <c r="FR51" s="1" t="n">
        <f aca="false">IF(AND('Daily Workforce'!$N163="Y",'Daily Workforce'!$B163&lt;&gt;"",COUNTIF('Daily Schedule'!$F$5:$F54,'Daily Workforce'!$B163)=0,IF('Daily Schedule'!$A55=45,'Daily Workforce'!$J163="Y",IF(OR('Daily Schedule'!$A55=4,'Daily Schedule'!$A55=8),IF(OR(WEEKDAY('Daily Schedule'!$B$2,2)=1,WEEKDAY('Daily Schedule'!$B$2,2)=4,WEEKDAY('Daily Schedule'!$B$2,2)=5,WEEKDAY('Daily Schedule'!$B$2,2)=7),IFERROR(1*'Daily Workforce'!$K163&gt;=3,FALSE()),IFERROR(1*'Daily Workforce'!$K163&gt;=2,FALSE())),IF(AND('Daily Schedule'!$A55&gt;=46,'Daily Schedule'!$A55&lt;=52),'Daily Workforce'!$M163="Y",IFERROR(1*'Daily Workforce'!$P163&gt;=2,FALSE()))))),1,0)</f>
        <v>0</v>
      </c>
      <c r="FS51" s="1" t="n">
        <f aca="false">IF(AND('Daily Workforce'!$N164="Y",'Daily Workforce'!$B164&lt;&gt;"",COUNTIF('Daily Schedule'!$F$5:$F54,'Daily Workforce'!$B164)=0,IF('Daily Schedule'!$A55=45,'Daily Workforce'!$J164="Y",IF(OR('Daily Schedule'!$A55=4,'Daily Schedule'!$A55=8),IF(OR(WEEKDAY('Daily Schedule'!$B$2,2)=1,WEEKDAY('Daily Schedule'!$B$2,2)=4,WEEKDAY('Daily Schedule'!$B$2,2)=5,WEEKDAY('Daily Schedule'!$B$2,2)=7),IFERROR(1*'Daily Workforce'!$K164&gt;=3,FALSE()),IFERROR(1*'Daily Workforce'!$K164&gt;=2,FALSE())),IF(AND('Daily Schedule'!$A55&gt;=46,'Daily Schedule'!$A55&lt;=52),'Daily Workforce'!$M164="Y",IFERROR(1*'Daily Workforce'!$P164&gt;=2,FALSE()))))),1,0)</f>
        <v>0</v>
      </c>
      <c r="FT51" s="1" t="n">
        <f aca="false">IF(AND('Daily Workforce'!$N165="Y",'Daily Workforce'!$B165&lt;&gt;"",COUNTIF('Daily Schedule'!$F$5:$F54,'Daily Workforce'!$B165)=0,IF('Daily Schedule'!$A55=45,'Daily Workforce'!$J165="Y",IF(OR('Daily Schedule'!$A55=4,'Daily Schedule'!$A55=8),IF(OR(WEEKDAY('Daily Schedule'!$B$2,2)=1,WEEKDAY('Daily Schedule'!$B$2,2)=4,WEEKDAY('Daily Schedule'!$B$2,2)=5,WEEKDAY('Daily Schedule'!$B$2,2)=7),IFERROR(1*'Daily Workforce'!$K165&gt;=3,FALSE()),IFERROR(1*'Daily Workforce'!$K165&gt;=2,FALSE())),IF(AND('Daily Schedule'!$A55&gt;=46,'Daily Schedule'!$A55&lt;=52),'Daily Workforce'!$M165="Y",IFERROR(1*'Daily Workforce'!$P165&gt;=2,FALSE()))))),1,0)</f>
        <v>0</v>
      </c>
      <c r="FU51" s="1" t="n">
        <f aca="false">IF(AND('Daily Workforce'!$N166="Y",'Daily Workforce'!$B166&lt;&gt;"",COUNTIF('Daily Schedule'!$F$5:$F54,'Daily Workforce'!$B166)=0,IF('Daily Schedule'!$A55=45,'Daily Workforce'!$J166="Y",IF(OR('Daily Schedule'!$A55=4,'Daily Schedule'!$A55=8),IF(OR(WEEKDAY('Daily Schedule'!$B$2,2)=1,WEEKDAY('Daily Schedule'!$B$2,2)=4,WEEKDAY('Daily Schedule'!$B$2,2)=5,WEEKDAY('Daily Schedule'!$B$2,2)=7),IFERROR(1*'Daily Workforce'!$K166&gt;=3,FALSE()),IFERROR(1*'Daily Workforce'!$K166&gt;=2,FALSE())),IF(AND('Daily Schedule'!$A55&gt;=46,'Daily Schedule'!$A55&lt;=52),'Daily Workforce'!$M166="Y",IFERROR(1*'Daily Workforce'!$P166&gt;=2,FALSE()))))),1,0)</f>
        <v>0</v>
      </c>
      <c r="FV51" s="1" t="n">
        <f aca="false">IF(AND('Daily Workforce'!$N167="Y",'Daily Workforce'!$B167&lt;&gt;"",COUNTIF('Daily Schedule'!$F$5:$F54,'Daily Workforce'!$B167)=0,IF('Daily Schedule'!$A55=45,'Daily Workforce'!$J167="Y",IF(OR('Daily Schedule'!$A55=4,'Daily Schedule'!$A55=8),IF(OR(WEEKDAY('Daily Schedule'!$B$2,2)=1,WEEKDAY('Daily Schedule'!$B$2,2)=4,WEEKDAY('Daily Schedule'!$B$2,2)=5,WEEKDAY('Daily Schedule'!$B$2,2)=7),IFERROR(1*'Daily Workforce'!$K167&gt;=3,FALSE()),IFERROR(1*'Daily Workforce'!$K167&gt;=2,FALSE())),IF(AND('Daily Schedule'!$A55&gt;=46,'Daily Schedule'!$A55&lt;=52),'Daily Workforce'!$M167="Y",IFERROR(1*'Daily Workforce'!$P167&gt;=2,FALSE()))))),1,0)</f>
        <v>0</v>
      </c>
      <c r="FW51" s="1" t="n">
        <f aca="false">IF(AND('Daily Workforce'!$N168="Y",'Daily Workforce'!$B168&lt;&gt;"",COUNTIF('Daily Schedule'!$F$5:$F54,'Daily Workforce'!$B168)=0,IF('Daily Schedule'!$A55=45,'Daily Workforce'!$J168="Y",IF(OR('Daily Schedule'!$A55=4,'Daily Schedule'!$A55=8),IF(OR(WEEKDAY('Daily Schedule'!$B$2,2)=1,WEEKDAY('Daily Schedule'!$B$2,2)=4,WEEKDAY('Daily Schedule'!$B$2,2)=5,WEEKDAY('Daily Schedule'!$B$2,2)=7),IFERROR(1*'Daily Workforce'!$K168&gt;=3,FALSE()),IFERROR(1*'Daily Workforce'!$K168&gt;=2,FALSE())),IF(AND('Daily Schedule'!$A55&gt;=46,'Daily Schedule'!$A55&lt;=52),'Daily Workforce'!$M168="Y",IFERROR(1*'Daily Workforce'!$P168&gt;=2,FALSE()))))),1,0)</f>
        <v>0</v>
      </c>
      <c r="FX51" s="1" t="n">
        <f aca="false">IF(AND('Daily Workforce'!$N169="Y",'Daily Workforce'!$B169&lt;&gt;"",COUNTIF('Daily Schedule'!$F$5:$F54,'Daily Workforce'!$B169)=0,IF('Daily Schedule'!$A55=45,'Daily Workforce'!$J169="Y",IF(OR('Daily Schedule'!$A55=4,'Daily Schedule'!$A55=8),IF(OR(WEEKDAY('Daily Schedule'!$B$2,2)=1,WEEKDAY('Daily Schedule'!$B$2,2)=4,WEEKDAY('Daily Schedule'!$B$2,2)=5,WEEKDAY('Daily Schedule'!$B$2,2)=7),IFERROR(1*'Daily Workforce'!$K169&gt;=3,FALSE()),IFERROR(1*'Daily Workforce'!$K169&gt;=2,FALSE())),IF(AND('Daily Schedule'!$A55&gt;=46,'Daily Schedule'!$A55&lt;=52),'Daily Workforce'!$M169="Y",IFERROR(1*'Daily Workforce'!$P169&gt;=2,FALSE()))))),1,0)</f>
        <v>0</v>
      </c>
      <c r="FY51" s="1" t="n">
        <f aca="false">IF(AND('Daily Workforce'!$N170="Y",'Daily Workforce'!$B170&lt;&gt;"",COUNTIF('Daily Schedule'!$F$5:$F54,'Daily Workforce'!$B170)=0,IF('Daily Schedule'!$A55=45,'Daily Workforce'!$J170="Y",IF(OR('Daily Schedule'!$A55=4,'Daily Schedule'!$A55=8),IF(OR(WEEKDAY('Daily Schedule'!$B$2,2)=1,WEEKDAY('Daily Schedule'!$B$2,2)=4,WEEKDAY('Daily Schedule'!$B$2,2)=5,WEEKDAY('Daily Schedule'!$B$2,2)=7),IFERROR(1*'Daily Workforce'!$K170&gt;=3,FALSE()),IFERROR(1*'Daily Workforce'!$K170&gt;=2,FALSE())),IF(AND('Daily Schedule'!$A55&gt;=46,'Daily Schedule'!$A55&lt;=52),'Daily Workforce'!$M170="Y",IFERROR(1*'Daily Workforce'!$P170&gt;=2,FALSE()))))),1,0)</f>
        <v>0</v>
      </c>
      <c r="FZ51" s="1" t="n">
        <f aca="false">IF(AND('Daily Workforce'!$N171="Y",'Daily Workforce'!$B171&lt;&gt;"",COUNTIF('Daily Schedule'!$F$5:$F54,'Daily Workforce'!$B171)=0,IF('Daily Schedule'!$A55=45,'Daily Workforce'!$J171="Y",IF(OR('Daily Schedule'!$A55=4,'Daily Schedule'!$A55=8),IF(OR(WEEKDAY('Daily Schedule'!$B$2,2)=1,WEEKDAY('Daily Schedule'!$B$2,2)=4,WEEKDAY('Daily Schedule'!$B$2,2)=5,WEEKDAY('Daily Schedule'!$B$2,2)=7),IFERROR(1*'Daily Workforce'!$K171&gt;=3,FALSE()),IFERROR(1*'Daily Workforce'!$K171&gt;=2,FALSE())),IF(AND('Daily Schedule'!$A55&gt;=46,'Daily Schedule'!$A55&lt;=52),'Daily Workforce'!$M171="Y",IFERROR(1*'Daily Workforce'!$P171&gt;=2,FALSE()))))),1,0)</f>
        <v>0</v>
      </c>
      <c r="GA51" s="1" t="n">
        <f aca="false">IF(AND('Daily Workforce'!$N172="Y",'Daily Workforce'!$B172&lt;&gt;"",COUNTIF('Daily Schedule'!$F$5:$F54,'Daily Workforce'!$B172)=0,IF('Daily Schedule'!$A55=45,'Daily Workforce'!$J172="Y",IF(OR('Daily Schedule'!$A55=4,'Daily Schedule'!$A55=8),IF(OR(WEEKDAY('Daily Schedule'!$B$2,2)=1,WEEKDAY('Daily Schedule'!$B$2,2)=4,WEEKDAY('Daily Schedule'!$B$2,2)=5,WEEKDAY('Daily Schedule'!$B$2,2)=7),IFERROR(1*'Daily Workforce'!$K172&gt;=3,FALSE()),IFERROR(1*'Daily Workforce'!$K172&gt;=2,FALSE())),IF(AND('Daily Schedule'!$A55&gt;=46,'Daily Schedule'!$A55&lt;=52),'Daily Workforce'!$M172="Y",IFERROR(1*'Daily Workforce'!$P172&gt;=2,FALSE()))))),1,0)</f>
        <v>0</v>
      </c>
      <c r="GB51" s="1" t="n">
        <f aca="false">IF(AND('Daily Workforce'!$N173="Y",'Daily Workforce'!$B173&lt;&gt;"",COUNTIF('Daily Schedule'!$F$5:$F54,'Daily Workforce'!$B173)=0,IF('Daily Schedule'!$A55=45,'Daily Workforce'!$J173="Y",IF(OR('Daily Schedule'!$A55=4,'Daily Schedule'!$A55=8),IF(OR(WEEKDAY('Daily Schedule'!$B$2,2)=1,WEEKDAY('Daily Schedule'!$B$2,2)=4,WEEKDAY('Daily Schedule'!$B$2,2)=5,WEEKDAY('Daily Schedule'!$B$2,2)=7),IFERROR(1*'Daily Workforce'!$K173&gt;=3,FALSE()),IFERROR(1*'Daily Workforce'!$K173&gt;=2,FALSE())),IF(AND('Daily Schedule'!$A55&gt;=46,'Daily Schedule'!$A55&lt;=52),'Daily Workforce'!$M173="Y",IFERROR(1*'Daily Workforce'!$P173&gt;=2,FALSE()))))),1,0)</f>
        <v>0</v>
      </c>
      <c r="GC51" s="1" t="n">
        <f aca="false">IF(AND('Daily Workforce'!$N174="Y",'Daily Workforce'!$B174&lt;&gt;"",COUNTIF('Daily Schedule'!$F$5:$F54,'Daily Workforce'!$B174)=0,IF('Daily Schedule'!$A55=45,'Daily Workforce'!$J174="Y",IF(OR('Daily Schedule'!$A55=4,'Daily Schedule'!$A55=8),IF(OR(WEEKDAY('Daily Schedule'!$B$2,2)=1,WEEKDAY('Daily Schedule'!$B$2,2)=4,WEEKDAY('Daily Schedule'!$B$2,2)=5,WEEKDAY('Daily Schedule'!$B$2,2)=7),IFERROR(1*'Daily Workforce'!$K174&gt;=3,FALSE()),IFERROR(1*'Daily Workforce'!$K174&gt;=2,FALSE())),IF(AND('Daily Schedule'!$A55&gt;=46,'Daily Schedule'!$A55&lt;=52),'Daily Workforce'!$M174="Y",IFERROR(1*'Daily Workforce'!$P174&gt;=2,FALSE()))))),1,0)</f>
        <v>0</v>
      </c>
      <c r="GD51" s="1" t="n">
        <f aca="false">IF(AND('Daily Workforce'!$N175="Y",'Daily Workforce'!$B175&lt;&gt;"",COUNTIF('Daily Schedule'!$F$5:$F54,'Daily Workforce'!$B175)=0,IF('Daily Schedule'!$A55=45,'Daily Workforce'!$J175="Y",IF(OR('Daily Schedule'!$A55=4,'Daily Schedule'!$A55=8),IF(OR(WEEKDAY('Daily Schedule'!$B$2,2)=1,WEEKDAY('Daily Schedule'!$B$2,2)=4,WEEKDAY('Daily Schedule'!$B$2,2)=5,WEEKDAY('Daily Schedule'!$B$2,2)=7),IFERROR(1*'Daily Workforce'!$K175&gt;=3,FALSE()),IFERROR(1*'Daily Workforce'!$K175&gt;=2,FALSE())),IF(AND('Daily Schedule'!$A55&gt;=46,'Daily Schedule'!$A55&lt;=52),'Daily Workforce'!$M175="Y",IFERROR(1*'Daily Workforce'!$P175&gt;=2,FALSE()))))),1,0)</f>
        <v>0</v>
      </c>
      <c r="GE51" s="1" t="n">
        <f aca="false">IF(AND('Daily Workforce'!$N176="Y",'Daily Workforce'!$B176&lt;&gt;"",COUNTIF('Daily Schedule'!$F$5:$F54,'Daily Workforce'!$B176)=0,IF('Daily Schedule'!$A55=45,'Daily Workforce'!$J176="Y",IF(OR('Daily Schedule'!$A55=4,'Daily Schedule'!$A55=8),IF(OR(WEEKDAY('Daily Schedule'!$B$2,2)=1,WEEKDAY('Daily Schedule'!$B$2,2)=4,WEEKDAY('Daily Schedule'!$B$2,2)=5,WEEKDAY('Daily Schedule'!$B$2,2)=7),IFERROR(1*'Daily Workforce'!$K176&gt;=3,FALSE()),IFERROR(1*'Daily Workforce'!$K176&gt;=2,FALSE())),IF(AND('Daily Schedule'!$A55&gt;=46,'Daily Schedule'!$A55&lt;=52),'Daily Workforce'!$M176="Y",IFERROR(1*'Daily Workforce'!$P176&gt;=2,FALSE()))))),1,0)</f>
        <v>0</v>
      </c>
      <c r="GF51" s="1" t="n">
        <f aca="false">IF(AND('Daily Workforce'!$N177="Y",'Daily Workforce'!$B177&lt;&gt;"",COUNTIF('Daily Schedule'!$F$5:$F54,'Daily Workforce'!$B177)=0,IF('Daily Schedule'!$A55=45,'Daily Workforce'!$J177="Y",IF(OR('Daily Schedule'!$A55=4,'Daily Schedule'!$A55=8),IF(OR(WEEKDAY('Daily Schedule'!$B$2,2)=1,WEEKDAY('Daily Schedule'!$B$2,2)=4,WEEKDAY('Daily Schedule'!$B$2,2)=5,WEEKDAY('Daily Schedule'!$B$2,2)=7),IFERROR(1*'Daily Workforce'!$K177&gt;=3,FALSE()),IFERROR(1*'Daily Workforce'!$K177&gt;=2,FALSE())),IF(AND('Daily Schedule'!$A55&gt;=46,'Daily Schedule'!$A55&lt;=52),'Daily Workforce'!$M177="Y",IFERROR(1*'Daily Workforce'!$P177&gt;=2,FALSE()))))),1,0)</f>
        <v>0</v>
      </c>
      <c r="GG51" s="1" t="n">
        <f aca="false">IF(AND('Daily Workforce'!$N178="Y",'Daily Workforce'!$B178&lt;&gt;"",COUNTIF('Daily Schedule'!$F$5:$F54,'Daily Workforce'!$B178)=0,IF('Daily Schedule'!$A55=45,'Daily Workforce'!$J178="Y",IF(OR('Daily Schedule'!$A55=4,'Daily Schedule'!$A55=8),IF(OR(WEEKDAY('Daily Schedule'!$B$2,2)=1,WEEKDAY('Daily Schedule'!$B$2,2)=4,WEEKDAY('Daily Schedule'!$B$2,2)=5,WEEKDAY('Daily Schedule'!$B$2,2)=7),IFERROR(1*'Daily Workforce'!$K178&gt;=3,FALSE()),IFERROR(1*'Daily Workforce'!$K178&gt;=2,FALSE())),IF(AND('Daily Schedule'!$A55&gt;=46,'Daily Schedule'!$A55&lt;=52),'Daily Workforce'!$M178="Y",IFERROR(1*'Daily Workforce'!$P178&gt;=2,FALSE()))))),1,0)</f>
        <v>0</v>
      </c>
      <c r="GH51" s="1" t="n">
        <f aca="false">IF(AND('Daily Workforce'!$N179="Y",'Daily Workforce'!$B179&lt;&gt;"",COUNTIF('Daily Schedule'!$F$5:$F54,'Daily Workforce'!$B179)=0,IF('Daily Schedule'!$A55=45,'Daily Workforce'!$J179="Y",IF(OR('Daily Schedule'!$A55=4,'Daily Schedule'!$A55=8),IF(OR(WEEKDAY('Daily Schedule'!$B$2,2)=1,WEEKDAY('Daily Schedule'!$B$2,2)=4,WEEKDAY('Daily Schedule'!$B$2,2)=5,WEEKDAY('Daily Schedule'!$B$2,2)=7),IFERROR(1*'Daily Workforce'!$K179&gt;=3,FALSE()),IFERROR(1*'Daily Workforce'!$K179&gt;=2,FALSE())),IF(AND('Daily Schedule'!$A55&gt;=46,'Daily Schedule'!$A55&lt;=52),'Daily Workforce'!$M179="Y",IFERROR(1*'Daily Workforce'!$P179&gt;=2,FALSE()))))),1,0)</f>
        <v>0</v>
      </c>
      <c r="GI51" s="1" t="n">
        <f aca="false">IF(AND('Daily Workforce'!$N180="Y",'Daily Workforce'!$B180&lt;&gt;"",COUNTIF('Daily Schedule'!$F$5:$F54,'Daily Workforce'!$B180)=0,IF('Daily Schedule'!$A55=45,'Daily Workforce'!$J180="Y",IF(OR('Daily Schedule'!$A55=4,'Daily Schedule'!$A55=8),IF(OR(WEEKDAY('Daily Schedule'!$B$2,2)=1,WEEKDAY('Daily Schedule'!$B$2,2)=4,WEEKDAY('Daily Schedule'!$B$2,2)=5,WEEKDAY('Daily Schedule'!$B$2,2)=7),IFERROR(1*'Daily Workforce'!$K180&gt;=3,FALSE()),IFERROR(1*'Daily Workforce'!$K180&gt;=2,FALSE())),IF(AND('Daily Schedule'!$A55&gt;=46,'Daily Schedule'!$A55&lt;=52),'Daily Workforce'!$M180="Y",IFERROR(1*'Daily Workforce'!$P180&gt;=2,FALSE()))))),1,0)</f>
        <v>0</v>
      </c>
      <c r="GJ51" s="1" t="n">
        <f aca="false">IF(AND('Daily Workforce'!$N181="Y",'Daily Workforce'!$B181&lt;&gt;"",COUNTIF('Daily Schedule'!$F$5:$F54,'Daily Workforce'!$B181)=0,IF('Daily Schedule'!$A55=45,'Daily Workforce'!$J181="Y",IF(OR('Daily Schedule'!$A55=4,'Daily Schedule'!$A55=8),IF(OR(WEEKDAY('Daily Schedule'!$B$2,2)=1,WEEKDAY('Daily Schedule'!$B$2,2)=4,WEEKDAY('Daily Schedule'!$B$2,2)=5,WEEKDAY('Daily Schedule'!$B$2,2)=7),IFERROR(1*'Daily Workforce'!$K181&gt;=3,FALSE()),IFERROR(1*'Daily Workforce'!$K181&gt;=2,FALSE())),IF(AND('Daily Schedule'!$A55&gt;=46,'Daily Schedule'!$A55&lt;=52),'Daily Workforce'!$M181="Y",IFERROR(1*'Daily Workforce'!$P181&gt;=2,FALSE()))))),1,0)</f>
        <v>0</v>
      </c>
      <c r="GK51" s="1" t="n">
        <f aca="false">IF(AND('Daily Workforce'!$N182="Y",'Daily Workforce'!$B182&lt;&gt;"",COUNTIF('Daily Schedule'!$F$5:$F54,'Daily Workforce'!$B182)=0,IF('Daily Schedule'!$A55=45,'Daily Workforce'!$J182="Y",IF(OR('Daily Schedule'!$A55=4,'Daily Schedule'!$A55=8),IF(OR(WEEKDAY('Daily Schedule'!$B$2,2)=1,WEEKDAY('Daily Schedule'!$B$2,2)=4,WEEKDAY('Daily Schedule'!$B$2,2)=5,WEEKDAY('Daily Schedule'!$B$2,2)=7),IFERROR(1*'Daily Workforce'!$K182&gt;=3,FALSE()),IFERROR(1*'Daily Workforce'!$K182&gt;=2,FALSE())),IF(AND('Daily Schedule'!$A55&gt;=46,'Daily Schedule'!$A55&lt;=52),'Daily Workforce'!$M182="Y",IFERROR(1*'Daily Workforce'!$P182&gt;=2,FALSE()))))),1,0)</f>
        <v>0</v>
      </c>
      <c r="GL51" s="1" t="n">
        <f aca="false">IF(AND('Daily Workforce'!$N183="Y",'Daily Workforce'!$B183&lt;&gt;"",COUNTIF('Daily Schedule'!$F$5:$F54,'Daily Workforce'!$B183)=0,IF('Daily Schedule'!$A55=45,'Daily Workforce'!$J183="Y",IF(OR('Daily Schedule'!$A55=4,'Daily Schedule'!$A55=8),IF(OR(WEEKDAY('Daily Schedule'!$B$2,2)=1,WEEKDAY('Daily Schedule'!$B$2,2)=4,WEEKDAY('Daily Schedule'!$B$2,2)=5,WEEKDAY('Daily Schedule'!$B$2,2)=7),IFERROR(1*'Daily Workforce'!$K183&gt;=3,FALSE()),IFERROR(1*'Daily Workforce'!$K183&gt;=2,FALSE())),IF(AND('Daily Schedule'!$A55&gt;=46,'Daily Schedule'!$A55&lt;=52),'Daily Workforce'!$M183="Y",IFERROR(1*'Daily Workforce'!$P183&gt;=2,FALSE()))))),1,0)</f>
        <v>0</v>
      </c>
      <c r="GM51" s="1" t="n">
        <f aca="false">IF(AND('Daily Workforce'!$N184="Y",'Daily Workforce'!$B184&lt;&gt;"",COUNTIF('Daily Schedule'!$F$5:$F54,'Daily Workforce'!$B184)=0,IF('Daily Schedule'!$A55=45,'Daily Workforce'!$J184="Y",IF(OR('Daily Schedule'!$A55=4,'Daily Schedule'!$A55=8),IF(OR(WEEKDAY('Daily Schedule'!$B$2,2)=1,WEEKDAY('Daily Schedule'!$B$2,2)=4,WEEKDAY('Daily Schedule'!$B$2,2)=5,WEEKDAY('Daily Schedule'!$B$2,2)=7),IFERROR(1*'Daily Workforce'!$K184&gt;=3,FALSE()),IFERROR(1*'Daily Workforce'!$K184&gt;=2,FALSE())),IF(AND('Daily Schedule'!$A55&gt;=46,'Daily Schedule'!$A55&lt;=52),'Daily Workforce'!$M184="Y",IFERROR(1*'Daily Workforce'!$P184&gt;=2,FALSE()))))),1,0)</f>
        <v>0</v>
      </c>
      <c r="GN51" s="1" t="n">
        <f aca="false">IF(AND('Daily Workforce'!$N185="Y",'Daily Workforce'!$B185&lt;&gt;"",COUNTIF('Daily Schedule'!$F$5:$F54,'Daily Workforce'!$B185)=0,IF('Daily Schedule'!$A55=45,'Daily Workforce'!$J185="Y",IF(OR('Daily Schedule'!$A55=4,'Daily Schedule'!$A55=8),IF(OR(WEEKDAY('Daily Schedule'!$B$2,2)=1,WEEKDAY('Daily Schedule'!$B$2,2)=4,WEEKDAY('Daily Schedule'!$B$2,2)=5,WEEKDAY('Daily Schedule'!$B$2,2)=7),IFERROR(1*'Daily Workforce'!$K185&gt;=3,FALSE()),IFERROR(1*'Daily Workforce'!$K185&gt;=2,FALSE())),IF(AND('Daily Schedule'!$A55&gt;=46,'Daily Schedule'!$A55&lt;=52),'Daily Workforce'!$M185="Y",IFERROR(1*'Daily Workforce'!$P185&gt;=2,FALSE()))))),1,0)</f>
        <v>0</v>
      </c>
      <c r="GO51" s="1" t="n">
        <f aca="false">IF(AND('Daily Workforce'!$N186="Y",'Daily Workforce'!$B186&lt;&gt;"",COUNTIF('Daily Schedule'!$F$5:$F54,'Daily Workforce'!$B186)=0,IF('Daily Schedule'!$A55=45,'Daily Workforce'!$J186="Y",IF(OR('Daily Schedule'!$A55=4,'Daily Schedule'!$A55=8),IF(OR(WEEKDAY('Daily Schedule'!$B$2,2)=1,WEEKDAY('Daily Schedule'!$B$2,2)=4,WEEKDAY('Daily Schedule'!$B$2,2)=5,WEEKDAY('Daily Schedule'!$B$2,2)=7),IFERROR(1*'Daily Workforce'!$K186&gt;=3,FALSE()),IFERROR(1*'Daily Workforce'!$K186&gt;=2,FALSE())),IF(AND('Daily Schedule'!$A55&gt;=46,'Daily Schedule'!$A55&lt;=52),'Daily Workforce'!$M186="Y",IFERROR(1*'Daily Workforce'!$P186&gt;=2,FALSE()))))),1,0)</f>
        <v>0</v>
      </c>
      <c r="GP51" s="1" t="n">
        <f aca="false">IF(AND('Daily Workforce'!$N187="Y",'Daily Workforce'!$B187&lt;&gt;"",COUNTIF('Daily Schedule'!$F$5:$F54,'Daily Workforce'!$B187)=0,IF('Daily Schedule'!$A55=45,'Daily Workforce'!$J187="Y",IF(OR('Daily Schedule'!$A55=4,'Daily Schedule'!$A55=8),IF(OR(WEEKDAY('Daily Schedule'!$B$2,2)=1,WEEKDAY('Daily Schedule'!$B$2,2)=4,WEEKDAY('Daily Schedule'!$B$2,2)=5,WEEKDAY('Daily Schedule'!$B$2,2)=7),IFERROR(1*'Daily Workforce'!$K187&gt;=3,FALSE()),IFERROR(1*'Daily Workforce'!$K187&gt;=2,FALSE())),IF(AND('Daily Schedule'!$A55&gt;=46,'Daily Schedule'!$A55&lt;=52),'Daily Workforce'!$M187="Y",IFERROR(1*'Daily Workforce'!$P187&gt;=2,FALSE()))))),1,0)</f>
        <v>0</v>
      </c>
      <c r="GQ51" s="1" t="n">
        <f aca="false">IF(AND('Daily Workforce'!$N188="Y",'Daily Workforce'!$B188&lt;&gt;"",COUNTIF('Daily Schedule'!$F$5:$F54,'Daily Workforce'!$B188)=0,IF('Daily Schedule'!$A55=45,'Daily Workforce'!$J188="Y",IF(OR('Daily Schedule'!$A55=4,'Daily Schedule'!$A55=8),IF(OR(WEEKDAY('Daily Schedule'!$B$2,2)=1,WEEKDAY('Daily Schedule'!$B$2,2)=4,WEEKDAY('Daily Schedule'!$B$2,2)=5,WEEKDAY('Daily Schedule'!$B$2,2)=7),IFERROR(1*'Daily Workforce'!$K188&gt;=3,FALSE()),IFERROR(1*'Daily Workforce'!$K188&gt;=2,FALSE())),IF(AND('Daily Schedule'!$A55&gt;=46,'Daily Schedule'!$A55&lt;=52),'Daily Workforce'!$M188="Y",IFERROR(1*'Daily Workforce'!$P188&gt;=2,FALSE()))))),1,0)</f>
        <v>0</v>
      </c>
      <c r="GR51" s="1" t="n">
        <f aca="false">IF(AND('Daily Workforce'!$N189="Y",'Daily Workforce'!$B189&lt;&gt;"",COUNTIF('Daily Schedule'!$F$5:$F54,'Daily Workforce'!$B189)=0,IF('Daily Schedule'!$A55=45,'Daily Workforce'!$J189="Y",IF(OR('Daily Schedule'!$A55=4,'Daily Schedule'!$A55=8),IF(OR(WEEKDAY('Daily Schedule'!$B$2,2)=1,WEEKDAY('Daily Schedule'!$B$2,2)=4,WEEKDAY('Daily Schedule'!$B$2,2)=5,WEEKDAY('Daily Schedule'!$B$2,2)=7),IFERROR(1*'Daily Workforce'!$K189&gt;=3,FALSE()),IFERROR(1*'Daily Workforce'!$K189&gt;=2,FALSE())),IF(AND('Daily Schedule'!$A55&gt;=46,'Daily Schedule'!$A55&lt;=52),'Daily Workforce'!$M189="Y",IFERROR(1*'Daily Workforce'!$P189&gt;=2,FALSE()))))),1,0)</f>
        <v>0</v>
      </c>
      <c r="GS51" s="1" t="n">
        <f aca="false">IF(AND('Daily Workforce'!$N190="Y",'Daily Workforce'!$B190&lt;&gt;"",COUNTIF('Daily Schedule'!$F$5:$F54,'Daily Workforce'!$B190)=0,IF('Daily Schedule'!$A55=45,'Daily Workforce'!$J190="Y",IF(OR('Daily Schedule'!$A55=4,'Daily Schedule'!$A55=8),IF(OR(WEEKDAY('Daily Schedule'!$B$2,2)=1,WEEKDAY('Daily Schedule'!$B$2,2)=4,WEEKDAY('Daily Schedule'!$B$2,2)=5,WEEKDAY('Daily Schedule'!$B$2,2)=7),IFERROR(1*'Daily Workforce'!$K190&gt;=3,FALSE()),IFERROR(1*'Daily Workforce'!$K190&gt;=2,FALSE())),IF(AND('Daily Schedule'!$A55&gt;=46,'Daily Schedule'!$A55&lt;=52),'Daily Workforce'!$M190="Y",IFERROR(1*'Daily Workforce'!$P190&gt;=2,FALSE()))))),1,0)</f>
        <v>0</v>
      </c>
      <c r="GT51" s="1" t="n">
        <f aca="false">IF(AND('Daily Workforce'!$N191="Y",'Daily Workforce'!$B191&lt;&gt;"",COUNTIF('Daily Schedule'!$F$5:$F54,'Daily Workforce'!$B191)=0,IF('Daily Schedule'!$A55=45,'Daily Workforce'!$J191="Y",IF(OR('Daily Schedule'!$A55=4,'Daily Schedule'!$A55=8),IF(OR(WEEKDAY('Daily Schedule'!$B$2,2)=1,WEEKDAY('Daily Schedule'!$B$2,2)=4,WEEKDAY('Daily Schedule'!$B$2,2)=5,WEEKDAY('Daily Schedule'!$B$2,2)=7),IFERROR(1*'Daily Workforce'!$K191&gt;=3,FALSE()),IFERROR(1*'Daily Workforce'!$K191&gt;=2,FALSE())),IF(AND('Daily Schedule'!$A55&gt;=46,'Daily Schedule'!$A55&lt;=52),'Daily Workforce'!$M191="Y",IFERROR(1*'Daily Workforce'!$P191&gt;=2,FALSE()))))),1,0)</f>
        <v>0</v>
      </c>
      <c r="GU51" s="1" t="n">
        <f aca="false">IF(AND('Daily Workforce'!$N192="Y",'Daily Workforce'!$B192&lt;&gt;"",COUNTIF('Daily Schedule'!$F$5:$F54,'Daily Workforce'!$B192)=0,IF('Daily Schedule'!$A55=45,'Daily Workforce'!$J192="Y",IF(OR('Daily Schedule'!$A55=4,'Daily Schedule'!$A55=8),IF(OR(WEEKDAY('Daily Schedule'!$B$2,2)=1,WEEKDAY('Daily Schedule'!$B$2,2)=4,WEEKDAY('Daily Schedule'!$B$2,2)=5,WEEKDAY('Daily Schedule'!$B$2,2)=7),IFERROR(1*'Daily Workforce'!$K192&gt;=3,FALSE()),IFERROR(1*'Daily Workforce'!$K192&gt;=2,FALSE())),IF(AND('Daily Schedule'!$A55&gt;=46,'Daily Schedule'!$A55&lt;=52),'Daily Workforce'!$M192="Y",IFERROR(1*'Daily Workforce'!$P192&gt;=2,FALSE()))))),1,0)</f>
        <v>0</v>
      </c>
      <c r="GV51" s="1" t="n">
        <f aca="false">IF(AND('Daily Workforce'!$N193="Y",'Daily Workforce'!$B193&lt;&gt;"",COUNTIF('Daily Schedule'!$F$5:$F54,'Daily Workforce'!$B193)=0,IF('Daily Schedule'!$A55=45,'Daily Workforce'!$J193="Y",IF(OR('Daily Schedule'!$A55=4,'Daily Schedule'!$A55=8),IF(OR(WEEKDAY('Daily Schedule'!$B$2,2)=1,WEEKDAY('Daily Schedule'!$B$2,2)=4,WEEKDAY('Daily Schedule'!$B$2,2)=5,WEEKDAY('Daily Schedule'!$B$2,2)=7),IFERROR(1*'Daily Workforce'!$K193&gt;=3,FALSE()),IFERROR(1*'Daily Workforce'!$K193&gt;=2,FALSE())),IF(AND('Daily Schedule'!$A55&gt;=46,'Daily Schedule'!$A55&lt;=52),'Daily Workforce'!$M193="Y",IFERROR(1*'Daily Workforce'!$P193&gt;=2,FALSE()))))),1,0)</f>
        <v>0</v>
      </c>
      <c r="GW51" s="1" t="n">
        <f aca="false">IF(AND('Daily Workforce'!$N194="Y",'Daily Workforce'!$B194&lt;&gt;"",COUNTIF('Daily Schedule'!$F$5:$F54,'Daily Workforce'!$B194)=0,IF('Daily Schedule'!$A55=45,'Daily Workforce'!$J194="Y",IF(OR('Daily Schedule'!$A55=4,'Daily Schedule'!$A55=8),IF(OR(WEEKDAY('Daily Schedule'!$B$2,2)=1,WEEKDAY('Daily Schedule'!$B$2,2)=4,WEEKDAY('Daily Schedule'!$B$2,2)=5,WEEKDAY('Daily Schedule'!$B$2,2)=7),IFERROR(1*'Daily Workforce'!$K194&gt;=3,FALSE()),IFERROR(1*'Daily Workforce'!$K194&gt;=2,FALSE())),IF(AND('Daily Schedule'!$A55&gt;=46,'Daily Schedule'!$A55&lt;=52),'Daily Workforce'!$M194="Y",IFERROR(1*'Daily Workforce'!$P194&gt;=2,FALSE()))))),1,0)</f>
        <v>0</v>
      </c>
      <c r="GX51" s="1" t="n">
        <f aca="false">IF(AND('Daily Workforce'!$N195="Y",'Daily Workforce'!$B195&lt;&gt;"",COUNTIF('Daily Schedule'!$F$5:$F54,'Daily Workforce'!$B195)=0,IF('Daily Schedule'!$A55=45,'Daily Workforce'!$J195="Y",IF(OR('Daily Schedule'!$A55=4,'Daily Schedule'!$A55=8),IF(OR(WEEKDAY('Daily Schedule'!$B$2,2)=1,WEEKDAY('Daily Schedule'!$B$2,2)=4,WEEKDAY('Daily Schedule'!$B$2,2)=5,WEEKDAY('Daily Schedule'!$B$2,2)=7),IFERROR(1*'Daily Workforce'!$K195&gt;=3,FALSE()),IFERROR(1*'Daily Workforce'!$K195&gt;=2,FALSE())),IF(AND('Daily Schedule'!$A55&gt;=46,'Daily Schedule'!$A55&lt;=52),'Daily Workforce'!$M195="Y",IFERROR(1*'Daily Workforce'!$P195&gt;=2,FALSE()))))),1,0)</f>
        <v>0</v>
      </c>
      <c r="GY51" s="1" t="n">
        <f aca="false">IF(AND('Daily Workforce'!$N196="Y",'Daily Workforce'!$B196&lt;&gt;"",COUNTIF('Daily Schedule'!$F$5:$F54,'Daily Workforce'!$B196)=0,IF('Daily Schedule'!$A55=45,'Daily Workforce'!$J196="Y",IF(OR('Daily Schedule'!$A55=4,'Daily Schedule'!$A55=8),IF(OR(WEEKDAY('Daily Schedule'!$B$2,2)=1,WEEKDAY('Daily Schedule'!$B$2,2)=4,WEEKDAY('Daily Schedule'!$B$2,2)=5,WEEKDAY('Daily Schedule'!$B$2,2)=7),IFERROR(1*'Daily Workforce'!$K196&gt;=3,FALSE()),IFERROR(1*'Daily Workforce'!$K196&gt;=2,FALSE())),IF(AND('Daily Schedule'!$A55&gt;=46,'Daily Schedule'!$A55&lt;=52),'Daily Workforce'!$M196="Y",IFERROR(1*'Daily Workforce'!$P196&gt;=2,FALSE()))))),1,0)</f>
        <v>0</v>
      </c>
      <c r="GZ51" s="1" t="n">
        <f aca="false">IF(AND('Daily Workforce'!$N197="Y",'Daily Workforce'!$B197&lt;&gt;"",COUNTIF('Daily Schedule'!$F$5:$F54,'Daily Workforce'!$B197)=0,IF('Daily Schedule'!$A55=45,'Daily Workforce'!$J197="Y",IF(OR('Daily Schedule'!$A55=4,'Daily Schedule'!$A55=8),IF(OR(WEEKDAY('Daily Schedule'!$B$2,2)=1,WEEKDAY('Daily Schedule'!$B$2,2)=4,WEEKDAY('Daily Schedule'!$B$2,2)=5,WEEKDAY('Daily Schedule'!$B$2,2)=7),IFERROR(1*'Daily Workforce'!$K197&gt;=3,FALSE()),IFERROR(1*'Daily Workforce'!$K197&gt;=2,FALSE())),IF(AND('Daily Schedule'!$A55&gt;=46,'Daily Schedule'!$A55&lt;=52),'Daily Workforce'!$M197="Y",IFERROR(1*'Daily Workforce'!$P197&gt;=2,FALSE()))))),1,0)</f>
        <v>0</v>
      </c>
      <c r="HA51" s="1" t="n">
        <f aca="false">IF(AND('Daily Workforce'!$N198="Y",'Daily Workforce'!$B198&lt;&gt;"",COUNTIF('Daily Schedule'!$F$5:$F54,'Daily Workforce'!$B198)=0,IF('Daily Schedule'!$A55=45,'Daily Workforce'!$J198="Y",IF(OR('Daily Schedule'!$A55=4,'Daily Schedule'!$A55=8),IF(OR(WEEKDAY('Daily Schedule'!$B$2,2)=1,WEEKDAY('Daily Schedule'!$B$2,2)=4,WEEKDAY('Daily Schedule'!$B$2,2)=5,WEEKDAY('Daily Schedule'!$B$2,2)=7),IFERROR(1*'Daily Workforce'!$K198&gt;=3,FALSE()),IFERROR(1*'Daily Workforce'!$K198&gt;=2,FALSE())),IF(AND('Daily Schedule'!$A55&gt;=46,'Daily Schedule'!$A55&lt;=52),'Daily Workforce'!$M198="Y",IFERROR(1*'Daily Workforce'!$P198&gt;=2,FALSE()))))),1,0)</f>
        <v>0</v>
      </c>
      <c r="HB51" s="1" t="n">
        <f aca="false">IF(AND('Daily Workforce'!$N199="Y",'Daily Workforce'!$B199&lt;&gt;"",COUNTIF('Daily Schedule'!$F$5:$F54,'Daily Workforce'!$B199)=0,IF('Daily Schedule'!$A55=45,'Daily Workforce'!$J199="Y",IF(OR('Daily Schedule'!$A55=4,'Daily Schedule'!$A55=8),IF(OR(WEEKDAY('Daily Schedule'!$B$2,2)=1,WEEKDAY('Daily Schedule'!$B$2,2)=4,WEEKDAY('Daily Schedule'!$B$2,2)=5,WEEKDAY('Daily Schedule'!$B$2,2)=7),IFERROR(1*'Daily Workforce'!$K199&gt;=3,FALSE()),IFERROR(1*'Daily Workforce'!$K199&gt;=2,FALSE())),IF(AND('Daily Schedule'!$A55&gt;=46,'Daily Schedule'!$A55&lt;=52),'Daily Workforce'!$M199="Y",IFERROR(1*'Daily Workforce'!$P199&gt;=2,FALSE()))))),1,0)</f>
        <v>0</v>
      </c>
      <c r="HC51" s="1" t="n">
        <f aca="false">IF(AND('Daily Workforce'!$N200="Y",'Daily Workforce'!$B200&lt;&gt;"",COUNTIF('Daily Schedule'!$F$5:$F54,'Daily Workforce'!$B200)=0,IF('Daily Schedule'!$A55=45,'Daily Workforce'!$J200="Y",IF(OR('Daily Schedule'!$A55=4,'Daily Schedule'!$A55=8),IF(OR(WEEKDAY('Daily Schedule'!$B$2,2)=1,WEEKDAY('Daily Schedule'!$B$2,2)=4,WEEKDAY('Daily Schedule'!$B$2,2)=5,WEEKDAY('Daily Schedule'!$B$2,2)=7),IFERROR(1*'Daily Workforce'!$K200&gt;=3,FALSE()),IFERROR(1*'Daily Workforce'!$K200&gt;=2,FALSE())),IF(AND('Daily Schedule'!$A55&gt;=46,'Daily Schedule'!$A55&lt;=52),'Daily Workforce'!$M200="Y",IFERROR(1*'Daily Workforce'!$P200&gt;=2,FALSE()))))),1,0)</f>
        <v>0</v>
      </c>
      <c r="HD51" s="1" t="n">
        <f aca="false">IF(AND('Daily Workforce'!$N201="Y",'Daily Workforce'!$B201&lt;&gt;"",COUNTIF('Daily Schedule'!$F$5:$F54,'Daily Workforce'!$B201)=0,IF('Daily Schedule'!$A55=45,'Daily Workforce'!$J201="Y",IF(OR('Daily Schedule'!$A55=4,'Daily Schedule'!$A55=8),IF(OR(WEEKDAY('Daily Schedule'!$B$2,2)=1,WEEKDAY('Daily Schedule'!$B$2,2)=4,WEEKDAY('Daily Schedule'!$B$2,2)=5,WEEKDAY('Daily Schedule'!$B$2,2)=7),IFERROR(1*'Daily Workforce'!$K201&gt;=3,FALSE()),IFERROR(1*'Daily Workforce'!$K201&gt;=2,FALSE())),IF(AND('Daily Schedule'!$A55&gt;=46,'Daily Schedule'!$A55&lt;=52),'Daily Workforce'!$M201="Y",IFERROR(1*'Daily Workforce'!$P201&gt;=2,FALSE()))))),1,0)</f>
        <v>0</v>
      </c>
      <c r="HE51" s="1" t="n">
        <f aca="false">IF(AND('Daily Workforce'!$N202="Y",'Daily Workforce'!$B202&lt;&gt;"",COUNTIF('Daily Schedule'!$F$5:$F54,'Daily Workforce'!$B202)=0,IF('Daily Schedule'!$A55=45,'Daily Workforce'!$J202="Y",IF(OR('Daily Schedule'!$A55=4,'Daily Schedule'!$A55=8),IF(OR(WEEKDAY('Daily Schedule'!$B$2,2)=1,WEEKDAY('Daily Schedule'!$B$2,2)=4,WEEKDAY('Daily Schedule'!$B$2,2)=5,WEEKDAY('Daily Schedule'!$B$2,2)=7),IFERROR(1*'Daily Workforce'!$K202&gt;=3,FALSE()),IFERROR(1*'Daily Workforce'!$K202&gt;=2,FALSE())),IF(AND('Daily Schedule'!$A55&gt;=46,'Daily Schedule'!$A55&lt;=52),'Daily Workforce'!$M202="Y",IFERROR(1*'Daily Workforce'!$P202&gt;=2,FALSE()))))),1,0)</f>
        <v>0</v>
      </c>
      <c r="HF51" s="1" t="n">
        <f aca="false">IF(AND('Daily Workforce'!$N203="Y",'Daily Workforce'!$B203&lt;&gt;"",COUNTIF('Daily Schedule'!$F$5:$F54,'Daily Workforce'!$B203)=0,IF('Daily Schedule'!$A55=45,'Daily Workforce'!$J203="Y",IF(OR('Daily Schedule'!$A55=4,'Daily Schedule'!$A55=8),IF(OR(WEEKDAY('Daily Schedule'!$B$2,2)=1,WEEKDAY('Daily Schedule'!$B$2,2)=4,WEEKDAY('Daily Schedule'!$B$2,2)=5,WEEKDAY('Daily Schedule'!$B$2,2)=7),IFERROR(1*'Daily Workforce'!$K203&gt;=3,FALSE()),IFERROR(1*'Daily Workforce'!$K203&gt;=2,FALSE())),IF(AND('Daily Schedule'!$A55&gt;=46,'Daily Schedule'!$A55&lt;=52),'Daily Workforce'!$M203="Y",IFERROR(1*'Daily Workforce'!$P203&gt;=2,FALSE()))))),1,0)</f>
        <v>0</v>
      </c>
      <c r="HG51" s="1" t="n">
        <f aca="false">IF(AND('Daily Workforce'!$N204="Y",'Daily Workforce'!$B204&lt;&gt;"",COUNTIF('Daily Schedule'!$F$5:$F54,'Daily Workforce'!$B204)=0,IF('Daily Schedule'!$A55=45,'Daily Workforce'!$J204="Y",IF(OR('Daily Schedule'!$A55=4,'Daily Schedule'!$A55=8),IF(OR(WEEKDAY('Daily Schedule'!$B$2,2)=1,WEEKDAY('Daily Schedule'!$B$2,2)=4,WEEKDAY('Daily Schedule'!$B$2,2)=5,WEEKDAY('Daily Schedule'!$B$2,2)=7),IFERROR(1*'Daily Workforce'!$K204&gt;=3,FALSE()),IFERROR(1*'Daily Workforce'!$K204&gt;=2,FALSE())),IF(AND('Daily Schedule'!$A55&gt;=46,'Daily Schedule'!$A55&lt;=52),'Daily Workforce'!$M204="Y",IFERROR(1*'Daily Workforce'!$P204&gt;=2,FALSE()))))),1,0)</f>
        <v>0</v>
      </c>
      <c r="HH51" s="1" t="n">
        <f aca="false">IF(AND('Daily Workforce'!$N205="Y",'Daily Workforce'!$B205&lt;&gt;"",COUNTIF('Daily Schedule'!$F$5:$F54,'Daily Workforce'!$B205)=0,IF('Daily Schedule'!$A55=45,'Daily Workforce'!$J205="Y",IF(OR('Daily Schedule'!$A55=4,'Daily Schedule'!$A55=8),IF(OR(WEEKDAY('Daily Schedule'!$B$2,2)=1,WEEKDAY('Daily Schedule'!$B$2,2)=4,WEEKDAY('Daily Schedule'!$B$2,2)=5,WEEKDAY('Daily Schedule'!$B$2,2)=7),IFERROR(1*'Daily Workforce'!$K205&gt;=3,FALSE()),IFERROR(1*'Daily Workforce'!$K205&gt;=2,FALSE())),IF(AND('Daily Schedule'!$A55&gt;=46,'Daily Schedule'!$A55&lt;=52),'Daily Workforce'!$M205="Y",IFERROR(1*'Daily Workforce'!$P205&gt;=2,FALSE()))))),1,0)</f>
        <v>0</v>
      </c>
    </row>
    <row r="52" customFormat="false" ht="15" hidden="false" customHeight="true" outlineLevel="0" collapsed="false">
      <c r="L52" s="1" t="s">
        <v>479</v>
      </c>
      <c r="O52" s="1" t="n">
        <f aca="false">IF(AND('Employee Master'!$G52="Y",ISERROR(SEARCH(TEXT('Daily Workforce'!$B$2,"ddd"),'Employee Master'!$D52)),IF('Daily Workforce'!$E$2="",TRUE(),'Employee Master'!$I52='Daily Workforce'!$E$2)),'Employee Master'!$K52*1000+ROW()-1,"")</f>
        <v>2051</v>
      </c>
      <c r="P52" s="1" t="n">
        <f aca="false">IF($O52="","",COUNTIF($O$2:$O$159,"&lt;="&amp;$O52))</f>
        <v>30</v>
      </c>
      <c r="Q52" s="1" t="n">
        <f aca="false">IF(AND('Daily Workforce'!$N6="Y",'Daily Workforce'!$B6&lt;&gt;"",COUNTIF('Daily Schedule'!$F$5:$F55,'Daily Workforce'!$B6)=0,IF('Daily Schedule'!$A56=45,'Daily Workforce'!$J6="Y",IF(OR('Daily Schedule'!$A56=4,'Daily Schedule'!$A56=8),IF(OR(WEEKDAY('Daily Schedule'!$B$2,2)=1,WEEKDAY('Daily Schedule'!$B$2,2)=4,WEEKDAY('Daily Schedule'!$B$2,2)=5,WEEKDAY('Daily Schedule'!$B$2,2)=7),IFERROR(1*'Daily Workforce'!$K6&gt;=3,FALSE()),IFERROR(1*'Daily Workforce'!$K6&gt;=2,FALSE())),IF(AND('Daily Schedule'!$A56&gt;=46,'Daily Schedule'!$A56&lt;=52),'Daily Workforce'!$M6="Y",IFERROR(1*'Daily Workforce'!$P6&gt;=2,FALSE()))))),1,0)</f>
        <v>0</v>
      </c>
      <c r="R52" s="1" t="n">
        <f aca="false">IF(AND('Daily Workforce'!$N7="Y",'Daily Workforce'!$B7&lt;&gt;"",COUNTIF('Daily Schedule'!$F$5:$F55,'Daily Workforce'!$B7)=0,IF('Daily Schedule'!$A56=45,'Daily Workforce'!$J7="Y",IF(OR('Daily Schedule'!$A56=4,'Daily Schedule'!$A56=8),IF(OR(WEEKDAY('Daily Schedule'!$B$2,2)=1,WEEKDAY('Daily Schedule'!$B$2,2)=4,WEEKDAY('Daily Schedule'!$B$2,2)=5,WEEKDAY('Daily Schedule'!$B$2,2)=7),IFERROR(1*'Daily Workforce'!$K7&gt;=3,FALSE()),IFERROR(1*'Daily Workforce'!$K7&gt;=2,FALSE())),IF(AND('Daily Schedule'!$A56&gt;=46,'Daily Schedule'!$A56&lt;=52),'Daily Workforce'!$M7="Y",IFERROR(1*'Daily Workforce'!$P7&gt;=2,FALSE()))))),1,0)</f>
        <v>0</v>
      </c>
      <c r="S52" s="1" t="n">
        <f aca="false">IF(AND('Daily Workforce'!$N8="Y",'Daily Workforce'!$B8&lt;&gt;"",COUNTIF('Daily Schedule'!$F$5:$F55,'Daily Workforce'!$B8)=0,IF('Daily Schedule'!$A56=45,'Daily Workforce'!$J8="Y",IF(OR('Daily Schedule'!$A56=4,'Daily Schedule'!$A56=8),IF(OR(WEEKDAY('Daily Schedule'!$B$2,2)=1,WEEKDAY('Daily Schedule'!$B$2,2)=4,WEEKDAY('Daily Schedule'!$B$2,2)=5,WEEKDAY('Daily Schedule'!$B$2,2)=7),IFERROR(1*'Daily Workforce'!$K8&gt;=3,FALSE()),IFERROR(1*'Daily Workforce'!$K8&gt;=2,FALSE())),IF(AND('Daily Schedule'!$A56&gt;=46,'Daily Schedule'!$A56&lt;=52),'Daily Workforce'!$M8="Y",IFERROR(1*'Daily Workforce'!$P8&gt;=2,FALSE()))))),1,0)</f>
        <v>0</v>
      </c>
      <c r="T52" s="1" t="n">
        <f aca="false">IF(AND('Daily Workforce'!$N9="Y",'Daily Workforce'!$B9&lt;&gt;"",COUNTIF('Daily Schedule'!$F$5:$F55,'Daily Workforce'!$B9)=0,IF('Daily Schedule'!$A56=45,'Daily Workforce'!$J9="Y",IF(OR('Daily Schedule'!$A56=4,'Daily Schedule'!$A56=8),IF(OR(WEEKDAY('Daily Schedule'!$B$2,2)=1,WEEKDAY('Daily Schedule'!$B$2,2)=4,WEEKDAY('Daily Schedule'!$B$2,2)=5,WEEKDAY('Daily Schedule'!$B$2,2)=7),IFERROR(1*'Daily Workforce'!$K9&gt;=3,FALSE()),IFERROR(1*'Daily Workforce'!$K9&gt;=2,FALSE())),IF(AND('Daily Schedule'!$A56&gt;=46,'Daily Schedule'!$A56&lt;=52),'Daily Workforce'!$M9="Y",IFERROR(1*'Daily Workforce'!$P9&gt;=2,FALSE()))))),1,0)</f>
        <v>0</v>
      </c>
      <c r="U52" s="1" t="n">
        <f aca="false">IF(AND('Daily Workforce'!$N10="Y",'Daily Workforce'!$B10&lt;&gt;"",COUNTIF('Daily Schedule'!$F$5:$F55,'Daily Workforce'!$B10)=0,IF('Daily Schedule'!$A56=45,'Daily Workforce'!$J10="Y",IF(OR('Daily Schedule'!$A56=4,'Daily Schedule'!$A56=8),IF(OR(WEEKDAY('Daily Schedule'!$B$2,2)=1,WEEKDAY('Daily Schedule'!$B$2,2)=4,WEEKDAY('Daily Schedule'!$B$2,2)=5,WEEKDAY('Daily Schedule'!$B$2,2)=7),IFERROR(1*'Daily Workforce'!$K10&gt;=3,FALSE()),IFERROR(1*'Daily Workforce'!$K10&gt;=2,FALSE())),IF(AND('Daily Schedule'!$A56&gt;=46,'Daily Schedule'!$A56&lt;=52),'Daily Workforce'!$M10="Y",IFERROR(1*'Daily Workforce'!$P10&gt;=2,FALSE()))))),1,0)</f>
        <v>0</v>
      </c>
      <c r="V52" s="1" t="n">
        <f aca="false">IF(AND('Daily Workforce'!$N11="Y",'Daily Workforce'!$B11&lt;&gt;"",COUNTIF('Daily Schedule'!$F$5:$F55,'Daily Workforce'!$B11)=0,IF('Daily Schedule'!$A56=45,'Daily Workforce'!$J11="Y",IF(OR('Daily Schedule'!$A56=4,'Daily Schedule'!$A56=8),IF(OR(WEEKDAY('Daily Schedule'!$B$2,2)=1,WEEKDAY('Daily Schedule'!$B$2,2)=4,WEEKDAY('Daily Schedule'!$B$2,2)=5,WEEKDAY('Daily Schedule'!$B$2,2)=7),IFERROR(1*'Daily Workforce'!$K11&gt;=3,FALSE()),IFERROR(1*'Daily Workforce'!$K11&gt;=2,FALSE())),IF(AND('Daily Schedule'!$A56&gt;=46,'Daily Schedule'!$A56&lt;=52),'Daily Workforce'!$M11="Y",IFERROR(1*'Daily Workforce'!$P11&gt;=2,FALSE()))))),1,0)</f>
        <v>0</v>
      </c>
      <c r="W52" s="1" t="n">
        <f aca="false">IF(AND('Daily Workforce'!$N12="Y",'Daily Workforce'!$B12&lt;&gt;"",COUNTIF('Daily Schedule'!$F$5:$F55,'Daily Workforce'!$B12)=0,IF('Daily Schedule'!$A56=45,'Daily Workforce'!$J12="Y",IF(OR('Daily Schedule'!$A56=4,'Daily Schedule'!$A56=8),IF(OR(WEEKDAY('Daily Schedule'!$B$2,2)=1,WEEKDAY('Daily Schedule'!$B$2,2)=4,WEEKDAY('Daily Schedule'!$B$2,2)=5,WEEKDAY('Daily Schedule'!$B$2,2)=7),IFERROR(1*'Daily Workforce'!$K12&gt;=3,FALSE()),IFERROR(1*'Daily Workforce'!$K12&gt;=2,FALSE())),IF(AND('Daily Schedule'!$A56&gt;=46,'Daily Schedule'!$A56&lt;=52),'Daily Workforce'!$M12="Y",IFERROR(1*'Daily Workforce'!$P12&gt;=2,FALSE()))))),1,0)</f>
        <v>0</v>
      </c>
      <c r="X52" s="1" t="n">
        <f aca="false">IF(AND('Daily Workforce'!$N13="Y",'Daily Workforce'!$B13&lt;&gt;"",COUNTIF('Daily Schedule'!$F$5:$F55,'Daily Workforce'!$B13)=0,IF('Daily Schedule'!$A56=45,'Daily Workforce'!$J13="Y",IF(OR('Daily Schedule'!$A56=4,'Daily Schedule'!$A56=8),IF(OR(WEEKDAY('Daily Schedule'!$B$2,2)=1,WEEKDAY('Daily Schedule'!$B$2,2)=4,WEEKDAY('Daily Schedule'!$B$2,2)=5,WEEKDAY('Daily Schedule'!$B$2,2)=7),IFERROR(1*'Daily Workforce'!$K13&gt;=3,FALSE()),IFERROR(1*'Daily Workforce'!$K13&gt;=2,FALSE())),IF(AND('Daily Schedule'!$A56&gt;=46,'Daily Schedule'!$A56&lt;=52),'Daily Workforce'!$M13="Y",IFERROR(1*'Daily Workforce'!$P13&gt;=2,FALSE()))))),1,0)</f>
        <v>0</v>
      </c>
      <c r="Y52" s="1" t="n">
        <f aca="false">IF(AND('Daily Workforce'!$N14="Y",'Daily Workforce'!$B14&lt;&gt;"",COUNTIF('Daily Schedule'!$F$5:$F55,'Daily Workforce'!$B14)=0,IF('Daily Schedule'!$A56=45,'Daily Workforce'!$J14="Y",IF(OR('Daily Schedule'!$A56=4,'Daily Schedule'!$A56=8),IF(OR(WEEKDAY('Daily Schedule'!$B$2,2)=1,WEEKDAY('Daily Schedule'!$B$2,2)=4,WEEKDAY('Daily Schedule'!$B$2,2)=5,WEEKDAY('Daily Schedule'!$B$2,2)=7),IFERROR(1*'Daily Workforce'!$K14&gt;=3,FALSE()),IFERROR(1*'Daily Workforce'!$K14&gt;=2,FALSE())),IF(AND('Daily Schedule'!$A56&gt;=46,'Daily Schedule'!$A56&lt;=52),'Daily Workforce'!$M14="Y",IFERROR(1*'Daily Workforce'!$P14&gt;=2,FALSE()))))),1,0)</f>
        <v>0</v>
      </c>
      <c r="Z52" s="1" t="n">
        <f aca="false">IF(AND('Daily Workforce'!$N15="Y",'Daily Workforce'!$B15&lt;&gt;"",COUNTIF('Daily Schedule'!$F$5:$F55,'Daily Workforce'!$B15)=0,IF('Daily Schedule'!$A56=45,'Daily Workforce'!$J15="Y",IF(OR('Daily Schedule'!$A56=4,'Daily Schedule'!$A56=8),IF(OR(WEEKDAY('Daily Schedule'!$B$2,2)=1,WEEKDAY('Daily Schedule'!$B$2,2)=4,WEEKDAY('Daily Schedule'!$B$2,2)=5,WEEKDAY('Daily Schedule'!$B$2,2)=7),IFERROR(1*'Daily Workforce'!$K15&gt;=3,FALSE()),IFERROR(1*'Daily Workforce'!$K15&gt;=2,FALSE())),IF(AND('Daily Schedule'!$A56&gt;=46,'Daily Schedule'!$A56&lt;=52),'Daily Workforce'!$M15="Y",IFERROR(1*'Daily Workforce'!$P15&gt;=2,FALSE()))))),1,0)</f>
        <v>0</v>
      </c>
      <c r="AA52" s="1" t="n">
        <f aca="false">IF(AND('Daily Workforce'!$N16="Y",'Daily Workforce'!$B16&lt;&gt;"",COUNTIF('Daily Schedule'!$F$5:$F55,'Daily Workforce'!$B16)=0,IF('Daily Schedule'!$A56=45,'Daily Workforce'!$J16="Y",IF(OR('Daily Schedule'!$A56=4,'Daily Schedule'!$A56=8),IF(OR(WEEKDAY('Daily Schedule'!$B$2,2)=1,WEEKDAY('Daily Schedule'!$B$2,2)=4,WEEKDAY('Daily Schedule'!$B$2,2)=5,WEEKDAY('Daily Schedule'!$B$2,2)=7),IFERROR(1*'Daily Workforce'!$K16&gt;=3,FALSE()),IFERROR(1*'Daily Workforce'!$K16&gt;=2,FALSE())),IF(AND('Daily Schedule'!$A56&gt;=46,'Daily Schedule'!$A56&lt;=52),'Daily Workforce'!$M16="Y",IFERROR(1*'Daily Workforce'!$P16&gt;=2,FALSE()))))),1,0)</f>
        <v>0</v>
      </c>
      <c r="AB52" s="1" t="n">
        <f aca="false">IF(AND('Daily Workforce'!$N17="Y",'Daily Workforce'!$B17&lt;&gt;"",COUNTIF('Daily Schedule'!$F$5:$F55,'Daily Workforce'!$B17)=0,IF('Daily Schedule'!$A56=45,'Daily Workforce'!$J17="Y",IF(OR('Daily Schedule'!$A56=4,'Daily Schedule'!$A56=8),IF(OR(WEEKDAY('Daily Schedule'!$B$2,2)=1,WEEKDAY('Daily Schedule'!$B$2,2)=4,WEEKDAY('Daily Schedule'!$B$2,2)=5,WEEKDAY('Daily Schedule'!$B$2,2)=7),IFERROR(1*'Daily Workforce'!$K17&gt;=3,FALSE()),IFERROR(1*'Daily Workforce'!$K17&gt;=2,FALSE())),IF(AND('Daily Schedule'!$A56&gt;=46,'Daily Schedule'!$A56&lt;=52),'Daily Workforce'!$M17="Y",IFERROR(1*'Daily Workforce'!$P17&gt;=2,FALSE()))))),1,0)</f>
        <v>0</v>
      </c>
      <c r="AC52" s="1" t="n">
        <f aca="false">IF(AND('Daily Workforce'!$N18="Y",'Daily Workforce'!$B18&lt;&gt;"",COUNTIF('Daily Schedule'!$F$5:$F55,'Daily Workforce'!$B18)=0,IF('Daily Schedule'!$A56=45,'Daily Workforce'!$J18="Y",IF(OR('Daily Schedule'!$A56=4,'Daily Schedule'!$A56=8),IF(OR(WEEKDAY('Daily Schedule'!$B$2,2)=1,WEEKDAY('Daily Schedule'!$B$2,2)=4,WEEKDAY('Daily Schedule'!$B$2,2)=5,WEEKDAY('Daily Schedule'!$B$2,2)=7),IFERROR(1*'Daily Workforce'!$K18&gt;=3,FALSE()),IFERROR(1*'Daily Workforce'!$K18&gt;=2,FALSE())),IF(AND('Daily Schedule'!$A56&gt;=46,'Daily Schedule'!$A56&lt;=52),'Daily Workforce'!$M18="Y",IFERROR(1*'Daily Workforce'!$P18&gt;=2,FALSE()))))),1,0)</f>
        <v>0</v>
      </c>
      <c r="AD52" s="1" t="n">
        <f aca="false">IF(AND('Daily Workforce'!$N19="Y",'Daily Workforce'!$B19&lt;&gt;"",COUNTIF('Daily Schedule'!$F$5:$F55,'Daily Workforce'!$B19)=0,IF('Daily Schedule'!$A56=45,'Daily Workforce'!$J19="Y",IF(OR('Daily Schedule'!$A56=4,'Daily Schedule'!$A56=8),IF(OR(WEEKDAY('Daily Schedule'!$B$2,2)=1,WEEKDAY('Daily Schedule'!$B$2,2)=4,WEEKDAY('Daily Schedule'!$B$2,2)=5,WEEKDAY('Daily Schedule'!$B$2,2)=7),IFERROR(1*'Daily Workforce'!$K19&gt;=3,FALSE()),IFERROR(1*'Daily Workforce'!$K19&gt;=2,FALSE())),IF(AND('Daily Schedule'!$A56&gt;=46,'Daily Schedule'!$A56&lt;=52),'Daily Workforce'!$M19="Y",IFERROR(1*'Daily Workforce'!$P19&gt;=2,FALSE()))))),1,0)</f>
        <v>0</v>
      </c>
      <c r="AE52" s="1" t="n">
        <f aca="false">IF(AND('Daily Workforce'!$N20="Y",'Daily Workforce'!$B20&lt;&gt;"",COUNTIF('Daily Schedule'!$F$5:$F55,'Daily Workforce'!$B20)=0,IF('Daily Schedule'!$A56=45,'Daily Workforce'!$J20="Y",IF(OR('Daily Schedule'!$A56=4,'Daily Schedule'!$A56=8),IF(OR(WEEKDAY('Daily Schedule'!$B$2,2)=1,WEEKDAY('Daily Schedule'!$B$2,2)=4,WEEKDAY('Daily Schedule'!$B$2,2)=5,WEEKDAY('Daily Schedule'!$B$2,2)=7),IFERROR(1*'Daily Workforce'!$K20&gt;=3,FALSE()),IFERROR(1*'Daily Workforce'!$K20&gt;=2,FALSE())),IF(AND('Daily Schedule'!$A56&gt;=46,'Daily Schedule'!$A56&lt;=52),'Daily Workforce'!$M20="Y",IFERROR(1*'Daily Workforce'!$P20&gt;=2,FALSE()))))),1,0)</f>
        <v>0</v>
      </c>
      <c r="AF52" s="1" t="n">
        <f aca="false">IF(AND('Daily Workforce'!$N21="Y",'Daily Workforce'!$B21&lt;&gt;"",COUNTIF('Daily Schedule'!$F$5:$F55,'Daily Workforce'!$B21)=0,IF('Daily Schedule'!$A56=45,'Daily Workforce'!$J21="Y",IF(OR('Daily Schedule'!$A56=4,'Daily Schedule'!$A56=8),IF(OR(WEEKDAY('Daily Schedule'!$B$2,2)=1,WEEKDAY('Daily Schedule'!$B$2,2)=4,WEEKDAY('Daily Schedule'!$B$2,2)=5,WEEKDAY('Daily Schedule'!$B$2,2)=7),IFERROR(1*'Daily Workforce'!$K21&gt;=3,FALSE()),IFERROR(1*'Daily Workforce'!$K21&gt;=2,FALSE())),IF(AND('Daily Schedule'!$A56&gt;=46,'Daily Schedule'!$A56&lt;=52),'Daily Workforce'!$M21="Y",IFERROR(1*'Daily Workforce'!$P21&gt;=2,FALSE()))))),1,0)</f>
        <v>0</v>
      </c>
      <c r="AG52" s="1" t="n">
        <f aca="false">IF(AND('Daily Workforce'!$N22="Y",'Daily Workforce'!$B22&lt;&gt;"",COUNTIF('Daily Schedule'!$F$5:$F55,'Daily Workforce'!$B22)=0,IF('Daily Schedule'!$A56=45,'Daily Workforce'!$J22="Y",IF(OR('Daily Schedule'!$A56=4,'Daily Schedule'!$A56=8),IF(OR(WEEKDAY('Daily Schedule'!$B$2,2)=1,WEEKDAY('Daily Schedule'!$B$2,2)=4,WEEKDAY('Daily Schedule'!$B$2,2)=5,WEEKDAY('Daily Schedule'!$B$2,2)=7),IFERROR(1*'Daily Workforce'!$K22&gt;=3,FALSE()),IFERROR(1*'Daily Workforce'!$K22&gt;=2,FALSE())),IF(AND('Daily Schedule'!$A56&gt;=46,'Daily Schedule'!$A56&lt;=52),'Daily Workforce'!$M22="Y",IFERROR(1*'Daily Workforce'!$P22&gt;=2,FALSE()))))),1,0)</f>
        <v>0</v>
      </c>
      <c r="AH52" s="1" t="n">
        <f aca="false">IF(AND('Daily Workforce'!$N23="Y",'Daily Workforce'!$B23&lt;&gt;"",COUNTIF('Daily Schedule'!$F$5:$F55,'Daily Workforce'!$B23)=0,IF('Daily Schedule'!$A56=45,'Daily Workforce'!$J23="Y",IF(OR('Daily Schedule'!$A56=4,'Daily Schedule'!$A56=8),IF(OR(WEEKDAY('Daily Schedule'!$B$2,2)=1,WEEKDAY('Daily Schedule'!$B$2,2)=4,WEEKDAY('Daily Schedule'!$B$2,2)=5,WEEKDAY('Daily Schedule'!$B$2,2)=7),IFERROR(1*'Daily Workforce'!$K23&gt;=3,FALSE()),IFERROR(1*'Daily Workforce'!$K23&gt;=2,FALSE())),IF(AND('Daily Schedule'!$A56&gt;=46,'Daily Schedule'!$A56&lt;=52),'Daily Workforce'!$M23="Y",IFERROR(1*'Daily Workforce'!$P23&gt;=2,FALSE()))))),1,0)</f>
        <v>0</v>
      </c>
      <c r="AI52" s="1" t="n">
        <f aca="false">IF(AND('Daily Workforce'!$N24="Y",'Daily Workforce'!$B24&lt;&gt;"",COUNTIF('Daily Schedule'!$F$5:$F55,'Daily Workforce'!$B24)=0,IF('Daily Schedule'!$A56=45,'Daily Workforce'!$J24="Y",IF(OR('Daily Schedule'!$A56=4,'Daily Schedule'!$A56=8),IF(OR(WEEKDAY('Daily Schedule'!$B$2,2)=1,WEEKDAY('Daily Schedule'!$B$2,2)=4,WEEKDAY('Daily Schedule'!$B$2,2)=5,WEEKDAY('Daily Schedule'!$B$2,2)=7),IFERROR(1*'Daily Workforce'!$K24&gt;=3,FALSE()),IFERROR(1*'Daily Workforce'!$K24&gt;=2,FALSE())),IF(AND('Daily Schedule'!$A56&gt;=46,'Daily Schedule'!$A56&lt;=52),'Daily Workforce'!$M24="Y",IFERROR(1*'Daily Workforce'!$P24&gt;=2,FALSE()))))),1,0)</f>
        <v>0</v>
      </c>
      <c r="AJ52" s="1" t="n">
        <f aca="false">IF(AND('Daily Workforce'!$N25="Y",'Daily Workforce'!$B25&lt;&gt;"",COUNTIF('Daily Schedule'!$F$5:$F55,'Daily Workforce'!$B25)=0,IF('Daily Schedule'!$A56=45,'Daily Workforce'!$J25="Y",IF(OR('Daily Schedule'!$A56=4,'Daily Schedule'!$A56=8),IF(OR(WEEKDAY('Daily Schedule'!$B$2,2)=1,WEEKDAY('Daily Schedule'!$B$2,2)=4,WEEKDAY('Daily Schedule'!$B$2,2)=5,WEEKDAY('Daily Schedule'!$B$2,2)=7),IFERROR(1*'Daily Workforce'!$K25&gt;=3,FALSE()),IFERROR(1*'Daily Workforce'!$K25&gt;=2,FALSE())),IF(AND('Daily Schedule'!$A56&gt;=46,'Daily Schedule'!$A56&lt;=52),'Daily Workforce'!$M25="Y",IFERROR(1*'Daily Workforce'!$P25&gt;=2,FALSE()))))),1,0)</f>
        <v>0</v>
      </c>
      <c r="AK52" s="1" t="n">
        <f aca="false">IF(AND('Daily Workforce'!$N26="Y",'Daily Workforce'!$B26&lt;&gt;"",COUNTIF('Daily Schedule'!$F$5:$F55,'Daily Workforce'!$B26)=0,IF('Daily Schedule'!$A56=45,'Daily Workforce'!$J26="Y",IF(OR('Daily Schedule'!$A56=4,'Daily Schedule'!$A56=8),IF(OR(WEEKDAY('Daily Schedule'!$B$2,2)=1,WEEKDAY('Daily Schedule'!$B$2,2)=4,WEEKDAY('Daily Schedule'!$B$2,2)=5,WEEKDAY('Daily Schedule'!$B$2,2)=7),IFERROR(1*'Daily Workforce'!$K26&gt;=3,FALSE()),IFERROR(1*'Daily Workforce'!$K26&gt;=2,FALSE())),IF(AND('Daily Schedule'!$A56&gt;=46,'Daily Schedule'!$A56&lt;=52),'Daily Workforce'!$M26="Y",IFERROR(1*'Daily Workforce'!$P26&gt;=2,FALSE()))))),1,0)</f>
        <v>0</v>
      </c>
      <c r="AL52" s="1" t="n">
        <f aca="false">IF(AND('Daily Workforce'!$N27="Y",'Daily Workforce'!$B27&lt;&gt;"",COUNTIF('Daily Schedule'!$F$5:$F55,'Daily Workforce'!$B27)=0,IF('Daily Schedule'!$A56=45,'Daily Workforce'!$J27="Y",IF(OR('Daily Schedule'!$A56=4,'Daily Schedule'!$A56=8),IF(OR(WEEKDAY('Daily Schedule'!$B$2,2)=1,WEEKDAY('Daily Schedule'!$B$2,2)=4,WEEKDAY('Daily Schedule'!$B$2,2)=5,WEEKDAY('Daily Schedule'!$B$2,2)=7),IFERROR(1*'Daily Workforce'!$K27&gt;=3,FALSE()),IFERROR(1*'Daily Workforce'!$K27&gt;=2,FALSE())),IF(AND('Daily Schedule'!$A56&gt;=46,'Daily Schedule'!$A56&lt;=52),'Daily Workforce'!$M27="Y",IFERROR(1*'Daily Workforce'!$P27&gt;=2,FALSE()))))),1,0)</f>
        <v>0</v>
      </c>
      <c r="AM52" s="1" t="n">
        <f aca="false">IF(AND('Daily Workforce'!$N28="Y",'Daily Workforce'!$B28&lt;&gt;"",COUNTIF('Daily Schedule'!$F$5:$F55,'Daily Workforce'!$B28)=0,IF('Daily Schedule'!$A56=45,'Daily Workforce'!$J28="Y",IF(OR('Daily Schedule'!$A56=4,'Daily Schedule'!$A56=8),IF(OR(WEEKDAY('Daily Schedule'!$B$2,2)=1,WEEKDAY('Daily Schedule'!$B$2,2)=4,WEEKDAY('Daily Schedule'!$B$2,2)=5,WEEKDAY('Daily Schedule'!$B$2,2)=7),IFERROR(1*'Daily Workforce'!$K28&gt;=3,FALSE()),IFERROR(1*'Daily Workforce'!$K28&gt;=2,FALSE())),IF(AND('Daily Schedule'!$A56&gt;=46,'Daily Schedule'!$A56&lt;=52),'Daily Workforce'!$M28="Y",IFERROR(1*'Daily Workforce'!$P28&gt;=2,FALSE()))))),1,0)</f>
        <v>0</v>
      </c>
      <c r="AN52" s="1" t="n">
        <f aca="false">IF(AND('Daily Workforce'!$N29="Y",'Daily Workforce'!$B29&lt;&gt;"",COUNTIF('Daily Schedule'!$F$5:$F55,'Daily Workforce'!$B29)=0,IF('Daily Schedule'!$A56=45,'Daily Workforce'!$J29="Y",IF(OR('Daily Schedule'!$A56=4,'Daily Schedule'!$A56=8),IF(OR(WEEKDAY('Daily Schedule'!$B$2,2)=1,WEEKDAY('Daily Schedule'!$B$2,2)=4,WEEKDAY('Daily Schedule'!$B$2,2)=5,WEEKDAY('Daily Schedule'!$B$2,2)=7),IFERROR(1*'Daily Workforce'!$K29&gt;=3,FALSE()),IFERROR(1*'Daily Workforce'!$K29&gt;=2,FALSE())),IF(AND('Daily Schedule'!$A56&gt;=46,'Daily Schedule'!$A56&lt;=52),'Daily Workforce'!$M29="Y",IFERROR(1*'Daily Workforce'!$P29&gt;=2,FALSE()))))),1,0)</f>
        <v>0</v>
      </c>
      <c r="AO52" s="1" t="n">
        <f aca="false">IF(AND('Daily Workforce'!$N30="Y",'Daily Workforce'!$B30&lt;&gt;"",COUNTIF('Daily Schedule'!$F$5:$F55,'Daily Workforce'!$B30)=0,IF('Daily Schedule'!$A56=45,'Daily Workforce'!$J30="Y",IF(OR('Daily Schedule'!$A56=4,'Daily Schedule'!$A56=8),IF(OR(WEEKDAY('Daily Schedule'!$B$2,2)=1,WEEKDAY('Daily Schedule'!$B$2,2)=4,WEEKDAY('Daily Schedule'!$B$2,2)=5,WEEKDAY('Daily Schedule'!$B$2,2)=7),IFERROR(1*'Daily Workforce'!$K30&gt;=3,FALSE()),IFERROR(1*'Daily Workforce'!$K30&gt;=2,FALSE())),IF(AND('Daily Schedule'!$A56&gt;=46,'Daily Schedule'!$A56&lt;=52),'Daily Workforce'!$M30="Y",IFERROR(1*'Daily Workforce'!$P30&gt;=2,FALSE()))))),1,0)</f>
        <v>0</v>
      </c>
      <c r="AP52" s="1" t="n">
        <f aca="false">IF(AND('Daily Workforce'!$N31="Y",'Daily Workforce'!$B31&lt;&gt;"",COUNTIF('Daily Schedule'!$F$5:$F55,'Daily Workforce'!$B31)=0,IF('Daily Schedule'!$A56=45,'Daily Workforce'!$J31="Y",IF(OR('Daily Schedule'!$A56=4,'Daily Schedule'!$A56=8),IF(OR(WEEKDAY('Daily Schedule'!$B$2,2)=1,WEEKDAY('Daily Schedule'!$B$2,2)=4,WEEKDAY('Daily Schedule'!$B$2,2)=5,WEEKDAY('Daily Schedule'!$B$2,2)=7),IFERROR(1*'Daily Workforce'!$K31&gt;=3,FALSE()),IFERROR(1*'Daily Workforce'!$K31&gt;=2,FALSE())),IF(AND('Daily Schedule'!$A56&gt;=46,'Daily Schedule'!$A56&lt;=52),'Daily Workforce'!$M31="Y",IFERROR(1*'Daily Workforce'!$P31&gt;=2,FALSE()))))),1,0)</f>
        <v>0</v>
      </c>
      <c r="AQ52" s="1" t="n">
        <f aca="false">IF(AND('Daily Workforce'!$N32="Y",'Daily Workforce'!$B32&lt;&gt;"",COUNTIF('Daily Schedule'!$F$5:$F55,'Daily Workforce'!$B32)=0,IF('Daily Schedule'!$A56=45,'Daily Workforce'!$J32="Y",IF(OR('Daily Schedule'!$A56=4,'Daily Schedule'!$A56=8),IF(OR(WEEKDAY('Daily Schedule'!$B$2,2)=1,WEEKDAY('Daily Schedule'!$B$2,2)=4,WEEKDAY('Daily Schedule'!$B$2,2)=5,WEEKDAY('Daily Schedule'!$B$2,2)=7),IFERROR(1*'Daily Workforce'!$K32&gt;=3,FALSE()),IFERROR(1*'Daily Workforce'!$K32&gt;=2,FALSE())),IF(AND('Daily Schedule'!$A56&gt;=46,'Daily Schedule'!$A56&lt;=52),'Daily Workforce'!$M32="Y",IFERROR(1*'Daily Workforce'!$P32&gt;=2,FALSE()))))),1,0)</f>
        <v>0</v>
      </c>
      <c r="AR52" s="1" t="n">
        <f aca="false">IF(AND('Daily Workforce'!$N33="Y",'Daily Workforce'!$B33&lt;&gt;"",COUNTIF('Daily Schedule'!$F$5:$F55,'Daily Workforce'!$B33)=0,IF('Daily Schedule'!$A56=45,'Daily Workforce'!$J33="Y",IF(OR('Daily Schedule'!$A56=4,'Daily Schedule'!$A56=8),IF(OR(WEEKDAY('Daily Schedule'!$B$2,2)=1,WEEKDAY('Daily Schedule'!$B$2,2)=4,WEEKDAY('Daily Schedule'!$B$2,2)=5,WEEKDAY('Daily Schedule'!$B$2,2)=7),IFERROR(1*'Daily Workforce'!$K33&gt;=3,FALSE()),IFERROR(1*'Daily Workforce'!$K33&gt;=2,FALSE())),IF(AND('Daily Schedule'!$A56&gt;=46,'Daily Schedule'!$A56&lt;=52),'Daily Workforce'!$M33="Y",IFERROR(1*'Daily Workforce'!$P33&gt;=2,FALSE()))))),1,0)</f>
        <v>0</v>
      </c>
      <c r="AS52" s="1" t="n">
        <f aca="false">IF(AND('Daily Workforce'!$N34="Y",'Daily Workforce'!$B34&lt;&gt;"",COUNTIF('Daily Schedule'!$F$5:$F55,'Daily Workforce'!$B34)=0,IF('Daily Schedule'!$A56=45,'Daily Workforce'!$J34="Y",IF(OR('Daily Schedule'!$A56=4,'Daily Schedule'!$A56=8),IF(OR(WEEKDAY('Daily Schedule'!$B$2,2)=1,WEEKDAY('Daily Schedule'!$B$2,2)=4,WEEKDAY('Daily Schedule'!$B$2,2)=5,WEEKDAY('Daily Schedule'!$B$2,2)=7),IFERROR(1*'Daily Workforce'!$K34&gt;=3,FALSE()),IFERROR(1*'Daily Workforce'!$K34&gt;=2,FALSE())),IF(AND('Daily Schedule'!$A56&gt;=46,'Daily Schedule'!$A56&lt;=52),'Daily Workforce'!$M34="Y",IFERROR(1*'Daily Workforce'!$P34&gt;=2,FALSE()))))),1,0)</f>
        <v>0</v>
      </c>
      <c r="AT52" s="1" t="n">
        <f aca="false">IF(AND('Daily Workforce'!$N35="Y",'Daily Workforce'!$B35&lt;&gt;"",COUNTIF('Daily Schedule'!$F$5:$F55,'Daily Workforce'!$B35)=0,IF('Daily Schedule'!$A56=45,'Daily Workforce'!$J35="Y",IF(OR('Daily Schedule'!$A56=4,'Daily Schedule'!$A56=8),IF(OR(WEEKDAY('Daily Schedule'!$B$2,2)=1,WEEKDAY('Daily Schedule'!$B$2,2)=4,WEEKDAY('Daily Schedule'!$B$2,2)=5,WEEKDAY('Daily Schedule'!$B$2,2)=7),IFERROR(1*'Daily Workforce'!$K35&gt;=3,FALSE()),IFERROR(1*'Daily Workforce'!$K35&gt;=2,FALSE())),IF(AND('Daily Schedule'!$A56&gt;=46,'Daily Schedule'!$A56&lt;=52),'Daily Workforce'!$M35="Y",IFERROR(1*'Daily Workforce'!$P35&gt;=2,FALSE()))))),1,0)</f>
        <v>0</v>
      </c>
      <c r="AU52" s="1" t="n">
        <f aca="false">IF(AND('Daily Workforce'!$N36="Y",'Daily Workforce'!$B36&lt;&gt;"",COUNTIF('Daily Schedule'!$F$5:$F55,'Daily Workforce'!$B36)=0,IF('Daily Schedule'!$A56=45,'Daily Workforce'!$J36="Y",IF(OR('Daily Schedule'!$A56=4,'Daily Schedule'!$A56=8),IF(OR(WEEKDAY('Daily Schedule'!$B$2,2)=1,WEEKDAY('Daily Schedule'!$B$2,2)=4,WEEKDAY('Daily Schedule'!$B$2,2)=5,WEEKDAY('Daily Schedule'!$B$2,2)=7),IFERROR(1*'Daily Workforce'!$K36&gt;=3,FALSE()),IFERROR(1*'Daily Workforce'!$K36&gt;=2,FALSE())),IF(AND('Daily Schedule'!$A56&gt;=46,'Daily Schedule'!$A56&lt;=52),'Daily Workforce'!$M36="Y",IFERROR(1*'Daily Workforce'!$P36&gt;=2,FALSE()))))),1,0)</f>
        <v>0</v>
      </c>
      <c r="AV52" s="1" t="n">
        <f aca="false">IF(AND('Daily Workforce'!$N37="Y",'Daily Workforce'!$B37&lt;&gt;"",COUNTIF('Daily Schedule'!$F$5:$F55,'Daily Workforce'!$B37)=0,IF('Daily Schedule'!$A56=45,'Daily Workforce'!$J37="Y",IF(OR('Daily Schedule'!$A56=4,'Daily Schedule'!$A56=8),IF(OR(WEEKDAY('Daily Schedule'!$B$2,2)=1,WEEKDAY('Daily Schedule'!$B$2,2)=4,WEEKDAY('Daily Schedule'!$B$2,2)=5,WEEKDAY('Daily Schedule'!$B$2,2)=7),IFERROR(1*'Daily Workforce'!$K37&gt;=3,FALSE()),IFERROR(1*'Daily Workforce'!$K37&gt;=2,FALSE())),IF(AND('Daily Schedule'!$A56&gt;=46,'Daily Schedule'!$A56&lt;=52),'Daily Workforce'!$M37="Y",IFERROR(1*'Daily Workforce'!$P37&gt;=2,FALSE()))))),1,0)</f>
        <v>0</v>
      </c>
      <c r="AW52" s="1" t="n">
        <f aca="false">IF(AND('Daily Workforce'!$N38="Y",'Daily Workforce'!$B38&lt;&gt;"",COUNTIF('Daily Schedule'!$F$5:$F55,'Daily Workforce'!$B38)=0,IF('Daily Schedule'!$A56=45,'Daily Workforce'!$J38="Y",IF(OR('Daily Schedule'!$A56=4,'Daily Schedule'!$A56=8),IF(OR(WEEKDAY('Daily Schedule'!$B$2,2)=1,WEEKDAY('Daily Schedule'!$B$2,2)=4,WEEKDAY('Daily Schedule'!$B$2,2)=5,WEEKDAY('Daily Schedule'!$B$2,2)=7),IFERROR(1*'Daily Workforce'!$K38&gt;=3,FALSE()),IFERROR(1*'Daily Workforce'!$K38&gt;=2,FALSE())),IF(AND('Daily Schedule'!$A56&gt;=46,'Daily Schedule'!$A56&lt;=52),'Daily Workforce'!$M38="Y",IFERROR(1*'Daily Workforce'!$P38&gt;=2,FALSE()))))),1,0)</f>
        <v>0</v>
      </c>
      <c r="AX52" s="1" t="n">
        <f aca="false">IF(AND('Daily Workforce'!$N39="Y",'Daily Workforce'!$B39&lt;&gt;"",COUNTIF('Daily Schedule'!$F$5:$F55,'Daily Workforce'!$B39)=0,IF('Daily Schedule'!$A56=45,'Daily Workforce'!$J39="Y",IF(OR('Daily Schedule'!$A56=4,'Daily Schedule'!$A56=8),IF(OR(WEEKDAY('Daily Schedule'!$B$2,2)=1,WEEKDAY('Daily Schedule'!$B$2,2)=4,WEEKDAY('Daily Schedule'!$B$2,2)=5,WEEKDAY('Daily Schedule'!$B$2,2)=7),IFERROR(1*'Daily Workforce'!$K39&gt;=3,FALSE()),IFERROR(1*'Daily Workforce'!$K39&gt;=2,FALSE())),IF(AND('Daily Schedule'!$A56&gt;=46,'Daily Schedule'!$A56&lt;=52),'Daily Workforce'!$M39="Y",IFERROR(1*'Daily Workforce'!$P39&gt;=2,FALSE()))))),1,0)</f>
        <v>0</v>
      </c>
      <c r="AY52" s="1" t="n">
        <f aca="false">IF(AND('Daily Workforce'!$N40="Y",'Daily Workforce'!$B40&lt;&gt;"",COUNTIF('Daily Schedule'!$F$5:$F55,'Daily Workforce'!$B40)=0,IF('Daily Schedule'!$A56=45,'Daily Workforce'!$J40="Y",IF(OR('Daily Schedule'!$A56=4,'Daily Schedule'!$A56=8),IF(OR(WEEKDAY('Daily Schedule'!$B$2,2)=1,WEEKDAY('Daily Schedule'!$B$2,2)=4,WEEKDAY('Daily Schedule'!$B$2,2)=5,WEEKDAY('Daily Schedule'!$B$2,2)=7),IFERROR(1*'Daily Workforce'!$K40&gt;=3,FALSE()),IFERROR(1*'Daily Workforce'!$K40&gt;=2,FALSE())),IF(AND('Daily Schedule'!$A56&gt;=46,'Daily Schedule'!$A56&lt;=52),'Daily Workforce'!$M40="Y",IFERROR(1*'Daily Workforce'!$P40&gt;=2,FALSE()))))),1,0)</f>
        <v>0</v>
      </c>
      <c r="AZ52" s="1" t="n">
        <f aca="false">IF(AND('Daily Workforce'!$N41="Y",'Daily Workforce'!$B41&lt;&gt;"",COUNTIF('Daily Schedule'!$F$5:$F55,'Daily Workforce'!$B41)=0,IF('Daily Schedule'!$A56=45,'Daily Workforce'!$J41="Y",IF(OR('Daily Schedule'!$A56=4,'Daily Schedule'!$A56=8),IF(OR(WEEKDAY('Daily Schedule'!$B$2,2)=1,WEEKDAY('Daily Schedule'!$B$2,2)=4,WEEKDAY('Daily Schedule'!$B$2,2)=5,WEEKDAY('Daily Schedule'!$B$2,2)=7),IFERROR(1*'Daily Workforce'!$K41&gt;=3,FALSE()),IFERROR(1*'Daily Workforce'!$K41&gt;=2,FALSE())),IF(AND('Daily Schedule'!$A56&gt;=46,'Daily Schedule'!$A56&lt;=52),'Daily Workforce'!$M41="Y",IFERROR(1*'Daily Workforce'!$P41&gt;=2,FALSE()))))),1,0)</f>
        <v>0</v>
      </c>
      <c r="BA52" s="1" t="n">
        <f aca="false">IF(AND('Daily Workforce'!$N42="Y",'Daily Workforce'!$B42&lt;&gt;"",COUNTIF('Daily Schedule'!$F$5:$F55,'Daily Workforce'!$B42)=0,IF('Daily Schedule'!$A56=45,'Daily Workforce'!$J42="Y",IF(OR('Daily Schedule'!$A56=4,'Daily Schedule'!$A56=8),IF(OR(WEEKDAY('Daily Schedule'!$B$2,2)=1,WEEKDAY('Daily Schedule'!$B$2,2)=4,WEEKDAY('Daily Schedule'!$B$2,2)=5,WEEKDAY('Daily Schedule'!$B$2,2)=7),IFERROR(1*'Daily Workforce'!$K42&gt;=3,FALSE()),IFERROR(1*'Daily Workforce'!$K42&gt;=2,FALSE())),IF(AND('Daily Schedule'!$A56&gt;=46,'Daily Schedule'!$A56&lt;=52),'Daily Workforce'!$M42="Y",IFERROR(1*'Daily Workforce'!$P42&gt;=2,FALSE()))))),1,0)</f>
        <v>0</v>
      </c>
      <c r="BB52" s="1" t="n">
        <f aca="false">IF(AND('Daily Workforce'!$N43="Y",'Daily Workforce'!$B43&lt;&gt;"",COUNTIF('Daily Schedule'!$F$5:$F55,'Daily Workforce'!$B43)=0,IF('Daily Schedule'!$A56=45,'Daily Workforce'!$J43="Y",IF(OR('Daily Schedule'!$A56=4,'Daily Schedule'!$A56=8),IF(OR(WEEKDAY('Daily Schedule'!$B$2,2)=1,WEEKDAY('Daily Schedule'!$B$2,2)=4,WEEKDAY('Daily Schedule'!$B$2,2)=5,WEEKDAY('Daily Schedule'!$B$2,2)=7),IFERROR(1*'Daily Workforce'!$K43&gt;=3,FALSE()),IFERROR(1*'Daily Workforce'!$K43&gt;=2,FALSE())),IF(AND('Daily Schedule'!$A56&gt;=46,'Daily Schedule'!$A56&lt;=52),'Daily Workforce'!$M43="Y",IFERROR(1*'Daily Workforce'!$P43&gt;=2,FALSE()))))),1,0)</f>
        <v>0</v>
      </c>
      <c r="BC52" s="1" t="n">
        <f aca="false">IF(AND('Daily Workforce'!$N44="Y",'Daily Workforce'!$B44&lt;&gt;"",COUNTIF('Daily Schedule'!$F$5:$F55,'Daily Workforce'!$B44)=0,IF('Daily Schedule'!$A56=45,'Daily Workforce'!$J44="Y",IF(OR('Daily Schedule'!$A56=4,'Daily Schedule'!$A56=8),IF(OR(WEEKDAY('Daily Schedule'!$B$2,2)=1,WEEKDAY('Daily Schedule'!$B$2,2)=4,WEEKDAY('Daily Schedule'!$B$2,2)=5,WEEKDAY('Daily Schedule'!$B$2,2)=7),IFERROR(1*'Daily Workforce'!$K44&gt;=3,FALSE()),IFERROR(1*'Daily Workforce'!$K44&gt;=2,FALSE())),IF(AND('Daily Schedule'!$A56&gt;=46,'Daily Schedule'!$A56&lt;=52),'Daily Workforce'!$M44="Y",IFERROR(1*'Daily Workforce'!$P44&gt;=2,FALSE()))))),1,0)</f>
        <v>0</v>
      </c>
      <c r="BD52" s="1" t="n">
        <f aca="false">IF(AND('Daily Workforce'!$N45="Y",'Daily Workforce'!$B45&lt;&gt;"",COUNTIF('Daily Schedule'!$F$5:$F55,'Daily Workforce'!$B45)=0,IF('Daily Schedule'!$A56=45,'Daily Workforce'!$J45="Y",IF(OR('Daily Schedule'!$A56=4,'Daily Schedule'!$A56=8),IF(OR(WEEKDAY('Daily Schedule'!$B$2,2)=1,WEEKDAY('Daily Schedule'!$B$2,2)=4,WEEKDAY('Daily Schedule'!$B$2,2)=5,WEEKDAY('Daily Schedule'!$B$2,2)=7),IFERROR(1*'Daily Workforce'!$K45&gt;=3,FALSE()),IFERROR(1*'Daily Workforce'!$K45&gt;=2,FALSE())),IF(AND('Daily Schedule'!$A56&gt;=46,'Daily Schedule'!$A56&lt;=52),'Daily Workforce'!$M45="Y",IFERROR(1*'Daily Workforce'!$P45&gt;=2,FALSE()))))),1,0)</f>
        <v>0</v>
      </c>
      <c r="BE52" s="1" t="n">
        <f aca="false">IF(AND('Daily Workforce'!$N46="Y",'Daily Workforce'!$B46&lt;&gt;"",COUNTIF('Daily Schedule'!$F$5:$F55,'Daily Workforce'!$B46)=0,IF('Daily Schedule'!$A56=45,'Daily Workforce'!$J46="Y",IF(OR('Daily Schedule'!$A56=4,'Daily Schedule'!$A56=8),IF(OR(WEEKDAY('Daily Schedule'!$B$2,2)=1,WEEKDAY('Daily Schedule'!$B$2,2)=4,WEEKDAY('Daily Schedule'!$B$2,2)=5,WEEKDAY('Daily Schedule'!$B$2,2)=7),IFERROR(1*'Daily Workforce'!$K46&gt;=3,FALSE()),IFERROR(1*'Daily Workforce'!$K46&gt;=2,FALSE())),IF(AND('Daily Schedule'!$A56&gt;=46,'Daily Schedule'!$A56&lt;=52),'Daily Workforce'!$M46="Y",IFERROR(1*'Daily Workforce'!$P46&gt;=2,FALSE()))))),1,0)</f>
        <v>0</v>
      </c>
      <c r="BF52" s="1" t="n">
        <f aca="false">IF(AND('Daily Workforce'!$N47="Y",'Daily Workforce'!$B47&lt;&gt;"",COUNTIF('Daily Schedule'!$F$5:$F55,'Daily Workforce'!$B47)=0,IF('Daily Schedule'!$A56=45,'Daily Workforce'!$J47="Y",IF(OR('Daily Schedule'!$A56=4,'Daily Schedule'!$A56=8),IF(OR(WEEKDAY('Daily Schedule'!$B$2,2)=1,WEEKDAY('Daily Schedule'!$B$2,2)=4,WEEKDAY('Daily Schedule'!$B$2,2)=5,WEEKDAY('Daily Schedule'!$B$2,2)=7),IFERROR(1*'Daily Workforce'!$K47&gt;=3,FALSE()),IFERROR(1*'Daily Workforce'!$K47&gt;=2,FALSE())),IF(AND('Daily Schedule'!$A56&gt;=46,'Daily Schedule'!$A56&lt;=52),'Daily Workforce'!$M47="Y",IFERROR(1*'Daily Workforce'!$P47&gt;=2,FALSE()))))),1,0)</f>
        <v>0</v>
      </c>
      <c r="BG52" s="1" t="n">
        <f aca="false">IF(AND('Daily Workforce'!$N48="Y",'Daily Workforce'!$B48&lt;&gt;"",COUNTIF('Daily Schedule'!$F$5:$F55,'Daily Workforce'!$B48)=0,IF('Daily Schedule'!$A56=45,'Daily Workforce'!$J48="Y",IF(OR('Daily Schedule'!$A56=4,'Daily Schedule'!$A56=8),IF(OR(WEEKDAY('Daily Schedule'!$B$2,2)=1,WEEKDAY('Daily Schedule'!$B$2,2)=4,WEEKDAY('Daily Schedule'!$B$2,2)=5,WEEKDAY('Daily Schedule'!$B$2,2)=7),IFERROR(1*'Daily Workforce'!$K48&gt;=3,FALSE()),IFERROR(1*'Daily Workforce'!$K48&gt;=2,FALSE())),IF(AND('Daily Schedule'!$A56&gt;=46,'Daily Schedule'!$A56&lt;=52),'Daily Workforce'!$M48="Y",IFERROR(1*'Daily Workforce'!$P48&gt;=2,FALSE()))))),1,0)</f>
        <v>0</v>
      </c>
      <c r="BH52" s="1" t="n">
        <f aca="false">IF(AND('Daily Workforce'!$N49="Y",'Daily Workforce'!$B49&lt;&gt;"",COUNTIF('Daily Schedule'!$F$5:$F55,'Daily Workforce'!$B49)=0,IF('Daily Schedule'!$A56=45,'Daily Workforce'!$J49="Y",IF(OR('Daily Schedule'!$A56=4,'Daily Schedule'!$A56=8),IF(OR(WEEKDAY('Daily Schedule'!$B$2,2)=1,WEEKDAY('Daily Schedule'!$B$2,2)=4,WEEKDAY('Daily Schedule'!$B$2,2)=5,WEEKDAY('Daily Schedule'!$B$2,2)=7),IFERROR(1*'Daily Workforce'!$K49&gt;=3,FALSE()),IFERROR(1*'Daily Workforce'!$K49&gt;=2,FALSE())),IF(AND('Daily Schedule'!$A56&gt;=46,'Daily Schedule'!$A56&lt;=52),'Daily Workforce'!$M49="Y",IFERROR(1*'Daily Workforce'!$P49&gt;=2,FALSE()))))),1,0)</f>
        <v>0</v>
      </c>
      <c r="BI52" s="1" t="n">
        <f aca="false">IF(AND('Daily Workforce'!$N50="Y",'Daily Workforce'!$B50&lt;&gt;"",COUNTIF('Daily Schedule'!$F$5:$F55,'Daily Workforce'!$B50)=0,IF('Daily Schedule'!$A56=45,'Daily Workforce'!$J50="Y",IF(OR('Daily Schedule'!$A56=4,'Daily Schedule'!$A56=8),IF(OR(WEEKDAY('Daily Schedule'!$B$2,2)=1,WEEKDAY('Daily Schedule'!$B$2,2)=4,WEEKDAY('Daily Schedule'!$B$2,2)=5,WEEKDAY('Daily Schedule'!$B$2,2)=7),IFERROR(1*'Daily Workforce'!$K50&gt;=3,FALSE()),IFERROR(1*'Daily Workforce'!$K50&gt;=2,FALSE())),IF(AND('Daily Schedule'!$A56&gt;=46,'Daily Schedule'!$A56&lt;=52),'Daily Workforce'!$M50="Y",IFERROR(1*'Daily Workforce'!$P50&gt;=2,FALSE()))))),1,0)</f>
        <v>0</v>
      </c>
      <c r="BJ52" s="1" t="n">
        <f aca="false">IF(AND('Daily Workforce'!$N51="Y",'Daily Workforce'!$B51&lt;&gt;"",COUNTIF('Daily Schedule'!$F$5:$F55,'Daily Workforce'!$B51)=0,IF('Daily Schedule'!$A56=45,'Daily Workforce'!$J51="Y",IF(OR('Daily Schedule'!$A56=4,'Daily Schedule'!$A56=8),IF(OR(WEEKDAY('Daily Schedule'!$B$2,2)=1,WEEKDAY('Daily Schedule'!$B$2,2)=4,WEEKDAY('Daily Schedule'!$B$2,2)=5,WEEKDAY('Daily Schedule'!$B$2,2)=7),IFERROR(1*'Daily Workforce'!$K51&gt;=3,FALSE()),IFERROR(1*'Daily Workforce'!$K51&gt;=2,FALSE())),IF(AND('Daily Schedule'!$A56&gt;=46,'Daily Schedule'!$A56&lt;=52),'Daily Workforce'!$M51="Y",IFERROR(1*'Daily Workforce'!$P51&gt;=2,FALSE()))))),1,0)</f>
        <v>0</v>
      </c>
      <c r="BK52" s="1" t="n">
        <f aca="false">IF(AND('Daily Workforce'!$N52="Y",'Daily Workforce'!$B52&lt;&gt;"",COUNTIF('Daily Schedule'!$F$5:$F55,'Daily Workforce'!$B52)=0,IF('Daily Schedule'!$A56=45,'Daily Workforce'!$J52="Y",IF(OR('Daily Schedule'!$A56=4,'Daily Schedule'!$A56=8),IF(OR(WEEKDAY('Daily Schedule'!$B$2,2)=1,WEEKDAY('Daily Schedule'!$B$2,2)=4,WEEKDAY('Daily Schedule'!$B$2,2)=5,WEEKDAY('Daily Schedule'!$B$2,2)=7),IFERROR(1*'Daily Workforce'!$K52&gt;=3,FALSE()),IFERROR(1*'Daily Workforce'!$K52&gt;=2,FALSE())),IF(AND('Daily Schedule'!$A56&gt;=46,'Daily Schedule'!$A56&lt;=52),'Daily Workforce'!$M52="Y",IFERROR(1*'Daily Workforce'!$P52&gt;=2,FALSE()))))),1,0)</f>
        <v>0</v>
      </c>
      <c r="BL52" s="1" t="n">
        <f aca="false">IF(AND('Daily Workforce'!$N53="Y",'Daily Workforce'!$B53&lt;&gt;"",COUNTIF('Daily Schedule'!$F$5:$F55,'Daily Workforce'!$B53)=0,IF('Daily Schedule'!$A56=45,'Daily Workforce'!$J53="Y",IF(OR('Daily Schedule'!$A56=4,'Daily Schedule'!$A56=8),IF(OR(WEEKDAY('Daily Schedule'!$B$2,2)=1,WEEKDAY('Daily Schedule'!$B$2,2)=4,WEEKDAY('Daily Schedule'!$B$2,2)=5,WEEKDAY('Daily Schedule'!$B$2,2)=7),IFERROR(1*'Daily Workforce'!$K53&gt;=3,FALSE()),IFERROR(1*'Daily Workforce'!$K53&gt;=2,FALSE())),IF(AND('Daily Schedule'!$A56&gt;=46,'Daily Schedule'!$A56&lt;=52),'Daily Workforce'!$M53="Y",IFERROR(1*'Daily Workforce'!$P53&gt;=2,FALSE()))))),1,0)</f>
        <v>0</v>
      </c>
      <c r="BM52" s="1" t="n">
        <f aca="false">IF(AND('Daily Workforce'!$N54="Y",'Daily Workforce'!$B54&lt;&gt;"",COUNTIF('Daily Schedule'!$F$5:$F55,'Daily Workforce'!$B54)=0,IF('Daily Schedule'!$A56=45,'Daily Workforce'!$J54="Y",IF(OR('Daily Schedule'!$A56=4,'Daily Schedule'!$A56=8),IF(OR(WEEKDAY('Daily Schedule'!$B$2,2)=1,WEEKDAY('Daily Schedule'!$B$2,2)=4,WEEKDAY('Daily Schedule'!$B$2,2)=5,WEEKDAY('Daily Schedule'!$B$2,2)=7),IFERROR(1*'Daily Workforce'!$K54&gt;=3,FALSE()),IFERROR(1*'Daily Workforce'!$K54&gt;=2,FALSE())),IF(AND('Daily Schedule'!$A56&gt;=46,'Daily Schedule'!$A56&lt;=52),'Daily Workforce'!$M54="Y",IFERROR(1*'Daily Workforce'!$P54&gt;=2,FALSE()))))),1,0)</f>
        <v>0</v>
      </c>
      <c r="BN52" s="1" t="n">
        <f aca="false">IF(AND('Daily Workforce'!$N55="Y",'Daily Workforce'!$B55&lt;&gt;"",COUNTIF('Daily Schedule'!$F$5:$F55,'Daily Workforce'!$B55)=0,IF('Daily Schedule'!$A56=45,'Daily Workforce'!$J55="Y",IF(OR('Daily Schedule'!$A56=4,'Daily Schedule'!$A56=8),IF(OR(WEEKDAY('Daily Schedule'!$B$2,2)=1,WEEKDAY('Daily Schedule'!$B$2,2)=4,WEEKDAY('Daily Schedule'!$B$2,2)=5,WEEKDAY('Daily Schedule'!$B$2,2)=7),IFERROR(1*'Daily Workforce'!$K55&gt;=3,FALSE()),IFERROR(1*'Daily Workforce'!$K55&gt;=2,FALSE())),IF(AND('Daily Schedule'!$A56&gt;=46,'Daily Schedule'!$A56&lt;=52),'Daily Workforce'!$M55="Y",IFERROR(1*'Daily Workforce'!$P55&gt;=2,FALSE()))))),1,0)</f>
        <v>0</v>
      </c>
      <c r="BO52" s="1" t="n">
        <f aca="false">IF(AND('Daily Workforce'!$N56="Y",'Daily Workforce'!$B56&lt;&gt;"",COUNTIF('Daily Schedule'!$F$5:$F55,'Daily Workforce'!$B56)=0,IF('Daily Schedule'!$A56=45,'Daily Workforce'!$J56="Y",IF(OR('Daily Schedule'!$A56=4,'Daily Schedule'!$A56=8),IF(OR(WEEKDAY('Daily Schedule'!$B$2,2)=1,WEEKDAY('Daily Schedule'!$B$2,2)=4,WEEKDAY('Daily Schedule'!$B$2,2)=5,WEEKDAY('Daily Schedule'!$B$2,2)=7),IFERROR(1*'Daily Workforce'!$K56&gt;=3,FALSE()),IFERROR(1*'Daily Workforce'!$K56&gt;=2,FALSE())),IF(AND('Daily Schedule'!$A56&gt;=46,'Daily Schedule'!$A56&lt;=52),'Daily Workforce'!$M56="Y",IFERROR(1*'Daily Workforce'!$P56&gt;=2,FALSE()))))),1,0)</f>
        <v>0</v>
      </c>
      <c r="BP52" s="1" t="n">
        <f aca="false">IF(AND('Daily Workforce'!$N57="Y",'Daily Workforce'!$B57&lt;&gt;"",COUNTIF('Daily Schedule'!$F$5:$F55,'Daily Workforce'!$B57)=0,IF('Daily Schedule'!$A56=45,'Daily Workforce'!$J57="Y",IF(OR('Daily Schedule'!$A56=4,'Daily Schedule'!$A56=8),IF(OR(WEEKDAY('Daily Schedule'!$B$2,2)=1,WEEKDAY('Daily Schedule'!$B$2,2)=4,WEEKDAY('Daily Schedule'!$B$2,2)=5,WEEKDAY('Daily Schedule'!$B$2,2)=7),IFERROR(1*'Daily Workforce'!$K57&gt;=3,FALSE()),IFERROR(1*'Daily Workforce'!$K57&gt;=2,FALSE())),IF(AND('Daily Schedule'!$A56&gt;=46,'Daily Schedule'!$A56&lt;=52),'Daily Workforce'!$M57="Y",IFERROR(1*'Daily Workforce'!$P57&gt;=2,FALSE()))))),1,0)</f>
        <v>0</v>
      </c>
      <c r="BQ52" s="1" t="n">
        <f aca="false">IF(AND('Daily Workforce'!$N58="Y",'Daily Workforce'!$B58&lt;&gt;"",COUNTIF('Daily Schedule'!$F$5:$F55,'Daily Workforce'!$B58)=0,IF('Daily Schedule'!$A56=45,'Daily Workforce'!$J58="Y",IF(OR('Daily Schedule'!$A56=4,'Daily Schedule'!$A56=8),IF(OR(WEEKDAY('Daily Schedule'!$B$2,2)=1,WEEKDAY('Daily Schedule'!$B$2,2)=4,WEEKDAY('Daily Schedule'!$B$2,2)=5,WEEKDAY('Daily Schedule'!$B$2,2)=7),IFERROR(1*'Daily Workforce'!$K58&gt;=3,FALSE()),IFERROR(1*'Daily Workforce'!$K58&gt;=2,FALSE())),IF(AND('Daily Schedule'!$A56&gt;=46,'Daily Schedule'!$A56&lt;=52),'Daily Workforce'!$M58="Y",IFERROR(1*'Daily Workforce'!$P58&gt;=2,FALSE()))))),1,0)</f>
        <v>1</v>
      </c>
      <c r="BR52" s="1" t="n">
        <f aca="false">IF(AND('Daily Workforce'!$N59="Y",'Daily Workforce'!$B59&lt;&gt;"",COUNTIF('Daily Schedule'!$F$5:$F55,'Daily Workforce'!$B59)=0,IF('Daily Schedule'!$A56=45,'Daily Workforce'!$J59="Y",IF(OR('Daily Schedule'!$A56=4,'Daily Schedule'!$A56=8),IF(OR(WEEKDAY('Daily Schedule'!$B$2,2)=1,WEEKDAY('Daily Schedule'!$B$2,2)=4,WEEKDAY('Daily Schedule'!$B$2,2)=5,WEEKDAY('Daily Schedule'!$B$2,2)=7),IFERROR(1*'Daily Workforce'!$K59&gt;=3,FALSE()),IFERROR(1*'Daily Workforce'!$K59&gt;=2,FALSE())),IF(AND('Daily Schedule'!$A56&gt;=46,'Daily Schedule'!$A56&lt;=52),'Daily Workforce'!$M59="Y",IFERROR(1*'Daily Workforce'!$P59&gt;=2,FALSE()))))),1,0)</f>
        <v>1</v>
      </c>
      <c r="BS52" s="1" t="n">
        <f aca="false">IF(AND('Daily Workforce'!$N60="Y",'Daily Workforce'!$B60&lt;&gt;"",COUNTIF('Daily Schedule'!$F$5:$F55,'Daily Workforce'!$B60)=0,IF('Daily Schedule'!$A56=45,'Daily Workforce'!$J60="Y",IF(OR('Daily Schedule'!$A56=4,'Daily Schedule'!$A56=8),IF(OR(WEEKDAY('Daily Schedule'!$B$2,2)=1,WEEKDAY('Daily Schedule'!$B$2,2)=4,WEEKDAY('Daily Schedule'!$B$2,2)=5,WEEKDAY('Daily Schedule'!$B$2,2)=7),IFERROR(1*'Daily Workforce'!$K60&gt;=3,FALSE()),IFERROR(1*'Daily Workforce'!$K60&gt;=2,FALSE())),IF(AND('Daily Schedule'!$A56&gt;=46,'Daily Schedule'!$A56&lt;=52),'Daily Workforce'!$M60="Y",IFERROR(1*'Daily Workforce'!$P60&gt;=2,FALSE()))))),1,0)</f>
        <v>1</v>
      </c>
      <c r="BT52" s="1" t="n">
        <f aca="false">IF(AND('Daily Workforce'!$N61="Y",'Daily Workforce'!$B61&lt;&gt;"",COUNTIF('Daily Schedule'!$F$5:$F55,'Daily Workforce'!$B61)=0,IF('Daily Schedule'!$A56=45,'Daily Workforce'!$J61="Y",IF(OR('Daily Schedule'!$A56=4,'Daily Schedule'!$A56=8),IF(OR(WEEKDAY('Daily Schedule'!$B$2,2)=1,WEEKDAY('Daily Schedule'!$B$2,2)=4,WEEKDAY('Daily Schedule'!$B$2,2)=5,WEEKDAY('Daily Schedule'!$B$2,2)=7),IFERROR(1*'Daily Workforce'!$K61&gt;=3,FALSE()),IFERROR(1*'Daily Workforce'!$K61&gt;=2,FALSE())),IF(AND('Daily Schedule'!$A56&gt;=46,'Daily Schedule'!$A56&lt;=52),'Daily Workforce'!$M61="Y",IFERROR(1*'Daily Workforce'!$P61&gt;=2,FALSE()))))),1,0)</f>
        <v>0</v>
      </c>
      <c r="BU52" s="1" t="n">
        <f aca="false">IF(AND('Daily Workforce'!$N62="Y",'Daily Workforce'!$B62&lt;&gt;"",COUNTIF('Daily Schedule'!$F$5:$F55,'Daily Workforce'!$B62)=0,IF('Daily Schedule'!$A56=45,'Daily Workforce'!$J62="Y",IF(OR('Daily Schedule'!$A56=4,'Daily Schedule'!$A56=8),IF(OR(WEEKDAY('Daily Schedule'!$B$2,2)=1,WEEKDAY('Daily Schedule'!$B$2,2)=4,WEEKDAY('Daily Schedule'!$B$2,2)=5,WEEKDAY('Daily Schedule'!$B$2,2)=7),IFERROR(1*'Daily Workforce'!$K62&gt;=3,FALSE()),IFERROR(1*'Daily Workforce'!$K62&gt;=2,FALSE())),IF(AND('Daily Schedule'!$A56&gt;=46,'Daily Schedule'!$A56&lt;=52),'Daily Workforce'!$M62="Y",IFERROR(1*'Daily Workforce'!$P62&gt;=2,FALSE()))))),1,0)</f>
        <v>1</v>
      </c>
      <c r="BV52" s="1" t="n">
        <f aca="false">IF(AND('Daily Workforce'!$N63="Y",'Daily Workforce'!$B63&lt;&gt;"",COUNTIF('Daily Schedule'!$F$5:$F55,'Daily Workforce'!$B63)=0,IF('Daily Schedule'!$A56=45,'Daily Workforce'!$J63="Y",IF(OR('Daily Schedule'!$A56=4,'Daily Schedule'!$A56=8),IF(OR(WEEKDAY('Daily Schedule'!$B$2,2)=1,WEEKDAY('Daily Schedule'!$B$2,2)=4,WEEKDAY('Daily Schedule'!$B$2,2)=5,WEEKDAY('Daily Schedule'!$B$2,2)=7),IFERROR(1*'Daily Workforce'!$K63&gt;=3,FALSE()),IFERROR(1*'Daily Workforce'!$K63&gt;=2,FALSE())),IF(AND('Daily Schedule'!$A56&gt;=46,'Daily Schedule'!$A56&lt;=52),'Daily Workforce'!$M63="Y",IFERROR(1*'Daily Workforce'!$P63&gt;=2,FALSE()))))),1,0)</f>
        <v>1</v>
      </c>
      <c r="BW52" s="1" t="n">
        <f aca="false">IF(AND('Daily Workforce'!$N64="Y",'Daily Workforce'!$B64&lt;&gt;"",COUNTIF('Daily Schedule'!$F$5:$F55,'Daily Workforce'!$B64)=0,IF('Daily Schedule'!$A56=45,'Daily Workforce'!$J64="Y",IF(OR('Daily Schedule'!$A56=4,'Daily Schedule'!$A56=8),IF(OR(WEEKDAY('Daily Schedule'!$B$2,2)=1,WEEKDAY('Daily Schedule'!$B$2,2)=4,WEEKDAY('Daily Schedule'!$B$2,2)=5,WEEKDAY('Daily Schedule'!$B$2,2)=7),IFERROR(1*'Daily Workforce'!$K64&gt;=3,FALSE()),IFERROR(1*'Daily Workforce'!$K64&gt;=2,FALSE())),IF(AND('Daily Schedule'!$A56&gt;=46,'Daily Schedule'!$A56&lt;=52),'Daily Workforce'!$M64="Y",IFERROR(1*'Daily Workforce'!$P64&gt;=2,FALSE()))))),1,0)</f>
        <v>1</v>
      </c>
      <c r="BX52" s="1" t="n">
        <f aca="false">IF(AND('Daily Workforce'!$N65="Y",'Daily Workforce'!$B65&lt;&gt;"",COUNTIF('Daily Schedule'!$F$5:$F55,'Daily Workforce'!$B65)=0,IF('Daily Schedule'!$A56=45,'Daily Workforce'!$J65="Y",IF(OR('Daily Schedule'!$A56=4,'Daily Schedule'!$A56=8),IF(OR(WEEKDAY('Daily Schedule'!$B$2,2)=1,WEEKDAY('Daily Schedule'!$B$2,2)=4,WEEKDAY('Daily Schedule'!$B$2,2)=5,WEEKDAY('Daily Schedule'!$B$2,2)=7),IFERROR(1*'Daily Workforce'!$K65&gt;=3,FALSE()),IFERROR(1*'Daily Workforce'!$K65&gt;=2,FALSE())),IF(AND('Daily Schedule'!$A56&gt;=46,'Daily Schedule'!$A56&lt;=52),'Daily Workforce'!$M65="Y",IFERROR(1*'Daily Workforce'!$P65&gt;=2,FALSE()))))),1,0)</f>
        <v>1</v>
      </c>
      <c r="BY52" s="1" t="n">
        <f aca="false">IF(AND('Daily Workforce'!$N66="Y",'Daily Workforce'!$B66&lt;&gt;"",COUNTIF('Daily Schedule'!$F$5:$F55,'Daily Workforce'!$B66)=0,IF('Daily Schedule'!$A56=45,'Daily Workforce'!$J66="Y",IF(OR('Daily Schedule'!$A56=4,'Daily Schedule'!$A56=8),IF(OR(WEEKDAY('Daily Schedule'!$B$2,2)=1,WEEKDAY('Daily Schedule'!$B$2,2)=4,WEEKDAY('Daily Schedule'!$B$2,2)=5,WEEKDAY('Daily Schedule'!$B$2,2)=7),IFERROR(1*'Daily Workforce'!$K66&gt;=3,FALSE()),IFERROR(1*'Daily Workforce'!$K66&gt;=2,FALSE())),IF(AND('Daily Schedule'!$A56&gt;=46,'Daily Schedule'!$A56&lt;=52),'Daily Workforce'!$M66="Y",IFERROR(1*'Daily Workforce'!$P66&gt;=2,FALSE()))))),1,0)</f>
        <v>1</v>
      </c>
      <c r="BZ52" s="1" t="n">
        <f aca="false">IF(AND('Daily Workforce'!$N67="Y",'Daily Workforce'!$B67&lt;&gt;"",COUNTIF('Daily Schedule'!$F$5:$F55,'Daily Workforce'!$B67)=0,IF('Daily Schedule'!$A56=45,'Daily Workforce'!$J67="Y",IF(OR('Daily Schedule'!$A56=4,'Daily Schedule'!$A56=8),IF(OR(WEEKDAY('Daily Schedule'!$B$2,2)=1,WEEKDAY('Daily Schedule'!$B$2,2)=4,WEEKDAY('Daily Schedule'!$B$2,2)=5,WEEKDAY('Daily Schedule'!$B$2,2)=7),IFERROR(1*'Daily Workforce'!$K67&gt;=3,FALSE()),IFERROR(1*'Daily Workforce'!$K67&gt;=2,FALSE())),IF(AND('Daily Schedule'!$A56&gt;=46,'Daily Schedule'!$A56&lt;=52),'Daily Workforce'!$M67="Y",IFERROR(1*'Daily Workforce'!$P67&gt;=2,FALSE()))))),1,0)</f>
        <v>1</v>
      </c>
      <c r="CA52" s="1" t="n">
        <f aca="false">IF(AND('Daily Workforce'!$N68="Y",'Daily Workforce'!$B68&lt;&gt;"",COUNTIF('Daily Schedule'!$F$5:$F55,'Daily Workforce'!$B68)=0,IF('Daily Schedule'!$A56=45,'Daily Workforce'!$J68="Y",IF(OR('Daily Schedule'!$A56=4,'Daily Schedule'!$A56=8),IF(OR(WEEKDAY('Daily Schedule'!$B$2,2)=1,WEEKDAY('Daily Schedule'!$B$2,2)=4,WEEKDAY('Daily Schedule'!$B$2,2)=5,WEEKDAY('Daily Schedule'!$B$2,2)=7),IFERROR(1*'Daily Workforce'!$K68&gt;=3,FALSE()),IFERROR(1*'Daily Workforce'!$K68&gt;=2,FALSE())),IF(AND('Daily Schedule'!$A56&gt;=46,'Daily Schedule'!$A56&lt;=52),'Daily Workforce'!$M68="Y",IFERROR(1*'Daily Workforce'!$P68&gt;=2,FALSE()))))),1,0)</f>
        <v>1</v>
      </c>
      <c r="CB52" s="1" t="n">
        <f aca="false">IF(AND('Daily Workforce'!$N69="Y",'Daily Workforce'!$B69&lt;&gt;"",COUNTIF('Daily Schedule'!$F$5:$F55,'Daily Workforce'!$B69)=0,IF('Daily Schedule'!$A56=45,'Daily Workforce'!$J69="Y",IF(OR('Daily Schedule'!$A56=4,'Daily Schedule'!$A56=8),IF(OR(WEEKDAY('Daily Schedule'!$B$2,2)=1,WEEKDAY('Daily Schedule'!$B$2,2)=4,WEEKDAY('Daily Schedule'!$B$2,2)=5,WEEKDAY('Daily Schedule'!$B$2,2)=7),IFERROR(1*'Daily Workforce'!$K69&gt;=3,FALSE()),IFERROR(1*'Daily Workforce'!$K69&gt;=2,FALSE())),IF(AND('Daily Schedule'!$A56&gt;=46,'Daily Schedule'!$A56&lt;=52),'Daily Workforce'!$M69="Y",IFERROR(1*'Daily Workforce'!$P69&gt;=2,FALSE()))))),1,0)</f>
        <v>1</v>
      </c>
      <c r="CC52" s="1" t="n">
        <f aca="false">IF(AND('Daily Workforce'!$N70="Y",'Daily Workforce'!$B70&lt;&gt;"",COUNTIF('Daily Schedule'!$F$5:$F55,'Daily Workforce'!$B70)=0,IF('Daily Schedule'!$A56=45,'Daily Workforce'!$J70="Y",IF(OR('Daily Schedule'!$A56=4,'Daily Schedule'!$A56=8),IF(OR(WEEKDAY('Daily Schedule'!$B$2,2)=1,WEEKDAY('Daily Schedule'!$B$2,2)=4,WEEKDAY('Daily Schedule'!$B$2,2)=5,WEEKDAY('Daily Schedule'!$B$2,2)=7),IFERROR(1*'Daily Workforce'!$K70&gt;=3,FALSE()),IFERROR(1*'Daily Workforce'!$K70&gt;=2,FALSE())),IF(AND('Daily Schedule'!$A56&gt;=46,'Daily Schedule'!$A56&lt;=52),'Daily Workforce'!$M70="Y",IFERROR(1*'Daily Workforce'!$P70&gt;=2,FALSE()))))),1,0)</f>
        <v>1</v>
      </c>
      <c r="CD52" s="1" t="n">
        <f aca="false">IF(AND('Daily Workforce'!$N71="Y",'Daily Workforce'!$B71&lt;&gt;"",COUNTIF('Daily Schedule'!$F$5:$F55,'Daily Workforce'!$B71)=0,IF('Daily Schedule'!$A56=45,'Daily Workforce'!$J71="Y",IF(OR('Daily Schedule'!$A56=4,'Daily Schedule'!$A56=8),IF(OR(WEEKDAY('Daily Schedule'!$B$2,2)=1,WEEKDAY('Daily Schedule'!$B$2,2)=4,WEEKDAY('Daily Schedule'!$B$2,2)=5,WEEKDAY('Daily Schedule'!$B$2,2)=7),IFERROR(1*'Daily Workforce'!$K71&gt;=3,FALSE()),IFERROR(1*'Daily Workforce'!$K71&gt;=2,FALSE())),IF(AND('Daily Schedule'!$A56&gt;=46,'Daily Schedule'!$A56&lt;=52),'Daily Workforce'!$M71="Y",IFERROR(1*'Daily Workforce'!$P71&gt;=2,FALSE()))))),1,0)</f>
        <v>1</v>
      </c>
      <c r="CE52" s="1" t="n">
        <f aca="false">IF(AND('Daily Workforce'!$N72="Y",'Daily Workforce'!$B72&lt;&gt;"",COUNTIF('Daily Schedule'!$F$5:$F55,'Daily Workforce'!$B72)=0,IF('Daily Schedule'!$A56=45,'Daily Workforce'!$J72="Y",IF(OR('Daily Schedule'!$A56=4,'Daily Schedule'!$A56=8),IF(OR(WEEKDAY('Daily Schedule'!$B$2,2)=1,WEEKDAY('Daily Schedule'!$B$2,2)=4,WEEKDAY('Daily Schedule'!$B$2,2)=5,WEEKDAY('Daily Schedule'!$B$2,2)=7),IFERROR(1*'Daily Workforce'!$K72&gt;=3,FALSE()),IFERROR(1*'Daily Workforce'!$K72&gt;=2,FALSE())),IF(AND('Daily Schedule'!$A56&gt;=46,'Daily Schedule'!$A56&lt;=52),'Daily Workforce'!$M72="Y",IFERROR(1*'Daily Workforce'!$P72&gt;=2,FALSE()))))),1,0)</f>
        <v>1</v>
      </c>
      <c r="CF52" s="1" t="n">
        <f aca="false">IF(AND('Daily Workforce'!$N73="Y",'Daily Workforce'!$B73&lt;&gt;"",COUNTIF('Daily Schedule'!$F$5:$F55,'Daily Workforce'!$B73)=0,IF('Daily Schedule'!$A56=45,'Daily Workforce'!$J73="Y",IF(OR('Daily Schedule'!$A56=4,'Daily Schedule'!$A56=8),IF(OR(WEEKDAY('Daily Schedule'!$B$2,2)=1,WEEKDAY('Daily Schedule'!$B$2,2)=4,WEEKDAY('Daily Schedule'!$B$2,2)=5,WEEKDAY('Daily Schedule'!$B$2,2)=7),IFERROR(1*'Daily Workforce'!$K73&gt;=3,FALSE()),IFERROR(1*'Daily Workforce'!$K73&gt;=2,FALSE())),IF(AND('Daily Schedule'!$A56&gt;=46,'Daily Schedule'!$A56&lt;=52),'Daily Workforce'!$M73="Y",IFERROR(1*'Daily Workforce'!$P73&gt;=2,FALSE()))))),1,0)</f>
        <v>1</v>
      </c>
      <c r="CG52" s="1" t="n">
        <f aca="false">IF(AND('Daily Workforce'!$N74="Y",'Daily Workforce'!$B74&lt;&gt;"",COUNTIF('Daily Schedule'!$F$5:$F55,'Daily Workforce'!$B74)=0,IF('Daily Schedule'!$A56=45,'Daily Workforce'!$J74="Y",IF(OR('Daily Schedule'!$A56=4,'Daily Schedule'!$A56=8),IF(OR(WEEKDAY('Daily Schedule'!$B$2,2)=1,WEEKDAY('Daily Schedule'!$B$2,2)=4,WEEKDAY('Daily Schedule'!$B$2,2)=5,WEEKDAY('Daily Schedule'!$B$2,2)=7),IFERROR(1*'Daily Workforce'!$K74&gt;=3,FALSE()),IFERROR(1*'Daily Workforce'!$K74&gt;=2,FALSE())),IF(AND('Daily Schedule'!$A56&gt;=46,'Daily Schedule'!$A56&lt;=52),'Daily Workforce'!$M74="Y",IFERROR(1*'Daily Workforce'!$P74&gt;=2,FALSE()))))),1,0)</f>
        <v>1</v>
      </c>
      <c r="CH52" s="1" t="n">
        <f aca="false">IF(AND('Daily Workforce'!$N75="Y",'Daily Workforce'!$B75&lt;&gt;"",COUNTIF('Daily Schedule'!$F$5:$F55,'Daily Workforce'!$B75)=0,IF('Daily Schedule'!$A56=45,'Daily Workforce'!$J75="Y",IF(OR('Daily Schedule'!$A56=4,'Daily Schedule'!$A56=8),IF(OR(WEEKDAY('Daily Schedule'!$B$2,2)=1,WEEKDAY('Daily Schedule'!$B$2,2)=4,WEEKDAY('Daily Schedule'!$B$2,2)=5,WEEKDAY('Daily Schedule'!$B$2,2)=7),IFERROR(1*'Daily Workforce'!$K75&gt;=3,FALSE()),IFERROR(1*'Daily Workforce'!$K75&gt;=2,FALSE())),IF(AND('Daily Schedule'!$A56&gt;=46,'Daily Schedule'!$A56&lt;=52),'Daily Workforce'!$M75="Y",IFERROR(1*'Daily Workforce'!$P75&gt;=2,FALSE()))))),1,0)</f>
        <v>1</v>
      </c>
      <c r="CI52" s="1" t="n">
        <f aca="false">IF(AND('Daily Workforce'!$N76="Y",'Daily Workforce'!$B76&lt;&gt;"",COUNTIF('Daily Schedule'!$F$5:$F55,'Daily Workforce'!$B76)=0,IF('Daily Schedule'!$A56=45,'Daily Workforce'!$J76="Y",IF(OR('Daily Schedule'!$A56=4,'Daily Schedule'!$A56=8),IF(OR(WEEKDAY('Daily Schedule'!$B$2,2)=1,WEEKDAY('Daily Schedule'!$B$2,2)=4,WEEKDAY('Daily Schedule'!$B$2,2)=5,WEEKDAY('Daily Schedule'!$B$2,2)=7),IFERROR(1*'Daily Workforce'!$K76&gt;=3,FALSE()),IFERROR(1*'Daily Workforce'!$K76&gt;=2,FALSE())),IF(AND('Daily Schedule'!$A56&gt;=46,'Daily Schedule'!$A56&lt;=52),'Daily Workforce'!$M76="Y",IFERROR(1*'Daily Workforce'!$P76&gt;=2,FALSE()))))),1,0)</f>
        <v>1</v>
      </c>
      <c r="CJ52" s="1" t="n">
        <f aca="false">IF(AND('Daily Workforce'!$N77="Y",'Daily Workforce'!$B77&lt;&gt;"",COUNTIF('Daily Schedule'!$F$5:$F55,'Daily Workforce'!$B77)=0,IF('Daily Schedule'!$A56=45,'Daily Workforce'!$J77="Y",IF(OR('Daily Schedule'!$A56=4,'Daily Schedule'!$A56=8),IF(OR(WEEKDAY('Daily Schedule'!$B$2,2)=1,WEEKDAY('Daily Schedule'!$B$2,2)=4,WEEKDAY('Daily Schedule'!$B$2,2)=5,WEEKDAY('Daily Schedule'!$B$2,2)=7),IFERROR(1*'Daily Workforce'!$K77&gt;=3,FALSE()),IFERROR(1*'Daily Workforce'!$K77&gt;=2,FALSE())),IF(AND('Daily Schedule'!$A56&gt;=46,'Daily Schedule'!$A56&lt;=52),'Daily Workforce'!$M77="Y",IFERROR(1*'Daily Workforce'!$P77&gt;=2,FALSE()))))),1,0)</f>
        <v>1</v>
      </c>
      <c r="CK52" s="1" t="n">
        <f aca="false">IF(AND('Daily Workforce'!$N78="Y",'Daily Workforce'!$B78&lt;&gt;"",COUNTIF('Daily Schedule'!$F$5:$F55,'Daily Workforce'!$B78)=0,IF('Daily Schedule'!$A56=45,'Daily Workforce'!$J78="Y",IF(OR('Daily Schedule'!$A56=4,'Daily Schedule'!$A56=8),IF(OR(WEEKDAY('Daily Schedule'!$B$2,2)=1,WEEKDAY('Daily Schedule'!$B$2,2)=4,WEEKDAY('Daily Schedule'!$B$2,2)=5,WEEKDAY('Daily Schedule'!$B$2,2)=7),IFERROR(1*'Daily Workforce'!$K78&gt;=3,FALSE()),IFERROR(1*'Daily Workforce'!$K78&gt;=2,FALSE())),IF(AND('Daily Schedule'!$A56&gt;=46,'Daily Schedule'!$A56&lt;=52),'Daily Workforce'!$M78="Y",IFERROR(1*'Daily Workforce'!$P78&gt;=2,FALSE()))))),1,0)</f>
        <v>1</v>
      </c>
      <c r="CL52" s="1" t="n">
        <f aca="false">IF(AND('Daily Workforce'!$N79="Y",'Daily Workforce'!$B79&lt;&gt;"",COUNTIF('Daily Schedule'!$F$5:$F55,'Daily Workforce'!$B79)=0,IF('Daily Schedule'!$A56=45,'Daily Workforce'!$J79="Y",IF(OR('Daily Schedule'!$A56=4,'Daily Schedule'!$A56=8),IF(OR(WEEKDAY('Daily Schedule'!$B$2,2)=1,WEEKDAY('Daily Schedule'!$B$2,2)=4,WEEKDAY('Daily Schedule'!$B$2,2)=5,WEEKDAY('Daily Schedule'!$B$2,2)=7),IFERROR(1*'Daily Workforce'!$K79&gt;=3,FALSE()),IFERROR(1*'Daily Workforce'!$K79&gt;=2,FALSE())),IF(AND('Daily Schedule'!$A56&gt;=46,'Daily Schedule'!$A56&lt;=52),'Daily Workforce'!$M79="Y",IFERROR(1*'Daily Workforce'!$P79&gt;=2,FALSE()))))),1,0)</f>
        <v>1</v>
      </c>
      <c r="CM52" s="1" t="n">
        <f aca="false">IF(AND('Daily Workforce'!$N80="Y",'Daily Workforce'!$B80&lt;&gt;"",COUNTIF('Daily Schedule'!$F$5:$F55,'Daily Workforce'!$B80)=0,IF('Daily Schedule'!$A56=45,'Daily Workforce'!$J80="Y",IF(OR('Daily Schedule'!$A56=4,'Daily Schedule'!$A56=8),IF(OR(WEEKDAY('Daily Schedule'!$B$2,2)=1,WEEKDAY('Daily Schedule'!$B$2,2)=4,WEEKDAY('Daily Schedule'!$B$2,2)=5,WEEKDAY('Daily Schedule'!$B$2,2)=7),IFERROR(1*'Daily Workforce'!$K80&gt;=3,FALSE()),IFERROR(1*'Daily Workforce'!$K80&gt;=2,FALSE())),IF(AND('Daily Schedule'!$A56&gt;=46,'Daily Schedule'!$A56&lt;=52),'Daily Workforce'!$M80="Y",IFERROR(1*'Daily Workforce'!$P80&gt;=2,FALSE()))))),1,0)</f>
        <v>1</v>
      </c>
      <c r="CN52" s="1" t="n">
        <f aca="false">IF(AND('Daily Workforce'!$N81="Y",'Daily Workforce'!$B81&lt;&gt;"",COUNTIF('Daily Schedule'!$F$5:$F55,'Daily Workforce'!$B81)=0,IF('Daily Schedule'!$A56=45,'Daily Workforce'!$J81="Y",IF(OR('Daily Schedule'!$A56=4,'Daily Schedule'!$A56=8),IF(OR(WEEKDAY('Daily Schedule'!$B$2,2)=1,WEEKDAY('Daily Schedule'!$B$2,2)=4,WEEKDAY('Daily Schedule'!$B$2,2)=5,WEEKDAY('Daily Schedule'!$B$2,2)=7),IFERROR(1*'Daily Workforce'!$K81&gt;=3,FALSE()),IFERROR(1*'Daily Workforce'!$K81&gt;=2,FALSE())),IF(AND('Daily Schedule'!$A56&gt;=46,'Daily Schedule'!$A56&lt;=52),'Daily Workforce'!$M81="Y",IFERROR(1*'Daily Workforce'!$P81&gt;=2,FALSE()))))),1,0)</f>
        <v>1</v>
      </c>
      <c r="CO52" s="1" t="n">
        <f aca="false">IF(AND('Daily Workforce'!$N82="Y",'Daily Workforce'!$B82&lt;&gt;"",COUNTIF('Daily Schedule'!$F$5:$F55,'Daily Workforce'!$B82)=0,IF('Daily Schedule'!$A56=45,'Daily Workforce'!$J82="Y",IF(OR('Daily Schedule'!$A56=4,'Daily Schedule'!$A56=8),IF(OR(WEEKDAY('Daily Schedule'!$B$2,2)=1,WEEKDAY('Daily Schedule'!$B$2,2)=4,WEEKDAY('Daily Schedule'!$B$2,2)=5,WEEKDAY('Daily Schedule'!$B$2,2)=7),IFERROR(1*'Daily Workforce'!$K82&gt;=3,FALSE()),IFERROR(1*'Daily Workforce'!$K82&gt;=2,FALSE())),IF(AND('Daily Schedule'!$A56&gt;=46,'Daily Schedule'!$A56&lt;=52),'Daily Workforce'!$M82="Y",IFERROR(1*'Daily Workforce'!$P82&gt;=2,FALSE()))))),1,0)</f>
        <v>1</v>
      </c>
      <c r="CP52" s="1" t="n">
        <f aca="false">IF(AND('Daily Workforce'!$N83="Y",'Daily Workforce'!$B83&lt;&gt;"",COUNTIF('Daily Schedule'!$F$5:$F55,'Daily Workforce'!$B83)=0,IF('Daily Schedule'!$A56=45,'Daily Workforce'!$J83="Y",IF(OR('Daily Schedule'!$A56=4,'Daily Schedule'!$A56=8),IF(OR(WEEKDAY('Daily Schedule'!$B$2,2)=1,WEEKDAY('Daily Schedule'!$B$2,2)=4,WEEKDAY('Daily Schedule'!$B$2,2)=5,WEEKDAY('Daily Schedule'!$B$2,2)=7),IFERROR(1*'Daily Workforce'!$K83&gt;=3,FALSE()),IFERROR(1*'Daily Workforce'!$K83&gt;=2,FALSE())),IF(AND('Daily Schedule'!$A56&gt;=46,'Daily Schedule'!$A56&lt;=52),'Daily Workforce'!$M83="Y",IFERROR(1*'Daily Workforce'!$P83&gt;=2,FALSE()))))),1,0)</f>
        <v>0</v>
      </c>
      <c r="CQ52" s="1" t="n">
        <f aca="false">IF(AND('Daily Workforce'!$N84="Y",'Daily Workforce'!$B84&lt;&gt;"",COUNTIF('Daily Schedule'!$F$5:$F55,'Daily Workforce'!$B84)=0,IF('Daily Schedule'!$A56=45,'Daily Workforce'!$J84="Y",IF(OR('Daily Schedule'!$A56=4,'Daily Schedule'!$A56=8),IF(OR(WEEKDAY('Daily Schedule'!$B$2,2)=1,WEEKDAY('Daily Schedule'!$B$2,2)=4,WEEKDAY('Daily Schedule'!$B$2,2)=5,WEEKDAY('Daily Schedule'!$B$2,2)=7),IFERROR(1*'Daily Workforce'!$K84&gt;=3,FALSE()),IFERROR(1*'Daily Workforce'!$K84&gt;=2,FALSE())),IF(AND('Daily Schedule'!$A56&gt;=46,'Daily Schedule'!$A56&lt;=52),'Daily Workforce'!$M84="Y",IFERROR(1*'Daily Workforce'!$P84&gt;=2,FALSE()))))),1,0)</f>
        <v>1</v>
      </c>
      <c r="CR52" s="1" t="n">
        <f aca="false">IF(AND('Daily Workforce'!$N85="Y",'Daily Workforce'!$B85&lt;&gt;"",COUNTIF('Daily Schedule'!$F$5:$F55,'Daily Workforce'!$B85)=0,IF('Daily Schedule'!$A56=45,'Daily Workforce'!$J85="Y",IF(OR('Daily Schedule'!$A56=4,'Daily Schedule'!$A56=8),IF(OR(WEEKDAY('Daily Schedule'!$B$2,2)=1,WEEKDAY('Daily Schedule'!$B$2,2)=4,WEEKDAY('Daily Schedule'!$B$2,2)=5,WEEKDAY('Daily Schedule'!$B$2,2)=7),IFERROR(1*'Daily Workforce'!$K85&gt;=3,FALSE()),IFERROR(1*'Daily Workforce'!$K85&gt;=2,FALSE())),IF(AND('Daily Schedule'!$A56&gt;=46,'Daily Schedule'!$A56&lt;=52),'Daily Workforce'!$M85="Y",IFERROR(1*'Daily Workforce'!$P85&gt;=2,FALSE()))))),1,0)</f>
        <v>0</v>
      </c>
      <c r="CS52" s="1" t="n">
        <f aca="false">IF(AND('Daily Workforce'!$N86="Y",'Daily Workforce'!$B86&lt;&gt;"",COUNTIF('Daily Schedule'!$F$5:$F55,'Daily Workforce'!$B86)=0,IF('Daily Schedule'!$A56=45,'Daily Workforce'!$J86="Y",IF(OR('Daily Schedule'!$A56=4,'Daily Schedule'!$A56=8),IF(OR(WEEKDAY('Daily Schedule'!$B$2,2)=1,WEEKDAY('Daily Schedule'!$B$2,2)=4,WEEKDAY('Daily Schedule'!$B$2,2)=5,WEEKDAY('Daily Schedule'!$B$2,2)=7),IFERROR(1*'Daily Workforce'!$K86&gt;=3,FALSE()),IFERROR(1*'Daily Workforce'!$K86&gt;=2,FALSE())),IF(AND('Daily Schedule'!$A56&gt;=46,'Daily Schedule'!$A56&lt;=52),'Daily Workforce'!$M86="Y",IFERROR(1*'Daily Workforce'!$P86&gt;=2,FALSE()))))),1,0)</f>
        <v>1</v>
      </c>
      <c r="CT52" s="1" t="n">
        <f aca="false">IF(AND('Daily Workforce'!$N87="Y",'Daily Workforce'!$B87&lt;&gt;"",COUNTIF('Daily Schedule'!$F$5:$F55,'Daily Workforce'!$B87)=0,IF('Daily Schedule'!$A56=45,'Daily Workforce'!$J87="Y",IF(OR('Daily Schedule'!$A56=4,'Daily Schedule'!$A56=8),IF(OR(WEEKDAY('Daily Schedule'!$B$2,2)=1,WEEKDAY('Daily Schedule'!$B$2,2)=4,WEEKDAY('Daily Schedule'!$B$2,2)=5,WEEKDAY('Daily Schedule'!$B$2,2)=7),IFERROR(1*'Daily Workforce'!$K87&gt;=3,FALSE()),IFERROR(1*'Daily Workforce'!$K87&gt;=2,FALSE())),IF(AND('Daily Schedule'!$A56&gt;=46,'Daily Schedule'!$A56&lt;=52),'Daily Workforce'!$M87="Y",IFERROR(1*'Daily Workforce'!$P87&gt;=2,FALSE()))))),1,0)</f>
        <v>1</v>
      </c>
      <c r="CU52" s="1" t="n">
        <f aca="false">IF(AND('Daily Workforce'!$N88="Y",'Daily Workforce'!$B88&lt;&gt;"",COUNTIF('Daily Schedule'!$F$5:$F55,'Daily Workforce'!$B88)=0,IF('Daily Schedule'!$A56=45,'Daily Workforce'!$J88="Y",IF(OR('Daily Schedule'!$A56=4,'Daily Schedule'!$A56=8),IF(OR(WEEKDAY('Daily Schedule'!$B$2,2)=1,WEEKDAY('Daily Schedule'!$B$2,2)=4,WEEKDAY('Daily Schedule'!$B$2,2)=5,WEEKDAY('Daily Schedule'!$B$2,2)=7),IFERROR(1*'Daily Workforce'!$K88&gt;=3,FALSE()),IFERROR(1*'Daily Workforce'!$K88&gt;=2,FALSE())),IF(AND('Daily Schedule'!$A56&gt;=46,'Daily Schedule'!$A56&lt;=52),'Daily Workforce'!$M88="Y",IFERROR(1*'Daily Workforce'!$P88&gt;=2,FALSE()))))),1,0)</f>
        <v>1</v>
      </c>
      <c r="CV52" s="1" t="n">
        <f aca="false">IF(AND('Daily Workforce'!$N89="Y",'Daily Workforce'!$B89&lt;&gt;"",COUNTIF('Daily Schedule'!$F$5:$F55,'Daily Workforce'!$B89)=0,IF('Daily Schedule'!$A56=45,'Daily Workforce'!$J89="Y",IF(OR('Daily Schedule'!$A56=4,'Daily Schedule'!$A56=8),IF(OR(WEEKDAY('Daily Schedule'!$B$2,2)=1,WEEKDAY('Daily Schedule'!$B$2,2)=4,WEEKDAY('Daily Schedule'!$B$2,2)=5,WEEKDAY('Daily Schedule'!$B$2,2)=7),IFERROR(1*'Daily Workforce'!$K89&gt;=3,FALSE()),IFERROR(1*'Daily Workforce'!$K89&gt;=2,FALSE())),IF(AND('Daily Schedule'!$A56&gt;=46,'Daily Schedule'!$A56&lt;=52),'Daily Workforce'!$M89="Y",IFERROR(1*'Daily Workforce'!$P89&gt;=2,FALSE()))))),1,0)</f>
        <v>1</v>
      </c>
      <c r="CW52" s="1" t="n">
        <f aca="false">IF(AND('Daily Workforce'!$N90="Y",'Daily Workforce'!$B90&lt;&gt;"",COUNTIF('Daily Schedule'!$F$5:$F55,'Daily Workforce'!$B90)=0,IF('Daily Schedule'!$A56=45,'Daily Workforce'!$J90="Y",IF(OR('Daily Schedule'!$A56=4,'Daily Schedule'!$A56=8),IF(OR(WEEKDAY('Daily Schedule'!$B$2,2)=1,WEEKDAY('Daily Schedule'!$B$2,2)=4,WEEKDAY('Daily Schedule'!$B$2,2)=5,WEEKDAY('Daily Schedule'!$B$2,2)=7),IFERROR(1*'Daily Workforce'!$K90&gt;=3,FALSE()),IFERROR(1*'Daily Workforce'!$K90&gt;=2,FALSE())),IF(AND('Daily Schedule'!$A56&gt;=46,'Daily Schedule'!$A56&lt;=52),'Daily Workforce'!$M90="Y",IFERROR(1*'Daily Workforce'!$P90&gt;=2,FALSE()))))),1,0)</f>
        <v>1</v>
      </c>
      <c r="CX52" s="1" t="n">
        <f aca="false">IF(AND('Daily Workforce'!$N91="Y",'Daily Workforce'!$B91&lt;&gt;"",COUNTIF('Daily Schedule'!$F$5:$F55,'Daily Workforce'!$B91)=0,IF('Daily Schedule'!$A56=45,'Daily Workforce'!$J91="Y",IF(OR('Daily Schedule'!$A56=4,'Daily Schedule'!$A56=8),IF(OR(WEEKDAY('Daily Schedule'!$B$2,2)=1,WEEKDAY('Daily Schedule'!$B$2,2)=4,WEEKDAY('Daily Schedule'!$B$2,2)=5,WEEKDAY('Daily Schedule'!$B$2,2)=7),IFERROR(1*'Daily Workforce'!$K91&gt;=3,FALSE()),IFERROR(1*'Daily Workforce'!$K91&gt;=2,FALSE())),IF(AND('Daily Schedule'!$A56&gt;=46,'Daily Schedule'!$A56&lt;=52),'Daily Workforce'!$M91="Y",IFERROR(1*'Daily Workforce'!$P91&gt;=2,FALSE()))))),1,0)</f>
        <v>1</v>
      </c>
      <c r="CY52" s="1" t="n">
        <f aca="false">IF(AND('Daily Workforce'!$N92="Y",'Daily Workforce'!$B92&lt;&gt;"",COUNTIF('Daily Schedule'!$F$5:$F55,'Daily Workforce'!$B92)=0,IF('Daily Schedule'!$A56=45,'Daily Workforce'!$J92="Y",IF(OR('Daily Schedule'!$A56=4,'Daily Schedule'!$A56=8),IF(OR(WEEKDAY('Daily Schedule'!$B$2,2)=1,WEEKDAY('Daily Schedule'!$B$2,2)=4,WEEKDAY('Daily Schedule'!$B$2,2)=5,WEEKDAY('Daily Schedule'!$B$2,2)=7),IFERROR(1*'Daily Workforce'!$K92&gt;=3,FALSE()),IFERROR(1*'Daily Workforce'!$K92&gt;=2,FALSE())),IF(AND('Daily Schedule'!$A56&gt;=46,'Daily Schedule'!$A56&lt;=52),'Daily Workforce'!$M92="Y",IFERROR(1*'Daily Workforce'!$P92&gt;=2,FALSE()))))),1,0)</f>
        <v>1</v>
      </c>
      <c r="CZ52" s="1" t="n">
        <f aca="false">IF(AND('Daily Workforce'!$N93="Y",'Daily Workforce'!$B93&lt;&gt;"",COUNTIF('Daily Schedule'!$F$5:$F55,'Daily Workforce'!$B93)=0,IF('Daily Schedule'!$A56=45,'Daily Workforce'!$J93="Y",IF(OR('Daily Schedule'!$A56=4,'Daily Schedule'!$A56=8),IF(OR(WEEKDAY('Daily Schedule'!$B$2,2)=1,WEEKDAY('Daily Schedule'!$B$2,2)=4,WEEKDAY('Daily Schedule'!$B$2,2)=5,WEEKDAY('Daily Schedule'!$B$2,2)=7),IFERROR(1*'Daily Workforce'!$K93&gt;=3,FALSE()),IFERROR(1*'Daily Workforce'!$K93&gt;=2,FALSE())),IF(AND('Daily Schedule'!$A56&gt;=46,'Daily Schedule'!$A56&lt;=52),'Daily Workforce'!$M93="Y",IFERROR(1*'Daily Workforce'!$P93&gt;=2,FALSE()))))),1,0)</f>
        <v>1</v>
      </c>
      <c r="DA52" s="1" t="n">
        <f aca="false">IF(AND('Daily Workforce'!$N94="Y",'Daily Workforce'!$B94&lt;&gt;"",COUNTIF('Daily Schedule'!$F$5:$F55,'Daily Workforce'!$B94)=0,IF('Daily Schedule'!$A56=45,'Daily Workforce'!$J94="Y",IF(OR('Daily Schedule'!$A56=4,'Daily Schedule'!$A56=8),IF(OR(WEEKDAY('Daily Schedule'!$B$2,2)=1,WEEKDAY('Daily Schedule'!$B$2,2)=4,WEEKDAY('Daily Schedule'!$B$2,2)=5,WEEKDAY('Daily Schedule'!$B$2,2)=7),IFERROR(1*'Daily Workforce'!$K94&gt;=3,FALSE()),IFERROR(1*'Daily Workforce'!$K94&gt;=2,FALSE())),IF(AND('Daily Schedule'!$A56&gt;=46,'Daily Schedule'!$A56&lt;=52),'Daily Workforce'!$M94="Y",IFERROR(1*'Daily Workforce'!$P94&gt;=2,FALSE()))))),1,0)</f>
        <v>1</v>
      </c>
      <c r="DB52" s="1" t="n">
        <f aca="false">IF(AND('Daily Workforce'!$N95="Y",'Daily Workforce'!$B95&lt;&gt;"",COUNTIF('Daily Schedule'!$F$5:$F55,'Daily Workforce'!$B95)=0,IF('Daily Schedule'!$A56=45,'Daily Workforce'!$J95="Y",IF(OR('Daily Schedule'!$A56=4,'Daily Schedule'!$A56=8),IF(OR(WEEKDAY('Daily Schedule'!$B$2,2)=1,WEEKDAY('Daily Schedule'!$B$2,2)=4,WEEKDAY('Daily Schedule'!$B$2,2)=5,WEEKDAY('Daily Schedule'!$B$2,2)=7),IFERROR(1*'Daily Workforce'!$K95&gt;=3,FALSE()),IFERROR(1*'Daily Workforce'!$K95&gt;=2,FALSE())),IF(AND('Daily Schedule'!$A56&gt;=46,'Daily Schedule'!$A56&lt;=52),'Daily Workforce'!$M95="Y",IFERROR(1*'Daily Workforce'!$P95&gt;=2,FALSE()))))),1,0)</f>
        <v>1</v>
      </c>
      <c r="DC52" s="1" t="n">
        <f aca="false">IF(AND('Daily Workforce'!$N96="Y",'Daily Workforce'!$B96&lt;&gt;"",COUNTIF('Daily Schedule'!$F$5:$F55,'Daily Workforce'!$B96)=0,IF('Daily Schedule'!$A56=45,'Daily Workforce'!$J96="Y",IF(OR('Daily Schedule'!$A56=4,'Daily Schedule'!$A56=8),IF(OR(WEEKDAY('Daily Schedule'!$B$2,2)=1,WEEKDAY('Daily Schedule'!$B$2,2)=4,WEEKDAY('Daily Schedule'!$B$2,2)=5,WEEKDAY('Daily Schedule'!$B$2,2)=7),IFERROR(1*'Daily Workforce'!$K96&gt;=3,FALSE()),IFERROR(1*'Daily Workforce'!$K96&gt;=2,FALSE())),IF(AND('Daily Schedule'!$A56&gt;=46,'Daily Schedule'!$A56&lt;=52),'Daily Workforce'!$M96="Y",IFERROR(1*'Daily Workforce'!$P96&gt;=2,FALSE()))))),1,0)</f>
        <v>1</v>
      </c>
      <c r="DD52" s="1" t="n">
        <f aca="false">IF(AND('Daily Workforce'!$N97="Y",'Daily Workforce'!$B97&lt;&gt;"",COUNTIF('Daily Schedule'!$F$5:$F55,'Daily Workforce'!$B97)=0,IF('Daily Schedule'!$A56=45,'Daily Workforce'!$J97="Y",IF(OR('Daily Schedule'!$A56=4,'Daily Schedule'!$A56=8),IF(OR(WEEKDAY('Daily Schedule'!$B$2,2)=1,WEEKDAY('Daily Schedule'!$B$2,2)=4,WEEKDAY('Daily Schedule'!$B$2,2)=5,WEEKDAY('Daily Schedule'!$B$2,2)=7),IFERROR(1*'Daily Workforce'!$K97&gt;=3,FALSE()),IFERROR(1*'Daily Workforce'!$K97&gt;=2,FALSE())),IF(AND('Daily Schedule'!$A56&gt;=46,'Daily Schedule'!$A56&lt;=52),'Daily Workforce'!$M97="Y",IFERROR(1*'Daily Workforce'!$P97&gt;=2,FALSE()))))),1,0)</f>
        <v>1</v>
      </c>
      <c r="DE52" s="1" t="n">
        <f aca="false">IF(AND('Daily Workforce'!$N98="Y",'Daily Workforce'!$B98&lt;&gt;"",COUNTIF('Daily Schedule'!$F$5:$F55,'Daily Workforce'!$B98)=0,IF('Daily Schedule'!$A56=45,'Daily Workforce'!$J98="Y",IF(OR('Daily Schedule'!$A56=4,'Daily Schedule'!$A56=8),IF(OR(WEEKDAY('Daily Schedule'!$B$2,2)=1,WEEKDAY('Daily Schedule'!$B$2,2)=4,WEEKDAY('Daily Schedule'!$B$2,2)=5,WEEKDAY('Daily Schedule'!$B$2,2)=7),IFERROR(1*'Daily Workforce'!$K98&gt;=3,FALSE()),IFERROR(1*'Daily Workforce'!$K98&gt;=2,FALSE())),IF(AND('Daily Schedule'!$A56&gt;=46,'Daily Schedule'!$A56&lt;=52),'Daily Workforce'!$M98="Y",IFERROR(1*'Daily Workforce'!$P98&gt;=2,FALSE()))))),1,0)</f>
        <v>1</v>
      </c>
      <c r="DF52" s="1" t="n">
        <f aca="false">IF(AND('Daily Workforce'!$N99="Y",'Daily Workforce'!$B99&lt;&gt;"",COUNTIF('Daily Schedule'!$F$5:$F55,'Daily Workforce'!$B99)=0,IF('Daily Schedule'!$A56=45,'Daily Workforce'!$J99="Y",IF(OR('Daily Schedule'!$A56=4,'Daily Schedule'!$A56=8),IF(OR(WEEKDAY('Daily Schedule'!$B$2,2)=1,WEEKDAY('Daily Schedule'!$B$2,2)=4,WEEKDAY('Daily Schedule'!$B$2,2)=5,WEEKDAY('Daily Schedule'!$B$2,2)=7),IFERROR(1*'Daily Workforce'!$K99&gt;=3,FALSE()),IFERROR(1*'Daily Workforce'!$K99&gt;=2,FALSE())),IF(AND('Daily Schedule'!$A56&gt;=46,'Daily Schedule'!$A56&lt;=52),'Daily Workforce'!$M99="Y",IFERROR(1*'Daily Workforce'!$P99&gt;=2,FALSE()))))),1,0)</f>
        <v>1</v>
      </c>
      <c r="DG52" s="1" t="n">
        <f aca="false">IF(AND('Daily Workforce'!$N100="Y",'Daily Workforce'!$B100&lt;&gt;"",COUNTIF('Daily Schedule'!$F$5:$F55,'Daily Workforce'!$B100)=0,IF('Daily Schedule'!$A56=45,'Daily Workforce'!$J100="Y",IF(OR('Daily Schedule'!$A56=4,'Daily Schedule'!$A56=8),IF(OR(WEEKDAY('Daily Schedule'!$B$2,2)=1,WEEKDAY('Daily Schedule'!$B$2,2)=4,WEEKDAY('Daily Schedule'!$B$2,2)=5,WEEKDAY('Daily Schedule'!$B$2,2)=7),IFERROR(1*'Daily Workforce'!$K100&gt;=3,FALSE()),IFERROR(1*'Daily Workforce'!$K100&gt;=2,FALSE())),IF(AND('Daily Schedule'!$A56&gt;=46,'Daily Schedule'!$A56&lt;=52),'Daily Workforce'!$M100="Y",IFERROR(1*'Daily Workforce'!$P100&gt;=2,FALSE()))))),1,0)</f>
        <v>1</v>
      </c>
      <c r="DH52" s="1" t="n">
        <f aca="false">IF(AND('Daily Workforce'!$N101="Y",'Daily Workforce'!$B101&lt;&gt;"",COUNTIF('Daily Schedule'!$F$5:$F55,'Daily Workforce'!$B101)=0,IF('Daily Schedule'!$A56=45,'Daily Workforce'!$J101="Y",IF(OR('Daily Schedule'!$A56=4,'Daily Schedule'!$A56=8),IF(OR(WEEKDAY('Daily Schedule'!$B$2,2)=1,WEEKDAY('Daily Schedule'!$B$2,2)=4,WEEKDAY('Daily Schedule'!$B$2,2)=5,WEEKDAY('Daily Schedule'!$B$2,2)=7),IFERROR(1*'Daily Workforce'!$K101&gt;=3,FALSE()),IFERROR(1*'Daily Workforce'!$K101&gt;=2,FALSE())),IF(AND('Daily Schedule'!$A56&gt;=46,'Daily Schedule'!$A56&lt;=52),'Daily Workforce'!$M101="Y",IFERROR(1*'Daily Workforce'!$P101&gt;=2,FALSE()))))),1,0)</f>
        <v>1</v>
      </c>
      <c r="DI52" s="1" t="n">
        <f aca="false">IF(AND('Daily Workforce'!$N102="Y",'Daily Workforce'!$B102&lt;&gt;"",COUNTIF('Daily Schedule'!$F$5:$F55,'Daily Workforce'!$B102)=0,IF('Daily Schedule'!$A56=45,'Daily Workforce'!$J102="Y",IF(OR('Daily Schedule'!$A56=4,'Daily Schedule'!$A56=8),IF(OR(WEEKDAY('Daily Schedule'!$B$2,2)=1,WEEKDAY('Daily Schedule'!$B$2,2)=4,WEEKDAY('Daily Schedule'!$B$2,2)=5,WEEKDAY('Daily Schedule'!$B$2,2)=7),IFERROR(1*'Daily Workforce'!$K102&gt;=3,FALSE()),IFERROR(1*'Daily Workforce'!$K102&gt;=2,FALSE())),IF(AND('Daily Schedule'!$A56&gt;=46,'Daily Schedule'!$A56&lt;=52),'Daily Workforce'!$M102="Y",IFERROR(1*'Daily Workforce'!$P102&gt;=2,FALSE()))))),1,0)</f>
        <v>1</v>
      </c>
      <c r="DJ52" s="1" t="n">
        <f aca="false">IF(AND('Daily Workforce'!$N103="Y",'Daily Workforce'!$B103&lt;&gt;"",COUNTIF('Daily Schedule'!$F$5:$F55,'Daily Workforce'!$B103)=0,IF('Daily Schedule'!$A56=45,'Daily Workforce'!$J103="Y",IF(OR('Daily Schedule'!$A56=4,'Daily Schedule'!$A56=8),IF(OR(WEEKDAY('Daily Schedule'!$B$2,2)=1,WEEKDAY('Daily Schedule'!$B$2,2)=4,WEEKDAY('Daily Schedule'!$B$2,2)=5,WEEKDAY('Daily Schedule'!$B$2,2)=7),IFERROR(1*'Daily Workforce'!$K103&gt;=3,FALSE()),IFERROR(1*'Daily Workforce'!$K103&gt;=2,FALSE())),IF(AND('Daily Schedule'!$A56&gt;=46,'Daily Schedule'!$A56&lt;=52),'Daily Workforce'!$M103="Y",IFERROR(1*'Daily Workforce'!$P103&gt;=2,FALSE()))))),1,0)</f>
        <v>1</v>
      </c>
      <c r="DK52" s="1" t="n">
        <f aca="false">IF(AND('Daily Workforce'!$N104="Y",'Daily Workforce'!$B104&lt;&gt;"",COUNTIF('Daily Schedule'!$F$5:$F55,'Daily Workforce'!$B104)=0,IF('Daily Schedule'!$A56=45,'Daily Workforce'!$J104="Y",IF(OR('Daily Schedule'!$A56=4,'Daily Schedule'!$A56=8),IF(OR(WEEKDAY('Daily Schedule'!$B$2,2)=1,WEEKDAY('Daily Schedule'!$B$2,2)=4,WEEKDAY('Daily Schedule'!$B$2,2)=5,WEEKDAY('Daily Schedule'!$B$2,2)=7),IFERROR(1*'Daily Workforce'!$K104&gt;=3,FALSE()),IFERROR(1*'Daily Workforce'!$K104&gt;=2,FALSE())),IF(AND('Daily Schedule'!$A56&gt;=46,'Daily Schedule'!$A56&lt;=52),'Daily Workforce'!$M104="Y",IFERROR(1*'Daily Workforce'!$P104&gt;=2,FALSE()))))),1,0)</f>
        <v>1</v>
      </c>
      <c r="DL52" s="1" t="n">
        <f aca="false">IF(AND('Daily Workforce'!$N105="Y",'Daily Workforce'!$B105&lt;&gt;"",COUNTIF('Daily Schedule'!$F$5:$F55,'Daily Workforce'!$B105)=0,IF('Daily Schedule'!$A56=45,'Daily Workforce'!$J105="Y",IF(OR('Daily Schedule'!$A56=4,'Daily Schedule'!$A56=8),IF(OR(WEEKDAY('Daily Schedule'!$B$2,2)=1,WEEKDAY('Daily Schedule'!$B$2,2)=4,WEEKDAY('Daily Schedule'!$B$2,2)=5,WEEKDAY('Daily Schedule'!$B$2,2)=7),IFERROR(1*'Daily Workforce'!$K105&gt;=3,FALSE()),IFERROR(1*'Daily Workforce'!$K105&gt;=2,FALSE())),IF(AND('Daily Schedule'!$A56&gt;=46,'Daily Schedule'!$A56&lt;=52),'Daily Workforce'!$M105="Y",IFERROR(1*'Daily Workforce'!$P105&gt;=2,FALSE()))))),1,0)</f>
        <v>0</v>
      </c>
      <c r="DM52" s="1" t="n">
        <f aca="false">IF(AND('Daily Workforce'!$N106="Y",'Daily Workforce'!$B106&lt;&gt;"",COUNTIF('Daily Schedule'!$F$5:$F55,'Daily Workforce'!$B106)=0,IF('Daily Schedule'!$A56=45,'Daily Workforce'!$J106="Y",IF(OR('Daily Schedule'!$A56=4,'Daily Schedule'!$A56=8),IF(OR(WEEKDAY('Daily Schedule'!$B$2,2)=1,WEEKDAY('Daily Schedule'!$B$2,2)=4,WEEKDAY('Daily Schedule'!$B$2,2)=5,WEEKDAY('Daily Schedule'!$B$2,2)=7),IFERROR(1*'Daily Workforce'!$K106&gt;=3,FALSE()),IFERROR(1*'Daily Workforce'!$K106&gt;=2,FALSE())),IF(AND('Daily Schedule'!$A56&gt;=46,'Daily Schedule'!$A56&lt;=52),'Daily Workforce'!$M106="Y",IFERROR(1*'Daily Workforce'!$P106&gt;=2,FALSE()))))),1,0)</f>
        <v>1</v>
      </c>
      <c r="DN52" s="1" t="n">
        <f aca="false">IF(AND('Daily Workforce'!$N107="Y",'Daily Workforce'!$B107&lt;&gt;"",COUNTIF('Daily Schedule'!$F$5:$F55,'Daily Workforce'!$B107)=0,IF('Daily Schedule'!$A56=45,'Daily Workforce'!$J107="Y",IF(OR('Daily Schedule'!$A56=4,'Daily Schedule'!$A56=8),IF(OR(WEEKDAY('Daily Schedule'!$B$2,2)=1,WEEKDAY('Daily Schedule'!$B$2,2)=4,WEEKDAY('Daily Schedule'!$B$2,2)=5,WEEKDAY('Daily Schedule'!$B$2,2)=7),IFERROR(1*'Daily Workforce'!$K107&gt;=3,FALSE()),IFERROR(1*'Daily Workforce'!$K107&gt;=2,FALSE())),IF(AND('Daily Schedule'!$A56&gt;=46,'Daily Schedule'!$A56&lt;=52),'Daily Workforce'!$M107="Y",IFERROR(1*'Daily Workforce'!$P107&gt;=2,FALSE()))))),1,0)</f>
        <v>1</v>
      </c>
      <c r="DO52" s="1" t="n">
        <f aca="false">IF(AND('Daily Workforce'!$N108="Y",'Daily Workforce'!$B108&lt;&gt;"",COUNTIF('Daily Schedule'!$F$5:$F55,'Daily Workforce'!$B108)=0,IF('Daily Schedule'!$A56=45,'Daily Workforce'!$J108="Y",IF(OR('Daily Schedule'!$A56=4,'Daily Schedule'!$A56=8),IF(OR(WEEKDAY('Daily Schedule'!$B$2,2)=1,WEEKDAY('Daily Schedule'!$B$2,2)=4,WEEKDAY('Daily Schedule'!$B$2,2)=5,WEEKDAY('Daily Schedule'!$B$2,2)=7),IFERROR(1*'Daily Workforce'!$K108&gt;=3,FALSE()),IFERROR(1*'Daily Workforce'!$K108&gt;=2,FALSE())),IF(AND('Daily Schedule'!$A56&gt;=46,'Daily Schedule'!$A56&lt;=52),'Daily Workforce'!$M108="Y",IFERROR(1*'Daily Workforce'!$P108&gt;=2,FALSE()))))),1,0)</f>
        <v>1</v>
      </c>
      <c r="DP52" s="1" t="n">
        <f aca="false">IF(AND('Daily Workforce'!$N109="Y",'Daily Workforce'!$B109&lt;&gt;"",COUNTIF('Daily Schedule'!$F$5:$F55,'Daily Workforce'!$B109)=0,IF('Daily Schedule'!$A56=45,'Daily Workforce'!$J109="Y",IF(OR('Daily Schedule'!$A56=4,'Daily Schedule'!$A56=8),IF(OR(WEEKDAY('Daily Schedule'!$B$2,2)=1,WEEKDAY('Daily Schedule'!$B$2,2)=4,WEEKDAY('Daily Schedule'!$B$2,2)=5,WEEKDAY('Daily Schedule'!$B$2,2)=7),IFERROR(1*'Daily Workforce'!$K109&gt;=3,FALSE()),IFERROR(1*'Daily Workforce'!$K109&gt;=2,FALSE())),IF(AND('Daily Schedule'!$A56&gt;=46,'Daily Schedule'!$A56&lt;=52),'Daily Workforce'!$M109="Y",IFERROR(1*'Daily Workforce'!$P109&gt;=2,FALSE()))))),1,0)</f>
        <v>1</v>
      </c>
      <c r="DQ52" s="1" t="n">
        <f aca="false">IF(AND('Daily Workforce'!$N110="Y",'Daily Workforce'!$B110&lt;&gt;"",COUNTIF('Daily Schedule'!$F$5:$F55,'Daily Workforce'!$B110)=0,IF('Daily Schedule'!$A56=45,'Daily Workforce'!$J110="Y",IF(OR('Daily Schedule'!$A56=4,'Daily Schedule'!$A56=8),IF(OR(WEEKDAY('Daily Schedule'!$B$2,2)=1,WEEKDAY('Daily Schedule'!$B$2,2)=4,WEEKDAY('Daily Schedule'!$B$2,2)=5,WEEKDAY('Daily Schedule'!$B$2,2)=7),IFERROR(1*'Daily Workforce'!$K110&gt;=3,FALSE()),IFERROR(1*'Daily Workforce'!$K110&gt;=2,FALSE())),IF(AND('Daily Schedule'!$A56&gt;=46,'Daily Schedule'!$A56&lt;=52),'Daily Workforce'!$M110="Y",IFERROR(1*'Daily Workforce'!$P110&gt;=2,FALSE()))))),1,0)</f>
        <v>1</v>
      </c>
      <c r="DR52" s="1" t="n">
        <f aca="false">IF(AND('Daily Workforce'!$N111="Y",'Daily Workforce'!$B111&lt;&gt;"",COUNTIF('Daily Schedule'!$F$5:$F55,'Daily Workforce'!$B111)=0,IF('Daily Schedule'!$A56=45,'Daily Workforce'!$J111="Y",IF(OR('Daily Schedule'!$A56=4,'Daily Schedule'!$A56=8),IF(OR(WEEKDAY('Daily Schedule'!$B$2,2)=1,WEEKDAY('Daily Schedule'!$B$2,2)=4,WEEKDAY('Daily Schedule'!$B$2,2)=5,WEEKDAY('Daily Schedule'!$B$2,2)=7),IFERROR(1*'Daily Workforce'!$K111&gt;=3,FALSE()),IFERROR(1*'Daily Workforce'!$K111&gt;=2,FALSE())),IF(AND('Daily Schedule'!$A56&gt;=46,'Daily Schedule'!$A56&lt;=52),'Daily Workforce'!$M111="Y",IFERROR(1*'Daily Workforce'!$P111&gt;=2,FALSE()))))),1,0)</f>
        <v>1</v>
      </c>
      <c r="DS52" s="1" t="n">
        <f aca="false">IF(AND('Daily Workforce'!$N112="Y",'Daily Workforce'!$B112&lt;&gt;"",COUNTIF('Daily Schedule'!$F$5:$F55,'Daily Workforce'!$B112)=0,IF('Daily Schedule'!$A56=45,'Daily Workforce'!$J112="Y",IF(OR('Daily Schedule'!$A56=4,'Daily Schedule'!$A56=8),IF(OR(WEEKDAY('Daily Schedule'!$B$2,2)=1,WEEKDAY('Daily Schedule'!$B$2,2)=4,WEEKDAY('Daily Schedule'!$B$2,2)=5,WEEKDAY('Daily Schedule'!$B$2,2)=7),IFERROR(1*'Daily Workforce'!$K112&gt;=3,FALSE()),IFERROR(1*'Daily Workforce'!$K112&gt;=2,FALSE())),IF(AND('Daily Schedule'!$A56&gt;=46,'Daily Schedule'!$A56&lt;=52),'Daily Workforce'!$M112="Y",IFERROR(1*'Daily Workforce'!$P112&gt;=2,FALSE()))))),1,0)</f>
        <v>1</v>
      </c>
      <c r="DT52" s="1" t="n">
        <f aca="false">IF(AND('Daily Workforce'!$N113="Y",'Daily Workforce'!$B113&lt;&gt;"",COUNTIF('Daily Schedule'!$F$5:$F55,'Daily Workforce'!$B113)=0,IF('Daily Schedule'!$A56=45,'Daily Workforce'!$J113="Y",IF(OR('Daily Schedule'!$A56=4,'Daily Schedule'!$A56=8),IF(OR(WEEKDAY('Daily Schedule'!$B$2,2)=1,WEEKDAY('Daily Schedule'!$B$2,2)=4,WEEKDAY('Daily Schedule'!$B$2,2)=5,WEEKDAY('Daily Schedule'!$B$2,2)=7),IFERROR(1*'Daily Workforce'!$K113&gt;=3,FALSE()),IFERROR(1*'Daily Workforce'!$K113&gt;=2,FALSE())),IF(AND('Daily Schedule'!$A56&gt;=46,'Daily Schedule'!$A56&lt;=52),'Daily Workforce'!$M113="Y",IFERROR(1*'Daily Workforce'!$P113&gt;=2,FALSE()))))),1,0)</f>
        <v>1</v>
      </c>
      <c r="DU52" s="1" t="n">
        <f aca="false">IF(AND('Daily Workforce'!$N114="Y",'Daily Workforce'!$B114&lt;&gt;"",COUNTIF('Daily Schedule'!$F$5:$F55,'Daily Workforce'!$B114)=0,IF('Daily Schedule'!$A56=45,'Daily Workforce'!$J114="Y",IF(OR('Daily Schedule'!$A56=4,'Daily Schedule'!$A56=8),IF(OR(WEEKDAY('Daily Schedule'!$B$2,2)=1,WEEKDAY('Daily Schedule'!$B$2,2)=4,WEEKDAY('Daily Schedule'!$B$2,2)=5,WEEKDAY('Daily Schedule'!$B$2,2)=7),IFERROR(1*'Daily Workforce'!$K114&gt;=3,FALSE()),IFERROR(1*'Daily Workforce'!$K114&gt;=2,FALSE())),IF(AND('Daily Schedule'!$A56&gt;=46,'Daily Schedule'!$A56&lt;=52),'Daily Workforce'!$M114="Y",IFERROR(1*'Daily Workforce'!$P114&gt;=2,FALSE()))))),1,0)</f>
        <v>1</v>
      </c>
      <c r="DV52" s="1" t="n">
        <f aca="false">IF(AND('Daily Workforce'!$N115="Y",'Daily Workforce'!$B115&lt;&gt;"",COUNTIF('Daily Schedule'!$F$5:$F55,'Daily Workforce'!$B115)=0,IF('Daily Schedule'!$A56=45,'Daily Workforce'!$J115="Y",IF(OR('Daily Schedule'!$A56=4,'Daily Schedule'!$A56=8),IF(OR(WEEKDAY('Daily Schedule'!$B$2,2)=1,WEEKDAY('Daily Schedule'!$B$2,2)=4,WEEKDAY('Daily Schedule'!$B$2,2)=5,WEEKDAY('Daily Schedule'!$B$2,2)=7),IFERROR(1*'Daily Workforce'!$K115&gt;=3,FALSE()),IFERROR(1*'Daily Workforce'!$K115&gt;=2,FALSE())),IF(AND('Daily Schedule'!$A56&gt;=46,'Daily Schedule'!$A56&lt;=52),'Daily Workforce'!$M115="Y",IFERROR(1*'Daily Workforce'!$P115&gt;=2,FALSE()))))),1,0)</f>
        <v>1</v>
      </c>
      <c r="DW52" s="1" t="n">
        <f aca="false">IF(AND('Daily Workforce'!$N116="Y",'Daily Workforce'!$B116&lt;&gt;"",COUNTIF('Daily Schedule'!$F$5:$F55,'Daily Workforce'!$B116)=0,IF('Daily Schedule'!$A56=45,'Daily Workforce'!$J116="Y",IF(OR('Daily Schedule'!$A56=4,'Daily Schedule'!$A56=8),IF(OR(WEEKDAY('Daily Schedule'!$B$2,2)=1,WEEKDAY('Daily Schedule'!$B$2,2)=4,WEEKDAY('Daily Schedule'!$B$2,2)=5,WEEKDAY('Daily Schedule'!$B$2,2)=7),IFERROR(1*'Daily Workforce'!$K116&gt;=3,FALSE()),IFERROR(1*'Daily Workforce'!$K116&gt;=2,FALSE())),IF(AND('Daily Schedule'!$A56&gt;=46,'Daily Schedule'!$A56&lt;=52),'Daily Workforce'!$M116="Y",IFERROR(1*'Daily Workforce'!$P116&gt;=2,FALSE()))))),1,0)</f>
        <v>1</v>
      </c>
      <c r="DX52" s="1" t="n">
        <f aca="false">IF(AND('Daily Workforce'!$N117="Y",'Daily Workforce'!$B117&lt;&gt;"",COUNTIF('Daily Schedule'!$F$5:$F55,'Daily Workforce'!$B117)=0,IF('Daily Schedule'!$A56=45,'Daily Workforce'!$J117="Y",IF(OR('Daily Schedule'!$A56=4,'Daily Schedule'!$A56=8),IF(OR(WEEKDAY('Daily Schedule'!$B$2,2)=1,WEEKDAY('Daily Schedule'!$B$2,2)=4,WEEKDAY('Daily Schedule'!$B$2,2)=5,WEEKDAY('Daily Schedule'!$B$2,2)=7),IFERROR(1*'Daily Workforce'!$K117&gt;=3,FALSE()),IFERROR(1*'Daily Workforce'!$K117&gt;=2,FALSE())),IF(AND('Daily Schedule'!$A56&gt;=46,'Daily Schedule'!$A56&lt;=52),'Daily Workforce'!$M117="Y",IFERROR(1*'Daily Workforce'!$P117&gt;=2,FALSE()))))),1,0)</f>
        <v>1</v>
      </c>
      <c r="DY52" s="1" t="n">
        <f aca="false">IF(AND('Daily Workforce'!$N118="Y",'Daily Workforce'!$B118&lt;&gt;"",COUNTIF('Daily Schedule'!$F$5:$F55,'Daily Workforce'!$B118)=0,IF('Daily Schedule'!$A56=45,'Daily Workforce'!$J118="Y",IF(OR('Daily Schedule'!$A56=4,'Daily Schedule'!$A56=8),IF(OR(WEEKDAY('Daily Schedule'!$B$2,2)=1,WEEKDAY('Daily Schedule'!$B$2,2)=4,WEEKDAY('Daily Schedule'!$B$2,2)=5,WEEKDAY('Daily Schedule'!$B$2,2)=7),IFERROR(1*'Daily Workforce'!$K118&gt;=3,FALSE()),IFERROR(1*'Daily Workforce'!$K118&gt;=2,FALSE())),IF(AND('Daily Schedule'!$A56&gt;=46,'Daily Schedule'!$A56&lt;=52),'Daily Workforce'!$M118="Y",IFERROR(1*'Daily Workforce'!$P118&gt;=2,FALSE()))))),1,0)</f>
        <v>0</v>
      </c>
      <c r="DZ52" s="1" t="n">
        <f aca="false">IF(AND('Daily Workforce'!$N119="Y",'Daily Workforce'!$B119&lt;&gt;"",COUNTIF('Daily Schedule'!$F$5:$F55,'Daily Workforce'!$B119)=0,IF('Daily Schedule'!$A56=45,'Daily Workforce'!$J119="Y",IF(OR('Daily Schedule'!$A56=4,'Daily Schedule'!$A56=8),IF(OR(WEEKDAY('Daily Schedule'!$B$2,2)=1,WEEKDAY('Daily Schedule'!$B$2,2)=4,WEEKDAY('Daily Schedule'!$B$2,2)=5,WEEKDAY('Daily Schedule'!$B$2,2)=7),IFERROR(1*'Daily Workforce'!$K119&gt;=3,FALSE()),IFERROR(1*'Daily Workforce'!$K119&gt;=2,FALSE())),IF(AND('Daily Schedule'!$A56&gt;=46,'Daily Schedule'!$A56&lt;=52),'Daily Workforce'!$M119="Y",IFERROR(1*'Daily Workforce'!$P119&gt;=2,FALSE()))))),1,0)</f>
        <v>0</v>
      </c>
      <c r="EA52" s="1" t="n">
        <f aca="false">IF(AND('Daily Workforce'!$N120="Y",'Daily Workforce'!$B120&lt;&gt;"",COUNTIF('Daily Schedule'!$F$5:$F55,'Daily Workforce'!$B120)=0,IF('Daily Schedule'!$A56=45,'Daily Workforce'!$J120="Y",IF(OR('Daily Schedule'!$A56=4,'Daily Schedule'!$A56=8),IF(OR(WEEKDAY('Daily Schedule'!$B$2,2)=1,WEEKDAY('Daily Schedule'!$B$2,2)=4,WEEKDAY('Daily Schedule'!$B$2,2)=5,WEEKDAY('Daily Schedule'!$B$2,2)=7),IFERROR(1*'Daily Workforce'!$K120&gt;=3,FALSE()),IFERROR(1*'Daily Workforce'!$K120&gt;=2,FALSE())),IF(AND('Daily Schedule'!$A56&gt;=46,'Daily Schedule'!$A56&lt;=52),'Daily Workforce'!$M120="Y",IFERROR(1*'Daily Workforce'!$P120&gt;=2,FALSE()))))),1,0)</f>
        <v>0</v>
      </c>
      <c r="EB52" s="1" t="n">
        <f aca="false">IF(AND('Daily Workforce'!$N121="Y",'Daily Workforce'!$B121&lt;&gt;"",COUNTIF('Daily Schedule'!$F$5:$F55,'Daily Workforce'!$B121)=0,IF('Daily Schedule'!$A56=45,'Daily Workforce'!$J121="Y",IF(OR('Daily Schedule'!$A56=4,'Daily Schedule'!$A56=8),IF(OR(WEEKDAY('Daily Schedule'!$B$2,2)=1,WEEKDAY('Daily Schedule'!$B$2,2)=4,WEEKDAY('Daily Schedule'!$B$2,2)=5,WEEKDAY('Daily Schedule'!$B$2,2)=7),IFERROR(1*'Daily Workforce'!$K121&gt;=3,FALSE()),IFERROR(1*'Daily Workforce'!$K121&gt;=2,FALSE())),IF(AND('Daily Schedule'!$A56&gt;=46,'Daily Schedule'!$A56&lt;=52),'Daily Workforce'!$M121="Y",IFERROR(1*'Daily Workforce'!$P121&gt;=2,FALSE()))))),1,0)</f>
        <v>0</v>
      </c>
      <c r="EC52" s="1" t="n">
        <f aca="false">IF(AND('Daily Workforce'!$N122="Y",'Daily Workforce'!$B122&lt;&gt;"",COUNTIF('Daily Schedule'!$F$5:$F55,'Daily Workforce'!$B122)=0,IF('Daily Schedule'!$A56=45,'Daily Workforce'!$J122="Y",IF(OR('Daily Schedule'!$A56=4,'Daily Schedule'!$A56=8),IF(OR(WEEKDAY('Daily Schedule'!$B$2,2)=1,WEEKDAY('Daily Schedule'!$B$2,2)=4,WEEKDAY('Daily Schedule'!$B$2,2)=5,WEEKDAY('Daily Schedule'!$B$2,2)=7),IFERROR(1*'Daily Workforce'!$K122&gt;=3,FALSE()),IFERROR(1*'Daily Workforce'!$K122&gt;=2,FALSE())),IF(AND('Daily Schedule'!$A56&gt;=46,'Daily Schedule'!$A56&lt;=52),'Daily Workforce'!$M122="Y",IFERROR(1*'Daily Workforce'!$P122&gt;=2,FALSE()))))),1,0)</f>
        <v>0</v>
      </c>
      <c r="ED52" s="1" t="n">
        <f aca="false">IF(AND('Daily Workforce'!$N123="Y",'Daily Workforce'!$B123&lt;&gt;"",COUNTIF('Daily Schedule'!$F$5:$F55,'Daily Workforce'!$B123)=0,IF('Daily Schedule'!$A56=45,'Daily Workforce'!$J123="Y",IF(OR('Daily Schedule'!$A56=4,'Daily Schedule'!$A56=8),IF(OR(WEEKDAY('Daily Schedule'!$B$2,2)=1,WEEKDAY('Daily Schedule'!$B$2,2)=4,WEEKDAY('Daily Schedule'!$B$2,2)=5,WEEKDAY('Daily Schedule'!$B$2,2)=7),IFERROR(1*'Daily Workforce'!$K123&gt;=3,FALSE()),IFERROR(1*'Daily Workforce'!$K123&gt;=2,FALSE())),IF(AND('Daily Schedule'!$A56&gt;=46,'Daily Schedule'!$A56&lt;=52),'Daily Workforce'!$M123="Y",IFERROR(1*'Daily Workforce'!$P123&gt;=2,FALSE()))))),1,0)</f>
        <v>0</v>
      </c>
      <c r="EE52" s="1" t="n">
        <f aca="false">IF(AND('Daily Workforce'!$N124="Y",'Daily Workforce'!$B124&lt;&gt;"",COUNTIF('Daily Schedule'!$F$5:$F55,'Daily Workforce'!$B124)=0,IF('Daily Schedule'!$A56=45,'Daily Workforce'!$J124="Y",IF(OR('Daily Schedule'!$A56=4,'Daily Schedule'!$A56=8),IF(OR(WEEKDAY('Daily Schedule'!$B$2,2)=1,WEEKDAY('Daily Schedule'!$B$2,2)=4,WEEKDAY('Daily Schedule'!$B$2,2)=5,WEEKDAY('Daily Schedule'!$B$2,2)=7),IFERROR(1*'Daily Workforce'!$K124&gt;=3,FALSE()),IFERROR(1*'Daily Workforce'!$K124&gt;=2,FALSE())),IF(AND('Daily Schedule'!$A56&gt;=46,'Daily Schedule'!$A56&lt;=52),'Daily Workforce'!$M124="Y",IFERROR(1*'Daily Workforce'!$P124&gt;=2,FALSE()))))),1,0)</f>
        <v>0</v>
      </c>
      <c r="EF52" s="1" t="n">
        <f aca="false">IF(AND('Daily Workforce'!$N125="Y",'Daily Workforce'!$B125&lt;&gt;"",COUNTIF('Daily Schedule'!$F$5:$F55,'Daily Workforce'!$B125)=0,IF('Daily Schedule'!$A56=45,'Daily Workforce'!$J125="Y",IF(OR('Daily Schedule'!$A56=4,'Daily Schedule'!$A56=8),IF(OR(WEEKDAY('Daily Schedule'!$B$2,2)=1,WEEKDAY('Daily Schedule'!$B$2,2)=4,WEEKDAY('Daily Schedule'!$B$2,2)=5,WEEKDAY('Daily Schedule'!$B$2,2)=7),IFERROR(1*'Daily Workforce'!$K125&gt;=3,FALSE()),IFERROR(1*'Daily Workforce'!$K125&gt;=2,FALSE())),IF(AND('Daily Schedule'!$A56&gt;=46,'Daily Schedule'!$A56&lt;=52),'Daily Workforce'!$M125="Y",IFERROR(1*'Daily Workforce'!$P125&gt;=2,FALSE()))))),1,0)</f>
        <v>0</v>
      </c>
      <c r="EG52" s="1" t="n">
        <f aca="false">IF(AND('Daily Workforce'!$N126="Y",'Daily Workforce'!$B126&lt;&gt;"",COUNTIF('Daily Schedule'!$F$5:$F55,'Daily Workforce'!$B126)=0,IF('Daily Schedule'!$A56=45,'Daily Workforce'!$J126="Y",IF(OR('Daily Schedule'!$A56=4,'Daily Schedule'!$A56=8),IF(OR(WEEKDAY('Daily Schedule'!$B$2,2)=1,WEEKDAY('Daily Schedule'!$B$2,2)=4,WEEKDAY('Daily Schedule'!$B$2,2)=5,WEEKDAY('Daily Schedule'!$B$2,2)=7),IFERROR(1*'Daily Workforce'!$K126&gt;=3,FALSE()),IFERROR(1*'Daily Workforce'!$K126&gt;=2,FALSE())),IF(AND('Daily Schedule'!$A56&gt;=46,'Daily Schedule'!$A56&lt;=52),'Daily Workforce'!$M126="Y",IFERROR(1*'Daily Workforce'!$P126&gt;=2,FALSE()))))),1,0)</f>
        <v>0</v>
      </c>
      <c r="EH52" s="1" t="n">
        <f aca="false">IF(AND('Daily Workforce'!$N127="Y",'Daily Workforce'!$B127&lt;&gt;"",COUNTIF('Daily Schedule'!$F$5:$F55,'Daily Workforce'!$B127)=0,IF('Daily Schedule'!$A56=45,'Daily Workforce'!$J127="Y",IF(OR('Daily Schedule'!$A56=4,'Daily Schedule'!$A56=8),IF(OR(WEEKDAY('Daily Schedule'!$B$2,2)=1,WEEKDAY('Daily Schedule'!$B$2,2)=4,WEEKDAY('Daily Schedule'!$B$2,2)=5,WEEKDAY('Daily Schedule'!$B$2,2)=7),IFERROR(1*'Daily Workforce'!$K127&gt;=3,FALSE()),IFERROR(1*'Daily Workforce'!$K127&gt;=2,FALSE())),IF(AND('Daily Schedule'!$A56&gt;=46,'Daily Schedule'!$A56&lt;=52),'Daily Workforce'!$M127="Y",IFERROR(1*'Daily Workforce'!$P127&gt;=2,FALSE()))))),1,0)</f>
        <v>0</v>
      </c>
      <c r="EI52" s="1" t="n">
        <f aca="false">IF(AND('Daily Workforce'!$N128="Y",'Daily Workforce'!$B128&lt;&gt;"",COUNTIF('Daily Schedule'!$F$5:$F55,'Daily Workforce'!$B128)=0,IF('Daily Schedule'!$A56=45,'Daily Workforce'!$J128="Y",IF(OR('Daily Schedule'!$A56=4,'Daily Schedule'!$A56=8),IF(OR(WEEKDAY('Daily Schedule'!$B$2,2)=1,WEEKDAY('Daily Schedule'!$B$2,2)=4,WEEKDAY('Daily Schedule'!$B$2,2)=5,WEEKDAY('Daily Schedule'!$B$2,2)=7),IFERROR(1*'Daily Workforce'!$K128&gt;=3,FALSE()),IFERROR(1*'Daily Workforce'!$K128&gt;=2,FALSE())),IF(AND('Daily Schedule'!$A56&gt;=46,'Daily Schedule'!$A56&lt;=52),'Daily Workforce'!$M128="Y",IFERROR(1*'Daily Workforce'!$P128&gt;=2,FALSE()))))),1,0)</f>
        <v>0</v>
      </c>
      <c r="EJ52" s="1" t="n">
        <f aca="false">IF(AND('Daily Workforce'!$N129="Y",'Daily Workforce'!$B129&lt;&gt;"",COUNTIF('Daily Schedule'!$F$5:$F55,'Daily Workforce'!$B129)=0,IF('Daily Schedule'!$A56=45,'Daily Workforce'!$J129="Y",IF(OR('Daily Schedule'!$A56=4,'Daily Schedule'!$A56=8),IF(OR(WEEKDAY('Daily Schedule'!$B$2,2)=1,WEEKDAY('Daily Schedule'!$B$2,2)=4,WEEKDAY('Daily Schedule'!$B$2,2)=5,WEEKDAY('Daily Schedule'!$B$2,2)=7),IFERROR(1*'Daily Workforce'!$K129&gt;=3,FALSE()),IFERROR(1*'Daily Workforce'!$K129&gt;=2,FALSE())),IF(AND('Daily Schedule'!$A56&gt;=46,'Daily Schedule'!$A56&lt;=52),'Daily Workforce'!$M129="Y",IFERROR(1*'Daily Workforce'!$P129&gt;=2,FALSE()))))),1,0)</f>
        <v>0</v>
      </c>
      <c r="EK52" s="1" t="n">
        <f aca="false">IF(AND('Daily Workforce'!$N130="Y",'Daily Workforce'!$B130&lt;&gt;"",COUNTIF('Daily Schedule'!$F$5:$F55,'Daily Workforce'!$B130)=0,IF('Daily Schedule'!$A56=45,'Daily Workforce'!$J130="Y",IF(OR('Daily Schedule'!$A56=4,'Daily Schedule'!$A56=8),IF(OR(WEEKDAY('Daily Schedule'!$B$2,2)=1,WEEKDAY('Daily Schedule'!$B$2,2)=4,WEEKDAY('Daily Schedule'!$B$2,2)=5,WEEKDAY('Daily Schedule'!$B$2,2)=7),IFERROR(1*'Daily Workforce'!$K130&gt;=3,FALSE()),IFERROR(1*'Daily Workforce'!$K130&gt;=2,FALSE())),IF(AND('Daily Schedule'!$A56&gt;=46,'Daily Schedule'!$A56&lt;=52),'Daily Workforce'!$M130="Y",IFERROR(1*'Daily Workforce'!$P130&gt;=2,FALSE()))))),1,0)</f>
        <v>0</v>
      </c>
      <c r="EL52" s="1" t="n">
        <f aca="false">IF(AND('Daily Workforce'!$N131="Y",'Daily Workforce'!$B131&lt;&gt;"",COUNTIF('Daily Schedule'!$F$5:$F55,'Daily Workforce'!$B131)=0,IF('Daily Schedule'!$A56=45,'Daily Workforce'!$J131="Y",IF(OR('Daily Schedule'!$A56=4,'Daily Schedule'!$A56=8),IF(OR(WEEKDAY('Daily Schedule'!$B$2,2)=1,WEEKDAY('Daily Schedule'!$B$2,2)=4,WEEKDAY('Daily Schedule'!$B$2,2)=5,WEEKDAY('Daily Schedule'!$B$2,2)=7),IFERROR(1*'Daily Workforce'!$K131&gt;=3,FALSE()),IFERROR(1*'Daily Workforce'!$K131&gt;=2,FALSE())),IF(AND('Daily Schedule'!$A56&gt;=46,'Daily Schedule'!$A56&lt;=52),'Daily Workforce'!$M131="Y",IFERROR(1*'Daily Workforce'!$P131&gt;=2,FALSE()))))),1,0)</f>
        <v>0</v>
      </c>
      <c r="EM52" s="1" t="n">
        <f aca="false">IF(AND('Daily Workforce'!$N132="Y",'Daily Workforce'!$B132&lt;&gt;"",COUNTIF('Daily Schedule'!$F$5:$F55,'Daily Workforce'!$B132)=0,IF('Daily Schedule'!$A56=45,'Daily Workforce'!$J132="Y",IF(OR('Daily Schedule'!$A56=4,'Daily Schedule'!$A56=8),IF(OR(WEEKDAY('Daily Schedule'!$B$2,2)=1,WEEKDAY('Daily Schedule'!$B$2,2)=4,WEEKDAY('Daily Schedule'!$B$2,2)=5,WEEKDAY('Daily Schedule'!$B$2,2)=7),IFERROR(1*'Daily Workforce'!$K132&gt;=3,FALSE()),IFERROR(1*'Daily Workforce'!$K132&gt;=2,FALSE())),IF(AND('Daily Schedule'!$A56&gt;=46,'Daily Schedule'!$A56&lt;=52),'Daily Workforce'!$M132="Y",IFERROR(1*'Daily Workforce'!$P132&gt;=2,FALSE()))))),1,0)</f>
        <v>0</v>
      </c>
      <c r="EN52" s="1" t="n">
        <f aca="false">IF(AND('Daily Workforce'!$N133="Y",'Daily Workforce'!$B133&lt;&gt;"",COUNTIF('Daily Schedule'!$F$5:$F55,'Daily Workforce'!$B133)=0,IF('Daily Schedule'!$A56=45,'Daily Workforce'!$J133="Y",IF(OR('Daily Schedule'!$A56=4,'Daily Schedule'!$A56=8),IF(OR(WEEKDAY('Daily Schedule'!$B$2,2)=1,WEEKDAY('Daily Schedule'!$B$2,2)=4,WEEKDAY('Daily Schedule'!$B$2,2)=5,WEEKDAY('Daily Schedule'!$B$2,2)=7),IFERROR(1*'Daily Workforce'!$K133&gt;=3,FALSE()),IFERROR(1*'Daily Workforce'!$K133&gt;=2,FALSE())),IF(AND('Daily Schedule'!$A56&gt;=46,'Daily Schedule'!$A56&lt;=52),'Daily Workforce'!$M133="Y",IFERROR(1*'Daily Workforce'!$P133&gt;=2,FALSE()))))),1,0)</f>
        <v>0</v>
      </c>
      <c r="EO52" s="1" t="n">
        <f aca="false">IF(AND('Daily Workforce'!$N134="Y",'Daily Workforce'!$B134&lt;&gt;"",COUNTIF('Daily Schedule'!$F$5:$F55,'Daily Workforce'!$B134)=0,IF('Daily Schedule'!$A56=45,'Daily Workforce'!$J134="Y",IF(OR('Daily Schedule'!$A56=4,'Daily Schedule'!$A56=8),IF(OR(WEEKDAY('Daily Schedule'!$B$2,2)=1,WEEKDAY('Daily Schedule'!$B$2,2)=4,WEEKDAY('Daily Schedule'!$B$2,2)=5,WEEKDAY('Daily Schedule'!$B$2,2)=7),IFERROR(1*'Daily Workforce'!$K134&gt;=3,FALSE()),IFERROR(1*'Daily Workforce'!$K134&gt;=2,FALSE())),IF(AND('Daily Schedule'!$A56&gt;=46,'Daily Schedule'!$A56&lt;=52),'Daily Workforce'!$M134="Y",IFERROR(1*'Daily Workforce'!$P134&gt;=2,FALSE()))))),1,0)</f>
        <v>0</v>
      </c>
      <c r="EP52" s="1" t="n">
        <f aca="false">IF(AND('Daily Workforce'!$N135="Y",'Daily Workforce'!$B135&lt;&gt;"",COUNTIF('Daily Schedule'!$F$5:$F55,'Daily Workforce'!$B135)=0,IF('Daily Schedule'!$A56=45,'Daily Workforce'!$J135="Y",IF(OR('Daily Schedule'!$A56=4,'Daily Schedule'!$A56=8),IF(OR(WEEKDAY('Daily Schedule'!$B$2,2)=1,WEEKDAY('Daily Schedule'!$B$2,2)=4,WEEKDAY('Daily Schedule'!$B$2,2)=5,WEEKDAY('Daily Schedule'!$B$2,2)=7),IFERROR(1*'Daily Workforce'!$K135&gt;=3,FALSE()),IFERROR(1*'Daily Workforce'!$K135&gt;=2,FALSE())),IF(AND('Daily Schedule'!$A56&gt;=46,'Daily Schedule'!$A56&lt;=52),'Daily Workforce'!$M135="Y",IFERROR(1*'Daily Workforce'!$P135&gt;=2,FALSE()))))),1,0)</f>
        <v>0</v>
      </c>
      <c r="EQ52" s="1" t="n">
        <f aca="false">IF(AND('Daily Workforce'!$N136="Y",'Daily Workforce'!$B136&lt;&gt;"",COUNTIF('Daily Schedule'!$F$5:$F55,'Daily Workforce'!$B136)=0,IF('Daily Schedule'!$A56=45,'Daily Workforce'!$J136="Y",IF(OR('Daily Schedule'!$A56=4,'Daily Schedule'!$A56=8),IF(OR(WEEKDAY('Daily Schedule'!$B$2,2)=1,WEEKDAY('Daily Schedule'!$B$2,2)=4,WEEKDAY('Daily Schedule'!$B$2,2)=5,WEEKDAY('Daily Schedule'!$B$2,2)=7),IFERROR(1*'Daily Workforce'!$K136&gt;=3,FALSE()),IFERROR(1*'Daily Workforce'!$K136&gt;=2,FALSE())),IF(AND('Daily Schedule'!$A56&gt;=46,'Daily Schedule'!$A56&lt;=52),'Daily Workforce'!$M136="Y",IFERROR(1*'Daily Workforce'!$P136&gt;=2,FALSE()))))),1,0)</f>
        <v>0</v>
      </c>
      <c r="ER52" s="1" t="n">
        <f aca="false">IF(AND('Daily Workforce'!$N137="Y",'Daily Workforce'!$B137&lt;&gt;"",COUNTIF('Daily Schedule'!$F$5:$F55,'Daily Workforce'!$B137)=0,IF('Daily Schedule'!$A56=45,'Daily Workforce'!$J137="Y",IF(OR('Daily Schedule'!$A56=4,'Daily Schedule'!$A56=8),IF(OR(WEEKDAY('Daily Schedule'!$B$2,2)=1,WEEKDAY('Daily Schedule'!$B$2,2)=4,WEEKDAY('Daily Schedule'!$B$2,2)=5,WEEKDAY('Daily Schedule'!$B$2,2)=7),IFERROR(1*'Daily Workforce'!$K137&gt;=3,FALSE()),IFERROR(1*'Daily Workforce'!$K137&gt;=2,FALSE())),IF(AND('Daily Schedule'!$A56&gt;=46,'Daily Schedule'!$A56&lt;=52),'Daily Workforce'!$M137="Y",IFERROR(1*'Daily Workforce'!$P137&gt;=2,FALSE()))))),1,0)</f>
        <v>0</v>
      </c>
      <c r="ES52" s="1" t="n">
        <f aca="false">IF(AND('Daily Workforce'!$N138="Y",'Daily Workforce'!$B138&lt;&gt;"",COUNTIF('Daily Schedule'!$F$5:$F55,'Daily Workforce'!$B138)=0,IF('Daily Schedule'!$A56=45,'Daily Workforce'!$J138="Y",IF(OR('Daily Schedule'!$A56=4,'Daily Schedule'!$A56=8),IF(OR(WEEKDAY('Daily Schedule'!$B$2,2)=1,WEEKDAY('Daily Schedule'!$B$2,2)=4,WEEKDAY('Daily Schedule'!$B$2,2)=5,WEEKDAY('Daily Schedule'!$B$2,2)=7),IFERROR(1*'Daily Workforce'!$K138&gt;=3,FALSE()),IFERROR(1*'Daily Workforce'!$K138&gt;=2,FALSE())),IF(AND('Daily Schedule'!$A56&gt;=46,'Daily Schedule'!$A56&lt;=52),'Daily Workforce'!$M138="Y",IFERROR(1*'Daily Workforce'!$P138&gt;=2,FALSE()))))),1,0)</f>
        <v>0</v>
      </c>
      <c r="ET52" s="1" t="n">
        <f aca="false">IF(AND('Daily Workforce'!$N139="Y",'Daily Workforce'!$B139&lt;&gt;"",COUNTIF('Daily Schedule'!$F$5:$F55,'Daily Workforce'!$B139)=0,IF('Daily Schedule'!$A56=45,'Daily Workforce'!$J139="Y",IF(OR('Daily Schedule'!$A56=4,'Daily Schedule'!$A56=8),IF(OR(WEEKDAY('Daily Schedule'!$B$2,2)=1,WEEKDAY('Daily Schedule'!$B$2,2)=4,WEEKDAY('Daily Schedule'!$B$2,2)=5,WEEKDAY('Daily Schedule'!$B$2,2)=7),IFERROR(1*'Daily Workforce'!$K139&gt;=3,FALSE()),IFERROR(1*'Daily Workforce'!$K139&gt;=2,FALSE())),IF(AND('Daily Schedule'!$A56&gt;=46,'Daily Schedule'!$A56&lt;=52),'Daily Workforce'!$M139="Y",IFERROR(1*'Daily Workforce'!$P139&gt;=2,FALSE()))))),1,0)</f>
        <v>0</v>
      </c>
      <c r="EU52" s="1" t="n">
        <f aca="false">IF(AND('Daily Workforce'!$N140="Y",'Daily Workforce'!$B140&lt;&gt;"",COUNTIF('Daily Schedule'!$F$5:$F55,'Daily Workforce'!$B140)=0,IF('Daily Schedule'!$A56=45,'Daily Workforce'!$J140="Y",IF(OR('Daily Schedule'!$A56=4,'Daily Schedule'!$A56=8),IF(OR(WEEKDAY('Daily Schedule'!$B$2,2)=1,WEEKDAY('Daily Schedule'!$B$2,2)=4,WEEKDAY('Daily Schedule'!$B$2,2)=5,WEEKDAY('Daily Schedule'!$B$2,2)=7),IFERROR(1*'Daily Workforce'!$K140&gt;=3,FALSE()),IFERROR(1*'Daily Workforce'!$K140&gt;=2,FALSE())),IF(AND('Daily Schedule'!$A56&gt;=46,'Daily Schedule'!$A56&lt;=52),'Daily Workforce'!$M140="Y",IFERROR(1*'Daily Workforce'!$P140&gt;=2,FALSE()))))),1,0)</f>
        <v>0</v>
      </c>
      <c r="EV52" s="1" t="n">
        <f aca="false">IF(AND('Daily Workforce'!$N141="Y",'Daily Workforce'!$B141&lt;&gt;"",COUNTIF('Daily Schedule'!$F$5:$F55,'Daily Workforce'!$B141)=0,IF('Daily Schedule'!$A56=45,'Daily Workforce'!$J141="Y",IF(OR('Daily Schedule'!$A56=4,'Daily Schedule'!$A56=8),IF(OR(WEEKDAY('Daily Schedule'!$B$2,2)=1,WEEKDAY('Daily Schedule'!$B$2,2)=4,WEEKDAY('Daily Schedule'!$B$2,2)=5,WEEKDAY('Daily Schedule'!$B$2,2)=7),IFERROR(1*'Daily Workforce'!$K141&gt;=3,FALSE()),IFERROR(1*'Daily Workforce'!$K141&gt;=2,FALSE())),IF(AND('Daily Schedule'!$A56&gt;=46,'Daily Schedule'!$A56&lt;=52),'Daily Workforce'!$M141="Y",IFERROR(1*'Daily Workforce'!$P141&gt;=2,FALSE()))))),1,0)</f>
        <v>0</v>
      </c>
      <c r="EW52" s="1" t="n">
        <f aca="false">IF(AND('Daily Workforce'!$N142="Y",'Daily Workforce'!$B142&lt;&gt;"",COUNTIF('Daily Schedule'!$F$5:$F55,'Daily Workforce'!$B142)=0,IF('Daily Schedule'!$A56=45,'Daily Workforce'!$J142="Y",IF(OR('Daily Schedule'!$A56=4,'Daily Schedule'!$A56=8),IF(OR(WEEKDAY('Daily Schedule'!$B$2,2)=1,WEEKDAY('Daily Schedule'!$B$2,2)=4,WEEKDAY('Daily Schedule'!$B$2,2)=5,WEEKDAY('Daily Schedule'!$B$2,2)=7),IFERROR(1*'Daily Workforce'!$K142&gt;=3,FALSE()),IFERROR(1*'Daily Workforce'!$K142&gt;=2,FALSE())),IF(AND('Daily Schedule'!$A56&gt;=46,'Daily Schedule'!$A56&lt;=52),'Daily Workforce'!$M142="Y",IFERROR(1*'Daily Workforce'!$P142&gt;=2,FALSE()))))),1,0)</f>
        <v>0</v>
      </c>
      <c r="EX52" s="1" t="n">
        <f aca="false">IF(AND('Daily Workforce'!$N143="Y",'Daily Workforce'!$B143&lt;&gt;"",COUNTIF('Daily Schedule'!$F$5:$F55,'Daily Workforce'!$B143)=0,IF('Daily Schedule'!$A56=45,'Daily Workforce'!$J143="Y",IF(OR('Daily Schedule'!$A56=4,'Daily Schedule'!$A56=8),IF(OR(WEEKDAY('Daily Schedule'!$B$2,2)=1,WEEKDAY('Daily Schedule'!$B$2,2)=4,WEEKDAY('Daily Schedule'!$B$2,2)=5,WEEKDAY('Daily Schedule'!$B$2,2)=7),IFERROR(1*'Daily Workforce'!$K143&gt;=3,FALSE()),IFERROR(1*'Daily Workforce'!$K143&gt;=2,FALSE())),IF(AND('Daily Schedule'!$A56&gt;=46,'Daily Schedule'!$A56&lt;=52),'Daily Workforce'!$M143="Y",IFERROR(1*'Daily Workforce'!$P143&gt;=2,FALSE()))))),1,0)</f>
        <v>0</v>
      </c>
      <c r="EY52" s="1" t="n">
        <f aca="false">IF(AND('Daily Workforce'!$N144="Y",'Daily Workforce'!$B144&lt;&gt;"",COUNTIF('Daily Schedule'!$F$5:$F55,'Daily Workforce'!$B144)=0,IF('Daily Schedule'!$A56=45,'Daily Workforce'!$J144="Y",IF(OR('Daily Schedule'!$A56=4,'Daily Schedule'!$A56=8),IF(OR(WEEKDAY('Daily Schedule'!$B$2,2)=1,WEEKDAY('Daily Schedule'!$B$2,2)=4,WEEKDAY('Daily Schedule'!$B$2,2)=5,WEEKDAY('Daily Schedule'!$B$2,2)=7),IFERROR(1*'Daily Workforce'!$K144&gt;=3,FALSE()),IFERROR(1*'Daily Workforce'!$K144&gt;=2,FALSE())),IF(AND('Daily Schedule'!$A56&gt;=46,'Daily Schedule'!$A56&lt;=52),'Daily Workforce'!$M144="Y",IFERROR(1*'Daily Workforce'!$P144&gt;=2,FALSE()))))),1,0)</f>
        <v>0</v>
      </c>
      <c r="EZ52" s="1" t="n">
        <f aca="false">IF(AND('Daily Workforce'!$N145="Y",'Daily Workforce'!$B145&lt;&gt;"",COUNTIF('Daily Schedule'!$F$5:$F55,'Daily Workforce'!$B145)=0,IF('Daily Schedule'!$A56=45,'Daily Workforce'!$J145="Y",IF(OR('Daily Schedule'!$A56=4,'Daily Schedule'!$A56=8),IF(OR(WEEKDAY('Daily Schedule'!$B$2,2)=1,WEEKDAY('Daily Schedule'!$B$2,2)=4,WEEKDAY('Daily Schedule'!$B$2,2)=5,WEEKDAY('Daily Schedule'!$B$2,2)=7),IFERROR(1*'Daily Workforce'!$K145&gt;=3,FALSE()),IFERROR(1*'Daily Workforce'!$K145&gt;=2,FALSE())),IF(AND('Daily Schedule'!$A56&gt;=46,'Daily Schedule'!$A56&lt;=52),'Daily Workforce'!$M145="Y",IFERROR(1*'Daily Workforce'!$P145&gt;=2,FALSE()))))),1,0)</f>
        <v>0</v>
      </c>
      <c r="FA52" s="1" t="n">
        <f aca="false">IF(AND('Daily Workforce'!$N146="Y",'Daily Workforce'!$B146&lt;&gt;"",COUNTIF('Daily Schedule'!$F$5:$F55,'Daily Workforce'!$B146)=0,IF('Daily Schedule'!$A56=45,'Daily Workforce'!$J146="Y",IF(OR('Daily Schedule'!$A56=4,'Daily Schedule'!$A56=8),IF(OR(WEEKDAY('Daily Schedule'!$B$2,2)=1,WEEKDAY('Daily Schedule'!$B$2,2)=4,WEEKDAY('Daily Schedule'!$B$2,2)=5,WEEKDAY('Daily Schedule'!$B$2,2)=7),IFERROR(1*'Daily Workforce'!$K146&gt;=3,FALSE()),IFERROR(1*'Daily Workforce'!$K146&gt;=2,FALSE())),IF(AND('Daily Schedule'!$A56&gt;=46,'Daily Schedule'!$A56&lt;=52),'Daily Workforce'!$M146="Y",IFERROR(1*'Daily Workforce'!$P146&gt;=2,FALSE()))))),1,0)</f>
        <v>0</v>
      </c>
      <c r="FB52" s="1" t="n">
        <f aca="false">IF(AND('Daily Workforce'!$N147="Y",'Daily Workforce'!$B147&lt;&gt;"",COUNTIF('Daily Schedule'!$F$5:$F55,'Daily Workforce'!$B147)=0,IF('Daily Schedule'!$A56=45,'Daily Workforce'!$J147="Y",IF(OR('Daily Schedule'!$A56=4,'Daily Schedule'!$A56=8),IF(OR(WEEKDAY('Daily Schedule'!$B$2,2)=1,WEEKDAY('Daily Schedule'!$B$2,2)=4,WEEKDAY('Daily Schedule'!$B$2,2)=5,WEEKDAY('Daily Schedule'!$B$2,2)=7),IFERROR(1*'Daily Workforce'!$K147&gt;=3,FALSE()),IFERROR(1*'Daily Workforce'!$K147&gt;=2,FALSE())),IF(AND('Daily Schedule'!$A56&gt;=46,'Daily Schedule'!$A56&lt;=52),'Daily Workforce'!$M147="Y",IFERROR(1*'Daily Workforce'!$P147&gt;=2,FALSE()))))),1,0)</f>
        <v>0</v>
      </c>
      <c r="FC52" s="1" t="n">
        <f aca="false">IF(AND('Daily Workforce'!$N148="Y",'Daily Workforce'!$B148&lt;&gt;"",COUNTIF('Daily Schedule'!$F$5:$F55,'Daily Workforce'!$B148)=0,IF('Daily Schedule'!$A56=45,'Daily Workforce'!$J148="Y",IF(OR('Daily Schedule'!$A56=4,'Daily Schedule'!$A56=8),IF(OR(WEEKDAY('Daily Schedule'!$B$2,2)=1,WEEKDAY('Daily Schedule'!$B$2,2)=4,WEEKDAY('Daily Schedule'!$B$2,2)=5,WEEKDAY('Daily Schedule'!$B$2,2)=7),IFERROR(1*'Daily Workforce'!$K148&gt;=3,FALSE()),IFERROR(1*'Daily Workforce'!$K148&gt;=2,FALSE())),IF(AND('Daily Schedule'!$A56&gt;=46,'Daily Schedule'!$A56&lt;=52),'Daily Workforce'!$M148="Y",IFERROR(1*'Daily Workforce'!$P148&gt;=2,FALSE()))))),1,0)</f>
        <v>0</v>
      </c>
      <c r="FD52" s="1" t="n">
        <f aca="false">IF(AND('Daily Workforce'!$N149="Y",'Daily Workforce'!$B149&lt;&gt;"",COUNTIF('Daily Schedule'!$F$5:$F55,'Daily Workforce'!$B149)=0,IF('Daily Schedule'!$A56=45,'Daily Workforce'!$J149="Y",IF(OR('Daily Schedule'!$A56=4,'Daily Schedule'!$A56=8),IF(OR(WEEKDAY('Daily Schedule'!$B$2,2)=1,WEEKDAY('Daily Schedule'!$B$2,2)=4,WEEKDAY('Daily Schedule'!$B$2,2)=5,WEEKDAY('Daily Schedule'!$B$2,2)=7),IFERROR(1*'Daily Workforce'!$K149&gt;=3,FALSE()),IFERROR(1*'Daily Workforce'!$K149&gt;=2,FALSE())),IF(AND('Daily Schedule'!$A56&gt;=46,'Daily Schedule'!$A56&lt;=52),'Daily Workforce'!$M149="Y",IFERROR(1*'Daily Workforce'!$P149&gt;=2,FALSE()))))),1,0)</f>
        <v>0</v>
      </c>
      <c r="FE52" s="1" t="n">
        <f aca="false">IF(AND('Daily Workforce'!$N150="Y",'Daily Workforce'!$B150&lt;&gt;"",COUNTIF('Daily Schedule'!$F$5:$F55,'Daily Workforce'!$B150)=0,IF('Daily Schedule'!$A56=45,'Daily Workforce'!$J150="Y",IF(OR('Daily Schedule'!$A56=4,'Daily Schedule'!$A56=8),IF(OR(WEEKDAY('Daily Schedule'!$B$2,2)=1,WEEKDAY('Daily Schedule'!$B$2,2)=4,WEEKDAY('Daily Schedule'!$B$2,2)=5,WEEKDAY('Daily Schedule'!$B$2,2)=7),IFERROR(1*'Daily Workforce'!$K150&gt;=3,FALSE()),IFERROR(1*'Daily Workforce'!$K150&gt;=2,FALSE())),IF(AND('Daily Schedule'!$A56&gt;=46,'Daily Schedule'!$A56&lt;=52),'Daily Workforce'!$M150="Y",IFERROR(1*'Daily Workforce'!$P150&gt;=2,FALSE()))))),1,0)</f>
        <v>0</v>
      </c>
      <c r="FF52" s="1" t="n">
        <f aca="false">IF(AND('Daily Workforce'!$N151="Y",'Daily Workforce'!$B151&lt;&gt;"",COUNTIF('Daily Schedule'!$F$5:$F55,'Daily Workforce'!$B151)=0,IF('Daily Schedule'!$A56=45,'Daily Workforce'!$J151="Y",IF(OR('Daily Schedule'!$A56=4,'Daily Schedule'!$A56=8),IF(OR(WEEKDAY('Daily Schedule'!$B$2,2)=1,WEEKDAY('Daily Schedule'!$B$2,2)=4,WEEKDAY('Daily Schedule'!$B$2,2)=5,WEEKDAY('Daily Schedule'!$B$2,2)=7),IFERROR(1*'Daily Workforce'!$K151&gt;=3,FALSE()),IFERROR(1*'Daily Workforce'!$K151&gt;=2,FALSE())),IF(AND('Daily Schedule'!$A56&gt;=46,'Daily Schedule'!$A56&lt;=52),'Daily Workforce'!$M151="Y",IFERROR(1*'Daily Workforce'!$P151&gt;=2,FALSE()))))),1,0)</f>
        <v>0</v>
      </c>
      <c r="FG52" s="1" t="n">
        <f aca="false">IF(AND('Daily Workforce'!$N152="Y",'Daily Workforce'!$B152&lt;&gt;"",COUNTIF('Daily Schedule'!$F$5:$F55,'Daily Workforce'!$B152)=0,IF('Daily Schedule'!$A56=45,'Daily Workforce'!$J152="Y",IF(OR('Daily Schedule'!$A56=4,'Daily Schedule'!$A56=8),IF(OR(WEEKDAY('Daily Schedule'!$B$2,2)=1,WEEKDAY('Daily Schedule'!$B$2,2)=4,WEEKDAY('Daily Schedule'!$B$2,2)=5,WEEKDAY('Daily Schedule'!$B$2,2)=7),IFERROR(1*'Daily Workforce'!$K152&gt;=3,FALSE()),IFERROR(1*'Daily Workforce'!$K152&gt;=2,FALSE())),IF(AND('Daily Schedule'!$A56&gt;=46,'Daily Schedule'!$A56&lt;=52),'Daily Workforce'!$M152="Y",IFERROR(1*'Daily Workforce'!$P152&gt;=2,FALSE()))))),1,0)</f>
        <v>0</v>
      </c>
      <c r="FH52" s="1" t="n">
        <f aca="false">IF(AND('Daily Workforce'!$N153="Y",'Daily Workforce'!$B153&lt;&gt;"",COUNTIF('Daily Schedule'!$F$5:$F55,'Daily Workforce'!$B153)=0,IF('Daily Schedule'!$A56=45,'Daily Workforce'!$J153="Y",IF(OR('Daily Schedule'!$A56=4,'Daily Schedule'!$A56=8),IF(OR(WEEKDAY('Daily Schedule'!$B$2,2)=1,WEEKDAY('Daily Schedule'!$B$2,2)=4,WEEKDAY('Daily Schedule'!$B$2,2)=5,WEEKDAY('Daily Schedule'!$B$2,2)=7),IFERROR(1*'Daily Workforce'!$K153&gt;=3,FALSE()),IFERROR(1*'Daily Workforce'!$K153&gt;=2,FALSE())),IF(AND('Daily Schedule'!$A56&gt;=46,'Daily Schedule'!$A56&lt;=52),'Daily Workforce'!$M153="Y",IFERROR(1*'Daily Workforce'!$P153&gt;=2,FALSE()))))),1,0)</f>
        <v>0</v>
      </c>
      <c r="FI52" s="1" t="n">
        <f aca="false">IF(AND('Daily Workforce'!$N154="Y",'Daily Workforce'!$B154&lt;&gt;"",COUNTIF('Daily Schedule'!$F$5:$F55,'Daily Workforce'!$B154)=0,IF('Daily Schedule'!$A56=45,'Daily Workforce'!$J154="Y",IF(OR('Daily Schedule'!$A56=4,'Daily Schedule'!$A56=8),IF(OR(WEEKDAY('Daily Schedule'!$B$2,2)=1,WEEKDAY('Daily Schedule'!$B$2,2)=4,WEEKDAY('Daily Schedule'!$B$2,2)=5,WEEKDAY('Daily Schedule'!$B$2,2)=7),IFERROR(1*'Daily Workforce'!$K154&gt;=3,FALSE()),IFERROR(1*'Daily Workforce'!$K154&gt;=2,FALSE())),IF(AND('Daily Schedule'!$A56&gt;=46,'Daily Schedule'!$A56&lt;=52),'Daily Workforce'!$M154="Y",IFERROR(1*'Daily Workforce'!$P154&gt;=2,FALSE()))))),1,0)</f>
        <v>0</v>
      </c>
      <c r="FJ52" s="1" t="n">
        <f aca="false">IF(AND('Daily Workforce'!$N155="Y",'Daily Workforce'!$B155&lt;&gt;"",COUNTIF('Daily Schedule'!$F$5:$F55,'Daily Workforce'!$B155)=0,IF('Daily Schedule'!$A56=45,'Daily Workforce'!$J155="Y",IF(OR('Daily Schedule'!$A56=4,'Daily Schedule'!$A56=8),IF(OR(WEEKDAY('Daily Schedule'!$B$2,2)=1,WEEKDAY('Daily Schedule'!$B$2,2)=4,WEEKDAY('Daily Schedule'!$B$2,2)=5,WEEKDAY('Daily Schedule'!$B$2,2)=7),IFERROR(1*'Daily Workforce'!$K155&gt;=3,FALSE()),IFERROR(1*'Daily Workforce'!$K155&gt;=2,FALSE())),IF(AND('Daily Schedule'!$A56&gt;=46,'Daily Schedule'!$A56&lt;=52),'Daily Workforce'!$M155="Y",IFERROR(1*'Daily Workforce'!$P155&gt;=2,FALSE()))))),1,0)</f>
        <v>0</v>
      </c>
      <c r="FK52" s="1" t="n">
        <f aca="false">IF(AND('Daily Workforce'!$N156="Y",'Daily Workforce'!$B156&lt;&gt;"",COUNTIF('Daily Schedule'!$F$5:$F55,'Daily Workforce'!$B156)=0,IF('Daily Schedule'!$A56=45,'Daily Workforce'!$J156="Y",IF(OR('Daily Schedule'!$A56=4,'Daily Schedule'!$A56=8),IF(OR(WEEKDAY('Daily Schedule'!$B$2,2)=1,WEEKDAY('Daily Schedule'!$B$2,2)=4,WEEKDAY('Daily Schedule'!$B$2,2)=5,WEEKDAY('Daily Schedule'!$B$2,2)=7),IFERROR(1*'Daily Workforce'!$K156&gt;=3,FALSE()),IFERROR(1*'Daily Workforce'!$K156&gt;=2,FALSE())),IF(AND('Daily Schedule'!$A56&gt;=46,'Daily Schedule'!$A56&lt;=52),'Daily Workforce'!$M156="Y",IFERROR(1*'Daily Workforce'!$P156&gt;=2,FALSE()))))),1,0)</f>
        <v>0</v>
      </c>
      <c r="FL52" s="1" t="n">
        <f aca="false">IF(AND('Daily Workforce'!$N157="Y",'Daily Workforce'!$B157&lt;&gt;"",COUNTIF('Daily Schedule'!$F$5:$F55,'Daily Workforce'!$B157)=0,IF('Daily Schedule'!$A56=45,'Daily Workforce'!$J157="Y",IF(OR('Daily Schedule'!$A56=4,'Daily Schedule'!$A56=8),IF(OR(WEEKDAY('Daily Schedule'!$B$2,2)=1,WEEKDAY('Daily Schedule'!$B$2,2)=4,WEEKDAY('Daily Schedule'!$B$2,2)=5,WEEKDAY('Daily Schedule'!$B$2,2)=7),IFERROR(1*'Daily Workforce'!$K157&gt;=3,FALSE()),IFERROR(1*'Daily Workforce'!$K157&gt;=2,FALSE())),IF(AND('Daily Schedule'!$A56&gt;=46,'Daily Schedule'!$A56&lt;=52),'Daily Workforce'!$M157="Y",IFERROR(1*'Daily Workforce'!$P157&gt;=2,FALSE()))))),1,0)</f>
        <v>0</v>
      </c>
      <c r="FM52" s="1" t="n">
        <f aca="false">IF(AND('Daily Workforce'!$N158="Y",'Daily Workforce'!$B158&lt;&gt;"",COUNTIF('Daily Schedule'!$F$5:$F55,'Daily Workforce'!$B158)=0,IF('Daily Schedule'!$A56=45,'Daily Workforce'!$J158="Y",IF(OR('Daily Schedule'!$A56=4,'Daily Schedule'!$A56=8),IF(OR(WEEKDAY('Daily Schedule'!$B$2,2)=1,WEEKDAY('Daily Schedule'!$B$2,2)=4,WEEKDAY('Daily Schedule'!$B$2,2)=5,WEEKDAY('Daily Schedule'!$B$2,2)=7),IFERROR(1*'Daily Workforce'!$K158&gt;=3,FALSE()),IFERROR(1*'Daily Workforce'!$K158&gt;=2,FALSE())),IF(AND('Daily Schedule'!$A56&gt;=46,'Daily Schedule'!$A56&lt;=52),'Daily Workforce'!$M158="Y",IFERROR(1*'Daily Workforce'!$P158&gt;=2,FALSE()))))),1,0)</f>
        <v>0</v>
      </c>
      <c r="FN52" s="1" t="n">
        <f aca="false">IF(AND('Daily Workforce'!$N159="Y",'Daily Workforce'!$B159&lt;&gt;"",COUNTIF('Daily Schedule'!$F$5:$F55,'Daily Workforce'!$B159)=0,IF('Daily Schedule'!$A56=45,'Daily Workforce'!$J159="Y",IF(OR('Daily Schedule'!$A56=4,'Daily Schedule'!$A56=8),IF(OR(WEEKDAY('Daily Schedule'!$B$2,2)=1,WEEKDAY('Daily Schedule'!$B$2,2)=4,WEEKDAY('Daily Schedule'!$B$2,2)=5,WEEKDAY('Daily Schedule'!$B$2,2)=7),IFERROR(1*'Daily Workforce'!$K159&gt;=3,FALSE()),IFERROR(1*'Daily Workforce'!$K159&gt;=2,FALSE())),IF(AND('Daily Schedule'!$A56&gt;=46,'Daily Schedule'!$A56&lt;=52),'Daily Workforce'!$M159="Y",IFERROR(1*'Daily Workforce'!$P159&gt;=2,FALSE()))))),1,0)</f>
        <v>0</v>
      </c>
      <c r="FO52" s="1" t="n">
        <f aca="false">IF(AND('Daily Workforce'!$N160="Y",'Daily Workforce'!$B160&lt;&gt;"",COUNTIF('Daily Schedule'!$F$5:$F55,'Daily Workforce'!$B160)=0,IF('Daily Schedule'!$A56=45,'Daily Workforce'!$J160="Y",IF(OR('Daily Schedule'!$A56=4,'Daily Schedule'!$A56=8),IF(OR(WEEKDAY('Daily Schedule'!$B$2,2)=1,WEEKDAY('Daily Schedule'!$B$2,2)=4,WEEKDAY('Daily Schedule'!$B$2,2)=5,WEEKDAY('Daily Schedule'!$B$2,2)=7),IFERROR(1*'Daily Workforce'!$K160&gt;=3,FALSE()),IFERROR(1*'Daily Workforce'!$K160&gt;=2,FALSE())),IF(AND('Daily Schedule'!$A56&gt;=46,'Daily Schedule'!$A56&lt;=52),'Daily Workforce'!$M160="Y",IFERROR(1*'Daily Workforce'!$P160&gt;=2,FALSE()))))),1,0)</f>
        <v>0</v>
      </c>
      <c r="FP52" s="1" t="n">
        <f aca="false">IF(AND('Daily Workforce'!$N161="Y",'Daily Workforce'!$B161&lt;&gt;"",COUNTIF('Daily Schedule'!$F$5:$F55,'Daily Workforce'!$B161)=0,IF('Daily Schedule'!$A56=45,'Daily Workforce'!$J161="Y",IF(OR('Daily Schedule'!$A56=4,'Daily Schedule'!$A56=8),IF(OR(WEEKDAY('Daily Schedule'!$B$2,2)=1,WEEKDAY('Daily Schedule'!$B$2,2)=4,WEEKDAY('Daily Schedule'!$B$2,2)=5,WEEKDAY('Daily Schedule'!$B$2,2)=7),IFERROR(1*'Daily Workforce'!$K161&gt;=3,FALSE()),IFERROR(1*'Daily Workforce'!$K161&gt;=2,FALSE())),IF(AND('Daily Schedule'!$A56&gt;=46,'Daily Schedule'!$A56&lt;=52),'Daily Workforce'!$M161="Y",IFERROR(1*'Daily Workforce'!$P161&gt;=2,FALSE()))))),1,0)</f>
        <v>0</v>
      </c>
      <c r="FQ52" s="1" t="n">
        <f aca="false">IF(AND('Daily Workforce'!$N162="Y",'Daily Workforce'!$B162&lt;&gt;"",COUNTIF('Daily Schedule'!$F$5:$F55,'Daily Workforce'!$B162)=0,IF('Daily Schedule'!$A56=45,'Daily Workforce'!$J162="Y",IF(OR('Daily Schedule'!$A56=4,'Daily Schedule'!$A56=8),IF(OR(WEEKDAY('Daily Schedule'!$B$2,2)=1,WEEKDAY('Daily Schedule'!$B$2,2)=4,WEEKDAY('Daily Schedule'!$B$2,2)=5,WEEKDAY('Daily Schedule'!$B$2,2)=7),IFERROR(1*'Daily Workforce'!$K162&gt;=3,FALSE()),IFERROR(1*'Daily Workforce'!$K162&gt;=2,FALSE())),IF(AND('Daily Schedule'!$A56&gt;=46,'Daily Schedule'!$A56&lt;=52),'Daily Workforce'!$M162="Y",IFERROR(1*'Daily Workforce'!$P162&gt;=2,FALSE()))))),1,0)</f>
        <v>0</v>
      </c>
      <c r="FR52" s="1" t="n">
        <f aca="false">IF(AND('Daily Workforce'!$N163="Y",'Daily Workforce'!$B163&lt;&gt;"",COUNTIF('Daily Schedule'!$F$5:$F55,'Daily Workforce'!$B163)=0,IF('Daily Schedule'!$A56=45,'Daily Workforce'!$J163="Y",IF(OR('Daily Schedule'!$A56=4,'Daily Schedule'!$A56=8),IF(OR(WEEKDAY('Daily Schedule'!$B$2,2)=1,WEEKDAY('Daily Schedule'!$B$2,2)=4,WEEKDAY('Daily Schedule'!$B$2,2)=5,WEEKDAY('Daily Schedule'!$B$2,2)=7),IFERROR(1*'Daily Workforce'!$K163&gt;=3,FALSE()),IFERROR(1*'Daily Workforce'!$K163&gt;=2,FALSE())),IF(AND('Daily Schedule'!$A56&gt;=46,'Daily Schedule'!$A56&lt;=52),'Daily Workforce'!$M163="Y",IFERROR(1*'Daily Workforce'!$P163&gt;=2,FALSE()))))),1,0)</f>
        <v>0</v>
      </c>
      <c r="FS52" s="1" t="n">
        <f aca="false">IF(AND('Daily Workforce'!$N164="Y",'Daily Workforce'!$B164&lt;&gt;"",COUNTIF('Daily Schedule'!$F$5:$F55,'Daily Workforce'!$B164)=0,IF('Daily Schedule'!$A56=45,'Daily Workforce'!$J164="Y",IF(OR('Daily Schedule'!$A56=4,'Daily Schedule'!$A56=8),IF(OR(WEEKDAY('Daily Schedule'!$B$2,2)=1,WEEKDAY('Daily Schedule'!$B$2,2)=4,WEEKDAY('Daily Schedule'!$B$2,2)=5,WEEKDAY('Daily Schedule'!$B$2,2)=7),IFERROR(1*'Daily Workforce'!$K164&gt;=3,FALSE()),IFERROR(1*'Daily Workforce'!$K164&gt;=2,FALSE())),IF(AND('Daily Schedule'!$A56&gt;=46,'Daily Schedule'!$A56&lt;=52),'Daily Workforce'!$M164="Y",IFERROR(1*'Daily Workforce'!$P164&gt;=2,FALSE()))))),1,0)</f>
        <v>0</v>
      </c>
      <c r="FT52" s="1" t="n">
        <f aca="false">IF(AND('Daily Workforce'!$N165="Y",'Daily Workforce'!$B165&lt;&gt;"",COUNTIF('Daily Schedule'!$F$5:$F55,'Daily Workforce'!$B165)=0,IF('Daily Schedule'!$A56=45,'Daily Workforce'!$J165="Y",IF(OR('Daily Schedule'!$A56=4,'Daily Schedule'!$A56=8),IF(OR(WEEKDAY('Daily Schedule'!$B$2,2)=1,WEEKDAY('Daily Schedule'!$B$2,2)=4,WEEKDAY('Daily Schedule'!$B$2,2)=5,WEEKDAY('Daily Schedule'!$B$2,2)=7),IFERROR(1*'Daily Workforce'!$K165&gt;=3,FALSE()),IFERROR(1*'Daily Workforce'!$K165&gt;=2,FALSE())),IF(AND('Daily Schedule'!$A56&gt;=46,'Daily Schedule'!$A56&lt;=52),'Daily Workforce'!$M165="Y",IFERROR(1*'Daily Workforce'!$P165&gt;=2,FALSE()))))),1,0)</f>
        <v>0</v>
      </c>
      <c r="FU52" s="1" t="n">
        <f aca="false">IF(AND('Daily Workforce'!$N166="Y",'Daily Workforce'!$B166&lt;&gt;"",COUNTIF('Daily Schedule'!$F$5:$F55,'Daily Workforce'!$B166)=0,IF('Daily Schedule'!$A56=45,'Daily Workforce'!$J166="Y",IF(OR('Daily Schedule'!$A56=4,'Daily Schedule'!$A56=8),IF(OR(WEEKDAY('Daily Schedule'!$B$2,2)=1,WEEKDAY('Daily Schedule'!$B$2,2)=4,WEEKDAY('Daily Schedule'!$B$2,2)=5,WEEKDAY('Daily Schedule'!$B$2,2)=7),IFERROR(1*'Daily Workforce'!$K166&gt;=3,FALSE()),IFERROR(1*'Daily Workforce'!$K166&gt;=2,FALSE())),IF(AND('Daily Schedule'!$A56&gt;=46,'Daily Schedule'!$A56&lt;=52),'Daily Workforce'!$M166="Y",IFERROR(1*'Daily Workforce'!$P166&gt;=2,FALSE()))))),1,0)</f>
        <v>0</v>
      </c>
      <c r="FV52" s="1" t="n">
        <f aca="false">IF(AND('Daily Workforce'!$N167="Y",'Daily Workforce'!$B167&lt;&gt;"",COUNTIF('Daily Schedule'!$F$5:$F55,'Daily Workforce'!$B167)=0,IF('Daily Schedule'!$A56=45,'Daily Workforce'!$J167="Y",IF(OR('Daily Schedule'!$A56=4,'Daily Schedule'!$A56=8),IF(OR(WEEKDAY('Daily Schedule'!$B$2,2)=1,WEEKDAY('Daily Schedule'!$B$2,2)=4,WEEKDAY('Daily Schedule'!$B$2,2)=5,WEEKDAY('Daily Schedule'!$B$2,2)=7),IFERROR(1*'Daily Workforce'!$K167&gt;=3,FALSE()),IFERROR(1*'Daily Workforce'!$K167&gt;=2,FALSE())),IF(AND('Daily Schedule'!$A56&gt;=46,'Daily Schedule'!$A56&lt;=52),'Daily Workforce'!$M167="Y",IFERROR(1*'Daily Workforce'!$P167&gt;=2,FALSE()))))),1,0)</f>
        <v>0</v>
      </c>
      <c r="FW52" s="1" t="n">
        <f aca="false">IF(AND('Daily Workforce'!$N168="Y",'Daily Workforce'!$B168&lt;&gt;"",COUNTIF('Daily Schedule'!$F$5:$F55,'Daily Workforce'!$B168)=0,IF('Daily Schedule'!$A56=45,'Daily Workforce'!$J168="Y",IF(OR('Daily Schedule'!$A56=4,'Daily Schedule'!$A56=8),IF(OR(WEEKDAY('Daily Schedule'!$B$2,2)=1,WEEKDAY('Daily Schedule'!$B$2,2)=4,WEEKDAY('Daily Schedule'!$B$2,2)=5,WEEKDAY('Daily Schedule'!$B$2,2)=7),IFERROR(1*'Daily Workforce'!$K168&gt;=3,FALSE()),IFERROR(1*'Daily Workforce'!$K168&gt;=2,FALSE())),IF(AND('Daily Schedule'!$A56&gt;=46,'Daily Schedule'!$A56&lt;=52),'Daily Workforce'!$M168="Y",IFERROR(1*'Daily Workforce'!$P168&gt;=2,FALSE()))))),1,0)</f>
        <v>0</v>
      </c>
      <c r="FX52" s="1" t="n">
        <f aca="false">IF(AND('Daily Workforce'!$N169="Y",'Daily Workforce'!$B169&lt;&gt;"",COUNTIF('Daily Schedule'!$F$5:$F55,'Daily Workforce'!$B169)=0,IF('Daily Schedule'!$A56=45,'Daily Workforce'!$J169="Y",IF(OR('Daily Schedule'!$A56=4,'Daily Schedule'!$A56=8),IF(OR(WEEKDAY('Daily Schedule'!$B$2,2)=1,WEEKDAY('Daily Schedule'!$B$2,2)=4,WEEKDAY('Daily Schedule'!$B$2,2)=5,WEEKDAY('Daily Schedule'!$B$2,2)=7),IFERROR(1*'Daily Workforce'!$K169&gt;=3,FALSE()),IFERROR(1*'Daily Workforce'!$K169&gt;=2,FALSE())),IF(AND('Daily Schedule'!$A56&gt;=46,'Daily Schedule'!$A56&lt;=52),'Daily Workforce'!$M169="Y",IFERROR(1*'Daily Workforce'!$P169&gt;=2,FALSE()))))),1,0)</f>
        <v>0</v>
      </c>
      <c r="FY52" s="1" t="n">
        <f aca="false">IF(AND('Daily Workforce'!$N170="Y",'Daily Workforce'!$B170&lt;&gt;"",COUNTIF('Daily Schedule'!$F$5:$F55,'Daily Workforce'!$B170)=0,IF('Daily Schedule'!$A56=45,'Daily Workforce'!$J170="Y",IF(OR('Daily Schedule'!$A56=4,'Daily Schedule'!$A56=8),IF(OR(WEEKDAY('Daily Schedule'!$B$2,2)=1,WEEKDAY('Daily Schedule'!$B$2,2)=4,WEEKDAY('Daily Schedule'!$B$2,2)=5,WEEKDAY('Daily Schedule'!$B$2,2)=7),IFERROR(1*'Daily Workforce'!$K170&gt;=3,FALSE()),IFERROR(1*'Daily Workforce'!$K170&gt;=2,FALSE())),IF(AND('Daily Schedule'!$A56&gt;=46,'Daily Schedule'!$A56&lt;=52),'Daily Workforce'!$M170="Y",IFERROR(1*'Daily Workforce'!$P170&gt;=2,FALSE()))))),1,0)</f>
        <v>0</v>
      </c>
      <c r="FZ52" s="1" t="n">
        <f aca="false">IF(AND('Daily Workforce'!$N171="Y",'Daily Workforce'!$B171&lt;&gt;"",COUNTIF('Daily Schedule'!$F$5:$F55,'Daily Workforce'!$B171)=0,IF('Daily Schedule'!$A56=45,'Daily Workforce'!$J171="Y",IF(OR('Daily Schedule'!$A56=4,'Daily Schedule'!$A56=8),IF(OR(WEEKDAY('Daily Schedule'!$B$2,2)=1,WEEKDAY('Daily Schedule'!$B$2,2)=4,WEEKDAY('Daily Schedule'!$B$2,2)=5,WEEKDAY('Daily Schedule'!$B$2,2)=7),IFERROR(1*'Daily Workforce'!$K171&gt;=3,FALSE()),IFERROR(1*'Daily Workforce'!$K171&gt;=2,FALSE())),IF(AND('Daily Schedule'!$A56&gt;=46,'Daily Schedule'!$A56&lt;=52),'Daily Workforce'!$M171="Y",IFERROR(1*'Daily Workforce'!$P171&gt;=2,FALSE()))))),1,0)</f>
        <v>0</v>
      </c>
      <c r="GA52" s="1" t="n">
        <f aca="false">IF(AND('Daily Workforce'!$N172="Y",'Daily Workforce'!$B172&lt;&gt;"",COUNTIF('Daily Schedule'!$F$5:$F55,'Daily Workforce'!$B172)=0,IF('Daily Schedule'!$A56=45,'Daily Workforce'!$J172="Y",IF(OR('Daily Schedule'!$A56=4,'Daily Schedule'!$A56=8),IF(OR(WEEKDAY('Daily Schedule'!$B$2,2)=1,WEEKDAY('Daily Schedule'!$B$2,2)=4,WEEKDAY('Daily Schedule'!$B$2,2)=5,WEEKDAY('Daily Schedule'!$B$2,2)=7),IFERROR(1*'Daily Workforce'!$K172&gt;=3,FALSE()),IFERROR(1*'Daily Workforce'!$K172&gt;=2,FALSE())),IF(AND('Daily Schedule'!$A56&gt;=46,'Daily Schedule'!$A56&lt;=52),'Daily Workforce'!$M172="Y",IFERROR(1*'Daily Workforce'!$P172&gt;=2,FALSE()))))),1,0)</f>
        <v>0</v>
      </c>
      <c r="GB52" s="1" t="n">
        <f aca="false">IF(AND('Daily Workforce'!$N173="Y",'Daily Workforce'!$B173&lt;&gt;"",COUNTIF('Daily Schedule'!$F$5:$F55,'Daily Workforce'!$B173)=0,IF('Daily Schedule'!$A56=45,'Daily Workforce'!$J173="Y",IF(OR('Daily Schedule'!$A56=4,'Daily Schedule'!$A56=8),IF(OR(WEEKDAY('Daily Schedule'!$B$2,2)=1,WEEKDAY('Daily Schedule'!$B$2,2)=4,WEEKDAY('Daily Schedule'!$B$2,2)=5,WEEKDAY('Daily Schedule'!$B$2,2)=7),IFERROR(1*'Daily Workforce'!$K173&gt;=3,FALSE()),IFERROR(1*'Daily Workforce'!$K173&gt;=2,FALSE())),IF(AND('Daily Schedule'!$A56&gt;=46,'Daily Schedule'!$A56&lt;=52),'Daily Workforce'!$M173="Y",IFERROR(1*'Daily Workforce'!$P173&gt;=2,FALSE()))))),1,0)</f>
        <v>0</v>
      </c>
      <c r="GC52" s="1" t="n">
        <f aca="false">IF(AND('Daily Workforce'!$N174="Y",'Daily Workforce'!$B174&lt;&gt;"",COUNTIF('Daily Schedule'!$F$5:$F55,'Daily Workforce'!$B174)=0,IF('Daily Schedule'!$A56=45,'Daily Workforce'!$J174="Y",IF(OR('Daily Schedule'!$A56=4,'Daily Schedule'!$A56=8),IF(OR(WEEKDAY('Daily Schedule'!$B$2,2)=1,WEEKDAY('Daily Schedule'!$B$2,2)=4,WEEKDAY('Daily Schedule'!$B$2,2)=5,WEEKDAY('Daily Schedule'!$B$2,2)=7),IFERROR(1*'Daily Workforce'!$K174&gt;=3,FALSE()),IFERROR(1*'Daily Workforce'!$K174&gt;=2,FALSE())),IF(AND('Daily Schedule'!$A56&gt;=46,'Daily Schedule'!$A56&lt;=52),'Daily Workforce'!$M174="Y",IFERROR(1*'Daily Workforce'!$P174&gt;=2,FALSE()))))),1,0)</f>
        <v>0</v>
      </c>
      <c r="GD52" s="1" t="n">
        <f aca="false">IF(AND('Daily Workforce'!$N175="Y",'Daily Workforce'!$B175&lt;&gt;"",COUNTIF('Daily Schedule'!$F$5:$F55,'Daily Workforce'!$B175)=0,IF('Daily Schedule'!$A56=45,'Daily Workforce'!$J175="Y",IF(OR('Daily Schedule'!$A56=4,'Daily Schedule'!$A56=8),IF(OR(WEEKDAY('Daily Schedule'!$B$2,2)=1,WEEKDAY('Daily Schedule'!$B$2,2)=4,WEEKDAY('Daily Schedule'!$B$2,2)=5,WEEKDAY('Daily Schedule'!$B$2,2)=7),IFERROR(1*'Daily Workforce'!$K175&gt;=3,FALSE()),IFERROR(1*'Daily Workforce'!$K175&gt;=2,FALSE())),IF(AND('Daily Schedule'!$A56&gt;=46,'Daily Schedule'!$A56&lt;=52),'Daily Workforce'!$M175="Y",IFERROR(1*'Daily Workforce'!$P175&gt;=2,FALSE()))))),1,0)</f>
        <v>0</v>
      </c>
      <c r="GE52" s="1" t="n">
        <f aca="false">IF(AND('Daily Workforce'!$N176="Y",'Daily Workforce'!$B176&lt;&gt;"",COUNTIF('Daily Schedule'!$F$5:$F55,'Daily Workforce'!$B176)=0,IF('Daily Schedule'!$A56=45,'Daily Workforce'!$J176="Y",IF(OR('Daily Schedule'!$A56=4,'Daily Schedule'!$A56=8),IF(OR(WEEKDAY('Daily Schedule'!$B$2,2)=1,WEEKDAY('Daily Schedule'!$B$2,2)=4,WEEKDAY('Daily Schedule'!$B$2,2)=5,WEEKDAY('Daily Schedule'!$B$2,2)=7),IFERROR(1*'Daily Workforce'!$K176&gt;=3,FALSE()),IFERROR(1*'Daily Workforce'!$K176&gt;=2,FALSE())),IF(AND('Daily Schedule'!$A56&gt;=46,'Daily Schedule'!$A56&lt;=52),'Daily Workforce'!$M176="Y",IFERROR(1*'Daily Workforce'!$P176&gt;=2,FALSE()))))),1,0)</f>
        <v>0</v>
      </c>
      <c r="GF52" s="1" t="n">
        <f aca="false">IF(AND('Daily Workforce'!$N177="Y",'Daily Workforce'!$B177&lt;&gt;"",COUNTIF('Daily Schedule'!$F$5:$F55,'Daily Workforce'!$B177)=0,IF('Daily Schedule'!$A56=45,'Daily Workforce'!$J177="Y",IF(OR('Daily Schedule'!$A56=4,'Daily Schedule'!$A56=8),IF(OR(WEEKDAY('Daily Schedule'!$B$2,2)=1,WEEKDAY('Daily Schedule'!$B$2,2)=4,WEEKDAY('Daily Schedule'!$B$2,2)=5,WEEKDAY('Daily Schedule'!$B$2,2)=7),IFERROR(1*'Daily Workforce'!$K177&gt;=3,FALSE()),IFERROR(1*'Daily Workforce'!$K177&gt;=2,FALSE())),IF(AND('Daily Schedule'!$A56&gt;=46,'Daily Schedule'!$A56&lt;=52),'Daily Workforce'!$M177="Y",IFERROR(1*'Daily Workforce'!$P177&gt;=2,FALSE()))))),1,0)</f>
        <v>0</v>
      </c>
      <c r="GG52" s="1" t="n">
        <f aca="false">IF(AND('Daily Workforce'!$N178="Y",'Daily Workforce'!$B178&lt;&gt;"",COUNTIF('Daily Schedule'!$F$5:$F55,'Daily Workforce'!$B178)=0,IF('Daily Schedule'!$A56=45,'Daily Workforce'!$J178="Y",IF(OR('Daily Schedule'!$A56=4,'Daily Schedule'!$A56=8),IF(OR(WEEKDAY('Daily Schedule'!$B$2,2)=1,WEEKDAY('Daily Schedule'!$B$2,2)=4,WEEKDAY('Daily Schedule'!$B$2,2)=5,WEEKDAY('Daily Schedule'!$B$2,2)=7),IFERROR(1*'Daily Workforce'!$K178&gt;=3,FALSE()),IFERROR(1*'Daily Workforce'!$K178&gt;=2,FALSE())),IF(AND('Daily Schedule'!$A56&gt;=46,'Daily Schedule'!$A56&lt;=52),'Daily Workforce'!$M178="Y",IFERROR(1*'Daily Workforce'!$P178&gt;=2,FALSE()))))),1,0)</f>
        <v>0</v>
      </c>
      <c r="GH52" s="1" t="n">
        <f aca="false">IF(AND('Daily Workforce'!$N179="Y",'Daily Workforce'!$B179&lt;&gt;"",COUNTIF('Daily Schedule'!$F$5:$F55,'Daily Workforce'!$B179)=0,IF('Daily Schedule'!$A56=45,'Daily Workforce'!$J179="Y",IF(OR('Daily Schedule'!$A56=4,'Daily Schedule'!$A56=8),IF(OR(WEEKDAY('Daily Schedule'!$B$2,2)=1,WEEKDAY('Daily Schedule'!$B$2,2)=4,WEEKDAY('Daily Schedule'!$B$2,2)=5,WEEKDAY('Daily Schedule'!$B$2,2)=7),IFERROR(1*'Daily Workforce'!$K179&gt;=3,FALSE()),IFERROR(1*'Daily Workforce'!$K179&gt;=2,FALSE())),IF(AND('Daily Schedule'!$A56&gt;=46,'Daily Schedule'!$A56&lt;=52),'Daily Workforce'!$M179="Y",IFERROR(1*'Daily Workforce'!$P179&gt;=2,FALSE()))))),1,0)</f>
        <v>0</v>
      </c>
      <c r="GI52" s="1" t="n">
        <f aca="false">IF(AND('Daily Workforce'!$N180="Y",'Daily Workforce'!$B180&lt;&gt;"",COUNTIF('Daily Schedule'!$F$5:$F55,'Daily Workforce'!$B180)=0,IF('Daily Schedule'!$A56=45,'Daily Workforce'!$J180="Y",IF(OR('Daily Schedule'!$A56=4,'Daily Schedule'!$A56=8),IF(OR(WEEKDAY('Daily Schedule'!$B$2,2)=1,WEEKDAY('Daily Schedule'!$B$2,2)=4,WEEKDAY('Daily Schedule'!$B$2,2)=5,WEEKDAY('Daily Schedule'!$B$2,2)=7),IFERROR(1*'Daily Workforce'!$K180&gt;=3,FALSE()),IFERROR(1*'Daily Workforce'!$K180&gt;=2,FALSE())),IF(AND('Daily Schedule'!$A56&gt;=46,'Daily Schedule'!$A56&lt;=52),'Daily Workforce'!$M180="Y",IFERROR(1*'Daily Workforce'!$P180&gt;=2,FALSE()))))),1,0)</f>
        <v>0</v>
      </c>
      <c r="GJ52" s="1" t="n">
        <f aca="false">IF(AND('Daily Workforce'!$N181="Y",'Daily Workforce'!$B181&lt;&gt;"",COUNTIF('Daily Schedule'!$F$5:$F55,'Daily Workforce'!$B181)=0,IF('Daily Schedule'!$A56=45,'Daily Workforce'!$J181="Y",IF(OR('Daily Schedule'!$A56=4,'Daily Schedule'!$A56=8),IF(OR(WEEKDAY('Daily Schedule'!$B$2,2)=1,WEEKDAY('Daily Schedule'!$B$2,2)=4,WEEKDAY('Daily Schedule'!$B$2,2)=5,WEEKDAY('Daily Schedule'!$B$2,2)=7),IFERROR(1*'Daily Workforce'!$K181&gt;=3,FALSE()),IFERROR(1*'Daily Workforce'!$K181&gt;=2,FALSE())),IF(AND('Daily Schedule'!$A56&gt;=46,'Daily Schedule'!$A56&lt;=52),'Daily Workforce'!$M181="Y",IFERROR(1*'Daily Workforce'!$P181&gt;=2,FALSE()))))),1,0)</f>
        <v>0</v>
      </c>
      <c r="GK52" s="1" t="n">
        <f aca="false">IF(AND('Daily Workforce'!$N182="Y",'Daily Workforce'!$B182&lt;&gt;"",COUNTIF('Daily Schedule'!$F$5:$F55,'Daily Workforce'!$B182)=0,IF('Daily Schedule'!$A56=45,'Daily Workforce'!$J182="Y",IF(OR('Daily Schedule'!$A56=4,'Daily Schedule'!$A56=8),IF(OR(WEEKDAY('Daily Schedule'!$B$2,2)=1,WEEKDAY('Daily Schedule'!$B$2,2)=4,WEEKDAY('Daily Schedule'!$B$2,2)=5,WEEKDAY('Daily Schedule'!$B$2,2)=7),IFERROR(1*'Daily Workforce'!$K182&gt;=3,FALSE()),IFERROR(1*'Daily Workforce'!$K182&gt;=2,FALSE())),IF(AND('Daily Schedule'!$A56&gt;=46,'Daily Schedule'!$A56&lt;=52),'Daily Workforce'!$M182="Y",IFERROR(1*'Daily Workforce'!$P182&gt;=2,FALSE()))))),1,0)</f>
        <v>0</v>
      </c>
      <c r="GL52" s="1" t="n">
        <f aca="false">IF(AND('Daily Workforce'!$N183="Y",'Daily Workforce'!$B183&lt;&gt;"",COUNTIF('Daily Schedule'!$F$5:$F55,'Daily Workforce'!$B183)=0,IF('Daily Schedule'!$A56=45,'Daily Workforce'!$J183="Y",IF(OR('Daily Schedule'!$A56=4,'Daily Schedule'!$A56=8),IF(OR(WEEKDAY('Daily Schedule'!$B$2,2)=1,WEEKDAY('Daily Schedule'!$B$2,2)=4,WEEKDAY('Daily Schedule'!$B$2,2)=5,WEEKDAY('Daily Schedule'!$B$2,2)=7),IFERROR(1*'Daily Workforce'!$K183&gt;=3,FALSE()),IFERROR(1*'Daily Workforce'!$K183&gt;=2,FALSE())),IF(AND('Daily Schedule'!$A56&gt;=46,'Daily Schedule'!$A56&lt;=52),'Daily Workforce'!$M183="Y",IFERROR(1*'Daily Workforce'!$P183&gt;=2,FALSE()))))),1,0)</f>
        <v>0</v>
      </c>
      <c r="GM52" s="1" t="n">
        <f aca="false">IF(AND('Daily Workforce'!$N184="Y",'Daily Workforce'!$B184&lt;&gt;"",COUNTIF('Daily Schedule'!$F$5:$F55,'Daily Workforce'!$B184)=0,IF('Daily Schedule'!$A56=45,'Daily Workforce'!$J184="Y",IF(OR('Daily Schedule'!$A56=4,'Daily Schedule'!$A56=8),IF(OR(WEEKDAY('Daily Schedule'!$B$2,2)=1,WEEKDAY('Daily Schedule'!$B$2,2)=4,WEEKDAY('Daily Schedule'!$B$2,2)=5,WEEKDAY('Daily Schedule'!$B$2,2)=7),IFERROR(1*'Daily Workforce'!$K184&gt;=3,FALSE()),IFERROR(1*'Daily Workforce'!$K184&gt;=2,FALSE())),IF(AND('Daily Schedule'!$A56&gt;=46,'Daily Schedule'!$A56&lt;=52),'Daily Workforce'!$M184="Y",IFERROR(1*'Daily Workforce'!$P184&gt;=2,FALSE()))))),1,0)</f>
        <v>0</v>
      </c>
      <c r="GN52" s="1" t="n">
        <f aca="false">IF(AND('Daily Workforce'!$N185="Y",'Daily Workforce'!$B185&lt;&gt;"",COUNTIF('Daily Schedule'!$F$5:$F55,'Daily Workforce'!$B185)=0,IF('Daily Schedule'!$A56=45,'Daily Workforce'!$J185="Y",IF(OR('Daily Schedule'!$A56=4,'Daily Schedule'!$A56=8),IF(OR(WEEKDAY('Daily Schedule'!$B$2,2)=1,WEEKDAY('Daily Schedule'!$B$2,2)=4,WEEKDAY('Daily Schedule'!$B$2,2)=5,WEEKDAY('Daily Schedule'!$B$2,2)=7),IFERROR(1*'Daily Workforce'!$K185&gt;=3,FALSE()),IFERROR(1*'Daily Workforce'!$K185&gt;=2,FALSE())),IF(AND('Daily Schedule'!$A56&gt;=46,'Daily Schedule'!$A56&lt;=52),'Daily Workforce'!$M185="Y",IFERROR(1*'Daily Workforce'!$P185&gt;=2,FALSE()))))),1,0)</f>
        <v>0</v>
      </c>
      <c r="GO52" s="1" t="n">
        <f aca="false">IF(AND('Daily Workforce'!$N186="Y",'Daily Workforce'!$B186&lt;&gt;"",COUNTIF('Daily Schedule'!$F$5:$F55,'Daily Workforce'!$B186)=0,IF('Daily Schedule'!$A56=45,'Daily Workforce'!$J186="Y",IF(OR('Daily Schedule'!$A56=4,'Daily Schedule'!$A56=8),IF(OR(WEEKDAY('Daily Schedule'!$B$2,2)=1,WEEKDAY('Daily Schedule'!$B$2,2)=4,WEEKDAY('Daily Schedule'!$B$2,2)=5,WEEKDAY('Daily Schedule'!$B$2,2)=7),IFERROR(1*'Daily Workforce'!$K186&gt;=3,FALSE()),IFERROR(1*'Daily Workforce'!$K186&gt;=2,FALSE())),IF(AND('Daily Schedule'!$A56&gt;=46,'Daily Schedule'!$A56&lt;=52),'Daily Workforce'!$M186="Y",IFERROR(1*'Daily Workforce'!$P186&gt;=2,FALSE()))))),1,0)</f>
        <v>0</v>
      </c>
      <c r="GP52" s="1" t="n">
        <f aca="false">IF(AND('Daily Workforce'!$N187="Y",'Daily Workforce'!$B187&lt;&gt;"",COUNTIF('Daily Schedule'!$F$5:$F55,'Daily Workforce'!$B187)=0,IF('Daily Schedule'!$A56=45,'Daily Workforce'!$J187="Y",IF(OR('Daily Schedule'!$A56=4,'Daily Schedule'!$A56=8),IF(OR(WEEKDAY('Daily Schedule'!$B$2,2)=1,WEEKDAY('Daily Schedule'!$B$2,2)=4,WEEKDAY('Daily Schedule'!$B$2,2)=5,WEEKDAY('Daily Schedule'!$B$2,2)=7),IFERROR(1*'Daily Workforce'!$K187&gt;=3,FALSE()),IFERROR(1*'Daily Workforce'!$K187&gt;=2,FALSE())),IF(AND('Daily Schedule'!$A56&gt;=46,'Daily Schedule'!$A56&lt;=52),'Daily Workforce'!$M187="Y",IFERROR(1*'Daily Workforce'!$P187&gt;=2,FALSE()))))),1,0)</f>
        <v>0</v>
      </c>
      <c r="GQ52" s="1" t="n">
        <f aca="false">IF(AND('Daily Workforce'!$N188="Y",'Daily Workforce'!$B188&lt;&gt;"",COUNTIF('Daily Schedule'!$F$5:$F55,'Daily Workforce'!$B188)=0,IF('Daily Schedule'!$A56=45,'Daily Workforce'!$J188="Y",IF(OR('Daily Schedule'!$A56=4,'Daily Schedule'!$A56=8),IF(OR(WEEKDAY('Daily Schedule'!$B$2,2)=1,WEEKDAY('Daily Schedule'!$B$2,2)=4,WEEKDAY('Daily Schedule'!$B$2,2)=5,WEEKDAY('Daily Schedule'!$B$2,2)=7),IFERROR(1*'Daily Workforce'!$K188&gt;=3,FALSE()),IFERROR(1*'Daily Workforce'!$K188&gt;=2,FALSE())),IF(AND('Daily Schedule'!$A56&gt;=46,'Daily Schedule'!$A56&lt;=52),'Daily Workforce'!$M188="Y",IFERROR(1*'Daily Workforce'!$P188&gt;=2,FALSE()))))),1,0)</f>
        <v>0</v>
      </c>
      <c r="GR52" s="1" t="n">
        <f aca="false">IF(AND('Daily Workforce'!$N189="Y",'Daily Workforce'!$B189&lt;&gt;"",COUNTIF('Daily Schedule'!$F$5:$F55,'Daily Workforce'!$B189)=0,IF('Daily Schedule'!$A56=45,'Daily Workforce'!$J189="Y",IF(OR('Daily Schedule'!$A56=4,'Daily Schedule'!$A56=8),IF(OR(WEEKDAY('Daily Schedule'!$B$2,2)=1,WEEKDAY('Daily Schedule'!$B$2,2)=4,WEEKDAY('Daily Schedule'!$B$2,2)=5,WEEKDAY('Daily Schedule'!$B$2,2)=7),IFERROR(1*'Daily Workforce'!$K189&gt;=3,FALSE()),IFERROR(1*'Daily Workforce'!$K189&gt;=2,FALSE())),IF(AND('Daily Schedule'!$A56&gt;=46,'Daily Schedule'!$A56&lt;=52),'Daily Workforce'!$M189="Y",IFERROR(1*'Daily Workforce'!$P189&gt;=2,FALSE()))))),1,0)</f>
        <v>0</v>
      </c>
      <c r="GS52" s="1" t="n">
        <f aca="false">IF(AND('Daily Workforce'!$N190="Y",'Daily Workforce'!$B190&lt;&gt;"",COUNTIF('Daily Schedule'!$F$5:$F55,'Daily Workforce'!$B190)=0,IF('Daily Schedule'!$A56=45,'Daily Workforce'!$J190="Y",IF(OR('Daily Schedule'!$A56=4,'Daily Schedule'!$A56=8),IF(OR(WEEKDAY('Daily Schedule'!$B$2,2)=1,WEEKDAY('Daily Schedule'!$B$2,2)=4,WEEKDAY('Daily Schedule'!$B$2,2)=5,WEEKDAY('Daily Schedule'!$B$2,2)=7),IFERROR(1*'Daily Workforce'!$K190&gt;=3,FALSE()),IFERROR(1*'Daily Workforce'!$K190&gt;=2,FALSE())),IF(AND('Daily Schedule'!$A56&gt;=46,'Daily Schedule'!$A56&lt;=52),'Daily Workforce'!$M190="Y",IFERROR(1*'Daily Workforce'!$P190&gt;=2,FALSE()))))),1,0)</f>
        <v>0</v>
      </c>
      <c r="GT52" s="1" t="n">
        <f aca="false">IF(AND('Daily Workforce'!$N191="Y",'Daily Workforce'!$B191&lt;&gt;"",COUNTIF('Daily Schedule'!$F$5:$F55,'Daily Workforce'!$B191)=0,IF('Daily Schedule'!$A56=45,'Daily Workforce'!$J191="Y",IF(OR('Daily Schedule'!$A56=4,'Daily Schedule'!$A56=8),IF(OR(WEEKDAY('Daily Schedule'!$B$2,2)=1,WEEKDAY('Daily Schedule'!$B$2,2)=4,WEEKDAY('Daily Schedule'!$B$2,2)=5,WEEKDAY('Daily Schedule'!$B$2,2)=7),IFERROR(1*'Daily Workforce'!$K191&gt;=3,FALSE()),IFERROR(1*'Daily Workforce'!$K191&gt;=2,FALSE())),IF(AND('Daily Schedule'!$A56&gt;=46,'Daily Schedule'!$A56&lt;=52),'Daily Workforce'!$M191="Y",IFERROR(1*'Daily Workforce'!$P191&gt;=2,FALSE()))))),1,0)</f>
        <v>0</v>
      </c>
      <c r="GU52" s="1" t="n">
        <f aca="false">IF(AND('Daily Workforce'!$N192="Y",'Daily Workforce'!$B192&lt;&gt;"",COUNTIF('Daily Schedule'!$F$5:$F55,'Daily Workforce'!$B192)=0,IF('Daily Schedule'!$A56=45,'Daily Workforce'!$J192="Y",IF(OR('Daily Schedule'!$A56=4,'Daily Schedule'!$A56=8),IF(OR(WEEKDAY('Daily Schedule'!$B$2,2)=1,WEEKDAY('Daily Schedule'!$B$2,2)=4,WEEKDAY('Daily Schedule'!$B$2,2)=5,WEEKDAY('Daily Schedule'!$B$2,2)=7),IFERROR(1*'Daily Workforce'!$K192&gt;=3,FALSE()),IFERROR(1*'Daily Workforce'!$K192&gt;=2,FALSE())),IF(AND('Daily Schedule'!$A56&gt;=46,'Daily Schedule'!$A56&lt;=52),'Daily Workforce'!$M192="Y",IFERROR(1*'Daily Workforce'!$P192&gt;=2,FALSE()))))),1,0)</f>
        <v>0</v>
      </c>
      <c r="GV52" s="1" t="n">
        <f aca="false">IF(AND('Daily Workforce'!$N193="Y",'Daily Workforce'!$B193&lt;&gt;"",COUNTIF('Daily Schedule'!$F$5:$F55,'Daily Workforce'!$B193)=0,IF('Daily Schedule'!$A56=45,'Daily Workforce'!$J193="Y",IF(OR('Daily Schedule'!$A56=4,'Daily Schedule'!$A56=8),IF(OR(WEEKDAY('Daily Schedule'!$B$2,2)=1,WEEKDAY('Daily Schedule'!$B$2,2)=4,WEEKDAY('Daily Schedule'!$B$2,2)=5,WEEKDAY('Daily Schedule'!$B$2,2)=7),IFERROR(1*'Daily Workforce'!$K193&gt;=3,FALSE()),IFERROR(1*'Daily Workforce'!$K193&gt;=2,FALSE())),IF(AND('Daily Schedule'!$A56&gt;=46,'Daily Schedule'!$A56&lt;=52),'Daily Workforce'!$M193="Y",IFERROR(1*'Daily Workforce'!$P193&gt;=2,FALSE()))))),1,0)</f>
        <v>0</v>
      </c>
      <c r="GW52" s="1" t="n">
        <f aca="false">IF(AND('Daily Workforce'!$N194="Y",'Daily Workforce'!$B194&lt;&gt;"",COUNTIF('Daily Schedule'!$F$5:$F55,'Daily Workforce'!$B194)=0,IF('Daily Schedule'!$A56=45,'Daily Workforce'!$J194="Y",IF(OR('Daily Schedule'!$A56=4,'Daily Schedule'!$A56=8),IF(OR(WEEKDAY('Daily Schedule'!$B$2,2)=1,WEEKDAY('Daily Schedule'!$B$2,2)=4,WEEKDAY('Daily Schedule'!$B$2,2)=5,WEEKDAY('Daily Schedule'!$B$2,2)=7),IFERROR(1*'Daily Workforce'!$K194&gt;=3,FALSE()),IFERROR(1*'Daily Workforce'!$K194&gt;=2,FALSE())),IF(AND('Daily Schedule'!$A56&gt;=46,'Daily Schedule'!$A56&lt;=52),'Daily Workforce'!$M194="Y",IFERROR(1*'Daily Workforce'!$P194&gt;=2,FALSE()))))),1,0)</f>
        <v>0</v>
      </c>
      <c r="GX52" s="1" t="n">
        <f aca="false">IF(AND('Daily Workforce'!$N195="Y",'Daily Workforce'!$B195&lt;&gt;"",COUNTIF('Daily Schedule'!$F$5:$F55,'Daily Workforce'!$B195)=0,IF('Daily Schedule'!$A56=45,'Daily Workforce'!$J195="Y",IF(OR('Daily Schedule'!$A56=4,'Daily Schedule'!$A56=8),IF(OR(WEEKDAY('Daily Schedule'!$B$2,2)=1,WEEKDAY('Daily Schedule'!$B$2,2)=4,WEEKDAY('Daily Schedule'!$B$2,2)=5,WEEKDAY('Daily Schedule'!$B$2,2)=7),IFERROR(1*'Daily Workforce'!$K195&gt;=3,FALSE()),IFERROR(1*'Daily Workforce'!$K195&gt;=2,FALSE())),IF(AND('Daily Schedule'!$A56&gt;=46,'Daily Schedule'!$A56&lt;=52),'Daily Workforce'!$M195="Y",IFERROR(1*'Daily Workforce'!$P195&gt;=2,FALSE()))))),1,0)</f>
        <v>0</v>
      </c>
      <c r="GY52" s="1" t="n">
        <f aca="false">IF(AND('Daily Workforce'!$N196="Y",'Daily Workforce'!$B196&lt;&gt;"",COUNTIF('Daily Schedule'!$F$5:$F55,'Daily Workforce'!$B196)=0,IF('Daily Schedule'!$A56=45,'Daily Workforce'!$J196="Y",IF(OR('Daily Schedule'!$A56=4,'Daily Schedule'!$A56=8),IF(OR(WEEKDAY('Daily Schedule'!$B$2,2)=1,WEEKDAY('Daily Schedule'!$B$2,2)=4,WEEKDAY('Daily Schedule'!$B$2,2)=5,WEEKDAY('Daily Schedule'!$B$2,2)=7),IFERROR(1*'Daily Workforce'!$K196&gt;=3,FALSE()),IFERROR(1*'Daily Workforce'!$K196&gt;=2,FALSE())),IF(AND('Daily Schedule'!$A56&gt;=46,'Daily Schedule'!$A56&lt;=52),'Daily Workforce'!$M196="Y",IFERROR(1*'Daily Workforce'!$P196&gt;=2,FALSE()))))),1,0)</f>
        <v>0</v>
      </c>
      <c r="GZ52" s="1" t="n">
        <f aca="false">IF(AND('Daily Workforce'!$N197="Y",'Daily Workforce'!$B197&lt;&gt;"",COUNTIF('Daily Schedule'!$F$5:$F55,'Daily Workforce'!$B197)=0,IF('Daily Schedule'!$A56=45,'Daily Workforce'!$J197="Y",IF(OR('Daily Schedule'!$A56=4,'Daily Schedule'!$A56=8),IF(OR(WEEKDAY('Daily Schedule'!$B$2,2)=1,WEEKDAY('Daily Schedule'!$B$2,2)=4,WEEKDAY('Daily Schedule'!$B$2,2)=5,WEEKDAY('Daily Schedule'!$B$2,2)=7),IFERROR(1*'Daily Workforce'!$K197&gt;=3,FALSE()),IFERROR(1*'Daily Workforce'!$K197&gt;=2,FALSE())),IF(AND('Daily Schedule'!$A56&gt;=46,'Daily Schedule'!$A56&lt;=52),'Daily Workforce'!$M197="Y",IFERROR(1*'Daily Workforce'!$P197&gt;=2,FALSE()))))),1,0)</f>
        <v>0</v>
      </c>
      <c r="HA52" s="1" t="n">
        <f aca="false">IF(AND('Daily Workforce'!$N198="Y",'Daily Workforce'!$B198&lt;&gt;"",COUNTIF('Daily Schedule'!$F$5:$F55,'Daily Workforce'!$B198)=0,IF('Daily Schedule'!$A56=45,'Daily Workforce'!$J198="Y",IF(OR('Daily Schedule'!$A56=4,'Daily Schedule'!$A56=8),IF(OR(WEEKDAY('Daily Schedule'!$B$2,2)=1,WEEKDAY('Daily Schedule'!$B$2,2)=4,WEEKDAY('Daily Schedule'!$B$2,2)=5,WEEKDAY('Daily Schedule'!$B$2,2)=7),IFERROR(1*'Daily Workforce'!$K198&gt;=3,FALSE()),IFERROR(1*'Daily Workforce'!$K198&gt;=2,FALSE())),IF(AND('Daily Schedule'!$A56&gt;=46,'Daily Schedule'!$A56&lt;=52),'Daily Workforce'!$M198="Y",IFERROR(1*'Daily Workforce'!$P198&gt;=2,FALSE()))))),1,0)</f>
        <v>0</v>
      </c>
      <c r="HB52" s="1" t="n">
        <f aca="false">IF(AND('Daily Workforce'!$N199="Y",'Daily Workforce'!$B199&lt;&gt;"",COUNTIF('Daily Schedule'!$F$5:$F55,'Daily Workforce'!$B199)=0,IF('Daily Schedule'!$A56=45,'Daily Workforce'!$J199="Y",IF(OR('Daily Schedule'!$A56=4,'Daily Schedule'!$A56=8),IF(OR(WEEKDAY('Daily Schedule'!$B$2,2)=1,WEEKDAY('Daily Schedule'!$B$2,2)=4,WEEKDAY('Daily Schedule'!$B$2,2)=5,WEEKDAY('Daily Schedule'!$B$2,2)=7),IFERROR(1*'Daily Workforce'!$K199&gt;=3,FALSE()),IFERROR(1*'Daily Workforce'!$K199&gt;=2,FALSE())),IF(AND('Daily Schedule'!$A56&gt;=46,'Daily Schedule'!$A56&lt;=52),'Daily Workforce'!$M199="Y",IFERROR(1*'Daily Workforce'!$P199&gt;=2,FALSE()))))),1,0)</f>
        <v>0</v>
      </c>
      <c r="HC52" s="1" t="n">
        <f aca="false">IF(AND('Daily Workforce'!$N200="Y",'Daily Workforce'!$B200&lt;&gt;"",COUNTIF('Daily Schedule'!$F$5:$F55,'Daily Workforce'!$B200)=0,IF('Daily Schedule'!$A56=45,'Daily Workforce'!$J200="Y",IF(OR('Daily Schedule'!$A56=4,'Daily Schedule'!$A56=8),IF(OR(WEEKDAY('Daily Schedule'!$B$2,2)=1,WEEKDAY('Daily Schedule'!$B$2,2)=4,WEEKDAY('Daily Schedule'!$B$2,2)=5,WEEKDAY('Daily Schedule'!$B$2,2)=7),IFERROR(1*'Daily Workforce'!$K200&gt;=3,FALSE()),IFERROR(1*'Daily Workforce'!$K200&gt;=2,FALSE())),IF(AND('Daily Schedule'!$A56&gt;=46,'Daily Schedule'!$A56&lt;=52),'Daily Workforce'!$M200="Y",IFERROR(1*'Daily Workforce'!$P200&gt;=2,FALSE()))))),1,0)</f>
        <v>0</v>
      </c>
      <c r="HD52" s="1" t="n">
        <f aca="false">IF(AND('Daily Workforce'!$N201="Y",'Daily Workforce'!$B201&lt;&gt;"",COUNTIF('Daily Schedule'!$F$5:$F55,'Daily Workforce'!$B201)=0,IF('Daily Schedule'!$A56=45,'Daily Workforce'!$J201="Y",IF(OR('Daily Schedule'!$A56=4,'Daily Schedule'!$A56=8),IF(OR(WEEKDAY('Daily Schedule'!$B$2,2)=1,WEEKDAY('Daily Schedule'!$B$2,2)=4,WEEKDAY('Daily Schedule'!$B$2,2)=5,WEEKDAY('Daily Schedule'!$B$2,2)=7),IFERROR(1*'Daily Workforce'!$K201&gt;=3,FALSE()),IFERROR(1*'Daily Workforce'!$K201&gt;=2,FALSE())),IF(AND('Daily Schedule'!$A56&gt;=46,'Daily Schedule'!$A56&lt;=52),'Daily Workforce'!$M201="Y",IFERROR(1*'Daily Workforce'!$P201&gt;=2,FALSE()))))),1,0)</f>
        <v>0</v>
      </c>
      <c r="HE52" s="1" t="n">
        <f aca="false">IF(AND('Daily Workforce'!$N202="Y",'Daily Workforce'!$B202&lt;&gt;"",COUNTIF('Daily Schedule'!$F$5:$F55,'Daily Workforce'!$B202)=0,IF('Daily Schedule'!$A56=45,'Daily Workforce'!$J202="Y",IF(OR('Daily Schedule'!$A56=4,'Daily Schedule'!$A56=8),IF(OR(WEEKDAY('Daily Schedule'!$B$2,2)=1,WEEKDAY('Daily Schedule'!$B$2,2)=4,WEEKDAY('Daily Schedule'!$B$2,2)=5,WEEKDAY('Daily Schedule'!$B$2,2)=7),IFERROR(1*'Daily Workforce'!$K202&gt;=3,FALSE()),IFERROR(1*'Daily Workforce'!$K202&gt;=2,FALSE())),IF(AND('Daily Schedule'!$A56&gt;=46,'Daily Schedule'!$A56&lt;=52),'Daily Workforce'!$M202="Y",IFERROR(1*'Daily Workforce'!$P202&gt;=2,FALSE()))))),1,0)</f>
        <v>0</v>
      </c>
      <c r="HF52" s="1" t="n">
        <f aca="false">IF(AND('Daily Workforce'!$N203="Y",'Daily Workforce'!$B203&lt;&gt;"",COUNTIF('Daily Schedule'!$F$5:$F55,'Daily Workforce'!$B203)=0,IF('Daily Schedule'!$A56=45,'Daily Workforce'!$J203="Y",IF(OR('Daily Schedule'!$A56=4,'Daily Schedule'!$A56=8),IF(OR(WEEKDAY('Daily Schedule'!$B$2,2)=1,WEEKDAY('Daily Schedule'!$B$2,2)=4,WEEKDAY('Daily Schedule'!$B$2,2)=5,WEEKDAY('Daily Schedule'!$B$2,2)=7),IFERROR(1*'Daily Workforce'!$K203&gt;=3,FALSE()),IFERROR(1*'Daily Workforce'!$K203&gt;=2,FALSE())),IF(AND('Daily Schedule'!$A56&gt;=46,'Daily Schedule'!$A56&lt;=52),'Daily Workforce'!$M203="Y",IFERROR(1*'Daily Workforce'!$P203&gt;=2,FALSE()))))),1,0)</f>
        <v>0</v>
      </c>
      <c r="HG52" s="1" t="n">
        <f aca="false">IF(AND('Daily Workforce'!$N204="Y",'Daily Workforce'!$B204&lt;&gt;"",COUNTIF('Daily Schedule'!$F$5:$F55,'Daily Workforce'!$B204)=0,IF('Daily Schedule'!$A56=45,'Daily Workforce'!$J204="Y",IF(OR('Daily Schedule'!$A56=4,'Daily Schedule'!$A56=8),IF(OR(WEEKDAY('Daily Schedule'!$B$2,2)=1,WEEKDAY('Daily Schedule'!$B$2,2)=4,WEEKDAY('Daily Schedule'!$B$2,2)=5,WEEKDAY('Daily Schedule'!$B$2,2)=7),IFERROR(1*'Daily Workforce'!$K204&gt;=3,FALSE()),IFERROR(1*'Daily Workforce'!$K204&gt;=2,FALSE())),IF(AND('Daily Schedule'!$A56&gt;=46,'Daily Schedule'!$A56&lt;=52),'Daily Workforce'!$M204="Y",IFERROR(1*'Daily Workforce'!$P204&gt;=2,FALSE()))))),1,0)</f>
        <v>0</v>
      </c>
      <c r="HH52" s="1" t="n">
        <f aca="false">IF(AND('Daily Workforce'!$N205="Y",'Daily Workforce'!$B205&lt;&gt;"",COUNTIF('Daily Schedule'!$F$5:$F55,'Daily Workforce'!$B205)=0,IF('Daily Schedule'!$A56=45,'Daily Workforce'!$J205="Y",IF(OR('Daily Schedule'!$A56=4,'Daily Schedule'!$A56=8),IF(OR(WEEKDAY('Daily Schedule'!$B$2,2)=1,WEEKDAY('Daily Schedule'!$B$2,2)=4,WEEKDAY('Daily Schedule'!$B$2,2)=5,WEEKDAY('Daily Schedule'!$B$2,2)=7),IFERROR(1*'Daily Workforce'!$K205&gt;=3,FALSE()),IFERROR(1*'Daily Workforce'!$K205&gt;=2,FALSE())),IF(AND('Daily Schedule'!$A56&gt;=46,'Daily Schedule'!$A56&lt;=52),'Daily Workforce'!$M205="Y",IFERROR(1*'Daily Workforce'!$P205&gt;=2,FALSE()))))),1,0)</f>
        <v>0</v>
      </c>
    </row>
    <row r="53" customFormat="false" ht="15" hidden="false" customHeight="true" outlineLevel="0" collapsed="false">
      <c r="L53" s="1" t="s">
        <v>480</v>
      </c>
      <c r="O53" s="1" t="str">
        <f aca="false">IF(AND('Employee Master'!$G53="Y",ISERROR(SEARCH(TEXT('Daily Workforce'!$B$2,"ddd"),'Employee Master'!$D53)),IF('Daily Workforce'!$E$2="",TRUE(),'Employee Master'!$I53='Daily Workforce'!$E$2)),'Employee Master'!$K53*1000+ROW()-1,"")</f>
        <v/>
      </c>
      <c r="P53" s="1" t="str">
        <f aca="false">IF($O53="","",COUNTIF($O$2:$O$159,"&lt;="&amp;$O53))</f>
        <v/>
      </c>
      <c r="Q53" s="1" t="n">
        <f aca="false">IF(AND('Daily Workforce'!$N6="Y",'Daily Workforce'!$B6&lt;&gt;"",COUNTIF('Daily Schedule'!$F$5:$F56,'Daily Workforce'!$B6)=0,IF('Daily Schedule'!$A57=45,'Daily Workforce'!$J6="Y",IF(OR('Daily Schedule'!$A57=4,'Daily Schedule'!$A57=8),IF(OR(WEEKDAY('Daily Schedule'!$B$2,2)=1,WEEKDAY('Daily Schedule'!$B$2,2)=4,WEEKDAY('Daily Schedule'!$B$2,2)=5,WEEKDAY('Daily Schedule'!$B$2,2)=7),IFERROR(1*'Daily Workforce'!$K6&gt;=3,FALSE()),IFERROR(1*'Daily Workforce'!$K6&gt;=2,FALSE())),IF(AND('Daily Schedule'!$A57&gt;=46,'Daily Schedule'!$A57&lt;=52),'Daily Workforce'!$M6="Y",IFERROR(1*'Daily Workforce'!$P6&gt;=2,FALSE()))))),1,0)</f>
        <v>0</v>
      </c>
      <c r="R53" s="1" t="n">
        <f aca="false">IF(AND('Daily Workforce'!$N7="Y",'Daily Workforce'!$B7&lt;&gt;"",COUNTIF('Daily Schedule'!$F$5:$F56,'Daily Workforce'!$B7)=0,IF('Daily Schedule'!$A57=45,'Daily Workforce'!$J7="Y",IF(OR('Daily Schedule'!$A57=4,'Daily Schedule'!$A57=8),IF(OR(WEEKDAY('Daily Schedule'!$B$2,2)=1,WEEKDAY('Daily Schedule'!$B$2,2)=4,WEEKDAY('Daily Schedule'!$B$2,2)=5,WEEKDAY('Daily Schedule'!$B$2,2)=7),IFERROR(1*'Daily Workforce'!$K7&gt;=3,FALSE()),IFERROR(1*'Daily Workforce'!$K7&gt;=2,FALSE())),IF(AND('Daily Schedule'!$A57&gt;=46,'Daily Schedule'!$A57&lt;=52),'Daily Workforce'!$M7="Y",IFERROR(1*'Daily Workforce'!$P7&gt;=2,FALSE()))))),1,0)</f>
        <v>0</v>
      </c>
      <c r="S53" s="1" t="n">
        <f aca="false">IF(AND('Daily Workforce'!$N8="Y",'Daily Workforce'!$B8&lt;&gt;"",COUNTIF('Daily Schedule'!$F$5:$F56,'Daily Workforce'!$B8)=0,IF('Daily Schedule'!$A57=45,'Daily Workforce'!$J8="Y",IF(OR('Daily Schedule'!$A57=4,'Daily Schedule'!$A57=8),IF(OR(WEEKDAY('Daily Schedule'!$B$2,2)=1,WEEKDAY('Daily Schedule'!$B$2,2)=4,WEEKDAY('Daily Schedule'!$B$2,2)=5,WEEKDAY('Daily Schedule'!$B$2,2)=7),IFERROR(1*'Daily Workforce'!$K8&gt;=3,FALSE()),IFERROR(1*'Daily Workforce'!$K8&gt;=2,FALSE())),IF(AND('Daily Schedule'!$A57&gt;=46,'Daily Schedule'!$A57&lt;=52),'Daily Workforce'!$M8="Y",IFERROR(1*'Daily Workforce'!$P8&gt;=2,FALSE()))))),1,0)</f>
        <v>0</v>
      </c>
      <c r="T53" s="1" t="n">
        <f aca="false">IF(AND('Daily Workforce'!$N9="Y",'Daily Workforce'!$B9&lt;&gt;"",COUNTIF('Daily Schedule'!$F$5:$F56,'Daily Workforce'!$B9)=0,IF('Daily Schedule'!$A57=45,'Daily Workforce'!$J9="Y",IF(OR('Daily Schedule'!$A57=4,'Daily Schedule'!$A57=8),IF(OR(WEEKDAY('Daily Schedule'!$B$2,2)=1,WEEKDAY('Daily Schedule'!$B$2,2)=4,WEEKDAY('Daily Schedule'!$B$2,2)=5,WEEKDAY('Daily Schedule'!$B$2,2)=7),IFERROR(1*'Daily Workforce'!$K9&gt;=3,FALSE()),IFERROR(1*'Daily Workforce'!$K9&gt;=2,FALSE())),IF(AND('Daily Schedule'!$A57&gt;=46,'Daily Schedule'!$A57&lt;=52),'Daily Workforce'!$M9="Y",IFERROR(1*'Daily Workforce'!$P9&gt;=2,FALSE()))))),1,0)</f>
        <v>0</v>
      </c>
      <c r="U53" s="1" t="n">
        <f aca="false">IF(AND('Daily Workforce'!$N10="Y",'Daily Workforce'!$B10&lt;&gt;"",COUNTIF('Daily Schedule'!$F$5:$F56,'Daily Workforce'!$B10)=0,IF('Daily Schedule'!$A57=45,'Daily Workforce'!$J10="Y",IF(OR('Daily Schedule'!$A57=4,'Daily Schedule'!$A57=8),IF(OR(WEEKDAY('Daily Schedule'!$B$2,2)=1,WEEKDAY('Daily Schedule'!$B$2,2)=4,WEEKDAY('Daily Schedule'!$B$2,2)=5,WEEKDAY('Daily Schedule'!$B$2,2)=7),IFERROR(1*'Daily Workforce'!$K10&gt;=3,FALSE()),IFERROR(1*'Daily Workforce'!$K10&gt;=2,FALSE())),IF(AND('Daily Schedule'!$A57&gt;=46,'Daily Schedule'!$A57&lt;=52),'Daily Workforce'!$M10="Y",IFERROR(1*'Daily Workforce'!$P10&gt;=2,FALSE()))))),1,0)</f>
        <v>0</v>
      </c>
      <c r="V53" s="1" t="n">
        <f aca="false">IF(AND('Daily Workforce'!$N11="Y",'Daily Workforce'!$B11&lt;&gt;"",COUNTIF('Daily Schedule'!$F$5:$F56,'Daily Workforce'!$B11)=0,IF('Daily Schedule'!$A57=45,'Daily Workforce'!$J11="Y",IF(OR('Daily Schedule'!$A57=4,'Daily Schedule'!$A57=8),IF(OR(WEEKDAY('Daily Schedule'!$B$2,2)=1,WEEKDAY('Daily Schedule'!$B$2,2)=4,WEEKDAY('Daily Schedule'!$B$2,2)=5,WEEKDAY('Daily Schedule'!$B$2,2)=7),IFERROR(1*'Daily Workforce'!$K11&gt;=3,FALSE()),IFERROR(1*'Daily Workforce'!$K11&gt;=2,FALSE())),IF(AND('Daily Schedule'!$A57&gt;=46,'Daily Schedule'!$A57&lt;=52),'Daily Workforce'!$M11="Y",IFERROR(1*'Daily Workforce'!$P11&gt;=2,FALSE()))))),1,0)</f>
        <v>0</v>
      </c>
      <c r="W53" s="1" t="n">
        <f aca="false">IF(AND('Daily Workforce'!$N12="Y",'Daily Workforce'!$B12&lt;&gt;"",COUNTIF('Daily Schedule'!$F$5:$F56,'Daily Workforce'!$B12)=0,IF('Daily Schedule'!$A57=45,'Daily Workforce'!$J12="Y",IF(OR('Daily Schedule'!$A57=4,'Daily Schedule'!$A57=8),IF(OR(WEEKDAY('Daily Schedule'!$B$2,2)=1,WEEKDAY('Daily Schedule'!$B$2,2)=4,WEEKDAY('Daily Schedule'!$B$2,2)=5,WEEKDAY('Daily Schedule'!$B$2,2)=7),IFERROR(1*'Daily Workforce'!$K12&gt;=3,FALSE()),IFERROR(1*'Daily Workforce'!$K12&gt;=2,FALSE())),IF(AND('Daily Schedule'!$A57&gt;=46,'Daily Schedule'!$A57&lt;=52),'Daily Workforce'!$M12="Y",IFERROR(1*'Daily Workforce'!$P12&gt;=2,FALSE()))))),1,0)</f>
        <v>0</v>
      </c>
      <c r="X53" s="1" t="n">
        <f aca="false">IF(AND('Daily Workforce'!$N13="Y",'Daily Workforce'!$B13&lt;&gt;"",COUNTIF('Daily Schedule'!$F$5:$F56,'Daily Workforce'!$B13)=0,IF('Daily Schedule'!$A57=45,'Daily Workforce'!$J13="Y",IF(OR('Daily Schedule'!$A57=4,'Daily Schedule'!$A57=8),IF(OR(WEEKDAY('Daily Schedule'!$B$2,2)=1,WEEKDAY('Daily Schedule'!$B$2,2)=4,WEEKDAY('Daily Schedule'!$B$2,2)=5,WEEKDAY('Daily Schedule'!$B$2,2)=7),IFERROR(1*'Daily Workforce'!$K13&gt;=3,FALSE()),IFERROR(1*'Daily Workforce'!$K13&gt;=2,FALSE())),IF(AND('Daily Schedule'!$A57&gt;=46,'Daily Schedule'!$A57&lt;=52),'Daily Workforce'!$M13="Y",IFERROR(1*'Daily Workforce'!$P13&gt;=2,FALSE()))))),1,0)</f>
        <v>0</v>
      </c>
      <c r="Y53" s="1" t="n">
        <f aca="false">IF(AND('Daily Workforce'!$N14="Y",'Daily Workforce'!$B14&lt;&gt;"",COUNTIF('Daily Schedule'!$F$5:$F56,'Daily Workforce'!$B14)=0,IF('Daily Schedule'!$A57=45,'Daily Workforce'!$J14="Y",IF(OR('Daily Schedule'!$A57=4,'Daily Schedule'!$A57=8),IF(OR(WEEKDAY('Daily Schedule'!$B$2,2)=1,WEEKDAY('Daily Schedule'!$B$2,2)=4,WEEKDAY('Daily Schedule'!$B$2,2)=5,WEEKDAY('Daily Schedule'!$B$2,2)=7),IFERROR(1*'Daily Workforce'!$K14&gt;=3,FALSE()),IFERROR(1*'Daily Workforce'!$K14&gt;=2,FALSE())),IF(AND('Daily Schedule'!$A57&gt;=46,'Daily Schedule'!$A57&lt;=52),'Daily Workforce'!$M14="Y",IFERROR(1*'Daily Workforce'!$P14&gt;=2,FALSE()))))),1,0)</f>
        <v>0</v>
      </c>
      <c r="Z53" s="1" t="n">
        <f aca="false">IF(AND('Daily Workforce'!$N15="Y",'Daily Workforce'!$B15&lt;&gt;"",COUNTIF('Daily Schedule'!$F$5:$F56,'Daily Workforce'!$B15)=0,IF('Daily Schedule'!$A57=45,'Daily Workforce'!$J15="Y",IF(OR('Daily Schedule'!$A57=4,'Daily Schedule'!$A57=8),IF(OR(WEEKDAY('Daily Schedule'!$B$2,2)=1,WEEKDAY('Daily Schedule'!$B$2,2)=4,WEEKDAY('Daily Schedule'!$B$2,2)=5,WEEKDAY('Daily Schedule'!$B$2,2)=7),IFERROR(1*'Daily Workforce'!$K15&gt;=3,FALSE()),IFERROR(1*'Daily Workforce'!$K15&gt;=2,FALSE())),IF(AND('Daily Schedule'!$A57&gt;=46,'Daily Schedule'!$A57&lt;=52),'Daily Workforce'!$M15="Y",IFERROR(1*'Daily Workforce'!$P15&gt;=2,FALSE()))))),1,0)</f>
        <v>0</v>
      </c>
      <c r="AA53" s="1" t="n">
        <f aca="false">IF(AND('Daily Workforce'!$N16="Y",'Daily Workforce'!$B16&lt;&gt;"",COUNTIF('Daily Schedule'!$F$5:$F56,'Daily Workforce'!$B16)=0,IF('Daily Schedule'!$A57=45,'Daily Workforce'!$J16="Y",IF(OR('Daily Schedule'!$A57=4,'Daily Schedule'!$A57=8),IF(OR(WEEKDAY('Daily Schedule'!$B$2,2)=1,WEEKDAY('Daily Schedule'!$B$2,2)=4,WEEKDAY('Daily Schedule'!$B$2,2)=5,WEEKDAY('Daily Schedule'!$B$2,2)=7),IFERROR(1*'Daily Workforce'!$K16&gt;=3,FALSE()),IFERROR(1*'Daily Workforce'!$K16&gt;=2,FALSE())),IF(AND('Daily Schedule'!$A57&gt;=46,'Daily Schedule'!$A57&lt;=52),'Daily Workforce'!$M16="Y",IFERROR(1*'Daily Workforce'!$P16&gt;=2,FALSE()))))),1,0)</f>
        <v>0</v>
      </c>
      <c r="AB53" s="1" t="n">
        <f aca="false">IF(AND('Daily Workforce'!$N17="Y",'Daily Workforce'!$B17&lt;&gt;"",COUNTIF('Daily Schedule'!$F$5:$F56,'Daily Workforce'!$B17)=0,IF('Daily Schedule'!$A57=45,'Daily Workforce'!$J17="Y",IF(OR('Daily Schedule'!$A57=4,'Daily Schedule'!$A57=8),IF(OR(WEEKDAY('Daily Schedule'!$B$2,2)=1,WEEKDAY('Daily Schedule'!$B$2,2)=4,WEEKDAY('Daily Schedule'!$B$2,2)=5,WEEKDAY('Daily Schedule'!$B$2,2)=7),IFERROR(1*'Daily Workforce'!$K17&gt;=3,FALSE()),IFERROR(1*'Daily Workforce'!$K17&gt;=2,FALSE())),IF(AND('Daily Schedule'!$A57&gt;=46,'Daily Schedule'!$A57&lt;=52),'Daily Workforce'!$M17="Y",IFERROR(1*'Daily Workforce'!$P17&gt;=2,FALSE()))))),1,0)</f>
        <v>0</v>
      </c>
      <c r="AC53" s="1" t="n">
        <f aca="false">IF(AND('Daily Workforce'!$N18="Y",'Daily Workforce'!$B18&lt;&gt;"",COUNTIF('Daily Schedule'!$F$5:$F56,'Daily Workforce'!$B18)=0,IF('Daily Schedule'!$A57=45,'Daily Workforce'!$J18="Y",IF(OR('Daily Schedule'!$A57=4,'Daily Schedule'!$A57=8),IF(OR(WEEKDAY('Daily Schedule'!$B$2,2)=1,WEEKDAY('Daily Schedule'!$B$2,2)=4,WEEKDAY('Daily Schedule'!$B$2,2)=5,WEEKDAY('Daily Schedule'!$B$2,2)=7),IFERROR(1*'Daily Workforce'!$K18&gt;=3,FALSE()),IFERROR(1*'Daily Workforce'!$K18&gt;=2,FALSE())),IF(AND('Daily Schedule'!$A57&gt;=46,'Daily Schedule'!$A57&lt;=52),'Daily Workforce'!$M18="Y",IFERROR(1*'Daily Workforce'!$P18&gt;=2,FALSE()))))),1,0)</f>
        <v>0</v>
      </c>
      <c r="AD53" s="1" t="n">
        <f aca="false">IF(AND('Daily Workforce'!$N19="Y",'Daily Workforce'!$B19&lt;&gt;"",COUNTIF('Daily Schedule'!$F$5:$F56,'Daily Workforce'!$B19)=0,IF('Daily Schedule'!$A57=45,'Daily Workforce'!$J19="Y",IF(OR('Daily Schedule'!$A57=4,'Daily Schedule'!$A57=8),IF(OR(WEEKDAY('Daily Schedule'!$B$2,2)=1,WEEKDAY('Daily Schedule'!$B$2,2)=4,WEEKDAY('Daily Schedule'!$B$2,2)=5,WEEKDAY('Daily Schedule'!$B$2,2)=7),IFERROR(1*'Daily Workforce'!$K19&gt;=3,FALSE()),IFERROR(1*'Daily Workforce'!$K19&gt;=2,FALSE())),IF(AND('Daily Schedule'!$A57&gt;=46,'Daily Schedule'!$A57&lt;=52),'Daily Workforce'!$M19="Y",IFERROR(1*'Daily Workforce'!$P19&gt;=2,FALSE()))))),1,0)</f>
        <v>0</v>
      </c>
      <c r="AE53" s="1" t="n">
        <f aca="false">IF(AND('Daily Workforce'!$N20="Y",'Daily Workforce'!$B20&lt;&gt;"",COUNTIF('Daily Schedule'!$F$5:$F56,'Daily Workforce'!$B20)=0,IF('Daily Schedule'!$A57=45,'Daily Workforce'!$J20="Y",IF(OR('Daily Schedule'!$A57=4,'Daily Schedule'!$A57=8),IF(OR(WEEKDAY('Daily Schedule'!$B$2,2)=1,WEEKDAY('Daily Schedule'!$B$2,2)=4,WEEKDAY('Daily Schedule'!$B$2,2)=5,WEEKDAY('Daily Schedule'!$B$2,2)=7),IFERROR(1*'Daily Workforce'!$K20&gt;=3,FALSE()),IFERROR(1*'Daily Workforce'!$K20&gt;=2,FALSE())),IF(AND('Daily Schedule'!$A57&gt;=46,'Daily Schedule'!$A57&lt;=52),'Daily Workforce'!$M20="Y",IFERROR(1*'Daily Workforce'!$P20&gt;=2,FALSE()))))),1,0)</f>
        <v>0</v>
      </c>
      <c r="AF53" s="1" t="n">
        <f aca="false">IF(AND('Daily Workforce'!$N21="Y",'Daily Workforce'!$B21&lt;&gt;"",COUNTIF('Daily Schedule'!$F$5:$F56,'Daily Workforce'!$B21)=0,IF('Daily Schedule'!$A57=45,'Daily Workforce'!$J21="Y",IF(OR('Daily Schedule'!$A57=4,'Daily Schedule'!$A57=8),IF(OR(WEEKDAY('Daily Schedule'!$B$2,2)=1,WEEKDAY('Daily Schedule'!$B$2,2)=4,WEEKDAY('Daily Schedule'!$B$2,2)=5,WEEKDAY('Daily Schedule'!$B$2,2)=7),IFERROR(1*'Daily Workforce'!$K21&gt;=3,FALSE()),IFERROR(1*'Daily Workforce'!$K21&gt;=2,FALSE())),IF(AND('Daily Schedule'!$A57&gt;=46,'Daily Schedule'!$A57&lt;=52),'Daily Workforce'!$M21="Y",IFERROR(1*'Daily Workforce'!$P21&gt;=2,FALSE()))))),1,0)</f>
        <v>0</v>
      </c>
      <c r="AG53" s="1" t="n">
        <f aca="false">IF(AND('Daily Workforce'!$N22="Y",'Daily Workforce'!$B22&lt;&gt;"",COUNTIF('Daily Schedule'!$F$5:$F56,'Daily Workforce'!$B22)=0,IF('Daily Schedule'!$A57=45,'Daily Workforce'!$J22="Y",IF(OR('Daily Schedule'!$A57=4,'Daily Schedule'!$A57=8),IF(OR(WEEKDAY('Daily Schedule'!$B$2,2)=1,WEEKDAY('Daily Schedule'!$B$2,2)=4,WEEKDAY('Daily Schedule'!$B$2,2)=5,WEEKDAY('Daily Schedule'!$B$2,2)=7),IFERROR(1*'Daily Workforce'!$K22&gt;=3,FALSE()),IFERROR(1*'Daily Workforce'!$K22&gt;=2,FALSE())),IF(AND('Daily Schedule'!$A57&gt;=46,'Daily Schedule'!$A57&lt;=52),'Daily Workforce'!$M22="Y",IFERROR(1*'Daily Workforce'!$P22&gt;=2,FALSE()))))),1,0)</f>
        <v>0</v>
      </c>
      <c r="AH53" s="1" t="n">
        <f aca="false">IF(AND('Daily Workforce'!$N23="Y",'Daily Workforce'!$B23&lt;&gt;"",COUNTIF('Daily Schedule'!$F$5:$F56,'Daily Workforce'!$B23)=0,IF('Daily Schedule'!$A57=45,'Daily Workforce'!$J23="Y",IF(OR('Daily Schedule'!$A57=4,'Daily Schedule'!$A57=8),IF(OR(WEEKDAY('Daily Schedule'!$B$2,2)=1,WEEKDAY('Daily Schedule'!$B$2,2)=4,WEEKDAY('Daily Schedule'!$B$2,2)=5,WEEKDAY('Daily Schedule'!$B$2,2)=7),IFERROR(1*'Daily Workforce'!$K23&gt;=3,FALSE()),IFERROR(1*'Daily Workforce'!$K23&gt;=2,FALSE())),IF(AND('Daily Schedule'!$A57&gt;=46,'Daily Schedule'!$A57&lt;=52),'Daily Workforce'!$M23="Y",IFERROR(1*'Daily Workforce'!$P23&gt;=2,FALSE()))))),1,0)</f>
        <v>0</v>
      </c>
      <c r="AI53" s="1" t="n">
        <f aca="false">IF(AND('Daily Workforce'!$N24="Y",'Daily Workforce'!$B24&lt;&gt;"",COUNTIF('Daily Schedule'!$F$5:$F56,'Daily Workforce'!$B24)=0,IF('Daily Schedule'!$A57=45,'Daily Workforce'!$J24="Y",IF(OR('Daily Schedule'!$A57=4,'Daily Schedule'!$A57=8),IF(OR(WEEKDAY('Daily Schedule'!$B$2,2)=1,WEEKDAY('Daily Schedule'!$B$2,2)=4,WEEKDAY('Daily Schedule'!$B$2,2)=5,WEEKDAY('Daily Schedule'!$B$2,2)=7),IFERROR(1*'Daily Workforce'!$K24&gt;=3,FALSE()),IFERROR(1*'Daily Workforce'!$K24&gt;=2,FALSE())),IF(AND('Daily Schedule'!$A57&gt;=46,'Daily Schedule'!$A57&lt;=52),'Daily Workforce'!$M24="Y",IFERROR(1*'Daily Workforce'!$P24&gt;=2,FALSE()))))),1,0)</f>
        <v>0</v>
      </c>
      <c r="AJ53" s="1" t="n">
        <f aca="false">IF(AND('Daily Workforce'!$N25="Y",'Daily Workforce'!$B25&lt;&gt;"",COUNTIF('Daily Schedule'!$F$5:$F56,'Daily Workforce'!$B25)=0,IF('Daily Schedule'!$A57=45,'Daily Workforce'!$J25="Y",IF(OR('Daily Schedule'!$A57=4,'Daily Schedule'!$A57=8),IF(OR(WEEKDAY('Daily Schedule'!$B$2,2)=1,WEEKDAY('Daily Schedule'!$B$2,2)=4,WEEKDAY('Daily Schedule'!$B$2,2)=5,WEEKDAY('Daily Schedule'!$B$2,2)=7),IFERROR(1*'Daily Workforce'!$K25&gt;=3,FALSE()),IFERROR(1*'Daily Workforce'!$K25&gt;=2,FALSE())),IF(AND('Daily Schedule'!$A57&gt;=46,'Daily Schedule'!$A57&lt;=52),'Daily Workforce'!$M25="Y",IFERROR(1*'Daily Workforce'!$P25&gt;=2,FALSE()))))),1,0)</f>
        <v>0</v>
      </c>
      <c r="AK53" s="1" t="n">
        <f aca="false">IF(AND('Daily Workforce'!$N26="Y",'Daily Workforce'!$B26&lt;&gt;"",COUNTIF('Daily Schedule'!$F$5:$F56,'Daily Workforce'!$B26)=0,IF('Daily Schedule'!$A57=45,'Daily Workforce'!$J26="Y",IF(OR('Daily Schedule'!$A57=4,'Daily Schedule'!$A57=8),IF(OR(WEEKDAY('Daily Schedule'!$B$2,2)=1,WEEKDAY('Daily Schedule'!$B$2,2)=4,WEEKDAY('Daily Schedule'!$B$2,2)=5,WEEKDAY('Daily Schedule'!$B$2,2)=7),IFERROR(1*'Daily Workforce'!$K26&gt;=3,FALSE()),IFERROR(1*'Daily Workforce'!$K26&gt;=2,FALSE())),IF(AND('Daily Schedule'!$A57&gt;=46,'Daily Schedule'!$A57&lt;=52),'Daily Workforce'!$M26="Y",IFERROR(1*'Daily Workforce'!$P26&gt;=2,FALSE()))))),1,0)</f>
        <v>0</v>
      </c>
      <c r="AL53" s="1" t="n">
        <f aca="false">IF(AND('Daily Workforce'!$N27="Y",'Daily Workforce'!$B27&lt;&gt;"",COUNTIF('Daily Schedule'!$F$5:$F56,'Daily Workforce'!$B27)=0,IF('Daily Schedule'!$A57=45,'Daily Workforce'!$J27="Y",IF(OR('Daily Schedule'!$A57=4,'Daily Schedule'!$A57=8),IF(OR(WEEKDAY('Daily Schedule'!$B$2,2)=1,WEEKDAY('Daily Schedule'!$B$2,2)=4,WEEKDAY('Daily Schedule'!$B$2,2)=5,WEEKDAY('Daily Schedule'!$B$2,2)=7),IFERROR(1*'Daily Workforce'!$K27&gt;=3,FALSE()),IFERROR(1*'Daily Workforce'!$K27&gt;=2,FALSE())),IF(AND('Daily Schedule'!$A57&gt;=46,'Daily Schedule'!$A57&lt;=52),'Daily Workforce'!$M27="Y",IFERROR(1*'Daily Workforce'!$P27&gt;=2,FALSE()))))),1,0)</f>
        <v>0</v>
      </c>
      <c r="AM53" s="1" t="n">
        <f aca="false">IF(AND('Daily Workforce'!$N28="Y",'Daily Workforce'!$B28&lt;&gt;"",COUNTIF('Daily Schedule'!$F$5:$F56,'Daily Workforce'!$B28)=0,IF('Daily Schedule'!$A57=45,'Daily Workforce'!$J28="Y",IF(OR('Daily Schedule'!$A57=4,'Daily Schedule'!$A57=8),IF(OR(WEEKDAY('Daily Schedule'!$B$2,2)=1,WEEKDAY('Daily Schedule'!$B$2,2)=4,WEEKDAY('Daily Schedule'!$B$2,2)=5,WEEKDAY('Daily Schedule'!$B$2,2)=7),IFERROR(1*'Daily Workforce'!$K28&gt;=3,FALSE()),IFERROR(1*'Daily Workforce'!$K28&gt;=2,FALSE())),IF(AND('Daily Schedule'!$A57&gt;=46,'Daily Schedule'!$A57&lt;=52),'Daily Workforce'!$M28="Y",IFERROR(1*'Daily Workforce'!$P28&gt;=2,FALSE()))))),1,0)</f>
        <v>0</v>
      </c>
      <c r="AN53" s="1" t="n">
        <f aca="false">IF(AND('Daily Workforce'!$N29="Y",'Daily Workforce'!$B29&lt;&gt;"",COUNTIF('Daily Schedule'!$F$5:$F56,'Daily Workforce'!$B29)=0,IF('Daily Schedule'!$A57=45,'Daily Workforce'!$J29="Y",IF(OR('Daily Schedule'!$A57=4,'Daily Schedule'!$A57=8),IF(OR(WEEKDAY('Daily Schedule'!$B$2,2)=1,WEEKDAY('Daily Schedule'!$B$2,2)=4,WEEKDAY('Daily Schedule'!$B$2,2)=5,WEEKDAY('Daily Schedule'!$B$2,2)=7),IFERROR(1*'Daily Workforce'!$K29&gt;=3,FALSE()),IFERROR(1*'Daily Workforce'!$K29&gt;=2,FALSE())),IF(AND('Daily Schedule'!$A57&gt;=46,'Daily Schedule'!$A57&lt;=52),'Daily Workforce'!$M29="Y",IFERROR(1*'Daily Workforce'!$P29&gt;=2,FALSE()))))),1,0)</f>
        <v>0</v>
      </c>
      <c r="AO53" s="1" t="n">
        <f aca="false">IF(AND('Daily Workforce'!$N30="Y",'Daily Workforce'!$B30&lt;&gt;"",COUNTIF('Daily Schedule'!$F$5:$F56,'Daily Workforce'!$B30)=0,IF('Daily Schedule'!$A57=45,'Daily Workforce'!$J30="Y",IF(OR('Daily Schedule'!$A57=4,'Daily Schedule'!$A57=8),IF(OR(WEEKDAY('Daily Schedule'!$B$2,2)=1,WEEKDAY('Daily Schedule'!$B$2,2)=4,WEEKDAY('Daily Schedule'!$B$2,2)=5,WEEKDAY('Daily Schedule'!$B$2,2)=7),IFERROR(1*'Daily Workforce'!$K30&gt;=3,FALSE()),IFERROR(1*'Daily Workforce'!$K30&gt;=2,FALSE())),IF(AND('Daily Schedule'!$A57&gt;=46,'Daily Schedule'!$A57&lt;=52),'Daily Workforce'!$M30="Y",IFERROR(1*'Daily Workforce'!$P30&gt;=2,FALSE()))))),1,0)</f>
        <v>0</v>
      </c>
      <c r="AP53" s="1" t="n">
        <f aca="false">IF(AND('Daily Workforce'!$N31="Y",'Daily Workforce'!$B31&lt;&gt;"",COUNTIF('Daily Schedule'!$F$5:$F56,'Daily Workforce'!$B31)=0,IF('Daily Schedule'!$A57=45,'Daily Workforce'!$J31="Y",IF(OR('Daily Schedule'!$A57=4,'Daily Schedule'!$A57=8),IF(OR(WEEKDAY('Daily Schedule'!$B$2,2)=1,WEEKDAY('Daily Schedule'!$B$2,2)=4,WEEKDAY('Daily Schedule'!$B$2,2)=5,WEEKDAY('Daily Schedule'!$B$2,2)=7),IFERROR(1*'Daily Workforce'!$K31&gt;=3,FALSE()),IFERROR(1*'Daily Workforce'!$K31&gt;=2,FALSE())),IF(AND('Daily Schedule'!$A57&gt;=46,'Daily Schedule'!$A57&lt;=52),'Daily Workforce'!$M31="Y",IFERROR(1*'Daily Workforce'!$P31&gt;=2,FALSE()))))),1,0)</f>
        <v>0</v>
      </c>
      <c r="AQ53" s="1" t="n">
        <f aca="false">IF(AND('Daily Workforce'!$N32="Y",'Daily Workforce'!$B32&lt;&gt;"",COUNTIF('Daily Schedule'!$F$5:$F56,'Daily Workforce'!$B32)=0,IF('Daily Schedule'!$A57=45,'Daily Workforce'!$J32="Y",IF(OR('Daily Schedule'!$A57=4,'Daily Schedule'!$A57=8),IF(OR(WEEKDAY('Daily Schedule'!$B$2,2)=1,WEEKDAY('Daily Schedule'!$B$2,2)=4,WEEKDAY('Daily Schedule'!$B$2,2)=5,WEEKDAY('Daily Schedule'!$B$2,2)=7),IFERROR(1*'Daily Workforce'!$K32&gt;=3,FALSE()),IFERROR(1*'Daily Workforce'!$K32&gt;=2,FALSE())),IF(AND('Daily Schedule'!$A57&gt;=46,'Daily Schedule'!$A57&lt;=52),'Daily Workforce'!$M32="Y",IFERROR(1*'Daily Workforce'!$P32&gt;=2,FALSE()))))),1,0)</f>
        <v>0</v>
      </c>
      <c r="AR53" s="1" t="n">
        <f aca="false">IF(AND('Daily Workforce'!$N33="Y",'Daily Workforce'!$B33&lt;&gt;"",COUNTIF('Daily Schedule'!$F$5:$F56,'Daily Workforce'!$B33)=0,IF('Daily Schedule'!$A57=45,'Daily Workforce'!$J33="Y",IF(OR('Daily Schedule'!$A57=4,'Daily Schedule'!$A57=8),IF(OR(WEEKDAY('Daily Schedule'!$B$2,2)=1,WEEKDAY('Daily Schedule'!$B$2,2)=4,WEEKDAY('Daily Schedule'!$B$2,2)=5,WEEKDAY('Daily Schedule'!$B$2,2)=7),IFERROR(1*'Daily Workforce'!$K33&gt;=3,FALSE()),IFERROR(1*'Daily Workforce'!$K33&gt;=2,FALSE())),IF(AND('Daily Schedule'!$A57&gt;=46,'Daily Schedule'!$A57&lt;=52),'Daily Workforce'!$M33="Y",IFERROR(1*'Daily Workforce'!$P33&gt;=2,FALSE()))))),1,0)</f>
        <v>0</v>
      </c>
      <c r="AS53" s="1" t="n">
        <f aca="false">IF(AND('Daily Workforce'!$N34="Y",'Daily Workforce'!$B34&lt;&gt;"",COUNTIF('Daily Schedule'!$F$5:$F56,'Daily Workforce'!$B34)=0,IF('Daily Schedule'!$A57=45,'Daily Workforce'!$J34="Y",IF(OR('Daily Schedule'!$A57=4,'Daily Schedule'!$A57=8),IF(OR(WEEKDAY('Daily Schedule'!$B$2,2)=1,WEEKDAY('Daily Schedule'!$B$2,2)=4,WEEKDAY('Daily Schedule'!$B$2,2)=5,WEEKDAY('Daily Schedule'!$B$2,2)=7),IFERROR(1*'Daily Workforce'!$K34&gt;=3,FALSE()),IFERROR(1*'Daily Workforce'!$K34&gt;=2,FALSE())),IF(AND('Daily Schedule'!$A57&gt;=46,'Daily Schedule'!$A57&lt;=52),'Daily Workforce'!$M34="Y",IFERROR(1*'Daily Workforce'!$P34&gt;=2,FALSE()))))),1,0)</f>
        <v>0</v>
      </c>
      <c r="AT53" s="1" t="n">
        <f aca="false">IF(AND('Daily Workforce'!$N35="Y",'Daily Workforce'!$B35&lt;&gt;"",COUNTIF('Daily Schedule'!$F$5:$F56,'Daily Workforce'!$B35)=0,IF('Daily Schedule'!$A57=45,'Daily Workforce'!$J35="Y",IF(OR('Daily Schedule'!$A57=4,'Daily Schedule'!$A57=8),IF(OR(WEEKDAY('Daily Schedule'!$B$2,2)=1,WEEKDAY('Daily Schedule'!$B$2,2)=4,WEEKDAY('Daily Schedule'!$B$2,2)=5,WEEKDAY('Daily Schedule'!$B$2,2)=7),IFERROR(1*'Daily Workforce'!$K35&gt;=3,FALSE()),IFERROR(1*'Daily Workforce'!$K35&gt;=2,FALSE())),IF(AND('Daily Schedule'!$A57&gt;=46,'Daily Schedule'!$A57&lt;=52),'Daily Workforce'!$M35="Y",IFERROR(1*'Daily Workforce'!$P35&gt;=2,FALSE()))))),1,0)</f>
        <v>0</v>
      </c>
      <c r="AU53" s="1" t="n">
        <f aca="false">IF(AND('Daily Workforce'!$N36="Y",'Daily Workforce'!$B36&lt;&gt;"",COUNTIF('Daily Schedule'!$F$5:$F56,'Daily Workforce'!$B36)=0,IF('Daily Schedule'!$A57=45,'Daily Workforce'!$J36="Y",IF(OR('Daily Schedule'!$A57=4,'Daily Schedule'!$A57=8),IF(OR(WEEKDAY('Daily Schedule'!$B$2,2)=1,WEEKDAY('Daily Schedule'!$B$2,2)=4,WEEKDAY('Daily Schedule'!$B$2,2)=5,WEEKDAY('Daily Schedule'!$B$2,2)=7),IFERROR(1*'Daily Workforce'!$K36&gt;=3,FALSE()),IFERROR(1*'Daily Workforce'!$K36&gt;=2,FALSE())),IF(AND('Daily Schedule'!$A57&gt;=46,'Daily Schedule'!$A57&lt;=52),'Daily Workforce'!$M36="Y",IFERROR(1*'Daily Workforce'!$P36&gt;=2,FALSE()))))),1,0)</f>
        <v>0</v>
      </c>
      <c r="AV53" s="1" t="n">
        <f aca="false">IF(AND('Daily Workforce'!$N37="Y",'Daily Workforce'!$B37&lt;&gt;"",COUNTIF('Daily Schedule'!$F$5:$F56,'Daily Workforce'!$B37)=0,IF('Daily Schedule'!$A57=45,'Daily Workforce'!$J37="Y",IF(OR('Daily Schedule'!$A57=4,'Daily Schedule'!$A57=8),IF(OR(WEEKDAY('Daily Schedule'!$B$2,2)=1,WEEKDAY('Daily Schedule'!$B$2,2)=4,WEEKDAY('Daily Schedule'!$B$2,2)=5,WEEKDAY('Daily Schedule'!$B$2,2)=7),IFERROR(1*'Daily Workforce'!$K37&gt;=3,FALSE()),IFERROR(1*'Daily Workforce'!$K37&gt;=2,FALSE())),IF(AND('Daily Schedule'!$A57&gt;=46,'Daily Schedule'!$A57&lt;=52),'Daily Workforce'!$M37="Y",IFERROR(1*'Daily Workforce'!$P37&gt;=2,FALSE()))))),1,0)</f>
        <v>0</v>
      </c>
      <c r="AW53" s="1" t="n">
        <f aca="false">IF(AND('Daily Workforce'!$N38="Y",'Daily Workforce'!$B38&lt;&gt;"",COUNTIF('Daily Schedule'!$F$5:$F56,'Daily Workforce'!$B38)=0,IF('Daily Schedule'!$A57=45,'Daily Workforce'!$J38="Y",IF(OR('Daily Schedule'!$A57=4,'Daily Schedule'!$A57=8),IF(OR(WEEKDAY('Daily Schedule'!$B$2,2)=1,WEEKDAY('Daily Schedule'!$B$2,2)=4,WEEKDAY('Daily Schedule'!$B$2,2)=5,WEEKDAY('Daily Schedule'!$B$2,2)=7),IFERROR(1*'Daily Workforce'!$K38&gt;=3,FALSE()),IFERROR(1*'Daily Workforce'!$K38&gt;=2,FALSE())),IF(AND('Daily Schedule'!$A57&gt;=46,'Daily Schedule'!$A57&lt;=52),'Daily Workforce'!$M38="Y",IFERROR(1*'Daily Workforce'!$P38&gt;=2,FALSE()))))),1,0)</f>
        <v>0</v>
      </c>
      <c r="AX53" s="1" t="n">
        <f aca="false">IF(AND('Daily Workforce'!$N39="Y",'Daily Workforce'!$B39&lt;&gt;"",COUNTIF('Daily Schedule'!$F$5:$F56,'Daily Workforce'!$B39)=0,IF('Daily Schedule'!$A57=45,'Daily Workforce'!$J39="Y",IF(OR('Daily Schedule'!$A57=4,'Daily Schedule'!$A57=8),IF(OR(WEEKDAY('Daily Schedule'!$B$2,2)=1,WEEKDAY('Daily Schedule'!$B$2,2)=4,WEEKDAY('Daily Schedule'!$B$2,2)=5,WEEKDAY('Daily Schedule'!$B$2,2)=7),IFERROR(1*'Daily Workforce'!$K39&gt;=3,FALSE()),IFERROR(1*'Daily Workforce'!$K39&gt;=2,FALSE())),IF(AND('Daily Schedule'!$A57&gt;=46,'Daily Schedule'!$A57&lt;=52),'Daily Workforce'!$M39="Y",IFERROR(1*'Daily Workforce'!$P39&gt;=2,FALSE()))))),1,0)</f>
        <v>0</v>
      </c>
      <c r="AY53" s="1" t="n">
        <f aca="false">IF(AND('Daily Workforce'!$N40="Y",'Daily Workforce'!$B40&lt;&gt;"",COUNTIF('Daily Schedule'!$F$5:$F56,'Daily Workforce'!$B40)=0,IF('Daily Schedule'!$A57=45,'Daily Workforce'!$J40="Y",IF(OR('Daily Schedule'!$A57=4,'Daily Schedule'!$A57=8),IF(OR(WEEKDAY('Daily Schedule'!$B$2,2)=1,WEEKDAY('Daily Schedule'!$B$2,2)=4,WEEKDAY('Daily Schedule'!$B$2,2)=5,WEEKDAY('Daily Schedule'!$B$2,2)=7),IFERROR(1*'Daily Workforce'!$K40&gt;=3,FALSE()),IFERROR(1*'Daily Workforce'!$K40&gt;=2,FALSE())),IF(AND('Daily Schedule'!$A57&gt;=46,'Daily Schedule'!$A57&lt;=52),'Daily Workforce'!$M40="Y",IFERROR(1*'Daily Workforce'!$P40&gt;=2,FALSE()))))),1,0)</f>
        <v>0</v>
      </c>
      <c r="AZ53" s="1" t="n">
        <f aca="false">IF(AND('Daily Workforce'!$N41="Y",'Daily Workforce'!$B41&lt;&gt;"",COUNTIF('Daily Schedule'!$F$5:$F56,'Daily Workforce'!$B41)=0,IF('Daily Schedule'!$A57=45,'Daily Workforce'!$J41="Y",IF(OR('Daily Schedule'!$A57=4,'Daily Schedule'!$A57=8),IF(OR(WEEKDAY('Daily Schedule'!$B$2,2)=1,WEEKDAY('Daily Schedule'!$B$2,2)=4,WEEKDAY('Daily Schedule'!$B$2,2)=5,WEEKDAY('Daily Schedule'!$B$2,2)=7),IFERROR(1*'Daily Workforce'!$K41&gt;=3,FALSE()),IFERROR(1*'Daily Workforce'!$K41&gt;=2,FALSE())),IF(AND('Daily Schedule'!$A57&gt;=46,'Daily Schedule'!$A57&lt;=52),'Daily Workforce'!$M41="Y",IFERROR(1*'Daily Workforce'!$P41&gt;=2,FALSE()))))),1,0)</f>
        <v>0</v>
      </c>
      <c r="BA53" s="1" t="n">
        <f aca="false">IF(AND('Daily Workforce'!$N42="Y",'Daily Workforce'!$B42&lt;&gt;"",COUNTIF('Daily Schedule'!$F$5:$F56,'Daily Workforce'!$B42)=0,IF('Daily Schedule'!$A57=45,'Daily Workforce'!$J42="Y",IF(OR('Daily Schedule'!$A57=4,'Daily Schedule'!$A57=8),IF(OR(WEEKDAY('Daily Schedule'!$B$2,2)=1,WEEKDAY('Daily Schedule'!$B$2,2)=4,WEEKDAY('Daily Schedule'!$B$2,2)=5,WEEKDAY('Daily Schedule'!$B$2,2)=7),IFERROR(1*'Daily Workforce'!$K42&gt;=3,FALSE()),IFERROR(1*'Daily Workforce'!$K42&gt;=2,FALSE())),IF(AND('Daily Schedule'!$A57&gt;=46,'Daily Schedule'!$A57&lt;=52),'Daily Workforce'!$M42="Y",IFERROR(1*'Daily Workforce'!$P42&gt;=2,FALSE()))))),1,0)</f>
        <v>0</v>
      </c>
      <c r="BB53" s="1" t="n">
        <f aca="false">IF(AND('Daily Workforce'!$N43="Y",'Daily Workforce'!$B43&lt;&gt;"",COUNTIF('Daily Schedule'!$F$5:$F56,'Daily Workforce'!$B43)=0,IF('Daily Schedule'!$A57=45,'Daily Workforce'!$J43="Y",IF(OR('Daily Schedule'!$A57=4,'Daily Schedule'!$A57=8),IF(OR(WEEKDAY('Daily Schedule'!$B$2,2)=1,WEEKDAY('Daily Schedule'!$B$2,2)=4,WEEKDAY('Daily Schedule'!$B$2,2)=5,WEEKDAY('Daily Schedule'!$B$2,2)=7),IFERROR(1*'Daily Workforce'!$K43&gt;=3,FALSE()),IFERROR(1*'Daily Workforce'!$K43&gt;=2,FALSE())),IF(AND('Daily Schedule'!$A57&gt;=46,'Daily Schedule'!$A57&lt;=52),'Daily Workforce'!$M43="Y",IFERROR(1*'Daily Workforce'!$P43&gt;=2,FALSE()))))),1,0)</f>
        <v>0</v>
      </c>
      <c r="BC53" s="1" t="n">
        <f aca="false">IF(AND('Daily Workforce'!$N44="Y",'Daily Workforce'!$B44&lt;&gt;"",COUNTIF('Daily Schedule'!$F$5:$F56,'Daily Workforce'!$B44)=0,IF('Daily Schedule'!$A57=45,'Daily Workforce'!$J44="Y",IF(OR('Daily Schedule'!$A57=4,'Daily Schedule'!$A57=8),IF(OR(WEEKDAY('Daily Schedule'!$B$2,2)=1,WEEKDAY('Daily Schedule'!$B$2,2)=4,WEEKDAY('Daily Schedule'!$B$2,2)=5,WEEKDAY('Daily Schedule'!$B$2,2)=7),IFERROR(1*'Daily Workforce'!$K44&gt;=3,FALSE()),IFERROR(1*'Daily Workforce'!$K44&gt;=2,FALSE())),IF(AND('Daily Schedule'!$A57&gt;=46,'Daily Schedule'!$A57&lt;=52),'Daily Workforce'!$M44="Y",IFERROR(1*'Daily Workforce'!$P44&gt;=2,FALSE()))))),1,0)</f>
        <v>0</v>
      </c>
      <c r="BD53" s="1" t="n">
        <f aca="false">IF(AND('Daily Workforce'!$N45="Y",'Daily Workforce'!$B45&lt;&gt;"",COUNTIF('Daily Schedule'!$F$5:$F56,'Daily Workforce'!$B45)=0,IF('Daily Schedule'!$A57=45,'Daily Workforce'!$J45="Y",IF(OR('Daily Schedule'!$A57=4,'Daily Schedule'!$A57=8),IF(OR(WEEKDAY('Daily Schedule'!$B$2,2)=1,WEEKDAY('Daily Schedule'!$B$2,2)=4,WEEKDAY('Daily Schedule'!$B$2,2)=5,WEEKDAY('Daily Schedule'!$B$2,2)=7),IFERROR(1*'Daily Workforce'!$K45&gt;=3,FALSE()),IFERROR(1*'Daily Workforce'!$K45&gt;=2,FALSE())),IF(AND('Daily Schedule'!$A57&gt;=46,'Daily Schedule'!$A57&lt;=52),'Daily Workforce'!$M45="Y",IFERROR(1*'Daily Workforce'!$P45&gt;=2,FALSE()))))),1,0)</f>
        <v>0</v>
      </c>
      <c r="BE53" s="1" t="n">
        <f aca="false">IF(AND('Daily Workforce'!$N46="Y",'Daily Workforce'!$B46&lt;&gt;"",COUNTIF('Daily Schedule'!$F$5:$F56,'Daily Workforce'!$B46)=0,IF('Daily Schedule'!$A57=45,'Daily Workforce'!$J46="Y",IF(OR('Daily Schedule'!$A57=4,'Daily Schedule'!$A57=8),IF(OR(WEEKDAY('Daily Schedule'!$B$2,2)=1,WEEKDAY('Daily Schedule'!$B$2,2)=4,WEEKDAY('Daily Schedule'!$B$2,2)=5,WEEKDAY('Daily Schedule'!$B$2,2)=7),IFERROR(1*'Daily Workforce'!$K46&gt;=3,FALSE()),IFERROR(1*'Daily Workforce'!$K46&gt;=2,FALSE())),IF(AND('Daily Schedule'!$A57&gt;=46,'Daily Schedule'!$A57&lt;=52),'Daily Workforce'!$M46="Y",IFERROR(1*'Daily Workforce'!$P46&gt;=2,FALSE()))))),1,0)</f>
        <v>0</v>
      </c>
      <c r="BF53" s="1" t="n">
        <f aca="false">IF(AND('Daily Workforce'!$N47="Y",'Daily Workforce'!$B47&lt;&gt;"",COUNTIF('Daily Schedule'!$F$5:$F56,'Daily Workforce'!$B47)=0,IF('Daily Schedule'!$A57=45,'Daily Workforce'!$J47="Y",IF(OR('Daily Schedule'!$A57=4,'Daily Schedule'!$A57=8),IF(OR(WEEKDAY('Daily Schedule'!$B$2,2)=1,WEEKDAY('Daily Schedule'!$B$2,2)=4,WEEKDAY('Daily Schedule'!$B$2,2)=5,WEEKDAY('Daily Schedule'!$B$2,2)=7),IFERROR(1*'Daily Workforce'!$K47&gt;=3,FALSE()),IFERROR(1*'Daily Workforce'!$K47&gt;=2,FALSE())),IF(AND('Daily Schedule'!$A57&gt;=46,'Daily Schedule'!$A57&lt;=52),'Daily Workforce'!$M47="Y",IFERROR(1*'Daily Workforce'!$P47&gt;=2,FALSE()))))),1,0)</f>
        <v>0</v>
      </c>
      <c r="BG53" s="1" t="n">
        <f aca="false">IF(AND('Daily Workforce'!$N48="Y",'Daily Workforce'!$B48&lt;&gt;"",COUNTIF('Daily Schedule'!$F$5:$F56,'Daily Workforce'!$B48)=0,IF('Daily Schedule'!$A57=45,'Daily Workforce'!$J48="Y",IF(OR('Daily Schedule'!$A57=4,'Daily Schedule'!$A57=8),IF(OR(WEEKDAY('Daily Schedule'!$B$2,2)=1,WEEKDAY('Daily Schedule'!$B$2,2)=4,WEEKDAY('Daily Schedule'!$B$2,2)=5,WEEKDAY('Daily Schedule'!$B$2,2)=7),IFERROR(1*'Daily Workforce'!$K48&gt;=3,FALSE()),IFERROR(1*'Daily Workforce'!$K48&gt;=2,FALSE())),IF(AND('Daily Schedule'!$A57&gt;=46,'Daily Schedule'!$A57&lt;=52),'Daily Workforce'!$M48="Y",IFERROR(1*'Daily Workforce'!$P48&gt;=2,FALSE()))))),1,0)</f>
        <v>0</v>
      </c>
      <c r="BH53" s="1" t="n">
        <f aca="false">IF(AND('Daily Workforce'!$N49="Y",'Daily Workforce'!$B49&lt;&gt;"",COUNTIF('Daily Schedule'!$F$5:$F56,'Daily Workforce'!$B49)=0,IF('Daily Schedule'!$A57=45,'Daily Workforce'!$J49="Y",IF(OR('Daily Schedule'!$A57=4,'Daily Schedule'!$A57=8),IF(OR(WEEKDAY('Daily Schedule'!$B$2,2)=1,WEEKDAY('Daily Schedule'!$B$2,2)=4,WEEKDAY('Daily Schedule'!$B$2,2)=5,WEEKDAY('Daily Schedule'!$B$2,2)=7),IFERROR(1*'Daily Workforce'!$K49&gt;=3,FALSE()),IFERROR(1*'Daily Workforce'!$K49&gt;=2,FALSE())),IF(AND('Daily Schedule'!$A57&gt;=46,'Daily Schedule'!$A57&lt;=52),'Daily Workforce'!$M49="Y",IFERROR(1*'Daily Workforce'!$P49&gt;=2,FALSE()))))),1,0)</f>
        <v>0</v>
      </c>
      <c r="BI53" s="1" t="n">
        <f aca="false">IF(AND('Daily Workforce'!$N50="Y",'Daily Workforce'!$B50&lt;&gt;"",COUNTIF('Daily Schedule'!$F$5:$F56,'Daily Workforce'!$B50)=0,IF('Daily Schedule'!$A57=45,'Daily Workforce'!$J50="Y",IF(OR('Daily Schedule'!$A57=4,'Daily Schedule'!$A57=8),IF(OR(WEEKDAY('Daily Schedule'!$B$2,2)=1,WEEKDAY('Daily Schedule'!$B$2,2)=4,WEEKDAY('Daily Schedule'!$B$2,2)=5,WEEKDAY('Daily Schedule'!$B$2,2)=7),IFERROR(1*'Daily Workforce'!$K50&gt;=3,FALSE()),IFERROR(1*'Daily Workforce'!$K50&gt;=2,FALSE())),IF(AND('Daily Schedule'!$A57&gt;=46,'Daily Schedule'!$A57&lt;=52),'Daily Workforce'!$M50="Y",IFERROR(1*'Daily Workforce'!$P50&gt;=2,FALSE()))))),1,0)</f>
        <v>0</v>
      </c>
      <c r="BJ53" s="1" t="n">
        <f aca="false">IF(AND('Daily Workforce'!$N51="Y",'Daily Workforce'!$B51&lt;&gt;"",COUNTIF('Daily Schedule'!$F$5:$F56,'Daily Workforce'!$B51)=0,IF('Daily Schedule'!$A57=45,'Daily Workforce'!$J51="Y",IF(OR('Daily Schedule'!$A57=4,'Daily Schedule'!$A57=8),IF(OR(WEEKDAY('Daily Schedule'!$B$2,2)=1,WEEKDAY('Daily Schedule'!$B$2,2)=4,WEEKDAY('Daily Schedule'!$B$2,2)=5,WEEKDAY('Daily Schedule'!$B$2,2)=7),IFERROR(1*'Daily Workforce'!$K51&gt;=3,FALSE()),IFERROR(1*'Daily Workforce'!$K51&gt;=2,FALSE())),IF(AND('Daily Schedule'!$A57&gt;=46,'Daily Schedule'!$A57&lt;=52),'Daily Workforce'!$M51="Y",IFERROR(1*'Daily Workforce'!$P51&gt;=2,FALSE()))))),1,0)</f>
        <v>0</v>
      </c>
      <c r="BK53" s="1" t="n">
        <f aca="false">IF(AND('Daily Workforce'!$N52="Y",'Daily Workforce'!$B52&lt;&gt;"",COUNTIF('Daily Schedule'!$F$5:$F56,'Daily Workforce'!$B52)=0,IF('Daily Schedule'!$A57=45,'Daily Workforce'!$J52="Y",IF(OR('Daily Schedule'!$A57=4,'Daily Schedule'!$A57=8),IF(OR(WEEKDAY('Daily Schedule'!$B$2,2)=1,WEEKDAY('Daily Schedule'!$B$2,2)=4,WEEKDAY('Daily Schedule'!$B$2,2)=5,WEEKDAY('Daily Schedule'!$B$2,2)=7),IFERROR(1*'Daily Workforce'!$K52&gt;=3,FALSE()),IFERROR(1*'Daily Workforce'!$K52&gt;=2,FALSE())),IF(AND('Daily Schedule'!$A57&gt;=46,'Daily Schedule'!$A57&lt;=52),'Daily Workforce'!$M52="Y",IFERROR(1*'Daily Workforce'!$P52&gt;=2,FALSE()))))),1,0)</f>
        <v>0</v>
      </c>
      <c r="BL53" s="1" t="n">
        <f aca="false">IF(AND('Daily Workforce'!$N53="Y",'Daily Workforce'!$B53&lt;&gt;"",COUNTIF('Daily Schedule'!$F$5:$F56,'Daily Workforce'!$B53)=0,IF('Daily Schedule'!$A57=45,'Daily Workforce'!$J53="Y",IF(OR('Daily Schedule'!$A57=4,'Daily Schedule'!$A57=8),IF(OR(WEEKDAY('Daily Schedule'!$B$2,2)=1,WEEKDAY('Daily Schedule'!$B$2,2)=4,WEEKDAY('Daily Schedule'!$B$2,2)=5,WEEKDAY('Daily Schedule'!$B$2,2)=7),IFERROR(1*'Daily Workforce'!$K53&gt;=3,FALSE()),IFERROR(1*'Daily Workforce'!$K53&gt;=2,FALSE())),IF(AND('Daily Schedule'!$A57&gt;=46,'Daily Schedule'!$A57&lt;=52),'Daily Workforce'!$M53="Y",IFERROR(1*'Daily Workforce'!$P53&gt;=2,FALSE()))))),1,0)</f>
        <v>0</v>
      </c>
      <c r="BM53" s="1" t="n">
        <f aca="false">IF(AND('Daily Workforce'!$N54="Y",'Daily Workforce'!$B54&lt;&gt;"",COUNTIF('Daily Schedule'!$F$5:$F56,'Daily Workforce'!$B54)=0,IF('Daily Schedule'!$A57=45,'Daily Workforce'!$J54="Y",IF(OR('Daily Schedule'!$A57=4,'Daily Schedule'!$A57=8),IF(OR(WEEKDAY('Daily Schedule'!$B$2,2)=1,WEEKDAY('Daily Schedule'!$B$2,2)=4,WEEKDAY('Daily Schedule'!$B$2,2)=5,WEEKDAY('Daily Schedule'!$B$2,2)=7),IFERROR(1*'Daily Workforce'!$K54&gt;=3,FALSE()),IFERROR(1*'Daily Workforce'!$K54&gt;=2,FALSE())),IF(AND('Daily Schedule'!$A57&gt;=46,'Daily Schedule'!$A57&lt;=52),'Daily Workforce'!$M54="Y",IFERROR(1*'Daily Workforce'!$P54&gt;=2,FALSE()))))),1,0)</f>
        <v>0</v>
      </c>
      <c r="BN53" s="1" t="n">
        <f aca="false">IF(AND('Daily Workforce'!$N55="Y",'Daily Workforce'!$B55&lt;&gt;"",COUNTIF('Daily Schedule'!$F$5:$F56,'Daily Workforce'!$B55)=0,IF('Daily Schedule'!$A57=45,'Daily Workforce'!$J55="Y",IF(OR('Daily Schedule'!$A57=4,'Daily Schedule'!$A57=8),IF(OR(WEEKDAY('Daily Schedule'!$B$2,2)=1,WEEKDAY('Daily Schedule'!$B$2,2)=4,WEEKDAY('Daily Schedule'!$B$2,2)=5,WEEKDAY('Daily Schedule'!$B$2,2)=7),IFERROR(1*'Daily Workforce'!$K55&gt;=3,FALSE()),IFERROR(1*'Daily Workforce'!$K55&gt;=2,FALSE())),IF(AND('Daily Schedule'!$A57&gt;=46,'Daily Schedule'!$A57&lt;=52),'Daily Workforce'!$M55="Y",IFERROR(1*'Daily Workforce'!$P55&gt;=2,FALSE()))))),1,0)</f>
        <v>0</v>
      </c>
      <c r="BO53" s="1" t="n">
        <f aca="false">IF(AND('Daily Workforce'!$N56="Y",'Daily Workforce'!$B56&lt;&gt;"",COUNTIF('Daily Schedule'!$F$5:$F56,'Daily Workforce'!$B56)=0,IF('Daily Schedule'!$A57=45,'Daily Workforce'!$J56="Y",IF(OR('Daily Schedule'!$A57=4,'Daily Schedule'!$A57=8),IF(OR(WEEKDAY('Daily Schedule'!$B$2,2)=1,WEEKDAY('Daily Schedule'!$B$2,2)=4,WEEKDAY('Daily Schedule'!$B$2,2)=5,WEEKDAY('Daily Schedule'!$B$2,2)=7),IFERROR(1*'Daily Workforce'!$K56&gt;=3,FALSE()),IFERROR(1*'Daily Workforce'!$K56&gt;=2,FALSE())),IF(AND('Daily Schedule'!$A57&gt;=46,'Daily Schedule'!$A57&lt;=52),'Daily Workforce'!$M56="Y",IFERROR(1*'Daily Workforce'!$P56&gt;=2,FALSE()))))),1,0)</f>
        <v>0</v>
      </c>
      <c r="BP53" s="1" t="n">
        <f aca="false">IF(AND('Daily Workforce'!$N57="Y",'Daily Workforce'!$B57&lt;&gt;"",COUNTIF('Daily Schedule'!$F$5:$F56,'Daily Workforce'!$B57)=0,IF('Daily Schedule'!$A57=45,'Daily Workforce'!$J57="Y",IF(OR('Daily Schedule'!$A57=4,'Daily Schedule'!$A57=8),IF(OR(WEEKDAY('Daily Schedule'!$B$2,2)=1,WEEKDAY('Daily Schedule'!$B$2,2)=4,WEEKDAY('Daily Schedule'!$B$2,2)=5,WEEKDAY('Daily Schedule'!$B$2,2)=7),IFERROR(1*'Daily Workforce'!$K57&gt;=3,FALSE()),IFERROR(1*'Daily Workforce'!$K57&gt;=2,FALSE())),IF(AND('Daily Schedule'!$A57&gt;=46,'Daily Schedule'!$A57&lt;=52),'Daily Workforce'!$M57="Y",IFERROR(1*'Daily Workforce'!$P57&gt;=2,FALSE()))))),1,0)</f>
        <v>0</v>
      </c>
      <c r="BQ53" s="1" t="n">
        <f aca="false">IF(AND('Daily Workforce'!$N58="Y",'Daily Workforce'!$B58&lt;&gt;"",COUNTIF('Daily Schedule'!$F$5:$F56,'Daily Workforce'!$B58)=0,IF('Daily Schedule'!$A57=45,'Daily Workforce'!$J58="Y",IF(OR('Daily Schedule'!$A57=4,'Daily Schedule'!$A57=8),IF(OR(WEEKDAY('Daily Schedule'!$B$2,2)=1,WEEKDAY('Daily Schedule'!$B$2,2)=4,WEEKDAY('Daily Schedule'!$B$2,2)=5,WEEKDAY('Daily Schedule'!$B$2,2)=7),IFERROR(1*'Daily Workforce'!$K58&gt;=3,FALSE()),IFERROR(1*'Daily Workforce'!$K58&gt;=2,FALSE())),IF(AND('Daily Schedule'!$A57&gt;=46,'Daily Schedule'!$A57&lt;=52),'Daily Workforce'!$M58="Y",IFERROR(1*'Daily Workforce'!$P58&gt;=2,FALSE()))))),1,0)</f>
        <v>0</v>
      </c>
      <c r="BR53" s="1" t="n">
        <f aca="false">IF(AND('Daily Workforce'!$N59="Y",'Daily Workforce'!$B59&lt;&gt;"",COUNTIF('Daily Schedule'!$F$5:$F56,'Daily Workforce'!$B59)=0,IF('Daily Schedule'!$A57=45,'Daily Workforce'!$J59="Y",IF(OR('Daily Schedule'!$A57=4,'Daily Schedule'!$A57=8),IF(OR(WEEKDAY('Daily Schedule'!$B$2,2)=1,WEEKDAY('Daily Schedule'!$B$2,2)=4,WEEKDAY('Daily Schedule'!$B$2,2)=5,WEEKDAY('Daily Schedule'!$B$2,2)=7),IFERROR(1*'Daily Workforce'!$K59&gt;=3,FALSE()),IFERROR(1*'Daily Workforce'!$K59&gt;=2,FALSE())),IF(AND('Daily Schedule'!$A57&gt;=46,'Daily Schedule'!$A57&lt;=52),'Daily Workforce'!$M59="Y",IFERROR(1*'Daily Workforce'!$P59&gt;=2,FALSE()))))),1,0)</f>
        <v>1</v>
      </c>
      <c r="BS53" s="1" t="n">
        <f aca="false">IF(AND('Daily Workforce'!$N60="Y",'Daily Workforce'!$B60&lt;&gt;"",COUNTIF('Daily Schedule'!$F$5:$F56,'Daily Workforce'!$B60)=0,IF('Daily Schedule'!$A57=45,'Daily Workforce'!$J60="Y",IF(OR('Daily Schedule'!$A57=4,'Daily Schedule'!$A57=8),IF(OR(WEEKDAY('Daily Schedule'!$B$2,2)=1,WEEKDAY('Daily Schedule'!$B$2,2)=4,WEEKDAY('Daily Schedule'!$B$2,2)=5,WEEKDAY('Daily Schedule'!$B$2,2)=7),IFERROR(1*'Daily Workforce'!$K60&gt;=3,FALSE()),IFERROR(1*'Daily Workforce'!$K60&gt;=2,FALSE())),IF(AND('Daily Schedule'!$A57&gt;=46,'Daily Schedule'!$A57&lt;=52),'Daily Workforce'!$M60="Y",IFERROR(1*'Daily Workforce'!$P60&gt;=2,FALSE()))))),1,0)</f>
        <v>1</v>
      </c>
      <c r="BT53" s="1" t="n">
        <f aca="false">IF(AND('Daily Workforce'!$N61="Y",'Daily Workforce'!$B61&lt;&gt;"",COUNTIF('Daily Schedule'!$F$5:$F56,'Daily Workforce'!$B61)=0,IF('Daily Schedule'!$A57=45,'Daily Workforce'!$J61="Y",IF(OR('Daily Schedule'!$A57=4,'Daily Schedule'!$A57=8),IF(OR(WEEKDAY('Daily Schedule'!$B$2,2)=1,WEEKDAY('Daily Schedule'!$B$2,2)=4,WEEKDAY('Daily Schedule'!$B$2,2)=5,WEEKDAY('Daily Schedule'!$B$2,2)=7),IFERROR(1*'Daily Workforce'!$K61&gt;=3,FALSE()),IFERROR(1*'Daily Workforce'!$K61&gt;=2,FALSE())),IF(AND('Daily Schedule'!$A57&gt;=46,'Daily Schedule'!$A57&lt;=52),'Daily Workforce'!$M61="Y",IFERROR(1*'Daily Workforce'!$P61&gt;=2,FALSE()))))),1,0)</f>
        <v>0</v>
      </c>
      <c r="BU53" s="1" t="n">
        <f aca="false">IF(AND('Daily Workforce'!$N62="Y",'Daily Workforce'!$B62&lt;&gt;"",COUNTIF('Daily Schedule'!$F$5:$F56,'Daily Workforce'!$B62)=0,IF('Daily Schedule'!$A57=45,'Daily Workforce'!$J62="Y",IF(OR('Daily Schedule'!$A57=4,'Daily Schedule'!$A57=8),IF(OR(WEEKDAY('Daily Schedule'!$B$2,2)=1,WEEKDAY('Daily Schedule'!$B$2,2)=4,WEEKDAY('Daily Schedule'!$B$2,2)=5,WEEKDAY('Daily Schedule'!$B$2,2)=7),IFERROR(1*'Daily Workforce'!$K62&gt;=3,FALSE()),IFERROR(1*'Daily Workforce'!$K62&gt;=2,FALSE())),IF(AND('Daily Schedule'!$A57&gt;=46,'Daily Schedule'!$A57&lt;=52),'Daily Workforce'!$M62="Y",IFERROR(1*'Daily Workforce'!$P62&gt;=2,FALSE()))))),1,0)</f>
        <v>1</v>
      </c>
      <c r="BV53" s="1" t="n">
        <f aca="false">IF(AND('Daily Workforce'!$N63="Y",'Daily Workforce'!$B63&lt;&gt;"",COUNTIF('Daily Schedule'!$F$5:$F56,'Daily Workforce'!$B63)=0,IF('Daily Schedule'!$A57=45,'Daily Workforce'!$J63="Y",IF(OR('Daily Schedule'!$A57=4,'Daily Schedule'!$A57=8),IF(OR(WEEKDAY('Daily Schedule'!$B$2,2)=1,WEEKDAY('Daily Schedule'!$B$2,2)=4,WEEKDAY('Daily Schedule'!$B$2,2)=5,WEEKDAY('Daily Schedule'!$B$2,2)=7),IFERROR(1*'Daily Workforce'!$K63&gt;=3,FALSE()),IFERROR(1*'Daily Workforce'!$K63&gt;=2,FALSE())),IF(AND('Daily Schedule'!$A57&gt;=46,'Daily Schedule'!$A57&lt;=52),'Daily Workforce'!$M63="Y",IFERROR(1*'Daily Workforce'!$P63&gt;=2,FALSE()))))),1,0)</f>
        <v>1</v>
      </c>
      <c r="BW53" s="1" t="n">
        <f aca="false">IF(AND('Daily Workforce'!$N64="Y",'Daily Workforce'!$B64&lt;&gt;"",COUNTIF('Daily Schedule'!$F$5:$F56,'Daily Workforce'!$B64)=0,IF('Daily Schedule'!$A57=45,'Daily Workforce'!$J64="Y",IF(OR('Daily Schedule'!$A57=4,'Daily Schedule'!$A57=8),IF(OR(WEEKDAY('Daily Schedule'!$B$2,2)=1,WEEKDAY('Daily Schedule'!$B$2,2)=4,WEEKDAY('Daily Schedule'!$B$2,2)=5,WEEKDAY('Daily Schedule'!$B$2,2)=7),IFERROR(1*'Daily Workforce'!$K64&gt;=3,FALSE()),IFERROR(1*'Daily Workforce'!$K64&gt;=2,FALSE())),IF(AND('Daily Schedule'!$A57&gt;=46,'Daily Schedule'!$A57&lt;=52),'Daily Workforce'!$M64="Y",IFERROR(1*'Daily Workforce'!$P64&gt;=2,FALSE()))))),1,0)</f>
        <v>1</v>
      </c>
      <c r="BX53" s="1" t="n">
        <f aca="false">IF(AND('Daily Workforce'!$N65="Y",'Daily Workforce'!$B65&lt;&gt;"",COUNTIF('Daily Schedule'!$F$5:$F56,'Daily Workforce'!$B65)=0,IF('Daily Schedule'!$A57=45,'Daily Workforce'!$J65="Y",IF(OR('Daily Schedule'!$A57=4,'Daily Schedule'!$A57=8),IF(OR(WEEKDAY('Daily Schedule'!$B$2,2)=1,WEEKDAY('Daily Schedule'!$B$2,2)=4,WEEKDAY('Daily Schedule'!$B$2,2)=5,WEEKDAY('Daily Schedule'!$B$2,2)=7),IFERROR(1*'Daily Workforce'!$K65&gt;=3,FALSE()),IFERROR(1*'Daily Workforce'!$K65&gt;=2,FALSE())),IF(AND('Daily Schedule'!$A57&gt;=46,'Daily Schedule'!$A57&lt;=52),'Daily Workforce'!$M65="Y",IFERROR(1*'Daily Workforce'!$P65&gt;=2,FALSE()))))),1,0)</f>
        <v>1</v>
      </c>
      <c r="BY53" s="1" t="n">
        <f aca="false">IF(AND('Daily Workforce'!$N66="Y",'Daily Workforce'!$B66&lt;&gt;"",COUNTIF('Daily Schedule'!$F$5:$F56,'Daily Workforce'!$B66)=0,IF('Daily Schedule'!$A57=45,'Daily Workforce'!$J66="Y",IF(OR('Daily Schedule'!$A57=4,'Daily Schedule'!$A57=8),IF(OR(WEEKDAY('Daily Schedule'!$B$2,2)=1,WEEKDAY('Daily Schedule'!$B$2,2)=4,WEEKDAY('Daily Schedule'!$B$2,2)=5,WEEKDAY('Daily Schedule'!$B$2,2)=7),IFERROR(1*'Daily Workforce'!$K66&gt;=3,FALSE()),IFERROR(1*'Daily Workforce'!$K66&gt;=2,FALSE())),IF(AND('Daily Schedule'!$A57&gt;=46,'Daily Schedule'!$A57&lt;=52),'Daily Workforce'!$M66="Y",IFERROR(1*'Daily Workforce'!$P66&gt;=2,FALSE()))))),1,0)</f>
        <v>1</v>
      </c>
      <c r="BZ53" s="1" t="n">
        <f aca="false">IF(AND('Daily Workforce'!$N67="Y",'Daily Workforce'!$B67&lt;&gt;"",COUNTIF('Daily Schedule'!$F$5:$F56,'Daily Workforce'!$B67)=0,IF('Daily Schedule'!$A57=45,'Daily Workforce'!$J67="Y",IF(OR('Daily Schedule'!$A57=4,'Daily Schedule'!$A57=8),IF(OR(WEEKDAY('Daily Schedule'!$B$2,2)=1,WEEKDAY('Daily Schedule'!$B$2,2)=4,WEEKDAY('Daily Schedule'!$B$2,2)=5,WEEKDAY('Daily Schedule'!$B$2,2)=7),IFERROR(1*'Daily Workforce'!$K67&gt;=3,FALSE()),IFERROR(1*'Daily Workforce'!$K67&gt;=2,FALSE())),IF(AND('Daily Schedule'!$A57&gt;=46,'Daily Schedule'!$A57&lt;=52),'Daily Workforce'!$M67="Y",IFERROR(1*'Daily Workforce'!$P67&gt;=2,FALSE()))))),1,0)</f>
        <v>1</v>
      </c>
      <c r="CA53" s="1" t="n">
        <f aca="false">IF(AND('Daily Workforce'!$N68="Y",'Daily Workforce'!$B68&lt;&gt;"",COUNTIF('Daily Schedule'!$F$5:$F56,'Daily Workforce'!$B68)=0,IF('Daily Schedule'!$A57=45,'Daily Workforce'!$J68="Y",IF(OR('Daily Schedule'!$A57=4,'Daily Schedule'!$A57=8),IF(OR(WEEKDAY('Daily Schedule'!$B$2,2)=1,WEEKDAY('Daily Schedule'!$B$2,2)=4,WEEKDAY('Daily Schedule'!$B$2,2)=5,WEEKDAY('Daily Schedule'!$B$2,2)=7),IFERROR(1*'Daily Workforce'!$K68&gt;=3,FALSE()),IFERROR(1*'Daily Workforce'!$K68&gt;=2,FALSE())),IF(AND('Daily Schedule'!$A57&gt;=46,'Daily Schedule'!$A57&lt;=52),'Daily Workforce'!$M68="Y",IFERROR(1*'Daily Workforce'!$P68&gt;=2,FALSE()))))),1,0)</f>
        <v>1</v>
      </c>
      <c r="CB53" s="1" t="n">
        <f aca="false">IF(AND('Daily Workforce'!$N69="Y",'Daily Workforce'!$B69&lt;&gt;"",COUNTIF('Daily Schedule'!$F$5:$F56,'Daily Workforce'!$B69)=0,IF('Daily Schedule'!$A57=45,'Daily Workforce'!$J69="Y",IF(OR('Daily Schedule'!$A57=4,'Daily Schedule'!$A57=8),IF(OR(WEEKDAY('Daily Schedule'!$B$2,2)=1,WEEKDAY('Daily Schedule'!$B$2,2)=4,WEEKDAY('Daily Schedule'!$B$2,2)=5,WEEKDAY('Daily Schedule'!$B$2,2)=7),IFERROR(1*'Daily Workforce'!$K69&gt;=3,FALSE()),IFERROR(1*'Daily Workforce'!$K69&gt;=2,FALSE())),IF(AND('Daily Schedule'!$A57&gt;=46,'Daily Schedule'!$A57&lt;=52),'Daily Workforce'!$M69="Y",IFERROR(1*'Daily Workforce'!$P69&gt;=2,FALSE()))))),1,0)</f>
        <v>1</v>
      </c>
      <c r="CC53" s="1" t="n">
        <f aca="false">IF(AND('Daily Workforce'!$N70="Y",'Daily Workforce'!$B70&lt;&gt;"",COUNTIF('Daily Schedule'!$F$5:$F56,'Daily Workforce'!$B70)=0,IF('Daily Schedule'!$A57=45,'Daily Workforce'!$J70="Y",IF(OR('Daily Schedule'!$A57=4,'Daily Schedule'!$A57=8),IF(OR(WEEKDAY('Daily Schedule'!$B$2,2)=1,WEEKDAY('Daily Schedule'!$B$2,2)=4,WEEKDAY('Daily Schedule'!$B$2,2)=5,WEEKDAY('Daily Schedule'!$B$2,2)=7),IFERROR(1*'Daily Workforce'!$K70&gt;=3,FALSE()),IFERROR(1*'Daily Workforce'!$K70&gt;=2,FALSE())),IF(AND('Daily Schedule'!$A57&gt;=46,'Daily Schedule'!$A57&lt;=52),'Daily Workforce'!$M70="Y",IFERROR(1*'Daily Workforce'!$P70&gt;=2,FALSE()))))),1,0)</f>
        <v>1</v>
      </c>
      <c r="CD53" s="1" t="n">
        <f aca="false">IF(AND('Daily Workforce'!$N71="Y",'Daily Workforce'!$B71&lt;&gt;"",COUNTIF('Daily Schedule'!$F$5:$F56,'Daily Workforce'!$B71)=0,IF('Daily Schedule'!$A57=45,'Daily Workforce'!$J71="Y",IF(OR('Daily Schedule'!$A57=4,'Daily Schedule'!$A57=8),IF(OR(WEEKDAY('Daily Schedule'!$B$2,2)=1,WEEKDAY('Daily Schedule'!$B$2,2)=4,WEEKDAY('Daily Schedule'!$B$2,2)=5,WEEKDAY('Daily Schedule'!$B$2,2)=7),IFERROR(1*'Daily Workforce'!$K71&gt;=3,FALSE()),IFERROR(1*'Daily Workforce'!$K71&gt;=2,FALSE())),IF(AND('Daily Schedule'!$A57&gt;=46,'Daily Schedule'!$A57&lt;=52),'Daily Workforce'!$M71="Y",IFERROR(1*'Daily Workforce'!$P71&gt;=2,FALSE()))))),1,0)</f>
        <v>1</v>
      </c>
      <c r="CE53" s="1" t="n">
        <f aca="false">IF(AND('Daily Workforce'!$N72="Y",'Daily Workforce'!$B72&lt;&gt;"",COUNTIF('Daily Schedule'!$F$5:$F56,'Daily Workforce'!$B72)=0,IF('Daily Schedule'!$A57=45,'Daily Workforce'!$J72="Y",IF(OR('Daily Schedule'!$A57=4,'Daily Schedule'!$A57=8),IF(OR(WEEKDAY('Daily Schedule'!$B$2,2)=1,WEEKDAY('Daily Schedule'!$B$2,2)=4,WEEKDAY('Daily Schedule'!$B$2,2)=5,WEEKDAY('Daily Schedule'!$B$2,2)=7),IFERROR(1*'Daily Workforce'!$K72&gt;=3,FALSE()),IFERROR(1*'Daily Workforce'!$K72&gt;=2,FALSE())),IF(AND('Daily Schedule'!$A57&gt;=46,'Daily Schedule'!$A57&lt;=52),'Daily Workforce'!$M72="Y",IFERROR(1*'Daily Workforce'!$P72&gt;=2,FALSE()))))),1,0)</f>
        <v>1</v>
      </c>
      <c r="CF53" s="1" t="n">
        <f aca="false">IF(AND('Daily Workforce'!$N73="Y",'Daily Workforce'!$B73&lt;&gt;"",COUNTIF('Daily Schedule'!$F$5:$F56,'Daily Workforce'!$B73)=0,IF('Daily Schedule'!$A57=45,'Daily Workforce'!$J73="Y",IF(OR('Daily Schedule'!$A57=4,'Daily Schedule'!$A57=8),IF(OR(WEEKDAY('Daily Schedule'!$B$2,2)=1,WEEKDAY('Daily Schedule'!$B$2,2)=4,WEEKDAY('Daily Schedule'!$B$2,2)=5,WEEKDAY('Daily Schedule'!$B$2,2)=7),IFERROR(1*'Daily Workforce'!$K73&gt;=3,FALSE()),IFERROR(1*'Daily Workforce'!$K73&gt;=2,FALSE())),IF(AND('Daily Schedule'!$A57&gt;=46,'Daily Schedule'!$A57&lt;=52),'Daily Workforce'!$M73="Y",IFERROR(1*'Daily Workforce'!$P73&gt;=2,FALSE()))))),1,0)</f>
        <v>1</v>
      </c>
      <c r="CG53" s="1" t="n">
        <f aca="false">IF(AND('Daily Workforce'!$N74="Y",'Daily Workforce'!$B74&lt;&gt;"",COUNTIF('Daily Schedule'!$F$5:$F56,'Daily Workforce'!$B74)=0,IF('Daily Schedule'!$A57=45,'Daily Workforce'!$J74="Y",IF(OR('Daily Schedule'!$A57=4,'Daily Schedule'!$A57=8),IF(OR(WEEKDAY('Daily Schedule'!$B$2,2)=1,WEEKDAY('Daily Schedule'!$B$2,2)=4,WEEKDAY('Daily Schedule'!$B$2,2)=5,WEEKDAY('Daily Schedule'!$B$2,2)=7),IFERROR(1*'Daily Workforce'!$K74&gt;=3,FALSE()),IFERROR(1*'Daily Workforce'!$K74&gt;=2,FALSE())),IF(AND('Daily Schedule'!$A57&gt;=46,'Daily Schedule'!$A57&lt;=52),'Daily Workforce'!$M74="Y",IFERROR(1*'Daily Workforce'!$P74&gt;=2,FALSE()))))),1,0)</f>
        <v>1</v>
      </c>
      <c r="CH53" s="1" t="n">
        <f aca="false">IF(AND('Daily Workforce'!$N75="Y",'Daily Workforce'!$B75&lt;&gt;"",COUNTIF('Daily Schedule'!$F$5:$F56,'Daily Workforce'!$B75)=0,IF('Daily Schedule'!$A57=45,'Daily Workforce'!$J75="Y",IF(OR('Daily Schedule'!$A57=4,'Daily Schedule'!$A57=8),IF(OR(WEEKDAY('Daily Schedule'!$B$2,2)=1,WEEKDAY('Daily Schedule'!$B$2,2)=4,WEEKDAY('Daily Schedule'!$B$2,2)=5,WEEKDAY('Daily Schedule'!$B$2,2)=7),IFERROR(1*'Daily Workforce'!$K75&gt;=3,FALSE()),IFERROR(1*'Daily Workforce'!$K75&gt;=2,FALSE())),IF(AND('Daily Schedule'!$A57&gt;=46,'Daily Schedule'!$A57&lt;=52),'Daily Workforce'!$M75="Y",IFERROR(1*'Daily Workforce'!$P75&gt;=2,FALSE()))))),1,0)</f>
        <v>1</v>
      </c>
      <c r="CI53" s="1" t="n">
        <f aca="false">IF(AND('Daily Workforce'!$N76="Y",'Daily Workforce'!$B76&lt;&gt;"",COUNTIF('Daily Schedule'!$F$5:$F56,'Daily Workforce'!$B76)=0,IF('Daily Schedule'!$A57=45,'Daily Workforce'!$J76="Y",IF(OR('Daily Schedule'!$A57=4,'Daily Schedule'!$A57=8),IF(OR(WEEKDAY('Daily Schedule'!$B$2,2)=1,WEEKDAY('Daily Schedule'!$B$2,2)=4,WEEKDAY('Daily Schedule'!$B$2,2)=5,WEEKDAY('Daily Schedule'!$B$2,2)=7),IFERROR(1*'Daily Workforce'!$K76&gt;=3,FALSE()),IFERROR(1*'Daily Workforce'!$K76&gt;=2,FALSE())),IF(AND('Daily Schedule'!$A57&gt;=46,'Daily Schedule'!$A57&lt;=52),'Daily Workforce'!$M76="Y",IFERROR(1*'Daily Workforce'!$P76&gt;=2,FALSE()))))),1,0)</f>
        <v>1</v>
      </c>
      <c r="CJ53" s="1" t="n">
        <f aca="false">IF(AND('Daily Workforce'!$N77="Y",'Daily Workforce'!$B77&lt;&gt;"",COUNTIF('Daily Schedule'!$F$5:$F56,'Daily Workforce'!$B77)=0,IF('Daily Schedule'!$A57=45,'Daily Workforce'!$J77="Y",IF(OR('Daily Schedule'!$A57=4,'Daily Schedule'!$A57=8),IF(OR(WEEKDAY('Daily Schedule'!$B$2,2)=1,WEEKDAY('Daily Schedule'!$B$2,2)=4,WEEKDAY('Daily Schedule'!$B$2,2)=5,WEEKDAY('Daily Schedule'!$B$2,2)=7),IFERROR(1*'Daily Workforce'!$K77&gt;=3,FALSE()),IFERROR(1*'Daily Workforce'!$K77&gt;=2,FALSE())),IF(AND('Daily Schedule'!$A57&gt;=46,'Daily Schedule'!$A57&lt;=52),'Daily Workforce'!$M77="Y",IFERROR(1*'Daily Workforce'!$P77&gt;=2,FALSE()))))),1,0)</f>
        <v>1</v>
      </c>
      <c r="CK53" s="1" t="n">
        <f aca="false">IF(AND('Daily Workforce'!$N78="Y",'Daily Workforce'!$B78&lt;&gt;"",COUNTIF('Daily Schedule'!$F$5:$F56,'Daily Workforce'!$B78)=0,IF('Daily Schedule'!$A57=45,'Daily Workforce'!$J78="Y",IF(OR('Daily Schedule'!$A57=4,'Daily Schedule'!$A57=8),IF(OR(WEEKDAY('Daily Schedule'!$B$2,2)=1,WEEKDAY('Daily Schedule'!$B$2,2)=4,WEEKDAY('Daily Schedule'!$B$2,2)=5,WEEKDAY('Daily Schedule'!$B$2,2)=7),IFERROR(1*'Daily Workforce'!$K78&gt;=3,FALSE()),IFERROR(1*'Daily Workforce'!$K78&gt;=2,FALSE())),IF(AND('Daily Schedule'!$A57&gt;=46,'Daily Schedule'!$A57&lt;=52),'Daily Workforce'!$M78="Y",IFERROR(1*'Daily Workforce'!$P78&gt;=2,FALSE()))))),1,0)</f>
        <v>1</v>
      </c>
      <c r="CL53" s="1" t="n">
        <f aca="false">IF(AND('Daily Workforce'!$N79="Y",'Daily Workforce'!$B79&lt;&gt;"",COUNTIF('Daily Schedule'!$F$5:$F56,'Daily Workforce'!$B79)=0,IF('Daily Schedule'!$A57=45,'Daily Workforce'!$J79="Y",IF(OR('Daily Schedule'!$A57=4,'Daily Schedule'!$A57=8),IF(OR(WEEKDAY('Daily Schedule'!$B$2,2)=1,WEEKDAY('Daily Schedule'!$B$2,2)=4,WEEKDAY('Daily Schedule'!$B$2,2)=5,WEEKDAY('Daily Schedule'!$B$2,2)=7),IFERROR(1*'Daily Workforce'!$K79&gt;=3,FALSE()),IFERROR(1*'Daily Workforce'!$K79&gt;=2,FALSE())),IF(AND('Daily Schedule'!$A57&gt;=46,'Daily Schedule'!$A57&lt;=52),'Daily Workforce'!$M79="Y",IFERROR(1*'Daily Workforce'!$P79&gt;=2,FALSE()))))),1,0)</f>
        <v>1</v>
      </c>
      <c r="CM53" s="1" t="n">
        <f aca="false">IF(AND('Daily Workforce'!$N80="Y",'Daily Workforce'!$B80&lt;&gt;"",COUNTIF('Daily Schedule'!$F$5:$F56,'Daily Workforce'!$B80)=0,IF('Daily Schedule'!$A57=45,'Daily Workforce'!$J80="Y",IF(OR('Daily Schedule'!$A57=4,'Daily Schedule'!$A57=8),IF(OR(WEEKDAY('Daily Schedule'!$B$2,2)=1,WEEKDAY('Daily Schedule'!$B$2,2)=4,WEEKDAY('Daily Schedule'!$B$2,2)=5,WEEKDAY('Daily Schedule'!$B$2,2)=7),IFERROR(1*'Daily Workforce'!$K80&gt;=3,FALSE()),IFERROR(1*'Daily Workforce'!$K80&gt;=2,FALSE())),IF(AND('Daily Schedule'!$A57&gt;=46,'Daily Schedule'!$A57&lt;=52),'Daily Workforce'!$M80="Y",IFERROR(1*'Daily Workforce'!$P80&gt;=2,FALSE()))))),1,0)</f>
        <v>1</v>
      </c>
      <c r="CN53" s="1" t="n">
        <f aca="false">IF(AND('Daily Workforce'!$N81="Y",'Daily Workforce'!$B81&lt;&gt;"",COUNTIF('Daily Schedule'!$F$5:$F56,'Daily Workforce'!$B81)=0,IF('Daily Schedule'!$A57=45,'Daily Workforce'!$J81="Y",IF(OR('Daily Schedule'!$A57=4,'Daily Schedule'!$A57=8),IF(OR(WEEKDAY('Daily Schedule'!$B$2,2)=1,WEEKDAY('Daily Schedule'!$B$2,2)=4,WEEKDAY('Daily Schedule'!$B$2,2)=5,WEEKDAY('Daily Schedule'!$B$2,2)=7),IFERROR(1*'Daily Workforce'!$K81&gt;=3,FALSE()),IFERROR(1*'Daily Workforce'!$K81&gt;=2,FALSE())),IF(AND('Daily Schedule'!$A57&gt;=46,'Daily Schedule'!$A57&lt;=52),'Daily Workforce'!$M81="Y",IFERROR(1*'Daily Workforce'!$P81&gt;=2,FALSE()))))),1,0)</f>
        <v>1</v>
      </c>
      <c r="CO53" s="1" t="n">
        <f aca="false">IF(AND('Daily Workforce'!$N82="Y",'Daily Workforce'!$B82&lt;&gt;"",COUNTIF('Daily Schedule'!$F$5:$F56,'Daily Workforce'!$B82)=0,IF('Daily Schedule'!$A57=45,'Daily Workforce'!$J82="Y",IF(OR('Daily Schedule'!$A57=4,'Daily Schedule'!$A57=8),IF(OR(WEEKDAY('Daily Schedule'!$B$2,2)=1,WEEKDAY('Daily Schedule'!$B$2,2)=4,WEEKDAY('Daily Schedule'!$B$2,2)=5,WEEKDAY('Daily Schedule'!$B$2,2)=7),IFERROR(1*'Daily Workforce'!$K82&gt;=3,FALSE()),IFERROR(1*'Daily Workforce'!$K82&gt;=2,FALSE())),IF(AND('Daily Schedule'!$A57&gt;=46,'Daily Schedule'!$A57&lt;=52),'Daily Workforce'!$M82="Y",IFERROR(1*'Daily Workforce'!$P82&gt;=2,FALSE()))))),1,0)</f>
        <v>1</v>
      </c>
      <c r="CP53" s="1" t="n">
        <f aca="false">IF(AND('Daily Workforce'!$N83="Y",'Daily Workforce'!$B83&lt;&gt;"",COUNTIF('Daily Schedule'!$F$5:$F56,'Daily Workforce'!$B83)=0,IF('Daily Schedule'!$A57=45,'Daily Workforce'!$J83="Y",IF(OR('Daily Schedule'!$A57=4,'Daily Schedule'!$A57=8),IF(OR(WEEKDAY('Daily Schedule'!$B$2,2)=1,WEEKDAY('Daily Schedule'!$B$2,2)=4,WEEKDAY('Daily Schedule'!$B$2,2)=5,WEEKDAY('Daily Schedule'!$B$2,2)=7),IFERROR(1*'Daily Workforce'!$K83&gt;=3,FALSE()),IFERROR(1*'Daily Workforce'!$K83&gt;=2,FALSE())),IF(AND('Daily Schedule'!$A57&gt;=46,'Daily Schedule'!$A57&lt;=52),'Daily Workforce'!$M83="Y",IFERROR(1*'Daily Workforce'!$P83&gt;=2,FALSE()))))),1,0)</f>
        <v>0</v>
      </c>
      <c r="CQ53" s="1" t="n">
        <f aca="false">IF(AND('Daily Workforce'!$N84="Y",'Daily Workforce'!$B84&lt;&gt;"",COUNTIF('Daily Schedule'!$F$5:$F56,'Daily Workforce'!$B84)=0,IF('Daily Schedule'!$A57=45,'Daily Workforce'!$J84="Y",IF(OR('Daily Schedule'!$A57=4,'Daily Schedule'!$A57=8),IF(OR(WEEKDAY('Daily Schedule'!$B$2,2)=1,WEEKDAY('Daily Schedule'!$B$2,2)=4,WEEKDAY('Daily Schedule'!$B$2,2)=5,WEEKDAY('Daily Schedule'!$B$2,2)=7),IFERROR(1*'Daily Workforce'!$K84&gt;=3,FALSE()),IFERROR(1*'Daily Workforce'!$K84&gt;=2,FALSE())),IF(AND('Daily Schedule'!$A57&gt;=46,'Daily Schedule'!$A57&lt;=52),'Daily Workforce'!$M84="Y",IFERROR(1*'Daily Workforce'!$P84&gt;=2,FALSE()))))),1,0)</f>
        <v>1</v>
      </c>
      <c r="CR53" s="1" t="n">
        <f aca="false">IF(AND('Daily Workforce'!$N85="Y",'Daily Workforce'!$B85&lt;&gt;"",COUNTIF('Daily Schedule'!$F$5:$F56,'Daily Workforce'!$B85)=0,IF('Daily Schedule'!$A57=45,'Daily Workforce'!$J85="Y",IF(OR('Daily Schedule'!$A57=4,'Daily Schedule'!$A57=8),IF(OR(WEEKDAY('Daily Schedule'!$B$2,2)=1,WEEKDAY('Daily Schedule'!$B$2,2)=4,WEEKDAY('Daily Schedule'!$B$2,2)=5,WEEKDAY('Daily Schedule'!$B$2,2)=7),IFERROR(1*'Daily Workforce'!$K85&gt;=3,FALSE()),IFERROR(1*'Daily Workforce'!$K85&gt;=2,FALSE())),IF(AND('Daily Schedule'!$A57&gt;=46,'Daily Schedule'!$A57&lt;=52),'Daily Workforce'!$M85="Y",IFERROR(1*'Daily Workforce'!$P85&gt;=2,FALSE()))))),1,0)</f>
        <v>0</v>
      </c>
      <c r="CS53" s="1" t="n">
        <f aca="false">IF(AND('Daily Workforce'!$N86="Y",'Daily Workforce'!$B86&lt;&gt;"",COUNTIF('Daily Schedule'!$F$5:$F56,'Daily Workforce'!$B86)=0,IF('Daily Schedule'!$A57=45,'Daily Workforce'!$J86="Y",IF(OR('Daily Schedule'!$A57=4,'Daily Schedule'!$A57=8),IF(OR(WEEKDAY('Daily Schedule'!$B$2,2)=1,WEEKDAY('Daily Schedule'!$B$2,2)=4,WEEKDAY('Daily Schedule'!$B$2,2)=5,WEEKDAY('Daily Schedule'!$B$2,2)=7),IFERROR(1*'Daily Workforce'!$K86&gt;=3,FALSE()),IFERROR(1*'Daily Workforce'!$K86&gt;=2,FALSE())),IF(AND('Daily Schedule'!$A57&gt;=46,'Daily Schedule'!$A57&lt;=52),'Daily Workforce'!$M86="Y",IFERROR(1*'Daily Workforce'!$P86&gt;=2,FALSE()))))),1,0)</f>
        <v>1</v>
      </c>
      <c r="CT53" s="1" t="n">
        <f aca="false">IF(AND('Daily Workforce'!$N87="Y",'Daily Workforce'!$B87&lt;&gt;"",COUNTIF('Daily Schedule'!$F$5:$F56,'Daily Workforce'!$B87)=0,IF('Daily Schedule'!$A57=45,'Daily Workforce'!$J87="Y",IF(OR('Daily Schedule'!$A57=4,'Daily Schedule'!$A57=8),IF(OR(WEEKDAY('Daily Schedule'!$B$2,2)=1,WEEKDAY('Daily Schedule'!$B$2,2)=4,WEEKDAY('Daily Schedule'!$B$2,2)=5,WEEKDAY('Daily Schedule'!$B$2,2)=7),IFERROR(1*'Daily Workforce'!$K87&gt;=3,FALSE()),IFERROR(1*'Daily Workforce'!$K87&gt;=2,FALSE())),IF(AND('Daily Schedule'!$A57&gt;=46,'Daily Schedule'!$A57&lt;=52),'Daily Workforce'!$M87="Y",IFERROR(1*'Daily Workforce'!$P87&gt;=2,FALSE()))))),1,0)</f>
        <v>1</v>
      </c>
      <c r="CU53" s="1" t="n">
        <f aca="false">IF(AND('Daily Workforce'!$N88="Y",'Daily Workforce'!$B88&lt;&gt;"",COUNTIF('Daily Schedule'!$F$5:$F56,'Daily Workforce'!$B88)=0,IF('Daily Schedule'!$A57=45,'Daily Workforce'!$J88="Y",IF(OR('Daily Schedule'!$A57=4,'Daily Schedule'!$A57=8),IF(OR(WEEKDAY('Daily Schedule'!$B$2,2)=1,WEEKDAY('Daily Schedule'!$B$2,2)=4,WEEKDAY('Daily Schedule'!$B$2,2)=5,WEEKDAY('Daily Schedule'!$B$2,2)=7),IFERROR(1*'Daily Workforce'!$K88&gt;=3,FALSE()),IFERROR(1*'Daily Workforce'!$K88&gt;=2,FALSE())),IF(AND('Daily Schedule'!$A57&gt;=46,'Daily Schedule'!$A57&lt;=52),'Daily Workforce'!$M88="Y",IFERROR(1*'Daily Workforce'!$P88&gt;=2,FALSE()))))),1,0)</f>
        <v>1</v>
      </c>
      <c r="CV53" s="1" t="n">
        <f aca="false">IF(AND('Daily Workforce'!$N89="Y",'Daily Workforce'!$B89&lt;&gt;"",COUNTIF('Daily Schedule'!$F$5:$F56,'Daily Workforce'!$B89)=0,IF('Daily Schedule'!$A57=45,'Daily Workforce'!$J89="Y",IF(OR('Daily Schedule'!$A57=4,'Daily Schedule'!$A57=8),IF(OR(WEEKDAY('Daily Schedule'!$B$2,2)=1,WEEKDAY('Daily Schedule'!$B$2,2)=4,WEEKDAY('Daily Schedule'!$B$2,2)=5,WEEKDAY('Daily Schedule'!$B$2,2)=7),IFERROR(1*'Daily Workforce'!$K89&gt;=3,FALSE()),IFERROR(1*'Daily Workforce'!$K89&gt;=2,FALSE())),IF(AND('Daily Schedule'!$A57&gt;=46,'Daily Schedule'!$A57&lt;=52),'Daily Workforce'!$M89="Y",IFERROR(1*'Daily Workforce'!$P89&gt;=2,FALSE()))))),1,0)</f>
        <v>1</v>
      </c>
      <c r="CW53" s="1" t="n">
        <f aca="false">IF(AND('Daily Workforce'!$N90="Y",'Daily Workforce'!$B90&lt;&gt;"",COUNTIF('Daily Schedule'!$F$5:$F56,'Daily Workforce'!$B90)=0,IF('Daily Schedule'!$A57=45,'Daily Workforce'!$J90="Y",IF(OR('Daily Schedule'!$A57=4,'Daily Schedule'!$A57=8),IF(OR(WEEKDAY('Daily Schedule'!$B$2,2)=1,WEEKDAY('Daily Schedule'!$B$2,2)=4,WEEKDAY('Daily Schedule'!$B$2,2)=5,WEEKDAY('Daily Schedule'!$B$2,2)=7),IFERROR(1*'Daily Workforce'!$K90&gt;=3,FALSE()),IFERROR(1*'Daily Workforce'!$K90&gt;=2,FALSE())),IF(AND('Daily Schedule'!$A57&gt;=46,'Daily Schedule'!$A57&lt;=52),'Daily Workforce'!$M90="Y",IFERROR(1*'Daily Workforce'!$P90&gt;=2,FALSE()))))),1,0)</f>
        <v>1</v>
      </c>
      <c r="CX53" s="1" t="n">
        <f aca="false">IF(AND('Daily Workforce'!$N91="Y",'Daily Workforce'!$B91&lt;&gt;"",COUNTIF('Daily Schedule'!$F$5:$F56,'Daily Workforce'!$B91)=0,IF('Daily Schedule'!$A57=45,'Daily Workforce'!$J91="Y",IF(OR('Daily Schedule'!$A57=4,'Daily Schedule'!$A57=8),IF(OR(WEEKDAY('Daily Schedule'!$B$2,2)=1,WEEKDAY('Daily Schedule'!$B$2,2)=4,WEEKDAY('Daily Schedule'!$B$2,2)=5,WEEKDAY('Daily Schedule'!$B$2,2)=7),IFERROR(1*'Daily Workforce'!$K91&gt;=3,FALSE()),IFERROR(1*'Daily Workforce'!$K91&gt;=2,FALSE())),IF(AND('Daily Schedule'!$A57&gt;=46,'Daily Schedule'!$A57&lt;=52),'Daily Workforce'!$M91="Y",IFERROR(1*'Daily Workforce'!$P91&gt;=2,FALSE()))))),1,0)</f>
        <v>1</v>
      </c>
      <c r="CY53" s="1" t="n">
        <f aca="false">IF(AND('Daily Workforce'!$N92="Y",'Daily Workforce'!$B92&lt;&gt;"",COUNTIF('Daily Schedule'!$F$5:$F56,'Daily Workforce'!$B92)=0,IF('Daily Schedule'!$A57=45,'Daily Workforce'!$J92="Y",IF(OR('Daily Schedule'!$A57=4,'Daily Schedule'!$A57=8),IF(OR(WEEKDAY('Daily Schedule'!$B$2,2)=1,WEEKDAY('Daily Schedule'!$B$2,2)=4,WEEKDAY('Daily Schedule'!$B$2,2)=5,WEEKDAY('Daily Schedule'!$B$2,2)=7),IFERROR(1*'Daily Workforce'!$K92&gt;=3,FALSE()),IFERROR(1*'Daily Workforce'!$K92&gt;=2,FALSE())),IF(AND('Daily Schedule'!$A57&gt;=46,'Daily Schedule'!$A57&lt;=52),'Daily Workforce'!$M92="Y",IFERROR(1*'Daily Workforce'!$P92&gt;=2,FALSE()))))),1,0)</f>
        <v>1</v>
      </c>
      <c r="CZ53" s="1" t="n">
        <f aca="false">IF(AND('Daily Workforce'!$N93="Y",'Daily Workforce'!$B93&lt;&gt;"",COUNTIF('Daily Schedule'!$F$5:$F56,'Daily Workforce'!$B93)=0,IF('Daily Schedule'!$A57=45,'Daily Workforce'!$J93="Y",IF(OR('Daily Schedule'!$A57=4,'Daily Schedule'!$A57=8),IF(OR(WEEKDAY('Daily Schedule'!$B$2,2)=1,WEEKDAY('Daily Schedule'!$B$2,2)=4,WEEKDAY('Daily Schedule'!$B$2,2)=5,WEEKDAY('Daily Schedule'!$B$2,2)=7),IFERROR(1*'Daily Workforce'!$K93&gt;=3,FALSE()),IFERROR(1*'Daily Workforce'!$K93&gt;=2,FALSE())),IF(AND('Daily Schedule'!$A57&gt;=46,'Daily Schedule'!$A57&lt;=52),'Daily Workforce'!$M93="Y",IFERROR(1*'Daily Workforce'!$P93&gt;=2,FALSE()))))),1,0)</f>
        <v>1</v>
      </c>
      <c r="DA53" s="1" t="n">
        <f aca="false">IF(AND('Daily Workforce'!$N94="Y",'Daily Workforce'!$B94&lt;&gt;"",COUNTIF('Daily Schedule'!$F$5:$F56,'Daily Workforce'!$B94)=0,IF('Daily Schedule'!$A57=45,'Daily Workforce'!$J94="Y",IF(OR('Daily Schedule'!$A57=4,'Daily Schedule'!$A57=8),IF(OR(WEEKDAY('Daily Schedule'!$B$2,2)=1,WEEKDAY('Daily Schedule'!$B$2,2)=4,WEEKDAY('Daily Schedule'!$B$2,2)=5,WEEKDAY('Daily Schedule'!$B$2,2)=7),IFERROR(1*'Daily Workforce'!$K94&gt;=3,FALSE()),IFERROR(1*'Daily Workforce'!$K94&gt;=2,FALSE())),IF(AND('Daily Schedule'!$A57&gt;=46,'Daily Schedule'!$A57&lt;=52),'Daily Workforce'!$M94="Y",IFERROR(1*'Daily Workforce'!$P94&gt;=2,FALSE()))))),1,0)</f>
        <v>1</v>
      </c>
      <c r="DB53" s="1" t="n">
        <f aca="false">IF(AND('Daily Workforce'!$N95="Y",'Daily Workforce'!$B95&lt;&gt;"",COUNTIF('Daily Schedule'!$F$5:$F56,'Daily Workforce'!$B95)=0,IF('Daily Schedule'!$A57=45,'Daily Workforce'!$J95="Y",IF(OR('Daily Schedule'!$A57=4,'Daily Schedule'!$A57=8),IF(OR(WEEKDAY('Daily Schedule'!$B$2,2)=1,WEEKDAY('Daily Schedule'!$B$2,2)=4,WEEKDAY('Daily Schedule'!$B$2,2)=5,WEEKDAY('Daily Schedule'!$B$2,2)=7),IFERROR(1*'Daily Workforce'!$K95&gt;=3,FALSE()),IFERROR(1*'Daily Workforce'!$K95&gt;=2,FALSE())),IF(AND('Daily Schedule'!$A57&gt;=46,'Daily Schedule'!$A57&lt;=52),'Daily Workforce'!$M95="Y",IFERROR(1*'Daily Workforce'!$P95&gt;=2,FALSE()))))),1,0)</f>
        <v>1</v>
      </c>
      <c r="DC53" s="1" t="n">
        <f aca="false">IF(AND('Daily Workforce'!$N96="Y",'Daily Workforce'!$B96&lt;&gt;"",COUNTIF('Daily Schedule'!$F$5:$F56,'Daily Workforce'!$B96)=0,IF('Daily Schedule'!$A57=45,'Daily Workforce'!$J96="Y",IF(OR('Daily Schedule'!$A57=4,'Daily Schedule'!$A57=8),IF(OR(WEEKDAY('Daily Schedule'!$B$2,2)=1,WEEKDAY('Daily Schedule'!$B$2,2)=4,WEEKDAY('Daily Schedule'!$B$2,2)=5,WEEKDAY('Daily Schedule'!$B$2,2)=7),IFERROR(1*'Daily Workforce'!$K96&gt;=3,FALSE()),IFERROR(1*'Daily Workforce'!$K96&gt;=2,FALSE())),IF(AND('Daily Schedule'!$A57&gt;=46,'Daily Schedule'!$A57&lt;=52),'Daily Workforce'!$M96="Y",IFERROR(1*'Daily Workforce'!$P96&gt;=2,FALSE()))))),1,0)</f>
        <v>1</v>
      </c>
      <c r="DD53" s="1" t="n">
        <f aca="false">IF(AND('Daily Workforce'!$N97="Y",'Daily Workforce'!$B97&lt;&gt;"",COUNTIF('Daily Schedule'!$F$5:$F56,'Daily Workforce'!$B97)=0,IF('Daily Schedule'!$A57=45,'Daily Workforce'!$J97="Y",IF(OR('Daily Schedule'!$A57=4,'Daily Schedule'!$A57=8),IF(OR(WEEKDAY('Daily Schedule'!$B$2,2)=1,WEEKDAY('Daily Schedule'!$B$2,2)=4,WEEKDAY('Daily Schedule'!$B$2,2)=5,WEEKDAY('Daily Schedule'!$B$2,2)=7),IFERROR(1*'Daily Workforce'!$K97&gt;=3,FALSE()),IFERROR(1*'Daily Workforce'!$K97&gt;=2,FALSE())),IF(AND('Daily Schedule'!$A57&gt;=46,'Daily Schedule'!$A57&lt;=52),'Daily Workforce'!$M97="Y",IFERROR(1*'Daily Workforce'!$P97&gt;=2,FALSE()))))),1,0)</f>
        <v>1</v>
      </c>
      <c r="DE53" s="1" t="n">
        <f aca="false">IF(AND('Daily Workforce'!$N98="Y",'Daily Workforce'!$B98&lt;&gt;"",COUNTIF('Daily Schedule'!$F$5:$F56,'Daily Workforce'!$B98)=0,IF('Daily Schedule'!$A57=45,'Daily Workforce'!$J98="Y",IF(OR('Daily Schedule'!$A57=4,'Daily Schedule'!$A57=8),IF(OR(WEEKDAY('Daily Schedule'!$B$2,2)=1,WEEKDAY('Daily Schedule'!$B$2,2)=4,WEEKDAY('Daily Schedule'!$B$2,2)=5,WEEKDAY('Daily Schedule'!$B$2,2)=7),IFERROR(1*'Daily Workforce'!$K98&gt;=3,FALSE()),IFERROR(1*'Daily Workforce'!$K98&gt;=2,FALSE())),IF(AND('Daily Schedule'!$A57&gt;=46,'Daily Schedule'!$A57&lt;=52),'Daily Workforce'!$M98="Y",IFERROR(1*'Daily Workforce'!$P98&gt;=2,FALSE()))))),1,0)</f>
        <v>1</v>
      </c>
      <c r="DF53" s="1" t="n">
        <f aca="false">IF(AND('Daily Workforce'!$N99="Y",'Daily Workforce'!$B99&lt;&gt;"",COUNTIF('Daily Schedule'!$F$5:$F56,'Daily Workforce'!$B99)=0,IF('Daily Schedule'!$A57=45,'Daily Workforce'!$J99="Y",IF(OR('Daily Schedule'!$A57=4,'Daily Schedule'!$A57=8),IF(OR(WEEKDAY('Daily Schedule'!$B$2,2)=1,WEEKDAY('Daily Schedule'!$B$2,2)=4,WEEKDAY('Daily Schedule'!$B$2,2)=5,WEEKDAY('Daily Schedule'!$B$2,2)=7),IFERROR(1*'Daily Workforce'!$K99&gt;=3,FALSE()),IFERROR(1*'Daily Workforce'!$K99&gt;=2,FALSE())),IF(AND('Daily Schedule'!$A57&gt;=46,'Daily Schedule'!$A57&lt;=52),'Daily Workforce'!$M99="Y",IFERROR(1*'Daily Workforce'!$P99&gt;=2,FALSE()))))),1,0)</f>
        <v>1</v>
      </c>
      <c r="DG53" s="1" t="n">
        <f aca="false">IF(AND('Daily Workforce'!$N100="Y",'Daily Workforce'!$B100&lt;&gt;"",COUNTIF('Daily Schedule'!$F$5:$F56,'Daily Workforce'!$B100)=0,IF('Daily Schedule'!$A57=45,'Daily Workforce'!$J100="Y",IF(OR('Daily Schedule'!$A57=4,'Daily Schedule'!$A57=8),IF(OR(WEEKDAY('Daily Schedule'!$B$2,2)=1,WEEKDAY('Daily Schedule'!$B$2,2)=4,WEEKDAY('Daily Schedule'!$B$2,2)=5,WEEKDAY('Daily Schedule'!$B$2,2)=7),IFERROR(1*'Daily Workforce'!$K100&gt;=3,FALSE()),IFERROR(1*'Daily Workforce'!$K100&gt;=2,FALSE())),IF(AND('Daily Schedule'!$A57&gt;=46,'Daily Schedule'!$A57&lt;=52),'Daily Workforce'!$M100="Y",IFERROR(1*'Daily Workforce'!$P100&gt;=2,FALSE()))))),1,0)</f>
        <v>1</v>
      </c>
      <c r="DH53" s="1" t="n">
        <f aca="false">IF(AND('Daily Workforce'!$N101="Y",'Daily Workforce'!$B101&lt;&gt;"",COUNTIF('Daily Schedule'!$F$5:$F56,'Daily Workforce'!$B101)=0,IF('Daily Schedule'!$A57=45,'Daily Workforce'!$J101="Y",IF(OR('Daily Schedule'!$A57=4,'Daily Schedule'!$A57=8),IF(OR(WEEKDAY('Daily Schedule'!$B$2,2)=1,WEEKDAY('Daily Schedule'!$B$2,2)=4,WEEKDAY('Daily Schedule'!$B$2,2)=5,WEEKDAY('Daily Schedule'!$B$2,2)=7),IFERROR(1*'Daily Workforce'!$K101&gt;=3,FALSE()),IFERROR(1*'Daily Workforce'!$K101&gt;=2,FALSE())),IF(AND('Daily Schedule'!$A57&gt;=46,'Daily Schedule'!$A57&lt;=52),'Daily Workforce'!$M101="Y",IFERROR(1*'Daily Workforce'!$P101&gt;=2,FALSE()))))),1,0)</f>
        <v>1</v>
      </c>
      <c r="DI53" s="1" t="n">
        <f aca="false">IF(AND('Daily Workforce'!$N102="Y",'Daily Workforce'!$B102&lt;&gt;"",COUNTIF('Daily Schedule'!$F$5:$F56,'Daily Workforce'!$B102)=0,IF('Daily Schedule'!$A57=45,'Daily Workforce'!$J102="Y",IF(OR('Daily Schedule'!$A57=4,'Daily Schedule'!$A57=8),IF(OR(WEEKDAY('Daily Schedule'!$B$2,2)=1,WEEKDAY('Daily Schedule'!$B$2,2)=4,WEEKDAY('Daily Schedule'!$B$2,2)=5,WEEKDAY('Daily Schedule'!$B$2,2)=7),IFERROR(1*'Daily Workforce'!$K102&gt;=3,FALSE()),IFERROR(1*'Daily Workforce'!$K102&gt;=2,FALSE())),IF(AND('Daily Schedule'!$A57&gt;=46,'Daily Schedule'!$A57&lt;=52),'Daily Workforce'!$M102="Y",IFERROR(1*'Daily Workforce'!$P102&gt;=2,FALSE()))))),1,0)</f>
        <v>1</v>
      </c>
      <c r="DJ53" s="1" t="n">
        <f aca="false">IF(AND('Daily Workforce'!$N103="Y",'Daily Workforce'!$B103&lt;&gt;"",COUNTIF('Daily Schedule'!$F$5:$F56,'Daily Workforce'!$B103)=0,IF('Daily Schedule'!$A57=45,'Daily Workforce'!$J103="Y",IF(OR('Daily Schedule'!$A57=4,'Daily Schedule'!$A57=8),IF(OR(WEEKDAY('Daily Schedule'!$B$2,2)=1,WEEKDAY('Daily Schedule'!$B$2,2)=4,WEEKDAY('Daily Schedule'!$B$2,2)=5,WEEKDAY('Daily Schedule'!$B$2,2)=7),IFERROR(1*'Daily Workforce'!$K103&gt;=3,FALSE()),IFERROR(1*'Daily Workforce'!$K103&gt;=2,FALSE())),IF(AND('Daily Schedule'!$A57&gt;=46,'Daily Schedule'!$A57&lt;=52),'Daily Workforce'!$M103="Y",IFERROR(1*'Daily Workforce'!$P103&gt;=2,FALSE()))))),1,0)</f>
        <v>1</v>
      </c>
      <c r="DK53" s="1" t="n">
        <f aca="false">IF(AND('Daily Workforce'!$N104="Y",'Daily Workforce'!$B104&lt;&gt;"",COUNTIF('Daily Schedule'!$F$5:$F56,'Daily Workforce'!$B104)=0,IF('Daily Schedule'!$A57=45,'Daily Workforce'!$J104="Y",IF(OR('Daily Schedule'!$A57=4,'Daily Schedule'!$A57=8),IF(OR(WEEKDAY('Daily Schedule'!$B$2,2)=1,WEEKDAY('Daily Schedule'!$B$2,2)=4,WEEKDAY('Daily Schedule'!$B$2,2)=5,WEEKDAY('Daily Schedule'!$B$2,2)=7),IFERROR(1*'Daily Workforce'!$K104&gt;=3,FALSE()),IFERROR(1*'Daily Workforce'!$K104&gt;=2,FALSE())),IF(AND('Daily Schedule'!$A57&gt;=46,'Daily Schedule'!$A57&lt;=52),'Daily Workforce'!$M104="Y",IFERROR(1*'Daily Workforce'!$P104&gt;=2,FALSE()))))),1,0)</f>
        <v>1</v>
      </c>
      <c r="DL53" s="1" t="n">
        <f aca="false">IF(AND('Daily Workforce'!$N105="Y",'Daily Workforce'!$B105&lt;&gt;"",COUNTIF('Daily Schedule'!$F$5:$F56,'Daily Workforce'!$B105)=0,IF('Daily Schedule'!$A57=45,'Daily Workforce'!$J105="Y",IF(OR('Daily Schedule'!$A57=4,'Daily Schedule'!$A57=8),IF(OR(WEEKDAY('Daily Schedule'!$B$2,2)=1,WEEKDAY('Daily Schedule'!$B$2,2)=4,WEEKDAY('Daily Schedule'!$B$2,2)=5,WEEKDAY('Daily Schedule'!$B$2,2)=7),IFERROR(1*'Daily Workforce'!$K105&gt;=3,FALSE()),IFERROR(1*'Daily Workforce'!$K105&gt;=2,FALSE())),IF(AND('Daily Schedule'!$A57&gt;=46,'Daily Schedule'!$A57&lt;=52),'Daily Workforce'!$M105="Y",IFERROR(1*'Daily Workforce'!$P105&gt;=2,FALSE()))))),1,0)</f>
        <v>0</v>
      </c>
      <c r="DM53" s="1" t="n">
        <f aca="false">IF(AND('Daily Workforce'!$N106="Y",'Daily Workforce'!$B106&lt;&gt;"",COUNTIF('Daily Schedule'!$F$5:$F56,'Daily Workforce'!$B106)=0,IF('Daily Schedule'!$A57=45,'Daily Workforce'!$J106="Y",IF(OR('Daily Schedule'!$A57=4,'Daily Schedule'!$A57=8),IF(OR(WEEKDAY('Daily Schedule'!$B$2,2)=1,WEEKDAY('Daily Schedule'!$B$2,2)=4,WEEKDAY('Daily Schedule'!$B$2,2)=5,WEEKDAY('Daily Schedule'!$B$2,2)=7),IFERROR(1*'Daily Workforce'!$K106&gt;=3,FALSE()),IFERROR(1*'Daily Workforce'!$K106&gt;=2,FALSE())),IF(AND('Daily Schedule'!$A57&gt;=46,'Daily Schedule'!$A57&lt;=52),'Daily Workforce'!$M106="Y",IFERROR(1*'Daily Workforce'!$P106&gt;=2,FALSE()))))),1,0)</f>
        <v>1</v>
      </c>
      <c r="DN53" s="1" t="n">
        <f aca="false">IF(AND('Daily Workforce'!$N107="Y",'Daily Workforce'!$B107&lt;&gt;"",COUNTIF('Daily Schedule'!$F$5:$F56,'Daily Workforce'!$B107)=0,IF('Daily Schedule'!$A57=45,'Daily Workforce'!$J107="Y",IF(OR('Daily Schedule'!$A57=4,'Daily Schedule'!$A57=8),IF(OR(WEEKDAY('Daily Schedule'!$B$2,2)=1,WEEKDAY('Daily Schedule'!$B$2,2)=4,WEEKDAY('Daily Schedule'!$B$2,2)=5,WEEKDAY('Daily Schedule'!$B$2,2)=7),IFERROR(1*'Daily Workforce'!$K107&gt;=3,FALSE()),IFERROR(1*'Daily Workforce'!$K107&gt;=2,FALSE())),IF(AND('Daily Schedule'!$A57&gt;=46,'Daily Schedule'!$A57&lt;=52),'Daily Workforce'!$M107="Y",IFERROR(1*'Daily Workforce'!$P107&gt;=2,FALSE()))))),1,0)</f>
        <v>1</v>
      </c>
      <c r="DO53" s="1" t="n">
        <f aca="false">IF(AND('Daily Workforce'!$N108="Y",'Daily Workforce'!$B108&lt;&gt;"",COUNTIF('Daily Schedule'!$F$5:$F56,'Daily Workforce'!$B108)=0,IF('Daily Schedule'!$A57=45,'Daily Workforce'!$J108="Y",IF(OR('Daily Schedule'!$A57=4,'Daily Schedule'!$A57=8),IF(OR(WEEKDAY('Daily Schedule'!$B$2,2)=1,WEEKDAY('Daily Schedule'!$B$2,2)=4,WEEKDAY('Daily Schedule'!$B$2,2)=5,WEEKDAY('Daily Schedule'!$B$2,2)=7),IFERROR(1*'Daily Workforce'!$K108&gt;=3,FALSE()),IFERROR(1*'Daily Workforce'!$K108&gt;=2,FALSE())),IF(AND('Daily Schedule'!$A57&gt;=46,'Daily Schedule'!$A57&lt;=52),'Daily Workforce'!$M108="Y",IFERROR(1*'Daily Workforce'!$P108&gt;=2,FALSE()))))),1,0)</f>
        <v>1</v>
      </c>
      <c r="DP53" s="1" t="n">
        <f aca="false">IF(AND('Daily Workforce'!$N109="Y",'Daily Workforce'!$B109&lt;&gt;"",COUNTIF('Daily Schedule'!$F$5:$F56,'Daily Workforce'!$B109)=0,IF('Daily Schedule'!$A57=45,'Daily Workforce'!$J109="Y",IF(OR('Daily Schedule'!$A57=4,'Daily Schedule'!$A57=8),IF(OR(WEEKDAY('Daily Schedule'!$B$2,2)=1,WEEKDAY('Daily Schedule'!$B$2,2)=4,WEEKDAY('Daily Schedule'!$B$2,2)=5,WEEKDAY('Daily Schedule'!$B$2,2)=7),IFERROR(1*'Daily Workforce'!$K109&gt;=3,FALSE()),IFERROR(1*'Daily Workforce'!$K109&gt;=2,FALSE())),IF(AND('Daily Schedule'!$A57&gt;=46,'Daily Schedule'!$A57&lt;=52),'Daily Workforce'!$M109="Y",IFERROR(1*'Daily Workforce'!$P109&gt;=2,FALSE()))))),1,0)</f>
        <v>1</v>
      </c>
      <c r="DQ53" s="1" t="n">
        <f aca="false">IF(AND('Daily Workforce'!$N110="Y",'Daily Workforce'!$B110&lt;&gt;"",COUNTIF('Daily Schedule'!$F$5:$F56,'Daily Workforce'!$B110)=0,IF('Daily Schedule'!$A57=45,'Daily Workforce'!$J110="Y",IF(OR('Daily Schedule'!$A57=4,'Daily Schedule'!$A57=8),IF(OR(WEEKDAY('Daily Schedule'!$B$2,2)=1,WEEKDAY('Daily Schedule'!$B$2,2)=4,WEEKDAY('Daily Schedule'!$B$2,2)=5,WEEKDAY('Daily Schedule'!$B$2,2)=7),IFERROR(1*'Daily Workforce'!$K110&gt;=3,FALSE()),IFERROR(1*'Daily Workforce'!$K110&gt;=2,FALSE())),IF(AND('Daily Schedule'!$A57&gt;=46,'Daily Schedule'!$A57&lt;=52),'Daily Workforce'!$M110="Y",IFERROR(1*'Daily Workforce'!$P110&gt;=2,FALSE()))))),1,0)</f>
        <v>1</v>
      </c>
      <c r="DR53" s="1" t="n">
        <f aca="false">IF(AND('Daily Workforce'!$N111="Y",'Daily Workforce'!$B111&lt;&gt;"",COUNTIF('Daily Schedule'!$F$5:$F56,'Daily Workforce'!$B111)=0,IF('Daily Schedule'!$A57=45,'Daily Workforce'!$J111="Y",IF(OR('Daily Schedule'!$A57=4,'Daily Schedule'!$A57=8),IF(OR(WEEKDAY('Daily Schedule'!$B$2,2)=1,WEEKDAY('Daily Schedule'!$B$2,2)=4,WEEKDAY('Daily Schedule'!$B$2,2)=5,WEEKDAY('Daily Schedule'!$B$2,2)=7),IFERROR(1*'Daily Workforce'!$K111&gt;=3,FALSE()),IFERROR(1*'Daily Workforce'!$K111&gt;=2,FALSE())),IF(AND('Daily Schedule'!$A57&gt;=46,'Daily Schedule'!$A57&lt;=52),'Daily Workforce'!$M111="Y",IFERROR(1*'Daily Workforce'!$P111&gt;=2,FALSE()))))),1,0)</f>
        <v>1</v>
      </c>
      <c r="DS53" s="1" t="n">
        <f aca="false">IF(AND('Daily Workforce'!$N112="Y",'Daily Workforce'!$B112&lt;&gt;"",COUNTIF('Daily Schedule'!$F$5:$F56,'Daily Workforce'!$B112)=0,IF('Daily Schedule'!$A57=45,'Daily Workforce'!$J112="Y",IF(OR('Daily Schedule'!$A57=4,'Daily Schedule'!$A57=8),IF(OR(WEEKDAY('Daily Schedule'!$B$2,2)=1,WEEKDAY('Daily Schedule'!$B$2,2)=4,WEEKDAY('Daily Schedule'!$B$2,2)=5,WEEKDAY('Daily Schedule'!$B$2,2)=7),IFERROR(1*'Daily Workforce'!$K112&gt;=3,FALSE()),IFERROR(1*'Daily Workforce'!$K112&gt;=2,FALSE())),IF(AND('Daily Schedule'!$A57&gt;=46,'Daily Schedule'!$A57&lt;=52),'Daily Workforce'!$M112="Y",IFERROR(1*'Daily Workforce'!$P112&gt;=2,FALSE()))))),1,0)</f>
        <v>1</v>
      </c>
      <c r="DT53" s="1" t="n">
        <f aca="false">IF(AND('Daily Workforce'!$N113="Y",'Daily Workforce'!$B113&lt;&gt;"",COUNTIF('Daily Schedule'!$F$5:$F56,'Daily Workforce'!$B113)=0,IF('Daily Schedule'!$A57=45,'Daily Workforce'!$J113="Y",IF(OR('Daily Schedule'!$A57=4,'Daily Schedule'!$A57=8),IF(OR(WEEKDAY('Daily Schedule'!$B$2,2)=1,WEEKDAY('Daily Schedule'!$B$2,2)=4,WEEKDAY('Daily Schedule'!$B$2,2)=5,WEEKDAY('Daily Schedule'!$B$2,2)=7),IFERROR(1*'Daily Workforce'!$K113&gt;=3,FALSE()),IFERROR(1*'Daily Workforce'!$K113&gt;=2,FALSE())),IF(AND('Daily Schedule'!$A57&gt;=46,'Daily Schedule'!$A57&lt;=52),'Daily Workforce'!$M113="Y",IFERROR(1*'Daily Workforce'!$P113&gt;=2,FALSE()))))),1,0)</f>
        <v>1</v>
      </c>
      <c r="DU53" s="1" t="n">
        <f aca="false">IF(AND('Daily Workforce'!$N114="Y",'Daily Workforce'!$B114&lt;&gt;"",COUNTIF('Daily Schedule'!$F$5:$F56,'Daily Workforce'!$B114)=0,IF('Daily Schedule'!$A57=45,'Daily Workforce'!$J114="Y",IF(OR('Daily Schedule'!$A57=4,'Daily Schedule'!$A57=8),IF(OR(WEEKDAY('Daily Schedule'!$B$2,2)=1,WEEKDAY('Daily Schedule'!$B$2,2)=4,WEEKDAY('Daily Schedule'!$B$2,2)=5,WEEKDAY('Daily Schedule'!$B$2,2)=7),IFERROR(1*'Daily Workforce'!$K114&gt;=3,FALSE()),IFERROR(1*'Daily Workforce'!$K114&gt;=2,FALSE())),IF(AND('Daily Schedule'!$A57&gt;=46,'Daily Schedule'!$A57&lt;=52),'Daily Workforce'!$M114="Y",IFERROR(1*'Daily Workforce'!$P114&gt;=2,FALSE()))))),1,0)</f>
        <v>1</v>
      </c>
      <c r="DV53" s="1" t="n">
        <f aca="false">IF(AND('Daily Workforce'!$N115="Y",'Daily Workforce'!$B115&lt;&gt;"",COUNTIF('Daily Schedule'!$F$5:$F56,'Daily Workforce'!$B115)=0,IF('Daily Schedule'!$A57=45,'Daily Workforce'!$J115="Y",IF(OR('Daily Schedule'!$A57=4,'Daily Schedule'!$A57=8),IF(OR(WEEKDAY('Daily Schedule'!$B$2,2)=1,WEEKDAY('Daily Schedule'!$B$2,2)=4,WEEKDAY('Daily Schedule'!$B$2,2)=5,WEEKDAY('Daily Schedule'!$B$2,2)=7),IFERROR(1*'Daily Workforce'!$K115&gt;=3,FALSE()),IFERROR(1*'Daily Workforce'!$K115&gt;=2,FALSE())),IF(AND('Daily Schedule'!$A57&gt;=46,'Daily Schedule'!$A57&lt;=52),'Daily Workforce'!$M115="Y",IFERROR(1*'Daily Workforce'!$P115&gt;=2,FALSE()))))),1,0)</f>
        <v>1</v>
      </c>
      <c r="DW53" s="1" t="n">
        <f aca="false">IF(AND('Daily Workforce'!$N116="Y",'Daily Workforce'!$B116&lt;&gt;"",COUNTIF('Daily Schedule'!$F$5:$F56,'Daily Workforce'!$B116)=0,IF('Daily Schedule'!$A57=45,'Daily Workforce'!$J116="Y",IF(OR('Daily Schedule'!$A57=4,'Daily Schedule'!$A57=8),IF(OR(WEEKDAY('Daily Schedule'!$B$2,2)=1,WEEKDAY('Daily Schedule'!$B$2,2)=4,WEEKDAY('Daily Schedule'!$B$2,2)=5,WEEKDAY('Daily Schedule'!$B$2,2)=7),IFERROR(1*'Daily Workforce'!$K116&gt;=3,FALSE()),IFERROR(1*'Daily Workforce'!$K116&gt;=2,FALSE())),IF(AND('Daily Schedule'!$A57&gt;=46,'Daily Schedule'!$A57&lt;=52),'Daily Workforce'!$M116="Y",IFERROR(1*'Daily Workforce'!$P116&gt;=2,FALSE()))))),1,0)</f>
        <v>1</v>
      </c>
      <c r="DX53" s="1" t="n">
        <f aca="false">IF(AND('Daily Workforce'!$N117="Y",'Daily Workforce'!$B117&lt;&gt;"",COUNTIF('Daily Schedule'!$F$5:$F56,'Daily Workforce'!$B117)=0,IF('Daily Schedule'!$A57=45,'Daily Workforce'!$J117="Y",IF(OR('Daily Schedule'!$A57=4,'Daily Schedule'!$A57=8),IF(OR(WEEKDAY('Daily Schedule'!$B$2,2)=1,WEEKDAY('Daily Schedule'!$B$2,2)=4,WEEKDAY('Daily Schedule'!$B$2,2)=5,WEEKDAY('Daily Schedule'!$B$2,2)=7),IFERROR(1*'Daily Workforce'!$K117&gt;=3,FALSE()),IFERROR(1*'Daily Workforce'!$K117&gt;=2,FALSE())),IF(AND('Daily Schedule'!$A57&gt;=46,'Daily Schedule'!$A57&lt;=52),'Daily Workforce'!$M117="Y",IFERROR(1*'Daily Workforce'!$P117&gt;=2,FALSE()))))),1,0)</f>
        <v>1</v>
      </c>
      <c r="DY53" s="1" t="n">
        <f aca="false">IF(AND('Daily Workforce'!$N118="Y",'Daily Workforce'!$B118&lt;&gt;"",COUNTIF('Daily Schedule'!$F$5:$F56,'Daily Workforce'!$B118)=0,IF('Daily Schedule'!$A57=45,'Daily Workforce'!$J118="Y",IF(OR('Daily Schedule'!$A57=4,'Daily Schedule'!$A57=8),IF(OR(WEEKDAY('Daily Schedule'!$B$2,2)=1,WEEKDAY('Daily Schedule'!$B$2,2)=4,WEEKDAY('Daily Schedule'!$B$2,2)=5,WEEKDAY('Daily Schedule'!$B$2,2)=7),IFERROR(1*'Daily Workforce'!$K118&gt;=3,FALSE()),IFERROR(1*'Daily Workforce'!$K118&gt;=2,FALSE())),IF(AND('Daily Schedule'!$A57&gt;=46,'Daily Schedule'!$A57&lt;=52),'Daily Workforce'!$M118="Y",IFERROR(1*'Daily Workforce'!$P118&gt;=2,FALSE()))))),1,0)</f>
        <v>0</v>
      </c>
      <c r="DZ53" s="1" t="n">
        <f aca="false">IF(AND('Daily Workforce'!$N119="Y",'Daily Workforce'!$B119&lt;&gt;"",COUNTIF('Daily Schedule'!$F$5:$F56,'Daily Workforce'!$B119)=0,IF('Daily Schedule'!$A57=45,'Daily Workforce'!$J119="Y",IF(OR('Daily Schedule'!$A57=4,'Daily Schedule'!$A57=8),IF(OR(WEEKDAY('Daily Schedule'!$B$2,2)=1,WEEKDAY('Daily Schedule'!$B$2,2)=4,WEEKDAY('Daily Schedule'!$B$2,2)=5,WEEKDAY('Daily Schedule'!$B$2,2)=7),IFERROR(1*'Daily Workforce'!$K119&gt;=3,FALSE()),IFERROR(1*'Daily Workforce'!$K119&gt;=2,FALSE())),IF(AND('Daily Schedule'!$A57&gt;=46,'Daily Schedule'!$A57&lt;=52),'Daily Workforce'!$M119="Y",IFERROR(1*'Daily Workforce'!$P119&gt;=2,FALSE()))))),1,0)</f>
        <v>0</v>
      </c>
      <c r="EA53" s="1" t="n">
        <f aca="false">IF(AND('Daily Workforce'!$N120="Y",'Daily Workforce'!$B120&lt;&gt;"",COUNTIF('Daily Schedule'!$F$5:$F56,'Daily Workforce'!$B120)=0,IF('Daily Schedule'!$A57=45,'Daily Workforce'!$J120="Y",IF(OR('Daily Schedule'!$A57=4,'Daily Schedule'!$A57=8),IF(OR(WEEKDAY('Daily Schedule'!$B$2,2)=1,WEEKDAY('Daily Schedule'!$B$2,2)=4,WEEKDAY('Daily Schedule'!$B$2,2)=5,WEEKDAY('Daily Schedule'!$B$2,2)=7),IFERROR(1*'Daily Workforce'!$K120&gt;=3,FALSE()),IFERROR(1*'Daily Workforce'!$K120&gt;=2,FALSE())),IF(AND('Daily Schedule'!$A57&gt;=46,'Daily Schedule'!$A57&lt;=52),'Daily Workforce'!$M120="Y",IFERROR(1*'Daily Workforce'!$P120&gt;=2,FALSE()))))),1,0)</f>
        <v>0</v>
      </c>
      <c r="EB53" s="1" t="n">
        <f aca="false">IF(AND('Daily Workforce'!$N121="Y",'Daily Workforce'!$B121&lt;&gt;"",COUNTIF('Daily Schedule'!$F$5:$F56,'Daily Workforce'!$B121)=0,IF('Daily Schedule'!$A57=45,'Daily Workforce'!$J121="Y",IF(OR('Daily Schedule'!$A57=4,'Daily Schedule'!$A57=8),IF(OR(WEEKDAY('Daily Schedule'!$B$2,2)=1,WEEKDAY('Daily Schedule'!$B$2,2)=4,WEEKDAY('Daily Schedule'!$B$2,2)=5,WEEKDAY('Daily Schedule'!$B$2,2)=7),IFERROR(1*'Daily Workforce'!$K121&gt;=3,FALSE()),IFERROR(1*'Daily Workforce'!$K121&gt;=2,FALSE())),IF(AND('Daily Schedule'!$A57&gt;=46,'Daily Schedule'!$A57&lt;=52),'Daily Workforce'!$M121="Y",IFERROR(1*'Daily Workforce'!$P121&gt;=2,FALSE()))))),1,0)</f>
        <v>0</v>
      </c>
      <c r="EC53" s="1" t="n">
        <f aca="false">IF(AND('Daily Workforce'!$N122="Y",'Daily Workforce'!$B122&lt;&gt;"",COUNTIF('Daily Schedule'!$F$5:$F56,'Daily Workforce'!$B122)=0,IF('Daily Schedule'!$A57=45,'Daily Workforce'!$J122="Y",IF(OR('Daily Schedule'!$A57=4,'Daily Schedule'!$A57=8),IF(OR(WEEKDAY('Daily Schedule'!$B$2,2)=1,WEEKDAY('Daily Schedule'!$B$2,2)=4,WEEKDAY('Daily Schedule'!$B$2,2)=5,WEEKDAY('Daily Schedule'!$B$2,2)=7),IFERROR(1*'Daily Workforce'!$K122&gt;=3,FALSE()),IFERROR(1*'Daily Workforce'!$K122&gt;=2,FALSE())),IF(AND('Daily Schedule'!$A57&gt;=46,'Daily Schedule'!$A57&lt;=52),'Daily Workforce'!$M122="Y",IFERROR(1*'Daily Workforce'!$P122&gt;=2,FALSE()))))),1,0)</f>
        <v>0</v>
      </c>
      <c r="ED53" s="1" t="n">
        <f aca="false">IF(AND('Daily Workforce'!$N123="Y",'Daily Workforce'!$B123&lt;&gt;"",COUNTIF('Daily Schedule'!$F$5:$F56,'Daily Workforce'!$B123)=0,IF('Daily Schedule'!$A57=45,'Daily Workforce'!$J123="Y",IF(OR('Daily Schedule'!$A57=4,'Daily Schedule'!$A57=8),IF(OR(WEEKDAY('Daily Schedule'!$B$2,2)=1,WEEKDAY('Daily Schedule'!$B$2,2)=4,WEEKDAY('Daily Schedule'!$B$2,2)=5,WEEKDAY('Daily Schedule'!$B$2,2)=7),IFERROR(1*'Daily Workforce'!$K123&gt;=3,FALSE()),IFERROR(1*'Daily Workforce'!$K123&gt;=2,FALSE())),IF(AND('Daily Schedule'!$A57&gt;=46,'Daily Schedule'!$A57&lt;=52),'Daily Workforce'!$M123="Y",IFERROR(1*'Daily Workforce'!$P123&gt;=2,FALSE()))))),1,0)</f>
        <v>0</v>
      </c>
      <c r="EE53" s="1" t="n">
        <f aca="false">IF(AND('Daily Workforce'!$N124="Y",'Daily Workforce'!$B124&lt;&gt;"",COUNTIF('Daily Schedule'!$F$5:$F56,'Daily Workforce'!$B124)=0,IF('Daily Schedule'!$A57=45,'Daily Workforce'!$J124="Y",IF(OR('Daily Schedule'!$A57=4,'Daily Schedule'!$A57=8),IF(OR(WEEKDAY('Daily Schedule'!$B$2,2)=1,WEEKDAY('Daily Schedule'!$B$2,2)=4,WEEKDAY('Daily Schedule'!$B$2,2)=5,WEEKDAY('Daily Schedule'!$B$2,2)=7),IFERROR(1*'Daily Workforce'!$K124&gt;=3,FALSE()),IFERROR(1*'Daily Workforce'!$K124&gt;=2,FALSE())),IF(AND('Daily Schedule'!$A57&gt;=46,'Daily Schedule'!$A57&lt;=52),'Daily Workforce'!$M124="Y",IFERROR(1*'Daily Workforce'!$P124&gt;=2,FALSE()))))),1,0)</f>
        <v>0</v>
      </c>
      <c r="EF53" s="1" t="n">
        <f aca="false">IF(AND('Daily Workforce'!$N125="Y",'Daily Workforce'!$B125&lt;&gt;"",COUNTIF('Daily Schedule'!$F$5:$F56,'Daily Workforce'!$B125)=0,IF('Daily Schedule'!$A57=45,'Daily Workforce'!$J125="Y",IF(OR('Daily Schedule'!$A57=4,'Daily Schedule'!$A57=8),IF(OR(WEEKDAY('Daily Schedule'!$B$2,2)=1,WEEKDAY('Daily Schedule'!$B$2,2)=4,WEEKDAY('Daily Schedule'!$B$2,2)=5,WEEKDAY('Daily Schedule'!$B$2,2)=7),IFERROR(1*'Daily Workforce'!$K125&gt;=3,FALSE()),IFERROR(1*'Daily Workforce'!$K125&gt;=2,FALSE())),IF(AND('Daily Schedule'!$A57&gt;=46,'Daily Schedule'!$A57&lt;=52),'Daily Workforce'!$M125="Y",IFERROR(1*'Daily Workforce'!$P125&gt;=2,FALSE()))))),1,0)</f>
        <v>0</v>
      </c>
      <c r="EG53" s="1" t="n">
        <f aca="false">IF(AND('Daily Workforce'!$N126="Y",'Daily Workforce'!$B126&lt;&gt;"",COUNTIF('Daily Schedule'!$F$5:$F56,'Daily Workforce'!$B126)=0,IF('Daily Schedule'!$A57=45,'Daily Workforce'!$J126="Y",IF(OR('Daily Schedule'!$A57=4,'Daily Schedule'!$A57=8),IF(OR(WEEKDAY('Daily Schedule'!$B$2,2)=1,WEEKDAY('Daily Schedule'!$B$2,2)=4,WEEKDAY('Daily Schedule'!$B$2,2)=5,WEEKDAY('Daily Schedule'!$B$2,2)=7),IFERROR(1*'Daily Workforce'!$K126&gt;=3,FALSE()),IFERROR(1*'Daily Workforce'!$K126&gt;=2,FALSE())),IF(AND('Daily Schedule'!$A57&gt;=46,'Daily Schedule'!$A57&lt;=52),'Daily Workforce'!$M126="Y",IFERROR(1*'Daily Workforce'!$P126&gt;=2,FALSE()))))),1,0)</f>
        <v>0</v>
      </c>
      <c r="EH53" s="1" t="n">
        <f aca="false">IF(AND('Daily Workforce'!$N127="Y",'Daily Workforce'!$B127&lt;&gt;"",COUNTIF('Daily Schedule'!$F$5:$F56,'Daily Workforce'!$B127)=0,IF('Daily Schedule'!$A57=45,'Daily Workforce'!$J127="Y",IF(OR('Daily Schedule'!$A57=4,'Daily Schedule'!$A57=8),IF(OR(WEEKDAY('Daily Schedule'!$B$2,2)=1,WEEKDAY('Daily Schedule'!$B$2,2)=4,WEEKDAY('Daily Schedule'!$B$2,2)=5,WEEKDAY('Daily Schedule'!$B$2,2)=7),IFERROR(1*'Daily Workforce'!$K127&gt;=3,FALSE()),IFERROR(1*'Daily Workforce'!$K127&gt;=2,FALSE())),IF(AND('Daily Schedule'!$A57&gt;=46,'Daily Schedule'!$A57&lt;=52),'Daily Workforce'!$M127="Y",IFERROR(1*'Daily Workforce'!$P127&gt;=2,FALSE()))))),1,0)</f>
        <v>0</v>
      </c>
      <c r="EI53" s="1" t="n">
        <f aca="false">IF(AND('Daily Workforce'!$N128="Y",'Daily Workforce'!$B128&lt;&gt;"",COUNTIF('Daily Schedule'!$F$5:$F56,'Daily Workforce'!$B128)=0,IF('Daily Schedule'!$A57=45,'Daily Workforce'!$J128="Y",IF(OR('Daily Schedule'!$A57=4,'Daily Schedule'!$A57=8),IF(OR(WEEKDAY('Daily Schedule'!$B$2,2)=1,WEEKDAY('Daily Schedule'!$B$2,2)=4,WEEKDAY('Daily Schedule'!$B$2,2)=5,WEEKDAY('Daily Schedule'!$B$2,2)=7),IFERROR(1*'Daily Workforce'!$K128&gt;=3,FALSE()),IFERROR(1*'Daily Workforce'!$K128&gt;=2,FALSE())),IF(AND('Daily Schedule'!$A57&gt;=46,'Daily Schedule'!$A57&lt;=52),'Daily Workforce'!$M128="Y",IFERROR(1*'Daily Workforce'!$P128&gt;=2,FALSE()))))),1,0)</f>
        <v>0</v>
      </c>
      <c r="EJ53" s="1" t="n">
        <f aca="false">IF(AND('Daily Workforce'!$N129="Y",'Daily Workforce'!$B129&lt;&gt;"",COUNTIF('Daily Schedule'!$F$5:$F56,'Daily Workforce'!$B129)=0,IF('Daily Schedule'!$A57=45,'Daily Workforce'!$J129="Y",IF(OR('Daily Schedule'!$A57=4,'Daily Schedule'!$A57=8),IF(OR(WEEKDAY('Daily Schedule'!$B$2,2)=1,WEEKDAY('Daily Schedule'!$B$2,2)=4,WEEKDAY('Daily Schedule'!$B$2,2)=5,WEEKDAY('Daily Schedule'!$B$2,2)=7),IFERROR(1*'Daily Workforce'!$K129&gt;=3,FALSE()),IFERROR(1*'Daily Workforce'!$K129&gt;=2,FALSE())),IF(AND('Daily Schedule'!$A57&gt;=46,'Daily Schedule'!$A57&lt;=52),'Daily Workforce'!$M129="Y",IFERROR(1*'Daily Workforce'!$P129&gt;=2,FALSE()))))),1,0)</f>
        <v>0</v>
      </c>
      <c r="EK53" s="1" t="n">
        <f aca="false">IF(AND('Daily Workforce'!$N130="Y",'Daily Workforce'!$B130&lt;&gt;"",COUNTIF('Daily Schedule'!$F$5:$F56,'Daily Workforce'!$B130)=0,IF('Daily Schedule'!$A57=45,'Daily Workforce'!$J130="Y",IF(OR('Daily Schedule'!$A57=4,'Daily Schedule'!$A57=8),IF(OR(WEEKDAY('Daily Schedule'!$B$2,2)=1,WEEKDAY('Daily Schedule'!$B$2,2)=4,WEEKDAY('Daily Schedule'!$B$2,2)=5,WEEKDAY('Daily Schedule'!$B$2,2)=7),IFERROR(1*'Daily Workforce'!$K130&gt;=3,FALSE()),IFERROR(1*'Daily Workforce'!$K130&gt;=2,FALSE())),IF(AND('Daily Schedule'!$A57&gt;=46,'Daily Schedule'!$A57&lt;=52),'Daily Workforce'!$M130="Y",IFERROR(1*'Daily Workforce'!$P130&gt;=2,FALSE()))))),1,0)</f>
        <v>0</v>
      </c>
      <c r="EL53" s="1" t="n">
        <f aca="false">IF(AND('Daily Workforce'!$N131="Y",'Daily Workforce'!$B131&lt;&gt;"",COUNTIF('Daily Schedule'!$F$5:$F56,'Daily Workforce'!$B131)=0,IF('Daily Schedule'!$A57=45,'Daily Workforce'!$J131="Y",IF(OR('Daily Schedule'!$A57=4,'Daily Schedule'!$A57=8),IF(OR(WEEKDAY('Daily Schedule'!$B$2,2)=1,WEEKDAY('Daily Schedule'!$B$2,2)=4,WEEKDAY('Daily Schedule'!$B$2,2)=5,WEEKDAY('Daily Schedule'!$B$2,2)=7),IFERROR(1*'Daily Workforce'!$K131&gt;=3,FALSE()),IFERROR(1*'Daily Workforce'!$K131&gt;=2,FALSE())),IF(AND('Daily Schedule'!$A57&gt;=46,'Daily Schedule'!$A57&lt;=52),'Daily Workforce'!$M131="Y",IFERROR(1*'Daily Workforce'!$P131&gt;=2,FALSE()))))),1,0)</f>
        <v>0</v>
      </c>
      <c r="EM53" s="1" t="n">
        <f aca="false">IF(AND('Daily Workforce'!$N132="Y",'Daily Workforce'!$B132&lt;&gt;"",COUNTIF('Daily Schedule'!$F$5:$F56,'Daily Workforce'!$B132)=0,IF('Daily Schedule'!$A57=45,'Daily Workforce'!$J132="Y",IF(OR('Daily Schedule'!$A57=4,'Daily Schedule'!$A57=8),IF(OR(WEEKDAY('Daily Schedule'!$B$2,2)=1,WEEKDAY('Daily Schedule'!$B$2,2)=4,WEEKDAY('Daily Schedule'!$B$2,2)=5,WEEKDAY('Daily Schedule'!$B$2,2)=7),IFERROR(1*'Daily Workforce'!$K132&gt;=3,FALSE()),IFERROR(1*'Daily Workforce'!$K132&gt;=2,FALSE())),IF(AND('Daily Schedule'!$A57&gt;=46,'Daily Schedule'!$A57&lt;=52),'Daily Workforce'!$M132="Y",IFERROR(1*'Daily Workforce'!$P132&gt;=2,FALSE()))))),1,0)</f>
        <v>0</v>
      </c>
      <c r="EN53" s="1" t="n">
        <f aca="false">IF(AND('Daily Workforce'!$N133="Y",'Daily Workforce'!$B133&lt;&gt;"",COUNTIF('Daily Schedule'!$F$5:$F56,'Daily Workforce'!$B133)=0,IF('Daily Schedule'!$A57=45,'Daily Workforce'!$J133="Y",IF(OR('Daily Schedule'!$A57=4,'Daily Schedule'!$A57=8),IF(OR(WEEKDAY('Daily Schedule'!$B$2,2)=1,WEEKDAY('Daily Schedule'!$B$2,2)=4,WEEKDAY('Daily Schedule'!$B$2,2)=5,WEEKDAY('Daily Schedule'!$B$2,2)=7),IFERROR(1*'Daily Workforce'!$K133&gt;=3,FALSE()),IFERROR(1*'Daily Workforce'!$K133&gt;=2,FALSE())),IF(AND('Daily Schedule'!$A57&gt;=46,'Daily Schedule'!$A57&lt;=52),'Daily Workforce'!$M133="Y",IFERROR(1*'Daily Workforce'!$P133&gt;=2,FALSE()))))),1,0)</f>
        <v>0</v>
      </c>
      <c r="EO53" s="1" t="n">
        <f aca="false">IF(AND('Daily Workforce'!$N134="Y",'Daily Workforce'!$B134&lt;&gt;"",COUNTIF('Daily Schedule'!$F$5:$F56,'Daily Workforce'!$B134)=0,IF('Daily Schedule'!$A57=45,'Daily Workforce'!$J134="Y",IF(OR('Daily Schedule'!$A57=4,'Daily Schedule'!$A57=8),IF(OR(WEEKDAY('Daily Schedule'!$B$2,2)=1,WEEKDAY('Daily Schedule'!$B$2,2)=4,WEEKDAY('Daily Schedule'!$B$2,2)=5,WEEKDAY('Daily Schedule'!$B$2,2)=7),IFERROR(1*'Daily Workforce'!$K134&gt;=3,FALSE()),IFERROR(1*'Daily Workforce'!$K134&gt;=2,FALSE())),IF(AND('Daily Schedule'!$A57&gt;=46,'Daily Schedule'!$A57&lt;=52),'Daily Workforce'!$M134="Y",IFERROR(1*'Daily Workforce'!$P134&gt;=2,FALSE()))))),1,0)</f>
        <v>0</v>
      </c>
      <c r="EP53" s="1" t="n">
        <f aca="false">IF(AND('Daily Workforce'!$N135="Y",'Daily Workforce'!$B135&lt;&gt;"",COUNTIF('Daily Schedule'!$F$5:$F56,'Daily Workforce'!$B135)=0,IF('Daily Schedule'!$A57=45,'Daily Workforce'!$J135="Y",IF(OR('Daily Schedule'!$A57=4,'Daily Schedule'!$A57=8),IF(OR(WEEKDAY('Daily Schedule'!$B$2,2)=1,WEEKDAY('Daily Schedule'!$B$2,2)=4,WEEKDAY('Daily Schedule'!$B$2,2)=5,WEEKDAY('Daily Schedule'!$B$2,2)=7),IFERROR(1*'Daily Workforce'!$K135&gt;=3,FALSE()),IFERROR(1*'Daily Workforce'!$K135&gt;=2,FALSE())),IF(AND('Daily Schedule'!$A57&gt;=46,'Daily Schedule'!$A57&lt;=52),'Daily Workforce'!$M135="Y",IFERROR(1*'Daily Workforce'!$P135&gt;=2,FALSE()))))),1,0)</f>
        <v>0</v>
      </c>
      <c r="EQ53" s="1" t="n">
        <f aca="false">IF(AND('Daily Workforce'!$N136="Y",'Daily Workforce'!$B136&lt;&gt;"",COUNTIF('Daily Schedule'!$F$5:$F56,'Daily Workforce'!$B136)=0,IF('Daily Schedule'!$A57=45,'Daily Workforce'!$J136="Y",IF(OR('Daily Schedule'!$A57=4,'Daily Schedule'!$A57=8),IF(OR(WEEKDAY('Daily Schedule'!$B$2,2)=1,WEEKDAY('Daily Schedule'!$B$2,2)=4,WEEKDAY('Daily Schedule'!$B$2,2)=5,WEEKDAY('Daily Schedule'!$B$2,2)=7),IFERROR(1*'Daily Workforce'!$K136&gt;=3,FALSE()),IFERROR(1*'Daily Workforce'!$K136&gt;=2,FALSE())),IF(AND('Daily Schedule'!$A57&gt;=46,'Daily Schedule'!$A57&lt;=52),'Daily Workforce'!$M136="Y",IFERROR(1*'Daily Workforce'!$P136&gt;=2,FALSE()))))),1,0)</f>
        <v>0</v>
      </c>
      <c r="ER53" s="1" t="n">
        <f aca="false">IF(AND('Daily Workforce'!$N137="Y",'Daily Workforce'!$B137&lt;&gt;"",COUNTIF('Daily Schedule'!$F$5:$F56,'Daily Workforce'!$B137)=0,IF('Daily Schedule'!$A57=45,'Daily Workforce'!$J137="Y",IF(OR('Daily Schedule'!$A57=4,'Daily Schedule'!$A57=8),IF(OR(WEEKDAY('Daily Schedule'!$B$2,2)=1,WEEKDAY('Daily Schedule'!$B$2,2)=4,WEEKDAY('Daily Schedule'!$B$2,2)=5,WEEKDAY('Daily Schedule'!$B$2,2)=7),IFERROR(1*'Daily Workforce'!$K137&gt;=3,FALSE()),IFERROR(1*'Daily Workforce'!$K137&gt;=2,FALSE())),IF(AND('Daily Schedule'!$A57&gt;=46,'Daily Schedule'!$A57&lt;=52),'Daily Workforce'!$M137="Y",IFERROR(1*'Daily Workforce'!$P137&gt;=2,FALSE()))))),1,0)</f>
        <v>0</v>
      </c>
      <c r="ES53" s="1" t="n">
        <f aca="false">IF(AND('Daily Workforce'!$N138="Y",'Daily Workforce'!$B138&lt;&gt;"",COUNTIF('Daily Schedule'!$F$5:$F56,'Daily Workforce'!$B138)=0,IF('Daily Schedule'!$A57=45,'Daily Workforce'!$J138="Y",IF(OR('Daily Schedule'!$A57=4,'Daily Schedule'!$A57=8),IF(OR(WEEKDAY('Daily Schedule'!$B$2,2)=1,WEEKDAY('Daily Schedule'!$B$2,2)=4,WEEKDAY('Daily Schedule'!$B$2,2)=5,WEEKDAY('Daily Schedule'!$B$2,2)=7),IFERROR(1*'Daily Workforce'!$K138&gt;=3,FALSE()),IFERROR(1*'Daily Workforce'!$K138&gt;=2,FALSE())),IF(AND('Daily Schedule'!$A57&gt;=46,'Daily Schedule'!$A57&lt;=52),'Daily Workforce'!$M138="Y",IFERROR(1*'Daily Workforce'!$P138&gt;=2,FALSE()))))),1,0)</f>
        <v>0</v>
      </c>
      <c r="ET53" s="1" t="n">
        <f aca="false">IF(AND('Daily Workforce'!$N139="Y",'Daily Workforce'!$B139&lt;&gt;"",COUNTIF('Daily Schedule'!$F$5:$F56,'Daily Workforce'!$B139)=0,IF('Daily Schedule'!$A57=45,'Daily Workforce'!$J139="Y",IF(OR('Daily Schedule'!$A57=4,'Daily Schedule'!$A57=8),IF(OR(WEEKDAY('Daily Schedule'!$B$2,2)=1,WEEKDAY('Daily Schedule'!$B$2,2)=4,WEEKDAY('Daily Schedule'!$B$2,2)=5,WEEKDAY('Daily Schedule'!$B$2,2)=7),IFERROR(1*'Daily Workforce'!$K139&gt;=3,FALSE()),IFERROR(1*'Daily Workforce'!$K139&gt;=2,FALSE())),IF(AND('Daily Schedule'!$A57&gt;=46,'Daily Schedule'!$A57&lt;=52),'Daily Workforce'!$M139="Y",IFERROR(1*'Daily Workforce'!$P139&gt;=2,FALSE()))))),1,0)</f>
        <v>0</v>
      </c>
      <c r="EU53" s="1" t="n">
        <f aca="false">IF(AND('Daily Workforce'!$N140="Y",'Daily Workforce'!$B140&lt;&gt;"",COUNTIF('Daily Schedule'!$F$5:$F56,'Daily Workforce'!$B140)=0,IF('Daily Schedule'!$A57=45,'Daily Workforce'!$J140="Y",IF(OR('Daily Schedule'!$A57=4,'Daily Schedule'!$A57=8),IF(OR(WEEKDAY('Daily Schedule'!$B$2,2)=1,WEEKDAY('Daily Schedule'!$B$2,2)=4,WEEKDAY('Daily Schedule'!$B$2,2)=5,WEEKDAY('Daily Schedule'!$B$2,2)=7),IFERROR(1*'Daily Workforce'!$K140&gt;=3,FALSE()),IFERROR(1*'Daily Workforce'!$K140&gt;=2,FALSE())),IF(AND('Daily Schedule'!$A57&gt;=46,'Daily Schedule'!$A57&lt;=52),'Daily Workforce'!$M140="Y",IFERROR(1*'Daily Workforce'!$P140&gt;=2,FALSE()))))),1,0)</f>
        <v>0</v>
      </c>
      <c r="EV53" s="1" t="n">
        <f aca="false">IF(AND('Daily Workforce'!$N141="Y",'Daily Workforce'!$B141&lt;&gt;"",COUNTIF('Daily Schedule'!$F$5:$F56,'Daily Workforce'!$B141)=0,IF('Daily Schedule'!$A57=45,'Daily Workforce'!$J141="Y",IF(OR('Daily Schedule'!$A57=4,'Daily Schedule'!$A57=8),IF(OR(WEEKDAY('Daily Schedule'!$B$2,2)=1,WEEKDAY('Daily Schedule'!$B$2,2)=4,WEEKDAY('Daily Schedule'!$B$2,2)=5,WEEKDAY('Daily Schedule'!$B$2,2)=7),IFERROR(1*'Daily Workforce'!$K141&gt;=3,FALSE()),IFERROR(1*'Daily Workforce'!$K141&gt;=2,FALSE())),IF(AND('Daily Schedule'!$A57&gt;=46,'Daily Schedule'!$A57&lt;=52),'Daily Workforce'!$M141="Y",IFERROR(1*'Daily Workforce'!$P141&gt;=2,FALSE()))))),1,0)</f>
        <v>0</v>
      </c>
      <c r="EW53" s="1" t="n">
        <f aca="false">IF(AND('Daily Workforce'!$N142="Y",'Daily Workforce'!$B142&lt;&gt;"",COUNTIF('Daily Schedule'!$F$5:$F56,'Daily Workforce'!$B142)=0,IF('Daily Schedule'!$A57=45,'Daily Workforce'!$J142="Y",IF(OR('Daily Schedule'!$A57=4,'Daily Schedule'!$A57=8),IF(OR(WEEKDAY('Daily Schedule'!$B$2,2)=1,WEEKDAY('Daily Schedule'!$B$2,2)=4,WEEKDAY('Daily Schedule'!$B$2,2)=5,WEEKDAY('Daily Schedule'!$B$2,2)=7),IFERROR(1*'Daily Workforce'!$K142&gt;=3,FALSE()),IFERROR(1*'Daily Workforce'!$K142&gt;=2,FALSE())),IF(AND('Daily Schedule'!$A57&gt;=46,'Daily Schedule'!$A57&lt;=52),'Daily Workforce'!$M142="Y",IFERROR(1*'Daily Workforce'!$P142&gt;=2,FALSE()))))),1,0)</f>
        <v>0</v>
      </c>
      <c r="EX53" s="1" t="n">
        <f aca="false">IF(AND('Daily Workforce'!$N143="Y",'Daily Workforce'!$B143&lt;&gt;"",COUNTIF('Daily Schedule'!$F$5:$F56,'Daily Workforce'!$B143)=0,IF('Daily Schedule'!$A57=45,'Daily Workforce'!$J143="Y",IF(OR('Daily Schedule'!$A57=4,'Daily Schedule'!$A57=8),IF(OR(WEEKDAY('Daily Schedule'!$B$2,2)=1,WEEKDAY('Daily Schedule'!$B$2,2)=4,WEEKDAY('Daily Schedule'!$B$2,2)=5,WEEKDAY('Daily Schedule'!$B$2,2)=7),IFERROR(1*'Daily Workforce'!$K143&gt;=3,FALSE()),IFERROR(1*'Daily Workforce'!$K143&gt;=2,FALSE())),IF(AND('Daily Schedule'!$A57&gt;=46,'Daily Schedule'!$A57&lt;=52),'Daily Workforce'!$M143="Y",IFERROR(1*'Daily Workforce'!$P143&gt;=2,FALSE()))))),1,0)</f>
        <v>0</v>
      </c>
      <c r="EY53" s="1" t="n">
        <f aca="false">IF(AND('Daily Workforce'!$N144="Y",'Daily Workforce'!$B144&lt;&gt;"",COUNTIF('Daily Schedule'!$F$5:$F56,'Daily Workforce'!$B144)=0,IF('Daily Schedule'!$A57=45,'Daily Workforce'!$J144="Y",IF(OR('Daily Schedule'!$A57=4,'Daily Schedule'!$A57=8),IF(OR(WEEKDAY('Daily Schedule'!$B$2,2)=1,WEEKDAY('Daily Schedule'!$B$2,2)=4,WEEKDAY('Daily Schedule'!$B$2,2)=5,WEEKDAY('Daily Schedule'!$B$2,2)=7),IFERROR(1*'Daily Workforce'!$K144&gt;=3,FALSE()),IFERROR(1*'Daily Workforce'!$K144&gt;=2,FALSE())),IF(AND('Daily Schedule'!$A57&gt;=46,'Daily Schedule'!$A57&lt;=52),'Daily Workforce'!$M144="Y",IFERROR(1*'Daily Workforce'!$P144&gt;=2,FALSE()))))),1,0)</f>
        <v>0</v>
      </c>
      <c r="EZ53" s="1" t="n">
        <f aca="false">IF(AND('Daily Workforce'!$N145="Y",'Daily Workforce'!$B145&lt;&gt;"",COUNTIF('Daily Schedule'!$F$5:$F56,'Daily Workforce'!$B145)=0,IF('Daily Schedule'!$A57=45,'Daily Workforce'!$J145="Y",IF(OR('Daily Schedule'!$A57=4,'Daily Schedule'!$A57=8),IF(OR(WEEKDAY('Daily Schedule'!$B$2,2)=1,WEEKDAY('Daily Schedule'!$B$2,2)=4,WEEKDAY('Daily Schedule'!$B$2,2)=5,WEEKDAY('Daily Schedule'!$B$2,2)=7),IFERROR(1*'Daily Workforce'!$K145&gt;=3,FALSE()),IFERROR(1*'Daily Workforce'!$K145&gt;=2,FALSE())),IF(AND('Daily Schedule'!$A57&gt;=46,'Daily Schedule'!$A57&lt;=52),'Daily Workforce'!$M145="Y",IFERROR(1*'Daily Workforce'!$P145&gt;=2,FALSE()))))),1,0)</f>
        <v>0</v>
      </c>
      <c r="FA53" s="1" t="n">
        <f aca="false">IF(AND('Daily Workforce'!$N146="Y",'Daily Workforce'!$B146&lt;&gt;"",COUNTIF('Daily Schedule'!$F$5:$F56,'Daily Workforce'!$B146)=0,IF('Daily Schedule'!$A57=45,'Daily Workforce'!$J146="Y",IF(OR('Daily Schedule'!$A57=4,'Daily Schedule'!$A57=8),IF(OR(WEEKDAY('Daily Schedule'!$B$2,2)=1,WEEKDAY('Daily Schedule'!$B$2,2)=4,WEEKDAY('Daily Schedule'!$B$2,2)=5,WEEKDAY('Daily Schedule'!$B$2,2)=7),IFERROR(1*'Daily Workforce'!$K146&gt;=3,FALSE()),IFERROR(1*'Daily Workforce'!$K146&gt;=2,FALSE())),IF(AND('Daily Schedule'!$A57&gt;=46,'Daily Schedule'!$A57&lt;=52),'Daily Workforce'!$M146="Y",IFERROR(1*'Daily Workforce'!$P146&gt;=2,FALSE()))))),1,0)</f>
        <v>0</v>
      </c>
      <c r="FB53" s="1" t="n">
        <f aca="false">IF(AND('Daily Workforce'!$N147="Y",'Daily Workforce'!$B147&lt;&gt;"",COUNTIF('Daily Schedule'!$F$5:$F56,'Daily Workforce'!$B147)=0,IF('Daily Schedule'!$A57=45,'Daily Workforce'!$J147="Y",IF(OR('Daily Schedule'!$A57=4,'Daily Schedule'!$A57=8),IF(OR(WEEKDAY('Daily Schedule'!$B$2,2)=1,WEEKDAY('Daily Schedule'!$B$2,2)=4,WEEKDAY('Daily Schedule'!$B$2,2)=5,WEEKDAY('Daily Schedule'!$B$2,2)=7),IFERROR(1*'Daily Workforce'!$K147&gt;=3,FALSE()),IFERROR(1*'Daily Workforce'!$K147&gt;=2,FALSE())),IF(AND('Daily Schedule'!$A57&gt;=46,'Daily Schedule'!$A57&lt;=52),'Daily Workforce'!$M147="Y",IFERROR(1*'Daily Workforce'!$P147&gt;=2,FALSE()))))),1,0)</f>
        <v>0</v>
      </c>
      <c r="FC53" s="1" t="n">
        <f aca="false">IF(AND('Daily Workforce'!$N148="Y",'Daily Workforce'!$B148&lt;&gt;"",COUNTIF('Daily Schedule'!$F$5:$F56,'Daily Workforce'!$B148)=0,IF('Daily Schedule'!$A57=45,'Daily Workforce'!$J148="Y",IF(OR('Daily Schedule'!$A57=4,'Daily Schedule'!$A57=8),IF(OR(WEEKDAY('Daily Schedule'!$B$2,2)=1,WEEKDAY('Daily Schedule'!$B$2,2)=4,WEEKDAY('Daily Schedule'!$B$2,2)=5,WEEKDAY('Daily Schedule'!$B$2,2)=7),IFERROR(1*'Daily Workforce'!$K148&gt;=3,FALSE()),IFERROR(1*'Daily Workforce'!$K148&gt;=2,FALSE())),IF(AND('Daily Schedule'!$A57&gt;=46,'Daily Schedule'!$A57&lt;=52),'Daily Workforce'!$M148="Y",IFERROR(1*'Daily Workforce'!$P148&gt;=2,FALSE()))))),1,0)</f>
        <v>0</v>
      </c>
      <c r="FD53" s="1" t="n">
        <f aca="false">IF(AND('Daily Workforce'!$N149="Y",'Daily Workforce'!$B149&lt;&gt;"",COUNTIF('Daily Schedule'!$F$5:$F56,'Daily Workforce'!$B149)=0,IF('Daily Schedule'!$A57=45,'Daily Workforce'!$J149="Y",IF(OR('Daily Schedule'!$A57=4,'Daily Schedule'!$A57=8),IF(OR(WEEKDAY('Daily Schedule'!$B$2,2)=1,WEEKDAY('Daily Schedule'!$B$2,2)=4,WEEKDAY('Daily Schedule'!$B$2,2)=5,WEEKDAY('Daily Schedule'!$B$2,2)=7),IFERROR(1*'Daily Workforce'!$K149&gt;=3,FALSE()),IFERROR(1*'Daily Workforce'!$K149&gt;=2,FALSE())),IF(AND('Daily Schedule'!$A57&gt;=46,'Daily Schedule'!$A57&lt;=52),'Daily Workforce'!$M149="Y",IFERROR(1*'Daily Workforce'!$P149&gt;=2,FALSE()))))),1,0)</f>
        <v>0</v>
      </c>
      <c r="FE53" s="1" t="n">
        <f aca="false">IF(AND('Daily Workforce'!$N150="Y",'Daily Workforce'!$B150&lt;&gt;"",COUNTIF('Daily Schedule'!$F$5:$F56,'Daily Workforce'!$B150)=0,IF('Daily Schedule'!$A57=45,'Daily Workforce'!$J150="Y",IF(OR('Daily Schedule'!$A57=4,'Daily Schedule'!$A57=8),IF(OR(WEEKDAY('Daily Schedule'!$B$2,2)=1,WEEKDAY('Daily Schedule'!$B$2,2)=4,WEEKDAY('Daily Schedule'!$B$2,2)=5,WEEKDAY('Daily Schedule'!$B$2,2)=7),IFERROR(1*'Daily Workforce'!$K150&gt;=3,FALSE()),IFERROR(1*'Daily Workforce'!$K150&gt;=2,FALSE())),IF(AND('Daily Schedule'!$A57&gt;=46,'Daily Schedule'!$A57&lt;=52),'Daily Workforce'!$M150="Y",IFERROR(1*'Daily Workforce'!$P150&gt;=2,FALSE()))))),1,0)</f>
        <v>0</v>
      </c>
      <c r="FF53" s="1" t="n">
        <f aca="false">IF(AND('Daily Workforce'!$N151="Y",'Daily Workforce'!$B151&lt;&gt;"",COUNTIF('Daily Schedule'!$F$5:$F56,'Daily Workforce'!$B151)=0,IF('Daily Schedule'!$A57=45,'Daily Workforce'!$J151="Y",IF(OR('Daily Schedule'!$A57=4,'Daily Schedule'!$A57=8),IF(OR(WEEKDAY('Daily Schedule'!$B$2,2)=1,WEEKDAY('Daily Schedule'!$B$2,2)=4,WEEKDAY('Daily Schedule'!$B$2,2)=5,WEEKDAY('Daily Schedule'!$B$2,2)=7),IFERROR(1*'Daily Workforce'!$K151&gt;=3,FALSE()),IFERROR(1*'Daily Workforce'!$K151&gt;=2,FALSE())),IF(AND('Daily Schedule'!$A57&gt;=46,'Daily Schedule'!$A57&lt;=52),'Daily Workforce'!$M151="Y",IFERROR(1*'Daily Workforce'!$P151&gt;=2,FALSE()))))),1,0)</f>
        <v>0</v>
      </c>
      <c r="FG53" s="1" t="n">
        <f aca="false">IF(AND('Daily Workforce'!$N152="Y",'Daily Workforce'!$B152&lt;&gt;"",COUNTIF('Daily Schedule'!$F$5:$F56,'Daily Workforce'!$B152)=0,IF('Daily Schedule'!$A57=45,'Daily Workforce'!$J152="Y",IF(OR('Daily Schedule'!$A57=4,'Daily Schedule'!$A57=8),IF(OR(WEEKDAY('Daily Schedule'!$B$2,2)=1,WEEKDAY('Daily Schedule'!$B$2,2)=4,WEEKDAY('Daily Schedule'!$B$2,2)=5,WEEKDAY('Daily Schedule'!$B$2,2)=7),IFERROR(1*'Daily Workforce'!$K152&gt;=3,FALSE()),IFERROR(1*'Daily Workforce'!$K152&gt;=2,FALSE())),IF(AND('Daily Schedule'!$A57&gt;=46,'Daily Schedule'!$A57&lt;=52),'Daily Workforce'!$M152="Y",IFERROR(1*'Daily Workforce'!$P152&gt;=2,FALSE()))))),1,0)</f>
        <v>0</v>
      </c>
      <c r="FH53" s="1" t="n">
        <f aca="false">IF(AND('Daily Workforce'!$N153="Y",'Daily Workforce'!$B153&lt;&gt;"",COUNTIF('Daily Schedule'!$F$5:$F56,'Daily Workforce'!$B153)=0,IF('Daily Schedule'!$A57=45,'Daily Workforce'!$J153="Y",IF(OR('Daily Schedule'!$A57=4,'Daily Schedule'!$A57=8),IF(OR(WEEKDAY('Daily Schedule'!$B$2,2)=1,WEEKDAY('Daily Schedule'!$B$2,2)=4,WEEKDAY('Daily Schedule'!$B$2,2)=5,WEEKDAY('Daily Schedule'!$B$2,2)=7),IFERROR(1*'Daily Workforce'!$K153&gt;=3,FALSE()),IFERROR(1*'Daily Workforce'!$K153&gt;=2,FALSE())),IF(AND('Daily Schedule'!$A57&gt;=46,'Daily Schedule'!$A57&lt;=52),'Daily Workforce'!$M153="Y",IFERROR(1*'Daily Workforce'!$P153&gt;=2,FALSE()))))),1,0)</f>
        <v>0</v>
      </c>
      <c r="FI53" s="1" t="n">
        <f aca="false">IF(AND('Daily Workforce'!$N154="Y",'Daily Workforce'!$B154&lt;&gt;"",COUNTIF('Daily Schedule'!$F$5:$F56,'Daily Workforce'!$B154)=0,IF('Daily Schedule'!$A57=45,'Daily Workforce'!$J154="Y",IF(OR('Daily Schedule'!$A57=4,'Daily Schedule'!$A57=8),IF(OR(WEEKDAY('Daily Schedule'!$B$2,2)=1,WEEKDAY('Daily Schedule'!$B$2,2)=4,WEEKDAY('Daily Schedule'!$B$2,2)=5,WEEKDAY('Daily Schedule'!$B$2,2)=7),IFERROR(1*'Daily Workforce'!$K154&gt;=3,FALSE()),IFERROR(1*'Daily Workforce'!$K154&gt;=2,FALSE())),IF(AND('Daily Schedule'!$A57&gt;=46,'Daily Schedule'!$A57&lt;=52),'Daily Workforce'!$M154="Y",IFERROR(1*'Daily Workforce'!$P154&gt;=2,FALSE()))))),1,0)</f>
        <v>0</v>
      </c>
      <c r="FJ53" s="1" t="n">
        <f aca="false">IF(AND('Daily Workforce'!$N155="Y",'Daily Workforce'!$B155&lt;&gt;"",COUNTIF('Daily Schedule'!$F$5:$F56,'Daily Workforce'!$B155)=0,IF('Daily Schedule'!$A57=45,'Daily Workforce'!$J155="Y",IF(OR('Daily Schedule'!$A57=4,'Daily Schedule'!$A57=8),IF(OR(WEEKDAY('Daily Schedule'!$B$2,2)=1,WEEKDAY('Daily Schedule'!$B$2,2)=4,WEEKDAY('Daily Schedule'!$B$2,2)=5,WEEKDAY('Daily Schedule'!$B$2,2)=7),IFERROR(1*'Daily Workforce'!$K155&gt;=3,FALSE()),IFERROR(1*'Daily Workforce'!$K155&gt;=2,FALSE())),IF(AND('Daily Schedule'!$A57&gt;=46,'Daily Schedule'!$A57&lt;=52),'Daily Workforce'!$M155="Y",IFERROR(1*'Daily Workforce'!$P155&gt;=2,FALSE()))))),1,0)</f>
        <v>0</v>
      </c>
      <c r="FK53" s="1" t="n">
        <f aca="false">IF(AND('Daily Workforce'!$N156="Y",'Daily Workforce'!$B156&lt;&gt;"",COUNTIF('Daily Schedule'!$F$5:$F56,'Daily Workforce'!$B156)=0,IF('Daily Schedule'!$A57=45,'Daily Workforce'!$J156="Y",IF(OR('Daily Schedule'!$A57=4,'Daily Schedule'!$A57=8),IF(OR(WEEKDAY('Daily Schedule'!$B$2,2)=1,WEEKDAY('Daily Schedule'!$B$2,2)=4,WEEKDAY('Daily Schedule'!$B$2,2)=5,WEEKDAY('Daily Schedule'!$B$2,2)=7),IFERROR(1*'Daily Workforce'!$K156&gt;=3,FALSE()),IFERROR(1*'Daily Workforce'!$K156&gt;=2,FALSE())),IF(AND('Daily Schedule'!$A57&gt;=46,'Daily Schedule'!$A57&lt;=52),'Daily Workforce'!$M156="Y",IFERROR(1*'Daily Workforce'!$P156&gt;=2,FALSE()))))),1,0)</f>
        <v>0</v>
      </c>
      <c r="FL53" s="1" t="n">
        <f aca="false">IF(AND('Daily Workforce'!$N157="Y",'Daily Workforce'!$B157&lt;&gt;"",COUNTIF('Daily Schedule'!$F$5:$F56,'Daily Workforce'!$B157)=0,IF('Daily Schedule'!$A57=45,'Daily Workforce'!$J157="Y",IF(OR('Daily Schedule'!$A57=4,'Daily Schedule'!$A57=8),IF(OR(WEEKDAY('Daily Schedule'!$B$2,2)=1,WEEKDAY('Daily Schedule'!$B$2,2)=4,WEEKDAY('Daily Schedule'!$B$2,2)=5,WEEKDAY('Daily Schedule'!$B$2,2)=7),IFERROR(1*'Daily Workforce'!$K157&gt;=3,FALSE()),IFERROR(1*'Daily Workforce'!$K157&gt;=2,FALSE())),IF(AND('Daily Schedule'!$A57&gt;=46,'Daily Schedule'!$A57&lt;=52),'Daily Workforce'!$M157="Y",IFERROR(1*'Daily Workforce'!$P157&gt;=2,FALSE()))))),1,0)</f>
        <v>0</v>
      </c>
      <c r="FM53" s="1" t="n">
        <f aca="false">IF(AND('Daily Workforce'!$N158="Y",'Daily Workforce'!$B158&lt;&gt;"",COUNTIF('Daily Schedule'!$F$5:$F56,'Daily Workforce'!$B158)=0,IF('Daily Schedule'!$A57=45,'Daily Workforce'!$J158="Y",IF(OR('Daily Schedule'!$A57=4,'Daily Schedule'!$A57=8),IF(OR(WEEKDAY('Daily Schedule'!$B$2,2)=1,WEEKDAY('Daily Schedule'!$B$2,2)=4,WEEKDAY('Daily Schedule'!$B$2,2)=5,WEEKDAY('Daily Schedule'!$B$2,2)=7),IFERROR(1*'Daily Workforce'!$K158&gt;=3,FALSE()),IFERROR(1*'Daily Workforce'!$K158&gt;=2,FALSE())),IF(AND('Daily Schedule'!$A57&gt;=46,'Daily Schedule'!$A57&lt;=52),'Daily Workforce'!$M158="Y",IFERROR(1*'Daily Workforce'!$P158&gt;=2,FALSE()))))),1,0)</f>
        <v>0</v>
      </c>
      <c r="FN53" s="1" t="n">
        <f aca="false">IF(AND('Daily Workforce'!$N159="Y",'Daily Workforce'!$B159&lt;&gt;"",COUNTIF('Daily Schedule'!$F$5:$F56,'Daily Workforce'!$B159)=0,IF('Daily Schedule'!$A57=45,'Daily Workforce'!$J159="Y",IF(OR('Daily Schedule'!$A57=4,'Daily Schedule'!$A57=8),IF(OR(WEEKDAY('Daily Schedule'!$B$2,2)=1,WEEKDAY('Daily Schedule'!$B$2,2)=4,WEEKDAY('Daily Schedule'!$B$2,2)=5,WEEKDAY('Daily Schedule'!$B$2,2)=7),IFERROR(1*'Daily Workforce'!$K159&gt;=3,FALSE()),IFERROR(1*'Daily Workforce'!$K159&gt;=2,FALSE())),IF(AND('Daily Schedule'!$A57&gt;=46,'Daily Schedule'!$A57&lt;=52),'Daily Workforce'!$M159="Y",IFERROR(1*'Daily Workforce'!$P159&gt;=2,FALSE()))))),1,0)</f>
        <v>0</v>
      </c>
      <c r="FO53" s="1" t="n">
        <f aca="false">IF(AND('Daily Workforce'!$N160="Y",'Daily Workforce'!$B160&lt;&gt;"",COUNTIF('Daily Schedule'!$F$5:$F56,'Daily Workforce'!$B160)=0,IF('Daily Schedule'!$A57=45,'Daily Workforce'!$J160="Y",IF(OR('Daily Schedule'!$A57=4,'Daily Schedule'!$A57=8),IF(OR(WEEKDAY('Daily Schedule'!$B$2,2)=1,WEEKDAY('Daily Schedule'!$B$2,2)=4,WEEKDAY('Daily Schedule'!$B$2,2)=5,WEEKDAY('Daily Schedule'!$B$2,2)=7),IFERROR(1*'Daily Workforce'!$K160&gt;=3,FALSE()),IFERROR(1*'Daily Workforce'!$K160&gt;=2,FALSE())),IF(AND('Daily Schedule'!$A57&gt;=46,'Daily Schedule'!$A57&lt;=52),'Daily Workforce'!$M160="Y",IFERROR(1*'Daily Workforce'!$P160&gt;=2,FALSE()))))),1,0)</f>
        <v>0</v>
      </c>
      <c r="FP53" s="1" t="n">
        <f aca="false">IF(AND('Daily Workforce'!$N161="Y",'Daily Workforce'!$B161&lt;&gt;"",COUNTIF('Daily Schedule'!$F$5:$F56,'Daily Workforce'!$B161)=0,IF('Daily Schedule'!$A57=45,'Daily Workforce'!$J161="Y",IF(OR('Daily Schedule'!$A57=4,'Daily Schedule'!$A57=8),IF(OR(WEEKDAY('Daily Schedule'!$B$2,2)=1,WEEKDAY('Daily Schedule'!$B$2,2)=4,WEEKDAY('Daily Schedule'!$B$2,2)=5,WEEKDAY('Daily Schedule'!$B$2,2)=7),IFERROR(1*'Daily Workforce'!$K161&gt;=3,FALSE()),IFERROR(1*'Daily Workforce'!$K161&gt;=2,FALSE())),IF(AND('Daily Schedule'!$A57&gt;=46,'Daily Schedule'!$A57&lt;=52),'Daily Workforce'!$M161="Y",IFERROR(1*'Daily Workforce'!$P161&gt;=2,FALSE()))))),1,0)</f>
        <v>0</v>
      </c>
      <c r="FQ53" s="1" t="n">
        <f aca="false">IF(AND('Daily Workforce'!$N162="Y",'Daily Workforce'!$B162&lt;&gt;"",COUNTIF('Daily Schedule'!$F$5:$F56,'Daily Workforce'!$B162)=0,IF('Daily Schedule'!$A57=45,'Daily Workforce'!$J162="Y",IF(OR('Daily Schedule'!$A57=4,'Daily Schedule'!$A57=8),IF(OR(WEEKDAY('Daily Schedule'!$B$2,2)=1,WEEKDAY('Daily Schedule'!$B$2,2)=4,WEEKDAY('Daily Schedule'!$B$2,2)=5,WEEKDAY('Daily Schedule'!$B$2,2)=7),IFERROR(1*'Daily Workforce'!$K162&gt;=3,FALSE()),IFERROR(1*'Daily Workforce'!$K162&gt;=2,FALSE())),IF(AND('Daily Schedule'!$A57&gt;=46,'Daily Schedule'!$A57&lt;=52),'Daily Workforce'!$M162="Y",IFERROR(1*'Daily Workforce'!$P162&gt;=2,FALSE()))))),1,0)</f>
        <v>0</v>
      </c>
      <c r="FR53" s="1" t="n">
        <f aca="false">IF(AND('Daily Workforce'!$N163="Y",'Daily Workforce'!$B163&lt;&gt;"",COUNTIF('Daily Schedule'!$F$5:$F56,'Daily Workforce'!$B163)=0,IF('Daily Schedule'!$A57=45,'Daily Workforce'!$J163="Y",IF(OR('Daily Schedule'!$A57=4,'Daily Schedule'!$A57=8),IF(OR(WEEKDAY('Daily Schedule'!$B$2,2)=1,WEEKDAY('Daily Schedule'!$B$2,2)=4,WEEKDAY('Daily Schedule'!$B$2,2)=5,WEEKDAY('Daily Schedule'!$B$2,2)=7),IFERROR(1*'Daily Workforce'!$K163&gt;=3,FALSE()),IFERROR(1*'Daily Workforce'!$K163&gt;=2,FALSE())),IF(AND('Daily Schedule'!$A57&gt;=46,'Daily Schedule'!$A57&lt;=52),'Daily Workforce'!$M163="Y",IFERROR(1*'Daily Workforce'!$P163&gt;=2,FALSE()))))),1,0)</f>
        <v>0</v>
      </c>
      <c r="FS53" s="1" t="n">
        <f aca="false">IF(AND('Daily Workforce'!$N164="Y",'Daily Workforce'!$B164&lt;&gt;"",COUNTIF('Daily Schedule'!$F$5:$F56,'Daily Workforce'!$B164)=0,IF('Daily Schedule'!$A57=45,'Daily Workforce'!$J164="Y",IF(OR('Daily Schedule'!$A57=4,'Daily Schedule'!$A57=8),IF(OR(WEEKDAY('Daily Schedule'!$B$2,2)=1,WEEKDAY('Daily Schedule'!$B$2,2)=4,WEEKDAY('Daily Schedule'!$B$2,2)=5,WEEKDAY('Daily Schedule'!$B$2,2)=7),IFERROR(1*'Daily Workforce'!$K164&gt;=3,FALSE()),IFERROR(1*'Daily Workforce'!$K164&gt;=2,FALSE())),IF(AND('Daily Schedule'!$A57&gt;=46,'Daily Schedule'!$A57&lt;=52),'Daily Workforce'!$M164="Y",IFERROR(1*'Daily Workforce'!$P164&gt;=2,FALSE()))))),1,0)</f>
        <v>0</v>
      </c>
      <c r="FT53" s="1" t="n">
        <f aca="false">IF(AND('Daily Workforce'!$N165="Y",'Daily Workforce'!$B165&lt;&gt;"",COUNTIF('Daily Schedule'!$F$5:$F56,'Daily Workforce'!$B165)=0,IF('Daily Schedule'!$A57=45,'Daily Workforce'!$J165="Y",IF(OR('Daily Schedule'!$A57=4,'Daily Schedule'!$A57=8),IF(OR(WEEKDAY('Daily Schedule'!$B$2,2)=1,WEEKDAY('Daily Schedule'!$B$2,2)=4,WEEKDAY('Daily Schedule'!$B$2,2)=5,WEEKDAY('Daily Schedule'!$B$2,2)=7),IFERROR(1*'Daily Workforce'!$K165&gt;=3,FALSE()),IFERROR(1*'Daily Workforce'!$K165&gt;=2,FALSE())),IF(AND('Daily Schedule'!$A57&gt;=46,'Daily Schedule'!$A57&lt;=52),'Daily Workforce'!$M165="Y",IFERROR(1*'Daily Workforce'!$P165&gt;=2,FALSE()))))),1,0)</f>
        <v>0</v>
      </c>
      <c r="FU53" s="1" t="n">
        <f aca="false">IF(AND('Daily Workforce'!$N166="Y",'Daily Workforce'!$B166&lt;&gt;"",COUNTIF('Daily Schedule'!$F$5:$F56,'Daily Workforce'!$B166)=0,IF('Daily Schedule'!$A57=45,'Daily Workforce'!$J166="Y",IF(OR('Daily Schedule'!$A57=4,'Daily Schedule'!$A57=8),IF(OR(WEEKDAY('Daily Schedule'!$B$2,2)=1,WEEKDAY('Daily Schedule'!$B$2,2)=4,WEEKDAY('Daily Schedule'!$B$2,2)=5,WEEKDAY('Daily Schedule'!$B$2,2)=7),IFERROR(1*'Daily Workforce'!$K166&gt;=3,FALSE()),IFERROR(1*'Daily Workforce'!$K166&gt;=2,FALSE())),IF(AND('Daily Schedule'!$A57&gt;=46,'Daily Schedule'!$A57&lt;=52),'Daily Workforce'!$M166="Y",IFERROR(1*'Daily Workforce'!$P166&gt;=2,FALSE()))))),1,0)</f>
        <v>0</v>
      </c>
      <c r="FV53" s="1" t="n">
        <f aca="false">IF(AND('Daily Workforce'!$N167="Y",'Daily Workforce'!$B167&lt;&gt;"",COUNTIF('Daily Schedule'!$F$5:$F56,'Daily Workforce'!$B167)=0,IF('Daily Schedule'!$A57=45,'Daily Workforce'!$J167="Y",IF(OR('Daily Schedule'!$A57=4,'Daily Schedule'!$A57=8),IF(OR(WEEKDAY('Daily Schedule'!$B$2,2)=1,WEEKDAY('Daily Schedule'!$B$2,2)=4,WEEKDAY('Daily Schedule'!$B$2,2)=5,WEEKDAY('Daily Schedule'!$B$2,2)=7),IFERROR(1*'Daily Workforce'!$K167&gt;=3,FALSE()),IFERROR(1*'Daily Workforce'!$K167&gt;=2,FALSE())),IF(AND('Daily Schedule'!$A57&gt;=46,'Daily Schedule'!$A57&lt;=52),'Daily Workforce'!$M167="Y",IFERROR(1*'Daily Workforce'!$P167&gt;=2,FALSE()))))),1,0)</f>
        <v>0</v>
      </c>
      <c r="FW53" s="1" t="n">
        <f aca="false">IF(AND('Daily Workforce'!$N168="Y",'Daily Workforce'!$B168&lt;&gt;"",COUNTIF('Daily Schedule'!$F$5:$F56,'Daily Workforce'!$B168)=0,IF('Daily Schedule'!$A57=45,'Daily Workforce'!$J168="Y",IF(OR('Daily Schedule'!$A57=4,'Daily Schedule'!$A57=8),IF(OR(WEEKDAY('Daily Schedule'!$B$2,2)=1,WEEKDAY('Daily Schedule'!$B$2,2)=4,WEEKDAY('Daily Schedule'!$B$2,2)=5,WEEKDAY('Daily Schedule'!$B$2,2)=7),IFERROR(1*'Daily Workforce'!$K168&gt;=3,FALSE()),IFERROR(1*'Daily Workforce'!$K168&gt;=2,FALSE())),IF(AND('Daily Schedule'!$A57&gt;=46,'Daily Schedule'!$A57&lt;=52),'Daily Workforce'!$M168="Y",IFERROR(1*'Daily Workforce'!$P168&gt;=2,FALSE()))))),1,0)</f>
        <v>0</v>
      </c>
      <c r="FX53" s="1" t="n">
        <f aca="false">IF(AND('Daily Workforce'!$N169="Y",'Daily Workforce'!$B169&lt;&gt;"",COUNTIF('Daily Schedule'!$F$5:$F56,'Daily Workforce'!$B169)=0,IF('Daily Schedule'!$A57=45,'Daily Workforce'!$J169="Y",IF(OR('Daily Schedule'!$A57=4,'Daily Schedule'!$A57=8),IF(OR(WEEKDAY('Daily Schedule'!$B$2,2)=1,WEEKDAY('Daily Schedule'!$B$2,2)=4,WEEKDAY('Daily Schedule'!$B$2,2)=5,WEEKDAY('Daily Schedule'!$B$2,2)=7),IFERROR(1*'Daily Workforce'!$K169&gt;=3,FALSE()),IFERROR(1*'Daily Workforce'!$K169&gt;=2,FALSE())),IF(AND('Daily Schedule'!$A57&gt;=46,'Daily Schedule'!$A57&lt;=52),'Daily Workforce'!$M169="Y",IFERROR(1*'Daily Workforce'!$P169&gt;=2,FALSE()))))),1,0)</f>
        <v>0</v>
      </c>
      <c r="FY53" s="1" t="n">
        <f aca="false">IF(AND('Daily Workforce'!$N170="Y",'Daily Workforce'!$B170&lt;&gt;"",COUNTIF('Daily Schedule'!$F$5:$F56,'Daily Workforce'!$B170)=0,IF('Daily Schedule'!$A57=45,'Daily Workforce'!$J170="Y",IF(OR('Daily Schedule'!$A57=4,'Daily Schedule'!$A57=8),IF(OR(WEEKDAY('Daily Schedule'!$B$2,2)=1,WEEKDAY('Daily Schedule'!$B$2,2)=4,WEEKDAY('Daily Schedule'!$B$2,2)=5,WEEKDAY('Daily Schedule'!$B$2,2)=7),IFERROR(1*'Daily Workforce'!$K170&gt;=3,FALSE()),IFERROR(1*'Daily Workforce'!$K170&gt;=2,FALSE())),IF(AND('Daily Schedule'!$A57&gt;=46,'Daily Schedule'!$A57&lt;=52),'Daily Workforce'!$M170="Y",IFERROR(1*'Daily Workforce'!$P170&gt;=2,FALSE()))))),1,0)</f>
        <v>0</v>
      </c>
      <c r="FZ53" s="1" t="n">
        <f aca="false">IF(AND('Daily Workforce'!$N171="Y",'Daily Workforce'!$B171&lt;&gt;"",COUNTIF('Daily Schedule'!$F$5:$F56,'Daily Workforce'!$B171)=0,IF('Daily Schedule'!$A57=45,'Daily Workforce'!$J171="Y",IF(OR('Daily Schedule'!$A57=4,'Daily Schedule'!$A57=8),IF(OR(WEEKDAY('Daily Schedule'!$B$2,2)=1,WEEKDAY('Daily Schedule'!$B$2,2)=4,WEEKDAY('Daily Schedule'!$B$2,2)=5,WEEKDAY('Daily Schedule'!$B$2,2)=7),IFERROR(1*'Daily Workforce'!$K171&gt;=3,FALSE()),IFERROR(1*'Daily Workforce'!$K171&gt;=2,FALSE())),IF(AND('Daily Schedule'!$A57&gt;=46,'Daily Schedule'!$A57&lt;=52),'Daily Workforce'!$M171="Y",IFERROR(1*'Daily Workforce'!$P171&gt;=2,FALSE()))))),1,0)</f>
        <v>0</v>
      </c>
      <c r="GA53" s="1" t="n">
        <f aca="false">IF(AND('Daily Workforce'!$N172="Y",'Daily Workforce'!$B172&lt;&gt;"",COUNTIF('Daily Schedule'!$F$5:$F56,'Daily Workforce'!$B172)=0,IF('Daily Schedule'!$A57=45,'Daily Workforce'!$J172="Y",IF(OR('Daily Schedule'!$A57=4,'Daily Schedule'!$A57=8),IF(OR(WEEKDAY('Daily Schedule'!$B$2,2)=1,WEEKDAY('Daily Schedule'!$B$2,2)=4,WEEKDAY('Daily Schedule'!$B$2,2)=5,WEEKDAY('Daily Schedule'!$B$2,2)=7),IFERROR(1*'Daily Workforce'!$K172&gt;=3,FALSE()),IFERROR(1*'Daily Workforce'!$K172&gt;=2,FALSE())),IF(AND('Daily Schedule'!$A57&gt;=46,'Daily Schedule'!$A57&lt;=52),'Daily Workforce'!$M172="Y",IFERROR(1*'Daily Workforce'!$P172&gt;=2,FALSE()))))),1,0)</f>
        <v>0</v>
      </c>
      <c r="GB53" s="1" t="n">
        <f aca="false">IF(AND('Daily Workforce'!$N173="Y",'Daily Workforce'!$B173&lt;&gt;"",COUNTIF('Daily Schedule'!$F$5:$F56,'Daily Workforce'!$B173)=0,IF('Daily Schedule'!$A57=45,'Daily Workforce'!$J173="Y",IF(OR('Daily Schedule'!$A57=4,'Daily Schedule'!$A57=8),IF(OR(WEEKDAY('Daily Schedule'!$B$2,2)=1,WEEKDAY('Daily Schedule'!$B$2,2)=4,WEEKDAY('Daily Schedule'!$B$2,2)=5,WEEKDAY('Daily Schedule'!$B$2,2)=7),IFERROR(1*'Daily Workforce'!$K173&gt;=3,FALSE()),IFERROR(1*'Daily Workforce'!$K173&gt;=2,FALSE())),IF(AND('Daily Schedule'!$A57&gt;=46,'Daily Schedule'!$A57&lt;=52),'Daily Workforce'!$M173="Y",IFERROR(1*'Daily Workforce'!$P173&gt;=2,FALSE()))))),1,0)</f>
        <v>0</v>
      </c>
      <c r="GC53" s="1" t="n">
        <f aca="false">IF(AND('Daily Workforce'!$N174="Y",'Daily Workforce'!$B174&lt;&gt;"",COUNTIF('Daily Schedule'!$F$5:$F56,'Daily Workforce'!$B174)=0,IF('Daily Schedule'!$A57=45,'Daily Workforce'!$J174="Y",IF(OR('Daily Schedule'!$A57=4,'Daily Schedule'!$A57=8),IF(OR(WEEKDAY('Daily Schedule'!$B$2,2)=1,WEEKDAY('Daily Schedule'!$B$2,2)=4,WEEKDAY('Daily Schedule'!$B$2,2)=5,WEEKDAY('Daily Schedule'!$B$2,2)=7),IFERROR(1*'Daily Workforce'!$K174&gt;=3,FALSE()),IFERROR(1*'Daily Workforce'!$K174&gt;=2,FALSE())),IF(AND('Daily Schedule'!$A57&gt;=46,'Daily Schedule'!$A57&lt;=52),'Daily Workforce'!$M174="Y",IFERROR(1*'Daily Workforce'!$P174&gt;=2,FALSE()))))),1,0)</f>
        <v>0</v>
      </c>
      <c r="GD53" s="1" t="n">
        <f aca="false">IF(AND('Daily Workforce'!$N175="Y",'Daily Workforce'!$B175&lt;&gt;"",COUNTIF('Daily Schedule'!$F$5:$F56,'Daily Workforce'!$B175)=0,IF('Daily Schedule'!$A57=45,'Daily Workforce'!$J175="Y",IF(OR('Daily Schedule'!$A57=4,'Daily Schedule'!$A57=8),IF(OR(WEEKDAY('Daily Schedule'!$B$2,2)=1,WEEKDAY('Daily Schedule'!$B$2,2)=4,WEEKDAY('Daily Schedule'!$B$2,2)=5,WEEKDAY('Daily Schedule'!$B$2,2)=7),IFERROR(1*'Daily Workforce'!$K175&gt;=3,FALSE()),IFERROR(1*'Daily Workforce'!$K175&gt;=2,FALSE())),IF(AND('Daily Schedule'!$A57&gt;=46,'Daily Schedule'!$A57&lt;=52),'Daily Workforce'!$M175="Y",IFERROR(1*'Daily Workforce'!$P175&gt;=2,FALSE()))))),1,0)</f>
        <v>0</v>
      </c>
      <c r="GE53" s="1" t="n">
        <f aca="false">IF(AND('Daily Workforce'!$N176="Y",'Daily Workforce'!$B176&lt;&gt;"",COUNTIF('Daily Schedule'!$F$5:$F56,'Daily Workforce'!$B176)=0,IF('Daily Schedule'!$A57=45,'Daily Workforce'!$J176="Y",IF(OR('Daily Schedule'!$A57=4,'Daily Schedule'!$A57=8),IF(OR(WEEKDAY('Daily Schedule'!$B$2,2)=1,WEEKDAY('Daily Schedule'!$B$2,2)=4,WEEKDAY('Daily Schedule'!$B$2,2)=5,WEEKDAY('Daily Schedule'!$B$2,2)=7),IFERROR(1*'Daily Workforce'!$K176&gt;=3,FALSE()),IFERROR(1*'Daily Workforce'!$K176&gt;=2,FALSE())),IF(AND('Daily Schedule'!$A57&gt;=46,'Daily Schedule'!$A57&lt;=52),'Daily Workforce'!$M176="Y",IFERROR(1*'Daily Workforce'!$P176&gt;=2,FALSE()))))),1,0)</f>
        <v>0</v>
      </c>
      <c r="GF53" s="1" t="n">
        <f aca="false">IF(AND('Daily Workforce'!$N177="Y",'Daily Workforce'!$B177&lt;&gt;"",COUNTIF('Daily Schedule'!$F$5:$F56,'Daily Workforce'!$B177)=0,IF('Daily Schedule'!$A57=45,'Daily Workforce'!$J177="Y",IF(OR('Daily Schedule'!$A57=4,'Daily Schedule'!$A57=8),IF(OR(WEEKDAY('Daily Schedule'!$B$2,2)=1,WEEKDAY('Daily Schedule'!$B$2,2)=4,WEEKDAY('Daily Schedule'!$B$2,2)=5,WEEKDAY('Daily Schedule'!$B$2,2)=7),IFERROR(1*'Daily Workforce'!$K177&gt;=3,FALSE()),IFERROR(1*'Daily Workforce'!$K177&gt;=2,FALSE())),IF(AND('Daily Schedule'!$A57&gt;=46,'Daily Schedule'!$A57&lt;=52),'Daily Workforce'!$M177="Y",IFERROR(1*'Daily Workforce'!$P177&gt;=2,FALSE()))))),1,0)</f>
        <v>0</v>
      </c>
      <c r="GG53" s="1" t="n">
        <f aca="false">IF(AND('Daily Workforce'!$N178="Y",'Daily Workforce'!$B178&lt;&gt;"",COUNTIF('Daily Schedule'!$F$5:$F56,'Daily Workforce'!$B178)=0,IF('Daily Schedule'!$A57=45,'Daily Workforce'!$J178="Y",IF(OR('Daily Schedule'!$A57=4,'Daily Schedule'!$A57=8),IF(OR(WEEKDAY('Daily Schedule'!$B$2,2)=1,WEEKDAY('Daily Schedule'!$B$2,2)=4,WEEKDAY('Daily Schedule'!$B$2,2)=5,WEEKDAY('Daily Schedule'!$B$2,2)=7),IFERROR(1*'Daily Workforce'!$K178&gt;=3,FALSE()),IFERROR(1*'Daily Workforce'!$K178&gt;=2,FALSE())),IF(AND('Daily Schedule'!$A57&gt;=46,'Daily Schedule'!$A57&lt;=52),'Daily Workforce'!$M178="Y",IFERROR(1*'Daily Workforce'!$P178&gt;=2,FALSE()))))),1,0)</f>
        <v>0</v>
      </c>
      <c r="GH53" s="1" t="n">
        <f aca="false">IF(AND('Daily Workforce'!$N179="Y",'Daily Workforce'!$B179&lt;&gt;"",COUNTIF('Daily Schedule'!$F$5:$F56,'Daily Workforce'!$B179)=0,IF('Daily Schedule'!$A57=45,'Daily Workforce'!$J179="Y",IF(OR('Daily Schedule'!$A57=4,'Daily Schedule'!$A57=8),IF(OR(WEEKDAY('Daily Schedule'!$B$2,2)=1,WEEKDAY('Daily Schedule'!$B$2,2)=4,WEEKDAY('Daily Schedule'!$B$2,2)=5,WEEKDAY('Daily Schedule'!$B$2,2)=7),IFERROR(1*'Daily Workforce'!$K179&gt;=3,FALSE()),IFERROR(1*'Daily Workforce'!$K179&gt;=2,FALSE())),IF(AND('Daily Schedule'!$A57&gt;=46,'Daily Schedule'!$A57&lt;=52),'Daily Workforce'!$M179="Y",IFERROR(1*'Daily Workforce'!$P179&gt;=2,FALSE()))))),1,0)</f>
        <v>0</v>
      </c>
      <c r="GI53" s="1" t="n">
        <f aca="false">IF(AND('Daily Workforce'!$N180="Y",'Daily Workforce'!$B180&lt;&gt;"",COUNTIF('Daily Schedule'!$F$5:$F56,'Daily Workforce'!$B180)=0,IF('Daily Schedule'!$A57=45,'Daily Workforce'!$J180="Y",IF(OR('Daily Schedule'!$A57=4,'Daily Schedule'!$A57=8),IF(OR(WEEKDAY('Daily Schedule'!$B$2,2)=1,WEEKDAY('Daily Schedule'!$B$2,2)=4,WEEKDAY('Daily Schedule'!$B$2,2)=5,WEEKDAY('Daily Schedule'!$B$2,2)=7),IFERROR(1*'Daily Workforce'!$K180&gt;=3,FALSE()),IFERROR(1*'Daily Workforce'!$K180&gt;=2,FALSE())),IF(AND('Daily Schedule'!$A57&gt;=46,'Daily Schedule'!$A57&lt;=52),'Daily Workforce'!$M180="Y",IFERROR(1*'Daily Workforce'!$P180&gt;=2,FALSE()))))),1,0)</f>
        <v>0</v>
      </c>
      <c r="GJ53" s="1" t="n">
        <f aca="false">IF(AND('Daily Workforce'!$N181="Y",'Daily Workforce'!$B181&lt;&gt;"",COUNTIF('Daily Schedule'!$F$5:$F56,'Daily Workforce'!$B181)=0,IF('Daily Schedule'!$A57=45,'Daily Workforce'!$J181="Y",IF(OR('Daily Schedule'!$A57=4,'Daily Schedule'!$A57=8),IF(OR(WEEKDAY('Daily Schedule'!$B$2,2)=1,WEEKDAY('Daily Schedule'!$B$2,2)=4,WEEKDAY('Daily Schedule'!$B$2,2)=5,WEEKDAY('Daily Schedule'!$B$2,2)=7),IFERROR(1*'Daily Workforce'!$K181&gt;=3,FALSE()),IFERROR(1*'Daily Workforce'!$K181&gt;=2,FALSE())),IF(AND('Daily Schedule'!$A57&gt;=46,'Daily Schedule'!$A57&lt;=52),'Daily Workforce'!$M181="Y",IFERROR(1*'Daily Workforce'!$P181&gt;=2,FALSE()))))),1,0)</f>
        <v>0</v>
      </c>
      <c r="GK53" s="1" t="n">
        <f aca="false">IF(AND('Daily Workforce'!$N182="Y",'Daily Workforce'!$B182&lt;&gt;"",COUNTIF('Daily Schedule'!$F$5:$F56,'Daily Workforce'!$B182)=0,IF('Daily Schedule'!$A57=45,'Daily Workforce'!$J182="Y",IF(OR('Daily Schedule'!$A57=4,'Daily Schedule'!$A57=8),IF(OR(WEEKDAY('Daily Schedule'!$B$2,2)=1,WEEKDAY('Daily Schedule'!$B$2,2)=4,WEEKDAY('Daily Schedule'!$B$2,2)=5,WEEKDAY('Daily Schedule'!$B$2,2)=7),IFERROR(1*'Daily Workforce'!$K182&gt;=3,FALSE()),IFERROR(1*'Daily Workforce'!$K182&gt;=2,FALSE())),IF(AND('Daily Schedule'!$A57&gt;=46,'Daily Schedule'!$A57&lt;=52),'Daily Workforce'!$M182="Y",IFERROR(1*'Daily Workforce'!$P182&gt;=2,FALSE()))))),1,0)</f>
        <v>0</v>
      </c>
      <c r="GL53" s="1" t="n">
        <f aca="false">IF(AND('Daily Workforce'!$N183="Y",'Daily Workforce'!$B183&lt;&gt;"",COUNTIF('Daily Schedule'!$F$5:$F56,'Daily Workforce'!$B183)=0,IF('Daily Schedule'!$A57=45,'Daily Workforce'!$J183="Y",IF(OR('Daily Schedule'!$A57=4,'Daily Schedule'!$A57=8),IF(OR(WEEKDAY('Daily Schedule'!$B$2,2)=1,WEEKDAY('Daily Schedule'!$B$2,2)=4,WEEKDAY('Daily Schedule'!$B$2,2)=5,WEEKDAY('Daily Schedule'!$B$2,2)=7),IFERROR(1*'Daily Workforce'!$K183&gt;=3,FALSE()),IFERROR(1*'Daily Workforce'!$K183&gt;=2,FALSE())),IF(AND('Daily Schedule'!$A57&gt;=46,'Daily Schedule'!$A57&lt;=52),'Daily Workforce'!$M183="Y",IFERROR(1*'Daily Workforce'!$P183&gt;=2,FALSE()))))),1,0)</f>
        <v>0</v>
      </c>
      <c r="GM53" s="1" t="n">
        <f aca="false">IF(AND('Daily Workforce'!$N184="Y",'Daily Workforce'!$B184&lt;&gt;"",COUNTIF('Daily Schedule'!$F$5:$F56,'Daily Workforce'!$B184)=0,IF('Daily Schedule'!$A57=45,'Daily Workforce'!$J184="Y",IF(OR('Daily Schedule'!$A57=4,'Daily Schedule'!$A57=8),IF(OR(WEEKDAY('Daily Schedule'!$B$2,2)=1,WEEKDAY('Daily Schedule'!$B$2,2)=4,WEEKDAY('Daily Schedule'!$B$2,2)=5,WEEKDAY('Daily Schedule'!$B$2,2)=7),IFERROR(1*'Daily Workforce'!$K184&gt;=3,FALSE()),IFERROR(1*'Daily Workforce'!$K184&gt;=2,FALSE())),IF(AND('Daily Schedule'!$A57&gt;=46,'Daily Schedule'!$A57&lt;=52),'Daily Workforce'!$M184="Y",IFERROR(1*'Daily Workforce'!$P184&gt;=2,FALSE()))))),1,0)</f>
        <v>0</v>
      </c>
      <c r="GN53" s="1" t="n">
        <f aca="false">IF(AND('Daily Workforce'!$N185="Y",'Daily Workforce'!$B185&lt;&gt;"",COUNTIF('Daily Schedule'!$F$5:$F56,'Daily Workforce'!$B185)=0,IF('Daily Schedule'!$A57=45,'Daily Workforce'!$J185="Y",IF(OR('Daily Schedule'!$A57=4,'Daily Schedule'!$A57=8),IF(OR(WEEKDAY('Daily Schedule'!$B$2,2)=1,WEEKDAY('Daily Schedule'!$B$2,2)=4,WEEKDAY('Daily Schedule'!$B$2,2)=5,WEEKDAY('Daily Schedule'!$B$2,2)=7),IFERROR(1*'Daily Workforce'!$K185&gt;=3,FALSE()),IFERROR(1*'Daily Workforce'!$K185&gt;=2,FALSE())),IF(AND('Daily Schedule'!$A57&gt;=46,'Daily Schedule'!$A57&lt;=52),'Daily Workforce'!$M185="Y",IFERROR(1*'Daily Workforce'!$P185&gt;=2,FALSE()))))),1,0)</f>
        <v>0</v>
      </c>
      <c r="GO53" s="1" t="n">
        <f aca="false">IF(AND('Daily Workforce'!$N186="Y",'Daily Workforce'!$B186&lt;&gt;"",COUNTIF('Daily Schedule'!$F$5:$F56,'Daily Workforce'!$B186)=0,IF('Daily Schedule'!$A57=45,'Daily Workforce'!$J186="Y",IF(OR('Daily Schedule'!$A57=4,'Daily Schedule'!$A57=8),IF(OR(WEEKDAY('Daily Schedule'!$B$2,2)=1,WEEKDAY('Daily Schedule'!$B$2,2)=4,WEEKDAY('Daily Schedule'!$B$2,2)=5,WEEKDAY('Daily Schedule'!$B$2,2)=7),IFERROR(1*'Daily Workforce'!$K186&gt;=3,FALSE()),IFERROR(1*'Daily Workforce'!$K186&gt;=2,FALSE())),IF(AND('Daily Schedule'!$A57&gt;=46,'Daily Schedule'!$A57&lt;=52),'Daily Workforce'!$M186="Y",IFERROR(1*'Daily Workforce'!$P186&gt;=2,FALSE()))))),1,0)</f>
        <v>0</v>
      </c>
      <c r="GP53" s="1" t="n">
        <f aca="false">IF(AND('Daily Workforce'!$N187="Y",'Daily Workforce'!$B187&lt;&gt;"",COUNTIF('Daily Schedule'!$F$5:$F56,'Daily Workforce'!$B187)=0,IF('Daily Schedule'!$A57=45,'Daily Workforce'!$J187="Y",IF(OR('Daily Schedule'!$A57=4,'Daily Schedule'!$A57=8),IF(OR(WEEKDAY('Daily Schedule'!$B$2,2)=1,WEEKDAY('Daily Schedule'!$B$2,2)=4,WEEKDAY('Daily Schedule'!$B$2,2)=5,WEEKDAY('Daily Schedule'!$B$2,2)=7),IFERROR(1*'Daily Workforce'!$K187&gt;=3,FALSE()),IFERROR(1*'Daily Workforce'!$K187&gt;=2,FALSE())),IF(AND('Daily Schedule'!$A57&gt;=46,'Daily Schedule'!$A57&lt;=52),'Daily Workforce'!$M187="Y",IFERROR(1*'Daily Workforce'!$P187&gt;=2,FALSE()))))),1,0)</f>
        <v>0</v>
      </c>
      <c r="GQ53" s="1" t="n">
        <f aca="false">IF(AND('Daily Workforce'!$N188="Y",'Daily Workforce'!$B188&lt;&gt;"",COUNTIF('Daily Schedule'!$F$5:$F56,'Daily Workforce'!$B188)=0,IF('Daily Schedule'!$A57=45,'Daily Workforce'!$J188="Y",IF(OR('Daily Schedule'!$A57=4,'Daily Schedule'!$A57=8),IF(OR(WEEKDAY('Daily Schedule'!$B$2,2)=1,WEEKDAY('Daily Schedule'!$B$2,2)=4,WEEKDAY('Daily Schedule'!$B$2,2)=5,WEEKDAY('Daily Schedule'!$B$2,2)=7),IFERROR(1*'Daily Workforce'!$K188&gt;=3,FALSE()),IFERROR(1*'Daily Workforce'!$K188&gt;=2,FALSE())),IF(AND('Daily Schedule'!$A57&gt;=46,'Daily Schedule'!$A57&lt;=52),'Daily Workforce'!$M188="Y",IFERROR(1*'Daily Workforce'!$P188&gt;=2,FALSE()))))),1,0)</f>
        <v>0</v>
      </c>
      <c r="GR53" s="1" t="n">
        <f aca="false">IF(AND('Daily Workforce'!$N189="Y",'Daily Workforce'!$B189&lt;&gt;"",COUNTIF('Daily Schedule'!$F$5:$F56,'Daily Workforce'!$B189)=0,IF('Daily Schedule'!$A57=45,'Daily Workforce'!$J189="Y",IF(OR('Daily Schedule'!$A57=4,'Daily Schedule'!$A57=8),IF(OR(WEEKDAY('Daily Schedule'!$B$2,2)=1,WEEKDAY('Daily Schedule'!$B$2,2)=4,WEEKDAY('Daily Schedule'!$B$2,2)=5,WEEKDAY('Daily Schedule'!$B$2,2)=7),IFERROR(1*'Daily Workforce'!$K189&gt;=3,FALSE()),IFERROR(1*'Daily Workforce'!$K189&gt;=2,FALSE())),IF(AND('Daily Schedule'!$A57&gt;=46,'Daily Schedule'!$A57&lt;=52),'Daily Workforce'!$M189="Y",IFERROR(1*'Daily Workforce'!$P189&gt;=2,FALSE()))))),1,0)</f>
        <v>0</v>
      </c>
      <c r="GS53" s="1" t="n">
        <f aca="false">IF(AND('Daily Workforce'!$N190="Y",'Daily Workforce'!$B190&lt;&gt;"",COUNTIF('Daily Schedule'!$F$5:$F56,'Daily Workforce'!$B190)=0,IF('Daily Schedule'!$A57=45,'Daily Workforce'!$J190="Y",IF(OR('Daily Schedule'!$A57=4,'Daily Schedule'!$A57=8),IF(OR(WEEKDAY('Daily Schedule'!$B$2,2)=1,WEEKDAY('Daily Schedule'!$B$2,2)=4,WEEKDAY('Daily Schedule'!$B$2,2)=5,WEEKDAY('Daily Schedule'!$B$2,2)=7),IFERROR(1*'Daily Workforce'!$K190&gt;=3,FALSE()),IFERROR(1*'Daily Workforce'!$K190&gt;=2,FALSE())),IF(AND('Daily Schedule'!$A57&gt;=46,'Daily Schedule'!$A57&lt;=52),'Daily Workforce'!$M190="Y",IFERROR(1*'Daily Workforce'!$P190&gt;=2,FALSE()))))),1,0)</f>
        <v>0</v>
      </c>
      <c r="GT53" s="1" t="n">
        <f aca="false">IF(AND('Daily Workforce'!$N191="Y",'Daily Workforce'!$B191&lt;&gt;"",COUNTIF('Daily Schedule'!$F$5:$F56,'Daily Workforce'!$B191)=0,IF('Daily Schedule'!$A57=45,'Daily Workforce'!$J191="Y",IF(OR('Daily Schedule'!$A57=4,'Daily Schedule'!$A57=8),IF(OR(WEEKDAY('Daily Schedule'!$B$2,2)=1,WEEKDAY('Daily Schedule'!$B$2,2)=4,WEEKDAY('Daily Schedule'!$B$2,2)=5,WEEKDAY('Daily Schedule'!$B$2,2)=7),IFERROR(1*'Daily Workforce'!$K191&gt;=3,FALSE()),IFERROR(1*'Daily Workforce'!$K191&gt;=2,FALSE())),IF(AND('Daily Schedule'!$A57&gt;=46,'Daily Schedule'!$A57&lt;=52),'Daily Workforce'!$M191="Y",IFERROR(1*'Daily Workforce'!$P191&gt;=2,FALSE()))))),1,0)</f>
        <v>0</v>
      </c>
      <c r="GU53" s="1" t="n">
        <f aca="false">IF(AND('Daily Workforce'!$N192="Y",'Daily Workforce'!$B192&lt;&gt;"",COUNTIF('Daily Schedule'!$F$5:$F56,'Daily Workforce'!$B192)=0,IF('Daily Schedule'!$A57=45,'Daily Workforce'!$J192="Y",IF(OR('Daily Schedule'!$A57=4,'Daily Schedule'!$A57=8),IF(OR(WEEKDAY('Daily Schedule'!$B$2,2)=1,WEEKDAY('Daily Schedule'!$B$2,2)=4,WEEKDAY('Daily Schedule'!$B$2,2)=5,WEEKDAY('Daily Schedule'!$B$2,2)=7),IFERROR(1*'Daily Workforce'!$K192&gt;=3,FALSE()),IFERROR(1*'Daily Workforce'!$K192&gt;=2,FALSE())),IF(AND('Daily Schedule'!$A57&gt;=46,'Daily Schedule'!$A57&lt;=52),'Daily Workforce'!$M192="Y",IFERROR(1*'Daily Workforce'!$P192&gt;=2,FALSE()))))),1,0)</f>
        <v>0</v>
      </c>
      <c r="GV53" s="1" t="n">
        <f aca="false">IF(AND('Daily Workforce'!$N193="Y",'Daily Workforce'!$B193&lt;&gt;"",COUNTIF('Daily Schedule'!$F$5:$F56,'Daily Workforce'!$B193)=0,IF('Daily Schedule'!$A57=45,'Daily Workforce'!$J193="Y",IF(OR('Daily Schedule'!$A57=4,'Daily Schedule'!$A57=8),IF(OR(WEEKDAY('Daily Schedule'!$B$2,2)=1,WEEKDAY('Daily Schedule'!$B$2,2)=4,WEEKDAY('Daily Schedule'!$B$2,2)=5,WEEKDAY('Daily Schedule'!$B$2,2)=7),IFERROR(1*'Daily Workforce'!$K193&gt;=3,FALSE()),IFERROR(1*'Daily Workforce'!$K193&gt;=2,FALSE())),IF(AND('Daily Schedule'!$A57&gt;=46,'Daily Schedule'!$A57&lt;=52),'Daily Workforce'!$M193="Y",IFERROR(1*'Daily Workforce'!$P193&gt;=2,FALSE()))))),1,0)</f>
        <v>0</v>
      </c>
      <c r="GW53" s="1" t="n">
        <f aca="false">IF(AND('Daily Workforce'!$N194="Y",'Daily Workforce'!$B194&lt;&gt;"",COUNTIF('Daily Schedule'!$F$5:$F56,'Daily Workforce'!$B194)=0,IF('Daily Schedule'!$A57=45,'Daily Workforce'!$J194="Y",IF(OR('Daily Schedule'!$A57=4,'Daily Schedule'!$A57=8),IF(OR(WEEKDAY('Daily Schedule'!$B$2,2)=1,WEEKDAY('Daily Schedule'!$B$2,2)=4,WEEKDAY('Daily Schedule'!$B$2,2)=5,WEEKDAY('Daily Schedule'!$B$2,2)=7),IFERROR(1*'Daily Workforce'!$K194&gt;=3,FALSE()),IFERROR(1*'Daily Workforce'!$K194&gt;=2,FALSE())),IF(AND('Daily Schedule'!$A57&gt;=46,'Daily Schedule'!$A57&lt;=52),'Daily Workforce'!$M194="Y",IFERROR(1*'Daily Workforce'!$P194&gt;=2,FALSE()))))),1,0)</f>
        <v>0</v>
      </c>
      <c r="GX53" s="1" t="n">
        <f aca="false">IF(AND('Daily Workforce'!$N195="Y",'Daily Workforce'!$B195&lt;&gt;"",COUNTIF('Daily Schedule'!$F$5:$F56,'Daily Workforce'!$B195)=0,IF('Daily Schedule'!$A57=45,'Daily Workforce'!$J195="Y",IF(OR('Daily Schedule'!$A57=4,'Daily Schedule'!$A57=8),IF(OR(WEEKDAY('Daily Schedule'!$B$2,2)=1,WEEKDAY('Daily Schedule'!$B$2,2)=4,WEEKDAY('Daily Schedule'!$B$2,2)=5,WEEKDAY('Daily Schedule'!$B$2,2)=7),IFERROR(1*'Daily Workforce'!$K195&gt;=3,FALSE()),IFERROR(1*'Daily Workforce'!$K195&gt;=2,FALSE())),IF(AND('Daily Schedule'!$A57&gt;=46,'Daily Schedule'!$A57&lt;=52),'Daily Workforce'!$M195="Y",IFERROR(1*'Daily Workforce'!$P195&gt;=2,FALSE()))))),1,0)</f>
        <v>0</v>
      </c>
      <c r="GY53" s="1" t="n">
        <f aca="false">IF(AND('Daily Workforce'!$N196="Y",'Daily Workforce'!$B196&lt;&gt;"",COUNTIF('Daily Schedule'!$F$5:$F56,'Daily Workforce'!$B196)=0,IF('Daily Schedule'!$A57=45,'Daily Workforce'!$J196="Y",IF(OR('Daily Schedule'!$A57=4,'Daily Schedule'!$A57=8),IF(OR(WEEKDAY('Daily Schedule'!$B$2,2)=1,WEEKDAY('Daily Schedule'!$B$2,2)=4,WEEKDAY('Daily Schedule'!$B$2,2)=5,WEEKDAY('Daily Schedule'!$B$2,2)=7),IFERROR(1*'Daily Workforce'!$K196&gt;=3,FALSE()),IFERROR(1*'Daily Workforce'!$K196&gt;=2,FALSE())),IF(AND('Daily Schedule'!$A57&gt;=46,'Daily Schedule'!$A57&lt;=52),'Daily Workforce'!$M196="Y",IFERROR(1*'Daily Workforce'!$P196&gt;=2,FALSE()))))),1,0)</f>
        <v>0</v>
      </c>
      <c r="GZ53" s="1" t="n">
        <f aca="false">IF(AND('Daily Workforce'!$N197="Y",'Daily Workforce'!$B197&lt;&gt;"",COUNTIF('Daily Schedule'!$F$5:$F56,'Daily Workforce'!$B197)=0,IF('Daily Schedule'!$A57=45,'Daily Workforce'!$J197="Y",IF(OR('Daily Schedule'!$A57=4,'Daily Schedule'!$A57=8),IF(OR(WEEKDAY('Daily Schedule'!$B$2,2)=1,WEEKDAY('Daily Schedule'!$B$2,2)=4,WEEKDAY('Daily Schedule'!$B$2,2)=5,WEEKDAY('Daily Schedule'!$B$2,2)=7),IFERROR(1*'Daily Workforce'!$K197&gt;=3,FALSE()),IFERROR(1*'Daily Workforce'!$K197&gt;=2,FALSE())),IF(AND('Daily Schedule'!$A57&gt;=46,'Daily Schedule'!$A57&lt;=52),'Daily Workforce'!$M197="Y",IFERROR(1*'Daily Workforce'!$P197&gt;=2,FALSE()))))),1,0)</f>
        <v>0</v>
      </c>
      <c r="HA53" s="1" t="n">
        <f aca="false">IF(AND('Daily Workforce'!$N198="Y",'Daily Workforce'!$B198&lt;&gt;"",COUNTIF('Daily Schedule'!$F$5:$F56,'Daily Workforce'!$B198)=0,IF('Daily Schedule'!$A57=45,'Daily Workforce'!$J198="Y",IF(OR('Daily Schedule'!$A57=4,'Daily Schedule'!$A57=8),IF(OR(WEEKDAY('Daily Schedule'!$B$2,2)=1,WEEKDAY('Daily Schedule'!$B$2,2)=4,WEEKDAY('Daily Schedule'!$B$2,2)=5,WEEKDAY('Daily Schedule'!$B$2,2)=7),IFERROR(1*'Daily Workforce'!$K198&gt;=3,FALSE()),IFERROR(1*'Daily Workforce'!$K198&gt;=2,FALSE())),IF(AND('Daily Schedule'!$A57&gt;=46,'Daily Schedule'!$A57&lt;=52),'Daily Workforce'!$M198="Y",IFERROR(1*'Daily Workforce'!$P198&gt;=2,FALSE()))))),1,0)</f>
        <v>0</v>
      </c>
      <c r="HB53" s="1" t="n">
        <f aca="false">IF(AND('Daily Workforce'!$N199="Y",'Daily Workforce'!$B199&lt;&gt;"",COUNTIF('Daily Schedule'!$F$5:$F56,'Daily Workforce'!$B199)=0,IF('Daily Schedule'!$A57=45,'Daily Workforce'!$J199="Y",IF(OR('Daily Schedule'!$A57=4,'Daily Schedule'!$A57=8),IF(OR(WEEKDAY('Daily Schedule'!$B$2,2)=1,WEEKDAY('Daily Schedule'!$B$2,2)=4,WEEKDAY('Daily Schedule'!$B$2,2)=5,WEEKDAY('Daily Schedule'!$B$2,2)=7),IFERROR(1*'Daily Workforce'!$K199&gt;=3,FALSE()),IFERROR(1*'Daily Workforce'!$K199&gt;=2,FALSE())),IF(AND('Daily Schedule'!$A57&gt;=46,'Daily Schedule'!$A57&lt;=52),'Daily Workforce'!$M199="Y",IFERROR(1*'Daily Workforce'!$P199&gt;=2,FALSE()))))),1,0)</f>
        <v>0</v>
      </c>
      <c r="HC53" s="1" t="n">
        <f aca="false">IF(AND('Daily Workforce'!$N200="Y",'Daily Workforce'!$B200&lt;&gt;"",COUNTIF('Daily Schedule'!$F$5:$F56,'Daily Workforce'!$B200)=0,IF('Daily Schedule'!$A57=45,'Daily Workforce'!$J200="Y",IF(OR('Daily Schedule'!$A57=4,'Daily Schedule'!$A57=8),IF(OR(WEEKDAY('Daily Schedule'!$B$2,2)=1,WEEKDAY('Daily Schedule'!$B$2,2)=4,WEEKDAY('Daily Schedule'!$B$2,2)=5,WEEKDAY('Daily Schedule'!$B$2,2)=7),IFERROR(1*'Daily Workforce'!$K200&gt;=3,FALSE()),IFERROR(1*'Daily Workforce'!$K200&gt;=2,FALSE())),IF(AND('Daily Schedule'!$A57&gt;=46,'Daily Schedule'!$A57&lt;=52),'Daily Workforce'!$M200="Y",IFERROR(1*'Daily Workforce'!$P200&gt;=2,FALSE()))))),1,0)</f>
        <v>0</v>
      </c>
      <c r="HD53" s="1" t="n">
        <f aca="false">IF(AND('Daily Workforce'!$N201="Y",'Daily Workforce'!$B201&lt;&gt;"",COUNTIF('Daily Schedule'!$F$5:$F56,'Daily Workforce'!$B201)=0,IF('Daily Schedule'!$A57=45,'Daily Workforce'!$J201="Y",IF(OR('Daily Schedule'!$A57=4,'Daily Schedule'!$A57=8),IF(OR(WEEKDAY('Daily Schedule'!$B$2,2)=1,WEEKDAY('Daily Schedule'!$B$2,2)=4,WEEKDAY('Daily Schedule'!$B$2,2)=5,WEEKDAY('Daily Schedule'!$B$2,2)=7),IFERROR(1*'Daily Workforce'!$K201&gt;=3,FALSE()),IFERROR(1*'Daily Workforce'!$K201&gt;=2,FALSE())),IF(AND('Daily Schedule'!$A57&gt;=46,'Daily Schedule'!$A57&lt;=52),'Daily Workforce'!$M201="Y",IFERROR(1*'Daily Workforce'!$P201&gt;=2,FALSE()))))),1,0)</f>
        <v>0</v>
      </c>
      <c r="HE53" s="1" t="n">
        <f aca="false">IF(AND('Daily Workforce'!$N202="Y",'Daily Workforce'!$B202&lt;&gt;"",COUNTIF('Daily Schedule'!$F$5:$F56,'Daily Workforce'!$B202)=0,IF('Daily Schedule'!$A57=45,'Daily Workforce'!$J202="Y",IF(OR('Daily Schedule'!$A57=4,'Daily Schedule'!$A57=8),IF(OR(WEEKDAY('Daily Schedule'!$B$2,2)=1,WEEKDAY('Daily Schedule'!$B$2,2)=4,WEEKDAY('Daily Schedule'!$B$2,2)=5,WEEKDAY('Daily Schedule'!$B$2,2)=7),IFERROR(1*'Daily Workforce'!$K202&gt;=3,FALSE()),IFERROR(1*'Daily Workforce'!$K202&gt;=2,FALSE())),IF(AND('Daily Schedule'!$A57&gt;=46,'Daily Schedule'!$A57&lt;=52),'Daily Workforce'!$M202="Y",IFERROR(1*'Daily Workforce'!$P202&gt;=2,FALSE()))))),1,0)</f>
        <v>0</v>
      </c>
      <c r="HF53" s="1" t="n">
        <f aca="false">IF(AND('Daily Workforce'!$N203="Y",'Daily Workforce'!$B203&lt;&gt;"",COUNTIF('Daily Schedule'!$F$5:$F56,'Daily Workforce'!$B203)=0,IF('Daily Schedule'!$A57=45,'Daily Workforce'!$J203="Y",IF(OR('Daily Schedule'!$A57=4,'Daily Schedule'!$A57=8),IF(OR(WEEKDAY('Daily Schedule'!$B$2,2)=1,WEEKDAY('Daily Schedule'!$B$2,2)=4,WEEKDAY('Daily Schedule'!$B$2,2)=5,WEEKDAY('Daily Schedule'!$B$2,2)=7),IFERROR(1*'Daily Workforce'!$K203&gt;=3,FALSE()),IFERROR(1*'Daily Workforce'!$K203&gt;=2,FALSE())),IF(AND('Daily Schedule'!$A57&gt;=46,'Daily Schedule'!$A57&lt;=52),'Daily Workforce'!$M203="Y",IFERROR(1*'Daily Workforce'!$P203&gt;=2,FALSE()))))),1,0)</f>
        <v>0</v>
      </c>
      <c r="HG53" s="1" t="n">
        <f aca="false">IF(AND('Daily Workforce'!$N204="Y",'Daily Workforce'!$B204&lt;&gt;"",COUNTIF('Daily Schedule'!$F$5:$F56,'Daily Workforce'!$B204)=0,IF('Daily Schedule'!$A57=45,'Daily Workforce'!$J204="Y",IF(OR('Daily Schedule'!$A57=4,'Daily Schedule'!$A57=8),IF(OR(WEEKDAY('Daily Schedule'!$B$2,2)=1,WEEKDAY('Daily Schedule'!$B$2,2)=4,WEEKDAY('Daily Schedule'!$B$2,2)=5,WEEKDAY('Daily Schedule'!$B$2,2)=7),IFERROR(1*'Daily Workforce'!$K204&gt;=3,FALSE()),IFERROR(1*'Daily Workforce'!$K204&gt;=2,FALSE())),IF(AND('Daily Schedule'!$A57&gt;=46,'Daily Schedule'!$A57&lt;=52),'Daily Workforce'!$M204="Y",IFERROR(1*'Daily Workforce'!$P204&gt;=2,FALSE()))))),1,0)</f>
        <v>0</v>
      </c>
      <c r="HH53" s="1" t="n">
        <f aca="false">IF(AND('Daily Workforce'!$N205="Y",'Daily Workforce'!$B205&lt;&gt;"",COUNTIF('Daily Schedule'!$F$5:$F56,'Daily Workforce'!$B205)=0,IF('Daily Schedule'!$A57=45,'Daily Workforce'!$J205="Y",IF(OR('Daily Schedule'!$A57=4,'Daily Schedule'!$A57=8),IF(OR(WEEKDAY('Daily Schedule'!$B$2,2)=1,WEEKDAY('Daily Schedule'!$B$2,2)=4,WEEKDAY('Daily Schedule'!$B$2,2)=5,WEEKDAY('Daily Schedule'!$B$2,2)=7),IFERROR(1*'Daily Workforce'!$K205&gt;=3,FALSE()),IFERROR(1*'Daily Workforce'!$K205&gt;=2,FALSE())),IF(AND('Daily Schedule'!$A57&gt;=46,'Daily Schedule'!$A57&lt;=52),'Daily Workforce'!$M205="Y",IFERROR(1*'Daily Workforce'!$P205&gt;=2,FALSE()))))),1,0)</f>
        <v>0</v>
      </c>
    </row>
    <row r="54" customFormat="false" ht="15" hidden="false" customHeight="true" outlineLevel="0" collapsed="false">
      <c r="O54" s="1" t="str">
        <f aca="false">IF(AND('Employee Master'!$G54="Y",ISERROR(SEARCH(TEXT('Daily Workforce'!$B$2,"ddd"),'Employee Master'!$D54)),IF('Daily Workforce'!$E$2="",TRUE(),'Employee Master'!$I54='Daily Workforce'!$E$2)),'Employee Master'!$K54*1000+ROW()-1,"")</f>
        <v/>
      </c>
      <c r="P54" s="1" t="str">
        <f aca="false">IF($O54="","",COUNTIF($O$2:$O$159,"&lt;="&amp;$O54))</f>
        <v/>
      </c>
    </row>
    <row r="55" customFormat="false" ht="15" hidden="false" customHeight="true" outlineLevel="0" collapsed="false">
      <c r="O55" s="1" t="n">
        <f aca="false">IF(AND('Employee Master'!$G55="Y",ISERROR(SEARCH(TEXT('Daily Workforce'!$B$2,"ddd"),'Employee Master'!$D55)),IF('Daily Workforce'!$E$2="",TRUE(),'Employee Master'!$I55='Daily Workforce'!$E$2)),'Employee Master'!$K55*1000+ROW()-1,"")</f>
        <v>1054</v>
      </c>
      <c r="P55" s="1" t="n">
        <f aca="false">IF($O55="","",COUNTIF($O$2:$O$159,"&lt;="&amp;$O55))</f>
        <v>7</v>
      </c>
    </row>
    <row r="56" customFormat="false" ht="15" hidden="false" customHeight="true" outlineLevel="0" collapsed="false">
      <c r="O56" s="1" t="n">
        <f aca="false">IF(AND('Employee Master'!$G56="Y",ISERROR(SEARCH(TEXT('Daily Workforce'!$B$2,"ddd"),'Employee Master'!$D56)),IF('Daily Workforce'!$E$2="",TRUE(),'Employee Master'!$I56='Daily Workforce'!$E$2)),'Employee Master'!$K56*1000+ROW()-1,"")</f>
        <v>3055</v>
      </c>
      <c r="P56" s="1" t="n">
        <f aca="false">IF($O56="","",COUNTIF($O$2:$O$159,"&lt;="&amp;$O56))</f>
        <v>68</v>
      </c>
    </row>
    <row r="57" customFormat="false" ht="15" hidden="false" customHeight="true" outlineLevel="0" collapsed="false">
      <c r="O57" s="1" t="n">
        <f aca="false">IF(AND('Employee Master'!$G57="Y",ISERROR(SEARCH(TEXT('Daily Workforce'!$B$2,"ddd"),'Employee Master'!$D57)),IF('Daily Workforce'!$E$2="",TRUE(),'Employee Master'!$I57='Daily Workforce'!$E$2)),'Employee Master'!$K57*1000+ROW()-1,"")</f>
        <v>3056</v>
      </c>
      <c r="P57" s="1" t="n">
        <f aca="false">IF($O57="","",COUNTIF($O$2:$O$159,"&lt;="&amp;$O57))</f>
        <v>69</v>
      </c>
    </row>
    <row r="58" customFormat="false" ht="15" hidden="false" customHeight="true" outlineLevel="0" collapsed="false">
      <c r="O58" s="1" t="str">
        <f aca="false">IF(AND('Employee Master'!$G58="Y",ISERROR(SEARCH(TEXT('Daily Workforce'!$B$2,"ddd"),'Employee Master'!$D58)),IF('Daily Workforce'!$E$2="",TRUE(),'Employee Master'!$I58='Daily Workforce'!$E$2)),'Employee Master'!$K58*1000+ROW()-1,"")</f>
        <v/>
      </c>
      <c r="P58" s="1" t="str">
        <f aca="false">IF($O58="","",COUNTIF($O$2:$O$159,"&lt;="&amp;$O58))</f>
        <v/>
      </c>
    </row>
    <row r="59" customFormat="false" ht="15" hidden="false" customHeight="true" outlineLevel="0" collapsed="false">
      <c r="O59" s="1" t="n">
        <f aca="false">IF(AND('Employee Master'!$G59="Y",ISERROR(SEARCH(TEXT('Daily Workforce'!$B$2,"ddd"),'Employee Master'!$D59)),IF('Daily Workforce'!$E$2="",TRUE(),'Employee Master'!$I59='Daily Workforce'!$E$2)),'Employee Master'!$K59*1000+ROW()-1,"")</f>
        <v>4058</v>
      </c>
      <c r="P59" s="1" t="n">
        <f aca="false">IF($O59="","",COUNTIF($O$2:$O$159,"&lt;="&amp;$O59))</f>
        <v>89</v>
      </c>
    </row>
    <row r="60" customFormat="false" ht="15" hidden="false" customHeight="true" outlineLevel="0" collapsed="false">
      <c r="O60" s="1" t="n">
        <f aca="false">IF(AND('Employee Master'!$G60="Y",ISERROR(SEARCH(TEXT('Daily Workforce'!$B$2,"ddd"),'Employee Master'!$D60)),IF('Daily Workforce'!$E$2="",TRUE(),'Employee Master'!$I60='Daily Workforce'!$E$2)),'Employee Master'!$K60*1000+ROW()-1,"")</f>
        <v>1059</v>
      </c>
      <c r="P60" s="1" t="n">
        <f aca="false">IF($O60="","",COUNTIF($O$2:$O$159,"&lt;="&amp;$O60))</f>
        <v>8</v>
      </c>
    </row>
    <row r="61" customFormat="false" ht="15" hidden="false" customHeight="true" outlineLevel="0" collapsed="false">
      <c r="O61" s="1" t="n">
        <f aca="false">IF(AND('Employee Master'!$G61="Y",ISERROR(SEARCH(TEXT('Daily Workforce'!$B$2,"ddd"),'Employee Master'!$D61)),IF('Daily Workforce'!$E$2="",TRUE(),'Employee Master'!$I61='Daily Workforce'!$E$2)),'Employee Master'!$K61*1000+ROW()-1,"")</f>
        <v>3060</v>
      </c>
      <c r="P61" s="1" t="n">
        <f aca="false">IF($O61="","",COUNTIF($O$2:$O$159,"&lt;="&amp;$O61))</f>
        <v>70</v>
      </c>
    </row>
    <row r="62" customFormat="false" ht="15" hidden="false" customHeight="true" outlineLevel="0" collapsed="false">
      <c r="O62" s="1" t="n">
        <f aca="false">IF(AND('Employee Master'!$G62="Y",ISERROR(SEARCH(TEXT('Daily Workforce'!$B$2,"ddd"),'Employee Master'!$D62)),IF('Daily Workforce'!$E$2="",TRUE(),'Employee Master'!$I62='Daily Workforce'!$E$2)),'Employee Master'!$K62*1000+ROW()-1,"")</f>
        <v>3061</v>
      </c>
      <c r="P62" s="1" t="n">
        <f aca="false">IF($O62="","",COUNTIF($O$2:$O$159,"&lt;="&amp;$O62))</f>
        <v>71</v>
      </c>
    </row>
    <row r="63" customFormat="false" ht="15" hidden="false" customHeight="true" outlineLevel="0" collapsed="false">
      <c r="O63" s="1" t="n">
        <f aca="false">IF(AND('Employee Master'!$G63="Y",ISERROR(SEARCH(TEXT('Daily Workforce'!$B$2,"ddd"),'Employee Master'!$D63)),IF('Daily Workforce'!$E$2="",TRUE(),'Employee Master'!$I63='Daily Workforce'!$E$2)),'Employee Master'!$K63*1000+ROW()-1,"")</f>
        <v>3062</v>
      </c>
      <c r="P63" s="1" t="n">
        <f aca="false">IF($O63="","",COUNTIF($O$2:$O$159,"&lt;="&amp;$O63))</f>
        <v>72</v>
      </c>
    </row>
    <row r="64" customFormat="false" ht="15" hidden="false" customHeight="true" outlineLevel="0" collapsed="false">
      <c r="O64" s="1" t="n">
        <f aca="false">IF(AND('Employee Master'!$G64="Y",ISERROR(SEARCH(TEXT('Daily Workforce'!$B$2,"ddd"),'Employee Master'!$D64)),IF('Daily Workforce'!$E$2="",TRUE(),'Employee Master'!$I64='Daily Workforce'!$E$2)),'Employee Master'!$K64*1000+ROW()-1,"")</f>
        <v>2063</v>
      </c>
      <c r="P64" s="1" t="n">
        <f aca="false">IF($O64="","",COUNTIF($O$2:$O$159,"&lt;="&amp;$O64))</f>
        <v>31</v>
      </c>
    </row>
    <row r="65" customFormat="false" ht="15" hidden="false" customHeight="true" outlineLevel="0" collapsed="false">
      <c r="O65" s="1" t="str">
        <f aca="false">IF(AND('Employee Master'!$G65="Y",ISERROR(SEARCH(TEXT('Daily Workforce'!$B$2,"ddd"),'Employee Master'!$D65)),IF('Daily Workforce'!$E$2="",TRUE(),'Employee Master'!$I65='Daily Workforce'!$E$2)),'Employee Master'!$K65*1000+ROW()-1,"")</f>
        <v/>
      </c>
      <c r="P65" s="1" t="str">
        <f aca="false">IF($O65="","",COUNTIF($O$2:$O$159,"&lt;="&amp;$O65))</f>
        <v/>
      </c>
    </row>
    <row r="66" customFormat="false" ht="15" hidden="false" customHeight="true" outlineLevel="0" collapsed="false">
      <c r="O66" s="1" t="n">
        <f aca="false">IF(AND('Employee Master'!$G66="Y",ISERROR(SEARCH(TEXT('Daily Workforce'!$B$2,"ddd"),'Employee Master'!$D66)),IF('Daily Workforce'!$E$2="",TRUE(),'Employee Master'!$I66='Daily Workforce'!$E$2)),'Employee Master'!$K66*1000+ROW()-1,"")</f>
        <v>2065</v>
      </c>
      <c r="P66" s="1" t="n">
        <f aca="false">IF($O66="","",COUNTIF($O$2:$O$159,"&lt;="&amp;$O66))</f>
        <v>32</v>
      </c>
    </row>
    <row r="67" customFormat="false" ht="15" hidden="false" customHeight="true" outlineLevel="0" collapsed="false">
      <c r="O67" s="1" t="n">
        <f aca="false">IF(AND('Employee Master'!$G67="Y",ISERROR(SEARCH(TEXT('Daily Workforce'!$B$2,"ddd"),'Employee Master'!$D67)),IF('Daily Workforce'!$E$2="",TRUE(),'Employee Master'!$I67='Daily Workforce'!$E$2)),'Employee Master'!$K67*1000+ROW()-1,"")</f>
        <v>2066</v>
      </c>
      <c r="P67" s="1" t="n">
        <f aca="false">IF($O67="","",COUNTIF($O$2:$O$159,"&lt;="&amp;$O67))</f>
        <v>33</v>
      </c>
    </row>
    <row r="68" customFormat="false" ht="15" hidden="false" customHeight="true" outlineLevel="0" collapsed="false">
      <c r="O68" s="1" t="n">
        <f aca="false">IF(AND('Employee Master'!$G68="Y",ISERROR(SEARCH(TEXT('Daily Workforce'!$B$2,"ddd"),'Employee Master'!$D68)),IF('Daily Workforce'!$E$2="",TRUE(),'Employee Master'!$I68='Daily Workforce'!$E$2)),'Employee Master'!$K68*1000+ROW()-1,"")</f>
        <v>1067</v>
      </c>
      <c r="P68" s="1" t="n">
        <f aca="false">IF($O68="","",COUNTIF($O$2:$O$159,"&lt;="&amp;$O68))</f>
        <v>9</v>
      </c>
    </row>
    <row r="69" customFormat="false" ht="15" hidden="false" customHeight="true" outlineLevel="0" collapsed="false">
      <c r="O69" s="1" t="n">
        <f aca="false">IF(AND('Employee Master'!$G69="Y",ISERROR(SEARCH(TEXT('Daily Workforce'!$B$2,"ddd"),'Employee Master'!$D69)),IF('Daily Workforce'!$E$2="",TRUE(),'Employee Master'!$I69='Daily Workforce'!$E$2)),'Employee Master'!$K69*1000+ROW()-1,"")</f>
        <v>4068</v>
      </c>
      <c r="P69" s="1" t="n">
        <f aca="false">IF($O69="","",COUNTIF($O$2:$O$159,"&lt;="&amp;$O69))</f>
        <v>90</v>
      </c>
    </row>
    <row r="70" customFormat="false" ht="15" hidden="false" customHeight="true" outlineLevel="0" collapsed="false">
      <c r="O70" s="1" t="str">
        <f aca="false">IF(AND('Employee Master'!$G70="Y",ISERROR(SEARCH(TEXT('Daily Workforce'!$B$2,"ddd"),'Employee Master'!$D70)),IF('Daily Workforce'!$E$2="",TRUE(),'Employee Master'!$I70='Daily Workforce'!$E$2)),'Employee Master'!$K70*1000+ROW()-1,"")</f>
        <v/>
      </c>
      <c r="P70" s="1" t="str">
        <f aca="false">IF($O70="","",COUNTIF($O$2:$O$159,"&lt;="&amp;$O70))</f>
        <v/>
      </c>
    </row>
    <row r="71" customFormat="false" ht="15" hidden="false" customHeight="true" outlineLevel="0" collapsed="false">
      <c r="O71" s="1" t="n">
        <f aca="false">IF(AND('Employee Master'!$G71="Y",ISERROR(SEARCH(TEXT('Daily Workforce'!$B$2,"ddd"),'Employee Master'!$D71)),IF('Daily Workforce'!$E$2="",TRUE(),'Employee Master'!$I71='Daily Workforce'!$E$2)),'Employee Master'!$K71*1000+ROW()-1,"")</f>
        <v>2070</v>
      </c>
      <c r="P71" s="1" t="n">
        <f aca="false">IF($O71="","",COUNTIF($O$2:$O$159,"&lt;="&amp;$O71))</f>
        <v>34</v>
      </c>
    </row>
    <row r="72" customFormat="false" ht="15" hidden="false" customHeight="true" outlineLevel="0" collapsed="false">
      <c r="O72" s="1" t="str">
        <f aca="false">IF(AND('Employee Master'!$G72="Y",ISERROR(SEARCH(TEXT('Daily Workforce'!$B$2,"ddd"),'Employee Master'!$D72)),IF('Daily Workforce'!$E$2="",TRUE(),'Employee Master'!$I72='Daily Workforce'!$E$2)),'Employee Master'!$K72*1000+ROW()-1,"")</f>
        <v/>
      </c>
      <c r="P72" s="1" t="str">
        <f aca="false">IF($O72="","",COUNTIF($O$2:$O$159,"&lt;="&amp;$O72))</f>
        <v/>
      </c>
    </row>
    <row r="73" customFormat="false" ht="15" hidden="false" customHeight="true" outlineLevel="0" collapsed="false">
      <c r="O73" s="1" t="n">
        <f aca="false">IF(AND('Employee Master'!$G73="Y",ISERROR(SEARCH(TEXT('Daily Workforce'!$B$2,"ddd"),'Employee Master'!$D73)),IF('Daily Workforce'!$E$2="",TRUE(),'Employee Master'!$I73='Daily Workforce'!$E$2)),'Employee Master'!$K73*1000+ROW()-1,"")</f>
        <v>3072</v>
      </c>
      <c r="P73" s="1" t="n">
        <f aca="false">IF($O73="","",COUNTIF($O$2:$O$159,"&lt;="&amp;$O73))</f>
        <v>73</v>
      </c>
    </row>
    <row r="74" customFormat="false" ht="15" hidden="false" customHeight="true" outlineLevel="0" collapsed="false">
      <c r="O74" s="1" t="n">
        <f aca="false">IF(AND('Employee Master'!$G74="Y",ISERROR(SEARCH(TEXT('Daily Workforce'!$B$2,"ddd"),'Employee Master'!$D74)),IF('Daily Workforce'!$E$2="",TRUE(),'Employee Master'!$I74='Daily Workforce'!$E$2)),'Employee Master'!$K74*1000+ROW()-1,"")</f>
        <v>2073</v>
      </c>
      <c r="P74" s="1" t="n">
        <f aca="false">IF($O74="","",COUNTIF($O$2:$O$159,"&lt;="&amp;$O74))</f>
        <v>35</v>
      </c>
    </row>
    <row r="75" customFormat="false" ht="15" hidden="false" customHeight="true" outlineLevel="0" collapsed="false">
      <c r="O75" s="1" t="n">
        <f aca="false">IF(AND('Employee Master'!$G75="Y",ISERROR(SEARCH(TEXT('Daily Workforce'!$B$2,"ddd"),'Employee Master'!$D75)),IF('Daily Workforce'!$E$2="",TRUE(),'Employee Master'!$I75='Daily Workforce'!$E$2)),'Employee Master'!$K75*1000+ROW()-1,"")</f>
        <v>2074</v>
      </c>
      <c r="P75" s="1" t="n">
        <f aca="false">IF($O75="","",COUNTIF($O$2:$O$159,"&lt;="&amp;$O75))</f>
        <v>36</v>
      </c>
    </row>
    <row r="76" customFormat="false" ht="15" hidden="false" customHeight="true" outlineLevel="0" collapsed="false">
      <c r="O76" s="1" t="str">
        <f aca="false">IF(AND('Employee Master'!$G76="Y",ISERROR(SEARCH(TEXT('Daily Workforce'!$B$2,"ddd"),'Employee Master'!$D76)),IF('Daily Workforce'!$E$2="",TRUE(),'Employee Master'!$I76='Daily Workforce'!$E$2)),'Employee Master'!$K76*1000+ROW()-1,"")</f>
        <v/>
      </c>
      <c r="P76" s="1" t="str">
        <f aca="false">IF($O76="","",COUNTIF($O$2:$O$159,"&lt;="&amp;$O76))</f>
        <v/>
      </c>
    </row>
    <row r="77" customFormat="false" ht="15" hidden="false" customHeight="true" outlineLevel="0" collapsed="false">
      <c r="O77" s="1" t="n">
        <f aca="false">IF(AND('Employee Master'!$G77="Y",ISERROR(SEARCH(TEXT('Daily Workforce'!$B$2,"ddd"),'Employee Master'!$D77)),IF('Daily Workforce'!$E$2="",TRUE(),'Employee Master'!$I77='Daily Workforce'!$E$2)),'Employee Master'!$K77*1000+ROW()-1,"")</f>
        <v>2076</v>
      </c>
      <c r="P77" s="1" t="n">
        <f aca="false">IF($O77="","",COUNTIF($O$2:$O$159,"&lt;="&amp;$O77))</f>
        <v>37</v>
      </c>
    </row>
    <row r="78" customFormat="false" ht="15" hidden="false" customHeight="true" outlineLevel="0" collapsed="false">
      <c r="O78" s="1" t="str">
        <f aca="false">IF(AND('Employee Master'!$G78="Y",ISERROR(SEARCH(TEXT('Daily Workforce'!$B$2,"ddd"),'Employee Master'!$D78)),IF('Daily Workforce'!$E$2="",TRUE(),'Employee Master'!$I78='Daily Workforce'!$E$2)),'Employee Master'!$K78*1000+ROW()-1,"")</f>
        <v/>
      </c>
      <c r="P78" s="1" t="str">
        <f aca="false">IF($O78="","",COUNTIF($O$2:$O$159,"&lt;="&amp;$O78))</f>
        <v/>
      </c>
    </row>
    <row r="79" customFormat="false" ht="15" hidden="false" customHeight="true" outlineLevel="0" collapsed="false">
      <c r="O79" s="1" t="n">
        <f aca="false">IF(AND('Employee Master'!$G79="Y",ISERROR(SEARCH(TEXT('Daily Workforce'!$B$2,"ddd"),'Employee Master'!$D79)),IF('Daily Workforce'!$E$2="",TRUE(),'Employee Master'!$I79='Daily Workforce'!$E$2)),'Employee Master'!$K79*1000+ROW()-1,"")</f>
        <v>3078</v>
      </c>
      <c r="P79" s="1" t="n">
        <f aca="false">IF($O79="","",COUNTIF($O$2:$O$159,"&lt;="&amp;$O79))</f>
        <v>74</v>
      </c>
    </row>
    <row r="80" customFormat="false" ht="15" hidden="false" customHeight="true" outlineLevel="0" collapsed="false">
      <c r="O80" s="1" t="str">
        <f aca="false">IF(AND('Employee Master'!$G80="Y",ISERROR(SEARCH(TEXT('Daily Workforce'!$B$2,"ddd"),'Employee Master'!$D80)),IF('Daily Workforce'!$E$2="",TRUE(),'Employee Master'!$I80='Daily Workforce'!$E$2)),'Employee Master'!$K80*1000+ROW()-1,"")</f>
        <v/>
      </c>
      <c r="P80" s="1" t="str">
        <f aca="false">IF($O80="","",COUNTIF($O$2:$O$159,"&lt;="&amp;$O80))</f>
        <v/>
      </c>
    </row>
    <row r="81" customFormat="false" ht="15" hidden="false" customHeight="true" outlineLevel="0" collapsed="false">
      <c r="O81" s="1" t="n">
        <f aca="false">IF(AND('Employee Master'!$G81="Y",ISERROR(SEARCH(TEXT('Daily Workforce'!$B$2,"ddd"),'Employee Master'!$D81)),IF('Daily Workforce'!$E$2="",TRUE(),'Employee Master'!$I81='Daily Workforce'!$E$2)),'Employee Master'!$K81*1000+ROW()-1,"")</f>
        <v>4080</v>
      </c>
      <c r="P81" s="1" t="n">
        <f aca="false">IF($O81="","",COUNTIF($O$2:$O$159,"&lt;="&amp;$O81))</f>
        <v>91</v>
      </c>
    </row>
    <row r="82" customFormat="false" ht="15" hidden="false" customHeight="true" outlineLevel="0" collapsed="false">
      <c r="O82" s="1" t="n">
        <f aca="false">IF(AND('Employee Master'!$G82="Y",ISERROR(SEARCH(TEXT('Daily Workforce'!$B$2,"ddd"),'Employee Master'!$D82)),IF('Daily Workforce'!$E$2="",TRUE(),'Employee Master'!$I82='Daily Workforce'!$E$2)),'Employee Master'!$K82*1000+ROW()-1,"")</f>
        <v>1081</v>
      </c>
      <c r="P82" s="1" t="n">
        <f aca="false">IF($O82="","",COUNTIF($O$2:$O$159,"&lt;="&amp;$O82))</f>
        <v>10</v>
      </c>
    </row>
    <row r="83" customFormat="false" ht="15" hidden="false" customHeight="true" outlineLevel="0" collapsed="false">
      <c r="O83" s="1" t="n">
        <f aca="false">IF(AND('Employee Master'!$G83="Y",ISERROR(SEARCH(TEXT('Daily Workforce'!$B$2,"ddd"),'Employee Master'!$D83)),IF('Daily Workforce'!$E$2="",TRUE(),'Employee Master'!$I83='Daily Workforce'!$E$2)),'Employee Master'!$K83*1000+ROW()-1,"")</f>
        <v>1082</v>
      </c>
      <c r="P83" s="1" t="n">
        <f aca="false">IF($O83="","",COUNTIF($O$2:$O$159,"&lt;="&amp;$O83))</f>
        <v>11</v>
      </c>
    </row>
    <row r="84" customFormat="false" ht="15" hidden="false" customHeight="true" outlineLevel="0" collapsed="false">
      <c r="O84" s="1" t="str">
        <f aca="false">IF(AND('Employee Master'!$G84="Y",ISERROR(SEARCH(TEXT('Daily Workforce'!$B$2,"ddd"),'Employee Master'!$D84)),IF('Daily Workforce'!$E$2="",TRUE(),'Employee Master'!$I84='Daily Workforce'!$E$2)),'Employee Master'!$K84*1000+ROW()-1,"")</f>
        <v/>
      </c>
      <c r="P84" s="1" t="str">
        <f aca="false">IF($O84="","",COUNTIF($O$2:$O$159,"&lt;="&amp;$O84))</f>
        <v/>
      </c>
    </row>
    <row r="85" customFormat="false" ht="15" hidden="false" customHeight="true" outlineLevel="0" collapsed="false">
      <c r="O85" s="1" t="n">
        <f aca="false">IF(AND('Employee Master'!$G85="Y",ISERROR(SEARCH(TEXT('Daily Workforce'!$B$2,"ddd"),'Employee Master'!$D85)),IF('Daily Workforce'!$E$2="",TRUE(),'Employee Master'!$I85='Daily Workforce'!$E$2)),'Employee Master'!$K85*1000+ROW()-1,"")</f>
        <v>4084</v>
      </c>
      <c r="P85" s="1" t="n">
        <f aca="false">IF($O85="","",COUNTIF($O$2:$O$159,"&lt;="&amp;$O85))</f>
        <v>92</v>
      </c>
    </row>
    <row r="86" customFormat="false" ht="15" hidden="false" customHeight="true" outlineLevel="0" collapsed="false">
      <c r="O86" s="1" t="n">
        <f aca="false">IF(AND('Employee Master'!$G86="Y",ISERROR(SEARCH(TEXT('Daily Workforce'!$B$2,"ddd"),'Employee Master'!$D86)),IF('Daily Workforce'!$E$2="",TRUE(),'Employee Master'!$I86='Daily Workforce'!$E$2)),'Employee Master'!$K86*1000+ROW()-1,"")</f>
        <v>5085</v>
      </c>
      <c r="P86" s="1" t="n">
        <f aca="false">IF($O86="","",COUNTIF($O$2:$O$159,"&lt;="&amp;$O86))</f>
        <v>108</v>
      </c>
    </row>
    <row r="87" customFormat="false" ht="15" hidden="false" customHeight="true" outlineLevel="0" collapsed="false">
      <c r="O87" s="1" t="n">
        <f aca="false">IF(AND('Employee Master'!$G87="Y",ISERROR(SEARCH(TEXT('Daily Workforce'!$B$2,"ddd"),'Employee Master'!$D87)),IF('Daily Workforce'!$E$2="",TRUE(),'Employee Master'!$I87='Daily Workforce'!$E$2)),'Employee Master'!$K87*1000+ROW()-1,"")</f>
        <v>2086</v>
      </c>
      <c r="P87" s="1" t="n">
        <f aca="false">IF($O87="","",COUNTIF($O$2:$O$159,"&lt;="&amp;$O87))</f>
        <v>38</v>
      </c>
    </row>
    <row r="88" customFormat="false" ht="15" hidden="false" customHeight="true" outlineLevel="0" collapsed="false">
      <c r="O88" s="1" t="n">
        <f aca="false">IF(AND('Employee Master'!$G88="Y",ISERROR(SEARCH(TEXT('Daily Workforce'!$B$2,"ddd"),'Employee Master'!$D88)),IF('Daily Workforce'!$E$2="",TRUE(),'Employee Master'!$I88='Daily Workforce'!$E$2)),'Employee Master'!$K88*1000+ROW()-1,"")</f>
        <v>1087</v>
      </c>
      <c r="P88" s="1" t="n">
        <f aca="false">IF($O88="","",COUNTIF($O$2:$O$159,"&lt;="&amp;$O88))</f>
        <v>12</v>
      </c>
    </row>
    <row r="89" customFormat="false" ht="15" hidden="false" customHeight="true" outlineLevel="0" collapsed="false">
      <c r="O89" s="1" t="n">
        <f aca="false">IF(AND('Employee Master'!$G89="Y",ISERROR(SEARCH(TEXT('Daily Workforce'!$B$2,"ddd"),'Employee Master'!$D89)),IF('Daily Workforce'!$E$2="",TRUE(),'Employee Master'!$I89='Daily Workforce'!$E$2)),'Employee Master'!$K89*1000+ROW()-1,"")</f>
        <v>2088</v>
      </c>
      <c r="P89" s="1" t="n">
        <f aca="false">IF($O89="","",COUNTIF($O$2:$O$159,"&lt;="&amp;$O89))</f>
        <v>39</v>
      </c>
    </row>
    <row r="90" customFormat="false" ht="15" hidden="false" customHeight="true" outlineLevel="0" collapsed="false">
      <c r="O90" s="1" t="str">
        <f aca="false">IF(AND('Employee Master'!$G90="Y",ISERROR(SEARCH(TEXT('Daily Workforce'!$B$2,"ddd"),'Employee Master'!$D90)),IF('Daily Workforce'!$E$2="",TRUE(),'Employee Master'!$I90='Daily Workforce'!$E$2)),'Employee Master'!$K90*1000+ROW()-1,"")</f>
        <v/>
      </c>
      <c r="P90" s="1" t="str">
        <f aca="false">IF($O90="","",COUNTIF($O$2:$O$159,"&lt;="&amp;$O90))</f>
        <v/>
      </c>
    </row>
    <row r="91" customFormat="false" ht="15" hidden="false" customHeight="true" outlineLevel="0" collapsed="false">
      <c r="O91" s="1" t="n">
        <f aca="false">IF(AND('Employee Master'!$G91="Y",ISERROR(SEARCH(TEXT('Daily Workforce'!$B$2,"ddd"),'Employee Master'!$D91)),IF('Daily Workforce'!$E$2="",TRUE(),'Employee Master'!$I91='Daily Workforce'!$E$2)),'Employee Master'!$K91*1000+ROW()-1,"")</f>
        <v>4090</v>
      </c>
      <c r="P91" s="1" t="n">
        <f aca="false">IF($O91="","",COUNTIF($O$2:$O$159,"&lt;="&amp;$O91))</f>
        <v>93</v>
      </c>
    </row>
    <row r="92" customFormat="false" ht="15" hidden="false" customHeight="true" outlineLevel="0" collapsed="false">
      <c r="O92" s="1" t="n">
        <f aca="false">IF(AND('Employee Master'!$G92="Y",ISERROR(SEARCH(TEXT('Daily Workforce'!$B$2,"ddd"),'Employee Master'!$D92)),IF('Daily Workforce'!$E$2="",TRUE(),'Employee Master'!$I92='Daily Workforce'!$E$2)),'Employee Master'!$K92*1000+ROW()-1,"")</f>
        <v>1091</v>
      </c>
      <c r="P92" s="1" t="n">
        <f aca="false">IF($O92="","",COUNTIF($O$2:$O$159,"&lt;="&amp;$O92))</f>
        <v>13</v>
      </c>
    </row>
    <row r="93" customFormat="false" ht="15" hidden="false" customHeight="true" outlineLevel="0" collapsed="false">
      <c r="O93" s="1" t="n">
        <f aca="false">IF(AND('Employee Master'!$G93="Y",ISERROR(SEARCH(TEXT('Daily Workforce'!$B$2,"ddd"),'Employee Master'!$D93)),IF('Daily Workforce'!$E$2="",TRUE(),'Employee Master'!$I93='Daily Workforce'!$E$2)),'Employee Master'!$K93*1000+ROW()-1,"")</f>
        <v>5092</v>
      </c>
      <c r="P93" s="1" t="n">
        <f aca="false">IF($O93="","",COUNTIF($O$2:$O$159,"&lt;="&amp;$O93))</f>
        <v>109</v>
      </c>
    </row>
    <row r="94" customFormat="false" ht="15" hidden="false" customHeight="true" outlineLevel="0" collapsed="false">
      <c r="O94" s="1" t="str">
        <f aca="false">IF(AND('Employee Master'!$G94="Y",ISERROR(SEARCH(TEXT('Daily Workforce'!$B$2,"ddd"),'Employee Master'!$D94)),IF('Daily Workforce'!$E$2="",TRUE(),'Employee Master'!$I94='Daily Workforce'!$E$2)),'Employee Master'!$K94*1000+ROW()-1,"")</f>
        <v/>
      </c>
      <c r="P94" s="1" t="str">
        <f aca="false">IF($O94="","",COUNTIF($O$2:$O$159,"&lt;="&amp;$O94))</f>
        <v/>
      </c>
    </row>
    <row r="95" customFormat="false" ht="15" hidden="false" customHeight="true" outlineLevel="0" collapsed="false">
      <c r="O95" s="1" t="n">
        <f aca="false">IF(AND('Employee Master'!$G95="Y",ISERROR(SEARCH(TEXT('Daily Workforce'!$B$2,"ddd"),'Employee Master'!$D95)),IF('Daily Workforce'!$E$2="",TRUE(),'Employee Master'!$I95='Daily Workforce'!$E$2)),'Employee Master'!$K95*1000+ROW()-1,"")</f>
        <v>1094</v>
      </c>
      <c r="P95" s="1" t="n">
        <f aca="false">IF($O95="","",COUNTIF($O$2:$O$159,"&lt;="&amp;$O95))</f>
        <v>14</v>
      </c>
    </row>
    <row r="96" customFormat="false" ht="15" hidden="false" customHeight="true" outlineLevel="0" collapsed="false">
      <c r="O96" s="1" t="n">
        <f aca="false">IF(AND('Employee Master'!$G96="Y",ISERROR(SEARCH(TEXT('Daily Workforce'!$B$2,"ddd"),'Employee Master'!$D96)),IF('Daily Workforce'!$E$2="",TRUE(),'Employee Master'!$I96='Daily Workforce'!$E$2)),'Employee Master'!$K96*1000+ROW()-1,"")</f>
        <v>2095</v>
      </c>
      <c r="P96" s="1" t="n">
        <f aca="false">IF($O96="","",COUNTIF($O$2:$O$159,"&lt;="&amp;$O96))</f>
        <v>40</v>
      </c>
    </row>
    <row r="97" customFormat="false" ht="15" hidden="false" customHeight="true" outlineLevel="0" collapsed="false">
      <c r="O97" s="1" t="str">
        <f aca="false">IF(AND('Employee Master'!$G97="Y",ISERROR(SEARCH(TEXT('Daily Workforce'!$B$2,"ddd"),'Employee Master'!$D97)),IF('Daily Workforce'!$E$2="",TRUE(),'Employee Master'!$I97='Daily Workforce'!$E$2)),'Employee Master'!$K97*1000+ROW()-1,"")</f>
        <v/>
      </c>
      <c r="P97" s="1" t="str">
        <f aca="false">IF($O97="","",COUNTIF($O$2:$O$159,"&lt;="&amp;$O97))</f>
        <v/>
      </c>
    </row>
    <row r="98" customFormat="false" ht="15" hidden="false" customHeight="true" outlineLevel="0" collapsed="false">
      <c r="O98" s="1" t="n">
        <f aca="false">IF(AND('Employee Master'!$G98="Y",ISERROR(SEARCH(TEXT('Daily Workforce'!$B$2,"ddd"),'Employee Master'!$D98)),IF('Daily Workforce'!$E$2="",TRUE(),'Employee Master'!$I98='Daily Workforce'!$E$2)),'Employee Master'!$K98*1000+ROW()-1,"")</f>
        <v>3097</v>
      </c>
      <c r="P98" s="1" t="n">
        <f aca="false">IF($O98="","",COUNTIF($O$2:$O$159,"&lt;="&amp;$O98))</f>
        <v>75</v>
      </c>
    </row>
    <row r="99" customFormat="false" ht="15" hidden="false" customHeight="true" outlineLevel="0" collapsed="false">
      <c r="O99" s="1" t="n">
        <f aca="false">IF(AND('Employee Master'!$G99="Y",ISERROR(SEARCH(TEXT('Daily Workforce'!$B$2,"ddd"),'Employee Master'!$D99)),IF('Daily Workforce'!$E$2="",TRUE(),'Employee Master'!$I99='Daily Workforce'!$E$2)),'Employee Master'!$K99*1000+ROW()-1,"")</f>
        <v>2098</v>
      </c>
      <c r="P99" s="1" t="n">
        <f aca="false">IF($O99="","",COUNTIF($O$2:$O$159,"&lt;="&amp;$O99))</f>
        <v>41</v>
      </c>
    </row>
    <row r="100" customFormat="false" ht="15" hidden="false" customHeight="true" outlineLevel="0" collapsed="false">
      <c r="O100" s="1" t="n">
        <f aca="false">IF(AND('Employee Master'!$G100="Y",ISERROR(SEARCH(TEXT('Daily Workforce'!$B$2,"ddd"),'Employee Master'!$D100)),IF('Daily Workforce'!$E$2="",TRUE(),'Employee Master'!$I100='Daily Workforce'!$E$2)),'Employee Master'!$K100*1000+ROW()-1,"")</f>
        <v>2099</v>
      </c>
      <c r="P100" s="1" t="n">
        <f aca="false">IF($O100="","",COUNTIF($O$2:$O$159,"&lt;="&amp;$O100))</f>
        <v>42</v>
      </c>
    </row>
    <row r="101" customFormat="false" ht="15" hidden="false" customHeight="true" outlineLevel="0" collapsed="false">
      <c r="O101" s="1" t="n">
        <f aca="false">IF(AND('Employee Master'!$G101="Y",ISERROR(SEARCH(TEXT('Daily Workforce'!$B$2,"ddd"),'Employee Master'!$D101)),IF('Daily Workforce'!$E$2="",TRUE(),'Employee Master'!$I101='Daily Workforce'!$E$2)),'Employee Master'!$K101*1000+ROW()-1,"")</f>
        <v>2100</v>
      </c>
      <c r="P101" s="1" t="n">
        <f aca="false">IF($O101="","",COUNTIF($O$2:$O$159,"&lt;="&amp;$O101))</f>
        <v>43</v>
      </c>
    </row>
    <row r="102" customFormat="false" ht="15" hidden="false" customHeight="true" outlineLevel="0" collapsed="false">
      <c r="O102" s="1" t="n">
        <f aca="false">IF(AND('Employee Master'!$G102="Y",ISERROR(SEARCH(TEXT('Daily Workforce'!$B$2,"ddd"),'Employee Master'!$D102)),IF('Daily Workforce'!$E$2="",TRUE(),'Employee Master'!$I102='Daily Workforce'!$E$2)),'Employee Master'!$K102*1000+ROW()-1,"")</f>
        <v>5101</v>
      </c>
      <c r="P102" s="1" t="n">
        <f aca="false">IF($O102="","",COUNTIF($O$2:$O$159,"&lt;="&amp;$O102))</f>
        <v>110</v>
      </c>
    </row>
    <row r="103" customFormat="false" ht="15" hidden="false" customHeight="true" outlineLevel="0" collapsed="false">
      <c r="O103" s="1" t="n">
        <f aca="false">IF(AND('Employee Master'!$G103="Y",ISERROR(SEARCH(TEXT('Daily Workforce'!$B$2,"ddd"),'Employee Master'!$D103)),IF('Daily Workforce'!$E$2="",TRUE(),'Employee Master'!$I103='Daily Workforce'!$E$2)),'Employee Master'!$K103*1000+ROW()-1,"")</f>
        <v>1102</v>
      </c>
      <c r="P103" s="1" t="n">
        <f aca="false">IF($O103="","",COUNTIF($O$2:$O$159,"&lt;="&amp;$O103))</f>
        <v>15</v>
      </c>
    </row>
    <row r="104" customFormat="false" ht="15" hidden="false" customHeight="true" outlineLevel="0" collapsed="false">
      <c r="O104" s="1" t="str">
        <f aca="false">IF(AND('Employee Master'!$G104="Y",ISERROR(SEARCH(TEXT('Daily Workforce'!$B$2,"ddd"),'Employee Master'!$D104)),IF('Daily Workforce'!$E$2="",TRUE(),'Employee Master'!$I104='Daily Workforce'!$E$2)),'Employee Master'!$K104*1000+ROW()-1,"")</f>
        <v/>
      </c>
      <c r="P104" s="1" t="str">
        <f aca="false">IF($O104="","",COUNTIF($O$2:$O$159,"&lt;="&amp;$O104))</f>
        <v/>
      </c>
    </row>
    <row r="105" customFormat="false" ht="15" hidden="false" customHeight="true" outlineLevel="0" collapsed="false">
      <c r="O105" s="1" t="str">
        <f aca="false">IF(AND('Employee Master'!$G105="Y",ISERROR(SEARCH(TEXT('Daily Workforce'!$B$2,"ddd"),'Employee Master'!$D105)),IF('Daily Workforce'!$E$2="",TRUE(),'Employee Master'!$I105='Daily Workforce'!$E$2)),'Employee Master'!$K105*1000+ROW()-1,"")</f>
        <v/>
      </c>
      <c r="P105" s="1" t="str">
        <f aca="false">IF($O105="","",COUNTIF($O$2:$O$159,"&lt;="&amp;$O105))</f>
        <v/>
      </c>
    </row>
    <row r="106" customFormat="false" ht="15" hidden="false" customHeight="true" outlineLevel="0" collapsed="false">
      <c r="O106" s="1" t="n">
        <f aca="false">IF(AND('Employee Master'!$G106="Y",ISERROR(SEARCH(TEXT('Daily Workforce'!$B$2,"ddd"),'Employee Master'!$D106)),IF('Daily Workforce'!$E$2="",TRUE(),'Employee Master'!$I106='Daily Workforce'!$E$2)),'Employee Master'!$K106*1000+ROW()-1,"")</f>
        <v>2105</v>
      </c>
      <c r="P106" s="1" t="n">
        <f aca="false">IF($O106="","",COUNTIF($O$2:$O$159,"&lt;="&amp;$O106))</f>
        <v>44</v>
      </c>
    </row>
    <row r="107" customFormat="false" ht="15" hidden="false" customHeight="true" outlineLevel="0" collapsed="false">
      <c r="O107" s="1" t="str">
        <f aca="false">IF(AND('Employee Master'!$G107="Y",ISERROR(SEARCH(TEXT('Daily Workforce'!$B$2,"ddd"),'Employee Master'!$D107)),IF('Daily Workforce'!$E$2="",TRUE(),'Employee Master'!$I107='Daily Workforce'!$E$2)),'Employee Master'!$K107*1000+ROW()-1,"")</f>
        <v/>
      </c>
      <c r="P107" s="1" t="str">
        <f aca="false">IF($O107="","",COUNTIF($O$2:$O$159,"&lt;="&amp;$O107))</f>
        <v/>
      </c>
    </row>
    <row r="108" customFormat="false" ht="15" hidden="false" customHeight="true" outlineLevel="0" collapsed="false">
      <c r="O108" s="1" t="n">
        <f aca="false">IF(AND('Employee Master'!$G108="Y",ISERROR(SEARCH(TEXT('Daily Workforce'!$B$2,"ddd"),'Employee Master'!$D108)),IF('Daily Workforce'!$E$2="",TRUE(),'Employee Master'!$I108='Daily Workforce'!$E$2)),'Employee Master'!$K108*1000+ROW()-1,"")</f>
        <v>1107</v>
      </c>
      <c r="P108" s="1" t="n">
        <f aca="false">IF($O108="","",COUNTIF($O$2:$O$159,"&lt;="&amp;$O108))</f>
        <v>16</v>
      </c>
    </row>
    <row r="109" customFormat="false" ht="15" hidden="false" customHeight="true" outlineLevel="0" collapsed="false">
      <c r="O109" s="1" t="str">
        <f aca="false">IF(AND('Employee Master'!$G109="Y",ISERROR(SEARCH(TEXT('Daily Workforce'!$B$2,"ddd"),'Employee Master'!$D109)),IF('Daily Workforce'!$E$2="",TRUE(),'Employee Master'!$I109='Daily Workforce'!$E$2)),'Employee Master'!$K109*1000+ROW()-1,"")</f>
        <v/>
      </c>
      <c r="P109" s="1" t="str">
        <f aca="false">IF($O109="","",COUNTIF($O$2:$O$159,"&lt;="&amp;$O109))</f>
        <v/>
      </c>
    </row>
    <row r="110" customFormat="false" ht="15" hidden="false" customHeight="true" outlineLevel="0" collapsed="false">
      <c r="O110" s="1" t="str">
        <f aca="false">IF(AND('Employee Master'!$G110="Y",ISERROR(SEARCH(TEXT('Daily Workforce'!$B$2,"ddd"),'Employee Master'!$D110)),IF('Daily Workforce'!$E$2="",TRUE(),'Employee Master'!$I110='Daily Workforce'!$E$2)),'Employee Master'!$K110*1000+ROW()-1,"")</f>
        <v/>
      </c>
      <c r="P110" s="1" t="str">
        <f aca="false">IF($O110="","",COUNTIF($O$2:$O$159,"&lt;="&amp;$O110))</f>
        <v/>
      </c>
    </row>
    <row r="111" customFormat="false" ht="15" hidden="false" customHeight="true" outlineLevel="0" collapsed="false">
      <c r="O111" s="1" t="str">
        <f aca="false">IF(AND('Employee Master'!$G111="Y",ISERROR(SEARCH(TEXT('Daily Workforce'!$B$2,"ddd"),'Employee Master'!$D111)),IF('Daily Workforce'!$E$2="",TRUE(),'Employee Master'!$I111='Daily Workforce'!$E$2)),'Employee Master'!$K111*1000+ROW()-1,"")</f>
        <v/>
      </c>
      <c r="P111" s="1" t="str">
        <f aca="false">IF($O111="","",COUNTIF($O$2:$O$159,"&lt;="&amp;$O111))</f>
        <v/>
      </c>
    </row>
    <row r="112" customFormat="false" ht="15" hidden="false" customHeight="true" outlineLevel="0" collapsed="false">
      <c r="O112" s="1" t="str">
        <f aca="false">IF(AND('Employee Master'!$G112="Y",ISERROR(SEARCH(TEXT('Daily Workforce'!$B$2,"ddd"),'Employee Master'!$D112)),IF('Daily Workforce'!$E$2="",TRUE(),'Employee Master'!$I112='Daily Workforce'!$E$2)),'Employee Master'!$K112*1000+ROW()-1,"")</f>
        <v/>
      </c>
      <c r="P112" s="1" t="str">
        <f aca="false">IF($O112="","",COUNTIF($O$2:$O$159,"&lt;="&amp;$O112))</f>
        <v/>
      </c>
    </row>
    <row r="113" customFormat="false" ht="15" hidden="false" customHeight="true" outlineLevel="0" collapsed="false">
      <c r="O113" s="1" t="n">
        <f aca="false">IF(AND('Employee Master'!$G113="Y",ISERROR(SEARCH(TEXT('Daily Workforce'!$B$2,"ddd"),'Employee Master'!$D113)),IF('Daily Workforce'!$E$2="",TRUE(),'Employee Master'!$I113='Daily Workforce'!$E$2)),'Employee Master'!$K113*1000+ROW()-1,"")</f>
        <v>1112</v>
      </c>
      <c r="P113" s="1" t="n">
        <f aca="false">IF($O113="","",COUNTIF($O$2:$O$159,"&lt;="&amp;$O113))</f>
        <v>17</v>
      </c>
    </row>
    <row r="114" customFormat="false" ht="15" hidden="false" customHeight="true" outlineLevel="0" collapsed="false">
      <c r="O114" s="1" t="str">
        <f aca="false">IF(AND('Employee Master'!$G114="Y",ISERROR(SEARCH(TEXT('Daily Workforce'!$B$2,"ddd"),'Employee Master'!$D114)),IF('Daily Workforce'!$E$2="",TRUE(),'Employee Master'!$I114='Daily Workforce'!$E$2)),'Employee Master'!$K114*1000+ROW()-1,"")</f>
        <v/>
      </c>
      <c r="P114" s="1" t="str">
        <f aca="false">IF($O114="","",COUNTIF($O$2:$O$159,"&lt;="&amp;$O114))</f>
        <v/>
      </c>
    </row>
    <row r="115" customFormat="false" ht="15" hidden="false" customHeight="true" outlineLevel="0" collapsed="false">
      <c r="O115" s="1" t="n">
        <f aca="false">IF(AND('Employee Master'!$G115="Y",ISERROR(SEARCH(TEXT('Daily Workforce'!$B$2,"ddd"),'Employee Master'!$D115)),IF('Daily Workforce'!$E$2="",TRUE(),'Employee Master'!$I115='Daily Workforce'!$E$2)),'Employee Master'!$K115*1000+ROW()-1,"")</f>
        <v>3114</v>
      </c>
      <c r="P115" s="1" t="n">
        <f aca="false">IF($O115="","",COUNTIF($O$2:$O$159,"&lt;="&amp;$O115))</f>
        <v>76</v>
      </c>
    </row>
    <row r="116" customFormat="false" ht="15" hidden="false" customHeight="true" outlineLevel="0" collapsed="false">
      <c r="O116" s="1" t="n">
        <f aca="false">IF(AND('Employee Master'!$G116="Y",ISERROR(SEARCH(TEXT('Daily Workforce'!$B$2,"ddd"),'Employee Master'!$D116)),IF('Daily Workforce'!$E$2="",TRUE(),'Employee Master'!$I116='Daily Workforce'!$E$2)),'Employee Master'!$K116*1000+ROW()-1,"")</f>
        <v>4115</v>
      </c>
      <c r="P116" s="1" t="n">
        <f aca="false">IF($O116="","",COUNTIF($O$2:$O$159,"&lt;="&amp;$O116))</f>
        <v>94</v>
      </c>
    </row>
    <row r="117" customFormat="false" ht="15" hidden="false" customHeight="true" outlineLevel="0" collapsed="false">
      <c r="O117" s="1" t="n">
        <f aca="false">IF(AND('Employee Master'!$G117="Y",ISERROR(SEARCH(TEXT('Daily Workforce'!$B$2,"ddd"),'Employee Master'!$D117)),IF('Daily Workforce'!$E$2="",TRUE(),'Employee Master'!$I117='Daily Workforce'!$E$2)),'Employee Master'!$K117*1000+ROW()-1,"")</f>
        <v>1116</v>
      </c>
      <c r="P117" s="1" t="n">
        <f aca="false">IF($O117="","",COUNTIF($O$2:$O$159,"&lt;="&amp;$O117))</f>
        <v>18</v>
      </c>
    </row>
    <row r="118" customFormat="false" ht="15" hidden="false" customHeight="true" outlineLevel="0" collapsed="false">
      <c r="O118" s="1" t="n">
        <f aca="false">IF(AND('Employee Master'!$G118="Y",ISERROR(SEARCH(TEXT('Daily Workforce'!$B$2,"ddd"),'Employee Master'!$D118)),IF('Daily Workforce'!$E$2="",TRUE(),'Employee Master'!$I118='Daily Workforce'!$E$2)),'Employee Master'!$K118*1000+ROW()-1,"")</f>
        <v>4117</v>
      </c>
      <c r="P118" s="1" t="n">
        <f aca="false">IF($O118="","",COUNTIF($O$2:$O$159,"&lt;="&amp;$O118))</f>
        <v>95</v>
      </c>
    </row>
    <row r="119" customFormat="false" ht="15" hidden="false" customHeight="true" outlineLevel="0" collapsed="false">
      <c r="O119" s="1" t="str">
        <f aca="false">IF(AND('Employee Master'!$G119="Y",ISERROR(SEARCH(TEXT('Daily Workforce'!$B$2,"ddd"),'Employee Master'!$D119)),IF('Daily Workforce'!$E$2="",TRUE(),'Employee Master'!$I119='Daily Workforce'!$E$2)),'Employee Master'!$K119*1000+ROW()-1,"")</f>
        <v/>
      </c>
      <c r="P119" s="1" t="str">
        <f aca="false">IF($O119="","",COUNTIF($O$2:$O$159,"&lt;="&amp;$O119))</f>
        <v/>
      </c>
    </row>
    <row r="120" customFormat="false" ht="15" hidden="false" customHeight="true" outlineLevel="0" collapsed="false">
      <c r="O120" s="1" t="n">
        <f aca="false">IF(AND('Employee Master'!$G120="Y",ISERROR(SEARCH(TEXT('Daily Workforce'!$B$2,"ddd"),'Employee Master'!$D120)),IF('Daily Workforce'!$E$2="",TRUE(),'Employee Master'!$I120='Daily Workforce'!$E$2)),'Employee Master'!$K120*1000+ROW()-1,"")</f>
        <v>5119</v>
      </c>
      <c r="P120" s="1" t="n">
        <f aca="false">IF($O120="","",COUNTIF($O$2:$O$159,"&lt;="&amp;$O120))</f>
        <v>111</v>
      </c>
    </row>
    <row r="121" customFormat="false" ht="15" hidden="false" customHeight="true" outlineLevel="0" collapsed="false">
      <c r="O121" s="1" t="n">
        <f aca="false">IF(AND('Employee Master'!$G121="Y",ISERROR(SEARCH(TEXT('Daily Workforce'!$B$2,"ddd"),'Employee Master'!$D121)),IF('Daily Workforce'!$E$2="",TRUE(),'Employee Master'!$I121='Daily Workforce'!$E$2)),'Employee Master'!$K121*1000+ROW()-1,"")</f>
        <v>5120</v>
      </c>
      <c r="P121" s="1" t="n">
        <f aca="false">IF($O121="","",COUNTIF($O$2:$O$159,"&lt;="&amp;$O121))</f>
        <v>112</v>
      </c>
    </row>
    <row r="122" customFormat="false" ht="15" hidden="false" customHeight="true" outlineLevel="0" collapsed="false">
      <c r="O122" s="1" t="n">
        <f aca="false">IF(AND('Employee Master'!$G122="Y",ISERROR(SEARCH(TEXT('Daily Workforce'!$B$2,"ddd"),'Employee Master'!$D122)),IF('Daily Workforce'!$E$2="",TRUE(),'Employee Master'!$I122='Daily Workforce'!$E$2)),'Employee Master'!$K122*1000+ROW()-1,"")</f>
        <v>2121</v>
      </c>
      <c r="P122" s="1" t="n">
        <f aca="false">IF($O122="","",COUNTIF($O$2:$O$159,"&lt;="&amp;$O122))</f>
        <v>45</v>
      </c>
    </row>
    <row r="123" customFormat="false" ht="15" hidden="false" customHeight="true" outlineLevel="0" collapsed="false">
      <c r="O123" s="1" t="n">
        <f aca="false">IF(AND('Employee Master'!$G123="Y",ISERROR(SEARCH(TEXT('Daily Workforce'!$B$2,"ddd"),'Employee Master'!$D123)),IF('Daily Workforce'!$E$2="",TRUE(),'Employee Master'!$I123='Daily Workforce'!$E$2)),'Employee Master'!$K123*1000+ROW()-1,"")</f>
        <v>4122</v>
      </c>
      <c r="P123" s="1" t="n">
        <f aca="false">IF($O123="","",COUNTIF($O$2:$O$159,"&lt;="&amp;$O123))</f>
        <v>96</v>
      </c>
    </row>
    <row r="124" customFormat="false" ht="15" hidden="false" customHeight="true" outlineLevel="0" collapsed="false">
      <c r="O124" s="1" t="n">
        <f aca="false">IF(AND('Employee Master'!$G124="Y",ISERROR(SEARCH(TEXT('Daily Workforce'!$B$2,"ddd"),'Employee Master'!$D124)),IF('Daily Workforce'!$E$2="",TRUE(),'Employee Master'!$I124='Daily Workforce'!$E$2)),'Employee Master'!$K124*1000+ROW()-1,"")</f>
        <v>3123</v>
      </c>
      <c r="P124" s="1" t="n">
        <f aca="false">IF($O124="","",COUNTIF($O$2:$O$159,"&lt;="&amp;$O124))</f>
        <v>77</v>
      </c>
    </row>
    <row r="125" customFormat="false" ht="15" hidden="false" customHeight="true" outlineLevel="0" collapsed="false">
      <c r="O125" s="1" t="n">
        <f aca="false">IF(AND('Employee Master'!$G125="Y",ISERROR(SEARCH(TEXT('Daily Workforce'!$B$2,"ddd"),'Employee Master'!$D125)),IF('Daily Workforce'!$E$2="",TRUE(),'Employee Master'!$I125='Daily Workforce'!$E$2)),'Employee Master'!$K125*1000+ROW()-1,"")</f>
        <v>3124</v>
      </c>
      <c r="P125" s="1" t="n">
        <f aca="false">IF($O125="","",COUNTIF($O$2:$O$159,"&lt;="&amp;$O125))</f>
        <v>78</v>
      </c>
    </row>
    <row r="126" customFormat="false" ht="15" hidden="false" customHeight="true" outlineLevel="0" collapsed="false">
      <c r="O126" s="1" t="str">
        <f aca="false">IF(AND('Employee Master'!$G126="Y",ISERROR(SEARCH(TEXT('Daily Workforce'!$B$2,"ddd"),'Employee Master'!$D126)),IF('Daily Workforce'!$E$2="",TRUE(),'Employee Master'!$I126='Daily Workforce'!$E$2)),'Employee Master'!$K126*1000+ROW()-1,"")</f>
        <v/>
      </c>
      <c r="P126" s="1" t="str">
        <f aca="false">IF($O126="","",COUNTIF($O$2:$O$159,"&lt;="&amp;$O126))</f>
        <v/>
      </c>
    </row>
    <row r="127" customFormat="false" ht="15" hidden="false" customHeight="true" outlineLevel="0" collapsed="false">
      <c r="O127" s="1" t="n">
        <f aca="false">IF(AND('Employee Master'!$G127="Y",ISERROR(SEARCH(TEXT('Daily Workforce'!$B$2,"ddd"),'Employee Master'!$D127)),IF('Daily Workforce'!$E$2="",TRUE(),'Employee Master'!$I127='Daily Workforce'!$E$2)),'Employee Master'!$K127*1000+ROW()-1,"")</f>
        <v>4126</v>
      </c>
      <c r="P127" s="1" t="n">
        <f aca="false">IF($O127="","",COUNTIF($O$2:$O$159,"&lt;="&amp;$O127))</f>
        <v>97</v>
      </c>
    </row>
    <row r="128" customFormat="false" ht="15" hidden="false" customHeight="true" outlineLevel="0" collapsed="false">
      <c r="O128" s="1" t="n">
        <f aca="false">IF(AND('Employee Master'!$G128="Y",ISERROR(SEARCH(TEXT('Daily Workforce'!$B$2,"ddd"),'Employee Master'!$D128)),IF('Daily Workforce'!$E$2="",TRUE(),'Employee Master'!$I128='Daily Workforce'!$E$2)),'Employee Master'!$K128*1000+ROW()-1,"")</f>
        <v>2127</v>
      </c>
      <c r="P128" s="1" t="n">
        <f aca="false">IF($O128="","",COUNTIF($O$2:$O$159,"&lt;="&amp;$O128))</f>
        <v>46</v>
      </c>
    </row>
    <row r="129" customFormat="false" ht="15" hidden="false" customHeight="true" outlineLevel="0" collapsed="false">
      <c r="O129" s="1" t="n">
        <f aca="false">IF(AND('Employee Master'!$G129="Y",ISERROR(SEARCH(TEXT('Daily Workforce'!$B$2,"ddd"),'Employee Master'!$D129)),IF('Daily Workforce'!$E$2="",TRUE(),'Employee Master'!$I129='Daily Workforce'!$E$2)),'Employee Master'!$K129*1000+ROW()-1,"")</f>
        <v>2128</v>
      </c>
      <c r="P129" s="1" t="n">
        <f aca="false">IF($O129="","",COUNTIF($O$2:$O$159,"&lt;="&amp;$O129))</f>
        <v>47</v>
      </c>
    </row>
    <row r="130" customFormat="false" ht="15" hidden="false" customHeight="true" outlineLevel="0" collapsed="false">
      <c r="O130" s="1" t="n">
        <f aca="false">IF(AND('Employee Master'!$G130="Y",ISERROR(SEARCH(TEXT('Daily Workforce'!$B$2,"ddd"),'Employee Master'!$D130)),IF('Daily Workforce'!$E$2="",TRUE(),'Employee Master'!$I130='Daily Workforce'!$E$2)),'Employee Master'!$K130*1000+ROW()-1,"")</f>
        <v>2129</v>
      </c>
      <c r="P130" s="1" t="n">
        <f aca="false">IF($O130="","",COUNTIF($O$2:$O$159,"&lt;="&amp;$O130))</f>
        <v>48</v>
      </c>
    </row>
    <row r="131" customFormat="false" ht="15" hidden="false" customHeight="true" outlineLevel="0" collapsed="false">
      <c r="O131" s="1" t="n">
        <f aca="false">IF(AND('Employee Master'!$G131="Y",ISERROR(SEARCH(TEXT('Daily Workforce'!$B$2,"ddd"),'Employee Master'!$D131)),IF('Daily Workforce'!$E$2="",TRUE(),'Employee Master'!$I131='Daily Workforce'!$E$2)),'Employee Master'!$K131*1000+ROW()-1,"")</f>
        <v>3130</v>
      </c>
      <c r="P131" s="1" t="n">
        <f aca="false">IF($O131="","",COUNTIF($O$2:$O$159,"&lt;="&amp;$O131))</f>
        <v>79</v>
      </c>
    </row>
    <row r="132" customFormat="false" ht="15" hidden="false" customHeight="true" outlineLevel="0" collapsed="false">
      <c r="O132" s="1" t="str">
        <f aca="false">IF(AND('Employee Master'!$G132="Y",ISERROR(SEARCH(TEXT('Daily Workforce'!$B$2,"ddd"),'Employee Master'!$D132)),IF('Daily Workforce'!$E$2="",TRUE(),'Employee Master'!$I132='Daily Workforce'!$E$2)),'Employee Master'!$K132*1000+ROW()-1,"")</f>
        <v/>
      </c>
      <c r="P132" s="1" t="str">
        <f aca="false">IF($O132="","",COUNTIF($O$2:$O$159,"&lt;="&amp;$O132))</f>
        <v/>
      </c>
    </row>
    <row r="133" customFormat="false" ht="15" hidden="false" customHeight="true" outlineLevel="0" collapsed="false">
      <c r="O133" s="1" t="n">
        <f aca="false">IF(AND('Employee Master'!$G133="Y",ISERROR(SEARCH(TEXT('Daily Workforce'!$B$2,"ddd"),'Employee Master'!$D133)),IF('Daily Workforce'!$E$2="",TRUE(),'Employee Master'!$I133='Daily Workforce'!$E$2)),'Employee Master'!$K133*1000+ROW()-1,"")</f>
        <v>2132</v>
      </c>
      <c r="P133" s="1" t="n">
        <f aca="false">IF($O133="","",COUNTIF($O$2:$O$159,"&lt;="&amp;$O133))</f>
        <v>49</v>
      </c>
    </row>
    <row r="134" customFormat="false" ht="15" hidden="false" customHeight="true" outlineLevel="0" collapsed="false">
      <c r="O134" s="1" t="n">
        <f aca="false">IF(AND('Employee Master'!$G134="Y",ISERROR(SEARCH(TEXT('Daily Workforce'!$B$2,"ddd"),'Employee Master'!$D134)),IF('Daily Workforce'!$E$2="",TRUE(),'Employee Master'!$I134='Daily Workforce'!$E$2)),'Employee Master'!$K134*1000+ROW()-1,"")</f>
        <v>2133</v>
      </c>
      <c r="P134" s="1" t="n">
        <f aca="false">IF($O134="","",COUNTIF($O$2:$O$159,"&lt;="&amp;$O134))</f>
        <v>50</v>
      </c>
    </row>
    <row r="135" customFormat="false" ht="15" hidden="false" customHeight="true" outlineLevel="0" collapsed="false">
      <c r="O135" s="1" t="n">
        <f aca="false">IF(AND('Employee Master'!$G135="Y",ISERROR(SEARCH(TEXT('Daily Workforce'!$B$2,"ddd"),'Employee Master'!$D135)),IF('Daily Workforce'!$E$2="",TRUE(),'Employee Master'!$I135='Daily Workforce'!$E$2)),'Employee Master'!$K135*1000+ROW()-1,"")</f>
        <v>2134</v>
      </c>
      <c r="P135" s="1" t="n">
        <f aca="false">IF($O135="","",COUNTIF($O$2:$O$159,"&lt;="&amp;$O135))</f>
        <v>51</v>
      </c>
    </row>
    <row r="136" customFormat="false" ht="15" hidden="false" customHeight="true" outlineLevel="0" collapsed="false">
      <c r="O136" s="1" t="n">
        <f aca="false">IF(AND('Employee Master'!$G136="Y",ISERROR(SEARCH(TEXT('Daily Workforce'!$B$2,"ddd"),'Employee Master'!$D136)),IF('Daily Workforce'!$E$2="",TRUE(),'Employee Master'!$I136='Daily Workforce'!$E$2)),'Employee Master'!$K136*1000+ROW()-1,"")</f>
        <v>1135</v>
      </c>
      <c r="P136" s="1" t="n">
        <f aca="false">IF($O136="","",COUNTIF($O$2:$O$159,"&lt;="&amp;$O136))</f>
        <v>19</v>
      </c>
    </row>
    <row r="137" customFormat="false" ht="15" hidden="false" customHeight="true" outlineLevel="0" collapsed="false">
      <c r="O137" s="1" t="n">
        <f aca="false">IF(AND('Employee Master'!$G137="Y",ISERROR(SEARCH(TEXT('Daily Workforce'!$B$2,"ddd"),'Employee Master'!$D137)),IF('Daily Workforce'!$E$2="",TRUE(),'Employee Master'!$I137='Daily Workforce'!$E$2)),'Employee Master'!$K137*1000+ROW()-1,"")</f>
        <v>1136</v>
      </c>
      <c r="P137" s="1" t="n">
        <f aca="false">IF($O137="","",COUNTIF($O$2:$O$159,"&lt;="&amp;$O137))</f>
        <v>20</v>
      </c>
    </row>
    <row r="138" customFormat="false" ht="15" hidden="false" customHeight="true" outlineLevel="0" collapsed="false">
      <c r="O138" s="1" t="str">
        <f aca="false">IF(AND('Employee Master'!$G138="Y",ISERROR(SEARCH(TEXT('Daily Workforce'!$B$2,"ddd"),'Employee Master'!$D138)),IF('Daily Workforce'!$E$2="",TRUE(),'Employee Master'!$I138='Daily Workforce'!$E$2)),'Employee Master'!$K138*1000+ROW()-1,"")</f>
        <v/>
      </c>
      <c r="P138" s="1" t="str">
        <f aca="false">IF($O138="","",COUNTIF($O$2:$O$159,"&lt;="&amp;$O138))</f>
        <v/>
      </c>
    </row>
    <row r="139" customFormat="false" ht="15" hidden="false" customHeight="true" outlineLevel="0" collapsed="false">
      <c r="O139" s="1" t="str">
        <f aca="false">IF(AND('Employee Master'!$G139="Y",ISERROR(SEARCH(TEXT('Daily Workforce'!$B$2,"ddd"),'Employee Master'!$D139)),IF('Daily Workforce'!$E$2="",TRUE(),'Employee Master'!$I139='Daily Workforce'!$E$2)),'Employee Master'!$K139*1000+ROW()-1,"")</f>
        <v/>
      </c>
      <c r="P139" s="1" t="str">
        <f aca="false">IF($O139="","",COUNTIF($O$2:$O$159,"&lt;="&amp;$O139))</f>
        <v/>
      </c>
    </row>
    <row r="140" customFormat="false" ht="15" hidden="false" customHeight="true" outlineLevel="0" collapsed="false">
      <c r="O140" s="1" t="n">
        <f aca="false">IF(AND('Employee Master'!$G140="Y",ISERROR(SEARCH(TEXT('Daily Workforce'!$B$2,"ddd"),'Employee Master'!$D140)),IF('Daily Workforce'!$E$2="",TRUE(),'Employee Master'!$I140='Daily Workforce'!$E$2)),'Employee Master'!$K140*1000+ROW()-1,"")</f>
        <v>3139</v>
      </c>
      <c r="P140" s="1" t="n">
        <f aca="false">IF($O140="","",COUNTIF($O$2:$O$159,"&lt;="&amp;$O140))</f>
        <v>80</v>
      </c>
    </row>
    <row r="141" customFormat="false" ht="15" hidden="false" customHeight="true" outlineLevel="0" collapsed="false">
      <c r="O141" s="1" t="n">
        <f aca="false">IF(AND('Employee Master'!$G141="Y",ISERROR(SEARCH(TEXT('Daily Workforce'!$B$2,"ddd"),'Employee Master'!$D141)),IF('Daily Workforce'!$E$2="",TRUE(),'Employee Master'!$I141='Daily Workforce'!$E$2)),'Employee Master'!$K141*1000+ROW()-1,"")</f>
        <v>4140</v>
      </c>
      <c r="P141" s="1" t="n">
        <f aca="false">IF($O141="","",COUNTIF($O$2:$O$159,"&lt;="&amp;$O141))</f>
        <v>98</v>
      </c>
    </row>
    <row r="142" customFormat="false" ht="15" hidden="false" customHeight="true" outlineLevel="0" collapsed="false">
      <c r="O142" s="1" t="n">
        <f aca="false">IF(AND('Employee Master'!$G142="Y",ISERROR(SEARCH(TEXT('Daily Workforce'!$B$2,"ddd"),'Employee Master'!$D142)),IF('Daily Workforce'!$E$2="",TRUE(),'Employee Master'!$I142='Daily Workforce'!$E$2)),'Employee Master'!$K142*1000+ROW()-1,"")</f>
        <v>1141</v>
      </c>
      <c r="P142" s="1" t="n">
        <f aca="false">IF($O142="","",COUNTIF($O$2:$O$159,"&lt;="&amp;$O142))</f>
        <v>21</v>
      </c>
    </row>
    <row r="143" customFormat="false" ht="15" hidden="false" customHeight="true" outlineLevel="0" collapsed="false">
      <c r="O143" s="1" t="str">
        <f aca="false">IF(AND('Employee Master'!$G143="Y",ISERROR(SEARCH(TEXT('Daily Workforce'!$B$2,"ddd"),'Employee Master'!$D143)),IF('Daily Workforce'!$E$2="",TRUE(),'Employee Master'!$I143='Daily Workforce'!$E$2)),'Employee Master'!$K143*1000+ROW()-1,"")</f>
        <v/>
      </c>
      <c r="P143" s="1" t="str">
        <f aca="false">IF($O143="","",COUNTIF($O$2:$O$159,"&lt;="&amp;$O143))</f>
        <v/>
      </c>
    </row>
    <row r="144" customFormat="false" ht="15" hidden="false" customHeight="true" outlineLevel="0" collapsed="false">
      <c r="O144" s="1" t="str">
        <f aca="false">IF(AND('Employee Master'!$G144="Y",ISERROR(SEARCH(TEXT('Daily Workforce'!$B$2,"ddd"),'Employee Master'!$D144)),IF('Daily Workforce'!$E$2="",TRUE(),'Employee Master'!$I144='Daily Workforce'!$E$2)),'Employee Master'!$K144*1000+ROW()-1,"")</f>
        <v/>
      </c>
      <c r="P144" s="1" t="str">
        <f aca="false">IF($O144="","",COUNTIF($O$2:$O$159,"&lt;="&amp;$O144))</f>
        <v/>
      </c>
    </row>
    <row r="145" customFormat="false" ht="15" hidden="false" customHeight="true" outlineLevel="0" collapsed="false">
      <c r="O145" s="1" t="str">
        <f aca="false">IF(AND('Employee Master'!$G145="Y",ISERROR(SEARCH(TEXT('Daily Workforce'!$B$2,"ddd"),'Employee Master'!$D145)),IF('Daily Workforce'!$E$2="",TRUE(),'Employee Master'!$I145='Daily Workforce'!$E$2)),'Employee Master'!$K145*1000+ROW()-1,"")</f>
        <v/>
      </c>
      <c r="P145" s="1" t="str">
        <f aca="false">IF($O145="","",COUNTIF($O$2:$O$159,"&lt;="&amp;$O145))</f>
        <v/>
      </c>
    </row>
    <row r="146" customFormat="false" ht="15" hidden="false" customHeight="true" outlineLevel="0" collapsed="false">
      <c r="O146" s="1" t="n">
        <f aca="false">IF(AND('Employee Master'!$G146="Y",ISERROR(SEARCH(TEXT('Daily Workforce'!$B$2,"ddd"),'Employee Master'!$D146)),IF('Daily Workforce'!$E$2="",TRUE(),'Employee Master'!$I146='Daily Workforce'!$E$2)),'Employee Master'!$K146*1000+ROW()-1,"")</f>
        <v>2145</v>
      </c>
      <c r="P146" s="1" t="n">
        <f aca="false">IF($O146="","",COUNTIF($O$2:$O$159,"&lt;="&amp;$O146))</f>
        <v>52</v>
      </c>
    </row>
    <row r="147" customFormat="false" ht="15" hidden="false" customHeight="true" outlineLevel="0" collapsed="false">
      <c r="O147" s="1" t="n">
        <f aca="false">IF(AND('Employee Master'!$G147="Y",ISERROR(SEARCH(TEXT('Daily Workforce'!$B$2,"ddd"),'Employee Master'!$D147)),IF('Daily Workforce'!$E$2="",TRUE(),'Employee Master'!$I147='Daily Workforce'!$E$2)),'Employee Master'!$K147*1000+ROW()-1,"")</f>
        <v>2146</v>
      </c>
      <c r="P147" s="1" t="n">
        <f aca="false">IF($O147="","",COUNTIF($O$2:$O$159,"&lt;="&amp;$O147))</f>
        <v>53</v>
      </c>
    </row>
    <row r="148" customFormat="false" ht="15" hidden="false" customHeight="true" outlineLevel="0" collapsed="false">
      <c r="O148" s="1" t="n">
        <f aca="false">IF(AND('Employee Master'!$G148="Y",ISERROR(SEARCH(TEXT('Daily Workforce'!$B$2,"ddd"),'Employee Master'!$D148)),IF('Daily Workforce'!$E$2="",TRUE(),'Employee Master'!$I148='Daily Workforce'!$E$2)),'Employee Master'!$K148*1000+ROW()-1,"")</f>
        <v>2147</v>
      </c>
      <c r="P148" s="1" t="n">
        <f aca="false">IF($O148="","",COUNTIF($O$2:$O$159,"&lt;="&amp;$O148))</f>
        <v>54</v>
      </c>
    </row>
    <row r="149" customFormat="false" ht="15" hidden="false" customHeight="true" outlineLevel="0" collapsed="false">
      <c r="O149" s="1" t="n">
        <f aca="false">IF(AND('Employee Master'!$G149="Y",ISERROR(SEARCH(TEXT('Daily Workforce'!$B$2,"ddd"),'Employee Master'!$D149)),IF('Daily Workforce'!$E$2="",TRUE(),'Employee Master'!$I149='Daily Workforce'!$E$2)),'Employee Master'!$K149*1000+ROW()-1,"")</f>
        <v>4148</v>
      </c>
      <c r="P149" s="1" t="n">
        <f aca="false">IF($O149="","",COUNTIF($O$2:$O$159,"&lt;="&amp;$O149))</f>
        <v>99</v>
      </c>
    </row>
    <row r="150" customFormat="false" ht="15" hidden="false" customHeight="true" outlineLevel="0" collapsed="false">
      <c r="O150" s="1" t="n">
        <f aca="false">IF(AND('Employee Master'!$G150="Y",ISERROR(SEARCH(TEXT('Daily Workforce'!$B$2,"ddd"),'Employee Master'!$D150)),IF('Daily Workforce'!$E$2="",TRUE(),'Employee Master'!$I150='Daily Workforce'!$E$2)),'Employee Master'!$K150*1000+ROW()-1,"")</f>
        <v>2149</v>
      </c>
      <c r="P150" s="1" t="n">
        <f aca="false">IF($O150="","",COUNTIF($O$2:$O$159,"&lt;="&amp;$O150))</f>
        <v>55</v>
      </c>
    </row>
    <row r="151" customFormat="false" ht="15" hidden="false" customHeight="true" outlineLevel="0" collapsed="false">
      <c r="O151" s="1" t="n">
        <f aca="false">IF(AND('Employee Master'!$G151="Y",ISERROR(SEARCH(TEXT('Daily Workforce'!$B$2,"ddd"),'Employee Master'!$D151)),IF('Daily Workforce'!$E$2="",TRUE(),'Employee Master'!$I151='Daily Workforce'!$E$2)),'Employee Master'!$K151*1000+ROW()-1,"")</f>
        <v>3150</v>
      </c>
      <c r="P151" s="1" t="n">
        <f aca="false">IF($O151="","",COUNTIF($O$2:$O$159,"&lt;="&amp;$O151))</f>
        <v>81</v>
      </c>
    </row>
    <row r="152" customFormat="false" ht="15" hidden="false" customHeight="true" outlineLevel="0" collapsed="false">
      <c r="O152" s="1" t="n">
        <f aca="false">IF(AND('Employee Master'!$G152="Y",ISERROR(SEARCH(TEXT('Daily Workforce'!$B$2,"ddd"),'Employee Master'!$D152)),IF('Daily Workforce'!$E$2="",TRUE(),'Employee Master'!$I152='Daily Workforce'!$E$2)),'Employee Master'!$K152*1000+ROW()-1,"")</f>
        <v>4151</v>
      </c>
      <c r="P152" s="1" t="n">
        <f aca="false">IF($O152="","",COUNTIF($O$2:$O$159,"&lt;="&amp;$O152))</f>
        <v>100</v>
      </c>
    </row>
    <row r="153" customFormat="false" ht="15" hidden="false" customHeight="true" outlineLevel="0" collapsed="false">
      <c r="O153" s="1" t="str">
        <f aca="false">IF(AND('Employee Master'!$G153="Y",ISERROR(SEARCH(TEXT('Daily Workforce'!$B$2,"ddd"),'Employee Master'!$D153)),IF('Daily Workforce'!$E$2="",TRUE(),'Employee Master'!$I153='Daily Workforce'!$E$2)),'Employee Master'!$K153*1000+ROW()-1,"")</f>
        <v/>
      </c>
      <c r="P153" s="1" t="str">
        <f aca="false">IF($O153="","",COUNTIF($O$2:$O$159,"&lt;="&amp;$O153))</f>
        <v/>
      </c>
    </row>
    <row r="154" customFormat="false" ht="15" hidden="false" customHeight="true" outlineLevel="0" collapsed="false">
      <c r="O154" s="1" t="n">
        <f aca="false">IF(AND('Employee Master'!$G154="Y",ISERROR(SEARCH(TEXT('Daily Workforce'!$B$2,"ddd"),'Employee Master'!$D154)),IF('Daily Workforce'!$E$2="",TRUE(),'Employee Master'!$I154='Daily Workforce'!$E$2)),'Employee Master'!$K154*1000+ROW()-1,"")</f>
        <v>4153</v>
      </c>
      <c r="P154" s="1" t="n">
        <f aca="false">IF($O154="","",COUNTIF($O$2:$O$159,"&lt;="&amp;$O154))</f>
        <v>101</v>
      </c>
    </row>
    <row r="155" customFormat="false" ht="15" hidden="false" customHeight="true" outlineLevel="0" collapsed="false">
      <c r="O155" s="1" t="n">
        <f aca="false">IF(AND('Employee Master'!$G155="Y",ISERROR(SEARCH(TEXT('Daily Workforce'!$B$2,"ddd"),'Employee Master'!$D155)),IF('Daily Workforce'!$E$2="",TRUE(),'Employee Master'!$I155='Daily Workforce'!$E$2)),'Employee Master'!$K155*1000+ROW()-1,"")</f>
        <v>4154</v>
      </c>
      <c r="P155" s="1" t="n">
        <f aca="false">IF($O155="","",COUNTIF($O$2:$O$159,"&lt;="&amp;$O155))</f>
        <v>102</v>
      </c>
    </row>
    <row r="156" customFormat="false" ht="15" hidden="false" customHeight="true" outlineLevel="0" collapsed="false">
      <c r="O156" s="1" t="n">
        <f aca="false">IF(AND('Employee Master'!$G156="Y",ISERROR(SEARCH(TEXT('Daily Workforce'!$B$2,"ddd"),'Employee Master'!$D156)),IF('Daily Workforce'!$E$2="",TRUE(),'Employee Master'!$I156='Daily Workforce'!$E$2)),'Employee Master'!$K156*1000+ROW()-1,"")</f>
        <v>4155</v>
      </c>
      <c r="P156" s="1" t="n">
        <f aca="false">IF($O156="","",COUNTIF($O$2:$O$159,"&lt;="&amp;$O156))</f>
        <v>103</v>
      </c>
    </row>
    <row r="157" customFormat="false" ht="15" hidden="false" customHeight="true" outlineLevel="0" collapsed="false">
      <c r="O157" s="1" t="n">
        <f aca="false">IF(AND('Employee Master'!$G157="Y",ISERROR(SEARCH(TEXT('Daily Workforce'!$B$2,"ddd"),'Employee Master'!$D157)),IF('Daily Workforce'!$E$2="",TRUE(),'Employee Master'!$I157='Daily Workforce'!$E$2)),'Employee Master'!$K157*1000+ROW()-1,"")</f>
        <v>4156</v>
      </c>
      <c r="P157" s="1" t="n">
        <f aca="false">IF($O157="","",COUNTIF($O$2:$O$159,"&lt;="&amp;$O157))</f>
        <v>104</v>
      </c>
    </row>
    <row r="158" customFormat="false" ht="15" hidden="false" customHeight="true" outlineLevel="0" collapsed="false">
      <c r="O158" s="1" t="str">
        <f aca="false">IF(AND('Employee Master'!$G158="Y",ISERROR(SEARCH(TEXT('Daily Workforce'!$B$2,"ddd"),'Employee Master'!$D158)),IF('Daily Workforce'!$E$2="",TRUE(),'Employee Master'!$I158='Daily Workforce'!$E$2)),'Employee Master'!$K158*1000+ROW()-1,"")</f>
        <v/>
      </c>
      <c r="P158" s="1" t="str">
        <f aca="false">IF($O158="","",COUNTIF($O$2:$O$159,"&lt;="&amp;$O158))</f>
        <v/>
      </c>
    </row>
    <row r="159" customFormat="false" ht="15" hidden="false" customHeight="true" outlineLevel="0" collapsed="false">
      <c r="O159" s="1" t="str">
        <f aca="false">IF(AND('Employee Master'!$G159="Y",ISERROR(SEARCH(TEXT('Daily Workforce'!$B$2,"ddd"),'Employee Master'!$D159)),IF('Daily Workforce'!$E$2="",TRUE(),'Employee Master'!$I159='Daily Workforce'!$E$2)),'Employee Master'!$K159*1000+ROW()-1,"")</f>
        <v/>
      </c>
      <c r="P159" s="1" t="str">
        <f aca="false">IF($O159="","",COUNTIF($O$2:$O$159,"&lt;="&amp;$O159))</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2"/>
    <col collapsed="false" customWidth="true" hidden="false" outlineLevel="0" max="4" min="3" style="1" width="14"/>
    <col collapsed="false" customWidth="true" hidden="false" outlineLevel="0" max="5" min="5" style="1" width="18"/>
    <col collapsed="false" customWidth="true" hidden="false" outlineLevel="0" max="6" min="6" style="1" width="34"/>
    <col collapsed="false" customWidth="true" hidden="false" outlineLevel="0" max="7" min="7" style="1" width="15"/>
    <col collapsed="false" customWidth="true" hidden="false" outlineLevel="0" max="8" min="8" style="1" width="18"/>
    <col collapsed="false" customWidth="true" hidden="false" outlineLevel="0" max="9" min="9" style="1" width="34"/>
    <col collapsed="false" customWidth="true" hidden="false" outlineLevel="0" max="10" min="10" style="1" width="15"/>
    <col collapsed="false" customWidth="true" hidden="false" outlineLevel="0" max="11" min="11" style="1" width="30"/>
    <col collapsed="false" customWidth="true" hidden="false" outlineLevel="0" max="12" min="12" style="1" width="16"/>
  </cols>
  <sheetData>
    <row r="1" customFormat="false" ht="25.5" hidden="false" customHeight="true" outlineLevel="0" collapsed="false">
      <c r="A1" s="45" t="s">
        <v>820</v>
      </c>
      <c r="B1" s="45"/>
      <c r="C1" s="45"/>
      <c r="D1" s="45"/>
      <c r="E1" s="45"/>
      <c r="F1" s="45"/>
      <c r="G1" s="45"/>
      <c r="H1" s="45"/>
      <c r="I1" s="45"/>
      <c r="J1" s="45"/>
      <c r="K1" s="45"/>
      <c r="L1" s="45"/>
    </row>
    <row r="2" customFormat="false" ht="48" hidden="false" customHeight="true" outlineLevel="0" collapsed="false">
      <c r="A2" s="58" t="s">
        <v>821</v>
      </c>
      <c r="B2" s="58"/>
      <c r="C2" s="58"/>
      <c r="D2" s="58"/>
      <c r="E2" s="58"/>
      <c r="F2" s="58"/>
      <c r="G2" s="58"/>
      <c r="H2" s="58"/>
      <c r="I2" s="58"/>
      <c r="J2" s="58"/>
      <c r="K2" s="58"/>
      <c r="L2" s="58"/>
    </row>
    <row r="3" customFormat="false" ht="15" hidden="false" customHeight="true" outlineLevel="0" collapsed="false">
      <c r="A3" s="38"/>
      <c r="B3" s="38"/>
      <c r="C3" s="38"/>
      <c r="D3" s="38"/>
      <c r="E3" s="38"/>
      <c r="F3" s="38"/>
      <c r="G3" s="38"/>
      <c r="H3" s="38"/>
      <c r="I3" s="38"/>
      <c r="J3" s="38"/>
      <c r="K3" s="38"/>
      <c r="L3" s="38"/>
    </row>
    <row r="4" customFormat="false" ht="33.75" hidden="false" customHeight="true" outlineLevel="0" collapsed="false">
      <c r="A4" s="38" t="s">
        <v>63</v>
      </c>
      <c r="B4" s="38" t="s">
        <v>822</v>
      </c>
      <c r="C4" s="38" t="s">
        <v>45</v>
      </c>
      <c r="D4" s="38" t="s">
        <v>823</v>
      </c>
      <c r="E4" s="38" t="s">
        <v>824</v>
      </c>
      <c r="F4" s="38" t="s">
        <v>825</v>
      </c>
      <c r="G4" s="38" t="s">
        <v>826</v>
      </c>
      <c r="H4" s="38" t="s">
        <v>827</v>
      </c>
      <c r="I4" s="38" t="s">
        <v>828</v>
      </c>
      <c r="J4" s="38" t="s">
        <v>26</v>
      </c>
      <c r="K4" s="38" t="s">
        <v>829</v>
      </c>
      <c r="L4" s="38" t="s">
        <v>830</v>
      </c>
    </row>
    <row r="5" customFormat="false" ht="27.75" hidden="false" customHeight="true" outlineLevel="0" collapsed="false">
      <c r="A5" s="38" t="str">
        <f aca="false">IF(OR('Daily Schedule'!$H6="3:45 AM",'Daily Schedule'!$H6="5:45 AM"),'Daily Schedule'!$F6,"")</f>
        <v>EMP-0007</v>
      </c>
      <c r="B5" s="38" t="str">
        <f aca="false">IF($A5="","",'Daily Schedule'!$G6)</f>
        <v>Ahamed John</v>
      </c>
      <c r="C5" s="38" t="str">
        <f aca="false">IF($A5="","",'Daily Schedule'!$H6)</f>
        <v>3:45 AM</v>
      </c>
      <c r="D5" s="38" t="str">
        <f aca="false">IF($C5="3:45 AM","3:45 AM",IF($C5="5:45 AM","5:45 AM",""))</f>
        <v>3:45 AM</v>
      </c>
      <c r="E5" s="38" t="n">
        <f aca="false">IF($A5="","",'Daily Schedule'!$A6)</f>
        <v>46</v>
      </c>
      <c r="F5" s="38" t="str">
        <f aca="false">IF($E5="","",IFERROR(INDEX('Position Library'!$B$2:$B$53,MATCH($E5,'Position Library'!$A$2:$A$53,0))&amp;" – "&amp;INDEX('Position Library'!$C$2:$C$53,MATCH($E5,'Position Library'!$A$2:$A$53,0)),""))</f>
        <v>North Security Checkpoint – Divest </v>
      </c>
      <c r="G5" s="38" t="str">
        <f aca="false">IF($A5="","","5:45 AM")</f>
        <v>5:45 AM</v>
      </c>
      <c r="H5" s="38" t="n">
        <f aca="false">IF($A5="","",IF(AND($C5="3:45 AM",$E5&gt;=46,$E5&lt;=52),IFERROR(INDEX(Lists!$HK$2:$HK$8,MATCH($E5,Lists!$HI$2:$HI$8,0)),$E5),IF($C5="5:45 AM",IFERROR(INDEX(Lists!$HI$2:$HI$8,MATCH($A5,Lists!$HJ$2:$HJ$8,0)),$E5),$E5)))</f>
        <v>3</v>
      </c>
      <c r="I5" s="38" t="str">
        <f aca="false">IF($H5="","",IFERROR(INDEX('Position Library'!$B$2:$B$53,MATCH($H5,'Position Library'!$A$2:$A$53,0))&amp;" – "&amp;INDEX('Position Library'!$C$2:$C$53,MATCH($H5,'Position Library'!$A$2:$A$53,0)),""))</f>
        <v>Main Security Checkpoint – Lanes 17 - 18 </v>
      </c>
      <c r="J5" s="38" t="str">
        <f aca="false">IF($A5="","",'Daily Schedule'!$N6)</f>
        <v>8:00 AM</v>
      </c>
      <c r="K5" s="38" t="str">
        <f aca="false">IF($A5="","",IF(AND($C5="3:45 AM",$E5&lt;&gt;$H5),"Released from Divest to Position "&amp;$H5,IF(AND($C5="5:45 AM",$E5&lt;&gt;$H5),"Takes over Divest Position "&amp;$H5,"No 5:45 handoff")))</f>
        <v>Released from Divest to Position 3</v>
      </c>
      <c r="L5" s="38" t="str">
        <f aca="false">IF($A5="","",IF(AND(IFERROR(INDEX('Position Library'!$D$2:$D$53,MATCH($E5,'Position Library'!$A$2:$A$53,0)),"")="Tier 1",$C5&lt;&gt;"3:45 AM"),"OPENING GAP",IF($H5="","SECOND DUTY GAP","COVERED")))</f>
        <v>COVERED</v>
      </c>
    </row>
    <row r="6" customFormat="false" ht="27.75" hidden="false" customHeight="true" outlineLevel="0" collapsed="false">
      <c r="A6" s="38" t="str">
        <f aca="false">IF(OR('Daily Schedule'!$H7="3:45 AM",'Daily Schedule'!$H7="5:45 AM"),'Daily Schedule'!$F7,"")</f>
        <v>EMP-0010</v>
      </c>
      <c r="B6" s="38" t="str">
        <f aca="false">IF($A6="","",'Daily Schedule'!$G7)</f>
        <v>Allen Suggs</v>
      </c>
      <c r="C6" s="38" t="str">
        <f aca="false">IF($A6="","",'Daily Schedule'!$H7)</f>
        <v>3:45 AM</v>
      </c>
      <c r="D6" s="38" t="str">
        <f aca="false">IF($C6="3:45 AM","3:45 AM",IF($C6="5:45 AM","5:45 AM",""))</f>
        <v>3:45 AM</v>
      </c>
      <c r="E6" s="38" t="n">
        <f aca="false">IF($A6="","",'Daily Schedule'!$A7)</f>
        <v>47</v>
      </c>
      <c r="F6" s="38" t="str">
        <f aca="false">IF($E6="","",IFERROR(INDEX('Position Library'!$B$2:$B$53,MATCH($E6,'Position Library'!$A$2:$A$53,0))&amp;" – "&amp;INDEX('Position Library'!$C$2:$C$53,MATCH($E6,'Position Library'!$A$2:$A$53,0)),""))</f>
        <v>North Security Checkpoint – Divest</v>
      </c>
      <c r="G6" s="38" t="str">
        <f aca="false">IF($A6="","","5:45 AM")</f>
        <v>5:45 AM</v>
      </c>
      <c r="H6" s="38" t="n">
        <f aca="false">IF($A6="","",IF(AND($C6="3:45 AM",$E6&gt;=46,$E6&lt;=52),IFERROR(INDEX(Lists!$HK$2:$HK$8,MATCH($E6,Lists!$HI$2:$HI$8,0)),$E6),IF($C6="5:45 AM",IFERROR(INDEX(Lists!$HI$2:$HI$8,MATCH($A6,Lists!$HJ$2:$HJ$8,0)),$E6),$E6)))</f>
        <v>9</v>
      </c>
      <c r="I6" s="38" t="str">
        <f aca="false">IF($H6="","",IFERROR(INDEX('Position Library'!$B$2:$B$53,MATCH($H6,'Position Library'!$A$2:$A$53,0))&amp;" – "&amp;INDEX('Position Library'!$C$2:$C$53,MATCH($H6,'Position Library'!$A$2:$A$53,0)),""))</f>
        <v>Main Security Checkpoint – Front Entrance </v>
      </c>
      <c r="J6" s="38" t="str">
        <f aca="false">IF($A6="","",'Daily Schedule'!$N7)</f>
        <v>8:00 AM</v>
      </c>
      <c r="K6" s="38" t="str">
        <f aca="false">IF($A6="","",IF(AND($C6="3:45 AM",$E6&lt;&gt;$H6),"Released from Divest to Position "&amp;$H6,IF(AND($C6="5:45 AM",$E6&lt;&gt;$H6),"Takes over Divest Position "&amp;$H6,"No 5:45 handoff")))</f>
        <v>Released from Divest to Position 9</v>
      </c>
      <c r="L6" s="38" t="str">
        <f aca="false">IF($A6="","",IF(AND(IFERROR(INDEX('Position Library'!$D$2:$D$53,MATCH($E6,'Position Library'!$A$2:$A$53,0)),"")="Tier 1",$C6&lt;&gt;"3:45 AM"),"OPENING GAP",IF($H6="","SECOND DUTY GAP","COVERED")))</f>
        <v>COVERED</v>
      </c>
    </row>
    <row r="7" customFormat="false" ht="27.75" hidden="false" customHeight="true" outlineLevel="0" collapsed="false">
      <c r="A7" s="38" t="str">
        <f aca="false">IF(OR('Daily Schedule'!$H8="3:45 AM",'Daily Schedule'!$H8="5:45 AM"),'Daily Schedule'!$F8,"")</f>
        <v>EMP-0022</v>
      </c>
      <c r="B7" s="38" t="str">
        <f aca="false">IF($A7="","",'Daily Schedule'!$G8)</f>
        <v>Benjamin Crosby</v>
      </c>
      <c r="C7" s="38" t="str">
        <f aca="false">IF($A7="","",'Daily Schedule'!$H8)</f>
        <v>3:45 AM</v>
      </c>
      <c r="D7" s="38" t="str">
        <f aca="false">IF($C7="3:45 AM","3:45 AM",IF($C7="5:45 AM","5:45 AM",""))</f>
        <v>3:45 AM</v>
      </c>
      <c r="E7" s="38" t="n">
        <f aca="false">IF($A7="","",'Daily Schedule'!$A8)</f>
        <v>48</v>
      </c>
      <c r="F7" s="38" t="str">
        <f aca="false">IF($E7="","",IFERROR(INDEX('Position Library'!$B$2:$B$53,MATCH($E7,'Position Library'!$A$2:$A$53,0))&amp;" – "&amp;INDEX('Position Library'!$C$2:$C$53,MATCH($E7,'Position Library'!$A$2:$A$53,0)),""))</f>
        <v>North Security Checkpoint – Divest</v>
      </c>
      <c r="G7" s="38" t="str">
        <f aca="false">IF($A7="","","5:45 AM")</f>
        <v>5:45 AM</v>
      </c>
      <c r="H7" s="38" t="n">
        <f aca="false">IF($A7="","",IF(AND($C7="3:45 AM",$E7&gt;=46,$E7&lt;=52),IFERROR(INDEX(Lists!$HK$2:$HK$8,MATCH($E7,Lists!$HI$2:$HI$8,0)),$E7),IF($C7="5:45 AM",IFERROR(INDEX(Lists!$HI$2:$HI$8,MATCH($A7,Lists!$HJ$2:$HJ$8,0)),$E7),$E7)))</f>
        <v>17</v>
      </c>
      <c r="I7" s="38" t="str">
        <f aca="false">IF($H7="","",IFERROR(INDEX('Position Library'!$B$2:$B$53,MATCH($H7,'Position Library'!$A$2:$A$53,0))&amp;" – "&amp;INDEX('Position Library'!$C$2:$C$53,MATCH($H7,'Position Library'!$A$2:$A$53,0)),""))</f>
        <v>South Security Checkpoint – Checkpoint – Front Entrance</v>
      </c>
      <c r="J7" s="38" t="str">
        <f aca="false">IF($A7="","",'Daily Schedule'!$N8)</f>
        <v>9:00 AM</v>
      </c>
      <c r="K7" s="38" t="str">
        <f aca="false">IF($A7="","",IF(AND($C7="3:45 AM",$E7&lt;&gt;$H7),"Released from Divest to Position "&amp;$H7,IF(AND($C7="5:45 AM",$E7&lt;&gt;$H7),"Takes over Divest Position "&amp;$H7,"No 5:45 handoff")))</f>
        <v>Released from Divest to Position 17</v>
      </c>
      <c r="L7" s="38" t="str">
        <f aca="false">IF($A7="","",IF(AND(IFERROR(INDEX('Position Library'!$D$2:$D$53,MATCH($E7,'Position Library'!$A$2:$A$53,0)),"")="Tier 1",$C7&lt;&gt;"3:45 AM"),"OPENING GAP",IF($H7="","SECOND DUTY GAP","COVERED")))</f>
        <v>COVERED</v>
      </c>
    </row>
    <row r="8" customFormat="false" ht="27.75" hidden="false" customHeight="true" outlineLevel="0" collapsed="false">
      <c r="A8" s="38" t="str">
        <f aca="false">IF(OR('Daily Schedule'!$H9="3:45 AM",'Daily Schedule'!$H9="5:45 AM"),'Daily Schedule'!$F9,"")</f>
        <v>EMP-0042</v>
      </c>
      <c r="B8" s="38" t="str">
        <f aca="false">IF($A8="","",'Daily Schedule'!$G9)</f>
        <v>Crosby Pavon-Lacayo</v>
      </c>
      <c r="C8" s="38" t="str">
        <f aca="false">IF($A8="","",'Daily Schedule'!$H9)</f>
        <v>3:45 AM</v>
      </c>
      <c r="D8" s="38" t="str">
        <f aca="false">IF($C8="3:45 AM","3:45 AM",IF($C8="5:45 AM","5:45 AM",""))</f>
        <v>3:45 AM</v>
      </c>
      <c r="E8" s="38" t="n">
        <f aca="false">IF($A8="","",'Daily Schedule'!$A9)</f>
        <v>49</v>
      </c>
      <c r="F8" s="38" t="str">
        <f aca="false">IF($E8="","",IFERROR(INDEX('Position Library'!$B$2:$B$53,MATCH($E8,'Position Library'!$A$2:$A$53,0))&amp;" – "&amp;INDEX('Position Library'!$C$2:$C$53,MATCH($E8,'Position Library'!$A$2:$A$53,0)),""))</f>
        <v>North Security Checkpoint – Divest</v>
      </c>
      <c r="G8" s="38" t="str">
        <f aca="false">IF($A8="","","5:45 AM")</f>
        <v>5:45 AM</v>
      </c>
      <c r="H8" s="38" t="n">
        <f aca="false">IF($A8="","",IF(AND($C8="3:45 AM",$E8&gt;=46,$E8&lt;=52),IFERROR(INDEX(Lists!$HK$2:$HK$8,MATCH($E8,Lists!$HI$2:$HI$8,0)),$E8),IF($C8="5:45 AM",IFERROR(INDEX(Lists!$HI$2:$HI$8,MATCH($A8,Lists!$HJ$2:$HJ$8,0)),$E8),$E8)))</f>
        <v>18</v>
      </c>
      <c r="I8" s="38" t="str">
        <f aca="false">IF($H8="","",IFERROR(INDEX('Position Library'!$B$2:$B$53,MATCH($H8,'Position Library'!$A$2:$A$53,0))&amp;" – "&amp;INDEX('Position Library'!$C$2:$C$53,MATCH($H8,'Position Library'!$A$2:$A$53,0)),""))</f>
        <v>South Security Checkpoint – Pre-check Overflow</v>
      </c>
      <c r="J8" s="38" t="str">
        <f aca="false">IF($A8="","",'Daily Schedule'!$N9)</f>
        <v>8:00 AM</v>
      </c>
      <c r="K8" s="38" t="str">
        <f aca="false">IF($A8="","",IF(AND($C8="3:45 AM",$E8&lt;&gt;$H8),"Released from Divest to Position "&amp;$H8,IF(AND($C8="5:45 AM",$E8&lt;&gt;$H8),"Takes over Divest Position "&amp;$H8,"No 5:45 handoff")))</f>
        <v>Released from Divest to Position 18</v>
      </c>
      <c r="L8" s="38" t="str">
        <f aca="false">IF($A8="","",IF(AND(IFERROR(INDEX('Position Library'!$D$2:$D$53,MATCH($E8,'Position Library'!$A$2:$A$53,0)),"")="Tier 1",$C8&lt;&gt;"3:45 AM"),"OPENING GAP",IF($H8="","SECOND DUTY GAP","COVERED")))</f>
        <v>COVERED</v>
      </c>
    </row>
    <row r="9" customFormat="false" ht="27.75" hidden="false" customHeight="true" outlineLevel="0" collapsed="false">
      <c r="A9" s="38" t="str">
        <f aca="false">IF(OR('Daily Schedule'!$H10="3:45 AM",'Daily Schedule'!$H10="5:45 AM"),'Daily Schedule'!$F10,"")</f>
        <v>EMP-0044</v>
      </c>
      <c r="B9" s="38" t="str">
        <f aca="false">IF($A9="","",'Daily Schedule'!$G10)</f>
        <v>Danielle Holmes</v>
      </c>
      <c r="C9" s="38" t="str">
        <f aca="false">IF($A9="","",'Daily Schedule'!$H10)</f>
        <v>3:45 AM</v>
      </c>
      <c r="D9" s="38" t="str">
        <f aca="false">IF($C9="3:45 AM","3:45 AM",IF($C9="5:45 AM","5:45 AM",""))</f>
        <v>3:45 AM</v>
      </c>
      <c r="E9" s="38" t="n">
        <f aca="false">IF($A9="","",'Daily Schedule'!$A10)</f>
        <v>50</v>
      </c>
      <c r="F9" s="38" t="str">
        <f aca="false">IF($E9="","",IFERROR(INDEX('Position Library'!$B$2:$B$53,MATCH($E9,'Position Library'!$A$2:$A$53,0))&amp;" – "&amp;INDEX('Position Library'!$C$2:$C$53,MATCH($E9,'Position Library'!$A$2:$A$53,0)),""))</f>
        <v>Lower North Security Checkpoint – Divest </v>
      </c>
      <c r="G9" s="38" t="str">
        <f aca="false">IF($A9="","","5:45 AM")</f>
        <v>5:45 AM</v>
      </c>
      <c r="H9" s="38" t="n">
        <f aca="false">IF($A9="","",IF(AND($C9="3:45 AM",$E9&gt;=46,$E9&lt;=52),IFERROR(INDEX(Lists!$HK$2:$HK$8,MATCH($E9,Lists!$HI$2:$HI$8,0)),$E9),IF($C9="5:45 AM",IFERROR(INDEX(Lists!$HI$2:$HI$8,MATCH($A9,Lists!$HJ$2:$HJ$8,0)),$E9),$E9)))</f>
        <v>29</v>
      </c>
      <c r="I9" s="38" t="str">
        <f aca="false">IF($H9="","",IFERROR(INDEX('Position Library'!$B$2:$B$53,MATCH($H9,'Position Library'!$A$2:$A$53,0))&amp;" – "&amp;INDEX('Position Library'!$C$2:$C$53,MATCH($H9,'Position Library'!$A$2:$A$53,0)),""))</f>
        <v>North Security Checkpoint – First class </v>
      </c>
      <c r="J9" s="38" t="str">
        <f aca="false">IF($A9="","",'Daily Schedule'!$N10)</f>
        <v>8:00 AM</v>
      </c>
      <c r="K9" s="38" t="str">
        <f aca="false">IF($A9="","",IF(AND($C9="3:45 AM",$E9&lt;&gt;$H9),"Released from Divest to Position "&amp;$H9,IF(AND($C9="5:45 AM",$E9&lt;&gt;$H9),"Takes over Divest Position "&amp;$H9,"No 5:45 handoff")))</f>
        <v>Released from Divest to Position 29</v>
      </c>
      <c r="L9" s="38" t="str">
        <f aca="false">IF($A9="","",IF(AND(IFERROR(INDEX('Position Library'!$D$2:$D$53,MATCH($E9,'Position Library'!$A$2:$A$53,0)),"")="Tier 1",$C9&lt;&gt;"3:45 AM"),"OPENING GAP",IF($H9="","SECOND DUTY GAP","COVERED")))</f>
        <v>COVERED</v>
      </c>
    </row>
    <row r="10" customFormat="false" ht="27.75" hidden="false" customHeight="true" outlineLevel="0" collapsed="false">
      <c r="A10" s="38" t="str">
        <f aca="false">IF(OR('Daily Schedule'!$H11="3:45 AM",'Daily Schedule'!$H11="5:45 AM"),'Daily Schedule'!$F11,"")</f>
        <v>EMP-0049</v>
      </c>
      <c r="B10" s="38" t="str">
        <f aca="false">IF($A10="","",'Daily Schedule'!$G11)</f>
        <v>Demetrius Thomas</v>
      </c>
      <c r="C10" s="38" t="str">
        <f aca="false">IF($A10="","",'Daily Schedule'!$H11)</f>
        <v>3:45 AM</v>
      </c>
      <c r="D10" s="38" t="str">
        <f aca="false">IF($C10="3:45 AM","3:45 AM",IF($C10="5:45 AM","5:45 AM",""))</f>
        <v>3:45 AM</v>
      </c>
      <c r="E10" s="38" t="n">
        <f aca="false">IF($A10="","",'Daily Schedule'!$A11)</f>
        <v>51</v>
      </c>
      <c r="F10" s="38" t="str">
        <f aca="false">IF($E10="","",IFERROR(INDEX('Position Library'!$B$2:$B$53,MATCH($E10,'Position Library'!$A$2:$A$53,0))&amp;" – "&amp;INDEX('Position Library'!$C$2:$C$53,MATCH($E10,'Position Library'!$A$2:$A$53,0)),""))</f>
        <v>Lower North Security Checkpoint – Divest</v>
      </c>
      <c r="G10" s="38" t="str">
        <f aca="false">IF($A10="","","5:45 AM")</f>
        <v>5:45 AM</v>
      </c>
      <c r="H10" s="38" t="n">
        <f aca="false">IF($A10="","",IF(AND($C10="3:45 AM",$E10&gt;=46,$E10&lt;=52),IFERROR(INDEX(Lists!$HK$2:$HK$8,MATCH($E10,Lists!$HI$2:$HI$8,0)),$E10),IF($C10="5:45 AM",IFERROR(INDEX(Lists!$HI$2:$HI$8,MATCH($A10,Lists!$HJ$2:$HJ$8,0)),$E10),$E10)))</f>
        <v>31</v>
      </c>
      <c r="I10" s="38" t="str">
        <f aca="false">IF($H10="","",IFERROR(INDEX('Position Library'!$B$2:$B$53,MATCH($H10,'Position Library'!$A$2:$A$53,0))&amp;" – "&amp;INDEX('Position Library'!$C$2:$C$53,MATCH($H10,'Position Library'!$A$2:$A$53,0)),""))</f>
        <v>Lower North Security Checkpoint – LN2 Elevator </v>
      </c>
      <c r="J10" s="38" t="str">
        <f aca="false">IF($A10="","",'Daily Schedule'!$N11)</f>
        <v>9:00 AM</v>
      </c>
      <c r="K10" s="38" t="str">
        <f aca="false">IF($A10="","",IF(AND($C10="3:45 AM",$E10&lt;&gt;$H10),"Released from Divest to Position "&amp;$H10,IF(AND($C10="5:45 AM",$E10&lt;&gt;$H10),"Takes over Divest Position "&amp;$H10,"No 5:45 handoff")))</f>
        <v>Released from Divest to Position 31</v>
      </c>
      <c r="L10" s="38" t="str">
        <f aca="false">IF($A10="","",IF(AND(IFERROR(INDEX('Position Library'!$D$2:$D$53,MATCH($E10,'Position Library'!$A$2:$A$53,0)),"")="Tier 1",$C10&lt;&gt;"3:45 AM"),"OPENING GAP",IF($H10="","SECOND DUTY GAP","COVERED")))</f>
        <v>COVERED</v>
      </c>
    </row>
    <row r="11" customFormat="false" ht="27.75" hidden="false" customHeight="true" outlineLevel="0" collapsed="false">
      <c r="A11" s="38" t="str">
        <f aca="false">IF(OR('Daily Schedule'!$H12="3:45 AM",'Daily Schedule'!$H12="5:45 AM"),'Daily Schedule'!$F12,"")</f>
        <v>EMP-0054</v>
      </c>
      <c r="B11" s="38" t="str">
        <f aca="false">IF($A11="","",'Daily Schedule'!$G12)</f>
        <v>Diane Nails</v>
      </c>
      <c r="C11" s="38" t="str">
        <f aca="false">IF($A11="","",'Daily Schedule'!$H12)</f>
        <v>3:45 AM</v>
      </c>
      <c r="D11" s="38" t="str">
        <f aca="false">IF($C11="3:45 AM","3:45 AM",IF($C11="5:45 AM","5:45 AM",""))</f>
        <v>3:45 AM</v>
      </c>
      <c r="E11" s="38" t="n">
        <f aca="false">IF($A11="","",'Daily Schedule'!$A12)</f>
        <v>52</v>
      </c>
      <c r="F11" s="38" t="str">
        <f aca="false">IF($E11="","",IFERROR(INDEX('Position Library'!$B$2:$B$53,MATCH($E11,'Position Library'!$A$2:$A$53,0))&amp;" – "&amp;INDEX('Position Library'!$C$2:$C$53,MATCH($E11,'Position Library'!$A$2:$A$53,0)),""))</f>
        <v>Lower North Security Checkpoint – Divest </v>
      </c>
      <c r="G11" s="38" t="str">
        <f aca="false">IF($A11="","","5:45 AM")</f>
        <v>5:45 AM</v>
      </c>
      <c r="H11" s="38" t="n">
        <f aca="false">IF($A11="","",IF(AND($C11="3:45 AM",$E11&gt;=46,$E11&lt;=52),IFERROR(INDEX(Lists!$HK$2:$HK$8,MATCH($E11,Lists!$HI$2:$HI$8,0)),$E11),IF($C11="5:45 AM",IFERROR(INDEX(Lists!$HI$2:$HI$8,MATCH($A11,Lists!$HJ$2:$HJ$8,0)),$E11),$E11)))</f>
        <v>36</v>
      </c>
      <c r="I11" s="38" t="str">
        <f aca="false">IF($H11="","",IFERROR(INDEX('Position Library'!$B$2:$B$53,MATCH($H11,'Position Library'!$A$2:$A$53,0))&amp;" – "&amp;INDEX('Position Library'!$C$2:$C$53,MATCH($H11,'Position Library'!$A$2:$A$53,0)),""))</f>
        <v>AGT Level – T Platform Train Door 2</v>
      </c>
      <c r="J11" s="38" t="str">
        <f aca="false">IF($A11="","",'Daily Schedule'!$N12)</f>
        <v>8:00 AM</v>
      </c>
      <c r="K11" s="38" t="str">
        <f aca="false">IF($A11="","",IF(AND($C11="3:45 AM",$E11&lt;&gt;$H11),"Released from Divest to Position "&amp;$H11,IF(AND($C11="5:45 AM",$E11&lt;&gt;$H11),"Takes over Divest Position "&amp;$H11,"No 5:45 handoff")))</f>
        <v>Released from Divest to Position 36</v>
      </c>
      <c r="L11" s="38" t="str">
        <f aca="false">IF($A11="","",IF(AND(IFERROR(INDEX('Position Library'!$D$2:$D$53,MATCH($E11,'Position Library'!$A$2:$A$53,0)),"")="Tier 1",$C11&lt;&gt;"3:45 AM"),"OPENING GAP",IF($H11="","SECOND DUTY GAP","COVERED")))</f>
        <v>COVERED</v>
      </c>
    </row>
    <row r="12" customFormat="false" ht="27.75" hidden="false" customHeight="true" outlineLevel="0" collapsed="false">
      <c r="A12" s="38" t="str">
        <f aca="false">IF(OR('Daily Schedule'!$H13="3:45 AM",'Daily Schedule'!$H13="5:45 AM"),'Daily Schedule'!$F13,"")</f>
        <v>EMP-0059</v>
      </c>
      <c r="B12" s="38" t="str">
        <f aca="false">IF($A12="","",'Daily Schedule'!$G13)</f>
        <v>Emonnie Dorsey</v>
      </c>
      <c r="C12" s="38" t="str">
        <f aca="false">IF($A12="","",'Daily Schedule'!$H13)</f>
        <v>3:45 AM</v>
      </c>
      <c r="D12" s="38" t="str">
        <f aca="false">IF($C12="3:45 AM","3:45 AM",IF($C12="5:45 AM","5:45 AM",""))</f>
        <v>3:45 AM</v>
      </c>
      <c r="E12" s="38" t="n">
        <f aca="false">IF($A12="","",'Daily Schedule'!$A13)</f>
        <v>1</v>
      </c>
      <c r="F12" s="38" t="str">
        <f aca="false">IF($E12="","",IFERROR(INDEX('Position Library'!$B$2:$B$53,MATCH($E12,'Position Library'!$A$2:$A$53,0))&amp;" – "&amp;INDEX('Position Library'!$C$2:$C$53,MATCH($E12,'Position Library'!$A$2:$A$53,0)),""))</f>
        <v>Main Security Checkpoint – Front Entrance </v>
      </c>
      <c r="G12" s="38" t="str">
        <f aca="false">IF($A12="","","5:45 AM")</f>
        <v>5:45 AM</v>
      </c>
      <c r="H12" s="38" t="n">
        <f aca="false">IF($A12="","",IF(AND($C12="3:45 AM",$E12&gt;=46,$E12&lt;=52),IFERROR(INDEX(Lists!$HK$2:$HK$8,MATCH($E12,Lists!$HI$2:$HI$8,0)),$E12),IF($C12="5:45 AM",IFERROR(INDEX(Lists!$HI$2:$HI$8,MATCH($A12,Lists!$HJ$2:$HJ$8,0)),$E12),$E12)))</f>
        <v>1</v>
      </c>
      <c r="I12" s="38" t="str">
        <f aca="false">IF($H12="","",IFERROR(INDEX('Position Library'!$B$2:$B$53,MATCH($H12,'Position Library'!$A$2:$A$53,0))&amp;" – "&amp;INDEX('Position Library'!$C$2:$C$53,MATCH($H12,'Position Library'!$A$2:$A$53,0)),""))</f>
        <v>Main Security Checkpoint – Front Entrance </v>
      </c>
      <c r="J12" s="38" t="str">
        <f aca="false">IF($A12="","",'Daily Schedule'!$N13)</f>
        <v>8:00 AM</v>
      </c>
      <c r="K12" s="38" t="str">
        <f aca="false">IF($A12="","",IF(AND($C12="3:45 AM",$E12&lt;&gt;$H12),"Released from Divest to Position "&amp;$H12,IF(AND($C12="5:45 AM",$E12&lt;&gt;$H12),"Takes over Divest Position "&amp;$H12,"No 5:45 handoff")))</f>
        <v>No 5:45 handoff</v>
      </c>
      <c r="L12" s="38" t="str">
        <f aca="false">IF($A12="","",IF(AND(IFERROR(INDEX('Position Library'!$D$2:$D$53,MATCH($E12,'Position Library'!$A$2:$A$53,0)),"")="Tier 1",$C12&lt;&gt;"3:45 AM"),"OPENING GAP",IF($H12="","SECOND DUTY GAP","COVERED")))</f>
        <v>COVERED</v>
      </c>
    </row>
    <row r="13" customFormat="false" ht="27.75" hidden="false" customHeight="true" outlineLevel="0" collapsed="false">
      <c r="A13" s="38" t="str">
        <f aca="false">IF(OR('Daily Schedule'!$H14="3:45 AM",'Daily Schedule'!$H14="5:45 AM"),'Daily Schedule'!$F14,"")</f>
        <v>EMP-0067</v>
      </c>
      <c r="B13" s="38" t="str">
        <f aca="false">IF($A13="","",'Daily Schedule'!$G14)</f>
        <v>Haddyjatou Ndure</v>
      </c>
      <c r="C13" s="38" t="str">
        <f aca="false">IF($A13="","",'Daily Schedule'!$H14)</f>
        <v>3:45 AM</v>
      </c>
      <c r="D13" s="38" t="str">
        <f aca="false">IF($C13="3:45 AM","3:45 AM",IF($C13="5:45 AM","5:45 AM",""))</f>
        <v>3:45 AM</v>
      </c>
      <c r="E13" s="38" t="n">
        <f aca="false">IF($A13="","",'Daily Schedule'!$A14)</f>
        <v>2</v>
      </c>
      <c r="F13" s="38" t="str">
        <f aca="false">IF($E13="","",IFERROR(INDEX('Position Library'!$B$2:$B$53,MATCH($E13,'Position Library'!$A$2:$A$53,0))&amp;" – "&amp;INDEX('Position Library'!$C$2:$C$53,MATCH($E13,'Position Library'!$A$2:$A$53,0)),""))</f>
        <v>Main Security Checkpoint – ADA Entrance </v>
      </c>
      <c r="G13" s="38" t="str">
        <f aca="false">IF($A13="","","5:45 AM")</f>
        <v>5:45 AM</v>
      </c>
      <c r="H13" s="38" t="n">
        <f aca="false">IF($A13="","",IF(AND($C13="3:45 AM",$E13&gt;=46,$E13&lt;=52),IFERROR(INDEX(Lists!$HK$2:$HK$8,MATCH($E13,Lists!$HI$2:$HI$8,0)),$E13),IF($C13="5:45 AM",IFERROR(INDEX(Lists!$HI$2:$HI$8,MATCH($A13,Lists!$HJ$2:$HJ$8,0)),$E13),$E13)))</f>
        <v>2</v>
      </c>
      <c r="I13" s="38" t="str">
        <f aca="false">IF($H13="","",IFERROR(INDEX('Position Library'!$B$2:$B$53,MATCH($H13,'Position Library'!$A$2:$A$53,0))&amp;" – "&amp;INDEX('Position Library'!$C$2:$C$53,MATCH($H13,'Position Library'!$A$2:$A$53,0)),""))</f>
        <v>Main Security Checkpoint – ADA Entrance </v>
      </c>
      <c r="J13" s="38" t="str">
        <f aca="false">IF($A13="","",'Daily Schedule'!$N14)</f>
        <v>9:00 AM</v>
      </c>
      <c r="K13" s="38" t="str">
        <f aca="false">IF($A13="","",IF(AND($C13="3:45 AM",$E13&lt;&gt;$H13),"Released from Divest to Position "&amp;$H13,IF(AND($C13="5:45 AM",$E13&lt;&gt;$H13),"Takes over Divest Position "&amp;$H13,"No 5:45 handoff")))</f>
        <v>No 5:45 handoff</v>
      </c>
      <c r="L13" s="38" t="str">
        <f aca="false">IF($A13="","",IF(AND(IFERROR(INDEX('Position Library'!$D$2:$D$53,MATCH($E13,'Position Library'!$A$2:$A$53,0)),"")="Tier 1",$C13&lt;&gt;"3:45 AM"),"OPENING GAP",IF($H13="","SECOND DUTY GAP","COVERED")))</f>
        <v>COVERED</v>
      </c>
    </row>
    <row r="14" customFormat="false" ht="15" hidden="false" customHeight="true" outlineLevel="0" collapsed="false">
      <c r="A14" s="38" t="str">
        <f aca="false">IF(OR('Daily Schedule'!$H15="3:45 AM",'Daily Schedule'!$H15="5:45 AM"),'Daily Schedule'!$F15,"")</f>
        <v/>
      </c>
      <c r="B14" s="38" t="str">
        <f aca="false">IF($A14="","",'Daily Schedule'!$G15)</f>
        <v/>
      </c>
      <c r="C14" s="38" t="str">
        <f aca="false">IF($A14="","",'Daily Schedule'!$H15)</f>
        <v/>
      </c>
      <c r="D14" s="38" t="str">
        <f aca="false">IF($C14="3:45 AM","3:45 AM",IF($C14="5:45 AM","5:45 AM",""))</f>
        <v/>
      </c>
      <c r="E14" s="38" t="str">
        <f aca="false">IF($A14="","",'Daily Schedule'!$A15)</f>
        <v/>
      </c>
      <c r="F14" s="38" t="str">
        <f aca="false">IF($E14="","",IFERROR(INDEX('Position Library'!$B$2:$B$53,MATCH($E14,'Position Library'!$A$2:$A$53,0))&amp;" – "&amp;INDEX('Position Library'!$C$2:$C$53,MATCH($E14,'Position Library'!$A$2:$A$53,0)),""))</f>
        <v/>
      </c>
      <c r="G14" s="38" t="str">
        <f aca="false">IF($A14="","","5:45 AM")</f>
        <v/>
      </c>
      <c r="H14" s="38" t="str">
        <f aca="false">IF($A14="","",IF(AND($C14="3:45 AM",$E14&gt;=46,$E14&lt;=52),IFERROR(INDEX(Lists!$HK$2:$HK$8,MATCH($E14,Lists!$HI$2:$HI$8,0)),$E14),IF($C14="5:45 AM",IFERROR(INDEX(Lists!$HI$2:$HI$8,MATCH($A14,Lists!$HJ$2:$HJ$8,0)),$E14),$E14)))</f>
        <v/>
      </c>
      <c r="I14" s="38" t="str">
        <f aca="false">IF($H14="","",IFERROR(INDEX('Position Library'!$B$2:$B$53,MATCH($H14,'Position Library'!$A$2:$A$53,0))&amp;" – "&amp;INDEX('Position Library'!$C$2:$C$53,MATCH($H14,'Position Library'!$A$2:$A$53,0)),""))</f>
        <v/>
      </c>
      <c r="J14" s="38" t="str">
        <f aca="false">IF($A14="","",'Daily Schedule'!$N15)</f>
        <v/>
      </c>
      <c r="K14" s="38" t="str">
        <f aca="false">IF($A14="","",IF(AND($C14="3:45 AM",$E14&lt;&gt;$H14),"Released from Divest to Position "&amp;$H14,IF(AND($C14="5:45 AM",$E14&lt;&gt;$H14),"Takes over Divest Position "&amp;$H14,"No 5:45 handoff")))</f>
        <v/>
      </c>
      <c r="L14" s="38" t="str">
        <f aca="false">IF($A14="","",IF(AND(IFERROR(INDEX('Position Library'!$D$2:$D$53,MATCH($E14,'Position Library'!$A$2:$A$53,0)),"")="Tier 1",$C14&lt;&gt;"3:45 AM"),"OPENING GAP",IF($H14="","SECOND DUTY GAP","COVERED")))</f>
        <v/>
      </c>
    </row>
    <row r="15" customFormat="false" ht="27.75" hidden="false" customHeight="true" outlineLevel="0" collapsed="false">
      <c r="A15" s="38" t="str">
        <f aca="false">IF(OR('Daily Schedule'!$H16="3:45 AM",'Daily Schedule'!$H16="5:45 AM"),'Daily Schedule'!$F16,"")</f>
        <v>EMP-0082</v>
      </c>
      <c r="B15" s="38" t="str">
        <f aca="false">IF($A15="","",'Daily Schedule'!$G16)</f>
        <v>Kelon Arnold</v>
      </c>
      <c r="C15" s="38" t="str">
        <f aca="false">IF($A15="","",'Daily Schedule'!$H16)</f>
        <v>3:45 AM</v>
      </c>
      <c r="D15" s="38" t="str">
        <f aca="false">IF($C15="3:45 AM","3:45 AM",IF($C15="5:45 AM","5:45 AM",""))</f>
        <v>3:45 AM</v>
      </c>
      <c r="E15" s="38" t="n">
        <f aca="false">IF($A15="","",'Daily Schedule'!$A16)</f>
        <v>5</v>
      </c>
      <c r="F15" s="38" t="str">
        <f aca="false">IF($E15="","",IFERROR(INDEX('Position Library'!$B$2:$B$53,MATCH($E15,'Position Library'!$A$2:$A$53,0))&amp;" – "&amp;INDEX('Position Library'!$C$2:$C$53,MATCH($E15,'Position Library'!$A$2:$A$53,0)),""))</f>
        <v>Main Security Checkpoint – Lanes 1 - 3 / Pre-Check </v>
      </c>
      <c r="G15" s="38" t="str">
        <f aca="false">IF($A15="","","5:45 AM")</f>
        <v>5:45 AM</v>
      </c>
      <c r="H15" s="38" t="n">
        <f aca="false">IF($A15="","",IF(AND($C15="3:45 AM",$E15&gt;=46,$E15&lt;=52),IFERROR(INDEX(Lists!$HK$2:$HK$8,MATCH($E15,Lists!$HI$2:$HI$8,0)),$E15),IF($C15="5:45 AM",IFERROR(INDEX(Lists!$HI$2:$HI$8,MATCH($A15,Lists!$HJ$2:$HJ$8,0)),$E15),$E15)))</f>
        <v>5</v>
      </c>
      <c r="I15" s="38" t="str">
        <f aca="false">IF($H15="","",IFERROR(INDEX('Position Library'!$B$2:$B$53,MATCH($H15,'Position Library'!$A$2:$A$53,0))&amp;" – "&amp;INDEX('Position Library'!$C$2:$C$53,MATCH($H15,'Position Library'!$A$2:$A$53,0)),""))</f>
        <v>Main Security Checkpoint – Lanes 1 - 3 / Pre-Check </v>
      </c>
      <c r="J15" s="38" t="str">
        <f aca="false">IF($A15="","",'Daily Schedule'!$N16)</f>
        <v>8:00 AM</v>
      </c>
      <c r="K15" s="38" t="str">
        <f aca="false">IF($A15="","",IF(AND($C15="3:45 AM",$E15&lt;&gt;$H15),"Released from Divest to Position "&amp;$H15,IF(AND($C15="5:45 AM",$E15&lt;&gt;$H15),"Takes over Divest Position "&amp;$H15,"No 5:45 handoff")))</f>
        <v>No 5:45 handoff</v>
      </c>
      <c r="L15" s="38" t="str">
        <f aca="false">IF($A15="","",IF(AND(IFERROR(INDEX('Position Library'!$D$2:$D$53,MATCH($E15,'Position Library'!$A$2:$A$53,0)),"")="Tier 1",$C15&lt;&gt;"3:45 AM"),"OPENING GAP",IF($H15="","SECOND DUTY GAP","COVERED")))</f>
        <v>COVERED</v>
      </c>
    </row>
    <row r="16" customFormat="false" ht="15" hidden="false" customHeight="true" outlineLevel="0" collapsed="false">
      <c r="A16" s="38" t="str">
        <f aca="false">IF(OR('Daily Schedule'!$H17="3:45 AM",'Daily Schedule'!$H17="5:45 AM"),'Daily Schedule'!$F17,"")</f>
        <v/>
      </c>
      <c r="B16" s="38" t="str">
        <f aca="false">IF($A16="","",'Daily Schedule'!$G17)</f>
        <v/>
      </c>
      <c r="C16" s="38" t="str">
        <f aca="false">IF($A16="","",'Daily Schedule'!$H17)</f>
        <v/>
      </c>
      <c r="D16" s="38" t="str">
        <f aca="false">IF($C16="3:45 AM","3:45 AM",IF($C16="5:45 AM","5:45 AM",""))</f>
        <v/>
      </c>
      <c r="E16" s="38" t="str">
        <f aca="false">IF($A16="","",'Daily Schedule'!$A17)</f>
        <v/>
      </c>
      <c r="F16" s="38" t="str">
        <f aca="false">IF($E16="","",IFERROR(INDEX('Position Library'!$B$2:$B$53,MATCH($E16,'Position Library'!$A$2:$A$53,0))&amp;" – "&amp;INDEX('Position Library'!$C$2:$C$53,MATCH($E16,'Position Library'!$A$2:$A$53,0)),""))</f>
        <v/>
      </c>
      <c r="G16" s="38" t="str">
        <f aca="false">IF($A16="","","5:45 AM")</f>
        <v/>
      </c>
      <c r="H16" s="38" t="str">
        <f aca="false">IF($A16="","",IF(AND($C16="3:45 AM",$E16&gt;=46,$E16&lt;=52),IFERROR(INDEX(Lists!$HK$2:$HK$8,MATCH($E16,Lists!$HI$2:$HI$8,0)),$E16),IF($C16="5:45 AM",IFERROR(INDEX(Lists!$HI$2:$HI$8,MATCH($A16,Lists!$HJ$2:$HJ$8,0)),$E16),$E16)))</f>
        <v/>
      </c>
      <c r="I16" s="38" t="str">
        <f aca="false">IF($H16="","",IFERROR(INDEX('Position Library'!$B$2:$B$53,MATCH($H16,'Position Library'!$A$2:$A$53,0))&amp;" – "&amp;INDEX('Position Library'!$C$2:$C$53,MATCH($H16,'Position Library'!$A$2:$A$53,0)),""))</f>
        <v/>
      </c>
      <c r="J16" s="38" t="str">
        <f aca="false">IF($A16="","",'Daily Schedule'!$N17)</f>
        <v/>
      </c>
      <c r="K16" s="38" t="str">
        <f aca="false">IF($A16="","",IF(AND($C16="3:45 AM",$E16&lt;&gt;$H16),"Released from Divest to Position "&amp;$H16,IF(AND($C16="5:45 AM",$E16&lt;&gt;$H16),"Takes over Divest Position "&amp;$H16,"No 5:45 handoff")))</f>
        <v/>
      </c>
      <c r="L16" s="38" t="str">
        <f aca="false">IF($A16="","",IF(AND(IFERROR(INDEX('Position Library'!$D$2:$D$53,MATCH($E16,'Position Library'!$A$2:$A$53,0)),"")="Tier 1",$C16&lt;&gt;"3:45 AM"),"OPENING GAP",IF($H16="","SECOND DUTY GAP","COVERED")))</f>
        <v/>
      </c>
    </row>
    <row r="17" customFormat="false" ht="27.75" hidden="false" customHeight="true" outlineLevel="0" collapsed="false">
      <c r="A17" s="38" t="str">
        <f aca="false">IF(OR('Daily Schedule'!$H18="3:45 AM",'Daily Schedule'!$H18="5:45 AM"),'Daily Schedule'!$F18,"")</f>
        <v>EMP-0087</v>
      </c>
      <c r="B17" s="38" t="str">
        <f aca="false">IF($A17="","",'Daily Schedule'!$G18)</f>
        <v>Kimberly Morrison</v>
      </c>
      <c r="C17" s="38" t="str">
        <f aca="false">IF($A17="","",'Daily Schedule'!$H18)</f>
        <v>3:45 AM</v>
      </c>
      <c r="D17" s="38" t="str">
        <f aca="false">IF($C17="3:45 AM","3:45 AM",IF($C17="5:45 AM","5:45 AM",""))</f>
        <v>3:45 AM</v>
      </c>
      <c r="E17" s="38" t="n">
        <f aca="false">IF($A17="","",'Daily Schedule'!$A18)</f>
        <v>14</v>
      </c>
      <c r="F17" s="38" t="str">
        <f aca="false">IF($E17="","",IFERROR(INDEX('Position Library'!$B$2:$B$53,MATCH($E17,'Position Library'!$A$2:$A$53,0))&amp;" – "&amp;INDEX('Position Library'!$C$2:$C$53,MATCH($E17,'Position Library'!$A$2:$A$53,0)),""))</f>
        <v>South Security Checkpoint – Checkpoint – Inside </v>
      </c>
      <c r="G17" s="38" t="str">
        <f aca="false">IF($A17="","","5:45 AM")</f>
        <v>5:45 AM</v>
      </c>
      <c r="H17" s="38" t="n">
        <f aca="false">IF($A17="","",IF(AND($C17="3:45 AM",$E17&gt;=46,$E17&lt;=52),IFERROR(INDEX(Lists!$HK$2:$HK$8,MATCH($E17,Lists!$HI$2:$HI$8,0)),$E17),IF($C17="5:45 AM",IFERROR(INDEX(Lists!$HI$2:$HI$8,MATCH($A17,Lists!$HJ$2:$HJ$8,0)),$E17),$E17)))</f>
        <v>14</v>
      </c>
      <c r="I17" s="38" t="str">
        <f aca="false">IF($H17="","",IFERROR(INDEX('Position Library'!$B$2:$B$53,MATCH($H17,'Position Library'!$A$2:$A$53,0))&amp;" – "&amp;INDEX('Position Library'!$C$2:$C$53,MATCH($H17,'Position Library'!$A$2:$A$53,0)),""))</f>
        <v>South Security Checkpoint – Checkpoint – Inside </v>
      </c>
      <c r="J17" s="38" t="str">
        <f aca="false">IF($A17="","",'Daily Schedule'!$N18)</f>
        <v>8:00 AM</v>
      </c>
      <c r="K17" s="38" t="str">
        <f aca="false">IF($A17="","",IF(AND($C17="3:45 AM",$E17&lt;&gt;$H17),"Released from Divest to Position "&amp;$H17,IF(AND($C17="5:45 AM",$E17&lt;&gt;$H17),"Takes over Divest Position "&amp;$H17,"No 5:45 handoff")))</f>
        <v>No 5:45 handoff</v>
      </c>
      <c r="L17" s="38" t="str">
        <f aca="false">IF($A17="","",IF(AND(IFERROR(INDEX('Position Library'!$D$2:$D$53,MATCH($E17,'Position Library'!$A$2:$A$53,0)),"")="Tier 1",$C17&lt;&gt;"3:45 AM"),"OPENING GAP",IF($H17="","SECOND DUTY GAP","COVERED")))</f>
        <v>COVERED</v>
      </c>
    </row>
    <row r="18" customFormat="false" ht="27.75" hidden="false" customHeight="true" outlineLevel="0" collapsed="false">
      <c r="A18" s="38" t="str">
        <f aca="false">IF(OR('Daily Schedule'!$H19="3:45 AM",'Daily Schedule'!$H19="5:45 AM"),'Daily Schedule'!$F19,"")</f>
        <v>EMP-0091</v>
      </c>
      <c r="B18" s="38" t="str">
        <f aca="false">IF($A18="","",'Daily Schedule'!$G19)</f>
        <v>Larry Fuller</v>
      </c>
      <c r="C18" s="38" t="str">
        <f aca="false">IF($A18="","",'Daily Schedule'!$H19)</f>
        <v>3:45 AM</v>
      </c>
      <c r="D18" s="38" t="str">
        <f aca="false">IF($C18="3:45 AM","3:45 AM",IF($C18="5:45 AM","5:45 AM",""))</f>
        <v>3:45 AM</v>
      </c>
      <c r="E18" s="38" t="n">
        <f aca="false">IF($A18="","",'Daily Schedule'!$A19)</f>
        <v>16</v>
      </c>
      <c r="F18" s="38" t="str">
        <f aca="false">IF($E18="","",IFERROR(INDEX('Position Library'!$B$2:$B$53,MATCH($E18,'Position Library'!$A$2:$A$53,0))&amp;" – "&amp;INDEX('Position Library'!$C$2:$C$53,MATCH($E18,'Position Library'!$A$2:$A$53,0)),""))</f>
        <v>South Security Checkpoint – Checkpoint – Front Entrance</v>
      </c>
      <c r="G18" s="38" t="str">
        <f aca="false">IF($A18="","","5:45 AM")</f>
        <v>5:45 AM</v>
      </c>
      <c r="H18" s="38" t="n">
        <f aca="false">IF($A18="","",IF(AND($C18="3:45 AM",$E18&gt;=46,$E18&lt;=52),IFERROR(INDEX(Lists!$HK$2:$HK$8,MATCH($E18,Lists!$HI$2:$HI$8,0)),$E18),IF($C18="5:45 AM",IFERROR(INDEX(Lists!$HI$2:$HI$8,MATCH($A18,Lists!$HJ$2:$HJ$8,0)),$E18),$E18)))</f>
        <v>16</v>
      </c>
      <c r="I18" s="38" t="str">
        <f aca="false">IF($H18="","",IFERROR(INDEX('Position Library'!$B$2:$B$53,MATCH($H18,'Position Library'!$A$2:$A$53,0))&amp;" – "&amp;INDEX('Position Library'!$C$2:$C$53,MATCH($H18,'Position Library'!$A$2:$A$53,0)),""))</f>
        <v>South Security Checkpoint – Checkpoint – Front Entrance</v>
      </c>
      <c r="J18" s="38" t="str">
        <f aca="false">IF($A18="","",'Daily Schedule'!$N19)</f>
        <v>9:00 AM</v>
      </c>
      <c r="K18" s="38" t="str">
        <f aca="false">IF($A18="","",IF(AND($C18="3:45 AM",$E18&lt;&gt;$H18),"Released from Divest to Position "&amp;$H18,IF(AND($C18="5:45 AM",$E18&lt;&gt;$H18),"Takes over Divest Position "&amp;$H18,"No 5:45 handoff")))</f>
        <v>No 5:45 handoff</v>
      </c>
      <c r="L18" s="38" t="str">
        <f aca="false">IF($A18="","",IF(AND(IFERROR(INDEX('Position Library'!$D$2:$D$53,MATCH($E18,'Position Library'!$A$2:$A$53,0)),"")="Tier 1",$C18&lt;&gt;"3:45 AM"),"OPENING GAP",IF($H18="","SECOND DUTY GAP","COVERED")))</f>
        <v>COVERED</v>
      </c>
    </row>
    <row r="19" customFormat="false" ht="27.75" hidden="false" customHeight="true" outlineLevel="0" collapsed="false">
      <c r="A19" s="38" t="str">
        <f aca="false">IF(OR('Daily Schedule'!$H20="3:45 AM",'Daily Schedule'!$H20="5:45 AM"),'Daily Schedule'!$F20,"")</f>
        <v>EMP-0094</v>
      </c>
      <c r="B19" s="38" t="str">
        <f aca="false">IF($A19="","",'Daily Schedule'!$G20)</f>
        <v>Linda Rachel</v>
      </c>
      <c r="C19" s="38" t="str">
        <f aca="false">IF($A19="","",'Daily Schedule'!$H20)</f>
        <v>3:45 AM</v>
      </c>
      <c r="D19" s="38" t="str">
        <f aca="false">IF($C19="3:45 AM","3:45 AM",IF($C19="5:45 AM","5:45 AM",""))</f>
        <v>3:45 AM</v>
      </c>
      <c r="E19" s="38" t="n">
        <f aca="false">IF($A19="","",'Daily Schedule'!$A20)</f>
        <v>19</v>
      </c>
      <c r="F19" s="38" t="str">
        <f aca="false">IF($E19="","",IFERROR(INDEX('Position Library'!$B$2:$B$53,MATCH($E19,'Position Library'!$A$2:$A$53,0))&amp;" – "&amp;INDEX('Position Library'!$C$2:$C$53,MATCH($E19,'Position Library'!$A$2:$A$53,0)),""))</f>
        <v>South Security Checkpoint – South Restroom </v>
      </c>
      <c r="G19" s="38" t="str">
        <f aca="false">IF($A19="","","5:45 AM")</f>
        <v>5:45 AM</v>
      </c>
      <c r="H19" s="38" t="n">
        <f aca="false">IF($A19="","",IF(AND($C19="3:45 AM",$E19&gt;=46,$E19&lt;=52),IFERROR(INDEX(Lists!$HK$2:$HK$8,MATCH($E19,Lists!$HI$2:$HI$8,0)),$E19),IF($C19="5:45 AM",IFERROR(INDEX(Lists!$HI$2:$HI$8,MATCH($A19,Lists!$HJ$2:$HJ$8,0)),$E19),$E19)))</f>
        <v>19</v>
      </c>
      <c r="I19" s="38" t="str">
        <f aca="false">IF($H19="","",IFERROR(INDEX('Position Library'!$B$2:$B$53,MATCH($H19,'Position Library'!$A$2:$A$53,0))&amp;" – "&amp;INDEX('Position Library'!$C$2:$C$53,MATCH($H19,'Position Library'!$A$2:$A$53,0)),""))</f>
        <v>South Security Checkpoint – South Restroom </v>
      </c>
      <c r="J19" s="38" t="str">
        <f aca="false">IF($A19="","",'Daily Schedule'!$N20)</f>
        <v>8:00 AM</v>
      </c>
      <c r="K19" s="38" t="str">
        <f aca="false">IF($A19="","",IF(AND($C19="3:45 AM",$E19&lt;&gt;$H19),"Released from Divest to Position "&amp;$H19,IF(AND($C19="5:45 AM",$E19&lt;&gt;$H19),"Takes over Divest Position "&amp;$H19,"No 5:45 handoff")))</f>
        <v>No 5:45 handoff</v>
      </c>
      <c r="L19" s="38" t="str">
        <f aca="false">IF($A19="","",IF(AND(IFERROR(INDEX('Position Library'!$D$2:$D$53,MATCH($E19,'Position Library'!$A$2:$A$53,0)),"")="Tier 1",$C19&lt;&gt;"3:45 AM"),"OPENING GAP",IF($H19="","SECOND DUTY GAP","COVERED")))</f>
        <v>COVERED</v>
      </c>
    </row>
    <row r="20" customFormat="false" ht="27.75" hidden="false" customHeight="true" outlineLevel="0" collapsed="false">
      <c r="A20" s="38" t="str">
        <f aca="false">IF(OR('Daily Schedule'!$H21="3:45 AM",'Daily Schedule'!$H21="5:45 AM"),'Daily Schedule'!$F21,"")</f>
        <v>EMP-0102</v>
      </c>
      <c r="B20" s="38" t="str">
        <f aca="false">IF($A20="","",'Daily Schedule'!$G21)</f>
        <v>Maryse Camille</v>
      </c>
      <c r="C20" s="38" t="str">
        <f aca="false">IF($A20="","",'Daily Schedule'!$H21)</f>
        <v>3:45 AM</v>
      </c>
      <c r="D20" s="38" t="str">
        <f aca="false">IF($C20="3:45 AM","3:45 AM",IF($C20="5:45 AM","5:45 AM",""))</f>
        <v>3:45 AM</v>
      </c>
      <c r="E20" s="38" t="n">
        <f aca="false">IF($A20="","",'Daily Schedule'!$A21)</f>
        <v>24</v>
      </c>
      <c r="F20" s="38" t="str">
        <f aca="false">IF($E20="","",IFERROR(INDEX('Position Library'!$B$2:$B$53,MATCH($E20,'Position Library'!$A$2:$A$53,0))&amp;" – "&amp;INDEX('Position Library'!$C$2:$C$53,MATCH($E20,'Position Library'!$A$2:$A$53,0)),""))</f>
        <v>North Security Checkpoint – Checkpoint – Inside </v>
      </c>
      <c r="G20" s="38" t="str">
        <f aca="false">IF($A20="","","5:45 AM")</f>
        <v>5:45 AM</v>
      </c>
      <c r="H20" s="38" t="n">
        <f aca="false">IF($A20="","",IF(AND($C20="3:45 AM",$E20&gt;=46,$E20&lt;=52),IFERROR(INDEX(Lists!$HK$2:$HK$8,MATCH($E20,Lists!$HI$2:$HI$8,0)),$E20),IF($C20="5:45 AM",IFERROR(INDEX(Lists!$HI$2:$HI$8,MATCH($A20,Lists!$HJ$2:$HJ$8,0)),$E20),$E20)))</f>
        <v>24</v>
      </c>
      <c r="I20" s="38" t="str">
        <f aca="false">IF($H20="","",IFERROR(INDEX('Position Library'!$B$2:$B$53,MATCH($H20,'Position Library'!$A$2:$A$53,0))&amp;" – "&amp;INDEX('Position Library'!$C$2:$C$53,MATCH($H20,'Position Library'!$A$2:$A$53,0)),""))</f>
        <v>North Security Checkpoint – Checkpoint – Inside </v>
      </c>
      <c r="J20" s="38" t="str">
        <f aca="false">IF($A20="","",'Daily Schedule'!$N21)</f>
        <v>8:00 AM</v>
      </c>
      <c r="K20" s="38" t="str">
        <f aca="false">IF($A20="","",IF(AND($C20="3:45 AM",$E20&lt;&gt;$H20),"Released from Divest to Position "&amp;$H20,IF(AND($C20="5:45 AM",$E20&lt;&gt;$H20),"Takes over Divest Position "&amp;$H20,"No 5:45 handoff")))</f>
        <v>No 5:45 handoff</v>
      </c>
      <c r="L20" s="38" t="str">
        <f aca="false">IF($A20="","",IF(AND(IFERROR(INDEX('Position Library'!$D$2:$D$53,MATCH($E20,'Position Library'!$A$2:$A$53,0)),"")="Tier 1",$C20&lt;&gt;"3:45 AM"),"OPENING GAP",IF($H20="","SECOND DUTY GAP","COVERED")))</f>
        <v>COVERED</v>
      </c>
    </row>
    <row r="21" customFormat="false" ht="27.75" hidden="false" customHeight="true" outlineLevel="0" collapsed="false">
      <c r="A21" s="38" t="str">
        <f aca="false">IF(OR('Daily Schedule'!$H22="3:45 AM",'Daily Schedule'!$H22="5:45 AM"),'Daily Schedule'!$F22,"")</f>
        <v>EMP-0107</v>
      </c>
      <c r="B21" s="38" t="str">
        <f aca="false">IF($A21="","",'Daily Schedule'!$G22)</f>
        <v>Moneshia Echols</v>
      </c>
      <c r="C21" s="38" t="str">
        <f aca="false">IF($A21="","",'Daily Schedule'!$H22)</f>
        <v>3:45 AM</v>
      </c>
      <c r="D21" s="38" t="str">
        <f aca="false">IF($C21="3:45 AM","3:45 AM",IF($C21="5:45 AM","5:45 AM",""))</f>
        <v>3:45 AM</v>
      </c>
      <c r="E21" s="38" t="n">
        <f aca="false">IF($A21="","",'Daily Schedule'!$A22)</f>
        <v>25</v>
      </c>
      <c r="F21" s="38" t="str">
        <f aca="false">IF($E21="","",IFERROR(INDEX('Position Library'!$B$2:$B$53,MATCH($E21,'Position Library'!$A$2:$A$53,0))&amp;" – "&amp;INDEX('Position Library'!$C$2:$C$53,MATCH($E21,'Position Library'!$A$2:$A$53,0)),""))</f>
        <v>North Security Checkpoint – North Corridor </v>
      </c>
      <c r="G21" s="38" t="str">
        <f aca="false">IF($A21="","","5:45 AM")</f>
        <v>5:45 AM</v>
      </c>
      <c r="H21" s="38" t="n">
        <f aca="false">IF($A21="","",IF(AND($C21="3:45 AM",$E21&gt;=46,$E21&lt;=52),IFERROR(INDEX(Lists!$HK$2:$HK$8,MATCH($E21,Lists!$HI$2:$HI$8,0)),$E21),IF($C21="5:45 AM",IFERROR(INDEX(Lists!$HI$2:$HI$8,MATCH($A21,Lists!$HJ$2:$HJ$8,0)),$E21),$E21)))</f>
        <v>25</v>
      </c>
      <c r="I21" s="38" t="str">
        <f aca="false">IF($H21="","",IFERROR(INDEX('Position Library'!$B$2:$B$53,MATCH($H21,'Position Library'!$A$2:$A$53,0))&amp;" – "&amp;INDEX('Position Library'!$C$2:$C$53,MATCH($H21,'Position Library'!$A$2:$A$53,0)),""))</f>
        <v>North Security Checkpoint – North Corridor </v>
      </c>
      <c r="J21" s="38" t="str">
        <f aca="false">IF($A21="","",'Daily Schedule'!$N22)</f>
        <v>9:00 AM</v>
      </c>
      <c r="K21" s="38" t="str">
        <f aca="false">IF($A21="","",IF(AND($C21="3:45 AM",$E21&lt;&gt;$H21),"Released from Divest to Position "&amp;$H21,IF(AND($C21="5:45 AM",$E21&lt;&gt;$H21),"Takes over Divest Position "&amp;$H21,"No 5:45 handoff")))</f>
        <v>No 5:45 handoff</v>
      </c>
      <c r="L21" s="38" t="str">
        <f aca="false">IF($A21="","",IF(AND(IFERROR(INDEX('Position Library'!$D$2:$D$53,MATCH($E21,'Position Library'!$A$2:$A$53,0)),"")="Tier 1",$C21&lt;&gt;"3:45 AM"),"OPENING GAP",IF($H21="","SECOND DUTY GAP","COVERED")))</f>
        <v>COVERED</v>
      </c>
    </row>
    <row r="22" customFormat="false" ht="27.75" hidden="false" customHeight="true" outlineLevel="0" collapsed="false">
      <c r="A22" s="38" t="str">
        <f aca="false">IF(OR('Daily Schedule'!$H23="3:45 AM",'Daily Schedule'!$H23="5:45 AM"),'Daily Schedule'!$F23,"")</f>
        <v>EMP-0112</v>
      </c>
      <c r="B22" s="38" t="str">
        <f aca="false">IF($A22="","",'Daily Schedule'!$G23)</f>
        <v>Natasha Carbon</v>
      </c>
      <c r="C22" s="38" t="str">
        <f aca="false">IF($A22="","",'Daily Schedule'!$H23)</f>
        <v>3:45 AM</v>
      </c>
      <c r="D22" s="38" t="str">
        <f aca="false">IF($C22="3:45 AM","3:45 AM",IF($C22="5:45 AM","5:45 AM",""))</f>
        <v>3:45 AM</v>
      </c>
      <c r="E22" s="38" t="n">
        <f aca="false">IF($A22="","",'Daily Schedule'!$A23)</f>
        <v>26</v>
      </c>
      <c r="F22" s="38" t="str">
        <f aca="false">IF($E22="","",IFERROR(INDEX('Position Library'!$B$2:$B$53,MATCH($E22,'Position Library'!$A$2:$A$53,0))&amp;" – "&amp;INDEX('Position Library'!$C$2:$C$53,MATCH($E22,'Position Library'!$A$2:$A$53,0)),""))</f>
        <v>North Security Checkpoint – North Restroom </v>
      </c>
      <c r="G22" s="38" t="str">
        <f aca="false">IF($A22="","","5:45 AM")</f>
        <v>5:45 AM</v>
      </c>
      <c r="H22" s="38" t="n">
        <f aca="false">IF($A22="","",IF(AND($C22="3:45 AM",$E22&gt;=46,$E22&lt;=52),IFERROR(INDEX(Lists!$HK$2:$HK$8,MATCH($E22,Lists!$HI$2:$HI$8,0)),$E22),IF($C22="5:45 AM",IFERROR(INDEX(Lists!$HI$2:$HI$8,MATCH($A22,Lists!$HJ$2:$HJ$8,0)),$E22),$E22)))</f>
        <v>26</v>
      </c>
      <c r="I22" s="38" t="str">
        <f aca="false">IF($H22="","",IFERROR(INDEX('Position Library'!$B$2:$B$53,MATCH($H22,'Position Library'!$A$2:$A$53,0))&amp;" – "&amp;INDEX('Position Library'!$C$2:$C$53,MATCH($H22,'Position Library'!$A$2:$A$53,0)),""))</f>
        <v>North Security Checkpoint – North Restroom </v>
      </c>
      <c r="J22" s="38" t="str">
        <f aca="false">IF($A22="","",'Daily Schedule'!$N23)</f>
        <v>8:00 AM</v>
      </c>
      <c r="K22" s="38" t="str">
        <f aca="false">IF($A22="","",IF(AND($C22="3:45 AM",$E22&lt;&gt;$H22),"Released from Divest to Position "&amp;$H22,IF(AND($C22="5:45 AM",$E22&lt;&gt;$H22),"Takes over Divest Position "&amp;$H22,"No 5:45 handoff")))</f>
        <v>No 5:45 handoff</v>
      </c>
      <c r="L22" s="38" t="str">
        <f aca="false">IF($A22="","",IF(AND(IFERROR(INDEX('Position Library'!$D$2:$D$53,MATCH($E22,'Position Library'!$A$2:$A$53,0)),"")="Tier 1",$C22&lt;&gt;"3:45 AM"),"OPENING GAP",IF($H22="","SECOND DUTY GAP","COVERED")))</f>
        <v>COVERED</v>
      </c>
    </row>
    <row r="23" customFormat="false" ht="27.75" hidden="false" customHeight="true" outlineLevel="0" collapsed="false">
      <c r="A23" s="38" t="str">
        <f aca="false">IF(OR('Daily Schedule'!$H24="3:45 AM",'Daily Schedule'!$H24="5:45 AM"),'Daily Schedule'!$F24,"")</f>
        <v>EMP-0116</v>
      </c>
      <c r="B23" s="38" t="str">
        <f aca="false">IF($A23="","",'Daily Schedule'!$G24)</f>
        <v>Phenica Peterson</v>
      </c>
      <c r="C23" s="38" t="str">
        <f aca="false">IF($A23="","",'Daily Schedule'!$H24)</f>
        <v>3:45 AM</v>
      </c>
      <c r="D23" s="38" t="str">
        <f aca="false">IF($C23="3:45 AM","3:45 AM",IF($C23="5:45 AM","5:45 AM",""))</f>
        <v>3:45 AM</v>
      </c>
      <c r="E23" s="38" t="n">
        <f aca="false">IF($A23="","",'Daily Schedule'!$A24)</f>
        <v>32</v>
      </c>
      <c r="F23" s="38" t="str">
        <f aca="false">IF($E23="","",IFERROR(INDEX('Position Library'!$B$2:$B$53,MATCH($E23,'Position Library'!$A$2:$A$53,0))&amp;" – "&amp;INDEX('Position Library'!$C$2:$C$53,MATCH($E23,'Position Library'!$A$2:$A$53,0)),""))</f>
        <v>Lower North Security Checkpoint – Checkpoint – Inside </v>
      </c>
      <c r="G23" s="38" t="str">
        <f aca="false">IF($A23="","","5:45 AM")</f>
        <v>5:45 AM</v>
      </c>
      <c r="H23" s="38" t="n">
        <f aca="false">IF($A23="","",IF(AND($C23="3:45 AM",$E23&gt;=46,$E23&lt;=52),IFERROR(INDEX(Lists!$HK$2:$HK$8,MATCH($E23,Lists!$HI$2:$HI$8,0)),$E23),IF($C23="5:45 AM",IFERROR(INDEX(Lists!$HI$2:$HI$8,MATCH($A23,Lists!$HJ$2:$HJ$8,0)),$E23),$E23)))</f>
        <v>32</v>
      </c>
      <c r="I23" s="38" t="str">
        <f aca="false">IF($H23="","",IFERROR(INDEX('Position Library'!$B$2:$B$53,MATCH($H23,'Position Library'!$A$2:$A$53,0))&amp;" – "&amp;INDEX('Position Library'!$C$2:$C$53,MATCH($H23,'Position Library'!$A$2:$A$53,0)),""))</f>
        <v>Lower North Security Checkpoint – Checkpoint – Inside </v>
      </c>
      <c r="J23" s="38" t="str">
        <f aca="false">IF($A23="","",'Daily Schedule'!$N24)</f>
        <v>8:00 AM</v>
      </c>
      <c r="K23" s="38" t="str">
        <f aca="false">IF($A23="","",IF(AND($C23="3:45 AM",$E23&lt;&gt;$H23),"Released from Divest to Position "&amp;$H23,IF(AND($C23="5:45 AM",$E23&lt;&gt;$H23),"Takes over Divest Position "&amp;$H23,"No 5:45 handoff")))</f>
        <v>No 5:45 handoff</v>
      </c>
      <c r="L23" s="38" t="str">
        <f aca="false">IF($A23="","",IF(AND(IFERROR(INDEX('Position Library'!$D$2:$D$53,MATCH($E23,'Position Library'!$A$2:$A$53,0)),"")="Tier 1",$C23&lt;&gt;"3:45 AM"),"OPENING GAP",IF($H23="","SECOND DUTY GAP","COVERED")))</f>
        <v>COVERED</v>
      </c>
    </row>
    <row r="24" customFormat="false" ht="27.75" hidden="false" customHeight="true" outlineLevel="0" collapsed="false">
      <c r="A24" s="38" t="str">
        <f aca="false">IF(OR('Daily Schedule'!$H25="3:45 AM",'Daily Schedule'!$H25="5:45 AM"),'Daily Schedule'!$F25,"")</f>
        <v>EMP-0135</v>
      </c>
      <c r="B24" s="38" t="str">
        <f aca="false">IF($A24="","",'Daily Schedule'!$G25)</f>
        <v>Tanya Organ</v>
      </c>
      <c r="C24" s="38" t="str">
        <f aca="false">IF($A24="","",'Daily Schedule'!$H25)</f>
        <v>3:45 AM</v>
      </c>
      <c r="D24" s="38" t="str">
        <f aca="false">IF($C24="3:45 AM","3:45 AM",IF($C24="5:45 AM","5:45 AM",""))</f>
        <v>3:45 AM</v>
      </c>
      <c r="E24" s="38" t="n">
        <f aca="false">IF($A24="","",'Daily Schedule'!$A25)</f>
        <v>33</v>
      </c>
      <c r="F24" s="38" t="str">
        <f aca="false">IF($E24="","",IFERROR(INDEX('Position Library'!$B$2:$B$53,MATCH($E24,'Position Library'!$A$2:$A$53,0))&amp;" – "&amp;INDEX('Position Library'!$C$2:$C$53,MATCH($E24,'Position Library'!$A$2:$A$53,0)),""))</f>
        <v>Lower North Security Checkpoint – N5 Door</v>
      </c>
      <c r="G24" s="38" t="str">
        <f aca="false">IF($A24="","","5:45 AM")</f>
        <v>5:45 AM</v>
      </c>
      <c r="H24" s="38" t="n">
        <f aca="false">IF($A24="","",IF(AND($C24="3:45 AM",$E24&gt;=46,$E24&lt;=52),IFERROR(INDEX(Lists!$HK$2:$HK$8,MATCH($E24,Lists!$HI$2:$HI$8,0)),$E24),IF($C24="5:45 AM",IFERROR(INDEX(Lists!$HI$2:$HI$8,MATCH($A24,Lists!$HJ$2:$HJ$8,0)),$E24),$E24)))</f>
        <v>33</v>
      </c>
      <c r="I24" s="38" t="str">
        <f aca="false">IF($H24="","",IFERROR(INDEX('Position Library'!$B$2:$B$53,MATCH($H24,'Position Library'!$A$2:$A$53,0))&amp;" – "&amp;INDEX('Position Library'!$C$2:$C$53,MATCH($H24,'Position Library'!$A$2:$A$53,0)),""))</f>
        <v>Lower North Security Checkpoint – N5 Door</v>
      </c>
      <c r="J24" s="38" t="str">
        <f aca="false">IF($A24="","",'Daily Schedule'!$N25)</f>
        <v>9:00 AM</v>
      </c>
      <c r="K24" s="38" t="str">
        <f aca="false">IF($A24="","",IF(AND($C24="3:45 AM",$E24&lt;&gt;$H24),"Released from Divest to Position "&amp;$H24,IF(AND($C24="5:45 AM",$E24&lt;&gt;$H24),"Takes over Divest Position "&amp;$H24,"No 5:45 handoff")))</f>
        <v>No 5:45 handoff</v>
      </c>
      <c r="L24" s="38" t="str">
        <f aca="false">IF($A24="","",IF(AND(IFERROR(INDEX('Position Library'!$D$2:$D$53,MATCH($E24,'Position Library'!$A$2:$A$53,0)),"")="Tier 1",$C24&lt;&gt;"3:45 AM"),"OPENING GAP",IF($H24="","SECOND DUTY GAP","COVERED")))</f>
        <v>COVERED</v>
      </c>
    </row>
    <row r="25" customFormat="false" ht="15" hidden="false" customHeight="true" outlineLevel="0" collapsed="false">
      <c r="A25" s="38" t="str">
        <f aca="false">IF(OR('Daily Schedule'!$H26="3:45 AM",'Daily Schedule'!$H26="5:45 AM"),'Daily Schedule'!$F26,"")</f>
        <v>EMP-0136</v>
      </c>
      <c r="B25" s="38" t="str">
        <f aca="false">IF($A25="","",'Daily Schedule'!$G26)</f>
        <v>Teaera Freeman</v>
      </c>
      <c r="C25" s="38" t="str">
        <f aca="false">IF($A25="","",'Daily Schedule'!$H26)</f>
        <v>3:45 AM</v>
      </c>
      <c r="D25" s="38" t="str">
        <f aca="false">IF($C25="3:45 AM","3:45 AM",IF($C25="5:45 AM","5:45 AM",""))</f>
        <v>3:45 AM</v>
      </c>
      <c r="E25" s="38" t="n">
        <f aca="false">IF($A25="","",'Daily Schedule'!$A26)</f>
        <v>35</v>
      </c>
      <c r="F25" s="38" t="str">
        <f aca="false">IF($E25="","",IFERROR(INDEX('Position Library'!$B$2:$B$53,MATCH($E25,'Position Library'!$A$2:$A$53,0))&amp;" – "&amp;INDEX('Position Library'!$C$2:$C$53,MATCH($E25,'Position Library'!$A$2:$A$53,0)),""))</f>
        <v>AGT Level – T Platform Train Door 1</v>
      </c>
      <c r="G25" s="38" t="str">
        <f aca="false">IF($A25="","","5:45 AM")</f>
        <v>5:45 AM</v>
      </c>
      <c r="H25" s="38" t="n">
        <f aca="false">IF($A25="","",IF(AND($C25="3:45 AM",$E25&gt;=46,$E25&lt;=52),IFERROR(INDEX(Lists!$HK$2:$HK$8,MATCH($E25,Lists!$HI$2:$HI$8,0)),$E25),IF($C25="5:45 AM",IFERROR(INDEX(Lists!$HI$2:$HI$8,MATCH($A25,Lists!$HJ$2:$HJ$8,0)),$E25),$E25)))</f>
        <v>35</v>
      </c>
      <c r="I25" s="38" t="str">
        <f aca="false">IF($H25="","",IFERROR(INDEX('Position Library'!$B$2:$B$53,MATCH($H25,'Position Library'!$A$2:$A$53,0))&amp;" – "&amp;INDEX('Position Library'!$C$2:$C$53,MATCH($H25,'Position Library'!$A$2:$A$53,0)),""))</f>
        <v>AGT Level – T Platform Train Door 1</v>
      </c>
      <c r="J25" s="38" t="str">
        <f aca="false">IF($A25="","",'Daily Schedule'!$N26)</f>
        <v>8:00 AM</v>
      </c>
      <c r="K25" s="38" t="str">
        <f aca="false">IF($A25="","",IF(AND($C25="3:45 AM",$E25&lt;&gt;$H25),"Released from Divest to Position "&amp;$H25,IF(AND($C25="5:45 AM",$E25&lt;&gt;$H25),"Takes over Divest Position "&amp;$H25,"No 5:45 handoff")))</f>
        <v>No 5:45 handoff</v>
      </c>
      <c r="L25" s="38" t="str">
        <f aca="false">IF($A25="","",IF(AND(IFERROR(INDEX('Position Library'!$D$2:$D$53,MATCH($E25,'Position Library'!$A$2:$A$53,0)),"")="Tier 1",$C25&lt;&gt;"3:45 AM"),"OPENING GAP",IF($H25="","SECOND DUTY GAP","COVERED")))</f>
        <v>COVERED</v>
      </c>
    </row>
    <row r="26" customFormat="false" ht="15" hidden="false" customHeight="true" outlineLevel="0" collapsed="false">
      <c r="A26" s="38" t="str">
        <f aca="false">IF(OR('Daily Schedule'!$H27="3:45 AM",'Daily Schedule'!$H27="5:45 AM"),'Daily Schedule'!$F27,"")</f>
        <v>EMP-0141</v>
      </c>
      <c r="B26" s="38" t="str">
        <f aca="false">IF($A26="","",'Daily Schedule'!$G27)</f>
        <v>Tiffany Felton</v>
      </c>
      <c r="C26" s="38" t="str">
        <f aca="false">IF($A26="","",'Daily Schedule'!$H27)</f>
        <v>3:45 AM</v>
      </c>
      <c r="D26" s="38" t="str">
        <f aca="false">IF($C26="3:45 AM","3:45 AM",IF($C26="5:45 AM","5:45 AM",""))</f>
        <v>3:45 AM</v>
      </c>
      <c r="E26" s="38" t="n">
        <f aca="false">IF($A26="","",'Daily Schedule'!$A27)</f>
        <v>38</v>
      </c>
      <c r="F26" s="38" t="str">
        <f aca="false">IF($E26="","",IFERROR(INDEX('Position Library'!$B$2:$B$53,MATCH($E26,'Position Library'!$A$2:$A$53,0))&amp;" – "&amp;INDEX('Position Library'!$C$2:$C$53,MATCH($E26,'Position Library'!$A$2:$A$53,0)),""))</f>
        <v>AGT Level – Domestic Baggage Claim</v>
      </c>
      <c r="G26" s="38" t="str">
        <f aca="false">IF($A26="","","5:45 AM")</f>
        <v>5:45 AM</v>
      </c>
      <c r="H26" s="38" t="n">
        <f aca="false">IF($A26="","",IF(AND($C26="3:45 AM",$E26&gt;=46,$E26&lt;=52),IFERROR(INDEX(Lists!$HK$2:$HK$8,MATCH($E26,Lists!$HI$2:$HI$8,0)),$E26),IF($C26="5:45 AM",IFERROR(INDEX(Lists!$HI$2:$HI$8,MATCH($A26,Lists!$HJ$2:$HJ$8,0)),$E26),$E26)))</f>
        <v>38</v>
      </c>
      <c r="I26" s="38" t="str">
        <f aca="false">IF($H26="","",IFERROR(INDEX('Position Library'!$B$2:$B$53,MATCH($H26,'Position Library'!$A$2:$A$53,0))&amp;" – "&amp;INDEX('Position Library'!$C$2:$C$53,MATCH($H26,'Position Library'!$A$2:$A$53,0)),""))</f>
        <v>AGT Level – Domestic Baggage Claim</v>
      </c>
      <c r="J26" s="38" t="str">
        <f aca="false">IF($A26="","",'Daily Schedule'!$N27)</f>
        <v>8:00 AM</v>
      </c>
      <c r="K26" s="38" t="str">
        <f aca="false">IF($A26="","",IF(AND($C26="3:45 AM",$E26&lt;&gt;$H26),"Released from Divest to Position "&amp;$H26,IF(AND($C26="5:45 AM",$E26&lt;&gt;$H26),"Takes over Divest Position "&amp;$H26,"No 5:45 handoff")))</f>
        <v>No 5:45 handoff</v>
      </c>
      <c r="L26" s="38" t="str">
        <f aca="false">IF($A26="","",IF(AND(IFERROR(INDEX('Position Library'!$D$2:$D$53,MATCH($E26,'Position Library'!$A$2:$A$53,0)),"")="Tier 1",$C26&lt;&gt;"3:45 AM"),"OPENING GAP",IF($H26="","SECOND DUTY GAP","COVERED")))</f>
        <v>COVERED</v>
      </c>
    </row>
    <row r="27" customFormat="false" ht="15" hidden="false" customHeight="true" outlineLevel="0" collapsed="false">
      <c r="A27" s="38" t="str">
        <f aca="false">IF(OR('Daily Schedule'!$H28="3:45 AM",'Daily Schedule'!$H28="5:45 AM"),'Daily Schedule'!$F28,"")</f>
        <v>EMP-0004</v>
      </c>
      <c r="B27" s="38" t="str">
        <f aca="false">IF($A27="","",'Daily Schedule'!$G28)</f>
        <v>Adeyeye Opaaje</v>
      </c>
      <c r="C27" s="38" t="str">
        <f aca="false">IF($A27="","",'Daily Schedule'!$H28)</f>
        <v>5:45 AM</v>
      </c>
      <c r="D27" s="38" t="str">
        <f aca="false">IF($C27="3:45 AM","3:45 AM",IF($C27="5:45 AM","5:45 AM",""))</f>
        <v>5:45 AM</v>
      </c>
      <c r="E27" s="38" t="n">
        <f aca="false">IF($A27="","",'Daily Schedule'!$A28)</f>
        <v>39</v>
      </c>
      <c r="F27" s="38" t="str">
        <f aca="false">IF($E27="","",IFERROR(INDEX('Position Library'!$B$2:$B$53,MATCH($E27,'Position Library'!$A$2:$A$53,0))&amp;" – "&amp;INDEX('Position Library'!$C$2:$C$53,MATCH($E27,'Position Library'!$A$2:$A$53,0)),""))</f>
        <v>AGT Level – T Bridge Landing</v>
      </c>
      <c r="G27" s="38" t="str">
        <f aca="false">IF($A27="","","5:45 AM")</f>
        <v>5:45 AM</v>
      </c>
      <c r="H27" s="38" t="n">
        <f aca="false">IF($A27="","",IF(AND($C27="3:45 AM",$E27&gt;=46,$E27&lt;=52),IFERROR(INDEX(Lists!$HK$2:$HK$8,MATCH($E27,Lists!$HI$2:$HI$8,0)),$E27),IF($C27="5:45 AM",IFERROR(INDEX(Lists!$HI$2:$HI$8,MATCH($A27,Lists!$HJ$2:$HJ$8,0)),$E27),$E27)))</f>
        <v>39</v>
      </c>
      <c r="I27" s="38" t="str">
        <f aca="false">IF($H27="","",IFERROR(INDEX('Position Library'!$B$2:$B$53,MATCH($H27,'Position Library'!$A$2:$A$53,0))&amp;" – "&amp;INDEX('Position Library'!$C$2:$C$53,MATCH($H27,'Position Library'!$A$2:$A$53,0)),""))</f>
        <v>AGT Level – T Bridge Landing</v>
      </c>
      <c r="J27" s="38" t="str">
        <f aca="false">IF($A27="","",'Daily Schedule'!$N28)</f>
        <v>10:00 AM</v>
      </c>
      <c r="K27" s="38" t="str">
        <f aca="false">IF($A27="","",IF(AND($C27="3:45 AM",$E27&lt;&gt;$H27),"Released from Divest to Position "&amp;$H27,IF(AND($C27="5:45 AM",$E27&lt;&gt;$H27),"Takes over Divest Position "&amp;$H27,"No 5:45 handoff")))</f>
        <v>No 5:45 handoff</v>
      </c>
      <c r="L27" s="38" t="str">
        <f aca="false">IF($A27="","",IF(AND(IFERROR(INDEX('Position Library'!$D$2:$D$53,MATCH($E27,'Position Library'!$A$2:$A$53,0)),"")="Tier 1",$C27&lt;&gt;"3:45 AM"),"OPENING GAP",IF($H27="","SECOND DUTY GAP","COVERED")))</f>
        <v>OPENING GAP</v>
      </c>
    </row>
    <row r="28" customFormat="false" ht="15" hidden="false" customHeight="true" outlineLevel="0" collapsed="false">
      <c r="A28" s="38" t="str">
        <f aca="false">IF(OR('Daily Schedule'!$H29="3:45 AM",'Daily Schedule'!$H29="5:45 AM"),'Daily Schedule'!$F29,"")</f>
        <v/>
      </c>
      <c r="B28" s="38" t="str">
        <f aca="false">IF($A28="","",'Daily Schedule'!$G29)</f>
        <v/>
      </c>
      <c r="C28" s="38" t="str">
        <f aca="false">IF($A28="","",'Daily Schedule'!$H29)</f>
        <v/>
      </c>
      <c r="D28" s="38" t="str">
        <f aca="false">IF($C28="3:45 AM","3:45 AM",IF($C28="5:45 AM","5:45 AM",""))</f>
        <v/>
      </c>
      <c r="E28" s="38" t="str">
        <f aca="false">IF($A28="","",'Daily Schedule'!$A29)</f>
        <v/>
      </c>
      <c r="F28" s="38" t="str">
        <f aca="false">IF($E28="","",IFERROR(INDEX('Position Library'!$B$2:$B$53,MATCH($E28,'Position Library'!$A$2:$A$53,0))&amp;" – "&amp;INDEX('Position Library'!$C$2:$C$53,MATCH($E28,'Position Library'!$A$2:$A$53,0)),""))</f>
        <v/>
      </c>
      <c r="G28" s="38" t="str">
        <f aca="false">IF($A28="","","5:45 AM")</f>
        <v/>
      </c>
      <c r="H28" s="38" t="str">
        <f aca="false">IF($A28="","",IF(AND($C28="3:45 AM",$E28&gt;=46,$E28&lt;=52),IFERROR(INDEX(Lists!$HK$2:$HK$8,MATCH($E28,Lists!$HI$2:$HI$8,0)),$E28),IF($C28="5:45 AM",IFERROR(INDEX(Lists!$HI$2:$HI$8,MATCH($A28,Lists!$HJ$2:$HJ$8,0)),$E28),$E28)))</f>
        <v/>
      </c>
      <c r="I28" s="38" t="str">
        <f aca="false">IF($H28="","",IFERROR(INDEX('Position Library'!$B$2:$B$53,MATCH($H28,'Position Library'!$A$2:$A$53,0))&amp;" – "&amp;INDEX('Position Library'!$C$2:$C$53,MATCH($H28,'Position Library'!$A$2:$A$53,0)),""))</f>
        <v/>
      </c>
      <c r="J28" s="38" t="str">
        <f aca="false">IF($A28="","",'Daily Schedule'!$N29)</f>
        <v/>
      </c>
      <c r="K28" s="38" t="str">
        <f aca="false">IF($A28="","",IF(AND($C28="3:45 AM",$E28&lt;&gt;$H28),"Released from Divest to Position "&amp;$H28,IF(AND($C28="5:45 AM",$E28&lt;&gt;$H28),"Takes over Divest Position "&amp;$H28,"No 5:45 handoff")))</f>
        <v/>
      </c>
      <c r="L28" s="38" t="str">
        <f aca="false">IF($A28="","",IF(AND(IFERROR(INDEX('Position Library'!$D$2:$D$53,MATCH($E28,'Position Library'!$A$2:$A$53,0)),"")="Tier 1",$C28&lt;&gt;"3:45 AM"),"OPENING GAP",IF($H28="","SECOND DUTY GAP","COVERED")))</f>
        <v/>
      </c>
    </row>
    <row r="29" customFormat="false" ht="27.75" hidden="false" customHeight="true" outlineLevel="0" collapsed="false">
      <c r="A29" s="38" t="str">
        <f aca="false">IF(OR('Daily Schedule'!$H30="3:45 AM",'Daily Schedule'!$H30="5:45 AM"),'Daily Schedule'!$F30,"")</f>
        <v>EMP-0009</v>
      </c>
      <c r="B29" s="38" t="str">
        <f aca="false">IF($A29="","",'Daily Schedule'!$G30)</f>
        <v>Aleah Mckinnon</v>
      </c>
      <c r="C29" s="38" t="str">
        <f aca="false">IF($A29="","",'Daily Schedule'!$H30)</f>
        <v>5:45 AM</v>
      </c>
      <c r="D29" s="38" t="str">
        <f aca="false">IF($C29="3:45 AM","3:45 AM",IF($C29="5:45 AM","5:45 AM",""))</f>
        <v>5:45 AM</v>
      </c>
      <c r="E29" s="38" t="n">
        <f aca="false">IF($A29="","",'Daily Schedule'!$A30)</f>
        <v>3</v>
      </c>
      <c r="F29" s="38" t="str">
        <f aca="false">IF($E29="","",IFERROR(INDEX('Position Library'!$B$2:$B$53,MATCH($E29,'Position Library'!$A$2:$A$53,0))&amp;" – "&amp;INDEX('Position Library'!$C$2:$C$53,MATCH($E29,'Position Library'!$A$2:$A$53,0)),""))</f>
        <v>Main Security Checkpoint – Lanes 17 - 18 </v>
      </c>
      <c r="G29" s="38" t="str">
        <f aca="false">IF($A29="","","5:45 AM")</f>
        <v>5:45 AM</v>
      </c>
      <c r="H29" s="38" t="n">
        <f aca="false">IF($A29="","",IF(AND($C29="3:45 AM",$E29&gt;=46,$E29&lt;=52),IFERROR(INDEX(Lists!$HK$2:$HK$8,MATCH($E29,Lists!$HI$2:$HI$8,0)),$E29),IF($C29="5:45 AM",IFERROR(INDEX(Lists!$HI$2:$HI$8,MATCH($A29,Lists!$HJ$2:$HJ$8,0)),$E29),$E29)))</f>
        <v>46</v>
      </c>
      <c r="I29" s="38" t="str">
        <f aca="false">IF($H29="","",IFERROR(INDEX('Position Library'!$B$2:$B$53,MATCH($H29,'Position Library'!$A$2:$A$53,0))&amp;" – "&amp;INDEX('Position Library'!$C$2:$C$53,MATCH($H29,'Position Library'!$A$2:$A$53,0)),""))</f>
        <v>North Security Checkpoint – Divest </v>
      </c>
      <c r="J29" s="38" t="str">
        <f aca="false">IF($A29="","",'Daily Schedule'!$N30)</f>
        <v>10:00 AM</v>
      </c>
      <c r="K29" s="38" t="str">
        <f aca="false">IF($A29="","",IF(AND($C29="3:45 AM",$E29&lt;&gt;$H29),"Released from Divest to Position "&amp;$H29,IF(AND($C29="5:45 AM",$E29&lt;&gt;$H29),"Takes over Divest Position "&amp;$H29,"No 5:45 handoff")))</f>
        <v>Takes over Divest Position 46</v>
      </c>
      <c r="L29" s="38" t="str">
        <f aca="false">IF($A29="","",IF(AND(IFERROR(INDEX('Position Library'!$D$2:$D$53,MATCH($E29,'Position Library'!$A$2:$A$53,0)),"")="Tier 1",$C29&lt;&gt;"3:45 AM"),"OPENING GAP",IF($H29="","SECOND DUTY GAP","COVERED")))</f>
        <v>COVERED</v>
      </c>
    </row>
    <row r="30" customFormat="false" ht="27.75" hidden="false" customHeight="true" outlineLevel="0" collapsed="false">
      <c r="A30" s="38" t="str">
        <f aca="false">IF(OR('Daily Schedule'!$H31="3:45 AM",'Daily Schedule'!$H31="5:45 AM"),'Daily Schedule'!$F31,"")</f>
        <v>EMP-0018</v>
      </c>
      <c r="B30" s="38" t="str">
        <f aca="false">IF($A30="","",'Daily Schedule'!$G31)</f>
        <v>Ashia Norman</v>
      </c>
      <c r="C30" s="38" t="str">
        <f aca="false">IF($A30="","",'Daily Schedule'!$H31)</f>
        <v>5:45 AM</v>
      </c>
      <c r="D30" s="38" t="str">
        <f aca="false">IF($C30="3:45 AM","3:45 AM",IF($C30="5:45 AM","5:45 AM",""))</f>
        <v>5:45 AM</v>
      </c>
      <c r="E30" s="38" t="n">
        <f aca="false">IF($A30="","",'Daily Schedule'!$A31)</f>
        <v>9</v>
      </c>
      <c r="F30" s="38" t="str">
        <f aca="false">IF($E30="","",IFERROR(INDEX('Position Library'!$B$2:$B$53,MATCH($E30,'Position Library'!$A$2:$A$53,0))&amp;" – "&amp;INDEX('Position Library'!$C$2:$C$53,MATCH($E30,'Position Library'!$A$2:$A$53,0)),""))</f>
        <v>Main Security Checkpoint – Front Entrance </v>
      </c>
      <c r="G30" s="38" t="str">
        <f aca="false">IF($A30="","","5:45 AM")</f>
        <v>5:45 AM</v>
      </c>
      <c r="H30" s="38" t="n">
        <f aca="false">IF($A30="","",IF(AND($C30="3:45 AM",$E30&gt;=46,$E30&lt;=52),IFERROR(INDEX(Lists!$HK$2:$HK$8,MATCH($E30,Lists!$HI$2:$HI$8,0)),$E30),IF($C30="5:45 AM",IFERROR(INDEX(Lists!$HI$2:$HI$8,MATCH($A30,Lists!$HJ$2:$HJ$8,0)),$E30),$E30)))</f>
        <v>47</v>
      </c>
      <c r="I30" s="38" t="str">
        <f aca="false">IF($H30="","",IFERROR(INDEX('Position Library'!$B$2:$B$53,MATCH($H30,'Position Library'!$A$2:$A$53,0))&amp;" – "&amp;INDEX('Position Library'!$C$2:$C$53,MATCH($H30,'Position Library'!$A$2:$A$53,0)),""))</f>
        <v>North Security Checkpoint – Divest</v>
      </c>
      <c r="J30" s="38" t="str">
        <f aca="false">IF($A30="","",'Daily Schedule'!$N31)</f>
        <v>9:00 AM</v>
      </c>
      <c r="K30" s="38" t="str">
        <f aca="false">IF($A30="","",IF(AND($C30="3:45 AM",$E30&lt;&gt;$H30),"Released from Divest to Position "&amp;$H30,IF(AND($C30="5:45 AM",$E30&lt;&gt;$H30),"Takes over Divest Position "&amp;$H30,"No 5:45 handoff")))</f>
        <v>Takes over Divest Position 47</v>
      </c>
      <c r="L30" s="38" t="str">
        <f aca="false">IF($A30="","",IF(AND(IFERROR(INDEX('Position Library'!$D$2:$D$53,MATCH($E30,'Position Library'!$A$2:$A$53,0)),"")="Tier 1",$C30&lt;&gt;"3:45 AM"),"OPENING GAP",IF($H30="","SECOND DUTY GAP","COVERED")))</f>
        <v>COVERED</v>
      </c>
    </row>
    <row r="31" customFormat="false" ht="27.75" hidden="false" customHeight="true" outlineLevel="0" collapsed="false">
      <c r="A31" s="38" t="str">
        <f aca="false">IF(OR('Daily Schedule'!$H32="3:45 AM",'Daily Schedule'!$H32="5:45 AM"),'Daily Schedule'!$F32,"")</f>
        <v>EMP-0026</v>
      </c>
      <c r="B31" s="38" t="str">
        <f aca="false">IF($A31="","",'Daily Schedule'!$G32)</f>
        <v>Birhanu Hailu</v>
      </c>
      <c r="C31" s="38" t="str">
        <f aca="false">IF($A31="","",'Daily Schedule'!$H32)</f>
        <v>5:45 AM</v>
      </c>
      <c r="D31" s="38" t="str">
        <f aca="false">IF($C31="3:45 AM","3:45 AM",IF($C31="5:45 AM","5:45 AM",""))</f>
        <v>5:45 AM</v>
      </c>
      <c r="E31" s="38" t="n">
        <f aca="false">IF($A31="","",'Daily Schedule'!$A32)</f>
        <v>17</v>
      </c>
      <c r="F31" s="38" t="str">
        <f aca="false">IF($E31="","",IFERROR(INDEX('Position Library'!$B$2:$B$53,MATCH($E31,'Position Library'!$A$2:$A$53,0))&amp;" – "&amp;INDEX('Position Library'!$C$2:$C$53,MATCH($E31,'Position Library'!$A$2:$A$53,0)),""))</f>
        <v>South Security Checkpoint – Checkpoint – Front Entrance</v>
      </c>
      <c r="G31" s="38" t="str">
        <f aca="false">IF($A31="","","5:45 AM")</f>
        <v>5:45 AM</v>
      </c>
      <c r="H31" s="38" t="n">
        <f aca="false">IF($A31="","",IF(AND($C31="3:45 AM",$E31&gt;=46,$E31&lt;=52),IFERROR(INDEX(Lists!$HK$2:$HK$8,MATCH($E31,Lists!$HI$2:$HI$8,0)),$E31),IF($C31="5:45 AM",IFERROR(INDEX(Lists!$HI$2:$HI$8,MATCH($A31,Lists!$HJ$2:$HJ$8,0)),$E31),$E31)))</f>
        <v>48</v>
      </c>
      <c r="I31" s="38" t="str">
        <f aca="false">IF($H31="","",IFERROR(INDEX('Position Library'!$B$2:$B$53,MATCH($H31,'Position Library'!$A$2:$A$53,0))&amp;" – "&amp;INDEX('Position Library'!$C$2:$C$53,MATCH($H31,'Position Library'!$A$2:$A$53,0)),""))</f>
        <v>North Security Checkpoint – Divest</v>
      </c>
      <c r="J31" s="38" t="str">
        <f aca="false">IF($A31="","",'Daily Schedule'!$N32)</f>
        <v>10:00 AM</v>
      </c>
      <c r="K31" s="38" t="str">
        <f aca="false">IF($A31="","",IF(AND($C31="3:45 AM",$E31&lt;&gt;$H31),"Released from Divest to Position "&amp;$H31,IF(AND($C31="5:45 AM",$E31&lt;&gt;$H31),"Takes over Divest Position "&amp;$H31,"No 5:45 handoff")))</f>
        <v>Takes over Divest Position 48</v>
      </c>
      <c r="L31" s="38" t="str">
        <f aca="false">IF($A31="","",IF(AND(IFERROR(INDEX('Position Library'!$D$2:$D$53,MATCH($E31,'Position Library'!$A$2:$A$53,0)),"")="Tier 1",$C31&lt;&gt;"3:45 AM"),"OPENING GAP",IF($H31="","SECOND DUTY GAP","COVERED")))</f>
        <v>COVERED</v>
      </c>
    </row>
    <row r="32" customFormat="false" ht="27.75" hidden="false" customHeight="true" outlineLevel="0" collapsed="false">
      <c r="A32" s="38" t="str">
        <f aca="false">IF(OR('Daily Schedule'!$H33="3:45 AM",'Daily Schedule'!$H33="5:45 AM"),'Daily Schedule'!$F33,"")</f>
        <v>EMP-0028</v>
      </c>
      <c r="B32" s="38" t="str">
        <f aca="false">IF($A32="","",'Daily Schedule'!$G33)</f>
        <v>Brain Lee</v>
      </c>
      <c r="C32" s="38" t="str">
        <f aca="false">IF($A32="","",'Daily Schedule'!$H33)</f>
        <v>5:45 AM</v>
      </c>
      <c r="D32" s="38" t="str">
        <f aca="false">IF($C32="3:45 AM","3:45 AM",IF($C32="5:45 AM","5:45 AM",""))</f>
        <v>5:45 AM</v>
      </c>
      <c r="E32" s="38" t="n">
        <f aca="false">IF($A32="","",'Daily Schedule'!$A33)</f>
        <v>18</v>
      </c>
      <c r="F32" s="38" t="str">
        <f aca="false">IF($E32="","",IFERROR(INDEX('Position Library'!$B$2:$B$53,MATCH($E32,'Position Library'!$A$2:$A$53,0))&amp;" – "&amp;INDEX('Position Library'!$C$2:$C$53,MATCH($E32,'Position Library'!$A$2:$A$53,0)),""))</f>
        <v>South Security Checkpoint – Pre-check Overflow</v>
      </c>
      <c r="G32" s="38" t="str">
        <f aca="false">IF($A32="","","5:45 AM")</f>
        <v>5:45 AM</v>
      </c>
      <c r="H32" s="38" t="n">
        <f aca="false">IF($A32="","",IF(AND($C32="3:45 AM",$E32&gt;=46,$E32&lt;=52),IFERROR(INDEX(Lists!$HK$2:$HK$8,MATCH($E32,Lists!$HI$2:$HI$8,0)),$E32),IF($C32="5:45 AM",IFERROR(INDEX(Lists!$HI$2:$HI$8,MATCH($A32,Lists!$HJ$2:$HJ$8,0)),$E32),$E32)))</f>
        <v>49</v>
      </c>
      <c r="I32" s="38" t="str">
        <f aca="false">IF($H32="","",IFERROR(INDEX('Position Library'!$B$2:$B$53,MATCH($H32,'Position Library'!$A$2:$A$53,0))&amp;" – "&amp;INDEX('Position Library'!$C$2:$C$53,MATCH($H32,'Position Library'!$A$2:$A$53,0)),""))</f>
        <v>North Security Checkpoint – Divest</v>
      </c>
      <c r="J32" s="38" t="str">
        <f aca="false">IF($A32="","",'Daily Schedule'!$N33)</f>
        <v>10:00 AM</v>
      </c>
      <c r="K32" s="38" t="str">
        <f aca="false">IF($A32="","",IF(AND($C32="3:45 AM",$E32&lt;&gt;$H32),"Released from Divest to Position "&amp;$H32,IF(AND($C32="5:45 AM",$E32&lt;&gt;$H32),"Takes over Divest Position "&amp;$H32,"No 5:45 handoff")))</f>
        <v>Takes over Divest Position 49</v>
      </c>
      <c r="L32" s="38" t="str">
        <f aca="false">IF($A32="","",IF(AND(IFERROR(INDEX('Position Library'!$D$2:$D$53,MATCH($E32,'Position Library'!$A$2:$A$53,0)),"")="Tier 1",$C32&lt;&gt;"3:45 AM"),"OPENING GAP",IF($H32="","SECOND DUTY GAP","COVERED")))</f>
        <v>COVERED</v>
      </c>
    </row>
    <row r="33" customFormat="false" ht="27.75" hidden="false" customHeight="true" outlineLevel="0" collapsed="false">
      <c r="A33" s="38" t="str">
        <f aca="false">IF(OR('Daily Schedule'!$H34="3:45 AM",'Daily Schedule'!$H34="5:45 AM"),'Daily Schedule'!$F34,"")</f>
        <v>EMP-0040</v>
      </c>
      <c r="B33" s="38" t="str">
        <f aca="false">IF($A33="","",'Daily Schedule'!$G34)</f>
        <v>Chrystal Harvey</v>
      </c>
      <c r="C33" s="38" t="str">
        <f aca="false">IF($A33="","",'Daily Schedule'!$H34)</f>
        <v>5:45 AM</v>
      </c>
      <c r="D33" s="38" t="str">
        <f aca="false">IF($C33="3:45 AM","3:45 AM",IF($C33="5:45 AM","5:45 AM",""))</f>
        <v>5:45 AM</v>
      </c>
      <c r="E33" s="38" t="n">
        <f aca="false">IF($A33="","",'Daily Schedule'!$A34)</f>
        <v>29</v>
      </c>
      <c r="F33" s="38" t="str">
        <f aca="false">IF($E33="","",IFERROR(INDEX('Position Library'!$B$2:$B$53,MATCH($E33,'Position Library'!$A$2:$A$53,0))&amp;" – "&amp;INDEX('Position Library'!$C$2:$C$53,MATCH($E33,'Position Library'!$A$2:$A$53,0)),""))</f>
        <v>North Security Checkpoint – First class </v>
      </c>
      <c r="G33" s="38" t="str">
        <f aca="false">IF($A33="","","5:45 AM")</f>
        <v>5:45 AM</v>
      </c>
      <c r="H33" s="38" t="n">
        <f aca="false">IF($A33="","",IF(AND($C33="3:45 AM",$E33&gt;=46,$E33&lt;=52),IFERROR(INDEX(Lists!$HK$2:$HK$8,MATCH($E33,Lists!$HI$2:$HI$8,0)),$E33),IF($C33="5:45 AM",IFERROR(INDEX(Lists!$HI$2:$HI$8,MATCH($A33,Lists!$HJ$2:$HJ$8,0)),$E33),$E33)))</f>
        <v>50</v>
      </c>
      <c r="I33" s="38" t="str">
        <f aca="false">IF($H33="","",IFERROR(INDEX('Position Library'!$B$2:$B$53,MATCH($H33,'Position Library'!$A$2:$A$53,0))&amp;" – "&amp;INDEX('Position Library'!$C$2:$C$53,MATCH($H33,'Position Library'!$A$2:$A$53,0)),""))</f>
        <v>Lower North Security Checkpoint – Divest </v>
      </c>
      <c r="J33" s="38" t="str">
        <f aca="false">IF($A33="","",'Daily Schedule'!$N34)</f>
        <v>9:00 AM</v>
      </c>
      <c r="K33" s="38" t="str">
        <f aca="false">IF($A33="","",IF(AND($C33="3:45 AM",$E33&lt;&gt;$H33),"Released from Divest to Position "&amp;$H33,IF(AND($C33="5:45 AM",$E33&lt;&gt;$H33),"Takes over Divest Position "&amp;$H33,"No 5:45 handoff")))</f>
        <v>Takes over Divest Position 50</v>
      </c>
      <c r="L33" s="38" t="str">
        <f aca="false">IF($A33="","",IF(AND(IFERROR(INDEX('Position Library'!$D$2:$D$53,MATCH($E33,'Position Library'!$A$2:$A$53,0)),"")="Tier 1",$C33&lt;&gt;"3:45 AM"),"OPENING GAP",IF($H33="","SECOND DUTY GAP","COVERED")))</f>
        <v>COVERED</v>
      </c>
    </row>
    <row r="34" customFormat="false" ht="27.75" hidden="false" customHeight="true" outlineLevel="0" collapsed="false">
      <c r="A34" s="38" t="str">
        <f aca="false">IF(OR('Daily Schedule'!$H35="3:45 AM",'Daily Schedule'!$H35="5:45 AM"),'Daily Schedule'!$F35,"")</f>
        <v>EMP-0041</v>
      </c>
      <c r="B34" s="38" t="str">
        <f aca="false">IF($A34="","",'Daily Schedule'!$G35)</f>
        <v>Cicely Thicklin</v>
      </c>
      <c r="C34" s="38" t="str">
        <f aca="false">IF($A34="","",'Daily Schedule'!$H35)</f>
        <v>5:45 AM</v>
      </c>
      <c r="D34" s="38" t="str">
        <f aca="false">IF($C34="3:45 AM","3:45 AM",IF($C34="5:45 AM","5:45 AM",""))</f>
        <v>5:45 AM</v>
      </c>
      <c r="E34" s="38" t="n">
        <f aca="false">IF($A34="","",'Daily Schedule'!$A35)</f>
        <v>31</v>
      </c>
      <c r="F34" s="38" t="str">
        <f aca="false">IF($E34="","",IFERROR(INDEX('Position Library'!$B$2:$B$53,MATCH($E34,'Position Library'!$A$2:$A$53,0))&amp;" – "&amp;INDEX('Position Library'!$C$2:$C$53,MATCH($E34,'Position Library'!$A$2:$A$53,0)),""))</f>
        <v>Lower North Security Checkpoint – LN2 Elevator </v>
      </c>
      <c r="G34" s="38" t="str">
        <f aca="false">IF($A34="","","5:45 AM")</f>
        <v>5:45 AM</v>
      </c>
      <c r="H34" s="38" t="n">
        <f aca="false">IF($A34="","",IF(AND($C34="3:45 AM",$E34&gt;=46,$E34&lt;=52),IFERROR(INDEX(Lists!$HK$2:$HK$8,MATCH($E34,Lists!$HI$2:$HI$8,0)),$E34),IF($C34="5:45 AM",IFERROR(INDEX(Lists!$HI$2:$HI$8,MATCH($A34,Lists!$HJ$2:$HJ$8,0)),$E34),$E34)))</f>
        <v>51</v>
      </c>
      <c r="I34" s="38" t="str">
        <f aca="false">IF($H34="","",IFERROR(INDEX('Position Library'!$B$2:$B$53,MATCH($H34,'Position Library'!$A$2:$A$53,0))&amp;" – "&amp;INDEX('Position Library'!$C$2:$C$53,MATCH($H34,'Position Library'!$A$2:$A$53,0)),""))</f>
        <v>Lower North Security Checkpoint – Divest</v>
      </c>
      <c r="J34" s="38" t="str">
        <f aca="false">IF($A34="","",'Daily Schedule'!$N35)</f>
        <v>10:00 AM</v>
      </c>
      <c r="K34" s="38" t="str">
        <f aca="false">IF($A34="","",IF(AND($C34="3:45 AM",$E34&lt;&gt;$H34),"Released from Divest to Position "&amp;$H34,IF(AND($C34="5:45 AM",$E34&lt;&gt;$H34),"Takes over Divest Position "&amp;$H34,"No 5:45 handoff")))</f>
        <v>Takes over Divest Position 51</v>
      </c>
      <c r="L34" s="38" t="str">
        <f aca="false">IF($A34="","",IF(AND(IFERROR(INDEX('Position Library'!$D$2:$D$53,MATCH($E34,'Position Library'!$A$2:$A$53,0)),"")="Tier 1",$C34&lt;&gt;"3:45 AM"),"OPENING GAP",IF($H34="","SECOND DUTY GAP","COVERED")))</f>
        <v>COVERED</v>
      </c>
    </row>
    <row r="35" customFormat="false" ht="27.75" hidden="false" customHeight="true" outlineLevel="0" collapsed="false">
      <c r="A35" s="38" t="str">
        <f aca="false">IF(OR('Daily Schedule'!$H36="3:45 AM",'Daily Schedule'!$H36="5:45 AM"),'Daily Schedule'!$F36,"")</f>
        <v>EMP-0051</v>
      </c>
      <c r="B35" s="38" t="str">
        <f aca="false">IF($A35="","",'Daily Schedule'!$G36)</f>
        <v>Dequavius Parker</v>
      </c>
      <c r="C35" s="38" t="str">
        <f aca="false">IF($A35="","",'Daily Schedule'!$H36)</f>
        <v>5:45 AM</v>
      </c>
      <c r="D35" s="38" t="str">
        <f aca="false">IF($C35="3:45 AM","3:45 AM",IF($C35="5:45 AM","5:45 AM",""))</f>
        <v>5:45 AM</v>
      </c>
      <c r="E35" s="38" t="n">
        <f aca="false">IF($A35="","",'Daily Schedule'!$A36)</f>
        <v>36</v>
      </c>
      <c r="F35" s="38" t="str">
        <f aca="false">IF($E35="","",IFERROR(INDEX('Position Library'!$B$2:$B$53,MATCH($E35,'Position Library'!$A$2:$A$53,0))&amp;" – "&amp;INDEX('Position Library'!$C$2:$C$53,MATCH($E35,'Position Library'!$A$2:$A$53,0)),""))</f>
        <v>AGT Level – T Platform Train Door 2</v>
      </c>
      <c r="G35" s="38" t="str">
        <f aca="false">IF($A35="","","5:45 AM")</f>
        <v>5:45 AM</v>
      </c>
      <c r="H35" s="38" t="n">
        <f aca="false">IF($A35="","",IF(AND($C35="3:45 AM",$E35&gt;=46,$E35&lt;=52),IFERROR(INDEX(Lists!$HK$2:$HK$8,MATCH($E35,Lists!$HI$2:$HI$8,0)),$E35),IF($C35="5:45 AM",IFERROR(INDEX(Lists!$HI$2:$HI$8,MATCH($A35,Lists!$HJ$2:$HJ$8,0)),$E35),$E35)))</f>
        <v>52</v>
      </c>
      <c r="I35" s="38" t="str">
        <f aca="false">IF($H35="","",IFERROR(INDEX('Position Library'!$B$2:$B$53,MATCH($H35,'Position Library'!$A$2:$A$53,0))&amp;" – "&amp;INDEX('Position Library'!$C$2:$C$53,MATCH($H35,'Position Library'!$A$2:$A$53,0)),""))</f>
        <v>Lower North Security Checkpoint – Divest </v>
      </c>
      <c r="J35" s="38" t="str">
        <f aca="false">IF($A35="","",'Daily Schedule'!$N36)</f>
        <v>10:00 AM</v>
      </c>
      <c r="K35" s="38" t="str">
        <f aca="false">IF($A35="","",IF(AND($C35="3:45 AM",$E35&lt;&gt;$H35),"Released from Divest to Position "&amp;$H35,IF(AND($C35="5:45 AM",$E35&lt;&gt;$H35),"Takes over Divest Position "&amp;$H35,"No 5:45 handoff")))</f>
        <v>Takes over Divest Position 52</v>
      </c>
      <c r="L35" s="38" t="str">
        <f aca="false">IF($A35="","",IF(AND(IFERROR(INDEX('Position Library'!$D$2:$D$53,MATCH($E35,'Position Library'!$A$2:$A$53,0)),"")="Tier 1",$C35&lt;&gt;"3:45 AM"),"OPENING GAP",IF($H35="","SECOND DUTY GAP","COVERED")))</f>
        <v>COVERED</v>
      </c>
    </row>
    <row r="36" customFormat="false" ht="15" hidden="false" customHeight="true" outlineLevel="0" collapsed="false">
      <c r="A36" s="38" t="str">
        <f aca="false">IF(OR('Daily Schedule'!$H37="3:45 AM",'Daily Schedule'!$H37="5:45 AM"),'Daily Schedule'!$F37,"")</f>
        <v>EMP-0063</v>
      </c>
      <c r="B36" s="38" t="str">
        <f aca="false">IF($A36="","",'Daily Schedule'!$G37)</f>
        <v>Feleke Tekle</v>
      </c>
      <c r="C36" s="38" t="str">
        <f aca="false">IF($A36="","",'Daily Schedule'!$H37)</f>
        <v>5:45 AM</v>
      </c>
      <c r="D36" s="38" t="str">
        <f aca="false">IF($C36="3:45 AM","3:45 AM",IF($C36="5:45 AM","5:45 AM",""))</f>
        <v>5:45 AM</v>
      </c>
      <c r="E36" s="38" t="n">
        <f aca="false">IF($A36="","",'Daily Schedule'!$A37)</f>
        <v>37</v>
      </c>
      <c r="F36" s="38" t="str">
        <f aca="false">IF($E36="","",IFERROR(INDEX('Position Library'!$B$2:$B$53,MATCH($E36,'Position Library'!$A$2:$A$53,0))&amp;" – "&amp;INDEX('Position Library'!$C$2:$C$53,MATCH($E36,'Position Library'!$A$2:$A$53,0)),""))</f>
        <v>AGT Level – T--Platform</v>
      </c>
      <c r="G36" s="38" t="str">
        <f aca="false">IF($A36="","","5:45 AM")</f>
        <v>5:45 AM</v>
      </c>
      <c r="H36" s="38" t="n">
        <f aca="false">IF($A36="","",IF(AND($C36="3:45 AM",$E36&gt;=46,$E36&lt;=52),IFERROR(INDEX(Lists!$HK$2:$HK$8,MATCH($E36,Lists!$HI$2:$HI$8,0)),$E36),IF($C36="5:45 AM",IFERROR(INDEX(Lists!$HI$2:$HI$8,MATCH($A36,Lists!$HJ$2:$HJ$8,0)),$E36),$E36)))</f>
        <v>37</v>
      </c>
      <c r="I36" s="38" t="str">
        <f aca="false">IF($H36="","",IFERROR(INDEX('Position Library'!$B$2:$B$53,MATCH($H36,'Position Library'!$A$2:$A$53,0))&amp;" – "&amp;INDEX('Position Library'!$C$2:$C$53,MATCH($H36,'Position Library'!$A$2:$A$53,0)),""))</f>
        <v>AGT Level – T--Platform</v>
      </c>
      <c r="J36" s="38" t="str">
        <f aca="false">IF($A36="","",'Daily Schedule'!$N37)</f>
        <v>9:00 AM</v>
      </c>
      <c r="K36" s="38" t="str">
        <f aca="false">IF($A36="","",IF(AND($C36="3:45 AM",$E36&lt;&gt;$H36),"Released from Divest to Position "&amp;$H36,IF(AND($C36="5:45 AM",$E36&lt;&gt;$H36),"Takes over Divest Position "&amp;$H36,"No 5:45 handoff")))</f>
        <v>No 5:45 handoff</v>
      </c>
      <c r="L36" s="38" t="str">
        <f aca="false">IF($A36="","",IF(AND(IFERROR(INDEX('Position Library'!$D$2:$D$53,MATCH($E36,'Position Library'!$A$2:$A$53,0)),"")="Tier 1",$C36&lt;&gt;"3:45 AM"),"OPENING GAP",IF($H36="","SECOND DUTY GAP","COVERED")))</f>
        <v>COVERED</v>
      </c>
    </row>
    <row r="37" customFormat="false" ht="15" hidden="false" customHeight="true" outlineLevel="0" collapsed="false">
      <c r="A37" s="38" t="str">
        <f aca="false">IF(OR('Daily Schedule'!$H38="3:45 AM",'Daily Schedule'!$H38="5:45 AM"),'Daily Schedule'!$F38,"")</f>
        <v>EMP-0065</v>
      </c>
      <c r="B37" s="38" t="str">
        <f aca="false">IF($A37="","",'Daily Schedule'!$G38)</f>
        <v>Gregory Mallett</v>
      </c>
      <c r="C37" s="38" t="str">
        <f aca="false">IF($A37="","",'Daily Schedule'!$H38)</f>
        <v>5:45 AM</v>
      </c>
      <c r="D37" s="38" t="str">
        <f aca="false">IF($C37="3:45 AM","3:45 AM",IF($C37="5:45 AM","5:45 AM",""))</f>
        <v>5:45 AM</v>
      </c>
      <c r="E37" s="38" t="n">
        <f aca="false">IF($A37="","",'Daily Schedule'!$A38)</f>
        <v>40</v>
      </c>
      <c r="F37" s="38" t="str">
        <f aca="false">IF($E37="","",IFERROR(INDEX('Position Library'!$B$2:$B$53,MATCH($E37,'Position Library'!$A$2:$A$53,0))&amp;" – "&amp;INDEX('Position Library'!$C$2:$C$53,MATCH($E37,'Position Library'!$A$2:$A$53,0)),""))</f>
        <v>AGT Level – T Bridge Landing</v>
      </c>
      <c r="G37" s="38" t="str">
        <f aca="false">IF($A37="","","5:45 AM")</f>
        <v>5:45 AM</v>
      </c>
      <c r="H37" s="38" t="n">
        <f aca="false">IF($A37="","",IF(AND($C37="3:45 AM",$E37&gt;=46,$E37&lt;=52),IFERROR(INDEX(Lists!$HK$2:$HK$8,MATCH($E37,Lists!$HI$2:$HI$8,0)),$E37),IF($C37="5:45 AM",IFERROR(INDEX(Lists!$HI$2:$HI$8,MATCH($A37,Lists!$HJ$2:$HJ$8,0)),$E37),$E37)))</f>
        <v>40</v>
      </c>
      <c r="I37" s="38" t="str">
        <f aca="false">IF($H37="","",IFERROR(INDEX('Position Library'!$B$2:$B$53,MATCH($H37,'Position Library'!$A$2:$A$53,0))&amp;" – "&amp;INDEX('Position Library'!$C$2:$C$53,MATCH($H37,'Position Library'!$A$2:$A$53,0)),""))</f>
        <v>AGT Level – T Bridge Landing</v>
      </c>
      <c r="J37" s="38" t="str">
        <f aca="false">IF($A37="","",'Daily Schedule'!$N38)</f>
        <v>10:00 AM</v>
      </c>
      <c r="K37" s="38" t="str">
        <f aca="false">IF($A37="","",IF(AND($C37="3:45 AM",$E37&lt;&gt;$H37),"Released from Divest to Position "&amp;$H37,IF(AND($C37="5:45 AM",$E37&lt;&gt;$H37),"Takes over Divest Position "&amp;$H37,"No 5:45 handoff")))</f>
        <v>No 5:45 handoff</v>
      </c>
      <c r="L37" s="38" t="str">
        <f aca="false">IF($A37="","",IF(AND(IFERROR(INDEX('Position Library'!$D$2:$D$53,MATCH($E37,'Position Library'!$A$2:$A$53,0)),"")="Tier 1",$C37&lt;&gt;"3:45 AM"),"OPENING GAP",IF($H37="","SECOND DUTY GAP","COVERED")))</f>
        <v>COVERED</v>
      </c>
    </row>
    <row r="38" customFormat="false" ht="15" hidden="false" customHeight="true" outlineLevel="0" collapsed="false">
      <c r="A38" s="38" t="str">
        <f aca="false">IF(OR('Daily Schedule'!$H39="3:45 AM",'Daily Schedule'!$H39="5:45 AM"),'Daily Schedule'!$F39,"")</f>
        <v>EMP-0066</v>
      </c>
      <c r="B38" s="38" t="str">
        <f aca="false">IF($A38="","",'Daily Schedule'!$G39)</f>
        <v>Habtewold Daba</v>
      </c>
      <c r="C38" s="38" t="str">
        <f aca="false">IF($A38="","",'Daily Schedule'!$H39)</f>
        <v>5:45 AM</v>
      </c>
      <c r="D38" s="38" t="str">
        <f aca="false">IF($C38="3:45 AM","3:45 AM",IF($C38="5:45 AM","5:45 AM",""))</f>
        <v>5:45 AM</v>
      </c>
      <c r="E38" s="38" t="n">
        <f aca="false">IF($A38="","",'Daily Schedule'!$A39)</f>
        <v>20</v>
      </c>
      <c r="F38" s="38" t="str">
        <f aca="false">IF($E38="","",IFERROR(INDEX('Position Library'!$B$2:$B$53,MATCH($E38,'Position Library'!$A$2:$A$53,0))&amp;" – "&amp;INDEX('Position Library'!$C$2:$C$53,MATCH($E38,'Position Library'!$A$2:$A$53,0)),""))</f>
        <v>South Security Checkpoint – IHOP </v>
      </c>
      <c r="G38" s="38" t="str">
        <f aca="false">IF($A38="","","5:45 AM")</f>
        <v>5:45 AM</v>
      </c>
      <c r="H38" s="38" t="n">
        <f aca="false">IF($A38="","",IF(AND($C38="3:45 AM",$E38&gt;=46,$E38&lt;=52),IFERROR(INDEX(Lists!$HK$2:$HK$8,MATCH($E38,Lists!$HI$2:$HI$8,0)),$E38),IF($C38="5:45 AM",IFERROR(INDEX(Lists!$HI$2:$HI$8,MATCH($A38,Lists!$HJ$2:$HJ$8,0)),$E38),$E38)))</f>
        <v>20</v>
      </c>
      <c r="I38" s="38" t="str">
        <f aca="false">IF($H38="","",IFERROR(INDEX('Position Library'!$B$2:$B$53,MATCH($H38,'Position Library'!$A$2:$A$53,0))&amp;" – "&amp;INDEX('Position Library'!$C$2:$C$53,MATCH($H38,'Position Library'!$A$2:$A$53,0)),""))</f>
        <v>South Security Checkpoint – IHOP </v>
      </c>
      <c r="J38" s="38" t="str">
        <f aca="false">IF($A38="","",'Daily Schedule'!$N39)</f>
        <v>10:00 AM</v>
      </c>
      <c r="K38" s="38" t="str">
        <f aca="false">IF($A38="","",IF(AND($C38="3:45 AM",$E38&lt;&gt;$H38),"Released from Divest to Position "&amp;$H38,IF(AND($C38="5:45 AM",$E38&lt;&gt;$H38),"Takes over Divest Position "&amp;$H38,"No 5:45 handoff")))</f>
        <v>No 5:45 handoff</v>
      </c>
      <c r="L38" s="38" t="str">
        <f aca="false">IF($A38="","",IF(AND(IFERROR(INDEX('Position Library'!$D$2:$D$53,MATCH($E38,'Position Library'!$A$2:$A$53,0)),"")="Tier 1",$C38&lt;&gt;"3:45 AM"),"OPENING GAP",IF($H38="","SECOND DUTY GAP","COVERED")))</f>
        <v>COVERED</v>
      </c>
    </row>
    <row r="39" customFormat="false" ht="15" hidden="false" customHeight="true" outlineLevel="0" collapsed="false">
      <c r="A39" s="38" t="str">
        <f aca="false">IF(OR('Daily Schedule'!$H40="3:45 AM",'Daily Schedule'!$H40="5:45 AM"),'Daily Schedule'!$F40,"")</f>
        <v>EMP-0070</v>
      </c>
      <c r="B39" s="38" t="str">
        <f aca="false">IF($A39="","",'Daily Schedule'!$G40)</f>
        <v>Isaiah Williams</v>
      </c>
      <c r="C39" s="38" t="str">
        <f aca="false">IF($A39="","",'Daily Schedule'!$H40)</f>
        <v>5:45 AM</v>
      </c>
      <c r="D39" s="38" t="str">
        <f aca="false">IF($C39="3:45 AM","3:45 AM",IF($C39="5:45 AM","5:45 AM",""))</f>
        <v>5:45 AM</v>
      </c>
      <c r="E39" s="38" t="n">
        <f aca="false">IF($A39="","",'Daily Schedule'!$A40)</f>
        <v>27</v>
      </c>
      <c r="F39" s="38" t="str">
        <f aca="false">IF($E39="","",IFERROR(INDEX('Position Library'!$B$2:$B$53,MATCH($E39,'Position Library'!$A$2:$A$53,0))&amp;" – "&amp;INDEX('Position Library'!$C$2:$C$53,MATCH($E39,'Position Library'!$A$2:$A$53,0)),""))</f>
        <v>North Security Checkpoint – We Juice It </v>
      </c>
      <c r="G39" s="38" t="str">
        <f aca="false">IF($A39="","","5:45 AM")</f>
        <v>5:45 AM</v>
      </c>
      <c r="H39" s="38" t="n">
        <f aca="false">IF($A39="","",IF(AND($C39="3:45 AM",$E39&gt;=46,$E39&lt;=52),IFERROR(INDEX(Lists!$HK$2:$HK$8,MATCH($E39,Lists!$HI$2:$HI$8,0)),$E39),IF($C39="5:45 AM",IFERROR(INDEX(Lists!$HI$2:$HI$8,MATCH($A39,Lists!$HJ$2:$HJ$8,0)),$E39),$E39)))</f>
        <v>27</v>
      </c>
      <c r="I39" s="38" t="str">
        <f aca="false">IF($H39="","",IFERROR(INDEX('Position Library'!$B$2:$B$53,MATCH($H39,'Position Library'!$A$2:$A$53,0))&amp;" – "&amp;INDEX('Position Library'!$C$2:$C$53,MATCH($H39,'Position Library'!$A$2:$A$53,0)),""))</f>
        <v>North Security Checkpoint – We Juice It </v>
      </c>
      <c r="J39" s="38" t="str">
        <f aca="false">IF($A39="","",'Daily Schedule'!$N40)</f>
        <v>9:00 AM</v>
      </c>
      <c r="K39" s="38" t="str">
        <f aca="false">IF($A39="","",IF(AND($C39="3:45 AM",$E39&lt;&gt;$H39),"Released from Divest to Position "&amp;$H39,IF(AND($C39="5:45 AM",$E39&lt;&gt;$H39),"Takes over Divest Position "&amp;$H39,"No 5:45 handoff")))</f>
        <v>No 5:45 handoff</v>
      </c>
      <c r="L39" s="38" t="str">
        <f aca="false">IF($A39="","",IF(AND(IFERROR(INDEX('Position Library'!$D$2:$D$53,MATCH($E39,'Position Library'!$A$2:$A$53,0)),"")="Tier 1",$C39&lt;&gt;"3:45 AM"),"OPENING GAP",IF($H39="","SECOND DUTY GAP","COVERED")))</f>
        <v>COVERED</v>
      </c>
    </row>
    <row r="40" customFormat="false" ht="27.75" hidden="false" customHeight="true" outlineLevel="0" collapsed="false">
      <c r="A40" s="38" t="str">
        <f aca="false">IF(OR('Daily Schedule'!$H41="3:45 AM",'Daily Schedule'!$H41="5:45 AM"),'Daily Schedule'!$F41,"")</f>
        <v>EMP-0073</v>
      </c>
      <c r="B40" s="38" t="str">
        <f aca="false">IF($A40="","",'Daily Schedule'!$G41)</f>
        <v>Jacquatta Green</v>
      </c>
      <c r="C40" s="38" t="str">
        <f aca="false">IF($A40="","",'Daily Schedule'!$H41)</f>
        <v>5:45 AM</v>
      </c>
      <c r="D40" s="38" t="str">
        <f aca="false">IF($C40="3:45 AM","3:45 AM",IF($C40="5:45 AM","5:45 AM",""))</f>
        <v>5:45 AM</v>
      </c>
      <c r="E40" s="38" t="n">
        <f aca="false">IF($A40="","",'Daily Schedule'!$A41)</f>
        <v>30</v>
      </c>
      <c r="F40" s="38" t="str">
        <f aca="false">IF($E40="","",IFERROR(INDEX('Position Library'!$B$2:$B$53,MATCH($E40,'Position Library'!$A$2:$A$53,0))&amp;" – "&amp;INDEX('Position Library'!$C$2:$C$53,MATCH($E40,'Position Library'!$A$2:$A$53,0)),""))</f>
        <v>North Security Checkpoint – North Corridor</v>
      </c>
      <c r="G40" s="38" t="str">
        <f aca="false">IF($A40="","","5:45 AM")</f>
        <v>5:45 AM</v>
      </c>
      <c r="H40" s="38" t="n">
        <f aca="false">IF($A40="","",IF(AND($C40="3:45 AM",$E40&gt;=46,$E40&lt;=52),IFERROR(INDEX(Lists!$HK$2:$HK$8,MATCH($E40,Lists!$HI$2:$HI$8,0)),$E40),IF($C40="5:45 AM",IFERROR(INDEX(Lists!$HI$2:$HI$8,MATCH($A40,Lists!$HJ$2:$HJ$8,0)),$E40),$E40)))</f>
        <v>30</v>
      </c>
      <c r="I40" s="38" t="str">
        <f aca="false">IF($H40="","",IFERROR(INDEX('Position Library'!$B$2:$B$53,MATCH($H40,'Position Library'!$A$2:$A$53,0))&amp;" – "&amp;INDEX('Position Library'!$C$2:$C$53,MATCH($H40,'Position Library'!$A$2:$A$53,0)),""))</f>
        <v>North Security Checkpoint – North Corridor</v>
      </c>
      <c r="J40" s="38" t="str">
        <f aca="false">IF($A40="","",'Daily Schedule'!$N41)</f>
        <v>10:00 AM</v>
      </c>
      <c r="K40" s="38" t="str">
        <f aca="false">IF($A40="","",IF(AND($C40="3:45 AM",$E40&lt;&gt;$H40),"Released from Divest to Position "&amp;$H40,IF(AND($C40="5:45 AM",$E40&lt;&gt;$H40),"Takes over Divest Position "&amp;$H40,"No 5:45 handoff")))</f>
        <v>No 5:45 handoff</v>
      </c>
      <c r="L40" s="38" t="str">
        <f aca="false">IF($A40="","",IF(AND(IFERROR(INDEX('Position Library'!$D$2:$D$53,MATCH($E40,'Position Library'!$A$2:$A$53,0)),"")="Tier 1",$C40&lt;&gt;"3:45 AM"),"OPENING GAP",IF($H40="","SECOND DUTY GAP","COVERED")))</f>
        <v>COVERED</v>
      </c>
    </row>
    <row r="41" customFormat="false" ht="27.75" hidden="false" customHeight="true" outlineLevel="0" collapsed="false">
      <c r="A41" s="38" t="str">
        <f aca="false">IF(OR('Daily Schedule'!$H42="3:45 AM",'Daily Schedule'!$H42="5:45 AM"),'Daily Schedule'!$F42,"")</f>
        <v>EMP-0074</v>
      </c>
      <c r="B41" s="38" t="str">
        <f aca="false">IF($A41="","",'Daily Schedule'!$G42)</f>
        <v>Jada Batiste</v>
      </c>
      <c r="C41" s="38" t="str">
        <f aca="false">IF($A41="","",'Daily Schedule'!$H42)</f>
        <v>5:45 AM</v>
      </c>
      <c r="D41" s="38" t="str">
        <f aca="false">IF($C41="3:45 AM","3:45 AM",IF($C41="5:45 AM","5:45 AM",""))</f>
        <v>5:45 AM</v>
      </c>
      <c r="E41" s="38" t="n">
        <f aca="false">IF($A41="","",'Daily Schedule'!$A42)</f>
        <v>6</v>
      </c>
      <c r="F41" s="38" t="str">
        <f aca="false">IF($E41="","",IFERROR(INDEX('Position Library'!$B$2:$B$53,MATCH($E41,'Position Library'!$A$2:$A$53,0))&amp;" – "&amp;INDEX('Position Library'!$C$2:$C$53,MATCH($E41,'Position Library'!$A$2:$A$53,0)),""))</f>
        <v>Main Security Checkpoint – MSC Escalator</v>
      </c>
      <c r="G41" s="38" t="str">
        <f aca="false">IF($A41="","","5:45 AM")</f>
        <v>5:45 AM</v>
      </c>
      <c r="H41" s="38" t="n">
        <f aca="false">IF($A41="","",IF(AND($C41="3:45 AM",$E41&gt;=46,$E41&lt;=52),IFERROR(INDEX(Lists!$HK$2:$HK$8,MATCH($E41,Lists!$HI$2:$HI$8,0)),$E41),IF($C41="5:45 AM",IFERROR(INDEX(Lists!$HI$2:$HI$8,MATCH($A41,Lists!$HJ$2:$HJ$8,0)),$E41),$E41)))</f>
        <v>6</v>
      </c>
      <c r="I41" s="38" t="str">
        <f aca="false">IF($H41="","",IFERROR(INDEX('Position Library'!$B$2:$B$53,MATCH($H41,'Position Library'!$A$2:$A$53,0))&amp;" – "&amp;INDEX('Position Library'!$C$2:$C$53,MATCH($H41,'Position Library'!$A$2:$A$53,0)),""))</f>
        <v>Main Security Checkpoint – MSC Escalator</v>
      </c>
      <c r="J41" s="38" t="str">
        <f aca="false">IF($A41="","",'Daily Schedule'!$N42)</f>
        <v>10:00 AM</v>
      </c>
      <c r="K41" s="38" t="str">
        <f aca="false">IF($A41="","",IF(AND($C41="3:45 AM",$E41&lt;&gt;$H41),"Released from Divest to Position "&amp;$H41,IF(AND($C41="5:45 AM",$E41&lt;&gt;$H41),"Takes over Divest Position "&amp;$H41,"No 5:45 handoff")))</f>
        <v>No 5:45 handoff</v>
      </c>
      <c r="L41" s="38" t="str">
        <f aca="false">IF($A41="","",IF(AND(IFERROR(INDEX('Position Library'!$D$2:$D$53,MATCH($E41,'Position Library'!$A$2:$A$53,0)),"")="Tier 1",$C41&lt;&gt;"3:45 AM"),"OPENING GAP",IF($H41="","SECOND DUTY GAP","COVERED")))</f>
        <v>COVERED</v>
      </c>
    </row>
    <row r="42" customFormat="false" ht="27.75" hidden="false" customHeight="true" outlineLevel="0" collapsed="false">
      <c r="A42" s="38" t="str">
        <f aca="false">IF(OR('Daily Schedule'!$H43="3:45 AM",'Daily Schedule'!$H43="5:45 AM"),'Daily Schedule'!$F43,"")</f>
        <v>EMP-0076</v>
      </c>
      <c r="B42" s="38" t="str">
        <f aca="false">IF($A42="","",'Daily Schedule'!$G43)</f>
        <v>Jamal Reynolds</v>
      </c>
      <c r="C42" s="38" t="str">
        <f aca="false">IF($A42="","",'Daily Schedule'!$H43)</f>
        <v>5:45 AM</v>
      </c>
      <c r="D42" s="38" t="str">
        <f aca="false">IF($C42="3:45 AM","3:45 AM",IF($C42="5:45 AM","5:45 AM",""))</f>
        <v>5:45 AM</v>
      </c>
      <c r="E42" s="38" t="n">
        <f aca="false">IF($A42="","",'Daily Schedule'!$A43)</f>
        <v>7</v>
      </c>
      <c r="F42" s="38" t="str">
        <f aca="false">IF($E42="","",IFERROR(INDEX('Position Library'!$B$2:$B$53,MATCH($E42,'Position Library'!$A$2:$A$53,0))&amp;" – "&amp;INDEX('Position Library'!$C$2:$C$53,MATCH($E42,'Position Library'!$A$2:$A$53,0)),""))</f>
        <v>Main Security Checkpoint – MSC Escalator </v>
      </c>
      <c r="G42" s="38" t="str">
        <f aca="false">IF($A42="","","5:45 AM")</f>
        <v>5:45 AM</v>
      </c>
      <c r="H42" s="38" t="n">
        <f aca="false">IF($A42="","",IF(AND($C42="3:45 AM",$E42&gt;=46,$E42&lt;=52),IFERROR(INDEX(Lists!$HK$2:$HK$8,MATCH($E42,Lists!$HI$2:$HI$8,0)),$E42),IF($C42="5:45 AM",IFERROR(INDEX(Lists!$HI$2:$HI$8,MATCH($A42,Lists!$HJ$2:$HJ$8,0)),$E42),$E42)))</f>
        <v>7</v>
      </c>
      <c r="I42" s="38" t="str">
        <f aca="false">IF($H42="","",IFERROR(INDEX('Position Library'!$B$2:$B$53,MATCH($H42,'Position Library'!$A$2:$A$53,0))&amp;" – "&amp;INDEX('Position Library'!$C$2:$C$53,MATCH($H42,'Position Library'!$A$2:$A$53,0)),""))</f>
        <v>Main Security Checkpoint – MSC Escalator </v>
      </c>
      <c r="J42" s="38" t="str">
        <f aca="false">IF($A42="","",'Daily Schedule'!$N43)</f>
        <v>9:00 AM</v>
      </c>
      <c r="K42" s="38" t="str">
        <f aca="false">IF($A42="","",IF(AND($C42="3:45 AM",$E42&lt;&gt;$H42),"Released from Divest to Position "&amp;$H42,IF(AND($C42="5:45 AM",$E42&lt;&gt;$H42),"Takes over Divest Position "&amp;$H42,"No 5:45 handoff")))</f>
        <v>No 5:45 handoff</v>
      </c>
      <c r="L42" s="38" t="str">
        <f aca="false">IF($A42="","",IF(AND(IFERROR(INDEX('Position Library'!$D$2:$D$53,MATCH($E42,'Position Library'!$A$2:$A$53,0)),"")="Tier 1",$C42&lt;&gt;"3:45 AM"),"OPENING GAP",IF($H42="","SECOND DUTY GAP","COVERED")))</f>
        <v>COVERED</v>
      </c>
    </row>
    <row r="43" customFormat="false" ht="15" hidden="false" customHeight="true" outlineLevel="0" collapsed="false">
      <c r="A43" s="38" t="str">
        <f aca="false">IF(OR('Daily Schedule'!$H44="3:45 AM",'Daily Schedule'!$H44="5:45 AM"),'Daily Schedule'!$F44,"")</f>
        <v>EMP-0086</v>
      </c>
      <c r="B43" s="38" t="str">
        <f aca="false">IF($A43="","",'Daily Schedule'!$G44)</f>
        <v>Kidest Solomon</v>
      </c>
      <c r="C43" s="38" t="str">
        <f aca="false">IF($A43="","",'Daily Schedule'!$H44)</f>
        <v>5:45 AM</v>
      </c>
      <c r="D43" s="38" t="str">
        <f aca="false">IF($C43="3:45 AM","3:45 AM",IF($C43="5:45 AM","5:45 AM",""))</f>
        <v>5:45 AM</v>
      </c>
      <c r="E43" s="38" t="n">
        <f aca="false">IF($A43="","",'Daily Schedule'!$A44)</f>
        <v>10</v>
      </c>
      <c r="F43" s="38" t="str">
        <f aca="false">IF($E43="","",IFERROR(INDEX('Position Library'!$B$2:$B$53,MATCH($E43,'Position Library'!$A$2:$A$53,0))&amp;" – "&amp;INDEX('Position Library'!$C$2:$C$53,MATCH($E43,'Position Library'!$A$2:$A$53,0)),""))</f>
        <v>Atrium – KIA </v>
      </c>
      <c r="G43" s="38" t="str">
        <f aca="false">IF($A43="","","5:45 AM")</f>
        <v>5:45 AM</v>
      </c>
      <c r="H43" s="38" t="n">
        <f aca="false">IF($A43="","",IF(AND($C43="3:45 AM",$E43&gt;=46,$E43&lt;=52),IFERROR(INDEX(Lists!$HK$2:$HK$8,MATCH($E43,Lists!$HI$2:$HI$8,0)),$E43),IF($C43="5:45 AM",IFERROR(INDEX(Lists!$HI$2:$HI$8,MATCH($A43,Lists!$HJ$2:$HJ$8,0)),$E43),$E43)))</f>
        <v>10</v>
      </c>
      <c r="I43" s="38" t="str">
        <f aca="false">IF($H43="","",IFERROR(INDEX('Position Library'!$B$2:$B$53,MATCH($H43,'Position Library'!$A$2:$A$53,0))&amp;" – "&amp;INDEX('Position Library'!$C$2:$C$53,MATCH($H43,'Position Library'!$A$2:$A$53,0)),""))</f>
        <v>Atrium – KIA </v>
      </c>
      <c r="J43" s="38" t="str">
        <f aca="false">IF($A43="","",'Daily Schedule'!$N44)</f>
        <v>10:00 AM</v>
      </c>
      <c r="K43" s="38" t="str">
        <f aca="false">IF($A43="","",IF(AND($C43="3:45 AM",$E43&lt;&gt;$H43),"Released from Divest to Position "&amp;$H43,IF(AND($C43="5:45 AM",$E43&lt;&gt;$H43),"Takes over Divest Position "&amp;$H43,"No 5:45 handoff")))</f>
        <v>No 5:45 handoff</v>
      </c>
      <c r="L43" s="38" t="str">
        <f aca="false">IF($A43="","",IF(AND(IFERROR(INDEX('Position Library'!$D$2:$D$53,MATCH($E43,'Position Library'!$A$2:$A$53,0)),"")="Tier 1",$C43&lt;&gt;"3:45 AM"),"OPENING GAP",IF($H43="","SECOND DUTY GAP","COVERED")))</f>
        <v>COVERED</v>
      </c>
    </row>
    <row r="44" customFormat="false" ht="15" hidden="false" customHeight="true" outlineLevel="0" collapsed="false">
      <c r="A44" s="38" t="str">
        <f aca="false">IF(OR('Daily Schedule'!$H45="3:45 AM",'Daily Schedule'!$H45="5:45 AM"),'Daily Schedule'!$F45,"")</f>
        <v>EMP-0088</v>
      </c>
      <c r="B44" s="38" t="str">
        <f aca="false">IF($A44="","",'Daily Schedule'!$G45)</f>
        <v>Kimberly Smoot</v>
      </c>
      <c r="C44" s="38" t="str">
        <f aca="false">IF($A44="","",'Daily Schedule'!$H45)</f>
        <v>5:45 AM</v>
      </c>
      <c r="D44" s="38" t="str">
        <f aca="false">IF($C44="3:45 AM","3:45 AM",IF($C44="5:45 AM","5:45 AM",""))</f>
        <v>5:45 AM</v>
      </c>
      <c r="E44" s="38" t="n">
        <f aca="false">IF($A44="","",'Daily Schedule'!$A45)</f>
        <v>11</v>
      </c>
      <c r="F44" s="38" t="str">
        <f aca="false">IF($E44="","",IFERROR(INDEX('Position Library'!$B$2:$B$53,MATCH($E44,'Position Library'!$A$2:$A$53,0))&amp;" – "&amp;INDEX('Position Library'!$C$2:$C$53,MATCH($E44,'Position Library'!$A$2:$A$53,0)),""))</f>
        <v>Atrium – West Elevator </v>
      </c>
      <c r="G44" s="38" t="str">
        <f aca="false">IF($A44="","","5:45 AM")</f>
        <v>5:45 AM</v>
      </c>
      <c r="H44" s="38" t="n">
        <f aca="false">IF($A44="","",IF(AND($C44="3:45 AM",$E44&gt;=46,$E44&lt;=52),IFERROR(INDEX(Lists!$HK$2:$HK$8,MATCH($E44,Lists!$HI$2:$HI$8,0)),$E44),IF($C44="5:45 AM",IFERROR(INDEX(Lists!$HI$2:$HI$8,MATCH($A44,Lists!$HJ$2:$HJ$8,0)),$E44),$E44)))</f>
        <v>11</v>
      </c>
      <c r="I44" s="38" t="str">
        <f aca="false">IF($H44="","",IFERROR(INDEX('Position Library'!$B$2:$B$53,MATCH($H44,'Position Library'!$A$2:$A$53,0))&amp;" – "&amp;INDEX('Position Library'!$C$2:$C$53,MATCH($H44,'Position Library'!$A$2:$A$53,0)),""))</f>
        <v>Atrium – West Elevator </v>
      </c>
      <c r="J44" s="38" t="str">
        <f aca="false">IF($A44="","",'Daily Schedule'!$N45)</f>
        <v>10:00 AM</v>
      </c>
      <c r="K44" s="38" t="str">
        <f aca="false">IF($A44="","",IF(AND($C44="3:45 AM",$E44&lt;&gt;$H44),"Released from Divest to Position "&amp;$H44,IF(AND($C44="5:45 AM",$E44&lt;&gt;$H44),"Takes over Divest Position "&amp;$H44,"No 5:45 handoff")))</f>
        <v>No 5:45 handoff</v>
      </c>
      <c r="L44" s="38" t="str">
        <f aca="false">IF($A44="","",IF(AND(IFERROR(INDEX('Position Library'!$D$2:$D$53,MATCH($E44,'Position Library'!$A$2:$A$53,0)),"")="Tier 1",$C44&lt;&gt;"3:45 AM"),"OPENING GAP",IF($H44="","SECOND DUTY GAP","COVERED")))</f>
        <v>COVERED</v>
      </c>
    </row>
    <row r="45" customFormat="false" ht="15" hidden="false" customHeight="true" outlineLevel="0" collapsed="false">
      <c r="A45" s="38" t="str">
        <f aca="false">IF(OR('Daily Schedule'!$H46="3:45 AM",'Daily Schedule'!$H46="5:45 AM"),'Daily Schedule'!$F46,"")</f>
        <v>EMP-0095</v>
      </c>
      <c r="B45" s="38" t="str">
        <f aca="false">IF($A45="","",'Daily Schedule'!$G46)</f>
        <v>Linton Brereton</v>
      </c>
      <c r="C45" s="38" t="str">
        <f aca="false">IF($A45="","",'Daily Schedule'!$H46)</f>
        <v>5:45 AM</v>
      </c>
      <c r="D45" s="38" t="str">
        <f aca="false">IF($C45="3:45 AM","3:45 AM",IF($C45="5:45 AM","5:45 AM",""))</f>
        <v>5:45 AM</v>
      </c>
      <c r="E45" s="38" t="n">
        <f aca="false">IF($A45="","",'Daily Schedule'!$A46)</f>
        <v>12</v>
      </c>
      <c r="F45" s="38" t="str">
        <f aca="false">IF($E45="","",IFERROR(INDEX('Position Library'!$B$2:$B$53,MATCH($E45,'Position Library'!$A$2:$A$53,0))&amp;" – "&amp;INDEX('Position Library'!$C$2:$C$53,MATCH($E45,'Position Library'!$A$2:$A$53,0)),""))</f>
        <v>Atrium – KIA</v>
      </c>
      <c r="G45" s="38" t="str">
        <f aca="false">IF($A45="","","5:45 AM")</f>
        <v>5:45 AM</v>
      </c>
      <c r="H45" s="38" t="n">
        <f aca="false">IF($A45="","",IF(AND($C45="3:45 AM",$E45&gt;=46,$E45&lt;=52),IFERROR(INDEX(Lists!$HK$2:$HK$8,MATCH($E45,Lists!$HI$2:$HI$8,0)),$E45),IF($C45="5:45 AM",IFERROR(INDEX(Lists!$HI$2:$HI$8,MATCH($A45,Lists!$HJ$2:$HJ$8,0)),$E45),$E45)))</f>
        <v>12</v>
      </c>
      <c r="I45" s="38" t="str">
        <f aca="false">IF($H45="","",IFERROR(INDEX('Position Library'!$B$2:$B$53,MATCH($H45,'Position Library'!$A$2:$A$53,0))&amp;" – "&amp;INDEX('Position Library'!$C$2:$C$53,MATCH($H45,'Position Library'!$A$2:$A$53,0)),""))</f>
        <v>Atrium – KIA</v>
      </c>
      <c r="J45" s="38" t="str">
        <f aca="false">IF($A45="","",'Daily Schedule'!$N46)</f>
        <v>9:00 AM</v>
      </c>
      <c r="K45" s="38" t="str">
        <f aca="false">IF($A45="","",IF(AND($C45="3:45 AM",$E45&lt;&gt;$H45),"Released from Divest to Position "&amp;$H45,IF(AND($C45="5:45 AM",$E45&lt;&gt;$H45),"Takes over Divest Position "&amp;$H45,"No 5:45 handoff")))</f>
        <v>No 5:45 handoff</v>
      </c>
      <c r="L45" s="38" t="str">
        <f aca="false">IF($A45="","",IF(AND(IFERROR(INDEX('Position Library'!$D$2:$D$53,MATCH($E45,'Position Library'!$A$2:$A$53,0)),"")="Tier 1",$C45&lt;&gt;"3:45 AM"),"OPENING GAP",IF($H45="","SECOND DUTY GAP","COVERED")))</f>
        <v>COVERED</v>
      </c>
    </row>
    <row r="46" customFormat="false" ht="15" hidden="false" customHeight="true" outlineLevel="0" collapsed="false">
      <c r="A46" s="38" t="str">
        <f aca="false">IF(OR('Daily Schedule'!$H47="3:45 AM",'Daily Schedule'!$H47="5:45 AM"),'Daily Schedule'!$F47,"")</f>
        <v>EMP-0098</v>
      </c>
      <c r="B46" s="38" t="str">
        <f aca="false">IF($A46="","",'Daily Schedule'!$G47)</f>
        <v>Mamadou Seck</v>
      </c>
      <c r="C46" s="38" t="str">
        <f aca="false">IF($A46="","",'Daily Schedule'!$H47)</f>
        <v>5:45 AM</v>
      </c>
      <c r="D46" s="38" t="str">
        <f aca="false">IF($C46="3:45 AM","3:45 AM",IF($C46="5:45 AM","5:45 AM",""))</f>
        <v>5:45 AM</v>
      </c>
      <c r="E46" s="38" t="n">
        <f aca="false">IF($A46="","",'Daily Schedule'!$A47)</f>
        <v>13</v>
      </c>
      <c r="F46" s="38" t="str">
        <f aca="false">IF($E46="","",IFERROR(INDEX('Position Library'!$B$2:$B$53,MATCH($E46,'Position Library'!$A$2:$A$53,0))&amp;" – "&amp;INDEX('Position Library'!$C$2:$C$53,MATCH($E46,'Position Library'!$A$2:$A$53,0)),""))</f>
        <v>Atrium – West Elevator</v>
      </c>
      <c r="G46" s="38" t="str">
        <f aca="false">IF($A46="","","5:45 AM")</f>
        <v>5:45 AM</v>
      </c>
      <c r="H46" s="38" t="n">
        <f aca="false">IF($A46="","",IF(AND($C46="3:45 AM",$E46&gt;=46,$E46&lt;=52),IFERROR(INDEX(Lists!$HK$2:$HK$8,MATCH($E46,Lists!$HI$2:$HI$8,0)),$E46),IF($C46="5:45 AM",IFERROR(INDEX(Lists!$HI$2:$HI$8,MATCH($A46,Lists!$HJ$2:$HJ$8,0)),$E46),$E46)))</f>
        <v>13</v>
      </c>
      <c r="I46" s="38" t="str">
        <f aca="false">IF($H46="","",IFERROR(INDEX('Position Library'!$B$2:$B$53,MATCH($H46,'Position Library'!$A$2:$A$53,0))&amp;" – "&amp;INDEX('Position Library'!$C$2:$C$53,MATCH($H46,'Position Library'!$A$2:$A$53,0)),""))</f>
        <v>Atrium – West Elevator</v>
      </c>
      <c r="J46" s="38" t="str">
        <f aca="false">IF($A46="","",'Daily Schedule'!$N47)</f>
        <v>10:00 AM</v>
      </c>
      <c r="K46" s="38" t="str">
        <f aca="false">IF($A46="","",IF(AND($C46="3:45 AM",$E46&lt;&gt;$H46),"Released from Divest to Position "&amp;$H46,IF(AND($C46="5:45 AM",$E46&lt;&gt;$H46),"Takes over Divest Position "&amp;$H46,"No 5:45 handoff")))</f>
        <v>No 5:45 handoff</v>
      </c>
      <c r="L46" s="38" t="str">
        <f aca="false">IF($A46="","",IF(AND(IFERROR(INDEX('Position Library'!$D$2:$D$53,MATCH($E46,'Position Library'!$A$2:$A$53,0)),"")="Tier 1",$C46&lt;&gt;"3:45 AM"),"OPENING GAP",IF($H46="","SECOND DUTY GAP","COVERED")))</f>
        <v>COVERED</v>
      </c>
    </row>
    <row r="47" customFormat="false" ht="27.75" hidden="false" customHeight="true" outlineLevel="0" collapsed="false">
      <c r="A47" s="38" t="str">
        <f aca="false">IF(OR('Daily Schedule'!$H48="3:45 AM",'Daily Schedule'!$H48="5:45 AM"),'Daily Schedule'!$F48,"")</f>
        <v>EMP-0100</v>
      </c>
      <c r="B47" s="38" t="str">
        <f aca="false">IF($A47="","",'Daily Schedule'!$G48)</f>
        <v>Marquise Jackson</v>
      </c>
      <c r="C47" s="38" t="str">
        <f aca="false">IF($A47="","",'Daily Schedule'!$H48)</f>
        <v>5:45 AM</v>
      </c>
      <c r="D47" s="38" t="str">
        <f aca="false">IF($C47="3:45 AM","3:45 AM",IF($C47="5:45 AM","5:45 AM",""))</f>
        <v>5:45 AM</v>
      </c>
      <c r="E47" s="38" t="n">
        <f aca="false">IF($A47="","",'Daily Schedule'!$A48)</f>
        <v>15</v>
      </c>
      <c r="F47" s="38" t="str">
        <f aca="false">IF($E47="","",IFERROR(INDEX('Position Library'!$B$2:$B$53,MATCH($E47,'Position Library'!$A$2:$A$53,0))&amp;" – "&amp;INDEX('Position Library'!$C$2:$C$53,MATCH($E47,'Position Library'!$A$2:$A$53,0)),""))</f>
        <v>South Security Checkpoint – Checkpoint – Inside </v>
      </c>
      <c r="G47" s="38" t="str">
        <f aca="false">IF($A47="","","5:45 AM")</f>
        <v>5:45 AM</v>
      </c>
      <c r="H47" s="38" t="n">
        <f aca="false">IF($A47="","",IF(AND($C47="3:45 AM",$E47&gt;=46,$E47&lt;=52),IFERROR(INDEX(Lists!$HK$2:$HK$8,MATCH($E47,Lists!$HI$2:$HI$8,0)),$E47),IF($C47="5:45 AM",IFERROR(INDEX(Lists!$HI$2:$HI$8,MATCH($A47,Lists!$HJ$2:$HJ$8,0)),$E47),$E47)))</f>
        <v>15</v>
      </c>
      <c r="I47" s="38" t="str">
        <f aca="false">IF($H47="","",IFERROR(INDEX('Position Library'!$B$2:$B$53,MATCH($H47,'Position Library'!$A$2:$A$53,0))&amp;" – "&amp;INDEX('Position Library'!$C$2:$C$53,MATCH($H47,'Position Library'!$A$2:$A$53,0)),""))</f>
        <v>South Security Checkpoint – Checkpoint – Inside </v>
      </c>
      <c r="J47" s="38" t="str">
        <f aca="false">IF($A47="","",'Daily Schedule'!$N48)</f>
        <v>10:00 AM</v>
      </c>
      <c r="K47" s="38" t="str">
        <f aca="false">IF($A47="","",IF(AND($C47="3:45 AM",$E47&lt;&gt;$H47),"Released from Divest to Position "&amp;$H47,IF(AND($C47="5:45 AM",$E47&lt;&gt;$H47),"Takes over Divest Position "&amp;$H47,"No 5:45 handoff")))</f>
        <v>No 5:45 handoff</v>
      </c>
      <c r="L47" s="38" t="str">
        <f aca="false">IF($A47="","",IF(AND(IFERROR(INDEX('Position Library'!$D$2:$D$53,MATCH($E47,'Position Library'!$A$2:$A$53,0)),"")="Tier 1",$C47&lt;&gt;"3:45 AM"),"OPENING GAP",IF($H47="","SECOND DUTY GAP","COVERED")))</f>
        <v>COVERED</v>
      </c>
    </row>
    <row r="48" customFormat="false" ht="27.75" hidden="false" customHeight="true" outlineLevel="0" collapsed="false">
      <c r="A48" s="38" t="str">
        <f aca="false">IF(OR('Daily Schedule'!$H49="3:45 AM",'Daily Schedule'!$H49="5:45 AM"),'Daily Schedule'!$F49,"")</f>
        <v>EMP-0105</v>
      </c>
      <c r="B48" s="38" t="str">
        <f aca="false">IF($A48="","",'Daily Schedule'!$G49)</f>
        <v>Mildred Tarres</v>
      </c>
      <c r="C48" s="38" t="str">
        <f aca="false">IF($A48="","",'Daily Schedule'!$H49)</f>
        <v>5:45 AM</v>
      </c>
      <c r="D48" s="38" t="str">
        <f aca="false">IF($C48="3:45 AM","3:45 AM",IF($C48="5:45 AM","5:45 AM",""))</f>
        <v>5:45 AM</v>
      </c>
      <c r="E48" s="38" t="n">
        <f aca="false">IF($A48="","",'Daily Schedule'!$A49)</f>
        <v>21</v>
      </c>
      <c r="F48" s="38" t="str">
        <f aca="false">IF($E48="","",IFERROR(INDEX('Position Library'!$B$2:$B$53,MATCH($E48,'Position Library'!$A$2:$A$53,0))&amp;" – "&amp;INDEX('Position Library'!$C$2:$C$53,MATCH($E48,'Position Library'!$A$2:$A$53,0)),""))</f>
        <v>South Security Checkpoint – Piedmont / West Crossover</v>
      </c>
      <c r="G48" s="38" t="str">
        <f aca="false">IF($A48="","","5:45 AM")</f>
        <v>5:45 AM</v>
      </c>
      <c r="H48" s="38" t="n">
        <f aca="false">IF($A48="","",IF(AND($C48="3:45 AM",$E48&gt;=46,$E48&lt;=52),IFERROR(INDEX(Lists!$HK$2:$HK$8,MATCH($E48,Lists!$HI$2:$HI$8,0)),$E48),IF($C48="5:45 AM",IFERROR(INDEX(Lists!$HI$2:$HI$8,MATCH($A48,Lists!$HJ$2:$HJ$8,0)),$E48),$E48)))</f>
        <v>21</v>
      </c>
      <c r="I48" s="38" t="str">
        <f aca="false">IF($H48="","",IFERROR(INDEX('Position Library'!$B$2:$B$53,MATCH($H48,'Position Library'!$A$2:$A$53,0))&amp;" – "&amp;INDEX('Position Library'!$C$2:$C$53,MATCH($H48,'Position Library'!$A$2:$A$53,0)),""))</f>
        <v>South Security Checkpoint – Piedmont / West Crossover</v>
      </c>
      <c r="J48" s="38" t="str">
        <f aca="false">IF($A48="","",'Daily Schedule'!$N49)</f>
        <v>9:00 AM</v>
      </c>
      <c r="K48" s="38" t="str">
        <f aca="false">IF($A48="","",IF(AND($C48="3:45 AM",$E48&lt;&gt;$H48),"Released from Divest to Position "&amp;$H48,IF(AND($C48="5:45 AM",$E48&lt;&gt;$H48),"Takes over Divest Position "&amp;$H48,"No 5:45 handoff")))</f>
        <v>No 5:45 handoff</v>
      </c>
      <c r="L48" s="38" t="str">
        <f aca="false">IF($A48="","",IF(AND(IFERROR(INDEX('Position Library'!$D$2:$D$53,MATCH($E48,'Position Library'!$A$2:$A$53,0)),"")="Tier 1",$C48&lt;&gt;"3:45 AM"),"OPENING GAP",IF($H48="","SECOND DUTY GAP","COVERED")))</f>
        <v>COVERED</v>
      </c>
    </row>
    <row r="49" customFormat="false" ht="27.75" hidden="false" customHeight="true" outlineLevel="0" collapsed="false">
      <c r="A49" s="38" t="str">
        <f aca="false">IF(OR('Daily Schedule'!$H50="3:45 AM",'Daily Schedule'!$H50="5:45 AM"),'Daily Schedule'!$F50,"")</f>
        <v>EMP-0127</v>
      </c>
      <c r="B49" s="38" t="str">
        <f aca="false">IF($A49="","",'Daily Schedule'!$G50)</f>
        <v>Samiroe Ford</v>
      </c>
      <c r="C49" s="38" t="str">
        <f aca="false">IF($A49="","",'Daily Schedule'!$H50)</f>
        <v>5:45 AM</v>
      </c>
      <c r="D49" s="38" t="str">
        <f aca="false">IF($C49="3:45 AM","3:45 AM",IF($C49="5:45 AM","5:45 AM",""))</f>
        <v>5:45 AM</v>
      </c>
      <c r="E49" s="38" t="n">
        <f aca="false">IF($A49="","",'Daily Schedule'!$A50)</f>
        <v>22</v>
      </c>
      <c r="F49" s="38" t="str">
        <f aca="false">IF($E49="","",IFERROR(INDEX('Position Library'!$B$2:$B$53,MATCH($E49,'Position Library'!$A$2:$A$53,0))&amp;" – "&amp;INDEX('Position Library'!$C$2:$C$53,MATCH($E49,'Position Library'!$A$2:$A$53,0)),""))</f>
        <v>South Security Checkpoint – West Crossover </v>
      </c>
      <c r="G49" s="38" t="str">
        <f aca="false">IF($A49="","","5:45 AM")</f>
        <v>5:45 AM</v>
      </c>
      <c r="H49" s="38" t="n">
        <f aca="false">IF($A49="","",IF(AND($C49="3:45 AM",$E49&gt;=46,$E49&lt;=52),IFERROR(INDEX(Lists!$HK$2:$HK$8,MATCH($E49,Lists!$HI$2:$HI$8,0)),$E49),IF($C49="5:45 AM",IFERROR(INDEX(Lists!$HI$2:$HI$8,MATCH($A49,Lists!$HJ$2:$HJ$8,0)),$E49),$E49)))</f>
        <v>22</v>
      </c>
      <c r="I49" s="38" t="str">
        <f aca="false">IF($H49="","",IFERROR(INDEX('Position Library'!$B$2:$B$53,MATCH($H49,'Position Library'!$A$2:$A$53,0))&amp;" – "&amp;INDEX('Position Library'!$C$2:$C$53,MATCH($H49,'Position Library'!$A$2:$A$53,0)),""))</f>
        <v>South Security Checkpoint – West Crossover </v>
      </c>
      <c r="J49" s="38" t="str">
        <f aca="false">IF($A49="","",'Daily Schedule'!$N50)</f>
        <v>10:00 AM</v>
      </c>
      <c r="K49" s="38" t="str">
        <f aca="false">IF($A49="","",IF(AND($C49="3:45 AM",$E49&lt;&gt;$H49),"Released from Divest to Position "&amp;$H49,IF(AND($C49="5:45 AM",$E49&lt;&gt;$H49),"Takes over Divest Position "&amp;$H49,"No 5:45 handoff")))</f>
        <v>No 5:45 handoff</v>
      </c>
      <c r="L49" s="38" t="str">
        <f aca="false">IF($A49="","",IF(AND(IFERROR(INDEX('Position Library'!$D$2:$D$53,MATCH($E49,'Position Library'!$A$2:$A$53,0)),"")="Tier 1",$C49&lt;&gt;"3:45 AM"),"OPENING GAP",IF($H49="","SECOND DUTY GAP","COVERED")))</f>
        <v>COVERED</v>
      </c>
    </row>
    <row r="50" customFormat="false" ht="27.75" hidden="false" customHeight="true" outlineLevel="0" collapsed="false">
      <c r="A50" s="38" t="str">
        <f aca="false">IF(OR('Daily Schedule'!$H51="3:45 AM",'Daily Schedule'!$H51="5:45 AM"),'Daily Schedule'!$F51,"")</f>
        <v>EMP-0128</v>
      </c>
      <c r="B50" s="38" t="str">
        <f aca="false">IF($A50="","",'Daily Schedule'!$G51)</f>
        <v>Sandra Gerson</v>
      </c>
      <c r="C50" s="38" t="str">
        <f aca="false">IF($A50="","",'Daily Schedule'!$H51)</f>
        <v>5:45 AM</v>
      </c>
      <c r="D50" s="38" t="str">
        <f aca="false">IF($C50="3:45 AM","3:45 AM",IF($C50="5:45 AM","5:45 AM",""))</f>
        <v>5:45 AM</v>
      </c>
      <c r="E50" s="38" t="n">
        <f aca="false">IF($A50="","",'Daily Schedule'!$A51)</f>
        <v>23</v>
      </c>
      <c r="F50" s="38" t="str">
        <f aca="false">IF($E50="","",IFERROR(INDEX('Position Library'!$B$2:$B$53,MATCH($E50,'Position Library'!$A$2:$A$53,0))&amp;" – "&amp;INDEX('Position Library'!$C$2:$C$53,MATCH($E50,'Position Library'!$A$2:$A$53,0)),""))</f>
        <v>South Security Checkpoint – West Crossover </v>
      </c>
      <c r="G50" s="38" t="str">
        <f aca="false">IF($A50="","","5:45 AM")</f>
        <v>5:45 AM</v>
      </c>
      <c r="H50" s="38" t="n">
        <f aca="false">IF($A50="","",IF(AND($C50="3:45 AM",$E50&gt;=46,$E50&lt;=52),IFERROR(INDEX(Lists!$HK$2:$HK$8,MATCH($E50,Lists!$HI$2:$HI$8,0)),$E50),IF($C50="5:45 AM",IFERROR(INDEX(Lists!$HI$2:$HI$8,MATCH($A50,Lists!$HJ$2:$HJ$8,0)),$E50),$E50)))</f>
        <v>23</v>
      </c>
      <c r="I50" s="38" t="str">
        <f aca="false">IF($H50="","",IFERROR(INDEX('Position Library'!$B$2:$B$53,MATCH($H50,'Position Library'!$A$2:$A$53,0))&amp;" – "&amp;INDEX('Position Library'!$C$2:$C$53,MATCH($H50,'Position Library'!$A$2:$A$53,0)),""))</f>
        <v>South Security Checkpoint – West Crossover </v>
      </c>
      <c r="J50" s="38" t="str">
        <f aca="false">IF($A50="","",'Daily Schedule'!$N51)</f>
        <v>10:00 AM</v>
      </c>
      <c r="K50" s="38" t="str">
        <f aca="false">IF($A50="","",IF(AND($C50="3:45 AM",$E50&lt;&gt;$H50),"Released from Divest to Position "&amp;$H50,IF(AND($C50="5:45 AM",$E50&lt;&gt;$H50),"Takes over Divest Position "&amp;$H50,"No 5:45 handoff")))</f>
        <v>No 5:45 handoff</v>
      </c>
      <c r="L50" s="38" t="str">
        <f aca="false">IF($A50="","",IF(AND(IFERROR(INDEX('Position Library'!$D$2:$D$53,MATCH($E50,'Position Library'!$A$2:$A$53,0)),"")="Tier 1",$C50&lt;&gt;"3:45 AM"),"OPENING GAP",IF($H50="","SECOND DUTY GAP","COVERED")))</f>
        <v>COVERED</v>
      </c>
    </row>
    <row r="51" customFormat="false" ht="27.75" hidden="false" customHeight="true" outlineLevel="0" collapsed="false">
      <c r="A51" s="38" t="str">
        <f aca="false">IF(OR('Daily Schedule'!$H52="3:45 AM",'Daily Schedule'!$H52="5:45 AM"),'Daily Schedule'!$F52,"")</f>
        <v>EMP-0129</v>
      </c>
      <c r="B51" s="38" t="str">
        <f aca="false">IF($A51="","",'Daily Schedule'!$G52)</f>
        <v>Sara Alemu</v>
      </c>
      <c r="C51" s="38" t="str">
        <f aca="false">IF($A51="","",'Daily Schedule'!$H52)</f>
        <v>5:45 AM</v>
      </c>
      <c r="D51" s="38" t="str">
        <f aca="false">IF($C51="3:45 AM","3:45 AM",IF($C51="5:45 AM","5:45 AM",""))</f>
        <v>5:45 AM</v>
      </c>
      <c r="E51" s="38" t="n">
        <f aca="false">IF($A51="","",'Daily Schedule'!$A52)</f>
        <v>28</v>
      </c>
      <c r="F51" s="38" t="str">
        <f aca="false">IF($E51="","",IFERROR(INDEX('Position Library'!$B$2:$B$53,MATCH($E51,'Position Library'!$A$2:$A$53,0))&amp;" – "&amp;INDEX('Position Library'!$C$2:$C$53,MATCH($E51,'Position Library'!$A$2:$A$53,0)),""))</f>
        <v>North Security Checkpoint – TGIF / West Crossover</v>
      </c>
      <c r="G51" s="38" t="str">
        <f aca="false">IF($A51="","","5:45 AM")</f>
        <v>5:45 AM</v>
      </c>
      <c r="H51" s="38" t="n">
        <f aca="false">IF($A51="","",IF(AND($C51="3:45 AM",$E51&gt;=46,$E51&lt;=52),IFERROR(INDEX(Lists!$HK$2:$HK$8,MATCH($E51,Lists!$HI$2:$HI$8,0)),$E51),IF($C51="5:45 AM",IFERROR(INDEX(Lists!$HI$2:$HI$8,MATCH($A51,Lists!$HJ$2:$HJ$8,0)),$E51),$E51)))</f>
        <v>28</v>
      </c>
      <c r="I51" s="38" t="str">
        <f aca="false">IF($H51="","",IFERROR(INDEX('Position Library'!$B$2:$B$53,MATCH($H51,'Position Library'!$A$2:$A$53,0))&amp;" – "&amp;INDEX('Position Library'!$C$2:$C$53,MATCH($H51,'Position Library'!$A$2:$A$53,0)),""))</f>
        <v>North Security Checkpoint – TGIF / West Crossover</v>
      </c>
      <c r="J51" s="38" t="str">
        <f aca="false">IF($A51="","",'Daily Schedule'!$N52)</f>
        <v>9:00 AM</v>
      </c>
      <c r="K51" s="38" t="str">
        <f aca="false">IF($A51="","",IF(AND($C51="3:45 AM",$E51&lt;&gt;$H51),"Released from Divest to Position "&amp;$H51,IF(AND($C51="5:45 AM",$E51&lt;&gt;$H51),"Takes over Divest Position "&amp;$H51,"No 5:45 handoff")))</f>
        <v>No 5:45 handoff</v>
      </c>
      <c r="L51" s="38" t="str">
        <f aca="false">IF($A51="","",IF(AND(IFERROR(INDEX('Position Library'!$D$2:$D$53,MATCH($E51,'Position Library'!$A$2:$A$53,0)),"")="Tier 1",$C51&lt;&gt;"3:45 AM"),"OPENING GAP",IF($H51="","SECOND DUTY GAP","COVERED")))</f>
        <v>COVERED</v>
      </c>
    </row>
    <row r="52" customFormat="false" ht="15" hidden="false" customHeight="true" outlineLevel="0" collapsed="false">
      <c r="A52" s="38" t="str">
        <f aca="false">IF(OR('Daily Schedule'!$H53="3:45 AM",'Daily Schedule'!$H53="5:45 AM"),'Daily Schedule'!$F53,"")</f>
        <v>EMP-0132</v>
      </c>
      <c r="B52" s="38" t="str">
        <f aca="false">IF($A52="","",'Daily Schedule'!$G53)</f>
        <v>Shanta Harvey</v>
      </c>
      <c r="C52" s="38" t="str">
        <f aca="false">IF($A52="","",'Daily Schedule'!$H53)</f>
        <v>5:45 AM</v>
      </c>
      <c r="D52" s="38" t="str">
        <f aca="false">IF($C52="3:45 AM","3:45 AM",IF($C52="5:45 AM","5:45 AM",""))</f>
        <v>5:45 AM</v>
      </c>
      <c r="E52" s="38" t="n">
        <f aca="false">IF($A52="","",'Daily Schedule'!$A53)</f>
        <v>34</v>
      </c>
      <c r="F52" s="38" t="str">
        <f aca="false">IF($E52="","",IFERROR(INDEX('Position Library'!$B$2:$B$53,MATCH($E52,'Position Library'!$A$2:$A$53,0))&amp;" – "&amp;INDEX('Position Library'!$C$2:$C$53,MATCH($E52,'Position Library'!$A$2:$A$53,0)),""))</f>
        <v>AGT Level – Checkpoint – Glass Doors</v>
      </c>
      <c r="G52" s="38" t="str">
        <f aca="false">IF($A52="","","5:45 AM")</f>
        <v>5:45 AM</v>
      </c>
      <c r="H52" s="38" t="n">
        <f aca="false">IF($A52="","",IF(AND($C52="3:45 AM",$E52&gt;=46,$E52&lt;=52),IFERROR(INDEX(Lists!$HK$2:$HK$8,MATCH($E52,Lists!$HI$2:$HI$8,0)),$E52),IF($C52="5:45 AM",IFERROR(INDEX(Lists!$HI$2:$HI$8,MATCH($A52,Lists!$HJ$2:$HJ$8,0)),$E52),$E52)))</f>
        <v>34</v>
      </c>
      <c r="I52" s="38" t="str">
        <f aca="false">IF($H52="","",IFERROR(INDEX('Position Library'!$B$2:$B$53,MATCH($H52,'Position Library'!$A$2:$A$53,0))&amp;" – "&amp;INDEX('Position Library'!$C$2:$C$53,MATCH($H52,'Position Library'!$A$2:$A$53,0)),""))</f>
        <v>AGT Level – Checkpoint – Glass Doors</v>
      </c>
      <c r="J52" s="38" t="str">
        <f aca="false">IF($A52="","",'Daily Schedule'!$N53)</f>
        <v>10:00 AM</v>
      </c>
      <c r="K52" s="38" t="str">
        <f aca="false">IF($A52="","",IF(AND($C52="3:45 AM",$E52&lt;&gt;$H52),"Released from Divest to Position "&amp;$H52,IF(AND($C52="5:45 AM",$E52&lt;&gt;$H52),"Takes over Divest Position "&amp;$H52,"No 5:45 handoff")))</f>
        <v>No 5:45 handoff</v>
      </c>
      <c r="L52" s="38" t="str">
        <f aca="false">IF($A52="","",IF(AND(IFERROR(INDEX('Position Library'!$D$2:$D$53,MATCH($E52,'Position Library'!$A$2:$A$53,0)),"")="Tier 1",$C52&lt;&gt;"3:45 AM"),"OPENING GAP",IF($H52="","SECOND DUTY GAP","COVERED")))</f>
        <v>COVERED</v>
      </c>
    </row>
    <row r="53" customFormat="false" ht="15" hidden="false" customHeight="true" outlineLevel="0" collapsed="false">
      <c r="A53" s="38" t="str">
        <f aca="false">IF(OR('Daily Schedule'!$H54="3:45 AM",'Daily Schedule'!$H54="5:45 AM"),'Daily Schedule'!$F54,"")</f>
        <v>EMP-0133</v>
      </c>
      <c r="B53" s="38" t="str">
        <f aca="false">IF($A53="","",'Daily Schedule'!$G54)</f>
        <v>Shanta Islam</v>
      </c>
      <c r="C53" s="38" t="str">
        <f aca="false">IF($A53="","",'Daily Schedule'!$H54)</f>
        <v>5:45 AM</v>
      </c>
      <c r="D53" s="38" t="str">
        <f aca="false">IF($C53="3:45 AM","3:45 AM",IF($C53="5:45 AM","5:45 AM",""))</f>
        <v>5:45 AM</v>
      </c>
      <c r="E53" s="38" t="n">
        <f aca="false">IF($A53="","",'Daily Schedule'!$A54)</f>
        <v>41</v>
      </c>
      <c r="F53" s="38" t="str">
        <f aca="false">IF($E53="","",IFERROR(INDEX('Position Library'!$B$2:$B$53,MATCH($E53,'Position Library'!$A$2:$A$53,0))&amp;" – "&amp;INDEX('Position Library'!$C$2:$C$53,MATCH($E53,'Position Library'!$A$2:$A$53,0)),""))</f>
        <v>AGT Level – Alpha West</v>
      </c>
      <c r="G53" s="38" t="str">
        <f aca="false">IF($A53="","","5:45 AM")</f>
        <v>5:45 AM</v>
      </c>
      <c r="H53" s="38" t="n">
        <f aca="false">IF($A53="","",IF(AND($C53="3:45 AM",$E53&gt;=46,$E53&lt;=52),IFERROR(INDEX(Lists!$HK$2:$HK$8,MATCH($E53,Lists!$HI$2:$HI$8,0)),$E53),IF($C53="5:45 AM",IFERROR(INDEX(Lists!$HI$2:$HI$8,MATCH($A53,Lists!$HJ$2:$HJ$8,0)),$E53),$E53)))</f>
        <v>41</v>
      </c>
      <c r="I53" s="38" t="str">
        <f aca="false">IF($H53="","",IFERROR(INDEX('Position Library'!$B$2:$B$53,MATCH($H53,'Position Library'!$A$2:$A$53,0))&amp;" – "&amp;INDEX('Position Library'!$C$2:$C$53,MATCH($H53,'Position Library'!$A$2:$A$53,0)),""))</f>
        <v>AGT Level – Alpha West</v>
      </c>
      <c r="J53" s="38" t="str">
        <f aca="false">IF($A53="","",'Daily Schedule'!$N54)</f>
        <v>10:00 AM</v>
      </c>
      <c r="K53" s="38" t="str">
        <f aca="false">IF($A53="","",IF(AND($C53="3:45 AM",$E53&lt;&gt;$H53),"Released from Divest to Position "&amp;$H53,IF(AND($C53="5:45 AM",$E53&lt;&gt;$H53),"Takes over Divest Position "&amp;$H53,"No 5:45 handoff")))</f>
        <v>No 5:45 handoff</v>
      </c>
      <c r="L53" s="38" t="str">
        <f aca="false">IF($A53="","",IF(AND(IFERROR(INDEX('Position Library'!$D$2:$D$53,MATCH($E53,'Position Library'!$A$2:$A$53,0)),"")="Tier 1",$C53&lt;&gt;"3:45 AM"),"OPENING GAP",IF($H53="","SECOND DUTY GAP","COVERED")))</f>
        <v>COVERED</v>
      </c>
    </row>
    <row r="54" customFormat="false" ht="15" hidden="false" customHeight="true" outlineLevel="0" collapsed="false">
      <c r="A54" s="38" t="str">
        <f aca="false">IF(OR('Daily Schedule'!$H55="3:45 AM",'Daily Schedule'!$H55="5:45 AM"),'Daily Schedule'!$F55,"")</f>
        <v>EMP-0134</v>
      </c>
      <c r="B54" s="38" t="str">
        <f aca="false">IF($A54="","",'Daily Schedule'!$G55)</f>
        <v>Shawanda Webb</v>
      </c>
      <c r="C54" s="38" t="str">
        <f aca="false">IF($A54="","",'Daily Schedule'!$H55)</f>
        <v>5:45 AM</v>
      </c>
      <c r="D54" s="38" t="str">
        <f aca="false">IF($C54="3:45 AM","3:45 AM",IF($C54="5:45 AM","5:45 AM",""))</f>
        <v>5:45 AM</v>
      </c>
      <c r="E54" s="38" t="n">
        <f aca="false">IF($A54="","",'Daily Schedule'!$A55)</f>
        <v>42</v>
      </c>
      <c r="F54" s="38" t="str">
        <f aca="false">IF($E54="","",IFERROR(INDEX('Position Library'!$B$2:$B$53,MATCH($E54,'Position Library'!$A$2:$A$53,0))&amp;" – "&amp;INDEX('Position Library'!$C$2:$C$53,MATCH($E54,'Position Library'!$A$2:$A$53,0)),""))</f>
        <v>AGT Level – Bravo West</v>
      </c>
      <c r="G54" s="38" t="str">
        <f aca="false">IF($A54="","","5:45 AM")</f>
        <v>5:45 AM</v>
      </c>
      <c r="H54" s="38" t="n">
        <f aca="false">IF($A54="","",IF(AND($C54="3:45 AM",$E54&gt;=46,$E54&lt;=52),IFERROR(INDEX(Lists!$HK$2:$HK$8,MATCH($E54,Lists!$HI$2:$HI$8,0)),$E54),IF($C54="5:45 AM",IFERROR(INDEX(Lists!$HI$2:$HI$8,MATCH($A54,Lists!$HJ$2:$HJ$8,0)),$E54),$E54)))</f>
        <v>42</v>
      </c>
      <c r="I54" s="38" t="str">
        <f aca="false">IF($H54="","",IFERROR(INDEX('Position Library'!$B$2:$B$53,MATCH($H54,'Position Library'!$A$2:$A$53,0))&amp;" – "&amp;INDEX('Position Library'!$C$2:$C$53,MATCH($H54,'Position Library'!$A$2:$A$53,0)),""))</f>
        <v>AGT Level – Bravo West</v>
      </c>
      <c r="J54" s="38" t="str">
        <f aca="false">IF($A54="","",'Daily Schedule'!$N55)</f>
        <v>9:00 AM</v>
      </c>
      <c r="K54" s="38" t="str">
        <f aca="false">IF($A54="","",IF(AND($C54="3:45 AM",$E54&lt;&gt;$H54),"Released from Divest to Position "&amp;$H54,IF(AND($C54="5:45 AM",$E54&lt;&gt;$H54),"Takes over Divest Position "&amp;$H54,"No 5:45 handoff")))</f>
        <v>No 5:45 handoff</v>
      </c>
      <c r="L54" s="38" t="str">
        <f aca="false">IF($A54="","",IF(AND(IFERROR(INDEX('Position Library'!$D$2:$D$53,MATCH($E54,'Position Library'!$A$2:$A$53,0)),"")="Tier 1",$C54&lt;&gt;"3:45 AM"),"OPENING GAP",IF($H54="","SECOND DUTY GAP","COVERED")))</f>
        <v>COVERED</v>
      </c>
    </row>
    <row r="55" customFormat="false" ht="15" hidden="false" customHeight="true" outlineLevel="0" collapsed="false">
      <c r="A55" s="38" t="str">
        <f aca="false">IF(OR('Daily Schedule'!$H56="3:45 AM",'Daily Schedule'!$H56="5:45 AM"),'Daily Schedule'!$F56,"")</f>
        <v>EMP-0146</v>
      </c>
      <c r="B55" s="38" t="str">
        <f aca="false">IF($A55="","",'Daily Schedule'!$G56)</f>
        <v>Tyana Gutzmore</v>
      </c>
      <c r="C55" s="38" t="str">
        <f aca="false">IF($A55="","",'Daily Schedule'!$H56)</f>
        <v>5:45 AM</v>
      </c>
      <c r="D55" s="38" t="str">
        <f aca="false">IF($C55="3:45 AM","3:45 AM",IF($C55="5:45 AM","5:45 AM",""))</f>
        <v>5:45 AM</v>
      </c>
      <c r="E55" s="38" t="n">
        <f aca="false">IF($A55="","",'Daily Schedule'!$A56)</f>
        <v>43</v>
      </c>
      <c r="F55" s="38" t="str">
        <f aca="false">IF($E55="","",IFERROR(INDEX('Position Library'!$B$2:$B$53,MATCH($E55,'Position Library'!$A$2:$A$53,0))&amp;" – "&amp;INDEX('Position Library'!$C$2:$C$53,MATCH($E55,'Position Library'!$A$2:$A$53,0)),""))</f>
        <v>AGT Level – Charlie West</v>
      </c>
      <c r="G55" s="38" t="str">
        <f aca="false">IF($A55="","","5:45 AM")</f>
        <v>5:45 AM</v>
      </c>
      <c r="H55" s="38" t="n">
        <f aca="false">IF($A55="","",IF(AND($C55="3:45 AM",$E55&gt;=46,$E55&lt;=52),IFERROR(INDEX(Lists!$HK$2:$HK$8,MATCH($E55,Lists!$HI$2:$HI$8,0)),$E55),IF($C55="5:45 AM",IFERROR(INDEX(Lists!$HI$2:$HI$8,MATCH($A55,Lists!$HJ$2:$HJ$8,0)),$E55),$E55)))</f>
        <v>43</v>
      </c>
      <c r="I55" s="38" t="str">
        <f aca="false">IF($H55="","",IFERROR(INDEX('Position Library'!$B$2:$B$53,MATCH($H55,'Position Library'!$A$2:$A$53,0))&amp;" – "&amp;INDEX('Position Library'!$C$2:$C$53,MATCH($H55,'Position Library'!$A$2:$A$53,0)),""))</f>
        <v>AGT Level – Charlie West</v>
      </c>
      <c r="J55" s="38" t="str">
        <f aca="false">IF($A55="","",'Daily Schedule'!$N56)</f>
        <v>10:00 AM</v>
      </c>
      <c r="K55" s="38" t="str">
        <f aca="false">IF($A55="","",IF(AND($C55="3:45 AM",$E55&lt;&gt;$H55),"Released from Divest to Position "&amp;$H55,IF(AND($C55="5:45 AM",$E55&lt;&gt;$H55),"Takes over Divest Position "&amp;$H55,"No 5:45 handoff")))</f>
        <v>No 5:45 handoff</v>
      </c>
      <c r="L55" s="38" t="str">
        <f aca="false">IF($A55="","",IF(AND(IFERROR(INDEX('Position Library'!$D$2:$D$53,MATCH($E55,'Position Library'!$A$2:$A$53,0)),"")="Tier 1",$C55&lt;&gt;"3:45 AM"),"OPENING GAP",IF($H55="","SECOND DUTY GAP","COVERED")))</f>
        <v>COVERED</v>
      </c>
    </row>
    <row r="56" customFormat="false" ht="15" hidden="false" customHeight="true" outlineLevel="0" collapsed="false">
      <c r="A56" s="38" t="str">
        <f aca="false">IF(OR('Daily Schedule'!$H57="3:45 AM",'Daily Schedule'!$H57="5:45 AM"),'Daily Schedule'!$F57,"")</f>
        <v>EMP-0147</v>
      </c>
      <c r="B56" s="38" t="str">
        <f aca="false">IF($A56="","",'Daily Schedule'!$G57)</f>
        <v>Vanessa Cortes</v>
      </c>
      <c r="C56" s="38" t="str">
        <f aca="false">IF($A56="","",'Daily Schedule'!$H57)</f>
        <v>5:45 AM</v>
      </c>
      <c r="D56" s="38" t="str">
        <f aca="false">IF($C56="3:45 AM","3:45 AM",IF($C56="5:45 AM","5:45 AM",""))</f>
        <v>5:45 AM</v>
      </c>
      <c r="E56" s="38" t="n">
        <f aca="false">IF($A56="","",'Daily Schedule'!$A57)</f>
        <v>44</v>
      </c>
      <c r="F56" s="38" t="str">
        <f aca="false">IF($E56="","",IFERROR(INDEX('Position Library'!$B$2:$B$53,MATCH($E56,'Position Library'!$A$2:$A$53,0))&amp;" – "&amp;INDEX('Position Library'!$C$2:$C$53,MATCH($E56,'Position Library'!$A$2:$A$53,0)),""))</f>
        <v>AGT Level – Delta West</v>
      </c>
      <c r="G56" s="38" t="str">
        <f aca="false">IF($A56="","","5:45 AM")</f>
        <v>5:45 AM</v>
      </c>
      <c r="H56" s="38" t="n">
        <f aca="false">IF($A56="","",IF(AND($C56="3:45 AM",$E56&gt;=46,$E56&lt;=52),IFERROR(INDEX(Lists!$HK$2:$HK$8,MATCH($E56,Lists!$HI$2:$HI$8,0)),$E56),IF($C56="5:45 AM",IFERROR(INDEX(Lists!$HI$2:$HI$8,MATCH($A56,Lists!$HJ$2:$HJ$8,0)),$E56),$E56)))</f>
        <v>44</v>
      </c>
      <c r="I56" s="38" t="str">
        <f aca="false">IF($H56="","",IFERROR(INDEX('Position Library'!$B$2:$B$53,MATCH($H56,'Position Library'!$A$2:$A$53,0))&amp;" – "&amp;INDEX('Position Library'!$C$2:$C$53,MATCH($H56,'Position Library'!$A$2:$A$53,0)),""))</f>
        <v>AGT Level – Delta West</v>
      </c>
      <c r="J56" s="38" t="str">
        <f aca="false">IF($A56="","",'Daily Schedule'!$N57)</f>
        <v>10:00 AM</v>
      </c>
      <c r="K56" s="38" t="str">
        <f aca="false">IF($A56="","",IF(AND($C56="3:45 AM",$E56&lt;&gt;$H56),"Released from Divest to Position "&amp;$H56,IF(AND($C56="5:45 AM",$E56&lt;&gt;$H56),"Takes over Divest Position "&amp;$H56,"No 5:45 handoff")))</f>
        <v>No 5:45 handoff</v>
      </c>
      <c r="L56" s="38" t="str">
        <f aca="false">IF($A56="","",IF(AND(IFERROR(INDEX('Position Library'!$D$2:$D$53,MATCH($E56,'Position Library'!$A$2:$A$53,0)),"")="Tier 1",$C56&lt;&gt;"3:45 AM"),"OPENING GAP",IF($H56="","SECOND DUTY GAP","COVERED")))</f>
        <v>COVERED</v>
      </c>
    </row>
  </sheetData>
  <mergeCells count="2">
    <mergeCell ref="A1:L1"/>
    <mergeCell ref="A2:L2"/>
  </mergeCells>
  <conditionalFormatting sqref="L5:L56">
    <cfRule type="containsText" priority="2" operator="containsText" aboveAverage="0" equalAverage="0" bottom="0" percent="0" rank="0" text="COVERED" dxfId="20">
      <formula>NOT(ISERROR(SEARCH("COVERED",L5)))</formula>
    </cfRule>
    <cfRule type="containsText" priority="3" operator="containsText" aboveAverage="0" equalAverage="0" bottom="0" percent="0" rank="0" text="GAP" dxfId="21">
      <formula>NOT(ISERROR(SEARCH("GAP",L5)))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16"/>
    <col collapsed="false" customWidth="true" hidden="false" outlineLevel="0" max="4" min="4" style="1" width="22"/>
    <col collapsed="false" customWidth="true" hidden="false" outlineLevel="0" max="5" min="5" style="1" width="16"/>
    <col collapsed="false" customWidth="true" hidden="false" outlineLevel="0" max="6" min="6" style="1" width="17"/>
    <col collapsed="false" customWidth="true" hidden="false" outlineLevel="0" max="7" min="7" style="1" width="22"/>
    <col collapsed="false" customWidth="true" hidden="false" outlineLevel="0" max="8" min="8" style="1" width="13"/>
    <col collapsed="false" customWidth="true" hidden="false" outlineLevel="0" max="9" min="9" style="1" width="16"/>
    <col collapsed="false" customWidth="true" hidden="false" outlineLevel="0" max="10" min="10" style="1" width="22"/>
    <col collapsed="false" customWidth="true" hidden="false" outlineLevel="0" max="12" min="11" style="1" width="16"/>
    <col collapsed="false" customWidth="true" hidden="false" outlineLevel="0" max="17" min="13" style="1" width="14"/>
    <col collapsed="false" customWidth="true" hidden="false" outlineLevel="0" max="18" min="18" style="1" width="18"/>
  </cols>
  <sheetData>
    <row r="1" customFormat="false" ht="25.5" hidden="false" customHeight="true" outlineLevel="0" collapsed="false">
      <c r="A1" s="45" t="s">
        <v>831</v>
      </c>
      <c r="B1" s="45"/>
      <c r="C1" s="45"/>
      <c r="D1" s="45"/>
      <c r="E1" s="45"/>
      <c r="F1" s="45"/>
      <c r="G1" s="45"/>
      <c r="H1" s="45"/>
      <c r="I1" s="45"/>
      <c r="J1" s="45"/>
      <c r="K1" s="45"/>
      <c r="L1" s="45"/>
      <c r="M1" s="45"/>
      <c r="N1" s="45"/>
      <c r="O1" s="45"/>
      <c r="P1" s="45"/>
      <c r="Q1" s="45"/>
      <c r="R1" s="45"/>
    </row>
    <row r="2" customFormat="false" ht="36" hidden="false" customHeight="true" outlineLevel="0" collapsed="false">
      <c r="A2" s="59" t="s">
        <v>832</v>
      </c>
      <c r="B2" s="60" t="n">
        <f aca="false">COUNTIF($E$5:$E$11,"COVERED")</f>
        <v>7</v>
      </c>
      <c r="C2" s="60"/>
      <c r="D2" s="60" t="s">
        <v>833</v>
      </c>
      <c r="E2" s="60" t="n">
        <f aca="false">COUNTIF($R$5:$R$11,"&lt;&gt;COVERED")</f>
        <v>0</v>
      </c>
      <c r="F2" s="60"/>
      <c r="G2" s="60" t="s">
        <v>834</v>
      </c>
      <c r="H2" s="60" t="n">
        <f aca="false">COUNTIF($F$5:$F$11,"&lt;&gt;")</f>
        <v>7</v>
      </c>
      <c r="I2" s="60"/>
      <c r="J2" s="60" t="s">
        <v>835</v>
      </c>
      <c r="K2" s="60" t="s">
        <v>836</v>
      </c>
      <c r="L2" s="60"/>
      <c r="M2" s="60"/>
      <c r="N2" s="60"/>
      <c r="O2" s="60"/>
      <c r="P2" s="60"/>
      <c r="Q2" s="60"/>
      <c r="R2" s="60"/>
    </row>
    <row r="3" customFormat="false" ht="42" hidden="false" customHeight="true" outlineLevel="0" collapsed="false">
      <c r="A3" s="58" t="s">
        <v>837</v>
      </c>
      <c r="B3" s="58"/>
      <c r="C3" s="58"/>
      <c r="D3" s="58"/>
      <c r="E3" s="58"/>
      <c r="F3" s="58"/>
      <c r="G3" s="58"/>
      <c r="H3" s="58"/>
      <c r="I3" s="58"/>
      <c r="J3" s="58"/>
      <c r="K3" s="58"/>
      <c r="L3" s="58"/>
      <c r="M3" s="58"/>
      <c r="N3" s="58"/>
      <c r="O3" s="58"/>
      <c r="P3" s="58"/>
      <c r="Q3" s="58"/>
      <c r="R3" s="58"/>
    </row>
    <row r="4" customFormat="false" ht="41.25" hidden="false" customHeight="true" outlineLevel="0" collapsed="false">
      <c r="A4" s="38" t="s">
        <v>20</v>
      </c>
      <c r="B4" s="38" t="s">
        <v>21</v>
      </c>
      <c r="C4" s="38" t="s">
        <v>838</v>
      </c>
      <c r="D4" s="38" t="s">
        <v>839</v>
      </c>
      <c r="E4" s="38" t="s">
        <v>840</v>
      </c>
      <c r="F4" s="38" t="s">
        <v>841</v>
      </c>
      <c r="G4" s="38" t="s">
        <v>772</v>
      </c>
      <c r="H4" s="38" t="s">
        <v>773</v>
      </c>
      <c r="I4" s="38" t="s">
        <v>842</v>
      </c>
      <c r="J4" s="38" t="s">
        <v>843</v>
      </c>
      <c r="K4" s="38" t="s">
        <v>844</v>
      </c>
      <c r="L4" s="38" t="s">
        <v>845</v>
      </c>
      <c r="M4" s="38" t="s">
        <v>516</v>
      </c>
      <c r="N4" s="38" t="s">
        <v>846</v>
      </c>
      <c r="O4" s="38" t="s">
        <v>847</v>
      </c>
      <c r="P4" s="38" t="s">
        <v>848</v>
      </c>
      <c r="Q4" s="38" t="s">
        <v>849</v>
      </c>
      <c r="R4" s="38" t="s">
        <v>776</v>
      </c>
    </row>
    <row r="5" customFormat="false" ht="15" hidden="false" customHeight="true" outlineLevel="0" collapsed="false">
      <c r="A5" s="38" t="n">
        <v>46</v>
      </c>
      <c r="B5" s="38" t="str">
        <f aca="false">IFERROR(INDEX('Position Library'!$B$2:$B$53,MATCH($A5,'Position Library'!$A$2:$A$53,0)),"")</f>
        <v>North Security Checkpoint</v>
      </c>
      <c r="C5" s="38" t="str">
        <f aca="false">IFERROR(INDEX('Daily Schedule'!$F$6:$F$57,MATCH($A5,'Daily Schedule'!$A$6:$A$57,0)),"")</f>
        <v>EMP-0007</v>
      </c>
      <c r="D5" s="38" t="str">
        <f aca="false">IF($C5="","",IFERROR(INDEX('Daily Workforce'!$C$6:$C$205,MATCH($C5,'Daily Workforce'!$B$6:$B$205,0)),""))</f>
        <v>Ahamed John</v>
      </c>
      <c r="E5" s="38" t="str">
        <f aca="false">IF($C5="","OPENING GAP",IF(IFERROR(INDEX('Daily Workforce'!$D$6:$D$205,MATCH($C5,'Daily Workforce'!$B$6:$B$205,0)),"")="3:45 AM","COVERED","OPENING GAP"))</f>
        <v>COVERED</v>
      </c>
      <c r="F5" s="38" t="str">
        <f aca="false">Lists!$JM2</f>
        <v>EMP-0009</v>
      </c>
      <c r="G5" s="38" t="str">
        <f aca="false">IF($F5="","",IFERROR(INDEX('Daily Workforce'!$C$6:$C$205,MATCH($F5,'Daily Workforce'!$B$6:$B$205,0)),""))</f>
        <v>Aleah Mckinnon</v>
      </c>
      <c r="H5" s="38" t="str">
        <f aca="false">Lists!$JN2</f>
        <v>10:00 AM</v>
      </c>
      <c r="I5" s="38" t="str">
        <f aca="false">Lists!$JO2</f>
        <v>EMP-0076</v>
      </c>
      <c r="J5" s="38" t="str">
        <f aca="false">IF($I5="","",IFERROR(INDEX('Daily Workforce'!$C$6:$C$205,MATCH($I5,'Daily Workforce'!$B$6:$B$205,0)),""))</f>
        <v>Jamal Reynolds</v>
      </c>
      <c r="K5" s="38" t="n">
        <f aca="false">Lists!$JP2</f>
        <v>7</v>
      </c>
      <c r="L5" s="38" t="str">
        <f aca="false">Lists!$JQ2</f>
        <v>9:00 AM</v>
      </c>
      <c r="M5" s="38" t="n">
        <f aca="false">IF($F5="","",IFERROR(INDEX('Daily Workforce'!$Q$6:$Q$205,MATCH($F5,'Daily Workforce'!$B$6:$B$205,0)),0))</f>
        <v>0</v>
      </c>
      <c r="N5" s="38" t="n">
        <f aca="false">IF($F5="","",IFERROR(INDEX('Daily Workforce'!$R$6:$R$205,MATCH($F5,'Daily Workforce'!$B$6:$B$205,0)),0))</f>
        <v>0</v>
      </c>
      <c r="O5" s="38" t="n">
        <f aca="false">IF($F5="","",IFERROR(INDEX('Daily Workforce'!$S$6:$S$205,MATCH($F5,'Daily Workforce'!$B$6:$B$205,0)),0))</f>
        <v>0</v>
      </c>
      <c r="P5" s="38" t="n">
        <f aca="false">IF($F5="","",IFERROR(INDEX('Daily Workforce'!$T$6:$T$205,MATCH($F5,'Daily Workforce'!$B$6:$B$205,0)),0))</f>
        <v>0</v>
      </c>
      <c r="Q5" s="61" t="n">
        <f aca="false">IF($F5="","",IFERROR(INDEX('Daily Workforce'!$V$6:$V$205,MATCH($F5,'Daily Workforce'!$B$6:$B$205,0)),0))</f>
        <v>0</v>
      </c>
      <c r="R5" s="38" t="str">
        <f aca="false">IF($E5&lt;&gt;"COVERED","OPENING GAP",IF($F5="","CORE GAP",Lists!$JR2))</f>
        <v>COVERED</v>
      </c>
    </row>
    <row r="6" customFormat="false" ht="15" hidden="false" customHeight="true" outlineLevel="0" collapsed="false">
      <c r="A6" s="38" t="n">
        <v>47</v>
      </c>
      <c r="B6" s="38" t="str">
        <f aca="false">IFERROR(INDEX('Position Library'!$B$2:$B$53,MATCH($A6,'Position Library'!$A$2:$A$53,0)),"")</f>
        <v>North Security Checkpoint</v>
      </c>
      <c r="C6" s="38" t="str">
        <f aca="false">IFERROR(INDEX('Daily Schedule'!$F$6:$F$57,MATCH($A6,'Daily Schedule'!$A$6:$A$57,0)),"")</f>
        <v>EMP-0010</v>
      </c>
      <c r="D6" s="38" t="str">
        <f aca="false">IF($C6="","",IFERROR(INDEX('Daily Workforce'!$C$6:$C$205,MATCH($C6,'Daily Workforce'!$B$6:$B$205,0)),""))</f>
        <v>Allen Suggs</v>
      </c>
      <c r="E6" s="38" t="str">
        <f aca="false">IF($C6="","OPENING GAP",IF(IFERROR(INDEX('Daily Workforce'!$D$6:$D$205,MATCH($C6,'Daily Workforce'!$B$6:$B$205,0)),"")="3:45 AM","COVERED","OPENING GAP"))</f>
        <v>COVERED</v>
      </c>
      <c r="F6" s="38" t="str">
        <f aca="false">Lists!$JM3</f>
        <v>EMP-0018</v>
      </c>
      <c r="G6" s="38" t="str">
        <f aca="false">IF($F6="","",IFERROR(INDEX('Daily Workforce'!$C$6:$C$205,MATCH($F6,'Daily Workforce'!$B$6:$B$205,0)),""))</f>
        <v>Ashia Norman</v>
      </c>
      <c r="H6" s="38" t="str">
        <f aca="false">Lists!$JN3</f>
        <v>9:00 AM</v>
      </c>
      <c r="I6" s="38" t="str">
        <f aca="false">Lists!$JO3</f>
        <v>EMP-0074</v>
      </c>
      <c r="J6" s="38" t="str">
        <f aca="false">IF($I6="","",IFERROR(INDEX('Daily Workforce'!$C$6:$C$205,MATCH($I6,'Daily Workforce'!$B$6:$B$205,0)),""))</f>
        <v>Jada Batiste</v>
      </c>
      <c r="K6" s="38" t="n">
        <f aca="false">Lists!$JP3</f>
        <v>6</v>
      </c>
      <c r="L6" s="38" t="str">
        <f aca="false">Lists!$JQ3</f>
        <v>10:00 AM</v>
      </c>
      <c r="M6" s="38" t="n">
        <f aca="false">IF($F6="","",IFERROR(INDEX('Daily Workforce'!$Q$6:$Q$205,MATCH($F6,'Daily Workforce'!$B$6:$B$205,0)),0))</f>
        <v>0</v>
      </c>
      <c r="N6" s="38" t="n">
        <f aca="false">IF($F6="","",IFERROR(INDEX('Daily Workforce'!$R$6:$R$205,MATCH($F6,'Daily Workforce'!$B$6:$B$205,0)),0))</f>
        <v>0</v>
      </c>
      <c r="O6" s="38" t="n">
        <f aca="false">IF($F6="","",IFERROR(INDEX('Daily Workforce'!$S$6:$S$205,MATCH($F6,'Daily Workforce'!$B$6:$B$205,0)),0))</f>
        <v>0</v>
      </c>
      <c r="P6" s="38" t="n">
        <f aca="false">IF($F6="","",IFERROR(INDEX('Daily Workforce'!$T$6:$T$205,MATCH($F6,'Daily Workforce'!$B$6:$B$205,0)),0))</f>
        <v>0</v>
      </c>
      <c r="Q6" s="61" t="n">
        <f aca="false">IF($F6="","",IFERROR(INDEX('Daily Workforce'!$V$6:$V$205,MATCH($F6,'Daily Workforce'!$B$6:$B$205,0)),0))</f>
        <v>0</v>
      </c>
      <c r="R6" s="38" t="str">
        <f aca="false">IF($E6&lt;&gt;"COVERED","OPENING GAP",IF($F6="","CORE GAP",Lists!$JR3))</f>
        <v>COVERED</v>
      </c>
    </row>
    <row r="7" customFormat="false" ht="15" hidden="false" customHeight="true" outlineLevel="0" collapsed="false">
      <c r="A7" s="38" t="n">
        <v>48</v>
      </c>
      <c r="B7" s="38" t="str">
        <f aca="false">IFERROR(INDEX('Position Library'!$B$2:$B$53,MATCH($A7,'Position Library'!$A$2:$A$53,0)),"")</f>
        <v>North Security Checkpoint</v>
      </c>
      <c r="C7" s="38" t="str">
        <f aca="false">IFERROR(INDEX('Daily Schedule'!$F$6:$F$57,MATCH($A7,'Daily Schedule'!$A$6:$A$57,0)),"")</f>
        <v>EMP-0022</v>
      </c>
      <c r="D7" s="38" t="str">
        <f aca="false">IF($C7="","",IFERROR(INDEX('Daily Workforce'!$C$6:$C$205,MATCH($C7,'Daily Workforce'!$B$6:$B$205,0)),""))</f>
        <v>Benjamin Crosby</v>
      </c>
      <c r="E7" s="38" t="str">
        <f aca="false">IF($C7="","OPENING GAP",IF(IFERROR(INDEX('Daily Workforce'!$D$6:$D$205,MATCH($C7,'Daily Workforce'!$B$6:$B$205,0)),"")="3:45 AM","COVERED","OPENING GAP"))</f>
        <v>COVERED</v>
      </c>
      <c r="F7" s="38" t="str">
        <f aca="false">Lists!$JM4</f>
        <v>EMP-0026</v>
      </c>
      <c r="G7" s="38" t="str">
        <f aca="false">IF($F7="","",IFERROR(INDEX('Daily Workforce'!$C$6:$C$205,MATCH($F7,'Daily Workforce'!$B$6:$B$205,0)),""))</f>
        <v>Birhanu Hailu</v>
      </c>
      <c r="H7" s="38" t="str">
        <f aca="false">Lists!$JN4</f>
        <v>10:00 AM</v>
      </c>
      <c r="I7" s="38" t="str">
        <f aca="false">Lists!$JO4</f>
        <v>EMP-0095</v>
      </c>
      <c r="J7" s="38" t="str">
        <f aca="false">IF($I7="","",IFERROR(INDEX('Daily Workforce'!$C$6:$C$205,MATCH($I7,'Daily Workforce'!$B$6:$B$205,0)),""))</f>
        <v>Linton Brereton</v>
      </c>
      <c r="K7" s="38" t="n">
        <f aca="false">Lists!$JP4</f>
        <v>12</v>
      </c>
      <c r="L7" s="38" t="str">
        <f aca="false">Lists!$JQ4</f>
        <v>9:00 AM</v>
      </c>
      <c r="M7" s="38" t="n">
        <f aca="false">IF($F7="","",IFERROR(INDEX('Daily Workforce'!$Q$6:$Q$205,MATCH($F7,'Daily Workforce'!$B$6:$B$205,0)),0))</f>
        <v>0</v>
      </c>
      <c r="N7" s="38" t="n">
        <f aca="false">IF($F7="","",IFERROR(INDEX('Daily Workforce'!$R$6:$R$205,MATCH($F7,'Daily Workforce'!$B$6:$B$205,0)),0))</f>
        <v>0</v>
      </c>
      <c r="O7" s="38" t="n">
        <f aca="false">IF($F7="","",IFERROR(INDEX('Daily Workforce'!$S$6:$S$205,MATCH($F7,'Daily Workforce'!$B$6:$B$205,0)),0))</f>
        <v>0</v>
      </c>
      <c r="P7" s="38" t="n">
        <f aca="false">IF($F7="","",IFERROR(INDEX('Daily Workforce'!$T$6:$T$205,MATCH($F7,'Daily Workforce'!$B$6:$B$205,0)),0))</f>
        <v>0</v>
      </c>
      <c r="Q7" s="61" t="n">
        <f aca="false">IF($F7="","",IFERROR(INDEX('Daily Workforce'!$V$6:$V$205,MATCH($F7,'Daily Workforce'!$B$6:$B$205,0)),0))</f>
        <v>0</v>
      </c>
      <c r="R7" s="38" t="str">
        <f aca="false">IF($E7&lt;&gt;"COVERED","OPENING GAP",IF($F7="","CORE GAP",Lists!$JR4))</f>
        <v>COVERED</v>
      </c>
    </row>
    <row r="8" customFormat="false" ht="15" hidden="false" customHeight="true" outlineLevel="0" collapsed="false">
      <c r="A8" s="38" t="n">
        <v>49</v>
      </c>
      <c r="B8" s="38" t="str">
        <f aca="false">IFERROR(INDEX('Position Library'!$B$2:$B$53,MATCH($A8,'Position Library'!$A$2:$A$53,0)),"")</f>
        <v>North Security Checkpoint</v>
      </c>
      <c r="C8" s="38" t="str">
        <f aca="false">IFERROR(INDEX('Daily Schedule'!$F$6:$F$57,MATCH($A8,'Daily Schedule'!$A$6:$A$57,0)),"")</f>
        <v>EMP-0042</v>
      </c>
      <c r="D8" s="38" t="str">
        <f aca="false">IF($C8="","",IFERROR(INDEX('Daily Workforce'!$C$6:$C$205,MATCH($C8,'Daily Workforce'!$B$6:$B$205,0)),""))</f>
        <v>Crosby Pavon-Lacayo</v>
      </c>
      <c r="E8" s="38" t="str">
        <f aca="false">IF($C8="","OPENING GAP",IF(IFERROR(INDEX('Daily Workforce'!$D$6:$D$205,MATCH($C8,'Daily Workforce'!$B$6:$B$205,0)),"")="3:45 AM","COVERED","OPENING GAP"))</f>
        <v>COVERED</v>
      </c>
      <c r="F8" s="38" t="str">
        <f aca="false">Lists!$JM5</f>
        <v>EMP-0028</v>
      </c>
      <c r="G8" s="38" t="str">
        <f aca="false">IF($F8="","",IFERROR(INDEX('Daily Workforce'!$C$6:$C$205,MATCH($F8,'Daily Workforce'!$B$6:$B$205,0)),""))</f>
        <v>Brain Lee</v>
      </c>
      <c r="H8" s="38" t="str">
        <f aca="false">Lists!$JN5</f>
        <v>10:00 AM</v>
      </c>
      <c r="I8" s="38" t="str">
        <f aca="false">Lists!$JO5</f>
        <v>EMP-0105</v>
      </c>
      <c r="J8" s="38" t="str">
        <f aca="false">IF($I8="","",IFERROR(INDEX('Daily Workforce'!$C$6:$C$205,MATCH($I8,'Daily Workforce'!$B$6:$B$205,0)),""))</f>
        <v>Mildred Tarres</v>
      </c>
      <c r="K8" s="38" t="n">
        <f aca="false">Lists!$JP5</f>
        <v>21</v>
      </c>
      <c r="L8" s="38" t="str">
        <f aca="false">Lists!$JQ5</f>
        <v>9:00 AM</v>
      </c>
      <c r="M8" s="38" t="n">
        <f aca="false">IF($F8="","",IFERROR(INDEX('Daily Workforce'!$Q$6:$Q$205,MATCH($F8,'Daily Workforce'!$B$6:$B$205,0)),0))</f>
        <v>0</v>
      </c>
      <c r="N8" s="38" t="n">
        <f aca="false">IF($F8="","",IFERROR(INDEX('Daily Workforce'!$R$6:$R$205,MATCH($F8,'Daily Workforce'!$B$6:$B$205,0)),0))</f>
        <v>0</v>
      </c>
      <c r="O8" s="38" t="n">
        <f aca="false">IF($F8="","",IFERROR(INDEX('Daily Workforce'!$S$6:$S$205,MATCH($F8,'Daily Workforce'!$B$6:$B$205,0)),0))</f>
        <v>0</v>
      </c>
      <c r="P8" s="38" t="n">
        <f aca="false">IF($F8="","",IFERROR(INDEX('Daily Workforce'!$T$6:$T$205,MATCH($F8,'Daily Workforce'!$B$6:$B$205,0)),0))</f>
        <v>0</v>
      </c>
      <c r="Q8" s="61" t="n">
        <f aca="false">IF($F8="","",IFERROR(INDEX('Daily Workforce'!$V$6:$V$205,MATCH($F8,'Daily Workforce'!$B$6:$B$205,0)),0))</f>
        <v>0</v>
      </c>
      <c r="R8" s="38" t="str">
        <f aca="false">IF($E8&lt;&gt;"COVERED","OPENING GAP",IF($F8="","CORE GAP",Lists!$JR5))</f>
        <v>COVERED</v>
      </c>
    </row>
    <row r="9" customFormat="false" ht="27.75" hidden="false" customHeight="true" outlineLevel="0" collapsed="false">
      <c r="A9" s="38" t="n">
        <v>50</v>
      </c>
      <c r="B9" s="38" t="str">
        <f aca="false">IFERROR(INDEX('Position Library'!$B$2:$B$53,MATCH($A9,'Position Library'!$A$2:$A$53,0)),"")</f>
        <v>Lower North Security Checkpoint</v>
      </c>
      <c r="C9" s="38" t="str">
        <f aca="false">IFERROR(INDEX('Daily Schedule'!$F$6:$F$57,MATCH($A9,'Daily Schedule'!$A$6:$A$57,0)),"")</f>
        <v>EMP-0044</v>
      </c>
      <c r="D9" s="38" t="str">
        <f aca="false">IF($C9="","",IFERROR(INDEX('Daily Workforce'!$C$6:$C$205,MATCH($C9,'Daily Workforce'!$B$6:$B$205,0)),""))</f>
        <v>Danielle Holmes</v>
      </c>
      <c r="E9" s="38" t="str">
        <f aca="false">IF($C9="","OPENING GAP",IF(IFERROR(INDEX('Daily Workforce'!$D$6:$D$205,MATCH($C9,'Daily Workforce'!$B$6:$B$205,0)),"")="3:45 AM","COVERED","OPENING GAP"))</f>
        <v>COVERED</v>
      </c>
      <c r="F9" s="38" t="str">
        <f aca="false">Lists!$JM6</f>
        <v>EMP-0040</v>
      </c>
      <c r="G9" s="38" t="str">
        <f aca="false">IF($F9="","",IFERROR(INDEX('Daily Workforce'!$C$6:$C$205,MATCH($F9,'Daily Workforce'!$B$6:$B$205,0)),""))</f>
        <v>Chrystal Harvey</v>
      </c>
      <c r="H9" s="38" t="str">
        <f aca="false">Lists!$JN6</f>
        <v>9:00 AM</v>
      </c>
      <c r="I9" s="38" t="str">
        <f aca="false">Lists!$JO6</f>
        <v>EMP-0086</v>
      </c>
      <c r="J9" s="38" t="str">
        <f aca="false">IF($I9="","",IFERROR(INDEX('Daily Workforce'!$C$6:$C$205,MATCH($I9,'Daily Workforce'!$B$6:$B$205,0)),""))</f>
        <v>Kidest Solomon</v>
      </c>
      <c r="K9" s="38" t="n">
        <f aca="false">Lists!$JP6</f>
        <v>10</v>
      </c>
      <c r="L9" s="38" t="str">
        <f aca="false">Lists!$JQ6</f>
        <v>10:00 AM</v>
      </c>
      <c r="M9" s="38" t="n">
        <f aca="false">IF($F9="","",IFERROR(INDEX('Daily Workforce'!$Q$6:$Q$205,MATCH($F9,'Daily Workforce'!$B$6:$B$205,0)),0))</f>
        <v>0</v>
      </c>
      <c r="N9" s="38" t="n">
        <f aca="false">IF($F9="","",IFERROR(INDEX('Daily Workforce'!$R$6:$R$205,MATCH($F9,'Daily Workforce'!$B$6:$B$205,0)),0))</f>
        <v>0</v>
      </c>
      <c r="O9" s="38" t="n">
        <f aca="false">IF($F9="","",IFERROR(INDEX('Daily Workforce'!$S$6:$S$205,MATCH($F9,'Daily Workforce'!$B$6:$B$205,0)),0))</f>
        <v>0</v>
      </c>
      <c r="P9" s="38" t="n">
        <f aca="false">IF($F9="","",IFERROR(INDEX('Daily Workforce'!$T$6:$T$205,MATCH($F9,'Daily Workforce'!$B$6:$B$205,0)),0))</f>
        <v>0</v>
      </c>
      <c r="Q9" s="61" t="n">
        <f aca="false">IF($F9="","",IFERROR(INDEX('Daily Workforce'!$V$6:$V$205,MATCH($F9,'Daily Workforce'!$B$6:$B$205,0)),0))</f>
        <v>0</v>
      </c>
      <c r="R9" s="38" t="str">
        <f aca="false">IF($E9&lt;&gt;"COVERED","OPENING GAP",IF($F9="","CORE GAP",Lists!$JR6))</f>
        <v>COVERED</v>
      </c>
    </row>
    <row r="10" customFormat="false" ht="27.75" hidden="false" customHeight="true" outlineLevel="0" collapsed="false">
      <c r="A10" s="38" t="n">
        <v>51</v>
      </c>
      <c r="B10" s="38" t="str">
        <f aca="false">IFERROR(INDEX('Position Library'!$B$2:$B$53,MATCH($A10,'Position Library'!$A$2:$A$53,0)),"")</f>
        <v>Lower North Security Checkpoint</v>
      </c>
      <c r="C10" s="38" t="str">
        <f aca="false">IFERROR(INDEX('Daily Schedule'!$F$6:$F$57,MATCH($A10,'Daily Schedule'!$A$6:$A$57,0)),"")</f>
        <v>EMP-0049</v>
      </c>
      <c r="D10" s="38" t="str">
        <f aca="false">IF($C10="","",IFERROR(INDEX('Daily Workforce'!$C$6:$C$205,MATCH($C10,'Daily Workforce'!$B$6:$B$205,0)),""))</f>
        <v>Demetrius Thomas</v>
      </c>
      <c r="E10" s="38" t="str">
        <f aca="false">IF($C10="","OPENING GAP",IF(IFERROR(INDEX('Daily Workforce'!$D$6:$D$205,MATCH($C10,'Daily Workforce'!$B$6:$B$205,0)),"")="3:45 AM","COVERED","OPENING GAP"))</f>
        <v>COVERED</v>
      </c>
      <c r="F10" s="38" t="str">
        <f aca="false">Lists!$JM7</f>
        <v>EMP-0041</v>
      </c>
      <c r="G10" s="38" t="str">
        <f aca="false">IF($F10="","",IFERROR(INDEX('Daily Workforce'!$C$6:$C$205,MATCH($F10,'Daily Workforce'!$B$6:$B$205,0)),""))</f>
        <v>Cicely Thicklin</v>
      </c>
      <c r="H10" s="38" t="str">
        <f aca="false">Lists!$JN7</f>
        <v>10:00 AM</v>
      </c>
      <c r="I10" s="38" t="str">
        <f aca="false">Lists!$JO7</f>
        <v>EMP-0129</v>
      </c>
      <c r="J10" s="38" t="str">
        <f aca="false">IF($I10="","",IFERROR(INDEX('Daily Workforce'!$C$6:$C$205,MATCH($I10,'Daily Workforce'!$B$6:$B$205,0)),""))</f>
        <v>Sara Alemu</v>
      </c>
      <c r="K10" s="38" t="n">
        <f aca="false">Lists!$JP7</f>
        <v>28</v>
      </c>
      <c r="L10" s="38" t="str">
        <f aca="false">Lists!$JQ7</f>
        <v>9:00 AM</v>
      </c>
      <c r="M10" s="38" t="n">
        <f aca="false">IF($F10="","",IFERROR(INDEX('Daily Workforce'!$Q$6:$Q$205,MATCH($F10,'Daily Workforce'!$B$6:$B$205,0)),0))</f>
        <v>0</v>
      </c>
      <c r="N10" s="38" t="n">
        <f aca="false">IF($F10="","",IFERROR(INDEX('Daily Workforce'!$R$6:$R$205,MATCH($F10,'Daily Workforce'!$B$6:$B$205,0)),0))</f>
        <v>0</v>
      </c>
      <c r="O10" s="38" t="n">
        <f aca="false">IF($F10="","",IFERROR(INDEX('Daily Workforce'!$S$6:$S$205,MATCH($F10,'Daily Workforce'!$B$6:$B$205,0)),0))</f>
        <v>0</v>
      </c>
      <c r="P10" s="38" t="n">
        <f aca="false">IF($F10="","",IFERROR(INDEX('Daily Workforce'!$T$6:$T$205,MATCH($F10,'Daily Workforce'!$B$6:$B$205,0)),0))</f>
        <v>0</v>
      </c>
      <c r="Q10" s="61" t="n">
        <f aca="false">IF($F10="","",IFERROR(INDEX('Daily Workforce'!$V$6:$V$205,MATCH($F10,'Daily Workforce'!$B$6:$B$205,0)),0))</f>
        <v>0</v>
      </c>
      <c r="R10" s="38" t="str">
        <f aca="false">IF($E10&lt;&gt;"COVERED","OPENING GAP",IF($F10="","CORE GAP",Lists!$JR7))</f>
        <v>COVERED</v>
      </c>
    </row>
    <row r="11" customFormat="false" ht="27.75" hidden="false" customHeight="true" outlineLevel="0" collapsed="false">
      <c r="A11" s="38" t="n">
        <v>52</v>
      </c>
      <c r="B11" s="38" t="str">
        <f aca="false">IFERROR(INDEX('Position Library'!$B$2:$B$53,MATCH($A11,'Position Library'!$A$2:$A$53,0)),"")</f>
        <v>Lower North Security Checkpoint</v>
      </c>
      <c r="C11" s="38" t="str">
        <f aca="false">IFERROR(INDEX('Daily Schedule'!$F$6:$F$57,MATCH($A11,'Daily Schedule'!$A$6:$A$57,0)),"")</f>
        <v>EMP-0054</v>
      </c>
      <c r="D11" s="38" t="str">
        <f aca="false">IF($C11="","",IFERROR(INDEX('Daily Workforce'!$C$6:$C$205,MATCH($C11,'Daily Workforce'!$B$6:$B$205,0)),""))</f>
        <v>Diane Nails</v>
      </c>
      <c r="E11" s="38" t="str">
        <f aca="false">IF($C11="","OPENING GAP",IF(IFERROR(INDEX('Daily Workforce'!$D$6:$D$205,MATCH($C11,'Daily Workforce'!$B$6:$B$205,0)),"")="3:45 AM","COVERED","OPENING GAP"))</f>
        <v>COVERED</v>
      </c>
      <c r="F11" s="38" t="str">
        <f aca="false">Lists!$JM8</f>
        <v>EMP-0051</v>
      </c>
      <c r="G11" s="38" t="str">
        <f aca="false">IF($F11="","",IFERROR(INDEX('Daily Workforce'!$C$6:$C$205,MATCH($F11,'Daily Workforce'!$B$6:$B$205,0)),""))</f>
        <v>Dequavius Parker</v>
      </c>
      <c r="H11" s="38" t="str">
        <f aca="false">Lists!$JN8</f>
        <v>10:00 AM</v>
      </c>
      <c r="I11" s="38" t="str">
        <f aca="false">Lists!$JO8</f>
        <v>EMP-0134</v>
      </c>
      <c r="J11" s="38" t="str">
        <f aca="false">IF($I11="","",IFERROR(INDEX('Daily Workforce'!$C$6:$C$205,MATCH($I11,'Daily Workforce'!$B$6:$B$205,0)),""))</f>
        <v>Shawanda Webb</v>
      </c>
      <c r="K11" s="38" t="n">
        <f aca="false">Lists!$JP8</f>
        <v>42</v>
      </c>
      <c r="L11" s="38" t="str">
        <f aca="false">Lists!$JQ8</f>
        <v>9:00 AM</v>
      </c>
      <c r="M11" s="38" t="n">
        <f aca="false">IF($F11="","",IFERROR(INDEX('Daily Workforce'!$Q$6:$Q$205,MATCH($F11,'Daily Workforce'!$B$6:$B$205,0)),0))</f>
        <v>0</v>
      </c>
      <c r="N11" s="38" t="n">
        <f aca="false">IF($F11="","",IFERROR(INDEX('Daily Workforce'!$R$6:$R$205,MATCH($F11,'Daily Workforce'!$B$6:$B$205,0)),0))</f>
        <v>0</v>
      </c>
      <c r="O11" s="38" t="n">
        <f aca="false">IF($F11="","",IFERROR(INDEX('Daily Workforce'!$S$6:$S$205,MATCH($F11,'Daily Workforce'!$B$6:$B$205,0)),0))</f>
        <v>0</v>
      </c>
      <c r="P11" s="38" t="n">
        <f aca="false">IF($F11="","",IFERROR(INDEX('Daily Workforce'!$T$6:$T$205,MATCH($F11,'Daily Workforce'!$B$6:$B$205,0)),0))</f>
        <v>0</v>
      </c>
      <c r="Q11" s="61" t="n">
        <f aca="false">IF($F11="","",IFERROR(INDEX('Daily Workforce'!$V$6:$V$205,MATCH($F11,'Daily Workforce'!$B$6:$B$205,0)),0))</f>
        <v>0</v>
      </c>
      <c r="R11" s="38" t="str">
        <f aca="false">IF($E11&lt;&gt;"COVERED","OPENING GAP",IF($F11="","CORE GAP",Lists!$JR8))</f>
        <v>COVERED</v>
      </c>
    </row>
  </sheetData>
  <mergeCells count="2">
    <mergeCell ref="A1:R1"/>
    <mergeCell ref="A3:R3"/>
  </mergeCells>
  <conditionalFormatting sqref="E5:E11">
    <cfRule type="containsText" priority="2" operator="containsText" aboveAverage="0" equalAverage="0" bottom="0" percent="0" rank="0" text="COVERED" dxfId="20">
      <formula>NOT(ISERROR(SEARCH("COVERED",E5)))</formula>
    </cfRule>
    <cfRule type="containsText" priority="3" operator="containsText" aboveAverage="0" equalAverage="0" bottom="0" percent="0" rank="0" text="GAP" dxfId="21">
      <formula>NOT(ISERROR(SEARCH("GAP",E5)))</formula>
    </cfRule>
    <cfRule type="containsText" priority="4" operator="containsText" aboveAverage="0" equalAverage="0" bottom="0" percent="0" rank="0" text="CONFLICT" dxfId="22">
      <formula>NOT(ISERROR(SEARCH("CONFLICT",E5)))</formula>
    </cfRule>
  </conditionalFormatting>
  <conditionalFormatting sqref="R5:R11">
    <cfRule type="containsText" priority="5" operator="containsText" aboveAverage="0" equalAverage="0" bottom="0" percent="0" rank="0" text="COVERED" dxfId="20">
      <formula>NOT(ISERROR(SEARCH("COVERED",R5)))</formula>
    </cfRule>
    <cfRule type="containsText" priority="6" operator="containsText" aboveAverage="0" equalAverage="0" bottom="0" percent="0" rank="0" text="GAP" dxfId="21">
      <formula>NOT(ISERROR(SEARCH("GAP",R5)))</formula>
    </cfRule>
    <cfRule type="containsText" priority="7" operator="containsText" aboveAverage="0" equalAverage="0" bottom="0" percent="0" rank="0" text="CONFLICT" dxfId="22">
      <formula>NOT(ISERROR(SEARCH("CONFLICT",R5)))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2026-07-28T18:03:11Z</dcterms:created>
  <dc:creator>openpyxl</dc:creator>
  <dc:description/>
  <dc:language>en-US</dc:language>
  <cp:lastModifiedBy/>
  <dcterms:modified xsi:type="dcterms:W3CDTF">2026-07-29T11:45:36Z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